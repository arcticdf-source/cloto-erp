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user\YandexDisk\ЗАКАЗЫ общая\"/>
    </mc:Choice>
  </mc:AlternateContent>
  <xr:revisionPtr revIDLastSave="0" documentId="13_ncr:1_{BCBC4ABE-96EB-414E-85E4-D394B5930706}" xr6:coauthVersionLast="45" xr6:coauthVersionMax="45" xr10:uidLastSave="{00000000-0000-0000-0000-000000000000}"/>
  <bookViews>
    <workbookView xWindow="28680" yWindow="-120" windowWidth="29040" windowHeight="15840" firstSheet="4" activeTab="4" xr2:uid="{00000000-000D-0000-FFFF-FFFF00000000}"/>
  </bookViews>
  <sheets>
    <sheet name="декабрь 2023" sheetId="1" r:id="rId1"/>
    <sheet name="ноябрь 2023" sheetId="2" r:id="rId2"/>
    <sheet name="октябрь 2023" sheetId="3" r:id="rId3"/>
    <sheet name="сентябрь 2023" sheetId="4" r:id="rId4"/>
    <sheet name="август 2023" sheetId="5" r:id="rId5"/>
    <sheet name="июль 2023" sheetId="6" r:id="rId6"/>
    <sheet name="июнь 2023" sheetId="7" r:id="rId7"/>
    <sheet name="май 2023" sheetId="8" r:id="rId8"/>
    <sheet name="апрель 2023" sheetId="9" r:id="rId9"/>
    <sheet name="март 2023" sheetId="10" r:id="rId10"/>
    <sheet name="февраль 2023" sheetId="11" r:id="rId11"/>
    <sheet name="январь 2023" sheetId="12" r:id="rId12"/>
    <sheet name="справочник" sheetId="13" r:id="rId13"/>
    <sheet name="промеж.06" sheetId="14" state="hidden" r:id="rId14"/>
    <sheet name="промеж." sheetId="15" state="hidden" r:id="rId15"/>
    <sheet name="промеж.12.23" sheetId="16" r:id="rId16"/>
    <sheet name="промеж.11.23" sheetId="17" r:id="rId17"/>
    <sheet name="промеж.10.23" sheetId="18" r:id="rId18"/>
    <sheet name="промеж.09.23" sheetId="19" r:id="rId19"/>
    <sheet name="промеж.08.23" sheetId="20" r:id="rId20"/>
    <sheet name="промеж.07.23" sheetId="21" r:id="rId21"/>
    <sheet name="промеж.06.23" sheetId="22" r:id="rId22"/>
    <sheet name="промеж.05.23" sheetId="23" r:id="rId23"/>
    <sheet name="промеж.04.23" sheetId="24" r:id="rId24"/>
    <sheet name="промеж.03.23" sheetId="25" r:id="rId25"/>
    <sheet name="промеж.02.23" sheetId="26" r:id="rId26"/>
    <sheet name="промеж.01.23" sheetId="27" r:id="rId27"/>
    <sheet name="Лист3" sheetId="28" r:id="rId28"/>
  </sheets>
  <definedNames>
    <definedName name="_xlnm._FilterDatabase" localSheetId="4" hidden="1">'август 2023'!$D$1:$D$97</definedName>
    <definedName name="_xlnm._FilterDatabase" localSheetId="8" hidden="1">'апрель 2023'!$D$1:$D$112</definedName>
    <definedName name="_xlnm._FilterDatabase" localSheetId="0" hidden="1">'декабрь 2023'!$A$1:$T$79</definedName>
    <definedName name="_xlnm._FilterDatabase" localSheetId="5" hidden="1">'июль 2023'!$D$1:$D$103</definedName>
    <definedName name="_xlnm._FilterDatabase" localSheetId="6" hidden="1">'июнь 2023'!$D$1:$D$99</definedName>
    <definedName name="_xlnm._FilterDatabase" localSheetId="7" hidden="1">'май 2023'!$D$1:$D$122</definedName>
    <definedName name="_xlnm._FilterDatabase" localSheetId="9" hidden="1">'март 2023'!$D$1:$D$126</definedName>
    <definedName name="_xlnm._FilterDatabase" localSheetId="1" hidden="1">'ноябрь 2023'!$D$1:$D$102</definedName>
    <definedName name="_xlnm._FilterDatabase" localSheetId="2" hidden="1">'октябрь 2023'!$D$1:$D$116</definedName>
    <definedName name="_xlnm._FilterDatabase" localSheetId="3" hidden="1">'сентябрь 2023'!$D$1:$D$63</definedName>
    <definedName name="_xlnm._FilterDatabase" localSheetId="10" hidden="1">'февраль 2023'!$D$1:$D$112</definedName>
    <definedName name="_xlnm._FilterDatabase" localSheetId="11" hidden="1">'январь 2023'!$D$1:$D$113</definedName>
    <definedName name="_xlnm.Print_Area" localSheetId="4">'август 2023'!$A$1:$R$91</definedName>
    <definedName name="_xlnm.Print_Area" localSheetId="8">'апрель 2023'!$A$1:$R$106</definedName>
    <definedName name="_xlnm.Print_Area" localSheetId="0">'декабрь 2023'!$A$1:$R$73</definedName>
    <definedName name="_xlnm.Print_Area" localSheetId="5">'июль 2023'!$A$1:$R$97</definedName>
    <definedName name="_xlnm.Print_Area" localSheetId="6">'июнь 2023'!$A$1:$R$93</definedName>
    <definedName name="_xlnm.Print_Area" localSheetId="7">'май 2023'!$A$1:$R$115</definedName>
    <definedName name="_xlnm.Print_Area" localSheetId="9">'март 2023'!$A$1:$R$120</definedName>
    <definedName name="_xlnm.Print_Area" localSheetId="1">'ноябрь 2023'!$A$1:$R$96</definedName>
    <definedName name="_xlnm.Print_Area" localSheetId="2">'октябрь 2023'!$A$1:$R$117</definedName>
    <definedName name="_xlnm.Print_Area" localSheetId="3">'сентябрь 2023'!$A$1:$R$57</definedName>
    <definedName name="_xlnm.Print_Area" localSheetId="10">'февраль 2023'!$A$1:$R$106</definedName>
    <definedName name="_xlnm.Print_Area" localSheetId="11">'январь 2023'!$A$1:$R$104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27" l="1"/>
  <c r="D21" i="27"/>
  <c r="D18" i="27"/>
  <c r="D1" i="27"/>
  <c r="D27" i="27" s="1"/>
  <c r="D70" i="26"/>
  <c r="D61" i="26"/>
  <c r="D49" i="26"/>
  <c r="D46" i="26"/>
  <c r="D43" i="26"/>
  <c r="D40" i="26"/>
  <c r="D37" i="26"/>
  <c r="D34" i="26"/>
  <c r="D31" i="26"/>
  <c r="D28" i="26"/>
  <c r="D25" i="26"/>
  <c r="D22" i="26"/>
  <c r="D19" i="26"/>
  <c r="D16" i="26"/>
  <c r="D13" i="26"/>
  <c r="D10" i="26"/>
  <c r="D7" i="26"/>
  <c r="D4" i="26"/>
  <c r="D1" i="26"/>
  <c r="D104" i="25"/>
  <c r="D83" i="25"/>
  <c r="D8" i="25"/>
  <c r="D5" i="25"/>
  <c r="E1" i="25"/>
  <c r="D1" i="25"/>
  <c r="D120" i="24"/>
  <c r="D45" i="24"/>
  <c r="D36" i="24"/>
  <c r="E28" i="24"/>
  <c r="D28" i="24"/>
  <c r="D27" i="24"/>
  <c r="D25" i="24"/>
  <c r="D24" i="24"/>
  <c r="D22" i="24"/>
  <c r="D21" i="24"/>
  <c r="D19" i="24"/>
  <c r="D18" i="24"/>
  <c r="D16" i="24"/>
  <c r="D15" i="24"/>
  <c r="E13" i="24"/>
  <c r="D13" i="24"/>
  <c r="D12" i="24"/>
  <c r="D10" i="24"/>
  <c r="D9" i="24"/>
  <c r="D7" i="24"/>
  <c r="D6" i="24"/>
  <c r="E4" i="24"/>
  <c r="D4" i="24"/>
  <c r="D3" i="24"/>
  <c r="E1" i="24"/>
  <c r="D1" i="24"/>
  <c r="D26" i="24" s="1"/>
  <c r="D149" i="23"/>
  <c r="D51" i="23"/>
  <c r="D47" i="23"/>
  <c r="D44" i="23"/>
  <c r="D41" i="23"/>
  <c r="D38" i="23"/>
  <c r="D35" i="23"/>
  <c r="D32" i="23"/>
  <c r="D29" i="23"/>
  <c r="D26" i="23"/>
  <c r="D23" i="23"/>
  <c r="D20" i="23"/>
  <c r="D17" i="23"/>
  <c r="D14" i="23"/>
  <c r="D11" i="23"/>
  <c r="D8" i="23"/>
  <c r="D5" i="23"/>
  <c r="D1" i="23"/>
  <c r="F168" i="22"/>
  <c r="F141" i="22"/>
  <c r="E113" i="22"/>
  <c r="E104" i="22"/>
  <c r="E95" i="22"/>
  <c r="E86" i="22"/>
  <c r="E77" i="22"/>
  <c r="E68" i="22"/>
  <c r="E59" i="22"/>
  <c r="E50" i="22"/>
  <c r="E41" i="22"/>
  <c r="E32" i="22"/>
  <c r="E23" i="22"/>
  <c r="D19" i="22"/>
  <c r="E14" i="22"/>
  <c r="D11" i="22"/>
  <c r="D10" i="22"/>
  <c r="F9" i="22"/>
  <c r="D8" i="22"/>
  <c r="D7" i="22"/>
  <c r="F6" i="22"/>
  <c r="D5" i="22"/>
  <c r="D4" i="22"/>
  <c r="F3" i="22"/>
  <c r="G1" i="22"/>
  <c r="G11" i="22" s="1"/>
  <c r="F1" i="22"/>
  <c r="F177" i="22" s="1"/>
  <c r="E1" i="22"/>
  <c r="E111" i="22" s="1"/>
  <c r="D1" i="22"/>
  <c r="D112" i="22" s="1"/>
  <c r="D133" i="21"/>
  <c r="D131" i="21"/>
  <c r="D111" i="21"/>
  <c r="D110" i="21"/>
  <c r="D108" i="21"/>
  <c r="D107" i="21"/>
  <c r="D105" i="21"/>
  <c r="D104" i="21"/>
  <c r="D102" i="21"/>
  <c r="D101" i="21"/>
  <c r="D99" i="21"/>
  <c r="D98" i="21"/>
  <c r="D96" i="21"/>
  <c r="D95" i="21"/>
  <c r="D93" i="21"/>
  <c r="D92" i="21"/>
  <c r="D90" i="21"/>
  <c r="D89" i="21"/>
  <c r="D87" i="21"/>
  <c r="D86" i="21"/>
  <c r="D84" i="21"/>
  <c r="D83" i="21"/>
  <c r="D81" i="21"/>
  <c r="D80" i="21"/>
  <c r="D78" i="21"/>
  <c r="D77" i="21"/>
  <c r="D75" i="21"/>
  <c r="D74" i="21"/>
  <c r="D72" i="21"/>
  <c r="D71" i="21"/>
  <c r="D69" i="21"/>
  <c r="D68" i="21"/>
  <c r="D66" i="21"/>
  <c r="D65" i="21"/>
  <c r="D63" i="21"/>
  <c r="D62" i="21"/>
  <c r="D60" i="21"/>
  <c r="D59" i="21"/>
  <c r="D57" i="21"/>
  <c r="D56" i="21"/>
  <c r="D54" i="21"/>
  <c r="D53" i="21"/>
  <c r="D51" i="21"/>
  <c r="D49" i="21"/>
  <c r="D45" i="21"/>
  <c r="D44" i="21"/>
  <c r="D41" i="21"/>
  <c r="D40" i="21"/>
  <c r="D36" i="21"/>
  <c r="D35" i="21"/>
  <c r="D32" i="21"/>
  <c r="D31" i="21"/>
  <c r="D27" i="21"/>
  <c r="D26" i="21"/>
  <c r="D23" i="21"/>
  <c r="D22" i="21"/>
  <c r="D19" i="21"/>
  <c r="D18" i="21"/>
  <c r="D17" i="21"/>
  <c r="D16" i="21"/>
  <c r="D13" i="21"/>
  <c r="D10" i="21"/>
  <c r="D7" i="21"/>
  <c r="D4" i="21"/>
  <c r="D1" i="21"/>
  <c r="D52" i="21" s="1"/>
  <c r="E187" i="20"/>
  <c r="E174" i="20"/>
  <c r="E157" i="20"/>
  <c r="E150" i="20"/>
  <c r="E149" i="20"/>
  <c r="E143" i="20"/>
  <c r="E132" i="20"/>
  <c r="D92" i="20"/>
  <c r="E90" i="20"/>
  <c r="E82" i="20"/>
  <c r="E73" i="20"/>
  <c r="D58" i="20"/>
  <c r="D54" i="20"/>
  <c r="E53" i="20"/>
  <c r="D49" i="20"/>
  <c r="D45" i="20"/>
  <c r="E44" i="20"/>
  <c r="E43" i="20"/>
  <c r="D40" i="20"/>
  <c r="E37" i="20"/>
  <c r="D35" i="20"/>
  <c r="E34" i="20"/>
  <c r="D32" i="20"/>
  <c r="E31" i="20"/>
  <c r="D29" i="20"/>
  <c r="E28" i="20"/>
  <c r="D26" i="20"/>
  <c r="E25" i="20"/>
  <c r="D23" i="20"/>
  <c r="E22" i="20"/>
  <c r="D20" i="20"/>
  <c r="E19" i="20"/>
  <c r="D17" i="20"/>
  <c r="E16" i="20"/>
  <c r="D14" i="20"/>
  <c r="E13" i="20"/>
  <c r="D11" i="20"/>
  <c r="E10" i="20"/>
  <c r="D8" i="20"/>
  <c r="E7" i="20"/>
  <c r="D5" i="20"/>
  <c r="E4" i="20"/>
  <c r="E3" i="20"/>
  <c r="D3" i="20"/>
  <c r="F1" i="20"/>
  <c r="E1" i="20"/>
  <c r="E181" i="20" s="1"/>
  <c r="D1" i="20"/>
  <c r="D119" i="20" s="1"/>
  <c r="D190" i="19"/>
  <c r="D172" i="19"/>
  <c r="D171" i="19"/>
  <c r="D163" i="19"/>
  <c r="D162" i="19"/>
  <c r="D154" i="19"/>
  <c r="D153" i="19"/>
  <c r="D145" i="19"/>
  <c r="D144" i="19"/>
  <c r="D139" i="19"/>
  <c r="D129" i="19"/>
  <c r="D120" i="19"/>
  <c r="D119" i="19"/>
  <c r="D111" i="19"/>
  <c r="D110" i="19"/>
  <c r="D102" i="19"/>
  <c r="D101" i="19"/>
  <c r="D93" i="19"/>
  <c r="D92" i="19"/>
  <c r="D84" i="19"/>
  <c r="D83" i="19"/>
  <c r="D75" i="19"/>
  <c r="D74" i="19"/>
  <c r="D66" i="19"/>
  <c r="D62" i="19"/>
  <c r="D59" i="19"/>
  <c r="D57" i="19"/>
  <c r="D53" i="19"/>
  <c r="D50" i="19"/>
  <c r="D48" i="19"/>
  <c r="D44" i="19"/>
  <c r="D41" i="19"/>
  <c r="D39" i="19"/>
  <c r="D38" i="19"/>
  <c r="D35" i="19"/>
  <c r="D33" i="19"/>
  <c r="D32" i="19"/>
  <c r="D30" i="19"/>
  <c r="D29" i="19"/>
  <c r="D26" i="19"/>
  <c r="D24" i="19"/>
  <c r="D23" i="19"/>
  <c r="D21" i="19"/>
  <c r="D20" i="19"/>
  <c r="D17" i="19"/>
  <c r="D15" i="19"/>
  <c r="D14" i="19"/>
  <c r="D12" i="19"/>
  <c r="D11" i="19"/>
  <c r="D8" i="19"/>
  <c r="D6" i="19"/>
  <c r="D5" i="19"/>
  <c r="D3" i="19"/>
  <c r="D1" i="19"/>
  <c r="D189" i="19" s="1"/>
  <c r="D191" i="18"/>
  <c r="D181" i="18"/>
  <c r="D160" i="18"/>
  <c r="D141" i="18"/>
  <c r="D133" i="18"/>
  <c r="D118" i="18"/>
  <c r="D105" i="18"/>
  <c r="D104" i="18"/>
  <c r="D95" i="18"/>
  <c r="D86" i="18"/>
  <c r="D75" i="18"/>
  <c r="D74" i="18"/>
  <c r="D70" i="18"/>
  <c r="D60" i="18"/>
  <c r="D33" i="18"/>
  <c r="D1" i="18"/>
  <c r="D145" i="18" s="1"/>
  <c r="D192" i="17"/>
  <c r="F188" i="17"/>
  <c r="E184" i="17"/>
  <c r="F183" i="17"/>
  <c r="F182" i="17"/>
  <c r="D180" i="17"/>
  <c r="F179" i="17"/>
  <c r="D179" i="17"/>
  <c r="E178" i="17"/>
  <c r="F174" i="17"/>
  <c r="D173" i="17"/>
  <c r="D172" i="17"/>
  <c r="D169" i="17"/>
  <c r="F165" i="17"/>
  <c r="D164" i="17"/>
  <c r="D163" i="17"/>
  <c r="D160" i="17"/>
  <c r="F156" i="17"/>
  <c r="D155" i="17"/>
  <c r="D154" i="17"/>
  <c r="D151" i="17"/>
  <c r="D148" i="17"/>
  <c r="D145" i="17"/>
  <c r="F137" i="17"/>
  <c r="D136" i="17"/>
  <c r="D135" i="17"/>
  <c r="E132" i="17"/>
  <c r="F130" i="17"/>
  <c r="E127" i="17"/>
  <c r="D126" i="17"/>
  <c r="F125" i="17"/>
  <c r="D125" i="17"/>
  <c r="D123" i="17"/>
  <c r="F122" i="17"/>
  <c r="E121" i="17"/>
  <c r="F120" i="17"/>
  <c r="E118" i="17"/>
  <c r="D117" i="17"/>
  <c r="F116" i="17"/>
  <c r="D116" i="17"/>
  <c r="D114" i="17"/>
  <c r="F113" i="17"/>
  <c r="E112" i="17"/>
  <c r="F111" i="17"/>
  <c r="E109" i="17"/>
  <c r="D108" i="17"/>
  <c r="F107" i="17"/>
  <c r="D107" i="17"/>
  <c r="D105" i="17"/>
  <c r="F104" i="17"/>
  <c r="E103" i="17"/>
  <c r="F102" i="17"/>
  <c r="E100" i="17"/>
  <c r="D99" i="17"/>
  <c r="F98" i="17"/>
  <c r="D98" i="17"/>
  <c r="D96" i="17"/>
  <c r="F95" i="17"/>
  <c r="G94" i="17"/>
  <c r="E94" i="17"/>
  <c r="D93" i="17"/>
  <c r="E92" i="17"/>
  <c r="D90" i="17"/>
  <c r="D89" i="17"/>
  <c r="F88" i="17"/>
  <c r="D87" i="17"/>
  <c r="D86" i="17"/>
  <c r="F85" i="17"/>
  <c r="D84" i="17"/>
  <c r="D83" i="17"/>
  <c r="F82" i="17"/>
  <c r="D81" i="17"/>
  <c r="D80" i="17"/>
  <c r="F79" i="17"/>
  <c r="D78" i="17"/>
  <c r="D77" i="17"/>
  <c r="F76" i="17"/>
  <c r="D75" i="17"/>
  <c r="D74" i="17"/>
  <c r="F73" i="17"/>
  <c r="D72" i="17"/>
  <c r="D71" i="17"/>
  <c r="F70" i="17"/>
  <c r="D69" i="17"/>
  <c r="E67" i="17"/>
  <c r="E64" i="17"/>
  <c r="E61" i="17"/>
  <c r="E58" i="17"/>
  <c r="E55" i="17"/>
  <c r="E52" i="17"/>
  <c r="E49" i="17"/>
  <c r="E46" i="17"/>
  <c r="E43" i="17"/>
  <c r="E40" i="17"/>
  <c r="E37" i="17"/>
  <c r="E34" i="17"/>
  <c r="E31" i="17"/>
  <c r="E28" i="17"/>
  <c r="E25" i="17"/>
  <c r="E22" i="17"/>
  <c r="E21" i="17"/>
  <c r="E19" i="17"/>
  <c r="E18" i="17"/>
  <c r="E16" i="17"/>
  <c r="E15" i="17"/>
  <c r="E13" i="17"/>
  <c r="E12" i="17"/>
  <c r="E10" i="17"/>
  <c r="E9" i="17"/>
  <c r="E7" i="17"/>
  <c r="E6" i="17"/>
  <c r="E4" i="17"/>
  <c r="D4" i="17"/>
  <c r="E3" i="17"/>
  <c r="G1" i="17"/>
  <c r="F1" i="17"/>
  <c r="F134" i="17" s="1"/>
  <c r="E1" i="17"/>
  <c r="E175" i="17" s="1"/>
  <c r="D1" i="17"/>
  <c r="D175" i="17" s="1"/>
  <c r="D193" i="16"/>
  <c r="D192" i="16"/>
  <c r="D189" i="16"/>
  <c r="D187" i="16"/>
  <c r="D186" i="16"/>
  <c r="D184" i="16"/>
  <c r="D183" i="16"/>
  <c r="D180" i="16"/>
  <c r="D178" i="16"/>
  <c r="D175" i="16"/>
  <c r="E174" i="16"/>
  <c r="D174" i="16"/>
  <c r="D172" i="16"/>
  <c r="D171" i="16"/>
  <c r="D169" i="16"/>
  <c r="D168" i="16"/>
  <c r="D166" i="16"/>
  <c r="E165" i="16"/>
  <c r="D165" i="16"/>
  <c r="D163" i="16"/>
  <c r="D162" i="16"/>
  <c r="D160" i="16"/>
  <c r="D159" i="16"/>
  <c r="D157" i="16"/>
  <c r="E156" i="16"/>
  <c r="D156" i="16"/>
  <c r="D154" i="16"/>
  <c r="D153" i="16"/>
  <c r="D151" i="16"/>
  <c r="D150" i="16"/>
  <c r="D148" i="16"/>
  <c r="E147" i="16"/>
  <c r="D147" i="16"/>
  <c r="D145" i="16"/>
  <c r="D144" i="16"/>
  <c r="D143" i="16"/>
  <c r="D142" i="16"/>
  <c r="D141" i="16"/>
  <c r="D140" i="16"/>
  <c r="D138" i="16"/>
  <c r="D137" i="16"/>
  <c r="D136" i="16"/>
  <c r="E135" i="16"/>
  <c r="D135" i="16"/>
  <c r="E134" i="16"/>
  <c r="D134" i="16"/>
  <c r="D133" i="16"/>
  <c r="E132" i="16"/>
  <c r="D132" i="16"/>
  <c r="E131" i="16"/>
  <c r="D131" i="16"/>
  <c r="D130" i="16"/>
  <c r="D129" i="16"/>
  <c r="D128" i="16"/>
  <c r="E126" i="16"/>
  <c r="D126" i="16"/>
  <c r="D125" i="16"/>
  <c r="E124" i="16"/>
  <c r="E123" i="16"/>
  <c r="D123" i="16"/>
  <c r="D122" i="16"/>
  <c r="E121" i="16"/>
  <c r="E120" i="16"/>
  <c r="D120" i="16"/>
  <c r="D119" i="16"/>
  <c r="E118" i="16"/>
  <c r="E117" i="16"/>
  <c r="D117" i="16"/>
  <c r="E116" i="16"/>
  <c r="D116" i="16"/>
  <c r="E115" i="16"/>
  <c r="E114" i="16"/>
  <c r="D114" i="16"/>
  <c r="D113" i="16"/>
  <c r="E112" i="16"/>
  <c r="E111" i="16"/>
  <c r="D111" i="16"/>
  <c r="D110" i="16"/>
  <c r="E109" i="16"/>
  <c r="E108" i="16"/>
  <c r="D108" i="16"/>
  <c r="E107" i="16"/>
  <c r="D107" i="16"/>
  <c r="E106" i="16"/>
  <c r="E105" i="16"/>
  <c r="D105" i="16"/>
  <c r="D104" i="16"/>
  <c r="E103" i="16"/>
  <c r="E102" i="16"/>
  <c r="D102" i="16"/>
  <c r="D101" i="16"/>
  <c r="E100" i="16"/>
  <c r="E99" i="16"/>
  <c r="D99" i="16"/>
  <c r="E98" i="16"/>
  <c r="D98" i="16"/>
  <c r="E97" i="16"/>
  <c r="E96" i="16"/>
  <c r="D96" i="16"/>
  <c r="D95" i="16"/>
  <c r="E94" i="16"/>
  <c r="E93" i="16"/>
  <c r="D93" i="16"/>
  <c r="D92" i="16"/>
  <c r="E91" i="16"/>
  <c r="E90" i="16"/>
  <c r="D90" i="16"/>
  <c r="E89" i="16"/>
  <c r="D89" i="16"/>
  <c r="E88" i="16"/>
  <c r="E87" i="16"/>
  <c r="D87" i="16"/>
  <c r="D86" i="16"/>
  <c r="E85" i="16"/>
  <c r="E84" i="16"/>
  <c r="D84" i="16"/>
  <c r="D83" i="16"/>
  <c r="E82" i="16"/>
  <c r="E81" i="16"/>
  <c r="D81" i="16"/>
  <c r="E80" i="16"/>
  <c r="D80" i="16"/>
  <c r="E79" i="16"/>
  <c r="E78" i="16"/>
  <c r="D78" i="16"/>
  <c r="E77" i="16"/>
  <c r="D77" i="16"/>
  <c r="E76" i="16"/>
  <c r="E75" i="16"/>
  <c r="D75" i="16"/>
  <c r="D74" i="16"/>
  <c r="E73" i="16"/>
  <c r="E72" i="16"/>
  <c r="D72" i="16"/>
  <c r="E71" i="16"/>
  <c r="D71" i="16"/>
  <c r="E70" i="16"/>
  <c r="E69" i="16"/>
  <c r="D69" i="16"/>
  <c r="D68" i="16"/>
  <c r="E67" i="16"/>
  <c r="D67" i="16"/>
  <c r="D66" i="16"/>
  <c r="D65" i="16"/>
  <c r="E64" i="16"/>
  <c r="D64" i="16"/>
  <c r="D63" i="16"/>
  <c r="D62" i="16"/>
  <c r="E61" i="16"/>
  <c r="D61" i="16"/>
  <c r="D60" i="16"/>
  <c r="D59" i="16"/>
  <c r="E58" i="16"/>
  <c r="D58" i="16"/>
  <c r="D57" i="16"/>
  <c r="D56" i="16"/>
  <c r="E55" i="16"/>
  <c r="D55" i="16"/>
  <c r="D54" i="16"/>
  <c r="D53" i="16"/>
  <c r="E52" i="16"/>
  <c r="D52" i="16"/>
  <c r="D51" i="16"/>
  <c r="D50" i="16"/>
  <c r="E49" i="16"/>
  <c r="D49" i="16"/>
  <c r="D48" i="16"/>
  <c r="D47" i="16"/>
  <c r="E46" i="16"/>
  <c r="D46" i="16"/>
  <c r="D45" i="16"/>
  <c r="D44" i="16"/>
  <c r="E43" i="16"/>
  <c r="D43" i="16"/>
  <c r="D42" i="16"/>
  <c r="D41" i="16"/>
  <c r="E40" i="16"/>
  <c r="D40" i="16"/>
  <c r="D39" i="16"/>
  <c r="D38" i="16"/>
  <c r="E37" i="16"/>
  <c r="D37" i="16"/>
  <c r="D36" i="16"/>
  <c r="D35" i="16"/>
  <c r="E34" i="16"/>
  <c r="D34" i="16"/>
  <c r="D33" i="16"/>
  <c r="D32" i="16"/>
  <c r="E31" i="16"/>
  <c r="D31" i="16"/>
  <c r="D30" i="16"/>
  <c r="D29" i="16"/>
  <c r="E28" i="16"/>
  <c r="D28" i="16"/>
  <c r="D27" i="16"/>
  <c r="D26" i="16"/>
  <c r="E25" i="16"/>
  <c r="D25" i="16"/>
  <c r="D24" i="16"/>
  <c r="D23" i="16"/>
  <c r="E22" i="16"/>
  <c r="D22" i="16"/>
  <c r="D21" i="16"/>
  <c r="D20" i="16"/>
  <c r="E19" i="16"/>
  <c r="D19" i="16"/>
  <c r="D18" i="16"/>
  <c r="D17" i="16"/>
  <c r="E16" i="16"/>
  <c r="D16" i="16"/>
  <c r="D15" i="16"/>
  <c r="D14" i="16"/>
  <c r="E13" i="16"/>
  <c r="D13" i="16"/>
  <c r="D12" i="16"/>
  <c r="D11" i="16"/>
  <c r="E10" i="16"/>
  <c r="D10" i="16"/>
  <c r="D9" i="16"/>
  <c r="D8" i="16"/>
  <c r="E7" i="16"/>
  <c r="D7" i="16"/>
  <c r="D6" i="16"/>
  <c r="D5" i="16"/>
  <c r="E4" i="16"/>
  <c r="D4" i="16"/>
  <c r="D3" i="16"/>
  <c r="E1" i="16"/>
  <c r="D1" i="16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B112" i="12"/>
  <c r="B111" i="12"/>
  <c r="B110" i="12"/>
  <c r="U108" i="12"/>
  <c r="B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4" i="12"/>
  <c r="B111" i="11"/>
  <c r="B110" i="11"/>
  <c r="B109" i="11"/>
  <c r="U107" i="11"/>
  <c r="B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B125" i="10"/>
  <c r="B124" i="10"/>
  <c r="B123" i="10"/>
  <c r="B122" i="10" s="1"/>
  <c r="U121" i="10"/>
  <c r="T120" i="10"/>
  <c r="T119" i="10"/>
  <c r="T118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9" i="10"/>
  <c r="T98" i="10"/>
  <c r="T97" i="10"/>
  <c r="T96" i="10"/>
  <c r="T95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6" i="10"/>
  <c r="T75" i="10"/>
  <c r="F74" i="10"/>
  <c r="T74" i="10" s="1"/>
  <c r="F73" i="10"/>
  <c r="T73" i="10" s="1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F60" i="10"/>
  <c r="F59" i="10"/>
  <c r="T59" i="10" s="1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B111" i="9"/>
  <c r="B110" i="9"/>
  <c r="B109" i="9"/>
  <c r="B107" i="9"/>
  <c r="T106" i="9"/>
  <c r="T105" i="9"/>
  <c r="T104" i="9"/>
  <c r="T103" i="9"/>
  <c r="T102" i="9"/>
  <c r="T101" i="9"/>
  <c r="T100" i="9"/>
  <c r="T99" i="9"/>
  <c r="T98" i="9"/>
  <c r="T97" i="9"/>
  <c r="T96" i="9"/>
  <c r="T95" i="9"/>
  <c r="T94" i="9"/>
  <c r="T93" i="9"/>
  <c r="T92" i="9"/>
  <c r="T91" i="9"/>
  <c r="T90" i="9"/>
  <c r="T89" i="9"/>
  <c r="T88" i="9"/>
  <c r="T87" i="9"/>
  <c r="T86" i="9"/>
  <c r="T85" i="9"/>
  <c r="T84" i="9"/>
  <c r="T83" i="9"/>
  <c r="T82" i="9"/>
  <c r="T81" i="9"/>
  <c r="T80" i="9"/>
  <c r="T79" i="9"/>
  <c r="T78" i="9"/>
  <c r="T77" i="9"/>
  <c r="T76" i="9"/>
  <c r="T75" i="9"/>
  <c r="T74" i="9"/>
  <c r="T73" i="9"/>
  <c r="T72" i="9"/>
  <c r="T71" i="9"/>
  <c r="T70" i="9"/>
  <c r="T69" i="9"/>
  <c r="T68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B121" i="8"/>
  <c r="B120" i="8"/>
  <c r="B119" i="8"/>
  <c r="B117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B98" i="7"/>
  <c r="B97" i="7"/>
  <c r="B96" i="7"/>
  <c r="B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B102" i="6"/>
  <c r="B101" i="6"/>
  <c r="B100" i="6"/>
  <c r="B99" i="6" s="1"/>
  <c r="B103" i="6" s="1"/>
  <c r="B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B96" i="5"/>
  <c r="B95" i="5"/>
  <c r="B94" i="5"/>
  <c r="B93" i="5" s="1"/>
  <c r="B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B62" i="4"/>
  <c r="B61" i="4"/>
  <c r="B60" i="4"/>
  <c r="B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B121" i="3"/>
  <c r="T116" i="3"/>
  <c r="F115" i="3"/>
  <c r="T115" i="3" s="1"/>
  <c r="T114" i="3"/>
  <c r="T113" i="3"/>
  <c r="T112" i="3"/>
  <c r="T111" i="3"/>
  <c r="T110" i="3"/>
  <c r="Q110" i="3"/>
  <c r="T109" i="3"/>
  <c r="O109" i="3"/>
  <c r="T108" i="3"/>
  <c r="O108" i="3"/>
  <c r="T107" i="3"/>
  <c r="O107" i="3"/>
  <c r="T106" i="3"/>
  <c r="O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2" i="3"/>
  <c r="F91" i="3"/>
  <c r="T91" i="3" s="1"/>
  <c r="F90" i="3"/>
  <c r="T90" i="3" s="1"/>
  <c r="T88" i="3"/>
  <c r="T87" i="3"/>
  <c r="T86" i="3"/>
  <c r="T85" i="3"/>
  <c r="T84" i="3"/>
  <c r="T83" i="3"/>
  <c r="T82" i="3"/>
  <c r="T81" i="3"/>
  <c r="T80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B101" i="2"/>
  <c r="B100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F4" i="2"/>
  <c r="T4" i="2" s="1"/>
  <c r="B78" i="1"/>
  <c r="B77" i="1"/>
  <c r="B76" i="1"/>
  <c r="B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B108" i="11" l="1"/>
  <c r="B112" i="11" s="1"/>
  <c r="B109" i="12"/>
  <c r="B113" i="12" s="1"/>
  <c r="B108" i="9"/>
  <c r="B95" i="7"/>
  <c r="T98" i="6"/>
  <c r="B97" i="5"/>
  <c r="B59" i="4"/>
  <c r="B120" i="3"/>
  <c r="T74" i="1"/>
  <c r="B75" i="1"/>
  <c r="B79" i="1" s="1"/>
  <c r="T97" i="2"/>
  <c r="B97" i="2"/>
  <c r="O4" i="2"/>
  <c r="B99" i="2" s="1"/>
  <c r="B98" i="2" s="1"/>
  <c r="T118" i="3"/>
  <c r="B63" i="4"/>
  <c r="T92" i="5"/>
  <c r="B99" i="7"/>
  <c r="T94" i="7"/>
  <c r="T117" i="8"/>
  <c r="B118" i="8"/>
  <c r="B122" i="8" s="1"/>
  <c r="B112" i="9"/>
  <c r="T107" i="9"/>
  <c r="T107" i="11"/>
  <c r="T108" i="12"/>
  <c r="E193" i="16"/>
  <c r="E190" i="16"/>
  <c r="E187" i="16"/>
  <c r="E184" i="16"/>
  <c r="E181" i="16"/>
  <c r="E178" i="16"/>
  <c r="E191" i="16"/>
  <c r="E188" i="16"/>
  <c r="E185" i="16"/>
  <c r="E182" i="16"/>
  <c r="E179" i="16"/>
  <c r="E192" i="16"/>
  <c r="E189" i="16"/>
  <c r="E186" i="16"/>
  <c r="E183" i="16"/>
  <c r="E180" i="16"/>
  <c r="E177" i="16"/>
  <c r="E142" i="16"/>
  <c r="E66" i="16"/>
  <c r="E63" i="16"/>
  <c r="E60" i="16"/>
  <c r="E57" i="16"/>
  <c r="E54" i="16"/>
  <c r="E51" i="16"/>
  <c r="E48" i="16"/>
  <c r="E45" i="16"/>
  <c r="E42" i="16"/>
  <c r="E39" i="16"/>
  <c r="E36" i="16"/>
  <c r="E33" i="16"/>
  <c r="E30" i="16"/>
  <c r="E27" i="16"/>
  <c r="E24" i="16"/>
  <c r="E21" i="16"/>
  <c r="E18" i="16"/>
  <c r="E15" i="16"/>
  <c r="E12" i="16"/>
  <c r="E9" i="16"/>
  <c r="E6" i="16"/>
  <c r="E3" i="16"/>
  <c r="E137" i="16"/>
  <c r="E129" i="16"/>
  <c r="E175" i="16"/>
  <c r="E172" i="16"/>
  <c r="E169" i="16"/>
  <c r="E166" i="16"/>
  <c r="E163" i="16"/>
  <c r="E160" i="16"/>
  <c r="E157" i="16"/>
  <c r="E154" i="16"/>
  <c r="E151" i="16"/>
  <c r="E148" i="16"/>
  <c r="E145" i="16"/>
  <c r="E143" i="16"/>
  <c r="E140" i="16"/>
  <c r="E138" i="16"/>
  <c r="E133" i="16"/>
  <c r="E130" i="16"/>
  <c r="F1" i="16"/>
  <c r="E141" i="16"/>
  <c r="E136" i="16"/>
  <c r="E68" i="16"/>
  <c r="E65" i="16"/>
  <c r="E62" i="16"/>
  <c r="E59" i="16"/>
  <c r="E56" i="16"/>
  <c r="E53" i="16"/>
  <c r="E50" i="16"/>
  <c r="E47" i="16"/>
  <c r="E44" i="16"/>
  <c r="E41" i="16"/>
  <c r="E38" i="16"/>
  <c r="E35" i="16"/>
  <c r="E32" i="16"/>
  <c r="E29" i="16"/>
  <c r="E26" i="16"/>
  <c r="E23" i="16"/>
  <c r="E20" i="16"/>
  <c r="E17" i="16"/>
  <c r="E14" i="16"/>
  <c r="E11" i="16"/>
  <c r="E8" i="16"/>
  <c r="E5" i="16"/>
  <c r="E74" i="16"/>
  <c r="E83" i="16"/>
  <c r="E92" i="16"/>
  <c r="E101" i="16"/>
  <c r="E110" i="16"/>
  <c r="E119" i="16"/>
  <c r="E127" i="16"/>
  <c r="E149" i="16"/>
  <c r="E158" i="16"/>
  <c r="E167" i="16"/>
  <c r="E176" i="16"/>
  <c r="B121" i="10"/>
  <c r="B126" i="10" s="1"/>
  <c r="Q115" i="3"/>
  <c r="B122" i="3" s="1"/>
  <c r="B119" i="3" s="1"/>
  <c r="E144" i="16"/>
  <c r="E153" i="16"/>
  <c r="E162" i="16"/>
  <c r="E171" i="16"/>
  <c r="G190" i="17"/>
  <c r="G187" i="17"/>
  <c r="G184" i="17"/>
  <c r="G181" i="17"/>
  <c r="G178" i="17"/>
  <c r="G175" i="17"/>
  <c r="G172" i="17"/>
  <c r="G169" i="17"/>
  <c r="G166" i="17"/>
  <c r="G163" i="17"/>
  <c r="G160" i="17"/>
  <c r="G157" i="17"/>
  <c r="G154" i="17"/>
  <c r="G151" i="17"/>
  <c r="G191" i="17"/>
  <c r="G188" i="17"/>
  <c r="G185" i="17"/>
  <c r="G182" i="17"/>
  <c r="G179" i="17"/>
  <c r="G176" i="17"/>
  <c r="G173" i="17"/>
  <c r="G170" i="17"/>
  <c r="G167" i="17"/>
  <c r="G164" i="17"/>
  <c r="G161" i="17"/>
  <c r="G158" i="17"/>
  <c r="G155" i="17"/>
  <c r="G152" i="17"/>
  <c r="G149" i="17"/>
  <c r="G146" i="17"/>
  <c r="G143" i="17"/>
  <c r="G127" i="17"/>
  <c r="G124" i="17"/>
  <c r="G121" i="17"/>
  <c r="G118" i="17"/>
  <c r="G115" i="17"/>
  <c r="G112" i="17"/>
  <c r="G109" i="17"/>
  <c r="G106" i="17"/>
  <c r="G103" i="17"/>
  <c r="G100" i="17"/>
  <c r="G97" i="17"/>
  <c r="G189" i="17"/>
  <c r="G180" i="17"/>
  <c r="G141" i="17"/>
  <c r="G147" i="17"/>
  <c r="G144" i="17"/>
  <c r="G136" i="17"/>
  <c r="G128" i="17"/>
  <c r="G125" i="17"/>
  <c r="G122" i="17"/>
  <c r="G119" i="17"/>
  <c r="G116" i="17"/>
  <c r="G113" i="17"/>
  <c r="G110" i="17"/>
  <c r="G107" i="17"/>
  <c r="G104" i="17"/>
  <c r="G101" i="17"/>
  <c r="G98" i="17"/>
  <c r="G95" i="17"/>
  <c r="G92" i="17"/>
  <c r="G183" i="17"/>
  <c r="G174" i="17"/>
  <c r="G165" i="17"/>
  <c r="G156" i="17"/>
  <c r="G120" i="17"/>
  <c r="G111" i="17"/>
  <c r="G102" i="17"/>
  <c r="G88" i="17"/>
  <c r="G85" i="17"/>
  <c r="G82" i="17"/>
  <c r="G79" i="17"/>
  <c r="G76" i="17"/>
  <c r="G73" i="17"/>
  <c r="G70" i="17"/>
  <c r="G134" i="17"/>
  <c r="G133" i="17"/>
  <c r="G91" i="17"/>
  <c r="G68" i="17"/>
  <c r="G65" i="17"/>
  <c r="G62" i="17"/>
  <c r="G59" i="17"/>
  <c r="G56" i="17"/>
  <c r="G53" i="17"/>
  <c r="G50" i="17"/>
  <c r="G47" i="17"/>
  <c r="G44" i="17"/>
  <c r="G41" i="17"/>
  <c r="G38" i="17"/>
  <c r="G35" i="17"/>
  <c r="G32" i="17"/>
  <c r="G29" i="17"/>
  <c r="G26" i="17"/>
  <c r="G23" i="17"/>
  <c r="G20" i="17"/>
  <c r="G17" i="17"/>
  <c r="G14" i="17"/>
  <c r="G11" i="17"/>
  <c r="G8" i="17"/>
  <c r="G5" i="17"/>
  <c r="G123" i="17"/>
  <c r="G114" i="17"/>
  <c r="G105" i="17"/>
  <c r="G96" i="17"/>
  <c r="G93" i="17"/>
  <c r="G89" i="17"/>
  <c r="G86" i="17"/>
  <c r="G83" i="17"/>
  <c r="G80" i="17"/>
  <c r="G77" i="17"/>
  <c r="G74" i="17"/>
  <c r="G71" i="17"/>
  <c r="G135" i="17"/>
  <c r="G132" i="17"/>
  <c r="G137" i="17"/>
  <c r="G192" i="17"/>
  <c r="G186" i="17"/>
  <c r="G148" i="17"/>
  <c r="G145" i="17"/>
  <c r="G140" i="17"/>
  <c r="G126" i="17"/>
  <c r="G117" i="17"/>
  <c r="G108" i="17"/>
  <c r="G99" i="17"/>
  <c r="G90" i="17"/>
  <c r="G87" i="17"/>
  <c r="G84" i="17"/>
  <c r="G81" i="17"/>
  <c r="G78" i="17"/>
  <c r="G75" i="17"/>
  <c r="G72" i="17"/>
  <c r="G69" i="17"/>
  <c r="G130" i="17"/>
  <c r="G162" i="17"/>
  <c r="G150" i="17"/>
  <c r="G18" i="17"/>
  <c r="G9" i="17"/>
  <c r="G19" i="17"/>
  <c r="G10" i="17"/>
  <c r="G171" i="17"/>
  <c r="G159" i="17"/>
  <c r="G139" i="17"/>
  <c r="G131" i="17"/>
  <c r="G66" i="17"/>
  <c r="G63" i="17"/>
  <c r="G60" i="17"/>
  <c r="G57" i="17"/>
  <c r="G54" i="17"/>
  <c r="G51" i="17"/>
  <c r="G48" i="17"/>
  <c r="G45" i="17"/>
  <c r="G42" i="17"/>
  <c r="G39" i="17"/>
  <c r="G36" i="17"/>
  <c r="G33" i="17"/>
  <c r="G30" i="17"/>
  <c r="G27" i="17"/>
  <c r="G24" i="17"/>
  <c r="G21" i="17"/>
  <c r="G12" i="17"/>
  <c r="G168" i="17"/>
  <c r="G129" i="17"/>
  <c r="G13" i="17"/>
  <c r="G4" i="17"/>
  <c r="G3" i="17"/>
  <c r="G67" i="17"/>
  <c r="G64" i="17"/>
  <c r="G61" i="17"/>
  <c r="G58" i="17"/>
  <c r="G55" i="17"/>
  <c r="G52" i="17"/>
  <c r="G49" i="17"/>
  <c r="G46" i="17"/>
  <c r="G43" i="17"/>
  <c r="G40" i="17"/>
  <c r="G37" i="17"/>
  <c r="G34" i="17"/>
  <c r="G31" i="17"/>
  <c r="G28" i="17"/>
  <c r="G25" i="17"/>
  <c r="G22" i="17"/>
  <c r="G15" i="17"/>
  <c r="G6" i="17"/>
  <c r="H1" i="17"/>
  <c r="G177" i="17"/>
  <c r="G153" i="17"/>
  <c r="G142" i="17"/>
  <c r="G138" i="17"/>
  <c r="G16" i="17"/>
  <c r="G7" i="17"/>
  <c r="E86" i="16"/>
  <c r="E95" i="16"/>
  <c r="E104" i="16"/>
  <c r="E113" i="16"/>
  <c r="E122" i="16"/>
  <c r="E146" i="16"/>
  <c r="E155" i="16"/>
  <c r="E164" i="16"/>
  <c r="E173" i="16"/>
  <c r="T58" i="4"/>
  <c r="B118" i="3"/>
  <c r="T121" i="10"/>
  <c r="E139" i="16"/>
  <c r="E128" i="16"/>
  <c r="E150" i="16"/>
  <c r="E159" i="16"/>
  <c r="E168" i="16"/>
  <c r="E125" i="16"/>
  <c r="E152" i="16"/>
  <c r="E161" i="16"/>
  <c r="E170" i="16"/>
  <c r="D191" i="16"/>
  <c r="D188" i="16"/>
  <c r="D185" i="16"/>
  <c r="D182" i="16"/>
  <c r="D179" i="16"/>
  <c r="D70" i="16"/>
  <c r="D73" i="16"/>
  <c r="D76" i="16"/>
  <c r="D79" i="16"/>
  <c r="D82" i="16"/>
  <c r="D85" i="16"/>
  <c r="D88" i="16"/>
  <c r="D91" i="16"/>
  <c r="D94" i="16"/>
  <c r="D97" i="16"/>
  <c r="D100" i="16"/>
  <c r="D103" i="16"/>
  <c r="D106" i="16"/>
  <c r="D109" i="16"/>
  <c r="D112" i="16"/>
  <c r="D115" i="16"/>
  <c r="D118" i="16"/>
  <c r="D121" i="16"/>
  <c r="D124" i="16"/>
  <c r="D127" i="16"/>
  <c r="D146" i="16"/>
  <c r="D149" i="16"/>
  <c r="D152" i="16"/>
  <c r="D155" i="16"/>
  <c r="D158" i="16"/>
  <c r="D161" i="16"/>
  <c r="D164" i="16"/>
  <c r="D167" i="16"/>
  <c r="D170" i="16"/>
  <c r="D173" i="16"/>
  <c r="D176" i="16"/>
  <c r="D177" i="16"/>
  <c r="D181" i="16"/>
  <c r="D190" i="16"/>
  <c r="D139" i="16"/>
  <c r="D3" i="17"/>
  <c r="D6" i="17"/>
  <c r="D9" i="17"/>
  <c r="D12" i="17"/>
  <c r="D15" i="17"/>
  <c r="D18" i="17"/>
  <c r="D21" i="17"/>
  <c r="D24" i="17"/>
  <c r="D27" i="17"/>
  <c r="D30" i="17"/>
  <c r="D33" i="17"/>
  <c r="D36" i="17"/>
  <c r="D39" i="17"/>
  <c r="D42" i="17"/>
  <c r="D45" i="17"/>
  <c r="D48" i="17"/>
  <c r="D51" i="17"/>
  <c r="D54" i="17"/>
  <c r="D57" i="17"/>
  <c r="D60" i="17"/>
  <c r="D63" i="17"/>
  <c r="D66" i="17"/>
  <c r="E69" i="17"/>
  <c r="E72" i="17"/>
  <c r="E75" i="17"/>
  <c r="E78" i="17"/>
  <c r="E81" i="17"/>
  <c r="E84" i="17"/>
  <c r="E87" i="17"/>
  <c r="E90" i="17"/>
  <c r="F92" i="17"/>
  <c r="E99" i="17"/>
  <c r="F103" i="17"/>
  <c r="E108" i="17"/>
  <c r="F112" i="17"/>
  <c r="E117" i="17"/>
  <c r="F121" i="17"/>
  <c r="E126" i="17"/>
  <c r="D131" i="17"/>
  <c r="D139" i="17"/>
  <c r="D140" i="17"/>
  <c r="D142" i="17"/>
  <c r="E143" i="17"/>
  <c r="D144" i="17"/>
  <c r="E145" i="17"/>
  <c r="E146" i="17"/>
  <c r="D147" i="17"/>
  <c r="E148" i="17"/>
  <c r="E149" i="17"/>
  <c r="D152" i="17"/>
  <c r="E155" i="17"/>
  <c r="E158" i="17"/>
  <c r="D161" i="17"/>
  <c r="E164" i="17"/>
  <c r="E167" i="17"/>
  <c r="D170" i="17"/>
  <c r="E173" i="17"/>
  <c r="E176" i="17"/>
  <c r="D186" i="17"/>
  <c r="E190" i="17"/>
  <c r="E192" i="17"/>
  <c r="D24" i="18"/>
  <c r="D78" i="18"/>
  <c r="D149" i="18"/>
  <c r="E24" i="17"/>
  <c r="E27" i="17"/>
  <c r="E30" i="17"/>
  <c r="E33" i="17"/>
  <c r="E36" i="17"/>
  <c r="E39" i="17"/>
  <c r="E42" i="17"/>
  <c r="E45" i="17"/>
  <c r="E48" i="17"/>
  <c r="E51" i="17"/>
  <c r="E54" i="17"/>
  <c r="E57" i="17"/>
  <c r="E60" i="17"/>
  <c r="E63" i="17"/>
  <c r="E66" i="17"/>
  <c r="F69" i="17"/>
  <c r="F72" i="17"/>
  <c r="F75" i="17"/>
  <c r="F78" i="17"/>
  <c r="F81" i="17"/>
  <c r="F84" i="17"/>
  <c r="F87" i="17"/>
  <c r="F90" i="17"/>
  <c r="D95" i="17"/>
  <c r="F99" i="17"/>
  <c r="D104" i="17"/>
  <c r="F108" i="17"/>
  <c r="D113" i="17"/>
  <c r="F117" i="17"/>
  <c r="D122" i="17"/>
  <c r="F126" i="17"/>
  <c r="E131" i="17"/>
  <c r="E139" i="17"/>
  <c r="E140" i="17"/>
  <c r="D141" i="17"/>
  <c r="E142" i="17"/>
  <c r="F143" i="17"/>
  <c r="E144" i="17"/>
  <c r="F145" i="17"/>
  <c r="F146" i="17"/>
  <c r="E147" i="17"/>
  <c r="F148" i="17"/>
  <c r="F149" i="17"/>
  <c r="E152" i="17"/>
  <c r="F155" i="17"/>
  <c r="F158" i="17"/>
  <c r="E161" i="17"/>
  <c r="F164" i="17"/>
  <c r="F167" i="17"/>
  <c r="E170" i="17"/>
  <c r="F173" i="17"/>
  <c r="F176" i="17"/>
  <c r="D182" i="17"/>
  <c r="F186" i="17"/>
  <c r="D188" i="17"/>
  <c r="F192" i="17"/>
  <c r="D51" i="18"/>
  <c r="D83" i="18"/>
  <c r="D92" i="18"/>
  <c r="D101" i="18"/>
  <c r="D113" i="18"/>
  <c r="D114" i="18"/>
  <c r="D127" i="18"/>
  <c r="F3" i="17"/>
  <c r="F6" i="17"/>
  <c r="F9" i="17"/>
  <c r="F12" i="17"/>
  <c r="F15" i="17"/>
  <c r="F18" i="17"/>
  <c r="F21" i="17"/>
  <c r="F24" i="17"/>
  <c r="F27" i="17"/>
  <c r="F30" i="17"/>
  <c r="F33" i="17"/>
  <c r="F36" i="17"/>
  <c r="F39" i="17"/>
  <c r="F42" i="17"/>
  <c r="F45" i="17"/>
  <c r="F48" i="17"/>
  <c r="F51" i="17"/>
  <c r="F54" i="17"/>
  <c r="F57" i="17"/>
  <c r="F60" i="17"/>
  <c r="F63" i="17"/>
  <c r="F66" i="17"/>
  <c r="E95" i="17"/>
  <c r="D100" i="17"/>
  <c r="E104" i="17"/>
  <c r="D109" i="17"/>
  <c r="E113" i="17"/>
  <c r="D118" i="17"/>
  <c r="E122" i="17"/>
  <c r="D127" i="17"/>
  <c r="F131" i="17"/>
  <c r="E137" i="17"/>
  <c r="D138" i="17"/>
  <c r="F139" i="17"/>
  <c r="E141" i="17"/>
  <c r="F142" i="17"/>
  <c r="F144" i="17"/>
  <c r="F147" i="17"/>
  <c r="F152" i="17"/>
  <c r="F161" i="17"/>
  <c r="F170" i="17"/>
  <c r="D178" i="17"/>
  <c r="E182" i="17"/>
  <c r="D184" i="17"/>
  <c r="E188" i="17"/>
  <c r="D84" i="18"/>
  <c r="D93" i="18"/>
  <c r="D128" i="18"/>
  <c r="D143" i="18"/>
  <c r="D5" i="17"/>
  <c r="D8" i="17"/>
  <c r="D11" i="17"/>
  <c r="D14" i="17"/>
  <c r="D17" i="17"/>
  <c r="D20" i="17"/>
  <c r="D23" i="17"/>
  <c r="D26" i="17"/>
  <c r="D29" i="17"/>
  <c r="D32" i="17"/>
  <c r="D35" i="17"/>
  <c r="D38" i="17"/>
  <c r="D41" i="17"/>
  <c r="D44" i="17"/>
  <c r="D47" i="17"/>
  <c r="D50" i="17"/>
  <c r="D53" i="17"/>
  <c r="D56" i="17"/>
  <c r="D59" i="17"/>
  <c r="D62" i="17"/>
  <c r="D65" i="17"/>
  <c r="D68" i="17"/>
  <c r="E71" i="17"/>
  <c r="E74" i="17"/>
  <c r="E77" i="17"/>
  <c r="E80" i="17"/>
  <c r="E83" i="17"/>
  <c r="E86" i="17"/>
  <c r="E89" i="17"/>
  <c r="D91" i="17"/>
  <c r="E93" i="17"/>
  <c r="E96" i="17"/>
  <c r="F100" i="17"/>
  <c r="E105" i="17"/>
  <c r="F109" i="17"/>
  <c r="E114" i="17"/>
  <c r="F118" i="17"/>
  <c r="E123" i="17"/>
  <c r="F127" i="17"/>
  <c r="F132" i="17"/>
  <c r="D134" i="17"/>
  <c r="E135" i="17"/>
  <c r="E136" i="17"/>
  <c r="E151" i="17"/>
  <c r="E154" i="17"/>
  <c r="D157" i="17"/>
  <c r="E160" i="17"/>
  <c r="E163" i="17"/>
  <c r="D166" i="17"/>
  <c r="E169" i="17"/>
  <c r="E172" i="17"/>
  <c r="F178" i="17"/>
  <c r="D6" i="18"/>
  <c r="D69" i="18"/>
  <c r="D166" i="18"/>
  <c r="D137" i="17"/>
  <c r="D132" i="17"/>
  <c r="D129" i="17"/>
  <c r="D190" i="17"/>
  <c r="D181" i="17"/>
  <c r="D185" i="17"/>
  <c r="D176" i="17"/>
  <c r="D167" i="17"/>
  <c r="D158" i="17"/>
  <c r="D149" i="17"/>
  <c r="D146" i="17"/>
  <c r="D143" i="17"/>
  <c r="D133" i="17"/>
  <c r="D130" i="17"/>
  <c r="E5" i="17"/>
  <c r="E8" i="17"/>
  <c r="E11" i="17"/>
  <c r="E14" i="17"/>
  <c r="E17" i="17"/>
  <c r="E20" i="17"/>
  <c r="E23" i="17"/>
  <c r="E26" i="17"/>
  <c r="E29" i="17"/>
  <c r="E32" i="17"/>
  <c r="E35" i="17"/>
  <c r="E38" i="17"/>
  <c r="E41" i="17"/>
  <c r="E44" i="17"/>
  <c r="E47" i="17"/>
  <c r="E50" i="17"/>
  <c r="E53" i="17"/>
  <c r="E56" i="17"/>
  <c r="E59" i="17"/>
  <c r="E62" i="17"/>
  <c r="E65" i="17"/>
  <c r="E68" i="17"/>
  <c r="F71" i="17"/>
  <c r="F74" i="17"/>
  <c r="F77" i="17"/>
  <c r="F80" i="17"/>
  <c r="F83" i="17"/>
  <c r="F86" i="17"/>
  <c r="F89" i="17"/>
  <c r="E91" i="17"/>
  <c r="F93" i="17"/>
  <c r="F96" i="17"/>
  <c r="D101" i="17"/>
  <c r="F105" i="17"/>
  <c r="D110" i="17"/>
  <c r="F114" i="17"/>
  <c r="D119" i="17"/>
  <c r="F123" i="17"/>
  <c r="D128" i="17"/>
  <c r="E134" i="17"/>
  <c r="F136" i="17"/>
  <c r="F151" i="17"/>
  <c r="E157" i="17"/>
  <c r="F160" i="17"/>
  <c r="E166" i="17"/>
  <c r="F169" i="17"/>
  <c r="D191" i="17"/>
  <c r="D42" i="18"/>
  <c r="D79" i="18"/>
  <c r="D87" i="18"/>
  <c r="D96" i="18"/>
  <c r="D109" i="18"/>
  <c r="D122" i="18"/>
  <c r="D123" i="18"/>
  <c r="E186" i="17"/>
  <c r="E177" i="17"/>
  <c r="E168" i="17"/>
  <c r="E159" i="17"/>
  <c r="E150" i="17"/>
  <c r="E185" i="17"/>
  <c r="E133" i="17"/>
  <c r="E189" i="17"/>
  <c r="E180" i="17"/>
  <c r="E171" i="17"/>
  <c r="E162" i="17"/>
  <c r="E153" i="17"/>
  <c r="E138" i="17"/>
  <c r="F5" i="17"/>
  <c r="F8" i="17"/>
  <c r="F11" i="17"/>
  <c r="F14" i="17"/>
  <c r="F17" i="17"/>
  <c r="F20" i="17"/>
  <c r="F23" i="17"/>
  <c r="F26" i="17"/>
  <c r="F29" i="17"/>
  <c r="F32" i="17"/>
  <c r="F35" i="17"/>
  <c r="F38" i="17"/>
  <c r="F41" i="17"/>
  <c r="F44" i="17"/>
  <c r="F47" i="17"/>
  <c r="F50" i="17"/>
  <c r="F53" i="17"/>
  <c r="F56" i="17"/>
  <c r="F59" i="17"/>
  <c r="F62" i="17"/>
  <c r="F65" i="17"/>
  <c r="F68" i="17"/>
  <c r="F91" i="17"/>
  <c r="D97" i="17"/>
  <c r="E101" i="17"/>
  <c r="D106" i="17"/>
  <c r="E110" i="17"/>
  <c r="D115" i="17"/>
  <c r="E119" i="17"/>
  <c r="D124" i="17"/>
  <c r="E128" i="17"/>
  <c r="F133" i="17"/>
  <c r="D187" i="17"/>
  <c r="E191" i="17"/>
  <c r="D192" i="18"/>
  <c r="D189" i="18"/>
  <c r="D186" i="18"/>
  <c r="D183" i="18"/>
  <c r="D180" i="18"/>
  <c r="D177" i="18"/>
  <c r="D174" i="18"/>
  <c r="D171" i="18"/>
  <c r="D168" i="18"/>
  <c r="D165" i="18"/>
  <c r="D162" i="18"/>
  <c r="D159" i="18"/>
  <c r="D156" i="18"/>
  <c r="D153" i="18"/>
  <c r="D150" i="18"/>
  <c r="D140" i="18"/>
  <c r="D188" i="18"/>
  <c r="D179" i="18"/>
  <c r="D170" i="18"/>
  <c r="D161" i="18"/>
  <c r="D152" i="18"/>
  <c r="D148" i="18"/>
  <c r="D184" i="18"/>
  <c r="D175" i="18"/>
  <c r="D187" i="18"/>
  <c r="D178" i="18"/>
  <c r="D169" i="18"/>
  <c r="D185" i="18"/>
  <c r="D176" i="18"/>
  <c r="D157" i="18"/>
  <c r="D154" i="18"/>
  <c r="D135" i="18"/>
  <c r="D67" i="18"/>
  <c r="D64" i="18"/>
  <c r="D61" i="18"/>
  <c r="D58" i="18"/>
  <c r="D55" i="18"/>
  <c r="D52" i="18"/>
  <c r="D49" i="18"/>
  <c r="D46" i="18"/>
  <c r="D43" i="18"/>
  <c r="D40" i="18"/>
  <c r="D37" i="18"/>
  <c r="D34" i="18"/>
  <c r="D31" i="18"/>
  <c r="D28" i="18"/>
  <c r="D25" i="18"/>
  <c r="D22" i="18"/>
  <c r="D19" i="18"/>
  <c r="D16" i="18"/>
  <c r="D13" i="18"/>
  <c r="D10" i="18"/>
  <c r="D7" i="18"/>
  <c r="D4" i="18"/>
  <c r="D158" i="18"/>
  <c r="D147" i="18"/>
  <c r="D146" i="18"/>
  <c r="D68" i="18"/>
  <c r="D65" i="18"/>
  <c r="D62" i="18"/>
  <c r="D59" i="18"/>
  <c r="D56" i="18"/>
  <c r="D53" i="18"/>
  <c r="D50" i="18"/>
  <c r="D47" i="18"/>
  <c r="D44" i="18"/>
  <c r="D41" i="18"/>
  <c r="D38" i="18"/>
  <c r="D35" i="18"/>
  <c r="D32" i="18"/>
  <c r="D29" i="18"/>
  <c r="D26" i="18"/>
  <c r="D23" i="18"/>
  <c r="D20" i="18"/>
  <c r="D17" i="18"/>
  <c r="D14" i="18"/>
  <c r="D11" i="18"/>
  <c r="D8" i="18"/>
  <c r="D5" i="18"/>
  <c r="D182" i="18"/>
  <c r="D172" i="18"/>
  <c r="D131" i="18"/>
  <c r="D63" i="18"/>
  <c r="D54" i="18"/>
  <c r="D45" i="18"/>
  <c r="D36" i="18"/>
  <c r="D27" i="18"/>
  <c r="D18" i="18"/>
  <c r="D9" i="18"/>
  <c r="D190" i="18"/>
  <c r="D155" i="18"/>
  <c r="D126" i="18"/>
  <c r="D117" i="18"/>
  <c r="D108" i="18"/>
  <c r="D99" i="18"/>
  <c r="D90" i="18"/>
  <c r="D81" i="18"/>
  <c r="D72" i="18"/>
  <c r="D142" i="18"/>
  <c r="D136" i="18"/>
  <c r="D121" i="18"/>
  <c r="D112" i="18"/>
  <c r="D103" i="18"/>
  <c r="D94" i="18"/>
  <c r="D85" i="18"/>
  <c r="D76" i="18"/>
  <c r="D144" i="18"/>
  <c r="D139" i="18"/>
  <c r="D130" i="18"/>
  <c r="D125" i="18"/>
  <c r="D116" i="18"/>
  <c r="D107" i="18"/>
  <c r="D98" i="18"/>
  <c r="D89" i="18"/>
  <c r="D80" i="18"/>
  <c r="D71" i="18"/>
  <c r="D151" i="18"/>
  <c r="D66" i="18"/>
  <c r="D57" i="18"/>
  <c r="D48" i="18"/>
  <c r="D39" i="18"/>
  <c r="D30" i="18"/>
  <c r="D21" i="18"/>
  <c r="D12" i="18"/>
  <c r="D3" i="18"/>
  <c r="D134" i="18"/>
  <c r="D120" i="18"/>
  <c r="D111" i="18"/>
  <c r="D102" i="18"/>
  <c r="D173" i="18"/>
  <c r="D163" i="18"/>
  <c r="D137" i="18"/>
  <c r="D129" i="18"/>
  <c r="D124" i="18"/>
  <c r="D115" i="18"/>
  <c r="D106" i="18"/>
  <c r="D97" i="18"/>
  <c r="D88" i="18"/>
  <c r="D73" i="18"/>
  <c r="D110" i="18"/>
  <c r="F190" i="17"/>
  <c r="F181" i="17"/>
  <c r="F172" i="17"/>
  <c r="F163" i="17"/>
  <c r="F154" i="17"/>
  <c r="F140" i="17"/>
  <c r="F135" i="17"/>
  <c r="F189" i="17"/>
  <c r="F180" i="17"/>
  <c r="F171" i="17"/>
  <c r="F162" i="17"/>
  <c r="F153" i="17"/>
  <c r="F138" i="17"/>
  <c r="F184" i="17"/>
  <c r="F175" i="17"/>
  <c r="F166" i="17"/>
  <c r="F157" i="17"/>
  <c r="F141" i="17"/>
  <c r="D70" i="17"/>
  <c r="D73" i="17"/>
  <c r="D76" i="17"/>
  <c r="D79" i="17"/>
  <c r="D82" i="17"/>
  <c r="D85" i="17"/>
  <c r="D88" i="17"/>
  <c r="E97" i="17"/>
  <c r="F101" i="17"/>
  <c r="D102" i="17"/>
  <c r="E106" i="17"/>
  <c r="F110" i="17"/>
  <c r="D111" i="17"/>
  <c r="E115" i="17"/>
  <c r="F119" i="17"/>
  <c r="D120" i="17"/>
  <c r="E124" i="17"/>
  <c r="F128" i="17"/>
  <c r="E129" i="17"/>
  <c r="D150" i="17"/>
  <c r="D156" i="17"/>
  <c r="D159" i="17"/>
  <c r="D165" i="17"/>
  <c r="D168" i="17"/>
  <c r="D174" i="17"/>
  <c r="D177" i="17"/>
  <c r="D183" i="17"/>
  <c r="E187" i="17"/>
  <c r="D189" i="17"/>
  <c r="F191" i="17"/>
  <c r="E1" i="18"/>
  <c r="D167" i="18"/>
  <c r="D7" i="17"/>
  <c r="D10" i="17"/>
  <c r="D13" i="17"/>
  <c r="D16" i="17"/>
  <c r="D19" i="17"/>
  <c r="D22" i="17"/>
  <c r="D25" i="17"/>
  <c r="D28" i="17"/>
  <c r="D31" i="17"/>
  <c r="D34" i="17"/>
  <c r="D37" i="17"/>
  <c r="D40" i="17"/>
  <c r="D43" i="17"/>
  <c r="D46" i="17"/>
  <c r="D49" i="17"/>
  <c r="D52" i="17"/>
  <c r="D55" i="17"/>
  <c r="D58" i="17"/>
  <c r="D61" i="17"/>
  <c r="D64" i="17"/>
  <c r="D67" i="17"/>
  <c r="E70" i="17"/>
  <c r="E73" i="17"/>
  <c r="E76" i="17"/>
  <c r="E79" i="17"/>
  <c r="E82" i="17"/>
  <c r="E85" i="17"/>
  <c r="E88" i="17"/>
  <c r="D94" i="17"/>
  <c r="F97" i="17"/>
  <c r="E102" i="17"/>
  <c r="F106" i="17"/>
  <c r="E111" i="17"/>
  <c r="F115" i="17"/>
  <c r="E120" i="17"/>
  <c r="F124" i="17"/>
  <c r="F129" i="17"/>
  <c r="F150" i="17"/>
  <c r="D153" i="17"/>
  <c r="E156" i="17"/>
  <c r="F159" i="17"/>
  <c r="D162" i="17"/>
  <c r="E165" i="17"/>
  <c r="F168" i="17"/>
  <c r="D171" i="17"/>
  <c r="E174" i="17"/>
  <c r="F177" i="17"/>
  <c r="E181" i="17"/>
  <c r="E183" i="17"/>
  <c r="F185" i="17"/>
  <c r="F187" i="17"/>
  <c r="D15" i="18"/>
  <c r="D77" i="18"/>
  <c r="D132" i="18"/>
  <c r="D138" i="18"/>
  <c r="D164" i="18"/>
  <c r="F4" i="17"/>
  <c r="F7" i="17"/>
  <c r="F10" i="17"/>
  <c r="F13" i="17"/>
  <c r="F16" i="17"/>
  <c r="F19" i="17"/>
  <c r="F22" i="17"/>
  <c r="F25" i="17"/>
  <c r="F28" i="17"/>
  <c r="F31" i="17"/>
  <c r="F34" i="17"/>
  <c r="F37" i="17"/>
  <c r="F40" i="17"/>
  <c r="F43" i="17"/>
  <c r="F46" i="17"/>
  <c r="F49" i="17"/>
  <c r="F52" i="17"/>
  <c r="F55" i="17"/>
  <c r="F58" i="17"/>
  <c r="F61" i="17"/>
  <c r="F64" i="17"/>
  <c r="F67" i="17"/>
  <c r="D92" i="17"/>
  <c r="F94" i="17"/>
  <c r="E98" i="17"/>
  <c r="D103" i="17"/>
  <c r="E107" i="17"/>
  <c r="D112" i="17"/>
  <c r="E116" i="17"/>
  <c r="D121" i="17"/>
  <c r="E125" i="17"/>
  <c r="E130" i="17"/>
  <c r="E179" i="17"/>
  <c r="D82" i="18"/>
  <c r="D91" i="18"/>
  <c r="D100" i="18"/>
  <c r="D119" i="18"/>
  <c r="F189" i="20"/>
  <c r="F186" i="20"/>
  <c r="F183" i="20"/>
  <c r="F180" i="20"/>
  <c r="F177" i="20"/>
  <c r="F174" i="20"/>
  <c r="F171" i="20"/>
  <c r="F168" i="20"/>
  <c r="F165" i="20"/>
  <c r="F162" i="20"/>
  <c r="F159" i="20"/>
  <c r="F156" i="20"/>
  <c r="F153" i="20"/>
  <c r="F150" i="20"/>
  <c r="F147" i="20"/>
  <c r="F132" i="20"/>
  <c r="F185" i="20"/>
  <c r="F172" i="20"/>
  <c r="F158" i="20"/>
  <c r="F131" i="20"/>
  <c r="F187" i="20"/>
  <c r="F160" i="20"/>
  <c r="F151" i="20"/>
  <c r="F142" i="20"/>
  <c r="F137" i="20"/>
  <c r="F126" i="20"/>
  <c r="F117" i="20"/>
  <c r="F108" i="20"/>
  <c r="F99" i="20"/>
  <c r="F90" i="20"/>
  <c r="F81" i="20"/>
  <c r="F72" i="20"/>
  <c r="F188" i="20"/>
  <c r="F161" i="20"/>
  <c r="F152" i="20"/>
  <c r="F141" i="20"/>
  <c r="F136" i="20"/>
  <c r="F130" i="20"/>
  <c r="F125" i="20"/>
  <c r="F116" i="20"/>
  <c r="F107" i="20"/>
  <c r="F98" i="20"/>
  <c r="F89" i="20"/>
  <c r="F80" i="20"/>
  <c r="F71" i="20"/>
  <c r="F68" i="20"/>
  <c r="F178" i="20"/>
  <c r="F145" i="20"/>
  <c r="F140" i="20"/>
  <c r="F135" i="20"/>
  <c r="F120" i="20"/>
  <c r="F111" i="20"/>
  <c r="F102" i="20"/>
  <c r="F93" i="20"/>
  <c r="F84" i="20"/>
  <c r="F75" i="20"/>
  <c r="F166" i="20"/>
  <c r="F164" i="20"/>
  <c r="F181" i="20"/>
  <c r="F167" i="20"/>
  <c r="F148" i="20"/>
  <c r="F139" i="20"/>
  <c r="F133" i="20"/>
  <c r="F128" i="20"/>
  <c r="F184" i="20"/>
  <c r="F182" i="20"/>
  <c r="F157" i="20"/>
  <c r="F149" i="20"/>
  <c r="F143" i="20"/>
  <c r="F138" i="20"/>
  <c r="F118" i="20"/>
  <c r="F109" i="20"/>
  <c r="F100" i="20"/>
  <c r="F179" i="20"/>
  <c r="F155" i="20"/>
  <c r="F121" i="20"/>
  <c r="F92" i="20"/>
  <c r="F85" i="20"/>
  <c r="F82" i="20"/>
  <c r="F76" i="20"/>
  <c r="F73" i="20"/>
  <c r="F53" i="20"/>
  <c r="F44" i="20"/>
  <c r="G1" i="20"/>
  <c r="F101" i="20"/>
  <c r="F96" i="20"/>
  <c r="F94" i="20"/>
  <c r="F176" i="20"/>
  <c r="F163" i="20"/>
  <c r="F129" i="20"/>
  <c r="F104" i="20"/>
  <c r="F35" i="20"/>
  <c r="F32" i="20"/>
  <c r="F29" i="20"/>
  <c r="F26" i="20"/>
  <c r="F23" i="20"/>
  <c r="F20" i="20"/>
  <c r="F17" i="20"/>
  <c r="F14" i="20"/>
  <c r="F11" i="20"/>
  <c r="F8" i="20"/>
  <c r="F5" i="20"/>
  <c r="F119" i="20"/>
  <c r="F114" i="20"/>
  <c r="F83" i="20"/>
  <c r="F74" i="20"/>
  <c r="F52" i="20"/>
  <c r="F43" i="20"/>
  <c r="F173" i="20"/>
  <c r="F86" i="20"/>
  <c r="F77" i="20"/>
  <c r="F56" i="20"/>
  <c r="F47" i="20"/>
  <c r="F127" i="20"/>
  <c r="F110" i="20"/>
  <c r="F66" i="20"/>
  <c r="F63" i="20"/>
  <c r="F60" i="20"/>
  <c r="F51" i="20"/>
  <c r="F42" i="20"/>
  <c r="F175" i="20"/>
  <c r="F170" i="20"/>
  <c r="F154" i="20"/>
  <c r="F113" i="20"/>
  <c r="F103" i="20"/>
  <c r="F91" i="20"/>
  <c r="F67" i="20"/>
  <c r="F65" i="20"/>
  <c r="F64" i="20"/>
  <c r="F62" i="20"/>
  <c r="F61" i="20"/>
  <c r="F36" i="20"/>
  <c r="F33" i="20"/>
  <c r="F30" i="20"/>
  <c r="F27" i="20"/>
  <c r="F24" i="20"/>
  <c r="F21" i="20"/>
  <c r="F18" i="20"/>
  <c r="F15" i="20"/>
  <c r="F12" i="20"/>
  <c r="F9" i="20"/>
  <c r="F6" i="20"/>
  <c r="F3" i="20"/>
  <c r="F146" i="20"/>
  <c r="F106" i="20"/>
  <c r="F97" i="20"/>
  <c r="F95" i="20"/>
  <c r="F55" i="20"/>
  <c r="F46" i="20"/>
  <c r="F124" i="20"/>
  <c r="F87" i="20"/>
  <c r="F78" i="20"/>
  <c r="F69" i="20"/>
  <c r="F59" i="20"/>
  <c r="F50" i="20"/>
  <c r="F41" i="20"/>
  <c r="F190" i="20"/>
  <c r="F144" i="20"/>
  <c r="F134" i="20"/>
  <c r="F54" i="20"/>
  <c r="F45" i="20"/>
  <c r="F169" i="20"/>
  <c r="F123" i="20"/>
  <c r="F112" i="20"/>
  <c r="F37" i="20"/>
  <c r="F34" i="20"/>
  <c r="F31" i="20"/>
  <c r="F28" i="20"/>
  <c r="F25" i="20"/>
  <c r="F22" i="20"/>
  <c r="F19" i="20"/>
  <c r="F16" i="20"/>
  <c r="F13" i="20"/>
  <c r="F10" i="20"/>
  <c r="F7" i="20"/>
  <c r="F4" i="20"/>
  <c r="F49" i="20"/>
  <c r="F115" i="20"/>
  <c r="F57" i="20"/>
  <c r="F38" i="20"/>
  <c r="F105" i="20"/>
  <c r="F79" i="20"/>
  <c r="F122" i="20"/>
  <c r="F48" i="20"/>
  <c r="F88" i="20"/>
  <c r="F70" i="20"/>
  <c r="F58" i="20"/>
  <c r="F40" i="20"/>
  <c r="F39" i="20"/>
  <c r="D68" i="19"/>
  <c r="D77" i="19"/>
  <c r="D86" i="19"/>
  <c r="D95" i="19"/>
  <c r="D104" i="19"/>
  <c r="D113" i="19"/>
  <c r="D122" i="19"/>
  <c r="D133" i="19"/>
  <c r="D148" i="19"/>
  <c r="D157" i="19"/>
  <c r="D166" i="19"/>
  <c r="D175" i="19"/>
  <c r="D72" i="19"/>
  <c r="D81" i="19"/>
  <c r="D90" i="19"/>
  <c r="D99" i="19"/>
  <c r="D108" i="19"/>
  <c r="D117" i="19"/>
  <c r="D126" i="19"/>
  <c r="D141" i="19"/>
  <c r="D150" i="19"/>
  <c r="D159" i="19"/>
  <c r="D168" i="19"/>
  <c r="D9" i="19"/>
  <c r="D18" i="19"/>
  <c r="D27" i="19"/>
  <c r="D36" i="19"/>
  <c r="D45" i="19"/>
  <c r="D54" i="19"/>
  <c r="D63" i="19"/>
  <c r="D181" i="19"/>
  <c r="D184" i="19"/>
  <c r="D47" i="19"/>
  <c r="D56" i="19"/>
  <c r="D65" i="19"/>
  <c r="D134" i="19"/>
  <c r="D188" i="19"/>
  <c r="D185" i="19"/>
  <c r="D182" i="19"/>
  <c r="D179" i="19"/>
  <c r="D176" i="19"/>
  <c r="D187" i="19"/>
  <c r="D178" i="19"/>
  <c r="D132" i="19"/>
  <c r="D186" i="19"/>
  <c r="D177" i="19"/>
  <c r="D140" i="19"/>
  <c r="D137" i="19"/>
  <c r="D67" i="19"/>
  <c r="D64" i="19"/>
  <c r="D61" i="19"/>
  <c r="D58" i="19"/>
  <c r="D55" i="19"/>
  <c r="D52" i="19"/>
  <c r="D49" i="19"/>
  <c r="D46" i="19"/>
  <c r="D43" i="19"/>
  <c r="D40" i="19"/>
  <c r="D37" i="19"/>
  <c r="D34" i="19"/>
  <c r="D31" i="19"/>
  <c r="D28" i="19"/>
  <c r="D25" i="19"/>
  <c r="D22" i="19"/>
  <c r="D19" i="19"/>
  <c r="D16" i="19"/>
  <c r="D13" i="19"/>
  <c r="D10" i="19"/>
  <c r="D7" i="19"/>
  <c r="D4" i="19"/>
  <c r="D173" i="19"/>
  <c r="D170" i="19"/>
  <c r="D167" i="19"/>
  <c r="D164" i="19"/>
  <c r="D161" i="19"/>
  <c r="D158" i="19"/>
  <c r="D155" i="19"/>
  <c r="D152" i="19"/>
  <c r="D149" i="19"/>
  <c r="D146" i="19"/>
  <c r="D143" i="19"/>
  <c r="D124" i="19"/>
  <c r="D121" i="19"/>
  <c r="D118" i="19"/>
  <c r="D115" i="19"/>
  <c r="D112" i="19"/>
  <c r="D109" i="19"/>
  <c r="D106" i="19"/>
  <c r="D103" i="19"/>
  <c r="D100" i="19"/>
  <c r="D97" i="19"/>
  <c r="D94" i="19"/>
  <c r="D91" i="19"/>
  <c r="D88" i="19"/>
  <c r="D85" i="19"/>
  <c r="D82" i="19"/>
  <c r="D79" i="19"/>
  <c r="D76" i="19"/>
  <c r="D73" i="19"/>
  <c r="D70" i="19"/>
  <c r="D135" i="19"/>
  <c r="D130" i="19"/>
  <c r="D127" i="19"/>
  <c r="E1" i="19"/>
  <c r="D131" i="19"/>
  <c r="D128" i="19"/>
  <c r="D69" i="19"/>
  <c r="D78" i="19"/>
  <c r="D87" i="19"/>
  <c r="D96" i="19"/>
  <c r="D105" i="19"/>
  <c r="D114" i="19"/>
  <c r="D123" i="19"/>
  <c r="D136" i="19"/>
  <c r="D147" i="19"/>
  <c r="D156" i="19"/>
  <c r="D165" i="19"/>
  <c r="D174" i="19"/>
  <c r="D42" i="19"/>
  <c r="D51" i="19"/>
  <c r="D60" i="19"/>
  <c r="D138" i="19"/>
  <c r="D180" i="19"/>
  <c r="D183" i="19"/>
  <c r="D71" i="19"/>
  <c r="D80" i="19"/>
  <c r="D89" i="19"/>
  <c r="D98" i="19"/>
  <c r="D107" i="19"/>
  <c r="D116" i="19"/>
  <c r="D125" i="19"/>
  <c r="D142" i="19"/>
  <c r="D151" i="19"/>
  <c r="D160" i="19"/>
  <c r="D169" i="19"/>
  <c r="D41" i="20"/>
  <c r="E45" i="20"/>
  <c r="D50" i="20"/>
  <c r="E54" i="20"/>
  <c r="D59" i="20"/>
  <c r="E102" i="20"/>
  <c r="E133" i="20"/>
  <c r="D144" i="20"/>
  <c r="D148" i="20"/>
  <c r="E41" i="20"/>
  <c r="D46" i="20"/>
  <c r="E50" i="20"/>
  <c r="D55" i="20"/>
  <c r="E59" i="20"/>
  <c r="E69" i="20"/>
  <c r="E72" i="20"/>
  <c r="E78" i="20"/>
  <c r="E81" i="20"/>
  <c r="E87" i="20"/>
  <c r="E99" i="20"/>
  <c r="E109" i="20"/>
  <c r="E124" i="20"/>
  <c r="D147" i="20"/>
  <c r="D6" i="20"/>
  <c r="D9" i="20"/>
  <c r="D12" i="20"/>
  <c r="D15" i="20"/>
  <c r="D18" i="20"/>
  <c r="D21" i="20"/>
  <c r="D24" i="20"/>
  <c r="D27" i="20"/>
  <c r="D30" i="20"/>
  <c r="D33" i="20"/>
  <c r="D36" i="20"/>
  <c r="E46" i="20"/>
  <c r="E55" i="20"/>
  <c r="D61" i="20"/>
  <c r="D64" i="20"/>
  <c r="D67" i="20"/>
  <c r="E75" i="20"/>
  <c r="E84" i="20"/>
  <c r="E95" i="20"/>
  <c r="E97" i="20"/>
  <c r="E106" i="20"/>
  <c r="E116" i="20"/>
  <c r="D135" i="20"/>
  <c r="E145" i="20"/>
  <c r="D146" i="20"/>
  <c r="E147" i="20"/>
  <c r="E6" i="20"/>
  <c r="E9" i="20"/>
  <c r="E12" i="20"/>
  <c r="E15" i="20"/>
  <c r="E18" i="20"/>
  <c r="E21" i="20"/>
  <c r="E24" i="20"/>
  <c r="E27" i="20"/>
  <c r="E30" i="20"/>
  <c r="E33" i="20"/>
  <c r="E36" i="20"/>
  <c r="D42" i="20"/>
  <c r="D51" i="20"/>
  <c r="D60" i="20"/>
  <c r="E61" i="20"/>
  <c r="D62" i="20"/>
  <c r="D63" i="20"/>
  <c r="E64" i="20"/>
  <c r="D65" i="20"/>
  <c r="D66" i="20"/>
  <c r="E67" i="20"/>
  <c r="E68" i="20"/>
  <c r="E91" i="20"/>
  <c r="E93" i="20"/>
  <c r="E113" i="20"/>
  <c r="E125" i="20"/>
  <c r="E136" i="20"/>
  <c r="E162" i="20"/>
  <c r="D38" i="20"/>
  <c r="E42" i="20"/>
  <c r="D47" i="20"/>
  <c r="E51" i="20"/>
  <c r="D56" i="20"/>
  <c r="E60" i="20"/>
  <c r="E63" i="20"/>
  <c r="E66" i="20"/>
  <c r="E89" i="20"/>
  <c r="D110" i="20"/>
  <c r="E117" i="20"/>
  <c r="E126" i="20"/>
  <c r="E137" i="20"/>
  <c r="E160" i="20"/>
  <c r="E38" i="20"/>
  <c r="D43" i="20"/>
  <c r="E47" i="20"/>
  <c r="D52" i="20"/>
  <c r="E56" i="20"/>
  <c r="D74" i="20"/>
  <c r="E77" i="20"/>
  <c r="D83" i="20"/>
  <c r="E86" i="20"/>
  <c r="E100" i="20"/>
  <c r="E118" i="20"/>
  <c r="E138" i="20"/>
  <c r="E52" i="20"/>
  <c r="E71" i="20"/>
  <c r="E74" i="20"/>
  <c r="E80" i="20"/>
  <c r="E83" i="20"/>
  <c r="E107" i="20"/>
  <c r="E128" i="20"/>
  <c r="E139" i="20"/>
  <c r="D189" i="20"/>
  <c r="D186" i="20"/>
  <c r="D183" i="20"/>
  <c r="D180" i="20"/>
  <c r="D177" i="20"/>
  <c r="D174" i="20"/>
  <c r="D171" i="20"/>
  <c r="D168" i="20"/>
  <c r="D165" i="20"/>
  <c r="D162" i="20"/>
  <c r="D159" i="20"/>
  <c r="D190" i="20"/>
  <c r="D187" i="20"/>
  <c r="D184" i="20"/>
  <c r="D181" i="20"/>
  <c r="D178" i="20"/>
  <c r="D175" i="20"/>
  <c r="D172" i="20"/>
  <c r="D169" i="20"/>
  <c r="D166" i="20"/>
  <c r="D163" i="20"/>
  <c r="D160" i="20"/>
  <c r="D157" i="20"/>
  <c r="D154" i="20"/>
  <c r="D188" i="20"/>
  <c r="D185" i="20"/>
  <c r="D182" i="20"/>
  <c r="D179" i="20"/>
  <c r="D176" i="20"/>
  <c r="D173" i="20"/>
  <c r="D170" i="20"/>
  <c r="D167" i="20"/>
  <c r="D164" i="20"/>
  <c r="D161" i="20"/>
  <c r="D158" i="20"/>
  <c r="D155" i="20"/>
  <c r="D145" i="20"/>
  <c r="D142" i="20"/>
  <c r="D134" i="20"/>
  <c r="D126" i="20"/>
  <c r="D123" i="20"/>
  <c r="D120" i="20"/>
  <c r="D117" i="20"/>
  <c r="D114" i="20"/>
  <c r="D111" i="20"/>
  <c r="D108" i="20"/>
  <c r="D105" i="20"/>
  <c r="D102" i="20"/>
  <c r="D99" i="20"/>
  <c r="D96" i="20"/>
  <c r="D93" i="20"/>
  <c r="D90" i="20"/>
  <c r="D87" i="20"/>
  <c r="D84" i="20"/>
  <c r="D81" i="20"/>
  <c r="D78" i="20"/>
  <c r="D75" i="20"/>
  <c r="D72" i="20"/>
  <c r="D69" i="20"/>
  <c r="D143" i="20"/>
  <c r="D124" i="20"/>
  <c r="D121" i="20"/>
  <c r="D118" i="20"/>
  <c r="D115" i="20"/>
  <c r="D112" i="20"/>
  <c r="D109" i="20"/>
  <c r="D106" i="20"/>
  <c r="D103" i="20"/>
  <c r="D100" i="20"/>
  <c r="D97" i="20"/>
  <c r="D94" i="20"/>
  <c r="D91" i="20"/>
  <c r="D88" i="20"/>
  <c r="D85" i="20"/>
  <c r="D82" i="20"/>
  <c r="D79" i="20"/>
  <c r="D76" i="20"/>
  <c r="D73" i="20"/>
  <c r="D70" i="20"/>
  <c r="D150" i="20"/>
  <c r="D149" i="20"/>
  <c r="D138" i="20"/>
  <c r="D132" i="20"/>
  <c r="D127" i="20"/>
  <c r="D156" i="20"/>
  <c r="D122" i="20"/>
  <c r="D113" i="20"/>
  <c r="D104" i="20"/>
  <c r="D95" i="20"/>
  <c r="D86" i="20"/>
  <c r="D77" i="20"/>
  <c r="D137" i="20"/>
  <c r="D152" i="20"/>
  <c r="D141" i="20"/>
  <c r="D136" i="20"/>
  <c r="D125" i="20"/>
  <c r="D116" i="20"/>
  <c r="D107" i="20"/>
  <c r="D98" i="20"/>
  <c r="D89" i="20"/>
  <c r="D80" i="20"/>
  <c r="D71" i="20"/>
  <c r="D68" i="20"/>
  <c r="D139" i="20"/>
  <c r="D133" i="20"/>
  <c r="D128" i="20"/>
  <c r="E5" i="20"/>
  <c r="E8" i="20"/>
  <c r="E11" i="20"/>
  <c r="E14" i="20"/>
  <c r="E17" i="20"/>
  <c r="E20" i="20"/>
  <c r="E23" i="20"/>
  <c r="E26" i="20"/>
  <c r="E29" i="20"/>
  <c r="E32" i="20"/>
  <c r="E35" i="20"/>
  <c r="D39" i="20"/>
  <c r="D48" i="20"/>
  <c r="D57" i="20"/>
  <c r="E104" i="20"/>
  <c r="D129" i="20"/>
  <c r="D140" i="20"/>
  <c r="D153" i="20"/>
  <c r="E168" i="20"/>
  <c r="E188" i="20"/>
  <c r="E185" i="20"/>
  <c r="E182" i="20"/>
  <c r="E179" i="20"/>
  <c r="E176" i="20"/>
  <c r="E173" i="20"/>
  <c r="E170" i="20"/>
  <c r="E167" i="20"/>
  <c r="E164" i="20"/>
  <c r="E161" i="20"/>
  <c r="E158" i="20"/>
  <c r="E155" i="20"/>
  <c r="E153" i="20"/>
  <c r="E148" i="20"/>
  <c r="E129" i="20"/>
  <c r="E151" i="20"/>
  <c r="E135" i="20"/>
  <c r="E130" i="20"/>
  <c r="E127" i="20"/>
  <c r="E171" i="20"/>
  <c r="E156" i="20"/>
  <c r="E122" i="20"/>
  <c r="E186" i="20"/>
  <c r="E172" i="20"/>
  <c r="E159" i="20"/>
  <c r="E131" i="20"/>
  <c r="E175" i="20"/>
  <c r="E154" i="20"/>
  <c r="E121" i="20"/>
  <c r="E112" i="20"/>
  <c r="E103" i="20"/>
  <c r="E94" i="20"/>
  <c r="E85" i="20"/>
  <c r="E76" i="20"/>
  <c r="E65" i="20"/>
  <c r="E62" i="20"/>
  <c r="E190" i="20"/>
  <c r="E177" i="20"/>
  <c r="E163" i="20"/>
  <c r="E146" i="20"/>
  <c r="E178" i="20"/>
  <c r="E165" i="20"/>
  <c r="E180" i="20"/>
  <c r="E144" i="20"/>
  <c r="E134" i="20"/>
  <c r="E119" i="20"/>
  <c r="E110" i="20"/>
  <c r="E101" i="20"/>
  <c r="E92" i="20"/>
  <c r="E183" i="20"/>
  <c r="E169" i="20"/>
  <c r="E123" i="20"/>
  <c r="E114" i="20"/>
  <c r="E105" i="20"/>
  <c r="E39" i="20"/>
  <c r="D44" i="20"/>
  <c r="E48" i="20"/>
  <c r="D53" i="20"/>
  <c r="E57" i="20"/>
  <c r="E96" i="20"/>
  <c r="E98" i="20"/>
  <c r="D101" i="20"/>
  <c r="E111" i="20"/>
  <c r="E120" i="20"/>
  <c r="E140" i="20"/>
  <c r="E189" i="20"/>
  <c r="E108" i="20"/>
  <c r="D130" i="20"/>
  <c r="E141" i="20"/>
  <c r="E152" i="20"/>
  <c r="E184" i="20"/>
  <c r="D4" i="20"/>
  <c r="D7" i="20"/>
  <c r="D10" i="20"/>
  <c r="D13" i="20"/>
  <c r="D16" i="20"/>
  <c r="D19" i="20"/>
  <c r="D22" i="20"/>
  <c r="D25" i="20"/>
  <c r="D28" i="20"/>
  <c r="D31" i="20"/>
  <c r="D34" i="20"/>
  <c r="D37" i="20"/>
  <c r="E40" i="20"/>
  <c r="E49" i="20"/>
  <c r="E58" i="20"/>
  <c r="E70" i="20"/>
  <c r="E79" i="20"/>
  <c r="E88" i="20"/>
  <c r="E115" i="20"/>
  <c r="D131" i="20"/>
  <c r="E142" i="20"/>
  <c r="D151" i="20"/>
  <c r="E166" i="20"/>
  <c r="D21" i="21"/>
  <c r="D25" i="21"/>
  <c r="D30" i="21"/>
  <c r="D34" i="21"/>
  <c r="D39" i="21"/>
  <c r="D43" i="21"/>
  <c r="D48" i="21"/>
  <c r="D143" i="21"/>
  <c r="D152" i="21"/>
  <c r="D5" i="21"/>
  <c r="D8" i="21"/>
  <c r="D11" i="21"/>
  <c r="D14" i="21"/>
  <c r="D50" i="21"/>
  <c r="D187" i="21"/>
  <c r="D184" i="21"/>
  <c r="D181" i="21"/>
  <c r="D178" i="21"/>
  <c r="D175" i="21"/>
  <c r="D172" i="21"/>
  <c r="D169" i="21"/>
  <c r="D166" i="21"/>
  <c r="D163" i="21"/>
  <c r="D160" i="21"/>
  <c r="D157" i="21"/>
  <c r="D154" i="21"/>
  <c r="D151" i="21"/>
  <c r="D148" i="21"/>
  <c r="D145" i="21"/>
  <c r="D142" i="21"/>
  <c r="D139" i="21"/>
  <c r="D123" i="21"/>
  <c r="D120" i="21"/>
  <c r="D117" i="21"/>
  <c r="D114" i="21"/>
  <c r="D129" i="21"/>
  <c r="D126" i="21"/>
  <c r="D134" i="21"/>
  <c r="D137" i="21"/>
  <c r="D188" i="21"/>
  <c r="D185" i="21"/>
  <c r="D182" i="21"/>
  <c r="D179" i="21"/>
  <c r="D176" i="21"/>
  <c r="D138" i="21"/>
  <c r="D135" i="21"/>
  <c r="D186" i="21"/>
  <c r="D183" i="21"/>
  <c r="D180" i="21"/>
  <c r="D177" i="21"/>
  <c r="D174" i="21"/>
  <c r="D171" i="21"/>
  <c r="D168" i="21"/>
  <c r="D165" i="21"/>
  <c r="D162" i="21"/>
  <c r="D159" i="21"/>
  <c r="D156" i="21"/>
  <c r="D153" i="21"/>
  <c r="D150" i="21"/>
  <c r="D147" i="21"/>
  <c r="D144" i="21"/>
  <c r="D141" i="21"/>
  <c r="D122" i="21"/>
  <c r="D119" i="21"/>
  <c r="D116" i="21"/>
  <c r="D113" i="21"/>
  <c r="D173" i="21"/>
  <c r="D170" i="21"/>
  <c r="D167" i="21"/>
  <c r="D161" i="21"/>
  <c r="D130" i="21"/>
  <c r="D146" i="21"/>
  <c r="D136" i="21"/>
  <c r="D164" i="21"/>
  <c r="D155" i="21"/>
  <c r="D132" i="21"/>
  <c r="D158" i="21"/>
  <c r="D55" i="21"/>
  <c r="D58" i="21"/>
  <c r="D61" i="21"/>
  <c r="D64" i="21"/>
  <c r="D67" i="21"/>
  <c r="D70" i="21"/>
  <c r="D73" i="21"/>
  <c r="D76" i="21"/>
  <c r="D79" i="21"/>
  <c r="D82" i="21"/>
  <c r="D85" i="21"/>
  <c r="D88" i="21"/>
  <c r="D91" i="21"/>
  <c r="D94" i="21"/>
  <c r="D97" i="21"/>
  <c r="D100" i="21"/>
  <c r="D103" i="21"/>
  <c r="D106" i="21"/>
  <c r="D109" i="21"/>
  <c r="E1" i="21"/>
  <c r="D20" i="21"/>
  <c r="D29" i="21"/>
  <c r="D38" i="21"/>
  <c r="D47" i="21"/>
  <c r="D140" i="21"/>
  <c r="D149" i="21"/>
  <c r="D24" i="21"/>
  <c r="D28" i="21"/>
  <c r="D33" i="21"/>
  <c r="D37" i="21"/>
  <c r="D42" i="21"/>
  <c r="D46" i="21"/>
  <c r="D125" i="21"/>
  <c r="D128" i="21"/>
  <c r="D3" i="21"/>
  <c r="D6" i="21"/>
  <c r="D9" i="21"/>
  <c r="D12" i="21"/>
  <c r="D15" i="21"/>
  <c r="D127" i="21"/>
  <c r="D112" i="21"/>
  <c r="D115" i="21"/>
  <c r="D118" i="21"/>
  <c r="D121" i="21"/>
  <c r="D124" i="21"/>
  <c r="G3" i="22"/>
  <c r="G6" i="22"/>
  <c r="G9" i="22"/>
  <c r="D13" i="22"/>
  <c r="D22" i="22"/>
  <c r="D31" i="22"/>
  <c r="D40" i="22"/>
  <c r="D49" i="22"/>
  <c r="D58" i="22"/>
  <c r="D67" i="22"/>
  <c r="D76" i="22"/>
  <c r="D85" i="22"/>
  <c r="D94" i="22"/>
  <c r="D103" i="22"/>
  <c r="F128" i="22"/>
  <c r="E13" i="22"/>
  <c r="E22" i="22"/>
  <c r="E31" i="22"/>
  <c r="E40" i="22"/>
  <c r="E49" i="22"/>
  <c r="E58" i="22"/>
  <c r="E67" i="22"/>
  <c r="E76" i="22"/>
  <c r="E85" i="22"/>
  <c r="E94" i="22"/>
  <c r="E103" i="22"/>
  <c r="E112" i="22"/>
  <c r="E135" i="22"/>
  <c r="F162" i="22"/>
  <c r="D133" i="22"/>
  <c r="D128" i="22"/>
  <c r="D184" i="22"/>
  <c r="D181" i="22"/>
  <c r="D178" i="22"/>
  <c r="D175" i="22"/>
  <c r="D172" i="22"/>
  <c r="D169" i="22"/>
  <c r="D166" i="22"/>
  <c r="D163" i="22"/>
  <c r="D160" i="22"/>
  <c r="D157" i="22"/>
  <c r="D154" i="22"/>
  <c r="D151" i="22"/>
  <c r="D148" i="22"/>
  <c r="D145" i="22"/>
  <c r="D142" i="22"/>
  <c r="D139" i="22"/>
  <c r="D136" i="22"/>
  <c r="D120" i="22"/>
  <c r="D126" i="22"/>
  <c r="D123" i="22"/>
  <c r="D131" i="22"/>
  <c r="D134" i="22"/>
  <c r="D185" i="22"/>
  <c r="D182" i="22"/>
  <c r="D179" i="22"/>
  <c r="D176" i="22"/>
  <c r="D173" i="22"/>
  <c r="D170" i="22"/>
  <c r="D167" i="22"/>
  <c r="D164" i="22"/>
  <c r="D161" i="22"/>
  <c r="D158" i="22"/>
  <c r="D155" i="22"/>
  <c r="D152" i="22"/>
  <c r="D149" i="22"/>
  <c r="D146" i="22"/>
  <c r="D143" i="22"/>
  <c r="D140" i="22"/>
  <c r="D137" i="22"/>
  <c r="D129" i="22"/>
  <c r="D121" i="22"/>
  <c r="D124" i="22"/>
  <c r="D135" i="22"/>
  <c r="D132" i="22"/>
  <c r="D183" i="22"/>
  <c r="D180" i="22"/>
  <c r="D177" i="22"/>
  <c r="D174" i="22"/>
  <c r="D171" i="22"/>
  <c r="D168" i="22"/>
  <c r="D165" i="22"/>
  <c r="D162" i="22"/>
  <c r="D159" i="22"/>
  <c r="D156" i="22"/>
  <c r="D153" i="22"/>
  <c r="D150" i="22"/>
  <c r="D147" i="22"/>
  <c r="D144" i="22"/>
  <c r="D141" i="22"/>
  <c r="D138" i="22"/>
  <c r="D119" i="22"/>
  <c r="D130" i="22"/>
  <c r="D125" i="22"/>
  <c r="D116" i="22"/>
  <c r="D113" i="22"/>
  <c r="D110" i="22"/>
  <c r="D107" i="22"/>
  <c r="D104" i="22"/>
  <c r="D101" i="22"/>
  <c r="D98" i="22"/>
  <c r="D95" i="22"/>
  <c r="D92" i="22"/>
  <c r="D89" i="22"/>
  <c r="D86" i="22"/>
  <c r="D83" i="22"/>
  <c r="D80" i="22"/>
  <c r="D77" i="22"/>
  <c r="D74" i="22"/>
  <c r="D71" i="22"/>
  <c r="D68" i="22"/>
  <c r="D65" i="22"/>
  <c r="D62" i="22"/>
  <c r="D59" i="22"/>
  <c r="D56" i="22"/>
  <c r="D53" i="22"/>
  <c r="D50" i="22"/>
  <c r="D47" i="22"/>
  <c r="D44" i="22"/>
  <c r="D41" i="22"/>
  <c r="D38" i="22"/>
  <c r="D35" i="22"/>
  <c r="D32" i="22"/>
  <c r="D29" i="22"/>
  <c r="D26" i="22"/>
  <c r="D23" i="22"/>
  <c r="D20" i="22"/>
  <c r="D17" i="22"/>
  <c r="D14" i="22"/>
  <c r="D127" i="22"/>
  <c r="D122" i="22"/>
  <c r="D117" i="22"/>
  <c r="D114" i="22"/>
  <c r="D111" i="22"/>
  <c r="D108" i="22"/>
  <c r="D105" i="22"/>
  <c r="D102" i="22"/>
  <c r="D99" i="22"/>
  <c r="D96" i="22"/>
  <c r="D93" i="22"/>
  <c r="D90" i="22"/>
  <c r="D87" i="22"/>
  <c r="D84" i="22"/>
  <c r="D81" i="22"/>
  <c r="D78" i="22"/>
  <c r="D75" i="22"/>
  <c r="D72" i="22"/>
  <c r="D69" i="22"/>
  <c r="D66" i="22"/>
  <c r="D63" i="22"/>
  <c r="D60" i="22"/>
  <c r="D57" i="22"/>
  <c r="D54" i="22"/>
  <c r="D51" i="22"/>
  <c r="D48" i="22"/>
  <c r="D45" i="22"/>
  <c r="D42" i="22"/>
  <c r="D39" i="22"/>
  <c r="D36" i="22"/>
  <c r="D33" i="22"/>
  <c r="D30" i="22"/>
  <c r="D27" i="22"/>
  <c r="D24" i="22"/>
  <c r="D21" i="22"/>
  <c r="D18" i="22"/>
  <c r="D15" i="22"/>
  <c r="D12" i="22"/>
  <c r="E5" i="22"/>
  <c r="E8" i="22"/>
  <c r="E11" i="22"/>
  <c r="E12" i="22"/>
  <c r="E21" i="22"/>
  <c r="E30" i="22"/>
  <c r="E39" i="22"/>
  <c r="E48" i="22"/>
  <c r="E57" i="22"/>
  <c r="E66" i="22"/>
  <c r="E75" i="22"/>
  <c r="E84" i="22"/>
  <c r="E93" i="22"/>
  <c r="E102" i="22"/>
  <c r="G122" i="22"/>
  <c r="F156" i="22"/>
  <c r="F183" i="22"/>
  <c r="E133" i="22"/>
  <c r="E128" i="22"/>
  <c r="E184" i="22"/>
  <c r="E181" i="22"/>
  <c r="E178" i="22"/>
  <c r="E175" i="22"/>
  <c r="E172" i="22"/>
  <c r="E169" i="22"/>
  <c r="E166" i="22"/>
  <c r="E163" i="22"/>
  <c r="E160" i="22"/>
  <c r="E157" i="22"/>
  <c r="E154" i="22"/>
  <c r="E151" i="22"/>
  <c r="E148" i="22"/>
  <c r="E145" i="22"/>
  <c r="E142" i="22"/>
  <c r="E139" i="22"/>
  <c r="E136" i="22"/>
  <c r="E120" i="22"/>
  <c r="E126" i="22"/>
  <c r="E123" i="22"/>
  <c r="E131" i="22"/>
  <c r="E134" i="22"/>
  <c r="E185" i="22"/>
  <c r="E182" i="22"/>
  <c r="E179" i="22"/>
  <c r="E176" i="22"/>
  <c r="E173" i="22"/>
  <c r="E170" i="22"/>
  <c r="E167" i="22"/>
  <c r="E164" i="22"/>
  <c r="E161" i="22"/>
  <c r="E158" i="22"/>
  <c r="E155" i="22"/>
  <c r="E152" i="22"/>
  <c r="E149" i="22"/>
  <c r="E146" i="22"/>
  <c r="E143" i="22"/>
  <c r="E140" i="22"/>
  <c r="E137" i="22"/>
  <c r="E129" i="22"/>
  <c r="E121" i="22"/>
  <c r="E124" i="22"/>
  <c r="E127" i="22"/>
  <c r="E183" i="22"/>
  <c r="E180" i="22"/>
  <c r="E177" i="22"/>
  <c r="E174" i="22"/>
  <c r="E171" i="22"/>
  <c r="E168" i="22"/>
  <c r="E165" i="22"/>
  <c r="E162" i="22"/>
  <c r="E159" i="22"/>
  <c r="E156" i="22"/>
  <c r="E153" i="22"/>
  <c r="E150" i="22"/>
  <c r="E147" i="22"/>
  <c r="E144" i="22"/>
  <c r="E141" i="22"/>
  <c r="E138" i="22"/>
  <c r="E119" i="22"/>
  <c r="E130" i="22"/>
  <c r="E125" i="22"/>
  <c r="E122" i="22"/>
  <c r="F5" i="22"/>
  <c r="F8" i="22"/>
  <c r="F11" i="22"/>
  <c r="E20" i="22"/>
  <c r="E29" i="22"/>
  <c r="E38" i="22"/>
  <c r="E47" i="22"/>
  <c r="E56" i="22"/>
  <c r="E65" i="22"/>
  <c r="E74" i="22"/>
  <c r="E83" i="22"/>
  <c r="E92" i="22"/>
  <c r="E101" i="22"/>
  <c r="E110" i="22"/>
  <c r="F150" i="22"/>
  <c r="F184" i="22"/>
  <c r="F181" i="22"/>
  <c r="F178" i="22"/>
  <c r="F175" i="22"/>
  <c r="F172" i="22"/>
  <c r="F169" i="22"/>
  <c r="F166" i="22"/>
  <c r="F163" i="22"/>
  <c r="F160" i="22"/>
  <c r="F157" i="22"/>
  <c r="F154" i="22"/>
  <c r="F151" i="22"/>
  <c r="F148" i="22"/>
  <c r="F145" i="22"/>
  <c r="F142" i="22"/>
  <c r="F139" i="22"/>
  <c r="F136" i="22"/>
  <c r="F120" i="22"/>
  <c r="F126" i="22"/>
  <c r="F123" i="22"/>
  <c r="F131" i="22"/>
  <c r="F134" i="22"/>
  <c r="F185" i="22"/>
  <c r="F182" i="22"/>
  <c r="F179" i="22"/>
  <c r="F176" i="22"/>
  <c r="F173" i="22"/>
  <c r="F170" i="22"/>
  <c r="F167" i="22"/>
  <c r="F164" i="22"/>
  <c r="F161" i="22"/>
  <c r="F158" i="22"/>
  <c r="F155" i="22"/>
  <c r="F152" i="22"/>
  <c r="F149" i="22"/>
  <c r="F146" i="22"/>
  <c r="F143" i="22"/>
  <c r="F140" i="22"/>
  <c r="F137" i="22"/>
  <c r="F129" i="22"/>
  <c r="F121" i="22"/>
  <c r="F124" i="22"/>
  <c r="F127" i="22"/>
  <c r="F135" i="22"/>
  <c r="F132" i="22"/>
  <c r="F130" i="22"/>
  <c r="F125" i="22"/>
  <c r="F122" i="22"/>
  <c r="F116" i="22"/>
  <c r="F113" i="22"/>
  <c r="F110" i="22"/>
  <c r="F107" i="22"/>
  <c r="F104" i="22"/>
  <c r="F101" i="22"/>
  <c r="F98" i="22"/>
  <c r="F95" i="22"/>
  <c r="F92" i="22"/>
  <c r="F89" i="22"/>
  <c r="F86" i="22"/>
  <c r="F83" i="22"/>
  <c r="F80" i="22"/>
  <c r="F77" i="22"/>
  <c r="F74" i="22"/>
  <c r="F71" i="22"/>
  <c r="F68" i="22"/>
  <c r="F65" i="22"/>
  <c r="F62" i="22"/>
  <c r="F59" i="22"/>
  <c r="F56" i="22"/>
  <c r="F53" i="22"/>
  <c r="F50" i="22"/>
  <c r="F47" i="22"/>
  <c r="F44" i="22"/>
  <c r="F41" i="22"/>
  <c r="F38" i="22"/>
  <c r="F35" i="22"/>
  <c r="F32" i="22"/>
  <c r="F29" i="22"/>
  <c r="F26" i="22"/>
  <c r="F23" i="22"/>
  <c r="F20" i="22"/>
  <c r="F17" i="22"/>
  <c r="F14" i="22"/>
  <c r="F117" i="22"/>
  <c r="F114" i="22"/>
  <c r="F111" i="22"/>
  <c r="F108" i="22"/>
  <c r="F105" i="22"/>
  <c r="F102" i="22"/>
  <c r="F99" i="22"/>
  <c r="F96" i="22"/>
  <c r="F93" i="22"/>
  <c r="F90" i="22"/>
  <c r="F87" i="22"/>
  <c r="F84" i="22"/>
  <c r="F81" i="22"/>
  <c r="F78" i="22"/>
  <c r="F75" i="22"/>
  <c r="F72" i="22"/>
  <c r="F69" i="22"/>
  <c r="F66" i="22"/>
  <c r="F63" i="22"/>
  <c r="F60" i="22"/>
  <c r="F57" i="22"/>
  <c r="F54" i="22"/>
  <c r="F51" i="22"/>
  <c r="F48" i="22"/>
  <c r="F45" i="22"/>
  <c r="F42" i="22"/>
  <c r="F39" i="22"/>
  <c r="F36" i="22"/>
  <c r="F33" i="22"/>
  <c r="F30" i="22"/>
  <c r="F27" i="22"/>
  <c r="F24" i="22"/>
  <c r="F21" i="22"/>
  <c r="F18" i="22"/>
  <c r="F15" i="22"/>
  <c r="F12" i="22"/>
  <c r="F133" i="22"/>
  <c r="F118" i="22"/>
  <c r="F115" i="22"/>
  <c r="F112" i="22"/>
  <c r="F109" i="22"/>
  <c r="F106" i="22"/>
  <c r="F103" i="22"/>
  <c r="F100" i="22"/>
  <c r="F97" i="22"/>
  <c r="F94" i="22"/>
  <c r="F91" i="22"/>
  <c r="F88" i="22"/>
  <c r="F85" i="22"/>
  <c r="F82" i="22"/>
  <c r="F79" i="22"/>
  <c r="F76" i="22"/>
  <c r="F73" i="22"/>
  <c r="F70" i="22"/>
  <c r="F67" i="22"/>
  <c r="F64" i="22"/>
  <c r="F61" i="22"/>
  <c r="F58" i="22"/>
  <c r="F55" i="22"/>
  <c r="F52" i="22"/>
  <c r="F49" i="22"/>
  <c r="F46" i="22"/>
  <c r="F43" i="22"/>
  <c r="F40" i="22"/>
  <c r="F37" i="22"/>
  <c r="F34" i="22"/>
  <c r="F31" i="22"/>
  <c r="F28" i="22"/>
  <c r="F25" i="22"/>
  <c r="F22" i="22"/>
  <c r="F19" i="22"/>
  <c r="F16" i="22"/>
  <c r="F13" i="22"/>
  <c r="G5" i="22"/>
  <c r="G8" i="22"/>
  <c r="D28" i="22"/>
  <c r="D37" i="22"/>
  <c r="D46" i="22"/>
  <c r="D55" i="22"/>
  <c r="D64" i="22"/>
  <c r="D73" i="22"/>
  <c r="D82" i="22"/>
  <c r="D91" i="22"/>
  <c r="D100" i="22"/>
  <c r="D109" i="22"/>
  <c r="D118" i="22"/>
  <c r="G126" i="22"/>
  <c r="G123" i="22"/>
  <c r="G131" i="22"/>
  <c r="G134" i="22"/>
  <c r="G185" i="22"/>
  <c r="G182" i="22"/>
  <c r="G179" i="22"/>
  <c r="G176" i="22"/>
  <c r="G173" i="22"/>
  <c r="G170" i="22"/>
  <c r="G167" i="22"/>
  <c r="G164" i="22"/>
  <c r="G161" i="22"/>
  <c r="G158" i="22"/>
  <c r="G155" i="22"/>
  <c r="G152" i="22"/>
  <c r="G149" i="22"/>
  <c r="G146" i="22"/>
  <c r="G143" i="22"/>
  <c r="G140" i="22"/>
  <c r="G137" i="22"/>
  <c r="G129" i="22"/>
  <c r="G121" i="22"/>
  <c r="G124" i="22"/>
  <c r="G127" i="22"/>
  <c r="G135" i="22"/>
  <c r="G132" i="22"/>
  <c r="G183" i="22"/>
  <c r="G180" i="22"/>
  <c r="G177" i="22"/>
  <c r="G174" i="22"/>
  <c r="G171" i="22"/>
  <c r="G168" i="22"/>
  <c r="G165" i="22"/>
  <c r="G162" i="22"/>
  <c r="G159" i="22"/>
  <c r="G156" i="22"/>
  <c r="G153" i="22"/>
  <c r="G150" i="22"/>
  <c r="G147" i="22"/>
  <c r="G144" i="22"/>
  <c r="G141" i="22"/>
  <c r="G138" i="22"/>
  <c r="G119" i="22"/>
  <c r="G133" i="22"/>
  <c r="G128" i="22"/>
  <c r="G130" i="22"/>
  <c r="G116" i="22"/>
  <c r="G113" i="22"/>
  <c r="G110" i="22"/>
  <c r="G107" i="22"/>
  <c r="G104" i="22"/>
  <c r="G101" i="22"/>
  <c r="G98" i="22"/>
  <c r="G95" i="22"/>
  <c r="G92" i="22"/>
  <c r="G89" i="22"/>
  <c r="G86" i="22"/>
  <c r="G83" i="22"/>
  <c r="G80" i="22"/>
  <c r="G77" i="22"/>
  <c r="G74" i="22"/>
  <c r="G71" i="22"/>
  <c r="G68" i="22"/>
  <c r="G65" i="22"/>
  <c r="G62" i="22"/>
  <c r="G59" i="22"/>
  <c r="G56" i="22"/>
  <c r="G53" i="22"/>
  <c r="G50" i="22"/>
  <c r="G47" i="22"/>
  <c r="G44" i="22"/>
  <c r="G41" i="22"/>
  <c r="G38" i="22"/>
  <c r="G35" i="22"/>
  <c r="G32" i="22"/>
  <c r="G29" i="22"/>
  <c r="G26" i="22"/>
  <c r="G23" i="22"/>
  <c r="G20" i="22"/>
  <c r="G17" i="22"/>
  <c r="G14" i="22"/>
  <c r="G184" i="22"/>
  <c r="G175" i="22"/>
  <c r="G166" i="22"/>
  <c r="G157" i="22"/>
  <c r="G148" i="22"/>
  <c r="G139" i="22"/>
  <c r="G117" i="22"/>
  <c r="G114" i="22"/>
  <c r="G111" i="22"/>
  <c r="G108" i="22"/>
  <c r="G105" i="22"/>
  <c r="G102" i="22"/>
  <c r="G99" i="22"/>
  <c r="G96" i="22"/>
  <c r="G93" i="22"/>
  <c r="G90" i="22"/>
  <c r="G87" i="22"/>
  <c r="G84" i="22"/>
  <c r="G81" i="22"/>
  <c r="G78" i="22"/>
  <c r="G75" i="22"/>
  <c r="G72" i="22"/>
  <c r="G69" i="22"/>
  <c r="G66" i="22"/>
  <c r="G63" i="22"/>
  <c r="G60" i="22"/>
  <c r="G57" i="22"/>
  <c r="G54" i="22"/>
  <c r="G51" i="22"/>
  <c r="G48" i="22"/>
  <c r="G45" i="22"/>
  <c r="G42" i="22"/>
  <c r="G39" i="22"/>
  <c r="G36" i="22"/>
  <c r="G33" i="22"/>
  <c r="G30" i="22"/>
  <c r="G27" i="22"/>
  <c r="G24" i="22"/>
  <c r="G21" i="22"/>
  <c r="G18" i="22"/>
  <c r="G15" i="22"/>
  <c r="G12" i="22"/>
  <c r="G181" i="22"/>
  <c r="G172" i="22"/>
  <c r="G163" i="22"/>
  <c r="G154" i="22"/>
  <c r="G145" i="22"/>
  <c r="G136" i="22"/>
  <c r="G120" i="22"/>
  <c r="G118" i="22"/>
  <c r="G115" i="22"/>
  <c r="G112" i="22"/>
  <c r="G109" i="22"/>
  <c r="G106" i="22"/>
  <c r="G103" i="22"/>
  <c r="G100" i="22"/>
  <c r="G97" i="22"/>
  <c r="G94" i="22"/>
  <c r="G91" i="22"/>
  <c r="G88" i="22"/>
  <c r="G85" i="22"/>
  <c r="G82" i="22"/>
  <c r="G79" i="22"/>
  <c r="G76" i="22"/>
  <c r="G73" i="22"/>
  <c r="G70" i="22"/>
  <c r="G67" i="22"/>
  <c r="G64" i="22"/>
  <c r="G61" i="22"/>
  <c r="G58" i="22"/>
  <c r="G55" i="22"/>
  <c r="G52" i="22"/>
  <c r="G49" i="22"/>
  <c r="G46" i="22"/>
  <c r="G43" i="22"/>
  <c r="G40" i="22"/>
  <c r="G37" i="22"/>
  <c r="G34" i="22"/>
  <c r="G31" i="22"/>
  <c r="G28" i="22"/>
  <c r="G25" i="22"/>
  <c r="G22" i="22"/>
  <c r="G19" i="22"/>
  <c r="G16" i="22"/>
  <c r="G13" i="22"/>
  <c r="G178" i="22"/>
  <c r="G169" i="22"/>
  <c r="G160" i="22"/>
  <c r="G151" i="22"/>
  <c r="G142" i="22"/>
  <c r="E19" i="22"/>
  <c r="E28" i="22"/>
  <c r="E37" i="22"/>
  <c r="E46" i="22"/>
  <c r="E55" i="22"/>
  <c r="E64" i="22"/>
  <c r="E73" i="22"/>
  <c r="E82" i="22"/>
  <c r="E91" i="22"/>
  <c r="E100" i="22"/>
  <c r="E109" i="22"/>
  <c r="E118" i="22"/>
  <c r="F144" i="22"/>
  <c r="F171" i="22"/>
  <c r="H1" i="22"/>
  <c r="E4" i="22"/>
  <c r="E7" i="22"/>
  <c r="E10" i="22"/>
  <c r="E18" i="22"/>
  <c r="E27" i="22"/>
  <c r="E36" i="22"/>
  <c r="E45" i="22"/>
  <c r="E54" i="22"/>
  <c r="E63" i="22"/>
  <c r="E72" i="22"/>
  <c r="E81" i="22"/>
  <c r="E90" i="22"/>
  <c r="E99" i="22"/>
  <c r="E108" i="22"/>
  <c r="E117" i="22"/>
  <c r="F138" i="22"/>
  <c r="F165" i="22"/>
  <c r="F4" i="22"/>
  <c r="F7" i="22"/>
  <c r="F10" i="22"/>
  <c r="E17" i="22"/>
  <c r="E26" i="22"/>
  <c r="E35" i="22"/>
  <c r="E44" i="22"/>
  <c r="E53" i="22"/>
  <c r="E62" i="22"/>
  <c r="E71" i="22"/>
  <c r="E80" i="22"/>
  <c r="E89" i="22"/>
  <c r="E98" i="22"/>
  <c r="E107" i="22"/>
  <c r="E116" i="22"/>
  <c r="G125" i="22"/>
  <c r="E132" i="22"/>
  <c r="F159" i="22"/>
  <c r="G4" i="22"/>
  <c r="G7" i="22"/>
  <c r="G10" i="22"/>
  <c r="D16" i="22"/>
  <c r="D25" i="22"/>
  <c r="D34" i="22"/>
  <c r="D43" i="22"/>
  <c r="D52" i="22"/>
  <c r="D61" i="22"/>
  <c r="D70" i="22"/>
  <c r="D79" i="22"/>
  <c r="D88" i="22"/>
  <c r="D97" i="22"/>
  <c r="D106" i="22"/>
  <c r="D115" i="22"/>
  <c r="D3" i="22"/>
  <c r="D6" i="22"/>
  <c r="D9" i="22"/>
  <c r="E16" i="22"/>
  <c r="E25" i="22"/>
  <c r="E34" i="22"/>
  <c r="E43" i="22"/>
  <c r="E52" i="22"/>
  <c r="E61" i="22"/>
  <c r="E70" i="22"/>
  <c r="E79" i="22"/>
  <c r="E88" i="22"/>
  <c r="E97" i="22"/>
  <c r="E106" i="22"/>
  <c r="E115" i="22"/>
  <c r="F119" i="22"/>
  <c r="F153" i="22"/>
  <c r="F180" i="22"/>
  <c r="E3" i="22"/>
  <c r="E6" i="22"/>
  <c r="E9" i="22"/>
  <c r="E15" i="22"/>
  <c r="E24" i="22"/>
  <c r="E33" i="22"/>
  <c r="E42" i="22"/>
  <c r="E51" i="22"/>
  <c r="E60" i="22"/>
  <c r="E69" i="22"/>
  <c r="E78" i="22"/>
  <c r="E87" i="22"/>
  <c r="E96" i="22"/>
  <c r="E105" i="22"/>
  <c r="E114" i="22"/>
  <c r="F147" i="22"/>
  <c r="F174" i="22"/>
  <c r="D183" i="23"/>
  <c r="D180" i="23"/>
  <c r="D177" i="23"/>
  <c r="D174" i="23"/>
  <c r="D171" i="23"/>
  <c r="D168" i="23"/>
  <c r="D165" i="23"/>
  <c r="D162" i="23"/>
  <c r="D159" i="23"/>
  <c r="D156" i="23"/>
  <c r="D153" i="23"/>
  <c r="D150" i="23"/>
  <c r="D147" i="23"/>
  <c r="D144" i="23"/>
  <c r="D141" i="23"/>
  <c r="D138" i="23"/>
  <c r="D130" i="23"/>
  <c r="D125" i="23"/>
  <c r="D122" i="23"/>
  <c r="D133" i="23"/>
  <c r="D128" i="23"/>
  <c r="D184" i="23"/>
  <c r="D181" i="23"/>
  <c r="D178" i="23"/>
  <c r="D175" i="23"/>
  <c r="D172" i="23"/>
  <c r="D169" i="23"/>
  <c r="D166" i="23"/>
  <c r="D163" i="23"/>
  <c r="D160" i="23"/>
  <c r="D157" i="23"/>
  <c r="D154" i="23"/>
  <c r="D151" i="23"/>
  <c r="D148" i="23"/>
  <c r="D145" i="23"/>
  <c r="D142" i="23"/>
  <c r="D139" i="23"/>
  <c r="D136" i="23"/>
  <c r="D120" i="23"/>
  <c r="D131" i="23"/>
  <c r="D134" i="23"/>
  <c r="D127" i="23"/>
  <c r="D119" i="23"/>
  <c r="D123" i="23"/>
  <c r="D116" i="23"/>
  <c r="D113" i="23"/>
  <c r="D110" i="23"/>
  <c r="D107" i="23"/>
  <c r="D104" i="23"/>
  <c r="D101" i="23"/>
  <c r="D98" i="23"/>
  <c r="D95" i="23"/>
  <c r="D92" i="23"/>
  <c r="D89" i="23"/>
  <c r="D86" i="23"/>
  <c r="D121" i="23"/>
  <c r="D117" i="23"/>
  <c r="D114" i="23"/>
  <c r="D111" i="23"/>
  <c r="D108" i="23"/>
  <c r="D105" i="23"/>
  <c r="D102" i="23"/>
  <c r="D99" i="23"/>
  <c r="D96" i="23"/>
  <c r="D173" i="23"/>
  <c r="D118" i="23"/>
  <c r="D109" i="23"/>
  <c r="D179" i="23"/>
  <c r="D167" i="23"/>
  <c r="D152" i="23"/>
  <c r="D140" i="23"/>
  <c r="D135" i="23"/>
  <c r="D115" i="23"/>
  <c r="D106" i="23"/>
  <c r="D126" i="23"/>
  <c r="D185" i="23"/>
  <c r="D170" i="23"/>
  <c r="D158" i="23"/>
  <c r="D143" i="23"/>
  <c r="D164" i="23"/>
  <c r="D88" i="23"/>
  <c r="D100" i="23"/>
  <c r="D83" i="23"/>
  <c r="D80" i="23"/>
  <c r="D77" i="23"/>
  <c r="D74" i="23"/>
  <c r="D71" i="23"/>
  <c r="D68" i="23"/>
  <c r="D65" i="23"/>
  <c r="D62" i="23"/>
  <c r="D59" i="23"/>
  <c r="D56" i="23"/>
  <c r="D53" i="23"/>
  <c r="D50" i="23"/>
  <c r="D124" i="23"/>
  <c r="D94" i="23"/>
  <c r="D93" i="23"/>
  <c r="D87" i="23"/>
  <c r="D129" i="23"/>
  <c r="D112" i="23"/>
  <c r="D91" i="23"/>
  <c r="D176" i="23"/>
  <c r="D132" i="23"/>
  <c r="D90" i="23"/>
  <c r="D182" i="23"/>
  <c r="D155" i="23"/>
  <c r="D137" i="23"/>
  <c r="D103" i="23"/>
  <c r="D85" i="23"/>
  <c r="D82" i="23"/>
  <c r="D79" i="23"/>
  <c r="D76" i="23"/>
  <c r="D73" i="23"/>
  <c r="D70" i="23"/>
  <c r="D67" i="23"/>
  <c r="D64" i="23"/>
  <c r="D61" i="23"/>
  <c r="D58" i="23"/>
  <c r="D55" i="23"/>
  <c r="D52" i="23"/>
  <c r="D49" i="23"/>
  <c r="D69" i="23"/>
  <c r="D78" i="23"/>
  <c r="D146" i="23"/>
  <c r="E1" i="23"/>
  <c r="D57" i="23"/>
  <c r="D97" i="23"/>
  <c r="D4" i="23"/>
  <c r="D7" i="23"/>
  <c r="D10" i="23"/>
  <c r="D13" i="23"/>
  <c r="D16" i="23"/>
  <c r="D19" i="23"/>
  <c r="D22" i="23"/>
  <c r="D25" i="23"/>
  <c r="D28" i="23"/>
  <c r="D31" i="23"/>
  <c r="D34" i="23"/>
  <c r="D37" i="23"/>
  <c r="D40" i="23"/>
  <c r="D43" i="23"/>
  <c r="D46" i="23"/>
  <c r="D54" i="23"/>
  <c r="D72" i="23"/>
  <c r="D81" i="23"/>
  <c r="D48" i="23"/>
  <c r="D63" i="23"/>
  <c r="D3" i="23"/>
  <c r="D6" i="23"/>
  <c r="D9" i="23"/>
  <c r="D12" i="23"/>
  <c r="D15" i="23"/>
  <c r="D18" i="23"/>
  <c r="D21" i="23"/>
  <c r="D24" i="23"/>
  <c r="D27" i="23"/>
  <c r="D30" i="23"/>
  <c r="D33" i="23"/>
  <c r="D36" i="23"/>
  <c r="D39" i="23"/>
  <c r="D42" i="23"/>
  <c r="D45" i="23"/>
  <c r="D84" i="23"/>
  <c r="D66" i="23"/>
  <c r="D75" i="23"/>
  <c r="D60" i="23"/>
  <c r="D161" i="23"/>
  <c r="E180" i="24"/>
  <c r="E177" i="24"/>
  <c r="E174" i="24"/>
  <c r="E171" i="24"/>
  <c r="E168" i="24"/>
  <c r="E165" i="24"/>
  <c r="E162" i="24"/>
  <c r="E159" i="24"/>
  <c r="E156" i="24"/>
  <c r="E153" i="24"/>
  <c r="E150" i="24"/>
  <c r="E147" i="24"/>
  <c r="E144" i="24"/>
  <c r="E141" i="24"/>
  <c r="E181" i="24"/>
  <c r="E178" i="24"/>
  <c r="E175" i="24"/>
  <c r="E172" i="24"/>
  <c r="E169" i="24"/>
  <c r="E166" i="24"/>
  <c r="E163" i="24"/>
  <c r="E160" i="24"/>
  <c r="E157" i="24"/>
  <c r="E154" i="24"/>
  <c r="E151" i="24"/>
  <c r="E148" i="24"/>
  <c r="E145" i="24"/>
  <c r="E142" i="24"/>
  <c r="E131" i="24"/>
  <c r="E128" i="24"/>
  <c r="E140" i="24"/>
  <c r="E137" i="24"/>
  <c r="E134" i="24"/>
  <c r="E115" i="24"/>
  <c r="E112" i="24"/>
  <c r="E109" i="24"/>
  <c r="E106" i="24"/>
  <c r="E103" i="24"/>
  <c r="E100" i="24"/>
  <c r="E97" i="24"/>
  <c r="E94" i="24"/>
  <c r="E91" i="24"/>
  <c r="E88" i="24"/>
  <c r="E85" i="24"/>
  <c r="E82" i="24"/>
  <c r="E79" i="24"/>
  <c r="E76" i="24"/>
  <c r="E73" i="24"/>
  <c r="E70" i="24"/>
  <c r="E67" i="24"/>
  <c r="E64" i="24"/>
  <c r="E61" i="24"/>
  <c r="E58" i="24"/>
  <c r="E55" i="24"/>
  <c r="E52" i="24"/>
  <c r="E49" i="24"/>
  <c r="E46" i="24"/>
  <c r="E43" i="24"/>
  <c r="E40" i="24"/>
  <c r="E37" i="24"/>
  <c r="E34" i="24"/>
  <c r="E31" i="24"/>
  <c r="E126" i="24"/>
  <c r="E121" i="24"/>
  <c r="E118" i="24"/>
  <c r="E129" i="24"/>
  <c r="E124" i="24"/>
  <c r="E138" i="24"/>
  <c r="E135" i="24"/>
  <c r="E132" i="24"/>
  <c r="E116" i="24"/>
  <c r="E113" i="24"/>
  <c r="E110" i="24"/>
  <c r="E107" i="24"/>
  <c r="E104" i="24"/>
  <c r="E101" i="24"/>
  <c r="E98" i="24"/>
  <c r="E95" i="24"/>
  <c r="E92" i="24"/>
  <c r="E89" i="24"/>
  <c r="E86" i="24"/>
  <c r="E83" i="24"/>
  <c r="E80" i="24"/>
  <c r="E77" i="24"/>
  <c r="E74" i="24"/>
  <c r="E71" i="24"/>
  <c r="E68" i="24"/>
  <c r="E65" i="24"/>
  <c r="E62" i="24"/>
  <c r="E59" i="24"/>
  <c r="E56" i="24"/>
  <c r="E53" i="24"/>
  <c r="E50" i="24"/>
  <c r="E47" i="24"/>
  <c r="E44" i="24"/>
  <c r="E41" i="24"/>
  <c r="E38" i="24"/>
  <c r="E35" i="24"/>
  <c r="E32" i="24"/>
  <c r="E29" i="24"/>
  <c r="E122" i="24"/>
  <c r="E119" i="24"/>
  <c r="E127" i="24"/>
  <c r="E120" i="24"/>
  <c r="E179" i="24"/>
  <c r="E173" i="24"/>
  <c r="E167" i="24"/>
  <c r="E161" i="24"/>
  <c r="E155" i="24"/>
  <c r="E149" i="24"/>
  <c r="E143" i="24"/>
  <c r="E26" i="24"/>
  <c r="E23" i="24"/>
  <c r="E20" i="24"/>
  <c r="E17" i="24"/>
  <c r="E14" i="24"/>
  <c r="E11" i="24"/>
  <c r="E8" i="24"/>
  <c r="E5" i="24"/>
  <c r="E130" i="24"/>
  <c r="E51" i="24"/>
  <c r="E42" i="24"/>
  <c r="E33" i="24"/>
  <c r="E139" i="24"/>
  <c r="E136" i="24"/>
  <c r="E133" i="24"/>
  <c r="E27" i="24"/>
  <c r="E24" i="24"/>
  <c r="E21" i="24"/>
  <c r="E18" i="24"/>
  <c r="E15" i="24"/>
  <c r="E12" i="24"/>
  <c r="E9" i="24"/>
  <c r="E6" i="24"/>
  <c r="E3" i="24"/>
  <c r="E176" i="24"/>
  <c r="E170" i="24"/>
  <c r="E164" i="24"/>
  <c r="E158" i="24"/>
  <c r="E152" i="24"/>
  <c r="E146" i="24"/>
  <c r="E125" i="24"/>
  <c r="E45" i="24"/>
  <c r="E36" i="24"/>
  <c r="E117" i="24"/>
  <c r="E114" i="24"/>
  <c r="E111" i="24"/>
  <c r="E108" i="24"/>
  <c r="E105" i="24"/>
  <c r="E102" i="24"/>
  <c r="E99" i="24"/>
  <c r="E96" i="24"/>
  <c r="E93" i="24"/>
  <c r="E90" i="24"/>
  <c r="E87" i="24"/>
  <c r="E84" i="24"/>
  <c r="E81" i="24"/>
  <c r="E78" i="24"/>
  <c r="E75" i="24"/>
  <c r="E72" i="24"/>
  <c r="E69" i="24"/>
  <c r="E66" i="24"/>
  <c r="E63" i="24"/>
  <c r="E60" i="24"/>
  <c r="E57" i="24"/>
  <c r="E54" i="24"/>
  <c r="F1" i="24"/>
  <c r="E19" i="24"/>
  <c r="E10" i="24"/>
  <c r="E48" i="24"/>
  <c r="E39" i="24"/>
  <c r="E30" i="24"/>
  <c r="E25" i="24"/>
  <c r="E16" i="24"/>
  <c r="E7" i="24"/>
  <c r="E123" i="24"/>
  <c r="E22" i="24"/>
  <c r="D33" i="24"/>
  <c r="D42" i="24"/>
  <c r="D51" i="24"/>
  <c r="D130" i="24"/>
  <c r="D127" i="24"/>
  <c r="D5" i="24"/>
  <c r="D8" i="24"/>
  <c r="D11" i="24"/>
  <c r="D14" i="24"/>
  <c r="D17" i="24"/>
  <c r="D20" i="24"/>
  <c r="D23" i="24"/>
  <c r="D180" i="24"/>
  <c r="D177" i="24"/>
  <c r="D174" i="24"/>
  <c r="D171" i="24"/>
  <c r="D168" i="24"/>
  <c r="D165" i="24"/>
  <c r="D162" i="24"/>
  <c r="D159" i="24"/>
  <c r="D156" i="24"/>
  <c r="D153" i="24"/>
  <c r="D150" i="24"/>
  <c r="D147" i="24"/>
  <c r="D144" i="24"/>
  <c r="D141" i="24"/>
  <c r="D181" i="24"/>
  <c r="D178" i="24"/>
  <c r="D175" i="24"/>
  <c r="D172" i="24"/>
  <c r="D169" i="24"/>
  <c r="D166" i="24"/>
  <c r="D163" i="24"/>
  <c r="D160" i="24"/>
  <c r="D157" i="24"/>
  <c r="D154" i="24"/>
  <c r="D151" i="24"/>
  <c r="D148" i="24"/>
  <c r="D145" i="24"/>
  <c r="D142" i="24"/>
  <c r="D179" i="24"/>
  <c r="D176" i="24"/>
  <c r="D173" i="24"/>
  <c r="D170" i="24"/>
  <c r="D167" i="24"/>
  <c r="D164" i="24"/>
  <c r="D161" i="24"/>
  <c r="D158" i="24"/>
  <c r="D155" i="24"/>
  <c r="D152" i="24"/>
  <c r="D149" i="24"/>
  <c r="D146" i="24"/>
  <c r="D143" i="24"/>
  <c r="D123" i="24"/>
  <c r="D131" i="24"/>
  <c r="D128" i="24"/>
  <c r="D140" i="24"/>
  <c r="D137" i="24"/>
  <c r="D134" i="24"/>
  <c r="D115" i="24"/>
  <c r="D112" i="24"/>
  <c r="D109" i="24"/>
  <c r="D106" i="24"/>
  <c r="D103" i="24"/>
  <c r="D100" i="24"/>
  <c r="D97" i="24"/>
  <c r="D94" i="24"/>
  <c r="D91" i="24"/>
  <c r="D88" i="24"/>
  <c r="D85" i="24"/>
  <c r="D82" i="24"/>
  <c r="D79" i="24"/>
  <c r="D76" i="24"/>
  <c r="D73" i="24"/>
  <c r="D70" i="24"/>
  <c r="D67" i="24"/>
  <c r="D64" i="24"/>
  <c r="D61" i="24"/>
  <c r="D58" i="24"/>
  <c r="D55" i="24"/>
  <c r="D52" i="24"/>
  <c r="D49" i="24"/>
  <c r="D46" i="24"/>
  <c r="D43" i="24"/>
  <c r="D40" i="24"/>
  <c r="D37" i="24"/>
  <c r="D34" i="24"/>
  <c r="D31" i="24"/>
  <c r="D126" i="24"/>
  <c r="D121" i="24"/>
  <c r="D118" i="24"/>
  <c r="D129" i="24"/>
  <c r="D124" i="24"/>
  <c r="D138" i="24"/>
  <c r="D135" i="24"/>
  <c r="D132" i="24"/>
  <c r="D116" i="24"/>
  <c r="D113" i="24"/>
  <c r="D110" i="24"/>
  <c r="D107" i="24"/>
  <c r="D104" i="24"/>
  <c r="D101" i="24"/>
  <c r="D98" i="24"/>
  <c r="D95" i="24"/>
  <c r="D92" i="24"/>
  <c r="D89" i="24"/>
  <c r="D86" i="24"/>
  <c r="D83" i="24"/>
  <c r="D80" i="24"/>
  <c r="D77" i="24"/>
  <c r="D74" i="24"/>
  <c r="D71" i="24"/>
  <c r="D68" i="24"/>
  <c r="D65" i="24"/>
  <c r="D62" i="24"/>
  <c r="D59" i="24"/>
  <c r="D56" i="24"/>
  <c r="D53" i="24"/>
  <c r="D50" i="24"/>
  <c r="D47" i="24"/>
  <c r="D44" i="24"/>
  <c r="D41" i="24"/>
  <c r="D38" i="24"/>
  <c r="D35" i="24"/>
  <c r="D32" i="24"/>
  <c r="D29" i="24"/>
  <c r="D122" i="24"/>
  <c r="D119" i="24"/>
  <c r="D139" i="24"/>
  <c r="D136" i="24"/>
  <c r="D133" i="24"/>
  <c r="D125" i="24"/>
  <c r="D117" i="24"/>
  <c r="D114" i="24"/>
  <c r="D111" i="24"/>
  <c r="D108" i="24"/>
  <c r="D105" i="24"/>
  <c r="D102" i="24"/>
  <c r="D99" i="24"/>
  <c r="D96" i="24"/>
  <c r="D93" i="24"/>
  <c r="D90" i="24"/>
  <c r="D87" i="24"/>
  <c r="D84" i="24"/>
  <c r="D81" i="24"/>
  <c r="D78" i="24"/>
  <c r="D75" i="24"/>
  <c r="D72" i="24"/>
  <c r="D69" i="24"/>
  <c r="D66" i="24"/>
  <c r="D63" i="24"/>
  <c r="D60" i="24"/>
  <c r="D57" i="24"/>
  <c r="D54" i="24"/>
  <c r="D30" i="24"/>
  <c r="D39" i="24"/>
  <c r="D48" i="24"/>
  <c r="E178" i="25"/>
  <c r="E179" i="25"/>
  <c r="E175" i="25"/>
  <c r="E172" i="25"/>
  <c r="E169" i="25"/>
  <c r="E166" i="25"/>
  <c r="E163" i="25"/>
  <c r="E160" i="25"/>
  <c r="E157" i="25"/>
  <c r="E154" i="25"/>
  <c r="E151" i="25"/>
  <c r="E148" i="25"/>
  <c r="E145" i="25"/>
  <c r="E142" i="25"/>
  <c r="E139" i="25"/>
  <c r="E136" i="25"/>
  <c r="E176" i="25"/>
  <c r="E173" i="25"/>
  <c r="E170" i="25"/>
  <c r="E167" i="25"/>
  <c r="E164" i="25"/>
  <c r="E161" i="25"/>
  <c r="E158" i="25"/>
  <c r="E155" i="25"/>
  <c r="E152" i="25"/>
  <c r="E149" i="25"/>
  <c r="E146" i="25"/>
  <c r="E143" i="25"/>
  <c r="E140" i="25"/>
  <c r="E137" i="25"/>
  <c r="E128" i="25"/>
  <c r="E118" i="25"/>
  <c r="E127" i="25"/>
  <c r="E122" i="25"/>
  <c r="E174" i="25"/>
  <c r="E171" i="25"/>
  <c r="E125" i="25"/>
  <c r="E177" i="25"/>
  <c r="E141" i="25"/>
  <c r="E134" i="25"/>
  <c r="E96" i="25"/>
  <c r="E93" i="25"/>
  <c r="E90" i="25"/>
  <c r="E87" i="25"/>
  <c r="E84" i="25"/>
  <c r="E81" i="25"/>
  <c r="E78" i="25"/>
  <c r="E75" i="25"/>
  <c r="E138" i="25"/>
  <c r="E98" i="25"/>
  <c r="E131" i="25"/>
  <c r="E115" i="25"/>
  <c r="E114" i="25"/>
  <c r="E113" i="25"/>
  <c r="E112" i="25"/>
  <c r="E111" i="25"/>
  <c r="E110" i="25"/>
  <c r="E109" i="25"/>
  <c r="E108" i="25"/>
  <c r="E107" i="25"/>
  <c r="E106" i="25"/>
  <c r="E105" i="25"/>
  <c r="E104" i="25"/>
  <c r="E103" i="25"/>
  <c r="E94" i="25"/>
  <c r="E91" i="25"/>
  <c r="E88" i="25"/>
  <c r="E85" i="25"/>
  <c r="E82" i="25"/>
  <c r="E79" i="25"/>
  <c r="E76" i="25"/>
  <c r="E150" i="25"/>
  <c r="E135" i="25"/>
  <c r="E156" i="25"/>
  <c r="E121" i="25"/>
  <c r="E120" i="25"/>
  <c r="E119" i="25"/>
  <c r="E117" i="25"/>
  <c r="E116" i="25"/>
  <c r="E168" i="25"/>
  <c r="E132" i="25"/>
  <c r="E123" i="25"/>
  <c r="E74" i="25"/>
  <c r="E69" i="25"/>
  <c r="E66" i="25"/>
  <c r="E63" i="25"/>
  <c r="E60" i="25"/>
  <c r="E57" i="25"/>
  <c r="E54" i="25"/>
  <c r="E51" i="25"/>
  <c r="E48" i="25"/>
  <c r="E45" i="25"/>
  <c r="E42" i="25"/>
  <c r="E124" i="25"/>
  <c r="E159" i="25"/>
  <c r="E95" i="25"/>
  <c r="E86" i="25"/>
  <c r="E77" i="25"/>
  <c r="E73" i="25"/>
  <c r="E133" i="25"/>
  <c r="E102" i="25"/>
  <c r="E126" i="25"/>
  <c r="E100" i="25"/>
  <c r="E162" i="25"/>
  <c r="E147" i="25"/>
  <c r="E72" i="25"/>
  <c r="E153" i="25"/>
  <c r="E129" i="25"/>
  <c r="E101" i="25"/>
  <c r="E99" i="25"/>
  <c r="E80" i="25"/>
  <c r="E71" i="25"/>
  <c r="E68" i="25"/>
  <c r="E65" i="25"/>
  <c r="E62" i="25"/>
  <c r="E59" i="25"/>
  <c r="E56" i="25"/>
  <c r="E53" i="25"/>
  <c r="E50" i="25"/>
  <c r="E47" i="25"/>
  <c r="E41" i="25"/>
  <c r="E38" i="25"/>
  <c r="E35" i="25"/>
  <c r="E32" i="25"/>
  <c r="E29" i="25"/>
  <c r="E26" i="25"/>
  <c r="E23" i="25"/>
  <c r="E20" i="25"/>
  <c r="E17" i="25"/>
  <c r="E14" i="25"/>
  <c r="E11" i="25"/>
  <c r="E144" i="25"/>
  <c r="E92" i="25"/>
  <c r="E165" i="25"/>
  <c r="E44" i="25"/>
  <c r="E43" i="25"/>
  <c r="E97" i="25"/>
  <c r="E89" i="25"/>
  <c r="E70" i="25"/>
  <c r="E67" i="25"/>
  <c r="E64" i="25"/>
  <c r="E61" i="25"/>
  <c r="E58" i="25"/>
  <c r="E55" i="25"/>
  <c r="E52" i="25"/>
  <c r="E49" i="25"/>
  <c r="E39" i="25"/>
  <c r="E36" i="25"/>
  <c r="E33" i="25"/>
  <c r="E30" i="25"/>
  <c r="E27" i="25"/>
  <c r="E24" i="25"/>
  <c r="E21" i="25"/>
  <c r="E18" i="25"/>
  <c r="E15" i="25"/>
  <c r="E12" i="25"/>
  <c r="E9" i="25"/>
  <c r="E46" i="25"/>
  <c r="E40" i="25"/>
  <c r="E37" i="25"/>
  <c r="E34" i="25"/>
  <c r="E31" i="25"/>
  <c r="E28" i="25"/>
  <c r="E25" i="25"/>
  <c r="E22" i="25"/>
  <c r="E19" i="25"/>
  <c r="E16" i="25"/>
  <c r="E13" i="25"/>
  <c r="E10" i="25"/>
  <c r="E6" i="25"/>
  <c r="E3" i="25"/>
  <c r="E130" i="25"/>
  <c r="E7" i="25"/>
  <c r="E4" i="25"/>
  <c r="E83" i="25"/>
  <c r="E8" i="25"/>
  <c r="E5" i="25"/>
  <c r="F1" i="25"/>
  <c r="D178" i="25"/>
  <c r="D171" i="25"/>
  <c r="D170" i="25"/>
  <c r="D162" i="25"/>
  <c r="D161" i="25"/>
  <c r="D153" i="25"/>
  <c r="D152" i="25"/>
  <c r="D144" i="25"/>
  <c r="D143" i="25"/>
  <c r="D135" i="25"/>
  <c r="D133" i="25"/>
  <c r="D130" i="25"/>
  <c r="D169" i="25"/>
  <c r="D160" i="25"/>
  <c r="D151" i="25"/>
  <c r="D142" i="25"/>
  <c r="D125" i="25"/>
  <c r="D177" i="25"/>
  <c r="D176" i="25"/>
  <c r="D168" i="25"/>
  <c r="D167" i="25"/>
  <c r="D159" i="25"/>
  <c r="D158" i="25"/>
  <c r="D150" i="25"/>
  <c r="D149" i="25"/>
  <c r="D141" i="25"/>
  <c r="D140" i="25"/>
  <c r="D134" i="25"/>
  <c r="D131" i="25"/>
  <c r="D123" i="25"/>
  <c r="D115" i="25"/>
  <c r="D112" i="25"/>
  <c r="D109" i="25"/>
  <c r="D106" i="25"/>
  <c r="D103" i="25"/>
  <c r="D100" i="25"/>
  <c r="D97" i="25"/>
  <c r="D175" i="25"/>
  <c r="D166" i="25"/>
  <c r="D157" i="25"/>
  <c r="D172" i="25"/>
  <c r="D163" i="25"/>
  <c r="D154" i="25"/>
  <c r="D145" i="25"/>
  <c r="D136" i="25"/>
  <c r="D129" i="25"/>
  <c r="D174" i="25"/>
  <c r="D137" i="25"/>
  <c r="D155" i="25"/>
  <c r="D126" i="25"/>
  <c r="D146" i="25"/>
  <c r="D138" i="25"/>
  <c r="D98" i="25"/>
  <c r="D179" i="25"/>
  <c r="D164" i="25"/>
  <c r="D139" i="25"/>
  <c r="D127" i="25"/>
  <c r="D121" i="25"/>
  <c r="D120" i="25"/>
  <c r="D119" i="25"/>
  <c r="D117" i="25"/>
  <c r="D116" i="25"/>
  <c r="D118" i="25"/>
  <c r="D94" i="25"/>
  <c r="D89" i="25"/>
  <c r="D85" i="25"/>
  <c r="D80" i="25"/>
  <c r="D76" i="25"/>
  <c r="D156" i="25"/>
  <c r="D122" i="25"/>
  <c r="D114" i="25"/>
  <c r="D132" i="25"/>
  <c r="D90" i="25"/>
  <c r="D81" i="25"/>
  <c r="D74" i="25"/>
  <c r="D69" i="25"/>
  <c r="D66" i="25"/>
  <c r="D63" i="25"/>
  <c r="D60" i="25"/>
  <c r="D57" i="25"/>
  <c r="D54" i="25"/>
  <c r="D51" i="25"/>
  <c r="D48" i="25"/>
  <c r="D124" i="25"/>
  <c r="D113" i="25"/>
  <c r="D148" i="25"/>
  <c r="D108" i="25"/>
  <c r="D105" i="25"/>
  <c r="D95" i="25"/>
  <c r="D91" i="25"/>
  <c r="D86" i="25"/>
  <c r="D82" i="25"/>
  <c r="D77" i="25"/>
  <c r="D73" i="25"/>
  <c r="D102" i="25"/>
  <c r="D96" i="25"/>
  <c r="D87" i="25"/>
  <c r="D78" i="25"/>
  <c r="D70" i="25"/>
  <c r="D67" i="25"/>
  <c r="D64" i="25"/>
  <c r="D61" i="25"/>
  <c r="D58" i="25"/>
  <c r="D55" i="25"/>
  <c r="D52" i="25"/>
  <c r="D49" i="25"/>
  <c r="D46" i="25"/>
  <c r="D173" i="25"/>
  <c r="D93" i="25"/>
  <c r="D84" i="25"/>
  <c r="D71" i="25"/>
  <c r="D68" i="25"/>
  <c r="D65" i="25"/>
  <c r="D62" i="25"/>
  <c r="D59" i="25"/>
  <c r="D56" i="25"/>
  <c r="D53" i="25"/>
  <c r="D50" i="25"/>
  <c r="D47" i="25"/>
  <c r="D44" i="25"/>
  <c r="D88" i="25"/>
  <c r="D41" i="25"/>
  <c r="D38" i="25"/>
  <c r="D35" i="25"/>
  <c r="D32" i="25"/>
  <c r="D29" i="25"/>
  <c r="D26" i="25"/>
  <c r="D23" i="25"/>
  <c r="D20" i="25"/>
  <c r="D17" i="25"/>
  <c r="D14" i="25"/>
  <c r="D11" i="25"/>
  <c r="D128" i="25"/>
  <c r="D92" i="25"/>
  <c r="D165" i="25"/>
  <c r="D110" i="25"/>
  <c r="D43" i="25"/>
  <c r="D101" i="25"/>
  <c r="D99" i="25"/>
  <c r="D45" i="25"/>
  <c r="D42" i="25"/>
  <c r="D39" i="25"/>
  <c r="D36" i="25"/>
  <c r="D33" i="25"/>
  <c r="D30" i="25"/>
  <c r="D27" i="25"/>
  <c r="D24" i="25"/>
  <c r="D21" i="25"/>
  <c r="D18" i="25"/>
  <c r="D15" i="25"/>
  <c r="D12" i="25"/>
  <c r="D9" i="25"/>
  <c r="D107" i="25"/>
  <c r="D147" i="25"/>
  <c r="D111" i="25"/>
  <c r="D40" i="25"/>
  <c r="D37" i="25"/>
  <c r="D34" i="25"/>
  <c r="D31" i="25"/>
  <c r="D28" i="25"/>
  <c r="D25" i="25"/>
  <c r="D22" i="25"/>
  <c r="D19" i="25"/>
  <c r="D16" i="25"/>
  <c r="D13" i="25"/>
  <c r="D10" i="25"/>
  <c r="D4" i="25"/>
  <c r="D7" i="25"/>
  <c r="D79" i="25"/>
  <c r="D75" i="25"/>
  <c r="D3" i="25"/>
  <c r="D6" i="25"/>
  <c r="D72" i="25"/>
  <c r="D176" i="26"/>
  <c r="D173" i="26"/>
  <c r="D170" i="26"/>
  <c r="D167" i="26"/>
  <c r="D164" i="26"/>
  <c r="D161" i="26"/>
  <c r="D168" i="26"/>
  <c r="D158" i="26"/>
  <c r="D155" i="26"/>
  <c r="D152" i="26"/>
  <c r="D149" i="26"/>
  <c r="D146" i="26"/>
  <c r="D143" i="26"/>
  <c r="D140" i="26"/>
  <c r="D137" i="26"/>
  <c r="D134" i="26"/>
  <c r="D172" i="26"/>
  <c r="D163" i="26"/>
  <c r="D159" i="26"/>
  <c r="D174" i="26"/>
  <c r="D165" i="26"/>
  <c r="D169" i="26"/>
  <c r="D160" i="26"/>
  <c r="D171" i="26"/>
  <c r="D162" i="26"/>
  <c r="D156" i="26"/>
  <c r="D147" i="26"/>
  <c r="D138" i="26"/>
  <c r="D129" i="26"/>
  <c r="D125" i="26"/>
  <c r="D116" i="26"/>
  <c r="D113" i="26"/>
  <c r="D109" i="26"/>
  <c r="D106" i="26"/>
  <c r="D103" i="26"/>
  <c r="D100" i="26"/>
  <c r="D97" i="26"/>
  <c r="D94" i="26"/>
  <c r="D91" i="26"/>
  <c r="D88" i="26"/>
  <c r="D85" i="26"/>
  <c r="D82" i="26"/>
  <c r="D79" i="26"/>
  <c r="D76" i="26"/>
  <c r="D73" i="26"/>
  <c r="D157" i="26"/>
  <c r="D148" i="26"/>
  <c r="D139" i="26"/>
  <c r="D175" i="26"/>
  <c r="D150" i="26"/>
  <c r="D141" i="26"/>
  <c r="D127" i="26"/>
  <c r="D123" i="26"/>
  <c r="D114" i="26"/>
  <c r="D110" i="26"/>
  <c r="D107" i="26"/>
  <c r="D104" i="26"/>
  <c r="D101" i="26"/>
  <c r="D98" i="26"/>
  <c r="D95" i="26"/>
  <c r="D92" i="26"/>
  <c r="D89" i="26"/>
  <c r="D86" i="26"/>
  <c r="D83" i="26"/>
  <c r="D80" i="26"/>
  <c r="D77" i="26"/>
  <c r="D74" i="26"/>
  <c r="D151" i="26"/>
  <c r="D142" i="26"/>
  <c r="D133" i="26"/>
  <c r="D166" i="26"/>
  <c r="D131" i="26"/>
  <c r="D153" i="26"/>
  <c r="D144" i="26"/>
  <c r="D135" i="26"/>
  <c r="D154" i="26"/>
  <c r="D145" i="26"/>
  <c r="D136" i="26"/>
  <c r="D69" i="26"/>
  <c r="D66" i="26"/>
  <c r="D63" i="26"/>
  <c r="D60" i="26"/>
  <c r="D57" i="26"/>
  <c r="D54" i="26"/>
  <c r="D51" i="26"/>
  <c r="D128" i="26"/>
  <c r="D132" i="26"/>
  <c r="D68" i="26"/>
  <c r="D65" i="26"/>
  <c r="D62" i="26"/>
  <c r="D59" i="26"/>
  <c r="D56" i="26"/>
  <c r="E1" i="26"/>
  <c r="D72" i="26"/>
  <c r="D81" i="26"/>
  <c r="D90" i="26"/>
  <c r="D99" i="26"/>
  <c r="D108" i="26"/>
  <c r="D124" i="26"/>
  <c r="D52" i="26"/>
  <c r="D78" i="26"/>
  <c r="D87" i="26"/>
  <c r="D96" i="26"/>
  <c r="D105" i="26"/>
  <c r="D115" i="26"/>
  <c r="D3" i="26"/>
  <c r="D6" i="26"/>
  <c r="D9" i="26"/>
  <c r="D12" i="26"/>
  <c r="D15" i="26"/>
  <c r="D18" i="26"/>
  <c r="D21" i="26"/>
  <c r="D24" i="26"/>
  <c r="D27" i="26"/>
  <c r="D30" i="26"/>
  <c r="D33" i="26"/>
  <c r="D36" i="26"/>
  <c r="D39" i="26"/>
  <c r="D42" i="26"/>
  <c r="D45" i="26"/>
  <c r="D48" i="26"/>
  <c r="D58" i="26"/>
  <c r="D67" i="26"/>
  <c r="D75" i="26"/>
  <c r="D84" i="26"/>
  <c r="D93" i="26"/>
  <c r="D102" i="26"/>
  <c r="D111" i="26"/>
  <c r="D130" i="26"/>
  <c r="D5" i="26"/>
  <c r="D8" i="26"/>
  <c r="D11" i="26"/>
  <c r="D14" i="26"/>
  <c r="D17" i="26"/>
  <c r="D20" i="26"/>
  <c r="D23" i="26"/>
  <c r="D26" i="26"/>
  <c r="D29" i="26"/>
  <c r="D32" i="26"/>
  <c r="D35" i="26"/>
  <c r="D38" i="26"/>
  <c r="D41" i="26"/>
  <c r="D44" i="26"/>
  <c r="D47" i="26"/>
  <c r="D50" i="26"/>
  <c r="D53" i="26"/>
  <c r="D55" i="26"/>
  <c r="D64" i="26"/>
  <c r="D71" i="26"/>
  <c r="D36" i="27"/>
  <c r="D12" i="27"/>
  <c r="D175" i="27"/>
  <c r="D172" i="27"/>
  <c r="D169" i="27"/>
  <c r="D166" i="27"/>
  <c r="D163" i="27"/>
  <c r="D160" i="27"/>
  <c r="D157" i="27"/>
  <c r="D154" i="27"/>
  <c r="D151" i="27"/>
  <c r="D148" i="27"/>
  <c r="D176" i="27"/>
  <c r="D173" i="27"/>
  <c r="D170" i="27"/>
  <c r="D167" i="27"/>
  <c r="D164" i="27"/>
  <c r="D161" i="27"/>
  <c r="D158" i="27"/>
  <c r="D155" i="27"/>
  <c r="D152" i="27"/>
  <c r="D149" i="27"/>
  <c r="D146" i="27"/>
  <c r="D144" i="27"/>
  <c r="D141" i="27"/>
  <c r="D138" i="27"/>
  <c r="D135" i="27"/>
  <c r="D132" i="27"/>
  <c r="D129" i="27"/>
  <c r="D125" i="27"/>
  <c r="D116" i="27"/>
  <c r="D113" i="27"/>
  <c r="D174" i="27"/>
  <c r="D165" i="27"/>
  <c r="D156" i="27"/>
  <c r="D147" i="27"/>
  <c r="D145" i="27"/>
  <c r="D142" i="27"/>
  <c r="D139" i="27"/>
  <c r="D136" i="27"/>
  <c r="D133" i="27"/>
  <c r="D130" i="27"/>
  <c r="D127" i="27"/>
  <c r="D123" i="27"/>
  <c r="D114" i="27"/>
  <c r="D168" i="27"/>
  <c r="D159" i="27"/>
  <c r="D150" i="27"/>
  <c r="D110" i="27"/>
  <c r="D107" i="27"/>
  <c r="D104" i="27"/>
  <c r="D101" i="27"/>
  <c r="D98" i="27"/>
  <c r="D95" i="27"/>
  <c r="D92" i="27"/>
  <c r="D89" i="27"/>
  <c r="D111" i="27"/>
  <c r="D108" i="27"/>
  <c r="D105" i="27"/>
  <c r="D102" i="27"/>
  <c r="D99" i="27"/>
  <c r="D96" i="27"/>
  <c r="D93" i="27"/>
  <c r="D90" i="27"/>
  <c r="D87" i="27"/>
  <c r="D171" i="27"/>
  <c r="D162" i="27"/>
  <c r="D153" i="27"/>
  <c r="D143" i="27"/>
  <c r="D140" i="27"/>
  <c r="D137" i="27"/>
  <c r="D134" i="27"/>
  <c r="D131" i="27"/>
  <c r="D128" i="27"/>
  <c r="D124" i="27"/>
  <c r="D115" i="27"/>
  <c r="D86" i="27"/>
  <c r="D83" i="27"/>
  <c r="D80" i="27"/>
  <c r="D77" i="27"/>
  <c r="D74" i="27"/>
  <c r="D71" i="27"/>
  <c r="D68" i="27"/>
  <c r="D65" i="27"/>
  <c r="D109" i="27"/>
  <c r="D106" i="27"/>
  <c r="D103" i="27"/>
  <c r="D100" i="27"/>
  <c r="D97" i="27"/>
  <c r="D94" i="27"/>
  <c r="D91" i="27"/>
  <c r="D88" i="27"/>
  <c r="D84" i="27"/>
  <c r="D81" i="27"/>
  <c r="D78" i="27"/>
  <c r="D75" i="27"/>
  <c r="D72" i="27"/>
  <c r="D69" i="27"/>
  <c r="D66" i="27"/>
  <c r="D85" i="27"/>
  <c r="D82" i="27"/>
  <c r="D79" i="27"/>
  <c r="D76" i="27"/>
  <c r="D73" i="27"/>
  <c r="D70" i="27"/>
  <c r="D67" i="27"/>
  <c r="D64" i="27"/>
  <c r="D63" i="27"/>
  <c r="D60" i="27"/>
  <c r="D57" i="27"/>
  <c r="D54" i="27"/>
  <c r="D51" i="27"/>
  <c r="D48" i="27"/>
  <c r="D45" i="27"/>
  <c r="D42" i="27"/>
  <c r="D39" i="27"/>
  <c r="D62" i="27"/>
  <c r="D59" i="27"/>
  <c r="D56" i="27"/>
  <c r="D53" i="27"/>
  <c r="D50" i="27"/>
  <c r="D47" i="27"/>
  <c r="D44" i="27"/>
  <c r="D41" i="27"/>
  <c r="D38" i="27"/>
  <c r="D37" i="27"/>
  <c r="D34" i="27"/>
  <c r="D31" i="27"/>
  <c r="D28" i="27"/>
  <c r="D25" i="27"/>
  <c r="D22" i="27"/>
  <c r="D19" i="27"/>
  <c r="D16" i="27"/>
  <c r="D13" i="27"/>
  <c r="D55" i="27"/>
  <c r="D46" i="27"/>
  <c r="D35" i="27"/>
  <c r="D32" i="27"/>
  <c r="D29" i="27"/>
  <c r="D26" i="27"/>
  <c r="D23" i="27"/>
  <c r="D20" i="27"/>
  <c r="D17" i="27"/>
  <c r="D14" i="27"/>
  <c r="D11" i="27"/>
  <c r="D61" i="27"/>
  <c r="D52" i="27"/>
  <c r="D43" i="27"/>
  <c r="D58" i="27"/>
  <c r="D49" i="27"/>
  <c r="D40" i="27"/>
  <c r="D9" i="27"/>
  <c r="D6" i="27"/>
  <c r="D3" i="27"/>
  <c r="D33" i="27"/>
  <c r="D24" i="27"/>
  <c r="D15" i="27"/>
  <c r="D10" i="27"/>
  <c r="D7" i="27"/>
  <c r="D4" i="27"/>
  <c r="E1" i="27"/>
  <c r="D8" i="27"/>
  <c r="D5" i="27"/>
  <c r="B102" i="2" l="1"/>
  <c r="E188" i="19"/>
  <c r="E185" i="19"/>
  <c r="E182" i="19"/>
  <c r="E179" i="19"/>
  <c r="E176" i="19"/>
  <c r="E189" i="19"/>
  <c r="E186" i="19"/>
  <c r="E183" i="19"/>
  <c r="E180" i="19"/>
  <c r="E177" i="19"/>
  <c r="E190" i="19"/>
  <c r="E187" i="19"/>
  <c r="E184" i="19"/>
  <c r="E181" i="19"/>
  <c r="E178" i="19"/>
  <c r="E140" i="19"/>
  <c r="E137" i="19"/>
  <c r="E67" i="19"/>
  <c r="E64" i="19"/>
  <c r="E61" i="19"/>
  <c r="E58" i="19"/>
  <c r="E55" i="19"/>
  <c r="E52" i="19"/>
  <c r="E49" i="19"/>
  <c r="E46" i="19"/>
  <c r="E43" i="19"/>
  <c r="E40" i="19"/>
  <c r="E37" i="19"/>
  <c r="E34" i="19"/>
  <c r="E31" i="19"/>
  <c r="E28" i="19"/>
  <c r="E25" i="19"/>
  <c r="E22" i="19"/>
  <c r="E19" i="19"/>
  <c r="E16" i="19"/>
  <c r="E13" i="19"/>
  <c r="E10" i="19"/>
  <c r="E7" i="19"/>
  <c r="E4" i="19"/>
  <c r="E173" i="19"/>
  <c r="E170" i="19"/>
  <c r="E167" i="19"/>
  <c r="E164" i="19"/>
  <c r="E161" i="19"/>
  <c r="E158" i="19"/>
  <c r="E155" i="19"/>
  <c r="E152" i="19"/>
  <c r="E149" i="19"/>
  <c r="E146" i="19"/>
  <c r="E143" i="19"/>
  <c r="E124" i="19"/>
  <c r="E121" i="19"/>
  <c r="E118" i="19"/>
  <c r="E115" i="19"/>
  <c r="E112" i="19"/>
  <c r="E109" i="19"/>
  <c r="E106" i="19"/>
  <c r="E103" i="19"/>
  <c r="E100" i="19"/>
  <c r="E97" i="19"/>
  <c r="E94" i="19"/>
  <c r="E91" i="19"/>
  <c r="E88" i="19"/>
  <c r="E85" i="19"/>
  <c r="E82" i="19"/>
  <c r="E79" i="19"/>
  <c r="E76" i="19"/>
  <c r="E73" i="19"/>
  <c r="E70" i="19"/>
  <c r="E135" i="19"/>
  <c r="E130" i="19"/>
  <c r="E127" i="19"/>
  <c r="F1" i="19"/>
  <c r="E136" i="19"/>
  <c r="E138" i="19"/>
  <c r="E60" i="19"/>
  <c r="E51" i="19"/>
  <c r="E42" i="19"/>
  <c r="E33" i="19"/>
  <c r="E24" i="19"/>
  <c r="E15" i="19"/>
  <c r="E6" i="19"/>
  <c r="E174" i="19"/>
  <c r="E165" i="19"/>
  <c r="E156" i="19"/>
  <c r="E147" i="19"/>
  <c r="E123" i="19"/>
  <c r="E114" i="19"/>
  <c r="E105" i="19"/>
  <c r="E96" i="19"/>
  <c r="E87" i="19"/>
  <c r="E78" i="19"/>
  <c r="E69" i="19"/>
  <c r="E134" i="19"/>
  <c r="E65" i="19"/>
  <c r="E56" i="19"/>
  <c r="E47" i="19"/>
  <c r="E38" i="19"/>
  <c r="E29" i="19"/>
  <c r="E20" i="19"/>
  <c r="E11" i="19"/>
  <c r="E172" i="19"/>
  <c r="E163" i="19"/>
  <c r="E154" i="19"/>
  <c r="E145" i="19"/>
  <c r="E132" i="19"/>
  <c r="E119" i="19"/>
  <c r="E110" i="19"/>
  <c r="E101" i="19"/>
  <c r="E92" i="19"/>
  <c r="E83" i="19"/>
  <c r="E74" i="19"/>
  <c r="E168" i="19"/>
  <c r="E159" i="19"/>
  <c r="E150" i="19"/>
  <c r="E141" i="19"/>
  <c r="E126" i="19"/>
  <c r="E117" i="19"/>
  <c r="E108" i="19"/>
  <c r="E99" i="19"/>
  <c r="E90" i="19"/>
  <c r="E81" i="19"/>
  <c r="E72" i="19"/>
  <c r="E139" i="19"/>
  <c r="E59" i="19"/>
  <c r="E50" i="19"/>
  <c r="E41" i="19"/>
  <c r="E32" i="19"/>
  <c r="E23" i="19"/>
  <c r="E14" i="19"/>
  <c r="E5" i="19"/>
  <c r="E131" i="19"/>
  <c r="E66" i="19"/>
  <c r="E57" i="19"/>
  <c r="E48" i="19"/>
  <c r="E39" i="19"/>
  <c r="E30" i="19"/>
  <c r="E21" i="19"/>
  <c r="E12" i="19"/>
  <c r="E3" i="19"/>
  <c r="E129" i="19"/>
  <c r="E44" i="19"/>
  <c r="E166" i="19"/>
  <c r="E160" i="19"/>
  <c r="E144" i="19"/>
  <c r="E133" i="19"/>
  <c r="E62" i="19"/>
  <c r="E45" i="19"/>
  <c r="E27" i="19"/>
  <c r="E17" i="19"/>
  <c r="E122" i="19"/>
  <c r="E153" i="19"/>
  <c r="E54" i="19"/>
  <c r="E36" i="19"/>
  <c r="E18" i="19"/>
  <c r="E8" i="19"/>
  <c r="E162" i="19"/>
  <c r="E63" i="19"/>
  <c r="E9" i="19"/>
  <c r="E53" i="19"/>
  <c r="E35" i="19"/>
  <c r="E169" i="19"/>
  <c r="E151" i="19"/>
  <c r="E80" i="19"/>
  <c r="E71" i="19"/>
  <c r="E98" i="19"/>
  <c r="E89" i="19"/>
  <c r="E75" i="19"/>
  <c r="E142" i="19"/>
  <c r="E111" i="19"/>
  <c r="E102" i="19"/>
  <c r="E93" i="19"/>
  <c r="E86" i="19"/>
  <c r="E171" i="19"/>
  <c r="E128" i="19"/>
  <c r="E120" i="19"/>
  <c r="E104" i="19"/>
  <c r="E95" i="19"/>
  <c r="E148" i="19"/>
  <c r="E157" i="19"/>
  <c r="E125" i="19"/>
  <c r="E107" i="19"/>
  <c r="E26" i="19"/>
  <c r="E175" i="19"/>
  <c r="E113" i="19"/>
  <c r="E77" i="19"/>
  <c r="E116" i="19"/>
  <c r="E68" i="19"/>
  <c r="E84" i="19"/>
  <c r="E129" i="21"/>
  <c r="E126" i="21"/>
  <c r="E134" i="21"/>
  <c r="E137" i="21"/>
  <c r="E188" i="21"/>
  <c r="E185" i="21"/>
  <c r="E182" i="21"/>
  <c r="E179" i="21"/>
  <c r="E176" i="21"/>
  <c r="E173" i="21"/>
  <c r="E170" i="21"/>
  <c r="E167" i="21"/>
  <c r="E164" i="21"/>
  <c r="E161" i="21"/>
  <c r="E158" i="21"/>
  <c r="E155" i="21"/>
  <c r="E152" i="21"/>
  <c r="E149" i="21"/>
  <c r="E146" i="21"/>
  <c r="E143" i="21"/>
  <c r="E140" i="21"/>
  <c r="E132" i="21"/>
  <c r="E124" i="21"/>
  <c r="E121" i="21"/>
  <c r="E118" i="21"/>
  <c r="E115" i="21"/>
  <c r="E112" i="21"/>
  <c r="E186" i="21"/>
  <c r="E183" i="21"/>
  <c r="E180" i="21"/>
  <c r="E177" i="21"/>
  <c r="E174" i="21"/>
  <c r="E171" i="21"/>
  <c r="E168" i="21"/>
  <c r="E165" i="21"/>
  <c r="E162" i="21"/>
  <c r="E159" i="21"/>
  <c r="E156" i="21"/>
  <c r="E153" i="21"/>
  <c r="E150" i="21"/>
  <c r="E147" i="21"/>
  <c r="E144" i="21"/>
  <c r="E141" i="21"/>
  <c r="E122" i="21"/>
  <c r="E119" i="21"/>
  <c r="E116" i="21"/>
  <c r="E113" i="21"/>
  <c r="E133" i="21"/>
  <c r="E128" i="21"/>
  <c r="E125" i="21"/>
  <c r="E109" i="21"/>
  <c r="E106" i="21"/>
  <c r="E103" i="21"/>
  <c r="E100" i="21"/>
  <c r="E97" i="21"/>
  <c r="E94" i="21"/>
  <c r="E91" i="21"/>
  <c r="E88" i="21"/>
  <c r="E85" i="21"/>
  <c r="E82" i="21"/>
  <c r="E79" i="21"/>
  <c r="E76" i="21"/>
  <c r="E73" i="21"/>
  <c r="E70" i="21"/>
  <c r="E67" i="21"/>
  <c r="E64" i="21"/>
  <c r="E61" i="21"/>
  <c r="E58" i="21"/>
  <c r="E55" i="21"/>
  <c r="E136" i="21"/>
  <c r="E181" i="21"/>
  <c r="E163" i="21"/>
  <c r="E139" i="21"/>
  <c r="E123" i="21"/>
  <c r="E120" i="21"/>
  <c r="E117" i="21"/>
  <c r="E114" i="21"/>
  <c r="E110" i="21"/>
  <c r="E107" i="21"/>
  <c r="E104" i="21"/>
  <c r="E101" i="21"/>
  <c r="E98" i="21"/>
  <c r="E95" i="21"/>
  <c r="E92" i="21"/>
  <c r="E89" i="21"/>
  <c r="E86" i="21"/>
  <c r="E83" i="21"/>
  <c r="E80" i="21"/>
  <c r="E77" i="21"/>
  <c r="E74" i="21"/>
  <c r="E71" i="21"/>
  <c r="E68" i="21"/>
  <c r="E65" i="21"/>
  <c r="E62" i="21"/>
  <c r="E59" i="21"/>
  <c r="E56" i="21"/>
  <c r="E53" i="21"/>
  <c r="E50" i="21"/>
  <c r="E47" i="21"/>
  <c r="E44" i="21"/>
  <c r="E41" i="21"/>
  <c r="E38" i="21"/>
  <c r="E35" i="21"/>
  <c r="E32" i="21"/>
  <c r="E29" i="21"/>
  <c r="E26" i="21"/>
  <c r="E23" i="21"/>
  <c r="E20" i="21"/>
  <c r="E17" i="21"/>
  <c r="E138" i="21"/>
  <c r="E135" i="21"/>
  <c r="E172" i="21"/>
  <c r="E169" i="21"/>
  <c r="E166" i="21"/>
  <c r="E131" i="21"/>
  <c r="E111" i="21"/>
  <c r="E108" i="21"/>
  <c r="E105" i="21"/>
  <c r="E102" i="21"/>
  <c r="E99" i="21"/>
  <c r="E96" i="21"/>
  <c r="E93" i="21"/>
  <c r="E90" i="21"/>
  <c r="E87" i="21"/>
  <c r="E84" i="21"/>
  <c r="E81" i="21"/>
  <c r="E78" i="21"/>
  <c r="E75" i="21"/>
  <c r="E72" i="21"/>
  <c r="E69" i="21"/>
  <c r="E66" i="21"/>
  <c r="E63" i="21"/>
  <c r="E60" i="21"/>
  <c r="E57" i="21"/>
  <c r="E54" i="21"/>
  <c r="E51" i="21"/>
  <c r="E48" i="21"/>
  <c r="E127" i="21"/>
  <c r="E15" i="21"/>
  <c r="E12" i="21"/>
  <c r="E9" i="21"/>
  <c r="E6" i="21"/>
  <c r="E3" i="21"/>
  <c r="E160" i="21"/>
  <c r="E130" i="21"/>
  <c r="E45" i="21"/>
  <c r="E40" i="21"/>
  <c r="E36" i="21"/>
  <c r="E31" i="21"/>
  <c r="E27" i="21"/>
  <c r="E22" i="21"/>
  <c r="E18" i="21"/>
  <c r="E157" i="21"/>
  <c r="E49" i="21"/>
  <c r="E16" i="21"/>
  <c r="E13" i="21"/>
  <c r="E10" i="21"/>
  <c r="E7" i="21"/>
  <c r="E4" i="21"/>
  <c r="E184" i="21"/>
  <c r="E175" i="21"/>
  <c r="E52" i="21"/>
  <c r="E14" i="21"/>
  <c r="E11" i="21"/>
  <c r="E8" i="21"/>
  <c r="E5" i="21"/>
  <c r="E154" i="21"/>
  <c r="E145" i="21"/>
  <c r="E43" i="21"/>
  <c r="E39" i="21"/>
  <c r="E34" i="21"/>
  <c r="E30" i="21"/>
  <c r="E25" i="21"/>
  <c r="E21" i="21"/>
  <c r="E187" i="21"/>
  <c r="E178" i="21"/>
  <c r="E151" i="21"/>
  <c r="E42" i="21"/>
  <c r="E37" i="21"/>
  <c r="E148" i="21"/>
  <c r="E142" i="21"/>
  <c r="E33" i="21"/>
  <c r="E28" i="21"/>
  <c r="E46" i="21"/>
  <c r="E24" i="21"/>
  <c r="F1" i="21"/>
  <c r="E19" i="21"/>
  <c r="F191" i="16"/>
  <c r="F188" i="16"/>
  <c r="F185" i="16"/>
  <c r="F182" i="16"/>
  <c r="F175" i="16"/>
  <c r="F172" i="16"/>
  <c r="F169" i="16"/>
  <c r="F166" i="16"/>
  <c r="F163" i="16"/>
  <c r="F160" i="16"/>
  <c r="F157" i="16"/>
  <c r="F154" i="16"/>
  <c r="F151" i="16"/>
  <c r="F148" i="16"/>
  <c r="F145" i="16"/>
  <c r="F137" i="16"/>
  <c r="F129" i="16"/>
  <c r="F126" i="16"/>
  <c r="F123" i="16"/>
  <c r="F120" i="16"/>
  <c r="F117" i="16"/>
  <c r="F114" i="16"/>
  <c r="F111" i="16"/>
  <c r="F108" i="16"/>
  <c r="F105" i="16"/>
  <c r="F102" i="16"/>
  <c r="F99" i="16"/>
  <c r="F96" i="16"/>
  <c r="F93" i="16"/>
  <c r="F90" i="16"/>
  <c r="F87" i="16"/>
  <c r="F84" i="16"/>
  <c r="F81" i="16"/>
  <c r="F78" i="16"/>
  <c r="F75" i="16"/>
  <c r="F72" i="16"/>
  <c r="F69" i="16"/>
  <c r="F132" i="16"/>
  <c r="F193" i="16"/>
  <c r="F184" i="16"/>
  <c r="F178" i="16"/>
  <c r="F192" i="16"/>
  <c r="F176" i="16"/>
  <c r="F173" i="16"/>
  <c r="F170" i="16"/>
  <c r="F167" i="16"/>
  <c r="F164" i="16"/>
  <c r="F161" i="16"/>
  <c r="F158" i="16"/>
  <c r="F155" i="16"/>
  <c r="F152" i="16"/>
  <c r="F149" i="16"/>
  <c r="F146" i="16"/>
  <c r="F127" i="16"/>
  <c r="F124" i="16"/>
  <c r="F121" i="16"/>
  <c r="F118" i="16"/>
  <c r="F115" i="16"/>
  <c r="F112" i="16"/>
  <c r="F109" i="16"/>
  <c r="F106" i="16"/>
  <c r="F103" i="16"/>
  <c r="F100" i="16"/>
  <c r="F97" i="16"/>
  <c r="F94" i="16"/>
  <c r="F91" i="16"/>
  <c r="F88" i="16"/>
  <c r="F85" i="16"/>
  <c r="F82" i="16"/>
  <c r="F79" i="16"/>
  <c r="F76" i="16"/>
  <c r="F73" i="16"/>
  <c r="F70" i="16"/>
  <c r="F189" i="16"/>
  <c r="F180" i="16"/>
  <c r="F174" i="16"/>
  <c r="F171" i="16"/>
  <c r="F168" i="16"/>
  <c r="F165" i="16"/>
  <c r="F162" i="16"/>
  <c r="F159" i="16"/>
  <c r="F156" i="16"/>
  <c r="F153" i="16"/>
  <c r="F150" i="16"/>
  <c r="F147" i="16"/>
  <c r="F144" i="16"/>
  <c r="F128" i="16"/>
  <c r="F125" i="16"/>
  <c r="F122" i="16"/>
  <c r="F119" i="16"/>
  <c r="F116" i="16"/>
  <c r="F113" i="16"/>
  <c r="F110" i="16"/>
  <c r="F107" i="16"/>
  <c r="F104" i="16"/>
  <c r="F101" i="16"/>
  <c r="F98" i="16"/>
  <c r="F95" i="16"/>
  <c r="F92" i="16"/>
  <c r="F89" i="16"/>
  <c r="F86" i="16"/>
  <c r="F83" i="16"/>
  <c r="F80" i="16"/>
  <c r="F77" i="16"/>
  <c r="F74" i="16"/>
  <c r="F71" i="16"/>
  <c r="F187" i="16"/>
  <c r="F190" i="16"/>
  <c r="F143" i="16"/>
  <c r="F179" i="16"/>
  <c r="F130" i="16"/>
  <c r="F141" i="16"/>
  <c r="F139" i="16"/>
  <c r="F135" i="16"/>
  <c r="F186" i="16"/>
  <c r="F133" i="16"/>
  <c r="F142" i="16"/>
  <c r="F131" i="16"/>
  <c r="F134" i="16"/>
  <c r="F183" i="16"/>
  <c r="F177" i="16"/>
  <c r="G1" i="16"/>
  <c r="F181" i="16"/>
  <c r="F140" i="16"/>
  <c r="F138" i="16"/>
  <c r="F136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180" i="24"/>
  <c r="F177" i="24"/>
  <c r="F174" i="24"/>
  <c r="F171" i="24"/>
  <c r="F168" i="24"/>
  <c r="F165" i="24"/>
  <c r="F162" i="24"/>
  <c r="F159" i="24"/>
  <c r="F156" i="24"/>
  <c r="F153" i="24"/>
  <c r="F150" i="24"/>
  <c r="F147" i="24"/>
  <c r="F144" i="24"/>
  <c r="F141" i="24"/>
  <c r="F181" i="24"/>
  <c r="F178" i="24"/>
  <c r="F175" i="24"/>
  <c r="F172" i="24"/>
  <c r="F169" i="24"/>
  <c r="F166" i="24"/>
  <c r="F163" i="24"/>
  <c r="F160" i="24"/>
  <c r="F157" i="24"/>
  <c r="F154" i="24"/>
  <c r="F151" i="24"/>
  <c r="F148" i="24"/>
  <c r="F145" i="24"/>
  <c r="F142" i="24"/>
  <c r="F140" i="24"/>
  <c r="F137" i="24"/>
  <c r="F134" i="24"/>
  <c r="F115" i="24"/>
  <c r="F112" i="24"/>
  <c r="F109" i="24"/>
  <c r="F106" i="24"/>
  <c r="F103" i="24"/>
  <c r="F100" i="24"/>
  <c r="F97" i="24"/>
  <c r="F94" i="24"/>
  <c r="F91" i="24"/>
  <c r="F88" i="24"/>
  <c r="F85" i="24"/>
  <c r="F82" i="24"/>
  <c r="F79" i="24"/>
  <c r="F76" i="24"/>
  <c r="F73" i="24"/>
  <c r="F70" i="24"/>
  <c r="F67" i="24"/>
  <c r="F64" i="24"/>
  <c r="F61" i="24"/>
  <c r="F58" i="24"/>
  <c r="F55" i="24"/>
  <c r="F52" i="24"/>
  <c r="F49" i="24"/>
  <c r="F46" i="24"/>
  <c r="F43" i="24"/>
  <c r="F40" i="24"/>
  <c r="F37" i="24"/>
  <c r="F34" i="24"/>
  <c r="F31" i="24"/>
  <c r="F126" i="24"/>
  <c r="F121" i="24"/>
  <c r="F118" i="24"/>
  <c r="F129" i="24"/>
  <c r="F124" i="24"/>
  <c r="F138" i="24"/>
  <c r="F135" i="24"/>
  <c r="F132" i="24"/>
  <c r="F116" i="24"/>
  <c r="F113" i="24"/>
  <c r="F110" i="24"/>
  <c r="F107" i="24"/>
  <c r="F104" i="24"/>
  <c r="F101" i="24"/>
  <c r="F98" i="24"/>
  <c r="F95" i="24"/>
  <c r="F92" i="24"/>
  <c r="F89" i="24"/>
  <c r="F86" i="24"/>
  <c r="F83" i="24"/>
  <c r="F80" i="24"/>
  <c r="F77" i="24"/>
  <c r="F74" i="24"/>
  <c r="F71" i="24"/>
  <c r="F68" i="24"/>
  <c r="F65" i="24"/>
  <c r="F62" i="24"/>
  <c r="F59" i="24"/>
  <c r="F56" i="24"/>
  <c r="F53" i="24"/>
  <c r="F50" i="24"/>
  <c r="F47" i="24"/>
  <c r="F44" i="24"/>
  <c r="F41" i="24"/>
  <c r="F38" i="24"/>
  <c r="F35" i="24"/>
  <c r="F32" i="24"/>
  <c r="F29" i="24"/>
  <c r="F122" i="24"/>
  <c r="F119" i="24"/>
  <c r="F127" i="24"/>
  <c r="F179" i="24"/>
  <c r="F176" i="24"/>
  <c r="F173" i="24"/>
  <c r="F170" i="24"/>
  <c r="F167" i="24"/>
  <c r="F164" i="24"/>
  <c r="F161" i="24"/>
  <c r="F158" i="24"/>
  <c r="F155" i="24"/>
  <c r="F152" i="24"/>
  <c r="F149" i="24"/>
  <c r="F146" i="24"/>
  <c r="F143" i="24"/>
  <c r="F130" i="24"/>
  <c r="F123" i="24"/>
  <c r="F51" i="24"/>
  <c r="F42" i="24"/>
  <c r="F33" i="24"/>
  <c r="F139" i="24"/>
  <c r="F136" i="24"/>
  <c r="F133" i="24"/>
  <c r="F27" i="24"/>
  <c r="F24" i="24"/>
  <c r="F21" i="24"/>
  <c r="F18" i="24"/>
  <c r="F15" i="24"/>
  <c r="F12" i="24"/>
  <c r="F9" i="24"/>
  <c r="F6" i="24"/>
  <c r="F3" i="24"/>
  <c r="F125" i="24"/>
  <c r="F45" i="24"/>
  <c r="F36" i="24"/>
  <c r="F28" i="24"/>
  <c r="F25" i="24"/>
  <c r="F22" i="24"/>
  <c r="F19" i="24"/>
  <c r="F16" i="24"/>
  <c r="F13" i="24"/>
  <c r="F10" i="24"/>
  <c r="F7" i="24"/>
  <c r="F4" i="24"/>
  <c r="F120" i="24"/>
  <c r="F48" i="24"/>
  <c r="F39" i="24"/>
  <c r="F30" i="24"/>
  <c r="F114" i="24"/>
  <c r="F108" i="24"/>
  <c r="F102" i="24"/>
  <c r="F96" i="24"/>
  <c r="F90" i="24"/>
  <c r="F84" i="24"/>
  <c r="F78" i="24"/>
  <c r="F72" i="24"/>
  <c r="F66" i="24"/>
  <c r="F60" i="24"/>
  <c r="F54" i="24"/>
  <c r="F131" i="24"/>
  <c r="F23" i="24"/>
  <c r="F14" i="24"/>
  <c r="F5" i="24"/>
  <c r="F117" i="24"/>
  <c r="F111" i="24"/>
  <c r="F105" i="24"/>
  <c r="F99" i="24"/>
  <c r="F93" i="24"/>
  <c r="F87" i="24"/>
  <c r="F81" i="24"/>
  <c r="F75" i="24"/>
  <c r="F69" i="24"/>
  <c r="F63" i="24"/>
  <c r="F57" i="24"/>
  <c r="F26" i="24"/>
  <c r="F17" i="24"/>
  <c r="F8" i="24"/>
  <c r="F20" i="24"/>
  <c r="F128" i="24"/>
  <c r="F11" i="24"/>
  <c r="G1" i="24"/>
  <c r="H131" i="22"/>
  <c r="H134" i="22"/>
  <c r="H185" i="22"/>
  <c r="H182" i="22"/>
  <c r="H179" i="22"/>
  <c r="H176" i="22"/>
  <c r="H173" i="22"/>
  <c r="H170" i="22"/>
  <c r="H167" i="22"/>
  <c r="H164" i="22"/>
  <c r="H161" i="22"/>
  <c r="H158" i="22"/>
  <c r="H155" i="22"/>
  <c r="H152" i="22"/>
  <c r="H149" i="22"/>
  <c r="H146" i="22"/>
  <c r="H143" i="22"/>
  <c r="H140" i="22"/>
  <c r="H137" i="22"/>
  <c r="H129" i="22"/>
  <c r="H121" i="22"/>
  <c r="H124" i="22"/>
  <c r="H127" i="22"/>
  <c r="H135" i="22"/>
  <c r="H132" i="22"/>
  <c r="H183" i="22"/>
  <c r="H180" i="22"/>
  <c r="H177" i="22"/>
  <c r="H174" i="22"/>
  <c r="H171" i="22"/>
  <c r="H168" i="22"/>
  <c r="H165" i="22"/>
  <c r="H162" i="22"/>
  <c r="H159" i="22"/>
  <c r="H156" i="22"/>
  <c r="H153" i="22"/>
  <c r="H150" i="22"/>
  <c r="H147" i="22"/>
  <c r="H144" i="22"/>
  <c r="H141" i="22"/>
  <c r="H138" i="22"/>
  <c r="H119" i="22"/>
  <c r="H130" i="22"/>
  <c r="H125" i="22"/>
  <c r="H122" i="22"/>
  <c r="H133" i="22"/>
  <c r="H128" i="22"/>
  <c r="H184" i="22"/>
  <c r="H181" i="22"/>
  <c r="H178" i="22"/>
  <c r="H175" i="22"/>
  <c r="H172" i="22"/>
  <c r="H169" i="22"/>
  <c r="H166" i="22"/>
  <c r="H163" i="22"/>
  <c r="H160" i="22"/>
  <c r="H157" i="22"/>
  <c r="H154" i="22"/>
  <c r="H151" i="22"/>
  <c r="H148" i="22"/>
  <c r="H145" i="22"/>
  <c r="H142" i="22"/>
  <c r="H139" i="22"/>
  <c r="H136" i="22"/>
  <c r="H120" i="22"/>
  <c r="H123" i="22"/>
  <c r="H117" i="22"/>
  <c r="H114" i="22"/>
  <c r="H111" i="22"/>
  <c r="H108" i="22"/>
  <c r="H105" i="22"/>
  <c r="H102" i="22"/>
  <c r="H99" i="22"/>
  <c r="H96" i="22"/>
  <c r="H93" i="22"/>
  <c r="H90" i="22"/>
  <c r="H87" i="22"/>
  <c r="H84" i="22"/>
  <c r="H81" i="22"/>
  <c r="H78" i="22"/>
  <c r="H75" i="22"/>
  <c r="H72" i="22"/>
  <c r="H69" i="22"/>
  <c r="H66" i="22"/>
  <c r="H63" i="22"/>
  <c r="H60" i="22"/>
  <c r="H57" i="22"/>
  <c r="H54" i="22"/>
  <c r="H51" i="22"/>
  <c r="H48" i="22"/>
  <c r="H45" i="22"/>
  <c r="H42" i="22"/>
  <c r="H39" i="22"/>
  <c r="H36" i="22"/>
  <c r="H33" i="22"/>
  <c r="H30" i="22"/>
  <c r="H27" i="22"/>
  <c r="H24" i="22"/>
  <c r="H21" i="22"/>
  <c r="H18" i="22"/>
  <c r="H15" i="22"/>
  <c r="H12" i="22"/>
  <c r="H118" i="22"/>
  <c r="H115" i="22"/>
  <c r="H112" i="22"/>
  <c r="H109" i="22"/>
  <c r="H106" i="22"/>
  <c r="H103" i="22"/>
  <c r="H100" i="22"/>
  <c r="H97" i="22"/>
  <c r="H94" i="22"/>
  <c r="H91" i="22"/>
  <c r="H88" i="22"/>
  <c r="H85" i="22"/>
  <c r="H82" i="22"/>
  <c r="H79" i="22"/>
  <c r="H76" i="22"/>
  <c r="H73" i="22"/>
  <c r="H70" i="22"/>
  <c r="H67" i="22"/>
  <c r="H64" i="22"/>
  <c r="H61" i="22"/>
  <c r="H58" i="22"/>
  <c r="H55" i="22"/>
  <c r="H52" i="22"/>
  <c r="H49" i="22"/>
  <c r="H46" i="22"/>
  <c r="H43" i="22"/>
  <c r="H40" i="22"/>
  <c r="H37" i="22"/>
  <c r="H34" i="22"/>
  <c r="H31" i="22"/>
  <c r="H28" i="22"/>
  <c r="H25" i="22"/>
  <c r="H22" i="22"/>
  <c r="H19" i="22"/>
  <c r="H16" i="22"/>
  <c r="H13" i="22"/>
  <c r="H126" i="22"/>
  <c r="H10" i="22"/>
  <c r="H7" i="22"/>
  <c r="H4" i="22"/>
  <c r="H116" i="22"/>
  <c r="H107" i="22"/>
  <c r="H98" i="22"/>
  <c r="H89" i="22"/>
  <c r="H80" i="22"/>
  <c r="H71" i="22"/>
  <c r="H62" i="22"/>
  <c r="H53" i="22"/>
  <c r="H44" i="22"/>
  <c r="H35" i="22"/>
  <c r="H26" i="22"/>
  <c r="H17" i="22"/>
  <c r="I1" i="22"/>
  <c r="H11" i="22"/>
  <c r="H8" i="22"/>
  <c r="H5" i="22"/>
  <c r="H110" i="22"/>
  <c r="H101" i="22"/>
  <c r="H92" i="22"/>
  <c r="H83" i="22"/>
  <c r="H74" i="22"/>
  <c r="H65" i="22"/>
  <c r="H56" i="22"/>
  <c r="H47" i="22"/>
  <c r="H38" i="22"/>
  <c r="H29" i="22"/>
  <c r="H20" i="22"/>
  <c r="H9" i="22"/>
  <c r="H6" i="22"/>
  <c r="H3" i="22"/>
  <c r="H113" i="22"/>
  <c r="H104" i="22"/>
  <c r="H95" i="22"/>
  <c r="H86" i="22"/>
  <c r="H77" i="22"/>
  <c r="H68" i="22"/>
  <c r="H59" i="22"/>
  <c r="H50" i="22"/>
  <c r="H41" i="22"/>
  <c r="H32" i="22"/>
  <c r="H23" i="22"/>
  <c r="H14" i="22"/>
  <c r="B123" i="3"/>
  <c r="G190" i="20"/>
  <c r="G187" i="20"/>
  <c r="G184" i="20"/>
  <c r="G181" i="20"/>
  <c r="G178" i="20"/>
  <c r="G175" i="20"/>
  <c r="G172" i="20"/>
  <c r="G169" i="20"/>
  <c r="G166" i="20"/>
  <c r="G163" i="20"/>
  <c r="G160" i="20"/>
  <c r="G157" i="20"/>
  <c r="G154" i="20"/>
  <c r="G189" i="20"/>
  <c r="G186" i="20"/>
  <c r="G183" i="20"/>
  <c r="G180" i="20"/>
  <c r="G177" i="20"/>
  <c r="G174" i="20"/>
  <c r="G171" i="20"/>
  <c r="G168" i="20"/>
  <c r="G165" i="20"/>
  <c r="G162" i="20"/>
  <c r="G159" i="20"/>
  <c r="G156" i="20"/>
  <c r="G153" i="20"/>
  <c r="G150" i="20"/>
  <c r="G147" i="20"/>
  <c r="G188" i="20"/>
  <c r="G179" i="20"/>
  <c r="G170" i="20"/>
  <c r="G161" i="20"/>
  <c r="G152" i="20"/>
  <c r="G140" i="20"/>
  <c r="G137" i="20"/>
  <c r="G185" i="20"/>
  <c r="G176" i="20"/>
  <c r="G167" i="20"/>
  <c r="G158" i="20"/>
  <c r="G146" i="20"/>
  <c r="G138" i="20"/>
  <c r="G133" i="20"/>
  <c r="G151" i="20"/>
  <c r="G142" i="20"/>
  <c r="G126" i="20"/>
  <c r="G117" i="20"/>
  <c r="G173" i="20"/>
  <c r="G155" i="20"/>
  <c r="G121" i="20"/>
  <c r="G112" i="20"/>
  <c r="G103" i="20"/>
  <c r="G94" i="20"/>
  <c r="G85" i="20"/>
  <c r="G76" i="20"/>
  <c r="G65" i="20"/>
  <c r="G62" i="20"/>
  <c r="G59" i="20"/>
  <c r="G56" i="20"/>
  <c r="G53" i="20"/>
  <c r="G50" i="20"/>
  <c r="G47" i="20"/>
  <c r="G44" i="20"/>
  <c r="G41" i="20"/>
  <c r="G38" i="20"/>
  <c r="G164" i="20"/>
  <c r="G129" i="20"/>
  <c r="G124" i="20"/>
  <c r="G115" i="20"/>
  <c r="G106" i="20"/>
  <c r="G97" i="20"/>
  <c r="G88" i="20"/>
  <c r="G79" i="20"/>
  <c r="G70" i="20"/>
  <c r="G66" i="20"/>
  <c r="G63" i="20"/>
  <c r="G60" i="20"/>
  <c r="G57" i="20"/>
  <c r="G54" i="20"/>
  <c r="G51" i="20"/>
  <c r="G48" i="20"/>
  <c r="G45" i="20"/>
  <c r="G42" i="20"/>
  <c r="G39" i="20"/>
  <c r="G123" i="20"/>
  <c r="G114" i="20"/>
  <c r="G105" i="20"/>
  <c r="G96" i="20"/>
  <c r="G132" i="20"/>
  <c r="G127" i="20"/>
  <c r="G122" i="20"/>
  <c r="G113" i="20"/>
  <c r="G104" i="20"/>
  <c r="G141" i="20"/>
  <c r="G130" i="20"/>
  <c r="G108" i="20"/>
  <c r="G101" i="20"/>
  <c r="G90" i="20"/>
  <c r="G120" i="20"/>
  <c r="G111" i="20"/>
  <c r="G98" i="20"/>
  <c r="G119" i="20"/>
  <c r="G83" i="20"/>
  <c r="G74" i="20"/>
  <c r="G52" i="20"/>
  <c r="G43" i="20"/>
  <c r="G139" i="20"/>
  <c r="G128" i="20"/>
  <c r="G107" i="20"/>
  <c r="G86" i="20"/>
  <c r="G80" i="20"/>
  <c r="G77" i="20"/>
  <c r="G71" i="20"/>
  <c r="G118" i="20"/>
  <c r="G110" i="20"/>
  <c r="G100" i="20"/>
  <c r="G91" i="20"/>
  <c r="G89" i="20"/>
  <c r="G67" i="20"/>
  <c r="G64" i="20"/>
  <c r="G61" i="20"/>
  <c r="G36" i="20"/>
  <c r="G33" i="20"/>
  <c r="G30" i="20"/>
  <c r="G27" i="20"/>
  <c r="G24" i="20"/>
  <c r="G21" i="20"/>
  <c r="G18" i="20"/>
  <c r="G15" i="20"/>
  <c r="G12" i="20"/>
  <c r="G9" i="20"/>
  <c r="G6" i="20"/>
  <c r="G3" i="20"/>
  <c r="G136" i="20"/>
  <c r="G125" i="20"/>
  <c r="G95" i="20"/>
  <c r="G93" i="20"/>
  <c r="G68" i="20"/>
  <c r="G55" i="20"/>
  <c r="G46" i="20"/>
  <c r="G145" i="20"/>
  <c r="G135" i="20"/>
  <c r="G116" i="20"/>
  <c r="G87" i="20"/>
  <c r="G84" i="20"/>
  <c r="G78" i="20"/>
  <c r="G75" i="20"/>
  <c r="G69" i="20"/>
  <c r="G144" i="20"/>
  <c r="G134" i="20"/>
  <c r="G109" i="20"/>
  <c r="G99" i="20"/>
  <c r="G81" i="20"/>
  <c r="G72" i="20"/>
  <c r="G148" i="20"/>
  <c r="G102" i="20"/>
  <c r="G37" i="20"/>
  <c r="G34" i="20"/>
  <c r="G31" i="20"/>
  <c r="G28" i="20"/>
  <c r="G25" i="20"/>
  <c r="G22" i="20"/>
  <c r="G19" i="20"/>
  <c r="G16" i="20"/>
  <c r="G13" i="20"/>
  <c r="G10" i="20"/>
  <c r="G7" i="20"/>
  <c r="G4" i="20"/>
  <c r="G182" i="20"/>
  <c r="G149" i="20"/>
  <c r="G143" i="20"/>
  <c r="G58" i="20"/>
  <c r="G49" i="20"/>
  <c r="G40" i="20"/>
  <c r="G82" i="20"/>
  <c r="H1" i="20"/>
  <c r="G131" i="20"/>
  <c r="G92" i="20"/>
  <c r="G73" i="20"/>
  <c r="G29" i="20"/>
  <c r="G26" i="20"/>
  <c r="G23" i="20"/>
  <c r="G20" i="20"/>
  <c r="G17" i="20"/>
  <c r="G14" i="20"/>
  <c r="G11" i="20"/>
  <c r="G8" i="20"/>
  <c r="G5" i="20"/>
  <c r="G32" i="20"/>
  <c r="G35" i="20"/>
  <c r="F178" i="25"/>
  <c r="F179" i="25"/>
  <c r="F176" i="25"/>
  <c r="F173" i="25"/>
  <c r="F170" i="25"/>
  <c r="F167" i="25"/>
  <c r="F164" i="25"/>
  <c r="F161" i="25"/>
  <c r="F158" i="25"/>
  <c r="F155" i="25"/>
  <c r="F152" i="25"/>
  <c r="F149" i="25"/>
  <c r="F146" i="25"/>
  <c r="F143" i="25"/>
  <c r="F140" i="25"/>
  <c r="F137" i="25"/>
  <c r="F175" i="25"/>
  <c r="F172" i="25"/>
  <c r="F169" i="25"/>
  <c r="F166" i="25"/>
  <c r="F163" i="25"/>
  <c r="F160" i="25"/>
  <c r="F157" i="25"/>
  <c r="F154" i="25"/>
  <c r="F151" i="25"/>
  <c r="F148" i="25"/>
  <c r="F145" i="25"/>
  <c r="F142" i="25"/>
  <c r="F139" i="25"/>
  <c r="F136" i="25"/>
  <c r="F125" i="25"/>
  <c r="F177" i="25"/>
  <c r="F168" i="25"/>
  <c r="F159" i="25"/>
  <c r="F150" i="25"/>
  <c r="F141" i="25"/>
  <c r="F134" i="25"/>
  <c r="F131" i="25"/>
  <c r="F123" i="25"/>
  <c r="F115" i="25"/>
  <c r="F112" i="25"/>
  <c r="F109" i="25"/>
  <c r="F106" i="25"/>
  <c r="F103" i="25"/>
  <c r="F100" i="25"/>
  <c r="F97" i="25"/>
  <c r="F121" i="25"/>
  <c r="F174" i="25"/>
  <c r="F165" i="25"/>
  <c r="F156" i="25"/>
  <c r="F171" i="25"/>
  <c r="F162" i="25"/>
  <c r="F153" i="25"/>
  <c r="F144" i="25"/>
  <c r="F135" i="25"/>
  <c r="F133" i="25"/>
  <c r="F130" i="25"/>
  <c r="F114" i="25"/>
  <c r="F111" i="25"/>
  <c r="F108" i="25"/>
  <c r="F105" i="25"/>
  <c r="F96" i="25"/>
  <c r="F93" i="25"/>
  <c r="F90" i="25"/>
  <c r="F87" i="25"/>
  <c r="F84" i="25"/>
  <c r="F81" i="25"/>
  <c r="F78" i="25"/>
  <c r="F75" i="25"/>
  <c r="F72" i="25"/>
  <c r="F99" i="25"/>
  <c r="F126" i="25"/>
  <c r="F113" i="25"/>
  <c r="F110" i="25"/>
  <c r="F107" i="25"/>
  <c r="F104" i="25"/>
  <c r="F94" i="25"/>
  <c r="F91" i="25"/>
  <c r="F88" i="25"/>
  <c r="F85" i="25"/>
  <c r="F82" i="25"/>
  <c r="F79" i="25"/>
  <c r="F76" i="25"/>
  <c r="F73" i="25"/>
  <c r="F120" i="25"/>
  <c r="F119" i="25"/>
  <c r="F118" i="25"/>
  <c r="F117" i="25"/>
  <c r="F116" i="25"/>
  <c r="F102" i="25"/>
  <c r="F147" i="25"/>
  <c r="F132" i="25"/>
  <c r="F122" i="25"/>
  <c r="F124" i="25"/>
  <c r="F95" i="25"/>
  <c r="F86" i="25"/>
  <c r="F77" i="25"/>
  <c r="F98" i="25"/>
  <c r="F70" i="25"/>
  <c r="F67" i="25"/>
  <c r="F64" i="25"/>
  <c r="F61" i="25"/>
  <c r="F58" i="25"/>
  <c r="F55" i="25"/>
  <c r="F52" i="25"/>
  <c r="F49" i="25"/>
  <c r="F138" i="25"/>
  <c r="F127" i="25"/>
  <c r="F92" i="25"/>
  <c r="F83" i="25"/>
  <c r="F89" i="25"/>
  <c r="F80" i="25"/>
  <c r="F129" i="25"/>
  <c r="F71" i="25"/>
  <c r="F68" i="25"/>
  <c r="F65" i="25"/>
  <c r="F62" i="25"/>
  <c r="F59" i="25"/>
  <c r="F56" i="25"/>
  <c r="F53" i="25"/>
  <c r="F50" i="25"/>
  <c r="F47" i="25"/>
  <c r="F41" i="25"/>
  <c r="F38" i="25"/>
  <c r="F35" i="25"/>
  <c r="F32" i="25"/>
  <c r="F29" i="25"/>
  <c r="F26" i="25"/>
  <c r="F23" i="25"/>
  <c r="F20" i="25"/>
  <c r="F17" i="25"/>
  <c r="F14" i="25"/>
  <c r="F11" i="25"/>
  <c r="F128" i="25"/>
  <c r="F44" i="25"/>
  <c r="F43" i="25"/>
  <c r="F101" i="25"/>
  <c r="F45" i="25"/>
  <c r="F39" i="25"/>
  <c r="F36" i="25"/>
  <c r="F33" i="25"/>
  <c r="F30" i="25"/>
  <c r="F27" i="25"/>
  <c r="F24" i="25"/>
  <c r="F21" i="25"/>
  <c r="F18" i="25"/>
  <c r="F15" i="25"/>
  <c r="F12" i="25"/>
  <c r="F9" i="25"/>
  <c r="F42" i="25"/>
  <c r="F46" i="25"/>
  <c r="F40" i="25"/>
  <c r="F37" i="25"/>
  <c r="F34" i="25"/>
  <c r="F31" i="25"/>
  <c r="F28" i="25"/>
  <c r="F25" i="25"/>
  <c r="F22" i="25"/>
  <c r="F19" i="25"/>
  <c r="F16" i="25"/>
  <c r="F13" i="25"/>
  <c r="F10" i="25"/>
  <c r="F6" i="25"/>
  <c r="F3" i="25"/>
  <c r="F69" i="25"/>
  <c r="F66" i="25"/>
  <c r="F63" i="25"/>
  <c r="F60" i="25"/>
  <c r="F57" i="25"/>
  <c r="F54" i="25"/>
  <c r="F51" i="25"/>
  <c r="F48" i="25"/>
  <c r="F7" i="25"/>
  <c r="F4" i="25"/>
  <c r="G1" i="25"/>
  <c r="F74" i="25"/>
  <c r="F8" i="25"/>
  <c r="F5" i="25"/>
  <c r="H185" i="17"/>
  <c r="H176" i="17"/>
  <c r="H167" i="17"/>
  <c r="H158" i="17"/>
  <c r="H149" i="17"/>
  <c r="H133" i="17"/>
  <c r="H130" i="17"/>
  <c r="H184" i="17"/>
  <c r="H175" i="17"/>
  <c r="H166" i="17"/>
  <c r="H157" i="17"/>
  <c r="H147" i="17"/>
  <c r="H144" i="17"/>
  <c r="H136" i="17"/>
  <c r="H188" i="17"/>
  <c r="H179" i="17"/>
  <c r="H170" i="17"/>
  <c r="H161" i="17"/>
  <c r="H152" i="17"/>
  <c r="H131" i="17"/>
  <c r="H177" i="17"/>
  <c r="H171" i="17"/>
  <c r="H168" i="17"/>
  <c r="H162" i="17"/>
  <c r="H159" i="17"/>
  <c r="H153" i="17"/>
  <c r="H150" i="17"/>
  <c r="H129" i="17"/>
  <c r="I1" i="17"/>
  <c r="H191" i="17"/>
  <c r="H189" i="17"/>
  <c r="H134" i="17"/>
  <c r="H128" i="17"/>
  <c r="H119" i="17"/>
  <c r="H110" i="17"/>
  <c r="H101" i="17"/>
  <c r="H91" i="17"/>
  <c r="H68" i="17"/>
  <c r="H65" i="17"/>
  <c r="H62" i="17"/>
  <c r="H59" i="17"/>
  <c r="H56" i="17"/>
  <c r="H53" i="17"/>
  <c r="H50" i="17"/>
  <c r="H47" i="17"/>
  <c r="H44" i="17"/>
  <c r="H41" i="17"/>
  <c r="H38" i="17"/>
  <c r="H35" i="17"/>
  <c r="H32" i="17"/>
  <c r="H29" i="17"/>
  <c r="H26" i="17"/>
  <c r="H23" i="17"/>
  <c r="H20" i="17"/>
  <c r="H17" i="17"/>
  <c r="H14" i="17"/>
  <c r="H11" i="17"/>
  <c r="H8" i="17"/>
  <c r="H5" i="17"/>
  <c r="H123" i="17"/>
  <c r="H114" i="17"/>
  <c r="H105" i="17"/>
  <c r="H96" i="17"/>
  <c r="H93" i="17"/>
  <c r="H89" i="17"/>
  <c r="H86" i="17"/>
  <c r="H83" i="17"/>
  <c r="H80" i="17"/>
  <c r="H77" i="17"/>
  <c r="H74" i="17"/>
  <c r="H71" i="17"/>
  <c r="H169" i="17"/>
  <c r="H160" i="17"/>
  <c r="H151" i="17"/>
  <c r="H135" i="17"/>
  <c r="H132" i="17"/>
  <c r="H178" i="17"/>
  <c r="H172" i="17"/>
  <c r="H163" i="17"/>
  <c r="H154" i="17"/>
  <c r="H137" i="17"/>
  <c r="H127" i="17"/>
  <c r="H118" i="17"/>
  <c r="H109" i="17"/>
  <c r="H100" i="17"/>
  <c r="H182" i="17"/>
  <c r="H180" i="17"/>
  <c r="H142" i="17"/>
  <c r="H139" i="17"/>
  <c r="H138" i="17"/>
  <c r="H122" i="17"/>
  <c r="H113" i="17"/>
  <c r="H104" i="17"/>
  <c r="H95" i="17"/>
  <c r="H66" i="17"/>
  <c r="H63" i="17"/>
  <c r="H60" i="17"/>
  <c r="H57" i="17"/>
  <c r="H54" i="17"/>
  <c r="H51" i="17"/>
  <c r="H48" i="17"/>
  <c r="H45" i="17"/>
  <c r="H42" i="17"/>
  <c r="H39" i="17"/>
  <c r="H36" i="17"/>
  <c r="H33" i="17"/>
  <c r="H30" i="17"/>
  <c r="H27" i="17"/>
  <c r="H24" i="17"/>
  <c r="H21" i="17"/>
  <c r="H18" i="17"/>
  <c r="H15" i="17"/>
  <c r="H12" i="17"/>
  <c r="H9" i="17"/>
  <c r="H6" i="17"/>
  <c r="H3" i="17"/>
  <c r="H173" i="17"/>
  <c r="H164" i="17"/>
  <c r="H155" i="17"/>
  <c r="H146" i="17"/>
  <c r="H143" i="17"/>
  <c r="H190" i="17"/>
  <c r="H121" i="17"/>
  <c r="H112" i="17"/>
  <c r="H103" i="17"/>
  <c r="H92" i="17"/>
  <c r="H125" i="17"/>
  <c r="H116" i="17"/>
  <c r="H107" i="17"/>
  <c r="H98" i="17"/>
  <c r="H94" i="17"/>
  <c r="H67" i="17"/>
  <c r="H64" i="17"/>
  <c r="H61" i="17"/>
  <c r="H58" i="17"/>
  <c r="H55" i="17"/>
  <c r="H52" i="17"/>
  <c r="H49" i="17"/>
  <c r="H46" i="17"/>
  <c r="H43" i="17"/>
  <c r="H40" i="17"/>
  <c r="H37" i="17"/>
  <c r="H34" i="17"/>
  <c r="H31" i="17"/>
  <c r="H28" i="17"/>
  <c r="H25" i="17"/>
  <c r="H22" i="17"/>
  <c r="H19" i="17"/>
  <c r="H16" i="17"/>
  <c r="H13" i="17"/>
  <c r="H10" i="17"/>
  <c r="H7" i="17"/>
  <c r="H4" i="17"/>
  <c r="H187" i="17"/>
  <c r="H192" i="17"/>
  <c r="H126" i="17"/>
  <c r="H117" i="17"/>
  <c r="H108" i="17"/>
  <c r="H99" i="17"/>
  <c r="H181" i="17"/>
  <c r="H124" i="17"/>
  <c r="H115" i="17"/>
  <c r="H106" i="17"/>
  <c r="H97" i="17"/>
  <c r="H186" i="17"/>
  <c r="H145" i="17"/>
  <c r="H141" i="17"/>
  <c r="H90" i="17"/>
  <c r="H87" i="17"/>
  <c r="H84" i="17"/>
  <c r="H81" i="17"/>
  <c r="H78" i="17"/>
  <c r="H75" i="17"/>
  <c r="H72" i="17"/>
  <c r="H69" i="17"/>
  <c r="H183" i="17"/>
  <c r="H156" i="17"/>
  <c r="H120" i="17"/>
  <c r="H111" i="17"/>
  <c r="H102" i="17"/>
  <c r="H165" i="17"/>
  <c r="H88" i="17"/>
  <c r="H85" i="17"/>
  <c r="H82" i="17"/>
  <c r="H79" i="17"/>
  <c r="H76" i="17"/>
  <c r="H73" i="17"/>
  <c r="H70" i="17"/>
  <c r="H148" i="17"/>
  <c r="H140" i="17"/>
  <c r="H174" i="17"/>
  <c r="E176" i="26"/>
  <c r="E173" i="26"/>
  <c r="E170" i="26"/>
  <c r="E167" i="26"/>
  <c r="E164" i="26"/>
  <c r="E161" i="26"/>
  <c r="E174" i="26"/>
  <c r="E171" i="26"/>
  <c r="E168" i="26"/>
  <c r="E165" i="26"/>
  <c r="E162" i="26"/>
  <c r="E159" i="26"/>
  <c r="E175" i="26"/>
  <c r="E172" i="26"/>
  <c r="E169" i="26"/>
  <c r="E166" i="26"/>
  <c r="E163" i="26"/>
  <c r="E160" i="26"/>
  <c r="E158" i="26"/>
  <c r="E155" i="26"/>
  <c r="E152" i="26"/>
  <c r="E149" i="26"/>
  <c r="E146" i="26"/>
  <c r="E143" i="26"/>
  <c r="E140" i="26"/>
  <c r="E137" i="26"/>
  <c r="E134" i="26"/>
  <c r="E131" i="26"/>
  <c r="E156" i="26"/>
  <c r="E153" i="26"/>
  <c r="E150" i="26"/>
  <c r="E147" i="26"/>
  <c r="E144" i="26"/>
  <c r="E141" i="26"/>
  <c r="E138" i="26"/>
  <c r="E135" i="26"/>
  <c r="E132" i="26"/>
  <c r="E129" i="26"/>
  <c r="E125" i="26"/>
  <c r="E116" i="26"/>
  <c r="E113" i="26"/>
  <c r="E109" i="26"/>
  <c r="E106" i="26"/>
  <c r="E103" i="26"/>
  <c r="E100" i="26"/>
  <c r="E97" i="26"/>
  <c r="E94" i="26"/>
  <c r="E91" i="26"/>
  <c r="E88" i="26"/>
  <c r="E85" i="26"/>
  <c r="E82" i="26"/>
  <c r="E79" i="26"/>
  <c r="E76" i="26"/>
  <c r="E73" i="26"/>
  <c r="E157" i="26"/>
  <c r="E148" i="26"/>
  <c r="E139" i="26"/>
  <c r="E127" i="26"/>
  <c r="E151" i="26"/>
  <c r="E142" i="26"/>
  <c r="E133" i="26"/>
  <c r="E128" i="26"/>
  <c r="E124" i="26"/>
  <c r="E115" i="26"/>
  <c r="E111" i="26"/>
  <c r="E108" i="26"/>
  <c r="E105" i="26"/>
  <c r="E102" i="26"/>
  <c r="E99" i="26"/>
  <c r="E96" i="26"/>
  <c r="E93" i="26"/>
  <c r="E90" i="26"/>
  <c r="E87" i="26"/>
  <c r="E84" i="26"/>
  <c r="E81" i="26"/>
  <c r="E78" i="26"/>
  <c r="E75" i="26"/>
  <c r="E72" i="26"/>
  <c r="E130" i="26"/>
  <c r="E69" i="26"/>
  <c r="E66" i="26"/>
  <c r="E63" i="26"/>
  <c r="E60" i="26"/>
  <c r="E57" i="26"/>
  <c r="E54" i="26"/>
  <c r="E136" i="26"/>
  <c r="E123" i="26"/>
  <c r="E114" i="26"/>
  <c r="E110" i="26"/>
  <c r="E107" i="26"/>
  <c r="E104" i="26"/>
  <c r="E101" i="26"/>
  <c r="E98" i="26"/>
  <c r="E95" i="26"/>
  <c r="E92" i="26"/>
  <c r="E89" i="26"/>
  <c r="E86" i="26"/>
  <c r="E83" i="26"/>
  <c r="E80" i="26"/>
  <c r="E77" i="26"/>
  <c r="E74" i="26"/>
  <c r="E68" i="26"/>
  <c r="E65" i="26"/>
  <c r="E62" i="26"/>
  <c r="E59" i="26"/>
  <c r="E56" i="26"/>
  <c r="E53" i="26"/>
  <c r="E145" i="26"/>
  <c r="E51" i="26"/>
  <c r="E52" i="26"/>
  <c r="E71" i="26"/>
  <c r="E64" i="26"/>
  <c r="E55" i="26"/>
  <c r="E50" i="26"/>
  <c r="E47" i="26"/>
  <c r="E44" i="26"/>
  <c r="E41" i="26"/>
  <c r="E38" i="26"/>
  <c r="E35" i="26"/>
  <c r="E32" i="26"/>
  <c r="E29" i="26"/>
  <c r="E26" i="26"/>
  <c r="E23" i="26"/>
  <c r="E20" i="26"/>
  <c r="E17" i="26"/>
  <c r="E14" i="26"/>
  <c r="E11" i="26"/>
  <c r="E8" i="26"/>
  <c r="E5" i="26"/>
  <c r="E43" i="26"/>
  <c r="E34" i="26"/>
  <c r="E25" i="26"/>
  <c r="E16" i="26"/>
  <c r="E7" i="26"/>
  <c r="E58" i="26"/>
  <c r="E45" i="26"/>
  <c r="E36" i="26"/>
  <c r="E27" i="26"/>
  <c r="E18" i="26"/>
  <c r="E9" i="26"/>
  <c r="E61" i="26"/>
  <c r="E46" i="26"/>
  <c r="E37" i="26"/>
  <c r="E28" i="26"/>
  <c r="E19" i="26"/>
  <c r="E10" i="26"/>
  <c r="E154" i="26"/>
  <c r="F1" i="26"/>
  <c r="E42" i="26"/>
  <c r="E33" i="26"/>
  <c r="E24" i="26"/>
  <c r="E15" i="26"/>
  <c r="E6" i="26"/>
  <c r="E48" i="26"/>
  <c r="E39" i="26"/>
  <c r="E31" i="26"/>
  <c r="E12" i="26"/>
  <c r="E4" i="26"/>
  <c r="E70" i="26"/>
  <c r="E30" i="26"/>
  <c r="E22" i="26"/>
  <c r="E3" i="26"/>
  <c r="E67" i="26"/>
  <c r="E40" i="26"/>
  <c r="E21" i="26"/>
  <c r="E13" i="26"/>
  <c r="E49" i="26"/>
  <c r="E130" i="23"/>
  <c r="E133" i="23"/>
  <c r="E128" i="23"/>
  <c r="E184" i="23"/>
  <c r="E181" i="23"/>
  <c r="E178" i="23"/>
  <c r="E175" i="23"/>
  <c r="E172" i="23"/>
  <c r="E169" i="23"/>
  <c r="E166" i="23"/>
  <c r="E163" i="23"/>
  <c r="E160" i="23"/>
  <c r="E157" i="23"/>
  <c r="E154" i="23"/>
  <c r="E151" i="23"/>
  <c r="E148" i="23"/>
  <c r="E145" i="23"/>
  <c r="E142" i="23"/>
  <c r="E139" i="23"/>
  <c r="E136" i="23"/>
  <c r="E120" i="23"/>
  <c r="E126" i="23"/>
  <c r="E123" i="23"/>
  <c r="E134" i="23"/>
  <c r="E185" i="23"/>
  <c r="E182" i="23"/>
  <c r="E179" i="23"/>
  <c r="E176" i="23"/>
  <c r="E173" i="23"/>
  <c r="E170" i="23"/>
  <c r="E167" i="23"/>
  <c r="E164" i="23"/>
  <c r="E161" i="23"/>
  <c r="E158" i="23"/>
  <c r="E155" i="23"/>
  <c r="E152" i="23"/>
  <c r="E149" i="23"/>
  <c r="E146" i="23"/>
  <c r="E143" i="23"/>
  <c r="E140" i="23"/>
  <c r="E137" i="23"/>
  <c r="E129" i="23"/>
  <c r="E121" i="23"/>
  <c r="E135" i="23"/>
  <c r="E132" i="23"/>
  <c r="E131" i="23"/>
  <c r="E127" i="23"/>
  <c r="E122" i="23"/>
  <c r="E168" i="23"/>
  <c r="E171" i="23"/>
  <c r="E144" i="23"/>
  <c r="E115" i="23"/>
  <c r="E110" i="23"/>
  <c r="E106" i="23"/>
  <c r="E101" i="23"/>
  <c r="E97" i="23"/>
  <c r="E93" i="23"/>
  <c r="E162" i="23"/>
  <c r="E165" i="23"/>
  <c r="E138" i="23"/>
  <c r="E119" i="23"/>
  <c r="E116" i="23"/>
  <c r="E112" i="23"/>
  <c r="E107" i="23"/>
  <c r="E103" i="23"/>
  <c r="E100" i="23"/>
  <c r="E174" i="23"/>
  <c r="E83" i="23"/>
  <c r="E80" i="23"/>
  <c r="E77" i="23"/>
  <c r="E74" i="23"/>
  <c r="E71" i="23"/>
  <c r="E68" i="23"/>
  <c r="E65" i="23"/>
  <c r="E177" i="23"/>
  <c r="E150" i="23"/>
  <c r="E124" i="23"/>
  <c r="E118" i="23"/>
  <c r="E117" i="23"/>
  <c r="E94" i="23"/>
  <c r="E87" i="23"/>
  <c r="E180" i="23"/>
  <c r="E153" i="23"/>
  <c r="E147" i="23"/>
  <c r="E141" i="23"/>
  <c r="E95" i="23"/>
  <c r="E92" i="23"/>
  <c r="E91" i="23"/>
  <c r="E183" i="23"/>
  <c r="E156" i="23"/>
  <c r="E114" i="23"/>
  <c r="E98" i="23"/>
  <c r="E113" i="23"/>
  <c r="E111" i="23"/>
  <c r="E86" i="23"/>
  <c r="E81" i="23"/>
  <c r="E78" i="23"/>
  <c r="E75" i="23"/>
  <c r="E72" i="23"/>
  <c r="E69" i="23"/>
  <c r="E66" i="23"/>
  <c r="E96" i="23"/>
  <c r="E85" i="23"/>
  <c r="E105" i="23"/>
  <c r="E99" i="23"/>
  <c r="E104" i="23"/>
  <c r="E89" i="23"/>
  <c r="E82" i="23"/>
  <c r="E79" i="23"/>
  <c r="E76" i="23"/>
  <c r="E73" i="23"/>
  <c r="E70" i="23"/>
  <c r="E67" i="23"/>
  <c r="E64" i="23"/>
  <c r="E61" i="23"/>
  <c r="E58" i="23"/>
  <c r="E55" i="23"/>
  <c r="E52" i="23"/>
  <c r="E49" i="23"/>
  <c r="E125" i="23"/>
  <c r="E84" i="23"/>
  <c r="E90" i="23"/>
  <c r="E60" i="23"/>
  <c r="E159" i="23"/>
  <c r="E109" i="23"/>
  <c r="E45" i="23"/>
  <c r="E42" i="23"/>
  <c r="E39" i="23"/>
  <c r="E36" i="23"/>
  <c r="E33" i="23"/>
  <c r="E30" i="23"/>
  <c r="E27" i="23"/>
  <c r="E24" i="23"/>
  <c r="E21" i="23"/>
  <c r="E18" i="23"/>
  <c r="E15" i="23"/>
  <c r="E12" i="23"/>
  <c r="E9" i="23"/>
  <c r="E6" i="23"/>
  <c r="E3" i="23"/>
  <c r="E62" i="23"/>
  <c r="E108" i="23"/>
  <c r="E63" i="23"/>
  <c r="E48" i="23"/>
  <c r="E102" i="23"/>
  <c r="E54" i="23"/>
  <c r="E46" i="23"/>
  <c r="E43" i="23"/>
  <c r="E40" i="23"/>
  <c r="E37" i="23"/>
  <c r="E34" i="23"/>
  <c r="E31" i="23"/>
  <c r="E28" i="23"/>
  <c r="E25" i="23"/>
  <c r="E22" i="23"/>
  <c r="E19" i="23"/>
  <c r="E16" i="23"/>
  <c r="E13" i="23"/>
  <c r="E10" i="23"/>
  <c r="E7" i="23"/>
  <c r="E4" i="23"/>
  <c r="E56" i="23"/>
  <c r="E53" i="23"/>
  <c r="E88" i="23"/>
  <c r="E51" i="23"/>
  <c r="E47" i="23"/>
  <c r="E44" i="23"/>
  <c r="E41" i="23"/>
  <c r="E38" i="23"/>
  <c r="E35" i="23"/>
  <c r="E32" i="23"/>
  <c r="E29" i="23"/>
  <c r="E26" i="23"/>
  <c r="E23" i="23"/>
  <c r="E20" i="23"/>
  <c r="E17" i="23"/>
  <c r="E14" i="23"/>
  <c r="E11" i="23"/>
  <c r="E8" i="23"/>
  <c r="E5" i="23"/>
  <c r="E57" i="23"/>
  <c r="F1" i="23"/>
  <c r="E50" i="23"/>
  <c r="E59" i="23"/>
  <c r="E142" i="18"/>
  <c r="E139" i="18"/>
  <c r="E190" i="18"/>
  <c r="E187" i="18"/>
  <c r="E184" i="18"/>
  <c r="E181" i="18"/>
  <c r="E178" i="18"/>
  <c r="E175" i="18"/>
  <c r="E172" i="18"/>
  <c r="E169" i="18"/>
  <c r="E166" i="18"/>
  <c r="E163" i="18"/>
  <c r="E160" i="18"/>
  <c r="E157" i="18"/>
  <c r="E154" i="18"/>
  <c r="E151" i="18"/>
  <c r="E191" i="18"/>
  <c r="E188" i="18"/>
  <c r="E185" i="18"/>
  <c r="E182" i="18"/>
  <c r="E179" i="18"/>
  <c r="E176" i="18"/>
  <c r="E173" i="18"/>
  <c r="E170" i="18"/>
  <c r="E167" i="18"/>
  <c r="E164" i="18"/>
  <c r="E161" i="18"/>
  <c r="E158" i="18"/>
  <c r="E155" i="18"/>
  <c r="E152" i="18"/>
  <c r="E149" i="18"/>
  <c r="E146" i="18"/>
  <c r="E143" i="18"/>
  <c r="E138" i="18"/>
  <c r="E186" i="18"/>
  <c r="E177" i="18"/>
  <c r="E189" i="18"/>
  <c r="E180" i="18"/>
  <c r="E171" i="18"/>
  <c r="E192" i="18"/>
  <c r="E165" i="18"/>
  <c r="E162" i="18"/>
  <c r="E174" i="18"/>
  <c r="E127" i="18"/>
  <c r="E124" i="18"/>
  <c r="E121" i="18"/>
  <c r="E118" i="18"/>
  <c r="E115" i="18"/>
  <c r="E112" i="18"/>
  <c r="E109" i="18"/>
  <c r="E106" i="18"/>
  <c r="E103" i="18"/>
  <c r="E100" i="18"/>
  <c r="E97" i="18"/>
  <c r="E94" i="18"/>
  <c r="E91" i="18"/>
  <c r="E88" i="18"/>
  <c r="E85" i="18"/>
  <c r="E82" i="18"/>
  <c r="E79" i="18"/>
  <c r="E76" i="18"/>
  <c r="E73" i="18"/>
  <c r="E70" i="18"/>
  <c r="E145" i="18"/>
  <c r="E128" i="18"/>
  <c r="E125" i="18"/>
  <c r="E122" i="18"/>
  <c r="E119" i="18"/>
  <c r="E116" i="18"/>
  <c r="E113" i="18"/>
  <c r="E110" i="18"/>
  <c r="E107" i="18"/>
  <c r="E104" i="18"/>
  <c r="E101" i="18"/>
  <c r="E98" i="18"/>
  <c r="E95" i="18"/>
  <c r="E92" i="18"/>
  <c r="E89" i="18"/>
  <c r="E86" i="18"/>
  <c r="E83" i="18"/>
  <c r="E80" i="18"/>
  <c r="E77" i="18"/>
  <c r="E74" i="18"/>
  <c r="E71" i="18"/>
  <c r="E168" i="18"/>
  <c r="E126" i="18"/>
  <c r="E117" i="18"/>
  <c r="E108" i="18"/>
  <c r="E99" i="18"/>
  <c r="E90" i="18"/>
  <c r="E81" i="18"/>
  <c r="E72" i="18"/>
  <c r="E156" i="18"/>
  <c r="E148" i="18"/>
  <c r="E136" i="18"/>
  <c r="E67" i="18"/>
  <c r="E58" i="18"/>
  <c r="E49" i="18"/>
  <c r="E40" i="18"/>
  <c r="E31" i="18"/>
  <c r="E144" i="18"/>
  <c r="E130" i="18"/>
  <c r="E62" i="18"/>
  <c r="E53" i="18"/>
  <c r="E44" i="18"/>
  <c r="E35" i="18"/>
  <c r="E26" i="18"/>
  <c r="E17" i="18"/>
  <c r="E8" i="18"/>
  <c r="E153" i="18"/>
  <c r="E135" i="18"/>
  <c r="E66" i="18"/>
  <c r="E57" i="18"/>
  <c r="E48" i="18"/>
  <c r="E39" i="18"/>
  <c r="E30" i="18"/>
  <c r="E21" i="18"/>
  <c r="E12" i="18"/>
  <c r="E3" i="18"/>
  <c r="E134" i="18"/>
  <c r="E120" i="18"/>
  <c r="E111" i="18"/>
  <c r="E102" i="18"/>
  <c r="E93" i="18"/>
  <c r="E84" i="18"/>
  <c r="E75" i="18"/>
  <c r="F1" i="18"/>
  <c r="E183" i="18"/>
  <c r="E150" i="18"/>
  <c r="E137" i="18"/>
  <c r="E129" i="18"/>
  <c r="E140" i="18"/>
  <c r="E133" i="18"/>
  <c r="E141" i="18"/>
  <c r="E105" i="18"/>
  <c r="E60" i="18"/>
  <c r="E43" i="18"/>
  <c r="E33" i="18"/>
  <c r="E11" i="18"/>
  <c r="E5" i="18"/>
  <c r="E56" i="18"/>
  <c r="E13" i="18"/>
  <c r="E63" i="18"/>
  <c r="E46" i="18"/>
  <c r="E36" i="18"/>
  <c r="E25" i="18"/>
  <c r="E19" i="18"/>
  <c r="E123" i="18"/>
  <c r="E96" i="18"/>
  <c r="E87" i="18"/>
  <c r="E52" i="18"/>
  <c r="E42" i="18"/>
  <c r="E29" i="18"/>
  <c r="E23" i="18"/>
  <c r="E69" i="18"/>
  <c r="E59" i="18"/>
  <c r="E32" i="18"/>
  <c r="E27" i="18"/>
  <c r="E6" i="18"/>
  <c r="E159" i="18"/>
  <c r="E65" i="18"/>
  <c r="E38" i="18"/>
  <c r="E4" i="18"/>
  <c r="E114" i="18"/>
  <c r="E61" i="18"/>
  <c r="E51" i="18"/>
  <c r="E34" i="18"/>
  <c r="E20" i="18"/>
  <c r="E14" i="18"/>
  <c r="E78" i="18"/>
  <c r="E68" i="18"/>
  <c r="E41" i="18"/>
  <c r="E24" i="18"/>
  <c r="E18" i="18"/>
  <c r="E47" i="18"/>
  <c r="E22" i="18"/>
  <c r="E132" i="18"/>
  <c r="E37" i="18"/>
  <c r="E28" i="18"/>
  <c r="E9" i="18"/>
  <c r="E147" i="18"/>
  <c r="E131" i="18"/>
  <c r="E55" i="18"/>
  <c r="E64" i="18"/>
  <c r="E45" i="18"/>
  <c r="E16" i="18"/>
  <c r="E54" i="18"/>
  <c r="E10" i="18"/>
  <c r="E7" i="18"/>
  <c r="E50" i="18"/>
  <c r="E15" i="18"/>
  <c r="E175" i="27"/>
  <c r="E172" i="27"/>
  <c r="E169" i="27"/>
  <c r="E166" i="27"/>
  <c r="E163" i="27"/>
  <c r="E160" i="27"/>
  <c r="E157" i="27"/>
  <c r="E154" i="27"/>
  <c r="E151" i="27"/>
  <c r="E148" i="27"/>
  <c r="E176" i="27"/>
  <c r="E173" i="27"/>
  <c r="E170" i="27"/>
  <c r="E167" i="27"/>
  <c r="E164" i="27"/>
  <c r="E161" i="27"/>
  <c r="E158" i="27"/>
  <c r="E155" i="27"/>
  <c r="E152" i="27"/>
  <c r="E149" i="27"/>
  <c r="E146" i="27"/>
  <c r="E174" i="27"/>
  <c r="E171" i="27"/>
  <c r="E168" i="27"/>
  <c r="E165" i="27"/>
  <c r="E162" i="27"/>
  <c r="E159" i="27"/>
  <c r="E156" i="27"/>
  <c r="E153" i="27"/>
  <c r="E150" i="27"/>
  <c r="E147" i="27"/>
  <c r="E144" i="27"/>
  <c r="E141" i="27"/>
  <c r="E138" i="27"/>
  <c r="E135" i="27"/>
  <c r="E132" i="27"/>
  <c r="E129" i="27"/>
  <c r="E125" i="27"/>
  <c r="E116" i="27"/>
  <c r="E113" i="27"/>
  <c r="E145" i="27"/>
  <c r="E142" i="27"/>
  <c r="E139" i="27"/>
  <c r="E136" i="27"/>
  <c r="E133" i="27"/>
  <c r="E130" i="27"/>
  <c r="E127" i="27"/>
  <c r="E123" i="27"/>
  <c r="E114" i="27"/>
  <c r="E110" i="27"/>
  <c r="E107" i="27"/>
  <c r="E104" i="27"/>
  <c r="E101" i="27"/>
  <c r="E98" i="27"/>
  <c r="E95" i="27"/>
  <c r="E92" i="27"/>
  <c r="E89" i="27"/>
  <c r="E111" i="27"/>
  <c r="E108" i="27"/>
  <c r="E105" i="27"/>
  <c r="E102" i="27"/>
  <c r="E99" i="27"/>
  <c r="E96" i="27"/>
  <c r="E93" i="27"/>
  <c r="E90" i="27"/>
  <c r="E87" i="27"/>
  <c r="E143" i="27"/>
  <c r="E140" i="27"/>
  <c r="E137" i="27"/>
  <c r="E134" i="27"/>
  <c r="E131" i="27"/>
  <c r="E128" i="27"/>
  <c r="E124" i="27"/>
  <c r="E115" i="27"/>
  <c r="E86" i="27"/>
  <c r="E83" i="27"/>
  <c r="E80" i="27"/>
  <c r="E77" i="27"/>
  <c r="E74" i="27"/>
  <c r="E71" i="27"/>
  <c r="E68" i="27"/>
  <c r="E65" i="27"/>
  <c r="E109" i="27"/>
  <c r="E106" i="27"/>
  <c r="E103" i="27"/>
  <c r="E100" i="27"/>
  <c r="E97" i="27"/>
  <c r="E94" i="27"/>
  <c r="E91" i="27"/>
  <c r="E88" i="27"/>
  <c r="E84" i="27"/>
  <c r="E81" i="27"/>
  <c r="E78" i="27"/>
  <c r="E75" i="27"/>
  <c r="E72" i="27"/>
  <c r="E69" i="27"/>
  <c r="E66" i="27"/>
  <c r="E85" i="27"/>
  <c r="E82" i="27"/>
  <c r="E79" i="27"/>
  <c r="E76" i="27"/>
  <c r="E73" i="27"/>
  <c r="E70" i="27"/>
  <c r="E67" i="27"/>
  <c r="E64" i="27"/>
  <c r="E63" i="27"/>
  <c r="E60" i="27"/>
  <c r="E57" i="27"/>
  <c r="E54" i="27"/>
  <c r="E51" i="27"/>
  <c r="E48" i="27"/>
  <c r="E45" i="27"/>
  <c r="E42" i="27"/>
  <c r="E39" i="27"/>
  <c r="E61" i="27"/>
  <c r="E58" i="27"/>
  <c r="E55" i="27"/>
  <c r="E52" i="27"/>
  <c r="E49" i="27"/>
  <c r="E46" i="27"/>
  <c r="E43" i="27"/>
  <c r="E40" i="27"/>
  <c r="E62" i="27"/>
  <c r="E59" i="27"/>
  <c r="E56" i="27"/>
  <c r="E53" i="27"/>
  <c r="E50" i="27"/>
  <c r="E47" i="27"/>
  <c r="E44" i="27"/>
  <c r="E41" i="27"/>
  <c r="E38" i="27"/>
  <c r="E37" i="27"/>
  <c r="E34" i="27"/>
  <c r="E31" i="27"/>
  <c r="E28" i="27"/>
  <c r="E25" i="27"/>
  <c r="E22" i="27"/>
  <c r="E19" i="27"/>
  <c r="E16" i="27"/>
  <c r="E13" i="27"/>
  <c r="E35" i="27"/>
  <c r="E32" i="27"/>
  <c r="E29" i="27"/>
  <c r="E26" i="27"/>
  <c r="E23" i="27"/>
  <c r="E20" i="27"/>
  <c r="E17" i="27"/>
  <c r="E14" i="27"/>
  <c r="E11" i="27"/>
  <c r="E36" i="27"/>
  <c r="E33" i="27"/>
  <c r="E30" i="27"/>
  <c r="E27" i="27"/>
  <c r="E24" i="27"/>
  <c r="E21" i="27"/>
  <c r="E18" i="27"/>
  <c r="E15" i="27"/>
  <c r="E12" i="27"/>
  <c r="E10" i="27"/>
  <c r="E7" i="27"/>
  <c r="E4" i="27"/>
  <c r="F1" i="27"/>
  <c r="E6" i="27"/>
  <c r="E8" i="27"/>
  <c r="E3" i="27"/>
  <c r="E5" i="27"/>
  <c r="E9" i="27"/>
  <c r="F176" i="26" l="1"/>
  <c r="F173" i="26"/>
  <c r="F170" i="26"/>
  <c r="F167" i="26"/>
  <c r="F164" i="26"/>
  <c r="F161" i="26"/>
  <c r="F174" i="26"/>
  <c r="F171" i="26"/>
  <c r="F168" i="26"/>
  <c r="F165" i="26"/>
  <c r="F162" i="26"/>
  <c r="F159" i="26"/>
  <c r="F175" i="26"/>
  <c r="F172" i="26"/>
  <c r="F169" i="26"/>
  <c r="F166" i="26"/>
  <c r="F163" i="26"/>
  <c r="F160" i="26"/>
  <c r="F158" i="26"/>
  <c r="F155" i="26"/>
  <c r="F152" i="26"/>
  <c r="F149" i="26"/>
  <c r="F146" i="26"/>
  <c r="F143" i="26"/>
  <c r="F140" i="26"/>
  <c r="F137" i="26"/>
  <c r="F134" i="26"/>
  <c r="F131" i="26"/>
  <c r="F156" i="26"/>
  <c r="F153" i="26"/>
  <c r="F150" i="26"/>
  <c r="F147" i="26"/>
  <c r="F144" i="26"/>
  <c r="F141" i="26"/>
  <c r="F138" i="26"/>
  <c r="F135" i="26"/>
  <c r="F157" i="26"/>
  <c r="F154" i="26"/>
  <c r="F151" i="26"/>
  <c r="F148" i="26"/>
  <c r="F145" i="26"/>
  <c r="F142" i="26"/>
  <c r="F139" i="26"/>
  <c r="F136" i="26"/>
  <c r="F133" i="26"/>
  <c r="F127" i="26"/>
  <c r="F123" i="26"/>
  <c r="F114" i="26"/>
  <c r="F110" i="26"/>
  <c r="F107" i="26"/>
  <c r="F104" i="26"/>
  <c r="F101" i="26"/>
  <c r="F98" i="26"/>
  <c r="F95" i="26"/>
  <c r="F92" i="26"/>
  <c r="F89" i="26"/>
  <c r="F86" i="26"/>
  <c r="F83" i="26"/>
  <c r="F80" i="26"/>
  <c r="F77" i="26"/>
  <c r="F74" i="26"/>
  <c r="F71" i="26"/>
  <c r="F128" i="26"/>
  <c r="F124" i="26"/>
  <c r="F115" i="26"/>
  <c r="F111" i="26"/>
  <c r="F108" i="26"/>
  <c r="F105" i="26"/>
  <c r="F102" i="26"/>
  <c r="F99" i="26"/>
  <c r="F96" i="26"/>
  <c r="F93" i="26"/>
  <c r="F90" i="26"/>
  <c r="F87" i="26"/>
  <c r="F84" i="26"/>
  <c r="F81" i="26"/>
  <c r="F78" i="26"/>
  <c r="F75" i="26"/>
  <c r="F72" i="26"/>
  <c r="F132" i="26"/>
  <c r="F129" i="26"/>
  <c r="F116" i="26"/>
  <c r="F113" i="26"/>
  <c r="F109" i="26"/>
  <c r="F106" i="26"/>
  <c r="F103" i="26"/>
  <c r="F100" i="26"/>
  <c r="F97" i="26"/>
  <c r="F94" i="26"/>
  <c r="F91" i="26"/>
  <c r="F88" i="26"/>
  <c r="F85" i="26"/>
  <c r="F82" i="26"/>
  <c r="F79" i="26"/>
  <c r="F76" i="26"/>
  <c r="F73" i="26"/>
  <c r="F69" i="26"/>
  <c r="F66" i="26"/>
  <c r="F63" i="26"/>
  <c r="F60" i="26"/>
  <c r="F57" i="26"/>
  <c r="F54" i="26"/>
  <c r="F51" i="26"/>
  <c r="F125" i="26"/>
  <c r="F70" i="26"/>
  <c r="F67" i="26"/>
  <c r="F64" i="26"/>
  <c r="F61" i="26"/>
  <c r="F58" i="26"/>
  <c r="F55" i="26"/>
  <c r="F130" i="26"/>
  <c r="F65" i="26"/>
  <c r="F56" i="26"/>
  <c r="F48" i="26"/>
  <c r="F45" i="26"/>
  <c r="F42" i="26"/>
  <c r="F39" i="26"/>
  <c r="F36" i="26"/>
  <c r="F33" i="26"/>
  <c r="F30" i="26"/>
  <c r="F27" i="26"/>
  <c r="F24" i="26"/>
  <c r="F21" i="26"/>
  <c r="F18" i="26"/>
  <c r="F15" i="26"/>
  <c r="F12" i="26"/>
  <c r="F9" i="26"/>
  <c r="F6" i="26"/>
  <c r="F3" i="26"/>
  <c r="F52" i="26"/>
  <c r="F68" i="26"/>
  <c r="F59" i="26"/>
  <c r="F49" i="26"/>
  <c r="F46" i="26"/>
  <c r="F43" i="26"/>
  <c r="F40" i="26"/>
  <c r="F37" i="26"/>
  <c r="F34" i="26"/>
  <c r="F31" i="26"/>
  <c r="F28" i="26"/>
  <c r="F25" i="26"/>
  <c r="F22" i="26"/>
  <c r="F19" i="26"/>
  <c r="F16" i="26"/>
  <c r="F13" i="26"/>
  <c r="F10" i="26"/>
  <c r="F7" i="26"/>
  <c r="F4" i="26"/>
  <c r="F62" i="26"/>
  <c r="F50" i="26"/>
  <c r="F47" i="26"/>
  <c r="F44" i="26"/>
  <c r="F41" i="26"/>
  <c r="F38" i="26"/>
  <c r="F35" i="26"/>
  <c r="F32" i="26"/>
  <c r="F29" i="26"/>
  <c r="F26" i="26"/>
  <c r="F23" i="26"/>
  <c r="F20" i="26"/>
  <c r="F17" i="26"/>
  <c r="F14" i="26"/>
  <c r="F11" i="26"/>
  <c r="F8" i="26"/>
  <c r="F5" i="26"/>
  <c r="F53" i="26"/>
  <c r="G1" i="26"/>
  <c r="F134" i="21"/>
  <c r="F137" i="21"/>
  <c r="F188" i="21"/>
  <c r="F185" i="21"/>
  <c r="F182" i="21"/>
  <c r="F179" i="21"/>
  <c r="F176" i="21"/>
  <c r="F173" i="21"/>
  <c r="F170" i="21"/>
  <c r="F167" i="21"/>
  <c r="F164" i="21"/>
  <c r="F161" i="21"/>
  <c r="F158" i="21"/>
  <c r="F155" i="21"/>
  <c r="F152" i="21"/>
  <c r="F149" i="21"/>
  <c r="F146" i="21"/>
  <c r="F143" i="21"/>
  <c r="F140" i="21"/>
  <c r="F132" i="21"/>
  <c r="F124" i="21"/>
  <c r="F121" i="21"/>
  <c r="F118" i="21"/>
  <c r="F115" i="21"/>
  <c r="F112" i="21"/>
  <c r="F127" i="21"/>
  <c r="F186" i="21"/>
  <c r="F183" i="21"/>
  <c r="F180" i="21"/>
  <c r="F177" i="21"/>
  <c r="F174" i="21"/>
  <c r="F171" i="21"/>
  <c r="F168" i="21"/>
  <c r="F165" i="21"/>
  <c r="F162" i="21"/>
  <c r="F159" i="21"/>
  <c r="F156" i="21"/>
  <c r="F153" i="21"/>
  <c r="F150" i="21"/>
  <c r="F147" i="21"/>
  <c r="F144" i="21"/>
  <c r="F141" i="21"/>
  <c r="F133" i="21"/>
  <c r="F128" i="21"/>
  <c r="F125" i="21"/>
  <c r="F187" i="21"/>
  <c r="F184" i="21"/>
  <c r="F181" i="21"/>
  <c r="F178" i="21"/>
  <c r="F175" i="21"/>
  <c r="F172" i="21"/>
  <c r="F169" i="21"/>
  <c r="F166" i="21"/>
  <c r="F148" i="21"/>
  <c r="F163" i="21"/>
  <c r="F139" i="21"/>
  <c r="F123" i="21"/>
  <c r="F120" i="21"/>
  <c r="F117" i="21"/>
  <c r="F114" i="21"/>
  <c r="F129" i="21"/>
  <c r="F126" i="21"/>
  <c r="F110" i="21"/>
  <c r="F107" i="21"/>
  <c r="F104" i="21"/>
  <c r="F101" i="21"/>
  <c r="F98" i="21"/>
  <c r="F95" i="21"/>
  <c r="F92" i="21"/>
  <c r="F89" i="21"/>
  <c r="F86" i="21"/>
  <c r="F83" i="21"/>
  <c r="F80" i="21"/>
  <c r="F77" i="21"/>
  <c r="F74" i="21"/>
  <c r="F71" i="21"/>
  <c r="F68" i="21"/>
  <c r="F65" i="21"/>
  <c r="F62" i="21"/>
  <c r="F59" i="21"/>
  <c r="F56" i="21"/>
  <c r="F53" i="21"/>
  <c r="F50" i="21"/>
  <c r="F47" i="21"/>
  <c r="F44" i="21"/>
  <c r="F41" i="21"/>
  <c r="F38" i="21"/>
  <c r="F35" i="21"/>
  <c r="F32" i="21"/>
  <c r="F29" i="21"/>
  <c r="F26" i="21"/>
  <c r="F23" i="21"/>
  <c r="F20" i="21"/>
  <c r="F17" i="21"/>
  <c r="F154" i="21"/>
  <c r="F145" i="21"/>
  <c r="F157" i="21"/>
  <c r="F122" i="21"/>
  <c r="F119" i="21"/>
  <c r="F116" i="21"/>
  <c r="F113" i="21"/>
  <c r="F151" i="21"/>
  <c r="F142" i="21"/>
  <c r="F160" i="21"/>
  <c r="F130" i="21"/>
  <c r="F45" i="21"/>
  <c r="F40" i="21"/>
  <c r="F36" i="21"/>
  <c r="F31" i="21"/>
  <c r="F27" i="21"/>
  <c r="F22" i="21"/>
  <c r="F18" i="21"/>
  <c r="F51" i="21"/>
  <c r="F131" i="21"/>
  <c r="F46" i="21"/>
  <c r="F42" i="21"/>
  <c r="F37" i="21"/>
  <c r="F33" i="21"/>
  <c r="F28" i="21"/>
  <c r="F24" i="21"/>
  <c r="F19" i="21"/>
  <c r="F109" i="21"/>
  <c r="F106" i="21"/>
  <c r="F103" i="21"/>
  <c r="F100" i="21"/>
  <c r="F97" i="21"/>
  <c r="F94" i="21"/>
  <c r="F91" i="21"/>
  <c r="F88" i="21"/>
  <c r="F85" i="21"/>
  <c r="F82" i="21"/>
  <c r="F79" i="21"/>
  <c r="F76" i="21"/>
  <c r="F73" i="21"/>
  <c r="F70" i="21"/>
  <c r="F67" i="21"/>
  <c r="F64" i="21"/>
  <c r="F61" i="21"/>
  <c r="F58" i="21"/>
  <c r="F55" i="21"/>
  <c r="F52" i="21"/>
  <c r="F14" i="21"/>
  <c r="F11" i="21"/>
  <c r="F8" i="21"/>
  <c r="F5" i="21"/>
  <c r="F43" i="21"/>
  <c r="F39" i="21"/>
  <c r="F34" i="21"/>
  <c r="F30" i="21"/>
  <c r="F25" i="21"/>
  <c r="F21" i="21"/>
  <c r="F138" i="21"/>
  <c r="F135" i="21"/>
  <c r="F48" i="21"/>
  <c r="F111" i="21"/>
  <c r="F108" i="21"/>
  <c r="F105" i="21"/>
  <c r="F102" i="21"/>
  <c r="F99" i="21"/>
  <c r="F96" i="21"/>
  <c r="F93" i="21"/>
  <c r="F90" i="21"/>
  <c r="F87" i="21"/>
  <c r="F84" i="21"/>
  <c r="F81" i="21"/>
  <c r="F78" i="21"/>
  <c r="F75" i="21"/>
  <c r="F72" i="21"/>
  <c r="F69" i="21"/>
  <c r="F66" i="21"/>
  <c r="F63" i="21"/>
  <c r="F60" i="21"/>
  <c r="F57" i="21"/>
  <c r="F54" i="21"/>
  <c r="F136" i="21"/>
  <c r="F12" i="21"/>
  <c r="F49" i="21"/>
  <c r="F7" i="21"/>
  <c r="F15" i="21"/>
  <c r="F16" i="21"/>
  <c r="F3" i="21"/>
  <c r="F10" i="21"/>
  <c r="F4" i="21"/>
  <c r="F6" i="21"/>
  <c r="F13" i="21"/>
  <c r="G1" i="21"/>
  <c r="F9" i="21"/>
  <c r="G192" i="16"/>
  <c r="G189" i="16"/>
  <c r="G186" i="16"/>
  <c r="G183" i="16"/>
  <c r="G180" i="16"/>
  <c r="G177" i="16"/>
  <c r="G193" i="16"/>
  <c r="G190" i="16"/>
  <c r="G187" i="16"/>
  <c r="G184" i="16"/>
  <c r="G181" i="16"/>
  <c r="G178" i="16"/>
  <c r="G185" i="16"/>
  <c r="G132" i="16"/>
  <c r="G135" i="16"/>
  <c r="G191" i="16"/>
  <c r="G182" i="16"/>
  <c r="G138" i="16"/>
  <c r="G133" i="16"/>
  <c r="G130" i="16"/>
  <c r="G141" i="16"/>
  <c r="G136" i="16"/>
  <c r="G68" i="16"/>
  <c r="G65" i="16"/>
  <c r="G62" i="16"/>
  <c r="G59" i="16"/>
  <c r="G56" i="16"/>
  <c r="G53" i="16"/>
  <c r="G50" i="16"/>
  <c r="G47" i="16"/>
  <c r="G44" i="16"/>
  <c r="G41" i="16"/>
  <c r="G38" i="16"/>
  <c r="G35" i="16"/>
  <c r="G32" i="16"/>
  <c r="G29" i="16"/>
  <c r="G26" i="16"/>
  <c r="G23" i="16"/>
  <c r="G20" i="16"/>
  <c r="G17" i="16"/>
  <c r="G14" i="16"/>
  <c r="G11" i="16"/>
  <c r="G8" i="16"/>
  <c r="G5" i="16"/>
  <c r="G188" i="16"/>
  <c r="G134" i="16"/>
  <c r="G131" i="16"/>
  <c r="G172" i="16"/>
  <c r="G163" i="16"/>
  <c r="G154" i="16"/>
  <c r="G145" i="16"/>
  <c r="G143" i="16"/>
  <c r="G120" i="16"/>
  <c r="G111" i="16"/>
  <c r="G102" i="16"/>
  <c r="G93" i="16"/>
  <c r="G84" i="16"/>
  <c r="G75" i="16"/>
  <c r="G179" i="16"/>
  <c r="G170" i="16"/>
  <c r="G161" i="16"/>
  <c r="G152" i="16"/>
  <c r="G125" i="16"/>
  <c r="G116" i="16"/>
  <c r="G107" i="16"/>
  <c r="G98" i="16"/>
  <c r="G89" i="16"/>
  <c r="G80" i="16"/>
  <c r="G71" i="16"/>
  <c r="G168" i="16"/>
  <c r="G159" i="16"/>
  <c r="G150" i="16"/>
  <c r="G128" i="16"/>
  <c r="G72" i="16"/>
  <c r="G139" i="16"/>
  <c r="G121" i="16"/>
  <c r="G112" i="16"/>
  <c r="G103" i="16"/>
  <c r="G94" i="16"/>
  <c r="G85" i="16"/>
  <c r="G76" i="16"/>
  <c r="G148" i="16"/>
  <c r="G126" i="16"/>
  <c r="G108" i="16"/>
  <c r="G90" i="16"/>
  <c r="G175" i="16"/>
  <c r="G166" i="16"/>
  <c r="G157" i="16"/>
  <c r="G137" i="16"/>
  <c r="G117" i="16"/>
  <c r="G99" i="16"/>
  <c r="G81" i="16"/>
  <c r="G173" i="16"/>
  <c r="G164" i="16"/>
  <c r="G155" i="16"/>
  <c r="G146" i="16"/>
  <c r="G122" i="16"/>
  <c r="G113" i="16"/>
  <c r="G104" i="16"/>
  <c r="G95" i="16"/>
  <c r="G86" i="16"/>
  <c r="G77" i="16"/>
  <c r="G106" i="16"/>
  <c r="G79" i="16"/>
  <c r="G171" i="16"/>
  <c r="G162" i="16"/>
  <c r="G153" i="16"/>
  <c r="G144" i="16"/>
  <c r="G105" i="16"/>
  <c r="G78" i="16"/>
  <c r="G142" i="16"/>
  <c r="G118" i="16"/>
  <c r="G109" i="16"/>
  <c r="G100" i="16"/>
  <c r="G91" i="16"/>
  <c r="G82" i="16"/>
  <c r="G73" i="16"/>
  <c r="G160" i="16"/>
  <c r="G129" i="16"/>
  <c r="G114" i="16"/>
  <c r="H1" i="16"/>
  <c r="G115" i="16"/>
  <c r="G88" i="16"/>
  <c r="G169" i="16"/>
  <c r="G151" i="16"/>
  <c r="G123" i="16"/>
  <c r="G96" i="16"/>
  <c r="G87" i="16"/>
  <c r="G124" i="16"/>
  <c r="G176" i="16"/>
  <c r="G167" i="16"/>
  <c r="G158" i="16"/>
  <c r="G149" i="16"/>
  <c r="G140" i="16"/>
  <c r="G127" i="16"/>
  <c r="G119" i="16"/>
  <c r="G110" i="16"/>
  <c r="G101" i="16"/>
  <c r="G92" i="16"/>
  <c r="G83" i="16"/>
  <c r="G74" i="16"/>
  <c r="G67" i="16"/>
  <c r="G66" i="16"/>
  <c r="G64" i="16"/>
  <c r="G63" i="16"/>
  <c r="G61" i="16"/>
  <c r="G60" i="16"/>
  <c r="G58" i="16"/>
  <c r="G57" i="16"/>
  <c r="G55" i="16"/>
  <c r="G54" i="16"/>
  <c r="G52" i="16"/>
  <c r="G51" i="16"/>
  <c r="G49" i="16"/>
  <c r="G48" i="16"/>
  <c r="G46" i="16"/>
  <c r="G45" i="16"/>
  <c r="G43" i="16"/>
  <c r="G42" i="16"/>
  <c r="G40" i="16"/>
  <c r="G39" i="16"/>
  <c r="G37" i="16"/>
  <c r="G36" i="16"/>
  <c r="G34" i="16"/>
  <c r="G33" i="16"/>
  <c r="G31" i="16"/>
  <c r="G30" i="16"/>
  <c r="G28" i="16"/>
  <c r="G27" i="16"/>
  <c r="G25" i="16"/>
  <c r="G24" i="16"/>
  <c r="G22" i="16"/>
  <c r="G21" i="16"/>
  <c r="G19" i="16"/>
  <c r="G18" i="16"/>
  <c r="G16" i="16"/>
  <c r="G15" i="16"/>
  <c r="G13" i="16"/>
  <c r="G12" i="16"/>
  <c r="G10" i="16"/>
  <c r="G9" i="16"/>
  <c r="G7" i="16"/>
  <c r="G6" i="16"/>
  <c r="G4" i="16"/>
  <c r="G3" i="16"/>
  <c r="G70" i="16"/>
  <c r="G174" i="16"/>
  <c r="G165" i="16"/>
  <c r="G156" i="16"/>
  <c r="G147" i="16"/>
  <c r="G69" i="16"/>
  <c r="G97" i="16"/>
  <c r="F190" i="18"/>
  <c r="F187" i="18"/>
  <c r="F184" i="18"/>
  <c r="F181" i="18"/>
  <c r="F178" i="18"/>
  <c r="F175" i="18"/>
  <c r="F172" i="18"/>
  <c r="F169" i="18"/>
  <c r="F166" i="18"/>
  <c r="F163" i="18"/>
  <c r="F160" i="18"/>
  <c r="F157" i="18"/>
  <c r="F154" i="18"/>
  <c r="F151" i="18"/>
  <c r="F148" i="18"/>
  <c r="F145" i="18"/>
  <c r="F143" i="18"/>
  <c r="F189" i="18"/>
  <c r="F180" i="18"/>
  <c r="F171" i="18"/>
  <c r="F182" i="18"/>
  <c r="F150" i="18"/>
  <c r="F161" i="18"/>
  <c r="F133" i="18"/>
  <c r="F130" i="18"/>
  <c r="G1" i="18"/>
  <c r="F144" i="18"/>
  <c r="F142" i="18"/>
  <c r="F141" i="18"/>
  <c r="F137" i="18"/>
  <c r="F136" i="18"/>
  <c r="F131" i="18"/>
  <c r="F177" i="18"/>
  <c r="F156" i="18"/>
  <c r="F155" i="18"/>
  <c r="F67" i="18"/>
  <c r="F58" i="18"/>
  <c r="F49" i="18"/>
  <c r="F40" i="18"/>
  <c r="F31" i="18"/>
  <c r="F22" i="18"/>
  <c r="F13" i="18"/>
  <c r="F4" i="18"/>
  <c r="F146" i="18"/>
  <c r="F121" i="18"/>
  <c r="F112" i="18"/>
  <c r="F103" i="18"/>
  <c r="F94" i="18"/>
  <c r="F85" i="18"/>
  <c r="F76" i="18"/>
  <c r="F62" i="18"/>
  <c r="F53" i="18"/>
  <c r="F44" i="18"/>
  <c r="F35" i="18"/>
  <c r="F185" i="18"/>
  <c r="F153" i="18"/>
  <c r="F139" i="18"/>
  <c r="F135" i="18"/>
  <c r="F125" i="18"/>
  <c r="F116" i="18"/>
  <c r="F107" i="18"/>
  <c r="F98" i="18"/>
  <c r="F89" i="18"/>
  <c r="F80" i="18"/>
  <c r="F71" i="18"/>
  <c r="F66" i="18"/>
  <c r="F57" i="18"/>
  <c r="F48" i="18"/>
  <c r="F39" i="18"/>
  <c r="F30" i="18"/>
  <c r="F21" i="18"/>
  <c r="F12" i="18"/>
  <c r="F3" i="18"/>
  <c r="F152" i="18"/>
  <c r="F134" i="18"/>
  <c r="F120" i="18"/>
  <c r="F111" i="18"/>
  <c r="F102" i="18"/>
  <c r="F93" i="18"/>
  <c r="F84" i="18"/>
  <c r="F75" i="18"/>
  <c r="F188" i="18"/>
  <c r="F183" i="18"/>
  <c r="F129" i="18"/>
  <c r="F61" i="18"/>
  <c r="F52" i="18"/>
  <c r="F43" i="18"/>
  <c r="F34" i="18"/>
  <c r="F25" i="18"/>
  <c r="F16" i="18"/>
  <c r="F7" i="18"/>
  <c r="F173" i="18"/>
  <c r="F170" i="18"/>
  <c r="F140" i="18"/>
  <c r="F124" i="18"/>
  <c r="F115" i="18"/>
  <c r="F106" i="18"/>
  <c r="F191" i="18"/>
  <c r="F164" i="18"/>
  <c r="F149" i="18"/>
  <c r="F147" i="18"/>
  <c r="F128" i="18"/>
  <c r="F119" i="18"/>
  <c r="F110" i="18"/>
  <c r="F101" i="18"/>
  <c r="F92" i="18"/>
  <c r="F83" i="18"/>
  <c r="F179" i="18"/>
  <c r="F167" i="18"/>
  <c r="F192" i="18"/>
  <c r="F168" i="18"/>
  <c r="F162" i="18"/>
  <c r="F132" i="18"/>
  <c r="F118" i="18"/>
  <c r="F117" i="18"/>
  <c r="F104" i="18"/>
  <c r="F70" i="18"/>
  <c r="F50" i="18"/>
  <c r="F15" i="18"/>
  <c r="F9" i="18"/>
  <c r="F97" i="18"/>
  <c r="F88" i="18"/>
  <c r="F63" i="18"/>
  <c r="F46" i="18"/>
  <c r="F36" i="18"/>
  <c r="F19" i="18"/>
  <c r="F17" i="18"/>
  <c r="F123" i="18"/>
  <c r="F96" i="18"/>
  <c r="F87" i="18"/>
  <c r="F73" i="18"/>
  <c r="F42" i="18"/>
  <c r="F29" i="18"/>
  <c r="F23" i="18"/>
  <c r="F122" i="18"/>
  <c r="F109" i="18"/>
  <c r="F108" i="18"/>
  <c r="F79" i="18"/>
  <c r="F69" i="18"/>
  <c r="F59" i="18"/>
  <c r="F32" i="18"/>
  <c r="F27" i="18"/>
  <c r="F6" i="18"/>
  <c r="F159" i="18"/>
  <c r="F65" i="18"/>
  <c r="F38" i="18"/>
  <c r="F95" i="18"/>
  <c r="F86" i="18"/>
  <c r="F55" i="18"/>
  <c r="F45" i="18"/>
  <c r="F10" i="18"/>
  <c r="F8" i="18"/>
  <c r="F174" i="18"/>
  <c r="F114" i="18"/>
  <c r="F127" i="18"/>
  <c r="F126" i="18"/>
  <c r="F113" i="18"/>
  <c r="F78" i="18"/>
  <c r="F68" i="18"/>
  <c r="F41" i="18"/>
  <c r="F24" i="18"/>
  <c r="F18" i="18"/>
  <c r="F165" i="18"/>
  <c r="F47" i="18"/>
  <c r="F74" i="18"/>
  <c r="F64" i="18"/>
  <c r="F54" i="18"/>
  <c r="F37" i="18"/>
  <c r="F28" i="18"/>
  <c r="F26" i="18"/>
  <c r="F100" i="18"/>
  <c r="F20" i="18"/>
  <c r="F186" i="18"/>
  <c r="F91" i="18"/>
  <c r="F105" i="18"/>
  <c r="F77" i="18"/>
  <c r="F138" i="18"/>
  <c r="F99" i="18"/>
  <c r="F14" i="18"/>
  <c r="F158" i="18"/>
  <c r="F33" i="18"/>
  <c r="F11" i="18"/>
  <c r="F176" i="18"/>
  <c r="F90" i="18"/>
  <c r="F51" i="18"/>
  <c r="F82" i="18"/>
  <c r="F60" i="18"/>
  <c r="F5" i="18"/>
  <c r="F72" i="18"/>
  <c r="F81" i="18"/>
  <c r="F56" i="18"/>
  <c r="F133" i="23"/>
  <c r="F128" i="23"/>
  <c r="F184" i="23"/>
  <c r="F181" i="23"/>
  <c r="F178" i="23"/>
  <c r="F175" i="23"/>
  <c r="F172" i="23"/>
  <c r="F169" i="23"/>
  <c r="F166" i="23"/>
  <c r="F163" i="23"/>
  <c r="F160" i="23"/>
  <c r="F157" i="23"/>
  <c r="F154" i="23"/>
  <c r="F151" i="23"/>
  <c r="F148" i="23"/>
  <c r="F145" i="23"/>
  <c r="F142" i="23"/>
  <c r="F139" i="23"/>
  <c r="F136" i="23"/>
  <c r="F120" i="23"/>
  <c r="F126" i="23"/>
  <c r="F123" i="23"/>
  <c r="F131" i="23"/>
  <c r="F185" i="23"/>
  <c r="F182" i="23"/>
  <c r="F179" i="23"/>
  <c r="F176" i="23"/>
  <c r="F173" i="23"/>
  <c r="F170" i="23"/>
  <c r="F167" i="23"/>
  <c r="F164" i="23"/>
  <c r="F161" i="23"/>
  <c r="F158" i="23"/>
  <c r="F155" i="23"/>
  <c r="F152" i="23"/>
  <c r="F149" i="23"/>
  <c r="F146" i="23"/>
  <c r="F143" i="23"/>
  <c r="F140" i="23"/>
  <c r="F137" i="23"/>
  <c r="F129" i="23"/>
  <c r="F121" i="23"/>
  <c r="F124" i="23"/>
  <c r="F183" i="23"/>
  <c r="F180" i="23"/>
  <c r="F177" i="23"/>
  <c r="F174" i="23"/>
  <c r="F171" i="23"/>
  <c r="F168" i="23"/>
  <c r="F165" i="23"/>
  <c r="F162" i="23"/>
  <c r="F159" i="23"/>
  <c r="F156" i="23"/>
  <c r="F153" i="23"/>
  <c r="F150" i="23"/>
  <c r="F147" i="23"/>
  <c r="F144" i="23"/>
  <c r="F141" i="23"/>
  <c r="F138" i="23"/>
  <c r="F119" i="23"/>
  <c r="F118" i="23"/>
  <c r="F115" i="23"/>
  <c r="F112" i="23"/>
  <c r="F109" i="23"/>
  <c r="F106" i="23"/>
  <c r="F103" i="23"/>
  <c r="F100" i="23"/>
  <c r="F97" i="23"/>
  <c r="F94" i="23"/>
  <c r="F91" i="23"/>
  <c r="F88" i="23"/>
  <c r="F85" i="23"/>
  <c r="F135" i="23"/>
  <c r="F117" i="23"/>
  <c r="F114" i="23"/>
  <c r="F111" i="23"/>
  <c r="F108" i="23"/>
  <c r="F105" i="23"/>
  <c r="F102" i="23"/>
  <c r="F99" i="23"/>
  <c r="F96" i="23"/>
  <c r="F132" i="23"/>
  <c r="F122" i="23"/>
  <c r="F116" i="23"/>
  <c r="F107" i="23"/>
  <c r="F83" i="23"/>
  <c r="F80" i="23"/>
  <c r="F77" i="23"/>
  <c r="F74" i="23"/>
  <c r="F71" i="23"/>
  <c r="F68" i="23"/>
  <c r="F65" i="23"/>
  <c r="F62" i="23"/>
  <c r="F59" i="23"/>
  <c r="F56" i="23"/>
  <c r="F53" i="23"/>
  <c r="F50" i="23"/>
  <c r="F130" i="23"/>
  <c r="F127" i="23"/>
  <c r="F87" i="23"/>
  <c r="F95" i="23"/>
  <c r="F93" i="23"/>
  <c r="F92" i="23"/>
  <c r="F98" i="23"/>
  <c r="F113" i="23"/>
  <c r="F86" i="23"/>
  <c r="F81" i="23"/>
  <c r="F78" i="23"/>
  <c r="F75" i="23"/>
  <c r="F72" i="23"/>
  <c r="F69" i="23"/>
  <c r="F66" i="23"/>
  <c r="F63" i="23"/>
  <c r="F60" i="23"/>
  <c r="F57" i="23"/>
  <c r="F101" i="23"/>
  <c r="F90" i="23"/>
  <c r="F134" i="23"/>
  <c r="F104" i="23"/>
  <c r="F89" i="23"/>
  <c r="F82" i="23"/>
  <c r="F79" i="23"/>
  <c r="F76" i="23"/>
  <c r="F73" i="23"/>
  <c r="F70" i="23"/>
  <c r="F67" i="23"/>
  <c r="F64" i="23"/>
  <c r="F61" i="23"/>
  <c r="F58" i="23"/>
  <c r="F55" i="23"/>
  <c r="F52" i="23"/>
  <c r="F49" i="23"/>
  <c r="F125" i="23"/>
  <c r="F84" i="23"/>
  <c r="F110" i="23"/>
  <c r="F45" i="23"/>
  <c r="F42" i="23"/>
  <c r="F39" i="23"/>
  <c r="F36" i="23"/>
  <c r="F33" i="23"/>
  <c r="F30" i="23"/>
  <c r="F27" i="23"/>
  <c r="F24" i="23"/>
  <c r="F21" i="23"/>
  <c r="F18" i="23"/>
  <c r="F15" i="23"/>
  <c r="F12" i="23"/>
  <c r="F9" i="23"/>
  <c r="F6" i="23"/>
  <c r="F3" i="23"/>
  <c r="F48" i="23"/>
  <c r="F54" i="23"/>
  <c r="F46" i="23"/>
  <c r="F43" i="23"/>
  <c r="F40" i="23"/>
  <c r="F37" i="23"/>
  <c r="F34" i="23"/>
  <c r="F31" i="23"/>
  <c r="F28" i="23"/>
  <c r="F25" i="23"/>
  <c r="F22" i="23"/>
  <c r="F19" i="23"/>
  <c r="F16" i="23"/>
  <c r="F13" i="23"/>
  <c r="F10" i="23"/>
  <c r="F7" i="23"/>
  <c r="F4" i="23"/>
  <c r="G1" i="23"/>
  <c r="F51" i="23"/>
  <c r="F47" i="23"/>
  <c r="F44" i="23"/>
  <c r="F41" i="23"/>
  <c r="F38" i="23"/>
  <c r="F35" i="23"/>
  <c r="F32" i="23"/>
  <c r="F29" i="23"/>
  <c r="F26" i="23"/>
  <c r="F23" i="23"/>
  <c r="F20" i="23"/>
  <c r="F17" i="23"/>
  <c r="F14" i="23"/>
  <c r="F11" i="23"/>
  <c r="F8" i="23"/>
  <c r="F5" i="23"/>
  <c r="I189" i="17"/>
  <c r="I180" i="17"/>
  <c r="I171" i="17"/>
  <c r="I162" i="17"/>
  <c r="I153" i="17"/>
  <c r="I138" i="17"/>
  <c r="I184" i="17"/>
  <c r="I188" i="17"/>
  <c r="I179" i="17"/>
  <c r="I170" i="17"/>
  <c r="I161" i="17"/>
  <c r="I152" i="17"/>
  <c r="I192" i="17"/>
  <c r="I183" i="17"/>
  <c r="I174" i="17"/>
  <c r="I165" i="17"/>
  <c r="I156" i="17"/>
  <c r="I134" i="17"/>
  <c r="I187" i="17"/>
  <c r="I181" i="17"/>
  <c r="I124" i="17"/>
  <c r="I115" i="17"/>
  <c r="I106" i="17"/>
  <c r="I97" i="17"/>
  <c r="I133" i="17"/>
  <c r="I123" i="17"/>
  <c r="I114" i="17"/>
  <c r="I105" i="17"/>
  <c r="I96" i="17"/>
  <c r="I93" i="17"/>
  <c r="I89" i="17"/>
  <c r="I86" i="17"/>
  <c r="I83" i="17"/>
  <c r="I80" i="17"/>
  <c r="I77" i="17"/>
  <c r="I74" i="17"/>
  <c r="I71" i="17"/>
  <c r="I169" i="17"/>
  <c r="I160" i="17"/>
  <c r="I151" i="17"/>
  <c r="I135" i="17"/>
  <c r="I132" i="17"/>
  <c r="I178" i="17"/>
  <c r="I175" i="17"/>
  <c r="I172" i="17"/>
  <c r="I166" i="17"/>
  <c r="I163" i="17"/>
  <c r="I157" i="17"/>
  <c r="I154" i="17"/>
  <c r="I137" i="17"/>
  <c r="I136" i="17"/>
  <c r="I127" i="17"/>
  <c r="I118" i="17"/>
  <c r="I109" i="17"/>
  <c r="I100" i="17"/>
  <c r="I182" i="17"/>
  <c r="I142" i="17"/>
  <c r="I139" i="17"/>
  <c r="I122" i="17"/>
  <c r="I113" i="17"/>
  <c r="I104" i="17"/>
  <c r="I95" i="17"/>
  <c r="I66" i="17"/>
  <c r="I63" i="17"/>
  <c r="I60" i="17"/>
  <c r="I57" i="17"/>
  <c r="I54" i="17"/>
  <c r="I51" i="17"/>
  <c r="I48" i="17"/>
  <c r="I45" i="17"/>
  <c r="I42" i="17"/>
  <c r="I39" i="17"/>
  <c r="I36" i="17"/>
  <c r="I33" i="17"/>
  <c r="I30" i="17"/>
  <c r="I27" i="17"/>
  <c r="I24" i="17"/>
  <c r="I21" i="17"/>
  <c r="I18" i="17"/>
  <c r="I15" i="17"/>
  <c r="I12" i="17"/>
  <c r="I9" i="17"/>
  <c r="I6" i="17"/>
  <c r="I3" i="17"/>
  <c r="I186" i="17"/>
  <c r="I148" i="17"/>
  <c r="I145" i="17"/>
  <c r="I141" i="17"/>
  <c r="I140" i="17"/>
  <c r="I131" i="17"/>
  <c r="I126" i="17"/>
  <c r="I117" i="17"/>
  <c r="I108" i="17"/>
  <c r="I99" i="17"/>
  <c r="I90" i="17"/>
  <c r="I87" i="17"/>
  <c r="I84" i="17"/>
  <c r="I81" i="17"/>
  <c r="I78" i="17"/>
  <c r="I75" i="17"/>
  <c r="I72" i="17"/>
  <c r="I69" i="17"/>
  <c r="I190" i="17"/>
  <c r="I176" i="17"/>
  <c r="I167" i="17"/>
  <c r="I158" i="17"/>
  <c r="I149" i="17"/>
  <c r="I121" i="17"/>
  <c r="I112" i="17"/>
  <c r="I103" i="17"/>
  <c r="I92" i="17"/>
  <c r="I130" i="17"/>
  <c r="I125" i="17"/>
  <c r="I116" i="17"/>
  <c r="I107" i="17"/>
  <c r="I98" i="17"/>
  <c r="I94" i="17"/>
  <c r="I67" i="17"/>
  <c r="I64" i="17"/>
  <c r="I61" i="17"/>
  <c r="I58" i="17"/>
  <c r="I55" i="17"/>
  <c r="I52" i="17"/>
  <c r="I49" i="17"/>
  <c r="I46" i="17"/>
  <c r="I43" i="17"/>
  <c r="I40" i="17"/>
  <c r="I37" i="17"/>
  <c r="I34" i="17"/>
  <c r="I31" i="17"/>
  <c r="I28" i="17"/>
  <c r="I25" i="17"/>
  <c r="I22" i="17"/>
  <c r="I120" i="17"/>
  <c r="I111" i="17"/>
  <c r="I102" i="17"/>
  <c r="I88" i="17"/>
  <c r="I85" i="17"/>
  <c r="I82" i="17"/>
  <c r="I79" i="17"/>
  <c r="I76" i="17"/>
  <c r="I73" i="17"/>
  <c r="I70" i="17"/>
  <c r="I128" i="17"/>
  <c r="I119" i="17"/>
  <c r="I110" i="17"/>
  <c r="I101" i="17"/>
  <c r="I68" i="17"/>
  <c r="I65" i="17"/>
  <c r="I62" i="17"/>
  <c r="I59" i="17"/>
  <c r="I56" i="17"/>
  <c r="I53" i="17"/>
  <c r="I50" i="17"/>
  <c r="I47" i="17"/>
  <c r="I44" i="17"/>
  <c r="I41" i="17"/>
  <c r="I38" i="17"/>
  <c r="I35" i="17"/>
  <c r="I32" i="17"/>
  <c r="I29" i="17"/>
  <c r="I26" i="17"/>
  <c r="I23" i="17"/>
  <c r="I164" i="17"/>
  <c r="I19" i="17"/>
  <c r="I10" i="17"/>
  <c r="I159" i="17"/>
  <c r="I20" i="17"/>
  <c r="I11" i="17"/>
  <c r="I173" i="17"/>
  <c r="I147" i="17"/>
  <c r="I143" i="17"/>
  <c r="I168" i="17"/>
  <c r="I129" i="17"/>
  <c r="I13" i="17"/>
  <c r="I191" i="17"/>
  <c r="I14" i="17"/>
  <c r="I5" i="17"/>
  <c r="J1" i="17"/>
  <c r="I177" i="17"/>
  <c r="I185" i="17"/>
  <c r="I91" i="17"/>
  <c r="I155" i="17"/>
  <c r="I146" i="17"/>
  <c r="I144" i="17"/>
  <c r="I17" i="17"/>
  <c r="I150" i="17"/>
  <c r="I16" i="17"/>
  <c r="I7" i="17"/>
  <c r="I4" i="17"/>
  <c r="I8" i="17"/>
  <c r="H190" i="20"/>
  <c r="H187" i="20"/>
  <c r="H184" i="20"/>
  <c r="H181" i="20"/>
  <c r="H178" i="20"/>
  <c r="H175" i="20"/>
  <c r="H172" i="20"/>
  <c r="H169" i="20"/>
  <c r="H166" i="20"/>
  <c r="H163" i="20"/>
  <c r="H160" i="20"/>
  <c r="H157" i="20"/>
  <c r="H188" i="20"/>
  <c r="H185" i="20"/>
  <c r="H182" i="20"/>
  <c r="H179" i="20"/>
  <c r="H176" i="20"/>
  <c r="H173" i="20"/>
  <c r="H170" i="20"/>
  <c r="H167" i="20"/>
  <c r="H164" i="20"/>
  <c r="H161" i="20"/>
  <c r="H158" i="20"/>
  <c r="H155" i="20"/>
  <c r="H189" i="20"/>
  <c r="H186" i="20"/>
  <c r="H183" i="20"/>
  <c r="H180" i="20"/>
  <c r="H177" i="20"/>
  <c r="H174" i="20"/>
  <c r="H171" i="20"/>
  <c r="H168" i="20"/>
  <c r="H165" i="20"/>
  <c r="H162" i="20"/>
  <c r="H159" i="20"/>
  <c r="H156" i="20"/>
  <c r="H153" i="20"/>
  <c r="H143" i="20"/>
  <c r="H124" i="20"/>
  <c r="H121" i="20"/>
  <c r="H118" i="20"/>
  <c r="H115" i="20"/>
  <c r="H112" i="20"/>
  <c r="H109" i="20"/>
  <c r="H106" i="20"/>
  <c r="H103" i="20"/>
  <c r="H100" i="20"/>
  <c r="H97" i="20"/>
  <c r="H94" i="20"/>
  <c r="H91" i="20"/>
  <c r="H88" i="20"/>
  <c r="H85" i="20"/>
  <c r="H82" i="20"/>
  <c r="H79" i="20"/>
  <c r="H76" i="20"/>
  <c r="H73" i="20"/>
  <c r="H70" i="20"/>
  <c r="H154" i="20"/>
  <c r="H144" i="20"/>
  <c r="H141" i="20"/>
  <c r="H125" i="20"/>
  <c r="H122" i="20"/>
  <c r="H119" i="20"/>
  <c r="H116" i="20"/>
  <c r="H113" i="20"/>
  <c r="H110" i="20"/>
  <c r="H107" i="20"/>
  <c r="H104" i="20"/>
  <c r="H101" i="20"/>
  <c r="H98" i="20"/>
  <c r="H95" i="20"/>
  <c r="H92" i="20"/>
  <c r="H89" i="20"/>
  <c r="H86" i="20"/>
  <c r="H83" i="20"/>
  <c r="H80" i="20"/>
  <c r="H77" i="20"/>
  <c r="H74" i="20"/>
  <c r="H71" i="20"/>
  <c r="H137" i="20"/>
  <c r="H136" i="20"/>
  <c r="H130" i="20"/>
  <c r="H68" i="20"/>
  <c r="H146" i="20"/>
  <c r="H145" i="20"/>
  <c r="H135" i="20"/>
  <c r="H120" i="20"/>
  <c r="H111" i="20"/>
  <c r="H102" i="20"/>
  <c r="H93" i="20"/>
  <c r="H84" i="20"/>
  <c r="H75" i="20"/>
  <c r="H147" i="20"/>
  <c r="H134" i="20"/>
  <c r="H149" i="20"/>
  <c r="H150" i="20"/>
  <c r="H131" i="20"/>
  <c r="H152" i="20"/>
  <c r="H96" i="20"/>
  <c r="H57" i="20"/>
  <c r="H48" i="20"/>
  <c r="H39" i="20"/>
  <c r="H35" i="20"/>
  <c r="H32" i="20"/>
  <c r="H29" i="20"/>
  <c r="H26" i="20"/>
  <c r="H23" i="20"/>
  <c r="H20" i="20"/>
  <c r="H17" i="20"/>
  <c r="H14" i="20"/>
  <c r="H11" i="20"/>
  <c r="H8" i="20"/>
  <c r="H5" i="20"/>
  <c r="H140" i="20"/>
  <c r="H129" i="20"/>
  <c r="H139" i="20"/>
  <c r="H128" i="20"/>
  <c r="H114" i="20"/>
  <c r="H56" i="20"/>
  <c r="H47" i="20"/>
  <c r="H38" i="20"/>
  <c r="H138" i="20"/>
  <c r="H127" i="20"/>
  <c r="H67" i="20"/>
  <c r="H66" i="20"/>
  <c r="H64" i="20"/>
  <c r="H63" i="20"/>
  <c r="H61" i="20"/>
  <c r="H60" i="20"/>
  <c r="H51" i="20"/>
  <c r="H126" i="20"/>
  <c r="H117" i="20"/>
  <c r="H65" i="20"/>
  <c r="H62" i="20"/>
  <c r="H55" i="20"/>
  <c r="H46" i="20"/>
  <c r="H87" i="20"/>
  <c r="H78" i="20"/>
  <c r="H69" i="20"/>
  <c r="H99" i="20"/>
  <c r="H81" i="20"/>
  <c r="H72" i="20"/>
  <c r="H59" i="20"/>
  <c r="H50" i="20"/>
  <c r="H41" i="20"/>
  <c r="H148" i="20"/>
  <c r="H54" i="20"/>
  <c r="H45" i="20"/>
  <c r="H37" i="20"/>
  <c r="H34" i="20"/>
  <c r="H31" i="20"/>
  <c r="H28" i="20"/>
  <c r="H25" i="20"/>
  <c r="H22" i="20"/>
  <c r="H19" i="20"/>
  <c r="H16" i="20"/>
  <c r="H13" i="20"/>
  <c r="H10" i="20"/>
  <c r="H7" i="20"/>
  <c r="H4" i="20"/>
  <c r="H133" i="20"/>
  <c r="H123" i="20"/>
  <c r="H58" i="20"/>
  <c r="H49" i="20"/>
  <c r="H40" i="20"/>
  <c r="H132" i="20"/>
  <c r="H105" i="20"/>
  <c r="I1" i="20"/>
  <c r="H90" i="20"/>
  <c r="H43" i="20"/>
  <c r="H36" i="20"/>
  <c r="H33" i="20"/>
  <c r="H30" i="20"/>
  <c r="H27" i="20"/>
  <c r="H24" i="20"/>
  <c r="H21" i="20"/>
  <c r="H18" i="20"/>
  <c r="H15" i="20"/>
  <c r="H12" i="20"/>
  <c r="H9" i="20"/>
  <c r="H6" i="20"/>
  <c r="H3" i="20"/>
  <c r="H142" i="20"/>
  <c r="H53" i="20"/>
  <c r="H44" i="20"/>
  <c r="H151" i="20"/>
  <c r="H108" i="20"/>
  <c r="H52" i="20"/>
  <c r="H42" i="20"/>
  <c r="I134" i="22"/>
  <c r="I185" i="22"/>
  <c r="I182" i="22"/>
  <c r="I179" i="22"/>
  <c r="I176" i="22"/>
  <c r="I173" i="22"/>
  <c r="I170" i="22"/>
  <c r="I167" i="22"/>
  <c r="I164" i="22"/>
  <c r="I161" i="22"/>
  <c r="I158" i="22"/>
  <c r="I155" i="22"/>
  <c r="I152" i="22"/>
  <c r="I149" i="22"/>
  <c r="I146" i="22"/>
  <c r="I143" i="22"/>
  <c r="I140" i="22"/>
  <c r="I137" i="22"/>
  <c r="I129" i="22"/>
  <c r="I121" i="22"/>
  <c r="I124" i="22"/>
  <c r="I127" i="22"/>
  <c r="I135" i="22"/>
  <c r="I132" i="22"/>
  <c r="I183" i="22"/>
  <c r="I180" i="22"/>
  <c r="I177" i="22"/>
  <c r="I174" i="22"/>
  <c r="I171" i="22"/>
  <c r="I168" i="22"/>
  <c r="I165" i="22"/>
  <c r="I162" i="22"/>
  <c r="I159" i="22"/>
  <c r="I156" i="22"/>
  <c r="I153" i="22"/>
  <c r="I150" i="22"/>
  <c r="I147" i="22"/>
  <c r="I144" i="22"/>
  <c r="I141" i="22"/>
  <c r="I138" i="22"/>
  <c r="I119" i="22"/>
  <c r="I130" i="22"/>
  <c r="I125" i="22"/>
  <c r="I122" i="22"/>
  <c r="I184" i="22"/>
  <c r="I181" i="22"/>
  <c r="I178" i="22"/>
  <c r="I175" i="22"/>
  <c r="I172" i="22"/>
  <c r="I169" i="22"/>
  <c r="I166" i="22"/>
  <c r="I163" i="22"/>
  <c r="I160" i="22"/>
  <c r="I157" i="22"/>
  <c r="I154" i="22"/>
  <c r="I151" i="22"/>
  <c r="I148" i="22"/>
  <c r="I145" i="22"/>
  <c r="I142" i="22"/>
  <c r="I139" i="22"/>
  <c r="I136" i="22"/>
  <c r="I120" i="22"/>
  <c r="I126" i="22"/>
  <c r="I123" i="22"/>
  <c r="I131" i="22"/>
  <c r="I133" i="22"/>
  <c r="I115" i="22"/>
  <c r="I106" i="22"/>
  <c r="I97" i="22"/>
  <c r="I88" i="22"/>
  <c r="I79" i="22"/>
  <c r="I70" i="22"/>
  <c r="I61" i="22"/>
  <c r="I52" i="22"/>
  <c r="I43" i="22"/>
  <c r="I34" i="22"/>
  <c r="I25" i="22"/>
  <c r="I16" i="22"/>
  <c r="I10" i="22"/>
  <c r="I7" i="22"/>
  <c r="I4" i="22"/>
  <c r="I116" i="22"/>
  <c r="I107" i="22"/>
  <c r="I98" i="22"/>
  <c r="I89" i="22"/>
  <c r="I80" i="22"/>
  <c r="I71" i="22"/>
  <c r="I62" i="22"/>
  <c r="I53" i="22"/>
  <c r="I44" i="22"/>
  <c r="I35" i="22"/>
  <c r="I26" i="22"/>
  <c r="I17" i="22"/>
  <c r="J1" i="22"/>
  <c r="I117" i="22"/>
  <c r="I108" i="22"/>
  <c r="I99" i="22"/>
  <c r="I90" i="22"/>
  <c r="I81" i="22"/>
  <c r="I72" i="22"/>
  <c r="I63" i="22"/>
  <c r="I54" i="22"/>
  <c r="I45" i="22"/>
  <c r="I36" i="22"/>
  <c r="I27" i="22"/>
  <c r="I18" i="22"/>
  <c r="I118" i="22"/>
  <c r="I109" i="22"/>
  <c r="I100" i="22"/>
  <c r="I91" i="22"/>
  <c r="I82" i="22"/>
  <c r="I73" i="22"/>
  <c r="I64" i="22"/>
  <c r="I55" i="22"/>
  <c r="I46" i="22"/>
  <c r="I37" i="22"/>
  <c r="I28" i="22"/>
  <c r="I19" i="22"/>
  <c r="I11" i="22"/>
  <c r="I8" i="22"/>
  <c r="I5" i="22"/>
  <c r="I110" i="22"/>
  <c r="I101" i="22"/>
  <c r="I92" i="22"/>
  <c r="I83" i="22"/>
  <c r="I74" i="22"/>
  <c r="I65" i="22"/>
  <c r="I56" i="22"/>
  <c r="I47" i="22"/>
  <c r="I38" i="22"/>
  <c r="I29" i="22"/>
  <c r="I20" i="22"/>
  <c r="I111" i="22"/>
  <c r="I102" i="22"/>
  <c r="I93" i="22"/>
  <c r="I84" i="22"/>
  <c r="I75" i="22"/>
  <c r="I66" i="22"/>
  <c r="I57" i="22"/>
  <c r="I48" i="22"/>
  <c r="I39" i="22"/>
  <c r="I30" i="22"/>
  <c r="I21" i="22"/>
  <c r="I12" i="22"/>
  <c r="I112" i="22"/>
  <c r="I103" i="22"/>
  <c r="I94" i="22"/>
  <c r="I85" i="22"/>
  <c r="I76" i="22"/>
  <c r="I67" i="22"/>
  <c r="I58" i="22"/>
  <c r="I49" i="22"/>
  <c r="I40" i="22"/>
  <c r="I31" i="22"/>
  <c r="I22" i="22"/>
  <c r="I13" i="22"/>
  <c r="I9" i="22"/>
  <c r="I6" i="22"/>
  <c r="I3" i="22"/>
  <c r="I128" i="22"/>
  <c r="I113" i="22"/>
  <c r="I104" i="22"/>
  <c r="I95" i="22"/>
  <c r="I86" i="22"/>
  <c r="I77" i="22"/>
  <c r="I68" i="22"/>
  <c r="I59" i="22"/>
  <c r="I50" i="22"/>
  <c r="I41" i="22"/>
  <c r="I32" i="22"/>
  <c r="I23" i="22"/>
  <c r="I14" i="22"/>
  <c r="I105" i="22"/>
  <c r="I78" i="22"/>
  <c r="I51" i="22"/>
  <c r="I24" i="22"/>
  <c r="I114" i="22"/>
  <c r="I87" i="22"/>
  <c r="I60" i="22"/>
  <c r="I33" i="22"/>
  <c r="I96" i="22"/>
  <c r="I69" i="22"/>
  <c r="I42" i="22"/>
  <c r="I15" i="22"/>
  <c r="G178" i="25"/>
  <c r="G179" i="25"/>
  <c r="G176" i="25"/>
  <c r="G173" i="25"/>
  <c r="G170" i="25"/>
  <c r="G167" i="25"/>
  <c r="G164" i="25"/>
  <c r="G161" i="25"/>
  <c r="G158" i="25"/>
  <c r="G155" i="25"/>
  <c r="G152" i="25"/>
  <c r="G149" i="25"/>
  <c r="G146" i="25"/>
  <c r="G143" i="25"/>
  <c r="G140" i="25"/>
  <c r="G137" i="25"/>
  <c r="G177" i="25"/>
  <c r="G174" i="25"/>
  <c r="G171" i="25"/>
  <c r="G168" i="25"/>
  <c r="G165" i="25"/>
  <c r="G162" i="25"/>
  <c r="G159" i="25"/>
  <c r="G156" i="25"/>
  <c r="G153" i="25"/>
  <c r="G150" i="25"/>
  <c r="G147" i="25"/>
  <c r="G144" i="25"/>
  <c r="G141" i="25"/>
  <c r="G138" i="25"/>
  <c r="G135" i="25"/>
  <c r="G175" i="25"/>
  <c r="G172" i="25"/>
  <c r="G169" i="25"/>
  <c r="G166" i="25"/>
  <c r="G163" i="25"/>
  <c r="G160" i="25"/>
  <c r="G157" i="25"/>
  <c r="G154" i="25"/>
  <c r="G151" i="25"/>
  <c r="G148" i="25"/>
  <c r="G145" i="25"/>
  <c r="G142" i="25"/>
  <c r="G139" i="25"/>
  <c r="G136" i="25"/>
  <c r="G128" i="25"/>
  <c r="G118" i="25"/>
  <c r="G129" i="25"/>
  <c r="G126" i="25"/>
  <c r="G120" i="25"/>
  <c r="G117" i="25"/>
  <c r="G134" i="25"/>
  <c r="G99" i="25"/>
  <c r="G130" i="25"/>
  <c r="G131" i="25"/>
  <c r="G119" i="25"/>
  <c r="G116" i="25"/>
  <c r="G115" i="25"/>
  <c r="G114" i="25"/>
  <c r="G112" i="25"/>
  <c r="G111" i="25"/>
  <c r="G109" i="25"/>
  <c r="G108" i="25"/>
  <c r="G106" i="25"/>
  <c r="G105" i="25"/>
  <c r="G103" i="25"/>
  <c r="G102" i="25"/>
  <c r="G127" i="25"/>
  <c r="G121" i="25"/>
  <c r="G124" i="25"/>
  <c r="G123" i="25"/>
  <c r="G132" i="25"/>
  <c r="G122" i="25"/>
  <c r="G95" i="25"/>
  <c r="G90" i="25"/>
  <c r="G86" i="25"/>
  <c r="G81" i="25"/>
  <c r="G77" i="25"/>
  <c r="G113" i="25"/>
  <c r="G98" i="25"/>
  <c r="G73" i="25"/>
  <c r="G133" i="25"/>
  <c r="G91" i="25"/>
  <c r="G82" i="25"/>
  <c r="G70" i="25"/>
  <c r="G67" i="25"/>
  <c r="G64" i="25"/>
  <c r="G61" i="25"/>
  <c r="G58" i="25"/>
  <c r="G55" i="25"/>
  <c r="G52" i="25"/>
  <c r="G49" i="25"/>
  <c r="G46" i="25"/>
  <c r="G125" i="25"/>
  <c r="G100" i="25"/>
  <c r="G96" i="25"/>
  <c r="G92" i="25"/>
  <c r="G75" i="25"/>
  <c r="G84" i="25"/>
  <c r="G94" i="25"/>
  <c r="G44" i="25"/>
  <c r="G43" i="25"/>
  <c r="G110" i="25"/>
  <c r="G101" i="25"/>
  <c r="G97" i="25"/>
  <c r="G89" i="25"/>
  <c r="G85" i="25"/>
  <c r="G45" i="25"/>
  <c r="G39" i="25"/>
  <c r="G36" i="25"/>
  <c r="G33" i="25"/>
  <c r="G30" i="25"/>
  <c r="G27" i="25"/>
  <c r="G24" i="25"/>
  <c r="G21" i="25"/>
  <c r="G18" i="25"/>
  <c r="G15" i="25"/>
  <c r="G12" i="25"/>
  <c r="G9" i="25"/>
  <c r="G78" i="25"/>
  <c r="G42" i="25"/>
  <c r="G107" i="25"/>
  <c r="G83" i="25"/>
  <c r="G79" i="25"/>
  <c r="G40" i="25"/>
  <c r="G37" i="25"/>
  <c r="G34" i="25"/>
  <c r="G31" i="25"/>
  <c r="G28" i="25"/>
  <c r="G25" i="25"/>
  <c r="G22" i="25"/>
  <c r="G19" i="25"/>
  <c r="G16" i="25"/>
  <c r="G13" i="25"/>
  <c r="G10" i="25"/>
  <c r="G104" i="25"/>
  <c r="G72" i="25"/>
  <c r="G88" i="25"/>
  <c r="G6" i="25"/>
  <c r="G3" i="25"/>
  <c r="G93" i="25"/>
  <c r="G87" i="25"/>
  <c r="G69" i="25"/>
  <c r="G66" i="25"/>
  <c r="G63" i="25"/>
  <c r="G60" i="25"/>
  <c r="G57" i="25"/>
  <c r="G54" i="25"/>
  <c r="G51" i="25"/>
  <c r="G48" i="25"/>
  <c r="G76" i="25"/>
  <c r="G7" i="25"/>
  <c r="G4" i="25"/>
  <c r="G80" i="25"/>
  <c r="G71" i="25"/>
  <c r="G68" i="25"/>
  <c r="G65" i="25"/>
  <c r="G62" i="25"/>
  <c r="G59" i="25"/>
  <c r="G56" i="25"/>
  <c r="G53" i="25"/>
  <c r="G50" i="25"/>
  <c r="G47" i="25"/>
  <c r="G41" i="25"/>
  <c r="G38" i="25"/>
  <c r="G35" i="25"/>
  <c r="G32" i="25"/>
  <c r="G29" i="25"/>
  <c r="G26" i="25"/>
  <c r="G23" i="25"/>
  <c r="G20" i="25"/>
  <c r="G17" i="25"/>
  <c r="G14" i="25"/>
  <c r="G11" i="25"/>
  <c r="H1" i="25"/>
  <c r="G74" i="25"/>
  <c r="G8" i="25"/>
  <c r="G5" i="25"/>
  <c r="G181" i="24"/>
  <c r="G178" i="24"/>
  <c r="G175" i="24"/>
  <c r="G172" i="24"/>
  <c r="G169" i="24"/>
  <c r="G166" i="24"/>
  <c r="G163" i="24"/>
  <c r="G160" i="24"/>
  <c r="G157" i="24"/>
  <c r="G154" i="24"/>
  <c r="G151" i="24"/>
  <c r="G148" i="24"/>
  <c r="G145" i="24"/>
  <c r="G142" i="24"/>
  <c r="G179" i="24"/>
  <c r="G176" i="24"/>
  <c r="G173" i="24"/>
  <c r="G170" i="24"/>
  <c r="G167" i="24"/>
  <c r="G164" i="24"/>
  <c r="G161" i="24"/>
  <c r="G158" i="24"/>
  <c r="G155" i="24"/>
  <c r="G152" i="24"/>
  <c r="G149" i="24"/>
  <c r="G146" i="24"/>
  <c r="G143" i="24"/>
  <c r="G140" i="24"/>
  <c r="G180" i="24"/>
  <c r="G177" i="24"/>
  <c r="G174" i="24"/>
  <c r="G171" i="24"/>
  <c r="G168" i="24"/>
  <c r="G165" i="24"/>
  <c r="G162" i="24"/>
  <c r="G159" i="24"/>
  <c r="G156" i="24"/>
  <c r="G153" i="24"/>
  <c r="G150" i="24"/>
  <c r="G147" i="24"/>
  <c r="G144" i="24"/>
  <c r="G141" i="24"/>
  <c r="G126" i="24"/>
  <c r="G121" i="24"/>
  <c r="G118" i="24"/>
  <c r="G129" i="24"/>
  <c r="G124" i="24"/>
  <c r="G138" i="24"/>
  <c r="G135" i="24"/>
  <c r="G132" i="24"/>
  <c r="G116" i="24"/>
  <c r="G113" i="24"/>
  <c r="G110" i="24"/>
  <c r="G107" i="24"/>
  <c r="G104" i="24"/>
  <c r="G101" i="24"/>
  <c r="G98" i="24"/>
  <c r="G95" i="24"/>
  <c r="G92" i="24"/>
  <c r="G89" i="24"/>
  <c r="G86" i="24"/>
  <c r="G83" i="24"/>
  <c r="G80" i="24"/>
  <c r="G77" i="24"/>
  <c r="G74" i="24"/>
  <c r="G71" i="24"/>
  <c r="G68" i="24"/>
  <c r="G65" i="24"/>
  <c r="G62" i="24"/>
  <c r="G59" i="24"/>
  <c r="G56" i="24"/>
  <c r="G53" i="24"/>
  <c r="G50" i="24"/>
  <c r="G47" i="24"/>
  <c r="G44" i="24"/>
  <c r="G41" i="24"/>
  <c r="G38" i="24"/>
  <c r="G35" i="24"/>
  <c r="G32" i="24"/>
  <c r="G29" i="24"/>
  <c r="G122" i="24"/>
  <c r="G119" i="24"/>
  <c r="G127" i="24"/>
  <c r="G130" i="24"/>
  <c r="G139" i="24"/>
  <c r="G136" i="24"/>
  <c r="G133" i="24"/>
  <c r="G125" i="24"/>
  <c r="G117" i="24"/>
  <c r="G114" i="24"/>
  <c r="G111" i="24"/>
  <c r="G108" i="24"/>
  <c r="G105" i="24"/>
  <c r="G102" i="24"/>
  <c r="G99" i="24"/>
  <c r="G96" i="24"/>
  <c r="G93" i="24"/>
  <c r="G90" i="24"/>
  <c r="G87" i="24"/>
  <c r="G84" i="24"/>
  <c r="G81" i="24"/>
  <c r="G78" i="24"/>
  <c r="G75" i="24"/>
  <c r="G72" i="24"/>
  <c r="G69" i="24"/>
  <c r="G66" i="24"/>
  <c r="G63" i="24"/>
  <c r="G60" i="24"/>
  <c r="G57" i="24"/>
  <c r="G54" i="24"/>
  <c r="G51" i="24"/>
  <c r="G48" i="24"/>
  <c r="G45" i="24"/>
  <c r="G42" i="24"/>
  <c r="G39" i="24"/>
  <c r="G36" i="24"/>
  <c r="G33" i="24"/>
  <c r="G30" i="24"/>
  <c r="G131" i="24"/>
  <c r="G128" i="24"/>
  <c r="G49" i="24"/>
  <c r="G40" i="24"/>
  <c r="G31" i="24"/>
  <c r="G115" i="24"/>
  <c r="G112" i="24"/>
  <c r="G109" i="24"/>
  <c r="G106" i="24"/>
  <c r="G103" i="24"/>
  <c r="G100" i="24"/>
  <c r="G97" i="24"/>
  <c r="G94" i="24"/>
  <c r="G91" i="24"/>
  <c r="G88" i="24"/>
  <c r="G85" i="24"/>
  <c r="G82" i="24"/>
  <c r="G79" i="24"/>
  <c r="G76" i="24"/>
  <c r="G73" i="24"/>
  <c r="G70" i="24"/>
  <c r="G67" i="24"/>
  <c r="G64" i="24"/>
  <c r="G61" i="24"/>
  <c r="G58" i="24"/>
  <c r="G55" i="24"/>
  <c r="G27" i="24"/>
  <c r="G24" i="24"/>
  <c r="G21" i="24"/>
  <c r="G18" i="24"/>
  <c r="G15" i="24"/>
  <c r="G12" i="24"/>
  <c r="G9" i="24"/>
  <c r="G6" i="24"/>
  <c r="G3" i="24"/>
  <c r="G52" i="24"/>
  <c r="G43" i="24"/>
  <c r="G34" i="24"/>
  <c r="G28" i="24"/>
  <c r="G25" i="24"/>
  <c r="G22" i="24"/>
  <c r="G19" i="24"/>
  <c r="G16" i="24"/>
  <c r="G13" i="24"/>
  <c r="G10" i="24"/>
  <c r="G7" i="24"/>
  <c r="G4" i="24"/>
  <c r="G123" i="24"/>
  <c r="G26" i="24"/>
  <c r="G23" i="24"/>
  <c r="G20" i="24"/>
  <c r="G17" i="24"/>
  <c r="G14" i="24"/>
  <c r="G11" i="24"/>
  <c r="G8" i="24"/>
  <c r="G5" i="24"/>
  <c r="G46" i="24"/>
  <c r="G37" i="24"/>
  <c r="H1" i="24"/>
  <c r="G120" i="24"/>
  <c r="G137" i="24"/>
  <c r="G134" i="24"/>
  <c r="F189" i="19"/>
  <c r="F186" i="19"/>
  <c r="F183" i="19"/>
  <c r="F180" i="19"/>
  <c r="F177" i="19"/>
  <c r="F190" i="19"/>
  <c r="F187" i="19"/>
  <c r="F184" i="19"/>
  <c r="F181" i="19"/>
  <c r="F178" i="19"/>
  <c r="F173" i="19"/>
  <c r="F170" i="19"/>
  <c r="F167" i="19"/>
  <c r="F164" i="19"/>
  <c r="F161" i="19"/>
  <c r="F158" i="19"/>
  <c r="F155" i="19"/>
  <c r="F152" i="19"/>
  <c r="F149" i="19"/>
  <c r="F146" i="19"/>
  <c r="F143" i="19"/>
  <c r="F124" i="19"/>
  <c r="F121" i="19"/>
  <c r="F118" i="19"/>
  <c r="F115" i="19"/>
  <c r="F112" i="19"/>
  <c r="F109" i="19"/>
  <c r="F106" i="19"/>
  <c r="F103" i="19"/>
  <c r="F100" i="19"/>
  <c r="F97" i="19"/>
  <c r="F94" i="19"/>
  <c r="F91" i="19"/>
  <c r="F88" i="19"/>
  <c r="F85" i="19"/>
  <c r="F82" i="19"/>
  <c r="F79" i="19"/>
  <c r="F76" i="19"/>
  <c r="F73" i="19"/>
  <c r="F70" i="19"/>
  <c r="F135" i="19"/>
  <c r="F130" i="19"/>
  <c r="F127" i="19"/>
  <c r="G1" i="19"/>
  <c r="F185" i="19"/>
  <c r="F176" i="19"/>
  <c r="F138" i="19"/>
  <c r="F133" i="19"/>
  <c r="F65" i="19"/>
  <c r="F62" i="19"/>
  <c r="F59" i="19"/>
  <c r="F56" i="19"/>
  <c r="F53" i="19"/>
  <c r="F50" i="19"/>
  <c r="F47" i="19"/>
  <c r="F44" i="19"/>
  <c r="F41" i="19"/>
  <c r="F38" i="19"/>
  <c r="F35" i="19"/>
  <c r="F32" i="19"/>
  <c r="F29" i="19"/>
  <c r="F26" i="19"/>
  <c r="F23" i="19"/>
  <c r="F20" i="19"/>
  <c r="F17" i="19"/>
  <c r="F14" i="19"/>
  <c r="F11" i="19"/>
  <c r="F8" i="19"/>
  <c r="F5" i="19"/>
  <c r="F139" i="19"/>
  <c r="F66" i="19"/>
  <c r="F63" i="19"/>
  <c r="F60" i="19"/>
  <c r="F57" i="19"/>
  <c r="F54" i="19"/>
  <c r="F51" i="19"/>
  <c r="F48" i="19"/>
  <c r="F45" i="19"/>
  <c r="F42" i="19"/>
  <c r="F39" i="19"/>
  <c r="F36" i="19"/>
  <c r="F33" i="19"/>
  <c r="F30" i="19"/>
  <c r="F27" i="19"/>
  <c r="F24" i="19"/>
  <c r="F21" i="19"/>
  <c r="F18" i="19"/>
  <c r="F15" i="19"/>
  <c r="F12" i="19"/>
  <c r="F9" i="19"/>
  <c r="F6" i="19"/>
  <c r="F3" i="19"/>
  <c r="F174" i="19"/>
  <c r="F165" i="19"/>
  <c r="F156" i="19"/>
  <c r="F147" i="19"/>
  <c r="F140" i="19"/>
  <c r="F123" i="19"/>
  <c r="F114" i="19"/>
  <c r="F105" i="19"/>
  <c r="F96" i="19"/>
  <c r="F87" i="19"/>
  <c r="F78" i="19"/>
  <c r="F69" i="19"/>
  <c r="F136" i="19"/>
  <c r="F134" i="19"/>
  <c r="F172" i="19"/>
  <c r="F163" i="19"/>
  <c r="F154" i="19"/>
  <c r="F145" i="19"/>
  <c r="F132" i="19"/>
  <c r="F119" i="19"/>
  <c r="F110" i="19"/>
  <c r="F101" i="19"/>
  <c r="F92" i="19"/>
  <c r="F83" i="19"/>
  <c r="F74" i="19"/>
  <c r="F67" i="19"/>
  <c r="F58" i="19"/>
  <c r="F49" i="19"/>
  <c r="F40" i="19"/>
  <c r="F31" i="19"/>
  <c r="F22" i="19"/>
  <c r="F13" i="19"/>
  <c r="F4" i="19"/>
  <c r="F128" i="19"/>
  <c r="F175" i="19"/>
  <c r="F166" i="19"/>
  <c r="F157" i="19"/>
  <c r="F148" i="19"/>
  <c r="F122" i="19"/>
  <c r="F113" i="19"/>
  <c r="F104" i="19"/>
  <c r="F95" i="19"/>
  <c r="F86" i="19"/>
  <c r="F77" i="19"/>
  <c r="F68" i="19"/>
  <c r="F61" i="19"/>
  <c r="F52" i="19"/>
  <c r="F43" i="19"/>
  <c r="F34" i="19"/>
  <c r="F25" i="19"/>
  <c r="F16" i="19"/>
  <c r="F7" i="19"/>
  <c r="F171" i="19"/>
  <c r="F162" i="19"/>
  <c r="F153" i="19"/>
  <c r="F144" i="19"/>
  <c r="F137" i="19"/>
  <c r="F120" i="19"/>
  <c r="F111" i="19"/>
  <c r="F102" i="19"/>
  <c r="F93" i="19"/>
  <c r="F84" i="19"/>
  <c r="F75" i="19"/>
  <c r="F160" i="19"/>
  <c r="F98" i="19"/>
  <c r="F81" i="19"/>
  <c r="F179" i="19"/>
  <c r="F169" i="19"/>
  <c r="F116" i="19"/>
  <c r="F99" i="19"/>
  <c r="F150" i="19"/>
  <c r="F125" i="19"/>
  <c r="F108" i="19"/>
  <c r="F71" i="19"/>
  <c r="F159" i="19"/>
  <c r="F142" i="19"/>
  <c r="F117" i="19"/>
  <c r="F80" i="19"/>
  <c r="F90" i="19"/>
  <c r="F141" i="19"/>
  <c r="F46" i="19"/>
  <c r="F37" i="19"/>
  <c r="F182" i="19"/>
  <c r="F151" i="19"/>
  <c r="F55" i="19"/>
  <c r="F168" i="19"/>
  <c r="F64" i="19"/>
  <c r="F10" i="19"/>
  <c r="F129" i="19"/>
  <c r="F89" i="19"/>
  <c r="F28" i="19"/>
  <c r="F126" i="19"/>
  <c r="F107" i="19"/>
  <c r="F188" i="19"/>
  <c r="F72" i="19"/>
  <c r="F131" i="19"/>
  <c r="F19" i="19"/>
  <c r="F175" i="27"/>
  <c r="F172" i="27"/>
  <c r="F169" i="27"/>
  <c r="F166" i="27"/>
  <c r="F163" i="27"/>
  <c r="F160" i="27"/>
  <c r="F157" i="27"/>
  <c r="F154" i="27"/>
  <c r="F151" i="27"/>
  <c r="F148" i="27"/>
  <c r="F176" i="27"/>
  <c r="F173" i="27"/>
  <c r="F170" i="27"/>
  <c r="F167" i="27"/>
  <c r="F164" i="27"/>
  <c r="F161" i="27"/>
  <c r="F158" i="27"/>
  <c r="F155" i="27"/>
  <c r="F152" i="27"/>
  <c r="F149" i="27"/>
  <c r="F146" i="27"/>
  <c r="F174" i="27"/>
  <c r="F165" i="27"/>
  <c r="F156" i="27"/>
  <c r="F147" i="27"/>
  <c r="F145" i="27"/>
  <c r="F142" i="27"/>
  <c r="F139" i="27"/>
  <c r="F136" i="27"/>
  <c r="F133" i="27"/>
  <c r="F130" i="27"/>
  <c r="F127" i="27"/>
  <c r="F123" i="27"/>
  <c r="F114" i="27"/>
  <c r="F171" i="27"/>
  <c r="F162" i="27"/>
  <c r="F153" i="27"/>
  <c r="F168" i="27"/>
  <c r="F159" i="27"/>
  <c r="F150" i="27"/>
  <c r="F144" i="27"/>
  <c r="F141" i="27"/>
  <c r="F138" i="27"/>
  <c r="F135" i="27"/>
  <c r="F132" i="27"/>
  <c r="F129" i="27"/>
  <c r="F125" i="27"/>
  <c r="F116" i="27"/>
  <c r="F113" i="27"/>
  <c r="F111" i="27"/>
  <c r="F108" i="27"/>
  <c r="F105" i="27"/>
  <c r="F102" i="27"/>
  <c r="F99" i="27"/>
  <c r="F96" i="27"/>
  <c r="F93" i="27"/>
  <c r="F90" i="27"/>
  <c r="F87" i="27"/>
  <c r="F110" i="27"/>
  <c r="F107" i="27"/>
  <c r="F104" i="27"/>
  <c r="F101" i="27"/>
  <c r="F98" i="27"/>
  <c r="F95" i="27"/>
  <c r="F92" i="27"/>
  <c r="F86" i="27"/>
  <c r="F83" i="27"/>
  <c r="F80" i="27"/>
  <c r="F77" i="27"/>
  <c r="F74" i="27"/>
  <c r="F71" i="27"/>
  <c r="F68" i="27"/>
  <c r="F65" i="27"/>
  <c r="F143" i="27"/>
  <c r="F137" i="27"/>
  <c r="F131" i="27"/>
  <c r="F124" i="27"/>
  <c r="F89" i="27"/>
  <c r="F109" i="27"/>
  <c r="F106" i="27"/>
  <c r="F103" i="27"/>
  <c r="F100" i="27"/>
  <c r="F97" i="27"/>
  <c r="F94" i="27"/>
  <c r="F91" i="27"/>
  <c r="F88" i="27"/>
  <c r="F84" i="27"/>
  <c r="F81" i="27"/>
  <c r="F78" i="27"/>
  <c r="F75" i="27"/>
  <c r="F72" i="27"/>
  <c r="F69" i="27"/>
  <c r="F66" i="27"/>
  <c r="F64" i="27"/>
  <c r="F63" i="27"/>
  <c r="F60" i="27"/>
  <c r="F57" i="27"/>
  <c r="F54" i="27"/>
  <c r="F51" i="27"/>
  <c r="F48" i="27"/>
  <c r="F45" i="27"/>
  <c r="F42" i="27"/>
  <c r="F39" i="27"/>
  <c r="F140" i="27"/>
  <c r="F79" i="27"/>
  <c r="F70" i="27"/>
  <c r="F134" i="27"/>
  <c r="F61" i="27"/>
  <c r="F58" i="27"/>
  <c r="F55" i="27"/>
  <c r="F52" i="27"/>
  <c r="F49" i="27"/>
  <c r="F46" i="27"/>
  <c r="F43" i="27"/>
  <c r="F40" i="27"/>
  <c r="F128" i="27"/>
  <c r="F115" i="27"/>
  <c r="F82" i="27"/>
  <c r="F73" i="27"/>
  <c r="F67" i="27"/>
  <c r="F62" i="27"/>
  <c r="F53" i="27"/>
  <c r="F44" i="27"/>
  <c r="F35" i="27"/>
  <c r="F32" i="27"/>
  <c r="F29" i="27"/>
  <c r="F26" i="27"/>
  <c r="F23" i="27"/>
  <c r="F20" i="27"/>
  <c r="F17" i="27"/>
  <c r="F14" i="27"/>
  <c r="F11" i="27"/>
  <c r="F76" i="27"/>
  <c r="F59" i="27"/>
  <c r="F50" i="27"/>
  <c r="F41" i="27"/>
  <c r="F85" i="27"/>
  <c r="F37" i="27"/>
  <c r="F34" i="27"/>
  <c r="F31" i="27"/>
  <c r="F28" i="27"/>
  <c r="F25" i="27"/>
  <c r="F22" i="27"/>
  <c r="F19" i="27"/>
  <c r="F16" i="27"/>
  <c r="F13" i="27"/>
  <c r="F33" i="27"/>
  <c r="F24" i="27"/>
  <c r="F15" i="27"/>
  <c r="F10" i="27"/>
  <c r="F7" i="27"/>
  <c r="F4" i="27"/>
  <c r="F38" i="27"/>
  <c r="G1" i="27"/>
  <c r="F30" i="27"/>
  <c r="F21" i="27"/>
  <c r="F12" i="27"/>
  <c r="F8" i="27"/>
  <c r="F5" i="27"/>
  <c r="F36" i="27"/>
  <c r="F27" i="27"/>
  <c r="F18" i="27"/>
  <c r="F9" i="27"/>
  <c r="F6" i="27"/>
  <c r="F3" i="27"/>
  <c r="F56" i="27"/>
  <c r="F47" i="27"/>
  <c r="G190" i="18" l="1"/>
  <c r="G187" i="18"/>
  <c r="G184" i="18"/>
  <c r="G181" i="18"/>
  <c r="G178" i="18"/>
  <c r="G175" i="18"/>
  <c r="G172" i="18"/>
  <c r="G169" i="18"/>
  <c r="G166" i="18"/>
  <c r="G163" i="18"/>
  <c r="G160" i="18"/>
  <c r="G157" i="18"/>
  <c r="G154" i="18"/>
  <c r="G151" i="18"/>
  <c r="G137" i="18"/>
  <c r="G138" i="18"/>
  <c r="G186" i="18"/>
  <c r="G177" i="18"/>
  <c r="G168" i="18"/>
  <c r="G159" i="18"/>
  <c r="G150" i="18"/>
  <c r="G147" i="18"/>
  <c r="G191" i="18"/>
  <c r="G182" i="18"/>
  <c r="G173" i="18"/>
  <c r="G185" i="18"/>
  <c r="G176" i="18"/>
  <c r="G167" i="18"/>
  <c r="G192" i="18"/>
  <c r="G183" i="18"/>
  <c r="G174" i="18"/>
  <c r="G188" i="18"/>
  <c r="G189" i="18"/>
  <c r="G179" i="18"/>
  <c r="G153" i="18"/>
  <c r="G143" i="18"/>
  <c r="G140" i="18"/>
  <c r="G134" i="18"/>
  <c r="G148" i="18"/>
  <c r="G146" i="18"/>
  <c r="G136" i="18"/>
  <c r="G121" i="18"/>
  <c r="G112" i="18"/>
  <c r="G103" i="18"/>
  <c r="G94" i="18"/>
  <c r="G85" i="18"/>
  <c r="G76" i="18"/>
  <c r="G62" i="18"/>
  <c r="G53" i="18"/>
  <c r="G44" i="18"/>
  <c r="G35" i="18"/>
  <c r="G26" i="18"/>
  <c r="G17" i="18"/>
  <c r="G8" i="18"/>
  <c r="G144" i="18"/>
  <c r="G142" i="18"/>
  <c r="G139" i="18"/>
  <c r="G135" i="18"/>
  <c r="G130" i="18"/>
  <c r="G125" i="18"/>
  <c r="G116" i="18"/>
  <c r="G107" i="18"/>
  <c r="G98" i="18"/>
  <c r="G89" i="18"/>
  <c r="G80" i="18"/>
  <c r="G71" i="18"/>
  <c r="G66" i="18"/>
  <c r="G57" i="18"/>
  <c r="G48" i="18"/>
  <c r="G39" i="18"/>
  <c r="G30" i="18"/>
  <c r="G180" i="18"/>
  <c r="G152" i="18"/>
  <c r="G120" i="18"/>
  <c r="G111" i="18"/>
  <c r="G102" i="18"/>
  <c r="G93" i="18"/>
  <c r="G84" i="18"/>
  <c r="G75" i="18"/>
  <c r="G129" i="18"/>
  <c r="G61" i="18"/>
  <c r="G52" i="18"/>
  <c r="G43" i="18"/>
  <c r="G34" i="18"/>
  <c r="G25" i="18"/>
  <c r="G16" i="18"/>
  <c r="G7" i="18"/>
  <c r="H1" i="18"/>
  <c r="G170" i="18"/>
  <c r="G124" i="18"/>
  <c r="G115" i="18"/>
  <c r="G106" i="18"/>
  <c r="G97" i="18"/>
  <c r="G88" i="18"/>
  <c r="G79" i="18"/>
  <c r="G70" i="18"/>
  <c r="G65" i="18"/>
  <c r="G56" i="18"/>
  <c r="G47" i="18"/>
  <c r="G38" i="18"/>
  <c r="G29" i="18"/>
  <c r="G20" i="18"/>
  <c r="G11" i="18"/>
  <c r="G164" i="18"/>
  <c r="G149" i="18"/>
  <c r="G133" i="18"/>
  <c r="G128" i="18"/>
  <c r="G119" i="18"/>
  <c r="G110" i="18"/>
  <c r="G165" i="18"/>
  <c r="G162" i="18"/>
  <c r="G123" i="18"/>
  <c r="G114" i="18"/>
  <c r="G105" i="18"/>
  <c r="G96" i="18"/>
  <c r="G87" i="18"/>
  <c r="G131" i="18"/>
  <c r="G99" i="18"/>
  <c r="G90" i="18"/>
  <c r="G81" i="18"/>
  <c r="G77" i="18"/>
  <c r="G67" i="18"/>
  <c r="G40" i="18"/>
  <c r="G171" i="18"/>
  <c r="G73" i="18"/>
  <c r="G42" i="18"/>
  <c r="G23" i="18"/>
  <c r="G21" i="18"/>
  <c r="G155" i="18"/>
  <c r="G122" i="18"/>
  <c r="G109" i="18"/>
  <c r="G108" i="18"/>
  <c r="G69" i="18"/>
  <c r="G59" i="18"/>
  <c r="G32" i="18"/>
  <c r="G27" i="18"/>
  <c r="G6" i="18"/>
  <c r="G145" i="18"/>
  <c r="G49" i="18"/>
  <c r="G161" i="18"/>
  <c r="G95" i="18"/>
  <c r="G86" i="18"/>
  <c r="G55" i="18"/>
  <c r="G45" i="18"/>
  <c r="G10" i="18"/>
  <c r="G4" i="18"/>
  <c r="G72" i="18"/>
  <c r="G51" i="18"/>
  <c r="G14" i="18"/>
  <c r="G12" i="18"/>
  <c r="G127" i="18"/>
  <c r="G126" i="18"/>
  <c r="G113" i="18"/>
  <c r="G101" i="18"/>
  <c r="G92" i="18"/>
  <c r="G83" i="18"/>
  <c r="G58" i="18"/>
  <c r="G31" i="18"/>
  <c r="G74" i="18"/>
  <c r="G64" i="18"/>
  <c r="G54" i="18"/>
  <c r="G37" i="18"/>
  <c r="G28" i="18"/>
  <c r="G22" i="18"/>
  <c r="G158" i="18"/>
  <c r="G156" i="18"/>
  <c r="G100" i="18"/>
  <c r="G91" i="18"/>
  <c r="G82" i="18"/>
  <c r="G60" i="18"/>
  <c r="G33" i="18"/>
  <c r="G5" i="18"/>
  <c r="G3" i="18"/>
  <c r="G132" i="18"/>
  <c r="G68" i="18"/>
  <c r="G9" i="18"/>
  <c r="G118" i="18"/>
  <c r="G46" i="18"/>
  <c r="G117" i="18"/>
  <c r="G104" i="18"/>
  <c r="G36" i="18"/>
  <c r="G19" i="18"/>
  <c r="G24" i="18"/>
  <c r="G63" i="18"/>
  <c r="G13" i="18"/>
  <c r="G78" i="18"/>
  <c r="G41" i="18"/>
  <c r="G18" i="18"/>
  <c r="G141" i="18"/>
  <c r="G50" i="18"/>
  <c r="G15" i="18"/>
  <c r="H192" i="16"/>
  <c r="H189" i="16"/>
  <c r="H186" i="16"/>
  <c r="H183" i="16"/>
  <c r="H180" i="16"/>
  <c r="H177" i="16"/>
  <c r="H193" i="16"/>
  <c r="H184" i="16"/>
  <c r="H178" i="16"/>
  <c r="H135" i="16"/>
  <c r="H140" i="16"/>
  <c r="H143" i="16"/>
  <c r="H191" i="16"/>
  <c r="H190" i="16"/>
  <c r="H181" i="16"/>
  <c r="H174" i="16"/>
  <c r="H171" i="16"/>
  <c r="H168" i="16"/>
  <c r="H165" i="16"/>
  <c r="H162" i="16"/>
  <c r="H159" i="16"/>
  <c r="H156" i="16"/>
  <c r="H153" i="16"/>
  <c r="H150" i="16"/>
  <c r="H147" i="16"/>
  <c r="H144" i="16"/>
  <c r="H128" i="16"/>
  <c r="H125" i="16"/>
  <c r="H122" i="16"/>
  <c r="H119" i="16"/>
  <c r="H116" i="16"/>
  <c r="H113" i="16"/>
  <c r="H110" i="16"/>
  <c r="H107" i="16"/>
  <c r="H104" i="16"/>
  <c r="H101" i="16"/>
  <c r="H98" i="16"/>
  <c r="H95" i="16"/>
  <c r="H92" i="16"/>
  <c r="H89" i="16"/>
  <c r="H86" i="16"/>
  <c r="H83" i="16"/>
  <c r="H80" i="16"/>
  <c r="H77" i="16"/>
  <c r="H74" i="16"/>
  <c r="H71" i="16"/>
  <c r="H188" i="16"/>
  <c r="H187" i="16"/>
  <c r="H179" i="16"/>
  <c r="H139" i="16"/>
  <c r="H170" i="16"/>
  <c r="H161" i="16"/>
  <c r="H152" i="16"/>
  <c r="H132" i="16"/>
  <c r="H130" i="16"/>
  <c r="H141" i="16"/>
  <c r="H121" i="16"/>
  <c r="H112" i="16"/>
  <c r="H103" i="16"/>
  <c r="H94" i="16"/>
  <c r="H85" i="16"/>
  <c r="H76" i="16"/>
  <c r="H182" i="16"/>
  <c r="H175" i="16"/>
  <c r="H166" i="16"/>
  <c r="H157" i="16"/>
  <c r="H148" i="16"/>
  <c r="H137" i="16"/>
  <c r="H126" i="16"/>
  <c r="H117" i="16"/>
  <c r="H108" i="16"/>
  <c r="H99" i="16"/>
  <c r="H90" i="16"/>
  <c r="H81" i="16"/>
  <c r="H72" i="16"/>
  <c r="H155" i="16"/>
  <c r="H146" i="16"/>
  <c r="H173" i="16"/>
  <c r="H164" i="16"/>
  <c r="H133" i="16"/>
  <c r="H102" i="16"/>
  <c r="H75" i="16"/>
  <c r="H142" i="16"/>
  <c r="H131" i="16"/>
  <c r="H118" i="16"/>
  <c r="H109" i="16"/>
  <c r="H100" i="16"/>
  <c r="H91" i="16"/>
  <c r="H82" i="16"/>
  <c r="H73" i="16"/>
  <c r="H6" i="16"/>
  <c r="H169" i="16"/>
  <c r="H160" i="16"/>
  <c r="H151" i="16"/>
  <c r="H129" i="16"/>
  <c r="H123" i="16"/>
  <c r="H114" i="16"/>
  <c r="H105" i="16"/>
  <c r="H96" i="16"/>
  <c r="H87" i="16"/>
  <c r="H78" i="16"/>
  <c r="I1" i="16"/>
  <c r="H158" i="16"/>
  <c r="H127" i="16"/>
  <c r="H67" i="16"/>
  <c r="H66" i="16"/>
  <c r="H64" i="16"/>
  <c r="H63" i="16"/>
  <c r="H61" i="16"/>
  <c r="H60" i="16"/>
  <c r="H58" i="16"/>
  <c r="H55" i="16"/>
  <c r="H54" i="16"/>
  <c r="H46" i="16"/>
  <c r="H33" i="16"/>
  <c r="H27" i="16"/>
  <c r="H25" i="16"/>
  <c r="H24" i="16"/>
  <c r="H21" i="16"/>
  <c r="H13" i="16"/>
  <c r="H12" i="16"/>
  <c r="H10" i="16"/>
  <c r="H9" i="16"/>
  <c r="H7" i="16"/>
  <c r="H4" i="16"/>
  <c r="H3" i="16"/>
  <c r="H120" i="16"/>
  <c r="H111" i="16"/>
  <c r="H84" i="16"/>
  <c r="H176" i="16"/>
  <c r="H167" i="16"/>
  <c r="H149" i="16"/>
  <c r="H57" i="16"/>
  <c r="H52" i="16"/>
  <c r="H51" i="16"/>
  <c r="H49" i="16"/>
  <c r="H48" i="16"/>
  <c r="H45" i="16"/>
  <c r="H43" i="16"/>
  <c r="H42" i="16"/>
  <c r="H40" i="16"/>
  <c r="H39" i="16"/>
  <c r="H37" i="16"/>
  <c r="H36" i="16"/>
  <c r="H34" i="16"/>
  <c r="H31" i="16"/>
  <c r="H30" i="16"/>
  <c r="H28" i="16"/>
  <c r="H22" i="16"/>
  <c r="H19" i="16"/>
  <c r="H18" i="16"/>
  <c r="H16" i="16"/>
  <c r="H15" i="16"/>
  <c r="H138" i="16"/>
  <c r="H136" i="16"/>
  <c r="H69" i="16"/>
  <c r="H68" i="16"/>
  <c r="H65" i="16"/>
  <c r="H62" i="16"/>
  <c r="H59" i="16"/>
  <c r="H56" i="16"/>
  <c r="H53" i="16"/>
  <c r="H50" i="16"/>
  <c r="H47" i="16"/>
  <c r="H44" i="16"/>
  <c r="H41" i="16"/>
  <c r="H38" i="16"/>
  <c r="H35" i="16"/>
  <c r="H32" i="16"/>
  <c r="H29" i="16"/>
  <c r="H26" i="16"/>
  <c r="H23" i="16"/>
  <c r="H20" i="16"/>
  <c r="H17" i="16"/>
  <c r="H14" i="16"/>
  <c r="H11" i="16"/>
  <c r="H8" i="16"/>
  <c r="H5" i="16"/>
  <c r="H185" i="16"/>
  <c r="H134" i="16"/>
  <c r="H124" i="16"/>
  <c r="H115" i="16"/>
  <c r="H106" i="16"/>
  <c r="H97" i="16"/>
  <c r="H88" i="16"/>
  <c r="H79" i="16"/>
  <c r="H70" i="16"/>
  <c r="H172" i="16"/>
  <c r="H163" i="16"/>
  <c r="H154" i="16"/>
  <c r="H145" i="16"/>
  <c r="H93" i="16"/>
  <c r="J185" i="22"/>
  <c r="J182" i="22"/>
  <c r="J179" i="22"/>
  <c r="J176" i="22"/>
  <c r="J173" i="22"/>
  <c r="J170" i="22"/>
  <c r="J167" i="22"/>
  <c r="J164" i="22"/>
  <c r="J161" i="22"/>
  <c r="J158" i="22"/>
  <c r="J155" i="22"/>
  <c r="J152" i="22"/>
  <c r="J149" i="22"/>
  <c r="J146" i="22"/>
  <c r="J143" i="22"/>
  <c r="J140" i="22"/>
  <c r="J137" i="22"/>
  <c r="J129" i="22"/>
  <c r="J121" i="22"/>
  <c r="J124" i="22"/>
  <c r="J127" i="22"/>
  <c r="J135" i="22"/>
  <c r="J132" i="22"/>
  <c r="J183" i="22"/>
  <c r="J180" i="22"/>
  <c r="J177" i="22"/>
  <c r="J174" i="22"/>
  <c r="J171" i="22"/>
  <c r="J168" i="22"/>
  <c r="J165" i="22"/>
  <c r="J162" i="22"/>
  <c r="J159" i="22"/>
  <c r="J156" i="22"/>
  <c r="J153" i="22"/>
  <c r="J150" i="22"/>
  <c r="J147" i="22"/>
  <c r="J144" i="22"/>
  <c r="J141" i="22"/>
  <c r="J138" i="22"/>
  <c r="J119" i="22"/>
  <c r="J130" i="22"/>
  <c r="J125" i="22"/>
  <c r="J122" i="22"/>
  <c r="J133" i="22"/>
  <c r="J128" i="22"/>
  <c r="J126" i="22"/>
  <c r="J123" i="22"/>
  <c r="J131" i="22"/>
  <c r="J184" i="22"/>
  <c r="J175" i="22"/>
  <c r="J166" i="22"/>
  <c r="J157" i="22"/>
  <c r="J148" i="22"/>
  <c r="J139" i="22"/>
  <c r="J117" i="22"/>
  <c r="J114" i="22"/>
  <c r="J111" i="22"/>
  <c r="J108" i="22"/>
  <c r="J105" i="22"/>
  <c r="J102" i="22"/>
  <c r="J99" i="22"/>
  <c r="J96" i="22"/>
  <c r="J93" i="22"/>
  <c r="J90" i="22"/>
  <c r="J87" i="22"/>
  <c r="J84" i="22"/>
  <c r="J81" i="22"/>
  <c r="J78" i="22"/>
  <c r="J75" i="22"/>
  <c r="J72" i="22"/>
  <c r="J69" i="22"/>
  <c r="J66" i="22"/>
  <c r="J63" i="22"/>
  <c r="J60" i="22"/>
  <c r="J57" i="22"/>
  <c r="J54" i="22"/>
  <c r="J51" i="22"/>
  <c r="J48" i="22"/>
  <c r="J45" i="22"/>
  <c r="J42" i="22"/>
  <c r="J39" i="22"/>
  <c r="J36" i="22"/>
  <c r="J33" i="22"/>
  <c r="J30" i="22"/>
  <c r="J27" i="22"/>
  <c r="J24" i="22"/>
  <c r="J21" i="22"/>
  <c r="J18" i="22"/>
  <c r="J15" i="22"/>
  <c r="J12" i="22"/>
  <c r="J134" i="22"/>
  <c r="J181" i="22"/>
  <c r="J172" i="22"/>
  <c r="J163" i="22"/>
  <c r="J154" i="22"/>
  <c r="J145" i="22"/>
  <c r="J136" i="22"/>
  <c r="J120" i="22"/>
  <c r="J118" i="22"/>
  <c r="J115" i="22"/>
  <c r="J112" i="22"/>
  <c r="J109" i="22"/>
  <c r="J106" i="22"/>
  <c r="J103" i="22"/>
  <c r="J100" i="22"/>
  <c r="J97" i="22"/>
  <c r="J94" i="22"/>
  <c r="J91" i="22"/>
  <c r="J88" i="22"/>
  <c r="J85" i="22"/>
  <c r="J82" i="22"/>
  <c r="J79" i="22"/>
  <c r="J76" i="22"/>
  <c r="J73" i="22"/>
  <c r="J70" i="22"/>
  <c r="J67" i="22"/>
  <c r="J64" i="22"/>
  <c r="J61" i="22"/>
  <c r="J58" i="22"/>
  <c r="J55" i="22"/>
  <c r="J52" i="22"/>
  <c r="J49" i="22"/>
  <c r="J46" i="22"/>
  <c r="J43" i="22"/>
  <c r="J40" i="22"/>
  <c r="J37" i="22"/>
  <c r="J34" i="22"/>
  <c r="J31" i="22"/>
  <c r="J28" i="22"/>
  <c r="J25" i="22"/>
  <c r="J22" i="22"/>
  <c r="J19" i="22"/>
  <c r="J16" i="22"/>
  <c r="J13" i="22"/>
  <c r="J178" i="22"/>
  <c r="J169" i="22"/>
  <c r="J160" i="22"/>
  <c r="J151" i="22"/>
  <c r="J142" i="22"/>
  <c r="J116" i="22"/>
  <c r="J113" i="22"/>
  <c r="J110" i="22"/>
  <c r="J107" i="22"/>
  <c r="J104" i="22"/>
  <c r="J101" i="22"/>
  <c r="J98" i="22"/>
  <c r="J95" i="22"/>
  <c r="J92" i="22"/>
  <c r="J89" i="22"/>
  <c r="J86" i="22"/>
  <c r="J83" i="22"/>
  <c r="J80" i="22"/>
  <c r="J77" i="22"/>
  <c r="J74" i="22"/>
  <c r="J71" i="22"/>
  <c r="J68" i="22"/>
  <c r="J65" i="22"/>
  <c r="J62" i="22"/>
  <c r="J59" i="22"/>
  <c r="J56" i="22"/>
  <c r="J53" i="22"/>
  <c r="J50" i="22"/>
  <c r="J47" i="22"/>
  <c r="J44" i="22"/>
  <c r="J41" i="22"/>
  <c r="J38" i="22"/>
  <c r="J35" i="22"/>
  <c r="J32" i="22"/>
  <c r="J29" i="22"/>
  <c r="J26" i="22"/>
  <c r="J23" i="22"/>
  <c r="J20" i="22"/>
  <c r="J17" i="22"/>
  <c r="J14" i="22"/>
  <c r="K1" i="22"/>
  <c r="J11" i="22"/>
  <c r="J8" i="22"/>
  <c r="J5" i="22"/>
  <c r="J9" i="22"/>
  <c r="J6" i="22"/>
  <c r="J3" i="22"/>
  <c r="J7" i="22"/>
  <c r="J4" i="22"/>
  <c r="J10" i="22"/>
  <c r="G133" i="23"/>
  <c r="G128" i="23"/>
  <c r="G184" i="23"/>
  <c r="G181" i="23"/>
  <c r="G178" i="23"/>
  <c r="G175" i="23"/>
  <c r="G172" i="23"/>
  <c r="G169" i="23"/>
  <c r="G166" i="23"/>
  <c r="G163" i="23"/>
  <c r="G160" i="23"/>
  <c r="G157" i="23"/>
  <c r="G154" i="23"/>
  <c r="G151" i="23"/>
  <c r="G148" i="23"/>
  <c r="G145" i="23"/>
  <c r="G142" i="23"/>
  <c r="G139" i="23"/>
  <c r="G136" i="23"/>
  <c r="G120" i="23"/>
  <c r="G126" i="23"/>
  <c r="G123" i="23"/>
  <c r="G131" i="23"/>
  <c r="G134" i="23"/>
  <c r="G124" i="23"/>
  <c r="G127" i="23"/>
  <c r="G130" i="23"/>
  <c r="G125" i="23"/>
  <c r="G122" i="23"/>
  <c r="G185" i="23"/>
  <c r="G176" i="23"/>
  <c r="G167" i="23"/>
  <c r="G158" i="23"/>
  <c r="G149" i="23"/>
  <c r="G140" i="23"/>
  <c r="G180" i="23"/>
  <c r="G171" i="23"/>
  <c r="G162" i="23"/>
  <c r="G153" i="23"/>
  <c r="G144" i="23"/>
  <c r="G182" i="23"/>
  <c r="G173" i="23"/>
  <c r="G164" i="23"/>
  <c r="G155" i="23"/>
  <c r="G146" i="23"/>
  <c r="G137" i="23"/>
  <c r="G129" i="23"/>
  <c r="G183" i="23"/>
  <c r="G174" i="23"/>
  <c r="G165" i="23"/>
  <c r="G156" i="23"/>
  <c r="G147" i="23"/>
  <c r="G138" i="23"/>
  <c r="G119" i="23"/>
  <c r="G159" i="23"/>
  <c r="G121" i="23"/>
  <c r="G114" i="23"/>
  <c r="G105" i="23"/>
  <c r="G135" i="23"/>
  <c r="G177" i="23"/>
  <c r="G150" i="23"/>
  <c r="G111" i="23"/>
  <c r="G102" i="23"/>
  <c r="G170" i="23"/>
  <c r="G143" i="23"/>
  <c r="G112" i="23"/>
  <c r="G103" i="23"/>
  <c r="G87" i="23"/>
  <c r="G118" i="23"/>
  <c r="G117" i="23"/>
  <c r="G95" i="23"/>
  <c r="G94" i="23"/>
  <c r="G93" i="23"/>
  <c r="G92" i="23"/>
  <c r="G141" i="23"/>
  <c r="G116" i="23"/>
  <c r="G98" i="23"/>
  <c r="G91" i="23"/>
  <c r="G115" i="23"/>
  <c r="G113" i="23"/>
  <c r="G86" i="23"/>
  <c r="G81" i="23"/>
  <c r="G78" i="23"/>
  <c r="G75" i="23"/>
  <c r="G72" i="23"/>
  <c r="G69" i="23"/>
  <c r="G66" i="23"/>
  <c r="G63" i="23"/>
  <c r="G60" i="23"/>
  <c r="G57" i="23"/>
  <c r="G54" i="23"/>
  <c r="G51" i="23"/>
  <c r="G48" i="23"/>
  <c r="G132" i="23"/>
  <c r="G101" i="23"/>
  <c r="G90" i="23"/>
  <c r="G110" i="23"/>
  <c r="G109" i="23"/>
  <c r="G108" i="23"/>
  <c r="G179" i="23"/>
  <c r="G152" i="23"/>
  <c r="G106" i="23"/>
  <c r="G104" i="23"/>
  <c r="G99" i="23"/>
  <c r="G89" i="23"/>
  <c r="G82" i="23"/>
  <c r="G79" i="23"/>
  <c r="G76" i="23"/>
  <c r="G73" i="23"/>
  <c r="G70" i="23"/>
  <c r="G67" i="23"/>
  <c r="G64" i="23"/>
  <c r="G61" i="23"/>
  <c r="G58" i="23"/>
  <c r="G55" i="23"/>
  <c r="G52" i="23"/>
  <c r="G49" i="23"/>
  <c r="G84" i="23"/>
  <c r="G168" i="23"/>
  <c r="G161" i="23"/>
  <c r="G97" i="23"/>
  <c r="G88" i="23"/>
  <c r="G96" i="23"/>
  <c r="G45" i="23"/>
  <c r="G42" i="23"/>
  <c r="G39" i="23"/>
  <c r="G36" i="23"/>
  <c r="G33" i="23"/>
  <c r="G30" i="23"/>
  <c r="G27" i="23"/>
  <c r="G24" i="23"/>
  <c r="G21" i="23"/>
  <c r="G18" i="23"/>
  <c r="G15" i="23"/>
  <c r="G12" i="23"/>
  <c r="G9" i="23"/>
  <c r="G6" i="23"/>
  <c r="G3" i="23"/>
  <c r="G62" i="23"/>
  <c r="G77" i="23"/>
  <c r="G68" i="23"/>
  <c r="G46" i="23"/>
  <c r="G43" i="23"/>
  <c r="G40" i="23"/>
  <c r="G37" i="23"/>
  <c r="G34" i="23"/>
  <c r="G31" i="23"/>
  <c r="G28" i="23"/>
  <c r="G25" i="23"/>
  <c r="G22" i="23"/>
  <c r="G19" i="23"/>
  <c r="G16" i="23"/>
  <c r="G13" i="23"/>
  <c r="G10" i="23"/>
  <c r="G7" i="23"/>
  <c r="G4" i="23"/>
  <c r="G107" i="23"/>
  <c r="G56" i="23"/>
  <c r="G53" i="23"/>
  <c r="H1" i="23"/>
  <c r="G83" i="23"/>
  <c r="G74" i="23"/>
  <c r="G85" i="23"/>
  <c r="G59" i="23"/>
  <c r="G50" i="23"/>
  <c r="G47" i="23"/>
  <c r="G38" i="23"/>
  <c r="G29" i="23"/>
  <c r="G20" i="23"/>
  <c r="G11" i="23"/>
  <c r="G44" i="23"/>
  <c r="G35" i="23"/>
  <c r="G26" i="23"/>
  <c r="G17" i="23"/>
  <c r="G8" i="23"/>
  <c r="G71" i="23"/>
  <c r="G100" i="23"/>
  <c r="G41" i="23"/>
  <c r="G32" i="23"/>
  <c r="G23" i="23"/>
  <c r="G14" i="23"/>
  <c r="G5" i="23"/>
  <c r="G80" i="23"/>
  <c r="G65" i="23"/>
  <c r="G188" i="19"/>
  <c r="G185" i="19"/>
  <c r="G182" i="19"/>
  <c r="G179" i="19"/>
  <c r="G176" i="19"/>
  <c r="G186" i="19"/>
  <c r="G177" i="19"/>
  <c r="G135" i="19"/>
  <c r="G130" i="19"/>
  <c r="G127" i="19"/>
  <c r="H1" i="19"/>
  <c r="G138" i="19"/>
  <c r="G133" i="19"/>
  <c r="G65" i="19"/>
  <c r="G62" i="19"/>
  <c r="G59" i="19"/>
  <c r="G56" i="19"/>
  <c r="G53" i="19"/>
  <c r="G50" i="19"/>
  <c r="G47" i="19"/>
  <c r="G44" i="19"/>
  <c r="G41" i="19"/>
  <c r="G38" i="19"/>
  <c r="G35" i="19"/>
  <c r="G32" i="19"/>
  <c r="G29" i="19"/>
  <c r="G26" i="19"/>
  <c r="G23" i="19"/>
  <c r="G20" i="19"/>
  <c r="G17" i="19"/>
  <c r="G14" i="19"/>
  <c r="G11" i="19"/>
  <c r="G8" i="19"/>
  <c r="G5" i="19"/>
  <c r="G184" i="19"/>
  <c r="G174" i="19"/>
  <c r="G171" i="19"/>
  <c r="G168" i="19"/>
  <c r="G165" i="19"/>
  <c r="G162" i="19"/>
  <c r="G159" i="19"/>
  <c r="G156" i="19"/>
  <c r="G153" i="19"/>
  <c r="G150" i="19"/>
  <c r="G147" i="19"/>
  <c r="G144" i="19"/>
  <c r="G141" i="19"/>
  <c r="G125" i="19"/>
  <c r="G122" i="19"/>
  <c r="G119" i="19"/>
  <c r="G116" i="19"/>
  <c r="G113" i="19"/>
  <c r="G110" i="19"/>
  <c r="G107" i="19"/>
  <c r="G104" i="19"/>
  <c r="G101" i="19"/>
  <c r="G98" i="19"/>
  <c r="G95" i="19"/>
  <c r="G92" i="19"/>
  <c r="G89" i="19"/>
  <c r="G86" i="19"/>
  <c r="G83" i="19"/>
  <c r="G80" i="19"/>
  <c r="G77" i="19"/>
  <c r="G74" i="19"/>
  <c r="G71" i="19"/>
  <c r="G68" i="19"/>
  <c r="G190" i="19"/>
  <c r="G181" i="19"/>
  <c r="G175" i="19"/>
  <c r="G172" i="19"/>
  <c r="G169" i="19"/>
  <c r="G166" i="19"/>
  <c r="G163" i="19"/>
  <c r="G160" i="19"/>
  <c r="G157" i="19"/>
  <c r="G154" i="19"/>
  <c r="G151" i="19"/>
  <c r="G148" i="19"/>
  <c r="G145" i="19"/>
  <c r="G142" i="19"/>
  <c r="G134" i="19"/>
  <c r="G126" i="19"/>
  <c r="G123" i="19"/>
  <c r="G120" i="19"/>
  <c r="G117" i="19"/>
  <c r="G114" i="19"/>
  <c r="G111" i="19"/>
  <c r="G108" i="19"/>
  <c r="G105" i="19"/>
  <c r="G102" i="19"/>
  <c r="G99" i="19"/>
  <c r="G96" i="19"/>
  <c r="G93" i="19"/>
  <c r="G90" i="19"/>
  <c r="G87" i="19"/>
  <c r="G84" i="19"/>
  <c r="G81" i="19"/>
  <c r="G78" i="19"/>
  <c r="G75" i="19"/>
  <c r="G72" i="19"/>
  <c r="G69" i="19"/>
  <c r="G183" i="19"/>
  <c r="G180" i="19"/>
  <c r="G167" i="19"/>
  <c r="G158" i="19"/>
  <c r="G149" i="19"/>
  <c r="G136" i="19"/>
  <c r="G132" i="19"/>
  <c r="G67" i="19"/>
  <c r="G58" i="19"/>
  <c r="G49" i="19"/>
  <c r="G40" i="19"/>
  <c r="G189" i="19"/>
  <c r="G128" i="19"/>
  <c r="G121" i="19"/>
  <c r="G112" i="19"/>
  <c r="G103" i="19"/>
  <c r="G94" i="19"/>
  <c r="G85" i="19"/>
  <c r="G76" i="19"/>
  <c r="G63" i="19"/>
  <c r="G54" i="19"/>
  <c r="G45" i="19"/>
  <c r="G178" i="19"/>
  <c r="G139" i="19"/>
  <c r="G61" i="19"/>
  <c r="G52" i="19"/>
  <c r="G43" i="19"/>
  <c r="G34" i="19"/>
  <c r="G25" i="19"/>
  <c r="G16" i="19"/>
  <c r="G7" i="19"/>
  <c r="G131" i="19"/>
  <c r="G124" i="19"/>
  <c r="G115" i="19"/>
  <c r="G106" i="19"/>
  <c r="G97" i="19"/>
  <c r="G88" i="19"/>
  <c r="G79" i="19"/>
  <c r="G70" i="19"/>
  <c r="G173" i="19"/>
  <c r="G164" i="19"/>
  <c r="G155" i="19"/>
  <c r="G146" i="19"/>
  <c r="G129" i="19"/>
  <c r="G143" i="19"/>
  <c r="G140" i="19"/>
  <c r="G64" i="19"/>
  <c r="G24" i="19"/>
  <c r="G13" i="19"/>
  <c r="G3" i="19"/>
  <c r="G152" i="19"/>
  <c r="G161" i="19"/>
  <c r="G48" i="19"/>
  <c r="G42" i="19"/>
  <c r="G28" i="19"/>
  <c r="G6" i="19"/>
  <c r="G170" i="19"/>
  <c r="G57" i="19"/>
  <c r="G51" i="19"/>
  <c r="G30" i="19"/>
  <c r="G19" i="19"/>
  <c r="G66" i="19"/>
  <c r="G60" i="19"/>
  <c r="G46" i="19"/>
  <c r="G37" i="19"/>
  <c r="G31" i="19"/>
  <c r="G21" i="19"/>
  <c r="G10" i="19"/>
  <c r="G27" i="19"/>
  <c r="G22" i="19"/>
  <c r="G4" i="19"/>
  <c r="G39" i="19"/>
  <c r="G12" i="19"/>
  <c r="G55" i="19"/>
  <c r="G33" i="19"/>
  <c r="G15" i="19"/>
  <c r="G137" i="19"/>
  <c r="G82" i="19"/>
  <c r="G73" i="19"/>
  <c r="G18" i="19"/>
  <c r="G118" i="19"/>
  <c r="G109" i="19"/>
  <c r="G187" i="19"/>
  <c r="G100" i="19"/>
  <c r="G91" i="19"/>
  <c r="G9" i="19"/>
  <c r="G36" i="19"/>
  <c r="G175" i="27"/>
  <c r="G172" i="27"/>
  <c r="G169" i="27"/>
  <c r="G166" i="27"/>
  <c r="G163" i="27"/>
  <c r="G160" i="27"/>
  <c r="G157" i="27"/>
  <c r="G154" i="27"/>
  <c r="G151" i="27"/>
  <c r="G148" i="27"/>
  <c r="G176" i="27"/>
  <c r="G173" i="27"/>
  <c r="G170" i="27"/>
  <c r="G167" i="27"/>
  <c r="G164" i="27"/>
  <c r="G161" i="27"/>
  <c r="G158" i="27"/>
  <c r="G155" i="27"/>
  <c r="G152" i="27"/>
  <c r="G149" i="27"/>
  <c r="G146" i="27"/>
  <c r="G174" i="27"/>
  <c r="G171" i="27"/>
  <c r="G168" i="27"/>
  <c r="G165" i="27"/>
  <c r="G162" i="27"/>
  <c r="G159" i="27"/>
  <c r="G156" i="27"/>
  <c r="G153" i="27"/>
  <c r="G150" i="27"/>
  <c r="G147" i="27"/>
  <c r="G145" i="27"/>
  <c r="G142" i="27"/>
  <c r="G139" i="27"/>
  <c r="G136" i="27"/>
  <c r="G133" i="27"/>
  <c r="G130" i="27"/>
  <c r="G127" i="27"/>
  <c r="G123" i="27"/>
  <c r="G114" i="27"/>
  <c r="G143" i="27"/>
  <c r="G140" i="27"/>
  <c r="G137" i="27"/>
  <c r="G134" i="27"/>
  <c r="G131" i="27"/>
  <c r="G128" i="27"/>
  <c r="G124" i="27"/>
  <c r="G115" i="27"/>
  <c r="G144" i="27"/>
  <c r="G141" i="27"/>
  <c r="G138" i="27"/>
  <c r="G135" i="27"/>
  <c r="G132" i="27"/>
  <c r="G129" i="27"/>
  <c r="G125" i="27"/>
  <c r="G116" i="27"/>
  <c r="G113" i="27"/>
  <c r="G111" i="27"/>
  <c r="G108" i="27"/>
  <c r="G105" i="27"/>
  <c r="G102" i="27"/>
  <c r="G99" i="27"/>
  <c r="G96" i="27"/>
  <c r="G93" i="27"/>
  <c r="G90" i="27"/>
  <c r="G109" i="27"/>
  <c r="G106" i="27"/>
  <c r="G103" i="27"/>
  <c r="G100" i="27"/>
  <c r="G97" i="27"/>
  <c r="G94" i="27"/>
  <c r="G91" i="27"/>
  <c r="G110" i="27"/>
  <c r="G107" i="27"/>
  <c r="G104" i="27"/>
  <c r="G101" i="27"/>
  <c r="G98" i="27"/>
  <c r="G95" i="27"/>
  <c r="G92" i="27"/>
  <c r="G86" i="27"/>
  <c r="G83" i="27"/>
  <c r="G80" i="27"/>
  <c r="G77" i="27"/>
  <c r="G74" i="27"/>
  <c r="G71" i="27"/>
  <c r="G68" i="27"/>
  <c r="G65" i="27"/>
  <c r="G89" i="27"/>
  <c r="G88" i="27"/>
  <c r="G84" i="27"/>
  <c r="G81" i="27"/>
  <c r="G78" i="27"/>
  <c r="G75" i="27"/>
  <c r="G72" i="27"/>
  <c r="G69" i="27"/>
  <c r="G66" i="27"/>
  <c r="G87" i="27"/>
  <c r="G64" i="27"/>
  <c r="G63" i="27"/>
  <c r="G60" i="27"/>
  <c r="G57" i="27"/>
  <c r="G54" i="27"/>
  <c r="G51" i="27"/>
  <c r="G48" i="27"/>
  <c r="G45" i="27"/>
  <c r="G42" i="27"/>
  <c r="G39" i="27"/>
  <c r="G79" i="27"/>
  <c r="G70" i="27"/>
  <c r="G61" i="27"/>
  <c r="G58" i="27"/>
  <c r="G55" i="27"/>
  <c r="G52" i="27"/>
  <c r="G49" i="27"/>
  <c r="G46" i="27"/>
  <c r="G43" i="27"/>
  <c r="G40" i="27"/>
  <c r="G85" i="27"/>
  <c r="G76" i="27"/>
  <c r="G67" i="27"/>
  <c r="G62" i="27"/>
  <c r="G59" i="27"/>
  <c r="G56" i="27"/>
  <c r="G53" i="27"/>
  <c r="G50" i="27"/>
  <c r="G47" i="27"/>
  <c r="G44" i="27"/>
  <c r="G41" i="27"/>
  <c r="G38" i="27"/>
  <c r="G82" i="27"/>
  <c r="G73" i="27"/>
  <c r="G35" i="27"/>
  <c r="G32" i="27"/>
  <c r="G29" i="27"/>
  <c r="G26" i="27"/>
  <c r="G23" i="27"/>
  <c r="G20" i="27"/>
  <c r="G17" i="27"/>
  <c r="G14" i="27"/>
  <c r="G11" i="27"/>
  <c r="G36" i="27"/>
  <c r="G33" i="27"/>
  <c r="G30" i="27"/>
  <c r="G27" i="27"/>
  <c r="G24" i="27"/>
  <c r="G21" i="27"/>
  <c r="G18" i="27"/>
  <c r="G15" i="27"/>
  <c r="G12" i="27"/>
  <c r="G37" i="27"/>
  <c r="G34" i="27"/>
  <c r="G31" i="27"/>
  <c r="G28" i="27"/>
  <c r="G25" i="27"/>
  <c r="G22" i="27"/>
  <c r="G19" i="27"/>
  <c r="G16" i="27"/>
  <c r="G13" i="27"/>
  <c r="G10" i="27"/>
  <c r="G7" i="27"/>
  <c r="G4" i="27"/>
  <c r="H1" i="27"/>
  <c r="G8" i="27"/>
  <c r="G5" i="27"/>
  <c r="G9" i="27"/>
  <c r="G6" i="27"/>
  <c r="G3" i="27"/>
  <c r="G176" i="26"/>
  <c r="G173" i="26"/>
  <c r="G170" i="26"/>
  <c r="G167" i="26"/>
  <c r="G164" i="26"/>
  <c r="G161" i="26"/>
  <c r="G174" i="26"/>
  <c r="G171" i="26"/>
  <c r="G168" i="26"/>
  <c r="G165" i="26"/>
  <c r="G162" i="26"/>
  <c r="G159" i="26"/>
  <c r="G175" i="26"/>
  <c r="G172" i="26"/>
  <c r="G169" i="26"/>
  <c r="G166" i="26"/>
  <c r="G163" i="26"/>
  <c r="G160" i="26"/>
  <c r="G156" i="26"/>
  <c r="G153" i="26"/>
  <c r="G150" i="26"/>
  <c r="G147" i="26"/>
  <c r="G144" i="26"/>
  <c r="G141" i="26"/>
  <c r="G138" i="26"/>
  <c r="G135" i="26"/>
  <c r="G132" i="26"/>
  <c r="G157" i="26"/>
  <c r="G154" i="26"/>
  <c r="G151" i="26"/>
  <c r="G148" i="26"/>
  <c r="G145" i="26"/>
  <c r="G142" i="26"/>
  <c r="G139" i="26"/>
  <c r="G136" i="26"/>
  <c r="G133" i="26"/>
  <c r="G127" i="26"/>
  <c r="G123" i="26"/>
  <c r="G114" i="26"/>
  <c r="G110" i="26"/>
  <c r="G107" i="26"/>
  <c r="G104" i="26"/>
  <c r="G101" i="26"/>
  <c r="G98" i="26"/>
  <c r="G95" i="26"/>
  <c r="G92" i="26"/>
  <c r="G89" i="26"/>
  <c r="G86" i="26"/>
  <c r="G83" i="26"/>
  <c r="G80" i="26"/>
  <c r="G77" i="26"/>
  <c r="G74" i="26"/>
  <c r="G158" i="26"/>
  <c r="G149" i="26"/>
  <c r="G140" i="26"/>
  <c r="G131" i="26"/>
  <c r="G128" i="26"/>
  <c r="G124" i="26"/>
  <c r="G115" i="26"/>
  <c r="G111" i="26"/>
  <c r="G108" i="26"/>
  <c r="G105" i="26"/>
  <c r="G102" i="26"/>
  <c r="G99" i="26"/>
  <c r="G96" i="26"/>
  <c r="G93" i="26"/>
  <c r="G90" i="26"/>
  <c r="G87" i="26"/>
  <c r="G84" i="26"/>
  <c r="G81" i="26"/>
  <c r="G78" i="26"/>
  <c r="G75" i="26"/>
  <c r="G72" i="26"/>
  <c r="G152" i="26"/>
  <c r="G143" i="26"/>
  <c r="G134" i="26"/>
  <c r="G130" i="26"/>
  <c r="G129" i="26"/>
  <c r="G125" i="26"/>
  <c r="G116" i="26"/>
  <c r="G113" i="26"/>
  <c r="G109" i="26"/>
  <c r="G106" i="26"/>
  <c r="G103" i="26"/>
  <c r="G100" i="26"/>
  <c r="G97" i="26"/>
  <c r="G94" i="26"/>
  <c r="G91" i="26"/>
  <c r="G88" i="26"/>
  <c r="G85" i="26"/>
  <c r="G82" i="26"/>
  <c r="G79" i="26"/>
  <c r="G76" i="26"/>
  <c r="G73" i="26"/>
  <c r="G69" i="26"/>
  <c r="G66" i="26"/>
  <c r="G63" i="26"/>
  <c r="G60" i="26"/>
  <c r="G57" i="26"/>
  <c r="G54" i="26"/>
  <c r="G51" i="26"/>
  <c r="G137" i="26"/>
  <c r="G70" i="26"/>
  <c r="G67" i="26"/>
  <c r="G64" i="26"/>
  <c r="G61" i="26"/>
  <c r="G58" i="26"/>
  <c r="G55" i="26"/>
  <c r="G71" i="26"/>
  <c r="G146" i="26"/>
  <c r="G65" i="26"/>
  <c r="G56" i="26"/>
  <c r="G48" i="26"/>
  <c r="G45" i="26"/>
  <c r="G42" i="26"/>
  <c r="G39" i="26"/>
  <c r="G36" i="26"/>
  <c r="G33" i="26"/>
  <c r="G30" i="26"/>
  <c r="G27" i="26"/>
  <c r="G24" i="26"/>
  <c r="G21" i="26"/>
  <c r="G18" i="26"/>
  <c r="G15" i="26"/>
  <c r="G12" i="26"/>
  <c r="G9" i="26"/>
  <c r="G6" i="26"/>
  <c r="G3" i="26"/>
  <c r="G68" i="26"/>
  <c r="G59" i="26"/>
  <c r="G49" i="26"/>
  <c r="G46" i="26"/>
  <c r="G43" i="26"/>
  <c r="G40" i="26"/>
  <c r="G37" i="26"/>
  <c r="G34" i="26"/>
  <c r="G31" i="26"/>
  <c r="G28" i="26"/>
  <c r="G25" i="26"/>
  <c r="G22" i="26"/>
  <c r="G19" i="26"/>
  <c r="G16" i="26"/>
  <c r="G13" i="26"/>
  <c r="G10" i="26"/>
  <c r="G7" i="26"/>
  <c r="G4" i="26"/>
  <c r="G53" i="26"/>
  <c r="G62" i="26"/>
  <c r="G44" i="26"/>
  <c r="G35" i="26"/>
  <c r="G26" i="26"/>
  <c r="G17" i="26"/>
  <c r="G8" i="26"/>
  <c r="G52" i="26"/>
  <c r="G155" i="26"/>
  <c r="H1" i="26"/>
  <c r="G47" i="26"/>
  <c r="G38" i="26"/>
  <c r="G29" i="26"/>
  <c r="G20" i="26"/>
  <c r="G11" i="26"/>
  <c r="G50" i="26"/>
  <c r="G41" i="26"/>
  <c r="G32" i="26"/>
  <c r="G23" i="26"/>
  <c r="G14" i="26"/>
  <c r="G5" i="26"/>
  <c r="J141" i="17"/>
  <c r="J188" i="17"/>
  <c r="J179" i="17"/>
  <c r="J192" i="17"/>
  <c r="J183" i="17"/>
  <c r="J174" i="17"/>
  <c r="J165" i="17"/>
  <c r="J156" i="17"/>
  <c r="J134" i="17"/>
  <c r="J142" i="17"/>
  <c r="J139" i="17"/>
  <c r="J191" i="17"/>
  <c r="J185" i="17"/>
  <c r="J128" i="17"/>
  <c r="J119" i="17"/>
  <c r="J110" i="17"/>
  <c r="J101" i="17"/>
  <c r="J91" i="17"/>
  <c r="J68" i="17"/>
  <c r="J65" i="17"/>
  <c r="J62" i="17"/>
  <c r="J59" i="17"/>
  <c r="J56" i="17"/>
  <c r="J53" i="17"/>
  <c r="J50" i="17"/>
  <c r="J47" i="17"/>
  <c r="J44" i="17"/>
  <c r="J41" i="17"/>
  <c r="J38" i="17"/>
  <c r="J35" i="17"/>
  <c r="J32" i="17"/>
  <c r="J29" i="17"/>
  <c r="J26" i="17"/>
  <c r="J23" i="17"/>
  <c r="J20" i="17"/>
  <c r="J17" i="17"/>
  <c r="J14" i="17"/>
  <c r="J11" i="17"/>
  <c r="J8" i="17"/>
  <c r="J5" i="17"/>
  <c r="J169" i="17"/>
  <c r="J160" i="17"/>
  <c r="J151" i="17"/>
  <c r="J135" i="17"/>
  <c r="J132" i="17"/>
  <c r="J178" i="17"/>
  <c r="J175" i="17"/>
  <c r="J172" i="17"/>
  <c r="J166" i="17"/>
  <c r="J163" i="17"/>
  <c r="J157" i="17"/>
  <c r="J154" i="17"/>
  <c r="J137" i="17"/>
  <c r="J136" i="17"/>
  <c r="J127" i="17"/>
  <c r="J118" i="17"/>
  <c r="J109" i="17"/>
  <c r="J100" i="17"/>
  <c r="J182" i="17"/>
  <c r="J122" i="17"/>
  <c r="J113" i="17"/>
  <c r="J104" i="17"/>
  <c r="J95" i="17"/>
  <c r="J66" i="17"/>
  <c r="J63" i="17"/>
  <c r="J60" i="17"/>
  <c r="J57" i="17"/>
  <c r="J54" i="17"/>
  <c r="J51" i="17"/>
  <c r="J48" i="17"/>
  <c r="J45" i="17"/>
  <c r="J42" i="17"/>
  <c r="J39" i="17"/>
  <c r="J36" i="17"/>
  <c r="J33" i="17"/>
  <c r="J30" i="17"/>
  <c r="J27" i="17"/>
  <c r="J24" i="17"/>
  <c r="J21" i="17"/>
  <c r="J18" i="17"/>
  <c r="J15" i="17"/>
  <c r="J12" i="17"/>
  <c r="J9" i="17"/>
  <c r="J6" i="17"/>
  <c r="J3" i="17"/>
  <c r="J186" i="17"/>
  <c r="J180" i="17"/>
  <c r="J148" i="17"/>
  <c r="J145" i="17"/>
  <c r="J140" i="17"/>
  <c r="J138" i="17"/>
  <c r="J131" i="17"/>
  <c r="J126" i="17"/>
  <c r="J117" i="17"/>
  <c r="J108" i="17"/>
  <c r="J99" i="17"/>
  <c r="J90" i="17"/>
  <c r="J87" i="17"/>
  <c r="J84" i="17"/>
  <c r="J81" i="17"/>
  <c r="J78" i="17"/>
  <c r="J75" i="17"/>
  <c r="J72" i="17"/>
  <c r="J69" i="17"/>
  <c r="J184" i="17"/>
  <c r="J173" i="17"/>
  <c r="J164" i="17"/>
  <c r="J155" i="17"/>
  <c r="J147" i="17"/>
  <c r="J146" i="17"/>
  <c r="J144" i="17"/>
  <c r="J143" i="17"/>
  <c r="J130" i="17"/>
  <c r="J125" i="17"/>
  <c r="J116" i="17"/>
  <c r="J107" i="17"/>
  <c r="J98" i="17"/>
  <c r="J94" i="17"/>
  <c r="J67" i="17"/>
  <c r="J64" i="17"/>
  <c r="J61" i="17"/>
  <c r="J58" i="17"/>
  <c r="J55" i="17"/>
  <c r="J52" i="17"/>
  <c r="J49" i="17"/>
  <c r="J46" i="17"/>
  <c r="J43" i="17"/>
  <c r="J40" i="17"/>
  <c r="J37" i="17"/>
  <c r="J34" i="17"/>
  <c r="J31" i="17"/>
  <c r="J28" i="17"/>
  <c r="J25" i="17"/>
  <c r="J22" i="17"/>
  <c r="J19" i="17"/>
  <c r="J16" i="17"/>
  <c r="J13" i="17"/>
  <c r="J10" i="17"/>
  <c r="J7" i="17"/>
  <c r="J4" i="17"/>
  <c r="J120" i="17"/>
  <c r="J111" i="17"/>
  <c r="J102" i="17"/>
  <c r="J88" i="17"/>
  <c r="J85" i="17"/>
  <c r="J82" i="17"/>
  <c r="J79" i="17"/>
  <c r="J76" i="17"/>
  <c r="J73" i="17"/>
  <c r="J70" i="17"/>
  <c r="J177" i="17"/>
  <c r="J168" i="17"/>
  <c r="J159" i="17"/>
  <c r="J150" i="17"/>
  <c r="J129" i="17"/>
  <c r="K1" i="17"/>
  <c r="J89" i="17"/>
  <c r="J86" i="17"/>
  <c r="J83" i="17"/>
  <c r="J80" i="17"/>
  <c r="J77" i="17"/>
  <c r="J74" i="17"/>
  <c r="J71" i="17"/>
  <c r="J176" i="17"/>
  <c r="J152" i="17"/>
  <c r="J92" i="17"/>
  <c r="J181" i="17"/>
  <c r="J171" i="17"/>
  <c r="J124" i="17"/>
  <c r="J115" i="17"/>
  <c r="J106" i="17"/>
  <c r="J97" i="17"/>
  <c r="J189" i="17"/>
  <c r="J133" i="17"/>
  <c r="J161" i="17"/>
  <c r="J149" i="17"/>
  <c r="J93" i="17"/>
  <c r="J170" i="17"/>
  <c r="J158" i="17"/>
  <c r="J153" i="17"/>
  <c r="J123" i="17"/>
  <c r="J114" i="17"/>
  <c r="J105" i="17"/>
  <c r="J96" i="17"/>
  <c r="J190" i="17"/>
  <c r="J167" i="17"/>
  <c r="J121" i="17"/>
  <c r="J112" i="17"/>
  <c r="J103" i="17"/>
  <c r="J162" i="17"/>
  <c r="J187" i="17"/>
  <c r="I189" i="20"/>
  <c r="I186" i="20"/>
  <c r="I183" i="20"/>
  <c r="I180" i="20"/>
  <c r="I177" i="20"/>
  <c r="I174" i="20"/>
  <c r="I171" i="20"/>
  <c r="I168" i="20"/>
  <c r="I165" i="20"/>
  <c r="I162" i="20"/>
  <c r="I159" i="20"/>
  <c r="I156" i="20"/>
  <c r="I187" i="20"/>
  <c r="I178" i="20"/>
  <c r="I169" i="20"/>
  <c r="I160" i="20"/>
  <c r="I155" i="20"/>
  <c r="I151" i="20"/>
  <c r="I147" i="20"/>
  <c r="I135" i="20"/>
  <c r="I130" i="20"/>
  <c r="I127" i="20"/>
  <c r="I184" i="20"/>
  <c r="I175" i="20"/>
  <c r="I166" i="20"/>
  <c r="I157" i="20"/>
  <c r="I150" i="20"/>
  <c r="I131" i="20"/>
  <c r="I128" i="20"/>
  <c r="I173" i="20"/>
  <c r="I136" i="20"/>
  <c r="I121" i="20"/>
  <c r="I154" i="20"/>
  <c r="I152" i="20"/>
  <c r="I141" i="20"/>
  <c r="I125" i="20"/>
  <c r="I116" i="20"/>
  <c r="I107" i="20"/>
  <c r="I98" i="20"/>
  <c r="I89" i="20"/>
  <c r="I80" i="20"/>
  <c r="I71" i="20"/>
  <c r="I190" i="20"/>
  <c r="I176" i="20"/>
  <c r="I163" i="20"/>
  <c r="I140" i="20"/>
  <c r="I129" i="20"/>
  <c r="I66" i="20"/>
  <c r="I63" i="20"/>
  <c r="I60" i="20"/>
  <c r="I148" i="20"/>
  <c r="I144" i="20"/>
  <c r="I139" i="20"/>
  <c r="I119" i="20"/>
  <c r="I110" i="20"/>
  <c r="I101" i="20"/>
  <c r="I92" i="20"/>
  <c r="I83" i="20"/>
  <c r="I74" i="20"/>
  <c r="I179" i="20"/>
  <c r="I182" i="20"/>
  <c r="I143" i="20"/>
  <c r="I138" i="20"/>
  <c r="I132" i="20"/>
  <c r="I118" i="20"/>
  <c r="I109" i="20"/>
  <c r="I100" i="20"/>
  <c r="I91" i="20"/>
  <c r="I170" i="20"/>
  <c r="I142" i="20"/>
  <c r="I126" i="20"/>
  <c r="I117" i="20"/>
  <c r="I108" i="20"/>
  <c r="I99" i="20"/>
  <c r="I161" i="20"/>
  <c r="I120" i="20"/>
  <c r="I111" i="20"/>
  <c r="I94" i="20"/>
  <c r="I52" i="20"/>
  <c r="I43" i="20"/>
  <c r="I114" i="20"/>
  <c r="I104" i="20"/>
  <c r="I181" i="20"/>
  <c r="I153" i="20"/>
  <c r="I86" i="20"/>
  <c r="I77" i="20"/>
  <c r="I56" i="20"/>
  <c r="I47" i="20"/>
  <c r="I38" i="20"/>
  <c r="I67" i="20"/>
  <c r="I64" i="20"/>
  <c r="I61" i="20"/>
  <c r="I51" i="20"/>
  <c r="I42" i="20"/>
  <c r="I36" i="20"/>
  <c r="I33" i="20"/>
  <c r="I30" i="20"/>
  <c r="I27" i="20"/>
  <c r="I24" i="20"/>
  <c r="I21" i="20"/>
  <c r="I18" i="20"/>
  <c r="I15" i="20"/>
  <c r="I12" i="20"/>
  <c r="I9" i="20"/>
  <c r="I6" i="20"/>
  <c r="I3" i="20"/>
  <c r="I65" i="20"/>
  <c r="I62" i="20"/>
  <c r="I55" i="20"/>
  <c r="I46" i="20"/>
  <c r="I158" i="20"/>
  <c r="I137" i="20"/>
  <c r="I113" i="20"/>
  <c r="I103" i="20"/>
  <c r="I95" i="20"/>
  <c r="I93" i="20"/>
  <c r="I87" i="20"/>
  <c r="I78" i="20"/>
  <c r="I69" i="20"/>
  <c r="I68" i="20"/>
  <c r="I188" i="20"/>
  <c r="I146" i="20"/>
  <c r="I145" i="20"/>
  <c r="I106" i="20"/>
  <c r="I97" i="20"/>
  <c r="I84" i="20"/>
  <c r="I81" i="20"/>
  <c r="I75" i="20"/>
  <c r="I72" i="20"/>
  <c r="I59" i="20"/>
  <c r="I50" i="20"/>
  <c r="I41" i="20"/>
  <c r="I167" i="20"/>
  <c r="I134" i="20"/>
  <c r="I124" i="20"/>
  <c r="I54" i="20"/>
  <c r="I45" i="20"/>
  <c r="I37" i="20"/>
  <c r="I34" i="20"/>
  <c r="I31" i="20"/>
  <c r="I28" i="20"/>
  <c r="I25" i="20"/>
  <c r="I22" i="20"/>
  <c r="I19" i="20"/>
  <c r="I16" i="20"/>
  <c r="I13" i="20"/>
  <c r="I10" i="20"/>
  <c r="I7" i="20"/>
  <c r="I4" i="20"/>
  <c r="I185" i="20"/>
  <c r="I172" i="20"/>
  <c r="I133" i="20"/>
  <c r="I123" i="20"/>
  <c r="I102" i="20"/>
  <c r="I58" i="20"/>
  <c r="I49" i="20"/>
  <c r="I40" i="20"/>
  <c r="I164" i="20"/>
  <c r="I149" i="20"/>
  <c r="I112" i="20"/>
  <c r="I105" i="20"/>
  <c r="J1" i="20"/>
  <c r="I122" i="20"/>
  <c r="I115" i="20"/>
  <c r="I90" i="20"/>
  <c r="I88" i="20"/>
  <c r="I82" i="20"/>
  <c r="I79" i="20"/>
  <c r="I73" i="20"/>
  <c r="I70" i="20"/>
  <c r="I53" i="20"/>
  <c r="I44" i="20"/>
  <c r="I76" i="20"/>
  <c r="I57" i="20"/>
  <c r="I96" i="20"/>
  <c r="I48" i="20"/>
  <c r="I39" i="20"/>
  <c r="I85" i="20"/>
  <c r="I29" i="20"/>
  <c r="I26" i="20"/>
  <c r="I23" i="20"/>
  <c r="I20" i="20"/>
  <c r="I17" i="20"/>
  <c r="I14" i="20"/>
  <c r="I11" i="20"/>
  <c r="I8" i="20"/>
  <c r="I5" i="20"/>
  <c r="I32" i="20"/>
  <c r="I35" i="20"/>
  <c r="G137" i="21"/>
  <c r="G188" i="21"/>
  <c r="G185" i="21"/>
  <c r="G182" i="21"/>
  <c r="G179" i="21"/>
  <c r="G176" i="21"/>
  <c r="G173" i="21"/>
  <c r="G170" i="21"/>
  <c r="G167" i="21"/>
  <c r="G164" i="21"/>
  <c r="G161" i="21"/>
  <c r="G158" i="21"/>
  <c r="G155" i="21"/>
  <c r="G152" i="21"/>
  <c r="G149" i="21"/>
  <c r="G146" i="21"/>
  <c r="G143" i="21"/>
  <c r="G140" i="21"/>
  <c r="G132" i="21"/>
  <c r="G124" i="21"/>
  <c r="G121" i="21"/>
  <c r="G118" i="21"/>
  <c r="G115" i="21"/>
  <c r="G112" i="21"/>
  <c r="G127" i="21"/>
  <c r="G130" i="21"/>
  <c r="G186" i="21"/>
  <c r="G183" i="21"/>
  <c r="G180" i="21"/>
  <c r="G177" i="21"/>
  <c r="G174" i="21"/>
  <c r="G171" i="21"/>
  <c r="G168" i="21"/>
  <c r="G165" i="21"/>
  <c r="G162" i="21"/>
  <c r="G159" i="21"/>
  <c r="G156" i="21"/>
  <c r="G136" i="21"/>
  <c r="G131" i="21"/>
  <c r="G133" i="21"/>
  <c r="G181" i="21"/>
  <c r="G129" i="21"/>
  <c r="G126" i="21"/>
  <c r="G110" i="21"/>
  <c r="G107" i="21"/>
  <c r="G104" i="21"/>
  <c r="G101" i="21"/>
  <c r="G98" i="21"/>
  <c r="G95" i="21"/>
  <c r="G92" i="21"/>
  <c r="G89" i="21"/>
  <c r="G86" i="21"/>
  <c r="G83" i="21"/>
  <c r="G80" i="21"/>
  <c r="G77" i="21"/>
  <c r="G74" i="21"/>
  <c r="G71" i="21"/>
  <c r="G68" i="21"/>
  <c r="G65" i="21"/>
  <c r="G62" i="21"/>
  <c r="G59" i="21"/>
  <c r="G56" i="21"/>
  <c r="G53" i="21"/>
  <c r="G50" i="21"/>
  <c r="G47" i="21"/>
  <c r="G44" i="21"/>
  <c r="G41" i="21"/>
  <c r="G38" i="21"/>
  <c r="G35" i="21"/>
  <c r="G32" i="21"/>
  <c r="G29" i="21"/>
  <c r="G26" i="21"/>
  <c r="G23" i="21"/>
  <c r="G20" i="21"/>
  <c r="G17" i="21"/>
  <c r="G154" i="21"/>
  <c r="G145" i="21"/>
  <c r="G138" i="21"/>
  <c r="G135" i="21"/>
  <c r="G187" i="21"/>
  <c r="G178" i="21"/>
  <c r="G128" i="21"/>
  <c r="G125" i="21"/>
  <c r="G111" i="21"/>
  <c r="G108" i="21"/>
  <c r="G105" i="21"/>
  <c r="G102" i="21"/>
  <c r="G99" i="21"/>
  <c r="G96" i="21"/>
  <c r="G93" i="21"/>
  <c r="G90" i="21"/>
  <c r="G87" i="21"/>
  <c r="G84" i="21"/>
  <c r="G81" i="21"/>
  <c r="G78" i="21"/>
  <c r="G75" i="21"/>
  <c r="G72" i="21"/>
  <c r="G69" i="21"/>
  <c r="G66" i="21"/>
  <c r="G63" i="21"/>
  <c r="G60" i="21"/>
  <c r="G57" i="21"/>
  <c r="G54" i="21"/>
  <c r="G51" i="21"/>
  <c r="G48" i="21"/>
  <c r="G45" i="21"/>
  <c r="G42" i="21"/>
  <c r="G39" i="21"/>
  <c r="G36" i="21"/>
  <c r="G33" i="21"/>
  <c r="G30" i="21"/>
  <c r="G27" i="21"/>
  <c r="G24" i="21"/>
  <c r="G21" i="21"/>
  <c r="G18" i="21"/>
  <c r="G148" i="21"/>
  <c r="G172" i="21"/>
  <c r="G169" i="21"/>
  <c r="G166" i="21"/>
  <c r="G151" i="21"/>
  <c r="G142" i="21"/>
  <c r="H1" i="21"/>
  <c r="G184" i="21"/>
  <c r="G175" i="21"/>
  <c r="G109" i="21"/>
  <c r="G106" i="21"/>
  <c r="G103" i="21"/>
  <c r="G100" i="21"/>
  <c r="G97" i="21"/>
  <c r="G94" i="21"/>
  <c r="G91" i="21"/>
  <c r="G88" i="21"/>
  <c r="G85" i="21"/>
  <c r="G82" i="21"/>
  <c r="G79" i="21"/>
  <c r="G76" i="21"/>
  <c r="G73" i="21"/>
  <c r="G70" i="21"/>
  <c r="G67" i="21"/>
  <c r="G64" i="21"/>
  <c r="G61" i="21"/>
  <c r="G58" i="21"/>
  <c r="G55" i="21"/>
  <c r="G52" i="21"/>
  <c r="G43" i="21"/>
  <c r="G34" i="21"/>
  <c r="G25" i="21"/>
  <c r="G163" i="21"/>
  <c r="G147" i="21"/>
  <c r="G123" i="21"/>
  <c r="G120" i="21"/>
  <c r="G117" i="21"/>
  <c r="G114" i="21"/>
  <c r="G15" i="21"/>
  <c r="G12" i="21"/>
  <c r="G9" i="21"/>
  <c r="G6" i="21"/>
  <c r="G3" i="21"/>
  <c r="G150" i="21"/>
  <c r="G139" i="21"/>
  <c r="G49" i="21"/>
  <c r="G144" i="21"/>
  <c r="G116" i="21"/>
  <c r="G134" i="21"/>
  <c r="G16" i="21"/>
  <c r="G8" i="21"/>
  <c r="G7" i="21"/>
  <c r="G160" i="21"/>
  <c r="G153" i="21"/>
  <c r="G119" i="21"/>
  <c r="G14" i="21"/>
  <c r="G13" i="21"/>
  <c r="G5" i="21"/>
  <c r="G4" i="21"/>
  <c r="G141" i="21"/>
  <c r="G22" i="21"/>
  <c r="G46" i="21"/>
  <c r="G31" i="21"/>
  <c r="G113" i="21"/>
  <c r="G19" i="21"/>
  <c r="G10" i="21"/>
  <c r="G40" i="21"/>
  <c r="G28" i="21"/>
  <c r="G11" i="21"/>
  <c r="G157" i="21"/>
  <c r="G122" i="21"/>
  <c r="G37" i="21"/>
  <c r="H181" i="24"/>
  <c r="H178" i="24"/>
  <c r="H175" i="24"/>
  <c r="H172" i="24"/>
  <c r="H169" i="24"/>
  <c r="H166" i="24"/>
  <c r="H163" i="24"/>
  <c r="H160" i="24"/>
  <c r="H157" i="24"/>
  <c r="H154" i="24"/>
  <c r="H151" i="24"/>
  <c r="H148" i="24"/>
  <c r="H145" i="24"/>
  <c r="H142" i="24"/>
  <c r="H179" i="24"/>
  <c r="H176" i="24"/>
  <c r="H173" i="24"/>
  <c r="H170" i="24"/>
  <c r="H167" i="24"/>
  <c r="H164" i="24"/>
  <c r="H161" i="24"/>
  <c r="H158" i="24"/>
  <c r="H155" i="24"/>
  <c r="H152" i="24"/>
  <c r="H149" i="24"/>
  <c r="H146" i="24"/>
  <c r="H143" i="24"/>
  <c r="H180" i="24"/>
  <c r="H177" i="24"/>
  <c r="H174" i="24"/>
  <c r="H171" i="24"/>
  <c r="H168" i="24"/>
  <c r="H165" i="24"/>
  <c r="H162" i="24"/>
  <c r="H159" i="24"/>
  <c r="H156" i="24"/>
  <c r="H153" i="24"/>
  <c r="H150" i="24"/>
  <c r="H147" i="24"/>
  <c r="H144" i="24"/>
  <c r="H141" i="24"/>
  <c r="H129" i="24"/>
  <c r="H124" i="24"/>
  <c r="H138" i="24"/>
  <c r="H135" i="24"/>
  <c r="H132" i="24"/>
  <c r="H116" i="24"/>
  <c r="H113" i="24"/>
  <c r="H110" i="24"/>
  <c r="H107" i="24"/>
  <c r="H104" i="24"/>
  <c r="H101" i="24"/>
  <c r="H98" i="24"/>
  <c r="H95" i="24"/>
  <c r="H92" i="24"/>
  <c r="H89" i="24"/>
  <c r="H86" i="24"/>
  <c r="H83" i="24"/>
  <c r="H80" i="24"/>
  <c r="H77" i="24"/>
  <c r="H74" i="24"/>
  <c r="H71" i="24"/>
  <c r="H68" i="24"/>
  <c r="H65" i="24"/>
  <c r="H62" i="24"/>
  <c r="H59" i="24"/>
  <c r="H56" i="24"/>
  <c r="H53" i="24"/>
  <c r="H50" i="24"/>
  <c r="H47" i="24"/>
  <c r="H44" i="24"/>
  <c r="H41" i="24"/>
  <c r="H38" i="24"/>
  <c r="H35" i="24"/>
  <c r="H32" i="24"/>
  <c r="H29" i="24"/>
  <c r="H122" i="24"/>
  <c r="H119" i="24"/>
  <c r="H127" i="24"/>
  <c r="H130" i="24"/>
  <c r="H139" i="24"/>
  <c r="H136" i="24"/>
  <c r="H133" i="24"/>
  <c r="H125" i="24"/>
  <c r="H117" i="24"/>
  <c r="H114" i="24"/>
  <c r="H111" i="24"/>
  <c r="H108" i="24"/>
  <c r="H105" i="24"/>
  <c r="H102" i="24"/>
  <c r="H99" i="24"/>
  <c r="H96" i="24"/>
  <c r="H93" i="24"/>
  <c r="H90" i="24"/>
  <c r="H87" i="24"/>
  <c r="H84" i="24"/>
  <c r="H81" i="24"/>
  <c r="H78" i="24"/>
  <c r="H75" i="24"/>
  <c r="H72" i="24"/>
  <c r="H69" i="24"/>
  <c r="H66" i="24"/>
  <c r="H63" i="24"/>
  <c r="H60" i="24"/>
  <c r="H57" i="24"/>
  <c r="H54" i="24"/>
  <c r="H51" i="24"/>
  <c r="H48" i="24"/>
  <c r="H45" i="24"/>
  <c r="H42" i="24"/>
  <c r="H39" i="24"/>
  <c r="H36" i="24"/>
  <c r="H33" i="24"/>
  <c r="H30" i="24"/>
  <c r="H120" i="24"/>
  <c r="H137" i="24"/>
  <c r="H134" i="24"/>
  <c r="H115" i="24"/>
  <c r="H112" i="24"/>
  <c r="H109" i="24"/>
  <c r="H106" i="24"/>
  <c r="H103" i="24"/>
  <c r="H100" i="24"/>
  <c r="H97" i="24"/>
  <c r="H94" i="24"/>
  <c r="H91" i="24"/>
  <c r="H88" i="24"/>
  <c r="H85" i="24"/>
  <c r="H82" i="24"/>
  <c r="H79" i="24"/>
  <c r="H76" i="24"/>
  <c r="H73" i="24"/>
  <c r="H70" i="24"/>
  <c r="H67" i="24"/>
  <c r="H64" i="24"/>
  <c r="H61" i="24"/>
  <c r="H58" i="24"/>
  <c r="H55" i="24"/>
  <c r="H49" i="24"/>
  <c r="H40" i="24"/>
  <c r="H31" i="24"/>
  <c r="H27" i="24"/>
  <c r="H24" i="24"/>
  <c r="H21" i="24"/>
  <c r="H18" i="24"/>
  <c r="H15" i="24"/>
  <c r="H12" i="24"/>
  <c r="H9" i="24"/>
  <c r="H6" i="24"/>
  <c r="H3" i="24"/>
  <c r="H121" i="24"/>
  <c r="H118" i="24"/>
  <c r="H52" i="24"/>
  <c r="H43" i="24"/>
  <c r="H34" i="24"/>
  <c r="H28" i="24"/>
  <c r="H131" i="24"/>
  <c r="H128" i="24"/>
  <c r="I1" i="24"/>
  <c r="H20" i="24"/>
  <c r="H11" i="24"/>
  <c r="H126" i="24"/>
  <c r="H23" i="24"/>
  <c r="H25" i="24"/>
  <c r="H123" i="24"/>
  <c r="H26" i="24"/>
  <c r="H4" i="24"/>
  <c r="H22" i="24"/>
  <c r="H7" i="24"/>
  <c r="H37" i="24"/>
  <c r="H14" i="24"/>
  <c r="H140" i="24"/>
  <c r="H5" i="24"/>
  <c r="H17" i="24"/>
  <c r="H13" i="24"/>
  <c r="H16" i="24"/>
  <c r="H10" i="24"/>
  <c r="H46" i="24"/>
  <c r="H19" i="24"/>
  <c r="H8" i="24"/>
  <c r="H178" i="25"/>
  <c r="H179" i="25"/>
  <c r="H134" i="25"/>
  <c r="H131" i="25"/>
  <c r="H121" i="25"/>
  <c r="H132" i="25"/>
  <c r="H113" i="25"/>
  <c r="H110" i="25"/>
  <c r="H107" i="25"/>
  <c r="H104" i="25"/>
  <c r="H101" i="25"/>
  <c r="H98" i="25"/>
  <c r="H125" i="25"/>
  <c r="H177" i="25"/>
  <c r="H157" i="25"/>
  <c r="H154" i="25"/>
  <c r="H141" i="25"/>
  <c r="H137" i="25"/>
  <c r="H160" i="25"/>
  <c r="H130" i="25"/>
  <c r="H126" i="25"/>
  <c r="H166" i="25"/>
  <c r="H163" i="25"/>
  <c r="H149" i="25"/>
  <c r="H145" i="25"/>
  <c r="H138" i="25"/>
  <c r="H169" i="25"/>
  <c r="H175" i="25"/>
  <c r="H172" i="25"/>
  <c r="H158" i="25"/>
  <c r="H146" i="25"/>
  <c r="H142" i="25"/>
  <c r="H127" i="25"/>
  <c r="H120" i="25"/>
  <c r="H118" i="25"/>
  <c r="H117" i="25"/>
  <c r="H164" i="25"/>
  <c r="H161" i="25"/>
  <c r="H122" i="25"/>
  <c r="H97" i="25"/>
  <c r="H167" i="25"/>
  <c r="H150" i="25"/>
  <c r="H147" i="25"/>
  <c r="H173" i="25"/>
  <c r="H170" i="25"/>
  <c r="H156" i="25"/>
  <c r="H153" i="25"/>
  <c r="H143" i="25"/>
  <c r="H128" i="25"/>
  <c r="H168" i="25"/>
  <c r="H139" i="25"/>
  <c r="H124" i="25"/>
  <c r="H123" i="25"/>
  <c r="H114" i="25"/>
  <c r="H95" i="25"/>
  <c r="H90" i="25"/>
  <c r="H86" i="25"/>
  <c r="H81" i="25"/>
  <c r="H77" i="25"/>
  <c r="H73" i="25"/>
  <c r="H176" i="25"/>
  <c r="H159" i="25"/>
  <c r="H152" i="25"/>
  <c r="H133" i="25"/>
  <c r="H91" i="25"/>
  <c r="H82" i="25"/>
  <c r="H70" i="25"/>
  <c r="H67" i="25"/>
  <c r="H64" i="25"/>
  <c r="H61" i="25"/>
  <c r="H58" i="25"/>
  <c r="H55" i="25"/>
  <c r="H52" i="25"/>
  <c r="H49" i="25"/>
  <c r="H148" i="25"/>
  <c r="H136" i="25"/>
  <c r="H108" i="25"/>
  <c r="H105" i="25"/>
  <c r="H102" i="25"/>
  <c r="H100" i="25"/>
  <c r="H155" i="25"/>
  <c r="H112" i="25"/>
  <c r="H96" i="25"/>
  <c r="H92" i="25"/>
  <c r="H87" i="25"/>
  <c r="H83" i="25"/>
  <c r="H78" i="25"/>
  <c r="H72" i="25"/>
  <c r="H171" i="25"/>
  <c r="H162" i="25"/>
  <c r="H151" i="25"/>
  <c r="H144" i="25"/>
  <c r="H135" i="25"/>
  <c r="H111" i="25"/>
  <c r="H88" i="25"/>
  <c r="H79" i="25"/>
  <c r="H71" i="25"/>
  <c r="H68" i="25"/>
  <c r="H65" i="25"/>
  <c r="H62" i="25"/>
  <c r="H59" i="25"/>
  <c r="H56" i="25"/>
  <c r="H53" i="25"/>
  <c r="H50" i="25"/>
  <c r="H47" i="25"/>
  <c r="H44" i="25"/>
  <c r="H94" i="25"/>
  <c r="H85" i="25"/>
  <c r="H76" i="25"/>
  <c r="H74" i="25"/>
  <c r="H69" i="25"/>
  <c r="H66" i="25"/>
  <c r="H63" i="25"/>
  <c r="H60" i="25"/>
  <c r="H57" i="25"/>
  <c r="H54" i="25"/>
  <c r="H51" i="25"/>
  <c r="H48" i="25"/>
  <c r="H45" i="25"/>
  <c r="H42" i="25"/>
  <c r="H43" i="25"/>
  <c r="H119" i="25"/>
  <c r="H116" i="25"/>
  <c r="H106" i="25"/>
  <c r="H165" i="25"/>
  <c r="H89" i="25"/>
  <c r="H39" i="25"/>
  <c r="H36" i="25"/>
  <c r="H33" i="25"/>
  <c r="H30" i="25"/>
  <c r="H27" i="25"/>
  <c r="H24" i="25"/>
  <c r="H21" i="25"/>
  <c r="H18" i="25"/>
  <c r="H15" i="25"/>
  <c r="H12" i="25"/>
  <c r="H9" i="25"/>
  <c r="H99" i="25"/>
  <c r="H115" i="25"/>
  <c r="H103" i="25"/>
  <c r="H46" i="25"/>
  <c r="H40" i="25"/>
  <c r="H37" i="25"/>
  <c r="H34" i="25"/>
  <c r="H31" i="25"/>
  <c r="H28" i="25"/>
  <c r="H25" i="25"/>
  <c r="H22" i="25"/>
  <c r="H19" i="25"/>
  <c r="H16" i="25"/>
  <c r="H13" i="25"/>
  <c r="H10" i="25"/>
  <c r="H140" i="25"/>
  <c r="H93" i="25"/>
  <c r="H80" i="25"/>
  <c r="H41" i="25"/>
  <c r="H38" i="25"/>
  <c r="H35" i="25"/>
  <c r="H32" i="25"/>
  <c r="H29" i="25"/>
  <c r="H26" i="25"/>
  <c r="H23" i="25"/>
  <c r="H20" i="25"/>
  <c r="H17" i="25"/>
  <c r="H14" i="25"/>
  <c r="H11" i="25"/>
  <c r="H8" i="25"/>
  <c r="H174" i="25"/>
  <c r="H109" i="25"/>
  <c r="H7" i="25"/>
  <c r="H4" i="25"/>
  <c r="H75" i="25"/>
  <c r="I1" i="25"/>
  <c r="H129" i="25"/>
  <c r="H5" i="25"/>
  <c r="H84" i="25"/>
  <c r="H3" i="25"/>
  <c r="H6" i="25"/>
  <c r="H188" i="21" l="1"/>
  <c r="H185" i="21"/>
  <c r="H182" i="21"/>
  <c r="H179" i="21"/>
  <c r="H176" i="21"/>
  <c r="H173" i="21"/>
  <c r="H170" i="21"/>
  <c r="H167" i="21"/>
  <c r="H164" i="21"/>
  <c r="H161" i="21"/>
  <c r="H158" i="21"/>
  <c r="H155" i="21"/>
  <c r="H152" i="21"/>
  <c r="H149" i="21"/>
  <c r="H146" i="21"/>
  <c r="H143" i="21"/>
  <c r="H140" i="21"/>
  <c r="H132" i="21"/>
  <c r="H124" i="21"/>
  <c r="H121" i="21"/>
  <c r="H118" i="21"/>
  <c r="H115" i="21"/>
  <c r="H112" i="21"/>
  <c r="H127" i="21"/>
  <c r="H130" i="21"/>
  <c r="H138" i="21"/>
  <c r="H135" i="21"/>
  <c r="H186" i="21"/>
  <c r="H183" i="21"/>
  <c r="H180" i="21"/>
  <c r="H177" i="21"/>
  <c r="H174" i="21"/>
  <c r="H136" i="21"/>
  <c r="H131" i="21"/>
  <c r="H187" i="21"/>
  <c r="H184" i="21"/>
  <c r="H181" i="21"/>
  <c r="H178" i="21"/>
  <c r="H175" i="21"/>
  <c r="H172" i="21"/>
  <c r="H169" i="21"/>
  <c r="H166" i="21"/>
  <c r="H163" i="21"/>
  <c r="H160" i="21"/>
  <c r="H157" i="21"/>
  <c r="H154" i="21"/>
  <c r="H151" i="21"/>
  <c r="H148" i="21"/>
  <c r="H145" i="21"/>
  <c r="H142" i="21"/>
  <c r="H139" i="21"/>
  <c r="H123" i="21"/>
  <c r="H120" i="21"/>
  <c r="H117" i="21"/>
  <c r="H114" i="21"/>
  <c r="H162" i="21"/>
  <c r="H147" i="21"/>
  <c r="H171" i="21"/>
  <c r="H168" i="21"/>
  <c r="H165" i="21"/>
  <c r="H156" i="21"/>
  <c r="H153" i="21"/>
  <c r="H144" i="21"/>
  <c r="H122" i="21"/>
  <c r="H119" i="21"/>
  <c r="H116" i="21"/>
  <c r="H113" i="21"/>
  <c r="H159" i="21"/>
  <c r="H150" i="21"/>
  <c r="H141" i="21"/>
  <c r="H134" i="21"/>
  <c r="H51" i="21"/>
  <c r="H133" i="21"/>
  <c r="H49" i="21"/>
  <c r="H16" i="21"/>
  <c r="H13" i="21"/>
  <c r="H10" i="21"/>
  <c r="H7" i="21"/>
  <c r="H4" i="21"/>
  <c r="H47" i="21"/>
  <c r="H43" i="21"/>
  <c r="H38" i="21"/>
  <c r="H34" i="21"/>
  <c r="H29" i="21"/>
  <c r="H25" i="21"/>
  <c r="H20" i="21"/>
  <c r="H39" i="21"/>
  <c r="H30" i="21"/>
  <c r="H21" i="21"/>
  <c r="H129" i="21"/>
  <c r="H126" i="21"/>
  <c r="H50" i="21"/>
  <c r="H48" i="21"/>
  <c r="H111" i="21"/>
  <c r="H108" i="21"/>
  <c r="H105" i="21"/>
  <c r="H102" i="21"/>
  <c r="H99" i="21"/>
  <c r="H96" i="21"/>
  <c r="H93" i="21"/>
  <c r="H90" i="21"/>
  <c r="H87" i="21"/>
  <c r="H84" i="21"/>
  <c r="H81" i="21"/>
  <c r="H78" i="21"/>
  <c r="H75" i="21"/>
  <c r="H72" i="21"/>
  <c r="H69" i="21"/>
  <c r="H66" i="21"/>
  <c r="H63" i="21"/>
  <c r="H60" i="21"/>
  <c r="H57" i="21"/>
  <c r="H54" i="21"/>
  <c r="H15" i="21"/>
  <c r="H12" i="21"/>
  <c r="H9" i="21"/>
  <c r="H6" i="21"/>
  <c r="H3" i="21"/>
  <c r="H44" i="21"/>
  <c r="H40" i="21"/>
  <c r="H35" i="21"/>
  <c r="H31" i="21"/>
  <c r="H26" i="21"/>
  <c r="H22" i="21"/>
  <c r="H17" i="21"/>
  <c r="H107" i="21"/>
  <c r="H98" i="21"/>
  <c r="H89" i="21"/>
  <c r="H80" i="21"/>
  <c r="H71" i="21"/>
  <c r="H62" i="21"/>
  <c r="H53" i="21"/>
  <c r="H37" i="21"/>
  <c r="H32" i="21"/>
  <c r="H125" i="21"/>
  <c r="H109" i="21"/>
  <c r="H100" i="21"/>
  <c r="H91" i="21"/>
  <c r="H82" i="21"/>
  <c r="H73" i="21"/>
  <c r="H64" i="21"/>
  <c r="H55" i="21"/>
  <c r="H128" i="21"/>
  <c r="H137" i="21"/>
  <c r="H106" i="21"/>
  <c r="H97" i="21"/>
  <c r="H88" i="21"/>
  <c r="H79" i="21"/>
  <c r="H70" i="21"/>
  <c r="H61" i="21"/>
  <c r="H52" i="21"/>
  <c r="H110" i="21"/>
  <c r="H101" i="21"/>
  <c r="H92" i="21"/>
  <c r="H83" i="21"/>
  <c r="H74" i="21"/>
  <c r="H65" i="21"/>
  <c r="H56" i="21"/>
  <c r="H46" i="21"/>
  <c r="H41" i="21"/>
  <c r="H19" i="21"/>
  <c r="H18" i="21"/>
  <c r="H76" i="21"/>
  <c r="H68" i="21"/>
  <c r="H58" i="21"/>
  <c r="H36" i="21"/>
  <c r="H14" i="21"/>
  <c r="H94" i="21"/>
  <c r="H24" i="21"/>
  <c r="I1" i="21"/>
  <c r="H86" i="21"/>
  <c r="H67" i="21"/>
  <c r="H33" i="21"/>
  <c r="H28" i="21"/>
  <c r="H104" i="21"/>
  <c r="H45" i="21"/>
  <c r="H85" i="21"/>
  <c r="H23" i="21"/>
  <c r="H5" i="21"/>
  <c r="H103" i="21"/>
  <c r="H59" i="21"/>
  <c r="H42" i="21"/>
  <c r="H77" i="21"/>
  <c r="H27" i="21"/>
  <c r="H8" i="21"/>
  <c r="H95" i="21"/>
  <c r="H11" i="21"/>
  <c r="J190" i="20"/>
  <c r="J187" i="20"/>
  <c r="J184" i="20"/>
  <c r="J181" i="20"/>
  <c r="J178" i="20"/>
  <c r="J175" i="20"/>
  <c r="J172" i="20"/>
  <c r="J169" i="20"/>
  <c r="J166" i="20"/>
  <c r="J163" i="20"/>
  <c r="J160" i="20"/>
  <c r="J157" i="20"/>
  <c r="J154" i="20"/>
  <c r="J151" i="20"/>
  <c r="J148" i="20"/>
  <c r="J136" i="20"/>
  <c r="J186" i="20"/>
  <c r="J159" i="20"/>
  <c r="J155" i="20"/>
  <c r="J152" i="20"/>
  <c r="J141" i="20"/>
  <c r="J130" i="20"/>
  <c r="J125" i="20"/>
  <c r="J188" i="20"/>
  <c r="J174" i="20"/>
  <c r="J161" i="20"/>
  <c r="J146" i="20"/>
  <c r="J145" i="20"/>
  <c r="J120" i="20"/>
  <c r="J111" i="20"/>
  <c r="J102" i="20"/>
  <c r="J93" i="20"/>
  <c r="J84" i="20"/>
  <c r="J75" i="20"/>
  <c r="J189" i="20"/>
  <c r="J164" i="20"/>
  <c r="J162" i="20"/>
  <c r="J134" i="20"/>
  <c r="J124" i="20"/>
  <c r="J115" i="20"/>
  <c r="J106" i="20"/>
  <c r="J97" i="20"/>
  <c r="J88" i="20"/>
  <c r="J79" i="20"/>
  <c r="J70" i="20"/>
  <c r="J179" i="20"/>
  <c r="J165" i="20"/>
  <c r="J153" i="20"/>
  <c r="J133" i="20"/>
  <c r="J128" i="20"/>
  <c r="J123" i="20"/>
  <c r="J114" i="20"/>
  <c r="J105" i="20"/>
  <c r="J96" i="20"/>
  <c r="J87" i="20"/>
  <c r="J78" i="20"/>
  <c r="J69" i="20"/>
  <c r="J167" i="20"/>
  <c r="J168" i="20"/>
  <c r="J127" i="20"/>
  <c r="J122" i="20"/>
  <c r="J113" i="20"/>
  <c r="J104" i="20"/>
  <c r="J95" i="20"/>
  <c r="J185" i="20"/>
  <c r="J158" i="20"/>
  <c r="J137" i="20"/>
  <c r="J140" i="20"/>
  <c r="J129" i="20"/>
  <c r="J98" i="20"/>
  <c r="J176" i="20"/>
  <c r="J171" i="20"/>
  <c r="J139" i="20"/>
  <c r="J119" i="20"/>
  <c r="J107" i="20"/>
  <c r="J80" i="20"/>
  <c r="J71" i="20"/>
  <c r="J67" i="20"/>
  <c r="J64" i="20"/>
  <c r="J61" i="20"/>
  <c r="J51" i="20"/>
  <c r="J42" i="20"/>
  <c r="J36" i="20"/>
  <c r="J33" i="20"/>
  <c r="J30" i="20"/>
  <c r="J27" i="20"/>
  <c r="J24" i="20"/>
  <c r="J21" i="20"/>
  <c r="J18" i="20"/>
  <c r="J15" i="20"/>
  <c r="J12" i="20"/>
  <c r="J9" i="20"/>
  <c r="J6" i="20"/>
  <c r="J3" i="20"/>
  <c r="J173" i="20"/>
  <c r="J138" i="20"/>
  <c r="J118" i="20"/>
  <c r="J110" i="20"/>
  <c r="J100" i="20"/>
  <c r="J66" i="20"/>
  <c r="J65" i="20"/>
  <c r="J63" i="20"/>
  <c r="J62" i="20"/>
  <c r="J60" i="20"/>
  <c r="J55" i="20"/>
  <c r="J46" i="20"/>
  <c r="J126" i="20"/>
  <c r="J117" i="20"/>
  <c r="J103" i="20"/>
  <c r="J91" i="20"/>
  <c r="J89" i="20"/>
  <c r="J68" i="20"/>
  <c r="J183" i="20"/>
  <c r="J170" i="20"/>
  <c r="J156" i="20"/>
  <c r="J81" i="20"/>
  <c r="J72" i="20"/>
  <c r="J59" i="20"/>
  <c r="J50" i="20"/>
  <c r="J41" i="20"/>
  <c r="J135" i="20"/>
  <c r="J116" i="20"/>
  <c r="J99" i="20"/>
  <c r="J54" i="20"/>
  <c r="J45" i="20"/>
  <c r="J37" i="20"/>
  <c r="J34" i="20"/>
  <c r="J31" i="20"/>
  <c r="J28" i="20"/>
  <c r="J25" i="20"/>
  <c r="J22" i="20"/>
  <c r="J19" i="20"/>
  <c r="J16" i="20"/>
  <c r="J13" i="20"/>
  <c r="J10" i="20"/>
  <c r="J7" i="20"/>
  <c r="J4" i="20"/>
  <c r="J180" i="20"/>
  <c r="J147" i="20"/>
  <c r="J144" i="20"/>
  <c r="J109" i="20"/>
  <c r="J58" i="20"/>
  <c r="J49" i="20"/>
  <c r="J40" i="20"/>
  <c r="J149" i="20"/>
  <c r="J112" i="20"/>
  <c r="J182" i="20"/>
  <c r="J177" i="20"/>
  <c r="J143" i="20"/>
  <c r="J132" i="20"/>
  <c r="J90" i="20"/>
  <c r="J82" i="20"/>
  <c r="J73" i="20"/>
  <c r="J53" i="20"/>
  <c r="J44" i="20"/>
  <c r="J150" i="20"/>
  <c r="J142" i="20"/>
  <c r="J131" i="20"/>
  <c r="J108" i="20"/>
  <c r="J92" i="20"/>
  <c r="J85" i="20"/>
  <c r="J76" i="20"/>
  <c r="J57" i="20"/>
  <c r="J48" i="20"/>
  <c r="J39" i="20"/>
  <c r="J35" i="20"/>
  <c r="J32" i="20"/>
  <c r="J29" i="20"/>
  <c r="J26" i="20"/>
  <c r="J23" i="20"/>
  <c r="J20" i="20"/>
  <c r="J17" i="20"/>
  <c r="J14" i="20"/>
  <c r="J11" i="20"/>
  <c r="J8" i="20"/>
  <c r="J5" i="20"/>
  <c r="J83" i="20"/>
  <c r="J43" i="20"/>
  <c r="J86" i="20"/>
  <c r="K1" i="20"/>
  <c r="J94" i="20"/>
  <c r="J56" i="20"/>
  <c r="J101" i="20"/>
  <c r="J74" i="20"/>
  <c r="J77" i="20"/>
  <c r="J47" i="20"/>
  <c r="J38" i="20"/>
  <c r="J52" i="20"/>
  <c r="J121" i="20"/>
  <c r="I179" i="25"/>
  <c r="I178" i="25"/>
  <c r="I176" i="25"/>
  <c r="I173" i="25"/>
  <c r="I170" i="25"/>
  <c r="I167" i="25"/>
  <c r="I164" i="25"/>
  <c r="I161" i="25"/>
  <c r="I158" i="25"/>
  <c r="I155" i="25"/>
  <c r="I152" i="25"/>
  <c r="I149" i="25"/>
  <c r="I146" i="25"/>
  <c r="I143" i="25"/>
  <c r="I140" i="25"/>
  <c r="I137" i="25"/>
  <c r="I177" i="25"/>
  <c r="I174" i="25"/>
  <c r="I171" i="25"/>
  <c r="I168" i="25"/>
  <c r="I165" i="25"/>
  <c r="I162" i="25"/>
  <c r="I159" i="25"/>
  <c r="I156" i="25"/>
  <c r="I153" i="25"/>
  <c r="I150" i="25"/>
  <c r="I147" i="25"/>
  <c r="I144" i="25"/>
  <c r="I141" i="25"/>
  <c r="I138" i="25"/>
  <c r="I135" i="25"/>
  <c r="I169" i="25"/>
  <c r="I160" i="25"/>
  <c r="I151" i="25"/>
  <c r="I142" i="25"/>
  <c r="I129" i="25"/>
  <c r="I126" i="25"/>
  <c r="I175" i="25"/>
  <c r="I166" i="25"/>
  <c r="I157" i="25"/>
  <c r="I148" i="25"/>
  <c r="I139" i="25"/>
  <c r="I124" i="25"/>
  <c r="I119" i="25"/>
  <c r="I116" i="25"/>
  <c r="I128" i="25"/>
  <c r="I130" i="25"/>
  <c r="I163" i="25"/>
  <c r="I145" i="25"/>
  <c r="I98" i="25"/>
  <c r="I94" i="25"/>
  <c r="I91" i="25"/>
  <c r="I88" i="25"/>
  <c r="I85" i="25"/>
  <c r="I82" i="25"/>
  <c r="I79" i="25"/>
  <c r="I76" i="25"/>
  <c r="I115" i="25"/>
  <c r="I114" i="25"/>
  <c r="I113" i="25"/>
  <c r="I112" i="25"/>
  <c r="I111" i="25"/>
  <c r="I110" i="25"/>
  <c r="I172" i="25"/>
  <c r="I122" i="25"/>
  <c r="I121" i="25"/>
  <c r="I97" i="25"/>
  <c r="I132" i="25"/>
  <c r="I123" i="25"/>
  <c r="I101" i="25"/>
  <c r="I95" i="25"/>
  <c r="I92" i="25"/>
  <c r="I89" i="25"/>
  <c r="I86" i="25"/>
  <c r="I83" i="25"/>
  <c r="I80" i="25"/>
  <c r="I77" i="25"/>
  <c r="I133" i="25"/>
  <c r="I70" i="25"/>
  <c r="I67" i="25"/>
  <c r="I64" i="25"/>
  <c r="I61" i="25"/>
  <c r="I58" i="25"/>
  <c r="I55" i="25"/>
  <c r="I52" i="25"/>
  <c r="I49" i="25"/>
  <c r="I46" i="25"/>
  <c r="I43" i="25"/>
  <c r="I136" i="25"/>
  <c r="I108" i="25"/>
  <c r="I105" i="25"/>
  <c r="I102" i="25"/>
  <c r="I100" i="25"/>
  <c r="I125" i="25"/>
  <c r="I96" i="25"/>
  <c r="I87" i="25"/>
  <c r="I78" i="25"/>
  <c r="I72" i="25"/>
  <c r="I134" i="25"/>
  <c r="I127" i="25"/>
  <c r="I107" i="25"/>
  <c r="I104" i="25"/>
  <c r="I109" i="25"/>
  <c r="I106" i="25"/>
  <c r="I103" i="25"/>
  <c r="I44" i="25"/>
  <c r="I39" i="25"/>
  <c r="I36" i="25"/>
  <c r="I33" i="25"/>
  <c r="I30" i="25"/>
  <c r="I27" i="25"/>
  <c r="I24" i="25"/>
  <c r="I21" i="25"/>
  <c r="I18" i="25"/>
  <c r="I15" i="25"/>
  <c r="I12" i="25"/>
  <c r="I9" i="25"/>
  <c r="I81" i="25"/>
  <c r="I45" i="25"/>
  <c r="I154" i="25"/>
  <c r="I99" i="25"/>
  <c r="I42" i="25"/>
  <c r="I131" i="25"/>
  <c r="I118" i="25"/>
  <c r="I40" i="25"/>
  <c r="I37" i="25"/>
  <c r="I34" i="25"/>
  <c r="I31" i="25"/>
  <c r="I28" i="25"/>
  <c r="I25" i="25"/>
  <c r="I22" i="25"/>
  <c r="I19" i="25"/>
  <c r="I16" i="25"/>
  <c r="I13" i="25"/>
  <c r="I10" i="25"/>
  <c r="I93" i="25"/>
  <c r="I90" i="25"/>
  <c r="I75" i="25"/>
  <c r="I74" i="25"/>
  <c r="I69" i="25"/>
  <c r="I66" i="25"/>
  <c r="I63" i="25"/>
  <c r="I60" i="25"/>
  <c r="I57" i="25"/>
  <c r="I54" i="25"/>
  <c r="I51" i="25"/>
  <c r="I48" i="25"/>
  <c r="I84" i="25"/>
  <c r="I71" i="25"/>
  <c r="I68" i="25"/>
  <c r="I65" i="25"/>
  <c r="I62" i="25"/>
  <c r="I59" i="25"/>
  <c r="I56" i="25"/>
  <c r="I53" i="25"/>
  <c r="I50" i="25"/>
  <c r="I47" i="25"/>
  <c r="I120" i="25"/>
  <c r="I7" i="25"/>
  <c r="I4" i="25"/>
  <c r="J1" i="25"/>
  <c r="I117" i="25"/>
  <c r="I41" i="25"/>
  <c r="I38" i="25"/>
  <c r="I35" i="25"/>
  <c r="I32" i="25"/>
  <c r="I29" i="25"/>
  <c r="I26" i="25"/>
  <c r="I23" i="25"/>
  <c r="I20" i="25"/>
  <c r="I17" i="25"/>
  <c r="I14" i="25"/>
  <c r="I11" i="25"/>
  <c r="I5" i="25"/>
  <c r="I8" i="25"/>
  <c r="I6" i="25"/>
  <c r="I3" i="25"/>
  <c r="I73" i="25"/>
  <c r="I191" i="16"/>
  <c r="I188" i="16"/>
  <c r="I185" i="16"/>
  <c r="I182" i="16"/>
  <c r="I179" i="16"/>
  <c r="I192" i="16"/>
  <c r="I189" i="16"/>
  <c r="I186" i="16"/>
  <c r="I183" i="16"/>
  <c r="I180" i="16"/>
  <c r="I177" i="16"/>
  <c r="I193" i="16"/>
  <c r="I190" i="16"/>
  <c r="I187" i="16"/>
  <c r="I184" i="16"/>
  <c r="I181" i="16"/>
  <c r="I178" i="16"/>
  <c r="I143" i="16"/>
  <c r="I140" i="16"/>
  <c r="I67" i="16"/>
  <c r="I64" i="16"/>
  <c r="I61" i="16"/>
  <c r="I58" i="16"/>
  <c r="I55" i="16"/>
  <c r="I52" i="16"/>
  <c r="I49" i="16"/>
  <c r="I46" i="16"/>
  <c r="I43" i="16"/>
  <c r="I40" i="16"/>
  <c r="I37" i="16"/>
  <c r="I34" i="16"/>
  <c r="I31" i="16"/>
  <c r="I28" i="16"/>
  <c r="I25" i="16"/>
  <c r="I22" i="16"/>
  <c r="I19" i="16"/>
  <c r="I16" i="16"/>
  <c r="I13" i="16"/>
  <c r="I10" i="16"/>
  <c r="I7" i="16"/>
  <c r="I4" i="16"/>
  <c r="I127" i="16"/>
  <c r="I176" i="16"/>
  <c r="I173" i="16"/>
  <c r="I170" i="16"/>
  <c r="I167" i="16"/>
  <c r="I164" i="16"/>
  <c r="I161" i="16"/>
  <c r="I158" i="16"/>
  <c r="I155" i="16"/>
  <c r="I152" i="16"/>
  <c r="I149" i="16"/>
  <c r="I146" i="16"/>
  <c r="I141" i="16"/>
  <c r="I136" i="16"/>
  <c r="I134" i="16"/>
  <c r="I131" i="16"/>
  <c r="I142" i="16"/>
  <c r="I66" i="16"/>
  <c r="I63" i="16"/>
  <c r="I60" i="16"/>
  <c r="I57" i="16"/>
  <c r="I54" i="16"/>
  <c r="I51" i="16"/>
  <c r="I48" i="16"/>
  <c r="I45" i="16"/>
  <c r="I42" i="16"/>
  <c r="I39" i="16"/>
  <c r="I36" i="16"/>
  <c r="I33" i="16"/>
  <c r="I30" i="16"/>
  <c r="I27" i="16"/>
  <c r="I24" i="16"/>
  <c r="I21" i="16"/>
  <c r="I18" i="16"/>
  <c r="I15" i="16"/>
  <c r="I12" i="16"/>
  <c r="I9" i="16"/>
  <c r="I6" i="16"/>
  <c r="I3" i="16"/>
  <c r="I130" i="16"/>
  <c r="I125" i="16"/>
  <c r="I116" i="16"/>
  <c r="I107" i="16"/>
  <c r="I98" i="16"/>
  <c r="I89" i="16"/>
  <c r="I80" i="16"/>
  <c r="I71" i="16"/>
  <c r="I168" i="16"/>
  <c r="I159" i="16"/>
  <c r="I150" i="16"/>
  <c r="I128" i="16"/>
  <c r="I121" i="16"/>
  <c r="I112" i="16"/>
  <c r="I103" i="16"/>
  <c r="I94" i="16"/>
  <c r="I85" i="16"/>
  <c r="I76" i="16"/>
  <c r="I175" i="16"/>
  <c r="I166" i="16"/>
  <c r="I157" i="16"/>
  <c r="I148" i="16"/>
  <c r="I139" i="16"/>
  <c r="I137" i="16"/>
  <c r="I126" i="16"/>
  <c r="I117" i="16"/>
  <c r="I108" i="16"/>
  <c r="I99" i="16"/>
  <c r="I90" i="16"/>
  <c r="I81" i="16"/>
  <c r="I72" i="16"/>
  <c r="I135" i="16"/>
  <c r="I122" i="16"/>
  <c r="I104" i="16"/>
  <c r="I86" i="16"/>
  <c r="I133" i="16"/>
  <c r="I113" i="16"/>
  <c r="I95" i="16"/>
  <c r="I77" i="16"/>
  <c r="I171" i="16"/>
  <c r="I162" i="16"/>
  <c r="I153" i="16"/>
  <c r="I144" i="16"/>
  <c r="I118" i="16"/>
  <c r="I109" i="16"/>
  <c r="I100" i="16"/>
  <c r="I91" i="16"/>
  <c r="I82" i="16"/>
  <c r="I73" i="16"/>
  <c r="I169" i="16"/>
  <c r="I160" i="16"/>
  <c r="I151" i="16"/>
  <c r="I129" i="16"/>
  <c r="I123" i="16"/>
  <c r="I114" i="16"/>
  <c r="I105" i="16"/>
  <c r="I96" i="16"/>
  <c r="I87" i="16"/>
  <c r="I78" i="16"/>
  <c r="J1" i="16"/>
  <c r="I138" i="16"/>
  <c r="I101" i="16"/>
  <c r="I74" i="16"/>
  <c r="I119" i="16"/>
  <c r="I110" i="16"/>
  <c r="I92" i="16"/>
  <c r="I69" i="16"/>
  <c r="I68" i="16"/>
  <c r="I65" i="16"/>
  <c r="I62" i="16"/>
  <c r="I59" i="16"/>
  <c r="I56" i="16"/>
  <c r="I53" i="16"/>
  <c r="I47" i="16"/>
  <c r="I26" i="16"/>
  <c r="I20" i="16"/>
  <c r="I11" i="16"/>
  <c r="I5" i="16"/>
  <c r="I132" i="16"/>
  <c r="I83" i="16"/>
  <c r="I50" i="16"/>
  <c r="I44" i="16"/>
  <c r="I41" i="16"/>
  <c r="I38" i="16"/>
  <c r="I35" i="16"/>
  <c r="I32" i="16"/>
  <c r="I29" i="16"/>
  <c r="I23" i="16"/>
  <c r="I17" i="16"/>
  <c r="I14" i="16"/>
  <c r="I8" i="16"/>
  <c r="I174" i="16"/>
  <c r="I165" i="16"/>
  <c r="I156" i="16"/>
  <c r="I147" i="16"/>
  <c r="I124" i="16"/>
  <c r="I115" i="16"/>
  <c r="I106" i="16"/>
  <c r="I97" i="16"/>
  <c r="I88" i="16"/>
  <c r="I79" i="16"/>
  <c r="I70" i="16"/>
  <c r="I172" i="16"/>
  <c r="I163" i="16"/>
  <c r="I154" i="16"/>
  <c r="I145" i="16"/>
  <c r="I120" i="16"/>
  <c r="I111" i="16"/>
  <c r="I102" i="16"/>
  <c r="I93" i="16"/>
  <c r="I84" i="16"/>
  <c r="I75" i="16"/>
  <c r="H189" i="19"/>
  <c r="H186" i="19"/>
  <c r="H183" i="19"/>
  <c r="H180" i="19"/>
  <c r="H177" i="19"/>
  <c r="H185" i="19"/>
  <c r="H176" i="19"/>
  <c r="H138" i="19"/>
  <c r="H133" i="19"/>
  <c r="H65" i="19"/>
  <c r="H62" i="19"/>
  <c r="H59" i="19"/>
  <c r="H56" i="19"/>
  <c r="H53" i="19"/>
  <c r="H50" i="19"/>
  <c r="H47" i="19"/>
  <c r="H44" i="19"/>
  <c r="H41" i="19"/>
  <c r="H38" i="19"/>
  <c r="H35" i="19"/>
  <c r="H32" i="19"/>
  <c r="H29" i="19"/>
  <c r="H26" i="19"/>
  <c r="H23" i="19"/>
  <c r="H20" i="19"/>
  <c r="H17" i="19"/>
  <c r="H14" i="19"/>
  <c r="H11" i="19"/>
  <c r="H8" i="19"/>
  <c r="H5" i="19"/>
  <c r="H184" i="19"/>
  <c r="H174" i="19"/>
  <c r="H171" i="19"/>
  <c r="H168" i="19"/>
  <c r="H165" i="19"/>
  <c r="H162" i="19"/>
  <c r="H159" i="19"/>
  <c r="H156" i="19"/>
  <c r="H153" i="19"/>
  <c r="H150" i="19"/>
  <c r="H147" i="19"/>
  <c r="H144" i="19"/>
  <c r="H141" i="19"/>
  <c r="H125" i="19"/>
  <c r="H122" i="19"/>
  <c r="H119" i="19"/>
  <c r="H116" i="19"/>
  <c r="H113" i="19"/>
  <c r="H110" i="19"/>
  <c r="H107" i="19"/>
  <c r="H104" i="19"/>
  <c r="H101" i="19"/>
  <c r="H98" i="19"/>
  <c r="H95" i="19"/>
  <c r="H92" i="19"/>
  <c r="H89" i="19"/>
  <c r="H86" i="19"/>
  <c r="H83" i="19"/>
  <c r="H80" i="19"/>
  <c r="H77" i="19"/>
  <c r="H74" i="19"/>
  <c r="H71" i="19"/>
  <c r="H68" i="19"/>
  <c r="H131" i="19"/>
  <c r="H128" i="19"/>
  <c r="H129" i="19"/>
  <c r="H134" i="19"/>
  <c r="H132" i="19"/>
  <c r="H67" i="19"/>
  <c r="H58" i="19"/>
  <c r="H49" i="19"/>
  <c r="H40" i="19"/>
  <c r="H31" i="19"/>
  <c r="H22" i="19"/>
  <c r="H13" i="19"/>
  <c r="H4" i="19"/>
  <c r="H172" i="19"/>
  <c r="H163" i="19"/>
  <c r="H154" i="19"/>
  <c r="H145" i="19"/>
  <c r="H121" i="19"/>
  <c r="H112" i="19"/>
  <c r="H103" i="19"/>
  <c r="H94" i="19"/>
  <c r="H85" i="19"/>
  <c r="H76" i="19"/>
  <c r="H130" i="19"/>
  <c r="H63" i="19"/>
  <c r="H54" i="19"/>
  <c r="H45" i="19"/>
  <c r="H36" i="19"/>
  <c r="H27" i="19"/>
  <c r="H18" i="19"/>
  <c r="H9" i="19"/>
  <c r="H170" i="19"/>
  <c r="H161" i="19"/>
  <c r="H152" i="19"/>
  <c r="H143" i="19"/>
  <c r="H126" i="19"/>
  <c r="H117" i="19"/>
  <c r="H108" i="19"/>
  <c r="H99" i="19"/>
  <c r="H90" i="19"/>
  <c r="H81" i="19"/>
  <c r="H72" i="19"/>
  <c r="H175" i="19"/>
  <c r="H166" i="19"/>
  <c r="H157" i="19"/>
  <c r="H148" i="19"/>
  <c r="H124" i="19"/>
  <c r="H115" i="19"/>
  <c r="H106" i="19"/>
  <c r="H97" i="19"/>
  <c r="H88" i="19"/>
  <c r="H79" i="19"/>
  <c r="H70" i="19"/>
  <c r="H190" i="19"/>
  <c r="H187" i="19"/>
  <c r="H137" i="19"/>
  <c r="H66" i="19"/>
  <c r="H57" i="19"/>
  <c r="H48" i="19"/>
  <c r="H39" i="19"/>
  <c r="H30" i="19"/>
  <c r="H21" i="19"/>
  <c r="H12" i="19"/>
  <c r="H3" i="19"/>
  <c r="H182" i="19"/>
  <c r="H179" i="19"/>
  <c r="H64" i="19"/>
  <c r="H55" i="19"/>
  <c r="H46" i="19"/>
  <c r="H37" i="19"/>
  <c r="H28" i="19"/>
  <c r="H19" i="19"/>
  <c r="H10" i="19"/>
  <c r="H146" i="19"/>
  <c r="H118" i="19"/>
  <c r="H84" i="19"/>
  <c r="H78" i="19"/>
  <c r="H34" i="19"/>
  <c r="H169" i="19"/>
  <c r="H155" i="19"/>
  <c r="H149" i="19"/>
  <c r="H178" i="19"/>
  <c r="H164" i="19"/>
  <c r="H158" i="19"/>
  <c r="H102" i="19"/>
  <c r="H96" i="19"/>
  <c r="H82" i="19"/>
  <c r="H181" i="19"/>
  <c r="H173" i="19"/>
  <c r="H167" i="19"/>
  <c r="H139" i="19"/>
  <c r="H136" i="19"/>
  <c r="H111" i="19"/>
  <c r="H105" i="19"/>
  <c r="H91" i="19"/>
  <c r="H142" i="19"/>
  <c r="H188" i="19"/>
  <c r="H120" i="19"/>
  <c r="H114" i="19"/>
  <c r="H100" i="19"/>
  <c r="H60" i="19"/>
  <c r="H151" i="19"/>
  <c r="H135" i="19"/>
  <c r="H69" i="19"/>
  <c r="H33" i="19"/>
  <c r="H25" i="19"/>
  <c r="H7" i="19"/>
  <c r="I1" i="19"/>
  <c r="H160" i="19"/>
  <c r="H127" i="19"/>
  <c r="H15" i="19"/>
  <c r="H140" i="19"/>
  <c r="H87" i="19"/>
  <c r="H43" i="19"/>
  <c r="H75" i="19"/>
  <c r="H73" i="19"/>
  <c r="H52" i="19"/>
  <c r="H123" i="19"/>
  <c r="H24" i="19"/>
  <c r="H16" i="19"/>
  <c r="H6" i="19"/>
  <c r="H51" i="19"/>
  <c r="H42" i="19"/>
  <c r="H93" i="19"/>
  <c r="H109" i="19"/>
  <c r="H61" i="19"/>
  <c r="H190" i="18"/>
  <c r="H187" i="18"/>
  <c r="H184" i="18"/>
  <c r="H181" i="18"/>
  <c r="H178" i="18"/>
  <c r="H175" i="18"/>
  <c r="H172" i="18"/>
  <c r="H169" i="18"/>
  <c r="H166" i="18"/>
  <c r="H163" i="18"/>
  <c r="H160" i="18"/>
  <c r="H157" i="18"/>
  <c r="H154" i="18"/>
  <c r="H151" i="18"/>
  <c r="H141" i="18"/>
  <c r="H142" i="18"/>
  <c r="H137" i="18"/>
  <c r="H185" i="18"/>
  <c r="H176" i="18"/>
  <c r="H167" i="18"/>
  <c r="H183" i="18"/>
  <c r="H171" i="18"/>
  <c r="H170" i="18"/>
  <c r="H164" i="18"/>
  <c r="H152" i="18"/>
  <c r="H186" i="18"/>
  <c r="H168" i="18"/>
  <c r="H156" i="18"/>
  <c r="H149" i="18"/>
  <c r="H68" i="18"/>
  <c r="H65" i="18"/>
  <c r="H62" i="18"/>
  <c r="H59" i="18"/>
  <c r="H56" i="18"/>
  <c r="H53" i="18"/>
  <c r="H50" i="18"/>
  <c r="H47" i="18"/>
  <c r="H44" i="18"/>
  <c r="H41" i="18"/>
  <c r="H38" i="18"/>
  <c r="H35" i="18"/>
  <c r="H32" i="18"/>
  <c r="H29" i="18"/>
  <c r="H26" i="18"/>
  <c r="H23" i="18"/>
  <c r="H20" i="18"/>
  <c r="H17" i="18"/>
  <c r="H14" i="18"/>
  <c r="H11" i="18"/>
  <c r="H8" i="18"/>
  <c r="H5" i="18"/>
  <c r="H177" i="18"/>
  <c r="H155" i="18"/>
  <c r="H139" i="18"/>
  <c r="H138" i="18"/>
  <c r="H66" i="18"/>
  <c r="H63" i="18"/>
  <c r="H60" i="18"/>
  <c r="H57" i="18"/>
  <c r="H54" i="18"/>
  <c r="H51" i="18"/>
  <c r="H48" i="18"/>
  <c r="H45" i="18"/>
  <c r="H42" i="18"/>
  <c r="H39" i="18"/>
  <c r="H36" i="18"/>
  <c r="H33" i="18"/>
  <c r="H30" i="18"/>
  <c r="H27" i="18"/>
  <c r="H24" i="18"/>
  <c r="H21" i="18"/>
  <c r="H18" i="18"/>
  <c r="H15" i="18"/>
  <c r="H12" i="18"/>
  <c r="H9" i="18"/>
  <c r="H6" i="18"/>
  <c r="H3" i="18"/>
  <c r="H144" i="18"/>
  <c r="H135" i="18"/>
  <c r="H130" i="18"/>
  <c r="H125" i="18"/>
  <c r="H116" i="18"/>
  <c r="H107" i="18"/>
  <c r="H98" i="18"/>
  <c r="H89" i="18"/>
  <c r="H80" i="18"/>
  <c r="H71" i="18"/>
  <c r="H180" i="18"/>
  <c r="H153" i="18"/>
  <c r="H120" i="18"/>
  <c r="H111" i="18"/>
  <c r="H102" i="18"/>
  <c r="H93" i="18"/>
  <c r="H84" i="18"/>
  <c r="H75" i="18"/>
  <c r="H134" i="18"/>
  <c r="H129" i="18"/>
  <c r="H61" i="18"/>
  <c r="H52" i="18"/>
  <c r="H43" i="18"/>
  <c r="H34" i="18"/>
  <c r="H25" i="18"/>
  <c r="H16" i="18"/>
  <c r="H7" i="18"/>
  <c r="I1" i="18"/>
  <c r="H188" i="18"/>
  <c r="H124" i="18"/>
  <c r="H115" i="18"/>
  <c r="H106" i="18"/>
  <c r="H97" i="18"/>
  <c r="H88" i="18"/>
  <c r="H79" i="18"/>
  <c r="H70" i="18"/>
  <c r="H173" i="18"/>
  <c r="H150" i="18"/>
  <c r="H140" i="18"/>
  <c r="H133" i="18"/>
  <c r="H128" i="18"/>
  <c r="H119" i="18"/>
  <c r="H110" i="18"/>
  <c r="H101" i="18"/>
  <c r="H92" i="18"/>
  <c r="H83" i="18"/>
  <c r="H74" i="18"/>
  <c r="H191" i="18"/>
  <c r="H165" i="18"/>
  <c r="H162" i="18"/>
  <c r="H147" i="18"/>
  <c r="H123" i="18"/>
  <c r="H114" i="18"/>
  <c r="H105" i="18"/>
  <c r="H161" i="18"/>
  <c r="H145" i="18"/>
  <c r="H132" i="18"/>
  <c r="H174" i="18"/>
  <c r="H182" i="18"/>
  <c r="H46" i="18"/>
  <c r="H19" i="18"/>
  <c r="H13" i="18"/>
  <c r="H122" i="18"/>
  <c r="H109" i="18"/>
  <c r="H108" i="18"/>
  <c r="H96" i="18"/>
  <c r="H87" i="18"/>
  <c r="H69" i="18"/>
  <c r="H121" i="18"/>
  <c r="H49" i="18"/>
  <c r="H159" i="18"/>
  <c r="H95" i="18"/>
  <c r="H86" i="18"/>
  <c r="H76" i="18"/>
  <c r="H55" i="18"/>
  <c r="H10" i="18"/>
  <c r="H4" i="18"/>
  <c r="H72" i="18"/>
  <c r="H189" i="18"/>
  <c r="H179" i="18"/>
  <c r="H136" i="18"/>
  <c r="H127" i="18"/>
  <c r="H126" i="18"/>
  <c r="H113" i="18"/>
  <c r="H78" i="18"/>
  <c r="H148" i="18"/>
  <c r="H143" i="18"/>
  <c r="H112" i="18"/>
  <c r="H64" i="18"/>
  <c r="H37" i="18"/>
  <c r="H28" i="18"/>
  <c r="H22" i="18"/>
  <c r="H158" i="18"/>
  <c r="H100" i="18"/>
  <c r="H91" i="18"/>
  <c r="H82" i="18"/>
  <c r="H146" i="18"/>
  <c r="H118" i="18"/>
  <c r="H117" i="18"/>
  <c r="H104" i="18"/>
  <c r="H31" i="18"/>
  <c r="H77" i="18"/>
  <c r="H40" i="18"/>
  <c r="H131" i="18"/>
  <c r="H99" i="18"/>
  <c r="H94" i="18"/>
  <c r="H58" i="18"/>
  <c r="H90" i="18"/>
  <c r="H67" i="18"/>
  <c r="H73" i="18"/>
  <c r="H103" i="18"/>
  <c r="H85" i="18"/>
  <c r="H192" i="18"/>
  <c r="H81" i="18"/>
  <c r="H174" i="26"/>
  <c r="H171" i="26"/>
  <c r="H168" i="26"/>
  <c r="H165" i="26"/>
  <c r="H162" i="26"/>
  <c r="H159" i="26"/>
  <c r="H170" i="26"/>
  <c r="H161" i="26"/>
  <c r="H172" i="26"/>
  <c r="H163" i="26"/>
  <c r="H156" i="26"/>
  <c r="H153" i="26"/>
  <c r="H150" i="26"/>
  <c r="H147" i="26"/>
  <c r="H144" i="26"/>
  <c r="H141" i="26"/>
  <c r="H138" i="26"/>
  <c r="H135" i="26"/>
  <c r="H176" i="26"/>
  <c r="H167" i="26"/>
  <c r="H169" i="26"/>
  <c r="H157" i="26"/>
  <c r="H148" i="26"/>
  <c r="H139" i="26"/>
  <c r="H127" i="26"/>
  <c r="H123" i="26"/>
  <c r="H114" i="26"/>
  <c r="H110" i="26"/>
  <c r="H107" i="26"/>
  <c r="H104" i="26"/>
  <c r="H101" i="26"/>
  <c r="H98" i="26"/>
  <c r="H95" i="26"/>
  <c r="H92" i="26"/>
  <c r="H89" i="26"/>
  <c r="H86" i="26"/>
  <c r="H83" i="26"/>
  <c r="H80" i="26"/>
  <c r="H77" i="26"/>
  <c r="H74" i="26"/>
  <c r="H71" i="26"/>
  <c r="H175" i="26"/>
  <c r="H158" i="26"/>
  <c r="H149" i="26"/>
  <c r="H140" i="26"/>
  <c r="H160" i="26"/>
  <c r="H151" i="26"/>
  <c r="H142" i="26"/>
  <c r="H133" i="26"/>
  <c r="H173" i="26"/>
  <c r="H131" i="26"/>
  <c r="H128" i="26"/>
  <c r="H124" i="26"/>
  <c r="H115" i="26"/>
  <c r="H111" i="26"/>
  <c r="H108" i="26"/>
  <c r="H105" i="26"/>
  <c r="H102" i="26"/>
  <c r="H99" i="26"/>
  <c r="H96" i="26"/>
  <c r="H93" i="26"/>
  <c r="H90" i="26"/>
  <c r="H87" i="26"/>
  <c r="H84" i="26"/>
  <c r="H81" i="26"/>
  <c r="H78" i="26"/>
  <c r="H75" i="26"/>
  <c r="H72" i="26"/>
  <c r="H166" i="26"/>
  <c r="H152" i="26"/>
  <c r="H143" i="26"/>
  <c r="H134" i="26"/>
  <c r="H132" i="26"/>
  <c r="H130" i="26"/>
  <c r="H154" i="26"/>
  <c r="H145" i="26"/>
  <c r="H136" i="26"/>
  <c r="H155" i="26"/>
  <c r="H146" i="26"/>
  <c r="H137" i="26"/>
  <c r="H116" i="26"/>
  <c r="H113" i="26"/>
  <c r="H109" i="26"/>
  <c r="H106" i="26"/>
  <c r="H103" i="26"/>
  <c r="H100" i="26"/>
  <c r="H97" i="26"/>
  <c r="H94" i="26"/>
  <c r="H91" i="26"/>
  <c r="H88" i="26"/>
  <c r="H85" i="26"/>
  <c r="H82" i="26"/>
  <c r="H79" i="26"/>
  <c r="H76" i="26"/>
  <c r="H73" i="26"/>
  <c r="H125" i="26"/>
  <c r="H70" i="26"/>
  <c r="H67" i="26"/>
  <c r="H64" i="26"/>
  <c r="H61" i="26"/>
  <c r="H58" i="26"/>
  <c r="H55" i="26"/>
  <c r="H52" i="26"/>
  <c r="H129" i="26"/>
  <c r="H69" i="26"/>
  <c r="H66" i="26"/>
  <c r="H63" i="26"/>
  <c r="H60" i="26"/>
  <c r="H57" i="26"/>
  <c r="H54" i="26"/>
  <c r="H65" i="26"/>
  <c r="H56" i="26"/>
  <c r="H48" i="26"/>
  <c r="H45" i="26"/>
  <c r="H42" i="26"/>
  <c r="H39" i="26"/>
  <c r="H36" i="26"/>
  <c r="H33" i="26"/>
  <c r="H30" i="26"/>
  <c r="H27" i="26"/>
  <c r="H24" i="26"/>
  <c r="H21" i="26"/>
  <c r="H18" i="26"/>
  <c r="H15" i="26"/>
  <c r="H12" i="26"/>
  <c r="H9" i="26"/>
  <c r="H6" i="26"/>
  <c r="H3" i="26"/>
  <c r="H68" i="26"/>
  <c r="H59" i="26"/>
  <c r="H49" i="26"/>
  <c r="H46" i="26"/>
  <c r="H43" i="26"/>
  <c r="H40" i="26"/>
  <c r="H37" i="26"/>
  <c r="H34" i="26"/>
  <c r="H31" i="26"/>
  <c r="H28" i="26"/>
  <c r="H25" i="26"/>
  <c r="H22" i="26"/>
  <c r="H19" i="26"/>
  <c r="H16" i="26"/>
  <c r="H13" i="26"/>
  <c r="H10" i="26"/>
  <c r="H7" i="26"/>
  <c r="H4" i="26"/>
  <c r="H164" i="26"/>
  <c r="I1" i="26"/>
  <c r="H62" i="26"/>
  <c r="H44" i="26"/>
  <c r="H53" i="26"/>
  <c r="H51" i="26"/>
  <c r="H26" i="26"/>
  <c r="H23" i="26"/>
  <c r="H20" i="26"/>
  <c r="H17" i="26"/>
  <c r="H47" i="26"/>
  <c r="H41" i="26"/>
  <c r="H38" i="26"/>
  <c r="H14" i="26"/>
  <c r="H11" i="26"/>
  <c r="H32" i="26"/>
  <c r="H29" i="26"/>
  <c r="H5" i="26"/>
  <c r="H8" i="26"/>
  <c r="H50" i="26"/>
  <c r="H35" i="26"/>
  <c r="H184" i="23"/>
  <c r="H181" i="23"/>
  <c r="H178" i="23"/>
  <c r="H175" i="23"/>
  <c r="H172" i="23"/>
  <c r="H169" i="23"/>
  <c r="H166" i="23"/>
  <c r="H163" i="23"/>
  <c r="H160" i="23"/>
  <c r="H157" i="23"/>
  <c r="H154" i="23"/>
  <c r="H151" i="23"/>
  <c r="H148" i="23"/>
  <c r="H145" i="23"/>
  <c r="H142" i="23"/>
  <c r="H139" i="23"/>
  <c r="H136" i="23"/>
  <c r="H126" i="23"/>
  <c r="H123" i="23"/>
  <c r="H131" i="23"/>
  <c r="H134" i="23"/>
  <c r="H185" i="23"/>
  <c r="H182" i="23"/>
  <c r="H179" i="23"/>
  <c r="H176" i="23"/>
  <c r="H173" i="23"/>
  <c r="H170" i="23"/>
  <c r="H167" i="23"/>
  <c r="H164" i="23"/>
  <c r="H161" i="23"/>
  <c r="H158" i="23"/>
  <c r="H155" i="23"/>
  <c r="H152" i="23"/>
  <c r="H149" i="23"/>
  <c r="H146" i="23"/>
  <c r="H143" i="23"/>
  <c r="H140" i="23"/>
  <c r="H137" i="23"/>
  <c r="H129" i="23"/>
  <c r="H121" i="23"/>
  <c r="H127" i="23"/>
  <c r="H135" i="23"/>
  <c r="H132" i="23"/>
  <c r="H122" i="23"/>
  <c r="H117" i="23"/>
  <c r="H114" i="23"/>
  <c r="H111" i="23"/>
  <c r="H108" i="23"/>
  <c r="H105" i="23"/>
  <c r="H102" i="23"/>
  <c r="H99" i="23"/>
  <c r="H96" i="23"/>
  <c r="H93" i="23"/>
  <c r="H90" i="23"/>
  <c r="H87" i="23"/>
  <c r="H84" i="23"/>
  <c r="H130" i="23"/>
  <c r="H118" i="23"/>
  <c r="H115" i="23"/>
  <c r="H112" i="23"/>
  <c r="H109" i="23"/>
  <c r="H106" i="23"/>
  <c r="H103" i="23"/>
  <c r="H100" i="23"/>
  <c r="H97" i="23"/>
  <c r="H183" i="23"/>
  <c r="H156" i="23"/>
  <c r="H125" i="23"/>
  <c r="H110" i="23"/>
  <c r="H177" i="23"/>
  <c r="H162" i="23"/>
  <c r="H150" i="23"/>
  <c r="H92" i="23"/>
  <c r="H128" i="23"/>
  <c r="H116" i="23"/>
  <c r="H107" i="23"/>
  <c r="H180" i="23"/>
  <c r="H168" i="23"/>
  <c r="H153" i="23"/>
  <c r="H141" i="23"/>
  <c r="H174" i="23"/>
  <c r="H133" i="23"/>
  <c r="H95" i="23"/>
  <c r="H94" i="23"/>
  <c r="H124" i="23"/>
  <c r="H98" i="23"/>
  <c r="H91" i="23"/>
  <c r="H147" i="23"/>
  <c r="H113" i="23"/>
  <c r="H86" i="23"/>
  <c r="H81" i="23"/>
  <c r="H78" i="23"/>
  <c r="H75" i="23"/>
  <c r="H72" i="23"/>
  <c r="H69" i="23"/>
  <c r="H66" i="23"/>
  <c r="H63" i="23"/>
  <c r="H60" i="23"/>
  <c r="H57" i="23"/>
  <c r="H54" i="23"/>
  <c r="H51" i="23"/>
  <c r="H48" i="23"/>
  <c r="H144" i="23"/>
  <c r="H138" i="23"/>
  <c r="H119" i="23"/>
  <c r="H101" i="23"/>
  <c r="H159" i="23"/>
  <c r="H85" i="23"/>
  <c r="H165" i="23"/>
  <c r="H88" i="23"/>
  <c r="H120" i="23"/>
  <c r="H83" i="23"/>
  <c r="H80" i="23"/>
  <c r="H77" i="23"/>
  <c r="H74" i="23"/>
  <c r="H71" i="23"/>
  <c r="H68" i="23"/>
  <c r="H65" i="23"/>
  <c r="H62" i="23"/>
  <c r="H59" i="23"/>
  <c r="H56" i="23"/>
  <c r="H53" i="23"/>
  <c r="H50" i="23"/>
  <c r="H104" i="23"/>
  <c r="H82" i="23"/>
  <c r="H73" i="23"/>
  <c r="H49" i="23"/>
  <c r="H61" i="23"/>
  <c r="H46" i="23"/>
  <c r="H43" i="23"/>
  <c r="H40" i="23"/>
  <c r="H37" i="23"/>
  <c r="H34" i="23"/>
  <c r="H31" i="23"/>
  <c r="H28" i="23"/>
  <c r="H25" i="23"/>
  <c r="H22" i="23"/>
  <c r="H19" i="23"/>
  <c r="H16" i="23"/>
  <c r="H13" i="23"/>
  <c r="H10" i="23"/>
  <c r="H7" i="23"/>
  <c r="H4" i="23"/>
  <c r="H89" i="23"/>
  <c r="H79" i="23"/>
  <c r="H70" i="23"/>
  <c r="H64" i="23"/>
  <c r="H55" i="23"/>
  <c r="I1" i="23"/>
  <c r="H171" i="23"/>
  <c r="H47" i="23"/>
  <c r="H44" i="23"/>
  <c r="H41" i="23"/>
  <c r="H38" i="23"/>
  <c r="H35" i="23"/>
  <c r="H32" i="23"/>
  <c r="H29" i="23"/>
  <c r="H26" i="23"/>
  <c r="H23" i="23"/>
  <c r="H20" i="23"/>
  <c r="H17" i="23"/>
  <c r="H14" i="23"/>
  <c r="H11" i="23"/>
  <c r="H8" i="23"/>
  <c r="H5" i="23"/>
  <c r="H58" i="23"/>
  <c r="H45" i="23"/>
  <c r="H36" i="23"/>
  <c r="H27" i="23"/>
  <c r="H18" i="23"/>
  <c r="H9" i="23"/>
  <c r="H76" i="23"/>
  <c r="H42" i="23"/>
  <c r="H33" i="23"/>
  <c r="H24" i="23"/>
  <c r="H15" i="23"/>
  <c r="H6" i="23"/>
  <c r="H39" i="23"/>
  <c r="H30" i="23"/>
  <c r="H21" i="23"/>
  <c r="H12" i="23"/>
  <c r="H3" i="23"/>
  <c r="H67" i="23"/>
  <c r="H52" i="23"/>
  <c r="K124" i="22"/>
  <c r="K127" i="22"/>
  <c r="K135" i="22"/>
  <c r="K132" i="22"/>
  <c r="K183" i="22"/>
  <c r="K180" i="22"/>
  <c r="K177" i="22"/>
  <c r="K174" i="22"/>
  <c r="K171" i="22"/>
  <c r="K168" i="22"/>
  <c r="K165" i="22"/>
  <c r="K162" i="22"/>
  <c r="K159" i="22"/>
  <c r="K156" i="22"/>
  <c r="K153" i="22"/>
  <c r="K150" i="22"/>
  <c r="K147" i="22"/>
  <c r="K144" i="22"/>
  <c r="K141" i="22"/>
  <c r="K138" i="22"/>
  <c r="K119" i="22"/>
  <c r="K130" i="22"/>
  <c r="K125" i="22"/>
  <c r="K122" i="22"/>
  <c r="K133" i="22"/>
  <c r="K128" i="22"/>
  <c r="K184" i="22"/>
  <c r="K181" i="22"/>
  <c r="K178" i="22"/>
  <c r="K175" i="22"/>
  <c r="K172" i="22"/>
  <c r="K169" i="22"/>
  <c r="K166" i="22"/>
  <c r="K163" i="22"/>
  <c r="K160" i="22"/>
  <c r="K157" i="22"/>
  <c r="K154" i="22"/>
  <c r="K151" i="22"/>
  <c r="K148" i="22"/>
  <c r="K145" i="22"/>
  <c r="K142" i="22"/>
  <c r="K139" i="22"/>
  <c r="K136" i="22"/>
  <c r="K120" i="22"/>
  <c r="K131" i="22"/>
  <c r="K134" i="22"/>
  <c r="K123" i="22"/>
  <c r="K117" i="22"/>
  <c r="K114" i="22"/>
  <c r="K111" i="22"/>
  <c r="K108" i="22"/>
  <c r="K105" i="22"/>
  <c r="K102" i="22"/>
  <c r="K99" i="22"/>
  <c r="K96" i="22"/>
  <c r="K93" i="22"/>
  <c r="K90" i="22"/>
  <c r="K87" i="22"/>
  <c r="K84" i="22"/>
  <c r="K81" i="22"/>
  <c r="K78" i="22"/>
  <c r="K75" i="22"/>
  <c r="K72" i="22"/>
  <c r="K69" i="22"/>
  <c r="K66" i="22"/>
  <c r="K63" i="22"/>
  <c r="K60" i="22"/>
  <c r="K57" i="22"/>
  <c r="K54" i="22"/>
  <c r="K51" i="22"/>
  <c r="K48" i="22"/>
  <c r="K45" i="22"/>
  <c r="K42" i="22"/>
  <c r="K39" i="22"/>
  <c r="K36" i="22"/>
  <c r="K33" i="22"/>
  <c r="K30" i="22"/>
  <c r="K27" i="22"/>
  <c r="K24" i="22"/>
  <c r="K21" i="22"/>
  <c r="K18" i="22"/>
  <c r="K15" i="22"/>
  <c r="K12" i="22"/>
  <c r="K179" i="22"/>
  <c r="K170" i="22"/>
  <c r="K161" i="22"/>
  <c r="K152" i="22"/>
  <c r="K143" i="22"/>
  <c r="K118" i="22"/>
  <c r="K115" i="22"/>
  <c r="K112" i="22"/>
  <c r="K109" i="22"/>
  <c r="K106" i="22"/>
  <c r="K103" i="22"/>
  <c r="K100" i="22"/>
  <c r="K97" i="22"/>
  <c r="K94" i="22"/>
  <c r="K91" i="22"/>
  <c r="K88" i="22"/>
  <c r="K85" i="22"/>
  <c r="K82" i="22"/>
  <c r="K79" i="22"/>
  <c r="K76" i="22"/>
  <c r="K73" i="22"/>
  <c r="K70" i="22"/>
  <c r="K67" i="22"/>
  <c r="K64" i="22"/>
  <c r="K61" i="22"/>
  <c r="K58" i="22"/>
  <c r="K55" i="22"/>
  <c r="K52" i="22"/>
  <c r="K49" i="22"/>
  <c r="K46" i="22"/>
  <c r="K43" i="22"/>
  <c r="K40" i="22"/>
  <c r="K37" i="22"/>
  <c r="K34" i="22"/>
  <c r="K31" i="22"/>
  <c r="K28" i="22"/>
  <c r="K25" i="22"/>
  <c r="K22" i="22"/>
  <c r="K19" i="22"/>
  <c r="K16" i="22"/>
  <c r="K13" i="22"/>
  <c r="K129" i="22"/>
  <c r="K185" i="22"/>
  <c r="K176" i="22"/>
  <c r="K167" i="22"/>
  <c r="K158" i="22"/>
  <c r="K149" i="22"/>
  <c r="K140" i="22"/>
  <c r="K126" i="22"/>
  <c r="K116" i="22"/>
  <c r="K113" i="22"/>
  <c r="K110" i="22"/>
  <c r="K107" i="22"/>
  <c r="K104" i="22"/>
  <c r="K101" i="22"/>
  <c r="K98" i="22"/>
  <c r="K95" i="22"/>
  <c r="K92" i="22"/>
  <c r="K89" i="22"/>
  <c r="K86" i="22"/>
  <c r="K83" i="22"/>
  <c r="K80" i="22"/>
  <c r="K77" i="22"/>
  <c r="K74" i="22"/>
  <c r="K71" i="22"/>
  <c r="K68" i="22"/>
  <c r="K65" i="22"/>
  <c r="K62" i="22"/>
  <c r="K59" i="22"/>
  <c r="K56" i="22"/>
  <c r="K53" i="22"/>
  <c r="K50" i="22"/>
  <c r="K47" i="22"/>
  <c r="K44" i="22"/>
  <c r="K41" i="22"/>
  <c r="K38" i="22"/>
  <c r="K35" i="22"/>
  <c r="K32" i="22"/>
  <c r="K29" i="22"/>
  <c r="K26" i="22"/>
  <c r="K23" i="22"/>
  <c r="K20" i="22"/>
  <c r="K17" i="22"/>
  <c r="K14" i="22"/>
  <c r="L1" i="22"/>
  <c r="K173" i="22"/>
  <c r="K146" i="22"/>
  <c r="K11" i="22"/>
  <c r="K8" i="22"/>
  <c r="K5" i="22"/>
  <c r="K164" i="22"/>
  <c r="K137" i="22"/>
  <c r="K9" i="22"/>
  <c r="K6" i="22"/>
  <c r="K3" i="22"/>
  <c r="K182" i="22"/>
  <c r="K155" i="22"/>
  <c r="K121" i="22"/>
  <c r="K10" i="22"/>
  <c r="K7" i="22"/>
  <c r="K4" i="22"/>
  <c r="K191" i="17"/>
  <c r="K188" i="17"/>
  <c r="K185" i="17"/>
  <c r="K182" i="17"/>
  <c r="K179" i="17"/>
  <c r="K176" i="17"/>
  <c r="K173" i="17"/>
  <c r="K170" i="17"/>
  <c r="K167" i="17"/>
  <c r="K164" i="17"/>
  <c r="K161" i="17"/>
  <c r="K158" i="17"/>
  <c r="K155" i="17"/>
  <c r="K152" i="17"/>
  <c r="K149" i="17"/>
  <c r="K192" i="17"/>
  <c r="K189" i="17"/>
  <c r="K186" i="17"/>
  <c r="K183" i="17"/>
  <c r="K180" i="17"/>
  <c r="K177" i="17"/>
  <c r="K174" i="17"/>
  <c r="K171" i="17"/>
  <c r="K168" i="17"/>
  <c r="K165" i="17"/>
  <c r="K162" i="17"/>
  <c r="K159" i="17"/>
  <c r="K156" i="17"/>
  <c r="K153" i="17"/>
  <c r="K150" i="17"/>
  <c r="K184" i="17"/>
  <c r="K175" i="17"/>
  <c r="K166" i="17"/>
  <c r="K157" i="17"/>
  <c r="K147" i="17"/>
  <c r="K144" i="17"/>
  <c r="K136" i="17"/>
  <c r="K128" i="17"/>
  <c r="K125" i="17"/>
  <c r="K122" i="17"/>
  <c r="K119" i="17"/>
  <c r="K116" i="17"/>
  <c r="K113" i="17"/>
  <c r="K110" i="17"/>
  <c r="K107" i="17"/>
  <c r="K104" i="17"/>
  <c r="K101" i="17"/>
  <c r="K98" i="17"/>
  <c r="K95" i="17"/>
  <c r="K142" i="17"/>
  <c r="K139" i="17"/>
  <c r="K187" i="17"/>
  <c r="K178" i="17"/>
  <c r="K169" i="17"/>
  <c r="K160" i="17"/>
  <c r="K151" i="17"/>
  <c r="K148" i="17"/>
  <c r="K145" i="17"/>
  <c r="K126" i="17"/>
  <c r="K123" i="17"/>
  <c r="K120" i="17"/>
  <c r="K117" i="17"/>
  <c r="K114" i="17"/>
  <c r="K111" i="17"/>
  <c r="K108" i="17"/>
  <c r="K105" i="17"/>
  <c r="K102" i="17"/>
  <c r="K99" i="17"/>
  <c r="K96" i="17"/>
  <c r="K93" i="17"/>
  <c r="K90" i="17"/>
  <c r="K133" i="17"/>
  <c r="K89" i="17"/>
  <c r="K86" i="17"/>
  <c r="K83" i="17"/>
  <c r="K80" i="17"/>
  <c r="K77" i="17"/>
  <c r="K74" i="17"/>
  <c r="K71" i="17"/>
  <c r="K172" i="17"/>
  <c r="K163" i="17"/>
  <c r="K154" i="17"/>
  <c r="K137" i="17"/>
  <c r="K127" i="17"/>
  <c r="K118" i="17"/>
  <c r="K109" i="17"/>
  <c r="K100" i="17"/>
  <c r="K66" i="17"/>
  <c r="K63" i="17"/>
  <c r="K60" i="17"/>
  <c r="K57" i="17"/>
  <c r="K54" i="17"/>
  <c r="K51" i="17"/>
  <c r="K48" i="17"/>
  <c r="K45" i="17"/>
  <c r="K42" i="17"/>
  <c r="K39" i="17"/>
  <c r="K36" i="17"/>
  <c r="K33" i="17"/>
  <c r="K30" i="17"/>
  <c r="K27" i="17"/>
  <c r="K24" i="17"/>
  <c r="K21" i="17"/>
  <c r="K18" i="17"/>
  <c r="K15" i="17"/>
  <c r="K12" i="17"/>
  <c r="K9" i="17"/>
  <c r="K6" i="17"/>
  <c r="K3" i="17"/>
  <c r="K140" i="17"/>
  <c r="K138" i="17"/>
  <c r="K131" i="17"/>
  <c r="K87" i="17"/>
  <c r="K84" i="17"/>
  <c r="K81" i="17"/>
  <c r="K78" i="17"/>
  <c r="K75" i="17"/>
  <c r="K72" i="17"/>
  <c r="K69" i="17"/>
  <c r="K146" i="17"/>
  <c r="K143" i="17"/>
  <c r="K141" i="17"/>
  <c r="K190" i="17"/>
  <c r="K121" i="17"/>
  <c r="K112" i="17"/>
  <c r="K103" i="17"/>
  <c r="K92" i="17"/>
  <c r="K88" i="17"/>
  <c r="K85" i="17"/>
  <c r="K82" i="17"/>
  <c r="K79" i="17"/>
  <c r="K76" i="17"/>
  <c r="K73" i="17"/>
  <c r="K70" i="17"/>
  <c r="K129" i="17"/>
  <c r="K181" i="17"/>
  <c r="K124" i="17"/>
  <c r="K115" i="17"/>
  <c r="K106" i="17"/>
  <c r="K97" i="17"/>
  <c r="K19" i="17"/>
  <c r="K10" i="17"/>
  <c r="K20" i="17"/>
  <c r="K11" i="17"/>
  <c r="K135" i="17"/>
  <c r="K13" i="17"/>
  <c r="K4" i="17"/>
  <c r="K14" i="17"/>
  <c r="K5" i="17"/>
  <c r="L1" i="17"/>
  <c r="K67" i="17"/>
  <c r="K64" i="17"/>
  <c r="K61" i="17"/>
  <c r="K58" i="17"/>
  <c r="K55" i="17"/>
  <c r="K52" i="17"/>
  <c r="K49" i="17"/>
  <c r="K46" i="17"/>
  <c r="K43" i="17"/>
  <c r="K40" i="17"/>
  <c r="K37" i="17"/>
  <c r="K34" i="17"/>
  <c r="K31" i="17"/>
  <c r="K28" i="17"/>
  <c r="K25" i="17"/>
  <c r="K22" i="17"/>
  <c r="K91" i="17"/>
  <c r="K16" i="17"/>
  <c r="K7" i="17"/>
  <c r="K134" i="17"/>
  <c r="K132" i="17"/>
  <c r="K130" i="17"/>
  <c r="K94" i="17"/>
  <c r="K17" i="17"/>
  <c r="K8" i="17"/>
  <c r="K65" i="17"/>
  <c r="K56" i="17"/>
  <c r="K47" i="17"/>
  <c r="K38" i="17"/>
  <c r="K29" i="17"/>
  <c r="K62" i="17"/>
  <c r="K53" i="17"/>
  <c r="K44" i="17"/>
  <c r="K35" i="17"/>
  <c r="K26" i="17"/>
  <c r="K68" i="17"/>
  <c r="K59" i="17"/>
  <c r="K50" i="17"/>
  <c r="K41" i="17"/>
  <c r="K32" i="17"/>
  <c r="K23" i="17"/>
  <c r="I181" i="24"/>
  <c r="I178" i="24"/>
  <c r="I175" i="24"/>
  <c r="I172" i="24"/>
  <c r="I169" i="24"/>
  <c r="I166" i="24"/>
  <c r="I163" i="24"/>
  <c r="I160" i="24"/>
  <c r="I157" i="24"/>
  <c r="I154" i="24"/>
  <c r="I151" i="24"/>
  <c r="I148" i="24"/>
  <c r="I145" i="24"/>
  <c r="I142" i="24"/>
  <c r="I179" i="24"/>
  <c r="I176" i="24"/>
  <c r="I173" i="24"/>
  <c r="I170" i="24"/>
  <c r="I167" i="24"/>
  <c r="I164" i="24"/>
  <c r="I161" i="24"/>
  <c r="I158" i="24"/>
  <c r="I155" i="24"/>
  <c r="I152" i="24"/>
  <c r="I149" i="24"/>
  <c r="I146" i="24"/>
  <c r="I143" i="24"/>
  <c r="I129" i="24"/>
  <c r="I124" i="24"/>
  <c r="I138" i="24"/>
  <c r="I135" i="24"/>
  <c r="I132" i="24"/>
  <c r="I116" i="24"/>
  <c r="I113" i="24"/>
  <c r="I110" i="24"/>
  <c r="I107" i="24"/>
  <c r="I104" i="24"/>
  <c r="I101" i="24"/>
  <c r="I98" i="24"/>
  <c r="I95" i="24"/>
  <c r="I92" i="24"/>
  <c r="I89" i="24"/>
  <c r="I86" i="24"/>
  <c r="I83" i="24"/>
  <c r="I80" i="24"/>
  <c r="I77" i="24"/>
  <c r="I74" i="24"/>
  <c r="I71" i="24"/>
  <c r="I68" i="24"/>
  <c r="I65" i="24"/>
  <c r="I62" i="24"/>
  <c r="I59" i="24"/>
  <c r="I56" i="24"/>
  <c r="I53" i="24"/>
  <c r="I50" i="24"/>
  <c r="I47" i="24"/>
  <c r="I44" i="24"/>
  <c r="I41" i="24"/>
  <c r="I38" i="24"/>
  <c r="I35" i="24"/>
  <c r="I32" i="24"/>
  <c r="I29" i="24"/>
  <c r="I122" i="24"/>
  <c r="I119" i="24"/>
  <c r="I127" i="24"/>
  <c r="I130" i="24"/>
  <c r="I139" i="24"/>
  <c r="I136" i="24"/>
  <c r="I133" i="24"/>
  <c r="I125" i="24"/>
  <c r="I117" i="24"/>
  <c r="I114" i="24"/>
  <c r="I111" i="24"/>
  <c r="I108" i="24"/>
  <c r="I105" i="24"/>
  <c r="I102" i="24"/>
  <c r="I99" i="24"/>
  <c r="I96" i="24"/>
  <c r="I93" i="24"/>
  <c r="I90" i="24"/>
  <c r="I87" i="24"/>
  <c r="I84" i="24"/>
  <c r="I81" i="24"/>
  <c r="I78" i="24"/>
  <c r="I75" i="24"/>
  <c r="I72" i="24"/>
  <c r="I69" i="24"/>
  <c r="I66" i="24"/>
  <c r="I63" i="24"/>
  <c r="I60" i="24"/>
  <c r="I57" i="24"/>
  <c r="I54" i="24"/>
  <c r="I51" i="24"/>
  <c r="I48" i="24"/>
  <c r="I45" i="24"/>
  <c r="I42" i="24"/>
  <c r="I39" i="24"/>
  <c r="I36" i="24"/>
  <c r="I33" i="24"/>
  <c r="I30" i="24"/>
  <c r="I120" i="24"/>
  <c r="I123" i="24"/>
  <c r="I140" i="24"/>
  <c r="I126" i="24"/>
  <c r="I121" i="24"/>
  <c r="I118" i="24"/>
  <c r="I27" i="24"/>
  <c r="I24" i="24"/>
  <c r="I21" i="24"/>
  <c r="I18" i="24"/>
  <c r="I15" i="24"/>
  <c r="I12" i="24"/>
  <c r="I9" i="24"/>
  <c r="I6" i="24"/>
  <c r="I3" i="24"/>
  <c r="I115" i="24"/>
  <c r="I112" i="24"/>
  <c r="I109" i="24"/>
  <c r="I106" i="24"/>
  <c r="I103" i="24"/>
  <c r="I100" i="24"/>
  <c r="I97" i="24"/>
  <c r="I94" i="24"/>
  <c r="I91" i="24"/>
  <c r="I88" i="24"/>
  <c r="I85" i="24"/>
  <c r="I82" i="24"/>
  <c r="I79" i="24"/>
  <c r="I76" i="24"/>
  <c r="I73" i="24"/>
  <c r="I70" i="24"/>
  <c r="I67" i="24"/>
  <c r="I64" i="24"/>
  <c r="I61" i="24"/>
  <c r="I58" i="24"/>
  <c r="I55" i="24"/>
  <c r="I52" i="24"/>
  <c r="I43" i="24"/>
  <c r="I34" i="24"/>
  <c r="I28" i="24"/>
  <c r="I25" i="24"/>
  <c r="I22" i="24"/>
  <c r="I19" i="24"/>
  <c r="I16" i="24"/>
  <c r="I13" i="24"/>
  <c r="I10" i="24"/>
  <c r="I7" i="24"/>
  <c r="I4" i="24"/>
  <c r="I177" i="24"/>
  <c r="I171" i="24"/>
  <c r="I165" i="24"/>
  <c r="I159" i="24"/>
  <c r="I153" i="24"/>
  <c r="I147" i="24"/>
  <c r="I141" i="24"/>
  <c r="I131" i="24"/>
  <c r="I128" i="24"/>
  <c r="J1" i="24"/>
  <c r="I137" i="24"/>
  <c r="I134" i="24"/>
  <c r="I46" i="24"/>
  <c r="I37" i="24"/>
  <c r="I20" i="24"/>
  <c r="I11" i="24"/>
  <c r="I162" i="24"/>
  <c r="I180" i="24"/>
  <c r="I156" i="24"/>
  <c r="I174" i="24"/>
  <c r="I150" i="24"/>
  <c r="I26" i="24"/>
  <c r="I17" i="24"/>
  <c r="I8" i="24"/>
  <c r="I168" i="24"/>
  <c r="I144" i="24"/>
  <c r="I40" i="24"/>
  <c r="I23" i="24"/>
  <c r="I31" i="24"/>
  <c r="I49" i="24"/>
  <c r="I5" i="24"/>
  <c r="I14" i="24"/>
  <c r="H176" i="27"/>
  <c r="H173" i="27"/>
  <c r="H170" i="27"/>
  <c r="H167" i="27"/>
  <c r="H164" i="27"/>
  <c r="H161" i="27"/>
  <c r="H158" i="27"/>
  <c r="H155" i="27"/>
  <c r="H152" i="27"/>
  <c r="H149" i="27"/>
  <c r="H146" i="27"/>
  <c r="H174" i="27"/>
  <c r="H171" i="27"/>
  <c r="H168" i="27"/>
  <c r="H165" i="27"/>
  <c r="H162" i="27"/>
  <c r="H159" i="27"/>
  <c r="H156" i="27"/>
  <c r="H153" i="27"/>
  <c r="H150" i="27"/>
  <c r="H147" i="27"/>
  <c r="H172" i="27"/>
  <c r="H163" i="27"/>
  <c r="H154" i="27"/>
  <c r="H145" i="27"/>
  <c r="H142" i="27"/>
  <c r="H139" i="27"/>
  <c r="H136" i="27"/>
  <c r="H133" i="27"/>
  <c r="H130" i="27"/>
  <c r="H127" i="27"/>
  <c r="H123" i="27"/>
  <c r="H114" i="27"/>
  <c r="H169" i="27"/>
  <c r="H160" i="27"/>
  <c r="H151" i="27"/>
  <c r="H143" i="27"/>
  <c r="H140" i="27"/>
  <c r="H137" i="27"/>
  <c r="H134" i="27"/>
  <c r="H131" i="27"/>
  <c r="H128" i="27"/>
  <c r="H124" i="27"/>
  <c r="H115" i="27"/>
  <c r="H111" i="27"/>
  <c r="H108" i="27"/>
  <c r="H105" i="27"/>
  <c r="H102" i="27"/>
  <c r="H99" i="27"/>
  <c r="H96" i="27"/>
  <c r="H93" i="27"/>
  <c r="H90" i="27"/>
  <c r="H87" i="27"/>
  <c r="H175" i="27"/>
  <c r="H166" i="27"/>
  <c r="H157" i="27"/>
  <c r="H148" i="27"/>
  <c r="H144" i="27"/>
  <c r="H141" i="27"/>
  <c r="H138" i="27"/>
  <c r="H135" i="27"/>
  <c r="H132" i="27"/>
  <c r="H129" i="27"/>
  <c r="H125" i="27"/>
  <c r="H116" i="27"/>
  <c r="H113" i="27"/>
  <c r="H109" i="27"/>
  <c r="H106" i="27"/>
  <c r="H103" i="27"/>
  <c r="H100" i="27"/>
  <c r="H97" i="27"/>
  <c r="H94" i="27"/>
  <c r="H91" i="27"/>
  <c r="H88" i="27"/>
  <c r="H89" i="27"/>
  <c r="H84" i="27"/>
  <c r="H81" i="27"/>
  <c r="H78" i="27"/>
  <c r="H75" i="27"/>
  <c r="H72" i="27"/>
  <c r="H69" i="27"/>
  <c r="H66" i="27"/>
  <c r="H85" i="27"/>
  <c r="H82" i="27"/>
  <c r="H79" i="27"/>
  <c r="H76" i="27"/>
  <c r="H73" i="27"/>
  <c r="H70" i="27"/>
  <c r="H67" i="27"/>
  <c r="H64" i="27"/>
  <c r="H86" i="27"/>
  <c r="H83" i="27"/>
  <c r="H80" i="27"/>
  <c r="H77" i="27"/>
  <c r="H74" i="27"/>
  <c r="H71" i="27"/>
  <c r="H68" i="27"/>
  <c r="H65" i="27"/>
  <c r="H107" i="27"/>
  <c r="H98" i="27"/>
  <c r="H61" i="27"/>
  <c r="H58" i="27"/>
  <c r="H55" i="27"/>
  <c r="H52" i="27"/>
  <c r="H49" i="27"/>
  <c r="H46" i="27"/>
  <c r="H43" i="27"/>
  <c r="H40" i="27"/>
  <c r="H104" i="27"/>
  <c r="H95" i="27"/>
  <c r="H110" i="27"/>
  <c r="H101" i="27"/>
  <c r="H92" i="27"/>
  <c r="H63" i="27"/>
  <c r="H60" i="27"/>
  <c r="H57" i="27"/>
  <c r="H54" i="27"/>
  <c r="H51" i="27"/>
  <c r="H48" i="27"/>
  <c r="H45" i="27"/>
  <c r="H42" i="27"/>
  <c r="H39" i="27"/>
  <c r="H62" i="27"/>
  <c r="H53" i="27"/>
  <c r="H44" i="27"/>
  <c r="H35" i="27"/>
  <c r="H32" i="27"/>
  <c r="H29" i="27"/>
  <c r="H26" i="27"/>
  <c r="H23" i="27"/>
  <c r="H20" i="27"/>
  <c r="H17" i="27"/>
  <c r="H14" i="27"/>
  <c r="H11" i="27"/>
  <c r="H59" i="27"/>
  <c r="H50" i="27"/>
  <c r="H41" i="27"/>
  <c r="H36" i="27"/>
  <c r="H33" i="27"/>
  <c r="H30" i="27"/>
  <c r="H27" i="27"/>
  <c r="H24" i="27"/>
  <c r="H21" i="27"/>
  <c r="H18" i="27"/>
  <c r="H15" i="27"/>
  <c r="H12" i="27"/>
  <c r="H56" i="27"/>
  <c r="H47" i="27"/>
  <c r="H38" i="27"/>
  <c r="H10" i="27"/>
  <c r="H7" i="27"/>
  <c r="H4" i="27"/>
  <c r="H31" i="27"/>
  <c r="H22" i="27"/>
  <c r="H13" i="27"/>
  <c r="I1" i="27"/>
  <c r="H8" i="27"/>
  <c r="H5" i="27"/>
  <c r="H37" i="27"/>
  <c r="H28" i="27"/>
  <c r="H19" i="27"/>
  <c r="H9" i="27"/>
  <c r="H6" i="27"/>
  <c r="H3" i="27"/>
  <c r="H34" i="27"/>
  <c r="H25" i="27"/>
  <c r="H16" i="27"/>
  <c r="I174" i="26" l="1"/>
  <c r="I171" i="26"/>
  <c r="I168" i="26"/>
  <c r="I165" i="26"/>
  <c r="I162" i="26"/>
  <c r="I159" i="26"/>
  <c r="I175" i="26"/>
  <c r="I172" i="26"/>
  <c r="I169" i="26"/>
  <c r="I166" i="26"/>
  <c r="I163" i="26"/>
  <c r="I160" i="26"/>
  <c r="I176" i="26"/>
  <c r="I173" i="26"/>
  <c r="I170" i="26"/>
  <c r="I167" i="26"/>
  <c r="I164" i="26"/>
  <c r="I161" i="26"/>
  <c r="I156" i="26"/>
  <c r="I153" i="26"/>
  <c r="I150" i="26"/>
  <c r="I147" i="26"/>
  <c r="I144" i="26"/>
  <c r="I141" i="26"/>
  <c r="I138" i="26"/>
  <c r="I135" i="26"/>
  <c r="I132" i="26"/>
  <c r="I129" i="26"/>
  <c r="I157" i="26"/>
  <c r="I154" i="26"/>
  <c r="I151" i="26"/>
  <c r="I148" i="26"/>
  <c r="I145" i="26"/>
  <c r="I142" i="26"/>
  <c r="I139" i="26"/>
  <c r="I136" i="26"/>
  <c r="I133" i="26"/>
  <c r="I127" i="26"/>
  <c r="I123" i="26"/>
  <c r="I114" i="26"/>
  <c r="I110" i="26"/>
  <c r="I107" i="26"/>
  <c r="I104" i="26"/>
  <c r="I101" i="26"/>
  <c r="I98" i="26"/>
  <c r="I95" i="26"/>
  <c r="I92" i="26"/>
  <c r="I89" i="26"/>
  <c r="I86" i="26"/>
  <c r="I83" i="26"/>
  <c r="I80" i="26"/>
  <c r="I77" i="26"/>
  <c r="I74" i="26"/>
  <c r="I71" i="26"/>
  <c r="I158" i="26"/>
  <c r="I149" i="26"/>
  <c r="I140" i="26"/>
  <c r="I131" i="26"/>
  <c r="I128" i="26"/>
  <c r="I124" i="26"/>
  <c r="I152" i="26"/>
  <c r="I143" i="26"/>
  <c r="I134" i="26"/>
  <c r="I130" i="26"/>
  <c r="I125" i="26"/>
  <c r="I116" i="26"/>
  <c r="I113" i="26"/>
  <c r="I109" i="26"/>
  <c r="I106" i="26"/>
  <c r="I103" i="26"/>
  <c r="I100" i="26"/>
  <c r="I97" i="26"/>
  <c r="I94" i="26"/>
  <c r="I91" i="26"/>
  <c r="I88" i="26"/>
  <c r="I85" i="26"/>
  <c r="I82" i="26"/>
  <c r="I79" i="26"/>
  <c r="I76" i="26"/>
  <c r="I73" i="26"/>
  <c r="I137" i="26"/>
  <c r="I70" i="26"/>
  <c r="I67" i="26"/>
  <c r="I64" i="26"/>
  <c r="I61" i="26"/>
  <c r="I58" i="26"/>
  <c r="I55" i="26"/>
  <c r="I52" i="26"/>
  <c r="I155" i="26"/>
  <c r="I69" i="26"/>
  <c r="I66" i="26"/>
  <c r="I63" i="26"/>
  <c r="I60" i="26"/>
  <c r="I57" i="26"/>
  <c r="I54" i="26"/>
  <c r="I111" i="26"/>
  <c r="I102" i="26"/>
  <c r="I93" i="26"/>
  <c r="I84" i="26"/>
  <c r="I75" i="26"/>
  <c r="I146" i="26"/>
  <c r="I51" i="26"/>
  <c r="I115" i="26"/>
  <c r="I105" i="26"/>
  <c r="I96" i="26"/>
  <c r="I87" i="26"/>
  <c r="I78" i="26"/>
  <c r="J1" i="26"/>
  <c r="I65" i="26"/>
  <c r="I56" i="26"/>
  <c r="I48" i="26"/>
  <c r="I45" i="26"/>
  <c r="I42" i="26"/>
  <c r="I39" i="26"/>
  <c r="I36" i="26"/>
  <c r="I33" i="26"/>
  <c r="I30" i="26"/>
  <c r="I27" i="26"/>
  <c r="I24" i="26"/>
  <c r="I21" i="26"/>
  <c r="I18" i="26"/>
  <c r="I15" i="26"/>
  <c r="I12" i="26"/>
  <c r="I9" i="26"/>
  <c r="I6" i="26"/>
  <c r="I3" i="26"/>
  <c r="I62" i="26"/>
  <c r="I44" i="26"/>
  <c r="I35" i="26"/>
  <c r="I26" i="26"/>
  <c r="I17" i="26"/>
  <c r="I8" i="26"/>
  <c r="I90" i="26"/>
  <c r="I68" i="26"/>
  <c r="I46" i="26"/>
  <c r="I37" i="26"/>
  <c r="I28" i="26"/>
  <c r="I19" i="26"/>
  <c r="I10" i="26"/>
  <c r="I47" i="26"/>
  <c r="I38" i="26"/>
  <c r="I29" i="26"/>
  <c r="I20" i="26"/>
  <c r="I11" i="26"/>
  <c r="I99" i="26"/>
  <c r="I72" i="26"/>
  <c r="I108" i="26"/>
  <c r="I81" i="26"/>
  <c r="I59" i="26"/>
  <c r="I43" i="26"/>
  <c r="I34" i="26"/>
  <c r="I25" i="26"/>
  <c r="I16" i="26"/>
  <c r="I7" i="26"/>
  <c r="I53" i="26"/>
  <c r="I31" i="26"/>
  <c r="I23" i="26"/>
  <c r="I41" i="26"/>
  <c r="I50" i="26"/>
  <c r="I49" i="26"/>
  <c r="I32" i="26"/>
  <c r="I13" i="26"/>
  <c r="I40" i="26"/>
  <c r="I22" i="26"/>
  <c r="I5" i="26"/>
  <c r="I4" i="26"/>
  <c r="I14" i="26"/>
  <c r="I127" i="21"/>
  <c r="I130" i="21"/>
  <c r="I138" i="21"/>
  <c r="I135" i="21"/>
  <c r="I186" i="21"/>
  <c r="I183" i="21"/>
  <c r="I180" i="21"/>
  <c r="I177" i="21"/>
  <c r="I174" i="21"/>
  <c r="I171" i="21"/>
  <c r="I168" i="21"/>
  <c r="I165" i="21"/>
  <c r="I162" i="21"/>
  <c r="I159" i="21"/>
  <c r="I156" i="21"/>
  <c r="I153" i="21"/>
  <c r="I150" i="21"/>
  <c r="I147" i="21"/>
  <c r="I144" i="21"/>
  <c r="I141" i="21"/>
  <c r="I122" i="21"/>
  <c r="I119" i="21"/>
  <c r="I116" i="21"/>
  <c r="I113" i="21"/>
  <c r="I187" i="21"/>
  <c r="I184" i="21"/>
  <c r="I181" i="21"/>
  <c r="I178" i="21"/>
  <c r="I175" i="21"/>
  <c r="I172" i="21"/>
  <c r="I169" i="21"/>
  <c r="I166" i="21"/>
  <c r="I163" i="21"/>
  <c r="I160" i="21"/>
  <c r="I157" i="21"/>
  <c r="I154" i="21"/>
  <c r="I151" i="21"/>
  <c r="I148" i="21"/>
  <c r="I145" i="21"/>
  <c r="I142" i="21"/>
  <c r="I139" i="21"/>
  <c r="I123" i="21"/>
  <c r="I120" i="21"/>
  <c r="I117" i="21"/>
  <c r="I114" i="21"/>
  <c r="I129" i="21"/>
  <c r="I126" i="21"/>
  <c r="I136" i="21"/>
  <c r="I110" i="21"/>
  <c r="I107" i="21"/>
  <c r="I104" i="21"/>
  <c r="I101" i="21"/>
  <c r="I98" i="21"/>
  <c r="I95" i="21"/>
  <c r="I92" i="21"/>
  <c r="I89" i="21"/>
  <c r="I86" i="21"/>
  <c r="I83" i="21"/>
  <c r="I80" i="21"/>
  <c r="I77" i="21"/>
  <c r="I74" i="21"/>
  <c r="I71" i="21"/>
  <c r="I68" i="21"/>
  <c r="I65" i="21"/>
  <c r="I62" i="21"/>
  <c r="I59" i="21"/>
  <c r="I56" i="21"/>
  <c r="I53" i="21"/>
  <c r="I188" i="21"/>
  <c r="I146" i="21"/>
  <c r="I164" i="21"/>
  <c r="I155" i="21"/>
  <c r="I132" i="21"/>
  <c r="I128" i="21"/>
  <c r="I125" i="21"/>
  <c r="I111" i="21"/>
  <c r="I108" i="21"/>
  <c r="I105" i="21"/>
  <c r="I102" i="21"/>
  <c r="I99" i="21"/>
  <c r="I96" i="21"/>
  <c r="I93" i="21"/>
  <c r="I90" i="21"/>
  <c r="I87" i="21"/>
  <c r="I84" i="21"/>
  <c r="I81" i="21"/>
  <c r="I78" i="21"/>
  <c r="I75" i="21"/>
  <c r="I72" i="21"/>
  <c r="I69" i="21"/>
  <c r="I66" i="21"/>
  <c r="I63" i="21"/>
  <c r="I60" i="21"/>
  <c r="I57" i="21"/>
  <c r="I54" i="21"/>
  <c r="I51" i="21"/>
  <c r="I48" i="21"/>
  <c r="I45" i="21"/>
  <c r="I42" i="21"/>
  <c r="I39" i="21"/>
  <c r="I36" i="21"/>
  <c r="I33" i="21"/>
  <c r="I30" i="21"/>
  <c r="I27" i="21"/>
  <c r="I24" i="21"/>
  <c r="I21" i="21"/>
  <c r="I18" i="21"/>
  <c r="I152" i="21"/>
  <c r="I143" i="21"/>
  <c r="I131" i="21"/>
  <c r="I137" i="21"/>
  <c r="I109" i="21"/>
  <c r="I106" i="21"/>
  <c r="I103" i="21"/>
  <c r="I100" i="21"/>
  <c r="I97" i="21"/>
  <c r="I94" i="21"/>
  <c r="I91" i="21"/>
  <c r="I88" i="21"/>
  <c r="I85" i="21"/>
  <c r="I82" i="21"/>
  <c r="I79" i="21"/>
  <c r="I76" i="21"/>
  <c r="I73" i="21"/>
  <c r="I70" i="21"/>
  <c r="I67" i="21"/>
  <c r="I64" i="21"/>
  <c r="I61" i="21"/>
  <c r="I58" i="21"/>
  <c r="I55" i="21"/>
  <c r="I52" i="21"/>
  <c r="I49" i="21"/>
  <c r="I133" i="21"/>
  <c r="I16" i="21"/>
  <c r="I13" i="21"/>
  <c r="I10" i="21"/>
  <c r="I7" i="21"/>
  <c r="I4" i="21"/>
  <c r="I173" i="21"/>
  <c r="I170" i="21"/>
  <c r="I167" i="21"/>
  <c r="I46" i="21"/>
  <c r="I41" i="21"/>
  <c r="I37" i="21"/>
  <c r="I32" i="21"/>
  <c r="I28" i="21"/>
  <c r="I23" i="21"/>
  <c r="I19" i="21"/>
  <c r="I134" i="21"/>
  <c r="I14" i="21"/>
  <c r="I11" i="21"/>
  <c r="I8" i="21"/>
  <c r="I5" i="21"/>
  <c r="I149" i="21"/>
  <c r="I140" i="21"/>
  <c r="I161" i="21"/>
  <c r="I50" i="21"/>
  <c r="I179" i="21"/>
  <c r="I15" i="21"/>
  <c r="I12" i="21"/>
  <c r="I9" i="21"/>
  <c r="I6" i="21"/>
  <c r="I3" i="21"/>
  <c r="I44" i="21"/>
  <c r="I40" i="21"/>
  <c r="I35" i="21"/>
  <c r="I31" i="21"/>
  <c r="I26" i="21"/>
  <c r="I22" i="21"/>
  <c r="I17" i="21"/>
  <c r="I158" i="21"/>
  <c r="I182" i="21"/>
  <c r="I121" i="21"/>
  <c r="I112" i="21"/>
  <c r="I47" i="21"/>
  <c r="I25" i="21"/>
  <c r="I20" i="21"/>
  <c r="I124" i="21"/>
  <c r="I115" i="21"/>
  <c r="I176" i="21"/>
  <c r="I43" i="21"/>
  <c r="I38" i="21"/>
  <c r="I118" i="21"/>
  <c r="I34" i="21"/>
  <c r="I29" i="21"/>
  <c r="I185" i="21"/>
  <c r="J1" i="21"/>
  <c r="L131" i="17"/>
  <c r="L192" i="17"/>
  <c r="L183" i="17"/>
  <c r="L187" i="17"/>
  <c r="L178" i="17"/>
  <c r="L169" i="17"/>
  <c r="L160" i="17"/>
  <c r="L151" i="17"/>
  <c r="L148" i="17"/>
  <c r="L145" i="17"/>
  <c r="L137" i="17"/>
  <c r="L132" i="17"/>
  <c r="L129" i="17"/>
  <c r="L189" i="17"/>
  <c r="L135" i="17"/>
  <c r="L134" i="17"/>
  <c r="L123" i="17"/>
  <c r="L114" i="17"/>
  <c r="L105" i="17"/>
  <c r="L96" i="17"/>
  <c r="L93" i="17"/>
  <c r="L175" i="17"/>
  <c r="L166" i="17"/>
  <c r="L157" i="17"/>
  <c r="L136" i="17"/>
  <c r="L66" i="17"/>
  <c r="L63" i="17"/>
  <c r="L60" i="17"/>
  <c r="L57" i="17"/>
  <c r="L54" i="17"/>
  <c r="L51" i="17"/>
  <c r="L48" i="17"/>
  <c r="L45" i="17"/>
  <c r="L42" i="17"/>
  <c r="L39" i="17"/>
  <c r="L36" i="17"/>
  <c r="L33" i="17"/>
  <c r="L30" i="17"/>
  <c r="L27" i="17"/>
  <c r="L24" i="17"/>
  <c r="L21" i="17"/>
  <c r="L18" i="17"/>
  <c r="L15" i="17"/>
  <c r="L12" i="17"/>
  <c r="L9" i="17"/>
  <c r="L6" i="17"/>
  <c r="L182" i="17"/>
  <c r="L140" i="17"/>
  <c r="L138" i="17"/>
  <c r="L122" i="17"/>
  <c r="L113" i="17"/>
  <c r="L104" i="17"/>
  <c r="L95" i="17"/>
  <c r="L87" i="17"/>
  <c r="L84" i="17"/>
  <c r="L81" i="17"/>
  <c r="L78" i="17"/>
  <c r="L75" i="17"/>
  <c r="L72" i="17"/>
  <c r="L69" i="17"/>
  <c r="L186" i="17"/>
  <c r="L180" i="17"/>
  <c r="L146" i="17"/>
  <c r="L143" i="17"/>
  <c r="L142" i="17"/>
  <c r="L141" i="17"/>
  <c r="L139" i="17"/>
  <c r="L126" i="17"/>
  <c r="L117" i="17"/>
  <c r="L108" i="17"/>
  <c r="L99" i="17"/>
  <c r="L90" i="17"/>
  <c r="L190" i="17"/>
  <c r="L184" i="17"/>
  <c r="L173" i="17"/>
  <c r="L164" i="17"/>
  <c r="L155" i="17"/>
  <c r="L147" i="17"/>
  <c r="L144" i="17"/>
  <c r="L121" i="17"/>
  <c r="L112" i="17"/>
  <c r="L103" i="17"/>
  <c r="L92" i="17"/>
  <c r="L188" i="17"/>
  <c r="L176" i="17"/>
  <c r="L170" i="17"/>
  <c r="L167" i="17"/>
  <c r="L161" i="17"/>
  <c r="L158" i="17"/>
  <c r="L152" i="17"/>
  <c r="L149" i="17"/>
  <c r="L130" i="17"/>
  <c r="L94" i="17"/>
  <c r="L67" i="17"/>
  <c r="L64" i="17"/>
  <c r="L61" i="17"/>
  <c r="L58" i="17"/>
  <c r="L55" i="17"/>
  <c r="L52" i="17"/>
  <c r="L49" i="17"/>
  <c r="L46" i="17"/>
  <c r="L43" i="17"/>
  <c r="L40" i="17"/>
  <c r="L37" i="17"/>
  <c r="L34" i="17"/>
  <c r="L31" i="17"/>
  <c r="L28" i="17"/>
  <c r="L25" i="17"/>
  <c r="L22" i="17"/>
  <c r="L19" i="17"/>
  <c r="L16" i="17"/>
  <c r="L13" i="17"/>
  <c r="L10" i="17"/>
  <c r="L7" i="17"/>
  <c r="L4" i="17"/>
  <c r="L120" i="17"/>
  <c r="L111" i="17"/>
  <c r="L102" i="17"/>
  <c r="M1" i="17"/>
  <c r="L181" i="17"/>
  <c r="L177" i="17"/>
  <c r="L168" i="17"/>
  <c r="L159" i="17"/>
  <c r="L150" i="17"/>
  <c r="L124" i="17"/>
  <c r="L115" i="17"/>
  <c r="L106" i="17"/>
  <c r="L97" i="17"/>
  <c r="L179" i="17"/>
  <c r="L174" i="17"/>
  <c r="L171" i="17"/>
  <c r="L165" i="17"/>
  <c r="L162" i="17"/>
  <c r="L156" i="17"/>
  <c r="L153" i="17"/>
  <c r="L91" i="17"/>
  <c r="L68" i="17"/>
  <c r="L65" i="17"/>
  <c r="L62" i="17"/>
  <c r="L59" i="17"/>
  <c r="L56" i="17"/>
  <c r="L53" i="17"/>
  <c r="L50" i="17"/>
  <c r="L47" i="17"/>
  <c r="L44" i="17"/>
  <c r="L41" i="17"/>
  <c r="L38" i="17"/>
  <c r="L35" i="17"/>
  <c r="L32" i="17"/>
  <c r="L29" i="17"/>
  <c r="L26" i="17"/>
  <c r="L23" i="17"/>
  <c r="L20" i="17"/>
  <c r="L17" i="17"/>
  <c r="L14" i="17"/>
  <c r="L11" i="17"/>
  <c r="L8" i="17"/>
  <c r="L5" i="17"/>
  <c r="L133" i="17"/>
  <c r="L154" i="17"/>
  <c r="L191" i="17"/>
  <c r="L163" i="17"/>
  <c r="L127" i="17"/>
  <c r="L118" i="17"/>
  <c r="L109" i="17"/>
  <c r="L100" i="17"/>
  <c r="L3" i="17"/>
  <c r="L125" i="17"/>
  <c r="L116" i="17"/>
  <c r="L107" i="17"/>
  <c r="L98" i="17"/>
  <c r="L88" i="17"/>
  <c r="L85" i="17"/>
  <c r="L82" i="17"/>
  <c r="L79" i="17"/>
  <c r="L76" i="17"/>
  <c r="L73" i="17"/>
  <c r="L70" i="17"/>
  <c r="L185" i="17"/>
  <c r="L172" i="17"/>
  <c r="L80" i="17"/>
  <c r="L86" i="17"/>
  <c r="L128" i="17"/>
  <c r="L119" i="17"/>
  <c r="L110" i="17"/>
  <c r="L101" i="17"/>
  <c r="L71" i="17"/>
  <c r="L77" i="17"/>
  <c r="L83" i="17"/>
  <c r="L89" i="17"/>
  <c r="L74" i="17"/>
  <c r="I189" i="19"/>
  <c r="I186" i="19"/>
  <c r="I183" i="19"/>
  <c r="I180" i="19"/>
  <c r="I177" i="19"/>
  <c r="I190" i="19"/>
  <c r="I187" i="19"/>
  <c r="I184" i="19"/>
  <c r="I181" i="19"/>
  <c r="I178" i="19"/>
  <c r="I188" i="19"/>
  <c r="I185" i="19"/>
  <c r="I182" i="19"/>
  <c r="I179" i="19"/>
  <c r="I176" i="19"/>
  <c r="I138" i="19"/>
  <c r="I133" i="19"/>
  <c r="I65" i="19"/>
  <c r="I62" i="19"/>
  <c r="I59" i="19"/>
  <c r="I56" i="19"/>
  <c r="I53" i="19"/>
  <c r="I50" i="19"/>
  <c r="I47" i="19"/>
  <c r="I44" i="19"/>
  <c r="I41" i="19"/>
  <c r="I38" i="19"/>
  <c r="I35" i="19"/>
  <c r="I32" i="19"/>
  <c r="I29" i="19"/>
  <c r="I26" i="19"/>
  <c r="I23" i="19"/>
  <c r="I20" i="19"/>
  <c r="I17" i="19"/>
  <c r="I14" i="19"/>
  <c r="I11" i="19"/>
  <c r="I8" i="19"/>
  <c r="I5" i="19"/>
  <c r="I174" i="19"/>
  <c r="I171" i="19"/>
  <c r="I168" i="19"/>
  <c r="I165" i="19"/>
  <c r="I162" i="19"/>
  <c r="I159" i="19"/>
  <c r="I156" i="19"/>
  <c r="I153" i="19"/>
  <c r="I150" i="19"/>
  <c r="I147" i="19"/>
  <c r="I144" i="19"/>
  <c r="I141" i="19"/>
  <c r="I125" i="19"/>
  <c r="I122" i="19"/>
  <c r="I119" i="19"/>
  <c r="I116" i="19"/>
  <c r="I113" i="19"/>
  <c r="I110" i="19"/>
  <c r="I107" i="19"/>
  <c r="I104" i="19"/>
  <c r="I101" i="19"/>
  <c r="I98" i="19"/>
  <c r="I95" i="19"/>
  <c r="I92" i="19"/>
  <c r="I89" i="19"/>
  <c r="I86" i="19"/>
  <c r="I83" i="19"/>
  <c r="I80" i="19"/>
  <c r="I77" i="19"/>
  <c r="I74" i="19"/>
  <c r="I71" i="19"/>
  <c r="I68" i="19"/>
  <c r="I131" i="19"/>
  <c r="I128" i="19"/>
  <c r="I136" i="19"/>
  <c r="I132" i="19"/>
  <c r="I172" i="19"/>
  <c r="I163" i="19"/>
  <c r="I154" i="19"/>
  <c r="I145" i="19"/>
  <c r="I121" i="19"/>
  <c r="I112" i="19"/>
  <c r="I103" i="19"/>
  <c r="I94" i="19"/>
  <c r="I85" i="19"/>
  <c r="I76" i="19"/>
  <c r="J1" i="19"/>
  <c r="I130" i="19"/>
  <c r="I63" i="19"/>
  <c r="I54" i="19"/>
  <c r="I45" i="19"/>
  <c r="I36" i="19"/>
  <c r="I170" i="19"/>
  <c r="I161" i="19"/>
  <c r="I152" i="19"/>
  <c r="I143" i="19"/>
  <c r="I126" i="19"/>
  <c r="I117" i="19"/>
  <c r="I108" i="19"/>
  <c r="I99" i="19"/>
  <c r="I90" i="19"/>
  <c r="I81" i="19"/>
  <c r="I72" i="19"/>
  <c r="I139" i="19"/>
  <c r="I61" i="19"/>
  <c r="I52" i="19"/>
  <c r="I43" i="19"/>
  <c r="I137" i="19"/>
  <c r="I66" i="19"/>
  <c r="I57" i="19"/>
  <c r="I48" i="19"/>
  <c r="I39" i="19"/>
  <c r="I30" i="19"/>
  <c r="I21" i="19"/>
  <c r="I12" i="19"/>
  <c r="I3" i="19"/>
  <c r="I173" i="19"/>
  <c r="I164" i="19"/>
  <c r="I155" i="19"/>
  <c r="I146" i="19"/>
  <c r="I135" i="19"/>
  <c r="I120" i="19"/>
  <c r="I111" i="19"/>
  <c r="I102" i="19"/>
  <c r="I93" i="19"/>
  <c r="I84" i="19"/>
  <c r="I75" i="19"/>
  <c r="I169" i="19"/>
  <c r="I160" i="19"/>
  <c r="I151" i="19"/>
  <c r="I142" i="19"/>
  <c r="I118" i="19"/>
  <c r="I109" i="19"/>
  <c r="I100" i="19"/>
  <c r="I91" i="19"/>
  <c r="I82" i="19"/>
  <c r="I73" i="19"/>
  <c r="I166" i="19"/>
  <c r="I25" i="19"/>
  <c r="I15" i="19"/>
  <c r="I149" i="19"/>
  <c r="I175" i="19"/>
  <c r="I51" i="19"/>
  <c r="I18" i="19"/>
  <c r="I7" i="19"/>
  <c r="I167" i="19"/>
  <c r="I60" i="19"/>
  <c r="I9" i="19"/>
  <c r="I148" i="19"/>
  <c r="I33" i="19"/>
  <c r="I67" i="19"/>
  <c r="I46" i="19"/>
  <c r="I37" i="19"/>
  <c r="I69" i="19"/>
  <c r="I55" i="19"/>
  <c r="I127" i="19"/>
  <c r="I78" i="19"/>
  <c r="I140" i="19"/>
  <c r="I124" i="19"/>
  <c r="I87" i="19"/>
  <c r="I64" i="19"/>
  <c r="I10" i="19"/>
  <c r="I129" i="19"/>
  <c r="I114" i="19"/>
  <c r="I105" i="19"/>
  <c r="I96" i="19"/>
  <c r="I28" i="19"/>
  <c r="I31" i="19"/>
  <c r="I134" i="19"/>
  <c r="I13" i="19"/>
  <c r="I158" i="19"/>
  <c r="I70" i="19"/>
  <c r="I40" i="19"/>
  <c r="I34" i="19"/>
  <c r="I79" i="19"/>
  <c r="I49" i="19"/>
  <c r="I42" i="19"/>
  <c r="I157" i="19"/>
  <c r="I27" i="19"/>
  <c r="I115" i="19"/>
  <c r="I22" i="19"/>
  <c r="I123" i="19"/>
  <c r="I106" i="19"/>
  <c r="I4" i="19"/>
  <c r="I97" i="19"/>
  <c r="I58" i="19"/>
  <c r="I16" i="19"/>
  <c r="I88" i="19"/>
  <c r="I24" i="19"/>
  <c r="I6" i="19"/>
  <c r="I19" i="19"/>
  <c r="J179" i="25"/>
  <c r="J178" i="25"/>
  <c r="J177" i="25"/>
  <c r="J174" i="25"/>
  <c r="J171" i="25"/>
  <c r="J168" i="25"/>
  <c r="J165" i="25"/>
  <c r="J162" i="25"/>
  <c r="J159" i="25"/>
  <c r="J156" i="25"/>
  <c r="J153" i="25"/>
  <c r="J150" i="25"/>
  <c r="J147" i="25"/>
  <c r="J144" i="25"/>
  <c r="J141" i="25"/>
  <c r="J138" i="25"/>
  <c r="J135" i="25"/>
  <c r="J176" i="25"/>
  <c r="J173" i="25"/>
  <c r="J170" i="25"/>
  <c r="J167" i="25"/>
  <c r="J164" i="25"/>
  <c r="J161" i="25"/>
  <c r="J158" i="25"/>
  <c r="J155" i="25"/>
  <c r="J152" i="25"/>
  <c r="J149" i="25"/>
  <c r="J146" i="25"/>
  <c r="J143" i="25"/>
  <c r="J140" i="25"/>
  <c r="J137" i="25"/>
  <c r="J132" i="25"/>
  <c r="J113" i="25"/>
  <c r="J110" i="25"/>
  <c r="J107" i="25"/>
  <c r="J104" i="25"/>
  <c r="J101" i="25"/>
  <c r="J98" i="25"/>
  <c r="J134" i="25"/>
  <c r="J131" i="25"/>
  <c r="J123" i="25"/>
  <c r="J115" i="25"/>
  <c r="J112" i="25"/>
  <c r="J109" i="25"/>
  <c r="J106" i="25"/>
  <c r="J103" i="25"/>
  <c r="J163" i="25"/>
  <c r="J160" i="25"/>
  <c r="J145" i="25"/>
  <c r="J126" i="25"/>
  <c r="J94" i="25"/>
  <c r="J91" i="25"/>
  <c r="J88" i="25"/>
  <c r="J85" i="25"/>
  <c r="J82" i="25"/>
  <c r="J79" i="25"/>
  <c r="J76" i="25"/>
  <c r="J73" i="25"/>
  <c r="J166" i="25"/>
  <c r="J114" i="25"/>
  <c r="J111" i="25"/>
  <c r="J108" i="25"/>
  <c r="J105" i="25"/>
  <c r="J102" i="25"/>
  <c r="J172" i="25"/>
  <c r="J169" i="25"/>
  <c r="J127" i="25"/>
  <c r="J120" i="25"/>
  <c r="J119" i="25"/>
  <c r="J118" i="25"/>
  <c r="J117" i="25"/>
  <c r="J116" i="25"/>
  <c r="J175" i="25"/>
  <c r="J95" i="25"/>
  <c r="J92" i="25"/>
  <c r="J89" i="25"/>
  <c r="J86" i="25"/>
  <c r="J83" i="25"/>
  <c r="J80" i="25"/>
  <c r="J77" i="25"/>
  <c r="J74" i="25"/>
  <c r="J71" i="25"/>
  <c r="J139" i="25"/>
  <c r="J124" i="25"/>
  <c r="J133" i="25"/>
  <c r="J142" i="25"/>
  <c r="J136" i="25"/>
  <c r="J100" i="25"/>
  <c r="J148" i="25"/>
  <c r="J125" i="25"/>
  <c r="J96" i="25"/>
  <c r="J87" i="25"/>
  <c r="J78" i="25"/>
  <c r="J72" i="25"/>
  <c r="J68" i="25"/>
  <c r="J65" i="25"/>
  <c r="J62" i="25"/>
  <c r="J59" i="25"/>
  <c r="J56" i="25"/>
  <c r="J53" i="25"/>
  <c r="J50" i="25"/>
  <c r="J47" i="25"/>
  <c r="J151" i="25"/>
  <c r="J128" i="25"/>
  <c r="J93" i="25"/>
  <c r="J84" i="25"/>
  <c r="J157" i="25"/>
  <c r="J130" i="25"/>
  <c r="J90" i="25"/>
  <c r="J81" i="25"/>
  <c r="J39" i="25"/>
  <c r="J36" i="25"/>
  <c r="J33" i="25"/>
  <c r="J30" i="25"/>
  <c r="J27" i="25"/>
  <c r="J24" i="25"/>
  <c r="J21" i="25"/>
  <c r="J18" i="25"/>
  <c r="J15" i="25"/>
  <c r="J12" i="25"/>
  <c r="J9" i="25"/>
  <c r="J122" i="25"/>
  <c r="J45" i="25"/>
  <c r="J154" i="25"/>
  <c r="J99" i="25"/>
  <c r="J97" i="25"/>
  <c r="J42" i="25"/>
  <c r="J70" i="25"/>
  <c r="J67" i="25"/>
  <c r="J64" i="25"/>
  <c r="J61" i="25"/>
  <c r="J58" i="25"/>
  <c r="J55" i="25"/>
  <c r="J52" i="25"/>
  <c r="J49" i="25"/>
  <c r="J46" i="25"/>
  <c r="J40" i="25"/>
  <c r="J37" i="25"/>
  <c r="J34" i="25"/>
  <c r="J31" i="25"/>
  <c r="J28" i="25"/>
  <c r="J25" i="25"/>
  <c r="J22" i="25"/>
  <c r="J19" i="25"/>
  <c r="J16" i="25"/>
  <c r="J13" i="25"/>
  <c r="J10" i="25"/>
  <c r="J121" i="25"/>
  <c r="J75" i="25"/>
  <c r="J69" i="25"/>
  <c r="J66" i="25"/>
  <c r="J63" i="25"/>
  <c r="J60" i="25"/>
  <c r="J57" i="25"/>
  <c r="J54" i="25"/>
  <c r="J51" i="25"/>
  <c r="J48" i="25"/>
  <c r="J129" i="25"/>
  <c r="J7" i="25"/>
  <c r="J4" i="25"/>
  <c r="J43" i="25"/>
  <c r="K1" i="25"/>
  <c r="J41" i="25"/>
  <c r="J38" i="25"/>
  <c r="J35" i="25"/>
  <c r="J32" i="25"/>
  <c r="J29" i="25"/>
  <c r="J26" i="25"/>
  <c r="J23" i="25"/>
  <c r="J20" i="25"/>
  <c r="J17" i="25"/>
  <c r="J14" i="25"/>
  <c r="J11" i="25"/>
  <c r="J5" i="25"/>
  <c r="J8" i="25"/>
  <c r="J44" i="25"/>
  <c r="J6" i="25"/>
  <c r="J3" i="25"/>
  <c r="J192" i="16"/>
  <c r="J189" i="16"/>
  <c r="J186" i="16"/>
  <c r="J183" i="16"/>
  <c r="J180" i="16"/>
  <c r="J176" i="16"/>
  <c r="J173" i="16"/>
  <c r="J170" i="16"/>
  <c r="J167" i="16"/>
  <c r="J164" i="16"/>
  <c r="J161" i="16"/>
  <c r="J158" i="16"/>
  <c r="J155" i="16"/>
  <c r="J152" i="16"/>
  <c r="J149" i="16"/>
  <c r="J146" i="16"/>
  <c r="J127" i="16"/>
  <c r="J124" i="16"/>
  <c r="J121" i="16"/>
  <c r="J118" i="16"/>
  <c r="J115" i="16"/>
  <c r="J112" i="16"/>
  <c r="J109" i="16"/>
  <c r="J106" i="16"/>
  <c r="J103" i="16"/>
  <c r="J100" i="16"/>
  <c r="J97" i="16"/>
  <c r="J94" i="16"/>
  <c r="J91" i="16"/>
  <c r="J88" i="16"/>
  <c r="J85" i="16"/>
  <c r="J82" i="16"/>
  <c r="J79" i="16"/>
  <c r="J76" i="16"/>
  <c r="J73" i="16"/>
  <c r="J70" i="16"/>
  <c r="J138" i="16"/>
  <c r="J133" i="16"/>
  <c r="J130" i="16"/>
  <c r="J191" i="16"/>
  <c r="J190" i="16"/>
  <c r="J177" i="16"/>
  <c r="J174" i="16"/>
  <c r="J171" i="16"/>
  <c r="J168" i="16"/>
  <c r="J165" i="16"/>
  <c r="J162" i="16"/>
  <c r="J159" i="16"/>
  <c r="J156" i="16"/>
  <c r="J153" i="16"/>
  <c r="J150" i="16"/>
  <c r="J147" i="16"/>
  <c r="J144" i="16"/>
  <c r="J128" i="16"/>
  <c r="J125" i="16"/>
  <c r="J122" i="16"/>
  <c r="J119" i="16"/>
  <c r="J116" i="16"/>
  <c r="J113" i="16"/>
  <c r="J110" i="16"/>
  <c r="J107" i="16"/>
  <c r="J104" i="16"/>
  <c r="J101" i="16"/>
  <c r="J98" i="16"/>
  <c r="J95" i="16"/>
  <c r="J92" i="16"/>
  <c r="J89" i="16"/>
  <c r="J86" i="16"/>
  <c r="J83" i="16"/>
  <c r="J80" i="16"/>
  <c r="J77" i="16"/>
  <c r="J74" i="16"/>
  <c r="J71" i="16"/>
  <c r="J188" i="16"/>
  <c r="J139" i="16"/>
  <c r="J187" i="16"/>
  <c r="J175" i="16"/>
  <c r="J172" i="16"/>
  <c r="J169" i="16"/>
  <c r="J166" i="16"/>
  <c r="J163" i="16"/>
  <c r="J160" i="16"/>
  <c r="J157" i="16"/>
  <c r="J154" i="16"/>
  <c r="J151" i="16"/>
  <c r="J148" i="16"/>
  <c r="J145" i="16"/>
  <c r="J137" i="16"/>
  <c r="J129" i="16"/>
  <c r="J126" i="16"/>
  <c r="J123" i="16"/>
  <c r="J120" i="16"/>
  <c r="J117" i="16"/>
  <c r="J114" i="16"/>
  <c r="J111" i="16"/>
  <c r="J108" i="16"/>
  <c r="J105" i="16"/>
  <c r="J102" i="16"/>
  <c r="J99" i="16"/>
  <c r="J96" i="16"/>
  <c r="J93" i="16"/>
  <c r="J90" i="16"/>
  <c r="J87" i="16"/>
  <c r="J84" i="16"/>
  <c r="J81" i="16"/>
  <c r="J78" i="16"/>
  <c r="J75" i="16"/>
  <c r="J72" i="16"/>
  <c r="J69" i="16"/>
  <c r="J179" i="16"/>
  <c r="J193" i="16"/>
  <c r="J141" i="16"/>
  <c r="J184" i="16"/>
  <c r="J182" i="16"/>
  <c r="J135" i="16"/>
  <c r="J142" i="16"/>
  <c r="J131" i="16"/>
  <c r="K1" i="16"/>
  <c r="J140" i="16"/>
  <c r="J136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185" i="16"/>
  <c r="J181" i="16"/>
  <c r="J134" i="16"/>
  <c r="J178" i="16"/>
  <c r="J132" i="16"/>
  <c r="J143" i="16"/>
  <c r="K188" i="20"/>
  <c r="K185" i="20"/>
  <c r="K182" i="20"/>
  <c r="K179" i="20"/>
  <c r="K176" i="20"/>
  <c r="K173" i="20"/>
  <c r="K170" i="20"/>
  <c r="K167" i="20"/>
  <c r="K164" i="20"/>
  <c r="K161" i="20"/>
  <c r="K158" i="20"/>
  <c r="K155" i="20"/>
  <c r="K190" i="20"/>
  <c r="K187" i="20"/>
  <c r="K184" i="20"/>
  <c r="K181" i="20"/>
  <c r="K178" i="20"/>
  <c r="K175" i="20"/>
  <c r="K172" i="20"/>
  <c r="K169" i="20"/>
  <c r="K166" i="20"/>
  <c r="K163" i="20"/>
  <c r="K160" i="20"/>
  <c r="K157" i="20"/>
  <c r="K154" i="20"/>
  <c r="K151" i="20"/>
  <c r="K148" i="20"/>
  <c r="K146" i="20"/>
  <c r="K138" i="20"/>
  <c r="K133" i="20"/>
  <c r="K149" i="20"/>
  <c r="K139" i="20"/>
  <c r="K174" i="20"/>
  <c r="K145" i="20"/>
  <c r="K120" i="20"/>
  <c r="K140" i="20"/>
  <c r="K135" i="20"/>
  <c r="K129" i="20"/>
  <c r="K66" i="20"/>
  <c r="K63" i="20"/>
  <c r="K60" i="20"/>
  <c r="K57" i="20"/>
  <c r="K54" i="20"/>
  <c r="K51" i="20"/>
  <c r="K48" i="20"/>
  <c r="K45" i="20"/>
  <c r="K42" i="20"/>
  <c r="K39" i="20"/>
  <c r="K177" i="20"/>
  <c r="K147" i="20"/>
  <c r="K144" i="20"/>
  <c r="K119" i="20"/>
  <c r="K110" i="20"/>
  <c r="K101" i="20"/>
  <c r="K92" i="20"/>
  <c r="K83" i="20"/>
  <c r="K74" i="20"/>
  <c r="K67" i="20"/>
  <c r="K64" i="20"/>
  <c r="K61" i="20"/>
  <c r="K58" i="20"/>
  <c r="K55" i="20"/>
  <c r="K52" i="20"/>
  <c r="K49" i="20"/>
  <c r="K46" i="20"/>
  <c r="K43" i="20"/>
  <c r="K40" i="20"/>
  <c r="K180" i="20"/>
  <c r="K183" i="20"/>
  <c r="K150" i="20"/>
  <c r="K142" i="20"/>
  <c r="K131" i="20"/>
  <c r="K126" i="20"/>
  <c r="K117" i="20"/>
  <c r="K108" i="20"/>
  <c r="K99" i="20"/>
  <c r="K90" i="20"/>
  <c r="K171" i="20"/>
  <c r="K156" i="20"/>
  <c r="K121" i="20"/>
  <c r="K112" i="20"/>
  <c r="K103" i="20"/>
  <c r="K114" i="20"/>
  <c r="K104" i="20"/>
  <c r="K86" i="20"/>
  <c r="K77" i="20"/>
  <c r="K56" i="20"/>
  <c r="K47" i="20"/>
  <c r="K38" i="20"/>
  <c r="K189" i="20"/>
  <c r="K153" i="20"/>
  <c r="K128" i="20"/>
  <c r="K107" i="20"/>
  <c r="K168" i="20"/>
  <c r="K118" i="20"/>
  <c r="K100" i="20"/>
  <c r="K65" i="20"/>
  <c r="K62" i="20"/>
  <c r="K186" i="20"/>
  <c r="K127" i="20"/>
  <c r="K91" i="20"/>
  <c r="K89" i="20"/>
  <c r="K68" i="20"/>
  <c r="K165" i="20"/>
  <c r="K137" i="20"/>
  <c r="K113" i="20"/>
  <c r="K95" i="20"/>
  <c r="K93" i="20"/>
  <c r="K87" i="20"/>
  <c r="K81" i="20"/>
  <c r="K78" i="20"/>
  <c r="K72" i="20"/>
  <c r="K69" i="20"/>
  <c r="K59" i="20"/>
  <c r="K50" i="20"/>
  <c r="K136" i="20"/>
  <c r="K125" i="20"/>
  <c r="K116" i="20"/>
  <c r="K106" i="20"/>
  <c r="K97" i="20"/>
  <c r="K84" i="20"/>
  <c r="K75" i="20"/>
  <c r="K37" i="20"/>
  <c r="K34" i="20"/>
  <c r="K31" i="20"/>
  <c r="K28" i="20"/>
  <c r="K25" i="20"/>
  <c r="K22" i="20"/>
  <c r="K19" i="20"/>
  <c r="K16" i="20"/>
  <c r="K13" i="20"/>
  <c r="K10" i="20"/>
  <c r="K7" i="20"/>
  <c r="K4" i="20"/>
  <c r="K162" i="20"/>
  <c r="K134" i="20"/>
  <c r="K124" i="20"/>
  <c r="K109" i="20"/>
  <c r="K123" i="20"/>
  <c r="K102" i="20"/>
  <c r="K143" i="20"/>
  <c r="K132" i="20"/>
  <c r="K105" i="20"/>
  <c r="K82" i="20"/>
  <c r="K73" i="20"/>
  <c r="K53" i="20"/>
  <c r="K44" i="20"/>
  <c r="K122" i="20"/>
  <c r="K115" i="20"/>
  <c r="K88" i="20"/>
  <c r="K85" i="20"/>
  <c r="K79" i="20"/>
  <c r="K76" i="20"/>
  <c r="K70" i="20"/>
  <c r="K35" i="20"/>
  <c r="K32" i="20"/>
  <c r="K29" i="20"/>
  <c r="K26" i="20"/>
  <c r="K23" i="20"/>
  <c r="K20" i="20"/>
  <c r="K17" i="20"/>
  <c r="K14" i="20"/>
  <c r="K11" i="20"/>
  <c r="K8" i="20"/>
  <c r="K5" i="20"/>
  <c r="K96" i="20"/>
  <c r="K94" i="20"/>
  <c r="K36" i="20"/>
  <c r="K33" i="20"/>
  <c r="K30" i="20"/>
  <c r="K27" i="20"/>
  <c r="K24" i="20"/>
  <c r="K21" i="20"/>
  <c r="K18" i="20"/>
  <c r="K15" i="20"/>
  <c r="K12" i="20"/>
  <c r="K9" i="20"/>
  <c r="K6" i="20"/>
  <c r="K3" i="20"/>
  <c r="L1" i="20"/>
  <c r="K41" i="20"/>
  <c r="K159" i="20"/>
  <c r="K71" i="20"/>
  <c r="K141" i="20"/>
  <c r="K130" i="20"/>
  <c r="K152" i="20"/>
  <c r="K111" i="20"/>
  <c r="K98" i="20"/>
  <c r="K80" i="20"/>
  <c r="I176" i="27"/>
  <c r="I173" i="27"/>
  <c r="I170" i="27"/>
  <c r="I167" i="27"/>
  <c r="I164" i="27"/>
  <c r="I161" i="27"/>
  <c r="I158" i="27"/>
  <c r="I155" i="27"/>
  <c r="I152" i="27"/>
  <c r="I149" i="27"/>
  <c r="I146" i="27"/>
  <c r="I174" i="27"/>
  <c r="I171" i="27"/>
  <c r="I168" i="27"/>
  <c r="I165" i="27"/>
  <c r="I162" i="27"/>
  <c r="I159" i="27"/>
  <c r="I156" i="27"/>
  <c r="I153" i="27"/>
  <c r="I150" i="27"/>
  <c r="I147" i="27"/>
  <c r="I175" i="27"/>
  <c r="I172" i="27"/>
  <c r="I169" i="27"/>
  <c r="I166" i="27"/>
  <c r="I163" i="27"/>
  <c r="I160" i="27"/>
  <c r="I157" i="27"/>
  <c r="I154" i="27"/>
  <c r="I151" i="27"/>
  <c r="I148" i="27"/>
  <c r="I145" i="27"/>
  <c r="I142" i="27"/>
  <c r="I139" i="27"/>
  <c r="I136" i="27"/>
  <c r="I133" i="27"/>
  <c r="I130" i="27"/>
  <c r="I127" i="27"/>
  <c r="I123" i="27"/>
  <c r="I114" i="27"/>
  <c r="I143" i="27"/>
  <c r="I140" i="27"/>
  <c r="I137" i="27"/>
  <c r="I134" i="27"/>
  <c r="I131" i="27"/>
  <c r="I128" i="27"/>
  <c r="I124" i="27"/>
  <c r="I115" i="27"/>
  <c r="I111" i="27"/>
  <c r="I108" i="27"/>
  <c r="I105" i="27"/>
  <c r="I102" i="27"/>
  <c r="I99" i="27"/>
  <c r="I96" i="27"/>
  <c r="I93" i="27"/>
  <c r="I90" i="27"/>
  <c r="I87" i="27"/>
  <c r="I144" i="27"/>
  <c r="I141" i="27"/>
  <c r="I138" i="27"/>
  <c r="I135" i="27"/>
  <c r="I132" i="27"/>
  <c r="I129" i="27"/>
  <c r="I125" i="27"/>
  <c r="I116" i="27"/>
  <c r="I113" i="27"/>
  <c r="I109" i="27"/>
  <c r="I106" i="27"/>
  <c r="I103" i="27"/>
  <c r="I100" i="27"/>
  <c r="I97" i="27"/>
  <c r="I94" i="27"/>
  <c r="I91" i="27"/>
  <c r="I88" i="27"/>
  <c r="I84" i="27"/>
  <c r="I81" i="27"/>
  <c r="I78" i="27"/>
  <c r="I75" i="27"/>
  <c r="I72" i="27"/>
  <c r="I69" i="27"/>
  <c r="I66" i="27"/>
  <c r="I85" i="27"/>
  <c r="I82" i="27"/>
  <c r="I79" i="27"/>
  <c r="I76" i="27"/>
  <c r="I73" i="27"/>
  <c r="I70" i="27"/>
  <c r="I67" i="27"/>
  <c r="I64" i="27"/>
  <c r="I110" i="27"/>
  <c r="I107" i="27"/>
  <c r="I104" i="27"/>
  <c r="I101" i="27"/>
  <c r="I98" i="27"/>
  <c r="I95" i="27"/>
  <c r="I92" i="27"/>
  <c r="I86" i="27"/>
  <c r="I83" i="27"/>
  <c r="I80" i="27"/>
  <c r="I77" i="27"/>
  <c r="I74" i="27"/>
  <c r="I71" i="27"/>
  <c r="I68" i="27"/>
  <c r="I65" i="27"/>
  <c r="I89" i="27"/>
  <c r="I61" i="27"/>
  <c r="I58" i="27"/>
  <c r="I55" i="27"/>
  <c r="I52" i="27"/>
  <c r="I49" i="27"/>
  <c r="I46" i="27"/>
  <c r="I43" i="27"/>
  <c r="I40" i="27"/>
  <c r="I62" i="27"/>
  <c r="I59" i="27"/>
  <c r="I56" i="27"/>
  <c r="I53" i="27"/>
  <c r="I50" i="27"/>
  <c r="I47" i="27"/>
  <c r="I44" i="27"/>
  <c r="I41" i="27"/>
  <c r="I38" i="27"/>
  <c r="I63" i="27"/>
  <c r="I60" i="27"/>
  <c r="I57" i="27"/>
  <c r="I54" i="27"/>
  <c r="I51" i="27"/>
  <c r="I48" i="27"/>
  <c r="I45" i="27"/>
  <c r="I42" i="27"/>
  <c r="I39" i="27"/>
  <c r="I35" i="27"/>
  <c r="I32" i="27"/>
  <c r="I29" i="27"/>
  <c r="I26" i="27"/>
  <c r="I23" i="27"/>
  <c r="I20" i="27"/>
  <c r="I17" i="27"/>
  <c r="I14" i="27"/>
  <c r="I11" i="27"/>
  <c r="I36" i="27"/>
  <c r="I33" i="27"/>
  <c r="I30" i="27"/>
  <c r="I27" i="27"/>
  <c r="I24" i="27"/>
  <c r="I21" i="27"/>
  <c r="I18" i="27"/>
  <c r="I15" i="27"/>
  <c r="I12" i="27"/>
  <c r="I37" i="27"/>
  <c r="I34" i="27"/>
  <c r="I31" i="27"/>
  <c r="I28" i="27"/>
  <c r="I25" i="27"/>
  <c r="I22" i="27"/>
  <c r="I19" i="27"/>
  <c r="I16" i="27"/>
  <c r="I13" i="27"/>
  <c r="J1" i="27"/>
  <c r="I8" i="27"/>
  <c r="I5" i="27"/>
  <c r="I4" i="27"/>
  <c r="I6" i="27"/>
  <c r="I10" i="27"/>
  <c r="I7" i="27"/>
  <c r="I3" i="27"/>
  <c r="I9" i="27"/>
  <c r="I126" i="23"/>
  <c r="I131" i="23"/>
  <c r="I134" i="23"/>
  <c r="I185" i="23"/>
  <c r="I182" i="23"/>
  <c r="I179" i="23"/>
  <c r="I176" i="23"/>
  <c r="I173" i="23"/>
  <c r="I170" i="23"/>
  <c r="I167" i="23"/>
  <c r="I164" i="23"/>
  <c r="I161" i="23"/>
  <c r="I158" i="23"/>
  <c r="I155" i="23"/>
  <c r="I152" i="23"/>
  <c r="I149" i="23"/>
  <c r="I146" i="23"/>
  <c r="I143" i="23"/>
  <c r="I140" i="23"/>
  <c r="I137" i="23"/>
  <c r="I129" i="23"/>
  <c r="I121" i="23"/>
  <c r="I124" i="23"/>
  <c r="I135" i="23"/>
  <c r="I132" i="23"/>
  <c r="I183" i="23"/>
  <c r="I180" i="23"/>
  <c r="I177" i="23"/>
  <c r="I174" i="23"/>
  <c r="I171" i="23"/>
  <c r="I168" i="23"/>
  <c r="I165" i="23"/>
  <c r="I162" i="23"/>
  <c r="I159" i="23"/>
  <c r="I156" i="23"/>
  <c r="I153" i="23"/>
  <c r="I150" i="23"/>
  <c r="I147" i="23"/>
  <c r="I144" i="23"/>
  <c r="I141" i="23"/>
  <c r="I138" i="23"/>
  <c r="I119" i="23"/>
  <c r="I133" i="23"/>
  <c r="I128" i="23"/>
  <c r="I120" i="23"/>
  <c r="I178" i="23"/>
  <c r="I151" i="23"/>
  <c r="I181" i="23"/>
  <c r="I154" i="23"/>
  <c r="I122" i="23"/>
  <c r="I116" i="23"/>
  <c r="I111" i="23"/>
  <c r="I107" i="23"/>
  <c r="I102" i="23"/>
  <c r="I98" i="23"/>
  <c r="I172" i="23"/>
  <c r="I145" i="23"/>
  <c r="I175" i="23"/>
  <c r="I148" i="23"/>
  <c r="I123" i="23"/>
  <c r="I117" i="23"/>
  <c r="I113" i="23"/>
  <c r="I108" i="23"/>
  <c r="I104" i="23"/>
  <c r="I130" i="23"/>
  <c r="I127" i="23"/>
  <c r="I118" i="23"/>
  <c r="I93" i="23"/>
  <c r="I92" i="23"/>
  <c r="I91" i="23"/>
  <c r="I184" i="23"/>
  <c r="I157" i="23"/>
  <c r="I86" i="23"/>
  <c r="I81" i="23"/>
  <c r="I78" i="23"/>
  <c r="I75" i="23"/>
  <c r="I72" i="23"/>
  <c r="I69" i="23"/>
  <c r="I66" i="23"/>
  <c r="I160" i="23"/>
  <c r="I115" i="23"/>
  <c r="I101" i="23"/>
  <c r="I163" i="23"/>
  <c r="I114" i="23"/>
  <c r="I112" i="23"/>
  <c r="I90" i="23"/>
  <c r="I166" i="23"/>
  <c r="I110" i="23"/>
  <c r="I109" i="23"/>
  <c r="I85" i="23"/>
  <c r="I96" i="23"/>
  <c r="I89" i="23"/>
  <c r="I82" i="23"/>
  <c r="I79" i="23"/>
  <c r="I76" i="23"/>
  <c r="I73" i="23"/>
  <c r="I70" i="23"/>
  <c r="I67" i="23"/>
  <c r="I105" i="23"/>
  <c r="I103" i="23"/>
  <c r="I84" i="23"/>
  <c r="I125" i="23"/>
  <c r="I88" i="23"/>
  <c r="I97" i="23"/>
  <c r="I83" i="23"/>
  <c r="I80" i="23"/>
  <c r="I77" i="23"/>
  <c r="I74" i="23"/>
  <c r="I71" i="23"/>
  <c r="I68" i="23"/>
  <c r="I65" i="23"/>
  <c r="I62" i="23"/>
  <c r="I59" i="23"/>
  <c r="I56" i="23"/>
  <c r="I53" i="23"/>
  <c r="I50" i="23"/>
  <c r="I100" i="23"/>
  <c r="I61" i="23"/>
  <c r="I142" i="23"/>
  <c r="I87" i="23"/>
  <c r="I99" i="23"/>
  <c r="I48" i="23"/>
  <c r="I46" i="23"/>
  <c r="I43" i="23"/>
  <c r="I40" i="23"/>
  <c r="I37" i="23"/>
  <c r="I34" i="23"/>
  <c r="I31" i="23"/>
  <c r="I28" i="23"/>
  <c r="I25" i="23"/>
  <c r="I22" i="23"/>
  <c r="I19" i="23"/>
  <c r="I16" i="23"/>
  <c r="I13" i="23"/>
  <c r="I10" i="23"/>
  <c r="I7" i="23"/>
  <c r="I4" i="23"/>
  <c r="I139" i="23"/>
  <c r="I95" i="23"/>
  <c r="I63" i="23"/>
  <c r="I64" i="23"/>
  <c r="I55" i="23"/>
  <c r="I54" i="23"/>
  <c r="J1" i="23"/>
  <c r="I136" i="23"/>
  <c r="I47" i="23"/>
  <c r="I44" i="23"/>
  <c r="I41" i="23"/>
  <c r="I38" i="23"/>
  <c r="I35" i="23"/>
  <c r="I32" i="23"/>
  <c r="I29" i="23"/>
  <c r="I26" i="23"/>
  <c r="I23" i="23"/>
  <c r="I20" i="23"/>
  <c r="I17" i="23"/>
  <c r="I14" i="23"/>
  <c r="I11" i="23"/>
  <c r="I8" i="23"/>
  <c r="I5" i="23"/>
  <c r="I94" i="23"/>
  <c r="I57" i="23"/>
  <c r="I52" i="23"/>
  <c r="I169" i="23"/>
  <c r="I45" i="23"/>
  <c r="I42" i="23"/>
  <c r="I39" i="23"/>
  <c r="I36" i="23"/>
  <c r="I33" i="23"/>
  <c r="I30" i="23"/>
  <c r="I27" i="23"/>
  <c r="I24" i="23"/>
  <c r="I21" i="23"/>
  <c r="I18" i="23"/>
  <c r="I15" i="23"/>
  <c r="I12" i="23"/>
  <c r="I9" i="23"/>
  <c r="I6" i="23"/>
  <c r="I3" i="23"/>
  <c r="I51" i="23"/>
  <c r="I106" i="23"/>
  <c r="I49" i="23"/>
  <c r="I60" i="23"/>
  <c r="I58" i="23"/>
  <c r="I140" i="18"/>
  <c r="I191" i="18"/>
  <c r="I188" i="18"/>
  <c r="I185" i="18"/>
  <c r="I182" i="18"/>
  <c r="I179" i="18"/>
  <c r="I176" i="18"/>
  <c r="I173" i="18"/>
  <c r="I170" i="18"/>
  <c r="I167" i="18"/>
  <c r="I164" i="18"/>
  <c r="I161" i="18"/>
  <c r="I158" i="18"/>
  <c r="I155" i="18"/>
  <c r="I152" i="18"/>
  <c r="I149" i="18"/>
  <c r="I192" i="18"/>
  <c r="I189" i="18"/>
  <c r="I186" i="18"/>
  <c r="I183" i="18"/>
  <c r="I180" i="18"/>
  <c r="I177" i="18"/>
  <c r="I174" i="18"/>
  <c r="I171" i="18"/>
  <c r="I168" i="18"/>
  <c r="I165" i="18"/>
  <c r="I162" i="18"/>
  <c r="I159" i="18"/>
  <c r="I156" i="18"/>
  <c r="I153" i="18"/>
  <c r="I150" i="18"/>
  <c r="I147" i="18"/>
  <c r="I144" i="18"/>
  <c r="I136" i="18"/>
  <c r="I187" i="18"/>
  <c r="I178" i="18"/>
  <c r="I169" i="18"/>
  <c r="I172" i="18"/>
  <c r="I175" i="18"/>
  <c r="I148" i="18"/>
  <c r="I146" i="18"/>
  <c r="I128" i="18"/>
  <c r="I125" i="18"/>
  <c r="I122" i="18"/>
  <c r="I119" i="18"/>
  <c r="I116" i="18"/>
  <c r="I113" i="18"/>
  <c r="I110" i="18"/>
  <c r="I107" i="18"/>
  <c r="I104" i="18"/>
  <c r="I101" i="18"/>
  <c r="I98" i="18"/>
  <c r="I95" i="18"/>
  <c r="I92" i="18"/>
  <c r="I89" i="18"/>
  <c r="I86" i="18"/>
  <c r="I83" i="18"/>
  <c r="I80" i="18"/>
  <c r="I77" i="18"/>
  <c r="I74" i="18"/>
  <c r="I71" i="18"/>
  <c r="I190" i="18"/>
  <c r="I166" i="18"/>
  <c r="I160" i="18"/>
  <c r="I126" i="18"/>
  <c r="I123" i="18"/>
  <c r="I120" i="18"/>
  <c r="I117" i="18"/>
  <c r="I114" i="18"/>
  <c r="I111" i="18"/>
  <c r="I108" i="18"/>
  <c r="I105" i="18"/>
  <c r="I102" i="18"/>
  <c r="I99" i="18"/>
  <c r="I96" i="18"/>
  <c r="I93" i="18"/>
  <c r="I90" i="18"/>
  <c r="I87" i="18"/>
  <c r="I84" i="18"/>
  <c r="I81" i="18"/>
  <c r="I78" i="18"/>
  <c r="I75" i="18"/>
  <c r="I72" i="18"/>
  <c r="I69" i="18"/>
  <c r="I142" i="18"/>
  <c r="I139" i="18"/>
  <c r="I66" i="18"/>
  <c r="I57" i="18"/>
  <c r="I48" i="18"/>
  <c r="I39" i="18"/>
  <c r="I30" i="18"/>
  <c r="I21" i="18"/>
  <c r="I12" i="18"/>
  <c r="I3" i="18"/>
  <c r="I154" i="18"/>
  <c r="I134" i="18"/>
  <c r="I129" i="18"/>
  <c r="I61" i="18"/>
  <c r="I52" i="18"/>
  <c r="I43" i="18"/>
  <c r="I34" i="18"/>
  <c r="I124" i="18"/>
  <c r="I115" i="18"/>
  <c r="I106" i="18"/>
  <c r="I97" i="18"/>
  <c r="I88" i="18"/>
  <c r="I79" i="18"/>
  <c r="I70" i="18"/>
  <c r="I151" i="18"/>
  <c r="I133" i="18"/>
  <c r="I65" i="18"/>
  <c r="I56" i="18"/>
  <c r="I47" i="18"/>
  <c r="I38" i="18"/>
  <c r="I29" i="18"/>
  <c r="I20" i="18"/>
  <c r="I11" i="18"/>
  <c r="I137" i="18"/>
  <c r="I60" i="18"/>
  <c r="I51" i="18"/>
  <c r="I42" i="18"/>
  <c r="I33" i="18"/>
  <c r="I24" i="18"/>
  <c r="I15" i="18"/>
  <c r="I6" i="18"/>
  <c r="I163" i="18"/>
  <c r="I145" i="18"/>
  <c r="I132" i="18"/>
  <c r="I181" i="18"/>
  <c r="I143" i="18"/>
  <c r="I127" i="18"/>
  <c r="I118" i="18"/>
  <c r="I109" i="18"/>
  <c r="I100" i="18"/>
  <c r="I91" i="18"/>
  <c r="I82" i="18"/>
  <c r="I184" i="18"/>
  <c r="I138" i="18"/>
  <c r="I73" i="18"/>
  <c r="I63" i="18"/>
  <c r="I36" i="18"/>
  <c r="I121" i="18"/>
  <c r="I59" i="18"/>
  <c r="I49" i="18"/>
  <c r="I32" i="18"/>
  <c r="I27" i="18"/>
  <c r="I25" i="18"/>
  <c r="J1" i="18"/>
  <c r="I76" i="18"/>
  <c r="I55" i="18"/>
  <c r="I10" i="18"/>
  <c r="I4" i="18"/>
  <c r="I157" i="18"/>
  <c r="I135" i="18"/>
  <c r="I45" i="18"/>
  <c r="I62" i="18"/>
  <c r="I35" i="18"/>
  <c r="I14" i="18"/>
  <c r="I8" i="18"/>
  <c r="I112" i="18"/>
  <c r="I94" i="18"/>
  <c r="I85" i="18"/>
  <c r="I68" i="18"/>
  <c r="I58" i="18"/>
  <c r="I41" i="18"/>
  <c r="I31" i="18"/>
  <c r="I18" i="18"/>
  <c r="I16" i="18"/>
  <c r="I54" i="18"/>
  <c r="I44" i="18"/>
  <c r="I26" i="18"/>
  <c r="I5" i="18"/>
  <c r="I141" i="18"/>
  <c r="I131" i="18"/>
  <c r="I103" i="18"/>
  <c r="I67" i="18"/>
  <c r="I50" i="18"/>
  <c r="I40" i="18"/>
  <c r="I9" i="18"/>
  <c r="I7" i="18"/>
  <c r="I37" i="18"/>
  <c r="I28" i="18"/>
  <c r="I46" i="18"/>
  <c r="I17" i="18"/>
  <c r="I64" i="18"/>
  <c r="I22" i="18"/>
  <c r="I130" i="18"/>
  <c r="I19" i="18"/>
  <c r="I13" i="18"/>
  <c r="I23" i="18"/>
  <c r="I53" i="18"/>
  <c r="L127" i="22"/>
  <c r="L135" i="22"/>
  <c r="L132" i="22"/>
  <c r="L183" i="22"/>
  <c r="L180" i="22"/>
  <c r="L177" i="22"/>
  <c r="L174" i="22"/>
  <c r="L171" i="22"/>
  <c r="L168" i="22"/>
  <c r="L165" i="22"/>
  <c r="L162" i="22"/>
  <c r="L159" i="22"/>
  <c r="L156" i="22"/>
  <c r="L153" i="22"/>
  <c r="L150" i="22"/>
  <c r="L147" i="22"/>
  <c r="L144" i="22"/>
  <c r="L141" i="22"/>
  <c r="L138" i="22"/>
  <c r="L119" i="22"/>
  <c r="L130" i="22"/>
  <c r="L125" i="22"/>
  <c r="L122" i="22"/>
  <c r="L133" i="22"/>
  <c r="L128" i="22"/>
  <c r="L184" i="22"/>
  <c r="L181" i="22"/>
  <c r="L178" i="22"/>
  <c r="L175" i="22"/>
  <c r="L172" i="22"/>
  <c r="L169" i="22"/>
  <c r="L166" i="22"/>
  <c r="L163" i="22"/>
  <c r="L160" i="22"/>
  <c r="L157" i="22"/>
  <c r="L154" i="22"/>
  <c r="L151" i="22"/>
  <c r="L148" i="22"/>
  <c r="L145" i="22"/>
  <c r="L142" i="22"/>
  <c r="L139" i="22"/>
  <c r="L136" i="22"/>
  <c r="L120" i="22"/>
  <c r="L126" i="22"/>
  <c r="L123" i="22"/>
  <c r="L134" i="22"/>
  <c r="L185" i="22"/>
  <c r="L182" i="22"/>
  <c r="L179" i="22"/>
  <c r="L176" i="22"/>
  <c r="L173" i="22"/>
  <c r="L170" i="22"/>
  <c r="L167" i="22"/>
  <c r="L164" i="22"/>
  <c r="L161" i="22"/>
  <c r="L158" i="22"/>
  <c r="L155" i="22"/>
  <c r="L152" i="22"/>
  <c r="L149" i="22"/>
  <c r="L146" i="22"/>
  <c r="L143" i="22"/>
  <c r="L140" i="22"/>
  <c r="L137" i="22"/>
  <c r="L129" i="22"/>
  <c r="L121" i="22"/>
  <c r="L118" i="22"/>
  <c r="L115" i="22"/>
  <c r="L112" i="22"/>
  <c r="L109" i="22"/>
  <c r="L106" i="22"/>
  <c r="L103" i="22"/>
  <c r="L100" i="22"/>
  <c r="L97" i="22"/>
  <c r="L94" i="22"/>
  <c r="L91" i="22"/>
  <c r="L88" i="22"/>
  <c r="L85" i="22"/>
  <c r="L82" i="22"/>
  <c r="L79" i="22"/>
  <c r="L76" i="22"/>
  <c r="L73" i="22"/>
  <c r="L70" i="22"/>
  <c r="L67" i="22"/>
  <c r="L64" i="22"/>
  <c r="L61" i="22"/>
  <c r="L58" i="22"/>
  <c r="L55" i="22"/>
  <c r="L52" i="22"/>
  <c r="L49" i="22"/>
  <c r="L46" i="22"/>
  <c r="L43" i="22"/>
  <c r="L40" i="22"/>
  <c r="L37" i="22"/>
  <c r="L34" i="22"/>
  <c r="L31" i="22"/>
  <c r="L28" i="22"/>
  <c r="L25" i="22"/>
  <c r="L22" i="22"/>
  <c r="L19" i="22"/>
  <c r="L16" i="22"/>
  <c r="L13" i="22"/>
  <c r="L124" i="22"/>
  <c r="L116" i="22"/>
  <c r="L113" i="22"/>
  <c r="L110" i="22"/>
  <c r="L107" i="22"/>
  <c r="L104" i="22"/>
  <c r="L101" i="22"/>
  <c r="L98" i="22"/>
  <c r="L95" i="22"/>
  <c r="L92" i="22"/>
  <c r="L89" i="22"/>
  <c r="L86" i="22"/>
  <c r="L83" i="22"/>
  <c r="L80" i="22"/>
  <c r="L77" i="22"/>
  <c r="L74" i="22"/>
  <c r="L71" i="22"/>
  <c r="L68" i="22"/>
  <c r="L65" i="22"/>
  <c r="L62" i="22"/>
  <c r="L59" i="22"/>
  <c r="L56" i="22"/>
  <c r="L53" i="22"/>
  <c r="L50" i="22"/>
  <c r="L47" i="22"/>
  <c r="L44" i="22"/>
  <c r="L41" i="22"/>
  <c r="L38" i="22"/>
  <c r="L35" i="22"/>
  <c r="L32" i="22"/>
  <c r="L29" i="22"/>
  <c r="L26" i="22"/>
  <c r="L23" i="22"/>
  <c r="L20" i="22"/>
  <c r="L17" i="22"/>
  <c r="L14" i="22"/>
  <c r="L11" i="22"/>
  <c r="L8" i="22"/>
  <c r="L5" i="22"/>
  <c r="L117" i="22"/>
  <c r="L108" i="22"/>
  <c r="L99" i="22"/>
  <c r="L90" i="22"/>
  <c r="L81" i="22"/>
  <c r="L72" i="22"/>
  <c r="L63" i="22"/>
  <c r="L54" i="22"/>
  <c r="L45" i="22"/>
  <c r="L36" i="22"/>
  <c r="L27" i="22"/>
  <c r="L18" i="22"/>
  <c r="L131" i="22"/>
  <c r="L9" i="22"/>
  <c r="L6" i="22"/>
  <c r="L3" i="22"/>
  <c r="L111" i="22"/>
  <c r="L102" i="22"/>
  <c r="L93" i="22"/>
  <c r="L84" i="22"/>
  <c r="L75" i="22"/>
  <c r="L66" i="22"/>
  <c r="L57" i="22"/>
  <c r="L48" i="22"/>
  <c r="L39" i="22"/>
  <c r="L30" i="22"/>
  <c r="L21" i="22"/>
  <c r="L12" i="22"/>
  <c r="L10" i="22"/>
  <c r="L7" i="22"/>
  <c r="L4" i="22"/>
  <c r="L114" i="22"/>
  <c r="L105" i="22"/>
  <c r="L96" i="22"/>
  <c r="L87" i="22"/>
  <c r="L78" i="22"/>
  <c r="L69" i="22"/>
  <c r="L60" i="22"/>
  <c r="L51" i="22"/>
  <c r="L42" i="22"/>
  <c r="L33" i="22"/>
  <c r="L24" i="22"/>
  <c r="L15" i="22"/>
  <c r="M1" i="22"/>
  <c r="J181" i="24"/>
  <c r="J178" i="24"/>
  <c r="J175" i="24"/>
  <c r="J172" i="24"/>
  <c r="J169" i="24"/>
  <c r="J166" i="24"/>
  <c r="J163" i="24"/>
  <c r="J160" i="24"/>
  <c r="J157" i="24"/>
  <c r="J154" i="24"/>
  <c r="J151" i="24"/>
  <c r="J148" i="24"/>
  <c r="J145" i="24"/>
  <c r="J142" i="24"/>
  <c r="J179" i="24"/>
  <c r="J176" i="24"/>
  <c r="J173" i="24"/>
  <c r="J170" i="24"/>
  <c r="J167" i="24"/>
  <c r="J164" i="24"/>
  <c r="J161" i="24"/>
  <c r="J158" i="24"/>
  <c r="J155" i="24"/>
  <c r="J152" i="24"/>
  <c r="J149" i="24"/>
  <c r="J146" i="24"/>
  <c r="J143" i="24"/>
  <c r="J138" i="24"/>
  <c r="J135" i="24"/>
  <c r="J132" i="24"/>
  <c r="J116" i="24"/>
  <c r="J113" i="24"/>
  <c r="J110" i="24"/>
  <c r="J107" i="24"/>
  <c r="J104" i="24"/>
  <c r="J101" i="24"/>
  <c r="J98" i="24"/>
  <c r="J95" i="24"/>
  <c r="J92" i="24"/>
  <c r="J89" i="24"/>
  <c r="J86" i="24"/>
  <c r="J83" i="24"/>
  <c r="J80" i="24"/>
  <c r="J77" i="24"/>
  <c r="J74" i="24"/>
  <c r="J71" i="24"/>
  <c r="J68" i="24"/>
  <c r="J65" i="24"/>
  <c r="J62" i="24"/>
  <c r="J59" i="24"/>
  <c r="J56" i="24"/>
  <c r="J53" i="24"/>
  <c r="J50" i="24"/>
  <c r="J47" i="24"/>
  <c r="J44" i="24"/>
  <c r="J41" i="24"/>
  <c r="J38" i="24"/>
  <c r="J35" i="24"/>
  <c r="J32" i="24"/>
  <c r="J29" i="24"/>
  <c r="J122" i="24"/>
  <c r="J119" i="24"/>
  <c r="J127" i="24"/>
  <c r="J130" i="24"/>
  <c r="J139" i="24"/>
  <c r="J136" i="24"/>
  <c r="J133" i="24"/>
  <c r="J125" i="24"/>
  <c r="J117" i="24"/>
  <c r="J114" i="24"/>
  <c r="J111" i="24"/>
  <c r="J108" i="24"/>
  <c r="J105" i="24"/>
  <c r="J102" i="24"/>
  <c r="J99" i="24"/>
  <c r="J96" i="24"/>
  <c r="J93" i="24"/>
  <c r="J90" i="24"/>
  <c r="J87" i="24"/>
  <c r="J84" i="24"/>
  <c r="J81" i="24"/>
  <c r="J78" i="24"/>
  <c r="J75" i="24"/>
  <c r="J72" i="24"/>
  <c r="J69" i="24"/>
  <c r="J66" i="24"/>
  <c r="J63" i="24"/>
  <c r="J60" i="24"/>
  <c r="J57" i="24"/>
  <c r="J54" i="24"/>
  <c r="J51" i="24"/>
  <c r="J48" i="24"/>
  <c r="J45" i="24"/>
  <c r="J42" i="24"/>
  <c r="J39" i="24"/>
  <c r="J36" i="24"/>
  <c r="J33" i="24"/>
  <c r="J30" i="24"/>
  <c r="J120" i="24"/>
  <c r="J123" i="24"/>
  <c r="J131" i="24"/>
  <c r="J128" i="24"/>
  <c r="J180" i="24"/>
  <c r="J177" i="24"/>
  <c r="J174" i="24"/>
  <c r="J171" i="24"/>
  <c r="J168" i="24"/>
  <c r="J165" i="24"/>
  <c r="J162" i="24"/>
  <c r="J159" i="24"/>
  <c r="J156" i="24"/>
  <c r="J153" i="24"/>
  <c r="J150" i="24"/>
  <c r="J147" i="24"/>
  <c r="J144" i="24"/>
  <c r="J141" i="24"/>
  <c r="J115" i="24"/>
  <c r="J112" i="24"/>
  <c r="J109" i="24"/>
  <c r="J106" i="24"/>
  <c r="J103" i="24"/>
  <c r="J100" i="24"/>
  <c r="J97" i="24"/>
  <c r="J94" i="24"/>
  <c r="J91" i="24"/>
  <c r="J88" i="24"/>
  <c r="J85" i="24"/>
  <c r="J82" i="24"/>
  <c r="J79" i="24"/>
  <c r="J76" i="24"/>
  <c r="J73" i="24"/>
  <c r="J70" i="24"/>
  <c r="J67" i="24"/>
  <c r="J64" i="24"/>
  <c r="J61" i="24"/>
  <c r="J58" i="24"/>
  <c r="J55" i="24"/>
  <c r="J121" i="24"/>
  <c r="J118" i="24"/>
  <c r="J124" i="24"/>
  <c r="J52" i="24"/>
  <c r="J43" i="24"/>
  <c r="J34" i="24"/>
  <c r="J28" i="24"/>
  <c r="J25" i="24"/>
  <c r="J22" i="24"/>
  <c r="J19" i="24"/>
  <c r="J16" i="24"/>
  <c r="J13" i="24"/>
  <c r="J10" i="24"/>
  <c r="J7" i="24"/>
  <c r="J4" i="24"/>
  <c r="J137" i="24"/>
  <c r="J134" i="24"/>
  <c r="J46" i="24"/>
  <c r="J37" i="24"/>
  <c r="J140" i="24"/>
  <c r="J26" i="24"/>
  <c r="J23" i="24"/>
  <c r="J20" i="24"/>
  <c r="J17" i="24"/>
  <c r="J14" i="24"/>
  <c r="J11" i="24"/>
  <c r="J8" i="24"/>
  <c r="J5" i="24"/>
  <c r="J126" i="24"/>
  <c r="J49" i="24"/>
  <c r="J40" i="24"/>
  <c r="J31" i="24"/>
  <c r="J24" i="24"/>
  <c r="J15" i="24"/>
  <c r="J6" i="24"/>
  <c r="J129" i="24"/>
  <c r="J27" i="24"/>
  <c r="J18" i="24"/>
  <c r="J9" i="24"/>
  <c r="J21" i="24"/>
  <c r="J3" i="24"/>
  <c r="K1" i="24"/>
  <c r="J12" i="24"/>
  <c r="K193" i="16" l="1"/>
  <c r="K190" i="16"/>
  <c r="K187" i="16"/>
  <c r="K184" i="16"/>
  <c r="K181" i="16"/>
  <c r="K178" i="16"/>
  <c r="K191" i="16"/>
  <c r="K188" i="16"/>
  <c r="K185" i="16"/>
  <c r="K182" i="16"/>
  <c r="K179" i="16"/>
  <c r="K138" i="16"/>
  <c r="K133" i="16"/>
  <c r="K130" i="16"/>
  <c r="L1" i="16"/>
  <c r="K192" i="16"/>
  <c r="K183" i="16"/>
  <c r="K134" i="16"/>
  <c r="K131" i="16"/>
  <c r="K142" i="16"/>
  <c r="K66" i="16"/>
  <c r="K63" i="16"/>
  <c r="K60" i="16"/>
  <c r="K57" i="16"/>
  <c r="K54" i="16"/>
  <c r="K51" i="16"/>
  <c r="K48" i="16"/>
  <c r="K45" i="16"/>
  <c r="K42" i="16"/>
  <c r="K39" i="16"/>
  <c r="K36" i="16"/>
  <c r="K33" i="16"/>
  <c r="K30" i="16"/>
  <c r="K27" i="16"/>
  <c r="K24" i="16"/>
  <c r="K21" i="16"/>
  <c r="K18" i="16"/>
  <c r="K15" i="16"/>
  <c r="K12" i="16"/>
  <c r="K9" i="16"/>
  <c r="K6" i="16"/>
  <c r="K3" i="16"/>
  <c r="K132" i="16"/>
  <c r="K168" i="16"/>
  <c r="K159" i="16"/>
  <c r="K150" i="16"/>
  <c r="K141" i="16"/>
  <c r="K128" i="16"/>
  <c r="K121" i="16"/>
  <c r="K112" i="16"/>
  <c r="K103" i="16"/>
  <c r="K94" i="16"/>
  <c r="K85" i="16"/>
  <c r="K76" i="16"/>
  <c r="K175" i="16"/>
  <c r="K166" i="16"/>
  <c r="K157" i="16"/>
  <c r="K148" i="16"/>
  <c r="K139" i="16"/>
  <c r="K137" i="16"/>
  <c r="K135" i="16"/>
  <c r="K126" i="16"/>
  <c r="K117" i="16"/>
  <c r="K108" i="16"/>
  <c r="K99" i="16"/>
  <c r="K90" i="16"/>
  <c r="K81" i="16"/>
  <c r="K72" i="16"/>
  <c r="K73" i="16"/>
  <c r="K173" i="16"/>
  <c r="K164" i="16"/>
  <c r="K155" i="16"/>
  <c r="K146" i="16"/>
  <c r="K122" i="16"/>
  <c r="K113" i="16"/>
  <c r="K104" i="16"/>
  <c r="K95" i="16"/>
  <c r="K86" i="16"/>
  <c r="K77" i="16"/>
  <c r="K144" i="16"/>
  <c r="K109" i="16"/>
  <c r="K91" i="16"/>
  <c r="K189" i="16"/>
  <c r="K186" i="16"/>
  <c r="K180" i="16"/>
  <c r="K171" i="16"/>
  <c r="K162" i="16"/>
  <c r="K153" i="16"/>
  <c r="K118" i="16"/>
  <c r="K100" i="16"/>
  <c r="K82" i="16"/>
  <c r="K169" i="16"/>
  <c r="K160" i="16"/>
  <c r="K151" i="16"/>
  <c r="K129" i="16"/>
  <c r="K123" i="16"/>
  <c r="K114" i="16"/>
  <c r="K105" i="16"/>
  <c r="K96" i="16"/>
  <c r="K87" i="16"/>
  <c r="K78" i="16"/>
  <c r="K107" i="16"/>
  <c r="K80" i="16"/>
  <c r="K68" i="16"/>
  <c r="K67" i="16"/>
  <c r="K65" i="16"/>
  <c r="K64" i="16"/>
  <c r="K62" i="16"/>
  <c r="K61" i="16"/>
  <c r="K59" i="16"/>
  <c r="K58" i="16"/>
  <c r="K56" i="16"/>
  <c r="K55" i="16"/>
  <c r="K53" i="16"/>
  <c r="K52" i="16"/>
  <c r="K50" i="16"/>
  <c r="K49" i="16"/>
  <c r="K47" i="16"/>
  <c r="K46" i="16"/>
  <c r="K44" i="16"/>
  <c r="K43" i="16"/>
  <c r="K41" i="16"/>
  <c r="K40" i="16"/>
  <c r="K38" i="16"/>
  <c r="K37" i="16"/>
  <c r="K35" i="16"/>
  <c r="K34" i="16"/>
  <c r="K32" i="16"/>
  <c r="K31" i="16"/>
  <c r="K29" i="16"/>
  <c r="K28" i="16"/>
  <c r="K26" i="16"/>
  <c r="K25" i="16"/>
  <c r="K23" i="16"/>
  <c r="K22" i="16"/>
  <c r="K20" i="16"/>
  <c r="K19" i="16"/>
  <c r="K17" i="16"/>
  <c r="K16" i="16"/>
  <c r="K14" i="16"/>
  <c r="K13" i="16"/>
  <c r="K11" i="16"/>
  <c r="K10" i="16"/>
  <c r="K8" i="16"/>
  <c r="K7" i="16"/>
  <c r="K5" i="16"/>
  <c r="K4" i="16"/>
  <c r="K106" i="16"/>
  <c r="K79" i="16"/>
  <c r="K177" i="16"/>
  <c r="K176" i="16"/>
  <c r="K167" i="16"/>
  <c r="K158" i="16"/>
  <c r="K149" i="16"/>
  <c r="K140" i="16"/>
  <c r="K136" i="16"/>
  <c r="K127" i="16"/>
  <c r="K119" i="16"/>
  <c r="K110" i="16"/>
  <c r="K101" i="16"/>
  <c r="K92" i="16"/>
  <c r="K83" i="16"/>
  <c r="K74" i="16"/>
  <c r="K69" i="16"/>
  <c r="K156" i="16"/>
  <c r="K124" i="16"/>
  <c r="K115" i="16"/>
  <c r="K70" i="16"/>
  <c r="K116" i="16"/>
  <c r="K89" i="16"/>
  <c r="K174" i="16"/>
  <c r="K165" i="16"/>
  <c r="K147" i="16"/>
  <c r="K97" i="16"/>
  <c r="K88" i="16"/>
  <c r="K125" i="16"/>
  <c r="K71" i="16"/>
  <c r="K172" i="16"/>
  <c r="K163" i="16"/>
  <c r="K154" i="16"/>
  <c r="K145" i="16"/>
  <c r="K120" i="16"/>
  <c r="K111" i="16"/>
  <c r="K102" i="16"/>
  <c r="K93" i="16"/>
  <c r="K84" i="16"/>
  <c r="K75" i="16"/>
  <c r="K143" i="16"/>
  <c r="K170" i="16"/>
  <c r="K161" i="16"/>
  <c r="K152" i="16"/>
  <c r="K98" i="16"/>
  <c r="J174" i="26"/>
  <c r="J171" i="26"/>
  <c r="J168" i="26"/>
  <c r="J165" i="26"/>
  <c r="J162" i="26"/>
  <c r="J159" i="26"/>
  <c r="J175" i="26"/>
  <c r="J172" i="26"/>
  <c r="J169" i="26"/>
  <c r="J166" i="26"/>
  <c r="J163" i="26"/>
  <c r="J160" i="26"/>
  <c r="J176" i="26"/>
  <c r="J173" i="26"/>
  <c r="J170" i="26"/>
  <c r="J167" i="26"/>
  <c r="J164" i="26"/>
  <c r="J161" i="26"/>
  <c r="J156" i="26"/>
  <c r="J153" i="26"/>
  <c r="J150" i="26"/>
  <c r="J147" i="26"/>
  <c r="J144" i="26"/>
  <c r="J141" i="26"/>
  <c r="J138" i="26"/>
  <c r="J135" i="26"/>
  <c r="J132" i="26"/>
  <c r="J129" i="26"/>
  <c r="J157" i="26"/>
  <c r="J154" i="26"/>
  <c r="J151" i="26"/>
  <c r="J148" i="26"/>
  <c r="J145" i="26"/>
  <c r="J142" i="26"/>
  <c r="J139" i="26"/>
  <c r="J136" i="26"/>
  <c r="J133" i="26"/>
  <c r="J158" i="26"/>
  <c r="J155" i="26"/>
  <c r="J152" i="26"/>
  <c r="J149" i="26"/>
  <c r="J146" i="26"/>
  <c r="J143" i="26"/>
  <c r="J140" i="26"/>
  <c r="J137" i="26"/>
  <c r="J134" i="26"/>
  <c r="J131" i="26"/>
  <c r="J128" i="26"/>
  <c r="J124" i="26"/>
  <c r="J115" i="26"/>
  <c r="J111" i="26"/>
  <c r="J108" i="26"/>
  <c r="J105" i="26"/>
  <c r="J102" i="26"/>
  <c r="J99" i="26"/>
  <c r="J96" i="26"/>
  <c r="J93" i="26"/>
  <c r="J90" i="26"/>
  <c r="J87" i="26"/>
  <c r="J84" i="26"/>
  <c r="J81" i="26"/>
  <c r="J78" i="26"/>
  <c r="J75" i="26"/>
  <c r="J72" i="26"/>
  <c r="J130" i="26"/>
  <c r="J125" i="26"/>
  <c r="J116" i="26"/>
  <c r="J113" i="26"/>
  <c r="J109" i="26"/>
  <c r="J106" i="26"/>
  <c r="J103" i="26"/>
  <c r="J100" i="26"/>
  <c r="J97" i="26"/>
  <c r="J94" i="26"/>
  <c r="J91" i="26"/>
  <c r="J88" i="26"/>
  <c r="J85" i="26"/>
  <c r="J82" i="26"/>
  <c r="J79" i="26"/>
  <c r="J76" i="26"/>
  <c r="J73" i="26"/>
  <c r="J70" i="26"/>
  <c r="J67" i="26"/>
  <c r="J64" i="26"/>
  <c r="J61" i="26"/>
  <c r="J58" i="26"/>
  <c r="J55" i="26"/>
  <c r="J52" i="26"/>
  <c r="J123" i="26"/>
  <c r="J114" i="26"/>
  <c r="J110" i="26"/>
  <c r="J107" i="26"/>
  <c r="J104" i="26"/>
  <c r="J101" i="26"/>
  <c r="J98" i="26"/>
  <c r="J95" i="26"/>
  <c r="J92" i="26"/>
  <c r="J89" i="26"/>
  <c r="J86" i="26"/>
  <c r="J83" i="26"/>
  <c r="J80" i="26"/>
  <c r="J77" i="26"/>
  <c r="J74" i="26"/>
  <c r="J71" i="26"/>
  <c r="J68" i="26"/>
  <c r="J65" i="26"/>
  <c r="J62" i="26"/>
  <c r="J59" i="26"/>
  <c r="J56" i="26"/>
  <c r="J127" i="26"/>
  <c r="J51" i="26"/>
  <c r="J66" i="26"/>
  <c r="J57" i="26"/>
  <c r="J49" i="26"/>
  <c r="J46" i="26"/>
  <c r="J43" i="26"/>
  <c r="J40" i="26"/>
  <c r="J37" i="26"/>
  <c r="J34" i="26"/>
  <c r="J31" i="26"/>
  <c r="J28" i="26"/>
  <c r="J25" i="26"/>
  <c r="J22" i="26"/>
  <c r="J19" i="26"/>
  <c r="J16" i="26"/>
  <c r="J13" i="26"/>
  <c r="J10" i="26"/>
  <c r="J7" i="26"/>
  <c r="J4" i="26"/>
  <c r="K1" i="26"/>
  <c r="J69" i="26"/>
  <c r="J60" i="26"/>
  <c r="J50" i="26"/>
  <c r="J47" i="26"/>
  <c r="J44" i="26"/>
  <c r="J41" i="26"/>
  <c r="J38" i="26"/>
  <c r="J35" i="26"/>
  <c r="J32" i="26"/>
  <c r="J29" i="26"/>
  <c r="J26" i="26"/>
  <c r="J23" i="26"/>
  <c r="J20" i="26"/>
  <c r="J17" i="26"/>
  <c r="J14" i="26"/>
  <c r="J11" i="26"/>
  <c r="J8" i="26"/>
  <c r="J5" i="26"/>
  <c r="J63" i="26"/>
  <c r="J54" i="26"/>
  <c r="J48" i="26"/>
  <c r="J45" i="26"/>
  <c r="J42" i="26"/>
  <c r="J39" i="26"/>
  <c r="J36" i="26"/>
  <c r="J33" i="26"/>
  <c r="J30" i="26"/>
  <c r="J27" i="26"/>
  <c r="J24" i="26"/>
  <c r="J21" i="26"/>
  <c r="J18" i="26"/>
  <c r="J15" i="26"/>
  <c r="J12" i="26"/>
  <c r="J9" i="26"/>
  <c r="J6" i="26"/>
  <c r="J3" i="26"/>
  <c r="J53" i="26"/>
  <c r="M188" i="17"/>
  <c r="M179" i="17"/>
  <c r="M170" i="17"/>
  <c r="M161" i="17"/>
  <c r="M152" i="17"/>
  <c r="M134" i="17"/>
  <c r="M187" i="17"/>
  <c r="M178" i="17"/>
  <c r="M137" i="17"/>
  <c r="M191" i="17"/>
  <c r="M182" i="17"/>
  <c r="M173" i="17"/>
  <c r="M164" i="17"/>
  <c r="M155" i="17"/>
  <c r="M172" i="17"/>
  <c r="M163" i="17"/>
  <c r="M154" i="17"/>
  <c r="M132" i="17"/>
  <c r="M127" i="17"/>
  <c r="M118" i="17"/>
  <c r="M109" i="17"/>
  <c r="M100" i="17"/>
  <c r="M140" i="17"/>
  <c r="M138" i="17"/>
  <c r="M122" i="17"/>
  <c r="M113" i="17"/>
  <c r="M104" i="17"/>
  <c r="M95" i="17"/>
  <c r="M87" i="17"/>
  <c r="M84" i="17"/>
  <c r="M81" i="17"/>
  <c r="M78" i="17"/>
  <c r="M75" i="17"/>
  <c r="M72" i="17"/>
  <c r="M69" i="17"/>
  <c r="M186" i="17"/>
  <c r="M180" i="17"/>
  <c r="M146" i="17"/>
  <c r="M143" i="17"/>
  <c r="M142" i="17"/>
  <c r="M141" i="17"/>
  <c r="M139" i="17"/>
  <c r="M131" i="17"/>
  <c r="M126" i="17"/>
  <c r="M117" i="17"/>
  <c r="M108" i="17"/>
  <c r="M99" i="17"/>
  <c r="M90" i="17"/>
  <c r="M190" i="17"/>
  <c r="M184" i="17"/>
  <c r="M148" i="17"/>
  <c r="M147" i="17"/>
  <c r="M145" i="17"/>
  <c r="M144" i="17"/>
  <c r="M121" i="17"/>
  <c r="M112" i="17"/>
  <c r="M103" i="17"/>
  <c r="M92" i="17"/>
  <c r="M176" i="17"/>
  <c r="M167" i="17"/>
  <c r="M158" i="17"/>
  <c r="M149" i="17"/>
  <c r="M130" i="17"/>
  <c r="M94" i="17"/>
  <c r="M67" i="17"/>
  <c r="M64" i="17"/>
  <c r="M61" i="17"/>
  <c r="M58" i="17"/>
  <c r="M55" i="17"/>
  <c r="M52" i="17"/>
  <c r="M49" i="17"/>
  <c r="M46" i="17"/>
  <c r="M43" i="17"/>
  <c r="M40" i="17"/>
  <c r="M37" i="17"/>
  <c r="M34" i="17"/>
  <c r="M31" i="17"/>
  <c r="M28" i="17"/>
  <c r="M25" i="17"/>
  <c r="M22" i="17"/>
  <c r="M19" i="17"/>
  <c r="M16" i="17"/>
  <c r="M13" i="17"/>
  <c r="M10" i="17"/>
  <c r="M7" i="17"/>
  <c r="M4" i="17"/>
  <c r="M192" i="17"/>
  <c r="M125" i="17"/>
  <c r="M116" i="17"/>
  <c r="M107" i="17"/>
  <c r="M98" i="17"/>
  <c r="M88" i="17"/>
  <c r="M85" i="17"/>
  <c r="M82" i="17"/>
  <c r="M79" i="17"/>
  <c r="M76" i="17"/>
  <c r="M73" i="17"/>
  <c r="M70" i="17"/>
  <c r="M181" i="17"/>
  <c r="M177" i="17"/>
  <c r="M168" i="17"/>
  <c r="M159" i="17"/>
  <c r="M150" i="17"/>
  <c r="M129" i="17"/>
  <c r="M124" i="17"/>
  <c r="M115" i="17"/>
  <c r="M106" i="17"/>
  <c r="M97" i="17"/>
  <c r="M174" i="17"/>
  <c r="M171" i="17"/>
  <c r="M165" i="17"/>
  <c r="M162" i="17"/>
  <c r="M156" i="17"/>
  <c r="M153" i="17"/>
  <c r="M91" i="17"/>
  <c r="M68" i="17"/>
  <c r="M65" i="17"/>
  <c r="M62" i="17"/>
  <c r="M59" i="17"/>
  <c r="M56" i="17"/>
  <c r="M53" i="17"/>
  <c r="M50" i="17"/>
  <c r="M47" i="17"/>
  <c r="M44" i="17"/>
  <c r="M41" i="17"/>
  <c r="M38" i="17"/>
  <c r="M35" i="17"/>
  <c r="M32" i="17"/>
  <c r="M29" i="17"/>
  <c r="M26" i="17"/>
  <c r="M23" i="17"/>
  <c r="M185" i="17"/>
  <c r="M183" i="17"/>
  <c r="M133" i="17"/>
  <c r="M128" i="17"/>
  <c r="M119" i="17"/>
  <c r="M110" i="17"/>
  <c r="M101" i="17"/>
  <c r="M89" i="17"/>
  <c r="M86" i="17"/>
  <c r="M83" i="17"/>
  <c r="M80" i="17"/>
  <c r="M77" i="17"/>
  <c r="M74" i="17"/>
  <c r="M71" i="17"/>
  <c r="M169" i="17"/>
  <c r="M157" i="17"/>
  <c r="M20" i="17"/>
  <c r="M11" i="17"/>
  <c r="M189" i="17"/>
  <c r="M135" i="17"/>
  <c r="M166" i="17"/>
  <c r="M66" i="17"/>
  <c r="M63" i="17"/>
  <c r="M60" i="17"/>
  <c r="M57" i="17"/>
  <c r="M54" i="17"/>
  <c r="M51" i="17"/>
  <c r="M48" i="17"/>
  <c r="M45" i="17"/>
  <c r="M42" i="17"/>
  <c r="M39" i="17"/>
  <c r="M36" i="17"/>
  <c r="M33" i="17"/>
  <c r="M30" i="17"/>
  <c r="M27" i="17"/>
  <c r="M24" i="17"/>
  <c r="M21" i="17"/>
  <c r="M12" i="17"/>
  <c r="M120" i="17"/>
  <c r="M111" i="17"/>
  <c r="M102" i="17"/>
  <c r="M93" i="17"/>
  <c r="M14" i="17"/>
  <c r="M175" i="17"/>
  <c r="M151" i="17"/>
  <c r="M15" i="17"/>
  <c r="M6" i="17"/>
  <c r="M123" i="17"/>
  <c r="M114" i="17"/>
  <c r="M105" i="17"/>
  <c r="M96" i="17"/>
  <c r="M160" i="17"/>
  <c r="M136" i="17"/>
  <c r="M3" i="17"/>
  <c r="M5" i="17"/>
  <c r="N1" i="17"/>
  <c r="M9" i="17"/>
  <c r="M18" i="17"/>
  <c r="M8" i="17"/>
  <c r="M17" i="17"/>
  <c r="J191" i="18"/>
  <c r="J188" i="18"/>
  <c r="J185" i="18"/>
  <c r="J182" i="18"/>
  <c r="J179" i="18"/>
  <c r="J176" i="18"/>
  <c r="J173" i="18"/>
  <c r="J170" i="18"/>
  <c r="J167" i="18"/>
  <c r="J164" i="18"/>
  <c r="J161" i="18"/>
  <c r="J158" i="18"/>
  <c r="J155" i="18"/>
  <c r="J152" i="18"/>
  <c r="J149" i="18"/>
  <c r="J146" i="18"/>
  <c r="J143" i="18"/>
  <c r="J184" i="18"/>
  <c r="J175" i="18"/>
  <c r="J166" i="18"/>
  <c r="J157" i="18"/>
  <c r="J136" i="18"/>
  <c r="J189" i="18"/>
  <c r="J180" i="18"/>
  <c r="J171" i="18"/>
  <c r="J192" i="18"/>
  <c r="J183" i="18"/>
  <c r="J174" i="18"/>
  <c r="J165" i="18"/>
  <c r="J190" i="18"/>
  <c r="J181" i="18"/>
  <c r="J172" i="18"/>
  <c r="J159" i="18"/>
  <c r="J163" i="18"/>
  <c r="J147" i="18"/>
  <c r="J145" i="18"/>
  <c r="J131" i="18"/>
  <c r="J162" i="18"/>
  <c r="J132" i="18"/>
  <c r="J129" i="18"/>
  <c r="J154" i="18"/>
  <c r="J153" i="18"/>
  <c r="J134" i="18"/>
  <c r="J120" i="18"/>
  <c r="J111" i="18"/>
  <c r="J102" i="18"/>
  <c r="J93" i="18"/>
  <c r="J84" i="18"/>
  <c r="J75" i="18"/>
  <c r="J61" i="18"/>
  <c r="J52" i="18"/>
  <c r="J43" i="18"/>
  <c r="J34" i="18"/>
  <c r="J25" i="18"/>
  <c r="J16" i="18"/>
  <c r="J7" i="18"/>
  <c r="K1" i="18"/>
  <c r="J169" i="18"/>
  <c r="J124" i="18"/>
  <c r="J115" i="18"/>
  <c r="J106" i="18"/>
  <c r="J97" i="18"/>
  <c r="J88" i="18"/>
  <c r="J79" i="18"/>
  <c r="J70" i="18"/>
  <c r="J151" i="18"/>
  <c r="J133" i="18"/>
  <c r="J65" i="18"/>
  <c r="J56" i="18"/>
  <c r="J47" i="18"/>
  <c r="J38" i="18"/>
  <c r="J29" i="18"/>
  <c r="J20" i="18"/>
  <c r="J11" i="18"/>
  <c r="J150" i="18"/>
  <c r="J140" i="18"/>
  <c r="J137" i="18"/>
  <c r="J128" i="18"/>
  <c r="J119" i="18"/>
  <c r="J110" i="18"/>
  <c r="J101" i="18"/>
  <c r="J92" i="18"/>
  <c r="J83" i="18"/>
  <c r="J74" i="18"/>
  <c r="J60" i="18"/>
  <c r="J51" i="18"/>
  <c r="J42" i="18"/>
  <c r="J33" i="18"/>
  <c r="J24" i="18"/>
  <c r="J15" i="18"/>
  <c r="J6" i="18"/>
  <c r="J178" i="18"/>
  <c r="J123" i="18"/>
  <c r="J114" i="18"/>
  <c r="J105" i="18"/>
  <c r="J96" i="18"/>
  <c r="J87" i="18"/>
  <c r="J78" i="18"/>
  <c r="J69" i="18"/>
  <c r="J64" i="18"/>
  <c r="J55" i="18"/>
  <c r="J46" i="18"/>
  <c r="J37" i="18"/>
  <c r="J28" i="18"/>
  <c r="J19" i="18"/>
  <c r="J10" i="18"/>
  <c r="J127" i="18"/>
  <c r="J118" i="18"/>
  <c r="J109" i="18"/>
  <c r="J186" i="18"/>
  <c r="J141" i="18"/>
  <c r="J187" i="18"/>
  <c r="J177" i="18"/>
  <c r="J53" i="18"/>
  <c r="J23" i="18"/>
  <c r="J17" i="18"/>
  <c r="J107" i="18"/>
  <c r="J76" i="18"/>
  <c r="J66" i="18"/>
  <c r="J39" i="18"/>
  <c r="J4" i="18"/>
  <c r="J135" i="18"/>
  <c r="J95" i="18"/>
  <c r="J86" i="18"/>
  <c r="J45" i="18"/>
  <c r="J142" i="18"/>
  <c r="J72" i="18"/>
  <c r="J62" i="18"/>
  <c r="J35" i="18"/>
  <c r="J14" i="18"/>
  <c r="J8" i="18"/>
  <c r="J139" i="18"/>
  <c r="J126" i="18"/>
  <c r="J113" i="18"/>
  <c r="J112" i="18"/>
  <c r="J94" i="18"/>
  <c r="J85" i="18"/>
  <c r="J68" i="18"/>
  <c r="J58" i="18"/>
  <c r="J41" i="18"/>
  <c r="J31" i="18"/>
  <c r="J18" i="18"/>
  <c r="J12" i="18"/>
  <c r="J148" i="18"/>
  <c r="J125" i="18"/>
  <c r="J48" i="18"/>
  <c r="J22" i="18"/>
  <c r="J100" i="18"/>
  <c r="J91" i="18"/>
  <c r="J82" i="18"/>
  <c r="J44" i="18"/>
  <c r="J26" i="18"/>
  <c r="J5" i="18"/>
  <c r="J156" i="18"/>
  <c r="J117" i="18"/>
  <c r="J104" i="18"/>
  <c r="J103" i="18"/>
  <c r="J71" i="18"/>
  <c r="J67" i="18"/>
  <c r="J50" i="18"/>
  <c r="J40" i="18"/>
  <c r="J9" i="18"/>
  <c r="J3" i="18"/>
  <c r="J160" i="18"/>
  <c r="J130" i="18"/>
  <c r="J116" i="18"/>
  <c r="J99" i="18"/>
  <c r="J90" i="18"/>
  <c r="J81" i="18"/>
  <c r="J77" i="18"/>
  <c r="J57" i="18"/>
  <c r="J30" i="18"/>
  <c r="J13" i="18"/>
  <c r="J138" i="18"/>
  <c r="J80" i="18"/>
  <c r="J49" i="18"/>
  <c r="J73" i="18"/>
  <c r="J36" i="18"/>
  <c r="J98" i="18"/>
  <c r="J27" i="18"/>
  <c r="J54" i="18"/>
  <c r="J144" i="18"/>
  <c r="J122" i="18"/>
  <c r="J63" i="18"/>
  <c r="J168" i="18"/>
  <c r="J89" i="18"/>
  <c r="J32" i="18"/>
  <c r="J21" i="18"/>
  <c r="J121" i="18"/>
  <c r="J108" i="18"/>
  <c r="J59" i="18"/>
  <c r="J131" i="23"/>
  <c r="J134" i="23"/>
  <c r="J185" i="23"/>
  <c r="J182" i="23"/>
  <c r="J179" i="23"/>
  <c r="J176" i="23"/>
  <c r="J173" i="23"/>
  <c r="J170" i="23"/>
  <c r="J167" i="23"/>
  <c r="J164" i="23"/>
  <c r="J161" i="23"/>
  <c r="J158" i="23"/>
  <c r="J155" i="23"/>
  <c r="J152" i="23"/>
  <c r="J149" i="23"/>
  <c r="J146" i="23"/>
  <c r="J143" i="23"/>
  <c r="J140" i="23"/>
  <c r="J137" i="23"/>
  <c r="J129" i="23"/>
  <c r="J121" i="23"/>
  <c r="J124" i="23"/>
  <c r="J127" i="23"/>
  <c r="J183" i="23"/>
  <c r="J180" i="23"/>
  <c r="J177" i="23"/>
  <c r="J174" i="23"/>
  <c r="J171" i="23"/>
  <c r="J168" i="23"/>
  <c r="J165" i="23"/>
  <c r="J162" i="23"/>
  <c r="J159" i="23"/>
  <c r="J156" i="23"/>
  <c r="J153" i="23"/>
  <c r="J150" i="23"/>
  <c r="J147" i="23"/>
  <c r="J144" i="23"/>
  <c r="J141" i="23"/>
  <c r="J138" i="23"/>
  <c r="J119" i="23"/>
  <c r="J130" i="23"/>
  <c r="J125" i="23"/>
  <c r="J122" i="23"/>
  <c r="J184" i="23"/>
  <c r="J181" i="23"/>
  <c r="J178" i="23"/>
  <c r="J175" i="23"/>
  <c r="J172" i="23"/>
  <c r="J169" i="23"/>
  <c r="J166" i="23"/>
  <c r="J163" i="23"/>
  <c r="J160" i="23"/>
  <c r="J157" i="23"/>
  <c r="J154" i="23"/>
  <c r="J151" i="23"/>
  <c r="J148" i="23"/>
  <c r="J145" i="23"/>
  <c r="J142" i="23"/>
  <c r="J139" i="23"/>
  <c r="J136" i="23"/>
  <c r="J120" i="23"/>
  <c r="J132" i="23"/>
  <c r="J116" i="23"/>
  <c r="J113" i="23"/>
  <c r="J110" i="23"/>
  <c r="J107" i="23"/>
  <c r="J104" i="23"/>
  <c r="J101" i="23"/>
  <c r="J98" i="23"/>
  <c r="J95" i="23"/>
  <c r="J92" i="23"/>
  <c r="J89" i="23"/>
  <c r="J86" i="23"/>
  <c r="J83" i="23"/>
  <c r="J128" i="23"/>
  <c r="J118" i="23"/>
  <c r="J115" i="23"/>
  <c r="J112" i="23"/>
  <c r="J109" i="23"/>
  <c r="J106" i="23"/>
  <c r="J103" i="23"/>
  <c r="J100" i="23"/>
  <c r="J97" i="23"/>
  <c r="J133" i="23"/>
  <c r="J123" i="23"/>
  <c r="J117" i="23"/>
  <c r="J108" i="23"/>
  <c r="J81" i="23"/>
  <c r="J78" i="23"/>
  <c r="J75" i="23"/>
  <c r="J72" i="23"/>
  <c r="J69" i="23"/>
  <c r="J66" i="23"/>
  <c r="J63" i="23"/>
  <c r="J60" i="23"/>
  <c r="J57" i="23"/>
  <c r="J54" i="23"/>
  <c r="J51" i="23"/>
  <c r="J48" i="23"/>
  <c r="J114" i="23"/>
  <c r="J90" i="23"/>
  <c r="J85" i="23"/>
  <c r="J135" i="23"/>
  <c r="J126" i="23"/>
  <c r="J111" i="23"/>
  <c r="J96" i="23"/>
  <c r="J82" i="23"/>
  <c r="J79" i="23"/>
  <c r="J76" i="23"/>
  <c r="J73" i="23"/>
  <c r="J70" i="23"/>
  <c r="J67" i="23"/>
  <c r="J64" i="23"/>
  <c r="J61" i="23"/>
  <c r="J58" i="23"/>
  <c r="J55" i="23"/>
  <c r="J99" i="23"/>
  <c r="J88" i="23"/>
  <c r="J80" i="23"/>
  <c r="J77" i="23"/>
  <c r="J74" i="23"/>
  <c r="J71" i="23"/>
  <c r="J68" i="23"/>
  <c r="J65" i="23"/>
  <c r="J62" i="23"/>
  <c r="J59" i="23"/>
  <c r="J56" i="23"/>
  <c r="J53" i="23"/>
  <c r="J50" i="23"/>
  <c r="J102" i="23"/>
  <c r="J94" i="23"/>
  <c r="J87" i="23"/>
  <c r="J46" i="23"/>
  <c r="J43" i="23"/>
  <c r="J40" i="23"/>
  <c r="J37" i="23"/>
  <c r="J34" i="23"/>
  <c r="J31" i="23"/>
  <c r="J28" i="23"/>
  <c r="J25" i="23"/>
  <c r="J22" i="23"/>
  <c r="J19" i="23"/>
  <c r="J16" i="23"/>
  <c r="J13" i="23"/>
  <c r="J10" i="23"/>
  <c r="J7" i="23"/>
  <c r="J4" i="23"/>
  <c r="J84" i="23"/>
  <c r="K1" i="23"/>
  <c r="J47" i="23"/>
  <c r="J44" i="23"/>
  <c r="J41" i="23"/>
  <c r="J38" i="23"/>
  <c r="J35" i="23"/>
  <c r="J32" i="23"/>
  <c r="J29" i="23"/>
  <c r="J26" i="23"/>
  <c r="J23" i="23"/>
  <c r="J20" i="23"/>
  <c r="J17" i="23"/>
  <c r="J14" i="23"/>
  <c r="J11" i="23"/>
  <c r="J8" i="23"/>
  <c r="J5" i="23"/>
  <c r="J52" i="23"/>
  <c r="J91" i="23"/>
  <c r="J45" i="23"/>
  <c r="J42" i="23"/>
  <c r="J39" i="23"/>
  <c r="J36" i="23"/>
  <c r="J33" i="23"/>
  <c r="J30" i="23"/>
  <c r="J27" i="23"/>
  <c r="J24" i="23"/>
  <c r="J21" i="23"/>
  <c r="J18" i="23"/>
  <c r="J15" i="23"/>
  <c r="J12" i="23"/>
  <c r="J9" i="23"/>
  <c r="J6" i="23"/>
  <c r="J3" i="23"/>
  <c r="J105" i="23"/>
  <c r="J49" i="23"/>
  <c r="J93" i="23"/>
  <c r="J130" i="21"/>
  <c r="J138" i="21"/>
  <c r="J135" i="21"/>
  <c r="J186" i="21"/>
  <c r="J183" i="21"/>
  <c r="J180" i="21"/>
  <c r="J177" i="21"/>
  <c r="J174" i="21"/>
  <c r="J171" i="21"/>
  <c r="J168" i="21"/>
  <c r="J165" i="21"/>
  <c r="J162" i="21"/>
  <c r="J159" i="21"/>
  <c r="J156" i="21"/>
  <c r="J153" i="21"/>
  <c r="J150" i="21"/>
  <c r="J147" i="21"/>
  <c r="J144" i="21"/>
  <c r="J141" i="21"/>
  <c r="J122" i="21"/>
  <c r="J119" i="21"/>
  <c r="J116" i="21"/>
  <c r="J113" i="21"/>
  <c r="J133" i="21"/>
  <c r="J128" i="21"/>
  <c r="J125" i="21"/>
  <c r="J187" i="21"/>
  <c r="J184" i="21"/>
  <c r="J181" i="21"/>
  <c r="J178" i="21"/>
  <c r="J175" i="21"/>
  <c r="J172" i="21"/>
  <c r="J169" i="21"/>
  <c r="J166" i="21"/>
  <c r="J163" i="21"/>
  <c r="J160" i="21"/>
  <c r="J157" i="21"/>
  <c r="J154" i="21"/>
  <c r="J151" i="21"/>
  <c r="J148" i="21"/>
  <c r="J145" i="21"/>
  <c r="J142" i="21"/>
  <c r="J129" i="21"/>
  <c r="J126" i="21"/>
  <c r="J134" i="21"/>
  <c r="J188" i="21"/>
  <c r="J185" i="21"/>
  <c r="J182" i="21"/>
  <c r="J179" i="21"/>
  <c r="J176" i="21"/>
  <c r="J173" i="21"/>
  <c r="J170" i="21"/>
  <c r="J167" i="21"/>
  <c r="J139" i="21"/>
  <c r="J123" i="21"/>
  <c r="J120" i="21"/>
  <c r="J117" i="21"/>
  <c r="J114" i="21"/>
  <c r="J164" i="21"/>
  <c r="J155" i="21"/>
  <c r="J132" i="21"/>
  <c r="J111" i="21"/>
  <c r="J108" i="21"/>
  <c r="J105" i="21"/>
  <c r="J102" i="21"/>
  <c r="J99" i="21"/>
  <c r="J96" i="21"/>
  <c r="J93" i="21"/>
  <c r="J90" i="21"/>
  <c r="J87" i="21"/>
  <c r="J84" i="21"/>
  <c r="J81" i="21"/>
  <c r="J78" i="21"/>
  <c r="J75" i="21"/>
  <c r="J72" i="21"/>
  <c r="J69" i="21"/>
  <c r="J66" i="21"/>
  <c r="J63" i="21"/>
  <c r="J60" i="21"/>
  <c r="J57" i="21"/>
  <c r="J54" i="21"/>
  <c r="J51" i="21"/>
  <c r="J48" i="21"/>
  <c r="J45" i="21"/>
  <c r="J42" i="21"/>
  <c r="J39" i="21"/>
  <c r="J36" i="21"/>
  <c r="J33" i="21"/>
  <c r="J30" i="21"/>
  <c r="J27" i="21"/>
  <c r="J24" i="21"/>
  <c r="J21" i="21"/>
  <c r="J18" i="21"/>
  <c r="J158" i="21"/>
  <c r="J124" i="21"/>
  <c r="J121" i="21"/>
  <c r="J118" i="21"/>
  <c r="J115" i="21"/>
  <c r="J112" i="21"/>
  <c r="J49" i="21"/>
  <c r="J46" i="21"/>
  <c r="J41" i="21"/>
  <c r="J37" i="21"/>
  <c r="J32" i="21"/>
  <c r="J28" i="21"/>
  <c r="J23" i="21"/>
  <c r="J19" i="21"/>
  <c r="J136" i="21"/>
  <c r="J110" i="21"/>
  <c r="J107" i="21"/>
  <c r="J104" i="21"/>
  <c r="J101" i="21"/>
  <c r="J98" i="21"/>
  <c r="J95" i="21"/>
  <c r="J92" i="21"/>
  <c r="J89" i="21"/>
  <c r="J86" i="21"/>
  <c r="J83" i="21"/>
  <c r="J80" i="21"/>
  <c r="J77" i="21"/>
  <c r="J74" i="21"/>
  <c r="J71" i="21"/>
  <c r="J68" i="21"/>
  <c r="J65" i="21"/>
  <c r="J62" i="21"/>
  <c r="J59" i="21"/>
  <c r="J56" i="21"/>
  <c r="J53" i="21"/>
  <c r="K1" i="21"/>
  <c r="J137" i="21"/>
  <c r="J109" i="21"/>
  <c r="J106" i="21"/>
  <c r="J103" i="21"/>
  <c r="J100" i="21"/>
  <c r="J97" i="21"/>
  <c r="J94" i="21"/>
  <c r="J91" i="21"/>
  <c r="J88" i="21"/>
  <c r="J85" i="21"/>
  <c r="J82" i="21"/>
  <c r="J79" i="21"/>
  <c r="J76" i="21"/>
  <c r="J73" i="21"/>
  <c r="J70" i="21"/>
  <c r="J67" i="21"/>
  <c r="J64" i="21"/>
  <c r="J61" i="21"/>
  <c r="J58" i="21"/>
  <c r="J55" i="21"/>
  <c r="J52" i="21"/>
  <c r="J47" i="21"/>
  <c r="J43" i="21"/>
  <c r="J38" i="21"/>
  <c r="J34" i="21"/>
  <c r="J29" i="21"/>
  <c r="J25" i="21"/>
  <c r="J20" i="21"/>
  <c r="J161" i="21"/>
  <c r="J50" i="21"/>
  <c r="J15" i="21"/>
  <c r="J12" i="21"/>
  <c r="J9" i="21"/>
  <c r="J6" i="21"/>
  <c r="J3" i="21"/>
  <c r="J44" i="21"/>
  <c r="J40" i="21"/>
  <c r="J35" i="21"/>
  <c r="J31" i="21"/>
  <c r="J26" i="21"/>
  <c r="J22" i="21"/>
  <c r="J17" i="21"/>
  <c r="J152" i="21"/>
  <c r="J143" i="21"/>
  <c r="J140" i="21"/>
  <c r="J149" i="21"/>
  <c r="J127" i="21"/>
  <c r="J146" i="21"/>
  <c r="J11" i="21"/>
  <c r="J14" i="21"/>
  <c r="J8" i="21"/>
  <c r="J131" i="21"/>
  <c r="J4" i="21"/>
  <c r="J13" i="21"/>
  <c r="J16" i="21"/>
  <c r="J5" i="21"/>
  <c r="J10" i="21"/>
  <c r="J7" i="21"/>
  <c r="K179" i="24"/>
  <c r="K176" i="24"/>
  <c r="K173" i="24"/>
  <c r="K170" i="24"/>
  <c r="K167" i="24"/>
  <c r="K164" i="24"/>
  <c r="K161" i="24"/>
  <c r="K158" i="24"/>
  <c r="K155" i="24"/>
  <c r="K152" i="24"/>
  <c r="K149" i="24"/>
  <c r="K146" i="24"/>
  <c r="K143" i="24"/>
  <c r="K140" i="24"/>
  <c r="K180" i="24"/>
  <c r="K177" i="24"/>
  <c r="K174" i="24"/>
  <c r="K171" i="24"/>
  <c r="K168" i="24"/>
  <c r="K165" i="24"/>
  <c r="K162" i="24"/>
  <c r="K159" i="24"/>
  <c r="K156" i="24"/>
  <c r="K153" i="24"/>
  <c r="K150" i="24"/>
  <c r="K147" i="24"/>
  <c r="K144" i="24"/>
  <c r="K141" i="24"/>
  <c r="K122" i="24"/>
  <c r="K119" i="24"/>
  <c r="K127" i="24"/>
  <c r="K130" i="24"/>
  <c r="K181" i="24"/>
  <c r="K178" i="24"/>
  <c r="K175" i="24"/>
  <c r="K172" i="24"/>
  <c r="K169" i="24"/>
  <c r="K166" i="24"/>
  <c r="K163" i="24"/>
  <c r="K160" i="24"/>
  <c r="K157" i="24"/>
  <c r="K154" i="24"/>
  <c r="K151" i="24"/>
  <c r="K148" i="24"/>
  <c r="K145" i="24"/>
  <c r="K142" i="24"/>
  <c r="K139" i="24"/>
  <c r="K136" i="24"/>
  <c r="K133" i="24"/>
  <c r="K125" i="24"/>
  <c r="K117" i="24"/>
  <c r="K114" i="24"/>
  <c r="K111" i="24"/>
  <c r="K108" i="24"/>
  <c r="K105" i="24"/>
  <c r="K102" i="24"/>
  <c r="K99" i="24"/>
  <c r="K96" i="24"/>
  <c r="K93" i="24"/>
  <c r="K90" i="24"/>
  <c r="K87" i="24"/>
  <c r="K84" i="24"/>
  <c r="K81" i="24"/>
  <c r="K78" i="24"/>
  <c r="K75" i="24"/>
  <c r="K72" i="24"/>
  <c r="K69" i="24"/>
  <c r="K66" i="24"/>
  <c r="K63" i="24"/>
  <c r="K60" i="24"/>
  <c r="K57" i="24"/>
  <c r="K54" i="24"/>
  <c r="K51" i="24"/>
  <c r="K48" i="24"/>
  <c r="K45" i="24"/>
  <c r="K42" i="24"/>
  <c r="K39" i="24"/>
  <c r="K36" i="24"/>
  <c r="K33" i="24"/>
  <c r="K30" i="24"/>
  <c r="K120" i="24"/>
  <c r="K123" i="24"/>
  <c r="K131" i="24"/>
  <c r="K128" i="24"/>
  <c r="K137" i="24"/>
  <c r="K134" i="24"/>
  <c r="K115" i="24"/>
  <c r="K112" i="24"/>
  <c r="K109" i="24"/>
  <c r="K106" i="24"/>
  <c r="K103" i="24"/>
  <c r="K100" i="24"/>
  <c r="K97" i="24"/>
  <c r="K94" i="24"/>
  <c r="K91" i="24"/>
  <c r="K88" i="24"/>
  <c r="K85" i="24"/>
  <c r="K82" i="24"/>
  <c r="K79" i="24"/>
  <c r="K76" i="24"/>
  <c r="K73" i="24"/>
  <c r="K70" i="24"/>
  <c r="K67" i="24"/>
  <c r="K64" i="24"/>
  <c r="K61" i="24"/>
  <c r="K58" i="24"/>
  <c r="K55" i="24"/>
  <c r="K52" i="24"/>
  <c r="K49" i="24"/>
  <c r="K46" i="24"/>
  <c r="K43" i="24"/>
  <c r="K40" i="24"/>
  <c r="K37" i="24"/>
  <c r="K34" i="24"/>
  <c r="K31" i="24"/>
  <c r="K129" i="24"/>
  <c r="K124" i="24"/>
  <c r="K121" i="24"/>
  <c r="K118" i="24"/>
  <c r="K50" i="24"/>
  <c r="K41" i="24"/>
  <c r="K32" i="24"/>
  <c r="K28" i="24"/>
  <c r="K25" i="24"/>
  <c r="K22" i="24"/>
  <c r="K19" i="24"/>
  <c r="K16" i="24"/>
  <c r="K13" i="24"/>
  <c r="K10" i="24"/>
  <c r="K7" i="24"/>
  <c r="K4" i="24"/>
  <c r="L1" i="24"/>
  <c r="K116" i="24"/>
  <c r="K113" i="24"/>
  <c r="K110" i="24"/>
  <c r="K107" i="24"/>
  <c r="K104" i="24"/>
  <c r="K101" i="24"/>
  <c r="K98" i="24"/>
  <c r="K95" i="24"/>
  <c r="K92" i="24"/>
  <c r="K89" i="24"/>
  <c r="K86" i="24"/>
  <c r="K83" i="24"/>
  <c r="K80" i="24"/>
  <c r="K77" i="24"/>
  <c r="K74" i="24"/>
  <c r="K71" i="24"/>
  <c r="K68" i="24"/>
  <c r="K65" i="24"/>
  <c r="K62" i="24"/>
  <c r="K59" i="24"/>
  <c r="K56" i="24"/>
  <c r="K53" i="24"/>
  <c r="K44" i="24"/>
  <c r="K35" i="24"/>
  <c r="K26" i="24"/>
  <c r="K23" i="24"/>
  <c r="K20" i="24"/>
  <c r="K17" i="24"/>
  <c r="K14" i="24"/>
  <c r="K11" i="24"/>
  <c r="K8" i="24"/>
  <c r="K5" i="24"/>
  <c r="K27" i="24"/>
  <c r="K24" i="24"/>
  <c r="K21" i="24"/>
  <c r="K18" i="24"/>
  <c r="K15" i="24"/>
  <c r="K12" i="24"/>
  <c r="K9" i="24"/>
  <c r="K6" i="24"/>
  <c r="K3" i="24"/>
  <c r="K126" i="24"/>
  <c r="K138" i="24"/>
  <c r="K132" i="24"/>
  <c r="K47" i="24"/>
  <c r="K38" i="24"/>
  <c r="K29" i="24"/>
  <c r="K135" i="24"/>
  <c r="J176" i="27"/>
  <c r="J173" i="27"/>
  <c r="J170" i="27"/>
  <c r="J167" i="27"/>
  <c r="J164" i="27"/>
  <c r="J161" i="27"/>
  <c r="J158" i="27"/>
  <c r="J155" i="27"/>
  <c r="J152" i="27"/>
  <c r="J149" i="27"/>
  <c r="J146" i="27"/>
  <c r="J174" i="27"/>
  <c r="J171" i="27"/>
  <c r="J168" i="27"/>
  <c r="J165" i="27"/>
  <c r="J162" i="27"/>
  <c r="J159" i="27"/>
  <c r="J156" i="27"/>
  <c r="J153" i="27"/>
  <c r="J150" i="27"/>
  <c r="J147" i="27"/>
  <c r="J172" i="27"/>
  <c r="J163" i="27"/>
  <c r="J154" i="27"/>
  <c r="J145" i="27"/>
  <c r="J143" i="27"/>
  <c r="J140" i="27"/>
  <c r="J137" i="27"/>
  <c r="J134" i="27"/>
  <c r="J131" i="27"/>
  <c r="J128" i="27"/>
  <c r="J124" i="27"/>
  <c r="J115" i="27"/>
  <c r="J111" i="27"/>
  <c r="J169" i="27"/>
  <c r="J160" i="27"/>
  <c r="J151" i="27"/>
  <c r="J142" i="27"/>
  <c r="J139" i="27"/>
  <c r="J136" i="27"/>
  <c r="J133" i="27"/>
  <c r="J130" i="27"/>
  <c r="J127" i="27"/>
  <c r="J123" i="27"/>
  <c r="J114" i="27"/>
  <c r="J144" i="27"/>
  <c r="J141" i="27"/>
  <c r="J138" i="27"/>
  <c r="J135" i="27"/>
  <c r="J132" i="27"/>
  <c r="J129" i="27"/>
  <c r="J125" i="27"/>
  <c r="J116" i="27"/>
  <c r="J113" i="27"/>
  <c r="J175" i="27"/>
  <c r="J166" i="27"/>
  <c r="J157" i="27"/>
  <c r="J148" i="27"/>
  <c r="J109" i="27"/>
  <c r="J106" i="27"/>
  <c r="J103" i="27"/>
  <c r="J100" i="27"/>
  <c r="J97" i="27"/>
  <c r="J94" i="27"/>
  <c r="J91" i="27"/>
  <c r="J88" i="27"/>
  <c r="J108" i="27"/>
  <c r="J105" i="27"/>
  <c r="J102" i="27"/>
  <c r="J99" i="27"/>
  <c r="J96" i="27"/>
  <c r="J93" i="27"/>
  <c r="J90" i="27"/>
  <c r="J84" i="27"/>
  <c r="J81" i="27"/>
  <c r="J78" i="27"/>
  <c r="J75" i="27"/>
  <c r="J72" i="27"/>
  <c r="J69" i="27"/>
  <c r="J66" i="27"/>
  <c r="J85" i="27"/>
  <c r="J82" i="27"/>
  <c r="J79" i="27"/>
  <c r="J76" i="27"/>
  <c r="J73" i="27"/>
  <c r="J70" i="27"/>
  <c r="J67" i="27"/>
  <c r="J64" i="27"/>
  <c r="J110" i="27"/>
  <c r="J107" i="27"/>
  <c r="J104" i="27"/>
  <c r="J101" i="27"/>
  <c r="J98" i="27"/>
  <c r="J95" i="27"/>
  <c r="J92" i="27"/>
  <c r="J89" i="27"/>
  <c r="J86" i="27"/>
  <c r="J77" i="27"/>
  <c r="J68" i="27"/>
  <c r="J61" i="27"/>
  <c r="J58" i="27"/>
  <c r="J55" i="27"/>
  <c r="J52" i="27"/>
  <c r="J49" i="27"/>
  <c r="J46" i="27"/>
  <c r="J43" i="27"/>
  <c r="J40" i="27"/>
  <c r="J83" i="27"/>
  <c r="J74" i="27"/>
  <c r="J65" i="27"/>
  <c r="J62" i="27"/>
  <c r="J59" i="27"/>
  <c r="J56" i="27"/>
  <c r="J53" i="27"/>
  <c r="J50" i="27"/>
  <c r="J47" i="27"/>
  <c r="J44" i="27"/>
  <c r="J41" i="27"/>
  <c r="J38" i="27"/>
  <c r="J80" i="27"/>
  <c r="J57" i="27"/>
  <c r="J48" i="27"/>
  <c r="J39" i="27"/>
  <c r="J36" i="27"/>
  <c r="J33" i="27"/>
  <c r="J30" i="27"/>
  <c r="J27" i="27"/>
  <c r="J24" i="27"/>
  <c r="J21" i="27"/>
  <c r="J18" i="27"/>
  <c r="J15" i="27"/>
  <c r="J12" i="27"/>
  <c r="J60" i="27"/>
  <c r="J51" i="27"/>
  <c r="J42" i="27"/>
  <c r="J35" i="27"/>
  <c r="J32" i="27"/>
  <c r="J29" i="27"/>
  <c r="J26" i="27"/>
  <c r="J23" i="27"/>
  <c r="J20" i="27"/>
  <c r="J17" i="27"/>
  <c r="J14" i="27"/>
  <c r="J11" i="27"/>
  <c r="J87" i="27"/>
  <c r="J54" i="27"/>
  <c r="J31" i="27"/>
  <c r="J22" i="27"/>
  <c r="J13" i="27"/>
  <c r="K1" i="27"/>
  <c r="J8" i="27"/>
  <c r="J5" i="27"/>
  <c r="J71" i="27"/>
  <c r="J63" i="27"/>
  <c r="J37" i="27"/>
  <c r="J28" i="27"/>
  <c r="J19" i="27"/>
  <c r="J9" i="27"/>
  <c r="J6" i="27"/>
  <c r="J3" i="27"/>
  <c r="J45" i="27"/>
  <c r="J34" i="27"/>
  <c r="J25" i="27"/>
  <c r="J16" i="27"/>
  <c r="J10" i="27"/>
  <c r="J7" i="27"/>
  <c r="J4" i="27"/>
  <c r="L188" i="20"/>
  <c r="L185" i="20"/>
  <c r="L182" i="20"/>
  <c r="L179" i="20"/>
  <c r="L176" i="20"/>
  <c r="L173" i="20"/>
  <c r="L170" i="20"/>
  <c r="L167" i="20"/>
  <c r="L164" i="20"/>
  <c r="L161" i="20"/>
  <c r="L158" i="20"/>
  <c r="L189" i="20"/>
  <c r="L186" i="20"/>
  <c r="L183" i="20"/>
  <c r="L180" i="20"/>
  <c r="L177" i="20"/>
  <c r="L174" i="20"/>
  <c r="L171" i="20"/>
  <c r="L168" i="20"/>
  <c r="L165" i="20"/>
  <c r="L162" i="20"/>
  <c r="L159" i="20"/>
  <c r="L156" i="20"/>
  <c r="L190" i="20"/>
  <c r="L187" i="20"/>
  <c r="L184" i="20"/>
  <c r="L181" i="20"/>
  <c r="L178" i="20"/>
  <c r="L175" i="20"/>
  <c r="L172" i="20"/>
  <c r="L169" i="20"/>
  <c r="L166" i="20"/>
  <c r="L163" i="20"/>
  <c r="L160" i="20"/>
  <c r="L157" i="20"/>
  <c r="L154" i="20"/>
  <c r="L144" i="20"/>
  <c r="L141" i="20"/>
  <c r="L125" i="20"/>
  <c r="L122" i="20"/>
  <c r="L119" i="20"/>
  <c r="L116" i="20"/>
  <c r="L113" i="20"/>
  <c r="L110" i="20"/>
  <c r="L107" i="20"/>
  <c r="L104" i="20"/>
  <c r="L101" i="20"/>
  <c r="L98" i="20"/>
  <c r="L95" i="20"/>
  <c r="L92" i="20"/>
  <c r="L89" i="20"/>
  <c r="L86" i="20"/>
  <c r="L83" i="20"/>
  <c r="L80" i="20"/>
  <c r="L77" i="20"/>
  <c r="L74" i="20"/>
  <c r="L71" i="20"/>
  <c r="L145" i="20"/>
  <c r="L142" i="20"/>
  <c r="L134" i="20"/>
  <c r="L126" i="20"/>
  <c r="L123" i="20"/>
  <c r="L120" i="20"/>
  <c r="L117" i="20"/>
  <c r="L114" i="20"/>
  <c r="L111" i="20"/>
  <c r="L108" i="20"/>
  <c r="L105" i="20"/>
  <c r="L102" i="20"/>
  <c r="L99" i="20"/>
  <c r="L96" i="20"/>
  <c r="L93" i="20"/>
  <c r="L90" i="20"/>
  <c r="L87" i="20"/>
  <c r="L84" i="20"/>
  <c r="L81" i="20"/>
  <c r="L78" i="20"/>
  <c r="L75" i="20"/>
  <c r="L72" i="20"/>
  <c r="L69" i="20"/>
  <c r="L146" i="20"/>
  <c r="L140" i="20"/>
  <c r="L135" i="20"/>
  <c r="L129" i="20"/>
  <c r="L124" i="20"/>
  <c r="L115" i="20"/>
  <c r="L106" i="20"/>
  <c r="L97" i="20"/>
  <c r="L88" i="20"/>
  <c r="L79" i="20"/>
  <c r="L70" i="20"/>
  <c r="L153" i="20"/>
  <c r="L139" i="20"/>
  <c r="L128" i="20"/>
  <c r="L149" i="20"/>
  <c r="L143" i="20"/>
  <c r="L132" i="20"/>
  <c r="L118" i="20"/>
  <c r="L109" i="20"/>
  <c r="L100" i="20"/>
  <c r="L91" i="20"/>
  <c r="L82" i="20"/>
  <c r="L73" i="20"/>
  <c r="L137" i="20"/>
  <c r="L152" i="20"/>
  <c r="L151" i="20"/>
  <c r="L136" i="20"/>
  <c r="L130" i="20"/>
  <c r="L36" i="20"/>
  <c r="L33" i="20"/>
  <c r="L30" i="20"/>
  <c r="L27" i="20"/>
  <c r="L24" i="20"/>
  <c r="L21" i="20"/>
  <c r="L18" i="20"/>
  <c r="L15" i="20"/>
  <c r="L12" i="20"/>
  <c r="L9" i="20"/>
  <c r="L6" i="20"/>
  <c r="L3" i="20"/>
  <c r="L138" i="20"/>
  <c r="L127" i="20"/>
  <c r="L68" i="20"/>
  <c r="L66" i="20"/>
  <c r="L63" i="20"/>
  <c r="L60" i="20"/>
  <c r="L55" i="20"/>
  <c r="L46" i="20"/>
  <c r="L103" i="20"/>
  <c r="L59" i="20"/>
  <c r="L50" i="20"/>
  <c r="L41" i="20"/>
  <c r="L54" i="20"/>
  <c r="L45" i="20"/>
  <c r="L147" i="20"/>
  <c r="L58" i="20"/>
  <c r="L49" i="20"/>
  <c r="L40" i="20"/>
  <c r="M1" i="20"/>
  <c r="L148" i="20"/>
  <c r="L133" i="20"/>
  <c r="L112" i="20"/>
  <c r="L53" i="20"/>
  <c r="L44" i="20"/>
  <c r="L85" i="20"/>
  <c r="L76" i="20"/>
  <c r="L35" i="20"/>
  <c r="L32" i="20"/>
  <c r="L29" i="20"/>
  <c r="L26" i="20"/>
  <c r="L23" i="20"/>
  <c r="L20" i="20"/>
  <c r="L17" i="20"/>
  <c r="L14" i="20"/>
  <c r="L11" i="20"/>
  <c r="L8" i="20"/>
  <c r="L5" i="20"/>
  <c r="L150" i="20"/>
  <c r="L131" i="20"/>
  <c r="L94" i="20"/>
  <c r="L57" i="20"/>
  <c r="L48" i="20"/>
  <c r="L39" i="20"/>
  <c r="L121" i="20"/>
  <c r="L52" i="20"/>
  <c r="L43" i="20"/>
  <c r="L65" i="20"/>
  <c r="L62" i="20"/>
  <c r="L51" i="20"/>
  <c r="L56" i="20"/>
  <c r="L155" i="20"/>
  <c r="L67" i="20"/>
  <c r="L64" i="20"/>
  <c r="L61" i="20"/>
  <c r="L37" i="20"/>
  <c r="L34" i="20"/>
  <c r="L31" i="20"/>
  <c r="L28" i="20"/>
  <c r="L25" i="20"/>
  <c r="L22" i="20"/>
  <c r="L19" i="20"/>
  <c r="L16" i="20"/>
  <c r="L13" i="20"/>
  <c r="L10" i="20"/>
  <c r="L7" i="20"/>
  <c r="L4" i="20"/>
  <c r="L47" i="20"/>
  <c r="L42" i="20"/>
  <c r="L38" i="20"/>
  <c r="K179" i="25"/>
  <c r="K178" i="25"/>
  <c r="K177" i="25"/>
  <c r="K174" i="25"/>
  <c r="K171" i="25"/>
  <c r="K168" i="25"/>
  <c r="K165" i="25"/>
  <c r="K162" i="25"/>
  <c r="K159" i="25"/>
  <c r="K156" i="25"/>
  <c r="K153" i="25"/>
  <c r="K150" i="25"/>
  <c r="K147" i="25"/>
  <c r="K144" i="25"/>
  <c r="K141" i="25"/>
  <c r="K138" i="25"/>
  <c r="K135" i="25"/>
  <c r="K175" i="25"/>
  <c r="K172" i="25"/>
  <c r="K169" i="25"/>
  <c r="K166" i="25"/>
  <c r="K163" i="25"/>
  <c r="K160" i="25"/>
  <c r="K157" i="25"/>
  <c r="K154" i="25"/>
  <c r="K151" i="25"/>
  <c r="K148" i="25"/>
  <c r="K145" i="25"/>
  <c r="K142" i="25"/>
  <c r="K139" i="25"/>
  <c r="K136" i="25"/>
  <c r="K176" i="25"/>
  <c r="K173" i="25"/>
  <c r="K170" i="25"/>
  <c r="K167" i="25"/>
  <c r="K164" i="25"/>
  <c r="K161" i="25"/>
  <c r="K158" i="25"/>
  <c r="K155" i="25"/>
  <c r="K152" i="25"/>
  <c r="K149" i="25"/>
  <c r="K146" i="25"/>
  <c r="K143" i="25"/>
  <c r="K140" i="25"/>
  <c r="K137" i="25"/>
  <c r="K129" i="25"/>
  <c r="K126" i="25"/>
  <c r="K124" i="25"/>
  <c r="K119" i="25"/>
  <c r="K116" i="25"/>
  <c r="K127" i="25"/>
  <c r="K122" i="25"/>
  <c r="K118" i="25"/>
  <c r="K114" i="25"/>
  <c r="K111" i="25"/>
  <c r="K108" i="25"/>
  <c r="K105" i="25"/>
  <c r="K102" i="25"/>
  <c r="K98" i="25"/>
  <c r="K120" i="25"/>
  <c r="K117" i="25"/>
  <c r="K115" i="25"/>
  <c r="K113" i="25"/>
  <c r="K112" i="25"/>
  <c r="K110" i="25"/>
  <c r="K109" i="25"/>
  <c r="K107" i="25"/>
  <c r="K106" i="25"/>
  <c r="K104" i="25"/>
  <c r="K103" i="25"/>
  <c r="K131" i="25"/>
  <c r="K121" i="25"/>
  <c r="K132" i="25"/>
  <c r="K123" i="25"/>
  <c r="K101" i="25"/>
  <c r="K128" i="25"/>
  <c r="K133" i="25"/>
  <c r="K100" i="25"/>
  <c r="K125" i="25"/>
  <c r="K96" i="25"/>
  <c r="K91" i="25"/>
  <c r="K87" i="25"/>
  <c r="K82" i="25"/>
  <c r="K78" i="25"/>
  <c r="K72" i="25"/>
  <c r="K134" i="25"/>
  <c r="K92" i="25"/>
  <c r="K83" i="25"/>
  <c r="K68" i="25"/>
  <c r="K65" i="25"/>
  <c r="K62" i="25"/>
  <c r="K59" i="25"/>
  <c r="K56" i="25"/>
  <c r="K53" i="25"/>
  <c r="K50" i="25"/>
  <c r="K47" i="25"/>
  <c r="K71" i="25"/>
  <c r="K93" i="25"/>
  <c r="K99" i="25"/>
  <c r="K97" i="25"/>
  <c r="K75" i="25"/>
  <c r="K94" i="25"/>
  <c r="K45" i="25"/>
  <c r="K89" i="25"/>
  <c r="K81" i="25"/>
  <c r="K77" i="25"/>
  <c r="K42" i="25"/>
  <c r="K85" i="25"/>
  <c r="K70" i="25"/>
  <c r="K67" i="25"/>
  <c r="K64" i="25"/>
  <c r="K61" i="25"/>
  <c r="K58" i="25"/>
  <c r="K55" i="25"/>
  <c r="K52" i="25"/>
  <c r="K49" i="25"/>
  <c r="K46" i="25"/>
  <c r="K40" i="25"/>
  <c r="K37" i="25"/>
  <c r="K34" i="25"/>
  <c r="K31" i="25"/>
  <c r="K28" i="25"/>
  <c r="K25" i="25"/>
  <c r="K22" i="25"/>
  <c r="K19" i="25"/>
  <c r="K16" i="25"/>
  <c r="K13" i="25"/>
  <c r="K10" i="25"/>
  <c r="K95" i="25"/>
  <c r="K90" i="25"/>
  <c r="K86" i="25"/>
  <c r="K69" i="25"/>
  <c r="K66" i="25"/>
  <c r="K63" i="25"/>
  <c r="K60" i="25"/>
  <c r="K57" i="25"/>
  <c r="K54" i="25"/>
  <c r="K51" i="25"/>
  <c r="K48" i="25"/>
  <c r="K79" i="25"/>
  <c r="K74" i="25"/>
  <c r="K41" i="25"/>
  <c r="K38" i="25"/>
  <c r="K35" i="25"/>
  <c r="K32" i="25"/>
  <c r="K29" i="25"/>
  <c r="K26" i="25"/>
  <c r="K23" i="25"/>
  <c r="K20" i="25"/>
  <c r="K17" i="25"/>
  <c r="K14" i="25"/>
  <c r="K11" i="25"/>
  <c r="K88" i="25"/>
  <c r="K76" i="25"/>
  <c r="K44" i="25"/>
  <c r="K43" i="25"/>
  <c r="K7" i="25"/>
  <c r="K4" i="25"/>
  <c r="L1" i="25"/>
  <c r="K130" i="25"/>
  <c r="K5" i="25"/>
  <c r="K80" i="25"/>
  <c r="K8" i="25"/>
  <c r="K73" i="25"/>
  <c r="K39" i="25"/>
  <c r="K33" i="25"/>
  <c r="K27" i="25"/>
  <c r="K21" i="25"/>
  <c r="K15" i="25"/>
  <c r="K9" i="25"/>
  <c r="K84" i="25"/>
  <c r="K36" i="25"/>
  <c r="K30" i="25"/>
  <c r="K24" i="25"/>
  <c r="K18" i="25"/>
  <c r="K12" i="25"/>
  <c r="K3" i="25"/>
  <c r="K6" i="25"/>
  <c r="M135" i="22"/>
  <c r="M132" i="22"/>
  <c r="M183" i="22"/>
  <c r="M180" i="22"/>
  <c r="M177" i="22"/>
  <c r="M174" i="22"/>
  <c r="M171" i="22"/>
  <c r="M168" i="22"/>
  <c r="M165" i="22"/>
  <c r="M162" i="22"/>
  <c r="M159" i="22"/>
  <c r="M156" i="22"/>
  <c r="M153" i="22"/>
  <c r="M150" i="22"/>
  <c r="M147" i="22"/>
  <c r="M144" i="22"/>
  <c r="M141" i="22"/>
  <c r="M138" i="22"/>
  <c r="M119" i="22"/>
  <c r="M130" i="22"/>
  <c r="M125" i="22"/>
  <c r="M122" i="22"/>
  <c r="M133" i="22"/>
  <c r="M128" i="22"/>
  <c r="M184" i="22"/>
  <c r="M181" i="22"/>
  <c r="M178" i="22"/>
  <c r="M175" i="22"/>
  <c r="M172" i="22"/>
  <c r="M169" i="22"/>
  <c r="M166" i="22"/>
  <c r="M163" i="22"/>
  <c r="M160" i="22"/>
  <c r="M157" i="22"/>
  <c r="M154" i="22"/>
  <c r="M151" i="22"/>
  <c r="M148" i="22"/>
  <c r="M145" i="22"/>
  <c r="M142" i="22"/>
  <c r="M139" i="22"/>
  <c r="M136" i="22"/>
  <c r="M120" i="22"/>
  <c r="M126" i="22"/>
  <c r="M123" i="22"/>
  <c r="M131" i="22"/>
  <c r="M185" i="22"/>
  <c r="M182" i="22"/>
  <c r="M179" i="22"/>
  <c r="M176" i="22"/>
  <c r="M173" i="22"/>
  <c r="M170" i="22"/>
  <c r="M167" i="22"/>
  <c r="M164" i="22"/>
  <c r="M161" i="22"/>
  <c r="M158" i="22"/>
  <c r="M155" i="22"/>
  <c r="M152" i="22"/>
  <c r="M149" i="22"/>
  <c r="M146" i="22"/>
  <c r="M143" i="22"/>
  <c r="M140" i="22"/>
  <c r="M137" i="22"/>
  <c r="M129" i="22"/>
  <c r="M121" i="22"/>
  <c r="M124" i="22"/>
  <c r="M127" i="22"/>
  <c r="M118" i="22"/>
  <c r="M116" i="22"/>
  <c r="M107" i="22"/>
  <c r="M98" i="22"/>
  <c r="M89" i="22"/>
  <c r="M80" i="22"/>
  <c r="M71" i="22"/>
  <c r="M62" i="22"/>
  <c r="M53" i="22"/>
  <c r="M44" i="22"/>
  <c r="M35" i="22"/>
  <c r="M26" i="22"/>
  <c r="M17" i="22"/>
  <c r="M11" i="22"/>
  <c r="M8" i="22"/>
  <c r="M5" i="22"/>
  <c r="M117" i="22"/>
  <c r="M108" i="22"/>
  <c r="M99" i="22"/>
  <c r="M90" i="22"/>
  <c r="M81" i="22"/>
  <c r="M72" i="22"/>
  <c r="M63" i="22"/>
  <c r="M54" i="22"/>
  <c r="M45" i="22"/>
  <c r="M36" i="22"/>
  <c r="M27" i="22"/>
  <c r="M18" i="22"/>
  <c r="M109" i="22"/>
  <c r="M100" i="22"/>
  <c r="M91" i="22"/>
  <c r="M82" i="22"/>
  <c r="M73" i="22"/>
  <c r="M64" i="22"/>
  <c r="M55" i="22"/>
  <c r="M46" i="22"/>
  <c r="M37" i="22"/>
  <c r="M28" i="22"/>
  <c r="M19" i="22"/>
  <c r="M110" i="22"/>
  <c r="M101" i="22"/>
  <c r="M92" i="22"/>
  <c r="M83" i="22"/>
  <c r="M74" i="22"/>
  <c r="M65" i="22"/>
  <c r="M56" i="22"/>
  <c r="M47" i="22"/>
  <c r="M38" i="22"/>
  <c r="M29" i="22"/>
  <c r="M20" i="22"/>
  <c r="M9" i="22"/>
  <c r="M6" i="22"/>
  <c r="M3" i="22"/>
  <c r="M111" i="22"/>
  <c r="M102" i="22"/>
  <c r="M93" i="22"/>
  <c r="M84" i="22"/>
  <c r="M75" i="22"/>
  <c r="M66" i="22"/>
  <c r="M57" i="22"/>
  <c r="M48" i="22"/>
  <c r="M39" i="22"/>
  <c r="M30" i="22"/>
  <c r="M21" i="22"/>
  <c r="M12" i="22"/>
  <c r="M112" i="22"/>
  <c r="M103" i="22"/>
  <c r="M94" i="22"/>
  <c r="M85" i="22"/>
  <c r="M76" i="22"/>
  <c r="M67" i="22"/>
  <c r="M58" i="22"/>
  <c r="M49" i="22"/>
  <c r="M40" i="22"/>
  <c r="M31" i="22"/>
  <c r="M22" i="22"/>
  <c r="M13" i="22"/>
  <c r="M113" i="22"/>
  <c r="M104" i="22"/>
  <c r="M95" i="22"/>
  <c r="M86" i="22"/>
  <c r="M77" i="22"/>
  <c r="M68" i="22"/>
  <c r="M59" i="22"/>
  <c r="M50" i="22"/>
  <c r="M41" i="22"/>
  <c r="M32" i="22"/>
  <c r="M23" i="22"/>
  <c r="M14" i="22"/>
  <c r="M10" i="22"/>
  <c r="M7" i="22"/>
  <c r="M4" i="22"/>
  <c r="M114" i="22"/>
  <c r="M105" i="22"/>
  <c r="M96" i="22"/>
  <c r="M87" i="22"/>
  <c r="M78" i="22"/>
  <c r="M69" i="22"/>
  <c r="M60" i="22"/>
  <c r="M51" i="22"/>
  <c r="M42" i="22"/>
  <c r="M33" i="22"/>
  <c r="M24" i="22"/>
  <c r="M15" i="22"/>
  <c r="N1" i="22"/>
  <c r="M134" i="22"/>
  <c r="M106" i="22"/>
  <c r="M79" i="22"/>
  <c r="M52" i="22"/>
  <c r="M25" i="22"/>
  <c r="M115" i="22"/>
  <c r="M88" i="22"/>
  <c r="M61" i="22"/>
  <c r="M34" i="22"/>
  <c r="M97" i="22"/>
  <c r="M70" i="22"/>
  <c r="M43" i="22"/>
  <c r="M16" i="22"/>
  <c r="J190" i="19"/>
  <c r="J187" i="19"/>
  <c r="J184" i="19"/>
  <c r="J181" i="19"/>
  <c r="J178" i="19"/>
  <c r="J188" i="19"/>
  <c r="J185" i="19"/>
  <c r="J182" i="19"/>
  <c r="J179" i="19"/>
  <c r="J176" i="19"/>
  <c r="J174" i="19"/>
  <c r="J171" i="19"/>
  <c r="J168" i="19"/>
  <c r="J165" i="19"/>
  <c r="J162" i="19"/>
  <c r="J159" i="19"/>
  <c r="J156" i="19"/>
  <c r="J153" i="19"/>
  <c r="J150" i="19"/>
  <c r="J147" i="19"/>
  <c r="J144" i="19"/>
  <c r="J141" i="19"/>
  <c r="J125" i="19"/>
  <c r="J122" i="19"/>
  <c r="J119" i="19"/>
  <c r="J116" i="19"/>
  <c r="J113" i="19"/>
  <c r="J110" i="19"/>
  <c r="J107" i="19"/>
  <c r="J104" i="19"/>
  <c r="J101" i="19"/>
  <c r="J98" i="19"/>
  <c r="J95" i="19"/>
  <c r="J92" i="19"/>
  <c r="J89" i="19"/>
  <c r="J86" i="19"/>
  <c r="J83" i="19"/>
  <c r="J80" i="19"/>
  <c r="J77" i="19"/>
  <c r="J74" i="19"/>
  <c r="J71" i="19"/>
  <c r="J68" i="19"/>
  <c r="J131" i="19"/>
  <c r="J128" i="19"/>
  <c r="J136" i="19"/>
  <c r="J183" i="19"/>
  <c r="J139" i="19"/>
  <c r="J66" i="19"/>
  <c r="J63" i="19"/>
  <c r="J60" i="19"/>
  <c r="J57" i="19"/>
  <c r="J54" i="19"/>
  <c r="J51" i="19"/>
  <c r="J48" i="19"/>
  <c r="J45" i="19"/>
  <c r="J42" i="19"/>
  <c r="J39" i="19"/>
  <c r="J36" i="19"/>
  <c r="J33" i="19"/>
  <c r="J30" i="19"/>
  <c r="J27" i="19"/>
  <c r="J24" i="19"/>
  <c r="J21" i="19"/>
  <c r="J18" i="19"/>
  <c r="J15" i="19"/>
  <c r="J12" i="19"/>
  <c r="J9" i="19"/>
  <c r="J6" i="19"/>
  <c r="J3" i="19"/>
  <c r="J189" i="19"/>
  <c r="J180" i="19"/>
  <c r="J140" i="19"/>
  <c r="J137" i="19"/>
  <c r="J67" i="19"/>
  <c r="J64" i="19"/>
  <c r="J61" i="19"/>
  <c r="J58" i="19"/>
  <c r="J55" i="19"/>
  <c r="J52" i="19"/>
  <c r="J49" i="19"/>
  <c r="J46" i="19"/>
  <c r="J43" i="19"/>
  <c r="J40" i="19"/>
  <c r="J37" i="19"/>
  <c r="J34" i="19"/>
  <c r="J31" i="19"/>
  <c r="J28" i="19"/>
  <c r="J25" i="19"/>
  <c r="J22" i="19"/>
  <c r="J19" i="19"/>
  <c r="J16" i="19"/>
  <c r="J13" i="19"/>
  <c r="J10" i="19"/>
  <c r="J7" i="19"/>
  <c r="J4" i="19"/>
  <c r="J177" i="19"/>
  <c r="J130" i="19"/>
  <c r="J170" i="19"/>
  <c r="J161" i="19"/>
  <c r="J152" i="19"/>
  <c r="J143" i="19"/>
  <c r="J126" i="19"/>
  <c r="J117" i="19"/>
  <c r="J108" i="19"/>
  <c r="J99" i="19"/>
  <c r="J90" i="19"/>
  <c r="J81" i="19"/>
  <c r="J72" i="19"/>
  <c r="J65" i="19"/>
  <c r="J56" i="19"/>
  <c r="J47" i="19"/>
  <c r="J38" i="19"/>
  <c r="J186" i="19"/>
  <c r="J175" i="19"/>
  <c r="J166" i="19"/>
  <c r="J157" i="19"/>
  <c r="J148" i="19"/>
  <c r="J124" i="19"/>
  <c r="J115" i="19"/>
  <c r="J106" i="19"/>
  <c r="J97" i="19"/>
  <c r="J88" i="19"/>
  <c r="J79" i="19"/>
  <c r="J70" i="19"/>
  <c r="J173" i="19"/>
  <c r="J164" i="19"/>
  <c r="J155" i="19"/>
  <c r="J146" i="19"/>
  <c r="J135" i="19"/>
  <c r="J120" i="19"/>
  <c r="J111" i="19"/>
  <c r="J102" i="19"/>
  <c r="J93" i="19"/>
  <c r="J84" i="19"/>
  <c r="J75" i="19"/>
  <c r="J59" i="19"/>
  <c r="J50" i="19"/>
  <c r="J41" i="19"/>
  <c r="J32" i="19"/>
  <c r="J23" i="19"/>
  <c r="J14" i="19"/>
  <c r="J5" i="19"/>
  <c r="J133" i="19"/>
  <c r="J129" i="19"/>
  <c r="J127" i="19"/>
  <c r="J169" i="19"/>
  <c r="J163" i="19"/>
  <c r="J149" i="19"/>
  <c r="J132" i="19"/>
  <c r="J87" i="19"/>
  <c r="J172" i="19"/>
  <c r="J158" i="19"/>
  <c r="J167" i="19"/>
  <c r="J105" i="19"/>
  <c r="J142" i="19"/>
  <c r="J114" i="19"/>
  <c r="J151" i="19"/>
  <c r="J145" i="19"/>
  <c r="J134" i="19"/>
  <c r="J123" i="19"/>
  <c r="J69" i="19"/>
  <c r="J53" i="19"/>
  <c r="J78" i="19"/>
  <c r="J76" i="19"/>
  <c r="J35" i="19"/>
  <c r="J17" i="19"/>
  <c r="K1" i="19"/>
  <c r="J160" i="19"/>
  <c r="J138" i="19"/>
  <c r="J103" i="19"/>
  <c r="J94" i="19"/>
  <c r="J85" i="19"/>
  <c r="J62" i="19"/>
  <c r="J20" i="19"/>
  <c r="J112" i="19"/>
  <c r="J96" i="19"/>
  <c r="J73" i="19"/>
  <c r="J121" i="19"/>
  <c r="J82" i="19"/>
  <c r="J154" i="19"/>
  <c r="J109" i="19"/>
  <c r="J100" i="19"/>
  <c r="J91" i="19"/>
  <c r="J26" i="19"/>
  <c r="J8" i="19"/>
  <c r="J29" i="19"/>
  <c r="J44" i="19"/>
  <c r="J11" i="19"/>
  <c r="J118" i="19"/>
  <c r="N192" i="17" l="1"/>
  <c r="N183" i="17"/>
  <c r="N174" i="17"/>
  <c r="N165" i="17"/>
  <c r="N156" i="17"/>
  <c r="N142" i="17"/>
  <c r="N139" i="17"/>
  <c r="N191" i="17"/>
  <c r="N182" i="17"/>
  <c r="N173" i="17"/>
  <c r="N164" i="17"/>
  <c r="N155" i="17"/>
  <c r="N186" i="17"/>
  <c r="N177" i="17"/>
  <c r="N168" i="17"/>
  <c r="N159" i="17"/>
  <c r="N150" i="17"/>
  <c r="N140" i="17"/>
  <c r="N135" i="17"/>
  <c r="N175" i="17"/>
  <c r="N169" i="17"/>
  <c r="N166" i="17"/>
  <c r="N160" i="17"/>
  <c r="N157" i="17"/>
  <c r="N151" i="17"/>
  <c r="N136" i="17"/>
  <c r="N66" i="17"/>
  <c r="N63" i="17"/>
  <c r="N60" i="17"/>
  <c r="N57" i="17"/>
  <c r="N54" i="17"/>
  <c r="N51" i="17"/>
  <c r="N48" i="17"/>
  <c r="N45" i="17"/>
  <c r="N42" i="17"/>
  <c r="N39" i="17"/>
  <c r="N36" i="17"/>
  <c r="N33" i="17"/>
  <c r="N30" i="17"/>
  <c r="N27" i="17"/>
  <c r="N24" i="17"/>
  <c r="N21" i="17"/>
  <c r="N18" i="17"/>
  <c r="N15" i="17"/>
  <c r="N12" i="17"/>
  <c r="N9" i="17"/>
  <c r="N6" i="17"/>
  <c r="N3" i="17"/>
  <c r="N180" i="17"/>
  <c r="N178" i="17"/>
  <c r="N146" i="17"/>
  <c r="N143" i="17"/>
  <c r="N141" i="17"/>
  <c r="N131" i="17"/>
  <c r="N126" i="17"/>
  <c r="N117" i="17"/>
  <c r="N108" i="17"/>
  <c r="N99" i="17"/>
  <c r="N90" i="17"/>
  <c r="N190" i="17"/>
  <c r="N184" i="17"/>
  <c r="N148" i="17"/>
  <c r="N147" i="17"/>
  <c r="N145" i="17"/>
  <c r="N144" i="17"/>
  <c r="N121" i="17"/>
  <c r="N112" i="17"/>
  <c r="N103" i="17"/>
  <c r="N92" i="17"/>
  <c r="N176" i="17"/>
  <c r="N167" i="17"/>
  <c r="N158" i="17"/>
  <c r="N149" i="17"/>
  <c r="N130" i="17"/>
  <c r="N94" i="17"/>
  <c r="N67" i="17"/>
  <c r="N64" i="17"/>
  <c r="N61" i="17"/>
  <c r="N58" i="17"/>
  <c r="N55" i="17"/>
  <c r="N52" i="17"/>
  <c r="N49" i="17"/>
  <c r="N46" i="17"/>
  <c r="N43" i="17"/>
  <c r="N40" i="17"/>
  <c r="N37" i="17"/>
  <c r="N34" i="17"/>
  <c r="N31" i="17"/>
  <c r="N28" i="17"/>
  <c r="N25" i="17"/>
  <c r="N22" i="17"/>
  <c r="N19" i="17"/>
  <c r="N16" i="17"/>
  <c r="N13" i="17"/>
  <c r="N10" i="17"/>
  <c r="N7" i="17"/>
  <c r="N4" i="17"/>
  <c r="N188" i="17"/>
  <c r="N170" i="17"/>
  <c r="N161" i="17"/>
  <c r="N152" i="17"/>
  <c r="N125" i="17"/>
  <c r="N116" i="17"/>
  <c r="N107" i="17"/>
  <c r="N98" i="17"/>
  <c r="N88" i="17"/>
  <c r="N85" i="17"/>
  <c r="N82" i="17"/>
  <c r="N79" i="17"/>
  <c r="N76" i="17"/>
  <c r="N73" i="17"/>
  <c r="N70" i="17"/>
  <c r="N120" i="17"/>
  <c r="N111" i="17"/>
  <c r="N102" i="17"/>
  <c r="O1" i="17"/>
  <c r="N171" i="17"/>
  <c r="N162" i="17"/>
  <c r="N153" i="17"/>
  <c r="N91" i="17"/>
  <c r="N68" i="17"/>
  <c r="N65" i="17"/>
  <c r="N62" i="17"/>
  <c r="N59" i="17"/>
  <c r="N56" i="17"/>
  <c r="N53" i="17"/>
  <c r="N50" i="17"/>
  <c r="N47" i="17"/>
  <c r="N44" i="17"/>
  <c r="N41" i="17"/>
  <c r="N38" i="17"/>
  <c r="N35" i="17"/>
  <c r="N32" i="17"/>
  <c r="N29" i="17"/>
  <c r="N26" i="17"/>
  <c r="N23" i="17"/>
  <c r="N20" i="17"/>
  <c r="N17" i="17"/>
  <c r="N14" i="17"/>
  <c r="N11" i="17"/>
  <c r="N8" i="17"/>
  <c r="N5" i="17"/>
  <c r="N185" i="17"/>
  <c r="N179" i="17"/>
  <c r="N133" i="17"/>
  <c r="N128" i="17"/>
  <c r="N119" i="17"/>
  <c r="N110" i="17"/>
  <c r="N101" i="17"/>
  <c r="N89" i="17"/>
  <c r="N86" i="17"/>
  <c r="N83" i="17"/>
  <c r="N80" i="17"/>
  <c r="N77" i="17"/>
  <c r="N74" i="17"/>
  <c r="N71" i="17"/>
  <c r="N189" i="17"/>
  <c r="N187" i="17"/>
  <c r="N123" i="17"/>
  <c r="N114" i="17"/>
  <c r="N105" i="17"/>
  <c r="N96" i="17"/>
  <c r="N93" i="17"/>
  <c r="N181" i="17"/>
  <c r="N124" i="17"/>
  <c r="N115" i="17"/>
  <c r="N106" i="17"/>
  <c r="N97" i="17"/>
  <c r="N154" i="17"/>
  <c r="N137" i="17"/>
  <c r="N122" i="17"/>
  <c r="N113" i="17"/>
  <c r="N104" i="17"/>
  <c r="N95" i="17"/>
  <c r="N87" i="17"/>
  <c r="N84" i="17"/>
  <c r="N81" i="17"/>
  <c r="N78" i="17"/>
  <c r="N75" i="17"/>
  <c r="N72" i="17"/>
  <c r="N69" i="17"/>
  <c r="N129" i="17"/>
  <c r="N163" i="17"/>
  <c r="N127" i="17"/>
  <c r="N118" i="17"/>
  <c r="N109" i="17"/>
  <c r="N100" i="17"/>
  <c r="N172" i="17"/>
  <c r="N134" i="17"/>
  <c r="N132" i="17"/>
  <c r="N138" i="17"/>
  <c r="M190" i="20"/>
  <c r="M187" i="20"/>
  <c r="M184" i="20"/>
  <c r="M181" i="20"/>
  <c r="M178" i="20"/>
  <c r="M175" i="20"/>
  <c r="M172" i="20"/>
  <c r="M169" i="20"/>
  <c r="M166" i="20"/>
  <c r="M163" i="20"/>
  <c r="M160" i="20"/>
  <c r="M157" i="20"/>
  <c r="M154" i="20"/>
  <c r="M186" i="20"/>
  <c r="M177" i="20"/>
  <c r="M168" i="20"/>
  <c r="M159" i="20"/>
  <c r="M150" i="20"/>
  <c r="M131" i="20"/>
  <c r="M128" i="20"/>
  <c r="M183" i="20"/>
  <c r="M174" i="20"/>
  <c r="M165" i="20"/>
  <c r="M129" i="20"/>
  <c r="M188" i="20"/>
  <c r="M161" i="20"/>
  <c r="M124" i="20"/>
  <c r="M189" i="20"/>
  <c r="M176" i="20"/>
  <c r="M162" i="20"/>
  <c r="M147" i="20"/>
  <c r="M134" i="20"/>
  <c r="M148" i="20"/>
  <c r="M133" i="20"/>
  <c r="M123" i="20"/>
  <c r="M114" i="20"/>
  <c r="M105" i="20"/>
  <c r="M96" i="20"/>
  <c r="M87" i="20"/>
  <c r="M78" i="20"/>
  <c r="M69" i="20"/>
  <c r="M67" i="20"/>
  <c r="M64" i="20"/>
  <c r="M61" i="20"/>
  <c r="M180" i="20"/>
  <c r="M167" i="20"/>
  <c r="M138" i="20"/>
  <c r="M127" i="20"/>
  <c r="M182" i="20"/>
  <c r="M170" i="20"/>
  <c r="M121" i="20"/>
  <c r="M112" i="20"/>
  <c r="M103" i="20"/>
  <c r="M94" i="20"/>
  <c r="M173" i="20"/>
  <c r="M155" i="20"/>
  <c r="M141" i="20"/>
  <c r="M125" i="20"/>
  <c r="M116" i="20"/>
  <c r="M107" i="20"/>
  <c r="M171" i="20"/>
  <c r="M153" i="20"/>
  <c r="M139" i="20"/>
  <c r="M119" i="20"/>
  <c r="M83" i="20"/>
  <c r="M80" i="20"/>
  <c r="M74" i="20"/>
  <c r="M71" i="20"/>
  <c r="M65" i="20"/>
  <c r="M62" i="20"/>
  <c r="M51" i="20"/>
  <c r="M42" i="20"/>
  <c r="M118" i="20"/>
  <c r="M100" i="20"/>
  <c r="M110" i="20"/>
  <c r="M91" i="20"/>
  <c r="M89" i="20"/>
  <c r="M59" i="20"/>
  <c r="M50" i="20"/>
  <c r="M41" i="20"/>
  <c r="M137" i="20"/>
  <c r="M126" i="20"/>
  <c r="M117" i="20"/>
  <c r="M113" i="20"/>
  <c r="M95" i="20"/>
  <c r="M93" i="20"/>
  <c r="M81" i="20"/>
  <c r="M72" i="20"/>
  <c r="M37" i="20"/>
  <c r="M34" i="20"/>
  <c r="M31" i="20"/>
  <c r="M28" i="20"/>
  <c r="M25" i="20"/>
  <c r="M22" i="20"/>
  <c r="M19" i="20"/>
  <c r="M16" i="20"/>
  <c r="M13" i="20"/>
  <c r="M10" i="20"/>
  <c r="M7" i="20"/>
  <c r="M4" i="20"/>
  <c r="M158" i="20"/>
  <c r="M156" i="20"/>
  <c r="M136" i="20"/>
  <c r="M106" i="20"/>
  <c r="M97" i="20"/>
  <c r="M84" i="20"/>
  <c r="M75" i="20"/>
  <c r="M54" i="20"/>
  <c r="M45" i="20"/>
  <c r="M146" i="20"/>
  <c r="M145" i="20"/>
  <c r="M135" i="20"/>
  <c r="M109" i="20"/>
  <c r="M99" i="20"/>
  <c r="M58" i="20"/>
  <c r="M49" i="20"/>
  <c r="M40" i="20"/>
  <c r="N1" i="20"/>
  <c r="M144" i="20"/>
  <c r="M102" i="20"/>
  <c r="M53" i="20"/>
  <c r="M44" i="20"/>
  <c r="M185" i="20"/>
  <c r="M149" i="20"/>
  <c r="M143" i="20"/>
  <c r="M132" i="20"/>
  <c r="M85" i="20"/>
  <c r="M82" i="20"/>
  <c r="M76" i="20"/>
  <c r="M73" i="20"/>
  <c r="M35" i="20"/>
  <c r="M32" i="20"/>
  <c r="M29" i="20"/>
  <c r="M26" i="20"/>
  <c r="M23" i="20"/>
  <c r="M20" i="20"/>
  <c r="M17" i="20"/>
  <c r="M14" i="20"/>
  <c r="M11" i="20"/>
  <c r="M8" i="20"/>
  <c r="M5" i="20"/>
  <c r="M164" i="20"/>
  <c r="M122" i="20"/>
  <c r="M115" i="20"/>
  <c r="M90" i="20"/>
  <c r="M88" i="20"/>
  <c r="M79" i="20"/>
  <c r="M70" i="20"/>
  <c r="M57" i="20"/>
  <c r="M48" i="20"/>
  <c r="M39" i="20"/>
  <c r="M142" i="20"/>
  <c r="M108" i="20"/>
  <c r="M92" i="20"/>
  <c r="M52" i="20"/>
  <c r="M43" i="20"/>
  <c r="M152" i="20"/>
  <c r="M151" i="20"/>
  <c r="M130" i="20"/>
  <c r="M111" i="20"/>
  <c r="M101" i="20"/>
  <c r="M98" i="20"/>
  <c r="M56" i="20"/>
  <c r="M47" i="20"/>
  <c r="M38" i="20"/>
  <c r="M46" i="20"/>
  <c r="M86" i="20"/>
  <c r="M36" i="20"/>
  <c r="M33" i="20"/>
  <c r="M30" i="20"/>
  <c r="M27" i="20"/>
  <c r="M24" i="20"/>
  <c r="M21" i="20"/>
  <c r="M18" i="20"/>
  <c r="M15" i="20"/>
  <c r="M12" i="20"/>
  <c r="M9" i="20"/>
  <c r="M6" i="20"/>
  <c r="M3" i="20"/>
  <c r="M104" i="20"/>
  <c r="M68" i="20"/>
  <c r="M120" i="20"/>
  <c r="M77" i="20"/>
  <c r="M179" i="20"/>
  <c r="M140" i="20"/>
  <c r="M55" i="20"/>
  <c r="M63" i="20"/>
  <c r="M60" i="20"/>
  <c r="M66" i="20"/>
  <c r="K176" i="27"/>
  <c r="K173" i="27"/>
  <c r="K170" i="27"/>
  <c r="K167" i="27"/>
  <c r="K164" i="27"/>
  <c r="K161" i="27"/>
  <c r="K158" i="27"/>
  <c r="K155" i="27"/>
  <c r="K152" i="27"/>
  <c r="K149" i="27"/>
  <c r="K146" i="27"/>
  <c r="K174" i="27"/>
  <c r="K171" i="27"/>
  <c r="K168" i="27"/>
  <c r="K165" i="27"/>
  <c r="K162" i="27"/>
  <c r="K159" i="27"/>
  <c r="K156" i="27"/>
  <c r="K153" i="27"/>
  <c r="K150" i="27"/>
  <c r="K147" i="27"/>
  <c r="K175" i="27"/>
  <c r="K172" i="27"/>
  <c r="K169" i="27"/>
  <c r="K166" i="27"/>
  <c r="K163" i="27"/>
  <c r="K160" i="27"/>
  <c r="K157" i="27"/>
  <c r="K154" i="27"/>
  <c r="K151" i="27"/>
  <c r="K148" i="27"/>
  <c r="K145" i="27"/>
  <c r="K143" i="27"/>
  <c r="K140" i="27"/>
  <c r="K137" i="27"/>
  <c r="K134" i="27"/>
  <c r="K131" i="27"/>
  <c r="K128" i="27"/>
  <c r="K124" i="27"/>
  <c r="K115" i="27"/>
  <c r="K144" i="27"/>
  <c r="K141" i="27"/>
  <c r="K138" i="27"/>
  <c r="K135" i="27"/>
  <c r="K132" i="27"/>
  <c r="K129" i="27"/>
  <c r="K125" i="27"/>
  <c r="K116" i="27"/>
  <c r="K113" i="27"/>
  <c r="K142" i="27"/>
  <c r="K139" i="27"/>
  <c r="K136" i="27"/>
  <c r="K133" i="27"/>
  <c r="K130" i="27"/>
  <c r="K127" i="27"/>
  <c r="K123" i="27"/>
  <c r="K114" i="27"/>
  <c r="K109" i="27"/>
  <c r="K106" i="27"/>
  <c r="K103" i="27"/>
  <c r="K100" i="27"/>
  <c r="K97" i="27"/>
  <c r="K94" i="27"/>
  <c r="K91" i="27"/>
  <c r="K88" i="27"/>
  <c r="K110" i="27"/>
  <c r="K107" i="27"/>
  <c r="K104" i="27"/>
  <c r="K101" i="27"/>
  <c r="K98" i="27"/>
  <c r="K95" i="27"/>
  <c r="K92" i="27"/>
  <c r="K108" i="27"/>
  <c r="K105" i="27"/>
  <c r="K102" i="27"/>
  <c r="K99" i="27"/>
  <c r="K96" i="27"/>
  <c r="K93" i="27"/>
  <c r="K90" i="27"/>
  <c r="K111" i="27"/>
  <c r="K84" i="27"/>
  <c r="K81" i="27"/>
  <c r="K78" i="27"/>
  <c r="K75" i="27"/>
  <c r="K72" i="27"/>
  <c r="K69" i="27"/>
  <c r="K66" i="27"/>
  <c r="K85" i="27"/>
  <c r="K82" i="27"/>
  <c r="K79" i="27"/>
  <c r="K76" i="27"/>
  <c r="K73" i="27"/>
  <c r="K70" i="27"/>
  <c r="K67" i="27"/>
  <c r="K64" i="27"/>
  <c r="K86" i="27"/>
  <c r="K77" i="27"/>
  <c r="K68" i="27"/>
  <c r="K61" i="27"/>
  <c r="K58" i="27"/>
  <c r="K55" i="27"/>
  <c r="K52" i="27"/>
  <c r="K49" i="27"/>
  <c r="K46" i="27"/>
  <c r="K43" i="27"/>
  <c r="K40" i="27"/>
  <c r="K89" i="27"/>
  <c r="K83" i="27"/>
  <c r="K74" i="27"/>
  <c r="K65" i="27"/>
  <c r="K62" i="27"/>
  <c r="K59" i="27"/>
  <c r="K56" i="27"/>
  <c r="K53" i="27"/>
  <c r="K50" i="27"/>
  <c r="K47" i="27"/>
  <c r="K44" i="27"/>
  <c r="K41" i="27"/>
  <c r="K38" i="27"/>
  <c r="K87" i="27"/>
  <c r="K80" i="27"/>
  <c r="K71" i="27"/>
  <c r="K63" i="27"/>
  <c r="K60" i="27"/>
  <c r="K57" i="27"/>
  <c r="K54" i="27"/>
  <c r="K51" i="27"/>
  <c r="K48" i="27"/>
  <c r="K45" i="27"/>
  <c r="K42" i="27"/>
  <c r="K39" i="27"/>
  <c r="K36" i="27"/>
  <c r="K33" i="27"/>
  <c r="K30" i="27"/>
  <c r="K27" i="27"/>
  <c r="K24" i="27"/>
  <c r="K21" i="27"/>
  <c r="K18" i="27"/>
  <c r="K15" i="27"/>
  <c r="K12" i="27"/>
  <c r="K37" i="27"/>
  <c r="K34" i="27"/>
  <c r="K31" i="27"/>
  <c r="K28" i="27"/>
  <c r="K25" i="27"/>
  <c r="K22" i="27"/>
  <c r="K19" i="27"/>
  <c r="K16" i="27"/>
  <c r="K13" i="27"/>
  <c r="K35" i="27"/>
  <c r="K32" i="27"/>
  <c r="K29" i="27"/>
  <c r="K26" i="27"/>
  <c r="K23" i="27"/>
  <c r="K20" i="27"/>
  <c r="K17" i="27"/>
  <c r="K14" i="27"/>
  <c r="K11" i="27"/>
  <c r="K8" i="27"/>
  <c r="K5" i="27"/>
  <c r="K9" i="27"/>
  <c r="K6" i="27"/>
  <c r="K3" i="27"/>
  <c r="K10" i="27"/>
  <c r="K7" i="27"/>
  <c r="K4" i="27"/>
  <c r="L1" i="27"/>
  <c r="K134" i="23"/>
  <c r="K185" i="23"/>
  <c r="K182" i="23"/>
  <c r="K179" i="23"/>
  <c r="K176" i="23"/>
  <c r="K173" i="23"/>
  <c r="K170" i="23"/>
  <c r="K167" i="23"/>
  <c r="K164" i="23"/>
  <c r="K161" i="23"/>
  <c r="K158" i="23"/>
  <c r="K155" i="23"/>
  <c r="K152" i="23"/>
  <c r="K149" i="23"/>
  <c r="K146" i="23"/>
  <c r="K143" i="23"/>
  <c r="K140" i="23"/>
  <c r="K137" i="23"/>
  <c r="K129" i="23"/>
  <c r="K121" i="23"/>
  <c r="K124" i="23"/>
  <c r="K127" i="23"/>
  <c r="K135" i="23"/>
  <c r="K132" i="23"/>
  <c r="K130" i="23"/>
  <c r="K125" i="23"/>
  <c r="K122" i="23"/>
  <c r="K126" i="23"/>
  <c r="K123" i="23"/>
  <c r="K177" i="23"/>
  <c r="K168" i="23"/>
  <c r="K159" i="23"/>
  <c r="K150" i="23"/>
  <c r="K141" i="23"/>
  <c r="K181" i="23"/>
  <c r="K172" i="23"/>
  <c r="K163" i="23"/>
  <c r="K154" i="23"/>
  <c r="K145" i="23"/>
  <c r="K136" i="23"/>
  <c r="K183" i="23"/>
  <c r="K174" i="23"/>
  <c r="K165" i="23"/>
  <c r="K156" i="23"/>
  <c r="K147" i="23"/>
  <c r="K138" i="23"/>
  <c r="K119" i="23"/>
  <c r="K184" i="23"/>
  <c r="K175" i="23"/>
  <c r="K166" i="23"/>
  <c r="K157" i="23"/>
  <c r="K148" i="23"/>
  <c r="K139" i="23"/>
  <c r="K169" i="23"/>
  <c r="K142" i="23"/>
  <c r="K115" i="23"/>
  <c r="K106" i="23"/>
  <c r="K133" i="23"/>
  <c r="K128" i="23"/>
  <c r="K91" i="23"/>
  <c r="K160" i="23"/>
  <c r="K112" i="23"/>
  <c r="K103" i="23"/>
  <c r="K180" i="23"/>
  <c r="K153" i="23"/>
  <c r="K131" i="23"/>
  <c r="K113" i="23"/>
  <c r="K104" i="23"/>
  <c r="K117" i="23"/>
  <c r="K98" i="23"/>
  <c r="K86" i="23"/>
  <c r="K116" i="23"/>
  <c r="K114" i="23"/>
  <c r="K101" i="23"/>
  <c r="K90" i="23"/>
  <c r="K144" i="23"/>
  <c r="K85" i="23"/>
  <c r="K111" i="23"/>
  <c r="K110" i="23"/>
  <c r="K109" i="23"/>
  <c r="K96" i="23"/>
  <c r="K82" i="23"/>
  <c r="K79" i="23"/>
  <c r="K76" i="23"/>
  <c r="K73" i="23"/>
  <c r="K70" i="23"/>
  <c r="K67" i="23"/>
  <c r="K64" i="23"/>
  <c r="K61" i="23"/>
  <c r="K58" i="23"/>
  <c r="K55" i="23"/>
  <c r="K52" i="23"/>
  <c r="K49" i="23"/>
  <c r="K108" i="23"/>
  <c r="K99" i="23"/>
  <c r="K89" i="23"/>
  <c r="K107" i="23"/>
  <c r="K105" i="23"/>
  <c r="K84" i="23"/>
  <c r="K162" i="23"/>
  <c r="K80" i="23"/>
  <c r="K77" i="23"/>
  <c r="K74" i="23"/>
  <c r="K71" i="23"/>
  <c r="K68" i="23"/>
  <c r="K65" i="23"/>
  <c r="K62" i="23"/>
  <c r="K59" i="23"/>
  <c r="K56" i="23"/>
  <c r="K53" i="23"/>
  <c r="K50" i="23"/>
  <c r="K97" i="23"/>
  <c r="K83" i="23"/>
  <c r="K178" i="23"/>
  <c r="K151" i="23"/>
  <c r="K120" i="23"/>
  <c r="K102" i="23"/>
  <c r="K100" i="23"/>
  <c r="K94" i="23"/>
  <c r="K87" i="23"/>
  <c r="K171" i="23"/>
  <c r="K95" i="23"/>
  <c r="K93" i="23"/>
  <c r="K46" i="23"/>
  <c r="K43" i="23"/>
  <c r="K40" i="23"/>
  <c r="K37" i="23"/>
  <c r="K34" i="23"/>
  <c r="K31" i="23"/>
  <c r="K28" i="23"/>
  <c r="K25" i="23"/>
  <c r="K22" i="23"/>
  <c r="K19" i="23"/>
  <c r="K16" i="23"/>
  <c r="K13" i="23"/>
  <c r="K10" i="23"/>
  <c r="K7" i="23"/>
  <c r="K4" i="23"/>
  <c r="K75" i="23"/>
  <c r="K66" i="23"/>
  <c r="K48" i="23"/>
  <c r="K63" i="23"/>
  <c r="L1" i="23"/>
  <c r="K92" i="23"/>
  <c r="K54" i="23"/>
  <c r="K47" i="23"/>
  <c r="K44" i="23"/>
  <c r="K41" i="23"/>
  <c r="K38" i="23"/>
  <c r="K35" i="23"/>
  <c r="K32" i="23"/>
  <c r="K29" i="23"/>
  <c r="K26" i="23"/>
  <c r="K23" i="23"/>
  <c r="K20" i="23"/>
  <c r="K17" i="23"/>
  <c r="K14" i="23"/>
  <c r="K11" i="23"/>
  <c r="K8" i="23"/>
  <c r="K5" i="23"/>
  <c r="K81" i="23"/>
  <c r="K72" i="23"/>
  <c r="K57" i="23"/>
  <c r="K118" i="23"/>
  <c r="K51" i="23"/>
  <c r="K78" i="23"/>
  <c r="K69" i="23"/>
  <c r="K60" i="23"/>
  <c r="K88" i="23"/>
  <c r="K42" i="23"/>
  <c r="K33" i="23"/>
  <c r="K24" i="23"/>
  <c r="K15" i="23"/>
  <c r="K6" i="23"/>
  <c r="K39" i="23"/>
  <c r="K30" i="23"/>
  <c r="K21" i="23"/>
  <c r="K12" i="23"/>
  <c r="K3" i="23"/>
  <c r="K36" i="23"/>
  <c r="K9" i="23"/>
  <c r="K45" i="23"/>
  <c r="K27" i="23"/>
  <c r="K18" i="23"/>
  <c r="K138" i="21"/>
  <c r="K135" i="21"/>
  <c r="K186" i="21"/>
  <c r="K183" i="21"/>
  <c r="K180" i="21"/>
  <c r="K177" i="21"/>
  <c r="K174" i="21"/>
  <c r="K171" i="21"/>
  <c r="K168" i="21"/>
  <c r="K165" i="21"/>
  <c r="K162" i="21"/>
  <c r="K159" i="21"/>
  <c r="K156" i="21"/>
  <c r="K153" i="21"/>
  <c r="K150" i="21"/>
  <c r="K147" i="21"/>
  <c r="K144" i="21"/>
  <c r="K141" i="21"/>
  <c r="K122" i="21"/>
  <c r="K119" i="21"/>
  <c r="K116" i="21"/>
  <c r="K113" i="21"/>
  <c r="K133" i="21"/>
  <c r="K128" i="21"/>
  <c r="K125" i="21"/>
  <c r="K187" i="21"/>
  <c r="K184" i="21"/>
  <c r="K181" i="21"/>
  <c r="K178" i="21"/>
  <c r="K175" i="21"/>
  <c r="K172" i="21"/>
  <c r="K169" i="21"/>
  <c r="K166" i="21"/>
  <c r="K163" i="21"/>
  <c r="K160" i="21"/>
  <c r="K157" i="21"/>
  <c r="K134" i="21"/>
  <c r="K137" i="21"/>
  <c r="K188" i="21"/>
  <c r="K179" i="21"/>
  <c r="K146" i="21"/>
  <c r="K129" i="21"/>
  <c r="K126" i="21"/>
  <c r="K154" i="21"/>
  <c r="K145" i="21"/>
  <c r="K111" i="21"/>
  <c r="K108" i="21"/>
  <c r="K105" i="21"/>
  <c r="K102" i="21"/>
  <c r="K99" i="21"/>
  <c r="K96" i="21"/>
  <c r="K93" i="21"/>
  <c r="K90" i="21"/>
  <c r="K87" i="21"/>
  <c r="K84" i="21"/>
  <c r="K81" i="21"/>
  <c r="K78" i="21"/>
  <c r="K75" i="21"/>
  <c r="K72" i="21"/>
  <c r="K69" i="21"/>
  <c r="K66" i="21"/>
  <c r="K63" i="21"/>
  <c r="K60" i="21"/>
  <c r="K57" i="21"/>
  <c r="K54" i="21"/>
  <c r="K51" i="21"/>
  <c r="K48" i="21"/>
  <c r="K45" i="21"/>
  <c r="K42" i="21"/>
  <c r="K39" i="21"/>
  <c r="K36" i="21"/>
  <c r="K33" i="21"/>
  <c r="K30" i="21"/>
  <c r="K27" i="21"/>
  <c r="K24" i="21"/>
  <c r="K21" i="21"/>
  <c r="K18" i="21"/>
  <c r="K185" i="21"/>
  <c r="K176" i="21"/>
  <c r="K152" i="21"/>
  <c r="K143" i="21"/>
  <c r="K131" i="21"/>
  <c r="K151" i="21"/>
  <c r="K142" i="21"/>
  <c r="K109" i="21"/>
  <c r="K106" i="21"/>
  <c r="K103" i="21"/>
  <c r="K100" i="21"/>
  <c r="K97" i="21"/>
  <c r="K94" i="21"/>
  <c r="K91" i="21"/>
  <c r="K88" i="21"/>
  <c r="K85" i="21"/>
  <c r="K82" i="21"/>
  <c r="K79" i="21"/>
  <c r="K76" i="21"/>
  <c r="K73" i="21"/>
  <c r="K70" i="21"/>
  <c r="K67" i="21"/>
  <c r="K64" i="21"/>
  <c r="K61" i="21"/>
  <c r="K58" i="21"/>
  <c r="K55" i="21"/>
  <c r="K52" i="21"/>
  <c r="K49" i="21"/>
  <c r="K46" i="21"/>
  <c r="K43" i="21"/>
  <c r="K40" i="21"/>
  <c r="K37" i="21"/>
  <c r="K34" i="21"/>
  <c r="K31" i="21"/>
  <c r="K28" i="21"/>
  <c r="K25" i="21"/>
  <c r="K22" i="21"/>
  <c r="K19" i="21"/>
  <c r="K182" i="21"/>
  <c r="K149" i="21"/>
  <c r="K140" i="21"/>
  <c r="K127" i="21"/>
  <c r="K173" i="21"/>
  <c r="K170" i="21"/>
  <c r="K167" i="21"/>
  <c r="K148" i="21"/>
  <c r="K136" i="21"/>
  <c r="K110" i="21"/>
  <c r="K107" i="21"/>
  <c r="K104" i="21"/>
  <c r="K101" i="21"/>
  <c r="K98" i="21"/>
  <c r="K95" i="21"/>
  <c r="K92" i="21"/>
  <c r="K89" i="21"/>
  <c r="K86" i="21"/>
  <c r="K83" i="21"/>
  <c r="K80" i="21"/>
  <c r="K77" i="21"/>
  <c r="K74" i="21"/>
  <c r="K71" i="21"/>
  <c r="K68" i="21"/>
  <c r="K65" i="21"/>
  <c r="K62" i="21"/>
  <c r="K59" i="21"/>
  <c r="K56" i="21"/>
  <c r="K53" i="21"/>
  <c r="L1" i="21"/>
  <c r="K139" i="21"/>
  <c r="K123" i="21"/>
  <c r="K120" i="21"/>
  <c r="K117" i="21"/>
  <c r="K114" i="21"/>
  <c r="K44" i="21"/>
  <c r="K35" i="21"/>
  <c r="K26" i="21"/>
  <c r="K17" i="21"/>
  <c r="K132" i="21"/>
  <c r="K158" i="21"/>
  <c r="K124" i="21"/>
  <c r="K121" i="21"/>
  <c r="K118" i="21"/>
  <c r="K115" i="21"/>
  <c r="K112" i="21"/>
  <c r="K16" i="21"/>
  <c r="K13" i="21"/>
  <c r="K10" i="21"/>
  <c r="K7" i="21"/>
  <c r="K4" i="21"/>
  <c r="K130" i="21"/>
  <c r="K155" i="21"/>
  <c r="K161" i="21"/>
  <c r="K50" i="21"/>
  <c r="K164" i="21"/>
  <c r="K29" i="21"/>
  <c r="K20" i="21"/>
  <c r="K8" i="21"/>
  <c r="K41" i="21"/>
  <c r="K9" i="21"/>
  <c r="K38" i="21"/>
  <c r="K11" i="21"/>
  <c r="K5" i="21"/>
  <c r="K47" i="21"/>
  <c r="K32" i="21"/>
  <c r="K23" i="21"/>
  <c r="K15" i="21"/>
  <c r="K12" i="21"/>
  <c r="K14" i="21"/>
  <c r="K6" i="21"/>
  <c r="K3" i="21"/>
  <c r="K189" i="19"/>
  <c r="K186" i="19"/>
  <c r="K183" i="19"/>
  <c r="K180" i="19"/>
  <c r="K177" i="19"/>
  <c r="K185" i="19"/>
  <c r="K176" i="19"/>
  <c r="K131" i="19"/>
  <c r="K128" i="19"/>
  <c r="K184" i="19"/>
  <c r="K136" i="19"/>
  <c r="K139" i="19"/>
  <c r="K66" i="19"/>
  <c r="K63" i="19"/>
  <c r="K60" i="19"/>
  <c r="K57" i="19"/>
  <c r="K54" i="19"/>
  <c r="K51" i="19"/>
  <c r="K48" i="19"/>
  <c r="K45" i="19"/>
  <c r="K42" i="19"/>
  <c r="K39" i="19"/>
  <c r="K36" i="19"/>
  <c r="K33" i="19"/>
  <c r="K30" i="19"/>
  <c r="K27" i="19"/>
  <c r="K24" i="19"/>
  <c r="K21" i="19"/>
  <c r="K18" i="19"/>
  <c r="K15" i="19"/>
  <c r="K12" i="19"/>
  <c r="K9" i="19"/>
  <c r="K6" i="19"/>
  <c r="K3" i="19"/>
  <c r="K175" i="19"/>
  <c r="K172" i="19"/>
  <c r="K169" i="19"/>
  <c r="K166" i="19"/>
  <c r="K163" i="19"/>
  <c r="K160" i="19"/>
  <c r="K157" i="19"/>
  <c r="K154" i="19"/>
  <c r="K151" i="19"/>
  <c r="K148" i="19"/>
  <c r="K145" i="19"/>
  <c r="K142" i="19"/>
  <c r="K134" i="19"/>
  <c r="K126" i="19"/>
  <c r="K123" i="19"/>
  <c r="K120" i="19"/>
  <c r="K117" i="19"/>
  <c r="K114" i="19"/>
  <c r="K111" i="19"/>
  <c r="K108" i="19"/>
  <c r="K105" i="19"/>
  <c r="K102" i="19"/>
  <c r="K99" i="19"/>
  <c r="K96" i="19"/>
  <c r="K93" i="19"/>
  <c r="K90" i="19"/>
  <c r="K87" i="19"/>
  <c r="K84" i="19"/>
  <c r="K81" i="19"/>
  <c r="K78" i="19"/>
  <c r="K75" i="19"/>
  <c r="K72" i="19"/>
  <c r="K69" i="19"/>
  <c r="K173" i="19"/>
  <c r="K170" i="19"/>
  <c r="K167" i="19"/>
  <c r="K164" i="19"/>
  <c r="K161" i="19"/>
  <c r="K158" i="19"/>
  <c r="K155" i="19"/>
  <c r="K152" i="19"/>
  <c r="K149" i="19"/>
  <c r="K146" i="19"/>
  <c r="K143" i="19"/>
  <c r="K124" i="19"/>
  <c r="K121" i="19"/>
  <c r="K118" i="19"/>
  <c r="K115" i="19"/>
  <c r="K112" i="19"/>
  <c r="K109" i="19"/>
  <c r="K106" i="19"/>
  <c r="K103" i="19"/>
  <c r="K100" i="19"/>
  <c r="K97" i="19"/>
  <c r="K94" i="19"/>
  <c r="K91" i="19"/>
  <c r="K88" i="19"/>
  <c r="K85" i="19"/>
  <c r="K82" i="19"/>
  <c r="K79" i="19"/>
  <c r="K76" i="19"/>
  <c r="K73" i="19"/>
  <c r="K70" i="19"/>
  <c r="K65" i="19"/>
  <c r="K56" i="19"/>
  <c r="K47" i="19"/>
  <c r="K38" i="19"/>
  <c r="K29" i="19"/>
  <c r="K20" i="19"/>
  <c r="K11" i="19"/>
  <c r="K119" i="19"/>
  <c r="K110" i="19"/>
  <c r="K101" i="19"/>
  <c r="K92" i="19"/>
  <c r="K83" i="19"/>
  <c r="K74" i="19"/>
  <c r="K61" i="19"/>
  <c r="K52" i="19"/>
  <c r="K43" i="19"/>
  <c r="K34" i="19"/>
  <c r="K25" i="19"/>
  <c r="K16" i="19"/>
  <c r="K7" i="19"/>
  <c r="K181" i="19"/>
  <c r="K178" i="19"/>
  <c r="K168" i="19"/>
  <c r="K159" i="19"/>
  <c r="K150" i="19"/>
  <c r="K141" i="19"/>
  <c r="K190" i="19"/>
  <c r="K187" i="19"/>
  <c r="K133" i="19"/>
  <c r="K129" i="19"/>
  <c r="K122" i="19"/>
  <c r="K113" i="19"/>
  <c r="K104" i="19"/>
  <c r="K95" i="19"/>
  <c r="K86" i="19"/>
  <c r="K77" i="19"/>
  <c r="K68" i="19"/>
  <c r="K64" i="19"/>
  <c r="K55" i="19"/>
  <c r="K46" i="19"/>
  <c r="K37" i="19"/>
  <c r="K28" i="19"/>
  <c r="K19" i="19"/>
  <c r="K10" i="19"/>
  <c r="K140" i="19"/>
  <c r="K62" i="19"/>
  <c r="K53" i="19"/>
  <c r="K44" i="19"/>
  <c r="K35" i="19"/>
  <c r="K26" i="19"/>
  <c r="K17" i="19"/>
  <c r="K8" i="19"/>
  <c r="K179" i="19"/>
  <c r="K135" i="19"/>
  <c r="K67" i="19"/>
  <c r="K50" i="19"/>
  <c r="K14" i="19"/>
  <c r="K4" i="19"/>
  <c r="K182" i="19"/>
  <c r="K153" i="19"/>
  <c r="K147" i="19"/>
  <c r="K125" i="19"/>
  <c r="K40" i="19"/>
  <c r="K31" i="19"/>
  <c r="K188" i="19"/>
  <c r="K162" i="19"/>
  <c r="K156" i="19"/>
  <c r="K49" i="19"/>
  <c r="K32" i="19"/>
  <c r="K22" i="19"/>
  <c r="K165" i="19"/>
  <c r="K144" i="19"/>
  <c r="L1" i="19"/>
  <c r="K138" i="19"/>
  <c r="K130" i="19"/>
  <c r="K127" i="19"/>
  <c r="K174" i="19"/>
  <c r="K41" i="19"/>
  <c r="K132" i="19"/>
  <c r="K80" i="19"/>
  <c r="K71" i="19"/>
  <c r="K137" i="19"/>
  <c r="K89" i="19"/>
  <c r="K23" i="19"/>
  <c r="K5" i="19"/>
  <c r="K107" i="19"/>
  <c r="K98" i="19"/>
  <c r="K59" i="19"/>
  <c r="K13" i="19"/>
  <c r="K116" i="19"/>
  <c r="K171" i="19"/>
  <c r="K58" i="19"/>
  <c r="N183" i="22"/>
  <c r="N180" i="22"/>
  <c r="N177" i="22"/>
  <c r="N174" i="22"/>
  <c r="N171" i="22"/>
  <c r="N168" i="22"/>
  <c r="N165" i="22"/>
  <c r="N162" i="22"/>
  <c r="N159" i="22"/>
  <c r="N156" i="22"/>
  <c r="N153" i="22"/>
  <c r="N150" i="22"/>
  <c r="N147" i="22"/>
  <c r="N144" i="22"/>
  <c r="N141" i="22"/>
  <c r="N138" i="22"/>
  <c r="N119" i="22"/>
  <c r="N130" i="22"/>
  <c r="N125" i="22"/>
  <c r="N122" i="22"/>
  <c r="N133" i="22"/>
  <c r="N128" i="22"/>
  <c r="N184" i="22"/>
  <c r="N181" i="22"/>
  <c r="N178" i="22"/>
  <c r="N175" i="22"/>
  <c r="N172" i="22"/>
  <c r="N169" i="22"/>
  <c r="N166" i="22"/>
  <c r="N163" i="22"/>
  <c r="N160" i="22"/>
  <c r="N157" i="22"/>
  <c r="N154" i="22"/>
  <c r="N151" i="22"/>
  <c r="N148" i="22"/>
  <c r="N145" i="22"/>
  <c r="N142" i="22"/>
  <c r="N139" i="22"/>
  <c r="N136" i="22"/>
  <c r="N120" i="22"/>
  <c r="N126" i="22"/>
  <c r="N123" i="22"/>
  <c r="N131" i="22"/>
  <c r="N134" i="22"/>
  <c r="N124" i="22"/>
  <c r="N127" i="22"/>
  <c r="N132" i="22"/>
  <c r="N115" i="22"/>
  <c r="N112" i="22"/>
  <c r="N109" i="22"/>
  <c r="N106" i="22"/>
  <c r="N103" i="22"/>
  <c r="N100" i="22"/>
  <c r="N97" i="22"/>
  <c r="N94" i="22"/>
  <c r="N91" i="22"/>
  <c r="N88" i="22"/>
  <c r="N85" i="22"/>
  <c r="N82" i="22"/>
  <c r="N79" i="22"/>
  <c r="N76" i="22"/>
  <c r="N73" i="22"/>
  <c r="N70" i="22"/>
  <c r="N67" i="22"/>
  <c r="N64" i="22"/>
  <c r="N61" i="22"/>
  <c r="N58" i="22"/>
  <c r="N55" i="22"/>
  <c r="N52" i="22"/>
  <c r="N49" i="22"/>
  <c r="N46" i="22"/>
  <c r="N43" i="22"/>
  <c r="N40" i="22"/>
  <c r="N37" i="22"/>
  <c r="N34" i="22"/>
  <c r="N31" i="22"/>
  <c r="N28" i="22"/>
  <c r="N25" i="22"/>
  <c r="N22" i="22"/>
  <c r="N19" i="22"/>
  <c r="N16" i="22"/>
  <c r="N13" i="22"/>
  <c r="N129" i="22"/>
  <c r="N116" i="22"/>
  <c r="N113" i="22"/>
  <c r="N110" i="22"/>
  <c r="N107" i="22"/>
  <c r="N104" i="22"/>
  <c r="N101" i="22"/>
  <c r="N98" i="22"/>
  <c r="N95" i="22"/>
  <c r="N92" i="22"/>
  <c r="N89" i="22"/>
  <c r="N86" i="22"/>
  <c r="N83" i="22"/>
  <c r="N80" i="22"/>
  <c r="N77" i="22"/>
  <c r="N74" i="22"/>
  <c r="N71" i="22"/>
  <c r="N68" i="22"/>
  <c r="N65" i="22"/>
  <c r="N62" i="22"/>
  <c r="N59" i="22"/>
  <c r="N56" i="22"/>
  <c r="N53" i="22"/>
  <c r="N50" i="22"/>
  <c r="N47" i="22"/>
  <c r="N44" i="22"/>
  <c r="N41" i="22"/>
  <c r="N38" i="22"/>
  <c r="N35" i="22"/>
  <c r="N32" i="22"/>
  <c r="N29" i="22"/>
  <c r="N26" i="22"/>
  <c r="N23" i="22"/>
  <c r="N20" i="22"/>
  <c r="N17" i="22"/>
  <c r="N14" i="22"/>
  <c r="N135" i="22"/>
  <c r="N117" i="22"/>
  <c r="N114" i="22"/>
  <c r="N111" i="22"/>
  <c r="N108" i="22"/>
  <c r="N105" i="22"/>
  <c r="N102" i="22"/>
  <c r="N99" i="22"/>
  <c r="N96" i="22"/>
  <c r="N93" i="22"/>
  <c r="N90" i="22"/>
  <c r="N87" i="22"/>
  <c r="N84" i="22"/>
  <c r="N81" i="22"/>
  <c r="N78" i="22"/>
  <c r="N75" i="22"/>
  <c r="N72" i="22"/>
  <c r="N69" i="22"/>
  <c r="N66" i="22"/>
  <c r="N63" i="22"/>
  <c r="N60" i="22"/>
  <c r="N57" i="22"/>
  <c r="N54" i="22"/>
  <c r="N51" i="22"/>
  <c r="N48" i="22"/>
  <c r="N45" i="22"/>
  <c r="N42" i="22"/>
  <c r="N39" i="22"/>
  <c r="N36" i="22"/>
  <c r="N33" i="22"/>
  <c r="N30" i="22"/>
  <c r="N27" i="22"/>
  <c r="N24" i="22"/>
  <c r="N21" i="22"/>
  <c r="N18" i="22"/>
  <c r="N15" i="22"/>
  <c r="N12" i="22"/>
  <c r="N167" i="22"/>
  <c r="N140" i="22"/>
  <c r="N173" i="22"/>
  <c r="N146" i="22"/>
  <c r="N179" i="22"/>
  <c r="N152" i="22"/>
  <c r="N118" i="22"/>
  <c r="N9" i="22"/>
  <c r="N6" i="22"/>
  <c r="N3" i="22"/>
  <c r="N185" i="22"/>
  <c r="N158" i="22"/>
  <c r="N164" i="22"/>
  <c r="N137" i="22"/>
  <c r="N170" i="22"/>
  <c r="N143" i="22"/>
  <c r="N10" i="22"/>
  <c r="N7" i="22"/>
  <c r="N4" i="22"/>
  <c r="N176" i="22"/>
  <c r="N149" i="22"/>
  <c r="N182" i="22"/>
  <c r="N155" i="22"/>
  <c r="N121" i="22"/>
  <c r="O1" i="22"/>
  <c r="N8" i="22"/>
  <c r="N161" i="22"/>
  <c r="N11" i="22"/>
  <c r="N5" i="22"/>
  <c r="L179" i="25"/>
  <c r="L177" i="25"/>
  <c r="L168" i="25"/>
  <c r="L159" i="25"/>
  <c r="L150" i="25"/>
  <c r="L141" i="25"/>
  <c r="L132" i="25"/>
  <c r="L176" i="25"/>
  <c r="L175" i="25"/>
  <c r="L167" i="25"/>
  <c r="L166" i="25"/>
  <c r="L158" i="25"/>
  <c r="L157" i="25"/>
  <c r="L149" i="25"/>
  <c r="L148" i="25"/>
  <c r="L140" i="25"/>
  <c r="L139" i="25"/>
  <c r="L174" i="25"/>
  <c r="L165" i="25"/>
  <c r="L156" i="25"/>
  <c r="L147" i="25"/>
  <c r="L138" i="25"/>
  <c r="L133" i="25"/>
  <c r="L130" i="25"/>
  <c r="L114" i="25"/>
  <c r="L111" i="25"/>
  <c r="L108" i="25"/>
  <c r="L105" i="25"/>
  <c r="L102" i="25"/>
  <c r="L99" i="25"/>
  <c r="L173" i="25"/>
  <c r="L172" i="25"/>
  <c r="L164" i="25"/>
  <c r="L163" i="25"/>
  <c r="L155" i="25"/>
  <c r="L154" i="25"/>
  <c r="L170" i="25"/>
  <c r="L169" i="25"/>
  <c r="L161" i="25"/>
  <c r="L160" i="25"/>
  <c r="L152" i="25"/>
  <c r="L151" i="25"/>
  <c r="L143" i="25"/>
  <c r="L142" i="25"/>
  <c r="L121" i="25"/>
  <c r="L120" i="25"/>
  <c r="L117" i="25"/>
  <c r="L115" i="25"/>
  <c r="L113" i="25"/>
  <c r="L112" i="25"/>
  <c r="L110" i="25"/>
  <c r="L109" i="25"/>
  <c r="L107" i="25"/>
  <c r="L106" i="25"/>
  <c r="L104" i="25"/>
  <c r="L103" i="25"/>
  <c r="L131" i="25"/>
  <c r="L127" i="25"/>
  <c r="L119" i="25"/>
  <c r="L118" i="25"/>
  <c r="L116" i="25"/>
  <c r="L97" i="25"/>
  <c r="L122" i="25"/>
  <c r="L128" i="25"/>
  <c r="L124" i="25"/>
  <c r="L135" i="25"/>
  <c r="L100" i="25"/>
  <c r="L153" i="25"/>
  <c r="L136" i="25"/>
  <c r="L129" i="25"/>
  <c r="L125" i="25"/>
  <c r="L96" i="25"/>
  <c r="L91" i="25"/>
  <c r="L87" i="25"/>
  <c r="L82" i="25"/>
  <c r="L78" i="25"/>
  <c r="L98" i="25"/>
  <c r="L145" i="25"/>
  <c r="L134" i="25"/>
  <c r="L92" i="25"/>
  <c r="L83" i="25"/>
  <c r="L68" i="25"/>
  <c r="L65" i="25"/>
  <c r="L62" i="25"/>
  <c r="L59" i="25"/>
  <c r="L56" i="25"/>
  <c r="L53" i="25"/>
  <c r="L50" i="25"/>
  <c r="L47" i="25"/>
  <c r="L71" i="25"/>
  <c r="L171" i="25"/>
  <c r="L162" i="25"/>
  <c r="L126" i="25"/>
  <c r="L93" i="25"/>
  <c r="L88" i="25"/>
  <c r="L84" i="25"/>
  <c r="L79" i="25"/>
  <c r="L144" i="25"/>
  <c r="L89" i="25"/>
  <c r="L80" i="25"/>
  <c r="L69" i="25"/>
  <c r="L66" i="25"/>
  <c r="L63" i="25"/>
  <c r="L60" i="25"/>
  <c r="L57" i="25"/>
  <c r="L54" i="25"/>
  <c r="L51" i="25"/>
  <c r="L48" i="25"/>
  <c r="L45" i="25"/>
  <c r="L178" i="25"/>
  <c r="L146" i="25"/>
  <c r="L137" i="25"/>
  <c r="L95" i="25"/>
  <c r="L86" i="25"/>
  <c r="L77" i="25"/>
  <c r="L73" i="25"/>
  <c r="L70" i="25"/>
  <c r="L67" i="25"/>
  <c r="L64" i="25"/>
  <c r="L61" i="25"/>
  <c r="L58" i="25"/>
  <c r="L55" i="25"/>
  <c r="L52" i="25"/>
  <c r="L49" i="25"/>
  <c r="L46" i="25"/>
  <c r="L43" i="25"/>
  <c r="L81" i="25"/>
  <c r="L42" i="25"/>
  <c r="L85" i="25"/>
  <c r="L101" i="25"/>
  <c r="L40" i="25"/>
  <c r="L37" i="25"/>
  <c r="L34" i="25"/>
  <c r="L31" i="25"/>
  <c r="L28" i="25"/>
  <c r="L25" i="25"/>
  <c r="L22" i="25"/>
  <c r="L19" i="25"/>
  <c r="L16" i="25"/>
  <c r="L13" i="25"/>
  <c r="L10" i="25"/>
  <c r="L90" i="25"/>
  <c r="L75" i="25"/>
  <c r="L74" i="25"/>
  <c r="L41" i="25"/>
  <c r="L38" i="25"/>
  <c r="L35" i="25"/>
  <c r="L32" i="25"/>
  <c r="L29" i="25"/>
  <c r="L26" i="25"/>
  <c r="L23" i="25"/>
  <c r="L20" i="25"/>
  <c r="L17" i="25"/>
  <c r="L14" i="25"/>
  <c r="L11" i="25"/>
  <c r="L8" i="25"/>
  <c r="L39" i="25"/>
  <c r="L36" i="25"/>
  <c r="L33" i="25"/>
  <c r="L30" i="25"/>
  <c r="L27" i="25"/>
  <c r="L24" i="25"/>
  <c r="L21" i="25"/>
  <c r="L18" i="25"/>
  <c r="L15" i="25"/>
  <c r="L12" i="25"/>
  <c r="L9" i="25"/>
  <c r="L94" i="25"/>
  <c r="M1" i="25"/>
  <c r="L76" i="25"/>
  <c r="L72" i="25"/>
  <c r="L5" i="25"/>
  <c r="L6" i="25"/>
  <c r="L3" i="25"/>
  <c r="L7" i="25"/>
  <c r="L4" i="25"/>
  <c r="L123" i="25"/>
  <c r="L44" i="25"/>
  <c r="L179" i="24"/>
  <c r="L176" i="24"/>
  <c r="L173" i="24"/>
  <c r="L170" i="24"/>
  <c r="L167" i="24"/>
  <c r="L164" i="24"/>
  <c r="L161" i="24"/>
  <c r="L158" i="24"/>
  <c r="L155" i="24"/>
  <c r="L152" i="24"/>
  <c r="L149" i="24"/>
  <c r="L146" i="24"/>
  <c r="L143" i="24"/>
  <c r="L180" i="24"/>
  <c r="L177" i="24"/>
  <c r="L174" i="24"/>
  <c r="L171" i="24"/>
  <c r="L168" i="24"/>
  <c r="L165" i="24"/>
  <c r="L162" i="24"/>
  <c r="L159" i="24"/>
  <c r="L156" i="24"/>
  <c r="L153" i="24"/>
  <c r="L150" i="24"/>
  <c r="L147" i="24"/>
  <c r="L144" i="24"/>
  <c r="L141" i="24"/>
  <c r="L181" i="24"/>
  <c r="L178" i="24"/>
  <c r="L175" i="24"/>
  <c r="L172" i="24"/>
  <c r="L169" i="24"/>
  <c r="L166" i="24"/>
  <c r="L163" i="24"/>
  <c r="L160" i="24"/>
  <c r="L157" i="24"/>
  <c r="L154" i="24"/>
  <c r="L151" i="24"/>
  <c r="L148" i="24"/>
  <c r="L145" i="24"/>
  <c r="L142" i="24"/>
  <c r="L127" i="24"/>
  <c r="L130" i="24"/>
  <c r="L139" i="24"/>
  <c r="L136" i="24"/>
  <c r="L133" i="24"/>
  <c r="L125" i="24"/>
  <c r="L117" i="24"/>
  <c r="L114" i="24"/>
  <c r="L111" i="24"/>
  <c r="L108" i="24"/>
  <c r="L105" i="24"/>
  <c r="L102" i="24"/>
  <c r="L99" i="24"/>
  <c r="L96" i="24"/>
  <c r="L93" i="24"/>
  <c r="L90" i="24"/>
  <c r="L87" i="24"/>
  <c r="L84" i="24"/>
  <c r="L81" i="24"/>
  <c r="L78" i="24"/>
  <c r="L75" i="24"/>
  <c r="L72" i="24"/>
  <c r="L69" i="24"/>
  <c r="L66" i="24"/>
  <c r="L63" i="24"/>
  <c r="L60" i="24"/>
  <c r="L57" i="24"/>
  <c r="L54" i="24"/>
  <c r="L51" i="24"/>
  <c r="L48" i="24"/>
  <c r="L45" i="24"/>
  <c r="L42" i="24"/>
  <c r="L39" i="24"/>
  <c r="L36" i="24"/>
  <c r="L33" i="24"/>
  <c r="L30" i="24"/>
  <c r="L120" i="24"/>
  <c r="L123" i="24"/>
  <c r="L131" i="24"/>
  <c r="L128" i="24"/>
  <c r="L137" i="24"/>
  <c r="L134" i="24"/>
  <c r="L115" i="24"/>
  <c r="L112" i="24"/>
  <c r="L109" i="24"/>
  <c r="L106" i="24"/>
  <c r="L103" i="24"/>
  <c r="L100" i="24"/>
  <c r="L97" i="24"/>
  <c r="L94" i="24"/>
  <c r="L91" i="24"/>
  <c r="L88" i="24"/>
  <c r="L85" i="24"/>
  <c r="L82" i="24"/>
  <c r="L79" i="24"/>
  <c r="L76" i="24"/>
  <c r="L73" i="24"/>
  <c r="L70" i="24"/>
  <c r="L67" i="24"/>
  <c r="L64" i="24"/>
  <c r="L61" i="24"/>
  <c r="L58" i="24"/>
  <c r="L55" i="24"/>
  <c r="L52" i="24"/>
  <c r="L49" i="24"/>
  <c r="L46" i="24"/>
  <c r="L43" i="24"/>
  <c r="L40" i="24"/>
  <c r="L37" i="24"/>
  <c r="L34" i="24"/>
  <c r="L31" i="24"/>
  <c r="L126" i="24"/>
  <c r="L121" i="24"/>
  <c r="L118" i="24"/>
  <c r="L138" i="24"/>
  <c r="L135" i="24"/>
  <c r="L132" i="24"/>
  <c r="L116" i="24"/>
  <c r="L113" i="24"/>
  <c r="L110" i="24"/>
  <c r="L107" i="24"/>
  <c r="L104" i="24"/>
  <c r="L101" i="24"/>
  <c r="L98" i="24"/>
  <c r="L95" i="24"/>
  <c r="L92" i="24"/>
  <c r="L89" i="24"/>
  <c r="L86" i="24"/>
  <c r="L83" i="24"/>
  <c r="L80" i="24"/>
  <c r="L77" i="24"/>
  <c r="L74" i="24"/>
  <c r="L71" i="24"/>
  <c r="L68" i="24"/>
  <c r="L65" i="24"/>
  <c r="L62" i="24"/>
  <c r="L59" i="24"/>
  <c r="L56" i="24"/>
  <c r="L53" i="24"/>
  <c r="L50" i="24"/>
  <c r="L41" i="24"/>
  <c r="L32" i="24"/>
  <c r="L124" i="24"/>
  <c r="L28" i="24"/>
  <c r="L25" i="24"/>
  <c r="L22" i="24"/>
  <c r="L19" i="24"/>
  <c r="L16" i="24"/>
  <c r="L13" i="24"/>
  <c r="L10" i="24"/>
  <c r="L7" i="24"/>
  <c r="L4" i="24"/>
  <c r="M1" i="24"/>
  <c r="L44" i="24"/>
  <c r="L35" i="24"/>
  <c r="L122" i="24"/>
  <c r="L119" i="24"/>
  <c r="L140" i="24"/>
  <c r="L129" i="24"/>
  <c r="L21" i="24"/>
  <c r="L12" i="24"/>
  <c r="L24" i="24"/>
  <c r="L26" i="24"/>
  <c r="L47" i="24"/>
  <c r="L38" i="24"/>
  <c r="L29" i="24"/>
  <c r="L27" i="24"/>
  <c r="L9" i="24"/>
  <c r="L20" i="24"/>
  <c r="L18" i="24"/>
  <c r="L14" i="24"/>
  <c r="L3" i="24"/>
  <c r="L23" i="24"/>
  <c r="L8" i="24"/>
  <c r="L17" i="24"/>
  <c r="L15" i="24"/>
  <c r="L11" i="24"/>
  <c r="L6" i="24"/>
  <c r="L5" i="24"/>
  <c r="K174" i="26"/>
  <c r="K171" i="26"/>
  <c r="K168" i="26"/>
  <c r="K165" i="26"/>
  <c r="K162" i="26"/>
  <c r="K159" i="26"/>
  <c r="K175" i="26"/>
  <c r="K172" i="26"/>
  <c r="K169" i="26"/>
  <c r="K166" i="26"/>
  <c r="K163" i="26"/>
  <c r="K160" i="26"/>
  <c r="K176" i="26"/>
  <c r="K173" i="26"/>
  <c r="K170" i="26"/>
  <c r="K167" i="26"/>
  <c r="K164" i="26"/>
  <c r="K161" i="26"/>
  <c r="K157" i="26"/>
  <c r="K154" i="26"/>
  <c r="K151" i="26"/>
  <c r="K148" i="26"/>
  <c r="K145" i="26"/>
  <c r="K142" i="26"/>
  <c r="K139" i="26"/>
  <c r="K136" i="26"/>
  <c r="K133" i="26"/>
  <c r="K158" i="26"/>
  <c r="K155" i="26"/>
  <c r="K152" i="26"/>
  <c r="K149" i="26"/>
  <c r="K146" i="26"/>
  <c r="K143" i="26"/>
  <c r="K140" i="26"/>
  <c r="K137" i="26"/>
  <c r="K134" i="26"/>
  <c r="K131" i="26"/>
  <c r="K128" i="26"/>
  <c r="K124" i="26"/>
  <c r="K115" i="26"/>
  <c r="K111" i="26"/>
  <c r="K108" i="26"/>
  <c r="K105" i="26"/>
  <c r="K102" i="26"/>
  <c r="K99" i="26"/>
  <c r="K96" i="26"/>
  <c r="K93" i="26"/>
  <c r="K90" i="26"/>
  <c r="K87" i="26"/>
  <c r="K84" i="26"/>
  <c r="K81" i="26"/>
  <c r="K78" i="26"/>
  <c r="K75" i="26"/>
  <c r="K72" i="26"/>
  <c r="K150" i="26"/>
  <c r="K141" i="26"/>
  <c r="K130" i="26"/>
  <c r="K132" i="26"/>
  <c r="K125" i="26"/>
  <c r="K116" i="26"/>
  <c r="K113" i="26"/>
  <c r="K109" i="26"/>
  <c r="K106" i="26"/>
  <c r="K103" i="26"/>
  <c r="K100" i="26"/>
  <c r="K97" i="26"/>
  <c r="K94" i="26"/>
  <c r="K91" i="26"/>
  <c r="K88" i="26"/>
  <c r="K85" i="26"/>
  <c r="K82" i="26"/>
  <c r="K79" i="26"/>
  <c r="K76" i="26"/>
  <c r="K73" i="26"/>
  <c r="K153" i="26"/>
  <c r="K144" i="26"/>
  <c r="K135" i="26"/>
  <c r="K129" i="26"/>
  <c r="K127" i="26"/>
  <c r="K123" i="26"/>
  <c r="K114" i="26"/>
  <c r="K110" i="26"/>
  <c r="K107" i="26"/>
  <c r="K104" i="26"/>
  <c r="K101" i="26"/>
  <c r="K98" i="26"/>
  <c r="K95" i="26"/>
  <c r="K92" i="26"/>
  <c r="K89" i="26"/>
  <c r="K86" i="26"/>
  <c r="K83" i="26"/>
  <c r="K80" i="26"/>
  <c r="K77" i="26"/>
  <c r="K74" i="26"/>
  <c r="K71" i="26"/>
  <c r="K138" i="26"/>
  <c r="K70" i="26"/>
  <c r="K67" i="26"/>
  <c r="K64" i="26"/>
  <c r="K61" i="26"/>
  <c r="K58" i="26"/>
  <c r="K55" i="26"/>
  <c r="K52" i="26"/>
  <c r="K156" i="26"/>
  <c r="K68" i="26"/>
  <c r="K65" i="26"/>
  <c r="K62" i="26"/>
  <c r="K59" i="26"/>
  <c r="K56" i="26"/>
  <c r="K53" i="26"/>
  <c r="K51" i="26"/>
  <c r="K147" i="26"/>
  <c r="K66" i="26"/>
  <c r="K57" i="26"/>
  <c r="K49" i="26"/>
  <c r="K46" i="26"/>
  <c r="K43" i="26"/>
  <c r="K40" i="26"/>
  <c r="K37" i="26"/>
  <c r="K34" i="26"/>
  <c r="K31" i="26"/>
  <c r="K28" i="26"/>
  <c r="K25" i="26"/>
  <c r="K22" i="26"/>
  <c r="K19" i="26"/>
  <c r="K16" i="26"/>
  <c r="K13" i="26"/>
  <c r="K10" i="26"/>
  <c r="K7" i="26"/>
  <c r="K4" i="26"/>
  <c r="K69" i="26"/>
  <c r="K60" i="26"/>
  <c r="K50" i="26"/>
  <c r="K47" i="26"/>
  <c r="K44" i="26"/>
  <c r="K41" i="26"/>
  <c r="K38" i="26"/>
  <c r="K35" i="26"/>
  <c r="K32" i="26"/>
  <c r="K29" i="26"/>
  <c r="K26" i="26"/>
  <c r="K23" i="26"/>
  <c r="K20" i="26"/>
  <c r="K17" i="26"/>
  <c r="K14" i="26"/>
  <c r="K11" i="26"/>
  <c r="K8" i="26"/>
  <c r="K5" i="26"/>
  <c r="K45" i="26"/>
  <c r="K36" i="26"/>
  <c r="K27" i="26"/>
  <c r="K18" i="26"/>
  <c r="K9" i="26"/>
  <c r="L1" i="26"/>
  <c r="K54" i="26"/>
  <c r="K48" i="26"/>
  <c r="K39" i="26"/>
  <c r="K30" i="26"/>
  <c r="K21" i="26"/>
  <c r="K12" i="26"/>
  <c r="K3" i="26"/>
  <c r="K63" i="26"/>
  <c r="K42" i="26"/>
  <c r="K33" i="26"/>
  <c r="K24" i="26"/>
  <c r="K15" i="26"/>
  <c r="K6" i="26"/>
  <c r="L193" i="16"/>
  <c r="L190" i="16"/>
  <c r="L187" i="16"/>
  <c r="L184" i="16"/>
  <c r="L181" i="16"/>
  <c r="L178" i="16"/>
  <c r="L192" i="16"/>
  <c r="L183" i="16"/>
  <c r="L141" i="16"/>
  <c r="L136" i="16"/>
  <c r="L191" i="16"/>
  <c r="L182" i="16"/>
  <c r="L189" i="16"/>
  <c r="L180" i="16"/>
  <c r="L139" i="16"/>
  <c r="L179" i="16"/>
  <c r="L175" i="16"/>
  <c r="L172" i="16"/>
  <c r="L169" i="16"/>
  <c r="L166" i="16"/>
  <c r="L163" i="16"/>
  <c r="L160" i="16"/>
  <c r="L157" i="16"/>
  <c r="L154" i="16"/>
  <c r="L151" i="16"/>
  <c r="L148" i="16"/>
  <c r="L145" i="16"/>
  <c r="L137" i="16"/>
  <c r="L129" i="16"/>
  <c r="L126" i="16"/>
  <c r="L123" i="16"/>
  <c r="L120" i="16"/>
  <c r="L117" i="16"/>
  <c r="L114" i="16"/>
  <c r="L111" i="16"/>
  <c r="L108" i="16"/>
  <c r="L105" i="16"/>
  <c r="L102" i="16"/>
  <c r="L99" i="16"/>
  <c r="L96" i="16"/>
  <c r="L93" i="16"/>
  <c r="L90" i="16"/>
  <c r="L87" i="16"/>
  <c r="L84" i="16"/>
  <c r="L81" i="16"/>
  <c r="L78" i="16"/>
  <c r="L75" i="16"/>
  <c r="L72" i="16"/>
  <c r="L69" i="16"/>
  <c r="L186" i="16"/>
  <c r="L135" i="16"/>
  <c r="L173" i="16"/>
  <c r="L164" i="16"/>
  <c r="L155" i="16"/>
  <c r="L146" i="16"/>
  <c r="L122" i="16"/>
  <c r="L113" i="16"/>
  <c r="L104" i="16"/>
  <c r="L95" i="16"/>
  <c r="L86" i="16"/>
  <c r="L77" i="16"/>
  <c r="L171" i="16"/>
  <c r="L162" i="16"/>
  <c r="L153" i="16"/>
  <c r="L144" i="16"/>
  <c r="L133" i="16"/>
  <c r="L118" i="16"/>
  <c r="L109" i="16"/>
  <c r="L100" i="16"/>
  <c r="L91" i="16"/>
  <c r="L82" i="16"/>
  <c r="L73" i="16"/>
  <c r="L142" i="16"/>
  <c r="M1" i="16"/>
  <c r="L131" i="16"/>
  <c r="L68" i="16"/>
  <c r="L67" i="16"/>
  <c r="L65" i="16"/>
  <c r="L64" i="16"/>
  <c r="L62" i="16"/>
  <c r="L61" i="16"/>
  <c r="L59" i="16"/>
  <c r="L58" i="16"/>
  <c r="L56" i="16"/>
  <c r="L55" i="16"/>
  <c r="L53" i="16"/>
  <c r="L52" i="16"/>
  <c r="L50" i="16"/>
  <c r="L49" i="16"/>
  <c r="L47" i="16"/>
  <c r="L46" i="16"/>
  <c r="L44" i="16"/>
  <c r="L43" i="16"/>
  <c r="L41" i="16"/>
  <c r="L40" i="16"/>
  <c r="L38" i="16"/>
  <c r="L37" i="16"/>
  <c r="L35" i="16"/>
  <c r="L34" i="16"/>
  <c r="L32" i="16"/>
  <c r="L31" i="16"/>
  <c r="L29" i="16"/>
  <c r="L28" i="16"/>
  <c r="L26" i="16"/>
  <c r="L25" i="16"/>
  <c r="L23" i="16"/>
  <c r="L22" i="16"/>
  <c r="L20" i="16"/>
  <c r="L19" i="16"/>
  <c r="L17" i="16"/>
  <c r="L16" i="16"/>
  <c r="L14" i="16"/>
  <c r="L13" i="16"/>
  <c r="L11" i="16"/>
  <c r="L10" i="16"/>
  <c r="L8" i="16"/>
  <c r="L7" i="16"/>
  <c r="L5" i="16"/>
  <c r="L4" i="16"/>
  <c r="L103" i="16"/>
  <c r="L76" i="16"/>
  <c r="L177" i="16"/>
  <c r="L176" i="16"/>
  <c r="L167" i="16"/>
  <c r="L158" i="16"/>
  <c r="L149" i="16"/>
  <c r="L140" i="16"/>
  <c r="L127" i="16"/>
  <c r="L119" i="16"/>
  <c r="L110" i="16"/>
  <c r="L101" i="16"/>
  <c r="L92" i="16"/>
  <c r="L83" i="16"/>
  <c r="L74" i="16"/>
  <c r="L66" i="16"/>
  <c r="L63" i="16"/>
  <c r="L60" i="16"/>
  <c r="L57" i="16"/>
  <c r="L54" i="16"/>
  <c r="L51" i="16"/>
  <c r="L48" i="16"/>
  <c r="L45" i="16"/>
  <c r="L42" i="16"/>
  <c r="L39" i="16"/>
  <c r="L36" i="16"/>
  <c r="L33" i="16"/>
  <c r="L30" i="16"/>
  <c r="L27" i="16"/>
  <c r="L24" i="16"/>
  <c r="L21" i="16"/>
  <c r="L18" i="16"/>
  <c r="L15" i="16"/>
  <c r="L12" i="16"/>
  <c r="L9" i="16"/>
  <c r="L6" i="16"/>
  <c r="L3" i="16"/>
  <c r="L134" i="16"/>
  <c r="L174" i="16"/>
  <c r="L165" i="16"/>
  <c r="L156" i="16"/>
  <c r="L147" i="16"/>
  <c r="L138" i="16"/>
  <c r="L124" i="16"/>
  <c r="L115" i="16"/>
  <c r="L106" i="16"/>
  <c r="L97" i="16"/>
  <c r="L88" i="16"/>
  <c r="L79" i="16"/>
  <c r="L70" i="16"/>
  <c r="L130" i="16"/>
  <c r="L128" i="16"/>
  <c r="L112" i="16"/>
  <c r="L85" i="16"/>
  <c r="L188" i="16"/>
  <c r="L185" i="16"/>
  <c r="L121" i="16"/>
  <c r="L143" i="16"/>
  <c r="L132" i="16"/>
  <c r="L170" i="16"/>
  <c r="L161" i="16"/>
  <c r="L152" i="16"/>
  <c r="L125" i="16"/>
  <c r="L116" i="16"/>
  <c r="L107" i="16"/>
  <c r="L98" i="16"/>
  <c r="L89" i="16"/>
  <c r="L80" i="16"/>
  <c r="L71" i="16"/>
  <c r="L168" i="16"/>
  <c r="L159" i="16"/>
  <c r="L150" i="16"/>
  <c r="L94" i="16"/>
  <c r="K191" i="18"/>
  <c r="K188" i="18"/>
  <c r="K185" i="18"/>
  <c r="K182" i="18"/>
  <c r="K179" i="18"/>
  <c r="K176" i="18"/>
  <c r="K173" i="18"/>
  <c r="K170" i="18"/>
  <c r="K167" i="18"/>
  <c r="K164" i="18"/>
  <c r="K161" i="18"/>
  <c r="K158" i="18"/>
  <c r="K155" i="18"/>
  <c r="K152" i="18"/>
  <c r="K146" i="18"/>
  <c r="K141" i="18"/>
  <c r="K192" i="18"/>
  <c r="K183" i="18"/>
  <c r="K174" i="18"/>
  <c r="K165" i="18"/>
  <c r="K187" i="18"/>
  <c r="K177" i="18"/>
  <c r="K151" i="18"/>
  <c r="K144" i="18"/>
  <c r="K142" i="18"/>
  <c r="K134" i="18"/>
  <c r="K189" i="18"/>
  <c r="K178" i="18"/>
  <c r="K180" i="18"/>
  <c r="K190" i="18"/>
  <c r="K169" i="18"/>
  <c r="K129" i="18"/>
  <c r="K124" i="18"/>
  <c r="K115" i="18"/>
  <c r="K106" i="18"/>
  <c r="K97" i="18"/>
  <c r="K88" i="18"/>
  <c r="K79" i="18"/>
  <c r="K70" i="18"/>
  <c r="K133" i="18"/>
  <c r="K65" i="18"/>
  <c r="K56" i="18"/>
  <c r="K47" i="18"/>
  <c r="K38" i="18"/>
  <c r="K175" i="18"/>
  <c r="K150" i="18"/>
  <c r="K140" i="18"/>
  <c r="K137" i="18"/>
  <c r="K128" i="18"/>
  <c r="K119" i="18"/>
  <c r="K110" i="18"/>
  <c r="K101" i="18"/>
  <c r="K92" i="18"/>
  <c r="K83" i="18"/>
  <c r="K74" i="18"/>
  <c r="K60" i="18"/>
  <c r="K51" i="18"/>
  <c r="K42" i="18"/>
  <c r="K33" i="18"/>
  <c r="K24" i="18"/>
  <c r="K15" i="18"/>
  <c r="K6" i="18"/>
  <c r="K123" i="18"/>
  <c r="K114" i="18"/>
  <c r="K105" i="18"/>
  <c r="K96" i="18"/>
  <c r="K87" i="18"/>
  <c r="K78" i="18"/>
  <c r="K69" i="18"/>
  <c r="K64" i="18"/>
  <c r="K55" i="18"/>
  <c r="K46" i="18"/>
  <c r="K37" i="18"/>
  <c r="K28" i="18"/>
  <c r="K19" i="18"/>
  <c r="K10" i="18"/>
  <c r="K163" i="18"/>
  <c r="K162" i="18"/>
  <c r="K149" i="18"/>
  <c r="K147" i="18"/>
  <c r="K145" i="18"/>
  <c r="K132" i="18"/>
  <c r="K127" i="18"/>
  <c r="K118" i="18"/>
  <c r="K109" i="18"/>
  <c r="K100" i="18"/>
  <c r="K91" i="18"/>
  <c r="K82" i="18"/>
  <c r="K73" i="18"/>
  <c r="K186" i="18"/>
  <c r="K181" i="18"/>
  <c r="K143" i="18"/>
  <c r="K160" i="18"/>
  <c r="K138" i="18"/>
  <c r="K122" i="18"/>
  <c r="K113" i="18"/>
  <c r="K104" i="18"/>
  <c r="K95" i="18"/>
  <c r="K86" i="18"/>
  <c r="K168" i="18"/>
  <c r="K172" i="18"/>
  <c r="K121" i="18"/>
  <c r="K108" i="18"/>
  <c r="K98" i="18"/>
  <c r="K89" i="18"/>
  <c r="K80" i="18"/>
  <c r="K59" i="18"/>
  <c r="K49" i="18"/>
  <c r="K32" i="18"/>
  <c r="K27" i="18"/>
  <c r="K21" i="18"/>
  <c r="K135" i="18"/>
  <c r="K45" i="18"/>
  <c r="K29" i="18"/>
  <c r="K159" i="18"/>
  <c r="K157" i="18"/>
  <c r="K72" i="18"/>
  <c r="K62" i="18"/>
  <c r="K52" i="18"/>
  <c r="K35" i="18"/>
  <c r="K14" i="18"/>
  <c r="K8" i="18"/>
  <c r="K139" i="18"/>
  <c r="K126" i="18"/>
  <c r="K112" i="18"/>
  <c r="K94" i="18"/>
  <c r="K85" i="18"/>
  <c r="K68" i="18"/>
  <c r="K58" i="18"/>
  <c r="K41" i="18"/>
  <c r="K31" i="18"/>
  <c r="K18" i="18"/>
  <c r="K12" i="18"/>
  <c r="K166" i="18"/>
  <c r="K148" i="18"/>
  <c r="K136" i="18"/>
  <c r="K125" i="18"/>
  <c r="K111" i="18"/>
  <c r="K48" i="18"/>
  <c r="K22" i="18"/>
  <c r="K16" i="18"/>
  <c r="K184" i="18"/>
  <c r="K75" i="18"/>
  <c r="K54" i="18"/>
  <c r="K20" i="18"/>
  <c r="K156" i="18"/>
  <c r="K154" i="18"/>
  <c r="K117" i="18"/>
  <c r="K103" i="18"/>
  <c r="K71" i="18"/>
  <c r="K67" i="18"/>
  <c r="K50" i="18"/>
  <c r="K40" i="18"/>
  <c r="K9" i="18"/>
  <c r="K3" i="18"/>
  <c r="K131" i="18"/>
  <c r="K130" i="18"/>
  <c r="K116" i="18"/>
  <c r="K102" i="18"/>
  <c r="K99" i="18"/>
  <c r="K90" i="18"/>
  <c r="K81" i="18"/>
  <c r="K77" i="18"/>
  <c r="K57" i="18"/>
  <c r="K30" i="18"/>
  <c r="K13" i="18"/>
  <c r="K7" i="18"/>
  <c r="K63" i="18"/>
  <c r="K36" i="18"/>
  <c r="K11" i="18"/>
  <c r="K84" i="18"/>
  <c r="K34" i="18"/>
  <c r="K43" i="18"/>
  <c r="K17" i="18"/>
  <c r="K25" i="18"/>
  <c r="K61" i="18"/>
  <c r="K76" i="18"/>
  <c r="K39" i="18"/>
  <c r="K93" i="18"/>
  <c r="K5" i="18"/>
  <c r="K171" i="18"/>
  <c r="K66" i="18"/>
  <c r="L1" i="18"/>
  <c r="K153" i="18"/>
  <c r="K44" i="18"/>
  <c r="K26" i="18"/>
  <c r="K53" i="18"/>
  <c r="K23" i="18"/>
  <c r="K120" i="18"/>
  <c r="K107" i="18"/>
  <c r="K4" i="18"/>
  <c r="L186" i="21" l="1"/>
  <c r="L183" i="21"/>
  <c r="L180" i="21"/>
  <c r="L177" i="21"/>
  <c r="L174" i="21"/>
  <c r="L171" i="21"/>
  <c r="L168" i="21"/>
  <c r="L165" i="21"/>
  <c r="L162" i="21"/>
  <c r="L159" i="21"/>
  <c r="L156" i="21"/>
  <c r="L153" i="21"/>
  <c r="L150" i="21"/>
  <c r="L147" i="21"/>
  <c r="L144" i="21"/>
  <c r="L141" i="21"/>
  <c r="L122" i="21"/>
  <c r="L119" i="21"/>
  <c r="L116" i="21"/>
  <c r="L113" i="21"/>
  <c r="L133" i="21"/>
  <c r="L128" i="21"/>
  <c r="L125" i="21"/>
  <c r="L136" i="21"/>
  <c r="L131" i="21"/>
  <c r="L187" i="21"/>
  <c r="L184" i="21"/>
  <c r="L181" i="21"/>
  <c r="L178" i="21"/>
  <c r="L175" i="21"/>
  <c r="L137" i="21"/>
  <c r="L188" i="21"/>
  <c r="L185" i="21"/>
  <c r="L182" i="21"/>
  <c r="L179" i="21"/>
  <c r="L176" i="21"/>
  <c r="L173" i="21"/>
  <c r="L170" i="21"/>
  <c r="L167" i="21"/>
  <c r="L164" i="21"/>
  <c r="L161" i="21"/>
  <c r="L158" i="21"/>
  <c r="L155" i="21"/>
  <c r="L152" i="21"/>
  <c r="L149" i="21"/>
  <c r="L146" i="21"/>
  <c r="L143" i="21"/>
  <c r="L140" i="21"/>
  <c r="L132" i="21"/>
  <c r="L124" i="21"/>
  <c r="L121" i="21"/>
  <c r="L118" i="21"/>
  <c r="L115" i="21"/>
  <c r="L112" i="21"/>
  <c r="L163" i="21"/>
  <c r="L138" i="21"/>
  <c r="L135" i="21"/>
  <c r="L157" i="21"/>
  <c r="L172" i="21"/>
  <c r="L169" i="21"/>
  <c r="L166" i="21"/>
  <c r="L134" i="21"/>
  <c r="L160" i="21"/>
  <c r="L130" i="21"/>
  <c r="L139" i="21"/>
  <c r="L14" i="21"/>
  <c r="L11" i="21"/>
  <c r="L8" i="21"/>
  <c r="L5" i="21"/>
  <c r="L50" i="21"/>
  <c r="L123" i="21"/>
  <c r="L120" i="21"/>
  <c r="L117" i="21"/>
  <c r="L114" i="21"/>
  <c r="L44" i="21"/>
  <c r="L39" i="21"/>
  <c r="L35" i="21"/>
  <c r="L30" i="21"/>
  <c r="L26" i="21"/>
  <c r="L21" i="21"/>
  <c r="L129" i="21"/>
  <c r="L126" i="21"/>
  <c r="L48" i="21"/>
  <c r="L40" i="21"/>
  <c r="L31" i="21"/>
  <c r="L22" i="21"/>
  <c r="L154" i="21"/>
  <c r="L145" i="21"/>
  <c r="L111" i="21"/>
  <c r="L108" i="21"/>
  <c r="L105" i="21"/>
  <c r="L102" i="21"/>
  <c r="L99" i="21"/>
  <c r="L96" i="21"/>
  <c r="L93" i="21"/>
  <c r="L90" i="21"/>
  <c r="L87" i="21"/>
  <c r="L84" i="21"/>
  <c r="L81" i="21"/>
  <c r="L78" i="21"/>
  <c r="L75" i="21"/>
  <c r="L72" i="21"/>
  <c r="L69" i="21"/>
  <c r="L66" i="21"/>
  <c r="L63" i="21"/>
  <c r="L60" i="21"/>
  <c r="L57" i="21"/>
  <c r="L54" i="21"/>
  <c r="L16" i="21"/>
  <c r="L13" i="21"/>
  <c r="L10" i="21"/>
  <c r="L7" i="21"/>
  <c r="L4" i="21"/>
  <c r="L127" i="21"/>
  <c r="L45" i="21"/>
  <c r="L41" i="21"/>
  <c r="L36" i="21"/>
  <c r="L32" i="21"/>
  <c r="L27" i="21"/>
  <c r="L23" i="21"/>
  <c r="L18" i="21"/>
  <c r="L107" i="21"/>
  <c r="L98" i="21"/>
  <c r="L89" i="21"/>
  <c r="L80" i="21"/>
  <c r="L71" i="21"/>
  <c r="L47" i="21"/>
  <c r="L42" i="21"/>
  <c r="L109" i="21"/>
  <c r="L100" i="21"/>
  <c r="L91" i="21"/>
  <c r="L82" i="21"/>
  <c r="L17" i="21"/>
  <c r="L15" i="21"/>
  <c r="L6" i="21"/>
  <c r="L148" i="21"/>
  <c r="L104" i="21"/>
  <c r="L95" i="21"/>
  <c r="L86" i="21"/>
  <c r="L77" i="21"/>
  <c r="L142" i="21"/>
  <c r="L106" i="21"/>
  <c r="L97" i="21"/>
  <c r="L88" i="21"/>
  <c r="L79" i="21"/>
  <c r="L12" i="21"/>
  <c r="L3" i="21"/>
  <c r="M1" i="21"/>
  <c r="L110" i="21"/>
  <c r="L101" i="21"/>
  <c r="L92" i="21"/>
  <c r="L83" i="21"/>
  <c r="L74" i="21"/>
  <c r="L29" i="21"/>
  <c r="L24" i="21"/>
  <c r="L76" i="21"/>
  <c r="L68" i="21"/>
  <c r="L58" i="21"/>
  <c r="L94" i="21"/>
  <c r="L46" i="21"/>
  <c r="L61" i="21"/>
  <c r="L51" i="21"/>
  <c r="L64" i="21"/>
  <c r="L38" i="21"/>
  <c r="L67" i="21"/>
  <c r="L43" i="21"/>
  <c r="L33" i="21"/>
  <c r="L28" i="21"/>
  <c r="L85" i="21"/>
  <c r="L70" i="21"/>
  <c r="L53" i="21"/>
  <c r="L56" i="21"/>
  <c r="L103" i="21"/>
  <c r="L73" i="21"/>
  <c r="L59" i="21"/>
  <c r="L37" i="21"/>
  <c r="L25" i="21"/>
  <c r="L151" i="21"/>
  <c r="L62" i="21"/>
  <c r="L52" i="21"/>
  <c r="L49" i="21"/>
  <c r="L19" i="21"/>
  <c r="L34" i="21"/>
  <c r="L55" i="21"/>
  <c r="L9" i="21"/>
  <c r="L65" i="21"/>
  <c r="L20" i="21"/>
  <c r="N188" i="20"/>
  <c r="N185" i="20"/>
  <c r="N182" i="20"/>
  <c r="N179" i="20"/>
  <c r="N176" i="20"/>
  <c r="N173" i="20"/>
  <c r="N170" i="20"/>
  <c r="N167" i="20"/>
  <c r="N164" i="20"/>
  <c r="N161" i="20"/>
  <c r="N158" i="20"/>
  <c r="N155" i="20"/>
  <c r="N152" i="20"/>
  <c r="N149" i="20"/>
  <c r="N146" i="20"/>
  <c r="N136" i="20"/>
  <c r="N132" i="20"/>
  <c r="N189" i="20"/>
  <c r="N187" i="20"/>
  <c r="N162" i="20"/>
  <c r="N160" i="20"/>
  <c r="N154" i="20"/>
  <c r="N147" i="20"/>
  <c r="N134" i="20"/>
  <c r="N175" i="20"/>
  <c r="N153" i="20"/>
  <c r="N144" i="20"/>
  <c r="N139" i="20"/>
  <c r="N119" i="20"/>
  <c r="N110" i="20"/>
  <c r="N101" i="20"/>
  <c r="N92" i="20"/>
  <c r="N83" i="20"/>
  <c r="N74" i="20"/>
  <c r="N165" i="20"/>
  <c r="N143" i="20"/>
  <c r="N118" i="20"/>
  <c r="N109" i="20"/>
  <c r="N100" i="20"/>
  <c r="N91" i="20"/>
  <c r="N82" i="20"/>
  <c r="N73" i="20"/>
  <c r="N166" i="20"/>
  <c r="N122" i="20"/>
  <c r="N113" i="20"/>
  <c r="N104" i="20"/>
  <c r="N95" i="20"/>
  <c r="N86" i="20"/>
  <c r="N77" i="20"/>
  <c r="N181" i="20"/>
  <c r="N168" i="20"/>
  <c r="N171" i="20"/>
  <c r="N169" i="20"/>
  <c r="N156" i="20"/>
  <c r="N151" i="20"/>
  <c r="N130" i="20"/>
  <c r="N186" i="20"/>
  <c r="N172" i="20"/>
  <c r="N159" i="20"/>
  <c r="N145" i="20"/>
  <c r="N140" i="20"/>
  <c r="N135" i="20"/>
  <c r="N120" i="20"/>
  <c r="N111" i="20"/>
  <c r="N102" i="20"/>
  <c r="N184" i="20"/>
  <c r="N128" i="20"/>
  <c r="N107" i="20"/>
  <c r="N68" i="20"/>
  <c r="N67" i="20"/>
  <c r="N66" i="20"/>
  <c r="N64" i="20"/>
  <c r="N63" i="20"/>
  <c r="N61" i="20"/>
  <c r="N60" i="20"/>
  <c r="N55" i="20"/>
  <c r="N46" i="20"/>
  <c r="N163" i="20"/>
  <c r="N138" i="20"/>
  <c r="N127" i="20"/>
  <c r="N137" i="20"/>
  <c r="N126" i="20"/>
  <c r="N117" i="20"/>
  <c r="N103" i="20"/>
  <c r="N93" i="20"/>
  <c r="N81" i="20"/>
  <c r="N72" i="20"/>
  <c r="N37" i="20"/>
  <c r="N34" i="20"/>
  <c r="N31" i="20"/>
  <c r="N28" i="20"/>
  <c r="N25" i="20"/>
  <c r="N22" i="20"/>
  <c r="N19" i="20"/>
  <c r="N16" i="20"/>
  <c r="N13" i="20"/>
  <c r="N10" i="20"/>
  <c r="N7" i="20"/>
  <c r="N4" i="20"/>
  <c r="N106" i="20"/>
  <c r="N97" i="20"/>
  <c r="N87" i="20"/>
  <c r="N84" i="20"/>
  <c r="N78" i="20"/>
  <c r="N75" i="20"/>
  <c r="N69" i="20"/>
  <c r="N54" i="20"/>
  <c r="N45" i="20"/>
  <c r="N183" i="20"/>
  <c r="N178" i="20"/>
  <c r="N125" i="20"/>
  <c r="N116" i="20"/>
  <c r="N99" i="20"/>
  <c r="N58" i="20"/>
  <c r="N49" i="20"/>
  <c r="N124" i="20"/>
  <c r="N53" i="20"/>
  <c r="N44" i="20"/>
  <c r="N180" i="20"/>
  <c r="N148" i="20"/>
  <c r="N133" i="20"/>
  <c r="N123" i="20"/>
  <c r="N112" i="20"/>
  <c r="N85" i="20"/>
  <c r="N76" i="20"/>
  <c r="N35" i="20"/>
  <c r="N32" i="20"/>
  <c r="N29" i="20"/>
  <c r="N26" i="20"/>
  <c r="N23" i="20"/>
  <c r="N20" i="20"/>
  <c r="N17" i="20"/>
  <c r="N14" i="20"/>
  <c r="N11" i="20"/>
  <c r="N8" i="20"/>
  <c r="N5" i="20"/>
  <c r="N115" i="20"/>
  <c r="N105" i="20"/>
  <c r="N90" i="20"/>
  <c r="N88" i="20"/>
  <c r="N79" i="20"/>
  <c r="N70" i="20"/>
  <c r="N57" i="20"/>
  <c r="N48" i="20"/>
  <c r="N39" i="20"/>
  <c r="N190" i="20"/>
  <c r="N177" i="20"/>
  <c r="N150" i="20"/>
  <c r="N142" i="20"/>
  <c r="N131" i="20"/>
  <c r="N108" i="20"/>
  <c r="N94" i="20"/>
  <c r="N52" i="20"/>
  <c r="N43" i="20"/>
  <c r="N121" i="20"/>
  <c r="N98" i="20"/>
  <c r="N96" i="20"/>
  <c r="N56" i="20"/>
  <c r="N47" i="20"/>
  <c r="N38" i="20"/>
  <c r="N174" i="20"/>
  <c r="N157" i="20"/>
  <c r="N141" i="20"/>
  <c r="N36" i="20"/>
  <c r="N33" i="20"/>
  <c r="N30" i="20"/>
  <c r="N27" i="20"/>
  <c r="N24" i="20"/>
  <c r="N21" i="20"/>
  <c r="N18" i="20"/>
  <c r="N15" i="20"/>
  <c r="N12" i="20"/>
  <c r="N9" i="20"/>
  <c r="N6" i="20"/>
  <c r="N3" i="20"/>
  <c r="N114" i="20"/>
  <c r="N65" i="20"/>
  <c r="N62" i="20"/>
  <c r="N51" i="20"/>
  <c r="O1" i="20"/>
  <c r="N59" i="20"/>
  <c r="N41" i="20"/>
  <c r="N71" i="20"/>
  <c r="N89" i="20"/>
  <c r="N50" i="20"/>
  <c r="N42" i="20"/>
  <c r="N129" i="20"/>
  <c r="N80" i="20"/>
  <c r="N40" i="20"/>
  <c r="M177" i="25"/>
  <c r="M178" i="25"/>
  <c r="M179" i="25"/>
  <c r="M174" i="25"/>
  <c r="M171" i="25"/>
  <c r="M168" i="25"/>
  <c r="M165" i="25"/>
  <c r="M162" i="25"/>
  <c r="M159" i="25"/>
  <c r="M156" i="25"/>
  <c r="M153" i="25"/>
  <c r="M150" i="25"/>
  <c r="M147" i="25"/>
  <c r="M144" i="25"/>
  <c r="M141" i="25"/>
  <c r="M138" i="25"/>
  <c r="M135" i="25"/>
  <c r="M175" i="25"/>
  <c r="M172" i="25"/>
  <c r="M169" i="25"/>
  <c r="M166" i="25"/>
  <c r="M163" i="25"/>
  <c r="M160" i="25"/>
  <c r="M157" i="25"/>
  <c r="M154" i="25"/>
  <c r="M151" i="25"/>
  <c r="M148" i="25"/>
  <c r="M145" i="25"/>
  <c r="M142" i="25"/>
  <c r="M139" i="25"/>
  <c r="M136" i="25"/>
  <c r="M124" i="25"/>
  <c r="M127" i="25"/>
  <c r="M122" i="25"/>
  <c r="M120" i="25"/>
  <c r="M117" i="25"/>
  <c r="M129" i="25"/>
  <c r="M126" i="25"/>
  <c r="M131" i="25"/>
  <c r="M119" i="25"/>
  <c r="M118" i="25"/>
  <c r="M116" i="25"/>
  <c r="M97" i="25"/>
  <c r="M149" i="25"/>
  <c r="M121" i="25"/>
  <c r="M95" i="25"/>
  <c r="M92" i="25"/>
  <c r="M89" i="25"/>
  <c r="M86" i="25"/>
  <c r="M83" i="25"/>
  <c r="M80" i="25"/>
  <c r="M77" i="25"/>
  <c r="M155" i="25"/>
  <c r="M152" i="25"/>
  <c r="M146" i="25"/>
  <c r="M123" i="25"/>
  <c r="M164" i="25"/>
  <c r="M161" i="25"/>
  <c r="M100" i="25"/>
  <c r="M167" i="25"/>
  <c r="M133" i="25"/>
  <c r="M96" i="25"/>
  <c r="M93" i="25"/>
  <c r="M90" i="25"/>
  <c r="M87" i="25"/>
  <c r="M84" i="25"/>
  <c r="M81" i="25"/>
  <c r="M78" i="25"/>
  <c r="M173" i="25"/>
  <c r="M170" i="25"/>
  <c r="M143" i="25"/>
  <c r="M176" i="25"/>
  <c r="M125" i="25"/>
  <c r="M98" i="25"/>
  <c r="M134" i="25"/>
  <c r="M113" i="25"/>
  <c r="M108" i="25"/>
  <c r="M105" i="25"/>
  <c r="M102" i="25"/>
  <c r="M68" i="25"/>
  <c r="M65" i="25"/>
  <c r="M62" i="25"/>
  <c r="M59" i="25"/>
  <c r="M56" i="25"/>
  <c r="M53" i="25"/>
  <c r="M50" i="25"/>
  <c r="M47" i="25"/>
  <c r="M44" i="25"/>
  <c r="M71" i="25"/>
  <c r="M112" i="25"/>
  <c r="M88" i="25"/>
  <c r="M79" i="25"/>
  <c r="M75" i="25"/>
  <c r="M128" i="25"/>
  <c r="M111" i="25"/>
  <c r="M107" i="25"/>
  <c r="M104" i="25"/>
  <c r="M99" i="25"/>
  <c r="M158" i="25"/>
  <c r="M101" i="25"/>
  <c r="M74" i="25"/>
  <c r="M115" i="25"/>
  <c r="M137" i="25"/>
  <c r="M106" i="25"/>
  <c r="M85" i="25"/>
  <c r="M132" i="25"/>
  <c r="M70" i="25"/>
  <c r="M67" i="25"/>
  <c r="M64" i="25"/>
  <c r="M61" i="25"/>
  <c r="M58" i="25"/>
  <c r="M55" i="25"/>
  <c r="M52" i="25"/>
  <c r="M49" i="25"/>
  <c r="M40" i="25"/>
  <c r="M37" i="25"/>
  <c r="M34" i="25"/>
  <c r="M31" i="25"/>
  <c r="M28" i="25"/>
  <c r="M25" i="25"/>
  <c r="M22" i="25"/>
  <c r="M19" i="25"/>
  <c r="M16" i="25"/>
  <c r="M13" i="25"/>
  <c r="M10" i="25"/>
  <c r="M110" i="25"/>
  <c r="M46" i="25"/>
  <c r="M103" i="25"/>
  <c r="M82" i="25"/>
  <c r="M69" i="25"/>
  <c r="M66" i="25"/>
  <c r="M63" i="25"/>
  <c r="M60" i="25"/>
  <c r="M57" i="25"/>
  <c r="M54" i="25"/>
  <c r="M51" i="25"/>
  <c r="M48" i="25"/>
  <c r="M41" i="25"/>
  <c r="M38" i="25"/>
  <c r="M35" i="25"/>
  <c r="M32" i="25"/>
  <c r="M29" i="25"/>
  <c r="M26" i="25"/>
  <c r="M23" i="25"/>
  <c r="M20" i="25"/>
  <c r="M17" i="25"/>
  <c r="M14" i="25"/>
  <c r="M11" i="25"/>
  <c r="M8" i="25"/>
  <c r="M140" i="25"/>
  <c r="M130" i="25"/>
  <c r="M73" i="25"/>
  <c r="M94" i="25"/>
  <c r="N1" i="25"/>
  <c r="M109" i="25"/>
  <c r="M76" i="25"/>
  <c r="M72" i="25"/>
  <c r="M43" i="25"/>
  <c r="M5" i="25"/>
  <c r="M45" i="25"/>
  <c r="M91" i="25"/>
  <c r="M6" i="25"/>
  <c r="M3" i="25"/>
  <c r="M7" i="25"/>
  <c r="M4" i="25"/>
  <c r="M39" i="25"/>
  <c r="M33" i="25"/>
  <c r="M27" i="25"/>
  <c r="M21" i="25"/>
  <c r="M15" i="25"/>
  <c r="M9" i="25"/>
  <c r="M114" i="25"/>
  <c r="M42" i="25"/>
  <c r="M18" i="25"/>
  <c r="M36" i="25"/>
  <c r="M12" i="25"/>
  <c r="M30" i="25"/>
  <c r="M24" i="25"/>
  <c r="L190" i="19"/>
  <c r="L187" i="19"/>
  <c r="L184" i="19"/>
  <c r="L181" i="19"/>
  <c r="L178" i="19"/>
  <c r="L175" i="19"/>
  <c r="L136" i="19"/>
  <c r="L139" i="19"/>
  <c r="L66" i="19"/>
  <c r="L63" i="19"/>
  <c r="L60" i="19"/>
  <c r="L57" i="19"/>
  <c r="L54" i="19"/>
  <c r="L51" i="19"/>
  <c r="L48" i="19"/>
  <c r="L45" i="19"/>
  <c r="L42" i="19"/>
  <c r="L39" i="19"/>
  <c r="L36" i="19"/>
  <c r="L33" i="19"/>
  <c r="L30" i="19"/>
  <c r="L27" i="19"/>
  <c r="L24" i="19"/>
  <c r="L21" i="19"/>
  <c r="L18" i="19"/>
  <c r="L15" i="19"/>
  <c r="L12" i="19"/>
  <c r="L9" i="19"/>
  <c r="L6" i="19"/>
  <c r="L3" i="19"/>
  <c r="L183" i="19"/>
  <c r="L172" i="19"/>
  <c r="L169" i="19"/>
  <c r="L166" i="19"/>
  <c r="L163" i="19"/>
  <c r="L160" i="19"/>
  <c r="L157" i="19"/>
  <c r="L154" i="19"/>
  <c r="L151" i="19"/>
  <c r="L148" i="19"/>
  <c r="L145" i="19"/>
  <c r="L142" i="19"/>
  <c r="L134" i="19"/>
  <c r="L126" i="19"/>
  <c r="L123" i="19"/>
  <c r="L120" i="19"/>
  <c r="L117" i="19"/>
  <c r="L114" i="19"/>
  <c r="L111" i="19"/>
  <c r="L108" i="19"/>
  <c r="L105" i="19"/>
  <c r="L102" i="19"/>
  <c r="L99" i="19"/>
  <c r="L96" i="19"/>
  <c r="L93" i="19"/>
  <c r="L90" i="19"/>
  <c r="L87" i="19"/>
  <c r="L84" i="19"/>
  <c r="L81" i="19"/>
  <c r="L78" i="19"/>
  <c r="L75" i="19"/>
  <c r="L72" i="19"/>
  <c r="L69" i="19"/>
  <c r="L182" i="19"/>
  <c r="L129" i="19"/>
  <c r="L188" i="19"/>
  <c r="L179" i="19"/>
  <c r="L135" i="19"/>
  <c r="L130" i="19"/>
  <c r="L127" i="19"/>
  <c r="M1" i="19"/>
  <c r="L170" i="19"/>
  <c r="L161" i="19"/>
  <c r="L152" i="19"/>
  <c r="L143" i="19"/>
  <c r="L119" i="19"/>
  <c r="L110" i="19"/>
  <c r="L101" i="19"/>
  <c r="L92" i="19"/>
  <c r="L83" i="19"/>
  <c r="L74" i="19"/>
  <c r="L189" i="19"/>
  <c r="L186" i="19"/>
  <c r="L128" i="19"/>
  <c r="L61" i="19"/>
  <c r="L52" i="19"/>
  <c r="L43" i="19"/>
  <c r="L34" i="19"/>
  <c r="L168" i="19"/>
  <c r="L159" i="19"/>
  <c r="L150" i="19"/>
  <c r="L141" i="19"/>
  <c r="L124" i="19"/>
  <c r="L115" i="19"/>
  <c r="L106" i="19"/>
  <c r="L97" i="19"/>
  <c r="L88" i="19"/>
  <c r="L79" i="19"/>
  <c r="L70" i="19"/>
  <c r="L137" i="19"/>
  <c r="L59" i="19"/>
  <c r="L50" i="19"/>
  <c r="L41" i="19"/>
  <c r="L131" i="19"/>
  <c r="L64" i="19"/>
  <c r="L55" i="19"/>
  <c r="L46" i="19"/>
  <c r="L37" i="19"/>
  <c r="L28" i="19"/>
  <c r="L19" i="19"/>
  <c r="L10" i="19"/>
  <c r="L171" i="19"/>
  <c r="L162" i="19"/>
  <c r="L153" i="19"/>
  <c r="L144" i="19"/>
  <c r="L118" i="19"/>
  <c r="L109" i="19"/>
  <c r="L100" i="19"/>
  <c r="L91" i="19"/>
  <c r="L82" i="19"/>
  <c r="L73" i="19"/>
  <c r="L167" i="19"/>
  <c r="L158" i="19"/>
  <c r="L149" i="19"/>
  <c r="L125" i="19"/>
  <c r="L116" i="19"/>
  <c r="L107" i="19"/>
  <c r="L98" i="19"/>
  <c r="L89" i="19"/>
  <c r="L80" i="19"/>
  <c r="L71" i="19"/>
  <c r="L121" i="19"/>
  <c r="L104" i="19"/>
  <c r="L53" i="19"/>
  <c r="L47" i="19"/>
  <c r="L26" i="19"/>
  <c r="L155" i="19"/>
  <c r="L147" i="19"/>
  <c r="L122" i="19"/>
  <c r="L85" i="19"/>
  <c r="L68" i="19"/>
  <c r="L65" i="19"/>
  <c r="L29" i="19"/>
  <c r="L8" i="19"/>
  <c r="L185" i="19"/>
  <c r="L173" i="19"/>
  <c r="L156" i="19"/>
  <c r="L94" i="19"/>
  <c r="L77" i="19"/>
  <c r="L20" i="19"/>
  <c r="L177" i="19"/>
  <c r="L165" i="19"/>
  <c r="L103" i="19"/>
  <c r="L86" i="19"/>
  <c r="L11" i="19"/>
  <c r="L138" i="19"/>
  <c r="L76" i="19"/>
  <c r="L35" i="19"/>
  <c r="L17" i="19"/>
  <c r="L174" i="19"/>
  <c r="L62" i="19"/>
  <c r="L25" i="19"/>
  <c r="L7" i="19"/>
  <c r="L140" i="19"/>
  <c r="L132" i="19"/>
  <c r="L112" i="19"/>
  <c r="L164" i="19"/>
  <c r="L23" i="19"/>
  <c r="L5" i="19"/>
  <c r="L31" i="19"/>
  <c r="L13" i="19"/>
  <c r="L180" i="19"/>
  <c r="L146" i="19"/>
  <c r="L38" i="19"/>
  <c r="L95" i="19"/>
  <c r="L49" i="19"/>
  <c r="L176" i="19"/>
  <c r="L113" i="19"/>
  <c r="L58" i="19"/>
  <c r="L56" i="19"/>
  <c r="L32" i="19"/>
  <c r="L22" i="19"/>
  <c r="L67" i="19"/>
  <c r="L44" i="19"/>
  <c r="L4" i="19"/>
  <c r="L16" i="19"/>
  <c r="L133" i="19"/>
  <c r="L40" i="19"/>
  <c r="L14" i="19"/>
  <c r="O192" i="17"/>
  <c r="O189" i="17"/>
  <c r="O186" i="17"/>
  <c r="O183" i="17"/>
  <c r="O180" i="17"/>
  <c r="O177" i="17"/>
  <c r="O174" i="17"/>
  <c r="O171" i="17"/>
  <c r="O168" i="17"/>
  <c r="O165" i="17"/>
  <c r="O162" i="17"/>
  <c r="O159" i="17"/>
  <c r="O156" i="17"/>
  <c r="O153" i="17"/>
  <c r="O150" i="17"/>
  <c r="O190" i="17"/>
  <c r="O187" i="17"/>
  <c r="O184" i="17"/>
  <c r="O181" i="17"/>
  <c r="O178" i="17"/>
  <c r="O175" i="17"/>
  <c r="O172" i="17"/>
  <c r="O169" i="17"/>
  <c r="O166" i="17"/>
  <c r="O163" i="17"/>
  <c r="O160" i="17"/>
  <c r="O157" i="17"/>
  <c r="O154" i="17"/>
  <c r="O151" i="17"/>
  <c r="O148" i="17"/>
  <c r="O145" i="17"/>
  <c r="O126" i="17"/>
  <c r="O123" i="17"/>
  <c r="O120" i="17"/>
  <c r="O117" i="17"/>
  <c r="O114" i="17"/>
  <c r="O111" i="17"/>
  <c r="O108" i="17"/>
  <c r="O105" i="17"/>
  <c r="O102" i="17"/>
  <c r="O99" i="17"/>
  <c r="O96" i="17"/>
  <c r="O191" i="17"/>
  <c r="O182" i="17"/>
  <c r="O140" i="17"/>
  <c r="O135" i="17"/>
  <c r="O146" i="17"/>
  <c r="O143" i="17"/>
  <c r="O127" i="17"/>
  <c r="O124" i="17"/>
  <c r="O121" i="17"/>
  <c r="O118" i="17"/>
  <c r="O115" i="17"/>
  <c r="O112" i="17"/>
  <c r="O109" i="17"/>
  <c r="O106" i="17"/>
  <c r="O103" i="17"/>
  <c r="O100" i="17"/>
  <c r="O97" i="17"/>
  <c r="O94" i="17"/>
  <c r="O91" i="17"/>
  <c r="O138" i="17"/>
  <c r="O137" i="17"/>
  <c r="O122" i="17"/>
  <c r="O113" i="17"/>
  <c r="O104" i="17"/>
  <c r="O95" i="17"/>
  <c r="O87" i="17"/>
  <c r="O84" i="17"/>
  <c r="O81" i="17"/>
  <c r="O78" i="17"/>
  <c r="O75" i="17"/>
  <c r="O72" i="17"/>
  <c r="O69" i="17"/>
  <c r="O147" i="17"/>
  <c r="O144" i="17"/>
  <c r="O142" i="17"/>
  <c r="O139" i="17"/>
  <c r="O92" i="17"/>
  <c r="O176" i="17"/>
  <c r="O167" i="17"/>
  <c r="O158" i="17"/>
  <c r="O149" i="17"/>
  <c r="O130" i="17"/>
  <c r="O67" i="17"/>
  <c r="O64" i="17"/>
  <c r="O61" i="17"/>
  <c r="O58" i="17"/>
  <c r="O55" i="17"/>
  <c r="O52" i="17"/>
  <c r="O49" i="17"/>
  <c r="O46" i="17"/>
  <c r="O43" i="17"/>
  <c r="O40" i="17"/>
  <c r="O37" i="17"/>
  <c r="O34" i="17"/>
  <c r="O31" i="17"/>
  <c r="O28" i="17"/>
  <c r="O25" i="17"/>
  <c r="O22" i="17"/>
  <c r="O19" i="17"/>
  <c r="O16" i="17"/>
  <c r="O13" i="17"/>
  <c r="O10" i="17"/>
  <c r="O7" i="17"/>
  <c r="O4" i="17"/>
  <c r="O188" i="17"/>
  <c r="O173" i="17"/>
  <c r="O170" i="17"/>
  <c r="O164" i="17"/>
  <c r="O161" i="17"/>
  <c r="O155" i="17"/>
  <c r="O152" i="17"/>
  <c r="O125" i="17"/>
  <c r="O116" i="17"/>
  <c r="O107" i="17"/>
  <c r="O98" i="17"/>
  <c r="O88" i="17"/>
  <c r="O85" i="17"/>
  <c r="O82" i="17"/>
  <c r="O79" i="17"/>
  <c r="O76" i="17"/>
  <c r="O73" i="17"/>
  <c r="O70" i="17"/>
  <c r="P1" i="17"/>
  <c r="O129" i="17"/>
  <c r="O185" i="17"/>
  <c r="O179" i="17"/>
  <c r="O133" i="17"/>
  <c r="O128" i="17"/>
  <c r="O119" i="17"/>
  <c r="O110" i="17"/>
  <c r="O101" i="17"/>
  <c r="O89" i="17"/>
  <c r="O86" i="17"/>
  <c r="O83" i="17"/>
  <c r="O80" i="17"/>
  <c r="O77" i="17"/>
  <c r="O74" i="17"/>
  <c r="O71" i="17"/>
  <c r="O93" i="17"/>
  <c r="O134" i="17"/>
  <c r="O132" i="17"/>
  <c r="O20" i="17"/>
  <c r="O11" i="17"/>
  <c r="O66" i="17"/>
  <c r="O63" i="17"/>
  <c r="O60" i="17"/>
  <c r="O57" i="17"/>
  <c r="O54" i="17"/>
  <c r="O51" i="17"/>
  <c r="O48" i="17"/>
  <c r="O45" i="17"/>
  <c r="O42" i="17"/>
  <c r="O39" i="17"/>
  <c r="O36" i="17"/>
  <c r="O33" i="17"/>
  <c r="O30" i="17"/>
  <c r="O27" i="17"/>
  <c r="O24" i="17"/>
  <c r="O21" i="17"/>
  <c r="O12" i="17"/>
  <c r="O141" i="17"/>
  <c r="O131" i="17"/>
  <c r="O90" i="17"/>
  <c r="O14" i="17"/>
  <c r="O5" i="17"/>
  <c r="O3" i="17"/>
  <c r="O15" i="17"/>
  <c r="O6" i="17"/>
  <c r="O136" i="17"/>
  <c r="O17" i="17"/>
  <c r="O8" i="17"/>
  <c r="O68" i="17"/>
  <c r="O65" i="17"/>
  <c r="O62" i="17"/>
  <c r="O59" i="17"/>
  <c r="O56" i="17"/>
  <c r="O53" i="17"/>
  <c r="O50" i="17"/>
  <c r="O47" i="17"/>
  <c r="O44" i="17"/>
  <c r="O41" i="17"/>
  <c r="O38" i="17"/>
  <c r="O35" i="17"/>
  <c r="O32" i="17"/>
  <c r="O29" i="17"/>
  <c r="O26" i="17"/>
  <c r="O23" i="17"/>
  <c r="O18" i="17"/>
  <c r="O9" i="17"/>
  <c r="L191" i="18"/>
  <c r="L188" i="18"/>
  <c r="L185" i="18"/>
  <c r="L182" i="18"/>
  <c r="L179" i="18"/>
  <c r="L176" i="18"/>
  <c r="L173" i="18"/>
  <c r="L170" i="18"/>
  <c r="L167" i="18"/>
  <c r="L164" i="18"/>
  <c r="L161" i="18"/>
  <c r="L158" i="18"/>
  <c r="L155" i="18"/>
  <c r="L152" i="18"/>
  <c r="L149" i="18"/>
  <c r="L138" i="18"/>
  <c r="L142" i="18"/>
  <c r="L139" i="18"/>
  <c r="L189" i="18"/>
  <c r="L180" i="18"/>
  <c r="L171" i="18"/>
  <c r="L162" i="18"/>
  <c r="L153" i="18"/>
  <c r="L187" i="18"/>
  <c r="L178" i="18"/>
  <c r="L190" i="18"/>
  <c r="L181" i="18"/>
  <c r="L172" i="18"/>
  <c r="L186" i="18"/>
  <c r="L177" i="18"/>
  <c r="L184" i="18"/>
  <c r="L169" i="18"/>
  <c r="L154" i="18"/>
  <c r="L143" i="18"/>
  <c r="L141" i="18"/>
  <c r="L140" i="18"/>
  <c r="L137" i="18"/>
  <c r="L136" i="18"/>
  <c r="L66" i="18"/>
  <c r="L63" i="18"/>
  <c r="L60" i="18"/>
  <c r="L57" i="18"/>
  <c r="L54" i="18"/>
  <c r="L51" i="18"/>
  <c r="L48" i="18"/>
  <c r="L45" i="18"/>
  <c r="L42" i="18"/>
  <c r="L39" i="18"/>
  <c r="L36" i="18"/>
  <c r="L33" i="18"/>
  <c r="L30" i="18"/>
  <c r="L27" i="18"/>
  <c r="L24" i="18"/>
  <c r="L21" i="18"/>
  <c r="L18" i="18"/>
  <c r="L15" i="18"/>
  <c r="L12" i="18"/>
  <c r="L9" i="18"/>
  <c r="L6" i="18"/>
  <c r="L3" i="18"/>
  <c r="L165" i="18"/>
  <c r="L150" i="18"/>
  <c r="L135" i="18"/>
  <c r="L67" i="18"/>
  <c r="L64" i="18"/>
  <c r="L61" i="18"/>
  <c r="L58" i="18"/>
  <c r="L55" i="18"/>
  <c r="L52" i="18"/>
  <c r="L49" i="18"/>
  <c r="L46" i="18"/>
  <c r="L43" i="18"/>
  <c r="L40" i="18"/>
  <c r="L37" i="18"/>
  <c r="L34" i="18"/>
  <c r="L31" i="18"/>
  <c r="L28" i="18"/>
  <c r="L25" i="18"/>
  <c r="L22" i="18"/>
  <c r="L19" i="18"/>
  <c r="L16" i="18"/>
  <c r="L13" i="18"/>
  <c r="L10" i="18"/>
  <c r="L7" i="18"/>
  <c r="L4" i="18"/>
  <c r="L133" i="18"/>
  <c r="L65" i="18"/>
  <c r="L56" i="18"/>
  <c r="L47" i="18"/>
  <c r="L38" i="18"/>
  <c r="L29" i="18"/>
  <c r="L20" i="18"/>
  <c r="L11" i="18"/>
  <c r="L175" i="18"/>
  <c r="L151" i="18"/>
  <c r="L128" i="18"/>
  <c r="L119" i="18"/>
  <c r="L110" i="18"/>
  <c r="L101" i="18"/>
  <c r="L92" i="18"/>
  <c r="L83" i="18"/>
  <c r="L74" i="18"/>
  <c r="L123" i="18"/>
  <c r="L114" i="18"/>
  <c r="L105" i="18"/>
  <c r="L96" i="18"/>
  <c r="L87" i="18"/>
  <c r="L78" i="18"/>
  <c r="L69" i="18"/>
  <c r="L183" i="18"/>
  <c r="L163" i="18"/>
  <c r="L147" i="18"/>
  <c r="L145" i="18"/>
  <c r="L132" i="18"/>
  <c r="L127" i="18"/>
  <c r="L118" i="18"/>
  <c r="L109" i="18"/>
  <c r="L100" i="18"/>
  <c r="L91" i="18"/>
  <c r="L82" i="18"/>
  <c r="L73" i="18"/>
  <c r="L68" i="18"/>
  <c r="L59" i="18"/>
  <c r="L50" i="18"/>
  <c r="L41" i="18"/>
  <c r="L32" i="18"/>
  <c r="L23" i="18"/>
  <c r="L14" i="18"/>
  <c r="L5" i="18"/>
  <c r="L160" i="18"/>
  <c r="L122" i="18"/>
  <c r="L113" i="18"/>
  <c r="L104" i="18"/>
  <c r="L166" i="18"/>
  <c r="L159" i="18"/>
  <c r="L131" i="18"/>
  <c r="L126" i="18"/>
  <c r="L117" i="18"/>
  <c r="L108" i="18"/>
  <c r="L99" i="18"/>
  <c r="L90" i="18"/>
  <c r="L81" i="18"/>
  <c r="L192" i="18"/>
  <c r="L144" i="18"/>
  <c r="L120" i="18"/>
  <c r="L107" i="18"/>
  <c r="L106" i="18"/>
  <c r="L76" i="18"/>
  <c r="M1" i="18"/>
  <c r="L157" i="18"/>
  <c r="L134" i="18"/>
  <c r="L95" i="18"/>
  <c r="L86" i="18"/>
  <c r="L72" i="18"/>
  <c r="L62" i="18"/>
  <c r="L35" i="18"/>
  <c r="L8" i="18"/>
  <c r="L112" i="18"/>
  <c r="L94" i="18"/>
  <c r="L85" i="18"/>
  <c r="L79" i="18"/>
  <c r="L148" i="18"/>
  <c r="L125" i="18"/>
  <c r="L124" i="18"/>
  <c r="L111" i="18"/>
  <c r="L75" i="18"/>
  <c r="L174" i="18"/>
  <c r="L93" i="18"/>
  <c r="L84" i="18"/>
  <c r="L44" i="18"/>
  <c r="L26" i="18"/>
  <c r="L156" i="18"/>
  <c r="L103" i="18"/>
  <c r="L130" i="18"/>
  <c r="L116" i="18"/>
  <c r="L115" i="18"/>
  <c r="L102" i="18"/>
  <c r="L77" i="18"/>
  <c r="L146" i="18"/>
  <c r="L129" i="18"/>
  <c r="L168" i="18"/>
  <c r="L53" i="18"/>
  <c r="L17" i="18"/>
  <c r="L71" i="18"/>
  <c r="L80" i="18"/>
  <c r="L98" i="18"/>
  <c r="L70" i="18"/>
  <c r="L97" i="18"/>
  <c r="L89" i="18"/>
  <c r="L121" i="18"/>
  <c r="L88" i="18"/>
  <c r="L174" i="27"/>
  <c r="L171" i="27"/>
  <c r="L168" i="27"/>
  <c r="L165" i="27"/>
  <c r="L162" i="27"/>
  <c r="L159" i="27"/>
  <c r="L156" i="27"/>
  <c r="L153" i="27"/>
  <c r="L150" i="27"/>
  <c r="L147" i="27"/>
  <c r="L175" i="27"/>
  <c r="L172" i="27"/>
  <c r="L169" i="27"/>
  <c r="L166" i="27"/>
  <c r="L163" i="27"/>
  <c r="L160" i="27"/>
  <c r="L157" i="27"/>
  <c r="L154" i="27"/>
  <c r="L151" i="27"/>
  <c r="L148" i="27"/>
  <c r="L145" i="27"/>
  <c r="L143" i="27"/>
  <c r="L140" i="27"/>
  <c r="L137" i="27"/>
  <c r="L134" i="27"/>
  <c r="L131" i="27"/>
  <c r="L128" i="27"/>
  <c r="L124" i="27"/>
  <c r="L115" i="27"/>
  <c r="L111" i="27"/>
  <c r="L176" i="27"/>
  <c r="L167" i="27"/>
  <c r="L158" i="27"/>
  <c r="L149" i="27"/>
  <c r="L144" i="27"/>
  <c r="L141" i="27"/>
  <c r="L138" i="27"/>
  <c r="L135" i="27"/>
  <c r="L132" i="27"/>
  <c r="L129" i="27"/>
  <c r="L125" i="27"/>
  <c r="L116" i="27"/>
  <c r="L113" i="27"/>
  <c r="L170" i="27"/>
  <c r="L161" i="27"/>
  <c r="L152" i="27"/>
  <c r="L109" i="27"/>
  <c r="L106" i="27"/>
  <c r="L103" i="27"/>
  <c r="L100" i="27"/>
  <c r="L97" i="27"/>
  <c r="L94" i="27"/>
  <c r="L91" i="27"/>
  <c r="L88" i="27"/>
  <c r="L173" i="27"/>
  <c r="L164" i="27"/>
  <c r="L155" i="27"/>
  <c r="L146" i="27"/>
  <c r="L142" i="27"/>
  <c r="L139" i="27"/>
  <c r="L136" i="27"/>
  <c r="L133" i="27"/>
  <c r="L130" i="27"/>
  <c r="L127" i="27"/>
  <c r="L123" i="27"/>
  <c r="L114" i="27"/>
  <c r="L110" i="27"/>
  <c r="L107" i="27"/>
  <c r="L104" i="27"/>
  <c r="L101" i="27"/>
  <c r="L98" i="27"/>
  <c r="L95" i="27"/>
  <c r="L92" i="27"/>
  <c r="L89" i="27"/>
  <c r="L85" i="27"/>
  <c r="L82" i="27"/>
  <c r="L79" i="27"/>
  <c r="L76" i="27"/>
  <c r="L73" i="27"/>
  <c r="L70" i="27"/>
  <c r="L67" i="27"/>
  <c r="L64" i="27"/>
  <c r="L87" i="27"/>
  <c r="L86" i="27"/>
  <c r="L83" i="27"/>
  <c r="L80" i="27"/>
  <c r="L77" i="27"/>
  <c r="L74" i="27"/>
  <c r="L71" i="27"/>
  <c r="L68" i="27"/>
  <c r="L65" i="27"/>
  <c r="L108" i="27"/>
  <c r="L105" i="27"/>
  <c r="L102" i="27"/>
  <c r="L99" i="27"/>
  <c r="L96" i="27"/>
  <c r="L93" i="27"/>
  <c r="L90" i="27"/>
  <c r="L84" i="27"/>
  <c r="L81" i="27"/>
  <c r="L78" i="27"/>
  <c r="L75" i="27"/>
  <c r="L72" i="27"/>
  <c r="L69" i="27"/>
  <c r="L66" i="27"/>
  <c r="L62" i="27"/>
  <c r="L59" i="27"/>
  <c r="L56" i="27"/>
  <c r="L53" i="27"/>
  <c r="L50" i="27"/>
  <c r="L47" i="27"/>
  <c r="L44" i="27"/>
  <c r="L41" i="27"/>
  <c r="L38" i="27"/>
  <c r="L61" i="27"/>
  <c r="L58" i="27"/>
  <c r="L55" i="27"/>
  <c r="L52" i="27"/>
  <c r="L49" i="27"/>
  <c r="L46" i="27"/>
  <c r="L43" i="27"/>
  <c r="L40" i="27"/>
  <c r="L36" i="27"/>
  <c r="L33" i="27"/>
  <c r="L30" i="27"/>
  <c r="L27" i="27"/>
  <c r="L24" i="27"/>
  <c r="L21" i="27"/>
  <c r="L18" i="27"/>
  <c r="L15" i="27"/>
  <c r="L12" i="27"/>
  <c r="L57" i="27"/>
  <c r="L48" i="27"/>
  <c r="L39" i="27"/>
  <c r="L37" i="27"/>
  <c r="L34" i="27"/>
  <c r="L31" i="27"/>
  <c r="L28" i="27"/>
  <c r="L25" i="27"/>
  <c r="L22" i="27"/>
  <c r="L19" i="27"/>
  <c r="L16" i="27"/>
  <c r="L13" i="27"/>
  <c r="L10" i="27"/>
  <c r="L63" i="27"/>
  <c r="L54" i="27"/>
  <c r="L45" i="27"/>
  <c r="L60" i="27"/>
  <c r="L51" i="27"/>
  <c r="L42" i="27"/>
  <c r="L8" i="27"/>
  <c r="L5" i="27"/>
  <c r="L35" i="27"/>
  <c r="L26" i="27"/>
  <c r="L17" i="27"/>
  <c r="L9" i="27"/>
  <c r="L6" i="27"/>
  <c r="L3" i="27"/>
  <c r="L7" i="27"/>
  <c r="L4" i="27"/>
  <c r="M1" i="27"/>
  <c r="L14" i="27"/>
  <c r="L11" i="27"/>
  <c r="L23" i="27"/>
  <c r="L20" i="27"/>
  <c r="L32" i="27"/>
  <c r="L29" i="27"/>
  <c r="M192" i="16"/>
  <c r="M189" i="16"/>
  <c r="M186" i="16"/>
  <c r="M183" i="16"/>
  <c r="M180" i="16"/>
  <c r="M177" i="16"/>
  <c r="M193" i="16"/>
  <c r="M190" i="16"/>
  <c r="M187" i="16"/>
  <c r="M184" i="16"/>
  <c r="M181" i="16"/>
  <c r="M178" i="16"/>
  <c r="M191" i="16"/>
  <c r="M188" i="16"/>
  <c r="M185" i="16"/>
  <c r="M182" i="16"/>
  <c r="M179" i="16"/>
  <c r="M141" i="16"/>
  <c r="M136" i="16"/>
  <c r="M68" i="16"/>
  <c r="M65" i="16"/>
  <c r="M62" i="16"/>
  <c r="M59" i="16"/>
  <c r="M56" i="16"/>
  <c r="M53" i="16"/>
  <c r="M50" i="16"/>
  <c r="M47" i="16"/>
  <c r="M44" i="16"/>
  <c r="M41" i="16"/>
  <c r="M38" i="16"/>
  <c r="M35" i="16"/>
  <c r="M32" i="16"/>
  <c r="M29" i="16"/>
  <c r="M26" i="16"/>
  <c r="M23" i="16"/>
  <c r="M20" i="16"/>
  <c r="M17" i="16"/>
  <c r="M14" i="16"/>
  <c r="M11" i="16"/>
  <c r="M8" i="16"/>
  <c r="M5" i="16"/>
  <c r="M128" i="16"/>
  <c r="M174" i="16"/>
  <c r="M171" i="16"/>
  <c r="M168" i="16"/>
  <c r="M165" i="16"/>
  <c r="M162" i="16"/>
  <c r="M159" i="16"/>
  <c r="M156" i="16"/>
  <c r="M153" i="16"/>
  <c r="M150" i="16"/>
  <c r="M147" i="16"/>
  <c r="M144" i="16"/>
  <c r="M142" i="16"/>
  <c r="M132" i="16"/>
  <c r="M143" i="16"/>
  <c r="M140" i="16"/>
  <c r="M67" i="16"/>
  <c r="M64" i="16"/>
  <c r="M61" i="16"/>
  <c r="M58" i="16"/>
  <c r="M55" i="16"/>
  <c r="M52" i="16"/>
  <c r="M49" i="16"/>
  <c r="M46" i="16"/>
  <c r="M43" i="16"/>
  <c r="M40" i="16"/>
  <c r="M37" i="16"/>
  <c r="M34" i="16"/>
  <c r="M31" i="16"/>
  <c r="M28" i="16"/>
  <c r="M25" i="16"/>
  <c r="M22" i="16"/>
  <c r="M19" i="16"/>
  <c r="M16" i="16"/>
  <c r="M13" i="16"/>
  <c r="M10" i="16"/>
  <c r="M7" i="16"/>
  <c r="M4" i="16"/>
  <c r="M175" i="16"/>
  <c r="M166" i="16"/>
  <c r="M157" i="16"/>
  <c r="M148" i="16"/>
  <c r="M139" i="16"/>
  <c r="M137" i="16"/>
  <c r="M135" i="16"/>
  <c r="M126" i="16"/>
  <c r="M117" i="16"/>
  <c r="M108" i="16"/>
  <c r="M99" i="16"/>
  <c r="M90" i="16"/>
  <c r="M81" i="16"/>
  <c r="M72" i="16"/>
  <c r="M173" i="16"/>
  <c r="M164" i="16"/>
  <c r="M155" i="16"/>
  <c r="M146" i="16"/>
  <c r="M122" i="16"/>
  <c r="M113" i="16"/>
  <c r="M104" i="16"/>
  <c r="M95" i="16"/>
  <c r="M86" i="16"/>
  <c r="M77" i="16"/>
  <c r="M133" i="16"/>
  <c r="M118" i="16"/>
  <c r="M109" i="16"/>
  <c r="M100" i="16"/>
  <c r="M91" i="16"/>
  <c r="M82" i="16"/>
  <c r="M73" i="16"/>
  <c r="M131" i="16"/>
  <c r="N1" i="16"/>
  <c r="M123" i="16"/>
  <c r="M105" i="16"/>
  <c r="M87" i="16"/>
  <c r="M169" i="16"/>
  <c r="M160" i="16"/>
  <c r="M151" i="16"/>
  <c r="M129" i="16"/>
  <c r="M114" i="16"/>
  <c r="M96" i="16"/>
  <c r="M78" i="16"/>
  <c r="M176" i="16"/>
  <c r="M167" i="16"/>
  <c r="M158" i="16"/>
  <c r="M149" i="16"/>
  <c r="M127" i="16"/>
  <c r="M119" i="16"/>
  <c r="M110" i="16"/>
  <c r="M101" i="16"/>
  <c r="M92" i="16"/>
  <c r="M83" i="16"/>
  <c r="M74" i="16"/>
  <c r="M66" i="16"/>
  <c r="M63" i="16"/>
  <c r="M60" i="16"/>
  <c r="M57" i="16"/>
  <c r="M54" i="16"/>
  <c r="M51" i="16"/>
  <c r="M48" i="16"/>
  <c r="M45" i="16"/>
  <c r="M42" i="16"/>
  <c r="M39" i="16"/>
  <c r="M36" i="16"/>
  <c r="M33" i="16"/>
  <c r="M30" i="16"/>
  <c r="M27" i="16"/>
  <c r="M24" i="16"/>
  <c r="M21" i="16"/>
  <c r="M18" i="16"/>
  <c r="M15" i="16"/>
  <c r="M12" i="16"/>
  <c r="M9" i="16"/>
  <c r="M6" i="16"/>
  <c r="M3" i="16"/>
  <c r="M138" i="16"/>
  <c r="M124" i="16"/>
  <c r="M115" i="16"/>
  <c r="M106" i="16"/>
  <c r="M97" i="16"/>
  <c r="M88" i="16"/>
  <c r="M79" i="16"/>
  <c r="M70" i="16"/>
  <c r="M69" i="16"/>
  <c r="M102" i="16"/>
  <c r="M75" i="16"/>
  <c r="M134" i="16"/>
  <c r="M154" i="16"/>
  <c r="M120" i="16"/>
  <c r="M111" i="16"/>
  <c r="M172" i="16"/>
  <c r="M163" i="16"/>
  <c r="M145" i="16"/>
  <c r="M93" i="16"/>
  <c r="M84" i="16"/>
  <c r="M170" i="16"/>
  <c r="M161" i="16"/>
  <c r="M152" i="16"/>
  <c r="M125" i="16"/>
  <c r="M116" i="16"/>
  <c r="M107" i="16"/>
  <c r="M98" i="16"/>
  <c r="M89" i="16"/>
  <c r="M80" i="16"/>
  <c r="M71" i="16"/>
  <c r="M130" i="16"/>
  <c r="M121" i="16"/>
  <c r="M112" i="16"/>
  <c r="M103" i="16"/>
  <c r="M94" i="16"/>
  <c r="M85" i="16"/>
  <c r="M76" i="16"/>
  <c r="L185" i="23"/>
  <c r="L182" i="23"/>
  <c r="L179" i="23"/>
  <c r="L176" i="23"/>
  <c r="L173" i="23"/>
  <c r="L170" i="23"/>
  <c r="L167" i="23"/>
  <c r="L164" i="23"/>
  <c r="L161" i="23"/>
  <c r="L158" i="23"/>
  <c r="L155" i="23"/>
  <c r="L152" i="23"/>
  <c r="L149" i="23"/>
  <c r="L146" i="23"/>
  <c r="L143" i="23"/>
  <c r="L140" i="23"/>
  <c r="L137" i="23"/>
  <c r="L129" i="23"/>
  <c r="L124" i="23"/>
  <c r="L127" i="23"/>
  <c r="L135" i="23"/>
  <c r="L132" i="23"/>
  <c r="L183" i="23"/>
  <c r="L180" i="23"/>
  <c r="L177" i="23"/>
  <c r="L174" i="23"/>
  <c r="L171" i="23"/>
  <c r="L168" i="23"/>
  <c r="L165" i="23"/>
  <c r="L162" i="23"/>
  <c r="L159" i="23"/>
  <c r="L156" i="23"/>
  <c r="L153" i="23"/>
  <c r="L150" i="23"/>
  <c r="L147" i="23"/>
  <c r="L144" i="23"/>
  <c r="L141" i="23"/>
  <c r="L138" i="23"/>
  <c r="L119" i="23"/>
  <c r="L133" i="23"/>
  <c r="L128" i="23"/>
  <c r="L131" i="23"/>
  <c r="L125" i="23"/>
  <c r="L121" i="23"/>
  <c r="L120" i="23"/>
  <c r="L118" i="23"/>
  <c r="L115" i="23"/>
  <c r="L112" i="23"/>
  <c r="L109" i="23"/>
  <c r="L106" i="23"/>
  <c r="L103" i="23"/>
  <c r="L100" i="23"/>
  <c r="L97" i="23"/>
  <c r="L94" i="23"/>
  <c r="L91" i="23"/>
  <c r="L88" i="23"/>
  <c r="L85" i="23"/>
  <c r="L130" i="23"/>
  <c r="L116" i="23"/>
  <c r="L113" i="23"/>
  <c r="L110" i="23"/>
  <c r="L107" i="23"/>
  <c r="L104" i="23"/>
  <c r="L101" i="23"/>
  <c r="L98" i="23"/>
  <c r="L95" i="23"/>
  <c r="L166" i="23"/>
  <c r="L111" i="23"/>
  <c r="L172" i="23"/>
  <c r="L160" i="23"/>
  <c r="L145" i="23"/>
  <c r="L126" i="23"/>
  <c r="L117" i="23"/>
  <c r="L108" i="23"/>
  <c r="L178" i="23"/>
  <c r="L163" i="23"/>
  <c r="L151" i="23"/>
  <c r="L136" i="23"/>
  <c r="L184" i="23"/>
  <c r="L157" i="23"/>
  <c r="L122" i="23"/>
  <c r="L114" i="23"/>
  <c r="L90" i="23"/>
  <c r="L96" i="23"/>
  <c r="L82" i="23"/>
  <c r="L79" i="23"/>
  <c r="L76" i="23"/>
  <c r="L73" i="23"/>
  <c r="L70" i="23"/>
  <c r="L67" i="23"/>
  <c r="L64" i="23"/>
  <c r="L61" i="23"/>
  <c r="L58" i="23"/>
  <c r="L55" i="23"/>
  <c r="L52" i="23"/>
  <c r="L49" i="23"/>
  <c r="L99" i="23"/>
  <c r="L89" i="23"/>
  <c r="L105" i="23"/>
  <c r="L84" i="23"/>
  <c r="L169" i="23"/>
  <c r="L134" i="23"/>
  <c r="L83" i="23"/>
  <c r="L175" i="23"/>
  <c r="L102" i="23"/>
  <c r="L87" i="23"/>
  <c r="L148" i="23"/>
  <c r="L93" i="23"/>
  <c r="L142" i="23"/>
  <c r="L139" i="23"/>
  <c r="L92" i="23"/>
  <c r="L81" i="23"/>
  <c r="L78" i="23"/>
  <c r="L75" i="23"/>
  <c r="L72" i="23"/>
  <c r="L69" i="23"/>
  <c r="L66" i="23"/>
  <c r="L63" i="23"/>
  <c r="L60" i="23"/>
  <c r="L57" i="23"/>
  <c r="L54" i="23"/>
  <c r="L51" i="23"/>
  <c r="L48" i="23"/>
  <c r="L181" i="23"/>
  <c r="L62" i="23"/>
  <c r="M1" i="23"/>
  <c r="L123" i="23"/>
  <c r="L77" i="23"/>
  <c r="L68" i="23"/>
  <c r="L47" i="23"/>
  <c r="L44" i="23"/>
  <c r="L41" i="23"/>
  <c r="L38" i="23"/>
  <c r="L35" i="23"/>
  <c r="L32" i="23"/>
  <c r="L29" i="23"/>
  <c r="L26" i="23"/>
  <c r="L23" i="23"/>
  <c r="L20" i="23"/>
  <c r="L17" i="23"/>
  <c r="L14" i="23"/>
  <c r="L11" i="23"/>
  <c r="L8" i="23"/>
  <c r="L5" i="23"/>
  <c r="L154" i="23"/>
  <c r="L86" i="23"/>
  <c r="L56" i="23"/>
  <c r="L53" i="23"/>
  <c r="L74" i="23"/>
  <c r="L65" i="23"/>
  <c r="L45" i="23"/>
  <c r="L42" i="23"/>
  <c r="L39" i="23"/>
  <c r="L36" i="23"/>
  <c r="L33" i="23"/>
  <c r="L30" i="23"/>
  <c r="L27" i="23"/>
  <c r="L24" i="23"/>
  <c r="L21" i="23"/>
  <c r="L18" i="23"/>
  <c r="L15" i="23"/>
  <c r="L12" i="23"/>
  <c r="L9" i="23"/>
  <c r="L6" i="23"/>
  <c r="L3" i="23"/>
  <c r="L59" i="23"/>
  <c r="L50" i="23"/>
  <c r="L80" i="23"/>
  <c r="L71" i="23"/>
  <c r="L40" i="23"/>
  <c r="L31" i="23"/>
  <c r="L46" i="23"/>
  <c r="L37" i="23"/>
  <c r="L28" i="23"/>
  <c r="L43" i="23"/>
  <c r="L34" i="23"/>
  <c r="L25" i="23"/>
  <c r="L10" i="23"/>
  <c r="L16" i="23"/>
  <c r="L22" i="23"/>
  <c r="L7" i="23"/>
  <c r="L13" i="23"/>
  <c r="L19" i="23"/>
  <c r="L4" i="23"/>
  <c r="L175" i="26"/>
  <c r="L172" i="26"/>
  <c r="L169" i="26"/>
  <c r="L166" i="26"/>
  <c r="L163" i="26"/>
  <c r="L160" i="26"/>
  <c r="L170" i="26"/>
  <c r="L161" i="26"/>
  <c r="L159" i="26"/>
  <c r="L157" i="26"/>
  <c r="L154" i="26"/>
  <c r="L151" i="26"/>
  <c r="L148" i="26"/>
  <c r="L145" i="26"/>
  <c r="L142" i="26"/>
  <c r="L139" i="26"/>
  <c r="L136" i="26"/>
  <c r="L133" i="26"/>
  <c r="L174" i="26"/>
  <c r="L165" i="26"/>
  <c r="L176" i="26"/>
  <c r="L167" i="26"/>
  <c r="L171" i="26"/>
  <c r="L162" i="26"/>
  <c r="L173" i="26"/>
  <c r="L164" i="26"/>
  <c r="L158" i="26"/>
  <c r="L149" i="26"/>
  <c r="L140" i="26"/>
  <c r="L131" i="26"/>
  <c r="L128" i="26"/>
  <c r="L124" i="26"/>
  <c r="L115" i="26"/>
  <c r="L111" i="26"/>
  <c r="L108" i="26"/>
  <c r="L105" i="26"/>
  <c r="L102" i="26"/>
  <c r="L99" i="26"/>
  <c r="L96" i="26"/>
  <c r="L93" i="26"/>
  <c r="L90" i="26"/>
  <c r="L87" i="26"/>
  <c r="L84" i="26"/>
  <c r="L81" i="26"/>
  <c r="L78" i="26"/>
  <c r="L75" i="26"/>
  <c r="L72" i="26"/>
  <c r="L150" i="26"/>
  <c r="L141" i="26"/>
  <c r="L168" i="26"/>
  <c r="L130" i="26"/>
  <c r="L152" i="26"/>
  <c r="L143" i="26"/>
  <c r="L134" i="26"/>
  <c r="L132" i="26"/>
  <c r="L125" i="26"/>
  <c r="L116" i="26"/>
  <c r="L113" i="26"/>
  <c r="L109" i="26"/>
  <c r="L106" i="26"/>
  <c r="L103" i="26"/>
  <c r="L100" i="26"/>
  <c r="L97" i="26"/>
  <c r="L94" i="26"/>
  <c r="L91" i="26"/>
  <c r="L88" i="26"/>
  <c r="L85" i="26"/>
  <c r="L82" i="26"/>
  <c r="L79" i="26"/>
  <c r="L76" i="26"/>
  <c r="L73" i="26"/>
  <c r="L153" i="26"/>
  <c r="L144" i="26"/>
  <c r="L135" i="26"/>
  <c r="L129" i="26"/>
  <c r="L155" i="26"/>
  <c r="L146" i="26"/>
  <c r="L137" i="26"/>
  <c r="L156" i="26"/>
  <c r="L147" i="26"/>
  <c r="L138" i="26"/>
  <c r="L123" i="26"/>
  <c r="L114" i="26"/>
  <c r="L110" i="26"/>
  <c r="L107" i="26"/>
  <c r="L104" i="26"/>
  <c r="L101" i="26"/>
  <c r="L98" i="26"/>
  <c r="L95" i="26"/>
  <c r="L92" i="26"/>
  <c r="L89" i="26"/>
  <c r="L86" i="26"/>
  <c r="L83" i="26"/>
  <c r="L80" i="26"/>
  <c r="L77" i="26"/>
  <c r="L74" i="26"/>
  <c r="L71" i="26"/>
  <c r="L68" i="26"/>
  <c r="L65" i="26"/>
  <c r="L62" i="26"/>
  <c r="L59" i="26"/>
  <c r="L56" i="26"/>
  <c r="L53" i="26"/>
  <c r="L70" i="26"/>
  <c r="L67" i="26"/>
  <c r="L64" i="26"/>
  <c r="L61" i="26"/>
  <c r="L58" i="26"/>
  <c r="L55" i="26"/>
  <c r="L66" i="26"/>
  <c r="L57" i="26"/>
  <c r="L49" i="26"/>
  <c r="L46" i="26"/>
  <c r="L43" i="26"/>
  <c r="L40" i="26"/>
  <c r="L37" i="26"/>
  <c r="L34" i="26"/>
  <c r="L31" i="26"/>
  <c r="L28" i="26"/>
  <c r="L25" i="26"/>
  <c r="L22" i="26"/>
  <c r="L19" i="26"/>
  <c r="L16" i="26"/>
  <c r="L13" i="26"/>
  <c r="L10" i="26"/>
  <c r="L7" i="26"/>
  <c r="L4" i="26"/>
  <c r="L52" i="26"/>
  <c r="M1" i="26"/>
  <c r="L69" i="26"/>
  <c r="L60" i="26"/>
  <c r="L50" i="26"/>
  <c r="L47" i="26"/>
  <c r="L44" i="26"/>
  <c r="L41" i="26"/>
  <c r="L38" i="26"/>
  <c r="L35" i="26"/>
  <c r="L32" i="26"/>
  <c r="L29" i="26"/>
  <c r="L26" i="26"/>
  <c r="L23" i="26"/>
  <c r="L20" i="26"/>
  <c r="L17" i="26"/>
  <c r="L14" i="26"/>
  <c r="L11" i="26"/>
  <c r="L8" i="26"/>
  <c r="L5" i="26"/>
  <c r="L127" i="26"/>
  <c r="L51" i="26"/>
  <c r="L45" i="26"/>
  <c r="L63" i="26"/>
  <c r="L48" i="26"/>
  <c r="L42" i="26"/>
  <c r="L39" i="26"/>
  <c r="L15" i="26"/>
  <c r="L12" i="26"/>
  <c r="L36" i="26"/>
  <c r="L33" i="26"/>
  <c r="L30" i="26"/>
  <c r="L27" i="26"/>
  <c r="L3" i="26"/>
  <c r="L54" i="26"/>
  <c r="L24" i="26"/>
  <c r="L18" i="26"/>
  <c r="L6" i="26"/>
  <c r="L21" i="26"/>
  <c r="L9" i="26"/>
  <c r="M179" i="24"/>
  <c r="M176" i="24"/>
  <c r="M173" i="24"/>
  <c r="M170" i="24"/>
  <c r="M167" i="24"/>
  <c r="M164" i="24"/>
  <c r="M161" i="24"/>
  <c r="M158" i="24"/>
  <c r="M155" i="24"/>
  <c r="M152" i="24"/>
  <c r="M149" i="24"/>
  <c r="M146" i="24"/>
  <c r="M143" i="24"/>
  <c r="M140" i="24"/>
  <c r="M180" i="24"/>
  <c r="M177" i="24"/>
  <c r="M174" i="24"/>
  <c r="M171" i="24"/>
  <c r="M168" i="24"/>
  <c r="M165" i="24"/>
  <c r="M162" i="24"/>
  <c r="M159" i="24"/>
  <c r="M156" i="24"/>
  <c r="M153" i="24"/>
  <c r="M150" i="24"/>
  <c r="M147" i="24"/>
  <c r="M144" i="24"/>
  <c r="M141" i="24"/>
  <c r="M130" i="24"/>
  <c r="M139" i="24"/>
  <c r="M136" i="24"/>
  <c r="M133" i="24"/>
  <c r="M125" i="24"/>
  <c r="M117" i="24"/>
  <c r="M114" i="24"/>
  <c r="M111" i="24"/>
  <c r="M108" i="24"/>
  <c r="M105" i="24"/>
  <c r="M102" i="24"/>
  <c r="M99" i="24"/>
  <c r="M96" i="24"/>
  <c r="M93" i="24"/>
  <c r="M90" i="24"/>
  <c r="M87" i="24"/>
  <c r="M84" i="24"/>
  <c r="M81" i="24"/>
  <c r="M78" i="24"/>
  <c r="M75" i="24"/>
  <c r="M72" i="24"/>
  <c r="M69" i="24"/>
  <c r="M66" i="24"/>
  <c r="M63" i="24"/>
  <c r="M60" i="24"/>
  <c r="M57" i="24"/>
  <c r="M54" i="24"/>
  <c r="M51" i="24"/>
  <c r="M48" i="24"/>
  <c r="M45" i="24"/>
  <c r="M42" i="24"/>
  <c r="M39" i="24"/>
  <c r="M36" i="24"/>
  <c r="M33" i="24"/>
  <c r="M30" i="24"/>
  <c r="M181" i="24"/>
  <c r="M178" i="24"/>
  <c r="M175" i="24"/>
  <c r="M172" i="24"/>
  <c r="M169" i="24"/>
  <c r="M166" i="24"/>
  <c r="M163" i="24"/>
  <c r="M160" i="24"/>
  <c r="M157" i="24"/>
  <c r="M154" i="24"/>
  <c r="M151" i="24"/>
  <c r="M148" i="24"/>
  <c r="M145" i="24"/>
  <c r="M142" i="24"/>
  <c r="M120" i="24"/>
  <c r="M123" i="24"/>
  <c r="M131" i="24"/>
  <c r="M128" i="24"/>
  <c r="M137" i="24"/>
  <c r="M134" i="24"/>
  <c r="M115" i="24"/>
  <c r="M112" i="24"/>
  <c r="M109" i="24"/>
  <c r="M106" i="24"/>
  <c r="M103" i="24"/>
  <c r="M100" i="24"/>
  <c r="M97" i="24"/>
  <c r="M94" i="24"/>
  <c r="M91" i="24"/>
  <c r="M88" i="24"/>
  <c r="M85" i="24"/>
  <c r="M82" i="24"/>
  <c r="M79" i="24"/>
  <c r="M76" i="24"/>
  <c r="M73" i="24"/>
  <c r="M70" i="24"/>
  <c r="M67" i="24"/>
  <c r="M64" i="24"/>
  <c r="M61" i="24"/>
  <c r="M58" i="24"/>
  <c r="M55" i="24"/>
  <c r="M52" i="24"/>
  <c r="M49" i="24"/>
  <c r="M46" i="24"/>
  <c r="M43" i="24"/>
  <c r="M40" i="24"/>
  <c r="M37" i="24"/>
  <c r="M34" i="24"/>
  <c r="M31" i="24"/>
  <c r="M28" i="24"/>
  <c r="M126" i="24"/>
  <c r="M121" i="24"/>
  <c r="M118" i="24"/>
  <c r="M122" i="24"/>
  <c r="M119" i="24"/>
  <c r="M124" i="24"/>
  <c r="M25" i="24"/>
  <c r="M22" i="24"/>
  <c r="M19" i="24"/>
  <c r="M16" i="24"/>
  <c r="M13" i="24"/>
  <c r="M10" i="24"/>
  <c r="M7" i="24"/>
  <c r="M4" i="24"/>
  <c r="M127" i="24"/>
  <c r="N1" i="24"/>
  <c r="M44" i="24"/>
  <c r="M35" i="24"/>
  <c r="M116" i="24"/>
  <c r="M113" i="24"/>
  <c r="M110" i="24"/>
  <c r="M107" i="24"/>
  <c r="M104" i="24"/>
  <c r="M101" i="24"/>
  <c r="M98" i="24"/>
  <c r="M95" i="24"/>
  <c r="M92" i="24"/>
  <c r="M89" i="24"/>
  <c r="M86" i="24"/>
  <c r="M83" i="24"/>
  <c r="M80" i="24"/>
  <c r="M77" i="24"/>
  <c r="M74" i="24"/>
  <c r="M71" i="24"/>
  <c r="M68" i="24"/>
  <c r="M65" i="24"/>
  <c r="M62" i="24"/>
  <c r="M59" i="24"/>
  <c r="M56" i="24"/>
  <c r="M53" i="24"/>
  <c r="M26" i="24"/>
  <c r="M23" i="24"/>
  <c r="M20" i="24"/>
  <c r="M17" i="24"/>
  <c r="M14" i="24"/>
  <c r="M11" i="24"/>
  <c r="M8" i="24"/>
  <c r="M5" i="24"/>
  <c r="M47" i="24"/>
  <c r="M38" i="24"/>
  <c r="M29" i="24"/>
  <c r="M138" i="24"/>
  <c r="M135" i="24"/>
  <c r="M132" i="24"/>
  <c r="M21" i="24"/>
  <c r="M12" i="24"/>
  <c r="M3" i="24"/>
  <c r="M50" i="24"/>
  <c r="M41" i="24"/>
  <c r="M32" i="24"/>
  <c r="M27" i="24"/>
  <c r="M18" i="24"/>
  <c r="M9" i="24"/>
  <c r="M129" i="24"/>
  <c r="M24" i="24"/>
  <c r="M15" i="24"/>
  <c r="M6" i="24"/>
  <c r="O130" i="22"/>
  <c r="O125" i="22"/>
  <c r="O122" i="22"/>
  <c r="O133" i="22"/>
  <c r="O128" i="22"/>
  <c r="O184" i="22"/>
  <c r="O181" i="22"/>
  <c r="O178" i="22"/>
  <c r="O175" i="22"/>
  <c r="O172" i="22"/>
  <c r="O169" i="22"/>
  <c r="O166" i="22"/>
  <c r="O163" i="22"/>
  <c r="O160" i="22"/>
  <c r="O157" i="22"/>
  <c r="O154" i="22"/>
  <c r="O151" i="22"/>
  <c r="O148" i="22"/>
  <c r="O145" i="22"/>
  <c r="O142" i="22"/>
  <c r="O139" i="22"/>
  <c r="O136" i="22"/>
  <c r="O120" i="22"/>
  <c r="O126" i="22"/>
  <c r="O123" i="22"/>
  <c r="O131" i="22"/>
  <c r="O134" i="22"/>
  <c r="O185" i="22"/>
  <c r="O182" i="22"/>
  <c r="O179" i="22"/>
  <c r="O176" i="22"/>
  <c r="O173" i="22"/>
  <c r="O170" i="22"/>
  <c r="O167" i="22"/>
  <c r="O164" i="22"/>
  <c r="O161" i="22"/>
  <c r="O158" i="22"/>
  <c r="O155" i="22"/>
  <c r="O152" i="22"/>
  <c r="O149" i="22"/>
  <c r="O146" i="22"/>
  <c r="O143" i="22"/>
  <c r="O140" i="22"/>
  <c r="O137" i="22"/>
  <c r="O129" i="22"/>
  <c r="O121" i="22"/>
  <c r="O118" i="22"/>
  <c r="O127" i="22"/>
  <c r="O135" i="22"/>
  <c r="O132" i="22"/>
  <c r="O115" i="22"/>
  <c r="O112" i="22"/>
  <c r="O109" i="22"/>
  <c r="O106" i="22"/>
  <c r="O103" i="22"/>
  <c r="O100" i="22"/>
  <c r="O97" i="22"/>
  <c r="O94" i="22"/>
  <c r="O91" i="22"/>
  <c r="O88" i="22"/>
  <c r="O85" i="22"/>
  <c r="O82" i="22"/>
  <c r="O79" i="22"/>
  <c r="O76" i="22"/>
  <c r="O73" i="22"/>
  <c r="O70" i="22"/>
  <c r="O67" i="22"/>
  <c r="O64" i="22"/>
  <c r="O61" i="22"/>
  <c r="O58" i="22"/>
  <c r="O55" i="22"/>
  <c r="O52" i="22"/>
  <c r="O49" i="22"/>
  <c r="O46" i="22"/>
  <c r="O43" i="22"/>
  <c r="O40" i="22"/>
  <c r="O37" i="22"/>
  <c r="O34" i="22"/>
  <c r="O31" i="22"/>
  <c r="O28" i="22"/>
  <c r="O25" i="22"/>
  <c r="O22" i="22"/>
  <c r="O19" i="22"/>
  <c r="O16" i="22"/>
  <c r="O13" i="22"/>
  <c r="O177" i="22"/>
  <c r="O168" i="22"/>
  <c r="O159" i="22"/>
  <c r="O150" i="22"/>
  <c r="O141" i="22"/>
  <c r="O116" i="22"/>
  <c r="O113" i="22"/>
  <c r="O110" i="22"/>
  <c r="O107" i="22"/>
  <c r="O104" i="22"/>
  <c r="O101" i="22"/>
  <c r="O98" i="22"/>
  <c r="O95" i="22"/>
  <c r="O92" i="22"/>
  <c r="O89" i="22"/>
  <c r="O86" i="22"/>
  <c r="O83" i="22"/>
  <c r="O80" i="22"/>
  <c r="O77" i="22"/>
  <c r="O74" i="22"/>
  <c r="O71" i="22"/>
  <c r="O68" i="22"/>
  <c r="O65" i="22"/>
  <c r="O62" i="22"/>
  <c r="O59" i="22"/>
  <c r="O56" i="22"/>
  <c r="O53" i="22"/>
  <c r="O50" i="22"/>
  <c r="O47" i="22"/>
  <c r="O44" i="22"/>
  <c r="O41" i="22"/>
  <c r="O38" i="22"/>
  <c r="O35" i="22"/>
  <c r="O32" i="22"/>
  <c r="O29" i="22"/>
  <c r="O26" i="22"/>
  <c r="O23" i="22"/>
  <c r="O20" i="22"/>
  <c r="O17" i="22"/>
  <c r="O14" i="22"/>
  <c r="O183" i="22"/>
  <c r="O174" i="22"/>
  <c r="O165" i="22"/>
  <c r="O156" i="22"/>
  <c r="O147" i="22"/>
  <c r="O138" i="22"/>
  <c r="O117" i="22"/>
  <c r="O114" i="22"/>
  <c r="O111" i="22"/>
  <c r="O108" i="22"/>
  <c r="O105" i="22"/>
  <c r="O102" i="22"/>
  <c r="O99" i="22"/>
  <c r="O96" i="22"/>
  <c r="O93" i="22"/>
  <c r="O90" i="22"/>
  <c r="O87" i="22"/>
  <c r="O84" i="22"/>
  <c r="O81" i="22"/>
  <c r="O78" i="22"/>
  <c r="O75" i="22"/>
  <c r="O72" i="22"/>
  <c r="O69" i="22"/>
  <c r="O66" i="22"/>
  <c r="O63" i="22"/>
  <c r="O60" i="22"/>
  <c r="O57" i="22"/>
  <c r="O54" i="22"/>
  <c r="O51" i="22"/>
  <c r="O48" i="22"/>
  <c r="O45" i="22"/>
  <c r="O42" i="22"/>
  <c r="O39" i="22"/>
  <c r="O36" i="22"/>
  <c r="O33" i="22"/>
  <c r="O30" i="22"/>
  <c r="O27" i="22"/>
  <c r="O24" i="22"/>
  <c r="O21" i="22"/>
  <c r="O18" i="22"/>
  <c r="O15" i="22"/>
  <c r="O12" i="22"/>
  <c r="O180" i="22"/>
  <c r="O171" i="22"/>
  <c r="O162" i="22"/>
  <c r="O153" i="22"/>
  <c r="O144" i="22"/>
  <c r="O119" i="22"/>
  <c r="O9" i="22"/>
  <c r="O6" i="22"/>
  <c r="O3" i="22"/>
  <c r="O124" i="22"/>
  <c r="O10" i="22"/>
  <c r="O7" i="22"/>
  <c r="O4" i="22"/>
  <c r="P1" i="22"/>
  <c r="O11" i="22"/>
  <c r="O8" i="22"/>
  <c r="O5" i="22"/>
  <c r="N193" i="16" l="1"/>
  <c r="N190" i="16"/>
  <c r="N187" i="16"/>
  <c r="N184" i="16"/>
  <c r="N181" i="16"/>
  <c r="N191" i="16"/>
  <c r="N182" i="16"/>
  <c r="N174" i="16"/>
  <c r="N171" i="16"/>
  <c r="N168" i="16"/>
  <c r="N165" i="16"/>
  <c r="N162" i="16"/>
  <c r="N159" i="16"/>
  <c r="N156" i="16"/>
  <c r="N153" i="16"/>
  <c r="N150" i="16"/>
  <c r="N147" i="16"/>
  <c r="N144" i="16"/>
  <c r="N128" i="16"/>
  <c r="N125" i="16"/>
  <c r="N122" i="16"/>
  <c r="N119" i="16"/>
  <c r="N116" i="16"/>
  <c r="N113" i="16"/>
  <c r="N110" i="16"/>
  <c r="N107" i="16"/>
  <c r="N104" i="16"/>
  <c r="N101" i="16"/>
  <c r="N98" i="16"/>
  <c r="N95" i="16"/>
  <c r="N92" i="16"/>
  <c r="N89" i="16"/>
  <c r="N86" i="16"/>
  <c r="N83" i="16"/>
  <c r="N80" i="16"/>
  <c r="N77" i="16"/>
  <c r="N74" i="16"/>
  <c r="N71" i="16"/>
  <c r="N134" i="16"/>
  <c r="N131" i="16"/>
  <c r="N177" i="16"/>
  <c r="N189" i="16"/>
  <c r="N188" i="16"/>
  <c r="N175" i="16"/>
  <c r="N172" i="16"/>
  <c r="N169" i="16"/>
  <c r="N166" i="16"/>
  <c r="N163" i="16"/>
  <c r="N160" i="16"/>
  <c r="N157" i="16"/>
  <c r="N154" i="16"/>
  <c r="N151" i="16"/>
  <c r="N148" i="16"/>
  <c r="N145" i="16"/>
  <c r="N137" i="16"/>
  <c r="N129" i="16"/>
  <c r="N126" i="16"/>
  <c r="N123" i="16"/>
  <c r="N120" i="16"/>
  <c r="N117" i="16"/>
  <c r="N114" i="16"/>
  <c r="N111" i="16"/>
  <c r="N108" i="16"/>
  <c r="N105" i="16"/>
  <c r="N102" i="16"/>
  <c r="N99" i="16"/>
  <c r="N96" i="16"/>
  <c r="N93" i="16"/>
  <c r="N90" i="16"/>
  <c r="N87" i="16"/>
  <c r="N84" i="16"/>
  <c r="N81" i="16"/>
  <c r="N78" i="16"/>
  <c r="N75" i="16"/>
  <c r="N72" i="16"/>
  <c r="N135" i="16"/>
  <c r="N186" i="16"/>
  <c r="N185" i="16"/>
  <c r="N176" i="16"/>
  <c r="N173" i="16"/>
  <c r="N170" i="16"/>
  <c r="N167" i="16"/>
  <c r="N164" i="16"/>
  <c r="N161" i="16"/>
  <c r="N158" i="16"/>
  <c r="N155" i="16"/>
  <c r="N152" i="16"/>
  <c r="N149" i="16"/>
  <c r="N146" i="16"/>
  <c r="N127" i="16"/>
  <c r="N124" i="16"/>
  <c r="N121" i="16"/>
  <c r="N118" i="16"/>
  <c r="N115" i="16"/>
  <c r="N112" i="16"/>
  <c r="N109" i="16"/>
  <c r="N106" i="16"/>
  <c r="N103" i="16"/>
  <c r="N100" i="16"/>
  <c r="N97" i="16"/>
  <c r="N94" i="16"/>
  <c r="N91" i="16"/>
  <c r="N88" i="16"/>
  <c r="N85" i="16"/>
  <c r="N82" i="16"/>
  <c r="N79" i="16"/>
  <c r="N76" i="16"/>
  <c r="N73" i="16"/>
  <c r="N70" i="16"/>
  <c r="N133" i="16"/>
  <c r="O1" i="16"/>
  <c r="N68" i="16"/>
  <c r="N62" i="16"/>
  <c r="N61" i="16"/>
  <c r="N60" i="16"/>
  <c r="N59" i="16"/>
  <c r="N58" i="16"/>
  <c r="N57" i="16"/>
  <c r="N56" i="16"/>
  <c r="N55" i="16"/>
  <c r="N54" i="16"/>
  <c r="N53" i="16"/>
  <c r="N49" i="16"/>
  <c r="N44" i="16"/>
  <c r="N43" i="16"/>
  <c r="N41" i="16"/>
  <c r="N40" i="16"/>
  <c r="N39" i="16"/>
  <c r="N35" i="16"/>
  <c r="N34" i="16"/>
  <c r="N33" i="16"/>
  <c r="N32" i="16"/>
  <c r="N31" i="16"/>
  <c r="N30" i="16"/>
  <c r="N29" i="16"/>
  <c r="N26" i="16"/>
  <c r="N25" i="16"/>
  <c r="N23" i="16"/>
  <c r="N15" i="16"/>
  <c r="N12" i="16"/>
  <c r="N10" i="16"/>
  <c r="N9" i="16"/>
  <c r="N4" i="16"/>
  <c r="N180" i="16"/>
  <c r="N142" i="16"/>
  <c r="N67" i="16"/>
  <c r="N66" i="16"/>
  <c r="N65" i="16"/>
  <c r="N64" i="16"/>
  <c r="N63" i="16"/>
  <c r="N52" i="16"/>
  <c r="N51" i="16"/>
  <c r="N50" i="16"/>
  <c r="N48" i="16"/>
  <c r="N47" i="16"/>
  <c r="N46" i="16"/>
  <c r="N45" i="16"/>
  <c r="N42" i="16"/>
  <c r="N38" i="16"/>
  <c r="N36" i="16"/>
  <c r="N28" i="16"/>
  <c r="N27" i="16"/>
  <c r="N24" i="16"/>
  <c r="N21" i="16"/>
  <c r="N19" i="16"/>
  <c r="N17" i="16"/>
  <c r="N16" i="16"/>
  <c r="N14" i="16"/>
  <c r="N8" i="16"/>
  <c r="N6" i="16"/>
  <c r="N3" i="16"/>
  <c r="N37" i="16"/>
  <c r="N22" i="16"/>
  <c r="N20" i="16"/>
  <c r="N18" i="16"/>
  <c r="N13" i="16"/>
  <c r="N11" i="16"/>
  <c r="N7" i="16"/>
  <c r="N5" i="16"/>
  <c r="N192" i="16"/>
  <c r="N140" i="16"/>
  <c r="N138" i="16"/>
  <c r="N69" i="16"/>
  <c r="N136" i="16"/>
  <c r="N143" i="16"/>
  <c r="N132" i="16"/>
  <c r="N183" i="16"/>
  <c r="N139" i="16"/>
  <c r="N178" i="16"/>
  <c r="N130" i="16"/>
  <c r="N179" i="16"/>
  <c r="N141" i="16"/>
  <c r="P133" i="22"/>
  <c r="P128" i="22"/>
  <c r="P184" i="22"/>
  <c r="P181" i="22"/>
  <c r="P178" i="22"/>
  <c r="P175" i="22"/>
  <c r="P172" i="22"/>
  <c r="P169" i="22"/>
  <c r="P166" i="22"/>
  <c r="P163" i="22"/>
  <c r="P160" i="22"/>
  <c r="P157" i="22"/>
  <c r="P154" i="22"/>
  <c r="P151" i="22"/>
  <c r="P148" i="22"/>
  <c r="P145" i="22"/>
  <c r="P142" i="22"/>
  <c r="P139" i="22"/>
  <c r="P136" i="22"/>
  <c r="P120" i="22"/>
  <c r="P126" i="22"/>
  <c r="P123" i="22"/>
  <c r="P131" i="22"/>
  <c r="P134" i="22"/>
  <c r="P185" i="22"/>
  <c r="P182" i="22"/>
  <c r="P179" i="22"/>
  <c r="P176" i="22"/>
  <c r="P173" i="22"/>
  <c r="P170" i="22"/>
  <c r="P167" i="22"/>
  <c r="P164" i="22"/>
  <c r="P161" i="22"/>
  <c r="P158" i="22"/>
  <c r="P155" i="22"/>
  <c r="P152" i="22"/>
  <c r="P149" i="22"/>
  <c r="P146" i="22"/>
  <c r="P143" i="22"/>
  <c r="P140" i="22"/>
  <c r="P137" i="22"/>
  <c r="P129" i="22"/>
  <c r="P121" i="22"/>
  <c r="P118" i="22"/>
  <c r="P124" i="22"/>
  <c r="P135" i="22"/>
  <c r="P132" i="22"/>
  <c r="P183" i="22"/>
  <c r="P180" i="22"/>
  <c r="P177" i="22"/>
  <c r="P174" i="22"/>
  <c r="P171" i="22"/>
  <c r="P168" i="22"/>
  <c r="P165" i="22"/>
  <c r="P162" i="22"/>
  <c r="P159" i="22"/>
  <c r="P156" i="22"/>
  <c r="P153" i="22"/>
  <c r="P150" i="22"/>
  <c r="P147" i="22"/>
  <c r="P144" i="22"/>
  <c r="P141" i="22"/>
  <c r="P138" i="22"/>
  <c r="P119" i="22"/>
  <c r="P125" i="22"/>
  <c r="P116" i="22"/>
  <c r="P113" i="22"/>
  <c r="P110" i="22"/>
  <c r="P107" i="22"/>
  <c r="P104" i="22"/>
  <c r="P101" i="22"/>
  <c r="P98" i="22"/>
  <c r="P95" i="22"/>
  <c r="P92" i="22"/>
  <c r="P89" i="22"/>
  <c r="P86" i="22"/>
  <c r="P83" i="22"/>
  <c r="P80" i="22"/>
  <c r="P77" i="22"/>
  <c r="P74" i="22"/>
  <c r="P71" i="22"/>
  <c r="P68" i="22"/>
  <c r="P65" i="22"/>
  <c r="P62" i="22"/>
  <c r="P59" i="22"/>
  <c r="P56" i="22"/>
  <c r="P53" i="22"/>
  <c r="P50" i="22"/>
  <c r="P47" i="22"/>
  <c r="P44" i="22"/>
  <c r="P41" i="22"/>
  <c r="P38" i="22"/>
  <c r="P35" i="22"/>
  <c r="P32" i="22"/>
  <c r="P29" i="22"/>
  <c r="P26" i="22"/>
  <c r="P23" i="22"/>
  <c r="P20" i="22"/>
  <c r="P17" i="22"/>
  <c r="P14" i="22"/>
  <c r="P122" i="22"/>
  <c r="P117" i="22"/>
  <c r="P114" i="22"/>
  <c r="P111" i="22"/>
  <c r="P108" i="22"/>
  <c r="P105" i="22"/>
  <c r="P102" i="22"/>
  <c r="P99" i="22"/>
  <c r="P96" i="22"/>
  <c r="P93" i="22"/>
  <c r="P90" i="22"/>
  <c r="P87" i="22"/>
  <c r="P84" i="22"/>
  <c r="P81" i="22"/>
  <c r="P78" i="22"/>
  <c r="P75" i="22"/>
  <c r="P72" i="22"/>
  <c r="P69" i="22"/>
  <c r="P66" i="22"/>
  <c r="P63" i="22"/>
  <c r="P60" i="22"/>
  <c r="P57" i="22"/>
  <c r="P54" i="22"/>
  <c r="P51" i="22"/>
  <c r="P48" i="22"/>
  <c r="P45" i="22"/>
  <c r="P42" i="22"/>
  <c r="P39" i="22"/>
  <c r="P36" i="22"/>
  <c r="P33" i="22"/>
  <c r="P30" i="22"/>
  <c r="P27" i="22"/>
  <c r="P24" i="22"/>
  <c r="P21" i="22"/>
  <c r="P18" i="22"/>
  <c r="P15" i="22"/>
  <c r="P12" i="22"/>
  <c r="P9" i="22"/>
  <c r="P6" i="22"/>
  <c r="P3" i="22"/>
  <c r="P109" i="22"/>
  <c r="P100" i="22"/>
  <c r="P91" i="22"/>
  <c r="P82" i="22"/>
  <c r="P73" i="22"/>
  <c r="P64" i="22"/>
  <c r="P55" i="22"/>
  <c r="P46" i="22"/>
  <c r="P37" i="22"/>
  <c r="P28" i="22"/>
  <c r="P19" i="22"/>
  <c r="P10" i="22"/>
  <c r="P7" i="22"/>
  <c r="P4" i="22"/>
  <c r="P130" i="22"/>
  <c r="P112" i="22"/>
  <c r="P103" i="22"/>
  <c r="P94" i="22"/>
  <c r="P85" i="22"/>
  <c r="P76" i="22"/>
  <c r="P67" i="22"/>
  <c r="P58" i="22"/>
  <c r="P49" i="22"/>
  <c r="P40" i="22"/>
  <c r="P31" i="22"/>
  <c r="P22" i="22"/>
  <c r="P13" i="22"/>
  <c r="Q1" i="22"/>
  <c r="P11" i="22"/>
  <c r="P8" i="22"/>
  <c r="P5" i="22"/>
  <c r="P115" i="22"/>
  <c r="P106" i="22"/>
  <c r="P97" i="22"/>
  <c r="P88" i="22"/>
  <c r="P79" i="22"/>
  <c r="P70" i="22"/>
  <c r="P61" i="22"/>
  <c r="P52" i="22"/>
  <c r="P43" i="22"/>
  <c r="P34" i="22"/>
  <c r="P25" i="22"/>
  <c r="P16" i="22"/>
  <c r="P127" i="22"/>
  <c r="M175" i="26"/>
  <c r="M172" i="26"/>
  <c r="M169" i="26"/>
  <c r="M166" i="26"/>
  <c r="M163" i="26"/>
  <c r="M160" i="26"/>
  <c r="M176" i="26"/>
  <c r="M173" i="26"/>
  <c r="M170" i="26"/>
  <c r="M167" i="26"/>
  <c r="M164" i="26"/>
  <c r="M161" i="26"/>
  <c r="M158" i="26"/>
  <c r="M174" i="26"/>
  <c r="M171" i="26"/>
  <c r="M168" i="26"/>
  <c r="M165" i="26"/>
  <c r="M162" i="26"/>
  <c r="M159" i="26"/>
  <c r="M157" i="26"/>
  <c r="M154" i="26"/>
  <c r="M151" i="26"/>
  <c r="M148" i="26"/>
  <c r="M145" i="26"/>
  <c r="M142" i="26"/>
  <c r="M139" i="26"/>
  <c r="M136" i="26"/>
  <c r="M133" i="26"/>
  <c r="M130" i="26"/>
  <c r="M155" i="26"/>
  <c r="M152" i="26"/>
  <c r="M149" i="26"/>
  <c r="M146" i="26"/>
  <c r="M143" i="26"/>
  <c r="M140" i="26"/>
  <c r="M137" i="26"/>
  <c r="M134" i="26"/>
  <c r="M131" i="26"/>
  <c r="M128" i="26"/>
  <c r="M124" i="26"/>
  <c r="M115" i="26"/>
  <c r="M111" i="26"/>
  <c r="M108" i="26"/>
  <c r="M105" i="26"/>
  <c r="M102" i="26"/>
  <c r="M99" i="26"/>
  <c r="M96" i="26"/>
  <c r="M93" i="26"/>
  <c r="M90" i="26"/>
  <c r="M87" i="26"/>
  <c r="M84" i="26"/>
  <c r="M81" i="26"/>
  <c r="M78" i="26"/>
  <c r="M75" i="26"/>
  <c r="M72" i="26"/>
  <c r="M150" i="26"/>
  <c r="M141" i="26"/>
  <c r="M132" i="26"/>
  <c r="M125" i="26"/>
  <c r="M153" i="26"/>
  <c r="M144" i="26"/>
  <c r="M135" i="26"/>
  <c r="M129" i="26"/>
  <c r="M127" i="26"/>
  <c r="M123" i="26"/>
  <c r="M114" i="26"/>
  <c r="M110" i="26"/>
  <c r="M107" i="26"/>
  <c r="M104" i="26"/>
  <c r="M101" i="26"/>
  <c r="M98" i="26"/>
  <c r="M95" i="26"/>
  <c r="M92" i="26"/>
  <c r="M89" i="26"/>
  <c r="M86" i="26"/>
  <c r="M83" i="26"/>
  <c r="M80" i="26"/>
  <c r="M77" i="26"/>
  <c r="M74" i="26"/>
  <c r="M71" i="26"/>
  <c r="M68" i="26"/>
  <c r="M65" i="26"/>
  <c r="M62" i="26"/>
  <c r="M59" i="26"/>
  <c r="M56" i="26"/>
  <c r="M53" i="26"/>
  <c r="M156" i="26"/>
  <c r="M70" i="26"/>
  <c r="M67" i="26"/>
  <c r="M64" i="26"/>
  <c r="M61" i="26"/>
  <c r="M58" i="26"/>
  <c r="M55" i="26"/>
  <c r="M52" i="26"/>
  <c r="M138" i="26"/>
  <c r="M116" i="26"/>
  <c r="M113" i="26"/>
  <c r="M109" i="26"/>
  <c r="M106" i="26"/>
  <c r="M103" i="26"/>
  <c r="M100" i="26"/>
  <c r="M97" i="26"/>
  <c r="M94" i="26"/>
  <c r="M91" i="26"/>
  <c r="M88" i="26"/>
  <c r="M85" i="26"/>
  <c r="M82" i="26"/>
  <c r="M79" i="26"/>
  <c r="M76" i="26"/>
  <c r="M73" i="26"/>
  <c r="M147" i="26"/>
  <c r="N1" i="26"/>
  <c r="M51" i="26"/>
  <c r="M66" i="26"/>
  <c r="M57" i="26"/>
  <c r="M49" i="26"/>
  <c r="M46" i="26"/>
  <c r="M43" i="26"/>
  <c r="M40" i="26"/>
  <c r="M37" i="26"/>
  <c r="M34" i="26"/>
  <c r="M31" i="26"/>
  <c r="M28" i="26"/>
  <c r="M25" i="26"/>
  <c r="M22" i="26"/>
  <c r="M19" i="26"/>
  <c r="M16" i="26"/>
  <c r="M13" i="26"/>
  <c r="M10" i="26"/>
  <c r="M7" i="26"/>
  <c r="M4" i="26"/>
  <c r="M45" i="26"/>
  <c r="M36" i="26"/>
  <c r="M27" i="26"/>
  <c r="M18" i="26"/>
  <c r="M9" i="26"/>
  <c r="M47" i="26"/>
  <c r="M38" i="26"/>
  <c r="M29" i="26"/>
  <c r="M20" i="26"/>
  <c r="M11" i="26"/>
  <c r="M54" i="26"/>
  <c r="M48" i="26"/>
  <c r="M39" i="26"/>
  <c r="M30" i="26"/>
  <c r="M21" i="26"/>
  <c r="M12" i="26"/>
  <c r="M3" i="26"/>
  <c r="M69" i="26"/>
  <c r="M44" i="26"/>
  <c r="M35" i="26"/>
  <c r="M26" i="26"/>
  <c r="M17" i="26"/>
  <c r="M8" i="26"/>
  <c r="M42" i="26"/>
  <c r="M23" i="26"/>
  <c r="M15" i="26"/>
  <c r="M60" i="26"/>
  <c r="M41" i="26"/>
  <c r="M33" i="26"/>
  <c r="M14" i="26"/>
  <c r="M6" i="26"/>
  <c r="M50" i="26"/>
  <c r="M24" i="26"/>
  <c r="M5" i="26"/>
  <c r="M63" i="26"/>
  <c r="M32" i="26"/>
  <c r="N179" i="24"/>
  <c r="N176" i="24"/>
  <c r="N173" i="24"/>
  <c r="N170" i="24"/>
  <c r="N167" i="24"/>
  <c r="N164" i="24"/>
  <c r="N161" i="24"/>
  <c r="N158" i="24"/>
  <c r="N155" i="24"/>
  <c r="N152" i="24"/>
  <c r="N149" i="24"/>
  <c r="N146" i="24"/>
  <c r="N143" i="24"/>
  <c r="N140" i="24"/>
  <c r="N180" i="24"/>
  <c r="N177" i="24"/>
  <c r="N174" i="24"/>
  <c r="N171" i="24"/>
  <c r="N168" i="24"/>
  <c r="N165" i="24"/>
  <c r="N162" i="24"/>
  <c r="N159" i="24"/>
  <c r="N156" i="24"/>
  <c r="N153" i="24"/>
  <c r="N150" i="24"/>
  <c r="N147" i="24"/>
  <c r="N144" i="24"/>
  <c r="N141" i="24"/>
  <c r="N139" i="24"/>
  <c r="N136" i="24"/>
  <c r="N133" i="24"/>
  <c r="N125" i="24"/>
  <c r="N117" i="24"/>
  <c r="N114" i="24"/>
  <c r="N111" i="24"/>
  <c r="N108" i="24"/>
  <c r="N105" i="24"/>
  <c r="N102" i="24"/>
  <c r="N99" i="24"/>
  <c r="N96" i="24"/>
  <c r="N93" i="24"/>
  <c r="N90" i="24"/>
  <c r="N87" i="24"/>
  <c r="N84" i="24"/>
  <c r="N81" i="24"/>
  <c r="N78" i="24"/>
  <c r="N75" i="24"/>
  <c r="N72" i="24"/>
  <c r="N69" i="24"/>
  <c r="N66" i="24"/>
  <c r="N63" i="24"/>
  <c r="N60" i="24"/>
  <c r="N57" i="24"/>
  <c r="N54" i="24"/>
  <c r="N51" i="24"/>
  <c r="N48" i="24"/>
  <c r="N45" i="24"/>
  <c r="N42" i="24"/>
  <c r="N39" i="24"/>
  <c r="N36" i="24"/>
  <c r="N33" i="24"/>
  <c r="N30" i="24"/>
  <c r="N181" i="24"/>
  <c r="N178" i="24"/>
  <c r="N175" i="24"/>
  <c r="N172" i="24"/>
  <c r="N169" i="24"/>
  <c r="N166" i="24"/>
  <c r="N163" i="24"/>
  <c r="N160" i="24"/>
  <c r="N157" i="24"/>
  <c r="N154" i="24"/>
  <c r="N151" i="24"/>
  <c r="N148" i="24"/>
  <c r="N145" i="24"/>
  <c r="N142" i="24"/>
  <c r="N120" i="24"/>
  <c r="N123" i="24"/>
  <c r="N131" i="24"/>
  <c r="N128" i="24"/>
  <c r="N137" i="24"/>
  <c r="N134" i="24"/>
  <c r="N115" i="24"/>
  <c r="N112" i="24"/>
  <c r="N109" i="24"/>
  <c r="N106" i="24"/>
  <c r="N103" i="24"/>
  <c r="N100" i="24"/>
  <c r="N97" i="24"/>
  <c r="N94" i="24"/>
  <c r="N91" i="24"/>
  <c r="N88" i="24"/>
  <c r="N85" i="24"/>
  <c r="N82" i="24"/>
  <c r="N79" i="24"/>
  <c r="N76" i="24"/>
  <c r="N73" i="24"/>
  <c r="N70" i="24"/>
  <c r="N67" i="24"/>
  <c r="N64" i="24"/>
  <c r="N61" i="24"/>
  <c r="N58" i="24"/>
  <c r="N55" i="24"/>
  <c r="N52" i="24"/>
  <c r="N49" i="24"/>
  <c r="N46" i="24"/>
  <c r="N43" i="24"/>
  <c r="N40" i="24"/>
  <c r="N37" i="24"/>
  <c r="N34" i="24"/>
  <c r="N31" i="24"/>
  <c r="N126" i="24"/>
  <c r="N121" i="24"/>
  <c r="N118" i="24"/>
  <c r="N129" i="24"/>
  <c r="N124" i="24"/>
  <c r="N127" i="24"/>
  <c r="N28" i="24"/>
  <c r="O1" i="24"/>
  <c r="N130" i="24"/>
  <c r="N44" i="24"/>
  <c r="N35" i="24"/>
  <c r="N116" i="24"/>
  <c r="N113" i="24"/>
  <c r="N110" i="24"/>
  <c r="N107" i="24"/>
  <c r="N104" i="24"/>
  <c r="N101" i="24"/>
  <c r="N98" i="24"/>
  <c r="N95" i="24"/>
  <c r="N92" i="24"/>
  <c r="N89" i="24"/>
  <c r="N86" i="24"/>
  <c r="N83" i="24"/>
  <c r="N80" i="24"/>
  <c r="N77" i="24"/>
  <c r="N74" i="24"/>
  <c r="N71" i="24"/>
  <c r="N68" i="24"/>
  <c r="N65" i="24"/>
  <c r="N62" i="24"/>
  <c r="N59" i="24"/>
  <c r="N56" i="24"/>
  <c r="N53" i="24"/>
  <c r="N26" i="24"/>
  <c r="N23" i="24"/>
  <c r="N20" i="24"/>
  <c r="N17" i="24"/>
  <c r="N14" i="24"/>
  <c r="N11" i="24"/>
  <c r="N8" i="24"/>
  <c r="N5" i="24"/>
  <c r="N122" i="24"/>
  <c r="N119" i="24"/>
  <c r="N47" i="24"/>
  <c r="N38" i="24"/>
  <c r="N29" i="24"/>
  <c r="N27" i="24"/>
  <c r="N24" i="24"/>
  <c r="N21" i="24"/>
  <c r="N18" i="24"/>
  <c r="N15" i="24"/>
  <c r="N12" i="24"/>
  <c r="N9" i="24"/>
  <c r="N6" i="24"/>
  <c r="N3" i="24"/>
  <c r="N50" i="24"/>
  <c r="N41" i="24"/>
  <c r="N32" i="24"/>
  <c r="N138" i="24"/>
  <c r="N132" i="24"/>
  <c r="N25" i="24"/>
  <c r="N16" i="24"/>
  <c r="N7" i="24"/>
  <c r="N135" i="24"/>
  <c r="N19" i="24"/>
  <c r="N10" i="24"/>
  <c r="N22" i="24"/>
  <c r="N13" i="24"/>
  <c r="N4" i="24"/>
  <c r="O189" i="20"/>
  <c r="O186" i="20"/>
  <c r="O183" i="20"/>
  <c r="O180" i="20"/>
  <c r="O177" i="20"/>
  <c r="O174" i="20"/>
  <c r="O171" i="20"/>
  <c r="O168" i="20"/>
  <c r="O165" i="20"/>
  <c r="O162" i="20"/>
  <c r="O159" i="20"/>
  <c r="O156" i="20"/>
  <c r="O153" i="20"/>
  <c r="O188" i="20"/>
  <c r="O185" i="20"/>
  <c r="O182" i="20"/>
  <c r="O179" i="20"/>
  <c r="O176" i="20"/>
  <c r="O173" i="20"/>
  <c r="O170" i="20"/>
  <c r="O167" i="20"/>
  <c r="O164" i="20"/>
  <c r="O161" i="20"/>
  <c r="O158" i="20"/>
  <c r="O155" i="20"/>
  <c r="O152" i="20"/>
  <c r="O149" i="20"/>
  <c r="O146" i="20"/>
  <c r="O139" i="20"/>
  <c r="O148" i="20"/>
  <c r="O140" i="20"/>
  <c r="O137" i="20"/>
  <c r="O175" i="20"/>
  <c r="O144" i="20"/>
  <c r="O119" i="20"/>
  <c r="O190" i="20"/>
  <c r="O163" i="20"/>
  <c r="O133" i="20"/>
  <c r="O128" i="20"/>
  <c r="O123" i="20"/>
  <c r="O114" i="20"/>
  <c r="O105" i="20"/>
  <c r="O96" i="20"/>
  <c r="O87" i="20"/>
  <c r="O78" i="20"/>
  <c r="O69" i="20"/>
  <c r="O67" i="20"/>
  <c r="O64" i="20"/>
  <c r="O61" i="20"/>
  <c r="O58" i="20"/>
  <c r="O55" i="20"/>
  <c r="O52" i="20"/>
  <c r="O49" i="20"/>
  <c r="O46" i="20"/>
  <c r="O43" i="20"/>
  <c r="O40" i="20"/>
  <c r="O178" i="20"/>
  <c r="O138" i="20"/>
  <c r="O132" i="20"/>
  <c r="O127" i="20"/>
  <c r="O181" i="20"/>
  <c r="O150" i="20"/>
  <c r="O142" i="20"/>
  <c r="O131" i="20"/>
  <c r="O126" i="20"/>
  <c r="O117" i="20"/>
  <c r="O108" i="20"/>
  <c r="O99" i="20"/>
  <c r="O90" i="20"/>
  <c r="O81" i="20"/>
  <c r="O72" i="20"/>
  <c r="O65" i="20"/>
  <c r="O62" i="20"/>
  <c r="O59" i="20"/>
  <c r="O56" i="20"/>
  <c r="O53" i="20"/>
  <c r="O50" i="20"/>
  <c r="O47" i="20"/>
  <c r="O44" i="20"/>
  <c r="O41" i="20"/>
  <c r="O38" i="20"/>
  <c r="O184" i="20"/>
  <c r="O157" i="20"/>
  <c r="O141" i="20"/>
  <c r="O136" i="20"/>
  <c r="O125" i="20"/>
  <c r="O116" i="20"/>
  <c r="O107" i="20"/>
  <c r="O98" i="20"/>
  <c r="O89" i="20"/>
  <c r="O129" i="20"/>
  <c r="O124" i="20"/>
  <c r="O115" i="20"/>
  <c r="O106" i="20"/>
  <c r="O118" i="20"/>
  <c r="O100" i="20"/>
  <c r="O110" i="20"/>
  <c r="O103" i="20"/>
  <c r="O93" i="20"/>
  <c r="O113" i="20"/>
  <c r="O97" i="20"/>
  <c r="O95" i="20"/>
  <c r="O84" i="20"/>
  <c r="O75" i="20"/>
  <c r="O54" i="20"/>
  <c r="O45" i="20"/>
  <c r="P1" i="20"/>
  <c r="O145" i="20"/>
  <c r="O135" i="20"/>
  <c r="O109" i="20"/>
  <c r="O160" i="20"/>
  <c r="O154" i="20"/>
  <c r="O147" i="20"/>
  <c r="O134" i="20"/>
  <c r="O112" i="20"/>
  <c r="O102" i="20"/>
  <c r="O85" i="20"/>
  <c r="O76" i="20"/>
  <c r="O35" i="20"/>
  <c r="O32" i="20"/>
  <c r="O29" i="20"/>
  <c r="O26" i="20"/>
  <c r="O23" i="20"/>
  <c r="O20" i="20"/>
  <c r="O17" i="20"/>
  <c r="O14" i="20"/>
  <c r="O11" i="20"/>
  <c r="O8" i="20"/>
  <c r="O5" i="20"/>
  <c r="O143" i="20"/>
  <c r="O88" i="20"/>
  <c r="O82" i="20"/>
  <c r="O79" i="20"/>
  <c r="O73" i="20"/>
  <c r="O70" i="20"/>
  <c r="O57" i="20"/>
  <c r="O48" i="20"/>
  <c r="O39" i="20"/>
  <c r="O172" i="20"/>
  <c r="O122" i="20"/>
  <c r="O94" i="20"/>
  <c r="O121" i="20"/>
  <c r="O92" i="20"/>
  <c r="O169" i="20"/>
  <c r="O151" i="20"/>
  <c r="O130" i="20"/>
  <c r="O111" i="20"/>
  <c r="O101" i="20"/>
  <c r="O36" i="20"/>
  <c r="O33" i="20"/>
  <c r="O30" i="20"/>
  <c r="O27" i="20"/>
  <c r="O24" i="20"/>
  <c r="O21" i="20"/>
  <c r="O18" i="20"/>
  <c r="O15" i="20"/>
  <c r="O12" i="20"/>
  <c r="O9" i="20"/>
  <c r="O6" i="20"/>
  <c r="O3" i="20"/>
  <c r="O187" i="20"/>
  <c r="O120" i="20"/>
  <c r="O104" i="20"/>
  <c r="O86" i="20"/>
  <c r="O80" i="20"/>
  <c r="O77" i="20"/>
  <c r="O71" i="20"/>
  <c r="O51" i="20"/>
  <c r="O42" i="20"/>
  <c r="O83" i="20"/>
  <c r="O166" i="20"/>
  <c r="O68" i="20"/>
  <c r="O63" i="20"/>
  <c r="O34" i="20"/>
  <c r="O74" i="20"/>
  <c r="O60" i="20"/>
  <c r="O37" i="20"/>
  <c r="O66" i="20"/>
  <c r="O28" i="20"/>
  <c r="O25" i="20"/>
  <c r="O22" i="20"/>
  <c r="O19" i="20"/>
  <c r="O16" i="20"/>
  <c r="O13" i="20"/>
  <c r="O10" i="20"/>
  <c r="O7" i="20"/>
  <c r="O4" i="20"/>
  <c r="O91" i="20"/>
  <c r="O31" i="20"/>
  <c r="P187" i="17"/>
  <c r="P178" i="17"/>
  <c r="P169" i="17"/>
  <c r="P160" i="17"/>
  <c r="P151" i="17"/>
  <c r="P137" i="17"/>
  <c r="P132" i="17"/>
  <c r="P129" i="17"/>
  <c r="P186" i="17"/>
  <c r="P177" i="17"/>
  <c r="P168" i="17"/>
  <c r="P159" i="17"/>
  <c r="P150" i="17"/>
  <c r="P146" i="17"/>
  <c r="P143" i="17"/>
  <c r="P190" i="17"/>
  <c r="P181" i="17"/>
  <c r="P172" i="17"/>
  <c r="P163" i="17"/>
  <c r="P154" i="17"/>
  <c r="P133" i="17"/>
  <c r="P130" i="17"/>
  <c r="P141" i="17"/>
  <c r="P131" i="17"/>
  <c r="P90" i="17"/>
  <c r="P184" i="17"/>
  <c r="P182" i="17"/>
  <c r="P176" i="17"/>
  <c r="P167" i="17"/>
  <c r="P158" i="17"/>
  <c r="P149" i="17"/>
  <c r="P148" i="17"/>
  <c r="P145" i="17"/>
  <c r="P121" i="17"/>
  <c r="P112" i="17"/>
  <c r="P103" i="17"/>
  <c r="P67" i="17"/>
  <c r="P64" i="17"/>
  <c r="P61" i="17"/>
  <c r="P58" i="17"/>
  <c r="P55" i="17"/>
  <c r="P52" i="17"/>
  <c r="P49" i="17"/>
  <c r="P46" i="17"/>
  <c r="P43" i="17"/>
  <c r="P40" i="17"/>
  <c r="P37" i="17"/>
  <c r="P34" i="17"/>
  <c r="P31" i="17"/>
  <c r="P28" i="17"/>
  <c r="P25" i="17"/>
  <c r="P22" i="17"/>
  <c r="P19" i="17"/>
  <c r="P16" i="17"/>
  <c r="P13" i="17"/>
  <c r="P10" i="17"/>
  <c r="P7" i="17"/>
  <c r="P4" i="17"/>
  <c r="P188" i="17"/>
  <c r="P173" i="17"/>
  <c r="P170" i="17"/>
  <c r="P164" i="17"/>
  <c r="P161" i="17"/>
  <c r="P155" i="17"/>
  <c r="P152" i="17"/>
  <c r="P125" i="17"/>
  <c r="P116" i="17"/>
  <c r="P107" i="17"/>
  <c r="P98" i="17"/>
  <c r="P94" i="17"/>
  <c r="P88" i="17"/>
  <c r="P85" i="17"/>
  <c r="P82" i="17"/>
  <c r="P79" i="17"/>
  <c r="P76" i="17"/>
  <c r="P73" i="17"/>
  <c r="P70" i="17"/>
  <c r="Q1" i="17"/>
  <c r="P192" i="17"/>
  <c r="P120" i="17"/>
  <c r="P111" i="17"/>
  <c r="P102" i="17"/>
  <c r="P124" i="17"/>
  <c r="P115" i="17"/>
  <c r="P106" i="17"/>
  <c r="P97" i="17"/>
  <c r="P68" i="17"/>
  <c r="P65" i="17"/>
  <c r="P62" i="17"/>
  <c r="P59" i="17"/>
  <c r="P56" i="17"/>
  <c r="P53" i="17"/>
  <c r="P50" i="17"/>
  <c r="P47" i="17"/>
  <c r="P44" i="17"/>
  <c r="P41" i="17"/>
  <c r="P38" i="17"/>
  <c r="P35" i="17"/>
  <c r="P32" i="17"/>
  <c r="P29" i="17"/>
  <c r="P26" i="17"/>
  <c r="P23" i="17"/>
  <c r="P20" i="17"/>
  <c r="P17" i="17"/>
  <c r="P14" i="17"/>
  <c r="P11" i="17"/>
  <c r="P8" i="17"/>
  <c r="P5" i="17"/>
  <c r="P174" i="17"/>
  <c r="P165" i="17"/>
  <c r="P156" i="17"/>
  <c r="P93" i="17"/>
  <c r="P189" i="17"/>
  <c r="P183" i="17"/>
  <c r="P134" i="17"/>
  <c r="P123" i="17"/>
  <c r="P114" i="17"/>
  <c r="P105" i="17"/>
  <c r="P96" i="17"/>
  <c r="P191" i="17"/>
  <c r="P136" i="17"/>
  <c r="P135" i="17"/>
  <c r="P127" i="17"/>
  <c r="P118" i="17"/>
  <c r="P109" i="17"/>
  <c r="P100" i="17"/>
  <c r="P66" i="17"/>
  <c r="P63" i="17"/>
  <c r="P60" i="17"/>
  <c r="P57" i="17"/>
  <c r="P54" i="17"/>
  <c r="P51" i="17"/>
  <c r="P48" i="17"/>
  <c r="P45" i="17"/>
  <c r="P42" i="17"/>
  <c r="P39" i="17"/>
  <c r="P36" i="17"/>
  <c r="P33" i="17"/>
  <c r="P30" i="17"/>
  <c r="P27" i="17"/>
  <c r="P24" i="17"/>
  <c r="P21" i="17"/>
  <c r="P18" i="17"/>
  <c r="P15" i="17"/>
  <c r="P12" i="17"/>
  <c r="P9" i="17"/>
  <c r="P6" i="17"/>
  <c r="P3" i="17"/>
  <c r="P126" i="17"/>
  <c r="P117" i="17"/>
  <c r="P108" i="17"/>
  <c r="P99" i="17"/>
  <c r="P92" i="17"/>
  <c r="P171" i="17"/>
  <c r="P166" i="17"/>
  <c r="P122" i="17"/>
  <c r="P113" i="17"/>
  <c r="P104" i="17"/>
  <c r="P95" i="17"/>
  <c r="P87" i="17"/>
  <c r="P84" i="17"/>
  <c r="P81" i="17"/>
  <c r="P78" i="17"/>
  <c r="P75" i="17"/>
  <c r="P72" i="17"/>
  <c r="P69" i="17"/>
  <c r="P147" i="17"/>
  <c r="P139" i="17"/>
  <c r="P175" i="17"/>
  <c r="P180" i="17"/>
  <c r="P185" i="17"/>
  <c r="P153" i="17"/>
  <c r="P91" i="17"/>
  <c r="P138" i="17"/>
  <c r="P144" i="17"/>
  <c r="P142" i="17"/>
  <c r="P140" i="17"/>
  <c r="P179" i="17"/>
  <c r="P162" i="17"/>
  <c r="P128" i="17"/>
  <c r="P119" i="17"/>
  <c r="P110" i="17"/>
  <c r="P101" i="17"/>
  <c r="P89" i="17"/>
  <c r="P86" i="17"/>
  <c r="P83" i="17"/>
  <c r="P80" i="17"/>
  <c r="P77" i="17"/>
  <c r="P74" i="17"/>
  <c r="P71" i="17"/>
  <c r="P157" i="17"/>
  <c r="M133" i="21"/>
  <c r="M128" i="21"/>
  <c r="M125" i="21"/>
  <c r="M136" i="21"/>
  <c r="M131" i="21"/>
  <c r="M187" i="21"/>
  <c r="M184" i="21"/>
  <c r="M181" i="21"/>
  <c r="M178" i="21"/>
  <c r="M175" i="21"/>
  <c r="M172" i="21"/>
  <c r="M169" i="21"/>
  <c r="M166" i="21"/>
  <c r="M163" i="21"/>
  <c r="M160" i="21"/>
  <c r="M157" i="21"/>
  <c r="M154" i="21"/>
  <c r="M151" i="21"/>
  <c r="M148" i="21"/>
  <c r="M145" i="21"/>
  <c r="M142" i="21"/>
  <c r="M139" i="21"/>
  <c r="M123" i="21"/>
  <c r="M120" i="21"/>
  <c r="M117" i="21"/>
  <c r="M114" i="21"/>
  <c r="M188" i="21"/>
  <c r="M185" i="21"/>
  <c r="M182" i="21"/>
  <c r="M179" i="21"/>
  <c r="M176" i="21"/>
  <c r="M173" i="21"/>
  <c r="M170" i="21"/>
  <c r="M167" i="21"/>
  <c r="M164" i="21"/>
  <c r="M161" i="21"/>
  <c r="M158" i="21"/>
  <c r="M155" i="21"/>
  <c r="M152" i="21"/>
  <c r="M149" i="21"/>
  <c r="M146" i="21"/>
  <c r="M143" i="21"/>
  <c r="M140" i="21"/>
  <c r="M132" i="21"/>
  <c r="M124" i="21"/>
  <c r="M121" i="21"/>
  <c r="M118" i="21"/>
  <c r="M115" i="21"/>
  <c r="M112" i="21"/>
  <c r="M127" i="21"/>
  <c r="M111" i="21"/>
  <c r="M108" i="21"/>
  <c r="M105" i="21"/>
  <c r="M102" i="21"/>
  <c r="M99" i="21"/>
  <c r="M96" i="21"/>
  <c r="M93" i="21"/>
  <c r="M90" i="21"/>
  <c r="M87" i="21"/>
  <c r="M84" i="21"/>
  <c r="M81" i="21"/>
  <c r="M78" i="21"/>
  <c r="M75" i="21"/>
  <c r="M72" i="21"/>
  <c r="M69" i="21"/>
  <c r="M66" i="21"/>
  <c r="M63" i="21"/>
  <c r="M60" i="21"/>
  <c r="M57" i="21"/>
  <c r="M54" i="21"/>
  <c r="M171" i="21"/>
  <c r="M168" i="21"/>
  <c r="M138" i="21"/>
  <c r="M135" i="21"/>
  <c r="M183" i="21"/>
  <c r="M174" i="21"/>
  <c r="M165" i="21"/>
  <c r="M156" i="21"/>
  <c r="M153" i="21"/>
  <c r="M144" i="21"/>
  <c r="M122" i="21"/>
  <c r="M119" i="21"/>
  <c r="M116" i="21"/>
  <c r="M113" i="21"/>
  <c r="M109" i="21"/>
  <c r="M106" i="21"/>
  <c r="M103" i="21"/>
  <c r="M100" i="21"/>
  <c r="M97" i="21"/>
  <c r="M94" i="21"/>
  <c r="M91" i="21"/>
  <c r="M88" i="21"/>
  <c r="M85" i="21"/>
  <c r="M82" i="21"/>
  <c r="M79" i="21"/>
  <c r="M76" i="21"/>
  <c r="M73" i="21"/>
  <c r="M70" i="21"/>
  <c r="M67" i="21"/>
  <c r="M64" i="21"/>
  <c r="M61" i="21"/>
  <c r="M58" i="21"/>
  <c r="M55" i="21"/>
  <c r="M52" i="21"/>
  <c r="M49" i="21"/>
  <c r="M46" i="21"/>
  <c r="M43" i="21"/>
  <c r="M40" i="21"/>
  <c r="M37" i="21"/>
  <c r="M34" i="21"/>
  <c r="M31" i="21"/>
  <c r="M28" i="21"/>
  <c r="M25" i="21"/>
  <c r="M22" i="21"/>
  <c r="M19" i="21"/>
  <c r="M137" i="21"/>
  <c r="M110" i="21"/>
  <c r="M107" i="21"/>
  <c r="M104" i="21"/>
  <c r="M101" i="21"/>
  <c r="M98" i="21"/>
  <c r="M95" i="21"/>
  <c r="M92" i="21"/>
  <c r="M89" i="21"/>
  <c r="M86" i="21"/>
  <c r="M83" i="21"/>
  <c r="M80" i="21"/>
  <c r="M77" i="21"/>
  <c r="M74" i="21"/>
  <c r="M71" i="21"/>
  <c r="M68" i="21"/>
  <c r="M65" i="21"/>
  <c r="M62" i="21"/>
  <c r="M59" i="21"/>
  <c r="M56" i="21"/>
  <c r="M53" i="21"/>
  <c r="M50" i="21"/>
  <c r="M14" i="21"/>
  <c r="M11" i="21"/>
  <c r="M8" i="21"/>
  <c r="M5" i="21"/>
  <c r="M186" i="21"/>
  <c r="M177" i="21"/>
  <c r="M162" i="21"/>
  <c r="M47" i="21"/>
  <c r="M42" i="21"/>
  <c r="M38" i="21"/>
  <c r="M33" i="21"/>
  <c r="M29" i="21"/>
  <c r="M24" i="21"/>
  <c r="M20" i="21"/>
  <c r="M180" i="21"/>
  <c r="M159" i="21"/>
  <c r="M15" i="21"/>
  <c r="M12" i="21"/>
  <c r="M9" i="21"/>
  <c r="M6" i="21"/>
  <c r="M3" i="21"/>
  <c r="M129" i="21"/>
  <c r="M126" i="21"/>
  <c r="M48" i="21"/>
  <c r="M147" i="21"/>
  <c r="M16" i="21"/>
  <c r="M13" i="21"/>
  <c r="M10" i="21"/>
  <c r="M7" i="21"/>
  <c r="M4" i="21"/>
  <c r="M45" i="21"/>
  <c r="M41" i="21"/>
  <c r="M36" i="21"/>
  <c r="M32" i="21"/>
  <c r="M27" i="21"/>
  <c r="M23" i="21"/>
  <c r="M18" i="21"/>
  <c r="M150" i="21"/>
  <c r="M141" i="21"/>
  <c r="M130" i="21"/>
  <c r="M51" i="21"/>
  <c r="N1" i="21"/>
  <c r="M134" i="21"/>
  <c r="M35" i="21"/>
  <c r="M30" i="21"/>
  <c r="M26" i="21"/>
  <c r="M21" i="21"/>
  <c r="M44" i="21"/>
  <c r="M17" i="21"/>
  <c r="M39" i="21"/>
  <c r="M141" i="18"/>
  <c r="M192" i="18"/>
  <c r="M189" i="18"/>
  <c r="M186" i="18"/>
  <c r="M183" i="18"/>
  <c r="M180" i="18"/>
  <c r="M177" i="18"/>
  <c r="M174" i="18"/>
  <c r="M171" i="18"/>
  <c r="M168" i="18"/>
  <c r="M165" i="18"/>
  <c r="M162" i="18"/>
  <c r="M159" i="18"/>
  <c r="M156" i="18"/>
  <c r="M153" i="18"/>
  <c r="M150" i="18"/>
  <c r="M190" i="18"/>
  <c r="M187" i="18"/>
  <c r="M184" i="18"/>
  <c r="M181" i="18"/>
  <c r="M178" i="18"/>
  <c r="M175" i="18"/>
  <c r="M172" i="18"/>
  <c r="M169" i="18"/>
  <c r="M166" i="18"/>
  <c r="M163" i="18"/>
  <c r="M160" i="18"/>
  <c r="M157" i="18"/>
  <c r="M154" i="18"/>
  <c r="M151" i="18"/>
  <c r="M148" i="18"/>
  <c r="M145" i="18"/>
  <c r="M191" i="18"/>
  <c r="M182" i="18"/>
  <c r="M173" i="18"/>
  <c r="M164" i="18"/>
  <c r="M155" i="18"/>
  <c r="M188" i="18"/>
  <c r="M179" i="18"/>
  <c r="M176" i="18"/>
  <c r="M158" i="18"/>
  <c r="M139" i="18"/>
  <c r="M138" i="18"/>
  <c r="M126" i="18"/>
  <c r="M123" i="18"/>
  <c r="M120" i="18"/>
  <c r="M117" i="18"/>
  <c r="M114" i="18"/>
  <c r="M111" i="18"/>
  <c r="M108" i="18"/>
  <c r="M105" i="18"/>
  <c r="M102" i="18"/>
  <c r="M99" i="18"/>
  <c r="M96" i="18"/>
  <c r="M93" i="18"/>
  <c r="M90" i="18"/>
  <c r="M87" i="18"/>
  <c r="M84" i="18"/>
  <c r="M81" i="18"/>
  <c r="M78" i="18"/>
  <c r="M75" i="18"/>
  <c r="M72" i="18"/>
  <c r="M69" i="18"/>
  <c r="M127" i="18"/>
  <c r="M124" i="18"/>
  <c r="M121" i="18"/>
  <c r="M118" i="18"/>
  <c r="M115" i="18"/>
  <c r="M112" i="18"/>
  <c r="M109" i="18"/>
  <c r="M106" i="18"/>
  <c r="M103" i="18"/>
  <c r="M100" i="18"/>
  <c r="M97" i="18"/>
  <c r="M94" i="18"/>
  <c r="M91" i="18"/>
  <c r="M88" i="18"/>
  <c r="M85" i="18"/>
  <c r="M82" i="18"/>
  <c r="M79" i="18"/>
  <c r="M76" i="18"/>
  <c r="M73" i="18"/>
  <c r="M70" i="18"/>
  <c r="M128" i="18"/>
  <c r="M119" i="18"/>
  <c r="M110" i="18"/>
  <c r="M101" i="18"/>
  <c r="M92" i="18"/>
  <c r="M83" i="18"/>
  <c r="M74" i="18"/>
  <c r="M185" i="18"/>
  <c r="M152" i="18"/>
  <c r="M140" i="18"/>
  <c r="M137" i="18"/>
  <c r="M60" i="18"/>
  <c r="M51" i="18"/>
  <c r="M42" i="18"/>
  <c r="M33" i="18"/>
  <c r="M147" i="18"/>
  <c r="M132" i="18"/>
  <c r="M64" i="18"/>
  <c r="M55" i="18"/>
  <c r="M46" i="18"/>
  <c r="M37" i="18"/>
  <c r="M28" i="18"/>
  <c r="M19" i="18"/>
  <c r="M10" i="18"/>
  <c r="M170" i="18"/>
  <c r="M149" i="18"/>
  <c r="M68" i="18"/>
  <c r="M59" i="18"/>
  <c r="M50" i="18"/>
  <c r="M41" i="18"/>
  <c r="M32" i="18"/>
  <c r="M23" i="18"/>
  <c r="M14" i="18"/>
  <c r="M5" i="18"/>
  <c r="M143" i="18"/>
  <c r="M122" i="18"/>
  <c r="M113" i="18"/>
  <c r="M104" i="18"/>
  <c r="M95" i="18"/>
  <c r="M86" i="18"/>
  <c r="M77" i="18"/>
  <c r="M161" i="18"/>
  <c r="M131" i="18"/>
  <c r="M133" i="18"/>
  <c r="M66" i="18"/>
  <c r="M56" i="18"/>
  <c r="M39" i="18"/>
  <c r="M25" i="18"/>
  <c r="M4" i="18"/>
  <c r="M167" i="18"/>
  <c r="M52" i="18"/>
  <c r="M6" i="18"/>
  <c r="M142" i="18"/>
  <c r="M125" i="18"/>
  <c r="M58" i="18"/>
  <c r="M31" i="18"/>
  <c r="M18" i="18"/>
  <c r="M12" i="18"/>
  <c r="M136" i="18"/>
  <c r="M65" i="18"/>
  <c r="M48" i="18"/>
  <c r="M38" i="18"/>
  <c r="M22" i="18"/>
  <c r="M16" i="18"/>
  <c r="M54" i="18"/>
  <c r="M44" i="18"/>
  <c r="M26" i="18"/>
  <c r="M20" i="18"/>
  <c r="M71" i="18"/>
  <c r="M61" i="18"/>
  <c r="M34" i="18"/>
  <c r="M24" i="18"/>
  <c r="M130" i="18"/>
  <c r="M116" i="18"/>
  <c r="M146" i="18"/>
  <c r="M129" i="18"/>
  <c r="M57" i="18"/>
  <c r="M47" i="18"/>
  <c r="M30" i="18"/>
  <c r="M13" i="18"/>
  <c r="M7" i="18"/>
  <c r="M63" i="18"/>
  <c r="M53" i="18"/>
  <c r="M36" i="18"/>
  <c r="M17" i="18"/>
  <c r="M11" i="18"/>
  <c r="M98" i="18"/>
  <c r="M89" i="18"/>
  <c r="M80" i="18"/>
  <c r="M43" i="18"/>
  <c r="M15" i="18"/>
  <c r="M40" i="18"/>
  <c r="M9" i="18"/>
  <c r="M49" i="18"/>
  <c r="M67" i="18"/>
  <c r="M3" i="18"/>
  <c r="M27" i="18"/>
  <c r="M45" i="18"/>
  <c r="M8" i="18"/>
  <c r="M144" i="18"/>
  <c r="M135" i="18"/>
  <c r="M21" i="18"/>
  <c r="N1" i="18"/>
  <c r="M35" i="18"/>
  <c r="M29" i="18"/>
  <c r="M134" i="18"/>
  <c r="M107" i="18"/>
  <c r="M62" i="18"/>
  <c r="M127" i="23"/>
  <c r="M135" i="23"/>
  <c r="M132" i="23"/>
  <c r="M183" i="23"/>
  <c r="M180" i="23"/>
  <c r="M177" i="23"/>
  <c r="M174" i="23"/>
  <c r="M171" i="23"/>
  <c r="M168" i="23"/>
  <c r="M165" i="23"/>
  <c r="M162" i="23"/>
  <c r="M159" i="23"/>
  <c r="M156" i="23"/>
  <c r="M153" i="23"/>
  <c r="M150" i="23"/>
  <c r="M147" i="23"/>
  <c r="M144" i="23"/>
  <c r="M141" i="23"/>
  <c r="M138" i="23"/>
  <c r="M119" i="23"/>
  <c r="M130" i="23"/>
  <c r="M125" i="23"/>
  <c r="M122" i="23"/>
  <c r="M133" i="23"/>
  <c r="M128" i="23"/>
  <c r="M184" i="23"/>
  <c r="M181" i="23"/>
  <c r="M178" i="23"/>
  <c r="M175" i="23"/>
  <c r="M172" i="23"/>
  <c r="M169" i="23"/>
  <c r="M166" i="23"/>
  <c r="M163" i="23"/>
  <c r="M160" i="23"/>
  <c r="M157" i="23"/>
  <c r="M154" i="23"/>
  <c r="M151" i="23"/>
  <c r="M148" i="23"/>
  <c r="M145" i="23"/>
  <c r="M142" i="23"/>
  <c r="M139" i="23"/>
  <c r="M136" i="23"/>
  <c r="M120" i="23"/>
  <c r="M134" i="23"/>
  <c r="M131" i="23"/>
  <c r="M161" i="23"/>
  <c r="M164" i="23"/>
  <c r="M137" i="23"/>
  <c r="M126" i="23"/>
  <c r="M117" i="23"/>
  <c r="M112" i="23"/>
  <c r="M108" i="23"/>
  <c r="M103" i="23"/>
  <c r="M99" i="23"/>
  <c r="M182" i="23"/>
  <c r="M155" i="23"/>
  <c r="M123" i="23"/>
  <c r="M185" i="23"/>
  <c r="M158" i="23"/>
  <c r="M118" i="23"/>
  <c r="M114" i="23"/>
  <c r="M109" i="23"/>
  <c r="M105" i="23"/>
  <c r="M124" i="23"/>
  <c r="M116" i="23"/>
  <c r="M101" i="23"/>
  <c r="M167" i="23"/>
  <c r="M115" i="23"/>
  <c r="M113" i="23"/>
  <c r="M96" i="23"/>
  <c r="M85" i="23"/>
  <c r="M82" i="23"/>
  <c r="M79" i="23"/>
  <c r="M76" i="23"/>
  <c r="M73" i="23"/>
  <c r="M70" i="23"/>
  <c r="M67" i="23"/>
  <c r="M170" i="23"/>
  <c r="M111" i="23"/>
  <c r="M110" i="23"/>
  <c r="M89" i="23"/>
  <c r="M173" i="23"/>
  <c r="M129" i="23"/>
  <c r="M84" i="23"/>
  <c r="M176" i="23"/>
  <c r="M107" i="23"/>
  <c r="M149" i="23"/>
  <c r="M146" i="23"/>
  <c r="M121" i="23"/>
  <c r="M106" i="23"/>
  <c r="M104" i="23"/>
  <c r="M88" i="23"/>
  <c r="M80" i="23"/>
  <c r="M77" i="23"/>
  <c r="M74" i="23"/>
  <c r="M71" i="23"/>
  <c r="M68" i="23"/>
  <c r="M140" i="23"/>
  <c r="M102" i="23"/>
  <c r="M97" i="23"/>
  <c r="M87" i="23"/>
  <c r="M100" i="23"/>
  <c r="M94" i="23"/>
  <c r="M93" i="23"/>
  <c r="M95" i="23"/>
  <c r="M92" i="23"/>
  <c r="M81" i="23"/>
  <c r="M78" i="23"/>
  <c r="M75" i="23"/>
  <c r="M72" i="23"/>
  <c r="M69" i="23"/>
  <c r="M66" i="23"/>
  <c r="M63" i="23"/>
  <c r="M60" i="23"/>
  <c r="M57" i="23"/>
  <c r="M54" i="23"/>
  <c r="M51" i="23"/>
  <c r="M91" i="23"/>
  <c r="M86" i="23"/>
  <c r="M143" i="23"/>
  <c r="M62" i="23"/>
  <c r="M48" i="23"/>
  <c r="N1" i="23"/>
  <c r="M179" i="23"/>
  <c r="M47" i="23"/>
  <c r="M44" i="23"/>
  <c r="M41" i="23"/>
  <c r="M38" i="23"/>
  <c r="M35" i="23"/>
  <c r="M32" i="23"/>
  <c r="M29" i="23"/>
  <c r="M26" i="23"/>
  <c r="M23" i="23"/>
  <c r="M20" i="23"/>
  <c r="M17" i="23"/>
  <c r="M14" i="23"/>
  <c r="M11" i="23"/>
  <c r="M8" i="23"/>
  <c r="M5" i="23"/>
  <c r="M64" i="23"/>
  <c r="M55" i="23"/>
  <c r="M56" i="23"/>
  <c r="M53" i="23"/>
  <c r="M98" i="23"/>
  <c r="M52" i="23"/>
  <c r="M152" i="23"/>
  <c r="M83" i="23"/>
  <c r="M65" i="23"/>
  <c r="M45" i="23"/>
  <c r="M42" i="23"/>
  <c r="M39" i="23"/>
  <c r="M36" i="23"/>
  <c r="M33" i="23"/>
  <c r="M30" i="23"/>
  <c r="M27" i="23"/>
  <c r="M24" i="23"/>
  <c r="M21" i="23"/>
  <c r="M18" i="23"/>
  <c r="M15" i="23"/>
  <c r="M12" i="23"/>
  <c r="M9" i="23"/>
  <c r="M6" i="23"/>
  <c r="M3" i="23"/>
  <c r="M58" i="23"/>
  <c r="M49" i="23"/>
  <c r="M46" i="23"/>
  <c r="M43" i="23"/>
  <c r="M40" i="23"/>
  <c r="M37" i="23"/>
  <c r="M34" i="23"/>
  <c r="M31" i="23"/>
  <c r="M28" i="23"/>
  <c r="M25" i="23"/>
  <c r="M22" i="23"/>
  <c r="M19" i="23"/>
  <c r="M16" i="23"/>
  <c r="M13" i="23"/>
  <c r="M10" i="23"/>
  <c r="M7" i="23"/>
  <c r="M4" i="23"/>
  <c r="M90" i="23"/>
  <c r="M50" i="23"/>
  <c r="M61" i="23"/>
  <c r="M59" i="23"/>
  <c r="M174" i="27"/>
  <c r="M171" i="27"/>
  <c r="M168" i="27"/>
  <c r="M165" i="27"/>
  <c r="M162" i="27"/>
  <c r="M159" i="27"/>
  <c r="M156" i="27"/>
  <c r="M153" i="27"/>
  <c r="M150" i="27"/>
  <c r="M147" i="27"/>
  <c r="M175" i="27"/>
  <c r="M172" i="27"/>
  <c r="M169" i="27"/>
  <c r="M166" i="27"/>
  <c r="M163" i="27"/>
  <c r="M160" i="27"/>
  <c r="M157" i="27"/>
  <c r="M154" i="27"/>
  <c r="M151" i="27"/>
  <c r="M148" i="27"/>
  <c r="M145" i="27"/>
  <c r="M176" i="27"/>
  <c r="M173" i="27"/>
  <c r="M170" i="27"/>
  <c r="M167" i="27"/>
  <c r="M164" i="27"/>
  <c r="M161" i="27"/>
  <c r="M158" i="27"/>
  <c r="M155" i="27"/>
  <c r="M152" i="27"/>
  <c r="M149" i="27"/>
  <c r="M146" i="27"/>
  <c r="M143" i="27"/>
  <c r="M140" i="27"/>
  <c r="M137" i="27"/>
  <c r="M134" i="27"/>
  <c r="M131" i="27"/>
  <c r="M128" i="27"/>
  <c r="M124" i="27"/>
  <c r="M115" i="27"/>
  <c r="M111" i="27"/>
  <c r="M144" i="27"/>
  <c r="M141" i="27"/>
  <c r="M138" i="27"/>
  <c r="M135" i="27"/>
  <c r="M132" i="27"/>
  <c r="M129" i="27"/>
  <c r="M125" i="27"/>
  <c r="M116" i="27"/>
  <c r="M113" i="27"/>
  <c r="M109" i="27"/>
  <c r="M106" i="27"/>
  <c r="M103" i="27"/>
  <c r="M100" i="27"/>
  <c r="M97" i="27"/>
  <c r="M94" i="27"/>
  <c r="M91" i="27"/>
  <c r="M88" i="27"/>
  <c r="M142" i="27"/>
  <c r="M139" i="27"/>
  <c r="M136" i="27"/>
  <c r="M133" i="27"/>
  <c r="M130" i="27"/>
  <c r="M127" i="27"/>
  <c r="M123" i="27"/>
  <c r="M114" i="27"/>
  <c r="M110" i="27"/>
  <c r="M107" i="27"/>
  <c r="M104" i="27"/>
  <c r="M101" i="27"/>
  <c r="M98" i="27"/>
  <c r="M95" i="27"/>
  <c r="M92" i="27"/>
  <c r="M89" i="27"/>
  <c r="M85" i="27"/>
  <c r="M82" i="27"/>
  <c r="M79" i="27"/>
  <c r="M76" i="27"/>
  <c r="M73" i="27"/>
  <c r="M70" i="27"/>
  <c r="M67" i="27"/>
  <c r="M64" i="27"/>
  <c r="M87" i="27"/>
  <c r="M86" i="27"/>
  <c r="M83" i="27"/>
  <c r="M80" i="27"/>
  <c r="M77" i="27"/>
  <c r="M74" i="27"/>
  <c r="M71" i="27"/>
  <c r="M68" i="27"/>
  <c r="M65" i="27"/>
  <c r="M108" i="27"/>
  <c r="M105" i="27"/>
  <c r="M102" i="27"/>
  <c r="M99" i="27"/>
  <c r="M96" i="27"/>
  <c r="M93" i="27"/>
  <c r="M90" i="27"/>
  <c r="M84" i="27"/>
  <c r="M81" i="27"/>
  <c r="M78" i="27"/>
  <c r="M75" i="27"/>
  <c r="M72" i="27"/>
  <c r="M69" i="27"/>
  <c r="M66" i="27"/>
  <c r="M62" i="27"/>
  <c r="M59" i="27"/>
  <c r="M56" i="27"/>
  <c r="M53" i="27"/>
  <c r="M50" i="27"/>
  <c r="M47" i="27"/>
  <c r="M44" i="27"/>
  <c r="M41" i="27"/>
  <c r="M38" i="27"/>
  <c r="M63" i="27"/>
  <c r="M60" i="27"/>
  <c r="M57" i="27"/>
  <c r="M54" i="27"/>
  <c r="M51" i="27"/>
  <c r="M48" i="27"/>
  <c r="M45" i="27"/>
  <c r="M42" i="27"/>
  <c r="M39" i="27"/>
  <c r="M61" i="27"/>
  <c r="M58" i="27"/>
  <c r="M55" i="27"/>
  <c r="M52" i="27"/>
  <c r="M49" i="27"/>
  <c r="M46" i="27"/>
  <c r="M43" i="27"/>
  <c r="M40" i="27"/>
  <c r="M36" i="27"/>
  <c r="M33" i="27"/>
  <c r="M30" i="27"/>
  <c r="M27" i="27"/>
  <c r="M24" i="27"/>
  <c r="M21" i="27"/>
  <c r="M18" i="27"/>
  <c r="M15" i="27"/>
  <c r="M12" i="27"/>
  <c r="M37" i="27"/>
  <c r="M34" i="27"/>
  <c r="M31" i="27"/>
  <c r="M28" i="27"/>
  <c r="M25" i="27"/>
  <c r="M22" i="27"/>
  <c r="M19" i="27"/>
  <c r="M16" i="27"/>
  <c r="M13" i="27"/>
  <c r="M10" i="27"/>
  <c r="M35" i="27"/>
  <c r="M32" i="27"/>
  <c r="M29" i="27"/>
  <c r="M26" i="27"/>
  <c r="M23" i="27"/>
  <c r="M20" i="27"/>
  <c r="M17" i="27"/>
  <c r="M14" i="27"/>
  <c r="M11" i="27"/>
  <c r="M9" i="27"/>
  <c r="M6" i="27"/>
  <c r="M3" i="27"/>
  <c r="N1" i="27"/>
  <c r="M4" i="27"/>
  <c r="M8" i="27"/>
  <c r="M5" i="27"/>
  <c r="M7" i="27"/>
  <c r="N177" i="25"/>
  <c r="N178" i="25"/>
  <c r="N179" i="25"/>
  <c r="N175" i="25"/>
  <c r="N172" i="25"/>
  <c r="N169" i="25"/>
  <c r="N166" i="25"/>
  <c r="N163" i="25"/>
  <c r="N160" i="25"/>
  <c r="N157" i="25"/>
  <c r="N154" i="25"/>
  <c r="N151" i="25"/>
  <c r="N148" i="25"/>
  <c r="N145" i="25"/>
  <c r="N142" i="25"/>
  <c r="N139" i="25"/>
  <c r="N136" i="25"/>
  <c r="N174" i="25"/>
  <c r="N171" i="25"/>
  <c r="N168" i="25"/>
  <c r="N165" i="25"/>
  <c r="N162" i="25"/>
  <c r="N159" i="25"/>
  <c r="N156" i="25"/>
  <c r="N153" i="25"/>
  <c r="N150" i="25"/>
  <c r="N147" i="25"/>
  <c r="N144" i="25"/>
  <c r="N141" i="25"/>
  <c r="N138" i="25"/>
  <c r="N135" i="25"/>
  <c r="N176" i="25"/>
  <c r="N167" i="25"/>
  <c r="N158" i="25"/>
  <c r="N149" i="25"/>
  <c r="N140" i="25"/>
  <c r="N133" i="25"/>
  <c r="N130" i="25"/>
  <c r="N114" i="25"/>
  <c r="N111" i="25"/>
  <c r="N108" i="25"/>
  <c r="N105" i="25"/>
  <c r="N102" i="25"/>
  <c r="N99" i="25"/>
  <c r="N173" i="25"/>
  <c r="N164" i="25"/>
  <c r="N155" i="25"/>
  <c r="N146" i="25"/>
  <c r="N137" i="25"/>
  <c r="N125" i="25"/>
  <c r="N132" i="25"/>
  <c r="N113" i="25"/>
  <c r="N110" i="25"/>
  <c r="N107" i="25"/>
  <c r="N104" i="25"/>
  <c r="N127" i="25"/>
  <c r="N121" i="25"/>
  <c r="N95" i="25"/>
  <c r="N92" i="25"/>
  <c r="N89" i="25"/>
  <c r="N86" i="25"/>
  <c r="N83" i="25"/>
  <c r="N80" i="25"/>
  <c r="N77" i="25"/>
  <c r="N74" i="25"/>
  <c r="N71" i="25"/>
  <c r="N152" i="25"/>
  <c r="N123" i="25"/>
  <c r="N122" i="25"/>
  <c r="N101" i="25"/>
  <c r="N128" i="25"/>
  <c r="N96" i="25"/>
  <c r="N93" i="25"/>
  <c r="N90" i="25"/>
  <c r="N87" i="25"/>
  <c r="N84" i="25"/>
  <c r="N81" i="25"/>
  <c r="N78" i="25"/>
  <c r="N75" i="25"/>
  <c r="N72" i="25"/>
  <c r="N170" i="25"/>
  <c r="N143" i="25"/>
  <c r="N134" i="25"/>
  <c r="N112" i="25"/>
  <c r="N88" i="25"/>
  <c r="N79" i="25"/>
  <c r="N126" i="25"/>
  <c r="N69" i="25"/>
  <c r="N66" i="25"/>
  <c r="N63" i="25"/>
  <c r="N60" i="25"/>
  <c r="N57" i="25"/>
  <c r="N54" i="25"/>
  <c r="N51" i="25"/>
  <c r="N48" i="25"/>
  <c r="N97" i="25"/>
  <c r="N129" i="25"/>
  <c r="N94" i="25"/>
  <c r="N85" i="25"/>
  <c r="N76" i="25"/>
  <c r="N131" i="25"/>
  <c r="N120" i="25"/>
  <c r="N119" i="25"/>
  <c r="N118" i="25"/>
  <c r="N117" i="25"/>
  <c r="N116" i="25"/>
  <c r="N91" i="25"/>
  <c r="N82" i="25"/>
  <c r="N70" i="25"/>
  <c r="N67" i="25"/>
  <c r="N64" i="25"/>
  <c r="N61" i="25"/>
  <c r="N58" i="25"/>
  <c r="N55" i="25"/>
  <c r="N52" i="25"/>
  <c r="N49" i="25"/>
  <c r="N40" i="25"/>
  <c r="N37" i="25"/>
  <c r="N34" i="25"/>
  <c r="N31" i="25"/>
  <c r="N28" i="25"/>
  <c r="N25" i="25"/>
  <c r="N22" i="25"/>
  <c r="N19" i="25"/>
  <c r="N16" i="25"/>
  <c r="N13" i="25"/>
  <c r="N10" i="25"/>
  <c r="N46" i="25"/>
  <c r="N103" i="25"/>
  <c r="N115" i="25"/>
  <c r="N41" i="25"/>
  <c r="N38" i="25"/>
  <c r="N35" i="25"/>
  <c r="N32" i="25"/>
  <c r="N29" i="25"/>
  <c r="N26" i="25"/>
  <c r="N23" i="25"/>
  <c r="N20" i="25"/>
  <c r="N17" i="25"/>
  <c r="N14" i="25"/>
  <c r="N11" i="25"/>
  <c r="N124" i="25"/>
  <c r="N73" i="25"/>
  <c r="N161" i="25"/>
  <c r="N109" i="25"/>
  <c r="N45" i="25"/>
  <c r="N42" i="25"/>
  <c r="N43" i="25"/>
  <c r="N5" i="25"/>
  <c r="N100" i="25"/>
  <c r="N8" i="25"/>
  <c r="N98" i="25"/>
  <c r="N68" i="25"/>
  <c r="N65" i="25"/>
  <c r="N62" i="25"/>
  <c r="N59" i="25"/>
  <c r="N56" i="25"/>
  <c r="N53" i="25"/>
  <c r="N50" i="25"/>
  <c r="N47" i="25"/>
  <c r="N6" i="25"/>
  <c r="N3" i="25"/>
  <c r="N106" i="25"/>
  <c r="N44" i="25"/>
  <c r="N39" i="25"/>
  <c r="N36" i="25"/>
  <c r="N33" i="25"/>
  <c r="N30" i="25"/>
  <c r="N27" i="25"/>
  <c r="N24" i="25"/>
  <c r="N21" i="25"/>
  <c r="N18" i="25"/>
  <c r="N15" i="25"/>
  <c r="N12" i="25"/>
  <c r="N9" i="25"/>
  <c r="N7" i="25"/>
  <c r="N4" i="25"/>
  <c r="O1" i="25"/>
  <c r="M190" i="19"/>
  <c r="M187" i="19"/>
  <c r="M184" i="19"/>
  <c r="M181" i="19"/>
  <c r="M178" i="19"/>
  <c r="M175" i="19"/>
  <c r="M188" i="19"/>
  <c r="M185" i="19"/>
  <c r="M182" i="19"/>
  <c r="M179" i="19"/>
  <c r="M176" i="19"/>
  <c r="M189" i="19"/>
  <c r="M186" i="19"/>
  <c r="M183" i="19"/>
  <c r="M180" i="19"/>
  <c r="M177" i="19"/>
  <c r="M139" i="19"/>
  <c r="M66" i="19"/>
  <c r="M63" i="19"/>
  <c r="M60" i="19"/>
  <c r="M57" i="19"/>
  <c r="M54" i="19"/>
  <c r="M51" i="19"/>
  <c r="M48" i="19"/>
  <c r="M45" i="19"/>
  <c r="M42" i="19"/>
  <c r="M39" i="19"/>
  <c r="M36" i="19"/>
  <c r="M33" i="19"/>
  <c r="M30" i="19"/>
  <c r="M27" i="19"/>
  <c r="M24" i="19"/>
  <c r="M21" i="19"/>
  <c r="M18" i="19"/>
  <c r="M15" i="19"/>
  <c r="M12" i="19"/>
  <c r="M9" i="19"/>
  <c r="M6" i="19"/>
  <c r="M3" i="19"/>
  <c r="M172" i="19"/>
  <c r="M169" i="19"/>
  <c r="M166" i="19"/>
  <c r="M163" i="19"/>
  <c r="M160" i="19"/>
  <c r="M157" i="19"/>
  <c r="M154" i="19"/>
  <c r="M151" i="19"/>
  <c r="M148" i="19"/>
  <c r="M145" i="19"/>
  <c r="M142" i="19"/>
  <c r="M134" i="19"/>
  <c r="M126" i="19"/>
  <c r="M123" i="19"/>
  <c r="M120" i="19"/>
  <c r="M117" i="19"/>
  <c r="M114" i="19"/>
  <c r="M111" i="19"/>
  <c r="M108" i="19"/>
  <c r="M105" i="19"/>
  <c r="M102" i="19"/>
  <c r="M99" i="19"/>
  <c r="M96" i="19"/>
  <c r="M93" i="19"/>
  <c r="M90" i="19"/>
  <c r="M87" i="19"/>
  <c r="M84" i="19"/>
  <c r="M81" i="19"/>
  <c r="M78" i="19"/>
  <c r="M75" i="19"/>
  <c r="M72" i="19"/>
  <c r="M69" i="19"/>
  <c r="M129" i="19"/>
  <c r="M132" i="19"/>
  <c r="M128" i="19"/>
  <c r="M61" i="19"/>
  <c r="M52" i="19"/>
  <c r="M43" i="19"/>
  <c r="M34" i="19"/>
  <c r="M25" i="19"/>
  <c r="M16" i="19"/>
  <c r="M7" i="19"/>
  <c r="M168" i="19"/>
  <c r="M159" i="19"/>
  <c r="M150" i="19"/>
  <c r="M141" i="19"/>
  <c r="M124" i="19"/>
  <c r="M115" i="19"/>
  <c r="M106" i="19"/>
  <c r="M97" i="19"/>
  <c r="M88" i="19"/>
  <c r="M79" i="19"/>
  <c r="M70" i="19"/>
  <c r="M137" i="19"/>
  <c r="M59" i="19"/>
  <c r="M50" i="19"/>
  <c r="M41" i="19"/>
  <c r="M32" i="19"/>
  <c r="M23" i="19"/>
  <c r="M14" i="19"/>
  <c r="M5" i="19"/>
  <c r="M173" i="19"/>
  <c r="M164" i="19"/>
  <c r="M155" i="19"/>
  <c r="M146" i="19"/>
  <c r="M135" i="19"/>
  <c r="M133" i="19"/>
  <c r="M122" i="19"/>
  <c r="M113" i="19"/>
  <c r="M104" i="19"/>
  <c r="M95" i="19"/>
  <c r="M86" i="19"/>
  <c r="M77" i="19"/>
  <c r="M68" i="19"/>
  <c r="M171" i="19"/>
  <c r="M162" i="19"/>
  <c r="M153" i="19"/>
  <c r="M144" i="19"/>
  <c r="M118" i="19"/>
  <c r="M109" i="19"/>
  <c r="M100" i="19"/>
  <c r="M91" i="19"/>
  <c r="M82" i="19"/>
  <c r="M73" i="19"/>
  <c r="M140" i="19"/>
  <c r="M127" i="19"/>
  <c r="M62" i="19"/>
  <c r="M53" i="19"/>
  <c r="M44" i="19"/>
  <c r="M35" i="19"/>
  <c r="M26" i="19"/>
  <c r="M17" i="19"/>
  <c r="M8" i="19"/>
  <c r="M138" i="19"/>
  <c r="M67" i="19"/>
  <c r="M58" i="19"/>
  <c r="M49" i="19"/>
  <c r="M40" i="19"/>
  <c r="M31" i="19"/>
  <c r="M22" i="19"/>
  <c r="M13" i="19"/>
  <c r="M4" i="19"/>
  <c r="M107" i="19"/>
  <c r="M101" i="19"/>
  <c r="M158" i="19"/>
  <c r="M152" i="19"/>
  <c r="M125" i="19"/>
  <c r="M119" i="19"/>
  <c r="M71" i="19"/>
  <c r="M19" i="19"/>
  <c r="M170" i="19"/>
  <c r="M156" i="19"/>
  <c r="M136" i="19"/>
  <c r="M131" i="19"/>
  <c r="M80" i="19"/>
  <c r="M74" i="19"/>
  <c r="M46" i="19"/>
  <c r="M37" i="19"/>
  <c r="M10" i="19"/>
  <c r="M165" i="19"/>
  <c r="M89" i="19"/>
  <c r="M83" i="19"/>
  <c r="M55" i="19"/>
  <c r="N1" i="19"/>
  <c r="M174" i="19"/>
  <c r="M161" i="19"/>
  <c r="M130" i="19"/>
  <c r="M112" i="19"/>
  <c r="M103" i="19"/>
  <c r="M94" i="19"/>
  <c r="M92" i="19"/>
  <c r="M85" i="19"/>
  <c r="M20" i="19"/>
  <c r="M147" i="19"/>
  <c r="M110" i="19"/>
  <c r="M64" i="19"/>
  <c r="M28" i="19"/>
  <c r="M143" i="19"/>
  <c r="M121" i="19"/>
  <c r="M98" i="19"/>
  <c r="M116" i="19"/>
  <c r="M38" i="19"/>
  <c r="M149" i="19"/>
  <c r="M56" i="19"/>
  <c r="M76" i="19"/>
  <c r="M65" i="19"/>
  <c r="M167" i="19"/>
  <c r="M29" i="19"/>
  <c r="M11" i="19"/>
  <c r="M47" i="19"/>
  <c r="N192" i="18" l="1"/>
  <c r="N189" i="18"/>
  <c r="N186" i="18"/>
  <c r="N183" i="18"/>
  <c r="N180" i="18"/>
  <c r="N177" i="18"/>
  <c r="N174" i="18"/>
  <c r="N171" i="18"/>
  <c r="N168" i="18"/>
  <c r="N165" i="18"/>
  <c r="N162" i="18"/>
  <c r="N159" i="18"/>
  <c r="N156" i="18"/>
  <c r="N153" i="18"/>
  <c r="N150" i="18"/>
  <c r="N147" i="18"/>
  <c r="N144" i="18"/>
  <c r="N136" i="18"/>
  <c r="N137" i="18"/>
  <c r="N145" i="18"/>
  <c r="N140" i="18"/>
  <c r="N190" i="18"/>
  <c r="N181" i="18"/>
  <c r="N172" i="18"/>
  <c r="N163" i="18"/>
  <c r="N173" i="18"/>
  <c r="N161" i="18"/>
  <c r="N148" i="18"/>
  <c r="N188" i="18"/>
  <c r="N167" i="18"/>
  <c r="N160" i="18"/>
  <c r="N132" i="18"/>
  <c r="N129" i="18"/>
  <c r="N179" i="18"/>
  <c r="N191" i="18"/>
  <c r="N157" i="18"/>
  <c r="N133" i="18"/>
  <c r="N130" i="18"/>
  <c r="O1" i="18"/>
  <c r="N185" i="18"/>
  <c r="N175" i="18"/>
  <c r="N152" i="18"/>
  <c r="N151" i="18"/>
  <c r="N60" i="18"/>
  <c r="N51" i="18"/>
  <c r="N42" i="18"/>
  <c r="N33" i="18"/>
  <c r="N24" i="18"/>
  <c r="N15" i="18"/>
  <c r="N6" i="18"/>
  <c r="N123" i="18"/>
  <c r="N114" i="18"/>
  <c r="N105" i="18"/>
  <c r="N96" i="18"/>
  <c r="N87" i="18"/>
  <c r="N78" i="18"/>
  <c r="N69" i="18"/>
  <c r="N64" i="18"/>
  <c r="N55" i="18"/>
  <c r="N46" i="18"/>
  <c r="N37" i="18"/>
  <c r="N170" i="18"/>
  <c r="N149" i="18"/>
  <c r="N127" i="18"/>
  <c r="N118" i="18"/>
  <c r="N109" i="18"/>
  <c r="N100" i="18"/>
  <c r="N91" i="18"/>
  <c r="N82" i="18"/>
  <c r="N73" i="18"/>
  <c r="N68" i="18"/>
  <c r="N59" i="18"/>
  <c r="N50" i="18"/>
  <c r="N41" i="18"/>
  <c r="N32" i="18"/>
  <c r="N23" i="18"/>
  <c r="N14" i="18"/>
  <c r="N5" i="18"/>
  <c r="N178" i="18"/>
  <c r="N143" i="18"/>
  <c r="N122" i="18"/>
  <c r="N113" i="18"/>
  <c r="N104" i="18"/>
  <c r="N95" i="18"/>
  <c r="N86" i="18"/>
  <c r="N77" i="18"/>
  <c r="N164" i="18"/>
  <c r="N131" i="18"/>
  <c r="N63" i="18"/>
  <c r="N54" i="18"/>
  <c r="N45" i="18"/>
  <c r="N36" i="18"/>
  <c r="N27" i="18"/>
  <c r="N18" i="18"/>
  <c r="N9" i="18"/>
  <c r="N166" i="18"/>
  <c r="N141" i="18"/>
  <c r="N138" i="18"/>
  <c r="N126" i="18"/>
  <c r="N117" i="18"/>
  <c r="N108" i="18"/>
  <c r="N176" i="18"/>
  <c r="N121" i="18"/>
  <c r="N112" i="18"/>
  <c r="N103" i="18"/>
  <c r="N94" i="18"/>
  <c r="N85" i="18"/>
  <c r="N135" i="18"/>
  <c r="N134" i="18"/>
  <c r="N97" i="18"/>
  <c r="N88" i="18"/>
  <c r="N62" i="18"/>
  <c r="N35" i="18"/>
  <c r="N29" i="18"/>
  <c r="N8" i="18"/>
  <c r="N155" i="18"/>
  <c r="N142" i="18"/>
  <c r="N125" i="18"/>
  <c r="N79" i="18"/>
  <c r="N58" i="18"/>
  <c r="N31" i="18"/>
  <c r="N12" i="18"/>
  <c r="N10" i="18"/>
  <c r="N139" i="18"/>
  <c r="N124" i="18"/>
  <c r="N111" i="18"/>
  <c r="N110" i="18"/>
  <c r="N65" i="18"/>
  <c r="N48" i="18"/>
  <c r="N38" i="18"/>
  <c r="N22" i="18"/>
  <c r="N16" i="18"/>
  <c r="N75" i="18"/>
  <c r="N44" i="18"/>
  <c r="N26" i="18"/>
  <c r="N20" i="18"/>
  <c r="N184" i="18"/>
  <c r="N93" i="18"/>
  <c r="N84" i="18"/>
  <c r="N71" i="18"/>
  <c r="N61" i="18"/>
  <c r="N34" i="18"/>
  <c r="N116" i="18"/>
  <c r="N67" i="18"/>
  <c r="N40" i="18"/>
  <c r="N28" i="18"/>
  <c r="N3" i="18"/>
  <c r="N154" i="18"/>
  <c r="N146" i="18"/>
  <c r="N128" i="18"/>
  <c r="N115" i="18"/>
  <c r="N102" i="18"/>
  <c r="N101" i="18"/>
  <c r="N169" i="18"/>
  <c r="N158" i="18"/>
  <c r="N99" i="18"/>
  <c r="N90" i="18"/>
  <c r="N81" i="18"/>
  <c r="N74" i="18"/>
  <c r="N53" i="18"/>
  <c r="N17" i="18"/>
  <c r="N11" i="18"/>
  <c r="N98" i="18"/>
  <c r="N89" i="18"/>
  <c r="N80" i="18"/>
  <c r="N43" i="18"/>
  <c r="N107" i="18"/>
  <c r="N70" i="18"/>
  <c r="N49" i="18"/>
  <c r="N21" i="18"/>
  <c r="N19" i="18"/>
  <c r="N187" i="18"/>
  <c r="N119" i="18"/>
  <c r="N106" i="18"/>
  <c r="N25" i="18"/>
  <c r="N182" i="18"/>
  <c r="N52" i="18"/>
  <c r="N83" i="18"/>
  <c r="N30" i="18"/>
  <c r="N76" i="18"/>
  <c r="N39" i="18"/>
  <c r="N57" i="18"/>
  <c r="N13" i="18"/>
  <c r="N66" i="18"/>
  <c r="N72" i="18"/>
  <c r="N92" i="18"/>
  <c r="N47" i="18"/>
  <c r="N7" i="18"/>
  <c r="N120" i="18"/>
  <c r="N56" i="18"/>
  <c r="N4" i="18"/>
  <c r="Q133" i="22"/>
  <c r="Q128" i="22"/>
  <c r="Q184" i="22"/>
  <c r="Q181" i="22"/>
  <c r="Q178" i="22"/>
  <c r="Q175" i="22"/>
  <c r="Q172" i="22"/>
  <c r="Q169" i="22"/>
  <c r="Q166" i="22"/>
  <c r="Q163" i="22"/>
  <c r="Q160" i="22"/>
  <c r="Q157" i="22"/>
  <c r="Q154" i="22"/>
  <c r="Q151" i="22"/>
  <c r="Q148" i="22"/>
  <c r="Q145" i="22"/>
  <c r="Q142" i="22"/>
  <c r="Q139" i="22"/>
  <c r="Q136" i="22"/>
  <c r="Q120" i="22"/>
  <c r="Q126" i="22"/>
  <c r="Q123" i="22"/>
  <c r="Q131" i="22"/>
  <c r="Q134" i="22"/>
  <c r="Q185" i="22"/>
  <c r="Q182" i="22"/>
  <c r="Q179" i="22"/>
  <c r="Q176" i="22"/>
  <c r="Q173" i="22"/>
  <c r="Q170" i="22"/>
  <c r="Q167" i="22"/>
  <c r="Q164" i="22"/>
  <c r="Q161" i="22"/>
  <c r="Q158" i="22"/>
  <c r="Q155" i="22"/>
  <c r="Q152" i="22"/>
  <c r="Q149" i="22"/>
  <c r="Q146" i="22"/>
  <c r="Q143" i="22"/>
  <c r="Q140" i="22"/>
  <c r="Q137" i="22"/>
  <c r="Q129" i="22"/>
  <c r="Q121" i="22"/>
  <c r="Q118" i="22"/>
  <c r="Q124" i="22"/>
  <c r="Q127" i="22"/>
  <c r="Q183" i="22"/>
  <c r="Q180" i="22"/>
  <c r="Q177" i="22"/>
  <c r="Q174" i="22"/>
  <c r="Q171" i="22"/>
  <c r="Q168" i="22"/>
  <c r="Q165" i="22"/>
  <c r="Q162" i="22"/>
  <c r="Q159" i="22"/>
  <c r="Q156" i="22"/>
  <c r="Q153" i="22"/>
  <c r="Q150" i="22"/>
  <c r="Q147" i="22"/>
  <c r="Q144" i="22"/>
  <c r="Q141" i="22"/>
  <c r="Q138" i="22"/>
  <c r="Q119" i="22"/>
  <c r="Q130" i="22"/>
  <c r="Q125" i="22"/>
  <c r="Q122" i="22"/>
  <c r="Q132" i="22"/>
  <c r="Q135" i="22"/>
  <c r="Q117" i="22"/>
  <c r="Q108" i="22"/>
  <c r="Q99" i="22"/>
  <c r="Q90" i="22"/>
  <c r="Q81" i="22"/>
  <c r="Q72" i="22"/>
  <c r="Q63" i="22"/>
  <c r="Q54" i="22"/>
  <c r="Q45" i="22"/>
  <c r="Q36" i="22"/>
  <c r="Q27" i="22"/>
  <c r="Q18" i="22"/>
  <c r="Q9" i="22"/>
  <c r="Q6" i="22"/>
  <c r="Q3" i="22"/>
  <c r="Q109" i="22"/>
  <c r="Q100" i="22"/>
  <c r="Q91" i="22"/>
  <c r="Q82" i="22"/>
  <c r="Q73" i="22"/>
  <c r="Q64" i="22"/>
  <c r="Q55" i="22"/>
  <c r="Q46" i="22"/>
  <c r="Q37" i="22"/>
  <c r="Q28" i="22"/>
  <c r="Q19" i="22"/>
  <c r="Q110" i="22"/>
  <c r="Q101" i="22"/>
  <c r="Q92" i="22"/>
  <c r="Q83" i="22"/>
  <c r="Q74" i="22"/>
  <c r="Q65" i="22"/>
  <c r="Q56" i="22"/>
  <c r="Q47" i="22"/>
  <c r="Q38" i="22"/>
  <c r="Q29" i="22"/>
  <c r="Q20" i="22"/>
  <c r="Q111" i="22"/>
  <c r="Q102" i="22"/>
  <c r="Q93" i="22"/>
  <c r="Q84" i="22"/>
  <c r="Q75" i="22"/>
  <c r="Q66" i="22"/>
  <c r="Q57" i="22"/>
  <c r="Q48" i="22"/>
  <c r="Q39" i="22"/>
  <c r="Q30" i="22"/>
  <c r="Q21" i="22"/>
  <c r="Q12" i="22"/>
  <c r="Q10" i="22"/>
  <c r="Q7" i="22"/>
  <c r="Q4" i="22"/>
  <c r="Q112" i="22"/>
  <c r="Q103" i="22"/>
  <c r="Q94" i="22"/>
  <c r="Q85" i="22"/>
  <c r="Q76" i="22"/>
  <c r="Q67" i="22"/>
  <c r="Q58" i="22"/>
  <c r="Q49" i="22"/>
  <c r="Q40" i="22"/>
  <c r="Q31" i="22"/>
  <c r="Q22" i="22"/>
  <c r="Q13" i="22"/>
  <c r="R1" i="22"/>
  <c r="Q113" i="22"/>
  <c r="Q104" i="22"/>
  <c r="Q95" i="22"/>
  <c r="Q86" i="22"/>
  <c r="Q77" i="22"/>
  <c r="Q68" i="22"/>
  <c r="Q59" i="22"/>
  <c r="Q50" i="22"/>
  <c r="Q41" i="22"/>
  <c r="Q32" i="22"/>
  <c r="Q23" i="22"/>
  <c r="Q14" i="22"/>
  <c r="Q114" i="22"/>
  <c r="Q105" i="22"/>
  <c r="Q96" i="22"/>
  <c r="Q87" i="22"/>
  <c r="Q78" i="22"/>
  <c r="Q69" i="22"/>
  <c r="Q60" i="22"/>
  <c r="Q51" i="22"/>
  <c r="Q42" i="22"/>
  <c r="Q33" i="22"/>
  <c r="Q24" i="22"/>
  <c r="Q15" i="22"/>
  <c r="Q11" i="22"/>
  <c r="Q8" i="22"/>
  <c r="Q5" i="22"/>
  <c r="Q115" i="22"/>
  <c r="Q106" i="22"/>
  <c r="Q97" i="22"/>
  <c r="Q88" i="22"/>
  <c r="Q79" i="22"/>
  <c r="Q70" i="22"/>
  <c r="Q61" i="22"/>
  <c r="Q52" i="22"/>
  <c r="Q43" i="22"/>
  <c r="Q34" i="22"/>
  <c r="Q25" i="22"/>
  <c r="Q16" i="22"/>
  <c r="Q107" i="22"/>
  <c r="Q80" i="22"/>
  <c r="Q53" i="22"/>
  <c r="Q26" i="22"/>
  <c r="Q116" i="22"/>
  <c r="Q89" i="22"/>
  <c r="Q62" i="22"/>
  <c r="Q35" i="22"/>
  <c r="Q98" i="22"/>
  <c r="Q71" i="22"/>
  <c r="Q44" i="22"/>
  <c r="Q17" i="22"/>
  <c r="N188" i="19"/>
  <c r="N185" i="19"/>
  <c r="N182" i="19"/>
  <c r="N179" i="19"/>
  <c r="N176" i="19"/>
  <c r="N189" i="19"/>
  <c r="N186" i="19"/>
  <c r="N183" i="19"/>
  <c r="N180" i="19"/>
  <c r="N177" i="19"/>
  <c r="N184" i="19"/>
  <c r="N172" i="19"/>
  <c r="N169" i="19"/>
  <c r="N166" i="19"/>
  <c r="N163" i="19"/>
  <c r="N160" i="19"/>
  <c r="N157" i="19"/>
  <c r="N154" i="19"/>
  <c r="N151" i="19"/>
  <c r="N148" i="19"/>
  <c r="N145" i="19"/>
  <c r="N142" i="19"/>
  <c r="N134" i="19"/>
  <c r="N126" i="19"/>
  <c r="N123" i="19"/>
  <c r="N120" i="19"/>
  <c r="N117" i="19"/>
  <c r="N114" i="19"/>
  <c r="N111" i="19"/>
  <c r="N108" i="19"/>
  <c r="N105" i="19"/>
  <c r="N102" i="19"/>
  <c r="N99" i="19"/>
  <c r="N96" i="19"/>
  <c r="N93" i="19"/>
  <c r="N90" i="19"/>
  <c r="N87" i="19"/>
  <c r="N84" i="19"/>
  <c r="N81" i="19"/>
  <c r="N78" i="19"/>
  <c r="N75" i="19"/>
  <c r="N72" i="19"/>
  <c r="N69" i="19"/>
  <c r="N129" i="19"/>
  <c r="N175" i="19"/>
  <c r="N132" i="19"/>
  <c r="N140" i="19"/>
  <c r="N137" i="19"/>
  <c r="N67" i="19"/>
  <c r="N64" i="19"/>
  <c r="N61" i="19"/>
  <c r="N58" i="19"/>
  <c r="N55" i="19"/>
  <c r="N52" i="19"/>
  <c r="N49" i="19"/>
  <c r="N46" i="19"/>
  <c r="N43" i="19"/>
  <c r="N40" i="19"/>
  <c r="N37" i="19"/>
  <c r="N34" i="19"/>
  <c r="N31" i="19"/>
  <c r="N28" i="19"/>
  <c r="N25" i="19"/>
  <c r="N22" i="19"/>
  <c r="N19" i="19"/>
  <c r="N16" i="19"/>
  <c r="N13" i="19"/>
  <c r="N10" i="19"/>
  <c r="N7" i="19"/>
  <c r="N4" i="19"/>
  <c r="N138" i="19"/>
  <c r="N133" i="19"/>
  <c r="N65" i="19"/>
  <c r="N62" i="19"/>
  <c r="N59" i="19"/>
  <c r="N56" i="19"/>
  <c r="N53" i="19"/>
  <c r="N50" i="19"/>
  <c r="N47" i="19"/>
  <c r="N44" i="19"/>
  <c r="N41" i="19"/>
  <c r="N38" i="19"/>
  <c r="N35" i="19"/>
  <c r="N32" i="19"/>
  <c r="N29" i="19"/>
  <c r="N26" i="19"/>
  <c r="N23" i="19"/>
  <c r="N20" i="19"/>
  <c r="N17" i="19"/>
  <c r="N14" i="19"/>
  <c r="N11" i="19"/>
  <c r="N8" i="19"/>
  <c r="N5" i="19"/>
  <c r="N168" i="19"/>
  <c r="N159" i="19"/>
  <c r="N150" i="19"/>
  <c r="N141" i="19"/>
  <c r="N124" i="19"/>
  <c r="N115" i="19"/>
  <c r="N106" i="19"/>
  <c r="N97" i="19"/>
  <c r="N88" i="19"/>
  <c r="N79" i="19"/>
  <c r="N70" i="19"/>
  <c r="N63" i="19"/>
  <c r="N54" i="19"/>
  <c r="N45" i="19"/>
  <c r="N36" i="19"/>
  <c r="N27" i="19"/>
  <c r="N18" i="19"/>
  <c r="N9" i="19"/>
  <c r="N181" i="19"/>
  <c r="N178" i="19"/>
  <c r="N173" i="19"/>
  <c r="N164" i="19"/>
  <c r="N155" i="19"/>
  <c r="N146" i="19"/>
  <c r="N139" i="19"/>
  <c r="N135" i="19"/>
  <c r="N122" i="19"/>
  <c r="N113" i="19"/>
  <c r="N104" i="19"/>
  <c r="N95" i="19"/>
  <c r="N86" i="19"/>
  <c r="N77" i="19"/>
  <c r="N68" i="19"/>
  <c r="N131" i="19"/>
  <c r="N127" i="19"/>
  <c r="N167" i="19"/>
  <c r="N158" i="19"/>
  <c r="N149" i="19"/>
  <c r="N125" i="19"/>
  <c r="N116" i="19"/>
  <c r="N107" i="19"/>
  <c r="N98" i="19"/>
  <c r="N89" i="19"/>
  <c r="N80" i="19"/>
  <c r="N71" i="19"/>
  <c r="N174" i="19"/>
  <c r="N165" i="19"/>
  <c r="N156" i="19"/>
  <c r="N147" i="19"/>
  <c r="N121" i="19"/>
  <c r="N112" i="19"/>
  <c r="N103" i="19"/>
  <c r="N94" i="19"/>
  <c r="N85" i="19"/>
  <c r="N76" i="19"/>
  <c r="N60" i="19"/>
  <c r="N51" i="19"/>
  <c r="N42" i="19"/>
  <c r="N33" i="19"/>
  <c r="N24" i="19"/>
  <c r="N15" i="19"/>
  <c r="N6" i="19"/>
  <c r="O1" i="19"/>
  <c r="N190" i="19"/>
  <c r="N152" i="19"/>
  <c r="N73" i="19"/>
  <c r="N161" i="19"/>
  <c r="N144" i="19"/>
  <c r="N170" i="19"/>
  <c r="N153" i="19"/>
  <c r="N136" i="19"/>
  <c r="N91" i="19"/>
  <c r="N162" i="19"/>
  <c r="N128" i="19"/>
  <c r="N100" i="19"/>
  <c r="N171" i="19"/>
  <c r="N109" i="19"/>
  <c r="N92" i="19"/>
  <c r="N39" i="19"/>
  <c r="N30" i="19"/>
  <c r="N12" i="19"/>
  <c r="N110" i="19"/>
  <c r="N101" i="19"/>
  <c r="N119" i="19"/>
  <c r="N48" i="19"/>
  <c r="N143" i="19"/>
  <c r="N57" i="19"/>
  <c r="N82" i="19"/>
  <c r="N66" i="19"/>
  <c r="N118" i="19"/>
  <c r="N21" i="19"/>
  <c r="N3" i="19"/>
  <c r="N187" i="19"/>
  <c r="N83" i="19"/>
  <c r="N74" i="19"/>
  <c r="N130" i="19"/>
  <c r="N136" i="21"/>
  <c r="N131" i="21"/>
  <c r="N187" i="21"/>
  <c r="N184" i="21"/>
  <c r="N181" i="21"/>
  <c r="N178" i="21"/>
  <c r="N175" i="21"/>
  <c r="N172" i="21"/>
  <c r="N169" i="21"/>
  <c r="N166" i="21"/>
  <c r="N163" i="21"/>
  <c r="N160" i="21"/>
  <c r="N157" i="21"/>
  <c r="N154" i="21"/>
  <c r="N151" i="21"/>
  <c r="N148" i="21"/>
  <c r="N145" i="21"/>
  <c r="N142" i="21"/>
  <c r="N139" i="21"/>
  <c r="N123" i="21"/>
  <c r="N120" i="21"/>
  <c r="N117" i="21"/>
  <c r="N114" i="21"/>
  <c r="N129" i="21"/>
  <c r="N126" i="21"/>
  <c r="N188" i="21"/>
  <c r="N185" i="21"/>
  <c r="N182" i="21"/>
  <c r="N179" i="21"/>
  <c r="N176" i="21"/>
  <c r="N173" i="21"/>
  <c r="N170" i="21"/>
  <c r="N167" i="21"/>
  <c r="N164" i="21"/>
  <c r="N161" i="21"/>
  <c r="N158" i="21"/>
  <c r="N155" i="21"/>
  <c r="N152" i="21"/>
  <c r="N149" i="21"/>
  <c r="N146" i="21"/>
  <c r="N143" i="21"/>
  <c r="N140" i="21"/>
  <c r="N127" i="21"/>
  <c r="N130" i="21"/>
  <c r="N186" i="21"/>
  <c r="N183" i="21"/>
  <c r="N180" i="21"/>
  <c r="N177" i="21"/>
  <c r="N174" i="21"/>
  <c r="N171" i="21"/>
  <c r="N168" i="21"/>
  <c r="N132" i="21"/>
  <c r="N165" i="21"/>
  <c r="N156" i="21"/>
  <c r="N153" i="21"/>
  <c r="N144" i="21"/>
  <c r="N122" i="21"/>
  <c r="N119" i="21"/>
  <c r="N116" i="21"/>
  <c r="N113" i="21"/>
  <c r="N128" i="21"/>
  <c r="N125" i="21"/>
  <c r="N109" i="21"/>
  <c r="N106" i="21"/>
  <c r="N103" i="21"/>
  <c r="N100" i="21"/>
  <c r="N97" i="21"/>
  <c r="N94" i="21"/>
  <c r="N91" i="21"/>
  <c r="N88" i="21"/>
  <c r="N85" i="21"/>
  <c r="N82" i="21"/>
  <c r="N79" i="21"/>
  <c r="N76" i="21"/>
  <c r="N73" i="21"/>
  <c r="N70" i="21"/>
  <c r="N67" i="21"/>
  <c r="N64" i="21"/>
  <c r="N61" i="21"/>
  <c r="N58" i="21"/>
  <c r="N55" i="21"/>
  <c r="N52" i="21"/>
  <c r="N49" i="21"/>
  <c r="N46" i="21"/>
  <c r="N43" i="21"/>
  <c r="N40" i="21"/>
  <c r="N37" i="21"/>
  <c r="N34" i="21"/>
  <c r="N31" i="21"/>
  <c r="N28" i="21"/>
  <c r="N25" i="21"/>
  <c r="N22" i="21"/>
  <c r="N19" i="21"/>
  <c r="N134" i="21"/>
  <c r="N159" i="21"/>
  <c r="N150" i="21"/>
  <c r="N141" i="21"/>
  <c r="N124" i="21"/>
  <c r="N121" i="21"/>
  <c r="N118" i="21"/>
  <c r="N115" i="21"/>
  <c r="N112" i="21"/>
  <c r="N162" i="21"/>
  <c r="N47" i="21"/>
  <c r="N42" i="21"/>
  <c r="N38" i="21"/>
  <c r="N33" i="21"/>
  <c r="N29" i="21"/>
  <c r="N24" i="21"/>
  <c r="N20" i="21"/>
  <c r="N44" i="21"/>
  <c r="N39" i="21"/>
  <c r="N35" i="21"/>
  <c r="N30" i="21"/>
  <c r="N26" i="21"/>
  <c r="N21" i="21"/>
  <c r="N17" i="21"/>
  <c r="N147" i="21"/>
  <c r="N111" i="21"/>
  <c r="N108" i="21"/>
  <c r="N105" i="21"/>
  <c r="N102" i="21"/>
  <c r="N99" i="21"/>
  <c r="N96" i="21"/>
  <c r="N93" i="21"/>
  <c r="N90" i="21"/>
  <c r="N87" i="21"/>
  <c r="N84" i="21"/>
  <c r="N81" i="21"/>
  <c r="N78" i="21"/>
  <c r="N75" i="21"/>
  <c r="N72" i="21"/>
  <c r="N69" i="21"/>
  <c r="N66" i="21"/>
  <c r="N63" i="21"/>
  <c r="N60" i="21"/>
  <c r="N57" i="21"/>
  <c r="N54" i="21"/>
  <c r="N16" i="21"/>
  <c r="N13" i="21"/>
  <c r="N10" i="21"/>
  <c r="N7" i="21"/>
  <c r="N4" i="21"/>
  <c r="N138" i="21"/>
  <c r="N135" i="21"/>
  <c r="N45" i="21"/>
  <c r="N41" i="21"/>
  <c r="N36" i="21"/>
  <c r="N32" i="21"/>
  <c r="N27" i="21"/>
  <c r="N23" i="21"/>
  <c r="N18" i="21"/>
  <c r="N51" i="21"/>
  <c r="O1" i="21"/>
  <c r="N110" i="21"/>
  <c r="N107" i="21"/>
  <c r="N104" i="21"/>
  <c r="N101" i="21"/>
  <c r="N98" i="21"/>
  <c r="N95" i="21"/>
  <c r="N92" i="21"/>
  <c r="N89" i="21"/>
  <c r="N86" i="21"/>
  <c r="N83" i="21"/>
  <c r="N80" i="21"/>
  <c r="N77" i="21"/>
  <c r="N74" i="21"/>
  <c r="N71" i="21"/>
  <c r="N68" i="21"/>
  <c r="N65" i="21"/>
  <c r="N62" i="21"/>
  <c r="N59" i="21"/>
  <c r="N56" i="21"/>
  <c r="N53" i="21"/>
  <c r="N14" i="21"/>
  <c r="N5" i="21"/>
  <c r="N133" i="21"/>
  <c r="N137" i="21"/>
  <c r="N48" i="21"/>
  <c r="N11" i="21"/>
  <c r="N15" i="21"/>
  <c r="N9" i="21"/>
  <c r="N3" i="21"/>
  <c r="N50" i="21"/>
  <c r="N12" i="21"/>
  <c r="N6" i="21"/>
  <c r="N8" i="21"/>
  <c r="N127" i="23"/>
  <c r="N135" i="23"/>
  <c r="N132" i="23"/>
  <c r="N183" i="23"/>
  <c r="N180" i="23"/>
  <c r="N177" i="23"/>
  <c r="N174" i="23"/>
  <c r="N171" i="23"/>
  <c r="N168" i="23"/>
  <c r="N165" i="23"/>
  <c r="N162" i="23"/>
  <c r="N159" i="23"/>
  <c r="N156" i="23"/>
  <c r="N153" i="23"/>
  <c r="N150" i="23"/>
  <c r="N147" i="23"/>
  <c r="N144" i="23"/>
  <c r="N141" i="23"/>
  <c r="N138" i="23"/>
  <c r="N119" i="23"/>
  <c r="N130" i="23"/>
  <c r="N125" i="23"/>
  <c r="N122" i="23"/>
  <c r="N184" i="23"/>
  <c r="N181" i="23"/>
  <c r="N178" i="23"/>
  <c r="N175" i="23"/>
  <c r="N172" i="23"/>
  <c r="N169" i="23"/>
  <c r="N166" i="23"/>
  <c r="N163" i="23"/>
  <c r="N160" i="23"/>
  <c r="N157" i="23"/>
  <c r="N154" i="23"/>
  <c r="N151" i="23"/>
  <c r="N148" i="23"/>
  <c r="N145" i="23"/>
  <c r="N142" i="23"/>
  <c r="N139" i="23"/>
  <c r="N136" i="23"/>
  <c r="N120" i="23"/>
  <c r="N126" i="23"/>
  <c r="N123" i="23"/>
  <c r="N185" i="23"/>
  <c r="N182" i="23"/>
  <c r="N179" i="23"/>
  <c r="N176" i="23"/>
  <c r="N173" i="23"/>
  <c r="N170" i="23"/>
  <c r="N167" i="23"/>
  <c r="N164" i="23"/>
  <c r="N161" i="23"/>
  <c r="N158" i="23"/>
  <c r="N155" i="23"/>
  <c r="N152" i="23"/>
  <c r="N149" i="23"/>
  <c r="N146" i="23"/>
  <c r="N143" i="23"/>
  <c r="N140" i="23"/>
  <c r="N137" i="23"/>
  <c r="N129" i="23"/>
  <c r="N121" i="23"/>
  <c r="N133" i="23"/>
  <c r="N117" i="23"/>
  <c r="N114" i="23"/>
  <c r="N111" i="23"/>
  <c r="N108" i="23"/>
  <c r="N105" i="23"/>
  <c r="N102" i="23"/>
  <c r="N99" i="23"/>
  <c r="N96" i="23"/>
  <c r="N93" i="23"/>
  <c r="N90" i="23"/>
  <c r="N87" i="23"/>
  <c r="N84" i="23"/>
  <c r="N116" i="23"/>
  <c r="N113" i="23"/>
  <c r="N110" i="23"/>
  <c r="N107" i="23"/>
  <c r="N104" i="23"/>
  <c r="N101" i="23"/>
  <c r="N98" i="23"/>
  <c r="N95" i="23"/>
  <c r="N118" i="23"/>
  <c r="N109" i="23"/>
  <c r="N124" i="23"/>
  <c r="N115" i="23"/>
  <c r="N85" i="23"/>
  <c r="N82" i="23"/>
  <c r="N79" i="23"/>
  <c r="N76" i="23"/>
  <c r="N73" i="23"/>
  <c r="N70" i="23"/>
  <c r="N67" i="23"/>
  <c r="N64" i="23"/>
  <c r="N61" i="23"/>
  <c r="N58" i="23"/>
  <c r="N55" i="23"/>
  <c r="N52" i="23"/>
  <c r="N49" i="23"/>
  <c r="N89" i="23"/>
  <c r="N112" i="23"/>
  <c r="N106" i="23"/>
  <c r="N88" i="23"/>
  <c r="N80" i="23"/>
  <c r="N77" i="23"/>
  <c r="N74" i="23"/>
  <c r="N71" i="23"/>
  <c r="N68" i="23"/>
  <c r="N65" i="23"/>
  <c r="N62" i="23"/>
  <c r="N59" i="23"/>
  <c r="N56" i="23"/>
  <c r="N83" i="23"/>
  <c r="N131" i="23"/>
  <c r="N100" i="23"/>
  <c r="N94" i="23"/>
  <c r="N128" i="23"/>
  <c r="N92" i="23"/>
  <c r="N81" i="23"/>
  <c r="N78" i="23"/>
  <c r="N75" i="23"/>
  <c r="N72" i="23"/>
  <c r="N69" i="23"/>
  <c r="N66" i="23"/>
  <c r="N63" i="23"/>
  <c r="N60" i="23"/>
  <c r="N57" i="23"/>
  <c r="N54" i="23"/>
  <c r="N51" i="23"/>
  <c r="N48" i="23"/>
  <c r="N91" i="23"/>
  <c r="N86" i="23"/>
  <c r="N47" i="23"/>
  <c r="N44" i="23"/>
  <c r="N41" i="23"/>
  <c r="N38" i="23"/>
  <c r="N35" i="23"/>
  <c r="N32" i="23"/>
  <c r="N29" i="23"/>
  <c r="N26" i="23"/>
  <c r="N23" i="23"/>
  <c r="N20" i="23"/>
  <c r="N17" i="23"/>
  <c r="N14" i="23"/>
  <c r="N11" i="23"/>
  <c r="N8" i="23"/>
  <c r="N5" i="23"/>
  <c r="N103" i="23"/>
  <c r="N53" i="23"/>
  <c r="N45" i="23"/>
  <c r="N42" i="23"/>
  <c r="N39" i="23"/>
  <c r="N36" i="23"/>
  <c r="N33" i="23"/>
  <c r="N30" i="23"/>
  <c r="N27" i="23"/>
  <c r="N24" i="23"/>
  <c r="N21" i="23"/>
  <c r="N18" i="23"/>
  <c r="N15" i="23"/>
  <c r="N12" i="23"/>
  <c r="N9" i="23"/>
  <c r="N6" i="23"/>
  <c r="N3" i="23"/>
  <c r="N134" i="23"/>
  <c r="N50" i="23"/>
  <c r="N46" i="23"/>
  <c r="N43" i="23"/>
  <c r="N40" i="23"/>
  <c r="N37" i="23"/>
  <c r="N34" i="23"/>
  <c r="N31" i="23"/>
  <c r="N28" i="23"/>
  <c r="N25" i="23"/>
  <c r="N22" i="23"/>
  <c r="N19" i="23"/>
  <c r="N16" i="23"/>
  <c r="N13" i="23"/>
  <c r="N10" i="23"/>
  <c r="N7" i="23"/>
  <c r="N4" i="23"/>
  <c r="O1" i="23"/>
  <c r="N97" i="23"/>
  <c r="N175" i="26"/>
  <c r="N172" i="26"/>
  <c r="N169" i="26"/>
  <c r="N166" i="26"/>
  <c r="N163" i="26"/>
  <c r="N160" i="26"/>
  <c r="N176" i="26"/>
  <c r="N173" i="26"/>
  <c r="N170" i="26"/>
  <c r="N167" i="26"/>
  <c r="N164" i="26"/>
  <c r="N161" i="26"/>
  <c r="N174" i="26"/>
  <c r="N171" i="26"/>
  <c r="N168" i="26"/>
  <c r="N165" i="26"/>
  <c r="N162" i="26"/>
  <c r="N157" i="26"/>
  <c r="N154" i="26"/>
  <c r="N151" i="26"/>
  <c r="N148" i="26"/>
  <c r="N145" i="26"/>
  <c r="N142" i="26"/>
  <c r="N139" i="26"/>
  <c r="N136" i="26"/>
  <c r="N133" i="26"/>
  <c r="N130" i="26"/>
  <c r="N159" i="26"/>
  <c r="N155" i="26"/>
  <c r="N152" i="26"/>
  <c r="N149" i="26"/>
  <c r="N146" i="26"/>
  <c r="N143" i="26"/>
  <c r="N140" i="26"/>
  <c r="N137" i="26"/>
  <c r="N134" i="26"/>
  <c r="N158" i="26"/>
  <c r="N156" i="26"/>
  <c r="N153" i="26"/>
  <c r="N150" i="26"/>
  <c r="N147" i="26"/>
  <c r="N144" i="26"/>
  <c r="N141" i="26"/>
  <c r="N138" i="26"/>
  <c r="N135" i="26"/>
  <c r="N132" i="26"/>
  <c r="N125" i="26"/>
  <c r="N116" i="26"/>
  <c r="N113" i="26"/>
  <c r="N109" i="26"/>
  <c r="N106" i="26"/>
  <c r="N103" i="26"/>
  <c r="N100" i="26"/>
  <c r="N97" i="26"/>
  <c r="N94" i="26"/>
  <c r="N91" i="26"/>
  <c r="N88" i="26"/>
  <c r="N85" i="26"/>
  <c r="N82" i="26"/>
  <c r="N79" i="26"/>
  <c r="N76" i="26"/>
  <c r="N73" i="26"/>
  <c r="N129" i="26"/>
  <c r="N127" i="26"/>
  <c r="N123" i="26"/>
  <c r="N114" i="26"/>
  <c r="N110" i="26"/>
  <c r="N107" i="26"/>
  <c r="N104" i="26"/>
  <c r="N101" i="26"/>
  <c r="N98" i="26"/>
  <c r="N95" i="26"/>
  <c r="N92" i="26"/>
  <c r="N89" i="26"/>
  <c r="N86" i="26"/>
  <c r="N83" i="26"/>
  <c r="N80" i="26"/>
  <c r="N77" i="26"/>
  <c r="N74" i="26"/>
  <c r="N71" i="26"/>
  <c r="N68" i="26"/>
  <c r="N65" i="26"/>
  <c r="N62" i="26"/>
  <c r="N59" i="26"/>
  <c r="N56" i="26"/>
  <c r="N53" i="26"/>
  <c r="N131" i="26"/>
  <c r="N128" i="26"/>
  <c r="N69" i="26"/>
  <c r="N66" i="26"/>
  <c r="N63" i="26"/>
  <c r="N60" i="26"/>
  <c r="N57" i="26"/>
  <c r="N54" i="26"/>
  <c r="N111" i="26"/>
  <c r="N102" i="26"/>
  <c r="N93" i="26"/>
  <c r="N84" i="26"/>
  <c r="N75" i="26"/>
  <c r="O1" i="26"/>
  <c r="N52" i="26"/>
  <c r="N67" i="26"/>
  <c r="N58" i="26"/>
  <c r="N50" i="26"/>
  <c r="N47" i="26"/>
  <c r="N44" i="26"/>
  <c r="N41" i="26"/>
  <c r="N38" i="26"/>
  <c r="N35" i="26"/>
  <c r="N32" i="26"/>
  <c r="N29" i="26"/>
  <c r="N26" i="26"/>
  <c r="N23" i="26"/>
  <c r="N20" i="26"/>
  <c r="N17" i="26"/>
  <c r="N14" i="26"/>
  <c r="N11" i="26"/>
  <c r="N8" i="26"/>
  <c r="N5" i="26"/>
  <c r="N115" i="26"/>
  <c r="N105" i="26"/>
  <c r="N96" i="26"/>
  <c r="N87" i="26"/>
  <c r="N78" i="26"/>
  <c r="N70" i="26"/>
  <c r="N61" i="26"/>
  <c r="N48" i="26"/>
  <c r="N45" i="26"/>
  <c r="N42" i="26"/>
  <c r="N39" i="26"/>
  <c r="N36" i="26"/>
  <c r="N33" i="26"/>
  <c r="N30" i="26"/>
  <c r="N27" i="26"/>
  <c r="N24" i="26"/>
  <c r="N21" i="26"/>
  <c r="N18" i="26"/>
  <c r="N15" i="26"/>
  <c r="N12" i="26"/>
  <c r="N9" i="26"/>
  <c r="N6" i="26"/>
  <c r="N3" i="26"/>
  <c r="N64" i="26"/>
  <c r="N55" i="26"/>
  <c r="N49" i="26"/>
  <c r="N46" i="26"/>
  <c r="N43" i="26"/>
  <c r="N40" i="26"/>
  <c r="N37" i="26"/>
  <c r="N34" i="26"/>
  <c r="N31" i="26"/>
  <c r="N28" i="26"/>
  <c r="N25" i="26"/>
  <c r="N22" i="26"/>
  <c r="N19" i="26"/>
  <c r="N16" i="26"/>
  <c r="N13" i="26"/>
  <c r="N10" i="26"/>
  <c r="N7" i="26"/>
  <c r="N4" i="26"/>
  <c r="N90" i="26"/>
  <c r="N124" i="26"/>
  <c r="N99" i="26"/>
  <c r="N72" i="26"/>
  <c r="N51" i="26"/>
  <c r="N81" i="26"/>
  <c r="N108" i="26"/>
  <c r="O177" i="25"/>
  <c r="O178" i="25"/>
  <c r="O179" i="25"/>
  <c r="O175" i="25"/>
  <c r="O172" i="25"/>
  <c r="O169" i="25"/>
  <c r="O166" i="25"/>
  <c r="O163" i="25"/>
  <c r="O160" i="25"/>
  <c r="O157" i="25"/>
  <c r="O154" i="25"/>
  <c r="O151" i="25"/>
  <c r="O148" i="25"/>
  <c r="O145" i="25"/>
  <c r="O142" i="25"/>
  <c r="O139" i="25"/>
  <c r="O136" i="25"/>
  <c r="O176" i="25"/>
  <c r="O173" i="25"/>
  <c r="O170" i="25"/>
  <c r="O167" i="25"/>
  <c r="O164" i="25"/>
  <c r="O161" i="25"/>
  <c r="O158" i="25"/>
  <c r="O155" i="25"/>
  <c r="O152" i="25"/>
  <c r="O149" i="25"/>
  <c r="O146" i="25"/>
  <c r="O143" i="25"/>
  <c r="O140" i="25"/>
  <c r="O137" i="25"/>
  <c r="O174" i="25"/>
  <c r="O171" i="25"/>
  <c r="O168" i="25"/>
  <c r="O165" i="25"/>
  <c r="O162" i="25"/>
  <c r="O159" i="25"/>
  <c r="O156" i="25"/>
  <c r="O153" i="25"/>
  <c r="O150" i="25"/>
  <c r="O147" i="25"/>
  <c r="O144" i="25"/>
  <c r="O141" i="25"/>
  <c r="O138" i="25"/>
  <c r="O135" i="25"/>
  <c r="O127" i="25"/>
  <c r="O120" i="25"/>
  <c r="O117" i="25"/>
  <c r="O128" i="25"/>
  <c r="O124" i="25"/>
  <c r="O119" i="25"/>
  <c r="O116" i="25"/>
  <c r="O123" i="25"/>
  <c r="O122" i="25"/>
  <c r="O101" i="25"/>
  <c r="O132" i="25"/>
  <c r="O133" i="25"/>
  <c r="O129" i="25"/>
  <c r="O125" i="25"/>
  <c r="O134" i="25"/>
  <c r="O113" i="25"/>
  <c r="O108" i="25"/>
  <c r="O105" i="25"/>
  <c r="O102" i="25"/>
  <c r="O112" i="25"/>
  <c r="O92" i="25"/>
  <c r="O88" i="25"/>
  <c r="O83" i="25"/>
  <c r="O79" i="25"/>
  <c r="O71" i="25"/>
  <c r="O126" i="25"/>
  <c r="O93" i="25"/>
  <c r="O84" i="25"/>
  <c r="O75" i="25"/>
  <c r="O69" i="25"/>
  <c r="O66" i="25"/>
  <c r="O63" i="25"/>
  <c r="O60" i="25"/>
  <c r="O57" i="25"/>
  <c r="O54" i="25"/>
  <c r="O51" i="25"/>
  <c r="O48" i="25"/>
  <c r="O45" i="25"/>
  <c r="O111" i="25"/>
  <c r="O107" i="25"/>
  <c r="O104" i="25"/>
  <c r="O99" i="25"/>
  <c r="O97" i="25"/>
  <c r="O94" i="25"/>
  <c r="O110" i="25"/>
  <c r="O121" i="25"/>
  <c r="O114" i="25"/>
  <c r="O100" i="25"/>
  <c r="O98" i="25"/>
  <c r="O72" i="25"/>
  <c r="O89" i="25"/>
  <c r="O77" i="25"/>
  <c r="O46" i="25"/>
  <c r="O103" i="25"/>
  <c r="O115" i="25"/>
  <c r="O90" i="25"/>
  <c r="O82" i="25"/>
  <c r="O78" i="25"/>
  <c r="O41" i="25"/>
  <c r="O38" i="25"/>
  <c r="O35" i="25"/>
  <c r="O32" i="25"/>
  <c r="O29" i="25"/>
  <c r="O26" i="25"/>
  <c r="O23" i="25"/>
  <c r="O20" i="25"/>
  <c r="O17" i="25"/>
  <c r="O14" i="25"/>
  <c r="O11" i="25"/>
  <c r="O8" i="25"/>
  <c r="O131" i="25"/>
  <c r="O118" i="25"/>
  <c r="O95" i="25"/>
  <c r="O86" i="25"/>
  <c r="O74" i="25"/>
  <c r="O73" i="25"/>
  <c r="O130" i="25"/>
  <c r="O109" i="25"/>
  <c r="O87" i="25"/>
  <c r="O76" i="25"/>
  <c r="O44" i="25"/>
  <c r="O43" i="25"/>
  <c r="O39" i="25"/>
  <c r="O36" i="25"/>
  <c r="O33" i="25"/>
  <c r="O30" i="25"/>
  <c r="O27" i="25"/>
  <c r="O24" i="25"/>
  <c r="O21" i="25"/>
  <c r="O18" i="25"/>
  <c r="O15" i="25"/>
  <c r="O12" i="25"/>
  <c r="O9" i="25"/>
  <c r="O106" i="25"/>
  <c r="O40" i="25"/>
  <c r="O37" i="25"/>
  <c r="O34" i="25"/>
  <c r="O31" i="25"/>
  <c r="O28" i="25"/>
  <c r="O25" i="25"/>
  <c r="O22" i="25"/>
  <c r="O19" i="25"/>
  <c r="O16" i="25"/>
  <c r="O13" i="25"/>
  <c r="O10" i="25"/>
  <c r="O5" i="25"/>
  <c r="O81" i="25"/>
  <c r="O91" i="25"/>
  <c r="O80" i="25"/>
  <c r="O68" i="25"/>
  <c r="O65" i="25"/>
  <c r="O62" i="25"/>
  <c r="O59" i="25"/>
  <c r="O56" i="25"/>
  <c r="O53" i="25"/>
  <c r="O50" i="25"/>
  <c r="O47" i="25"/>
  <c r="O6" i="25"/>
  <c r="O3" i="25"/>
  <c r="O85" i="25"/>
  <c r="P1" i="25"/>
  <c r="O96" i="25"/>
  <c r="O7" i="25"/>
  <c r="O4" i="25"/>
  <c r="O61" i="25"/>
  <c r="O49" i="25"/>
  <c r="O70" i="25"/>
  <c r="O58" i="25"/>
  <c r="O67" i="25"/>
  <c r="O55" i="25"/>
  <c r="O64" i="25"/>
  <c r="O52" i="25"/>
  <c r="O42" i="25"/>
  <c r="Q191" i="17"/>
  <c r="Q182" i="17"/>
  <c r="Q173" i="17"/>
  <c r="Q164" i="17"/>
  <c r="Q155" i="17"/>
  <c r="Q186" i="17"/>
  <c r="Q190" i="17"/>
  <c r="Q181" i="17"/>
  <c r="Q172" i="17"/>
  <c r="Q163" i="17"/>
  <c r="Q154" i="17"/>
  <c r="Q133" i="17"/>
  <c r="Q185" i="17"/>
  <c r="Q176" i="17"/>
  <c r="Q167" i="17"/>
  <c r="Q158" i="17"/>
  <c r="Q149" i="17"/>
  <c r="Q138" i="17"/>
  <c r="Q180" i="17"/>
  <c r="Q147" i="17"/>
  <c r="Q144" i="17"/>
  <c r="Q142" i="17"/>
  <c r="Q140" i="17"/>
  <c r="Q139" i="17"/>
  <c r="Q126" i="17"/>
  <c r="Q117" i="17"/>
  <c r="Q108" i="17"/>
  <c r="Q99" i="17"/>
  <c r="Q92" i="17"/>
  <c r="Q188" i="17"/>
  <c r="Q170" i="17"/>
  <c r="Q161" i="17"/>
  <c r="Q152" i="17"/>
  <c r="Q130" i="17"/>
  <c r="Q125" i="17"/>
  <c r="Q116" i="17"/>
  <c r="Q107" i="17"/>
  <c r="Q98" i="17"/>
  <c r="Q94" i="17"/>
  <c r="Q88" i="17"/>
  <c r="Q85" i="17"/>
  <c r="Q82" i="17"/>
  <c r="Q79" i="17"/>
  <c r="Q76" i="17"/>
  <c r="Q73" i="17"/>
  <c r="Q70" i="17"/>
  <c r="R1" i="17"/>
  <c r="Q192" i="17"/>
  <c r="Q120" i="17"/>
  <c r="Q111" i="17"/>
  <c r="Q102" i="17"/>
  <c r="Q129" i="17"/>
  <c r="Q124" i="17"/>
  <c r="Q115" i="17"/>
  <c r="Q106" i="17"/>
  <c r="Q97" i="17"/>
  <c r="Q68" i="17"/>
  <c r="Q65" i="17"/>
  <c r="Q62" i="17"/>
  <c r="Q59" i="17"/>
  <c r="Q56" i="17"/>
  <c r="Q53" i="17"/>
  <c r="Q50" i="17"/>
  <c r="Q47" i="17"/>
  <c r="Q44" i="17"/>
  <c r="Q41" i="17"/>
  <c r="Q38" i="17"/>
  <c r="Q35" i="17"/>
  <c r="Q32" i="17"/>
  <c r="Q29" i="17"/>
  <c r="Q26" i="17"/>
  <c r="Q23" i="17"/>
  <c r="Q20" i="17"/>
  <c r="Q17" i="17"/>
  <c r="Q14" i="17"/>
  <c r="Q11" i="17"/>
  <c r="Q8" i="17"/>
  <c r="Q5" i="17"/>
  <c r="Q179" i="17"/>
  <c r="Q171" i="17"/>
  <c r="Q162" i="17"/>
  <c r="Q153" i="17"/>
  <c r="Q128" i="17"/>
  <c r="Q119" i="17"/>
  <c r="Q110" i="17"/>
  <c r="Q101" i="17"/>
  <c r="Q91" i="17"/>
  <c r="Q89" i="17"/>
  <c r="Q86" i="17"/>
  <c r="Q83" i="17"/>
  <c r="Q80" i="17"/>
  <c r="Q77" i="17"/>
  <c r="Q74" i="17"/>
  <c r="Q71" i="17"/>
  <c r="Q189" i="17"/>
  <c r="Q183" i="17"/>
  <c r="Q134" i="17"/>
  <c r="Q123" i="17"/>
  <c r="Q114" i="17"/>
  <c r="Q105" i="17"/>
  <c r="Q96" i="17"/>
  <c r="Q187" i="17"/>
  <c r="Q136" i="17"/>
  <c r="Q135" i="17"/>
  <c r="Q132" i="17"/>
  <c r="Q127" i="17"/>
  <c r="Q118" i="17"/>
  <c r="Q109" i="17"/>
  <c r="Q100" i="17"/>
  <c r="Q66" i="17"/>
  <c r="Q63" i="17"/>
  <c r="Q60" i="17"/>
  <c r="Q57" i="17"/>
  <c r="Q54" i="17"/>
  <c r="Q51" i="17"/>
  <c r="Q48" i="17"/>
  <c r="Q45" i="17"/>
  <c r="Q42" i="17"/>
  <c r="Q39" i="17"/>
  <c r="Q36" i="17"/>
  <c r="Q33" i="17"/>
  <c r="Q30" i="17"/>
  <c r="Q27" i="17"/>
  <c r="Q24" i="17"/>
  <c r="Q21" i="17"/>
  <c r="Q175" i="17"/>
  <c r="Q166" i="17"/>
  <c r="Q157" i="17"/>
  <c r="Q122" i="17"/>
  <c r="Q113" i="17"/>
  <c r="Q104" i="17"/>
  <c r="Q95" i="17"/>
  <c r="Q87" i="17"/>
  <c r="Q84" i="17"/>
  <c r="Q81" i="17"/>
  <c r="Q78" i="17"/>
  <c r="Q75" i="17"/>
  <c r="Q72" i="17"/>
  <c r="Q69" i="17"/>
  <c r="Q184" i="17"/>
  <c r="Q159" i="17"/>
  <c r="Q12" i="17"/>
  <c r="Q141" i="17"/>
  <c r="Q137" i="17"/>
  <c r="Q131" i="17"/>
  <c r="Q90" i="17"/>
  <c r="Q178" i="17"/>
  <c r="Q145" i="17"/>
  <c r="Q143" i="17"/>
  <c r="Q13" i="17"/>
  <c r="Q4" i="17"/>
  <c r="Q3" i="17"/>
  <c r="Q168" i="17"/>
  <c r="Q156" i="17"/>
  <c r="Q93" i="17"/>
  <c r="Q151" i="17"/>
  <c r="Q15" i="17"/>
  <c r="Q67" i="17"/>
  <c r="Q64" i="17"/>
  <c r="Q61" i="17"/>
  <c r="Q58" i="17"/>
  <c r="Q55" i="17"/>
  <c r="Q52" i="17"/>
  <c r="Q49" i="17"/>
  <c r="Q46" i="17"/>
  <c r="Q43" i="17"/>
  <c r="Q40" i="17"/>
  <c r="Q37" i="17"/>
  <c r="Q34" i="17"/>
  <c r="Q31" i="17"/>
  <c r="Q28" i="17"/>
  <c r="Q25" i="17"/>
  <c r="Q22" i="17"/>
  <c r="Q177" i="17"/>
  <c r="Q165" i="17"/>
  <c r="Q16" i="17"/>
  <c r="Q7" i="17"/>
  <c r="Q160" i="17"/>
  <c r="Q148" i="17"/>
  <c r="Q146" i="17"/>
  <c r="Q121" i="17"/>
  <c r="Q112" i="17"/>
  <c r="Q103" i="17"/>
  <c r="Q174" i="17"/>
  <c r="Q150" i="17"/>
  <c r="Q10" i="17"/>
  <c r="Q6" i="17"/>
  <c r="Q19" i="17"/>
  <c r="Q9" i="17"/>
  <c r="Q18" i="17"/>
  <c r="Q169" i="17"/>
  <c r="N174" i="27"/>
  <c r="N171" i="27"/>
  <c r="N168" i="27"/>
  <c r="N165" i="27"/>
  <c r="N162" i="27"/>
  <c r="N159" i="27"/>
  <c r="N156" i="27"/>
  <c r="N153" i="27"/>
  <c r="N150" i="27"/>
  <c r="N147" i="27"/>
  <c r="N175" i="27"/>
  <c r="N172" i="27"/>
  <c r="N169" i="27"/>
  <c r="N166" i="27"/>
  <c r="N163" i="27"/>
  <c r="N160" i="27"/>
  <c r="N157" i="27"/>
  <c r="N154" i="27"/>
  <c r="N151" i="27"/>
  <c r="N148" i="27"/>
  <c r="N145" i="27"/>
  <c r="N176" i="27"/>
  <c r="N167" i="27"/>
  <c r="N158" i="27"/>
  <c r="N149" i="27"/>
  <c r="N144" i="27"/>
  <c r="N141" i="27"/>
  <c r="N138" i="27"/>
  <c r="N135" i="27"/>
  <c r="N132" i="27"/>
  <c r="N129" i="27"/>
  <c r="N125" i="27"/>
  <c r="N116" i="27"/>
  <c r="N113" i="27"/>
  <c r="N173" i="27"/>
  <c r="N164" i="27"/>
  <c r="N155" i="27"/>
  <c r="N146" i="27"/>
  <c r="N170" i="27"/>
  <c r="N161" i="27"/>
  <c r="N152" i="27"/>
  <c r="N143" i="27"/>
  <c r="N140" i="27"/>
  <c r="N137" i="27"/>
  <c r="N134" i="27"/>
  <c r="N131" i="27"/>
  <c r="N128" i="27"/>
  <c r="N124" i="27"/>
  <c r="N115" i="27"/>
  <c r="N111" i="27"/>
  <c r="N142" i="27"/>
  <c r="N139" i="27"/>
  <c r="N136" i="27"/>
  <c r="N133" i="27"/>
  <c r="N130" i="27"/>
  <c r="N127" i="27"/>
  <c r="N123" i="27"/>
  <c r="N114" i="27"/>
  <c r="N110" i="27"/>
  <c r="N107" i="27"/>
  <c r="N104" i="27"/>
  <c r="N101" i="27"/>
  <c r="N98" i="27"/>
  <c r="N95" i="27"/>
  <c r="N92" i="27"/>
  <c r="N89" i="27"/>
  <c r="N109" i="27"/>
  <c r="N106" i="27"/>
  <c r="N103" i="27"/>
  <c r="N100" i="27"/>
  <c r="N97" i="27"/>
  <c r="N94" i="27"/>
  <c r="N91" i="27"/>
  <c r="N85" i="27"/>
  <c r="N82" i="27"/>
  <c r="N79" i="27"/>
  <c r="N76" i="27"/>
  <c r="N73" i="27"/>
  <c r="N70" i="27"/>
  <c r="N67" i="27"/>
  <c r="N64" i="27"/>
  <c r="N88" i="27"/>
  <c r="N87" i="27"/>
  <c r="N86" i="27"/>
  <c r="N83" i="27"/>
  <c r="N80" i="27"/>
  <c r="N77" i="27"/>
  <c r="N74" i="27"/>
  <c r="N71" i="27"/>
  <c r="N68" i="27"/>
  <c r="N65" i="27"/>
  <c r="N108" i="27"/>
  <c r="N99" i="27"/>
  <c r="N90" i="27"/>
  <c r="N62" i="27"/>
  <c r="N59" i="27"/>
  <c r="N56" i="27"/>
  <c r="N53" i="27"/>
  <c r="N50" i="27"/>
  <c r="N47" i="27"/>
  <c r="N44" i="27"/>
  <c r="N41" i="27"/>
  <c r="N38" i="27"/>
  <c r="N81" i="27"/>
  <c r="N72" i="27"/>
  <c r="N105" i="27"/>
  <c r="N96" i="27"/>
  <c r="N63" i="27"/>
  <c r="N60" i="27"/>
  <c r="N57" i="27"/>
  <c r="N54" i="27"/>
  <c r="N51" i="27"/>
  <c r="N48" i="27"/>
  <c r="N45" i="27"/>
  <c r="N42" i="27"/>
  <c r="N39" i="27"/>
  <c r="N84" i="27"/>
  <c r="N75" i="27"/>
  <c r="N66" i="27"/>
  <c r="N55" i="27"/>
  <c r="N46" i="27"/>
  <c r="N78" i="27"/>
  <c r="N102" i="27"/>
  <c r="N37" i="27"/>
  <c r="N34" i="27"/>
  <c r="N31" i="27"/>
  <c r="N28" i="27"/>
  <c r="N25" i="27"/>
  <c r="N22" i="27"/>
  <c r="N19" i="27"/>
  <c r="N16" i="27"/>
  <c r="N13" i="27"/>
  <c r="N10" i="27"/>
  <c r="N93" i="27"/>
  <c r="N61" i="27"/>
  <c r="N52" i="27"/>
  <c r="N43" i="27"/>
  <c r="N69" i="27"/>
  <c r="N36" i="27"/>
  <c r="N33" i="27"/>
  <c r="N30" i="27"/>
  <c r="N27" i="27"/>
  <c r="N24" i="27"/>
  <c r="N21" i="27"/>
  <c r="N18" i="27"/>
  <c r="N15" i="27"/>
  <c r="N12" i="27"/>
  <c r="N40" i="27"/>
  <c r="N35" i="27"/>
  <c r="N26" i="27"/>
  <c r="N17" i="27"/>
  <c r="N9" i="27"/>
  <c r="N6" i="27"/>
  <c r="N3" i="27"/>
  <c r="N49" i="27"/>
  <c r="N32" i="27"/>
  <c r="N23" i="27"/>
  <c r="N14" i="27"/>
  <c r="N7" i="27"/>
  <c r="N4" i="27"/>
  <c r="O1" i="27"/>
  <c r="N58" i="27"/>
  <c r="N29" i="27"/>
  <c r="N20" i="27"/>
  <c r="N11" i="27"/>
  <c r="N8" i="27"/>
  <c r="N5" i="27"/>
  <c r="O191" i="16"/>
  <c r="O188" i="16"/>
  <c r="O185" i="16"/>
  <c r="O182" i="16"/>
  <c r="O179" i="16"/>
  <c r="O192" i="16"/>
  <c r="O189" i="16"/>
  <c r="O186" i="16"/>
  <c r="O183" i="16"/>
  <c r="O180" i="16"/>
  <c r="O177" i="16"/>
  <c r="O134" i="16"/>
  <c r="O131" i="16"/>
  <c r="O139" i="16"/>
  <c r="O190" i="16"/>
  <c r="O132" i="16"/>
  <c r="O187" i="16"/>
  <c r="O143" i="16"/>
  <c r="O140" i="16"/>
  <c r="O67" i="16"/>
  <c r="O64" i="16"/>
  <c r="O61" i="16"/>
  <c r="O58" i="16"/>
  <c r="O55" i="16"/>
  <c r="O52" i="16"/>
  <c r="O49" i="16"/>
  <c r="O46" i="16"/>
  <c r="O43" i="16"/>
  <c r="O40" i="16"/>
  <c r="O37" i="16"/>
  <c r="O34" i="16"/>
  <c r="O31" i="16"/>
  <c r="O28" i="16"/>
  <c r="O25" i="16"/>
  <c r="O22" i="16"/>
  <c r="O19" i="16"/>
  <c r="O16" i="16"/>
  <c r="O13" i="16"/>
  <c r="O10" i="16"/>
  <c r="O7" i="16"/>
  <c r="O4" i="16"/>
  <c r="O138" i="16"/>
  <c r="O133" i="16"/>
  <c r="O130" i="16"/>
  <c r="P1" i="16"/>
  <c r="O193" i="16"/>
  <c r="O173" i="16"/>
  <c r="O164" i="16"/>
  <c r="O155" i="16"/>
  <c r="O146" i="16"/>
  <c r="O122" i="16"/>
  <c r="O113" i="16"/>
  <c r="O104" i="16"/>
  <c r="O95" i="16"/>
  <c r="O86" i="16"/>
  <c r="O77" i="16"/>
  <c r="O184" i="16"/>
  <c r="O118" i="16"/>
  <c r="O109" i="16"/>
  <c r="O100" i="16"/>
  <c r="O91" i="16"/>
  <c r="O82" i="16"/>
  <c r="O73" i="16"/>
  <c r="O171" i="16"/>
  <c r="O162" i="16"/>
  <c r="O153" i="16"/>
  <c r="O144" i="16"/>
  <c r="O142" i="16"/>
  <c r="O69" i="16"/>
  <c r="O169" i="16"/>
  <c r="O160" i="16"/>
  <c r="O151" i="16"/>
  <c r="O129" i="16"/>
  <c r="O123" i="16"/>
  <c r="O114" i="16"/>
  <c r="O105" i="16"/>
  <c r="O96" i="16"/>
  <c r="O87" i="16"/>
  <c r="O78" i="16"/>
  <c r="O68" i="16"/>
  <c r="O66" i="16"/>
  <c r="O65" i="16"/>
  <c r="O63" i="16"/>
  <c r="O62" i="16"/>
  <c r="O60" i="16"/>
  <c r="O59" i="16"/>
  <c r="O57" i="16"/>
  <c r="O56" i="16"/>
  <c r="O54" i="16"/>
  <c r="O53" i="16"/>
  <c r="O51" i="16"/>
  <c r="O50" i="16"/>
  <c r="O48" i="16"/>
  <c r="O47" i="16"/>
  <c r="O45" i="16"/>
  <c r="O44" i="16"/>
  <c r="O42" i="16"/>
  <c r="O41" i="16"/>
  <c r="O39" i="16"/>
  <c r="O38" i="16"/>
  <c r="O36" i="16"/>
  <c r="O35" i="16"/>
  <c r="O33" i="16"/>
  <c r="O32" i="16"/>
  <c r="O30" i="16"/>
  <c r="O29" i="16"/>
  <c r="O27" i="16"/>
  <c r="O26" i="16"/>
  <c r="O24" i="16"/>
  <c r="O23" i="16"/>
  <c r="O21" i="16"/>
  <c r="O20" i="16"/>
  <c r="O18" i="16"/>
  <c r="O17" i="16"/>
  <c r="O15" i="16"/>
  <c r="O14" i="16"/>
  <c r="O12" i="16"/>
  <c r="O11" i="16"/>
  <c r="O9" i="16"/>
  <c r="O8" i="16"/>
  <c r="O6" i="16"/>
  <c r="O5" i="16"/>
  <c r="O3" i="16"/>
  <c r="O149" i="16"/>
  <c r="O127" i="16"/>
  <c r="O110" i="16"/>
  <c r="O92" i="16"/>
  <c r="O74" i="16"/>
  <c r="O176" i="16"/>
  <c r="O167" i="16"/>
  <c r="O158" i="16"/>
  <c r="O119" i="16"/>
  <c r="O101" i="16"/>
  <c r="O83" i="16"/>
  <c r="O136" i="16"/>
  <c r="O124" i="16"/>
  <c r="O115" i="16"/>
  <c r="O106" i="16"/>
  <c r="O97" i="16"/>
  <c r="O88" i="16"/>
  <c r="O79" i="16"/>
  <c r="O70" i="16"/>
  <c r="O108" i="16"/>
  <c r="O174" i="16"/>
  <c r="O165" i="16"/>
  <c r="O156" i="16"/>
  <c r="O147" i="16"/>
  <c r="O107" i="16"/>
  <c r="O80" i="16"/>
  <c r="O81" i="16"/>
  <c r="O172" i="16"/>
  <c r="O163" i="16"/>
  <c r="O154" i="16"/>
  <c r="O145" i="16"/>
  <c r="O120" i="16"/>
  <c r="O111" i="16"/>
  <c r="O102" i="16"/>
  <c r="O93" i="16"/>
  <c r="O84" i="16"/>
  <c r="O75" i="16"/>
  <c r="O161" i="16"/>
  <c r="O125" i="16"/>
  <c r="O116" i="16"/>
  <c r="O71" i="16"/>
  <c r="O126" i="16"/>
  <c r="O117" i="16"/>
  <c r="O90" i="16"/>
  <c r="O181" i="16"/>
  <c r="O178" i="16"/>
  <c r="O170" i="16"/>
  <c r="O152" i="16"/>
  <c r="O98" i="16"/>
  <c r="O89" i="16"/>
  <c r="O135" i="16"/>
  <c r="O121" i="16"/>
  <c r="O112" i="16"/>
  <c r="O103" i="16"/>
  <c r="O94" i="16"/>
  <c r="O85" i="16"/>
  <c r="O76" i="16"/>
  <c r="O137" i="16"/>
  <c r="O72" i="16"/>
  <c r="O168" i="16"/>
  <c r="O159" i="16"/>
  <c r="O150" i="16"/>
  <c r="O141" i="16"/>
  <c r="O128" i="16"/>
  <c r="O175" i="16"/>
  <c r="O166" i="16"/>
  <c r="O157" i="16"/>
  <c r="O148" i="16"/>
  <c r="O99" i="16"/>
  <c r="P189" i="20"/>
  <c r="P186" i="20"/>
  <c r="P183" i="20"/>
  <c r="P180" i="20"/>
  <c r="P177" i="20"/>
  <c r="P174" i="20"/>
  <c r="P171" i="20"/>
  <c r="P168" i="20"/>
  <c r="P165" i="20"/>
  <c r="P162" i="20"/>
  <c r="P159" i="20"/>
  <c r="P190" i="20"/>
  <c r="P187" i="20"/>
  <c r="P184" i="20"/>
  <c r="P181" i="20"/>
  <c r="P178" i="20"/>
  <c r="P175" i="20"/>
  <c r="P172" i="20"/>
  <c r="P169" i="20"/>
  <c r="P166" i="20"/>
  <c r="P163" i="20"/>
  <c r="P160" i="20"/>
  <c r="P157" i="20"/>
  <c r="P154" i="20"/>
  <c r="P188" i="20"/>
  <c r="P185" i="20"/>
  <c r="P182" i="20"/>
  <c r="P179" i="20"/>
  <c r="P176" i="20"/>
  <c r="P173" i="20"/>
  <c r="P170" i="20"/>
  <c r="P167" i="20"/>
  <c r="P164" i="20"/>
  <c r="P161" i="20"/>
  <c r="P158" i="20"/>
  <c r="P155" i="20"/>
  <c r="P145" i="20"/>
  <c r="P142" i="20"/>
  <c r="P134" i="20"/>
  <c r="P126" i="20"/>
  <c r="P123" i="20"/>
  <c r="P120" i="20"/>
  <c r="P117" i="20"/>
  <c r="P114" i="20"/>
  <c r="P111" i="20"/>
  <c r="P108" i="20"/>
  <c r="P105" i="20"/>
  <c r="P102" i="20"/>
  <c r="P99" i="20"/>
  <c r="P96" i="20"/>
  <c r="P93" i="20"/>
  <c r="P90" i="20"/>
  <c r="P87" i="20"/>
  <c r="P84" i="20"/>
  <c r="P81" i="20"/>
  <c r="P78" i="20"/>
  <c r="P75" i="20"/>
  <c r="P72" i="20"/>
  <c r="P69" i="20"/>
  <c r="P156" i="20"/>
  <c r="P143" i="20"/>
  <c r="P124" i="20"/>
  <c r="P121" i="20"/>
  <c r="P118" i="20"/>
  <c r="P115" i="20"/>
  <c r="P112" i="20"/>
  <c r="P109" i="20"/>
  <c r="P106" i="20"/>
  <c r="P103" i="20"/>
  <c r="P100" i="20"/>
  <c r="P97" i="20"/>
  <c r="P94" i="20"/>
  <c r="P91" i="20"/>
  <c r="P88" i="20"/>
  <c r="P85" i="20"/>
  <c r="P82" i="20"/>
  <c r="P79" i="20"/>
  <c r="P76" i="20"/>
  <c r="P73" i="20"/>
  <c r="P70" i="20"/>
  <c r="P153" i="20"/>
  <c r="P139" i="20"/>
  <c r="P133" i="20"/>
  <c r="P128" i="20"/>
  <c r="P148" i="20"/>
  <c r="P149" i="20"/>
  <c r="P122" i="20"/>
  <c r="P113" i="20"/>
  <c r="P104" i="20"/>
  <c r="P95" i="20"/>
  <c r="P86" i="20"/>
  <c r="P77" i="20"/>
  <c r="P137" i="20"/>
  <c r="P68" i="20"/>
  <c r="P152" i="20"/>
  <c r="P135" i="20"/>
  <c r="P147" i="20"/>
  <c r="P146" i="20"/>
  <c r="P138" i="20"/>
  <c r="P127" i="20"/>
  <c r="P110" i="20"/>
  <c r="P89" i="20"/>
  <c r="P59" i="20"/>
  <c r="P50" i="20"/>
  <c r="P41" i="20"/>
  <c r="P37" i="20"/>
  <c r="P34" i="20"/>
  <c r="P31" i="20"/>
  <c r="P28" i="20"/>
  <c r="P25" i="20"/>
  <c r="P22" i="20"/>
  <c r="P19" i="20"/>
  <c r="P16" i="20"/>
  <c r="P13" i="20"/>
  <c r="P10" i="20"/>
  <c r="P7" i="20"/>
  <c r="P4" i="20"/>
  <c r="Q1" i="20"/>
  <c r="P136" i="20"/>
  <c r="P125" i="20"/>
  <c r="P116" i="20"/>
  <c r="P58" i="20"/>
  <c r="P49" i="20"/>
  <c r="P40" i="20"/>
  <c r="P53" i="20"/>
  <c r="P44" i="20"/>
  <c r="P144" i="20"/>
  <c r="P57" i="20"/>
  <c r="P48" i="20"/>
  <c r="P39" i="20"/>
  <c r="P132" i="20"/>
  <c r="P150" i="20"/>
  <c r="P131" i="20"/>
  <c r="P92" i="20"/>
  <c r="P52" i="20"/>
  <c r="P43" i="20"/>
  <c r="P151" i="20"/>
  <c r="P130" i="20"/>
  <c r="P101" i="20"/>
  <c r="P98" i="20"/>
  <c r="P56" i="20"/>
  <c r="P47" i="20"/>
  <c r="P38" i="20"/>
  <c r="P36" i="20"/>
  <c r="P33" i="20"/>
  <c r="P30" i="20"/>
  <c r="P27" i="20"/>
  <c r="P24" i="20"/>
  <c r="P21" i="20"/>
  <c r="P18" i="20"/>
  <c r="P15" i="20"/>
  <c r="P12" i="20"/>
  <c r="P9" i="20"/>
  <c r="P6" i="20"/>
  <c r="P3" i="20"/>
  <c r="P141" i="20"/>
  <c r="P80" i="20"/>
  <c r="P71" i="20"/>
  <c r="P51" i="20"/>
  <c r="P42" i="20"/>
  <c r="P140" i="20"/>
  <c r="P129" i="20"/>
  <c r="P83" i="20"/>
  <c r="P74" i="20"/>
  <c r="P66" i="20"/>
  <c r="P65" i="20"/>
  <c r="P63" i="20"/>
  <c r="P62" i="20"/>
  <c r="P60" i="20"/>
  <c r="P46" i="20"/>
  <c r="P54" i="20"/>
  <c r="P45" i="20"/>
  <c r="P119" i="20"/>
  <c r="P55" i="20"/>
  <c r="P61" i="20"/>
  <c r="P107" i="20"/>
  <c r="P32" i="20"/>
  <c r="P35" i="20"/>
  <c r="P23" i="20"/>
  <c r="P14" i="20"/>
  <c r="P5" i="20"/>
  <c r="P29" i="20"/>
  <c r="P20" i="20"/>
  <c r="P11" i="20"/>
  <c r="P67" i="20"/>
  <c r="P64" i="20"/>
  <c r="P17" i="20"/>
  <c r="P26" i="20"/>
  <c r="P8" i="20"/>
  <c r="O180" i="24"/>
  <c r="O177" i="24"/>
  <c r="O174" i="24"/>
  <c r="O171" i="24"/>
  <c r="O168" i="24"/>
  <c r="O165" i="24"/>
  <c r="O162" i="24"/>
  <c r="O159" i="24"/>
  <c r="O156" i="24"/>
  <c r="O153" i="24"/>
  <c r="O150" i="24"/>
  <c r="O147" i="24"/>
  <c r="O144" i="24"/>
  <c r="O141" i="24"/>
  <c r="O181" i="24"/>
  <c r="O178" i="24"/>
  <c r="O175" i="24"/>
  <c r="O172" i="24"/>
  <c r="O169" i="24"/>
  <c r="O166" i="24"/>
  <c r="O163" i="24"/>
  <c r="O160" i="24"/>
  <c r="O157" i="24"/>
  <c r="O154" i="24"/>
  <c r="O151" i="24"/>
  <c r="O148" i="24"/>
  <c r="O145" i="24"/>
  <c r="O142" i="24"/>
  <c r="O120" i="24"/>
  <c r="O123" i="24"/>
  <c r="O131" i="24"/>
  <c r="O128" i="24"/>
  <c r="O137" i="24"/>
  <c r="O134" i="24"/>
  <c r="O115" i="24"/>
  <c r="O112" i="24"/>
  <c r="O109" i="24"/>
  <c r="O106" i="24"/>
  <c r="O103" i="24"/>
  <c r="O100" i="24"/>
  <c r="O97" i="24"/>
  <c r="O94" i="24"/>
  <c r="O91" i="24"/>
  <c r="O88" i="24"/>
  <c r="O85" i="24"/>
  <c r="O82" i="24"/>
  <c r="O79" i="24"/>
  <c r="O76" i="24"/>
  <c r="O73" i="24"/>
  <c r="O70" i="24"/>
  <c r="O67" i="24"/>
  <c r="O64" i="24"/>
  <c r="O61" i="24"/>
  <c r="O58" i="24"/>
  <c r="O55" i="24"/>
  <c r="O52" i="24"/>
  <c r="O49" i="24"/>
  <c r="O46" i="24"/>
  <c r="O43" i="24"/>
  <c r="O40" i="24"/>
  <c r="O37" i="24"/>
  <c r="O34" i="24"/>
  <c r="O31" i="24"/>
  <c r="O126" i="24"/>
  <c r="O121" i="24"/>
  <c r="O118" i="24"/>
  <c r="O179" i="24"/>
  <c r="O176" i="24"/>
  <c r="O173" i="24"/>
  <c r="O170" i="24"/>
  <c r="O167" i="24"/>
  <c r="O164" i="24"/>
  <c r="O161" i="24"/>
  <c r="O158" i="24"/>
  <c r="O155" i="24"/>
  <c r="O152" i="24"/>
  <c r="O149" i="24"/>
  <c r="O146" i="24"/>
  <c r="O143" i="24"/>
  <c r="O129" i="24"/>
  <c r="O124" i="24"/>
  <c r="O140" i="24"/>
  <c r="O138" i="24"/>
  <c r="O135" i="24"/>
  <c r="O132" i="24"/>
  <c r="O116" i="24"/>
  <c r="O113" i="24"/>
  <c r="O110" i="24"/>
  <c r="O107" i="24"/>
  <c r="O104" i="24"/>
  <c r="O101" i="24"/>
  <c r="O98" i="24"/>
  <c r="O95" i="24"/>
  <c r="O92" i="24"/>
  <c r="O89" i="24"/>
  <c r="O86" i="24"/>
  <c r="O83" i="24"/>
  <c r="O80" i="24"/>
  <c r="O77" i="24"/>
  <c r="O74" i="24"/>
  <c r="O71" i="24"/>
  <c r="O68" i="24"/>
  <c r="O65" i="24"/>
  <c r="O62" i="24"/>
  <c r="O59" i="24"/>
  <c r="O56" i="24"/>
  <c r="O53" i="24"/>
  <c r="O50" i="24"/>
  <c r="O47" i="24"/>
  <c r="O44" i="24"/>
  <c r="O41" i="24"/>
  <c r="O38" i="24"/>
  <c r="O35" i="24"/>
  <c r="O32" i="24"/>
  <c r="O29" i="24"/>
  <c r="O130" i="24"/>
  <c r="P1" i="24"/>
  <c r="O127" i="24"/>
  <c r="O51" i="24"/>
  <c r="O42" i="24"/>
  <c r="O33" i="24"/>
  <c r="O139" i="24"/>
  <c r="O136" i="24"/>
  <c r="O133" i="24"/>
  <c r="O26" i="24"/>
  <c r="O23" i="24"/>
  <c r="O20" i="24"/>
  <c r="O17" i="24"/>
  <c r="O14" i="24"/>
  <c r="O11" i="24"/>
  <c r="O8" i="24"/>
  <c r="O5" i="24"/>
  <c r="O122" i="24"/>
  <c r="O119" i="24"/>
  <c r="O125" i="24"/>
  <c r="O45" i="24"/>
  <c r="O36" i="24"/>
  <c r="O27" i="24"/>
  <c r="O24" i="24"/>
  <c r="O21" i="24"/>
  <c r="O18" i="24"/>
  <c r="O15" i="24"/>
  <c r="O12" i="24"/>
  <c r="O9" i="24"/>
  <c r="O6" i="24"/>
  <c r="O3" i="24"/>
  <c r="O25" i="24"/>
  <c r="O22" i="24"/>
  <c r="O19" i="24"/>
  <c r="O16" i="24"/>
  <c r="O13" i="24"/>
  <c r="O10" i="24"/>
  <c r="O7" i="24"/>
  <c r="O4" i="24"/>
  <c r="O28" i="24"/>
  <c r="O114" i="24"/>
  <c r="O108" i="24"/>
  <c r="O102" i="24"/>
  <c r="O96" i="24"/>
  <c r="O90" i="24"/>
  <c r="O84" i="24"/>
  <c r="O78" i="24"/>
  <c r="O72" i="24"/>
  <c r="O66" i="24"/>
  <c r="O60" i="24"/>
  <c r="O54" i="24"/>
  <c r="O48" i="24"/>
  <c r="O39" i="24"/>
  <c r="O30" i="24"/>
  <c r="O117" i="24"/>
  <c r="O111" i="24"/>
  <c r="O105" i="24"/>
  <c r="O99" i="24"/>
  <c r="O93" i="24"/>
  <c r="O87" i="24"/>
  <c r="O81" i="24"/>
  <c r="O75" i="24"/>
  <c r="O69" i="24"/>
  <c r="O63" i="24"/>
  <c r="O57" i="24"/>
  <c r="P180" i="24" l="1"/>
  <c r="P177" i="24"/>
  <c r="P174" i="24"/>
  <c r="P171" i="24"/>
  <c r="P168" i="24"/>
  <c r="P165" i="24"/>
  <c r="P162" i="24"/>
  <c r="P159" i="24"/>
  <c r="P156" i="24"/>
  <c r="P153" i="24"/>
  <c r="P150" i="24"/>
  <c r="P147" i="24"/>
  <c r="P144" i="24"/>
  <c r="P141" i="24"/>
  <c r="P181" i="24"/>
  <c r="P178" i="24"/>
  <c r="P175" i="24"/>
  <c r="P172" i="24"/>
  <c r="P169" i="24"/>
  <c r="P166" i="24"/>
  <c r="P163" i="24"/>
  <c r="P160" i="24"/>
  <c r="P157" i="24"/>
  <c r="P154" i="24"/>
  <c r="P151" i="24"/>
  <c r="P148" i="24"/>
  <c r="P145" i="24"/>
  <c r="P142" i="24"/>
  <c r="P179" i="24"/>
  <c r="P176" i="24"/>
  <c r="P173" i="24"/>
  <c r="P170" i="24"/>
  <c r="P167" i="24"/>
  <c r="P164" i="24"/>
  <c r="P161" i="24"/>
  <c r="P158" i="24"/>
  <c r="P155" i="24"/>
  <c r="P152" i="24"/>
  <c r="P149" i="24"/>
  <c r="P146" i="24"/>
  <c r="P143" i="24"/>
  <c r="P123" i="24"/>
  <c r="P131" i="24"/>
  <c r="P128" i="24"/>
  <c r="P137" i="24"/>
  <c r="P134" i="24"/>
  <c r="P115" i="24"/>
  <c r="P112" i="24"/>
  <c r="P109" i="24"/>
  <c r="P106" i="24"/>
  <c r="P103" i="24"/>
  <c r="P100" i="24"/>
  <c r="P97" i="24"/>
  <c r="P94" i="24"/>
  <c r="P91" i="24"/>
  <c r="P88" i="24"/>
  <c r="P85" i="24"/>
  <c r="P82" i="24"/>
  <c r="P79" i="24"/>
  <c r="P76" i="24"/>
  <c r="P73" i="24"/>
  <c r="P70" i="24"/>
  <c r="P67" i="24"/>
  <c r="P64" i="24"/>
  <c r="P61" i="24"/>
  <c r="P58" i="24"/>
  <c r="P55" i="24"/>
  <c r="P52" i="24"/>
  <c r="P49" i="24"/>
  <c r="P46" i="24"/>
  <c r="P43" i="24"/>
  <c r="P40" i="24"/>
  <c r="P37" i="24"/>
  <c r="P34" i="24"/>
  <c r="P31" i="24"/>
  <c r="P126" i="24"/>
  <c r="P121" i="24"/>
  <c r="P118" i="24"/>
  <c r="P129" i="24"/>
  <c r="P124" i="24"/>
  <c r="P140" i="24"/>
  <c r="P138" i="24"/>
  <c r="P135" i="24"/>
  <c r="P132" i="24"/>
  <c r="P116" i="24"/>
  <c r="P113" i="24"/>
  <c r="P110" i="24"/>
  <c r="P107" i="24"/>
  <c r="P104" i="24"/>
  <c r="P101" i="24"/>
  <c r="P98" i="24"/>
  <c r="P95" i="24"/>
  <c r="P92" i="24"/>
  <c r="P89" i="24"/>
  <c r="P86" i="24"/>
  <c r="P83" i="24"/>
  <c r="P80" i="24"/>
  <c r="P77" i="24"/>
  <c r="P74" i="24"/>
  <c r="P71" i="24"/>
  <c r="P68" i="24"/>
  <c r="P65" i="24"/>
  <c r="P62" i="24"/>
  <c r="P59" i="24"/>
  <c r="P56" i="24"/>
  <c r="P53" i="24"/>
  <c r="P50" i="24"/>
  <c r="P47" i="24"/>
  <c r="P44" i="24"/>
  <c r="P41" i="24"/>
  <c r="P38" i="24"/>
  <c r="P35" i="24"/>
  <c r="P32" i="24"/>
  <c r="P29" i="24"/>
  <c r="P122" i="24"/>
  <c r="P119" i="24"/>
  <c r="P139" i="24"/>
  <c r="P136" i="24"/>
  <c r="P133" i="24"/>
  <c r="P125" i="24"/>
  <c r="P117" i="24"/>
  <c r="P114" i="24"/>
  <c r="P111" i="24"/>
  <c r="P108" i="24"/>
  <c r="P105" i="24"/>
  <c r="P102" i="24"/>
  <c r="P99" i="24"/>
  <c r="P96" i="24"/>
  <c r="P93" i="24"/>
  <c r="P90" i="24"/>
  <c r="P87" i="24"/>
  <c r="P84" i="24"/>
  <c r="P81" i="24"/>
  <c r="P78" i="24"/>
  <c r="P75" i="24"/>
  <c r="P72" i="24"/>
  <c r="P69" i="24"/>
  <c r="P66" i="24"/>
  <c r="P63" i="24"/>
  <c r="P60" i="24"/>
  <c r="P57" i="24"/>
  <c r="P54" i="24"/>
  <c r="P127" i="24"/>
  <c r="P51" i="24"/>
  <c r="P42" i="24"/>
  <c r="P33" i="24"/>
  <c r="P130" i="24"/>
  <c r="P26" i="24"/>
  <c r="P23" i="24"/>
  <c r="P20" i="24"/>
  <c r="P17" i="24"/>
  <c r="P14" i="24"/>
  <c r="P11" i="24"/>
  <c r="P8" i="24"/>
  <c r="P5" i="24"/>
  <c r="P45" i="24"/>
  <c r="P36" i="24"/>
  <c r="P27" i="24"/>
  <c r="P28" i="24"/>
  <c r="P22" i="24"/>
  <c r="P13" i="24"/>
  <c r="P120" i="24"/>
  <c r="P48" i="24"/>
  <c r="P39" i="24"/>
  <c r="P30" i="24"/>
  <c r="P25" i="24"/>
  <c r="Q1" i="24"/>
  <c r="P24" i="24"/>
  <c r="P18" i="24"/>
  <c r="P7" i="24"/>
  <c r="P16" i="24"/>
  <c r="P12" i="24"/>
  <c r="P21" i="24"/>
  <c r="P19" i="24"/>
  <c r="P4" i="24"/>
  <c r="P3" i="24"/>
  <c r="P10" i="24"/>
  <c r="P6" i="24"/>
  <c r="P15" i="24"/>
  <c r="P9" i="24"/>
  <c r="O174" i="27"/>
  <c r="O171" i="27"/>
  <c r="O168" i="27"/>
  <c r="O165" i="27"/>
  <c r="O162" i="27"/>
  <c r="O159" i="27"/>
  <c r="O156" i="27"/>
  <c r="O153" i="27"/>
  <c r="O150" i="27"/>
  <c r="O147" i="27"/>
  <c r="O175" i="27"/>
  <c r="O172" i="27"/>
  <c r="O169" i="27"/>
  <c r="O166" i="27"/>
  <c r="O163" i="27"/>
  <c r="O160" i="27"/>
  <c r="O157" i="27"/>
  <c r="O154" i="27"/>
  <c r="O151" i="27"/>
  <c r="O148" i="27"/>
  <c r="O145" i="27"/>
  <c r="O176" i="27"/>
  <c r="O173" i="27"/>
  <c r="O170" i="27"/>
  <c r="O167" i="27"/>
  <c r="O164" i="27"/>
  <c r="O161" i="27"/>
  <c r="O158" i="27"/>
  <c r="O155" i="27"/>
  <c r="O152" i="27"/>
  <c r="O149" i="27"/>
  <c r="O146" i="27"/>
  <c r="O144" i="27"/>
  <c r="O141" i="27"/>
  <c r="O138" i="27"/>
  <c r="O135" i="27"/>
  <c r="O132" i="27"/>
  <c r="O129" i="27"/>
  <c r="O125" i="27"/>
  <c r="O116" i="27"/>
  <c r="O113" i="27"/>
  <c r="O142" i="27"/>
  <c r="O139" i="27"/>
  <c r="O136" i="27"/>
  <c r="O133" i="27"/>
  <c r="O130" i="27"/>
  <c r="O127" i="27"/>
  <c r="O123" i="27"/>
  <c r="O114" i="27"/>
  <c r="O143" i="27"/>
  <c r="O140" i="27"/>
  <c r="O137" i="27"/>
  <c r="O134" i="27"/>
  <c r="O131" i="27"/>
  <c r="O128" i="27"/>
  <c r="O124" i="27"/>
  <c r="O115" i="27"/>
  <c r="O111" i="27"/>
  <c r="O110" i="27"/>
  <c r="O107" i="27"/>
  <c r="O104" i="27"/>
  <c r="O101" i="27"/>
  <c r="O98" i="27"/>
  <c r="O95" i="27"/>
  <c r="O92" i="27"/>
  <c r="O89" i="27"/>
  <c r="O108" i="27"/>
  <c r="O105" i="27"/>
  <c r="O102" i="27"/>
  <c r="O99" i="27"/>
  <c r="O96" i="27"/>
  <c r="O93" i="27"/>
  <c r="O90" i="27"/>
  <c r="O109" i="27"/>
  <c r="O106" i="27"/>
  <c r="O103" i="27"/>
  <c r="O100" i="27"/>
  <c r="O97" i="27"/>
  <c r="O94" i="27"/>
  <c r="O91" i="27"/>
  <c r="O85" i="27"/>
  <c r="O82" i="27"/>
  <c r="O79" i="27"/>
  <c r="O76" i="27"/>
  <c r="O73" i="27"/>
  <c r="O70" i="27"/>
  <c r="O67" i="27"/>
  <c r="O64" i="27"/>
  <c r="O88" i="27"/>
  <c r="O87" i="27"/>
  <c r="O86" i="27"/>
  <c r="O83" i="27"/>
  <c r="O80" i="27"/>
  <c r="O77" i="27"/>
  <c r="O74" i="27"/>
  <c r="O71" i="27"/>
  <c r="O68" i="27"/>
  <c r="O65" i="27"/>
  <c r="O62" i="27"/>
  <c r="O59" i="27"/>
  <c r="O56" i="27"/>
  <c r="O53" i="27"/>
  <c r="O50" i="27"/>
  <c r="O47" i="27"/>
  <c r="O44" i="27"/>
  <c r="O41" i="27"/>
  <c r="O38" i="27"/>
  <c r="O81" i="27"/>
  <c r="O72" i="27"/>
  <c r="O63" i="27"/>
  <c r="O60" i="27"/>
  <c r="O57" i="27"/>
  <c r="O54" i="27"/>
  <c r="O51" i="27"/>
  <c r="O48" i="27"/>
  <c r="O45" i="27"/>
  <c r="O42" i="27"/>
  <c r="O39" i="27"/>
  <c r="O78" i="27"/>
  <c r="O69" i="27"/>
  <c r="O61" i="27"/>
  <c r="O58" i="27"/>
  <c r="O55" i="27"/>
  <c r="O52" i="27"/>
  <c r="O49" i="27"/>
  <c r="O46" i="27"/>
  <c r="O43" i="27"/>
  <c r="O40" i="27"/>
  <c r="O37" i="27"/>
  <c r="O84" i="27"/>
  <c r="O75" i="27"/>
  <c r="O66" i="27"/>
  <c r="O34" i="27"/>
  <c r="O31" i="27"/>
  <c r="O28" i="27"/>
  <c r="O25" i="27"/>
  <c r="O22" i="27"/>
  <c r="O19" i="27"/>
  <c r="O16" i="27"/>
  <c r="O13" i="27"/>
  <c r="O10" i="27"/>
  <c r="O35" i="27"/>
  <c r="O32" i="27"/>
  <c r="O29" i="27"/>
  <c r="O26" i="27"/>
  <c r="O23" i="27"/>
  <c r="O20" i="27"/>
  <c r="O17" i="27"/>
  <c r="O14" i="27"/>
  <c r="O11" i="27"/>
  <c r="O36" i="27"/>
  <c r="O33" i="27"/>
  <c r="O30" i="27"/>
  <c r="O27" i="27"/>
  <c r="O24" i="27"/>
  <c r="O21" i="27"/>
  <c r="O18" i="27"/>
  <c r="O15" i="27"/>
  <c r="O12" i="27"/>
  <c r="O9" i="27"/>
  <c r="O6" i="27"/>
  <c r="O3" i="27"/>
  <c r="O7" i="27"/>
  <c r="O4" i="27"/>
  <c r="O8" i="27"/>
  <c r="O5" i="27"/>
  <c r="P1" i="27"/>
  <c r="R184" i="22"/>
  <c r="R181" i="22"/>
  <c r="R178" i="22"/>
  <c r="R175" i="22"/>
  <c r="R172" i="22"/>
  <c r="R169" i="22"/>
  <c r="R166" i="22"/>
  <c r="R163" i="22"/>
  <c r="R160" i="22"/>
  <c r="R157" i="22"/>
  <c r="R154" i="22"/>
  <c r="R151" i="22"/>
  <c r="R148" i="22"/>
  <c r="R145" i="22"/>
  <c r="R142" i="22"/>
  <c r="R139" i="22"/>
  <c r="R136" i="22"/>
  <c r="R120" i="22"/>
  <c r="R126" i="22"/>
  <c r="R123" i="22"/>
  <c r="R131" i="22"/>
  <c r="R134" i="22"/>
  <c r="R185" i="22"/>
  <c r="R182" i="22"/>
  <c r="R179" i="22"/>
  <c r="R176" i="22"/>
  <c r="R173" i="22"/>
  <c r="R170" i="22"/>
  <c r="R167" i="22"/>
  <c r="R164" i="22"/>
  <c r="R161" i="22"/>
  <c r="R158" i="22"/>
  <c r="R155" i="22"/>
  <c r="R152" i="22"/>
  <c r="R149" i="22"/>
  <c r="R146" i="22"/>
  <c r="R143" i="22"/>
  <c r="R140" i="22"/>
  <c r="R137" i="22"/>
  <c r="R129" i="22"/>
  <c r="R121" i="22"/>
  <c r="R118" i="22"/>
  <c r="R124" i="22"/>
  <c r="R127" i="22"/>
  <c r="R135" i="22"/>
  <c r="R132" i="22"/>
  <c r="R130" i="22"/>
  <c r="R125" i="22"/>
  <c r="R122" i="22"/>
  <c r="R177" i="22"/>
  <c r="R168" i="22"/>
  <c r="R159" i="22"/>
  <c r="R150" i="22"/>
  <c r="R141" i="22"/>
  <c r="R116" i="22"/>
  <c r="R113" i="22"/>
  <c r="R110" i="22"/>
  <c r="R107" i="22"/>
  <c r="R104" i="22"/>
  <c r="R101" i="22"/>
  <c r="R98" i="22"/>
  <c r="R95" i="22"/>
  <c r="R92" i="22"/>
  <c r="R89" i="22"/>
  <c r="R86" i="22"/>
  <c r="R83" i="22"/>
  <c r="R80" i="22"/>
  <c r="R77" i="22"/>
  <c r="R74" i="22"/>
  <c r="R71" i="22"/>
  <c r="R68" i="22"/>
  <c r="R65" i="22"/>
  <c r="R62" i="22"/>
  <c r="R59" i="22"/>
  <c r="R56" i="22"/>
  <c r="R53" i="22"/>
  <c r="R50" i="22"/>
  <c r="R47" i="22"/>
  <c r="R44" i="22"/>
  <c r="R41" i="22"/>
  <c r="R38" i="22"/>
  <c r="R35" i="22"/>
  <c r="R32" i="22"/>
  <c r="R29" i="22"/>
  <c r="R26" i="22"/>
  <c r="R23" i="22"/>
  <c r="R20" i="22"/>
  <c r="R17" i="22"/>
  <c r="R14" i="22"/>
  <c r="R183" i="22"/>
  <c r="R174" i="22"/>
  <c r="R165" i="22"/>
  <c r="R156" i="22"/>
  <c r="R147" i="22"/>
  <c r="R138" i="22"/>
  <c r="R117" i="22"/>
  <c r="R114" i="22"/>
  <c r="R111" i="22"/>
  <c r="R108" i="22"/>
  <c r="R105" i="22"/>
  <c r="R102" i="22"/>
  <c r="R99" i="22"/>
  <c r="R96" i="22"/>
  <c r="R93" i="22"/>
  <c r="R90" i="22"/>
  <c r="R87" i="22"/>
  <c r="R84" i="22"/>
  <c r="R81" i="22"/>
  <c r="R78" i="22"/>
  <c r="R75" i="22"/>
  <c r="R72" i="22"/>
  <c r="R69" i="22"/>
  <c r="R66" i="22"/>
  <c r="R63" i="22"/>
  <c r="R60" i="22"/>
  <c r="R57" i="22"/>
  <c r="R54" i="22"/>
  <c r="R51" i="22"/>
  <c r="R48" i="22"/>
  <c r="R45" i="22"/>
  <c r="R42" i="22"/>
  <c r="R39" i="22"/>
  <c r="R36" i="22"/>
  <c r="R33" i="22"/>
  <c r="R30" i="22"/>
  <c r="R27" i="22"/>
  <c r="R24" i="22"/>
  <c r="R21" i="22"/>
  <c r="R18" i="22"/>
  <c r="R15" i="22"/>
  <c r="R12" i="22"/>
  <c r="R133" i="22"/>
  <c r="R180" i="22"/>
  <c r="R171" i="22"/>
  <c r="R162" i="22"/>
  <c r="R153" i="22"/>
  <c r="R144" i="22"/>
  <c r="R119" i="22"/>
  <c r="R128" i="22"/>
  <c r="R115" i="22"/>
  <c r="R112" i="22"/>
  <c r="R109" i="22"/>
  <c r="R106" i="22"/>
  <c r="R103" i="22"/>
  <c r="R100" i="22"/>
  <c r="R97" i="22"/>
  <c r="R94" i="22"/>
  <c r="R91" i="22"/>
  <c r="R88" i="22"/>
  <c r="R85" i="22"/>
  <c r="R82" i="22"/>
  <c r="R79" i="22"/>
  <c r="R76" i="22"/>
  <c r="R73" i="22"/>
  <c r="R70" i="22"/>
  <c r="R67" i="22"/>
  <c r="R64" i="22"/>
  <c r="R61" i="22"/>
  <c r="R58" i="22"/>
  <c r="R55" i="22"/>
  <c r="R52" i="22"/>
  <c r="R49" i="22"/>
  <c r="R46" i="22"/>
  <c r="R43" i="22"/>
  <c r="R40" i="22"/>
  <c r="R37" i="22"/>
  <c r="R34" i="22"/>
  <c r="R31" i="22"/>
  <c r="R28" i="22"/>
  <c r="R25" i="22"/>
  <c r="R22" i="22"/>
  <c r="R19" i="22"/>
  <c r="R16" i="22"/>
  <c r="R13" i="22"/>
  <c r="R10" i="22"/>
  <c r="R7" i="22"/>
  <c r="R4" i="22"/>
  <c r="S1" i="22"/>
  <c r="R11" i="22"/>
  <c r="R8" i="22"/>
  <c r="R5" i="22"/>
  <c r="R3" i="22"/>
  <c r="R6" i="22"/>
  <c r="R9" i="22"/>
  <c r="O135" i="23"/>
  <c r="O132" i="23"/>
  <c r="O183" i="23"/>
  <c r="O180" i="23"/>
  <c r="O177" i="23"/>
  <c r="O174" i="23"/>
  <c r="O171" i="23"/>
  <c r="O168" i="23"/>
  <c r="O165" i="23"/>
  <c r="O162" i="23"/>
  <c r="O159" i="23"/>
  <c r="O156" i="23"/>
  <c r="O153" i="23"/>
  <c r="O150" i="23"/>
  <c r="O147" i="23"/>
  <c r="O144" i="23"/>
  <c r="O141" i="23"/>
  <c r="O138" i="23"/>
  <c r="O119" i="23"/>
  <c r="O130" i="23"/>
  <c r="O125" i="23"/>
  <c r="O122" i="23"/>
  <c r="O133" i="23"/>
  <c r="O128" i="23"/>
  <c r="O126" i="23"/>
  <c r="O123" i="23"/>
  <c r="O131" i="23"/>
  <c r="O124" i="23"/>
  <c r="O178" i="23"/>
  <c r="O169" i="23"/>
  <c r="O160" i="23"/>
  <c r="O151" i="23"/>
  <c r="O142" i="23"/>
  <c r="O182" i="23"/>
  <c r="O173" i="23"/>
  <c r="O164" i="23"/>
  <c r="O155" i="23"/>
  <c r="O146" i="23"/>
  <c r="O137" i="23"/>
  <c r="O129" i="23"/>
  <c r="O184" i="23"/>
  <c r="O175" i="23"/>
  <c r="O166" i="23"/>
  <c r="O157" i="23"/>
  <c r="O148" i="23"/>
  <c r="O139" i="23"/>
  <c r="O185" i="23"/>
  <c r="O176" i="23"/>
  <c r="O167" i="23"/>
  <c r="O158" i="23"/>
  <c r="O149" i="23"/>
  <c r="O140" i="23"/>
  <c r="O179" i="23"/>
  <c r="O152" i="23"/>
  <c r="O116" i="23"/>
  <c r="O107" i="23"/>
  <c r="O170" i="23"/>
  <c r="O143" i="23"/>
  <c r="O113" i="23"/>
  <c r="O104" i="23"/>
  <c r="O163" i="23"/>
  <c r="O136" i="23"/>
  <c r="O114" i="23"/>
  <c r="O105" i="23"/>
  <c r="O134" i="23"/>
  <c r="O120" i="23"/>
  <c r="O96" i="23"/>
  <c r="O89" i="23"/>
  <c r="O112" i="23"/>
  <c r="O111" i="23"/>
  <c r="O110" i="23"/>
  <c r="O109" i="23"/>
  <c r="O99" i="23"/>
  <c r="O84" i="23"/>
  <c r="O108" i="23"/>
  <c r="O106" i="23"/>
  <c r="O88" i="23"/>
  <c r="O80" i="23"/>
  <c r="O77" i="23"/>
  <c r="O74" i="23"/>
  <c r="O71" i="23"/>
  <c r="O68" i="23"/>
  <c r="O65" i="23"/>
  <c r="O62" i="23"/>
  <c r="O59" i="23"/>
  <c r="O56" i="23"/>
  <c r="O53" i="23"/>
  <c r="O50" i="23"/>
  <c r="O121" i="23"/>
  <c r="O83" i="23"/>
  <c r="O103" i="23"/>
  <c r="O97" i="23"/>
  <c r="O172" i="23"/>
  <c r="O93" i="23"/>
  <c r="O92" i="23"/>
  <c r="O81" i="23"/>
  <c r="O78" i="23"/>
  <c r="O75" i="23"/>
  <c r="O72" i="23"/>
  <c r="O69" i="23"/>
  <c r="O66" i="23"/>
  <c r="O63" i="23"/>
  <c r="O60" i="23"/>
  <c r="O57" i="23"/>
  <c r="O54" i="23"/>
  <c r="O51" i="23"/>
  <c r="O48" i="23"/>
  <c r="O95" i="23"/>
  <c r="O91" i="23"/>
  <c r="O86" i="23"/>
  <c r="O161" i="23"/>
  <c r="O181" i="23"/>
  <c r="O154" i="23"/>
  <c r="O145" i="23"/>
  <c r="O118" i="23"/>
  <c r="O98" i="23"/>
  <c r="O90" i="23"/>
  <c r="O87" i="23"/>
  <c r="O47" i="23"/>
  <c r="O44" i="23"/>
  <c r="O41" i="23"/>
  <c r="O38" i="23"/>
  <c r="O35" i="23"/>
  <c r="O32" i="23"/>
  <c r="O29" i="23"/>
  <c r="O26" i="23"/>
  <c r="O23" i="23"/>
  <c r="O20" i="23"/>
  <c r="O17" i="23"/>
  <c r="O14" i="23"/>
  <c r="O11" i="23"/>
  <c r="O8" i="23"/>
  <c r="O5" i="23"/>
  <c r="O115" i="23"/>
  <c r="O64" i="23"/>
  <c r="O55" i="23"/>
  <c r="O79" i="23"/>
  <c r="O70" i="23"/>
  <c r="O102" i="23"/>
  <c r="O52" i="23"/>
  <c r="O45" i="23"/>
  <c r="O42" i="23"/>
  <c r="O39" i="23"/>
  <c r="O36" i="23"/>
  <c r="O33" i="23"/>
  <c r="O30" i="23"/>
  <c r="O27" i="23"/>
  <c r="O24" i="23"/>
  <c r="O21" i="23"/>
  <c r="O18" i="23"/>
  <c r="O15" i="23"/>
  <c r="O12" i="23"/>
  <c r="O9" i="23"/>
  <c r="O6" i="23"/>
  <c r="O3" i="23"/>
  <c r="O94" i="23"/>
  <c r="O58" i="23"/>
  <c r="O101" i="23"/>
  <c r="O76" i="23"/>
  <c r="O67" i="23"/>
  <c r="O117" i="23"/>
  <c r="O85" i="23"/>
  <c r="O100" i="23"/>
  <c r="O61" i="23"/>
  <c r="P1" i="23"/>
  <c r="O127" i="23"/>
  <c r="O40" i="23"/>
  <c r="O31" i="23"/>
  <c r="O22" i="23"/>
  <c r="O13" i="23"/>
  <c r="O4" i="23"/>
  <c r="O73" i="23"/>
  <c r="O49" i="23"/>
  <c r="O46" i="23"/>
  <c r="O37" i="23"/>
  <c r="O28" i="23"/>
  <c r="O19" i="23"/>
  <c r="O10" i="23"/>
  <c r="O82" i="23"/>
  <c r="O43" i="23"/>
  <c r="O34" i="23"/>
  <c r="O25" i="23"/>
  <c r="O16" i="23"/>
  <c r="O7" i="23"/>
  <c r="O136" i="21"/>
  <c r="O131" i="21"/>
  <c r="O187" i="21"/>
  <c r="O184" i="21"/>
  <c r="O181" i="21"/>
  <c r="O178" i="21"/>
  <c r="O175" i="21"/>
  <c r="O172" i="21"/>
  <c r="O169" i="21"/>
  <c r="O166" i="21"/>
  <c r="O163" i="21"/>
  <c r="O160" i="21"/>
  <c r="O157" i="21"/>
  <c r="O154" i="21"/>
  <c r="O151" i="21"/>
  <c r="O148" i="21"/>
  <c r="O145" i="21"/>
  <c r="O142" i="21"/>
  <c r="O139" i="21"/>
  <c r="O123" i="21"/>
  <c r="O120" i="21"/>
  <c r="O117" i="21"/>
  <c r="O114" i="21"/>
  <c r="O111" i="21"/>
  <c r="O129" i="21"/>
  <c r="O126" i="21"/>
  <c r="O134" i="21"/>
  <c r="O188" i="21"/>
  <c r="O185" i="21"/>
  <c r="O182" i="21"/>
  <c r="O179" i="21"/>
  <c r="O176" i="21"/>
  <c r="O173" i="21"/>
  <c r="O170" i="21"/>
  <c r="O167" i="21"/>
  <c r="O164" i="21"/>
  <c r="O161" i="21"/>
  <c r="O158" i="21"/>
  <c r="O155" i="21"/>
  <c r="O130" i="21"/>
  <c r="O138" i="21"/>
  <c r="O135" i="21"/>
  <c r="O183" i="21"/>
  <c r="O174" i="21"/>
  <c r="O128" i="21"/>
  <c r="O125" i="21"/>
  <c r="O109" i="21"/>
  <c r="O106" i="21"/>
  <c r="O103" i="21"/>
  <c r="O100" i="21"/>
  <c r="O97" i="21"/>
  <c r="O94" i="21"/>
  <c r="O91" i="21"/>
  <c r="O88" i="21"/>
  <c r="O85" i="21"/>
  <c r="O82" i="21"/>
  <c r="O79" i="21"/>
  <c r="O76" i="21"/>
  <c r="O73" i="21"/>
  <c r="O70" i="21"/>
  <c r="O67" i="21"/>
  <c r="O64" i="21"/>
  <c r="O61" i="21"/>
  <c r="O58" i="21"/>
  <c r="O55" i="21"/>
  <c r="O52" i="21"/>
  <c r="O49" i="21"/>
  <c r="O46" i="21"/>
  <c r="O43" i="21"/>
  <c r="O40" i="21"/>
  <c r="O37" i="21"/>
  <c r="O34" i="21"/>
  <c r="O31" i="21"/>
  <c r="O28" i="21"/>
  <c r="O25" i="21"/>
  <c r="O22" i="21"/>
  <c r="O19" i="21"/>
  <c r="O152" i="21"/>
  <c r="O143" i="21"/>
  <c r="O137" i="21"/>
  <c r="O180" i="21"/>
  <c r="O127" i="21"/>
  <c r="O110" i="21"/>
  <c r="O107" i="21"/>
  <c r="O104" i="21"/>
  <c r="O101" i="21"/>
  <c r="O98" i="21"/>
  <c r="O95" i="21"/>
  <c r="O92" i="21"/>
  <c r="O89" i="21"/>
  <c r="O86" i="21"/>
  <c r="O83" i="21"/>
  <c r="O80" i="21"/>
  <c r="O77" i="21"/>
  <c r="O74" i="21"/>
  <c r="O71" i="21"/>
  <c r="O68" i="21"/>
  <c r="O65" i="21"/>
  <c r="O62" i="21"/>
  <c r="O59" i="21"/>
  <c r="O56" i="21"/>
  <c r="O53" i="21"/>
  <c r="O50" i="21"/>
  <c r="O47" i="21"/>
  <c r="O44" i="21"/>
  <c r="O41" i="21"/>
  <c r="O38" i="21"/>
  <c r="O35" i="21"/>
  <c r="O32" i="21"/>
  <c r="O29" i="21"/>
  <c r="O26" i="21"/>
  <c r="O23" i="21"/>
  <c r="O20" i="21"/>
  <c r="O17" i="21"/>
  <c r="O133" i="21"/>
  <c r="O186" i="21"/>
  <c r="O177" i="21"/>
  <c r="O146" i="21"/>
  <c r="O149" i="21"/>
  <c r="O140" i="21"/>
  <c r="O48" i="21"/>
  <c r="O108" i="21"/>
  <c r="O105" i="21"/>
  <c r="O102" i="21"/>
  <c r="O99" i="21"/>
  <c r="O96" i="21"/>
  <c r="O93" i="21"/>
  <c r="O90" i="21"/>
  <c r="O87" i="21"/>
  <c r="O84" i="21"/>
  <c r="O81" i="21"/>
  <c r="O78" i="21"/>
  <c r="O75" i="21"/>
  <c r="O72" i="21"/>
  <c r="O69" i="21"/>
  <c r="O66" i="21"/>
  <c r="O63" i="21"/>
  <c r="O60" i="21"/>
  <c r="O57" i="21"/>
  <c r="O54" i="21"/>
  <c r="O132" i="21"/>
  <c r="O45" i="21"/>
  <c r="O36" i="21"/>
  <c r="O27" i="21"/>
  <c r="O18" i="21"/>
  <c r="O171" i="21"/>
  <c r="O168" i="21"/>
  <c r="O165" i="21"/>
  <c r="O156" i="21"/>
  <c r="O51" i="21"/>
  <c r="P1" i="21"/>
  <c r="O150" i="21"/>
  <c r="O141" i="21"/>
  <c r="O124" i="21"/>
  <c r="O121" i="21"/>
  <c r="O118" i="21"/>
  <c r="O115" i="21"/>
  <c r="O112" i="21"/>
  <c r="O14" i="21"/>
  <c r="O11" i="21"/>
  <c r="O8" i="21"/>
  <c r="O5" i="21"/>
  <c r="O162" i="21"/>
  <c r="O144" i="21"/>
  <c r="O116" i="21"/>
  <c r="O153" i="21"/>
  <c r="O159" i="21"/>
  <c r="O147" i="21"/>
  <c r="O122" i="21"/>
  <c r="O113" i="21"/>
  <c r="O10" i="21"/>
  <c r="O9" i="21"/>
  <c r="O15" i="21"/>
  <c r="O24" i="21"/>
  <c r="O33" i="21"/>
  <c r="O16" i="21"/>
  <c r="O21" i="21"/>
  <c r="O42" i="21"/>
  <c r="O39" i="21"/>
  <c r="O7" i="21"/>
  <c r="O13" i="21"/>
  <c r="O4" i="21"/>
  <c r="O12" i="21"/>
  <c r="O30" i="21"/>
  <c r="O119" i="21"/>
  <c r="O6" i="21"/>
  <c r="O3" i="21"/>
  <c r="P177" i="25"/>
  <c r="P178" i="25"/>
  <c r="P133" i="25"/>
  <c r="P130" i="25"/>
  <c r="P179" i="25"/>
  <c r="P125" i="25"/>
  <c r="P134" i="25"/>
  <c r="P131" i="25"/>
  <c r="P123" i="25"/>
  <c r="P115" i="25"/>
  <c r="P112" i="25"/>
  <c r="P109" i="25"/>
  <c r="P106" i="25"/>
  <c r="P103" i="25"/>
  <c r="P100" i="25"/>
  <c r="P97" i="25"/>
  <c r="P166" i="25"/>
  <c r="P152" i="25"/>
  <c r="P149" i="25"/>
  <c r="P172" i="25"/>
  <c r="P169" i="25"/>
  <c r="P155" i="25"/>
  <c r="P146" i="25"/>
  <c r="P138" i="25"/>
  <c r="P132" i="25"/>
  <c r="P128" i="25"/>
  <c r="P175" i="25"/>
  <c r="P161" i="25"/>
  <c r="P158" i="25"/>
  <c r="P142" i="25"/>
  <c r="P124" i="25"/>
  <c r="P170" i="25"/>
  <c r="P167" i="25"/>
  <c r="P143" i="25"/>
  <c r="P139" i="25"/>
  <c r="P135" i="25"/>
  <c r="P129" i="25"/>
  <c r="P173" i="25"/>
  <c r="P153" i="25"/>
  <c r="P150" i="25"/>
  <c r="P147" i="25"/>
  <c r="P99" i="25"/>
  <c r="P176" i="25"/>
  <c r="P156" i="25"/>
  <c r="P162" i="25"/>
  <c r="P159" i="25"/>
  <c r="P140" i="25"/>
  <c r="P160" i="25"/>
  <c r="P136" i="25"/>
  <c r="P92" i="25"/>
  <c r="P88" i="25"/>
  <c r="P83" i="25"/>
  <c r="P79" i="25"/>
  <c r="P148" i="25"/>
  <c r="P145" i="25"/>
  <c r="P126" i="25"/>
  <c r="P163" i="25"/>
  <c r="P93" i="25"/>
  <c r="P84" i="25"/>
  <c r="P75" i="25"/>
  <c r="P69" i="25"/>
  <c r="P66" i="25"/>
  <c r="P63" i="25"/>
  <c r="P60" i="25"/>
  <c r="P57" i="25"/>
  <c r="P54" i="25"/>
  <c r="P51" i="25"/>
  <c r="P48" i="25"/>
  <c r="P171" i="25"/>
  <c r="P111" i="25"/>
  <c r="P107" i="25"/>
  <c r="P104" i="25"/>
  <c r="P151" i="25"/>
  <c r="P144" i="25"/>
  <c r="P127" i="25"/>
  <c r="P94" i="25"/>
  <c r="P89" i="25"/>
  <c r="P85" i="25"/>
  <c r="P80" i="25"/>
  <c r="P76" i="25"/>
  <c r="P74" i="25"/>
  <c r="P141" i="25"/>
  <c r="P110" i="25"/>
  <c r="P101" i="25"/>
  <c r="P165" i="25"/>
  <c r="P154" i="25"/>
  <c r="P90" i="25"/>
  <c r="P81" i="25"/>
  <c r="P73" i="25"/>
  <c r="P70" i="25"/>
  <c r="P67" i="25"/>
  <c r="P64" i="25"/>
  <c r="P61" i="25"/>
  <c r="P58" i="25"/>
  <c r="P55" i="25"/>
  <c r="P52" i="25"/>
  <c r="P49" i="25"/>
  <c r="P46" i="25"/>
  <c r="P43" i="25"/>
  <c r="P164" i="25"/>
  <c r="P122" i="25"/>
  <c r="P96" i="25"/>
  <c r="P87" i="25"/>
  <c r="P78" i="25"/>
  <c r="P68" i="25"/>
  <c r="P65" i="25"/>
  <c r="P62" i="25"/>
  <c r="P59" i="25"/>
  <c r="P56" i="25"/>
  <c r="P53" i="25"/>
  <c r="P50" i="25"/>
  <c r="P47" i="25"/>
  <c r="P44" i="25"/>
  <c r="P157" i="25"/>
  <c r="P119" i="25"/>
  <c r="P116" i="25"/>
  <c r="P168" i="25"/>
  <c r="P113" i="25"/>
  <c r="P108" i="25"/>
  <c r="P82" i="25"/>
  <c r="P41" i="25"/>
  <c r="P38" i="25"/>
  <c r="P35" i="25"/>
  <c r="P32" i="25"/>
  <c r="P29" i="25"/>
  <c r="P26" i="25"/>
  <c r="P23" i="25"/>
  <c r="P20" i="25"/>
  <c r="P17" i="25"/>
  <c r="P14" i="25"/>
  <c r="P11" i="25"/>
  <c r="P8" i="25"/>
  <c r="P118" i="25"/>
  <c r="P95" i="25"/>
  <c r="P86" i="25"/>
  <c r="P121" i="25"/>
  <c r="P105" i="25"/>
  <c r="P39" i="25"/>
  <c r="P36" i="25"/>
  <c r="P33" i="25"/>
  <c r="P30" i="25"/>
  <c r="P27" i="25"/>
  <c r="P24" i="25"/>
  <c r="P21" i="25"/>
  <c r="P18" i="25"/>
  <c r="P15" i="25"/>
  <c r="P12" i="25"/>
  <c r="P9" i="25"/>
  <c r="P174" i="25"/>
  <c r="P91" i="25"/>
  <c r="P72" i="25"/>
  <c r="P40" i="25"/>
  <c r="P37" i="25"/>
  <c r="P34" i="25"/>
  <c r="P31" i="25"/>
  <c r="P28" i="25"/>
  <c r="P25" i="25"/>
  <c r="P22" i="25"/>
  <c r="P19" i="25"/>
  <c r="P16" i="25"/>
  <c r="P13" i="25"/>
  <c r="P10" i="25"/>
  <c r="P137" i="25"/>
  <c r="P77" i="25"/>
  <c r="P120" i="25"/>
  <c r="P45" i="25"/>
  <c r="P6" i="25"/>
  <c r="P3" i="25"/>
  <c r="P117" i="25"/>
  <c r="P98" i="25"/>
  <c r="P71" i="25"/>
  <c r="P114" i="25"/>
  <c r="P42" i="25"/>
  <c r="P7" i="25"/>
  <c r="P4" i="25"/>
  <c r="Q1" i="25"/>
  <c r="P5" i="25"/>
  <c r="P102" i="25"/>
  <c r="R140" i="17"/>
  <c r="R135" i="17"/>
  <c r="R190" i="17"/>
  <c r="R181" i="17"/>
  <c r="R185" i="17"/>
  <c r="R176" i="17"/>
  <c r="R167" i="17"/>
  <c r="R158" i="17"/>
  <c r="R149" i="17"/>
  <c r="R138" i="17"/>
  <c r="R141" i="17"/>
  <c r="R184" i="17"/>
  <c r="R178" i="17"/>
  <c r="R148" i="17"/>
  <c r="R146" i="17"/>
  <c r="R145" i="17"/>
  <c r="R143" i="17"/>
  <c r="R121" i="17"/>
  <c r="R112" i="17"/>
  <c r="R103" i="17"/>
  <c r="R67" i="17"/>
  <c r="R64" i="17"/>
  <c r="R61" i="17"/>
  <c r="R58" i="17"/>
  <c r="R55" i="17"/>
  <c r="R52" i="17"/>
  <c r="R49" i="17"/>
  <c r="R46" i="17"/>
  <c r="R43" i="17"/>
  <c r="R40" i="17"/>
  <c r="R37" i="17"/>
  <c r="R34" i="17"/>
  <c r="R31" i="17"/>
  <c r="R28" i="17"/>
  <c r="R25" i="17"/>
  <c r="R22" i="17"/>
  <c r="R19" i="17"/>
  <c r="R16" i="17"/>
  <c r="R13" i="17"/>
  <c r="R10" i="17"/>
  <c r="R7" i="17"/>
  <c r="R4" i="17"/>
  <c r="R186" i="17"/>
  <c r="R173" i="17"/>
  <c r="R164" i="17"/>
  <c r="R155" i="17"/>
  <c r="R192" i="17"/>
  <c r="R120" i="17"/>
  <c r="R111" i="17"/>
  <c r="R102" i="17"/>
  <c r="R129" i="17"/>
  <c r="R124" i="17"/>
  <c r="R115" i="17"/>
  <c r="R106" i="17"/>
  <c r="R97" i="17"/>
  <c r="R68" i="17"/>
  <c r="R65" i="17"/>
  <c r="R62" i="17"/>
  <c r="R59" i="17"/>
  <c r="R56" i="17"/>
  <c r="R53" i="17"/>
  <c r="R50" i="17"/>
  <c r="R47" i="17"/>
  <c r="R44" i="17"/>
  <c r="R41" i="17"/>
  <c r="R38" i="17"/>
  <c r="R35" i="17"/>
  <c r="R32" i="17"/>
  <c r="R29" i="17"/>
  <c r="R26" i="17"/>
  <c r="R23" i="17"/>
  <c r="R20" i="17"/>
  <c r="R17" i="17"/>
  <c r="R14" i="17"/>
  <c r="R11" i="17"/>
  <c r="R8" i="17"/>
  <c r="R5" i="17"/>
  <c r="R179" i="17"/>
  <c r="R171" i="17"/>
  <c r="R162" i="17"/>
  <c r="R153" i="17"/>
  <c r="R128" i="17"/>
  <c r="R119" i="17"/>
  <c r="R110" i="17"/>
  <c r="R101" i="17"/>
  <c r="R91" i="17"/>
  <c r="R89" i="17"/>
  <c r="R86" i="17"/>
  <c r="R83" i="17"/>
  <c r="R80" i="17"/>
  <c r="R77" i="17"/>
  <c r="R74" i="17"/>
  <c r="R71" i="17"/>
  <c r="R177" i="17"/>
  <c r="R174" i="17"/>
  <c r="R168" i="17"/>
  <c r="R165" i="17"/>
  <c r="R159" i="17"/>
  <c r="R156" i="17"/>
  <c r="R150" i="17"/>
  <c r="R93" i="17"/>
  <c r="R187" i="17"/>
  <c r="R136" i="17"/>
  <c r="R132" i="17"/>
  <c r="R127" i="17"/>
  <c r="R118" i="17"/>
  <c r="R109" i="17"/>
  <c r="R100" i="17"/>
  <c r="R66" i="17"/>
  <c r="R63" i="17"/>
  <c r="R60" i="17"/>
  <c r="R57" i="17"/>
  <c r="R54" i="17"/>
  <c r="R51" i="17"/>
  <c r="R48" i="17"/>
  <c r="R45" i="17"/>
  <c r="R42" i="17"/>
  <c r="R39" i="17"/>
  <c r="R36" i="17"/>
  <c r="R33" i="17"/>
  <c r="R30" i="17"/>
  <c r="R27" i="17"/>
  <c r="R24" i="17"/>
  <c r="R21" i="17"/>
  <c r="R18" i="17"/>
  <c r="R15" i="17"/>
  <c r="R12" i="17"/>
  <c r="R9" i="17"/>
  <c r="R6" i="17"/>
  <c r="R3" i="17"/>
  <c r="R191" i="17"/>
  <c r="R175" i="17"/>
  <c r="R166" i="17"/>
  <c r="R157" i="17"/>
  <c r="R122" i="17"/>
  <c r="R113" i="17"/>
  <c r="R104" i="17"/>
  <c r="R95" i="17"/>
  <c r="R87" i="17"/>
  <c r="R84" i="17"/>
  <c r="R81" i="17"/>
  <c r="R78" i="17"/>
  <c r="R75" i="17"/>
  <c r="R72" i="17"/>
  <c r="R69" i="17"/>
  <c r="R172" i="17"/>
  <c r="R169" i="17"/>
  <c r="R163" i="17"/>
  <c r="R160" i="17"/>
  <c r="R154" i="17"/>
  <c r="R151" i="17"/>
  <c r="R137" i="17"/>
  <c r="R131" i="17"/>
  <c r="R90" i="17"/>
  <c r="R152" i="17"/>
  <c r="R189" i="17"/>
  <c r="R133" i="17"/>
  <c r="R147" i="17"/>
  <c r="R139" i="17"/>
  <c r="R161" i="17"/>
  <c r="R183" i="17"/>
  <c r="S1" i="17"/>
  <c r="R180" i="17"/>
  <c r="R188" i="17"/>
  <c r="R170" i="17"/>
  <c r="R125" i="17"/>
  <c r="R116" i="17"/>
  <c r="R107" i="17"/>
  <c r="R98" i="17"/>
  <c r="R88" i="17"/>
  <c r="R85" i="17"/>
  <c r="R82" i="17"/>
  <c r="R79" i="17"/>
  <c r="R76" i="17"/>
  <c r="R73" i="17"/>
  <c r="R70" i="17"/>
  <c r="R134" i="17"/>
  <c r="R123" i="17"/>
  <c r="R114" i="17"/>
  <c r="R105" i="17"/>
  <c r="R96" i="17"/>
  <c r="R144" i="17"/>
  <c r="R142" i="17"/>
  <c r="R182" i="17"/>
  <c r="R130" i="17"/>
  <c r="R94" i="17"/>
  <c r="R92" i="17"/>
  <c r="R126" i="17"/>
  <c r="R117" i="17"/>
  <c r="R108" i="17"/>
  <c r="R99" i="17"/>
  <c r="Q188" i="20"/>
  <c r="Q185" i="20"/>
  <c r="Q182" i="20"/>
  <c r="Q179" i="20"/>
  <c r="Q176" i="20"/>
  <c r="Q173" i="20"/>
  <c r="Q170" i="20"/>
  <c r="Q167" i="20"/>
  <c r="Q164" i="20"/>
  <c r="Q161" i="20"/>
  <c r="Q158" i="20"/>
  <c r="Q155" i="20"/>
  <c r="Q154" i="20"/>
  <c r="Q149" i="20"/>
  <c r="Q129" i="20"/>
  <c r="Q153" i="20"/>
  <c r="Q152" i="20"/>
  <c r="Q147" i="20"/>
  <c r="Q135" i="20"/>
  <c r="Q130" i="20"/>
  <c r="Q127" i="20"/>
  <c r="Q190" i="20"/>
  <c r="Q163" i="20"/>
  <c r="Q148" i="20"/>
  <c r="Q123" i="20"/>
  <c r="Q177" i="20"/>
  <c r="Q143" i="20"/>
  <c r="Q138" i="20"/>
  <c r="Q132" i="20"/>
  <c r="Q118" i="20"/>
  <c r="Q109" i="20"/>
  <c r="Q100" i="20"/>
  <c r="Q91" i="20"/>
  <c r="Q82" i="20"/>
  <c r="Q73" i="20"/>
  <c r="Q180" i="20"/>
  <c r="Q166" i="20"/>
  <c r="Q150" i="20"/>
  <c r="Q131" i="20"/>
  <c r="Q65" i="20"/>
  <c r="Q62" i="20"/>
  <c r="Q168" i="20"/>
  <c r="Q151" i="20"/>
  <c r="Q121" i="20"/>
  <c r="Q112" i="20"/>
  <c r="Q103" i="20"/>
  <c r="Q94" i="20"/>
  <c r="Q85" i="20"/>
  <c r="Q76" i="20"/>
  <c r="Q183" i="20"/>
  <c r="Q169" i="20"/>
  <c r="Q172" i="20"/>
  <c r="Q145" i="20"/>
  <c r="Q140" i="20"/>
  <c r="Q120" i="20"/>
  <c r="Q111" i="20"/>
  <c r="Q102" i="20"/>
  <c r="Q93" i="20"/>
  <c r="Q187" i="20"/>
  <c r="Q174" i="20"/>
  <c r="Q160" i="20"/>
  <c r="Q144" i="20"/>
  <c r="Q134" i="20"/>
  <c r="Q119" i="20"/>
  <c r="Q110" i="20"/>
  <c r="Q101" i="20"/>
  <c r="Q189" i="20"/>
  <c r="Q54" i="20"/>
  <c r="Q45" i="20"/>
  <c r="Q181" i="20"/>
  <c r="Q137" i="20"/>
  <c r="Q126" i="20"/>
  <c r="Q117" i="20"/>
  <c r="Q113" i="20"/>
  <c r="Q97" i="20"/>
  <c r="Q95" i="20"/>
  <c r="Q186" i="20"/>
  <c r="Q136" i="20"/>
  <c r="Q125" i="20"/>
  <c r="Q116" i="20"/>
  <c r="Q106" i="20"/>
  <c r="Q87" i="20"/>
  <c r="Q78" i="20"/>
  <c r="Q69" i="20"/>
  <c r="Q58" i="20"/>
  <c r="Q49" i="20"/>
  <c r="Q40" i="20"/>
  <c r="Q178" i="20"/>
  <c r="Q165" i="20"/>
  <c r="Q156" i="20"/>
  <c r="Q99" i="20"/>
  <c r="Q53" i="20"/>
  <c r="Q44" i="20"/>
  <c r="Q35" i="20"/>
  <c r="Q32" i="20"/>
  <c r="Q29" i="20"/>
  <c r="Q26" i="20"/>
  <c r="Q23" i="20"/>
  <c r="Q20" i="20"/>
  <c r="Q17" i="20"/>
  <c r="Q14" i="20"/>
  <c r="Q11" i="20"/>
  <c r="Q8" i="20"/>
  <c r="Q5" i="20"/>
  <c r="Q146" i="20"/>
  <c r="Q124" i="20"/>
  <c r="Q57" i="20"/>
  <c r="Q48" i="20"/>
  <c r="Q175" i="20"/>
  <c r="Q162" i="20"/>
  <c r="Q133" i="20"/>
  <c r="Q88" i="20"/>
  <c r="Q79" i="20"/>
  <c r="Q70" i="20"/>
  <c r="Q122" i="20"/>
  <c r="Q115" i="20"/>
  <c r="Q105" i="20"/>
  <c r="Q92" i="20"/>
  <c r="Q90" i="20"/>
  <c r="Q52" i="20"/>
  <c r="Q43" i="20"/>
  <c r="Q142" i="20"/>
  <c r="Q108" i="20"/>
  <c r="Q98" i="20"/>
  <c r="Q56" i="20"/>
  <c r="Q47" i="20"/>
  <c r="Q38" i="20"/>
  <c r="Q36" i="20"/>
  <c r="Q33" i="20"/>
  <c r="Q30" i="20"/>
  <c r="Q27" i="20"/>
  <c r="Q24" i="20"/>
  <c r="Q21" i="20"/>
  <c r="Q18" i="20"/>
  <c r="Q15" i="20"/>
  <c r="Q12" i="20"/>
  <c r="Q9" i="20"/>
  <c r="Q6" i="20"/>
  <c r="Q3" i="20"/>
  <c r="Q141" i="20"/>
  <c r="Q96" i="20"/>
  <c r="Q80" i="20"/>
  <c r="Q71" i="20"/>
  <c r="Q51" i="20"/>
  <c r="Q42" i="20"/>
  <c r="Q157" i="20"/>
  <c r="Q104" i="20"/>
  <c r="Q86" i="20"/>
  <c r="Q83" i="20"/>
  <c r="Q77" i="20"/>
  <c r="Q74" i="20"/>
  <c r="Q66" i="20"/>
  <c r="Q63" i="20"/>
  <c r="Q60" i="20"/>
  <c r="Q159" i="20"/>
  <c r="Q114" i="20"/>
  <c r="Q107" i="20"/>
  <c r="Q68" i="20"/>
  <c r="Q67" i="20"/>
  <c r="Q64" i="20"/>
  <c r="Q61" i="20"/>
  <c r="Q55" i="20"/>
  <c r="Q46" i="20"/>
  <c r="Q171" i="20"/>
  <c r="Q72" i="20"/>
  <c r="Q59" i="20"/>
  <c r="Q41" i="20"/>
  <c r="Q75" i="20"/>
  <c r="Q89" i="20"/>
  <c r="Q39" i="20"/>
  <c r="Q37" i="20"/>
  <c r="Q34" i="20"/>
  <c r="Q31" i="20"/>
  <c r="Q28" i="20"/>
  <c r="Q25" i="20"/>
  <c r="Q22" i="20"/>
  <c r="Q19" i="20"/>
  <c r="Q16" i="20"/>
  <c r="Q13" i="20"/>
  <c r="Q10" i="20"/>
  <c r="Q7" i="20"/>
  <c r="Q4" i="20"/>
  <c r="Q184" i="20"/>
  <c r="Q81" i="20"/>
  <c r="Q84" i="20"/>
  <c r="Q139" i="20"/>
  <c r="Q128" i="20"/>
  <c r="R1" i="20"/>
  <c r="Q50" i="20"/>
  <c r="P191" i="16"/>
  <c r="P188" i="16"/>
  <c r="P185" i="16"/>
  <c r="P182" i="16"/>
  <c r="P179" i="16"/>
  <c r="P176" i="16"/>
  <c r="P177" i="16"/>
  <c r="P139" i="16"/>
  <c r="P190" i="16"/>
  <c r="P181" i="16"/>
  <c r="P142" i="16"/>
  <c r="P189" i="16"/>
  <c r="P135" i="16"/>
  <c r="P186" i="16"/>
  <c r="P173" i="16"/>
  <c r="P170" i="16"/>
  <c r="P167" i="16"/>
  <c r="P164" i="16"/>
  <c r="P161" i="16"/>
  <c r="P158" i="16"/>
  <c r="P155" i="16"/>
  <c r="P152" i="16"/>
  <c r="P149" i="16"/>
  <c r="P146" i="16"/>
  <c r="P127" i="16"/>
  <c r="P124" i="16"/>
  <c r="P121" i="16"/>
  <c r="P118" i="16"/>
  <c r="P115" i="16"/>
  <c r="P112" i="16"/>
  <c r="P109" i="16"/>
  <c r="P106" i="16"/>
  <c r="P103" i="16"/>
  <c r="P100" i="16"/>
  <c r="P97" i="16"/>
  <c r="P94" i="16"/>
  <c r="P91" i="16"/>
  <c r="P88" i="16"/>
  <c r="P85" i="16"/>
  <c r="P82" i="16"/>
  <c r="P79" i="16"/>
  <c r="P76" i="16"/>
  <c r="P73" i="16"/>
  <c r="P70" i="16"/>
  <c r="P178" i="16"/>
  <c r="P192" i="16"/>
  <c r="P193" i="16"/>
  <c r="P184" i="16"/>
  <c r="P133" i="16"/>
  <c r="P171" i="16"/>
  <c r="P162" i="16"/>
  <c r="P153" i="16"/>
  <c r="P144" i="16"/>
  <c r="Q1" i="16"/>
  <c r="P180" i="16"/>
  <c r="P169" i="16"/>
  <c r="P160" i="16"/>
  <c r="P151" i="16"/>
  <c r="P131" i="16"/>
  <c r="P129" i="16"/>
  <c r="P123" i="16"/>
  <c r="P114" i="16"/>
  <c r="P105" i="16"/>
  <c r="P96" i="16"/>
  <c r="P87" i="16"/>
  <c r="P78" i="16"/>
  <c r="P68" i="16"/>
  <c r="P66" i="16"/>
  <c r="P65" i="16"/>
  <c r="P63" i="16"/>
  <c r="P62" i="16"/>
  <c r="P60" i="16"/>
  <c r="P59" i="16"/>
  <c r="P57" i="16"/>
  <c r="P56" i="16"/>
  <c r="P54" i="16"/>
  <c r="P53" i="16"/>
  <c r="P51" i="16"/>
  <c r="P50" i="16"/>
  <c r="P48" i="16"/>
  <c r="P47" i="16"/>
  <c r="P45" i="16"/>
  <c r="P44" i="16"/>
  <c r="P42" i="16"/>
  <c r="P41" i="16"/>
  <c r="P39" i="16"/>
  <c r="P38" i="16"/>
  <c r="P36" i="16"/>
  <c r="P35" i="16"/>
  <c r="P33" i="16"/>
  <c r="P32" i="16"/>
  <c r="P30" i="16"/>
  <c r="P29" i="16"/>
  <c r="P27" i="16"/>
  <c r="P26" i="16"/>
  <c r="P24" i="16"/>
  <c r="P23" i="16"/>
  <c r="P21" i="16"/>
  <c r="P20" i="16"/>
  <c r="P18" i="16"/>
  <c r="P17" i="16"/>
  <c r="P15" i="16"/>
  <c r="P14" i="16"/>
  <c r="P12" i="16"/>
  <c r="P11" i="16"/>
  <c r="P9" i="16"/>
  <c r="P8" i="16"/>
  <c r="P6" i="16"/>
  <c r="P5" i="16"/>
  <c r="P3" i="16"/>
  <c r="P119" i="16"/>
  <c r="P110" i="16"/>
  <c r="P101" i="16"/>
  <c r="P92" i="16"/>
  <c r="P83" i="16"/>
  <c r="P74" i="16"/>
  <c r="P69" i="16"/>
  <c r="P67" i="16"/>
  <c r="P64" i="16"/>
  <c r="P61" i="16"/>
  <c r="P58" i="16"/>
  <c r="P55" i="16"/>
  <c r="P52" i="16"/>
  <c r="P49" i="16"/>
  <c r="P46" i="16"/>
  <c r="P43" i="16"/>
  <c r="P40" i="16"/>
  <c r="P37" i="16"/>
  <c r="P34" i="16"/>
  <c r="P31" i="16"/>
  <c r="P28" i="16"/>
  <c r="P25" i="16"/>
  <c r="P22" i="16"/>
  <c r="P19" i="16"/>
  <c r="P16" i="16"/>
  <c r="P13" i="16"/>
  <c r="P10" i="16"/>
  <c r="P7" i="16"/>
  <c r="P4" i="16"/>
  <c r="P140" i="16"/>
  <c r="P138" i="16"/>
  <c r="P136" i="16"/>
  <c r="P174" i="16"/>
  <c r="P165" i="16"/>
  <c r="P156" i="16"/>
  <c r="P147" i="16"/>
  <c r="P104" i="16"/>
  <c r="P183" i="16"/>
  <c r="P172" i="16"/>
  <c r="P163" i="16"/>
  <c r="P154" i="16"/>
  <c r="P145" i="16"/>
  <c r="P134" i="16"/>
  <c r="P120" i="16"/>
  <c r="P111" i="16"/>
  <c r="P102" i="16"/>
  <c r="P93" i="16"/>
  <c r="P84" i="16"/>
  <c r="P75" i="16"/>
  <c r="P143" i="16"/>
  <c r="P132" i="16"/>
  <c r="P125" i="16"/>
  <c r="P116" i="16"/>
  <c r="P107" i="16"/>
  <c r="P98" i="16"/>
  <c r="P89" i="16"/>
  <c r="P80" i="16"/>
  <c r="P71" i="16"/>
  <c r="P130" i="16"/>
  <c r="P122" i="16"/>
  <c r="P113" i="16"/>
  <c r="P95" i="16"/>
  <c r="P86" i="16"/>
  <c r="P77" i="16"/>
  <c r="P168" i="16"/>
  <c r="P159" i="16"/>
  <c r="P150" i="16"/>
  <c r="P141" i="16"/>
  <c r="P128" i="16"/>
  <c r="P175" i="16"/>
  <c r="P166" i="16"/>
  <c r="P157" i="16"/>
  <c r="P148" i="16"/>
  <c r="P137" i="16"/>
  <c r="P126" i="16"/>
  <c r="P117" i="16"/>
  <c r="P108" i="16"/>
  <c r="P99" i="16"/>
  <c r="P90" i="16"/>
  <c r="P81" i="16"/>
  <c r="P72" i="16"/>
  <c r="P187" i="16"/>
  <c r="O175" i="26"/>
  <c r="O172" i="26"/>
  <c r="O169" i="26"/>
  <c r="O166" i="26"/>
  <c r="O163" i="26"/>
  <c r="O160" i="26"/>
  <c r="O176" i="26"/>
  <c r="O173" i="26"/>
  <c r="O170" i="26"/>
  <c r="O167" i="26"/>
  <c r="O164" i="26"/>
  <c r="O161" i="26"/>
  <c r="O174" i="26"/>
  <c r="O171" i="26"/>
  <c r="O168" i="26"/>
  <c r="O165" i="26"/>
  <c r="O162" i="26"/>
  <c r="O159" i="26"/>
  <c r="O155" i="26"/>
  <c r="O152" i="26"/>
  <c r="O149" i="26"/>
  <c r="O146" i="26"/>
  <c r="O143" i="26"/>
  <c r="O140" i="26"/>
  <c r="O137" i="26"/>
  <c r="O134" i="26"/>
  <c r="O158" i="26"/>
  <c r="O156" i="26"/>
  <c r="O153" i="26"/>
  <c r="O150" i="26"/>
  <c r="O147" i="26"/>
  <c r="O144" i="26"/>
  <c r="O141" i="26"/>
  <c r="O138" i="26"/>
  <c r="O135" i="26"/>
  <c r="O132" i="26"/>
  <c r="O130" i="26"/>
  <c r="O125" i="26"/>
  <c r="O116" i="26"/>
  <c r="O113" i="26"/>
  <c r="O109" i="26"/>
  <c r="O106" i="26"/>
  <c r="O103" i="26"/>
  <c r="O100" i="26"/>
  <c r="O97" i="26"/>
  <c r="O94" i="26"/>
  <c r="O91" i="26"/>
  <c r="O88" i="26"/>
  <c r="O85" i="26"/>
  <c r="O82" i="26"/>
  <c r="O79" i="26"/>
  <c r="O76" i="26"/>
  <c r="O73" i="26"/>
  <c r="O151" i="26"/>
  <c r="O142" i="26"/>
  <c r="O133" i="26"/>
  <c r="O129" i="26"/>
  <c r="O127" i="26"/>
  <c r="O123" i="26"/>
  <c r="O114" i="26"/>
  <c r="O110" i="26"/>
  <c r="O107" i="26"/>
  <c r="O104" i="26"/>
  <c r="O101" i="26"/>
  <c r="O98" i="26"/>
  <c r="O95" i="26"/>
  <c r="O92" i="26"/>
  <c r="O89" i="26"/>
  <c r="O86" i="26"/>
  <c r="O83" i="26"/>
  <c r="O80" i="26"/>
  <c r="O77" i="26"/>
  <c r="O74" i="26"/>
  <c r="O71" i="26"/>
  <c r="O154" i="26"/>
  <c r="O145" i="26"/>
  <c r="O136" i="26"/>
  <c r="O131" i="26"/>
  <c r="O128" i="26"/>
  <c r="O124" i="26"/>
  <c r="O115" i="26"/>
  <c r="O111" i="26"/>
  <c r="O108" i="26"/>
  <c r="O105" i="26"/>
  <c r="O102" i="26"/>
  <c r="O99" i="26"/>
  <c r="O96" i="26"/>
  <c r="O93" i="26"/>
  <c r="O90" i="26"/>
  <c r="O87" i="26"/>
  <c r="O84" i="26"/>
  <c r="O81" i="26"/>
  <c r="O78" i="26"/>
  <c r="O75" i="26"/>
  <c r="O72" i="26"/>
  <c r="O68" i="26"/>
  <c r="O65" i="26"/>
  <c r="O62" i="26"/>
  <c r="O59" i="26"/>
  <c r="O56" i="26"/>
  <c r="O53" i="26"/>
  <c r="O157" i="26"/>
  <c r="O69" i="26"/>
  <c r="O66" i="26"/>
  <c r="O63" i="26"/>
  <c r="O60" i="26"/>
  <c r="O57" i="26"/>
  <c r="O54" i="26"/>
  <c r="O139" i="26"/>
  <c r="O52" i="26"/>
  <c r="O67" i="26"/>
  <c r="O58" i="26"/>
  <c r="O50" i="26"/>
  <c r="O47" i="26"/>
  <c r="O44" i="26"/>
  <c r="O41" i="26"/>
  <c r="O38" i="26"/>
  <c r="O35" i="26"/>
  <c r="O32" i="26"/>
  <c r="O29" i="26"/>
  <c r="O26" i="26"/>
  <c r="O23" i="26"/>
  <c r="O20" i="26"/>
  <c r="O17" i="26"/>
  <c r="O14" i="26"/>
  <c r="O11" i="26"/>
  <c r="O8" i="26"/>
  <c r="O5" i="26"/>
  <c r="O70" i="26"/>
  <c r="O61" i="26"/>
  <c r="O48" i="26"/>
  <c r="O45" i="26"/>
  <c r="O42" i="26"/>
  <c r="O39" i="26"/>
  <c r="O36" i="26"/>
  <c r="O33" i="26"/>
  <c r="O30" i="26"/>
  <c r="O27" i="26"/>
  <c r="O24" i="26"/>
  <c r="O21" i="26"/>
  <c r="O18" i="26"/>
  <c r="O15" i="26"/>
  <c r="O12" i="26"/>
  <c r="O9" i="26"/>
  <c r="O6" i="26"/>
  <c r="O3" i="26"/>
  <c r="O148" i="26"/>
  <c r="P1" i="26"/>
  <c r="O55" i="26"/>
  <c r="O46" i="26"/>
  <c r="O37" i="26"/>
  <c r="O28" i="26"/>
  <c r="O19" i="26"/>
  <c r="O10" i="26"/>
  <c r="O64" i="26"/>
  <c r="O49" i="26"/>
  <c r="O40" i="26"/>
  <c r="O31" i="26"/>
  <c r="O22" i="26"/>
  <c r="O13" i="26"/>
  <c r="O4" i="26"/>
  <c r="O43" i="26"/>
  <c r="O34" i="26"/>
  <c r="O25" i="26"/>
  <c r="O16" i="26"/>
  <c r="O7" i="26"/>
  <c r="O51" i="26"/>
  <c r="O190" i="19"/>
  <c r="O187" i="19"/>
  <c r="O184" i="19"/>
  <c r="O181" i="19"/>
  <c r="O178" i="19"/>
  <c r="O129" i="19"/>
  <c r="O183" i="19"/>
  <c r="O175" i="19"/>
  <c r="O132" i="19"/>
  <c r="O182" i="19"/>
  <c r="O140" i="19"/>
  <c r="O137" i="19"/>
  <c r="O67" i="19"/>
  <c r="O64" i="19"/>
  <c r="O61" i="19"/>
  <c r="O58" i="19"/>
  <c r="O55" i="19"/>
  <c r="O52" i="19"/>
  <c r="O49" i="19"/>
  <c r="O46" i="19"/>
  <c r="O43" i="19"/>
  <c r="O40" i="19"/>
  <c r="O37" i="19"/>
  <c r="O34" i="19"/>
  <c r="O31" i="19"/>
  <c r="O28" i="19"/>
  <c r="O25" i="19"/>
  <c r="O22" i="19"/>
  <c r="O19" i="19"/>
  <c r="O16" i="19"/>
  <c r="O13" i="19"/>
  <c r="O10" i="19"/>
  <c r="O7" i="19"/>
  <c r="O4" i="19"/>
  <c r="O173" i="19"/>
  <c r="O170" i="19"/>
  <c r="O167" i="19"/>
  <c r="O164" i="19"/>
  <c r="O161" i="19"/>
  <c r="O158" i="19"/>
  <c r="O155" i="19"/>
  <c r="O152" i="19"/>
  <c r="O149" i="19"/>
  <c r="O146" i="19"/>
  <c r="O143" i="19"/>
  <c r="O124" i="19"/>
  <c r="O121" i="19"/>
  <c r="O118" i="19"/>
  <c r="O115" i="19"/>
  <c r="O112" i="19"/>
  <c r="O109" i="19"/>
  <c r="O106" i="19"/>
  <c r="O103" i="19"/>
  <c r="O100" i="19"/>
  <c r="O97" i="19"/>
  <c r="O94" i="19"/>
  <c r="O91" i="19"/>
  <c r="O88" i="19"/>
  <c r="O85" i="19"/>
  <c r="O82" i="19"/>
  <c r="O79" i="19"/>
  <c r="O76" i="19"/>
  <c r="O73" i="19"/>
  <c r="O70" i="19"/>
  <c r="O174" i="19"/>
  <c r="O171" i="19"/>
  <c r="O168" i="19"/>
  <c r="O165" i="19"/>
  <c r="O162" i="19"/>
  <c r="O159" i="19"/>
  <c r="O156" i="19"/>
  <c r="O153" i="19"/>
  <c r="O150" i="19"/>
  <c r="O147" i="19"/>
  <c r="O144" i="19"/>
  <c r="O141" i="19"/>
  <c r="O125" i="19"/>
  <c r="O122" i="19"/>
  <c r="O119" i="19"/>
  <c r="O116" i="19"/>
  <c r="O113" i="19"/>
  <c r="O110" i="19"/>
  <c r="O107" i="19"/>
  <c r="O104" i="19"/>
  <c r="O101" i="19"/>
  <c r="O98" i="19"/>
  <c r="O95" i="19"/>
  <c r="O92" i="19"/>
  <c r="O89" i="19"/>
  <c r="O86" i="19"/>
  <c r="O83" i="19"/>
  <c r="O80" i="19"/>
  <c r="O77" i="19"/>
  <c r="O74" i="19"/>
  <c r="O71" i="19"/>
  <c r="O68" i="19"/>
  <c r="O189" i="19"/>
  <c r="O186" i="19"/>
  <c r="O126" i="19"/>
  <c r="O117" i="19"/>
  <c r="O108" i="19"/>
  <c r="O99" i="19"/>
  <c r="O90" i="19"/>
  <c r="O81" i="19"/>
  <c r="O72" i="19"/>
  <c r="O139" i="19"/>
  <c r="O135" i="19"/>
  <c r="O59" i="19"/>
  <c r="O50" i="19"/>
  <c r="O41" i="19"/>
  <c r="O166" i="19"/>
  <c r="O157" i="19"/>
  <c r="O148" i="19"/>
  <c r="O133" i="19"/>
  <c r="O131" i="19"/>
  <c r="O66" i="19"/>
  <c r="O57" i="19"/>
  <c r="O48" i="19"/>
  <c r="O39" i="19"/>
  <c r="O62" i="19"/>
  <c r="O53" i="19"/>
  <c r="O44" i="19"/>
  <c r="O35" i="19"/>
  <c r="O26" i="19"/>
  <c r="O17" i="19"/>
  <c r="O8" i="19"/>
  <c r="O179" i="19"/>
  <c r="O176" i="19"/>
  <c r="O169" i="19"/>
  <c r="O160" i="19"/>
  <c r="O151" i="19"/>
  <c r="O142" i="19"/>
  <c r="O188" i="19"/>
  <c r="O185" i="19"/>
  <c r="O136" i="19"/>
  <c r="O130" i="19"/>
  <c r="O123" i="19"/>
  <c r="O114" i="19"/>
  <c r="O105" i="19"/>
  <c r="O96" i="19"/>
  <c r="O87" i="19"/>
  <c r="O78" i="19"/>
  <c r="O69" i="19"/>
  <c r="O138" i="19"/>
  <c r="O127" i="19"/>
  <c r="O56" i="19"/>
  <c r="O5" i="19"/>
  <c r="O172" i="19"/>
  <c r="O36" i="19"/>
  <c r="O30" i="19"/>
  <c r="O20" i="19"/>
  <c r="O128" i="19"/>
  <c r="O32" i="19"/>
  <c r="O21" i="19"/>
  <c r="O11" i="19"/>
  <c r="O177" i="19"/>
  <c r="O145" i="19"/>
  <c r="O38" i="19"/>
  <c r="O23" i="19"/>
  <c r="O12" i="19"/>
  <c r="O33" i="19"/>
  <c r="O15" i="19"/>
  <c r="O180" i="19"/>
  <c r="O75" i="19"/>
  <c r="O154" i="19"/>
  <c r="O134" i="19"/>
  <c r="O18" i="19"/>
  <c r="O3" i="19"/>
  <c r="O163" i="19"/>
  <c r="O93" i="19"/>
  <c r="O84" i="19"/>
  <c r="O47" i="19"/>
  <c r="O45" i="19"/>
  <c r="O29" i="19"/>
  <c r="O120" i="19"/>
  <c r="O63" i="19"/>
  <c r="O42" i="19"/>
  <c r="O65" i="19"/>
  <c r="O14" i="19"/>
  <c r="O60" i="19"/>
  <c r="O9" i="19"/>
  <c r="O51" i="19"/>
  <c r="O111" i="19"/>
  <c r="O24" i="19"/>
  <c r="O102" i="19"/>
  <c r="O6" i="19"/>
  <c r="P1" i="19"/>
  <c r="O54" i="19"/>
  <c r="O27" i="19"/>
  <c r="O192" i="18"/>
  <c r="O189" i="18"/>
  <c r="O186" i="18"/>
  <c r="O183" i="18"/>
  <c r="O180" i="18"/>
  <c r="O177" i="18"/>
  <c r="O174" i="18"/>
  <c r="O171" i="18"/>
  <c r="O168" i="18"/>
  <c r="O165" i="18"/>
  <c r="O162" i="18"/>
  <c r="O159" i="18"/>
  <c r="O156" i="18"/>
  <c r="O153" i="18"/>
  <c r="O150" i="18"/>
  <c r="O187" i="18"/>
  <c r="O178" i="18"/>
  <c r="O169" i="18"/>
  <c r="O160" i="18"/>
  <c r="O151" i="18"/>
  <c r="O185" i="18"/>
  <c r="O176" i="18"/>
  <c r="O188" i="18"/>
  <c r="O179" i="18"/>
  <c r="O170" i="18"/>
  <c r="O184" i="18"/>
  <c r="O175" i="18"/>
  <c r="O149" i="18"/>
  <c r="O147" i="18"/>
  <c r="O146" i="18"/>
  <c r="O166" i="18"/>
  <c r="O190" i="18"/>
  <c r="O181" i="18"/>
  <c r="O140" i="18"/>
  <c r="O137" i="18"/>
  <c r="O123" i="18"/>
  <c r="O114" i="18"/>
  <c r="O105" i="18"/>
  <c r="O96" i="18"/>
  <c r="O87" i="18"/>
  <c r="O78" i="18"/>
  <c r="O69" i="18"/>
  <c r="O64" i="18"/>
  <c r="O55" i="18"/>
  <c r="O46" i="18"/>
  <c r="O37" i="18"/>
  <c r="O28" i="18"/>
  <c r="O19" i="18"/>
  <c r="O10" i="18"/>
  <c r="O132" i="18"/>
  <c r="O127" i="18"/>
  <c r="O118" i="18"/>
  <c r="O109" i="18"/>
  <c r="O100" i="18"/>
  <c r="O91" i="18"/>
  <c r="O82" i="18"/>
  <c r="O73" i="18"/>
  <c r="O68" i="18"/>
  <c r="O59" i="18"/>
  <c r="O50" i="18"/>
  <c r="O41" i="18"/>
  <c r="O32" i="18"/>
  <c r="O163" i="18"/>
  <c r="O145" i="18"/>
  <c r="O143" i="18"/>
  <c r="O122" i="18"/>
  <c r="O113" i="18"/>
  <c r="O104" i="18"/>
  <c r="O95" i="18"/>
  <c r="O86" i="18"/>
  <c r="O77" i="18"/>
  <c r="O173" i="18"/>
  <c r="O164" i="18"/>
  <c r="O131" i="18"/>
  <c r="O63" i="18"/>
  <c r="O54" i="18"/>
  <c r="O45" i="18"/>
  <c r="O36" i="18"/>
  <c r="O27" i="18"/>
  <c r="O18" i="18"/>
  <c r="O9" i="18"/>
  <c r="O191" i="18"/>
  <c r="O161" i="18"/>
  <c r="O141" i="18"/>
  <c r="O138" i="18"/>
  <c r="O126" i="18"/>
  <c r="O117" i="18"/>
  <c r="O108" i="18"/>
  <c r="O99" i="18"/>
  <c r="O90" i="18"/>
  <c r="O81" i="18"/>
  <c r="O72" i="18"/>
  <c r="O67" i="18"/>
  <c r="O58" i="18"/>
  <c r="O49" i="18"/>
  <c r="O40" i="18"/>
  <c r="O31" i="18"/>
  <c r="O22" i="18"/>
  <c r="O13" i="18"/>
  <c r="O4" i="18"/>
  <c r="O121" i="18"/>
  <c r="O112" i="18"/>
  <c r="O103" i="18"/>
  <c r="O158" i="18"/>
  <c r="O135" i="18"/>
  <c r="O130" i="18"/>
  <c r="O125" i="18"/>
  <c r="O116" i="18"/>
  <c r="O107" i="18"/>
  <c r="O98" i="18"/>
  <c r="O89" i="18"/>
  <c r="O80" i="18"/>
  <c r="O182" i="18"/>
  <c r="O52" i="18"/>
  <c r="O139" i="18"/>
  <c r="O124" i="18"/>
  <c r="O111" i="18"/>
  <c r="O110" i="18"/>
  <c r="O94" i="18"/>
  <c r="O85" i="18"/>
  <c r="O65" i="18"/>
  <c r="O48" i="18"/>
  <c r="O38" i="18"/>
  <c r="O16" i="18"/>
  <c r="O14" i="18"/>
  <c r="O148" i="18"/>
  <c r="O136" i="18"/>
  <c r="O75" i="18"/>
  <c r="O44" i="18"/>
  <c r="O26" i="18"/>
  <c r="O20" i="18"/>
  <c r="O93" i="18"/>
  <c r="O84" i="18"/>
  <c r="O71" i="18"/>
  <c r="O61" i="18"/>
  <c r="O34" i="18"/>
  <c r="O51" i="18"/>
  <c r="O24" i="18"/>
  <c r="O3" i="18"/>
  <c r="O154" i="18"/>
  <c r="O152" i="18"/>
  <c r="O128" i="18"/>
  <c r="O115" i="18"/>
  <c r="O102" i="18"/>
  <c r="O101" i="18"/>
  <c r="O92" i="18"/>
  <c r="O83" i="18"/>
  <c r="O57" i="18"/>
  <c r="O47" i="18"/>
  <c r="O30" i="18"/>
  <c r="O7" i="18"/>
  <c r="O5" i="18"/>
  <c r="O129" i="18"/>
  <c r="O43" i="18"/>
  <c r="O70" i="18"/>
  <c r="O60" i="18"/>
  <c r="O33" i="18"/>
  <c r="O21" i="18"/>
  <c r="O15" i="18"/>
  <c r="O144" i="18"/>
  <c r="O120" i="18"/>
  <c r="O119" i="18"/>
  <c r="O106" i="18"/>
  <c r="O76" i="18"/>
  <c r="O66" i="18"/>
  <c r="O56" i="18"/>
  <c r="O39" i="18"/>
  <c r="O25" i="18"/>
  <c r="O23" i="18"/>
  <c r="P1" i="18"/>
  <c r="O74" i="18"/>
  <c r="O17" i="18"/>
  <c r="O6" i="18"/>
  <c r="O11" i="18"/>
  <c r="O8" i="18"/>
  <c r="O157" i="18"/>
  <c r="O79" i="18"/>
  <c r="O42" i="18"/>
  <c r="O172" i="18"/>
  <c r="O97" i="18"/>
  <c r="O155" i="18"/>
  <c r="O35" i="18"/>
  <c r="O29" i="18"/>
  <c r="O134" i="18"/>
  <c r="O167" i="18"/>
  <c r="O142" i="18"/>
  <c r="O53" i="18"/>
  <c r="O133" i="18"/>
  <c r="O88" i="18"/>
  <c r="O62" i="18"/>
  <c r="O12" i="18"/>
  <c r="P176" i="26" l="1"/>
  <c r="P173" i="26"/>
  <c r="P170" i="26"/>
  <c r="P167" i="26"/>
  <c r="P164" i="26"/>
  <c r="P161" i="26"/>
  <c r="P172" i="26"/>
  <c r="P163" i="26"/>
  <c r="P174" i="26"/>
  <c r="P165" i="26"/>
  <c r="P155" i="26"/>
  <c r="P152" i="26"/>
  <c r="P149" i="26"/>
  <c r="P146" i="26"/>
  <c r="P143" i="26"/>
  <c r="P140" i="26"/>
  <c r="P137" i="26"/>
  <c r="P134" i="26"/>
  <c r="P158" i="26"/>
  <c r="P169" i="26"/>
  <c r="P160" i="26"/>
  <c r="P162" i="26"/>
  <c r="P150" i="26"/>
  <c r="P141" i="26"/>
  <c r="P175" i="26"/>
  <c r="P130" i="26"/>
  <c r="P125" i="26"/>
  <c r="P116" i="26"/>
  <c r="P113" i="26"/>
  <c r="P109" i="26"/>
  <c r="P106" i="26"/>
  <c r="P103" i="26"/>
  <c r="P100" i="26"/>
  <c r="P97" i="26"/>
  <c r="P94" i="26"/>
  <c r="P91" i="26"/>
  <c r="P88" i="26"/>
  <c r="P85" i="26"/>
  <c r="P82" i="26"/>
  <c r="P79" i="26"/>
  <c r="P76" i="26"/>
  <c r="P73" i="26"/>
  <c r="P168" i="26"/>
  <c r="P151" i="26"/>
  <c r="P142" i="26"/>
  <c r="P133" i="26"/>
  <c r="P132" i="26"/>
  <c r="P129" i="26"/>
  <c r="P153" i="26"/>
  <c r="P144" i="26"/>
  <c r="P135" i="26"/>
  <c r="P166" i="26"/>
  <c r="P127" i="26"/>
  <c r="P123" i="26"/>
  <c r="P114" i="26"/>
  <c r="P110" i="26"/>
  <c r="P107" i="26"/>
  <c r="P104" i="26"/>
  <c r="P101" i="26"/>
  <c r="P98" i="26"/>
  <c r="P95" i="26"/>
  <c r="P92" i="26"/>
  <c r="P89" i="26"/>
  <c r="P86" i="26"/>
  <c r="P83" i="26"/>
  <c r="P80" i="26"/>
  <c r="P77" i="26"/>
  <c r="P74" i="26"/>
  <c r="P71" i="26"/>
  <c r="P154" i="26"/>
  <c r="P145" i="26"/>
  <c r="P136" i="26"/>
  <c r="P159" i="26"/>
  <c r="P171" i="26"/>
  <c r="P156" i="26"/>
  <c r="P147" i="26"/>
  <c r="P138" i="26"/>
  <c r="P157" i="26"/>
  <c r="P148" i="26"/>
  <c r="P139" i="26"/>
  <c r="P131" i="26"/>
  <c r="P128" i="26"/>
  <c r="P69" i="26"/>
  <c r="P66" i="26"/>
  <c r="P63" i="26"/>
  <c r="P60" i="26"/>
  <c r="P57" i="26"/>
  <c r="P54" i="26"/>
  <c r="P51" i="26"/>
  <c r="P68" i="26"/>
  <c r="P65" i="26"/>
  <c r="P62" i="26"/>
  <c r="P59" i="26"/>
  <c r="P56" i="26"/>
  <c r="P53" i="26"/>
  <c r="P67" i="26"/>
  <c r="P58" i="26"/>
  <c r="P50" i="26"/>
  <c r="P47" i="26"/>
  <c r="P44" i="26"/>
  <c r="P41" i="26"/>
  <c r="P38" i="26"/>
  <c r="P35" i="26"/>
  <c r="P32" i="26"/>
  <c r="P29" i="26"/>
  <c r="P26" i="26"/>
  <c r="P23" i="26"/>
  <c r="P20" i="26"/>
  <c r="P17" i="26"/>
  <c r="P14" i="26"/>
  <c r="P11" i="26"/>
  <c r="P8" i="26"/>
  <c r="P5" i="26"/>
  <c r="P70" i="26"/>
  <c r="P61" i="26"/>
  <c r="P48" i="26"/>
  <c r="P45" i="26"/>
  <c r="P42" i="26"/>
  <c r="P39" i="26"/>
  <c r="P36" i="26"/>
  <c r="P33" i="26"/>
  <c r="P30" i="26"/>
  <c r="P27" i="26"/>
  <c r="P24" i="26"/>
  <c r="P21" i="26"/>
  <c r="P18" i="26"/>
  <c r="P15" i="26"/>
  <c r="P12" i="26"/>
  <c r="P9" i="26"/>
  <c r="P6" i="26"/>
  <c r="P3" i="26"/>
  <c r="Q1" i="26"/>
  <c r="P111" i="26"/>
  <c r="P102" i="26"/>
  <c r="P93" i="26"/>
  <c r="P84" i="26"/>
  <c r="P75" i="26"/>
  <c r="P52" i="26"/>
  <c r="P90" i="26"/>
  <c r="P124" i="26"/>
  <c r="P55" i="26"/>
  <c r="P46" i="26"/>
  <c r="P115" i="26"/>
  <c r="P87" i="26"/>
  <c r="P99" i="26"/>
  <c r="P72" i="26"/>
  <c r="P64" i="26"/>
  <c r="P105" i="26"/>
  <c r="P78" i="26"/>
  <c r="P34" i="26"/>
  <c r="P31" i="26"/>
  <c r="P7" i="26"/>
  <c r="P4" i="26"/>
  <c r="P81" i="26"/>
  <c r="P28" i="26"/>
  <c r="P25" i="26"/>
  <c r="P22" i="26"/>
  <c r="P19" i="26"/>
  <c r="P96" i="26"/>
  <c r="P37" i="26"/>
  <c r="P10" i="26"/>
  <c r="P13" i="26"/>
  <c r="P40" i="26"/>
  <c r="P108" i="26"/>
  <c r="P49" i="26"/>
  <c r="P16" i="26"/>
  <c r="P43" i="26"/>
  <c r="P183" i="23"/>
  <c r="P180" i="23"/>
  <c r="P177" i="23"/>
  <c r="P174" i="23"/>
  <c r="P171" i="23"/>
  <c r="P168" i="23"/>
  <c r="P165" i="23"/>
  <c r="P162" i="23"/>
  <c r="P159" i="23"/>
  <c r="P156" i="23"/>
  <c r="P153" i="23"/>
  <c r="P150" i="23"/>
  <c r="P147" i="23"/>
  <c r="P144" i="23"/>
  <c r="P141" i="23"/>
  <c r="P138" i="23"/>
  <c r="P130" i="23"/>
  <c r="P125" i="23"/>
  <c r="P122" i="23"/>
  <c r="P133" i="23"/>
  <c r="P128" i="23"/>
  <c r="P184" i="23"/>
  <c r="P181" i="23"/>
  <c r="P178" i="23"/>
  <c r="P175" i="23"/>
  <c r="P172" i="23"/>
  <c r="P169" i="23"/>
  <c r="P166" i="23"/>
  <c r="P163" i="23"/>
  <c r="P160" i="23"/>
  <c r="P157" i="23"/>
  <c r="P154" i="23"/>
  <c r="P151" i="23"/>
  <c r="P148" i="23"/>
  <c r="P145" i="23"/>
  <c r="P142" i="23"/>
  <c r="P139" i="23"/>
  <c r="P136" i="23"/>
  <c r="P120" i="23"/>
  <c r="P131" i="23"/>
  <c r="P134" i="23"/>
  <c r="P127" i="23"/>
  <c r="P126" i="23"/>
  <c r="P124" i="23"/>
  <c r="P116" i="23"/>
  <c r="P113" i="23"/>
  <c r="P110" i="23"/>
  <c r="P107" i="23"/>
  <c r="P104" i="23"/>
  <c r="P101" i="23"/>
  <c r="P98" i="23"/>
  <c r="P95" i="23"/>
  <c r="P92" i="23"/>
  <c r="P89" i="23"/>
  <c r="P86" i="23"/>
  <c r="P83" i="23"/>
  <c r="P117" i="23"/>
  <c r="P114" i="23"/>
  <c r="P111" i="23"/>
  <c r="P108" i="23"/>
  <c r="P105" i="23"/>
  <c r="P102" i="23"/>
  <c r="P99" i="23"/>
  <c r="P96" i="23"/>
  <c r="P176" i="23"/>
  <c r="P112" i="23"/>
  <c r="P103" i="23"/>
  <c r="P182" i="23"/>
  <c r="P170" i="23"/>
  <c r="P155" i="23"/>
  <c r="P143" i="23"/>
  <c r="P123" i="23"/>
  <c r="P94" i="23"/>
  <c r="P119" i="23"/>
  <c r="P118" i="23"/>
  <c r="P109" i="23"/>
  <c r="P173" i="23"/>
  <c r="P161" i="23"/>
  <c r="P146" i="23"/>
  <c r="P129" i="23"/>
  <c r="P167" i="23"/>
  <c r="P84" i="23"/>
  <c r="P106" i="23"/>
  <c r="P88" i="23"/>
  <c r="P80" i="23"/>
  <c r="P77" i="23"/>
  <c r="P74" i="23"/>
  <c r="P71" i="23"/>
  <c r="P68" i="23"/>
  <c r="P65" i="23"/>
  <c r="P62" i="23"/>
  <c r="P59" i="23"/>
  <c r="P56" i="23"/>
  <c r="P53" i="23"/>
  <c r="P50" i="23"/>
  <c r="P135" i="23"/>
  <c r="P132" i="23"/>
  <c r="P121" i="23"/>
  <c r="P149" i="23"/>
  <c r="P97" i="23"/>
  <c r="P179" i="23"/>
  <c r="P152" i="23"/>
  <c r="P100" i="23"/>
  <c r="P87" i="23"/>
  <c r="P137" i="23"/>
  <c r="P91" i="23"/>
  <c r="P185" i="23"/>
  <c r="P158" i="23"/>
  <c r="P90" i="23"/>
  <c r="P115" i="23"/>
  <c r="P85" i="23"/>
  <c r="P82" i="23"/>
  <c r="P79" i="23"/>
  <c r="P76" i="23"/>
  <c r="P73" i="23"/>
  <c r="P70" i="23"/>
  <c r="P67" i="23"/>
  <c r="P64" i="23"/>
  <c r="P61" i="23"/>
  <c r="P58" i="23"/>
  <c r="P55" i="23"/>
  <c r="P52" i="23"/>
  <c r="P49" i="23"/>
  <c r="P75" i="23"/>
  <c r="P66" i="23"/>
  <c r="P63" i="23"/>
  <c r="P140" i="23"/>
  <c r="P54" i="23"/>
  <c r="P45" i="23"/>
  <c r="P42" i="23"/>
  <c r="P39" i="23"/>
  <c r="P36" i="23"/>
  <c r="P33" i="23"/>
  <c r="P30" i="23"/>
  <c r="P27" i="23"/>
  <c r="P24" i="23"/>
  <c r="P21" i="23"/>
  <c r="P18" i="23"/>
  <c r="P15" i="23"/>
  <c r="P12" i="23"/>
  <c r="P9" i="23"/>
  <c r="P6" i="23"/>
  <c r="P3" i="23"/>
  <c r="P81" i="23"/>
  <c r="P72" i="23"/>
  <c r="P57" i="23"/>
  <c r="P51" i="23"/>
  <c r="P46" i="23"/>
  <c r="P43" i="23"/>
  <c r="P40" i="23"/>
  <c r="P37" i="23"/>
  <c r="P34" i="23"/>
  <c r="P31" i="23"/>
  <c r="P28" i="23"/>
  <c r="P25" i="23"/>
  <c r="P22" i="23"/>
  <c r="P19" i="23"/>
  <c r="P16" i="23"/>
  <c r="P13" i="23"/>
  <c r="P10" i="23"/>
  <c r="P7" i="23"/>
  <c r="P4" i="23"/>
  <c r="P60" i="23"/>
  <c r="Q1" i="23"/>
  <c r="P93" i="23"/>
  <c r="P47" i="23"/>
  <c r="P38" i="23"/>
  <c r="P29" i="23"/>
  <c r="P20" i="23"/>
  <c r="P11" i="23"/>
  <c r="P44" i="23"/>
  <c r="P35" i="23"/>
  <c r="P26" i="23"/>
  <c r="P17" i="23"/>
  <c r="P8" i="23"/>
  <c r="P69" i="23"/>
  <c r="P164" i="23"/>
  <c r="P48" i="23"/>
  <c r="P41" i="23"/>
  <c r="P32" i="23"/>
  <c r="P23" i="23"/>
  <c r="P14" i="23"/>
  <c r="P5" i="23"/>
  <c r="P78" i="23"/>
  <c r="P175" i="27"/>
  <c r="P172" i="27"/>
  <c r="P169" i="27"/>
  <c r="P166" i="27"/>
  <c r="P163" i="27"/>
  <c r="P160" i="27"/>
  <c r="P157" i="27"/>
  <c r="P154" i="27"/>
  <c r="P151" i="27"/>
  <c r="P148" i="27"/>
  <c r="P145" i="27"/>
  <c r="P176" i="27"/>
  <c r="P173" i="27"/>
  <c r="P170" i="27"/>
  <c r="P167" i="27"/>
  <c r="P164" i="27"/>
  <c r="P161" i="27"/>
  <c r="P158" i="27"/>
  <c r="P155" i="27"/>
  <c r="P152" i="27"/>
  <c r="P149" i="27"/>
  <c r="P146" i="27"/>
  <c r="P174" i="27"/>
  <c r="P165" i="27"/>
  <c r="P156" i="27"/>
  <c r="P147" i="27"/>
  <c r="P144" i="27"/>
  <c r="P141" i="27"/>
  <c r="P138" i="27"/>
  <c r="P135" i="27"/>
  <c r="P132" i="27"/>
  <c r="P129" i="27"/>
  <c r="P125" i="27"/>
  <c r="P116" i="27"/>
  <c r="P113" i="27"/>
  <c r="P171" i="27"/>
  <c r="P162" i="27"/>
  <c r="P153" i="27"/>
  <c r="P142" i="27"/>
  <c r="P139" i="27"/>
  <c r="P136" i="27"/>
  <c r="P133" i="27"/>
  <c r="P130" i="27"/>
  <c r="P127" i="27"/>
  <c r="P123" i="27"/>
  <c r="P114" i="27"/>
  <c r="P110" i="27"/>
  <c r="P107" i="27"/>
  <c r="P104" i="27"/>
  <c r="P101" i="27"/>
  <c r="P98" i="27"/>
  <c r="P95" i="27"/>
  <c r="P92" i="27"/>
  <c r="P89" i="27"/>
  <c r="P108" i="27"/>
  <c r="P105" i="27"/>
  <c r="P102" i="27"/>
  <c r="P99" i="27"/>
  <c r="P96" i="27"/>
  <c r="P93" i="27"/>
  <c r="P90" i="27"/>
  <c r="P87" i="27"/>
  <c r="P111" i="27"/>
  <c r="P168" i="27"/>
  <c r="P159" i="27"/>
  <c r="P150" i="27"/>
  <c r="P88" i="27"/>
  <c r="P143" i="27"/>
  <c r="P137" i="27"/>
  <c r="P131" i="27"/>
  <c r="P124" i="27"/>
  <c r="P109" i="27"/>
  <c r="P106" i="27"/>
  <c r="P103" i="27"/>
  <c r="P100" i="27"/>
  <c r="P97" i="27"/>
  <c r="P94" i="27"/>
  <c r="P91" i="27"/>
  <c r="P86" i="27"/>
  <c r="P83" i="27"/>
  <c r="P80" i="27"/>
  <c r="P77" i="27"/>
  <c r="P74" i="27"/>
  <c r="P71" i="27"/>
  <c r="P68" i="27"/>
  <c r="P65" i="27"/>
  <c r="P140" i="27"/>
  <c r="P134" i="27"/>
  <c r="P128" i="27"/>
  <c r="P115" i="27"/>
  <c r="P84" i="27"/>
  <c r="P81" i="27"/>
  <c r="P78" i="27"/>
  <c r="P75" i="27"/>
  <c r="P72" i="27"/>
  <c r="P69" i="27"/>
  <c r="P66" i="27"/>
  <c r="P85" i="27"/>
  <c r="P82" i="27"/>
  <c r="P79" i="27"/>
  <c r="P76" i="27"/>
  <c r="P73" i="27"/>
  <c r="P70" i="27"/>
  <c r="P67" i="27"/>
  <c r="P63" i="27"/>
  <c r="P60" i="27"/>
  <c r="P57" i="27"/>
  <c r="P54" i="27"/>
  <c r="P51" i="27"/>
  <c r="P48" i="27"/>
  <c r="P45" i="27"/>
  <c r="P42" i="27"/>
  <c r="P39" i="27"/>
  <c r="P64" i="27"/>
  <c r="P62" i="27"/>
  <c r="P59" i="27"/>
  <c r="P56" i="27"/>
  <c r="P53" i="27"/>
  <c r="P50" i="27"/>
  <c r="P47" i="27"/>
  <c r="P44" i="27"/>
  <c r="P41" i="27"/>
  <c r="P38" i="27"/>
  <c r="P55" i="27"/>
  <c r="P46" i="27"/>
  <c r="P34" i="27"/>
  <c r="P31" i="27"/>
  <c r="P28" i="27"/>
  <c r="P25" i="27"/>
  <c r="P22" i="27"/>
  <c r="P19" i="27"/>
  <c r="P16" i="27"/>
  <c r="P13" i="27"/>
  <c r="P10" i="27"/>
  <c r="P37" i="27"/>
  <c r="P61" i="27"/>
  <c r="P52" i="27"/>
  <c r="P43" i="27"/>
  <c r="P35" i="27"/>
  <c r="P32" i="27"/>
  <c r="P29" i="27"/>
  <c r="P26" i="27"/>
  <c r="P23" i="27"/>
  <c r="P20" i="27"/>
  <c r="P17" i="27"/>
  <c r="P14" i="27"/>
  <c r="P11" i="27"/>
  <c r="P58" i="27"/>
  <c r="P49" i="27"/>
  <c r="P40" i="27"/>
  <c r="P9" i="27"/>
  <c r="P6" i="27"/>
  <c r="P3" i="27"/>
  <c r="P33" i="27"/>
  <c r="P24" i="27"/>
  <c r="P15" i="27"/>
  <c r="P7" i="27"/>
  <c r="P4" i="27"/>
  <c r="P30" i="27"/>
  <c r="P21" i="27"/>
  <c r="P12" i="27"/>
  <c r="Q1" i="27"/>
  <c r="P8" i="27"/>
  <c r="P5" i="27"/>
  <c r="P36" i="27"/>
  <c r="P27" i="27"/>
  <c r="P18" i="27"/>
  <c r="Q180" i="24"/>
  <c r="Q177" i="24"/>
  <c r="Q174" i="24"/>
  <c r="Q171" i="24"/>
  <c r="Q168" i="24"/>
  <c r="Q165" i="24"/>
  <c r="Q162" i="24"/>
  <c r="Q159" i="24"/>
  <c r="Q156" i="24"/>
  <c r="Q153" i="24"/>
  <c r="Q150" i="24"/>
  <c r="Q147" i="24"/>
  <c r="Q144" i="24"/>
  <c r="Q141" i="24"/>
  <c r="Q181" i="24"/>
  <c r="Q178" i="24"/>
  <c r="Q175" i="24"/>
  <c r="Q172" i="24"/>
  <c r="Q169" i="24"/>
  <c r="Q166" i="24"/>
  <c r="Q163" i="24"/>
  <c r="Q160" i="24"/>
  <c r="Q157" i="24"/>
  <c r="Q154" i="24"/>
  <c r="Q151" i="24"/>
  <c r="Q148" i="24"/>
  <c r="Q145" i="24"/>
  <c r="Q142" i="24"/>
  <c r="Q131" i="24"/>
  <c r="Q128" i="24"/>
  <c r="Q137" i="24"/>
  <c r="Q134" i="24"/>
  <c r="Q115" i="24"/>
  <c r="Q112" i="24"/>
  <c r="Q109" i="24"/>
  <c r="Q106" i="24"/>
  <c r="Q103" i="24"/>
  <c r="Q100" i="24"/>
  <c r="Q97" i="24"/>
  <c r="Q94" i="24"/>
  <c r="Q91" i="24"/>
  <c r="Q88" i="24"/>
  <c r="Q85" i="24"/>
  <c r="Q82" i="24"/>
  <c r="Q79" i="24"/>
  <c r="Q76" i="24"/>
  <c r="Q73" i="24"/>
  <c r="Q70" i="24"/>
  <c r="Q67" i="24"/>
  <c r="Q64" i="24"/>
  <c r="Q61" i="24"/>
  <c r="Q58" i="24"/>
  <c r="Q55" i="24"/>
  <c r="Q52" i="24"/>
  <c r="Q49" i="24"/>
  <c r="Q46" i="24"/>
  <c r="Q43" i="24"/>
  <c r="Q40" i="24"/>
  <c r="Q37" i="24"/>
  <c r="Q34" i="24"/>
  <c r="Q31" i="24"/>
  <c r="Q126" i="24"/>
  <c r="Q121" i="24"/>
  <c r="Q118" i="24"/>
  <c r="Q129" i="24"/>
  <c r="Q124" i="24"/>
  <c r="Q179" i="24"/>
  <c r="Q176" i="24"/>
  <c r="Q173" i="24"/>
  <c r="Q170" i="24"/>
  <c r="Q167" i="24"/>
  <c r="Q164" i="24"/>
  <c r="Q161" i="24"/>
  <c r="Q158" i="24"/>
  <c r="Q155" i="24"/>
  <c r="Q152" i="24"/>
  <c r="Q149" i="24"/>
  <c r="Q146" i="24"/>
  <c r="Q143" i="24"/>
  <c r="Q140" i="24"/>
  <c r="Q138" i="24"/>
  <c r="Q135" i="24"/>
  <c r="Q132" i="24"/>
  <c r="Q116" i="24"/>
  <c r="Q113" i="24"/>
  <c r="Q110" i="24"/>
  <c r="Q107" i="24"/>
  <c r="Q104" i="24"/>
  <c r="Q101" i="24"/>
  <c r="Q98" i="24"/>
  <c r="Q95" i="24"/>
  <c r="Q92" i="24"/>
  <c r="Q89" i="24"/>
  <c r="Q86" i="24"/>
  <c r="Q83" i="24"/>
  <c r="Q80" i="24"/>
  <c r="Q77" i="24"/>
  <c r="Q74" i="24"/>
  <c r="Q71" i="24"/>
  <c r="Q68" i="24"/>
  <c r="Q65" i="24"/>
  <c r="Q62" i="24"/>
  <c r="Q59" i="24"/>
  <c r="Q56" i="24"/>
  <c r="Q53" i="24"/>
  <c r="Q50" i="24"/>
  <c r="Q47" i="24"/>
  <c r="Q44" i="24"/>
  <c r="Q41" i="24"/>
  <c r="Q38" i="24"/>
  <c r="Q35" i="24"/>
  <c r="Q32" i="24"/>
  <c r="Q29" i="24"/>
  <c r="Q122" i="24"/>
  <c r="Q119" i="24"/>
  <c r="Q127" i="24"/>
  <c r="Q120" i="24"/>
  <c r="Q130" i="24"/>
  <c r="Q26" i="24"/>
  <c r="Q23" i="24"/>
  <c r="Q20" i="24"/>
  <c r="Q17" i="24"/>
  <c r="Q14" i="24"/>
  <c r="Q11" i="24"/>
  <c r="Q8" i="24"/>
  <c r="Q5" i="24"/>
  <c r="Q139" i="24"/>
  <c r="Q136" i="24"/>
  <c r="Q133" i="24"/>
  <c r="Q45" i="24"/>
  <c r="Q36" i="24"/>
  <c r="Q125" i="24"/>
  <c r="Q27" i="24"/>
  <c r="Q24" i="24"/>
  <c r="Q21" i="24"/>
  <c r="Q18" i="24"/>
  <c r="Q15" i="24"/>
  <c r="Q12" i="24"/>
  <c r="Q9" i="24"/>
  <c r="Q6" i="24"/>
  <c r="Q3" i="24"/>
  <c r="Q117" i="24"/>
  <c r="Q114" i="24"/>
  <c r="Q111" i="24"/>
  <c r="Q108" i="24"/>
  <c r="Q105" i="24"/>
  <c r="Q102" i="24"/>
  <c r="Q99" i="24"/>
  <c r="Q96" i="24"/>
  <c r="Q93" i="24"/>
  <c r="Q90" i="24"/>
  <c r="Q87" i="24"/>
  <c r="Q84" i="24"/>
  <c r="Q81" i="24"/>
  <c r="Q78" i="24"/>
  <c r="Q75" i="24"/>
  <c r="Q72" i="24"/>
  <c r="Q69" i="24"/>
  <c r="Q66" i="24"/>
  <c r="Q63" i="24"/>
  <c r="Q60" i="24"/>
  <c r="Q57" i="24"/>
  <c r="Q54" i="24"/>
  <c r="Q48" i="24"/>
  <c r="Q39" i="24"/>
  <c r="Q30" i="24"/>
  <c r="R1" i="24"/>
  <c r="Q28" i="24"/>
  <c r="Q22" i="24"/>
  <c r="Q13" i="24"/>
  <c r="Q4" i="24"/>
  <c r="Q123" i="24"/>
  <c r="Q19" i="24"/>
  <c r="Q10" i="24"/>
  <c r="Q51" i="24"/>
  <c r="Q42" i="24"/>
  <c r="Q33" i="24"/>
  <c r="Q7" i="24"/>
  <c r="Q16" i="24"/>
  <c r="Q25" i="24"/>
  <c r="Q178" i="25"/>
  <c r="Q179" i="25"/>
  <c r="Q177" i="25"/>
  <c r="Q175" i="25"/>
  <c r="Q172" i="25"/>
  <c r="Q169" i="25"/>
  <c r="Q166" i="25"/>
  <c r="Q163" i="25"/>
  <c r="Q160" i="25"/>
  <c r="Q157" i="25"/>
  <c r="Q154" i="25"/>
  <c r="Q151" i="25"/>
  <c r="Q148" i="25"/>
  <c r="Q145" i="25"/>
  <c r="Q142" i="25"/>
  <c r="Q139" i="25"/>
  <c r="Q136" i="25"/>
  <c r="Q176" i="25"/>
  <c r="Q173" i="25"/>
  <c r="Q170" i="25"/>
  <c r="Q167" i="25"/>
  <c r="Q164" i="25"/>
  <c r="Q161" i="25"/>
  <c r="Q158" i="25"/>
  <c r="Q155" i="25"/>
  <c r="Q152" i="25"/>
  <c r="Q149" i="25"/>
  <c r="Q146" i="25"/>
  <c r="Q143" i="25"/>
  <c r="Q140" i="25"/>
  <c r="Q137" i="25"/>
  <c r="Q174" i="25"/>
  <c r="Q165" i="25"/>
  <c r="Q156" i="25"/>
  <c r="Q147" i="25"/>
  <c r="Q138" i="25"/>
  <c r="Q128" i="25"/>
  <c r="Q118" i="25"/>
  <c r="Q171" i="25"/>
  <c r="Q162" i="25"/>
  <c r="Q153" i="25"/>
  <c r="Q168" i="25"/>
  <c r="Q159" i="25"/>
  <c r="Q150" i="25"/>
  <c r="Q141" i="25"/>
  <c r="Q127" i="25"/>
  <c r="Q122" i="25"/>
  <c r="Q132" i="25"/>
  <c r="Q124" i="25"/>
  <c r="Q100" i="25"/>
  <c r="Q96" i="25"/>
  <c r="Q93" i="25"/>
  <c r="Q90" i="25"/>
  <c r="Q87" i="25"/>
  <c r="Q84" i="25"/>
  <c r="Q81" i="25"/>
  <c r="Q78" i="25"/>
  <c r="Q75" i="25"/>
  <c r="Q125" i="25"/>
  <c r="Q99" i="25"/>
  <c r="Q134" i="25"/>
  <c r="Q94" i="25"/>
  <c r="Q91" i="25"/>
  <c r="Q88" i="25"/>
  <c r="Q85" i="25"/>
  <c r="Q82" i="25"/>
  <c r="Q79" i="25"/>
  <c r="Q76" i="25"/>
  <c r="Q144" i="25"/>
  <c r="Q130" i="25"/>
  <c r="Q126" i="25"/>
  <c r="Q112" i="25"/>
  <c r="Q69" i="25"/>
  <c r="Q66" i="25"/>
  <c r="Q63" i="25"/>
  <c r="Q60" i="25"/>
  <c r="Q57" i="25"/>
  <c r="Q54" i="25"/>
  <c r="Q51" i="25"/>
  <c r="Q48" i="25"/>
  <c r="Q45" i="25"/>
  <c r="Q42" i="25"/>
  <c r="Q111" i="25"/>
  <c r="Q107" i="25"/>
  <c r="Q104" i="25"/>
  <c r="Q97" i="25"/>
  <c r="Q89" i="25"/>
  <c r="Q80" i="25"/>
  <c r="Q74" i="25"/>
  <c r="Q110" i="25"/>
  <c r="Q101" i="25"/>
  <c r="Q135" i="25"/>
  <c r="Q129" i="25"/>
  <c r="Q109" i="25"/>
  <c r="Q106" i="25"/>
  <c r="Q103" i="25"/>
  <c r="Q123" i="25"/>
  <c r="Q113" i="25"/>
  <c r="Q108" i="25"/>
  <c r="Q105" i="25"/>
  <c r="Q102" i="25"/>
  <c r="Q92" i="25"/>
  <c r="Q41" i="25"/>
  <c r="Q38" i="25"/>
  <c r="Q35" i="25"/>
  <c r="Q32" i="25"/>
  <c r="Q29" i="25"/>
  <c r="Q26" i="25"/>
  <c r="Q23" i="25"/>
  <c r="Q20" i="25"/>
  <c r="Q17" i="25"/>
  <c r="Q14" i="25"/>
  <c r="Q11" i="25"/>
  <c r="Q8" i="25"/>
  <c r="Q115" i="25"/>
  <c r="Q95" i="25"/>
  <c r="Q86" i="25"/>
  <c r="Q131" i="25"/>
  <c r="Q121" i="25"/>
  <c r="Q73" i="25"/>
  <c r="Q39" i="25"/>
  <c r="Q36" i="25"/>
  <c r="Q33" i="25"/>
  <c r="Q30" i="25"/>
  <c r="Q27" i="25"/>
  <c r="Q24" i="25"/>
  <c r="Q21" i="25"/>
  <c r="Q18" i="25"/>
  <c r="Q15" i="25"/>
  <c r="Q12" i="25"/>
  <c r="Q9" i="25"/>
  <c r="Q83" i="25"/>
  <c r="Q72" i="25"/>
  <c r="Q44" i="25"/>
  <c r="Q43" i="25"/>
  <c r="Q120" i="25"/>
  <c r="Q117" i="25"/>
  <c r="Q114" i="25"/>
  <c r="Q98" i="25"/>
  <c r="Q68" i="25"/>
  <c r="Q65" i="25"/>
  <c r="Q62" i="25"/>
  <c r="Q59" i="25"/>
  <c r="Q56" i="25"/>
  <c r="Q53" i="25"/>
  <c r="Q50" i="25"/>
  <c r="Q47" i="25"/>
  <c r="Q77" i="25"/>
  <c r="Q70" i="25"/>
  <c r="Q67" i="25"/>
  <c r="Q64" i="25"/>
  <c r="Q61" i="25"/>
  <c r="Q58" i="25"/>
  <c r="Q55" i="25"/>
  <c r="Q52" i="25"/>
  <c r="Q49" i="25"/>
  <c r="Q133" i="25"/>
  <c r="Q6" i="25"/>
  <c r="Q3" i="25"/>
  <c r="Q119" i="25"/>
  <c r="Q71" i="25"/>
  <c r="Q116" i="25"/>
  <c r="Q7" i="25"/>
  <c r="Q4" i="25"/>
  <c r="Q5" i="25"/>
  <c r="Q40" i="25"/>
  <c r="Q34" i="25"/>
  <c r="Q28" i="25"/>
  <c r="Q22" i="25"/>
  <c r="Q16" i="25"/>
  <c r="Q10" i="25"/>
  <c r="R1" i="25"/>
  <c r="Q46" i="25"/>
  <c r="Q37" i="25"/>
  <c r="Q13" i="25"/>
  <c r="Q31" i="25"/>
  <c r="Q25" i="25"/>
  <c r="Q19" i="25"/>
  <c r="S126" i="22"/>
  <c r="S123" i="22"/>
  <c r="S131" i="22"/>
  <c r="S134" i="22"/>
  <c r="S185" i="22"/>
  <c r="S182" i="22"/>
  <c r="S179" i="22"/>
  <c r="S176" i="22"/>
  <c r="S173" i="22"/>
  <c r="S170" i="22"/>
  <c r="S167" i="22"/>
  <c r="S164" i="22"/>
  <c r="S161" i="22"/>
  <c r="S158" i="22"/>
  <c r="S155" i="22"/>
  <c r="S152" i="22"/>
  <c r="S149" i="22"/>
  <c r="S146" i="22"/>
  <c r="S143" i="22"/>
  <c r="S140" i="22"/>
  <c r="S137" i="22"/>
  <c r="S129" i="22"/>
  <c r="S121" i="22"/>
  <c r="S118" i="22"/>
  <c r="S124" i="22"/>
  <c r="S127" i="22"/>
  <c r="S135" i="22"/>
  <c r="S132" i="22"/>
  <c r="S183" i="22"/>
  <c r="S180" i="22"/>
  <c r="S177" i="22"/>
  <c r="S174" i="22"/>
  <c r="S171" i="22"/>
  <c r="S168" i="22"/>
  <c r="S165" i="22"/>
  <c r="S162" i="22"/>
  <c r="S159" i="22"/>
  <c r="S156" i="22"/>
  <c r="S153" i="22"/>
  <c r="S150" i="22"/>
  <c r="S147" i="22"/>
  <c r="S144" i="22"/>
  <c r="S141" i="22"/>
  <c r="S138" i="22"/>
  <c r="S119" i="22"/>
  <c r="S133" i="22"/>
  <c r="S128" i="22"/>
  <c r="S125" i="22"/>
  <c r="S116" i="22"/>
  <c r="S113" i="22"/>
  <c r="S110" i="22"/>
  <c r="S107" i="22"/>
  <c r="S104" i="22"/>
  <c r="S101" i="22"/>
  <c r="S98" i="22"/>
  <c r="S95" i="22"/>
  <c r="S92" i="22"/>
  <c r="S89" i="22"/>
  <c r="S86" i="22"/>
  <c r="S83" i="22"/>
  <c r="S80" i="22"/>
  <c r="S77" i="22"/>
  <c r="S74" i="22"/>
  <c r="S71" i="22"/>
  <c r="S68" i="22"/>
  <c r="S65" i="22"/>
  <c r="S62" i="22"/>
  <c r="S59" i="22"/>
  <c r="S56" i="22"/>
  <c r="S53" i="22"/>
  <c r="S50" i="22"/>
  <c r="S47" i="22"/>
  <c r="S44" i="22"/>
  <c r="S41" i="22"/>
  <c r="S38" i="22"/>
  <c r="S35" i="22"/>
  <c r="S32" i="22"/>
  <c r="S29" i="22"/>
  <c r="S26" i="22"/>
  <c r="S23" i="22"/>
  <c r="S20" i="22"/>
  <c r="S17" i="22"/>
  <c r="S14" i="22"/>
  <c r="S181" i="22"/>
  <c r="S172" i="22"/>
  <c r="S163" i="22"/>
  <c r="S154" i="22"/>
  <c r="S145" i="22"/>
  <c r="S136" i="22"/>
  <c r="S120" i="22"/>
  <c r="S122" i="22"/>
  <c r="S117" i="22"/>
  <c r="S114" i="22"/>
  <c r="S111" i="22"/>
  <c r="S108" i="22"/>
  <c r="S105" i="22"/>
  <c r="S102" i="22"/>
  <c r="S99" i="22"/>
  <c r="S96" i="22"/>
  <c r="S93" i="22"/>
  <c r="S90" i="22"/>
  <c r="S87" i="22"/>
  <c r="S84" i="22"/>
  <c r="S81" i="22"/>
  <c r="S78" i="22"/>
  <c r="S75" i="22"/>
  <c r="S72" i="22"/>
  <c r="S69" i="22"/>
  <c r="S66" i="22"/>
  <c r="S63" i="22"/>
  <c r="S60" i="22"/>
  <c r="S57" i="22"/>
  <c r="S54" i="22"/>
  <c r="S51" i="22"/>
  <c r="S48" i="22"/>
  <c r="S45" i="22"/>
  <c r="S42" i="22"/>
  <c r="S39" i="22"/>
  <c r="S36" i="22"/>
  <c r="S33" i="22"/>
  <c r="S30" i="22"/>
  <c r="S27" i="22"/>
  <c r="S24" i="22"/>
  <c r="S21" i="22"/>
  <c r="S18" i="22"/>
  <c r="S15" i="22"/>
  <c r="S12" i="22"/>
  <c r="S178" i="22"/>
  <c r="S169" i="22"/>
  <c r="S160" i="22"/>
  <c r="S151" i="22"/>
  <c r="S142" i="22"/>
  <c r="S115" i="22"/>
  <c r="S112" i="22"/>
  <c r="S109" i="22"/>
  <c r="S106" i="22"/>
  <c r="S103" i="22"/>
  <c r="S100" i="22"/>
  <c r="S97" i="22"/>
  <c r="S94" i="22"/>
  <c r="S91" i="22"/>
  <c r="S88" i="22"/>
  <c r="S85" i="22"/>
  <c r="S82" i="22"/>
  <c r="S79" i="22"/>
  <c r="S76" i="22"/>
  <c r="S73" i="22"/>
  <c r="S70" i="22"/>
  <c r="S67" i="22"/>
  <c r="S64" i="22"/>
  <c r="S61" i="22"/>
  <c r="S58" i="22"/>
  <c r="S55" i="22"/>
  <c r="S52" i="22"/>
  <c r="S49" i="22"/>
  <c r="S46" i="22"/>
  <c r="S43" i="22"/>
  <c r="S40" i="22"/>
  <c r="S37" i="22"/>
  <c r="S34" i="22"/>
  <c r="S31" i="22"/>
  <c r="S28" i="22"/>
  <c r="S25" i="22"/>
  <c r="S22" i="22"/>
  <c r="S19" i="22"/>
  <c r="S16" i="22"/>
  <c r="S13" i="22"/>
  <c r="S166" i="22"/>
  <c r="S139" i="22"/>
  <c r="S10" i="22"/>
  <c r="S7" i="22"/>
  <c r="S4" i="22"/>
  <c r="T1" i="22"/>
  <c r="S130" i="22"/>
  <c r="S184" i="22"/>
  <c r="S157" i="22"/>
  <c r="S11" i="22"/>
  <c r="S8" i="22"/>
  <c r="S5" i="22"/>
  <c r="S175" i="22"/>
  <c r="S148" i="22"/>
  <c r="S9" i="22"/>
  <c r="S6" i="22"/>
  <c r="S3" i="22"/>
  <c r="R189" i="20"/>
  <c r="R186" i="20"/>
  <c r="R183" i="20"/>
  <c r="R180" i="20"/>
  <c r="R177" i="20"/>
  <c r="R174" i="20"/>
  <c r="R171" i="20"/>
  <c r="R168" i="20"/>
  <c r="R165" i="20"/>
  <c r="R162" i="20"/>
  <c r="R159" i="20"/>
  <c r="R156" i="20"/>
  <c r="R153" i="20"/>
  <c r="R150" i="20"/>
  <c r="R147" i="20"/>
  <c r="R185" i="20"/>
  <c r="R184" i="20"/>
  <c r="R176" i="20"/>
  <c r="R175" i="20"/>
  <c r="R167" i="20"/>
  <c r="R166" i="20"/>
  <c r="R158" i="20"/>
  <c r="R157" i="20"/>
  <c r="R132" i="20"/>
  <c r="R190" i="20"/>
  <c r="R182" i="20"/>
  <c r="R181" i="20"/>
  <c r="R173" i="20"/>
  <c r="R172" i="20"/>
  <c r="R164" i="20"/>
  <c r="R163" i="20"/>
  <c r="R143" i="20"/>
  <c r="R138" i="20"/>
  <c r="R118" i="20"/>
  <c r="R178" i="20"/>
  <c r="R127" i="20"/>
  <c r="R122" i="20"/>
  <c r="R113" i="20"/>
  <c r="R104" i="20"/>
  <c r="R95" i="20"/>
  <c r="R86" i="20"/>
  <c r="R77" i="20"/>
  <c r="R179" i="20"/>
  <c r="R142" i="20"/>
  <c r="R137" i="20"/>
  <c r="R126" i="20"/>
  <c r="R117" i="20"/>
  <c r="R108" i="20"/>
  <c r="R99" i="20"/>
  <c r="R90" i="20"/>
  <c r="R81" i="20"/>
  <c r="R72" i="20"/>
  <c r="R68" i="20"/>
  <c r="R169" i="20"/>
  <c r="R141" i="20"/>
  <c r="R136" i="20"/>
  <c r="R130" i="20"/>
  <c r="R125" i="20"/>
  <c r="R116" i="20"/>
  <c r="R107" i="20"/>
  <c r="R98" i="20"/>
  <c r="R89" i="20"/>
  <c r="R80" i="20"/>
  <c r="R71" i="20"/>
  <c r="R146" i="20"/>
  <c r="R129" i="20"/>
  <c r="R124" i="20"/>
  <c r="R115" i="20"/>
  <c r="R106" i="20"/>
  <c r="R97" i="20"/>
  <c r="R88" i="20"/>
  <c r="R154" i="20"/>
  <c r="R139" i="20"/>
  <c r="R133" i="20"/>
  <c r="R128" i="20"/>
  <c r="R103" i="20"/>
  <c r="R93" i="20"/>
  <c r="R91" i="20"/>
  <c r="R84" i="20"/>
  <c r="R75" i="20"/>
  <c r="S1" i="20"/>
  <c r="R53" i="20"/>
  <c r="R44" i="20"/>
  <c r="R35" i="20"/>
  <c r="R32" i="20"/>
  <c r="R29" i="20"/>
  <c r="R26" i="20"/>
  <c r="R23" i="20"/>
  <c r="R20" i="20"/>
  <c r="R17" i="20"/>
  <c r="R14" i="20"/>
  <c r="R11" i="20"/>
  <c r="R8" i="20"/>
  <c r="R5" i="20"/>
  <c r="R145" i="20"/>
  <c r="R135" i="20"/>
  <c r="R109" i="20"/>
  <c r="R57" i="20"/>
  <c r="R48" i="20"/>
  <c r="R39" i="20"/>
  <c r="R170" i="20"/>
  <c r="R160" i="20"/>
  <c r="R144" i="20"/>
  <c r="R134" i="20"/>
  <c r="R112" i="20"/>
  <c r="R102" i="20"/>
  <c r="R85" i="20"/>
  <c r="R79" i="20"/>
  <c r="R76" i="20"/>
  <c r="R70" i="20"/>
  <c r="R188" i="20"/>
  <c r="R148" i="20"/>
  <c r="R123" i="20"/>
  <c r="R105" i="20"/>
  <c r="R92" i="20"/>
  <c r="R82" i="20"/>
  <c r="R73" i="20"/>
  <c r="R52" i="20"/>
  <c r="R43" i="20"/>
  <c r="R149" i="20"/>
  <c r="R131" i="20"/>
  <c r="R94" i="20"/>
  <c r="R56" i="20"/>
  <c r="R47" i="20"/>
  <c r="R38" i="20"/>
  <c r="R36" i="20"/>
  <c r="R33" i="20"/>
  <c r="R30" i="20"/>
  <c r="R27" i="20"/>
  <c r="R24" i="20"/>
  <c r="R21" i="20"/>
  <c r="R18" i="20"/>
  <c r="R15" i="20"/>
  <c r="R12" i="20"/>
  <c r="R9" i="20"/>
  <c r="R6" i="20"/>
  <c r="R3" i="20"/>
  <c r="R151" i="20"/>
  <c r="R121" i="20"/>
  <c r="R101" i="20"/>
  <c r="R96" i="20"/>
  <c r="R51" i="20"/>
  <c r="R42" i="20"/>
  <c r="R111" i="20"/>
  <c r="R83" i="20"/>
  <c r="R74" i="20"/>
  <c r="R66" i="20"/>
  <c r="R63" i="20"/>
  <c r="R60" i="20"/>
  <c r="R187" i="20"/>
  <c r="R152" i="20"/>
  <c r="R140" i="20"/>
  <c r="R120" i="20"/>
  <c r="R114" i="20"/>
  <c r="R67" i="20"/>
  <c r="R65" i="20"/>
  <c r="R64" i="20"/>
  <c r="R62" i="20"/>
  <c r="R61" i="20"/>
  <c r="R55" i="20"/>
  <c r="R46" i="20"/>
  <c r="R155" i="20"/>
  <c r="R119" i="20"/>
  <c r="R59" i="20"/>
  <c r="R50" i="20"/>
  <c r="R41" i="20"/>
  <c r="R37" i="20"/>
  <c r="R34" i="20"/>
  <c r="R31" i="20"/>
  <c r="R28" i="20"/>
  <c r="R25" i="20"/>
  <c r="R22" i="20"/>
  <c r="R19" i="20"/>
  <c r="R16" i="20"/>
  <c r="R13" i="20"/>
  <c r="R10" i="20"/>
  <c r="R7" i="20"/>
  <c r="R4" i="20"/>
  <c r="R54" i="20"/>
  <c r="R161" i="20"/>
  <c r="R45" i="20"/>
  <c r="R78" i="20"/>
  <c r="R110" i="20"/>
  <c r="R58" i="20"/>
  <c r="R100" i="20"/>
  <c r="R40" i="20"/>
  <c r="R87" i="20"/>
  <c r="R69" i="20"/>
  <c r="R49" i="20"/>
  <c r="S190" i="17"/>
  <c r="S187" i="17"/>
  <c r="S184" i="17"/>
  <c r="S181" i="17"/>
  <c r="S178" i="17"/>
  <c r="S175" i="17"/>
  <c r="S172" i="17"/>
  <c r="S169" i="17"/>
  <c r="S166" i="17"/>
  <c r="S163" i="17"/>
  <c r="S160" i="17"/>
  <c r="S157" i="17"/>
  <c r="S154" i="17"/>
  <c r="S151" i="17"/>
  <c r="S191" i="17"/>
  <c r="S188" i="17"/>
  <c r="S185" i="17"/>
  <c r="S182" i="17"/>
  <c r="S179" i="17"/>
  <c r="S176" i="17"/>
  <c r="S173" i="17"/>
  <c r="S170" i="17"/>
  <c r="S167" i="17"/>
  <c r="S164" i="17"/>
  <c r="S161" i="17"/>
  <c r="S158" i="17"/>
  <c r="S155" i="17"/>
  <c r="S152" i="17"/>
  <c r="S149" i="17"/>
  <c r="S186" i="17"/>
  <c r="S177" i="17"/>
  <c r="S168" i="17"/>
  <c r="S159" i="17"/>
  <c r="S150" i="17"/>
  <c r="S146" i="17"/>
  <c r="S143" i="17"/>
  <c r="S127" i="17"/>
  <c r="S124" i="17"/>
  <c r="S121" i="17"/>
  <c r="S118" i="17"/>
  <c r="S115" i="17"/>
  <c r="S112" i="17"/>
  <c r="S109" i="17"/>
  <c r="S106" i="17"/>
  <c r="S103" i="17"/>
  <c r="S100" i="17"/>
  <c r="S97" i="17"/>
  <c r="S141" i="17"/>
  <c r="S189" i="17"/>
  <c r="S180" i="17"/>
  <c r="S171" i="17"/>
  <c r="S162" i="17"/>
  <c r="S153" i="17"/>
  <c r="S147" i="17"/>
  <c r="S144" i="17"/>
  <c r="S136" i="17"/>
  <c r="S128" i="17"/>
  <c r="S125" i="17"/>
  <c r="S122" i="17"/>
  <c r="S119" i="17"/>
  <c r="S116" i="17"/>
  <c r="S113" i="17"/>
  <c r="S110" i="17"/>
  <c r="S107" i="17"/>
  <c r="S104" i="17"/>
  <c r="S101" i="17"/>
  <c r="S98" i="17"/>
  <c r="S95" i="17"/>
  <c r="S92" i="17"/>
  <c r="S130" i="17"/>
  <c r="S94" i="17"/>
  <c r="S88" i="17"/>
  <c r="S85" i="17"/>
  <c r="S82" i="17"/>
  <c r="S79" i="17"/>
  <c r="S76" i="17"/>
  <c r="S73" i="17"/>
  <c r="S70" i="17"/>
  <c r="S192" i="17"/>
  <c r="S120" i="17"/>
  <c r="S111" i="17"/>
  <c r="S102" i="17"/>
  <c r="S129" i="17"/>
  <c r="S68" i="17"/>
  <c r="S65" i="17"/>
  <c r="S62" i="17"/>
  <c r="S59" i="17"/>
  <c r="S56" i="17"/>
  <c r="S53" i="17"/>
  <c r="S50" i="17"/>
  <c r="S47" i="17"/>
  <c r="S44" i="17"/>
  <c r="S41" i="17"/>
  <c r="S38" i="17"/>
  <c r="S35" i="17"/>
  <c r="S32" i="17"/>
  <c r="S29" i="17"/>
  <c r="S26" i="17"/>
  <c r="S23" i="17"/>
  <c r="S20" i="17"/>
  <c r="S17" i="17"/>
  <c r="S14" i="17"/>
  <c r="S11" i="17"/>
  <c r="S8" i="17"/>
  <c r="S5" i="17"/>
  <c r="S91" i="17"/>
  <c r="S89" i="17"/>
  <c r="S86" i="17"/>
  <c r="S83" i="17"/>
  <c r="S80" i="17"/>
  <c r="S77" i="17"/>
  <c r="S74" i="17"/>
  <c r="S71" i="17"/>
  <c r="S174" i="17"/>
  <c r="S165" i="17"/>
  <c r="S156" i="17"/>
  <c r="S93" i="17"/>
  <c r="S183" i="17"/>
  <c r="S134" i="17"/>
  <c r="S133" i="17"/>
  <c r="S123" i="17"/>
  <c r="S114" i="17"/>
  <c r="S105" i="17"/>
  <c r="S96" i="17"/>
  <c r="S135" i="17"/>
  <c r="S87" i="17"/>
  <c r="S84" i="17"/>
  <c r="S81" i="17"/>
  <c r="S78" i="17"/>
  <c r="S75" i="17"/>
  <c r="S72" i="17"/>
  <c r="S69" i="17"/>
  <c r="S137" i="17"/>
  <c r="S131" i="17"/>
  <c r="S90" i="17"/>
  <c r="S142" i="17"/>
  <c r="S139" i="17"/>
  <c r="S138" i="17"/>
  <c r="S126" i="17"/>
  <c r="S117" i="17"/>
  <c r="S108" i="17"/>
  <c r="S99" i="17"/>
  <c r="S12" i="17"/>
  <c r="S66" i="17"/>
  <c r="S63" i="17"/>
  <c r="S60" i="17"/>
  <c r="S57" i="17"/>
  <c r="S54" i="17"/>
  <c r="S51" i="17"/>
  <c r="S48" i="17"/>
  <c r="S45" i="17"/>
  <c r="S42" i="17"/>
  <c r="S39" i="17"/>
  <c r="S36" i="17"/>
  <c r="S33" i="17"/>
  <c r="S30" i="17"/>
  <c r="S27" i="17"/>
  <c r="S24" i="17"/>
  <c r="S21" i="17"/>
  <c r="S145" i="17"/>
  <c r="S13" i="17"/>
  <c r="S4" i="17"/>
  <c r="S3" i="17"/>
  <c r="T1" i="17"/>
  <c r="S15" i="17"/>
  <c r="S6" i="17"/>
  <c r="S67" i="17"/>
  <c r="S64" i="17"/>
  <c r="S61" i="17"/>
  <c r="S58" i="17"/>
  <c r="S55" i="17"/>
  <c r="S52" i="17"/>
  <c r="S49" i="17"/>
  <c r="S46" i="17"/>
  <c r="S43" i="17"/>
  <c r="S40" i="17"/>
  <c r="S37" i="17"/>
  <c r="S34" i="17"/>
  <c r="S31" i="17"/>
  <c r="S28" i="17"/>
  <c r="S25" i="17"/>
  <c r="S22" i="17"/>
  <c r="S16" i="17"/>
  <c r="S7" i="17"/>
  <c r="S132" i="17"/>
  <c r="S148" i="17"/>
  <c r="S140" i="17"/>
  <c r="S18" i="17"/>
  <c r="S9" i="17"/>
  <c r="S19" i="17"/>
  <c r="S10" i="17"/>
  <c r="P192" i="18"/>
  <c r="P189" i="18"/>
  <c r="P186" i="18"/>
  <c r="P183" i="18"/>
  <c r="P180" i="18"/>
  <c r="P177" i="18"/>
  <c r="P174" i="18"/>
  <c r="P171" i="18"/>
  <c r="P168" i="18"/>
  <c r="P165" i="18"/>
  <c r="P162" i="18"/>
  <c r="P159" i="18"/>
  <c r="P156" i="18"/>
  <c r="P153" i="18"/>
  <c r="P150" i="18"/>
  <c r="P140" i="18"/>
  <c r="P188" i="18"/>
  <c r="P179" i="18"/>
  <c r="P170" i="18"/>
  <c r="P185" i="18"/>
  <c r="P175" i="18"/>
  <c r="P163" i="18"/>
  <c r="P145" i="18"/>
  <c r="P144" i="18"/>
  <c r="P143" i="18"/>
  <c r="P142" i="18"/>
  <c r="P178" i="18"/>
  <c r="P135" i="18"/>
  <c r="P67" i="18"/>
  <c r="P64" i="18"/>
  <c r="P61" i="18"/>
  <c r="P58" i="18"/>
  <c r="P55" i="18"/>
  <c r="P52" i="18"/>
  <c r="P49" i="18"/>
  <c r="P46" i="18"/>
  <c r="P43" i="18"/>
  <c r="P40" i="18"/>
  <c r="P37" i="18"/>
  <c r="P34" i="18"/>
  <c r="P31" i="18"/>
  <c r="P28" i="18"/>
  <c r="P25" i="18"/>
  <c r="P22" i="18"/>
  <c r="P19" i="18"/>
  <c r="P16" i="18"/>
  <c r="P13" i="18"/>
  <c r="P10" i="18"/>
  <c r="P7" i="18"/>
  <c r="P4" i="18"/>
  <c r="P191" i="18"/>
  <c r="P182" i="18"/>
  <c r="P152" i="18"/>
  <c r="P68" i="18"/>
  <c r="P65" i="18"/>
  <c r="P62" i="18"/>
  <c r="P59" i="18"/>
  <c r="P56" i="18"/>
  <c r="P53" i="18"/>
  <c r="P50" i="18"/>
  <c r="P47" i="18"/>
  <c r="P44" i="18"/>
  <c r="P41" i="18"/>
  <c r="P38" i="18"/>
  <c r="P35" i="18"/>
  <c r="P32" i="18"/>
  <c r="P29" i="18"/>
  <c r="P26" i="18"/>
  <c r="P23" i="18"/>
  <c r="P20" i="18"/>
  <c r="P17" i="18"/>
  <c r="P14" i="18"/>
  <c r="P11" i="18"/>
  <c r="P8" i="18"/>
  <c r="P5" i="18"/>
  <c r="P132" i="18"/>
  <c r="P127" i="18"/>
  <c r="P118" i="18"/>
  <c r="P109" i="18"/>
  <c r="P100" i="18"/>
  <c r="P91" i="18"/>
  <c r="P82" i="18"/>
  <c r="P73" i="18"/>
  <c r="P149" i="18"/>
  <c r="P147" i="18"/>
  <c r="P122" i="18"/>
  <c r="P113" i="18"/>
  <c r="P104" i="18"/>
  <c r="P95" i="18"/>
  <c r="P86" i="18"/>
  <c r="P77" i="18"/>
  <c r="P173" i="18"/>
  <c r="P164" i="18"/>
  <c r="P131" i="18"/>
  <c r="P63" i="18"/>
  <c r="P54" i="18"/>
  <c r="P45" i="18"/>
  <c r="P36" i="18"/>
  <c r="P27" i="18"/>
  <c r="P18" i="18"/>
  <c r="P9" i="18"/>
  <c r="P161" i="18"/>
  <c r="P141" i="18"/>
  <c r="P138" i="18"/>
  <c r="P126" i="18"/>
  <c r="P117" i="18"/>
  <c r="P108" i="18"/>
  <c r="P99" i="18"/>
  <c r="P90" i="18"/>
  <c r="P81" i="18"/>
  <c r="P72" i="18"/>
  <c r="P181" i="18"/>
  <c r="P166" i="18"/>
  <c r="P160" i="18"/>
  <c r="P121" i="18"/>
  <c r="P112" i="18"/>
  <c r="P103" i="18"/>
  <c r="P94" i="18"/>
  <c r="P85" i="18"/>
  <c r="P76" i="18"/>
  <c r="P176" i="18"/>
  <c r="P158" i="18"/>
  <c r="P130" i="18"/>
  <c r="P125" i="18"/>
  <c r="P116" i="18"/>
  <c r="P107" i="18"/>
  <c r="P184" i="18"/>
  <c r="P167" i="18"/>
  <c r="P157" i="18"/>
  <c r="P148" i="18"/>
  <c r="P187" i="18"/>
  <c r="P172" i="18"/>
  <c r="P155" i="18"/>
  <c r="P79" i="18"/>
  <c r="P42" i="18"/>
  <c r="P12" i="18"/>
  <c r="P6" i="18"/>
  <c r="P136" i="18"/>
  <c r="P123" i="18"/>
  <c r="P75" i="18"/>
  <c r="P93" i="18"/>
  <c r="P84" i="18"/>
  <c r="P71" i="18"/>
  <c r="P190" i="18"/>
  <c r="P51" i="18"/>
  <c r="P24" i="18"/>
  <c r="P3" i="18"/>
  <c r="P154" i="18"/>
  <c r="P128" i="18"/>
  <c r="P115" i="18"/>
  <c r="P102" i="18"/>
  <c r="P101" i="18"/>
  <c r="P92" i="18"/>
  <c r="P83" i="18"/>
  <c r="P78" i="18"/>
  <c r="P57" i="18"/>
  <c r="P30" i="18"/>
  <c r="P146" i="18"/>
  <c r="P129" i="18"/>
  <c r="P114" i="18"/>
  <c r="P74" i="18"/>
  <c r="P169" i="18"/>
  <c r="P137" i="18"/>
  <c r="P98" i="18"/>
  <c r="P89" i="18"/>
  <c r="P80" i="18"/>
  <c r="P70" i="18"/>
  <c r="P60" i="18"/>
  <c r="P33" i="18"/>
  <c r="P21" i="18"/>
  <c r="P15" i="18"/>
  <c r="P120" i="18"/>
  <c r="P119" i="18"/>
  <c r="P106" i="18"/>
  <c r="P66" i="18"/>
  <c r="P39" i="18"/>
  <c r="Q1" i="18"/>
  <c r="P134" i="18"/>
  <c r="P133" i="18"/>
  <c r="P105" i="18"/>
  <c r="P97" i="18"/>
  <c r="P88" i="18"/>
  <c r="P139" i="18"/>
  <c r="P87" i="18"/>
  <c r="P124" i="18"/>
  <c r="P111" i="18"/>
  <c r="P110" i="18"/>
  <c r="P48" i="18"/>
  <c r="P69" i="18"/>
  <c r="P96" i="18"/>
  <c r="P151" i="18"/>
  <c r="P188" i="19"/>
  <c r="P185" i="19"/>
  <c r="P182" i="19"/>
  <c r="P179" i="19"/>
  <c r="P176" i="19"/>
  <c r="P183" i="19"/>
  <c r="P175" i="19"/>
  <c r="P132" i="19"/>
  <c r="P140" i="19"/>
  <c r="P137" i="19"/>
  <c r="P67" i="19"/>
  <c r="P64" i="19"/>
  <c r="P61" i="19"/>
  <c r="P58" i="19"/>
  <c r="P55" i="19"/>
  <c r="P52" i="19"/>
  <c r="P49" i="19"/>
  <c r="P46" i="19"/>
  <c r="P43" i="19"/>
  <c r="P40" i="19"/>
  <c r="P37" i="19"/>
  <c r="P34" i="19"/>
  <c r="P31" i="19"/>
  <c r="P28" i="19"/>
  <c r="P25" i="19"/>
  <c r="P22" i="19"/>
  <c r="P19" i="19"/>
  <c r="P16" i="19"/>
  <c r="P13" i="19"/>
  <c r="P10" i="19"/>
  <c r="P7" i="19"/>
  <c r="P4" i="19"/>
  <c r="P173" i="19"/>
  <c r="P170" i="19"/>
  <c r="P167" i="19"/>
  <c r="P164" i="19"/>
  <c r="P161" i="19"/>
  <c r="P158" i="19"/>
  <c r="P155" i="19"/>
  <c r="P152" i="19"/>
  <c r="P149" i="19"/>
  <c r="P146" i="19"/>
  <c r="P143" i="19"/>
  <c r="P124" i="19"/>
  <c r="P121" i="19"/>
  <c r="P118" i="19"/>
  <c r="P115" i="19"/>
  <c r="P112" i="19"/>
  <c r="P109" i="19"/>
  <c r="P106" i="19"/>
  <c r="P103" i="19"/>
  <c r="P100" i="19"/>
  <c r="P97" i="19"/>
  <c r="P94" i="19"/>
  <c r="P91" i="19"/>
  <c r="P88" i="19"/>
  <c r="P85" i="19"/>
  <c r="P82" i="19"/>
  <c r="P79" i="19"/>
  <c r="P76" i="19"/>
  <c r="P73" i="19"/>
  <c r="P70" i="19"/>
  <c r="P190" i="19"/>
  <c r="P181" i="19"/>
  <c r="P135" i="19"/>
  <c r="P130" i="19"/>
  <c r="P127" i="19"/>
  <c r="Q1" i="19"/>
  <c r="P187" i="19"/>
  <c r="P178" i="19"/>
  <c r="P131" i="19"/>
  <c r="P128" i="19"/>
  <c r="P139" i="19"/>
  <c r="P59" i="19"/>
  <c r="P50" i="19"/>
  <c r="P41" i="19"/>
  <c r="P32" i="19"/>
  <c r="P23" i="19"/>
  <c r="P14" i="19"/>
  <c r="P5" i="19"/>
  <c r="P166" i="19"/>
  <c r="P157" i="19"/>
  <c r="P148" i="19"/>
  <c r="P133" i="19"/>
  <c r="P122" i="19"/>
  <c r="P113" i="19"/>
  <c r="P104" i="19"/>
  <c r="P95" i="19"/>
  <c r="P86" i="19"/>
  <c r="P77" i="19"/>
  <c r="P68" i="19"/>
  <c r="P66" i="19"/>
  <c r="P57" i="19"/>
  <c r="P48" i="19"/>
  <c r="P39" i="19"/>
  <c r="P30" i="19"/>
  <c r="P21" i="19"/>
  <c r="P12" i="19"/>
  <c r="P3" i="19"/>
  <c r="P171" i="19"/>
  <c r="P162" i="19"/>
  <c r="P153" i="19"/>
  <c r="P144" i="19"/>
  <c r="P120" i="19"/>
  <c r="P111" i="19"/>
  <c r="P102" i="19"/>
  <c r="P93" i="19"/>
  <c r="P84" i="19"/>
  <c r="P75" i="19"/>
  <c r="P169" i="19"/>
  <c r="P160" i="19"/>
  <c r="P151" i="19"/>
  <c r="P142" i="19"/>
  <c r="P125" i="19"/>
  <c r="P116" i="19"/>
  <c r="P107" i="19"/>
  <c r="P98" i="19"/>
  <c r="P89" i="19"/>
  <c r="P80" i="19"/>
  <c r="P71" i="19"/>
  <c r="P138" i="19"/>
  <c r="P60" i="19"/>
  <c r="P51" i="19"/>
  <c r="P42" i="19"/>
  <c r="P33" i="19"/>
  <c r="P24" i="19"/>
  <c r="P15" i="19"/>
  <c r="P6" i="19"/>
  <c r="P134" i="19"/>
  <c r="P65" i="19"/>
  <c r="P56" i="19"/>
  <c r="P47" i="19"/>
  <c r="P38" i="19"/>
  <c r="P29" i="19"/>
  <c r="P20" i="19"/>
  <c r="P11" i="19"/>
  <c r="P172" i="19"/>
  <c r="P110" i="19"/>
  <c r="P35" i="19"/>
  <c r="P27" i="19"/>
  <c r="P186" i="19"/>
  <c r="P147" i="19"/>
  <c r="P189" i="19"/>
  <c r="P156" i="19"/>
  <c r="P150" i="19"/>
  <c r="P74" i="19"/>
  <c r="P54" i="19"/>
  <c r="P9" i="19"/>
  <c r="P177" i="19"/>
  <c r="P165" i="19"/>
  <c r="P159" i="19"/>
  <c r="P145" i="19"/>
  <c r="P83" i="19"/>
  <c r="P63" i="19"/>
  <c r="P184" i="19"/>
  <c r="P180" i="19"/>
  <c r="P174" i="19"/>
  <c r="P168" i="19"/>
  <c r="P154" i="19"/>
  <c r="P92" i="19"/>
  <c r="P141" i="19"/>
  <c r="P117" i="19"/>
  <c r="P108" i="19"/>
  <c r="P101" i="19"/>
  <c r="P99" i="19"/>
  <c r="P78" i="19"/>
  <c r="P69" i="19"/>
  <c r="P62" i="19"/>
  <c r="P119" i="19"/>
  <c r="P96" i="19"/>
  <c r="P87" i="19"/>
  <c r="P129" i="19"/>
  <c r="P114" i="19"/>
  <c r="P105" i="19"/>
  <c r="P18" i="19"/>
  <c r="P163" i="19"/>
  <c r="P126" i="19"/>
  <c r="P45" i="19"/>
  <c r="P26" i="19"/>
  <c r="P8" i="19"/>
  <c r="P123" i="19"/>
  <c r="P36" i="19"/>
  <c r="P136" i="19"/>
  <c r="P72" i="19"/>
  <c r="P44" i="19"/>
  <c r="P17" i="19"/>
  <c r="P90" i="19"/>
  <c r="P81" i="19"/>
  <c r="P53" i="19"/>
  <c r="Q193" i="16"/>
  <c r="Q190" i="16"/>
  <c r="Q187" i="16"/>
  <c r="Q184" i="16"/>
  <c r="Q181" i="16"/>
  <c r="Q178" i="16"/>
  <c r="Q191" i="16"/>
  <c r="Q188" i="16"/>
  <c r="Q185" i="16"/>
  <c r="Q182" i="16"/>
  <c r="Q179" i="16"/>
  <c r="Q192" i="16"/>
  <c r="Q189" i="16"/>
  <c r="Q186" i="16"/>
  <c r="Q183" i="16"/>
  <c r="Q180" i="16"/>
  <c r="Q177" i="16"/>
  <c r="Q142" i="16"/>
  <c r="Q66" i="16"/>
  <c r="Q63" i="16"/>
  <c r="Q60" i="16"/>
  <c r="Q57" i="16"/>
  <c r="Q54" i="16"/>
  <c r="Q51" i="16"/>
  <c r="Q48" i="16"/>
  <c r="Q45" i="16"/>
  <c r="Q42" i="16"/>
  <c r="Q39" i="16"/>
  <c r="Q36" i="16"/>
  <c r="Q33" i="16"/>
  <c r="Q30" i="16"/>
  <c r="Q27" i="16"/>
  <c r="Q24" i="16"/>
  <c r="Q21" i="16"/>
  <c r="Q18" i="16"/>
  <c r="Q15" i="16"/>
  <c r="Q12" i="16"/>
  <c r="Q9" i="16"/>
  <c r="Q6" i="16"/>
  <c r="Q3" i="16"/>
  <c r="Q137" i="16"/>
  <c r="Q129" i="16"/>
  <c r="Q126" i="16"/>
  <c r="Q175" i="16"/>
  <c r="Q172" i="16"/>
  <c r="Q169" i="16"/>
  <c r="Q166" i="16"/>
  <c r="Q163" i="16"/>
  <c r="Q160" i="16"/>
  <c r="Q157" i="16"/>
  <c r="Q154" i="16"/>
  <c r="Q151" i="16"/>
  <c r="Q148" i="16"/>
  <c r="Q145" i="16"/>
  <c r="Q143" i="16"/>
  <c r="Q140" i="16"/>
  <c r="Q176" i="16"/>
  <c r="Q138" i="16"/>
  <c r="Q133" i="16"/>
  <c r="Q130" i="16"/>
  <c r="R1" i="16"/>
  <c r="Q141" i="16"/>
  <c r="Q136" i="16"/>
  <c r="Q68" i="16"/>
  <c r="Q65" i="16"/>
  <c r="Q62" i="16"/>
  <c r="Q59" i="16"/>
  <c r="Q56" i="16"/>
  <c r="Q53" i="16"/>
  <c r="Q50" i="16"/>
  <c r="Q47" i="16"/>
  <c r="Q44" i="16"/>
  <c r="Q41" i="16"/>
  <c r="Q38" i="16"/>
  <c r="Q35" i="16"/>
  <c r="Q32" i="16"/>
  <c r="Q29" i="16"/>
  <c r="Q26" i="16"/>
  <c r="Q23" i="16"/>
  <c r="Q20" i="16"/>
  <c r="Q17" i="16"/>
  <c r="Q14" i="16"/>
  <c r="Q11" i="16"/>
  <c r="Q8" i="16"/>
  <c r="Q5" i="16"/>
  <c r="Q171" i="16"/>
  <c r="Q162" i="16"/>
  <c r="Q153" i="16"/>
  <c r="Q144" i="16"/>
  <c r="Q118" i="16"/>
  <c r="Q109" i="16"/>
  <c r="Q100" i="16"/>
  <c r="Q91" i="16"/>
  <c r="Q82" i="16"/>
  <c r="Q73" i="16"/>
  <c r="Q131" i="16"/>
  <c r="Q123" i="16"/>
  <c r="Q114" i="16"/>
  <c r="Q105" i="16"/>
  <c r="Q96" i="16"/>
  <c r="Q87" i="16"/>
  <c r="Q78" i="16"/>
  <c r="Q119" i="16"/>
  <c r="Q110" i="16"/>
  <c r="Q101" i="16"/>
  <c r="Q92" i="16"/>
  <c r="Q83" i="16"/>
  <c r="Q74" i="16"/>
  <c r="Q69" i="16"/>
  <c r="Q67" i="16"/>
  <c r="Q64" i="16"/>
  <c r="Q61" i="16"/>
  <c r="Q58" i="16"/>
  <c r="Q55" i="16"/>
  <c r="Q52" i="16"/>
  <c r="Q49" i="16"/>
  <c r="Q46" i="16"/>
  <c r="Q43" i="16"/>
  <c r="Q40" i="16"/>
  <c r="Q37" i="16"/>
  <c r="Q34" i="16"/>
  <c r="Q31" i="16"/>
  <c r="Q28" i="16"/>
  <c r="Q25" i="16"/>
  <c r="Q22" i="16"/>
  <c r="Q19" i="16"/>
  <c r="Q16" i="16"/>
  <c r="Q13" i="16"/>
  <c r="Q10" i="16"/>
  <c r="Q7" i="16"/>
  <c r="Q4" i="16"/>
  <c r="Q167" i="16"/>
  <c r="Q158" i="16"/>
  <c r="Q149" i="16"/>
  <c r="Q127" i="16"/>
  <c r="Q147" i="16"/>
  <c r="Q124" i="16"/>
  <c r="Q106" i="16"/>
  <c r="Q88" i="16"/>
  <c r="Q70" i="16"/>
  <c r="Q174" i="16"/>
  <c r="Q165" i="16"/>
  <c r="Q156" i="16"/>
  <c r="Q115" i="16"/>
  <c r="Q97" i="16"/>
  <c r="Q79" i="16"/>
  <c r="Q134" i="16"/>
  <c r="Q120" i="16"/>
  <c r="Q111" i="16"/>
  <c r="Q102" i="16"/>
  <c r="Q93" i="16"/>
  <c r="Q84" i="16"/>
  <c r="Q75" i="16"/>
  <c r="Q132" i="16"/>
  <c r="Q125" i="16"/>
  <c r="Q116" i="16"/>
  <c r="Q107" i="16"/>
  <c r="Q98" i="16"/>
  <c r="Q89" i="16"/>
  <c r="Q80" i="16"/>
  <c r="Q71" i="16"/>
  <c r="Q103" i="16"/>
  <c r="Q170" i="16"/>
  <c r="Q161" i="16"/>
  <c r="Q152" i="16"/>
  <c r="Q121" i="16"/>
  <c r="Q112" i="16"/>
  <c r="Q94" i="16"/>
  <c r="Q76" i="16"/>
  <c r="Q168" i="16"/>
  <c r="Q159" i="16"/>
  <c r="Q150" i="16"/>
  <c r="Q128" i="16"/>
  <c r="Q85" i="16"/>
  <c r="Q117" i="16"/>
  <c r="Q108" i="16"/>
  <c r="Q99" i="16"/>
  <c r="Q90" i="16"/>
  <c r="Q81" i="16"/>
  <c r="Q72" i="16"/>
  <c r="Q139" i="16"/>
  <c r="Q135" i="16"/>
  <c r="Q122" i="16"/>
  <c r="Q113" i="16"/>
  <c r="Q104" i="16"/>
  <c r="Q95" i="16"/>
  <c r="Q86" i="16"/>
  <c r="Q77" i="16"/>
  <c r="Q173" i="16"/>
  <c r="Q164" i="16"/>
  <c r="Q155" i="16"/>
  <c r="Q146" i="16"/>
  <c r="P187" i="21"/>
  <c r="P184" i="21"/>
  <c r="P181" i="21"/>
  <c r="P178" i="21"/>
  <c r="P175" i="21"/>
  <c r="P172" i="21"/>
  <c r="P169" i="21"/>
  <c r="P166" i="21"/>
  <c r="P163" i="21"/>
  <c r="P160" i="21"/>
  <c r="P157" i="21"/>
  <c r="P154" i="21"/>
  <c r="P151" i="21"/>
  <c r="P148" i="21"/>
  <c r="P145" i="21"/>
  <c r="P142" i="21"/>
  <c r="P139" i="21"/>
  <c r="P123" i="21"/>
  <c r="P120" i="21"/>
  <c r="P117" i="21"/>
  <c r="P114" i="21"/>
  <c r="P129" i="21"/>
  <c r="P126" i="21"/>
  <c r="P134" i="21"/>
  <c r="P137" i="21"/>
  <c r="P188" i="21"/>
  <c r="P185" i="21"/>
  <c r="P182" i="21"/>
  <c r="P179" i="21"/>
  <c r="P176" i="21"/>
  <c r="P138" i="21"/>
  <c r="P135" i="21"/>
  <c r="P186" i="21"/>
  <c r="P183" i="21"/>
  <c r="P180" i="21"/>
  <c r="P177" i="21"/>
  <c r="P174" i="21"/>
  <c r="P171" i="21"/>
  <c r="P168" i="21"/>
  <c r="P165" i="21"/>
  <c r="P162" i="21"/>
  <c r="P159" i="21"/>
  <c r="P156" i="21"/>
  <c r="P153" i="21"/>
  <c r="P150" i="21"/>
  <c r="P147" i="21"/>
  <c r="P144" i="21"/>
  <c r="P141" i="21"/>
  <c r="P122" i="21"/>
  <c r="P119" i="21"/>
  <c r="P116" i="21"/>
  <c r="P113" i="21"/>
  <c r="P164" i="21"/>
  <c r="P155" i="21"/>
  <c r="P152" i="21"/>
  <c r="P143" i="21"/>
  <c r="P131" i="21"/>
  <c r="P158" i="21"/>
  <c r="P124" i="21"/>
  <c r="P121" i="21"/>
  <c r="P118" i="21"/>
  <c r="P115" i="21"/>
  <c r="P112" i="21"/>
  <c r="P149" i="21"/>
  <c r="P140" i="21"/>
  <c r="P130" i="21"/>
  <c r="P161" i="21"/>
  <c r="P146" i="21"/>
  <c r="P15" i="21"/>
  <c r="P12" i="21"/>
  <c r="P9" i="21"/>
  <c r="P6" i="21"/>
  <c r="P3" i="21"/>
  <c r="P132" i="21"/>
  <c r="P111" i="21"/>
  <c r="P45" i="21"/>
  <c r="P40" i="21"/>
  <c r="P36" i="21"/>
  <c r="P31" i="21"/>
  <c r="P27" i="21"/>
  <c r="P22" i="21"/>
  <c r="P51" i="21"/>
  <c r="P41" i="21"/>
  <c r="P32" i="21"/>
  <c r="P23" i="21"/>
  <c r="Q1" i="21"/>
  <c r="P127" i="21"/>
  <c r="P110" i="21"/>
  <c r="P107" i="21"/>
  <c r="P104" i="21"/>
  <c r="P101" i="21"/>
  <c r="P98" i="21"/>
  <c r="P95" i="21"/>
  <c r="P92" i="21"/>
  <c r="P89" i="21"/>
  <c r="P86" i="21"/>
  <c r="P83" i="21"/>
  <c r="P80" i="21"/>
  <c r="P77" i="21"/>
  <c r="P74" i="21"/>
  <c r="P71" i="21"/>
  <c r="P68" i="21"/>
  <c r="P65" i="21"/>
  <c r="P62" i="21"/>
  <c r="P59" i="21"/>
  <c r="P56" i="21"/>
  <c r="P53" i="21"/>
  <c r="P14" i="21"/>
  <c r="P11" i="21"/>
  <c r="P8" i="21"/>
  <c r="P5" i="21"/>
  <c r="P133" i="21"/>
  <c r="P49" i="21"/>
  <c r="P46" i="21"/>
  <c r="P42" i="21"/>
  <c r="P37" i="21"/>
  <c r="P33" i="21"/>
  <c r="P28" i="21"/>
  <c r="P24" i="21"/>
  <c r="P19" i="21"/>
  <c r="P170" i="21"/>
  <c r="P125" i="21"/>
  <c r="P109" i="21"/>
  <c r="P100" i="21"/>
  <c r="P91" i="21"/>
  <c r="P82" i="21"/>
  <c r="P73" i="21"/>
  <c r="P64" i="21"/>
  <c r="P55" i="21"/>
  <c r="P30" i="21"/>
  <c r="P102" i="21"/>
  <c r="P93" i="21"/>
  <c r="P84" i="21"/>
  <c r="P75" i="21"/>
  <c r="P66" i="21"/>
  <c r="P57" i="21"/>
  <c r="P167" i="21"/>
  <c r="P108" i="21"/>
  <c r="P99" i="21"/>
  <c r="P90" i="21"/>
  <c r="P81" i="21"/>
  <c r="P72" i="21"/>
  <c r="P63" i="21"/>
  <c r="P54" i="21"/>
  <c r="P173" i="21"/>
  <c r="P136" i="21"/>
  <c r="P103" i="21"/>
  <c r="P94" i="21"/>
  <c r="P85" i="21"/>
  <c r="P76" i="21"/>
  <c r="P67" i="21"/>
  <c r="P58" i="21"/>
  <c r="P39" i="21"/>
  <c r="P34" i="21"/>
  <c r="P88" i="21"/>
  <c r="P61" i="21"/>
  <c r="P106" i="21"/>
  <c r="P87" i="21"/>
  <c r="P38" i="21"/>
  <c r="P43" i="21"/>
  <c r="P26" i="21"/>
  <c r="P10" i="21"/>
  <c r="P4" i="21"/>
  <c r="P105" i="21"/>
  <c r="P48" i="21"/>
  <c r="P128" i="21"/>
  <c r="P79" i="21"/>
  <c r="P70" i="21"/>
  <c r="P60" i="21"/>
  <c r="P21" i="21"/>
  <c r="P50" i="21"/>
  <c r="P35" i="21"/>
  <c r="P17" i="21"/>
  <c r="P97" i="21"/>
  <c r="P78" i="21"/>
  <c r="P47" i="21"/>
  <c r="P25" i="21"/>
  <c r="P13" i="21"/>
  <c r="P96" i="21"/>
  <c r="P69" i="21"/>
  <c r="P52" i="21"/>
  <c r="P44" i="21"/>
  <c r="P20" i="21"/>
  <c r="P18" i="21"/>
  <c r="P7" i="21"/>
  <c r="P29" i="21"/>
  <c r="P16" i="21"/>
  <c r="Q176" i="26" l="1"/>
  <c r="Q173" i="26"/>
  <c r="Q170" i="26"/>
  <c r="Q167" i="26"/>
  <c r="Q164" i="26"/>
  <c r="Q161" i="26"/>
  <c r="Q174" i="26"/>
  <c r="Q171" i="26"/>
  <c r="Q168" i="26"/>
  <c r="Q165" i="26"/>
  <c r="Q162" i="26"/>
  <c r="Q159" i="26"/>
  <c r="Q175" i="26"/>
  <c r="Q172" i="26"/>
  <c r="Q169" i="26"/>
  <c r="Q166" i="26"/>
  <c r="Q163" i="26"/>
  <c r="Q160" i="26"/>
  <c r="Q155" i="26"/>
  <c r="Q152" i="26"/>
  <c r="Q149" i="26"/>
  <c r="Q146" i="26"/>
  <c r="Q143" i="26"/>
  <c r="Q140" i="26"/>
  <c r="Q137" i="26"/>
  <c r="Q134" i="26"/>
  <c r="Q131" i="26"/>
  <c r="Q158" i="26"/>
  <c r="Q156" i="26"/>
  <c r="Q153" i="26"/>
  <c r="Q150" i="26"/>
  <c r="Q147" i="26"/>
  <c r="Q144" i="26"/>
  <c r="Q141" i="26"/>
  <c r="Q138" i="26"/>
  <c r="Q135" i="26"/>
  <c r="Q132" i="26"/>
  <c r="Q130" i="26"/>
  <c r="Q125" i="26"/>
  <c r="Q116" i="26"/>
  <c r="Q113" i="26"/>
  <c r="Q109" i="26"/>
  <c r="Q106" i="26"/>
  <c r="Q103" i="26"/>
  <c r="Q100" i="26"/>
  <c r="Q97" i="26"/>
  <c r="Q94" i="26"/>
  <c r="Q91" i="26"/>
  <c r="Q88" i="26"/>
  <c r="Q85" i="26"/>
  <c r="Q82" i="26"/>
  <c r="Q79" i="26"/>
  <c r="Q76" i="26"/>
  <c r="Q73" i="26"/>
  <c r="Q151" i="26"/>
  <c r="Q142" i="26"/>
  <c r="Q133" i="26"/>
  <c r="Q129" i="26"/>
  <c r="Q127" i="26"/>
  <c r="Q154" i="26"/>
  <c r="Q145" i="26"/>
  <c r="Q136" i="26"/>
  <c r="Q128" i="26"/>
  <c r="Q124" i="26"/>
  <c r="Q115" i="26"/>
  <c r="Q111" i="26"/>
  <c r="Q108" i="26"/>
  <c r="Q105" i="26"/>
  <c r="Q102" i="26"/>
  <c r="Q99" i="26"/>
  <c r="Q96" i="26"/>
  <c r="Q93" i="26"/>
  <c r="Q90" i="26"/>
  <c r="Q87" i="26"/>
  <c r="Q84" i="26"/>
  <c r="Q81" i="26"/>
  <c r="Q78" i="26"/>
  <c r="Q75" i="26"/>
  <c r="Q72" i="26"/>
  <c r="Q157" i="26"/>
  <c r="Q123" i="26"/>
  <c r="Q114" i="26"/>
  <c r="Q110" i="26"/>
  <c r="Q107" i="26"/>
  <c r="Q104" i="26"/>
  <c r="Q101" i="26"/>
  <c r="Q98" i="26"/>
  <c r="Q95" i="26"/>
  <c r="Q92" i="26"/>
  <c r="Q89" i="26"/>
  <c r="Q86" i="26"/>
  <c r="Q83" i="26"/>
  <c r="Q80" i="26"/>
  <c r="Q77" i="26"/>
  <c r="Q74" i="26"/>
  <c r="Q71" i="26"/>
  <c r="Q69" i="26"/>
  <c r="Q66" i="26"/>
  <c r="Q63" i="26"/>
  <c r="Q60" i="26"/>
  <c r="Q57" i="26"/>
  <c r="Q54" i="26"/>
  <c r="Q148" i="26"/>
  <c r="Q68" i="26"/>
  <c r="Q65" i="26"/>
  <c r="Q62" i="26"/>
  <c r="Q59" i="26"/>
  <c r="Q56" i="26"/>
  <c r="Q53" i="26"/>
  <c r="Q139" i="26"/>
  <c r="Q52" i="26"/>
  <c r="Q67" i="26"/>
  <c r="Q58" i="26"/>
  <c r="Q50" i="26"/>
  <c r="Q47" i="26"/>
  <c r="Q44" i="26"/>
  <c r="Q41" i="26"/>
  <c r="Q38" i="26"/>
  <c r="Q35" i="26"/>
  <c r="Q32" i="26"/>
  <c r="Q29" i="26"/>
  <c r="Q26" i="26"/>
  <c r="Q23" i="26"/>
  <c r="Q20" i="26"/>
  <c r="Q17" i="26"/>
  <c r="Q14" i="26"/>
  <c r="Q11" i="26"/>
  <c r="Q8" i="26"/>
  <c r="Q5" i="26"/>
  <c r="Q55" i="26"/>
  <c r="Q46" i="26"/>
  <c r="Q37" i="26"/>
  <c r="Q28" i="26"/>
  <c r="Q19" i="26"/>
  <c r="Q10" i="26"/>
  <c r="R1" i="26"/>
  <c r="Q61" i="26"/>
  <c r="Q48" i="26"/>
  <c r="Q39" i="26"/>
  <c r="Q30" i="26"/>
  <c r="Q21" i="26"/>
  <c r="Q12" i="26"/>
  <c r="Q3" i="26"/>
  <c r="Q64" i="26"/>
  <c r="Q49" i="26"/>
  <c r="Q40" i="26"/>
  <c r="Q31" i="26"/>
  <c r="Q22" i="26"/>
  <c r="Q13" i="26"/>
  <c r="Q4" i="26"/>
  <c r="Q45" i="26"/>
  <c r="Q36" i="26"/>
  <c r="Q27" i="26"/>
  <c r="Q18" i="26"/>
  <c r="Q9" i="26"/>
  <c r="Q51" i="26"/>
  <c r="Q33" i="26"/>
  <c r="Q70" i="26"/>
  <c r="Q43" i="26"/>
  <c r="Q24" i="26"/>
  <c r="Q42" i="26"/>
  <c r="Q7" i="26"/>
  <c r="Q6" i="26"/>
  <c r="Q16" i="26"/>
  <c r="Q34" i="26"/>
  <c r="Q25" i="26"/>
  <c r="Q15" i="26"/>
  <c r="Q129" i="21"/>
  <c r="Q126" i="21"/>
  <c r="Q134" i="21"/>
  <c r="Q137" i="21"/>
  <c r="Q188" i="21"/>
  <c r="Q185" i="21"/>
  <c r="Q182" i="21"/>
  <c r="Q179" i="21"/>
  <c r="Q176" i="21"/>
  <c r="Q173" i="21"/>
  <c r="Q170" i="21"/>
  <c r="Q167" i="21"/>
  <c r="Q164" i="21"/>
  <c r="Q161" i="21"/>
  <c r="Q158" i="21"/>
  <c r="Q155" i="21"/>
  <c r="Q152" i="21"/>
  <c r="Q149" i="21"/>
  <c r="Q146" i="21"/>
  <c r="Q143" i="21"/>
  <c r="Q140" i="21"/>
  <c r="Q132" i="21"/>
  <c r="Q124" i="21"/>
  <c r="Q121" i="21"/>
  <c r="Q118" i="21"/>
  <c r="Q115" i="21"/>
  <c r="Q112" i="21"/>
  <c r="Q186" i="21"/>
  <c r="Q183" i="21"/>
  <c r="Q180" i="21"/>
  <c r="Q177" i="21"/>
  <c r="Q174" i="21"/>
  <c r="Q171" i="21"/>
  <c r="Q168" i="21"/>
  <c r="Q165" i="21"/>
  <c r="Q162" i="21"/>
  <c r="Q159" i="21"/>
  <c r="Q156" i="21"/>
  <c r="Q153" i="21"/>
  <c r="Q150" i="21"/>
  <c r="Q147" i="21"/>
  <c r="Q144" i="21"/>
  <c r="Q141" i="21"/>
  <c r="Q122" i="21"/>
  <c r="Q119" i="21"/>
  <c r="Q116" i="21"/>
  <c r="Q113" i="21"/>
  <c r="Q133" i="21"/>
  <c r="Q128" i="21"/>
  <c r="Q125" i="21"/>
  <c r="Q154" i="21"/>
  <c r="Q145" i="21"/>
  <c r="Q138" i="21"/>
  <c r="Q135" i="21"/>
  <c r="Q109" i="21"/>
  <c r="Q106" i="21"/>
  <c r="Q103" i="21"/>
  <c r="Q100" i="21"/>
  <c r="Q97" i="21"/>
  <c r="Q94" i="21"/>
  <c r="Q91" i="21"/>
  <c r="Q88" i="21"/>
  <c r="Q85" i="21"/>
  <c r="Q82" i="21"/>
  <c r="Q79" i="21"/>
  <c r="Q76" i="21"/>
  <c r="Q73" i="21"/>
  <c r="Q70" i="21"/>
  <c r="Q67" i="21"/>
  <c r="Q64" i="21"/>
  <c r="Q61" i="21"/>
  <c r="Q58" i="21"/>
  <c r="Q55" i="21"/>
  <c r="Q52" i="21"/>
  <c r="Q131" i="21"/>
  <c r="Q157" i="21"/>
  <c r="Q151" i="21"/>
  <c r="Q142" i="21"/>
  <c r="Q127" i="21"/>
  <c r="Q110" i="21"/>
  <c r="Q107" i="21"/>
  <c r="Q104" i="21"/>
  <c r="Q101" i="21"/>
  <c r="Q98" i="21"/>
  <c r="Q95" i="21"/>
  <c r="Q92" i="21"/>
  <c r="Q89" i="21"/>
  <c r="Q86" i="21"/>
  <c r="Q83" i="21"/>
  <c r="Q80" i="21"/>
  <c r="Q77" i="21"/>
  <c r="Q74" i="21"/>
  <c r="Q71" i="21"/>
  <c r="Q68" i="21"/>
  <c r="Q65" i="21"/>
  <c r="Q62" i="21"/>
  <c r="Q59" i="21"/>
  <c r="Q56" i="21"/>
  <c r="Q53" i="21"/>
  <c r="Q50" i="21"/>
  <c r="Q47" i="21"/>
  <c r="Q44" i="21"/>
  <c r="Q41" i="21"/>
  <c r="Q38" i="21"/>
  <c r="Q35" i="21"/>
  <c r="Q32" i="21"/>
  <c r="Q29" i="21"/>
  <c r="Q26" i="21"/>
  <c r="Q23" i="21"/>
  <c r="Q20" i="21"/>
  <c r="Q17" i="21"/>
  <c r="Q148" i="21"/>
  <c r="Q136" i="21"/>
  <c r="Q108" i="21"/>
  <c r="Q105" i="21"/>
  <c r="Q102" i="21"/>
  <c r="Q99" i="21"/>
  <c r="Q96" i="21"/>
  <c r="Q93" i="21"/>
  <c r="Q90" i="21"/>
  <c r="Q87" i="21"/>
  <c r="Q84" i="21"/>
  <c r="Q81" i="21"/>
  <c r="Q78" i="21"/>
  <c r="Q75" i="21"/>
  <c r="Q72" i="21"/>
  <c r="Q69" i="21"/>
  <c r="Q66" i="21"/>
  <c r="Q63" i="21"/>
  <c r="Q60" i="21"/>
  <c r="Q57" i="21"/>
  <c r="Q54" i="21"/>
  <c r="Q51" i="21"/>
  <c r="Q48" i="21"/>
  <c r="Q15" i="21"/>
  <c r="Q12" i="21"/>
  <c r="Q9" i="21"/>
  <c r="Q6" i="21"/>
  <c r="Q3" i="21"/>
  <c r="Q43" i="21"/>
  <c r="Q39" i="21"/>
  <c r="Q34" i="21"/>
  <c r="Q30" i="21"/>
  <c r="Q25" i="21"/>
  <c r="Q21" i="21"/>
  <c r="Q16" i="21"/>
  <c r="Q13" i="21"/>
  <c r="Q10" i="21"/>
  <c r="Q7" i="21"/>
  <c r="Q4" i="21"/>
  <c r="Q163" i="21"/>
  <c r="Q14" i="21"/>
  <c r="Q11" i="21"/>
  <c r="Q8" i="21"/>
  <c r="Q5" i="21"/>
  <c r="Q187" i="21"/>
  <c r="Q178" i="21"/>
  <c r="Q130" i="21"/>
  <c r="Q49" i="21"/>
  <c r="Q46" i="21"/>
  <c r="Q42" i="21"/>
  <c r="Q37" i="21"/>
  <c r="Q33" i="21"/>
  <c r="Q28" i="21"/>
  <c r="Q24" i="21"/>
  <c r="Q19" i="21"/>
  <c r="Q160" i="21"/>
  <c r="Q184" i="21"/>
  <c r="Q139" i="21"/>
  <c r="Q181" i="21"/>
  <c r="Q169" i="21"/>
  <c r="Q120" i="21"/>
  <c r="Q111" i="21"/>
  <c r="Q45" i="21"/>
  <c r="Q40" i="21"/>
  <c r="Q166" i="21"/>
  <c r="Q175" i="21"/>
  <c r="Q123" i="21"/>
  <c r="Q114" i="21"/>
  <c r="Q36" i="21"/>
  <c r="Q31" i="21"/>
  <c r="Q22" i="21"/>
  <c r="Q117" i="21"/>
  <c r="R1" i="21"/>
  <c r="Q172" i="21"/>
  <c r="Q27" i="21"/>
  <c r="Q18" i="21"/>
  <c r="R191" i="16"/>
  <c r="R188" i="16"/>
  <c r="R185" i="16"/>
  <c r="R182" i="16"/>
  <c r="R190" i="16"/>
  <c r="R181" i="16"/>
  <c r="R175" i="16"/>
  <c r="R172" i="16"/>
  <c r="R169" i="16"/>
  <c r="R166" i="16"/>
  <c r="R163" i="16"/>
  <c r="R160" i="16"/>
  <c r="R157" i="16"/>
  <c r="R154" i="16"/>
  <c r="R151" i="16"/>
  <c r="R148" i="16"/>
  <c r="R145" i="16"/>
  <c r="R137" i="16"/>
  <c r="R129" i="16"/>
  <c r="R126" i="16"/>
  <c r="R123" i="16"/>
  <c r="R120" i="16"/>
  <c r="R117" i="16"/>
  <c r="R114" i="16"/>
  <c r="R111" i="16"/>
  <c r="R108" i="16"/>
  <c r="R105" i="16"/>
  <c r="R102" i="16"/>
  <c r="R99" i="16"/>
  <c r="R96" i="16"/>
  <c r="R93" i="16"/>
  <c r="R90" i="16"/>
  <c r="R87" i="16"/>
  <c r="R84" i="16"/>
  <c r="R81" i="16"/>
  <c r="R78" i="16"/>
  <c r="R75" i="16"/>
  <c r="R72" i="16"/>
  <c r="R69" i="16"/>
  <c r="R132" i="16"/>
  <c r="R189" i="16"/>
  <c r="R180" i="16"/>
  <c r="R187" i="16"/>
  <c r="R179" i="16"/>
  <c r="R173" i="16"/>
  <c r="R170" i="16"/>
  <c r="R167" i="16"/>
  <c r="R164" i="16"/>
  <c r="R161" i="16"/>
  <c r="R158" i="16"/>
  <c r="R155" i="16"/>
  <c r="R152" i="16"/>
  <c r="R149" i="16"/>
  <c r="R146" i="16"/>
  <c r="R127" i="16"/>
  <c r="R124" i="16"/>
  <c r="R121" i="16"/>
  <c r="R118" i="16"/>
  <c r="R115" i="16"/>
  <c r="R112" i="16"/>
  <c r="R109" i="16"/>
  <c r="R106" i="16"/>
  <c r="R103" i="16"/>
  <c r="R100" i="16"/>
  <c r="R97" i="16"/>
  <c r="R94" i="16"/>
  <c r="R91" i="16"/>
  <c r="R88" i="16"/>
  <c r="R85" i="16"/>
  <c r="R82" i="16"/>
  <c r="R79" i="16"/>
  <c r="R76" i="16"/>
  <c r="R73" i="16"/>
  <c r="R70" i="16"/>
  <c r="R193" i="16"/>
  <c r="R184" i="16"/>
  <c r="R174" i="16"/>
  <c r="R171" i="16"/>
  <c r="R168" i="16"/>
  <c r="R165" i="16"/>
  <c r="R162" i="16"/>
  <c r="R159" i="16"/>
  <c r="R156" i="16"/>
  <c r="R153" i="16"/>
  <c r="R150" i="16"/>
  <c r="R147" i="16"/>
  <c r="R144" i="16"/>
  <c r="R128" i="16"/>
  <c r="R125" i="16"/>
  <c r="R122" i="16"/>
  <c r="R119" i="16"/>
  <c r="R116" i="16"/>
  <c r="R113" i="16"/>
  <c r="R110" i="16"/>
  <c r="R107" i="16"/>
  <c r="R104" i="16"/>
  <c r="R101" i="16"/>
  <c r="R98" i="16"/>
  <c r="R95" i="16"/>
  <c r="R92" i="16"/>
  <c r="R89" i="16"/>
  <c r="R86" i="16"/>
  <c r="R83" i="16"/>
  <c r="R80" i="16"/>
  <c r="R77" i="16"/>
  <c r="R74" i="16"/>
  <c r="R71" i="16"/>
  <c r="R131" i="16"/>
  <c r="R142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R186" i="16"/>
  <c r="R176" i="16"/>
  <c r="R140" i="16"/>
  <c r="R138" i="16"/>
  <c r="R136" i="16"/>
  <c r="R192" i="16"/>
  <c r="R134" i="16"/>
  <c r="R183" i="16"/>
  <c r="R177" i="16"/>
  <c r="R143" i="16"/>
  <c r="R141" i="16"/>
  <c r="R178" i="16"/>
  <c r="R130" i="16"/>
  <c r="R133" i="16"/>
  <c r="S1" i="16"/>
  <c r="R139" i="16"/>
  <c r="R135" i="16"/>
  <c r="Q142" i="18"/>
  <c r="Q139" i="18"/>
  <c r="Q190" i="18"/>
  <c r="Q187" i="18"/>
  <c r="Q184" i="18"/>
  <c r="Q181" i="18"/>
  <c r="Q178" i="18"/>
  <c r="Q175" i="18"/>
  <c r="Q172" i="18"/>
  <c r="Q169" i="18"/>
  <c r="Q166" i="18"/>
  <c r="Q163" i="18"/>
  <c r="Q160" i="18"/>
  <c r="Q157" i="18"/>
  <c r="Q154" i="18"/>
  <c r="Q151" i="18"/>
  <c r="Q191" i="18"/>
  <c r="Q188" i="18"/>
  <c r="Q185" i="18"/>
  <c r="Q182" i="18"/>
  <c r="Q179" i="18"/>
  <c r="Q176" i="18"/>
  <c r="Q173" i="18"/>
  <c r="Q170" i="18"/>
  <c r="Q167" i="18"/>
  <c r="Q164" i="18"/>
  <c r="Q161" i="18"/>
  <c r="Q158" i="18"/>
  <c r="Q155" i="18"/>
  <c r="Q152" i="18"/>
  <c r="Q149" i="18"/>
  <c r="Q146" i="18"/>
  <c r="Q143" i="18"/>
  <c r="Q144" i="18"/>
  <c r="Q174" i="18"/>
  <c r="Q168" i="18"/>
  <c r="Q156" i="18"/>
  <c r="Q153" i="18"/>
  <c r="Q127" i="18"/>
  <c r="Q124" i="18"/>
  <c r="Q121" i="18"/>
  <c r="Q118" i="18"/>
  <c r="Q115" i="18"/>
  <c r="Q112" i="18"/>
  <c r="Q109" i="18"/>
  <c r="Q106" i="18"/>
  <c r="Q103" i="18"/>
  <c r="Q100" i="18"/>
  <c r="Q97" i="18"/>
  <c r="Q94" i="18"/>
  <c r="Q91" i="18"/>
  <c r="Q88" i="18"/>
  <c r="Q85" i="18"/>
  <c r="Q82" i="18"/>
  <c r="Q79" i="18"/>
  <c r="Q76" i="18"/>
  <c r="Q73" i="18"/>
  <c r="Q70" i="18"/>
  <c r="Q192" i="18"/>
  <c r="Q128" i="18"/>
  <c r="Q125" i="18"/>
  <c r="Q122" i="18"/>
  <c r="Q119" i="18"/>
  <c r="Q116" i="18"/>
  <c r="Q113" i="18"/>
  <c r="Q110" i="18"/>
  <c r="Q107" i="18"/>
  <c r="Q104" i="18"/>
  <c r="Q101" i="18"/>
  <c r="Q98" i="18"/>
  <c r="Q95" i="18"/>
  <c r="Q92" i="18"/>
  <c r="Q89" i="18"/>
  <c r="Q86" i="18"/>
  <c r="Q83" i="18"/>
  <c r="Q80" i="18"/>
  <c r="Q77" i="18"/>
  <c r="Q74" i="18"/>
  <c r="Q71" i="18"/>
  <c r="Q180" i="18"/>
  <c r="Q147" i="18"/>
  <c r="Q68" i="18"/>
  <c r="Q59" i="18"/>
  <c r="Q50" i="18"/>
  <c r="Q41" i="18"/>
  <c r="Q32" i="18"/>
  <c r="Q23" i="18"/>
  <c r="Q14" i="18"/>
  <c r="Q5" i="18"/>
  <c r="Q150" i="18"/>
  <c r="Q145" i="18"/>
  <c r="Q131" i="18"/>
  <c r="Q63" i="18"/>
  <c r="Q54" i="18"/>
  <c r="Q45" i="18"/>
  <c r="Q36" i="18"/>
  <c r="Q183" i="18"/>
  <c r="Q141" i="18"/>
  <c r="Q138" i="18"/>
  <c r="Q126" i="18"/>
  <c r="Q117" i="18"/>
  <c r="Q108" i="18"/>
  <c r="Q99" i="18"/>
  <c r="Q90" i="18"/>
  <c r="Q81" i="18"/>
  <c r="Q72" i="18"/>
  <c r="Q162" i="18"/>
  <c r="Q67" i="18"/>
  <c r="Q58" i="18"/>
  <c r="Q49" i="18"/>
  <c r="Q40" i="18"/>
  <c r="Q31" i="18"/>
  <c r="Q22" i="18"/>
  <c r="Q13" i="18"/>
  <c r="Q4" i="18"/>
  <c r="Q186" i="18"/>
  <c r="Q165" i="18"/>
  <c r="Q130" i="18"/>
  <c r="Q62" i="18"/>
  <c r="Q53" i="18"/>
  <c r="Q44" i="18"/>
  <c r="Q35" i="18"/>
  <c r="Q26" i="18"/>
  <c r="Q17" i="18"/>
  <c r="Q8" i="18"/>
  <c r="Q159" i="18"/>
  <c r="Q148" i="18"/>
  <c r="Q135" i="18"/>
  <c r="Q171" i="18"/>
  <c r="Q136" i="18"/>
  <c r="Q134" i="18"/>
  <c r="Q120" i="18"/>
  <c r="Q111" i="18"/>
  <c r="Q102" i="18"/>
  <c r="Q93" i="18"/>
  <c r="Q84" i="18"/>
  <c r="Q96" i="18"/>
  <c r="Q87" i="18"/>
  <c r="Q69" i="18"/>
  <c r="Q48" i="18"/>
  <c r="Q55" i="18"/>
  <c r="Q20" i="18"/>
  <c r="Q18" i="18"/>
  <c r="Q61" i="18"/>
  <c r="Q51" i="18"/>
  <c r="Q34" i="18"/>
  <c r="Q24" i="18"/>
  <c r="Q3" i="18"/>
  <c r="Q78" i="18"/>
  <c r="Q57" i="18"/>
  <c r="Q30" i="18"/>
  <c r="Q189" i="18"/>
  <c r="Q129" i="18"/>
  <c r="Q114" i="18"/>
  <c r="Q47" i="18"/>
  <c r="Q28" i="18"/>
  <c r="Q7" i="18"/>
  <c r="Q64" i="18"/>
  <c r="Q37" i="18"/>
  <c r="Q11" i="18"/>
  <c r="Q9" i="18"/>
  <c r="Q140" i="18"/>
  <c r="Q137" i="18"/>
  <c r="Q66" i="18"/>
  <c r="Q39" i="18"/>
  <c r="R1" i="18"/>
  <c r="Q133" i="18"/>
  <c r="Q105" i="18"/>
  <c r="Q56" i="18"/>
  <c r="Q25" i="18"/>
  <c r="Q19" i="18"/>
  <c r="Q132" i="18"/>
  <c r="Q46" i="18"/>
  <c r="Q29" i="18"/>
  <c r="Q27" i="18"/>
  <c r="Q43" i="18"/>
  <c r="Q52" i="18"/>
  <c r="Q6" i="18"/>
  <c r="Q33" i="18"/>
  <c r="Q177" i="18"/>
  <c r="Q42" i="18"/>
  <c r="Q123" i="18"/>
  <c r="Q16" i="18"/>
  <c r="Q60" i="18"/>
  <c r="Q21" i="18"/>
  <c r="Q75" i="18"/>
  <c r="Q38" i="18"/>
  <c r="Q10" i="18"/>
  <c r="Q15" i="18"/>
  <c r="Q12" i="18"/>
  <c r="Q65" i="18"/>
  <c r="T133" i="17"/>
  <c r="T130" i="17"/>
  <c r="T185" i="17"/>
  <c r="T189" i="17"/>
  <c r="T180" i="17"/>
  <c r="T171" i="17"/>
  <c r="T162" i="17"/>
  <c r="T153" i="17"/>
  <c r="T147" i="17"/>
  <c r="T144" i="17"/>
  <c r="T136" i="17"/>
  <c r="T131" i="17"/>
  <c r="T188" i="17"/>
  <c r="T182" i="17"/>
  <c r="T170" i="17"/>
  <c r="T161" i="17"/>
  <c r="T152" i="17"/>
  <c r="T125" i="17"/>
  <c r="T116" i="17"/>
  <c r="T107" i="17"/>
  <c r="T98" i="17"/>
  <c r="U1" i="17"/>
  <c r="T190" i="17"/>
  <c r="T129" i="17"/>
  <c r="T68" i="17"/>
  <c r="T65" i="17"/>
  <c r="T62" i="17"/>
  <c r="T59" i="17"/>
  <c r="T56" i="17"/>
  <c r="T53" i="17"/>
  <c r="T50" i="17"/>
  <c r="T47" i="17"/>
  <c r="T44" i="17"/>
  <c r="T41" i="17"/>
  <c r="T38" i="17"/>
  <c r="T35" i="17"/>
  <c r="T32" i="17"/>
  <c r="T29" i="17"/>
  <c r="T26" i="17"/>
  <c r="T23" i="17"/>
  <c r="T20" i="17"/>
  <c r="T17" i="17"/>
  <c r="T14" i="17"/>
  <c r="T11" i="17"/>
  <c r="T8" i="17"/>
  <c r="T5" i="17"/>
  <c r="T124" i="17"/>
  <c r="T115" i="17"/>
  <c r="T106" i="17"/>
  <c r="T97" i="17"/>
  <c r="T91" i="17"/>
  <c r="T89" i="17"/>
  <c r="T86" i="17"/>
  <c r="T83" i="17"/>
  <c r="T80" i="17"/>
  <c r="T77" i="17"/>
  <c r="T74" i="17"/>
  <c r="T71" i="17"/>
  <c r="T179" i="17"/>
  <c r="T174" i="17"/>
  <c r="T165" i="17"/>
  <c r="T156" i="17"/>
  <c r="T128" i="17"/>
  <c r="T119" i="17"/>
  <c r="T110" i="17"/>
  <c r="T101" i="17"/>
  <c r="T93" i="17"/>
  <c r="T183" i="17"/>
  <c r="T177" i="17"/>
  <c r="T168" i="17"/>
  <c r="T159" i="17"/>
  <c r="T150" i="17"/>
  <c r="T134" i="17"/>
  <c r="T123" i="17"/>
  <c r="T114" i="17"/>
  <c r="T105" i="17"/>
  <c r="T96" i="17"/>
  <c r="T181" i="17"/>
  <c r="T132" i="17"/>
  <c r="T66" i="17"/>
  <c r="T63" i="17"/>
  <c r="T60" i="17"/>
  <c r="T57" i="17"/>
  <c r="T54" i="17"/>
  <c r="T51" i="17"/>
  <c r="T48" i="17"/>
  <c r="T45" i="17"/>
  <c r="T42" i="17"/>
  <c r="T39" i="17"/>
  <c r="T36" i="17"/>
  <c r="T33" i="17"/>
  <c r="T30" i="17"/>
  <c r="T27" i="17"/>
  <c r="T24" i="17"/>
  <c r="T21" i="17"/>
  <c r="T18" i="17"/>
  <c r="T15" i="17"/>
  <c r="T12" i="17"/>
  <c r="T9" i="17"/>
  <c r="T6" i="17"/>
  <c r="T3" i="17"/>
  <c r="T191" i="17"/>
  <c r="T175" i="17"/>
  <c r="T166" i="17"/>
  <c r="T157" i="17"/>
  <c r="T137" i="17"/>
  <c r="T122" i="17"/>
  <c r="T113" i="17"/>
  <c r="T104" i="17"/>
  <c r="T95" i="17"/>
  <c r="T90" i="17"/>
  <c r="T172" i="17"/>
  <c r="T169" i="17"/>
  <c r="T163" i="17"/>
  <c r="T160" i="17"/>
  <c r="T154" i="17"/>
  <c r="T151" i="17"/>
  <c r="T142" i="17"/>
  <c r="T139" i="17"/>
  <c r="T138" i="17"/>
  <c r="T126" i="17"/>
  <c r="T117" i="17"/>
  <c r="T108" i="17"/>
  <c r="T99" i="17"/>
  <c r="T148" i="17"/>
  <c r="T145" i="17"/>
  <c r="T141" i="17"/>
  <c r="T140" i="17"/>
  <c r="T92" i="17"/>
  <c r="T67" i="17"/>
  <c r="T64" i="17"/>
  <c r="T61" i="17"/>
  <c r="T58" i="17"/>
  <c r="T55" i="17"/>
  <c r="T52" i="17"/>
  <c r="T49" i="17"/>
  <c r="T46" i="17"/>
  <c r="T43" i="17"/>
  <c r="T40" i="17"/>
  <c r="T37" i="17"/>
  <c r="T34" i="17"/>
  <c r="T31" i="17"/>
  <c r="T28" i="17"/>
  <c r="T25" i="17"/>
  <c r="T22" i="17"/>
  <c r="T19" i="17"/>
  <c r="T16" i="17"/>
  <c r="T13" i="17"/>
  <c r="T10" i="17"/>
  <c r="T7" i="17"/>
  <c r="T4" i="17"/>
  <c r="T192" i="17"/>
  <c r="T176" i="17"/>
  <c r="T164" i="17"/>
  <c r="T135" i="17"/>
  <c r="T87" i="17"/>
  <c r="T84" i="17"/>
  <c r="T81" i="17"/>
  <c r="T78" i="17"/>
  <c r="T75" i="17"/>
  <c r="T72" i="17"/>
  <c r="T69" i="17"/>
  <c r="T178" i="17"/>
  <c r="T143" i="17"/>
  <c r="T186" i="17"/>
  <c r="T173" i="17"/>
  <c r="T149" i="17"/>
  <c r="T120" i="17"/>
  <c r="T111" i="17"/>
  <c r="T102" i="17"/>
  <c r="T127" i="17"/>
  <c r="T118" i="17"/>
  <c r="T109" i="17"/>
  <c r="T100" i="17"/>
  <c r="T88" i="17"/>
  <c r="T85" i="17"/>
  <c r="T82" i="17"/>
  <c r="T79" i="17"/>
  <c r="T76" i="17"/>
  <c r="T73" i="17"/>
  <c r="T70" i="17"/>
  <c r="T158" i="17"/>
  <c r="T146" i="17"/>
  <c r="T121" i="17"/>
  <c r="T112" i="17"/>
  <c r="T103" i="17"/>
  <c r="T94" i="17"/>
  <c r="T167" i="17"/>
  <c r="T155" i="17"/>
  <c r="T187" i="17"/>
  <c r="T184" i="17"/>
  <c r="Q175" i="27"/>
  <c r="Q172" i="27"/>
  <c r="Q169" i="27"/>
  <c r="Q166" i="27"/>
  <c r="Q163" i="27"/>
  <c r="Q160" i="27"/>
  <c r="Q157" i="27"/>
  <c r="Q154" i="27"/>
  <c r="Q151" i="27"/>
  <c r="Q148" i="27"/>
  <c r="Q145" i="27"/>
  <c r="Q176" i="27"/>
  <c r="Q173" i="27"/>
  <c r="Q170" i="27"/>
  <c r="Q167" i="27"/>
  <c r="Q164" i="27"/>
  <c r="Q161" i="27"/>
  <c r="Q158" i="27"/>
  <c r="Q155" i="27"/>
  <c r="Q152" i="27"/>
  <c r="Q149" i="27"/>
  <c r="Q146" i="27"/>
  <c r="Q174" i="27"/>
  <c r="Q171" i="27"/>
  <c r="Q168" i="27"/>
  <c r="Q165" i="27"/>
  <c r="Q162" i="27"/>
  <c r="Q159" i="27"/>
  <c r="Q156" i="27"/>
  <c r="Q153" i="27"/>
  <c r="Q150" i="27"/>
  <c r="Q147" i="27"/>
  <c r="Q144" i="27"/>
  <c r="Q141" i="27"/>
  <c r="Q138" i="27"/>
  <c r="Q135" i="27"/>
  <c r="Q132" i="27"/>
  <c r="Q129" i="27"/>
  <c r="Q125" i="27"/>
  <c r="Q116" i="27"/>
  <c r="Q113" i="27"/>
  <c r="Q142" i="27"/>
  <c r="Q139" i="27"/>
  <c r="Q136" i="27"/>
  <c r="Q133" i="27"/>
  <c r="Q130" i="27"/>
  <c r="Q127" i="27"/>
  <c r="Q123" i="27"/>
  <c r="Q114" i="27"/>
  <c r="Q110" i="27"/>
  <c r="Q107" i="27"/>
  <c r="Q104" i="27"/>
  <c r="Q101" i="27"/>
  <c r="Q98" i="27"/>
  <c r="Q95" i="27"/>
  <c r="Q92" i="27"/>
  <c r="Q89" i="27"/>
  <c r="Q86" i="27"/>
  <c r="Q108" i="27"/>
  <c r="Q105" i="27"/>
  <c r="Q102" i="27"/>
  <c r="Q99" i="27"/>
  <c r="Q96" i="27"/>
  <c r="Q93" i="27"/>
  <c r="Q90" i="27"/>
  <c r="Q87" i="27"/>
  <c r="Q143" i="27"/>
  <c r="Q137" i="27"/>
  <c r="Q131" i="27"/>
  <c r="Q124" i="27"/>
  <c r="Q109" i="27"/>
  <c r="Q106" i="27"/>
  <c r="Q103" i="27"/>
  <c r="Q100" i="27"/>
  <c r="Q97" i="27"/>
  <c r="Q94" i="27"/>
  <c r="Q91" i="27"/>
  <c r="Q111" i="27"/>
  <c r="Q83" i="27"/>
  <c r="Q80" i="27"/>
  <c r="Q77" i="27"/>
  <c r="Q74" i="27"/>
  <c r="Q71" i="27"/>
  <c r="Q68" i="27"/>
  <c r="Q65" i="27"/>
  <c r="Q140" i="27"/>
  <c r="Q134" i="27"/>
  <c r="Q128" i="27"/>
  <c r="Q115" i="27"/>
  <c r="Q84" i="27"/>
  <c r="Q81" i="27"/>
  <c r="Q78" i="27"/>
  <c r="Q75" i="27"/>
  <c r="Q72" i="27"/>
  <c r="Q69" i="27"/>
  <c r="Q66" i="27"/>
  <c r="Q85" i="27"/>
  <c r="Q82" i="27"/>
  <c r="Q79" i="27"/>
  <c r="Q76" i="27"/>
  <c r="Q73" i="27"/>
  <c r="Q70" i="27"/>
  <c r="Q67" i="27"/>
  <c r="Q88" i="27"/>
  <c r="Q63" i="27"/>
  <c r="Q60" i="27"/>
  <c r="Q57" i="27"/>
  <c r="Q54" i="27"/>
  <c r="Q51" i="27"/>
  <c r="Q48" i="27"/>
  <c r="Q45" i="27"/>
  <c r="Q42" i="27"/>
  <c r="Q39" i="27"/>
  <c r="Q61" i="27"/>
  <c r="Q58" i="27"/>
  <c r="Q55" i="27"/>
  <c r="Q52" i="27"/>
  <c r="Q49" i="27"/>
  <c r="Q46" i="27"/>
  <c r="Q43" i="27"/>
  <c r="Q40" i="27"/>
  <c r="Q37" i="27"/>
  <c r="Q64" i="27"/>
  <c r="Q62" i="27"/>
  <c r="Q59" i="27"/>
  <c r="Q56" i="27"/>
  <c r="Q53" i="27"/>
  <c r="Q50" i="27"/>
  <c r="Q47" i="27"/>
  <c r="Q44" i="27"/>
  <c r="Q41" i="27"/>
  <c r="Q38" i="27"/>
  <c r="Q34" i="27"/>
  <c r="Q31" i="27"/>
  <c r="Q28" i="27"/>
  <c r="Q25" i="27"/>
  <c r="Q22" i="27"/>
  <c r="Q19" i="27"/>
  <c r="Q16" i="27"/>
  <c r="Q13" i="27"/>
  <c r="Q10" i="27"/>
  <c r="Q35" i="27"/>
  <c r="Q32" i="27"/>
  <c r="Q29" i="27"/>
  <c r="Q26" i="27"/>
  <c r="Q23" i="27"/>
  <c r="Q20" i="27"/>
  <c r="Q17" i="27"/>
  <c r="Q14" i="27"/>
  <c r="Q11" i="27"/>
  <c r="Q36" i="27"/>
  <c r="Q33" i="27"/>
  <c r="Q30" i="27"/>
  <c r="Q27" i="27"/>
  <c r="Q24" i="27"/>
  <c r="Q21" i="27"/>
  <c r="Q18" i="27"/>
  <c r="Q15" i="27"/>
  <c r="Q12" i="27"/>
  <c r="Q7" i="27"/>
  <c r="Q4" i="27"/>
  <c r="R1" i="27"/>
  <c r="Q6" i="27"/>
  <c r="Q8" i="27"/>
  <c r="Q3" i="27"/>
  <c r="Q5" i="27"/>
  <c r="Q9" i="27"/>
  <c r="Q188" i="19"/>
  <c r="Q185" i="19"/>
  <c r="Q182" i="19"/>
  <c r="Q179" i="19"/>
  <c r="Q176" i="19"/>
  <c r="Q189" i="19"/>
  <c r="Q186" i="19"/>
  <c r="Q183" i="19"/>
  <c r="Q180" i="19"/>
  <c r="Q177" i="19"/>
  <c r="Q190" i="19"/>
  <c r="Q187" i="19"/>
  <c r="Q184" i="19"/>
  <c r="Q181" i="19"/>
  <c r="Q178" i="19"/>
  <c r="Q140" i="19"/>
  <c r="Q137" i="19"/>
  <c r="Q67" i="19"/>
  <c r="Q64" i="19"/>
  <c r="Q61" i="19"/>
  <c r="Q58" i="19"/>
  <c r="Q55" i="19"/>
  <c r="Q52" i="19"/>
  <c r="Q49" i="19"/>
  <c r="Q46" i="19"/>
  <c r="Q43" i="19"/>
  <c r="Q40" i="19"/>
  <c r="Q37" i="19"/>
  <c r="Q34" i="19"/>
  <c r="Q31" i="19"/>
  <c r="Q28" i="19"/>
  <c r="Q25" i="19"/>
  <c r="Q22" i="19"/>
  <c r="Q19" i="19"/>
  <c r="Q16" i="19"/>
  <c r="Q13" i="19"/>
  <c r="Q10" i="19"/>
  <c r="Q7" i="19"/>
  <c r="Q4" i="19"/>
  <c r="Q173" i="19"/>
  <c r="Q170" i="19"/>
  <c r="Q167" i="19"/>
  <c r="Q164" i="19"/>
  <c r="Q161" i="19"/>
  <c r="Q158" i="19"/>
  <c r="Q155" i="19"/>
  <c r="Q152" i="19"/>
  <c r="Q149" i="19"/>
  <c r="Q146" i="19"/>
  <c r="Q143" i="19"/>
  <c r="Q124" i="19"/>
  <c r="Q121" i="19"/>
  <c r="Q118" i="19"/>
  <c r="Q115" i="19"/>
  <c r="Q112" i="19"/>
  <c r="Q109" i="19"/>
  <c r="Q106" i="19"/>
  <c r="Q103" i="19"/>
  <c r="Q100" i="19"/>
  <c r="Q97" i="19"/>
  <c r="Q94" i="19"/>
  <c r="Q91" i="19"/>
  <c r="Q88" i="19"/>
  <c r="Q85" i="19"/>
  <c r="Q82" i="19"/>
  <c r="Q79" i="19"/>
  <c r="Q76" i="19"/>
  <c r="Q73" i="19"/>
  <c r="Q70" i="19"/>
  <c r="Q135" i="19"/>
  <c r="Q130" i="19"/>
  <c r="Q127" i="19"/>
  <c r="R1" i="19"/>
  <c r="Q136" i="19"/>
  <c r="Q166" i="19"/>
  <c r="Q157" i="19"/>
  <c r="Q148" i="19"/>
  <c r="Q133" i="19"/>
  <c r="Q122" i="19"/>
  <c r="Q113" i="19"/>
  <c r="Q104" i="19"/>
  <c r="Q95" i="19"/>
  <c r="Q86" i="19"/>
  <c r="Q77" i="19"/>
  <c r="Q68" i="19"/>
  <c r="Q131" i="19"/>
  <c r="Q66" i="19"/>
  <c r="Q57" i="19"/>
  <c r="Q48" i="19"/>
  <c r="Q39" i="19"/>
  <c r="Q175" i="19"/>
  <c r="Q171" i="19"/>
  <c r="Q162" i="19"/>
  <c r="Q153" i="19"/>
  <c r="Q144" i="19"/>
  <c r="Q120" i="19"/>
  <c r="Q111" i="19"/>
  <c r="Q102" i="19"/>
  <c r="Q93" i="19"/>
  <c r="Q84" i="19"/>
  <c r="Q75" i="19"/>
  <c r="Q129" i="19"/>
  <c r="Q62" i="19"/>
  <c r="Q53" i="19"/>
  <c r="Q44" i="19"/>
  <c r="Q138" i="19"/>
  <c r="Q60" i="19"/>
  <c r="Q51" i="19"/>
  <c r="Q42" i="19"/>
  <c r="Q33" i="19"/>
  <c r="Q24" i="19"/>
  <c r="Q15" i="19"/>
  <c r="Q6" i="19"/>
  <c r="Q174" i="19"/>
  <c r="Q165" i="19"/>
  <c r="Q156" i="19"/>
  <c r="Q147" i="19"/>
  <c r="Q123" i="19"/>
  <c r="Q114" i="19"/>
  <c r="Q105" i="19"/>
  <c r="Q96" i="19"/>
  <c r="Q87" i="19"/>
  <c r="Q78" i="19"/>
  <c r="Q69" i="19"/>
  <c r="Q172" i="19"/>
  <c r="Q163" i="19"/>
  <c r="Q154" i="19"/>
  <c r="Q145" i="19"/>
  <c r="Q132" i="19"/>
  <c r="Q119" i="19"/>
  <c r="Q110" i="19"/>
  <c r="Q101" i="19"/>
  <c r="Q92" i="19"/>
  <c r="Q83" i="19"/>
  <c r="Q74" i="19"/>
  <c r="Q90" i="19"/>
  <c r="Q17" i="19"/>
  <c r="Q128" i="19"/>
  <c r="Q108" i="19"/>
  <c r="Q159" i="19"/>
  <c r="Q142" i="19"/>
  <c r="Q139" i="19"/>
  <c r="Q134" i="19"/>
  <c r="Q117" i="19"/>
  <c r="Q168" i="19"/>
  <c r="Q151" i="19"/>
  <c r="Q126" i="19"/>
  <c r="Q72" i="19"/>
  <c r="Q20" i="19"/>
  <c r="Q160" i="19"/>
  <c r="Q41" i="19"/>
  <c r="Q169" i="19"/>
  <c r="Q80" i="19"/>
  <c r="Q71" i="19"/>
  <c r="Q23" i="19"/>
  <c r="Q5" i="19"/>
  <c r="Q98" i="19"/>
  <c r="Q89" i="19"/>
  <c r="Q50" i="19"/>
  <c r="Q18" i="19"/>
  <c r="Q116" i="19"/>
  <c r="Q107" i="19"/>
  <c r="Q59" i="19"/>
  <c r="Q45" i="19"/>
  <c r="Q38" i="19"/>
  <c r="Q26" i="19"/>
  <c r="Q8" i="19"/>
  <c r="Q3" i="19"/>
  <c r="Q150" i="19"/>
  <c r="Q47" i="19"/>
  <c r="Q36" i="19"/>
  <c r="Q29" i="19"/>
  <c r="Q21" i="19"/>
  <c r="Q54" i="19"/>
  <c r="Q11" i="19"/>
  <c r="Q65" i="19"/>
  <c r="Q32" i="19"/>
  <c r="Q81" i="19"/>
  <c r="Q27" i="19"/>
  <c r="Q9" i="19"/>
  <c r="Q125" i="19"/>
  <c r="Q99" i="19"/>
  <c r="Q30" i="19"/>
  <c r="Q12" i="19"/>
  <c r="Q35" i="19"/>
  <c r="Q63" i="19"/>
  <c r="Q56" i="19"/>
  <c r="Q14" i="19"/>
  <c r="Q141" i="19"/>
  <c r="Q130" i="23"/>
  <c r="Q125" i="23"/>
  <c r="Q133" i="23"/>
  <c r="Q128" i="23"/>
  <c r="Q184" i="23"/>
  <c r="Q181" i="23"/>
  <c r="Q178" i="23"/>
  <c r="Q175" i="23"/>
  <c r="Q172" i="23"/>
  <c r="Q169" i="23"/>
  <c r="Q166" i="23"/>
  <c r="Q163" i="23"/>
  <c r="Q160" i="23"/>
  <c r="Q157" i="23"/>
  <c r="Q154" i="23"/>
  <c r="Q151" i="23"/>
  <c r="Q148" i="23"/>
  <c r="Q145" i="23"/>
  <c r="Q142" i="23"/>
  <c r="Q139" i="23"/>
  <c r="Q136" i="23"/>
  <c r="Q120" i="23"/>
  <c r="Q126" i="23"/>
  <c r="Q123" i="23"/>
  <c r="Q134" i="23"/>
  <c r="Q185" i="23"/>
  <c r="Q182" i="23"/>
  <c r="Q179" i="23"/>
  <c r="Q176" i="23"/>
  <c r="Q173" i="23"/>
  <c r="Q170" i="23"/>
  <c r="Q167" i="23"/>
  <c r="Q164" i="23"/>
  <c r="Q161" i="23"/>
  <c r="Q158" i="23"/>
  <c r="Q155" i="23"/>
  <c r="Q152" i="23"/>
  <c r="Q149" i="23"/>
  <c r="Q146" i="23"/>
  <c r="Q143" i="23"/>
  <c r="Q140" i="23"/>
  <c r="Q137" i="23"/>
  <c r="Q129" i="23"/>
  <c r="Q121" i="23"/>
  <c r="Q135" i="23"/>
  <c r="Q132" i="23"/>
  <c r="Q119" i="23"/>
  <c r="Q131" i="23"/>
  <c r="Q171" i="23"/>
  <c r="Q174" i="23"/>
  <c r="Q147" i="23"/>
  <c r="Q118" i="23"/>
  <c r="Q113" i="23"/>
  <c r="Q109" i="23"/>
  <c r="Q104" i="23"/>
  <c r="Q100" i="23"/>
  <c r="Q95" i="23"/>
  <c r="Q165" i="23"/>
  <c r="Q138" i="23"/>
  <c r="Q168" i="23"/>
  <c r="Q141" i="23"/>
  <c r="Q124" i="23"/>
  <c r="Q115" i="23"/>
  <c r="Q110" i="23"/>
  <c r="Q106" i="23"/>
  <c r="Q101" i="23"/>
  <c r="Q112" i="23"/>
  <c r="Q111" i="23"/>
  <c r="Q84" i="23"/>
  <c r="Q177" i="23"/>
  <c r="Q150" i="23"/>
  <c r="Q144" i="23"/>
  <c r="Q99" i="23"/>
  <c r="Q88" i="23"/>
  <c r="Q80" i="23"/>
  <c r="Q77" i="23"/>
  <c r="Q74" i="23"/>
  <c r="Q71" i="23"/>
  <c r="Q68" i="23"/>
  <c r="Q65" i="23"/>
  <c r="Q180" i="23"/>
  <c r="Q153" i="23"/>
  <c r="Q108" i="23"/>
  <c r="Q183" i="23"/>
  <c r="Q156" i="23"/>
  <c r="Q107" i="23"/>
  <c r="Q105" i="23"/>
  <c r="Q97" i="23"/>
  <c r="Q83" i="23"/>
  <c r="Q159" i="23"/>
  <c r="Q103" i="23"/>
  <c r="Q87" i="23"/>
  <c r="Q102" i="23"/>
  <c r="Q94" i="23"/>
  <c r="Q93" i="23"/>
  <c r="Q81" i="23"/>
  <c r="Q78" i="23"/>
  <c r="Q75" i="23"/>
  <c r="Q72" i="23"/>
  <c r="Q69" i="23"/>
  <c r="Q66" i="23"/>
  <c r="Q86" i="23"/>
  <c r="Q90" i="23"/>
  <c r="Q98" i="23"/>
  <c r="Q85" i="23"/>
  <c r="Q82" i="23"/>
  <c r="Q79" i="23"/>
  <c r="Q76" i="23"/>
  <c r="Q73" i="23"/>
  <c r="Q70" i="23"/>
  <c r="Q67" i="23"/>
  <c r="Q64" i="23"/>
  <c r="Q61" i="23"/>
  <c r="Q58" i="23"/>
  <c r="Q55" i="23"/>
  <c r="Q52" i="23"/>
  <c r="Q49" i="23"/>
  <c r="Q127" i="23"/>
  <c r="Q117" i="23"/>
  <c r="Q162" i="23"/>
  <c r="Q63" i="23"/>
  <c r="Q54" i="23"/>
  <c r="Q92" i="23"/>
  <c r="Q53" i="23"/>
  <c r="Q45" i="23"/>
  <c r="Q42" i="23"/>
  <c r="Q39" i="23"/>
  <c r="Q36" i="23"/>
  <c r="Q33" i="23"/>
  <c r="Q30" i="23"/>
  <c r="Q27" i="23"/>
  <c r="Q24" i="23"/>
  <c r="Q21" i="23"/>
  <c r="Q18" i="23"/>
  <c r="Q15" i="23"/>
  <c r="Q12" i="23"/>
  <c r="Q9" i="23"/>
  <c r="Q6" i="23"/>
  <c r="Q3" i="23"/>
  <c r="Q122" i="23"/>
  <c r="Q114" i="23"/>
  <c r="Q89" i="23"/>
  <c r="Q56" i="23"/>
  <c r="Q57" i="23"/>
  <c r="Q51" i="23"/>
  <c r="Q91" i="23"/>
  <c r="Q50" i="23"/>
  <c r="Q46" i="23"/>
  <c r="Q43" i="23"/>
  <c r="Q40" i="23"/>
  <c r="Q37" i="23"/>
  <c r="Q34" i="23"/>
  <c r="Q31" i="23"/>
  <c r="Q28" i="23"/>
  <c r="Q25" i="23"/>
  <c r="Q22" i="23"/>
  <c r="Q19" i="23"/>
  <c r="Q16" i="23"/>
  <c r="Q13" i="23"/>
  <c r="Q10" i="23"/>
  <c r="Q7" i="23"/>
  <c r="Q4" i="23"/>
  <c r="Q59" i="23"/>
  <c r="Q48" i="23"/>
  <c r="Q47" i="23"/>
  <c r="Q44" i="23"/>
  <c r="Q41" i="23"/>
  <c r="Q38" i="23"/>
  <c r="Q35" i="23"/>
  <c r="Q32" i="23"/>
  <c r="Q29" i="23"/>
  <c r="Q26" i="23"/>
  <c r="Q23" i="23"/>
  <c r="Q20" i="23"/>
  <c r="Q17" i="23"/>
  <c r="Q14" i="23"/>
  <c r="Q11" i="23"/>
  <c r="Q8" i="23"/>
  <c r="Q5" i="23"/>
  <c r="Q116" i="23"/>
  <c r="Q62" i="23"/>
  <c r="Q60" i="23"/>
  <c r="Q96" i="23"/>
  <c r="R1" i="23"/>
  <c r="R178" i="25"/>
  <c r="R179" i="25"/>
  <c r="R177" i="25"/>
  <c r="R176" i="25"/>
  <c r="R173" i="25"/>
  <c r="R170" i="25"/>
  <c r="R167" i="25"/>
  <c r="R164" i="25"/>
  <c r="R161" i="25"/>
  <c r="R158" i="25"/>
  <c r="R155" i="25"/>
  <c r="R152" i="25"/>
  <c r="R149" i="25"/>
  <c r="R146" i="25"/>
  <c r="R143" i="25"/>
  <c r="R140" i="25"/>
  <c r="R137" i="25"/>
  <c r="R175" i="25"/>
  <c r="R172" i="25"/>
  <c r="R169" i="25"/>
  <c r="R166" i="25"/>
  <c r="R163" i="25"/>
  <c r="R160" i="25"/>
  <c r="R157" i="25"/>
  <c r="R154" i="25"/>
  <c r="R151" i="25"/>
  <c r="R148" i="25"/>
  <c r="R145" i="25"/>
  <c r="R142" i="25"/>
  <c r="R139" i="25"/>
  <c r="R136" i="25"/>
  <c r="R125" i="25"/>
  <c r="R134" i="25"/>
  <c r="R131" i="25"/>
  <c r="R123" i="25"/>
  <c r="R115" i="25"/>
  <c r="R112" i="25"/>
  <c r="R109" i="25"/>
  <c r="R106" i="25"/>
  <c r="R103" i="25"/>
  <c r="R100" i="25"/>
  <c r="R97" i="25"/>
  <c r="R121" i="25"/>
  <c r="R133" i="25"/>
  <c r="R130" i="25"/>
  <c r="R114" i="25"/>
  <c r="R111" i="25"/>
  <c r="R108" i="25"/>
  <c r="R105" i="25"/>
  <c r="R102" i="25"/>
  <c r="R138" i="25"/>
  <c r="R128" i="25"/>
  <c r="R124" i="25"/>
  <c r="R96" i="25"/>
  <c r="R93" i="25"/>
  <c r="R90" i="25"/>
  <c r="R87" i="25"/>
  <c r="R84" i="25"/>
  <c r="R81" i="25"/>
  <c r="R78" i="25"/>
  <c r="R75" i="25"/>
  <c r="R72" i="25"/>
  <c r="R135" i="25"/>
  <c r="R129" i="25"/>
  <c r="R153" i="25"/>
  <c r="R150" i="25"/>
  <c r="R147" i="25"/>
  <c r="R94" i="25"/>
  <c r="R91" i="25"/>
  <c r="R88" i="25"/>
  <c r="R85" i="25"/>
  <c r="R82" i="25"/>
  <c r="R79" i="25"/>
  <c r="R76" i="25"/>
  <c r="R73" i="25"/>
  <c r="R156" i="25"/>
  <c r="R98" i="25"/>
  <c r="R162" i="25"/>
  <c r="R159" i="25"/>
  <c r="R144" i="25"/>
  <c r="R165" i="25"/>
  <c r="R126" i="25"/>
  <c r="R107" i="25"/>
  <c r="R104" i="25"/>
  <c r="R171" i="25"/>
  <c r="R89" i="25"/>
  <c r="R80" i="25"/>
  <c r="R74" i="25"/>
  <c r="R127" i="25"/>
  <c r="R110" i="25"/>
  <c r="R101" i="25"/>
  <c r="R99" i="25"/>
  <c r="R141" i="25"/>
  <c r="R70" i="25"/>
  <c r="R67" i="25"/>
  <c r="R64" i="25"/>
  <c r="R61" i="25"/>
  <c r="R58" i="25"/>
  <c r="R55" i="25"/>
  <c r="R52" i="25"/>
  <c r="R49" i="25"/>
  <c r="R95" i="25"/>
  <c r="R86" i="25"/>
  <c r="R77" i="25"/>
  <c r="R168" i="25"/>
  <c r="R132" i="25"/>
  <c r="R92" i="25"/>
  <c r="R83" i="25"/>
  <c r="R71" i="25"/>
  <c r="R122" i="25"/>
  <c r="R113" i="25"/>
  <c r="R41" i="25"/>
  <c r="R38" i="25"/>
  <c r="R35" i="25"/>
  <c r="R32" i="25"/>
  <c r="R29" i="25"/>
  <c r="R26" i="25"/>
  <c r="R23" i="25"/>
  <c r="R20" i="25"/>
  <c r="R17" i="25"/>
  <c r="R14" i="25"/>
  <c r="R11" i="25"/>
  <c r="R8" i="25"/>
  <c r="R118" i="25"/>
  <c r="R69" i="25"/>
  <c r="R66" i="25"/>
  <c r="R63" i="25"/>
  <c r="R60" i="25"/>
  <c r="R57" i="25"/>
  <c r="R54" i="25"/>
  <c r="R51" i="25"/>
  <c r="R48" i="25"/>
  <c r="R39" i="25"/>
  <c r="R36" i="25"/>
  <c r="R33" i="25"/>
  <c r="R30" i="25"/>
  <c r="R27" i="25"/>
  <c r="R24" i="25"/>
  <c r="R21" i="25"/>
  <c r="R18" i="25"/>
  <c r="R15" i="25"/>
  <c r="R12" i="25"/>
  <c r="R9" i="25"/>
  <c r="R44" i="25"/>
  <c r="R43" i="25"/>
  <c r="R174" i="25"/>
  <c r="R120" i="25"/>
  <c r="R117" i="25"/>
  <c r="R68" i="25"/>
  <c r="R65" i="25"/>
  <c r="R62" i="25"/>
  <c r="R59" i="25"/>
  <c r="R56" i="25"/>
  <c r="R53" i="25"/>
  <c r="R50" i="25"/>
  <c r="R47" i="25"/>
  <c r="R42" i="25"/>
  <c r="R119" i="25"/>
  <c r="R116" i="25"/>
  <c r="R46" i="25"/>
  <c r="R45" i="25"/>
  <c r="R6" i="25"/>
  <c r="R3" i="25"/>
  <c r="R7" i="25"/>
  <c r="R4" i="25"/>
  <c r="S1" i="25"/>
  <c r="R40" i="25"/>
  <c r="R37" i="25"/>
  <c r="R34" i="25"/>
  <c r="R31" i="25"/>
  <c r="R28" i="25"/>
  <c r="R25" i="25"/>
  <c r="R22" i="25"/>
  <c r="R19" i="25"/>
  <c r="R16" i="25"/>
  <c r="R13" i="25"/>
  <c r="R10" i="25"/>
  <c r="R5" i="25"/>
  <c r="T131" i="22"/>
  <c r="T134" i="22"/>
  <c r="T185" i="22"/>
  <c r="T182" i="22"/>
  <c r="T179" i="22"/>
  <c r="T176" i="22"/>
  <c r="T173" i="22"/>
  <c r="T170" i="22"/>
  <c r="T167" i="22"/>
  <c r="T164" i="22"/>
  <c r="T161" i="22"/>
  <c r="T158" i="22"/>
  <c r="T155" i="22"/>
  <c r="T152" i="22"/>
  <c r="T149" i="22"/>
  <c r="T146" i="22"/>
  <c r="T143" i="22"/>
  <c r="T140" i="22"/>
  <c r="T137" i="22"/>
  <c r="T129" i="22"/>
  <c r="T121" i="22"/>
  <c r="T118" i="22"/>
  <c r="T124" i="22"/>
  <c r="T127" i="22"/>
  <c r="T135" i="22"/>
  <c r="T132" i="22"/>
  <c r="T183" i="22"/>
  <c r="T180" i="22"/>
  <c r="T177" i="22"/>
  <c r="T174" i="22"/>
  <c r="T171" i="22"/>
  <c r="T168" i="22"/>
  <c r="T165" i="22"/>
  <c r="T162" i="22"/>
  <c r="T159" i="22"/>
  <c r="T156" i="22"/>
  <c r="T153" i="22"/>
  <c r="T150" i="22"/>
  <c r="T147" i="22"/>
  <c r="T144" i="22"/>
  <c r="T141" i="22"/>
  <c r="T138" i="22"/>
  <c r="T119" i="22"/>
  <c r="T130" i="22"/>
  <c r="T125" i="22"/>
  <c r="T122" i="22"/>
  <c r="T133" i="22"/>
  <c r="T128" i="22"/>
  <c r="T184" i="22"/>
  <c r="T181" i="22"/>
  <c r="T178" i="22"/>
  <c r="T175" i="22"/>
  <c r="T172" i="22"/>
  <c r="T169" i="22"/>
  <c r="T166" i="22"/>
  <c r="T163" i="22"/>
  <c r="T160" i="22"/>
  <c r="T157" i="22"/>
  <c r="T154" i="22"/>
  <c r="T151" i="22"/>
  <c r="T148" i="22"/>
  <c r="T145" i="22"/>
  <c r="T142" i="22"/>
  <c r="T139" i="22"/>
  <c r="T136" i="22"/>
  <c r="T120" i="22"/>
  <c r="T117" i="22"/>
  <c r="T114" i="22"/>
  <c r="T111" i="22"/>
  <c r="T108" i="22"/>
  <c r="T105" i="22"/>
  <c r="T102" i="22"/>
  <c r="T99" i="22"/>
  <c r="T96" i="22"/>
  <c r="T93" i="22"/>
  <c r="T90" i="22"/>
  <c r="T87" i="22"/>
  <c r="T84" i="22"/>
  <c r="T81" i="22"/>
  <c r="T78" i="22"/>
  <c r="T75" i="22"/>
  <c r="T72" i="22"/>
  <c r="T69" i="22"/>
  <c r="T66" i="22"/>
  <c r="T63" i="22"/>
  <c r="T60" i="22"/>
  <c r="T57" i="22"/>
  <c r="T54" i="22"/>
  <c r="T51" i="22"/>
  <c r="T48" i="22"/>
  <c r="T45" i="22"/>
  <c r="T42" i="22"/>
  <c r="T39" i="22"/>
  <c r="T36" i="22"/>
  <c r="T33" i="22"/>
  <c r="T30" i="22"/>
  <c r="T27" i="22"/>
  <c r="T24" i="22"/>
  <c r="T21" i="22"/>
  <c r="T18" i="22"/>
  <c r="T15" i="22"/>
  <c r="T12" i="22"/>
  <c r="T126" i="22"/>
  <c r="T115" i="22"/>
  <c r="T112" i="22"/>
  <c r="T109" i="22"/>
  <c r="T106" i="22"/>
  <c r="T103" i="22"/>
  <c r="T100" i="22"/>
  <c r="T97" i="22"/>
  <c r="T94" i="22"/>
  <c r="T91" i="22"/>
  <c r="T88" i="22"/>
  <c r="T85" i="22"/>
  <c r="T82" i="22"/>
  <c r="T79" i="22"/>
  <c r="T76" i="22"/>
  <c r="T73" i="22"/>
  <c r="T70" i="22"/>
  <c r="T67" i="22"/>
  <c r="T64" i="22"/>
  <c r="T61" i="22"/>
  <c r="T58" i="22"/>
  <c r="T55" i="22"/>
  <c r="T52" i="22"/>
  <c r="T49" i="22"/>
  <c r="T46" i="22"/>
  <c r="T43" i="22"/>
  <c r="T40" i="22"/>
  <c r="T37" i="22"/>
  <c r="T34" i="22"/>
  <c r="T31" i="22"/>
  <c r="T28" i="22"/>
  <c r="T25" i="22"/>
  <c r="T22" i="22"/>
  <c r="T19" i="22"/>
  <c r="T16" i="22"/>
  <c r="T13" i="22"/>
  <c r="T10" i="22"/>
  <c r="T7" i="22"/>
  <c r="T4" i="22"/>
  <c r="T110" i="22"/>
  <c r="T101" i="22"/>
  <c r="T92" i="22"/>
  <c r="T83" i="22"/>
  <c r="T74" i="22"/>
  <c r="T65" i="22"/>
  <c r="T56" i="22"/>
  <c r="T47" i="22"/>
  <c r="T38" i="22"/>
  <c r="T29" i="22"/>
  <c r="T20" i="22"/>
  <c r="U1" i="22"/>
  <c r="T11" i="22"/>
  <c r="T8" i="22"/>
  <c r="T5" i="22"/>
  <c r="T123" i="22"/>
  <c r="T113" i="22"/>
  <c r="T104" i="22"/>
  <c r="T95" i="22"/>
  <c r="T86" i="22"/>
  <c r="T77" i="22"/>
  <c r="T68" i="22"/>
  <c r="T59" i="22"/>
  <c r="T50" i="22"/>
  <c r="T41" i="22"/>
  <c r="T32" i="22"/>
  <c r="T23" i="22"/>
  <c r="T14" i="22"/>
  <c r="T9" i="22"/>
  <c r="T6" i="22"/>
  <c r="T3" i="22"/>
  <c r="T116" i="22"/>
  <c r="T107" i="22"/>
  <c r="T98" i="22"/>
  <c r="T89" i="22"/>
  <c r="T80" i="22"/>
  <c r="T71" i="22"/>
  <c r="T62" i="22"/>
  <c r="T53" i="22"/>
  <c r="T44" i="22"/>
  <c r="T35" i="22"/>
  <c r="T26" i="22"/>
  <c r="T17" i="22"/>
  <c r="S190" i="20"/>
  <c r="S187" i="20"/>
  <c r="S184" i="20"/>
  <c r="S181" i="20"/>
  <c r="S178" i="20"/>
  <c r="S175" i="20"/>
  <c r="S172" i="20"/>
  <c r="S169" i="20"/>
  <c r="S166" i="20"/>
  <c r="S163" i="20"/>
  <c r="S160" i="20"/>
  <c r="S157" i="20"/>
  <c r="S154" i="20"/>
  <c r="S189" i="20"/>
  <c r="S186" i="20"/>
  <c r="S183" i="20"/>
  <c r="S180" i="20"/>
  <c r="S177" i="20"/>
  <c r="S174" i="20"/>
  <c r="S171" i="20"/>
  <c r="S168" i="20"/>
  <c r="S165" i="20"/>
  <c r="S162" i="20"/>
  <c r="S159" i="20"/>
  <c r="S156" i="20"/>
  <c r="S153" i="20"/>
  <c r="S150" i="20"/>
  <c r="S147" i="20"/>
  <c r="S148" i="20"/>
  <c r="S140" i="20"/>
  <c r="S137" i="20"/>
  <c r="S151" i="20"/>
  <c r="S138" i="20"/>
  <c r="S133" i="20"/>
  <c r="S176" i="20"/>
  <c r="S132" i="20"/>
  <c r="S127" i="20"/>
  <c r="S122" i="20"/>
  <c r="S164" i="20"/>
  <c r="S149" i="20"/>
  <c r="S131" i="20"/>
  <c r="S65" i="20"/>
  <c r="S62" i="20"/>
  <c r="S59" i="20"/>
  <c r="S56" i="20"/>
  <c r="S53" i="20"/>
  <c r="S50" i="20"/>
  <c r="S47" i="20"/>
  <c r="S44" i="20"/>
  <c r="S41" i="20"/>
  <c r="S38" i="20"/>
  <c r="S121" i="20"/>
  <c r="S112" i="20"/>
  <c r="S103" i="20"/>
  <c r="S94" i="20"/>
  <c r="S85" i="20"/>
  <c r="S76" i="20"/>
  <c r="S182" i="20"/>
  <c r="S66" i="20"/>
  <c r="S63" i="20"/>
  <c r="S60" i="20"/>
  <c r="S57" i="20"/>
  <c r="S54" i="20"/>
  <c r="S51" i="20"/>
  <c r="S48" i="20"/>
  <c r="S45" i="20"/>
  <c r="S42" i="20"/>
  <c r="S39" i="20"/>
  <c r="S170" i="20"/>
  <c r="S185" i="20"/>
  <c r="S158" i="20"/>
  <c r="S155" i="20"/>
  <c r="S144" i="20"/>
  <c r="S134" i="20"/>
  <c r="S119" i="20"/>
  <c r="S110" i="20"/>
  <c r="S101" i="20"/>
  <c r="S92" i="20"/>
  <c r="S188" i="20"/>
  <c r="S161" i="20"/>
  <c r="S123" i="20"/>
  <c r="S114" i="20"/>
  <c r="S105" i="20"/>
  <c r="S126" i="20"/>
  <c r="S117" i="20"/>
  <c r="S113" i="20"/>
  <c r="S97" i="20"/>
  <c r="S95" i="20"/>
  <c r="S87" i="20"/>
  <c r="S81" i="20"/>
  <c r="S78" i="20"/>
  <c r="S72" i="20"/>
  <c r="S69" i="20"/>
  <c r="S58" i="20"/>
  <c r="S49" i="20"/>
  <c r="S40" i="20"/>
  <c r="S136" i="20"/>
  <c r="S125" i="20"/>
  <c r="S116" i="20"/>
  <c r="S106" i="20"/>
  <c r="S173" i="20"/>
  <c r="S145" i="20"/>
  <c r="S135" i="20"/>
  <c r="S109" i="20"/>
  <c r="S99" i="20"/>
  <c r="S146" i="20"/>
  <c r="S124" i="20"/>
  <c r="S102" i="20"/>
  <c r="S79" i="20"/>
  <c r="S70" i="20"/>
  <c r="S88" i="20"/>
  <c r="S82" i="20"/>
  <c r="S73" i="20"/>
  <c r="S52" i="20"/>
  <c r="S43" i="20"/>
  <c r="S143" i="20"/>
  <c r="S115" i="20"/>
  <c r="S90" i="20"/>
  <c r="S36" i="20"/>
  <c r="S33" i="20"/>
  <c r="S30" i="20"/>
  <c r="S27" i="20"/>
  <c r="S24" i="20"/>
  <c r="S21" i="20"/>
  <c r="S18" i="20"/>
  <c r="S15" i="20"/>
  <c r="S12" i="20"/>
  <c r="S9" i="20"/>
  <c r="S6" i="20"/>
  <c r="S3" i="20"/>
  <c r="S167" i="20"/>
  <c r="S142" i="20"/>
  <c r="S108" i="20"/>
  <c r="S98" i="20"/>
  <c r="S96" i="20"/>
  <c r="S141" i="20"/>
  <c r="S130" i="20"/>
  <c r="S111" i="20"/>
  <c r="S83" i="20"/>
  <c r="S80" i="20"/>
  <c r="S74" i="20"/>
  <c r="S71" i="20"/>
  <c r="S152" i="20"/>
  <c r="S120" i="20"/>
  <c r="S104" i="20"/>
  <c r="S86" i="20"/>
  <c r="S77" i="20"/>
  <c r="S67" i="20"/>
  <c r="S64" i="20"/>
  <c r="S61" i="20"/>
  <c r="S55" i="20"/>
  <c r="S46" i="20"/>
  <c r="S129" i="20"/>
  <c r="S107" i="20"/>
  <c r="S68" i="20"/>
  <c r="S37" i="20"/>
  <c r="S34" i="20"/>
  <c r="S31" i="20"/>
  <c r="S28" i="20"/>
  <c r="S25" i="20"/>
  <c r="S22" i="20"/>
  <c r="S19" i="20"/>
  <c r="S16" i="20"/>
  <c r="S13" i="20"/>
  <c r="S10" i="20"/>
  <c r="S7" i="20"/>
  <c r="S4" i="20"/>
  <c r="S179" i="20"/>
  <c r="S139" i="20"/>
  <c r="S128" i="20"/>
  <c r="S100" i="20"/>
  <c r="S89" i="20"/>
  <c r="S75" i="20"/>
  <c r="S84" i="20"/>
  <c r="S118" i="20"/>
  <c r="S35" i="20"/>
  <c r="S32" i="20"/>
  <c r="S29" i="20"/>
  <c r="S26" i="20"/>
  <c r="S23" i="20"/>
  <c r="S20" i="20"/>
  <c r="S17" i="20"/>
  <c r="S14" i="20"/>
  <c r="S11" i="20"/>
  <c r="S8" i="20"/>
  <c r="S5" i="20"/>
  <c r="S93" i="20"/>
  <c r="T1" i="20"/>
  <c r="S91" i="20"/>
  <c r="R180" i="24"/>
  <c r="R177" i="24"/>
  <c r="R174" i="24"/>
  <c r="R171" i="24"/>
  <c r="R168" i="24"/>
  <c r="R165" i="24"/>
  <c r="R162" i="24"/>
  <c r="R159" i="24"/>
  <c r="R156" i="24"/>
  <c r="R153" i="24"/>
  <c r="R150" i="24"/>
  <c r="R147" i="24"/>
  <c r="R144" i="24"/>
  <c r="R141" i="24"/>
  <c r="R181" i="24"/>
  <c r="R178" i="24"/>
  <c r="R175" i="24"/>
  <c r="R172" i="24"/>
  <c r="R169" i="24"/>
  <c r="R166" i="24"/>
  <c r="R163" i="24"/>
  <c r="R160" i="24"/>
  <c r="R157" i="24"/>
  <c r="R154" i="24"/>
  <c r="R151" i="24"/>
  <c r="R148" i="24"/>
  <c r="R145" i="24"/>
  <c r="R142" i="24"/>
  <c r="R137" i="24"/>
  <c r="R134" i="24"/>
  <c r="R115" i="24"/>
  <c r="R112" i="24"/>
  <c r="R109" i="24"/>
  <c r="R106" i="24"/>
  <c r="R103" i="24"/>
  <c r="R100" i="24"/>
  <c r="R97" i="24"/>
  <c r="R94" i="24"/>
  <c r="R91" i="24"/>
  <c r="R88" i="24"/>
  <c r="R85" i="24"/>
  <c r="R82" i="24"/>
  <c r="R79" i="24"/>
  <c r="R76" i="24"/>
  <c r="R73" i="24"/>
  <c r="R70" i="24"/>
  <c r="R67" i="24"/>
  <c r="R64" i="24"/>
  <c r="R61" i="24"/>
  <c r="R58" i="24"/>
  <c r="R55" i="24"/>
  <c r="R52" i="24"/>
  <c r="R49" i="24"/>
  <c r="R46" i="24"/>
  <c r="R43" i="24"/>
  <c r="R40" i="24"/>
  <c r="R37" i="24"/>
  <c r="R34" i="24"/>
  <c r="R31" i="24"/>
  <c r="R28" i="24"/>
  <c r="R126" i="24"/>
  <c r="R121" i="24"/>
  <c r="R118" i="24"/>
  <c r="R129" i="24"/>
  <c r="R124" i="24"/>
  <c r="R179" i="24"/>
  <c r="R176" i="24"/>
  <c r="R173" i="24"/>
  <c r="R170" i="24"/>
  <c r="R167" i="24"/>
  <c r="R164" i="24"/>
  <c r="R161" i="24"/>
  <c r="R158" i="24"/>
  <c r="R155" i="24"/>
  <c r="R152" i="24"/>
  <c r="R149" i="24"/>
  <c r="R146" i="24"/>
  <c r="R143" i="24"/>
  <c r="R140" i="24"/>
  <c r="R138" i="24"/>
  <c r="R135" i="24"/>
  <c r="R132" i="24"/>
  <c r="R116" i="24"/>
  <c r="R113" i="24"/>
  <c r="R110" i="24"/>
  <c r="R107" i="24"/>
  <c r="R104" i="24"/>
  <c r="R101" i="24"/>
  <c r="R98" i="24"/>
  <c r="R95" i="24"/>
  <c r="R92" i="24"/>
  <c r="R89" i="24"/>
  <c r="R86" i="24"/>
  <c r="R83" i="24"/>
  <c r="R80" i="24"/>
  <c r="R77" i="24"/>
  <c r="R74" i="24"/>
  <c r="R71" i="24"/>
  <c r="R68" i="24"/>
  <c r="R65" i="24"/>
  <c r="R62" i="24"/>
  <c r="R59" i="24"/>
  <c r="R56" i="24"/>
  <c r="R53" i="24"/>
  <c r="R50" i="24"/>
  <c r="R47" i="24"/>
  <c r="R44" i="24"/>
  <c r="R41" i="24"/>
  <c r="R38" i="24"/>
  <c r="R35" i="24"/>
  <c r="R32" i="24"/>
  <c r="R29" i="24"/>
  <c r="R122" i="24"/>
  <c r="R119" i="24"/>
  <c r="R127" i="24"/>
  <c r="R130" i="24"/>
  <c r="R123" i="24"/>
  <c r="R139" i="24"/>
  <c r="R136" i="24"/>
  <c r="R133" i="24"/>
  <c r="R45" i="24"/>
  <c r="R36" i="24"/>
  <c r="R125" i="24"/>
  <c r="R27" i="24"/>
  <c r="R24" i="24"/>
  <c r="R21" i="24"/>
  <c r="R18" i="24"/>
  <c r="R15" i="24"/>
  <c r="R12" i="24"/>
  <c r="R9" i="24"/>
  <c r="R6" i="24"/>
  <c r="R3" i="24"/>
  <c r="R131" i="24"/>
  <c r="R128" i="24"/>
  <c r="R117" i="24"/>
  <c r="R114" i="24"/>
  <c r="R111" i="24"/>
  <c r="R108" i="24"/>
  <c r="R105" i="24"/>
  <c r="R102" i="24"/>
  <c r="R99" i="24"/>
  <c r="R96" i="24"/>
  <c r="R93" i="24"/>
  <c r="R90" i="24"/>
  <c r="R87" i="24"/>
  <c r="R84" i="24"/>
  <c r="R81" i="24"/>
  <c r="R78" i="24"/>
  <c r="R75" i="24"/>
  <c r="R72" i="24"/>
  <c r="R69" i="24"/>
  <c r="R66" i="24"/>
  <c r="R63" i="24"/>
  <c r="R60" i="24"/>
  <c r="R57" i="24"/>
  <c r="R54" i="24"/>
  <c r="R48" i="24"/>
  <c r="R39" i="24"/>
  <c r="R30" i="24"/>
  <c r="R120" i="24"/>
  <c r="R25" i="24"/>
  <c r="R22" i="24"/>
  <c r="R19" i="24"/>
  <c r="R16" i="24"/>
  <c r="R13" i="24"/>
  <c r="R10" i="24"/>
  <c r="R7" i="24"/>
  <c r="R4" i="24"/>
  <c r="R51" i="24"/>
  <c r="R42" i="24"/>
  <c r="R33" i="24"/>
  <c r="R26" i="24"/>
  <c r="R17" i="24"/>
  <c r="R8" i="24"/>
  <c r="R20" i="24"/>
  <c r="R11" i="24"/>
  <c r="S1" i="24"/>
  <c r="R14" i="24"/>
  <c r="R5" i="24"/>
  <c r="R23" i="24"/>
  <c r="S181" i="24" l="1"/>
  <c r="S178" i="24"/>
  <c r="S175" i="24"/>
  <c r="S172" i="24"/>
  <c r="S169" i="24"/>
  <c r="S166" i="24"/>
  <c r="S163" i="24"/>
  <c r="S160" i="24"/>
  <c r="S157" i="24"/>
  <c r="S154" i="24"/>
  <c r="S151" i="24"/>
  <c r="S148" i="24"/>
  <c r="S145" i="24"/>
  <c r="S142" i="24"/>
  <c r="S179" i="24"/>
  <c r="S176" i="24"/>
  <c r="S173" i="24"/>
  <c r="S170" i="24"/>
  <c r="S167" i="24"/>
  <c r="S164" i="24"/>
  <c r="S161" i="24"/>
  <c r="S158" i="24"/>
  <c r="S155" i="24"/>
  <c r="S152" i="24"/>
  <c r="S149" i="24"/>
  <c r="S146" i="24"/>
  <c r="S143" i="24"/>
  <c r="S140" i="24"/>
  <c r="S126" i="24"/>
  <c r="S121" i="24"/>
  <c r="S118" i="24"/>
  <c r="S129" i="24"/>
  <c r="S124" i="24"/>
  <c r="S138" i="24"/>
  <c r="S135" i="24"/>
  <c r="S132" i="24"/>
  <c r="S116" i="24"/>
  <c r="S113" i="24"/>
  <c r="S110" i="24"/>
  <c r="S107" i="24"/>
  <c r="S104" i="24"/>
  <c r="S101" i="24"/>
  <c r="S98" i="24"/>
  <c r="S95" i="24"/>
  <c r="S92" i="24"/>
  <c r="S89" i="24"/>
  <c r="S86" i="24"/>
  <c r="S83" i="24"/>
  <c r="S80" i="24"/>
  <c r="S77" i="24"/>
  <c r="S74" i="24"/>
  <c r="S71" i="24"/>
  <c r="S68" i="24"/>
  <c r="S65" i="24"/>
  <c r="S62" i="24"/>
  <c r="S59" i="24"/>
  <c r="S56" i="24"/>
  <c r="S53" i="24"/>
  <c r="S50" i="24"/>
  <c r="S47" i="24"/>
  <c r="S44" i="24"/>
  <c r="S41" i="24"/>
  <c r="S38" i="24"/>
  <c r="S35" i="24"/>
  <c r="S32" i="24"/>
  <c r="S29" i="24"/>
  <c r="S122" i="24"/>
  <c r="S119" i="24"/>
  <c r="S127" i="24"/>
  <c r="S130" i="24"/>
  <c r="S139" i="24"/>
  <c r="S136" i="24"/>
  <c r="S133" i="24"/>
  <c r="S125" i="24"/>
  <c r="S117" i="24"/>
  <c r="S114" i="24"/>
  <c r="S111" i="24"/>
  <c r="S108" i="24"/>
  <c r="S105" i="24"/>
  <c r="S102" i="24"/>
  <c r="S99" i="24"/>
  <c r="S96" i="24"/>
  <c r="S93" i="24"/>
  <c r="S90" i="24"/>
  <c r="S87" i="24"/>
  <c r="S84" i="24"/>
  <c r="S81" i="24"/>
  <c r="S78" i="24"/>
  <c r="S75" i="24"/>
  <c r="S72" i="24"/>
  <c r="S69" i="24"/>
  <c r="S66" i="24"/>
  <c r="S63" i="24"/>
  <c r="S60" i="24"/>
  <c r="S57" i="24"/>
  <c r="S54" i="24"/>
  <c r="S51" i="24"/>
  <c r="S48" i="24"/>
  <c r="S45" i="24"/>
  <c r="S42" i="24"/>
  <c r="S39" i="24"/>
  <c r="S36" i="24"/>
  <c r="S33" i="24"/>
  <c r="S30" i="24"/>
  <c r="S131" i="24"/>
  <c r="S128" i="24"/>
  <c r="S52" i="24"/>
  <c r="S43" i="24"/>
  <c r="S34" i="24"/>
  <c r="S27" i="24"/>
  <c r="S24" i="24"/>
  <c r="S21" i="24"/>
  <c r="S18" i="24"/>
  <c r="S15" i="24"/>
  <c r="S12" i="24"/>
  <c r="S9" i="24"/>
  <c r="S6" i="24"/>
  <c r="S3" i="24"/>
  <c r="S177" i="24"/>
  <c r="S171" i="24"/>
  <c r="S165" i="24"/>
  <c r="S159" i="24"/>
  <c r="S153" i="24"/>
  <c r="S147" i="24"/>
  <c r="S141" i="24"/>
  <c r="S137" i="24"/>
  <c r="S134" i="24"/>
  <c r="S46" i="24"/>
  <c r="S37" i="24"/>
  <c r="S120" i="24"/>
  <c r="S25" i="24"/>
  <c r="S22" i="24"/>
  <c r="S19" i="24"/>
  <c r="S16" i="24"/>
  <c r="S13" i="24"/>
  <c r="S10" i="24"/>
  <c r="S7" i="24"/>
  <c r="S4" i="24"/>
  <c r="S123" i="24"/>
  <c r="S180" i="24"/>
  <c r="S174" i="24"/>
  <c r="S168" i="24"/>
  <c r="S162" i="24"/>
  <c r="S156" i="24"/>
  <c r="S150" i="24"/>
  <c r="S144" i="24"/>
  <c r="S26" i="24"/>
  <c r="S23" i="24"/>
  <c r="S20" i="24"/>
  <c r="S17" i="24"/>
  <c r="S14" i="24"/>
  <c r="S11" i="24"/>
  <c r="S8" i="24"/>
  <c r="S5" i="24"/>
  <c r="S115" i="24"/>
  <c r="S109" i="24"/>
  <c r="S103" i="24"/>
  <c r="S97" i="24"/>
  <c r="S91" i="24"/>
  <c r="S85" i="24"/>
  <c r="S79" i="24"/>
  <c r="S73" i="24"/>
  <c r="S67" i="24"/>
  <c r="S61" i="24"/>
  <c r="S55" i="24"/>
  <c r="S49" i="24"/>
  <c r="S40" i="24"/>
  <c r="S31" i="24"/>
  <c r="S112" i="24"/>
  <c r="S106" i="24"/>
  <c r="S100" i="24"/>
  <c r="S94" i="24"/>
  <c r="S88" i="24"/>
  <c r="S82" i="24"/>
  <c r="S76" i="24"/>
  <c r="S70" i="24"/>
  <c r="S64" i="24"/>
  <c r="S58" i="24"/>
  <c r="T1" i="24"/>
  <c r="S28" i="24"/>
  <c r="U134" i="22"/>
  <c r="U185" i="22"/>
  <c r="U182" i="22"/>
  <c r="U179" i="22"/>
  <c r="U176" i="22"/>
  <c r="U173" i="22"/>
  <c r="U170" i="22"/>
  <c r="U167" i="22"/>
  <c r="U164" i="22"/>
  <c r="U161" i="22"/>
  <c r="U158" i="22"/>
  <c r="U155" i="22"/>
  <c r="U152" i="22"/>
  <c r="U149" i="22"/>
  <c r="U146" i="22"/>
  <c r="U143" i="22"/>
  <c r="U140" i="22"/>
  <c r="U137" i="22"/>
  <c r="U129" i="22"/>
  <c r="U121" i="22"/>
  <c r="U118" i="22"/>
  <c r="U124" i="22"/>
  <c r="U127" i="22"/>
  <c r="U135" i="22"/>
  <c r="U132" i="22"/>
  <c r="U183" i="22"/>
  <c r="U180" i="22"/>
  <c r="U177" i="22"/>
  <c r="U174" i="22"/>
  <c r="U171" i="22"/>
  <c r="U168" i="22"/>
  <c r="U165" i="22"/>
  <c r="U162" i="22"/>
  <c r="U159" i="22"/>
  <c r="U156" i="22"/>
  <c r="U153" i="22"/>
  <c r="U150" i="22"/>
  <c r="U147" i="22"/>
  <c r="U144" i="22"/>
  <c r="U141" i="22"/>
  <c r="U138" i="22"/>
  <c r="U119" i="22"/>
  <c r="U130" i="22"/>
  <c r="U125" i="22"/>
  <c r="U122" i="22"/>
  <c r="U184" i="22"/>
  <c r="U181" i="22"/>
  <c r="U178" i="22"/>
  <c r="U175" i="22"/>
  <c r="U172" i="22"/>
  <c r="U169" i="22"/>
  <c r="U166" i="22"/>
  <c r="U163" i="22"/>
  <c r="U160" i="22"/>
  <c r="U157" i="22"/>
  <c r="U154" i="22"/>
  <c r="U151" i="22"/>
  <c r="U148" i="22"/>
  <c r="U145" i="22"/>
  <c r="U142" i="22"/>
  <c r="U139" i="22"/>
  <c r="U136" i="22"/>
  <c r="U120" i="22"/>
  <c r="U126" i="22"/>
  <c r="U123" i="22"/>
  <c r="U131" i="22"/>
  <c r="U128" i="22"/>
  <c r="U133" i="22"/>
  <c r="U109" i="22"/>
  <c r="U100" i="22"/>
  <c r="U91" i="22"/>
  <c r="U82" i="22"/>
  <c r="U73" i="22"/>
  <c r="U64" i="22"/>
  <c r="U55" i="22"/>
  <c r="U46" i="22"/>
  <c r="U37" i="22"/>
  <c r="U28" i="22"/>
  <c r="U19" i="22"/>
  <c r="U10" i="22"/>
  <c r="U7" i="22"/>
  <c r="U4" i="22"/>
  <c r="U110" i="22"/>
  <c r="U101" i="22"/>
  <c r="U92" i="22"/>
  <c r="U83" i="22"/>
  <c r="U74" i="22"/>
  <c r="U65" i="22"/>
  <c r="U56" i="22"/>
  <c r="U47" i="22"/>
  <c r="U38" i="22"/>
  <c r="U29" i="22"/>
  <c r="U20" i="22"/>
  <c r="V1" i="22"/>
  <c r="U111" i="22"/>
  <c r="U102" i="22"/>
  <c r="U93" i="22"/>
  <c r="U84" i="22"/>
  <c r="U75" i="22"/>
  <c r="U66" i="22"/>
  <c r="U57" i="22"/>
  <c r="U48" i="22"/>
  <c r="U39" i="22"/>
  <c r="U30" i="22"/>
  <c r="U21" i="22"/>
  <c r="U12" i="22"/>
  <c r="U112" i="22"/>
  <c r="U103" i="22"/>
  <c r="U94" i="22"/>
  <c r="U85" i="22"/>
  <c r="U76" i="22"/>
  <c r="U67" i="22"/>
  <c r="U58" i="22"/>
  <c r="U49" i="22"/>
  <c r="U40" i="22"/>
  <c r="U31" i="22"/>
  <c r="U22" i="22"/>
  <c r="U13" i="22"/>
  <c r="U11" i="22"/>
  <c r="U8" i="22"/>
  <c r="U5" i="22"/>
  <c r="U113" i="22"/>
  <c r="U104" i="22"/>
  <c r="U95" i="22"/>
  <c r="U86" i="22"/>
  <c r="U77" i="22"/>
  <c r="U68" i="22"/>
  <c r="U59" i="22"/>
  <c r="U50" i="22"/>
  <c r="U41" i="22"/>
  <c r="U32" i="22"/>
  <c r="U23" i="22"/>
  <c r="U14" i="22"/>
  <c r="U114" i="22"/>
  <c r="U105" i="22"/>
  <c r="U96" i="22"/>
  <c r="U87" i="22"/>
  <c r="U78" i="22"/>
  <c r="U69" i="22"/>
  <c r="U60" i="22"/>
  <c r="U51" i="22"/>
  <c r="U42" i="22"/>
  <c r="U33" i="22"/>
  <c r="U24" i="22"/>
  <c r="U15" i="22"/>
  <c r="U115" i="22"/>
  <c r="U106" i="22"/>
  <c r="U97" i="22"/>
  <c r="U88" i="22"/>
  <c r="U79" i="22"/>
  <c r="U70" i="22"/>
  <c r="U61" i="22"/>
  <c r="U52" i="22"/>
  <c r="U43" i="22"/>
  <c r="U34" i="22"/>
  <c r="U25" i="22"/>
  <c r="U16" i="22"/>
  <c r="U9" i="22"/>
  <c r="U6" i="22"/>
  <c r="U3" i="22"/>
  <c r="U116" i="22"/>
  <c r="U107" i="22"/>
  <c r="U98" i="22"/>
  <c r="U89" i="22"/>
  <c r="U80" i="22"/>
  <c r="U71" i="22"/>
  <c r="U62" i="22"/>
  <c r="U53" i="22"/>
  <c r="U44" i="22"/>
  <c r="U35" i="22"/>
  <c r="U26" i="22"/>
  <c r="U17" i="22"/>
  <c r="U117" i="22"/>
  <c r="U90" i="22"/>
  <c r="U63" i="22"/>
  <c r="U36" i="22"/>
  <c r="U18" i="22"/>
  <c r="U108" i="22"/>
  <c r="U45" i="22"/>
  <c r="U99" i="22"/>
  <c r="U27" i="22"/>
  <c r="U81" i="22"/>
  <c r="U72" i="22"/>
  <c r="U54" i="22"/>
  <c r="R175" i="27"/>
  <c r="R172" i="27"/>
  <c r="R169" i="27"/>
  <c r="R166" i="27"/>
  <c r="R163" i="27"/>
  <c r="R160" i="27"/>
  <c r="R157" i="27"/>
  <c r="R154" i="27"/>
  <c r="R151" i="27"/>
  <c r="R148" i="27"/>
  <c r="R145" i="27"/>
  <c r="R176" i="27"/>
  <c r="R173" i="27"/>
  <c r="R170" i="27"/>
  <c r="R167" i="27"/>
  <c r="R164" i="27"/>
  <c r="R161" i="27"/>
  <c r="R158" i="27"/>
  <c r="R155" i="27"/>
  <c r="R152" i="27"/>
  <c r="R149" i="27"/>
  <c r="R146" i="27"/>
  <c r="R174" i="27"/>
  <c r="R165" i="27"/>
  <c r="R156" i="27"/>
  <c r="R147" i="27"/>
  <c r="R142" i="27"/>
  <c r="R139" i="27"/>
  <c r="R136" i="27"/>
  <c r="R133" i="27"/>
  <c r="R130" i="27"/>
  <c r="R127" i="27"/>
  <c r="R123" i="27"/>
  <c r="R114" i="27"/>
  <c r="R171" i="27"/>
  <c r="R162" i="27"/>
  <c r="R153" i="27"/>
  <c r="R144" i="27"/>
  <c r="R141" i="27"/>
  <c r="R138" i="27"/>
  <c r="R135" i="27"/>
  <c r="R132" i="27"/>
  <c r="R129" i="27"/>
  <c r="R125" i="27"/>
  <c r="R116" i="27"/>
  <c r="R113" i="27"/>
  <c r="R108" i="27"/>
  <c r="R105" i="27"/>
  <c r="R102" i="27"/>
  <c r="R99" i="27"/>
  <c r="R96" i="27"/>
  <c r="R93" i="27"/>
  <c r="R90" i="27"/>
  <c r="R87" i="27"/>
  <c r="R143" i="27"/>
  <c r="R140" i="27"/>
  <c r="R137" i="27"/>
  <c r="R134" i="27"/>
  <c r="R131" i="27"/>
  <c r="R128" i="27"/>
  <c r="R124" i="27"/>
  <c r="R115" i="27"/>
  <c r="R168" i="27"/>
  <c r="R159" i="27"/>
  <c r="R150" i="27"/>
  <c r="R110" i="27"/>
  <c r="R107" i="27"/>
  <c r="R104" i="27"/>
  <c r="R101" i="27"/>
  <c r="R98" i="27"/>
  <c r="R95" i="27"/>
  <c r="R92" i="27"/>
  <c r="R89" i="27"/>
  <c r="R109" i="27"/>
  <c r="R106" i="27"/>
  <c r="R103" i="27"/>
  <c r="R100" i="27"/>
  <c r="R97" i="27"/>
  <c r="R94" i="27"/>
  <c r="R91" i="27"/>
  <c r="R111" i="27"/>
  <c r="R83" i="27"/>
  <c r="R80" i="27"/>
  <c r="R77" i="27"/>
  <c r="R74" i="27"/>
  <c r="R71" i="27"/>
  <c r="R68" i="27"/>
  <c r="R65" i="27"/>
  <c r="R86" i="27"/>
  <c r="R84" i="27"/>
  <c r="R81" i="27"/>
  <c r="R78" i="27"/>
  <c r="R75" i="27"/>
  <c r="R72" i="27"/>
  <c r="R69" i="27"/>
  <c r="R66" i="27"/>
  <c r="R88" i="27"/>
  <c r="R79" i="27"/>
  <c r="R70" i="27"/>
  <c r="R63" i="27"/>
  <c r="R60" i="27"/>
  <c r="R57" i="27"/>
  <c r="R54" i="27"/>
  <c r="R51" i="27"/>
  <c r="R48" i="27"/>
  <c r="R45" i="27"/>
  <c r="R42" i="27"/>
  <c r="R39" i="27"/>
  <c r="R85" i="27"/>
  <c r="R76" i="27"/>
  <c r="R67" i="27"/>
  <c r="R61" i="27"/>
  <c r="R58" i="27"/>
  <c r="R55" i="27"/>
  <c r="R52" i="27"/>
  <c r="R49" i="27"/>
  <c r="R46" i="27"/>
  <c r="R43" i="27"/>
  <c r="R40" i="27"/>
  <c r="R37" i="27"/>
  <c r="R64" i="27"/>
  <c r="R59" i="27"/>
  <c r="R50" i="27"/>
  <c r="R41" i="27"/>
  <c r="R35" i="27"/>
  <c r="R32" i="27"/>
  <c r="R29" i="27"/>
  <c r="R26" i="27"/>
  <c r="R23" i="27"/>
  <c r="R20" i="27"/>
  <c r="R17" i="27"/>
  <c r="R14" i="27"/>
  <c r="R11" i="27"/>
  <c r="R82" i="27"/>
  <c r="R62" i="27"/>
  <c r="R53" i="27"/>
  <c r="R44" i="27"/>
  <c r="R34" i="27"/>
  <c r="R31" i="27"/>
  <c r="R28" i="27"/>
  <c r="R25" i="27"/>
  <c r="R22" i="27"/>
  <c r="R19" i="27"/>
  <c r="R16" i="27"/>
  <c r="R13" i="27"/>
  <c r="R33" i="27"/>
  <c r="R24" i="27"/>
  <c r="R15" i="27"/>
  <c r="R73" i="27"/>
  <c r="R38" i="27"/>
  <c r="R7" i="27"/>
  <c r="R4" i="27"/>
  <c r="R30" i="27"/>
  <c r="R21" i="27"/>
  <c r="R12" i="27"/>
  <c r="S1" i="27"/>
  <c r="R47" i="27"/>
  <c r="R8" i="27"/>
  <c r="R5" i="27"/>
  <c r="R36" i="27"/>
  <c r="R27" i="27"/>
  <c r="R18" i="27"/>
  <c r="R10" i="27"/>
  <c r="R56" i="27"/>
  <c r="R9" i="27"/>
  <c r="R6" i="27"/>
  <c r="R3" i="27"/>
  <c r="R133" i="23"/>
  <c r="R128" i="23"/>
  <c r="R184" i="23"/>
  <c r="R181" i="23"/>
  <c r="R178" i="23"/>
  <c r="R175" i="23"/>
  <c r="R172" i="23"/>
  <c r="R169" i="23"/>
  <c r="R166" i="23"/>
  <c r="R163" i="23"/>
  <c r="R160" i="23"/>
  <c r="R157" i="23"/>
  <c r="R154" i="23"/>
  <c r="R151" i="23"/>
  <c r="R148" i="23"/>
  <c r="R145" i="23"/>
  <c r="R142" i="23"/>
  <c r="R139" i="23"/>
  <c r="R136" i="23"/>
  <c r="R120" i="23"/>
  <c r="R126" i="23"/>
  <c r="R123" i="23"/>
  <c r="R131" i="23"/>
  <c r="R185" i="23"/>
  <c r="R182" i="23"/>
  <c r="R179" i="23"/>
  <c r="R176" i="23"/>
  <c r="R173" i="23"/>
  <c r="R170" i="23"/>
  <c r="R167" i="23"/>
  <c r="R164" i="23"/>
  <c r="R161" i="23"/>
  <c r="R158" i="23"/>
  <c r="R155" i="23"/>
  <c r="R152" i="23"/>
  <c r="R149" i="23"/>
  <c r="R146" i="23"/>
  <c r="R143" i="23"/>
  <c r="R140" i="23"/>
  <c r="R137" i="23"/>
  <c r="R129" i="23"/>
  <c r="R121" i="23"/>
  <c r="R124" i="23"/>
  <c r="R183" i="23"/>
  <c r="R180" i="23"/>
  <c r="R177" i="23"/>
  <c r="R174" i="23"/>
  <c r="R171" i="23"/>
  <c r="R168" i="23"/>
  <c r="R165" i="23"/>
  <c r="R162" i="23"/>
  <c r="R159" i="23"/>
  <c r="R156" i="23"/>
  <c r="R153" i="23"/>
  <c r="R150" i="23"/>
  <c r="R147" i="23"/>
  <c r="R144" i="23"/>
  <c r="R141" i="23"/>
  <c r="R138" i="23"/>
  <c r="R119" i="23"/>
  <c r="R134" i="23"/>
  <c r="R118" i="23"/>
  <c r="R115" i="23"/>
  <c r="R112" i="23"/>
  <c r="R109" i="23"/>
  <c r="R106" i="23"/>
  <c r="R103" i="23"/>
  <c r="R100" i="23"/>
  <c r="R97" i="23"/>
  <c r="R94" i="23"/>
  <c r="R91" i="23"/>
  <c r="R88" i="23"/>
  <c r="R85" i="23"/>
  <c r="R117" i="23"/>
  <c r="R114" i="23"/>
  <c r="R111" i="23"/>
  <c r="R108" i="23"/>
  <c r="R105" i="23"/>
  <c r="R102" i="23"/>
  <c r="R99" i="23"/>
  <c r="R96" i="23"/>
  <c r="R132" i="23"/>
  <c r="R135" i="23"/>
  <c r="R130" i="23"/>
  <c r="R122" i="23"/>
  <c r="R110" i="23"/>
  <c r="R127" i="23"/>
  <c r="R113" i="23"/>
  <c r="R80" i="23"/>
  <c r="R77" i="23"/>
  <c r="R74" i="23"/>
  <c r="R71" i="23"/>
  <c r="R68" i="23"/>
  <c r="R65" i="23"/>
  <c r="R62" i="23"/>
  <c r="R59" i="23"/>
  <c r="R56" i="23"/>
  <c r="R53" i="23"/>
  <c r="R50" i="23"/>
  <c r="R107" i="23"/>
  <c r="R83" i="23"/>
  <c r="R87" i="23"/>
  <c r="R104" i="23"/>
  <c r="R93" i="23"/>
  <c r="R81" i="23"/>
  <c r="R78" i="23"/>
  <c r="R75" i="23"/>
  <c r="R72" i="23"/>
  <c r="R69" i="23"/>
  <c r="R66" i="23"/>
  <c r="R63" i="23"/>
  <c r="R60" i="23"/>
  <c r="R57" i="23"/>
  <c r="R92" i="23"/>
  <c r="R125" i="23"/>
  <c r="R95" i="23"/>
  <c r="R90" i="23"/>
  <c r="R98" i="23"/>
  <c r="R82" i="23"/>
  <c r="R79" i="23"/>
  <c r="R76" i="23"/>
  <c r="R73" i="23"/>
  <c r="R70" i="23"/>
  <c r="R67" i="23"/>
  <c r="R64" i="23"/>
  <c r="R61" i="23"/>
  <c r="R58" i="23"/>
  <c r="R55" i="23"/>
  <c r="R52" i="23"/>
  <c r="R49" i="23"/>
  <c r="R116" i="23"/>
  <c r="R101" i="23"/>
  <c r="R89" i="23"/>
  <c r="R54" i="23"/>
  <c r="R84" i="23"/>
  <c r="R45" i="23"/>
  <c r="R42" i="23"/>
  <c r="R39" i="23"/>
  <c r="R36" i="23"/>
  <c r="R33" i="23"/>
  <c r="R30" i="23"/>
  <c r="R27" i="23"/>
  <c r="R24" i="23"/>
  <c r="R21" i="23"/>
  <c r="R18" i="23"/>
  <c r="R15" i="23"/>
  <c r="R12" i="23"/>
  <c r="R9" i="23"/>
  <c r="R6" i="23"/>
  <c r="R3" i="23"/>
  <c r="R86" i="23"/>
  <c r="R51" i="23"/>
  <c r="R46" i="23"/>
  <c r="R43" i="23"/>
  <c r="R40" i="23"/>
  <c r="R37" i="23"/>
  <c r="R34" i="23"/>
  <c r="R31" i="23"/>
  <c r="R28" i="23"/>
  <c r="R25" i="23"/>
  <c r="R22" i="23"/>
  <c r="R19" i="23"/>
  <c r="R16" i="23"/>
  <c r="R13" i="23"/>
  <c r="R10" i="23"/>
  <c r="R7" i="23"/>
  <c r="R4" i="23"/>
  <c r="S1" i="23"/>
  <c r="R48" i="23"/>
  <c r="R47" i="23"/>
  <c r="R44" i="23"/>
  <c r="R41" i="23"/>
  <c r="R38" i="23"/>
  <c r="R35" i="23"/>
  <c r="R32" i="23"/>
  <c r="R29" i="23"/>
  <c r="R26" i="23"/>
  <c r="R23" i="23"/>
  <c r="R20" i="23"/>
  <c r="R17" i="23"/>
  <c r="R14" i="23"/>
  <c r="R11" i="23"/>
  <c r="R8" i="23"/>
  <c r="R5" i="23"/>
  <c r="R189" i="19"/>
  <c r="R186" i="19"/>
  <c r="R183" i="19"/>
  <c r="R180" i="19"/>
  <c r="R177" i="19"/>
  <c r="R190" i="19"/>
  <c r="R187" i="19"/>
  <c r="R184" i="19"/>
  <c r="R181" i="19"/>
  <c r="R178" i="19"/>
  <c r="R175" i="19"/>
  <c r="R173" i="19"/>
  <c r="R170" i="19"/>
  <c r="R167" i="19"/>
  <c r="R164" i="19"/>
  <c r="R161" i="19"/>
  <c r="R158" i="19"/>
  <c r="R155" i="19"/>
  <c r="R152" i="19"/>
  <c r="R149" i="19"/>
  <c r="R146" i="19"/>
  <c r="R143" i="19"/>
  <c r="R124" i="19"/>
  <c r="R121" i="19"/>
  <c r="R118" i="19"/>
  <c r="R115" i="19"/>
  <c r="R112" i="19"/>
  <c r="R109" i="19"/>
  <c r="R106" i="19"/>
  <c r="R103" i="19"/>
  <c r="R100" i="19"/>
  <c r="R97" i="19"/>
  <c r="R94" i="19"/>
  <c r="R91" i="19"/>
  <c r="R88" i="19"/>
  <c r="R85" i="19"/>
  <c r="R82" i="19"/>
  <c r="R79" i="19"/>
  <c r="R76" i="19"/>
  <c r="R73" i="19"/>
  <c r="R70" i="19"/>
  <c r="R182" i="19"/>
  <c r="R135" i="19"/>
  <c r="R130" i="19"/>
  <c r="R127" i="19"/>
  <c r="S1" i="19"/>
  <c r="R138" i="19"/>
  <c r="R133" i="19"/>
  <c r="R65" i="19"/>
  <c r="R62" i="19"/>
  <c r="R59" i="19"/>
  <c r="R56" i="19"/>
  <c r="R53" i="19"/>
  <c r="R50" i="19"/>
  <c r="R47" i="19"/>
  <c r="R44" i="19"/>
  <c r="R41" i="19"/>
  <c r="R38" i="19"/>
  <c r="R35" i="19"/>
  <c r="R32" i="19"/>
  <c r="R29" i="19"/>
  <c r="R26" i="19"/>
  <c r="R23" i="19"/>
  <c r="R20" i="19"/>
  <c r="R17" i="19"/>
  <c r="R14" i="19"/>
  <c r="R11" i="19"/>
  <c r="R8" i="19"/>
  <c r="R5" i="19"/>
  <c r="R139" i="19"/>
  <c r="R66" i="19"/>
  <c r="R63" i="19"/>
  <c r="R60" i="19"/>
  <c r="R57" i="19"/>
  <c r="R54" i="19"/>
  <c r="R51" i="19"/>
  <c r="R48" i="19"/>
  <c r="R45" i="19"/>
  <c r="R42" i="19"/>
  <c r="R39" i="19"/>
  <c r="R36" i="19"/>
  <c r="R33" i="19"/>
  <c r="R30" i="19"/>
  <c r="R27" i="19"/>
  <c r="R24" i="19"/>
  <c r="R21" i="19"/>
  <c r="R18" i="19"/>
  <c r="R15" i="19"/>
  <c r="R12" i="19"/>
  <c r="R9" i="19"/>
  <c r="R6" i="19"/>
  <c r="R3" i="19"/>
  <c r="R131" i="19"/>
  <c r="R171" i="19"/>
  <c r="R162" i="19"/>
  <c r="R153" i="19"/>
  <c r="R144" i="19"/>
  <c r="R137" i="19"/>
  <c r="R120" i="19"/>
  <c r="R111" i="19"/>
  <c r="R102" i="19"/>
  <c r="R93" i="19"/>
  <c r="R84" i="19"/>
  <c r="R75" i="19"/>
  <c r="R129" i="19"/>
  <c r="R169" i="19"/>
  <c r="R160" i="19"/>
  <c r="R151" i="19"/>
  <c r="R142" i="19"/>
  <c r="R125" i="19"/>
  <c r="R116" i="19"/>
  <c r="R107" i="19"/>
  <c r="R98" i="19"/>
  <c r="R89" i="19"/>
  <c r="R80" i="19"/>
  <c r="R71" i="19"/>
  <c r="R64" i="19"/>
  <c r="R55" i="19"/>
  <c r="R46" i="19"/>
  <c r="R179" i="19"/>
  <c r="R176" i="19"/>
  <c r="R174" i="19"/>
  <c r="R165" i="19"/>
  <c r="R156" i="19"/>
  <c r="R147" i="19"/>
  <c r="R140" i="19"/>
  <c r="R123" i="19"/>
  <c r="R114" i="19"/>
  <c r="R105" i="19"/>
  <c r="R96" i="19"/>
  <c r="R87" i="19"/>
  <c r="R78" i="19"/>
  <c r="R69" i="19"/>
  <c r="R136" i="19"/>
  <c r="R134" i="19"/>
  <c r="R128" i="19"/>
  <c r="R141" i="19"/>
  <c r="R16" i="19"/>
  <c r="R150" i="19"/>
  <c r="R185" i="19"/>
  <c r="R159" i="19"/>
  <c r="R40" i="19"/>
  <c r="R31" i="19"/>
  <c r="R145" i="19"/>
  <c r="R188" i="19"/>
  <c r="R168" i="19"/>
  <c r="R49" i="19"/>
  <c r="R43" i="19"/>
  <c r="R22" i="19"/>
  <c r="R154" i="19"/>
  <c r="R148" i="19"/>
  <c r="R58" i="19"/>
  <c r="R52" i="19"/>
  <c r="R13" i="19"/>
  <c r="R122" i="19"/>
  <c r="R119" i="19"/>
  <c r="R110" i="19"/>
  <c r="R25" i="19"/>
  <c r="R7" i="19"/>
  <c r="R132" i="19"/>
  <c r="R28" i="19"/>
  <c r="R10" i="19"/>
  <c r="R163" i="19"/>
  <c r="R126" i="19"/>
  <c r="R172" i="19"/>
  <c r="R77" i="19"/>
  <c r="R68" i="19"/>
  <c r="R61" i="19"/>
  <c r="R113" i="19"/>
  <c r="R104" i="19"/>
  <c r="R81" i="19"/>
  <c r="R72" i="19"/>
  <c r="R157" i="19"/>
  <c r="R19" i="19"/>
  <c r="R4" i="19"/>
  <c r="R166" i="19"/>
  <c r="R108" i="19"/>
  <c r="R92" i="19"/>
  <c r="R67" i="19"/>
  <c r="R99" i="19"/>
  <c r="R83" i="19"/>
  <c r="R74" i="19"/>
  <c r="R37" i="19"/>
  <c r="R90" i="19"/>
  <c r="R95" i="19"/>
  <c r="R34" i="19"/>
  <c r="R86" i="19"/>
  <c r="R117" i="19"/>
  <c r="R101" i="19"/>
  <c r="R190" i="18"/>
  <c r="R187" i="18"/>
  <c r="R184" i="18"/>
  <c r="R181" i="18"/>
  <c r="R178" i="18"/>
  <c r="R175" i="18"/>
  <c r="R172" i="18"/>
  <c r="R169" i="18"/>
  <c r="R166" i="18"/>
  <c r="R163" i="18"/>
  <c r="R160" i="18"/>
  <c r="R157" i="18"/>
  <c r="R154" i="18"/>
  <c r="R151" i="18"/>
  <c r="R148" i="18"/>
  <c r="R145" i="18"/>
  <c r="R185" i="18"/>
  <c r="R176" i="18"/>
  <c r="R167" i="18"/>
  <c r="R158" i="18"/>
  <c r="R149" i="18"/>
  <c r="R139" i="18"/>
  <c r="R192" i="18"/>
  <c r="R183" i="18"/>
  <c r="R174" i="18"/>
  <c r="R186" i="18"/>
  <c r="R177" i="18"/>
  <c r="R168" i="18"/>
  <c r="R191" i="18"/>
  <c r="R182" i="18"/>
  <c r="R173" i="18"/>
  <c r="R189" i="18"/>
  <c r="R155" i="18"/>
  <c r="R133" i="18"/>
  <c r="R130" i="18"/>
  <c r="S1" i="18"/>
  <c r="R180" i="18"/>
  <c r="R164" i="18"/>
  <c r="R159" i="18"/>
  <c r="R131" i="18"/>
  <c r="R150" i="18"/>
  <c r="R122" i="18"/>
  <c r="R113" i="18"/>
  <c r="R104" i="18"/>
  <c r="R95" i="18"/>
  <c r="R86" i="18"/>
  <c r="R77" i="18"/>
  <c r="R63" i="18"/>
  <c r="R54" i="18"/>
  <c r="R45" i="18"/>
  <c r="R36" i="18"/>
  <c r="R27" i="18"/>
  <c r="R18" i="18"/>
  <c r="R9" i="18"/>
  <c r="R170" i="18"/>
  <c r="R143" i="18"/>
  <c r="R141" i="18"/>
  <c r="R138" i="18"/>
  <c r="R126" i="18"/>
  <c r="R117" i="18"/>
  <c r="R108" i="18"/>
  <c r="R99" i="18"/>
  <c r="R90" i="18"/>
  <c r="R81" i="18"/>
  <c r="R72" i="18"/>
  <c r="R188" i="18"/>
  <c r="R162" i="18"/>
  <c r="R161" i="18"/>
  <c r="R67" i="18"/>
  <c r="R58" i="18"/>
  <c r="R49" i="18"/>
  <c r="R40" i="18"/>
  <c r="R31" i="18"/>
  <c r="R22" i="18"/>
  <c r="R13" i="18"/>
  <c r="R4" i="18"/>
  <c r="R165" i="18"/>
  <c r="R121" i="18"/>
  <c r="R112" i="18"/>
  <c r="R103" i="18"/>
  <c r="R94" i="18"/>
  <c r="R85" i="18"/>
  <c r="R76" i="18"/>
  <c r="R62" i="18"/>
  <c r="R53" i="18"/>
  <c r="R44" i="18"/>
  <c r="R35" i="18"/>
  <c r="R26" i="18"/>
  <c r="R17" i="18"/>
  <c r="R8" i="18"/>
  <c r="R135" i="18"/>
  <c r="R125" i="18"/>
  <c r="R116" i="18"/>
  <c r="R107" i="18"/>
  <c r="R98" i="18"/>
  <c r="R89" i="18"/>
  <c r="R80" i="18"/>
  <c r="R71" i="18"/>
  <c r="R66" i="18"/>
  <c r="R57" i="18"/>
  <c r="R48" i="18"/>
  <c r="R39" i="18"/>
  <c r="R30" i="18"/>
  <c r="R21" i="18"/>
  <c r="R12" i="18"/>
  <c r="R3" i="18"/>
  <c r="R171" i="18"/>
  <c r="R136" i="18"/>
  <c r="R134" i="18"/>
  <c r="R120" i="18"/>
  <c r="R111" i="18"/>
  <c r="R102" i="18"/>
  <c r="R146" i="18"/>
  <c r="R129" i="18"/>
  <c r="R153" i="18"/>
  <c r="R147" i="18"/>
  <c r="R142" i="18"/>
  <c r="R124" i="18"/>
  <c r="R123" i="18"/>
  <c r="R110" i="18"/>
  <c r="R75" i="18"/>
  <c r="R65" i="18"/>
  <c r="R38" i="18"/>
  <c r="R16" i="18"/>
  <c r="R10" i="18"/>
  <c r="R93" i="18"/>
  <c r="R84" i="18"/>
  <c r="R61" i="18"/>
  <c r="R51" i="18"/>
  <c r="R34" i="18"/>
  <c r="R24" i="18"/>
  <c r="R78" i="18"/>
  <c r="R68" i="18"/>
  <c r="R41" i="18"/>
  <c r="R128" i="18"/>
  <c r="R115" i="18"/>
  <c r="R114" i="18"/>
  <c r="R101" i="18"/>
  <c r="R92" i="18"/>
  <c r="R83" i="18"/>
  <c r="R47" i="18"/>
  <c r="R28" i="18"/>
  <c r="R7" i="18"/>
  <c r="R179" i="18"/>
  <c r="R152" i="18"/>
  <c r="R127" i="18"/>
  <c r="R74" i="18"/>
  <c r="R64" i="18"/>
  <c r="R37" i="18"/>
  <c r="R11" i="18"/>
  <c r="R5" i="18"/>
  <c r="R156" i="18"/>
  <c r="R140" i="18"/>
  <c r="R137" i="18"/>
  <c r="R60" i="18"/>
  <c r="R43" i="18"/>
  <c r="R33" i="18"/>
  <c r="R15" i="18"/>
  <c r="R100" i="18"/>
  <c r="R119" i="18"/>
  <c r="R106" i="18"/>
  <c r="R105" i="18"/>
  <c r="R56" i="18"/>
  <c r="R25" i="18"/>
  <c r="R19" i="18"/>
  <c r="R144" i="18"/>
  <c r="R132" i="18"/>
  <c r="R118" i="18"/>
  <c r="R97" i="18"/>
  <c r="R88" i="18"/>
  <c r="R46" i="18"/>
  <c r="R29" i="18"/>
  <c r="R23" i="18"/>
  <c r="R73" i="18"/>
  <c r="R52" i="18"/>
  <c r="R42" i="18"/>
  <c r="R6" i="18"/>
  <c r="R91" i="18"/>
  <c r="R87" i="18"/>
  <c r="R55" i="18"/>
  <c r="R14" i="18"/>
  <c r="R70" i="18"/>
  <c r="R79" i="18"/>
  <c r="R82" i="18"/>
  <c r="R109" i="18"/>
  <c r="R69" i="18"/>
  <c r="R32" i="18"/>
  <c r="R96" i="18"/>
  <c r="R50" i="18"/>
  <c r="R59" i="18"/>
  <c r="R20" i="18"/>
  <c r="S192" i="16"/>
  <c r="S189" i="16"/>
  <c r="S186" i="16"/>
  <c r="S183" i="16"/>
  <c r="S180" i="16"/>
  <c r="S177" i="16"/>
  <c r="S193" i="16"/>
  <c r="S190" i="16"/>
  <c r="S187" i="16"/>
  <c r="S184" i="16"/>
  <c r="S181" i="16"/>
  <c r="S178" i="16"/>
  <c r="S132" i="16"/>
  <c r="S135" i="16"/>
  <c r="S188" i="16"/>
  <c r="S176" i="16"/>
  <c r="S138" i="16"/>
  <c r="S133" i="16"/>
  <c r="S130" i="16"/>
  <c r="S141" i="16"/>
  <c r="S136" i="16"/>
  <c r="S68" i="16"/>
  <c r="S65" i="16"/>
  <c r="S62" i="16"/>
  <c r="S59" i="16"/>
  <c r="S56" i="16"/>
  <c r="S53" i="16"/>
  <c r="S50" i="16"/>
  <c r="S47" i="16"/>
  <c r="S44" i="16"/>
  <c r="S41" i="16"/>
  <c r="S38" i="16"/>
  <c r="S35" i="16"/>
  <c r="S32" i="16"/>
  <c r="S29" i="16"/>
  <c r="S26" i="16"/>
  <c r="S23" i="16"/>
  <c r="S20" i="16"/>
  <c r="S17" i="16"/>
  <c r="S14" i="16"/>
  <c r="S11" i="16"/>
  <c r="S8" i="16"/>
  <c r="S5" i="16"/>
  <c r="S185" i="16"/>
  <c r="S134" i="16"/>
  <c r="S131" i="16"/>
  <c r="S142" i="16"/>
  <c r="S123" i="16"/>
  <c r="S114" i="16"/>
  <c r="S105" i="16"/>
  <c r="S96" i="16"/>
  <c r="S87" i="16"/>
  <c r="S78" i="16"/>
  <c r="S67" i="16"/>
  <c r="S66" i="16"/>
  <c r="S64" i="16"/>
  <c r="S63" i="16"/>
  <c r="S61" i="16"/>
  <c r="S60" i="16"/>
  <c r="S58" i="16"/>
  <c r="S57" i="16"/>
  <c r="S55" i="16"/>
  <c r="S39" i="16"/>
  <c r="S34" i="16"/>
  <c r="S30" i="16"/>
  <c r="S28" i="16"/>
  <c r="S182" i="16"/>
  <c r="S169" i="16"/>
  <c r="S160" i="16"/>
  <c r="S151" i="16"/>
  <c r="S129" i="16"/>
  <c r="S119" i="16"/>
  <c r="S110" i="16"/>
  <c r="S101" i="16"/>
  <c r="S92" i="16"/>
  <c r="S83" i="16"/>
  <c r="S74" i="16"/>
  <c r="S69" i="16"/>
  <c r="S48" i="16"/>
  <c r="S15" i="16"/>
  <c r="S13" i="16"/>
  <c r="S167" i="16"/>
  <c r="S158" i="16"/>
  <c r="S149" i="16"/>
  <c r="S140" i="16"/>
  <c r="S127" i="16"/>
  <c r="S75" i="16"/>
  <c r="S54" i="16"/>
  <c r="S49" i="16"/>
  <c r="S46" i="16"/>
  <c r="S42" i="16"/>
  <c r="S40" i="16"/>
  <c r="S37" i="16"/>
  <c r="S174" i="16"/>
  <c r="S165" i="16"/>
  <c r="S156" i="16"/>
  <c r="S147" i="16"/>
  <c r="S124" i="16"/>
  <c r="S115" i="16"/>
  <c r="S106" i="16"/>
  <c r="S97" i="16"/>
  <c r="S88" i="16"/>
  <c r="S79" i="16"/>
  <c r="S70" i="16"/>
  <c r="S111" i="16"/>
  <c r="S93" i="16"/>
  <c r="S120" i="16"/>
  <c r="S102" i="16"/>
  <c r="S84" i="16"/>
  <c r="S18" i="16"/>
  <c r="S172" i="16"/>
  <c r="S163" i="16"/>
  <c r="S154" i="16"/>
  <c r="S145" i="16"/>
  <c r="S143" i="16"/>
  <c r="S125" i="16"/>
  <c r="S116" i="16"/>
  <c r="S107" i="16"/>
  <c r="S98" i="16"/>
  <c r="S89" i="16"/>
  <c r="S80" i="16"/>
  <c r="S71" i="16"/>
  <c r="S109" i="16"/>
  <c r="S82" i="16"/>
  <c r="S36" i="16"/>
  <c r="S16" i="16"/>
  <c r="S9" i="16"/>
  <c r="S7" i="16"/>
  <c r="S6" i="16"/>
  <c r="S4" i="16"/>
  <c r="S170" i="16"/>
  <c r="S161" i="16"/>
  <c r="S152" i="16"/>
  <c r="S139" i="16"/>
  <c r="S108" i="16"/>
  <c r="S81" i="16"/>
  <c r="T1" i="16"/>
  <c r="S45" i="16"/>
  <c r="S43" i="16"/>
  <c r="S12" i="16"/>
  <c r="S10" i="16"/>
  <c r="S168" i="16"/>
  <c r="S159" i="16"/>
  <c r="S150" i="16"/>
  <c r="S128" i="16"/>
  <c r="S121" i="16"/>
  <c r="S112" i="16"/>
  <c r="S103" i="16"/>
  <c r="S94" i="16"/>
  <c r="S85" i="16"/>
  <c r="S76" i="16"/>
  <c r="S117" i="16"/>
  <c r="S72" i="16"/>
  <c r="S118" i="16"/>
  <c r="S100" i="16"/>
  <c r="S91" i="16"/>
  <c r="S52" i="16"/>
  <c r="S21" i="16"/>
  <c r="S19" i="16"/>
  <c r="S99" i="16"/>
  <c r="S90" i="16"/>
  <c r="S3" i="16"/>
  <c r="S191" i="16"/>
  <c r="S175" i="16"/>
  <c r="S166" i="16"/>
  <c r="S157" i="16"/>
  <c r="S148" i="16"/>
  <c r="S137" i="16"/>
  <c r="S126" i="16"/>
  <c r="S122" i="16"/>
  <c r="S113" i="16"/>
  <c r="S104" i="16"/>
  <c r="S95" i="16"/>
  <c r="S86" i="16"/>
  <c r="S77" i="16"/>
  <c r="S73" i="16"/>
  <c r="S24" i="16"/>
  <c r="S22" i="16"/>
  <c r="S179" i="16"/>
  <c r="S173" i="16"/>
  <c r="S164" i="16"/>
  <c r="S155" i="16"/>
  <c r="S146" i="16"/>
  <c r="S171" i="16"/>
  <c r="S162" i="16"/>
  <c r="S153" i="16"/>
  <c r="S144" i="16"/>
  <c r="S51" i="16"/>
  <c r="S33" i="16"/>
  <c r="S31" i="16"/>
  <c r="S27" i="16"/>
  <c r="S25" i="16"/>
  <c r="R176" i="26"/>
  <c r="R173" i="26"/>
  <c r="R170" i="26"/>
  <c r="R167" i="26"/>
  <c r="R164" i="26"/>
  <c r="R161" i="26"/>
  <c r="R174" i="26"/>
  <c r="R171" i="26"/>
  <c r="R168" i="26"/>
  <c r="R165" i="26"/>
  <c r="R162" i="26"/>
  <c r="R159" i="26"/>
  <c r="R175" i="26"/>
  <c r="R172" i="26"/>
  <c r="R169" i="26"/>
  <c r="R166" i="26"/>
  <c r="R163" i="26"/>
  <c r="R160" i="26"/>
  <c r="R155" i="26"/>
  <c r="R152" i="26"/>
  <c r="R149" i="26"/>
  <c r="R146" i="26"/>
  <c r="R143" i="26"/>
  <c r="R140" i="26"/>
  <c r="R137" i="26"/>
  <c r="R134" i="26"/>
  <c r="R131" i="26"/>
  <c r="R158" i="26"/>
  <c r="R156" i="26"/>
  <c r="R153" i="26"/>
  <c r="R150" i="26"/>
  <c r="R147" i="26"/>
  <c r="R144" i="26"/>
  <c r="R141" i="26"/>
  <c r="R138" i="26"/>
  <c r="R135" i="26"/>
  <c r="R157" i="26"/>
  <c r="R154" i="26"/>
  <c r="R151" i="26"/>
  <c r="R148" i="26"/>
  <c r="R145" i="26"/>
  <c r="R142" i="26"/>
  <c r="R139" i="26"/>
  <c r="R136" i="26"/>
  <c r="R133" i="26"/>
  <c r="R129" i="26"/>
  <c r="R132" i="26"/>
  <c r="R127" i="26"/>
  <c r="R123" i="26"/>
  <c r="R114" i="26"/>
  <c r="R110" i="26"/>
  <c r="R107" i="26"/>
  <c r="R104" i="26"/>
  <c r="R101" i="26"/>
  <c r="R98" i="26"/>
  <c r="R95" i="26"/>
  <c r="R92" i="26"/>
  <c r="R89" i="26"/>
  <c r="R86" i="26"/>
  <c r="R83" i="26"/>
  <c r="R80" i="26"/>
  <c r="R77" i="26"/>
  <c r="R74" i="26"/>
  <c r="R71" i="26"/>
  <c r="R128" i="26"/>
  <c r="R124" i="26"/>
  <c r="R115" i="26"/>
  <c r="R111" i="26"/>
  <c r="R108" i="26"/>
  <c r="R105" i="26"/>
  <c r="R102" i="26"/>
  <c r="R99" i="26"/>
  <c r="R96" i="26"/>
  <c r="R93" i="26"/>
  <c r="R90" i="26"/>
  <c r="R87" i="26"/>
  <c r="R84" i="26"/>
  <c r="R81" i="26"/>
  <c r="R78" i="26"/>
  <c r="R75" i="26"/>
  <c r="R72" i="26"/>
  <c r="R69" i="26"/>
  <c r="R66" i="26"/>
  <c r="R63" i="26"/>
  <c r="R60" i="26"/>
  <c r="R57" i="26"/>
  <c r="R54" i="26"/>
  <c r="R51" i="26"/>
  <c r="R125" i="26"/>
  <c r="R70" i="26"/>
  <c r="R67" i="26"/>
  <c r="R64" i="26"/>
  <c r="R61" i="26"/>
  <c r="R58" i="26"/>
  <c r="R55" i="26"/>
  <c r="R116" i="26"/>
  <c r="R113" i="26"/>
  <c r="R109" i="26"/>
  <c r="R106" i="26"/>
  <c r="R103" i="26"/>
  <c r="R100" i="26"/>
  <c r="R97" i="26"/>
  <c r="R94" i="26"/>
  <c r="R91" i="26"/>
  <c r="R88" i="26"/>
  <c r="R85" i="26"/>
  <c r="R82" i="26"/>
  <c r="R79" i="26"/>
  <c r="R76" i="26"/>
  <c r="R73" i="26"/>
  <c r="R68" i="26"/>
  <c r="R59" i="26"/>
  <c r="R48" i="26"/>
  <c r="R45" i="26"/>
  <c r="R42" i="26"/>
  <c r="R39" i="26"/>
  <c r="R36" i="26"/>
  <c r="R33" i="26"/>
  <c r="R30" i="26"/>
  <c r="R27" i="26"/>
  <c r="R24" i="26"/>
  <c r="R21" i="26"/>
  <c r="R18" i="26"/>
  <c r="R15" i="26"/>
  <c r="R12" i="26"/>
  <c r="R9" i="26"/>
  <c r="R6" i="26"/>
  <c r="R3" i="26"/>
  <c r="R62" i="26"/>
  <c r="R53" i="26"/>
  <c r="R49" i="26"/>
  <c r="R46" i="26"/>
  <c r="R43" i="26"/>
  <c r="R40" i="26"/>
  <c r="R37" i="26"/>
  <c r="R34" i="26"/>
  <c r="R31" i="26"/>
  <c r="R28" i="26"/>
  <c r="R25" i="26"/>
  <c r="R22" i="26"/>
  <c r="R19" i="26"/>
  <c r="R16" i="26"/>
  <c r="R13" i="26"/>
  <c r="R10" i="26"/>
  <c r="R7" i="26"/>
  <c r="R4" i="26"/>
  <c r="R65" i="26"/>
  <c r="R56" i="26"/>
  <c r="R50" i="26"/>
  <c r="R47" i="26"/>
  <c r="R44" i="26"/>
  <c r="R41" i="26"/>
  <c r="R38" i="26"/>
  <c r="R35" i="26"/>
  <c r="R32" i="26"/>
  <c r="R29" i="26"/>
  <c r="R26" i="26"/>
  <c r="R23" i="26"/>
  <c r="R20" i="26"/>
  <c r="R17" i="26"/>
  <c r="R14" i="26"/>
  <c r="R11" i="26"/>
  <c r="R8" i="26"/>
  <c r="R5" i="26"/>
  <c r="R130" i="26"/>
  <c r="R52" i="26"/>
  <c r="S1" i="26"/>
  <c r="U190" i="17"/>
  <c r="U181" i="17"/>
  <c r="U172" i="17"/>
  <c r="U163" i="17"/>
  <c r="U154" i="17"/>
  <c r="U138" i="17"/>
  <c r="U189" i="17"/>
  <c r="U180" i="17"/>
  <c r="U184" i="17"/>
  <c r="U175" i="17"/>
  <c r="U166" i="17"/>
  <c r="U157" i="17"/>
  <c r="U134" i="17"/>
  <c r="U192" i="17"/>
  <c r="U186" i="17"/>
  <c r="U176" i="17"/>
  <c r="U173" i="17"/>
  <c r="U167" i="17"/>
  <c r="U164" i="17"/>
  <c r="U158" i="17"/>
  <c r="U155" i="17"/>
  <c r="U149" i="17"/>
  <c r="U120" i="17"/>
  <c r="U111" i="17"/>
  <c r="U102" i="17"/>
  <c r="U124" i="17"/>
  <c r="U115" i="17"/>
  <c r="U106" i="17"/>
  <c r="U97" i="17"/>
  <c r="U91" i="17"/>
  <c r="U89" i="17"/>
  <c r="U86" i="17"/>
  <c r="U83" i="17"/>
  <c r="U80" i="17"/>
  <c r="U77" i="17"/>
  <c r="U74" i="17"/>
  <c r="U71" i="17"/>
  <c r="U179" i="17"/>
  <c r="U174" i="17"/>
  <c r="U165" i="17"/>
  <c r="U156" i="17"/>
  <c r="U128" i="17"/>
  <c r="U119" i="17"/>
  <c r="U110" i="17"/>
  <c r="U101" i="17"/>
  <c r="U93" i="17"/>
  <c r="U183" i="17"/>
  <c r="U177" i="17"/>
  <c r="U171" i="17"/>
  <c r="U168" i="17"/>
  <c r="U162" i="17"/>
  <c r="U159" i="17"/>
  <c r="U153" i="17"/>
  <c r="U150" i="17"/>
  <c r="U123" i="17"/>
  <c r="U114" i="17"/>
  <c r="U105" i="17"/>
  <c r="U96" i="17"/>
  <c r="U133" i="17"/>
  <c r="U132" i="17"/>
  <c r="U66" i="17"/>
  <c r="U63" i="17"/>
  <c r="U60" i="17"/>
  <c r="U57" i="17"/>
  <c r="U54" i="17"/>
  <c r="U51" i="17"/>
  <c r="U48" i="17"/>
  <c r="U45" i="17"/>
  <c r="U42" i="17"/>
  <c r="U39" i="17"/>
  <c r="U36" i="17"/>
  <c r="U33" i="17"/>
  <c r="U30" i="17"/>
  <c r="U27" i="17"/>
  <c r="U24" i="17"/>
  <c r="U21" i="17"/>
  <c r="U18" i="17"/>
  <c r="U15" i="17"/>
  <c r="U12" i="17"/>
  <c r="U9" i="17"/>
  <c r="U6" i="17"/>
  <c r="U3" i="17"/>
  <c r="U187" i="17"/>
  <c r="U185" i="17"/>
  <c r="U135" i="17"/>
  <c r="U127" i="17"/>
  <c r="U118" i="17"/>
  <c r="U109" i="17"/>
  <c r="U100" i="17"/>
  <c r="U87" i="17"/>
  <c r="U84" i="17"/>
  <c r="U81" i="17"/>
  <c r="U78" i="17"/>
  <c r="U75" i="17"/>
  <c r="U72" i="17"/>
  <c r="U69" i="17"/>
  <c r="U169" i="17"/>
  <c r="U160" i="17"/>
  <c r="U151" i="17"/>
  <c r="U142" i="17"/>
  <c r="U139" i="17"/>
  <c r="U131" i="17"/>
  <c r="U126" i="17"/>
  <c r="U117" i="17"/>
  <c r="U108" i="17"/>
  <c r="U99" i="17"/>
  <c r="U148" i="17"/>
  <c r="U145" i="17"/>
  <c r="U141" i="17"/>
  <c r="U140" i="17"/>
  <c r="U92" i="17"/>
  <c r="U67" i="17"/>
  <c r="U64" i="17"/>
  <c r="U61" i="17"/>
  <c r="U58" i="17"/>
  <c r="U55" i="17"/>
  <c r="U52" i="17"/>
  <c r="U49" i="17"/>
  <c r="U46" i="17"/>
  <c r="U43" i="17"/>
  <c r="U40" i="17"/>
  <c r="U37" i="17"/>
  <c r="U34" i="17"/>
  <c r="U31" i="17"/>
  <c r="U28" i="17"/>
  <c r="U25" i="17"/>
  <c r="U22" i="17"/>
  <c r="U178" i="17"/>
  <c r="U147" i="17"/>
  <c r="U146" i="17"/>
  <c r="U144" i="17"/>
  <c r="U143" i="17"/>
  <c r="U121" i="17"/>
  <c r="U112" i="17"/>
  <c r="U103" i="17"/>
  <c r="U94" i="17"/>
  <c r="U88" i="17"/>
  <c r="U85" i="17"/>
  <c r="U82" i="17"/>
  <c r="U79" i="17"/>
  <c r="U76" i="17"/>
  <c r="U73" i="17"/>
  <c r="U70" i="17"/>
  <c r="U137" i="17"/>
  <c r="U122" i="17"/>
  <c r="U113" i="17"/>
  <c r="U104" i="17"/>
  <c r="U95" i="17"/>
  <c r="U90" i="17"/>
  <c r="U13" i="17"/>
  <c r="U4" i="17"/>
  <c r="U161" i="17"/>
  <c r="V1" i="17"/>
  <c r="U129" i="17"/>
  <c r="U14" i="17"/>
  <c r="U5" i="17"/>
  <c r="U191" i="17"/>
  <c r="U188" i="17"/>
  <c r="U170" i="17"/>
  <c r="U125" i="17"/>
  <c r="U116" i="17"/>
  <c r="U107" i="17"/>
  <c r="U98" i="17"/>
  <c r="U16" i="17"/>
  <c r="U136" i="17"/>
  <c r="U17" i="17"/>
  <c r="U8" i="17"/>
  <c r="U182" i="17"/>
  <c r="U130" i="17"/>
  <c r="U11" i="17"/>
  <c r="U7" i="17"/>
  <c r="U65" i="17"/>
  <c r="U56" i="17"/>
  <c r="U47" i="17"/>
  <c r="U38" i="17"/>
  <c r="U29" i="17"/>
  <c r="U10" i="17"/>
  <c r="U20" i="17"/>
  <c r="U19" i="17"/>
  <c r="U62" i="17"/>
  <c r="U53" i="17"/>
  <c r="U44" i="17"/>
  <c r="U35" i="17"/>
  <c r="U26" i="17"/>
  <c r="U68" i="17"/>
  <c r="U59" i="17"/>
  <c r="U50" i="17"/>
  <c r="U41" i="17"/>
  <c r="U32" i="17"/>
  <c r="U23" i="17"/>
  <c r="U152" i="17"/>
  <c r="R134" i="21"/>
  <c r="R137" i="21"/>
  <c r="R188" i="21"/>
  <c r="R185" i="21"/>
  <c r="R182" i="21"/>
  <c r="R179" i="21"/>
  <c r="R176" i="21"/>
  <c r="R173" i="21"/>
  <c r="R170" i="21"/>
  <c r="R167" i="21"/>
  <c r="R164" i="21"/>
  <c r="R161" i="21"/>
  <c r="R158" i="21"/>
  <c r="R155" i="21"/>
  <c r="R152" i="21"/>
  <c r="R149" i="21"/>
  <c r="R146" i="21"/>
  <c r="R143" i="21"/>
  <c r="R140" i="21"/>
  <c r="R132" i="21"/>
  <c r="R124" i="21"/>
  <c r="R121" i="21"/>
  <c r="R118" i="21"/>
  <c r="R115" i="21"/>
  <c r="R112" i="21"/>
  <c r="R127" i="21"/>
  <c r="R186" i="21"/>
  <c r="R183" i="21"/>
  <c r="R180" i="21"/>
  <c r="R177" i="21"/>
  <c r="R174" i="21"/>
  <c r="R171" i="21"/>
  <c r="R168" i="21"/>
  <c r="R165" i="21"/>
  <c r="R162" i="21"/>
  <c r="R159" i="21"/>
  <c r="R156" i="21"/>
  <c r="R153" i="21"/>
  <c r="R150" i="21"/>
  <c r="R147" i="21"/>
  <c r="R144" i="21"/>
  <c r="R141" i="21"/>
  <c r="R133" i="21"/>
  <c r="R128" i="21"/>
  <c r="R125" i="21"/>
  <c r="R187" i="21"/>
  <c r="R184" i="21"/>
  <c r="R181" i="21"/>
  <c r="R178" i="21"/>
  <c r="R175" i="21"/>
  <c r="R172" i="21"/>
  <c r="R169" i="21"/>
  <c r="R166" i="21"/>
  <c r="R122" i="21"/>
  <c r="R119" i="21"/>
  <c r="R116" i="21"/>
  <c r="R113" i="21"/>
  <c r="R157" i="21"/>
  <c r="R151" i="21"/>
  <c r="R142" i="21"/>
  <c r="R110" i="21"/>
  <c r="R107" i="21"/>
  <c r="R104" i="21"/>
  <c r="R101" i="21"/>
  <c r="R98" i="21"/>
  <c r="R95" i="21"/>
  <c r="R92" i="21"/>
  <c r="R89" i="21"/>
  <c r="R86" i="21"/>
  <c r="R83" i="21"/>
  <c r="R80" i="21"/>
  <c r="R77" i="21"/>
  <c r="R74" i="21"/>
  <c r="R71" i="21"/>
  <c r="R68" i="21"/>
  <c r="R65" i="21"/>
  <c r="R62" i="21"/>
  <c r="R59" i="21"/>
  <c r="R56" i="21"/>
  <c r="R53" i="21"/>
  <c r="R50" i="21"/>
  <c r="R47" i="21"/>
  <c r="R44" i="21"/>
  <c r="R41" i="21"/>
  <c r="R38" i="21"/>
  <c r="R35" i="21"/>
  <c r="R32" i="21"/>
  <c r="R29" i="21"/>
  <c r="R26" i="21"/>
  <c r="R23" i="21"/>
  <c r="R20" i="21"/>
  <c r="R17" i="21"/>
  <c r="R130" i="21"/>
  <c r="R160" i="21"/>
  <c r="R139" i="21"/>
  <c r="R123" i="21"/>
  <c r="R120" i="21"/>
  <c r="R117" i="21"/>
  <c r="R114" i="21"/>
  <c r="R111" i="21"/>
  <c r="R43" i="21"/>
  <c r="R39" i="21"/>
  <c r="R34" i="21"/>
  <c r="R30" i="21"/>
  <c r="R25" i="21"/>
  <c r="R21" i="21"/>
  <c r="R109" i="21"/>
  <c r="R106" i="21"/>
  <c r="R103" i="21"/>
  <c r="R100" i="21"/>
  <c r="R97" i="21"/>
  <c r="R94" i="21"/>
  <c r="R91" i="21"/>
  <c r="R88" i="21"/>
  <c r="R85" i="21"/>
  <c r="R82" i="21"/>
  <c r="R79" i="21"/>
  <c r="R76" i="21"/>
  <c r="R73" i="21"/>
  <c r="R70" i="21"/>
  <c r="R67" i="21"/>
  <c r="R64" i="21"/>
  <c r="R61" i="21"/>
  <c r="R58" i="21"/>
  <c r="R55" i="21"/>
  <c r="R52" i="21"/>
  <c r="R108" i="21"/>
  <c r="R105" i="21"/>
  <c r="R102" i="21"/>
  <c r="R99" i="21"/>
  <c r="R96" i="21"/>
  <c r="R93" i="21"/>
  <c r="R90" i="21"/>
  <c r="R87" i="21"/>
  <c r="R84" i="21"/>
  <c r="R81" i="21"/>
  <c r="R78" i="21"/>
  <c r="R75" i="21"/>
  <c r="R72" i="21"/>
  <c r="R69" i="21"/>
  <c r="R66" i="21"/>
  <c r="R63" i="21"/>
  <c r="R60" i="21"/>
  <c r="R57" i="21"/>
  <c r="R54" i="21"/>
  <c r="R45" i="21"/>
  <c r="R40" i="21"/>
  <c r="R36" i="21"/>
  <c r="R31" i="21"/>
  <c r="R27" i="21"/>
  <c r="R22" i="21"/>
  <c r="R18" i="21"/>
  <c r="R163" i="21"/>
  <c r="R51" i="21"/>
  <c r="R154" i="21"/>
  <c r="R145" i="21"/>
  <c r="R138" i="21"/>
  <c r="R135" i="21"/>
  <c r="R14" i="21"/>
  <c r="R11" i="21"/>
  <c r="R8" i="21"/>
  <c r="R5" i="21"/>
  <c r="R49" i="21"/>
  <c r="R46" i="21"/>
  <c r="R42" i="21"/>
  <c r="R37" i="21"/>
  <c r="R33" i="21"/>
  <c r="R28" i="21"/>
  <c r="R24" i="21"/>
  <c r="R19" i="21"/>
  <c r="R148" i="21"/>
  <c r="R136" i="21"/>
  <c r="R129" i="21"/>
  <c r="R13" i="21"/>
  <c r="R4" i="21"/>
  <c r="R10" i="21"/>
  <c r="R131" i="21"/>
  <c r="R9" i="21"/>
  <c r="S1" i="21"/>
  <c r="R16" i="21"/>
  <c r="R3" i="21"/>
  <c r="R48" i="21"/>
  <c r="R12" i="21"/>
  <c r="R6" i="21"/>
  <c r="R126" i="21"/>
  <c r="R7" i="21"/>
  <c r="R15" i="21"/>
  <c r="T190" i="20"/>
  <c r="T187" i="20"/>
  <c r="T184" i="20"/>
  <c r="T181" i="20"/>
  <c r="T178" i="20"/>
  <c r="T175" i="20"/>
  <c r="T172" i="20"/>
  <c r="T169" i="20"/>
  <c r="T166" i="20"/>
  <c r="T163" i="20"/>
  <c r="T160" i="20"/>
  <c r="T157" i="20"/>
  <c r="T188" i="20"/>
  <c r="T185" i="20"/>
  <c r="T182" i="20"/>
  <c r="T179" i="20"/>
  <c r="T176" i="20"/>
  <c r="T173" i="20"/>
  <c r="T170" i="20"/>
  <c r="T167" i="20"/>
  <c r="T164" i="20"/>
  <c r="T161" i="20"/>
  <c r="T158" i="20"/>
  <c r="T155" i="20"/>
  <c r="T189" i="20"/>
  <c r="T186" i="20"/>
  <c r="T183" i="20"/>
  <c r="T180" i="20"/>
  <c r="T177" i="20"/>
  <c r="T174" i="20"/>
  <c r="T171" i="20"/>
  <c r="T168" i="20"/>
  <c r="T165" i="20"/>
  <c r="T162" i="20"/>
  <c r="T159" i="20"/>
  <c r="T156" i="20"/>
  <c r="T153" i="20"/>
  <c r="T143" i="20"/>
  <c r="T124" i="20"/>
  <c r="T121" i="20"/>
  <c r="T118" i="20"/>
  <c r="T115" i="20"/>
  <c r="T112" i="20"/>
  <c r="T109" i="20"/>
  <c r="T106" i="20"/>
  <c r="T103" i="20"/>
  <c r="T100" i="20"/>
  <c r="T97" i="20"/>
  <c r="T94" i="20"/>
  <c r="T91" i="20"/>
  <c r="T88" i="20"/>
  <c r="T85" i="20"/>
  <c r="T82" i="20"/>
  <c r="T79" i="20"/>
  <c r="T76" i="20"/>
  <c r="T73" i="20"/>
  <c r="T70" i="20"/>
  <c r="T144" i="20"/>
  <c r="T141" i="20"/>
  <c r="T125" i="20"/>
  <c r="T122" i="20"/>
  <c r="T119" i="20"/>
  <c r="T116" i="20"/>
  <c r="T113" i="20"/>
  <c r="T110" i="20"/>
  <c r="T107" i="20"/>
  <c r="T104" i="20"/>
  <c r="T101" i="20"/>
  <c r="T98" i="20"/>
  <c r="T95" i="20"/>
  <c r="T92" i="20"/>
  <c r="T89" i="20"/>
  <c r="T86" i="20"/>
  <c r="T83" i="20"/>
  <c r="T80" i="20"/>
  <c r="T77" i="20"/>
  <c r="T74" i="20"/>
  <c r="T71" i="20"/>
  <c r="T149" i="20"/>
  <c r="T131" i="20"/>
  <c r="T142" i="20"/>
  <c r="T126" i="20"/>
  <c r="T117" i="20"/>
  <c r="T108" i="20"/>
  <c r="T99" i="20"/>
  <c r="T90" i="20"/>
  <c r="T81" i="20"/>
  <c r="T72" i="20"/>
  <c r="T68" i="20"/>
  <c r="T151" i="20"/>
  <c r="T136" i="20"/>
  <c r="T130" i="20"/>
  <c r="T152" i="20"/>
  <c r="T145" i="20"/>
  <c r="T135" i="20"/>
  <c r="T120" i="20"/>
  <c r="T111" i="20"/>
  <c r="T102" i="20"/>
  <c r="T93" i="20"/>
  <c r="T84" i="20"/>
  <c r="T75" i="20"/>
  <c r="T139" i="20"/>
  <c r="T128" i="20"/>
  <c r="T148" i="20"/>
  <c r="T137" i="20"/>
  <c r="T35" i="20"/>
  <c r="T32" i="20"/>
  <c r="T29" i="20"/>
  <c r="T26" i="20"/>
  <c r="T23" i="20"/>
  <c r="T20" i="20"/>
  <c r="T17" i="20"/>
  <c r="T14" i="20"/>
  <c r="T11" i="20"/>
  <c r="T8" i="20"/>
  <c r="T5" i="20"/>
  <c r="T146" i="20"/>
  <c r="T57" i="20"/>
  <c r="T48" i="20"/>
  <c r="T39" i="20"/>
  <c r="T134" i="20"/>
  <c r="T52" i="20"/>
  <c r="T43" i="20"/>
  <c r="T154" i="20"/>
  <c r="T147" i="20"/>
  <c r="T133" i="20"/>
  <c r="T123" i="20"/>
  <c r="T105" i="20"/>
  <c r="T132" i="20"/>
  <c r="T96" i="20"/>
  <c r="T56" i="20"/>
  <c r="T47" i="20"/>
  <c r="T38" i="20"/>
  <c r="T150" i="20"/>
  <c r="T51" i="20"/>
  <c r="T42" i="20"/>
  <c r="T67" i="20"/>
  <c r="T66" i="20"/>
  <c r="T64" i="20"/>
  <c r="T63" i="20"/>
  <c r="T61" i="20"/>
  <c r="T60" i="20"/>
  <c r="T55" i="20"/>
  <c r="T46" i="20"/>
  <c r="T140" i="20"/>
  <c r="T129" i="20"/>
  <c r="T114" i="20"/>
  <c r="T65" i="20"/>
  <c r="T62" i="20"/>
  <c r="T37" i="20"/>
  <c r="T34" i="20"/>
  <c r="T31" i="20"/>
  <c r="T28" i="20"/>
  <c r="T25" i="20"/>
  <c r="T22" i="20"/>
  <c r="T19" i="20"/>
  <c r="T16" i="20"/>
  <c r="T13" i="20"/>
  <c r="T10" i="20"/>
  <c r="T7" i="20"/>
  <c r="T4" i="20"/>
  <c r="T59" i="20"/>
  <c r="T50" i="20"/>
  <c r="T41" i="20"/>
  <c r="T54" i="20"/>
  <c r="T45" i="20"/>
  <c r="U1" i="20"/>
  <c r="T36" i="20"/>
  <c r="T33" i="20"/>
  <c r="T30" i="20"/>
  <c r="T78" i="20"/>
  <c r="T53" i="20"/>
  <c r="T40" i="20"/>
  <c r="T44" i="20"/>
  <c r="T87" i="20"/>
  <c r="T27" i="20"/>
  <c r="T24" i="20"/>
  <c r="T21" i="20"/>
  <c r="T18" i="20"/>
  <c r="T15" i="20"/>
  <c r="T12" i="20"/>
  <c r="T9" i="20"/>
  <c r="T6" i="20"/>
  <c r="T3" i="20"/>
  <c r="T69" i="20"/>
  <c r="T49" i="20"/>
  <c r="T138" i="20"/>
  <c r="T58" i="20"/>
  <c r="T127" i="20"/>
  <c r="S178" i="25"/>
  <c r="S179" i="25"/>
  <c r="S176" i="25"/>
  <c r="S173" i="25"/>
  <c r="S170" i="25"/>
  <c r="S167" i="25"/>
  <c r="S164" i="25"/>
  <c r="S161" i="25"/>
  <c r="S158" i="25"/>
  <c r="S155" i="25"/>
  <c r="S152" i="25"/>
  <c r="S149" i="25"/>
  <c r="S146" i="25"/>
  <c r="S143" i="25"/>
  <c r="S140" i="25"/>
  <c r="S137" i="25"/>
  <c r="S174" i="25"/>
  <c r="S171" i="25"/>
  <c r="S168" i="25"/>
  <c r="S165" i="25"/>
  <c r="S162" i="25"/>
  <c r="S159" i="25"/>
  <c r="S156" i="25"/>
  <c r="S153" i="25"/>
  <c r="S150" i="25"/>
  <c r="S147" i="25"/>
  <c r="S144" i="25"/>
  <c r="S141" i="25"/>
  <c r="S138" i="25"/>
  <c r="S135" i="25"/>
  <c r="S175" i="25"/>
  <c r="S172" i="25"/>
  <c r="S169" i="25"/>
  <c r="S166" i="25"/>
  <c r="S163" i="25"/>
  <c r="S160" i="25"/>
  <c r="S157" i="25"/>
  <c r="S154" i="25"/>
  <c r="S151" i="25"/>
  <c r="S148" i="25"/>
  <c r="S145" i="25"/>
  <c r="S142" i="25"/>
  <c r="S139" i="25"/>
  <c r="S136" i="25"/>
  <c r="S177" i="25"/>
  <c r="S128" i="25"/>
  <c r="S118" i="25"/>
  <c r="S129" i="25"/>
  <c r="S126" i="25"/>
  <c r="S120" i="25"/>
  <c r="S117" i="25"/>
  <c r="S100" i="25"/>
  <c r="S133" i="25"/>
  <c r="S134" i="25"/>
  <c r="S98" i="25"/>
  <c r="S119" i="25"/>
  <c r="S116" i="25"/>
  <c r="S115" i="25"/>
  <c r="S107" i="25"/>
  <c r="S104" i="25"/>
  <c r="S111" i="25"/>
  <c r="S93" i="25"/>
  <c r="S89" i="25"/>
  <c r="S84" i="25"/>
  <c r="S80" i="25"/>
  <c r="S75" i="25"/>
  <c r="S74" i="25"/>
  <c r="S127" i="25"/>
  <c r="S110" i="25"/>
  <c r="S101" i="25"/>
  <c r="S99" i="25"/>
  <c r="S97" i="25"/>
  <c r="S94" i="25"/>
  <c r="S85" i="25"/>
  <c r="S76" i="25"/>
  <c r="S70" i="25"/>
  <c r="S67" i="25"/>
  <c r="S64" i="25"/>
  <c r="S61" i="25"/>
  <c r="S58" i="25"/>
  <c r="S55" i="25"/>
  <c r="S52" i="25"/>
  <c r="S49" i="25"/>
  <c r="S46" i="25"/>
  <c r="S73" i="25"/>
  <c r="S109" i="25"/>
  <c r="S106" i="25"/>
  <c r="S103" i="25"/>
  <c r="S95" i="25"/>
  <c r="S130" i="25"/>
  <c r="S124" i="25"/>
  <c r="S132" i="25"/>
  <c r="S108" i="25"/>
  <c r="S92" i="25"/>
  <c r="S125" i="25"/>
  <c r="S86" i="25"/>
  <c r="S82" i="25"/>
  <c r="S131" i="25"/>
  <c r="S121" i="25"/>
  <c r="S90" i="25"/>
  <c r="S78" i="25"/>
  <c r="S69" i="25"/>
  <c r="S66" i="25"/>
  <c r="S63" i="25"/>
  <c r="S60" i="25"/>
  <c r="S57" i="25"/>
  <c r="S54" i="25"/>
  <c r="S51" i="25"/>
  <c r="S48" i="25"/>
  <c r="S39" i="25"/>
  <c r="S36" i="25"/>
  <c r="S33" i="25"/>
  <c r="S30" i="25"/>
  <c r="S27" i="25"/>
  <c r="S24" i="25"/>
  <c r="S21" i="25"/>
  <c r="S18" i="25"/>
  <c r="S15" i="25"/>
  <c r="S12" i="25"/>
  <c r="S9" i="25"/>
  <c r="S105" i="25"/>
  <c r="S44" i="25"/>
  <c r="S43" i="25"/>
  <c r="S112" i="25"/>
  <c r="S83" i="25"/>
  <c r="S79" i="25"/>
  <c r="S72" i="25"/>
  <c r="S68" i="25"/>
  <c r="S65" i="25"/>
  <c r="S62" i="25"/>
  <c r="S59" i="25"/>
  <c r="S56" i="25"/>
  <c r="S53" i="25"/>
  <c r="S50" i="25"/>
  <c r="S47" i="25"/>
  <c r="S114" i="25"/>
  <c r="S91" i="25"/>
  <c r="S87" i="25"/>
  <c r="S42" i="25"/>
  <c r="S71" i="25"/>
  <c r="S45" i="25"/>
  <c r="S40" i="25"/>
  <c r="S37" i="25"/>
  <c r="S34" i="25"/>
  <c r="S31" i="25"/>
  <c r="S28" i="25"/>
  <c r="S25" i="25"/>
  <c r="S22" i="25"/>
  <c r="S19" i="25"/>
  <c r="S16" i="25"/>
  <c r="S13" i="25"/>
  <c r="S10" i="25"/>
  <c r="S81" i="25"/>
  <c r="S122" i="25"/>
  <c r="S6" i="25"/>
  <c r="S3" i="25"/>
  <c r="S41" i="25"/>
  <c r="S38" i="25"/>
  <c r="S35" i="25"/>
  <c r="S32" i="25"/>
  <c r="S29" i="25"/>
  <c r="S26" i="25"/>
  <c r="S23" i="25"/>
  <c r="S20" i="25"/>
  <c r="S17" i="25"/>
  <c r="S14" i="25"/>
  <c r="S11" i="25"/>
  <c r="S8" i="25"/>
  <c r="S7" i="25"/>
  <c r="S4" i="25"/>
  <c r="T1" i="25"/>
  <c r="S96" i="25"/>
  <c r="S123" i="25"/>
  <c r="S102" i="25"/>
  <c r="S5" i="25"/>
  <c r="S88" i="25"/>
  <c r="S113" i="25"/>
  <c r="S77" i="25"/>
  <c r="V185" i="17" l="1"/>
  <c r="V176" i="17"/>
  <c r="V167" i="17"/>
  <c r="V158" i="17"/>
  <c r="V149" i="17"/>
  <c r="V141" i="17"/>
  <c r="V184" i="17"/>
  <c r="V175" i="17"/>
  <c r="V166" i="17"/>
  <c r="V157" i="17"/>
  <c r="V134" i="17"/>
  <c r="V188" i="17"/>
  <c r="V179" i="17"/>
  <c r="V170" i="17"/>
  <c r="V161" i="17"/>
  <c r="V152" i="17"/>
  <c r="V142" i="17"/>
  <c r="V139" i="17"/>
  <c r="V129" i="17"/>
  <c r="V68" i="17"/>
  <c r="V65" i="17"/>
  <c r="V62" i="17"/>
  <c r="V59" i="17"/>
  <c r="V56" i="17"/>
  <c r="V53" i="17"/>
  <c r="V50" i="17"/>
  <c r="V47" i="17"/>
  <c r="V44" i="17"/>
  <c r="V41" i="17"/>
  <c r="V38" i="17"/>
  <c r="V35" i="17"/>
  <c r="V32" i="17"/>
  <c r="V29" i="17"/>
  <c r="V26" i="17"/>
  <c r="V23" i="17"/>
  <c r="V20" i="17"/>
  <c r="V17" i="17"/>
  <c r="V14" i="17"/>
  <c r="V11" i="17"/>
  <c r="V8" i="17"/>
  <c r="V5" i="17"/>
  <c r="V174" i="17"/>
  <c r="V165" i="17"/>
  <c r="V156" i="17"/>
  <c r="V128" i="17"/>
  <c r="V119" i="17"/>
  <c r="V110" i="17"/>
  <c r="V101" i="17"/>
  <c r="V93" i="17"/>
  <c r="V183" i="17"/>
  <c r="V177" i="17"/>
  <c r="V171" i="17"/>
  <c r="V168" i="17"/>
  <c r="V162" i="17"/>
  <c r="V159" i="17"/>
  <c r="V153" i="17"/>
  <c r="V150" i="17"/>
  <c r="V123" i="17"/>
  <c r="V114" i="17"/>
  <c r="V105" i="17"/>
  <c r="V96" i="17"/>
  <c r="V133" i="17"/>
  <c r="V132" i="17"/>
  <c r="V66" i="17"/>
  <c r="V63" i="17"/>
  <c r="V60" i="17"/>
  <c r="V57" i="17"/>
  <c r="V54" i="17"/>
  <c r="V51" i="17"/>
  <c r="V48" i="17"/>
  <c r="V45" i="17"/>
  <c r="V42" i="17"/>
  <c r="V39" i="17"/>
  <c r="V36" i="17"/>
  <c r="V33" i="17"/>
  <c r="V30" i="17"/>
  <c r="V27" i="17"/>
  <c r="V24" i="17"/>
  <c r="V21" i="17"/>
  <c r="V18" i="17"/>
  <c r="V15" i="17"/>
  <c r="V12" i="17"/>
  <c r="V9" i="17"/>
  <c r="V6" i="17"/>
  <c r="V3" i="17"/>
  <c r="V187" i="17"/>
  <c r="V181" i="17"/>
  <c r="V135" i="17"/>
  <c r="V127" i="17"/>
  <c r="V118" i="17"/>
  <c r="V109" i="17"/>
  <c r="V100" i="17"/>
  <c r="V87" i="17"/>
  <c r="V84" i="17"/>
  <c r="V81" i="17"/>
  <c r="V78" i="17"/>
  <c r="V75" i="17"/>
  <c r="V72" i="17"/>
  <c r="V69" i="17"/>
  <c r="V191" i="17"/>
  <c r="V189" i="17"/>
  <c r="V137" i="17"/>
  <c r="V136" i="17"/>
  <c r="V122" i="17"/>
  <c r="V113" i="17"/>
  <c r="V104" i="17"/>
  <c r="V95" i="17"/>
  <c r="V90" i="17"/>
  <c r="V172" i="17"/>
  <c r="V163" i="17"/>
  <c r="V154" i="17"/>
  <c r="V148" i="17"/>
  <c r="V145" i="17"/>
  <c r="V140" i="17"/>
  <c r="V138" i="17"/>
  <c r="V92" i="17"/>
  <c r="V67" i="17"/>
  <c r="V64" i="17"/>
  <c r="V61" i="17"/>
  <c r="V58" i="17"/>
  <c r="V55" i="17"/>
  <c r="V52" i="17"/>
  <c r="V49" i="17"/>
  <c r="V46" i="17"/>
  <c r="V43" i="17"/>
  <c r="V40" i="17"/>
  <c r="V37" i="17"/>
  <c r="V34" i="17"/>
  <c r="V31" i="17"/>
  <c r="V28" i="17"/>
  <c r="V25" i="17"/>
  <c r="V22" i="17"/>
  <c r="V19" i="17"/>
  <c r="V16" i="17"/>
  <c r="V13" i="17"/>
  <c r="V10" i="17"/>
  <c r="V7" i="17"/>
  <c r="V4" i="17"/>
  <c r="V178" i="17"/>
  <c r="V147" i="17"/>
  <c r="V146" i="17"/>
  <c r="V144" i="17"/>
  <c r="V143" i="17"/>
  <c r="V121" i="17"/>
  <c r="V112" i="17"/>
  <c r="V103" i="17"/>
  <c r="V94" i="17"/>
  <c r="V88" i="17"/>
  <c r="V85" i="17"/>
  <c r="V82" i="17"/>
  <c r="V79" i="17"/>
  <c r="V76" i="17"/>
  <c r="V73" i="17"/>
  <c r="V70" i="17"/>
  <c r="V182" i="17"/>
  <c r="V180" i="17"/>
  <c r="V130" i="17"/>
  <c r="V125" i="17"/>
  <c r="V116" i="17"/>
  <c r="V107" i="17"/>
  <c r="V98" i="17"/>
  <c r="W1" i="17"/>
  <c r="V124" i="17"/>
  <c r="V115" i="17"/>
  <c r="V106" i="17"/>
  <c r="V97" i="17"/>
  <c r="V131" i="17"/>
  <c r="V186" i="17"/>
  <c r="V173" i="17"/>
  <c r="V120" i="17"/>
  <c r="V111" i="17"/>
  <c r="V102" i="17"/>
  <c r="V151" i="17"/>
  <c r="V91" i="17"/>
  <c r="V160" i="17"/>
  <c r="V155" i="17"/>
  <c r="V77" i="17"/>
  <c r="V74" i="17"/>
  <c r="V190" i="17"/>
  <c r="V89" i="17"/>
  <c r="V86" i="17"/>
  <c r="V83" i="17"/>
  <c r="V80" i="17"/>
  <c r="V169" i="17"/>
  <c r="V126" i="17"/>
  <c r="V117" i="17"/>
  <c r="V108" i="17"/>
  <c r="V99" i="17"/>
  <c r="V192" i="17"/>
  <c r="V164" i="17"/>
  <c r="V71" i="17"/>
  <c r="T181" i="24"/>
  <c r="T178" i="24"/>
  <c r="T175" i="24"/>
  <c r="T172" i="24"/>
  <c r="T169" i="24"/>
  <c r="T166" i="24"/>
  <c r="T163" i="24"/>
  <c r="T160" i="24"/>
  <c r="T157" i="24"/>
  <c r="T154" i="24"/>
  <c r="T151" i="24"/>
  <c r="T148" i="24"/>
  <c r="T145" i="24"/>
  <c r="T142" i="24"/>
  <c r="T179" i="24"/>
  <c r="T176" i="24"/>
  <c r="T173" i="24"/>
  <c r="T170" i="24"/>
  <c r="T167" i="24"/>
  <c r="T164" i="24"/>
  <c r="T161" i="24"/>
  <c r="T158" i="24"/>
  <c r="T155" i="24"/>
  <c r="T152" i="24"/>
  <c r="T149" i="24"/>
  <c r="T146" i="24"/>
  <c r="T143" i="24"/>
  <c r="T140" i="24"/>
  <c r="T180" i="24"/>
  <c r="T177" i="24"/>
  <c r="T174" i="24"/>
  <c r="T171" i="24"/>
  <c r="T168" i="24"/>
  <c r="T165" i="24"/>
  <c r="T162" i="24"/>
  <c r="T159" i="24"/>
  <c r="T156" i="24"/>
  <c r="T153" i="24"/>
  <c r="T150" i="24"/>
  <c r="T147" i="24"/>
  <c r="T144" i="24"/>
  <c r="T141" i="24"/>
  <c r="T129" i="24"/>
  <c r="T124" i="24"/>
  <c r="T138" i="24"/>
  <c r="T135" i="24"/>
  <c r="T132" i="24"/>
  <c r="T116" i="24"/>
  <c r="T113" i="24"/>
  <c r="T110" i="24"/>
  <c r="T107" i="24"/>
  <c r="T104" i="24"/>
  <c r="T101" i="24"/>
  <c r="T98" i="24"/>
  <c r="T95" i="24"/>
  <c r="T92" i="24"/>
  <c r="T89" i="24"/>
  <c r="T86" i="24"/>
  <c r="T83" i="24"/>
  <c r="T80" i="24"/>
  <c r="T77" i="24"/>
  <c r="T74" i="24"/>
  <c r="T71" i="24"/>
  <c r="T68" i="24"/>
  <c r="T65" i="24"/>
  <c r="T62" i="24"/>
  <c r="T59" i="24"/>
  <c r="T56" i="24"/>
  <c r="T53" i="24"/>
  <c r="T50" i="24"/>
  <c r="T47" i="24"/>
  <c r="T44" i="24"/>
  <c r="T41" i="24"/>
  <c r="T38" i="24"/>
  <c r="T35" i="24"/>
  <c r="T32" i="24"/>
  <c r="T29" i="24"/>
  <c r="T122" i="24"/>
  <c r="T119" i="24"/>
  <c r="T127" i="24"/>
  <c r="T130" i="24"/>
  <c r="T139" i="24"/>
  <c r="T136" i="24"/>
  <c r="T133" i="24"/>
  <c r="T125" i="24"/>
  <c r="T117" i="24"/>
  <c r="T114" i="24"/>
  <c r="T111" i="24"/>
  <c r="T108" i="24"/>
  <c r="T105" i="24"/>
  <c r="T102" i="24"/>
  <c r="T99" i="24"/>
  <c r="T96" i="24"/>
  <c r="T93" i="24"/>
  <c r="T90" i="24"/>
  <c r="T87" i="24"/>
  <c r="T84" i="24"/>
  <c r="T81" i="24"/>
  <c r="T78" i="24"/>
  <c r="T75" i="24"/>
  <c r="T72" i="24"/>
  <c r="T69" i="24"/>
  <c r="T66" i="24"/>
  <c r="T63" i="24"/>
  <c r="T60" i="24"/>
  <c r="T57" i="24"/>
  <c r="T54" i="24"/>
  <c r="T51" i="24"/>
  <c r="T48" i="24"/>
  <c r="T45" i="24"/>
  <c r="T42" i="24"/>
  <c r="T39" i="24"/>
  <c r="T36" i="24"/>
  <c r="T33" i="24"/>
  <c r="T30" i="24"/>
  <c r="T120" i="24"/>
  <c r="T137" i="24"/>
  <c r="T134" i="24"/>
  <c r="T115" i="24"/>
  <c r="T112" i="24"/>
  <c r="T109" i="24"/>
  <c r="T106" i="24"/>
  <c r="T103" i="24"/>
  <c r="T100" i="24"/>
  <c r="T97" i="24"/>
  <c r="T94" i="24"/>
  <c r="T91" i="24"/>
  <c r="T88" i="24"/>
  <c r="T85" i="24"/>
  <c r="T82" i="24"/>
  <c r="T79" i="24"/>
  <c r="T76" i="24"/>
  <c r="T73" i="24"/>
  <c r="T70" i="24"/>
  <c r="T67" i="24"/>
  <c r="T64" i="24"/>
  <c r="T61" i="24"/>
  <c r="T58" i="24"/>
  <c r="T55" i="24"/>
  <c r="T52" i="24"/>
  <c r="T43" i="24"/>
  <c r="T34" i="24"/>
  <c r="T27" i="24"/>
  <c r="T24" i="24"/>
  <c r="T21" i="24"/>
  <c r="T18" i="24"/>
  <c r="T15" i="24"/>
  <c r="T12" i="24"/>
  <c r="T9" i="24"/>
  <c r="T6" i="24"/>
  <c r="T3" i="24"/>
  <c r="T131" i="24"/>
  <c r="T128" i="24"/>
  <c r="T46" i="24"/>
  <c r="T37" i="24"/>
  <c r="T123" i="24"/>
  <c r="T28" i="24"/>
  <c r="U1" i="24"/>
  <c r="T121" i="24"/>
  <c r="T23" i="24"/>
  <c r="T14" i="24"/>
  <c r="T126" i="24"/>
  <c r="T49" i="24"/>
  <c r="T40" i="24"/>
  <c r="T26" i="24"/>
  <c r="T118" i="24"/>
  <c r="T20" i="24"/>
  <c r="T7" i="24"/>
  <c r="T16" i="24"/>
  <c r="T5" i="24"/>
  <c r="T10" i="24"/>
  <c r="T19" i="24"/>
  <c r="T8" i="24"/>
  <c r="T31" i="24"/>
  <c r="T25" i="24"/>
  <c r="T11" i="24"/>
  <c r="T4" i="24"/>
  <c r="T17" i="24"/>
  <c r="T22" i="24"/>
  <c r="T13" i="24"/>
  <c r="V185" i="22"/>
  <c r="V182" i="22"/>
  <c r="V179" i="22"/>
  <c r="V176" i="22"/>
  <c r="V173" i="22"/>
  <c r="V170" i="22"/>
  <c r="V167" i="22"/>
  <c r="V164" i="22"/>
  <c r="V161" i="22"/>
  <c r="V158" i="22"/>
  <c r="V155" i="22"/>
  <c r="V152" i="22"/>
  <c r="V149" i="22"/>
  <c r="V146" i="22"/>
  <c r="V143" i="22"/>
  <c r="V140" i="22"/>
  <c r="V137" i="22"/>
  <c r="V129" i="22"/>
  <c r="V121" i="22"/>
  <c r="V118" i="22"/>
  <c r="V124" i="22"/>
  <c r="V127" i="22"/>
  <c r="V135" i="22"/>
  <c r="V132" i="22"/>
  <c r="V183" i="22"/>
  <c r="V180" i="22"/>
  <c r="V177" i="22"/>
  <c r="V174" i="22"/>
  <c r="V171" i="22"/>
  <c r="V168" i="22"/>
  <c r="V165" i="22"/>
  <c r="V162" i="22"/>
  <c r="V159" i="22"/>
  <c r="V156" i="22"/>
  <c r="V153" i="22"/>
  <c r="V150" i="22"/>
  <c r="V147" i="22"/>
  <c r="V144" i="22"/>
  <c r="V141" i="22"/>
  <c r="V138" i="22"/>
  <c r="V119" i="22"/>
  <c r="V130" i="22"/>
  <c r="V125" i="22"/>
  <c r="V122" i="22"/>
  <c r="V133" i="22"/>
  <c r="V128" i="22"/>
  <c r="V126" i="22"/>
  <c r="V123" i="22"/>
  <c r="V131" i="22"/>
  <c r="V134" i="22"/>
  <c r="V117" i="22"/>
  <c r="V114" i="22"/>
  <c r="V111" i="22"/>
  <c r="V108" i="22"/>
  <c r="V105" i="22"/>
  <c r="V102" i="22"/>
  <c r="V99" i="22"/>
  <c r="V96" i="22"/>
  <c r="V93" i="22"/>
  <c r="V90" i="22"/>
  <c r="V87" i="22"/>
  <c r="V84" i="22"/>
  <c r="V81" i="22"/>
  <c r="V78" i="22"/>
  <c r="V75" i="22"/>
  <c r="V72" i="22"/>
  <c r="V69" i="22"/>
  <c r="V66" i="22"/>
  <c r="V63" i="22"/>
  <c r="V60" i="22"/>
  <c r="V57" i="22"/>
  <c r="V54" i="22"/>
  <c r="V51" i="22"/>
  <c r="V48" i="22"/>
  <c r="V45" i="22"/>
  <c r="V42" i="22"/>
  <c r="V39" i="22"/>
  <c r="V36" i="22"/>
  <c r="V33" i="22"/>
  <c r="V30" i="22"/>
  <c r="V27" i="22"/>
  <c r="V24" i="22"/>
  <c r="V21" i="22"/>
  <c r="V18" i="22"/>
  <c r="V15" i="22"/>
  <c r="V12" i="22"/>
  <c r="V115" i="22"/>
  <c r="V112" i="22"/>
  <c r="V109" i="22"/>
  <c r="V106" i="22"/>
  <c r="V103" i="22"/>
  <c r="V100" i="22"/>
  <c r="V97" i="22"/>
  <c r="V94" i="22"/>
  <c r="V91" i="22"/>
  <c r="V88" i="22"/>
  <c r="V85" i="22"/>
  <c r="V82" i="22"/>
  <c r="V79" i="22"/>
  <c r="V76" i="22"/>
  <c r="V73" i="22"/>
  <c r="V70" i="22"/>
  <c r="V67" i="22"/>
  <c r="V64" i="22"/>
  <c r="V61" i="22"/>
  <c r="V58" i="22"/>
  <c r="V55" i="22"/>
  <c r="V52" i="22"/>
  <c r="V49" i="22"/>
  <c r="V46" i="22"/>
  <c r="V43" i="22"/>
  <c r="V40" i="22"/>
  <c r="V37" i="22"/>
  <c r="V34" i="22"/>
  <c r="V31" i="22"/>
  <c r="V28" i="22"/>
  <c r="V25" i="22"/>
  <c r="V22" i="22"/>
  <c r="V19" i="22"/>
  <c r="V16" i="22"/>
  <c r="V13" i="22"/>
  <c r="V116" i="22"/>
  <c r="V113" i="22"/>
  <c r="V110" i="22"/>
  <c r="V107" i="22"/>
  <c r="V104" i="22"/>
  <c r="V101" i="22"/>
  <c r="V98" i="22"/>
  <c r="V95" i="22"/>
  <c r="V92" i="22"/>
  <c r="V89" i="22"/>
  <c r="V86" i="22"/>
  <c r="V83" i="22"/>
  <c r="V80" i="22"/>
  <c r="V77" i="22"/>
  <c r="V74" i="22"/>
  <c r="V71" i="22"/>
  <c r="V68" i="22"/>
  <c r="V65" i="22"/>
  <c r="V62" i="22"/>
  <c r="V59" i="22"/>
  <c r="V56" i="22"/>
  <c r="V53" i="22"/>
  <c r="V50" i="22"/>
  <c r="V47" i="22"/>
  <c r="V44" i="22"/>
  <c r="V41" i="22"/>
  <c r="V38" i="22"/>
  <c r="V35" i="22"/>
  <c r="V32" i="22"/>
  <c r="V29" i="22"/>
  <c r="V26" i="22"/>
  <c r="V23" i="22"/>
  <c r="V20" i="22"/>
  <c r="V17" i="22"/>
  <c r="V14" i="22"/>
  <c r="V160" i="22"/>
  <c r="V166" i="22"/>
  <c r="V139" i="22"/>
  <c r="W1" i="22"/>
  <c r="V172" i="22"/>
  <c r="V145" i="22"/>
  <c r="V11" i="22"/>
  <c r="V8" i="22"/>
  <c r="V5" i="22"/>
  <c r="V178" i="22"/>
  <c r="V151" i="22"/>
  <c r="V184" i="22"/>
  <c r="V157" i="22"/>
  <c r="V163" i="22"/>
  <c r="V136" i="22"/>
  <c r="V9" i="22"/>
  <c r="V6" i="22"/>
  <c r="V3" i="22"/>
  <c r="V169" i="22"/>
  <c r="V142" i="22"/>
  <c r="V175" i="22"/>
  <c r="V148" i="22"/>
  <c r="V120" i="22"/>
  <c r="V4" i="22"/>
  <c r="V7" i="22"/>
  <c r="V181" i="22"/>
  <c r="V10" i="22"/>
  <c r="V154" i="22"/>
  <c r="T178" i="25"/>
  <c r="T179" i="25"/>
  <c r="T177" i="25"/>
  <c r="T175" i="25"/>
  <c r="T174" i="25"/>
  <c r="T166" i="25"/>
  <c r="T165" i="25"/>
  <c r="T157" i="25"/>
  <c r="T156" i="25"/>
  <c r="T148" i="25"/>
  <c r="T147" i="25"/>
  <c r="T139" i="25"/>
  <c r="T138" i="25"/>
  <c r="T134" i="25"/>
  <c r="T131" i="25"/>
  <c r="T173" i="25"/>
  <c r="T164" i="25"/>
  <c r="T155" i="25"/>
  <c r="T146" i="25"/>
  <c r="T137" i="25"/>
  <c r="T121" i="25"/>
  <c r="T172" i="25"/>
  <c r="T171" i="25"/>
  <c r="T163" i="25"/>
  <c r="T162" i="25"/>
  <c r="T154" i="25"/>
  <c r="T153" i="25"/>
  <c r="T145" i="25"/>
  <c r="T144" i="25"/>
  <c r="T136" i="25"/>
  <c r="T135" i="25"/>
  <c r="T132" i="25"/>
  <c r="T113" i="25"/>
  <c r="T110" i="25"/>
  <c r="T107" i="25"/>
  <c r="T104" i="25"/>
  <c r="T101" i="25"/>
  <c r="T98" i="25"/>
  <c r="T170" i="25"/>
  <c r="T161" i="25"/>
  <c r="T152" i="25"/>
  <c r="T176" i="25"/>
  <c r="T167" i="25"/>
  <c r="T158" i="25"/>
  <c r="T149" i="25"/>
  <c r="T140" i="25"/>
  <c r="T125" i="25"/>
  <c r="T169" i="25"/>
  <c r="T142" i="25"/>
  <c r="T133" i="25"/>
  <c r="T129" i="25"/>
  <c r="T99" i="25"/>
  <c r="T159" i="25"/>
  <c r="T130" i="25"/>
  <c r="T126" i="25"/>
  <c r="T168" i="25"/>
  <c r="T120" i="25"/>
  <c r="T118" i="25"/>
  <c r="T117" i="25"/>
  <c r="T111" i="25"/>
  <c r="T93" i="25"/>
  <c r="T89" i="25"/>
  <c r="T84" i="25"/>
  <c r="T80" i="25"/>
  <c r="T75" i="25"/>
  <c r="T127" i="25"/>
  <c r="T97" i="25"/>
  <c r="T94" i="25"/>
  <c r="T85" i="25"/>
  <c r="T76" i="25"/>
  <c r="T70" i="25"/>
  <c r="T67" i="25"/>
  <c r="T64" i="25"/>
  <c r="T61" i="25"/>
  <c r="T58" i="25"/>
  <c r="T55" i="25"/>
  <c r="T52" i="25"/>
  <c r="T49" i="25"/>
  <c r="T46" i="25"/>
  <c r="T151" i="25"/>
  <c r="T141" i="25"/>
  <c r="T73" i="25"/>
  <c r="T128" i="25"/>
  <c r="T109" i="25"/>
  <c r="T106" i="25"/>
  <c r="T103" i="25"/>
  <c r="T95" i="25"/>
  <c r="T90" i="25"/>
  <c r="T86" i="25"/>
  <c r="T81" i="25"/>
  <c r="T77" i="25"/>
  <c r="T119" i="25"/>
  <c r="T116" i="25"/>
  <c r="T115" i="25"/>
  <c r="T114" i="25"/>
  <c r="T91" i="25"/>
  <c r="T82" i="25"/>
  <c r="T72" i="25"/>
  <c r="T68" i="25"/>
  <c r="T65" i="25"/>
  <c r="T62" i="25"/>
  <c r="T59" i="25"/>
  <c r="T56" i="25"/>
  <c r="T53" i="25"/>
  <c r="T50" i="25"/>
  <c r="T47" i="25"/>
  <c r="T44" i="25"/>
  <c r="T112" i="25"/>
  <c r="T88" i="25"/>
  <c r="T79" i="25"/>
  <c r="T69" i="25"/>
  <c r="T66" i="25"/>
  <c r="T63" i="25"/>
  <c r="T60" i="25"/>
  <c r="T57" i="25"/>
  <c r="T54" i="25"/>
  <c r="T51" i="25"/>
  <c r="T48" i="25"/>
  <c r="T45" i="25"/>
  <c r="T42" i="25"/>
  <c r="T78" i="25"/>
  <c r="T39" i="25"/>
  <c r="T36" i="25"/>
  <c r="T33" i="25"/>
  <c r="T30" i="25"/>
  <c r="T27" i="25"/>
  <c r="T24" i="25"/>
  <c r="T21" i="25"/>
  <c r="T18" i="25"/>
  <c r="T15" i="25"/>
  <c r="T12" i="25"/>
  <c r="T9" i="25"/>
  <c r="T143" i="25"/>
  <c r="T105" i="25"/>
  <c r="T74" i="25"/>
  <c r="T43" i="25"/>
  <c r="T124" i="25"/>
  <c r="T83" i="25"/>
  <c r="T87" i="25"/>
  <c r="T150" i="25"/>
  <c r="T71" i="25"/>
  <c r="T40" i="25"/>
  <c r="T37" i="25"/>
  <c r="T34" i="25"/>
  <c r="T31" i="25"/>
  <c r="T28" i="25"/>
  <c r="T25" i="25"/>
  <c r="T22" i="25"/>
  <c r="T19" i="25"/>
  <c r="T16" i="25"/>
  <c r="T13" i="25"/>
  <c r="T10" i="25"/>
  <c r="T123" i="25"/>
  <c r="T102" i="25"/>
  <c r="T96" i="25"/>
  <c r="T122" i="25"/>
  <c r="T41" i="25"/>
  <c r="T38" i="25"/>
  <c r="T35" i="25"/>
  <c r="T32" i="25"/>
  <c r="T29" i="25"/>
  <c r="T26" i="25"/>
  <c r="T23" i="25"/>
  <c r="T20" i="25"/>
  <c r="T17" i="25"/>
  <c r="T14" i="25"/>
  <c r="T11" i="25"/>
  <c r="T8" i="25"/>
  <c r="T100" i="25"/>
  <c r="T108" i="25"/>
  <c r="T92" i="25"/>
  <c r="T7" i="25"/>
  <c r="T4" i="25"/>
  <c r="T160" i="25"/>
  <c r="U1" i="25"/>
  <c r="T5" i="25"/>
  <c r="T3" i="25"/>
  <c r="T6" i="25"/>
  <c r="T192" i="16"/>
  <c r="T189" i="16"/>
  <c r="T186" i="16"/>
  <c r="T183" i="16"/>
  <c r="T180" i="16"/>
  <c r="T177" i="16"/>
  <c r="T135" i="16"/>
  <c r="T140" i="16"/>
  <c r="T143" i="16"/>
  <c r="T188" i="16"/>
  <c r="T187" i="16"/>
  <c r="T185" i="16"/>
  <c r="T178" i="16"/>
  <c r="T174" i="16"/>
  <c r="T171" i="16"/>
  <c r="T168" i="16"/>
  <c r="T165" i="16"/>
  <c r="T162" i="16"/>
  <c r="T159" i="16"/>
  <c r="T156" i="16"/>
  <c r="T153" i="16"/>
  <c r="T150" i="16"/>
  <c r="T147" i="16"/>
  <c r="T144" i="16"/>
  <c r="T128" i="16"/>
  <c r="T125" i="16"/>
  <c r="T122" i="16"/>
  <c r="T119" i="16"/>
  <c r="T116" i="16"/>
  <c r="T113" i="16"/>
  <c r="T110" i="16"/>
  <c r="T107" i="16"/>
  <c r="T104" i="16"/>
  <c r="T101" i="16"/>
  <c r="T98" i="16"/>
  <c r="T95" i="16"/>
  <c r="T92" i="16"/>
  <c r="T89" i="16"/>
  <c r="T86" i="16"/>
  <c r="T83" i="16"/>
  <c r="T80" i="16"/>
  <c r="T77" i="16"/>
  <c r="T74" i="16"/>
  <c r="T71" i="16"/>
  <c r="T184" i="16"/>
  <c r="T193" i="16"/>
  <c r="T139" i="16"/>
  <c r="T191" i="16"/>
  <c r="T190" i="16"/>
  <c r="T182" i="16"/>
  <c r="T169" i="16"/>
  <c r="T160" i="16"/>
  <c r="T151" i="16"/>
  <c r="T129" i="16"/>
  <c r="T69" i="16"/>
  <c r="T68" i="16"/>
  <c r="T65" i="16"/>
  <c r="T62" i="16"/>
  <c r="T59" i="16"/>
  <c r="T56" i="16"/>
  <c r="T32" i="16"/>
  <c r="T29" i="16"/>
  <c r="T167" i="16"/>
  <c r="T158" i="16"/>
  <c r="T149" i="16"/>
  <c r="T127" i="16"/>
  <c r="T51" i="16"/>
  <c r="T24" i="16"/>
  <c r="T10" i="16"/>
  <c r="T9" i="16"/>
  <c r="T17" i="16"/>
  <c r="T14" i="16"/>
  <c r="T176" i="16"/>
  <c r="T138" i="16"/>
  <c r="T136" i="16"/>
  <c r="T124" i="16"/>
  <c r="T115" i="16"/>
  <c r="T106" i="16"/>
  <c r="T97" i="16"/>
  <c r="T88" i="16"/>
  <c r="T79" i="16"/>
  <c r="T70" i="16"/>
  <c r="T54" i="16"/>
  <c r="T40" i="16"/>
  <c r="T39" i="16"/>
  <c r="T27" i="16"/>
  <c r="T47" i="16"/>
  <c r="T44" i="16"/>
  <c r="T41" i="16"/>
  <c r="T20" i="16"/>
  <c r="T134" i="16"/>
  <c r="T120" i="16"/>
  <c r="T111" i="16"/>
  <c r="T102" i="16"/>
  <c r="T93" i="16"/>
  <c r="T84" i="16"/>
  <c r="T75" i="16"/>
  <c r="T145" i="16"/>
  <c r="T13" i="16"/>
  <c r="T12" i="16"/>
  <c r="T172" i="16"/>
  <c r="T163" i="16"/>
  <c r="T154" i="16"/>
  <c r="T58" i="16"/>
  <c r="T46" i="16"/>
  <c r="T45" i="16"/>
  <c r="T36" i="16"/>
  <c r="T28" i="16"/>
  <c r="T4" i="16"/>
  <c r="T38" i="16"/>
  <c r="T35" i="16"/>
  <c r="T170" i="16"/>
  <c r="T161" i="16"/>
  <c r="T152" i="16"/>
  <c r="T132" i="16"/>
  <c r="T105" i="16"/>
  <c r="T78" i="16"/>
  <c r="T64" i="16"/>
  <c r="T57" i="16"/>
  <c r="T31" i="16"/>
  <c r="T22" i="16"/>
  <c r="T50" i="16"/>
  <c r="T8" i="16"/>
  <c r="T5" i="16"/>
  <c r="T130" i="16"/>
  <c r="T121" i="16"/>
  <c r="T112" i="16"/>
  <c r="T103" i="16"/>
  <c r="T94" i="16"/>
  <c r="T85" i="16"/>
  <c r="T76" i="16"/>
  <c r="T137" i="16"/>
  <c r="T55" i="16"/>
  <c r="T21" i="16"/>
  <c r="T19" i="16"/>
  <c r="T18" i="16"/>
  <c r="T15" i="16"/>
  <c r="T3" i="16"/>
  <c r="T53" i="16"/>
  <c r="T181" i="16"/>
  <c r="T141" i="16"/>
  <c r="T117" i="16"/>
  <c r="T108" i="16"/>
  <c r="T99" i="16"/>
  <c r="T90" i="16"/>
  <c r="T81" i="16"/>
  <c r="T72" i="16"/>
  <c r="T126" i="16"/>
  <c r="T123" i="16"/>
  <c r="T114" i="16"/>
  <c r="T96" i="16"/>
  <c r="T87" i="16"/>
  <c r="T42" i="16"/>
  <c r="T34" i="16"/>
  <c r="T33" i="16"/>
  <c r="T25" i="16"/>
  <c r="T16" i="16"/>
  <c r="T175" i="16"/>
  <c r="T166" i="16"/>
  <c r="T157" i="16"/>
  <c r="T148" i="16"/>
  <c r="T131" i="16"/>
  <c r="T67" i="16"/>
  <c r="T63" i="16"/>
  <c r="T37" i="16"/>
  <c r="T30" i="16"/>
  <c r="T11" i="16"/>
  <c r="T179" i="16"/>
  <c r="T173" i="16"/>
  <c r="T164" i="16"/>
  <c r="T155" i="16"/>
  <c r="T146" i="16"/>
  <c r="T61" i="16"/>
  <c r="T52" i="16"/>
  <c r="T43" i="16"/>
  <c r="T23" i="16"/>
  <c r="T133" i="16"/>
  <c r="T118" i="16"/>
  <c r="T109" i="16"/>
  <c r="T100" i="16"/>
  <c r="T91" i="16"/>
  <c r="T82" i="16"/>
  <c r="T73" i="16"/>
  <c r="U1" i="16"/>
  <c r="T142" i="16"/>
  <c r="T66" i="16"/>
  <c r="T60" i="16"/>
  <c r="T49" i="16"/>
  <c r="T48" i="16"/>
  <c r="T7" i="16"/>
  <c r="T6" i="16"/>
  <c r="T26" i="16"/>
  <c r="U189" i="20"/>
  <c r="U186" i="20"/>
  <c r="U183" i="20"/>
  <c r="U180" i="20"/>
  <c r="U177" i="20"/>
  <c r="U174" i="20"/>
  <c r="U171" i="20"/>
  <c r="U168" i="20"/>
  <c r="U165" i="20"/>
  <c r="U162" i="20"/>
  <c r="U159" i="20"/>
  <c r="U156" i="20"/>
  <c r="U153" i="20"/>
  <c r="U152" i="20"/>
  <c r="U135" i="20"/>
  <c r="U130" i="20"/>
  <c r="U127" i="20"/>
  <c r="U146" i="20"/>
  <c r="U131" i="20"/>
  <c r="U128" i="20"/>
  <c r="U178" i="20"/>
  <c r="U164" i="20"/>
  <c r="U142" i="20"/>
  <c r="U126" i="20"/>
  <c r="U117" i="20"/>
  <c r="U179" i="20"/>
  <c r="U150" i="20"/>
  <c r="U137" i="20"/>
  <c r="U181" i="20"/>
  <c r="U167" i="20"/>
  <c r="U141" i="20"/>
  <c r="U125" i="20"/>
  <c r="U116" i="20"/>
  <c r="U107" i="20"/>
  <c r="U98" i="20"/>
  <c r="U89" i="20"/>
  <c r="U80" i="20"/>
  <c r="U71" i="20"/>
  <c r="U66" i="20"/>
  <c r="U63" i="20"/>
  <c r="U60" i="20"/>
  <c r="U170" i="20"/>
  <c r="U140" i="20"/>
  <c r="U129" i="20"/>
  <c r="U184" i="20"/>
  <c r="U187" i="20"/>
  <c r="U173" i="20"/>
  <c r="U160" i="20"/>
  <c r="U154" i="20"/>
  <c r="U147" i="20"/>
  <c r="U133" i="20"/>
  <c r="U123" i="20"/>
  <c r="U114" i="20"/>
  <c r="U105" i="20"/>
  <c r="U96" i="20"/>
  <c r="U175" i="20"/>
  <c r="U143" i="20"/>
  <c r="U138" i="20"/>
  <c r="U132" i="20"/>
  <c r="U118" i="20"/>
  <c r="U109" i="20"/>
  <c r="U100" i="20"/>
  <c r="U176" i="20"/>
  <c r="U163" i="20"/>
  <c r="U136" i="20"/>
  <c r="U106" i="20"/>
  <c r="U53" i="20"/>
  <c r="U44" i="20"/>
  <c r="U145" i="20"/>
  <c r="U99" i="20"/>
  <c r="U134" i="20"/>
  <c r="U124" i="20"/>
  <c r="U102" i="20"/>
  <c r="U79" i="20"/>
  <c r="U70" i="20"/>
  <c r="U52" i="20"/>
  <c r="U43" i="20"/>
  <c r="U158" i="20"/>
  <c r="U144" i="20"/>
  <c r="U112" i="20"/>
  <c r="U88" i="20"/>
  <c r="U85" i="20"/>
  <c r="U82" i="20"/>
  <c r="U76" i="20"/>
  <c r="U73" i="20"/>
  <c r="U36" i="20"/>
  <c r="U33" i="20"/>
  <c r="U30" i="20"/>
  <c r="U27" i="20"/>
  <c r="U24" i="20"/>
  <c r="U21" i="20"/>
  <c r="U18" i="20"/>
  <c r="U15" i="20"/>
  <c r="U12" i="20"/>
  <c r="U9" i="20"/>
  <c r="U6" i="20"/>
  <c r="U3" i="20"/>
  <c r="U188" i="20"/>
  <c r="U148" i="20"/>
  <c r="U115" i="20"/>
  <c r="U92" i="20"/>
  <c r="U90" i="20"/>
  <c r="U56" i="20"/>
  <c r="U47" i="20"/>
  <c r="U149" i="20"/>
  <c r="U122" i="20"/>
  <c r="U108" i="20"/>
  <c r="U94" i="20"/>
  <c r="U51" i="20"/>
  <c r="U42" i="20"/>
  <c r="U185" i="20"/>
  <c r="U172" i="20"/>
  <c r="U151" i="20"/>
  <c r="U121" i="20"/>
  <c r="U111" i="20"/>
  <c r="U101" i="20"/>
  <c r="U83" i="20"/>
  <c r="U74" i="20"/>
  <c r="U67" i="20"/>
  <c r="U64" i="20"/>
  <c r="U61" i="20"/>
  <c r="U55" i="20"/>
  <c r="U46" i="20"/>
  <c r="U190" i="20"/>
  <c r="U120" i="20"/>
  <c r="U104" i="20"/>
  <c r="U86" i="20"/>
  <c r="U77" i="20"/>
  <c r="U65" i="20"/>
  <c r="U62" i="20"/>
  <c r="U37" i="20"/>
  <c r="U34" i="20"/>
  <c r="U31" i="20"/>
  <c r="U28" i="20"/>
  <c r="U25" i="20"/>
  <c r="U22" i="20"/>
  <c r="U19" i="20"/>
  <c r="U16" i="20"/>
  <c r="U13" i="20"/>
  <c r="U10" i="20"/>
  <c r="U7" i="20"/>
  <c r="U4" i="20"/>
  <c r="U182" i="20"/>
  <c r="U169" i="20"/>
  <c r="U157" i="20"/>
  <c r="U68" i="20"/>
  <c r="U59" i="20"/>
  <c r="U50" i="20"/>
  <c r="U41" i="20"/>
  <c r="U155" i="20"/>
  <c r="U139" i="20"/>
  <c r="U119" i="20"/>
  <c r="U54" i="20"/>
  <c r="U45" i="20"/>
  <c r="V1" i="20"/>
  <c r="U166" i="20"/>
  <c r="U161" i="20"/>
  <c r="U110" i="20"/>
  <c r="U93" i="20"/>
  <c r="U91" i="20"/>
  <c r="U87" i="20"/>
  <c r="U84" i="20"/>
  <c r="U78" i="20"/>
  <c r="U75" i="20"/>
  <c r="U69" i="20"/>
  <c r="U58" i="20"/>
  <c r="U49" i="20"/>
  <c r="U40" i="20"/>
  <c r="U97" i="20"/>
  <c r="U72" i="20"/>
  <c r="U113" i="20"/>
  <c r="U95" i="20"/>
  <c r="U48" i="20"/>
  <c r="U39" i="20"/>
  <c r="U103" i="20"/>
  <c r="U35" i="20"/>
  <c r="U32" i="20"/>
  <c r="U29" i="20"/>
  <c r="U38" i="20"/>
  <c r="U26" i="20"/>
  <c r="U23" i="20"/>
  <c r="U20" i="20"/>
  <c r="U17" i="20"/>
  <c r="U14" i="20"/>
  <c r="U11" i="20"/>
  <c r="U8" i="20"/>
  <c r="U5" i="20"/>
  <c r="U57" i="20"/>
  <c r="U81" i="20"/>
  <c r="S188" i="19"/>
  <c r="S185" i="19"/>
  <c r="S182" i="19"/>
  <c r="S179" i="19"/>
  <c r="S176" i="19"/>
  <c r="S135" i="19"/>
  <c r="S130" i="19"/>
  <c r="S127" i="19"/>
  <c r="T1" i="19"/>
  <c r="S190" i="19"/>
  <c r="S181" i="19"/>
  <c r="S138" i="19"/>
  <c r="S133" i="19"/>
  <c r="S65" i="19"/>
  <c r="S62" i="19"/>
  <c r="S59" i="19"/>
  <c r="S56" i="19"/>
  <c r="S53" i="19"/>
  <c r="S50" i="19"/>
  <c r="S47" i="19"/>
  <c r="S44" i="19"/>
  <c r="S41" i="19"/>
  <c r="S38" i="19"/>
  <c r="S35" i="19"/>
  <c r="S32" i="19"/>
  <c r="S29" i="19"/>
  <c r="S26" i="19"/>
  <c r="S23" i="19"/>
  <c r="S20" i="19"/>
  <c r="S17" i="19"/>
  <c r="S14" i="19"/>
  <c r="S11" i="19"/>
  <c r="S8" i="19"/>
  <c r="S5" i="19"/>
  <c r="S189" i="19"/>
  <c r="S180" i="19"/>
  <c r="S174" i="19"/>
  <c r="S171" i="19"/>
  <c r="S168" i="19"/>
  <c r="S165" i="19"/>
  <c r="S162" i="19"/>
  <c r="S159" i="19"/>
  <c r="S156" i="19"/>
  <c r="S153" i="19"/>
  <c r="S150" i="19"/>
  <c r="S147" i="19"/>
  <c r="S144" i="19"/>
  <c r="S141" i="19"/>
  <c r="S125" i="19"/>
  <c r="S122" i="19"/>
  <c r="S119" i="19"/>
  <c r="S116" i="19"/>
  <c r="S113" i="19"/>
  <c r="S110" i="19"/>
  <c r="S107" i="19"/>
  <c r="S104" i="19"/>
  <c r="S101" i="19"/>
  <c r="S98" i="19"/>
  <c r="S95" i="19"/>
  <c r="S92" i="19"/>
  <c r="S89" i="19"/>
  <c r="S86" i="19"/>
  <c r="S83" i="19"/>
  <c r="S80" i="19"/>
  <c r="S77" i="19"/>
  <c r="S74" i="19"/>
  <c r="S71" i="19"/>
  <c r="S68" i="19"/>
  <c r="S186" i="19"/>
  <c r="S177" i="19"/>
  <c r="S172" i="19"/>
  <c r="S169" i="19"/>
  <c r="S166" i="19"/>
  <c r="S163" i="19"/>
  <c r="S160" i="19"/>
  <c r="S157" i="19"/>
  <c r="S154" i="19"/>
  <c r="S151" i="19"/>
  <c r="S148" i="19"/>
  <c r="S145" i="19"/>
  <c r="S142" i="19"/>
  <c r="S134" i="19"/>
  <c r="S126" i="19"/>
  <c r="S123" i="19"/>
  <c r="S120" i="19"/>
  <c r="S117" i="19"/>
  <c r="S114" i="19"/>
  <c r="S111" i="19"/>
  <c r="S108" i="19"/>
  <c r="S105" i="19"/>
  <c r="S102" i="19"/>
  <c r="S99" i="19"/>
  <c r="S96" i="19"/>
  <c r="S93" i="19"/>
  <c r="S90" i="19"/>
  <c r="S87" i="19"/>
  <c r="S84" i="19"/>
  <c r="S81" i="19"/>
  <c r="S78" i="19"/>
  <c r="S75" i="19"/>
  <c r="S72" i="19"/>
  <c r="S69" i="19"/>
  <c r="S137" i="19"/>
  <c r="S66" i="19"/>
  <c r="S57" i="19"/>
  <c r="S48" i="19"/>
  <c r="S39" i="19"/>
  <c r="S30" i="19"/>
  <c r="S21" i="19"/>
  <c r="S12" i="19"/>
  <c r="S3" i="19"/>
  <c r="S178" i="19"/>
  <c r="S175" i="19"/>
  <c r="S173" i="19"/>
  <c r="S164" i="19"/>
  <c r="S155" i="19"/>
  <c r="S146" i="19"/>
  <c r="S129" i="19"/>
  <c r="S64" i="19"/>
  <c r="S55" i="19"/>
  <c r="S46" i="19"/>
  <c r="S37" i="19"/>
  <c r="S28" i="19"/>
  <c r="S19" i="19"/>
  <c r="S10" i="19"/>
  <c r="S187" i="19"/>
  <c r="S184" i="19"/>
  <c r="S118" i="19"/>
  <c r="S109" i="19"/>
  <c r="S100" i="19"/>
  <c r="S91" i="19"/>
  <c r="S82" i="19"/>
  <c r="S73" i="19"/>
  <c r="S167" i="19"/>
  <c r="S158" i="19"/>
  <c r="S149" i="19"/>
  <c r="S136" i="19"/>
  <c r="S132" i="19"/>
  <c r="S67" i="19"/>
  <c r="S58" i="19"/>
  <c r="S49" i="19"/>
  <c r="S40" i="19"/>
  <c r="S31" i="19"/>
  <c r="S22" i="19"/>
  <c r="S13" i="19"/>
  <c r="S4" i="19"/>
  <c r="S63" i="19"/>
  <c r="S54" i="19"/>
  <c r="S45" i="19"/>
  <c r="S36" i="19"/>
  <c r="S27" i="19"/>
  <c r="S18" i="19"/>
  <c r="S9" i="19"/>
  <c r="S183" i="19"/>
  <c r="S124" i="19"/>
  <c r="S76" i="19"/>
  <c r="S70" i="19"/>
  <c r="S42" i="19"/>
  <c r="S6" i="19"/>
  <c r="S161" i="19"/>
  <c r="S139" i="19"/>
  <c r="S94" i="19"/>
  <c r="S88" i="19"/>
  <c r="S60" i="19"/>
  <c r="S131" i="19"/>
  <c r="S103" i="19"/>
  <c r="S97" i="19"/>
  <c r="S33" i="19"/>
  <c r="S140" i="19"/>
  <c r="S112" i="19"/>
  <c r="S106" i="19"/>
  <c r="S24" i="19"/>
  <c r="S152" i="19"/>
  <c r="S85" i="19"/>
  <c r="S15" i="19"/>
  <c r="S143" i="19"/>
  <c r="S121" i="19"/>
  <c r="S43" i="19"/>
  <c r="S52" i="19"/>
  <c r="S61" i="19"/>
  <c r="S34" i="19"/>
  <c r="S16" i="19"/>
  <c r="S128" i="19"/>
  <c r="S79" i="19"/>
  <c r="S51" i="19"/>
  <c r="S115" i="19"/>
  <c r="S25" i="19"/>
  <c r="S170" i="19"/>
  <c r="S7" i="19"/>
  <c r="S137" i="21"/>
  <c r="S188" i="21"/>
  <c r="S185" i="21"/>
  <c r="S182" i="21"/>
  <c r="S179" i="21"/>
  <c r="S176" i="21"/>
  <c r="S173" i="21"/>
  <c r="S170" i="21"/>
  <c r="S167" i="21"/>
  <c r="S164" i="21"/>
  <c r="S161" i="21"/>
  <c r="S158" i="21"/>
  <c r="S155" i="21"/>
  <c r="S152" i="21"/>
  <c r="S149" i="21"/>
  <c r="S146" i="21"/>
  <c r="S143" i="21"/>
  <c r="S140" i="21"/>
  <c r="S132" i="21"/>
  <c r="S124" i="21"/>
  <c r="S121" i="21"/>
  <c r="S118" i="21"/>
  <c r="S115" i="21"/>
  <c r="S112" i="21"/>
  <c r="S127" i="21"/>
  <c r="S130" i="21"/>
  <c r="S186" i="21"/>
  <c r="S183" i="21"/>
  <c r="S180" i="21"/>
  <c r="S177" i="21"/>
  <c r="S174" i="21"/>
  <c r="S171" i="21"/>
  <c r="S168" i="21"/>
  <c r="S165" i="21"/>
  <c r="S162" i="21"/>
  <c r="S159" i="21"/>
  <c r="S156" i="21"/>
  <c r="S136" i="21"/>
  <c r="S131" i="21"/>
  <c r="S181" i="21"/>
  <c r="S153" i="21"/>
  <c r="S144" i="21"/>
  <c r="S128" i="21"/>
  <c r="S125" i="21"/>
  <c r="S151" i="21"/>
  <c r="S142" i="21"/>
  <c r="S110" i="21"/>
  <c r="S107" i="21"/>
  <c r="S104" i="21"/>
  <c r="S101" i="21"/>
  <c r="S98" i="21"/>
  <c r="S95" i="21"/>
  <c r="S92" i="21"/>
  <c r="S89" i="21"/>
  <c r="S86" i="21"/>
  <c r="S83" i="21"/>
  <c r="S80" i="21"/>
  <c r="S77" i="21"/>
  <c r="S74" i="21"/>
  <c r="S71" i="21"/>
  <c r="S68" i="21"/>
  <c r="S65" i="21"/>
  <c r="S62" i="21"/>
  <c r="S59" i="21"/>
  <c r="S56" i="21"/>
  <c r="S53" i="21"/>
  <c r="S50" i="21"/>
  <c r="S47" i="21"/>
  <c r="S44" i="21"/>
  <c r="S41" i="21"/>
  <c r="S38" i="21"/>
  <c r="S35" i="21"/>
  <c r="S32" i="21"/>
  <c r="S29" i="21"/>
  <c r="S26" i="21"/>
  <c r="S23" i="21"/>
  <c r="S20" i="21"/>
  <c r="S17" i="21"/>
  <c r="S134" i="21"/>
  <c r="S187" i="21"/>
  <c r="S178" i="21"/>
  <c r="S172" i="21"/>
  <c r="S169" i="21"/>
  <c r="S166" i="21"/>
  <c r="S150" i="21"/>
  <c r="S141" i="21"/>
  <c r="S148" i="21"/>
  <c r="S133" i="21"/>
  <c r="S108" i="21"/>
  <c r="S105" i="21"/>
  <c r="S102" i="21"/>
  <c r="S99" i="21"/>
  <c r="S96" i="21"/>
  <c r="S93" i="21"/>
  <c r="S90" i="21"/>
  <c r="S87" i="21"/>
  <c r="S84" i="21"/>
  <c r="S81" i="21"/>
  <c r="S78" i="21"/>
  <c r="S75" i="21"/>
  <c r="S72" i="21"/>
  <c r="S69" i="21"/>
  <c r="S66" i="21"/>
  <c r="S63" i="21"/>
  <c r="S60" i="21"/>
  <c r="S57" i="21"/>
  <c r="S54" i="21"/>
  <c r="S51" i="21"/>
  <c r="S48" i="21"/>
  <c r="S45" i="21"/>
  <c r="S42" i="21"/>
  <c r="S39" i="21"/>
  <c r="S36" i="21"/>
  <c r="S33" i="21"/>
  <c r="S30" i="21"/>
  <c r="S27" i="21"/>
  <c r="S24" i="21"/>
  <c r="S21" i="21"/>
  <c r="S18" i="21"/>
  <c r="S184" i="21"/>
  <c r="S175" i="21"/>
  <c r="S147" i="21"/>
  <c r="S129" i="21"/>
  <c r="S126" i="21"/>
  <c r="S109" i="21"/>
  <c r="S106" i="21"/>
  <c r="S103" i="21"/>
  <c r="S100" i="21"/>
  <c r="S97" i="21"/>
  <c r="S94" i="21"/>
  <c r="S91" i="21"/>
  <c r="S88" i="21"/>
  <c r="S85" i="21"/>
  <c r="S82" i="21"/>
  <c r="S79" i="21"/>
  <c r="S76" i="21"/>
  <c r="S73" i="21"/>
  <c r="S70" i="21"/>
  <c r="S67" i="21"/>
  <c r="S64" i="21"/>
  <c r="S61" i="21"/>
  <c r="S58" i="21"/>
  <c r="S55" i="21"/>
  <c r="S52" i="21"/>
  <c r="S122" i="21"/>
  <c r="S119" i="21"/>
  <c r="S116" i="21"/>
  <c r="S113" i="21"/>
  <c r="S123" i="21"/>
  <c r="S120" i="21"/>
  <c r="S117" i="21"/>
  <c r="S114" i="21"/>
  <c r="S111" i="21"/>
  <c r="T1" i="21"/>
  <c r="S154" i="21"/>
  <c r="S145" i="21"/>
  <c r="S138" i="21"/>
  <c r="S135" i="21"/>
  <c r="S49" i="21"/>
  <c r="S46" i="21"/>
  <c r="S37" i="21"/>
  <c r="S28" i="21"/>
  <c r="S19" i="21"/>
  <c r="S160" i="21"/>
  <c r="S139" i="21"/>
  <c r="S15" i="21"/>
  <c r="S12" i="21"/>
  <c r="S9" i="21"/>
  <c r="S6" i="21"/>
  <c r="S3" i="21"/>
  <c r="S163" i="21"/>
  <c r="S157" i="21"/>
  <c r="S16" i="21"/>
  <c r="S31" i="21"/>
  <c r="S43" i="21"/>
  <c r="S40" i="21"/>
  <c r="S11" i="21"/>
  <c r="S5" i="21"/>
  <c r="S34" i="21"/>
  <c r="S14" i="21"/>
  <c r="S8" i="21"/>
  <c r="S25" i="21"/>
  <c r="S13" i="21"/>
  <c r="S10" i="21"/>
  <c r="S7" i="21"/>
  <c r="S4" i="21"/>
  <c r="S22" i="21"/>
  <c r="S190" i="18"/>
  <c r="S187" i="18"/>
  <c r="S184" i="18"/>
  <c r="S181" i="18"/>
  <c r="S178" i="18"/>
  <c r="S175" i="18"/>
  <c r="S172" i="18"/>
  <c r="S169" i="18"/>
  <c r="S166" i="18"/>
  <c r="S163" i="18"/>
  <c r="S160" i="18"/>
  <c r="S157" i="18"/>
  <c r="S154" i="18"/>
  <c r="S151" i="18"/>
  <c r="S137" i="18"/>
  <c r="S138" i="18"/>
  <c r="S148" i="18"/>
  <c r="S186" i="18"/>
  <c r="S177" i="18"/>
  <c r="S168" i="18"/>
  <c r="S158" i="18"/>
  <c r="S179" i="18"/>
  <c r="S162" i="18"/>
  <c r="S171" i="18"/>
  <c r="S170" i="18"/>
  <c r="S161" i="18"/>
  <c r="S147" i="18"/>
  <c r="S134" i="18"/>
  <c r="S149" i="18"/>
  <c r="S145" i="18"/>
  <c r="S143" i="18"/>
  <c r="S141" i="18"/>
  <c r="S131" i="18"/>
  <c r="S126" i="18"/>
  <c r="S117" i="18"/>
  <c r="S108" i="18"/>
  <c r="S99" i="18"/>
  <c r="S90" i="18"/>
  <c r="S81" i="18"/>
  <c r="S72" i="18"/>
  <c r="S188" i="18"/>
  <c r="S183" i="18"/>
  <c r="S173" i="18"/>
  <c r="S164" i="18"/>
  <c r="S67" i="18"/>
  <c r="S58" i="18"/>
  <c r="S49" i="18"/>
  <c r="S40" i="18"/>
  <c r="S31" i="18"/>
  <c r="S165" i="18"/>
  <c r="S121" i="18"/>
  <c r="S112" i="18"/>
  <c r="S103" i="18"/>
  <c r="S94" i="18"/>
  <c r="S85" i="18"/>
  <c r="S76" i="18"/>
  <c r="S62" i="18"/>
  <c r="S53" i="18"/>
  <c r="S44" i="18"/>
  <c r="S35" i="18"/>
  <c r="S26" i="18"/>
  <c r="S17" i="18"/>
  <c r="S8" i="18"/>
  <c r="S191" i="18"/>
  <c r="S135" i="18"/>
  <c r="S130" i="18"/>
  <c r="S125" i="18"/>
  <c r="S116" i="18"/>
  <c r="S107" i="18"/>
  <c r="S98" i="18"/>
  <c r="S89" i="18"/>
  <c r="S80" i="18"/>
  <c r="S71" i="18"/>
  <c r="S66" i="18"/>
  <c r="S57" i="18"/>
  <c r="S48" i="18"/>
  <c r="S39" i="18"/>
  <c r="S30" i="18"/>
  <c r="S21" i="18"/>
  <c r="S12" i="18"/>
  <c r="S3" i="18"/>
  <c r="S176" i="18"/>
  <c r="S159" i="18"/>
  <c r="S136" i="18"/>
  <c r="S120" i="18"/>
  <c r="S111" i="18"/>
  <c r="S102" i="18"/>
  <c r="S93" i="18"/>
  <c r="S84" i="18"/>
  <c r="S75" i="18"/>
  <c r="S167" i="18"/>
  <c r="S146" i="18"/>
  <c r="S129" i="18"/>
  <c r="S189" i="18"/>
  <c r="S156" i="18"/>
  <c r="S144" i="18"/>
  <c r="S142" i="18"/>
  <c r="S139" i="18"/>
  <c r="S124" i="18"/>
  <c r="S115" i="18"/>
  <c r="S106" i="18"/>
  <c r="S97" i="18"/>
  <c r="S88" i="18"/>
  <c r="S122" i="18"/>
  <c r="S109" i="18"/>
  <c r="S55" i="18"/>
  <c r="S45" i="18"/>
  <c r="S20" i="18"/>
  <c r="S14" i="18"/>
  <c r="S78" i="18"/>
  <c r="S68" i="18"/>
  <c r="S41" i="18"/>
  <c r="S22" i="18"/>
  <c r="S128" i="18"/>
  <c r="S114" i="18"/>
  <c r="S101" i="18"/>
  <c r="S92" i="18"/>
  <c r="S83" i="18"/>
  <c r="S47" i="18"/>
  <c r="S28" i="18"/>
  <c r="S7" i="18"/>
  <c r="S185" i="18"/>
  <c r="S180" i="18"/>
  <c r="S152" i="18"/>
  <c r="S150" i="18"/>
  <c r="S127" i="18"/>
  <c r="S113" i="18"/>
  <c r="S74" i="18"/>
  <c r="S64" i="18"/>
  <c r="S54" i="18"/>
  <c r="S37" i="18"/>
  <c r="S11" i="18"/>
  <c r="S5" i="18"/>
  <c r="S174" i="18"/>
  <c r="S140" i="18"/>
  <c r="S60" i="18"/>
  <c r="S43" i="18"/>
  <c r="S33" i="18"/>
  <c r="S15" i="18"/>
  <c r="S9" i="18"/>
  <c r="S100" i="18"/>
  <c r="S91" i="18"/>
  <c r="S82" i="18"/>
  <c r="S70" i="18"/>
  <c r="S50" i="18"/>
  <c r="S13" i="18"/>
  <c r="S119" i="18"/>
  <c r="S105" i="18"/>
  <c r="S133" i="18"/>
  <c r="S132" i="18"/>
  <c r="S118" i="18"/>
  <c r="S104" i="18"/>
  <c r="S63" i="18"/>
  <c r="S46" i="18"/>
  <c r="S36" i="18"/>
  <c r="S29" i="18"/>
  <c r="S23" i="18"/>
  <c r="S73" i="18"/>
  <c r="S52" i="18"/>
  <c r="S42" i="18"/>
  <c r="S27" i="18"/>
  <c r="S6" i="18"/>
  <c r="S192" i="18"/>
  <c r="S182" i="18"/>
  <c r="S96" i="18"/>
  <c r="S87" i="18"/>
  <c r="S79" i="18"/>
  <c r="S69" i="18"/>
  <c r="S59" i="18"/>
  <c r="S32" i="18"/>
  <c r="S4" i="18"/>
  <c r="S77" i="18"/>
  <c r="S25" i="18"/>
  <c r="S61" i="18"/>
  <c r="S19" i="18"/>
  <c r="S123" i="18"/>
  <c r="S110" i="18"/>
  <c r="S16" i="18"/>
  <c r="S86" i="18"/>
  <c r="S51" i="18"/>
  <c r="S24" i="18"/>
  <c r="S155" i="18"/>
  <c r="T1" i="18"/>
  <c r="S38" i="18"/>
  <c r="S10" i="18"/>
  <c r="S153" i="18"/>
  <c r="S18" i="18"/>
  <c r="S56" i="18"/>
  <c r="S65" i="18"/>
  <c r="S95" i="18"/>
  <c r="S34" i="18"/>
  <c r="S175" i="27"/>
  <c r="S172" i="27"/>
  <c r="S169" i="27"/>
  <c r="S166" i="27"/>
  <c r="S163" i="27"/>
  <c r="S160" i="27"/>
  <c r="S157" i="27"/>
  <c r="S154" i="27"/>
  <c r="S151" i="27"/>
  <c r="S148" i="27"/>
  <c r="S145" i="27"/>
  <c r="S176" i="27"/>
  <c r="S173" i="27"/>
  <c r="S170" i="27"/>
  <c r="S167" i="27"/>
  <c r="S164" i="27"/>
  <c r="S161" i="27"/>
  <c r="S158" i="27"/>
  <c r="S155" i="27"/>
  <c r="S152" i="27"/>
  <c r="S149" i="27"/>
  <c r="S146" i="27"/>
  <c r="S174" i="27"/>
  <c r="S171" i="27"/>
  <c r="S168" i="27"/>
  <c r="S165" i="27"/>
  <c r="S162" i="27"/>
  <c r="S159" i="27"/>
  <c r="S156" i="27"/>
  <c r="S153" i="27"/>
  <c r="S150" i="27"/>
  <c r="S147" i="27"/>
  <c r="S142" i="27"/>
  <c r="S139" i="27"/>
  <c r="S136" i="27"/>
  <c r="S133" i="27"/>
  <c r="S130" i="27"/>
  <c r="S127" i="27"/>
  <c r="S123" i="27"/>
  <c r="S114" i="27"/>
  <c r="S143" i="27"/>
  <c r="S140" i="27"/>
  <c r="S137" i="27"/>
  <c r="S134" i="27"/>
  <c r="S131" i="27"/>
  <c r="S128" i="27"/>
  <c r="S124" i="27"/>
  <c r="S115" i="27"/>
  <c r="S144" i="27"/>
  <c r="S141" i="27"/>
  <c r="S138" i="27"/>
  <c r="S135" i="27"/>
  <c r="S132" i="27"/>
  <c r="S129" i="27"/>
  <c r="S125" i="27"/>
  <c r="S116" i="27"/>
  <c r="S113" i="27"/>
  <c r="S108" i="27"/>
  <c r="S105" i="27"/>
  <c r="S102" i="27"/>
  <c r="S99" i="27"/>
  <c r="S96" i="27"/>
  <c r="S93" i="27"/>
  <c r="S90" i="27"/>
  <c r="S109" i="27"/>
  <c r="S106" i="27"/>
  <c r="S103" i="27"/>
  <c r="S100" i="27"/>
  <c r="S97" i="27"/>
  <c r="S94" i="27"/>
  <c r="S91" i="27"/>
  <c r="S110" i="27"/>
  <c r="S107" i="27"/>
  <c r="S104" i="27"/>
  <c r="S101" i="27"/>
  <c r="S98" i="27"/>
  <c r="S95" i="27"/>
  <c r="S92" i="27"/>
  <c r="S111" i="27"/>
  <c r="S83" i="27"/>
  <c r="S80" i="27"/>
  <c r="S77" i="27"/>
  <c r="S74" i="27"/>
  <c r="S71" i="27"/>
  <c r="S68" i="27"/>
  <c r="S65" i="27"/>
  <c r="S86" i="27"/>
  <c r="S87" i="27"/>
  <c r="S84" i="27"/>
  <c r="S81" i="27"/>
  <c r="S78" i="27"/>
  <c r="S75" i="27"/>
  <c r="S72" i="27"/>
  <c r="S69" i="27"/>
  <c r="S66" i="27"/>
  <c r="S79" i="27"/>
  <c r="S70" i="27"/>
  <c r="S63" i="27"/>
  <c r="S60" i="27"/>
  <c r="S57" i="27"/>
  <c r="S54" i="27"/>
  <c r="S51" i="27"/>
  <c r="S48" i="27"/>
  <c r="S45" i="27"/>
  <c r="S42" i="27"/>
  <c r="S39" i="27"/>
  <c r="S89" i="27"/>
  <c r="S85" i="27"/>
  <c r="S76" i="27"/>
  <c r="S67" i="27"/>
  <c r="S61" i="27"/>
  <c r="S58" i="27"/>
  <c r="S55" i="27"/>
  <c r="S52" i="27"/>
  <c r="S49" i="27"/>
  <c r="S46" i="27"/>
  <c r="S43" i="27"/>
  <c r="S40" i="27"/>
  <c r="S37" i="27"/>
  <c r="S88" i="27"/>
  <c r="S82" i="27"/>
  <c r="S73" i="27"/>
  <c r="S64" i="27"/>
  <c r="S62" i="27"/>
  <c r="S59" i="27"/>
  <c r="S56" i="27"/>
  <c r="S53" i="27"/>
  <c r="S50" i="27"/>
  <c r="S47" i="27"/>
  <c r="S44" i="27"/>
  <c r="S41" i="27"/>
  <c r="S38" i="27"/>
  <c r="S35" i="27"/>
  <c r="S32" i="27"/>
  <c r="S29" i="27"/>
  <c r="S26" i="27"/>
  <c r="S23" i="27"/>
  <c r="S20" i="27"/>
  <c r="S17" i="27"/>
  <c r="S14" i="27"/>
  <c r="S11" i="27"/>
  <c r="S36" i="27"/>
  <c r="S33" i="27"/>
  <c r="S30" i="27"/>
  <c r="S27" i="27"/>
  <c r="S24" i="27"/>
  <c r="S21" i="27"/>
  <c r="S18" i="27"/>
  <c r="S15" i="27"/>
  <c r="S12" i="27"/>
  <c r="S34" i="27"/>
  <c r="S31" i="27"/>
  <c r="S28" i="27"/>
  <c r="S25" i="27"/>
  <c r="S22" i="27"/>
  <c r="S19" i="27"/>
  <c r="S16" i="27"/>
  <c r="S13" i="27"/>
  <c r="S7" i="27"/>
  <c r="S4" i="27"/>
  <c r="T1" i="27"/>
  <c r="S8" i="27"/>
  <c r="S5" i="27"/>
  <c r="S9" i="27"/>
  <c r="S6" i="27"/>
  <c r="S3" i="27"/>
  <c r="S10" i="27"/>
  <c r="S133" i="23"/>
  <c r="S128" i="23"/>
  <c r="S184" i="23"/>
  <c r="S181" i="23"/>
  <c r="S178" i="23"/>
  <c r="S175" i="23"/>
  <c r="S172" i="23"/>
  <c r="S169" i="23"/>
  <c r="S166" i="23"/>
  <c r="S163" i="23"/>
  <c r="S160" i="23"/>
  <c r="S157" i="23"/>
  <c r="S154" i="23"/>
  <c r="S151" i="23"/>
  <c r="S148" i="23"/>
  <c r="S145" i="23"/>
  <c r="S142" i="23"/>
  <c r="S139" i="23"/>
  <c r="S136" i="23"/>
  <c r="S120" i="23"/>
  <c r="S126" i="23"/>
  <c r="S123" i="23"/>
  <c r="S131" i="23"/>
  <c r="S134" i="23"/>
  <c r="S124" i="23"/>
  <c r="S127" i="23"/>
  <c r="S130" i="23"/>
  <c r="S125" i="23"/>
  <c r="S122" i="23"/>
  <c r="S179" i="23"/>
  <c r="S170" i="23"/>
  <c r="S161" i="23"/>
  <c r="S152" i="23"/>
  <c r="S143" i="23"/>
  <c r="S183" i="23"/>
  <c r="S174" i="23"/>
  <c r="S165" i="23"/>
  <c r="S156" i="23"/>
  <c r="S147" i="23"/>
  <c r="S138" i="23"/>
  <c r="S185" i="23"/>
  <c r="S176" i="23"/>
  <c r="S167" i="23"/>
  <c r="S158" i="23"/>
  <c r="S149" i="23"/>
  <c r="S140" i="23"/>
  <c r="S177" i="23"/>
  <c r="S168" i="23"/>
  <c r="S159" i="23"/>
  <c r="S150" i="23"/>
  <c r="S141" i="23"/>
  <c r="S162" i="23"/>
  <c r="S117" i="23"/>
  <c r="S108" i="23"/>
  <c r="S119" i="23"/>
  <c r="S93" i="23"/>
  <c r="S180" i="23"/>
  <c r="S153" i="23"/>
  <c r="S114" i="23"/>
  <c r="S105" i="23"/>
  <c r="S173" i="23"/>
  <c r="S146" i="23"/>
  <c r="S129" i="23"/>
  <c r="S115" i="23"/>
  <c r="S106" i="23"/>
  <c r="S144" i="23"/>
  <c r="S110" i="23"/>
  <c r="S99" i="23"/>
  <c r="S88" i="23"/>
  <c r="S109" i="23"/>
  <c r="S107" i="23"/>
  <c r="S83" i="23"/>
  <c r="S135" i="23"/>
  <c r="S132" i="23"/>
  <c r="S121" i="23"/>
  <c r="S97" i="23"/>
  <c r="S87" i="23"/>
  <c r="S104" i="23"/>
  <c r="S103" i="23"/>
  <c r="S81" i="23"/>
  <c r="S78" i="23"/>
  <c r="S75" i="23"/>
  <c r="S72" i="23"/>
  <c r="S69" i="23"/>
  <c r="S66" i="23"/>
  <c r="S63" i="23"/>
  <c r="S60" i="23"/>
  <c r="S57" i="23"/>
  <c r="S54" i="23"/>
  <c r="S51" i="23"/>
  <c r="S48" i="23"/>
  <c r="S102" i="23"/>
  <c r="S100" i="23"/>
  <c r="S94" i="23"/>
  <c r="S92" i="23"/>
  <c r="S91" i="23"/>
  <c r="S86" i="23"/>
  <c r="S182" i="23"/>
  <c r="S155" i="23"/>
  <c r="S98" i="23"/>
  <c r="S82" i="23"/>
  <c r="S79" i="23"/>
  <c r="S76" i="23"/>
  <c r="S73" i="23"/>
  <c r="S70" i="23"/>
  <c r="S67" i="23"/>
  <c r="S64" i="23"/>
  <c r="S61" i="23"/>
  <c r="S58" i="23"/>
  <c r="S55" i="23"/>
  <c r="S52" i="23"/>
  <c r="S49" i="23"/>
  <c r="S85" i="23"/>
  <c r="S171" i="23"/>
  <c r="S118" i="23"/>
  <c r="S116" i="23"/>
  <c r="S101" i="23"/>
  <c r="S89" i="23"/>
  <c r="S164" i="23"/>
  <c r="S96" i="23"/>
  <c r="S84" i="23"/>
  <c r="S45" i="23"/>
  <c r="S42" i="23"/>
  <c r="S39" i="23"/>
  <c r="S36" i="23"/>
  <c r="S33" i="23"/>
  <c r="S30" i="23"/>
  <c r="S27" i="23"/>
  <c r="S24" i="23"/>
  <c r="S21" i="23"/>
  <c r="S18" i="23"/>
  <c r="S15" i="23"/>
  <c r="S12" i="23"/>
  <c r="S9" i="23"/>
  <c r="S6" i="23"/>
  <c r="S3" i="23"/>
  <c r="S77" i="23"/>
  <c r="S68" i="23"/>
  <c r="S53" i="23"/>
  <c r="S95" i="23"/>
  <c r="S56" i="23"/>
  <c r="S137" i="23"/>
  <c r="S46" i="23"/>
  <c r="S43" i="23"/>
  <c r="S40" i="23"/>
  <c r="S37" i="23"/>
  <c r="S34" i="23"/>
  <c r="S31" i="23"/>
  <c r="S28" i="23"/>
  <c r="S25" i="23"/>
  <c r="S22" i="23"/>
  <c r="S19" i="23"/>
  <c r="S16" i="23"/>
  <c r="S13" i="23"/>
  <c r="S10" i="23"/>
  <c r="S7" i="23"/>
  <c r="S4" i="23"/>
  <c r="S113" i="23"/>
  <c r="S74" i="23"/>
  <c r="S65" i="23"/>
  <c r="S50" i="23"/>
  <c r="S59" i="23"/>
  <c r="T1" i="23"/>
  <c r="S112" i="23"/>
  <c r="S111" i="23"/>
  <c r="S80" i="23"/>
  <c r="S71" i="23"/>
  <c r="S90" i="23"/>
  <c r="S62" i="23"/>
  <c r="S44" i="23"/>
  <c r="S35" i="23"/>
  <c r="S26" i="23"/>
  <c r="S17" i="23"/>
  <c r="S8" i="23"/>
  <c r="S41" i="23"/>
  <c r="S32" i="23"/>
  <c r="S23" i="23"/>
  <c r="S14" i="23"/>
  <c r="S5" i="23"/>
  <c r="S47" i="23"/>
  <c r="S29" i="23"/>
  <c r="S20" i="23"/>
  <c r="S38" i="23"/>
  <c r="S11" i="23"/>
  <c r="S176" i="26"/>
  <c r="S173" i="26"/>
  <c r="S170" i="26"/>
  <c r="S167" i="26"/>
  <c r="S164" i="26"/>
  <c r="S161" i="26"/>
  <c r="S158" i="26"/>
  <c r="S174" i="26"/>
  <c r="S171" i="26"/>
  <c r="S168" i="26"/>
  <c r="S165" i="26"/>
  <c r="S162" i="26"/>
  <c r="S159" i="26"/>
  <c r="S175" i="26"/>
  <c r="S172" i="26"/>
  <c r="S169" i="26"/>
  <c r="S166" i="26"/>
  <c r="S163" i="26"/>
  <c r="S160" i="26"/>
  <c r="S156" i="26"/>
  <c r="S153" i="26"/>
  <c r="S150" i="26"/>
  <c r="S147" i="26"/>
  <c r="S144" i="26"/>
  <c r="S141" i="26"/>
  <c r="S138" i="26"/>
  <c r="S135" i="26"/>
  <c r="S132" i="26"/>
  <c r="S157" i="26"/>
  <c r="S154" i="26"/>
  <c r="S151" i="26"/>
  <c r="S148" i="26"/>
  <c r="S145" i="26"/>
  <c r="S142" i="26"/>
  <c r="S139" i="26"/>
  <c r="S136" i="26"/>
  <c r="S133" i="26"/>
  <c r="S129" i="26"/>
  <c r="S127" i="26"/>
  <c r="S123" i="26"/>
  <c r="S114" i="26"/>
  <c r="S110" i="26"/>
  <c r="S107" i="26"/>
  <c r="S104" i="26"/>
  <c r="S101" i="26"/>
  <c r="S98" i="26"/>
  <c r="S95" i="26"/>
  <c r="S92" i="26"/>
  <c r="S89" i="26"/>
  <c r="S86" i="26"/>
  <c r="S83" i="26"/>
  <c r="S80" i="26"/>
  <c r="S77" i="26"/>
  <c r="S74" i="26"/>
  <c r="S71" i="26"/>
  <c r="S152" i="26"/>
  <c r="S143" i="26"/>
  <c r="S134" i="26"/>
  <c r="S128" i="26"/>
  <c r="S124" i="26"/>
  <c r="S115" i="26"/>
  <c r="S111" i="26"/>
  <c r="S108" i="26"/>
  <c r="S105" i="26"/>
  <c r="S102" i="26"/>
  <c r="S99" i="26"/>
  <c r="S96" i="26"/>
  <c r="S93" i="26"/>
  <c r="S90" i="26"/>
  <c r="S87" i="26"/>
  <c r="S84" i="26"/>
  <c r="S81" i="26"/>
  <c r="S78" i="26"/>
  <c r="S75" i="26"/>
  <c r="S72" i="26"/>
  <c r="S155" i="26"/>
  <c r="S146" i="26"/>
  <c r="S137" i="26"/>
  <c r="S131" i="26"/>
  <c r="S130" i="26"/>
  <c r="S125" i="26"/>
  <c r="S116" i="26"/>
  <c r="S113" i="26"/>
  <c r="S109" i="26"/>
  <c r="S106" i="26"/>
  <c r="S103" i="26"/>
  <c r="S100" i="26"/>
  <c r="S97" i="26"/>
  <c r="S94" i="26"/>
  <c r="S91" i="26"/>
  <c r="S88" i="26"/>
  <c r="S85" i="26"/>
  <c r="S82" i="26"/>
  <c r="S79" i="26"/>
  <c r="S76" i="26"/>
  <c r="S73" i="26"/>
  <c r="S69" i="26"/>
  <c r="S66" i="26"/>
  <c r="S63" i="26"/>
  <c r="S60" i="26"/>
  <c r="S57" i="26"/>
  <c r="S54" i="26"/>
  <c r="S51" i="26"/>
  <c r="S149" i="26"/>
  <c r="S70" i="26"/>
  <c r="S67" i="26"/>
  <c r="S64" i="26"/>
  <c r="S61" i="26"/>
  <c r="S58" i="26"/>
  <c r="S55" i="26"/>
  <c r="S68" i="26"/>
  <c r="S59" i="26"/>
  <c r="S48" i="26"/>
  <c r="S45" i="26"/>
  <c r="S42" i="26"/>
  <c r="S39" i="26"/>
  <c r="S36" i="26"/>
  <c r="S33" i="26"/>
  <c r="S30" i="26"/>
  <c r="S27" i="26"/>
  <c r="S24" i="26"/>
  <c r="S21" i="26"/>
  <c r="S18" i="26"/>
  <c r="S15" i="26"/>
  <c r="S12" i="26"/>
  <c r="S9" i="26"/>
  <c r="S6" i="26"/>
  <c r="S3" i="26"/>
  <c r="S140" i="26"/>
  <c r="S62" i="26"/>
  <c r="S53" i="26"/>
  <c r="S49" i="26"/>
  <c r="S46" i="26"/>
  <c r="S43" i="26"/>
  <c r="S40" i="26"/>
  <c r="S37" i="26"/>
  <c r="S34" i="26"/>
  <c r="S31" i="26"/>
  <c r="S28" i="26"/>
  <c r="S25" i="26"/>
  <c r="S22" i="26"/>
  <c r="S19" i="26"/>
  <c r="S16" i="26"/>
  <c r="S13" i="26"/>
  <c r="S10" i="26"/>
  <c r="S7" i="26"/>
  <c r="S4" i="26"/>
  <c r="T1" i="26"/>
  <c r="S52" i="26"/>
  <c r="S65" i="26"/>
  <c r="S47" i="26"/>
  <c r="S38" i="26"/>
  <c r="S29" i="26"/>
  <c r="S20" i="26"/>
  <c r="S11" i="26"/>
  <c r="S50" i="26"/>
  <c r="S41" i="26"/>
  <c r="S32" i="26"/>
  <c r="S23" i="26"/>
  <c r="S14" i="26"/>
  <c r="S5" i="26"/>
  <c r="S56" i="26"/>
  <c r="S44" i="26"/>
  <c r="S35" i="26"/>
  <c r="S26" i="26"/>
  <c r="S17" i="26"/>
  <c r="S8" i="26"/>
  <c r="V190" i="20" l="1"/>
  <c r="V187" i="20"/>
  <c r="V184" i="20"/>
  <c r="V181" i="20"/>
  <c r="V178" i="20"/>
  <c r="V175" i="20"/>
  <c r="V172" i="20"/>
  <c r="V169" i="20"/>
  <c r="V166" i="20"/>
  <c r="V163" i="20"/>
  <c r="V160" i="20"/>
  <c r="V157" i="20"/>
  <c r="V154" i="20"/>
  <c r="V151" i="20"/>
  <c r="V148" i="20"/>
  <c r="V136" i="20"/>
  <c r="V179" i="20"/>
  <c r="V177" i="20"/>
  <c r="V150" i="20"/>
  <c r="V137" i="20"/>
  <c r="V165" i="20"/>
  <c r="V121" i="20"/>
  <c r="V112" i="20"/>
  <c r="V103" i="20"/>
  <c r="V94" i="20"/>
  <c r="V85" i="20"/>
  <c r="V76" i="20"/>
  <c r="V182" i="20"/>
  <c r="V145" i="20"/>
  <c r="V120" i="20"/>
  <c r="V111" i="20"/>
  <c r="V102" i="20"/>
  <c r="V93" i="20"/>
  <c r="V84" i="20"/>
  <c r="V75" i="20"/>
  <c r="V183" i="20"/>
  <c r="V146" i="20"/>
  <c r="V134" i="20"/>
  <c r="V124" i="20"/>
  <c r="V115" i="20"/>
  <c r="V106" i="20"/>
  <c r="V97" i="20"/>
  <c r="V88" i="20"/>
  <c r="V79" i="20"/>
  <c r="V70" i="20"/>
  <c r="V185" i="20"/>
  <c r="V171" i="20"/>
  <c r="V188" i="20"/>
  <c r="V186" i="20"/>
  <c r="V161" i="20"/>
  <c r="V159" i="20"/>
  <c r="V189" i="20"/>
  <c r="V176" i="20"/>
  <c r="V162" i="20"/>
  <c r="V149" i="20"/>
  <c r="V127" i="20"/>
  <c r="V122" i="20"/>
  <c r="V113" i="20"/>
  <c r="V104" i="20"/>
  <c r="V125" i="20"/>
  <c r="V116" i="20"/>
  <c r="V99" i="20"/>
  <c r="V57" i="20"/>
  <c r="V48" i="20"/>
  <c r="V39" i="20"/>
  <c r="V173" i="20"/>
  <c r="V168" i="20"/>
  <c r="V135" i="20"/>
  <c r="V109" i="20"/>
  <c r="V158" i="20"/>
  <c r="V156" i="20"/>
  <c r="V144" i="20"/>
  <c r="V82" i="20"/>
  <c r="V73" i="20"/>
  <c r="V36" i="20"/>
  <c r="V33" i="20"/>
  <c r="V30" i="20"/>
  <c r="V27" i="20"/>
  <c r="V24" i="20"/>
  <c r="V21" i="20"/>
  <c r="V18" i="20"/>
  <c r="V15" i="20"/>
  <c r="V12" i="20"/>
  <c r="V9" i="20"/>
  <c r="V6" i="20"/>
  <c r="V3" i="20"/>
  <c r="V170" i="20"/>
  <c r="V147" i="20"/>
  <c r="V133" i="20"/>
  <c r="V123" i="20"/>
  <c r="V105" i="20"/>
  <c r="V92" i="20"/>
  <c r="V90" i="20"/>
  <c r="V56" i="20"/>
  <c r="V47" i="20"/>
  <c r="V38" i="20"/>
  <c r="V143" i="20"/>
  <c r="V132" i="20"/>
  <c r="V108" i="20"/>
  <c r="V96" i="20"/>
  <c r="V51" i="20"/>
  <c r="V180" i="20"/>
  <c r="V167" i="20"/>
  <c r="V142" i="20"/>
  <c r="V131" i="20"/>
  <c r="V101" i="20"/>
  <c r="V98" i="20"/>
  <c r="V83" i="20"/>
  <c r="V74" i="20"/>
  <c r="V67" i="20"/>
  <c r="V64" i="20"/>
  <c r="V61" i="20"/>
  <c r="V55" i="20"/>
  <c r="V46" i="20"/>
  <c r="V141" i="20"/>
  <c r="V130" i="20"/>
  <c r="V86" i="20"/>
  <c r="V80" i="20"/>
  <c r="V77" i="20"/>
  <c r="V71" i="20"/>
  <c r="V66" i="20"/>
  <c r="V65" i="20"/>
  <c r="V63" i="20"/>
  <c r="V62" i="20"/>
  <c r="V60" i="20"/>
  <c r="V37" i="20"/>
  <c r="V34" i="20"/>
  <c r="V31" i="20"/>
  <c r="V28" i="20"/>
  <c r="V25" i="20"/>
  <c r="V22" i="20"/>
  <c r="V19" i="20"/>
  <c r="V16" i="20"/>
  <c r="V13" i="20"/>
  <c r="V10" i="20"/>
  <c r="V7" i="20"/>
  <c r="V4" i="20"/>
  <c r="V164" i="20"/>
  <c r="V152" i="20"/>
  <c r="V140" i="20"/>
  <c r="V129" i="20"/>
  <c r="V114" i="20"/>
  <c r="V68" i="20"/>
  <c r="V59" i="20"/>
  <c r="V50" i="20"/>
  <c r="V41" i="20"/>
  <c r="V155" i="20"/>
  <c r="V139" i="20"/>
  <c r="V119" i="20"/>
  <c r="V107" i="20"/>
  <c r="V54" i="20"/>
  <c r="V45" i="20"/>
  <c r="V174" i="20"/>
  <c r="V128" i="20"/>
  <c r="V110" i="20"/>
  <c r="V100" i="20"/>
  <c r="V91" i="20"/>
  <c r="V89" i="20"/>
  <c r="V87" i="20"/>
  <c r="V78" i="20"/>
  <c r="V69" i="20"/>
  <c r="V58" i="20"/>
  <c r="V49" i="20"/>
  <c r="V40" i="20"/>
  <c r="V138" i="20"/>
  <c r="V118" i="20"/>
  <c r="V95" i="20"/>
  <c r="V81" i="20"/>
  <c r="V72" i="20"/>
  <c r="V35" i="20"/>
  <c r="V32" i="20"/>
  <c r="V29" i="20"/>
  <c r="V26" i="20"/>
  <c r="V23" i="20"/>
  <c r="V20" i="20"/>
  <c r="V17" i="20"/>
  <c r="V14" i="20"/>
  <c r="V11" i="20"/>
  <c r="V8" i="20"/>
  <c r="V5" i="20"/>
  <c r="V126" i="20"/>
  <c r="V43" i="20"/>
  <c r="V53" i="20"/>
  <c r="V42" i="20"/>
  <c r="V153" i="20"/>
  <c r="V44" i="20"/>
  <c r="V52" i="20"/>
  <c r="V117" i="20"/>
  <c r="W1" i="20"/>
  <c r="U179" i="25"/>
  <c r="U177" i="25"/>
  <c r="U178" i="25"/>
  <c r="U176" i="25"/>
  <c r="U173" i="25"/>
  <c r="U170" i="25"/>
  <c r="U167" i="25"/>
  <c r="U164" i="25"/>
  <c r="U161" i="25"/>
  <c r="U158" i="25"/>
  <c r="U155" i="25"/>
  <c r="U152" i="25"/>
  <c r="U149" i="25"/>
  <c r="U146" i="25"/>
  <c r="U143" i="25"/>
  <c r="U140" i="25"/>
  <c r="U137" i="25"/>
  <c r="U174" i="25"/>
  <c r="U171" i="25"/>
  <c r="U168" i="25"/>
  <c r="U165" i="25"/>
  <c r="U162" i="25"/>
  <c r="U159" i="25"/>
  <c r="U156" i="25"/>
  <c r="U153" i="25"/>
  <c r="U150" i="25"/>
  <c r="U147" i="25"/>
  <c r="U144" i="25"/>
  <c r="U141" i="25"/>
  <c r="U138" i="25"/>
  <c r="U135" i="25"/>
  <c r="U129" i="25"/>
  <c r="U126" i="25"/>
  <c r="U124" i="25"/>
  <c r="U119" i="25"/>
  <c r="U116" i="25"/>
  <c r="U128" i="25"/>
  <c r="U172" i="25"/>
  <c r="U142" i="25"/>
  <c r="U133" i="25"/>
  <c r="U99" i="25"/>
  <c r="U175" i="25"/>
  <c r="U94" i="25"/>
  <c r="U91" i="25"/>
  <c r="U88" i="25"/>
  <c r="U85" i="25"/>
  <c r="U82" i="25"/>
  <c r="U79" i="25"/>
  <c r="U76" i="25"/>
  <c r="U125" i="25"/>
  <c r="U130" i="25"/>
  <c r="U136" i="25"/>
  <c r="U115" i="25"/>
  <c r="U114" i="25"/>
  <c r="U113" i="25"/>
  <c r="U112" i="25"/>
  <c r="U111" i="25"/>
  <c r="U110" i="25"/>
  <c r="U109" i="25"/>
  <c r="U108" i="25"/>
  <c r="U107" i="25"/>
  <c r="U106" i="25"/>
  <c r="U105" i="25"/>
  <c r="U104" i="25"/>
  <c r="U103" i="25"/>
  <c r="U102" i="25"/>
  <c r="U95" i="25"/>
  <c r="U92" i="25"/>
  <c r="U89" i="25"/>
  <c r="U86" i="25"/>
  <c r="U83" i="25"/>
  <c r="U80" i="25"/>
  <c r="U77" i="25"/>
  <c r="U151" i="25"/>
  <c r="U148" i="25"/>
  <c r="U131" i="25"/>
  <c r="U127" i="25"/>
  <c r="U122" i="25"/>
  <c r="U121" i="25"/>
  <c r="U145" i="25"/>
  <c r="U97" i="25"/>
  <c r="U163" i="25"/>
  <c r="U101" i="25"/>
  <c r="U70" i="25"/>
  <c r="U67" i="25"/>
  <c r="U64" i="25"/>
  <c r="U61" i="25"/>
  <c r="U58" i="25"/>
  <c r="U55" i="25"/>
  <c r="U52" i="25"/>
  <c r="U49" i="25"/>
  <c r="U46" i="25"/>
  <c r="U43" i="25"/>
  <c r="U73" i="25"/>
  <c r="U90" i="25"/>
  <c r="U81" i="25"/>
  <c r="U166" i="25"/>
  <c r="U154" i="25"/>
  <c r="U120" i="25"/>
  <c r="U118" i="25"/>
  <c r="U117" i="25"/>
  <c r="U160" i="25"/>
  <c r="U169" i="25"/>
  <c r="U78" i="25"/>
  <c r="U69" i="25"/>
  <c r="U66" i="25"/>
  <c r="U63" i="25"/>
  <c r="U60" i="25"/>
  <c r="U57" i="25"/>
  <c r="U54" i="25"/>
  <c r="U51" i="25"/>
  <c r="U48" i="25"/>
  <c r="U39" i="25"/>
  <c r="U36" i="25"/>
  <c r="U33" i="25"/>
  <c r="U30" i="25"/>
  <c r="U27" i="25"/>
  <c r="U24" i="25"/>
  <c r="U21" i="25"/>
  <c r="U18" i="25"/>
  <c r="U15" i="25"/>
  <c r="U12" i="25"/>
  <c r="U9" i="25"/>
  <c r="U74" i="25"/>
  <c r="U44" i="25"/>
  <c r="U87" i="25"/>
  <c r="U75" i="25"/>
  <c r="U72" i="25"/>
  <c r="U68" i="25"/>
  <c r="U65" i="25"/>
  <c r="U62" i="25"/>
  <c r="U59" i="25"/>
  <c r="U56" i="25"/>
  <c r="U53" i="25"/>
  <c r="U50" i="25"/>
  <c r="U47" i="25"/>
  <c r="U134" i="25"/>
  <c r="U93" i="25"/>
  <c r="U71" i="25"/>
  <c r="U42" i="25"/>
  <c r="U40" i="25"/>
  <c r="U37" i="25"/>
  <c r="U34" i="25"/>
  <c r="U31" i="25"/>
  <c r="U28" i="25"/>
  <c r="U25" i="25"/>
  <c r="U22" i="25"/>
  <c r="U19" i="25"/>
  <c r="U16" i="25"/>
  <c r="U13" i="25"/>
  <c r="U10" i="25"/>
  <c r="U123" i="25"/>
  <c r="U98" i="25"/>
  <c r="U96" i="25"/>
  <c r="U45" i="25"/>
  <c r="U100" i="25"/>
  <c r="U41" i="25"/>
  <c r="U38" i="25"/>
  <c r="U35" i="25"/>
  <c r="U32" i="25"/>
  <c r="U29" i="25"/>
  <c r="U26" i="25"/>
  <c r="U23" i="25"/>
  <c r="U20" i="25"/>
  <c r="U17" i="25"/>
  <c r="U14" i="25"/>
  <c r="U11" i="25"/>
  <c r="U8" i="25"/>
  <c r="U7" i="25"/>
  <c r="U4" i="25"/>
  <c r="U132" i="25"/>
  <c r="V1" i="25"/>
  <c r="U157" i="25"/>
  <c r="U5" i="25"/>
  <c r="U84" i="25"/>
  <c r="U6" i="25"/>
  <c r="U3" i="25"/>
  <c r="U139" i="25"/>
  <c r="T189" i="19"/>
  <c r="T186" i="19"/>
  <c r="T183" i="19"/>
  <c r="T180" i="19"/>
  <c r="T177" i="19"/>
  <c r="T182" i="19"/>
  <c r="T190" i="19"/>
  <c r="T181" i="19"/>
  <c r="T138" i="19"/>
  <c r="T133" i="19"/>
  <c r="T65" i="19"/>
  <c r="T62" i="19"/>
  <c r="T59" i="19"/>
  <c r="T56" i="19"/>
  <c r="T53" i="19"/>
  <c r="T50" i="19"/>
  <c r="T47" i="19"/>
  <c r="T44" i="19"/>
  <c r="T41" i="19"/>
  <c r="T38" i="19"/>
  <c r="T35" i="19"/>
  <c r="T32" i="19"/>
  <c r="T29" i="19"/>
  <c r="T26" i="19"/>
  <c r="T23" i="19"/>
  <c r="T20" i="19"/>
  <c r="T17" i="19"/>
  <c r="T14" i="19"/>
  <c r="T11" i="19"/>
  <c r="T8" i="19"/>
  <c r="T5" i="19"/>
  <c r="T174" i="19"/>
  <c r="T171" i="19"/>
  <c r="T168" i="19"/>
  <c r="T165" i="19"/>
  <c r="T162" i="19"/>
  <c r="T159" i="19"/>
  <c r="T156" i="19"/>
  <c r="T153" i="19"/>
  <c r="T150" i="19"/>
  <c r="T147" i="19"/>
  <c r="T144" i="19"/>
  <c r="T141" i="19"/>
  <c r="T125" i="19"/>
  <c r="T122" i="19"/>
  <c r="T119" i="19"/>
  <c r="T116" i="19"/>
  <c r="T113" i="19"/>
  <c r="T110" i="19"/>
  <c r="T107" i="19"/>
  <c r="T104" i="19"/>
  <c r="T101" i="19"/>
  <c r="T98" i="19"/>
  <c r="T95" i="19"/>
  <c r="T92" i="19"/>
  <c r="T89" i="19"/>
  <c r="T86" i="19"/>
  <c r="T83" i="19"/>
  <c r="T80" i="19"/>
  <c r="T77" i="19"/>
  <c r="T74" i="19"/>
  <c r="T71" i="19"/>
  <c r="T68" i="19"/>
  <c r="T131" i="19"/>
  <c r="T128" i="19"/>
  <c r="T129" i="19"/>
  <c r="T178" i="19"/>
  <c r="T175" i="19"/>
  <c r="T173" i="19"/>
  <c r="T164" i="19"/>
  <c r="T155" i="19"/>
  <c r="T146" i="19"/>
  <c r="T135" i="19"/>
  <c r="T120" i="19"/>
  <c r="T111" i="19"/>
  <c r="T102" i="19"/>
  <c r="T93" i="19"/>
  <c r="T84" i="19"/>
  <c r="T75" i="19"/>
  <c r="T64" i="19"/>
  <c r="T55" i="19"/>
  <c r="T46" i="19"/>
  <c r="T37" i="19"/>
  <c r="T187" i="19"/>
  <c r="T184" i="19"/>
  <c r="T169" i="19"/>
  <c r="T160" i="19"/>
  <c r="T151" i="19"/>
  <c r="T142" i="19"/>
  <c r="T118" i="19"/>
  <c r="T109" i="19"/>
  <c r="T100" i="19"/>
  <c r="T91" i="19"/>
  <c r="T82" i="19"/>
  <c r="T73" i="19"/>
  <c r="T140" i="19"/>
  <c r="T127" i="19"/>
  <c r="T60" i="19"/>
  <c r="T51" i="19"/>
  <c r="T42" i="19"/>
  <c r="T134" i="19"/>
  <c r="T132" i="19"/>
  <c r="T67" i="19"/>
  <c r="T58" i="19"/>
  <c r="T49" i="19"/>
  <c r="T40" i="19"/>
  <c r="T31" i="19"/>
  <c r="T22" i="19"/>
  <c r="T13" i="19"/>
  <c r="T4" i="19"/>
  <c r="T188" i="19"/>
  <c r="T185" i="19"/>
  <c r="T172" i="19"/>
  <c r="T163" i="19"/>
  <c r="T154" i="19"/>
  <c r="T145" i="19"/>
  <c r="T121" i="19"/>
  <c r="T112" i="19"/>
  <c r="T103" i="19"/>
  <c r="T94" i="19"/>
  <c r="T85" i="19"/>
  <c r="T76" i="19"/>
  <c r="U1" i="19"/>
  <c r="T170" i="19"/>
  <c r="T161" i="19"/>
  <c r="T152" i="19"/>
  <c r="T143" i="19"/>
  <c r="T126" i="19"/>
  <c r="T117" i="19"/>
  <c r="T108" i="19"/>
  <c r="T99" i="19"/>
  <c r="T90" i="19"/>
  <c r="T81" i="19"/>
  <c r="T72" i="19"/>
  <c r="T158" i="19"/>
  <c r="T130" i="19"/>
  <c r="T96" i="19"/>
  <c r="T45" i="19"/>
  <c r="T39" i="19"/>
  <c r="T28" i="19"/>
  <c r="T18" i="19"/>
  <c r="T7" i="19"/>
  <c r="T167" i="19"/>
  <c r="T114" i="19"/>
  <c r="T63" i="19"/>
  <c r="T57" i="19"/>
  <c r="T43" i="19"/>
  <c r="T21" i="19"/>
  <c r="T10" i="19"/>
  <c r="T148" i="19"/>
  <c r="T123" i="19"/>
  <c r="T69" i="19"/>
  <c r="T66" i="19"/>
  <c r="T52" i="19"/>
  <c r="T12" i="19"/>
  <c r="T157" i="19"/>
  <c r="T137" i="19"/>
  <c r="T78" i="19"/>
  <c r="T61" i="19"/>
  <c r="T34" i="19"/>
  <c r="T25" i="19"/>
  <c r="T3" i="19"/>
  <c r="T33" i="19"/>
  <c r="T15" i="19"/>
  <c r="T87" i="19"/>
  <c r="T48" i="19"/>
  <c r="T124" i="19"/>
  <c r="T105" i="19"/>
  <c r="T36" i="19"/>
  <c r="T54" i="19"/>
  <c r="T16" i="19"/>
  <c r="T179" i="19"/>
  <c r="T24" i="19"/>
  <c r="T6" i="19"/>
  <c r="T176" i="19"/>
  <c r="T136" i="19"/>
  <c r="T27" i="19"/>
  <c r="T166" i="19"/>
  <c r="T115" i="19"/>
  <c r="T106" i="19"/>
  <c r="T97" i="19"/>
  <c r="T88" i="19"/>
  <c r="T139" i="19"/>
  <c r="T9" i="19"/>
  <c r="T30" i="19"/>
  <c r="T149" i="19"/>
  <c r="T79" i="19"/>
  <c r="T70" i="19"/>
  <c r="T19" i="19"/>
  <c r="T176" i="27"/>
  <c r="T173" i="27"/>
  <c r="T170" i="27"/>
  <c r="T167" i="27"/>
  <c r="T164" i="27"/>
  <c r="T161" i="27"/>
  <c r="T158" i="27"/>
  <c r="T155" i="27"/>
  <c r="T152" i="27"/>
  <c r="T149" i="27"/>
  <c r="T146" i="27"/>
  <c r="T174" i="27"/>
  <c r="T171" i="27"/>
  <c r="T168" i="27"/>
  <c r="T165" i="27"/>
  <c r="T162" i="27"/>
  <c r="T159" i="27"/>
  <c r="T156" i="27"/>
  <c r="T153" i="27"/>
  <c r="T150" i="27"/>
  <c r="T147" i="27"/>
  <c r="T142" i="27"/>
  <c r="T139" i="27"/>
  <c r="T136" i="27"/>
  <c r="T133" i="27"/>
  <c r="T130" i="27"/>
  <c r="T127" i="27"/>
  <c r="T123" i="27"/>
  <c r="T114" i="27"/>
  <c r="T169" i="27"/>
  <c r="T160" i="27"/>
  <c r="T151" i="27"/>
  <c r="T143" i="27"/>
  <c r="T140" i="27"/>
  <c r="T137" i="27"/>
  <c r="T134" i="27"/>
  <c r="T131" i="27"/>
  <c r="T128" i="27"/>
  <c r="T124" i="27"/>
  <c r="T115" i="27"/>
  <c r="T111" i="27"/>
  <c r="T172" i="27"/>
  <c r="T163" i="27"/>
  <c r="T154" i="27"/>
  <c r="T145" i="27"/>
  <c r="T175" i="27"/>
  <c r="T166" i="27"/>
  <c r="T157" i="27"/>
  <c r="T148" i="27"/>
  <c r="T108" i="27"/>
  <c r="T105" i="27"/>
  <c r="T102" i="27"/>
  <c r="T99" i="27"/>
  <c r="T96" i="27"/>
  <c r="T93" i="27"/>
  <c r="T90" i="27"/>
  <c r="T87" i="27"/>
  <c r="T109" i="27"/>
  <c r="T106" i="27"/>
  <c r="T103" i="27"/>
  <c r="T100" i="27"/>
  <c r="T97" i="27"/>
  <c r="T94" i="27"/>
  <c r="T91" i="27"/>
  <c r="T88" i="27"/>
  <c r="T144" i="27"/>
  <c r="T141" i="27"/>
  <c r="T138" i="27"/>
  <c r="T135" i="27"/>
  <c r="T132" i="27"/>
  <c r="T129" i="27"/>
  <c r="T125" i="27"/>
  <c r="T116" i="27"/>
  <c r="T113" i="27"/>
  <c r="T86" i="27"/>
  <c r="T84" i="27"/>
  <c r="T81" i="27"/>
  <c r="T78" i="27"/>
  <c r="T75" i="27"/>
  <c r="T72" i="27"/>
  <c r="T69" i="27"/>
  <c r="T66" i="27"/>
  <c r="T110" i="27"/>
  <c r="T107" i="27"/>
  <c r="T104" i="27"/>
  <c r="T101" i="27"/>
  <c r="T98" i="27"/>
  <c r="T95" i="27"/>
  <c r="T92" i="27"/>
  <c r="T89" i="27"/>
  <c r="T85" i="27"/>
  <c r="T82" i="27"/>
  <c r="T79" i="27"/>
  <c r="T76" i="27"/>
  <c r="T73" i="27"/>
  <c r="T70" i="27"/>
  <c r="T67" i="27"/>
  <c r="T64" i="27"/>
  <c r="T83" i="27"/>
  <c r="T80" i="27"/>
  <c r="T77" i="27"/>
  <c r="T74" i="27"/>
  <c r="T71" i="27"/>
  <c r="T68" i="27"/>
  <c r="T65" i="27"/>
  <c r="T61" i="27"/>
  <c r="T58" i="27"/>
  <c r="T55" i="27"/>
  <c r="T52" i="27"/>
  <c r="T49" i="27"/>
  <c r="T46" i="27"/>
  <c r="T43" i="27"/>
  <c r="T40" i="27"/>
  <c r="T37" i="27"/>
  <c r="T63" i="27"/>
  <c r="T60" i="27"/>
  <c r="T57" i="27"/>
  <c r="T54" i="27"/>
  <c r="T51" i="27"/>
  <c r="T48" i="27"/>
  <c r="T45" i="27"/>
  <c r="T42" i="27"/>
  <c r="T39" i="27"/>
  <c r="T35" i="27"/>
  <c r="T32" i="27"/>
  <c r="T29" i="27"/>
  <c r="T26" i="27"/>
  <c r="T23" i="27"/>
  <c r="T20" i="27"/>
  <c r="T17" i="27"/>
  <c r="T14" i="27"/>
  <c r="T11" i="27"/>
  <c r="T59" i="27"/>
  <c r="T50" i="27"/>
  <c r="T41" i="27"/>
  <c r="T36" i="27"/>
  <c r="T33" i="27"/>
  <c r="T30" i="27"/>
  <c r="T27" i="27"/>
  <c r="T24" i="27"/>
  <c r="T21" i="27"/>
  <c r="T18" i="27"/>
  <c r="T15" i="27"/>
  <c r="T12" i="27"/>
  <c r="T56" i="27"/>
  <c r="T47" i="27"/>
  <c r="T38" i="27"/>
  <c r="T62" i="27"/>
  <c r="T53" i="27"/>
  <c r="T44" i="27"/>
  <c r="T7" i="27"/>
  <c r="T4" i="27"/>
  <c r="U1" i="27"/>
  <c r="T28" i="27"/>
  <c r="T19" i="27"/>
  <c r="T8" i="27"/>
  <c r="T5" i="27"/>
  <c r="T10" i="27"/>
  <c r="T9" i="27"/>
  <c r="T6" i="27"/>
  <c r="T3" i="27"/>
  <c r="T13" i="27"/>
  <c r="T25" i="27"/>
  <c r="T22" i="27"/>
  <c r="T34" i="27"/>
  <c r="T31" i="27"/>
  <c r="T16" i="27"/>
  <c r="W191" i="17"/>
  <c r="W188" i="17"/>
  <c r="W185" i="17"/>
  <c r="W182" i="17"/>
  <c r="W179" i="17"/>
  <c r="W176" i="17"/>
  <c r="W173" i="17"/>
  <c r="W170" i="17"/>
  <c r="W167" i="17"/>
  <c r="W164" i="17"/>
  <c r="W161" i="17"/>
  <c r="W158" i="17"/>
  <c r="W155" i="17"/>
  <c r="W152" i="17"/>
  <c r="W149" i="17"/>
  <c r="W192" i="17"/>
  <c r="W189" i="17"/>
  <c r="W186" i="17"/>
  <c r="W183" i="17"/>
  <c r="W180" i="17"/>
  <c r="W177" i="17"/>
  <c r="W174" i="17"/>
  <c r="W171" i="17"/>
  <c r="W168" i="17"/>
  <c r="W165" i="17"/>
  <c r="W162" i="17"/>
  <c r="W159" i="17"/>
  <c r="W156" i="17"/>
  <c r="W153" i="17"/>
  <c r="W150" i="17"/>
  <c r="W147" i="17"/>
  <c r="W144" i="17"/>
  <c r="W136" i="17"/>
  <c r="W128" i="17"/>
  <c r="W125" i="17"/>
  <c r="W122" i="17"/>
  <c r="W119" i="17"/>
  <c r="W116" i="17"/>
  <c r="W113" i="17"/>
  <c r="W110" i="17"/>
  <c r="W107" i="17"/>
  <c r="W104" i="17"/>
  <c r="W101" i="17"/>
  <c r="W98" i="17"/>
  <c r="W95" i="17"/>
  <c r="W184" i="17"/>
  <c r="W142" i="17"/>
  <c r="W139" i="17"/>
  <c r="W148" i="17"/>
  <c r="W145" i="17"/>
  <c r="W126" i="17"/>
  <c r="W123" i="17"/>
  <c r="W120" i="17"/>
  <c r="W117" i="17"/>
  <c r="W114" i="17"/>
  <c r="W111" i="17"/>
  <c r="W108" i="17"/>
  <c r="W105" i="17"/>
  <c r="W102" i="17"/>
  <c r="W99" i="17"/>
  <c r="W96" i="17"/>
  <c r="W93" i="17"/>
  <c r="W90" i="17"/>
  <c r="W190" i="17"/>
  <c r="W124" i="17"/>
  <c r="W115" i="17"/>
  <c r="W106" i="17"/>
  <c r="W97" i="17"/>
  <c r="W91" i="17"/>
  <c r="W89" i="17"/>
  <c r="W86" i="17"/>
  <c r="W83" i="17"/>
  <c r="W80" i="17"/>
  <c r="W77" i="17"/>
  <c r="W74" i="17"/>
  <c r="W71" i="17"/>
  <c r="W133" i="17"/>
  <c r="W132" i="17"/>
  <c r="W66" i="17"/>
  <c r="W63" i="17"/>
  <c r="W60" i="17"/>
  <c r="W57" i="17"/>
  <c r="W54" i="17"/>
  <c r="W51" i="17"/>
  <c r="W48" i="17"/>
  <c r="W45" i="17"/>
  <c r="W42" i="17"/>
  <c r="W39" i="17"/>
  <c r="W36" i="17"/>
  <c r="W33" i="17"/>
  <c r="W30" i="17"/>
  <c r="W27" i="17"/>
  <c r="W24" i="17"/>
  <c r="W21" i="17"/>
  <c r="W18" i="17"/>
  <c r="W15" i="17"/>
  <c r="W12" i="17"/>
  <c r="W9" i="17"/>
  <c r="W6" i="17"/>
  <c r="W3" i="17"/>
  <c r="W187" i="17"/>
  <c r="W181" i="17"/>
  <c r="W135" i="17"/>
  <c r="W134" i="17"/>
  <c r="W127" i="17"/>
  <c r="W118" i="17"/>
  <c r="W109" i="17"/>
  <c r="W100" i="17"/>
  <c r="W87" i="17"/>
  <c r="W84" i="17"/>
  <c r="W81" i="17"/>
  <c r="W78" i="17"/>
  <c r="W75" i="17"/>
  <c r="W72" i="17"/>
  <c r="W69" i="17"/>
  <c r="W137" i="17"/>
  <c r="W169" i="17"/>
  <c r="W160" i="17"/>
  <c r="W151" i="17"/>
  <c r="W131" i="17"/>
  <c r="W178" i="17"/>
  <c r="W146" i="17"/>
  <c r="W143" i="17"/>
  <c r="W141" i="17"/>
  <c r="W121" i="17"/>
  <c r="W112" i="17"/>
  <c r="W103" i="17"/>
  <c r="W94" i="17"/>
  <c r="W88" i="17"/>
  <c r="W85" i="17"/>
  <c r="W82" i="17"/>
  <c r="W79" i="17"/>
  <c r="W76" i="17"/>
  <c r="W73" i="17"/>
  <c r="W70" i="17"/>
  <c r="W130" i="17"/>
  <c r="W13" i="17"/>
  <c r="W4" i="17"/>
  <c r="W166" i="17"/>
  <c r="W154" i="17"/>
  <c r="X1" i="17"/>
  <c r="W129" i="17"/>
  <c r="W14" i="17"/>
  <c r="W5" i="17"/>
  <c r="W175" i="17"/>
  <c r="W163" i="17"/>
  <c r="W67" i="17"/>
  <c r="W64" i="17"/>
  <c r="W61" i="17"/>
  <c r="W58" i="17"/>
  <c r="W55" i="17"/>
  <c r="W52" i="17"/>
  <c r="W49" i="17"/>
  <c r="W46" i="17"/>
  <c r="W43" i="17"/>
  <c r="W40" i="17"/>
  <c r="W37" i="17"/>
  <c r="W34" i="17"/>
  <c r="W31" i="17"/>
  <c r="W28" i="17"/>
  <c r="W25" i="17"/>
  <c r="W22" i="17"/>
  <c r="W16" i="17"/>
  <c r="W7" i="17"/>
  <c r="W17" i="17"/>
  <c r="W8" i="17"/>
  <c r="W172" i="17"/>
  <c r="W140" i="17"/>
  <c r="W138" i="17"/>
  <c r="W68" i="17"/>
  <c r="W65" i="17"/>
  <c r="W62" i="17"/>
  <c r="W59" i="17"/>
  <c r="W56" i="17"/>
  <c r="W53" i="17"/>
  <c r="W50" i="17"/>
  <c r="W47" i="17"/>
  <c r="W44" i="17"/>
  <c r="W41" i="17"/>
  <c r="W38" i="17"/>
  <c r="W35" i="17"/>
  <c r="W32" i="17"/>
  <c r="W29" i="17"/>
  <c r="W26" i="17"/>
  <c r="W23" i="17"/>
  <c r="W19" i="17"/>
  <c r="W10" i="17"/>
  <c r="W157" i="17"/>
  <c r="W92" i="17"/>
  <c r="W20" i="17"/>
  <c r="W11" i="17"/>
  <c r="T184" i="23"/>
  <c r="T181" i="23"/>
  <c r="T178" i="23"/>
  <c r="T175" i="23"/>
  <c r="T172" i="23"/>
  <c r="T169" i="23"/>
  <c r="T166" i="23"/>
  <c r="T163" i="23"/>
  <c r="T160" i="23"/>
  <c r="T157" i="23"/>
  <c r="T154" i="23"/>
  <c r="T151" i="23"/>
  <c r="T148" i="23"/>
  <c r="T145" i="23"/>
  <c r="T142" i="23"/>
  <c r="T139" i="23"/>
  <c r="T136" i="23"/>
  <c r="T126" i="23"/>
  <c r="T123" i="23"/>
  <c r="T131" i="23"/>
  <c r="T134" i="23"/>
  <c r="T185" i="23"/>
  <c r="T182" i="23"/>
  <c r="T179" i="23"/>
  <c r="T176" i="23"/>
  <c r="T173" i="23"/>
  <c r="T170" i="23"/>
  <c r="T167" i="23"/>
  <c r="T164" i="23"/>
  <c r="T161" i="23"/>
  <c r="T158" i="23"/>
  <c r="T155" i="23"/>
  <c r="T152" i="23"/>
  <c r="T149" i="23"/>
  <c r="T146" i="23"/>
  <c r="T143" i="23"/>
  <c r="T140" i="23"/>
  <c r="T137" i="23"/>
  <c r="T129" i="23"/>
  <c r="T121" i="23"/>
  <c r="T127" i="23"/>
  <c r="T135" i="23"/>
  <c r="T132" i="23"/>
  <c r="T130" i="23"/>
  <c r="T117" i="23"/>
  <c r="T114" i="23"/>
  <c r="T111" i="23"/>
  <c r="T108" i="23"/>
  <c r="T105" i="23"/>
  <c r="T102" i="23"/>
  <c r="T99" i="23"/>
  <c r="T96" i="23"/>
  <c r="T93" i="23"/>
  <c r="T90" i="23"/>
  <c r="T87" i="23"/>
  <c r="T84" i="23"/>
  <c r="T125" i="23"/>
  <c r="T124" i="23"/>
  <c r="T118" i="23"/>
  <c r="T115" i="23"/>
  <c r="T112" i="23"/>
  <c r="T109" i="23"/>
  <c r="T106" i="23"/>
  <c r="T103" i="23"/>
  <c r="T100" i="23"/>
  <c r="T97" i="23"/>
  <c r="T159" i="23"/>
  <c r="T113" i="23"/>
  <c r="T104" i="23"/>
  <c r="T180" i="23"/>
  <c r="T165" i="23"/>
  <c r="T153" i="23"/>
  <c r="T138" i="23"/>
  <c r="T110" i="23"/>
  <c r="T120" i="23"/>
  <c r="T183" i="23"/>
  <c r="T171" i="23"/>
  <c r="T156" i="23"/>
  <c r="T144" i="23"/>
  <c r="T177" i="23"/>
  <c r="T150" i="23"/>
  <c r="T107" i="23"/>
  <c r="T83" i="23"/>
  <c r="T147" i="23"/>
  <c r="T141" i="23"/>
  <c r="T119" i="23"/>
  <c r="T81" i="23"/>
  <c r="T78" i="23"/>
  <c r="T75" i="23"/>
  <c r="T72" i="23"/>
  <c r="T69" i="23"/>
  <c r="T66" i="23"/>
  <c r="T63" i="23"/>
  <c r="T60" i="23"/>
  <c r="T57" i="23"/>
  <c r="T54" i="23"/>
  <c r="T51" i="23"/>
  <c r="T48" i="23"/>
  <c r="T94" i="23"/>
  <c r="T92" i="23"/>
  <c r="T91" i="23"/>
  <c r="T86" i="23"/>
  <c r="T162" i="23"/>
  <c r="T95" i="23"/>
  <c r="T128" i="23"/>
  <c r="T85" i="23"/>
  <c r="T168" i="23"/>
  <c r="T116" i="23"/>
  <c r="T101" i="23"/>
  <c r="T89" i="23"/>
  <c r="T122" i="23"/>
  <c r="T80" i="23"/>
  <c r="T77" i="23"/>
  <c r="T74" i="23"/>
  <c r="T71" i="23"/>
  <c r="T68" i="23"/>
  <c r="T65" i="23"/>
  <c r="T62" i="23"/>
  <c r="T59" i="23"/>
  <c r="T56" i="23"/>
  <c r="T53" i="23"/>
  <c r="T50" i="23"/>
  <c r="T64" i="23"/>
  <c r="T55" i="23"/>
  <c r="T79" i="23"/>
  <c r="T70" i="23"/>
  <c r="T52" i="23"/>
  <c r="T46" i="23"/>
  <c r="T43" i="23"/>
  <c r="T40" i="23"/>
  <c r="T37" i="23"/>
  <c r="T34" i="23"/>
  <c r="T31" i="23"/>
  <c r="T28" i="23"/>
  <c r="T25" i="23"/>
  <c r="T22" i="23"/>
  <c r="T19" i="23"/>
  <c r="T16" i="23"/>
  <c r="T13" i="23"/>
  <c r="T10" i="23"/>
  <c r="T7" i="23"/>
  <c r="T4" i="23"/>
  <c r="T98" i="23"/>
  <c r="T174" i="23"/>
  <c r="T58" i="23"/>
  <c r="U1" i="23"/>
  <c r="T76" i="23"/>
  <c r="T67" i="23"/>
  <c r="T133" i="23"/>
  <c r="T88" i="23"/>
  <c r="T49" i="23"/>
  <c r="T47" i="23"/>
  <c r="T44" i="23"/>
  <c r="T41" i="23"/>
  <c r="T38" i="23"/>
  <c r="T35" i="23"/>
  <c r="T32" i="23"/>
  <c r="T29" i="23"/>
  <c r="T26" i="23"/>
  <c r="T23" i="23"/>
  <c r="T20" i="23"/>
  <c r="T17" i="23"/>
  <c r="T14" i="23"/>
  <c r="T11" i="23"/>
  <c r="T8" i="23"/>
  <c r="T5" i="23"/>
  <c r="T61" i="23"/>
  <c r="T82" i="23"/>
  <c r="T73" i="23"/>
  <c r="T42" i="23"/>
  <c r="T33" i="23"/>
  <c r="T39" i="23"/>
  <c r="T30" i="23"/>
  <c r="T45" i="23"/>
  <c r="T36" i="23"/>
  <c r="T27" i="23"/>
  <c r="T3" i="23"/>
  <c r="T9" i="23"/>
  <c r="T15" i="23"/>
  <c r="T21" i="23"/>
  <c r="T6" i="23"/>
  <c r="T12" i="23"/>
  <c r="T18" i="23"/>
  <c r="T24" i="23"/>
  <c r="T190" i="18"/>
  <c r="T187" i="18"/>
  <c r="T184" i="18"/>
  <c r="T181" i="18"/>
  <c r="T178" i="18"/>
  <c r="T175" i="18"/>
  <c r="T172" i="18"/>
  <c r="T169" i="18"/>
  <c r="T166" i="18"/>
  <c r="T163" i="18"/>
  <c r="T160" i="18"/>
  <c r="T157" i="18"/>
  <c r="T154" i="18"/>
  <c r="T151" i="18"/>
  <c r="T141" i="18"/>
  <c r="T192" i="18"/>
  <c r="T183" i="18"/>
  <c r="T174" i="18"/>
  <c r="T165" i="18"/>
  <c r="T156" i="18"/>
  <c r="T143" i="18"/>
  <c r="T138" i="18"/>
  <c r="T188" i="18"/>
  <c r="T179" i="18"/>
  <c r="T170" i="18"/>
  <c r="T191" i="18"/>
  <c r="T182" i="18"/>
  <c r="T173" i="18"/>
  <c r="T189" i="18"/>
  <c r="T180" i="18"/>
  <c r="T186" i="18"/>
  <c r="T176" i="18"/>
  <c r="T167" i="18"/>
  <c r="T150" i="18"/>
  <c r="T68" i="18"/>
  <c r="T65" i="18"/>
  <c r="T62" i="18"/>
  <c r="T59" i="18"/>
  <c r="T56" i="18"/>
  <c r="T53" i="18"/>
  <c r="T50" i="18"/>
  <c r="T47" i="18"/>
  <c r="T44" i="18"/>
  <c r="T41" i="18"/>
  <c r="T38" i="18"/>
  <c r="T35" i="18"/>
  <c r="T32" i="18"/>
  <c r="T29" i="18"/>
  <c r="T26" i="18"/>
  <c r="T23" i="18"/>
  <c r="T20" i="18"/>
  <c r="T17" i="18"/>
  <c r="T14" i="18"/>
  <c r="T11" i="18"/>
  <c r="T8" i="18"/>
  <c r="T5" i="18"/>
  <c r="T148" i="18"/>
  <c r="T146" i="18"/>
  <c r="T66" i="18"/>
  <c r="T63" i="18"/>
  <c r="T60" i="18"/>
  <c r="T57" i="18"/>
  <c r="T54" i="18"/>
  <c r="T51" i="18"/>
  <c r="T48" i="18"/>
  <c r="T45" i="18"/>
  <c r="T42" i="18"/>
  <c r="T39" i="18"/>
  <c r="T36" i="18"/>
  <c r="T33" i="18"/>
  <c r="T30" i="18"/>
  <c r="T27" i="18"/>
  <c r="T24" i="18"/>
  <c r="T21" i="18"/>
  <c r="T18" i="18"/>
  <c r="T15" i="18"/>
  <c r="T12" i="18"/>
  <c r="T9" i="18"/>
  <c r="T6" i="18"/>
  <c r="T3" i="18"/>
  <c r="T164" i="18"/>
  <c r="T67" i="18"/>
  <c r="T58" i="18"/>
  <c r="T49" i="18"/>
  <c r="T40" i="18"/>
  <c r="T31" i="18"/>
  <c r="T22" i="18"/>
  <c r="T13" i="18"/>
  <c r="T4" i="18"/>
  <c r="T162" i="18"/>
  <c r="T161" i="18"/>
  <c r="T121" i="18"/>
  <c r="T112" i="18"/>
  <c r="T103" i="18"/>
  <c r="T94" i="18"/>
  <c r="T85" i="18"/>
  <c r="T76" i="18"/>
  <c r="T135" i="18"/>
  <c r="T130" i="18"/>
  <c r="T125" i="18"/>
  <c r="T116" i="18"/>
  <c r="T107" i="18"/>
  <c r="T98" i="18"/>
  <c r="T89" i="18"/>
  <c r="T80" i="18"/>
  <c r="T71" i="18"/>
  <c r="T159" i="18"/>
  <c r="T136" i="18"/>
  <c r="T120" i="18"/>
  <c r="T111" i="18"/>
  <c r="T102" i="18"/>
  <c r="T93" i="18"/>
  <c r="T84" i="18"/>
  <c r="T75" i="18"/>
  <c r="T171" i="18"/>
  <c r="T158" i="18"/>
  <c r="T134" i="18"/>
  <c r="T129" i="18"/>
  <c r="T61" i="18"/>
  <c r="T52" i="18"/>
  <c r="T43" i="18"/>
  <c r="T34" i="18"/>
  <c r="T25" i="18"/>
  <c r="T16" i="18"/>
  <c r="T7" i="18"/>
  <c r="U1" i="18"/>
  <c r="T144" i="18"/>
  <c r="T142" i="18"/>
  <c r="T139" i="18"/>
  <c r="T124" i="18"/>
  <c r="T115" i="18"/>
  <c r="T106" i="18"/>
  <c r="T155" i="18"/>
  <c r="T133" i="18"/>
  <c r="T128" i="18"/>
  <c r="T119" i="18"/>
  <c r="T110" i="18"/>
  <c r="T101" i="18"/>
  <c r="T92" i="18"/>
  <c r="T83" i="18"/>
  <c r="T177" i="18"/>
  <c r="T95" i="18"/>
  <c r="T86" i="18"/>
  <c r="T72" i="18"/>
  <c r="T114" i="18"/>
  <c r="T28" i="18"/>
  <c r="T185" i="18"/>
  <c r="T152" i="18"/>
  <c r="T145" i="18"/>
  <c r="T127" i="18"/>
  <c r="T126" i="18"/>
  <c r="T113" i="18"/>
  <c r="T74" i="18"/>
  <c r="T64" i="18"/>
  <c r="T37" i="18"/>
  <c r="T140" i="18"/>
  <c r="T137" i="18"/>
  <c r="T100" i="18"/>
  <c r="T91" i="18"/>
  <c r="T82" i="18"/>
  <c r="T70" i="18"/>
  <c r="T105" i="18"/>
  <c r="T77" i="18"/>
  <c r="T19" i="18"/>
  <c r="T132" i="18"/>
  <c r="T118" i="18"/>
  <c r="T117" i="18"/>
  <c r="T104" i="18"/>
  <c r="T99" i="18"/>
  <c r="T131" i="18"/>
  <c r="T97" i="18"/>
  <c r="T88" i="18"/>
  <c r="T73" i="18"/>
  <c r="T168" i="18"/>
  <c r="T149" i="18"/>
  <c r="T96" i="18"/>
  <c r="T87" i="18"/>
  <c r="T79" i="18"/>
  <c r="T69" i="18"/>
  <c r="T153" i="18"/>
  <c r="T123" i="18"/>
  <c r="T10" i="18"/>
  <c r="T46" i="18"/>
  <c r="T55" i="18"/>
  <c r="T147" i="18"/>
  <c r="T90" i="18"/>
  <c r="T122" i="18"/>
  <c r="T109" i="18"/>
  <c r="T108" i="18"/>
  <c r="T78" i="18"/>
  <c r="T81" i="18"/>
  <c r="T188" i="21"/>
  <c r="T185" i="21"/>
  <c r="T182" i="21"/>
  <c r="T179" i="21"/>
  <c r="T176" i="21"/>
  <c r="T173" i="21"/>
  <c r="T170" i="21"/>
  <c r="T167" i="21"/>
  <c r="T164" i="21"/>
  <c r="T161" i="21"/>
  <c r="T158" i="21"/>
  <c r="T155" i="21"/>
  <c r="T152" i="21"/>
  <c r="T149" i="21"/>
  <c r="T146" i="21"/>
  <c r="T143" i="21"/>
  <c r="T140" i="21"/>
  <c r="T132" i="21"/>
  <c r="T124" i="21"/>
  <c r="T121" i="21"/>
  <c r="T118" i="21"/>
  <c r="T115" i="21"/>
  <c r="T112" i="21"/>
  <c r="T127" i="21"/>
  <c r="T130" i="21"/>
  <c r="T138" i="21"/>
  <c r="T135" i="21"/>
  <c r="T186" i="21"/>
  <c r="T183" i="21"/>
  <c r="T180" i="21"/>
  <c r="T177" i="21"/>
  <c r="T174" i="21"/>
  <c r="T136" i="21"/>
  <c r="T131" i="21"/>
  <c r="T187" i="21"/>
  <c r="T184" i="21"/>
  <c r="T181" i="21"/>
  <c r="T178" i="21"/>
  <c r="T175" i="21"/>
  <c r="T172" i="21"/>
  <c r="T169" i="21"/>
  <c r="T166" i="21"/>
  <c r="T163" i="21"/>
  <c r="T160" i="21"/>
  <c r="T157" i="21"/>
  <c r="T154" i="21"/>
  <c r="T151" i="21"/>
  <c r="T148" i="21"/>
  <c r="T145" i="21"/>
  <c r="T142" i="21"/>
  <c r="T139" i="21"/>
  <c r="T123" i="21"/>
  <c r="T120" i="21"/>
  <c r="T117" i="21"/>
  <c r="T114" i="21"/>
  <c r="T111" i="21"/>
  <c r="T171" i="21"/>
  <c r="T168" i="21"/>
  <c r="T165" i="21"/>
  <c r="T156" i="21"/>
  <c r="T134" i="21"/>
  <c r="T150" i="21"/>
  <c r="T141" i="21"/>
  <c r="T137" i="21"/>
  <c r="T159" i="21"/>
  <c r="T162" i="21"/>
  <c r="T122" i="21"/>
  <c r="T119" i="21"/>
  <c r="T116" i="21"/>
  <c r="T113" i="21"/>
  <c r="T153" i="21"/>
  <c r="T144" i="21"/>
  <c r="T128" i="21"/>
  <c r="T125" i="21"/>
  <c r="T50" i="21"/>
  <c r="T48" i="21"/>
  <c r="T16" i="21"/>
  <c r="T13" i="21"/>
  <c r="T10" i="21"/>
  <c r="T7" i="21"/>
  <c r="T4" i="21"/>
  <c r="T147" i="21"/>
  <c r="T129" i="21"/>
  <c r="T126" i="21"/>
  <c r="T49" i="21"/>
  <c r="T46" i="21"/>
  <c r="T41" i="21"/>
  <c r="T37" i="21"/>
  <c r="T32" i="21"/>
  <c r="T28" i="21"/>
  <c r="T23" i="21"/>
  <c r="T19" i="21"/>
  <c r="T42" i="21"/>
  <c r="T33" i="21"/>
  <c r="T24" i="21"/>
  <c r="T110" i="21"/>
  <c r="T107" i="21"/>
  <c r="T104" i="21"/>
  <c r="T101" i="21"/>
  <c r="T98" i="21"/>
  <c r="T95" i="21"/>
  <c r="T92" i="21"/>
  <c r="T89" i="21"/>
  <c r="T86" i="21"/>
  <c r="T83" i="21"/>
  <c r="T80" i="21"/>
  <c r="T77" i="21"/>
  <c r="T74" i="21"/>
  <c r="T71" i="21"/>
  <c r="T68" i="21"/>
  <c r="T65" i="21"/>
  <c r="T62" i="21"/>
  <c r="T59" i="21"/>
  <c r="T56" i="21"/>
  <c r="T53" i="21"/>
  <c r="T133" i="21"/>
  <c r="T15" i="21"/>
  <c r="T12" i="21"/>
  <c r="T9" i="21"/>
  <c r="T6" i="21"/>
  <c r="T3" i="21"/>
  <c r="T47" i="21"/>
  <c r="T43" i="21"/>
  <c r="T38" i="21"/>
  <c r="T34" i="21"/>
  <c r="T29" i="21"/>
  <c r="T25" i="21"/>
  <c r="T20" i="21"/>
  <c r="T109" i="21"/>
  <c r="T100" i="21"/>
  <c r="T91" i="21"/>
  <c r="T82" i="21"/>
  <c r="T73" i="21"/>
  <c r="T40" i="21"/>
  <c r="T35" i="21"/>
  <c r="T102" i="21"/>
  <c r="T93" i="21"/>
  <c r="T84" i="21"/>
  <c r="T18" i="21"/>
  <c r="T106" i="21"/>
  <c r="T97" i="21"/>
  <c r="T88" i="21"/>
  <c r="T79" i="21"/>
  <c r="T108" i="21"/>
  <c r="T99" i="21"/>
  <c r="T90" i="21"/>
  <c r="T81" i="21"/>
  <c r="T103" i="21"/>
  <c r="T94" i="21"/>
  <c r="T85" i="21"/>
  <c r="T76" i="21"/>
  <c r="T44" i="21"/>
  <c r="T22" i="21"/>
  <c r="T8" i="21"/>
  <c r="T61" i="21"/>
  <c r="T36" i="21"/>
  <c r="T31" i="21"/>
  <c r="T87" i="21"/>
  <c r="T51" i="21"/>
  <c r="T75" i="21"/>
  <c r="T64" i="21"/>
  <c r="T54" i="21"/>
  <c r="T26" i="21"/>
  <c r="T105" i="21"/>
  <c r="T67" i="21"/>
  <c r="T57" i="21"/>
  <c r="T70" i="21"/>
  <c r="T60" i="21"/>
  <c r="T45" i="21"/>
  <c r="T17" i="21"/>
  <c r="T78" i="21"/>
  <c r="T63" i="21"/>
  <c r="T30" i="21"/>
  <c r="T66" i="21"/>
  <c r="T96" i="21"/>
  <c r="T69" i="21"/>
  <c r="T52" i="21"/>
  <c r="T27" i="21"/>
  <c r="T39" i="21"/>
  <c r="T55" i="21"/>
  <c r="T5" i="21"/>
  <c r="U1" i="21"/>
  <c r="T72" i="21"/>
  <c r="T58" i="21"/>
  <c r="T21" i="21"/>
  <c r="T14" i="21"/>
  <c r="T11" i="21"/>
  <c r="U191" i="16"/>
  <c r="U188" i="16"/>
  <c r="U185" i="16"/>
  <c r="U182" i="16"/>
  <c r="U179" i="16"/>
  <c r="U176" i="16"/>
  <c r="U192" i="16"/>
  <c r="U189" i="16"/>
  <c r="U186" i="16"/>
  <c r="U183" i="16"/>
  <c r="U180" i="16"/>
  <c r="U177" i="16"/>
  <c r="U193" i="16"/>
  <c r="U190" i="16"/>
  <c r="U187" i="16"/>
  <c r="U184" i="16"/>
  <c r="U181" i="16"/>
  <c r="U178" i="16"/>
  <c r="U143" i="16"/>
  <c r="U140" i="16"/>
  <c r="U67" i="16"/>
  <c r="U64" i="16"/>
  <c r="U61" i="16"/>
  <c r="U58" i="16"/>
  <c r="U55" i="16"/>
  <c r="U52" i="16"/>
  <c r="U49" i="16"/>
  <c r="U46" i="16"/>
  <c r="U43" i="16"/>
  <c r="U40" i="16"/>
  <c r="U37" i="16"/>
  <c r="U34" i="16"/>
  <c r="U31" i="16"/>
  <c r="U28" i="16"/>
  <c r="U25" i="16"/>
  <c r="U22" i="16"/>
  <c r="U19" i="16"/>
  <c r="U16" i="16"/>
  <c r="U13" i="16"/>
  <c r="U10" i="16"/>
  <c r="U7" i="16"/>
  <c r="U4" i="16"/>
  <c r="U127" i="16"/>
  <c r="U173" i="16"/>
  <c r="U170" i="16"/>
  <c r="U167" i="16"/>
  <c r="U164" i="16"/>
  <c r="U161" i="16"/>
  <c r="U158" i="16"/>
  <c r="U155" i="16"/>
  <c r="U152" i="16"/>
  <c r="U149" i="16"/>
  <c r="U146" i="16"/>
  <c r="U141" i="16"/>
  <c r="U136" i="16"/>
  <c r="U134" i="16"/>
  <c r="U131" i="16"/>
  <c r="U142" i="16"/>
  <c r="U66" i="16"/>
  <c r="U63" i="16"/>
  <c r="U60" i="16"/>
  <c r="U57" i="16"/>
  <c r="U54" i="16"/>
  <c r="U51" i="16"/>
  <c r="U48" i="16"/>
  <c r="U45" i="16"/>
  <c r="U42" i="16"/>
  <c r="U39" i="16"/>
  <c r="U36" i="16"/>
  <c r="U33" i="16"/>
  <c r="U30" i="16"/>
  <c r="U27" i="16"/>
  <c r="U24" i="16"/>
  <c r="U21" i="16"/>
  <c r="U18" i="16"/>
  <c r="U15" i="16"/>
  <c r="U12" i="16"/>
  <c r="U9" i="16"/>
  <c r="U6" i="16"/>
  <c r="U3" i="16"/>
  <c r="U119" i="16"/>
  <c r="U110" i="16"/>
  <c r="U101" i="16"/>
  <c r="U92" i="16"/>
  <c r="U83" i="16"/>
  <c r="U74" i="16"/>
  <c r="U138" i="16"/>
  <c r="U124" i="16"/>
  <c r="U115" i="16"/>
  <c r="U106" i="16"/>
  <c r="U97" i="16"/>
  <c r="U88" i="16"/>
  <c r="U79" i="16"/>
  <c r="U70" i="16"/>
  <c r="U32" i="16"/>
  <c r="U8" i="16"/>
  <c r="U174" i="16"/>
  <c r="U165" i="16"/>
  <c r="U156" i="16"/>
  <c r="U147" i="16"/>
  <c r="U120" i="16"/>
  <c r="U111" i="16"/>
  <c r="U102" i="16"/>
  <c r="U93" i="16"/>
  <c r="U84" i="16"/>
  <c r="U75" i="16"/>
  <c r="U59" i="16"/>
  <c r="U53" i="16"/>
  <c r="U44" i="16"/>
  <c r="U26" i="16"/>
  <c r="U17" i="16"/>
  <c r="U11" i="16"/>
  <c r="U172" i="16"/>
  <c r="U163" i="16"/>
  <c r="U154" i="16"/>
  <c r="U145" i="16"/>
  <c r="U125" i="16"/>
  <c r="U107" i="16"/>
  <c r="U89" i="16"/>
  <c r="U71" i="16"/>
  <c r="U35" i="16"/>
  <c r="U132" i="16"/>
  <c r="U116" i="16"/>
  <c r="U98" i="16"/>
  <c r="U80" i="16"/>
  <c r="U29" i="16"/>
  <c r="U14" i="16"/>
  <c r="U130" i="16"/>
  <c r="U121" i="16"/>
  <c r="U112" i="16"/>
  <c r="U103" i="16"/>
  <c r="U94" i="16"/>
  <c r="U85" i="16"/>
  <c r="U76" i="16"/>
  <c r="U50" i="16"/>
  <c r="U5" i="16"/>
  <c r="U168" i="16"/>
  <c r="U159" i="16"/>
  <c r="U150" i="16"/>
  <c r="U128" i="16"/>
  <c r="U117" i="16"/>
  <c r="U108" i="16"/>
  <c r="U99" i="16"/>
  <c r="U90" i="16"/>
  <c r="U81" i="16"/>
  <c r="U72" i="16"/>
  <c r="U135" i="16"/>
  <c r="U104" i="16"/>
  <c r="U77" i="16"/>
  <c r="U69" i="16"/>
  <c r="U62" i="16"/>
  <c r="U20" i="16"/>
  <c r="U175" i="16"/>
  <c r="U166" i="16"/>
  <c r="U157" i="16"/>
  <c r="U148" i="16"/>
  <c r="U139" i="16"/>
  <c r="U137" i="16"/>
  <c r="U126" i="16"/>
  <c r="U122" i="16"/>
  <c r="U113" i="16"/>
  <c r="U95" i="16"/>
  <c r="U65" i="16"/>
  <c r="U86" i="16"/>
  <c r="U129" i="16"/>
  <c r="U68" i="16"/>
  <c r="U56" i="16"/>
  <c r="U47" i="16"/>
  <c r="U38" i="16"/>
  <c r="U133" i="16"/>
  <c r="U118" i="16"/>
  <c r="U109" i="16"/>
  <c r="U100" i="16"/>
  <c r="U91" i="16"/>
  <c r="U82" i="16"/>
  <c r="U73" i="16"/>
  <c r="V1" i="16"/>
  <c r="U23" i="16"/>
  <c r="U171" i="16"/>
  <c r="U162" i="16"/>
  <c r="U153" i="16"/>
  <c r="U144" i="16"/>
  <c r="U123" i="16"/>
  <c r="U114" i="16"/>
  <c r="U105" i="16"/>
  <c r="U96" i="16"/>
  <c r="U87" i="16"/>
  <c r="U78" i="16"/>
  <c r="U169" i="16"/>
  <c r="U160" i="16"/>
  <c r="U151" i="16"/>
  <c r="U41" i="16"/>
  <c r="W124" i="22"/>
  <c r="W127" i="22"/>
  <c r="W135" i="22"/>
  <c r="W132" i="22"/>
  <c r="W183" i="22"/>
  <c r="W180" i="22"/>
  <c r="W177" i="22"/>
  <c r="W174" i="22"/>
  <c r="W171" i="22"/>
  <c r="W168" i="22"/>
  <c r="W165" i="22"/>
  <c r="W162" i="22"/>
  <c r="W159" i="22"/>
  <c r="W156" i="22"/>
  <c r="W153" i="22"/>
  <c r="W150" i="22"/>
  <c r="W147" i="22"/>
  <c r="W144" i="22"/>
  <c r="W141" i="22"/>
  <c r="W138" i="22"/>
  <c r="W119" i="22"/>
  <c r="W130" i="22"/>
  <c r="W125" i="22"/>
  <c r="W122" i="22"/>
  <c r="W133" i="22"/>
  <c r="W128" i="22"/>
  <c r="W184" i="22"/>
  <c r="W181" i="22"/>
  <c r="W178" i="22"/>
  <c r="W175" i="22"/>
  <c r="W172" i="22"/>
  <c r="W169" i="22"/>
  <c r="W166" i="22"/>
  <c r="W163" i="22"/>
  <c r="W160" i="22"/>
  <c r="W157" i="22"/>
  <c r="W154" i="22"/>
  <c r="W151" i="22"/>
  <c r="W148" i="22"/>
  <c r="W145" i="22"/>
  <c r="W142" i="22"/>
  <c r="W139" i="22"/>
  <c r="W136" i="22"/>
  <c r="W120" i="22"/>
  <c r="W131" i="22"/>
  <c r="W134" i="22"/>
  <c r="W117" i="22"/>
  <c r="W114" i="22"/>
  <c r="W111" i="22"/>
  <c r="W108" i="22"/>
  <c r="W105" i="22"/>
  <c r="W102" i="22"/>
  <c r="W99" i="22"/>
  <c r="W96" i="22"/>
  <c r="W93" i="22"/>
  <c r="W90" i="22"/>
  <c r="W87" i="22"/>
  <c r="W84" i="22"/>
  <c r="W81" i="22"/>
  <c r="W78" i="22"/>
  <c r="W75" i="22"/>
  <c r="W72" i="22"/>
  <c r="W69" i="22"/>
  <c r="W66" i="22"/>
  <c r="W63" i="22"/>
  <c r="W60" i="22"/>
  <c r="W57" i="22"/>
  <c r="W54" i="22"/>
  <c r="W51" i="22"/>
  <c r="W48" i="22"/>
  <c r="W45" i="22"/>
  <c r="W42" i="22"/>
  <c r="W39" i="22"/>
  <c r="W36" i="22"/>
  <c r="W33" i="22"/>
  <c r="W30" i="22"/>
  <c r="W27" i="22"/>
  <c r="W24" i="22"/>
  <c r="W21" i="22"/>
  <c r="W18" i="22"/>
  <c r="W15" i="22"/>
  <c r="W12" i="22"/>
  <c r="W179" i="22"/>
  <c r="W170" i="22"/>
  <c r="W161" i="22"/>
  <c r="W152" i="22"/>
  <c r="W143" i="22"/>
  <c r="W118" i="22"/>
  <c r="W129" i="22"/>
  <c r="W115" i="22"/>
  <c r="W112" i="22"/>
  <c r="W109" i="22"/>
  <c r="W106" i="22"/>
  <c r="W103" i="22"/>
  <c r="W100" i="22"/>
  <c r="W97" i="22"/>
  <c r="W94" i="22"/>
  <c r="W91" i="22"/>
  <c r="W88" i="22"/>
  <c r="W85" i="22"/>
  <c r="W82" i="22"/>
  <c r="W79" i="22"/>
  <c r="W76" i="22"/>
  <c r="W73" i="22"/>
  <c r="W70" i="22"/>
  <c r="W67" i="22"/>
  <c r="W64" i="22"/>
  <c r="W61" i="22"/>
  <c r="W58" i="22"/>
  <c r="W55" i="22"/>
  <c r="W52" i="22"/>
  <c r="W49" i="22"/>
  <c r="W46" i="22"/>
  <c r="W43" i="22"/>
  <c r="W40" i="22"/>
  <c r="W37" i="22"/>
  <c r="W34" i="22"/>
  <c r="W31" i="22"/>
  <c r="W28" i="22"/>
  <c r="W25" i="22"/>
  <c r="W22" i="22"/>
  <c r="W19" i="22"/>
  <c r="W16" i="22"/>
  <c r="W13" i="22"/>
  <c r="W185" i="22"/>
  <c r="W176" i="22"/>
  <c r="W167" i="22"/>
  <c r="W158" i="22"/>
  <c r="W149" i="22"/>
  <c r="W140" i="22"/>
  <c r="W116" i="22"/>
  <c r="W113" i="22"/>
  <c r="W110" i="22"/>
  <c r="W107" i="22"/>
  <c r="W104" i="22"/>
  <c r="W101" i="22"/>
  <c r="W98" i="22"/>
  <c r="W95" i="22"/>
  <c r="W92" i="22"/>
  <c r="W89" i="22"/>
  <c r="W86" i="22"/>
  <c r="W83" i="22"/>
  <c r="W80" i="22"/>
  <c r="W77" i="22"/>
  <c r="W74" i="22"/>
  <c r="W71" i="22"/>
  <c r="W68" i="22"/>
  <c r="W65" i="22"/>
  <c r="W62" i="22"/>
  <c r="W59" i="22"/>
  <c r="W56" i="22"/>
  <c r="W53" i="22"/>
  <c r="W50" i="22"/>
  <c r="W47" i="22"/>
  <c r="W44" i="22"/>
  <c r="W41" i="22"/>
  <c r="W38" i="22"/>
  <c r="W35" i="22"/>
  <c r="W32" i="22"/>
  <c r="W29" i="22"/>
  <c r="W26" i="22"/>
  <c r="W23" i="22"/>
  <c r="W20" i="22"/>
  <c r="W17" i="22"/>
  <c r="W14" i="22"/>
  <c r="W182" i="22"/>
  <c r="W173" i="22"/>
  <c r="W164" i="22"/>
  <c r="W155" i="22"/>
  <c r="W146" i="22"/>
  <c r="W137" i="22"/>
  <c r="W121" i="22"/>
  <c r="W126" i="22"/>
  <c r="X1" i="22"/>
  <c r="W11" i="22"/>
  <c r="W8" i="22"/>
  <c r="W5" i="22"/>
  <c r="W123" i="22"/>
  <c r="W9" i="22"/>
  <c r="W6" i="22"/>
  <c r="W3" i="22"/>
  <c r="W10" i="22"/>
  <c r="W7" i="22"/>
  <c r="W4" i="22"/>
  <c r="T174" i="26"/>
  <c r="T171" i="26"/>
  <c r="T168" i="26"/>
  <c r="T165" i="26"/>
  <c r="T162" i="26"/>
  <c r="T159" i="26"/>
  <c r="T172" i="26"/>
  <c r="T163" i="26"/>
  <c r="T158" i="26"/>
  <c r="T156" i="26"/>
  <c r="T153" i="26"/>
  <c r="T150" i="26"/>
  <c r="T147" i="26"/>
  <c r="T144" i="26"/>
  <c r="T141" i="26"/>
  <c r="T138" i="26"/>
  <c r="T135" i="26"/>
  <c r="T176" i="26"/>
  <c r="T167" i="26"/>
  <c r="T169" i="26"/>
  <c r="T160" i="26"/>
  <c r="T173" i="26"/>
  <c r="T164" i="26"/>
  <c r="T175" i="26"/>
  <c r="T166" i="26"/>
  <c r="T151" i="26"/>
  <c r="T142" i="26"/>
  <c r="T133" i="26"/>
  <c r="T132" i="26"/>
  <c r="T127" i="26"/>
  <c r="T123" i="26"/>
  <c r="T114" i="26"/>
  <c r="T110" i="26"/>
  <c r="T107" i="26"/>
  <c r="T104" i="26"/>
  <c r="T101" i="26"/>
  <c r="T98" i="26"/>
  <c r="T95" i="26"/>
  <c r="T92" i="26"/>
  <c r="T89" i="26"/>
  <c r="T86" i="26"/>
  <c r="T83" i="26"/>
  <c r="T80" i="26"/>
  <c r="T77" i="26"/>
  <c r="T74" i="26"/>
  <c r="T71" i="26"/>
  <c r="T152" i="26"/>
  <c r="T143" i="26"/>
  <c r="T134" i="26"/>
  <c r="T161" i="26"/>
  <c r="T154" i="26"/>
  <c r="T145" i="26"/>
  <c r="T136" i="26"/>
  <c r="T128" i="26"/>
  <c r="T124" i="26"/>
  <c r="T115" i="26"/>
  <c r="T111" i="26"/>
  <c r="T108" i="26"/>
  <c r="T105" i="26"/>
  <c r="T102" i="26"/>
  <c r="T99" i="26"/>
  <c r="T96" i="26"/>
  <c r="T93" i="26"/>
  <c r="T90" i="26"/>
  <c r="T87" i="26"/>
  <c r="T84" i="26"/>
  <c r="T81" i="26"/>
  <c r="T78" i="26"/>
  <c r="T75" i="26"/>
  <c r="T72" i="26"/>
  <c r="T155" i="26"/>
  <c r="T146" i="26"/>
  <c r="T137" i="26"/>
  <c r="T131" i="26"/>
  <c r="T157" i="26"/>
  <c r="T148" i="26"/>
  <c r="T139" i="26"/>
  <c r="T149" i="26"/>
  <c r="T140" i="26"/>
  <c r="T125" i="26"/>
  <c r="T70" i="26"/>
  <c r="T67" i="26"/>
  <c r="T64" i="26"/>
  <c r="T61" i="26"/>
  <c r="T58" i="26"/>
  <c r="T55" i="26"/>
  <c r="T52" i="26"/>
  <c r="T130" i="26"/>
  <c r="T129" i="26"/>
  <c r="T69" i="26"/>
  <c r="T66" i="26"/>
  <c r="T63" i="26"/>
  <c r="T60" i="26"/>
  <c r="T57" i="26"/>
  <c r="T54" i="26"/>
  <c r="T68" i="26"/>
  <c r="T59" i="26"/>
  <c r="T48" i="26"/>
  <c r="T45" i="26"/>
  <c r="T42" i="26"/>
  <c r="T39" i="26"/>
  <c r="T36" i="26"/>
  <c r="T33" i="26"/>
  <c r="T30" i="26"/>
  <c r="T27" i="26"/>
  <c r="T24" i="26"/>
  <c r="T21" i="26"/>
  <c r="T18" i="26"/>
  <c r="T15" i="26"/>
  <c r="T12" i="26"/>
  <c r="T9" i="26"/>
  <c r="T6" i="26"/>
  <c r="T3" i="26"/>
  <c r="T116" i="26"/>
  <c r="T106" i="26"/>
  <c r="T97" i="26"/>
  <c r="T88" i="26"/>
  <c r="T79" i="26"/>
  <c r="T62" i="26"/>
  <c r="T53" i="26"/>
  <c r="T49" i="26"/>
  <c r="T46" i="26"/>
  <c r="T43" i="26"/>
  <c r="T40" i="26"/>
  <c r="T37" i="26"/>
  <c r="T34" i="26"/>
  <c r="T31" i="26"/>
  <c r="T28" i="26"/>
  <c r="T25" i="26"/>
  <c r="T22" i="26"/>
  <c r="T19" i="26"/>
  <c r="T16" i="26"/>
  <c r="T13" i="26"/>
  <c r="T10" i="26"/>
  <c r="T7" i="26"/>
  <c r="T4" i="26"/>
  <c r="T170" i="26"/>
  <c r="T109" i="26"/>
  <c r="T100" i="26"/>
  <c r="T91" i="26"/>
  <c r="T82" i="26"/>
  <c r="T73" i="26"/>
  <c r="T51" i="26"/>
  <c r="U1" i="26"/>
  <c r="T113" i="26"/>
  <c r="T103" i="26"/>
  <c r="T94" i="26"/>
  <c r="T85" i="26"/>
  <c r="T76" i="26"/>
  <c r="T65" i="26"/>
  <c r="T47" i="26"/>
  <c r="T20" i="26"/>
  <c r="T41" i="26"/>
  <c r="T44" i="26"/>
  <c r="T50" i="26"/>
  <c r="T38" i="26"/>
  <c r="T35" i="26"/>
  <c r="T32" i="26"/>
  <c r="T56" i="26"/>
  <c r="T23" i="26"/>
  <c r="T17" i="26"/>
  <c r="T29" i="26"/>
  <c r="T11" i="26"/>
  <c r="T5" i="26"/>
  <c r="T8" i="26"/>
  <c r="T14" i="26"/>
  <c r="T26" i="26"/>
  <c r="U181" i="24"/>
  <c r="U178" i="24"/>
  <c r="U175" i="24"/>
  <c r="U172" i="24"/>
  <c r="U169" i="24"/>
  <c r="U166" i="24"/>
  <c r="U163" i="24"/>
  <c r="U160" i="24"/>
  <c r="U157" i="24"/>
  <c r="U154" i="24"/>
  <c r="U151" i="24"/>
  <c r="U148" i="24"/>
  <c r="U145" i="24"/>
  <c r="U142" i="24"/>
  <c r="U179" i="24"/>
  <c r="U176" i="24"/>
  <c r="U173" i="24"/>
  <c r="U170" i="24"/>
  <c r="U167" i="24"/>
  <c r="U164" i="24"/>
  <c r="U161" i="24"/>
  <c r="U158" i="24"/>
  <c r="U155" i="24"/>
  <c r="U152" i="24"/>
  <c r="U149" i="24"/>
  <c r="U146" i="24"/>
  <c r="U143" i="24"/>
  <c r="U140" i="24"/>
  <c r="U129" i="24"/>
  <c r="U124" i="24"/>
  <c r="U138" i="24"/>
  <c r="U135" i="24"/>
  <c r="U132" i="24"/>
  <c r="U116" i="24"/>
  <c r="U113" i="24"/>
  <c r="U110" i="24"/>
  <c r="U107" i="24"/>
  <c r="U104" i="24"/>
  <c r="U101" i="24"/>
  <c r="U98" i="24"/>
  <c r="U95" i="24"/>
  <c r="U92" i="24"/>
  <c r="U89" i="24"/>
  <c r="U86" i="24"/>
  <c r="U83" i="24"/>
  <c r="U80" i="24"/>
  <c r="U77" i="24"/>
  <c r="U74" i="24"/>
  <c r="U71" i="24"/>
  <c r="U68" i="24"/>
  <c r="U65" i="24"/>
  <c r="U62" i="24"/>
  <c r="U59" i="24"/>
  <c r="U56" i="24"/>
  <c r="U53" i="24"/>
  <c r="U50" i="24"/>
  <c r="U47" i="24"/>
  <c r="U44" i="24"/>
  <c r="U41" i="24"/>
  <c r="U38" i="24"/>
  <c r="U35" i="24"/>
  <c r="U32" i="24"/>
  <c r="U29" i="24"/>
  <c r="U122" i="24"/>
  <c r="U119" i="24"/>
  <c r="U127" i="24"/>
  <c r="U130" i="24"/>
  <c r="U139" i="24"/>
  <c r="U136" i="24"/>
  <c r="U133" i="24"/>
  <c r="U125" i="24"/>
  <c r="U117" i="24"/>
  <c r="U114" i="24"/>
  <c r="U111" i="24"/>
  <c r="U108" i="24"/>
  <c r="U105" i="24"/>
  <c r="U102" i="24"/>
  <c r="U99" i="24"/>
  <c r="U96" i="24"/>
  <c r="U93" i="24"/>
  <c r="U90" i="24"/>
  <c r="U87" i="24"/>
  <c r="U84" i="24"/>
  <c r="U81" i="24"/>
  <c r="U78" i="24"/>
  <c r="U75" i="24"/>
  <c r="U72" i="24"/>
  <c r="U69" i="24"/>
  <c r="U66" i="24"/>
  <c r="U63" i="24"/>
  <c r="U60" i="24"/>
  <c r="U57" i="24"/>
  <c r="U54" i="24"/>
  <c r="U51" i="24"/>
  <c r="U48" i="24"/>
  <c r="U45" i="24"/>
  <c r="U42" i="24"/>
  <c r="U39" i="24"/>
  <c r="U36" i="24"/>
  <c r="U33" i="24"/>
  <c r="U30" i="24"/>
  <c r="U120" i="24"/>
  <c r="U123" i="24"/>
  <c r="U126" i="24"/>
  <c r="U121" i="24"/>
  <c r="U118" i="24"/>
  <c r="U27" i="24"/>
  <c r="U24" i="24"/>
  <c r="U21" i="24"/>
  <c r="U18" i="24"/>
  <c r="U15" i="24"/>
  <c r="U12" i="24"/>
  <c r="U9" i="24"/>
  <c r="U6" i="24"/>
  <c r="U3" i="24"/>
  <c r="U177" i="24"/>
  <c r="U171" i="24"/>
  <c r="U165" i="24"/>
  <c r="U159" i="24"/>
  <c r="U153" i="24"/>
  <c r="U147" i="24"/>
  <c r="U141" i="24"/>
  <c r="U131" i="24"/>
  <c r="U128" i="24"/>
  <c r="U46" i="24"/>
  <c r="U37" i="24"/>
  <c r="U137" i="24"/>
  <c r="U134" i="24"/>
  <c r="U25" i="24"/>
  <c r="U22" i="24"/>
  <c r="U19" i="24"/>
  <c r="U16" i="24"/>
  <c r="U13" i="24"/>
  <c r="U10" i="24"/>
  <c r="U7" i="24"/>
  <c r="U4" i="24"/>
  <c r="U28" i="24"/>
  <c r="V1" i="24"/>
  <c r="U49" i="24"/>
  <c r="U40" i="24"/>
  <c r="U31" i="24"/>
  <c r="U115" i="24"/>
  <c r="U112" i="24"/>
  <c r="U109" i="24"/>
  <c r="U106" i="24"/>
  <c r="U103" i="24"/>
  <c r="U100" i="24"/>
  <c r="U97" i="24"/>
  <c r="U94" i="24"/>
  <c r="U91" i="24"/>
  <c r="U88" i="24"/>
  <c r="U85" i="24"/>
  <c r="U82" i="24"/>
  <c r="U79" i="24"/>
  <c r="U76" i="24"/>
  <c r="U73" i="24"/>
  <c r="U70" i="24"/>
  <c r="U67" i="24"/>
  <c r="U64" i="24"/>
  <c r="U61" i="24"/>
  <c r="U58" i="24"/>
  <c r="U55" i="24"/>
  <c r="U162" i="24"/>
  <c r="U23" i="24"/>
  <c r="U14" i="24"/>
  <c r="U5" i="24"/>
  <c r="U180" i="24"/>
  <c r="U156" i="24"/>
  <c r="U174" i="24"/>
  <c r="U150" i="24"/>
  <c r="U52" i="24"/>
  <c r="U43" i="24"/>
  <c r="U34" i="24"/>
  <c r="U20" i="24"/>
  <c r="U11" i="24"/>
  <c r="U168" i="24"/>
  <c r="U144" i="24"/>
  <c r="U26" i="24"/>
  <c r="U17" i="24"/>
  <c r="U8" i="24"/>
  <c r="U140" i="18" l="1"/>
  <c r="U191" i="18"/>
  <c r="U188" i="18"/>
  <c r="U185" i="18"/>
  <c r="U182" i="18"/>
  <c r="U179" i="18"/>
  <c r="U176" i="18"/>
  <c r="U173" i="18"/>
  <c r="U170" i="18"/>
  <c r="U167" i="18"/>
  <c r="U164" i="18"/>
  <c r="U161" i="18"/>
  <c r="U158" i="18"/>
  <c r="U155" i="18"/>
  <c r="U152" i="18"/>
  <c r="U149" i="18"/>
  <c r="U192" i="18"/>
  <c r="U189" i="18"/>
  <c r="U186" i="18"/>
  <c r="U183" i="18"/>
  <c r="U180" i="18"/>
  <c r="U177" i="18"/>
  <c r="U174" i="18"/>
  <c r="U171" i="18"/>
  <c r="U168" i="18"/>
  <c r="U165" i="18"/>
  <c r="U162" i="18"/>
  <c r="U159" i="18"/>
  <c r="U156" i="18"/>
  <c r="U153" i="18"/>
  <c r="U150" i="18"/>
  <c r="U147" i="18"/>
  <c r="U144" i="18"/>
  <c r="U136" i="18"/>
  <c r="U190" i="18"/>
  <c r="U181" i="18"/>
  <c r="U172" i="18"/>
  <c r="U184" i="18"/>
  <c r="U175" i="18"/>
  <c r="U166" i="18"/>
  <c r="U151" i="18"/>
  <c r="U128" i="18"/>
  <c r="U125" i="18"/>
  <c r="U122" i="18"/>
  <c r="U119" i="18"/>
  <c r="U116" i="18"/>
  <c r="U113" i="18"/>
  <c r="U110" i="18"/>
  <c r="U107" i="18"/>
  <c r="U104" i="18"/>
  <c r="U101" i="18"/>
  <c r="U98" i="18"/>
  <c r="U95" i="18"/>
  <c r="U92" i="18"/>
  <c r="U89" i="18"/>
  <c r="U86" i="18"/>
  <c r="U83" i="18"/>
  <c r="U80" i="18"/>
  <c r="U77" i="18"/>
  <c r="U74" i="18"/>
  <c r="U71" i="18"/>
  <c r="U154" i="18"/>
  <c r="U145" i="18"/>
  <c r="U142" i="18"/>
  <c r="U126" i="18"/>
  <c r="U123" i="18"/>
  <c r="U120" i="18"/>
  <c r="U117" i="18"/>
  <c r="U114" i="18"/>
  <c r="U111" i="18"/>
  <c r="U108" i="18"/>
  <c r="U105" i="18"/>
  <c r="U102" i="18"/>
  <c r="U99" i="18"/>
  <c r="U96" i="18"/>
  <c r="U93" i="18"/>
  <c r="U90" i="18"/>
  <c r="U87" i="18"/>
  <c r="U84" i="18"/>
  <c r="U81" i="18"/>
  <c r="U78" i="18"/>
  <c r="U75" i="18"/>
  <c r="U72" i="18"/>
  <c r="U69" i="18"/>
  <c r="U138" i="18"/>
  <c r="U121" i="18"/>
  <c r="U112" i="18"/>
  <c r="U103" i="18"/>
  <c r="U94" i="18"/>
  <c r="U85" i="18"/>
  <c r="U76" i="18"/>
  <c r="U163" i="18"/>
  <c r="U135" i="18"/>
  <c r="U130" i="18"/>
  <c r="U62" i="18"/>
  <c r="U53" i="18"/>
  <c r="U44" i="18"/>
  <c r="U35" i="18"/>
  <c r="U178" i="18"/>
  <c r="U66" i="18"/>
  <c r="U57" i="18"/>
  <c r="U48" i="18"/>
  <c r="U39" i="18"/>
  <c r="U30" i="18"/>
  <c r="U21" i="18"/>
  <c r="U12" i="18"/>
  <c r="U3" i="18"/>
  <c r="U160" i="18"/>
  <c r="U134" i="18"/>
  <c r="U129" i="18"/>
  <c r="U61" i="18"/>
  <c r="U52" i="18"/>
  <c r="U43" i="18"/>
  <c r="U34" i="18"/>
  <c r="U25" i="18"/>
  <c r="U16" i="18"/>
  <c r="U7" i="18"/>
  <c r="V1" i="18"/>
  <c r="U148" i="18"/>
  <c r="U146" i="18"/>
  <c r="U139" i="18"/>
  <c r="U124" i="18"/>
  <c r="U115" i="18"/>
  <c r="U106" i="18"/>
  <c r="U97" i="18"/>
  <c r="U88" i="18"/>
  <c r="U79" i="18"/>
  <c r="U70" i="18"/>
  <c r="U157" i="18"/>
  <c r="U133" i="18"/>
  <c r="U169" i="18"/>
  <c r="U51" i="18"/>
  <c r="U24" i="18"/>
  <c r="U18" i="18"/>
  <c r="U127" i="18"/>
  <c r="U64" i="18"/>
  <c r="U47" i="18"/>
  <c r="U37" i="18"/>
  <c r="U26" i="18"/>
  <c r="U54" i="18"/>
  <c r="U11" i="18"/>
  <c r="U5" i="18"/>
  <c r="U137" i="18"/>
  <c r="U100" i="18"/>
  <c r="U91" i="18"/>
  <c r="U82" i="18"/>
  <c r="U60" i="18"/>
  <c r="U33" i="18"/>
  <c r="U15" i="18"/>
  <c r="U9" i="18"/>
  <c r="U67" i="18"/>
  <c r="U50" i="18"/>
  <c r="U40" i="18"/>
  <c r="U19" i="18"/>
  <c r="U13" i="18"/>
  <c r="U143" i="18"/>
  <c r="U132" i="18"/>
  <c r="U118" i="18"/>
  <c r="U56" i="18"/>
  <c r="U46" i="18"/>
  <c r="U17" i="18"/>
  <c r="U131" i="18"/>
  <c r="U42" i="18"/>
  <c r="U27" i="18"/>
  <c r="U6" i="18"/>
  <c r="U141" i="18"/>
  <c r="U59" i="18"/>
  <c r="U49" i="18"/>
  <c r="U32" i="18"/>
  <c r="U10" i="18"/>
  <c r="U4" i="18"/>
  <c r="U187" i="18"/>
  <c r="U109" i="18"/>
  <c r="U65" i="18"/>
  <c r="U55" i="18"/>
  <c r="U38" i="18"/>
  <c r="U8" i="18"/>
  <c r="U14" i="18"/>
  <c r="U58" i="18"/>
  <c r="U22" i="18"/>
  <c r="U73" i="18"/>
  <c r="U36" i="18"/>
  <c r="U45" i="18"/>
  <c r="U63" i="18"/>
  <c r="U29" i="18"/>
  <c r="U41" i="18"/>
  <c r="U23" i="18"/>
  <c r="U20" i="18"/>
  <c r="U31" i="18"/>
  <c r="U28" i="18"/>
  <c r="U68" i="18"/>
  <c r="X189" i="17"/>
  <c r="X180" i="17"/>
  <c r="X171" i="17"/>
  <c r="X162" i="17"/>
  <c r="X153" i="17"/>
  <c r="X131" i="17"/>
  <c r="X188" i="17"/>
  <c r="X179" i="17"/>
  <c r="X170" i="17"/>
  <c r="X161" i="17"/>
  <c r="X152" i="17"/>
  <c r="X148" i="17"/>
  <c r="X145" i="17"/>
  <c r="X192" i="17"/>
  <c r="X183" i="17"/>
  <c r="X174" i="17"/>
  <c r="X165" i="17"/>
  <c r="X156" i="17"/>
  <c r="X137" i="17"/>
  <c r="X132" i="17"/>
  <c r="X129" i="17"/>
  <c r="X177" i="17"/>
  <c r="X168" i="17"/>
  <c r="X159" i="17"/>
  <c r="X150" i="17"/>
  <c r="X133" i="17"/>
  <c r="X123" i="17"/>
  <c r="X114" i="17"/>
  <c r="X105" i="17"/>
  <c r="X96" i="17"/>
  <c r="X66" i="17"/>
  <c r="X63" i="17"/>
  <c r="X60" i="17"/>
  <c r="X57" i="17"/>
  <c r="X54" i="17"/>
  <c r="X51" i="17"/>
  <c r="X48" i="17"/>
  <c r="X45" i="17"/>
  <c r="X42" i="17"/>
  <c r="X39" i="17"/>
  <c r="X36" i="17"/>
  <c r="X33" i="17"/>
  <c r="X30" i="17"/>
  <c r="X27" i="17"/>
  <c r="X24" i="17"/>
  <c r="X21" i="17"/>
  <c r="X18" i="17"/>
  <c r="X15" i="17"/>
  <c r="X12" i="17"/>
  <c r="X9" i="17"/>
  <c r="X6" i="17"/>
  <c r="X187" i="17"/>
  <c r="X181" i="17"/>
  <c r="X135" i="17"/>
  <c r="X134" i="17"/>
  <c r="X127" i="17"/>
  <c r="X118" i="17"/>
  <c r="X109" i="17"/>
  <c r="X100" i="17"/>
  <c r="X87" i="17"/>
  <c r="X84" i="17"/>
  <c r="X81" i="17"/>
  <c r="X78" i="17"/>
  <c r="X75" i="17"/>
  <c r="X72" i="17"/>
  <c r="X69" i="17"/>
  <c r="X191" i="17"/>
  <c r="X185" i="17"/>
  <c r="X169" i="17"/>
  <c r="X160" i="17"/>
  <c r="X151" i="17"/>
  <c r="X136" i="17"/>
  <c r="X122" i="17"/>
  <c r="X113" i="17"/>
  <c r="X104" i="17"/>
  <c r="X95" i="17"/>
  <c r="X90" i="17"/>
  <c r="X175" i="17"/>
  <c r="X172" i="17"/>
  <c r="X166" i="17"/>
  <c r="X163" i="17"/>
  <c r="X157" i="17"/>
  <c r="X154" i="17"/>
  <c r="X140" i="17"/>
  <c r="X138" i="17"/>
  <c r="X126" i="17"/>
  <c r="X117" i="17"/>
  <c r="X108" i="17"/>
  <c r="X99" i="17"/>
  <c r="X92" i="17"/>
  <c r="X67" i="17"/>
  <c r="X64" i="17"/>
  <c r="X61" i="17"/>
  <c r="X58" i="17"/>
  <c r="X55" i="17"/>
  <c r="X52" i="17"/>
  <c r="X49" i="17"/>
  <c r="X46" i="17"/>
  <c r="X43" i="17"/>
  <c r="X40" i="17"/>
  <c r="X37" i="17"/>
  <c r="X34" i="17"/>
  <c r="X31" i="17"/>
  <c r="X28" i="17"/>
  <c r="X25" i="17"/>
  <c r="X22" i="17"/>
  <c r="X19" i="17"/>
  <c r="X16" i="17"/>
  <c r="X13" i="17"/>
  <c r="X10" i="17"/>
  <c r="X7" i="17"/>
  <c r="X4" i="17"/>
  <c r="X147" i="17"/>
  <c r="X144" i="17"/>
  <c r="X130" i="17"/>
  <c r="Y1" i="17"/>
  <c r="X182" i="17"/>
  <c r="X125" i="17"/>
  <c r="X116" i="17"/>
  <c r="X107" i="17"/>
  <c r="X98" i="17"/>
  <c r="X186" i="17"/>
  <c r="X184" i="17"/>
  <c r="X173" i="17"/>
  <c r="X164" i="17"/>
  <c r="X155" i="17"/>
  <c r="X120" i="17"/>
  <c r="X111" i="17"/>
  <c r="X102" i="17"/>
  <c r="X68" i="17"/>
  <c r="X65" i="17"/>
  <c r="X62" i="17"/>
  <c r="X59" i="17"/>
  <c r="X56" i="17"/>
  <c r="X53" i="17"/>
  <c r="X50" i="17"/>
  <c r="X47" i="17"/>
  <c r="X44" i="17"/>
  <c r="X41" i="17"/>
  <c r="X38" i="17"/>
  <c r="X35" i="17"/>
  <c r="X32" i="17"/>
  <c r="X29" i="17"/>
  <c r="X26" i="17"/>
  <c r="X23" i="17"/>
  <c r="X20" i="17"/>
  <c r="X17" i="17"/>
  <c r="X14" i="17"/>
  <c r="X11" i="17"/>
  <c r="X8" i="17"/>
  <c r="X5" i="17"/>
  <c r="X178" i="17"/>
  <c r="X143" i="17"/>
  <c r="X141" i="17"/>
  <c r="X139" i="17"/>
  <c r="X3" i="17"/>
  <c r="X149" i="17"/>
  <c r="X93" i="17"/>
  <c r="X88" i="17"/>
  <c r="X85" i="17"/>
  <c r="X82" i="17"/>
  <c r="X79" i="17"/>
  <c r="X76" i="17"/>
  <c r="X73" i="17"/>
  <c r="X70" i="17"/>
  <c r="X158" i="17"/>
  <c r="X91" i="17"/>
  <c r="X146" i="17"/>
  <c r="X142" i="17"/>
  <c r="X121" i="17"/>
  <c r="X112" i="17"/>
  <c r="X103" i="17"/>
  <c r="X94" i="17"/>
  <c r="X190" i="17"/>
  <c r="X167" i="17"/>
  <c r="X89" i="17"/>
  <c r="X86" i="17"/>
  <c r="X83" i="17"/>
  <c r="X80" i="17"/>
  <c r="X77" i="17"/>
  <c r="X74" i="17"/>
  <c r="X71" i="17"/>
  <c r="X128" i="17"/>
  <c r="X119" i="17"/>
  <c r="X110" i="17"/>
  <c r="X101" i="17"/>
  <c r="X176" i="17"/>
  <c r="X124" i="17"/>
  <c r="X115" i="17"/>
  <c r="X106" i="17"/>
  <c r="X97" i="17"/>
  <c r="U189" i="19"/>
  <c r="U186" i="19"/>
  <c r="U183" i="19"/>
  <c r="U180" i="19"/>
  <c r="U177" i="19"/>
  <c r="U190" i="19"/>
  <c r="U187" i="19"/>
  <c r="U184" i="19"/>
  <c r="U181" i="19"/>
  <c r="U178" i="19"/>
  <c r="U175" i="19"/>
  <c r="U188" i="19"/>
  <c r="U185" i="19"/>
  <c r="U182" i="19"/>
  <c r="U179" i="19"/>
  <c r="U176" i="19"/>
  <c r="U138" i="19"/>
  <c r="U133" i="19"/>
  <c r="U65" i="19"/>
  <c r="U62" i="19"/>
  <c r="U59" i="19"/>
  <c r="U56" i="19"/>
  <c r="U53" i="19"/>
  <c r="U50" i="19"/>
  <c r="U47" i="19"/>
  <c r="U44" i="19"/>
  <c r="U41" i="19"/>
  <c r="U38" i="19"/>
  <c r="U35" i="19"/>
  <c r="U32" i="19"/>
  <c r="U29" i="19"/>
  <c r="U26" i="19"/>
  <c r="U23" i="19"/>
  <c r="U20" i="19"/>
  <c r="U17" i="19"/>
  <c r="U14" i="19"/>
  <c r="U11" i="19"/>
  <c r="U8" i="19"/>
  <c r="U5" i="19"/>
  <c r="U174" i="19"/>
  <c r="U171" i="19"/>
  <c r="U168" i="19"/>
  <c r="U165" i="19"/>
  <c r="U162" i="19"/>
  <c r="U159" i="19"/>
  <c r="U156" i="19"/>
  <c r="U153" i="19"/>
  <c r="U150" i="19"/>
  <c r="U147" i="19"/>
  <c r="U144" i="19"/>
  <c r="U141" i="19"/>
  <c r="U125" i="19"/>
  <c r="U122" i="19"/>
  <c r="U119" i="19"/>
  <c r="U116" i="19"/>
  <c r="U113" i="19"/>
  <c r="U110" i="19"/>
  <c r="U107" i="19"/>
  <c r="U104" i="19"/>
  <c r="U101" i="19"/>
  <c r="U98" i="19"/>
  <c r="U95" i="19"/>
  <c r="U92" i="19"/>
  <c r="U89" i="19"/>
  <c r="U86" i="19"/>
  <c r="U83" i="19"/>
  <c r="U80" i="19"/>
  <c r="U77" i="19"/>
  <c r="U74" i="19"/>
  <c r="U71" i="19"/>
  <c r="U68" i="19"/>
  <c r="U131" i="19"/>
  <c r="U128" i="19"/>
  <c r="U136" i="19"/>
  <c r="U132" i="19"/>
  <c r="U129" i="19"/>
  <c r="U64" i="19"/>
  <c r="U55" i="19"/>
  <c r="U46" i="19"/>
  <c r="U37" i="19"/>
  <c r="U28" i="19"/>
  <c r="U19" i="19"/>
  <c r="U10" i="19"/>
  <c r="U169" i="19"/>
  <c r="U160" i="19"/>
  <c r="U151" i="19"/>
  <c r="U142" i="19"/>
  <c r="U118" i="19"/>
  <c r="U109" i="19"/>
  <c r="U100" i="19"/>
  <c r="U91" i="19"/>
  <c r="U82" i="19"/>
  <c r="U73" i="19"/>
  <c r="U140" i="19"/>
  <c r="U127" i="19"/>
  <c r="U60" i="19"/>
  <c r="U51" i="19"/>
  <c r="U42" i="19"/>
  <c r="U33" i="19"/>
  <c r="U24" i="19"/>
  <c r="U15" i="19"/>
  <c r="U6" i="19"/>
  <c r="U167" i="19"/>
  <c r="U158" i="19"/>
  <c r="U149" i="19"/>
  <c r="U123" i="19"/>
  <c r="U114" i="19"/>
  <c r="U105" i="19"/>
  <c r="U96" i="19"/>
  <c r="U87" i="19"/>
  <c r="U78" i="19"/>
  <c r="U69" i="19"/>
  <c r="U172" i="19"/>
  <c r="U163" i="19"/>
  <c r="U154" i="19"/>
  <c r="U145" i="19"/>
  <c r="U121" i="19"/>
  <c r="U112" i="19"/>
  <c r="U103" i="19"/>
  <c r="U94" i="19"/>
  <c r="U85" i="19"/>
  <c r="U76" i="19"/>
  <c r="V1" i="19"/>
  <c r="U130" i="19"/>
  <c r="U63" i="19"/>
  <c r="U54" i="19"/>
  <c r="U45" i="19"/>
  <c r="U36" i="19"/>
  <c r="U27" i="19"/>
  <c r="U18" i="19"/>
  <c r="U9" i="19"/>
  <c r="U139" i="19"/>
  <c r="U61" i="19"/>
  <c r="U52" i="19"/>
  <c r="U43" i="19"/>
  <c r="U34" i="19"/>
  <c r="U25" i="19"/>
  <c r="U16" i="19"/>
  <c r="U7" i="19"/>
  <c r="U161" i="19"/>
  <c r="U155" i="19"/>
  <c r="U99" i="19"/>
  <c r="U93" i="19"/>
  <c r="U79" i="19"/>
  <c r="U170" i="19"/>
  <c r="U164" i="19"/>
  <c r="U173" i="19"/>
  <c r="U117" i="19"/>
  <c r="U111" i="19"/>
  <c r="U97" i="19"/>
  <c r="U148" i="19"/>
  <c r="U134" i="19"/>
  <c r="U126" i="19"/>
  <c r="U120" i="19"/>
  <c r="U106" i="19"/>
  <c r="U72" i="19"/>
  <c r="U157" i="19"/>
  <c r="U143" i="19"/>
  <c r="U115" i="19"/>
  <c r="U81" i="19"/>
  <c r="U75" i="19"/>
  <c r="U48" i="19"/>
  <c r="U135" i="19"/>
  <c r="U124" i="19"/>
  <c r="U57" i="19"/>
  <c r="U137" i="19"/>
  <c r="U66" i="19"/>
  <c r="U31" i="19"/>
  <c r="U13" i="19"/>
  <c r="U3" i="19"/>
  <c r="U146" i="19"/>
  <c r="U21" i="19"/>
  <c r="U84" i="19"/>
  <c r="U102" i="19"/>
  <c r="U70" i="19"/>
  <c r="U40" i="19"/>
  <c r="U166" i="19"/>
  <c r="U88" i="19"/>
  <c r="U58" i="19"/>
  <c r="U90" i="19"/>
  <c r="U67" i="19"/>
  <c r="U30" i="19"/>
  <c r="U22" i="19"/>
  <c r="U4" i="19"/>
  <c r="U152" i="19"/>
  <c r="U12" i="19"/>
  <c r="U49" i="19"/>
  <c r="U39" i="19"/>
  <c r="U108" i="19"/>
  <c r="V181" i="24"/>
  <c r="V178" i="24"/>
  <c r="V175" i="24"/>
  <c r="V172" i="24"/>
  <c r="V169" i="24"/>
  <c r="V166" i="24"/>
  <c r="V163" i="24"/>
  <c r="V160" i="24"/>
  <c r="V157" i="24"/>
  <c r="V154" i="24"/>
  <c r="V151" i="24"/>
  <c r="V148" i="24"/>
  <c r="V145" i="24"/>
  <c r="V142" i="24"/>
  <c r="V179" i="24"/>
  <c r="V176" i="24"/>
  <c r="V173" i="24"/>
  <c r="V170" i="24"/>
  <c r="V167" i="24"/>
  <c r="V164" i="24"/>
  <c r="V161" i="24"/>
  <c r="V158" i="24"/>
  <c r="V155" i="24"/>
  <c r="V152" i="24"/>
  <c r="V149" i="24"/>
  <c r="V146" i="24"/>
  <c r="V143" i="24"/>
  <c r="V140" i="24"/>
  <c r="V138" i="24"/>
  <c r="V135" i="24"/>
  <c r="V132" i="24"/>
  <c r="V116" i="24"/>
  <c r="V113" i="24"/>
  <c r="V110" i="24"/>
  <c r="V107" i="24"/>
  <c r="V104" i="24"/>
  <c r="V101" i="24"/>
  <c r="V98" i="24"/>
  <c r="V95" i="24"/>
  <c r="V92" i="24"/>
  <c r="V89" i="24"/>
  <c r="V86" i="24"/>
  <c r="V83" i="24"/>
  <c r="V80" i="24"/>
  <c r="V77" i="24"/>
  <c r="V74" i="24"/>
  <c r="V71" i="24"/>
  <c r="V68" i="24"/>
  <c r="V65" i="24"/>
  <c r="V62" i="24"/>
  <c r="V59" i="24"/>
  <c r="V56" i="24"/>
  <c r="V53" i="24"/>
  <c r="V50" i="24"/>
  <c r="V47" i="24"/>
  <c r="V44" i="24"/>
  <c r="V41" i="24"/>
  <c r="V38" i="24"/>
  <c r="V35" i="24"/>
  <c r="V32" i="24"/>
  <c r="V29" i="24"/>
  <c r="V122" i="24"/>
  <c r="V119" i="24"/>
  <c r="V127" i="24"/>
  <c r="V130" i="24"/>
  <c r="V139" i="24"/>
  <c r="V136" i="24"/>
  <c r="V133" i="24"/>
  <c r="V125" i="24"/>
  <c r="V117" i="24"/>
  <c r="V114" i="24"/>
  <c r="V111" i="24"/>
  <c r="V108" i="24"/>
  <c r="V105" i="24"/>
  <c r="V102" i="24"/>
  <c r="V99" i="24"/>
  <c r="V96" i="24"/>
  <c r="V93" i="24"/>
  <c r="V90" i="24"/>
  <c r="V87" i="24"/>
  <c r="V84" i="24"/>
  <c r="V81" i="24"/>
  <c r="V78" i="24"/>
  <c r="V75" i="24"/>
  <c r="V72" i="24"/>
  <c r="V69" i="24"/>
  <c r="V66" i="24"/>
  <c r="V63" i="24"/>
  <c r="V60" i="24"/>
  <c r="V57" i="24"/>
  <c r="V54" i="24"/>
  <c r="V51" i="24"/>
  <c r="V48" i="24"/>
  <c r="V45" i="24"/>
  <c r="V42" i="24"/>
  <c r="V39" i="24"/>
  <c r="V36" i="24"/>
  <c r="V33" i="24"/>
  <c r="V30" i="24"/>
  <c r="V120" i="24"/>
  <c r="V123" i="24"/>
  <c r="V180" i="24"/>
  <c r="V177" i="24"/>
  <c r="V174" i="24"/>
  <c r="V171" i="24"/>
  <c r="V168" i="24"/>
  <c r="V165" i="24"/>
  <c r="V162" i="24"/>
  <c r="V159" i="24"/>
  <c r="V156" i="24"/>
  <c r="V153" i="24"/>
  <c r="V150" i="24"/>
  <c r="V147" i="24"/>
  <c r="V144" i="24"/>
  <c r="V141" i="24"/>
  <c r="V131" i="24"/>
  <c r="V128" i="24"/>
  <c r="V46" i="24"/>
  <c r="V37" i="24"/>
  <c r="V137" i="24"/>
  <c r="V134" i="24"/>
  <c r="V25" i="24"/>
  <c r="V22" i="24"/>
  <c r="V19" i="24"/>
  <c r="V16" i="24"/>
  <c r="V13" i="24"/>
  <c r="V10" i="24"/>
  <c r="V7" i="24"/>
  <c r="V4" i="24"/>
  <c r="V28" i="24"/>
  <c r="V49" i="24"/>
  <c r="V40" i="24"/>
  <c r="V31" i="24"/>
  <c r="V126" i="24"/>
  <c r="V26" i="24"/>
  <c r="V23" i="24"/>
  <c r="V20" i="24"/>
  <c r="V17" i="24"/>
  <c r="V14" i="24"/>
  <c r="V11" i="24"/>
  <c r="V8" i="24"/>
  <c r="V5" i="24"/>
  <c r="V121" i="24"/>
  <c r="V118" i="24"/>
  <c r="V52" i="24"/>
  <c r="V43" i="24"/>
  <c r="V34" i="24"/>
  <c r="V115" i="24"/>
  <c r="V109" i="24"/>
  <c r="V103" i="24"/>
  <c r="V97" i="24"/>
  <c r="V91" i="24"/>
  <c r="V85" i="24"/>
  <c r="V79" i="24"/>
  <c r="V73" i="24"/>
  <c r="V67" i="24"/>
  <c r="V61" i="24"/>
  <c r="V55" i="24"/>
  <c r="V112" i="24"/>
  <c r="V106" i="24"/>
  <c r="V100" i="24"/>
  <c r="V94" i="24"/>
  <c r="V88" i="24"/>
  <c r="V82" i="24"/>
  <c r="V76" i="24"/>
  <c r="V70" i="24"/>
  <c r="V64" i="24"/>
  <c r="V58" i="24"/>
  <c r="V18" i="24"/>
  <c r="V9" i="24"/>
  <c r="V124" i="24"/>
  <c r="V27" i="24"/>
  <c r="V129" i="24"/>
  <c r="V21" i="24"/>
  <c r="V12" i="24"/>
  <c r="V3" i="24"/>
  <c r="V24" i="24"/>
  <c r="V15" i="24"/>
  <c r="V6" i="24"/>
  <c r="W1" i="24"/>
  <c r="V192" i="16"/>
  <c r="V189" i="16"/>
  <c r="V186" i="16"/>
  <c r="V183" i="16"/>
  <c r="V180" i="16"/>
  <c r="V173" i="16"/>
  <c r="V170" i="16"/>
  <c r="V167" i="16"/>
  <c r="V164" i="16"/>
  <c r="V161" i="16"/>
  <c r="V158" i="16"/>
  <c r="V155" i="16"/>
  <c r="V152" i="16"/>
  <c r="V149" i="16"/>
  <c r="V146" i="16"/>
  <c r="V127" i="16"/>
  <c r="V124" i="16"/>
  <c r="V121" i="16"/>
  <c r="V118" i="16"/>
  <c r="V115" i="16"/>
  <c r="V112" i="16"/>
  <c r="V109" i="16"/>
  <c r="V106" i="16"/>
  <c r="V103" i="16"/>
  <c r="V100" i="16"/>
  <c r="V97" i="16"/>
  <c r="V94" i="16"/>
  <c r="V91" i="16"/>
  <c r="V88" i="16"/>
  <c r="V85" i="16"/>
  <c r="V82" i="16"/>
  <c r="V79" i="16"/>
  <c r="V76" i="16"/>
  <c r="V73" i="16"/>
  <c r="V70" i="16"/>
  <c r="V138" i="16"/>
  <c r="V133" i="16"/>
  <c r="V130" i="16"/>
  <c r="V188" i="16"/>
  <c r="V179" i="16"/>
  <c r="V187" i="16"/>
  <c r="V174" i="16"/>
  <c r="V171" i="16"/>
  <c r="V168" i="16"/>
  <c r="V165" i="16"/>
  <c r="V162" i="16"/>
  <c r="V159" i="16"/>
  <c r="V156" i="16"/>
  <c r="V153" i="16"/>
  <c r="V150" i="16"/>
  <c r="V147" i="16"/>
  <c r="V144" i="16"/>
  <c r="V128" i="16"/>
  <c r="V125" i="16"/>
  <c r="V122" i="16"/>
  <c r="V119" i="16"/>
  <c r="V116" i="16"/>
  <c r="V113" i="16"/>
  <c r="V110" i="16"/>
  <c r="V107" i="16"/>
  <c r="V104" i="16"/>
  <c r="V101" i="16"/>
  <c r="V98" i="16"/>
  <c r="V95" i="16"/>
  <c r="V92" i="16"/>
  <c r="V89" i="16"/>
  <c r="V86" i="16"/>
  <c r="V83" i="16"/>
  <c r="V80" i="16"/>
  <c r="V77" i="16"/>
  <c r="V74" i="16"/>
  <c r="V71" i="16"/>
  <c r="V193" i="16"/>
  <c r="V184" i="16"/>
  <c r="V139" i="16"/>
  <c r="V175" i="16"/>
  <c r="V172" i="16"/>
  <c r="V169" i="16"/>
  <c r="V166" i="16"/>
  <c r="V163" i="16"/>
  <c r="V160" i="16"/>
  <c r="V157" i="16"/>
  <c r="V154" i="16"/>
  <c r="V151" i="16"/>
  <c r="V148" i="16"/>
  <c r="V145" i="16"/>
  <c r="V137" i="16"/>
  <c r="V129" i="16"/>
  <c r="V126" i="16"/>
  <c r="V123" i="16"/>
  <c r="V120" i="16"/>
  <c r="V117" i="16"/>
  <c r="V114" i="16"/>
  <c r="V111" i="16"/>
  <c r="V108" i="16"/>
  <c r="V105" i="16"/>
  <c r="V102" i="16"/>
  <c r="V99" i="16"/>
  <c r="V96" i="16"/>
  <c r="V93" i="16"/>
  <c r="V90" i="16"/>
  <c r="V87" i="16"/>
  <c r="V84" i="16"/>
  <c r="V81" i="16"/>
  <c r="V78" i="16"/>
  <c r="V75" i="16"/>
  <c r="V72" i="16"/>
  <c r="V69" i="16"/>
  <c r="V190" i="16"/>
  <c r="V176" i="16"/>
  <c r="V140" i="16"/>
  <c r="V136" i="16"/>
  <c r="V134" i="16"/>
  <c r="V132" i="16"/>
  <c r="V143" i="16"/>
  <c r="V177" i="16"/>
  <c r="V181" i="16"/>
  <c r="V178" i="16"/>
  <c r="V141" i="16"/>
  <c r="V185" i="16"/>
  <c r="V135" i="16"/>
  <c r="V191" i="16"/>
  <c r="W1" i="16"/>
  <c r="V142" i="16"/>
  <c r="V131" i="16"/>
  <c r="V68" i="16"/>
  <c r="V67" i="16"/>
  <c r="V66" i="16"/>
  <c r="V65" i="16"/>
  <c r="V64" i="16"/>
  <c r="V63" i="16"/>
  <c r="V62" i="16"/>
  <c r="V61" i="16"/>
  <c r="V60" i="16"/>
  <c r="V59" i="16"/>
  <c r="V58" i="16"/>
  <c r="V57" i="16"/>
  <c r="V56" i="16"/>
  <c r="V55" i="16"/>
  <c r="V54" i="16"/>
  <c r="V53" i="16"/>
  <c r="V52" i="16"/>
  <c r="V51" i="16"/>
  <c r="V50" i="16"/>
  <c r="V49" i="16"/>
  <c r="V48" i="16"/>
  <c r="V47" i="16"/>
  <c r="V46" i="16"/>
  <c r="V45" i="16"/>
  <c r="V44" i="16"/>
  <c r="V43" i="16"/>
  <c r="V42" i="16"/>
  <c r="V41" i="16"/>
  <c r="V40" i="16"/>
  <c r="V39" i="16"/>
  <c r="V38" i="16"/>
  <c r="V37" i="16"/>
  <c r="V36" i="16"/>
  <c r="V35" i="16"/>
  <c r="V34" i="16"/>
  <c r="V33" i="16"/>
  <c r="V32" i="16"/>
  <c r="V31" i="16"/>
  <c r="V30" i="16"/>
  <c r="V29" i="16"/>
  <c r="V28" i="16"/>
  <c r="V27" i="16"/>
  <c r="V26" i="16"/>
  <c r="V25" i="16"/>
  <c r="V24" i="16"/>
  <c r="V23" i="16"/>
  <c r="V22" i="16"/>
  <c r="V21" i="16"/>
  <c r="V20" i="16"/>
  <c r="V19" i="16"/>
  <c r="V18" i="16"/>
  <c r="V17" i="16"/>
  <c r="V16" i="16"/>
  <c r="V15" i="16"/>
  <c r="V14" i="16"/>
  <c r="V13" i="16"/>
  <c r="V12" i="16"/>
  <c r="V11" i="16"/>
  <c r="V10" i="16"/>
  <c r="V9" i="16"/>
  <c r="V8" i="16"/>
  <c r="V7" i="16"/>
  <c r="V6" i="16"/>
  <c r="V5" i="16"/>
  <c r="V4" i="16"/>
  <c r="V3" i="16"/>
  <c r="V182" i="16"/>
  <c r="W188" i="20"/>
  <c r="W185" i="20"/>
  <c r="W182" i="20"/>
  <c r="W179" i="20"/>
  <c r="W176" i="20"/>
  <c r="W173" i="20"/>
  <c r="W170" i="20"/>
  <c r="W167" i="20"/>
  <c r="W164" i="20"/>
  <c r="W161" i="20"/>
  <c r="W158" i="20"/>
  <c r="W155" i="20"/>
  <c r="W190" i="20"/>
  <c r="W187" i="20"/>
  <c r="W184" i="20"/>
  <c r="W181" i="20"/>
  <c r="W178" i="20"/>
  <c r="W175" i="20"/>
  <c r="W172" i="20"/>
  <c r="W169" i="20"/>
  <c r="W166" i="20"/>
  <c r="W163" i="20"/>
  <c r="W160" i="20"/>
  <c r="W157" i="20"/>
  <c r="W154" i="20"/>
  <c r="W151" i="20"/>
  <c r="W148" i="20"/>
  <c r="W145" i="20"/>
  <c r="W183" i="20"/>
  <c r="W174" i="20"/>
  <c r="W165" i="20"/>
  <c r="W147" i="20"/>
  <c r="W138" i="20"/>
  <c r="W133" i="20"/>
  <c r="W189" i="20"/>
  <c r="W180" i="20"/>
  <c r="W171" i="20"/>
  <c r="W162" i="20"/>
  <c r="W150" i="20"/>
  <c r="W139" i="20"/>
  <c r="W121" i="20"/>
  <c r="W141" i="20"/>
  <c r="W136" i="20"/>
  <c r="W130" i="20"/>
  <c r="W125" i="20"/>
  <c r="W116" i="20"/>
  <c r="W107" i="20"/>
  <c r="W98" i="20"/>
  <c r="W89" i="20"/>
  <c r="W80" i="20"/>
  <c r="W71" i="20"/>
  <c r="W66" i="20"/>
  <c r="W63" i="20"/>
  <c r="W60" i="20"/>
  <c r="W57" i="20"/>
  <c r="W54" i="20"/>
  <c r="W51" i="20"/>
  <c r="W48" i="20"/>
  <c r="W45" i="20"/>
  <c r="W42" i="20"/>
  <c r="W39" i="20"/>
  <c r="W168" i="20"/>
  <c r="W152" i="20"/>
  <c r="W140" i="20"/>
  <c r="W135" i="20"/>
  <c r="W129" i="20"/>
  <c r="W156" i="20"/>
  <c r="W144" i="20"/>
  <c r="W119" i="20"/>
  <c r="W110" i="20"/>
  <c r="W101" i="20"/>
  <c r="W92" i="20"/>
  <c r="W83" i="20"/>
  <c r="W74" i="20"/>
  <c r="W67" i="20"/>
  <c r="W64" i="20"/>
  <c r="W61" i="20"/>
  <c r="W58" i="20"/>
  <c r="W55" i="20"/>
  <c r="W52" i="20"/>
  <c r="W49" i="20"/>
  <c r="W46" i="20"/>
  <c r="W43" i="20"/>
  <c r="W40" i="20"/>
  <c r="W143" i="20"/>
  <c r="W132" i="20"/>
  <c r="W118" i="20"/>
  <c r="W109" i="20"/>
  <c r="W100" i="20"/>
  <c r="W91" i="20"/>
  <c r="W153" i="20"/>
  <c r="W142" i="20"/>
  <c r="W131" i="20"/>
  <c r="W126" i="20"/>
  <c r="W117" i="20"/>
  <c r="W108" i="20"/>
  <c r="W99" i="20"/>
  <c r="W186" i="20"/>
  <c r="W146" i="20"/>
  <c r="W134" i="20"/>
  <c r="W124" i="20"/>
  <c r="W102" i="20"/>
  <c r="W123" i="20"/>
  <c r="W112" i="20"/>
  <c r="W105" i="20"/>
  <c r="W90" i="20"/>
  <c r="W88" i="20"/>
  <c r="W85" i="20"/>
  <c r="W76" i="20"/>
  <c r="W56" i="20"/>
  <c r="W47" i="20"/>
  <c r="W38" i="20"/>
  <c r="W115" i="20"/>
  <c r="W96" i="20"/>
  <c r="W149" i="20"/>
  <c r="W122" i="20"/>
  <c r="W94" i="20"/>
  <c r="W111" i="20"/>
  <c r="W86" i="20"/>
  <c r="W77" i="20"/>
  <c r="W65" i="20"/>
  <c r="W62" i="20"/>
  <c r="W37" i="20"/>
  <c r="W34" i="20"/>
  <c r="W31" i="20"/>
  <c r="W28" i="20"/>
  <c r="W25" i="20"/>
  <c r="W22" i="20"/>
  <c r="W19" i="20"/>
  <c r="W16" i="20"/>
  <c r="W13" i="20"/>
  <c r="W10" i="20"/>
  <c r="W7" i="20"/>
  <c r="W4" i="20"/>
  <c r="W120" i="20"/>
  <c r="W114" i="20"/>
  <c r="W104" i="20"/>
  <c r="W68" i="20"/>
  <c r="W59" i="20"/>
  <c r="W50" i="20"/>
  <c r="W41" i="20"/>
  <c r="W177" i="20"/>
  <c r="W128" i="20"/>
  <c r="W87" i="20"/>
  <c r="W78" i="20"/>
  <c r="W69" i="20"/>
  <c r="W159" i="20"/>
  <c r="W95" i="20"/>
  <c r="W93" i="20"/>
  <c r="W84" i="20"/>
  <c r="W81" i="20"/>
  <c r="W75" i="20"/>
  <c r="W72" i="20"/>
  <c r="W35" i="20"/>
  <c r="W32" i="20"/>
  <c r="W29" i="20"/>
  <c r="W26" i="20"/>
  <c r="W23" i="20"/>
  <c r="W20" i="20"/>
  <c r="W17" i="20"/>
  <c r="W14" i="20"/>
  <c r="W11" i="20"/>
  <c r="W8" i="20"/>
  <c r="W5" i="20"/>
  <c r="W127" i="20"/>
  <c r="W113" i="20"/>
  <c r="W103" i="20"/>
  <c r="W97" i="20"/>
  <c r="W53" i="20"/>
  <c r="W44" i="20"/>
  <c r="W137" i="20"/>
  <c r="W106" i="20"/>
  <c r="W79" i="20"/>
  <c r="W82" i="20"/>
  <c r="W70" i="20"/>
  <c r="W73" i="20"/>
  <c r="W27" i="20"/>
  <c r="W24" i="20"/>
  <c r="W21" i="20"/>
  <c r="W18" i="20"/>
  <c r="W15" i="20"/>
  <c r="W12" i="20"/>
  <c r="W9" i="20"/>
  <c r="W6" i="20"/>
  <c r="W3" i="20"/>
  <c r="W30" i="20"/>
  <c r="X1" i="20"/>
  <c r="W36" i="20"/>
  <c r="W33" i="20"/>
  <c r="U127" i="21"/>
  <c r="U130" i="21"/>
  <c r="U138" i="21"/>
  <c r="U135" i="21"/>
  <c r="U186" i="21"/>
  <c r="U183" i="21"/>
  <c r="U180" i="21"/>
  <c r="U177" i="21"/>
  <c r="U174" i="21"/>
  <c r="U171" i="21"/>
  <c r="U168" i="21"/>
  <c r="U165" i="21"/>
  <c r="U162" i="21"/>
  <c r="U159" i="21"/>
  <c r="U156" i="21"/>
  <c r="U153" i="21"/>
  <c r="U150" i="21"/>
  <c r="U147" i="21"/>
  <c r="U144" i="21"/>
  <c r="U141" i="21"/>
  <c r="U122" i="21"/>
  <c r="U119" i="21"/>
  <c r="U116" i="21"/>
  <c r="U113" i="21"/>
  <c r="U187" i="21"/>
  <c r="U184" i="21"/>
  <c r="U181" i="21"/>
  <c r="U178" i="21"/>
  <c r="U175" i="21"/>
  <c r="U172" i="21"/>
  <c r="U169" i="21"/>
  <c r="U166" i="21"/>
  <c r="U163" i="21"/>
  <c r="U160" i="21"/>
  <c r="U157" i="21"/>
  <c r="U154" i="21"/>
  <c r="U151" i="21"/>
  <c r="U148" i="21"/>
  <c r="U145" i="21"/>
  <c r="U142" i="21"/>
  <c r="U139" i="21"/>
  <c r="U123" i="21"/>
  <c r="U120" i="21"/>
  <c r="U117" i="21"/>
  <c r="U114" i="21"/>
  <c r="U111" i="21"/>
  <c r="U129" i="21"/>
  <c r="U126" i="21"/>
  <c r="U131" i="21"/>
  <c r="U110" i="21"/>
  <c r="U107" i="21"/>
  <c r="U104" i="21"/>
  <c r="U101" i="21"/>
  <c r="U98" i="21"/>
  <c r="U95" i="21"/>
  <c r="U92" i="21"/>
  <c r="U89" i="21"/>
  <c r="U86" i="21"/>
  <c r="U83" i="21"/>
  <c r="U80" i="21"/>
  <c r="U77" i="21"/>
  <c r="U74" i="21"/>
  <c r="U71" i="21"/>
  <c r="U68" i="21"/>
  <c r="U65" i="21"/>
  <c r="U62" i="21"/>
  <c r="U59" i="21"/>
  <c r="U56" i="21"/>
  <c r="U53" i="21"/>
  <c r="U137" i="21"/>
  <c r="U185" i="21"/>
  <c r="U176" i="21"/>
  <c r="U158" i="21"/>
  <c r="U124" i="21"/>
  <c r="U121" i="21"/>
  <c r="U118" i="21"/>
  <c r="U115" i="21"/>
  <c r="U112" i="21"/>
  <c r="U133" i="21"/>
  <c r="U108" i="21"/>
  <c r="U105" i="21"/>
  <c r="U102" i="21"/>
  <c r="U99" i="21"/>
  <c r="U96" i="21"/>
  <c r="U93" i="21"/>
  <c r="U90" i="21"/>
  <c r="U87" i="21"/>
  <c r="U84" i="21"/>
  <c r="U81" i="21"/>
  <c r="U78" i="21"/>
  <c r="U75" i="21"/>
  <c r="U72" i="21"/>
  <c r="U69" i="21"/>
  <c r="U66" i="21"/>
  <c r="U63" i="21"/>
  <c r="U60" i="21"/>
  <c r="U57" i="21"/>
  <c r="U54" i="21"/>
  <c r="U51" i="21"/>
  <c r="U48" i="21"/>
  <c r="U45" i="21"/>
  <c r="U42" i="21"/>
  <c r="U39" i="21"/>
  <c r="U36" i="21"/>
  <c r="U33" i="21"/>
  <c r="U30" i="21"/>
  <c r="U27" i="21"/>
  <c r="U24" i="21"/>
  <c r="U21" i="21"/>
  <c r="U18" i="21"/>
  <c r="U136" i="21"/>
  <c r="U173" i="21"/>
  <c r="U170" i="21"/>
  <c r="U167" i="21"/>
  <c r="U109" i="21"/>
  <c r="U106" i="21"/>
  <c r="U103" i="21"/>
  <c r="U100" i="21"/>
  <c r="U97" i="21"/>
  <c r="U94" i="21"/>
  <c r="U91" i="21"/>
  <c r="U88" i="21"/>
  <c r="U85" i="21"/>
  <c r="U82" i="21"/>
  <c r="U79" i="21"/>
  <c r="U76" i="21"/>
  <c r="U73" i="21"/>
  <c r="U70" i="21"/>
  <c r="U67" i="21"/>
  <c r="U64" i="21"/>
  <c r="U61" i="21"/>
  <c r="U58" i="21"/>
  <c r="U55" i="21"/>
  <c r="U52" i="21"/>
  <c r="U49" i="21"/>
  <c r="U128" i="21"/>
  <c r="U125" i="21"/>
  <c r="U50" i="21"/>
  <c r="U16" i="21"/>
  <c r="U13" i="21"/>
  <c r="U10" i="21"/>
  <c r="U7" i="21"/>
  <c r="U4" i="21"/>
  <c r="U164" i="21"/>
  <c r="U155" i="21"/>
  <c r="U44" i="21"/>
  <c r="U40" i="21"/>
  <c r="U35" i="21"/>
  <c r="U31" i="21"/>
  <c r="U26" i="21"/>
  <c r="U22" i="21"/>
  <c r="U17" i="21"/>
  <c r="U161" i="21"/>
  <c r="U14" i="21"/>
  <c r="U11" i="21"/>
  <c r="U8" i="21"/>
  <c r="U5" i="21"/>
  <c r="U179" i="21"/>
  <c r="U188" i="21"/>
  <c r="U152" i="21"/>
  <c r="U143" i="21"/>
  <c r="U15" i="21"/>
  <c r="U12" i="21"/>
  <c r="U9" i="21"/>
  <c r="U6" i="21"/>
  <c r="U3" i="21"/>
  <c r="U47" i="21"/>
  <c r="U43" i="21"/>
  <c r="U38" i="21"/>
  <c r="U34" i="21"/>
  <c r="U29" i="21"/>
  <c r="U25" i="21"/>
  <c r="U20" i="21"/>
  <c r="U182" i="21"/>
  <c r="U134" i="21"/>
  <c r="U149" i="21"/>
  <c r="U28" i="21"/>
  <c r="U23" i="21"/>
  <c r="V1" i="21"/>
  <c r="U132" i="21"/>
  <c r="U46" i="21"/>
  <c r="U41" i="21"/>
  <c r="U19" i="21"/>
  <c r="U146" i="21"/>
  <c r="U140" i="21"/>
  <c r="U32" i="21"/>
  <c r="U37" i="21"/>
  <c r="X127" i="22"/>
  <c r="X135" i="22"/>
  <c r="X132" i="22"/>
  <c r="X183" i="22"/>
  <c r="X180" i="22"/>
  <c r="X177" i="22"/>
  <c r="X174" i="22"/>
  <c r="X171" i="22"/>
  <c r="X168" i="22"/>
  <c r="X165" i="22"/>
  <c r="X162" i="22"/>
  <c r="X159" i="22"/>
  <c r="X156" i="22"/>
  <c r="X153" i="22"/>
  <c r="X150" i="22"/>
  <c r="X147" i="22"/>
  <c r="X144" i="22"/>
  <c r="X141" i="22"/>
  <c r="X138" i="22"/>
  <c r="X119" i="22"/>
  <c r="X130" i="22"/>
  <c r="X125" i="22"/>
  <c r="X122" i="22"/>
  <c r="X133" i="22"/>
  <c r="X128" i="22"/>
  <c r="X184" i="22"/>
  <c r="X181" i="22"/>
  <c r="X178" i="22"/>
  <c r="X175" i="22"/>
  <c r="X172" i="22"/>
  <c r="X169" i="22"/>
  <c r="X166" i="22"/>
  <c r="X163" i="22"/>
  <c r="X160" i="22"/>
  <c r="X157" i="22"/>
  <c r="X154" i="22"/>
  <c r="X151" i="22"/>
  <c r="X148" i="22"/>
  <c r="X145" i="22"/>
  <c r="X142" i="22"/>
  <c r="X139" i="22"/>
  <c r="X136" i="22"/>
  <c r="X120" i="22"/>
  <c r="X126" i="22"/>
  <c r="X123" i="22"/>
  <c r="X134" i="22"/>
  <c r="X185" i="22"/>
  <c r="X182" i="22"/>
  <c r="X179" i="22"/>
  <c r="X176" i="22"/>
  <c r="X173" i="22"/>
  <c r="X170" i="22"/>
  <c r="X167" i="22"/>
  <c r="X164" i="22"/>
  <c r="X161" i="22"/>
  <c r="X158" i="22"/>
  <c r="X155" i="22"/>
  <c r="X152" i="22"/>
  <c r="X149" i="22"/>
  <c r="X146" i="22"/>
  <c r="X143" i="22"/>
  <c r="X140" i="22"/>
  <c r="X137" i="22"/>
  <c r="X129" i="22"/>
  <c r="X121" i="22"/>
  <c r="X118" i="22"/>
  <c r="X115" i="22"/>
  <c r="X112" i="22"/>
  <c r="X109" i="22"/>
  <c r="X106" i="22"/>
  <c r="X103" i="22"/>
  <c r="X100" i="22"/>
  <c r="X97" i="22"/>
  <c r="X94" i="22"/>
  <c r="X91" i="22"/>
  <c r="X88" i="22"/>
  <c r="X85" i="22"/>
  <c r="X82" i="22"/>
  <c r="X79" i="22"/>
  <c r="X76" i="22"/>
  <c r="X73" i="22"/>
  <c r="X70" i="22"/>
  <c r="X67" i="22"/>
  <c r="X64" i="22"/>
  <c r="X61" i="22"/>
  <c r="X58" i="22"/>
  <c r="X55" i="22"/>
  <c r="X52" i="22"/>
  <c r="X49" i="22"/>
  <c r="X46" i="22"/>
  <c r="X43" i="22"/>
  <c r="X40" i="22"/>
  <c r="X37" i="22"/>
  <c r="X34" i="22"/>
  <c r="X31" i="22"/>
  <c r="X28" i="22"/>
  <c r="X25" i="22"/>
  <c r="X22" i="22"/>
  <c r="X19" i="22"/>
  <c r="X16" i="22"/>
  <c r="X13" i="22"/>
  <c r="X131" i="22"/>
  <c r="X124" i="22"/>
  <c r="X116" i="22"/>
  <c r="X113" i="22"/>
  <c r="X110" i="22"/>
  <c r="X107" i="22"/>
  <c r="X104" i="22"/>
  <c r="X101" i="22"/>
  <c r="X98" i="22"/>
  <c r="X95" i="22"/>
  <c r="X92" i="22"/>
  <c r="X89" i="22"/>
  <c r="X86" i="22"/>
  <c r="X83" i="22"/>
  <c r="X80" i="22"/>
  <c r="X77" i="22"/>
  <c r="X74" i="22"/>
  <c r="X71" i="22"/>
  <c r="X68" i="22"/>
  <c r="X65" i="22"/>
  <c r="X62" i="22"/>
  <c r="X59" i="22"/>
  <c r="X56" i="22"/>
  <c r="X53" i="22"/>
  <c r="X50" i="22"/>
  <c r="X47" i="22"/>
  <c r="X44" i="22"/>
  <c r="X41" i="22"/>
  <c r="X38" i="22"/>
  <c r="X35" i="22"/>
  <c r="X32" i="22"/>
  <c r="X29" i="22"/>
  <c r="X26" i="22"/>
  <c r="X23" i="22"/>
  <c r="X20" i="22"/>
  <c r="X17" i="22"/>
  <c r="X14" i="22"/>
  <c r="X11" i="22"/>
  <c r="X8" i="22"/>
  <c r="X5" i="22"/>
  <c r="X111" i="22"/>
  <c r="X102" i="22"/>
  <c r="X93" i="22"/>
  <c r="X84" i="22"/>
  <c r="X75" i="22"/>
  <c r="X66" i="22"/>
  <c r="X57" i="22"/>
  <c r="X48" i="22"/>
  <c r="X39" i="22"/>
  <c r="X30" i="22"/>
  <c r="X21" i="22"/>
  <c r="X12" i="22"/>
  <c r="X9" i="22"/>
  <c r="X6" i="22"/>
  <c r="X3" i="22"/>
  <c r="X114" i="22"/>
  <c r="X105" i="22"/>
  <c r="X96" i="22"/>
  <c r="X87" i="22"/>
  <c r="X78" i="22"/>
  <c r="X69" i="22"/>
  <c r="X60" i="22"/>
  <c r="X51" i="22"/>
  <c r="X42" i="22"/>
  <c r="X33" i="22"/>
  <c r="X24" i="22"/>
  <c r="X15" i="22"/>
  <c r="X10" i="22"/>
  <c r="X7" i="22"/>
  <c r="X4" i="22"/>
  <c r="X117" i="22"/>
  <c r="X108" i="22"/>
  <c r="X99" i="22"/>
  <c r="X90" i="22"/>
  <c r="X81" i="22"/>
  <c r="X72" i="22"/>
  <c r="X63" i="22"/>
  <c r="X54" i="22"/>
  <c r="X45" i="22"/>
  <c r="X36" i="22"/>
  <c r="X27" i="22"/>
  <c r="X18" i="22"/>
  <c r="Y1" i="22"/>
  <c r="U174" i="26"/>
  <c r="U171" i="26"/>
  <c r="U168" i="26"/>
  <c r="U165" i="26"/>
  <c r="U162" i="26"/>
  <c r="U159" i="26"/>
  <c r="U175" i="26"/>
  <c r="U172" i="26"/>
  <c r="U169" i="26"/>
  <c r="U166" i="26"/>
  <c r="U163" i="26"/>
  <c r="U160" i="26"/>
  <c r="U176" i="26"/>
  <c r="U173" i="26"/>
  <c r="U170" i="26"/>
  <c r="U167" i="26"/>
  <c r="U164" i="26"/>
  <c r="U161" i="26"/>
  <c r="U156" i="26"/>
  <c r="U153" i="26"/>
  <c r="U150" i="26"/>
  <c r="U147" i="26"/>
  <c r="U144" i="26"/>
  <c r="U141" i="26"/>
  <c r="U138" i="26"/>
  <c r="U135" i="26"/>
  <c r="U132" i="26"/>
  <c r="U129" i="26"/>
  <c r="U157" i="26"/>
  <c r="U154" i="26"/>
  <c r="U151" i="26"/>
  <c r="U148" i="26"/>
  <c r="U145" i="26"/>
  <c r="U142" i="26"/>
  <c r="U139" i="26"/>
  <c r="U136" i="26"/>
  <c r="U133" i="26"/>
  <c r="U127" i="26"/>
  <c r="U123" i="26"/>
  <c r="U114" i="26"/>
  <c r="U110" i="26"/>
  <c r="U107" i="26"/>
  <c r="U104" i="26"/>
  <c r="U101" i="26"/>
  <c r="U98" i="26"/>
  <c r="U95" i="26"/>
  <c r="U92" i="26"/>
  <c r="U89" i="26"/>
  <c r="U86" i="26"/>
  <c r="U83" i="26"/>
  <c r="U80" i="26"/>
  <c r="U77" i="26"/>
  <c r="U74" i="26"/>
  <c r="U71" i="26"/>
  <c r="U152" i="26"/>
  <c r="U143" i="26"/>
  <c r="U134" i="26"/>
  <c r="U128" i="26"/>
  <c r="U124" i="26"/>
  <c r="U155" i="26"/>
  <c r="U146" i="26"/>
  <c r="U137" i="26"/>
  <c r="U131" i="26"/>
  <c r="U130" i="26"/>
  <c r="U125" i="26"/>
  <c r="U116" i="26"/>
  <c r="U113" i="26"/>
  <c r="U109" i="26"/>
  <c r="U106" i="26"/>
  <c r="U103" i="26"/>
  <c r="U100" i="26"/>
  <c r="U97" i="26"/>
  <c r="U94" i="26"/>
  <c r="U91" i="26"/>
  <c r="U88" i="26"/>
  <c r="U85" i="26"/>
  <c r="U82" i="26"/>
  <c r="U79" i="26"/>
  <c r="U76" i="26"/>
  <c r="U73" i="26"/>
  <c r="U70" i="26"/>
  <c r="U158" i="26"/>
  <c r="U67" i="26"/>
  <c r="U64" i="26"/>
  <c r="U61" i="26"/>
  <c r="U58" i="26"/>
  <c r="U55" i="26"/>
  <c r="U52" i="26"/>
  <c r="U149" i="26"/>
  <c r="U115" i="26"/>
  <c r="U111" i="26"/>
  <c r="U108" i="26"/>
  <c r="U105" i="26"/>
  <c r="U102" i="26"/>
  <c r="U99" i="26"/>
  <c r="U96" i="26"/>
  <c r="U93" i="26"/>
  <c r="U90" i="26"/>
  <c r="U87" i="26"/>
  <c r="U84" i="26"/>
  <c r="U81" i="26"/>
  <c r="U78" i="26"/>
  <c r="U75" i="26"/>
  <c r="U72" i="26"/>
  <c r="U69" i="26"/>
  <c r="U66" i="26"/>
  <c r="U63" i="26"/>
  <c r="U60" i="26"/>
  <c r="U57" i="26"/>
  <c r="U54" i="26"/>
  <c r="U140" i="26"/>
  <c r="U51" i="26"/>
  <c r="V1" i="26"/>
  <c r="U68" i="26"/>
  <c r="U59" i="26"/>
  <c r="U48" i="26"/>
  <c r="U45" i="26"/>
  <c r="U42" i="26"/>
  <c r="U39" i="26"/>
  <c r="U36" i="26"/>
  <c r="U33" i="26"/>
  <c r="U30" i="26"/>
  <c r="U27" i="26"/>
  <c r="U24" i="26"/>
  <c r="U21" i="26"/>
  <c r="U18" i="26"/>
  <c r="U15" i="26"/>
  <c r="U12" i="26"/>
  <c r="U9" i="26"/>
  <c r="U6" i="26"/>
  <c r="U3" i="26"/>
  <c r="U65" i="26"/>
  <c r="U47" i="26"/>
  <c r="U38" i="26"/>
  <c r="U29" i="26"/>
  <c r="U20" i="26"/>
  <c r="U11" i="26"/>
  <c r="U49" i="26"/>
  <c r="U40" i="26"/>
  <c r="U31" i="26"/>
  <c r="U22" i="26"/>
  <c r="U13" i="26"/>
  <c r="U4" i="26"/>
  <c r="U50" i="26"/>
  <c r="U41" i="26"/>
  <c r="U32" i="26"/>
  <c r="U23" i="26"/>
  <c r="U14" i="26"/>
  <c r="U5" i="26"/>
  <c r="U62" i="26"/>
  <c r="U46" i="26"/>
  <c r="U37" i="26"/>
  <c r="U28" i="26"/>
  <c r="U19" i="26"/>
  <c r="U10" i="26"/>
  <c r="U25" i="26"/>
  <c r="U17" i="26"/>
  <c r="U44" i="26"/>
  <c r="U43" i="26"/>
  <c r="U35" i="26"/>
  <c r="U16" i="26"/>
  <c r="U8" i="26"/>
  <c r="U56" i="26"/>
  <c r="U53" i="26"/>
  <c r="U34" i="26"/>
  <c r="U26" i="26"/>
  <c r="U7" i="26"/>
  <c r="U126" i="23"/>
  <c r="U131" i="23"/>
  <c r="U134" i="23"/>
  <c r="U185" i="23"/>
  <c r="U182" i="23"/>
  <c r="U179" i="23"/>
  <c r="U176" i="23"/>
  <c r="U173" i="23"/>
  <c r="U170" i="23"/>
  <c r="U167" i="23"/>
  <c r="U164" i="23"/>
  <c r="U161" i="23"/>
  <c r="U158" i="23"/>
  <c r="U155" i="23"/>
  <c r="U152" i="23"/>
  <c r="U149" i="23"/>
  <c r="U146" i="23"/>
  <c r="U143" i="23"/>
  <c r="U140" i="23"/>
  <c r="U137" i="23"/>
  <c r="U129" i="23"/>
  <c r="U121" i="23"/>
  <c r="U118" i="23"/>
  <c r="U124" i="23"/>
  <c r="U135" i="23"/>
  <c r="U132" i="23"/>
  <c r="U183" i="23"/>
  <c r="U180" i="23"/>
  <c r="U177" i="23"/>
  <c r="U174" i="23"/>
  <c r="U171" i="23"/>
  <c r="U168" i="23"/>
  <c r="U165" i="23"/>
  <c r="U162" i="23"/>
  <c r="U159" i="23"/>
  <c r="U156" i="23"/>
  <c r="U153" i="23"/>
  <c r="U150" i="23"/>
  <c r="U147" i="23"/>
  <c r="U144" i="23"/>
  <c r="U141" i="23"/>
  <c r="U138" i="23"/>
  <c r="U119" i="23"/>
  <c r="U133" i="23"/>
  <c r="U128" i="23"/>
  <c r="U127" i="23"/>
  <c r="U123" i="23"/>
  <c r="U122" i="23"/>
  <c r="U181" i="23"/>
  <c r="U154" i="23"/>
  <c r="U184" i="23"/>
  <c r="U157" i="23"/>
  <c r="U114" i="23"/>
  <c r="U110" i="23"/>
  <c r="U105" i="23"/>
  <c r="U101" i="23"/>
  <c r="U96" i="23"/>
  <c r="U175" i="23"/>
  <c r="U148" i="23"/>
  <c r="U178" i="23"/>
  <c r="U151" i="23"/>
  <c r="U116" i="23"/>
  <c r="U111" i="23"/>
  <c r="U107" i="23"/>
  <c r="U102" i="23"/>
  <c r="U109" i="23"/>
  <c r="U160" i="23"/>
  <c r="U108" i="23"/>
  <c r="U106" i="23"/>
  <c r="U97" i="23"/>
  <c r="U87" i="23"/>
  <c r="U81" i="23"/>
  <c r="U78" i="23"/>
  <c r="U75" i="23"/>
  <c r="U72" i="23"/>
  <c r="U69" i="23"/>
  <c r="U66" i="23"/>
  <c r="U163" i="23"/>
  <c r="U104" i="23"/>
  <c r="U103" i="23"/>
  <c r="U94" i="23"/>
  <c r="U92" i="23"/>
  <c r="U166" i="23"/>
  <c r="U100" i="23"/>
  <c r="U93" i="23"/>
  <c r="U91" i="23"/>
  <c r="U86" i="23"/>
  <c r="U169" i="23"/>
  <c r="U95" i="23"/>
  <c r="U98" i="23"/>
  <c r="U90" i="23"/>
  <c r="U82" i="23"/>
  <c r="U79" i="23"/>
  <c r="U76" i="23"/>
  <c r="U73" i="23"/>
  <c r="U70" i="23"/>
  <c r="U67" i="23"/>
  <c r="U89" i="23"/>
  <c r="U120" i="23"/>
  <c r="U145" i="23"/>
  <c r="U142" i="23"/>
  <c r="U139" i="23"/>
  <c r="U117" i="23"/>
  <c r="U115" i="23"/>
  <c r="U84" i="23"/>
  <c r="U80" i="23"/>
  <c r="U77" i="23"/>
  <c r="U74" i="23"/>
  <c r="U71" i="23"/>
  <c r="U68" i="23"/>
  <c r="U65" i="23"/>
  <c r="U62" i="23"/>
  <c r="U59" i="23"/>
  <c r="U56" i="23"/>
  <c r="U53" i="23"/>
  <c r="U50" i="23"/>
  <c r="U136" i="23"/>
  <c r="U113" i="23"/>
  <c r="U112" i="23"/>
  <c r="U88" i="23"/>
  <c r="U125" i="23"/>
  <c r="U64" i="23"/>
  <c r="U55" i="23"/>
  <c r="U99" i="23"/>
  <c r="U52" i="23"/>
  <c r="U46" i="23"/>
  <c r="U43" i="23"/>
  <c r="U40" i="23"/>
  <c r="U37" i="23"/>
  <c r="U34" i="23"/>
  <c r="U31" i="23"/>
  <c r="U28" i="23"/>
  <c r="U25" i="23"/>
  <c r="U22" i="23"/>
  <c r="U19" i="23"/>
  <c r="U16" i="23"/>
  <c r="U13" i="23"/>
  <c r="U10" i="23"/>
  <c r="U7" i="23"/>
  <c r="U4" i="23"/>
  <c r="U57" i="23"/>
  <c r="U51" i="23"/>
  <c r="U58" i="23"/>
  <c r="V1" i="23"/>
  <c r="U83" i="23"/>
  <c r="U172" i="23"/>
  <c r="U49" i="23"/>
  <c r="U47" i="23"/>
  <c r="U44" i="23"/>
  <c r="U41" i="23"/>
  <c r="U38" i="23"/>
  <c r="U35" i="23"/>
  <c r="U32" i="23"/>
  <c r="U29" i="23"/>
  <c r="U26" i="23"/>
  <c r="U23" i="23"/>
  <c r="U20" i="23"/>
  <c r="U17" i="23"/>
  <c r="U14" i="23"/>
  <c r="U11" i="23"/>
  <c r="U8" i="23"/>
  <c r="U5" i="23"/>
  <c r="U60" i="23"/>
  <c r="U130" i="23"/>
  <c r="U45" i="23"/>
  <c r="U42" i="23"/>
  <c r="U39" i="23"/>
  <c r="U36" i="23"/>
  <c r="U33" i="23"/>
  <c r="U30" i="23"/>
  <c r="U27" i="23"/>
  <c r="U24" i="23"/>
  <c r="U21" i="23"/>
  <c r="U18" i="23"/>
  <c r="U15" i="23"/>
  <c r="U12" i="23"/>
  <c r="U9" i="23"/>
  <c r="U6" i="23"/>
  <c r="U3" i="23"/>
  <c r="U63" i="23"/>
  <c r="U85" i="23"/>
  <c r="U61" i="23"/>
  <c r="U54" i="23"/>
  <c r="U48" i="23"/>
  <c r="U176" i="27"/>
  <c r="U173" i="27"/>
  <c r="U170" i="27"/>
  <c r="U167" i="27"/>
  <c r="U164" i="27"/>
  <c r="U161" i="27"/>
  <c r="U158" i="27"/>
  <c r="U155" i="27"/>
  <c r="U152" i="27"/>
  <c r="U149" i="27"/>
  <c r="U146" i="27"/>
  <c r="U174" i="27"/>
  <c r="U171" i="27"/>
  <c r="U168" i="27"/>
  <c r="U165" i="27"/>
  <c r="U162" i="27"/>
  <c r="U159" i="27"/>
  <c r="U156" i="27"/>
  <c r="U153" i="27"/>
  <c r="U150" i="27"/>
  <c r="U147" i="27"/>
  <c r="U175" i="27"/>
  <c r="U172" i="27"/>
  <c r="U169" i="27"/>
  <c r="U166" i="27"/>
  <c r="U163" i="27"/>
  <c r="U160" i="27"/>
  <c r="U157" i="27"/>
  <c r="U154" i="27"/>
  <c r="U151" i="27"/>
  <c r="U148" i="27"/>
  <c r="U145" i="27"/>
  <c r="U142" i="27"/>
  <c r="U139" i="27"/>
  <c r="U136" i="27"/>
  <c r="U133" i="27"/>
  <c r="U130" i="27"/>
  <c r="U127" i="27"/>
  <c r="U123" i="27"/>
  <c r="U114" i="27"/>
  <c r="U110" i="27"/>
  <c r="U143" i="27"/>
  <c r="U140" i="27"/>
  <c r="U137" i="27"/>
  <c r="U134" i="27"/>
  <c r="U131" i="27"/>
  <c r="U128" i="27"/>
  <c r="U124" i="27"/>
  <c r="U115" i="27"/>
  <c r="U111" i="27"/>
  <c r="U108" i="27"/>
  <c r="U105" i="27"/>
  <c r="U102" i="27"/>
  <c r="U99" i="27"/>
  <c r="U96" i="27"/>
  <c r="U93" i="27"/>
  <c r="U90" i="27"/>
  <c r="U87" i="27"/>
  <c r="U109" i="27"/>
  <c r="U106" i="27"/>
  <c r="U103" i="27"/>
  <c r="U100" i="27"/>
  <c r="U97" i="27"/>
  <c r="U94" i="27"/>
  <c r="U91" i="27"/>
  <c r="U88" i="27"/>
  <c r="U144" i="27"/>
  <c r="U141" i="27"/>
  <c r="U138" i="27"/>
  <c r="U135" i="27"/>
  <c r="U132" i="27"/>
  <c r="U129" i="27"/>
  <c r="U125" i="27"/>
  <c r="U116" i="27"/>
  <c r="U113" i="27"/>
  <c r="U84" i="27"/>
  <c r="U81" i="27"/>
  <c r="U78" i="27"/>
  <c r="U75" i="27"/>
  <c r="U72" i="27"/>
  <c r="U69" i="27"/>
  <c r="U66" i="27"/>
  <c r="U107" i="27"/>
  <c r="U104" i="27"/>
  <c r="U101" i="27"/>
  <c r="U98" i="27"/>
  <c r="U95" i="27"/>
  <c r="U92" i="27"/>
  <c r="U89" i="27"/>
  <c r="U85" i="27"/>
  <c r="U82" i="27"/>
  <c r="U79" i="27"/>
  <c r="U76" i="27"/>
  <c r="U73" i="27"/>
  <c r="U70" i="27"/>
  <c r="U67" i="27"/>
  <c r="U64" i="27"/>
  <c r="U83" i="27"/>
  <c r="U80" i="27"/>
  <c r="U77" i="27"/>
  <c r="U74" i="27"/>
  <c r="U71" i="27"/>
  <c r="U68" i="27"/>
  <c r="U65" i="27"/>
  <c r="U86" i="27"/>
  <c r="U61" i="27"/>
  <c r="U58" i="27"/>
  <c r="U55" i="27"/>
  <c r="U52" i="27"/>
  <c r="U49" i="27"/>
  <c r="U46" i="27"/>
  <c r="U43" i="27"/>
  <c r="U40" i="27"/>
  <c r="U37" i="27"/>
  <c r="U62" i="27"/>
  <c r="U59" i="27"/>
  <c r="U56" i="27"/>
  <c r="U53" i="27"/>
  <c r="U50" i="27"/>
  <c r="U47" i="27"/>
  <c r="U44" i="27"/>
  <c r="U41" i="27"/>
  <c r="U38" i="27"/>
  <c r="U63" i="27"/>
  <c r="U60" i="27"/>
  <c r="U57" i="27"/>
  <c r="U54" i="27"/>
  <c r="U51" i="27"/>
  <c r="U48" i="27"/>
  <c r="U45" i="27"/>
  <c r="U42" i="27"/>
  <c r="U39" i="27"/>
  <c r="U35" i="27"/>
  <c r="U32" i="27"/>
  <c r="U29" i="27"/>
  <c r="U26" i="27"/>
  <c r="U23" i="27"/>
  <c r="U20" i="27"/>
  <c r="U17" i="27"/>
  <c r="U14" i="27"/>
  <c r="U11" i="27"/>
  <c r="U36" i="27"/>
  <c r="U33" i="27"/>
  <c r="U30" i="27"/>
  <c r="U27" i="27"/>
  <c r="U24" i="27"/>
  <c r="U21" i="27"/>
  <c r="U18" i="27"/>
  <c r="U15" i="27"/>
  <c r="U12" i="27"/>
  <c r="U34" i="27"/>
  <c r="U31" i="27"/>
  <c r="U28" i="27"/>
  <c r="U25" i="27"/>
  <c r="U22" i="27"/>
  <c r="U19" i="27"/>
  <c r="U16" i="27"/>
  <c r="U13" i="27"/>
  <c r="U10" i="27"/>
  <c r="V1" i="27"/>
  <c r="U8" i="27"/>
  <c r="U5" i="27"/>
  <c r="U6" i="27"/>
  <c r="U3" i="27"/>
  <c r="U7" i="27"/>
  <c r="U9" i="27"/>
  <c r="U4" i="27"/>
  <c r="V179" i="25"/>
  <c r="V177" i="25"/>
  <c r="V174" i="25"/>
  <c r="V171" i="25"/>
  <c r="V168" i="25"/>
  <c r="V165" i="25"/>
  <c r="V162" i="25"/>
  <c r="V159" i="25"/>
  <c r="V156" i="25"/>
  <c r="V153" i="25"/>
  <c r="V150" i="25"/>
  <c r="V147" i="25"/>
  <c r="V144" i="25"/>
  <c r="V141" i="25"/>
  <c r="V138" i="25"/>
  <c r="V135" i="25"/>
  <c r="V178" i="25"/>
  <c r="V176" i="25"/>
  <c r="V173" i="25"/>
  <c r="V170" i="25"/>
  <c r="V167" i="25"/>
  <c r="V164" i="25"/>
  <c r="V161" i="25"/>
  <c r="V158" i="25"/>
  <c r="V155" i="25"/>
  <c r="V152" i="25"/>
  <c r="V149" i="25"/>
  <c r="V146" i="25"/>
  <c r="V143" i="25"/>
  <c r="V140" i="25"/>
  <c r="V137" i="25"/>
  <c r="V172" i="25"/>
  <c r="V163" i="25"/>
  <c r="V154" i="25"/>
  <c r="V145" i="25"/>
  <c r="V136" i="25"/>
  <c r="V132" i="25"/>
  <c r="V113" i="25"/>
  <c r="V110" i="25"/>
  <c r="V107" i="25"/>
  <c r="V104" i="25"/>
  <c r="V101" i="25"/>
  <c r="V98" i="25"/>
  <c r="V169" i="25"/>
  <c r="V160" i="25"/>
  <c r="V151" i="25"/>
  <c r="V175" i="25"/>
  <c r="V166" i="25"/>
  <c r="V157" i="25"/>
  <c r="V148" i="25"/>
  <c r="V139" i="25"/>
  <c r="V134" i="25"/>
  <c r="V131" i="25"/>
  <c r="V123" i="25"/>
  <c r="V115" i="25"/>
  <c r="V112" i="25"/>
  <c r="V109" i="25"/>
  <c r="V106" i="25"/>
  <c r="V103" i="25"/>
  <c r="V129" i="25"/>
  <c r="V94" i="25"/>
  <c r="V91" i="25"/>
  <c r="V88" i="25"/>
  <c r="V85" i="25"/>
  <c r="V82" i="25"/>
  <c r="V79" i="25"/>
  <c r="V76" i="25"/>
  <c r="V73" i="25"/>
  <c r="V125" i="25"/>
  <c r="V126" i="25"/>
  <c r="V114" i="25"/>
  <c r="V111" i="25"/>
  <c r="V108" i="25"/>
  <c r="V105" i="25"/>
  <c r="V102" i="25"/>
  <c r="V95" i="25"/>
  <c r="V92" i="25"/>
  <c r="V89" i="25"/>
  <c r="V86" i="25"/>
  <c r="V83" i="25"/>
  <c r="V80" i="25"/>
  <c r="V77" i="25"/>
  <c r="V74" i="25"/>
  <c r="V71" i="25"/>
  <c r="V120" i="25"/>
  <c r="V119" i="25"/>
  <c r="V118" i="25"/>
  <c r="V117" i="25"/>
  <c r="V116" i="25"/>
  <c r="V97" i="25"/>
  <c r="V142" i="25"/>
  <c r="V127" i="25"/>
  <c r="V99" i="25"/>
  <c r="V90" i="25"/>
  <c r="V81" i="25"/>
  <c r="V128" i="25"/>
  <c r="V72" i="25"/>
  <c r="V68" i="25"/>
  <c r="V65" i="25"/>
  <c r="V62" i="25"/>
  <c r="V59" i="25"/>
  <c r="V56" i="25"/>
  <c r="V53" i="25"/>
  <c r="V50" i="25"/>
  <c r="V47" i="25"/>
  <c r="V130" i="25"/>
  <c r="V122" i="25"/>
  <c r="V121" i="25"/>
  <c r="V96" i="25"/>
  <c r="V87" i="25"/>
  <c r="V78" i="25"/>
  <c r="V133" i="25"/>
  <c r="V93" i="25"/>
  <c r="V84" i="25"/>
  <c r="V75" i="25"/>
  <c r="V69" i="25"/>
  <c r="V66" i="25"/>
  <c r="V63" i="25"/>
  <c r="V60" i="25"/>
  <c r="V57" i="25"/>
  <c r="V54" i="25"/>
  <c r="V51" i="25"/>
  <c r="V48" i="25"/>
  <c r="V39" i="25"/>
  <c r="V36" i="25"/>
  <c r="V33" i="25"/>
  <c r="V30" i="25"/>
  <c r="V27" i="25"/>
  <c r="V24" i="25"/>
  <c r="V21" i="25"/>
  <c r="V18" i="25"/>
  <c r="V15" i="25"/>
  <c r="V12" i="25"/>
  <c r="V9" i="25"/>
  <c r="V44" i="25"/>
  <c r="V43" i="25"/>
  <c r="V124" i="25"/>
  <c r="V42" i="25"/>
  <c r="V40" i="25"/>
  <c r="V37" i="25"/>
  <c r="V34" i="25"/>
  <c r="V31" i="25"/>
  <c r="V28" i="25"/>
  <c r="V25" i="25"/>
  <c r="V22" i="25"/>
  <c r="V19" i="25"/>
  <c r="V16" i="25"/>
  <c r="V13" i="25"/>
  <c r="V10" i="25"/>
  <c r="V45" i="25"/>
  <c r="V100" i="25"/>
  <c r="V41" i="25"/>
  <c r="V38" i="25"/>
  <c r="V35" i="25"/>
  <c r="V32" i="25"/>
  <c r="V29" i="25"/>
  <c r="V26" i="25"/>
  <c r="V23" i="25"/>
  <c r="V20" i="25"/>
  <c r="V17" i="25"/>
  <c r="V14" i="25"/>
  <c r="V11" i="25"/>
  <c r="V8" i="25"/>
  <c r="V7" i="25"/>
  <c r="V4" i="25"/>
  <c r="W1" i="25"/>
  <c r="V5" i="25"/>
  <c r="V61" i="25"/>
  <c r="V49" i="25"/>
  <c r="V70" i="25"/>
  <c r="V58" i="25"/>
  <c r="V46" i="25"/>
  <c r="V67" i="25"/>
  <c r="V55" i="25"/>
  <c r="V6" i="25"/>
  <c r="V3" i="25"/>
  <c r="V64" i="25"/>
  <c r="V52" i="25"/>
  <c r="V176" i="27" l="1"/>
  <c r="V173" i="27"/>
  <c r="V170" i="27"/>
  <c r="V167" i="27"/>
  <c r="V164" i="27"/>
  <c r="V161" i="27"/>
  <c r="V158" i="27"/>
  <c r="V155" i="27"/>
  <c r="V152" i="27"/>
  <c r="V149" i="27"/>
  <c r="V146" i="27"/>
  <c r="V174" i="27"/>
  <c r="V171" i="27"/>
  <c r="V168" i="27"/>
  <c r="V165" i="27"/>
  <c r="V162" i="27"/>
  <c r="V159" i="27"/>
  <c r="V156" i="27"/>
  <c r="V153" i="27"/>
  <c r="V150" i="27"/>
  <c r="V147" i="27"/>
  <c r="V169" i="27"/>
  <c r="V160" i="27"/>
  <c r="V151" i="27"/>
  <c r="V143" i="27"/>
  <c r="V140" i="27"/>
  <c r="V137" i="27"/>
  <c r="V134" i="27"/>
  <c r="V131" i="27"/>
  <c r="V128" i="27"/>
  <c r="V124" i="27"/>
  <c r="V115" i="27"/>
  <c r="V111" i="27"/>
  <c r="V175" i="27"/>
  <c r="V166" i="27"/>
  <c r="V157" i="27"/>
  <c r="V148" i="27"/>
  <c r="V172" i="27"/>
  <c r="V163" i="27"/>
  <c r="V154" i="27"/>
  <c r="V145" i="27"/>
  <c r="V142" i="27"/>
  <c r="V139" i="27"/>
  <c r="V136" i="27"/>
  <c r="V133" i="27"/>
  <c r="V130" i="27"/>
  <c r="V127" i="27"/>
  <c r="V123" i="27"/>
  <c r="V114" i="27"/>
  <c r="V110" i="27"/>
  <c r="V109" i="27"/>
  <c r="V106" i="27"/>
  <c r="V103" i="27"/>
  <c r="V100" i="27"/>
  <c r="V97" i="27"/>
  <c r="V94" i="27"/>
  <c r="V91" i="27"/>
  <c r="V88" i="27"/>
  <c r="V108" i="27"/>
  <c r="V105" i="27"/>
  <c r="V102" i="27"/>
  <c r="V99" i="27"/>
  <c r="V96" i="27"/>
  <c r="V93" i="27"/>
  <c r="V90" i="27"/>
  <c r="V84" i="27"/>
  <c r="V81" i="27"/>
  <c r="V78" i="27"/>
  <c r="V75" i="27"/>
  <c r="V72" i="27"/>
  <c r="V69" i="27"/>
  <c r="V66" i="27"/>
  <c r="V87" i="27"/>
  <c r="V107" i="27"/>
  <c r="V104" i="27"/>
  <c r="V101" i="27"/>
  <c r="V98" i="27"/>
  <c r="V95" i="27"/>
  <c r="V92" i="27"/>
  <c r="V141" i="27"/>
  <c r="V135" i="27"/>
  <c r="V129" i="27"/>
  <c r="V116" i="27"/>
  <c r="V89" i="27"/>
  <c r="V85" i="27"/>
  <c r="V82" i="27"/>
  <c r="V79" i="27"/>
  <c r="V76" i="27"/>
  <c r="V73" i="27"/>
  <c r="V70" i="27"/>
  <c r="V67" i="27"/>
  <c r="V64" i="27"/>
  <c r="V86" i="27"/>
  <c r="V144" i="27"/>
  <c r="V138" i="27"/>
  <c r="V132" i="27"/>
  <c r="V125" i="27"/>
  <c r="V113" i="27"/>
  <c r="V61" i="27"/>
  <c r="V58" i="27"/>
  <c r="V55" i="27"/>
  <c r="V52" i="27"/>
  <c r="V49" i="27"/>
  <c r="V46" i="27"/>
  <c r="V43" i="27"/>
  <c r="V40" i="27"/>
  <c r="V37" i="27"/>
  <c r="V83" i="27"/>
  <c r="V74" i="27"/>
  <c r="V65" i="27"/>
  <c r="V62" i="27"/>
  <c r="V59" i="27"/>
  <c r="V56" i="27"/>
  <c r="V53" i="27"/>
  <c r="V50" i="27"/>
  <c r="V47" i="27"/>
  <c r="V44" i="27"/>
  <c r="V41" i="27"/>
  <c r="V38" i="27"/>
  <c r="V77" i="27"/>
  <c r="V68" i="27"/>
  <c r="V80" i="27"/>
  <c r="V57" i="27"/>
  <c r="V48" i="27"/>
  <c r="V39" i="27"/>
  <c r="V36" i="27"/>
  <c r="V33" i="27"/>
  <c r="V30" i="27"/>
  <c r="V27" i="27"/>
  <c r="V24" i="27"/>
  <c r="V21" i="27"/>
  <c r="V18" i="27"/>
  <c r="V15" i="27"/>
  <c r="V12" i="27"/>
  <c r="V63" i="27"/>
  <c r="V54" i="27"/>
  <c r="V45" i="27"/>
  <c r="V71" i="27"/>
  <c r="V35" i="27"/>
  <c r="V32" i="27"/>
  <c r="V29" i="27"/>
  <c r="V26" i="27"/>
  <c r="V23" i="27"/>
  <c r="V20" i="27"/>
  <c r="V17" i="27"/>
  <c r="V14" i="27"/>
  <c r="V11" i="27"/>
  <c r="W1" i="27"/>
  <c r="V28" i="27"/>
  <c r="V19" i="27"/>
  <c r="V8" i="27"/>
  <c r="V5" i="27"/>
  <c r="V51" i="27"/>
  <c r="V10" i="27"/>
  <c r="V34" i="27"/>
  <c r="V25" i="27"/>
  <c r="V16" i="27"/>
  <c r="V9" i="27"/>
  <c r="V6" i="27"/>
  <c r="V3" i="27"/>
  <c r="V31" i="27"/>
  <c r="V22" i="27"/>
  <c r="V13" i="27"/>
  <c r="V7" i="27"/>
  <c r="V4" i="27"/>
  <c r="V60" i="27"/>
  <c r="V42" i="27"/>
  <c r="W193" i="16"/>
  <c r="W190" i="16"/>
  <c r="W187" i="16"/>
  <c r="W184" i="16"/>
  <c r="W181" i="16"/>
  <c r="W178" i="16"/>
  <c r="W191" i="16"/>
  <c r="W188" i="16"/>
  <c r="W185" i="16"/>
  <c r="W182" i="16"/>
  <c r="W179" i="16"/>
  <c r="W176" i="16"/>
  <c r="W189" i="16"/>
  <c r="W180" i="16"/>
  <c r="W138" i="16"/>
  <c r="W133" i="16"/>
  <c r="W130" i="16"/>
  <c r="X1" i="16"/>
  <c r="W186" i="16"/>
  <c r="W134" i="16"/>
  <c r="W131" i="16"/>
  <c r="W142" i="16"/>
  <c r="W66" i="16"/>
  <c r="W63" i="16"/>
  <c r="W60" i="16"/>
  <c r="W57" i="16"/>
  <c r="W54" i="16"/>
  <c r="W51" i="16"/>
  <c r="W48" i="16"/>
  <c r="W45" i="16"/>
  <c r="W42" i="16"/>
  <c r="W39" i="16"/>
  <c r="W36" i="16"/>
  <c r="W33" i="16"/>
  <c r="W30" i="16"/>
  <c r="W27" i="16"/>
  <c r="W24" i="16"/>
  <c r="W21" i="16"/>
  <c r="W18" i="16"/>
  <c r="W15" i="16"/>
  <c r="W12" i="16"/>
  <c r="W9" i="16"/>
  <c r="W6" i="16"/>
  <c r="W3" i="16"/>
  <c r="W192" i="16"/>
  <c r="W183" i="16"/>
  <c r="W132" i="16"/>
  <c r="W167" i="16"/>
  <c r="W158" i="16"/>
  <c r="W149" i="16"/>
  <c r="W140" i="16"/>
  <c r="W136" i="16"/>
  <c r="W127" i="16"/>
  <c r="W124" i="16"/>
  <c r="W115" i="16"/>
  <c r="W106" i="16"/>
  <c r="W97" i="16"/>
  <c r="W88" i="16"/>
  <c r="W79" i="16"/>
  <c r="W70" i="16"/>
  <c r="W174" i="16"/>
  <c r="W165" i="16"/>
  <c r="W156" i="16"/>
  <c r="W147" i="16"/>
  <c r="W120" i="16"/>
  <c r="W111" i="16"/>
  <c r="W102" i="16"/>
  <c r="W93" i="16"/>
  <c r="W84" i="16"/>
  <c r="W75" i="16"/>
  <c r="W172" i="16"/>
  <c r="W163" i="16"/>
  <c r="W154" i="16"/>
  <c r="W145" i="16"/>
  <c r="W177" i="16"/>
  <c r="W143" i="16"/>
  <c r="W125" i="16"/>
  <c r="W116" i="16"/>
  <c r="W107" i="16"/>
  <c r="W98" i="16"/>
  <c r="W89" i="16"/>
  <c r="W80" i="16"/>
  <c r="W71" i="16"/>
  <c r="W121" i="16"/>
  <c r="W103" i="16"/>
  <c r="W85" i="16"/>
  <c r="W170" i="16"/>
  <c r="W161" i="16"/>
  <c r="W152" i="16"/>
  <c r="W112" i="16"/>
  <c r="W94" i="16"/>
  <c r="W76" i="16"/>
  <c r="W168" i="16"/>
  <c r="W159" i="16"/>
  <c r="W150" i="16"/>
  <c r="W141" i="16"/>
  <c r="W128" i="16"/>
  <c r="W117" i="16"/>
  <c r="W108" i="16"/>
  <c r="W99" i="16"/>
  <c r="W90" i="16"/>
  <c r="W81" i="16"/>
  <c r="W72" i="16"/>
  <c r="W101" i="16"/>
  <c r="W74" i="16"/>
  <c r="W175" i="16"/>
  <c r="W166" i="16"/>
  <c r="W157" i="16"/>
  <c r="W148" i="16"/>
  <c r="W139" i="16"/>
  <c r="W137" i="16"/>
  <c r="W135" i="16"/>
  <c r="W126" i="16"/>
  <c r="W100" i="16"/>
  <c r="W73" i="16"/>
  <c r="W122" i="16"/>
  <c r="W113" i="16"/>
  <c r="W104" i="16"/>
  <c r="W95" i="16"/>
  <c r="W86" i="16"/>
  <c r="W77" i="16"/>
  <c r="W118" i="16"/>
  <c r="W109" i="16"/>
  <c r="W119" i="16"/>
  <c r="W110" i="16"/>
  <c r="W92" i="16"/>
  <c r="W83" i="16"/>
  <c r="W173" i="16"/>
  <c r="W164" i="16"/>
  <c r="W155" i="16"/>
  <c r="W146" i="16"/>
  <c r="W91" i="16"/>
  <c r="W82" i="16"/>
  <c r="W171" i="16"/>
  <c r="W162" i="16"/>
  <c r="W153" i="16"/>
  <c r="W144" i="16"/>
  <c r="W123" i="16"/>
  <c r="W114" i="16"/>
  <c r="W105" i="16"/>
  <c r="W96" i="16"/>
  <c r="W87" i="16"/>
  <c r="W78" i="16"/>
  <c r="W68" i="16"/>
  <c r="W67" i="16"/>
  <c r="W65" i="16"/>
  <c r="W64" i="16"/>
  <c r="W62" i="16"/>
  <c r="W61" i="16"/>
  <c r="W59" i="16"/>
  <c r="W58" i="16"/>
  <c r="W56" i="16"/>
  <c r="W55" i="16"/>
  <c r="W53" i="16"/>
  <c r="W52" i="16"/>
  <c r="W50" i="16"/>
  <c r="W49" i="16"/>
  <c r="W47" i="16"/>
  <c r="W46" i="16"/>
  <c r="W44" i="16"/>
  <c r="W43" i="16"/>
  <c r="W41" i="16"/>
  <c r="W40" i="16"/>
  <c r="W38" i="16"/>
  <c r="W37" i="16"/>
  <c r="W35" i="16"/>
  <c r="W34" i="16"/>
  <c r="W32" i="16"/>
  <c r="W31" i="16"/>
  <c r="W29" i="16"/>
  <c r="W28" i="16"/>
  <c r="W26" i="16"/>
  <c r="W25" i="16"/>
  <c r="W23" i="16"/>
  <c r="W22" i="16"/>
  <c r="W20" i="16"/>
  <c r="W19" i="16"/>
  <c r="W17" i="16"/>
  <c r="W16" i="16"/>
  <c r="W14" i="16"/>
  <c r="W13" i="16"/>
  <c r="W11" i="16"/>
  <c r="W10" i="16"/>
  <c r="W8" i="16"/>
  <c r="W7" i="16"/>
  <c r="W5" i="16"/>
  <c r="W4" i="16"/>
  <c r="W169" i="16"/>
  <c r="W160" i="16"/>
  <c r="W151" i="16"/>
  <c r="W129" i="16"/>
  <c r="W69" i="16"/>
  <c r="V191" i="18"/>
  <c r="V188" i="18"/>
  <c r="V185" i="18"/>
  <c r="V182" i="18"/>
  <c r="V179" i="18"/>
  <c r="V176" i="18"/>
  <c r="V173" i="18"/>
  <c r="V170" i="18"/>
  <c r="V167" i="18"/>
  <c r="V164" i="18"/>
  <c r="V161" i="18"/>
  <c r="V158" i="18"/>
  <c r="V155" i="18"/>
  <c r="V152" i="18"/>
  <c r="V149" i="18"/>
  <c r="V146" i="18"/>
  <c r="V143" i="18"/>
  <c r="V147" i="18"/>
  <c r="V142" i="18"/>
  <c r="V137" i="18"/>
  <c r="V184" i="18"/>
  <c r="V175" i="18"/>
  <c r="V166" i="18"/>
  <c r="V187" i="18"/>
  <c r="V153" i="18"/>
  <c r="V190" i="18"/>
  <c r="V180" i="18"/>
  <c r="V165" i="18"/>
  <c r="V157" i="18"/>
  <c r="V131" i="18"/>
  <c r="V192" i="18"/>
  <c r="V181" i="18"/>
  <c r="V171" i="18"/>
  <c r="V183" i="18"/>
  <c r="V172" i="18"/>
  <c r="V169" i="18"/>
  <c r="V144" i="18"/>
  <c r="V141" i="18"/>
  <c r="V136" i="18"/>
  <c r="V132" i="18"/>
  <c r="V129" i="18"/>
  <c r="V163" i="18"/>
  <c r="V162" i="18"/>
  <c r="V135" i="18"/>
  <c r="V130" i="18"/>
  <c r="V62" i="18"/>
  <c r="V53" i="18"/>
  <c r="V44" i="18"/>
  <c r="V35" i="18"/>
  <c r="V26" i="18"/>
  <c r="V17" i="18"/>
  <c r="V8" i="18"/>
  <c r="V178" i="18"/>
  <c r="V125" i="18"/>
  <c r="V116" i="18"/>
  <c r="V107" i="18"/>
  <c r="V98" i="18"/>
  <c r="V89" i="18"/>
  <c r="V80" i="18"/>
  <c r="V71" i="18"/>
  <c r="V66" i="18"/>
  <c r="V57" i="18"/>
  <c r="V48" i="18"/>
  <c r="V39" i="18"/>
  <c r="V30" i="18"/>
  <c r="V160" i="18"/>
  <c r="V159" i="18"/>
  <c r="V134" i="18"/>
  <c r="V120" i="18"/>
  <c r="V111" i="18"/>
  <c r="V102" i="18"/>
  <c r="V93" i="18"/>
  <c r="V84" i="18"/>
  <c r="V75" i="18"/>
  <c r="V61" i="18"/>
  <c r="V52" i="18"/>
  <c r="V43" i="18"/>
  <c r="V34" i="18"/>
  <c r="V25" i="18"/>
  <c r="V16" i="18"/>
  <c r="V7" i="18"/>
  <c r="W1" i="18"/>
  <c r="V186" i="18"/>
  <c r="V148" i="18"/>
  <c r="V139" i="18"/>
  <c r="V124" i="18"/>
  <c r="V115" i="18"/>
  <c r="V106" i="18"/>
  <c r="V97" i="18"/>
  <c r="V88" i="18"/>
  <c r="V79" i="18"/>
  <c r="V70" i="18"/>
  <c r="V133" i="18"/>
  <c r="V65" i="18"/>
  <c r="V56" i="18"/>
  <c r="V47" i="18"/>
  <c r="V38" i="18"/>
  <c r="V29" i="18"/>
  <c r="V20" i="18"/>
  <c r="V11" i="18"/>
  <c r="V189" i="18"/>
  <c r="V156" i="18"/>
  <c r="V128" i="18"/>
  <c r="V119" i="18"/>
  <c r="V110" i="18"/>
  <c r="V101" i="18"/>
  <c r="V174" i="18"/>
  <c r="V168" i="18"/>
  <c r="V123" i="18"/>
  <c r="V114" i="18"/>
  <c r="V105" i="18"/>
  <c r="V96" i="18"/>
  <c r="V87" i="18"/>
  <c r="V78" i="18"/>
  <c r="V68" i="18"/>
  <c r="V58" i="18"/>
  <c r="V41" i="18"/>
  <c r="V31" i="18"/>
  <c r="V28" i="18"/>
  <c r="V22" i="18"/>
  <c r="V145" i="18"/>
  <c r="V126" i="18"/>
  <c r="V113" i="18"/>
  <c r="V112" i="18"/>
  <c r="V92" i="18"/>
  <c r="V83" i="18"/>
  <c r="V74" i="18"/>
  <c r="V54" i="18"/>
  <c r="V5" i="18"/>
  <c r="V3" i="18"/>
  <c r="V150" i="18"/>
  <c r="V140" i="18"/>
  <c r="V100" i="18"/>
  <c r="V91" i="18"/>
  <c r="V82" i="18"/>
  <c r="V60" i="18"/>
  <c r="V33" i="18"/>
  <c r="V15" i="18"/>
  <c r="V9" i="18"/>
  <c r="V154" i="18"/>
  <c r="V67" i="18"/>
  <c r="V50" i="18"/>
  <c r="V40" i="18"/>
  <c r="V19" i="18"/>
  <c r="V13" i="18"/>
  <c r="V118" i="18"/>
  <c r="V77" i="18"/>
  <c r="V46" i="18"/>
  <c r="V117" i="18"/>
  <c r="V104" i="18"/>
  <c r="V103" i="18"/>
  <c r="V99" i="18"/>
  <c r="V90" i="18"/>
  <c r="V81" i="18"/>
  <c r="V73" i="18"/>
  <c r="V63" i="18"/>
  <c r="V36" i="18"/>
  <c r="V23" i="18"/>
  <c r="V21" i="18"/>
  <c r="V69" i="18"/>
  <c r="V59" i="18"/>
  <c r="V49" i="18"/>
  <c r="V32" i="18"/>
  <c r="V10" i="18"/>
  <c r="V4" i="18"/>
  <c r="V109" i="18"/>
  <c r="V76" i="18"/>
  <c r="V55" i="18"/>
  <c r="V177" i="18"/>
  <c r="V151" i="18"/>
  <c r="V138" i="18"/>
  <c r="V122" i="18"/>
  <c r="V121" i="18"/>
  <c r="V108" i="18"/>
  <c r="V45" i="18"/>
  <c r="V14" i="18"/>
  <c r="V12" i="18"/>
  <c r="V6" i="18"/>
  <c r="V94" i="18"/>
  <c r="V64" i="18"/>
  <c r="V42" i="18"/>
  <c r="V27" i="18"/>
  <c r="V86" i="18"/>
  <c r="V51" i="18"/>
  <c r="V24" i="18"/>
  <c r="V72" i="18"/>
  <c r="V18" i="18"/>
  <c r="V85" i="18"/>
  <c r="V127" i="18"/>
  <c r="V95" i="18"/>
  <c r="V37" i="18"/>
  <c r="V174" i="26"/>
  <c r="V171" i="26"/>
  <c r="V168" i="26"/>
  <c r="V165" i="26"/>
  <c r="V162" i="26"/>
  <c r="V159" i="26"/>
  <c r="V175" i="26"/>
  <c r="V172" i="26"/>
  <c r="V169" i="26"/>
  <c r="V166" i="26"/>
  <c r="V163" i="26"/>
  <c r="V160" i="26"/>
  <c r="V176" i="26"/>
  <c r="V173" i="26"/>
  <c r="V170" i="26"/>
  <c r="V167" i="26"/>
  <c r="V164" i="26"/>
  <c r="V161" i="26"/>
  <c r="V156" i="26"/>
  <c r="V153" i="26"/>
  <c r="V150" i="26"/>
  <c r="V147" i="26"/>
  <c r="V144" i="26"/>
  <c r="V141" i="26"/>
  <c r="V138" i="26"/>
  <c r="V135" i="26"/>
  <c r="V132" i="26"/>
  <c r="V129" i="26"/>
  <c r="V157" i="26"/>
  <c r="V154" i="26"/>
  <c r="V151" i="26"/>
  <c r="V148" i="26"/>
  <c r="V145" i="26"/>
  <c r="V142" i="26"/>
  <c r="V139" i="26"/>
  <c r="V136" i="26"/>
  <c r="V133" i="26"/>
  <c r="V155" i="26"/>
  <c r="V152" i="26"/>
  <c r="V149" i="26"/>
  <c r="V146" i="26"/>
  <c r="V143" i="26"/>
  <c r="V140" i="26"/>
  <c r="V137" i="26"/>
  <c r="V134" i="26"/>
  <c r="V131" i="26"/>
  <c r="V128" i="26"/>
  <c r="V124" i="26"/>
  <c r="V115" i="26"/>
  <c r="V111" i="26"/>
  <c r="V108" i="26"/>
  <c r="V105" i="26"/>
  <c r="V102" i="26"/>
  <c r="V99" i="26"/>
  <c r="V96" i="26"/>
  <c r="V93" i="26"/>
  <c r="V90" i="26"/>
  <c r="V87" i="26"/>
  <c r="V84" i="26"/>
  <c r="V81" i="26"/>
  <c r="V78" i="26"/>
  <c r="V75" i="26"/>
  <c r="V72" i="26"/>
  <c r="V130" i="26"/>
  <c r="V125" i="26"/>
  <c r="V116" i="26"/>
  <c r="V113" i="26"/>
  <c r="V109" i="26"/>
  <c r="V106" i="26"/>
  <c r="V103" i="26"/>
  <c r="V100" i="26"/>
  <c r="V97" i="26"/>
  <c r="V94" i="26"/>
  <c r="V91" i="26"/>
  <c r="V88" i="26"/>
  <c r="V85" i="26"/>
  <c r="V82" i="26"/>
  <c r="V79" i="26"/>
  <c r="V76" i="26"/>
  <c r="V73" i="26"/>
  <c r="V70" i="26"/>
  <c r="V158" i="26"/>
  <c r="V123" i="26"/>
  <c r="V114" i="26"/>
  <c r="V110" i="26"/>
  <c r="V107" i="26"/>
  <c r="V104" i="26"/>
  <c r="V101" i="26"/>
  <c r="V98" i="26"/>
  <c r="V95" i="26"/>
  <c r="V92" i="26"/>
  <c r="V89" i="26"/>
  <c r="V86" i="26"/>
  <c r="V83" i="26"/>
  <c r="V80" i="26"/>
  <c r="V77" i="26"/>
  <c r="V74" i="26"/>
  <c r="V71" i="26"/>
  <c r="V67" i="26"/>
  <c r="V64" i="26"/>
  <c r="V61" i="26"/>
  <c r="V58" i="26"/>
  <c r="V55" i="26"/>
  <c r="V52" i="26"/>
  <c r="V68" i="26"/>
  <c r="V65" i="26"/>
  <c r="V62" i="26"/>
  <c r="V59" i="26"/>
  <c r="V56" i="26"/>
  <c r="V53" i="26"/>
  <c r="V69" i="26"/>
  <c r="V60" i="26"/>
  <c r="V49" i="26"/>
  <c r="V46" i="26"/>
  <c r="V43" i="26"/>
  <c r="V40" i="26"/>
  <c r="V37" i="26"/>
  <c r="V34" i="26"/>
  <c r="V31" i="26"/>
  <c r="V28" i="26"/>
  <c r="V25" i="26"/>
  <c r="V22" i="26"/>
  <c r="V19" i="26"/>
  <c r="V16" i="26"/>
  <c r="V13" i="26"/>
  <c r="V10" i="26"/>
  <c r="V7" i="26"/>
  <c r="V4" i="26"/>
  <c r="V51" i="26"/>
  <c r="W1" i="26"/>
  <c r="V127" i="26"/>
  <c r="V63" i="26"/>
  <c r="V54" i="26"/>
  <c r="V50" i="26"/>
  <c r="V47" i="26"/>
  <c r="V44" i="26"/>
  <c r="V41" i="26"/>
  <c r="V38" i="26"/>
  <c r="V35" i="26"/>
  <c r="V32" i="26"/>
  <c r="V29" i="26"/>
  <c r="V26" i="26"/>
  <c r="V23" i="26"/>
  <c r="V20" i="26"/>
  <c r="V17" i="26"/>
  <c r="V14" i="26"/>
  <c r="V11" i="26"/>
  <c r="V8" i="26"/>
  <c r="V5" i="26"/>
  <c r="V66" i="26"/>
  <c r="V57" i="26"/>
  <c r="V48" i="26"/>
  <c r="V45" i="26"/>
  <c r="V42" i="26"/>
  <c r="V39" i="26"/>
  <c r="V36" i="26"/>
  <c r="V33" i="26"/>
  <c r="V30" i="26"/>
  <c r="V27" i="26"/>
  <c r="V24" i="26"/>
  <c r="V21" i="26"/>
  <c r="V18" i="26"/>
  <c r="V15" i="26"/>
  <c r="V12" i="26"/>
  <c r="V9" i="26"/>
  <c r="V6" i="26"/>
  <c r="V3" i="26"/>
  <c r="W179" i="24"/>
  <c r="W176" i="24"/>
  <c r="W173" i="24"/>
  <c r="W170" i="24"/>
  <c r="W167" i="24"/>
  <c r="W164" i="24"/>
  <c r="W161" i="24"/>
  <c r="W158" i="24"/>
  <c r="W155" i="24"/>
  <c r="W152" i="24"/>
  <c r="W149" i="24"/>
  <c r="W146" i="24"/>
  <c r="W143" i="24"/>
  <c r="W140" i="24"/>
  <c r="W180" i="24"/>
  <c r="W177" i="24"/>
  <c r="W174" i="24"/>
  <c r="W171" i="24"/>
  <c r="W168" i="24"/>
  <c r="W165" i="24"/>
  <c r="W162" i="24"/>
  <c r="W159" i="24"/>
  <c r="W156" i="24"/>
  <c r="W153" i="24"/>
  <c r="W150" i="24"/>
  <c r="W147" i="24"/>
  <c r="W144" i="24"/>
  <c r="W141" i="24"/>
  <c r="W181" i="24"/>
  <c r="W178" i="24"/>
  <c r="W175" i="24"/>
  <c r="W172" i="24"/>
  <c r="W169" i="24"/>
  <c r="W166" i="24"/>
  <c r="W163" i="24"/>
  <c r="W160" i="24"/>
  <c r="W157" i="24"/>
  <c r="W154" i="24"/>
  <c r="W151" i="24"/>
  <c r="W148" i="24"/>
  <c r="W145" i="24"/>
  <c r="W142" i="24"/>
  <c r="W122" i="24"/>
  <c r="W119" i="24"/>
  <c r="W127" i="24"/>
  <c r="W130" i="24"/>
  <c r="W139" i="24"/>
  <c r="W136" i="24"/>
  <c r="W133" i="24"/>
  <c r="W125" i="24"/>
  <c r="W117" i="24"/>
  <c r="W114" i="24"/>
  <c r="W111" i="24"/>
  <c r="W108" i="24"/>
  <c r="W105" i="24"/>
  <c r="W102" i="24"/>
  <c r="W99" i="24"/>
  <c r="W96" i="24"/>
  <c r="W93" i="24"/>
  <c r="W90" i="24"/>
  <c r="W87" i="24"/>
  <c r="W84" i="24"/>
  <c r="W81" i="24"/>
  <c r="W78" i="24"/>
  <c r="W75" i="24"/>
  <c r="W72" i="24"/>
  <c r="W69" i="24"/>
  <c r="W66" i="24"/>
  <c r="W63" i="24"/>
  <c r="W60" i="24"/>
  <c r="W57" i="24"/>
  <c r="W54" i="24"/>
  <c r="W51" i="24"/>
  <c r="W48" i="24"/>
  <c r="W45" i="24"/>
  <c r="W42" i="24"/>
  <c r="W39" i="24"/>
  <c r="W36" i="24"/>
  <c r="W33" i="24"/>
  <c r="W30" i="24"/>
  <c r="W120" i="24"/>
  <c r="W123" i="24"/>
  <c r="W131" i="24"/>
  <c r="W128" i="24"/>
  <c r="W137" i="24"/>
  <c r="W134" i="24"/>
  <c r="W115" i="24"/>
  <c r="W112" i="24"/>
  <c r="W109" i="24"/>
  <c r="W106" i="24"/>
  <c r="W103" i="24"/>
  <c r="W100" i="24"/>
  <c r="W97" i="24"/>
  <c r="W94" i="24"/>
  <c r="W91" i="24"/>
  <c r="W88" i="24"/>
  <c r="W85" i="24"/>
  <c r="W82" i="24"/>
  <c r="W79" i="24"/>
  <c r="W76" i="24"/>
  <c r="W73" i="24"/>
  <c r="W70" i="24"/>
  <c r="W67" i="24"/>
  <c r="W64" i="24"/>
  <c r="W61" i="24"/>
  <c r="W58" i="24"/>
  <c r="W55" i="24"/>
  <c r="W52" i="24"/>
  <c r="W49" i="24"/>
  <c r="W46" i="24"/>
  <c r="W43" i="24"/>
  <c r="W40" i="24"/>
  <c r="W37" i="24"/>
  <c r="W34" i="24"/>
  <c r="W31" i="24"/>
  <c r="W28" i="24"/>
  <c r="W129" i="24"/>
  <c r="W124" i="24"/>
  <c r="W44" i="24"/>
  <c r="W35" i="24"/>
  <c r="W116" i="24"/>
  <c r="W113" i="24"/>
  <c r="W110" i="24"/>
  <c r="W107" i="24"/>
  <c r="W104" i="24"/>
  <c r="W101" i="24"/>
  <c r="W98" i="24"/>
  <c r="W95" i="24"/>
  <c r="W92" i="24"/>
  <c r="W89" i="24"/>
  <c r="W86" i="24"/>
  <c r="W83" i="24"/>
  <c r="W80" i="24"/>
  <c r="W77" i="24"/>
  <c r="W74" i="24"/>
  <c r="W71" i="24"/>
  <c r="W68" i="24"/>
  <c r="W65" i="24"/>
  <c r="W62" i="24"/>
  <c r="W59" i="24"/>
  <c r="W56" i="24"/>
  <c r="W53" i="24"/>
  <c r="W25" i="24"/>
  <c r="W22" i="24"/>
  <c r="W19" i="24"/>
  <c r="W16" i="24"/>
  <c r="W13" i="24"/>
  <c r="W10" i="24"/>
  <c r="W7" i="24"/>
  <c r="W4" i="24"/>
  <c r="X1" i="24"/>
  <c r="W47" i="24"/>
  <c r="W38" i="24"/>
  <c r="W29" i="24"/>
  <c r="W126" i="24"/>
  <c r="W26" i="24"/>
  <c r="W23" i="24"/>
  <c r="W20" i="24"/>
  <c r="W17" i="24"/>
  <c r="W14" i="24"/>
  <c r="W11" i="24"/>
  <c r="W8" i="24"/>
  <c r="W5" i="24"/>
  <c r="W27" i="24"/>
  <c r="W24" i="24"/>
  <c r="W21" i="24"/>
  <c r="W18" i="24"/>
  <c r="W15" i="24"/>
  <c r="W12" i="24"/>
  <c r="W9" i="24"/>
  <c r="W6" i="24"/>
  <c r="W3" i="24"/>
  <c r="W121" i="24"/>
  <c r="W50" i="24"/>
  <c r="W41" i="24"/>
  <c r="W32" i="24"/>
  <c r="W138" i="24"/>
  <c r="W132" i="24"/>
  <c r="W118" i="24"/>
  <c r="W135" i="24"/>
  <c r="Y184" i="17"/>
  <c r="Y175" i="17"/>
  <c r="Y166" i="17"/>
  <c r="Y157" i="17"/>
  <c r="Y134" i="17"/>
  <c r="Y188" i="17"/>
  <c r="Y179" i="17"/>
  <c r="Y192" i="17"/>
  <c r="Y183" i="17"/>
  <c r="Y174" i="17"/>
  <c r="Y165" i="17"/>
  <c r="Y156" i="17"/>
  <c r="Y137" i="17"/>
  <c r="Y187" i="17"/>
  <c r="Y178" i="17"/>
  <c r="Y169" i="17"/>
  <c r="Y160" i="17"/>
  <c r="Y151" i="17"/>
  <c r="Y128" i="17"/>
  <c r="Y119" i="17"/>
  <c r="Y110" i="17"/>
  <c r="Y101" i="17"/>
  <c r="Y93" i="17"/>
  <c r="Y181" i="17"/>
  <c r="Y171" i="17"/>
  <c r="Y162" i="17"/>
  <c r="Y153" i="17"/>
  <c r="Y135" i="17"/>
  <c r="Y132" i="17"/>
  <c r="Y127" i="17"/>
  <c r="Y118" i="17"/>
  <c r="Y109" i="17"/>
  <c r="Y100" i="17"/>
  <c r="Y87" i="17"/>
  <c r="Y84" i="17"/>
  <c r="Y81" i="17"/>
  <c r="Y78" i="17"/>
  <c r="Y75" i="17"/>
  <c r="Y72" i="17"/>
  <c r="Y69" i="17"/>
  <c r="Y191" i="17"/>
  <c r="Y185" i="17"/>
  <c r="Y136" i="17"/>
  <c r="Y122" i="17"/>
  <c r="Y113" i="17"/>
  <c r="Y104" i="17"/>
  <c r="Y95" i="17"/>
  <c r="Y90" i="17"/>
  <c r="Y189" i="17"/>
  <c r="Y172" i="17"/>
  <c r="Y163" i="17"/>
  <c r="Y154" i="17"/>
  <c r="Y140" i="17"/>
  <c r="Y138" i="17"/>
  <c r="Y131" i="17"/>
  <c r="Y126" i="17"/>
  <c r="Y117" i="17"/>
  <c r="Y108" i="17"/>
  <c r="Y99" i="17"/>
  <c r="Y92" i="17"/>
  <c r="Y67" i="17"/>
  <c r="Y64" i="17"/>
  <c r="Y61" i="17"/>
  <c r="Y58" i="17"/>
  <c r="Y55" i="17"/>
  <c r="Y52" i="17"/>
  <c r="Y49" i="17"/>
  <c r="Y46" i="17"/>
  <c r="Y43" i="17"/>
  <c r="Y40" i="17"/>
  <c r="Y37" i="17"/>
  <c r="Y34" i="17"/>
  <c r="Y31" i="17"/>
  <c r="Y28" i="17"/>
  <c r="Y25" i="17"/>
  <c r="Y22" i="17"/>
  <c r="Y19" i="17"/>
  <c r="Y16" i="17"/>
  <c r="Y13" i="17"/>
  <c r="Y10" i="17"/>
  <c r="Y7" i="17"/>
  <c r="Y4" i="17"/>
  <c r="Y146" i="17"/>
  <c r="Y143" i="17"/>
  <c r="Y142" i="17"/>
  <c r="Y141" i="17"/>
  <c r="Y139" i="17"/>
  <c r="Y121" i="17"/>
  <c r="Y112" i="17"/>
  <c r="Y103" i="17"/>
  <c r="Y94" i="17"/>
  <c r="Y88" i="17"/>
  <c r="Y85" i="17"/>
  <c r="Y82" i="17"/>
  <c r="Y79" i="17"/>
  <c r="Y76" i="17"/>
  <c r="Y73" i="17"/>
  <c r="Y70" i="17"/>
  <c r="Y182" i="17"/>
  <c r="Y125" i="17"/>
  <c r="Y116" i="17"/>
  <c r="Y107" i="17"/>
  <c r="Y98" i="17"/>
  <c r="Y186" i="17"/>
  <c r="Y180" i="17"/>
  <c r="Y173" i="17"/>
  <c r="Y164" i="17"/>
  <c r="Y155" i="17"/>
  <c r="Y120" i="17"/>
  <c r="Y111" i="17"/>
  <c r="Y102" i="17"/>
  <c r="Y68" i="17"/>
  <c r="Y65" i="17"/>
  <c r="Y62" i="17"/>
  <c r="Y59" i="17"/>
  <c r="Y56" i="17"/>
  <c r="Y53" i="17"/>
  <c r="Y50" i="17"/>
  <c r="Y47" i="17"/>
  <c r="Y44" i="17"/>
  <c r="Y41" i="17"/>
  <c r="Y38" i="17"/>
  <c r="Y35" i="17"/>
  <c r="Y32" i="17"/>
  <c r="Y29" i="17"/>
  <c r="Y26" i="17"/>
  <c r="Y23" i="17"/>
  <c r="Y190" i="17"/>
  <c r="Y176" i="17"/>
  <c r="Y170" i="17"/>
  <c r="Y167" i="17"/>
  <c r="Y161" i="17"/>
  <c r="Y158" i="17"/>
  <c r="Y152" i="17"/>
  <c r="Y149" i="17"/>
  <c r="Y129" i="17"/>
  <c r="Y124" i="17"/>
  <c r="Y115" i="17"/>
  <c r="Y106" i="17"/>
  <c r="Y97" i="17"/>
  <c r="Y91" i="17"/>
  <c r="Y89" i="17"/>
  <c r="Y86" i="17"/>
  <c r="Y83" i="17"/>
  <c r="Y80" i="17"/>
  <c r="Y77" i="17"/>
  <c r="Y74" i="17"/>
  <c r="Y71" i="17"/>
  <c r="Y159" i="17"/>
  <c r="Y133" i="17"/>
  <c r="Y66" i="17"/>
  <c r="Y63" i="17"/>
  <c r="Y60" i="17"/>
  <c r="Y57" i="17"/>
  <c r="Y54" i="17"/>
  <c r="Y51" i="17"/>
  <c r="Y48" i="17"/>
  <c r="Y45" i="17"/>
  <c r="Y42" i="17"/>
  <c r="Y39" i="17"/>
  <c r="Y36" i="17"/>
  <c r="Y33" i="17"/>
  <c r="Y30" i="17"/>
  <c r="Y27" i="17"/>
  <c r="Y24" i="17"/>
  <c r="Y21" i="17"/>
  <c r="Y3" i="17"/>
  <c r="Z1" i="17"/>
  <c r="Y147" i="17"/>
  <c r="Y145" i="17"/>
  <c r="Y14" i="17"/>
  <c r="Y5" i="17"/>
  <c r="Y168" i="17"/>
  <c r="Y15" i="17"/>
  <c r="Y6" i="17"/>
  <c r="Y17" i="17"/>
  <c r="Y177" i="17"/>
  <c r="Y123" i="17"/>
  <c r="Y114" i="17"/>
  <c r="Y105" i="17"/>
  <c r="Y96" i="17"/>
  <c r="Y148" i="17"/>
  <c r="Y144" i="17"/>
  <c r="Y130" i="17"/>
  <c r="Y18" i="17"/>
  <c r="Y9" i="17"/>
  <c r="Y150" i="17"/>
  <c r="Y20" i="17"/>
  <c r="Y12" i="17"/>
  <c r="Y8" i="17"/>
  <c r="Y11" i="17"/>
  <c r="Y135" i="22"/>
  <c r="Y132" i="22"/>
  <c r="Y183" i="22"/>
  <c r="Y180" i="22"/>
  <c r="Y177" i="22"/>
  <c r="Y174" i="22"/>
  <c r="Y171" i="22"/>
  <c r="Y168" i="22"/>
  <c r="Y165" i="22"/>
  <c r="Y162" i="22"/>
  <c r="Y159" i="22"/>
  <c r="Y156" i="22"/>
  <c r="Y153" i="22"/>
  <c r="Y150" i="22"/>
  <c r="Y147" i="22"/>
  <c r="Y144" i="22"/>
  <c r="Y141" i="22"/>
  <c r="Y138" i="22"/>
  <c r="Y119" i="22"/>
  <c r="Y130" i="22"/>
  <c r="Y125" i="22"/>
  <c r="Y122" i="22"/>
  <c r="Y133" i="22"/>
  <c r="Y128" i="22"/>
  <c r="Y184" i="22"/>
  <c r="Y181" i="22"/>
  <c r="Y178" i="22"/>
  <c r="Y175" i="22"/>
  <c r="Y172" i="22"/>
  <c r="Y169" i="22"/>
  <c r="Y166" i="22"/>
  <c r="Y163" i="22"/>
  <c r="Y160" i="22"/>
  <c r="Y157" i="22"/>
  <c r="Y154" i="22"/>
  <c r="Y151" i="22"/>
  <c r="Y148" i="22"/>
  <c r="Y145" i="22"/>
  <c r="Y142" i="22"/>
  <c r="Y139" i="22"/>
  <c r="Y136" i="22"/>
  <c r="Y120" i="22"/>
  <c r="Y126" i="22"/>
  <c r="Y123" i="22"/>
  <c r="Y131" i="22"/>
  <c r="Y185" i="22"/>
  <c r="Y182" i="22"/>
  <c r="Y179" i="22"/>
  <c r="Y176" i="22"/>
  <c r="Y173" i="22"/>
  <c r="Y170" i="22"/>
  <c r="Y167" i="22"/>
  <c r="Y164" i="22"/>
  <c r="Y161" i="22"/>
  <c r="Y158" i="22"/>
  <c r="Y155" i="22"/>
  <c r="Y152" i="22"/>
  <c r="Y149" i="22"/>
  <c r="Y146" i="22"/>
  <c r="Y143" i="22"/>
  <c r="Y140" i="22"/>
  <c r="Y137" i="22"/>
  <c r="Y129" i="22"/>
  <c r="Y121" i="22"/>
  <c r="Y118" i="22"/>
  <c r="Y124" i="22"/>
  <c r="Y134" i="22"/>
  <c r="Y127" i="22"/>
  <c r="Y110" i="22"/>
  <c r="Y101" i="22"/>
  <c r="Y92" i="22"/>
  <c r="Y83" i="22"/>
  <c r="Y74" i="22"/>
  <c r="Y65" i="22"/>
  <c r="Y56" i="22"/>
  <c r="Y47" i="22"/>
  <c r="Y38" i="22"/>
  <c r="Y29" i="22"/>
  <c r="Y20" i="22"/>
  <c r="Y11" i="22"/>
  <c r="Y8" i="22"/>
  <c r="Y5" i="22"/>
  <c r="Y111" i="22"/>
  <c r="Y102" i="22"/>
  <c r="Y93" i="22"/>
  <c r="Y84" i="22"/>
  <c r="Y75" i="22"/>
  <c r="Y66" i="22"/>
  <c r="Y57" i="22"/>
  <c r="Y48" i="22"/>
  <c r="Y39" i="22"/>
  <c r="Y30" i="22"/>
  <c r="Y21" i="22"/>
  <c r="Y12" i="22"/>
  <c r="Y112" i="22"/>
  <c r="Y103" i="22"/>
  <c r="Y94" i="22"/>
  <c r="Y85" i="22"/>
  <c r="Y76" i="22"/>
  <c r="Y67" i="22"/>
  <c r="Y58" i="22"/>
  <c r="Y49" i="22"/>
  <c r="Y40" i="22"/>
  <c r="Y31" i="22"/>
  <c r="Y22" i="22"/>
  <c r="Y13" i="22"/>
  <c r="Y113" i="22"/>
  <c r="Y104" i="22"/>
  <c r="Y95" i="22"/>
  <c r="Y86" i="22"/>
  <c r="Y77" i="22"/>
  <c r="Y68" i="22"/>
  <c r="Y59" i="22"/>
  <c r="Y50" i="22"/>
  <c r="Y41" i="22"/>
  <c r="Y32" i="22"/>
  <c r="Y23" i="22"/>
  <c r="Y14" i="22"/>
  <c r="Y9" i="22"/>
  <c r="Y6" i="22"/>
  <c r="Y3" i="22"/>
  <c r="Y114" i="22"/>
  <c r="Y105" i="22"/>
  <c r="Y96" i="22"/>
  <c r="Y87" i="22"/>
  <c r="Y78" i="22"/>
  <c r="Y69" i="22"/>
  <c r="Y60" i="22"/>
  <c r="Y51" i="22"/>
  <c r="Y42" i="22"/>
  <c r="Y33" i="22"/>
  <c r="Y24" i="22"/>
  <c r="Y15" i="22"/>
  <c r="Y115" i="22"/>
  <c r="Y106" i="22"/>
  <c r="Y97" i="22"/>
  <c r="Y88" i="22"/>
  <c r="Y79" i="22"/>
  <c r="Y70" i="22"/>
  <c r="Y61" i="22"/>
  <c r="Y52" i="22"/>
  <c r="Y43" i="22"/>
  <c r="Y34" i="22"/>
  <c r="Y25" i="22"/>
  <c r="Y16" i="22"/>
  <c r="Y116" i="22"/>
  <c r="Y107" i="22"/>
  <c r="Y98" i="22"/>
  <c r="Y89" i="22"/>
  <c r="Y80" i="22"/>
  <c r="Y71" i="22"/>
  <c r="Y62" i="22"/>
  <c r="Y53" i="22"/>
  <c r="Y44" i="22"/>
  <c r="Y35" i="22"/>
  <c r="Y26" i="22"/>
  <c r="Y17" i="22"/>
  <c r="Y10" i="22"/>
  <c r="Y7" i="22"/>
  <c r="Y4" i="22"/>
  <c r="Y117" i="22"/>
  <c r="Y108" i="22"/>
  <c r="Y99" i="22"/>
  <c r="Y90" i="22"/>
  <c r="Y81" i="22"/>
  <c r="Y72" i="22"/>
  <c r="Y63" i="22"/>
  <c r="Y54" i="22"/>
  <c r="Y45" i="22"/>
  <c r="Y36" i="22"/>
  <c r="Y27" i="22"/>
  <c r="Y18" i="22"/>
  <c r="Z1" i="22"/>
  <c r="Y91" i="22"/>
  <c r="Y64" i="22"/>
  <c r="Y37" i="22"/>
  <c r="Y100" i="22"/>
  <c r="Y73" i="22"/>
  <c r="Y46" i="22"/>
  <c r="Y19" i="22"/>
  <c r="Y109" i="22"/>
  <c r="Y82" i="22"/>
  <c r="Y55" i="22"/>
  <c r="Y28" i="22"/>
  <c r="V130" i="21"/>
  <c r="V138" i="21"/>
  <c r="V135" i="21"/>
  <c r="V186" i="21"/>
  <c r="V183" i="21"/>
  <c r="V180" i="21"/>
  <c r="V177" i="21"/>
  <c r="V174" i="21"/>
  <c r="V171" i="21"/>
  <c r="V168" i="21"/>
  <c r="V165" i="21"/>
  <c r="V162" i="21"/>
  <c r="V159" i="21"/>
  <c r="V156" i="21"/>
  <c r="V153" i="21"/>
  <c r="V150" i="21"/>
  <c r="V147" i="21"/>
  <c r="V144" i="21"/>
  <c r="V141" i="21"/>
  <c r="V122" i="21"/>
  <c r="V119" i="21"/>
  <c r="V116" i="21"/>
  <c r="V113" i="21"/>
  <c r="V133" i="21"/>
  <c r="V128" i="21"/>
  <c r="V125" i="21"/>
  <c r="V187" i="21"/>
  <c r="V184" i="21"/>
  <c r="V181" i="21"/>
  <c r="V178" i="21"/>
  <c r="V175" i="21"/>
  <c r="V172" i="21"/>
  <c r="V169" i="21"/>
  <c r="V166" i="21"/>
  <c r="V163" i="21"/>
  <c r="V160" i="21"/>
  <c r="V157" i="21"/>
  <c r="V154" i="21"/>
  <c r="V151" i="21"/>
  <c r="V148" i="21"/>
  <c r="V145" i="21"/>
  <c r="V142" i="21"/>
  <c r="V129" i="21"/>
  <c r="V126" i="21"/>
  <c r="V134" i="21"/>
  <c r="V188" i="21"/>
  <c r="V185" i="21"/>
  <c r="V182" i="21"/>
  <c r="V179" i="21"/>
  <c r="V176" i="21"/>
  <c r="V173" i="21"/>
  <c r="V170" i="21"/>
  <c r="V167" i="21"/>
  <c r="V152" i="21"/>
  <c r="V143" i="21"/>
  <c r="V158" i="21"/>
  <c r="V124" i="21"/>
  <c r="V121" i="21"/>
  <c r="V118" i="21"/>
  <c r="V115" i="21"/>
  <c r="V112" i="21"/>
  <c r="V127" i="21"/>
  <c r="V108" i="21"/>
  <c r="V105" i="21"/>
  <c r="V102" i="21"/>
  <c r="V99" i="21"/>
  <c r="V96" i="21"/>
  <c r="V93" i="21"/>
  <c r="V90" i="21"/>
  <c r="V87" i="21"/>
  <c r="V84" i="21"/>
  <c r="V81" i="21"/>
  <c r="V78" i="21"/>
  <c r="V75" i="21"/>
  <c r="V72" i="21"/>
  <c r="V69" i="21"/>
  <c r="V66" i="21"/>
  <c r="V63" i="21"/>
  <c r="V60" i="21"/>
  <c r="V57" i="21"/>
  <c r="V54" i="21"/>
  <c r="V51" i="21"/>
  <c r="V48" i="21"/>
  <c r="V45" i="21"/>
  <c r="V42" i="21"/>
  <c r="V39" i="21"/>
  <c r="V36" i="21"/>
  <c r="V33" i="21"/>
  <c r="V30" i="21"/>
  <c r="V27" i="21"/>
  <c r="V24" i="21"/>
  <c r="V21" i="21"/>
  <c r="V18" i="21"/>
  <c r="V149" i="21"/>
  <c r="V140" i="21"/>
  <c r="V161" i="21"/>
  <c r="V139" i="21"/>
  <c r="V123" i="21"/>
  <c r="V120" i="21"/>
  <c r="V117" i="21"/>
  <c r="V114" i="21"/>
  <c r="V111" i="21"/>
  <c r="V146" i="21"/>
  <c r="V132" i="21"/>
  <c r="V164" i="21"/>
  <c r="V155" i="21"/>
  <c r="V44" i="21"/>
  <c r="V40" i="21"/>
  <c r="V35" i="21"/>
  <c r="V31" i="21"/>
  <c r="V26" i="21"/>
  <c r="V22" i="21"/>
  <c r="V17" i="21"/>
  <c r="V131" i="21"/>
  <c r="W1" i="21"/>
  <c r="V46" i="21"/>
  <c r="V41" i="21"/>
  <c r="V37" i="21"/>
  <c r="V32" i="21"/>
  <c r="V28" i="21"/>
  <c r="V23" i="21"/>
  <c r="V19" i="21"/>
  <c r="V110" i="21"/>
  <c r="V107" i="21"/>
  <c r="V104" i="21"/>
  <c r="V101" i="21"/>
  <c r="V98" i="21"/>
  <c r="V95" i="21"/>
  <c r="V92" i="21"/>
  <c r="V89" i="21"/>
  <c r="V86" i="21"/>
  <c r="V83" i="21"/>
  <c r="V80" i="21"/>
  <c r="V77" i="21"/>
  <c r="V74" i="21"/>
  <c r="V71" i="21"/>
  <c r="V68" i="21"/>
  <c r="V65" i="21"/>
  <c r="V62" i="21"/>
  <c r="V59" i="21"/>
  <c r="V56" i="21"/>
  <c r="V53" i="21"/>
  <c r="V15" i="21"/>
  <c r="V12" i="21"/>
  <c r="V9" i="21"/>
  <c r="V6" i="21"/>
  <c r="V3" i="21"/>
  <c r="V47" i="21"/>
  <c r="V43" i="21"/>
  <c r="V38" i="21"/>
  <c r="V34" i="21"/>
  <c r="V29" i="21"/>
  <c r="V25" i="21"/>
  <c r="V20" i="21"/>
  <c r="V136" i="21"/>
  <c r="V109" i="21"/>
  <c r="V106" i="21"/>
  <c r="V103" i="21"/>
  <c r="V100" i="21"/>
  <c r="V97" i="21"/>
  <c r="V94" i="21"/>
  <c r="V91" i="21"/>
  <c r="V88" i="21"/>
  <c r="V85" i="21"/>
  <c r="V82" i="21"/>
  <c r="V79" i="21"/>
  <c r="V76" i="21"/>
  <c r="V73" i="21"/>
  <c r="V70" i="21"/>
  <c r="V67" i="21"/>
  <c r="V64" i="21"/>
  <c r="V61" i="21"/>
  <c r="V58" i="21"/>
  <c r="V55" i="21"/>
  <c r="V52" i="21"/>
  <c r="V137" i="21"/>
  <c r="V16" i="21"/>
  <c r="V7" i="21"/>
  <c r="V10" i="21"/>
  <c r="V4" i="21"/>
  <c r="V11" i="21"/>
  <c r="V5" i="21"/>
  <c r="V50" i="21"/>
  <c r="V13" i="21"/>
  <c r="V14" i="21"/>
  <c r="V49" i="21"/>
  <c r="V8" i="21"/>
  <c r="W179" i="25"/>
  <c r="W174" i="25"/>
  <c r="W171" i="25"/>
  <c r="W168" i="25"/>
  <c r="W165" i="25"/>
  <c r="W162" i="25"/>
  <c r="W159" i="25"/>
  <c r="W156" i="25"/>
  <c r="W153" i="25"/>
  <c r="W150" i="25"/>
  <c r="W147" i="25"/>
  <c r="W144" i="25"/>
  <c r="W141" i="25"/>
  <c r="W138" i="25"/>
  <c r="W135" i="25"/>
  <c r="W175" i="25"/>
  <c r="W172" i="25"/>
  <c r="W169" i="25"/>
  <c r="W166" i="25"/>
  <c r="W163" i="25"/>
  <c r="W160" i="25"/>
  <c r="W157" i="25"/>
  <c r="W154" i="25"/>
  <c r="W151" i="25"/>
  <c r="W148" i="25"/>
  <c r="W145" i="25"/>
  <c r="W142" i="25"/>
  <c r="W139" i="25"/>
  <c r="W136" i="25"/>
  <c r="W178" i="25"/>
  <c r="W176" i="25"/>
  <c r="W173" i="25"/>
  <c r="W170" i="25"/>
  <c r="W167" i="25"/>
  <c r="W164" i="25"/>
  <c r="W161" i="25"/>
  <c r="W158" i="25"/>
  <c r="W155" i="25"/>
  <c r="W152" i="25"/>
  <c r="W149" i="25"/>
  <c r="W146" i="25"/>
  <c r="W143" i="25"/>
  <c r="W140" i="25"/>
  <c r="W137" i="25"/>
  <c r="W134" i="25"/>
  <c r="W129" i="25"/>
  <c r="W126" i="25"/>
  <c r="W124" i="25"/>
  <c r="W119" i="25"/>
  <c r="W116" i="25"/>
  <c r="W127" i="25"/>
  <c r="W122" i="25"/>
  <c r="W118" i="25"/>
  <c r="W125" i="25"/>
  <c r="W130" i="25"/>
  <c r="W120" i="25"/>
  <c r="W117" i="25"/>
  <c r="W115" i="25"/>
  <c r="W113" i="25"/>
  <c r="W112" i="25"/>
  <c r="W110" i="25"/>
  <c r="W109" i="25"/>
  <c r="W107" i="25"/>
  <c r="W106" i="25"/>
  <c r="W104" i="25"/>
  <c r="W103" i="25"/>
  <c r="W97" i="25"/>
  <c r="W121" i="25"/>
  <c r="W123" i="25"/>
  <c r="W101" i="25"/>
  <c r="W99" i="25"/>
  <c r="W177" i="25"/>
  <c r="W94" i="25"/>
  <c r="W90" i="25"/>
  <c r="W85" i="25"/>
  <c r="W81" i="25"/>
  <c r="W76" i="25"/>
  <c r="W73" i="25"/>
  <c r="W128" i="25"/>
  <c r="W95" i="25"/>
  <c r="W86" i="25"/>
  <c r="W77" i="25"/>
  <c r="W72" i="25"/>
  <c r="W68" i="25"/>
  <c r="W65" i="25"/>
  <c r="W62" i="25"/>
  <c r="W59" i="25"/>
  <c r="W56" i="25"/>
  <c r="W53" i="25"/>
  <c r="W50" i="25"/>
  <c r="W47" i="25"/>
  <c r="W44" i="25"/>
  <c r="W114" i="25"/>
  <c r="W96" i="25"/>
  <c r="W91" i="25"/>
  <c r="W131" i="25"/>
  <c r="W100" i="25"/>
  <c r="W98" i="25"/>
  <c r="W71" i="25"/>
  <c r="W74" i="25"/>
  <c r="W82" i="25"/>
  <c r="W43" i="25"/>
  <c r="W105" i="25"/>
  <c r="W87" i="25"/>
  <c r="W83" i="25"/>
  <c r="W75" i="25"/>
  <c r="W42" i="25"/>
  <c r="W40" i="25"/>
  <c r="W37" i="25"/>
  <c r="W34" i="25"/>
  <c r="W31" i="25"/>
  <c r="W28" i="25"/>
  <c r="W25" i="25"/>
  <c r="W22" i="25"/>
  <c r="W19" i="25"/>
  <c r="W16" i="25"/>
  <c r="W13" i="25"/>
  <c r="W10" i="25"/>
  <c r="W93" i="25"/>
  <c r="W79" i="25"/>
  <c r="W45" i="25"/>
  <c r="W102" i="25"/>
  <c r="W84" i="25"/>
  <c r="W80" i="25"/>
  <c r="W41" i="25"/>
  <c r="W38" i="25"/>
  <c r="W35" i="25"/>
  <c r="W32" i="25"/>
  <c r="W29" i="25"/>
  <c r="W26" i="25"/>
  <c r="W23" i="25"/>
  <c r="W20" i="25"/>
  <c r="W17" i="25"/>
  <c r="W14" i="25"/>
  <c r="W11" i="25"/>
  <c r="W8" i="25"/>
  <c r="W132" i="25"/>
  <c r="W108" i="25"/>
  <c r="W92" i="25"/>
  <c r="W69" i="25"/>
  <c r="W66" i="25"/>
  <c r="W63" i="25"/>
  <c r="W60" i="25"/>
  <c r="W57" i="25"/>
  <c r="W54" i="25"/>
  <c r="W51" i="25"/>
  <c r="W48" i="25"/>
  <c r="W7" i="25"/>
  <c r="W4" i="25"/>
  <c r="W133" i="25"/>
  <c r="X1" i="25"/>
  <c r="W5" i="25"/>
  <c r="W39" i="25"/>
  <c r="W36" i="25"/>
  <c r="W33" i="25"/>
  <c r="W30" i="25"/>
  <c r="W27" i="25"/>
  <c r="W24" i="25"/>
  <c r="W21" i="25"/>
  <c r="W18" i="25"/>
  <c r="W15" i="25"/>
  <c r="W12" i="25"/>
  <c r="W9" i="25"/>
  <c r="W70" i="25"/>
  <c r="W67" i="25"/>
  <c r="W64" i="25"/>
  <c r="W61" i="25"/>
  <c r="W58" i="25"/>
  <c r="W55" i="25"/>
  <c r="W52" i="25"/>
  <c r="W49" i="25"/>
  <c r="W46" i="25"/>
  <c r="W88" i="25"/>
  <c r="W89" i="25"/>
  <c r="W6" i="25"/>
  <c r="W3" i="25"/>
  <c r="W111" i="25"/>
  <c r="W78" i="25"/>
  <c r="V131" i="23"/>
  <c r="V134" i="23"/>
  <c r="V185" i="23"/>
  <c r="V182" i="23"/>
  <c r="V179" i="23"/>
  <c r="V176" i="23"/>
  <c r="V173" i="23"/>
  <c r="V170" i="23"/>
  <c r="V167" i="23"/>
  <c r="V164" i="23"/>
  <c r="V161" i="23"/>
  <c r="V158" i="23"/>
  <c r="V155" i="23"/>
  <c r="V152" i="23"/>
  <c r="V149" i="23"/>
  <c r="V146" i="23"/>
  <c r="V143" i="23"/>
  <c r="V140" i="23"/>
  <c r="V137" i="23"/>
  <c r="V129" i="23"/>
  <c r="V121" i="23"/>
  <c r="V124" i="23"/>
  <c r="V127" i="23"/>
  <c r="V183" i="23"/>
  <c r="V180" i="23"/>
  <c r="V177" i="23"/>
  <c r="V174" i="23"/>
  <c r="V171" i="23"/>
  <c r="V168" i="23"/>
  <c r="V165" i="23"/>
  <c r="V162" i="23"/>
  <c r="V159" i="23"/>
  <c r="V156" i="23"/>
  <c r="V153" i="23"/>
  <c r="V150" i="23"/>
  <c r="V147" i="23"/>
  <c r="V144" i="23"/>
  <c r="V141" i="23"/>
  <c r="V138" i="23"/>
  <c r="V119" i="23"/>
  <c r="V130" i="23"/>
  <c r="V125" i="23"/>
  <c r="V122" i="23"/>
  <c r="V184" i="23"/>
  <c r="V181" i="23"/>
  <c r="V178" i="23"/>
  <c r="V175" i="23"/>
  <c r="V172" i="23"/>
  <c r="V169" i="23"/>
  <c r="V166" i="23"/>
  <c r="V163" i="23"/>
  <c r="V160" i="23"/>
  <c r="V157" i="23"/>
  <c r="V154" i="23"/>
  <c r="V151" i="23"/>
  <c r="V148" i="23"/>
  <c r="V145" i="23"/>
  <c r="V142" i="23"/>
  <c r="V139" i="23"/>
  <c r="V136" i="23"/>
  <c r="V120" i="23"/>
  <c r="V135" i="23"/>
  <c r="V116" i="23"/>
  <c r="V113" i="23"/>
  <c r="V110" i="23"/>
  <c r="V107" i="23"/>
  <c r="V104" i="23"/>
  <c r="V101" i="23"/>
  <c r="V98" i="23"/>
  <c r="V95" i="23"/>
  <c r="V92" i="23"/>
  <c r="V89" i="23"/>
  <c r="V86" i="23"/>
  <c r="V83" i="23"/>
  <c r="V132" i="23"/>
  <c r="V115" i="23"/>
  <c r="V112" i="23"/>
  <c r="V109" i="23"/>
  <c r="V106" i="23"/>
  <c r="V103" i="23"/>
  <c r="V100" i="23"/>
  <c r="V97" i="23"/>
  <c r="V133" i="23"/>
  <c r="V128" i="23"/>
  <c r="V111" i="23"/>
  <c r="V108" i="23"/>
  <c r="V87" i="23"/>
  <c r="V81" i="23"/>
  <c r="V78" i="23"/>
  <c r="V75" i="23"/>
  <c r="V72" i="23"/>
  <c r="V69" i="23"/>
  <c r="V66" i="23"/>
  <c r="V63" i="23"/>
  <c r="V60" i="23"/>
  <c r="V57" i="23"/>
  <c r="V54" i="23"/>
  <c r="V51" i="23"/>
  <c r="V48" i="23"/>
  <c r="V94" i="23"/>
  <c r="V105" i="23"/>
  <c r="V93" i="23"/>
  <c r="V91" i="23"/>
  <c r="V126" i="23"/>
  <c r="V102" i="23"/>
  <c r="V90" i="23"/>
  <c r="V82" i="23"/>
  <c r="V79" i="23"/>
  <c r="V76" i="23"/>
  <c r="V73" i="23"/>
  <c r="V70" i="23"/>
  <c r="V67" i="23"/>
  <c r="V64" i="23"/>
  <c r="V61" i="23"/>
  <c r="V58" i="23"/>
  <c r="V55" i="23"/>
  <c r="V123" i="23"/>
  <c r="V85" i="23"/>
  <c r="V118" i="23"/>
  <c r="V117" i="23"/>
  <c r="V84" i="23"/>
  <c r="V80" i="23"/>
  <c r="V77" i="23"/>
  <c r="V74" i="23"/>
  <c r="V71" i="23"/>
  <c r="V68" i="23"/>
  <c r="V65" i="23"/>
  <c r="V62" i="23"/>
  <c r="V59" i="23"/>
  <c r="V56" i="23"/>
  <c r="V53" i="23"/>
  <c r="V50" i="23"/>
  <c r="V96" i="23"/>
  <c r="V88" i="23"/>
  <c r="V114" i="23"/>
  <c r="V99" i="23"/>
  <c r="V52" i="23"/>
  <c r="V46" i="23"/>
  <c r="V43" i="23"/>
  <c r="V40" i="23"/>
  <c r="V37" i="23"/>
  <c r="V34" i="23"/>
  <c r="V31" i="23"/>
  <c r="V28" i="23"/>
  <c r="V25" i="23"/>
  <c r="V22" i="23"/>
  <c r="V19" i="23"/>
  <c r="V16" i="23"/>
  <c r="V13" i="23"/>
  <c r="V10" i="23"/>
  <c r="V7" i="23"/>
  <c r="V4" i="23"/>
  <c r="W1" i="23"/>
  <c r="V49" i="23"/>
  <c r="V47" i="23"/>
  <c r="V44" i="23"/>
  <c r="V41" i="23"/>
  <c r="V38" i="23"/>
  <c r="V35" i="23"/>
  <c r="V32" i="23"/>
  <c r="V29" i="23"/>
  <c r="V26" i="23"/>
  <c r="V23" i="23"/>
  <c r="V20" i="23"/>
  <c r="V17" i="23"/>
  <c r="V14" i="23"/>
  <c r="V11" i="23"/>
  <c r="V8" i="23"/>
  <c r="V5" i="23"/>
  <c r="V45" i="23"/>
  <c r="V42" i="23"/>
  <c r="V39" i="23"/>
  <c r="V36" i="23"/>
  <c r="V33" i="23"/>
  <c r="V30" i="23"/>
  <c r="V27" i="23"/>
  <c r="V24" i="23"/>
  <c r="V21" i="23"/>
  <c r="V18" i="23"/>
  <c r="V15" i="23"/>
  <c r="V12" i="23"/>
  <c r="V9" i="23"/>
  <c r="V6" i="23"/>
  <c r="V3" i="23"/>
  <c r="X188" i="20"/>
  <c r="X185" i="20"/>
  <c r="X182" i="20"/>
  <c r="X179" i="20"/>
  <c r="X176" i="20"/>
  <c r="X173" i="20"/>
  <c r="X170" i="20"/>
  <c r="X167" i="20"/>
  <c r="X164" i="20"/>
  <c r="X161" i="20"/>
  <c r="X158" i="20"/>
  <c r="X189" i="20"/>
  <c r="X186" i="20"/>
  <c r="X183" i="20"/>
  <c r="X180" i="20"/>
  <c r="X177" i="20"/>
  <c r="X174" i="20"/>
  <c r="X171" i="20"/>
  <c r="X168" i="20"/>
  <c r="X165" i="20"/>
  <c r="X162" i="20"/>
  <c r="X159" i="20"/>
  <c r="X156" i="20"/>
  <c r="X190" i="20"/>
  <c r="X187" i="20"/>
  <c r="X184" i="20"/>
  <c r="X181" i="20"/>
  <c r="X178" i="20"/>
  <c r="X175" i="20"/>
  <c r="X172" i="20"/>
  <c r="X169" i="20"/>
  <c r="X166" i="20"/>
  <c r="X163" i="20"/>
  <c r="X160" i="20"/>
  <c r="X157" i="20"/>
  <c r="X154" i="20"/>
  <c r="X144" i="20"/>
  <c r="X141" i="20"/>
  <c r="X125" i="20"/>
  <c r="X122" i="20"/>
  <c r="X119" i="20"/>
  <c r="X116" i="20"/>
  <c r="X113" i="20"/>
  <c r="X110" i="20"/>
  <c r="X107" i="20"/>
  <c r="X104" i="20"/>
  <c r="X101" i="20"/>
  <c r="X98" i="20"/>
  <c r="X95" i="20"/>
  <c r="X92" i="20"/>
  <c r="X89" i="20"/>
  <c r="X86" i="20"/>
  <c r="X83" i="20"/>
  <c r="X80" i="20"/>
  <c r="X77" i="20"/>
  <c r="X74" i="20"/>
  <c r="X71" i="20"/>
  <c r="X155" i="20"/>
  <c r="X142" i="20"/>
  <c r="X134" i="20"/>
  <c r="X126" i="20"/>
  <c r="X123" i="20"/>
  <c r="X120" i="20"/>
  <c r="X117" i="20"/>
  <c r="X114" i="20"/>
  <c r="X111" i="20"/>
  <c r="X108" i="20"/>
  <c r="X105" i="20"/>
  <c r="X102" i="20"/>
  <c r="X99" i="20"/>
  <c r="X96" i="20"/>
  <c r="X93" i="20"/>
  <c r="X90" i="20"/>
  <c r="X87" i="20"/>
  <c r="X84" i="20"/>
  <c r="X81" i="20"/>
  <c r="X78" i="20"/>
  <c r="X75" i="20"/>
  <c r="X72" i="20"/>
  <c r="X69" i="20"/>
  <c r="X136" i="20"/>
  <c r="X130" i="20"/>
  <c r="X151" i="20"/>
  <c r="X146" i="20"/>
  <c r="X124" i="20"/>
  <c r="X115" i="20"/>
  <c r="X106" i="20"/>
  <c r="X97" i="20"/>
  <c r="X88" i="20"/>
  <c r="X79" i="20"/>
  <c r="X70" i="20"/>
  <c r="X139" i="20"/>
  <c r="X128" i="20"/>
  <c r="X149" i="20"/>
  <c r="X148" i="20"/>
  <c r="X138" i="20"/>
  <c r="X127" i="20"/>
  <c r="X137" i="20"/>
  <c r="X145" i="20"/>
  <c r="X135" i="20"/>
  <c r="X109" i="20"/>
  <c r="X82" i="20"/>
  <c r="X73" i="20"/>
  <c r="X52" i="20"/>
  <c r="X43" i="20"/>
  <c r="X36" i="20"/>
  <c r="X33" i="20"/>
  <c r="X30" i="20"/>
  <c r="X27" i="20"/>
  <c r="X24" i="20"/>
  <c r="X21" i="20"/>
  <c r="X18" i="20"/>
  <c r="X15" i="20"/>
  <c r="X12" i="20"/>
  <c r="X9" i="20"/>
  <c r="X6" i="20"/>
  <c r="X3" i="20"/>
  <c r="X112" i="20"/>
  <c r="X147" i="20"/>
  <c r="X133" i="20"/>
  <c r="X143" i="20"/>
  <c r="X132" i="20"/>
  <c r="X94" i="20"/>
  <c r="X51" i="20"/>
  <c r="X42" i="20"/>
  <c r="X131" i="20"/>
  <c r="X67" i="20"/>
  <c r="X65" i="20"/>
  <c r="X64" i="20"/>
  <c r="X62" i="20"/>
  <c r="X61" i="20"/>
  <c r="X55" i="20"/>
  <c r="X46" i="20"/>
  <c r="X150" i="20"/>
  <c r="X121" i="20"/>
  <c r="X68" i="20"/>
  <c r="X66" i="20"/>
  <c r="X63" i="20"/>
  <c r="X60" i="20"/>
  <c r="X59" i="20"/>
  <c r="X50" i="20"/>
  <c r="X41" i="20"/>
  <c r="X152" i="20"/>
  <c r="X140" i="20"/>
  <c r="X129" i="20"/>
  <c r="Y1" i="20"/>
  <c r="X54" i="20"/>
  <c r="X45" i="20"/>
  <c r="X100" i="20"/>
  <c r="X91" i="20"/>
  <c r="X58" i="20"/>
  <c r="X49" i="20"/>
  <c r="X40" i="20"/>
  <c r="X35" i="20"/>
  <c r="X32" i="20"/>
  <c r="X29" i="20"/>
  <c r="X26" i="20"/>
  <c r="X23" i="20"/>
  <c r="X20" i="20"/>
  <c r="X17" i="20"/>
  <c r="X14" i="20"/>
  <c r="X11" i="20"/>
  <c r="X8" i="20"/>
  <c r="X5" i="20"/>
  <c r="X118" i="20"/>
  <c r="X103" i="20"/>
  <c r="X53" i="20"/>
  <c r="X44" i="20"/>
  <c r="X153" i="20"/>
  <c r="X48" i="20"/>
  <c r="X39" i="20"/>
  <c r="X56" i="20"/>
  <c r="X37" i="20"/>
  <c r="X34" i="20"/>
  <c r="X31" i="20"/>
  <c r="X28" i="20"/>
  <c r="X25" i="20"/>
  <c r="X22" i="20"/>
  <c r="X19" i="20"/>
  <c r="X16" i="20"/>
  <c r="X13" i="20"/>
  <c r="X10" i="20"/>
  <c r="X7" i="20"/>
  <c r="X4" i="20"/>
  <c r="X85" i="20"/>
  <c r="X47" i="20"/>
  <c r="X38" i="20"/>
  <c r="X76" i="20"/>
  <c r="X57" i="20"/>
  <c r="V190" i="19"/>
  <c r="V187" i="19"/>
  <c r="V184" i="19"/>
  <c r="V181" i="19"/>
  <c r="V178" i="19"/>
  <c r="V175" i="19"/>
  <c r="V188" i="19"/>
  <c r="V185" i="19"/>
  <c r="V182" i="19"/>
  <c r="V179" i="19"/>
  <c r="V176" i="19"/>
  <c r="V174" i="19"/>
  <c r="V171" i="19"/>
  <c r="V168" i="19"/>
  <c r="V165" i="19"/>
  <c r="V162" i="19"/>
  <c r="V159" i="19"/>
  <c r="V156" i="19"/>
  <c r="V153" i="19"/>
  <c r="V150" i="19"/>
  <c r="V147" i="19"/>
  <c r="V144" i="19"/>
  <c r="V141" i="19"/>
  <c r="V125" i="19"/>
  <c r="V122" i="19"/>
  <c r="V119" i="19"/>
  <c r="V116" i="19"/>
  <c r="V113" i="19"/>
  <c r="V110" i="19"/>
  <c r="V107" i="19"/>
  <c r="V104" i="19"/>
  <c r="V101" i="19"/>
  <c r="V98" i="19"/>
  <c r="V95" i="19"/>
  <c r="V92" i="19"/>
  <c r="V89" i="19"/>
  <c r="V86" i="19"/>
  <c r="V83" i="19"/>
  <c r="V80" i="19"/>
  <c r="V77" i="19"/>
  <c r="V74" i="19"/>
  <c r="V71" i="19"/>
  <c r="V68" i="19"/>
  <c r="V131" i="19"/>
  <c r="V128" i="19"/>
  <c r="V189" i="19"/>
  <c r="V180" i="19"/>
  <c r="V136" i="19"/>
  <c r="V139" i="19"/>
  <c r="V66" i="19"/>
  <c r="V63" i="19"/>
  <c r="V60" i="19"/>
  <c r="V57" i="19"/>
  <c r="V54" i="19"/>
  <c r="V51" i="19"/>
  <c r="V48" i="19"/>
  <c r="V45" i="19"/>
  <c r="V42" i="19"/>
  <c r="V39" i="19"/>
  <c r="V36" i="19"/>
  <c r="V33" i="19"/>
  <c r="V30" i="19"/>
  <c r="V27" i="19"/>
  <c r="V24" i="19"/>
  <c r="V21" i="19"/>
  <c r="V18" i="19"/>
  <c r="V15" i="19"/>
  <c r="V12" i="19"/>
  <c r="V9" i="19"/>
  <c r="V6" i="19"/>
  <c r="V3" i="19"/>
  <c r="V140" i="19"/>
  <c r="V137" i="19"/>
  <c r="V67" i="19"/>
  <c r="V64" i="19"/>
  <c r="V61" i="19"/>
  <c r="V58" i="19"/>
  <c r="V55" i="19"/>
  <c r="V52" i="19"/>
  <c r="V49" i="19"/>
  <c r="V46" i="19"/>
  <c r="V43" i="19"/>
  <c r="V40" i="19"/>
  <c r="V37" i="19"/>
  <c r="V34" i="19"/>
  <c r="V31" i="19"/>
  <c r="V28" i="19"/>
  <c r="V25" i="19"/>
  <c r="V22" i="19"/>
  <c r="V19" i="19"/>
  <c r="V16" i="19"/>
  <c r="V13" i="19"/>
  <c r="V10" i="19"/>
  <c r="V7" i="19"/>
  <c r="V4" i="19"/>
  <c r="V169" i="19"/>
  <c r="V160" i="19"/>
  <c r="V151" i="19"/>
  <c r="V142" i="19"/>
  <c r="V118" i="19"/>
  <c r="V109" i="19"/>
  <c r="V100" i="19"/>
  <c r="V91" i="19"/>
  <c r="V82" i="19"/>
  <c r="V73" i="19"/>
  <c r="V127" i="19"/>
  <c r="V167" i="19"/>
  <c r="V158" i="19"/>
  <c r="V149" i="19"/>
  <c r="V123" i="19"/>
  <c r="V114" i="19"/>
  <c r="V105" i="19"/>
  <c r="V96" i="19"/>
  <c r="V87" i="19"/>
  <c r="V78" i="19"/>
  <c r="V69" i="19"/>
  <c r="V62" i="19"/>
  <c r="V53" i="19"/>
  <c r="V44" i="19"/>
  <c r="V35" i="19"/>
  <c r="V26" i="19"/>
  <c r="V17" i="19"/>
  <c r="V8" i="19"/>
  <c r="V134" i="19"/>
  <c r="V130" i="19"/>
  <c r="V170" i="19"/>
  <c r="V161" i="19"/>
  <c r="V152" i="19"/>
  <c r="V143" i="19"/>
  <c r="V126" i="19"/>
  <c r="V117" i="19"/>
  <c r="V108" i="19"/>
  <c r="V99" i="19"/>
  <c r="V90" i="19"/>
  <c r="V81" i="19"/>
  <c r="V72" i="19"/>
  <c r="V65" i="19"/>
  <c r="V56" i="19"/>
  <c r="V47" i="19"/>
  <c r="V38" i="19"/>
  <c r="V29" i="19"/>
  <c r="V20" i="19"/>
  <c r="V11" i="19"/>
  <c r="V177" i="19"/>
  <c r="V166" i="19"/>
  <c r="V157" i="19"/>
  <c r="V148" i="19"/>
  <c r="V124" i="19"/>
  <c r="V115" i="19"/>
  <c r="V106" i="19"/>
  <c r="V97" i="19"/>
  <c r="V88" i="19"/>
  <c r="V79" i="19"/>
  <c r="V70" i="19"/>
  <c r="V59" i="19"/>
  <c r="V186" i="19"/>
  <c r="V164" i="19"/>
  <c r="V145" i="19"/>
  <c r="V32" i="19"/>
  <c r="V120" i="19"/>
  <c r="V154" i="19"/>
  <c r="V23" i="19"/>
  <c r="W1" i="19"/>
  <c r="V163" i="19"/>
  <c r="V132" i="19"/>
  <c r="V129" i="19"/>
  <c r="V41" i="19"/>
  <c r="V14" i="19"/>
  <c r="V135" i="19"/>
  <c r="V112" i="19"/>
  <c r="V103" i="19"/>
  <c r="V94" i="19"/>
  <c r="V5" i="19"/>
  <c r="V183" i="19"/>
  <c r="V121" i="19"/>
  <c r="V50" i="19"/>
  <c r="V173" i="19"/>
  <c r="V155" i="19"/>
  <c r="V146" i="19"/>
  <c r="V75" i="19"/>
  <c r="V84" i="19"/>
  <c r="V172" i="19"/>
  <c r="V102" i="19"/>
  <c r="V93" i="19"/>
  <c r="V111" i="19"/>
  <c r="V133" i="19"/>
  <c r="V138" i="19"/>
  <c r="V85" i="19"/>
  <c r="V76" i="19"/>
  <c r="Y190" i="20" l="1"/>
  <c r="Y187" i="20"/>
  <c r="Y184" i="20"/>
  <c r="Y181" i="20"/>
  <c r="Y178" i="20"/>
  <c r="Y175" i="20"/>
  <c r="Y172" i="20"/>
  <c r="Y169" i="20"/>
  <c r="Y166" i="20"/>
  <c r="Y163" i="20"/>
  <c r="Y160" i="20"/>
  <c r="Y157" i="20"/>
  <c r="Y154" i="20"/>
  <c r="Y182" i="20"/>
  <c r="Y173" i="20"/>
  <c r="Y164" i="20"/>
  <c r="Y156" i="20"/>
  <c r="Y153" i="20"/>
  <c r="Y151" i="20"/>
  <c r="Y146" i="20"/>
  <c r="Y131" i="20"/>
  <c r="Y128" i="20"/>
  <c r="Y188" i="20"/>
  <c r="Y179" i="20"/>
  <c r="Y170" i="20"/>
  <c r="Y161" i="20"/>
  <c r="Y149" i="20"/>
  <c r="Y145" i="20"/>
  <c r="Y129" i="20"/>
  <c r="Y165" i="20"/>
  <c r="Y141" i="20"/>
  <c r="Y125" i="20"/>
  <c r="Y116" i="20"/>
  <c r="Y180" i="20"/>
  <c r="Y167" i="20"/>
  <c r="Y152" i="20"/>
  <c r="Y140" i="20"/>
  <c r="Y135" i="20"/>
  <c r="Y120" i="20"/>
  <c r="Y111" i="20"/>
  <c r="Y102" i="20"/>
  <c r="Y93" i="20"/>
  <c r="Y84" i="20"/>
  <c r="Y75" i="20"/>
  <c r="Y134" i="20"/>
  <c r="Y67" i="20"/>
  <c r="Y64" i="20"/>
  <c r="Y61" i="20"/>
  <c r="Y185" i="20"/>
  <c r="Y171" i="20"/>
  <c r="Y158" i="20"/>
  <c r="Y155" i="20"/>
  <c r="Y147" i="20"/>
  <c r="Y133" i="20"/>
  <c r="Y123" i="20"/>
  <c r="Y114" i="20"/>
  <c r="Y105" i="20"/>
  <c r="Y96" i="20"/>
  <c r="Y87" i="20"/>
  <c r="Y78" i="20"/>
  <c r="Y69" i="20"/>
  <c r="Y186" i="20"/>
  <c r="Y174" i="20"/>
  <c r="Y122" i="20"/>
  <c r="Y113" i="20"/>
  <c r="Y104" i="20"/>
  <c r="Y95" i="20"/>
  <c r="Y177" i="20"/>
  <c r="Y150" i="20"/>
  <c r="Y121" i="20"/>
  <c r="Y112" i="20"/>
  <c r="Y103" i="20"/>
  <c r="Y168" i="20"/>
  <c r="Y124" i="20"/>
  <c r="Y85" i="20"/>
  <c r="Y79" i="20"/>
  <c r="Y76" i="20"/>
  <c r="Y70" i="20"/>
  <c r="Y56" i="20"/>
  <c r="Y47" i="20"/>
  <c r="Y38" i="20"/>
  <c r="Y144" i="20"/>
  <c r="Y143" i="20"/>
  <c r="Y132" i="20"/>
  <c r="Y115" i="20"/>
  <c r="Y94" i="20"/>
  <c r="Y92" i="20"/>
  <c r="Y51" i="20"/>
  <c r="Y42" i="20"/>
  <c r="Y183" i="20"/>
  <c r="Y148" i="20"/>
  <c r="Y108" i="20"/>
  <c r="Y65" i="20"/>
  <c r="Y62" i="20"/>
  <c r="Y55" i="20"/>
  <c r="Y46" i="20"/>
  <c r="Y37" i="20"/>
  <c r="Y34" i="20"/>
  <c r="Y31" i="20"/>
  <c r="Y28" i="20"/>
  <c r="Y25" i="20"/>
  <c r="Y22" i="20"/>
  <c r="Y19" i="20"/>
  <c r="Y16" i="20"/>
  <c r="Y13" i="20"/>
  <c r="Y10" i="20"/>
  <c r="Y7" i="20"/>
  <c r="Y4" i="20"/>
  <c r="Y162" i="20"/>
  <c r="Y142" i="20"/>
  <c r="Y101" i="20"/>
  <c r="Y98" i="20"/>
  <c r="Y86" i="20"/>
  <c r="Y83" i="20"/>
  <c r="Y77" i="20"/>
  <c r="Y74" i="20"/>
  <c r="Y68" i="20"/>
  <c r="Y66" i="20"/>
  <c r="Y63" i="20"/>
  <c r="Y60" i="20"/>
  <c r="Y59" i="20"/>
  <c r="Y50" i="20"/>
  <c r="Y130" i="20"/>
  <c r="Y80" i="20"/>
  <c r="Y71" i="20"/>
  <c r="Z1" i="20"/>
  <c r="Y54" i="20"/>
  <c r="Y45" i="20"/>
  <c r="Y139" i="20"/>
  <c r="Y119" i="20"/>
  <c r="Y107" i="20"/>
  <c r="Y100" i="20"/>
  <c r="Y91" i="20"/>
  <c r="Y58" i="20"/>
  <c r="Y49" i="20"/>
  <c r="Y40" i="20"/>
  <c r="Y35" i="20"/>
  <c r="Y32" i="20"/>
  <c r="Y29" i="20"/>
  <c r="Y26" i="20"/>
  <c r="Y23" i="20"/>
  <c r="Y20" i="20"/>
  <c r="Y17" i="20"/>
  <c r="Y14" i="20"/>
  <c r="Y11" i="20"/>
  <c r="Y8" i="20"/>
  <c r="Y5" i="20"/>
  <c r="Y159" i="20"/>
  <c r="Y118" i="20"/>
  <c r="Y110" i="20"/>
  <c r="Y89" i="20"/>
  <c r="Y81" i="20"/>
  <c r="Y72" i="20"/>
  <c r="Y53" i="20"/>
  <c r="Y44" i="20"/>
  <c r="Y138" i="20"/>
  <c r="Y127" i="20"/>
  <c r="Y97" i="20"/>
  <c r="Y137" i="20"/>
  <c r="Y126" i="20"/>
  <c r="Y117" i="20"/>
  <c r="Y106" i="20"/>
  <c r="Y57" i="20"/>
  <c r="Y48" i="20"/>
  <c r="Y39" i="20"/>
  <c r="Y43" i="20"/>
  <c r="Y136" i="20"/>
  <c r="Y90" i="20"/>
  <c r="Y41" i="20"/>
  <c r="Y82" i="20"/>
  <c r="Y189" i="20"/>
  <c r="Y88" i="20"/>
  <c r="Y109" i="20"/>
  <c r="Y73" i="20"/>
  <c r="Y52" i="20"/>
  <c r="Y99" i="20"/>
  <c r="Y27" i="20"/>
  <c r="Y24" i="20"/>
  <c r="Y21" i="20"/>
  <c r="Y18" i="20"/>
  <c r="Y15" i="20"/>
  <c r="Y12" i="20"/>
  <c r="Y9" i="20"/>
  <c r="Y6" i="20"/>
  <c r="Y3" i="20"/>
  <c r="Y30" i="20"/>
  <c r="Y33" i="20"/>
  <c r="Y36" i="20"/>
  <c r="Y176" i="20"/>
  <c r="Z142" i="17"/>
  <c r="Z139" i="17"/>
  <c r="Z192" i="17"/>
  <c r="Z183" i="17"/>
  <c r="Z187" i="17"/>
  <c r="Z178" i="17"/>
  <c r="Z169" i="17"/>
  <c r="Z160" i="17"/>
  <c r="Z151" i="17"/>
  <c r="Z140" i="17"/>
  <c r="Z135" i="17"/>
  <c r="Z177" i="17"/>
  <c r="Z168" i="17"/>
  <c r="Z159" i="17"/>
  <c r="Z150" i="17"/>
  <c r="Z133" i="17"/>
  <c r="Z123" i="17"/>
  <c r="Z114" i="17"/>
  <c r="Z105" i="17"/>
  <c r="Z96" i="17"/>
  <c r="Z66" i="17"/>
  <c r="Z63" i="17"/>
  <c r="Z60" i="17"/>
  <c r="Z57" i="17"/>
  <c r="Z54" i="17"/>
  <c r="Z51" i="17"/>
  <c r="Z48" i="17"/>
  <c r="Z45" i="17"/>
  <c r="Z42" i="17"/>
  <c r="Z39" i="17"/>
  <c r="Z36" i="17"/>
  <c r="Z33" i="17"/>
  <c r="Z30" i="17"/>
  <c r="Z27" i="17"/>
  <c r="Z24" i="17"/>
  <c r="Z21" i="17"/>
  <c r="Z18" i="17"/>
  <c r="Z15" i="17"/>
  <c r="Z12" i="17"/>
  <c r="Z9" i="17"/>
  <c r="Z6" i="17"/>
  <c r="Z3" i="17"/>
  <c r="Z179" i="17"/>
  <c r="Z134" i="17"/>
  <c r="Z191" i="17"/>
  <c r="Z185" i="17"/>
  <c r="Z136" i="17"/>
  <c r="Z122" i="17"/>
  <c r="Z113" i="17"/>
  <c r="Z104" i="17"/>
  <c r="Z95" i="17"/>
  <c r="Z90" i="17"/>
  <c r="Z189" i="17"/>
  <c r="Z172" i="17"/>
  <c r="Z163" i="17"/>
  <c r="Z154" i="17"/>
  <c r="Z138" i="17"/>
  <c r="Z137" i="17"/>
  <c r="Z131" i="17"/>
  <c r="Z126" i="17"/>
  <c r="Z117" i="17"/>
  <c r="Z108" i="17"/>
  <c r="Z99" i="17"/>
  <c r="Z92" i="17"/>
  <c r="Z67" i="17"/>
  <c r="Z64" i="17"/>
  <c r="Z61" i="17"/>
  <c r="Z58" i="17"/>
  <c r="Z55" i="17"/>
  <c r="Z52" i="17"/>
  <c r="Z49" i="17"/>
  <c r="Z46" i="17"/>
  <c r="Z43" i="17"/>
  <c r="Z40" i="17"/>
  <c r="Z37" i="17"/>
  <c r="Z34" i="17"/>
  <c r="Z31" i="17"/>
  <c r="Z28" i="17"/>
  <c r="Z25" i="17"/>
  <c r="Z22" i="17"/>
  <c r="Z19" i="17"/>
  <c r="Z16" i="17"/>
  <c r="Z13" i="17"/>
  <c r="Z10" i="17"/>
  <c r="Z7" i="17"/>
  <c r="Z4" i="17"/>
  <c r="Z175" i="17"/>
  <c r="Z166" i="17"/>
  <c r="Z157" i="17"/>
  <c r="Z146" i="17"/>
  <c r="Z143" i="17"/>
  <c r="Z141" i="17"/>
  <c r="Z121" i="17"/>
  <c r="Z112" i="17"/>
  <c r="Z103" i="17"/>
  <c r="Z94" i="17"/>
  <c r="Z88" i="17"/>
  <c r="Z85" i="17"/>
  <c r="Z82" i="17"/>
  <c r="Z79" i="17"/>
  <c r="Z76" i="17"/>
  <c r="Z73" i="17"/>
  <c r="Z70" i="17"/>
  <c r="Z148" i="17"/>
  <c r="Z147" i="17"/>
  <c r="Z145" i="17"/>
  <c r="Z144" i="17"/>
  <c r="Z130" i="17"/>
  <c r="AA1" i="17"/>
  <c r="Z186" i="17"/>
  <c r="Z180" i="17"/>
  <c r="Z173" i="17"/>
  <c r="Z164" i="17"/>
  <c r="Z155" i="17"/>
  <c r="Z120" i="17"/>
  <c r="Z111" i="17"/>
  <c r="Z102" i="17"/>
  <c r="Z68" i="17"/>
  <c r="Z65" i="17"/>
  <c r="Z62" i="17"/>
  <c r="Z59" i="17"/>
  <c r="Z56" i="17"/>
  <c r="Z53" i="17"/>
  <c r="Z50" i="17"/>
  <c r="Z47" i="17"/>
  <c r="Z44" i="17"/>
  <c r="Z41" i="17"/>
  <c r="Z38" i="17"/>
  <c r="Z35" i="17"/>
  <c r="Z32" i="17"/>
  <c r="Z29" i="17"/>
  <c r="Z26" i="17"/>
  <c r="Z23" i="17"/>
  <c r="Z20" i="17"/>
  <c r="Z17" i="17"/>
  <c r="Z14" i="17"/>
  <c r="Z11" i="17"/>
  <c r="Z8" i="17"/>
  <c r="Z5" i="17"/>
  <c r="Z190" i="17"/>
  <c r="Z184" i="17"/>
  <c r="Z176" i="17"/>
  <c r="Z170" i="17"/>
  <c r="Z167" i="17"/>
  <c r="Z161" i="17"/>
  <c r="Z158" i="17"/>
  <c r="Z152" i="17"/>
  <c r="Z149" i="17"/>
  <c r="Z129" i="17"/>
  <c r="Z124" i="17"/>
  <c r="Z115" i="17"/>
  <c r="Z106" i="17"/>
  <c r="Z97" i="17"/>
  <c r="Z91" i="17"/>
  <c r="Z89" i="17"/>
  <c r="Z86" i="17"/>
  <c r="Z83" i="17"/>
  <c r="Z80" i="17"/>
  <c r="Z77" i="17"/>
  <c r="Z74" i="17"/>
  <c r="Z71" i="17"/>
  <c r="Z188" i="17"/>
  <c r="Z181" i="17"/>
  <c r="Z171" i="17"/>
  <c r="Z87" i="17"/>
  <c r="Z84" i="17"/>
  <c r="Z81" i="17"/>
  <c r="Z78" i="17"/>
  <c r="Z75" i="17"/>
  <c r="Z72" i="17"/>
  <c r="Z69" i="17"/>
  <c r="Z93" i="17"/>
  <c r="Z156" i="17"/>
  <c r="Z127" i="17"/>
  <c r="Z118" i="17"/>
  <c r="Z109" i="17"/>
  <c r="Z100" i="17"/>
  <c r="Z125" i="17"/>
  <c r="Z116" i="17"/>
  <c r="Z107" i="17"/>
  <c r="Z98" i="17"/>
  <c r="Z165" i="17"/>
  <c r="Z153" i="17"/>
  <c r="Z132" i="17"/>
  <c r="Z182" i="17"/>
  <c r="Z128" i="17"/>
  <c r="Z119" i="17"/>
  <c r="Z110" i="17"/>
  <c r="Z101" i="17"/>
  <c r="Z174" i="17"/>
  <c r="Z162" i="17"/>
  <c r="W191" i="18"/>
  <c r="W188" i="18"/>
  <c r="W185" i="18"/>
  <c r="W182" i="18"/>
  <c r="W179" i="18"/>
  <c r="W176" i="18"/>
  <c r="W173" i="18"/>
  <c r="W170" i="18"/>
  <c r="W167" i="18"/>
  <c r="W164" i="18"/>
  <c r="W161" i="18"/>
  <c r="W158" i="18"/>
  <c r="W155" i="18"/>
  <c r="W152" i="18"/>
  <c r="W149" i="18"/>
  <c r="W190" i="18"/>
  <c r="W181" i="18"/>
  <c r="W172" i="18"/>
  <c r="W163" i="18"/>
  <c r="W154" i="18"/>
  <c r="W186" i="18"/>
  <c r="W177" i="18"/>
  <c r="W189" i="18"/>
  <c r="W180" i="18"/>
  <c r="W171" i="18"/>
  <c r="W187" i="18"/>
  <c r="W178" i="18"/>
  <c r="W160" i="18"/>
  <c r="W159" i="18"/>
  <c r="W134" i="18"/>
  <c r="W156" i="18"/>
  <c r="W143" i="18"/>
  <c r="W140" i="18"/>
  <c r="W139" i="18"/>
  <c r="W138" i="18"/>
  <c r="W137" i="18"/>
  <c r="W183" i="18"/>
  <c r="W125" i="18"/>
  <c r="W116" i="18"/>
  <c r="W107" i="18"/>
  <c r="W98" i="18"/>
  <c r="W89" i="18"/>
  <c r="W80" i="18"/>
  <c r="W71" i="18"/>
  <c r="W66" i="18"/>
  <c r="W57" i="18"/>
  <c r="W48" i="18"/>
  <c r="W39" i="18"/>
  <c r="W30" i="18"/>
  <c r="W21" i="18"/>
  <c r="W12" i="18"/>
  <c r="W3" i="18"/>
  <c r="W165" i="18"/>
  <c r="W120" i="18"/>
  <c r="W111" i="18"/>
  <c r="W102" i="18"/>
  <c r="W93" i="18"/>
  <c r="W84" i="18"/>
  <c r="W75" i="18"/>
  <c r="W61" i="18"/>
  <c r="W52" i="18"/>
  <c r="W43" i="18"/>
  <c r="W34" i="18"/>
  <c r="W148" i="18"/>
  <c r="W136" i="18"/>
  <c r="W129" i="18"/>
  <c r="W124" i="18"/>
  <c r="W115" i="18"/>
  <c r="W106" i="18"/>
  <c r="W97" i="18"/>
  <c r="W88" i="18"/>
  <c r="W79" i="18"/>
  <c r="W70" i="18"/>
  <c r="W166" i="18"/>
  <c r="W146" i="18"/>
  <c r="W133" i="18"/>
  <c r="W65" i="18"/>
  <c r="W56" i="18"/>
  <c r="W47" i="18"/>
  <c r="W38" i="18"/>
  <c r="W29" i="18"/>
  <c r="W20" i="18"/>
  <c r="W11" i="18"/>
  <c r="W157" i="18"/>
  <c r="W144" i="18"/>
  <c r="W142" i="18"/>
  <c r="W128" i="18"/>
  <c r="W119" i="18"/>
  <c r="W110" i="18"/>
  <c r="W101" i="18"/>
  <c r="W92" i="18"/>
  <c r="W83" i="18"/>
  <c r="W74" i="18"/>
  <c r="W60" i="18"/>
  <c r="W51" i="18"/>
  <c r="W42" i="18"/>
  <c r="W33" i="18"/>
  <c r="W24" i="18"/>
  <c r="W15" i="18"/>
  <c r="W6" i="18"/>
  <c r="W184" i="18"/>
  <c r="W174" i="18"/>
  <c r="W168" i="18"/>
  <c r="W123" i="18"/>
  <c r="W114" i="18"/>
  <c r="W105" i="18"/>
  <c r="W132" i="18"/>
  <c r="W127" i="18"/>
  <c r="W118" i="18"/>
  <c r="W109" i="18"/>
  <c r="W100" i="18"/>
  <c r="W91" i="18"/>
  <c r="W82" i="18"/>
  <c r="W94" i="18"/>
  <c r="W85" i="18"/>
  <c r="W64" i="18"/>
  <c r="W37" i="18"/>
  <c r="W150" i="18"/>
  <c r="W44" i="18"/>
  <c r="W9" i="18"/>
  <c r="W7" i="18"/>
  <c r="W67" i="18"/>
  <c r="W50" i="18"/>
  <c r="W40" i="18"/>
  <c r="W19" i="18"/>
  <c r="W13" i="18"/>
  <c r="W175" i="18"/>
  <c r="W77" i="18"/>
  <c r="W46" i="18"/>
  <c r="W117" i="18"/>
  <c r="W104" i="18"/>
  <c r="W103" i="18"/>
  <c r="W99" i="18"/>
  <c r="W90" i="18"/>
  <c r="W81" i="18"/>
  <c r="W73" i="18"/>
  <c r="W63" i="18"/>
  <c r="W36" i="18"/>
  <c r="W23" i="18"/>
  <c r="W17" i="18"/>
  <c r="W169" i="18"/>
  <c r="W131" i="18"/>
  <c r="W130" i="18"/>
  <c r="W53" i="18"/>
  <c r="W27" i="18"/>
  <c r="W25" i="18"/>
  <c r="X1" i="18"/>
  <c r="W141" i="18"/>
  <c r="W96" i="18"/>
  <c r="W87" i="18"/>
  <c r="W76" i="18"/>
  <c r="W55" i="18"/>
  <c r="W192" i="18"/>
  <c r="W153" i="18"/>
  <c r="W151" i="18"/>
  <c r="W122" i="18"/>
  <c r="W121" i="18"/>
  <c r="W108" i="18"/>
  <c r="W45" i="18"/>
  <c r="W14" i="18"/>
  <c r="W8" i="18"/>
  <c r="W147" i="18"/>
  <c r="W95" i="18"/>
  <c r="W86" i="18"/>
  <c r="W72" i="18"/>
  <c r="W62" i="18"/>
  <c r="W35" i="18"/>
  <c r="W18" i="18"/>
  <c r="W16" i="18"/>
  <c r="W162" i="18"/>
  <c r="W49" i="18"/>
  <c r="W112" i="18"/>
  <c r="W58" i="18"/>
  <c r="W22" i="18"/>
  <c r="W145" i="18"/>
  <c r="W54" i="18"/>
  <c r="W5" i="18"/>
  <c r="W135" i="18"/>
  <c r="W69" i="18"/>
  <c r="W32" i="18"/>
  <c r="W10" i="18"/>
  <c r="W78" i="18"/>
  <c r="W41" i="18"/>
  <c r="W26" i="18"/>
  <c r="W59" i="18"/>
  <c r="W4" i="18"/>
  <c r="W68" i="18"/>
  <c r="W31" i="18"/>
  <c r="W28" i="18"/>
  <c r="W126" i="18"/>
  <c r="W113" i="18"/>
  <c r="W174" i="26"/>
  <c r="W171" i="26"/>
  <c r="W168" i="26"/>
  <c r="W165" i="26"/>
  <c r="W162" i="26"/>
  <c r="W159" i="26"/>
  <c r="W175" i="26"/>
  <c r="W172" i="26"/>
  <c r="W169" i="26"/>
  <c r="W166" i="26"/>
  <c r="W163" i="26"/>
  <c r="W160" i="26"/>
  <c r="W176" i="26"/>
  <c r="W173" i="26"/>
  <c r="W170" i="26"/>
  <c r="W167" i="26"/>
  <c r="W164" i="26"/>
  <c r="W161" i="26"/>
  <c r="W157" i="26"/>
  <c r="W154" i="26"/>
  <c r="W151" i="26"/>
  <c r="W148" i="26"/>
  <c r="W145" i="26"/>
  <c r="W142" i="26"/>
  <c r="W139" i="26"/>
  <c r="W136" i="26"/>
  <c r="W133" i="26"/>
  <c r="W155" i="26"/>
  <c r="W152" i="26"/>
  <c r="W149" i="26"/>
  <c r="W146" i="26"/>
  <c r="W143" i="26"/>
  <c r="W140" i="26"/>
  <c r="W137" i="26"/>
  <c r="W134" i="26"/>
  <c r="W132" i="26"/>
  <c r="W128" i="26"/>
  <c r="W124" i="26"/>
  <c r="W115" i="26"/>
  <c r="W111" i="26"/>
  <c r="W108" i="26"/>
  <c r="W105" i="26"/>
  <c r="W102" i="26"/>
  <c r="W99" i="26"/>
  <c r="W96" i="26"/>
  <c r="W93" i="26"/>
  <c r="W90" i="26"/>
  <c r="W87" i="26"/>
  <c r="W84" i="26"/>
  <c r="W81" i="26"/>
  <c r="W78" i="26"/>
  <c r="W75" i="26"/>
  <c r="W72" i="26"/>
  <c r="W153" i="26"/>
  <c r="W144" i="26"/>
  <c r="W135" i="26"/>
  <c r="W131" i="26"/>
  <c r="W130" i="26"/>
  <c r="W125" i="26"/>
  <c r="W116" i="26"/>
  <c r="W113" i="26"/>
  <c r="W109" i="26"/>
  <c r="W106" i="26"/>
  <c r="W103" i="26"/>
  <c r="W100" i="26"/>
  <c r="W97" i="26"/>
  <c r="W94" i="26"/>
  <c r="W91" i="26"/>
  <c r="W88" i="26"/>
  <c r="W85" i="26"/>
  <c r="W82" i="26"/>
  <c r="W79" i="26"/>
  <c r="W76" i="26"/>
  <c r="W73" i="26"/>
  <c r="W156" i="26"/>
  <c r="W147" i="26"/>
  <c r="W138" i="26"/>
  <c r="W129" i="26"/>
  <c r="W127" i="26"/>
  <c r="W123" i="26"/>
  <c r="W114" i="26"/>
  <c r="W110" i="26"/>
  <c r="W107" i="26"/>
  <c r="W104" i="26"/>
  <c r="W101" i="26"/>
  <c r="W98" i="26"/>
  <c r="W95" i="26"/>
  <c r="W92" i="26"/>
  <c r="W89" i="26"/>
  <c r="W86" i="26"/>
  <c r="W83" i="26"/>
  <c r="W80" i="26"/>
  <c r="W77" i="26"/>
  <c r="W74" i="26"/>
  <c r="W71" i="26"/>
  <c r="W67" i="26"/>
  <c r="W64" i="26"/>
  <c r="W61" i="26"/>
  <c r="W58" i="26"/>
  <c r="W55" i="26"/>
  <c r="W52" i="26"/>
  <c r="W150" i="26"/>
  <c r="W70" i="26"/>
  <c r="W68" i="26"/>
  <c r="W65" i="26"/>
  <c r="W62" i="26"/>
  <c r="W59" i="26"/>
  <c r="W56" i="26"/>
  <c r="W53" i="26"/>
  <c r="W158" i="26"/>
  <c r="W69" i="26"/>
  <c r="W60" i="26"/>
  <c r="W49" i="26"/>
  <c r="W46" i="26"/>
  <c r="W43" i="26"/>
  <c r="W40" i="26"/>
  <c r="W37" i="26"/>
  <c r="W34" i="26"/>
  <c r="W31" i="26"/>
  <c r="W28" i="26"/>
  <c r="W25" i="26"/>
  <c r="W22" i="26"/>
  <c r="W19" i="26"/>
  <c r="W16" i="26"/>
  <c r="W13" i="26"/>
  <c r="W10" i="26"/>
  <c r="W7" i="26"/>
  <c r="W4" i="26"/>
  <c r="W63" i="26"/>
  <c r="W54" i="26"/>
  <c r="W50" i="26"/>
  <c r="W47" i="26"/>
  <c r="W44" i="26"/>
  <c r="W41" i="26"/>
  <c r="W38" i="26"/>
  <c r="W35" i="26"/>
  <c r="W32" i="26"/>
  <c r="W29" i="26"/>
  <c r="W26" i="26"/>
  <c r="W23" i="26"/>
  <c r="W20" i="26"/>
  <c r="W17" i="26"/>
  <c r="W14" i="26"/>
  <c r="W11" i="26"/>
  <c r="W8" i="26"/>
  <c r="W5" i="26"/>
  <c r="W48" i="26"/>
  <c r="W39" i="26"/>
  <c r="W30" i="26"/>
  <c r="W21" i="26"/>
  <c r="W12" i="26"/>
  <c r="W3" i="26"/>
  <c r="W57" i="26"/>
  <c r="W42" i="26"/>
  <c r="W33" i="26"/>
  <c r="W24" i="26"/>
  <c r="W15" i="26"/>
  <c r="W6" i="26"/>
  <c r="W66" i="26"/>
  <c r="W45" i="26"/>
  <c r="W36" i="26"/>
  <c r="W27" i="26"/>
  <c r="W18" i="26"/>
  <c r="W9" i="26"/>
  <c r="X1" i="26"/>
  <c r="W51" i="26"/>
  <c r="W141" i="26"/>
  <c r="W138" i="21"/>
  <c r="W135" i="21"/>
  <c r="W186" i="21"/>
  <c r="W183" i="21"/>
  <c r="W180" i="21"/>
  <c r="W177" i="21"/>
  <c r="W174" i="21"/>
  <c r="W171" i="21"/>
  <c r="W168" i="21"/>
  <c r="W165" i="21"/>
  <c r="W162" i="21"/>
  <c r="W159" i="21"/>
  <c r="W156" i="21"/>
  <c r="W153" i="21"/>
  <c r="W150" i="21"/>
  <c r="W147" i="21"/>
  <c r="W144" i="21"/>
  <c r="W141" i="21"/>
  <c r="W122" i="21"/>
  <c r="W119" i="21"/>
  <c r="W116" i="21"/>
  <c r="W113" i="21"/>
  <c r="W133" i="21"/>
  <c r="W128" i="21"/>
  <c r="W125" i="21"/>
  <c r="W187" i="21"/>
  <c r="W184" i="21"/>
  <c r="W181" i="21"/>
  <c r="W178" i="21"/>
  <c r="W175" i="21"/>
  <c r="W172" i="21"/>
  <c r="W169" i="21"/>
  <c r="W166" i="21"/>
  <c r="W163" i="21"/>
  <c r="W160" i="21"/>
  <c r="W157" i="21"/>
  <c r="W134" i="21"/>
  <c r="W137" i="21"/>
  <c r="W188" i="21"/>
  <c r="W185" i="21"/>
  <c r="W176" i="21"/>
  <c r="W127" i="21"/>
  <c r="W108" i="21"/>
  <c r="W105" i="21"/>
  <c r="W102" i="21"/>
  <c r="W99" i="21"/>
  <c r="W96" i="21"/>
  <c r="W93" i="21"/>
  <c r="W90" i="21"/>
  <c r="W87" i="21"/>
  <c r="W84" i="21"/>
  <c r="W81" i="21"/>
  <c r="W78" i="21"/>
  <c r="W75" i="21"/>
  <c r="W72" i="21"/>
  <c r="W69" i="21"/>
  <c r="W66" i="21"/>
  <c r="W63" i="21"/>
  <c r="W60" i="21"/>
  <c r="W57" i="21"/>
  <c r="W54" i="21"/>
  <c r="W51" i="21"/>
  <c r="W48" i="21"/>
  <c r="W45" i="21"/>
  <c r="W42" i="21"/>
  <c r="W39" i="21"/>
  <c r="W36" i="21"/>
  <c r="W33" i="21"/>
  <c r="W30" i="21"/>
  <c r="W27" i="21"/>
  <c r="W24" i="21"/>
  <c r="W21" i="21"/>
  <c r="W18" i="21"/>
  <c r="W149" i="21"/>
  <c r="W140" i="21"/>
  <c r="W130" i="21"/>
  <c r="W136" i="21"/>
  <c r="W182" i="21"/>
  <c r="W129" i="21"/>
  <c r="W126" i="21"/>
  <c r="W109" i="21"/>
  <c r="W106" i="21"/>
  <c r="W103" i="21"/>
  <c r="W100" i="21"/>
  <c r="W97" i="21"/>
  <c r="W94" i="21"/>
  <c r="W91" i="21"/>
  <c r="W88" i="21"/>
  <c r="W85" i="21"/>
  <c r="W82" i="21"/>
  <c r="W79" i="21"/>
  <c r="W76" i="21"/>
  <c r="W73" i="21"/>
  <c r="W70" i="21"/>
  <c r="W67" i="21"/>
  <c r="W64" i="21"/>
  <c r="W61" i="21"/>
  <c r="W58" i="21"/>
  <c r="W55" i="21"/>
  <c r="W52" i="21"/>
  <c r="W49" i="21"/>
  <c r="W46" i="21"/>
  <c r="W43" i="21"/>
  <c r="W40" i="21"/>
  <c r="W37" i="21"/>
  <c r="W34" i="21"/>
  <c r="W31" i="21"/>
  <c r="W28" i="21"/>
  <c r="W25" i="21"/>
  <c r="W22" i="21"/>
  <c r="W19" i="21"/>
  <c r="W131" i="21"/>
  <c r="X1" i="21"/>
  <c r="W132" i="21"/>
  <c r="W179" i="21"/>
  <c r="W110" i="21"/>
  <c r="W107" i="21"/>
  <c r="W104" i="21"/>
  <c r="W101" i="21"/>
  <c r="W98" i="21"/>
  <c r="W95" i="21"/>
  <c r="W92" i="21"/>
  <c r="W89" i="21"/>
  <c r="W86" i="21"/>
  <c r="W83" i="21"/>
  <c r="W80" i="21"/>
  <c r="W77" i="21"/>
  <c r="W74" i="21"/>
  <c r="W71" i="21"/>
  <c r="W68" i="21"/>
  <c r="W65" i="21"/>
  <c r="W62" i="21"/>
  <c r="W59" i="21"/>
  <c r="W56" i="21"/>
  <c r="W53" i="21"/>
  <c r="W152" i="21"/>
  <c r="W143" i="21"/>
  <c r="W47" i="21"/>
  <c r="W38" i="21"/>
  <c r="W29" i="21"/>
  <c r="W20" i="21"/>
  <c r="W158" i="21"/>
  <c r="W124" i="21"/>
  <c r="W121" i="21"/>
  <c r="W118" i="21"/>
  <c r="W115" i="21"/>
  <c r="W112" i="21"/>
  <c r="W148" i="21"/>
  <c r="W139" i="21"/>
  <c r="W173" i="21"/>
  <c r="W170" i="21"/>
  <c r="W167" i="21"/>
  <c r="W146" i="21"/>
  <c r="W50" i="21"/>
  <c r="W16" i="21"/>
  <c r="W13" i="21"/>
  <c r="W10" i="21"/>
  <c r="W7" i="21"/>
  <c r="W4" i="21"/>
  <c r="W145" i="21"/>
  <c r="W155" i="21"/>
  <c r="W161" i="21"/>
  <c r="W120" i="21"/>
  <c r="W111" i="21"/>
  <c r="W154" i="21"/>
  <c r="W12" i="21"/>
  <c r="W11" i="21"/>
  <c r="W3" i="21"/>
  <c r="W142" i="21"/>
  <c r="W123" i="21"/>
  <c r="W114" i="21"/>
  <c r="W9" i="21"/>
  <c r="W8" i="21"/>
  <c r="W164" i="21"/>
  <c r="W151" i="21"/>
  <c r="W117" i="21"/>
  <c r="W41" i="21"/>
  <c r="W26" i="21"/>
  <c r="W35" i="21"/>
  <c r="W6" i="21"/>
  <c r="W23" i="21"/>
  <c r="W44" i="21"/>
  <c r="W15" i="21"/>
  <c r="W32" i="21"/>
  <c r="W17" i="21"/>
  <c r="W14" i="21"/>
  <c r="W5" i="21"/>
  <c r="X193" i="16"/>
  <c r="X190" i="16"/>
  <c r="X187" i="16"/>
  <c r="X184" i="16"/>
  <c r="X181" i="16"/>
  <c r="X178" i="16"/>
  <c r="X188" i="16"/>
  <c r="X179" i="16"/>
  <c r="X141" i="16"/>
  <c r="X136" i="16"/>
  <c r="X176" i="16"/>
  <c r="X186" i="16"/>
  <c r="X185" i="16"/>
  <c r="X139" i="16"/>
  <c r="X175" i="16"/>
  <c r="X172" i="16"/>
  <c r="X169" i="16"/>
  <c r="X166" i="16"/>
  <c r="X163" i="16"/>
  <c r="X160" i="16"/>
  <c r="X157" i="16"/>
  <c r="X154" i="16"/>
  <c r="X151" i="16"/>
  <c r="X148" i="16"/>
  <c r="X145" i="16"/>
  <c r="X137" i="16"/>
  <c r="X129" i="16"/>
  <c r="X126" i="16"/>
  <c r="X123" i="16"/>
  <c r="X120" i="16"/>
  <c r="X117" i="16"/>
  <c r="X114" i="16"/>
  <c r="X111" i="16"/>
  <c r="X108" i="16"/>
  <c r="X105" i="16"/>
  <c r="X102" i="16"/>
  <c r="X99" i="16"/>
  <c r="X96" i="16"/>
  <c r="X93" i="16"/>
  <c r="X90" i="16"/>
  <c r="X87" i="16"/>
  <c r="X84" i="16"/>
  <c r="X81" i="16"/>
  <c r="X78" i="16"/>
  <c r="X75" i="16"/>
  <c r="X72" i="16"/>
  <c r="X69" i="16"/>
  <c r="X183" i="16"/>
  <c r="X192" i="16"/>
  <c r="X191" i="16"/>
  <c r="X182" i="16"/>
  <c r="X177" i="16"/>
  <c r="X135" i="16"/>
  <c r="X174" i="16"/>
  <c r="X165" i="16"/>
  <c r="X156" i="16"/>
  <c r="X147" i="16"/>
  <c r="X138" i="16"/>
  <c r="X180" i="16"/>
  <c r="X134" i="16"/>
  <c r="X143" i="16"/>
  <c r="X132" i="16"/>
  <c r="X125" i="16"/>
  <c r="X116" i="16"/>
  <c r="X107" i="16"/>
  <c r="X98" i="16"/>
  <c r="X89" i="16"/>
  <c r="X80" i="16"/>
  <c r="X71" i="16"/>
  <c r="X189" i="16"/>
  <c r="X170" i="16"/>
  <c r="X161" i="16"/>
  <c r="X152" i="16"/>
  <c r="X121" i="16"/>
  <c r="X112" i="16"/>
  <c r="X103" i="16"/>
  <c r="X94" i="16"/>
  <c r="X85" i="16"/>
  <c r="X76" i="16"/>
  <c r="X168" i="16"/>
  <c r="X159" i="16"/>
  <c r="X150" i="16"/>
  <c r="X130" i="16"/>
  <c r="X128" i="16"/>
  <c r="X79" i="16"/>
  <c r="X122" i="16"/>
  <c r="X113" i="16"/>
  <c r="X104" i="16"/>
  <c r="X95" i="16"/>
  <c r="X86" i="16"/>
  <c r="X77" i="16"/>
  <c r="X133" i="16"/>
  <c r="X173" i="16"/>
  <c r="X164" i="16"/>
  <c r="X155" i="16"/>
  <c r="X146" i="16"/>
  <c r="X118" i="16"/>
  <c r="X109" i="16"/>
  <c r="X100" i="16"/>
  <c r="X91" i="16"/>
  <c r="X82" i="16"/>
  <c r="X73" i="16"/>
  <c r="Y1" i="16"/>
  <c r="X68" i="16"/>
  <c r="X67" i="16"/>
  <c r="X65" i="16"/>
  <c r="X64" i="16"/>
  <c r="X62" i="16"/>
  <c r="X61" i="16"/>
  <c r="X59" i="16"/>
  <c r="X56" i="16"/>
  <c r="X52" i="16"/>
  <c r="X50" i="16"/>
  <c r="X49" i="16"/>
  <c r="X47" i="16"/>
  <c r="X44" i="16"/>
  <c r="X43" i="16"/>
  <c r="X41" i="16"/>
  <c r="X40" i="16"/>
  <c r="X38" i="16"/>
  <c r="X37" i="16"/>
  <c r="X35" i="16"/>
  <c r="X34" i="16"/>
  <c r="X31" i="16"/>
  <c r="X29" i="16"/>
  <c r="X28" i="16"/>
  <c r="X23" i="16"/>
  <c r="X22" i="16"/>
  <c r="X14" i="16"/>
  <c r="X8" i="16"/>
  <c r="X7" i="16"/>
  <c r="X124" i="16"/>
  <c r="X115" i="16"/>
  <c r="X97" i="16"/>
  <c r="X88" i="16"/>
  <c r="X171" i="16"/>
  <c r="X162" i="16"/>
  <c r="X153" i="16"/>
  <c r="X144" i="16"/>
  <c r="X58" i="16"/>
  <c r="X55" i="16"/>
  <c r="X53" i="16"/>
  <c r="X46" i="16"/>
  <c r="X32" i="16"/>
  <c r="X26" i="16"/>
  <c r="X25" i="16"/>
  <c r="X20" i="16"/>
  <c r="X19" i="16"/>
  <c r="X17" i="16"/>
  <c r="X16" i="16"/>
  <c r="X13" i="16"/>
  <c r="X11" i="16"/>
  <c r="X10" i="16"/>
  <c r="X5" i="16"/>
  <c r="X4" i="16"/>
  <c r="X127" i="16"/>
  <c r="X142" i="16"/>
  <c r="X131" i="16"/>
  <c r="X66" i="16"/>
  <c r="X63" i="16"/>
  <c r="X60" i="16"/>
  <c r="X57" i="16"/>
  <c r="X54" i="16"/>
  <c r="X51" i="16"/>
  <c r="X48" i="16"/>
  <c r="X45" i="16"/>
  <c r="X42" i="16"/>
  <c r="X39" i="16"/>
  <c r="X36" i="16"/>
  <c r="X33" i="16"/>
  <c r="X30" i="16"/>
  <c r="X27" i="16"/>
  <c r="X24" i="16"/>
  <c r="X21" i="16"/>
  <c r="X18" i="16"/>
  <c r="X15" i="16"/>
  <c r="X12" i="16"/>
  <c r="X9" i="16"/>
  <c r="X6" i="16"/>
  <c r="X3" i="16"/>
  <c r="X119" i="16"/>
  <c r="X110" i="16"/>
  <c r="X101" i="16"/>
  <c r="X92" i="16"/>
  <c r="X83" i="16"/>
  <c r="X74" i="16"/>
  <c r="X167" i="16"/>
  <c r="X158" i="16"/>
  <c r="X149" i="16"/>
  <c r="X140" i="16"/>
  <c r="X106" i="16"/>
  <c r="X70" i="16"/>
  <c r="X179" i="24"/>
  <c r="X176" i="24"/>
  <c r="X173" i="24"/>
  <c r="X170" i="24"/>
  <c r="X167" i="24"/>
  <c r="X164" i="24"/>
  <c r="X161" i="24"/>
  <c r="X158" i="24"/>
  <c r="X155" i="24"/>
  <c r="X152" i="24"/>
  <c r="X149" i="24"/>
  <c r="X146" i="24"/>
  <c r="X143" i="24"/>
  <c r="X140" i="24"/>
  <c r="X180" i="24"/>
  <c r="X177" i="24"/>
  <c r="X174" i="24"/>
  <c r="X171" i="24"/>
  <c r="X168" i="24"/>
  <c r="X165" i="24"/>
  <c r="X162" i="24"/>
  <c r="X159" i="24"/>
  <c r="X156" i="24"/>
  <c r="X153" i="24"/>
  <c r="X150" i="24"/>
  <c r="X147" i="24"/>
  <c r="X144" i="24"/>
  <c r="X141" i="24"/>
  <c r="X181" i="24"/>
  <c r="X178" i="24"/>
  <c r="X175" i="24"/>
  <c r="X172" i="24"/>
  <c r="X169" i="24"/>
  <c r="X166" i="24"/>
  <c r="X163" i="24"/>
  <c r="X160" i="24"/>
  <c r="X157" i="24"/>
  <c r="X154" i="24"/>
  <c r="X151" i="24"/>
  <c r="X148" i="24"/>
  <c r="X145" i="24"/>
  <c r="X142" i="24"/>
  <c r="X127" i="24"/>
  <c r="X130" i="24"/>
  <c r="X139" i="24"/>
  <c r="X136" i="24"/>
  <c r="X133" i="24"/>
  <c r="X125" i="24"/>
  <c r="X117" i="24"/>
  <c r="X114" i="24"/>
  <c r="X111" i="24"/>
  <c r="X108" i="24"/>
  <c r="X105" i="24"/>
  <c r="X102" i="24"/>
  <c r="X99" i="24"/>
  <c r="X96" i="24"/>
  <c r="X93" i="24"/>
  <c r="X90" i="24"/>
  <c r="X87" i="24"/>
  <c r="X84" i="24"/>
  <c r="X81" i="24"/>
  <c r="X78" i="24"/>
  <c r="X75" i="24"/>
  <c r="X72" i="24"/>
  <c r="X69" i="24"/>
  <c r="X66" i="24"/>
  <c r="X63" i="24"/>
  <c r="X60" i="24"/>
  <c r="X57" i="24"/>
  <c r="X54" i="24"/>
  <c r="X51" i="24"/>
  <c r="X48" i="24"/>
  <c r="X45" i="24"/>
  <c r="X42" i="24"/>
  <c r="X39" i="24"/>
  <c r="X36" i="24"/>
  <c r="X33" i="24"/>
  <c r="X30" i="24"/>
  <c r="X120" i="24"/>
  <c r="X123" i="24"/>
  <c r="X131" i="24"/>
  <c r="X128" i="24"/>
  <c r="X137" i="24"/>
  <c r="X134" i="24"/>
  <c r="X115" i="24"/>
  <c r="X112" i="24"/>
  <c r="X109" i="24"/>
  <c r="X106" i="24"/>
  <c r="X103" i="24"/>
  <c r="X100" i="24"/>
  <c r="X97" i="24"/>
  <c r="X94" i="24"/>
  <c r="X91" i="24"/>
  <c r="X88" i="24"/>
  <c r="X85" i="24"/>
  <c r="X82" i="24"/>
  <c r="X79" i="24"/>
  <c r="X76" i="24"/>
  <c r="X73" i="24"/>
  <c r="X70" i="24"/>
  <c r="X67" i="24"/>
  <c r="X64" i="24"/>
  <c r="X61" i="24"/>
  <c r="X58" i="24"/>
  <c r="X55" i="24"/>
  <c r="X52" i="24"/>
  <c r="X49" i="24"/>
  <c r="X46" i="24"/>
  <c r="X43" i="24"/>
  <c r="X40" i="24"/>
  <c r="X37" i="24"/>
  <c r="X34" i="24"/>
  <c r="X31" i="24"/>
  <c r="X28" i="24"/>
  <c r="X126" i="24"/>
  <c r="X121" i="24"/>
  <c r="X118" i="24"/>
  <c r="X138" i="24"/>
  <c r="X135" i="24"/>
  <c r="X132" i="24"/>
  <c r="X116" i="24"/>
  <c r="X113" i="24"/>
  <c r="X110" i="24"/>
  <c r="X107" i="24"/>
  <c r="X104" i="24"/>
  <c r="X101" i="24"/>
  <c r="X98" i="24"/>
  <c r="X95" i="24"/>
  <c r="X92" i="24"/>
  <c r="X89" i="24"/>
  <c r="X86" i="24"/>
  <c r="X83" i="24"/>
  <c r="X80" i="24"/>
  <c r="X77" i="24"/>
  <c r="X74" i="24"/>
  <c r="X71" i="24"/>
  <c r="X68" i="24"/>
  <c r="X65" i="24"/>
  <c r="X62" i="24"/>
  <c r="X59" i="24"/>
  <c r="X56" i="24"/>
  <c r="X53" i="24"/>
  <c r="X44" i="24"/>
  <c r="X35" i="24"/>
  <c r="X25" i="24"/>
  <c r="X22" i="24"/>
  <c r="X19" i="24"/>
  <c r="X16" i="24"/>
  <c r="X13" i="24"/>
  <c r="X10" i="24"/>
  <c r="X7" i="24"/>
  <c r="X4" i="24"/>
  <c r="X122" i="24"/>
  <c r="X119" i="24"/>
  <c r="Y1" i="24"/>
  <c r="X47" i="24"/>
  <c r="X38" i="24"/>
  <c r="X29" i="24"/>
  <c r="X129" i="24"/>
  <c r="X124" i="24"/>
  <c r="X24" i="24"/>
  <c r="X15" i="24"/>
  <c r="X27" i="24"/>
  <c r="X18" i="24"/>
  <c r="X14" i="24"/>
  <c r="X5" i="24"/>
  <c r="X41" i="24"/>
  <c r="X12" i="24"/>
  <c r="X26" i="24"/>
  <c r="X23" i="24"/>
  <c r="X21" i="24"/>
  <c r="X17" i="24"/>
  <c r="X6" i="24"/>
  <c r="X32" i="24"/>
  <c r="X50" i="24"/>
  <c r="X9" i="24"/>
  <c r="X11" i="24"/>
  <c r="X20" i="24"/>
  <c r="X8" i="24"/>
  <c r="X3" i="24"/>
  <c r="W176" i="27"/>
  <c r="W173" i="27"/>
  <c r="W170" i="27"/>
  <c r="W167" i="27"/>
  <c r="W164" i="27"/>
  <c r="W161" i="27"/>
  <c r="W158" i="27"/>
  <c r="W155" i="27"/>
  <c r="W152" i="27"/>
  <c r="W149" i="27"/>
  <c r="W146" i="27"/>
  <c r="W174" i="27"/>
  <c r="W171" i="27"/>
  <c r="W168" i="27"/>
  <c r="W165" i="27"/>
  <c r="W162" i="27"/>
  <c r="W159" i="27"/>
  <c r="W156" i="27"/>
  <c r="W153" i="27"/>
  <c r="W150" i="27"/>
  <c r="W147" i="27"/>
  <c r="W175" i="27"/>
  <c r="W172" i="27"/>
  <c r="W169" i="27"/>
  <c r="W166" i="27"/>
  <c r="W163" i="27"/>
  <c r="W160" i="27"/>
  <c r="W157" i="27"/>
  <c r="W154" i="27"/>
  <c r="W151" i="27"/>
  <c r="W148" i="27"/>
  <c r="W145" i="27"/>
  <c r="W143" i="27"/>
  <c r="W140" i="27"/>
  <c r="W137" i="27"/>
  <c r="W134" i="27"/>
  <c r="W131" i="27"/>
  <c r="W128" i="27"/>
  <c r="W124" i="27"/>
  <c r="W115" i="27"/>
  <c r="W144" i="27"/>
  <c r="W141" i="27"/>
  <c r="W138" i="27"/>
  <c r="W135" i="27"/>
  <c r="W132" i="27"/>
  <c r="W129" i="27"/>
  <c r="W125" i="27"/>
  <c r="W116" i="27"/>
  <c r="W113" i="27"/>
  <c r="W142" i="27"/>
  <c r="W139" i="27"/>
  <c r="W136" i="27"/>
  <c r="W133" i="27"/>
  <c r="W130" i="27"/>
  <c r="W127" i="27"/>
  <c r="W123" i="27"/>
  <c r="W114" i="27"/>
  <c r="W110" i="27"/>
  <c r="W109" i="27"/>
  <c r="W106" i="27"/>
  <c r="W103" i="27"/>
  <c r="W100" i="27"/>
  <c r="W97" i="27"/>
  <c r="W94" i="27"/>
  <c r="W91" i="27"/>
  <c r="W88" i="27"/>
  <c r="W111" i="27"/>
  <c r="W107" i="27"/>
  <c r="W104" i="27"/>
  <c r="W101" i="27"/>
  <c r="W98" i="27"/>
  <c r="W95" i="27"/>
  <c r="W92" i="27"/>
  <c r="W108" i="27"/>
  <c r="W105" i="27"/>
  <c r="W102" i="27"/>
  <c r="W99" i="27"/>
  <c r="W96" i="27"/>
  <c r="W93" i="27"/>
  <c r="W90" i="27"/>
  <c r="W84" i="27"/>
  <c r="W81" i="27"/>
  <c r="W78" i="27"/>
  <c r="W75" i="27"/>
  <c r="W72" i="27"/>
  <c r="W69" i="27"/>
  <c r="W66" i="27"/>
  <c r="W87" i="27"/>
  <c r="W89" i="27"/>
  <c r="W85" i="27"/>
  <c r="W82" i="27"/>
  <c r="W79" i="27"/>
  <c r="W76" i="27"/>
  <c r="W73" i="27"/>
  <c r="W70" i="27"/>
  <c r="W67" i="27"/>
  <c r="W64" i="27"/>
  <c r="W61" i="27"/>
  <c r="W58" i="27"/>
  <c r="W55" i="27"/>
  <c r="W52" i="27"/>
  <c r="W49" i="27"/>
  <c r="W46" i="27"/>
  <c r="W43" i="27"/>
  <c r="W40" i="27"/>
  <c r="W37" i="27"/>
  <c r="W83" i="27"/>
  <c r="W74" i="27"/>
  <c r="W65" i="27"/>
  <c r="W62" i="27"/>
  <c r="W59" i="27"/>
  <c r="W56" i="27"/>
  <c r="W53" i="27"/>
  <c r="W50" i="27"/>
  <c r="W47" i="27"/>
  <c r="W44" i="27"/>
  <c r="W41" i="27"/>
  <c r="W38" i="27"/>
  <c r="W80" i="27"/>
  <c r="W71" i="27"/>
  <c r="W63" i="27"/>
  <c r="W60" i="27"/>
  <c r="W57" i="27"/>
  <c r="W54" i="27"/>
  <c r="W51" i="27"/>
  <c r="W48" i="27"/>
  <c r="W45" i="27"/>
  <c r="W42" i="27"/>
  <c r="W39" i="27"/>
  <c r="W77" i="27"/>
  <c r="W68" i="27"/>
  <c r="W86" i="27"/>
  <c r="W36" i="27"/>
  <c r="W33" i="27"/>
  <c r="W30" i="27"/>
  <c r="W27" i="27"/>
  <c r="W24" i="27"/>
  <c r="W21" i="27"/>
  <c r="W18" i="27"/>
  <c r="W15" i="27"/>
  <c r="W12" i="27"/>
  <c r="W34" i="27"/>
  <c r="W31" i="27"/>
  <c r="W28" i="27"/>
  <c r="W25" i="27"/>
  <c r="W22" i="27"/>
  <c r="W19" i="27"/>
  <c r="W16" i="27"/>
  <c r="W13" i="27"/>
  <c r="W35" i="27"/>
  <c r="W32" i="27"/>
  <c r="W29" i="27"/>
  <c r="W26" i="27"/>
  <c r="W23" i="27"/>
  <c r="W20" i="27"/>
  <c r="W17" i="27"/>
  <c r="W14" i="27"/>
  <c r="W11" i="27"/>
  <c r="W8" i="27"/>
  <c r="W5" i="27"/>
  <c r="W10" i="27"/>
  <c r="W9" i="27"/>
  <c r="W6" i="27"/>
  <c r="W3" i="27"/>
  <c r="W7" i="27"/>
  <c r="W4" i="27"/>
  <c r="X1" i="27"/>
  <c r="W189" i="19"/>
  <c r="W186" i="19"/>
  <c r="W183" i="19"/>
  <c r="W180" i="19"/>
  <c r="W177" i="19"/>
  <c r="W190" i="19"/>
  <c r="W181" i="19"/>
  <c r="W131" i="19"/>
  <c r="W128" i="19"/>
  <c r="W136" i="19"/>
  <c r="W139" i="19"/>
  <c r="W66" i="19"/>
  <c r="W63" i="19"/>
  <c r="W60" i="19"/>
  <c r="W57" i="19"/>
  <c r="W54" i="19"/>
  <c r="W51" i="19"/>
  <c r="W48" i="19"/>
  <c r="W45" i="19"/>
  <c r="W42" i="19"/>
  <c r="W39" i="19"/>
  <c r="W36" i="19"/>
  <c r="W33" i="19"/>
  <c r="W30" i="19"/>
  <c r="W27" i="19"/>
  <c r="W24" i="19"/>
  <c r="W21" i="19"/>
  <c r="W18" i="19"/>
  <c r="W15" i="19"/>
  <c r="W12" i="19"/>
  <c r="W9" i="19"/>
  <c r="W6" i="19"/>
  <c r="W3" i="19"/>
  <c r="W188" i="19"/>
  <c r="W179" i="19"/>
  <c r="W172" i="19"/>
  <c r="W169" i="19"/>
  <c r="W166" i="19"/>
  <c r="W163" i="19"/>
  <c r="W160" i="19"/>
  <c r="W157" i="19"/>
  <c r="W154" i="19"/>
  <c r="W151" i="19"/>
  <c r="W148" i="19"/>
  <c r="W145" i="19"/>
  <c r="W142" i="19"/>
  <c r="W134" i="19"/>
  <c r="W126" i="19"/>
  <c r="W123" i="19"/>
  <c r="W120" i="19"/>
  <c r="W117" i="19"/>
  <c r="W114" i="19"/>
  <c r="W111" i="19"/>
  <c r="W108" i="19"/>
  <c r="W105" i="19"/>
  <c r="W102" i="19"/>
  <c r="W99" i="19"/>
  <c r="W96" i="19"/>
  <c r="W93" i="19"/>
  <c r="W90" i="19"/>
  <c r="W87" i="19"/>
  <c r="W84" i="19"/>
  <c r="W81" i="19"/>
  <c r="W78" i="19"/>
  <c r="W75" i="19"/>
  <c r="W72" i="19"/>
  <c r="W69" i="19"/>
  <c r="W185" i="19"/>
  <c r="W176" i="19"/>
  <c r="W173" i="19"/>
  <c r="W170" i="19"/>
  <c r="W167" i="19"/>
  <c r="W164" i="19"/>
  <c r="W161" i="19"/>
  <c r="W158" i="19"/>
  <c r="W155" i="19"/>
  <c r="W152" i="19"/>
  <c r="W149" i="19"/>
  <c r="W146" i="19"/>
  <c r="W143" i="19"/>
  <c r="W124" i="19"/>
  <c r="W121" i="19"/>
  <c r="W118" i="19"/>
  <c r="W115" i="19"/>
  <c r="W112" i="19"/>
  <c r="W109" i="19"/>
  <c r="W106" i="19"/>
  <c r="W103" i="19"/>
  <c r="W100" i="19"/>
  <c r="W97" i="19"/>
  <c r="W94" i="19"/>
  <c r="W91" i="19"/>
  <c r="W88" i="19"/>
  <c r="W85" i="19"/>
  <c r="W82" i="19"/>
  <c r="W79" i="19"/>
  <c r="W76" i="19"/>
  <c r="W73" i="19"/>
  <c r="W70" i="19"/>
  <c r="W171" i="19"/>
  <c r="W162" i="19"/>
  <c r="W153" i="19"/>
  <c r="W144" i="19"/>
  <c r="W127" i="19"/>
  <c r="W187" i="19"/>
  <c r="W184" i="19"/>
  <c r="W140" i="19"/>
  <c r="W62" i="19"/>
  <c r="W53" i="19"/>
  <c r="W44" i="19"/>
  <c r="W35" i="19"/>
  <c r="W125" i="19"/>
  <c r="W116" i="19"/>
  <c r="W107" i="19"/>
  <c r="W98" i="19"/>
  <c r="W89" i="19"/>
  <c r="W80" i="19"/>
  <c r="W71" i="19"/>
  <c r="W138" i="19"/>
  <c r="W132" i="19"/>
  <c r="W67" i="19"/>
  <c r="W58" i="19"/>
  <c r="W49" i="19"/>
  <c r="W40" i="19"/>
  <c r="W65" i="19"/>
  <c r="W56" i="19"/>
  <c r="W47" i="19"/>
  <c r="W38" i="19"/>
  <c r="W29" i="19"/>
  <c r="W20" i="19"/>
  <c r="W11" i="19"/>
  <c r="W182" i="19"/>
  <c r="W119" i="19"/>
  <c r="W110" i="19"/>
  <c r="W101" i="19"/>
  <c r="W92" i="19"/>
  <c r="W83" i="19"/>
  <c r="W74" i="19"/>
  <c r="W168" i="19"/>
  <c r="W159" i="19"/>
  <c r="W150" i="19"/>
  <c r="W141" i="19"/>
  <c r="W113" i="19"/>
  <c r="W175" i="19"/>
  <c r="W77" i="19"/>
  <c r="W37" i="19"/>
  <c r="W22" i="19"/>
  <c r="W165" i="19"/>
  <c r="W137" i="19"/>
  <c r="W86" i="19"/>
  <c r="W13" i="19"/>
  <c r="W174" i="19"/>
  <c r="W95" i="19"/>
  <c r="W4" i="19"/>
  <c r="W156" i="19"/>
  <c r="W55" i="19"/>
  <c r="W41" i="19"/>
  <c r="W5" i="19"/>
  <c r="W147" i="19"/>
  <c r="W64" i="19"/>
  <c r="W50" i="19"/>
  <c r="W28" i="19"/>
  <c r="W23" i="19"/>
  <c r="W10" i="19"/>
  <c r="W129" i="19"/>
  <c r="W43" i="19"/>
  <c r="W31" i="19"/>
  <c r="W59" i="19"/>
  <c r="W52" i="19"/>
  <c r="W26" i="19"/>
  <c r="W8" i="19"/>
  <c r="W61" i="19"/>
  <c r="W16" i="19"/>
  <c r="W68" i="19"/>
  <c r="W34" i="19"/>
  <c r="W178" i="19"/>
  <c r="W133" i="19"/>
  <c r="W130" i="19"/>
  <c r="W17" i="19"/>
  <c r="W122" i="19"/>
  <c r="W25" i="19"/>
  <c r="W135" i="19"/>
  <c r="W104" i="19"/>
  <c r="W7" i="19"/>
  <c r="X1" i="19"/>
  <c r="W19" i="19"/>
  <c r="W14" i="19"/>
  <c r="W46" i="19"/>
  <c r="W32" i="19"/>
  <c r="W134" i="23"/>
  <c r="W185" i="23"/>
  <c r="W182" i="23"/>
  <c r="W179" i="23"/>
  <c r="W176" i="23"/>
  <c r="W173" i="23"/>
  <c r="W170" i="23"/>
  <c r="W167" i="23"/>
  <c r="W164" i="23"/>
  <c r="W161" i="23"/>
  <c r="W158" i="23"/>
  <c r="W155" i="23"/>
  <c r="W152" i="23"/>
  <c r="W149" i="23"/>
  <c r="W146" i="23"/>
  <c r="W143" i="23"/>
  <c r="W140" i="23"/>
  <c r="W137" i="23"/>
  <c r="W129" i="23"/>
  <c r="W121" i="23"/>
  <c r="W118" i="23"/>
  <c r="W124" i="23"/>
  <c r="W127" i="23"/>
  <c r="W135" i="23"/>
  <c r="W132" i="23"/>
  <c r="W130" i="23"/>
  <c r="W125" i="23"/>
  <c r="W122" i="23"/>
  <c r="W126" i="23"/>
  <c r="W123" i="23"/>
  <c r="W180" i="23"/>
  <c r="W171" i="23"/>
  <c r="W162" i="23"/>
  <c r="W153" i="23"/>
  <c r="W144" i="23"/>
  <c r="W184" i="23"/>
  <c r="W175" i="23"/>
  <c r="W166" i="23"/>
  <c r="W157" i="23"/>
  <c r="W148" i="23"/>
  <c r="W139" i="23"/>
  <c r="W177" i="23"/>
  <c r="W168" i="23"/>
  <c r="W159" i="23"/>
  <c r="W150" i="23"/>
  <c r="W141" i="23"/>
  <c r="W178" i="23"/>
  <c r="W169" i="23"/>
  <c r="W160" i="23"/>
  <c r="W151" i="23"/>
  <c r="W142" i="23"/>
  <c r="W172" i="23"/>
  <c r="W145" i="23"/>
  <c r="W109" i="23"/>
  <c r="W92" i="23"/>
  <c r="W163" i="23"/>
  <c r="W136" i="23"/>
  <c r="W131" i="23"/>
  <c r="W120" i="23"/>
  <c r="W115" i="23"/>
  <c r="W106" i="23"/>
  <c r="W183" i="23"/>
  <c r="W156" i="23"/>
  <c r="W116" i="23"/>
  <c r="W107" i="23"/>
  <c r="W147" i="23"/>
  <c r="W97" i="23"/>
  <c r="W94" i="23"/>
  <c r="W119" i="23"/>
  <c r="W105" i="23"/>
  <c r="W104" i="23"/>
  <c r="W103" i="23"/>
  <c r="W93" i="23"/>
  <c r="W91" i="23"/>
  <c r="W138" i="23"/>
  <c r="W102" i="23"/>
  <c r="W100" i="23"/>
  <c r="W86" i="23"/>
  <c r="W95" i="23"/>
  <c r="W90" i="23"/>
  <c r="W82" i="23"/>
  <c r="W79" i="23"/>
  <c r="W76" i="23"/>
  <c r="W73" i="23"/>
  <c r="W70" i="23"/>
  <c r="W67" i="23"/>
  <c r="W64" i="23"/>
  <c r="W61" i="23"/>
  <c r="W58" i="23"/>
  <c r="W55" i="23"/>
  <c r="W52" i="23"/>
  <c r="W49" i="23"/>
  <c r="W98" i="23"/>
  <c r="W85" i="23"/>
  <c r="W165" i="23"/>
  <c r="W117" i="23"/>
  <c r="W101" i="23"/>
  <c r="W84" i="23"/>
  <c r="W80" i="23"/>
  <c r="W77" i="23"/>
  <c r="W74" i="23"/>
  <c r="W71" i="23"/>
  <c r="W68" i="23"/>
  <c r="W65" i="23"/>
  <c r="W62" i="23"/>
  <c r="W59" i="23"/>
  <c r="W56" i="23"/>
  <c r="W53" i="23"/>
  <c r="W50" i="23"/>
  <c r="W96" i="23"/>
  <c r="W88" i="23"/>
  <c r="W181" i="23"/>
  <c r="W154" i="23"/>
  <c r="W114" i="23"/>
  <c r="W113" i="23"/>
  <c r="W112" i="23"/>
  <c r="W99" i="23"/>
  <c r="W174" i="23"/>
  <c r="W133" i="23"/>
  <c r="W111" i="23"/>
  <c r="W83" i="23"/>
  <c r="W46" i="23"/>
  <c r="W43" i="23"/>
  <c r="W40" i="23"/>
  <c r="W37" i="23"/>
  <c r="W34" i="23"/>
  <c r="W31" i="23"/>
  <c r="W28" i="23"/>
  <c r="W25" i="23"/>
  <c r="W22" i="23"/>
  <c r="W19" i="23"/>
  <c r="W16" i="23"/>
  <c r="W13" i="23"/>
  <c r="W10" i="23"/>
  <c r="W7" i="23"/>
  <c r="W4" i="23"/>
  <c r="W89" i="23"/>
  <c r="W57" i="23"/>
  <c r="W51" i="23"/>
  <c r="X1" i="23"/>
  <c r="W108" i="23"/>
  <c r="W81" i="23"/>
  <c r="W72" i="23"/>
  <c r="W47" i="23"/>
  <c r="W44" i="23"/>
  <c r="W41" i="23"/>
  <c r="W38" i="23"/>
  <c r="W35" i="23"/>
  <c r="W32" i="23"/>
  <c r="W29" i="23"/>
  <c r="W26" i="23"/>
  <c r="W23" i="23"/>
  <c r="W20" i="23"/>
  <c r="W17" i="23"/>
  <c r="W14" i="23"/>
  <c r="W11" i="23"/>
  <c r="W8" i="23"/>
  <c r="W5" i="23"/>
  <c r="W60" i="23"/>
  <c r="W78" i="23"/>
  <c r="W69" i="23"/>
  <c r="W48" i="23"/>
  <c r="W128" i="23"/>
  <c r="W63" i="23"/>
  <c r="W54" i="23"/>
  <c r="W42" i="23"/>
  <c r="W33" i="23"/>
  <c r="W24" i="23"/>
  <c r="W15" i="23"/>
  <c r="W6" i="23"/>
  <c r="W75" i="23"/>
  <c r="W110" i="23"/>
  <c r="W87" i="23"/>
  <c r="W39" i="23"/>
  <c r="W30" i="23"/>
  <c r="W21" i="23"/>
  <c r="W12" i="23"/>
  <c r="W3" i="23"/>
  <c r="W45" i="23"/>
  <c r="W36" i="23"/>
  <c r="W27" i="23"/>
  <c r="W18" i="23"/>
  <c r="W9" i="23"/>
  <c r="W66" i="23"/>
  <c r="X179" i="25"/>
  <c r="X132" i="25"/>
  <c r="X133" i="25"/>
  <c r="X130" i="25"/>
  <c r="X114" i="25"/>
  <c r="X111" i="25"/>
  <c r="X108" i="25"/>
  <c r="X105" i="25"/>
  <c r="X102" i="25"/>
  <c r="X99" i="25"/>
  <c r="X178" i="25"/>
  <c r="X177" i="25"/>
  <c r="X121" i="25"/>
  <c r="X175" i="25"/>
  <c r="X155" i="25"/>
  <c r="X146" i="25"/>
  <c r="X161" i="25"/>
  <c r="X158" i="25"/>
  <c r="X135" i="25"/>
  <c r="X98" i="25"/>
  <c r="X164" i="25"/>
  <c r="X150" i="25"/>
  <c r="X143" i="25"/>
  <c r="X139" i="25"/>
  <c r="X134" i="25"/>
  <c r="X170" i="25"/>
  <c r="X167" i="25"/>
  <c r="X173" i="25"/>
  <c r="X159" i="25"/>
  <c r="X156" i="25"/>
  <c r="X136" i="25"/>
  <c r="X119" i="25"/>
  <c r="X118" i="25"/>
  <c r="X116" i="25"/>
  <c r="X176" i="25"/>
  <c r="X162" i="25"/>
  <c r="X144" i="25"/>
  <c r="X131" i="25"/>
  <c r="X127" i="25"/>
  <c r="X122" i="25"/>
  <c r="X101" i="25"/>
  <c r="X168" i="25"/>
  <c r="X165" i="25"/>
  <c r="X151" i="25"/>
  <c r="X148" i="25"/>
  <c r="X140" i="25"/>
  <c r="X171" i="25"/>
  <c r="X154" i="25"/>
  <c r="X163" i="25"/>
  <c r="X94" i="25"/>
  <c r="X90" i="25"/>
  <c r="X85" i="25"/>
  <c r="X81" i="25"/>
  <c r="X76" i="25"/>
  <c r="X172" i="25"/>
  <c r="X152" i="25"/>
  <c r="X128" i="25"/>
  <c r="X110" i="25"/>
  <c r="X141" i="25"/>
  <c r="X95" i="25"/>
  <c r="X86" i="25"/>
  <c r="X77" i="25"/>
  <c r="X72" i="25"/>
  <c r="X68" i="25"/>
  <c r="X65" i="25"/>
  <c r="X62" i="25"/>
  <c r="X59" i="25"/>
  <c r="X56" i="25"/>
  <c r="X53" i="25"/>
  <c r="X50" i="25"/>
  <c r="X47" i="25"/>
  <c r="X109" i="25"/>
  <c r="X106" i="25"/>
  <c r="X103" i="25"/>
  <c r="X166" i="25"/>
  <c r="X138" i="25"/>
  <c r="X129" i="25"/>
  <c r="X96" i="25"/>
  <c r="X91" i="25"/>
  <c r="X87" i="25"/>
  <c r="X82" i="25"/>
  <c r="X78" i="25"/>
  <c r="X147" i="25"/>
  <c r="X120" i="25"/>
  <c r="X117" i="25"/>
  <c r="X115" i="25"/>
  <c r="X100" i="25"/>
  <c r="X174" i="25"/>
  <c r="X123" i="25"/>
  <c r="X92" i="25"/>
  <c r="X83" i="25"/>
  <c r="X69" i="25"/>
  <c r="X66" i="25"/>
  <c r="X63" i="25"/>
  <c r="X60" i="25"/>
  <c r="X57" i="25"/>
  <c r="X54" i="25"/>
  <c r="X51" i="25"/>
  <c r="X48" i="25"/>
  <c r="X45" i="25"/>
  <c r="X125" i="25"/>
  <c r="X89" i="25"/>
  <c r="X80" i="25"/>
  <c r="X70" i="25"/>
  <c r="X67" i="25"/>
  <c r="X64" i="25"/>
  <c r="X61" i="25"/>
  <c r="X58" i="25"/>
  <c r="X55" i="25"/>
  <c r="X52" i="25"/>
  <c r="X49" i="25"/>
  <c r="X46" i="25"/>
  <c r="X43" i="25"/>
  <c r="X145" i="25"/>
  <c r="X97" i="25"/>
  <c r="X74" i="25"/>
  <c r="X44" i="25"/>
  <c r="X124" i="25"/>
  <c r="X75" i="25"/>
  <c r="X42" i="25"/>
  <c r="X40" i="25"/>
  <c r="X37" i="25"/>
  <c r="X34" i="25"/>
  <c r="X31" i="25"/>
  <c r="X28" i="25"/>
  <c r="X25" i="25"/>
  <c r="X22" i="25"/>
  <c r="X19" i="25"/>
  <c r="X16" i="25"/>
  <c r="X13" i="25"/>
  <c r="X10" i="25"/>
  <c r="X93" i="25"/>
  <c r="X79" i="25"/>
  <c r="X73" i="25"/>
  <c r="X153" i="25"/>
  <c r="X112" i="25"/>
  <c r="X71" i="25"/>
  <c r="X142" i="25"/>
  <c r="X107" i="25"/>
  <c r="X84" i="25"/>
  <c r="X41" i="25"/>
  <c r="X38" i="25"/>
  <c r="X35" i="25"/>
  <c r="X32" i="25"/>
  <c r="X29" i="25"/>
  <c r="X26" i="25"/>
  <c r="X23" i="25"/>
  <c r="X20" i="25"/>
  <c r="X17" i="25"/>
  <c r="X14" i="25"/>
  <c r="X11" i="25"/>
  <c r="X8" i="25"/>
  <c r="X88" i="25"/>
  <c r="X157" i="25"/>
  <c r="X137" i="25"/>
  <c r="X113" i="25"/>
  <c r="X39" i="25"/>
  <c r="X36" i="25"/>
  <c r="X33" i="25"/>
  <c r="X30" i="25"/>
  <c r="X27" i="25"/>
  <c r="X24" i="25"/>
  <c r="X21" i="25"/>
  <c r="X18" i="25"/>
  <c r="X15" i="25"/>
  <c r="X12" i="25"/>
  <c r="X9" i="25"/>
  <c r="Y1" i="25"/>
  <c r="X169" i="25"/>
  <c r="X5" i="25"/>
  <c r="X160" i="25"/>
  <c r="X6" i="25"/>
  <c r="X3" i="25"/>
  <c r="X149" i="25"/>
  <c r="X126" i="25"/>
  <c r="X4" i="25"/>
  <c r="X7" i="25"/>
  <c r="X104" i="25"/>
  <c r="Z183" i="22"/>
  <c r="Z180" i="22"/>
  <c r="Z177" i="22"/>
  <c r="Z174" i="22"/>
  <c r="Z171" i="22"/>
  <c r="Z168" i="22"/>
  <c r="Z165" i="22"/>
  <c r="Z162" i="22"/>
  <c r="Z159" i="22"/>
  <c r="Z156" i="22"/>
  <c r="Z153" i="22"/>
  <c r="Z150" i="22"/>
  <c r="Z147" i="22"/>
  <c r="Z144" i="22"/>
  <c r="Z141" i="22"/>
  <c r="Z138" i="22"/>
  <c r="Z119" i="22"/>
  <c r="Z130" i="22"/>
  <c r="Z125" i="22"/>
  <c r="Z122" i="22"/>
  <c r="Z133" i="22"/>
  <c r="Z128" i="22"/>
  <c r="Z184" i="22"/>
  <c r="Z181" i="22"/>
  <c r="Z178" i="22"/>
  <c r="Z175" i="22"/>
  <c r="Z172" i="22"/>
  <c r="Z169" i="22"/>
  <c r="Z166" i="22"/>
  <c r="Z163" i="22"/>
  <c r="Z160" i="22"/>
  <c r="Z157" i="22"/>
  <c r="Z154" i="22"/>
  <c r="Z151" i="22"/>
  <c r="Z148" i="22"/>
  <c r="Z145" i="22"/>
  <c r="Z142" i="22"/>
  <c r="Z139" i="22"/>
  <c r="Z136" i="22"/>
  <c r="Z120" i="22"/>
  <c r="Z126" i="22"/>
  <c r="Z123" i="22"/>
  <c r="Z131" i="22"/>
  <c r="Z134" i="22"/>
  <c r="Z124" i="22"/>
  <c r="Z127" i="22"/>
  <c r="Z179" i="22"/>
  <c r="Z170" i="22"/>
  <c r="Z161" i="22"/>
  <c r="Z152" i="22"/>
  <c r="Z143" i="22"/>
  <c r="Z118" i="22"/>
  <c r="Z115" i="22"/>
  <c r="Z112" i="22"/>
  <c r="Z109" i="22"/>
  <c r="Z106" i="22"/>
  <c r="Z103" i="22"/>
  <c r="Z100" i="22"/>
  <c r="Z97" i="22"/>
  <c r="Z94" i="22"/>
  <c r="Z91" i="22"/>
  <c r="Z88" i="22"/>
  <c r="Z85" i="22"/>
  <c r="Z82" i="22"/>
  <c r="Z79" i="22"/>
  <c r="Z76" i="22"/>
  <c r="Z73" i="22"/>
  <c r="Z70" i="22"/>
  <c r="Z67" i="22"/>
  <c r="Z64" i="22"/>
  <c r="Z61" i="22"/>
  <c r="Z58" i="22"/>
  <c r="Z55" i="22"/>
  <c r="Z52" i="22"/>
  <c r="Z49" i="22"/>
  <c r="Z46" i="22"/>
  <c r="Z43" i="22"/>
  <c r="Z40" i="22"/>
  <c r="Z37" i="22"/>
  <c r="Z34" i="22"/>
  <c r="Z31" i="22"/>
  <c r="Z28" i="22"/>
  <c r="Z25" i="22"/>
  <c r="Z22" i="22"/>
  <c r="Z19" i="22"/>
  <c r="Z16" i="22"/>
  <c r="Z13" i="22"/>
  <c r="Z185" i="22"/>
  <c r="Z176" i="22"/>
  <c r="Z167" i="22"/>
  <c r="Z158" i="22"/>
  <c r="Z149" i="22"/>
  <c r="Z140" i="22"/>
  <c r="Z116" i="22"/>
  <c r="Z113" i="22"/>
  <c r="Z110" i="22"/>
  <c r="Z107" i="22"/>
  <c r="Z104" i="22"/>
  <c r="Z101" i="22"/>
  <c r="Z98" i="22"/>
  <c r="Z95" i="22"/>
  <c r="Z92" i="22"/>
  <c r="Z89" i="22"/>
  <c r="Z86" i="22"/>
  <c r="Z83" i="22"/>
  <c r="Z80" i="22"/>
  <c r="Z77" i="22"/>
  <c r="Z74" i="22"/>
  <c r="Z71" i="22"/>
  <c r="Z68" i="22"/>
  <c r="Z65" i="22"/>
  <c r="Z62" i="22"/>
  <c r="Z59" i="22"/>
  <c r="Z56" i="22"/>
  <c r="Z53" i="22"/>
  <c r="Z50" i="22"/>
  <c r="Z47" i="22"/>
  <c r="Z44" i="22"/>
  <c r="Z41" i="22"/>
  <c r="Z38" i="22"/>
  <c r="Z35" i="22"/>
  <c r="Z32" i="22"/>
  <c r="Z29" i="22"/>
  <c r="Z26" i="22"/>
  <c r="Z23" i="22"/>
  <c r="Z20" i="22"/>
  <c r="Z17" i="22"/>
  <c r="Z14" i="22"/>
  <c r="Z11" i="22"/>
  <c r="Z135" i="22"/>
  <c r="Z182" i="22"/>
  <c r="Z173" i="22"/>
  <c r="Z164" i="22"/>
  <c r="Z155" i="22"/>
  <c r="Z146" i="22"/>
  <c r="Z137" i="22"/>
  <c r="Z121" i="22"/>
  <c r="Z117" i="22"/>
  <c r="Z114" i="22"/>
  <c r="Z111" i="22"/>
  <c r="Z108" i="22"/>
  <c r="Z105" i="22"/>
  <c r="Z102" i="22"/>
  <c r="Z99" i="22"/>
  <c r="Z96" i="22"/>
  <c r="Z93" i="22"/>
  <c r="Z90" i="22"/>
  <c r="Z87" i="22"/>
  <c r="Z84" i="22"/>
  <c r="Z81" i="22"/>
  <c r="Z78" i="22"/>
  <c r="Z75" i="22"/>
  <c r="Z72" i="22"/>
  <c r="Z69" i="22"/>
  <c r="Z66" i="22"/>
  <c r="Z63" i="22"/>
  <c r="Z60" i="22"/>
  <c r="Z57" i="22"/>
  <c r="Z54" i="22"/>
  <c r="Z51" i="22"/>
  <c r="Z48" i="22"/>
  <c r="Z45" i="22"/>
  <c r="Z42" i="22"/>
  <c r="Z39" i="22"/>
  <c r="Z36" i="22"/>
  <c r="Z33" i="22"/>
  <c r="Z30" i="22"/>
  <c r="Z27" i="22"/>
  <c r="Z24" i="22"/>
  <c r="Z21" i="22"/>
  <c r="Z18" i="22"/>
  <c r="Z15" i="22"/>
  <c r="Z12" i="22"/>
  <c r="Z132" i="22"/>
  <c r="Z9" i="22"/>
  <c r="Z6" i="22"/>
  <c r="Z3" i="22"/>
  <c r="Z129" i="22"/>
  <c r="Z10" i="22"/>
  <c r="Z7" i="22"/>
  <c r="Z4" i="22"/>
  <c r="AA1" i="22"/>
  <c r="Z8" i="22"/>
  <c r="Z5" i="22"/>
  <c r="X174" i="27" l="1"/>
  <c r="X171" i="27"/>
  <c r="X168" i="27"/>
  <c r="X165" i="27"/>
  <c r="X162" i="27"/>
  <c r="X159" i="27"/>
  <c r="X156" i="27"/>
  <c r="X153" i="27"/>
  <c r="X150" i="27"/>
  <c r="X147" i="27"/>
  <c r="X175" i="27"/>
  <c r="X172" i="27"/>
  <c r="X169" i="27"/>
  <c r="X166" i="27"/>
  <c r="X163" i="27"/>
  <c r="X160" i="27"/>
  <c r="X157" i="27"/>
  <c r="X154" i="27"/>
  <c r="X151" i="27"/>
  <c r="X148" i="27"/>
  <c r="X145" i="27"/>
  <c r="X176" i="27"/>
  <c r="X167" i="27"/>
  <c r="X158" i="27"/>
  <c r="X149" i="27"/>
  <c r="X143" i="27"/>
  <c r="X140" i="27"/>
  <c r="X137" i="27"/>
  <c r="X134" i="27"/>
  <c r="X131" i="27"/>
  <c r="X128" i="27"/>
  <c r="X124" i="27"/>
  <c r="X115" i="27"/>
  <c r="X111" i="27"/>
  <c r="X173" i="27"/>
  <c r="X164" i="27"/>
  <c r="X155" i="27"/>
  <c r="X146" i="27"/>
  <c r="X144" i="27"/>
  <c r="X141" i="27"/>
  <c r="X138" i="27"/>
  <c r="X135" i="27"/>
  <c r="X132" i="27"/>
  <c r="X129" i="27"/>
  <c r="X125" i="27"/>
  <c r="X116" i="27"/>
  <c r="X113" i="27"/>
  <c r="X109" i="27"/>
  <c r="X106" i="27"/>
  <c r="X103" i="27"/>
  <c r="X100" i="27"/>
  <c r="X97" i="27"/>
  <c r="X94" i="27"/>
  <c r="X91" i="27"/>
  <c r="X88" i="27"/>
  <c r="X142" i="27"/>
  <c r="X139" i="27"/>
  <c r="X136" i="27"/>
  <c r="X133" i="27"/>
  <c r="X130" i="27"/>
  <c r="X127" i="27"/>
  <c r="X123" i="27"/>
  <c r="X114" i="27"/>
  <c r="X107" i="27"/>
  <c r="X104" i="27"/>
  <c r="X101" i="27"/>
  <c r="X98" i="27"/>
  <c r="X95" i="27"/>
  <c r="X92" i="27"/>
  <c r="X89" i="27"/>
  <c r="X86" i="27"/>
  <c r="X87" i="27"/>
  <c r="X170" i="27"/>
  <c r="X85" i="27"/>
  <c r="X82" i="27"/>
  <c r="X79" i="27"/>
  <c r="X76" i="27"/>
  <c r="X73" i="27"/>
  <c r="X70" i="27"/>
  <c r="X67" i="27"/>
  <c r="X64" i="27"/>
  <c r="X161" i="27"/>
  <c r="X110" i="27"/>
  <c r="X152" i="27"/>
  <c r="X83" i="27"/>
  <c r="X80" i="27"/>
  <c r="X77" i="27"/>
  <c r="X74" i="27"/>
  <c r="X71" i="27"/>
  <c r="X68" i="27"/>
  <c r="X65" i="27"/>
  <c r="X84" i="27"/>
  <c r="X81" i="27"/>
  <c r="X78" i="27"/>
  <c r="X75" i="27"/>
  <c r="X72" i="27"/>
  <c r="X69" i="27"/>
  <c r="X66" i="27"/>
  <c r="X108" i="27"/>
  <c r="X99" i="27"/>
  <c r="X90" i="27"/>
  <c r="X62" i="27"/>
  <c r="X59" i="27"/>
  <c r="X56" i="27"/>
  <c r="X53" i="27"/>
  <c r="X50" i="27"/>
  <c r="X47" i="27"/>
  <c r="X44" i="27"/>
  <c r="X41" i="27"/>
  <c r="X38" i="27"/>
  <c r="X105" i="27"/>
  <c r="X96" i="27"/>
  <c r="X102" i="27"/>
  <c r="X93" i="27"/>
  <c r="X61" i="27"/>
  <c r="X58" i="27"/>
  <c r="X55" i="27"/>
  <c r="X52" i="27"/>
  <c r="X49" i="27"/>
  <c r="X46" i="27"/>
  <c r="X43" i="27"/>
  <c r="X40" i="27"/>
  <c r="X57" i="27"/>
  <c r="X48" i="27"/>
  <c r="X39" i="27"/>
  <c r="X37" i="27"/>
  <c r="X36" i="27"/>
  <c r="X33" i="27"/>
  <c r="X30" i="27"/>
  <c r="X27" i="27"/>
  <c r="X24" i="27"/>
  <c r="X21" i="27"/>
  <c r="X18" i="27"/>
  <c r="X15" i="27"/>
  <c r="X12" i="27"/>
  <c r="X63" i="27"/>
  <c r="X54" i="27"/>
  <c r="X45" i="27"/>
  <c r="X34" i="27"/>
  <c r="X31" i="27"/>
  <c r="X28" i="27"/>
  <c r="X25" i="27"/>
  <c r="X22" i="27"/>
  <c r="X19" i="27"/>
  <c r="X16" i="27"/>
  <c r="X13" i="27"/>
  <c r="X10" i="27"/>
  <c r="X60" i="27"/>
  <c r="X51" i="27"/>
  <c r="X42" i="27"/>
  <c r="X8" i="27"/>
  <c r="X5" i="27"/>
  <c r="X35" i="27"/>
  <c r="X26" i="27"/>
  <c r="X17" i="27"/>
  <c r="X9" i="27"/>
  <c r="X6" i="27"/>
  <c r="X3" i="27"/>
  <c r="X32" i="27"/>
  <c r="X23" i="27"/>
  <c r="X14" i="27"/>
  <c r="X7" i="27"/>
  <c r="X4" i="27"/>
  <c r="X29" i="27"/>
  <c r="X20" i="27"/>
  <c r="X11" i="27"/>
  <c r="Y1" i="27"/>
  <c r="Y179" i="24"/>
  <c r="Y176" i="24"/>
  <c r="Y173" i="24"/>
  <c r="Y170" i="24"/>
  <c r="Y167" i="24"/>
  <c r="Y164" i="24"/>
  <c r="Y161" i="24"/>
  <c r="Y158" i="24"/>
  <c r="Y155" i="24"/>
  <c r="Y152" i="24"/>
  <c r="Y149" i="24"/>
  <c r="Y146" i="24"/>
  <c r="Y143" i="24"/>
  <c r="Y140" i="24"/>
  <c r="Y180" i="24"/>
  <c r="Y177" i="24"/>
  <c r="Y174" i="24"/>
  <c r="Y171" i="24"/>
  <c r="Y168" i="24"/>
  <c r="Y165" i="24"/>
  <c r="Y162" i="24"/>
  <c r="Y159" i="24"/>
  <c r="Y156" i="24"/>
  <c r="Y153" i="24"/>
  <c r="Y150" i="24"/>
  <c r="Y147" i="24"/>
  <c r="Y144" i="24"/>
  <c r="Y141" i="24"/>
  <c r="Y130" i="24"/>
  <c r="Y139" i="24"/>
  <c r="Y136" i="24"/>
  <c r="Y133" i="24"/>
  <c r="Y125" i="24"/>
  <c r="Y117" i="24"/>
  <c r="Y114" i="24"/>
  <c r="Y111" i="24"/>
  <c r="Y108" i="24"/>
  <c r="Y105" i="24"/>
  <c r="Y102" i="24"/>
  <c r="Y99" i="24"/>
  <c r="Y96" i="24"/>
  <c r="Y93" i="24"/>
  <c r="Y90" i="24"/>
  <c r="Y87" i="24"/>
  <c r="Y84" i="24"/>
  <c r="Y81" i="24"/>
  <c r="Y78" i="24"/>
  <c r="Y75" i="24"/>
  <c r="Y72" i="24"/>
  <c r="Y69" i="24"/>
  <c r="Y66" i="24"/>
  <c r="Y63" i="24"/>
  <c r="Y60" i="24"/>
  <c r="Y57" i="24"/>
  <c r="Y54" i="24"/>
  <c r="Y51" i="24"/>
  <c r="Y48" i="24"/>
  <c r="Y45" i="24"/>
  <c r="Y42" i="24"/>
  <c r="Y39" i="24"/>
  <c r="Y36" i="24"/>
  <c r="Y33" i="24"/>
  <c r="Y30" i="24"/>
  <c r="Y120" i="24"/>
  <c r="Y123" i="24"/>
  <c r="Y131" i="24"/>
  <c r="Y128" i="24"/>
  <c r="Y137" i="24"/>
  <c r="Y134" i="24"/>
  <c r="Y115" i="24"/>
  <c r="Y112" i="24"/>
  <c r="Y109" i="24"/>
  <c r="Y106" i="24"/>
  <c r="Y103" i="24"/>
  <c r="Y100" i="24"/>
  <c r="Y97" i="24"/>
  <c r="Y94" i="24"/>
  <c r="Y91" i="24"/>
  <c r="Y88" i="24"/>
  <c r="Y85" i="24"/>
  <c r="Y82" i="24"/>
  <c r="Y79" i="24"/>
  <c r="Y76" i="24"/>
  <c r="Y73" i="24"/>
  <c r="Y70" i="24"/>
  <c r="Y67" i="24"/>
  <c r="Y64" i="24"/>
  <c r="Y61" i="24"/>
  <c r="Y58" i="24"/>
  <c r="Y55" i="24"/>
  <c r="Y52" i="24"/>
  <c r="Y49" i="24"/>
  <c r="Y46" i="24"/>
  <c r="Y43" i="24"/>
  <c r="Y40" i="24"/>
  <c r="Y37" i="24"/>
  <c r="Y34" i="24"/>
  <c r="Y31" i="24"/>
  <c r="Y28" i="24"/>
  <c r="Y126" i="24"/>
  <c r="Y121" i="24"/>
  <c r="Y118" i="24"/>
  <c r="Y122" i="24"/>
  <c r="Y119" i="24"/>
  <c r="Y25" i="24"/>
  <c r="Y22" i="24"/>
  <c r="Y19" i="24"/>
  <c r="Y16" i="24"/>
  <c r="Y13" i="24"/>
  <c r="Y10" i="24"/>
  <c r="Y7" i="24"/>
  <c r="Y4" i="24"/>
  <c r="Y116" i="24"/>
  <c r="Y113" i="24"/>
  <c r="Y110" i="24"/>
  <c r="Y107" i="24"/>
  <c r="Y104" i="24"/>
  <c r="Y101" i="24"/>
  <c r="Y98" i="24"/>
  <c r="Y95" i="24"/>
  <c r="Y92" i="24"/>
  <c r="Y89" i="24"/>
  <c r="Y86" i="24"/>
  <c r="Y83" i="24"/>
  <c r="Y80" i="24"/>
  <c r="Y77" i="24"/>
  <c r="Y74" i="24"/>
  <c r="Y71" i="24"/>
  <c r="Y68" i="24"/>
  <c r="Y65" i="24"/>
  <c r="Y62" i="24"/>
  <c r="Y59" i="24"/>
  <c r="Y56" i="24"/>
  <c r="Y53" i="24"/>
  <c r="Y178" i="24"/>
  <c r="Y172" i="24"/>
  <c r="Y166" i="24"/>
  <c r="Y160" i="24"/>
  <c r="Y154" i="24"/>
  <c r="Y148" i="24"/>
  <c r="Y142" i="24"/>
  <c r="Z1" i="24"/>
  <c r="Y47" i="24"/>
  <c r="Y38" i="24"/>
  <c r="Y29" i="24"/>
  <c r="Y26" i="24"/>
  <c r="Y23" i="24"/>
  <c r="Y20" i="24"/>
  <c r="Y17" i="24"/>
  <c r="Y14" i="24"/>
  <c r="Y11" i="24"/>
  <c r="Y8" i="24"/>
  <c r="Y5" i="24"/>
  <c r="Y129" i="24"/>
  <c r="Y138" i="24"/>
  <c r="Y135" i="24"/>
  <c r="Y132" i="24"/>
  <c r="Y50" i="24"/>
  <c r="Y41" i="24"/>
  <c r="Y32" i="24"/>
  <c r="Y24" i="24"/>
  <c r="Y15" i="24"/>
  <c r="Y6" i="24"/>
  <c r="Y127" i="24"/>
  <c r="Y181" i="24"/>
  <c r="Y157" i="24"/>
  <c r="Y175" i="24"/>
  <c r="Y151" i="24"/>
  <c r="Y27" i="24"/>
  <c r="Y124" i="24"/>
  <c r="Y169" i="24"/>
  <c r="Y145" i="24"/>
  <c r="Y21" i="24"/>
  <c r="Y12" i="24"/>
  <c r="Y3" i="24"/>
  <c r="Y18" i="24"/>
  <c r="Y44" i="24"/>
  <c r="Y163" i="24"/>
  <c r="Y35" i="24"/>
  <c r="Y9" i="24"/>
  <c r="X186" i="21"/>
  <c r="X183" i="21"/>
  <c r="X180" i="21"/>
  <c r="X177" i="21"/>
  <c r="X174" i="21"/>
  <c r="X171" i="21"/>
  <c r="X168" i="21"/>
  <c r="X165" i="21"/>
  <c r="X162" i="21"/>
  <c r="X159" i="21"/>
  <c r="X156" i="21"/>
  <c r="X153" i="21"/>
  <c r="X150" i="21"/>
  <c r="X147" i="21"/>
  <c r="X144" i="21"/>
  <c r="X141" i="21"/>
  <c r="X122" i="21"/>
  <c r="X119" i="21"/>
  <c r="X116" i="21"/>
  <c r="X113" i="21"/>
  <c r="X133" i="21"/>
  <c r="X128" i="21"/>
  <c r="X125" i="21"/>
  <c r="X136" i="21"/>
  <c r="X131" i="21"/>
  <c r="X187" i="21"/>
  <c r="X184" i="21"/>
  <c r="X181" i="21"/>
  <c r="X178" i="21"/>
  <c r="X175" i="21"/>
  <c r="X137" i="21"/>
  <c r="X188" i="21"/>
  <c r="X185" i="21"/>
  <c r="X182" i="21"/>
  <c r="X179" i="21"/>
  <c r="X176" i="21"/>
  <c r="X173" i="21"/>
  <c r="X170" i="21"/>
  <c r="X167" i="21"/>
  <c r="X164" i="21"/>
  <c r="X161" i="21"/>
  <c r="X158" i="21"/>
  <c r="X155" i="21"/>
  <c r="X152" i="21"/>
  <c r="X149" i="21"/>
  <c r="X146" i="21"/>
  <c r="X143" i="21"/>
  <c r="X140" i="21"/>
  <c r="X132" i="21"/>
  <c r="X124" i="21"/>
  <c r="X121" i="21"/>
  <c r="X118" i="21"/>
  <c r="X115" i="21"/>
  <c r="X112" i="21"/>
  <c r="X157" i="21"/>
  <c r="X151" i="21"/>
  <c r="X142" i="21"/>
  <c r="X134" i="21"/>
  <c r="X130" i="21"/>
  <c r="X172" i="21"/>
  <c r="X169" i="21"/>
  <c r="X166" i="21"/>
  <c r="X160" i="21"/>
  <c r="X148" i="21"/>
  <c r="X139" i="21"/>
  <c r="X123" i="21"/>
  <c r="X120" i="21"/>
  <c r="X117" i="21"/>
  <c r="X114" i="21"/>
  <c r="X111" i="21"/>
  <c r="X163" i="21"/>
  <c r="X154" i="21"/>
  <c r="X145" i="21"/>
  <c r="X48" i="21"/>
  <c r="X14" i="21"/>
  <c r="X11" i="21"/>
  <c r="X8" i="21"/>
  <c r="X5" i="21"/>
  <c r="X51" i="21"/>
  <c r="X49" i="21"/>
  <c r="X47" i="21"/>
  <c r="X42" i="21"/>
  <c r="X38" i="21"/>
  <c r="X33" i="21"/>
  <c r="X29" i="21"/>
  <c r="X24" i="21"/>
  <c r="X20" i="21"/>
  <c r="X43" i="21"/>
  <c r="X34" i="21"/>
  <c r="X25" i="21"/>
  <c r="X127" i="21"/>
  <c r="X109" i="21"/>
  <c r="X106" i="21"/>
  <c r="X103" i="21"/>
  <c r="X100" i="21"/>
  <c r="X97" i="21"/>
  <c r="X94" i="21"/>
  <c r="X91" i="21"/>
  <c r="X88" i="21"/>
  <c r="X85" i="21"/>
  <c r="X82" i="21"/>
  <c r="X79" i="21"/>
  <c r="X76" i="21"/>
  <c r="X73" i="21"/>
  <c r="X70" i="21"/>
  <c r="X67" i="21"/>
  <c r="X64" i="21"/>
  <c r="X61" i="21"/>
  <c r="X58" i="21"/>
  <c r="X55" i="21"/>
  <c r="X52" i="21"/>
  <c r="X50" i="21"/>
  <c r="X16" i="21"/>
  <c r="X13" i="21"/>
  <c r="X10" i="21"/>
  <c r="X7" i="21"/>
  <c r="X4" i="21"/>
  <c r="X44" i="21"/>
  <c r="X39" i="21"/>
  <c r="X35" i="21"/>
  <c r="X30" i="21"/>
  <c r="X26" i="21"/>
  <c r="X21" i="21"/>
  <c r="X17" i="21"/>
  <c r="X135" i="21"/>
  <c r="X102" i="21"/>
  <c r="X93" i="21"/>
  <c r="X84" i="21"/>
  <c r="X75" i="21"/>
  <c r="X66" i="21"/>
  <c r="X57" i="21"/>
  <c r="X45" i="21"/>
  <c r="X129" i="21"/>
  <c r="X138" i="21"/>
  <c r="X104" i="21"/>
  <c r="X95" i="21"/>
  <c r="X86" i="21"/>
  <c r="X77" i="21"/>
  <c r="X68" i="21"/>
  <c r="X59" i="21"/>
  <c r="X110" i="21"/>
  <c r="X101" i="21"/>
  <c r="X92" i="21"/>
  <c r="X83" i="21"/>
  <c r="X74" i="21"/>
  <c r="X65" i="21"/>
  <c r="X56" i="21"/>
  <c r="X105" i="21"/>
  <c r="X96" i="21"/>
  <c r="X87" i="21"/>
  <c r="X78" i="21"/>
  <c r="X69" i="21"/>
  <c r="X60" i="21"/>
  <c r="X32" i="21"/>
  <c r="X27" i="21"/>
  <c r="X107" i="21"/>
  <c r="X81" i="21"/>
  <c r="X46" i="21"/>
  <c r="X3" i="21"/>
  <c r="X54" i="21"/>
  <c r="X99" i="21"/>
  <c r="X71" i="21"/>
  <c r="X80" i="21"/>
  <c r="X28" i="21"/>
  <c r="X19" i="21"/>
  <c r="X40" i="21"/>
  <c r="X98" i="21"/>
  <c r="X63" i="21"/>
  <c r="X53" i="21"/>
  <c r="X23" i="21"/>
  <c r="X12" i="21"/>
  <c r="X126" i="21"/>
  <c r="X37" i="21"/>
  <c r="X90" i="21"/>
  <c r="X108" i="21"/>
  <c r="X62" i="21"/>
  <c r="X89" i="21"/>
  <c r="X72" i="21"/>
  <c r="X22" i="21"/>
  <c r="Y1" i="21"/>
  <c r="X18" i="21"/>
  <c r="X15" i="21"/>
  <c r="X31" i="21"/>
  <c r="X41" i="21"/>
  <c r="X9" i="21"/>
  <c r="X6" i="21"/>
  <c r="X36" i="21"/>
  <c r="X191" i="18"/>
  <c r="X188" i="18"/>
  <c r="X185" i="18"/>
  <c r="X182" i="18"/>
  <c r="X179" i="18"/>
  <c r="X176" i="18"/>
  <c r="X173" i="18"/>
  <c r="X170" i="18"/>
  <c r="X167" i="18"/>
  <c r="X164" i="18"/>
  <c r="X161" i="18"/>
  <c r="X158" i="18"/>
  <c r="X155" i="18"/>
  <c r="X152" i="18"/>
  <c r="X149" i="18"/>
  <c r="X138" i="18"/>
  <c r="X142" i="18"/>
  <c r="X139" i="18"/>
  <c r="X136" i="18"/>
  <c r="X189" i="18"/>
  <c r="X180" i="18"/>
  <c r="X171" i="18"/>
  <c r="X177" i="18"/>
  <c r="X162" i="18"/>
  <c r="X192" i="18"/>
  <c r="X148" i="18"/>
  <c r="X66" i="18"/>
  <c r="X63" i="18"/>
  <c r="X60" i="18"/>
  <c r="X57" i="18"/>
  <c r="X54" i="18"/>
  <c r="X51" i="18"/>
  <c r="X48" i="18"/>
  <c r="X45" i="18"/>
  <c r="X42" i="18"/>
  <c r="X39" i="18"/>
  <c r="X36" i="18"/>
  <c r="X33" i="18"/>
  <c r="X30" i="18"/>
  <c r="X27" i="18"/>
  <c r="X24" i="18"/>
  <c r="X21" i="18"/>
  <c r="X18" i="18"/>
  <c r="X15" i="18"/>
  <c r="X12" i="18"/>
  <c r="X9" i="18"/>
  <c r="X6" i="18"/>
  <c r="X3" i="18"/>
  <c r="X183" i="18"/>
  <c r="X169" i="18"/>
  <c r="X184" i="18"/>
  <c r="X174" i="18"/>
  <c r="X168" i="18"/>
  <c r="X135" i="18"/>
  <c r="X67" i="18"/>
  <c r="X64" i="18"/>
  <c r="X61" i="18"/>
  <c r="X58" i="18"/>
  <c r="X55" i="18"/>
  <c r="X52" i="18"/>
  <c r="X49" i="18"/>
  <c r="X46" i="18"/>
  <c r="X43" i="18"/>
  <c r="X40" i="18"/>
  <c r="X37" i="18"/>
  <c r="X34" i="18"/>
  <c r="X31" i="18"/>
  <c r="X28" i="18"/>
  <c r="X25" i="18"/>
  <c r="X22" i="18"/>
  <c r="X19" i="18"/>
  <c r="X16" i="18"/>
  <c r="X13" i="18"/>
  <c r="X10" i="18"/>
  <c r="X7" i="18"/>
  <c r="X4" i="18"/>
  <c r="X178" i="18"/>
  <c r="X165" i="18"/>
  <c r="X120" i="18"/>
  <c r="X111" i="18"/>
  <c r="X102" i="18"/>
  <c r="X93" i="18"/>
  <c r="X84" i="18"/>
  <c r="X75" i="18"/>
  <c r="Y1" i="18"/>
  <c r="X160" i="18"/>
  <c r="X159" i="18"/>
  <c r="X134" i="18"/>
  <c r="X129" i="18"/>
  <c r="X124" i="18"/>
  <c r="X115" i="18"/>
  <c r="X106" i="18"/>
  <c r="X97" i="18"/>
  <c r="X88" i="18"/>
  <c r="X79" i="18"/>
  <c r="X70" i="18"/>
  <c r="X186" i="18"/>
  <c r="X166" i="18"/>
  <c r="X146" i="18"/>
  <c r="X133" i="18"/>
  <c r="X65" i="18"/>
  <c r="X56" i="18"/>
  <c r="X47" i="18"/>
  <c r="X38" i="18"/>
  <c r="X29" i="18"/>
  <c r="X20" i="18"/>
  <c r="X11" i="18"/>
  <c r="X181" i="18"/>
  <c r="X157" i="18"/>
  <c r="X144" i="18"/>
  <c r="X128" i="18"/>
  <c r="X119" i="18"/>
  <c r="X110" i="18"/>
  <c r="X101" i="18"/>
  <c r="X92" i="18"/>
  <c r="X83" i="18"/>
  <c r="X74" i="18"/>
  <c r="X156" i="18"/>
  <c r="X123" i="18"/>
  <c r="X114" i="18"/>
  <c r="X105" i="18"/>
  <c r="X96" i="18"/>
  <c r="X87" i="18"/>
  <c r="X78" i="18"/>
  <c r="X69" i="18"/>
  <c r="X132" i="18"/>
  <c r="X127" i="18"/>
  <c r="X118" i="18"/>
  <c r="X109" i="18"/>
  <c r="X154" i="18"/>
  <c r="X153" i="18"/>
  <c r="X140" i="18"/>
  <c r="X137" i="18"/>
  <c r="X145" i="18"/>
  <c r="X126" i="18"/>
  <c r="X113" i="18"/>
  <c r="X112" i="18"/>
  <c r="X26" i="18"/>
  <c r="X5" i="18"/>
  <c r="X100" i="18"/>
  <c r="X91" i="18"/>
  <c r="X82" i="18"/>
  <c r="X71" i="18"/>
  <c r="X50" i="18"/>
  <c r="X190" i="18"/>
  <c r="X175" i="18"/>
  <c r="X77" i="18"/>
  <c r="X117" i="18"/>
  <c r="X104" i="18"/>
  <c r="X103" i="18"/>
  <c r="X99" i="18"/>
  <c r="X90" i="18"/>
  <c r="X81" i="18"/>
  <c r="X73" i="18"/>
  <c r="X23" i="18"/>
  <c r="X17" i="18"/>
  <c r="X143" i="18"/>
  <c r="X131" i="18"/>
  <c r="X130" i="18"/>
  <c r="X116" i="18"/>
  <c r="X53" i="18"/>
  <c r="X163" i="18"/>
  <c r="X59" i="18"/>
  <c r="X32" i="18"/>
  <c r="X141" i="18"/>
  <c r="X98" i="18"/>
  <c r="X151" i="18"/>
  <c r="X122" i="18"/>
  <c r="X121" i="18"/>
  <c r="X108" i="18"/>
  <c r="X14" i="18"/>
  <c r="X8" i="18"/>
  <c r="X187" i="18"/>
  <c r="X147" i="18"/>
  <c r="X107" i="18"/>
  <c r="X95" i="18"/>
  <c r="X86" i="18"/>
  <c r="X72" i="18"/>
  <c r="X62" i="18"/>
  <c r="X35" i="18"/>
  <c r="X172" i="18"/>
  <c r="X68" i="18"/>
  <c r="X41" i="18"/>
  <c r="X80" i="18"/>
  <c r="X125" i="18"/>
  <c r="X94" i="18"/>
  <c r="X76" i="18"/>
  <c r="X89" i="18"/>
  <c r="X85" i="18"/>
  <c r="X44" i="18"/>
  <c r="X150" i="18"/>
  <c r="AA192" i="17"/>
  <c r="AA189" i="17"/>
  <c r="AA186" i="17"/>
  <c r="AA183" i="17"/>
  <c r="AA180" i="17"/>
  <c r="AA177" i="17"/>
  <c r="AA174" i="17"/>
  <c r="AA171" i="17"/>
  <c r="AA168" i="17"/>
  <c r="AA165" i="17"/>
  <c r="AA162" i="17"/>
  <c r="AA159" i="17"/>
  <c r="AA156" i="17"/>
  <c r="AA153" i="17"/>
  <c r="AA150" i="17"/>
  <c r="AA190" i="17"/>
  <c r="AA187" i="17"/>
  <c r="AA184" i="17"/>
  <c r="AA181" i="17"/>
  <c r="AA178" i="17"/>
  <c r="AA175" i="17"/>
  <c r="AA172" i="17"/>
  <c r="AA169" i="17"/>
  <c r="AA166" i="17"/>
  <c r="AA163" i="17"/>
  <c r="AA160" i="17"/>
  <c r="AA157" i="17"/>
  <c r="AA154" i="17"/>
  <c r="AA151" i="17"/>
  <c r="AA188" i="17"/>
  <c r="AA179" i="17"/>
  <c r="AA170" i="17"/>
  <c r="AA161" i="17"/>
  <c r="AA152" i="17"/>
  <c r="AA148" i="17"/>
  <c r="AA145" i="17"/>
  <c r="AA126" i="17"/>
  <c r="AA123" i="17"/>
  <c r="AA120" i="17"/>
  <c r="AA117" i="17"/>
  <c r="AA114" i="17"/>
  <c r="AA111" i="17"/>
  <c r="AA108" i="17"/>
  <c r="AA105" i="17"/>
  <c r="AA102" i="17"/>
  <c r="AA99" i="17"/>
  <c r="AA96" i="17"/>
  <c r="AA140" i="17"/>
  <c r="AA135" i="17"/>
  <c r="AA191" i="17"/>
  <c r="AA182" i="17"/>
  <c r="AA173" i="17"/>
  <c r="AA164" i="17"/>
  <c r="AA155" i="17"/>
  <c r="AA146" i="17"/>
  <c r="AA143" i="17"/>
  <c r="AA127" i="17"/>
  <c r="AA124" i="17"/>
  <c r="AA121" i="17"/>
  <c r="AA118" i="17"/>
  <c r="AA115" i="17"/>
  <c r="AA112" i="17"/>
  <c r="AA109" i="17"/>
  <c r="AA106" i="17"/>
  <c r="AA103" i="17"/>
  <c r="AA100" i="17"/>
  <c r="AA97" i="17"/>
  <c r="AA94" i="17"/>
  <c r="AA91" i="17"/>
  <c r="AA132" i="17"/>
  <c r="AA87" i="17"/>
  <c r="AA84" i="17"/>
  <c r="AA81" i="17"/>
  <c r="AA78" i="17"/>
  <c r="AA75" i="17"/>
  <c r="AA72" i="17"/>
  <c r="AA69" i="17"/>
  <c r="AA185" i="17"/>
  <c r="AA136" i="17"/>
  <c r="AA122" i="17"/>
  <c r="AA113" i="17"/>
  <c r="AA104" i="17"/>
  <c r="AA95" i="17"/>
  <c r="AA90" i="17"/>
  <c r="AA138" i="17"/>
  <c r="AA137" i="17"/>
  <c r="AA131" i="17"/>
  <c r="AA92" i="17"/>
  <c r="AA67" i="17"/>
  <c r="AA64" i="17"/>
  <c r="AA61" i="17"/>
  <c r="AA58" i="17"/>
  <c r="AA55" i="17"/>
  <c r="AA52" i="17"/>
  <c r="AA49" i="17"/>
  <c r="AA46" i="17"/>
  <c r="AA43" i="17"/>
  <c r="AA40" i="17"/>
  <c r="AA37" i="17"/>
  <c r="AA34" i="17"/>
  <c r="AA31" i="17"/>
  <c r="AA28" i="17"/>
  <c r="AA25" i="17"/>
  <c r="AA22" i="17"/>
  <c r="AA19" i="17"/>
  <c r="AA16" i="17"/>
  <c r="AA13" i="17"/>
  <c r="AA10" i="17"/>
  <c r="AA7" i="17"/>
  <c r="AA4" i="17"/>
  <c r="AA141" i="17"/>
  <c r="AA88" i="17"/>
  <c r="AA85" i="17"/>
  <c r="AA82" i="17"/>
  <c r="AA79" i="17"/>
  <c r="AA76" i="17"/>
  <c r="AA73" i="17"/>
  <c r="AA70" i="17"/>
  <c r="AA147" i="17"/>
  <c r="AA144" i="17"/>
  <c r="AA142" i="17"/>
  <c r="AA139" i="17"/>
  <c r="AA130" i="17"/>
  <c r="AB1" i="17"/>
  <c r="AA125" i="17"/>
  <c r="AA116" i="17"/>
  <c r="AA107" i="17"/>
  <c r="AA98" i="17"/>
  <c r="AA176" i="17"/>
  <c r="AA167" i="17"/>
  <c r="AA158" i="17"/>
  <c r="AA149" i="17"/>
  <c r="AA129" i="17"/>
  <c r="AA89" i="17"/>
  <c r="AA86" i="17"/>
  <c r="AA83" i="17"/>
  <c r="AA80" i="17"/>
  <c r="AA77" i="17"/>
  <c r="AA74" i="17"/>
  <c r="AA71" i="17"/>
  <c r="AA128" i="17"/>
  <c r="AA119" i="17"/>
  <c r="AA110" i="17"/>
  <c r="AA101" i="17"/>
  <c r="AA93" i="17"/>
  <c r="AA14" i="17"/>
  <c r="AA5" i="17"/>
  <c r="AA15" i="17"/>
  <c r="AA6" i="17"/>
  <c r="AA17" i="17"/>
  <c r="AA8" i="17"/>
  <c r="AA134" i="17"/>
  <c r="AA18" i="17"/>
  <c r="AA9" i="17"/>
  <c r="AA68" i="17"/>
  <c r="AA65" i="17"/>
  <c r="AA62" i="17"/>
  <c r="AA59" i="17"/>
  <c r="AA56" i="17"/>
  <c r="AA53" i="17"/>
  <c r="AA50" i="17"/>
  <c r="AA47" i="17"/>
  <c r="AA44" i="17"/>
  <c r="AA41" i="17"/>
  <c r="AA38" i="17"/>
  <c r="AA35" i="17"/>
  <c r="AA32" i="17"/>
  <c r="AA29" i="17"/>
  <c r="AA26" i="17"/>
  <c r="AA23" i="17"/>
  <c r="AA20" i="17"/>
  <c r="AA11" i="17"/>
  <c r="AA12" i="17"/>
  <c r="AA133" i="17"/>
  <c r="AA66" i="17"/>
  <c r="AA57" i="17"/>
  <c r="AA48" i="17"/>
  <c r="AA39" i="17"/>
  <c r="AA30" i="17"/>
  <c r="AA21" i="17"/>
  <c r="AA3" i="17"/>
  <c r="AA63" i="17"/>
  <c r="AA54" i="17"/>
  <c r="AA45" i="17"/>
  <c r="AA36" i="17"/>
  <c r="AA27" i="17"/>
  <c r="AA60" i="17"/>
  <c r="AA51" i="17"/>
  <c r="AA42" i="17"/>
  <c r="AA33" i="17"/>
  <c r="AA24" i="17"/>
  <c r="Y192" i="16"/>
  <c r="Y189" i="16"/>
  <c r="Y186" i="16"/>
  <c r="Y183" i="16"/>
  <c r="Y180" i="16"/>
  <c r="Y177" i="16"/>
  <c r="Y193" i="16"/>
  <c r="Y190" i="16"/>
  <c r="Y187" i="16"/>
  <c r="Y184" i="16"/>
  <c r="Y181" i="16"/>
  <c r="Y178" i="16"/>
  <c r="Y191" i="16"/>
  <c r="Y188" i="16"/>
  <c r="Y185" i="16"/>
  <c r="Y182" i="16"/>
  <c r="Y179" i="16"/>
  <c r="Y176" i="16"/>
  <c r="Y141" i="16"/>
  <c r="Y136" i="16"/>
  <c r="Y68" i="16"/>
  <c r="Y65" i="16"/>
  <c r="Y62" i="16"/>
  <c r="Y59" i="16"/>
  <c r="Y56" i="16"/>
  <c r="Y53" i="16"/>
  <c r="Y50" i="16"/>
  <c r="Y47" i="16"/>
  <c r="Y44" i="16"/>
  <c r="Y41" i="16"/>
  <c r="Y38" i="16"/>
  <c r="Y35" i="16"/>
  <c r="Y32" i="16"/>
  <c r="Y29" i="16"/>
  <c r="Y26" i="16"/>
  <c r="Y23" i="16"/>
  <c r="Y20" i="16"/>
  <c r="Y17" i="16"/>
  <c r="Y14" i="16"/>
  <c r="Y11" i="16"/>
  <c r="Y8" i="16"/>
  <c r="Y5" i="16"/>
  <c r="Y128" i="16"/>
  <c r="Y174" i="16"/>
  <c r="Y171" i="16"/>
  <c r="Y168" i="16"/>
  <c r="Y165" i="16"/>
  <c r="Y162" i="16"/>
  <c r="Y159" i="16"/>
  <c r="Y156" i="16"/>
  <c r="Y153" i="16"/>
  <c r="Y150" i="16"/>
  <c r="Y147" i="16"/>
  <c r="Y144" i="16"/>
  <c r="Y142" i="16"/>
  <c r="Y132" i="16"/>
  <c r="Y143" i="16"/>
  <c r="Y140" i="16"/>
  <c r="Y67" i="16"/>
  <c r="Y64" i="16"/>
  <c r="Y61" i="16"/>
  <c r="Y58" i="16"/>
  <c r="Y55" i="16"/>
  <c r="Y52" i="16"/>
  <c r="Y49" i="16"/>
  <c r="Y46" i="16"/>
  <c r="Y43" i="16"/>
  <c r="Y40" i="16"/>
  <c r="Y37" i="16"/>
  <c r="Y34" i="16"/>
  <c r="Y31" i="16"/>
  <c r="Y28" i="16"/>
  <c r="Y25" i="16"/>
  <c r="Y22" i="16"/>
  <c r="Y19" i="16"/>
  <c r="Y16" i="16"/>
  <c r="Y13" i="16"/>
  <c r="Y10" i="16"/>
  <c r="Y7" i="16"/>
  <c r="Y4" i="16"/>
  <c r="Y134" i="16"/>
  <c r="Y120" i="16"/>
  <c r="Y111" i="16"/>
  <c r="Y102" i="16"/>
  <c r="Y93" i="16"/>
  <c r="Y84" i="16"/>
  <c r="Y75" i="16"/>
  <c r="Y172" i="16"/>
  <c r="Y163" i="16"/>
  <c r="Y154" i="16"/>
  <c r="Y145" i="16"/>
  <c r="Y125" i="16"/>
  <c r="Y116" i="16"/>
  <c r="Y107" i="16"/>
  <c r="Y98" i="16"/>
  <c r="Y89" i="16"/>
  <c r="Y80" i="16"/>
  <c r="Y71" i="16"/>
  <c r="Y170" i="16"/>
  <c r="Y161" i="16"/>
  <c r="Y152" i="16"/>
  <c r="Y121" i="16"/>
  <c r="Y112" i="16"/>
  <c r="Y103" i="16"/>
  <c r="Y94" i="16"/>
  <c r="Y85" i="16"/>
  <c r="Y76" i="16"/>
  <c r="Y130" i="16"/>
  <c r="Y108" i="16"/>
  <c r="Y90" i="16"/>
  <c r="Y72" i="16"/>
  <c r="Y117" i="16"/>
  <c r="Y99" i="16"/>
  <c r="Y81" i="16"/>
  <c r="Y175" i="16"/>
  <c r="Y166" i="16"/>
  <c r="Y157" i="16"/>
  <c r="Y148" i="16"/>
  <c r="Y139" i="16"/>
  <c r="Y137" i="16"/>
  <c r="Y135" i="16"/>
  <c r="Y126" i="16"/>
  <c r="Y122" i="16"/>
  <c r="Y113" i="16"/>
  <c r="Y104" i="16"/>
  <c r="Y95" i="16"/>
  <c r="Y86" i="16"/>
  <c r="Y77" i="16"/>
  <c r="Y173" i="16"/>
  <c r="Y164" i="16"/>
  <c r="Y155" i="16"/>
  <c r="Y146" i="16"/>
  <c r="Y118" i="16"/>
  <c r="Y109" i="16"/>
  <c r="Y100" i="16"/>
  <c r="Y91" i="16"/>
  <c r="Y82" i="16"/>
  <c r="Y73" i="16"/>
  <c r="Z1" i="16"/>
  <c r="Y131" i="16"/>
  <c r="Y105" i="16"/>
  <c r="Y78" i="16"/>
  <c r="Y133" i="16"/>
  <c r="Y123" i="16"/>
  <c r="Y114" i="16"/>
  <c r="Y96" i="16"/>
  <c r="Y66" i="16"/>
  <c r="Y60" i="16"/>
  <c r="Y57" i="16"/>
  <c r="Y51" i="16"/>
  <c r="Y48" i="16"/>
  <c r="Y45" i="16"/>
  <c r="Y42" i="16"/>
  <c r="Y39" i="16"/>
  <c r="Y36" i="16"/>
  <c r="Y33" i="16"/>
  <c r="Y30" i="16"/>
  <c r="Y27" i="16"/>
  <c r="Y18" i="16"/>
  <c r="Y138" i="16"/>
  <c r="Y87" i="16"/>
  <c r="Y63" i="16"/>
  <c r="Y54" i="16"/>
  <c r="Y24" i="16"/>
  <c r="Y21" i="16"/>
  <c r="Y15" i="16"/>
  <c r="Y12" i="16"/>
  <c r="Y9" i="16"/>
  <c r="Y6" i="16"/>
  <c r="Y3" i="16"/>
  <c r="Y169" i="16"/>
  <c r="Y160" i="16"/>
  <c r="Y151" i="16"/>
  <c r="Y129" i="16"/>
  <c r="Y119" i="16"/>
  <c r="Y110" i="16"/>
  <c r="Y101" i="16"/>
  <c r="Y92" i="16"/>
  <c r="Y83" i="16"/>
  <c r="Y74" i="16"/>
  <c r="Y69" i="16"/>
  <c r="Y167" i="16"/>
  <c r="Y158" i="16"/>
  <c r="Y149" i="16"/>
  <c r="Y127" i="16"/>
  <c r="Y124" i="16"/>
  <c r="Y115" i="16"/>
  <c r="Y106" i="16"/>
  <c r="Y97" i="16"/>
  <c r="Y88" i="16"/>
  <c r="Y79" i="16"/>
  <c r="Y70" i="16"/>
  <c r="AA130" i="22"/>
  <c r="AA125" i="22"/>
  <c r="AA122" i="22"/>
  <c r="AA133" i="22"/>
  <c r="AA128" i="22"/>
  <c r="AA184" i="22"/>
  <c r="AA181" i="22"/>
  <c r="AA178" i="22"/>
  <c r="AA175" i="22"/>
  <c r="AA172" i="22"/>
  <c r="AA169" i="22"/>
  <c r="AA166" i="22"/>
  <c r="AA163" i="22"/>
  <c r="AA160" i="22"/>
  <c r="AA157" i="22"/>
  <c r="AA154" i="22"/>
  <c r="AA151" i="22"/>
  <c r="AA148" i="22"/>
  <c r="AA145" i="22"/>
  <c r="AA142" i="22"/>
  <c r="AA139" i="22"/>
  <c r="AA136" i="22"/>
  <c r="AA120" i="22"/>
  <c r="AA126" i="22"/>
  <c r="AA123" i="22"/>
  <c r="AA131" i="22"/>
  <c r="AA134" i="22"/>
  <c r="AA185" i="22"/>
  <c r="AA182" i="22"/>
  <c r="AA179" i="22"/>
  <c r="AA176" i="22"/>
  <c r="AA173" i="22"/>
  <c r="AA170" i="22"/>
  <c r="AA167" i="22"/>
  <c r="AA164" i="22"/>
  <c r="AA161" i="22"/>
  <c r="AA158" i="22"/>
  <c r="AA155" i="22"/>
  <c r="AA152" i="22"/>
  <c r="AA149" i="22"/>
  <c r="AA146" i="22"/>
  <c r="AA143" i="22"/>
  <c r="AA140" i="22"/>
  <c r="AA137" i="22"/>
  <c r="AA129" i="22"/>
  <c r="AA121" i="22"/>
  <c r="AA118" i="22"/>
  <c r="AA127" i="22"/>
  <c r="AA135" i="22"/>
  <c r="AA132" i="22"/>
  <c r="AA115" i="22"/>
  <c r="AA112" i="22"/>
  <c r="AA109" i="22"/>
  <c r="AA106" i="22"/>
  <c r="AA103" i="22"/>
  <c r="AA100" i="22"/>
  <c r="AA97" i="22"/>
  <c r="AA94" i="22"/>
  <c r="AA91" i="22"/>
  <c r="AA88" i="22"/>
  <c r="AA85" i="22"/>
  <c r="AA82" i="22"/>
  <c r="AA79" i="22"/>
  <c r="AA76" i="22"/>
  <c r="AA73" i="22"/>
  <c r="AA70" i="22"/>
  <c r="AA67" i="22"/>
  <c r="AA64" i="22"/>
  <c r="AA61" i="22"/>
  <c r="AA58" i="22"/>
  <c r="AA55" i="22"/>
  <c r="AA52" i="22"/>
  <c r="AA49" i="22"/>
  <c r="AA46" i="22"/>
  <c r="AA43" i="22"/>
  <c r="AA40" i="22"/>
  <c r="AA37" i="22"/>
  <c r="AA34" i="22"/>
  <c r="AA31" i="22"/>
  <c r="AA28" i="22"/>
  <c r="AA25" i="22"/>
  <c r="AA22" i="22"/>
  <c r="AA19" i="22"/>
  <c r="AA16" i="22"/>
  <c r="AA13" i="22"/>
  <c r="AA183" i="22"/>
  <c r="AA174" i="22"/>
  <c r="AA165" i="22"/>
  <c r="AA156" i="22"/>
  <c r="AA147" i="22"/>
  <c r="AA138" i="22"/>
  <c r="AA124" i="22"/>
  <c r="AA116" i="22"/>
  <c r="AA113" i="22"/>
  <c r="AA110" i="22"/>
  <c r="AA107" i="22"/>
  <c r="AA104" i="22"/>
  <c r="AA101" i="22"/>
  <c r="AA98" i="22"/>
  <c r="AA95" i="22"/>
  <c r="AA92" i="22"/>
  <c r="AA89" i="22"/>
  <c r="AA86" i="22"/>
  <c r="AA83" i="22"/>
  <c r="AA80" i="22"/>
  <c r="AA77" i="22"/>
  <c r="AA74" i="22"/>
  <c r="AA71" i="22"/>
  <c r="AA68" i="22"/>
  <c r="AA65" i="22"/>
  <c r="AA62" i="22"/>
  <c r="AA59" i="22"/>
  <c r="AA56" i="22"/>
  <c r="AA53" i="22"/>
  <c r="AA50" i="22"/>
  <c r="AA47" i="22"/>
  <c r="AA44" i="22"/>
  <c r="AA41" i="22"/>
  <c r="AA38" i="22"/>
  <c r="AA35" i="22"/>
  <c r="AA32" i="22"/>
  <c r="AA29" i="22"/>
  <c r="AA26" i="22"/>
  <c r="AA23" i="22"/>
  <c r="AA20" i="22"/>
  <c r="AA17" i="22"/>
  <c r="AA14" i="22"/>
  <c r="AA11" i="22"/>
  <c r="AA180" i="22"/>
  <c r="AA171" i="22"/>
  <c r="AA162" i="22"/>
  <c r="AA153" i="22"/>
  <c r="AA144" i="22"/>
  <c r="AA119" i="22"/>
  <c r="AA117" i="22"/>
  <c r="AA114" i="22"/>
  <c r="AA111" i="22"/>
  <c r="AA108" i="22"/>
  <c r="AA105" i="22"/>
  <c r="AA102" i="22"/>
  <c r="AA99" i="22"/>
  <c r="AA96" i="22"/>
  <c r="AA93" i="22"/>
  <c r="AA90" i="22"/>
  <c r="AA87" i="22"/>
  <c r="AA84" i="22"/>
  <c r="AA81" i="22"/>
  <c r="AA78" i="22"/>
  <c r="AA75" i="22"/>
  <c r="AA72" i="22"/>
  <c r="AA69" i="22"/>
  <c r="AA66" i="22"/>
  <c r="AA63" i="22"/>
  <c r="AA60" i="22"/>
  <c r="AA57" i="22"/>
  <c r="AA54" i="22"/>
  <c r="AA51" i="22"/>
  <c r="AA48" i="22"/>
  <c r="AA45" i="22"/>
  <c r="AA42" i="22"/>
  <c r="AA39" i="22"/>
  <c r="AA36" i="22"/>
  <c r="AA33" i="22"/>
  <c r="AA30" i="22"/>
  <c r="AA27" i="22"/>
  <c r="AA24" i="22"/>
  <c r="AA21" i="22"/>
  <c r="AA18" i="22"/>
  <c r="AA15" i="22"/>
  <c r="AA12" i="22"/>
  <c r="AA159" i="22"/>
  <c r="AA9" i="22"/>
  <c r="AA6" i="22"/>
  <c r="AA3" i="22"/>
  <c r="AA177" i="22"/>
  <c r="AA150" i="22"/>
  <c r="AA10" i="22"/>
  <c r="AA7" i="22"/>
  <c r="AA4" i="22"/>
  <c r="AB1" i="22"/>
  <c r="AA168" i="22"/>
  <c r="AA141" i="22"/>
  <c r="AA8" i="22"/>
  <c r="AA5" i="22"/>
  <c r="Z188" i="20"/>
  <c r="Z185" i="20"/>
  <c r="Z182" i="20"/>
  <c r="Z179" i="20"/>
  <c r="Z176" i="20"/>
  <c r="Z173" i="20"/>
  <c r="Z170" i="20"/>
  <c r="Z167" i="20"/>
  <c r="Z164" i="20"/>
  <c r="Z161" i="20"/>
  <c r="Z158" i="20"/>
  <c r="Z155" i="20"/>
  <c r="Z152" i="20"/>
  <c r="Z149" i="20"/>
  <c r="Z146" i="20"/>
  <c r="Z136" i="20"/>
  <c r="Z132" i="20"/>
  <c r="Z180" i="20"/>
  <c r="Z151" i="20"/>
  <c r="Z140" i="20"/>
  <c r="Z135" i="20"/>
  <c r="Z120" i="20"/>
  <c r="Z168" i="20"/>
  <c r="Z166" i="20"/>
  <c r="Z145" i="20"/>
  <c r="Z129" i="20"/>
  <c r="Z124" i="20"/>
  <c r="Z115" i="20"/>
  <c r="Z106" i="20"/>
  <c r="Z97" i="20"/>
  <c r="Z88" i="20"/>
  <c r="Z79" i="20"/>
  <c r="Z70" i="20"/>
  <c r="Z183" i="20"/>
  <c r="Z169" i="20"/>
  <c r="Z144" i="20"/>
  <c r="Z139" i="20"/>
  <c r="Z119" i="20"/>
  <c r="Z110" i="20"/>
  <c r="Z101" i="20"/>
  <c r="Z92" i="20"/>
  <c r="Z83" i="20"/>
  <c r="Z74" i="20"/>
  <c r="Z186" i="20"/>
  <c r="Z184" i="20"/>
  <c r="Z159" i="20"/>
  <c r="Z157" i="20"/>
  <c r="Z143" i="20"/>
  <c r="Z118" i="20"/>
  <c r="Z109" i="20"/>
  <c r="Z100" i="20"/>
  <c r="Z91" i="20"/>
  <c r="Z82" i="20"/>
  <c r="Z73" i="20"/>
  <c r="Z172" i="20"/>
  <c r="Z189" i="20"/>
  <c r="Z162" i="20"/>
  <c r="Z153" i="20"/>
  <c r="Z142" i="20"/>
  <c r="Z137" i="20"/>
  <c r="Z131" i="20"/>
  <c r="Z126" i="20"/>
  <c r="Z117" i="20"/>
  <c r="Z108" i="20"/>
  <c r="Z99" i="20"/>
  <c r="Z90" i="20"/>
  <c r="Z190" i="20"/>
  <c r="Z163" i="20"/>
  <c r="Z130" i="20"/>
  <c r="Z181" i="20"/>
  <c r="Z134" i="20"/>
  <c r="Z112" i="20"/>
  <c r="Z102" i="20"/>
  <c r="Z156" i="20"/>
  <c r="Z147" i="20"/>
  <c r="Z133" i="20"/>
  <c r="Z123" i="20"/>
  <c r="Z105" i="20"/>
  <c r="Z94" i="20"/>
  <c r="Z178" i="20"/>
  <c r="Z165" i="20"/>
  <c r="Z148" i="20"/>
  <c r="Z96" i="20"/>
  <c r="Z65" i="20"/>
  <c r="Z62" i="20"/>
  <c r="Z55" i="20"/>
  <c r="Z46" i="20"/>
  <c r="Z37" i="20"/>
  <c r="Z34" i="20"/>
  <c r="Z31" i="20"/>
  <c r="Z28" i="20"/>
  <c r="Z25" i="20"/>
  <c r="Z22" i="20"/>
  <c r="Z19" i="20"/>
  <c r="Z16" i="20"/>
  <c r="Z13" i="20"/>
  <c r="Z10" i="20"/>
  <c r="Z7" i="20"/>
  <c r="Z4" i="20"/>
  <c r="Z160" i="20"/>
  <c r="Z154" i="20"/>
  <c r="Z122" i="20"/>
  <c r="Z98" i="20"/>
  <c r="Z86" i="20"/>
  <c r="Z77" i="20"/>
  <c r="Z68" i="20"/>
  <c r="Z67" i="20"/>
  <c r="Z66" i="20"/>
  <c r="Z64" i="20"/>
  <c r="Z63" i="20"/>
  <c r="Z61" i="20"/>
  <c r="Z60" i="20"/>
  <c r="Z59" i="20"/>
  <c r="Z50" i="20"/>
  <c r="Z41" i="20"/>
  <c r="Z175" i="20"/>
  <c r="Z150" i="20"/>
  <c r="Z121" i="20"/>
  <c r="Z111" i="20"/>
  <c r="Z80" i="20"/>
  <c r="Z71" i="20"/>
  <c r="Z141" i="20"/>
  <c r="Z114" i="20"/>
  <c r="Z104" i="20"/>
  <c r="Z54" i="20"/>
  <c r="Z45" i="20"/>
  <c r="Z177" i="20"/>
  <c r="Z107" i="20"/>
  <c r="Z58" i="20"/>
  <c r="Z49" i="20"/>
  <c r="Z40" i="20"/>
  <c r="Z35" i="20"/>
  <c r="Z32" i="20"/>
  <c r="Z29" i="20"/>
  <c r="Z26" i="20"/>
  <c r="Z23" i="20"/>
  <c r="Z20" i="20"/>
  <c r="Z17" i="20"/>
  <c r="Z14" i="20"/>
  <c r="Z11" i="20"/>
  <c r="Z8" i="20"/>
  <c r="Z5" i="20"/>
  <c r="Z128" i="20"/>
  <c r="Z89" i="20"/>
  <c r="Z87" i="20"/>
  <c r="Z81" i="20"/>
  <c r="Z78" i="20"/>
  <c r="Z72" i="20"/>
  <c r="Z69" i="20"/>
  <c r="Z53" i="20"/>
  <c r="Z44" i="20"/>
  <c r="Z187" i="20"/>
  <c r="Z174" i="20"/>
  <c r="Z138" i="20"/>
  <c r="Z127" i="20"/>
  <c r="Z103" i="20"/>
  <c r="Z95" i="20"/>
  <c r="Z93" i="20"/>
  <c r="Z84" i="20"/>
  <c r="Z75" i="20"/>
  <c r="Z113" i="20"/>
  <c r="Z57" i="20"/>
  <c r="Z48" i="20"/>
  <c r="Z39" i="20"/>
  <c r="Z171" i="20"/>
  <c r="Z52" i="20"/>
  <c r="Z43" i="20"/>
  <c r="Z36" i="20"/>
  <c r="Z33" i="20"/>
  <c r="Z30" i="20"/>
  <c r="Z27" i="20"/>
  <c r="Z24" i="20"/>
  <c r="Z21" i="20"/>
  <c r="Z18" i="20"/>
  <c r="Z15" i="20"/>
  <c r="Z12" i="20"/>
  <c r="Z9" i="20"/>
  <c r="Z6" i="20"/>
  <c r="Z3" i="20"/>
  <c r="Z125" i="20"/>
  <c r="Z51" i="20"/>
  <c r="Z56" i="20"/>
  <c r="Z85" i="20"/>
  <c r="Z38" i="20"/>
  <c r="AA1" i="20"/>
  <c r="Z76" i="20"/>
  <c r="Z116" i="20"/>
  <c r="Z42" i="20"/>
  <c r="Z47" i="20"/>
  <c r="X185" i="23"/>
  <c r="X182" i="23"/>
  <c r="X179" i="23"/>
  <c r="X176" i="23"/>
  <c r="X173" i="23"/>
  <c r="X170" i="23"/>
  <c r="X167" i="23"/>
  <c r="X164" i="23"/>
  <c r="X161" i="23"/>
  <c r="X158" i="23"/>
  <c r="X155" i="23"/>
  <c r="X152" i="23"/>
  <c r="X149" i="23"/>
  <c r="X146" i="23"/>
  <c r="X143" i="23"/>
  <c r="X140" i="23"/>
  <c r="X137" i="23"/>
  <c r="X129" i="23"/>
  <c r="X124" i="23"/>
  <c r="X127" i="23"/>
  <c r="X135" i="23"/>
  <c r="X132" i="23"/>
  <c r="X183" i="23"/>
  <c r="X180" i="23"/>
  <c r="X177" i="23"/>
  <c r="X174" i="23"/>
  <c r="X171" i="23"/>
  <c r="X168" i="23"/>
  <c r="X165" i="23"/>
  <c r="X162" i="23"/>
  <c r="X159" i="23"/>
  <c r="X156" i="23"/>
  <c r="X153" i="23"/>
  <c r="X150" i="23"/>
  <c r="X147" i="23"/>
  <c r="X144" i="23"/>
  <c r="X141" i="23"/>
  <c r="X138" i="23"/>
  <c r="X119" i="23"/>
  <c r="X133" i="23"/>
  <c r="X128" i="23"/>
  <c r="X131" i="23"/>
  <c r="X115" i="23"/>
  <c r="X112" i="23"/>
  <c r="X109" i="23"/>
  <c r="X106" i="23"/>
  <c r="X103" i="23"/>
  <c r="X100" i="23"/>
  <c r="X97" i="23"/>
  <c r="X94" i="23"/>
  <c r="X91" i="23"/>
  <c r="X88" i="23"/>
  <c r="X85" i="23"/>
  <c r="X125" i="23"/>
  <c r="X118" i="23"/>
  <c r="X126" i="23"/>
  <c r="X123" i="23"/>
  <c r="X116" i="23"/>
  <c r="X113" i="23"/>
  <c r="X110" i="23"/>
  <c r="X107" i="23"/>
  <c r="X104" i="23"/>
  <c r="X101" i="23"/>
  <c r="X98" i="23"/>
  <c r="X95" i="23"/>
  <c r="X169" i="23"/>
  <c r="X114" i="23"/>
  <c r="X105" i="23"/>
  <c r="X175" i="23"/>
  <c r="X163" i="23"/>
  <c r="X148" i="23"/>
  <c r="X136" i="23"/>
  <c r="X120" i="23"/>
  <c r="X111" i="23"/>
  <c r="X102" i="23"/>
  <c r="X134" i="23"/>
  <c r="X181" i="23"/>
  <c r="X166" i="23"/>
  <c r="X154" i="23"/>
  <c r="X139" i="23"/>
  <c r="X121" i="23"/>
  <c r="X160" i="23"/>
  <c r="X93" i="23"/>
  <c r="X92" i="23"/>
  <c r="X86" i="23"/>
  <c r="X90" i="23"/>
  <c r="X82" i="23"/>
  <c r="X79" i="23"/>
  <c r="X76" i="23"/>
  <c r="X73" i="23"/>
  <c r="X70" i="23"/>
  <c r="X67" i="23"/>
  <c r="X64" i="23"/>
  <c r="X61" i="23"/>
  <c r="X58" i="23"/>
  <c r="X55" i="23"/>
  <c r="X52" i="23"/>
  <c r="X49" i="23"/>
  <c r="X172" i="23"/>
  <c r="X89" i="23"/>
  <c r="X96" i="23"/>
  <c r="X178" i="23"/>
  <c r="X151" i="23"/>
  <c r="X145" i="23"/>
  <c r="X142" i="23"/>
  <c r="X99" i="23"/>
  <c r="X122" i="23"/>
  <c r="X83" i="23"/>
  <c r="X130" i="23"/>
  <c r="X108" i="23"/>
  <c r="X87" i="23"/>
  <c r="X81" i="23"/>
  <c r="X78" i="23"/>
  <c r="X75" i="23"/>
  <c r="X72" i="23"/>
  <c r="X69" i="23"/>
  <c r="X66" i="23"/>
  <c r="X63" i="23"/>
  <c r="X60" i="23"/>
  <c r="X57" i="23"/>
  <c r="X54" i="23"/>
  <c r="X51" i="23"/>
  <c r="X48" i="23"/>
  <c r="X84" i="23"/>
  <c r="X77" i="23"/>
  <c r="X68" i="23"/>
  <c r="X53" i="23"/>
  <c r="X56" i="23"/>
  <c r="Y1" i="23"/>
  <c r="X157" i="23"/>
  <c r="X47" i="23"/>
  <c r="X44" i="23"/>
  <c r="X41" i="23"/>
  <c r="X38" i="23"/>
  <c r="X35" i="23"/>
  <c r="X32" i="23"/>
  <c r="X29" i="23"/>
  <c r="X26" i="23"/>
  <c r="X23" i="23"/>
  <c r="X20" i="23"/>
  <c r="X17" i="23"/>
  <c r="X14" i="23"/>
  <c r="X11" i="23"/>
  <c r="X8" i="23"/>
  <c r="X5" i="23"/>
  <c r="X74" i="23"/>
  <c r="X65" i="23"/>
  <c r="X50" i="23"/>
  <c r="X59" i="23"/>
  <c r="X45" i="23"/>
  <c r="X42" i="23"/>
  <c r="X39" i="23"/>
  <c r="X36" i="23"/>
  <c r="X33" i="23"/>
  <c r="X30" i="23"/>
  <c r="X27" i="23"/>
  <c r="X24" i="23"/>
  <c r="X21" i="23"/>
  <c r="X18" i="23"/>
  <c r="X15" i="23"/>
  <c r="X12" i="23"/>
  <c r="X9" i="23"/>
  <c r="X6" i="23"/>
  <c r="X3" i="23"/>
  <c r="X62" i="23"/>
  <c r="X40" i="23"/>
  <c r="X31" i="23"/>
  <c r="X22" i="23"/>
  <c r="X13" i="23"/>
  <c r="X4" i="23"/>
  <c r="X117" i="23"/>
  <c r="X46" i="23"/>
  <c r="X37" i="23"/>
  <c r="X28" i="23"/>
  <c r="X19" i="23"/>
  <c r="X10" i="23"/>
  <c r="X71" i="23"/>
  <c r="X184" i="23"/>
  <c r="X43" i="23"/>
  <c r="X34" i="23"/>
  <c r="X25" i="23"/>
  <c r="X16" i="23"/>
  <c r="X7" i="23"/>
  <c r="X80" i="23"/>
  <c r="X190" i="19"/>
  <c r="X187" i="19"/>
  <c r="X184" i="19"/>
  <c r="X181" i="19"/>
  <c r="X178" i="19"/>
  <c r="X175" i="19"/>
  <c r="X136" i="19"/>
  <c r="X189" i="19"/>
  <c r="X180" i="19"/>
  <c r="X139" i="19"/>
  <c r="X66" i="19"/>
  <c r="X63" i="19"/>
  <c r="X60" i="19"/>
  <c r="X57" i="19"/>
  <c r="X54" i="19"/>
  <c r="X51" i="19"/>
  <c r="X48" i="19"/>
  <c r="X45" i="19"/>
  <c r="X42" i="19"/>
  <c r="X39" i="19"/>
  <c r="X36" i="19"/>
  <c r="X33" i="19"/>
  <c r="X30" i="19"/>
  <c r="X27" i="19"/>
  <c r="X24" i="19"/>
  <c r="X21" i="19"/>
  <c r="X18" i="19"/>
  <c r="X15" i="19"/>
  <c r="X12" i="19"/>
  <c r="X9" i="19"/>
  <c r="X6" i="19"/>
  <c r="X3" i="19"/>
  <c r="X188" i="19"/>
  <c r="X179" i="19"/>
  <c r="X172" i="19"/>
  <c r="X169" i="19"/>
  <c r="X166" i="19"/>
  <c r="X163" i="19"/>
  <c r="X160" i="19"/>
  <c r="X157" i="19"/>
  <c r="X154" i="19"/>
  <c r="X151" i="19"/>
  <c r="X148" i="19"/>
  <c r="X145" i="19"/>
  <c r="X142" i="19"/>
  <c r="X134" i="19"/>
  <c r="X126" i="19"/>
  <c r="X123" i="19"/>
  <c r="X120" i="19"/>
  <c r="X117" i="19"/>
  <c r="X114" i="19"/>
  <c r="X111" i="19"/>
  <c r="X108" i="19"/>
  <c r="X105" i="19"/>
  <c r="X102" i="19"/>
  <c r="X99" i="19"/>
  <c r="X96" i="19"/>
  <c r="X93" i="19"/>
  <c r="X90" i="19"/>
  <c r="X87" i="19"/>
  <c r="X84" i="19"/>
  <c r="X81" i="19"/>
  <c r="X78" i="19"/>
  <c r="X75" i="19"/>
  <c r="X72" i="19"/>
  <c r="X69" i="19"/>
  <c r="X129" i="19"/>
  <c r="X135" i="19"/>
  <c r="X130" i="19"/>
  <c r="X127" i="19"/>
  <c r="Y1" i="19"/>
  <c r="X140" i="19"/>
  <c r="X62" i="19"/>
  <c r="X53" i="19"/>
  <c r="X44" i="19"/>
  <c r="X35" i="19"/>
  <c r="X26" i="19"/>
  <c r="X17" i="19"/>
  <c r="X8" i="19"/>
  <c r="X167" i="19"/>
  <c r="X158" i="19"/>
  <c r="X149" i="19"/>
  <c r="X125" i="19"/>
  <c r="X116" i="19"/>
  <c r="X107" i="19"/>
  <c r="X98" i="19"/>
  <c r="X89" i="19"/>
  <c r="X80" i="19"/>
  <c r="X71" i="19"/>
  <c r="X138" i="19"/>
  <c r="X132" i="19"/>
  <c r="X67" i="19"/>
  <c r="X58" i="19"/>
  <c r="X49" i="19"/>
  <c r="X40" i="19"/>
  <c r="X31" i="19"/>
  <c r="X22" i="19"/>
  <c r="X13" i="19"/>
  <c r="X4" i="19"/>
  <c r="X176" i="19"/>
  <c r="X174" i="19"/>
  <c r="X165" i="19"/>
  <c r="X156" i="19"/>
  <c r="X147" i="19"/>
  <c r="X121" i="19"/>
  <c r="X112" i="19"/>
  <c r="X103" i="19"/>
  <c r="X94" i="19"/>
  <c r="X85" i="19"/>
  <c r="X76" i="19"/>
  <c r="X185" i="19"/>
  <c r="X182" i="19"/>
  <c r="X170" i="19"/>
  <c r="X161" i="19"/>
  <c r="X152" i="19"/>
  <c r="X143" i="19"/>
  <c r="X119" i="19"/>
  <c r="X110" i="19"/>
  <c r="X101" i="19"/>
  <c r="X92" i="19"/>
  <c r="X83" i="19"/>
  <c r="X74" i="19"/>
  <c r="X128" i="19"/>
  <c r="X61" i="19"/>
  <c r="X52" i="19"/>
  <c r="X43" i="19"/>
  <c r="X34" i="19"/>
  <c r="X25" i="19"/>
  <c r="X16" i="19"/>
  <c r="X7" i="19"/>
  <c r="X137" i="19"/>
  <c r="X59" i="19"/>
  <c r="X50" i="19"/>
  <c r="X41" i="19"/>
  <c r="X32" i="19"/>
  <c r="X23" i="19"/>
  <c r="X14" i="19"/>
  <c r="X5" i="19"/>
  <c r="X186" i="19"/>
  <c r="X164" i="19"/>
  <c r="X133" i="19"/>
  <c r="X65" i="19"/>
  <c r="X29" i="19"/>
  <c r="X19" i="19"/>
  <c r="X150" i="19"/>
  <c r="X173" i="19"/>
  <c r="X131" i="19"/>
  <c r="X46" i="19"/>
  <c r="X11" i="19"/>
  <c r="X177" i="19"/>
  <c r="X168" i="19"/>
  <c r="X162" i="19"/>
  <c r="X55" i="19"/>
  <c r="X38" i="19"/>
  <c r="X171" i="19"/>
  <c r="X146" i="19"/>
  <c r="X64" i="19"/>
  <c r="X47" i="19"/>
  <c r="X124" i="19"/>
  <c r="X28" i="19"/>
  <c r="X10" i="19"/>
  <c r="X183" i="19"/>
  <c r="X155" i="19"/>
  <c r="X82" i="19"/>
  <c r="X73" i="19"/>
  <c r="X159" i="19"/>
  <c r="X68" i="19"/>
  <c r="X118" i="19"/>
  <c r="X109" i="19"/>
  <c r="X100" i="19"/>
  <c r="X91" i="19"/>
  <c r="X77" i="19"/>
  <c r="X70" i="19"/>
  <c r="X104" i="19"/>
  <c r="X95" i="19"/>
  <c r="X86" i="19"/>
  <c r="X79" i="19"/>
  <c r="X56" i="19"/>
  <c r="X153" i="19"/>
  <c r="X115" i="19"/>
  <c r="X106" i="19"/>
  <c r="X97" i="19"/>
  <c r="X141" i="19"/>
  <c r="X122" i="19"/>
  <c r="X37" i="19"/>
  <c r="X113" i="19"/>
  <c r="X88" i="19"/>
  <c r="X20" i="19"/>
  <c r="X144" i="19"/>
  <c r="X175" i="26"/>
  <c r="X172" i="26"/>
  <c r="X169" i="26"/>
  <c r="X166" i="26"/>
  <c r="X163" i="26"/>
  <c r="X160" i="26"/>
  <c r="X174" i="26"/>
  <c r="X165" i="26"/>
  <c r="X176" i="26"/>
  <c r="X167" i="26"/>
  <c r="X157" i="26"/>
  <c r="X154" i="26"/>
  <c r="X151" i="26"/>
  <c r="X148" i="26"/>
  <c r="X145" i="26"/>
  <c r="X142" i="26"/>
  <c r="X139" i="26"/>
  <c r="X136" i="26"/>
  <c r="X133" i="26"/>
  <c r="X171" i="26"/>
  <c r="X162" i="26"/>
  <c r="X158" i="26"/>
  <c r="X152" i="26"/>
  <c r="X143" i="26"/>
  <c r="X134" i="26"/>
  <c r="X168" i="26"/>
  <c r="X128" i="26"/>
  <c r="X124" i="26"/>
  <c r="X115" i="26"/>
  <c r="X111" i="26"/>
  <c r="X108" i="26"/>
  <c r="X105" i="26"/>
  <c r="X102" i="26"/>
  <c r="X99" i="26"/>
  <c r="X96" i="26"/>
  <c r="X93" i="26"/>
  <c r="X90" i="26"/>
  <c r="X87" i="26"/>
  <c r="X84" i="26"/>
  <c r="X81" i="26"/>
  <c r="X78" i="26"/>
  <c r="X75" i="26"/>
  <c r="X72" i="26"/>
  <c r="X161" i="26"/>
  <c r="X153" i="26"/>
  <c r="X144" i="26"/>
  <c r="X135" i="26"/>
  <c r="X173" i="26"/>
  <c r="X155" i="26"/>
  <c r="X146" i="26"/>
  <c r="X137" i="26"/>
  <c r="X131" i="26"/>
  <c r="X130" i="26"/>
  <c r="X125" i="26"/>
  <c r="X116" i="26"/>
  <c r="X113" i="26"/>
  <c r="X109" i="26"/>
  <c r="X106" i="26"/>
  <c r="X103" i="26"/>
  <c r="X100" i="26"/>
  <c r="X97" i="26"/>
  <c r="X94" i="26"/>
  <c r="X91" i="26"/>
  <c r="X88" i="26"/>
  <c r="X85" i="26"/>
  <c r="X82" i="26"/>
  <c r="X79" i="26"/>
  <c r="X76" i="26"/>
  <c r="X73" i="26"/>
  <c r="X159" i="26"/>
  <c r="X156" i="26"/>
  <c r="X147" i="26"/>
  <c r="X138" i="26"/>
  <c r="X164" i="26"/>
  <c r="X149" i="26"/>
  <c r="X140" i="26"/>
  <c r="X170" i="26"/>
  <c r="X150" i="26"/>
  <c r="X141" i="26"/>
  <c r="X123" i="26"/>
  <c r="X114" i="26"/>
  <c r="X110" i="26"/>
  <c r="X107" i="26"/>
  <c r="X104" i="26"/>
  <c r="X101" i="26"/>
  <c r="X98" i="26"/>
  <c r="X95" i="26"/>
  <c r="X92" i="26"/>
  <c r="X89" i="26"/>
  <c r="X86" i="26"/>
  <c r="X83" i="26"/>
  <c r="X80" i="26"/>
  <c r="X77" i="26"/>
  <c r="X74" i="26"/>
  <c r="X71" i="26"/>
  <c r="X70" i="26"/>
  <c r="X68" i="26"/>
  <c r="X65" i="26"/>
  <c r="X62" i="26"/>
  <c r="X59" i="26"/>
  <c r="X56" i="26"/>
  <c r="X53" i="26"/>
  <c r="X132" i="26"/>
  <c r="X67" i="26"/>
  <c r="X64" i="26"/>
  <c r="X61" i="26"/>
  <c r="X58" i="26"/>
  <c r="X55" i="26"/>
  <c r="X69" i="26"/>
  <c r="X60" i="26"/>
  <c r="X49" i="26"/>
  <c r="X46" i="26"/>
  <c r="X43" i="26"/>
  <c r="X40" i="26"/>
  <c r="X37" i="26"/>
  <c r="X34" i="26"/>
  <c r="X31" i="26"/>
  <c r="X28" i="26"/>
  <c r="X25" i="26"/>
  <c r="X22" i="26"/>
  <c r="X19" i="26"/>
  <c r="X16" i="26"/>
  <c r="X13" i="26"/>
  <c r="X10" i="26"/>
  <c r="X7" i="26"/>
  <c r="X4" i="26"/>
  <c r="X129" i="26"/>
  <c r="X51" i="26"/>
  <c r="Y1" i="26"/>
  <c r="X127" i="26"/>
  <c r="X63" i="26"/>
  <c r="X54" i="26"/>
  <c r="X50" i="26"/>
  <c r="X47" i="26"/>
  <c r="X44" i="26"/>
  <c r="X41" i="26"/>
  <c r="X38" i="26"/>
  <c r="X35" i="26"/>
  <c r="X32" i="26"/>
  <c r="X29" i="26"/>
  <c r="X26" i="26"/>
  <c r="X23" i="26"/>
  <c r="X20" i="26"/>
  <c r="X17" i="26"/>
  <c r="X14" i="26"/>
  <c r="X11" i="26"/>
  <c r="X8" i="26"/>
  <c r="X5" i="26"/>
  <c r="X52" i="26"/>
  <c r="X48" i="26"/>
  <c r="X45" i="26"/>
  <c r="X39" i="26"/>
  <c r="X12" i="26"/>
  <c r="X36" i="26"/>
  <c r="X33" i="26"/>
  <c r="X9" i="26"/>
  <c r="X6" i="26"/>
  <c r="X30" i="26"/>
  <c r="X3" i="26"/>
  <c r="X57" i="26"/>
  <c r="X27" i="26"/>
  <c r="X24" i="26"/>
  <c r="X42" i="26"/>
  <c r="X18" i="26"/>
  <c r="X15" i="26"/>
  <c r="X21" i="26"/>
  <c r="X66" i="26"/>
  <c r="Y177" i="25"/>
  <c r="Y178" i="25"/>
  <c r="Y179" i="25"/>
  <c r="Y174" i="25"/>
  <c r="Y171" i="25"/>
  <c r="Y168" i="25"/>
  <c r="Y165" i="25"/>
  <c r="Y162" i="25"/>
  <c r="Y159" i="25"/>
  <c r="Y156" i="25"/>
  <c r="Y153" i="25"/>
  <c r="Y150" i="25"/>
  <c r="Y147" i="25"/>
  <c r="Y144" i="25"/>
  <c r="Y141" i="25"/>
  <c r="Y138" i="25"/>
  <c r="Y135" i="25"/>
  <c r="Y175" i="25"/>
  <c r="Y172" i="25"/>
  <c r="Y169" i="25"/>
  <c r="Y166" i="25"/>
  <c r="Y163" i="25"/>
  <c r="Y160" i="25"/>
  <c r="Y157" i="25"/>
  <c r="Y154" i="25"/>
  <c r="Y151" i="25"/>
  <c r="Y148" i="25"/>
  <c r="Y145" i="25"/>
  <c r="Y142" i="25"/>
  <c r="Y139" i="25"/>
  <c r="Y136" i="25"/>
  <c r="Y173" i="25"/>
  <c r="Y164" i="25"/>
  <c r="Y155" i="25"/>
  <c r="Y146" i="25"/>
  <c r="Y137" i="25"/>
  <c r="Y124" i="25"/>
  <c r="Y127" i="25"/>
  <c r="Y122" i="25"/>
  <c r="Y170" i="25"/>
  <c r="Y161" i="25"/>
  <c r="Y152" i="25"/>
  <c r="Y143" i="25"/>
  <c r="Y120" i="25"/>
  <c r="Y117" i="25"/>
  <c r="Y129" i="25"/>
  <c r="Y126" i="25"/>
  <c r="Y158" i="25"/>
  <c r="Y98" i="25"/>
  <c r="Y134" i="25"/>
  <c r="Y130" i="25"/>
  <c r="Y95" i="25"/>
  <c r="Y92" i="25"/>
  <c r="Y89" i="25"/>
  <c r="Y86" i="25"/>
  <c r="Y83" i="25"/>
  <c r="Y80" i="25"/>
  <c r="Y77" i="25"/>
  <c r="Y167" i="25"/>
  <c r="Y115" i="25"/>
  <c r="Y114" i="25"/>
  <c r="Y113" i="25"/>
  <c r="Y112" i="25"/>
  <c r="Y111" i="25"/>
  <c r="Y110" i="25"/>
  <c r="Y109" i="25"/>
  <c r="Y176" i="25"/>
  <c r="Y131" i="25"/>
  <c r="Y121" i="25"/>
  <c r="Y101" i="25"/>
  <c r="Y140" i="25"/>
  <c r="Y123" i="25"/>
  <c r="Y96" i="25"/>
  <c r="Y93" i="25"/>
  <c r="Y90" i="25"/>
  <c r="Y87" i="25"/>
  <c r="Y84" i="25"/>
  <c r="Y81" i="25"/>
  <c r="Y78" i="25"/>
  <c r="Y75" i="25"/>
  <c r="Y132" i="25"/>
  <c r="Y128" i="25"/>
  <c r="Y72" i="25"/>
  <c r="Y68" i="25"/>
  <c r="Y65" i="25"/>
  <c r="Y62" i="25"/>
  <c r="Y59" i="25"/>
  <c r="Y56" i="25"/>
  <c r="Y53" i="25"/>
  <c r="Y50" i="25"/>
  <c r="Y47" i="25"/>
  <c r="Y44" i="25"/>
  <c r="Y106" i="25"/>
  <c r="Y103" i="25"/>
  <c r="Y91" i="25"/>
  <c r="Y82" i="25"/>
  <c r="Y100" i="25"/>
  <c r="Y71" i="25"/>
  <c r="Y119" i="25"/>
  <c r="Y118" i="25"/>
  <c r="Y116" i="25"/>
  <c r="Y108" i="25"/>
  <c r="Y105" i="25"/>
  <c r="Y102" i="25"/>
  <c r="Y149" i="25"/>
  <c r="Y107" i="25"/>
  <c r="Y104" i="25"/>
  <c r="Y97" i="25"/>
  <c r="Y125" i="25"/>
  <c r="Y74" i="25"/>
  <c r="Y43" i="25"/>
  <c r="Y99" i="25"/>
  <c r="Y42" i="25"/>
  <c r="Y40" i="25"/>
  <c r="Y37" i="25"/>
  <c r="Y34" i="25"/>
  <c r="Y31" i="25"/>
  <c r="Y28" i="25"/>
  <c r="Y25" i="25"/>
  <c r="Y22" i="25"/>
  <c r="Y19" i="25"/>
  <c r="Y16" i="25"/>
  <c r="Y13" i="25"/>
  <c r="Y10" i="25"/>
  <c r="Y79" i="25"/>
  <c r="Y73" i="25"/>
  <c r="Y45" i="25"/>
  <c r="Y41" i="25"/>
  <c r="Y38" i="25"/>
  <c r="Y35" i="25"/>
  <c r="Y32" i="25"/>
  <c r="Y29" i="25"/>
  <c r="Y26" i="25"/>
  <c r="Y23" i="25"/>
  <c r="Y20" i="25"/>
  <c r="Y17" i="25"/>
  <c r="Y14" i="25"/>
  <c r="Y11" i="25"/>
  <c r="Y8" i="25"/>
  <c r="Y88" i="25"/>
  <c r="Y76" i="25"/>
  <c r="Y133" i="25"/>
  <c r="Y70" i="25"/>
  <c r="Y67" i="25"/>
  <c r="Y64" i="25"/>
  <c r="Y61" i="25"/>
  <c r="Y58" i="25"/>
  <c r="Y55" i="25"/>
  <c r="Y52" i="25"/>
  <c r="Y49" i="25"/>
  <c r="Y46" i="25"/>
  <c r="Y85" i="25"/>
  <c r="Y69" i="25"/>
  <c r="Y66" i="25"/>
  <c r="Y63" i="25"/>
  <c r="Y60" i="25"/>
  <c r="Y57" i="25"/>
  <c r="Y54" i="25"/>
  <c r="Y51" i="25"/>
  <c r="Y48" i="25"/>
  <c r="Z1" i="25"/>
  <c r="Y5" i="25"/>
  <c r="Y39" i="25"/>
  <c r="Y36" i="25"/>
  <c r="Y33" i="25"/>
  <c r="Y30" i="25"/>
  <c r="Y27" i="25"/>
  <c r="Y24" i="25"/>
  <c r="Y21" i="25"/>
  <c r="Y18" i="25"/>
  <c r="Y15" i="25"/>
  <c r="Y12" i="25"/>
  <c r="Y9" i="25"/>
  <c r="Y6" i="25"/>
  <c r="Y3" i="25"/>
  <c r="Y7" i="25"/>
  <c r="Y4" i="25"/>
  <c r="Y94" i="25"/>
  <c r="Z193" i="16" l="1"/>
  <c r="Z190" i="16"/>
  <c r="Z187" i="16"/>
  <c r="Z184" i="16"/>
  <c r="Z181" i="16"/>
  <c r="Z176" i="16"/>
  <c r="Z174" i="16"/>
  <c r="Z171" i="16"/>
  <c r="Z168" i="16"/>
  <c r="Z165" i="16"/>
  <c r="Z162" i="16"/>
  <c r="Z159" i="16"/>
  <c r="Z156" i="16"/>
  <c r="Z153" i="16"/>
  <c r="Z150" i="16"/>
  <c r="Z147" i="16"/>
  <c r="Z144" i="16"/>
  <c r="Z128" i="16"/>
  <c r="Z125" i="16"/>
  <c r="Z122" i="16"/>
  <c r="Z119" i="16"/>
  <c r="Z116" i="16"/>
  <c r="Z113" i="16"/>
  <c r="Z110" i="16"/>
  <c r="Z107" i="16"/>
  <c r="Z104" i="16"/>
  <c r="Z101" i="16"/>
  <c r="Z98" i="16"/>
  <c r="Z95" i="16"/>
  <c r="Z92" i="16"/>
  <c r="Z89" i="16"/>
  <c r="Z86" i="16"/>
  <c r="Z83" i="16"/>
  <c r="Z80" i="16"/>
  <c r="Z77" i="16"/>
  <c r="Z74" i="16"/>
  <c r="Z71" i="16"/>
  <c r="Z134" i="16"/>
  <c r="Z131" i="16"/>
  <c r="Z186" i="16"/>
  <c r="Z185" i="16"/>
  <c r="Z178" i="16"/>
  <c r="Z175" i="16"/>
  <c r="Z172" i="16"/>
  <c r="Z169" i="16"/>
  <c r="Z166" i="16"/>
  <c r="Z163" i="16"/>
  <c r="Z160" i="16"/>
  <c r="Z157" i="16"/>
  <c r="Z154" i="16"/>
  <c r="Z151" i="16"/>
  <c r="Z148" i="16"/>
  <c r="Z145" i="16"/>
  <c r="Z137" i="16"/>
  <c r="Z129" i="16"/>
  <c r="Z126" i="16"/>
  <c r="Z123" i="16"/>
  <c r="Z120" i="16"/>
  <c r="Z117" i="16"/>
  <c r="Z114" i="16"/>
  <c r="Z111" i="16"/>
  <c r="Z108" i="16"/>
  <c r="Z105" i="16"/>
  <c r="Z102" i="16"/>
  <c r="Z99" i="16"/>
  <c r="Z96" i="16"/>
  <c r="Z93" i="16"/>
  <c r="Z90" i="16"/>
  <c r="Z87" i="16"/>
  <c r="Z84" i="16"/>
  <c r="Z81" i="16"/>
  <c r="Z78" i="16"/>
  <c r="Z75" i="16"/>
  <c r="Z72" i="16"/>
  <c r="Z192" i="16"/>
  <c r="Z183" i="16"/>
  <c r="Z135" i="16"/>
  <c r="Z182" i="16"/>
  <c r="Z191" i="16"/>
  <c r="Z173" i="16"/>
  <c r="Z170" i="16"/>
  <c r="Z167" i="16"/>
  <c r="Z164" i="16"/>
  <c r="Z161" i="16"/>
  <c r="Z158" i="16"/>
  <c r="Z155" i="16"/>
  <c r="Z152" i="16"/>
  <c r="Z149" i="16"/>
  <c r="Z146" i="16"/>
  <c r="Z127" i="16"/>
  <c r="Z124" i="16"/>
  <c r="Z121" i="16"/>
  <c r="Z118" i="16"/>
  <c r="Z115" i="16"/>
  <c r="Z112" i="16"/>
  <c r="Z109" i="16"/>
  <c r="Z106" i="16"/>
  <c r="Z103" i="16"/>
  <c r="Z100" i="16"/>
  <c r="Z97" i="16"/>
  <c r="Z94" i="16"/>
  <c r="Z91" i="16"/>
  <c r="Z88" i="16"/>
  <c r="Z85" i="16"/>
  <c r="Z82" i="16"/>
  <c r="Z79" i="16"/>
  <c r="Z76" i="16"/>
  <c r="Z73" i="16"/>
  <c r="Z70" i="16"/>
  <c r="Z189" i="16"/>
  <c r="Z180" i="16"/>
  <c r="Z143" i="16"/>
  <c r="Z132" i="16"/>
  <c r="Z177" i="16"/>
  <c r="Z130" i="16"/>
  <c r="Z141" i="16"/>
  <c r="Z139" i="16"/>
  <c r="AA1" i="16"/>
  <c r="Z133" i="16"/>
  <c r="Z142" i="16"/>
  <c r="Z188" i="16"/>
  <c r="Z68" i="16"/>
  <c r="Z67" i="16"/>
  <c r="Z66" i="16"/>
  <c r="Z65" i="16"/>
  <c r="Z64" i="16"/>
  <c r="Z63" i="16"/>
  <c r="Z62" i="16"/>
  <c r="Z61" i="16"/>
  <c r="Z60" i="16"/>
  <c r="Z59" i="16"/>
  <c r="Z58" i="16"/>
  <c r="Z57" i="16"/>
  <c r="Z56" i="16"/>
  <c r="Z55" i="16"/>
  <c r="Z54" i="16"/>
  <c r="Z53" i="16"/>
  <c r="Z52" i="16"/>
  <c r="Z51" i="16"/>
  <c r="Z50" i="16"/>
  <c r="Z49" i="16"/>
  <c r="Z48" i="16"/>
  <c r="Z47" i="16"/>
  <c r="Z46" i="16"/>
  <c r="Z45" i="16"/>
  <c r="Z44" i="16"/>
  <c r="Z43" i="16"/>
  <c r="Z42" i="16"/>
  <c r="Z41" i="16"/>
  <c r="Z40" i="16"/>
  <c r="Z39" i="16"/>
  <c r="Z38" i="16"/>
  <c r="Z37" i="16"/>
  <c r="Z36" i="16"/>
  <c r="Z35" i="16"/>
  <c r="Z34" i="16"/>
  <c r="Z33" i="16"/>
  <c r="Z32" i="16"/>
  <c r="Z31" i="16"/>
  <c r="Z30" i="16"/>
  <c r="Z29" i="16"/>
  <c r="Z28" i="16"/>
  <c r="Z27" i="16"/>
  <c r="Z26" i="16"/>
  <c r="Z25" i="16"/>
  <c r="Z24" i="16"/>
  <c r="Z23" i="16"/>
  <c r="Z22" i="16"/>
  <c r="Z21" i="16"/>
  <c r="Z20" i="16"/>
  <c r="Z19" i="16"/>
  <c r="Z18" i="16"/>
  <c r="Z17" i="16"/>
  <c r="Z16" i="16"/>
  <c r="Z15" i="16"/>
  <c r="Z14" i="16"/>
  <c r="Z13" i="16"/>
  <c r="Z12" i="16"/>
  <c r="Z11" i="16"/>
  <c r="Z10" i="16"/>
  <c r="Z9" i="16"/>
  <c r="Z8" i="16"/>
  <c r="Z7" i="16"/>
  <c r="Z6" i="16"/>
  <c r="Z5" i="16"/>
  <c r="Z4" i="16"/>
  <c r="Z3" i="16"/>
  <c r="Z69" i="16"/>
  <c r="Z179" i="16"/>
  <c r="Z136" i="16"/>
  <c r="Z140" i="16"/>
  <c r="Z138" i="16"/>
  <c r="Y133" i="21"/>
  <c r="Y128" i="21"/>
  <c r="Y125" i="21"/>
  <c r="Y136" i="21"/>
  <c r="Y131" i="21"/>
  <c r="Y187" i="21"/>
  <c r="Y184" i="21"/>
  <c r="Y181" i="21"/>
  <c r="Y178" i="21"/>
  <c r="Y175" i="21"/>
  <c r="Y172" i="21"/>
  <c r="Y169" i="21"/>
  <c r="Y166" i="21"/>
  <c r="Y163" i="21"/>
  <c r="Y160" i="21"/>
  <c r="Y157" i="21"/>
  <c r="Y154" i="21"/>
  <c r="Y151" i="21"/>
  <c r="Y148" i="21"/>
  <c r="Y145" i="21"/>
  <c r="Y142" i="21"/>
  <c r="Y139" i="21"/>
  <c r="Y123" i="21"/>
  <c r="Y120" i="21"/>
  <c r="Y117" i="21"/>
  <c r="Y114" i="21"/>
  <c r="Y111" i="21"/>
  <c r="Y188" i="21"/>
  <c r="Y185" i="21"/>
  <c r="Y182" i="21"/>
  <c r="Y179" i="21"/>
  <c r="Y176" i="21"/>
  <c r="Y173" i="21"/>
  <c r="Y170" i="21"/>
  <c r="Y167" i="21"/>
  <c r="Y164" i="21"/>
  <c r="Y161" i="21"/>
  <c r="Y158" i="21"/>
  <c r="Y155" i="21"/>
  <c r="Y152" i="21"/>
  <c r="Y149" i="21"/>
  <c r="Y146" i="21"/>
  <c r="Y143" i="21"/>
  <c r="Y140" i="21"/>
  <c r="Y132" i="21"/>
  <c r="Y124" i="21"/>
  <c r="Y121" i="21"/>
  <c r="Y118" i="21"/>
  <c r="Y115" i="21"/>
  <c r="Y112" i="21"/>
  <c r="Y127" i="21"/>
  <c r="Y137" i="21"/>
  <c r="Y108" i="21"/>
  <c r="Y105" i="21"/>
  <c r="Y102" i="21"/>
  <c r="Y99" i="21"/>
  <c r="Y96" i="21"/>
  <c r="Y93" i="21"/>
  <c r="Y90" i="21"/>
  <c r="Y87" i="21"/>
  <c r="Y84" i="21"/>
  <c r="Y81" i="21"/>
  <c r="Y78" i="21"/>
  <c r="Y75" i="21"/>
  <c r="Y72" i="21"/>
  <c r="Y69" i="21"/>
  <c r="Y66" i="21"/>
  <c r="Y63" i="21"/>
  <c r="Y60" i="21"/>
  <c r="Y57" i="21"/>
  <c r="Y54" i="21"/>
  <c r="Y150" i="21"/>
  <c r="Y141" i="21"/>
  <c r="Y159" i="21"/>
  <c r="Y129" i="21"/>
  <c r="Y126" i="21"/>
  <c r="Y109" i="21"/>
  <c r="Y106" i="21"/>
  <c r="Y103" i="21"/>
  <c r="Y100" i="21"/>
  <c r="Y97" i="21"/>
  <c r="Y94" i="21"/>
  <c r="Y91" i="21"/>
  <c r="Y88" i="21"/>
  <c r="Y85" i="21"/>
  <c r="Y82" i="21"/>
  <c r="Y79" i="21"/>
  <c r="Y76" i="21"/>
  <c r="Y73" i="21"/>
  <c r="Y70" i="21"/>
  <c r="Y67" i="21"/>
  <c r="Y64" i="21"/>
  <c r="Y61" i="21"/>
  <c r="Y58" i="21"/>
  <c r="Y55" i="21"/>
  <c r="Y52" i="21"/>
  <c r="Y49" i="21"/>
  <c r="Y46" i="21"/>
  <c r="Y43" i="21"/>
  <c r="Y40" i="21"/>
  <c r="Y37" i="21"/>
  <c r="Y34" i="21"/>
  <c r="Y31" i="21"/>
  <c r="Y28" i="21"/>
  <c r="Y25" i="21"/>
  <c r="Y22" i="21"/>
  <c r="Y19" i="21"/>
  <c r="Y147" i="21"/>
  <c r="Y138" i="21"/>
  <c r="Y135" i="21"/>
  <c r="Y110" i="21"/>
  <c r="Y107" i="21"/>
  <c r="Y104" i="21"/>
  <c r="Y101" i="21"/>
  <c r="Y98" i="21"/>
  <c r="Y95" i="21"/>
  <c r="Y92" i="21"/>
  <c r="Y89" i="21"/>
  <c r="Y86" i="21"/>
  <c r="Y83" i="21"/>
  <c r="Y80" i="21"/>
  <c r="Y77" i="21"/>
  <c r="Y74" i="21"/>
  <c r="Y71" i="21"/>
  <c r="Y68" i="21"/>
  <c r="Y65" i="21"/>
  <c r="Y62" i="21"/>
  <c r="Y59" i="21"/>
  <c r="Y56" i="21"/>
  <c r="Y53" i="21"/>
  <c r="Y50" i="21"/>
  <c r="Y153" i="21"/>
  <c r="Y144" i="21"/>
  <c r="Y14" i="21"/>
  <c r="Y11" i="21"/>
  <c r="Y8" i="21"/>
  <c r="Y5" i="21"/>
  <c r="Y134" i="21"/>
  <c r="Y45" i="21"/>
  <c r="Y41" i="21"/>
  <c r="Y36" i="21"/>
  <c r="Y32" i="21"/>
  <c r="Y27" i="21"/>
  <c r="Y23" i="21"/>
  <c r="Y18" i="21"/>
  <c r="Y15" i="21"/>
  <c r="Y12" i="21"/>
  <c r="Y9" i="21"/>
  <c r="Y6" i="21"/>
  <c r="Y3" i="21"/>
  <c r="Y171" i="21"/>
  <c r="Y168" i="21"/>
  <c r="Y165" i="21"/>
  <c r="Y156" i="21"/>
  <c r="Y183" i="21"/>
  <c r="Y174" i="21"/>
  <c r="Y130" i="21"/>
  <c r="Y16" i="21"/>
  <c r="Y13" i="21"/>
  <c r="Y10" i="21"/>
  <c r="Y7" i="21"/>
  <c r="Y4" i="21"/>
  <c r="Y44" i="21"/>
  <c r="Y39" i="21"/>
  <c r="Y35" i="21"/>
  <c r="Y30" i="21"/>
  <c r="Y26" i="21"/>
  <c r="Y21" i="21"/>
  <c r="Y17" i="21"/>
  <c r="Y162" i="21"/>
  <c r="Z1" i="21"/>
  <c r="Y116" i="21"/>
  <c r="Y180" i="21"/>
  <c r="Y38" i="21"/>
  <c r="Y33" i="21"/>
  <c r="Y177" i="21"/>
  <c r="Y119" i="21"/>
  <c r="Y29" i="21"/>
  <c r="Y24" i="21"/>
  <c r="Y186" i="21"/>
  <c r="Y122" i="21"/>
  <c r="Y113" i="21"/>
  <c r="Y51" i="21"/>
  <c r="Y48" i="21"/>
  <c r="Y47" i="21"/>
  <c r="Y42" i="21"/>
  <c r="Y20" i="21"/>
  <c r="Y174" i="27"/>
  <c r="Y171" i="27"/>
  <c r="Y168" i="27"/>
  <c r="Y165" i="27"/>
  <c r="Y162" i="27"/>
  <c r="Y159" i="27"/>
  <c r="Y156" i="27"/>
  <c r="Y153" i="27"/>
  <c r="Y150" i="27"/>
  <c r="Y147" i="27"/>
  <c r="Y175" i="27"/>
  <c r="Y172" i="27"/>
  <c r="Y169" i="27"/>
  <c r="Y166" i="27"/>
  <c r="Y163" i="27"/>
  <c r="Y160" i="27"/>
  <c r="Y157" i="27"/>
  <c r="Y154" i="27"/>
  <c r="Y151" i="27"/>
  <c r="Y148" i="27"/>
  <c r="Y145" i="27"/>
  <c r="Y176" i="27"/>
  <c r="Y173" i="27"/>
  <c r="Y170" i="27"/>
  <c r="Y167" i="27"/>
  <c r="Y164" i="27"/>
  <c r="Y161" i="27"/>
  <c r="Y158" i="27"/>
  <c r="Y155" i="27"/>
  <c r="Y152" i="27"/>
  <c r="Y149" i="27"/>
  <c r="Y146" i="27"/>
  <c r="Y143" i="27"/>
  <c r="Y140" i="27"/>
  <c r="Y137" i="27"/>
  <c r="Y134" i="27"/>
  <c r="Y131" i="27"/>
  <c r="Y128" i="27"/>
  <c r="Y124" i="27"/>
  <c r="Y115" i="27"/>
  <c r="Y111" i="27"/>
  <c r="Y144" i="27"/>
  <c r="Y141" i="27"/>
  <c r="Y138" i="27"/>
  <c r="Y135" i="27"/>
  <c r="Y132" i="27"/>
  <c r="Y129" i="27"/>
  <c r="Y125" i="27"/>
  <c r="Y116" i="27"/>
  <c r="Y113" i="27"/>
  <c r="Y109" i="27"/>
  <c r="Y106" i="27"/>
  <c r="Y103" i="27"/>
  <c r="Y100" i="27"/>
  <c r="Y97" i="27"/>
  <c r="Y94" i="27"/>
  <c r="Y91" i="27"/>
  <c r="Y88" i="27"/>
  <c r="Y142" i="27"/>
  <c r="Y139" i="27"/>
  <c r="Y136" i="27"/>
  <c r="Y133" i="27"/>
  <c r="Y130" i="27"/>
  <c r="Y127" i="27"/>
  <c r="Y123" i="27"/>
  <c r="Y114" i="27"/>
  <c r="Y107" i="27"/>
  <c r="Y104" i="27"/>
  <c r="Y101" i="27"/>
  <c r="Y98" i="27"/>
  <c r="Y95" i="27"/>
  <c r="Y92" i="27"/>
  <c r="Y89" i="27"/>
  <c r="Y85" i="27"/>
  <c r="Y82" i="27"/>
  <c r="Y79" i="27"/>
  <c r="Y76" i="27"/>
  <c r="Y73" i="27"/>
  <c r="Y70" i="27"/>
  <c r="Y67" i="27"/>
  <c r="Y64" i="27"/>
  <c r="Y110" i="27"/>
  <c r="Y83" i="27"/>
  <c r="Y80" i="27"/>
  <c r="Y77" i="27"/>
  <c r="Y74" i="27"/>
  <c r="Y71" i="27"/>
  <c r="Y68" i="27"/>
  <c r="Y65" i="27"/>
  <c r="Y108" i="27"/>
  <c r="Y105" i="27"/>
  <c r="Y102" i="27"/>
  <c r="Y99" i="27"/>
  <c r="Y96" i="27"/>
  <c r="Y93" i="27"/>
  <c r="Y90" i="27"/>
  <c r="Y84" i="27"/>
  <c r="Y81" i="27"/>
  <c r="Y78" i="27"/>
  <c r="Y75" i="27"/>
  <c r="Y72" i="27"/>
  <c r="Y69" i="27"/>
  <c r="Y66" i="27"/>
  <c r="Y87" i="27"/>
  <c r="Y62" i="27"/>
  <c r="Y59" i="27"/>
  <c r="Y56" i="27"/>
  <c r="Y53" i="27"/>
  <c r="Y50" i="27"/>
  <c r="Y47" i="27"/>
  <c r="Y44" i="27"/>
  <c r="Y41" i="27"/>
  <c r="Y38" i="27"/>
  <c r="Y63" i="27"/>
  <c r="Y60" i="27"/>
  <c r="Y57" i="27"/>
  <c r="Y54" i="27"/>
  <c r="Y51" i="27"/>
  <c r="Y48" i="27"/>
  <c r="Y45" i="27"/>
  <c r="Y42" i="27"/>
  <c r="Y39" i="27"/>
  <c r="Y86" i="27"/>
  <c r="Y61" i="27"/>
  <c r="Y58" i="27"/>
  <c r="Y55" i="27"/>
  <c r="Y52" i="27"/>
  <c r="Y49" i="27"/>
  <c r="Y46" i="27"/>
  <c r="Y43" i="27"/>
  <c r="Y40" i="27"/>
  <c r="Y37" i="27"/>
  <c r="Y36" i="27"/>
  <c r="Y33" i="27"/>
  <c r="Y30" i="27"/>
  <c r="Y27" i="27"/>
  <c r="Y24" i="27"/>
  <c r="Y21" i="27"/>
  <c r="Y18" i="27"/>
  <c r="Y15" i="27"/>
  <c r="Y12" i="27"/>
  <c r="Y34" i="27"/>
  <c r="Y31" i="27"/>
  <c r="Y28" i="27"/>
  <c r="Y25" i="27"/>
  <c r="Y22" i="27"/>
  <c r="Y19" i="27"/>
  <c r="Y16" i="27"/>
  <c r="Y13" i="27"/>
  <c r="Y10" i="27"/>
  <c r="Y35" i="27"/>
  <c r="Y32" i="27"/>
  <c r="Y29" i="27"/>
  <c r="Y26" i="27"/>
  <c r="Y23" i="27"/>
  <c r="Y20" i="27"/>
  <c r="Y17" i="27"/>
  <c r="Y14" i="27"/>
  <c r="Y11" i="27"/>
  <c r="Y9" i="27"/>
  <c r="Y6" i="27"/>
  <c r="Y3" i="27"/>
  <c r="Z1" i="27"/>
  <c r="Y8" i="27"/>
  <c r="Y5" i="27"/>
  <c r="Y4" i="27"/>
  <c r="Y7" i="27"/>
  <c r="Z177" i="25"/>
  <c r="Z178" i="25"/>
  <c r="Z175" i="25"/>
  <c r="Z172" i="25"/>
  <c r="Z169" i="25"/>
  <c r="Z166" i="25"/>
  <c r="Z163" i="25"/>
  <c r="Z160" i="25"/>
  <c r="Z157" i="25"/>
  <c r="Z154" i="25"/>
  <c r="Z151" i="25"/>
  <c r="Z148" i="25"/>
  <c r="Z145" i="25"/>
  <c r="Z142" i="25"/>
  <c r="Z139" i="25"/>
  <c r="Z136" i="25"/>
  <c r="Z179" i="25"/>
  <c r="Z174" i="25"/>
  <c r="Z171" i="25"/>
  <c r="Z168" i="25"/>
  <c r="Z165" i="25"/>
  <c r="Z162" i="25"/>
  <c r="Z159" i="25"/>
  <c r="Z156" i="25"/>
  <c r="Z153" i="25"/>
  <c r="Z150" i="25"/>
  <c r="Z147" i="25"/>
  <c r="Z144" i="25"/>
  <c r="Z141" i="25"/>
  <c r="Z138" i="25"/>
  <c r="Z135" i="25"/>
  <c r="Z133" i="25"/>
  <c r="Z130" i="25"/>
  <c r="Z114" i="25"/>
  <c r="Z111" i="25"/>
  <c r="Z108" i="25"/>
  <c r="Z105" i="25"/>
  <c r="Z102" i="25"/>
  <c r="Z99" i="25"/>
  <c r="Z96" i="25"/>
  <c r="Z125" i="25"/>
  <c r="Z132" i="25"/>
  <c r="Z113" i="25"/>
  <c r="Z110" i="25"/>
  <c r="Z107" i="25"/>
  <c r="Z104" i="25"/>
  <c r="Z161" i="25"/>
  <c r="Z134" i="25"/>
  <c r="Z95" i="25"/>
  <c r="Z92" i="25"/>
  <c r="Z89" i="25"/>
  <c r="Z86" i="25"/>
  <c r="Z83" i="25"/>
  <c r="Z80" i="25"/>
  <c r="Z77" i="25"/>
  <c r="Z74" i="25"/>
  <c r="Z71" i="25"/>
  <c r="Z167" i="25"/>
  <c r="Z164" i="25"/>
  <c r="Z143" i="25"/>
  <c r="Z115" i="25"/>
  <c r="Z112" i="25"/>
  <c r="Z109" i="25"/>
  <c r="Z106" i="25"/>
  <c r="Z103" i="25"/>
  <c r="Z97" i="25"/>
  <c r="Z170" i="25"/>
  <c r="Z126" i="25"/>
  <c r="Z120" i="25"/>
  <c r="Z119" i="25"/>
  <c r="Z118" i="25"/>
  <c r="Z117" i="25"/>
  <c r="Z116" i="25"/>
  <c r="Z176" i="25"/>
  <c r="Z173" i="25"/>
  <c r="Z140" i="25"/>
  <c r="Z127" i="25"/>
  <c r="Z123" i="25"/>
  <c r="Z122" i="25"/>
  <c r="Z93" i="25"/>
  <c r="Z90" i="25"/>
  <c r="Z87" i="25"/>
  <c r="Z84" i="25"/>
  <c r="Z81" i="25"/>
  <c r="Z78" i="25"/>
  <c r="Z75" i="25"/>
  <c r="Z72" i="25"/>
  <c r="Z100" i="25"/>
  <c r="Z137" i="25"/>
  <c r="Z124" i="25"/>
  <c r="Z152" i="25"/>
  <c r="Z128" i="25"/>
  <c r="Z91" i="25"/>
  <c r="Z82" i="25"/>
  <c r="Z155" i="25"/>
  <c r="Z129" i="25"/>
  <c r="Z69" i="25"/>
  <c r="Z66" i="25"/>
  <c r="Z63" i="25"/>
  <c r="Z60" i="25"/>
  <c r="Z57" i="25"/>
  <c r="Z54" i="25"/>
  <c r="Z51" i="25"/>
  <c r="Z48" i="25"/>
  <c r="Z158" i="25"/>
  <c r="Z131" i="25"/>
  <c r="Z121" i="25"/>
  <c r="Z98" i="25"/>
  <c r="Z88" i="25"/>
  <c r="Z79" i="25"/>
  <c r="Z94" i="25"/>
  <c r="Z85" i="25"/>
  <c r="Z76" i="25"/>
  <c r="Z73" i="25"/>
  <c r="Z146" i="25"/>
  <c r="Z44" i="25"/>
  <c r="Z42" i="25"/>
  <c r="Z40" i="25"/>
  <c r="Z37" i="25"/>
  <c r="Z34" i="25"/>
  <c r="Z31" i="25"/>
  <c r="Z28" i="25"/>
  <c r="Z25" i="25"/>
  <c r="Z22" i="25"/>
  <c r="Z19" i="25"/>
  <c r="Z16" i="25"/>
  <c r="Z13" i="25"/>
  <c r="Z10" i="25"/>
  <c r="Z101" i="25"/>
  <c r="Z45" i="25"/>
  <c r="Z68" i="25"/>
  <c r="Z65" i="25"/>
  <c r="Z62" i="25"/>
  <c r="Z59" i="25"/>
  <c r="Z56" i="25"/>
  <c r="Z53" i="25"/>
  <c r="Z50" i="25"/>
  <c r="Z47" i="25"/>
  <c r="Z41" i="25"/>
  <c r="Z38" i="25"/>
  <c r="Z35" i="25"/>
  <c r="Z32" i="25"/>
  <c r="Z29" i="25"/>
  <c r="Z26" i="25"/>
  <c r="Z23" i="25"/>
  <c r="Z20" i="25"/>
  <c r="Z17" i="25"/>
  <c r="Z14" i="25"/>
  <c r="Z11" i="25"/>
  <c r="Z8" i="25"/>
  <c r="Z70" i="25"/>
  <c r="Z67" i="25"/>
  <c r="Z64" i="25"/>
  <c r="Z61" i="25"/>
  <c r="Z58" i="25"/>
  <c r="Z55" i="25"/>
  <c r="Z52" i="25"/>
  <c r="Z49" i="25"/>
  <c r="Z46" i="25"/>
  <c r="Z43" i="25"/>
  <c r="Z5" i="25"/>
  <c r="Z39" i="25"/>
  <c r="Z36" i="25"/>
  <c r="Z33" i="25"/>
  <c r="Z30" i="25"/>
  <c r="Z27" i="25"/>
  <c r="Z24" i="25"/>
  <c r="Z21" i="25"/>
  <c r="Z18" i="25"/>
  <c r="Z15" i="25"/>
  <c r="Z12" i="25"/>
  <c r="Z9" i="25"/>
  <c r="Z6" i="25"/>
  <c r="Z3" i="25"/>
  <c r="Z149" i="25"/>
  <c r="AA1" i="25"/>
  <c r="Z7" i="25"/>
  <c r="Z4" i="25"/>
  <c r="AB137" i="17"/>
  <c r="AB132" i="17"/>
  <c r="AB129" i="17"/>
  <c r="AB187" i="17"/>
  <c r="AB178" i="17"/>
  <c r="AB191" i="17"/>
  <c r="AB182" i="17"/>
  <c r="AB173" i="17"/>
  <c r="AB164" i="17"/>
  <c r="AB155" i="17"/>
  <c r="AB146" i="17"/>
  <c r="AB143" i="17"/>
  <c r="AB133" i="17"/>
  <c r="AB130" i="17"/>
  <c r="AB181" i="17"/>
  <c r="AB174" i="17"/>
  <c r="AB171" i="17"/>
  <c r="AB165" i="17"/>
  <c r="AB162" i="17"/>
  <c r="AB156" i="17"/>
  <c r="AB153" i="17"/>
  <c r="AB134" i="17"/>
  <c r="AB127" i="17"/>
  <c r="AB118" i="17"/>
  <c r="AB109" i="17"/>
  <c r="AB100" i="17"/>
  <c r="AB183" i="17"/>
  <c r="AB138" i="17"/>
  <c r="AB131" i="17"/>
  <c r="AB92" i="17"/>
  <c r="AB67" i="17"/>
  <c r="AB64" i="17"/>
  <c r="AB61" i="17"/>
  <c r="AB58" i="17"/>
  <c r="AB55" i="17"/>
  <c r="AB52" i="17"/>
  <c r="AB49" i="17"/>
  <c r="AB46" i="17"/>
  <c r="AB43" i="17"/>
  <c r="AB40" i="17"/>
  <c r="AB37" i="17"/>
  <c r="AB34" i="17"/>
  <c r="AB31" i="17"/>
  <c r="AB28" i="17"/>
  <c r="AB25" i="17"/>
  <c r="AB22" i="17"/>
  <c r="AB19" i="17"/>
  <c r="AB16" i="17"/>
  <c r="AB13" i="17"/>
  <c r="AB10" i="17"/>
  <c r="AB7" i="17"/>
  <c r="AB4" i="17"/>
  <c r="AB189" i="17"/>
  <c r="AB172" i="17"/>
  <c r="AB163" i="17"/>
  <c r="AB154" i="17"/>
  <c r="AB141" i="17"/>
  <c r="AB126" i="17"/>
  <c r="AB117" i="17"/>
  <c r="AB108" i="17"/>
  <c r="AB99" i="17"/>
  <c r="AB88" i="17"/>
  <c r="AB85" i="17"/>
  <c r="AB82" i="17"/>
  <c r="AB79" i="17"/>
  <c r="AB76" i="17"/>
  <c r="AB73" i="17"/>
  <c r="AB70" i="17"/>
  <c r="AB175" i="17"/>
  <c r="AB169" i="17"/>
  <c r="AB166" i="17"/>
  <c r="AB160" i="17"/>
  <c r="AB157" i="17"/>
  <c r="AB151" i="17"/>
  <c r="AB147" i="17"/>
  <c r="AB144" i="17"/>
  <c r="AB142" i="17"/>
  <c r="AB140" i="17"/>
  <c r="AB139" i="17"/>
  <c r="AB121" i="17"/>
  <c r="AB112" i="17"/>
  <c r="AB103" i="17"/>
  <c r="AB94" i="17"/>
  <c r="AC1" i="17"/>
  <c r="AB148" i="17"/>
  <c r="AB145" i="17"/>
  <c r="AB125" i="17"/>
  <c r="AB116" i="17"/>
  <c r="AB107" i="17"/>
  <c r="AB98" i="17"/>
  <c r="AB68" i="17"/>
  <c r="AB65" i="17"/>
  <c r="AB62" i="17"/>
  <c r="AB59" i="17"/>
  <c r="AB56" i="17"/>
  <c r="AB53" i="17"/>
  <c r="AB50" i="17"/>
  <c r="AB47" i="17"/>
  <c r="AB44" i="17"/>
  <c r="AB41" i="17"/>
  <c r="AB38" i="17"/>
  <c r="AB35" i="17"/>
  <c r="AB32" i="17"/>
  <c r="AB29" i="17"/>
  <c r="AB26" i="17"/>
  <c r="AB23" i="17"/>
  <c r="AB20" i="17"/>
  <c r="AB17" i="17"/>
  <c r="AB14" i="17"/>
  <c r="AB11" i="17"/>
  <c r="AB8" i="17"/>
  <c r="AB5" i="17"/>
  <c r="AB190" i="17"/>
  <c r="AB184" i="17"/>
  <c r="AB170" i="17"/>
  <c r="AB161" i="17"/>
  <c r="AB152" i="17"/>
  <c r="AB124" i="17"/>
  <c r="AB115" i="17"/>
  <c r="AB106" i="17"/>
  <c r="AB97" i="17"/>
  <c r="AB91" i="17"/>
  <c r="AB188" i="17"/>
  <c r="AB128" i="17"/>
  <c r="AB119" i="17"/>
  <c r="AB110" i="17"/>
  <c r="AB101" i="17"/>
  <c r="AB93" i="17"/>
  <c r="AB192" i="17"/>
  <c r="AB66" i="17"/>
  <c r="AB63" i="17"/>
  <c r="AB60" i="17"/>
  <c r="AB57" i="17"/>
  <c r="AB54" i="17"/>
  <c r="AB51" i="17"/>
  <c r="AB48" i="17"/>
  <c r="AB45" i="17"/>
  <c r="AB42" i="17"/>
  <c r="AB39" i="17"/>
  <c r="AB36" i="17"/>
  <c r="AB33" i="17"/>
  <c r="AB30" i="17"/>
  <c r="AB27" i="17"/>
  <c r="AB24" i="17"/>
  <c r="AB21" i="17"/>
  <c r="AB18" i="17"/>
  <c r="AB15" i="17"/>
  <c r="AB12" i="17"/>
  <c r="AB9" i="17"/>
  <c r="AB6" i="17"/>
  <c r="AB3" i="17"/>
  <c r="AB135" i="17"/>
  <c r="AB122" i="17"/>
  <c r="AB113" i="17"/>
  <c r="AB104" i="17"/>
  <c r="AB95" i="17"/>
  <c r="AB90" i="17"/>
  <c r="AB186" i="17"/>
  <c r="AB149" i="17"/>
  <c r="AB120" i="17"/>
  <c r="AB111" i="17"/>
  <c r="AB102" i="17"/>
  <c r="AB168" i="17"/>
  <c r="AB180" i="17"/>
  <c r="AB158" i="17"/>
  <c r="AB177" i="17"/>
  <c r="AB123" i="17"/>
  <c r="AB114" i="17"/>
  <c r="AB105" i="17"/>
  <c r="AB96" i="17"/>
  <c r="AB185" i="17"/>
  <c r="AB136" i="17"/>
  <c r="AB167" i="17"/>
  <c r="AB89" i="17"/>
  <c r="AB86" i="17"/>
  <c r="AB83" i="17"/>
  <c r="AB80" i="17"/>
  <c r="AB77" i="17"/>
  <c r="AB74" i="17"/>
  <c r="AB71" i="17"/>
  <c r="AB150" i="17"/>
  <c r="AB179" i="17"/>
  <c r="AB176" i="17"/>
  <c r="AB87" i="17"/>
  <c r="AB72" i="17"/>
  <c r="AB78" i="17"/>
  <c r="AB159" i="17"/>
  <c r="AB84" i="17"/>
  <c r="AB69" i="17"/>
  <c r="AB75" i="17"/>
  <c r="AB81" i="17"/>
  <c r="Z179" i="24"/>
  <c r="Z176" i="24"/>
  <c r="Z173" i="24"/>
  <c r="Z170" i="24"/>
  <c r="Z167" i="24"/>
  <c r="Z164" i="24"/>
  <c r="Z161" i="24"/>
  <c r="Z158" i="24"/>
  <c r="Z155" i="24"/>
  <c r="Z152" i="24"/>
  <c r="Z149" i="24"/>
  <c r="Z146" i="24"/>
  <c r="Z143" i="24"/>
  <c r="Z140" i="24"/>
  <c r="Z180" i="24"/>
  <c r="Z177" i="24"/>
  <c r="Z174" i="24"/>
  <c r="Z171" i="24"/>
  <c r="Z168" i="24"/>
  <c r="Z165" i="24"/>
  <c r="Z162" i="24"/>
  <c r="Z159" i="24"/>
  <c r="Z156" i="24"/>
  <c r="Z153" i="24"/>
  <c r="Z150" i="24"/>
  <c r="Z147" i="24"/>
  <c r="Z144" i="24"/>
  <c r="Z141" i="24"/>
  <c r="Z139" i="24"/>
  <c r="Z136" i="24"/>
  <c r="Z133" i="24"/>
  <c r="Z125" i="24"/>
  <c r="Z117" i="24"/>
  <c r="Z114" i="24"/>
  <c r="Z111" i="24"/>
  <c r="Z108" i="24"/>
  <c r="Z105" i="24"/>
  <c r="Z102" i="24"/>
  <c r="Z99" i="24"/>
  <c r="Z96" i="24"/>
  <c r="Z93" i="24"/>
  <c r="Z90" i="24"/>
  <c r="Z87" i="24"/>
  <c r="Z84" i="24"/>
  <c r="Z81" i="24"/>
  <c r="Z78" i="24"/>
  <c r="Z75" i="24"/>
  <c r="Z72" i="24"/>
  <c r="Z69" i="24"/>
  <c r="Z66" i="24"/>
  <c r="Z63" i="24"/>
  <c r="Z60" i="24"/>
  <c r="Z57" i="24"/>
  <c r="Z54" i="24"/>
  <c r="Z51" i="24"/>
  <c r="Z48" i="24"/>
  <c r="Z45" i="24"/>
  <c r="Z42" i="24"/>
  <c r="Z39" i="24"/>
  <c r="Z36" i="24"/>
  <c r="Z33" i="24"/>
  <c r="Z30" i="24"/>
  <c r="Z120" i="24"/>
  <c r="Z123" i="24"/>
  <c r="Z131" i="24"/>
  <c r="Z128" i="24"/>
  <c r="Z137" i="24"/>
  <c r="Z134" i="24"/>
  <c r="Z115" i="24"/>
  <c r="Z112" i="24"/>
  <c r="Z109" i="24"/>
  <c r="Z106" i="24"/>
  <c r="Z103" i="24"/>
  <c r="Z100" i="24"/>
  <c r="Z97" i="24"/>
  <c r="Z94" i="24"/>
  <c r="Z91" i="24"/>
  <c r="Z88" i="24"/>
  <c r="Z85" i="24"/>
  <c r="Z82" i="24"/>
  <c r="Z79" i="24"/>
  <c r="Z76" i="24"/>
  <c r="Z73" i="24"/>
  <c r="Z70" i="24"/>
  <c r="Z67" i="24"/>
  <c r="Z64" i="24"/>
  <c r="Z61" i="24"/>
  <c r="Z58" i="24"/>
  <c r="Z55" i="24"/>
  <c r="Z52" i="24"/>
  <c r="Z49" i="24"/>
  <c r="Z46" i="24"/>
  <c r="Z43" i="24"/>
  <c r="Z40" i="24"/>
  <c r="Z37" i="24"/>
  <c r="Z34" i="24"/>
  <c r="Z31" i="24"/>
  <c r="Z126" i="24"/>
  <c r="Z121" i="24"/>
  <c r="Z118" i="24"/>
  <c r="Z129" i="24"/>
  <c r="Z124" i="24"/>
  <c r="Z181" i="24"/>
  <c r="Z178" i="24"/>
  <c r="Z175" i="24"/>
  <c r="Z172" i="24"/>
  <c r="Z169" i="24"/>
  <c r="Z166" i="24"/>
  <c r="Z163" i="24"/>
  <c r="Z160" i="24"/>
  <c r="Z157" i="24"/>
  <c r="Z154" i="24"/>
  <c r="Z151" i="24"/>
  <c r="Z148" i="24"/>
  <c r="Z145" i="24"/>
  <c r="Z142" i="24"/>
  <c r="Z127" i="24"/>
  <c r="Z116" i="24"/>
  <c r="Z113" i="24"/>
  <c r="Z110" i="24"/>
  <c r="Z107" i="24"/>
  <c r="Z104" i="24"/>
  <c r="Z101" i="24"/>
  <c r="Z98" i="24"/>
  <c r="Z95" i="24"/>
  <c r="Z92" i="24"/>
  <c r="Z89" i="24"/>
  <c r="Z86" i="24"/>
  <c r="Z83" i="24"/>
  <c r="Z80" i="24"/>
  <c r="Z77" i="24"/>
  <c r="Z74" i="24"/>
  <c r="Z71" i="24"/>
  <c r="Z68" i="24"/>
  <c r="Z65" i="24"/>
  <c r="Z62" i="24"/>
  <c r="Z59" i="24"/>
  <c r="Z56" i="24"/>
  <c r="Z53" i="24"/>
  <c r="Z122" i="24"/>
  <c r="Z119" i="24"/>
  <c r="AA1" i="24"/>
  <c r="Z47" i="24"/>
  <c r="Z38" i="24"/>
  <c r="Z29" i="24"/>
  <c r="Z26" i="24"/>
  <c r="Z23" i="24"/>
  <c r="Z20" i="24"/>
  <c r="Z17" i="24"/>
  <c r="Z14" i="24"/>
  <c r="Z11" i="24"/>
  <c r="Z8" i="24"/>
  <c r="Z5" i="24"/>
  <c r="Z28" i="24"/>
  <c r="Z138" i="24"/>
  <c r="Z135" i="24"/>
  <c r="Z132" i="24"/>
  <c r="Z50" i="24"/>
  <c r="Z41" i="24"/>
  <c r="Z32" i="24"/>
  <c r="Z27" i="24"/>
  <c r="Z24" i="24"/>
  <c r="Z21" i="24"/>
  <c r="Z18" i="24"/>
  <c r="Z15" i="24"/>
  <c r="Z12" i="24"/>
  <c r="Z9" i="24"/>
  <c r="Z6" i="24"/>
  <c r="Z3" i="24"/>
  <c r="Z44" i="24"/>
  <c r="Z35" i="24"/>
  <c r="Z19" i="24"/>
  <c r="Z10" i="24"/>
  <c r="Z130" i="24"/>
  <c r="Z22" i="24"/>
  <c r="Z13" i="24"/>
  <c r="Z4" i="24"/>
  <c r="Z16" i="24"/>
  <c r="Z25" i="24"/>
  <c r="Z7" i="24"/>
  <c r="Y190" i="19"/>
  <c r="Y187" i="19"/>
  <c r="Y184" i="19"/>
  <c r="Y181" i="19"/>
  <c r="Y178" i="19"/>
  <c r="Y175" i="19"/>
  <c r="Y188" i="19"/>
  <c r="Y185" i="19"/>
  <c r="Y182" i="19"/>
  <c r="Y179" i="19"/>
  <c r="Y176" i="19"/>
  <c r="Y189" i="19"/>
  <c r="Y186" i="19"/>
  <c r="Y183" i="19"/>
  <c r="Y180" i="19"/>
  <c r="Y177" i="19"/>
  <c r="Y139" i="19"/>
  <c r="Y66" i="19"/>
  <c r="Y63" i="19"/>
  <c r="Y60" i="19"/>
  <c r="Y57" i="19"/>
  <c r="Y54" i="19"/>
  <c r="Y51" i="19"/>
  <c r="Y48" i="19"/>
  <c r="Y45" i="19"/>
  <c r="Y42" i="19"/>
  <c r="Y39" i="19"/>
  <c r="Y36" i="19"/>
  <c r="Y33" i="19"/>
  <c r="Y30" i="19"/>
  <c r="Y27" i="19"/>
  <c r="Y24" i="19"/>
  <c r="Y21" i="19"/>
  <c r="Y18" i="19"/>
  <c r="Y15" i="19"/>
  <c r="Y12" i="19"/>
  <c r="Y9" i="19"/>
  <c r="Y6" i="19"/>
  <c r="Y3" i="19"/>
  <c r="Y172" i="19"/>
  <c r="Y169" i="19"/>
  <c r="Y166" i="19"/>
  <c r="Y163" i="19"/>
  <c r="Y160" i="19"/>
  <c r="Y157" i="19"/>
  <c r="Y154" i="19"/>
  <c r="Y151" i="19"/>
  <c r="Y148" i="19"/>
  <c r="Y145" i="19"/>
  <c r="Y142" i="19"/>
  <c r="Y134" i="19"/>
  <c r="Y126" i="19"/>
  <c r="Y123" i="19"/>
  <c r="Y120" i="19"/>
  <c r="Y117" i="19"/>
  <c r="Y114" i="19"/>
  <c r="Y111" i="19"/>
  <c r="Y108" i="19"/>
  <c r="Y105" i="19"/>
  <c r="Y102" i="19"/>
  <c r="Y99" i="19"/>
  <c r="Y96" i="19"/>
  <c r="Y93" i="19"/>
  <c r="Y90" i="19"/>
  <c r="Y87" i="19"/>
  <c r="Y84" i="19"/>
  <c r="Y81" i="19"/>
  <c r="Y78" i="19"/>
  <c r="Y75" i="19"/>
  <c r="Y72" i="19"/>
  <c r="Y69" i="19"/>
  <c r="Y129" i="19"/>
  <c r="Y132" i="19"/>
  <c r="Y167" i="19"/>
  <c r="Y158" i="19"/>
  <c r="Y149" i="19"/>
  <c r="Y125" i="19"/>
  <c r="Y116" i="19"/>
  <c r="Y107" i="19"/>
  <c r="Y98" i="19"/>
  <c r="Y89" i="19"/>
  <c r="Y80" i="19"/>
  <c r="Y71" i="19"/>
  <c r="Y138" i="19"/>
  <c r="Y67" i="19"/>
  <c r="Y58" i="19"/>
  <c r="Y49" i="19"/>
  <c r="Y40" i="19"/>
  <c r="Y174" i="19"/>
  <c r="Y165" i="19"/>
  <c r="Y156" i="19"/>
  <c r="Y147" i="19"/>
  <c r="Y121" i="19"/>
  <c r="Y112" i="19"/>
  <c r="Y103" i="19"/>
  <c r="Y94" i="19"/>
  <c r="Y85" i="19"/>
  <c r="Y76" i="19"/>
  <c r="Z1" i="19"/>
  <c r="Y136" i="19"/>
  <c r="Y130" i="19"/>
  <c r="Y65" i="19"/>
  <c r="Y56" i="19"/>
  <c r="Y47" i="19"/>
  <c r="Y38" i="19"/>
  <c r="Y128" i="19"/>
  <c r="Y61" i="19"/>
  <c r="Y52" i="19"/>
  <c r="Y43" i="19"/>
  <c r="Y34" i="19"/>
  <c r="Y25" i="19"/>
  <c r="Y16" i="19"/>
  <c r="Y7" i="19"/>
  <c r="Y168" i="19"/>
  <c r="Y159" i="19"/>
  <c r="Y150" i="19"/>
  <c r="Y141" i="19"/>
  <c r="Y124" i="19"/>
  <c r="Y115" i="19"/>
  <c r="Y106" i="19"/>
  <c r="Y97" i="19"/>
  <c r="Y88" i="19"/>
  <c r="Y79" i="19"/>
  <c r="Y70" i="19"/>
  <c r="Y173" i="19"/>
  <c r="Y164" i="19"/>
  <c r="Y155" i="19"/>
  <c r="Y146" i="19"/>
  <c r="Y135" i="19"/>
  <c r="Y133" i="19"/>
  <c r="Y122" i="19"/>
  <c r="Y113" i="19"/>
  <c r="Y104" i="19"/>
  <c r="Y95" i="19"/>
  <c r="Y86" i="19"/>
  <c r="Y77" i="19"/>
  <c r="Y68" i="19"/>
  <c r="Y144" i="19"/>
  <c r="Y119" i="19"/>
  <c r="Y82" i="19"/>
  <c r="Y62" i="19"/>
  <c r="Y8" i="19"/>
  <c r="Y170" i="19"/>
  <c r="Y153" i="19"/>
  <c r="Y162" i="19"/>
  <c r="Y100" i="19"/>
  <c r="Y83" i="19"/>
  <c r="Y23" i="19"/>
  <c r="Y137" i="19"/>
  <c r="Y171" i="19"/>
  <c r="Y109" i="19"/>
  <c r="Y92" i="19"/>
  <c r="Y41" i="19"/>
  <c r="Y14" i="19"/>
  <c r="Y143" i="19"/>
  <c r="Y140" i="19"/>
  <c r="Y118" i="19"/>
  <c r="Y101" i="19"/>
  <c r="Y50" i="19"/>
  <c r="Y44" i="19"/>
  <c r="Y26" i="19"/>
  <c r="Y5" i="19"/>
  <c r="Y127" i="19"/>
  <c r="Y64" i="19"/>
  <c r="Y31" i="19"/>
  <c r="Y73" i="19"/>
  <c r="Y59" i="19"/>
  <c r="Y13" i="19"/>
  <c r="Y91" i="19"/>
  <c r="Y29" i="19"/>
  <c r="Y11" i="19"/>
  <c r="Y131" i="19"/>
  <c r="Y32" i="19"/>
  <c r="Y19" i="19"/>
  <c r="Y74" i="19"/>
  <c r="Y37" i="19"/>
  <c r="Y17" i="19"/>
  <c r="Y152" i="19"/>
  <c r="Y4" i="19"/>
  <c r="Y35" i="19"/>
  <c r="Y20" i="19"/>
  <c r="Y110" i="19"/>
  <c r="Y55" i="19"/>
  <c r="Y28" i="19"/>
  <c r="Y161" i="19"/>
  <c r="Y53" i="19"/>
  <c r="Y46" i="19"/>
  <c r="Y10" i="19"/>
  <c r="Y22" i="19"/>
  <c r="Y141" i="18"/>
  <c r="Y192" i="18"/>
  <c r="Y189" i="18"/>
  <c r="Y186" i="18"/>
  <c r="Y183" i="18"/>
  <c r="Y180" i="18"/>
  <c r="Y177" i="18"/>
  <c r="Y174" i="18"/>
  <c r="Y171" i="18"/>
  <c r="Y168" i="18"/>
  <c r="Y165" i="18"/>
  <c r="Y162" i="18"/>
  <c r="Y159" i="18"/>
  <c r="Y156" i="18"/>
  <c r="Y153" i="18"/>
  <c r="Y150" i="18"/>
  <c r="Y190" i="18"/>
  <c r="Y187" i="18"/>
  <c r="Y184" i="18"/>
  <c r="Y181" i="18"/>
  <c r="Y178" i="18"/>
  <c r="Y175" i="18"/>
  <c r="Y172" i="18"/>
  <c r="Y169" i="18"/>
  <c r="Y166" i="18"/>
  <c r="Y163" i="18"/>
  <c r="Y160" i="18"/>
  <c r="Y157" i="18"/>
  <c r="Y154" i="18"/>
  <c r="Y151" i="18"/>
  <c r="Y148" i="18"/>
  <c r="Y145" i="18"/>
  <c r="Y146" i="18"/>
  <c r="Y191" i="18"/>
  <c r="Y182" i="18"/>
  <c r="Y173" i="18"/>
  <c r="Y164" i="18"/>
  <c r="Y152" i="18"/>
  <c r="Y147" i="18"/>
  <c r="Y126" i="18"/>
  <c r="Y123" i="18"/>
  <c r="Y120" i="18"/>
  <c r="Y117" i="18"/>
  <c r="Y114" i="18"/>
  <c r="Y111" i="18"/>
  <c r="Y108" i="18"/>
  <c r="Y105" i="18"/>
  <c r="Y102" i="18"/>
  <c r="Y99" i="18"/>
  <c r="Y96" i="18"/>
  <c r="Y93" i="18"/>
  <c r="Y90" i="18"/>
  <c r="Y87" i="18"/>
  <c r="Y84" i="18"/>
  <c r="Y81" i="18"/>
  <c r="Y78" i="18"/>
  <c r="Y75" i="18"/>
  <c r="Y72" i="18"/>
  <c r="Y69" i="18"/>
  <c r="Y149" i="18"/>
  <c r="Y127" i="18"/>
  <c r="Y124" i="18"/>
  <c r="Y121" i="18"/>
  <c r="Y118" i="18"/>
  <c r="Y115" i="18"/>
  <c r="Y112" i="18"/>
  <c r="Y109" i="18"/>
  <c r="Y106" i="18"/>
  <c r="Y103" i="18"/>
  <c r="Y100" i="18"/>
  <c r="Y97" i="18"/>
  <c r="Y94" i="18"/>
  <c r="Y91" i="18"/>
  <c r="Y88" i="18"/>
  <c r="Y85" i="18"/>
  <c r="Y82" i="18"/>
  <c r="Y79" i="18"/>
  <c r="Y76" i="18"/>
  <c r="Y73" i="18"/>
  <c r="Y70" i="18"/>
  <c r="Y188" i="18"/>
  <c r="Y170" i="18"/>
  <c r="Y161" i="18"/>
  <c r="Y134" i="18"/>
  <c r="Y129" i="18"/>
  <c r="Y61" i="18"/>
  <c r="Y52" i="18"/>
  <c r="Y43" i="18"/>
  <c r="Y34" i="18"/>
  <c r="Y25" i="18"/>
  <c r="Y16" i="18"/>
  <c r="Y7" i="18"/>
  <c r="Y136" i="18"/>
  <c r="Y133" i="18"/>
  <c r="Y65" i="18"/>
  <c r="Y56" i="18"/>
  <c r="Y47" i="18"/>
  <c r="Y38" i="18"/>
  <c r="Y144" i="18"/>
  <c r="Y139" i="18"/>
  <c r="Y128" i="18"/>
  <c r="Y119" i="18"/>
  <c r="Y110" i="18"/>
  <c r="Y101" i="18"/>
  <c r="Y92" i="18"/>
  <c r="Y83" i="18"/>
  <c r="Y74" i="18"/>
  <c r="Y176" i="18"/>
  <c r="Y158" i="18"/>
  <c r="Y142" i="18"/>
  <c r="Y60" i="18"/>
  <c r="Y51" i="18"/>
  <c r="Y42" i="18"/>
  <c r="Y33" i="18"/>
  <c r="Y24" i="18"/>
  <c r="Y15" i="18"/>
  <c r="Y6" i="18"/>
  <c r="Y167" i="18"/>
  <c r="Y132" i="18"/>
  <c r="Y64" i="18"/>
  <c r="Y55" i="18"/>
  <c r="Y46" i="18"/>
  <c r="Y37" i="18"/>
  <c r="Y28" i="18"/>
  <c r="Y19" i="18"/>
  <c r="Y10" i="18"/>
  <c r="Y155" i="18"/>
  <c r="Y140" i="18"/>
  <c r="Y137" i="18"/>
  <c r="Y179" i="18"/>
  <c r="Y122" i="18"/>
  <c r="Y113" i="18"/>
  <c r="Y104" i="18"/>
  <c r="Y95" i="18"/>
  <c r="Y86" i="18"/>
  <c r="Y185" i="18"/>
  <c r="Y125" i="18"/>
  <c r="Y54" i="18"/>
  <c r="Y44" i="18"/>
  <c r="Y77" i="18"/>
  <c r="Y67" i="18"/>
  <c r="Y40" i="18"/>
  <c r="Y13" i="18"/>
  <c r="Y11" i="18"/>
  <c r="Y57" i="18"/>
  <c r="Y30" i="18"/>
  <c r="Y23" i="18"/>
  <c r="Y17" i="18"/>
  <c r="Y143" i="18"/>
  <c r="Y131" i="18"/>
  <c r="Y130" i="18"/>
  <c r="Y116" i="18"/>
  <c r="Y63" i="18"/>
  <c r="Y53" i="18"/>
  <c r="Y36" i="18"/>
  <c r="Y59" i="18"/>
  <c r="Y32" i="18"/>
  <c r="Y27" i="18"/>
  <c r="Y21" i="18"/>
  <c r="Z1" i="18"/>
  <c r="Y98" i="18"/>
  <c r="Y89" i="18"/>
  <c r="Y80" i="18"/>
  <c r="Y49" i="18"/>
  <c r="Y29" i="18"/>
  <c r="Y4" i="18"/>
  <c r="Y107" i="18"/>
  <c r="Y62" i="18"/>
  <c r="Y45" i="18"/>
  <c r="Y35" i="18"/>
  <c r="Y138" i="18"/>
  <c r="Y68" i="18"/>
  <c r="Y41" i="18"/>
  <c r="Y18" i="18"/>
  <c r="Y12" i="18"/>
  <c r="Y135" i="18"/>
  <c r="Y58" i="18"/>
  <c r="Y31" i="18"/>
  <c r="Y22" i="18"/>
  <c r="Y20" i="18"/>
  <c r="Y14" i="18"/>
  <c r="Y3" i="18"/>
  <c r="Y39" i="18"/>
  <c r="Y8" i="18"/>
  <c r="Y48" i="18"/>
  <c r="Y5" i="18"/>
  <c r="Y66" i="18"/>
  <c r="Y26" i="18"/>
  <c r="Y50" i="18"/>
  <c r="Y71" i="18"/>
  <c r="Y9" i="18"/>
  <c r="AB133" i="22"/>
  <c r="AB128" i="22"/>
  <c r="AB184" i="22"/>
  <c r="AB181" i="22"/>
  <c r="AB178" i="22"/>
  <c r="AB175" i="22"/>
  <c r="AB172" i="22"/>
  <c r="AB169" i="22"/>
  <c r="AB166" i="22"/>
  <c r="AB163" i="22"/>
  <c r="AB160" i="22"/>
  <c r="AB157" i="22"/>
  <c r="AB154" i="22"/>
  <c r="AB151" i="22"/>
  <c r="AB148" i="22"/>
  <c r="AB145" i="22"/>
  <c r="AB142" i="22"/>
  <c r="AB139" i="22"/>
  <c r="AB136" i="22"/>
  <c r="AB120" i="22"/>
  <c r="AB126" i="22"/>
  <c r="AB123" i="22"/>
  <c r="AB131" i="22"/>
  <c r="AB134" i="22"/>
  <c r="AB185" i="22"/>
  <c r="AB182" i="22"/>
  <c r="AB179" i="22"/>
  <c r="AB176" i="22"/>
  <c r="AB173" i="22"/>
  <c r="AB170" i="22"/>
  <c r="AB167" i="22"/>
  <c r="AB164" i="22"/>
  <c r="AB161" i="22"/>
  <c r="AB158" i="22"/>
  <c r="AB155" i="22"/>
  <c r="AB152" i="22"/>
  <c r="AB149" i="22"/>
  <c r="AB146" i="22"/>
  <c r="AB143" i="22"/>
  <c r="AB140" i="22"/>
  <c r="AB137" i="22"/>
  <c r="AB129" i="22"/>
  <c r="AB121" i="22"/>
  <c r="AB118" i="22"/>
  <c r="AB124" i="22"/>
  <c r="AB135" i="22"/>
  <c r="AB132" i="22"/>
  <c r="AB183" i="22"/>
  <c r="AB180" i="22"/>
  <c r="AB177" i="22"/>
  <c r="AB174" i="22"/>
  <c r="AB171" i="22"/>
  <c r="AB168" i="22"/>
  <c r="AB165" i="22"/>
  <c r="AB162" i="22"/>
  <c r="AB159" i="22"/>
  <c r="AB156" i="22"/>
  <c r="AB153" i="22"/>
  <c r="AB150" i="22"/>
  <c r="AB147" i="22"/>
  <c r="AB144" i="22"/>
  <c r="AB141" i="22"/>
  <c r="AB138" i="22"/>
  <c r="AB119" i="22"/>
  <c r="AB127" i="22"/>
  <c r="AB122" i="22"/>
  <c r="AB116" i="22"/>
  <c r="AB113" i="22"/>
  <c r="AB110" i="22"/>
  <c r="AB107" i="22"/>
  <c r="AB104" i="22"/>
  <c r="AB101" i="22"/>
  <c r="AB98" i="22"/>
  <c r="AB95" i="22"/>
  <c r="AB92" i="22"/>
  <c r="AB89" i="22"/>
  <c r="AB86" i="22"/>
  <c r="AB83" i="22"/>
  <c r="AB80" i="22"/>
  <c r="AB77" i="22"/>
  <c r="AB74" i="22"/>
  <c r="AB71" i="22"/>
  <c r="AB68" i="22"/>
  <c r="AB65" i="22"/>
  <c r="AB62" i="22"/>
  <c r="AB59" i="22"/>
  <c r="AB56" i="22"/>
  <c r="AB53" i="22"/>
  <c r="AB50" i="22"/>
  <c r="AB47" i="22"/>
  <c r="AB44" i="22"/>
  <c r="AB41" i="22"/>
  <c r="AB38" i="22"/>
  <c r="AB35" i="22"/>
  <c r="AB32" i="22"/>
  <c r="AB29" i="22"/>
  <c r="AB26" i="22"/>
  <c r="AB23" i="22"/>
  <c r="AB20" i="22"/>
  <c r="AB17" i="22"/>
  <c r="AB14" i="22"/>
  <c r="AB11" i="22"/>
  <c r="AB117" i="22"/>
  <c r="AB114" i="22"/>
  <c r="AB111" i="22"/>
  <c r="AB108" i="22"/>
  <c r="AB105" i="22"/>
  <c r="AB102" i="22"/>
  <c r="AB99" i="22"/>
  <c r="AB96" i="22"/>
  <c r="AB93" i="22"/>
  <c r="AB90" i="22"/>
  <c r="AB87" i="22"/>
  <c r="AB84" i="22"/>
  <c r="AB81" i="22"/>
  <c r="AB78" i="22"/>
  <c r="AB75" i="22"/>
  <c r="AB72" i="22"/>
  <c r="AB69" i="22"/>
  <c r="AB66" i="22"/>
  <c r="AB63" i="22"/>
  <c r="AB60" i="22"/>
  <c r="AB57" i="22"/>
  <c r="AB54" i="22"/>
  <c r="AB51" i="22"/>
  <c r="AB48" i="22"/>
  <c r="AB45" i="22"/>
  <c r="AB42" i="22"/>
  <c r="AB39" i="22"/>
  <c r="AB36" i="22"/>
  <c r="AB33" i="22"/>
  <c r="AB30" i="22"/>
  <c r="AB27" i="22"/>
  <c r="AB24" i="22"/>
  <c r="AB21" i="22"/>
  <c r="AB18" i="22"/>
  <c r="AB15" i="22"/>
  <c r="AB12" i="22"/>
  <c r="AB130" i="22"/>
  <c r="AB9" i="22"/>
  <c r="AB6" i="22"/>
  <c r="AB3" i="22"/>
  <c r="AB125" i="22"/>
  <c r="AB112" i="22"/>
  <c r="AB103" i="22"/>
  <c r="AB94" i="22"/>
  <c r="AB85" i="22"/>
  <c r="AB76" i="22"/>
  <c r="AB67" i="22"/>
  <c r="AB58" i="22"/>
  <c r="AB49" i="22"/>
  <c r="AB40" i="22"/>
  <c r="AB31" i="22"/>
  <c r="AB22" i="22"/>
  <c r="AB13" i="22"/>
  <c r="AB10" i="22"/>
  <c r="AB7" i="22"/>
  <c r="AB4" i="22"/>
  <c r="AB115" i="22"/>
  <c r="AB106" i="22"/>
  <c r="AB97" i="22"/>
  <c r="AB88" i="22"/>
  <c r="AB79" i="22"/>
  <c r="AB70" i="22"/>
  <c r="AB61" i="22"/>
  <c r="AB52" i="22"/>
  <c r="AB43" i="22"/>
  <c r="AB34" i="22"/>
  <c r="AB25" i="22"/>
  <c r="AB16" i="22"/>
  <c r="AC1" i="22"/>
  <c r="AB8" i="22"/>
  <c r="AB5" i="22"/>
  <c r="AB109" i="22"/>
  <c r="AB100" i="22"/>
  <c r="AB91" i="22"/>
  <c r="AB82" i="22"/>
  <c r="AB73" i="22"/>
  <c r="AB64" i="22"/>
  <c r="AB55" i="22"/>
  <c r="AB46" i="22"/>
  <c r="AB37" i="22"/>
  <c r="AB28" i="22"/>
  <c r="AB19" i="22"/>
  <c r="Y175" i="26"/>
  <c r="Y172" i="26"/>
  <c r="Y169" i="26"/>
  <c r="Y166" i="26"/>
  <c r="Y163" i="26"/>
  <c r="Y160" i="26"/>
  <c r="Y176" i="26"/>
  <c r="Y173" i="26"/>
  <c r="Y170" i="26"/>
  <c r="Y167" i="26"/>
  <c r="Y164" i="26"/>
  <c r="Y161" i="26"/>
  <c r="Y158" i="26"/>
  <c r="Y174" i="26"/>
  <c r="Y171" i="26"/>
  <c r="Y168" i="26"/>
  <c r="Y165" i="26"/>
  <c r="Y162" i="26"/>
  <c r="Y159" i="26"/>
  <c r="Y157" i="26"/>
  <c r="Y154" i="26"/>
  <c r="Y151" i="26"/>
  <c r="Y148" i="26"/>
  <c r="Y145" i="26"/>
  <c r="Y142" i="26"/>
  <c r="Y139" i="26"/>
  <c r="Y136" i="26"/>
  <c r="Y133" i="26"/>
  <c r="Y130" i="26"/>
  <c r="Y155" i="26"/>
  <c r="Y152" i="26"/>
  <c r="Y149" i="26"/>
  <c r="Y146" i="26"/>
  <c r="Y143" i="26"/>
  <c r="Y140" i="26"/>
  <c r="Y137" i="26"/>
  <c r="Y134" i="26"/>
  <c r="Y131" i="26"/>
  <c r="Y128" i="26"/>
  <c r="Y124" i="26"/>
  <c r="Y115" i="26"/>
  <c r="Y111" i="26"/>
  <c r="Y108" i="26"/>
  <c r="Y105" i="26"/>
  <c r="Y102" i="26"/>
  <c r="Y99" i="26"/>
  <c r="Y96" i="26"/>
  <c r="Y93" i="26"/>
  <c r="Y90" i="26"/>
  <c r="Y87" i="26"/>
  <c r="Y84" i="26"/>
  <c r="Y81" i="26"/>
  <c r="Y78" i="26"/>
  <c r="Y75" i="26"/>
  <c r="Y72" i="26"/>
  <c r="Y153" i="26"/>
  <c r="Y144" i="26"/>
  <c r="Y135" i="26"/>
  <c r="Y125" i="26"/>
  <c r="Y156" i="26"/>
  <c r="Y147" i="26"/>
  <c r="Y138" i="26"/>
  <c r="Y129" i="26"/>
  <c r="Y127" i="26"/>
  <c r="Y123" i="26"/>
  <c r="Y114" i="26"/>
  <c r="Y110" i="26"/>
  <c r="Y107" i="26"/>
  <c r="Y104" i="26"/>
  <c r="Y101" i="26"/>
  <c r="Y98" i="26"/>
  <c r="Y95" i="26"/>
  <c r="Y92" i="26"/>
  <c r="Y89" i="26"/>
  <c r="Y86" i="26"/>
  <c r="Y83" i="26"/>
  <c r="Y80" i="26"/>
  <c r="Y77" i="26"/>
  <c r="Y74" i="26"/>
  <c r="Y71" i="26"/>
  <c r="Y132" i="26"/>
  <c r="Y70" i="26"/>
  <c r="Y150" i="26"/>
  <c r="Y68" i="26"/>
  <c r="Y65" i="26"/>
  <c r="Y62" i="26"/>
  <c r="Y59" i="26"/>
  <c r="Y56" i="26"/>
  <c r="Y53" i="26"/>
  <c r="Y141" i="26"/>
  <c r="Y67" i="26"/>
  <c r="Y64" i="26"/>
  <c r="Y61" i="26"/>
  <c r="Y58" i="26"/>
  <c r="Y55" i="26"/>
  <c r="Y52" i="26"/>
  <c r="Y116" i="26"/>
  <c r="Y106" i="26"/>
  <c r="Y97" i="26"/>
  <c r="Y88" i="26"/>
  <c r="Y79" i="26"/>
  <c r="Y51" i="26"/>
  <c r="Z1" i="26"/>
  <c r="Y109" i="26"/>
  <c r="Y100" i="26"/>
  <c r="Y91" i="26"/>
  <c r="Y82" i="26"/>
  <c r="Y73" i="26"/>
  <c r="Y69" i="26"/>
  <c r="Y60" i="26"/>
  <c r="Y49" i="26"/>
  <c r="Y46" i="26"/>
  <c r="Y43" i="26"/>
  <c r="Y40" i="26"/>
  <c r="Y37" i="26"/>
  <c r="Y34" i="26"/>
  <c r="Y31" i="26"/>
  <c r="Y28" i="26"/>
  <c r="Y25" i="26"/>
  <c r="Y22" i="26"/>
  <c r="Y19" i="26"/>
  <c r="Y16" i="26"/>
  <c r="Y13" i="26"/>
  <c r="Y10" i="26"/>
  <c r="Y7" i="26"/>
  <c r="Y4" i="26"/>
  <c r="Y48" i="26"/>
  <c r="Y39" i="26"/>
  <c r="Y30" i="26"/>
  <c r="Y21" i="26"/>
  <c r="Y12" i="26"/>
  <c r="Y3" i="26"/>
  <c r="Y103" i="26"/>
  <c r="Y76" i="26"/>
  <c r="Y54" i="26"/>
  <c r="Y50" i="26"/>
  <c r="Y41" i="26"/>
  <c r="Y32" i="26"/>
  <c r="Y23" i="26"/>
  <c r="Y14" i="26"/>
  <c r="Y5" i="26"/>
  <c r="Y57" i="26"/>
  <c r="Y42" i="26"/>
  <c r="Y33" i="26"/>
  <c r="Y24" i="26"/>
  <c r="Y15" i="26"/>
  <c r="Y6" i="26"/>
  <c r="Y113" i="26"/>
  <c r="Y85" i="26"/>
  <c r="Y94" i="26"/>
  <c r="Y47" i="26"/>
  <c r="Y38" i="26"/>
  <c r="Y29" i="26"/>
  <c r="Y20" i="26"/>
  <c r="Y11" i="26"/>
  <c r="Y36" i="26"/>
  <c r="Y17" i="26"/>
  <c r="Y9" i="26"/>
  <c r="Y44" i="26"/>
  <c r="Y35" i="26"/>
  <c r="Y27" i="26"/>
  <c r="Y63" i="26"/>
  <c r="Y18" i="26"/>
  <c r="Y66" i="26"/>
  <c r="Y8" i="26"/>
  <c r="Y45" i="26"/>
  <c r="Y26" i="26"/>
  <c r="Y127" i="23"/>
  <c r="Y135" i="23"/>
  <c r="Y132" i="23"/>
  <c r="Y183" i="23"/>
  <c r="Y180" i="23"/>
  <c r="Y177" i="23"/>
  <c r="Y174" i="23"/>
  <c r="Y171" i="23"/>
  <c r="Y168" i="23"/>
  <c r="Y165" i="23"/>
  <c r="Y162" i="23"/>
  <c r="Y159" i="23"/>
  <c r="Y156" i="23"/>
  <c r="Y153" i="23"/>
  <c r="Y150" i="23"/>
  <c r="Y147" i="23"/>
  <c r="Y144" i="23"/>
  <c r="Y141" i="23"/>
  <c r="Y138" i="23"/>
  <c r="Y119" i="23"/>
  <c r="Y130" i="23"/>
  <c r="Y125" i="23"/>
  <c r="Y122" i="23"/>
  <c r="Y133" i="23"/>
  <c r="Y128" i="23"/>
  <c r="Y184" i="23"/>
  <c r="Y181" i="23"/>
  <c r="Y178" i="23"/>
  <c r="Y175" i="23"/>
  <c r="Y172" i="23"/>
  <c r="Y169" i="23"/>
  <c r="Y166" i="23"/>
  <c r="Y163" i="23"/>
  <c r="Y160" i="23"/>
  <c r="Y157" i="23"/>
  <c r="Y154" i="23"/>
  <c r="Y151" i="23"/>
  <c r="Y148" i="23"/>
  <c r="Y145" i="23"/>
  <c r="Y142" i="23"/>
  <c r="Y139" i="23"/>
  <c r="Y136" i="23"/>
  <c r="Y120" i="23"/>
  <c r="Y134" i="23"/>
  <c r="Y121" i="23"/>
  <c r="Y131" i="23"/>
  <c r="Y164" i="23"/>
  <c r="Y167" i="23"/>
  <c r="Y140" i="23"/>
  <c r="Y118" i="23"/>
  <c r="Y115" i="23"/>
  <c r="Y111" i="23"/>
  <c r="Y106" i="23"/>
  <c r="Y102" i="23"/>
  <c r="Y97" i="23"/>
  <c r="Y185" i="23"/>
  <c r="Y158" i="23"/>
  <c r="Y161" i="23"/>
  <c r="Y117" i="23"/>
  <c r="Y112" i="23"/>
  <c r="Y108" i="23"/>
  <c r="Y103" i="23"/>
  <c r="Y105" i="23"/>
  <c r="Y104" i="23"/>
  <c r="Y92" i="23"/>
  <c r="Y91" i="23"/>
  <c r="Y86" i="23"/>
  <c r="Y170" i="23"/>
  <c r="Y100" i="23"/>
  <c r="Y90" i="23"/>
  <c r="Y82" i="23"/>
  <c r="Y79" i="23"/>
  <c r="Y76" i="23"/>
  <c r="Y73" i="23"/>
  <c r="Y70" i="23"/>
  <c r="Y67" i="23"/>
  <c r="Y64" i="23"/>
  <c r="Y173" i="23"/>
  <c r="Y129" i="23"/>
  <c r="Y126" i="23"/>
  <c r="Y95" i="23"/>
  <c r="Y176" i="23"/>
  <c r="Y149" i="23"/>
  <c r="Y98" i="23"/>
  <c r="Y85" i="23"/>
  <c r="Y179" i="23"/>
  <c r="Y152" i="23"/>
  <c r="Y146" i="23"/>
  <c r="Y123" i="23"/>
  <c r="Y89" i="23"/>
  <c r="Y143" i="23"/>
  <c r="Y137" i="23"/>
  <c r="Y84" i="23"/>
  <c r="Y80" i="23"/>
  <c r="Y77" i="23"/>
  <c r="Y74" i="23"/>
  <c r="Y71" i="23"/>
  <c r="Y68" i="23"/>
  <c r="Y65" i="23"/>
  <c r="Y116" i="23"/>
  <c r="Y99" i="23"/>
  <c r="Y88" i="23"/>
  <c r="Y114" i="23"/>
  <c r="Y113" i="23"/>
  <c r="Y83" i="23"/>
  <c r="Y87" i="23"/>
  <c r="Y81" i="23"/>
  <c r="Y78" i="23"/>
  <c r="Y75" i="23"/>
  <c r="Y72" i="23"/>
  <c r="Y69" i="23"/>
  <c r="Y66" i="23"/>
  <c r="Y63" i="23"/>
  <c r="Y60" i="23"/>
  <c r="Y57" i="23"/>
  <c r="Y54" i="23"/>
  <c r="Y51" i="23"/>
  <c r="Y110" i="23"/>
  <c r="Y182" i="23"/>
  <c r="Y56" i="23"/>
  <c r="Y52" i="23"/>
  <c r="Z1" i="23"/>
  <c r="Y124" i="23"/>
  <c r="Y109" i="23"/>
  <c r="Y47" i="23"/>
  <c r="Y44" i="23"/>
  <c r="Y41" i="23"/>
  <c r="Y38" i="23"/>
  <c r="Y35" i="23"/>
  <c r="Y32" i="23"/>
  <c r="Y29" i="23"/>
  <c r="Y26" i="23"/>
  <c r="Y23" i="23"/>
  <c r="Y20" i="23"/>
  <c r="Y17" i="23"/>
  <c r="Y14" i="23"/>
  <c r="Y11" i="23"/>
  <c r="Y8" i="23"/>
  <c r="Y5" i="23"/>
  <c r="Y58" i="23"/>
  <c r="Y50" i="23"/>
  <c r="Y155" i="23"/>
  <c r="Y59" i="23"/>
  <c r="Y49" i="23"/>
  <c r="Y107" i="23"/>
  <c r="Y94" i="23"/>
  <c r="Y101" i="23"/>
  <c r="Y48" i="23"/>
  <c r="Y45" i="23"/>
  <c r="Y42" i="23"/>
  <c r="Y39" i="23"/>
  <c r="Y36" i="23"/>
  <c r="Y33" i="23"/>
  <c r="Y30" i="23"/>
  <c r="Y27" i="23"/>
  <c r="Y24" i="23"/>
  <c r="Y21" i="23"/>
  <c r="Y18" i="23"/>
  <c r="Y15" i="23"/>
  <c r="Y12" i="23"/>
  <c r="Y9" i="23"/>
  <c r="Y6" i="23"/>
  <c r="Y3" i="23"/>
  <c r="Y61" i="23"/>
  <c r="Y93" i="23"/>
  <c r="Y96" i="23"/>
  <c r="Y46" i="23"/>
  <c r="Y43" i="23"/>
  <c r="Y40" i="23"/>
  <c r="Y37" i="23"/>
  <c r="Y34" i="23"/>
  <c r="Y31" i="23"/>
  <c r="Y28" i="23"/>
  <c r="Y25" i="23"/>
  <c r="Y22" i="23"/>
  <c r="Y19" i="23"/>
  <c r="Y16" i="23"/>
  <c r="Y13" i="23"/>
  <c r="Y10" i="23"/>
  <c r="Y7" i="23"/>
  <c r="Y4" i="23"/>
  <c r="Y62" i="23"/>
  <c r="Y55" i="23"/>
  <c r="Y53" i="23"/>
  <c r="AA189" i="20"/>
  <c r="AA186" i="20"/>
  <c r="AA183" i="20"/>
  <c r="AA180" i="20"/>
  <c r="AA177" i="20"/>
  <c r="AA174" i="20"/>
  <c r="AA171" i="20"/>
  <c r="AA168" i="20"/>
  <c r="AA165" i="20"/>
  <c r="AA162" i="20"/>
  <c r="AA159" i="20"/>
  <c r="AA156" i="20"/>
  <c r="AA153" i="20"/>
  <c r="AA188" i="20"/>
  <c r="AA185" i="20"/>
  <c r="AA182" i="20"/>
  <c r="AA179" i="20"/>
  <c r="AA176" i="20"/>
  <c r="AA173" i="20"/>
  <c r="AA170" i="20"/>
  <c r="AA167" i="20"/>
  <c r="AA164" i="20"/>
  <c r="AA161" i="20"/>
  <c r="AA158" i="20"/>
  <c r="AA155" i="20"/>
  <c r="AA152" i="20"/>
  <c r="AA149" i="20"/>
  <c r="AA146" i="20"/>
  <c r="AA150" i="20"/>
  <c r="AA139" i="20"/>
  <c r="AA140" i="20"/>
  <c r="AA137" i="20"/>
  <c r="AA166" i="20"/>
  <c r="AA145" i="20"/>
  <c r="AA129" i="20"/>
  <c r="AA124" i="20"/>
  <c r="AA181" i="20"/>
  <c r="AA134" i="20"/>
  <c r="AA67" i="20"/>
  <c r="AA64" i="20"/>
  <c r="AA61" i="20"/>
  <c r="AA58" i="20"/>
  <c r="AA55" i="20"/>
  <c r="AA52" i="20"/>
  <c r="AA49" i="20"/>
  <c r="AA46" i="20"/>
  <c r="AA43" i="20"/>
  <c r="AA40" i="20"/>
  <c r="AA37" i="20"/>
  <c r="AA147" i="20"/>
  <c r="AA133" i="20"/>
  <c r="AA128" i="20"/>
  <c r="AA123" i="20"/>
  <c r="AA114" i="20"/>
  <c r="AA105" i="20"/>
  <c r="AA96" i="20"/>
  <c r="AA87" i="20"/>
  <c r="AA78" i="20"/>
  <c r="AA69" i="20"/>
  <c r="AA172" i="20"/>
  <c r="AA148" i="20"/>
  <c r="AA138" i="20"/>
  <c r="AA132" i="20"/>
  <c r="AA127" i="20"/>
  <c r="AA65" i="20"/>
  <c r="AA62" i="20"/>
  <c r="AA59" i="20"/>
  <c r="AA56" i="20"/>
  <c r="AA53" i="20"/>
  <c r="AA50" i="20"/>
  <c r="AA47" i="20"/>
  <c r="AA44" i="20"/>
  <c r="AA41" i="20"/>
  <c r="AA38" i="20"/>
  <c r="AA187" i="20"/>
  <c r="AA175" i="20"/>
  <c r="AA121" i="20"/>
  <c r="AA112" i="20"/>
  <c r="AA103" i="20"/>
  <c r="AA94" i="20"/>
  <c r="AA178" i="20"/>
  <c r="AA141" i="20"/>
  <c r="AA136" i="20"/>
  <c r="AA125" i="20"/>
  <c r="AA116" i="20"/>
  <c r="AA107" i="20"/>
  <c r="AA144" i="20"/>
  <c r="AA90" i="20"/>
  <c r="AA88" i="20"/>
  <c r="AA51" i="20"/>
  <c r="AA42" i="20"/>
  <c r="AA143" i="20"/>
  <c r="AA115" i="20"/>
  <c r="AA92" i="20"/>
  <c r="AA160" i="20"/>
  <c r="AA154" i="20"/>
  <c r="AA122" i="20"/>
  <c r="AA108" i="20"/>
  <c r="AA98" i="20"/>
  <c r="AA86" i="20"/>
  <c r="AA77" i="20"/>
  <c r="AA68" i="20"/>
  <c r="AA66" i="20"/>
  <c r="AA63" i="20"/>
  <c r="AA60" i="20"/>
  <c r="AA142" i="20"/>
  <c r="AA131" i="20"/>
  <c r="AA111" i="20"/>
  <c r="AA101" i="20"/>
  <c r="AA83" i="20"/>
  <c r="AA80" i="20"/>
  <c r="AA74" i="20"/>
  <c r="AA71" i="20"/>
  <c r="AB1" i="20"/>
  <c r="AA130" i="20"/>
  <c r="AA104" i="20"/>
  <c r="AA54" i="20"/>
  <c r="AA45" i="20"/>
  <c r="AA151" i="20"/>
  <c r="AA120" i="20"/>
  <c r="AA35" i="20"/>
  <c r="AA32" i="20"/>
  <c r="AA29" i="20"/>
  <c r="AA26" i="20"/>
  <c r="AA23" i="20"/>
  <c r="AA20" i="20"/>
  <c r="AA17" i="20"/>
  <c r="AA14" i="20"/>
  <c r="AA11" i="20"/>
  <c r="AA8" i="20"/>
  <c r="AA5" i="20"/>
  <c r="AA190" i="20"/>
  <c r="AA119" i="20"/>
  <c r="AA100" i="20"/>
  <c r="AA91" i="20"/>
  <c r="AA89" i="20"/>
  <c r="AA81" i="20"/>
  <c r="AA72" i="20"/>
  <c r="AA169" i="20"/>
  <c r="AA157" i="20"/>
  <c r="AA118" i="20"/>
  <c r="AA110" i="20"/>
  <c r="AA95" i="20"/>
  <c r="AA93" i="20"/>
  <c r="AA84" i="20"/>
  <c r="AA75" i="20"/>
  <c r="AA113" i="20"/>
  <c r="AA97" i="20"/>
  <c r="AA57" i="20"/>
  <c r="AA48" i="20"/>
  <c r="AA39" i="20"/>
  <c r="AA126" i="20"/>
  <c r="AA117" i="20"/>
  <c r="AA106" i="20"/>
  <c r="AA36" i="20"/>
  <c r="AA33" i="20"/>
  <c r="AA30" i="20"/>
  <c r="AA27" i="20"/>
  <c r="AA24" i="20"/>
  <c r="AA21" i="20"/>
  <c r="AA18" i="20"/>
  <c r="AA15" i="20"/>
  <c r="AA12" i="20"/>
  <c r="AA9" i="20"/>
  <c r="AA6" i="20"/>
  <c r="AA3" i="20"/>
  <c r="AA184" i="20"/>
  <c r="AA109" i="20"/>
  <c r="AA99" i="20"/>
  <c r="AA85" i="20"/>
  <c r="AA82" i="20"/>
  <c r="AA76" i="20"/>
  <c r="AA73" i="20"/>
  <c r="AA79" i="20"/>
  <c r="AA135" i="20"/>
  <c r="AA163" i="20"/>
  <c r="AA34" i="20"/>
  <c r="AA31" i="20"/>
  <c r="AA28" i="20"/>
  <c r="AA25" i="20"/>
  <c r="AA22" i="20"/>
  <c r="AA19" i="20"/>
  <c r="AA16" i="20"/>
  <c r="AA13" i="20"/>
  <c r="AA10" i="20"/>
  <c r="AA7" i="20"/>
  <c r="AA4" i="20"/>
  <c r="AA102" i="20"/>
  <c r="AA70" i="20"/>
  <c r="AB189" i="20" l="1"/>
  <c r="AB186" i="20"/>
  <c r="AB183" i="20"/>
  <c r="AB180" i="20"/>
  <c r="AB177" i="20"/>
  <c r="AB174" i="20"/>
  <c r="AB171" i="20"/>
  <c r="AB168" i="20"/>
  <c r="AB165" i="20"/>
  <c r="AB162" i="20"/>
  <c r="AB159" i="20"/>
  <c r="AB190" i="20"/>
  <c r="AB187" i="20"/>
  <c r="AB184" i="20"/>
  <c r="AB181" i="20"/>
  <c r="AB178" i="20"/>
  <c r="AB175" i="20"/>
  <c r="AB172" i="20"/>
  <c r="AB169" i="20"/>
  <c r="AB166" i="20"/>
  <c r="AB163" i="20"/>
  <c r="AB160" i="20"/>
  <c r="AB157" i="20"/>
  <c r="AB154" i="20"/>
  <c r="AB188" i="20"/>
  <c r="AB185" i="20"/>
  <c r="AB182" i="20"/>
  <c r="AB179" i="20"/>
  <c r="AB176" i="20"/>
  <c r="AB173" i="20"/>
  <c r="AB170" i="20"/>
  <c r="AB167" i="20"/>
  <c r="AB164" i="20"/>
  <c r="AB161" i="20"/>
  <c r="AB158" i="20"/>
  <c r="AB155" i="20"/>
  <c r="AB152" i="20"/>
  <c r="AB142" i="20"/>
  <c r="AB134" i="20"/>
  <c r="AB126" i="20"/>
  <c r="AB123" i="20"/>
  <c r="AB120" i="20"/>
  <c r="AB117" i="20"/>
  <c r="AB114" i="20"/>
  <c r="AB111" i="20"/>
  <c r="AB108" i="20"/>
  <c r="AB105" i="20"/>
  <c r="AB102" i="20"/>
  <c r="AB99" i="20"/>
  <c r="AB96" i="20"/>
  <c r="AB93" i="20"/>
  <c r="AB90" i="20"/>
  <c r="AB87" i="20"/>
  <c r="AB84" i="20"/>
  <c r="AB81" i="20"/>
  <c r="AB78" i="20"/>
  <c r="AB75" i="20"/>
  <c r="AB72" i="20"/>
  <c r="AB69" i="20"/>
  <c r="AB143" i="20"/>
  <c r="AB124" i="20"/>
  <c r="AB121" i="20"/>
  <c r="AB118" i="20"/>
  <c r="AB115" i="20"/>
  <c r="AB112" i="20"/>
  <c r="AB109" i="20"/>
  <c r="AB106" i="20"/>
  <c r="AB103" i="20"/>
  <c r="AB100" i="20"/>
  <c r="AB97" i="20"/>
  <c r="AB94" i="20"/>
  <c r="AB91" i="20"/>
  <c r="AB88" i="20"/>
  <c r="AB85" i="20"/>
  <c r="AB82" i="20"/>
  <c r="AB79" i="20"/>
  <c r="AB76" i="20"/>
  <c r="AB73" i="20"/>
  <c r="AB70" i="20"/>
  <c r="AB144" i="20"/>
  <c r="AB119" i="20"/>
  <c r="AB110" i="20"/>
  <c r="AB101" i="20"/>
  <c r="AB92" i="20"/>
  <c r="AB83" i="20"/>
  <c r="AB74" i="20"/>
  <c r="AB156" i="20"/>
  <c r="AB122" i="20"/>
  <c r="AB113" i="20"/>
  <c r="AB104" i="20"/>
  <c r="AB95" i="20"/>
  <c r="AB86" i="20"/>
  <c r="AB77" i="20"/>
  <c r="AB68" i="20"/>
  <c r="AB150" i="20"/>
  <c r="AB130" i="20"/>
  <c r="AB151" i="20"/>
  <c r="AB135" i="20"/>
  <c r="AB147" i="20"/>
  <c r="AB146" i="20"/>
  <c r="AB133" i="20"/>
  <c r="AB34" i="20"/>
  <c r="AB31" i="20"/>
  <c r="AB28" i="20"/>
  <c r="AB25" i="20"/>
  <c r="AB22" i="20"/>
  <c r="AB19" i="20"/>
  <c r="AB16" i="20"/>
  <c r="AB13" i="20"/>
  <c r="AB10" i="20"/>
  <c r="AB7" i="20"/>
  <c r="AB4" i="20"/>
  <c r="AB148" i="20"/>
  <c r="AB132" i="20"/>
  <c r="AB98" i="20"/>
  <c r="AB131" i="20"/>
  <c r="AB80" i="20"/>
  <c r="AB71" i="20"/>
  <c r="AB67" i="20"/>
  <c r="AB64" i="20"/>
  <c r="AB61" i="20"/>
  <c r="AB59" i="20"/>
  <c r="AB50" i="20"/>
  <c r="AB41" i="20"/>
  <c r="AC1" i="20"/>
  <c r="AB149" i="20"/>
  <c r="AB54" i="20"/>
  <c r="AB45" i="20"/>
  <c r="AB141" i="20"/>
  <c r="AB140" i="20"/>
  <c r="AB129" i="20"/>
  <c r="AB107" i="20"/>
  <c r="AB89" i="20"/>
  <c r="AB58" i="20"/>
  <c r="AB49" i="20"/>
  <c r="AB40" i="20"/>
  <c r="AB139" i="20"/>
  <c r="AB128" i="20"/>
  <c r="AB53" i="20"/>
  <c r="AB44" i="20"/>
  <c r="AB138" i="20"/>
  <c r="AB127" i="20"/>
  <c r="AB57" i="20"/>
  <c r="AB48" i="20"/>
  <c r="AB39" i="20"/>
  <c r="AB36" i="20"/>
  <c r="AB33" i="20"/>
  <c r="AB30" i="20"/>
  <c r="AB27" i="20"/>
  <c r="AB24" i="20"/>
  <c r="AB21" i="20"/>
  <c r="AB18" i="20"/>
  <c r="AB15" i="20"/>
  <c r="AB12" i="20"/>
  <c r="AB9" i="20"/>
  <c r="AB6" i="20"/>
  <c r="AB3" i="20"/>
  <c r="AB153" i="20"/>
  <c r="AB137" i="20"/>
  <c r="AB52" i="20"/>
  <c r="AB43" i="20"/>
  <c r="AB136" i="20"/>
  <c r="AB125" i="20"/>
  <c r="AB116" i="20"/>
  <c r="AB56" i="20"/>
  <c r="AB47" i="20"/>
  <c r="AB38" i="20"/>
  <c r="AB51" i="20"/>
  <c r="AB65" i="20"/>
  <c r="AB62" i="20"/>
  <c r="AB145" i="20"/>
  <c r="AB37" i="20"/>
  <c r="AB42" i="20"/>
  <c r="AB55" i="20"/>
  <c r="AB35" i="20"/>
  <c r="AB32" i="20"/>
  <c r="AB29" i="20"/>
  <c r="AB26" i="20"/>
  <c r="AB23" i="20"/>
  <c r="AB20" i="20"/>
  <c r="AB17" i="20"/>
  <c r="AB14" i="20"/>
  <c r="AB11" i="20"/>
  <c r="AB8" i="20"/>
  <c r="AB5" i="20"/>
  <c r="AB66" i="20"/>
  <c r="AB63" i="20"/>
  <c r="AB60" i="20"/>
  <c r="AB46" i="20"/>
  <c r="Z175" i="26"/>
  <c r="Z172" i="26"/>
  <c r="Z169" i="26"/>
  <c r="Z166" i="26"/>
  <c r="Z163" i="26"/>
  <c r="Z160" i="26"/>
  <c r="Z176" i="26"/>
  <c r="Z173" i="26"/>
  <c r="Z170" i="26"/>
  <c r="Z167" i="26"/>
  <c r="Z164" i="26"/>
  <c r="Z161" i="26"/>
  <c r="Z158" i="26"/>
  <c r="Z174" i="26"/>
  <c r="Z171" i="26"/>
  <c r="Z168" i="26"/>
  <c r="Z165" i="26"/>
  <c r="Z162" i="26"/>
  <c r="Z159" i="26"/>
  <c r="Z157" i="26"/>
  <c r="Z154" i="26"/>
  <c r="Z151" i="26"/>
  <c r="Z148" i="26"/>
  <c r="Z145" i="26"/>
  <c r="Z142" i="26"/>
  <c r="Z139" i="26"/>
  <c r="Z136" i="26"/>
  <c r="Z133" i="26"/>
  <c r="Z130" i="26"/>
  <c r="Z155" i="26"/>
  <c r="Z152" i="26"/>
  <c r="Z149" i="26"/>
  <c r="Z146" i="26"/>
  <c r="Z143" i="26"/>
  <c r="Z140" i="26"/>
  <c r="Z137" i="26"/>
  <c r="Z134" i="26"/>
  <c r="Z156" i="26"/>
  <c r="Z153" i="26"/>
  <c r="Z150" i="26"/>
  <c r="Z147" i="26"/>
  <c r="Z144" i="26"/>
  <c r="Z141" i="26"/>
  <c r="Z138" i="26"/>
  <c r="Z135" i="26"/>
  <c r="Z132" i="26"/>
  <c r="Z131" i="26"/>
  <c r="Z125" i="26"/>
  <c r="Z116" i="26"/>
  <c r="Z113" i="26"/>
  <c r="Z109" i="26"/>
  <c r="Z106" i="26"/>
  <c r="Z103" i="26"/>
  <c r="Z100" i="26"/>
  <c r="Z97" i="26"/>
  <c r="Z94" i="26"/>
  <c r="Z91" i="26"/>
  <c r="Z88" i="26"/>
  <c r="Z85" i="26"/>
  <c r="Z82" i="26"/>
  <c r="Z79" i="26"/>
  <c r="Z76" i="26"/>
  <c r="Z73" i="26"/>
  <c r="Z70" i="26"/>
  <c r="Z129" i="26"/>
  <c r="Z127" i="26"/>
  <c r="Z123" i="26"/>
  <c r="Z114" i="26"/>
  <c r="Z110" i="26"/>
  <c r="Z107" i="26"/>
  <c r="Z104" i="26"/>
  <c r="Z101" i="26"/>
  <c r="Z98" i="26"/>
  <c r="Z95" i="26"/>
  <c r="Z92" i="26"/>
  <c r="Z89" i="26"/>
  <c r="Z86" i="26"/>
  <c r="Z83" i="26"/>
  <c r="Z80" i="26"/>
  <c r="Z77" i="26"/>
  <c r="Z74" i="26"/>
  <c r="Z71" i="26"/>
  <c r="Z68" i="26"/>
  <c r="Z65" i="26"/>
  <c r="Z62" i="26"/>
  <c r="Z59" i="26"/>
  <c r="Z56" i="26"/>
  <c r="Z53" i="26"/>
  <c r="Z128" i="26"/>
  <c r="Z115" i="26"/>
  <c r="Z111" i="26"/>
  <c r="Z108" i="26"/>
  <c r="Z105" i="26"/>
  <c r="Z102" i="26"/>
  <c r="Z99" i="26"/>
  <c r="Z96" i="26"/>
  <c r="Z93" i="26"/>
  <c r="Z90" i="26"/>
  <c r="Z87" i="26"/>
  <c r="Z84" i="26"/>
  <c r="Z81" i="26"/>
  <c r="Z78" i="26"/>
  <c r="Z75" i="26"/>
  <c r="Z72" i="26"/>
  <c r="Z69" i="26"/>
  <c r="Z66" i="26"/>
  <c r="Z63" i="26"/>
  <c r="Z60" i="26"/>
  <c r="Z57" i="26"/>
  <c r="Z54" i="26"/>
  <c r="Z51" i="26"/>
  <c r="AA1" i="26"/>
  <c r="Z61" i="26"/>
  <c r="Z50" i="26"/>
  <c r="Z47" i="26"/>
  <c r="Z44" i="26"/>
  <c r="Z41" i="26"/>
  <c r="Z38" i="26"/>
  <c r="Z35" i="26"/>
  <c r="Z32" i="26"/>
  <c r="Z29" i="26"/>
  <c r="Z26" i="26"/>
  <c r="Z23" i="26"/>
  <c r="Z20" i="26"/>
  <c r="Z17" i="26"/>
  <c r="Z14" i="26"/>
  <c r="Z11" i="26"/>
  <c r="Z8" i="26"/>
  <c r="Z5" i="26"/>
  <c r="Z64" i="26"/>
  <c r="Z55" i="26"/>
  <c r="Z52" i="26"/>
  <c r="Z48" i="26"/>
  <c r="Z45" i="26"/>
  <c r="Z42" i="26"/>
  <c r="Z39" i="26"/>
  <c r="Z36" i="26"/>
  <c r="Z33" i="26"/>
  <c r="Z30" i="26"/>
  <c r="Z27" i="26"/>
  <c r="Z24" i="26"/>
  <c r="Z21" i="26"/>
  <c r="Z18" i="26"/>
  <c r="Z15" i="26"/>
  <c r="Z12" i="26"/>
  <c r="Z9" i="26"/>
  <c r="Z6" i="26"/>
  <c r="Z3" i="26"/>
  <c r="Z67" i="26"/>
  <c r="Z58" i="26"/>
  <c r="Z49" i="26"/>
  <c r="Z46" i="26"/>
  <c r="Z43" i="26"/>
  <c r="Z40" i="26"/>
  <c r="Z37" i="26"/>
  <c r="Z34" i="26"/>
  <c r="Z31" i="26"/>
  <c r="Z28" i="26"/>
  <c r="Z25" i="26"/>
  <c r="Z22" i="26"/>
  <c r="Z19" i="26"/>
  <c r="Z16" i="26"/>
  <c r="Z13" i="26"/>
  <c r="Z10" i="26"/>
  <c r="Z7" i="26"/>
  <c r="Z4" i="26"/>
  <c r="Z124" i="26"/>
  <c r="AA191" i="16"/>
  <c r="AA188" i="16"/>
  <c r="AA185" i="16"/>
  <c r="AA182" i="16"/>
  <c r="AA179" i="16"/>
  <c r="AA176" i="16"/>
  <c r="AA192" i="16"/>
  <c r="AA189" i="16"/>
  <c r="AA186" i="16"/>
  <c r="AA183" i="16"/>
  <c r="AA180" i="16"/>
  <c r="AA177" i="16"/>
  <c r="AA134" i="16"/>
  <c r="AA131" i="16"/>
  <c r="AA139" i="16"/>
  <c r="AA187" i="16"/>
  <c r="AA132" i="16"/>
  <c r="AA143" i="16"/>
  <c r="AA140" i="16"/>
  <c r="AA67" i="16"/>
  <c r="AA64" i="16"/>
  <c r="AA61" i="16"/>
  <c r="AA58" i="16"/>
  <c r="AA55" i="16"/>
  <c r="AA52" i="16"/>
  <c r="AA49" i="16"/>
  <c r="AA46" i="16"/>
  <c r="AA43" i="16"/>
  <c r="AA40" i="16"/>
  <c r="AA37" i="16"/>
  <c r="AA34" i="16"/>
  <c r="AA31" i="16"/>
  <c r="AA28" i="16"/>
  <c r="AA25" i="16"/>
  <c r="AA22" i="16"/>
  <c r="AA19" i="16"/>
  <c r="AA16" i="16"/>
  <c r="AA13" i="16"/>
  <c r="AA10" i="16"/>
  <c r="AA7" i="16"/>
  <c r="AA4" i="16"/>
  <c r="AA138" i="16"/>
  <c r="AA133" i="16"/>
  <c r="AA130" i="16"/>
  <c r="AB1" i="16"/>
  <c r="AA172" i="16"/>
  <c r="AA163" i="16"/>
  <c r="AA154" i="16"/>
  <c r="AA145" i="16"/>
  <c r="AA125" i="16"/>
  <c r="AA116" i="16"/>
  <c r="AA107" i="16"/>
  <c r="AA98" i="16"/>
  <c r="AA89" i="16"/>
  <c r="AA80" i="16"/>
  <c r="AA71" i="16"/>
  <c r="AA170" i="16"/>
  <c r="AA161" i="16"/>
  <c r="AA152" i="16"/>
  <c r="AA121" i="16"/>
  <c r="AA112" i="16"/>
  <c r="AA103" i="16"/>
  <c r="AA94" i="16"/>
  <c r="AA85" i="16"/>
  <c r="AA76" i="16"/>
  <c r="AA168" i="16"/>
  <c r="AA159" i="16"/>
  <c r="AA150" i="16"/>
  <c r="AA141" i="16"/>
  <c r="AA128" i="16"/>
  <c r="AA117" i="16"/>
  <c r="AA108" i="16"/>
  <c r="AA99" i="16"/>
  <c r="AA90" i="16"/>
  <c r="AA81" i="16"/>
  <c r="AA72" i="16"/>
  <c r="AA148" i="16"/>
  <c r="AA126" i="16"/>
  <c r="AA122" i="16"/>
  <c r="AA104" i="16"/>
  <c r="AA86" i="16"/>
  <c r="AA175" i="16"/>
  <c r="AA166" i="16"/>
  <c r="AA157" i="16"/>
  <c r="AA137" i="16"/>
  <c r="AA135" i="16"/>
  <c r="AA113" i="16"/>
  <c r="AA95" i="16"/>
  <c r="AA77" i="16"/>
  <c r="AA181" i="16"/>
  <c r="AA178" i="16"/>
  <c r="AA173" i="16"/>
  <c r="AA164" i="16"/>
  <c r="AA155" i="16"/>
  <c r="AA146" i="16"/>
  <c r="AA118" i="16"/>
  <c r="AA109" i="16"/>
  <c r="AA100" i="16"/>
  <c r="AA91" i="16"/>
  <c r="AA82" i="16"/>
  <c r="AA73" i="16"/>
  <c r="AA102" i="16"/>
  <c r="AA75" i="16"/>
  <c r="AA68" i="16"/>
  <c r="AA66" i="16"/>
  <c r="AA65" i="16"/>
  <c r="AA63" i="16"/>
  <c r="AA62" i="16"/>
  <c r="AA60" i="16"/>
  <c r="AA59" i="16"/>
  <c r="AA57" i="16"/>
  <c r="AA56" i="16"/>
  <c r="AA54" i="16"/>
  <c r="AA53" i="16"/>
  <c r="AA51" i="16"/>
  <c r="AA50" i="16"/>
  <c r="AA48" i="16"/>
  <c r="AA47" i="16"/>
  <c r="AA45" i="16"/>
  <c r="AA44" i="16"/>
  <c r="AA42" i="16"/>
  <c r="AA41" i="16"/>
  <c r="AA39" i="16"/>
  <c r="AA38" i="16"/>
  <c r="AA36" i="16"/>
  <c r="AA35" i="16"/>
  <c r="AA33" i="16"/>
  <c r="AA32" i="16"/>
  <c r="AA30" i="16"/>
  <c r="AA29" i="16"/>
  <c r="AA27" i="16"/>
  <c r="AA26" i="16"/>
  <c r="AA24" i="16"/>
  <c r="AA23" i="16"/>
  <c r="AA21" i="16"/>
  <c r="AA20" i="16"/>
  <c r="AA18" i="16"/>
  <c r="AA17" i="16"/>
  <c r="AA15" i="16"/>
  <c r="AA14" i="16"/>
  <c r="AA12" i="16"/>
  <c r="AA11" i="16"/>
  <c r="AA9" i="16"/>
  <c r="AA8" i="16"/>
  <c r="AA6" i="16"/>
  <c r="AA5" i="16"/>
  <c r="AA3" i="16"/>
  <c r="AA101" i="16"/>
  <c r="AA74" i="16"/>
  <c r="AA171" i="16"/>
  <c r="AA162" i="16"/>
  <c r="AA153" i="16"/>
  <c r="AA144" i="16"/>
  <c r="AA142" i="16"/>
  <c r="AA123" i="16"/>
  <c r="AA114" i="16"/>
  <c r="AA105" i="16"/>
  <c r="AA96" i="16"/>
  <c r="AA87" i="16"/>
  <c r="AA78" i="16"/>
  <c r="AA69" i="16"/>
  <c r="AA129" i="16"/>
  <c r="AA110" i="16"/>
  <c r="AA92" i="16"/>
  <c r="AA120" i="16"/>
  <c r="AA111" i="16"/>
  <c r="AA93" i="16"/>
  <c r="AA84" i="16"/>
  <c r="AA169" i="16"/>
  <c r="AA160" i="16"/>
  <c r="AA151" i="16"/>
  <c r="AA119" i="16"/>
  <c r="AA83" i="16"/>
  <c r="AA167" i="16"/>
  <c r="AA158" i="16"/>
  <c r="AA149" i="16"/>
  <c r="AA127" i="16"/>
  <c r="AA124" i="16"/>
  <c r="AA115" i="16"/>
  <c r="AA106" i="16"/>
  <c r="AA97" i="16"/>
  <c r="AA88" i="16"/>
  <c r="AA79" i="16"/>
  <c r="AA70" i="16"/>
  <c r="AA136" i="16"/>
  <c r="AA193" i="16"/>
  <c r="AA190" i="16"/>
  <c r="AA184" i="16"/>
  <c r="AA174" i="16"/>
  <c r="AA165" i="16"/>
  <c r="AA156" i="16"/>
  <c r="AA147" i="16"/>
  <c r="Z188" i="19"/>
  <c r="Z185" i="19"/>
  <c r="Z182" i="19"/>
  <c r="Z179" i="19"/>
  <c r="Z176" i="19"/>
  <c r="Z189" i="19"/>
  <c r="Z186" i="19"/>
  <c r="Z183" i="19"/>
  <c r="Z180" i="19"/>
  <c r="Z177" i="19"/>
  <c r="Z172" i="19"/>
  <c r="Z169" i="19"/>
  <c r="Z166" i="19"/>
  <c r="Z163" i="19"/>
  <c r="Z160" i="19"/>
  <c r="Z157" i="19"/>
  <c r="Z154" i="19"/>
  <c r="Z151" i="19"/>
  <c r="Z148" i="19"/>
  <c r="Z145" i="19"/>
  <c r="Z142" i="19"/>
  <c r="Z134" i="19"/>
  <c r="Z126" i="19"/>
  <c r="Z123" i="19"/>
  <c r="Z120" i="19"/>
  <c r="Z117" i="19"/>
  <c r="Z114" i="19"/>
  <c r="Z111" i="19"/>
  <c r="Z108" i="19"/>
  <c r="Z105" i="19"/>
  <c r="Z102" i="19"/>
  <c r="Z99" i="19"/>
  <c r="Z96" i="19"/>
  <c r="Z93" i="19"/>
  <c r="Z90" i="19"/>
  <c r="Z87" i="19"/>
  <c r="Z84" i="19"/>
  <c r="Z81" i="19"/>
  <c r="Z78" i="19"/>
  <c r="Z75" i="19"/>
  <c r="Z72" i="19"/>
  <c r="Z69" i="19"/>
  <c r="Z129" i="19"/>
  <c r="Z132" i="19"/>
  <c r="Z187" i="19"/>
  <c r="Z178" i="19"/>
  <c r="Z140" i="19"/>
  <c r="Z137" i="19"/>
  <c r="Z67" i="19"/>
  <c r="Z64" i="19"/>
  <c r="Z61" i="19"/>
  <c r="Z58" i="19"/>
  <c r="Z55" i="19"/>
  <c r="Z52" i="19"/>
  <c r="Z49" i="19"/>
  <c r="Z46" i="19"/>
  <c r="Z43" i="19"/>
  <c r="Z40" i="19"/>
  <c r="Z37" i="19"/>
  <c r="Z34" i="19"/>
  <c r="Z31" i="19"/>
  <c r="Z28" i="19"/>
  <c r="Z25" i="19"/>
  <c r="Z22" i="19"/>
  <c r="Z19" i="19"/>
  <c r="Z16" i="19"/>
  <c r="Z13" i="19"/>
  <c r="Z10" i="19"/>
  <c r="Z7" i="19"/>
  <c r="Z4" i="19"/>
  <c r="Z184" i="19"/>
  <c r="Z175" i="19"/>
  <c r="Z138" i="19"/>
  <c r="Z133" i="19"/>
  <c r="Z65" i="19"/>
  <c r="Z62" i="19"/>
  <c r="Z59" i="19"/>
  <c r="Z56" i="19"/>
  <c r="Z53" i="19"/>
  <c r="Z50" i="19"/>
  <c r="Z47" i="19"/>
  <c r="Z44" i="19"/>
  <c r="Z41" i="19"/>
  <c r="Z38" i="19"/>
  <c r="Z35" i="19"/>
  <c r="Z32" i="19"/>
  <c r="Z29" i="19"/>
  <c r="Z26" i="19"/>
  <c r="Z23" i="19"/>
  <c r="Z20" i="19"/>
  <c r="Z17" i="19"/>
  <c r="Z14" i="19"/>
  <c r="Z11" i="19"/>
  <c r="Z8" i="19"/>
  <c r="Z5" i="19"/>
  <c r="Z181" i="19"/>
  <c r="Z174" i="19"/>
  <c r="Z165" i="19"/>
  <c r="Z156" i="19"/>
  <c r="Z147" i="19"/>
  <c r="Z121" i="19"/>
  <c r="Z112" i="19"/>
  <c r="Z103" i="19"/>
  <c r="Z94" i="19"/>
  <c r="Z85" i="19"/>
  <c r="Z76" i="19"/>
  <c r="Z60" i="19"/>
  <c r="Z51" i="19"/>
  <c r="Z42" i="19"/>
  <c r="Z33" i="19"/>
  <c r="Z136" i="19"/>
  <c r="Z130" i="19"/>
  <c r="Z190" i="19"/>
  <c r="Z170" i="19"/>
  <c r="Z161" i="19"/>
  <c r="Z152" i="19"/>
  <c r="Z143" i="19"/>
  <c r="Z119" i="19"/>
  <c r="Z110" i="19"/>
  <c r="Z101" i="19"/>
  <c r="Z92" i="19"/>
  <c r="Z83" i="19"/>
  <c r="Z74" i="19"/>
  <c r="Z168" i="19"/>
  <c r="Z159" i="19"/>
  <c r="Z150" i="19"/>
  <c r="Z141" i="19"/>
  <c r="Z124" i="19"/>
  <c r="Z115" i="19"/>
  <c r="Z106" i="19"/>
  <c r="Z97" i="19"/>
  <c r="Z88" i="19"/>
  <c r="Z79" i="19"/>
  <c r="Z70" i="19"/>
  <c r="Z63" i="19"/>
  <c r="Z54" i="19"/>
  <c r="Z45" i="19"/>
  <c r="Z36" i="19"/>
  <c r="Z27" i="19"/>
  <c r="Z18" i="19"/>
  <c r="Z9" i="19"/>
  <c r="Z131" i="19"/>
  <c r="Z122" i="19"/>
  <c r="Z116" i="19"/>
  <c r="Z68" i="19"/>
  <c r="Z48" i="19"/>
  <c r="Z30" i="19"/>
  <c r="Z173" i="19"/>
  <c r="Z167" i="19"/>
  <c r="Z153" i="19"/>
  <c r="Z86" i="19"/>
  <c r="Z80" i="19"/>
  <c r="Z66" i="19"/>
  <c r="Z12" i="19"/>
  <c r="AA1" i="19"/>
  <c r="Z171" i="19"/>
  <c r="Z95" i="19"/>
  <c r="Z89" i="19"/>
  <c r="Z24" i="19"/>
  <c r="Z3" i="19"/>
  <c r="Z146" i="19"/>
  <c r="Z135" i="19"/>
  <c r="Z104" i="19"/>
  <c r="Z98" i="19"/>
  <c r="Z15" i="19"/>
  <c r="Z155" i="19"/>
  <c r="Z73" i="19"/>
  <c r="Z71" i="19"/>
  <c r="Z57" i="19"/>
  <c r="Z164" i="19"/>
  <c r="Z82" i="19"/>
  <c r="Z107" i="19"/>
  <c r="Z91" i="19"/>
  <c r="Z21" i="19"/>
  <c r="Z118" i="19"/>
  <c r="Z109" i="19"/>
  <c r="Z100" i="19"/>
  <c r="Z77" i="19"/>
  <c r="Z6" i="19"/>
  <c r="Z149" i="19"/>
  <c r="Z139" i="19"/>
  <c r="Z113" i="19"/>
  <c r="Z162" i="19"/>
  <c r="Z125" i="19"/>
  <c r="Z144" i="19"/>
  <c r="Z39" i="19"/>
  <c r="Z128" i="19"/>
  <c r="Z158" i="19"/>
  <c r="Z127" i="19"/>
  <c r="Z127" i="23"/>
  <c r="Z135" i="23"/>
  <c r="Z132" i="23"/>
  <c r="Z183" i="23"/>
  <c r="Z180" i="23"/>
  <c r="Z177" i="23"/>
  <c r="Z174" i="23"/>
  <c r="Z171" i="23"/>
  <c r="Z168" i="23"/>
  <c r="Z165" i="23"/>
  <c r="Z162" i="23"/>
  <c r="Z159" i="23"/>
  <c r="Z156" i="23"/>
  <c r="Z153" i="23"/>
  <c r="Z150" i="23"/>
  <c r="Z147" i="23"/>
  <c r="Z144" i="23"/>
  <c r="Z141" i="23"/>
  <c r="Z138" i="23"/>
  <c r="Z119" i="23"/>
  <c r="Z130" i="23"/>
  <c r="Z125" i="23"/>
  <c r="Z122" i="23"/>
  <c r="Z184" i="23"/>
  <c r="Z181" i="23"/>
  <c r="Z178" i="23"/>
  <c r="Z175" i="23"/>
  <c r="Z172" i="23"/>
  <c r="Z169" i="23"/>
  <c r="Z166" i="23"/>
  <c r="Z163" i="23"/>
  <c r="Z160" i="23"/>
  <c r="Z157" i="23"/>
  <c r="Z154" i="23"/>
  <c r="Z151" i="23"/>
  <c r="Z148" i="23"/>
  <c r="Z145" i="23"/>
  <c r="Z142" i="23"/>
  <c r="Z139" i="23"/>
  <c r="Z136" i="23"/>
  <c r="Z120" i="23"/>
  <c r="Z126" i="23"/>
  <c r="Z123" i="23"/>
  <c r="Z185" i="23"/>
  <c r="Z182" i="23"/>
  <c r="Z179" i="23"/>
  <c r="Z176" i="23"/>
  <c r="Z173" i="23"/>
  <c r="Z170" i="23"/>
  <c r="Z167" i="23"/>
  <c r="Z164" i="23"/>
  <c r="Z161" i="23"/>
  <c r="Z158" i="23"/>
  <c r="Z155" i="23"/>
  <c r="Z152" i="23"/>
  <c r="Z149" i="23"/>
  <c r="Z146" i="23"/>
  <c r="Z143" i="23"/>
  <c r="Z140" i="23"/>
  <c r="Z137" i="23"/>
  <c r="Z129" i="23"/>
  <c r="Z121" i="23"/>
  <c r="Z118" i="23"/>
  <c r="Z128" i="23"/>
  <c r="Z117" i="23"/>
  <c r="Z114" i="23"/>
  <c r="Z111" i="23"/>
  <c r="Z108" i="23"/>
  <c r="Z105" i="23"/>
  <c r="Z102" i="23"/>
  <c r="Z99" i="23"/>
  <c r="Z96" i="23"/>
  <c r="Z93" i="23"/>
  <c r="Z90" i="23"/>
  <c r="Z87" i="23"/>
  <c r="Z84" i="23"/>
  <c r="Z133" i="23"/>
  <c r="Z124" i="23"/>
  <c r="Z116" i="23"/>
  <c r="Z113" i="23"/>
  <c r="Z110" i="23"/>
  <c r="Z107" i="23"/>
  <c r="Z104" i="23"/>
  <c r="Z101" i="23"/>
  <c r="Z98" i="23"/>
  <c r="Z95" i="23"/>
  <c r="Z134" i="23"/>
  <c r="Z131" i="23"/>
  <c r="Z91" i="23"/>
  <c r="Z112" i="23"/>
  <c r="Z103" i="23"/>
  <c r="Z106" i="23"/>
  <c r="Z100" i="23"/>
  <c r="Z82" i="23"/>
  <c r="Z79" i="23"/>
  <c r="Z76" i="23"/>
  <c r="Z73" i="23"/>
  <c r="Z70" i="23"/>
  <c r="Z67" i="23"/>
  <c r="Z64" i="23"/>
  <c r="Z61" i="23"/>
  <c r="Z58" i="23"/>
  <c r="Z55" i="23"/>
  <c r="Z52" i="23"/>
  <c r="Z49" i="23"/>
  <c r="Z85" i="23"/>
  <c r="Z89" i="23"/>
  <c r="Z80" i="23"/>
  <c r="Z77" i="23"/>
  <c r="Z74" i="23"/>
  <c r="Z71" i="23"/>
  <c r="Z68" i="23"/>
  <c r="Z65" i="23"/>
  <c r="Z62" i="23"/>
  <c r="Z59" i="23"/>
  <c r="Z56" i="23"/>
  <c r="Z83" i="23"/>
  <c r="Z115" i="23"/>
  <c r="Z81" i="23"/>
  <c r="Z78" i="23"/>
  <c r="Z75" i="23"/>
  <c r="Z72" i="23"/>
  <c r="Z69" i="23"/>
  <c r="Z66" i="23"/>
  <c r="Z63" i="23"/>
  <c r="Z60" i="23"/>
  <c r="Z57" i="23"/>
  <c r="Z54" i="23"/>
  <c r="Z51" i="23"/>
  <c r="Z48" i="23"/>
  <c r="Z109" i="23"/>
  <c r="Z94" i="23"/>
  <c r="Z92" i="23"/>
  <c r="Z47" i="23"/>
  <c r="Z44" i="23"/>
  <c r="Z41" i="23"/>
  <c r="Z38" i="23"/>
  <c r="Z35" i="23"/>
  <c r="Z32" i="23"/>
  <c r="Z29" i="23"/>
  <c r="Z26" i="23"/>
  <c r="Z23" i="23"/>
  <c r="Z20" i="23"/>
  <c r="Z17" i="23"/>
  <c r="Z14" i="23"/>
  <c r="Z11" i="23"/>
  <c r="Z8" i="23"/>
  <c r="Z5" i="23"/>
  <c r="Z50" i="23"/>
  <c r="Z86" i="23"/>
  <c r="Z45" i="23"/>
  <c r="Z42" i="23"/>
  <c r="Z39" i="23"/>
  <c r="Z36" i="23"/>
  <c r="Z33" i="23"/>
  <c r="Z30" i="23"/>
  <c r="Z27" i="23"/>
  <c r="Z24" i="23"/>
  <c r="Z21" i="23"/>
  <c r="Z18" i="23"/>
  <c r="Z15" i="23"/>
  <c r="Z12" i="23"/>
  <c r="Z9" i="23"/>
  <c r="Z6" i="23"/>
  <c r="Z3" i="23"/>
  <c r="Z88" i="23"/>
  <c r="Z97" i="23"/>
  <c r="Z46" i="23"/>
  <c r="Z43" i="23"/>
  <c r="Z40" i="23"/>
  <c r="Z37" i="23"/>
  <c r="Z34" i="23"/>
  <c r="Z31" i="23"/>
  <c r="Z28" i="23"/>
  <c r="Z25" i="23"/>
  <c r="Z22" i="23"/>
  <c r="Z19" i="23"/>
  <c r="Z16" i="23"/>
  <c r="Z13" i="23"/>
  <c r="Z10" i="23"/>
  <c r="Z7" i="23"/>
  <c r="Z4" i="23"/>
  <c r="Z53" i="23"/>
  <c r="AA1" i="23"/>
  <c r="Z192" i="18"/>
  <c r="Z189" i="18"/>
  <c r="Z186" i="18"/>
  <c r="Z183" i="18"/>
  <c r="Z180" i="18"/>
  <c r="Z177" i="18"/>
  <c r="Z174" i="18"/>
  <c r="Z171" i="18"/>
  <c r="Z168" i="18"/>
  <c r="Z165" i="18"/>
  <c r="Z162" i="18"/>
  <c r="Z159" i="18"/>
  <c r="Z156" i="18"/>
  <c r="Z153" i="18"/>
  <c r="Z150" i="18"/>
  <c r="Z147" i="18"/>
  <c r="Z144" i="18"/>
  <c r="Z136" i="18"/>
  <c r="Z137" i="18"/>
  <c r="Z188" i="18"/>
  <c r="Z179" i="18"/>
  <c r="Z170" i="18"/>
  <c r="Z161" i="18"/>
  <c r="Z152" i="18"/>
  <c r="Z141" i="18"/>
  <c r="Z184" i="18"/>
  <c r="Z175" i="18"/>
  <c r="Z187" i="18"/>
  <c r="Z178" i="18"/>
  <c r="Z169" i="18"/>
  <c r="Z185" i="18"/>
  <c r="Z176" i="18"/>
  <c r="Z166" i="18"/>
  <c r="Z155" i="18"/>
  <c r="Z191" i="18"/>
  <c r="Z181" i="18"/>
  <c r="Z146" i="18"/>
  <c r="Z145" i="18"/>
  <c r="Z132" i="18"/>
  <c r="Z129" i="18"/>
  <c r="Z182" i="18"/>
  <c r="Z172" i="18"/>
  <c r="Z173" i="18"/>
  <c r="Z163" i="18"/>
  <c r="Z151" i="18"/>
  <c r="Z133" i="18"/>
  <c r="Z130" i="18"/>
  <c r="AA1" i="18"/>
  <c r="Z160" i="18"/>
  <c r="Z124" i="18"/>
  <c r="Z115" i="18"/>
  <c r="Z106" i="18"/>
  <c r="Z97" i="18"/>
  <c r="Z88" i="18"/>
  <c r="Z79" i="18"/>
  <c r="Z70" i="18"/>
  <c r="Z65" i="18"/>
  <c r="Z56" i="18"/>
  <c r="Z47" i="18"/>
  <c r="Z38" i="18"/>
  <c r="Z29" i="18"/>
  <c r="Z20" i="18"/>
  <c r="Z11" i="18"/>
  <c r="Z148" i="18"/>
  <c r="Z139" i="18"/>
  <c r="Z128" i="18"/>
  <c r="Z119" i="18"/>
  <c r="Z110" i="18"/>
  <c r="Z101" i="18"/>
  <c r="Z92" i="18"/>
  <c r="Z83" i="18"/>
  <c r="Z74" i="18"/>
  <c r="Z158" i="18"/>
  <c r="Z157" i="18"/>
  <c r="Z142" i="18"/>
  <c r="Z60" i="18"/>
  <c r="Z51" i="18"/>
  <c r="Z42" i="18"/>
  <c r="Z33" i="18"/>
  <c r="Z24" i="18"/>
  <c r="Z15" i="18"/>
  <c r="Z6" i="18"/>
  <c r="Z167" i="18"/>
  <c r="Z123" i="18"/>
  <c r="Z114" i="18"/>
  <c r="Z105" i="18"/>
  <c r="Z96" i="18"/>
  <c r="Z87" i="18"/>
  <c r="Z78" i="18"/>
  <c r="Z69" i="18"/>
  <c r="Z64" i="18"/>
  <c r="Z55" i="18"/>
  <c r="Z46" i="18"/>
  <c r="Z37" i="18"/>
  <c r="Z28" i="18"/>
  <c r="Z19" i="18"/>
  <c r="Z10" i="18"/>
  <c r="Z140" i="18"/>
  <c r="Z127" i="18"/>
  <c r="Z118" i="18"/>
  <c r="Z109" i="18"/>
  <c r="Z100" i="18"/>
  <c r="Z91" i="18"/>
  <c r="Z82" i="18"/>
  <c r="Z73" i="18"/>
  <c r="Z68" i="18"/>
  <c r="Z59" i="18"/>
  <c r="Z50" i="18"/>
  <c r="Z41" i="18"/>
  <c r="Z32" i="18"/>
  <c r="Z23" i="18"/>
  <c r="Z14" i="18"/>
  <c r="Z5" i="18"/>
  <c r="Z154" i="18"/>
  <c r="Z122" i="18"/>
  <c r="Z113" i="18"/>
  <c r="Z104" i="18"/>
  <c r="Z131" i="18"/>
  <c r="Z190" i="18"/>
  <c r="Z111" i="18"/>
  <c r="Z71" i="18"/>
  <c r="Z61" i="18"/>
  <c r="Z34" i="18"/>
  <c r="Z9" i="18"/>
  <c r="Z3" i="18"/>
  <c r="Z57" i="18"/>
  <c r="Z30" i="18"/>
  <c r="Z17" i="18"/>
  <c r="Z143" i="18"/>
  <c r="Z117" i="18"/>
  <c r="Z116" i="18"/>
  <c r="Z103" i="18"/>
  <c r="Z99" i="18"/>
  <c r="Z90" i="18"/>
  <c r="Z81" i="18"/>
  <c r="Z63" i="18"/>
  <c r="Z53" i="18"/>
  <c r="Z36" i="18"/>
  <c r="Z102" i="18"/>
  <c r="Z43" i="18"/>
  <c r="Z27" i="18"/>
  <c r="Z21" i="18"/>
  <c r="Z98" i="18"/>
  <c r="Z89" i="18"/>
  <c r="Z80" i="18"/>
  <c r="Z49" i="18"/>
  <c r="Z25" i="18"/>
  <c r="Z4" i="18"/>
  <c r="Z76" i="18"/>
  <c r="Z66" i="18"/>
  <c r="Z39" i="18"/>
  <c r="Z8" i="18"/>
  <c r="Z121" i="18"/>
  <c r="Z108" i="18"/>
  <c r="Z107" i="18"/>
  <c r="Z149" i="18"/>
  <c r="Z138" i="18"/>
  <c r="Z120" i="18"/>
  <c r="Z95" i="18"/>
  <c r="Z86" i="18"/>
  <c r="Z72" i="18"/>
  <c r="Z52" i="18"/>
  <c r="Z18" i="18"/>
  <c r="Z12" i="18"/>
  <c r="Z135" i="18"/>
  <c r="Z134" i="18"/>
  <c r="Z58" i="18"/>
  <c r="Z31" i="18"/>
  <c r="Z22" i="18"/>
  <c r="Z16" i="18"/>
  <c r="Z94" i="18"/>
  <c r="Z85" i="18"/>
  <c r="Z48" i="18"/>
  <c r="Z26" i="18"/>
  <c r="Z125" i="18"/>
  <c r="Z112" i="18"/>
  <c r="Z67" i="18"/>
  <c r="Z45" i="18"/>
  <c r="Z54" i="18"/>
  <c r="Z93" i="18"/>
  <c r="Z13" i="18"/>
  <c r="Z35" i="18"/>
  <c r="Z75" i="18"/>
  <c r="Z44" i="18"/>
  <c r="Z7" i="18"/>
  <c r="Z62" i="18"/>
  <c r="Z126" i="18"/>
  <c r="Z84" i="18"/>
  <c r="Z77" i="18"/>
  <c r="Z164" i="18"/>
  <c r="Z40" i="18"/>
  <c r="AC192" i="17"/>
  <c r="AC183" i="17"/>
  <c r="AC174" i="17"/>
  <c r="AC165" i="17"/>
  <c r="AC156" i="17"/>
  <c r="AC191" i="17"/>
  <c r="AC182" i="17"/>
  <c r="AC133" i="17"/>
  <c r="AC186" i="17"/>
  <c r="AC177" i="17"/>
  <c r="AC168" i="17"/>
  <c r="AC159" i="17"/>
  <c r="AC150" i="17"/>
  <c r="AC138" i="17"/>
  <c r="AC185" i="17"/>
  <c r="AC179" i="17"/>
  <c r="AC136" i="17"/>
  <c r="AC135" i="17"/>
  <c r="AC122" i="17"/>
  <c r="AC113" i="17"/>
  <c r="AC104" i="17"/>
  <c r="AC95" i="17"/>
  <c r="AC90" i="17"/>
  <c r="AC189" i="17"/>
  <c r="AC187" i="17"/>
  <c r="AC172" i="17"/>
  <c r="AC163" i="17"/>
  <c r="AC154" i="17"/>
  <c r="AC141" i="17"/>
  <c r="AC137" i="17"/>
  <c r="AC126" i="17"/>
  <c r="AC117" i="17"/>
  <c r="AC108" i="17"/>
  <c r="AC99" i="17"/>
  <c r="AC88" i="17"/>
  <c r="AC85" i="17"/>
  <c r="AC82" i="17"/>
  <c r="AC79" i="17"/>
  <c r="AC76" i="17"/>
  <c r="AC73" i="17"/>
  <c r="AC70" i="17"/>
  <c r="AC175" i="17"/>
  <c r="AC169" i="17"/>
  <c r="AC166" i="17"/>
  <c r="AC160" i="17"/>
  <c r="AC157" i="17"/>
  <c r="AC151" i="17"/>
  <c r="AC147" i="17"/>
  <c r="AC144" i="17"/>
  <c r="AC142" i="17"/>
  <c r="AC140" i="17"/>
  <c r="AC139" i="17"/>
  <c r="AC121" i="17"/>
  <c r="AC112" i="17"/>
  <c r="AC103" i="17"/>
  <c r="AC94" i="17"/>
  <c r="AD1" i="17"/>
  <c r="AC148" i="17"/>
  <c r="AC146" i="17"/>
  <c r="AC145" i="17"/>
  <c r="AC143" i="17"/>
  <c r="AC130" i="17"/>
  <c r="AC125" i="17"/>
  <c r="AC116" i="17"/>
  <c r="AC107" i="17"/>
  <c r="AC98" i="17"/>
  <c r="AC68" i="17"/>
  <c r="AC65" i="17"/>
  <c r="AC62" i="17"/>
  <c r="AC59" i="17"/>
  <c r="AC56" i="17"/>
  <c r="AC53" i="17"/>
  <c r="AC50" i="17"/>
  <c r="AC47" i="17"/>
  <c r="AC44" i="17"/>
  <c r="AC41" i="17"/>
  <c r="AC38" i="17"/>
  <c r="AC35" i="17"/>
  <c r="AC32" i="17"/>
  <c r="AC29" i="17"/>
  <c r="AC26" i="17"/>
  <c r="AC23" i="17"/>
  <c r="AC20" i="17"/>
  <c r="AC17" i="17"/>
  <c r="AC14" i="17"/>
  <c r="AC11" i="17"/>
  <c r="AC8" i="17"/>
  <c r="AC5" i="17"/>
  <c r="AC180" i="17"/>
  <c r="AC178" i="17"/>
  <c r="AC176" i="17"/>
  <c r="AC167" i="17"/>
  <c r="AC158" i="17"/>
  <c r="AC149" i="17"/>
  <c r="AC120" i="17"/>
  <c r="AC111" i="17"/>
  <c r="AC102" i="17"/>
  <c r="AC89" i="17"/>
  <c r="AC86" i="17"/>
  <c r="AC83" i="17"/>
  <c r="AC80" i="17"/>
  <c r="AC77" i="17"/>
  <c r="AC74" i="17"/>
  <c r="AC71" i="17"/>
  <c r="AC188" i="17"/>
  <c r="AC128" i="17"/>
  <c r="AC119" i="17"/>
  <c r="AC110" i="17"/>
  <c r="AC101" i="17"/>
  <c r="AC93" i="17"/>
  <c r="AC66" i="17"/>
  <c r="AC63" i="17"/>
  <c r="AC60" i="17"/>
  <c r="AC57" i="17"/>
  <c r="AC54" i="17"/>
  <c r="AC51" i="17"/>
  <c r="AC48" i="17"/>
  <c r="AC45" i="17"/>
  <c r="AC42" i="17"/>
  <c r="AC39" i="17"/>
  <c r="AC36" i="17"/>
  <c r="AC33" i="17"/>
  <c r="AC30" i="17"/>
  <c r="AC27" i="17"/>
  <c r="AC24" i="17"/>
  <c r="AC21" i="17"/>
  <c r="AC123" i="17"/>
  <c r="AC114" i="17"/>
  <c r="AC105" i="17"/>
  <c r="AC96" i="17"/>
  <c r="AC87" i="17"/>
  <c r="AC84" i="17"/>
  <c r="AC81" i="17"/>
  <c r="AC78" i="17"/>
  <c r="AC75" i="17"/>
  <c r="AC72" i="17"/>
  <c r="AC69" i="17"/>
  <c r="AC131" i="17"/>
  <c r="AC173" i="17"/>
  <c r="AC161" i="17"/>
  <c r="AC129" i="17"/>
  <c r="AC15" i="17"/>
  <c r="AC6" i="17"/>
  <c r="AC127" i="17"/>
  <c r="AC118" i="17"/>
  <c r="AC109" i="17"/>
  <c r="AC100" i="17"/>
  <c r="AC67" i="17"/>
  <c r="AC64" i="17"/>
  <c r="AC61" i="17"/>
  <c r="AC58" i="17"/>
  <c r="AC55" i="17"/>
  <c r="AC52" i="17"/>
  <c r="AC49" i="17"/>
  <c r="AC46" i="17"/>
  <c r="AC43" i="17"/>
  <c r="AC40" i="17"/>
  <c r="AC37" i="17"/>
  <c r="AC34" i="17"/>
  <c r="AC31" i="17"/>
  <c r="AC28" i="17"/>
  <c r="AC25" i="17"/>
  <c r="AC22" i="17"/>
  <c r="AC16" i="17"/>
  <c r="AC7" i="17"/>
  <c r="AC170" i="17"/>
  <c r="AC91" i="17"/>
  <c r="AC153" i="17"/>
  <c r="AC134" i="17"/>
  <c r="AC132" i="17"/>
  <c r="AC18" i="17"/>
  <c r="AC190" i="17"/>
  <c r="AC155" i="17"/>
  <c r="AC19" i="17"/>
  <c r="AC10" i="17"/>
  <c r="AC162" i="17"/>
  <c r="AC92" i="17"/>
  <c r="AC184" i="17"/>
  <c r="AC164" i="17"/>
  <c r="AC152" i="17"/>
  <c r="AC124" i="17"/>
  <c r="AC115" i="17"/>
  <c r="AC106" i="17"/>
  <c r="AC97" i="17"/>
  <c r="AC3" i="17"/>
  <c r="AC9" i="17"/>
  <c r="AC13" i="17"/>
  <c r="AC171" i="17"/>
  <c r="AC12" i="17"/>
  <c r="AC4" i="17"/>
  <c r="AC181" i="17"/>
  <c r="Z136" i="21"/>
  <c r="Z131" i="21"/>
  <c r="Z187" i="21"/>
  <c r="Z184" i="21"/>
  <c r="Z181" i="21"/>
  <c r="Z178" i="21"/>
  <c r="Z175" i="21"/>
  <c r="Z172" i="21"/>
  <c r="Z169" i="21"/>
  <c r="Z166" i="21"/>
  <c r="Z163" i="21"/>
  <c r="Z160" i="21"/>
  <c r="Z157" i="21"/>
  <c r="Z154" i="21"/>
  <c r="Z151" i="21"/>
  <c r="Z148" i="21"/>
  <c r="Z145" i="21"/>
  <c r="Z142" i="21"/>
  <c r="Z139" i="21"/>
  <c r="Z123" i="21"/>
  <c r="Z120" i="21"/>
  <c r="Z117" i="21"/>
  <c r="Z114" i="21"/>
  <c r="Z111" i="21"/>
  <c r="Z129" i="21"/>
  <c r="Z126" i="21"/>
  <c r="Z188" i="21"/>
  <c r="Z185" i="21"/>
  <c r="Z182" i="21"/>
  <c r="Z179" i="21"/>
  <c r="Z176" i="21"/>
  <c r="Z173" i="21"/>
  <c r="Z170" i="21"/>
  <c r="Z167" i="21"/>
  <c r="Z164" i="21"/>
  <c r="Z161" i="21"/>
  <c r="Z158" i="21"/>
  <c r="Z155" i="21"/>
  <c r="Z152" i="21"/>
  <c r="Z149" i="21"/>
  <c r="Z146" i="21"/>
  <c r="Z143" i="21"/>
  <c r="Z140" i="21"/>
  <c r="Z127" i="21"/>
  <c r="Z130" i="21"/>
  <c r="Z186" i="21"/>
  <c r="Z183" i="21"/>
  <c r="Z180" i="21"/>
  <c r="Z177" i="21"/>
  <c r="Z174" i="21"/>
  <c r="Z171" i="21"/>
  <c r="Z168" i="21"/>
  <c r="Z165" i="21"/>
  <c r="Z124" i="21"/>
  <c r="Z121" i="21"/>
  <c r="Z118" i="21"/>
  <c r="Z115" i="21"/>
  <c r="Z112" i="21"/>
  <c r="Z159" i="21"/>
  <c r="Z133" i="21"/>
  <c r="Z109" i="21"/>
  <c r="Z106" i="21"/>
  <c r="Z103" i="21"/>
  <c r="Z100" i="21"/>
  <c r="Z97" i="21"/>
  <c r="Z94" i="21"/>
  <c r="Z91" i="21"/>
  <c r="Z88" i="21"/>
  <c r="Z85" i="21"/>
  <c r="Z82" i="21"/>
  <c r="Z79" i="21"/>
  <c r="Z76" i="21"/>
  <c r="Z73" i="21"/>
  <c r="Z70" i="21"/>
  <c r="Z67" i="21"/>
  <c r="Z64" i="21"/>
  <c r="Z61" i="21"/>
  <c r="Z58" i="21"/>
  <c r="Z55" i="21"/>
  <c r="Z52" i="21"/>
  <c r="Z49" i="21"/>
  <c r="Z46" i="21"/>
  <c r="Z43" i="21"/>
  <c r="Z40" i="21"/>
  <c r="Z37" i="21"/>
  <c r="Z34" i="21"/>
  <c r="Z31" i="21"/>
  <c r="Z28" i="21"/>
  <c r="Z25" i="21"/>
  <c r="Z22" i="21"/>
  <c r="Z19" i="21"/>
  <c r="Z16" i="21"/>
  <c r="Z162" i="21"/>
  <c r="Z132" i="21"/>
  <c r="Z122" i="21"/>
  <c r="Z119" i="21"/>
  <c r="Z116" i="21"/>
  <c r="Z113" i="21"/>
  <c r="Z134" i="21"/>
  <c r="Z45" i="21"/>
  <c r="Z41" i="21"/>
  <c r="Z36" i="21"/>
  <c r="Z32" i="21"/>
  <c r="Z27" i="21"/>
  <c r="Z23" i="21"/>
  <c r="Z18" i="21"/>
  <c r="Z137" i="21"/>
  <c r="Z108" i="21"/>
  <c r="Z105" i="21"/>
  <c r="Z102" i="21"/>
  <c r="Z99" i="21"/>
  <c r="Z96" i="21"/>
  <c r="Z93" i="21"/>
  <c r="Z90" i="21"/>
  <c r="Z87" i="21"/>
  <c r="Z84" i="21"/>
  <c r="Z81" i="21"/>
  <c r="Z78" i="21"/>
  <c r="Z75" i="21"/>
  <c r="Z72" i="21"/>
  <c r="Z69" i="21"/>
  <c r="Z66" i="21"/>
  <c r="Z63" i="21"/>
  <c r="Z60" i="21"/>
  <c r="Z57" i="21"/>
  <c r="Z54" i="21"/>
  <c r="Z138" i="21"/>
  <c r="Z135" i="21"/>
  <c r="Z110" i="21"/>
  <c r="Z107" i="21"/>
  <c r="Z104" i="21"/>
  <c r="Z101" i="21"/>
  <c r="Z98" i="21"/>
  <c r="Z95" i="21"/>
  <c r="Z92" i="21"/>
  <c r="Z89" i="21"/>
  <c r="Z86" i="21"/>
  <c r="Z83" i="21"/>
  <c r="Z80" i="21"/>
  <c r="Z77" i="21"/>
  <c r="Z74" i="21"/>
  <c r="Z71" i="21"/>
  <c r="Z68" i="21"/>
  <c r="Z65" i="21"/>
  <c r="Z62" i="21"/>
  <c r="Z59" i="21"/>
  <c r="Z56" i="21"/>
  <c r="Z53" i="21"/>
  <c r="Z47" i="21"/>
  <c r="Z42" i="21"/>
  <c r="Z38" i="21"/>
  <c r="Z33" i="21"/>
  <c r="Z29" i="21"/>
  <c r="Z24" i="21"/>
  <c r="Z20" i="21"/>
  <c r="Z156" i="21"/>
  <c r="Z13" i="21"/>
  <c r="Z10" i="21"/>
  <c r="Z7" i="21"/>
  <c r="Z4" i="21"/>
  <c r="Z150" i="21"/>
  <c r="Z141" i="21"/>
  <c r="Z50" i="21"/>
  <c r="Z44" i="21"/>
  <c r="Z39" i="21"/>
  <c r="Z35" i="21"/>
  <c r="Z30" i="21"/>
  <c r="Z26" i="21"/>
  <c r="Z21" i="21"/>
  <c r="Z17" i="21"/>
  <c r="AA1" i="21"/>
  <c r="Z48" i="21"/>
  <c r="Z144" i="21"/>
  <c r="Z125" i="21"/>
  <c r="Z153" i="21"/>
  <c r="Z128" i="21"/>
  <c r="Z147" i="21"/>
  <c r="Z51" i="21"/>
  <c r="Z15" i="21"/>
  <c r="Z6" i="21"/>
  <c r="Z5" i="21"/>
  <c r="Z14" i="21"/>
  <c r="Z8" i="21"/>
  <c r="Z9" i="21"/>
  <c r="Z12" i="21"/>
  <c r="Z3" i="21"/>
  <c r="Z11" i="21"/>
  <c r="AC133" i="22"/>
  <c r="AC128" i="22"/>
  <c r="AC184" i="22"/>
  <c r="AC181" i="22"/>
  <c r="AC178" i="22"/>
  <c r="AC175" i="22"/>
  <c r="AC172" i="22"/>
  <c r="AC169" i="22"/>
  <c r="AC166" i="22"/>
  <c r="AC163" i="22"/>
  <c r="AC160" i="22"/>
  <c r="AC157" i="22"/>
  <c r="AC154" i="22"/>
  <c r="AC151" i="22"/>
  <c r="AC148" i="22"/>
  <c r="AC145" i="22"/>
  <c r="AC142" i="22"/>
  <c r="AC139" i="22"/>
  <c r="AC136" i="22"/>
  <c r="AC120" i="22"/>
  <c r="AC126" i="22"/>
  <c r="AC123" i="22"/>
  <c r="AC131" i="22"/>
  <c r="AC134" i="22"/>
  <c r="AC185" i="22"/>
  <c r="AC182" i="22"/>
  <c r="AC179" i="22"/>
  <c r="AC176" i="22"/>
  <c r="AC173" i="22"/>
  <c r="AC170" i="22"/>
  <c r="AC167" i="22"/>
  <c r="AC164" i="22"/>
  <c r="AC161" i="22"/>
  <c r="AC158" i="22"/>
  <c r="AC155" i="22"/>
  <c r="AC152" i="22"/>
  <c r="AC149" i="22"/>
  <c r="AC146" i="22"/>
  <c r="AC143" i="22"/>
  <c r="AC140" i="22"/>
  <c r="AC137" i="22"/>
  <c r="AC129" i="22"/>
  <c r="AC121" i="22"/>
  <c r="AC118" i="22"/>
  <c r="AC124" i="22"/>
  <c r="AC127" i="22"/>
  <c r="AC183" i="22"/>
  <c r="AC180" i="22"/>
  <c r="AC177" i="22"/>
  <c r="AC174" i="22"/>
  <c r="AC171" i="22"/>
  <c r="AC168" i="22"/>
  <c r="AC165" i="22"/>
  <c r="AC162" i="22"/>
  <c r="AC159" i="22"/>
  <c r="AC156" i="22"/>
  <c r="AC153" i="22"/>
  <c r="AC150" i="22"/>
  <c r="AC147" i="22"/>
  <c r="AC144" i="22"/>
  <c r="AC141" i="22"/>
  <c r="AC138" i="22"/>
  <c r="AC119" i="22"/>
  <c r="AC130" i="22"/>
  <c r="AC125" i="22"/>
  <c r="AC122" i="22"/>
  <c r="AC111" i="22"/>
  <c r="AC102" i="22"/>
  <c r="AC93" i="22"/>
  <c r="AC84" i="22"/>
  <c r="AC75" i="22"/>
  <c r="AC66" i="22"/>
  <c r="AC57" i="22"/>
  <c r="AC48" i="22"/>
  <c r="AC39" i="22"/>
  <c r="AC30" i="22"/>
  <c r="AC21" i="22"/>
  <c r="AC12" i="22"/>
  <c r="AC9" i="22"/>
  <c r="AC6" i="22"/>
  <c r="AC3" i="22"/>
  <c r="AC132" i="22"/>
  <c r="AC112" i="22"/>
  <c r="AC103" i="22"/>
  <c r="AC94" i="22"/>
  <c r="AC85" i="22"/>
  <c r="AC76" i="22"/>
  <c r="AC67" i="22"/>
  <c r="AC58" i="22"/>
  <c r="AC49" i="22"/>
  <c r="AC40" i="22"/>
  <c r="AC31" i="22"/>
  <c r="AC22" i="22"/>
  <c r="AC13" i="22"/>
  <c r="AC113" i="22"/>
  <c r="AC104" i="22"/>
  <c r="AC95" i="22"/>
  <c r="AC86" i="22"/>
  <c r="AC77" i="22"/>
  <c r="AC68" i="22"/>
  <c r="AC59" i="22"/>
  <c r="AC50" i="22"/>
  <c r="AC41" i="22"/>
  <c r="AC32" i="22"/>
  <c r="AC23" i="22"/>
  <c r="AC14" i="22"/>
  <c r="AC114" i="22"/>
  <c r="AC105" i="22"/>
  <c r="AC96" i="22"/>
  <c r="AC87" i="22"/>
  <c r="AC78" i="22"/>
  <c r="AC69" i="22"/>
  <c r="AC60" i="22"/>
  <c r="AC51" i="22"/>
  <c r="AC42" i="22"/>
  <c r="AC33" i="22"/>
  <c r="AC24" i="22"/>
  <c r="AC15" i="22"/>
  <c r="AC10" i="22"/>
  <c r="AC7" i="22"/>
  <c r="AC4" i="22"/>
  <c r="AC115" i="22"/>
  <c r="AC106" i="22"/>
  <c r="AC97" i="22"/>
  <c r="AC88" i="22"/>
  <c r="AC79" i="22"/>
  <c r="AC70" i="22"/>
  <c r="AC61" i="22"/>
  <c r="AC52" i="22"/>
  <c r="AC43" i="22"/>
  <c r="AC34" i="22"/>
  <c r="AC25" i="22"/>
  <c r="AC16" i="22"/>
  <c r="AD1" i="22"/>
  <c r="AC116" i="22"/>
  <c r="AC107" i="22"/>
  <c r="AC98" i="22"/>
  <c r="AC89" i="22"/>
  <c r="AC80" i="22"/>
  <c r="AC71" i="22"/>
  <c r="AC62" i="22"/>
  <c r="AC53" i="22"/>
  <c r="AC44" i="22"/>
  <c r="AC35" i="22"/>
  <c r="AC26" i="22"/>
  <c r="AC17" i="22"/>
  <c r="AC135" i="22"/>
  <c r="AC117" i="22"/>
  <c r="AC108" i="22"/>
  <c r="AC99" i="22"/>
  <c r="AC90" i="22"/>
  <c r="AC81" i="22"/>
  <c r="AC72" i="22"/>
  <c r="AC63" i="22"/>
  <c r="AC54" i="22"/>
  <c r="AC45" i="22"/>
  <c r="AC36" i="22"/>
  <c r="AC27" i="22"/>
  <c r="AC18" i="22"/>
  <c r="AC8" i="22"/>
  <c r="AC5" i="22"/>
  <c r="AC109" i="22"/>
  <c r="AC100" i="22"/>
  <c r="AC91" i="22"/>
  <c r="AC82" i="22"/>
  <c r="AC73" i="22"/>
  <c r="AC64" i="22"/>
  <c r="AC55" i="22"/>
  <c r="AC46" i="22"/>
  <c r="AC37" i="22"/>
  <c r="AC28" i="22"/>
  <c r="AC19" i="22"/>
  <c r="AC92" i="22"/>
  <c r="AC65" i="22"/>
  <c r="AC38" i="22"/>
  <c r="AC11" i="22"/>
  <c r="AC101" i="22"/>
  <c r="AC74" i="22"/>
  <c r="AC47" i="22"/>
  <c r="AC20" i="22"/>
  <c r="AC110" i="22"/>
  <c r="AC83" i="22"/>
  <c r="AC56" i="22"/>
  <c r="AC29" i="22"/>
  <c r="AA177" i="25"/>
  <c r="AA178" i="25"/>
  <c r="AA175" i="25"/>
  <c r="AA172" i="25"/>
  <c r="AA169" i="25"/>
  <c r="AA166" i="25"/>
  <c r="AA163" i="25"/>
  <c r="AA160" i="25"/>
  <c r="AA157" i="25"/>
  <c r="AA154" i="25"/>
  <c r="AA151" i="25"/>
  <c r="AA148" i="25"/>
  <c r="AA145" i="25"/>
  <c r="AA142" i="25"/>
  <c r="AA139" i="25"/>
  <c r="AA136" i="25"/>
  <c r="AA176" i="25"/>
  <c r="AA173" i="25"/>
  <c r="AA170" i="25"/>
  <c r="AA167" i="25"/>
  <c r="AA164" i="25"/>
  <c r="AA161" i="25"/>
  <c r="AA158" i="25"/>
  <c r="AA155" i="25"/>
  <c r="AA152" i="25"/>
  <c r="AA149" i="25"/>
  <c r="AA146" i="25"/>
  <c r="AA143" i="25"/>
  <c r="AA140" i="25"/>
  <c r="AA137" i="25"/>
  <c r="AA179" i="25"/>
  <c r="AA174" i="25"/>
  <c r="AA171" i="25"/>
  <c r="AA168" i="25"/>
  <c r="AA165" i="25"/>
  <c r="AA162" i="25"/>
  <c r="AA159" i="25"/>
  <c r="AA156" i="25"/>
  <c r="AA153" i="25"/>
  <c r="AA150" i="25"/>
  <c r="AA147" i="25"/>
  <c r="AA144" i="25"/>
  <c r="AA141" i="25"/>
  <c r="AA138" i="25"/>
  <c r="AA135" i="25"/>
  <c r="AA127" i="25"/>
  <c r="AA120" i="25"/>
  <c r="AA117" i="25"/>
  <c r="AA128" i="25"/>
  <c r="AA124" i="25"/>
  <c r="AA119" i="25"/>
  <c r="AA116" i="25"/>
  <c r="AA130" i="25"/>
  <c r="AA115" i="25"/>
  <c r="AA112" i="25"/>
  <c r="AA109" i="25"/>
  <c r="AA106" i="25"/>
  <c r="AA103" i="25"/>
  <c r="AA97" i="25"/>
  <c r="AA126" i="25"/>
  <c r="AA118" i="25"/>
  <c r="AA114" i="25"/>
  <c r="AA113" i="25"/>
  <c r="AA111" i="25"/>
  <c r="AA110" i="25"/>
  <c r="AA108" i="25"/>
  <c r="AA107" i="25"/>
  <c r="AA105" i="25"/>
  <c r="AA104" i="25"/>
  <c r="AA102" i="25"/>
  <c r="AA131" i="25"/>
  <c r="AA121" i="25"/>
  <c r="AA100" i="25"/>
  <c r="AA96" i="25"/>
  <c r="AA95" i="25"/>
  <c r="AA91" i="25"/>
  <c r="AA86" i="25"/>
  <c r="AA82" i="25"/>
  <c r="AA77" i="25"/>
  <c r="AA129" i="25"/>
  <c r="AA87" i="25"/>
  <c r="AA78" i="25"/>
  <c r="AA71" i="25"/>
  <c r="AA69" i="25"/>
  <c r="AA66" i="25"/>
  <c r="AA63" i="25"/>
  <c r="AA60" i="25"/>
  <c r="AA57" i="25"/>
  <c r="AA54" i="25"/>
  <c r="AA51" i="25"/>
  <c r="AA48" i="25"/>
  <c r="AA45" i="25"/>
  <c r="AA98" i="25"/>
  <c r="AA123" i="25"/>
  <c r="AA122" i="25"/>
  <c r="AA92" i="25"/>
  <c r="AA132" i="25"/>
  <c r="AA134" i="25"/>
  <c r="AA101" i="25"/>
  <c r="AA99" i="25"/>
  <c r="AA90" i="25"/>
  <c r="AA79" i="25"/>
  <c r="AA75" i="25"/>
  <c r="AA73" i="25"/>
  <c r="AA93" i="25"/>
  <c r="AA83" i="25"/>
  <c r="AA68" i="25"/>
  <c r="AA65" i="25"/>
  <c r="AA62" i="25"/>
  <c r="AA59" i="25"/>
  <c r="AA56" i="25"/>
  <c r="AA53" i="25"/>
  <c r="AA50" i="25"/>
  <c r="AA47" i="25"/>
  <c r="AA72" i="25"/>
  <c r="AA41" i="25"/>
  <c r="AA38" i="25"/>
  <c r="AA35" i="25"/>
  <c r="AA32" i="25"/>
  <c r="AA29" i="25"/>
  <c r="AA26" i="25"/>
  <c r="AA23" i="25"/>
  <c r="AA20" i="25"/>
  <c r="AA17" i="25"/>
  <c r="AA14" i="25"/>
  <c r="AA11" i="25"/>
  <c r="AA8" i="25"/>
  <c r="AA88" i="25"/>
  <c r="AA84" i="25"/>
  <c r="AA76" i="25"/>
  <c r="AA70" i="25"/>
  <c r="AA67" i="25"/>
  <c r="AA64" i="25"/>
  <c r="AA61" i="25"/>
  <c r="AA58" i="25"/>
  <c r="AA55" i="25"/>
  <c r="AA52" i="25"/>
  <c r="AA49" i="25"/>
  <c r="AA46" i="25"/>
  <c r="AA133" i="25"/>
  <c r="AA80" i="25"/>
  <c r="AA39" i="25"/>
  <c r="AA36" i="25"/>
  <c r="AA33" i="25"/>
  <c r="AA30" i="25"/>
  <c r="AA27" i="25"/>
  <c r="AA24" i="25"/>
  <c r="AA21" i="25"/>
  <c r="AA18" i="25"/>
  <c r="AA15" i="25"/>
  <c r="AA12" i="25"/>
  <c r="AA9" i="25"/>
  <c r="AA89" i="25"/>
  <c r="AA43" i="25"/>
  <c r="AA5" i="25"/>
  <c r="AA81" i="25"/>
  <c r="AA6" i="25"/>
  <c r="AA3" i="25"/>
  <c r="AA85" i="25"/>
  <c r="AA74" i="25"/>
  <c r="AA44" i="25"/>
  <c r="AA42" i="25"/>
  <c r="AA94" i="25"/>
  <c r="AB1" i="25"/>
  <c r="AA40" i="25"/>
  <c r="AA34" i="25"/>
  <c r="AA28" i="25"/>
  <c r="AA22" i="25"/>
  <c r="AA16" i="25"/>
  <c r="AA10" i="25"/>
  <c r="AA125" i="25"/>
  <c r="AA37" i="25"/>
  <c r="AA31" i="25"/>
  <c r="AA25" i="25"/>
  <c r="AA19" i="25"/>
  <c r="AA13" i="25"/>
  <c r="AA4" i="25"/>
  <c r="AA7" i="25"/>
  <c r="Z174" i="27"/>
  <c r="Z171" i="27"/>
  <c r="Z168" i="27"/>
  <c r="Z165" i="27"/>
  <c r="Z162" i="27"/>
  <c r="Z159" i="27"/>
  <c r="Z156" i="27"/>
  <c r="Z153" i="27"/>
  <c r="Z150" i="27"/>
  <c r="Z147" i="27"/>
  <c r="Z175" i="27"/>
  <c r="Z172" i="27"/>
  <c r="Z169" i="27"/>
  <c r="Z166" i="27"/>
  <c r="Z163" i="27"/>
  <c r="Z160" i="27"/>
  <c r="Z157" i="27"/>
  <c r="Z154" i="27"/>
  <c r="Z151" i="27"/>
  <c r="Z148" i="27"/>
  <c r="Z145" i="27"/>
  <c r="Z176" i="27"/>
  <c r="Z167" i="27"/>
  <c r="Z158" i="27"/>
  <c r="Z149" i="27"/>
  <c r="Z144" i="27"/>
  <c r="Z141" i="27"/>
  <c r="Z138" i="27"/>
  <c r="Z135" i="27"/>
  <c r="Z132" i="27"/>
  <c r="Z129" i="27"/>
  <c r="Z125" i="27"/>
  <c r="Z116" i="27"/>
  <c r="Z113" i="27"/>
  <c r="Z173" i="27"/>
  <c r="Z164" i="27"/>
  <c r="Z155" i="27"/>
  <c r="Z146" i="27"/>
  <c r="Z143" i="27"/>
  <c r="Z140" i="27"/>
  <c r="Z137" i="27"/>
  <c r="Z134" i="27"/>
  <c r="Z131" i="27"/>
  <c r="Z128" i="27"/>
  <c r="Z124" i="27"/>
  <c r="Z115" i="27"/>
  <c r="Z111" i="27"/>
  <c r="Z142" i="27"/>
  <c r="Z139" i="27"/>
  <c r="Z136" i="27"/>
  <c r="Z133" i="27"/>
  <c r="Z130" i="27"/>
  <c r="Z127" i="27"/>
  <c r="Z123" i="27"/>
  <c r="Z114" i="27"/>
  <c r="Z107" i="27"/>
  <c r="Z104" i="27"/>
  <c r="Z101" i="27"/>
  <c r="Z98" i="27"/>
  <c r="Z95" i="27"/>
  <c r="Z92" i="27"/>
  <c r="Z89" i="27"/>
  <c r="Z110" i="27"/>
  <c r="Z109" i="27"/>
  <c r="Z106" i="27"/>
  <c r="Z103" i="27"/>
  <c r="Z100" i="27"/>
  <c r="Z97" i="27"/>
  <c r="Z94" i="27"/>
  <c r="Z91" i="27"/>
  <c r="Z170" i="27"/>
  <c r="Z85" i="27"/>
  <c r="Z82" i="27"/>
  <c r="Z79" i="27"/>
  <c r="Z76" i="27"/>
  <c r="Z73" i="27"/>
  <c r="Z70" i="27"/>
  <c r="Z67" i="27"/>
  <c r="Z64" i="27"/>
  <c r="Z161" i="27"/>
  <c r="Z83" i="27"/>
  <c r="Z80" i="27"/>
  <c r="Z77" i="27"/>
  <c r="Z74" i="27"/>
  <c r="Z71" i="27"/>
  <c r="Z68" i="27"/>
  <c r="Z65" i="27"/>
  <c r="Z152" i="27"/>
  <c r="Z108" i="27"/>
  <c r="Z105" i="27"/>
  <c r="Z102" i="27"/>
  <c r="Z99" i="27"/>
  <c r="Z96" i="27"/>
  <c r="Z93" i="27"/>
  <c r="Z90" i="27"/>
  <c r="Z86" i="27"/>
  <c r="Z87" i="27"/>
  <c r="Z81" i="27"/>
  <c r="Z72" i="27"/>
  <c r="Z62" i="27"/>
  <c r="Z59" i="27"/>
  <c r="Z56" i="27"/>
  <c r="Z53" i="27"/>
  <c r="Z50" i="27"/>
  <c r="Z47" i="27"/>
  <c r="Z44" i="27"/>
  <c r="Z41" i="27"/>
  <c r="Z38" i="27"/>
  <c r="Z88" i="27"/>
  <c r="Z78" i="27"/>
  <c r="Z69" i="27"/>
  <c r="Z63" i="27"/>
  <c r="Z60" i="27"/>
  <c r="Z57" i="27"/>
  <c r="Z54" i="27"/>
  <c r="Z51" i="27"/>
  <c r="Z48" i="27"/>
  <c r="Z45" i="27"/>
  <c r="Z42" i="27"/>
  <c r="Z39" i="27"/>
  <c r="Z66" i="27"/>
  <c r="Z61" i="27"/>
  <c r="Z52" i="27"/>
  <c r="Z43" i="27"/>
  <c r="Z34" i="27"/>
  <c r="Z31" i="27"/>
  <c r="Z28" i="27"/>
  <c r="Z25" i="27"/>
  <c r="Z22" i="27"/>
  <c r="Z19" i="27"/>
  <c r="Z16" i="27"/>
  <c r="Z13" i="27"/>
  <c r="Z10" i="27"/>
  <c r="Z75" i="27"/>
  <c r="Z55" i="27"/>
  <c r="Z46" i="27"/>
  <c r="Z37" i="27"/>
  <c r="Z36" i="27"/>
  <c r="Z33" i="27"/>
  <c r="Z30" i="27"/>
  <c r="Z27" i="27"/>
  <c r="Z24" i="27"/>
  <c r="Z21" i="27"/>
  <c r="Z18" i="27"/>
  <c r="Z15" i="27"/>
  <c r="Z12" i="27"/>
  <c r="Z40" i="27"/>
  <c r="Z35" i="27"/>
  <c r="Z26" i="27"/>
  <c r="Z17" i="27"/>
  <c r="Z84" i="27"/>
  <c r="Z9" i="27"/>
  <c r="Z6" i="27"/>
  <c r="Z3" i="27"/>
  <c r="Z49" i="27"/>
  <c r="Z32" i="27"/>
  <c r="Z23" i="27"/>
  <c r="Z14" i="27"/>
  <c r="Z7" i="27"/>
  <c r="Z4" i="27"/>
  <c r="Z58" i="27"/>
  <c r="Z29" i="27"/>
  <c r="Z20" i="27"/>
  <c r="Z11" i="27"/>
  <c r="AA1" i="27"/>
  <c r="Z8" i="27"/>
  <c r="Z5" i="27"/>
  <c r="AA180" i="24"/>
  <c r="AA177" i="24"/>
  <c r="AA174" i="24"/>
  <c r="AA171" i="24"/>
  <c r="AA168" i="24"/>
  <c r="AA165" i="24"/>
  <c r="AA162" i="24"/>
  <c r="AA159" i="24"/>
  <c r="AA156" i="24"/>
  <c r="AA153" i="24"/>
  <c r="AA150" i="24"/>
  <c r="AA147" i="24"/>
  <c r="AA144" i="24"/>
  <c r="AA141" i="24"/>
  <c r="AA181" i="24"/>
  <c r="AA178" i="24"/>
  <c r="AA175" i="24"/>
  <c r="AA172" i="24"/>
  <c r="AA169" i="24"/>
  <c r="AA166" i="24"/>
  <c r="AA163" i="24"/>
  <c r="AA160" i="24"/>
  <c r="AA157" i="24"/>
  <c r="AA154" i="24"/>
  <c r="AA151" i="24"/>
  <c r="AA148" i="24"/>
  <c r="AA145" i="24"/>
  <c r="AA142" i="24"/>
  <c r="AA120" i="24"/>
  <c r="AA123" i="24"/>
  <c r="AA131" i="24"/>
  <c r="AA128" i="24"/>
  <c r="AA179" i="24"/>
  <c r="AA176" i="24"/>
  <c r="AA173" i="24"/>
  <c r="AA170" i="24"/>
  <c r="AA167" i="24"/>
  <c r="AA164" i="24"/>
  <c r="AA161" i="24"/>
  <c r="AA158" i="24"/>
  <c r="AA155" i="24"/>
  <c r="AA152" i="24"/>
  <c r="AA149" i="24"/>
  <c r="AA146" i="24"/>
  <c r="AA143" i="24"/>
  <c r="AA140" i="24"/>
  <c r="AA137" i="24"/>
  <c r="AA134" i="24"/>
  <c r="AA115" i="24"/>
  <c r="AA112" i="24"/>
  <c r="AA109" i="24"/>
  <c r="AA106" i="24"/>
  <c r="AA103" i="24"/>
  <c r="AA100" i="24"/>
  <c r="AA97" i="24"/>
  <c r="AA94" i="24"/>
  <c r="AA91" i="24"/>
  <c r="AA88" i="24"/>
  <c r="AA85" i="24"/>
  <c r="AA82" i="24"/>
  <c r="AA79" i="24"/>
  <c r="AA76" i="24"/>
  <c r="AA73" i="24"/>
  <c r="AA70" i="24"/>
  <c r="AA67" i="24"/>
  <c r="AA64" i="24"/>
  <c r="AA61" i="24"/>
  <c r="AA58" i="24"/>
  <c r="AA55" i="24"/>
  <c r="AA52" i="24"/>
  <c r="AA49" i="24"/>
  <c r="AA46" i="24"/>
  <c r="AA43" i="24"/>
  <c r="AA40" i="24"/>
  <c r="AA37" i="24"/>
  <c r="AA34" i="24"/>
  <c r="AA31" i="24"/>
  <c r="AA126" i="24"/>
  <c r="AA121" i="24"/>
  <c r="AA118" i="24"/>
  <c r="AA129" i="24"/>
  <c r="AA124" i="24"/>
  <c r="AA138" i="24"/>
  <c r="AA135" i="24"/>
  <c r="AA132" i="24"/>
  <c r="AA116" i="24"/>
  <c r="AA113" i="24"/>
  <c r="AA110" i="24"/>
  <c r="AA107" i="24"/>
  <c r="AA104" i="24"/>
  <c r="AA101" i="24"/>
  <c r="AA98" i="24"/>
  <c r="AA95" i="24"/>
  <c r="AA92" i="24"/>
  <c r="AA89" i="24"/>
  <c r="AA86" i="24"/>
  <c r="AA83" i="24"/>
  <c r="AA80" i="24"/>
  <c r="AA77" i="24"/>
  <c r="AA74" i="24"/>
  <c r="AA71" i="24"/>
  <c r="AA68" i="24"/>
  <c r="AA65" i="24"/>
  <c r="AA62" i="24"/>
  <c r="AA59" i="24"/>
  <c r="AA56" i="24"/>
  <c r="AA53" i="24"/>
  <c r="AA50" i="24"/>
  <c r="AA47" i="24"/>
  <c r="AA44" i="24"/>
  <c r="AA41" i="24"/>
  <c r="AA38" i="24"/>
  <c r="AA35" i="24"/>
  <c r="AA32" i="24"/>
  <c r="AA29" i="24"/>
  <c r="AA130" i="24"/>
  <c r="AA122" i="24"/>
  <c r="AA119" i="24"/>
  <c r="AB1" i="24"/>
  <c r="AA45" i="24"/>
  <c r="AA36" i="24"/>
  <c r="AA125" i="24"/>
  <c r="AA26" i="24"/>
  <c r="AA23" i="24"/>
  <c r="AA20" i="24"/>
  <c r="AA17" i="24"/>
  <c r="AA14" i="24"/>
  <c r="AA11" i="24"/>
  <c r="AA8" i="24"/>
  <c r="AA5" i="24"/>
  <c r="AA28" i="24"/>
  <c r="AA117" i="24"/>
  <c r="AA114" i="24"/>
  <c r="AA111" i="24"/>
  <c r="AA108" i="24"/>
  <c r="AA105" i="24"/>
  <c r="AA102" i="24"/>
  <c r="AA99" i="24"/>
  <c r="AA96" i="24"/>
  <c r="AA93" i="24"/>
  <c r="AA90" i="24"/>
  <c r="AA87" i="24"/>
  <c r="AA84" i="24"/>
  <c r="AA81" i="24"/>
  <c r="AA78" i="24"/>
  <c r="AA75" i="24"/>
  <c r="AA72" i="24"/>
  <c r="AA69" i="24"/>
  <c r="AA66" i="24"/>
  <c r="AA63" i="24"/>
  <c r="AA60" i="24"/>
  <c r="AA57" i="24"/>
  <c r="AA54" i="24"/>
  <c r="AA48" i="24"/>
  <c r="AA39" i="24"/>
  <c r="AA30" i="24"/>
  <c r="AA27" i="24"/>
  <c r="AA24" i="24"/>
  <c r="AA21" i="24"/>
  <c r="AA18" i="24"/>
  <c r="AA15" i="24"/>
  <c r="AA12" i="24"/>
  <c r="AA9" i="24"/>
  <c r="AA6" i="24"/>
  <c r="AA3" i="24"/>
  <c r="AA127" i="24"/>
  <c r="AA25" i="24"/>
  <c r="AA22" i="24"/>
  <c r="AA19" i="24"/>
  <c r="AA16" i="24"/>
  <c r="AA13" i="24"/>
  <c r="AA10" i="24"/>
  <c r="AA7" i="24"/>
  <c r="AA4" i="24"/>
  <c r="AA139" i="24"/>
  <c r="AA133" i="24"/>
  <c r="AA136" i="24"/>
  <c r="AA51" i="24"/>
  <c r="AA42" i="24"/>
  <c r="AA33" i="24"/>
  <c r="AA136" i="21" l="1"/>
  <c r="AA131" i="21"/>
  <c r="AA187" i="21"/>
  <c r="AA184" i="21"/>
  <c r="AA181" i="21"/>
  <c r="AA178" i="21"/>
  <c r="AA175" i="21"/>
  <c r="AA172" i="21"/>
  <c r="AA169" i="21"/>
  <c r="AA166" i="21"/>
  <c r="AA163" i="21"/>
  <c r="AA160" i="21"/>
  <c r="AA157" i="21"/>
  <c r="AA154" i="21"/>
  <c r="AA151" i="21"/>
  <c r="AA148" i="21"/>
  <c r="AA145" i="21"/>
  <c r="AA142" i="21"/>
  <c r="AA139" i="21"/>
  <c r="AA123" i="21"/>
  <c r="AA120" i="21"/>
  <c r="AA117" i="21"/>
  <c r="AA114" i="21"/>
  <c r="AA111" i="21"/>
  <c r="AA129" i="21"/>
  <c r="AA126" i="21"/>
  <c r="AA134" i="21"/>
  <c r="AA188" i="21"/>
  <c r="AA185" i="21"/>
  <c r="AA182" i="21"/>
  <c r="AA179" i="21"/>
  <c r="AA176" i="21"/>
  <c r="AA173" i="21"/>
  <c r="AA170" i="21"/>
  <c r="AA167" i="21"/>
  <c r="AA164" i="21"/>
  <c r="AA161" i="21"/>
  <c r="AA158" i="21"/>
  <c r="AA155" i="21"/>
  <c r="AA130" i="21"/>
  <c r="AA138" i="21"/>
  <c r="AA135" i="21"/>
  <c r="AA183" i="21"/>
  <c r="AA174" i="21"/>
  <c r="AA150" i="21"/>
  <c r="AA141" i="21"/>
  <c r="AA127" i="21"/>
  <c r="AA149" i="21"/>
  <c r="AA140" i="21"/>
  <c r="AA133" i="21"/>
  <c r="AA109" i="21"/>
  <c r="AA106" i="21"/>
  <c r="AA103" i="21"/>
  <c r="AA100" i="21"/>
  <c r="AA97" i="21"/>
  <c r="AA94" i="21"/>
  <c r="AA91" i="21"/>
  <c r="AA88" i="21"/>
  <c r="AA85" i="21"/>
  <c r="AA82" i="21"/>
  <c r="AA79" i="21"/>
  <c r="AA76" i="21"/>
  <c r="AA73" i="21"/>
  <c r="AA70" i="21"/>
  <c r="AA67" i="21"/>
  <c r="AA64" i="21"/>
  <c r="AA61" i="21"/>
  <c r="AA58" i="21"/>
  <c r="AA55" i="21"/>
  <c r="AA52" i="21"/>
  <c r="AA49" i="21"/>
  <c r="AA46" i="21"/>
  <c r="AA43" i="21"/>
  <c r="AA40" i="21"/>
  <c r="AA37" i="21"/>
  <c r="AA34" i="21"/>
  <c r="AA31" i="21"/>
  <c r="AA28" i="21"/>
  <c r="AA25" i="21"/>
  <c r="AA22" i="21"/>
  <c r="AA19" i="21"/>
  <c r="AA180" i="21"/>
  <c r="AA147" i="21"/>
  <c r="AA146" i="21"/>
  <c r="AA110" i="21"/>
  <c r="AA107" i="21"/>
  <c r="AA104" i="21"/>
  <c r="AA101" i="21"/>
  <c r="AA98" i="21"/>
  <c r="AA95" i="21"/>
  <c r="AA92" i="21"/>
  <c r="AA89" i="21"/>
  <c r="AA86" i="21"/>
  <c r="AA83" i="21"/>
  <c r="AA80" i="21"/>
  <c r="AA77" i="21"/>
  <c r="AA74" i="21"/>
  <c r="AA71" i="21"/>
  <c r="AA68" i="21"/>
  <c r="AA65" i="21"/>
  <c r="AA62" i="21"/>
  <c r="AA59" i="21"/>
  <c r="AA56" i="21"/>
  <c r="AA53" i="21"/>
  <c r="AA50" i="21"/>
  <c r="AA47" i="21"/>
  <c r="AA44" i="21"/>
  <c r="AA41" i="21"/>
  <c r="AA38" i="21"/>
  <c r="AA35" i="21"/>
  <c r="AA32" i="21"/>
  <c r="AA29" i="21"/>
  <c r="AA26" i="21"/>
  <c r="AA23" i="21"/>
  <c r="AA20" i="21"/>
  <c r="AA17" i="21"/>
  <c r="AA186" i="21"/>
  <c r="AA177" i="21"/>
  <c r="AA153" i="21"/>
  <c r="AA144" i="21"/>
  <c r="AA128" i="21"/>
  <c r="AA125" i="21"/>
  <c r="AA137" i="21"/>
  <c r="AA108" i="21"/>
  <c r="AA105" i="21"/>
  <c r="AA102" i="21"/>
  <c r="AA99" i="21"/>
  <c r="AA96" i="21"/>
  <c r="AA93" i="21"/>
  <c r="AA90" i="21"/>
  <c r="AA87" i="21"/>
  <c r="AA84" i="21"/>
  <c r="AA81" i="21"/>
  <c r="AA78" i="21"/>
  <c r="AA75" i="21"/>
  <c r="AA72" i="21"/>
  <c r="AA69" i="21"/>
  <c r="AA66" i="21"/>
  <c r="AA63" i="21"/>
  <c r="AA60" i="21"/>
  <c r="AA57" i="21"/>
  <c r="AA54" i="21"/>
  <c r="AA51" i="21"/>
  <c r="AA171" i="21"/>
  <c r="AA168" i="21"/>
  <c r="AA165" i="21"/>
  <c r="AA152" i="21"/>
  <c r="AA143" i="21"/>
  <c r="AA124" i="21"/>
  <c r="AA121" i="21"/>
  <c r="AA118" i="21"/>
  <c r="AA115" i="21"/>
  <c r="AA112" i="21"/>
  <c r="AA39" i="21"/>
  <c r="AA30" i="21"/>
  <c r="AA21" i="21"/>
  <c r="AA16" i="21"/>
  <c r="AB1" i="21"/>
  <c r="AA162" i="21"/>
  <c r="AA48" i="21"/>
  <c r="AA122" i="21"/>
  <c r="AA119" i="21"/>
  <c r="AA116" i="21"/>
  <c r="AA113" i="21"/>
  <c r="AA14" i="21"/>
  <c r="AA11" i="21"/>
  <c r="AA8" i="21"/>
  <c r="AA5" i="21"/>
  <c r="AA156" i="21"/>
  <c r="AA159" i="21"/>
  <c r="AA132" i="21"/>
  <c r="AA24" i="21"/>
  <c r="AA10" i="21"/>
  <c r="AA4" i="21"/>
  <c r="AA33" i="21"/>
  <c r="AA12" i="21"/>
  <c r="AA6" i="21"/>
  <c r="AA45" i="21"/>
  <c r="AA13" i="21"/>
  <c r="AA42" i="21"/>
  <c r="AA7" i="21"/>
  <c r="AA18" i="21"/>
  <c r="AA15" i="21"/>
  <c r="AA36" i="21"/>
  <c r="AA3" i="21"/>
  <c r="AA9" i="21"/>
  <c r="AA27" i="21"/>
  <c r="AA192" i="18"/>
  <c r="AA189" i="18"/>
  <c r="AA186" i="18"/>
  <c r="AA183" i="18"/>
  <c r="AA180" i="18"/>
  <c r="AA177" i="18"/>
  <c r="AA174" i="18"/>
  <c r="AA171" i="18"/>
  <c r="AA168" i="18"/>
  <c r="AA165" i="18"/>
  <c r="AA162" i="18"/>
  <c r="AA159" i="18"/>
  <c r="AA156" i="18"/>
  <c r="AA153" i="18"/>
  <c r="AA150" i="18"/>
  <c r="AA187" i="18"/>
  <c r="AA178" i="18"/>
  <c r="AA169" i="18"/>
  <c r="AA188" i="18"/>
  <c r="AA157" i="18"/>
  <c r="AA164" i="18"/>
  <c r="AA154" i="18"/>
  <c r="AA144" i="18"/>
  <c r="AA143" i="18"/>
  <c r="AA142" i="18"/>
  <c r="AA140" i="18"/>
  <c r="AA170" i="18"/>
  <c r="AA185" i="18"/>
  <c r="AA158" i="18"/>
  <c r="AA173" i="18"/>
  <c r="AA148" i="18"/>
  <c r="AA139" i="18"/>
  <c r="AA136" i="18"/>
  <c r="AA133" i="18"/>
  <c r="AA128" i="18"/>
  <c r="AA119" i="18"/>
  <c r="AA110" i="18"/>
  <c r="AA101" i="18"/>
  <c r="AA92" i="18"/>
  <c r="AA83" i="18"/>
  <c r="AA74" i="18"/>
  <c r="AA166" i="18"/>
  <c r="AA146" i="18"/>
  <c r="AA60" i="18"/>
  <c r="AA51" i="18"/>
  <c r="AA42" i="18"/>
  <c r="AA33" i="18"/>
  <c r="AA191" i="18"/>
  <c r="AA181" i="18"/>
  <c r="AA176" i="18"/>
  <c r="AA167" i="18"/>
  <c r="AA123" i="18"/>
  <c r="AA114" i="18"/>
  <c r="AA105" i="18"/>
  <c r="AA96" i="18"/>
  <c r="AA87" i="18"/>
  <c r="AA78" i="18"/>
  <c r="AA69" i="18"/>
  <c r="AA64" i="18"/>
  <c r="AA55" i="18"/>
  <c r="AA46" i="18"/>
  <c r="AA37" i="18"/>
  <c r="AA28" i="18"/>
  <c r="AA19" i="18"/>
  <c r="AA10" i="18"/>
  <c r="AA132" i="18"/>
  <c r="AA127" i="18"/>
  <c r="AA118" i="18"/>
  <c r="AA109" i="18"/>
  <c r="AA100" i="18"/>
  <c r="AA91" i="18"/>
  <c r="AA82" i="18"/>
  <c r="AA73" i="18"/>
  <c r="AA68" i="18"/>
  <c r="AA59" i="18"/>
  <c r="AA50" i="18"/>
  <c r="AA41" i="18"/>
  <c r="AA32" i="18"/>
  <c r="AA23" i="18"/>
  <c r="AA14" i="18"/>
  <c r="AA5" i="18"/>
  <c r="AA184" i="18"/>
  <c r="AA155" i="18"/>
  <c r="AA137" i="18"/>
  <c r="AA122" i="18"/>
  <c r="AA113" i="18"/>
  <c r="AA104" i="18"/>
  <c r="AA95" i="18"/>
  <c r="AA86" i="18"/>
  <c r="AA77" i="18"/>
  <c r="AA179" i="18"/>
  <c r="AA131" i="18"/>
  <c r="AA126" i="18"/>
  <c r="AA117" i="18"/>
  <c r="AA108" i="18"/>
  <c r="AA99" i="18"/>
  <c r="AA90" i="18"/>
  <c r="AA81" i="18"/>
  <c r="AA175" i="18"/>
  <c r="AA93" i="18"/>
  <c r="AA84" i="18"/>
  <c r="AA67" i="18"/>
  <c r="AA40" i="18"/>
  <c r="AA13" i="18"/>
  <c r="AA7" i="18"/>
  <c r="AA190" i="18"/>
  <c r="AA152" i="18"/>
  <c r="AA116" i="18"/>
  <c r="AA103" i="18"/>
  <c r="AA63" i="18"/>
  <c r="AA53" i="18"/>
  <c r="AA36" i="18"/>
  <c r="AA15" i="18"/>
  <c r="AA130" i="18"/>
  <c r="AA115" i="18"/>
  <c r="AA102" i="18"/>
  <c r="AA43" i="18"/>
  <c r="AA27" i="18"/>
  <c r="AA21" i="18"/>
  <c r="AA161" i="18"/>
  <c r="AA129" i="18"/>
  <c r="AA98" i="18"/>
  <c r="AA89" i="18"/>
  <c r="AA80" i="18"/>
  <c r="AA70" i="18"/>
  <c r="AA49" i="18"/>
  <c r="AA25" i="18"/>
  <c r="AA4" i="18"/>
  <c r="AB1" i="18"/>
  <c r="AA163" i="18"/>
  <c r="AA76" i="18"/>
  <c r="AA66" i="18"/>
  <c r="AA56" i="18"/>
  <c r="AA39" i="18"/>
  <c r="AA29" i="18"/>
  <c r="AA8" i="18"/>
  <c r="AA141" i="18"/>
  <c r="AA121" i="18"/>
  <c r="AA107" i="18"/>
  <c r="AA62" i="18"/>
  <c r="AA45" i="18"/>
  <c r="AA35" i="18"/>
  <c r="AA6" i="18"/>
  <c r="AA151" i="18"/>
  <c r="AA149" i="18"/>
  <c r="AA138" i="18"/>
  <c r="AA120" i="18"/>
  <c r="AA106" i="18"/>
  <c r="AA97" i="18"/>
  <c r="AA147" i="18"/>
  <c r="AA135" i="18"/>
  <c r="AA134" i="18"/>
  <c r="AA79" i="18"/>
  <c r="AA58" i="18"/>
  <c r="AA31" i="18"/>
  <c r="AA22" i="18"/>
  <c r="AA16" i="18"/>
  <c r="AA182" i="18"/>
  <c r="AA172" i="18"/>
  <c r="AA160" i="18"/>
  <c r="AA94" i="18"/>
  <c r="AA85" i="18"/>
  <c r="AA65" i="18"/>
  <c r="AA48" i="18"/>
  <c r="AA38" i="18"/>
  <c r="AA26" i="18"/>
  <c r="AA20" i="18"/>
  <c r="AA125" i="18"/>
  <c r="AA112" i="18"/>
  <c r="AA75" i="18"/>
  <c r="AA54" i="18"/>
  <c r="AA44" i="18"/>
  <c r="AA24" i="18"/>
  <c r="AA52" i="18"/>
  <c r="AA61" i="18"/>
  <c r="AA3" i="18"/>
  <c r="AA124" i="18"/>
  <c r="AA111" i="18"/>
  <c r="AA30" i="18"/>
  <c r="AA11" i="18"/>
  <c r="AA145" i="18"/>
  <c r="AA57" i="18"/>
  <c r="AA72" i="18"/>
  <c r="AA18" i="18"/>
  <c r="AA47" i="18"/>
  <c r="AA88" i="18"/>
  <c r="AA12" i="18"/>
  <c r="AA71" i="18"/>
  <c r="AA34" i="18"/>
  <c r="AA9" i="18"/>
  <c r="AA17" i="18"/>
  <c r="AA135" i="23"/>
  <c r="AA132" i="23"/>
  <c r="AA183" i="23"/>
  <c r="AA180" i="23"/>
  <c r="AA177" i="23"/>
  <c r="AA174" i="23"/>
  <c r="AA171" i="23"/>
  <c r="AA168" i="23"/>
  <c r="AA165" i="23"/>
  <c r="AA162" i="23"/>
  <c r="AA159" i="23"/>
  <c r="AA156" i="23"/>
  <c r="AA153" i="23"/>
  <c r="AA150" i="23"/>
  <c r="AA147" i="23"/>
  <c r="AA144" i="23"/>
  <c r="AA141" i="23"/>
  <c r="AA138" i="23"/>
  <c r="AA119" i="23"/>
  <c r="AA130" i="23"/>
  <c r="AA125" i="23"/>
  <c r="AA122" i="23"/>
  <c r="AA133" i="23"/>
  <c r="AA128" i="23"/>
  <c r="AA126" i="23"/>
  <c r="AA123" i="23"/>
  <c r="AA131" i="23"/>
  <c r="AA124" i="23"/>
  <c r="AA181" i="23"/>
  <c r="AA172" i="23"/>
  <c r="AA163" i="23"/>
  <c r="AA154" i="23"/>
  <c r="AA145" i="23"/>
  <c r="AA136" i="23"/>
  <c r="AA120" i="23"/>
  <c r="AA185" i="23"/>
  <c r="AA176" i="23"/>
  <c r="AA167" i="23"/>
  <c r="AA158" i="23"/>
  <c r="AA149" i="23"/>
  <c r="AA140" i="23"/>
  <c r="AA118" i="23"/>
  <c r="AA178" i="23"/>
  <c r="AA169" i="23"/>
  <c r="AA160" i="23"/>
  <c r="AA151" i="23"/>
  <c r="AA142" i="23"/>
  <c r="AA179" i="23"/>
  <c r="AA170" i="23"/>
  <c r="AA161" i="23"/>
  <c r="AA152" i="23"/>
  <c r="AA143" i="23"/>
  <c r="AA182" i="23"/>
  <c r="AA155" i="23"/>
  <c r="AA110" i="23"/>
  <c r="AA173" i="23"/>
  <c r="AA146" i="23"/>
  <c r="AA129" i="23"/>
  <c r="AA116" i="23"/>
  <c r="AA107" i="23"/>
  <c r="AA166" i="23"/>
  <c r="AA139" i="23"/>
  <c r="AA127" i="23"/>
  <c r="AA121" i="23"/>
  <c r="AA117" i="23"/>
  <c r="AA108" i="23"/>
  <c r="AA103" i="23"/>
  <c r="AA90" i="23"/>
  <c r="AA102" i="23"/>
  <c r="AA95" i="23"/>
  <c r="AA85" i="23"/>
  <c r="AA98" i="23"/>
  <c r="AA89" i="23"/>
  <c r="AA80" i="23"/>
  <c r="AA77" i="23"/>
  <c r="AA74" i="23"/>
  <c r="AA71" i="23"/>
  <c r="AA68" i="23"/>
  <c r="AA65" i="23"/>
  <c r="AA62" i="23"/>
  <c r="AA59" i="23"/>
  <c r="AA56" i="23"/>
  <c r="AA53" i="23"/>
  <c r="AA50" i="23"/>
  <c r="AA137" i="23"/>
  <c r="AA84" i="23"/>
  <c r="AA134" i="23"/>
  <c r="AA101" i="23"/>
  <c r="AA96" i="23"/>
  <c r="AA88" i="23"/>
  <c r="AA175" i="23"/>
  <c r="AA115" i="23"/>
  <c r="AA114" i="23"/>
  <c r="AA113" i="23"/>
  <c r="AA81" i="23"/>
  <c r="AA78" i="23"/>
  <c r="AA75" i="23"/>
  <c r="AA72" i="23"/>
  <c r="AA69" i="23"/>
  <c r="AA66" i="23"/>
  <c r="AA63" i="23"/>
  <c r="AA60" i="23"/>
  <c r="AA57" i="23"/>
  <c r="AA54" i="23"/>
  <c r="AA51" i="23"/>
  <c r="AA48" i="23"/>
  <c r="AA148" i="23"/>
  <c r="AA112" i="23"/>
  <c r="AA87" i="23"/>
  <c r="AA164" i="23"/>
  <c r="AA111" i="23"/>
  <c r="AA109" i="23"/>
  <c r="AA94" i="23"/>
  <c r="AA184" i="23"/>
  <c r="AA157" i="23"/>
  <c r="AA97" i="23"/>
  <c r="AA93" i="23"/>
  <c r="AA92" i="23"/>
  <c r="AA86" i="23"/>
  <c r="AA99" i="23"/>
  <c r="AA47" i="23"/>
  <c r="AA44" i="23"/>
  <c r="AA41" i="23"/>
  <c r="AA38" i="23"/>
  <c r="AA35" i="23"/>
  <c r="AA32" i="23"/>
  <c r="AA29" i="23"/>
  <c r="AA26" i="23"/>
  <c r="AA23" i="23"/>
  <c r="AA20" i="23"/>
  <c r="AA17" i="23"/>
  <c r="AA14" i="23"/>
  <c r="AA11" i="23"/>
  <c r="AA8" i="23"/>
  <c r="AA5" i="23"/>
  <c r="AA79" i="23"/>
  <c r="AA70" i="23"/>
  <c r="AA58" i="23"/>
  <c r="AA49" i="23"/>
  <c r="AA83" i="23"/>
  <c r="AA45" i="23"/>
  <c r="AA42" i="23"/>
  <c r="AA39" i="23"/>
  <c r="AA36" i="23"/>
  <c r="AA33" i="23"/>
  <c r="AA30" i="23"/>
  <c r="AA27" i="23"/>
  <c r="AA24" i="23"/>
  <c r="AA21" i="23"/>
  <c r="AA18" i="23"/>
  <c r="AA15" i="23"/>
  <c r="AA12" i="23"/>
  <c r="AA9" i="23"/>
  <c r="AA6" i="23"/>
  <c r="AA3" i="23"/>
  <c r="AA91" i="23"/>
  <c r="AA76" i="23"/>
  <c r="AA67" i="23"/>
  <c r="AA61" i="23"/>
  <c r="AA106" i="23"/>
  <c r="AA105" i="23"/>
  <c r="AA100" i="23"/>
  <c r="AA82" i="23"/>
  <c r="AA73" i="23"/>
  <c r="AA55" i="23"/>
  <c r="AB1" i="23"/>
  <c r="AA64" i="23"/>
  <c r="AA46" i="23"/>
  <c r="AA37" i="23"/>
  <c r="AA28" i="23"/>
  <c r="AA19" i="23"/>
  <c r="AA10" i="23"/>
  <c r="AA104" i="23"/>
  <c r="AA43" i="23"/>
  <c r="AA34" i="23"/>
  <c r="AA25" i="23"/>
  <c r="AA16" i="23"/>
  <c r="AA7" i="23"/>
  <c r="AA52" i="23"/>
  <c r="AA22" i="23"/>
  <c r="AA31" i="23"/>
  <c r="AA13" i="23"/>
  <c r="AA40" i="23"/>
  <c r="AA4" i="23"/>
  <c r="AA190" i="19"/>
  <c r="AA187" i="19"/>
  <c r="AA184" i="19"/>
  <c r="AA181" i="19"/>
  <c r="AA178" i="19"/>
  <c r="AA175" i="19"/>
  <c r="AA189" i="19"/>
  <c r="AA180" i="19"/>
  <c r="AA129" i="19"/>
  <c r="AA188" i="19"/>
  <c r="AA179" i="19"/>
  <c r="AA132" i="19"/>
  <c r="AA140" i="19"/>
  <c r="AA137" i="19"/>
  <c r="AA67" i="19"/>
  <c r="AA64" i="19"/>
  <c r="AA61" i="19"/>
  <c r="AA58" i="19"/>
  <c r="AA55" i="19"/>
  <c r="AA52" i="19"/>
  <c r="AA49" i="19"/>
  <c r="AA46" i="19"/>
  <c r="AA43" i="19"/>
  <c r="AA40" i="19"/>
  <c r="AA37" i="19"/>
  <c r="AA34" i="19"/>
  <c r="AA31" i="19"/>
  <c r="AA28" i="19"/>
  <c r="AA25" i="19"/>
  <c r="AA22" i="19"/>
  <c r="AA19" i="19"/>
  <c r="AA16" i="19"/>
  <c r="AA13" i="19"/>
  <c r="AA10" i="19"/>
  <c r="AA7" i="19"/>
  <c r="AA4" i="19"/>
  <c r="AA173" i="19"/>
  <c r="AA170" i="19"/>
  <c r="AA167" i="19"/>
  <c r="AA164" i="19"/>
  <c r="AA161" i="19"/>
  <c r="AA158" i="19"/>
  <c r="AA155" i="19"/>
  <c r="AA152" i="19"/>
  <c r="AA149" i="19"/>
  <c r="AA146" i="19"/>
  <c r="AA143" i="19"/>
  <c r="AA124" i="19"/>
  <c r="AA121" i="19"/>
  <c r="AA118" i="19"/>
  <c r="AA115" i="19"/>
  <c r="AA112" i="19"/>
  <c r="AA109" i="19"/>
  <c r="AA106" i="19"/>
  <c r="AA103" i="19"/>
  <c r="AA100" i="19"/>
  <c r="AA97" i="19"/>
  <c r="AA94" i="19"/>
  <c r="AA91" i="19"/>
  <c r="AA88" i="19"/>
  <c r="AA85" i="19"/>
  <c r="AA82" i="19"/>
  <c r="AA79" i="19"/>
  <c r="AA76" i="19"/>
  <c r="AA73" i="19"/>
  <c r="AA70" i="19"/>
  <c r="AA174" i="19"/>
  <c r="AA171" i="19"/>
  <c r="AA168" i="19"/>
  <c r="AA165" i="19"/>
  <c r="AA162" i="19"/>
  <c r="AA159" i="19"/>
  <c r="AA156" i="19"/>
  <c r="AA153" i="19"/>
  <c r="AA150" i="19"/>
  <c r="AA147" i="19"/>
  <c r="AA144" i="19"/>
  <c r="AA141" i="19"/>
  <c r="AA125" i="19"/>
  <c r="AA122" i="19"/>
  <c r="AA119" i="19"/>
  <c r="AA116" i="19"/>
  <c r="AA113" i="19"/>
  <c r="AA110" i="19"/>
  <c r="AA107" i="19"/>
  <c r="AA104" i="19"/>
  <c r="AA101" i="19"/>
  <c r="AA98" i="19"/>
  <c r="AA95" i="19"/>
  <c r="AA92" i="19"/>
  <c r="AA89" i="19"/>
  <c r="AA86" i="19"/>
  <c r="AA83" i="19"/>
  <c r="AA80" i="19"/>
  <c r="AA77" i="19"/>
  <c r="AA74" i="19"/>
  <c r="AA71" i="19"/>
  <c r="AA68" i="19"/>
  <c r="AA138" i="19"/>
  <c r="AA60" i="19"/>
  <c r="AA51" i="19"/>
  <c r="AA42" i="19"/>
  <c r="AA33" i="19"/>
  <c r="AA24" i="19"/>
  <c r="AA15" i="19"/>
  <c r="AA6" i="19"/>
  <c r="AB1" i="19"/>
  <c r="AA136" i="19"/>
  <c r="AA130" i="19"/>
  <c r="AA123" i="19"/>
  <c r="AA114" i="19"/>
  <c r="AA105" i="19"/>
  <c r="AA96" i="19"/>
  <c r="AA87" i="19"/>
  <c r="AA78" i="19"/>
  <c r="AA69" i="19"/>
  <c r="AA176" i="19"/>
  <c r="AA134" i="19"/>
  <c r="AA65" i="19"/>
  <c r="AA56" i="19"/>
  <c r="AA47" i="19"/>
  <c r="AA38" i="19"/>
  <c r="AA29" i="19"/>
  <c r="AA20" i="19"/>
  <c r="AA11" i="19"/>
  <c r="AA172" i="19"/>
  <c r="AA163" i="19"/>
  <c r="AA154" i="19"/>
  <c r="AA145" i="19"/>
  <c r="AA128" i="19"/>
  <c r="AA126" i="19"/>
  <c r="AA117" i="19"/>
  <c r="AA108" i="19"/>
  <c r="AA99" i="19"/>
  <c r="AA90" i="19"/>
  <c r="AA81" i="19"/>
  <c r="AA72" i="19"/>
  <c r="AA177" i="19"/>
  <c r="AA139" i="19"/>
  <c r="AA135" i="19"/>
  <c r="AA59" i="19"/>
  <c r="AA50" i="19"/>
  <c r="AA41" i="19"/>
  <c r="AA32" i="19"/>
  <c r="AA23" i="19"/>
  <c r="AA14" i="19"/>
  <c r="AA5" i="19"/>
  <c r="AA186" i="19"/>
  <c r="AA183" i="19"/>
  <c r="AA66" i="19"/>
  <c r="AA57" i="19"/>
  <c r="AA48" i="19"/>
  <c r="AA39" i="19"/>
  <c r="AA30" i="19"/>
  <c r="AA21" i="19"/>
  <c r="AA12" i="19"/>
  <c r="AA3" i="19"/>
  <c r="AA102" i="19"/>
  <c r="AA36" i="19"/>
  <c r="AA182" i="19"/>
  <c r="AA148" i="19"/>
  <c r="AA142" i="19"/>
  <c r="AA120" i="19"/>
  <c r="AA157" i="19"/>
  <c r="AA151" i="19"/>
  <c r="AA75" i="19"/>
  <c r="AA166" i="19"/>
  <c r="AA160" i="19"/>
  <c r="AA84" i="19"/>
  <c r="AA169" i="19"/>
  <c r="AA26" i="19"/>
  <c r="AA18" i="19"/>
  <c r="AA8" i="19"/>
  <c r="AA45" i="19"/>
  <c r="AA93" i="19"/>
  <c r="AA54" i="19"/>
  <c r="AA131" i="19"/>
  <c r="AA111" i="19"/>
  <c r="AA63" i="19"/>
  <c r="AA133" i="19"/>
  <c r="AA44" i="19"/>
  <c r="AA53" i="19"/>
  <c r="AA35" i="19"/>
  <c r="AA127" i="19"/>
  <c r="AA17" i="19"/>
  <c r="AA185" i="19"/>
  <c r="AA62" i="19"/>
  <c r="AA27" i="19"/>
  <c r="AA9" i="19"/>
  <c r="AD187" i="17"/>
  <c r="AD178" i="17"/>
  <c r="AD169" i="17"/>
  <c r="AD160" i="17"/>
  <c r="AD151" i="17"/>
  <c r="AD140" i="17"/>
  <c r="AD135" i="17"/>
  <c r="AD186" i="17"/>
  <c r="AD177" i="17"/>
  <c r="AD168" i="17"/>
  <c r="AD159" i="17"/>
  <c r="AD150" i="17"/>
  <c r="AD138" i="17"/>
  <c r="AD190" i="17"/>
  <c r="AD181" i="17"/>
  <c r="AD172" i="17"/>
  <c r="AD163" i="17"/>
  <c r="AD154" i="17"/>
  <c r="AD141" i="17"/>
  <c r="AD131" i="17"/>
  <c r="AD92" i="17"/>
  <c r="AD67" i="17"/>
  <c r="AD64" i="17"/>
  <c r="AD61" i="17"/>
  <c r="AD58" i="17"/>
  <c r="AD55" i="17"/>
  <c r="AD52" i="17"/>
  <c r="AD49" i="17"/>
  <c r="AD46" i="17"/>
  <c r="AD43" i="17"/>
  <c r="AD40" i="17"/>
  <c r="AD37" i="17"/>
  <c r="AD34" i="17"/>
  <c r="AD31" i="17"/>
  <c r="AD28" i="17"/>
  <c r="AD25" i="17"/>
  <c r="AD22" i="17"/>
  <c r="AD19" i="17"/>
  <c r="AD16" i="17"/>
  <c r="AD13" i="17"/>
  <c r="AD10" i="17"/>
  <c r="AD7" i="17"/>
  <c r="AD4" i="17"/>
  <c r="AD191" i="17"/>
  <c r="AD175" i="17"/>
  <c r="AD166" i="17"/>
  <c r="AD157" i="17"/>
  <c r="AD147" i="17"/>
  <c r="AD144" i="17"/>
  <c r="AD142" i="17"/>
  <c r="AD139" i="17"/>
  <c r="AD121" i="17"/>
  <c r="AD112" i="17"/>
  <c r="AD103" i="17"/>
  <c r="AD94" i="17"/>
  <c r="AD148" i="17"/>
  <c r="AD146" i="17"/>
  <c r="AD145" i="17"/>
  <c r="AD143" i="17"/>
  <c r="AD130" i="17"/>
  <c r="AD125" i="17"/>
  <c r="AD116" i="17"/>
  <c r="AD107" i="17"/>
  <c r="AD98" i="17"/>
  <c r="AD68" i="17"/>
  <c r="AD65" i="17"/>
  <c r="AD62" i="17"/>
  <c r="AD59" i="17"/>
  <c r="AD56" i="17"/>
  <c r="AD53" i="17"/>
  <c r="AD50" i="17"/>
  <c r="AD47" i="17"/>
  <c r="AD44" i="17"/>
  <c r="AD41" i="17"/>
  <c r="AD38" i="17"/>
  <c r="AD35" i="17"/>
  <c r="AD32" i="17"/>
  <c r="AD29" i="17"/>
  <c r="AD26" i="17"/>
  <c r="AD23" i="17"/>
  <c r="AD20" i="17"/>
  <c r="AD17" i="17"/>
  <c r="AD14" i="17"/>
  <c r="AD11" i="17"/>
  <c r="AD8" i="17"/>
  <c r="AD5" i="17"/>
  <c r="AD180" i="17"/>
  <c r="AD176" i="17"/>
  <c r="AD167" i="17"/>
  <c r="AD158" i="17"/>
  <c r="AD149" i="17"/>
  <c r="AD120" i="17"/>
  <c r="AD111" i="17"/>
  <c r="AD102" i="17"/>
  <c r="AD89" i="17"/>
  <c r="AD86" i="17"/>
  <c r="AD83" i="17"/>
  <c r="AD80" i="17"/>
  <c r="AD77" i="17"/>
  <c r="AD74" i="17"/>
  <c r="AD71" i="17"/>
  <c r="AD184" i="17"/>
  <c r="AD182" i="17"/>
  <c r="AD173" i="17"/>
  <c r="AD170" i="17"/>
  <c r="AD164" i="17"/>
  <c r="AD161" i="17"/>
  <c r="AD155" i="17"/>
  <c r="AD152" i="17"/>
  <c r="AD129" i="17"/>
  <c r="AD124" i="17"/>
  <c r="AD115" i="17"/>
  <c r="AD106" i="17"/>
  <c r="AD97" i="17"/>
  <c r="AD91" i="17"/>
  <c r="AD66" i="17"/>
  <c r="AD63" i="17"/>
  <c r="AD60" i="17"/>
  <c r="AD57" i="17"/>
  <c r="AD54" i="17"/>
  <c r="AD51" i="17"/>
  <c r="AD48" i="17"/>
  <c r="AD45" i="17"/>
  <c r="AD42" i="17"/>
  <c r="AD39" i="17"/>
  <c r="AD36" i="17"/>
  <c r="AD33" i="17"/>
  <c r="AD30" i="17"/>
  <c r="AD27" i="17"/>
  <c r="AD24" i="17"/>
  <c r="AD21" i="17"/>
  <c r="AD18" i="17"/>
  <c r="AD15" i="17"/>
  <c r="AD12" i="17"/>
  <c r="AD9" i="17"/>
  <c r="AD6" i="17"/>
  <c r="AD3" i="17"/>
  <c r="AD192" i="17"/>
  <c r="AD123" i="17"/>
  <c r="AD114" i="17"/>
  <c r="AD105" i="17"/>
  <c r="AD96" i="17"/>
  <c r="AD87" i="17"/>
  <c r="AD84" i="17"/>
  <c r="AD81" i="17"/>
  <c r="AD78" i="17"/>
  <c r="AD75" i="17"/>
  <c r="AD72" i="17"/>
  <c r="AD69" i="17"/>
  <c r="AD171" i="17"/>
  <c r="AD162" i="17"/>
  <c r="AD153" i="17"/>
  <c r="AD134" i="17"/>
  <c r="AD133" i="17"/>
  <c r="AD132" i="17"/>
  <c r="AD127" i="17"/>
  <c r="AD118" i="17"/>
  <c r="AD109" i="17"/>
  <c r="AD100" i="17"/>
  <c r="AD189" i="17"/>
  <c r="AD137" i="17"/>
  <c r="AD93" i="17"/>
  <c r="AD156" i="17"/>
  <c r="AD183" i="17"/>
  <c r="AD88" i="17"/>
  <c r="AD85" i="17"/>
  <c r="AD82" i="17"/>
  <c r="AD79" i="17"/>
  <c r="AD76" i="17"/>
  <c r="AD73" i="17"/>
  <c r="AD70" i="17"/>
  <c r="AD188" i="17"/>
  <c r="AD185" i="17"/>
  <c r="AD165" i="17"/>
  <c r="AD136" i="17"/>
  <c r="AD128" i="17"/>
  <c r="AD119" i="17"/>
  <c r="AD110" i="17"/>
  <c r="AD101" i="17"/>
  <c r="AD179" i="17"/>
  <c r="AD174" i="17"/>
  <c r="AD126" i="17"/>
  <c r="AD117" i="17"/>
  <c r="AD108" i="17"/>
  <c r="AD99" i="17"/>
  <c r="AD122" i="17"/>
  <c r="AD113" i="17"/>
  <c r="AD104" i="17"/>
  <c r="AD95" i="17"/>
  <c r="AE1" i="17"/>
  <c r="AD90" i="17"/>
  <c r="AB191" i="16"/>
  <c r="AB188" i="16"/>
  <c r="AB185" i="16"/>
  <c r="AB182" i="16"/>
  <c r="AB179" i="16"/>
  <c r="AB176" i="16"/>
  <c r="AB187" i="16"/>
  <c r="AB139" i="16"/>
  <c r="AB186" i="16"/>
  <c r="AB142" i="16"/>
  <c r="AB193" i="16"/>
  <c r="AB184" i="16"/>
  <c r="AB135" i="16"/>
  <c r="AB177" i="16"/>
  <c r="AB173" i="16"/>
  <c r="AB170" i="16"/>
  <c r="AB167" i="16"/>
  <c r="AB164" i="16"/>
  <c r="AB161" i="16"/>
  <c r="AB158" i="16"/>
  <c r="AB155" i="16"/>
  <c r="AB152" i="16"/>
  <c r="AB149" i="16"/>
  <c r="AB146" i="16"/>
  <c r="AB127" i="16"/>
  <c r="AB124" i="16"/>
  <c r="AB121" i="16"/>
  <c r="AB118" i="16"/>
  <c r="AB115" i="16"/>
  <c r="AB112" i="16"/>
  <c r="AB109" i="16"/>
  <c r="AB106" i="16"/>
  <c r="AB103" i="16"/>
  <c r="AB100" i="16"/>
  <c r="AB97" i="16"/>
  <c r="AB94" i="16"/>
  <c r="AB91" i="16"/>
  <c r="AB88" i="16"/>
  <c r="AB85" i="16"/>
  <c r="AB82" i="16"/>
  <c r="AB79" i="16"/>
  <c r="AB76" i="16"/>
  <c r="AB73" i="16"/>
  <c r="AB70" i="16"/>
  <c r="AB190" i="16"/>
  <c r="AB181" i="16"/>
  <c r="AB143" i="16"/>
  <c r="AB132" i="16"/>
  <c r="AB130" i="16"/>
  <c r="AB189" i="16"/>
  <c r="AB168" i="16"/>
  <c r="AB159" i="16"/>
  <c r="AB150" i="16"/>
  <c r="AB141" i="16"/>
  <c r="AB128" i="16"/>
  <c r="AB117" i="16"/>
  <c r="AB108" i="16"/>
  <c r="AB99" i="16"/>
  <c r="AB90" i="16"/>
  <c r="AB81" i="16"/>
  <c r="AB72" i="16"/>
  <c r="AC1" i="16"/>
  <c r="AB192" i="16"/>
  <c r="AB175" i="16"/>
  <c r="AB166" i="16"/>
  <c r="AB157" i="16"/>
  <c r="AB148" i="16"/>
  <c r="AB137" i="16"/>
  <c r="AB126" i="16"/>
  <c r="AB122" i="16"/>
  <c r="AB113" i="16"/>
  <c r="AB104" i="16"/>
  <c r="AB95" i="16"/>
  <c r="AB86" i="16"/>
  <c r="AB77" i="16"/>
  <c r="AB183" i="16"/>
  <c r="AB178" i="16"/>
  <c r="AB133" i="16"/>
  <c r="AB68" i="16"/>
  <c r="AB66" i="16"/>
  <c r="AB65" i="16"/>
  <c r="AB63" i="16"/>
  <c r="AB62" i="16"/>
  <c r="AB60" i="16"/>
  <c r="AB59" i="16"/>
  <c r="AB57" i="16"/>
  <c r="AB56" i="16"/>
  <c r="AB54" i="16"/>
  <c r="AB53" i="16"/>
  <c r="AB51" i="16"/>
  <c r="AB50" i="16"/>
  <c r="AB48" i="16"/>
  <c r="AB47" i="16"/>
  <c r="AB45" i="16"/>
  <c r="AB44" i="16"/>
  <c r="AB42" i="16"/>
  <c r="AB41" i="16"/>
  <c r="AB39" i="16"/>
  <c r="AB38" i="16"/>
  <c r="AB36" i="16"/>
  <c r="AB35" i="16"/>
  <c r="AB33" i="16"/>
  <c r="AB32" i="16"/>
  <c r="AB30" i="16"/>
  <c r="AB29" i="16"/>
  <c r="AB27" i="16"/>
  <c r="AB26" i="16"/>
  <c r="AB24" i="16"/>
  <c r="AB23" i="16"/>
  <c r="AB21" i="16"/>
  <c r="AB20" i="16"/>
  <c r="AB18" i="16"/>
  <c r="AB17" i="16"/>
  <c r="AB15" i="16"/>
  <c r="AB14" i="16"/>
  <c r="AB12" i="16"/>
  <c r="AB11" i="16"/>
  <c r="AB9" i="16"/>
  <c r="AB8" i="16"/>
  <c r="AB6" i="16"/>
  <c r="AB5" i="16"/>
  <c r="AB3" i="16"/>
  <c r="AB107" i="16"/>
  <c r="AB80" i="16"/>
  <c r="AB171" i="16"/>
  <c r="AB162" i="16"/>
  <c r="AB153" i="16"/>
  <c r="AB144" i="16"/>
  <c r="AB123" i="16"/>
  <c r="AB114" i="16"/>
  <c r="AB105" i="16"/>
  <c r="AB96" i="16"/>
  <c r="AB87" i="16"/>
  <c r="AB78" i="16"/>
  <c r="AB69" i="16"/>
  <c r="AB67" i="16"/>
  <c r="AB64" i="16"/>
  <c r="AB61" i="16"/>
  <c r="AB58" i="16"/>
  <c r="AB55" i="16"/>
  <c r="AB52" i="16"/>
  <c r="AB49" i="16"/>
  <c r="AB46" i="16"/>
  <c r="AB43" i="16"/>
  <c r="AB40" i="16"/>
  <c r="AB37" i="16"/>
  <c r="AB34" i="16"/>
  <c r="AB31" i="16"/>
  <c r="AB28" i="16"/>
  <c r="AB25" i="16"/>
  <c r="AB22" i="16"/>
  <c r="AB19" i="16"/>
  <c r="AB16" i="16"/>
  <c r="AB13" i="16"/>
  <c r="AB10" i="16"/>
  <c r="AB7" i="16"/>
  <c r="AB4" i="16"/>
  <c r="AB71" i="16"/>
  <c r="AB169" i="16"/>
  <c r="AB160" i="16"/>
  <c r="AB151" i="16"/>
  <c r="AB131" i="16"/>
  <c r="AB129" i="16"/>
  <c r="AB119" i="16"/>
  <c r="AB110" i="16"/>
  <c r="AB101" i="16"/>
  <c r="AB92" i="16"/>
  <c r="AB83" i="16"/>
  <c r="AB74" i="16"/>
  <c r="AB125" i="16"/>
  <c r="AB116" i="16"/>
  <c r="AB98" i="16"/>
  <c r="AB89" i="16"/>
  <c r="AB134" i="16"/>
  <c r="AB140" i="16"/>
  <c r="AB138" i="16"/>
  <c r="AB136" i="16"/>
  <c r="AB174" i="16"/>
  <c r="AB165" i="16"/>
  <c r="AB156" i="16"/>
  <c r="AB147" i="16"/>
  <c r="AB120" i="16"/>
  <c r="AB111" i="16"/>
  <c r="AB102" i="16"/>
  <c r="AB93" i="16"/>
  <c r="AB84" i="16"/>
  <c r="AB75" i="16"/>
  <c r="AB180" i="16"/>
  <c r="AB172" i="16"/>
  <c r="AB163" i="16"/>
  <c r="AB154" i="16"/>
  <c r="AB145" i="16"/>
  <c r="AC188" i="20"/>
  <c r="AC185" i="20"/>
  <c r="AC182" i="20"/>
  <c r="AC179" i="20"/>
  <c r="AC176" i="20"/>
  <c r="AC173" i="20"/>
  <c r="AC170" i="20"/>
  <c r="AC167" i="20"/>
  <c r="AC164" i="20"/>
  <c r="AC161" i="20"/>
  <c r="AC158" i="20"/>
  <c r="AC155" i="20"/>
  <c r="AC190" i="20"/>
  <c r="AC181" i="20"/>
  <c r="AC172" i="20"/>
  <c r="AC163" i="20"/>
  <c r="AC145" i="20"/>
  <c r="AC129" i="20"/>
  <c r="AC187" i="20"/>
  <c r="AC178" i="20"/>
  <c r="AC169" i="20"/>
  <c r="AC160" i="20"/>
  <c r="AC148" i="20"/>
  <c r="AC135" i="20"/>
  <c r="AC130" i="20"/>
  <c r="AC127" i="20"/>
  <c r="AC168" i="20"/>
  <c r="AC152" i="20"/>
  <c r="AC144" i="20"/>
  <c r="AC134" i="20"/>
  <c r="AC119" i="20"/>
  <c r="AC147" i="20"/>
  <c r="AC146" i="20"/>
  <c r="AC139" i="20"/>
  <c r="AC133" i="20"/>
  <c r="AC128" i="20"/>
  <c r="AC184" i="20"/>
  <c r="AC171" i="20"/>
  <c r="AC157" i="20"/>
  <c r="AC143" i="20"/>
  <c r="AC138" i="20"/>
  <c r="AC132" i="20"/>
  <c r="AC118" i="20"/>
  <c r="AC109" i="20"/>
  <c r="AC100" i="20"/>
  <c r="AC91" i="20"/>
  <c r="AC82" i="20"/>
  <c r="AC73" i="20"/>
  <c r="AC65" i="20"/>
  <c r="AC62" i="20"/>
  <c r="AC154" i="20"/>
  <c r="AC131" i="20"/>
  <c r="AC174" i="20"/>
  <c r="AC177" i="20"/>
  <c r="AC141" i="20"/>
  <c r="AC136" i="20"/>
  <c r="AC125" i="20"/>
  <c r="AC116" i="20"/>
  <c r="AC107" i="20"/>
  <c r="AC98" i="20"/>
  <c r="AC89" i="20"/>
  <c r="AC165" i="20"/>
  <c r="AC140" i="20"/>
  <c r="AC120" i="20"/>
  <c r="AC111" i="20"/>
  <c r="AC102" i="20"/>
  <c r="AC186" i="20"/>
  <c r="AC156" i="20"/>
  <c r="AC123" i="20"/>
  <c r="AC115" i="20"/>
  <c r="AC105" i="20"/>
  <c r="AC94" i="20"/>
  <c r="AC92" i="20"/>
  <c r="AC66" i="20"/>
  <c r="AC63" i="20"/>
  <c r="AC60" i="20"/>
  <c r="AC55" i="20"/>
  <c r="AC46" i="20"/>
  <c r="AC37" i="20"/>
  <c r="AC122" i="20"/>
  <c r="AC108" i="20"/>
  <c r="AC96" i="20"/>
  <c r="AC183" i="20"/>
  <c r="AC149" i="20"/>
  <c r="AC142" i="20"/>
  <c r="AC101" i="20"/>
  <c r="AC83" i="20"/>
  <c r="AC74" i="20"/>
  <c r="AC54" i="20"/>
  <c r="AC45" i="20"/>
  <c r="AC175" i="20"/>
  <c r="AC162" i="20"/>
  <c r="AC150" i="20"/>
  <c r="AC121" i="20"/>
  <c r="AC104" i="20"/>
  <c r="AC35" i="20"/>
  <c r="AC32" i="20"/>
  <c r="AC29" i="20"/>
  <c r="AC26" i="20"/>
  <c r="AC23" i="20"/>
  <c r="AC20" i="20"/>
  <c r="AC17" i="20"/>
  <c r="AC14" i="20"/>
  <c r="AC11" i="20"/>
  <c r="AC8" i="20"/>
  <c r="AC5" i="20"/>
  <c r="AC180" i="20"/>
  <c r="AC151" i="20"/>
  <c r="AC114" i="20"/>
  <c r="AC58" i="20"/>
  <c r="AC49" i="20"/>
  <c r="AC81" i="20"/>
  <c r="AC72" i="20"/>
  <c r="AC53" i="20"/>
  <c r="AC44" i="20"/>
  <c r="AC110" i="20"/>
  <c r="AC95" i="20"/>
  <c r="AC93" i="20"/>
  <c r="AC87" i="20"/>
  <c r="AC84" i="20"/>
  <c r="AC78" i="20"/>
  <c r="AC75" i="20"/>
  <c r="AC69" i="20"/>
  <c r="AC57" i="20"/>
  <c r="AC48" i="20"/>
  <c r="AC39" i="20"/>
  <c r="AC159" i="20"/>
  <c r="AC113" i="20"/>
  <c r="AC103" i="20"/>
  <c r="AC97" i="20"/>
  <c r="AC36" i="20"/>
  <c r="AC33" i="20"/>
  <c r="AC30" i="20"/>
  <c r="AC27" i="20"/>
  <c r="AC24" i="20"/>
  <c r="AC21" i="20"/>
  <c r="AC18" i="20"/>
  <c r="AC15" i="20"/>
  <c r="AC12" i="20"/>
  <c r="AC9" i="20"/>
  <c r="AC6" i="20"/>
  <c r="AC3" i="20"/>
  <c r="AC153" i="20"/>
  <c r="AC137" i="20"/>
  <c r="AC126" i="20"/>
  <c r="AC117" i="20"/>
  <c r="AC106" i="20"/>
  <c r="AC52" i="20"/>
  <c r="AC43" i="20"/>
  <c r="AC166" i="20"/>
  <c r="AC99" i="20"/>
  <c r="AC85" i="20"/>
  <c r="AC76" i="20"/>
  <c r="AC56" i="20"/>
  <c r="AC47" i="20"/>
  <c r="AC38" i="20"/>
  <c r="AC189" i="20"/>
  <c r="AC79" i="20"/>
  <c r="AC70" i="20"/>
  <c r="AC51" i="20"/>
  <c r="AC42" i="20"/>
  <c r="AC90" i="20"/>
  <c r="AC41" i="20"/>
  <c r="AC86" i="20"/>
  <c r="AC68" i="20"/>
  <c r="AC59" i="20"/>
  <c r="AC124" i="20"/>
  <c r="AC34" i="20"/>
  <c r="AC31" i="20"/>
  <c r="AC28" i="20"/>
  <c r="AC25" i="20"/>
  <c r="AC22" i="20"/>
  <c r="AC19" i="20"/>
  <c r="AC16" i="20"/>
  <c r="AC13" i="20"/>
  <c r="AC10" i="20"/>
  <c r="AC7" i="20"/>
  <c r="AC4" i="20"/>
  <c r="AC71" i="20"/>
  <c r="AC112" i="20"/>
  <c r="AC67" i="20"/>
  <c r="AC64" i="20"/>
  <c r="AC61" i="20"/>
  <c r="AC50" i="20"/>
  <c r="AC77" i="20"/>
  <c r="AC40" i="20"/>
  <c r="AC80" i="20"/>
  <c r="AC88" i="20"/>
  <c r="AD1" i="20"/>
  <c r="AD184" i="22"/>
  <c r="AD181" i="22"/>
  <c r="AD178" i="22"/>
  <c r="AD175" i="22"/>
  <c r="AD172" i="22"/>
  <c r="AD169" i="22"/>
  <c r="AD166" i="22"/>
  <c r="AD163" i="22"/>
  <c r="AD160" i="22"/>
  <c r="AD157" i="22"/>
  <c r="AD154" i="22"/>
  <c r="AD151" i="22"/>
  <c r="AD148" i="22"/>
  <c r="AD145" i="22"/>
  <c r="AD142" i="22"/>
  <c r="AD139" i="22"/>
  <c r="AD136" i="22"/>
  <c r="AD120" i="22"/>
  <c r="AD126" i="22"/>
  <c r="AD123" i="22"/>
  <c r="AD131" i="22"/>
  <c r="AD134" i="22"/>
  <c r="AD185" i="22"/>
  <c r="AD182" i="22"/>
  <c r="AD179" i="22"/>
  <c r="AD176" i="22"/>
  <c r="AD173" i="22"/>
  <c r="AD170" i="22"/>
  <c r="AD167" i="22"/>
  <c r="AD164" i="22"/>
  <c r="AD161" i="22"/>
  <c r="AD158" i="22"/>
  <c r="AD155" i="22"/>
  <c r="AD152" i="22"/>
  <c r="AD149" i="22"/>
  <c r="AD146" i="22"/>
  <c r="AD143" i="22"/>
  <c r="AD140" i="22"/>
  <c r="AD137" i="22"/>
  <c r="AD129" i="22"/>
  <c r="AD121" i="22"/>
  <c r="AD118" i="22"/>
  <c r="AD124" i="22"/>
  <c r="AD127" i="22"/>
  <c r="AD135" i="22"/>
  <c r="AD132" i="22"/>
  <c r="AD130" i="22"/>
  <c r="AD125" i="22"/>
  <c r="AD122" i="22"/>
  <c r="AD116" i="22"/>
  <c r="AD113" i="22"/>
  <c r="AD110" i="22"/>
  <c r="AD107" i="22"/>
  <c r="AD104" i="22"/>
  <c r="AD101" i="22"/>
  <c r="AD98" i="22"/>
  <c r="AD95" i="22"/>
  <c r="AD92" i="22"/>
  <c r="AD89" i="22"/>
  <c r="AD86" i="22"/>
  <c r="AD83" i="22"/>
  <c r="AD80" i="22"/>
  <c r="AD77" i="22"/>
  <c r="AD74" i="22"/>
  <c r="AD71" i="22"/>
  <c r="AD68" i="22"/>
  <c r="AD65" i="22"/>
  <c r="AD62" i="22"/>
  <c r="AD59" i="22"/>
  <c r="AD56" i="22"/>
  <c r="AD53" i="22"/>
  <c r="AD50" i="22"/>
  <c r="AD47" i="22"/>
  <c r="AD44" i="22"/>
  <c r="AD41" i="22"/>
  <c r="AD38" i="22"/>
  <c r="AD35" i="22"/>
  <c r="AD32" i="22"/>
  <c r="AD29" i="22"/>
  <c r="AD26" i="22"/>
  <c r="AD23" i="22"/>
  <c r="AD20" i="22"/>
  <c r="AD17" i="22"/>
  <c r="AD14" i="22"/>
  <c r="AD11" i="22"/>
  <c r="AD133" i="22"/>
  <c r="AD117" i="22"/>
  <c r="AD114" i="22"/>
  <c r="AD111" i="22"/>
  <c r="AD108" i="22"/>
  <c r="AD105" i="22"/>
  <c r="AD102" i="22"/>
  <c r="AD99" i="22"/>
  <c r="AD96" i="22"/>
  <c r="AD93" i="22"/>
  <c r="AD90" i="22"/>
  <c r="AD87" i="22"/>
  <c r="AD84" i="22"/>
  <c r="AD81" i="22"/>
  <c r="AD78" i="22"/>
  <c r="AD75" i="22"/>
  <c r="AD72" i="22"/>
  <c r="AD69" i="22"/>
  <c r="AD66" i="22"/>
  <c r="AD63" i="22"/>
  <c r="AD60" i="22"/>
  <c r="AD57" i="22"/>
  <c r="AD54" i="22"/>
  <c r="AD51" i="22"/>
  <c r="AD48" i="22"/>
  <c r="AD45" i="22"/>
  <c r="AD42" i="22"/>
  <c r="AD39" i="22"/>
  <c r="AD36" i="22"/>
  <c r="AD33" i="22"/>
  <c r="AD30" i="22"/>
  <c r="AD27" i="22"/>
  <c r="AD24" i="22"/>
  <c r="AD21" i="22"/>
  <c r="AD18" i="22"/>
  <c r="AD15" i="22"/>
  <c r="AD12" i="22"/>
  <c r="AD128" i="22"/>
  <c r="AD115" i="22"/>
  <c r="AD112" i="22"/>
  <c r="AD109" i="22"/>
  <c r="AD106" i="22"/>
  <c r="AD103" i="22"/>
  <c r="AD100" i="22"/>
  <c r="AD97" i="22"/>
  <c r="AD94" i="22"/>
  <c r="AD91" i="22"/>
  <c r="AD88" i="22"/>
  <c r="AD85" i="22"/>
  <c r="AD82" i="22"/>
  <c r="AD79" i="22"/>
  <c r="AD76" i="22"/>
  <c r="AD73" i="22"/>
  <c r="AD70" i="22"/>
  <c r="AD67" i="22"/>
  <c r="AD64" i="22"/>
  <c r="AD61" i="22"/>
  <c r="AD58" i="22"/>
  <c r="AD55" i="22"/>
  <c r="AD52" i="22"/>
  <c r="AD49" i="22"/>
  <c r="AD46" i="22"/>
  <c r="AD43" i="22"/>
  <c r="AD40" i="22"/>
  <c r="AD37" i="22"/>
  <c r="AD34" i="22"/>
  <c r="AD31" i="22"/>
  <c r="AD28" i="22"/>
  <c r="AD25" i="22"/>
  <c r="AD22" i="22"/>
  <c r="AD19" i="22"/>
  <c r="AD16" i="22"/>
  <c r="AD13" i="22"/>
  <c r="AD180" i="22"/>
  <c r="AD153" i="22"/>
  <c r="AD119" i="22"/>
  <c r="AD159" i="22"/>
  <c r="AD165" i="22"/>
  <c r="AD138" i="22"/>
  <c r="AD10" i="22"/>
  <c r="AD7" i="22"/>
  <c r="AD4" i="22"/>
  <c r="AD171" i="22"/>
  <c r="AD144" i="22"/>
  <c r="AD177" i="22"/>
  <c r="AD150" i="22"/>
  <c r="AE1" i="22"/>
  <c r="AD183" i="22"/>
  <c r="AD156" i="22"/>
  <c r="AD8" i="22"/>
  <c r="AD5" i="22"/>
  <c r="AD162" i="22"/>
  <c r="AD168" i="22"/>
  <c r="AD141" i="22"/>
  <c r="AD3" i="22"/>
  <c r="AD174" i="22"/>
  <c r="AD9" i="22"/>
  <c r="AD147" i="22"/>
  <c r="AD6" i="22"/>
  <c r="AB180" i="24"/>
  <c r="AB177" i="24"/>
  <c r="AB174" i="24"/>
  <c r="AB171" i="24"/>
  <c r="AB168" i="24"/>
  <c r="AB165" i="24"/>
  <c r="AB162" i="24"/>
  <c r="AB159" i="24"/>
  <c r="AB156" i="24"/>
  <c r="AB153" i="24"/>
  <c r="AB150" i="24"/>
  <c r="AB147" i="24"/>
  <c r="AB144" i="24"/>
  <c r="AB141" i="24"/>
  <c r="AB181" i="24"/>
  <c r="AB178" i="24"/>
  <c r="AB175" i="24"/>
  <c r="AB172" i="24"/>
  <c r="AB169" i="24"/>
  <c r="AB166" i="24"/>
  <c r="AB163" i="24"/>
  <c r="AB160" i="24"/>
  <c r="AB157" i="24"/>
  <c r="AB154" i="24"/>
  <c r="AB151" i="24"/>
  <c r="AB148" i="24"/>
  <c r="AB145" i="24"/>
  <c r="AB142" i="24"/>
  <c r="AB179" i="24"/>
  <c r="AB176" i="24"/>
  <c r="AB173" i="24"/>
  <c r="AB170" i="24"/>
  <c r="AB167" i="24"/>
  <c r="AB164" i="24"/>
  <c r="AB161" i="24"/>
  <c r="AB158" i="24"/>
  <c r="AB155" i="24"/>
  <c r="AB152" i="24"/>
  <c r="AB149" i="24"/>
  <c r="AB146" i="24"/>
  <c r="AB143" i="24"/>
  <c r="AB140" i="24"/>
  <c r="AB123" i="24"/>
  <c r="AB131" i="24"/>
  <c r="AB128" i="24"/>
  <c r="AB137" i="24"/>
  <c r="AB134" i="24"/>
  <c r="AB115" i="24"/>
  <c r="AB112" i="24"/>
  <c r="AB109" i="24"/>
  <c r="AB106" i="24"/>
  <c r="AB103" i="24"/>
  <c r="AB100" i="24"/>
  <c r="AB97" i="24"/>
  <c r="AB94" i="24"/>
  <c r="AB91" i="24"/>
  <c r="AB88" i="24"/>
  <c r="AB85" i="24"/>
  <c r="AB82" i="24"/>
  <c r="AB79" i="24"/>
  <c r="AB76" i="24"/>
  <c r="AB73" i="24"/>
  <c r="AB70" i="24"/>
  <c r="AB67" i="24"/>
  <c r="AB64" i="24"/>
  <c r="AB61" i="24"/>
  <c r="AB58" i="24"/>
  <c r="AB55" i="24"/>
  <c r="AB52" i="24"/>
  <c r="AB49" i="24"/>
  <c r="AB46" i="24"/>
  <c r="AB43" i="24"/>
  <c r="AB40" i="24"/>
  <c r="AB37" i="24"/>
  <c r="AB34" i="24"/>
  <c r="AB31" i="24"/>
  <c r="AB28" i="24"/>
  <c r="AB126" i="24"/>
  <c r="AB121" i="24"/>
  <c r="AB118" i="24"/>
  <c r="AB129" i="24"/>
  <c r="AB124" i="24"/>
  <c r="AB138" i="24"/>
  <c r="AB135" i="24"/>
  <c r="AB132" i="24"/>
  <c r="AB116" i="24"/>
  <c r="AB113" i="24"/>
  <c r="AB110" i="24"/>
  <c r="AB107" i="24"/>
  <c r="AB104" i="24"/>
  <c r="AB101" i="24"/>
  <c r="AB98" i="24"/>
  <c r="AB95" i="24"/>
  <c r="AB92" i="24"/>
  <c r="AB89" i="24"/>
  <c r="AB86" i="24"/>
  <c r="AB83" i="24"/>
  <c r="AB80" i="24"/>
  <c r="AB77" i="24"/>
  <c r="AB74" i="24"/>
  <c r="AB71" i="24"/>
  <c r="AB68" i="24"/>
  <c r="AB65" i="24"/>
  <c r="AB62" i="24"/>
  <c r="AB59" i="24"/>
  <c r="AB56" i="24"/>
  <c r="AB53" i="24"/>
  <c r="AB50" i="24"/>
  <c r="AB47" i="24"/>
  <c r="AB44" i="24"/>
  <c r="AB41" i="24"/>
  <c r="AB38" i="24"/>
  <c r="AB35" i="24"/>
  <c r="AB32" i="24"/>
  <c r="AB29" i="24"/>
  <c r="AB122" i="24"/>
  <c r="AB119" i="24"/>
  <c r="AB139" i="24"/>
  <c r="AB136" i="24"/>
  <c r="AB133" i="24"/>
  <c r="AB125" i="24"/>
  <c r="AB117" i="24"/>
  <c r="AB114" i="24"/>
  <c r="AB111" i="24"/>
  <c r="AB108" i="24"/>
  <c r="AB105" i="24"/>
  <c r="AB102" i="24"/>
  <c r="AB99" i="24"/>
  <c r="AB96" i="24"/>
  <c r="AB93" i="24"/>
  <c r="AB90" i="24"/>
  <c r="AB87" i="24"/>
  <c r="AB84" i="24"/>
  <c r="AB81" i="24"/>
  <c r="AB78" i="24"/>
  <c r="AB75" i="24"/>
  <c r="AB72" i="24"/>
  <c r="AB69" i="24"/>
  <c r="AB66" i="24"/>
  <c r="AB63" i="24"/>
  <c r="AB60" i="24"/>
  <c r="AB57" i="24"/>
  <c r="AB54" i="24"/>
  <c r="AB45" i="24"/>
  <c r="AB36" i="24"/>
  <c r="AB26" i="24"/>
  <c r="AB23" i="24"/>
  <c r="AB20" i="24"/>
  <c r="AB17" i="24"/>
  <c r="AB14" i="24"/>
  <c r="AB11" i="24"/>
  <c r="AB8" i="24"/>
  <c r="AB5" i="24"/>
  <c r="AB48" i="24"/>
  <c r="AB39" i="24"/>
  <c r="AB30" i="24"/>
  <c r="AB120" i="24"/>
  <c r="AB27" i="24"/>
  <c r="AB130" i="24"/>
  <c r="AB127" i="24"/>
  <c r="AB25" i="24"/>
  <c r="AB16" i="24"/>
  <c r="AC1" i="24"/>
  <c r="AB51" i="24"/>
  <c r="AB42" i="24"/>
  <c r="AB33" i="24"/>
  <c r="AB12" i="24"/>
  <c r="AB10" i="24"/>
  <c r="AB3" i="24"/>
  <c r="AB21" i="24"/>
  <c r="AB19" i="24"/>
  <c r="AB15" i="24"/>
  <c r="AB13" i="24"/>
  <c r="AB22" i="24"/>
  <c r="AB7" i="24"/>
  <c r="AB6" i="24"/>
  <c r="AB24" i="24"/>
  <c r="AB9" i="24"/>
  <c r="AB4" i="24"/>
  <c r="AB18" i="24"/>
  <c r="AB177" i="25"/>
  <c r="AB172" i="25"/>
  <c r="AB163" i="25"/>
  <c r="AB154" i="25"/>
  <c r="AB145" i="25"/>
  <c r="AB136" i="25"/>
  <c r="AB133" i="25"/>
  <c r="AB130" i="25"/>
  <c r="AB171" i="25"/>
  <c r="AB170" i="25"/>
  <c r="AB162" i="25"/>
  <c r="AB161" i="25"/>
  <c r="AB153" i="25"/>
  <c r="AB152" i="25"/>
  <c r="AB144" i="25"/>
  <c r="AB143" i="25"/>
  <c r="AB135" i="25"/>
  <c r="AB125" i="25"/>
  <c r="AB169" i="25"/>
  <c r="AB160" i="25"/>
  <c r="AB151" i="25"/>
  <c r="AB142" i="25"/>
  <c r="AB131" i="25"/>
  <c r="AB123" i="25"/>
  <c r="AB115" i="25"/>
  <c r="AB112" i="25"/>
  <c r="AB109" i="25"/>
  <c r="AB106" i="25"/>
  <c r="AB103" i="25"/>
  <c r="AB100" i="25"/>
  <c r="AB97" i="25"/>
  <c r="AB176" i="25"/>
  <c r="AB168" i="25"/>
  <c r="AB167" i="25"/>
  <c r="AB159" i="25"/>
  <c r="AB158" i="25"/>
  <c r="AB150" i="25"/>
  <c r="AB149" i="25"/>
  <c r="AB174" i="25"/>
  <c r="AB173" i="25"/>
  <c r="AB165" i="25"/>
  <c r="AB164" i="25"/>
  <c r="AB156" i="25"/>
  <c r="AB155" i="25"/>
  <c r="AB147" i="25"/>
  <c r="AB146" i="25"/>
  <c r="AB138" i="25"/>
  <c r="AB137" i="25"/>
  <c r="AB126" i="25"/>
  <c r="AB118" i="25"/>
  <c r="AB114" i="25"/>
  <c r="AB113" i="25"/>
  <c r="AB111" i="25"/>
  <c r="AB110" i="25"/>
  <c r="AB108" i="25"/>
  <c r="AB107" i="25"/>
  <c r="AB105" i="25"/>
  <c r="AB104" i="25"/>
  <c r="AB102" i="25"/>
  <c r="AB139" i="25"/>
  <c r="AB121" i="25"/>
  <c r="AB120" i="25"/>
  <c r="AB119" i="25"/>
  <c r="AB117" i="25"/>
  <c r="AB116" i="25"/>
  <c r="AB101" i="25"/>
  <c r="AB122" i="25"/>
  <c r="AB179" i="25"/>
  <c r="AB148" i="25"/>
  <c r="AB132" i="25"/>
  <c r="AB128" i="25"/>
  <c r="AB178" i="25"/>
  <c r="AB157" i="25"/>
  <c r="AB141" i="25"/>
  <c r="AB95" i="25"/>
  <c r="AB91" i="25"/>
  <c r="AB86" i="25"/>
  <c r="AB82" i="25"/>
  <c r="AB77" i="25"/>
  <c r="AB129" i="25"/>
  <c r="AB87" i="25"/>
  <c r="AB78" i="25"/>
  <c r="AB71" i="25"/>
  <c r="AB69" i="25"/>
  <c r="AB66" i="25"/>
  <c r="AB63" i="25"/>
  <c r="AB60" i="25"/>
  <c r="AB57" i="25"/>
  <c r="AB54" i="25"/>
  <c r="AB51" i="25"/>
  <c r="AB48" i="25"/>
  <c r="AB166" i="25"/>
  <c r="AB98" i="25"/>
  <c r="AB96" i="25"/>
  <c r="AB92" i="25"/>
  <c r="AB88" i="25"/>
  <c r="AB83" i="25"/>
  <c r="AB79" i="25"/>
  <c r="AB175" i="25"/>
  <c r="AB140" i="25"/>
  <c r="AB124" i="25"/>
  <c r="AB93" i="25"/>
  <c r="AB84" i="25"/>
  <c r="AB75" i="25"/>
  <c r="AB74" i="25"/>
  <c r="AB70" i="25"/>
  <c r="AB67" i="25"/>
  <c r="AB64" i="25"/>
  <c r="AB61" i="25"/>
  <c r="AB58" i="25"/>
  <c r="AB55" i="25"/>
  <c r="AB52" i="25"/>
  <c r="AB49" i="25"/>
  <c r="AB46" i="25"/>
  <c r="AB43" i="25"/>
  <c r="AB90" i="25"/>
  <c r="AB81" i="25"/>
  <c r="AB68" i="25"/>
  <c r="AB65" i="25"/>
  <c r="AB62" i="25"/>
  <c r="AB59" i="25"/>
  <c r="AB56" i="25"/>
  <c r="AB53" i="25"/>
  <c r="AB50" i="25"/>
  <c r="AB47" i="25"/>
  <c r="AB44" i="25"/>
  <c r="AB99" i="25"/>
  <c r="AB73" i="25"/>
  <c r="AB45" i="25"/>
  <c r="AB72" i="25"/>
  <c r="AB41" i="25"/>
  <c r="AB38" i="25"/>
  <c r="AB35" i="25"/>
  <c r="AB32" i="25"/>
  <c r="AB29" i="25"/>
  <c r="AB26" i="25"/>
  <c r="AB23" i="25"/>
  <c r="AB20" i="25"/>
  <c r="AB17" i="25"/>
  <c r="AB14" i="25"/>
  <c r="AB11" i="25"/>
  <c r="AB8" i="25"/>
  <c r="AB134" i="25"/>
  <c r="AB76" i="25"/>
  <c r="AB127" i="25"/>
  <c r="AB80" i="25"/>
  <c r="AB39" i="25"/>
  <c r="AB36" i="25"/>
  <c r="AB33" i="25"/>
  <c r="AB30" i="25"/>
  <c r="AB27" i="25"/>
  <c r="AB24" i="25"/>
  <c r="AB21" i="25"/>
  <c r="AB18" i="25"/>
  <c r="AB15" i="25"/>
  <c r="AB12" i="25"/>
  <c r="AB9" i="25"/>
  <c r="AB94" i="25"/>
  <c r="AB42" i="25"/>
  <c r="AB40" i="25"/>
  <c r="AB37" i="25"/>
  <c r="AB34" i="25"/>
  <c r="AB31" i="25"/>
  <c r="AB28" i="25"/>
  <c r="AB25" i="25"/>
  <c r="AB22" i="25"/>
  <c r="AB19" i="25"/>
  <c r="AB16" i="25"/>
  <c r="AB13" i="25"/>
  <c r="AB10" i="25"/>
  <c r="AB6" i="25"/>
  <c r="AB3" i="25"/>
  <c r="AB85" i="25"/>
  <c r="AB7" i="25"/>
  <c r="AB4" i="25"/>
  <c r="AC1" i="25"/>
  <c r="AB5" i="25"/>
  <c r="AB89" i="25"/>
  <c r="AA174" i="27"/>
  <c r="AA171" i="27"/>
  <c r="AA168" i="27"/>
  <c r="AA165" i="27"/>
  <c r="AA162" i="27"/>
  <c r="AA159" i="27"/>
  <c r="AA156" i="27"/>
  <c r="AA153" i="27"/>
  <c r="AA150" i="27"/>
  <c r="AA147" i="27"/>
  <c r="AA175" i="27"/>
  <c r="AA172" i="27"/>
  <c r="AA169" i="27"/>
  <c r="AA166" i="27"/>
  <c r="AA163" i="27"/>
  <c r="AA160" i="27"/>
  <c r="AA157" i="27"/>
  <c r="AA154" i="27"/>
  <c r="AA151" i="27"/>
  <c r="AA148" i="27"/>
  <c r="AA145" i="27"/>
  <c r="AA176" i="27"/>
  <c r="AA173" i="27"/>
  <c r="AA170" i="27"/>
  <c r="AA167" i="27"/>
  <c r="AA164" i="27"/>
  <c r="AA161" i="27"/>
  <c r="AA158" i="27"/>
  <c r="AA155" i="27"/>
  <c r="AA152" i="27"/>
  <c r="AA149" i="27"/>
  <c r="AA146" i="27"/>
  <c r="AA144" i="27"/>
  <c r="AA141" i="27"/>
  <c r="AA138" i="27"/>
  <c r="AA135" i="27"/>
  <c r="AA132" i="27"/>
  <c r="AA129" i="27"/>
  <c r="AA125" i="27"/>
  <c r="AA116" i="27"/>
  <c r="AA113" i="27"/>
  <c r="AA142" i="27"/>
  <c r="AA139" i="27"/>
  <c r="AA136" i="27"/>
  <c r="AA133" i="27"/>
  <c r="AA130" i="27"/>
  <c r="AA127" i="27"/>
  <c r="AA123" i="27"/>
  <c r="AA114" i="27"/>
  <c r="AA143" i="27"/>
  <c r="AA140" i="27"/>
  <c r="AA137" i="27"/>
  <c r="AA134" i="27"/>
  <c r="AA131" i="27"/>
  <c r="AA128" i="27"/>
  <c r="AA124" i="27"/>
  <c r="AA115" i="27"/>
  <c r="AA111" i="27"/>
  <c r="AA107" i="27"/>
  <c r="AA104" i="27"/>
  <c r="AA101" i="27"/>
  <c r="AA98" i="27"/>
  <c r="AA95" i="27"/>
  <c r="AA92" i="27"/>
  <c r="AA89" i="27"/>
  <c r="AA110" i="27"/>
  <c r="AA108" i="27"/>
  <c r="AA105" i="27"/>
  <c r="AA102" i="27"/>
  <c r="AA99" i="27"/>
  <c r="AA96" i="27"/>
  <c r="AA93" i="27"/>
  <c r="AA90" i="27"/>
  <c r="AA109" i="27"/>
  <c r="AA106" i="27"/>
  <c r="AA103" i="27"/>
  <c r="AA100" i="27"/>
  <c r="AA97" i="27"/>
  <c r="AA94" i="27"/>
  <c r="AA91" i="27"/>
  <c r="AA85" i="27"/>
  <c r="AA82" i="27"/>
  <c r="AA79" i="27"/>
  <c r="AA76" i="27"/>
  <c r="AA73" i="27"/>
  <c r="AA70" i="27"/>
  <c r="AA67" i="27"/>
  <c r="AA64" i="27"/>
  <c r="AA83" i="27"/>
  <c r="AA80" i="27"/>
  <c r="AA77" i="27"/>
  <c r="AA74" i="27"/>
  <c r="AA71" i="27"/>
  <c r="AA68" i="27"/>
  <c r="AA65" i="27"/>
  <c r="AA86" i="27"/>
  <c r="AA88" i="27"/>
  <c r="AA81" i="27"/>
  <c r="AA72" i="27"/>
  <c r="AA62" i="27"/>
  <c r="AA59" i="27"/>
  <c r="AA56" i="27"/>
  <c r="AA53" i="27"/>
  <c r="AA50" i="27"/>
  <c r="AA47" i="27"/>
  <c r="AA44" i="27"/>
  <c r="AA41" i="27"/>
  <c r="AA38" i="27"/>
  <c r="AA78" i="27"/>
  <c r="AA69" i="27"/>
  <c r="AA63" i="27"/>
  <c r="AA60" i="27"/>
  <c r="AA57" i="27"/>
  <c r="AA54" i="27"/>
  <c r="AA51" i="27"/>
  <c r="AA48" i="27"/>
  <c r="AA45" i="27"/>
  <c r="AA42" i="27"/>
  <c r="AA39" i="27"/>
  <c r="AA84" i="27"/>
  <c r="AA75" i="27"/>
  <c r="AA66" i="27"/>
  <c r="AA61" i="27"/>
  <c r="AA58" i="27"/>
  <c r="AA55" i="27"/>
  <c r="AA52" i="27"/>
  <c r="AA49" i="27"/>
  <c r="AA46" i="27"/>
  <c r="AA43" i="27"/>
  <c r="AA40" i="27"/>
  <c r="AA37" i="27"/>
  <c r="AA34" i="27"/>
  <c r="AA31" i="27"/>
  <c r="AA28" i="27"/>
  <c r="AA25" i="27"/>
  <c r="AA22" i="27"/>
  <c r="AA19" i="27"/>
  <c r="AA16" i="27"/>
  <c r="AA13" i="27"/>
  <c r="AA10" i="27"/>
  <c r="AA87" i="27"/>
  <c r="AA35" i="27"/>
  <c r="AA32" i="27"/>
  <c r="AA29" i="27"/>
  <c r="AA26" i="27"/>
  <c r="AA23" i="27"/>
  <c r="AA20" i="27"/>
  <c r="AA17" i="27"/>
  <c r="AA14" i="27"/>
  <c r="AA11" i="27"/>
  <c r="AA36" i="27"/>
  <c r="AA33" i="27"/>
  <c r="AA30" i="27"/>
  <c r="AA27" i="27"/>
  <c r="AA24" i="27"/>
  <c r="AA21" i="27"/>
  <c r="AA18" i="27"/>
  <c r="AA15" i="27"/>
  <c r="AA12" i="27"/>
  <c r="AA9" i="27"/>
  <c r="AA6" i="27"/>
  <c r="AA3" i="27"/>
  <c r="AA7" i="27"/>
  <c r="AA4" i="27"/>
  <c r="AA8" i="27"/>
  <c r="AA5" i="27"/>
  <c r="AB1" i="27"/>
  <c r="AA175" i="26"/>
  <c r="AA172" i="26"/>
  <c r="AA169" i="26"/>
  <c r="AA166" i="26"/>
  <c r="AA163" i="26"/>
  <c r="AA160" i="26"/>
  <c r="AA176" i="26"/>
  <c r="AA173" i="26"/>
  <c r="AA170" i="26"/>
  <c r="AA167" i="26"/>
  <c r="AA164" i="26"/>
  <c r="AA161" i="26"/>
  <c r="AA158" i="26"/>
  <c r="AA174" i="26"/>
  <c r="AA171" i="26"/>
  <c r="AA168" i="26"/>
  <c r="AA165" i="26"/>
  <c r="AA162" i="26"/>
  <c r="AA155" i="26"/>
  <c r="AA152" i="26"/>
  <c r="AA149" i="26"/>
  <c r="AA146" i="26"/>
  <c r="AA143" i="26"/>
  <c r="AA140" i="26"/>
  <c r="AA137" i="26"/>
  <c r="AA134" i="26"/>
  <c r="AA131" i="26"/>
  <c r="AA156" i="26"/>
  <c r="AA153" i="26"/>
  <c r="AA150" i="26"/>
  <c r="AA147" i="26"/>
  <c r="AA144" i="26"/>
  <c r="AA141" i="26"/>
  <c r="AA138" i="26"/>
  <c r="AA135" i="26"/>
  <c r="AA132" i="26"/>
  <c r="AA125" i="26"/>
  <c r="AA116" i="26"/>
  <c r="AA113" i="26"/>
  <c r="AA109" i="26"/>
  <c r="AA106" i="26"/>
  <c r="AA103" i="26"/>
  <c r="AA100" i="26"/>
  <c r="AA97" i="26"/>
  <c r="AA94" i="26"/>
  <c r="AA91" i="26"/>
  <c r="AA88" i="26"/>
  <c r="AA85" i="26"/>
  <c r="AA82" i="26"/>
  <c r="AA79" i="26"/>
  <c r="AA76" i="26"/>
  <c r="AA73" i="26"/>
  <c r="AA154" i="26"/>
  <c r="AA145" i="26"/>
  <c r="AA136" i="26"/>
  <c r="AA130" i="26"/>
  <c r="AA159" i="26"/>
  <c r="AA129" i="26"/>
  <c r="AA127" i="26"/>
  <c r="AA123" i="26"/>
  <c r="AA114" i="26"/>
  <c r="AA110" i="26"/>
  <c r="AA107" i="26"/>
  <c r="AA104" i="26"/>
  <c r="AA101" i="26"/>
  <c r="AA98" i="26"/>
  <c r="AA95" i="26"/>
  <c r="AA92" i="26"/>
  <c r="AA89" i="26"/>
  <c r="AA86" i="26"/>
  <c r="AA83" i="26"/>
  <c r="AA80" i="26"/>
  <c r="AA77" i="26"/>
  <c r="AA74" i="26"/>
  <c r="AA71" i="26"/>
  <c r="AA157" i="26"/>
  <c r="AA148" i="26"/>
  <c r="AA139" i="26"/>
  <c r="AA128" i="26"/>
  <c r="AA124" i="26"/>
  <c r="AA115" i="26"/>
  <c r="AA111" i="26"/>
  <c r="AA108" i="26"/>
  <c r="AA105" i="26"/>
  <c r="AA102" i="26"/>
  <c r="AA99" i="26"/>
  <c r="AA96" i="26"/>
  <c r="AA93" i="26"/>
  <c r="AA90" i="26"/>
  <c r="AA87" i="26"/>
  <c r="AA84" i="26"/>
  <c r="AA81" i="26"/>
  <c r="AA78" i="26"/>
  <c r="AA75" i="26"/>
  <c r="AA72" i="26"/>
  <c r="AA151" i="26"/>
  <c r="AA68" i="26"/>
  <c r="AA65" i="26"/>
  <c r="AA62" i="26"/>
  <c r="AA59" i="26"/>
  <c r="AA56" i="26"/>
  <c r="AA53" i="26"/>
  <c r="AA142" i="26"/>
  <c r="AA69" i="26"/>
  <c r="AA66" i="26"/>
  <c r="AA63" i="26"/>
  <c r="AA60" i="26"/>
  <c r="AA57" i="26"/>
  <c r="AA54" i="26"/>
  <c r="AA70" i="26"/>
  <c r="AA61" i="26"/>
  <c r="AA50" i="26"/>
  <c r="AA47" i="26"/>
  <c r="AA44" i="26"/>
  <c r="AA41" i="26"/>
  <c r="AA38" i="26"/>
  <c r="AA35" i="26"/>
  <c r="AA32" i="26"/>
  <c r="AA29" i="26"/>
  <c r="AA26" i="26"/>
  <c r="AA23" i="26"/>
  <c r="AA20" i="26"/>
  <c r="AA17" i="26"/>
  <c r="AA14" i="26"/>
  <c r="AA11" i="26"/>
  <c r="AA8" i="26"/>
  <c r="AA5" i="26"/>
  <c r="AA64" i="26"/>
  <c r="AA55" i="26"/>
  <c r="AA52" i="26"/>
  <c r="AA48" i="26"/>
  <c r="AA45" i="26"/>
  <c r="AA42" i="26"/>
  <c r="AA39" i="26"/>
  <c r="AA36" i="26"/>
  <c r="AA33" i="26"/>
  <c r="AA30" i="26"/>
  <c r="AA27" i="26"/>
  <c r="AA24" i="26"/>
  <c r="AA21" i="26"/>
  <c r="AA18" i="26"/>
  <c r="AA15" i="26"/>
  <c r="AA12" i="26"/>
  <c r="AA9" i="26"/>
  <c r="AA6" i="26"/>
  <c r="AA3" i="26"/>
  <c r="AA51" i="26"/>
  <c r="AB1" i="26"/>
  <c r="AA58" i="26"/>
  <c r="AA49" i="26"/>
  <c r="AA40" i="26"/>
  <c r="AA31" i="26"/>
  <c r="AA22" i="26"/>
  <c r="AA13" i="26"/>
  <c r="AA4" i="26"/>
  <c r="AA67" i="26"/>
  <c r="AA43" i="26"/>
  <c r="AA34" i="26"/>
  <c r="AA25" i="26"/>
  <c r="AA16" i="26"/>
  <c r="AA7" i="26"/>
  <c r="AA133" i="26"/>
  <c r="AA46" i="26"/>
  <c r="AA37" i="26"/>
  <c r="AA28" i="26"/>
  <c r="AA19" i="26"/>
  <c r="AA10" i="26"/>
  <c r="AB188" i="19" l="1"/>
  <c r="AB185" i="19"/>
  <c r="AB182" i="19"/>
  <c r="AB179" i="19"/>
  <c r="AB176" i="19"/>
  <c r="AB132" i="19"/>
  <c r="AB140" i="19"/>
  <c r="AB137" i="19"/>
  <c r="AB67" i="19"/>
  <c r="AB64" i="19"/>
  <c r="AB61" i="19"/>
  <c r="AB58" i="19"/>
  <c r="AB55" i="19"/>
  <c r="AB52" i="19"/>
  <c r="AB49" i="19"/>
  <c r="AB46" i="19"/>
  <c r="AB43" i="19"/>
  <c r="AB40" i="19"/>
  <c r="AB37" i="19"/>
  <c r="AB34" i="19"/>
  <c r="AB31" i="19"/>
  <c r="AB28" i="19"/>
  <c r="AB25" i="19"/>
  <c r="AB22" i="19"/>
  <c r="AB19" i="19"/>
  <c r="AB16" i="19"/>
  <c r="AB13" i="19"/>
  <c r="AB10" i="19"/>
  <c r="AB7" i="19"/>
  <c r="AB4" i="19"/>
  <c r="AB187" i="19"/>
  <c r="AB178" i="19"/>
  <c r="AB173" i="19"/>
  <c r="AB170" i="19"/>
  <c r="AB167" i="19"/>
  <c r="AB164" i="19"/>
  <c r="AB161" i="19"/>
  <c r="AB158" i="19"/>
  <c r="AB155" i="19"/>
  <c r="AB152" i="19"/>
  <c r="AB149" i="19"/>
  <c r="AB146" i="19"/>
  <c r="AB143" i="19"/>
  <c r="AB124" i="19"/>
  <c r="AB121" i="19"/>
  <c r="AB118" i="19"/>
  <c r="AB115" i="19"/>
  <c r="AB112" i="19"/>
  <c r="AB109" i="19"/>
  <c r="AB106" i="19"/>
  <c r="AB103" i="19"/>
  <c r="AB100" i="19"/>
  <c r="AB97" i="19"/>
  <c r="AB94" i="19"/>
  <c r="AB91" i="19"/>
  <c r="AB88" i="19"/>
  <c r="AB85" i="19"/>
  <c r="AB82" i="19"/>
  <c r="AB79" i="19"/>
  <c r="AB76" i="19"/>
  <c r="AB73" i="19"/>
  <c r="AB70" i="19"/>
  <c r="AB186" i="19"/>
  <c r="AB177" i="19"/>
  <c r="AB135" i="19"/>
  <c r="AB130" i="19"/>
  <c r="AB127" i="19"/>
  <c r="AC1" i="19"/>
  <c r="AB183" i="19"/>
  <c r="AB131" i="19"/>
  <c r="AB128" i="19"/>
  <c r="AB184" i="19"/>
  <c r="AB181" i="19"/>
  <c r="AB174" i="19"/>
  <c r="AB165" i="19"/>
  <c r="AB156" i="19"/>
  <c r="AB147" i="19"/>
  <c r="AB136" i="19"/>
  <c r="AB123" i="19"/>
  <c r="AB114" i="19"/>
  <c r="AB105" i="19"/>
  <c r="AB96" i="19"/>
  <c r="AB87" i="19"/>
  <c r="AB78" i="19"/>
  <c r="AB69" i="19"/>
  <c r="AB134" i="19"/>
  <c r="AB65" i="19"/>
  <c r="AB56" i="19"/>
  <c r="AB47" i="19"/>
  <c r="AB38" i="19"/>
  <c r="AB190" i="19"/>
  <c r="AB172" i="19"/>
  <c r="AB163" i="19"/>
  <c r="AB154" i="19"/>
  <c r="AB145" i="19"/>
  <c r="AB119" i="19"/>
  <c r="AB110" i="19"/>
  <c r="AB101" i="19"/>
  <c r="AB92" i="19"/>
  <c r="AB83" i="19"/>
  <c r="AB74" i="19"/>
  <c r="AB63" i="19"/>
  <c r="AB54" i="19"/>
  <c r="AB45" i="19"/>
  <c r="AB139" i="19"/>
  <c r="AB59" i="19"/>
  <c r="AB50" i="19"/>
  <c r="AB41" i="19"/>
  <c r="AB32" i="19"/>
  <c r="AB23" i="19"/>
  <c r="AB14" i="19"/>
  <c r="AB5" i="19"/>
  <c r="AB166" i="19"/>
  <c r="AB157" i="19"/>
  <c r="AB148" i="19"/>
  <c r="AB133" i="19"/>
  <c r="AB122" i="19"/>
  <c r="AB113" i="19"/>
  <c r="AB104" i="19"/>
  <c r="AB95" i="19"/>
  <c r="AB86" i="19"/>
  <c r="AB77" i="19"/>
  <c r="AB68" i="19"/>
  <c r="AB180" i="19"/>
  <c r="AB171" i="19"/>
  <c r="AB162" i="19"/>
  <c r="AB153" i="19"/>
  <c r="AB144" i="19"/>
  <c r="AB120" i="19"/>
  <c r="AB111" i="19"/>
  <c r="AB102" i="19"/>
  <c r="AB93" i="19"/>
  <c r="AB84" i="19"/>
  <c r="AB75" i="19"/>
  <c r="AB175" i="19"/>
  <c r="AB150" i="19"/>
  <c r="AB20" i="19"/>
  <c r="AB9" i="19"/>
  <c r="AB159" i="19"/>
  <c r="AB168" i="19"/>
  <c r="AB33" i="19"/>
  <c r="AB151" i="19"/>
  <c r="AB126" i="19"/>
  <c r="AB129" i="19"/>
  <c r="AB44" i="19"/>
  <c r="AB26" i="19"/>
  <c r="AB160" i="19"/>
  <c r="AB53" i="19"/>
  <c r="AB35" i="19"/>
  <c r="AB27" i="19"/>
  <c r="AB17" i="19"/>
  <c r="AB169" i="19"/>
  <c r="AB71" i="19"/>
  <c r="AB57" i="19"/>
  <c r="AB80" i="19"/>
  <c r="AB18" i="19"/>
  <c r="AB8" i="19"/>
  <c r="AB107" i="19"/>
  <c r="AB98" i="19"/>
  <c r="AB89" i="19"/>
  <c r="AB66" i="19"/>
  <c r="AB21" i="19"/>
  <c r="AB3" i="19"/>
  <c r="AB116" i="19"/>
  <c r="AB36" i="19"/>
  <c r="AB29" i="19"/>
  <c r="AB11" i="19"/>
  <c r="AB6" i="19"/>
  <c r="AB24" i="19"/>
  <c r="AB189" i="19"/>
  <c r="AB125" i="19"/>
  <c r="AB90" i="19"/>
  <c r="AB51" i="19"/>
  <c r="AB30" i="19"/>
  <c r="AB141" i="19"/>
  <c r="AB108" i="19"/>
  <c r="AB99" i="19"/>
  <c r="AB39" i="19"/>
  <c r="AB12" i="19"/>
  <c r="AB138" i="19"/>
  <c r="AB81" i="19"/>
  <c r="AB42" i="19"/>
  <c r="AB72" i="19"/>
  <c r="AB62" i="19"/>
  <c r="AB48" i="19"/>
  <c r="AB15" i="19"/>
  <c r="AB117" i="19"/>
  <c r="AB142" i="19"/>
  <c r="AB60" i="19"/>
  <c r="AC193" i="16"/>
  <c r="AC190" i="16"/>
  <c r="AC187" i="16"/>
  <c r="AC184" i="16"/>
  <c r="AC181" i="16"/>
  <c r="AC178" i="16"/>
  <c r="AC191" i="16"/>
  <c r="AC188" i="16"/>
  <c r="AC185" i="16"/>
  <c r="AC182" i="16"/>
  <c r="AC179" i="16"/>
  <c r="AC192" i="16"/>
  <c r="AC189" i="16"/>
  <c r="AC186" i="16"/>
  <c r="AC183" i="16"/>
  <c r="AC180" i="16"/>
  <c r="AC177" i="16"/>
  <c r="AC142" i="16"/>
  <c r="AC66" i="16"/>
  <c r="AC63" i="16"/>
  <c r="AC60" i="16"/>
  <c r="AC57" i="16"/>
  <c r="AC54" i="16"/>
  <c r="AC51" i="16"/>
  <c r="AC48" i="16"/>
  <c r="AC45" i="16"/>
  <c r="AC42" i="16"/>
  <c r="AC39" i="16"/>
  <c r="AC36" i="16"/>
  <c r="AC33" i="16"/>
  <c r="AC30" i="16"/>
  <c r="AC27" i="16"/>
  <c r="AC24" i="16"/>
  <c r="AC21" i="16"/>
  <c r="AC18" i="16"/>
  <c r="AC15" i="16"/>
  <c r="AC12" i="16"/>
  <c r="AC9" i="16"/>
  <c r="AC6" i="16"/>
  <c r="AC3" i="16"/>
  <c r="AC137" i="16"/>
  <c r="AC129" i="16"/>
  <c r="AC126" i="16"/>
  <c r="AC175" i="16"/>
  <c r="AC172" i="16"/>
  <c r="AC169" i="16"/>
  <c r="AC166" i="16"/>
  <c r="AC163" i="16"/>
  <c r="AC160" i="16"/>
  <c r="AC157" i="16"/>
  <c r="AC154" i="16"/>
  <c r="AC151" i="16"/>
  <c r="AC148" i="16"/>
  <c r="AC145" i="16"/>
  <c r="AC143" i="16"/>
  <c r="AC140" i="16"/>
  <c r="AC138" i="16"/>
  <c r="AC133" i="16"/>
  <c r="AC130" i="16"/>
  <c r="AD1" i="16"/>
  <c r="AC141" i="16"/>
  <c r="AC136" i="16"/>
  <c r="AC68" i="16"/>
  <c r="AC65" i="16"/>
  <c r="AC62" i="16"/>
  <c r="AC59" i="16"/>
  <c r="AC56" i="16"/>
  <c r="AC53" i="16"/>
  <c r="AC50" i="16"/>
  <c r="AC47" i="16"/>
  <c r="AC44" i="16"/>
  <c r="AC41" i="16"/>
  <c r="AC38" i="16"/>
  <c r="AC35" i="16"/>
  <c r="AC32" i="16"/>
  <c r="AC29" i="16"/>
  <c r="AC26" i="16"/>
  <c r="AC23" i="16"/>
  <c r="AC20" i="16"/>
  <c r="AC17" i="16"/>
  <c r="AC14" i="16"/>
  <c r="AC11" i="16"/>
  <c r="AC8" i="16"/>
  <c r="AC5" i="16"/>
  <c r="AC176" i="16"/>
  <c r="AC170" i="16"/>
  <c r="AC161" i="16"/>
  <c r="AC152" i="16"/>
  <c r="AC121" i="16"/>
  <c r="AC112" i="16"/>
  <c r="AC103" i="16"/>
  <c r="AC94" i="16"/>
  <c r="AC85" i="16"/>
  <c r="AC76" i="16"/>
  <c r="AC168" i="16"/>
  <c r="AC159" i="16"/>
  <c r="AC150" i="16"/>
  <c r="AC128" i="16"/>
  <c r="AC117" i="16"/>
  <c r="AC108" i="16"/>
  <c r="AC99" i="16"/>
  <c r="AC90" i="16"/>
  <c r="AC81" i="16"/>
  <c r="AC72" i="16"/>
  <c r="AC122" i="16"/>
  <c r="AC113" i="16"/>
  <c r="AC104" i="16"/>
  <c r="AC95" i="16"/>
  <c r="AC86" i="16"/>
  <c r="AC77" i="16"/>
  <c r="AC139" i="16"/>
  <c r="AC135" i="16"/>
  <c r="AC146" i="16"/>
  <c r="AC109" i="16"/>
  <c r="AC91" i="16"/>
  <c r="AC73" i="16"/>
  <c r="AC173" i="16"/>
  <c r="AC164" i="16"/>
  <c r="AC155" i="16"/>
  <c r="AC118" i="16"/>
  <c r="AC100" i="16"/>
  <c r="AC82" i="16"/>
  <c r="AC171" i="16"/>
  <c r="AC162" i="16"/>
  <c r="AC153" i="16"/>
  <c r="AC144" i="16"/>
  <c r="AC123" i="16"/>
  <c r="AC114" i="16"/>
  <c r="AC105" i="16"/>
  <c r="AC96" i="16"/>
  <c r="AC87" i="16"/>
  <c r="AC78" i="16"/>
  <c r="AC69" i="16"/>
  <c r="AC67" i="16"/>
  <c r="AC64" i="16"/>
  <c r="AC61" i="16"/>
  <c r="AC58" i="16"/>
  <c r="AC55" i="16"/>
  <c r="AC52" i="16"/>
  <c r="AC49" i="16"/>
  <c r="AC46" i="16"/>
  <c r="AC43" i="16"/>
  <c r="AC40" i="16"/>
  <c r="AC37" i="16"/>
  <c r="AC34" i="16"/>
  <c r="AC31" i="16"/>
  <c r="AC28" i="16"/>
  <c r="AC25" i="16"/>
  <c r="AC22" i="16"/>
  <c r="AC19" i="16"/>
  <c r="AC16" i="16"/>
  <c r="AC13" i="16"/>
  <c r="AC10" i="16"/>
  <c r="AC7" i="16"/>
  <c r="AC4" i="16"/>
  <c r="AC131" i="16"/>
  <c r="AC119" i="16"/>
  <c r="AC110" i="16"/>
  <c r="AC101" i="16"/>
  <c r="AC92" i="16"/>
  <c r="AC83" i="16"/>
  <c r="AC74" i="16"/>
  <c r="AC106" i="16"/>
  <c r="AC79" i="16"/>
  <c r="AC158" i="16"/>
  <c r="AC127" i="16"/>
  <c r="AC115" i="16"/>
  <c r="AC97" i="16"/>
  <c r="AC70" i="16"/>
  <c r="AC167" i="16"/>
  <c r="AC149" i="16"/>
  <c r="AC124" i="16"/>
  <c r="AC88" i="16"/>
  <c r="AC132" i="16"/>
  <c r="AC174" i="16"/>
  <c r="AC165" i="16"/>
  <c r="AC156" i="16"/>
  <c r="AC147" i="16"/>
  <c r="AC120" i="16"/>
  <c r="AC111" i="16"/>
  <c r="AC102" i="16"/>
  <c r="AC93" i="16"/>
  <c r="AC84" i="16"/>
  <c r="AC75" i="16"/>
  <c r="AC134" i="16"/>
  <c r="AC125" i="16"/>
  <c r="AC116" i="16"/>
  <c r="AC107" i="16"/>
  <c r="AC98" i="16"/>
  <c r="AC89" i="16"/>
  <c r="AC80" i="16"/>
  <c r="AC71" i="16"/>
  <c r="AE126" i="22"/>
  <c r="AE123" i="22"/>
  <c r="AE131" i="22"/>
  <c r="AE134" i="22"/>
  <c r="AE185" i="22"/>
  <c r="AE182" i="22"/>
  <c r="AE179" i="22"/>
  <c r="AE176" i="22"/>
  <c r="AE173" i="22"/>
  <c r="AE170" i="22"/>
  <c r="AE167" i="22"/>
  <c r="AE164" i="22"/>
  <c r="AE161" i="22"/>
  <c r="AE158" i="22"/>
  <c r="AE155" i="22"/>
  <c r="AE152" i="22"/>
  <c r="AE149" i="22"/>
  <c r="AE146" i="22"/>
  <c r="AE143" i="22"/>
  <c r="AE140" i="22"/>
  <c r="AE137" i="22"/>
  <c r="AE129" i="22"/>
  <c r="AE121" i="22"/>
  <c r="AE118" i="22"/>
  <c r="AE124" i="22"/>
  <c r="AE127" i="22"/>
  <c r="AE135" i="22"/>
  <c r="AE132" i="22"/>
  <c r="AE183" i="22"/>
  <c r="AE180" i="22"/>
  <c r="AE177" i="22"/>
  <c r="AE174" i="22"/>
  <c r="AE171" i="22"/>
  <c r="AE168" i="22"/>
  <c r="AE165" i="22"/>
  <c r="AE162" i="22"/>
  <c r="AE159" i="22"/>
  <c r="AE156" i="22"/>
  <c r="AE153" i="22"/>
  <c r="AE150" i="22"/>
  <c r="AE147" i="22"/>
  <c r="AE144" i="22"/>
  <c r="AE141" i="22"/>
  <c r="AE138" i="22"/>
  <c r="AE119" i="22"/>
  <c r="AE133" i="22"/>
  <c r="AE128" i="22"/>
  <c r="AE116" i="22"/>
  <c r="AE113" i="22"/>
  <c r="AE110" i="22"/>
  <c r="AE107" i="22"/>
  <c r="AE104" i="22"/>
  <c r="AE101" i="22"/>
  <c r="AE98" i="22"/>
  <c r="AE95" i="22"/>
  <c r="AE92" i="22"/>
  <c r="AE89" i="22"/>
  <c r="AE86" i="22"/>
  <c r="AE83" i="22"/>
  <c r="AE80" i="22"/>
  <c r="AE77" i="22"/>
  <c r="AE74" i="22"/>
  <c r="AE71" i="22"/>
  <c r="AE68" i="22"/>
  <c r="AE65" i="22"/>
  <c r="AE62" i="22"/>
  <c r="AE59" i="22"/>
  <c r="AE56" i="22"/>
  <c r="AE53" i="22"/>
  <c r="AE50" i="22"/>
  <c r="AE47" i="22"/>
  <c r="AE44" i="22"/>
  <c r="AE41" i="22"/>
  <c r="AE38" i="22"/>
  <c r="AE35" i="22"/>
  <c r="AE32" i="22"/>
  <c r="AE29" i="22"/>
  <c r="AE26" i="22"/>
  <c r="AE23" i="22"/>
  <c r="AE20" i="22"/>
  <c r="AE17" i="22"/>
  <c r="AE14" i="22"/>
  <c r="AE11" i="22"/>
  <c r="AE181" i="22"/>
  <c r="AE172" i="22"/>
  <c r="AE163" i="22"/>
  <c r="AE154" i="22"/>
  <c r="AE145" i="22"/>
  <c r="AE136" i="22"/>
  <c r="AE120" i="22"/>
  <c r="AE117" i="22"/>
  <c r="AE114" i="22"/>
  <c r="AE111" i="22"/>
  <c r="AE108" i="22"/>
  <c r="AE105" i="22"/>
  <c r="AE102" i="22"/>
  <c r="AE99" i="22"/>
  <c r="AE96" i="22"/>
  <c r="AE93" i="22"/>
  <c r="AE90" i="22"/>
  <c r="AE87" i="22"/>
  <c r="AE84" i="22"/>
  <c r="AE81" i="22"/>
  <c r="AE78" i="22"/>
  <c r="AE75" i="22"/>
  <c r="AE72" i="22"/>
  <c r="AE69" i="22"/>
  <c r="AE66" i="22"/>
  <c r="AE63" i="22"/>
  <c r="AE60" i="22"/>
  <c r="AE57" i="22"/>
  <c r="AE54" i="22"/>
  <c r="AE51" i="22"/>
  <c r="AE48" i="22"/>
  <c r="AE45" i="22"/>
  <c r="AE42" i="22"/>
  <c r="AE39" i="22"/>
  <c r="AE36" i="22"/>
  <c r="AE33" i="22"/>
  <c r="AE30" i="22"/>
  <c r="AE27" i="22"/>
  <c r="AE24" i="22"/>
  <c r="AE21" i="22"/>
  <c r="AE18" i="22"/>
  <c r="AE15" i="22"/>
  <c r="AE12" i="22"/>
  <c r="AE178" i="22"/>
  <c r="AE169" i="22"/>
  <c r="AE160" i="22"/>
  <c r="AE151" i="22"/>
  <c r="AE142" i="22"/>
  <c r="AE130" i="22"/>
  <c r="AE115" i="22"/>
  <c r="AE112" i="22"/>
  <c r="AE109" i="22"/>
  <c r="AE106" i="22"/>
  <c r="AE103" i="22"/>
  <c r="AE100" i="22"/>
  <c r="AE97" i="22"/>
  <c r="AE94" i="22"/>
  <c r="AE91" i="22"/>
  <c r="AE88" i="22"/>
  <c r="AE85" i="22"/>
  <c r="AE82" i="22"/>
  <c r="AE79" i="22"/>
  <c r="AE76" i="22"/>
  <c r="AE73" i="22"/>
  <c r="AE70" i="22"/>
  <c r="AE67" i="22"/>
  <c r="AE64" i="22"/>
  <c r="AE61" i="22"/>
  <c r="AE58" i="22"/>
  <c r="AE55" i="22"/>
  <c r="AE52" i="22"/>
  <c r="AE49" i="22"/>
  <c r="AE46" i="22"/>
  <c r="AE43" i="22"/>
  <c r="AE40" i="22"/>
  <c r="AE37" i="22"/>
  <c r="AE34" i="22"/>
  <c r="AE31" i="22"/>
  <c r="AE28" i="22"/>
  <c r="AE25" i="22"/>
  <c r="AE22" i="22"/>
  <c r="AE19" i="22"/>
  <c r="AE16" i="22"/>
  <c r="AE13" i="22"/>
  <c r="AE184" i="22"/>
  <c r="AE175" i="22"/>
  <c r="AE166" i="22"/>
  <c r="AE157" i="22"/>
  <c r="AE148" i="22"/>
  <c r="AE139" i="22"/>
  <c r="AE125" i="22"/>
  <c r="AE10" i="22"/>
  <c r="AE7" i="22"/>
  <c r="AE4" i="22"/>
  <c r="AF1" i="22"/>
  <c r="AE8" i="22"/>
  <c r="AE5" i="22"/>
  <c r="AE122" i="22"/>
  <c r="AE9" i="22"/>
  <c r="AE6" i="22"/>
  <c r="AE3" i="22"/>
  <c r="AE190" i="17"/>
  <c r="AE187" i="17"/>
  <c r="AE184" i="17"/>
  <c r="AE181" i="17"/>
  <c r="AE178" i="17"/>
  <c r="AE175" i="17"/>
  <c r="AE172" i="17"/>
  <c r="AE169" i="17"/>
  <c r="AE166" i="17"/>
  <c r="AE163" i="17"/>
  <c r="AE160" i="17"/>
  <c r="AE157" i="17"/>
  <c r="AE154" i="17"/>
  <c r="AE151" i="17"/>
  <c r="AE191" i="17"/>
  <c r="AE188" i="17"/>
  <c r="AE185" i="17"/>
  <c r="AE182" i="17"/>
  <c r="AE179" i="17"/>
  <c r="AE176" i="17"/>
  <c r="AE173" i="17"/>
  <c r="AE170" i="17"/>
  <c r="AE167" i="17"/>
  <c r="AE164" i="17"/>
  <c r="AE161" i="17"/>
  <c r="AE158" i="17"/>
  <c r="AE155" i="17"/>
  <c r="AE152" i="17"/>
  <c r="AE149" i="17"/>
  <c r="AE146" i="17"/>
  <c r="AE143" i="17"/>
  <c r="AE127" i="17"/>
  <c r="AE124" i="17"/>
  <c r="AE121" i="17"/>
  <c r="AE118" i="17"/>
  <c r="AE115" i="17"/>
  <c r="AE112" i="17"/>
  <c r="AE109" i="17"/>
  <c r="AE106" i="17"/>
  <c r="AE103" i="17"/>
  <c r="AE100" i="17"/>
  <c r="AE97" i="17"/>
  <c r="AE94" i="17"/>
  <c r="AE186" i="17"/>
  <c r="AE177" i="17"/>
  <c r="AE141" i="17"/>
  <c r="AE147" i="17"/>
  <c r="AE144" i="17"/>
  <c r="AE136" i="17"/>
  <c r="AE128" i="17"/>
  <c r="AE125" i="17"/>
  <c r="AE122" i="17"/>
  <c r="AE119" i="17"/>
  <c r="AE116" i="17"/>
  <c r="AE113" i="17"/>
  <c r="AE110" i="17"/>
  <c r="AE107" i="17"/>
  <c r="AE104" i="17"/>
  <c r="AE101" i="17"/>
  <c r="AE98" i="17"/>
  <c r="AE95" i="17"/>
  <c r="AE92" i="17"/>
  <c r="AE189" i="17"/>
  <c r="AE183" i="17"/>
  <c r="AE137" i="17"/>
  <c r="AE126" i="17"/>
  <c r="AE117" i="17"/>
  <c r="AE108" i="17"/>
  <c r="AE99" i="17"/>
  <c r="AE88" i="17"/>
  <c r="AE85" i="17"/>
  <c r="AE82" i="17"/>
  <c r="AE79" i="17"/>
  <c r="AE76" i="17"/>
  <c r="AE73" i="17"/>
  <c r="AE70" i="17"/>
  <c r="AE148" i="17"/>
  <c r="AE145" i="17"/>
  <c r="AE140" i="17"/>
  <c r="AE130" i="17"/>
  <c r="AE68" i="17"/>
  <c r="AE65" i="17"/>
  <c r="AE62" i="17"/>
  <c r="AE59" i="17"/>
  <c r="AE56" i="17"/>
  <c r="AE53" i="17"/>
  <c r="AE50" i="17"/>
  <c r="AE47" i="17"/>
  <c r="AE44" i="17"/>
  <c r="AE41" i="17"/>
  <c r="AE38" i="17"/>
  <c r="AE35" i="17"/>
  <c r="AE32" i="17"/>
  <c r="AE29" i="17"/>
  <c r="AE26" i="17"/>
  <c r="AE23" i="17"/>
  <c r="AE20" i="17"/>
  <c r="AE17" i="17"/>
  <c r="AE14" i="17"/>
  <c r="AE11" i="17"/>
  <c r="AE8" i="17"/>
  <c r="AE5" i="17"/>
  <c r="AE180" i="17"/>
  <c r="AE120" i="17"/>
  <c r="AE111" i="17"/>
  <c r="AE102" i="17"/>
  <c r="AE89" i="17"/>
  <c r="AE86" i="17"/>
  <c r="AE83" i="17"/>
  <c r="AE80" i="17"/>
  <c r="AE77" i="17"/>
  <c r="AE74" i="17"/>
  <c r="AE71" i="17"/>
  <c r="AE129" i="17"/>
  <c r="AE91" i="17"/>
  <c r="AE93" i="17"/>
  <c r="AE192" i="17"/>
  <c r="AE123" i="17"/>
  <c r="AE114" i="17"/>
  <c r="AE105" i="17"/>
  <c r="AE96" i="17"/>
  <c r="AE87" i="17"/>
  <c r="AE84" i="17"/>
  <c r="AE81" i="17"/>
  <c r="AE78" i="17"/>
  <c r="AE75" i="17"/>
  <c r="AE72" i="17"/>
  <c r="AE69" i="17"/>
  <c r="AE171" i="17"/>
  <c r="AE162" i="17"/>
  <c r="AE153" i="17"/>
  <c r="AE134" i="17"/>
  <c r="AE133" i="17"/>
  <c r="AE132" i="17"/>
  <c r="AE174" i="17"/>
  <c r="AE168" i="17"/>
  <c r="AE165" i="17"/>
  <c r="AE159" i="17"/>
  <c r="AE156" i="17"/>
  <c r="AE150" i="17"/>
  <c r="AE90" i="17"/>
  <c r="AE139" i="17"/>
  <c r="AE15" i="17"/>
  <c r="AE6" i="17"/>
  <c r="AE67" i="17"/>
  <c r="AE64" i="17"/>
  <c r="AE61" i="17"/>
  <c r="AE58" i="17"/>
  <c r="AE55" i="17"/>
  <c r="AE52" i="17"/>
  <c r="AE49" i="17"/>
  <c r="AE46" i="17"/>
  <c r="AE43" i="17"/>
  <c r="AE40" i="17"/>
  <c r="AE37" i="17"/>
  <c r="AE34" i="17"/>
  <c r="AE31" i="17"/>
  <c r="AE28" i="17"/>
  <c r="AE25" i="17"/>
  <c r="AE22" i="17"/>
  <c r="AE16" i="17"/>
  <c r="AE7" i="17"/>
  <c r="AE18" i="17"/>
  <c r="AE9" i="17"/>
  <c r="AE142" i="17"/>
  <c r="AE138" i="17"/>
  <c r="AE19" i="17"/>
  <c r="AE10" i="17"/>
  <c r="AE12" i="17"/>
  <c r="AE66" i="17"/>
  <c r="AE63" i="17"/>
  <c r="AE60" i="17"/>
  <c r="AE57" i="17"/>
  <c r="AE54" i="17"/>
  <c r="AE51" i="17"/>
  <c r="AE48" i="17"/>
  <c r="AE45" i="17"/>
  <c r="AE42" i="17"/>
  <c r="AE39" i="17"/>
  <c r="AE36" i="17"/>
  <c r="AE33" i="17"/>
  <c r="AE30" i="17"/>
  <c r="AE27" i="17"/>
  <c r="AE24" i="17"/>
  <c r="AE21" i="17"/>
  <c r="AE13" i="17"/>
  <c r="AE4" i="17"/>
  <c r="AF1" i="17"/>
  <c r="AE3" i="17"/>
  <c r="AE131" i="17"/>
  <c r="AE135" i="17"/>
  <c r="AB175" i="27"/>
  <c r="AB172" i="27"/>
  <c r="AB169" i="27"/>
  <c r="AB166" i="27"/>
  <c r="AB163" i="27"/>
  <c r="AB160" i="27"/>
  <c r="AB157" i="27"/>
  <c r="AB154" i="27"/>
  <c r="AB151" i="27"/>
  <c r="AB148" i="27"/>
  <c r="AB145" i="27"/>
  <c r="AB176" i="27"/>
  <c r="AB173" i="27"/>
  <c r="AB170" i="27"/>
  <c r="AB167" i="27"/>
  <c r="AB164" i="27"/>
  <c r="AB161" i="27"/>
  <c r="AB158" i="27"/>
  <c r="AB155" i="27"/>
  <c r="AB152" i="27"/>
  <c r="AB149" i="27"/>
  <c r="AB146" i="27"/>
  <c r="AB144" i="27"/>
  <c r="AB141" i="27"/>
  <c r="AB138" i="27"/>
  <c r="AB135" i="27"/>
  <c r="AB132" i="27"/>
  <c r="AB129" i="27"/>
  <c r="AB125" i="27"/>
  <c r="AB116" i="27"/>
  <c r="AB113" i="27"/>
  <c r="AB171" i="27"/>
  <c r="AB162" i="27"/>
  <c r="AB153" i="27"/>
  <c r="AB142" i="27"/>
  <c r="AB139" i="27"/>
  <c r="AB136" i="27"/>
  <c r="AB133" i="27"/>
  <c r="AB130" i="27"/>
  <c r="AB127" i="27"/>
  <c r="AB123" i="27"/>
  <c r="AB114" i="27"/>
  <c r="AB110" i="27"/>
  <c r="AB174" i="27"/>
  <c r="AB165" i="27"/>
  <c r="AB156" i="27"/>
  <c r="AB147" i="27"/>
  <c r="AB107" i="27"/>
  <c r="AB104" i="27"/>
  <c r="AB101" i="27"/>
  <c r="AB98" i="27"/>
  <c r="AB95" i="27"/>
  <c r="AB92" i="27"/>
  <c r="AB89" i="27"/>
  <c r="AB143" i="27"/>
  <c r="AB140" i="27"/>
  <c r="AB137" i="27"/>
  <c r="AB134" i="27"/>
  <c r="AB131" i="27"/>
  <c r="AB128" i="27"/>
  <c r="AB124" i="27"/>
  <c r="AB115" i="27"/>
  <c r="AB111" i="27"/>
  <c r="AB108" i="27"/>
  <c r="AB105" i="27"/>
  <c r="AB102" i="27"/>
  <c r="AB99" i="27"/>
  <c r="AB96" i="27"/>
  <c r="AB93" i="27"/>
  <c r="AB90" i="27"/>
  <c r="AB87" i="27"/>
  <c r="AB168" i="27"/>
  <c r="AB83" i="27"/>
  <c r="AB80" i="27"/>
  <c r="AB77" i="27"/>
  <c r="AB74" i="27"/>
  <c r="AB71" i="27"/>
  <c r="AB68" i="27"/>
  <c r="AB65" i="27"/>
  <c r="AB159" i="27"/>
  <c r="AB86" i="27"/>
  <c r="AB88" i="27"/>
  <c r="AB84" i="27"/>
  <c r="AB81" i="27"/>
  <c r="AB78" i="27"/>
  <c r="AB75" i="27"/>
  <c r="AB72" i="27"/>
  <c r="AB69" i="27"/>
  <c r="AB66" i="27"/>
  <c r="AB63" i="27"/>
  <c r="AB109" i="27"/>
  <c r="AB106" i="27"/>
  <c r="AB103" i="27"/>
  <c r="AB100" i="27"/>
  <c r="AB97" i="27"/>
  <c r="AB94" i="27"/>
  <c r="AB91" i="27"/>
  <c r="AB85" i="27"/>
  <c r="AB82" i="27"/>
  <c r="AB79" i="27"/>
  <c r="AB76" i="27"/>
  <c r="AB73" i="27"/>
  <c r="AB70" i="27"/>
  <c r="AB67" i="27"/>
  <c r="AB64" i="27"/>
  <c r="AB150" i="27"/>
  <c r="AB60" i="27"/>
  <c r="AB57" i="27"/>
  <c r="AB54" i="27"/>
  <c r="AB51" i="27"/>
  <c r="AB48" i="27"/>
  <c r="AB45" i="27"/>
  <c r="AB42" i="27"/>
  <c r="AB39" i="27"/>
  <c r="AB62" i="27"/>
  <c r="AB59" i="27"/>
  <c r="AB56" i="27"/>
  <c r="AB53" i="27"/>
  <c r="AB50" i="27"/>
  <c r="AB47" i="27"/>
  <c r="AB44" i="27"/>
  <c r="AB41" i="27"/>
  <c r="AB38" i="27"/>
  <c r="AB34" i="27"/>
  <c r="AB31" i="27"/>
  <c r="AB28" i="27"/>
  <c r="AB25" i="27"/>
  <c r="AB22" i="27"/>
  <c r="AB19" i="27"/>
  <c r="AB16" i="27"/>
  <c r="AB13" i="27"/>
  <c r="AB10" i="27"/>
  <c r="AB61" i="27"/>
  <c r="AB52" i="27"/>
  <c r="AB43" i="27"/>
  <c r="AB35" i="27"/>
  <c r="AB32" i="27"/>
  <c r="AB29" i="27"/>
  <c r="AB26" i="27"/>
  <c r="AB23" i="27"/>
  <c r="AB20" i="27"/>
  <c r="AB17" i="27"/>
  <c r="AB14" i="27"/>
  <c r="AB11" i="27"/>
  <c r="AB58" i="27"/>
  <c r="AB49" i="27"/>
  <c r="AB40" i="27"/>
  <c r="AB55" i="27"/>
  <c r="AB46" i="27"/>
  <c r="AB37" i="27"/>
  <c r="AB9" i="27"/>
  <c r="AB6" i="27"/>
  <c r="AB3" i="27"/>
  <c r="AB30" i="27"/>
  <c r="AB21" i="27"/>
  <c r="AB12" i="27"/>
  <c r="AB7" i="27"/>
  <c r="AB4" i="27"/>
  <c r="AC1" i="27"/>
  <c r="AB8" i="27"/>
  <c r="AB5" i="27"/>
  <c r="AB27" i="27"/>
  <c r="AB24" i="27"/>
  <c r="AB36" i="27"/>
  <c r="AB33" i="27"/>
  <c r="AB18" i="27"/>
  <c r="AB15" i="27"/>
  <c r="AB183" i="23"/>
  <c r="AB180" i="23"/>
  <c r="AB177" i="23"/>
  <c r="AB174" i="23"/>
  <c r="AB171" i="23"/>
  <c r="AB168" i="23"/>
  <c r="AB165" i="23"/>
  <c r="AB162" i="23"/>
  <c r="AB159" i="23"/>
  <c r="AB156" i="23"/>
  <c r="AB153" i="23"/>
  <c r="AB150" i="23"/>
  <c r="AB147" i="23"/>
  <c r="AB144" i="23"/>
  <c r="AB141" i="23"/>
  <c r="AB138" i="23"/>
  <c r="AB130" i="23"/>
  <c r="AB125" i="23"/>
  <c r="AB122" i="23"/>
  <c r="AB133" i="23"/>
  <c r="AB128" i="23"/>
  <c r="AB184" i="23"/>
  <c r="AB181" i="23"/>
  <c r="AB178" i="23"/>
  <c r="AB175" i="23"/>
  <c r="AB172" i="23"/>
  <c r="AB169" i="23"/>
  <c r="AB166" i="23"/>
  <c r="AB163" i="23"/>
  <c r="AB160" i="23"/>
  <c r="AB157" i="23"/>
  <c r="AB154" i="23"/>
  <c r="AB151" i="23"/>
  <c r="AB148" i="23"/>
  <c r="AB145" i="23"/>
  <c r="AB142" i="23"/>
  <c r="AB139" i="23"/>
  <c r="AB136" i="23"/>
  <c r="AB120" i="23"/>
  <c r="AB131" i="23"/>
  <c r="AB134" i="23"/>
  <c r="AB127" i="23"/>
  <c r="AB116" i="23"/>
  <c r="AB113" i="23"/>
  <c r="AB110" i="23"/>
  <c r="AB107" i="23"/>
  <c r="AB104" i="23"/>
  <c r="AB101" i="23"/>
  <c r="AB98" i="23"/>
  <c r="AB95" i="23"/>
  <c r="AB92" i="23"/>
  <c r="AB89" i="23"/>
  <c r="AB86" i="23"/>
  <c r="AB83" i="23"/>
  <c r="AB126" i="23"/>
  <c r="AB123" i="23"/>
  <c r="AB121" i="23"/>
  <c r="AB117" i="23"/>
  <c r="AB114" i="23"/>
  <c r="AB111" i="23"/>
  <c r="AB108" i="23"/>
  <c r="AB105" i="23"/>
  <c r="AB102" i="23"/>
  <c r="AB99" i="23"/>
  <c r="AB96" i="23"/>
  <c r="AB179" i="23"/>
  <c r="AB152" i="23"/>
  <c r="AB119" i="23"/>
  <c r="AB115" i="23"/>
  <c r="AB106" i="23"/>
  <c r="AB185" i="23"/>
  <c r="AB173" i="23"/>
  <c r="AB158" i="23"/>
  <c r="AB146" i="23"/>
  <c r="AB129" i="23"/>
  <c r="AB124" i="23"/>
  <c r="AB112" i="23"/>
  <c r="AB103" i="23"/>
  <c r="AB176" i="23"/>
  <c r="AB164" i="23"/>
  <c r="AB149" i="23"/>
  <c r="AB137" i="23"/>
  <c r="AB170" i="23"/>
  <c r="AB85" i="23"/>
  <c r="AB135" i="23"/>
  <c r="AB132" i="23"/>
  <c r="AB80" i="23"/>
  <c r="AB77" i="23"/>
  <c r="AB74" i="23"/>
  <c r="AB71" i="23"/>
  <c r="AB68" i="23"/>
  <c r="AB65" i="23"/>
  <c r="AB62" i="23"/>
  <c r="AB59" i="23"/>
  <c r="AB56" i="23"/>
  <c r="AB53" i="23"/>
  <c r="AB50" i="23"/>
  <c r="AB84" i="23"/>
  <c r="AB143" i="23"/>
  <c r="AB88" i="23"/>
  <c r="AB182" i="23"/>
  <c r="AB155" i="23"/>
  <c r="AB140" i="23"/>
  <c r="AB118" i="23"/>
  <c r="AB87" i="23"/>
  <c r="AB161" i="23"/>
  <c r="AB109" i="23"/>
  <c r="AB94" i="23"/>
  <c r="AB97" i="23"/>
  <c r="AB93" i="23"/>
  <c r="AB100" i="23"/>
  <c r="AB91" i="23"/>
  <c r="AB82" i="23"/>
  <c r="AB79" i="23"/>
  <c r="AB76" i="23"/>
  <c r="AB73" i="23"/>
  <c r="AB70" i="23"/>
  <c r="AB67" i="23"/>
  <c r="AB64" i="23"/>
  <c r="AB61" i="23"/>
  <c r="AB58" i="23"/>
  <c r="AB55" i="23"/>
  <c r="AB52" i="23"/>
  <c r="AB49" i="23"/>
  <c r="AB57" i="23"/>
  <c r="AB51" i="23"/>
  <c r="AB81" i="23"/>
  <c r="AB72" i="23"/>
  <c r="AB45" i="23"/>
  <c r="AB42" i="23"/>
  <c r="AB39" i="23"/>
  <c r="AB36" i="23"/>
  <c r="AB33" i="23"/>
  <c r="AB30" i="23"/>
  <c r="AB27" i="23"/>
  <c r="AB24" i="23"/>
  <c r="AB21" i="23"/>
  <c r="AB18" i="23"/>
  <c r="AB15" i="23"/>
  <c r="AB12" i="23"/>
  <c r="AB9" i="23"/>
  <c r="AB6" i="23"/>
  <c r="AB3" i="23"/>
  <c r="AB60" i="23"/>
  <c r="AB48" i="23"/>
  <c r="AB78" i="23"/>
  <c r="AB69" i="23"/>
  <c r="AB46" i="23"/>
  <c r="AB43" i="23"/>
  <c r="AB40" i="23"/>
  <c r="AB37" i="23"/>
  <c r="AB34" i="23"/>
  <c r="AB31" i="23"/>
  <c r="AB28" i="23"/>
  <c r="AB25" i="23"/>
  <c r="AB22" i="23"/>
  <c r="AB19" i="23"/>
  <c r="AB16" i="23"/>
  <c r="AB13" i="23"/>
  <c r="AB10" i="23"/>
  <c r="AB7" i="23"/>
  <c r="AB4" i="23"/>
  <c r="AB167" i="23"/>
  <c r="AB90" i="23"/>
  <c r="AB63" i="23"/>
  <c r="AB54" i="23"/>
  <c r="AC1" i="23"/>
  <c r="AB75" i="23"/>
  <c r="AB66" i="23"/>
  <c r="AB44" i="23"/>
  <c r="AB35" i="23"/>
  <c r="AB41" i="23"/>
  <c r="AB32" i="23"/>
  <c r="AB47" i="23"/>
  <c r="AB38" i="23"/>
  <c r="AB29" i="23"/>
  <c r="AB23" i="23"/>
  <c r="AB8" i="23"/>
  <c r="AB14" i="23"/>
  <c r="AB20" i="23"/>
  <c r="AB26" i="23"/>
  <c r="AB5" i="23"/>
  <c r="AB11" i="23"/>
  <c r="AB17" i="23"/>
  <c r="AB192" i="18"/>
  <c r="AB189" i="18"/>
  <c r="AB186" i="18"/>
  <c r="AB183" i="18"/>
  <c r="AB180" i="18"/>
  <c r="AB177" i="18"/>
  <c r="AB174" i="18"/>
  <c r="AB171" i="18"/>
  <c r="AB168" i="18"/>
  <c r="AB165" i="18"/>
  <c r="AB162" i="18"/>
  <c r="AB159" i="18"/>
  <c r="AB156" i="18"/>
  <c r="AB153" i="18"/>
  <c r="AB150" i="18"/>
  <c r="AB140" i="18"/>
  <c r="AB184" i="18"/>
  <c r="AB175" i="18"/>
  <c r="AB166" i="18"/>
  <c r="AB157" i="18"/>
  <c r="AB145" i="18"/>
  <c r="AB135" i="18"/>
  <c r="AB191" i="18"/>
  <c r="AB182" i="18"/>
  <c r="AB173" i="18"/>
  <c r="AB185" i="18"/>
  <c r="AB176" i="18"/>
  <c r="AB167" i="18"/>
  <c r="AB190" i="18"/>
  <c r="AB181" i="18"/>
  <c r="AB172" i="18"/>
  <c r="AB178" i="18"/>
  <c r="AB161" i="18"/>
  <c r="AB141" i="18"/>
  <c r="AB139" i="18"/>
  <c r="AB138" i="18"/>
  <c r="AB137" i="18"/>
  <c r="AB136" i="18"/>
  <c r="AB67" i="18"/>
  <c r="AB64" i="18"/>
  <c r="AB61" i="18"/>
  <c r="AB58" i="18"/>
  <c r="AB55" i="18"/>
  <c r="AB52" i="18"/>
  <c r="AB49" i="18"/>
  <c r="AB46" i="18"/>
  <c r="AB43" i="18"/>
  <c r="AB40" i="18"/>
  <c r="AB37" i="18"/>
  <c r="AB34" i="18"/>
  <c r="AB31" i="18"/>
  <c r="AB28" i="18"/>
  <c r="AB25" i="18"/>
  <c r="AB22" i="18"/>
  <c r="AB19" i="18"/>
  <c r="AB16" i="18"/>
  <c r="AB13" i="18"/>
  <c r="AB10" i="18"/>
  <c r="AB7" i="18"/>
  <c r="AB4" i="18"/>
  <c r="AB160" i="18"/>
  <c r="AB68" i="18"/>
  <c r="AB65" i="18"/>
  <c r="AB62" i="18"/>
  <c r="AB59" i="18"/>
  <c r="AB56" i="18"/>
  <c r="AB53" i="18"/>
  <c r="AB50" i="18"/>
  <c r="AB47" i="18"/>
  <c r="AB44" i="18"/>
  <c r="AB41" i="18"/>
  <c r="AB38" i="18"/>
  <c r="AB35" i="18"/>
  <c r="AB32" i="18"/>
  <c r="AB29" i="18"/>
  <c r="AB26" i="18"/>
  <c r="AB23" i="18"/>
  <c r="AB20" i="18"/>
  <c r="AB17" i="18"/>
  <c r="AB14" i="18"/>
  <c r="AB11" i="18"/>
  <c r="AB8" i="18"/>
  <c r="AB5" i="18"/>
  <c r="AB146" i="18"/>
  <c r="AB60" i="18"/>
  <c r="AB51" i="18"/>
  <c r="AB42" i="18"/>
  <c r="AB33" i="18"/>
  <c r="AB24" i="18"/>
  <c r="AB15" i="18"/>
  <c r="AB6" i="18"/>
  <c r="AB158" i="18"/>
  <c r="AB144" i="18"/>
  <c r="AB142" i="18"/>
  <c r="AB123" i="18"/>
  <c r="AB114" i="18"/>
  <c r="AB105" i="18"/>
  <c r="AB96" i="18"/>
  <c r="AB87" i="18"/>
  <c r="AB78" i="18"/>
  <c r="AB69" i="18"/>
  <c r="AB132" i="18"/>
  <c r="AB127" i="18"/>
  <c r="AB118" i="18"/>
  <c r="AB109" i="18"/>
  <c r="AB100" i="18"/>
  <c r="AB91" i="18"/>
  <c r="AB82" i="18"/>
  <c r="AB73" i="18"/>
  <c r="AB155" i="18"/>
  <c r="AB122" i="18"/>
  <c r="AB113" i="18"/>
  <c r="AB104" i="18"/>
  <c r="AB95" i="18"/>
  <c r="AB86" i="18"/>
  <c r="AB77" i="18"/>
  <c r="AB179" i="18"/>
  <c r="AB154" i="18"/>
  <c r="AB131" i="18"/>
  <c r="AB63" i="18"/>
  <c r="AB54" i="18"/>
  <c r="AB45" i="18"/>
  <c r="AB36" i="18"/>
  <c r="AB27" i="18"/>
  <c r="AB18" i="18"/>
  <c r="AB9" i="18"/>
  <c r="AB126" i="18"/>
  <c r="AB117" i="18"/>
  <c r="AB108" i="18"/>
  <c r="AB187" i="18"/>
  <c r="AB152" i="18"/>
  <c r="AB151" i="18"/>
  <c r="AB147" i="18"/>
  <c r="AB121" i="18"/>
  <c r="AB112" i="18"/>
  <c r="AB103" i="18"/>
  <c r="AB94" i="18"/>
  <c r="AB85" i="18"/>
  <c r="AB164" i="18"/>
  <c r="AB57" i="18"/>
  <c r="AB30" i="18"/>
  <c r="AB148" i="18"/>
  <c r="AB143" i="18"/>
  <c r="AB130" i="18"/>
  <c r="AB128" i="18"/>
  <c r="AB115" i="18"/>
  <c r="AB102" i="18"/>
  <c r="AB101" i="18"/>
  <c r="AB99" i="18"/>
  <c r="AB90" i="18"/>
  <c r="AB81" i="18"/>
  <c r="AB21" i="18"/>
  <c r="AB129" i="18"/>
  <c r="AB98" i="18"/>
  <c r="AB89" i="18"/>
  <c r="AB80" i="18"/>
  <c r="AB70" i="18"/>
  <c r="AC1" i="18"/>
  <c r="AB170" i="18"/>
  <c r="AB163" i="18"/>
  <c r="AB76" i="18"/>
  <c r="AB66" i="18"/>
  <c r="AB39" i="18"/>
  <c r="AB169" i="18"/>
  <c r="AB107" i="18"/>
  <c r="AB149" i="18"/>
  <c r="AB120" i="18"/>
  <c r="AB119" i="18"/>
  <c r="AB106" i="18"/>
  <c r="AB97" i="18"/>
  <c r="AB88" i="18"/>
  <c r="AB72" i="18"/>
  <c r="AB12" i="18"/>
  <c r="AB134" i="18"/>
  <c r="AB133" i="18"/>
  <c r="AB188" i="18"/>
  <c r="AB48" i="18"/>
  <c r="AB125" i="18"/>
  <c r="AB75" i="18"/>
  <c r="AB124" i="18"/>
  <c r="AB111" i="18"/>
  <c r="AB110" i="18"/>
  <c r="AB71" i="18"/>
  <c r="AB3" i="18"/>
  <c r="AB83" i="18"/>
  <c r="AB79" i="18"/>
  <c r="AB93" i="18"/>
  <c r="AB116" i="18"/>
  <c r="AB92" i="18"/>
  <c r="AB84" i="18"/>
  <c r="AB74" i="18"/>
  <c r="AB176" i="26"/>
  <c r="AB173" i="26"/>
  <c r="AB170" i="26"/>
  <c r="AB167" i="26"/>
  <c r="AB164" i="26"/>
  <c r="AB161" i="26"/>
  <c r="AB174" i="26"/>
  <c r="AB165" i="26"/>
  <c r="AB155" i="26"/>
  <c r="AB152" i="26"/>
  <c r="AB149" i="26"/>
  <c r="AB146" i="26"/>
  <c r="AB143" i="26"/>
  <c r="AB140" i="26"/>
  <c r="AB137" i="26"/>
  <c r="AB134" i="26"/>
  <c r="AB169" i="26"/>
  <c r="AB160" i="26"/>
  <c r="AB171" i="26"/>
  <c r="AB162" i="26"/>
  <c r="AB175" i="26"/>
  <c r="AB166" i="26"/>
  <c r="AB158" i="26"/>
  <c r="AB168" i="26"/>
  <c r="AB159" i="26"/>
  <c r="AB153" i="26"/>
  <c r="AB144" i="26"/>
  <c r="AB135" i="26"/>
  <c r="AB125" i="26"/>
  <c r="AB116" i="26"/>
  <c r="AB113" i="26"/>
  <c r="AB109" i="26"/>
  <c r="AB106" i="26"/>
  <c r="AB103" i="26"/>
  <c r="AB100" i="26"/>
  <c r="AB97" i="26"/>
  <c r="AB94" i="26"/>
  <c r="AB91" i="26"/>
  <c r="AB88" i="26"/>
  <c r="AB85" i="26"/>
  <c r="AB82" i="26"/>
  <c r="AB79" i="26"/>
  <c r="AB76" i="26"/>
  <c r="AB73" i="26"/>
  <c r="AB70" i="26"/>
  <c r="AB154" i="26"/>
  <c r="AB145" i="26"/>
  <c r="AB136" i="26"/>
  <c r="AB131" i="26"/>
  <c r="AB130" i="26"/>
  <c r="AB156" i="26"/>
  <c r="AB147" i="26"/>
  <c r="AB138" i="26"/>
  <c r="AB129" i="26"/>
  <c r="AB127" i="26"/>
  <c r="AB123" i="26"/>
  <c r="AB114" i="26"/>
  <c r="AB110" i="26"/>
  <c r="AB107" i="26"/>
  <c r="AB104" i="26"/>
  <c r="AB101" i="26"/>
  <c r="AB98" i="26"/>
  <c r="AB95" i="26"/>
  <c r="AB92" i="26"/>
  <c r="AB89" i="26"/>
  <c r="AB86" i="26"/>
  <c r="AB83" i="26"/>
  <c r="AB80" i="26"/>
  <c r="AB77" i="26"/>
  <c r="AB74" i="26"/>
  <c r="AB71" i="26"/>
  <c r="AB157" i="26"/>
  <c r="AB148" i="26"/>
  <c r="AB139" i="26"/>
  <c r="AB172" i="26"/>
  <c r="AB150" i="26"/>
  <c r="AB141" i="26"/>
  <c r="AB151" i="26"/>
  <c r="AB142" i="26"/>
  <c r="AB133" i="26"/>
  <c r="AB128" i="26"/>
  <c r="AB115" i="26"/>
  <c r="AB111" i="26"/>
  <c r="AB108" i="26"/>
  <c r="AB105" i="26"/>
  <c r="AB102" i="26"/>
  <c r="AB99" i="26"/>
  <c r="AB96" i="26"/>
  <c r="AB93" i="26"/>
  <c r="AB90" i="26"/>
  <c r="AB87" i="26"/>
  <c r="AB84" i="26"/>
  <c r="AB81" i="26"/>
  <c r="AB78" i="26"/>
  <c r="AB75" i="26"/>
  <c r="AB72" i="26"/>
  <c r="AB69" i="26"/>
  <c r="AB66" i="26"/>
  <c r="AB63" i="26"/>
  <c r="AB60" i="26"/>
  <c r="AB57" i="26"/>
  <c r="AB54" i="26"/>
  <c r="AB51" i="26"/>
  <c r="AB124" i="26"/>
  <c r="AB163" i="26"/>
  <c r="AB68" i="26"/>
  <c r="AB65" i="26"/>
  <c r="AB62" i="26"/>
  <c r="AB59" i="26"/>
  <c r="AB56" i="26"/>
  <c r="AB53" i="26"/>
  <c r="AB61" i="26"/>
  <c r="AB50" i="26"/>
  <c r="AB47" i="26"/>
  <c r="AB44" i="26"/>
  <c r="AB41" i="26"/>
  <c r="AB38" i="26"/>
  <c r="AB35" i="26"/>
  <c r="AB32" i="26"/>
  <c r="AB29" i="26"/>
  <c r="AB26" i="26"/>
  <c r="AB23" i="26"/>
  <c r="AB20" i="26"/>
  <c r="AB17" i="26"/>
  <c r="AB14" i="26"/>
  <c r="AB11" i="26"/>
  <c r="AB8" i="26"/>
  <c r="AB5" i="26"/>
  <c r="AB64" i="26"/>
  <c r="AB55" i="26"/>
  <c r="AB52" i="26"/>
  <c r="AB48" i="26"/>
  <c r="AB45" i="26"/>
  <c r="AB42" i="26"/>
  <c r="AB39" i="26"/>
  <c r="AB36" i="26"/>
  <c r="AB33" i="26"/>
  <c r="AB30" i="26"/>
  <c r="AB27" i="26"/>
  <c r="AB24" i="26"/>
  <c r="AB21" i="26"/>
  <c r="AB18" i="26"/>
  <c r="AB15" i="26"/>
  <c r="AB12" i="26"/>
  <c r="AB9" i="26"/>
  <c r="AB6" i="26"/>
  <c r="AB3" i="26"/>
  <c r="AB132" i="26"/>
  <c r="AC1" i="26"/>
  <c r="AB58" i="26"/>
  <c r="AB49" i="26"/>
  <c r="AB67" i="26"/>
  <c r="AB28" i="26"/>
  <c r="AB25" i="26"/>
  <c r="AB43" i="26"/>
  <c r="AB40" i="26"/>
  <c r="AB31" i="26"/>
  <c r="AB7" i="26"/>
  <c r="AB22" i="26"/>
  <c r="AB16" i="26"/>
  <c r="AB37" i="26"/>
  <c r="AB46" i="26"/>
  <c r="AB10" i="26"/>
  <c r="AB34" i="26"/>
  <c r="AB19" i="26"/>
  <c r="AB4" i="26"/>
  <c r="AB13" i="26"/>
  <c r="AC178" i="25"/>
  <c r="AC179" i="25"/>
  <c r="AC177" i="25"/>
  <c r="AC175" i="25"/>
  <c r="AC172" i="25"/>
  <c r="AC169" i="25"/>
  <c r="AC166" i="25"/>
  <c r="AC163" i="25"/>
  <c r="AC160" i="25"/>
  <c r="AC157" i="25"/>
  <c r="AC154" i="25"/>
  <c r="AC151" i="25"/>
  <c r="AC148" i="25"/>
  <c r="AC145" i="25"/>
  <c r="AC142" i="25"/>
  <c r="AC139" i="25"/>
  <c r="AC136" i="25"/>
  <c r="AC176" i="25"/>
  <c r="AC173" i="25"/>
  <c r="AC170" i="25"/>
  <c r="AC167" i="25"/>
  <c r="AC164" i="25"/>
  <c r="AC161" i="25"/>
  <c r="AC158" i="25"/>
  <c r="AC155" i="25"/>
  <c r="AC152" i="25"/>
  <c r="AC149" i="25"/>
  <c r="AC146" i="25"/>
  <c r="AC143" i="25"/>
  <c r="AC140" i="25"/>
  <c r="AC137" i="25"/>
  <c r="AC128" i="25"/>
  <c r="AC134" i="25"/>
  <c r="AC118" i="25"/>
  <c r="AC127" i="25"/>
  <c r="AC122" i="25"/>
  <c r="AC135" i="25"/>
  <c r="AC121" i="25"/>
  <c r="AC120" i="25"/>
  <c r="AC119" i="25"/>
  <c r="AC117" i="25"/>
  <c r="AC116" i="25"/>
  <c r="AC101" i="25"/>
  <c r="AC150" i="25"/>
  <c r="AC131" i="25"/>
  <c r="AC93" i="25"/>
  <c r="AC90" i="25"/>
  <c r="AC87" i="25"/>
  <c r="AC84" i="25"/>
  <c r="AC81" i="25"/>
  <c r="AC78" i="25"/>
  <c r="AC75" i="25"/>
  <c r="AC153" i="25"/>
  <c r="AC147" i="25"/>
  <c r="AC123" i="25"/>
  <c r="AC162" i="25"/>
  <c r="AC144" i="25"/>
  <c r="AC132" i="25"/>
  <c r="AC168" i="25"/>
  <c r="AC165" i="25"/>
  <c r="AC124" i="25"/>
  <c r="AC94" i="25"/>
  <c r="AC91" i="25"/>
  <c r="AC88" i="25"/>
  <c r="AC85" i="25"/>
  <c r="AC82" i="25"/>
  <c r="AC79" i="25"/>
  <c r="AC76" i="25"/>
  <c r="AC171" i="25"/>
  <c r="AC141" i="25"/>
  <c r="AC174" i="25"/>
  <c r="AC133" i="25"/>
  <c r="AC129" i="25"/>
  <c r="AC110" i="25"/>
  <c r="AC159" i="25"/>
  <c r="AC106" i="25"/>
  <c r="AC103" i="25"/>
  <c r="AC71" i="25"/>
  <c r="AC69" i="25"/>
  <c r="AC66" i="25"/>
  <c r="AC63" i="25"/>
  <c r="AC60" i="25"/>
  <c r="AC57" i="25"/>
  <c r="AC54" i="25"/>
  <c r="AC51" i="25"/>
  <c r="AC48" i="25"/>
  <c r="AC45" i="25"/>
  <c r="AC42" i="25"/>
  <c r="AC109" i="25"/>
  <c r="AC98" i="25"/>
  <c r="AC96" i="25"/>
  <c r="AC138" i="25"/>
  <c r="AC100" i="25"/>
  <c r="AC92" i="25"/>
  <c r="AC83" i="25"/>
  <c r="AC130" i="25"/>
  <c r="AC115" i="25"/>
  <c r="AC114" i="25"/>
  <c r="AC108" i="25"/>
  <c r="AC105" i="25"/>
  <c r="AC102" i="25"/>
  <c r="AC113" i="25"/>
  <c r="AC126" i="25"/>
  <c r="AC111" i="25"/>
  <c r="AC72" i="25"/>
  <c r="AC97" i="25"/>
  <c r="AC86" i="25"/>
  <c r="AC156" i="25"/>
  <c r="AC95" i="25"/>
  <c r="AC68" i="25"/>
  <c r="AC65" i="25"/>
  <c r="AC62" i="25"/>
  <c r="AC59" i="25"/>
  <c r="AC56" i="25"/>
  <c r="AC53" i="25"/>
  <c r="AC50" i="25"/>
  <c r="AC47" i="25"/>
  <c r="AC41" i="25"/>
  <c r="AC38" i="25"/>
  <c r="AC35" i="25"/>
  <c r="AC32" i="25"/>
  <c r="AC29" i="25"/>
  <c r="AC26" i="25"/>
  <c r="AC23" i="25"/>
  <c r="AC20" i="25"/>
  <c r="AC17" i="25"/>
  <c r="AC14" i="25"/>
  <c r="AC11" i="25"/>
  <c r="AC8" i="25"/>
  <c r="AC112" i="25"/>
  <c r="AC107" i="25"/>
  <c r="AC80" i="25"/>
  <c r="AC70" i="25"/>
  <c r="AC67" i="25"/>
  <c r="AC64" i="25"/>
  <c r="AC61" i="25"/>
  <c r="AC58" i="25"/>
  <c r="AC55" i="25"/>
  <c r="AC52" i="25"/>
  <c r="AC49" i="25"/>
  <c r="AC46" i="25"/>
  <c r="AC39" i="25"/>
  <c r="AC36" i="25"/>
  <c r="AC33" i="25"/>
  <c r="AC30" i="25"/>
  <c r="AC27" i="25"/>
  <c r="AC24" i="25"/>
  <c r="AC21" i="25"/>
  <c r="AC18" i="25"/>
  <c r="AC15" i="25"/>
  <c r="AC12" i="25"/>
  <c r="AC9" i="25"/>
  <c r="AC125" i="25"/>
  <c r="AC74" i="25"/>
  <c r="AC44" i="25"/>
  <c r="AC6" i="25"/>
  <c r="AC3" i="25"/>
  <c r="AC99" i="25"/>
  <c r="AC7" i="25"/>
  <c r="AC4" i="25"/>
  <c r="AC104" i="25"/>
  <c r="AC89" i="25"/>
  <c r="AC77" i="25"/>
  <c r="AC5" i="25"/>
  <c r="AC40" i="25"/>
  <c r="AC34" i="25"/>
  <c r="AC28" i="25"/>
  <c r="AC22" i="25"/>
  <c r="AC16" i="25"/>
  <c r="AC10" i="25"/>
  <c r="AD1" i="25"/>
  <c r="AC73" i="25"/>
  <c r="AC37" i="25"/>
  <c r="AC31" i="25"/>
  <c r="AC25" i="25"/>
  <c r="AC19" i="25"/>
  <c r="AC13" i="25"/>
  <c r="AC43" i="25"/>
  <c r="AD189" i="20"/>
  <c r="AD186" i="20"/>
  <c r="AD183" i="20"/>
  <c r="AD180" i="20"/>
  <c r="AD177" i="20"/>
  <c r="AD174" i="20"/>
  <c r="AD171" i="20"/>
  <c r="AD168" i="20"/>
  <c r="AD165" i="20"/>
  <c r="AD162" i="20"/>
  <c r="AD159" i="20"/>
  <c r="AD156" i="20"/>
  <c r="AD153" i="20"/>
  <c r="AD150" i="20"/>
  <c r="AD147" i="20"/>
  <c r="AD132" i="20"/>
  <c r="AD181" i="20"/>
  <c r="AD167" i="20"/>
  <c r="AD146" i="20"/>
  <c r="AD139" i="20"/>
  <c r="AD133" i="20"/>
  <c r="AD128" i="20"/>
  <c r="AD169" i="20"/>
  <c r="AD123" i="20"/>
  <c r="AD114" i="20"/>
  <c r="AD105" i="20"/>
  <c r="AD96" i="20"/>
  <c r="AD87" i="20"/>
  <c r="AD78" i="20"/>
  <c r="AD69" i="20"/>
  <c r="AD170" i="20"/>
  <c r="AD148" i="20"/>
  <c r="AD127" i="20"/>
  <c r="AD122" i="20"/>
  <c r="AD113" i="20"/>
  <c r="AD104" i="20"/>
  <c r="AD95" i="20"/>
  <c r="AD86" i="20"/>
  <c r="AD77" i="20"/>
  <c r="AD68" i="20"/>
  <c r="AD187" i="20"/>
  <c r="AD160" i="20"/>
  <c r="AD149" i="20"/>
  <c r="AD142" i="20"/>
  <c r="AD137" i="20"/>
  <c r="AD126" i="20"/>
  <c r="AD117" i="20"/>
  <c r="AD108" i="20"/>
  <c r="AD99" i="20"/>
  <c r="AD90" i="20"/>
  <c r="AD81" i="20"/>
  <c r="AD72" i="20"/>
  <c r="AD175" i="20"/>
  <c r="AD173" i="20"/>
  <c r="AD190" i="20"/>
  <c r="AD176" i="20"/>
  <c r="AD163" i="20"/>
  <c r="AD151" i="20"/>
  <c r="AD166" i="20"/>
  <c r="AD164" i="20"/>
  <c r="AD145" i="20"/>
  <c r="AD129" i="20"/>
  <c r="AD124" i="20"/>
  <c r="AD115" i="20"/>
  <c r="AD106" i="20"/>
  <c r="AD143" i="20"/>
  <c r="AD98" i="20"/>
  <c r="AD80" i="20"/>
  <c r="AD71" i="20"/>
  <c r="AD67" i="20"/>
  <c r="AD65" i="20"/>
  <c r="AD64" i="20"/>
  <c r="AD62" i="20"/>
  <c r="AD61" i="20"/>
  <c r="AD59" i="20"/>
  <c r="AD50" i="20"/>
  <c r="AD41" i="20"/>
  <c r="AE1" i="20"/>
  <c r="AD178" i="20"/>
  <c r="AD158" i="20"/>
  <c r="AD154" i="20"/>
  <c r="AD131" i="20"/>
  <c r="AD101" i="20"/>
  <c r="AD121" i="20"/>
  <c r="AD111" i="20"/>
  <c r="AD35" i="20"/>
  <c r="AD32" i="20"/>
  <c r="AD29" i="20"/>
  <c r="AD26" i="20"/>
  <c r="AD23" i="20"/>
  <c r="AD20" i="20"/>
  <c r="AD17" i="20"/>
  <c r="AD14" i="20"/>
  <c r="AD11" i="20"/>
  <c r="AD8" i="20"/>
  <c r="AD5" i="20"/>
  <c r="AD188" i="20"/>
  <c r="AD141" i="20"/>
  <c r="AD130" i="20"/>
  <c r="AD58" i="20"/>
  <c r="AD49" i="20"/>
  <c r="AD40" i="20"/>
  <c r="AD140" i="20"/>
  <c r="AD120" i="20"/>
  <c r="AD107" i="20"/>
  <c r="AD89" i="20"/>
  <c r="AD53" i="20"/>
  <c r="AD44" i="20"/>
  <c r="AD185" i="20"/>
  <c r="AD172" i="20"/>
  <c r="AD152" i="20"/>
  <c r="AD119" i="20"/>
  <c r="AD110" i="20"/>
  <c r="AD100" i="20"/>
  <c r="AD93" i="20"/>
  <c r="AD91" i="20"/>
  <c r="AD84" i="20"/>
  <c r="AD75" i="20"/>
  <c r="AD57" i="20"/>
  <c r="AD48" i="20"/>
  <c r="AD39" i="20"/>
  <c r="AD157" i="20"/>
  <c r="AD138" i="20"/>
  <c r="AD118" i="20"/>
  <c r="AD103" i="20"/>
  <c r="AD97" i="20"/>
  <c r="AD36" i="20"/>
  <c r="AD33" i="20"/>
  <c r="AD30" i="20"/>
  <c r="AD27" i="20"/>
  <c r="AD24" i="20"/>
  <c r="AD21" i="20"/>
  <c r="AD18" i="20"/>
  <c r="AD15" i="20"/>
  <c r="AD12" i="20"/>
  <c r="AD9" i="20"/>
  <c r="AD6" i="20"/>
  <c r="AD3" i="20"/>
  <c r="AD182" i="20"/>
  <c r="AD155" i="20"/>
  <c r="AD52" i="20"/>
  <c r="AD43" i="20"/>
  <c r="AD85" i="20"/>
  <c r="AD76" i="20"/>
  <c r="AD56" i="20"/>
  <c r="AD47" i="20"/>
  <c r="AD38" i="20"/>
  <c r="AD184" i="20"/>
  <c r="AD179" i="20"/>
  <c r="AD161" i="20"/>
  <c r="AD136" i="20"/>
  <c r="AD125" i="20"/>
  <c r="AD116" i="20"/>
  <c r="AD109" i="20"/>
  <c r="AD82" i="20"/>
  <c r="AD79" i="20"/>
  <c r="AD73" i="20"/>
  <c r="AD70" i="20"/>
  <c r="AD51" i="20"/>
  <c r="AD42" i="20"/>
  <c r="AD135" i="20"/>
  <c r="AD112" i="20"/>
  <c r="AD102" i="20"/>
  <c r="AD88" i="20"/>
  <c r="AD34" i="20"/>
  <c r="AD31" i="20"/>
  <c r="AD28" i="20"/>
  <c r="AD25" i="20"/>
  <c r="AD22" i="20"/>
  <c r="AD19" i="20"/>
  <c r="AD16" i="20"/>
  <c r="AD13" i="20"/>
  <c r="AD10" i="20"/>
  <c r="AD7" i="20"/>
  <c r="AD4" i="20"/>
  <c r="AD37" i="20"/>
  <c r="AD134" i="20"/>
  <c r="AD45" i="20"/>
  <c r="AD144" i="20"/>
  <c r="AD94" i="20"/>
  <c r="AD74" i="20"/>
  <c r="AD92" i="20"/>
  <c r="AD66" i="20"/>
  <c r="AD63" i="20"/>
  <c r="AD60" i="20"/>
  <c r="AD83" i="20"/>
  <c r="AD55" i="20"/>
  <c r="AD54" i="20"/>
  <c r="AD46" i="20"/>
  <c r="AC180" i="24"/>
  <c r="AC177" i="24"/>
  <c r="AC174" i="24"/>
  <c r="AC171" i="24"/>
  <c r="AC168" i="24"/>
  <c r="AC165" i="24"/>
  <c r="AC162" i="24"/>
  <c r="AC159" i="24"/>
  <c r="AC156" i="24"/>
  <c r="AC153" i="24"/>
  <c r="AC150" i="24"/>
  <c r="AC147" i="24"/>
  <c r="AC144" i="24"/>
  <c r="AC141" i="24"/>
  <c r="AC181" i="24"/>
  <c r="AC178" i="24"/>
  <c r="AC175" i="24"/>
  <c r="AC172" i="24"/>
  <c r="AC169" i="24"/>
  <c r="AC166" i="24"/>
  <c r="AC163" i="24"/>
  <c r="AC160" i="24"/>
  <c r="AC157" i="24"/>
  <c r="AC154" i="24"/>
  <c r="AC151" i="24"/>
  <c r="AC148" i="24"/>
  <c r="AC145" i="24"/>
  <c r="AC142" i="24"/>
  <c r="AC131" i="24"/>
  <c r="AC128" i="24"/>
  <c r="AC137" i="24"/>
  <c r="AC134" i="24"/>
  <c r="AC115" i="24"/>
  <c r="AC112" i="24"/>
  <c r="AC109" i="24"/>
  <c r="AC106" i="24"/>
  <c r="AC103" i="24"/>
  <c r="AC100" i="24"/>
  <c r="AC97" i="24"/>
  <c r="AC94" i="24"/>
  <c r="AC91" i="24"/>
  <c r="AC88" i="24"/>
  <c r="AC85" i="24"/>
  <c r="AC82" i="24"/>
  <c r="AC79" i="24"/>
  <c r="AC76" i="24"/>
  <c r="AC73" i="24"/>
  <c r="AC70" i="24"/>
  <c r="AC67" i="24"/>
  <c r="AC64" i="24"/>
  <c r="AC61" i="24"/>
  <c r="AC58" i="24"/>
  <c r="AC55" i="24"/>
  <c r="AC52" i="24"/>
  <c r="AC49" i="24"/>
  <c r="AC46" i="24"/>
  <c r="AC43" i="24"/>
  <c r="AC40" i="24"/>
  <c r="AC37" i="24"/>
  <c r="AC34" i="24"/>
  <c r="AC31" i="24"/>
  <c r="AC179" i="24"/>
  <c r="AC176" i="24"/>
  <c r="AC173" i="24"/>
  <c r="AC170" i="24"/>
  <c r="AC167" i="24"/>
  <c r="AC164" i="24"/>
  <c r="AC161" i="24"/>
  <c r="AC158" i="24"/>
  <c r="AC155" i="24"/>
  <c r="AC152" i="24"/>
  <c r="AC149" i="24"/>
  <c r="AC146" i="24"/>
  <c r="AC143" i="24"/>
  <c r="AC140" i="24"/>
  <c r="AC126" i="24"/>
  <c r="AC121" i="24"/>
  <c r="AC118" i="24"/>
  <c r="AC129" i="24"/>
  <c r="AC124" i="24"/>
  <c r="AC138" i="24"/>
  <c r="AC135" i="24"/>
  <c r="AC132" i="24"/>
  <c r="AC116" i="24"/>
  <c r="AC113" i="24"/>
  <c r="AC110" i="24"/>
  <c r="AC107" i="24"/>
  <c r="AC104" i="24"/>
  <c r="AC101" i="24"/>
  <c r="AC98" i="24"/>
  <c r="AC95" i="24"/>
  <c r="AC92" i="24"/>
  <c r="AC89" i="24"/>
  <c r="AC86" i="24"/>
  <c r="AC83" i="24"/>
  <c r="AC80" i="24"/>
  <c r="AC77" i="24"/>
  <c r="AC74" i="24"/>
  <c r="AC71" i="24"/>
  <c r="AC68" i="24"/>
  <c r="AC65" i="24"/>
  <c r="AC62" i="24"/>
  <c r="AC59" i="24"/>
  <c r="AC56" i="24"/>
  <c r="AC53" i="24"/>
  <c r="AC50" i="24"/>
  <c r="AC47" i="24"/>
  <c r="AC44" i="24"/>
  <c r="AC41" i="24"/>
  <c r="AC38" i="24"/>
  <c r="AC35" i="24"/>
  <c r="AC32" i="24"/>
  <c r="AC29" i="24"/>
  <c r="AC122" i="24"/>
  <c r="AC119" i="24"/>
  <c r="AC127" i="24"/>
  <c r="AC120" i="24"/>
  <c r="AC26" i="24"/>
  <c r="AC23" i="24"/>
  <c r="AC20" i="24"/>
  <c r="AC17" i="24"/>
  <c r="AC14" i="24"/>
  <c r="AC11" i="24"/>
  <c r="AC8" i="24"/>
  <c r="AC5" i="24"/>
  <c r="AC125" i="24"/>
  <c r="AC28" i="24"/>
  <c r="AC48" i="24"/>
  <c r="AC39" i="24"/>
  <c r="AC30" i="24"/>
  <c r="AC117" i="24"/>
  <c r="AC114" i="24"/>
  <c r="AC111" i="24"/>
  <c r="AC108" i="24"/>
  <c r="AC105" i="24"/>
  <c r="AC102" i="24"/>
  <c r="AC99" i="24"/>
  <c r="AC96" i="24"/>
  <c r="AC93" i="24"/>
  <c r="AC90" i="24"/>
  <c r="AC87" i="24"/>
  <c r="AC84" i="24"/>
  <c r="AC81" i="24"/>
  <c r="AC78" i="24"/>
  <c r="AC75" i="24"/>
  <c r="AC72" i="24"/>
  <c r="AC69" i="24"/>
  <c r="AC66" i="24"/>
  <c r="AC63" i="24"/>
  <c r="AC60" i="24"/>
  <c r="AC57" i="24"/>
  <c r="AC54" i="24"/>
  <c r="AC27" i="24"/>
  <c r="AC24" i="24"/>
  <c r="AC21" i="24"/>
  <c r="AC18" i="24"/>
  <c r="AC15" i="24"/>
  <c r="AC12" i="24"/>
  <c r="AC9" i="24"/>
  <c r="AC6" i="24"/>
  <c r="AC3" i="24"/>
  <c r="AC123" i="24"/>
  <c r="AC51" i="24"/>
  <c r="AC42" i="24"/>
  <c r="AC33" i="24"/>
  <c r="AC139" i="24"/>
  <c r="AC136" i="24"/>
  <c r="AC133" i="24"/>
  <c r="AD1" i="24"/>
  <c r="AC25" i="24"/>
  <c r="AC16" i="24"/>
  <c r="AC7" i="24"/>
  <c r="AC45" i="24"/>
  <c r="AC36" i="24"/>
  <c r="AC130" i="24"/>
  <c r="AC22" i="24"/>
  <c r="AC13" i="24"/>
  <c r="AC4" i="24"/>
  <c r="AC10" i="24"/>
  <c r="AC19" i="24"/>
  <c r="AB187" i="21"/>
  <c r="AB184" i="21"/>
  <c r="AB181" i="21"/>
  <c r="AB178" i="21"/>
  <c r="AB175" i="21"/>
  <c r="AB172" i="21"/>
  <c r="AB169" i="21"/>
  <c r="AB166" i="21"/>
  <c r="AB163" i="21"/>
  <c r="AB160" i="21"/>
  <c r="AB157" i="21"/>
  <c r="AB154" i="21"/>
  <c r="AB151" i="21"/>
  <c r="AB148" i="21"/>
  <c r="AB145" i="21"/>
  <c r="AB142" i="21"/>
  <c r="AB139" i="21"/>
  <c r="AB123" i="21"/>
  <c r="AB120" i="21"/>
  <c r="AB117" i="21"/>
  <c r="AB114" i="21"/>
  <c r="AB111" i="21"/>
  <c r="AB129" i="21"/>
  <c r="AB126" i="21"/>
  <c r="AB134" i="21"/>
  <c r="AB137" i="21"/>
  <c r="AB188" i="21"/>
  <c r="AB185" i="21"/>
  <c r="AB182" i="21"/>
  <c r="AB179" i="21"/>
  <c r="AB176" i="21"/>
  <c r="AB138" i="21"/>
  <c r="AB135" i="21"/>
  <c r="AB186" i="21"/>
  <c r="AB183" i="21"/>
  <c r="AB180" i="21"/>
  <c r="AB177" i="21"/>
  <c r="AB174" i="21"/>
  <c r="AB171" i="21"/>
  <c r="AB168" i="21"/>
  <c r="AB165" i="21"/>
  <c r="AB162" i="21"/>
  <c r="AB159" i="21"/>
  <c r="AB156" i="21"/>
  <c r="AB153" i="21"/>
  <c r="AB150" i="21"/>
  <c r="AB147" i="21"/>
  <c r="AB144" i="21"/>
  <c r="AB141" i="21"/>
  <c r="AB122" i="21"/>
  <c r="AB119" i="21"/>
  <c r="AB116" i="21"/>
  <c r="AB113" i="21"/>
  <c r="AB158" i="21"/>
  <c r="AB130" i="21"/>
  <c r="AB136" i="21"/>
  <c r="AB161" i="21"/>
  <c r="AB132" i="21"/>
  <c r="AB173" i="21"/>
  <c r="AB170" i="21"/>
  <c r="AB167" i="21"/>
  <c r="AB164" i="21"/>
  <c r="AB155" i="21"/>
  <c r="AB51" i="21"/>
  <c r="AB15" i="21"/>
  <c r="AB12" i="21"/>
  <c r="AB9" i="21"/>
  <c r="AB6" i="21"/>
  <c r="AB3" i="21"/>
  <c r="AB124" i="21"/>
  <c r="AB121" i="21"/>
  <c r="AB118" i="21"/>
  <c r="AB115" i="21"/>
  <c r="AB112" i="21"/>
  <c r="AB43" i="21"/>
  <c r="AB39" i="21"/>
  <c r="AB34" i="21"/>
  <c r="AB30" i="21"/>
  <c r="AB25" i="21"/>
  <c r="AB21" i="21"/>
  <c r="AB127" i="21"/>
  <c r="AB50" i="21"/>
  <c r="AB44" i="21"/>
  <c r="AB35" i="21"/>
  <c r="AB26" i="21"/>
  <c r="AB17" i="21"/>
  <c r="AC1" i="21"/>
  <c r="AB133" i="21"/>
  <c r="AB109" i="21"/>
  <c r="AB106" i="21"/>
  <c r="AB103" i="21"/>
  <c r="AB100" i="21"/>
  <c r="AB97" i="21"/>
  <c r="AB94" i="21"/>
  <c r="AB91" i="21"/>
  <c r="AB88" i="21"/>
  <c r="AB85" i="21"/>
  <c r="AB82" i="21"/>
  <c r="AB79" i="21"/>
  <c r="AB76" i="21"/>
  <c r="AB73" i="21"/>
  <c r="AB70" i="21"/>
  <c r="AB67" i="21"/>
  <c r="AB64" i="21"/>
  <c r="AB61" i="21"/>
  <c r="AB58" i="21"/>
  <c r="AB55" i="21"/>
  <c r="AB52" i="21"/>
  <c r="AB48" i="21"/>
  <c r="AB146" i="21"/>
  <c r="AB14" i="21"/>
  <c r="AB11" i="21"/>
  <c r="AB8" i="21"/>
  <c r="AB5" i="21"/>
  <c r="AB128" i="21"/>
  <c r="AB125" i="21"/>
  <c r="AB45" i="21"/>
  <c r="AB40" i="21"/>
  <c r="AB36" i="21"/>
  <c r="AB31" i="21"/>
  <c r="AB27" i="21"/>
  <c r="AB22" i="21"/>
  <c r="AB18" i="21"/>
  <c r="AB102" i="21"/>
  <c r="AB93" i="21"/>
  <c r="AB84" i="21"/>
  <c r="AB75" i="21"/>
  <c r="AB149" i="21"/>
  <c r="AB33" i="21"/>
  <c r="AB28" i="21"/>
  <c r="AB104" i="21"/>
  <c r="AB95" i="21"/>
  <c r="AB86" i="21"/>
  <c r="AB143" i="21"/>
  <c r="AB10" i="21"/>
  <c r="AB108" i="21"/>
  <c r="AB99" i="21"/>
  <c r="AB90" i="21"/>
  <c r="AB81" i="21"/>
  <c r="AB110" i="21"/>
  <c r="AB101" i="21"/>
  <c r="AB92" i="21"/>
  <c r="AB83" i="21"/>
  <c r="AB152" i="21"/>
  <c r="AB7" i="21"/>
  <c r="AB131" i="21"/>
  <c r="AB105" i="21"/>
  <c r="AB96" i="21"/>
  <c r="AB87" i="21"/>
  <c r="AB78" i="21"/>
  <c r="AB140" i="21"/>
  <c r="AB42" i="21"/>
  <c r="AB37" i="21"/>
  <c r="AB54" i="21"/>
  <c r="AB71" i="21"/>
  <c r="AB38" i="21"/>
  <c r="AB80" i="21"/>
  <c r="AB57" i="21"/>
  <c r="AB60" i="21"/>
  <c r="AB98" i="21"/>
  <c r="AB63" i="21"/>
  <c r="AB53" i="21"/>
  <c r="AB74" i="21"/>
  <c r="AB66" i="21"/>
  <c r="AB56" i="21"/>
  <c r="AB47" i="21"/>
  <c r="AB32" i="21"/>
  <c r="AB69" i="21"/>
  <c r="AB59" i="21"/>
  <c r="AB62" i="21"/>
  <c r="AB20" i="21"/>
  <c r="AB89" i="21"/>
  <c r="AB77" i="21"/>
  <c r="AB72" i="21"/>
  <c r="AB49" i="21"/>
  <c r="AB65" i="21"/>
  <c r="AB41" i="21"/>
  <c r="AB29" i="21"/>
  <c r="AB107" i="21"/>
  <c r="AB24" i="21"/>
  <c r="AB46" i="21"/>
  <c r="AB23" i="21"/>
  <c r="AB4" i="21"/>
  <c r="AB68" i="21"/>
  <c r="AB16" i="21"/>
  <c r="AB19" i="21"/>
  <c r="AB13" i="21"/>
  <c r="AC129" i="21" l="1"/>
  <c r="AC126" i="21"/>
  <c r="AC134" i="21"/>
  <c r="AC137" i="21"/>
  <c r="AC188" i="21"/>
  <c r="AC185" i="21"/>
  <c r="AC182" i="21"/>
  <c r="AC179" i="21"/>
  <c r="AC176" i="21"/>
  <c r="AC173" i="21"/>
  <c r="AC170" i="21"/>
  <c r="AC167" i="21"/>
  <c r="AC164" i="21"/>
  <c r="AC161" i="21"/>
  <c r="AC158" i="21"/>
  <c r="AC155" i="21"/>
  <c r="AC152" i="21"/>
  <c r="AC149" i="21"/>
  <c r="AC146" i="21"/>
  <c r="AC143" i="21"/>
  <c r="AC140" i="21"/>
  <c r="AC132" i="21"/>
  <c r="AC124" i="21"/>
  <c r="AC121" i="21"/>
  <c r="AC118" i="21"/>
  <c r="AC115" i="21"/>
  <c r="AC112" i="21"/>
  <c r="AC186" i="21"/>
  <c r="AC183" i="21"/>
  <c r="AC180" i="21"/>
  <c r="AC177" i="21"/>
  <c r="AC174" i="21"/>
  <c r="AC171" i="21"/>
  <c r="AC168" i="21"/>
  <c r="AC165" i="21"/>
  <c r="AC162" i="21"/>
  <c r="AC159" i="21"/>
  <c r="AC156" i="21"/>
  <c r="AC153" i="21"/>
  <c r="AC150" i="21"/>
  <c r="AC147" i="21"/>
  <c r="AC144" i="21"/>
  <c r="AC141" i="21"/>
  <c r="AC122" i="21"/>
  <c r="AC119" i="21"/>
  <c r="AC116" i="21"/>
  <c r="AC113" i="21"/>
  <c r="AC133" i="21"/>
  <c r="AC128" i="21"/>
  <c r="AC125" i="21"/>
  <c r="AC109" i="21"/>
  <c r="AC106" i="21"/>
  <c r="AC103" i="21"/>
  <c r="AC100" i="21"/>
  <c r="AC97" i="21"/>
  <c r="AC94" i="21"/>
  <c r="AC91" i="21"/>
  <c r="AC88" i="21"/>
  <c r="AC85" i="21"/>
  <c r="AC82" i="21"/>
  <c r="AC79" i="21"/>
  <c r="AC76" i="21"/>
  <c r="AC73" i="21"/>
  <c r="AC70" i="21"/>
  <c r="AC67" i="21"/>
  <c r="AC64" i="21"/>
  <c r="AC61" i="21"/>
  <c r="AC58" i="21"/>
  <c r="AC55" i="21"/>
  <c r="AC52" i="21"/>
  <c r="AC172" i="21"/>
  <c r="AC169" i="21"/>
  <c r="AC166" i="21"/>
  <c r="AC136" i="21"/>
  <c r="AC187" i="21"/>
  <c r="AC178" i="21"/>
  <c r="AC160" i="21"/>
  <c r="AC148" i="21"/>
  <c r="AC139" i="21"/>
  <c r="AC123" i="21"/>
  <c r="AC120" i="21"/>
  <c r="AC117" i="21"/>
  <c r="AC114" i="21"/>
  <c r="AC111" i="21"/>
  <c r="AC110" i="21"/>
  <c r="AC107" i="21"/>
  <c r="AC104" i="21"/>
  <c r="AC101" i="21"/>
  <c r="AC98" i="21"/>
  <c r="AC95" i="21"/>
  <c r="AC92" i="21"/>
  <c r="AC89" i="21"/>
  <c r="AC86" i="21"/>
  <c r="AC83" i="21"/>
  <c r="AC80" i="21"/>
  <c r="AC77" i="21"/>
  <c r="AC74" i="21"/>
  <c r="AC71" i="21"/>
  <c r="AC68" i="21"/>
  <c r="AC65" i="21"/>
  <c r="AC62" i="21"/>
  <c r="AC59" i="21"/>
  <c r="AC56" i="21"/>
  <c r="AC53" i="21"/>
  <c r="AC50" i="21"/>
  <c r="AC47" i="21"/>
  <c r="AC44" i="21"/>
  <c r="AC41" i="21"/>
  <c r="AC38" i="21"/>
  <c r="AC35" i="21"/>
  <c r="AC32" i="21"/>
  <c r="AC29" i="21"/>
  <c r="AC26" i="21"/>
  <c r="AC23" i="21"/>
  <c r="AC20" i="21"/>
  <c r="AC17" i="21"/>
  <c r="AC138" i="21"/>
  <c r="AC135" i="21"/>
  <c r="AC131" i="21"/>
  <c r="AC108" i="21"/>
  <c r="AC105" i="21"/>
  <c r="AC102" i="21"/>
  <c r="AC99" i="21"/>
  <c r="AC96" i="21"/>
  <c r="AC93" i="21"/>
  <c r="AC90" i="21"/>
  <c r="AC87" i="21"/>
  <c r="AC84" i="21"/>
  <c r="AC81" i="21"/>
  <c r="AC78" i="21"/>
  <c r="AC75" i="21"/>
  <c r="AC72" i="21"/>
  <c r="AC69" i="21"/>
  <c r="AC66" i="21"/>
  <c r="AC63" i="21"/>
  <c r="AC60" i="21"/>
  <c r="AC57" i="21"/>
  <c r="AC54" i="21"/>
  <c r="AC51" i="21"/>
  <c r="AC48" i="21"/>
  <c r="AC15" i="21"/>
  <c r="AC12" i="21"/>
  <c r="AC9" i="21"/>
  <c r="AC6" i="21"/>
  <c r="AC3" i="21"/>
  <c r="AC181" i="21"/>
  <c r="AC157" i="21"/>
  <c r="AC151" i="21"/>
  <c r="AC142" i="21"/>
  <c r="AC46" i="21"/>
  <c r="AC42" i="21"/>
  <c r="AC37" i="21"/>
  <c r="AC33" i="21"/>
  <c r="AC28" i="21"/>
  <c r="AC24" i="21"/>
  <c r="AC19" i="21"/>
  <c r="AC184" i="21"/>
  <c r="AC175" i="21"/>
  <c r="AC163" i="21"/>
  <c r="AC154" i="21"/>
  <c r="AC145" i="21"/>
  <c r="AC13" i="21"/>
  <c r="AC10" i="21"/>
  <c r="AC7" i="21"/>
  <c r="AC4" i="21"/>
  <c r="AC127" i="21"/>
  <c r="AC130" i="21"/>
  <c r="AC14" i="21"/>
  <c r="AC11" i="21"/>
  <c r="AC8" i="21"/>
  <c r="AC5" i="21"/>
  <c r="AC45" i="21"/>
  <c r="AC40" i="21"/>
  <c r="AC36" i="21"/>
  <c r="AC31" i="21"/>
  <c r="AC27" i="21"/>
  <c r="AC22" i="21"/>
  <c r="AC18" i="21"/>
  <c r="AC43" i="21"/>
  <c r="AC21" i="21"/>
  <c r="AC39" i="21"/>
  <c r="AC34" i="21"/>
  <c r="AC16" i="21"/>
  <c r="AC49" i="21"/>
  <c r="AC30" i="21"/>
  <c r="AC25" i="21"/>
  <c r="AD1" i="21"/>
  <c r="AC130" i="23"/>
  <c r="AC125" i="23"/>
  <c r="AC133" i="23"/>
  <c r="AC128" i="23"/>
  <c r="AC184" i="23"/>
  <c r="AC181" i="23"/>
  <c r="AC178" i="23"/>
  <c r="AC175" i="23"/>
  <c r="AC172" i="23"/>
  <c r="AC169" i="23"/>
  <c r="AC166" i="23"/>
  <c r="AC163" i="23"/>
  <c r="AC160" i="23"/>
  <c r="AC157" i="23"/>
  <c r="AC154" i="23"/>
  <c r="AC151" i="23"/>
  <c r="AC148" i="23"/>
  <c r="AC145" i="23"/>
  <c r="AC142" i="23"/>
  <c r="AC139" i="23"/>
  <c r="AC136" i="23"/>
  <c r="AC120" i="23"/>
  <c r="AC126" i="23"/>
  <c r="AC123" i="23"/>
  <c r="AC134" i="23"/>
  <c r="AC185" i="23"/>
  <c r="AC182" i="23"/>
  <c r="AC179" i="23"/>
  <c r="AC176" i="23"/>
  <c r="AC173" i="23"/>
  <c r="AC170" i="23"/>
  <c r="AC167" i="23"/>
  <c r="AC164" i="23"/>
  <c r="AC161" i="23"/>
  <c r="AC158" i="23"/>
  <c r="AC155" i="23"/>
  <c r="AC152" i="23"/>
  <c r="AC149" i="23"/>
  <c r="AC146" i="23"/>
  <c r="AC143" i="23"/>
  <c r="AC140" i="23"/>
  <c r="AC137" i="23"/>
  <c r="AC129" i="23"/>
  <c r="AC121" i="23"/>
  <c r="AC135" i="23"/>
  <c r="AC132" i="23"/>
  <c r="AC124" i="23"/>
  <c r="AC127" i="23"/>
  <c r="AC122" i="23"/>
  <c r="AC174" i="23"/>
  <c r="AC177" i="23"/>
  <c r="AC150" i="23"/>
  <c r="AC116" i="23"/>
  <c r="AC112" i="23"/>
  <c r="AC107" i="23"/>
  <c r="AC103" i="23"/>
  <c r="AC98" i="23"/>
  <c r="AC168" i="23"/>
  <c r="AC141" i="23"/>
  <c r="AC171" i="23"/>
  <c r="AC144" i="23"/>
  <c r="AC113" i="23"/>
  <c r="AC109" i="23"/>
  <c r="AC104" i="23"/>
  <c r="AC119" i="23"/>
  <c r="AC102" i="23"/>
  <c r="AC95" i="23"/>
  <c r="AC180" i="23"/>
  <c r="AC153" i="23"/>
  <c r="AC138" i="23"/>
  <c r="AC89" i="23"/>
  <c r="AC80" i="23"/>
  <c r="AC77" i="23"/>
  <c r="AC74" i="23"/>
  <c r="AC71" i="23"/>
  <c r="AC68" i="23"/>
  <c r="AC65" i="23"/>
  <c r="AC183" i="23"/>
  <c r="AC156" i="23"/>
  <c r="AC84" i="23"/>
  <c r="AC159" i="23"/>
  <c r="AC88" i="23"/>
  <c r="AC162" i="23"/>
  <c r="AC101" i="23"/>
  <c r="AC96" i="23"/>
  <c r="AC117" i="23"/>
  <c r="AC99" i="23"/>
  <c r="AC83" i="23"/>
  <c r="AC81" i="23"/>
  <c r="AC78" i="23"/>
  <c r="AC75" i="23"/>
  <c r="AC72" i="23"/>
  <c r="AC69" i="23"/>
  <c r="AC66" i="23"/>
  <c r="AC94" i="23"/>
  <c r="AC111" i="23"/>
  <c r="AC97" i="23"/>
  <c r="AC93" i="23"/>
  <c r="AC110" i="23"/>
  <c r="AC108" i="23"/>
  <c r="AC100" i="23"/>
  <c r="AC92" i="23"/>
  <c r="AC91" i="23"/>
  <c r="AC86" i="23"/>
  <c r="AC82" i="23"/>
  <c r="AC79" i="23"/>
  <c r="AC76" i="23"/>
  <c r="AC73" i="23"/>
  <c r="AC70" i="23"/>
  <c r="AC67" i="23"/>
  <c r="AC64" i="23"/>
  <c r="AC61" i="23"/>
  <c r="AC58" i="23"/>
  <c r="AC55" i="23"/>
  <c r="AC52" i="23"/>
  <c r="AC49" i="23"/>
  <c r="AC106" i="23"/>
  <c r="AC105" i="23"/>
  <c r="AC90" i="23"/>
  <c r="AC115" i="23"/>
  <c r="AC57" i="23"/>
  <c r="AC51" i="23"/>
  <c r="AC50" i="23"/>
  <c r="AC114" i="23"/>
  <c r="AC45" i="23"/>
  <c r="AC42" i="23"/>
  <c r="AC39" i="23"/>
  <c r="AC36" i="23"/>
  <c r="AC33" i="23"/>
  <c r="AC30" i="23"/>
  <c r="AC27" i="23"/>
  <c r="AC24" i="23"/>
  <c r="AC21" i="23"/>
  <c r="AC18" i="23"/>
  <c r="AC15" i="23"/>
  <c r="AC12" i="23"/>
  <c r="AC9" i="23"/>
  <c r="AC6" i="23"/>
  <c r="AC3" i="23"/>
  <c r="AC59" i="23"/>
  <c r="AC60" i="23"/>
  <c r="AC48" i="23"/>
  <c r="AC118" i="23"/>
  <c r="AC46" i="23"/>
  <c r="AC43" i="23"/>
  <c r="AC40" i="23"/>
  <c r="AC37" i="23"/>
  <c r="AC34" i="23"/>
  <c r="AC31" i="23"/>
  <c r="AC28" i="23"/>
  <c r="AC25" i="23"/>
  <c r="AC22" i="23"/>
  <c r="AC19" i="23"/>
  <c r="AC16" i="23"/>
  <c r="AC13" i="23"/>
  <c r="AC10" i="23"/>
  <c r="AC7" i="23"/>
  <c r="AC4" i="23"/>
  <c r="AC85" i="23"/>
  <c r="AC62" i="23"/>
  <c r="AC147" i="23"/>
  <c r="AC53" i="23"/>
  <c r="AC165" i="23"/>
  <c r="AC87" i="23"/>
  <c r="AC47" i="23"/>
  <c r="AC44" i="23"/>
  <c r="AC41" i="23"/>
  <c r="AC38" i="23"/>
  <c r="AC35" i="23"/>
  <c r="AC32" i="23"/>
  <c r="AC29" i="23"/>
  <c r="AC26" i="23"/>
  <c r="AC23" i="23"/>
  <c r="AC20" i="23"/>
  <c r="AC17" i="23"/>
  <c r="AC14" i="23"/>
  <c r="AC11" i="23"/>
  <c r="AC8" i="23"/>
  <c r="AC5" i="23"/>
  <c r="AC63" i="23"/>
  <c r="AC56" i="23"/>
  <c r="AC54" i="23"/>
  <c r="AD1" i="23"/>
  <c r="AC131" i="23"/>
  <c r="AD180" i="24"/>
  <c r="AD177" i="24"/>
  <c r="AD174" i="24"/>
  <c r="AD171" i="24"/>
  <c r="AD168" i="24"/>
  <c r="AD165" i="24"/>
  <c r="AD162" i="24"/>
  <c r="AD159" i="24"/>
  <c r="AD156" i="24"/>
  <c r="AD153" i="24"/>
  <c r="AD150" i="24"/>
  <c r="AD147" i="24"/>
  <c r="AD144" i="24"/>
  <c r="AD141" i="24"/>
  <c r="AD181" i="24"/>
  <c r="AD178" i="24"/>
  <c r="AD175" i="24"/>
  <c r="AD172" i="24"/>
  <c r="AD169" i="24"/>
  <c r="AD166" i="24"/>
  <c r="AD163" i="24"/>
  <c r="AD160" i="24"/>
  <c r="AD157" i="24"/>
  <c r="AD154" i="24"/>
  <c r="AD151" i="24"/>
  <c r="AD148" i="24"/>
  <c r="AD145" i="24"/>
  <c r="AD142" i="24"/>
  <c r="AD137" i="24"/>
  <c r="AD134" i="24"/>
  <c r="AD115" i="24"/>
  <c r="AD112" i="24"/>
  <c r="AD109" i="24"/>
  <c r="AD106" i="24"/>
  <c r="AD103" i="24"/>
  <c r="AD100" i="24"/>
  <c r="AD97" i="24"/>
  <c r="AD94" i="24"/>
  <c r="AD91" i="24"/>
  <c r="AD88" i="24"/>
  <c r="AD85" i="24"/>
  <c r="AD82" i="24"/>
  <c r="AD79" i="24"/>
  <c r="AD76" i="24"/>
  <c r="AD73" i="24"/>
  <c r="AD70" i="24"/>
  <c r="AD67" i="24"/>
  <c r="AD64" i="24"/>
  <c r="AD61" i="24"/>
  <c r="AD58" i="24"/>
  <c r="AD55" i="24"/>
  <c r="AD52" i="24"/>
  <c r="AD49" i="24"/>
  <c r="AD46" i="24"/>
  <c r="AD43" i="24"/>
  <c r="AD40" i="24"/>
  <c r="AD37" i="24"/>
  <c r="AD34" i="24"/>
  <c r="AD31" i="24"/>
  <c r="AD28" i="24"/>
  <c r="AD179" i="24"/>
  <c r="AD176" i="24"/>
  <c r="AD173" i="24"/>
  <c r="AD170" i="24"/>
  <c r="AD167" i="24"/>
  <c r="AD164" i="24"/>
  <c r="AD161" i="24"/>
  <c r="AD158" i="24"/>
  <c r="AD155" i="24"/>
  <c r="AD152" i="24"/>
  <c r="AD149" i="24"/>
  <c r="AD146" i="24"/>
  <c r="AD143" i="24"/>
  <c r="AD140" i="24"/>
  <c r="AD126" i="24"/>
  <c r="AD121" i="24"/>
  <c r="AD118" i="24"/>
  <c r="AD129" i="24"/>
  <c r="AD124" i="24"/>
  <c r="AD138" i="24"/>
  <c r="AD135" i="24"/>
  <c r="AD132" i="24"/>
  <c r="AD116" i="24"/>
  <c r="AD113" i="24"/>
  <c r="AD110" i="24"/>
  <c r="AD107" i="24"/>
  <c r="AD104" i="24"/>
  <c r="AD101" i="24"/>
  <c r="AD98" i="24"/>
  <c r="AD95" i="24"/>
  <c r="AD92" i="24"/>
  <c r="AD89" i="24"/>
  <c r="AD86" i="24"/>
  <c r="AD83" i="24"/>
  <c r="AD80" i="24"/>
  <c r="AD77" i="24"/>
  <c r="AD74" i="24"/>
  <c r="AD71" i="24"/>
  <c r="AD68" i="24"/>
  <c r="AD65" i="24"/>
  <c r="AD62" i="24"/>
  <c r="AD59" i="24"/>
  <c r="AD56" i="24"/>
  <c r="AD53" i="24"/>
  <c r="AD50" i="24"/>
  <c r="AD47" i="24"/>
  <c r="AD44" i="24"/>
  <c r="AD41" i="24"/>
  <c r="AD38" i="24"/>
  <c r="AD35" i="24"/>
  <c r="AD32" i="24"/>
  <c r="AD29" i="24"/>
  <c r="AD122" i="24"/>
  <c r="AD119" i="24"/>
  <c r="AD127" i="24"/>
  <c r="AD130" i="24"/>
  <c r="AD123" i="24"/>
  <c r="AD125" i="24"/>
  <c r="AD131" i="24"/>
  <c r="AD128" i="24"/>
  <c r="AD48" i="24"/>
  <c r="AD39" i="24"/>
  <c r="AD30" i="24"/>
  <c r="AD117" i="24"/>
  <c r="AD114" i="24"/>
  <c r="AD111" i="24"/>
  <c r="AD108" i="24"/>
  <c r="AD105" i="24"/>
  <c r="AD102" i="24"/>
  <c r="AD99" i="24"/>
  <c r="AD96" i="24"/>
  <c r="AD93" i="24"/>
  <c r="AD90" i="24"/>
  <c r="AD87" i="24"/>
  <c r="AD84" i="24"/>
  <c r="AD81" i="24"/>
  <c r="AD78" i="24"/>
  <c r="AD75" i="24"/>
  <c r="AD72" i="24"/>
  <c r="AD69" i="24"/>
  <c r="AD66" i="24"/>
  <c r="AD63" i="24"/>
  <c r="AD60" i="24"/>
  <c r="AD57" i="24"/>
  <c r="AD54" i="24"/>
  <c r="AD27" i="24"/>
  <c r="AD24" i="24"/>
  <c r="AD21" i="24"/>
  <c r="AD18" i="24"/>
  <c r="AD15" i="24"/>
  <c r="AD12" i="24"/>
  <c r="AD9" i="24"/>
  <c r="AD6" i="24"/>
  <c r="AD3" i="24"/>
  <c r="AD120" i="24"/>
  <c r="AD51" i="24"/>
  <c r="AD42" i="24"/>
  <c r="AD33" i="24"/>
  <c r="AD25" i="24"/>
  <c r="AD22" i="24"/>
  <c r="AD19" i="24"/>
  <c r="AD16" i="24"/>
  <c r="AD13" i="24"/>
  <c r="AD10" i="24"/>
  <c r="AD7" i="24"/>
  <c r="AD4" i="24"/>
  <c r="AD45" i="24"/>
  <c r="AD36" i="24"/>
  <c r="AD139" i="24"/>
  <c r="AD133" i="24"/>
  <c r="AD136" i="24"/>
  <c r="AD20" i="24"/>
  <c r="AD11" i="24"/>
  <c r="AD23" i="24"/>
  <c r="AD14" i="24"/>
  <c r="AD5" i="24"/>
  <c r="AD26" i="24"/>
  <c r="AD8" i="24"/>
  <c r="AD17" i="24"/>
  <c r="AE1" i="24"/>
  <c r="AF191" i="17"/>
  <c r="AF182" i="17"/>
  <c r="AF173" i="17"/>
  <c r="AF164" i="17"/>
  <c r="AF155" i="17"/>
  <c r="AF133" i="17"/>
  <c r="AF130" i="17"/>
  <c r="AF190" i="17"/>
  <c r="AF181" i="17"/>
  <c r="AF172" i="17"/>
  <c r="AF163" i="17"/>
  <c r="AF154" i="17"/>
  <c r="AF147" i="17"/>
  <c r="AF144" i="17"/>
  <c r="AF136" i="17"/>
  <c r="AF185" i="17"/>
  <c r="AF176" i="17"/>
  <c r="AF167" i="17"/>
  <c r="AF158" i="17"/>
  <c r="AF149" i="17"/>
  <c r="AF131" i="17"/>
  <c r="AF142" i="17"/>
  <c r="AF139" i="17"/>
  <c r="AF138" i="17"/>
  <c r="AG1" i="17"/>
  <c r="AF169" i="17"/>
  <c r="AF160" i="17"/>
  <c r="AF151" i="17"/>
  <c r="AF146" i="17"/>
  <c r="AF143" i="17"/>
  <c r="AF125" i="17"/>
  <c r="AF116" i="17"/>
  <c r="AF107" i="17"/>
  <c r="AF98" i="17"/>
  <c r="AF68" i="17"/>
  <c r="AF65" i="17"/>
  <c r="AF62" i="17"/>
  <c r="AF59" i="17"/>
  <c r="AF56" i="17"/>
  <c r="AF53" i="17"/>
  <c r="AF50" i="17"/>
  <c r="AF47" i="17"/>
  <c r="AF44" i="17"/>
  <c r="AF41" i="17"/>
  <c r="AF38" i="17"/>
  <c r="AF35" i="17"/>
  <c r="AF32" i="17"/>
  <c r="AF29" i="17"/>
  <c r="AF26" i="17"/>
  <c r="AF23" i="17"/>
  <c r="AF20" i="17"/>
  <c r="AF17" i="17"/>
  <c r="AF14" i="17"/>
  <c r="AF11" i="17"/>
  <c r="AF8" i="17"/>
  <c r="AF5" i="17"/>
  <c r="AF180" i="17"/>
  <c r="AF120" i="17"/>
  <c r="AF111" i="17"/>
  <c r="AF102" i="17"/>
  <c r="AF89" i="17"/>
  <c r="AF86" i="17"/>
  <c r="AF83" i="17"/>
  <c r="AF80" i="17"/>
  <c r="AF77" i="17"/>
  <c r="AF74" i="17"/>
  <c r="AF71" i="17"/>
  <c r="AF129" i="17"/>
  <c r="AF91" i="17"/>
  <c r="AF184" i="17"/>
  <c r="AF178" i="17"/>
  <c r="AF170" i="17"/>
  <c r="AF161" i="17"/>
  <c r="AF152" i="17"/>
  <c r="AF124" i="17"/>
  <c r="AF115" i="17"/>
  <c r="AF106" i="17"/>
  <c r="AF97" i="17"/>
  <c r="AF93" i="17"/>
  <c r="AF188" i="17"/>
  <c r="AF186" i="17"/>
  <c r="AF128" i="17"/>
  <c r="AF119" i="17"/>
  <c r="AF110" i="17"/>
  <c r="AF101" i="17"/>
  <c r="AF66" i="17"/>
  <c r="AF63" i="17"/>
  <c r="AF60" i="17"/>
  <c r="AF57" i="17"/>
  <c r="AF54" i="17"/>
  <c r="AF51" i="17"/>
  <c r="AF48" i="17"/>
  <c r="AF45" i="17"/>
  <c r="AF42" i="17"/>
  <c r="AF39" i="17"/>
  <c r="AF36" i="17"/>
  <c r="AF33" i="17"/>
  <c r="AF30" i="17"/>
  <c r="AF27" i="17"/>
  <c r="AF24" i="17"/>
  <c r="AF21" i="17"/>
  <c r="AF18" i="17"/>
  <c r="AF15" i="17"/>
  <c r="AF12" i="17"/>
  <c r="AF9" i="17"/>
  <c r="AF6" i="17"/>
  <c r="AF3" i="17"/>
  <c r="AF171" i="17"/>
  <c r="AF162" i="17"/>
  <c r="AF153" i="17"/>
  <c r="AF134" i="17"/>
  <c r="AF132" i="17"/>
  <c r="AF174" i="17"/>
  <c r="AF168" i="17"/>
  <c r="AF165" i="17"/>
  <c r="AF159" i="17"/>
  <c r="AF156" i="17"/>
  <c r="AF150" i="17"/>
  <c r="AF127" i="17"/>
  <c r="AF118" i="17"/>
  <c r="AF109" i="17"/>
  <c r="AF100" i="17"/>
  <c r="AF90" i="17"/>
  <c r="AF179" i="17"/>
  <c r="AF177" i="17"/>
  <c r="AF135" i="17"/>
  <c r="AF122" i="17"/>
  <c r="AF113" i="17"/>
  <c r="AF104" i="17"/>
  <c r="AF95" i="17"/>
  <c r="AF67" i="17"/>
  <c r="AF64" i="17"/>
  <c r="AF61" i="17"/>
  <c r="AF58" i="17"/>
  <c r="AF55" i="17"/>
  <c r="AF52" i="17"/>
  <c r="AF49" i="17"/>
  <c r="AF46" i="17"/>
  <c r="AF43" i="17"/>
  <c r="AF40" i="17"/>
  <c r="AF37" i="17"/>
  <c r="AF34" i="17"/>
  <c r="AF31" i="17"/>
  <c r="AF28" i="17"/>
  <c r="AF25" i="17"/>
  <c r="AF22" i="17"/>
  <c r="AF19" i="17"/>
  <c r="AF16" i="17"/>
  <c r="AF13" i="17"/>
  <c r="AF10" i="17"/>
  <c r="AF7" i="17"/>
  <c r="AF4" i="17"/>
  <c r="AF166" i="17"/>
  <c r="AF145" i="17"/>
  <c r="AF141" i="17"/>
  <c r="AF183" i="17"/>
  <c r="AF88" i="17"/>
  <c r="AF85" i="17"/>
  <c r="AF82" i="17"/>
  <c r="AF79" i="17"/>
  <c r="AF76" i="17"/>
  <c r="AF73" i="17"/>
  <c r="AF70" i="17"/>
  <c r="AF175" i="17"/>
  <c r="AF123" i="17"/>
  <c r="AF114" i="17"/>
  <c r="AF105" i="17"/>
  <c r="AF96" i="17"/>
  <c r="AF148" i="17"/>
  <c r="AF140" i="17"/>
  <c r="AF121" i="17"/>
  <c r="AF112" i="17"/>
  <c r="AF103" i="17"/>
  <c r="AF94" i="17"/>
  <c r="AF126" i="17"/>
  <c r="AF117" i="17"/>
  <c r="AF108" i="17"/>
  <c r="AF99" i="17"/>
  <c r="AF92" i="17"/>
  <c r="AF187" i="17"/>
  <c r="AF157" i="17"/>
  <c r="AF192" i="17"/>
  <c r="AF87" i="17"/>
  <c r="AF84" i="17"/>
  <c r="AF81" i="17"/>
  <c r="AF78" i="17"/>
  <c r="AF75" i="17"/>
  <c r="AF72" i="17"/>
  <c r="AF69" i="17"/>
  <c r="AF189" i="17"/>
  <c r="AF137" i="17"/>
  <c r="AD191" i="16"/>
  <c r="AD188" i="16"/>
  <c r="AD185" i="16"/>
  <c r="AD182" i="16"/>
  <c r="AD179" i="16"/>
  <c r="AD186" i="16"/>
  <c r="AD175" i="16"/>
  <c r="AD172" i="16"/>
  <c r="AD169" i="16"/>
  <c r="AD166" i="16"/>
  <c r="AD163" i="16"/>
  <c r="AD160" i="16"/>
  <c r="AD157" i="16"/>
  <c r="AD154" i="16"/>
  <c r="AD151" i="16"/>
  <c r="AD148" i="16"/>
  <c r="AD145" i="16"/>
  <c r="AD137" i="16"/>
  <c r="AD129" i="16"/>
  <c r="AD126" i="16"/>
  <c r="AD123" i="16"/>
  <c r="AD120" i="16"/>
  <c r="AD117" i="16"/>
  <c r="AD114" i="16"/>
  <c r="AD111" i="16"/>
  <c r="AD108" i="16"/>
  <c r="AD105" i="16"/>
  <c r="AD102" i="16"/>
  <c r="AD99" i="16"/>
  <c r="AD96" i="16"/>
  <c r="AD93" i="16"/>
  <c r="AD90" i="16"/>
  <c r="AD87" i="16"/>
  <c r="AD84" i="16"/>
  <c r="AD81" i="16"/>
  <c r="AD78" i="16"/>
  <c r="AD75" i="16"/>
  <c r="AD72" i="16"/>
  <c r="AD69" i="16"/>
  <c r="AD132" i="16"/>
  <c r="AD178" i="16"/>
  <c r="AD193" i="16"/>
  <c r="AD184" i="16"/>
  <c r="AD192" i="16"/>
  <c r="AD183" i="16"/>
  <c r="AD173" i="16"/>
  <c r="AD170" i="16"/>
  <c r="AD167" i="16"/>
  <c r="AD164" i="16"/>
  <c r="AD161" i="16"/>
  <c r="AD158" i="16"/>
  <c r="AD155" i="16"/>
  <c r="AD152" i="16"/>
  <c r="AD149" i="16"/>
  <c r="AD146" i="16"/>
  <c r="AD127" i="16"/>
  <c r="AD124" i="16"/>
  <c r="AD121" i="16"/>
  <c r="AD118" i="16"/>
  <c r="AD115" i="16"/>
  <c r="AD112" i="16"/>
  <c r="AD109" i="16"/>
  <c r="AD106" i="16"/>
  <c r="AD103" i="16"/>
  <c r="AD100" i="16"/>
  <c r="AD97" i="16"/>
  <c r="AD94" i="16"/>
  <c r="AD91" i="16"/>
  <c r="AD88" i="16"/>
  <c r="AD85" i="16"/>
  <c r="AD82" i="16"/>
  <c r="AD79" i="16"/>
  <c r="AD76" i="16"/>
  <c r="AD73" i="16"/>
  <c r="AD70" i="16"/>
  <c r="AD181" i="16"/>
  <c r="AD190" i="16"/>
  <c r="AD189" i="16"/>
  <c r="AD180" i="16"/>
  <c r="AD174" i="16"/>
  <c r="AD171" i="16"/>
  <c r="AD168" i="16"/>
  <c r="AD165" i="16"/>
  <c r="AD162" i="16"/>
  <c r="AD159" i="16"/>
  <c r="AD156" i="16"/>
  <c r="AD153" i="16"/>
  <c r="AD150" i="16"/>
  <c r="AD147" i="16"/>
  <c r="AD144" i="16"/>
  <c r="AD128" i="16"/>
  <c r="AD125" i="16"/>
  <c r="AD122" i="16"/>
  <c r="AD119" i="16"/>
  <c r="AD116" i="16"/>
  <c r="AD113" i="16"/>
  <c r="AD110" i="16"/>
  <c r="AD107" i="16"/>
  <c r="AD104" i="16"/>
  <c r="AD101" i="16"/>
  <c r="AD98" i="16"/>
  <c r="AD95" i="16"/>
  <c r="AD92" i="16"/>
  <c r="AD89" i="16"/>
  <c r="AD86" i="16"/>
  <c r="AD83" i="16"/>
  <c r="AD80" i="16"/>
  <c r="AD77" i="16"/>
  <c r="AD74" i="16"/>
  <c r="AD71" i="16"/>
  <c r="AD130" i="16"/>
  <c r="AD177" i="16"/>
  <c r="AD141" i="16"/>
  <c r="AD139" i="16"/>
  <c r="AD135" i="16"/>
  <c r="AD66" i="16"/>
  <c r="AD65" i="16"/>
  <c r="AD64" i="16"/>
  <c r="AD63" i="16"/>
  <c r="AD62" i="16"/>
  <c r="AD52" i="16"/>
  <c r="AD51" i="16"/>
  <c r="AD50" i="16"/>
  <c r="AD47" i="16"/>
  <c r="AD46" i="16"/>
  <c r="AD45" i="16"/>
  <c r="AD44" i="16"/>
  <c r="AD42" i="16"/>
  <c r="AD41" i="16"/>
  <c r="AD38" i="16"/>
  <c r="AD37" i="16"/>
  <c r="AD36" i="16"/>
  <c r="AD35" i="16"/>
  <c r="AD27" i="16"/>
  <c r="AD23" i="16"/>
  <c r="AD21" i="16"/>
  <c r="AD20" i="16"/>
  <c r="AD19" i="16"/>
  <c r="AD18" i="16"/>
  <c r="AD17" i="16"/>
  <c r="AD16" i="16"/>
  <c r="AD14" i="16"/>
  <c r="AD13" i="16"/>
  <c r="AD11" i="16"/>
  <c r="AD7" i="16"/>
  <c r="AD6" i="16"/>
  <c r="AD5" i="16"/>
  <c r="AE1" i="16"/>
  <c r="AD68" i="16"/>
  <c r="AD67" i="16"/>
  <c r="AD61" i="16"/>
  <c r="AD60" i="16"/>
  <c r="AD59" i="16"/>
  <c r="AD58" i="16"/>
  <c r="AD57" i="16"/>
  <c r="AD56" i="16"/>
  <c r="AD55" i="16"/>
  <c r="AD54" i="16"/>
  <c r="AD53" i="16"/>
  <c r="AD49" i="16"/>
  <c r="AD43" i="16"/>
  <c r="AD40" i="16"/>
  <c r="AD39" i="16"/>
  <c r="AD34" i="16"/>
  <c r="AD33" i="16"/>
  <c r="AD32" i="16"/>
  <c r="AD30" i="16"/>
  <c r="AD29" i="16"/>
  <c r="AD25" i="16"/>
  <c r="AD22" i="16"/>
  <c r="AD12" i="16"/>
  <c r="AD10" i="16"/>
  <c r="AD9" i="16"/>
  <c r="AD4" i="16"/>
  <c r="AD133" i="16"/>
  <c r="AD48" i="16"/>
  <c r="AD31" i="16"/>
  <c r="AD28" i="16"/>
  <c r="AD26" i="16"/>
  <c r="AD24" i="16"/>
  <c r="AD15" i="16"/>
  <c r="AD8" i="16"/>
  <c r="AD3" i="16"/>
  <c r="AD131" i="16"/>
  <c r="AD142" i="16"/>
  <c r="AD140" i="16"/>
  <c r="AD138" i="16"/>
  <c r="AD136" i="16"/>
  <c r="AD134" i="16"/>
  <c r="AD187" i="16"/>
  <c r="AD176" i="16"/>
  <c r="AD143" i="16"/>
  <c r="AC188" i="19"/>
  <c r="AC185" i="19"/>
  <c r="AC182" i="19"/>
  <c r="AC179" i="19"/>
  <c r="AC176" i="19"/>
  <c r="AC189" i="19"/>
  <c r="AC186" i="19"/>
  <c r="AC183" i="19"/>
  <c r="AC180" i="19"/>
  <c r="AC177" i="19"/>
  <c r="AC190" i="19"/>
  <c r="AC187" i="19"/>
  <c r="AC184" i="19"/>
  <c r="AC181" i="19"/>
  <c r="AC178" i="19"/>
  <c r="AC175" i="19"/>
  <c r="AC140" i="19"/>
  <c r="AC137" i="19"/>
  <c r="AC67" i="19"/>
  <c r="AC64" i="19"/>
  <c r="AC61" i="19"/>
  <c r="AC58" i="19"/>
  <c r="AC55" i="19"/>
  <c r="AC52" i="19"/>
  <c r="AC49" i="19"/>
  <c r="AC46" i="19"/>
  <c r="AC43" i="19"/>
  <c r="AC40" i="19"/>
  <c r="AC37" i="19"/>
  <c r="AC34" i="19"/>
  <c r="AC31" i="19"/>
  <c r="AC28" i="19"/>
  <c r="AC25" i="19"/>
  <c r="AC22" i="19"/>
  <c r="AC19" i="19"/>
  <c r="AC16" i="19"/>
  <c r="AC13" i="19"/>
  <c r="AC10" i="19"/>
  <c r="AC7" i="19"/>
  <c r="AC4" i="19"/>
  <c r="AC173" i="19"/>
  <c r="AC170" i="19"/>
  <c r="AC167" i="19"/>
  <c r="AC164" i="19"/>
  <c r="AC161" i="19"/>
  <c r="AC158" i="19"/>
  <c r="AC155" i="19"/>
  <c r="AC152" i="19"/>
  <c r="AC149" i="19"/>
  <c r="AC146" i="19"/>
  <c r="AC143" i="19"/>
  <c r="AC124" i="19"/>
  <c r="AC121" i="19"/>
  <c r="AC118" i="19"/>
  <c r="AC115" i="19"/>
  <c r="AC112" i="19"/>
  <c r="AC109" i="19"/>
  <c r="AC106" i="19"/>
  <c r="AC103" i="19"/>
  <c r="AC100" i="19"/>
  <c r="AC97" i="19"/>
  <c r="AC94" i="19"/>
  <c r="AC91" i="19"/>
  <c r="AC88" i="19"/>
  <c r="AC85" i="19"/>
  <c r="AC82" i="19"/>
  <c r="AC79" i="19"/>
  <c r="AC76" i="19"/>
  <c r="AC73" i="19"/>
  <c r="AC70" i="19"/>
  <c r="AC135" i="19"/>
  <c r="AC130" i="19"/>
  <c r="AC127" i="19"/>
  <c r="AD1" i="19"/>
  <c r="AC136" i="19"/>
  <c r="AC134" i="19"/>
  <c r="AC65" i="19"/>
  <c r="AC56" i="19"/>
  <c r="AC47" i="19"/>
  <c r="AC38" i="19"/>
  <c r="AC29" i="19"/>
  <c r="AC20" i="19"/>
  <c r="AC11" i="19"/>
  <c r="AC172" i="19"/>
  <c r="AC163" i="19"/>
  <c r="AC154" i="19"/>
  <c r="AC145" i="19"/>
  <c r="AC132" i="19"/>
  <c r="AC119" i="19"/>
  <c r="AC110" i="19"/>
  <c r="AC101" i="19"/>
  <c r="AC92" i="19"/>
  <c r="AC83" i="19"/>
  <c r="AC74" i="19"/>
  <c r="AC128" i="19"/>
  <c r="AC63" i="19"/>
  <c r="AC54" i="19"/>
  <c r="AC45" i="19"/>
  <c r="AC36" i="19"/>
  <c r="AC27" i="19"/>
  <c r="AC18" i="19"/>
  <c r="AC9" i="19"/>
  <c r="AC168" i="19"/>
  <c r="AC159" i="19"/>
  <c r="AC150" i="19"/>
  <c r="AC141" i="19"/>
  <c r="AC126" i="19"/>
  <c r="AC117" i="19"/>
  <c r="AC108" i="19"/>
  <c r="AC99" i="19"/>
  <c r="AC90" i="19"/>
  <c r="AC81" i="19"/>
  <c r="AC72" i="19"/>
  <c r="AC166" i="19"/>
  <c r="AC157" i="19"/>
  <c r="AC148" i="19"/>
  <c r="AC133" i="19"/>
  <c r="AC122" i="19"/>
  <c r="AC113" i="19"/>
  <c r="AC104" i="19"/>
  <c r="AC95" i="19"/>
  <c r="AC86" i="19"/>
  <c r="AC77" i="19"/>
  <c r="AC68" i="19"/>
  <c r="AC131" i="19"/>
  <c r="AC66" i="19"/>
  <c r="AC57" i="19"/>
  <c r="AC48" i="19"/>
  <c r="AC39" i="19"/>
  <c r="AC30" i="19"/>
  <c r="AC21" i="19"/>
  <c r="AC12" i="19"/>
  <c r="AC3" i="19"/>
  <c r="AC129" i="19"/>
  <c r="AC62" i="19"/>
  <c r="AC53" i="19"/>
  <c r="AC44" i="19"/>
  <c r="AC35" i="19"/>
  <c r="AC26" i="19"/>
  <c r="AC17" i="19"/>
  <c r="AC8" i="19"/>
  <c r="AC153" i="19"/>
  <c r="AC147" i="19"/>
  <c r="AC125" i="19"/>
  <c r="AC71" i="19"/>
  <c r="AC51" i="19"/>
  <c r="AC162" i="19"/>
  <c r="AC156" i="19"/>
  <c r="AC171" i="19"/>
  <c r="AC165" i="19"/>
  <c r="AC151" i="19"/>
  <c r="AC89" i="19"/>
  <c r="AC24" i="19"/>
  <c r="AC123" i="19"/>
  <c r="AC174" i="19"/>
  <c r="AC160" i="19"/>
  <c r="AC98" i="19"/>
  <c r="AC15" i="19"/>
  <c r="AC169" i="19"/>
  <c r="AC107" i="19"/>
  <c r="AC6" i="19"/>
  <c r="AC87" i="19"/>
  <c r="AC80" i="19"/>
  <c r="AC50" i="19"/>
  <c r="AC23" i="19"/>
  <c r="AC105" i="19"/>
  <c r="AC96" i="19"/>
  <c r="AC59" i="19"/>
  <c r="AC116" i="19"/>
  <c r="AC114" i="19"/>
  <c r="AC75" i="19"/>
  <c r="AC93" i="19"/>
  <c r="AC84" i="19"/>
  <c r="AC111" i="19"/>
  <c r="AC102" i="19"/>
  <c r="AC139" i="19"/>
  <c r="AC32" i="19"/>
  <c r="AC142" i="19"/>
  <c r="AC42" i="19"/>
  <c r="AC14" i="19"/>
  <c r="AC144" i="19"/>
  <c r="AC138" i="19"/>
  <c r="AC60" i="19"/>
  <c r="AC120" i="19"/>
  <c r="AC41" i="19"/>
  <c r="AC78" i="19"/>
  <c r="AC33" i="19"/>
  <c r="AC69" i="19"/>
  <c r="AC5" i="19"/>
  <c r="AC176" i="26"/>
  <c r="AC173" i="26"/>
  <c r="AC170" i="26"/>
  <c r="AC167" i="26"/>
  <c r="AC164" i="26"/>
  <c r="AC161" i="26"/>
  <c r="AC158" i="26"/>
  <c r="AC174" i="26"/>
  <c r="AC171" i="26"/>
  <c r="AC168" i="26"/>
  <c r="AC165" i="26"/>
  <c r="AC162" i="26"/>
  <c r="AC159" i="26"/>
  <c r="AC175" i="26"/>
  <c r="AC172" i="26"/>
  <c r="AC169" i="26"/>
  <c r="AC166" i="26"/>
  <c r="AC163" i="26"/>
  <c r="AC160" i="26"/>
  <c r="AC155" i="26"/>
  <c r="AC152" i="26"/>
  <c r="AC149" i="26"/>
  <c r="AC146" i="26"/>
  <c r="AC143" i="26"/>
  <c r="AC140" i="26"/>
  <c r="AC137" i="26"/>
  <c r="AC134" i="26"/>
  <c r="AC131" i="26"/>
  <c r="AC156" i="26"/>
  <c r="AC153" i="26"/>
  <c r="AC150" i="26"/>
  <c r="AC147" i="26"/>
  <c r="AC144" i="26"/>
  <c r="AC141" i="26"/>
  <c r="AC138" i="26"/>
  <c r="AC135" i="26"/>
  <c r="AC132" i="26"/>
  <c r="AC125" i="26"/>
  <c r="AC116" i="26"/>
  <c r="AC113" i="26"/>
  <c r="AC109" i="26"/>
  <c r="AC106" i="26"/>
  <c r="AC103" i="26"/>
  <c r="AC100" i="26"/>
  <c r="AC97" i="26"/>
  <c r="AC94" i="26"/>
  <c r="AC91" i="26"/>
  <c r="AC88" i="26"/>
  <c r="AC85" i="26"/>
  <c r="AC82" i="26"/>
  <c r="AC79" i="26"/>
  <c r="AC76" i="26"/>
  <c r="AC73" i="26"/>
  <c r="AC154" i="26"/>
  <c r="AC145" i="26"/>
  <c r="AC136" i="26"/>
  <c r="AC130" i="26"/>
  <c r="AC129" i="26"/>
  <c r="AC127" i="26"/>
  <c r="AC157" i="26"/>
  <c r="AC148" i="26"/>
  <c r="AC139" i="26"/>
  <c r="AC128" i="26"/>
  <c r="AC124" i="26"/>
  <c r="AC115" i="26"/>
  <c r="AC111" i="26"/>
  <c r="AC108" i="26"/>
  <c r="AC105" i="26"/>
  <c r="AC102" i="26"/>
  <c r="AC99" i="26"/>
  <c r="AC96" i="26"/>
  <c r="AC93" i="26"/>
  <c r="AC90" i="26"/>
  <c r="AC87" i="26"/>
  <c r="AC84" i="26"/>
  <c r="AC81" i="26"/>
  <c r="AC78" i="26"/>
  <c r="AC75" i="26"/>
  <c r="AC72" i="26"/>
  <c r="AC69" i="26"/>
  <c r="AC66" i="26"/>
  <c r="AC63" i="26"/>
  <c r="AC60" i="26"/>
  <c r="AC57" i="26"/>
  <c r="AC54" i="26"/>
  <c r="AC142" i="26"/>
  <c r="AC70" i="26"/>
  <c r="AC68" i="26"/>
  <c r="AC65" i="26"/>
  <c r="AC62" i="26"/>
  <c r="AC59" i="26"/>
  <c r="AC56" i="26"/>
  <c r="AC53" i="26"/>
  <c r="AC151" i="26"/>
  <c r="AC123" i="26"/>
  <c r="AC114" i="26"/>
  <c r="AC110" i="26"/>
  <c r="AC107" i="26"/>
  <c r="AC104" i="26"/>
  <c r="AC101" i="26"/>
  <c r="AC98" i="26"/>
  <c r="AC95" i="26"/>
  <c r="AC92" i="26"/>
  <c r="AC89" i="26"/>
  <c r="AC86" i="26"/>
  <c r="AC83" i="26"/>
  <c r="AC80" i="26"/>
  <c r="AC77" i="26"/>
  <c r="AC74" i="26"/>
  <c r="AC71" i="26"/>
  <c r="AC51" i="26"/>
  <c r="AC61" i="26"/>
  <c r="AC50" i="26"/>
  <c r="AC47" i="26"/>
  <c r="AC44" i="26"/>
  <c r="AC41" i="26"/>
  <c r="AC38" i="26"/>
  <c r="AC35" i="26"/>
  <c r="AC32" i="26"/>
  <c r="AC29" i="26"/>
  <c r="AC26" i="26"/>
  <c r="AC23" i="26"/>
  <c r="AC20" i="26"/>
  <c r="AC17" i="26"/>
  <c r="AC14" i="26"/>
  <c r="AC11" i="26"/>
  <c r="AC8" i="26"/>
  <c r="AC5" i="26"/>
  <c r="AC58" i="26"/>
  <c r="AC49" i="26"/>
  <c r="AC40" i="26"/>
  <c r="AC31" i="26"/>
  <c r="AC22" i="26"/>
  <c r="AC13" i="26"/>
  <c r="AC4" i="26"/>
  <c r="AC64" i="26"/>
  <c r="AC42" i="26"/>
  <c r="AC33" i="26"/>
  <c r="AC24" i="26"/>
  <c r="AC15" i="26"/>
  <c r="AC6" i="26"/>
  <c r="AC67" i="26"/>
  <c r="AC43" i="26"/>
  <c r="AC34" i="26"/>
  <c r="AC25" i="26"/>
  <c r="AC16" i="26"/>
  <c r="AC7" i="26"/>
  <c r="AD1" i="26"/>
  <c r="AC55" i="26"/>
  <c r="AC52" i="26"/>
  <c r="AC48" i="26"/>
  <c r="AC39" i="26"/>
  <c r="AC30" i="26"/>
  <c r="AC21" i="26"/>
  <c r="AC12" i="26"/>
  <c r="AC3" i="26"/>
  <c r="AC36" i="26"/>
  <c r="AC28" i="26"/>
  <c r="AC9" i="26"/>
  <c r="AC27" i="26"/>
  <c r="AC19" i="26"/>
  <c r="AC133" i="26"/>
  <c r="AC46" i="26"/>
  <c r="AC45" i="26"/>
  <c r="AC18" i="26"/>
  <c r="AC37" i="26"/>
  <c r="AC10" i="26"/>
  <c r="AF131" i="22"/>
  <c r="AF134" i="22"/>
  <c r="AF185" i="22"/>
  <c r="AF182" i="22"/>
  <c r="AF179" i="22"/>
  <c r="AF176" i="22"/>
  <c r="AF173" i="22"/>
  <c r="AF170" i="22"/>
  <c r="AF167" i="22"/>
  <c r="AF164" i="22"/>
  <c r="AF161" i="22"/>
  <c r="AF158" i="22"/>
  <c r="AF155" i="22"/>
  <c r="AF152" i="22"/>
  <c r="AF149" i="22"/>
  <c r="AF146" i="22"/>
  <c r="AF143" i="22"/>
  <c r="AF140" i="22"/>
  <c r="AF137" i="22"/>
  <c r="AF129" i="22"/>
  <c r="AF121" i="22"/>
  <c r="AF118" i="22"/>
  <c r="AF124" i="22"/>
  <c r="AF127" i="22"/>
  <c r="AF135" i="22"/>
  <c r="AF132" i="22"/>
  <c r="AF183" i="22"/>
  <c r="AF180" i="22"/>
  <c r="AF177" i="22"/>
  <c r="AF174" i="22"/>
  <c r="AF171" i="22"/>
  <c r="AF168" i="22"/>
  <c r="AF165" i="22"/>
  <c r="AF162" i="22"/>
  <c r="AF159" i="22"/>
  <c r="AF156" i="22"/>
  <c r="AF153" i="22"/>
  <c r="AF150" i="22"/>
  <c r="AF147" i="22"/>
  <c r="AF144" i="22"/>
  <c r="AF141" i="22"/>
  <c r="AF138" i="22"/>
  <c r="AF119" i="22"/>
  <c r="AF130" i="22"/>
  <c r="AF125" i="22"/>
  <c r="AF122" i="22"/>
  <c r="AF133" i="22"/>
  <c r="AF128" i="22"/>
  <c r="AF184" i="22"/>
  <c r="AF181" i="22"/>
  <c r="AF178" i="22"/>
  <c r="AF175" i="22"/>
  <c r="AF172" i="22"/>
  <c r="AF169" i="22"/>
  <c r="AF166" i="22"/>
  <c r="AF163" i="22"/>
  <c r="AF160" i="22"/>
  <c r="AF157" i="22"/>
  <c r="AF154" i="22"/>
  <c r="AF151" i="22"/>
  <c r="AF148" i="22"/>
  <c r="AF145" i="22"/>
  <c r="AF142" i="22"/>
  <c r="AF139" i="22"/>
  <c r="AF136" i="22"/>
  <c r="AF120" i="22"/>
  <c r="AF117" i="22"/>
  <c r="AF114" i="22"/>
  <c r="AF111" i="22"/>
  <c r="AF108" i="22"/>
  <c r="AF105" i="22"/>
  <c r="AF102" i="22"/>
  <c r="AF99" i="22"/>
  <c r="AF96" i="22"/>
  <c r="AF93" i="22"/>
  <c r="AF90" i="22"/>
  <c r="AF87" i="22"/>
  <c r="AF84" i="22"/>
  <c r="AF81" i="22"/>
  <c r="AF78" i="22"/>
  <c r="AF75" i="22"/>
  <c r="AF72" i="22"/>
  <c r="AF69" i="22"/>
  <c r="AF66" i="22"/>
  <c r="AF63" i="22"/>
  <c r="AF60" i="22"/>
  <c r="AF57" i="22"/>
  <c r="AF54" i="22"/>
  <c r="AF51" i="22"/>
  <c r="AF48" i="22"/>
  <c r="AF45" i="22"/>
  <c r="AF42" i="22"/>
  <c r="AF39" i="22"/>
  <c r="AF36" i="22"/>
  <c r="AF33" i="22"/>
  <c r="AF30" i="22"/>
  <c r="AF27" i="22"/>
  <c r="AF24" i="22"/>
  <c r="AF21" i="22"/>
  <c r="AF18" i="22"/>
  <c r="AF15" i="22"/>
  <c r="AF12" i="22"/>
  <c r="AF126" i="22"/>
  <c r="AF115" i="22"/>
  <c r="AF112" i="22"/>
  <c r="AF109" i="22"/>
  <c r="AF106" i="22"/>
  <c r="AF103" i="22"/>
  <c r="AF100" i="22"/>
  <c r="AF97" i="22"/>
  <c r="AF94" i="22"/>
  <c r="AF91" i="22"/>
  <c r="AF88" i="22"/>
  <c r="AF85" i="22"/>
  <c r="AF82" i="22"/>
  <c r="AF79" i="22"/>
  <c r="AF76" i="22"/>
  <c r="AF73" i="22"/>
  <c r="AF70" i="22"/>
  <c r="AF67" i="22"/>
  <c r="AF64" i="22"/>
  <c r="AF61" i="22"/>
  <c r="AF58" i="22"/>
  <c r="AF55" i="22"/>
  <c r="AF52" i="22"/>
  <c r="AF49" i="22"/>
  <c r="AF46" i="22"/>
  <c r="AF43" i="22"/>
  <c r="AF40" i="22"/>
  <c r="AF37" i="22"/>
  <c r="AF34" i="22"/>
  <c r="AF31" i="22"/>
  <c r="AF28" i="22"/>
  <c r="AF25" i="22"/>
  <c r="AF22" i="22"/>
  <c r="AF19" i="22"/>
  <c r="AF16" i="22"/>
  <c r="AF13" i="22"/>
  <c r="AF123" i="22"/>
  <c r="AF10" i="22"/>
  <c r="AF7" i="22"/>
  <c r="AF4" i="22"/>
  <c r="AF113" i="22"/>
  <c r="AF104" i="22"/>
  <c r="AF95" i="22"/>
  <c r="AF86" i="22"/>
  <c r="AF77" i="22"/>
  <c r="AF68" i="22"/>
  <c r="AF59" i="22"/>
  <c r="AF50" i="22"/>
  <c r="AF41" i="22"/>
  <c r="AF32" i="22"/>
  <c r="AF23" i="22"/>
  <c r="AF14" i="22"/>
  <c r="AG1" i="22"/>
  <c r="AF8" i="22"/>
  <c r="AF5" i="22"/>
  <c r="AF116" i="22"/>
  <c r="AF107" i="22"/>
  <c r="AF98" i="22"/>
  <c r="AF89" i="22"/>
  <c r="AF80" i="22"/>
  <c r="AF71" i="22"/>
  <c r="AF62" i="22"/>
  <c r="AF53" i="22"/>
  <c r="AF44" i="22"/>
  <c r="AF35" i="22"/>
  <c r="AF26" i="22"/>
  <c r="AF17" i="22"/>
  <c r="AF9" i="22"/>
  <c r="AF6" i="22"/>
  <c r="AF3" i="22"/>
  <c r="AF110" i="22"/>
  <c r="AF101" i="22"/>
  <c r="AF92" i="22"/>
  <c r="AF83" i="22"/>
  <c r="AF74" i="22"/>
  <c r="AF65" i="22"/>
  <c r="AF56" i="22"/>
  <c r="AF47" i="22"/>
  <c r="AF38" i="22"/>
  <c r="AF29" i="22"/>
  <c r="AF20" i="22"/>
  <c r="AF11" i="22"/>
  <c r="AE190" i="20"/>
  <c r="AE187" i="20"/>
  <c r="AE184" i="20"/>
  <c r="AE181" i="20"/>
  <c r="AE178" i="20"/>
  <c r="AE175" i="20"/>
  <c r="AE172" i="20"/>
  <c r="AE169" i="20"/>
  <c r="AE166" i="20"/>
  <c r="AE163" i="20"/>
  <c r="AE160" i="20"/>
  <c r="AE157" i="20"/>
  <c r="AE154" i="20"/>
  <c r="AE189" i="20"/>
  <c r="AE186" i="20"/>
  <c r="AE183" i="20"/>
  <c r="AE180" i="20"/>
  <c r="AE177" i="20"/>
  <c r="AE174" i="20"/>
  <c r="AE171" i="20"/>
  <c r="AE168" i="20"/>
  <c r="AE165" i="20"/>
  <c r="AE162" i="20"/>
  <c r="AE159" i="20"/>
  <c r="AE156" i="20"/>
  <c r="AE153" i="20"/>
  <c r="AE150" i="20"/>
  <c r="AE147" i="20"/>
  <c r="AE149" i="20"/>
  <c r="AE140" i="20"/>
  <c r="AE137" i="20"/>
  <c r="AE138" i="20"/>
  <c r="AE133" i="20"/>
  <c r="AE123" i="20"/>
  <c r="AE182" i="20"/>
  <c r="AE143" i="20"/>
  <c r="AE118" i="20"/>
  <c r="AE109" i="20"/>
  <c r="AE100" i="20"/>
  <c r="AE91" i="20"/>
  <c r="AE82" i="20"/>
  <c r="AE73" i="20"/>
  <c r="AE65" i="20"/>
  <c r="AE62" i="20"/>
  <c r="AE59" i="20"/>
  <c r="AE56" i="20"/>
  <c r="AE53" i="20"/>
  <c r="AE50" i="20"/>
  <c r="AE47" i="20"/>
  <c r="AE44" i="20"/>
  <c r="AE41" i="20"/>
  <c r="AE38" i="20"/>
  <c r="AE185" i="20"/>
  <c r="AE158" i="20"/>
  <c r="AE155" i="20"/>
  <c r="AE131" i="20"/>
  <c r="AE173" i="20"/>
  <c r="AE121" i="20"/>
  <c r="AE112" i="20"/>
  <c r="AE103" i="20"/>
  <c r="AE94" i="20"/>
  <c r="AE85" i="20"/>
  <c r="AE76" i="20"/>
  <c r="AE66" i="20"/>
  <c r="AE63" i="20"/>
  <c r="AE60" i="20"/>
  <c r="AE57" i="20"/>
  <c r="AE54" i="20"/>
  <c r="AE51" i="20"/>
  <c r="AE48" i="20"/>
  <c r="AE45" i="20"/>
  <c r="AE42" i="20"/>
  <c r="AE39" i="20"/>
  <c r="AE188" i="20"/>
  <c r="AE135" i="20"/>
  <c r="AE120" i="20"/>
  <c r="AE111" i="20"/>
  <c r="AE102" i="20"/>
  <c r="AE93" i="20"/>
  <c r="AE179" i="20"/>
  <c r="AE152" i="20"/>
  <c r="AE144" i="20"/>
  <c r="AE134" i="20"/>
  <c r="AE119" i="20"/>
  <c r="AE110" i="20"/>
  <c r="AE101" i="20"/>
  <c r="AE148" i="20"/>
  <c r="AE132" i="20"/>
  <c r="AE122" i="20"/>
  <c r="AE108" i="20"/>
  <c r="AE96" i="20"/>
  <c r="AE86" i="20"/>
  <c r="AE83" i="20"/>
  <c r="AE77" i="20"/>
  <c r="AE74" i="20"/>
  <c r="AE68" i="20"/>
  <c r="AE142" i="20"/>
  <c r="AE170" i="20"/>
  <c r="AE141" i="20"/>
  <c r="AE130" i="20"/>
  <c r="AE104" i="20"/>
  <c r="AE58" i="20"/>
  <c r="AE49" i="20"/>
  <c r="AE40" i="20"/>
  <c r="AE151" i="20"/>
  <c r="AE114" i="20"/>
  <c r="AE107" i="20"/>
  <c r="AE89" i="20"/>
  <c r="AE167" i="20"/>
  <c r="AE129" i="20"/>
  <c r="AE84" i="20"/>
  <c r="AE81" i="20"/>
  <c r="AE75" i="20"/>
  <c r="AE72" i="20"/>
  <c r="AE139" i="20"/>
  <c r="AE128" i="20"/>
  <c r="AE97" i="20"/>
  <c r="AE95" i="20"/>
  <c r="AE87" i="20"/>
  <c r="AE78" i="20"/>
  <c r="AE69" i="20"/>
  <c r="AE36" i="20"/>
  <c r="AE33" i="20"/>
  <c r="AE30" i="20"/>
  <c r="AE27" i="20"/>
  <c r="AE24" i="20"/>
  <c r="AE21" i="20"/>
  <c r="AE18" i="20"/>
  <c r="AE15" i="20"/>
  <c r="AE12" i="20"/>
  <c r="AE9" i="20"/>
  <c r="AE6" i="20"/>
  <c r="AE3" i="20"/>
  <c r="AE164" i="20"/>
  <c r="AE127" i="20"/>
  <c r="AE113" i="20"/>
  <c r="AE52" i="20"/>
  <c r="AE43" i="20"/>
  <c r="AE126" i="20"/>
  <c r="AE117" i="20"/>
  <c r="AE106" i="20"/>
  <c r="AE161" i="20"/>
  <c r="AE136" i="20"/>
  <c r="AE125" i="20"/>
  <c r="AE116" i="20"/>
  <c r="AE99" i="20"/>
  <c r="AE79" i="20"/>
  <c r="AE70" i="20"/>
  <c r="AE88" i="20"/>
  <c r="AE34" i="20"/>
  <c r="AE31" i="20"/>
  <c r="AE28" i="20"/>
  <c r="AE25" i="20"/>
  <c r="AE22" i="20"/>
  <c r="AE19" i="20"/>
  <c r="AE16" i="20"/>
  <c r="AE13" i="20"/>
  <c r="AE10" i="20"/>
  <c r="AE7" i="20"/>
  <c r="AE4" i="20"/>
  <c r="AE176" i="20"/>
  <c r="AE145" i="20"/>
  <c r="AE124" i="20"/>
  <c r="AE92" i="20"/>
  <c r="AE90" i="20"/>
  <c r="AE55" i="20"/>
  <c r="AE46" i="20"/>
  <c r="AE37" i="20"/>
  <c r="AE115" i="20"/>
  <c r="AE105" i="20"/>
  <c r="AE146" i="20"/>
  <c r="AE71" i="20"/>
  <c r="AE67" i="20"/>
  <c r="AE64" i="20"/>
  <c r="AE61" i="20"/>
  <c r="AF1" i="20"/>
  <c r="AE80" i="20"/>
  <c r="AE26" i="20"/>
  <c r="AE23" i="20"/>
  <c r="AE20" i="20"/>
  <c r="AE17" i="20"/>
  <c r="AE14" i="20"/>
  <c r="AE11" i="20"/>
  <c r="AE8" i="20"/>
  <c r="AE5" i="20"/>
  <c r="AE29" i="20"/>
  <c r="AE98" i="20"/>
  <c r="AE32" i="20"/>
  <c r="AE35" i="20"/>
  <c r="AC142" i="18"/>
  <c r="AC139" i="18"/>
  <c r="AC190" i="18"/>
  <c r="AC187" i="18"/>
  <c r="AC184" i="18"/>
  <c r="AC181" i="18"/>
  <c r="AC178" i="18"/>
  <c r="AC175" i="18"/>
  <c r="AC172" i="18"/>
  <c r="AC169" i="18"/>
  <c r="AC166" i="18"/>
  <c r="AC163" i="18"/>
  <c r="AC160" i="18"/>
  <c r="AC157" i="18"/>
  <c r="AC154" i="18"/>
  <c r="AC151" i="18"/>
  <c r="AC191" i="18"/>
  <c r="AC188" i="18"/>
  <c r="AC185" i="18"/>
  <c r="AC182" i="18"/>
  <c r="AC179" i="18"/>
  <c r="AC176" i="18"/>
  <c r="AC173" i="18"/>
  <c r="AC170" i="18"/>
  <c r="AC167" i="18"/>
  <c r="AC164" i="18"/>
  <c r="AC161" i="18"/>
  <c r="AC158" i="18"/>
  <c r="AC155" i="18"/>
  <c r="AC152" i="18"/>
  <c r="AC149" i="18"/>
  <c r="AC146" i="18"/>
  <c r="AC143" i="18"/>
  <c r="AC186" i="18"/>
  <c r="AC177" i="18"/>
  <c r="AC168" i="18"/>
  <c r="AC159" i="18"/>
  <c r="AC150" i="18"/>
  <c r="AC140" i="18"/>
  <c r="AC192" i="18"/>
  <c r="AC183" i="18"/>
  <c r="AC174" i="18"/>
  <c r="AC148" i="18"/>
  <c r="AC135" i="18"/>
  <c r="AC127" i="18"/>
  <c r="AC124" i="18"/>
  <c r="AC121" i="18"/>
  <c r="AC118" i="18"/>
  <c r="AC115" i="18"/>
  <c r="AC112" i="18"/>
  <c r="AC109" i="18"/>
  <c r="AC106" i="18"/>
  <c r="AC103" i="18"/>
  <c r="AC100" i="18"/>
  <c r="AC97" i="18"/>
  <c r="AC94" i="18"/>
  <c r="AC91" i="18"/>
  <c r="AC88" i="18"/>
  <c r="AC85" i="18"/>
  <c r="AC82" i="18"/>
  <c r="AC79" i="18"/>
  <c r="AC76" i="18"/>
  <c r="AC73" i="18"/>
  <c r="AC70" i="18"/>
  <c r="AC128" i="18"/>
  <c r="AC125" i="18"/>
  <c r="AC122" i="18"/>
  <c r="AC119" i="18"/>
  <c r="AC116" i="18"/>
  <c r="AC113" i="18"/>
  <c r="AC110" i="18"/>
  <c r="AC107" i="18"/>
  <c r="AC104" i="18"/>
  <c r="AC101" i="18"/>
  <c r="AC98" i="18"/>
  <c r="AC95" i="18"/>
  <c r="AC92" i="18"/>
  <c r="AC89" i="18"/>
  <c r="AC86" i="18"/>
  <c r="AC83" i="18"/>
  <c r="AC80" i="18"/>
  <c r="AC77" i="18"/>
  <c r="AC74" i="18"/>
  <c r="AC71" i="18"/>
  <c r="AC144" i="18"/>
  <c r="AC123" i="18"/>
  <c r="AC114" i="18"/>
  <c r="AC105" i="18"/>
  <c r="AC96" i="18"/>
  <c r="AC87" i="18"/>
  <c r="AC78" i="18"/>
  <c r="AC69" i="18"/>
  <c r="AC132" i="18"/>
  <c r="AC64" i="18"/>
  <c r="AC55" i="18"/>
  <c r="AC46" i="18"/>
  <c r="AC37" i="18"/>
  <c r="AC68" i="18"/>
  <c r="AC59" i="18"/>
  <c r="AC50" i="18"/>
  <c r="AC41" i="18"/>
  <c r="AC32" i="18"/>
  <c r="AC23" i="18"/>
  <c r="AC14" i="18"/>
  <c r="AC5" i="18"/>
  <c r="AC171" i="18"/>
  <c r="AC156" i="18"/>
  <c r="AC137" i="18"/>
  <c r="AC131" i="18"/>
  <c r="AC63" i="18"/>
  <c r="AC54" i="18"/>
  <c r="AC45" i="18"/>
  <c r="AC36" i="18"/>
  <c r="AC27" i="18"/>
  <c r="AC18" i="18"/>
  <c r="AC9" i="18"/>
  <c r="AC189" i="18"/>
  <c r="AC126" i="18"/>
  <c r="AC117" i="18"/>
  <c r="AC108" i="18"/>
  <c r="AC99" i="18"/>
  <c r="AC90" i="18"/>
  <c r="AC81" i="18"/>
  <c r="AC72" i="18"/>
  <c r="AC153" i="18"/>
  <c r="AC147" i="18"/>
  <c r="AC145" i="18"/>
  <c r="AC130" i="18"/>
  <c r="AC47" i="18"/>
  <c r="AC17" i="18"/>
  <c r="AC11" i="18"/>
  <c r="AC129" i="18"/>
  <c r="AC60" i="18"/>
  <c r="AC43" i="18"/>
  <c r="AC33" i="18"/>
  <c r="AC19" i="18"/>
  <c r="AD1" i="18"/>
  <c r="AC180" i="18"/>
  <c r="AC66" i="18"/>
  <c r="AC49" i="18"/>
  <c r="AC39" i="18"/>
  <c r="AC25" i="18"/>
  <c r="AC4" i="18"/>
  <c r="AC56" i="18"/>
  <c r="AC29" i="18"/>
  <c r="AC8" i="18"/>
  <c r="AC141" i="18"/>
  <c r="AC120" i="18"/>
  <c r="AC62" i="18"/>
  <c r="AC35" i="18"/>
  <c r="AC12" i="18"/>
  <c r="AC6" i="18"/>
  <c r="AC138" i="18"/>
  <c r="AC134" i="18"/>
  <c r="AC133" i="18"/>
  <c r="AC52" i="18"/>
  <c r="AC42" i="18"/>
  <c r="AC10" i="18"/>
  <c r="AC165" i="18"/>
  <c r="AC75" i="18"/>
  <c r="AC65" i="18"/>
  <c r="AC38" i="18"/>
  <c r="AC26" i="18"/>
  <c r="AC20" i="18"/>
  <c r="AC111" i="18"/>
  <c r="AC44" i="18"/>
  <c r="AC24" i="18"/>
  <c r="AC3" i="18"/>
  <c r="AC162" i="18"/>
  <c r="AC93" i="18"/>
  <c r="AC84" i="18"/>
  <c r="AC61" i="18"/>
  <c r="AC51" i="18"/>
  <c r="AC34" i="18"/>
  <c r="AC28" i="18"/>
  <c r="AC58" i="18"/>
  <c r="AC22" i="18"/>
  <c r="AC67" i="18"/>
  <c r="AC30" i="18"/>
  <c r="AC48" i="18"/>
  <c r="AC16" i="18"/>
  <c r="AC57" i="18"/>
  <c r="AC13" i="18"/>
  <c r="AC136" i="18"/>
  <c r="AC21" i="18"/>
  <c r="AC102" i="18"/>
  <c r="AC7" i="18"/>
  <c r="AC53" i="18"/>
  <c r="AC15" i="18"/>
  <c r="AC31" i="18"/>
  <c r="AC40" i="18"/>
  <c r="AD178" i="25"/>
  <c r="AD179" i="25"/>
  <c r="AD176" i="25"/>
  <c r="AD173" i="25"/>
  <c r="AD170" i="25"/>
  <c r="AD167" i="25"/>
  <c r="AD164" i="25"/>
  <c r="AD161" i="25"/>
  <c r="AD158" i="25"/>
  <c r="AD155" i="25"/>
  <c r="AD152" i="25"/>
  <c r="AD149" i="25"/>
  <c r="AD146" i="25"/>
  <c r="AD143" i="25"/>
  <c r="AD140" i="25"/>
  <c r="AD137" i="25"/>
  <c r="AD175" i="25"/>
  <c r="AD172" i="25"/>
  <c r="AD169" i="25"/>
  <c r="AD166" i="25"/>
  <c r="AD163" i="25"/>
  <c r="AD160" i="25"/>
  <c r="AD157" i="25"/>
  <c r="AD154" i="25"/>
  <c r="AD151" i="25"/>
  <c r="AD148" i="25"/>
  <c r="AD145" i="25"/>
  <c r="AD142" i="25"/>
  <c r="AD139" i="25"/>
  <c r="AD136" i="25"/>
  <c r="AD171" i="25"/>
  <c r="AD162" i="25"/>
  <c r="AD153" i="25"/>
  <c r="AD144" i="25"/>
  <c r="AD135" i="25"/>
  <c r="AD125" i="25"/>
  <c r="AD131" i="25"/>
  <c r="AD123" i="25"/>
  <c r="AD115" i="25"/>
  <c r="AD112" i="25"/>
  <c r="AD109" i="25"/>
  <c r="AD106" i="25"/>
  <c r="AD103" i="25"/>
  <c r="AD100" i="25"/>
  <c r="AD97" i="25"/>
  <c r="AD168" i="25"/>
  <c r="AD159" i="25"/>
  <c r="AD150" i="25"/>
  <c r="AD141" i="25"/>
  <c r="AD121" i="25"/>
  <c r="AD133" i="25"/>
  <c r="AD130" i="25"/>
  <c r="AD114" i="25"/>
  <c r="AD111" i="25"/>
  <c r="AD108" i="25"/>
  <c r="AD105" i="25"/>
  <c r="AD102" i="25"/>
  <c r="AD93" i="25"/>
  <c r="AD90" i="25"/>
  <c r="AD87" i="25"/>
  <c r="AD84" i="25"/>
  <c r="AD81" i="25"/>
  <c r="AD78" i="25"/>
  <c r="AD75" i="25"/>
  <c r="AD72" i="25"/>
  <c r="AD147" i="25"/>
  <c r="AD122" i="25"/>
  <c r="AD96" i="25"/>
  <c r="AD156" i="25"/>
  <c r="AD127" i="25"/>
  <c r="AD165" i="25"/>
  <c r="AD128" i="25"/>
  <c r="AD124" i="25"/>
  <c r="AD94" i="25"/>
  <c r="AD91" i="25"/>
  <c r="AD88" i="25"/>
  <c r="AD85" i="25"/>
  <c r="AD82" i="25"/>
  <c r="AD79" i="25"/>
  <c r="AD76" i="25"/>
  <c r="AD73" i="25"/>
  <c r="AD99" i="25"/>
  <c r="AD174" i="25"/>
  <c r="AD177" i="25"/>
  <c r="AD129" i="25"/>
  <c r="AD98" i="25"/>
  <c r="AD138" i="25"/>
  <c r="AD92" i="25"/>
  <c r="AD83" i="25"/>
  <c r="AD120" i="25"/>
  <c r="AD119" i="25"/>
  <c r="AD118" i="25"/>
  <c r="AD117" i="25"/>
  <c r="AD116" i="25"/>
  <c r="AD74" i="25"/>
  <c r="AD70" i="25"/>
  <c r="AD67" i="25"/>
  <c r="AD64" i="25"/>
  <c r="AD61" i="25"/>
  <c r="AD58" i="25"/>
  <c r="AD55" i="25"/>
  <c r="AD52" i="25"/>
  <c r="AD49" i="25"/>
  <c r="AD46" i="25"/>
  <c r="AD132" i="25"/>
  <c r="AD113" i="25"/>
  <c r="AD89" i="25"/>
  <c r="AD80" i="25"/>
  <c r="AD95" i="25"/>
  <c r="AD86" i="25"/>
  <c r="AD77" i="25"/>
  <c r="AD101" i="25"/>
  <c r="AD68" i="25"/>
  <c r="AD65" i="25"/>
  <c r="AD62" i="25"/>
  <c r="AD59" i="25"/>
  <c r="AD56" i="25"/>
  <c r="AD53" i="25"/>
  <c r="AD50" i="25"/>
  <c r="AD47" i="25"/>
  <c r="AD45" i="25"/>
  <c r="AD41" i="25"/>
  <c r="AD38" i="25"/>
  <c r="AD35" i="25"/>
  <c r="AD32" i="25"/>
  <c r="AD29" i="25"/>
  <c r="AD26" i="25"/>
  <c r="AD23" i="25"/>
  <c r="AD20" i="25"/>
  <c r="AD17" i="25"/>
  <c r="AD14" i="25"/>
  <c r="AD11" i="25"/>
  <c r="AD8" i="25"/>
  <c r="AD110" i="25"/>
  <c r="AD134" i="25"/>
  <c r="AD107" i="25"/>
  <c r="AD71" i="25"/>
  <c r="AD39" i="25"/>
  <c r="AD36" i="25"/>
  <c r="AD33" i="25"/>
  <c r="AD30" i="25"/>
  <c r="AD27" i="25"/>
  <c r="AD24" i="25"/>
  <c r="AD21" i="25"/>
  <c r="AD18" i="25"/>
  <c r="AD15" i="25"/>
  <c r="AD12" i="25"/>
  <c r="AD9" i="25"/>
  <c r="AD104" i="25"/>
  <c r="AD6" i="25"/>
  <c r="AD3" i="25"/>
  <c r="AD44" i="25"/>
  <c r="AD42" i="25"/>
  <c r="AD7" i="25"/>
  <c r="AD4" i="25"/>
  <c r="AD126" i="25"/>
  <c r="AD40" i="25"/>
  <c r="AD37" i="25"/>
  <c r="AD34" i="25"/>
  <c r="AD31" i="25"/>
  <c r="AD28" i="25"/>
  <c r="AD25" i="25"/>
  <c r="AD22" i="25"/>
  <c r="AD19" i="25"/>
  <c r="AD16" i="25"/>
  <c r="AD13" i="25"/>
  <c r="AD10" i="25"/>
  <c r="AE1" i="25"/>
  <c r="AD43" i="25"/>
  <c r="AD5" i="25"/>
  <c r="AD60" i="25"/>
  <c r="AD48" i="25"/>
  <c r="AD69" i="25"/>
  <c r="AD57" i="25"/>
  <c r="AD66" i="25"/>
  <c r="AD63" i="25"/>
  <c r="AD51" i="25"/>
  <c r="AD54" i="25"/>
  <c r="AC175" i="27"/>
  <c r="AC172" i="27"/>
  <c r="AC169" i="27"/>
  <c r="AC166" i="27"/>
  <c r="AC163" i="27"/>
  <c r="AC160" i="27"/>
  <c r="AC157" i="27"/>
  <c r="AC154" i="27"/>
  <c r="AC151" i="27"/>
  <c r="AC148" i="27"/>
  <c r="AC145" i="27"/>
  <c r="AC176" i="27"/>
  <c r="AC173" i="27"/>
  <c r="AC170" i="27"/>
  <c r="AC167" i="27"/>
  <c r="AC164" i="27"/>
  <c r="AC161" i="27"/>
  <c r="AC158" i="27"/>
  <c r="AC155" i="27"/>
  <c r="AC152" i="27"/>
  <c r="AC149" i="27"/>
  <c r="AC146" i="27"/>
  <c r="AC174" i="27"/>
  <c r="AC171" i="27"/>
  <c r="AC168" i="27"/>
  <c r="AC165" i="27"/>
  <c r="AC162" i="27"/>
  <c r="AC159" i="27"/>
  <c r="AC156" i="27"/>
  <c r="AC153" i="27"/>
  <c r="AC150" i="27"/>
  <c r="AC147" i="27"/>
  <c r="AC144" i="27"/>
  <c r="AC141" i="27"/>
  <c r="AC138" i="27"/>
  <c r="AC135" i="27"/>
  <c r="AC132" i="27"/>
  <c r="AC129" i="27"/>
  <c r="AC125" i="27"/>
  <c r="AC116" i="27"/>
  <c r="AC113" i="27"/>
  <c r="AC142" i="27"/>
  <c r="AC139" i="27"/>
  <c r="AC136" i="27"/>
  <c r="AC133" i="27"/>
  <c r="AC130" i="27"/>
  <c r="AC127" i="27"/>
  <c r="AC123" i="27"/>
  <c r="AC114" i="27"/>
  <c r="AC110" i="27"/>
  <c r="AC107" i="27"/>
  <c r="AC104" i="27"/>
  <c r="AC101" i="27"/>
  <c r="AC98" i="27"/>
  <c r="AC95" i="27"/>
  <c r="AC92" i="27"/>
  <c r="AC89" i="27"/>
  <c r="AC86" i="27"/>
  <c r="AC143" i="27"/>
  <c r="AC140" i="27"/>
  <c r="AC137" i="27"/>
  <c r="AC134" i="27"/>
  <c r="AC131" i="27"/>
  <c r="AC128" i="27"/>
  <c r="AC124" i="27"/>
  <c r="AC115" i="27"/>
  <c r="AC111" i="27"/>
  <c r="AC108" i="27"/>
  <c r="AC105" i="27"/>
  <c r="AC102" i="27"/>
  <c r="AC99" i="27"/>
  <c r="AC96" i="27"/>
  <c r="AC93" i="27"/>
  <c r="AC90" i="27"/>
  <c r="AC87" i="27"/>
  <c r="AC83" i="27"/>
  <c r="AC80" i="27"/>
  <c r="AC77" i="27"/>
  <c r="AC74" i="27"/>
  <c r="AC71" i="27"/>
  <c r="AC68" i="27"/>
  <c r="AC65" i="27"/>
  <c r="AC88" i="27"/>
  <c r="AC84" i="27"/>
  <c r="AC81" i="27"/>
  <c r="AC78" i="27"/>
  <c r="AC75" i="27"/>
  <c r="AC72" i="27"/>
  <c r="AC69" i="27"/>
  <c r="AC66" i="27"/>
  <c r="AC63" i="27"/>
  <c r="AC109" i="27"/>
  <c r="AC106" i="27"/>
  <c r="AC103" i="27"/>
  <c r="AC100" i="27"/>
  <c r="AC97" i="27"/>
  <c r="AC94" i="27"/>
  <c r="AC91" i="27"/>
  <c r="AC85" i="27"/>
  <c r="AC82" i="27"/>
  <c r="AC79" i="27"/>
  <c r="AC76" i="27"/>
  <c r="AC73" i="27"/>
  <c r="AC70" i="27"/>
  <c r="AC67" i="27"/>
  <c r="AC64" i="27"/>
  <c r="AC60" i="27"/>
  <c r="AC57" i="27"/>
  <c r="AC54" i="27"/>
  <c r="AC51" i="27"/>
  <c r="AC48" i="27"/>
  <c r="AC45" i="27"/>
  <c r="AC42" i="27"/>
  <c r="AC39" i="27"/>
  <c r="AC61" i="27"/>
  <c r="AC58" i="27"/>
  <c r="AC55" i="27"/>
  <c r="AC52" i="27"/>
  <c r="AC49" i="27"/>
  <c r="AC46" i="27"/>
  <c r="AC43" i="27"/>
  <c r="AC40" i="27"/>
  <c r="AC37" i="27"/>
  <c r="AC62" i="27"/>
  <c r="AC59" i="27"/>
  <c r="AC56" i="27"/>
  <c r="AC53" i="27"/>
  <c r="AC50" i="27"/>
  <c r="AC47" i="27"/>
  <c r="AC44" i="27"/>
  <c r="AC41" i="27"/>
  <c r="AC38" i="27"/>
  <c r="AC34" i="27"/>
  <c r="AC31" i="27"/>
  <c r="AC28" i="27"/>
  <c r="AC25" i="27"/>
  <c r="AC22" i="27"/>
  <c r="AC19" i="27"/>
  <c r="AC16" i="27"/>
  <c r="AC13" i="27"/>
  <c r="AC10" i="27"/>
  <c r="AC35" i="27"/>
  <c r="AC32" i="27"/>
  <c r="AC29" i="27"/>
  <c r="AC26" i="27"/>
  <c r="AC23" i="27"/>
  <c r="AC20" i="27"/>
  <c r="AC17" i="27"/>
  <c r="AC14" i="27"/>
  <c r="AC11" i="27"/>
  <c r="AC36" i="27"/>
  <c r="AC33" i="27"/>
  <c r="AC30" i="27"/>
  <c r="AC27" i="27"/>
  <c r="AC24" i="27"/>
  <c r="AC21" i="27"/>
  <c r="AC18" i="27"/>
  <c r="AC15" i="27"/>
  <c r="AC12" i="27"/>
  <c r="AC7" i="27"/>
  <c r="AC4" i="27"/>
  <c r="AD1" i="27"/>
  <c r="AC8" i="27"/>
  <c r="AC3" i="27"/>
  <c r="AC5" i="27"/>
  <c r="AC9" i="27"/>
  <c r="AC6" i="27"/>
  <c r="AD190" i="18" l="1"/>
  <c r="AD187" i="18"/>
  <c r="AD184" i="18"/>
  <c r="AD181" i="18"/>
  <c r="AD178" i="18"/>
  <c r="AD175" i="18"/>
  <c r="AD172" i="18"/>
  <c r="AD169" i="18"/>
  <c r="AD166" i="18"/>
  <c r="AD163" i="18"/>
  <c r="AD160" i="18"/>
  <c r="AD157" i="18"/>
  <c r="AD154" i="18"/>
  <c r="AD151" i="18"/>
  <c r="AD148" i="18"/>
  <c r="AD145" i="18"/>
  <c r="AD185" i="18"/>
  <c r="AD176" i="18"/>
  <c r="AD167" i="18"/>
  <c r="AD189" i="18"/>
  <c r="AD179" i="18"/>
  <c r="AD165" i="18"/>
  <c r="AD150" i="18"/>
  <c r="AD147" i="18"/>
  <c r="AD182" i="18"/>
  <c r="AD171" i="18"/>
  <c r="AD170" i="18"/>
  <c r="AD149" i="18"/>
  <c r="AD133" i="18"/>
  <c r="AD130" i="18"/>
  <c r="AE1" i="18"/>
  <c r="AD173" i="18"/>
  <c r="AD153" i="18"/>
  <c r="AD131" i="18"/>
  <c r="AD159" i="18"/>
  <c r="AD158" i="18"/>
  <c r="AD142" i="18"/>
  <c r="AD132" i="18"/>
  <c r="AD64" i="18"/>
  <c r="AD55" i="18"/>
  <c r="AD46" i="18"/>
  <c r="AD37" i="18"/>
  <c r="AD28" i="18"/>
  <c r="AD19" i="18"/>
  <c r="AD10" i="18"/>
  <c r="AD191" i="18"/>
  <c r="AD186" i="18"/>
  <c r="AD127" i="18"/>
  <c r="AD118" i="18"/>
  <c r="AD109" i="18"/>
  <c r="AD100" i="18"/>
  <c r="AD91" i="18"/>
  <c r="AD82" i="18"/>
  <c r="AD73" i="18"/>
  <c r="AD68" i="18"/>
  <c r="AD59" i="18"/>
  <c r="AD50" i="18"/>
  <c r="AD41" i="18"/>
  <c r="AD32" i="18"/>
  <c r="AD156" i="18"/>
  <c r="AD155" i="18"/>
  <c r="AD137" i="18"/>
  <c r="AD122" i="18"/>
  <c r="AD113" i="18"/>
  <c r="AD104" i="18"/>
  <c r="AD95" i="18"/>
  <c r="AD86" i="18"/>
  <c r="AD77" i="18"/>
  <c r="AD63" i="18"/>
  <c r="AD54" i="18"/>
  <c r="AD45" i="18"/>
  <c r="AD36" i="18"/>
  <c r="AD27" i="18"/>
  <c r="AD18" i="18"/>
  <c r="AD9" i="18"/>
  <c r="AD140" i="18"/>
  <c r="AD126" i="18"/>
  <c r="AD117" i="18"/>
  <c r="AD108" i="18"/>
  <c r="AD99" i="18"/>
  <c r="AD90" i="18"/>
  <c r="AD81" i="18"/>
  <c r="AD72" i="18"/>
  <c r="AD174" i="18"/>
  <c r="AD168" i="18"/>
  <c r="AD67" i="18"/>
  <c r="AD58" i="18"/>
  <c r="AD49" i="18"/>
  <c r="AD40" i="18"/>
  <c r="AD31" i="18"/>
  <c r="AD22" i="18"/>
  <c r="AD13" i="18"/>
  <c r="AD4" i="18"/>
  <c r="AD152" i="18"/>
  <c r="AD121" i="18"/>
  <c r="AD112" i="18"/>
  <c r="AD103" i="18"/>
  <c r="AD192" i="18"/>
  <c r="AD143" i="18"/>
  <c r="AD141" i="18"/>
  <c r="AD138" i="18"/>
  <c r="AD125" i="18"/>
  <c r="AD116" i="18"/>
  <c r="AD107" i="18"/>
  <c r="AD98" i="18"/>
  <c r="AD89" i="18"/>
  <c r="AD80" i="18"/>
  <c r="AD180" i="18"/>
  <c r="AD139" i="18"/>
  <c r="AD136" i="18"/>
  <c r="AD102" i="18"/>
  <c r="AD92" i="18"/>
  <c r="AD83" i="18"/>
  <c r="AD74" i="18"/>
  <c r="AD53" i="18"/>
  <c r="AD21" i="18"/>
  <c r="AD15" i="18"/>
  <c r="AD70" i="18"/>
  <c r="AD66" i="18"/>
  <c r="AD39" i="18"/>
  <c r="AD25" i="18"/>
  <c r="AD23" i="18"/>
  <c r="AD161" i="18"/>
  <c r="AD76" i="18"/>
  <c r="AD56" i="18"/>
  <c r="AD29" i="18"/>
  <c r="AD8" i="18"/>
  <c r="AD120" i="18"/>
  <c r="AD62" i="18"/>
  <c r="AD35" i="18"/>
  <c r="AD12" i="18"/>
  <c r="AD6" i="18"/>
  <c r="AD146" i="18"/>
  <c r="AD134" i="18"/>
  <c r="AD119" i="18"/>
  <c r="AD106" i="18"/>
  <c r="AD105" i="18"/>
  <c r="AD97" i="18"/>
  <c r="AD88" i="18"/>
  <c r="AD52" i="18"/>
  <c r="AD42" i="18"/>
  <c r="AD79" i="18"/>
  <c r="AD69" i="18"/>
  <c r="AD48" i="18"/>
  <c r="AD16" i="18"/>
  <c r="AD14" i="18"/>
  <c r="AD188" i="18"/>
  <c r="AD135" i="18"/>
  <c r="AD96" i="18"/>
  <c r="AD183" i="18"/>
  <c r="AD144" i="18"/>
  <c r="AD111" i="18"/>
  <c r="AD94" i="18"/>
  <c r="AD85" i="18"/>
  <c r="AD44" i="18"/>
  <c r="AD24" i="18"/>
  <c r="AD3" i="18"/>
  <c r="AD177" i="18"/>
  <c r="AD162" i="18"/>
  <c r="AD124" i="18"/>
  <c r="AD123" i="18"/>
  <c r="AD110" i="18"/>
  <c r="AD93" i="18"/>
  <c r="AD84" i="18"/>
  <c r="AD71" i="18"/>
  <c r="AD61" i="18"/>
  <c r="AD51" i="18"/>
  <c r="AD34" i="18"/>
  <c r="AD78" i="18"/>
  <c r="AD57" i="18"/>
  <c r="AD30" i="18"/>
  <c r="AD7" i="18"/>
  <c r="AD5" i="18"/>
  <c r="AD87" i="18"/>
  <c r="AD11" i="18"/>
  <c r="AD33" i="18"/>
  <c r="AD129" i="18"/>
  <c r="AD60" i="18"/>
  <c r="AD75" i="18"/>
  <c r="AD38" i="18"/>
  <c r="AD26" i="18"/>
  <c r="AD128" i="18"/>
  <c r="AD115" i="18"/>
  <c r="AD47" i="18"/>
  <c r="AD114" i="18"/>
  <c r="AD101" i="18"/>
  <c r="AD65" i="18"/>
  <c r="AD20" i="18"/>
  <c r="AD164" i="18"/>
  <c r="AD17" i="18"/>
  <c r="AD43" i="18"/>
  <c r="AD189" i="19"/>
  <c r="AD186" i="19"/>
  <c r="AD183" i="19"/>
  <c r="AD180" i="19"/>
  <c r="AD177" i="19"/>
  <c r="AD190" i="19"/>
  <c r="AD187" i="19"/>
  <c r="AD184" i="19"/>
  <c r="AD181" i="19"/>
  <c r="AD178" i="19"/>
  <c r="AD175" i="19"/>
  <c r="AD188" i="19"/>
  <c r="AD179" i="19"/>
  <c r="AD173" i="19"/>
  <c r="AD170" i="19"/>
  <c r="AD167" i="19"/>
  <c r="AD164" i="19"/>
  <c r="AD161" i="19"/>
  <c r="AD158" i="19"/>
  <c r="AD155" i="19"/>
  <c r="AD152" i="19"/>
  <c r="AD149" i="19"/>
  <c r="AD146" i="19"/>
  <c r="AD143" i="19"/>
  <c r="AD124" i="19"/>
  <c r="AD121" i="19"/>
  <c r="AD118" i="19"/>
  <c r="AD115" i="19"/>
  <c r="AD112" i="19"/>
  <c r="AD109" i="19"/>
  <c r="AD106" i="19"/>
  <c r="AD103" i="19"/>
  <c r="AD100" i="19"/>
  <c r="AD97" i="19"/>
  <c r="AD94" i="19"/>
  <c r="AD91" i="19"/>
  <c r="AD88" i="19"/>
  <c r="AD85" i="19"/>
  <c r="AD82" i="19"/>
  <c r="AD79" i="19"/>
  <c r="AD76" i="19"/>
  <c r="AD73" i="19"/>
  <c r="AD70" i="19"/>
  <c r="AD135" i="19"/>
  <c r="AD130" i="19"/>
  <c r="AD127" i="19"/>
  <c r="AE1" i="19"/>
  <c r="AD138" i="19"/>
  <c r="AD133" i="19"/>
  <c r="AD65" i="19"/>
  <c r="AD62" i="19"/>
  <c r="AD59" i="19"/>
  <c r="AD56" i="19"/>
  <c r="AD53" i="19"/>
  <c r="AD50" i="19"/>
  <c r="AD47" i="19"/>
  <c r="AD44" i="19"/>
  <c r="AD41" i="19"/>
  <c r="AD38" i="19"/>
  <c r="AD35" i="19"/>
  <c r="AD32" i="19"/>
  <c r="AD29" i="19"/>
  <c r="AD26" i="19"/>
  <c r="AD23" i="19"/>
  <c r="AD20" i="19"/>
  <c r="AD17" i="19"/>
  <c r="AD14" i="19"/>
  <c r="AD11" i="19"/>
  <c r="AD8" i="19"/>
  <c r="AD5" i="19"/>
  <c r="AD139" i="19"/>
  <c r="AD66" i="19"/>
  <c r="AD63" i="19"/>
  <c r="AD60" i="19"/>
  <c r="AD57" i="19"/>
  <c r="AD54" i="19"/>
  <c r="AD51" i="19"/>
  <c r="AD48" i="19"/>
  <c r="AD45" i="19"/>
  <c r="AD42" i="19"/>
  <c r="AD39" i="19"/>
  <c r="AD36" i="19"/>
  <c r="AD33" i="19"/>
  <c r="AD30" i="19"/>
  <c r="AD27" i="19"/>
  <c r="AD24" i="19"/>
  <c r="AD21" i="19"/>
  <c r="AD18" i="19"/>
  <c r="AD15" i="19"/>
  <c r="AD12" i="19"/>
  <c r="AD9" i="19"/>
  <c r="AD6" i="19"/>
  <c r="AD3" i="19"/>
  <c r="AD172" i="19"/>
  <c r="AD163" i="19"/>
  <c r="AD154" i="19"/>
  <c r="AD145" i="19"/>
  <c r="AD132" i="19"/>
  <c r="AD119" i="19"/>
  <c r="AD110" i="19"/>
  <c r="AD101" i="19"/>
  <c r="AD92" i="19"/>
  <c r="AD83" i="19"/>
  <c r="AD74" i="19"/>
  <c r="AD67" i="19"/>
  <c r="AD58" i="19"/>
  <c r="AD49" i="19"/>
  <c r="AD40" i="19"/>
  <c r="AD31" i="19"/>
  <c r="AD22" i="19"/>
  <c r="AD13" i="19"/>
  <c r="AD4" i="19"/>
  <c r="AD176" i="19"/>
  <c r="AD128" i="19"/>
  <c r="AD168" i="19"/>
  <c r="AD159" i="19"/>
  <c r="AD150" i="19"/>
  <c r="AD141" i="19"/>
  <c r="AD126" i="19"/>
  <c r="AD117" i="19"/>
  <c r="AD108" i="19"/>
  <c r="AD99" i="19"/>
  <c r="AD90" i="19"/>
  <c r="AD81" i="19"/>
  <c r="AD72" i="19"/>
  <c r="AD185" i="19"/>
  <c r="AD182" i="19"/>
  <c r="AD131" i="19"/>
  <c r="AD171" i="19"/>
  <c r="AD162" i="19"/>
  <c r="AD153" i="19"/>
  <c r="AD144" i="19"/>
  <c r="AD137" i="19"/>
  <c r="AD120" i="19"/>
  <c r="AD111" i="19"/>
  <c r="AD102" i="19"/>
  <c r="AD93" i="19"/>
  <c r="AD84" i="19"/>
  <c r="AD75" i="19"/>
  <c r="AD169" i="19"/>
  <c r="AD160" i="19"/>
  <c r="AD151" i="19"/>
  <c r="AD142" i="19"/>
  <c r="AD125" i="19"/>
  <c r="AD116" i="19"/>
  <c r="AD107" i="19"/>
  <c r="AD98" i="19"/>
  <c r="AD89" i="19"/>
  <c r="AD80" i="19"/>
  <c r="AD71" i="19"/>
  <c r="AD64" i="19"/>
  <c r="AD55" i="19"/>
  <c r="AD46" i="19"/>
  <c r="AD37" i="19"/>
  <c r="AD28" i="19"/>
  <c r="AD19" i="19"/>
  <c r="AD10" i="19"/>
  <c r="AD105" i="19"/>
  <c r="AD156" i="19"/>
  <c r="AD134" i="19"/>
  <c r="AD123" i="19"/>
  <c r="AD69" i="19"/>
  <c r="AD52" i="19"/>
  <c r="AD174" i="19"/>
  <c r="AD157" i="19"/>
  <c r="AD129" i="19"/>
  <c r="AD140" i="19"/>
  <c r="AD78" i="19"/>
  <c r="AD61" i="19"/>
  <c r="AD34" i="19"/>
  <c r="AD25" i="19"/>
  <c r="AD166" i="19"/>
  <c r="AD87" i="19"/>
  <c r="AD16" i="19"/>
  <c r="AD147" i="19"/>
  <c r="AD96" i="19"/>
  <c r="AD114" i="19"/>
  <c r="AD43" i="19"/>
  <c r="AD77" i="19"/>
  <c r="AD68" i="19"/>
  <c r="AD113" i="19"/>
  <c r="AD104" i="19"/>
  <c r="AD95" i="19"/>
  <c r="AD86" i="19"/>
  <c r="AD148" i="19"/>
  <c r="AD122" i="19"/>
  <c r="AD7" i="19"/>
  <c r="AD136" i="19"/>
  <c r="AD165" i="19"/>
  <c r="AG186" i="17"/>
  <c r="AG177" i="17"/>
  <c r="AG168" i="17"/>
  <c r="AG159" i="17"/>
  <c r="AG150" i="17"/>
  <c r="AG138" i="17"/>
  <c r="AG190" i="17"/>
  <c r="AG181" i="17"/>
  <c r="AG185" i="17"/>
  <c r="AG176" i="17"/>
  <c r="AG167" i="17"/>
  <c r="AG158" i="17"/>
  <c r="AG149" i="17"/>
  <c r="AG189" i="17"/>
  <c r="AG180" i="17"/>
  <c r="AG171" i="17"/>
  <c r="AG162" i="17"/>
  <c r="AG153" i="17"/>
  <c r="AG134" i="17"/>
  <c r="AG187" i="17"/>
  <c r="AG175" i="17"/>
  <c r="AG166" i="17"/>
  <c r="AG157" i="17"/>
  <c r="AG148" i="17"/>
  <c r="AG145" i="17"/>
  <c r="AG141" i="17"/>
  <c r="AG140" i="17"/>
  <c r="AG121" i="17"/>
  <c r="AG112" i="17"/>
  <c r="AG103" i="17"/>
  <c r="AG94" i="17"/>
  <c r="AG120" i="17"/>
  <c r="AG111" i="17"/>
  <c r="AG102" i="17"/>
  <c r="AG89" i="17"/>
  <c r="AG86" i="17"/>
  <c r="AG83" i="17"/>
  <c r="AG80" i="17"/>
  <c r="AG77" i="17"/>
  <c r="AG74" i="17"/>
  <c r="AG71" i="17"/>
  <c r="AG129" i="17"/>
  <c r="AG91" i="17"/>
  <c r="AG184" i="17"/>
  <c r="AG178" i="17"/>
  <c r="AG170" i="17"/>
  <c r="AG161" i="17"/>
  <c r="AG152" i="17"/>
  <c r="AG124" i="17"/>
  <c r="AG115" i="17"/>
  <c r="AG106" i="17"/>
  <c r="AG97" i="17"/>
  <c r="AG93" i="17"/>
  <c r="AG188" i="17"/>
  <c r="AG182" i="17"/>
  <c r="AG173" i="17"/>
  <c r="AG164" i="17"/>
  <c r="AG155" i="17"/>
  <c r="AG128" i="17"/>
  <c r="AG119" i="17"/>
  <c r="AG110" i="17"/>
  <c r="AG101" i="17"/>
  <c r="AG66" i="17"/>
  <c r="AG63" i="17"/>
  <c r="AG60" i="17"/>
  <c r="AG57" i="17"/>
  <c r="AG54" i="17"/>
  <c r="AG51" i="17"/>
  <c r="AG48" i="17"/>
  <c r="AG45" i="17"/>
  <c r="AG42" i="17"/>
  <c r="AG39" i="17"/>
  <c r="AG36" i="17"/>
  <c r="AG33" i="17"/>
  <c r="AG30" i="17"/>
  <c r="AG27" i="17"/>
  <c r="AG24" i="17"/>
  <c r="AG21" i="17"/>
  <c r="AG18" i="17"/>
  <c r="AG15" i="17"/>
  <c r="AG12" i="17"/>
  <c r="AG9" i="17"/>
  <c r="AG6" i="17"/>
  <c r="AG3" i="17"/>
  <c r="AG192" i="17"/>
  <c r="AG123" i="17"/>
  <c r="AG114" i="17"/>
  <c r="AG105" i="17"/>
  <c r="AG96" i="17"/>
  <c r="AG87" i="17"/>
  <c r="AG84" i="17"/>
  <c r="AG81" i="17"/>
  <c r="AG78" i="17"/>
  <c r="AG75" i="17"/>
  <c r="AG72" i="17"/>
  <c r="AG69" i="17"/>
  <c r="AG174" i="17"/>
  <c r="AG165" i="17"/>
  <c r="AG156" i="17"/>
  <c r="AG133" i="17"/>
  <c r="AG127" i="17"/>
  <c r="AG118" i="17"/>
  <c r="AG109" i="17"/>
  <c r="AG100" i="17"/>
  <c r="AG90" i="17"/>
  <c r="AG179" i="17"/>
  <c r="AG135" i="17"/>
  <c r="AG122" i="17"/>
  <c r="AG113" i="17"/>
  <c r="AG104" i="17"/>
  <c r="AG95" i="17"/>
  <c r="AG67" i="17"/>
  <c r="AG64" i="17"/>
  <c r="AG61" i="17"/>
  <c r="AG58" i="17"/>
  <c r="AG55" i="17"/>
  <c r="AG52" i="17"/>
  <c r="AG49" i="17"/>
  <c r="AG46" i="17"/>
  <c r="AG43" i="17"/>
  <c r="AG40" i="17"/>
  <c r="AG37" i="17"/>
  <c r="AG34" i="17"/>
  <c r="AG31" i="17"/>
  <c r="AG28" i="17"/>
  <c r="AG25" i="17"/>
  <c r="AG22" i="17"/>
  <c r="AG183" i="17"/>
  <c r="AG137" i="17"/>
  <c r="AG136" i="17"/>
  <c r="AG131" i="17"/>
  <c r="AG126" i="17"/>
  <c r="AG117" i="17"/>
  <c r="AG108" i="17"/>
  <c r="AG99" i="17"/>
  <c r="AG92" i="17"/>
  <c r="AG88" i="17"/>
  <c r="AG85" i="17"/>
  <c r="AG82" i="17"/>
  <c r="AG79" i="17"/>
  <c r="AG76" i="17"/>
  <c r="AG73" i="17"/>
  <c r="AG70" i="17"/>
  <c r="AG154" i="17"/>
  <c r="AG147" i="17"/>
  <c r="AG143" i="17"/>
  <c r="AG16" i="17"/>
  <c r="AG7" i="17"/>
  <c r="AG191" i="17"/>
  <c r="AG163" i="17"/>
  <c r="AG151" i="17"/>
  <c r="AG125" i="17"/>
  <c r="AG116" i="17"/>
  <c r="AG107" i="17"/>
  <c r="AG98" i="17"/>
  <c r="AG17" i="17"/>
  <c r="AG8" i="17"/>
  <c r="AG132" i="17"/>
  <c r="AG142" i="17"/>
  <c r="AG19" i="17"/>
  <c r="AG172" i="17"/>
  <c r="AG160" i="17"/>
  <c r="AG146" i="17"/>
  <c r="AG144" i="17"/>
  <c r="AG130" i="17"/>
  <c r="AG68" i="17"/>
  <c r="AG65" i="17"/>
  <c r="AG62" i="17"/>
  <c r="AG59" i="17"/>
  <c r="AG56" i="17"/>
  <c r="AG53" i="17"/>
  <c r="AG50" i="17"/>
  <c r="AG47" i="17"/>
  <c r="AG44" i="17"/>
  <c r="AG41" i="17"/>
  <c r="AG38" i="17"/>
  <c r="AG35" i="17"/>
  <c r="AG32" i="17"/>
  <c r="AG29" i="17"/>
  <c r="AG26" i="17"/>
  <c r="AG23" i="17"/>
  <c r="AG20" i="17"/>
  <c r="AG11" i="17"/>
  <c r="AG169" i="17"/>
  <c r="AG10" i="17"/>
  <c r="AG14" i="17"/>
  <c r="AH1" i="17"/>
  <c r="AG13" i="17"/>
  <c r="AG5" i="17"/>
  <c r="AG139" i="17"/>
  <c r="AG4" i="17"/>
  <c r="AD176" i="26"/>
  <c r="AD173" i="26"/>
  <c r="AD170" i="26"/>
  <c r="AD167" i="26"/>
  <c r="AD164" i="26"/>
  <c r="AD161" i="26"/>
  <c r="AD158" i="26"/>
  <c r="AD174" i="26"/>
  <c r="AD171" i="26"/>
  <c r="AD168" i="26"/>
  <c r="AD165" i="26"/>
  <c r="AD162" i="26"/>
  <c r="AD159" i="26"/>
  <c r="AD175" i="26"/>
  <c r="AD172" i="26"/>
  <c r="AD169" i="26"/>
  <c r="AD166" i="26"/>
  <c r="AD163" i="26"/>
  <c r="AD160" i="26"/>
  <c r="AD155" i="26"/>
  <c r="AD152" i="26"/>
  <c r="AD149" i="26"/>
  <c r="AD146" i="26"/>
  <c r="AD143" i="26"/>
  <c r="AD140" i="26"/>
  <c r="AD137" i="26"/>
  <c r="AD134" i="26"/>
  <c r="AD131" i="26"/>
  <c r="AD156" i="26"/>
  <c r="AD153" i="26"/>
  <c r="AD150" i="26"/>
  <c r="AD147" i="26"/>
  <c r="AD144" i="26"/>
  <c r="AD141" i="26"/>
  <c r="AD138" i="26"/>
  <c r="AD135" i="26"/>
  <c r="AD132" i="26"/>
  <c r="AD157" i="26"/>
  <c r="AD154" i="26"/>
  <c r="AD151" i="26"/>
  <c r="AD148" i="26"/>
  <c r="AD145" i="26"/>
  <c r="AD142" i="26"/>
  <c r="AD139" i="26"/>
  <c r="AD136" i="26"/>
  <c r="AD133" i="26"/>
  <c r="AD130" i="26"/>
  <c r="AD129" i="26"/>
  <c r="AD127" i="26"/>
  <c r="AD123" i="26"/>
  <c r="AD114" i="26"/>
  <c r="AD110" i="26"/>
  <c r="AD107" i="26"/>
  <c r="AD104" i="26"/>
  <c r="AD101" i="26"/>
  <c r="AD98" i="26"/>
  <c r="AD95" i="26"/>
  <c r="AD92" i="26"/>
  <c r="AD89" i="26"/>
  <c r="AD86" i="26"/>
  <c r="AD83" i="26"/>
  <c r="AD80" i="26"/>
  <c r="AD77" i="26"/>
  <c r="AD74" i="26"/>
  <c r="AD71" i="26"/>
  <c r="AD128" i="26"/>
  <c r="AD124" i="26"/>
  <c r="AD115" i="26"/>
  <c r="AD111" i="26"/>
  <c r="AD108" i="26"/>
  <c r="AD105" i="26"/>
  <c r="AD102" i="26"/>
  <c r="AD99" i="26"/>
  <c r="AD96" i="26"/>
  <c r="AD93" i="26"/>
  <c r="AD90" i="26"/>
  <c r="AD87" i="26"/>
  <c r="AD84" i="26"/>
  <c r="AD81" i="26"/>
  <c r="AD78" i="26"/>
  <c r="AD75" i="26"/>
  <c r="AD72" i="26"/>
  <c r="AD125" i="26"/>
  <c r="AD69" i="26"/>
  <c r="AD66" i="26"/>
  <c r="AD63" i="26"/>
  <c r="AD60" i="26"/>
  <c r="AD57" i="26"/>
  <c r="AD54" i="26"/>
  <c r="AD51" i="26"/>
  <c r="AD67" i="26"/>
  <c r="AD64" i="26"/>
  <c r="AD61" i="26"/>
  <c r="AD58" i="26"/>
  <c r="AD55" i="26"/>
  <c r="AD116" i="26"/>
  <c r="AD106" i="26"/>
  <c r="AD97" i="26"/>
  <c r="AD88" i="26"/>
  <c r="AD79" i="26"/>
  <c r="AD70" i="26"/>
  <c r="AD62" i="26"/>
  <c r="AD53" i="26"/>
  <c r="AD52" i="26"/>
  <c r="AD48" i="26"/>
  <c r="AD45" i="26"/>
  <c r="AD42" i="26"/>
  <c r="AD39" i="26"/>
  <c r="AD36" i="26"/>
  <c r="AD33" i="26"/>
  <c r="AD30" i="26"/>
  <c r="AD27" i="26"/>
  <c r="AD24" i="26"/>
  <c r="AD21" i="26"/>
  <c r="AD18" i="26"/>
  <c r="AD15" i="26"/>
  <c r="AD12" i="26"/>
  <c r="AD9" i="26"/>
  <c r="AD6" i="26"/>
  <c r="AD3" i="26"/>
  <c r="AD109" i="26"/>
  <c r="AD100" i="26"/>
  <c r="AD91" i="26"/>
  <c r="AD82" i="26"/>
  <c r="AD73" i="26"/>
  <c r="AD65" i="26"/>
  <c r="AD56" i="26"/>
  <c r="AD49" i="26"/>
  <c r="AD46" i="26"/>
  <c r="AD43" i="26"/>
  <c r="AD40" i="26"/>
  <c r="AD37" i="26"/>
  <c r="AD34" i="26"/>
  <c r="AD31" i="26"/>
  <c r="AD28" i="26"/>
  <c r="AD25" i="26"/>
  <c r="AD22" i="26"/>
  <c r="AD19" i="26"/>
  <c r="AD16" i="26"/>
  <c r="AD13" i="26"/>
  <c r="AD10" i="26"/>
  <c r="AD7" i="26"/>
  <c r="AD4" i="26"/>
  <c r="AD68" i="26"/>
  <c r="AD59" i="26"/>
  <c r="AD50" i="26"/>
  <c r="AD47" i="26"/>
  <c r="AD44" i="26"/>
  <c r="AD41" i="26"/>
  <c r="AD38" i="26"/>
  <c r="AD35" i="26"/>
  <c r="AD32" i="26"/>
  <c r="AD29" i="26"/>
  <c r="AD26" i="26"/>
  <c r="AD23" i="26"/>
  <c r="AD20" i="26"/>
  <c r="AD17" i="26"/>
  <c r="AD14" i="26"/>
  <c r="AD11" i="26"/>
  <c r="AD8" i="26"/>
  <c r="AD5" i="26"/>
  <c r="AD103" i="26"/>
  <c r="AD76" i="26"/>
  <c r="AD113" i="26"/>
  <c r="AD85" i="26"/>
  <c r="AD94" i="26"/>
  <c r="AE1" i="26"/>
  <c r="AE181" i="24"/>
  <c r="AE178" i="24"/>
  <c r="AE175" i="24"/>
  <c r="AE172" i="24"/>
  <c r="AE169" i="24"/>
  <c r="AE166" i="24"/>
  <c r="AE163" i="24"/>
  <c r="AE160" i="24"/>
  <c r="AE157" i="24"/>
  <c r="AE154" i="24"/>
  <c r="AE151" i="24"/>
  <c r="AE148" i="24"/>
  <c r="AE145" i="24"/>
  <c r="AE142" i="24"/>
  <c r="AE179" i="24"/>
  <c r="AE176" i="24"/>
  <c r="AE173" i="24"/>
  <c r="AE170" i="24"/>
  <c r="AE167" i="24"/>
  <c r="AE164" i="24"/>
  <c r="AE161" i="24"/>
  <c r="AE158" i="24"/>
  <c r="AE155" i="24"/>
  <c r="AE152" i="24"/>
  <c r="AE149" i="24"/>
  <c r="AE146" i="24"/>
  <c r="AE143" i="24"/>
  <c r="AE140" i="24"/>
  <c r="AE126" i="24"/>
  <c r="AE121" i="24"/>
  <c r="AE118" i="24"/>
  <c r="AE129" i="24"/>
  <c r="AE124" i="24"/>
  <c r="AE138" i="24"/>
  <c r="AE135" i="24"/>
  <c r="AE132" i="24"/>
  <c r="AE116" i="24"/>
  <c r="AE113" i="24"/>
  <c r="AE110" i="24"/>
  <c r="AE107" i="24"/>
  <c r="AE104" i="24"/>
  <c r="AE101" i="24"/>
  <c r="AE98" i="24"/>
  <c r="AE95" i="24"/>
  <c r="AE92" i="24"/>
  <c r="AE89" i="24"/>
  <c r="AE86" i="24"/>
  <c r="AE83" i="24"/>
  <c r="AE80" i="24"/>
  <c r="AE77" i="24"/>
  <c r="AE74" i="24"/>
  <c r="AE71" i="24"/>
  <c r="AE68" i="24"/>
  <c r="AE65" i="24"/>
  <c r="AE62" i="24"/>
  <c r="AE59" i="24"/>
  <c r="AE56" i="24"/>
  <c r="AE53" i="24"/>
  <c r="AE50" i="24"/>
  <c r="AE47" i="24"/>
  <c r="AE44" i="24"/>
  <c r="AE41" i="24"/>
  <c r="AE38" i="24"/>
  <c r="AE35" i="24"/>
  <c r="AE32" i="24"/>
  <c r="AE29" i="24"/>
  <c r="AE122" i="24"/>
  <c r="AE119" i="24"/>
  <c r="AE127" i="24"/>
  <c r="AE180" i="24"/>
  <c r="AE177" i="24"/>
  <c r="AE174" i="24"/>
  <c r="AE171" i="24"/>
  <c r="AE168" i="24"/>
  <c r="AE165" i="24"/>
  <c r="AE162" i="24"/>
  <c r="AE159" i="24"/>
  <c r="AE156" i="24"/>
  <c r="AE153" i="24"/>
  <c r="AE150" i="24"/>
  <c r="AE147" i="24"/>
  <c r="AE144" i="24"/>
  <c r="AE141" i="24"/>
  <c r="AE130" i="24"/>
  <c r="AE139" i="24"/>
  <c r="AE136" i="24"/>
  <c r="AE133" i="24"/>
  <c r="AE125" i="24"/>
  <c r="AE117" i="24"/>
  <c r="AE114" i="24"/>
  <c r="AE111" i="24"/>
  <c r="AE108" i="24"/>
  <c r="AE105" i="24"/>
  <c r="AE102" i="24"/>
  <c r="AE99" i="24"/>
  <c r="AE96" i="24"/>
  <c r="AE93" i="24"/>
  <c r="AE90" i="24"/>
  <c r="AE87" i="24"/>
  <c r="AE84" i="24"/>
  <c r="AE81" i="24"/>
  <c r="AE78" i="24"/>
  <c r="AE75" i="24"/>
  <c r="AE72" i="24"/>
  <c r="AE69" i="24"/>
  <c r="AE66" i="24"/>
  <c r="AE63" i="24"/>
  <c r="AE60" i="24"/>
  <c r="AE57" i="24"/>
  <c r="AE54" i="24"/>
  <c r="AE51" i="24"/>
  <c r="AE48" i="24"/>
  <c r="AE45" i="24"/>
  <c r="AE42" i="24"/>
  <c r="AE39" i="24"/>
  <c r="AE36" i="24"/>
  <c r="AE33" i="24"/>
  <c r="AE30" i="24"/>
  <c r="AE131" i="24"/>
  <c r="AE128" i="24"/>
  <c r="AE46" i="24"/>
  <c r="AE37" i="24"/>
  <c r="AE28" i="24"/>
  <c r="AE137" i="24"/>
  <c r="AE134" i="24"/>
  <c r="AE27" i="24"/>
  <c r="AE24" i="24"/>
  <c r="AE21" i="24"/>
  <c r="AE18" i="24"/>
  <c r="AE15" i="24"/>
  <c r="AE12" i="24"/>
  <c r="AE9" i="24"/>
  <c r="AE6" i="24"/>
  <c r="AE3" i="24"/>
  <c r="AE120" i="24"/>
  <c r="AE123" i="24"/>
  <c r="AE49" i="24"/>
  <c r="AE40" i="24"/>
  <c r="AE31" i="24"/>
  <c r="AE25" i="24"/>
  <c r="AE22" i="24"/>
  <c r="AE19" i="24"/>
  <c r="AE16" i="24"/>
  <c r="AE13" i="24"/>
  <c r="AE10" i="24"/>
  <c r="AE7" i="24"/>
  <c r="AE4" i="24"/>
  <c r="AE26" i="24"/>
  <c r="AE23" i="24"/>
  <c r="AE20" i="24"/>
  <c r="AE17" i="24"/>
  <c r="AE14" i="24"/>
  <c r="AE11" i="24"/>
  <c r="AE8" i="24"/>
  <c r="AE5" i="24"/>
  <c r="AE112" i="24"/>
  <c r="AE106" i="24"/>
  <c r="AE100" i="24"/>
  <c r="AE94" i="24"/>
  <c r="AE88" i="24"/>
  <c r="AE82" i="24"/>
  <c r="AE76" i="24"/>
  <c r="AE70" i="24"/>
  <c r="AE64" i="24"/>
  <c r="AE58" i="24"/>
  <c r="AE52" i="24"/>
  <c r="AE43" i="24"/>
  <c r="AE34" i="24"/>
  <c r="AE109" i="24"/>
  <c r="AE73" i="24"/>
  <c r="AE103" i="24"/>
  <c r="AE67" i="24"/>
  <c r="AE97" i="24"/>
  <c r="AE61" i="24"/>
  <c r="AE91" i="24"/>
  <c r="AE55" i="24"/>
  <c r="AE85" i="24"/>
  <c r="AF1" i="24"/>
  <c r="AE115" i="24"/>
  <c r="AE79" i="24"/>
  <c r="AD175" i="27"/>
  <c r="AD172" i="27"/>
  <c r="AD169" i="27"/>
  <c r="AD166" i="27"/>
  <c r="AD163" i="27"/>
  <c r="AD160" i="27"/>
  <c r="AD157" i="27"/>
  <c r="AD154" i="27"/>
  <c r="AD151" i="27"/>
  <c r="AD148" i="27"/>
  <c r="AD145" i="27"/>
  <c r="AD176" i="27"/>
  <c r="AD173" i="27"/>
  <c r="AD170" i="27"/>
  <c r="AD167" i="27"/>
  <c r="AD164" i="27"/>
  <c r="AD161" i="27"/>
  <c r="AD158" i="27"/>
  <c r="AD155" i="27"/>
  <c r="AD152" i="27"/>
  <c r="AD149" i="27"/>
  <c r="AD146" i="27"/>
  <c r="AD171" i="27"/>
  <c r="AD162" i="27"/>
  <c r="AD153" i="27"/>
  <c r="AD142" i="27"/>
  <c r="AD139" i="27"/>
  <c r="AD136" i="27"/>
  <c r="AD133" i="27"/>
  <c r="AD130" i="27"/>
  <c r="AD127" i="27"/>
  <c r="AD123" i="27"/>
  <c r="AD114" i="27"/>
  <c r="AD110" i="27"/>
  <c r="AD168" i="27"/>
  <c r="AD159" i="27"/>
  <c r="AD150" i="27"/>
  <c r="AD174" i="27"/>
  <c r="AD165" i="27"/>
  <c r="AD156" i="27"/>
  <c r="AD147" i="27"/>
  <c r="AD144" i="27"/>
  <c r="AD141" i="27"/>
  <c r="AD138" i="27"/>
  <c r="AD135" i="27"/>
  <c r="AD132" i="27"/>
  <c r="AD129" i="27"/>
  <c r="AD125" i="27"/>
  <c r="AD116" i="27"/>
  <c r="AD113" i="27"/>
  <c r="AD143" i="27"/>
  <c r="AD140" i="27"/>
  <c r="AD137" i="27"/>
  <c r="AD134" i="27"/>
  <c r="AD131" i="27"/>
  <c r="AD128" i="27"/>
  <c r="AD124" i="27"/>
  <c r="AD115" i="27"/>
  <c r="AD111" i="27"/>
  <c r="AD108" i="27"/>
  <c r="AD105" i="27"/>
  <c r="AD102" i="27"/>
  <c r="AD99" i="27"/>
  <c r="AD96" i="27"/>
  <c r="AD93" i="27"/>
  <c r="AD90" i="27"/>
  <c r="AD87" i="27"/>
  <c r="AD107" i="27"/>
  <c r="AD104" i="27"/>
  <c r="AD101" i="27"/>
  <c r="AD98" i="27"/>
  <c r="AD95" i="27"/>
  <c r="AD92" i="27"/>
  <c r="AD89" i="27"/>
  <c r="AD83" i="27"/>
  <c r="AD80" i="27"/>
  <c r="AD77" i="27"/>
  <c r="AD74" i="27"/>
  <c r="AD71" i="27"/>
  <c r="AD68" i="27"/>
  <c r="AD65" i="27"/>
  <c r="AD88" i="27"/>
  <c r="AD86" i="27"/>
  <c r="AD84" i="27"/>
  <c r="AD81" i="27"/>
  <c r="AD78" i="27"/>
  <c r="AD75" i="27"/>
  <c r="AD72" i="27"/>
  <c r="AD69" i="27"/>
  <c r="AD66" i="27"/>
  <c r="AD63" i="27"/>
  <c r="AD60" i="27"/>
  <c r="AD57" i="27"/>
  <c r="AD54" i="27"/>
  <c r="AD51" i="27"/>
  <c r="AD48" i="27"/>
  <c r="AD45" i="27"/>
  <c r="AD42" i="27"/>
  <c r="AD39" i="27"/>
  <c r="AD106" i="27"/>
  <c r="AD97" i="27"/>
  <c r="AD85" i="27"/>
  <c r="AD76" i="27"/>
  <c r="AD67" i="27"/>
  <c r="AD61" i="27"/>
  <c r="AD58" i="27"/>
  <c r="AD55" i="27"/>
  <c r="AD52" i="27"/>
  <c r="AD49" i="27"/>
  <c r="AD46" i="27"/>
  <c r="AD43" i="27"/>
  <c r="AD40" i="27"/>
  <c r="AD37" i="27"/>
  <c r="AD109" i="27"/>
  <c r="AD100" i="27"/>
  <c r="AD91" i="27"/>
  <c r="AD79" i="27"/>
  <c r="AD70" i="27"/>
  <c r="AD59" i="27"/>
  <c r="AD50" i="27"/>
  <c r="AD41" i="27"/>
  <c r="AD103" i="27"/>
  <c r="AD64" i="27"/>
  <c r="AD35" i="27"/>
  <c r="AD32" i="27"/>
  <c r="AD29" i="27"/>
  <c r="AD26" i="27"/>
  <c r="AD23" i="27"/>
  <c r="AD20" i="27"/>
  <c r="AD17" i="27"/>
  <c r="AD14" i="27"/>
  <c r="AD11" i="27"/>
  <c r="AD94" i="27"/>
  <c r="AD56" i="27"/>
  <c r="AD47" i="27"/>
  <c r="AD38" i="27"/>
  <c r="AD73" i="27"/>
  <c r="AD82" i="27"/>
  <c r="AD34" i="27"/>
  <c r="AD31" i="27"/>
  <c r="AD28" i="27"/>
  <c r="AD25" i="27"/>
  <c r="AD22" i="27"/>
  <c r="AD19" i="27"/>
  <c r="AD16" i="27"/>
  <c r="AD13" i="27"/>
  <c r="AD53" i="27"/>
  <c r="AD30" i="27"/>
  <c r="AD21" i="27"/>
  <c r="AD12" i="27"/>
  <c r="AD7" i="27"/>
  <c r="AD4" i="27"/>
  <c r="AD10" i="27"/>
  <c r="AE1" i="27"/>
  <c r="AD62" i="27"/>
  <c r="AD36" i="27"/>
  <c r="AD27" i="27"/>
  <c r="AD18" i="27"/>
  <c r="AD8" i="27"/>
  <c r="AD5" i="27"/>
  <c r="AD44" i="27"/>
  <c r="AD33" i="27"/>
  <c r="AD24" i="27"/>
  <c r="AD15" i="27"/>
  <c r="AD9" i="27"/>
  <c r="AD6" i="27"/>
  <c r="AD3" i="27"/>
  <c r="AD133" i="23"/>
  <c r="AD128" i="23"/>
  <c r="AD184" i="23"/>
  <c r="AD181" i="23"/>
  <c r="AD178" i="23"/>
  <c r="AD175" i="23"/>
  <c r="AD172" i="23"/>
  <c r="AD169" i="23"/>
  <c r="AD166" i="23"/>
  <c r="AD163" i="23"/>
  <c r="AD160" i="23"/>
  <c r="AD157" i="23"/>
  <c r="AD154" i="23"/>
  <c r="AD151" i="23"/>
  <c r="AD148" i="23"/>
  <c r="AD145" i="23"/>
  <c r="AD142" i="23"/>
  <c r="AD139" i="23"/>
  <c r="AD136" i="23"/>
  <c r="AD120" i="23"/>
  <c r="AD126" i="23"/>
  <c r="AD123" i="23"/>
  <c r="AD131" i="23"/>
  <c r="AD185" i="23"/>
  <c r="AD182" i="23"/>
  <c r="AD179" i="23"/>
  <c r="AD176" i="23"/>
  <c r="AD173" i="23"/>
  <c r="AD170" i="23"/>
  <c r="AD167" i="23"/>
  <c r="AD164" i="23"/>
  <c r="AD161" i="23"/>
  <c r="AD158" i="23"/>
  <c r="AD155" i="23"/>
  <c r="AD152" i="23"/>
  <c r="AD149" i="23"/>
  <c r="AD146" i="23"/>
  <c r="AD143" i="23"/>
  <c r="AD140" i="23"/>
  <c r="AD137" i="23"/>
  <c r="AD129" i="23"/>
  <c r="AD121" i="23"/>
  <c r="AD124" i="23"/>
  <c r="AD183" i="23"/>
  <c r="AD180" i="23"/>
  <c r="AD177" i="23"/>
  <c r="AD174" i="23"/>
  <c r="AD171" i="23"/>
  <c r="AD168" i="23"/>
  <c r="AD165" i="23"/>
  <c r="AD162" i="23"/>
  <c r="AD159" i="23"/>
  <c r="AD156" i="23"/>
  <c r="AD153" i="23"/>
  <c r="AD150" i="23"/>
  <c r="AD147" i="23"/>
  <c r="AD144" i="23"/>
  <c r="AD141" i="23"/>
  <c r="AD138" i="23"/>
  <c r="AD119" i="23"/>
  <c r="AD115" i="23"/>
  <c r="AD112" i="23"/>
  <c r="AD109" i="23"/>
  <c r="AD106" i="23"/>
  <c r="AD103" i="23"/>
  <c r="AD100" i="23"/>
  <c r="AD97" i="23"/>
  <c r="AD94" i="23"/>
  <c r="AD91" i="23"/>
  <c r="AD88" i="23"/>
  <c r="AD85" i="23"/>
  <c r="AD132" i="23"/>
  <c r="AD134" i="23"/>
  <c r="AD117" i="23"/>
  <c r="AD114" i="23"/>
  <c r="AD111" i="23"/>
  <c r="AD108" i="23"/>
  <c r="AD105" i="23"/>
  <c r="AD102" i="23"/>
  <c r="AD99" i="23"/>
  <c r="AD96" i="23"/>
  <c r="AD135" i="23"/>
  <c r="AD113" i="23"/>
  <c r="AD104" i="23"/>
  <c r="AD89" i="23"/>
  <c r="AD80" i="23"/>
  <c r="AD77" i="23"/>
  <c r="AD74" i="23"/>
  <c r="AD71" i="23"/>
  <c r="AD68" i="23"/>
  <c r="AD65" i="23"/>
  <c r="AD62" i="23"/>
  <c r="AD59" i="23"/>
  <c r="AD56" i="23"/>
  <c r="AD53" i="23"/>
  <c r="AD50" i="23"/>
  <c r="AD98" i="23"/>
  <c r="AD84" i="23"/>
  <c r="AD101" i="23"/>
  <c r="AD83" i="23"/>
  <c r="AD81" i="23"/>
  <c r="AD78" i="23"/>
  <c r="AD75" i="23"/>
  <c r="AD72" i="23"/>
  <c r="AD69" i="23"/>
  <c r="AD66" i="23"/>
  <c r="AD63" i="23"/>
  <c r="AD60" i="23"/>
  <c r="AD57" i="23"/>
  <c r="AD54" i="23"/>
  <c r="AD125" i="23"/>
  <c r="AD118" i="23"/>
  <c r="AD87" i="23"/>
  <c r="AD93" i="23"/>
  <c r="AD122" i="23"/>
  <c r="AD110" i="23"/>
  <c r="AD92" i="23"/>
  <c r="AD86" i="23"/>
  <c r="AD82" i="23"/>
  <c r="AD79" i="23"/>
  <c r="AD76" i="23"/>
  <c r="AD73" i="23"/>
  <c r="AD70" i="23"/>
  <c r="AD67" i="23"/>
  <c r="AD64" i="23"/>
  <c r="AD61" i="23"/>
  <c r="AD58" i="23"/>
  <c r="AD55" i="23"/>
  <c r="AD52" i="23"/>
  <c r="AD49" i="23"/>
  <c r="AD130" i="23"/>
  <c r="AD127" i="23"/>
  <c r="AD90" i="23"/>
  <c r="AD107" i="23"/>
  <c r="AD95" i="23"/>
  <c r="AD45" i="23"/>
  <c r="AD42" i="23"/>
  <c r="AD39" i="23"/>
  <c r="AD36" i="23"/>
  <c r="AD33" i="23"/>
  <c r="AD30" i="23"/>
  <c r="AD27" i="23"/>
  <c r="AD24" i="23"/>
  <c r="AD21" i="23"/>
  <c r="AD18" i="23"/>
  <c r="AD15" i="23"/>
  <c r="AD12" i="23"/>
  <c r="AD9" i="23"/>
  <c r="AD6" i="23"/>
  <c r="AD3" i="23"/>
  <c r="AD48" i="23"/>
  <c r="AD46" i="23"/>
  <c r="AD43" i="23"/>
  <c r="AD40" i="23"/>
  <c r="AD37" i="23"/>
  <c r="AD34" i="23"/>
  <c r="AD31" i="23"/>
  <c r="AD28" i="23"/>
  <c r="AD25" i="23"/>
  <c r="AD22" i="23"/>
  <c r="AD19" i="23"/>
  <c r="AD16" i="23"/>
  <c r="AD13" i="23"/>
  <c r="AD10" i="23"/>
  <c r="AD7" i="23"/>
  <c r="AD4" i="23"/>
  <c r="AE1" i="23"/>
  <c r="AD47" i="23"/>
  <c r="AD44" i="23"/>
  <c r="AD41" i="23"/>
  <c r="AD38" i="23"/>
  <c r="AD35" i="23"/>
  <c r="AD32" i="23"/>
  <c r="AD29" i="23"/>
  <c r="AD26" i="23"/>
  <c r="AD23" i="23"/>
  <c r="AD20" i="23"/>
  <c r="AD17" i="23"/>
  <c r="AD14" i="23"/>
  <c r="AD11" i="23"/>
  <c r="AD8" i="23"/>
  <c r="AD5" i="23"/>
  <c r="AD116" i="23"/>
  <c r="AD51" i="23"/>
  <c r="AD134" i="21"/>
  <c r="AD137" i="21"/>
  <c r="AD188" i="21"/>
  <c r="AD185" i="21"/>
  <c r="AD182" i="21"/>
  <c r="AD179" i="21"/>
  <c r="AD176" i="21"/>
  <c r="AD173" i="21"/>
  <c r="AD170" i="21"/>
  <c r="AD167" i="21"/>
  <c r="AD164" i="21"/>
  <c r="AD161" i="21"/>
  <c r="AD158" i="21"/>
  <c r="AD155" i="21"/>
  <c r="AD152" i="21"/>
  <c r="AD149" i="21"/>
  <c r="AD146" i="21"/>
  <c r="AD143" i="21"/>
  <c r="AD140" i="21"/>
  <c r="AD132" i="21"/>
  <c r="AD124" i="21"/>
  <c r="AD121" i="21"/>
  <c r="AD118" i="21"/>
  <c r="AD115" i="21"/>
  <c r="AD112" i="21"/>
  <c r="AD127" i="21"/>
  <c r="AD186" i="21"/>
  <c r="AD183" i="21"/>
  <c r="AD180" i="21"/>
  <c r="AD177" i="21"/>
  <c r="AD174" i="21"/>
  <c r="AD171" i="21"/>
  <c r="AD168" i="21"/>
  <c r="AD165" i="21"/>
  <c r="AD162" i="21"/>
  <c r="AD159" i="21"/>
  <c r="AD156" i="21"/>
  <c r="AD153" i="21"/>
  <c r="AD150" i="21"/>
  <c r="AD147" i="21"/>
  <c r="AD144" i="21"/>
  <c r="AD141" i="21"/>
  <c r="AD133" i="21"/>
  <c r="AD128" i="21"/>
  <c r="AD125" i="21"/>
  <c r="AD187" i="21"/>
  <c r="AD184" i="21"/>
  <c r="AD181" i="21"/>
  <c r="AD178" i="21"/>
  <c r="AD175" i="21"/>
  <c r="AD172" i="21"/>
  <c r="AD169" i="21"/>
  <c r="AD166" i="21"/>
  <c r="AD160" i="21"/>
  <c r="AD148" i="21"/>
  <c r="AD139" i="21"/>
  <c r="AD123" i="21"/>
  <c r="AD120" i="21"/>
  <c r="AD117" i="21"/>
  <c r="AD114" i="21"/>
  <c r="AD111" i="21"/>
  <c r="AD129" i="21"/>
  <c r="AD126" i="21"/>
  <c r="AD110" i="21"/>
  <c r="AD107" i="21"/>
  <c r="AD104" i="21"/>
  <c r="AD101" i="21"/>
  <c r="AD98" i="21"/>
  <c r="AD95" i="21"/>
  <c r="AD92" i="21"/>
  <c r="AD89" i="21"/>
  <c r="AD86" i="21"/>
  <c r="AD83" i="21"/>
  <c r="AD80" i="21"/>
  <c r="AD77" i="21"/>
  <c r="AD74" i="21"/>
  <c r="AD71" i="21"/>
  <c r="AD68" i="21"/>
  <c r="AD65" i="21"/>
  <c r="AD62" i="21"/>
  <c r="AD59" i="21"/>
  <c r="AD56" i="21"/>
  <c r="AD53" i="21"/>
  <c r="AD50" i="21"/>
  <c r="AD47" i="21"/>
  <c r="AD44" i="21"/>
  <c r="AD41" i="21"/>
  <c r="AD38" i="21"/>
  <c r="AD35" i="21"/>
  <c r="AD32" i="21"/>
  <c r="AD29" i="21"/>
  <c r="AD26" i="21"/>
  <c r="AD23" i="21"/>
  <c r="AD20" i="21"/>
  <c r="AD17" i="21"/>
  <c r="AD163" i="21"/>
  <c r="AD154" i="21"/>
  <c r="AD145" i="21"/>
  <c r="AD122" i="21"/>
  <c r="AD119" i="21"/>
  <c r="AD116" i="21"/>
  <c r="AD113" i="21"/>
  <c r="AD157" i="21"/>
  <c r="AD151" i="21"/>
  <c r="AD142" i="21"/>
  <c r="AD46" i="21"/>
  <c r="AD42" i="21"/>
  <c r="AD37" i="21"/>
  <c r="AD33" i="21"/>
  <c r="AD28" i="21"/>
  <c r="AD24" i="21"/>
  <c r="AD19" i="21"/>
  <c r="AD49" i="21"/>
  <c r="AD43" i="21"/>
  <c r="AD39" i="21"/>
  <c r="AD34" i="21"/>
  <c r="AD30" i="21"/>
  <c r="AD25" i="21"/>
  <c r="AD21" i="21"/>
  <c r="AD16" i="21"/>
  <c r="AD130" i="21"/>
  <c r="AD109" i="21"/>
  <c r="AD106" i="21"/>
  <c r="AD103" i="21"/>
  <c r="AD100" i="21"/>
  <c r="AD97" i="21"/>
  <c r="AD94" i="21"/>
  <c r="AD91" i="21"/>
  <c r="AD88" i="21"/>
  <c r="AD85" i="21"/>
  <c r="AD82" i="21"/>
  <c r="AD79" i="21"/>
  <c r="AD76" i="21"/>
  <c r="AD73" i="21"/>
  <c r="AD70" i="21"/>
  <c r="AD67" i="21"/>
  <c r="AD64" i="21"/>
  <c r="AD61" i="21"/>
  <c r="AD58" i="21"/>
  <c r="AD55" i="21"/>
  <c r="AD52" i="21"/>
  <c r="AD48" i="21"/>
  <c r="AD14" i="21"/>
  <c r="AD11" i="21"/>
  <c r="AD8" i="21"/>
  <c r="AD5" i="21"/>
  <c r="AD136" i="21"/>
  <c r="AD45" i="21"/>
  <c r="AD40" i="21"/>
  <c r="AD36" i="21"/>
  <c r="AD31" i="21"/>
  <c r="AD27" i="21"/>
  <c r="AD22" i="21"/>
  <c r="AD18" i="21"/>
  <c r="AD131" i="21"/>
  <c r="AD108" i="21"/>
  <c r="AD105" i="21"/>
  <c r="AD102" i="21"/>
  <c r="AD99" i="21"/>
  <c r="AD96" i="21"/>
  <c r="AD93" i="21"/>
  <c r="AD90" i="21"/>
  <c r="AD87" i="21"/>
  <c r="AD84" i="21"/>
  <c r="AD81" i="21"/>
  <c r="AD78" i="21"/>
  <c r="AD75" i="21"/>
  <c r="AD72" i="21"/>
  <c r="AD69" i="21"/>
  <c r="AD66" i="21"/>
  <c r="AD63" i="21"/>
  <c r="AD60" i="21"/>
  <c r="AD57" i="21"/>
  <c r="AD54" i="21"/>
  <c r="AD138" i="21"/>
  <c r="AD9" i="21"/>
  <c r="AD15" i="21"/>
  <c r="AD6" i="21"/>
  <c r="AD135" i="21"/>
  <c r="AD13" i="21"/>
  <c r="AD7" i="21"/>
  <c r="AE1" i="21"/>
  <c r="AD4" i="21"/>
  <c r="AD10" i="21"/>
  <c r="AD12" i="21"/>
  <c r="AD3" i="21"/>
  <c r="AD51" i="21"/>
  <c r="AE178" i="25"/>
  <c r="AE179" i="25"/>
  <c r="AE176" i="25"/>
  <c r="AE173" i="25"/>
  <c r="AE170" i="25"/>
  <c r="AE167" i="25"/>
  <c r="AE164" i="25"/>
  <c r="AE161" i="25"/>
  <c r="AE158" i="25"/>
  <c r="AE155" i="25"/>
  <c r="AE152" i="25"/>
  <c r="AE149" i="25"/>
  <c r="AE146" i="25"/>
  <c r="AE143" i="25"/>
  <c r="AE140" i="25"/>
  <c r="AE137" i="25"/>
  <c r="AE134" i="25"/>
  <c r="AE177" i="25"/>
  <c r="AE174" i="25"/>
  <c r="AE171" i="25"/>
  <c r="AE168" i="25"/>
  <c r="AE165" i="25"/>
  <c r="AE162" i="25"/>
  <c r="AE159" i="25"/>
  <c r="AE156" i="25"/>
  <c r="AE153" i="25"/>
  <c r="AE150" i="25"/>
  <c r="AE147" i="25"/>
  <c r="AE144" i="25"/>
  <c r="AE141" i="25"/>
  <c r="AE138" i="25"/>
  <c r="AE135" i="25"/>
  <c r="AE175" i="25"/>
  <c r="AE172" i="25"/>
  <c r="AE169" i="25"/>
  <c r="AE166" i="25"/>
  <c r="AE163" i="25"/>
  <c r="AE160" i="25"/>
  <c r="AE157" i="25"/>
  <c r="AE154" i="25"/>
  <c r="AE151" i="25"/>
  <c r="AE148" i="25"/>
  <c r="AE145" i="25"/>
  <c r="AE142" i="25"/>
  <c r="AE139" i="25"/>
  <c r="AE136" i="25"/>
  <c r="AE128" i="25"/>
  <c r="AE118" i="25"/>
  <c r="AE129" i="25"/>
  <c r="AE126" i="25"/>
  <c r="AE120" i="25"/>
  <c r="AE117" i="25"/>
  <c r="AE131" i="25"/>
  <c r="AE122" i="25"/>
  <c r="AE96" i="25"/>
  <c r="AE127" i="25"/>
  <c r="AE123" i="25"/>
  <c r="AE132" i="25"/>
  <c r="AE99" i="25"/>
  <c r="AE125" i="25"/>
  <c r="AE106" i="25"/>
  <c r="AE103" i="25"/>
  <c r="AE98" i="25"/>
  <c r="AE109" i="25"/>
  <c r="AE92" i="25"/>
  <c r="AE87" i="25"/>
  <c r="AE83" i="25"/>
  <c r="AE78" i="25"/>
  <c r="AE100" i="25"/>
  <c r="AE130" i="25"/>
  <c r="AE119" i="25"/>
  <c r="AE116" i="25"/>
  <c r="AE115" i="25"/>
  <c r="AE114" i="25"/>
  <c r="AE88" i="25"/>
  <c r="AE79" i="25"/>
  <c r="AE74" i="25"/>
  <c r="AE70" i="25"/>
  <c r="AE67" i="25"/>
  <c r="AE64" i="25"/>
  <c r="AE61" i="25"/>
  <c r="AE58" i="25"/>
  <c r="AE55" i="25"/>
  <c r="AE52" i="25"/>
  <c r="AE49" i="25"/>
  <c r="AE46" i="25"/>
  <c r="AE121" i="25"/>
  <c r="AE113" i="25"/>
  <c r="AE108" i="25"/>
  <c r="AE105" i="25"/>
  <c r="AE102" i="25"/>
  <c r="AE124" i="25"/>
  <c r="AE93" i="25"/>
  <c r="AE133" i="25"/>
  <c r="AE73" i="25"/>
  <c r="AE110" i="25"/>
  <c r="AE95" i="25"/>
  <c r="AE90" i="25"/>
  <c r="AE75" i="25"/>
  <c r="AE72" i="25"/>
  <c r="AE112" i="25"/>
  <c r="AE107" i="25"/>
  <c r="AE71" i="25"/>
  <c r="AE80" i="25"/>
  <c r="AE76" i="25"/>
  <c r="AE39" i="25"/>
  <c r="AE36" i="25"/>
  <c r="AE33" i="25"/>
  <c r="AE30" i="25"/>
  <c r="AE27" i="25"/>
  <c r="AE24" i="25"/>
  <c r="AE21" i="25"/>
  <c r="AE18" i="25"/>
  <c r="AE15" i="25"/>
  <c r="AE12" i="25"/>
  <c r="AE9" i="25"/>
  <c r="AE84" i="25"/>
  <c r="AE91" i="25"/>
  <c r="AE104" i="25"/>
  <c r="AE94" i="25"/>
  <c r="AE89" i="25"/>
  <c r="AE85" i="25"/>
  <c r="AE77" i="25"/>
  <c r="AE43" i="25"/>
  <c r="AE40" i="25"/>
  <c r="AE37" i="25"/>
  <c r="AE34" i="25"/>
  <c r="AE31" i="25"/>
  <c r="AE28" i="25"/>
  <c r="AE25" i="25"/>
  <c r="AE22" i="25"/>
  <c r="AE19" i="25"/>
  <c r="AE16" i="25"/>
  <c r="AE13" i="25"/>
  <c r="AE10" i="25"/>
  <c r="AE101" i="25"/>
  <c r="AE82" i="25"/>
  <c r="AE45" i="25"/>
  <c r="AE41" i="25"/>
  <c r="AE38" i="25"/>
  <c r="AE35" i="25"/>
  <c r="AE32" i="25"/>
  <c r="AE29" i="25"/>
  <c r="AE26" i="25"/>
  <c r="AE23" i="25"/>
  <c r="AE20" i="25"/>
  <c r="AE17" i="25"/>
  <c r="AE14" i="25"/>
  <c r="AE11" i="25"/>
  <c r="AE8" i="25"/>
  <c r="AE6" i="25"/>
  <c r="AE3" i="25"/>
  <c r="AE81" i="25"/>
  <c r="AE86" i="25"/>
  <c r="AE68" i="25"/>
  <c r="AE65" i="25"/>
  <c r="AE62" i="25"/>
  <c r="AE59" i="25"/>
  <c r="AE56" i="25"/>
  <c r="AE53" i="25"/>
  <c r="AE50" i="25"/>
  <c r="AE47" i="25"/>
  <c r="AE44" i="25"/>
  <c r="AE42" i="25"/>
  <c r="AE7" i="25"/>
  <c r="AE4" i="25"/>
  <c r="AE97" i="25"/>
  <c r="AF1" i="25"/>
  <c r="AE111" i="25"/>
  <c r="AE69" i="25"/>
  <c r="AE66" i="25"/>
  <c r="AE63" i="25"/>
  <c r="AE60" i="25"/>
  <c r="AE57" i="25"/>
  <c r="AE54" i="25"/>
  <c r="AE51" i="25"/>
  <c r="AE48" i="25"/>
  <c r="AE5" i="25"/>
  <c r="AF190" i="20"/>
  <c r="AF187" i="20"/>
  <c r="AF184" i="20"/>
  <c r="AF181" i="20"/>
  <c r="AF178" i="20"/>
  <c r="AF175" i="20"/>
  <c r="AF172" i="20"/>
  <c r="AF169" i="20"/>
  <c r="AF166" i="20"/>
  <c r="AF163" i="20"/>
  <c r="AF160" i="20"/>
  <c r="AF157" i="20"/>
  <c r="AF188" i="20"/>
  <c r="AF185" i="20"/>
  <c r="AF182" i="20"/>
  <c r="AF179" i="20"/>
  <c r="AF176" i="20"/>
  <c r="AF173" i="20"/>
  <c r="AF170" i="20"/>
  <c r="AF167" i="20"/>
  <c r="AF164" i="20"/>
  <c r="AF161" i="20"/>
  <c r="AF158" i="20"/>
  <c r="AF155" i="20"/>
  <c r="AF189" i="20"/>
  <c r="AF186" i="20"/>
  <c r="AF183" i="20"/>
  <c r="AF180" i="20"/>
  <c r="AF177" i="20"/>
  <c r="AF174" i="20"/>
  <c r="AF171" i="20"/>
  <c r="AF168" i="20"/>
  <c r="AF165" i="20"/>
  <c r="AF162" i="20"/>
  <c r="AF159" i="20"/>
  <c r="AF156" i="20"/>
  <c r="AF153" i="20"/>
  <c r="AF143" i="20"/>
  <c r="AF124" i="20"/>
  <c r="AF121" i="20"/>
  <c r="AF118" i="20"/>
  <c r="AF115" i="20"/>
  <c r="AF112" i="20"/>
  <c r="AF109" i="20"/>
  <c r="AF106" i="20"/>
  <c r="AF103" i="20"/>
  <c r="AF100" i="20"/>
  <c r="AF97" i="20"/>
  <c r="AF94" i="20"/>
  <c r="AF91" i="20"/>
  <c r="AF88" i="20"/>
  <c r="AF85" i="20"/>
  <c r="AF82" i="20"/>
  <c r="AF79" i="20"/>
  <c r="AF76" i="20"/>
  <c r="AF73" i="20"/>
  <c r="AF70" i="20"/>
  <c r="AF154" i="20"/>
  <c r="AF152" i="20"/>
  <c r="AF144" i="20"/>
  <c r="AF141" i="20"/>
  <c r="AF125" i="20"/>
  <c r="AF122" i="20"/>
  <c r="AF119" i="20"/>
  <c r="AF116" i="20"/>
  <c r="AF113" i="20"/>
  <c r="AF110" i="20"/>
  <c r="AF107" i="20"/>
  <c r="AF104" i="20"/>
  <c r="AF101" i="20"/>
  <c r="AF98" i="20"/>
  <c r="AF95" i="20"/>
  <c r="AF92" i="20"/>
  <c r="AF89" i="20"/>
  <c r="AF86" i="20"/>
  <c r="AF83" i="20"/>
  <c r="AF80" i="20"/>
  <c r="AF77" i="20"/>
  <c r="AF74" i="20"/>
  <c r="AF71" i="20"/>
  <c r="AF68" i="20"/>
  <c r="AF147" i="20"/>
  <c r="AF148" i="20"/>
  <c r="AF138" i="20"/>
  <c r="AF132" i="20"/>
  <c r="AF127" i="20"/>
  <c r="AF142" i="20"/>
  <c r="AF126" i="20"/>
  <c r="AF117" i="20"/>
  <c r="AF108" i="20"/>
  <c r="AF99" i="20"/>
  <c r="AF90" i="20"/>
  <c r="AF81" i="20"/>
  <c r="AF72" i="20"/>
  <c r="AF136" i="20"/>
  <c r="AF130" i="20"/>
  <c r="AF145" i="20"/>
  <c r="AF140" i="20"/>
  <c r="AF129" i="20"/>
  <c r="AF146" i="20"/>
  <c r="AF139" i="20"/>
  <c r="AF128" i="20"/>
  <c r="AF131" i="20"/>
  <c r="AF54" i="20"/>
  <c r="AF45" i="20"/>
  <c r="AF35" i="20"/>
  <c r="AF32" i="20"/>
  <c r="AF29" i="20"/>
  <c r="AF26" i="20"/>
  <c r="AF23" i="20"/>
  <c r="AF20" i="20"/>
  <c r="AF17" i="20"/>
  <c r="AF14" i="20"/>
  <c r="AF11" i="20"/>
  <c r="AF8" i="20"/>
  <c r="AF5" i="20"/>
  <c r="AF149" i="20"/>
  <c r="AF111" i="20"/>
  <c r="AF151" i="20"/>
  <c r="AF150" i="20"/>
  <c r="AF114" i="20"/>
  <c r="AF120" i="20"/>
  <c r="AF84" i="20"/>
  <c r="AF75" i="20"/>
  <c r="AF53" i="20"/>
  <c r="AF44" i="20"/>
  <c r="AF93" i="20"/>
  <c r="AF87" i="20"/>
  <c r="AF78" i="20"/>
  <c r="AF69" i="20"/>
  <c r="AF57" i="20"/>
  <c r="AF48" i="20"/>
  <c r="AF52" i="20"/>
  <c r="AF43" i="20"/>
  <c r="AF137" i="20"/>
  <c r="AF56" i="20"/>
  <c r="AF47" i="20"/>
  <c r="AF38" i="20"/>
  <c r="AF51" i="20"/>
  <c r="AF42" i="20"/>
  <c r="AF34" i="20"/>
  <c r="AF31" i="20"/>
  <c r="AF28" i="20"/>
  <c r="AF25" i="20"/>
  <c r="AF22" i="20"/>
  <c r="AF19" i="20"/>
  <c r="AF16" i="20"/>
  <c r="AF13" i="20"/>
  <c r="AF10" i="20"/>
  <c r="AF7" i="20"/>
  <c r="AF4" i="20"/>
  <c r="AF135" i="20"/>
  <c r="AF102" i="20"/>
  <c r="AF55" i="20"/>
  <c r="AF46" i="20"/>
  <c r="AF37" i="20"/>
  <c r="AF134" i="20"/>
  <c r="AF105" i="20"/>
  <c r="AF67" i="20"/>
  <c r="AF66" i="20"/>
  <c r="AF64" i="20"/>
  <c r="AF63" i="20"/>
  <c r="AF61" i="20"/>
  <c r="AF60" i="20"/>
  <c r="AG1" i="20"/>
  <c r="AF65" i="20"/>
  <c r="AF62" i="20"/>
  <c r="AF59" i="20"/>
  <c r="AF96" i="20"/>
  <c r="AF39" i="20"/>
  <c r="AF123" i="20"/>
  <c r="AF133" i="20"/>
  <c r="AF50" i="20"/>
  <c r="AF58" i="20"/>
  <c r="AF49" i="20"/>
  <c r="AF30" i="20"/>
  <c r="AF33" i="20"/>
  <c r="AF41" i="20"/>
  <c r="AF40" i="20"/>
  <c r="AF24" i="20"/>
  <c r="AF15" i="20"/>
  <c r="AF6" i="20"/>
  <c r="AF21" i="20"/>
  <c r="AF12" i="20"/>
  <c r="AF3" i="20"/>
  <c r="AF36" i="20"/>
  <c r="AF27" i="20"/>
  <c r="AF18" i="20"/>
  <c r="AF9" i="20"/>
  <c r="AG134" i="22"/>
  <c r="AG185" i="22"/>
  <c r="AG182" i="22"/>
  <c r="AG179" i="22"/>
  <c r="AG176" i="22"/>
  <c r="AG173" i="22"/>
  <c r="AG170" i="22"/>
  <c r="AG167" i="22"/>
  <c r="AG164" i="22"/>
  <c r="AG161" i="22"/>
  <c r="AG158" i="22"/>
  <c r="AG155" i="22"/>
  <c r="AG152" i="22"/>
  <c r="AG149" i="22"/>
  <c r="AG146" i="22"/>
  <c r="AG143" i="22"/>
  <c r="AG140" i="22"/>
  <c r="AG137" i="22"/>
  <c r="AG129" i="22"/>
  <c r="AG121" i="22"/>
  <c r="AG118" i="22"/>
  <c r="AG124" i="22"/>
  <c r="AG127" i="22"/>
  <c r="AG135" i="22"/>
  <c r="AG132" i="22"/>
  <c r="AG183" i="22"/>
  <c r="AG180" i="22"/>
  <c r="AG177" i="22"/>
  <c r="AG174" i="22"/>
  <c r="AG171" i="22"/>
  <c r="AG168" i="22"/>
  <c r="AG165" i="22"/>
  <c r="AG162" i="22"/>
  <c r="AG159" i="22"/>
  <c r="AG156" i="22"/>
  <c r="AG153" i="22"/>
  <c r="AG150" i="22"/>
  <c r="AG147" i="22"/>
  <c r="AG144" i="22"/>
  <c r="AG141" i="22"/>
  <c r="AG138" i="22"/>
  <c r="AG119" i="22"/>
  <c r="AG130" i="22"/>
  <c r="AG125" i="22"/>
  <c r="AG122" i="22"/>
  <c r="AG184" i="22"/>
  <c r="AG181" i="22"/>
  <c r="AG178" i="22"/>
  <c r="AG175" i="22"/>
  <c r="AG172" i="22"/>
  <c r="AG169" i="22"/>
  <c r="AG166" i="22"/>
  <c r="AG163" i="22"/>
  <c r="AG160" i="22"/>
  <c r="AG157" i="22"/>
  <c r="AG154" i="22"/>
  <c r="AG151" i="22"/>
  <c r="AG148" i="22"/>
  <c r="AG145" i="22"/>
  <c r="AG142" i="22"/>
  <c r="AG139" i="22"/>
  <c r="AG136" i="22"/>
  <c r="AG120" i="22"/>
  <c r="AG126" i="22"/>
  <c r="AG123" i="22"/>
  <c r="AG131" i="22"/>
  <c r="AG133" i="22"/>
  <c r="AG112" i="22"/>
  <c r="AG103" i="22"/>
  <c r="AG94" i="22"/>
  <c r="AG85" i="22"/>
  <c r="AG76" i="22"/>
  <c r="AG67" i="22"/>
  <c r="AG58" i="22"/>
  <c r="AG49" i="22"/>
  <c r="AG40" i="22"/>
  <c r="AG31" i="22"/>
  <c r="AG22" i="22"/>
  <c r="AG13" i="22"/>
  <c r="AG10" i="22"/>
  <c r="AG7" i="22"/>
  <c r="AG4" i="22"/>
  <c r="AG113" i="22"/>
  <c r="AG104" i="22"/>
  <c r="AG95" i="22"/>
  <c r="AG86" i="22"/>
  <c r="AG77" i="22"/>
  <c r="AG68" i="22"/>
  <c r="AG59" i="22"/>
  <c r="AG50" i="22"/>
  <c r="AG41" i="22"/>
  <c r="AG32" i="22"/>
  <c r="AG23" i="22"/>
  <c r="AG14" i="22"/>
  <c r="AH1" i="22"/>
  <c r="AG114" i="22"/>
  <c r="AG105" i="22"/>
  <c r="AG96" i="22"/>
  <c r="AG87" i="22"/>
  <c r="AG78" i="22"/>
  <c r="AG69" i="22"/>
  <c r="AG60" i="22"/>
  <c r="AG51" i="22"/>
  <c r="AG42" i="22"/>
  <c r="AG33" i="22"/>
  <c r="AG24" i="22"/>
  <c r="AG15" i="22"/>
  <c r="AG115" i="22"/>
  <c r="AG106" i="22"/>
  <c r="AG97" i="22"/>
  <c r="AG88" i="22"/>
  <c r="AG79" i="22"/>
  <c r="AG70" i="22"/>
  <c r="AG61" i="22"/>
  <c r="AG52" i="22"/>
  <c r="AG43" i="22"/>
  <c r="AG34" i="22"/>
  <c r="AG25" i="22"/>
  <c r="AG16" i="22"/>
  <c r="AG8" i="22"/>
  <c r="AG5" i="22"/>
  <c r="AG116" i="22"/>
  <c r="AG107" i="22"/>
  <c r="AG98" i="22"/>
  <c r="AG89" i="22"/>
  <c r="AG80" i="22"/>
  <c r="AG71" i="22"/>
  <c r="AG62" i="22"/>
  <c r="AG53" i="22"/>
  <c r="AG44" i="22"/>
  <c r="AG35" i="22"/>
  <c r="AG26" i="22"/>
  <c r="AG17" i="22"/>
  <c r="AG117" i="22"/>
  <c r="AG108" i="22"/>
  <c r="AG99" i="22"/>
  <c r="AG90" i="22"/>
  <c r="AG81" i="22"/>
  <c r="AG72" i="22"/>
  <c r="AG63" i="22"/>
  <c r="AG54" i="22"/>
  <c r="AG45" i="22"/>
  <c r="AG36" i="22"/>
  <c r="AG27" i="22"/>
  <c r="AG18" i="22"/>
  <c r="AG128" i="22"/>
  <c r="AG109" i="22"/>
  <c r="AG100" i="22"/>
  <c r="AG91" i="22"/>
  <c r="AG82" i="22"/>
  <c r="AG73" i="22"/>
  <c r="AG64" i="22"/>
  <c r="AG55" i="22"/>
  <c r="AG46" i="22"/>
  <c r="AG37" i="22"/>
  <c r="AG28" i="22"/>
  <c r="AG19" i="22"/>
  <c r="AG9" i="22"/>
  <c r="AG6" i="22"/>
  <c r="AG3" i="22"/>
  <c r="AG110" i="22"/>
  <c r="AG101" i="22"/>
  <c r="AG92" i="22"/>
  <c r="AG83" i="22"/>
  <c r="AG74" i="22"/>
  <c r="AG65" i="22"/>
  <c r="AG56" i="22"/>
  <c r="AG47" i="22"/>
  <c r="AG38" i="22"/>
  <c r="AG29" i="22"/>
  <c r="AG20" i="22"/>
  <c r="AG11" i="22"/>
  <c r="AG93" i="22"/>
  <c r="AG66" i="22"/>
  <c r="AG39" i="22"/>
  <c r="AG12" i="22"/>
  <c r="AG102" i="22"/>
  <c r="AG75" i="22"/>
  <c r="AG48" i="22"/>
  <c r="AG21" i="22"/>
  <c r="AG111" i="22"/>
  <c r="AG84" i="22"/>
  <c r="AG57" i="22"/>
  <c r="AG30" i="22"/>
  <c r="AE192" i="16"/>
  <c r="AE189" i="16"/>
  <c r="AE186" i="16"/>
  <c r="AE183" i="16"/>
  <c r="AE180" i="16"/>
  <c r="AE177" i="16"/>
  <c r="AE193" i="16"/>
  <c r="AE190" i="16"/>
  <c r="AE187" i="16"/>
  <c r="AE184" i="16"/>
  <c r="AE181" i="16"/>
  <c r="AE178" i="16"/>
  <c r="AE132" i="16"/>
  <c r="AE135" i="16"/>
  <c r="AE185" i="16"/>
  <c r="AE138" i="16"/>
  <c r="AE133" i="16"/>
  <c r="AE130" i="16"/>
  <c r="AE191" i="16"/>
  <c r="AE182" i="16"/>
  <c r="AE141" i="16"/>
  <c r="AE136" i="16"/>
  <c r="AE68" i="16"/>
  <c r="AE65" i="16"/>
  <c r="AE62" i="16"/>
  <c r="AE59" i="16"/>
  <c r="AE56" i="16"/>
  <c r="AE53" i="16"/>
  <c r="AE50" i="16"/>
  <c r="AE47" i="16"/>
  <c r="AE44" i="16"/>
  <c r="AE41" i="16"/>
  <c r="AE38" i="16"/>
  <c r="AE35" i="16"/>
  <c r="AE32" i="16"/>
  <c r="AE29" i="16"/>
  <c r="AE26" i="16"/>
  <c r="AE23" i="16"/>
  <c r="AE20" i="16"/>
  <c r="AE17" i="16"/>
  <c r="AE14" i="16"/>
  <c r="AE11" i="16"/>
  <c r="AE8" i="16"/>
  <c r="AE5" i="16"/>
  <c r="AE134" i="16"/>
  <c r="AE131" i="16"/>
  <c r="AE188" i="16"/>
  <c r="AE168" i="16"/>
  <c r="AE159" i="16"/>
  <c r="AE150" i="16"/>
  <c r="AE128" i="16"/>
  <c r="AE117" i="16"/>
  <c r="AE108" i="16"/>
  <c r="AE99" i="16"/>
  <c r="AE90" i="16"/>
  <c r="AE81" i="16"/>
  <c r="AE72" i="16"/>
  <c r="AE139" i="16"/>
  <c r="AE122" i="16"/>
  <c r="AE113" i="16"/>
  <c r="AE104" i="16"/>
  <c r="AE95" i="16"/>
  <c r="AE86" i="16"/>
  <c r="AE77" i="16"/>
  <c r="AE175" i="16"/>
  <c r="AE166" i="16"/>
  <c r="AE157" i="16"/>
  <c r="AE148" i="16"/>
  <c r="AE137" i="16"/>
  <c r="AE126" i="16"/>
  <c r="AF1" i="16"/>
  <c r="AE173" i="16"/>
  <c r="AE164" i="16"/>
  <c r="AE155" i="16"/>
  <c r="AE146" i="16"/>
  <c r="AE118" i="16"/>
  <c r="AE109" i="16"/>
  <c r="AE100" i="16"/>
  <c r="AE91" i="16"/>
  <c r="AE82" i="16"/>
  <c r="AE73" i="16"/>
  <c r="AE67" i="16"/>
  <c r="AE66" i="16"/>
  <c r="AE64" i="16"/>
  <c r="AE63" i="16"/>
  <c r="AE61" i="16"/>
  <c r="AE60" i="16"/>
  <c r="AE58" i="16"/>
  <c r="AE57" i="16"/>
  <c r="AE55" i="16"/>
  <c r="AE54" i="16"/>
  <c r="AE52" i="16"/>
  <c r="AE51" i="16"/>
  <c r="AE49" i="16"/>
  <c r="AE48" i="16"/>
  <c r="AE46" i="16"/>
  <c r="AE45" i="16"/>
  <c r="AE43" i="16"/>
  <c r="AE42" i="16"/>
  <c r="AE40" i="16"/>
  <c r="AE39" i="16"/>
  <c r="AE37" i="16"/>
  <c r="AE36" i="16"/>
  <c r="AE34" i="16"/>
  <c r="AE33" i="16"/>
  <c r="AE31" i="16"/>
  <c r="AE30" i="16"/>
  <c r="AE28" i="16"/>
  <c r="AE27" i="16"/>
  <c r="AE25" i="16"/>
  <c r="AE24" i="16"/>
  <c r="AE22" i="16"/>
  <c r="AE21" i="16"/>
  <c r="AE19" i="16"/>
  <c r="AE18" i="16"/>
  <c r="AE16" i="16"/>
  <c r="AE15" i="16"/>
  <c r="AE13" i="16"/>
  <c r="AE12" i="16"/>
  <c r="AE10" i="16"/>
  <c r="AE9" i="16"/>
  <c r="AE7" i="16"/>
  <c r="AE6" i="16"/>
  <c r="AE4" i="16"/>
  <c r="AE3" i="16"/>
  <c r="AE144" i="16"/>
  <c r="AE123" i="16"/>
  <c r="AE105" i="16"/>
  <c r="AE87" i="16"/>
  <c r="AE69" i="16"/>
  <c r="AE171" i="16"/>
  <c r="AE162" i="16"/>
  <c r="AE153" i="16"/>
  <c r="AE114" i="16"/>
  <c r="AE96" i="16"/>
  <c r="AE78" i="16"/>
  <c r="AE142" i="16"/>
  <c r="AE119" i="16"/>
  <c r="AE110" i="16"/>
  <c r="AE101" i="16"/>
  <c r="AE92" i="16"/>
  <c r="AE83" i="16"/>
  <c r="AE74" i="16"/>
  <c r="AE103" i="16"/>
  <c r="AE76" i="16"/>
  <c r="AE169" i="16"/>
  <c r="AE160" i="16"/>
  <c r="AE151" i="16"/>
  <c r="AE129" i="16"/>
  <c r="AE102" i="16"/>
  <c r="AE75" i="16"/>
  <c r="AE179" i="16"/>
  <c r="AE167" i="16"/>
  <c r="AE158" i="16"/>
  <c r="AE149" i="16"/>
  <c r="AE140" i="16"/>
  <c r="AE127" i="16"/>
  <c r="AE124" i="16"/>
  <c r="AE115" i="16"/>
  <c r="AE106" i="16"/>
  <c r="AE97" i="16"/>
  <c r="AE88" i="16"/>
  <c r="AE79" i="16"/>
  <c r="AE70" i="16"/>
  <c r="AE156" i="16"/>
  <c r="AE120" i="16"/>
  <c r="AE111" i="16"/>
  <c r="AE93" i="16"/>
  <c r="AE121" i="16"/>
  <c r="AE112" i="16"/>
  <c r="AE94" i="16"/>
  <c r="AE85" i="16"/>
  <c r="AE174" i="16"/>
  <c r="AE165" i="16"/>
  <c r="AE147" i="16"/>
  <c r="AE84" i="16"/>
  <c r="AE125" i="16"/>
  <c r="AE116" i="16"/>
  <c r="AE107" i="16"/>
  <c r="AE98" i="16"/>
  <c r="AE89" i="16"/>
  <c r="AE80" i="16"/>
  <c r="AE71" i="16"/>
  <c r="AE176" i="16"/>
  <c r="AE172" i="16"/>
  <c r="AE163" i="16"/>
  <c r="AE154" i="16"/>
  <c r="AE145" i="16"/>
  <c r="AE143" i="16"/>
  <c r="AE170" i="16"/>
  <c r="AE161" i="16"/>
  <c r="AE152" i="16"/>
  <c r="AG189" i="20" l="1"/>
  <c r="AG186" i="20"/>
  <c r="AG183" i="20"/>
  <c r="AG180" i="20"/>
  <c r="AG177" i="20"/>
  <c r="AG174" i="20"/>
  <c r="AG171" i="20"/>
  <c r="AG168" i="20"/>
  <c r="AG165" i="20"/>
  <c r="AG162" i="20"/>
  <c r="AG159" i="20"/>
  <c r="AG156" i="20"/>
  <c r="AG153" i="20"/>
  <c r="AG155" i="20"/>
  <c r="AG148" i="20"/>
  <c r="AG135" i="20"/>
  <c r="AG130" i="20"/>
  <c r="AG127" i="20"/>
  <c r="AG151" i="20"/>
  <c r="AG147" i="20"/>
  <c r="AG131" i="20"/>
  <c r="AG128" i="20"/>
  <c r="AG182" i="20"/>
  <c r="AG169" i="20"/>
  <c r="AG143" i="20"/>
  <c r="AG138" i="20"/>
  <c r="AG132" i="20"/>
  <c r="AG118" i="20"/>
  <c r="AG184" i="20"/>
  <c r="AG170" i="20"/>
  <c r="AG157" i="20"/>
  <c r="AG122" i="20"/>
  <c r="AG113" i="20"/>
  <c r="AG104" i="20"/>
  <c r="AG95" i="20"/>
  <c r="AG86" i="20"/>
  <c r="AG77" i="20"/>
  <c r="AG68" i="20"/>
  <c r="AG172" i="20"/>
  <c r="AG154" i="20"/>
  <c r="AG149" i="20"/>
  <c r="AG137" i="20"/>
  <c r="AG66" i="20"/>
  <c r="AG63" i="20"/>
  <c r="AG60" i="20"/>
  <c r="AG188" i="20"/>
  <c r="AG175" i="20"/>
  <c r="AG161" i="20"/>
  <c r="AG150" i="20"/>
  <c r="AG141" i="20"/>
  <c r="AG125" i="20"/>
  <c r="AG116" i="20"/>
  <c r="AG107" i="20"/>
  <c r="AG98" i="20"/>
  <c r="AG89" i="20"/>
  <c r="AG80" i="20"/>
  <c r="AG71" i="20"/>
  <c r="AG176" i="20"/>
  <c r="AG178" i="20"/>
  <c r="AG164" i="20"/>
  <c r="AG134" i="20"/>
  <c r="AG124" i="20"/>
  <c r="AG115" i="20"/>
  <c r="AG106" i="20"/>
  <c r="AG97" i="20"/>
  <c r="AG88" i="20"/>
  <c r="AG167" i="20"/>
  <c r="AG133" i="20"/>
  <c r="AG123" i="20"/>
  <c r="AG114" i="20"/>
  <c r="AG105" i="20"/>
  <c r="AG173" i="20"/>
  <c r="AG158" i="20"/>
  <c r="AG142" i="20"/>
  <c r="AG111" i="20"/>
  <c r="AG101" i="20"/>
  <c r="AG58" i="20"/>
  <c r="AG49" i="20"/>
  <c r="AG40" i="20"/>
  <c r="AG160" i="20"/>
  <c r="AG121" i="20"/>
  <c r="AG120" i="20"/>
  <c r="AG84" i="20"/>
  <c r="AG75" i="20"/>
  <c r="AG53" i="20"/>
  <c r="AG44" i="20"/>
  <c r="AG140" i="20"/>
  <c r="AG129" i="20"/>
  <c r="AG93" i="20"/>
  <c r="AG87" i="20"/>
  <c r="AG81" i="20"/>
  <c r="AG78" i="20"/>
  <c r="AG72" i="20"/>
  <c r="AG69" i="20"/>
  <c r="AG57" i="20"/>
  <c r="AG48" i="20"/>
  <c r="AG39" i="20"/>
  <c r="AG36" i="20"/>
  <c r="AG33" i="20"/>
  <c r="AG30" i="20"/>
  <c r="AG27" i="20"/>
  <c r="AG24" i="20"/>
  <c r="AG21" i="20"/>
  <c r="AG18" i="20"/>
  <c r="AG15" i="20"/>
  <c r="AG12" i="20"/>
  <c r="AG9" i="20"/>
  <c r="AG6" i="20"/>
  <c r="AG3" i="20"/>
  <c r="AG185" i="20"/>
  <c r="AG152" i="20"/>
  <c r="AG139" i="20"/>
  <c r="AG119" i="20"/>
  <c r="AG110" i="20"/>
  <c r="AG100" i="20"/>
  <c r="AG91" i="20"/>
  <c r="AG52" i="20"/>
  <c r="AG43" i="20"/>
  <c r="AG190" i="20"/>
  <c r="AG103" i="20"/>
  <c r="AG126" i="20"/>
  <c r="AG117" i="20"/>
  <c r="AG56" i="20"/>
  <c r="AG47" i="20"/>
  <c r="AG38" i="20"/>
  <c r="AG187" i="20"/>
  <c r="AG136" i="20"/>
  <c r="AG99" i="20"/>
  <c r="AG85" i="20"/>
  <c r="AG79" i="20"/>
  <c r="AG76" i="20"/>
  <c r="AG70" i="20"/>
  <c r="AG51" i="20"/>
  <c r="AG42" i="20"/>
  <c r="AG34" i="20"/>
  <c r="AG31" i="20"/>
  <c r="AG28" i="20"/>
  <c r="AG25" i="20"/>
  <c r="AG22" i="20"/>
  <c r="AG19" i="20"/>
  <c r="AG16" i="20"/>
  <c r="AG13" i="20"/>
  <c r="AG10" i="20"/>
  <c r="AG7" i="20"/>
  <c r="AG4" i="20"/>
  <c r="AG179" i="20"/>
  <c r="AG166" i="20"/>
  <c r="AG109" i="20"/>
  <c r="AG102" i="20"/>
  <c r="AG82" i="20"/>
  <c r="AG73" i="20"/>
  <c r="AG55" i="20"/>
  <c r="AG46" i="20"/>
  <c r="AG37" i="20"/>
  <c r="AG145" i="20"/>
  <c r="AG112" i="20"/>
  <c r="AG92" i="20"/>
  <c r="AG90" i="20"/>
  <c r="AG67" i="20"/>
  <c r="AG64" i="20"/>
  <c r="AG61" i="20"/>
  <c r="AH1" i="20"/>
  <c r="AG163" i="20"/>
  <c r="AG146" i="20"/>
  <c r="AG144" i="20"/>
  <c r="AG96" i="20"/>
  <c r="AG94" i="20"/>
  <c r="AG65" i="20"/>
  <c r="AG62" i="20"/>
  <c r="AG59" i="20"/>
  <c r="AG50" i="20"/>
  <c r="AG41" i="20"/>
  <c r="AG45" i="20"/>
  <c r="AG74" i="20"/>
  <c r="AG35" i="20"/>
  <c r="AG32" i="20"/>
  <c r="AG29" i="20"/>
  <c r="AG26" i="20"/>
  <c r="AG23" i="20"/>
  <c r="AG20" i="20"/>
  <c r="AG17" i="20"/>
  <c r="AG14" i="20"/>
  <c r="AG11" i="20"/>
  <c r="AG8" i="20"/>
  <c r="AG5" i="20"/>
  <c r="AG181" i="20"/>
  <c r="AG108" i="20"/>
  <c r="AG83" i="20"/>
  <c r="AG54" i="20"/>
  <c r="AE137" i="21"/>
  <c r="AE188" i="21"/>
  <c r="AE185" i="21"/>
  <c r="AE182" i="21"/>
  <c r="AE179" i="21"/>
  <c r="AE176" i="21"/>
  <c r="AE173" i="21"/>
  <c r="AE170" i="21"/>
  <c r="AE167" i="21"/>
  <c r="AE164" i="21"/>
  <c r="AE161" i="21"/>
  <c r="AE158" i="21"/>
  <c r="AE155" i="21"/>
  <c r="AE152" i="21"/>
  <c r="AE149" i="21"/>
  <c r="AE146" i="21"/>
  <c r="AE143" i="21"/>
  <c r="AE140" i="21"/>
  <c r="AE132" i="21"/>
  <c r="AE124" i="21"/>
  <c r="AE121" i="21"/>
  <c r="AE118" i="21"/>
  <c r="AE115" i="21"/>
  <c r="AE112" i="21"/>
  <c r="AE127" i="21"/>
  <c r="AE130" i="21"/>
  <c r="AE186" i="21"/>
  <c r="AE183" i="21"/>
  <c r="AE180" i="21"/>
  <c r="AE177" i="21"/>
  <c r="AE174" i="21"/>
  <c r="AE171" i="21"/>
  <c r="AE168" i="21"/>
  <c r="AE165" i="21"/>
  <c r="AE162" i="21"/>
  <c r="AE159" i="21"/>
  <c r="AE156" i="21"/>
  <c r="AE136" i="21"/>
  <c r="AE131" i="21"/>
  <c r="AE187" i="21"/>
  <c r="AE133" i="21"/>
  <c r="AE178" i="21"/>
  <c r="AE129" i="21"/>
  <c r="AE126" i="21"/>
  <c r="AE110" i="21"/>
  <c r="AE107" i="21"/>
  <c r="AE104" i="21"/>
  <c r="AE101" i="21"/>
  <c r="AE98" i="21"/>
  <c r="AE95" i="21"/>
  <c r="AE92" i="21"/>
  <c r="AE89" i="21"/>
  <c r="AE86" i="21"/>
  <c r="AE83" i="21"/>
  <c r="AE80" i="21"/>
  <c r="AE77" i="21"/>
  <c r="AE74" i="21"/>
  <c r="AE71" i="21"/>
  <c r="AE68" i="21"/>
  <c r="AE65" i="21"/>
  <c r="AE62" i="21"/>
  <c r="AE59" i="21"/>
  <c r="AE56" i="21"/>
  <c r="AE53" i="21"/>
  <c r="AE50" i="21"/>
  <c r="AE47" i="21"/>
  <c r="AE44" i="21"/>
  <c r="AE41" i="21"/>
  <c r="AE38" i="21"/>
  <c r="AE35" i="21"/>
  <c r="AE32" i="21"/>
  <c r="AE29" i="21"/>
  <c r="AE26" i="21"/>
  <c r="AE23" i="21"/>
  <c r="AE20" i="21"/>
  <c r="AE17" i="21"/>
  <c r="AE147" i="21"/>
  <c r="AE138" i="21"/>
  <c r="AE135" i="21"/>
  <c r="AE184" i="21"/>
  <c r="AE175" i="21"/>
  <c r="AE128" i="21"/>
  <c r="AE125" i="21"/>
  <c r="AE108" i="21"/>
  <c r="AE105" i="21"/>
  <c r="AE102" i="21"/>
  <c r="AE99" i="21"/>
  <c r="AE96" i="21"/>
  <c r="AE93" i="21"/>
  <c r="AE90" i="21"/>
  <c r="AE87" i="21"/>
  <c r="AE84" i="21"/>
  <c r="AE81" i="21"/>
  <c r="AE78" i="21"/>
  <c r="AE75" i="21"/>
  <c r="AE72" i="21"/>
  <c r="AE69" i="21"/>
  <c r="AE66" i="21"/>
  <c r="AE63" i="21"/>
  <c r="AE60" i="21"/>
  <c r="AE57" i="21"/>
  <c r="AE54" i="21"/>
  <c r="AE51" i="21"/>
  <c r="AE48" i="21"/>
  <c r="AE45" i="21"/>
  <c r="AE42" i="21"/>
  <c r="AE39" i="21"/>
  <c r="AE36" i="21"/>
  <c r="AE33" i="21"/>
  <c r="AE30" i="21"/>
  <c r="AE27" i="21"/>
  <c r="AE24" i="21"/>
  <c r="AE21" i="21"/>
  <c r="AE18" i="21"/>
  <c r="AE181" i="21"/>
  <c r="AE49" i="21"/>
  <c r="AF1" i="21"/>
  <c r="AE109" i="21"/>
  <c r="AE106" i="21"/>
  <c r="AE103" i="21"/>
  <c r="AE100" i="21"/>
  <c r="AE97" i="21"/>
  <c r="AE94" i="21"/>
  <c r="AE91" i="21"/>
  <c r="AE88" i="21"/>
  <c r="AE85" i="21"/>
  <c r="AE82" i="21"/>
  <c r="AE79" i="21"/>
  <c r="AE76" i="21"/>
  <c r="AE73" i="21"/>
  <c r="AE70" i="21"/>
  <c r="AE67" i="21"/>
  <c r="AE64" i="21"/>
  <c r="AE61" i="21"/>
  <c r="AE58" i="21"/>
  <c r="AE55" i="21"/>
  <c r="AE52" i="21"/>
  <c r="AE150" i="21"/>
  <c r="AE141" i="21"/>
  <c r="AE40" i="21"/>
  <c r="AE31" i="21"/>
  <c r="AE22" i="21"/>
  <c r="AE160" i="21"/>
  <c r="AE148" i="21"/>
  <c r="AE139" i="21"/>
  <c r="AE122" i="21"/>
  <c r="AE119" i="21"/>
  <c r="AE116" i="21"/>
  <c r="AE113" i="21"/>
  <c r="AE153" i="21"/>
  <c r="AE144" i="21"/>
  <c r="AE15" i="21"/>
  <c r="AE12" i="21"/>
  <c r="AE9" i="21"/>
  <c r="AE6" i="21"/>
  <c r="AE3" i="21"/>
  <c r="AE134" i="21"/>
  <c r="AE169" i="21"/>
  <c r="AE120" i="21"/>
  <c r="AE111" i="21"/>
  <c r="AE154" i="21"/>
  <c r="AE142" i="21"/>
  <c r="AE166" i="21"/>
  <c r="AE157" i="21"/>
  <c r="AE151" i="21"/>
  <c r="AE172" i="21"/>
  <c r="AE117" i="21"/>
  <c r="AE14" i="21"/>
  <c r="AE13" i="21"/>
  <c r="AE5" i="21"/>
  <c r="AE4" i="21"/>
  <c r="AE43" i="21"/>
  <c r="AE19" i="21"/>
  <c r="AE11" i="21"/>
  <c r="AE114" i="21"/>
  <c r="AE28" i="21"/>
  <c r="AE37" i="21"/>
  <c r="AE25" i="21"/>
  <c r="AE163" i="21"/>
  <c r="AE123" i="21"/>
  <c r="AE34" i="21"/>
  <c r="AE46" i="21"/>
  <c r="AE16" i="21"/>
  <c r="AE10" i="21"/>
  <c r="AE7" i="21"/>
  <c r="AE145" i="21"/>
  <c r="AE8" i="21"/>
  <c r="AH185" i="22"/>
  <c r="AI185" i="22" s="1"/>
  <c r="AH182" i="22"/>
  <c r="AI182" i="22" s="1"/>
  <c r="AH179" i="22"/>
  <c r="AI179" i="22" s="1"/>
  <c r="AH176" i="22"/>
  <c r="AI176" i="22" s="1"/>
  <c r="AH173" i="22"/>
  <c r="AI173" i="22" s="1"/>
  <c r="AH170" i="22"/>
  <c r="AI170" i="22" s="1"/>
  <c r="AH167" i="22"/>
  <c r="AI167" i="22" s="1"/>
  <c r="AH164" i="22"/>
  <c r="AI164" i="22" s="1"/>
  <c r="AH161" i="22"/>
  <c r="AI161" i="22" s="1"/>
  <c r="AH158" i="22"/>
  <c r="AI158" i="22" s="1"/>
  <c r="AH155" i="22"/>
  <c r="AI155" i="22" s="1"/>
  <c r="AH152" i="22"/>
  <c r="AI152" i="22" s="1"/>
  <c r="AH149" i="22"/>
  <c r="AI149" i="22" s="1"/>
  <c r="AH146" i="22"/>
  <c r="AI146" i="22" s="1"/>
  <c r="AH143" i="22"/>
  <c r="AI143" i="22" s="1"/>
  <c r="AH140" i="22"/>
  <c r="AI140" i="22" s="1"/>
  <c r="AH137" i="22"/>
  <c r="AI137" i="22" s="1"/>
  <c r="AH129" i="22"/>
  <c r="AH121" i="22"/>
  <c r="AH118" i="22"/>
  <c r="AI118" i="22" s="1"/>
  <c r="AH124" i="22"/>
  <c r="AI124" i="22" s="1"/>
  <c r="AH127" i="22"/>
  <c r="AH135" i="22"/>
  <c r="AH132" i="22"/>
  <c r="AI132" i="22" s="1"/>
  <c r="AH183" i="22"/>
  <c r="AI183" i="22" s="1"/>
  <c r="AH180" i="22"/>
  <c r="AI180" i="22" s="1"/>
  <c r="AH177" i="22"/>
  <c r="AI177" i="22" s="1"/>
  <c r="AH174" i="22"/>
  <c r="AI174" i="22" s="1"/>
  <c r="AH171" i="22"/>
  <c r="AI171" i="22" s="1"/>
  <c r="AH168" i="22"/>
  <c r="AI168" i="22" s="1"/>
  <c r="AH165" i="22"/>
  <c r="AI165" i="22" s="1"/>
  <c r="AH162" i="22"/>
  <c r="AI162" i="22" s="1"/>
  <c r="AH159" i="22"/>
  <c r="AI159" i="22" s="1"/>
  <c r="AH156" i="22"/>
  <c r="AI156" i="22" s="1"/>
  <c r="AH153" i="22"/>
  <c r="AI153" i="22" s="1"/>
  <c r="AH150" i="22"/>
  <c r="AI150" i="22" s="1"/>
  <c r="AH147" i="22"/>
  <c r="AI147" i="22" s="1"/>
  <c r="AH144" i="22"/>
  <c r="AI144" i="22" s="1"/>
  <c r="AH141" i="22"/>
  <c r="AI141" i="22" s="1"/>
  <c r="AH138" i="22"/>
  <c r="AI138" i="22" s="1"/>
  <c r="AH119" i="22"/>
  <c r="AI119" i="22" s="1"/>
  <c r="AH130" i="22"/>
  <c r="AH125" i="22"/>
  <c r="AI125" i="22" s="1"/>
  <c r="AH122" i="22"/>
  <c r="AI122" i="22" s="1"/>
  <c r="AH133" i="22"/>
  <c r="AI133" i="22" s="1"/>
  <c r="AH128" i="22"/>
  <c r="AH126" i="22"/>
  <c r="AH123" i="22"/>
  <c r="AI123" i="22" s="1"/>
  <c r="AH131" i="22"/>
  <c r="AH181" i="22"/>
  <c r="AI181" i="22" s="1"/>
  <c r="AH172" i="22"/>
  <c r="AI172" i="22" s="1"/>
  <c r="AH163" i="22"/>
  <c r="AI163" i="22" s="1"/>
  <c r="AH154" i="22"/>
  <c r="AI154" i="22" s="1"/>
  <c r="AH145" i="22"/>
  <c r="AI145" i="22" s="1"/>
  <c r="AH136" i="22"/>
  <c r="AI136" i="22" s="1"/>
  <c r="AH120" i="22"/>
  <c r="AI120" i="22" s="1"/>
  <c r="AH117" i="22"/>
  <c r="AI117" i="22" s="1"/>
  <c r="AH114" i="22"/>
  <c r="AI114" i="22" s="1"/>
  <c r="AH111" i="22"/>
  <c r="AI111" i="22" s="1"/>
  <c r="AH108" i="22"/>
  <c r="AI108" i="22" s="1"/>
  <c r="AH105" i="22"/>
  <c r="AI105" i="22" s="1"/>
  <c r="AH102" i="22"/>
  <c r="AI102" i="22" s="1"/>
  <c r="AH99" i="22"/>
  <c r="AI99" i="22" s="1"/>
  <c r="AH96" i="22"/>
  <c r="AI96" i="22" s="1"/>
  <c r="AH93" i="22"/>
  <c r="AI93" i="22" s="1"/>
  <c r="AH90" i="22"/>
  <c r="AI90" i="22" s="1"/>
  <c r="AH87" i="22"/>
  <c r="AI87" i="22" s="1"/>
  <c r="AH84" i="22"/>
  <c r="AI84" i="22" s="1"/>
  <c r="AH81" i="22"/>
  <c r="AI81" i="22" s="1"/>
  <c r="AH78" i="22"/>
  <c r="AI78" i="22" s="1"/>
  <c r="AH75" i="22"/>
  <c r="AI75" i="22" s="1"/>
  <c r="AH72" i="22"/>
  <c r="AI72" i="22" s="1"/>
  <c r="AH69" i="22"/>
  <c r="AI69" i="22" s="1"/>
  <c r="AH66" i="22"/>
  <c r="AI66" i="22" s="1"/>
  <c r="AH63" i="22"/>
  <c r="AI63" i="22" s="1"/>
  <c r="AH60" i="22"/>
  <c r="AI60" i="22" s="1"/>
  <c r="AH57" i="22"/>
  <c r="AI57" i="22" s="1"/>
  <c r="AH54" i="22"/>
  <c r="AI54" i="22" s="1"/>
  <c r="AH51" i="22"/>
  <c r="AI51" i="22" s="1"/>
  <c r="AH48" i="22"/>
  <c r="AI48" i="22" s="1"/>
  <c r="AH45" i="22"/>
  <c r="AI45" i="22" s="1"/>
  <c r="AH42" i="22"/>
  <c r="AI42" i="22" s="1"/>
  <c r="AH39" i="22"/>
  <c r="AI39" i="22" s="1"/>
  <c r="AH36" i="22"/>
  <c r="AI36" i="22" s="1"/>
  <c r="AH33" i="22"/>
  <c r="AI33" i="22" s="1"/>
  <c r="AH30" i="22"/>
  <c r="AI30" i="22" s="1"/>
  <c r="AH27" i="22"/>
  <c r="AI27" i="22" s="1"/>
  <c r="AH24" i="22"/>
  <c r="AI24" i="22" s="1"/>
  <c r="AH21" i="22"/>
  <c r="AI21" i="22" s="1"/>
  <c r="AH18" i="22"/>
  <c r="AI18" i="22" s="1"/>
  <c r="AH15" i="22"/>
  <c r="AI15" i="22" s="1"/>
  <c r="AH12" i="22"/>
  <c r="AI12" i="22" s="1"/>
  <c r="AH178" i="22"/>
  <c r="AI178" i="22" s="1"/>
  <c r="AH169" i="22"/>
  <c r="AI169" i="22" s="1"/>
  <c r="AH160" i="22"/>
  <c r="AI160" i="22" s="1"/>
  <c r="AH151" i="22"/>
  <c r="AI151" i="22" s="1"/>
  <c r="AH142" i="22"/>
  <c r="AI142" i="22" s="1"/>
  <c r="AH115" i="22"/>
  <c r="AI115" i="22" s="1"/>
  <c r="AH112" i="22"/>
  <c r="AI112" i="22" s="1"/>
  <c r="AH109" i="22"/>
  <c r="AI109" i="22" s="1"/>
  <c r="AH106" i="22"/>
  <c r="AI106" i="22" s="1"/>
  <c r="AH103" i="22"/>
  <c r="AI103" i="22" s="1"/>
  <c r="AH100" i="22"/>
  <c r="AI100" i="22" s="1"/>
  <c r="AH97" i="22"/>
  <c r="AI97" i="22" s="1"/>
  <c r="AH94" i="22"/>
  <c r="AI94" i="22" s="1"/>
  <c r="AH91" i="22"/>
  <c r="AI91" i="22" s="1"/>
  <c r="AH88" i="22"/>
  <c r="AI88" i="22" s="1"/>
  <c r="AH85" i="22"/>
  <c r="AI85" i="22" s="1"/>
  <c r="AH82" i="22"/>
  <c r="AI82" i="22" s="1"/>
  <c r="AH79" i="22"/>
  <c r="AI79" i="22" s="1"/>
  <c r="AH76" i="22"/>
  <c r="AI76" i="22" s="1"/>
  <c r="AH73" i="22"/>
  <c r="AI73" i="22" s="1"/>
  <c r="AH70" i="22"/>
  <c r="AI70" i="22" s="1"/>
  <c r="AH67" i="22"/>
  <c r="AI67" i="22" s="1"/>
  <c r="AH64" i="22"/>
  <c r="AI64" i="22" s="1"/>
  <c r="AH61" i="22"/>
  <c r="AI61" i="22" s="1"/>
  <c r="AH58" i="22"/>
  <c r="AI58" i="22" s="1"/>
  <c r="AH55" i="22"/>
  <c r="AI55" i="22" s="1"/>
  <c r="AH52" i="22"/>
  <c r="AI52" i="22" s="1"/>
  <c r="AH49" i="22"/>
  <c r="AI49" i="22" s="1"/>
  <c r="AH46" i="22"/>
  <c r="AI46" i="22" s="1"/>
  <c r="AH43" i="22"/>
  <c r="AI43" i="22" s="1"/>
  <c r="AH40" i="22"/>
  <c r="AI40" i="22" s="1"/>
  <c r="AH37" i="22"/>
  <c r="AI37" i="22" s="1"/>
  <c r="AH34" i="22"/>
  <c r="AI34" i="22" s="1"/>
  <c r="AH31" i="22"/>
  <c r="AI31" i="22" s="1"/>
  <c r="AH28" i="22"/>
  <c r="AI28" i="22" s="1"/>
  <c r="AH25" i="22"/>
  <c r="AI25" i="22" s="1"/>
  <c r="AH22" i="22"/>
  <c r="AI22" i="22" s="1"/>
  <c r="AH19" i="22"/>
  <c r="AI19" i="22" s="1"/>
  <c r="AH16" i="22"/>
  <c r="AI16" i="22" s="1"/>
  <c r="AH13" i="22"/>
  <c r="AI13" i="22" s="1"/>
  <c r="AH184" i="22"/>
  <c r="AI184" i="22" s="1"/>
  <c r="AH175" i="22"/>
  <c r="AI175" i="22" s="1"/>
  <c r="AH166" i="22"/>
  <c r="AI166" i="22" s="1"/>
  <c r="AH157" i="22"/>
  <c r="AI157" i="22" s="1"/>
  <c r="AH148" i="22"/>
  <c r="AI148" i="22" s="1"/>
  <c r="AH139" i="22"/>
  <c r="AI139" i="22" s="1"/>
  <c r="AH116" i="22"/>
  <c r="AI116" i="22" s="1"/>
  <c r="AH113" i="22"/>
  <c r="AI113" i="22" s="1"/>
  <c r="AH110" i="22"/>
  <c r="AI110" i="22" s="1"/>
  <c r="AH107" i="22"/>
  <c r="AI107" i="22" s="1"/>
  <c r="AH104" i="22"/>
  <c r="AI104" i="22" s="1"/>
  <c r="AH101" i="22"/>
  <c r="AI101" i="22" s="1"/>
  <c r="AH98" i="22"/>
  <c r="AI98" i="22" s="1"/>
  <c r="AH95" i="22"/>
  <c r="AI95" i="22" s="1"/>
  <c r="AH92" i="22"/>
  <c r="AI92" i="22" s="1"/>
  <c r="AH89" i="22"/>
  <c r="AI89" i="22" s="1"/>
  <c r="AH86" i="22"/>
  <c r="AI86" i="22" s="1"/>
  <c r="AH83" i="22"/>
  <c r="AI83" i="22" s="1"/>
  <c r="AH80" i="22"/>
  <c r="AI80" i="22" s="1"/>
  <c r="AH77" i="22"/>
  <c r="AI77" i="22" s="1"/>
  <c r="AH74" i="22"/>
  <c r="AI74" i="22" s="1"/>
  <c r="AH71" i="22"/>
  <c r="AI71" i="22" s="1"/>
  <c r="AH68" i="22"/>
  <c r="AI68" i="22" s="1"/>
  <c r="AH65" i="22"/>
  <c r="AI65" i="22" s="1"/>
  <c r="AH62" i="22"/>
  <c r="AI62" i="22" s="1"/>
  <c r="AH59" i="22"/>
  <c r="AI59" i="22" s="1"/>
  <c r="AH56" i="22"/>
  <c r="AI56" i="22" s="1"/>
  <c r="AH53" i="22"/>
  <c r="AI53" i="22" s="1"/>
  <c r="AH50" i="22"/>
  <c r="AI50" i="22" s="1"/>
  <c r="AH47" i="22"/>
  <c r="AI47" i="22" s="1"/>
  <c r="AH44" i="22"/>
  <c r="AI44" i="22" s="1"/>
  <c r="AH41" i="22"/>
  <c r="AI41" i="22" s="1"/>
  <c r="AH38" i="22"/>
  <c r="AI38" i="22" s="1"/>
  <c r="AH35" i="22"/>
  <c r="AI35" i="22" s="1"/>
  <c r="AH32" i="22"/>
  <c r="AI32" i="22" s="1"/>
  <c r="AH29" i="22"/>
  <c r="AI29" i="22" s="1"/>
  <c r="AH26" i="22"/>
  <c r="AI26" i="22" s="1"/>
  <c r="AH23" i="22"/>
  <c r="AI23" i="22" s="1"/>
  <c r="AH20" i="22"/>
  <c r="AI20" i="22" s="1"/>
  <c r="AH17" i="22"/>
  <c r="AI17" i="22" s="1"/>
  <c r="AH14" i="22"/>
  <c r="AI14" i="22" s="1"/>
  <c r="AH11" i="22"/>
  <c r="AI11" i="22" s="1"/>
  <c r="AH8" i="22"/>
  <c r="AI8" i="22" s="1"/>
  <c r="AH5" i="22"/>
  <c r="AI5" i="22" s="1"/>
  <c r="AH9" i="22"/>
  <c r="AI9" i="22" s="1"/>
  <c r="AH6" i="22"/>
  <c r="AI6" i="22" s="1"/>
  <c r="AH3" i="22"/>
  <c r="AI3" i="22" s="1"/>
  <c r="AH134" i="22"/>
  <c r="AI134" i="22" s="1"/>
  <c r="AH4" i="22"/>
  <c r="AI4" i="22" s="1"/>
  <c r="AH10" i="22"/>
  <c r="AI10" i="22" s="1"/>
  <c r="AH7" i="22"/>
  <c r="AI7" i="22" s="1"/>
  <c r="AE188" i="19"/>
  <c r="AE185" i="19"/>
  <c r="AE182" i="19"/>
  <c r="AE179" i="19"/>
  <c r="AE176" i="19"/>
  <c r="AE135" i="19"/>
  <c r="AE130" i="19"/>
  <c r="AE127" i="19"/>
  <c r="AF1" i="19"/>
  <c r="AE187" i="19"/>
  <c r="AE178" i="19"/>
  <c r="AE186" i="19"/>
  <c r="AE177" i="19"/>
  <c r="AE138" i="19"/>
  <c r="AE133" i="19"/>
  <c r="AE65" i="19"/>
  <c r="AE62" i="19"/>
  <c r="AE59" i="19"/>
  <c r="AE56" i="19"/>
  <c r="AE53" i="19"/>
  <c r="AE50" i="19"/>
  <c r="AE47" i="19"/>
  <c r="AE44" i="19"/>
  <c r="AE41" i="19"/>
  <c r="AE38" i="19"/>
  <c r="AE35" i="19"/>
  <c r="AE32" i="19"/>
  <c r="AE29" i="19"/>
  <c r="AE26" i="19"/>
  <c r="AE23" i="19"/>
  <c r="AE20" i="19"/>
  <c r="AE17" i="19"/>
  <c r="AE14" i="19"/>
  <c r="AE11" i="19"/>
  <c r="AE8" i="19"/>
  <c r="AE5" i="19"/>
  <c r="AE174" i="19"/>
  <c r="AE171" i="19"/>
  <c r="AE168" i="19"/>
  <c r="AE165" i="19"/>
  <c r="AE162" i="19"/>
  <c r="AE159" i="19"/>
  <c r="AE156" i="19"/>
  <c r="AE153" i="19"/>
  <c r="AE150" i="19"/>
  <c r="AE147" i="19"/>
  <c r="AE144" i="19"/>
  <c r="AE141" i="19"/>
  <c r="AE125" i="19"/>
  <c r="AE122" i="19"/>
  <c r="AE119" i="19"/>
  <c r="AE116" i="19"/>
  <c r="AE113" i="19"/>
  <c r="AE110" i="19"/>
  <c r="AE107" i="19"/>
  <c r="AE104" i="19"/>
  <c r="AE101" i="19"/>
  <c r="AE98" i="19"/>
  <c r="AE95" i="19"/>
  <c r="AE92" i="19"/>
  <c r="AE89" i="19"/>
  <c r="AE86" i="19"/>
  <c r="AE83" i="19"/>
  <c r="AE80" i="19"/>
  <c r="AE77" i="19"/>
  <c r="AE74" i="19"/>
  <c r="AE71" i="19"/>
  <c r="AE68" i="19"/>
  <c r="AE172" i="19"/>
  <c r="AE169" i="19"/>
  <c r="AE166" i="19"/>
  <c r="AE163" i="19"/>
  <c r="AE160" i="19"/>
  <c r="AE157" i="19"/>
  <c r="AE154" i="19"/>
  <c r="AE151" i="19"/>
  <c r="AE148" i="19"/>
  <c r="AE145" i="19"/>
  <c r="AE142" i="19"/>
  <c r="AE134" i="19"/>
  <c r="AE126" i="19"/>
  <c r="AE123" i="19"/>
  <c r="AE120" i="19"/>
  <c r="AE117" i="19"/>
  <c r="AE114" i="19"/>
  <c r="AE111" i="19"/>
  <c r="AE108" i="19"/>
  <c r="AE105" i="19"/>
  <c r="AE102" i="19"/>
  <c r="AE99" i="19"/>
  <c r="AE96" i="19"/>
  <c r="AE93" i="19"/>
  <c r="AE90" i="19"/>
  <c r="AE87" i="19"/>
  <c r="AE84" i="19"/>
  <c r="AE81" i="19"/>
  <c r="AE78" i="19"/>
  <c r="AE75" i="19"/>
  <c r="AE72" i="19"/>
  <c r="AE69" i="19"/>
  <c r="AE128" i="19"/>
  <c r="AE121" i="19"/>
  <c r="AE112" i="19"/>
  <c r="AE103" i="19"/>
  <c r="AE94" i="19"/>
  <c r="AE85" i="19"/>
  <c r="AE76" i="19"/>
  <c r="AE190" i="19"/>
  <c r="AE63" i="19"/>
  <c r="AE54" i="19"/>
  <c r="AE45" i="19"/>
  <c r="AE36" i="19"/>
  <c r="AE170" i="19"/>
  <c r="AE161" i="19"/>
  <c r="AE152" i="19"/>
  <c r="AE143" i="19"/>
  <c r="AE139" i="19"/>
  <c r="AE61" i="19"/>
  <c r="AE52" i="19"/>
  <c r="AE43" i="19"/>
  <c r="AE137" i="19"/>
  <c r="AE66" i="19"/>
  <c r="AE57" i="19"/>
  <c r="AE48" i="19"/>
  <c r="AE39" i="19"/>
  <c r="AE30" i="19"/>
  <c r="AE21" i="19"/>
  <c r="AE12" i="19"/>
  <c r="AE3" i="19"/>
  <c r="AE173" i="19"/>
  <c r="AE164" i="19"/>
  <c r="AE155" i="19"/>
  <c r="AE146" i="19"/>
  <c r="AE129" i="19"/>
  <c r="AE118" i="19"/>
  <c r="AE109" i="19"/>
  <c r="AE100" i="19"/>
  <c r="AE91" i="19"/>
  <c r="AE82" i="19"/>
  <c r="AE73" i="19"/>
  <c r="AE167" i="19"/>
  <c r="AE136" i="19"/>
  <c r="AE88" i="19"/>
  <c r="AE31" i="19"/>
  <c r="AE10" i="19"/>
  <c r="AE189" i="19"/>
  <c r="AE106" i="19"/>
  <c r="AE55" i="19"/>
  <c r="AE49" i="19"/>
  <c r="AE13" i="19"/>
  <c r="AE181" i="19"/>
  <c r="AE140" i="19"/>
  <c r="AE115" i="19"/>
  <c r="AE64" i="19"/>
  <c r="AE58" i="19"/>
  <c r="AE4" i="19"/>
  <c r="AE184" i="19"/>
  <c r="AE180" i="19"/>
  <c r="AE149" i="19"/>
  <c r="AE124" i="19"/>
  <c r="AE70" i="19"/>
  <c r="AE67" i="19"/>
  <c r="AE28" i="19"/>
  <c r="AE183" i="19"/>
  <c r="AE132" i="19"/>
  <c r="AE18" i="19"/>
  <c r="AE16" i="19"/>
  <c r="AE6" i="19"/>
  <c r="AE131" i="19"/>
  <c r="AE34" i="19"/>
  <c r="AE24" i="19"/>
  <c r="AE79" i="19"/>
  <c r="AE42" i="19"/>
  <c r="AE40" i="19"/>
  <c r="AE19" i="19"/>
  <c r="AE158" i="19"/>
  <c r="AE27" i="19"/>
  <c r="AE9" i="19"/>
  <c r="AE60" i="19"/>
  <c r="AE37" i="19"/>
  <c r="AE46" i="19"/>
  <c r="AE25" i="19"/>
  <c r="AE175" i="19"/>
  <c r="AE51" i="19"/>
  <c r="AE97" i="19"/>
  <c r="AE7" i="19"/>
  <c r="AE15" i="19"/>
  <c r="AE33" i="19"/>
  <c r="AE22" i="19"/>
  <c r="AF192" i="16"/>
  <c r="AF189" i="16"/>
  <c r="AF186" i="16"/>
  <c r="AF183" i="16"/>
  <c r="AF180" i="16"/>
  <c r="AF177" i="16"/>
  <c r="AF178" i="16"/>
  <c r="AF135" i="16"/>
  <c r="AF140" i="16"/>
  <c r="AF185" i="16"/>
  <c r="AF143" i="16"/>
  <c r="AF193" i="16"/>
  <c r="AF184" i="16"/>
  <c r="AF190" i="16"/>
  <c r="AF181" i="16"/>
  <c r="AF174" i="16"/>
  <c r="AF171" i="16"/>
  <c r="AF168" i="16"/>
  <c r="AF165" i="16"/>
  <c r="AF162" i="16"/>
  <c r="AF159" i="16"/>
  <c r="AF156" i="16"/>
  <c r="AF153" i="16"/>
  <c r="AF150" i="16"/>
  <c r="AF147" i="16"/>
  <c r="AF144" i="16"/>
  <c r="AF128" i="16"/>
  <c r="AF125" i="16"/>
  <c r="AF122" i="16"/>
  <c r="AF119" i="16"/>
  <c r="AF116" i="16"/>
  <c r="AF113" i="16"/>
  <c r="AF110" i="16"/>
  <c r="AF107" i="16"/>
  <c r="AF104" i="16"/>
  <c r="AF101" i="16"/>
  <c r="AF98" i="16"/>
  <c r="AF95" i="16"/>
  <c r="AF92" i="16"/>
  <c r="AF89" i="16"/>
  <c r="AF86" i="16"/>
  <c r="AF83" i="16"/>
  <c r="AF80" i="16"/>
  <c r="AF77" i="16"/>
  <c r="AF74" i="16"/>
  <c r="AF71" i="16"/>
  <c r="AF176" i="16"/>
  <c r="AF139" i="16"/>
  <c r="AF187" i="16"/>
  <c r="AF141" i="16"/>
  <c r="AF175" i="16"/>
  <c r="AF166" i="16"/>
  <c r="AF157" i="16"/>
  <c r="AF148" i="16"/>
  <c r="AF137" i="16"/>
  <c r="AF126" i="16"/>
  <c r="AG1" i="16"/>
  <c r="AF173" i="16"/>
  <c r="AF164" i="16"/>
  <c r="AF155" i="16"/>
  <c r="AF146" i="16"/>
  <c r="AF118" i="16"/>
  <c r="AF109" i="16"/>
  <c r="AF100" i="16"/>
  <c r="AF91" i="16"/>
  <c r="AF82" i="16"/>
  <c r="AF73" i="16"/>
  <c r="AF67" i="16"/>
  <c r="AF66" i="16"/>
  <c r="AF64" i="16"/>
  <c r="AF63" i="16"/>
  <c r="AF61" i="16"/>
  <c r="AF60" i="16"/>
  <c r="AF58" i="16"/>
  <c r="AF57" i="16"/>
  <c r="AF55" i="16"/>
  <c r="AF54" i="16"/>
  <c r="AF52" i="16"/>
  <c r="AF51" i="16"/>
  <c r="AF49" i="16"/>
  <c r="AF48" i="16"/>
  <c r="AF46" i="16"/>
  <c r="AF45" i="16"/>
  <c r="AF43" i="16"/>
  <c r="AF42" i="16"/>
  <c r="AF40" i="16"/>
  <c r="AF39" i="16"/>
  <c r="AF37" i="16"/>
  <c r="AF36" i="16"/>
  <c r="AF34" i="16"/>
  <c r="AF33" i="16"/>
  <c r="AF31" i="16"/>
  <c r="AF30" i="16"/>
  <c r="AF28" i="16"/>
  <c r="AF27" i="16"/>
  <c r="AF25" i="16"/>
  <c r="AF24" i="16"/>
  <c r="AF22" i="16"/>
  <c r="AF21" i="16"/>
  <c r="AF19" i="16"/>
  <c r="AF18" i="16"/>
  <c r="AF16" i="16"/>
  <c r="AF15" i="16"/>
  <c r="AF13" i="16"/>
  <c r="AF12" i="16"/>
  <c r="AF10" i="16"/>
  <c r="AF9" i="16"/>
  <c r="AF7" i="16"/>
  <c r="AF6" i="16"/>
  <c r="AF4" i="16"/>
  <c r="AF3" i="16"/>
  <c r="AF133" i="16"/>
  <c r="AF123" i="16"/>
  <c r="AF114" i="16"/>
  <c r="AF105" i="16"/>
  <c r="AF96" i="16"/>
  <c r="AF87" i="16"/>
  <c r="AF78" i="16"/>
  <c r="AF69" i="16"/>
  <c r="AF68" i="16"/>
  <c r="AF65" i="16"/>
  <c r="AF62" i="16"/>
  <c r="AF59" i="16"/>
  <c r="AF56" i="16"/>
  <c r="AF53" i="16"/>
  <c r="AF50" i="16"/>
  <c r="AF47" i="16"/>
  <c r="AF44" i="16"/>
  <c r="AF41" i="16"/>
  <c r="AF38" i="16"/>
  <c r="AF35" i="16"/>
  <c r="AF32" i="16"/>
  <c r="AF29" i="16"/>
  <c r="AF26" i="16"/>
  <c r="AF23" i="16"/>
  <c r="AF20" i="16"/>
  <c r="AF17" i="16"/>
  <c r="AF14" i="16"/>
  <c r="AF11" i="16"/>
  <c r="AF8" i="16"/>
  <c r="AF5" i="16"/>
  <c r="AF142" i="16"/>
  <c r="AF131" i="16"/>
  <c r="AF169" i="16"/>
  <c r="AF160" i="16"/>
  <c r="AF151" i="16"/>
  <c r="AF129" i="16"/>
  <c r="AF108" i="16"/>
  <c r="AF188" i="16"/>
  <c r="AF179" i="16"/>
  <c r="AF167" i="16"/>
  <c r="AF158" i="16"/>
  <c r="AF149" i="16"/>
  <c r="AF127" i="16"/>
  <c r="AF124" i="16"/>
  <c r="AF115" i="16"/>
  <c r="AF106" i="16"/>
  <c r="AF97" i="16"/>
  <c r="AF88" i="16"/>
  <c r="AF79" i="16"/>
  <c r="AF70" i="16"/>
  <c r="AF134" i="16"/>
  <c r="AF72" i="16"/>
  <c r="AF191" i="16"/>
  <c r="AF138" i="16"/>
  <c r="AF136" i="16"/>
  <c r="AF120" i="16"/>
  <c r="AF111" i="16"/>
  <c r="AF102" i="16"/>
  <c r="AF93" i="16"/>
  <c r="AF84" i="16"/>
  <c r="AF75" i="16"/>
  <c r="AF117" i="16"/>
  <c r="AF90" i="16"/>
  <c r="AF130" i="16"/>
  <c r="AF172" i="16"/>
  <c r="AF163" i="16"/>
  <c r="AF154" i="16"/>
  <c r="AF145" i="16"/>
  <c r="AF81" i="16"/>
  <c r="AF182" i="16"/>
  <c r="AF170" i="16"/>
  <c r="AF161" i="16"/>
  <c r="AF152" i="16"/>
  <c r="AF132" i="16"/>
  <c r="AF121" i="16"/>
  <c r="AF112" i="16"/>
  <c r="AF103" i="16"/>
  <c r="AF94" i="16"/>
  <c r="AF85" i="16"/>
  <c r="AF76" i="16"/>
  <c r="AF99" i="16"/>
  <c r="AE190" i="18"/>
  <c r="AE187" i="18"/>
  <c r="AE184" i="18"/>
  <c r="AE181" i="18"/>
  <c r="AE178" i="18"/>
  <c r="AE175" i="18"/>
  <c r="AE172" i="18"/>
  <c r="AE169" i="18"/>
  <c r="AE166" i="18"/>
  <c r="AE163" i="18"/>
  <c r="AE160" i="18"/>
  <c r="AE157" i="18"/>
  <c r="AE154" i="18"/>
  <c r="AE151" i="18"/>
  <c r="AE137" i="18"/>
  <c r="AE138" i="18"/>
  <c r="AE191" i="18"/>
  <c r="AE182" i="18"/>
  <c r="AE173" i="18"/>
  <c r="AE164" i="18"/>
  <c r="AE155" i="18"/>
  <c r="AE144" i="18"/>
  <c r="AE189" i="18"/>
  <c r="AE180" i="18"/>
  <c r="AE171" i="18"/>
  <c r="AE192" i="18"/>
  <c r="AE183" i="18"/>
  <c r="AE174" i="18"/>
  <c r="AE165" i="18"/>
  <c r="AE188" i="18"/>
  <c r="AE179" i="18"/>
  <c r="AE152" i="18"/>
  <c r="AE146" i="18"/>
  <c r="AE156" i="18"/>
  <c r="AE168" i="18"/>
  <c r="AE186" i="18"/>
  <c r="AE167" i="18"/>
  <c r="AE134" i="18"/>
  <c r="AE127" i="18"/>
  <c r="AE118" i="18"/>
  <c r="AE109" i="18"/>
  <c r="AE100" i="18"/>
  <c r="AE91" i="18"/>
  <c r="AE82" i="18"/>
  <c r="AE73" i="18"/>
  <c r="AE68" i="18"/>
  <c r="AE59" i="18"/>
  <c r="AE50" i="18"/>
  <c r="AE41" i="18"/>
  <c r="AE32" i="18"/>
  <c r="AE23" i="18"/>
  <c r="AE14" i="18"/>
  <c r="AE5" i="18"/>
  <c r="AE176" i="18"/>
  <c r="AE122" i="18"/>
  <c r="AE113" i="18"/>
  <c r="AE104" i="18"/>
  <c r="AE95" i="18"/>
  <c r="AE86" i="18"/>
  <c r="AE77" i="18"/>
  <c r="AE63" i="18"/>
  <c r="AE54" i="18"/>
  <c r="AE45" i="18"/>
  <c r="AE36" i="18"/>
  <c r="AE140" i="18"/>
  <c r="AE131" i="18"/>
  <c r="AE126" i="18"/>
  <c r="AE117" i="18"/>
  <c r="AE108" i="18"/>
  <c r="AE99" i="18"/>
  <c r="AE90" i="18"/>
  <c r="AE81" i="18"/>
  <c r="AE72" i="18"/>
  <c r="AE67" i="18"/>
  <c r="AE58" i="18"/>
  <c r="AE49" i="18"/>
  <c r="AE40" i="18"/>
  <c r="AE31" i="18"/>
  <c r="AE22" i="18"/>
  <c r="AE13" i="18"/>
  <c r="AE4" i="18"/>
  <c r="AE153" i="18"/>
  <c r="AE147" i="18"/>
  <c r="AE121" i="18"/>
  <c r="AE112" i="18"/>
  <c r="AE103" i="18"/>
  <c r="AE94" i="18"/>
  <c r="AE85" i="18"/>
  <c r="AE76" i="18"/>
  <c r="AE62" i="18"/>
  <c r="AE53" i="18"/>
  <c r="AE44" i="18"/>
  <c r="AE35" i="18"/>
  <c r="AE26" i="18"/>
  <c r="AE17" i="18"/>
  <c r="AE8" i="18"/>
  <c r="AE145" i="18"/>
  <c r="AE143" i="18"/>
  <c r="AE141" i="18"/>
  <c r="AE130" i="18"/>
  <c r="AE125" i="18"/>
  <c r="AE116" i="18"/>
  <c r="AE107" i="18"/>
  <c r="AE177" i="18"/>
  <c r="AE135" i="18"/>
  <c r="AE120" i="18"/>
  <c r="AE111" i="18"/>
  <c r="AE102" i="18"/>
  <c r="AE93" i="18"/>
  <c r="AE84" i="18"/>
  <c r="AE150" i="18"/>
  <c r="AE129" i="18"/>
  <c r="AE128" i="18"/>
  <c r="AE115" i="18"/>
  <c r="AE114" i="18"/>
  <c r="AE101" i="18"/>
  <c r="AE60" i="18"/>
  <c r="AE43" i="18"/>
  <c r="AE33" i="18"/>
  <c r="AE185" i="18"/>
  <c r="AE161" i="18"/>
  <c r="AE159" i="18"/>
  <c r="AE98" i="18"/>
  <c r="AE89" i="18"/>
  <c r="AE80" i="18"/>
  <c r="AE56" i="18"/>
  <c r="AE29" i="18"/>
  <c r="AE27" i="18"/>
  <c r="AE170" i="18"/>
  <c r="AE46" i="18"/>
  <c r="AE12" i="18"/>
  <c r="AE6" i="18"/>
  <c r="AE119" i="18"/>
  <c r="AE106" i="18"/>
  <c r="AE105" i="18"/>
  <c r="AE97" i="18"/>
  <c r="AE88" i="18"/>
  <c r="AE52" i="18"/>
  <c r="AE42" i="18"/>
  <c r="AE149" i="18"/>
  <c r="AE133" i="18"/>
  <c r="AE132" i="18"/>
  <c r="AE79" i="18"/>
  <c r="AE69" i="18"/>
  <c r="AE48" i="18"/>
  <c r="AE16" i="18"/>
  <c r="AE10" i="18"/>
  <c r="AE96" i="18"/>
  <c r="AE87" i="18"/>
  <c r="AE75" i="18"/>
  <c r="AE65" i="18"/>
  <c r="AE38" i="18"/>
  <c r="AE20" i="18"/>
  <c r="AE18" i="18"/>
  <c r="AE158" i="18"/>
  <c r="AE162" i="18"/>
  <c r="AE124" i="18"/>
  <c r="AE123" i="18"/>
  <c r="AE110" i="18"/>
  <c r="AE71" i="18"/>
  <c r="AE61" i="18"/>
  <c r="AE51" i="18"/>
  <c r="AE34" i="18"/>
  <c r="AE78" i="18"/>
  <c r="AE57" i="18"/>
  <c r="AE30" i="18"/>
  <c r="AE28" i="18"/>
  <c r="AE7" i="18"/>
  <c r="AE47" i="18"/>
  <c r="AE11" i="18"/>
  <c r="AE9" i="18"/>
  <c r="AE139" i="18"/>
  <c r="AE55" i="18"/>
  <c r="AE3" i="18"/>
  <c r="AE148" i="18"/>
  <c r="AE83" i="18"/>
  <c r="AE64" i="18"/>
  <c r="AE70" i="18"/>
  <c r="AE39" i="18"/>
  <c r="AE19" i="18"/>
  <c r="AE24" i="18"/>
  <c r="AE136" i="18"/>
  <c r="AE21" i="18"/>
  <c r="AE66" i="18"/>
  <c r="AF1" i="18"/>
  <c r="AE92" i="18"/>
  <c r="AE15" i="18"/>
  <c r="AE142" i="18"/>
  <c r="AE74" i="18"/>
  <c r="AE37" i="18"/>
  <c r="AE25" i="18"/>
  <c r="AE176" i="26"/>
  <c r="AE173" i="26"/>
  <c r="AE170" i="26"/>
  <c r="AE167" i="26"/>
  <c r="AE164" i="26"/>
  <c r="AE161" i="26"/>
  <c r="AE158" i="26"/>
  <c r="AE174" i="26"/>
  <c r="AE171" i="26"/>
  <c r="AE168" i="26"/>
  <c r="AE165" i="26"/>
  <c r="AE162" i="26"/>
  <c r="AE159" i="26"/>
  <c r="AE175" i="26"/>
  <c r="AE172" i="26"/>
  <c r="AE169" i="26"/>
  <c r="AE166" i="26"/>
  <c r="AE163" i="26"/>
  <c r="AE160" i="26"/>
  <c r="AE156" i="26"/>
  <c r="AE153" i="26"/>
  <c r="AE150" i="26"/>
  <c r="AE147" i="26"/>
  <c r="AE144" i="26"/>
  <c r="AE141" i="26"/>
  <c r="AE138" i="26"/>
  <c r="AE135" i="26"/>
  <c r="AE132" i="26"/>
  <c r="AE157" i="26"/>
  <c r="AE154" i="26"/>
  <c r="AE151" i="26"/>
  <c r="AE148" i="26"/>
  <c r="AE145" i="26"/>
  <c r="AE142" i="26"/>
  <c r="AE139" i="26"/>
  <c r="AE136" i="26"/>
  <c r="AE133" i="26"/>
  <c r="AE130" i="26"/>
  <c r="AE131" i="26"/>
  <c r="AE129" i="26"/>
  <c r="AE127" i="26"/>
  <c r="AE123" i="26"/>
  <c r="AE114" i="26"/>
  <c r="AE110" i="26"/>
  <c r="AE107" i="26"/>
  <c r="AE104" i="26"/>
  <c r="AE101" i="26"/>
  <c r="AE98" i="26"/>
  <c r="AE95" i="26"/>
  <c r="AE92" i="26"/>
  <c r="AE89" i="26"/>
  <c r="AE86" i="26"/>
  <c r="AE83" i="26"/>
  <c r="AE80" i="26"/>
  <c r="AE77" i="26"/>
  <c r="AE74" i="26"/>
  <c r="AE71" i="26"/>
  <c r="AE155" i="26"/>
  <c r="AE146" i="26"/>
  <c r="AE137" i="26"/>
  <c r="AE128" i="26"/>
  <c r="AE124" i="26"/>
  <c r="AE115" i="26"/>
  <c r="AE111" i="26"/>
  <c r="AE108" i="26"/>
  <c r="AE105" i="26"/>
  <c r="AE102" i="26"/>
  <c r="AE99" i="26"/>
  <c r="AE96" i="26"/>
  <c r="AE93" i="26"/>
  <c r="AE90" i="26"/>
  <c r="AE87" i="26"/>
  <c r="AE84" i="26"/>
  <c r="AE81" i="26"/>
  <c r="AE78" i="26"/>
  <c r="AE75" i="26"/>
  <c r="AE72" i="26"/>
  <c r="AE149" i="26"/>
  <c r="AE140" i="26"/>
  <c r="AE125" i="26"/>
  <c r="AE116" i="26"/>
  <c r="AE113" i="26"/>
  <c r="AE109" i="26"/>
  <c r="AE106" i="26"/>
  <c r="AE103" i="26"/>
  <c r="AE100" i="26"/>
  <c r="AE97" i="26"/>
  <c r="AE94" i="26"/>
  <c r="AE91" i="26"/>
  <c r="AE88" i="26"/>
  <c r="AE85" i="26"/>
  <c r="AE82" i="26"/>
  <c r="AE79" i="26"/>
  <c r="AE76" i="26"/>
  <c r="AE73" i="26"/>
  <c r="AE70" i="26"/>
  <c r="AE69" i="26"/>
  <c r="AE66" i="26"/>
  <c r="AE63" i="26"/>
  <c r="AE60" i="26"/>
  <c r="AE57" i="26"/>
  <c r="AE54" i="26"/>
  <c r="AE51" i="26"/>
  <c r="AE143" i="26"/>
  <c r="AE67" i="26"/>
  <c r="AE64" i="26"/>
  <c r="AE61" i="26"/>
  <c r="AE58" i="26"/>
  <c r="AE55" i="26"/>
  <c r="AE152" i="26"/>
  <c r="AE62" i="26"/>
  <c r="AE53" i="26"/>
  <c r="AE52" i="26"/>
  <c r="AE48" i="26"/>
  <c r="AE45" i="26"/>
  <c r="AE42" i="26"/>
  <c r="AE39" i="26"/>
  <c r="AE36" i="26"/>
  <c r="AE33" i="26"/>
  <c r="AE30" i="26"/>
  <c r="AE27" i="26"/>
  <c r="AE24" i="26"/>
  <c r="AE21" i="26"/>
  <c r="AE18" i="26"/>
  <c r="AE15" i="26"/>
  <c r="AE12" i="26"/>
  <c r="AE9" i="26"/>
  <c r="AE6" i="26"/>
  <c r="AE3" i="26"/>
  <c r="AE65" i="26"/>
  <c r="AE56" i="26"/>
  <c r="AE49" i="26"/>
  <c r="AE46" i="26"/>
  <c r="AE43" i="26"/>
  <c r="AE40" i="26"/>
  <c r="AE37" i="26"/>
  <c r="AE34" i="26"/>
  <c r="AE31" i="26"/>
  <c r="AE28" i="26"/>
  <c r="AE25" i="26"/>
  <c r="AE22" i="26"/>
  <c r="AE19" i="26"/>
  <c r="AE16" i="26"/>
  <c r="AE13" i="26"/>
  <c r="AE10" i="26"/>
  <c r="AE7" i="26"/>
  <c r="AE4" i="26"/>
  <c r="AE68" i="26"/>
  <c r="AE50" i="26"/>
  <c r="AE41" i="26"/>
  <c r="AE32" i="26"/>
  <c r="AE23" i="26"/>
  <c r="AE14" i="26"/>
  <c r="AE5" i="26"/>
  <c r="AE44" i="26"/>
  <c r="AE35" i="26"/>
  <c r="AE26" i="26"/>
  <c r="AE17" i="26"/>
  <c r="AE8" i="26"/>
  <c r="AE59" i="26"/>
  <c r="AE47" i="26"/>
  <c r="AE38" i="26"/>
  <c r="AE29" i="26"/>
  <c r="AE20" i="26"/>
  <c r="AE11" i="26"/>
  <c r="AE134" i="26"/>
  <c r="AF1" i="26"/>
  <c r="AF178" i="25"/>
  <c r="AF179" i="25"/>
  <c r="AF131" i="25"/>
  <c r="AF134" i="25"/>
  <c r="AF121" i="25"/>
  <c r="AF132" i="25"/>
  <c r="AF113" i="25"/>
  <c r="AF110" i="25"/>
  <c r="AF107" i="25"/>
  <c r="AF104" i="25"/>
  <c r="AF101" i="25"/>
  <c r="AF98" i="25"/>
  <c r="AF125" i="25"/>
  <c r="AF167" i="25"/>
  <c r="AF164" i="25"/>
  <c r="AF150" i="25"/>
  <c r="AF147" i="25"/>
  <c r="AF143" i="25"/>
  <c r="AF139" i="25"/>
  <c r="AF127" i="25"/>
  <c r="AF123" i="25"/>
  <c r="AF170" i="25"/>
  <c r="AF156" i="25"/>
  <c r="AF153" i="25"/>
  <c r="AF100" i="25"/>
  <c r="AF176" i="25"/>
  <c r="AF173" i="25"/>
  <c r="AF159" i="25"/>
  <c r="AF140" i="25"/>
  <c r="AF124" i="25"/>
  <c r="AF165" i="25"/>
  <c r="AF168" i="25"/>
  <c r="AF148" i="25"/>
  <c r="AF174" i="25"/>
  <c r="AF171" i="25"/>
  <c r="AF151" i="25"/>
  <c r="AF141" i="25"/>
  <c r="AF133" i="25"/>
  <c r="AF129" i="25"/>
  <c r="AF157" i="25"/>
  <c r="AF154" i="25"/>
  <c r="AF160" i="25"/>
  <c r="AF145" i="25"/>
  <c r="AF172" i="25"/>
  <c r="AF109" i="25"/>
  <c r="AF92" i="25"/>
  <c r="AF87" i="25"/>
  <c r="AF83" i="25"/>
  <c r="AF78" i="25"/>
  <c r="AF138" i="25"/>
  <c r="AF96" i="25"/>
  <c r="AF166" i="25"/>
  <c r="AF155" i="25"/>
  <c r="AF130" i="25"/>
  <c r="AF119" i="25"/>
  <c r="AF116" i="25"/>
  <c r="AF115" i="25"/>
  <c r="AF114" i="25"/>
  <c r="AF88" i="25"/>
  <c r="AF79" i="25"/>
  <c r="AF74" i="25"/>
  <c r="AF70" i="25"/>
  <c r="AF67" i="25"/>
  <c r="AF64" i="25"/>
  <c r="AF61" i="25"/>
  <c r="AF58" i="25"/>
  <c r="AF55" i="25"/>
  <c r="AF52" i="25"/>
  <c r="AF49" i="25"/>
  <c r="AF46" i="25"/>
  <c r="AF162" i="25"/>
  <c r="AF144" i="25"/>
  <c r="AF120" i="25"/>
  <c r="AF118" i="25"/>
  <c r="AF117" i="25"/>
  <c r="AF108" i="25"/>
  <c r="AF105" i="25"/>
  <c r="AF102" i="25"/>
  <c r="AF175" i="25"/>
  <c r="AF158" i="25"/>
  <c r="AF135" i="25"/>
  <c r="AF122" i="25"/>
  <c r="AF93" i="25"/>
  <c r="AF89" i="25"/>
  <c r="AF84" i="25"/>
  <c r="AF80" i="25"/>
  <c r="AF75" i="25"/>
  <c r="AF137" i="25"/>
  <c r="AF112" i="25"/>
  <c r="AF94" i="25"/>
  <c r="AF85" i="25"/>
  <c r="AF76" i="25"/>
  <c r="AF68" i="25"/>
  <c r="AF65" i="25"/>
  <c r="AF62" i="25"/>
  <c r="AF59" i="25"/>
  <c r="AF56" i="25"/>
  <c r="AF53" i="25"/>
  <c r="AF50" i="25"/>
  <c r="AF47" i="25"/>
  <c r="AF44" i="25"/>
  <c r="AF142" i="25"/>
  <c r="AF91" i="25"/>
  <c r="AF82" i="25"/>
  <c r="AF71" i="25"/>
  <c r="AF69" i="25"/>
  <c r="AF66" i="25"/>
  <c r="AF63" i="25"/>
  <c r="AF60" i="25"/>
  <c r="AF57" i="25"/>
  <c r="AF54" i="25"/>
  <c r="AF51" i="25"/>
  <c r="AF48" i="25"/>
  <c r="AF45" i="25"/>
  <c r="AF42" i="25"/>
  <c r="AF72" i="25"/>
  <c r="AF136" i="25"/>
  <c r="AF128" i="25"/>
  <c r="AF103" i="25"/>
  <c r="AF39" i="25"/>
  <c r="AF36" i="25"/>
  <c r="AF33" i="25"/>
  <c r="AF30" i="25"/>
  <c r="AF27" i="25"/>
  <c r="AF24" i="25"/>
  <c r="AF21" i="25"/>
  <c r="AF18" i="25"/>
  <c r="AF15" i="25"/>
  <c r="AF12" i="25"/>
  <c r="AF9" i="25"/>
  <c r="AF177" i="25"/>
  <c r="AF163" i="25"/>
  <c r="AF152" i="25"/>
  <c r="AF161" i="25"/>
  <c r="AF77" i="25"/>
  <c r="AF43" i="25"/>
  <c r="AF40" i="25"/>
  <c r="AF37" i="25"/>
  <c r="AF34" i="25"/>
  <c r="AF31" i="25"/>
  <c r="AF28" i="25"/>
  <c r="AF25" i="25"/>
  <c r="AF22" i="25"/>
  <c r="AF19" i="25"/>
  <c r="AF16" i="25"/>
  <c r="AF13" i="25"/>
  <c r="AF10" i="25"/>
  <c r="AF149" i="25"/>
  <c r="AF126" i="25"/>
  <c r="AF111" i="25"/>
  <c r="AF81" i="25"/>
  <c r="AF169" i="25"/>
  <c r="AF99" i="25"/>
  <c r="AF97" i="25"/>
  <c r="AF86" i="25"/>
  <c r="AF73" i="25"/>
  <c r="AF41" i="25"/>
  <c r="AF38" i="25"/>
  <c r="AF35" i="25"/>
  <c r="AF32" i="25"/>
  <c r="AF29" i="25"/>
  <c r="AF26" i="25"/>
  <c r="AF23" i="25"/>
  <c r="AF20" i="25"/>
  <c r="AF17" i="25"/>
  <c r="AF14" i="25"/>
  <c r="AF11" i="25"/>
  <c r="AF8" i="25"/>
  <c r="AF7" i="25"/>
  <c r="AF4" i="25"/>
  <c r="AF106" i="25"/>
  <c r="AG1" i="25"/>
  <c r="AF90" i="25"/>
  <c r="AF5" i="25"/>
  <c r="AF146" i="25"/>
  <c r="AF95" i="25"/>
  <c r="AF6" i="25"/>
  <c r="AF3" i="25"/>
  <c r="AE133" i="23"/>
  <c r="AE128" i="23"/>
  <c r="AE184" i="23"/>
  <c r="AE181" i="23"/>
  <c r="AE178" i="23"/>
  <c r="AE175" i="23"/>
  <c r="AE172" i="23"/>
  <c r="AE169" i="23"/>
  <c r="AE166" i="23"/>
  <c r="AE163" i="23"/>
  <c r="AE160" i="23"/>
  <c r="AE157" i="23"/>
  <c r="AE154" i="23"/>
  <c r="AE151" i="23"/>
  <c r="AE148" i="23"/>
  <c r="AE145" i="23"/>
  <c r="AE142" i="23"/>
  <c r="AE139" i="23"/>
  <c r="AE136" i="23"/>
  <c r="AE120" i="23"/>
  <c r="AE126" i="23"/>
  <c r="AE123" i="23"/>
  <c r="AE131" i="23"/>
  <c r="AE134" i="23"/>
  <c r="AE124" i="23"/>
  <c r="AE127" i="23"/>
  <c r="AE130" i="23"/>
  <c r="AE125" i="23"/>
  <c r="AE122" i="23"/>
  <c r="AE182" i="23"/>
  <c r="AE173" i="23"/>
  <c r="AE164" i="23"/>
  <c r="AE155" i="23"/>
  <c r="AE146" i="23"/>
  <c r="AE137" i="23"/>
  <c r="AE129" i="23"/>
  <c r="AE119" i="23"/>
  <c r="AE177" i="23"/>
  <c r="AE168" i="23"/>
  <c r="AE159" i="23"/>
  <c r="AE150" i="23"/>
  <c r="AE141" i="23"/>
  <c r="AE179" i="23"/>
  <c r="AE170" i="23"/>
  <c r="AE161" i="23"/>
  <c r="AE152" i="23"/>
  <c r="AE143" i="23"/>
  <c r="AE180" i="23"/>
  <c r="AE171" i="23"/>
  <c r="AE162" i="23"/>
  <c r="AE153" i="23"/>
  <c r="AE144" i="23"/>
  <c r="AE165" i="23"/>
  <c r="AE138" i="23"/>
  <c r="AE111" i="23"/>
  <c r="AE102" i="23"/>
  <c r="AE94" i="23"/>
  <c r="AE183" i="23"/>
  <c r="AE156" i="23"/>
  <c r="AE117" i="23"/>
  <c r="AE108" i="23"/>
  <c r="AE176" i="23"/>
  <c r="AE149" i="23"/>
  <c r="AE109" i="23"/>
  <c r="AE132" i="23"/>
  <c r="AE135" i="23"/>
  <c r="AE98" i="23"/>
  <c r="AE84" i="23"/>
  <c r="AE121" i="23"/>
  <c r="AE101" i="23"/>
  <c r="AE88" i="23"/>
  <c r="AE96" i="23"/>
  <c r="AE83" i="23"/>
  <c r="AE81" i="23"/>
  <c r="AE78" i="23"/>
  <c r="AE75" i="23"/>
  <c r="AE72" i="23"/>
  <c r="AE69" i="23"/>
  <c r="AE66" i="23"/>
  <c r="AE63" i="23"/>
  <c r="AE60" i="23"/>
  <c r="AE57" i="23"/>
  <c r="AE54" i="23"/>
  <c r="AE51" i="23"/>
  <c r="AE48" i="23"/>
  <c r="AE140" i="23"/>
  <c r="AE118" i="23"/>
  <c r="AE99" i="23"/>
  <c r="AE87" i="23"/>
  <c r="AE116" i="23"/>
  <c r="AE115" i="23"/>
  <c r="AE114" i="23"/>
  <c r="AE185" i="23"/>
  <c r="AE158" i="23"/>
  <c r="AE112" i="23"/>
  <c r="AE110" i="23"/>
  <c r="AE97" i="23"/>
  <c r="AE92" i="23"/>
  <c r="AE86" i="23"/>
  <c r="AE82" i="23"/>
  <c r="AE79" i="23"/>
  <c r="AE76" i="23"/>
  <c r="AE73" i="23"/>
  <c r="AE70" i="23"/>
  <c r="AE67" i="23"/>
  <c r="AE64" i="23"/>
  <c r="AE61" i="23"/>
  <c r="AE58" i="23"/>
  <c r="AE55" i="23"/>
  <c r="AE52" i="23"/>
  <c r="AE49" i="23"/>
  <c r="AE100" i="23"/>
  <c r="AE91" i="23"/>
  <c r="AE90" i="23"/>
  <c r="AE174" i="23"/>
  <c r="AE107" i="23"/>
  <c r="AE106" i="23"/>
  <c r="AE105" i="23"/>
  <c r="AE167" i="23"/>
  <c r="AE147" i="23"/>
  <c r="AE104" i="23"/>
  <c r="AE95" i="23"/>
  <c r="AE85" i="23"/>
  <c r="AE50" i="23"/>
  <c r="AE45" i="23"/>
  <c r="AE42" i="23"/>
  <c r="AE39" i="23"/>
  <c r="AE36" i="23"/>
  <c r="AE33" i="23"/>
  <c r="AE30" i="23"/>
  <c r="AE27" i="23"/>
  <c r="AE24" i="23"/>
  <c r="AE21" i="23"/>
  <c r="AE18" i="23"/>
  <c r="AE15" i="23"/>
  <c r="AE12" i="23"/>
  <c r="AE9" i="23"/>
  <c r="AE6" i="23"/>
  <c r="AE3" i="23"/>
  <c r="AE103" i="23"/>
  <c r="AE89" i="23"/>
  <c r="AE59" i="23"/>
  <c r="AE74" i="23"/>
  <c r="AE65" i="23"/>
  <c r="AE113" i="23"/>
  <c r="AE46" i="23"/>
  <c r="AE43" i="23"/>
  <c r="AE40" i="23"/>
  <c r="AE37" i="23"/>
  <c r="AE34" i="23"/>
  <c r="AE31" i="23"/>
  <c r="AE28" i="23"/>
  <c r="AE25" i="23"/>
  <c r="AE22" i="23"/>
  <c r="AE19" i="23"/>
  <c r="AE16" i="23"/>
  <c r="AE13" i="23"/>
  <c r="AE10" i="23"/>
  <c r="AE7" i="23"/>
  <c r="AE4" i="23"/>
  <c r="AE62" i="23"/>
  <c r="AF1" i="23"/>
  <c r="AE80" i="23"/>
  <c r="AE71" i="23"/>
  <c r="AE56" i="23"/>
  <c r="AE77" i="23"/>
  <c r="AE44" i="23"/>
  <c r="AE35" i="23"/>
  <c r="AE26" i="23"/>
  <c r="AE17" i="23"/>
  <c r="AE8" i="23"/>
  <c r="AE41" i="23"/>
  <c r="AE32" i="23"/>
  <c r="AE23" i="23"/>
  <c r="AE14" i="23"/>
  <c r="AE5" i="23"/>
  <c r="AE53" i="23"/>
  <c r="AE68" i="23"/>
  <c r="AE47" i="23"/>
  <c r="AE38" i="23"/>
  <c r="AE29" i="23"/>
  <c r="AE20" i="23"/>
  <c r="AE11" i="23"/>
  <c r="AE93" i="23"/>
  <c r="AE175" i="27"/>
  <c r="AE172" i="27"/>
  <c r="AE169" i="27"/>
  <c r="AE166" i="27"/>
  <c r="AE163" i="27"/>
  <c r="AE160" i="27"/>
  <c r="AE157" i="27"/>
  <c r="AE154" i="27"/>
  <c r="AE151" i="27"/>
  <c r="AE148" i="27"/>
  <c r="AE145" i="27"/>
  <c r="AE176" i="27"/>
  <c r="AE173" i="27"/>
  <c r="AE170" i="27"/>
  <c r="AE167" i="27"/>
  <c r="AE164" i="27"/>
  <c r="AE161" i="27"/>
  <c r="AE158" i="27"/>
  <c r="AE155" i="27"/>
  <c r="AE152" i="27"/>
  <c r="AE149" i="27"/>
  <c r="AE146" i="27"/>
  <c r="AE174" i="27"/>
  <c r="AE171" i="27"/>
  <c r="AE168" i="27"/>
  <c r="AE165" i="27"/>
  <c r="AE162" i="27"/>
  <c r="AE159" i="27"/>
  <c r="AE156" i="27"/>
  <c r="AE153" i="27"/>
  <c r="AE150" i="27"/>
  <c r="AE147" i="27"/>
  <c r="AE142" i="27"/>
  <c r="AE139" i="27"/>
  <c r="AE136" i="27"/>
  <c r="AE133" i="27"/>
  <c r="AE130" i="27"/>
  <c r="AE127" i="27"/>
  <c r="AE123" i="27"/>
  <c r="AE114" i="27"/>
  <c r="AE143" i="27"/>
  <c r="AE140" i="27"/>
  <c r="AE137" i="27"/>
  <c r="AE134" i="27"/>
  <c r="AE131" i="27"/>
  <c r="AE128" i="27"/>
  <c r="AE124" i="27"/>
  <c r="AE115" i="27"/>
  <c r="AE111" i="27"/>
  <c r="AE144" i="27"/>
  <c r="AE141" i="27"/>
  <c r="AE138" i="27"/>
  <c r="AE135" i="27"/>
  <c r="AE132" i="27"/>
  <c r="AE129" i="27"/>
  <c r="AE125" i="27"/>
  <c r="AE116" i="27"/>
  <c r="AE113" i="27"/>
  <c r="AE108" i="27"/>
  <c r="AE105" i="27"/>
  <c r="AE102" i="27"/>
  <c r="AE99" i="27"/>
  <c r="AE96" i="27"/>
  <c r="AE93" i="27"/>
  <c r="AE90" i="27"/>
  <c r="AE87" i="27"/>
  <c r="AE110" i="27"/>
  <c r="AE109" i="27"/>
  <c r="AE106" i="27"/>
  <c r="AE103" i="27"/>
  <c r="AE100" i="27"/>
  <c r="AE97" i="27"/>
  <c r="AE94" i="27"/>
  <c r="AE91" i="27"/>
  <c r="AE107" i="27"/>
  <c r="AE104" i="27"/>
  <c r="AE101" i="27"/>
  <c r="AE98" i="27"/>
  <c r="AE95" i="27"/>
  <c r="AE92" i="27"/>
  <c r="AE89" i="27"/>
  <c r="AE83" i="27"/>
  <c r="AE80" i="27"/>
  <c r="AE77" i="27"/>
  <c r="AE74" i="27"/>
  <c r="AE71" i="27"/>
  <c r="AE68" i="27"/>
  <c r="AE65" i="27"/>
  <c r="AE88" i="27"/>
  <c r="AE86" i="27"/>
  <c r="AE84" i="27"/>
  <c r="AE81" i="27"/>
  <c r="AE78" i="27"/>
  <c r="AE75" i="27"/>
  <c r="AE72" i="27"/>
  <c r="AE69" i="27"/>
  <c r="AE66" i="27"/>
  <c r="AE63" i="27"/>
  <c r="AE60" i="27"/>
  <c r="AE57" i="27"/>
  <c r="AE54" i="27"/>
  <c r="AE51" i="27"/>
  <c r="AE48" i="27"/>
  <c r="AE45" i="27"/>
  <c r="AE42" i="27"/>
  <c r="AE39" i="27"/>
  <c r="AE85" i="27"/>
  <c r="AE76" i="27"/>
  <c r="AE67" i="27"/>
  <c r="AE61" i="27"/>
  <c r="AE58" i="27"/>
  <c r="AE55" i="27"/>
  <c r="AE52" i="27"/>
  <c r="AE49" i="27"/>
  <c r="AE46" i="27"/>
  <c r="AE43" i="27"/>
  <c r="AE40" i="27"/>
  <c r="AE37" i="27"/>
  <c r="AE82" i="27"/>
  <c r="AE73" i="27"/>
  <c r="AE64" i="27"/>
  <c r="AE62" i="27"/>
  <c r="AE59" i="27"/>
  <c r="AE56" i="27"/>
  <c r="AE53" i="27"/>
  <c r="AE50" i="27"/>
  <c r="AE47" i="27"/>
  <c r="AE44" i="27"/>
  <c r="AE41" i="27"/>
  <c r="AE38" i="27"/>
  <c r="AE79" i="27"/>
  <c r="AE70" i="27"/>
  <c r="AE35" i="27"/>
  <c r="AE32" i="27"/>
  <c r="AE29" i="27"/>
  <c r="AE26" i="27"/>
  <c r="AE23" i="27"/>
  <c r="AE20" i="27"/>
  <c r="AE17" i="27"/>
  <c r="AE14" i="27"/>
  <c r="AE11" i="27"/>
  <c r="AE36" i="27"/>
  <c r="AE33" i="27"/>
  <c r="AE30" i="27"/>
  <c r="AE27" i="27"/>
  <c r="AE24" i="27"/>
  <c r="AE21" i="27"/>
  <c r="AE18" i="27"/>
  <c r="AE15" i="27"/>
  <c r="AE12" i="27"/>
  <c r="AE34" i="27"/>
  <c r="AE31" i="27"/>
  <c r="AE28" i="27"/>
  <c r="AE25" i="27"/>
  <c r="AE22" i="27"/>
  <c r="AE19" i="27"/>
  <c r="AE16" i="27"/>
  <c r="AE13" i="27"/>
  <c r="AE7" i="27"/>
  <c r="AE4" i="27"/>
  <c r="AE10" i="27"/>
  <c r="AF1" i="27"/>
  <c r="AE8" i="27"/>
  <c r="AE5" i="27"/>
  <c r="AE9" i="27"/>
  <c r="AE6" i="27"/>
  <c r="AE3" i="27"/>
  <c r="AF181" i="24"/>
  <c r="AF178" i="24"/>
  <c r="AF175" i="24"/>
  <c r="AF172" i="24"/>
  <c r="AF169" i="24"/>
  <c r="AF166" i="24"/>
  <c r="AF163" i="24"/>
  <c r="AF160" i="24"/>
  <c r="AF157" i="24"/>
  <c r="AF154" i="24"/>
  <c r="AF151" i="24"/>
  <c r="AF148" i="24"/>
  <c r="AF145" i="24"/>
  <c r="AF142" i="24"/>
  <c r="AF179" i="24"/>
  <c r="AF176" i="24"/>
  <c r="AF173" i="24"/>
  <c r="AF170" i="24"/>
  <c r="AF167" i="24"/>
  <c r="AF164" i="24"/>
  <c r="AF161" i="24"/>
  <c r="AF158" i="24"/>
  <c r="AF155" i="24"/>
  <c r="AF152" i="24"/>
  <c r="AF149" i="24"/>
  <c r="AF146" i="24"/>
  <c r="AF143" i="24"/>
  <c r="AF140" i="24"/>
  <c r="AF180" i="24"/>
  <c r="AF177" i="24"/>
  <c r="AF174" i="24"/>
  <c r="AF171" i="24"/>
  <c r="AF168" i="24"/>
  <c r="AF165" i="24"/>
  <c r="AF162" i="24"/>
  <c r="AF159" i="24"/>
  <c r="AF156" i="24"/>
  <c r="AF153" i="24"/>
  <c r="AF150" i="24"/>
  <c r="AF147" i="24"/>
  <c r="AF144" i="24"/>
  <c r="AF141" i="24"/>
  <c r="AF129" i="24"/>
  <c r="AF124" i="24"/>
  <c r="AF138" i="24"/>
  <c r="AF135" i="24"/>
  <c r="AF132" i="24"/>
  <c r="AF116" i="24"/>
  <c r="AF113" i="24"/>
  <c r="AF110" i="24"/>
  <c r="AF107" i="24"/>
  <c r="AF104" i="24"/>
  <c r="AF101" i="24"/>
  <c r="AF98" i="24"/>
  <c r="AF95" i="24"/>
  <c r="AF92" i="24"/>
  <c r="AF89" i="24"/>
  <c r="AF86" i="24"/>
  <c r="AF83" i="24"/>
  <c r="AF80" i="24"/>
  <c r="AF77" i="24"/>
  <c r="AF74" i="24"/>
  <c r="AF71" i="24"/>
  <c r="AF68" i="24"/>
  <c r="AF65" i="24"/>
  <c r="AF62" i="24"/>
  <c r="AF59" i="24"/>
  <c r="AF56" i="24"/>
  <c r="AF53" i="24"/>
  <c r="AF50" i="24"/>
  <c r="AF47" i="24"/>
  <c r="AF44" i="24"/>
  <c r="AF41" i="24"/>
  <c r="AF38" i="24"/>
  <c r="AF35" i="24"/>
  <c r="AF32" i="24"/>
  <c r="AF29" i="24"/>
  <c r="AF122" i="24"/>
  <c r="AF119" i="24"/>
  <c r="AF127" i="24"/>
  <c r="AF130" i="24"/>
  <c r="AF139" i="24"/>
  <c r="AF136" i="24"/>
  <c r="AF133" i="24"/>
  <c r="AF125" i="24"/>
  <c r="AF117" i="24"/>
  <c r="AF114" i="24"/>
  <c r="AF111" i="24"/>
  <c r="AF108" i="24"/>
  <c r="AF105" i="24"/>
  <c r="AF102" i="24"/>
  <c r="AF99" i="24"/>
  <c r="AF96" i="24"/>
  <c r="AF93" i="24"/>
  <c r="AF90" i="24"/>
  <c r="AF87" i="24"/>
  <c r="AF84" i="24"/>
  <c r="AF81" i="24"/>
  <c r="AF78" i="24"/>
  <c r="AF75" i="24"/>
  <c r="AF72" i="24"/>
  <c r="AF69" i="24"/>
  <c r="AF66" i="24"/>
  <c r="AF63" i="24"/>
  <c r="AF60" i="24"/>
  <c r="AF57" i="24"/>
  <c r="AF54" i="24"/>
  <c r="AF51" i="24"/>
  <c r="AF48" i="24"/>
  <c r="AF45" i="24"/>
  <c r="AF42" i="24"/>
  <c r="AF39" i="24"/>
  <c r="AF36" i="24"/>
  <c r="AF33" i="24"/>
  <c r="AF30" i="24"/>
  <c r="AF120" i="24"/>
  <c r="AF137" i="24"/>
  <c r="AF134" i="24"/>
  <c r="AF115" i="24"/>
  <c r="AF112" i="24"/>
  <c r="AF109" i="24"/>
  <c r="AF106" i="24"/>
  <c r="AF103" i="24"/>
  <c r="AF100" i="24"/>
  <c r="AF97" i="24"/>
  <c r="AF94" i="24"/>
  <c r="AF91" i="24"/>
  <c r="AF88" i="24"/>
  <c r="AF85" i="24"/>
  <c r="AF82" i="24"/>
  <c r="AF79" i="24"/>
  <c r="AF76" i="24"/>
  <c r="AF73" i="24"/>
  <c r="AF70" i="24"/>
  <c r="AF67" i="24"/>
  <c r="AF64" i="24"/>
  <c r="AF61" i="24"/>
  <c r="AF58" i="24"/>
  <c r="AF55" i="24"/>
  <c r="AF46" i="24"/>
  <c r="AF37" i="24"/>
  <c r="AF28" i="24"/>
  <c r="AF131" i="24"/>
  <c r="AF128" i="24"/>
  <c r="AF27" i="24"/>
  <c r="AF24" i="24"/>
  <c r="AF21" i="24"/>
  <c r="AF18" i="24"/>
  <c r="AF15" i="24"/>
  <c r="AF12" i="24"/>
  <c r="AF9" i="24"/>
  <c r="AF6" i="24"/>
  <c r="AF3" i="24"/>
  <c r="AF123" i="24"/>
  <c r="AF49" i="24"/>
  <c r="AF40" i="24"/>
  <c r="AF31" i="24"/>
  <c r="AF126" i="24"/>
  <c r="AG1" i="24"/>
  <c r="AF26" i="24"/>
  <c r="AF17" i="24"/>
  <c r="AF118" i="24"/>
  <c r="AF52" i="24"/>
  <c r="AF43" i="24"/>
  <c r="AF34" i="24"/>
  <c r="AF14" i="24"/>
  <c r="AF10" i="24"/>
  <c r="AF5" i="24"/>
  <c r="AF8" i="24"/>
  <c r="AF19" i="24"/>
  <c r="AF23" i="24"/>
  <c r="AF25" i="24"/>
  <c r="AF13" i="24"/>
  <c r="AF11" i="24"/>
  <c r="AF4" i="24"/>
  <c r="AF121" i="24"/>
  <c r="AF22" i="24"/>
  <c r="AF7" i="24"/>
  <c r="AF20" i="24"/>
  <c r="AF16" i="24"/>
  <c r="AH141" i="17"/>
  <c r="AI141" i="17" s="1"/>
  <c r="AH185" i="17"/>
  <c r="AI185" i="17" s="1"/>
  <c r="AH189" i="17"/>
  <c r="AI189" i="17" s="1"/>
  <c r="AH180" i="17"/>
  <c r="AI180" i="17" s="1"/>
  <c r="AH171" i="17"/>
  <c r="AI171" i="17" s="1"/>
  <c r="AH162" i="17"/>
  <c r="AI162" i="17" s="1"/>
  <c r="AH153" i="17"/>
  <c r="AI153" i="17" s="1"/>
  <c r="AH134" i="17"/>
  <c r="AH142" i="17"/>
  <c r="AH139" i="17"/>
  <c r="AI139" i="17" s="1"/>
  <c r="AH191" i="17"/>
  <c r="AI191" i="17" s="1"/>
  <c r="AH172" i="17"/>
  <c r="AI172" i="17" s="1"/>
  <c r="AH169" i="17"/>
  <c r="AI169" i="17" s="1"/>
  <c r="AH163" i="17"/>
  <c r="AI163" i="17" s="1"/>
  <c r="AH160" i="17"/>
  <c r="AI160" i="17" s="1"/>
  <c r="AH154" i="17"/>
  <c r="AI154" i="17" s="1"/>
  <c r="AH151" i="17"/>
  <c r="AI151" i="17" s="1"/>
  <c r="AH147" i="17"/>
  <c r="AI147" i="17" s="1"/>
  <c r="AH146" i="17"/>
  <c r="AI146" i="17" s="1"/>
  <c r="AH144" i="17"/>
  <c r="AI144" i="17" s="1"/>
  <c r="AH143" i="17"/>
  <c r="AI143" i="17" s="1"/>
  <c r="AH130" i="17"/>
  <c r="AI130" i="17" s="1"/>
  <c r="AH125" i="17"/>
  <c r="AI125" i="17" s="1"/>
  <c r="AH116" i="17"/>
  <c r="AI116" i="17" s="1"/>
  <c r="AH107" i="17"/>
  <c r="AI107" i="17" s="1"/>
  <c r="AH98" i="17"/>
  <c r="AI98" i="17" s="1"/>
  <c r="AH68" i="17"/>
  <c r="AH65" i="17"/>
  <c r="AI65" i="17" s="1"/>
  <c r="AH62" i="17"/>
  <c r="AI62" i="17" s="1"/>
  <c r="AH59" i="17"/>
  <c r="AI59" i="17" s="1"/>
  <c r="AH56" i="17"/>
  <c r="AI56" i="17" s="1"/>
  <c r="AH53" i="17"/>
  <c r="AI53" i="17" s="1"/>
  <c r="AH50" i="17"/>
  <c r="AI50" i="17" s="1"/>
  <c r="AH47" i="17"/>
  <c r="AI47" i="17" s="1"/>
  <c r="AH44" i="17"/>
  <c r="AI44" i="17" s="1"/>
  <c r="AH41" i="17"/>
  <c r="AI41" i="17" s="1"/>
  <c r="AH38" i="17"/>
  <c r="AI38" i="17" s="1"/>
  <c r="AH35" i="17"/>
  <c r="AI35" i="17" s="1"/>
  <c r="AH32" i="17"/>
  <c r="AI32" i="17" s="1"/>
  <c r="AH29" i="17"/>
  <c r="AI29" i="17" s="1"/>
  <c r="AH26" i="17"/>
  <c r="AI26" i="17" s="1"/>
  <c r="AH23" i="17"/>
  <c r="AI23" i="17" s="1"/>
  <c r="AH20" i="17"/>
  <c r="AI20" i="17" s="1"/>
  <c r="AH17" i="17"/>
  <c r="AI17" i="17" s="1"/>
  <c r="AH14" i="17"/>
  <c r="AI14" i="17" s="1"/>
  <c r="AH11" i="17"/>
  <c r="AI11" i="17" s="1"/>
  <c r="AH8" i="17"/>
  <c r="AI8" i="17" s="1"/>
  <c r="AH5" i="17"/>
  <c r="AI5" i="17" s="1"/>
  <c r="AH129" i="17"/>
  <c r="AI129" i="17" s="1"/>
  <c r="AH91" i="17"/>
  <c r="AI91" i="17" s="1"/>
  <c r="AH184" i="17"/>
  <c r="AI184" i="17" s="1"/>
  <c r="AH178" i="17"/>
  <c r="AI178" i="17" s="1"/>
  <c r="AH170" i="17"/>
  <c r="AI170" i="17" s="1"/>
  <c r="AH161" i="17"/>
  <c r="AI161" i="17" s="1"/>
  <c r="AH152" i="17"/>
  <c r="AI152" i="17" s="1"/>
  <c r="AH124" i="17"/>
  <c r="AI124" i="17" s="1"/>
  <c r="AH115" i="17"/>
  <c r="AI115" i="17" s="1"/>
  <c r="AH106" i="17"/>
  <c r="AI106" i="17" s="1"/>
  <c r="AH97" i="17"/>
  <c r="AI97" i="17" s="1"/>
  <c r="AH93" i="17"/>
  <c r="AI93" i="17" s="1"/>
  <c r="AH188" i="17"/>
  <c r="AI188" i="17" s="1"/>
  <c r="AH182" i="17"/>
  <c r="AI182" i="17" s="1"/>
  <c r="AH176" i="17"/>
  <c r="AI176" i="17" s="1"/>
  <c r="AH173" i="17"/>
  <c r="AI173" i="17" s="1"/>
  <c r="AH167" i="17"/>
  <c r="AI167" i="17" s="1"/>
  <c r="AH164" i="17"/>
  <c r="AI164" i="17" s="1"/>
  <c r="AH158" i="17"/>
  <c r="AI158" i="17" s="1"/>
  <c r="AH155" i="17"/>
  <c r="AI155" i="17" s="1"/>
  <c r="AH149" i="17"/>
  <c r="AI149" i="17" s="1"/>
  <c r="AH128" i="17"/>
  <c r="AH119" i="17"/>
  <c r="AI119" i="17" s="1"/>
  <c r="AH110" i="17"/>
  <c r="AI110" i="17" s="1"/>
  <c r="AH101" i="17"/>
  <c r="AI101" i="17" s="1"/>
  <c r="AH66" i="17"/>
  <c r="AI66" i="17" s="1"/>
  <c r="AH63" i="17"/>
  <c r="AI63" i="17" s="1"/>
  <c r="AH60" i="17"/>
  <c r="AI60" i="17" s="1"/>
  <c r="AH57" i="17"/>
  <c r="AI57" i="17" s="1"/>
  <c r="AH54" i="17"/>
  <c r="AI54" i="17" s="1"/>
  <c r="AH51" i="17"/>
  <c r="AI51" i="17" s="1"/>
  <c r="AH48" i="17"/>
  <c r="AI48" i="17" s="1"/>
  <c r="AH45" i="17"/>
  <c r="AI45" i="17" s="1"/>
  <c r="AH42" i="17"/>
  <c r="AI42" i="17" s="1"/>
  <c r="AH39" i="17"/>
  <c r="AI39" i="17" s="1"/>
  <c r="AH36" i="17"/>
  <c r="AI36" i="17" s="1"/>
  <c r="AH33" i="17"/>
  <c r="AI33" i="17" s="1"/>
  <c r="AH30" i="17"/>
  <c r="AI30" i="17" s="1"/>
  <c r="AH27" i="17"/>
  <c r="AI27" i="17" s="1"/>
  <c r="AH24" i="17"/>
  <c r="AI24" i="17" s="1"/>
  <c r="AH21" i="17"/>
  <c r="AI21" i="17" s="1"/>
  <c r="AH18" i="17"/>
  <c r="AI18" i="17" s="1"/>
  <c r="AH15" i="17"/>
  <c r="AI15" i="17" s="1"/>
  <c r="AH12" i="17"/>
  <c r="AI12" i="17" s="1"/>
  <c r="AH9" i="17"/>
  <c r="AI9" i="17" s="1"/>
  <c r="AH6" i="17"/>
  <c r="AI6" i="17" s="1"/>
  <c r="AH3" i="17"/>
  <c r="AI3" i="17" s="1"/>
  <c r="AH192" i="17"/>
  <c r="AI192" i="17" s="1"/>
  <c r="AH186" i="17"/>
  <c r="AI186" i="17" s="1"/>
  <c r="AH123" i="17"/>
  <c r="AI123" i="17" s="1"/>
  <c r="AH114" i="17"/>
  <c r="AI114" i="17" s="1"/>
  <c r="AH105" i="17"/>
  <c r="AI105" i="17" s="1"/>
  <c r="AH96" i="17"/>
  <c r="AI96" i="17" s="1"/>
  <c r="AH87" i="17"/>
  <c r="AI87" i="17" s="1"/>
  <c r="AH84" i="17"/>
  <c r="AI84" i="17" s="1"/>
  <c r="AH81" i="17"/>
  <c r="AI81" i="17" s="1"/>
  <c r="AH78" i="17"/>
  <c r="AI78" i="17" s="1"/>
  <c r="AH75" i="17"/>
  <c r="AI75" i="17" s="1"/>
  <c r="AH72" i="17"/>
  <c r="AI72" i="17" s="1"/>
  <c r="AH69" i="17"/>
  <c r="AI69" i="17" s="1"/>
  <c r="AH190" i="17"/>
  <c r="AI190" i="17" s="1"/>
  <c r="AH132" i="17"/>
  <c r="AI132" i="17" s="1"/>
  <c r="AH179" i="17"/>
  <c r="AI179" i="17" s="1"/>
  <c r="AH168" i="17"/>
  <c r="AI168" i="17" s="1"/>
  <c r="AH159" i="17"/>
  <c r="AI159" i="17" s="1"/>
  <c r="AH150" i="17"/>
  <c r="AI150" i="17" s="1"/>
  <c r="AH135" i="17"/>
  <c r="AH122" i="17"/>
  <c r="AI122" i="17" s="1"/>
  <c r="AH113" i="17"/>
  <c r="AI113" i="17" s="1"/>
  <c r="AH104" i="17"/>
  <c r="AI104" i="17" s="1"/>
  <c r="AH95" i="17"/>
  <c r="AI95" i="17" s="1"/>
  <c r="AH67" i="17"/>
  <c r="AI67" i="17" s="1"/>
  <c r="AH64" i="17"/>
  <c r="AI64" i="17" s="1"/>
  <c r="AH61" i="17"/>
  <c r="AI61" i="17" s="1"/>
  <c r="AH58" i="17"/>
  <c r="AI58" i="17" s="1"/>
  <c r="AH55" i="17"/>
  <c r="AI55" i="17" s="1"/>
  <c r="AH52" i="17"/>
  <c r="AI52" i="17" s="1"/>
  <c r="AH49" i="17"/>
  <c r="AI49" i="17" s="1"/>
  <c r="AH46" i="17"/>
  <c r="AI46" i="17" s="1"/>
  <c r="AH43" i="17"/>
  <c r="AI43" i="17" s="1"/>
  <c r="AH40" i="17"/>
  <c r="AI40" i="17" s="1"/>
  <c r="AH37" i="17"/>
  <c r="AI37" i="17" s="1"/>
  <c r="AH34" i="17"/>
  <c r="AI34" i="17" s="1"/>
  <c r="AH31" i="17"/>
  <c r="AI31" i="17" s="1"/>
  <c r="AH28" i="17"/>
  <c r="AI28" i="17" s="1"/>
  <c r="AH25" i="17"/>
  <c r="AI25" i="17" s="1"/>
  <c r="AH22" i="17"/>
  <c r="AI22" i="17" s="1"/>
  <c r="AH19" i="17"/>
  <c r="AI19" i="17" s="1"/>
  <c r="AH16" i="17"/>
  <c r="AI16" i="17" s="1"/>
  <c r="AH13" i="17"/>
  <c r="AI13" i="17" s="1"/>
  <c r="AH10" i="17"/>
  <c r="AI10" i="17" s="1"/>
  <c r="AH7" i="17"/>
  <c r="AI7" i="17" s="1"/>
  <c r="AH4" i="17"/>
  <c r="AI4" i="17" s="1"/>
  <c r="AH183" i="17"/>
  <c r="AI183" i="17" s="1"/>
  <c r="AH177" i="17"/>
  <c r="AI177" i="17" s="1"/>
  <c r="AH137" i="17"/>
  <c r="AH136" i="17"/>
  <c r="AH131" i="17"/>
  <c r="AI131" i="17" s="1"/>
  <c r="AH126" i="17"/>
  <c r="AI126" i="17" s="1"/>
  <c r="AH117" i="17"/>
  <c r="AI117" i="17" s="1"/>
  <c r="AH108" i="17"/>
  <c r="AI108" i="17" s="1"/>
  <c r="AH99" i="17"/>
  <c r="AI99" i="17" s="1"/>
  <c r="AH92" i="17"/>
  <c r="AI92" i="17" s="1"/>
  <c r="AH88" i="17"/>
  <c r="AI88" i="17" s="1"/>
  <c r="AH85" i="17"/>
  <c r="AI85" i="17" s="1"/>
  <c r="AH82" i="17"/>
  <c r="AI82" i="17" s="1"/>
  <c r="AH79" i="17"/>
  <c r="AI79" i="17" s="1"/>
  <c r="AH76" i="17"/>
  <c r="AI76" i="17" s="1"/>
  <c r="AH73" i="17"/>
  <c r="AI73" i="17" s="1"/>
  <c r="AH70" i="17"/>
  <c r="AI70" i="17" s="1"/>
  <c r="AH181" i="17"/>
  <c r="AI181" i="17" s="1"/>
  <c r="AH120" i="17"/>
  <c r="AI120" i="17" s="1"/>
  <c r="AH111" i="17"/>
  <c r="AI111" i="17" s="1"/>
  <c r="AH102" i="17"/>
  <c r="AI102" i="17" s="1"/>
  <c r="AH156" i="17"/>
  <c r="AI156" i="17" s="1"/>
  <c r="AH127" i="17"/>
  <c r="AI127" i="17" s="1"/>
  <c r="AH118" i="17"/>
  <c r="AI118" i="17" s="1"/>
  <c r="AH109" i="17"/>
  <c r="AI109" i="17" s="1"/>
  <c r="AH100" i="17"/>
  <c r="AI100" i="17" s="1"/>
  <c r="AH175" i="17"/>
  <c r="AI175" i="17" s="1"/>
  <c r="AH165" i="17"/>
  <c r="AI165" i="17" s="1"/>
  <c r="AH148" i="17"/>
  <c r="AI148" i="17" s="1"/>
  <c r="AH140" i="17"/>
  <c r="AI140" i="17" s="1"/>
  <c r="AH138" i="17"/>
  <c r="AH121" i="17"/>
  <c r="AI121" i="17" s="1"/>
  <c r="AH112" i="17"/>
  <c r="AI112" i="17" s="1"/>
  <c r="AH103" i="17"/>
  <c r="AI103" i="17" s="1"/>
  <c r="AH94" i="17"/>
  <c r="AI94" i="17" s="1"/>
  <c r="AH89" i="17"/>
  <c r="AI89" i="17" s="1"/>
  <c r="AH86" i="17"/>
  <c r="AI86" i="17" s="1"/>
  <c r="AH83" i="17"/>
  <c r="AI83" i="17" s="1"/>
  <c r="AH80" i="17"/>
  <c r="AI80" i="17" s="1"/>
  <c r="AH77" i="17"/>
  <c r="AI77" i="17" s="1"/>
  <c r="AH74" i="17"/>
  <c r="AI74" i="17" s="1"/>
  <c r="AH71" i="17"/>
  <c r="AI71" i="17" s="1"/>
  <c r="AH174" i="17"/>
  <c r="AI174" i="17" s="1"/>
  <c r="AH187" i="17"/>
  <c r="AI187" i="17" s="1"/>
  <c r="AH157" i="17"/>
  <c r="AI157" i="17" s="1"/>
  <c r="AH133" i="17"/>
  <c r="AH90" i="17"/>
  <c r="AI90" i="17" s="1"/>
  <c r="AH145" i="17"/>
  <c r="AI145" i="17" s="1"/>
  <c r="AH166" i="17"/>
  <c r="AI166" i="17" s="1"/>
  <c r="AG181" i="24" l="1"/>
  <c r="AG178" i="24"/>
  <c r="AG175" i="24"/>
  <c r="AG172" i="24"/>
  <c r="AG169" i="24"/>
  <c r="AG166" i="24"/>
  <c r="AG163" i="24"/>
  <c r="AG160" i="24"/>
  <c r="AG157" i="24"/>
  <c r="AG154" i="24"/>
  <c r="AG151" i="24"/>
  <c r="AG148" i="24"/>
  <c r="AG145" i="24"/>
  <c r="AG142" i="24"/>
  <c r="AG179" i="24"/>
  <c r="AG176" i="24"/>
  <c r="AG173" i="24"/>
  <c r="AG170" i="24"/>
  <c r="AG167" i="24"/>
  <c r="AG164" i="24"/>
  <c r="AG161" i="24"/>
  <c r="AG158" i="24"/>
  <c r="AG155" i="24"/>
  <c r="AG152" i="24"/>
  <c r="AG149" i="24"/>
  <c r="AG146" i="24"/>
  <c r="AG143" i="24"/>
  <c r="AG140" i="24"/>
  <c r="AG129" i="24"/>
  <c r="AG124" i="24"/>
  <c r="AG138" i="24"/>
  <c r="AG135" i="24"/>
  <c r="AG132" i="24"/>
  <c r="AG116" i="24"/>
  <c r="AG113" i="24"/>
  <c r="AG110" i="24"/>
  <c r="AG107" i="24"/>
  <c r="AG104" i="24"/>
  <c r="AG101" i="24"/>
  <c r="AG98" i="24"/>
  <c r="AG95" i="24"/>
  <c r="AG92" i="24"/>
  <c r="AG89" i="24"/>
  <c r="AG86" i="24"/>
  <c r="AG83" i="24"/>
  <c r="AG80" i="24"/>
  <c r="AG77" i="24"/>
  <c r="AG74" i="24"/>
  <c r="AG71" i="24"/>
  <c r="AG68" i="24"/>
  <c r="AG65" i="24"/>
  <c r="AG62" i="24"/>
  <c r="AG59" i="24"/>
  <c r="AG56" i="24"/>
  <c r="AG53" i="24"/>
  <c r="AG50" i="24"/>
  <c r="AG47" i="24"/>
  <c r="AG44" i="24"/>
  <c r="AG41" i="24"/>
  <c r="AG38" i="24"/>
  <c r="AG35" i="24"/>
  <c r="AG32" i="24"/>
  <c r="AG29" i="24"/>
  <c r="AG122" i="24"/>
  <c r="AG119" i="24"/>
  <c r="AG127" i="24"/>
  <c r="AG130" i="24"/>
  <c r="AG180" i="24"/>
  <c r="AG177" i="24"/>
  <c r="AG174" i="24"/>
  <c r="AG171" i="24"/>
  <c r="AG168" i="24"/>
  <c r="AG165" i="24"/>
  <c r="AG162" i="24"/>
  <c r="AG159" i="24"/>
  <c r="AG156" i="24"/>
  <c r="AG153" i="24"/>
  <c r="AG150" i="24"/>
  <c r="AG147" i="24"/>
  <c r="AG144" i="24"/>
  <c r="AG141" i="24"/>
  <c r="AG139" i="24"/>
  <c r="AG136" i="24"/>
  <c r="AG133" i="24"/>
  <c r="AG125" i="24"/>
  <c r="AG117" i="24"/>
  <c r="AG114" i="24"/>
  <c r="AG111" i="24"/>
  <c r="AG108" i="24"/>
  <c r="AG105" i="24"/>
  <c r="AG102" i="24"/>
  <c r="AG99" i="24"/>
  <c r="AG96" i="24"/>
  <c r="AG93" i="24"/>
  <c r="AG90" i="24"/>
  <c r="AG87" i="24"/>
  <c r="AG84" i="24"/>
  <c r="AG81" i="24"/>
  <c r="AG78" i="24"/>
  <c r="AG75" i="24"/>
  <c r="AG72" i="24"/>
  <c r="AG69" i="24"/>
  <c r="AG66" i="24"/>
  <c r="AG63" i="24"/>
  <c r="AG60" i="24"/>
  <c r="AG57" i="24"/>
  <c r="AG54" i="24"/>
  <c r="AG51" i="24"/>
  <c r="AG48" i="24"/>
  <c r="AG45" i="24"/>
  <c r="AG42" i="24"/>
  <c r="AG39" i="24"/>
  <c r="AG36" i="24"/>
  <c r="AG33" i="24"/>
  <c r="AG30" i="24"/>
  <c r="AG120" i="24"/>
  <c r="AG123" i="24"/>
  <c r="AG126" i="24"/>
  <c r="AG121" i="24"/>
  <c r="AG118" i="24"/>
  <c r="AG131" i="24"/>
  <c r="AG128" i="24"/>
  <c r="AG27" i="24"/>
  <c r="AG24" i="24"/>
  <c r="AG21" i="24"/>
  <c r="AG18" i="24"/>
  <c r="AG15" i="24"/>
  <c r="AG12" i="24"/>
  <c r="AG9" i="24"/>
  <c r="AG6" i="24"/>
  <c r="AG3" i="24"/>
  <c r="AG137" i="24"/>
  <c r="AG134" i="24"/>
  <c r="AG49" i="24"/>
  <c r="AG40" i="24"/>
  <c r="AG31" i="24"/>
  <c r="AG25" i="24"/>
  <c r="AG22" i="24"/>
  <c r="AG19" i="24"/>
  <c r="AG16" i="24"/>
  <c r="AG13" i="24"/>
  <c r="AG10" i="24"/>
  <c r="AG7" i="24"/>
  <c r="AG4" i="24"/>
  <c r="AH1" i="24"/>
  <c r="AG115" i="24"/>
  <c r="AG112" i="24"/>
  <c r="AG109" i="24"/>
  <c r="AG106" i="24"/>
  <c r="AG103" i="24"/>
  <c r="AG100" i="24"/>
  <c r="AG97" i="24"/>
  <c r="AG94" i="24"/>
  <c r="AG91" i="24"/>
  <c r="AG88" i="24"/>
  <c r="AG85" i="24"/>
  <c r="AG82" i="24"/>
  <c r="AG79" i="24"/>
  <c r="AG76" i="24"/>
  <c r="AG73" i="24"/>
  <c r="AG70" i="24"/>
  <c r="AG67" i="24"/>
  <c r="AG64" i="24"/>
  <c r="AG61" i="24"/>
  <c r="AG58" i="24"/>
  <c r="AG55" i="24"/>
  <c r="AG52" i="24"/>
  <c r="AG43" i="24"/>
  <c r="AG34" i="24"/>
  <c r="AG26" i="24"/>
  <c r="AG17" i="24"/>
  <c r="AG8" i="24"/>
  <c r="AG23" i="24"/>
  <c r="AG14" i="24"/>
  <c r="AG5" i="24"/>
  <c r="AG46" i="24"/>
  <c r="AG37" i="24"/>
  <c r="AG28" i="24"/>
  <c r="AG11" i="24"/>
  <c r="AG20" i="24"/>
  <c r="AF176" i="27"/>
  <c r="AF173" i="27"/>
  <c r="AF170" i="27"/>
  <c r="AF167" i="27"/>
  <c r="AF164" i="27"/>
  <c r="AF161" i="27"/>
  <c r="AF158" i="27"/>
  <c r="AF155" i="27"/>
  <c r="AF152" i="27"/>
  <c r="AF149" i="27"/>
  <c r="AF146" i="27"/>
  <c r="AF174" i="27"/>
  <c r="AF171" i="27"/>
  <c r="AF168" i="27"/>
  <c r="AF165" i="27"/>
  <c r="AF162" i="27"/>
  <c r="AF159" i="27"/>
  <c r="AF156" i="27"/>
  <c r="AF153" i="27"/>
  <c r="AF150" i="27"/>
  <c r="AF147" i="27"/>
  <c r="AF169" i="27"/>
  <c r="AF160" i="27"/>
  <c r="AF151" i="27"/>
  <c r="AF142" i="27"/>
  <c r="AF139" i="27"/>
  <c r="AF136" i="27"/>
  <c r="AF133" i="27"/>
  <c r="AF130" i="27"/>
  <c r="AF127" i="27"/>
  <c r="AF123" i="27"/>
  <c r="AF114" i="27"/>
  <c r="AF110" i="27"/>
  <c r="AF175" i="27"/>
  <c r="AF166" i="27"/>
  <c r="AF157" i="27"/>
  <c r="AF148" i="27"/>
  <c r="AF143" i="27"/>
  <c r="AF140" i="27"/>
  <c r="AF137" i="27"/>
  <c r="AF134" i="27"/>
  <c r="AF131" i="27"/>
  <c r="AF128" i="27"/>
  <c r="AF124" i="27"/>
  <c r="AF115" i="27"/>
  <c r="AF111" i="27"/>
  <c r="AF108" i="27"/>
  <c r="AF105" i="27"/>
  <c r="AF102" i="27"/>
  <c r="AF99" i="27"/>
  <c r="AF96" i="27"/>
  <c r="AF93" i="27"/>
  <c r="AF90" i="27"/>
  <c r="AF87" i="27"/>
  <c r="AF172" i="27"/>
  <c r="AF163" i="27"/>
  <c r="AF154" i="27"/>
  <c r="AF145" i="27"/>
  <c r="AF109" i="27"/>
  <c r="AF106" i="27"/>
  <c r="AF103" i="27"/>
  <c r="AF100" i="27"/>
  <c r="AF97" i="27"/>
  <c r="AF94" i="27"/>
  <c r="AF91" i="27"/>
  <c r="AF88" i="27"/>
  <c r="AF107" i="27"/>
  <c r="AF104" i="27"/>
  <c r="AF101" i="27"/>
  <c r="AF98" i="27"/>
  <c r="AF95" i="27"/>
  <c r="AF92" i="27"/>
  <c r="AF86" i="27"/>
  <c r="AF89" i="27"/>
  <c r="AF84" i="27"/>
  <c r="AF81" i="27"/>
  <c r="AF78" i="27"/>
  <c r="AF75" i="27"/>
  <c r="AF72" i="27"/>
  <c r="AF69" i="27"/>
  <c r="AF66" i="27"/>
  <c r="AF63" i="27"/>
  <c r="AF141" i="27"/>
  <c r="AF135" i="27"/>
  <c r="AF129" i="27"/>
  <c r="AF116" i="27"/>
  <c r="AF85" i="27"/>
  <c r="AF82" i="27"/>
  <c r="AF79" i="27"/>
  <c r="AF76" i="27"/>
  <c r="AF73" i="27"/>
  <c r="AF70" i="27"/>
  <c r="AF67" i="27"/>
  <c r="AF64" i="27"/>
  <c r="AF144" i="27"/>
  <c r="AF138" i="27"/>
  <c r="AF132" i="27"/>
  <c r="AF125" i="27"/>
  <c r="AF113" i="27"/>
  <c r="AF83" i="27"/>
  <c r="AF80" i="27"/>
  <c r="AF77" i="27"/>
  <c r="AF74" i="27"/>
  <c r="AF71" i="27"/>
  <c r="AF68" i="27"/>
  <c r="AF65" i="27"/>
  <c r="AF61" i="27"/>
  <c r="AF58" i="27"/>
  <c r="AF55" i="27"/>
  <c r="AF52" i="27"/>
  <c r="AF49" i="27"/>
  <c r="AF46" i="27"/>
  <c r="AF43" i="27"/>
  <c r="AF40" i="27"/>
  <c r="AF37" i="27"/>
  <c r="AF60" i="27"/>
  <c r="AF57" i="27"/>
  <c r="AF54" i="27"/>
  <c r="AF51" i="27"/>
  <c r="AF48" i="27"/>
  <c r="AF45" i="27"/>
  <c r="AF42" i="27"/>
  <c r="AF39" i="27"/>
  <c r="AF59" i="27"/>
  <c r="AF50" i="27"/>
  <c r="AF41" i="27"/>
  <c r="AF35" i="27"/>
  <c r="AF32" i="27"/>
  <c r="AF29" i="27"/>
  <c r="AF26" i="27"/>
  <c r="AF23" i="27"/>
  <c r="AF20" i="27"/>
  <c r="AF17" i="27"/>
  <c r="AF14" i="27"/>
  <c r="AF11" i="27"/>
  <c r="AF56" i="27"/>
  <c r="AF47" i="27"/>
  <c r="AF38" i="27"/>
  <c r="AF36" i="27"/>
  <c r="AF33" i="27"/>
  <c r="AF30" i="27"/>
  <c r="AF27" i="27"/>
  <c r="AF24" i="27"/>
  <c r="AF21" i="27"/>
  <c r="AF18" i="27"/>
  <c r="AF15" i="27"/>
  <c r="AF12" i="27"/>
  <c r="AF62" i="27"/>
  <c r="AF53" i="27"/>
  <c r="AF44" i="27"/>
  <c r="AF7" i="27"/>
  <c r="AF4" i="27"/>
  <c r="AF28" i="27"/>
  <c r="AF19" i="27"/>
  <c r="AF10" i="27"/>
  <c r="AG1" i="27"/>
  <c r="AF8" i="27"/>
  <c r="AF5" i="27"/>
  <c r="AF34" i="27"/>
  <c r="AF25" i="27"/>
  <c r="AF16" i="27"/>
  <c r="AF9" i="27"/>
  <c r="AF6" i="27"/>
  <c r="AF3" i="27"/>
  <c r="AF31" i="27"/>
  <c r="AF22" i="27"/>
  <c r="AF13" i="27"/>
  <c r="AF190" i="18"/>
  <c r="AF187" i="18"/>
  <c r="AF184" i="18"/>
  <c r="AF181" i="18"/>
  <c r="AF178" i="18"/>
  <c r="AF175" i="18"/>
  <c r="AF172" i="18"/>
  <c r="AF169" i="18"/>
  <c r="AF166" i="18"/>
  <c r="AF163" i="18"/>
  <c r="AF160" i="18"/>
  <c r="AF157" i="18"/>
  <c r="AF154" i="18"/>
  <c r="AF151" i="18"/>
  <c r="AF141" i="18"/>
  <c r="AF139" i="18"/>
  <c r="AF192" i="18"/>
  <c r="AF183" i="18"/>
  <c r="AF174" i="18"/>
  <c r="AF165" i="18"/>
  <c r="AF159" i="18"/>
  <c r="AF145" i="18"/>
  <c r="AF144" i="18"/>
  <c r="AF143" i="18"/>
  <c r="AF142" i="18"/>
  <c r="AF158" i="18"/>
  <c r="AF68" i="18"/>
  <c r="AF65" i="18"/>
  <c r="AF62" i="18"/>
  <c r="AF59" i="18"/>
  <c r="AF56" i="18"/>
  <c r="AF53" i="18"/>
  <c r="AF50" i="18"/>
  <c r="AF47" i="18"/>
  <c r="AF44" i="18"/>
  <c r="AF41" i="18"/>
  <c r="AF38" i="18"/>
  <c r="AF35" i="18"/>
  <c r="AF32" i="18"/>
  <c r="AF29" i="18"/>
  <c r="AF26" i="18"/>
  <c r="AF23" i="18"/>
  <c r="AF20" i="18"/>
  <c r="AF17" i="18"/>
  <c r="AF14" i="18"/>
  <c r="AF11" i="18"/>
  <c r="AF8" i="18"/>
  <c r="AF5" i="18"/>
  <c r="AF185" i="18"/>
  <c r="AF176" i="18"/>
  <c r="AF162" i="18"/>
  <c r="AF155" i="18"/>
  <c r="AF66" i="18"/>
  <c r="AF63" i="18"/>
  <c r="AF60" i="18"/>
  <c r="AF57" i="18"/>
  <c r="AF54" i="18"/>
  <c r="AF51" i="18"/>
  <c r="AF48" i="18"/>
  <c r="AF45" i="18"/>
  <c r="AF42" i="18"/>
  <c r="AF39" i="18"/>
  <c r="AF36" i="18"/>
  <c r="AF33" i="18"/>
  <c r="AF30" i="18"/>
  <c r="AF27" i="18"/>
  <c r="AF24" i="18"/>
  <c r="AF21" i="18"/>
  <c r="AF18" i="18"/>
  <c r="AF15" i="18"/>
  <c r="AF12" i="18"/>
  <c r="AF9" i="18"/>
  <c r="AF6" i="18"/>
  <c r="AF3" i="18"/>
  <c r="AF191" i="18"/>
  <c r="AF186" i="18"/>
  <c r="AF122" i="18"/>
  <c r="AF113" i="18"/>
  <c r="AF104" i="18"/>
  <c r="AF95" i="18"/>
  <c r="AF86" i="18"/>
  <c r="AF77" i="18"/>
  <c r="AF167" i="18"/>
  <c r="AF156" i="18"/>
  <c r="AF140" i="18"/>
  <c r="AF137" i="18"/>
  <c r="AF131" i="18"/>
  <c r="AF126" i="18"/>
  <c r="AF117" i="18"/>
  <c r="AF108" i="18"/>
  <c r="AF99" i="18"/>
  <c r="AF90" i="18"/>
  <c r="AF81" i="18"/>
  <c r="AF72" i="18"/>
  <c r="AF171" i="18"/>
  <c r="AF67" i="18"/>
  <c r="AF58" i="18"/>
  <c r="AF49" i="18"/>
  <c r="AF40" i="18"/>
  <c r="AF31" i="18"/>
  <c r="AF22" i="18"/>
  <c r="AF13" i="18"/>
  <c r="AF4" i="18"/>
  <c r="AF189" i="18"/>
  <c r="AF179" i="18"/>
  <c r="AF168" i="18"/>
  <c r="AF153" i="18"/>
  <c r="AF147" i="18"/>
  <c r="AF121" i="18"/>
  <c r="AF112" i="18"/>
  <c r="AF103" i="18"/>
  <c r="AF94" i="18"/>
  <c r="AF85" i="18"/>
  <c r="AF76" i="18"/>
  <c r="AF152" i="18"/>
  <c r="AF130" i="18"/>
  <c r="AF125" i="18"/>
  <c r="AF116" i="18"/>
  <c r="AF107" i="18"/>
  <c r="AF98" i="18"/>
  <c r="AF89" i="18"/>
  <c r="AF80" i="18"/>
  <c r="AF71" i="18"/>
  <c r="AF177" i="18"/>
  <c r="AF138" i="18"/>
  <c r="AF135" i="18"/>
  <c r="AF120" i="18"/>
  <c r="AF111" i="18"/>
  <c r="AF102" i="18"/>
  <c r="AF182" i="18"/>
  <c r="AF150" i="18"/>
  <c r="AF149" i="18"/>
  <c r="AF134" i="18"/>
  <c r="AF129" i="18"/>
  <c r="AF188" i="18"/>
  <c r="AF170" i="18"/>
  <c r="AF148" i="18"/>
  <c r="AF127" i="18"/>
  <c r="AF70" i="18"/>
  <c r="AF25" i="18"/>
  <c r="AF19" i="18"/>
  <c r="AG1" i="18"/>
  <c r="AF180" i="18"/>
  <c r="AF46" i="18"/>
  <c r="AF119" i="18"/>
  <c r="AF106" i="18"/>
  <c r="AF105" i="18"/>
  <c r="AF97" i="18"/>
  <c r="AF88" i="18"/>
  <c r="AF73" i="18"/>
  <c r="AF52" i="18"/>
  <c r="AF146" i="18"/>
  <c r="AF133" i="18"/>
  <c r="AF132" i="18"/>
  <c r="AF118" i="18"/>
  <c r="AF79" i="18"/>
  <c r="AF69" i="18"/>
  <c r="AF16" i="18"/>
  <c r="AF10" i="18"/>
  <c r="AF96" i="18"/>
  <c r="AF87" i="18"/>
  <c r="AF75" i="18"/>
  <c r="AF55" i="18"/>
  <c r="AF124" i="18"/>
  <c r="AF123" i="18"/>
  <c r="AF110" i="18"/>
  <c r="AF173" i="18"/>
  <c r="AF109" i="18"/>
  <c r="AF93" i="18"/>
  <c r="AF84" i="18"/>
  <c r="AF78" i="18"/>
  <c r="AF28" i="18"/>
  <c r="AF7" i="18"/>
  <c r="AF164" i="18"/>
  <c r="AF136" i="18"/>
  <c r="AF92" i="18"/>
  <c r="AF83" i="18"/>
  <c r="AF74" i="18"/>
  <c r="AF64" i="18"/>
  <c r="AF37" i="18"/>
  <c r="AF61" i="18"/>
  <c r="AF161" i="18"/>
  <c r="AF82" i="18"/>
  <c r="AF128" i="18"/>
  <c r="AF115" i="18"/>
  <c r="AF114" i="18"/>
  <c r="AF101" i="18"/>
  <c r="AF34" i="18"/>
  <c r="AF43" i="18"/>
  <c r="AF91" i="18"/>
  <c r="AF100" i="18"/>
  <c r="AF184" i="23"/>
  <c r="AF181" i="23"/>
  <c r="AF178" i="23"/>
  <c r="AF175" i="23"/>
  <c r="AF172" i="23"/>
  <c r="AF169" i="23"/>
  <c r="AF166" i="23"/>
  <c r="AF163" i="23"/>
  <c r="AF160" i="23"/>
  <c r="AF157" i="23"/>
  <c r="AF154" i="23"/>
  <c r="AF151" i="23"/>
  <c r="AF148" i="23"/>
  <c r="AF145" i="23"/>
  <c r="AF142" i="23"/>
  <c r="AF139" i="23"/>
  <c r="AF136" i="23"/>
  <c r="AF126" i="23"/>
  <c r="AF123" i="23"/>
  <c r="AF131" i="23"/>
  <c r="AF134" i="23"/>
  <c r="AF185" i="23"/>
  <c r="AF182" i="23"/>
  <c r="AF179" i="23"/>
  <c r="AF176" i="23"/>
  <c r="AF173" i="23"/>
  <c r="AF170" i="23"/>
  <c r="AF167" i="23"/>
  <c r="AF164" i="23"/>
  <c r="AF161" i="23"/>
  <c r="AF158" i="23"/>
  <c r="AF155" i="23"/>
  <c r="AF152" i="23"/>
  <c r="AF149" i="23"/>
  <c r="AF146" i="23"/>
  <c r="AF143" i="23"/>
  <c r="AF140" i="23"/>
  <c r="AF137" i="23"/>
  <c r="AF129" i="23"/>
  <c r="AF121" i="23"/>
  <c r="AF127" i="23"/>
  <c r="AF135" i="23"/>
  <c r="AF132" i="23"/>
  <c r="AF125" i="23"/>
  <c r="AF117" i="23"/>
  <c r="AF114" i="23"/>
  <c r="AF111" i="23"/>
  <c r="AF108" i="23"/>
  <c r="AF105" i="23"/>
  <c r="AF102" i="23"/>
  <c r="AF99" i="23"/>
  <c r="AF96" i="23"/>
  <c r="AF93" i="23"/>
  <c r="AF90" i="23"/>
  <c r="AF87" i="23"/>
  <c r="AF84" i="23"/>
  <c r="AF122" i="23"/>
  <c r="AF115" i="23"/>
  <c r="AF112" i="23"/>
  <c r="AF109" i="23"/>
  <c r="AF106" i="23"/>
  <c r="AF103" i="23"/>
  <c r="AF100" i="23"/>
  <c r="AF97" i="23"/>
  <c r="AF162" i="23"/>
  <c r="AF133" i="23"/>
  <c r="AF116" i="23"/>
  <c r="AF107" i="23"/>
  <c r="AF183" i="23"/>
  <c r="AF168" i="23"/>
  <c r="AF156" i="23"/>
  <c r="AF141" i="23"/>
  <c r="AF124" i="23"/>
  <c r="AF113" i="23"/>
  <c r="AF104" i="23"/>
  <c r="AF174" i="23"/>
  <c r="AF159" i="23"/>
  <c r="AF147" i="23"/>
  <c r="AF118" i="23"/>
  <c r="AF180" i="23"/>
  <c r="AF153" i="23"/>
  <c r="AF138" i="23"/>
  <c r="AF101" i="23"/>
  <c r="AF88" i="23"/>
  <c r="AF83" i="23"/>
  <c r="AF81" i="23"/>
  <c r="AF78" i="23"/>
  <c r="AF75" i="23"/>
  <c r="AF72" i="23"/>
  <c r="AF69" i="23"/>
  <c r="AF66" i="23"/>
  <c r="AF63" i="23"/>
  <c r="AF60" i="23"/>
  <c r="AF57" i="23"/>
  <c r="AF54" i="23"/>
  <c r="AF51" i="23"/>
  <c r="AF48" i="23"/>
  <c r="AF165" i="23"/>
  <c r="AF128" i="23"/>
  <c r="AF120" i="23"/>
  <c r="AF91" i="23"/>
  <c r="AF171" i="23"/>
  <c r="AF130" i="23"/>
  <c r="AF95" i="23"/>
  <c r="AF85" i="23"/>
  <c r="AF89" i="23"/>
  <c r="AF80" i="23"/>
  <c r="AF77" i="23"/>
  <c r="AF74" i="23"/>
  <c r="AF71" i="23"/>
  <c r="AF68" i="23"/>
  <c r="AF65" i="23"/>
  <c r="AF62" i="23"/>
  <c r="AF59" i="23"/>
  <c r="AF56" i="23"/>
  <c r="AF53" i="23"/>
  <c r="AF50" i="23"/>
  <c r="AF92" i="23"/>
  <c r="AF79" i="23"/>
  <c r="AF70" i="23"/>
  <c r="AF58" i="23"/>
  <c r="AF86" i="23"/>
  <c r="AF49" i="23"/>
  <c r="AF177" i="23"/>
  <c r="AF98" i="23"/>
  <c r="AF46" i="23"/>
  <c r="AF43" i="23"/>
  <c r="AF40" i="23"/>
  <c r="AF37" i="23"/>
  <c r="AF34" i="23"/>
  <c r="AF31" i="23"/>
  <c r="AF28" i="23"/>
  <c r="AF25" i="23"/>
  <c r="AF22" i="23"/>
  <c r="AF19" i="23"/>
  <c r="AF16" i="23"/>
  <c r="AF13" i="23"/>
  <c r="AF10" i="23"/>
  <c r="AF7" i="23"/>
  <c r="AF4" i="23"/>
  <c r="AF94" i="23"/>
  <c r="AF76" i="23"/>
  <c r="AF67" i="23"/>
  <c r="AF119" i="23"/>
  <c r="AF61" i="23"/>
  <c r="AG1" i="23"/>
  <c r="AF150" i="23"/>
  <c r="AF47" i="23"/>
  <c r="AF44" i="23"/>
  <c r="AF41" i="23"/>
  <c r="AF38" i="23"/>
  <c r="AF35" i="23"/>
  <c r="AF32" i="23"/>
  <c r="AF29" i="23"/>
  <c r="AF26" i="23"/>
  <c r="AF23" i="23"/>
  <c r="AF20" i="23"/>
  <c r="AF17" i="23"/>
  <c r="AF14" i="23"/>
  <c r="AF11" i="23"/>
  <c r="AF8" i="23"/>
  <c r="AF5" i="23"/>
  <c r="AF55" i="23"/>
  <c r="AF110" i="23"/>
  <c r="AF64" i="23"/>
  <c r="AF52" i="23"/>
  <c r="AF42" i="23"/>
  <c r="AF33" i="23"/>
  <c r="AF24" i="23"/>
  <c r="AF15" i="23"/>
  <c r="AF6" i="23"/>
  <c r="AF73" i="23"/>
  <c r="AF39" i="23"/>
  <c r="AF30" i="23"/>
  <c r="AF21" i="23"/>
  <c r="AF12" i="23"/>
  <c r="AF3" i="23"/>
  <c r="AF82" i="23"/>
  <c r="AF45" i="23"/>
  <c r="AF36" i="23"/>
  <c r="AF27" i="23"/>
  <c r="AF18" i="23"/>
  <c r="AF9" i="23"/>
  <c r="AF144" i="23"/>
  <c r="AG179" i="25"/>
  <c r="AG177" i="25"/>
  <c r="AG178" i="25"/>
  <c r="AG176" i="25"/>
  <c r="AG173" i="25"/>
  <c r="AG170" i="25"/>
  <c r="AG167" i="25"/>
  <c r="AG164" i="25"/>
  <c r="AG161" i="25"/>
  <c r="AG158" i="25"/>
  <c r="AG155" i="25"/>
  <c r="AG152" i="25"/>
  <c r="AG149" i="25"/>
  <c r="AG146" i="25"/>
  <c r="AG143" i="25"/>
  <c r="AG140" i="25"/>
  <c r="AG137" i="25"/>
  <c r="AG134" i="25"/>
  <c r="AG174" i="25"/>
  <c r="AG171" i="25"/>
  <c r="AG168" i="25"/>
  <c r="AG165" i="25"/>
  <c r="AG162" i="25"/>
  <c r="AG159" i="25"/>
  <c r="AG156" i="25"/>
  <c r="AG153" i="25"/>
  <c r="AG150" i="25"/>
  <c r="AG147" i="25"/>
  <c r="AG144" i="25"/>
  <c r="AG141" i="25"/>
  <c r="AG138" i="25"/>
  <c r="AG135" i="25"/>
  <c r="AG169" i="25"/>
  <c r="AG160" i="25"/>
  <c r="AG151" i="25"/>
  <c r="AG142" i="25"/>
  <c r="AG129" i="25"/>
  <c r="AG126" i="25"/>
  <c r="AG124" i="25"/>
  <c r="AG119" i="25"/>
  <c r="AG116" i="25"/>
  <c r="AG175" i="25"/>
  <c r="AG166" i="25"/>
  <c r="AG157" i="25"/>
  <c r="AG148" i="25"/>
  <c r="AG172" i="25"/>
  <c r="AG163" i="25"/>
  <c r="AG154" i="25"/>
  <c r="AG145" i="25"/>
  <c r="AG136" i="25"/>
  <c r="AG128" i="25"/>
  <c r="AG100" i="25"/>
  <c r="AG132" i="25"/>
  <c r="AG94" i="25"/>
  <c r="AG91" i="25"/>
  <c r="AG88" i="25"/>
  <c r="AG85" i="25"/>
  <c r="AG82" i="25"/>
  <c r="AG79" i="25"/>
  <c r="AG76" i="25"/>
  <c r="AG133" i="25"/>
  <c r="AG98" i="25"/>
  <c r="AG95" i="25"/>
  <c r="AG92" i="25"/>
  <c r="AG89" i="25"/>
  <c r="AG86" i="25"/>
  <c r="AG83" i="25"/>
  <c r="AG80" i="25"/>
  <c r="AG77" i="25"/>
  <c r="AG96" i="25"/>
  <c r="AG130" i="25"/>
  <c r="AG115" i="25"/>
  <c r="AG114" i="25"/>
  <c r="AG74" i="25"/>
  <c r="AG70" i="25"/>
  <c r="AG67" i="25"/>
  <c r="AG64" i="25"/>
  <c r="AG61" i="25"/>
  <c r="AG58" i="25"/>
  <c r="AG55" i="25"/>
  <c r="AG52" i="25"/>
  <c r="AG49" i="25"/>
  <c r="AG46" i="25"/>
  <c r="AG43" i="25"/>
  <c r="AG120" i="25"/>
  <c r="AG118" i="25"/>
  <c r="AG117" i="25"/>
  <c r="AG108" i="25"/>
  <c r="AG105" i="25"/>
  <c r="AG102" i="25"/>
  <c r="AG122" i="25"/>
  <c r="AG121" i="25"/>
  <c r="AG113" i="25"/>
  <c r="AG93" i="25"/>
  <c r="AG84" i="25"/>
  <c r="AG75" i="25"/>
  <c r="AG131" i="25"/>
  <c r="AG123" i="25"/>
  <c r="AG73" i="25"/>
  <c r="AG112" i="25"/>
  <c r="AG125" i="25"/>
  <c r="AG107" i="25"/>
  <c r="AG104" i="25"/>
  <c r="AG99" i="25"/>
  <c r="AG97" i="25"/>
  <c r="AG139" i="25"/>
  <c r="AG127" i="25"/>
  <c r="AG106" i="25"/>
  <c r="AG103" i="25"/>
  <c r="AG110" i="25"/>
  <c r="AG71" i="25"/>
  <c r="AG39" i="25"/>
  <c r="AG36" i="25"/>
  <c r="AG33" i="25"/>
  <c r="AG30" i="25"/>
  <c r="AG27" i="25"/>
  <c r="AG24" i="25"/>
  <c r="AG21" i="25"/>
  <c r="AG18" i="25"/>
  <c r="AG15" i="25"/>
  <c r="AG12" i="25"/>
  <c r="AG9" i="25"/>
  <c r="AG87" i="25"/>
  <c r="AG109" i="25"/>
  <c r="AG40" i="25"/>
  <c r="AG37" i="25"/>
  <c r="AG34" i="25"/>
  <c r="AG31" i="25"/>
  <c r="AG28" i="25"/>
  <c r="AG25" i="25"/>
  <c r="AG22" i="25"/>
  <c r="AG19" i="25"/>
  <c r="AG16" i="25"/>
  <c r="AG13" i="25"/>
  <c r="AG10" i="25"/>
  <c r="AG111" i="25"/>
  <c r="AG81" i="25"/>
  <c r="AG69" i="25"/>
  <c r="AG66" i="25"/>
  <c r="AG63" i="25"/>
  <c r="AG60" i="25"/>
  <c r="AG57" i="25"/>
  <c r="AG54" i="25"/>
  <c r="AG51" i="25"/>
  <c r="AG48" i="25"/>
  <c r="AG44" i="25"/>
  <c r="AG42" i="25"/>
  <c r="AG101" i="25"/>
  <c r="AG90" i="25"/>
  <c r="AG78" i="25"/>
  <c r="AG68" i="25"/>
  <c r="AG65" i="25"/>
  <c r="AG62" i="25"/>
  <c r="AG59" i="25"/>
  <c r="AG56" i="25"/>
  <c r="AG53" i="25"/>
  <c r="AG50" i="25"/>
  <c r="AG47" i="25"/>
  <c r="AG45" i="25"/>
  <c r="AG72" i="25"/>
  <c r="AG7" i="25"/>
  <c r="AG4" i="25"/>
  <c r="AH1" i="25"/>
  <c r="AG5" i="25"/>
  <c r="AG6" i="25"/>
  <c r="AG3" i="25"/>
  <c r="AG38" i="25"/>
  <c r="AG32" i="25"/>
  <c r="AG26" i="25"/>
  <c r="AG20" i="25"/>
  <c r="AG14" i="25"/>
  <c r="AG8" i="25"/>
  <c r="AG41" i="25"/>
  <c r="AG17" i="25"/>
  <c r="AG35" i="25"/>
  <c r="AG11" i="25"/>
  <c r="AG29" i="25"/>
  <c r="AG23" i="25"/>
  <c r="AF188" i="21"/>
  <c r="AF185" i="21"/>
  <c r="AF182" i="21"/>
  <c r="AF179" i="21"/>
  <c r="AF176" i="21"/>
  <c r="AF173" i="21"/>
  <c r="AF170" i="21"/>
  <c r="AF167" i="21"/>
  <c r="AF164" i="21"/>
  <c r="AF161" i="21"/>
  <c r="AF158" i="21"/>
  <c r="AF155" i="21"/>
  <c r="AF152" i="21"/>
  <c r="AF149" i="21"/>
  <c r="AF146" i="21"/>
  <c r="AF143" i="21"/>
  <c r="AF140" i="21"/>
  <c r="AF132" i="21"/>
  <c r="AF124" i="21"/>
  <c r="AF121" i="21"/>
  <c r="AF118" i="21"/>
  <c r="AF115" i="21"/>
  <c r="AF112" i="21"/>
  <c r="AF127" i="21"/>
  <c r="AF130" i="21"/>
  <c r="AF138" i="21"/>
  <c r="AF135" i="21"/>
  <c r="AF186" i="21"/>
  <c r="AF183" i="21"/>
  <c r="AF180" i="21"/>
  <c r="AF177" i="21"/>
  <c r="AF174" i="21"/>
  <c r="AF136" i="21"/>
  <c r="AF131" i="21"/>
  <c r="AF187" i="21"/>
  <c r="AF184" i="21"/>
  <c r="AF181" i="21"/>
  <c r="AF178" i="21"/>
  <c r="AF175" i="21"/>
  <c r="AF172" i="21"/>
  <c r="AF169" i="21"/>
  <c r="AF166" i="21"/>
  <c r="AF163" i="21"/>
  <c r="AF160" i="21"/>
  <c r="AF157" i="21"/>
  <c r="AF154" i="21"/>
  <c r="AF151" i="21"/>
  <c r="AF148" i="21"/>
  <c r="AF145" i="21"/>
  <c r="AF142" i="21"/>
  <c r="AF139" i="21"/>
  <c r="AF123" i="21"/>
  <c r="AF120" i="21"/>
  <c r="AF117" i="21"/>
  <c r="AF114" i="21"/>
  <c r="AF111" i="21"/>
  <c r="AF159" i="21"/>
  <c r="AF147" i="21"/>
  <c r="AF162" i="21"/>
  <c r="AF122" i="21"/>
  <c r="AF119" i="21"/>
  <c r="AF116" i="21"/>
  <c r="AF113" i="21"/>
  <c r="AF153" i="21"/>
  <c r="AF144" i="21"/>
  <c r="AF156" i="21"/>
  <c r="AF134" i="21"/>
  <c r="AF13" i="21"/>
  <c r="AF10" i="21"/>
  <c r="AF7" i="21"/>
  <c r="AF4" i="21"/>
  <c r="AF150" i="21"/>
  <c r="AF141" i="21"/>
  <c r="AF50" i="21"/>
  <c r="AF48" i="21"/>
  <c r="AF44" i="21"/>
  <c r="AF40" i="21"/>
  <c r="AF35" i="21"/>
  <c r="AF31" i="21"/>
  <c r="AF26" i="21"/>
  <c r="AF22" i="21"/>
  <c r="AF133" i="21"/>
  <c r="AF45" i="21"/>
  <c r="AF36" i="21"/>
  <c r="AF27" i="21"/>
  <c r="AF18" i="21"/>
  <c r="AF128" i="21"/>
  <c r="AF125" i="21"/>
  <c r="AF108" i="21"/>
  <c r="AF105" i="21"/>
  <c r="AF102" i="21"/>
  <c r="AF99" i="21"/>
  <c r="AF96" i="21"/>
  <c r="AF93" i="21"/>
  <c r="AF90" i="21"/>
  <c r="AF87" i="21"/>
  <c r="AF84" i="21"/>
  <c r="AF81" i="21"/>
  <c r="AF78" i="21"/>
  <c r="AF75" i="21"/>
  <c r="AF72" i="21"/>
  <c r="AF69" i="21"/>
  <c r="AF66" i="21"/>
  <c r="AF63" i="21"/>
  <c r="AF60" i="21"/>
  <c r="AF57" i="21"/>
  <c r="AF54" i="21"/>
  <c r="AF15" i="21"/>
  <c r="AF12" i="21"/>
  <c r="AF9" i="21"/>
  <c r="AF6" i="21"/>
  <c r="AF3" i="21"/>
  <c r="AF51" i="21"/>
  <c r="AF46" i="21"/>
  <c r="AF41" i="21"/>
  <c r="AF37" i="21"/>
  <c r="AF32" i="21"/>
  <c r="AF28" i="21"/>
  <c r="AF23" i="21"/>
  <c r="AF19" i="21"/>
  <c r="AF171" i="21"/>
  <c r="AF129" i="21"/>
  <c r="AF104" i="21"/>
  <c r="AF95" i="21"/>
  <c r="AF86" i="21"/>
  <c r="AF77" i="21"/>
  <c r="AF68" i="21"/>
  <c r="AF59" i="21"/>
  <c r="AF43" i="21"/>
  <c r="AF38" i="21"/>
  <c r="AF168" i="21"/>
  <c r="AF106" i="21"/>
  <c r="AF97" i="21"/>
  <c r="AF88" i="21"/>
  <c r="AF79" i="21"/>
  <c r="AF70" i="21"/>
  <c r="AF61" i="21"/>
  <c r="AF52" i="21"/>
  <c r="AF137" i="21"/>
  <c r="AF165" i="21"/>
  <c r="AF103" i="21"/>
  <c r="AF94" i="21"/>
  <c r="AF85" i="21"/>
  <c r="AF76" i="21"/>
  <c r="AF67" i="21"/>
  <c r="AF58" i="21"/>
  <c r="AF126" i="21"/>
  <c r="AF107" i="21"/>
  <c r="AF98" i="21"/>
  <c r="AF89" i="21"/>
  <c r="AF80" i="21"/>
  <c r="AF71" i="21"/>
  <c r="AF62" i="21"/>
  <c r="AF53" i="21"/>
  <c r="AF47" i="21"/>
  <c r="AF25" i="21"/>
  <c r="AF20" i="21"/>
  <c r="AF11" i="21"/>
  <c r="AF5" i="21"/>
  <c r="AF100" i="21"/>
  <c r="AF64" i="21"/>
  <c r="AF33" i="21"/>
  <c r="AF21" i="21"/>
  <c r="AF17" i="21"/>
  <c r="AF92" i="21"/>
  <c r="AF74" i="21"/>
  <c r="AF30" i="21"/>
  <c r="AF56" i="21"/>
  <c r="AF42" i="21"/>
  <c r="AF14" i="21"/>
  <c r="AF110" i="21"/>
  <c r="AF91" i="21"/>
  <c r="AF8" i="21"/>
  <c r="AF73" i="21"/>
  <c r="AF109" i="21"/>
  <c r="AF49" i="21"/>
  <c r="AF39" i="21"/>
  <c r="AF34" i="21"/>
  <c r="AF83" i="21"/>
  <c r="AF65" i="21"/>
  <c r="AF55" i="21"/>
  <c r="AF29" i="21"/>
  <c r="AF24" i="21"/>
  <c r="AF101" i="21"/>
  <c r="AF82" i="21"/>
  <c r="AF16" i="21"/>
  <c r="AG1" i="21"/>
  <c r="AH190" i="20"/>
  <c r="AI190" i="20" s="1"/>
  <c r="AH187" i="20"/>
  <c r="AI187" i="20" s="1"/>
  <c r="AH184" i="20"/>
  <c r="AI184" i="20" s="1"/>
  <c r="AH181" i="20"/>
  <c r="AI181" i="20" s="1"/>
  <c r="AH178" i="20"/>
  <c r="AI178" i="20" s="1"/>
  <c r="AH175" i="20"/>
  <c r="AI175" i="20" s="1"/>
  <c r="AH172" i="20"/>
  <c r="AI172" i="20" s="1"/>
  <c r="AH169" i="20"/>
  <c r="AI169" i="20" s="1"/>
  <c r="AH166" i="20"/>
  <c r="AI166" i="20" s="1"/>
  <c r="AH163" i="20"/>
  <c r="AI163" i="20" s="1"/>
  <c r="AH160" i="20"/>
  <c r="AI160" i="20" s="1"/>
  <c r="AH157" i="20"/>
  <c r="AI157" i="20" s="1"/>
  <c r="AH154" i="20"/>
  <c r="AI154" i="20" s="1"/>
  <c r="AH151" i="20"/>
  <c r="AI151" i="20" s="1"/>
  <c r="AH148" i="20"/>
  <c r="AI148" i="20" s="1"/>
  <c r="AH145" i="20"/>
  <c r="AI145" i="20" s="1"/>
  <c r="AH189" i="20"/>
  <c r="AI189" i="20" s="1"/>
  <c r="AH188" i="20"/>
  <c r="AI188" i="20" s="1"/>
  <c r="AH180" i="20"/>
  <c r="AI180" i="20" s="1"/>
  <c r="AH179" i="20"/>
  <c r="AI179" i="20" s="1"/>
  <c r="AH171" i="20"/>
  <c r="AI171" i="20" s="1"/>
  <c r="AH170" i="20"/>
  <c r="AI170" i="20" s="1"/>
  <c r="AH162" i="20"/>
  <c r="AI162" i="20" s="1"/>
  <c r="AH161" i="20"/>
  <c r="AI161" i="20" s="1"/>
  <c r="AH186" i="20"/>
  <c r="AI186" i="20" s="1"/>
  <c r="AH185" i="20"/>
  <c r="AI185" i="20" s="1"/>
  <c r="AH177" i="20"/>
  <c r="AI177" i="20" s="1"/>
  <c r="AH176" i="20"/>
  <c r="AI176" i="20" s="1"/>
  <c r="AH168" i="20"/>
  <c r="AI168" i="20" s="1"/>
  <c r="AH167" i="20"/>
  <c r="AI167" i="20" s="1"/>
  <c r="AH159" i="20"/>
  <c r="AI159" i="20" s="1"/>
  <c r="AH158" i="20"/>
  <c r="AI158" i="20" s="1"/>
  <c r="AH136" i="20"/>
  <c r="AH127" i="20"/>
  <c r="AI127" i="20" s="1"/>
  <c r="AH122" i="20"/>
  <c r="AI122" i="20" s="1"/>
  <c r="AH183" i="20"/>
  <c r="AI183" i="20" s="1"/>
  <c r="AH156" i="20"/>
  <c r="AI156" i="20" s="1"/>
  <c r="AH142" i="20"/>
  <c r="AI142" i="20" s="1"/>
  <c r="AH131" i="20"/>
  <c r="AH126" i="20"/>
  <c r="AH117" i="20"/>
  <c r="AI117" i="20" s="1"/>
  <c r="AH108" i="20"/>
  <c r="AI108" i="20" s="1"/>
  <c r="AH99" i="20"/>
  <c r="AI99" i="20" s="1"/>
  <c r="AH90" i="20"/>
  <c r="AI90" i="20" s="1"/>
  <c r="AH81" i="20"/>
  <c r="AI81" i="20" s="1"/>
  <c r="AH72" i="20"/>
  <c r="AI72" i="20" s="1"/>
  <c r="AH173" i="20"/>
  <c r="AI173" i="20" s="1"/>
  <c r="AH121" i="20"/>
  <c r="AI121" i="20" s="1"/>
  <c r="AH112" i="20"/>
  <c r="AI112" i="20" s="1"/>
  <c r="AH103" i="20"/>
  <c r="AI103" i="20" s="1"/>
  <c r="AH94" i="20"/>
  <c r="AI94" i="20" s="1"/>
  <c r="AH85" i="20"/>
  <c r="AI85" i="20" s="1"/>
  <c r="AH76" i="20"/>
  <c r="AI76" i="20" s="1"/>
  <c r="AH174" i="20"/>
  <c r="AI174" i="20" s="1"/>
  <c r="AH153" i="20"/>
  <c r="AI153" i="20" s="1"/>
  <c r="AH120" i="20"/>
  <c r="AI120" i="20" s="1"/>
  <c r="AH111" i="20"/>
  <c r="AI111" i="20" s="1"/>
  <c r="AH102" i="20"/>
  <c r="AI102" i="20" s="1"/>
  <c r="AH93" i="20"/>
  <c r="AI93" i="20" s="1"/>
  <c r="AH84" i="20"/>
  <c r="AI84" i="20" s="1"/>
  <c r="AH75" i="20"/>
  <c r="AI75" i="20" s="1"/>
  <c r="AH152" i="20"/>
  <c r="AI152" i="20" s="1"/>
  <c r="AH146" i="20"/>
  <c r="AI146" i="20" s="1"/>
  <c r="AH144" i="20"/>
  <c r="AI144" i="20" s="1"/>
  <c r="AH139" i="20"/>
  <c r="AI139" i="20" s="1"/>
  <c r="AH119" i="20"/>
  <c r="AI119" i="20" s="1"/>
  <c r="AH110" i="20"/>
  <c r="AI110" i="20" s="1"/>
  <c r="AH101" i="20"/>
  <c r="AI101" i="20" s="1"/>
  <c r="AH92" i="20"/>
  <c r="AI92" i="20" s="1"/>
  <c r="AH149" i="20"/>
  <c r="AI149" i="20" s="1"/>
  <c r="AH165" i="20"/>
  <c r="AI165" i="20" s="1"/>
  <c r="AH150" i="20"/>
  <c r="AI150" i="20" s="1"/>
  <c r="AH141" i="20"/>
  <c r="AI141" i="20" s="1"/>
  <c r="AH130" i="20"/>
  <c r="AI130" i="20" s="1"/>
  <c r="AH114" i="20"/>
  <c r="AI114" i="20" s="1"/>
  <c r="AH104" i="20"/>
  <c r="AI104" i="20" s="1"/>
  <c r="AH140" i="20"/>
  <c r="AH129" i="20"/>
  <c r="AI129" i="20" s="1"/>
  <c r="AH107" i="20"/>
  <c r="AI107" i="20" s="1"/>
  <c r="AH89" i="20"/>
  <c r="AI89" i="20" s="1"/>
  <c r="AH87" i="20"/>
  <c r="AI87" i="20" s="1"/>
  <c r="AH78" i="20"/>
  <c r="AI78" i="20" s="1"/>
  <c r="AH69" i="20"/>
  <c r="AI69" i="20" s="1"/>
  <c r="AH57" i="20"/>
  <c r="AI57" i="20" s="1"/>
  <c r="AH48" i="20"/>
  <c r="AI48" i="20" s="1"/>
  <c r="AH39" i="20"/>
  <c r="AI39" i="20" s="1"/>
  <c r="AH36" i="20"/>
  <c r="AI36" i="20" s="1"/>
  <c r="AH33" i="20"/>
  <c r="AI33" i="20" s="1"/>
  <c r="AH30" i="20"/>
  <c r="AI30" i="20" s="1"/>
  <c r="AH27" i="20"/>
  <c r="AI27" i="20" s="1"/>
  <c r="AH24" i="20"/>
  <c r="AI24" i="20" s="1"/>
  <c r="AH21" i="20"/>
  <c r="AI21" i="20" s="1"/>
  <c r="AH18" i="20"/>
  <c r="AI18" i="20" s="1"/>
  <c r="AH15" i="20"/>
  <c r="AI15" i="20" s="1"/>
  <c r="AH12" i="20"/>
  <c r="AI12" i="20" s="1"/>
  <c r="AH9" i="20"/>
  <c r="AI9" i="20" s="1"/>
  <c r="AH6" i="20"/>
  <c r="AI6" i="20" s="1"/>
  <c r="AH3" i="20"/>
  <c r="AI3" i="20" s="1"/>
  <c r="AH100" i="20"/>
  <c r="AI100" i="20" s="1"/>
  <c r="AH91" i="20"/>
  <c r="AI91" i="20" s="1"/>
  <c r="AH52" i="20"/>
  <c r="AI52" i="20" s="1"/>
  <c r="AH43" i="20"/>
  <c r="AI43" i="20" s="1"/>
  <c r="AH128" i="20"/>
  <c r="AI128" i="20" s="1"/>
  <c r="AH97" i="20"/>
  <c r="AI97" i="20" s="1"/>
  <c r="AH95" i="20"/>
  <c r="AI95" i="20" s="1"/>
  <c r="AH164" i="20"/>
  <c r="AI164" i="20" s="1"/>
  <c r="AH138" i="20"/>
  <c r="AI138" i="20" s="1"/>
  <c r="AH118" i="20"/>
  <c r="AI118" i="20" s="1"/>
  <c r="AH113" i="20"/>
  <c r="AI113" i="20" s="1"/>
  <c r="AH56" i="20"/>
  <c r="AI56" i="20" s="1"/>
  <c r="AH47" i="20"/>
  <c r="AI47" i="20" s="1"/>
  <c r="AH38" i="20"/>
  <c r="AI38" i="20" s="1"/>
  <c r="AH182" i="20"/>
  <c r="AI182" i="20" s="1"/>
  <c r="AH155" i="20"/>
  <c r="AI155" i="20" s="1"/>
  <c r="AH137" i="20"/>
  <c r="AI137" i="20" s="1"/>
  <c r="AH106" i="20"/>
  <c r="AI106" i="20" s="1"/>
  <c r="AH79" i="20"/>
  <c r="AI79" i="20" s="1"/>
  <c r="AH70" i="20"/>
  <c r="AI70" i="20" s="1"/>
  <c r="AH51" i="20"/>
  <c r="AI51" i="20" s="1"/>
  <c r="AH42" i="20"/>
  <c r="AI42" i="20" s="1"/>
  <c r="AH34" i="20"/>
  <c r="AI34" i="20" s="1"/>
  <c r="AH31" i="20"/>
  <c r="AI31" i="20" s="1"/>
  <c r="AH28" i="20"/>
  <c r="AI28" i="20" s="1"/>
  <c r="AH25" i="20"/>
  <c r="AI25" i="20" s="1"/>
  <c r="AH22" i="20"/>
  <c r="AI22" i="20" s="1"/>
  <c r="AH19" i="20"/>
  <c r="AI19" i="20" s="1"/>
  <c r="AH16" i="20"/>
  <c r="AI16" i="20" s="1"/>
  <c r="AH13" i="20"/>
  <c r="AI13" i="20" s="1"/>
  <c r="AH10" i="20"/>
  <c r="AI10" i="20" s="1"/>
  <c r="AH7" i="20"/>
  <c r="AI7" i="20" s="1"/>
  <c r="AH4" i="20"/>
  <c r="AI4" i="20" s="1"/>
  <c r="AH125" i="20"/>
  <c r="AI125" i="20" s="1"/>
  <c r="AH116" i="20"/>
  <c r="AI116" i="20" s="1"/>
  <c r="AH109" i="20"/>
  <c r="AI109" i="20" s="1"/>
  <c r="AH82" i="20"/>
  <c r="AI82" i="20" s="1"/>
  <c r="AH73" i="20"/>
  <c r="AI73" i="20" s="1"/>
  <c r="AH55" i="20"/>
  <c r="AI55" i="20" s="1"/>
  <c r="AH46" i="20"/>
  <c r="AI46" i="20" s="1"/>
  <c r="AH37" i="20"/>
  <c r="AI37" i="20" s="1"/>
  <c r="AH135" i="20"/>
  <c r="AH88" i="20"/>
  <c r="AI88" i="20" s="1"/>
  <c r="AH67" i="20"/>
  <c r="AH64" i="20"/>
  <c r="AI64" i="20" s="1"/>
  <c r="AH61" i="20"/>
  <c r="AI61" i="20" s="1"/>
  <c r="AH134" i="20"/>
  <c r="AH124" i="20"/>
  <c r="AI124" i="20" s="1"/>
  <c r="AH105" i="20"/>
  <c r="AI105" i="20" s="1"/>
  <c r="AH96" i="20"/>
  <c r="AI96" i="20" s="1"/>
  <c r="AH66" i="20"/>
  <c r="AI66" i="20" s="1"/>
  <c r="AH65" i="20"/>
  <c r="AI65" i="20" s="1"/>
  <c r="AH63" i="20"/>
  <c r="AI63" i="20" s="1"/>
  <c r="AH62" i="20"/>
  <c r="AI62" i="20" s="1"/>
  <c r="AH60" i="20"/>
  <c r="AI60" i="20" s="1"/>
  <c r="AH59" i="20"/>
  <c r="AI59" i="20" s="1"/>
  <c r="AH50" i="20"/>
  <c r="AI50" i="20" s="1"/>
  <c r="AH41" i="20"/>
  <c r="AI41" i="20" s="1"/>
  <c r="AH133" i="20"/>
  <c r="AH123" i="20"/>
  <c r="AI123" i="20" s="1"/>
  <c r="AH115" i="20"/>
  <c r="AI115" i="20" s="1"/>
  <c r="AH98" i="20"/>
  <c r="AI98" i="20" s="1"/>
  <c r="AH83" i="20"/>
  <c r="AI83" i="20" s="1"/>
  <c r="AH80" i="20"/>
  <c r="AI80" i="20" s="1"/>
  <c r="AH74" i="20"/>
  <c r="AI74" i="20" s="1"/>
  <c r="AH71" i="20"/>
  <c r="AI71" i="20" s="1"/>
  <c r="AH54" i="20"/>
  <c r="AI54" i="20" s="1"/>
  <c r="AH45" i="20"/>
  <c r="AI45" i="20" s="1"/>
  <c r="AH35" i="20"/>
  <c r="AI35" i="20" s="1"/>
  <c r="AH32" i="20"/>
  <c r="AI32" i="20" s="1"/>
  <c r="AH29" i="20"/>
  <c r="AI29" i="20" s="1"/>
  <c r="AH26" i="20"/>
  <c r="AI26" i="20" s="1"/>
  <c r="AH23" i="20"/>
  <c r="AI23" i="20" s="1"/>
  <c r="AH20" i="20"/>
  <c r="AI20" i="20" s="1"/>
  <c r="AH17" i="20"/>
  <c r="AI17" i="20" s="1"/>
  <c r="AH14" i="20"/>
  <c r="AI14" i="20" s="1"/>
  <c r="AH11" i="20"/>
  <c r="AI11" i="20" s="1"/>
  <c r="AH8" i="20"/>
  <c r="AI8" i="20" s="1"/>
  <c r="AH5" i="20"/>
  <c r="AI5" i="20" s="1"/>
  <c r="AH86" i="20"/>
  <c r="AI86" i="20" s="1"/>
  <c r="AH68" i="20"/>
  <c r="AI68" i="20" s="1"/>
  <c r="AH147" i="20"/>
  <c r="AI147" i="20" s="1"/>
  <c r="AH53" i="20"/>
  <c r="AI53" i="20" s="1"/>
  <c r="AH58" i="20"/>
  <c r="AI58" i="20" s="1"/>
  <c r="AH143" i="20"/>
  <c r="AI143" i="20" s="1"/>
  <c r="AH132" i="20"/>
  <c r="AH40" i="20"/>
  <c r="AI40" i="20" s="1"/>
  <c r="AH44" i="20"/>
  <c r="AI44" i="20" s="1"/>
  <c r="AH49" i="20"/>
  <c r="AI49" i="20" s="1"/>
  <c r="AH77" i="20"/>
  <c r="AI77" i="20" s="1"/>
  <c r="AF189" i="19"/>
  <c r="AF186" i="19"/>
  <c r="AF183" i="19"/>
  <c r="AF180" i="19"/>
  <c r="AF177" i="19"/>
  <c r="AF187" i="19"/>
  <c r="AF178" i="19"/>
  <c r="AF138" i="19"/>
  <c r="AF133" i="19"/>
  <c r="AF65" i="19"/>
  <c r="AF62" i="19"/>
  <c r="AF59" i="19"/>
  <c r="AF56" i="19"/>
  <c r="AF53" i="19"/>
  <c r="AF50" i="19"/>
  <c r="AF47" i="19"/>
  <c r="AF44" i="19"/>
  <c r="AF41" i="19"/>
  <c r="AF38" i="19"/>
  <c r="AF35" i="19"/>
  <c r="AF32" i="19"/>
  <c r="AF29" i="19"/>
  <c r="AF26" i="19"/>
  <c r="AF23" i="19"/>
  <c r="AF20" i="19"/>
  <c r="AF17" i="19"/>
  <c r="AF14" i="19"/>
  <c r="AF11" i="19"/>
  <c r="AF8" i="19"/>
  <c r="AF5" i="19"/>
  <c r="AF174" i="19"/>
  <c r="AF171" i="19"/>
  <c r="AF168" i="19"/>
  <c r="AF165" i="19"/>
  <c r="AF162" i="19"/>
  <c r="AF159" i="19"/>
  <c r="AF156" i="19"/>
  <c r="AF153" i="19"/>
  <c r="AF150" i="19"/>
  <c r="AF147" i="19"/>
  <c r="AF144" i="19"/>
  <c r="AF141" i="19"/>
  <c r="AF125" i="19"/>
  <c r="AF122" i="19"/>
  <c r="AF119" i="19"/>
  <c r="AF116" i="19"/>
  <c r="AF113" i="19"/>
  <c r="AF110" i="19"/>
  <c r="AF107" i="19"/>
  <c r="AF104" i="19"/>
  <c r="AF101" i="19"/>
  <c r="AF98" i="19"/>
  <c r="AF95" i="19"/>
  <c r="AF92" i="19"/>
  <c r="AF89" i="19"/>
  <c r="AF86" i="19"/>
  <c r="AF83" i="19"/>
  <c r="AF80" i="19"/>
  <c r="AF77" i="19"/>
  <c r="AF74" i="19"/>
  <c r="AF71" i="19"/>
  <c r="AF68" i="19"/>
  <c r="AF185" i="19"/>
  <c r="AF176" i="19"/>
  <c r="AF131" i="19"/>
  <c r="AF128" i="19"/>
  <c r="AF182" i="19"/>
  <c r="AF129" i="19"/>
  <c r="AF190" i="19"/>
  <c r="AF130" i="19"/>
  <c r="AF63" i="19"/>
  <c r="AF54" i="19"/>
  <c r="AF45" i="19"/>
  <c r="AF36" i="19"/>
  <c r="AF27" i="19"/>
  <c r="AF18" i="19"/>
  <c r="AF9" i="19"/>
  <c r="AF170" i="19"/>
  <c r="AF161" i="19"/>
  <c r="AF152" i="19"/>
  <c r="AF143" i="19"/>
  <c r="AF126" i="19"/>
  <c r="AF117" i="19"/>
  <c r="AF108" i="19"/>
  <c r="AF99" i="19"/>
  <c r="AF90" i="19"/>
  <c r="AF81" i="19"/>
  <c r="AF72" i="19"/>
  <c r="AF139" i="19"/>
  <c r="AF61" i="19"/>
  <c r="AF52" i="19"/>
  <c r="AF43" i="19"/>
  <c r="AF34" i="19"/>
  <c r="AF25" i="19"/>
  <c r="AF16" i="19"/>
  <c r="AF7" i="19"/>
  <c r="AF179" i="19"/>
  <c r="AF166" i="19"/>
  <c r="AF157" i="19"/>
  <c r="AF148" i="19"/>
  <c r="AF124" i="19"/>
  <c r="AF115" i="19"/>
  <c r="AF106" i="19"/>
  <c r="AF97" i="19"/>
  <c r="AF88" i="19"/>
  <c r="AF79" i="19"/>
  <c r="AF70" i="19"/>
  <c r="AF188" i="19"/>
  <c r="AF173" i="19"/>
  <c r="AF164" i="19"/>
  <c r="AF155" i="19"/>
  <c r="AF146" i="19"/>
  <c r="AF135" i="19"/>
  <c r="AF120" i="19"/>
  <c r="AF111" i="19"/>
  <c r="AF102" i="19"/>
  <c r="AF93" i="19"/>
  <c r="AF84" i="19"/>
  <c r="AF75" i="19"/>
  <c r="AF64" i="19"/>
  <c r="AF55" i="19"/>
  <c r="AF46" i="19"/>
  <c r="AF37" i="19"/>
  <c r="AF28" i="19"/>
  <c r="AF19" i="19"/>
  <c r="AF10" i="19"/>
  <c r="AF175" i="19"/>
  <c r="AF140" i="19"/>
  <c r="AF127" i="19"/>
  <c r="AF60" i="19"/>
  <c r="AF51" i="19"/>
  <c r="AF42" i="19"/>
  <c r="AF33" i="19"/>
  <c r="AF24" i="19"/>
  <c r="AF15" i="19"/>
  <c r="AF6" i="19"/>
  <c r="AF91" i="19"/>
  <c r="AF85" i="19"/>
  <c r="AF57" i="19"/>
  <c r="AF21" i="19"/>
  <c r="AF181" i="19"/>
  <c r="AF137" i="19"/>
  <c r="AF109" i="19"/>
  <c r="AF103" i="19"/>
  <c r="AF3" i="19"/>
  <c r="AF160" i="19"/>
  <c r="AF154" i="19"/>
  <c r="AF184" i="19"/>
  <c r="AF132" i="19"/>
  <c r="AF118" i="19"/>
  <c r="AF112" i="19"/>
  <c r="AF169" i="19"/>
  <c r="AF163" i="19"/>
  <c r="AF149" i="19"/>
  <c r="AF121" i="19"/>
  <c r="AF73" i="19"/>
  <c r="AF39" i="19"/>
  <c r="AF114" i="19"/>
  <c r="AF105" i="19"/>
  <c r="AF31" i="19"/>
  <c r="AF151" i="19"/>
  <c r="AF82" i="19"/>
  <c r="AF66" i="19"/>
  <c r="AF13" i="19"/>
  <c r="AF100" i="19"/>
  <c r="AF172" i="19"/>
  <c r="AF134" i="19"/>
  <c r="AF40" i="19"/>
  <c r="AF158" i="19"/>
  <c r="AF142" i="19"/>
  <c r="AF123" i="19"/>
  <c r="AF167" i="19"/>
  <c r="AF136" i="19"/>
  <c r="AF49" i="19"/>
  <c r="AF22" i="19"/>
  <c r="AF4" i="19"/>
  <c r="AF67" i="19"/>
  <c r="AF76" i="19"/>
  <c r="AG1" i="19"/>
  <c r="AF58" i="19"/>
  <c r="AF30" i="19"/>
  <c r="AF12" i="19"/>
  <c r="AF96" i="19"/>
  <c r="AF145" i="19"/>
  <c r="AF48" i="19"/>
  <c r="AF87" i="19"/>
  <c r="AF94" i="19"/>
  <c r="AF78" i="19"/>
  <c r="AF69" i="19"/>
  <c r="AF174" i="26"/>
  <c r="AF171" i="26"/>
  <c r="AF168" i="26"/>
  <c r="AF165" i="26"/>
  <c r="AF162" i="26"/>
  <c r="AF159" i="26"/>
  <c r="AF176" i="26"/>
  <c r="AF167" i="26"/>
  <c r="AF169" i="26"/>
  <c r="AF160" i="26"/>
  <c r="AF156" i="26"/>
  <c r="AF153" i="26"/>
  <c r="AF150" i="26"/>
  <c r="AF147" i="26"/>
  <c r="AF144" i="26"/>
  <c r="AF141" i="26"/>
  <c r="AF138" i="26"/>
  <c r="AF135" i="26"/>
  <c r="AF173" i="26"/>
  <c r="AF164" i="26"/>
  <c r="AF175" i="26"/>
  <c r="AF154" i="26"/>
  <c r="AF145" i="26"/>
  <c r="AF136" i="26"/>
  <c r="AF131" i="26"/>
  <c r="AF161" i="26"/>
  <c r="AF129" i="26"/>
  <c r="AF127" i="26"/>
  <c r="AF123" i="26"/>
  <c r="AF114" i="26"/>
  <c r="AF110" i="26"/>
  <c r="AF107" i="26"/>
  <c r="AF104" i="26"/>
  <c r="AF101" i="26"/>
  <c r="AF98" i="26"/>
  <c r="AF95" i="26"/>
  <c r="AF92" i="26"/>
  <c r="AF89" i="26"/>
  <c r="AF86" i="26"/>
  <c r="AF83" i="26"/>
  <c r="AF80" i="26"/>
  <c r="AF77" i="26"/>
  <c r="AF74" i="26"/>
  <c r="AF71" i="26"/>
  <c r="AF155" i="26"/>
  <c r="AF146" i="26"/>
  <c r="AF137" i="26"/>
  <c r="AF166" i="26"/>
  <c r="AF157" i="26"/>
  <c r="AF148" i="26"/>
  <c r="AF139" i="26"/>
  <c r="AF128" i="26"/>
  <c r="AF124" i="26"/>
  <c r="AF115" i="26"/>
  <c r="AF111" i="26"/>
  <c r="AF108" i="26"/>
  <c r="AF105" i="26"/>
  <c r="AF102" i="26"/>
  <c r="AF99" i="26"/>
  <c r="AF96" i="26"/>
  <c r="AF93" i="26"/>
  <c r="AF90" i="26"/>
  <c r="AF87" i="26"/>
  <c r="AF84" i="26"/>
  <c r="AF81" i="26"/>
  <c r="AF78" i="26"/>
  <c r="AF75" i="26"/>
  <c r="AF72" i="26"/>
  <c r="AF172" i="26"/>
  <c r="AF149" i="26"/>
  <c r="AF140" i="26"/>
  <c r="AF158" i="26"/>
  <c r="AF151" i="26"/>
  <c r="AF142" i="26"/>
  <c r="AF133" i="26"/>
  <c r="AF132" i="26"/>
  <c r="AF163" i="26"/>
  <c r="AF152" i="26"/>
  <c r="AF143" i="26"/>
  <c r="AF134" i="26"/>
  <c r="AF67" i="26"/>
  <c r="AF64" i="26"/>
  <c r="AF61" i="26"/>
  <c r="AF58" i="26"/>
  <c r="AF55" i="26"/>
  <c r="AF52" i="26"/>
  <c r="AF130" i="26"/>
  <c r="AF125" i="26"/>
  <c r="AF69" i="26"/>
  <c r="AF66" i="26"/>
  <c r="AF63" i="26"/>
  <c r="AF60" i="26"/>
  <c r="AF57" i="26"/>
  <c r="AF54" i="26"/>
  <c r="AF62" i="26"/>
  <c r="AF53" i="26"/>
  <c r="AF48" i="26"/>
  <c r="AF45" i="26"/>
  <c r="AF42" i="26"/>
  <c r="AF39" i="26"/>
  <c r="AF36" i="26"/>
  <c r="AF33" i="26"/>
  <c r="AF30" i="26"/>
  <c r="AF27" i="26"/>
  <c r="AF24" i="26"/>
  <c r="AF21" i="26"/>
  <c r="AF18" i="26"/>
  <c r="AF15" i="26"/>
  <c r="AF12" i="26"/>
  <c r="AF9" i="26"/>
  <c r="AF6" i="26"/>
  <c r="AF3" i="26"/>
  <c r="AF70" i="26"/>
  <c r="AF170" i="26"/>
  <c r="AF65" i="26"/>
  <c r="AF56" i="26"/>
  <c r="AF49" i="26"/>
  <c r="AF46" i="26"/>
  <c r="AF43" i="26"/>
  <c r="AF40" i="26"/>
  <c r="AF37" i="26"/>
  <c r="AF34" i="26"/>
  <c r="AF31" i="26"/>
  <c r="AF28" i="26"/>
  <c r="AF25" i="26"/>
  <c r="AF22" i="26"/>
  <c r="AF19" i="26"/>
  <c r="AF16" i="26"/>
  <c r="AF13" i="26"/>
  <c r="AF10" i="26"/>
  <c r="AF7" i="26"/>
  <c r="AF4" i="26"/>
  <c r="AG1" i="26"/>
  <c r="AF116" i="26"/>
  <c r="AF106" i="26"/>
  <c r="AF97" i="26"/>
  <c r="AF88" i="26"/>
  <c r="AF79" i="26"/>
  <c r="AF103" i="26"/>
  <c r="AF76" i="26"/>
  <c r="AF68" i="26"/>
  <c r="AF50" i="26"/>
  <c r="AF100" i="26"/>
  <c r="AF73" i="26"/>
  <c r="AF113" i="26"/>
  <c r="AF85" i="26"/>
  <c r="AF51" i="26"/>
  <c r="AF91" i="26"/>
  <c r="AF20" i="26"/>
  <c r="AF17" i="26"/>
  <c r="AF82" i="26"/>
  <c r="AF44" i="26"/>
  <c r="AF41" i="26"/>
  <c r="AF14" i="26"/>
  <c r="AF59" i="26"/>
  <c r="AF47" i="26"/>
  <c r="AF38" i="26"/>
  <c r="AF35" i="26"/>
  <c r="AF11" i="26"/>
  <c r="AF8" i="26"/>
  <c r="AF32" i="26"/>
  <c r="AF5" i="26"/>
  <c r="AF109" i="26"/>
  <c r="AF23" i="26"/>
  <c r="AF29" i="26"/>
  <c r="AF94" i="26"/>
  <c r="AF26" i="26"/>
  <c r="AG191" i="16"/>
  <c r="AG188" i="16"/>
  <c r="AG185" i="16"/>
  <c r="AG182" i="16"/>
  <c r="AG179" i="16"/>
  <c r="AG176" i="16"/>
  <c r="AG192" i="16"/>
  <c r="AG189" i="16"/>
  <c r="AG186" i="16"/>
  <c r="AG183" i="16"/>
  <c r="AG180" i="16"/>
  <c r="AG177" i="16"/>
  <c r="AG193" i="16"/>
  <c r="AG190" i="16"/>
  <c r="AG187" i="16"/>
  <c r="AG184" i="16"/>
  <c r="AG181" i="16"/>
  <c r="AG178" i="16"/>
  <c r="AG143" i="16"/>
  <c r="AG140" i="16"/>
  <c r="AG67" i="16"/>
  <c r="AG64" i="16"/>
  <c r="AG61" i="16"/>
  <c r="AG58" i="16"/>
  <c r="AG55" i="16"/>
  <c r="AG52" i="16"/>
  <c r="AG49" i="16"/>
  <c r="AG46" i="16"/>
  <c r="AG43" i="16"/>
  <c r="AG40" i="16"/>
  <c r="AG37" i="16"/>
  <c r="AG34" i="16"/>
  <c r="AG31" i="16"/>
  <c r="AG28" i="16"/>
  <c r="AG25" i="16"/>
  <c r="AG22" i="16"/>
  <c r="AG19" i="16"/>
  <c r="AG16" i="16"/>
  <c r="AG13" i="16"/>
  <c r="AG10" i="16"/>
  <c r="AG7" i="16"/>
  <c r="AG4" i="16"/>
  <c r="AG127" i="16"/>
  <c r="AG173" i="16"/>
  <c r="AG170" i="16"/>
  <c r="AG167" i="16"/>
  <c r="AG164" i="16"/>
  <c r="AG161" i="16"/>
  <c r="AG158" i="16"/>
  <c r="AG155" i="16"/>
  <c r="AG152" i="16"/>
  <c r="AG149" i="16"/>
  <c r="AG146" i="16"/>
  <c r="AG141" i="16"/>
  <c r="AG136" i="16"/>
  <c r="AG134" i="16"/>
  <c r="AG131" i="16"/>
  <c r="AG142" i="16"/>
  <c r="AG66" i="16"/>
  <c r="AG63" i="16"/>
  <c r="AG60" i="16"/>
  <c r="AG57" i="16"/>
  <c r="AG54" i="16"/>
  <c r="AG51" i="16"/>
  <c r="AG48" i="16"/>
  <c r="AG45" i="16"/>
  <c r="AG42" i="16"/>
  <c r="AG39" i="16"/>
  <c r="AG36" i="16"/>
  <c r="AG33" i="16"/>
  <c r="AG30" i="16"/>
  <c r="AG27" i="16"/>
  <c r="AG24" i="16"/>
  <c r="AG21" i="16"/>
  <c r="AG18" i="16"/>
  <c r="AG15" i="16"/>
  <c r="AG12" i="16"/>
  <c r="AG9" i="16"/>
  <c r="AG6" i="16"/>
  <c r="AG3" i="16"/>
  <c r="AG175" i="16"/>
  <c r="AG166" i="16"/>
  <c r="AG157" i="16"/>
  <c r="AG148" i="16"/>
  <c r="AG139" i="16"/>
  <c r="AG137" i="16"/>
  <c r="AG126" i="16"/>
  <c r="AG122" i="16"/>
  <c r="AG113" i="16"/>
  <c r="AG104" i="16"/>
  <c r="AG95" i="16"/>
  <c r="AG86" i="16"/>
  <c r="AG77" i="16"/>
  <c r="AG135" i="16"/>
  <c r="AG118" i="16"/>
  <c r="AG109" i="16"/>
  <c r="AG100" i="16"/>
  <c r="AG91" i="16"/>
  <c r="AG82" i="16"/>
  <c r="AG73" i="16"/>
  <c r="AG133" i="16"/>
  <c r="AG123" i="16"/>
  <c r="AG114" i="16"/>
  <c r="AG105" i="16"/>
  <c r="AG96" i="16"/>
  <c r="AG87" i="16"/>
  <c r="AG78" i="16"/>
  <c r="AG69" i="16"/>
  <c r="AG68" i="16"/>
  <c r="AG65" i="16"/>
  <c r="AG62" i="16"/>
  <c r="AG59" i="16"/>
  <c r="AG56" i="16"/>
  <c r="AG53" i="16"/>
  <c r="AG50" i="16"/>
  <c r="AG47" i="16"/>
  <c r="AG44" i="16"/>
  <c r="AG41" i="16"/>
  <c r="AG38" i="16"/>
  <c r="AG35" i="16"/>
  <c r="AG32" i="16"/>
  <c r="AG29" i="16"/>
  <c r="AG26" i="16"/>
  <c r="AG23" i="16"/>
  <c r="AG20" i="16"/>
  <c r="AG17" i="16"/>
  <c r="AG14" i="16"/>
  <c r="AG11" i="16"/>
  <c r="AG8" i="16"/>
  <c r="AG5" i="16"/>
  <c r="AG171" i="16"/>
  <c r="AG162" i="16"/>
  <c r="AG153" i="16"/>
  <c r="AG144" i="16"/>
  <c r="AG110" i="16"/>
  <c r="AG92" i="16"/>
  <c r="AG74" i="16"/>
  <c r="AH1" i="16"/>
  <c r="AG169" i="16"/>
  <c r="AG160" i="16"/>
  <c r="AG151" i="16"/>
  <c r="AG129" i="16"/>
  <c r="AG119" i="16"/>
  <c r="AG101" i="16"/>
  <c r="AG83" i="16"/>
  <c r="AG124" i="16"/>
  <c r="AG115" i="16"/>
  <c r="AG106" i="16"/>
  <c r="AG97" i="16"/>
  <c r="AG88" i="16"/>
  <c r="AG79" i="16"/>
  <c r="AG70" i="16"/>
  <c r="AG138" i="16"/>
  <c r="AG120" i="16"/>
  <c r="AG111" i="16"/>
  <c r="AG102" i="16"/>
  <c r="AG93" i="16"/>
  <c r="AG84" i="16"/>
  <c r="AG75" i="16"/>
  <c r="AG107" i="16"/>
  <c r="AG80" i="16"/>
  <c r="AG174" i="16"/>
  <c r="AG165" i="16"/>
  <c r="AG156" i="16"/>
  <c r="AG147" i="16"/>
  <c r="AG154" i="16"/>
  <c r="AG125" i="16"/>
  <c r="AG116" i="16"/>
  <c r="AG98" i="16"/>
  <c r="AG71" i="16"/>
  <c r="AG172" i="16"/>
  <c r="AG163" i="16"/>
  <c r="AG145" i="16"/>
  <c r="AG89" i="16"/>
  <c r="AG128" i="16"/>
  <c r="AG132" i="16"/>
  <c r="AG121" i="16"/>
  <c r="AG112" i="16"/>
  <c r="AG103" i="16"/>
  <c r="AG94" i="16"/>
  <c r="AG85" i="16"/>
  <c r="AG76" i="16"/>
  <c r="AG130" i="16"/>
  <c r="AG117" i="16"/>
  <c r="AG108" i="16"/>
  <c r="AG99" i="16"/>
  <c r="AG90" i="16"/>
  <c r="AG81" i="16"/>
  <c r="AG72" i="16"/>
  <c r="AG168" i="16"/>
  <c r="AG159" i="16"/>
  <c r="AG150" i="16"/>
  <c r="AG126" i="23" l="1"/>
  <c r="AG131" i="23"/>
  <c r="AG134" i="23"/>
  <c r="AG185" i="23"/>
  <c r="AG182" i="23"/>
  <c r="AG179" i="23"/>
  <c r="AG176" i="23"/>
  <c r="AG173" i="23"/>
  <c r="AG170" i="23"/>
  <c r="AG167" i="23"/>
  <c r="AG164" i="23"/>
  <c r="AG161" i="23"/>
  <c r="AG158" i="23"/>
  <c r="AG155" i="23"/>
  <c r="AG152" i="23"/>
  <c r="AG149" i="23"/>
  <c r="AG146" i="23"/>
  <c r="AG143" i="23"/>
  <c r="AG140" i="23"/>
  <c r="AG137" i="23"/>
  <c r="AG129" i="23"/>
  <c r="AG121" i="23"/>
  <c r="AG118" i="23"/>
  <c r="AG124" i="23"/>
  <c r="AG135" i="23"/>
  <c r="AG132" i="23"/>
  <c r="AG183" i="23"/>
  <c r="AG180" i="23"/>
  <c r="AG177" i="23"/>
  <c r="AG174" i="23"/>
  <c r="AG171" i="23"/>
  <c r="AG168" i="23"/>
  <c r="AG165" i="23"/>
  <c r="AG162" i="23"/>
  <c r="AG159" i="23"/>
  <c r="AG156" i="23"/>
  <c r="AG153" i="23"/>
  <c r="AG150" i="23"/>
  <c r="AG147" i="23"/>
  <c r="AG144" i="23"/>
  <c r="AG141" i="23"/>
  <c r="AG138" i="23"/>
  <c r="AG119" i="23"/>
  <c r="AG133" i="23"/>
  <c r="AG128" i="23"/>
  <c r="AG127" i="23"/>
  <c r="AG120" i="23"/>
  <c r="AG184" i="23"/>
  <c r="AG157" i="23"/>
  <c r="AG160" i="23"/>
  <c r="AG123" i="23"/>
  <c r="AG117" i="23"/>
  <c r="AG113" i="23"/>
  <c r="AG108" i="23"/>
  <c r="AG104" i="23"/>
  <c r="AG99" i="23"/>
  <c r="AG95" i="23"/>
  <c r="AG178" i="23"/>
  <c r="AG151" i="23"/>
  <c r="AG181" i="23"/>
  <c r="AG154" i="23"/>
  <c r="AG130" i="23"/>
  <c r="AG125" i="23"/>
  <c r="AG114" i="23"/>
  <c r="AG110" i="23"/>
  <c r="AG105" i="23"/>
  <c r="AG101" i="23"/>
  <c r="AG88" i="23"/>
  <c r="AG163" i="23"/>
  <c r="AG83" i="23"/>
  <c r="AG81" i="23"/>
  <c r="AG78" i="23"/>
  <c r="AG75" i="23"/>
  <c r="AG72" i="23"/>
  <c r="AG69" i="23"/>
  <c r="AG66" i="23"/>
  <c r="AG166" i="23"/>
  <c r="AG96" i="23"/>
  <c r="AG169" i="23"/>
  <c r="AG87" i="23"/>
  <c r="AG172" i="23"/>
  <c r="AG116" i="23"/>
  <c r="AG115" i="23"/>
  <c r="AG94" i="23"/>
  <c r="AG93" i="23"/>
  <c r="AG92" i="23"/>
  <c r="AG86" i="23"/>
  <c r="AG82" i="23"/>
  <c r="AG79" i="23"/>
  <c r="AG76" i="23"/>
  <c r="AG73" i="23"/>
  <c r="AG70" i="23"/>
  <c r="AG67" i="23"/>
  <c r="AG148" i="23"/>
  <c r="AG145" i="23"/>
  <c r="AG142" i="23"/>
  <c r="AG122" i="23"/>
  <c r="AG111" i="23"/>
  <c r="AG109" i="23"/>
  <c r="AG100" i="23"/>
  <c r="AG90" i="23"/>
  <c r="AG139" i="23"/>
  <c r="AG107" i="23"/>
  <c r="AG106" i="23"/>
  <c r="AG85" i="23"/>
  <c r="AG136" i="23"/>
  <c r="AG89" i="23"/>
  <c r="AG80" i="23"/>
  <c r="AG77" i="23"/>
  <c r="AG74" i="23"/>
  <c r="AG71" i="23"/>
  <c r="AG68" i="23"/>
  <c r="AG65" i="23"/>
  <c r="AG62" i="23"/>
  <c r="AG59" i="23"/>
  <c r="AG56" i="23"/>
  <c r="AG53" i="23"/>
  <c r="AG50" i="23"/>
  <c r="AG103" i="23"/>
  <c r="AG98" i="23"/>
  <c r="AG58" i="23"/>
  <c r="AG49" i="23"/>
  <c r="AG48" i="23"/>
  <c r="AG46" i="23"/>
  <c r="AG43" i="23"/>
  <c r="AG40" i="23"/>
  <c r="AG37" i="23"/>
  <c r="AG34" i="23"/>
  <c r="AG31" i="23"/>
  <c r="AG28" i="23"/>
  <c r="AG25" i="23"/>
  <c r="AG22" i="23"/>
  <c r="AG19" i="23"/>
  <c r="AG16" i="23"/>
  <c r="AG13" i="23"/>
  <c r="AG10" i="23"/>
  <c r="AG7" i="23"/>
  <c r="AG4" i="23"/>
  <c r="AG102" i="23"/>
  <c r="AG60" i="23"/>
  <c r="AG175" i="23"/>
  <c r="AG91" i="23"/>
  <c r="AG61" i="23"/>
  <c r="AH1" i="23"/>
  <c r="AG112" i="23"/>
  <c r="AG97" i="23"/>
  <c r="AG47" i="23"/>
  <c r="AG44" i="23"/>
  <c r="AG41" i="23"/>
  <c r="AG38" i="23"/>
  <c r="AG35" i="23"/>
  <c r="AG32" i="23"/>
  <c r="AG29" i="23"/>
  <c r="AG26" i="23"/>
  <c r="AG23" i="23"/>
  <c r="AG20" i="23"/>
  <c r="AG17" i="23"/>
  <c r="AG14" i="23"/>
  <c r="AG11" i="23"/>
  <c r="AG8" i="23"/>
  <c r="AG5" i="23"/>
  <c r="AG63" i="23"/>
  <c r="AG54" i="23"/>
  <c r="AG64" i="23"/>
  <c r="AG52" i="23"/>
  <c r="AG51" i="23"/>
  <c r="AG45" i="23"/>
  <c r="AG42" i="23"/>
  <c r="AG39" i="23"/>
  <c r="AG36" i="23"/>
  <c r="AG33" i="23"/>
  <c r="AG30" i="23"/>
  <c r="AG27" i="23"/>
  <c r="AG24" i="23"/>
  <c r="AG21" i="23"/>
  <c r="AG18" i="23"/>
  <c r="AG15" i="23"/>
  <c r="AG12" i="23"/>
  <c r="AG9" i="23"/>
  <c r="AG6" i="23"/>
  <c r="AG3" i="23"/>
  <c r="AG57" i="23"/>
  <c r="AG55" i="23"/>
  <c r="AG84" i="23"/>
  <c r="AG176" i="27"/>
  <c r="AG173" i="27"/>
  <c r="AG170" i="27"/>
  <c r="AG167" i="27"/>
  <c r="AG164" i="27"/>
  <c r="AG161" i="27"/>
  <c r="AG158" i="27"/>
  <c r="AG155" i="27"/>
  <c r="AG152" i="27"/>
  <c r="AG149" i="27"/>
  <c r="AG146" i="27"/>
  <c r="AG174" i="27"/>
  <c r="AG171" i="27"/>
  <c r="AG168" i="27"/>
  <c r="AG165" i="27"/>
  <c r="AG162" i="27"/>
  <c r="AG159" i="27"/>
  <c r="AG156" i="27"/>
  <c r="AG153" i="27"/>
  <c r="AG150" i="27"/>
  <c r="AG147" i="27"/>
  <c r="AG175" i="27"/>
  <c r="AG172" i="27"/>
  <c r="AG169" i="27"/>
  <c r="AG166" i="27"/>
  <c r="AG163" i="27"/>
  <c r="AG160" i="27"/>
  <c r="AG157" i="27"/>
  <c r="AG154" i="27"/>
  <c r="AG151" i="27"/>
  <c r="AG148" i="27"/>
  <c r="AG145" i="27"/>
  <c r="AG142" i="27"/>
  <c r="AG139" i="27"/>
  <c r="AG136" i="27"/>
  <c r="AG133" i="27"/>
  <c r="AG130" i="27"/>
  <c r="AG127" i="27"/>
  <c r="AG123" i="27"/>
  <c r="AG114" i="27"/>
  <c r="AG110" i="27"/>
  <c r="AG143" i="27"/>
  <c r="AG140" i="27"/>
  <c r="AG137" i="27"/>
  <c r="AG134" i="27"/>
  <c r="AG131" i="27"/>
  <c r="AG128" i="27"/>
  <c r="AG124" i="27"/>
  <c r="AG115" i="27"/>
  <c r="AG111" i="27"/>
  <c r="AG108" i="27"/>
  <c r="AG105" i="27"/>
  <c r="AG102" i="27"/>
  <c r="AG99" i="27"/>
  <c r="AG96" i="27"/>
  <c r="AG93" i="27"/>
  <c r="AG90" i="27"/>
  <c r="AG87" i="27"/>
  <c r="AG109" i="27"/>
  <c r="AG106" i="27"/>
  <c r="AG103" i="27"/>
  <c r="AG100" i="27"/>
  <c r="AG97" i="27"/>
  <c r="AG94" i="27"/>
  <c r="AG91" i="27"/>
  <c r="AG88" i="27"/>
  <c r="AG107" i="27"/>
  <c r="AG104" i="27"/>
  <c r="AG101" i="27"/>
  <c r="AG98" i="27"/>
  <c r="AG95" i="27"/>
  <c r="AG92" i="27"/>
  <c r="AG86" i="27"/>
  <c r="AG89" i="27"/>
  <c r="AG84" i="27"/>
  <c r="AG81" i="27"/>
  <c r="AG78" i="27"/>
  <c r="AG75" i="27"/>
  <c r="AG72" i="27"/>
  <c r="AG69" i="27"/>
  <c r="AG66" i="27"/>
  <c r="AG63" i="27"/>
  <c r="AG141" i="27"/>
  <c r="AG135" i="27"/>
  <c r="AG129" i="27"/>
  <c r="AG116" i="27"/>
  <c r="AG85" i="27"/>
  <c r="AG82" i="27"/>
  <c r="AG79" i="27"/>
  <c r="AG76" i="27"/>
  <c r="AG73" i="27"/>
  <c r="AG70" i="27"/>
  <c r="AG67" i="27"/>
  <c r="AG64" i="27"/>
  <c r="AG83" i="27"/>
  <c r="AG80" i="27"/>
  <c r="AG77" i="27"/>
  <c r="AG74" i="27"/>
  <c r="AG71" i="27"/>
  <c r="AG68" i="27"/>
  <c r="AG65" i="27"/>
  <c r="AG144" i="27"/>
  <c r="AG61" i="27"/>
  <c r="AG58" i="27"/>
  <c r="AG55" i="27"/>
  <c r="AG52" i="27"/>
  <c r="AG49" i="27"/>
  <c r="AG46" i="27"/>
  <c r="AG43" i="27"/>
  <c r="AG40" i="27"/>
  <c r="AG37" i="27"/>
  <c r="AG138" i="27"/>
  <c r="AG132" i="27"/>
  <c r="AG62" i="27"/>
  <c r="AG59" i="27"/>
  <c r="AG56" i="27"/>
  <c r="AG53" i="27"/>
  <c r="AG50" i="27"/>
  <c r="AG47" i="27"/>
  <c r="AG44" i="27"/>
  <c r="AG41" i="27"/>
  <c r="AG38" i="27"/>
  <c r="AG60" i="27"/>
  <c r="AG57" i="27"/>
  <c r="AG54" i="27"/>
  <c r="AG51" i="27"/>
  <c r="AG48" i="27"/>
  <c r="AG45" i="27"/>
  <c r="AG42" i="27"/>
  <c r="AG39" i="27"/>
  <c r="AG125" i="27"/>
  <c r="AG35" i="27"/>
  <c r="AG32" i="27"/>
  <c r="AG29" i="27"/>
  <c r="AG26" i="27"/>
  <c r="AG23" i="27"/>
  <c r="AG20" i="27"/>
  <c r="AG17" i="27"/>
  <c r="AG14" i="27"/>
  <c r="AG11" i="27"/>
  <c r="AG113" i="27"/>
  <c r="AG36" i="27"/>
  <c r="AG33" i="27"/>
  <c r="AG30" i="27"/>
  <c r="AG27" i="27"/>
  <c r="AG24" i="27"/>
  <c r="AG21" i="27"/>
  <c r="AG18" i="27"/>
  <c r="AG15" i="27"/>
  <c r="AG12" i="27"/>
  <c r="AG34" i="27"/>
  <c r="AG31" i="27"/>
  <c r="AG28" i="27"/>
  <c r="AG25" i="27"/>
  <c r="AG22" i="27"/>
  <c r="AG19" i="27"/>
  <c r="AG16" i="27"/>
  <c r="AG13" i="27"/>
  <c r="AG10" i="27"/>
  <c r="AH1" i="27"/>
  <c r="AG8" i="27"/>
  <c r="AG5" i="27"/>
  <c r="AG3" i="27"/>
  <c r="AG7" i="27"/>
  <c r="AG6" i="27"/>
  <c r="AG4" i="27"/>
  <c r="AG9" i="27"/>
  <c r="AH179" i="25"/>
  <c r="AI179" i="25" s="1"/>
  <c r="AH177" i="25"/>
  <c r="AI177" i="25" s="1"/>
  <c r="AH174" i="25"/>
  <c r="AI174" i="25" s="1"/>
  <c r="AH171" i="25"/>
  <c r="AI171" i="25" s="1"/>
  <c r="AH168" i="25"/>
  <c r="AI168" i="25" s="1"/>
  <c r="AH165" i="25"/>
  <c r="AI165" i="25" s="1"/>
  <c r="AH162" i="25"/>
  <c r="AI162" i="25" s="1"/>
  <c r="AH159" i="25"/>
  <c r="AI159" i="25" s="1"/>
  <c r="AH156" i="25"/>
  <c r="AI156" i="25" s="1"/>
  <c r="AH153" i="25"/>
  <c r="AI153" i="25" s="1"/>
  <c r="AH150" i="25"/>
  <c r="AI150" i="25" s="1"/>
  <c r="AH147" i="25"/>
  <c r="AI147" i="25" s="1"/>
  <c r="AH144" i="25"/>
  <c r="AI144" i="25" s="1"/>
  <c r="AH141" i="25"/>
  <c r="AI141" i="25" s="1"/>
  <c r="AH138" i="25"/>
  <c r="AI138" i="25" s="1"/>
  <c r="AH135" i="25"/>
  <c r="AI135" i="25" s="1"/>
  <c r="AH176" i="25"/>
  <c r="AI176" i="25" s="1"/>
  <c r="AH173" i="25"/>
  <c r="AI173" i="25" s="1"/>
  <c r="AH170" i="25"/>
  <c r="AI170" i="25" s="1"/>
  <c r="AH167" i="25"/>
  <c r="AI167" i="25" s="1"/>
  <c r="AH164" i="25"/>
  <c r="AI164" i="25" s="1"/>
  <c r="AH161" i="25"/>
  <c r="AI161" i="25" s="1"/>
  <c r="AH158" i="25"/>
  <c r="AI158" i="25" s="1"/>
  <c r="AH155" i="25"/>
  <c r="AI155" i="25" s="1"/>
  <c r="AH152" i="25"/>
  <c r="AI152" i="25" s="1"/>
  <c r="AH149" i="25"/>
  <c r="AI149" i="25" s="1"/>
  <c r="AH146" i="25"/>
  <c r="AI146" i="25" s="1"/>
  <c r="AH143" i="25"/>
  <c r="AI143" i="25" s="1"/>
  <c r="AH140" i="25"/>
  <c r="AI140" i="25" s="1"/>
  <c r="AH137" i="25"/>
  <c r="AI137" i="25" s="1"/>
  <c r="AH132" i="25"/>
  <c r="AI132" i="25" s="1"/>
  <c r="AH113" i="25"/>
  <c r="AI113" i="25" s="1"/>
  <c r="AH110" i="25"/>
  <c r="AI110" i="25" s="1"/>
  <c r="AH107" i="25"/>
  <c r="AI107" i="25" s="1"/>
  <c r="AH104" i="25"/>
  <c r="AI104" i="25" s="1"/>
  <c r="AH101" i="25"/>
  <c r="AI101" i="25" s="1"/>
  <c r="AH98" i="25"/>
  <c r="AI98" i="25" s="1"/>
  <c r="AH178" i="25"/>
  <c r="AI178" i="25" s="1"/>
  <c r="AH131" i="25"/>
  <c r="AI131" i="25" s="1"/>
  <c r="AH123" i="25"/>
  <c r="AH115" i="25"/>
  <c r="AH112" i="25"/>
  <c r="AI112" i="25" s="1"/>
  <c r="AH109" i="25"/>
  <c r="AI109" i="25" s="1"/>
  <c r="AH106" i="25"/>
  <c r="AI106" i="25" s="1"/>
  <c r="AH103" i="25"/>
  <c r="AI103" i="25" s="1"/>
  <c r="AH94" i="25"/>
  <c r="AI94" i="25" s="1"/>
  <c r="AH91" i="25"/>
  <c r="AI91" i="25" s="1"/>
  <c r="AH88" i="25"/>
  <c r="AI88" i="25" s="1"/>
  <c r="AH85" i="25"/>
  <c r="AI85" i="25" s="1"/>
  <c r="AH82" i="25"/>
  <c r="AI82" i="25" s="1"/>
  <c r="AH79" i="25"/>
  <c r="AI79" i="25" s="1"/>
  <c r="AH76" i="25"/>
  <c r="AI76" i="25" s="1"/>
  <c r="AH73" i="25"/>
  <c r="AI73" i="25" s="1"/>
  <c r="AH124" i="25"/>
  <c r="AH99" i="25"/>
  <c r="AI99" i="25" s="1"/>
  <c r="AH136" i="25"/>
  <c r="AI136" i="25" s="1"/>
  <c r="AH128" i="25"/>
  <c r="AI128" i="25" s="1"/>
  <c r="AH151" i="25"/>
  <c r="AI151" i="25" s="1"/>
  <c r="AH129" i="25"/>
  <c r="AH95" i="25"/>
  <c r="AI95" i="25" s="1"/>
  <c r="AH92" i="25"/>
  <c r="AI92" i="25" s="1"/>
  <c r="AH89" i="25"/>
  <c r="AI89" i="25" s="1"/>
  <c r="AH86" i="25"/>
  <c r="AI86" i="25" s="1"/>
  <c r="AH83" i="25"/>
  <c r="AI83" i="25" s="1"/>
  <c r="AH80" i="25"/>
  <c r="AI80" i="25" s="1"/>
  <c r="AH77" i="25"/>
  <c r="AI77" i="25" s="1"/>
  <c r="AH74" i="25"/>
  <c r="AI74" i="25" s="1"/>
  <c r="AH71" i="25"/>
  <c r="AI71" i="25" s="1"/>
  <c r="AH157" i="25"/>
  <c r="AI157" i="25" s="1"/>
  <c r="AH154" i="25"/>
  <c r="AI154" i="25" s="1"/>
  <c r="AH125" i="25"/>
  <c r="AH160" i="25"/>
  <c r="AI160" i="25" s="1"/>
  <c r="AH145" i="25"/>
  <c r="AI145" i="25" s="1"/>
  <c r="AH166" i="25"/>
  <c r="AI166" i="25" s="1"/>
  <c r="AH163" i="25"/>
  <c r="AI163" i="25" s="1"/>
  <c r="AH130" i="25"/>
  <c r="AI130" i="25" s="1"/>
  <c r="AH114" i="25"/>
  <c r="AI114" i="25" s="1"/>
  <c r="AH148" i="25"/>
  <c r="AI148" i="25" s="1"/>
  <c r="AH120" i="25"/>
  <c r="AH119" i="25"/>
  <c r="AI119" i="25" s="1"/>
  <c r="AH118" i="25"/>
  <c r="AI118" i="25" s="1"/>
  <c r="AH117" i="25"/>
  <c r="AI117" i="25" s="1"/>
  <c r="AH116" i="25"/>
  <c r="AI116" i="25" s="1"/>
  <c r="AH108" i="25"/>
  <c r="AI108" i="25" s="1"/>
  <c r="AH105" i="25"/>
  <c r="AI105" i="25" s="1"/>
  <c r="AH102" i="25"/>
  <c r="AI102" i="25" s="1"/>
  <c r="AH100" i="25"/>
  <c r="AI100" i="25" s="1"/>
  <c r="AH122" i="25"/>
  <c r="AH121" i="25"/>
  <c r="AH93" i="25"/>
  <c r="AI93" i="25" s="1"/>
  <c r="AH84" i="25"/>
  <c r="AI84" i="25" s="1"/>
  <c r="AH75" i="25"/>
  <c r="AI75" i="25" s="1"/>
  <c r="AH175" i="25"/>
  <c r="AI175" i="25" s="1"/>
  <c r="AH68" i="25"/>
  <c r="AI68" i="25" s="1"/>
  <c r="AH65" i="25"/>
  <c r="AI65" i="25" s="1"/>
  <c r="AH62" i="25"/>
  <c r="AI62" i="25" s="1"/>
  <c r="AH59" i="25"/>
  <c r="AI59" i="25" s="1"/>
  <c r="AH56" i="25"/>
  <c r="AI56" i="25" s="1"/>
  <c r="AH53" i="25"/>
  <c r="AI53" i="25" s="1"/>
  <c r="AH50" i="25"/>
  <c r="AI50" i="25" s="1"/>
  <c r="AH47" i="25"/>
  <c r="AI47" i="25" s="1"/>
  <c r="AH133" i="25"/>
  <c r="AI133" i="25" s="1"/>
  <c r="AH97" i="25"/>
  <c r="AI97" i="25" s="1"/>
  <c r="AH169" i="25"/>
  <c r="AI169" i="25" s="1"/>
  <c r="AH111" i="25"/>
  <c r="AI111" i="25" s="1"/>
  <c r="AH90" i="25"/>
  <c r="AI90" i="25" s="1"/>
  <c r="AH81" i="25"/>
  <c r="AI81" i="25" s="1"/>
  <c r="AH72" i="25"/>
  <c r="AI72" i="25" s="1"/>
  <c r="AH87" i="25"/>
  <c r="AI87" i="25" s="1"/>
  <c r="AH78" i="25"/>
  <c r="AI78" i="25" s="1"/>
  <c r="AH39" i="25"/>
  <c r="AI39" i="25" s="1"/>
  <c r="AH36" i="25"/>
  <c r="AI36" i="25" s="1"/>
  <c r="AH33" i="25"/>
  <c r="AI33" i="25" s="1"/>
  <c r="AH30" i="25"/>
  <c r="AI30" i="25" s="1"/>
  <c r="AH27" i="25"/>
  <c r="AI27" i="25" s="1"/>
  <c r="AH24" i="25"/>
  <c r="AI24" i="25" s="1"/>
  <c r="AH21" i="25"/>
  <c r="AI21" i="25" s="1"/>
  <c r="AH18" i="25"/>
  <c r="AI18" i="25" s="1"/>
  <c r="AH15" i="25"/>
  <c r="AI15" i="25" s="1"/>
  <c r="AH12" i="25"/>
  <c r="AI12" i="25" s="1"/>
  <c r="AH9" i="25"/>
  <c r="AI9" i="25" s="1"/>
  <c r="AH134" i="25"/>
  <c r="AI134" i="25" s="1"/>
  <c r="AH70" i="25"/>
  <c r="AI70" i="25" s="1"/>
  <c r="AH67" i="25"/>
  <c r="AI67" i="25" s="1"/>
  <c r="AH64" i="25"/>
  <c r="AI64" i="25" s="1"/>
  <c r="AH61" i="25"/>
  <c r="AI61" i="25" s="1"/>
  <c r="AH58" i="25"/>
  <c r="AI58" i="25" s="1"/>
  <c r="AH55" i="25"/>
  <c r="AI55" i="25" s="1"/>
  <c r="AH52" i="25"/>
  <c r="AI52" i="25" s="1"/>
  <c r="AH49" i="25"/>
  <c r="AI49" i="25" s="1"/>
  <c r="AH46" i="25"/>
  <c r="AI46" i="25" s="1"/>
  <c r="AH142" i="25"/>
  <c r="AI142" i="25" s="1"/>
  <c r="AH127" i="25"/>
  <c r="AI127" i="25" s="1"/>
  <c r="AH40" i="25"/>
  <c r="AI40" i="25" s="1"/>
  <c r="AH37" i="25"/>
  <c r="AI37" i="25" s="1"/>
  <c r="AH34" i="25"/>
  <c r="AI34" i="25" s="1"/>
  <c r="AH31" i="25"/>
  <c r="AI31" i="25" s="1"/>
  <c r="AH28" i="25"/>
  <c r="AI28" i="25" s="1"/>
  <c r="AH25" i="25"/>
  <c r="AI25" i="25" s="1"/>
  <c r="AH22" i="25"/>
  <c r="AI22" i="25" s="1"/>
  <c r="AH19" i="25"/>
  <c r="AI19" i="25" s="1"/>
  <c r="AH16" i="25"/>
  <c r="AI16" i="25" s="1"/>
  <c r="AH13" i="25"/>
  <c r="AI13" i="25" s="1"/>
  <c r="AH10" i="25"/>
  <c r="AI10" i="25" s="1"/>
  <c r="AH96" i="25"/>
  <c r="AI96" i="25" s="1"/>
  <c r="AH43" i="25"/>
  <c r="AI43" i="25" s="1"/>
  <c r="AH126" i="25"/>
  <c r="AI126" i="25" s="1"/>
  <c r="AH69" i="25"/>
  <c r="AI69" i="25" s="1"/>
  <c r="AH66" i="25"/>
  <c r="AI66" i="25" s="1"/>
  <c r="AH63" i="25"/>
  <c r="AI63" i="25" s="1"/>
  <c r="AH60" i="25"/>
  <c r="AI60" i="25" s="1"/>
  <c r="AH57" i="25"/>
  <c r="AI57" i="25" s="1"/>
  <c r="AH54" i="25"/>
  <c r="AI54" i="25" s="1"/>
  <c r="AH51" i="25"/>
  <c r="AI51" i="25" s="1"/>
  <c r="AH48" i="25"/>
  <c r="AI48" i="25" s="1"/>
  <c r="AH44" i="25"/>
  <c r="AI44" i="25" s="1"/>
  <c r="AH42" i="25"/>
  <c r="AI42" i="25" s="1"/>
  <c r="AH7" i="25"/>
  <c r="AI7" i="25" s="1"/>
  <c r="AH4" i="25"/>
  <c r="AI4" i="25" s="1"/>
  <c r="AH172" i="25"/>
  <c r="AI172" i="25" s="1"/>
  <c r="AH5" i="25"/>
  <c r="AI5" i="25" s="1"/>
  <c r="AH139" i="25"/>
  <c r="AI139" i="25" s="1"/>
  <c r="AH41" i="25"/>
  <c r="AI41" i="25" s="1"/>
  <c r="AH38" i="25"/>
  <c r="AI38" i="25" s="1"/>
  <c r="AH35" i="25"/>
  <c r="AI35" i="25" s="1"/>
  <c r="AH32" i="25"/>
  <c r="AI32" i="25" s="1"/>
  <c r="AH29" i="25"/>
  <c r="AI29" i="25" s="1"/>
  <c r="AH26" i="25"/>
  <c r="AI26" i="25" s="1"/>
  <c r="AH23" i="25"/>
  <c r="AI23" i="25" s="1"/>
  <c r="AH20" i="25"/>
  <c r="AI20" i="25" s="1"/>
  <c r="AH17" i="25"/>
  <c r="AI17" i="25" s="1"/>
  <c r="AH14" i="25"/>
  <c r="AI14" i="25" s="1"/>
  <c r="AH11" i="25"/>
  <c r="AI11" i="25" s="1"/>
  <c r="AH8" i="25"/>
  <c r="AI8" i="25" s="1"/>
  <c r="AH6" i="25"/>
  <c r="AI6" i="25" s="1"/>
  <c r="AH3" i="25"/>
  <c r="AI3" i="25" s="1"/>
  <c r="AH45" i="25"/>
  <c r="AI45" i="25" s="1"/>
  <c r="AG140" i="18"/>
  <c r="AG191" i="18"/>
  <c r="AG188" i="18"/>
  <c r="AG185" i="18"/>
  <c r="AG182" i="18"/>
  <c r="AG179" i="18"/>
  <c r="AG176" i="18"/>
  <c r="AG173" i="18"/>
  <c r="AG170" i="18"/>
  <c r="AG167" i="18"/>
  <c r="AG164" i="18"/>
  <c r="AG161" i="18"/>
  <c r="AG158" i="18"/>
  <c r="AG155" i="18"/>
  <c r="AG152" i="18"/>
  <c r="AG149" i="18"/>
  <c r="AG192" i="18"/>
  <c r="AG189" i="18"/>
  <c r="AG186" i="18"/>
  <c r="AG183" i="18"/>
  <c r="AG180" i="18"/>
  <c r="AG177" i="18"/>
  <c r="AG174" i="18"/>
  <c r="AG171" i="18"/>
  <c r="AG168" i="18"/>
  <c r="AG165" i="18"/>
  <c r="AG162" i="18"/>
  <c r="AG159" i="18"/>
  <c r="AG156" i="18"/>
  <c r="AG153" i="18"/>
  <c r="AG150" i="18"/>
  <c r="AG147" i="18"/>
  <c r="AG144" i="18"/>
  <c r="AG136" i="18"/>
  <c r="AG148" i="18"/>
  <c r="AG190" i="18"/>
  <c r="AG141" i="18"/>
  <c r="AG172" i="18"/>
  <c r="AG169" i="18"/>
  <c r="AG128" i="18"/>
  <c r="AG125" i="18"/>
  <c r="AG122" i="18"/>
  <c r="AG119" i="18"/>
  <c r="AG116" i="18"/>
  <c r="AG113" i="18"/>
  <c r="AG110" i="18"/>
  <c r="AG107" i="18"/>
  <c r="AG104" i="18"/>
  <c r="AG101" i="18"/>
  <c r="AG98" i="18"/>
  <c r="AG95" i="18"/>
  <c r="AG92" i="18"/>
  <c r="AG89" i="18"/>
  <c r="AG86" i="18"/>
  <c r="AG83" i="18"/>
  <c r="AG80" i="18"/>
  <c r="AG77" i="18"/>
  <c r="AG74" i="18"/>
  <c r="AG71" i="18"/>
  <c r="AG184" i="18"/>
  <c r="AG175" i="18"/>
  <c r="AG126" i="18"/>
  <c r="AG123" i="18"/>
  <c r="AG120" i="18"/>
  <c r="AG117" i="18"/>
  <c r="AG114" i="18"/>
  <c r="AG111" i="18"/>
  <c r="AG108" i="18"/>
  <c r="AG105" i="18"/>
  <c r="AG102" i="18"/>
  <c r="AG99" i="18"/>
  <c r="AG96" i="18"/>
  <c r="AG93" i="18"/>
  <c r="AG90" i="18"/>
  <c r="AG87" i="18"/>
  <c r="AG84" i="18"/>
  <c r="AG81" i="18"/>
  <c r="AG78" i="18"/>
  <c r="AG75" i="18"/>
  <c r="AG72" i="18"/>
  <c r="AG69" i="18"/>
  <c r="AG166" i="18"/>
  <c r="AG137" i="18"/>
  <c r="AG131" i="18"/>
  <c r="AG63" i="18"/>
  <c r="AG54" i="18"/>
  <c r="AG45" i="18"/>
  <c r="AG36" i="18"/>
  <c r="AG27" i="18"/>
  <c r="AG18" i="18"/>
  <c r="AG9" i="18"/>
  <c r="AG181" i="18"/>
  <c r="AG157" i="18"/>
  <c r="AG67" i="18"/>
  <c r="AG58" i="18"/>
  <c r="AG49" i="18"/>
  <c r="AG40" i="18"/>
  <c r="AG31" i="18"/>
  <c r="AG121" i="18"/>
  <c r="AG112" i="18"/>
  <c r="AG103" i="18"/>
  <c r="AG94" i="18"/>
  <c r="AG85" i="18"/>
  <c r="AG76" i="18"/>
  <c r="AG154" i="18"/>
  <c r="AG130" i="18"/>
  <c r="AG62" i="18"/>
  <c r="AG53" i="18"/>
  <c r="AG44" i="18"/>
  <c r="AG35" i="18"/>
  <c r="AG26" i="18"/>
  <c r="AG17" i="18"/>
  <c r="AG8" i="18"/>
  <c r="AG145" i="18"/>
  <c r="AG143" i="18"/>
  <c r="AG138" i="18"/>
  <c r="AG135" i="18"/>
  <c r="AG66" i="18"/>
  <c r="AG57" i="18"/>
  <c r="AG48" i="18"/>
  <c r="AG39" i="18"/>
  <c r="AG30" i="18"/>
  <c r="AG21" i="18"/>
  <c r="AG12" i="18"/>
  <c r="AG3" i="18"/>
  <c r="AG187" i="18"/>
  <c r="AG151" i="18"/>
  <c r="AG134" i="18"/>
  <c r="AG129" i="18"/>
  <c r="AG124" i="18"/>
  <c r="AG115" i="18"/>
  <c r="AG106" i="18"/>
  <c r="AG97" i="18"/>
  <c r="AG88" i="18"/>
  <c r="AG100" i="18"/>
  <c r="AG91" i="18"/>
  <c r="AG82" i="18"/>
  <c r="AG50" i="18"/>
  <c r="AG73" i="18"/>
  <c r="AG52" i="18"/>
  <c r="AG6" i="18"/>
  <c r="AG4" i="18"/>
  <c r="AG163" i="18"/>
  <c r="AG146" i="18"/>
  <c r="AG133" i="18"/>
  <c r="AG132" i="18"/>
  <c r="AG118" i="18"/>
  <c r="AG79" i="18"/>
  <c r="AG42" i="18"/>
  <c r="AG16" i="18"/>
  <c r="AG10" i="18"/>
  <c r="AG59" i="18"/>
  <c r="AG32" i="18"/>
  <c r="AG65" i="18"/>
  <c r="AG55" i="18"/>
  <c r="AG38" i="18"/>
  <c r="AG20" i="18"/>
  <c r="AG14" i="18"/>
  <c r="AG61" i="18"/>
  <c r="AG34" i="18"/>
  <c r="AG24" i="18"/>
  <c r="AG22" i="18"/>
  <c r="AG109" i="18"/>
  <c r="AG178" i="18"/>
  <c r="AG160" i="18"/>
  <c r="AG68" i="18"/>
  <c r="AG41" i="18"/>
  <c r="AG64" i="18"/>
  <c r="AG47" i="18"/>
  <c r="AG37" i="18"/>
  <c r="AG11" i="18"/>
  <c r="AG5" i="18"/>
  <c r="AG142" i="18"/>
  <c r="AG139" i="18"/>
  <c r="AG43" i="18"/>
  <c r="AG15" i="18"/>
  <c r="AG13" i="18"/>
  <c r="AG70" i="18"/>
  <c r="AG33" i="18"/>
  <c r="AG19" i="18"/>
  <c r="AG51" i="18"/>
  <c r="AG60" i="18"/>
  <c r="AH1" i="18"/>
  <c r="AG29" i="18"/>
  <c r="AG7" i="18"/>
  <c r="AG127" i="18"/>
  <c r="AG56" i="18"/>
  <c r="AG23" i="18"/>
  <c r="AG28" i="18"/>
  <c r="AG25" i="18"/>
  <c r="AG46" i="18"/>
  <c r="AG127" i="21"/>
  <c r="AG130" i="21"/>
  <c r="AG138" i="21"/>
  <c r="AG135" i="21"/>
  <c r="AG186" i="21"/>
  <c r="AG183" i="21"/>
  <c r="AG180" i="21"/>
  <c r="AG177" i="21"/>
  <c r="AG174" i="21"/>
  <c r="AG171" i="21"/>
  <c r="AG168" i="21"/>
  <c r="AG165" i="21"/>
  <c r="AG162" i="21"/>
  <c r="AG159" i="21"/>
  <c r="AG156" i="21"/>
  <c r="AG153" i="21"/>
  <c r="AG150" i="21"/>
  <c r="AG147" i="21"/>
  <c r="AG144" i="21"/>
  <c r="AG141" i="21"/>
  <c r="AG122" i="21"/>
  <c r="AG119" i="21"/>
  <c r="AG116" i="21"/>
  <c r="AG113" i="21"/>
  <c r="AG187" i="21"/>
  <c r="AG184" i="21"/>
  <c r="AG181" i="21"/>
  <c r="AG178" i="21"/>
  <c r="AG175" i="21"/>
  <c r="AG172" i="21"/>
  <c r="AG169" i="21"/>
  <c r="AG166" i="21"/>
  <c r="AG163" i="21"/>
  <c r="AG160" i="21"/>
  <c r="AG157" i="21"/>
  <c r="AG154" i="21"/>
  <c r="AG151" i="21"/>
  <c r="AG148" i="21"/>
  <c r="AG145" i="21"/>
  <c r="AG142" i="21"/>
  <c r="AG139" i="21"/>
  <c r="AG123" i="21"/>
  <c r="AG120" i="21"/>
  <c r="AG117" i="21"/>
  <c r="AG114" i="21"/>
  <c r="AG111" i="21"/>
  <c r="AG129" i="21"/>
  <c r="AG126" i="21"/>
  <c r="AG188" i="21"/>
  <c r="AG149" i="21"/>
  <c r="AG140" i="21"/>
  <c r="AG136" i="21"/>
  <c r="AG110" i="21"/>
  <c r="AG107" i="21"/>
  <c r="AG104" i="21"/>
  <c r="AG101" i="21"/>
  <c r="AG98" i="21"/>
  <c r="AG95" i="21"/>
  <c r="AG92" i="21"/>
  <c r="AG89" i="21"/>
  <c r="AG86" i="21"/>
  <c r="AG83" i="21"/>
  <c r="AG80" i="21"/>
  <c r="AG77" i="21"/>
  <c r="AG74" i="21"/>
  <c r="AG71" i="21"/>
  <c r="AG68" i="21"/>
  <c r="AG65" i="21"/>
  <c r="AG62" i="21"/>
  <c r="AG59" i="21"/>
  <c r="AG56" i="21"/>
  <c r="AG53" i="21"/>
  <c r="AG161" i="21"/>
  <c r="AG132" i="21"/>
  <c r="AG146" i="21"/>
  <c r="AG128" i="21"/>
  <c r="AG125" i="21"/>
  <c r="AG108" i="21"/>
  <c r="AG105" i="21"/>
  <c r="AG102" i="21"/>
  <c r="AG99" i="21"/>
  <c r="AG96" i="21"/>
  <c r="AG93" i="21"/>
  <c r="AG90" i="21"/>
  <c r="AG87" i="21"/>
  <c r="AG84" i="21"/>
  <c r="AG81" i="21"/>
  <c r="AG78" i="21"/>
  <c r="AG75" i="21"/>
  <c r="AG72" i="21"/>
  <c r="AG69" i="21"/>
  <c r="AG66" i="21"/>
  <c r="AG63" i="21"/>
  <c r="AG60" i="21"/>
  <c r="AG57" i="21"/>
  <c r="AG54" i="21"/>
  <c r="AG51" i="21"/>
  <c r="AG48" i="21"/>
  <c r="AG45" i="21"/>
  <c r="AG42" i="21"/>
  <c r="AG39" i="21"/>
  <c r="AG36" i="21"/>
  <c r="AG33" i="21"/>
  <c r="AG30" i="21"/>
  <c r="AG27" i="21"/>
  <c r="AG24" i="21"/>
  <c r="AG21" i="21"/>
  <c r="AG18" i="21"/>
  <c r="AG131" i="21"/>
  <c r="AG152" i="21"/>
  <c r="AG143" i="21"/>
  <c r="AG137" i="21"/>
  <c r="AG109" i="21"/>
  <c r="AG106" i="21"/>
  <c r="AG103" i="21"/>
  <c r="AG100" i="21"/>
  <c r="AG97" i="21"/>
  <c r="AG94" i="21"/>
  <c r="AG91" i="21"/>
  <c r="AG88" i="21"/>
  <c r="AG85" i="21"/>
  <c r="AG82" i="21"/>
  <c r="AG79" i="21"/>
  <c r="AG76" i="21"/>
  <c r="AG73" i="21"/>
  <c r="AG70" i="21"/>
  <c r="AG67" i="21"/>
  <c r="AG64" i="21"/>
  <c r="AG61" i="21"/>
  <c r="AG58" i="21"/>
  <c r="AG55" i="21"/>
  <c r="AG52" i="21"/>
  <c r="AG49" i="21"/>
  <c r="AG13" i="21"/>
  <c r="AG10" i="21"/>
  <c r="AG7" i="21"/>
  <c r="AG4" i="21"/>
  <c r="AG47" i="21"/>
  <c r="AG43" i="21"/>
  <c r="AG38" i="21"/>
  <c r="AG34" i="21"/>
  <c r="AG29" i="21"/>
  <c r="AG25" i="21"/>
  <c r="AG20" i="21"/>
  <c r="AG16" i="21"/>
  <c r="AG14" i="21"/>
  <c r="AG11" i="21"/>
  <c r="AG8" i="21"/>
  <c r="AG5" i="21"/>
  <c r="AG133" i="21"/>
  <c r="AG158" i="21"/>
  <c r="AG15" i="21"/>
  <c r="AG12" i="21"/>
  <c r="AG9" i="21"/>
  <c r="AG6" i="21"/>
  <c r="AG3" i="21"/>
  <c r="AG182" i="21"/>
  <c r="AG173" i="21"/>
  <c r="AG170" i="21"/>
  <c r="AG167" i="21"/>
  <c r="AG46" i="21"/>
  <c r="AG41" i="21"/>
  <c r="AG37" i="21"/>
  <c r="AG32" i="21"/>
  <c r="AG28" i="21"/>
  <c r="AG23" i="21"/>
  <c r="AG19" i="21"/>
  <c r="AG164" i="21"/>
  <c r="AG155" i="21"/>
  <c r="AG134" i="21"/>
  <c r="AG179" i="21"/>
  <c r="AG124" i="21"/>
  <c r="AG115" i="21"/>
  <c r="AG50" i="21"/>
  <c r="AG31" i="21"/>
  <c r="AG26" i="21"/>
  <c r="AG176" i="21"/>
  <c r="AG118" i="21"/>
  <c r="AG44" i="21"/>
  <c r="AG22" i="21"/>
  <c r="AG185" i="21"/>
  <c r="AG17" i="21"/>
  <c r="AG40" i="21"/>
  <c r="AG112" i="21"/>
  <c r="AG35" i="21"/>
  <c r="AH1" i="21"/>
  <c r="AG121" i="21"/>
  <c r="AH192" i="16"/>
  <c r="AI192" i="16" s="1"/>
  <c r="AH189" i="16"/>
  <c r="AI189" i="16" s="1"/>
  <c r="AH186" i="16"/>
  <c r="AI186" i="16" s="1"/>
  <c r="AH183" i="16"/>
  <c r="AI183" i="16" s="1"/>
  <c r="AH180" i="16"/>
  <c r="AI180" i="16" s="1"/>
  <c r="AH185" i="16"/>
  <c r="AI185" i="16" s="1"/>
  <c r="AH173" i="16"/>
  <c r="AI173" i="16" s="1"/>
  <c r="AH170" i="16"/>
  <c r="AI170" i="16" s="1"/>
  <c r="AH167" i="16"/>
  <c r="AI167" i="16" s="1"/>
  <c r="AH164" i="16"/>
  <c r="AI164" i="16" s="1"/>
  <c r="AH161" i="16"/>
  <c r="AI161" i="16" s="1"/>
  <c r="AH158" i="16"/>
  <c r="AI158" i="16" s="1"/>
  <c r="AH155" i="16"/>
  <c r="AI155" i="16" s="1"/>
  <c r="AH152" i="16"/>
  <c r="AI152" i="16" s="1"/>
  <c r="AH149" i="16"/>
  <c r="AI149" i="16" s="1"/>
  <c r="AH146" i="16"/>
  <c r="AI146" i="16" s="1"/>
  <c r="AH127" i="16"/>
  <c r="AI127" i="16" s="1"/>
  <c r="AH124" i="16"/>
  <c r="AI124" i="16" s="1"/>
  <c r="AH121" i="16"/>
  <c r="AI121" i="16" s="1"/>
  <c r="AH118" i="16"/>
  <c r="AI118" i="16" s="1"/>
  <c r="AH115" i="16"/>
  <c r="AI115" i="16" s="1"/>
  <c r="AH112" i="16"/>
  <c r="AI112" i="16" s="1"/>
  <c r="AH109" i="16"/>
  <c r="AI109" i="16" s="1"/>
  <c r="AH106" i="16"/>
  <c r="AI106" i="16" s="1"/>
  <c r="AH103" i="16"/>
  <c r="AI103" i="16" s="1"/>
  <c r="AH100" i="16"/>
  <c r="AI100" i="16" s="1"/>
  <c r="AH97" i="16"/>
  <c r="AI97" i="16" s="1"/>
  <c r="AH94" i="16"/>
  <c r="AI94" i="16" s="1"/>
  <c r="AH91" i="16"/>
  <c r="AI91" i="16" s="1"/>
  <c r="AH88" i="16"/>
  <c r="AI88" i="16" s="1"/>
  <c r="AH85" i="16"/>
  <c r="AI85" i="16" s="1"/>
  <c r="AH82" i="16"/>
  <c r="AI82" i="16" s="1"/>
  <c r="AH79" i="16"/>
  <c r="AI79" i="16" s="1"/>
  <c r="AH76" i="16"/>
  <c r="AI76" i="16" s="1"/>
  <c r="AH73" i="16"/>
  <c r="AI73" i="16" s="1"/>
  <c r="AH70" i="16"/>
  <c r="AI70" i="16" s="1"/>
  <c r="AH138" i="16"/>
  <c r="AH133" i="16"/>
  <c r="AI133" i="16" s="1"/>
  <c r="AH130" i="16"/>
  <c r="AI130" i="16" s="1"/>
  <c r="AH193" i="16"/>
  <c r="AI193" i="16" s="1"/>
  <c r="AH184" i="16"/>
  <c r="AI184" i="16" s="1"/>
  <c r="AH191" i="16"/>
  <c r="AI191" i="16" s="1"/>
  <c r="AH182" i="16"/>
  <c r="AI182" i="16" s="1"/>
  <c r="AH177" i="16"/>
  <c r="AI177" i="16" s="1"/>
  <c r="AH174" i="16"/>
  <c r="AI174" i="16" s="1"/>
  <c r="AH171" i="16"/>
  <c r="AI171" i="16" s="1"/>
  <c r="AH168" i="16"/>
  <c r="AI168" i="16" s="1"/>
  <c r="AH165" i="16"/>
  <c r="AI165" i="16" s="1"/>
  <c r="AH162" i="16"/>
  <c r="AI162" i="16" s="1"/>
  <c r="AH159" i="16"/>
  <c r="AI159" i="16" s="1"/>
  <c r="AH156" i="16"/>
  <c r="AI156" i="16" s="1"/>
  <c r="AH153" i="16"/>
  <c r="AI153" i="16" s="1"/>
  <c r="AH150" i="16"/>
  <c r="AI150" i="16" s="1"/>
  <c r="AH147" i="16"/>
  <c r="AI147" i="16" s="1"/>
  <c r="AH144" i="16"/>
  <c r="AI144" i="16" s="1"/>
  <c r="AH128" i="16"/>
  <c r="AI128" i="16" s="1"/>
  <c r="AH125" i="16"/>
  <c r="AI125" i="16" s="1"/>
  <c r="AH122" i="16"/>
  <c r="AI122" i="16" s="1"/>
  <c r="AH119" i="16"/>
  <c r="AI119" i="16" s="1"/>
  <c r="AH116" i="16"/>
  <c r="AI116" i="16" s="1"/>
  <c r="AH113" i="16"/>
  <c r="AI113" i="16" s="1"/>
  <c r="AH110" i="16"/>
  <c r="AI110" i="16" s="1"/>
  <c r="AH107" i="16"/>
  <c r="AI107" i="16" s="1"/>
  <c r="AH104" i="16"/>
  <c r="AI104" i="16" s="1"/>
  <c r="AH101" i="16"/>
  <c r="AI101" i="16" s="1"/>
  <c r="AH98" i="16"/>
  <c r="AI98" i="16" s="1"/>
  <c r="AH95" i="16"/>
  <c r="AI95" i="16" s="1"/>
  <c r="AH92" i="16"/>
  <c r="AI92" i="16" s="1"/>
  <c r="AH89" i="16"/>
  <c r="AI89" i="16" s="1"/>
  <c r="AH86" i="16"/>
  <c r="AI86" i="16" s="1"/>
  <c r="AH83" i="16"/>
  <c r="AI83" i="16" s="1"/>
  <c r="AH80" i="16"/>
  <c r="AI80" i="16" s="1"/>
  <c r="AH77" i="16"/>
  <c r="AI77" i="16" s="1"/>
  <c r="AH74" i="16"/>
  <c r="AI74" i="16" s="1"/>
  <c r="AH71" i="16"/>
  <c r="AI71" i="16" s="1"/>
  <c r="AH139" i="16"/>
  <c r="AH188" i="16"/>
  <c r="AI188" i="16" s="1"/>
  <c r="AH179" i="16"/>
  <c r="AI179" i="16" s="1"/>
  <c r="AH175" i="16"/>
  <c r="AI175" i="16" s="1"/>
  <c r="AH172" i="16"/>
  <c r="AI172" i="16" s="1"/>
  <c r="AH169" i="16"/>
  <c r="AI169" i="16" s="1"/>
  <c r="AH166" i="16"/>
  <c r="AI166" i="16" s="1"/>
  <c r="AH163" i="16"/>
  <c r="AI163" i="16" s="1"/>
  <c r="AH160" i="16"/>
  <c r="AI160" i="16" s="1"/>
  <c r="AH157" i="16"/>
  <c r="AI157" i="16" s="1"/>
  <c r="AH154" i="16"/>
  <c r="AI154" i="16" s="1"/>
  <c r="AH151" i="16"/>
  <c r="AI151" i="16" s="1"/>
  <c r="AH148" i="16"/>
  <c r="AI148" i="16" s="1"/>
  <c r="AH145" i="16"/>
  <c r="AI145" i="16" s="1"/>
  <c r="AH137" i="16"/>
  <c r="AH129" i="16"/>
  <c r="AH126" i="16"/>
  <c r="AI126" i="16" s="1"/>
  <c r="AH123" i="16"/>
  <c r="AI123" i="16" s="1"/>
  <c r="AH120" i="16"/>
  <c r="AI120" i="16" s="1"/>
  <c r="AH117" i="16"/>
  <c r="AI117" i="16" s="1"/>
  <c r="AH114" i="16"/>
  <c r="AI114" i="16" s="1"/>
  <c r="AH111" i="16"/>
  <c r="AI111" i="16" s="1"/>
  <c r="AH108" i="16"/>
  <c r="AI108" i="16" s="1"/>
  <c r="AH105" i="16"/>
  <c r="AI105" i="16" s="1"/>
  <c r="AH102" i="16"/>
  <c r="AI102" i="16" s="1"/>
  <c r="AH99" i="16"/>
  <c r="AI99" i="16" s="1"/>
  <c r="AH96" i="16"/>
  <c r="AI96" i="16" s="1"/>
  <c r="AH93" i="16"/>
  <c r="AI93" i="16" s="1"/>
  <c r="AH90" i="16"/>
  <c r="AI90" i="16" s="1"/>
  <c r="AH87" i="16"/>
  <c r="AI87" i="16" s="1"/>
  <c r="AH84" i="16"/>
  <c r="AI84" i="16" s="1"/>
  <c r="AH81" i="16"/>
  <c r="AI81" i="16" s="1"/>
  <c r="AH78" i="16"/>
  <c r="AI78" i="16" s="1"/>
  <c r="AH75" i="16"/>
  <c r="AI75" i="16" s="1"/>
  <c r="AH72" i="16"/>
  <c r="AI72" i="16" s="1"/>
  <c r="AH69" i="16"/>
  <c r="AI69" i="16" s="1"/>
  <c r="AH135" i="16"/>
  <c r="AH68" i="16"/>
  <c r="AH67" i="16"/>
  <c r="AI67" i="16" s="1"/>
  <c r="AH66" i="16"/>
  <c r="AI66" i="16" s="1"/>
  <c r="AH65" i="16"/>
  <c r="AI65" i="16" s="1"/>
  <c r="AH64" i="16"/>
  <c r="AI64" i="16" s="1"/>
  <c r="AH63" i="16"/>
  <c r="AI63" i="16" s="1"/>
  <c r="AH62" i="16"/>
  <c r="AI62" i="16" s="1"/>
  <c r="AH61" i="16"/>
  <c r="AI61" i="16" s="1"/>
  <c r="AH60" i="16"/>
  <c r="AI60" i="16" s="1"/>
  <c r="AH59" i="16"/>
  <c r="AI59" i="16" s="1"/>
  <c r="AH58" i="16"/>
  <c r="AI58" i="16" s="1"/>
  <c r="AH57" i="16"/>
  <c r="AI57" i="16" s="1"/>
  <c r="AH56" i="16"/>
  <c r="AI56" i="16" s="1"/>
  <c r="AH55" i="16"/>
  <c r="AI55" i="16" s="1"/>
  <c r="AH54" i="16"/>
  <c r="AI54" i="16" s="1"/>
  <c r="AH53" i="16"/>
  <c r="AI53" i="16" s="1"/>
  <c r="AH52" i="16"/>
  <c r="AI52" i="16" s="1"/>
  <c r="AH51" i="16"/>
  <c r="AI51" i="16" s="1"/>
  <c r="AH50" i="16"/>
  <c r="AI50" i="16" s="1"/>
  <c r="AH49" i="16"/>
  <c r="AI49" i="16" s="1"/>
  <c r="AH48" i="16"/>
  <c r="AI48" i="16" s="1"/>
  <c r="AH47" i="16"/>
  <c r="AI47" i="16" s="1"/>
  <c r="AH46" i="16"/>
  <c r="AI46" i="16" s="1"/>
  <c r="AH45" i="16"/>
  <c r="AI45" i="16" s="1"/>
  <c r="AH44" i="16"/>
  <c r="AI44" i="16" s="1"/>
  <c r="AH43" i="16"/>
  <c r="AI43" i="16" s="1"/>
  <c r="AH42" i="16"/>
  <c r="AI42" i="16" s="1"/>
  <c r="AH41" i="16"/>
  <c r="AI41" i="16" s="1"/>
  <c r="AH40" i="16"/>
  <c r="AI40" i="16" s="1"/>
  <c r="AH39" i="16"/>
  <c r="AI39" i="16" s="1"/>
  <c r="AH38" i="16"/>
  <c r="AI38" i="16" s="1"/>
  <c r="AH37" i="16"/>
  <c r="AI37" i="16" s="1"/>
  <c r="AH36" i="16"/>
  <c r="AI36" i="16" s="1"/>
  <c r="AH35" i="16"/>
  <c r="AI35" i="16" s="1"/>
  <c r="AH34" i="16"/>
  <c r="AI34" i="16" s="1"/>
  <c r="AH33" i="16"/>
  <c r="AI33" i="16" s="1"/>
  <c r="AH32" i="16"/>
  <c r="AI32" i="16" s="1"/>
  <c r="AH31" i="16"/>
  <c r="AI31" i="16" s="1"/>
  <c r="AH30" i="16"/>
  <c r="AI30" i="16" s="1"/>
  <c r="AH29" i="16"/>
  <c r="AI29" i="16" s="1"/>
  <c r="AH28" i="16"/>
  <c r="AI28" i="16" s="1"/>
  <c r="AH27" i="16"/>
  <c r="AI27" i="16" s="1"/>
  <c r="AH26" i="16"/>
  <c r="AI26" i="16" s="1"/>
  <c r="AH25" i="16"/>
  <c r="AI25" i="16" s="1"/>
  <c r="AH24" i="16"/>
  <c r="AI24" i="16" s="1"/>
  <c r="AH23" i="16"/>
  <c r="AI23" i="16" s="1"/>
  <c r="AH22" i="16"/>
  <c r="AI22" i="16" s="1"/>
  <c r="AH21" i="16"/>
  <c r="AI21" i="16" s="1"/>
  <c r="AH20" i="16"/>
  <c r="AI20" i="16" s="1"/>
  <c r="AH19" i="16"/>
  <c r="AI19" i="16" s="1"/>
  <c r="AH18" i="16"/>
  <c r="AI18" i="16" s="1"/>
  <c r="AH17" i="16"/>
  <c r="AI17" i="16" s="1"/>
  <c r="AH16" i="16"/>
  <c r="AI16" i="16" s="1"/>
  <c r="AH15" i="16"/>
  <c r="AI15" i="16" s="1"/>
  <c r="AH14" i="16"/>
  <c r="AI14" i="16" s="1"/>
  <c r="AH13" i="16"/>
  <c r="AI13" i="16" s="1"/>
  <c r="AH12" i="16"/>
  <c r="AI12" i="16" s="1"/>
  <c r="AH11" i="16"/>
  <c r="AI11" i="16" s="1"/>
  <c r="AH10" i="16"/>
  <c r="AI10" i="16" s="1"/>
  <c r="AH9" i="16"/>
  <c r="AI9" i="16" s="1"/>
  <c r="AH8" i="16"/>
  <c r="AI8" i="16" s="1"/>
  <c r="AH7" i="16"/>
  <c r="AI7" i="16" s="1"/>
  <c r="AH6" i="16"/>
  <c r="AI6" i="16" s="1"/>
  <c r="AH5" i="16"/>
  <c r="AI5" i="16" s="1"/>
  <c r="AH4" i="16"/>
  <c r="AI4" i="16" s="1"/>
  <c r="AH3" i="16"/>
  <c r="AI3" i="16" s="1"/>
  <c r="AH178" i="16"/>
  <c r="AI178" i="16" s="1"/>
  <c r="AH142" i="16"/>
  <c r="AI142" i="16" s="1"/>
  <c r="AH131" i="16"/>
  <c r="AI131" i="16" s="1"/>
  <c r="AH181" i="16"/>
  <c r="AI181" i="16" s="1"/>
  <c r="AH140" i="16"/>
  <c r="AI140" i="16" s="1"/>
  <c r="AH136" i="16"/>
  <c r="AH132" i="16"/>
  <c r="AI132" i="16" s="1"/>
  <c r="AH134" i="16"/>
  <c r="AH187" i="16"/>
  <c r="AI187" i="16" s="1"/>
  <c r="AH176" i="16"/>
  <c r="AI176" i="16" s="1"/>
  <c r="AH143" i="16"/>
  <c r="AH190" i="16"/>
  <c r="AI190" i="16" s="1"/>
  <c r="AH141" i="16"/>
  <c r="AI141" i="16" s="1"/>
  <c r="AG189" i="19"/>
  <c r="AG186" i="19"/>
  <c r="AG183" i="19"/>
  <c r="AG180" i="19"/>
  <c r="AG177" i="19"/>
  <c r="AG190" i="19"/>
  <c r="AG187" i="19"/>
  <c r="AG184" i="19"/>
  <c r="AG181" i="19"/>
  <c r="AG178" i="19"/>
  <c r="AG175" i="19"/>
  <c r="AG188" i="19"/>
  <c r="AG185" i="19"/>
  <c r="AG182" i="19"/>
  <c r="AG179" i="19"/>
  <c r="AG176" i="19"/>
  <c r="AG138" i="19"/>
  <c r="AG133" i="19"/>
  <c r="AG65" i="19"/>
  <c r="AG62" i="19"/>
  <c r="AG59" i="19"/>
  <c r="AG56" i="19"/>
  <c r="AG53" i="19"/>
  <c r="AG50" i="19"/>
  <c r="AG47" i="19"/>
  <c r="AG44" i="19"/>
  <c r="AG41" i="19"/>
  <c r="AG38" i="19"/>
  <c r="AG35" i="19"/>
  <c r="AG32" i="19"/>
  <c r="AG29" i="19"/>
  <c r="AG26" i="19"/>
  <c r="AG23" i="19"/>
  <c r="AG20" i="19"/>
  <c r="AG17" i="19"/>
  <c r="AG14" i="19"/>
  <c r="AG11" i="19"/>
  <c r="AG8" i="19"/>
  <c r="AG5" i="19"/>
  <c r="AG174" i="19"/>
  <c r="AG171" i="19"/>
  <c r="AG168" i="19"/>
  <c r="AG165" i="19"/>
  <c r="AG162" i="19"/>
  <c r="AG159" i="19"/>
  <c r="AG156" i="19"/>
  <c r="AG153" i="19"/>
  <c r="AG150" i="19"/>
  <c r="AG147" i="19"/>
  <c r="AG144" i="19"/>
  <c r="AG141" i="19"/>
  <c r="AG125" i="19"/>
  <c r="AG122" i="19"/>
  <c r="AG119" i="19"/>
  <c r="AG116" i="19"/>
  <c r="AG113" i="19"/>
  <c r="AG110" i="19"/>
  <c r="AG107" i="19"/>
  <c r="AG104" i="19"/>
  <c r="AG101" i="19"/>
  <c r="AG98" i="19"/>
  <c r="AG95" i="19"/>
  <c r="AG92" i="19"/>
  <c r="AG89" i="19"/>
  <c r="AG86" i="19"/>
  <c r="AG83" i="19"/>
  <c r="AG80" i="19"/>
  <c r="AG77" i="19"/>
  <c r="AG74" i="19"/>
  <c r="AG71" i="19"/>
  <c r="AG68" i="19"/>
  <c r="AG131" i="19"/>
  <c r="AG128" i="19"/>
  <c r="AG136" i="19"/>
  <c r="AG132" i="19"/>
  <c r="AG170" i="19"/>
  <c r="AG161" i="19"/>
  <c r="AG152" i="19"/>
  <c r="AG143" i="19"/>
  <c r="AG126" i="19"/>
  <c r="AG117" i="19"/>
  <c r="AG108" i="19"/>
  <c r="AG99" i="19"/>
  <c r="AG90" i="19"/>
  <c r="AG81" i="19"/>
  <c r="AG72" i="19"/>
  <c r="AG139" i="19"/>
  <c r="AG61" i="19"/>
  <c r="AG52" i="19"/>
  <c r="AG43" i="19"/>
  <c r="AG34" i="19"/>
  <c r="AG166" i="19"/>
  <c r="AG157" i="19"/>
  <c r="AG148" i="19"/>
  <c r="AG124" i="19"/>
  <c r="AG115" i="19"/>
  <c r="AG106" i="19"/>
  <c r="AG97" i="19"/>
  <c r="AG88" i="19"/>
  <c r="AG79" i="19"/>
  <c r="AG70" i="19"/>
  <c r="AG137" i="19"/>
  <c r="AG66" i="19"/>
  <c r="AG57" i="19"/>
  <c r="AG48" i="19"/>
  <c r="AG39" i="19"/>
  <c r="AG129" i="19"/>
  <c r="AG64" i="19"/>
  <c r="AG55" i="19"/>
  <c r="AG46" i="19"/>
  <c r="AG37" i="19"/>
  <c r="AG28" i="19"/>
  <c r="AG19" i="19"/>
  <c r="AG10" i="19"/>
  <c r="AG169" i="19"/>
  <c r="AG160" i="19"/>
  <c r="AG151" i="19"/>
  <c r="AG142" i="19"/>
  <c r="AG118" i="19"/>
  <c r="AG109" i="19"/>
  <c r="AG100" i="19"/>
  <c r="AG91" i="19"/>
  <c r="AG82" i="19"/>
  <c r="AG73" i="19"/>
  <c r="AG167" i="19"/>
  <c r="AG158" i="19"/>
  <c r="AG149" i="19"/>
  <c r="AG123" i="19"/>
  <c r="AG114" i="19"/>
  <c r="AG105" i="19"/>
  <c r="AG96" i="19"/>
  <c r="AG87" i="19"/>
  <c r="AG78" i="19"/>
  <c r="AG69" i="19"/>
  <c r="AG173" i="19"/>
  <c r="AG111" i="19"/>
  <c r="AG60" i="19"/>
  <c r="AG54" i="19"/>
  <c r="AG40" i="19"/>
  <c r="AG22" i="19"/>
  <c r="AG145" i="19"/>
  <c r="AG154" i="19"/>
  <c r="AG140" i="19"/>
  <c r="AG75" i="19"/>
  <c r="AG58" i="19"/>
  <c r="AG25" i="19"/>
  <c r="AG15" i="19"/>
  <c r="AG4" i="19"/>
  <c r="AG163" i="19"/>
  <c r="AG146" i="19"/>
  <c r="AG84" i="19"/>
  <c r="AG67" i="19"/>
  <c r="AG27" i="19"/>
  <c r="AG16" i="19"/>
  <c r="AG6" i="19"/>
  <c r="AG172" i="19"/>
  <c r="AG155" i="19"/>
  <c r="AG127" i="19"/>
  <c r="AG93" i="19"/>
  <c r="AG42" i="19"/>
  <c r="AG18" i="19"/>
  <c r="AG7" i="19"/>
  <c r="AG13" i="19"/>
  <c r="AG164" i="19"/>
  <c r="AG121" i="19"/>
  <c r="AG21" i="19"/>
  <c r="AG3" i="19"/>
  <c r="AG45" i="19"/>
  <c r="AG36" i="19"/>
  <c r="AG134" i="19"/>
  <c r="AG102" i="19"/>
  <c r="AG24" i="19"/>
  <c r="AG63" i="19"/>
  <c r="AG49" i="19"/>
  <c r="AG9" i="19"/>
  <c r="AG120" i="19"/>
  <c r="AG51" i="19"/>
  <c r="AG30" i="19"/>
  <c r="AG76" i="19"/>
  <c r="AG130" i="19"/>
  <c r="AG33" i="19"/>
  <c r="AG135" i="19"/>
  <c r="AG31" i="19"/>
  <c r="AG12" i="19"/>
  <c r="AG112" i="19"/>
  <c r="AH1" i="19"/>
  <c r="AG103" i="19"/>
  <c r="AG94" i="19"/>
  <c r="AG85" i="19"/>
  <c r="AG174" i="26"/>
  <c r="AG171" i="26"/>
  <c r="AG168" i="26"/>
  <c r="AG165" i="26"/>
  <c r="AG162" i="26"/>
  <c r="AG159" i="26"/>
  <c r="AG175" i="26"/>
  <c r="AG172" i="26"/>
  <c r="AG169" i="26"/>
  <c r="AG166" i="26"/>
  <c r="AG163" i="26"/>
  <c r="AG160" i="26"/>
  <c r="AG176" i="26"/>
  <c r="AG173" i="26"/>
  <c r="AG170" i="26"/>
  <c r="AG167" i="26"/>
  <c r="AG164" i="26"/>
  <c r="AG161" i="26"/>
  <c r="AG158" i="26"/>
  <c r="AG156" i="26"/>
  <c r="AG153" i="26"/>
  <c r="AG150" i="26"/>
  <c r="AG147" i="26"/>
  <c r="AG144" i="26"/>
  <c r="AG141" i="26"/>
  <c r="AG138" i="26"/>
  <c r="AG135" i="26"/>
  <c r="AG132" i="26"/>
  <c r="AG129" i="26"/>
  <c r="AG157" i="26"/>
  <c r="AG154" i="26"/>
  <c r="AG151" i="26"/>
  <c r="AG148" i="26"/>
  <c r="AG145" i="26"/>
  <c r="AG142" i="26"/>
  <c r="AG139" i="26"/>
  <c r="AG136" i="26"/>
  <c r="AG133" i="26"/>
  <c r="AG127" i="26"/>
  <c r="AG123" i="26"/>
  <c r="AG114" i="26"/>
  <c r="AG110" i="26"/>
  <c r="AG107" i="26"/>
  <c r="AG104" i="26"/>
  <c r="AG101" i="26"/>
  <c r="AG98" i="26"/>
  <c r="AG95" i="26"/>
  <c r="AG92" i="26"/>
  <c r="AG89" i="26"/>
  <c r="AG86" i="26"/>
  <c r="AG83" i="26"/>
  <c r="AG80" i="26"/>
  <c r="AG77" i="26"/>
  <c r="AG74" i="26"/>
  <c r="AG71" i="26"/>
  <c r="AG155" i="26"/>
  <c r="AG146" i="26"/>
  <c r="AG137" i="26"/>
  <c r="AG128" i="26"/>
  <c r="AG124" i="26"/>
  <c r="AG149" i="26"/>
  <c r="AG140" i="26"/>
  <c r="AG125" i="26"/>
  <c r="AG116" i="26"/>
  <c r="AG113" i="26"/>
  <c r="AG109" i="26"/>
  <c r="AG106" i="26"/>
  <c r="AG103" i="26"/>
  <c r="AG100" i="26"/>
  <c r="AG97" i="26"/>
  <c r="AG94" i="26"/>
  <c r="AG91" i="26"/>
  <c r="AG88" i="26"/>
  <c r="AG85" i="26"/>
  <c r="AG82" i="26"/>
  <c r="AG79" i="26"/>
  <c r="AG76" i="26"/>
  <c r="AG73" i="26"/>
  <c r="AG70" i="26"/>
  <c r="AG130" i="26"/>
  <c r="AG131" i="26"/>
  <c r="AG143" i="26"/>
  <c r="AG115" i="26"/>
  <c r="AG111" i="26"/>
  <c r="AG108" i="26"/>
  <c r="AG105" i="26"/>
  <c r="AG102" i="26"/>
  <c r="AG99" i="26"/>
  <c r="AG96" i="26"/>
  <c r="AG93" i="26"/>
  <c r="AG90" i="26"/>
  <c r="AG87" i="26"/>
  <c r="AG84" i="26"/>
  <c r="AG81" i="26"/>
  <c r="AG78" i="26"/>
  <c r="AG75" i="26"/>
  <c r="AG72" i="26"/>
  <c r="AG67" i="26"/>
  <c r="AG64" i="26"/>
  <c r="AG61" i="26"/>
  <c r="AG58" i="26"/>
  <c r="AG55" i="26"/>
  <c r="AG52" i="26"/>
  <c r="AG134" i="26"/>
  <c r="AG69" i="26"/>
  <c r="AG66" i="26"/>
  <c r="AG63" i="26"/>
  <c r="AG60" i="26"/>
  <c r="AG57" i="26"/>
  <c r="AG54" i="26"/>
  <c r="AG51" i="26"/>
  <c r="AH1" i="26"/>
  <c r="AG152" i="26"/>
  <c r="AG62" i="26"/>
  <c r="AG53" i="26"/>
  <c r="AG48" i="26"/>
  <c r="AG45" i="26"/>
  <c r="AG42" i="26"/>
  <c r="AG39" i="26"/>
  <c r="AG36" i="26"/>
  <c r="AG33" i="26"/>
  <c r="AG30" i="26"/>
  <c r="AG27" i="26"/>
  <c r="AG24" i="26"/>
  <c r="AG21" i="26"/>
  <c r="AG18" i="26"/>
  <c r="AG15" i="26"/>
  <c r="AG12" i="26"/>
  <c r="AG9" i="26"/>
  <c r="AG6" i="26"/>
  <c r="AG3" i="26"/>
  <c r="AG68" i="26"/>
  <c r="AG50" i="26"/>
  <c r="AG41" i="26"/>
  <c r="AG32" i="26"/>
  <c r="AG23" i="26"/>
  <c r="AG14" i="26"/>
  <c r="AG5" i="26"/>
  <c r="AG43" i="26"/>
  <c r="AG34" i="26"/>
  <c r="AG25" i="26"/>
  <c r="AG16" i="26"/>
  <c r="AG7" i="26"/>
  <c r="AG44" i="26"/>
  <c r="AG35" i="26"/>
  <c r="AG26" i="26"/>
  <c r="AG17" i="26"/>
  <c r="AG8" i="26"/>
  <c r="AG65" i="26"/>
  <c r="AG49" i="26"/>
  <c r="AG40" i="26"/>
  <c r="AG31" i="26"/>
  <c r="AG22" i="26"/>
  <c r="AG13" i="26"/>
  <c r="AG4" i="26"/>
  <c r="AG59" i="26"/>
  <c r="AG47" i="26"/>
  <c r="AG38" i="26"/>
  <c r="AG56" i="26"/>
  <c r="AG46" i="26"/>
  <c r="AG37" i="26"/>
  <c r="AG29" i="26"/>
  <c r="AG11" i="26"/>
  <c r="AG28" i="26"/>
  <c r="AG10" i="26"/>
  <c r="AG20" i="26"/>
  <c r="AG19" i="26"/>
  <c r="AH181" i="24"/>
  <c r="AI181" i="24" s="1"/>
  <c r="AH178" i="24"/>
  <c r="AI178" i="24" s="1"/>
  <c r="AH175" i="24"/>
  <c r="AI175" i="24" s="1"/>
  <c r="AH172" i="24"/>
  <c r="AI172" i="24" s="1"/>
  <c r="AH169" i="24"/>
  <c r="AI169" i="24" s="1"/>
  <c r="AH166" i="24"/>
  <c r="AI166" i="24" s="1"/>
  <c r="AH163" i="24"/>
  <c r="AI163" i="24" s="1"/>
  <c r="AH160" i="24"/>
  <c r="AI160" i="24" s="1"/>
  <c r="AH157" i="24"/>
  <c r="AI157" i="24" s="1"/>
  <c r="AH154" i="24"/>
  <c r="AI154" i="24" s="1"/>
  <c r="AH151" i="24"/>
  <c r="AI151" i="24" s="1"/>
  <c r="AH148" i="24"/>
  <c r="AI148" i="24" s="1"/>
  <c r="AH145" i="24"/>
  <c r="AI145" i="24" s="1"/>
  <c r="AH142" i="24"/>
  <c r="AI142" i="24" s="1"/>
  <c r="AH179" i="24"/>
  <c r="AI179" i="24" s="1"/>
  <c r="AH176" i="24"/>
  <c r="AI176" i="24" s="1"/>
  <c r="AH173" i="24"/>
  <c r="AI173" i="24" s="1"/>
  <c r="AH170" i="24"/>
  <c r="AI170" i="24" s="1"/>
  <c r="AH167" i="24"/>
  <c r="AI167" i="24" s="1"/>
  <c r="AH164" i="24"/>
  <c r="AI164" i="24" s="1"/>
  <c r="AH161" i="24"/>
  <c r="AI161" i="24" s="1"/>
  <c r="AH158" i="24"/>
  <c r="AI158" i="24" s="1"/>
  <c r="AH155" i="24"/>
  <c r="AI155" i="24" s="1"/>
  <c r="AH152" i="24"/>
  <c r="AI152" i="24" s="1"/>
  <c r="AH149" i="24"/>
  <c r="AI149" i="24" s="1"/>
  <c r="AH146" i="24"/>
  <c r="AI146" i="24" s="1"/>
  <c r="AH143" i="24"/>
  <c r="AI143" i="24" s="1"/>
  <c r="AH140" i="24"/>
  <c r="AI140" i="24" s="1"/>
  <c r="AH138" i="24"/>
  <c r="AI138" i="24" s="1"/>
  <c r="AH135" i="24"/>
  <c r="AI135" i="24" s="1"/>
  <c r="AH132" i="24"/>
  <c r="AI132" i="24" s="1"/>
  <c r="AH116" i="24"/>
  <c r="AI116" i="24" s="1"/>
  <c r="AH113" i="24"/>
  <c r="AI113" i="24" s="1"/>
  <c r="AH110" i="24"/>
  <c r="AI110" i="24" s="1"/>
  <c r="AH107" i="24"/>
  <c r="AI107" i="24" s="1"/>
  <c r="AH104" i="24"/>
  <c r="AI104" i="24" s="1"/>
  <c r="AH101" i="24"/>
  <c r="AI101" i="24" s="1"/>
  <c r="AH98" i="24"/>
  <c r="AI98" i="24" s="1"/>
  <c r="AH95" i="24"/>
  <c r="AI95" i="24" s="1"/>
  <c r="AH92" i="24"/>
  <c r="AI92" i="24" s="1"/>
  <c r="AH89" i="24"/>
  <c r="AI89" i="24" s="1"/>
  <c r="AH86" i="24"/>
  <c r="AI86" i="24" s="1"/>
  <c r="AH83" i="24"/>
  <c r="AI83" i="24" s="1"/>
  <c r="AH80" i="24"/>
  <c r="AI80" i="24" s="1"/>
  <c r="AH77" i="24"/>
  <c r="AI77" i="24" s="1"/>
  <c r="AH74" i="24"/>
  <c r="AI74" i="24" s="1"/>
  <c r="AH71" i="24"/>
  <c r="AI71" i="24" s="1"/>
  <c r="AH68" i="24"/>
  <c r="AI68" i="24" s="1"/>
  <c r="AH65" i="24"/>
  <c r="AI65" i="24" s="1"/>
  <c r="AH62" i="24"/>
  <c r="AI62" i="24" s="1"/>
  <c r="AH59" i="24"/>
  <c r="AI59" i="24" s="1"/>
  <c r="AH56" i="24"/>
  <c r="AI56" i="24" s="1"/>
  <c r="AH53" i="24"/>
  <c r="AI53" i="24" s="1"/>
  <c r="AH50" i="24"/>
  <c r="AI50" i="24" s="1"/>
  <c r="AH47" i="24"/>
  <c r="AI47" i="24" s="1"/>
  <c r="AH44" i="24"/>
  <c r="AI44" i="24" s="1"/>
  <c r="AH41" i="24"/>
  <c r="AI41" i="24" s="1"/>
  <c r="AH38" i="24"/>
  <c r="AI38" i="24" s="1"/>
  <c r="AH35" i="24"/>
  <c r="AI35" i="24" s="1"/>
  <c r="AH32" i="24"/>
  <c r="AI32" i="24" s="1"/>
  <c r="AH29" i="24"/>
  <c r="AI29" i="24" s="1"/>
  <c r="AH122" i="24"/>
  <c r="AH119" i="24"/>
  <c r="AI119" i="24" s="1"/>
  <c r="AH127" i="24"/>
  <c r="AH130" i="24"/>
  <c r="AI130" i="24" s="1"/>
  <c r="AH180" i="24"/>
  <c r="AI180" i="24" s="1"/>
  <c r="AH177" i="24"/>
  <c r="AI177" i="24" s="1"/>
  <c r="AH174" i="24"/>
  <c r="AI174" i="24" s="1"/>
  <c r="AH171" i="24"/>
  <c r="AI171" i="24" s="1"/>
  <c r="AH168" i="24"/>
  <c r="AI168" i="24" s="1"/>
  <c r="AH165" i="24"/>
  <c r="AI165" i="24" s="1"/>
  <c r="AH162" i="24"/>
  <c r="AI162" i="24" s="1"/>
  <c r="AH159" i="24"/>
  <c r="AI159" i="24" s="1"/>
  <c r="AH156" i="24"/>
  <c r="AI156" i="24" s="1"/>
  <c r="AH153" i="24"/>
  <c r="AI153" i="24" s="1"/>
  <c r="AH150" i="24"/>
  <c r="AI150" i="24" s="1"/>
  <c r="AH147" i="24"/>
  <c r="AI147" i="24" s="1"/>
  <c r="AH144" i="24"/>
  <c r="AI144" i="24" s="1"/>
  <c r="AH141" i="24"/>
  <c r="AI141" i="24" s="1"/>
  <c r="AH139" i="24"/>
  <c r="AI139" i="24" s="1"/>
  <c r="AH136" i="24"/>
  <c r="AI136" i="24" s="1"/>
  <c r="AH133" i="24"/>
  <c r="AI133" i="24" s="1"/>
  <c r="AH125" i="24"/>
  <c r="AH117" i="24"/>
  <c r="AH114" i="24"/>
  <c r="AI114" i="24" s="1"/>
  <c r="AH111" i="24"/>
  <c r="AI111" i="24" s="1"/>
  <c r="AH108" i="24"/>
  <c r="AI108" i="24" s="1"/>
  <c r="AH105" i="24"/>
  <c r="AI105" i="24" s="1"/>
  <c r="AH102" i="24"/>
  <c r="AI102" i="24" s="1"/>
  <c r="AH99" i="24"/>
  <c r="AI99" i="24" s="1"/>
  <c r="AH96" i="24"/>
  <c r="AI96" i="24" s="1"/>
  <c r="AH93" i="24"/>
  <c r="AI93" i="24" s="1"/>
  <c r="AH90" i="24"/>
  <c r="AI90" i="24" s="1"/>
  <c r="AH87" i="24"/>
  <c r="AI87" i="24" s="1"/>
  <c r="AH84" i="24"/>
  <c r="AI84" i="24" s="1"/>
  <c r="AH81" i="24"/>
  <c r="AI81" i="24" s="1"/>
  <c r="AH78" i="24"/>
  <c r="AI78" i="24" s="1"/>
  <c r="AH75" i="24"/>
  <c r="AI75" i="24" s="1"/>
  <c r="AH72" i="24"/>
  <c r="AI72" i="24" s="1"/>
  <c r="AH69" i="24"/>
  <c r="AI69" i="24" s="1"/>
  <c r="AH66" i="24"/>
  <c r="AI66" i="24" s="1"/>
  <c r="AH63" i="24"/>
  <c r="AI63" i="24" s="1"/>
  <c r="AH60" i="24"/>
  <c r="AI60" i="24" s="1"/>
  <c r="AH57" i="24"/>
  <c r="AI57" i="24" s="1"/>
  <c r="AH54" i="24"/>
  <c r="AI54" i="24" s="1"/>
  <c r="AH51" i="24"/>
  <c r="AI51" i="24" s="1"/>
  <c r="AH48" i="24"/>
  <c r="AI48" i="24" s="1"/>
  <c r="AH45" i="24"/>
  <c r="AI45" i="24" s="1"/>
  <c r="AH42" i="24"/>
  <c r="AI42" i="24" s="1"/>
  <c r="AH39" i="24"/>
  <c r="AI39" i="24" s="1"/>
  <c r="AH36" i="24"/>
  <c r="AI36" i="24" s="1"/>
  <c r="AH33" i="24"/>
  <c r="AI33" i="24" s="1"/>
  <c r="AH30" i="24"/>
  <c r="AI30" i="24" s="1"/>
  <c r="AH120" i="24"/>
  <c r="AI120" i="24" s="1"/>
  <c r="AH123" i="24"/>
  <c r="AH131" i="24"/>
  <c r="AH128" i="24"/>
  <c r="AI128" i="24" s="1"/>
  <c r="AH137" i="24"/>
  <c r="AI137" i="24" s="1"/>
  <c r="AH134" i="24"/>
  <c r="AI134" i="24" s="1"/>
  <c r="AH49" i="24"/>
  <c r="AI49" i="24" s="1"/>
  <c r="AH40" i="24"/>
  <c r="AI40" i="24" s="1"/>
  <c r="AH31" i="24"/>
  <c r="AI31" i="24" s="1"/>
  <c r="AH25" i="24"/>
  <c r="AI25" i="24" s="1"/>
  <c r="AH22" i="24"/>
  <c r="AI22" i="24" s="1"/>
  <c r="AH19" i="24"/>
  <c r="AI19" i="24" s="1"/>
  <c r="AH16" i="24"/>
  <c r="AI16" i="24" s="1"/>
  <c r="AH13" i="24"/>
  <c r="AI13" i="24" s="1"/>
  <c r="AH10" i="24"/>
  <c r="AI10" i="24" s="1"/>
  <c r="AH7" i="24"/>
  <c r="AI7" i="24" s="1"/>
  <c r="AH4" i="24"/>
  <c r="AI4" i="24" s="1"/>
  <c r="AH126" i="24"/>
  <c r="AH129" i="24"/>
  <c r="AI129" i="24" s="1"/>
  <c r="AH115" i="24"/>
  <c r="AI115" i="24" s="1"/>
  <c r="AH112" i="24"/>
  <c r="AI112" i="24" s="1"/>
  <c r="AH109" i="24"/>
  <c r="AI109" i="24" s="1"/>
  <c r="AH106" i="24"/>
  <c r="AI106" i="24" s="1"/>
  <c r="AH103" i="24"/>
  <c r="AI103" i="24" s="1"/>
  <c r="AH100" i="24"/>
  <c r="AI100" i="24" s="1"/>
  <c r="AH97" i="24"/>
  <c r="AI97" i="24" s="1"/>
  <c r="AH94" i="24"/>
  <c r="AI94" i="24" s="1"/>
  <c r="AH91" i="24"/>
  <c r="AI91" i="24" s="1"/>
  <c r="AH88" i="24"/>
  <c r="AI88" i="24" s="1"/>
  <c r="AH85" i="24"/>
  <c r="AI85" i="24" s="1"/>
  <c r="AH82" i="24"/>
  <c r="AI82" i="24" s="1"/>
  <c r="AH79" i="24"/>
  <c r="AI79" i="24" s="1"/>
  <c r="AH76" i="24"/>
  <c r="AI76" i="24" s="1"/>
  <c r="AH73" i="24"/>
  <c r="AI73" i="24" s="1"/>
  <c r="AH70" i="24"/>
  <c r="AI70" i="24" s="1"/>
  <c r="AH67" i="24"/>
  <c r="AI67" i="24" s="1"/>
  <c r="AH64" i="24"/>
  <c r="AI64" i="24" s="1"/>
  <c r="AH61" i="24"/>
  <c r="AI61" i="24" s="1"/>
  <c r="AH58" i="24"/>
  <c r="AI58" i="24" s="1"/>
  <c r="AH55" i="24"/>
  <c r="AI55" i="24" s="1"/>
  <c r="AH52" i="24"/>
  <c r="AI52" i="24" s="1"/>
  <c r="AH43" i="24"/>
  <c r="AI43" i="24" s="1"/>
  <c r="AH34" i="24"/>
  <c r="AI34" i="24" s="1"/>
  <c r="AH121" i="24"/>
  <c r="AI121" i="24" s="1"/>
  <c r="AH118" i="24"/>
  <c r="AI118" i="24" s="1"/>
  <c r="AH26" i="24"/>
  <c r="AI26" i="24" s="1"/>
  <c r="AH23" i="24"/>
  <c r="AI23" i="24" s="1"/>
  <c r="AH20" i="24"/>
  <c r="AI20" i="24" s="1"/>
  <c r="AH17" i="24"/>
  <c r="AI17" i="24" s="1"/>
  <c r="AH14" i="24"/>
  <c r="AI14" i="24" s="1"/>
  <c r="AH11" i="24"/>
  <c r="AI11" i="24" s="1"/>
  <c r="AH8" i="24"/>
  <c r="AI8" i="24" s="1"/>
  <c r="AH5" i="24"/>
  <c r="AI5" i="24" s="1"/>
  <c r="AH46" i="24"/>
  <c r="AI46" i="24" s="1"/>
  <c r="AH37" i="24"/>
  <c r="AI37" i="24" s="1"/>
  <c r="AH28" i="24"/>
  <c r="AI28" i="24" s="1"/>
  <c r="AH124" i="24"/>
  <c r="AH21" i="24"/>
  <c r="AI21" i="24" s="1"/>
  <c r="AH12" i="24"/>
  <c r="AI12" i="24" s="1"/>
  <c r="AH3" i="24"/>
  <c r="AI3" i="24" s="1"/>
  <c r="AH24" i="24"/>
  <c r="AI24" i="24" s="1"/>
  <c r="AH15" i="24"/>
  <c r="AI15" i="24" s="1"/>
  <c r="AH6" i="24"/>
  <c r="AI6" i="24" s="1"/>
  <c r="AH27" i="24"/>
  <c r="AI27" i="24" s="1"/>
  <c r="AH9" i="24"/>
  <c r="AI9" i="24" s="1"/>
  <c r="AH18" i="24"/>
  <c r="AI18" i="24" s="1"/>
  <c r="AH131" i="23" l="1"/>
  <c r="AH134" i="23"/>
  <c r="AI134" i="23" s="1"/>
  <c r="AH185" i="23"/>
  <c r="AI185" i="23" s="1"/>
  <c r="AH182" i="23"/>
  <c r="AI182" i="23" s="1"/>
  <c r="AH179" i="23"/>
  <c r="AI179" i="23" s="1"/>
  <c r="AH176" i="23"/>
  <c r="AI176" i="23" s="1"/>
  <c r="AH173" i="23"/>
  <c r="AI173" i="23" s="1"/>
  <c r="AH170" i="23"/>
  <c r="AI170" i="23" s="1"/>
  <c r="AH167" i="23"/>
  <c r="AI167" i="23" s="1"/>
  <c r="AH164" i="23"/>
  <c r="AI164" i="23" s="1"/>
  <c r="AH161" i="23"/>
  <c r="AI161" i="23" s="1"/>
  <c r="AH158" i="23"/>
  <c r="AI158" i="23" s="1"/>
  <c r="AH155" i="23"/>
  <c r="AI155" i="23" s="1"/>
  <c r="AH152" i="23"/>
  <c r="AI152" i="23" s="1"/>
  <c r="AH149" i="23"/>
  <c r="AI149" i="23" s="1"/>
  <c r="AH146" i="23"/>
  <c r="AI146" i="23" s="1"/>
  <c r="AH143" i="23"/>
  <c r="AI143" i="23" s="1"/>
  <c r="AH140" i="23"/>
  <c r="AI140" i="23" s="1"/>
  <c r="AH137" i="23"/>
  <c r="AI137" i="23" s="1"/>
  <c r="AH129" i="23"/>
  <c r="AH121" i="23"/>
  <c r="AH118" i="23"/>
  <c r="AI118" i="23" s="1"/>
  <c r="AH124" i="23"/>
  <c r="AI124" i="23" s="1"/>
  <c r="AH127" i="23"/>
  <c r="AH183" i="23"/>
  <c r="AI183" i="23" s="1"/>
  <c r="AH180" i="23"/>
  <c r="AI180" i="23" s="1"/>
  <c r="AH177" i="23"/>
  <c r="AI177" i="23" s="1"/>
  <c r="AH174" i="23"/>
  <c r="AI174" i="23" s="1"/>
  <c r="AH171" i="23"/>
  <c r="AI171" i="23" s="1"/>
  <c r="AH168" i="23"/>
  <c r="AI168" i="23" s="1"/>
  <c r="AH165" i="23"/>
  <c r="AI165" i="23" s="1"/>
  <c r="AH162" i="23"/>
  <c r="AI162" i="23" s="1"/>
  <c r="AH159" i="23"/>
  <c r="AI159" i="23" s="1"/>
  <c r="AH156" i="23"/>
  <c r="AI156" i="23" s="1"/>
  <c r="AH153" i="23"/>
  <c r="AI153" i="23" s="1"/>
  <c r="AH150" i="23"/>
  <c r="AI150" i="23" s="1"/>
  <c r="AH147" i="23"/>
  <c r="AI147" i="23" s="1"/>
  <c r="AH144" i="23"/>
  <c r="AI144" i="23" s="1"/>
  <c r="AH141" i="23"/>
  <c r="AI141" i="23" s="1"/>
  <c r="AH138" i="23"/>
  <c r="AI138" i="23" s="1"/>
  <c r="AH119" i="23"/>
  <c r="AI119" i="23" s="1"/>
  <c r="AH130" i="23"/>
  <c r="AH125" i="23"/>
  <c r="AI125" i="23" s="1"/>
  <c r="AH122" i="23"/>
  <c r="AI122" i="23" s="1"/>
  <c r="AH184" i="23"/>
  <c r="AI184" i="23" s="1"/>
  <c r="AH181" i="23"/>
  <c r="AI181" i="23" s="1"/>
  <c r="AH178" i="23"/>
  <c r="AI178" i="23" s="1"/>
  <c r="AH175" i="23"/>
  <c r="AI175" i="23" s="1"/>
  <c r="AH172" i="23"/>
  <c r="AI172" i="23" s="1"/>
  <c r="AH169" i="23"/>
  <c r="AI169" i="23" s="1"/>
  <c r="AH166" i="23"/>
  <c r="AI166" i="23" s="1"/>
  <c r="AH163" i="23"/>
  <c r="AI163" i="23" s="1"/>
  <c r="AH160" i="23"/>
  <c r="AI160" i="23" s="1"/>
  <c r="AH157" i="23"/>
  <c r="AI157" i="23" s="1"/>
  <c r="AH154" i="23"/>
  <c r="AI154" i="23" s="1"/>
  <c r="AH151" i="23"/>
  <c r="AI151" i="23" s="1"/>
  <c r="AH148" i="23"/>
  <c r="AI148" i="23" s="1"/>
  <c r="AH145" i="23"/>
  <c r="AI145" i="23" s="1"/>
  <c r="AH142" i="23"/>
  <c r="AI142" i="23" s="1"/>
  <c r="AH139" i="23"/>
  <c r="AI139" i="23" s="1"/>
  <c r="AH136" i="23"/>
  <c r="AI136" i="23" s="1"/>
  <c r="AH120" i="23"/>
  <c r="AI120" i="23" s="1"/>
  <c r="AH116" i="23"/>
  <c r="AI116" i="23" s="1"/>
  <c r="AH113" i="23"/>
  <c r="AI113" i="23" s="1"/>
  <c r="AH110" i="23"/>
  <c r="AI110" i="23" s="1"/>
  <c r="AH107" i="23"/>
  <c r="AI107" i="23" s="1"/>
  <c r="AH104" i="23"/>
  <c r="AI104" i="23" s="1"/>
  <c r="AH101" i="23"/>
  <c r="AI101" i="23" s="1"/>
  <c r="AH98" i="23"/>
  <c r="AI98" i="23" s="1"/>
  <c r="AH95" i="23"/>
  <c r="AI95" i="23" s="1"/>
  <c r="AH92" i="23"/>
  <c r="AI92" i="23" s="1"/>
  <c r="AH89" i="23"/>
  <c r="AI89" i="23" s="1"/>
  <c r="AH86" i="23"/>
  <c r="AI86" i="23" s="1"/>
  <c r="AH83" i="23"/>
  <c r="AI83" i="23" s="1"/>
  <c r="AH133" i="23"/>
  <c r="AI133" i="23" s="1"/>
  <c r="AH123" i="23"/>
  <c r="AI123" i="23" s="1"/>
  <c r="AH135" i="23"/>
  <c r="AH115" i="23"/>
  <c r="AI115" i="23" s="1"/>
  <c r="AH112" i="23"/>
  <c r="AI112" i="23" s="1"/>
  <c r="AH109" i="23"/>
  <c r="AI109" i="23" s="1"/>
  <c r="AH106" i="23"/>
  <c r="AI106" i="23" s="1"/>
  <c r="AH103" i="23"/>
  <c r="AI103" i="23" s="1"/>
  <c r="AH100" i="23"/>
  <c r="AI100" i="23" s="1"/>
  <c r="AH97" i="23"/>
  <c r="AI97" i="23" s="1"/>
  <c r="AH94" i="23"/>
  <c r="AI94" i="23" s="1"/>
  <c r="AH128" i="23"/>
  <c r="AH126" i="23"/>
  <c r="AH93" i="23"/>
  <c r="AI93" i="23" s="1"/>
  <c r="AH132" i="23"/>
  <c r="AI132" i="23" s="1"/>
  <c r="AH114" i="23"/>
  <c r="AI114" i="23" s="1"/>
  <c r="AH105" i="23"/>
  <c r="AI105" i="23" s="1"/>
  <c r="AH81" i="23"/>
  <c r="AI81" i="23" s="1"/>
  <c r="AH78" i="23"/>
  <c r="AI78" i="23" s="1"/>
  <c r="AH75" i="23"/>
  <c r="AI75" i="23" s="1"/>
  <c r="AH72" i="23"/>
  <c r="AI72" i="23" s="1"/>
  <c r="AH69" i="23"/>
  <c r="AI69" i="23" s="1"/>
  <c r="AH66" i="23"/>
  <c r="AI66" i="23" s="1"/>
  <c r="AH63" i="23"/>
  <c r="AI63" i="23" s="1"/>
  <c r="AH60" i="23"/>
  <c r="AI60" i="23" s="1"/>
  <c r="AH57" i="23"/>
  <c r="AI57" i="23" s="1"/>
  <c r="AH54" i="23"/>
  <c r="AI54" i="23" s="1"/>
  <c r="AH51" i="23"/>
  <c r="AI51" i="23" s="1"/>
  <c r="AH48" i="23"/>
  <c r="AI48" i="23" s="1"/>
  <c r="AH96" i="23"/>
  <c r="AI96" i="23" s="1"/>
  <c r="AH87" i="23"/>
  <c r="AI87" i="23" s="1"/>
  <c r="AH99" i="23"/>
  <c r="AI99" i="23" s="1"/>
  <c r="AH117" i="23"/>
  <c r="AI117" i="23" s="1"/>
  <c r="AH82" i="23"/>
  <c r="AI82" i="23" s="1"/>
  <c r="AH79" i="23"/>
  <c r="AI79" i="23" s="1"/>
  <c r="AH76" i="23"/>
  <c r="AI76" i="23" s="1"/>
  <c r="AH73" i="23"/>
  <c r="AI73" i="23" s="1"/>
  <c r="AH70" i="23"/>
  <c r="AI70" i="23" s="1"/>
  <c r="AH67" i="23"/>
  <c r="AI67" i="23" s="1"/>
  <c r="AH64" i="23"/>
  <c r="AI64" i="23" s="1"/>
  <c r="AH61" i="23"/>
  <c r="AI61" i="23" s="1"/>
  <c r="AH58" i="23"/>
  <c r="AI58" i="23" s="1"/>
  <c r="AH55" i="23"/>
  <c r="AI55" i="23" s="1"/>
  <c r="AH91" i="23"/>
  <c r="AI91" i="23" s="1"/>
  <c r="AH85" i="23"/>
  <c r="AI85" i="23" s="1"/>
  <c r="AH108" i="23"/>
  <c r="AI108" i="23" s="1"/>
  <c r="AH80" i="23"/>
  <c r="AI80" i="23" s="1"/>
  <c r="AH77" i="23"/>
  <c r="AI77" i="23" s="1"/>
  <c r="AH74" i="23"/>
  <c r="AI74" i="23" s="1"/>
  <c r="AH71" i="23"/>
  <c r="AI71" i="23" s="1"/>
  <c r="AH68" i="23"/>
  <c r="AI68" i="23" s="1"/>
  <c r="AH65" i="23"/>
  <c r="AI65" i="23" s="1"/>
  <c r="AH62" i="23"/>
  <c r="AI62" i="23" s="1"/>
  <c r="AH59" i="23"/>
  <c r="AI59" i="23" s="1"/>
  <c r="AH56" i="23"/>
  <c r="AI56" i="23" s="1"/>
  <c r="AH53" i="23"/>
  <c r="AI53" i="23" s="1"/>
  <c r="AH50" i="23"/>
  <c r="AI50" i="23" s="1"/>
  <c r="AH47" i="23"/>
  <c r="AI47" i="23" s="1"/>
  <c r="AH102" i="23"/>
  <c r="AI102" i="23" s="1"/>
  <c r="AH84" i="23"/>
  <c r="AI84" i="23" s="1"/>
  <c r="AH49" i="23"/>
  <c r="AI49" i="23" s="1"/>
  <c r="AH46" i="23"/>
  <c r="AI46" i="23" s="1"/>
  <c r="AH43" i="23"/>
  <c r="AI43" i="23" s="1"/>
  <c r="AH40" i="23"/>
  <c r="AI40" i="23" s="1"/>
  <c r="AH37" i="23"/>
  <c r="AI37" i="23" s="1"/>
  <c r="AH34" i="23"/>
  <c r="AI34" i="23" s="1"/>
  <c r="AH31" i="23"/>
  <c r="AI31" i="23" s="1"/>
  <c r="AH28" i="23"/>
  <c r="AI28" i="23" s="1"/>
  <c r="AH25" i="23"/>
  <c r="AI25" i="23" s="1"/>
  <c r="AH22" i="23"/>
  <c r="AI22" i="23" s="1"/>
  <c r="AH19" i="23"/>
  <c r="AI19" i="23" s="1"/>
  <c r="AH16" i="23"/>
  <c r="AI16" i="23" s="1"/>
  <c r="AH13" i="23"/>
  <c r="AI13" i="23" s="1"/>
  <c r="AH10" i="23"/>
  <c r="AI10" i="23" s="1"/>
  <c r="AH7" i="23"/>
  <c r="AI7" i="23" s="1"/>
  <c r="AH4" i="23"/>
  <c r="AI4" i="23" s="1"/>
  <c r="AH88" i="23"/>
  <c r="AI88" i="23" s="1"/>
  <c r="AH44" i="23"/>
  <c r="AI44" i="23" s="1"/>
  <c r="AH41" i="23"/>
  <c r="AI41" i="23" s="1"/>
  <c r="AH38" i="23"/>
  <c r="AI38" i="23" s="1"/>
  <c r="AH35" i="23"/>
  <c r="AI35" i="23" s="1"/>
  <c r="AH32" i="23"/>
  <c r="AI32" i="23" s="1"/>
  <c r="AH29" i="23"/>
  <c r="AI29" i="23" s="1"/>
  <c r="AH26" i="23"/>
  <c r="AI26" i="23" s="1"/>
  <c r="AH23" i="23"/>
  <c r="AI23" i="23" s="1"/>
  <c r="AH20" i="23"/>
  <c r="AI20" i="23" s="1"/>
  <c r="AH17" i="23"/>
  <c r="AI17" i="23" s="1"/>
  <c r="AH14" i="23"/>
  <c r="AI14" i="23" s="1"/>
  <c r="AH11" i="23"/>
  <c r="AI11" i="23" s="1"/>
  <c r="AH8" i="23"/>
  <c r="AI8" i="23" s="1"/>
  <c r="AH5" i="23"/>
  <c r="AI5" i="23" s="1"/>
  <c r="AH45" i="23"/>
  <c r="AI45" i="23" s="1"/>
  <c r="AH42" i="23"/>
  <c r="AI42" i="23" s="1"/>
  <c r="AH39" i="23"/>
  <c r="AI39" i="23" s="1"/>
  <c r="AH36" i="23"/>
  <c r="AI36" i="23" s="1"/>
  <c r="AH33" i="23"/>
  <c r="AI33" i="23" s="1"/>
  <c r="AH30" i="23"/>
  <c r="AI30" i="23" s="1"/>
  <c r="AH27" i="23"/>
  <c r="AI27" i="23" s="1"/>
  <c r="AH24" i="23"/>
  <c r="AI24" i="23" s="1"/>
  <c r="AH21" i="23"/>
  <c r="AI21" i="23" s="1"/>
  <c r="AH18" i="23"/>
  <c r="AI18" i="23" s="1"/>
  <c r="AH15" i="23"/>
  <c r="AI15" i="23" s="1"/>
  <c r="AH12" i="23"/>
  <c r="AI12" i="23" s="1"/>
  <c r="AH9" i="23"/>
  <c r="AI9" i="23" s="1"/>
  <c r="AH6" i="23"/>
  <c r="AI6" i="23" s="1"/>
  <c r="AH3" i="23"/>
  <c r="AI3" i="23" s="1"/>
  <c r="AH90" i="23"/>
  <c r="AI90" i="23" s="1"/>
  <c r="AH111" i="23"/>
  <c r="AI111" i="23" s="1"/>
  <c r="AH52" i="23"/>
  <c r="AI52" i="23" s="1"/>
  <c r="AH190" i="19"/>
  <c r="AI190" i="19" s="1"/>
  <c r="AH187" i="19"/>
  <c r="AI187" i="19" s="1"/>
  <c r="AH184" i="19"/>
  <c r="AI184" i="19" s="1"/>
  <c r="AH181" i="19"/>
  <c r="AI181" i="19" s="1"/>
  <c r="AH178" i="19"/>
  <c r="AI178" i="19" s="1"/>
  <c r="AH175" i="19"/>
  <c r="AI175" i="19" s="1"/>
  <c r="AH188" i="19"/>
  <c r="AI188" i="19" s="1"/>
  <c r="AH185" i="19"/>
  <c r="AI185" i="19" s="1"/>
  <c r="AH182" i="19"/>
  <c r="AI182" i="19" s="1"/>
  <c r="AH179" i="19"/>
  <c r="AI179" i="19" s="1"/>
  <c r="AH176" i="19"/>
  <c r="AI176" i="19" s="1"/>
  <c r="AH174" i="19"/>
  <c r="AI174" i="19" s="1"/>
  <c r="AH171" i="19"/>
  <c r="AI171" i="19" s="1"/>
  <c r="AH168" i="19"/>
  <c r="AI168" i="19" s="1"/>
  <c r="AH165" i="19"/>
  <c r="AI165" i="19" s="1"/>
  <c r="AH162" i="19"/>
  <c r="AI162" i="19" s="1"/>
  <c r="AH159" i="19"/>
  <c r="AI159" i="19" s="1"/>
  <c r="AH156" i="19"/>
  <c r="AI156" i="19" s="1"/>
  <c r="AH153" i="19"/>
  <c r="AI153" i="19" s="1"/>
  <c r="AH150" i="19"/>
  <c r="AI150" i="19" s="1"/>
  <c r="AH147" i="19"/>
  <c r="AI147" i="19" s="1"/>
  <c r="AH144" i="19"/>
  <c r="AI144" i="19" s="1"/>
  <c r="AH141" i="19"/>
  <c r="AI141" i="19" s="1"/>
  <c r="AH125" i="19"/>
  <c r="AI125" i="19" s="1"/>
  <c r="AH122" i="19"/>
  <c r="AI122" i="19" s="1"/>
  <c r="AH119" i="19"/>
  <c r="AI119" i="19" s="1"/>
  <c r="AH116" i="19"/>
  <c r="AI116" i="19" s="1"/>
  <c r="AH113" i="19"/>
  <c r="AI113" i="19" s="1"/>
  <c r="AH110" i="19"/>
  <c r="AI110" i="19" s="1"/>
  <c r="AH107" i="19"/>
  <c r="AI107" i="19" s="1"/>
  <c r="AH104" i="19"/>
  <c r="AI104" i="19" s="1"/>
  <c r="AH101" i="19"/>
  <c r="AI101" i="19" s="1"/>
  <c r="AH98" i="19"/>
  <c r="AI98" i="19" s="1"/>
  <c r="AH95" i="19"/>
  <c r="AI95" i="19" s="1"/>
  <c r="AH92" i="19"/>
  <c r="AI92" i="19" s="1"/>
  <c r="AH89" i="19"/>
  <c r="AI89" i="19" s="1"/>
  <c r="AH86" i="19"/>
  <c r="AI86" i="19" s="1"/>
  <c r="AH83" i="19"/>
  <c r="AI83" i="19" s="1"/>
  <c r="AH80" i="19"/>
  <c r="AI80" i="19" s="1"/>
  <c r="AH77" i="19"/>
  <c r="AI77" i="19" s="1"/>
  <c r="AH74" i="19"/>
  <c r="AI74" i="19" s="1"/>
  <c r="AH71" i="19"/>
  <c r="AI71" i="19" s="1"/>
  <c r="AH68" i="19"/>
  <c r="AI68" i="19" s="1"/>
  <c r="AH186" i="19"/>
  <c r="AI186" i="19" s="1"/>
  <c r="AH177" i="19"/>
  <c r="AI177" i="19" s="1"/>
  <c r="AH131" i="19"/>
  <c r="AH128" i="19"/>
  <c r="AI128" i="19" s="1"/>
  <c r="AH136" i="19"/>
  <c r="AH139" i="19"/>
  <c r="AI139" i="19" s="1"/>
  <c r="AH66" i="19"/>
  <c r="AI66" i="19" s="1"/>
  <c r="AH63" i="19"/>
  <c r="AI63" i="19" s="1"/>
  <c r="AH60" i="19"/>
  <c r="AI60" i="19" s="1"/>
  <c r="AH57" i="19"/>
  <c r="AI57" i="19" s="1"/>
  <c r="AH54" i="19"/>
  <c r="AI54" i="19" s="1"/>
  <c r="AH51" i="19"/>
  <c r="AI51" i="19" s="1"/>
  <c r="AH48" i="19"/>
  <c r="AI48" i="19" s="1"/>
  <c r="AH45" i="19"/>
  <c r="AI45" i="19" s="1"/>
  <c r="AH42" i="19"/>
  <c r="AI42" i="19" s="1"/>
  <c r="AH39" i="19"/>
  <c r="AI39" i="19" s="1"/>
  <c r="AH36" i="19"/>
  <c r="AI36" i="19" s="1"/>
  <c r="AH33" i="19"/>
  <c r="AI33" i="19" s="1"/>
  <c r="AH30" i="19"/>
  <c r="AI30" i="19" s="1"/>
  <c r="AH27" i="19"/>
  <c r="AI27" i="19" s="1"/>
  <c r="AH24" i="19"/>
  <c r="AI24" i="19" s="1"/>
  <c r="AH21" i="19"/>
  <c r="AI21" i="19" s="1"/>
  <c r="AH18" i="19"/>
  <c r="AI18" i="19" s="1"/>
  <c r="AH15" i="19"/>
  <c r="AI15" i="19" s="1"/>
  <c r="AH12" i="19"/>
  <c r="AI12" i="19" s="1"/>
  <c r="AH9" i="19"/>
  <c r="AI9" i="19" s="1"/>
  <c r="AH6" i="19"/>
  <c r="AI6" i="19" s="1"/>
  <c r="AH3" i="19"/>
  <c r="AI3" i="19" s="1"/>
  <c r="AH140" i="19"/>
  <c r="AH137" i="19"/>
  <c r="AI137" i="19" s="1"/>
  <c r="AH67" i="19"/>
  <c r="AH64" i="19"/>
  <c r="AI64" i="19" s="1"/>
  <c r="AH61" i="19"/>
  <c r="AI61" i="19" s="1"/>
  <c r="AH58" i="19"/>
  <c r="AI58" i="19" s="1"/>
  <c r="AH55" i="19"/>
  <c r="AI55" i="19" s="1"/>
  <c r="AH52" i="19"/>
  <c r="AI52" i="19" s="1"/>
  <c r="AH49" i="19"/>
  <c r="AI49" i="19" s="1"/>
  <c r="AH46" i="19"/>
  <c r="AI46" i="19" s="1"/>
  <c r="AH43" i="19"/>
  <c r="AI43" i="19" s="1"/>
  <c r="AH40" i="19"/>
  <c r="AI40" i="19" s="1"/>
  <c r="AH37" i="19"/>
  <c r="AI37" i="19" s="1"/>
  <c r="AH34" i="19"/>
  <c r="AI34" i="19" s="1"/>
  <c r="AH31" i="19"/>
  <c r="AI31" i="19" s="1"/>
  <c r="AH28" i="19"/>
  <c r="AI28" i="19" s="1"/>
  <c r="AH25" i="19"/>
  <c r="AI25" i="19" s="1"/>
  <c r="AH22" i="19"/>
  <c r="AI22" i="19" s="1"/>
  <c r="AH19" i="19"/>
  <c r="AI19" i="19" s="1"/>
  <c r="AH16" i="19"/>
  <c r="AI16" i="19" s="1"/>
  <c r="AH13" i="19"/>
  <c r="AI13" i="19" s="1"/>
  <c r="AH10" i="19"/>
  <c r="AI10" i="19" s="1"/>
  <c r="AH7" i="19"/>
  <c r="AI7" i="19" s="1"/>
  <c r="AH4" i="19"/>
  <c r="AI4" i="19" s="1"/>
  <c r="AH166" i="19"/>
  <c r="AI166" i="19" s="1"/>
  <c r="AH157" i="19"/>
  <c r="AI157" i="19" s="1"/>
  <c r="AH148" i="19"/>
  <c r="AI148" i="19" s="1"/>
  <c r="AH124" i="19"/>
  <c r="AI124" i="19" s="1"/>
  <c r="AH115" i="19"/>
  <c r="AI115" i="19" s="1"/>
  <c r="AH106" i="19"/>
  <c r="AI106" i="19" s="1"/>
  <c r="AH97" i="19"/>
  <c r="AI97" i="19" s="1"/>
  <c r="AH88" i="19"/>
  <c r="AI88" i="19" s="1"/>
  <c r="AH79" i="19"/>
  <c r="AI79" i="19" s="1"/>
  <c r="AH70" i="19"/>
  <c r="AI70" i="19" s="1"/>
  <c r="AH173" i="19"/>
  <c r="AI173" i="19" s="1"/>
  <c r="AH164" i="19"/>
  <c r="AI164" i="19" s="1"/>
  <c r="AH155" i="19"/>
  <c r="AI155" i="19" s="1"/>
  <c r="AH146" i="19"/>
  <c r="AI146" i="19" s="1"/>
  <c r="AH135" i="19"/>
  <c r="AH120" i="19"/>
  <c r="AI120" i="19" s="1"/>
  <c r="AH111" i="19"/>
  <c r="AI111" i="19" s="1"/>
  <c r="AH102" i="19"/>
  <c r="AI102" i="19" s="1"/>
  <c r="AH93" i="19"/>
  <c r="AI93" i="19" s="1"/>
  <c r="AH84" i="19"/>
  <c r="AI84" i="19" s="1"/>
  <c r="AH75" i="19"/>
  <c r="AI75" i="19" s="1"/>
  <c r="AH59" i="19"/>
  <c r="AI59" i="19" s="1"/>
  <c r="AH50" i="19"/>
  <c r="AI50" i="19" s="1"/>
  <c r="AH41" i="19"/>
  <c r="AI41" i="19" s="1"/>
  <c r="AH169" i="19"/>
  <c r="AI169" i="19" s="1"/>
  <c r="AH160" i="19"/>
  <c r="AI160" i="19" s="1"/>
  <c r="AH151" i="19"/>
  <c r="AI151" i="19" s="1"/>
  <c r="AH142" i="19"/>
  <c r="AI142" i="19" s="1"/>
  <c r="AH118" i="19"/>
  <c r="AI118" i="19" s="1"/>
  <c r="AH109" i="19"/>
  <c r="AI109" i="19" s="1"/>
  <c r="AH100" i="19"/>
  <c r="AI100" i="19" s="1"/>
  <c r="AH91" i="19"/>
  <c r="AI91" i="19" s="1"/>
  <c r="AH82" i="19"/>
  <c r="AI82" i="19" s="1"/>
  <c r="AH73" i="19"/>
  <c r="AI73" i="19" s="1"/>
  <c r="AH183" i="19"/>
  <c r="AI183" i="19" s="1"/>
  <c r="AH180" i="19"/>
  <c r="AI180" i="19" s="1"/>
  <c r="AH127" i="19"/>
  <c r="AI127" i="19" s="1"/>
  <c r="AH189" i="19"/>
  <c r="AI189" i="19" s="1"/>
  <c r="AH134" i="19"/>
  <c r="AH170" i="19"/>
  <c r="AI170" i="19" s="1"/>
  <c r="AH114" i="19"/>
  <c r="AI114" i="19" s="1"/>
  <c r="AH108" i="19"/>
  <c r="AI108" i="19" s="1"/>
  <c r="AH94" i="19"/>
  <c r="AI94" i="19" s="1"/>
  <c r="AH32" i="19"/>
  <c r="AI32" i="19" s="1"/>
  <c r="AH129" i="19"/>
  <c r="AI129" i="19" s="1"/>
  <c r="AH126" i="19"/>
  <c r="AH112" i="19"/>
  <c r="AI112" i="19" s="1"/>
  <c r="AH78" i="19"/>
  <c r="AI78" i="19" s="1"/>
  <c r="AH72" i="19"/>
  <c r="AI72" i="19" s="1"/>
  <c r="AH14" i="19"/>
  <c r="AI14" i="19" s="1"/>
  <c r="AH163" i="19"/>
  <c r="AI163" i="19" s="1"/>
  <c r="AH132" i="19"/>
  <c r="AH149" i="19"/>
  <c r="AI149" i="19" s="1"/>
  <c r="AH143" i="19"/>
  <c r="AI143" i="19" s="1"/>
  <c r="AH121" i="19"/>
  <c r="AI121" i="19" s="1"/>
  <c r="AH87" i="19"/>
  <c r="AI87" i="19" s="1"/>
  <c r="AH81" i="19"/>
  <c r="AI81" i="19" s="1"/>
  <c r="AH5" i="19"/>
  <c r="AI5" i="19" s="1"/>
  <c r="AH172" i="19"/>
  <c r="AI172" i="19" s="1"/>
  <c r="AH158" i="19"/>
  <c r="AI158" i="19" s="1"/>
  <c r="AH152" i="19"/>
  <c r="AI152" i="19" s="1"/>
  <c r="AH138" i="19"/>
  <c r="AI138" i="19" s="1"/>
  <c r="AH96" i="19"/>
  <c r="AI96" i="19" s="1"/>
  <c r="AH90" i="19"/>
  <c r="AI90" i="19" s="1"/>
  <c r="AH76" i="19"/>
  <c r="AI76" i="19" s="1"/>
  <c r="AH8" i="19"/>
  <c r="AI8" i="19" s="1"/>
  <c r="AH26" i="19"/>
  <c r="AI26" i="19" s="1"/>
  <c r="AH29" i="19"/>
  <c r="AI29" i="19" s="1"/>
  <c r="AH38" i="19"/>
  <c r="AI38" i="19" s="1"/>
  <c r="AH11" i="19"/>
  <c r="AI11" i="19" s="1"/>
  <c r="AH154" i="19"/>
  <c r="AI154" i="19" s="1"/>
  <c r="AH123" i="19"/>
  <c r="AI123" i="19" s="1"/>
  <c r="AH47" i="19"/>
  <c r="AI47" i="19" s="1"/>
  <c r="AH167" i="19"/>
  <c r="AI167" i="19" s="1"/>
  <c r="AH56" i="19"/>
  <c r="AI56" i="19" s="1"/>
  <c r="AH145" i="19"/>
  <c r="AI145" i="19" s="1"/>
  <c r="AH130" i="19"/>
  <c r="AI130" i="19" s="1"/>
  <c r="AH99" i="19"/>
  <c r="AI99" i="19" s="1"/>
  <c r="AH53" i="19"/>
  <c r="AI53" i="19" s="1"/>
  <c r="AH35" i="19"/>
  <c r="AI35" i="19" s="1"/>
  <c r="AH117" i="19"/>
  <c r="AI117" i="19" s="1"/>
  <c r="AH85" i="19"/>
  <c r="AI85" i="19" s="1"/>
  <c r="AH69" i="19"/>
  <c r="AI69" i="19" s="1"/>
  <c r="AH62" i="19"/>
  <c r="AI62" i="19" s="1"/>
  <c r="AH20" i="19"/>
  <c r="AI20" i="19" s="1"/>
  <c r="AH161" i="19"/>
  <c r="AI161" i="19" s="1"/>
  <c r="AH44" i="19"/>
  <c r="AI44" i="19" s="1"/>
  <c r="AH105" i="19"/>
  <c r="AI105" i="19" s="1"/>
  <c r="AH65" i="19"/>
  <c r="AI65" i="19" s="1"/>
  <c r="AH133" i="19"/>
  <c r="AH103" i="19"/>
  <c r="AI103" i="19" s="1"/>
  <c r="AH23" i="19"/>
  <c r="AI23" i="19" s="1"/>
  <c r="AH17" i="19"/>
  <c r="AI17" i="19" s="1"/>
  <c r="AH176" i="27"/>
  <c r="AI176" i="27" s="1"/>
  <c r="AH173" i="27"/>
  <c r="AI173" i="27" s="1"/>
  <c r="AH170" i="27"/>
  <c r="AI170" i="27" s="1"/>
  <c r="AH167" i="27"/>
  <c r="AI167" i="27" s="1"/>
  <c r="AH164" i="27"/>
  <c r="AI164" i="27" s="1"/>
  <c r="AH161" i="27"/>
  <c r="AI161" i="27" s="1"/>
  <c r="AH158" i="27"/>
  <c r="AI158" i="27" s="1"/>
  <c r="AH155" i="27"/>
  <c r="AI155" i="27" s="1"/>
  <c r="AH152" i="27"/>
  <c r="AI152" i="27" s="1"/>
  <c r="AH149" i="27"/>
  <c r="AI149" i="27" s="1"/>
  <c r="AH146" i="27"/>
  <c r="AI146" i="27" s="1"/>
  <c r="AH174" i="27"/>
  <c r="AI174" i="27" s="1"/>
  <c r="AH171" i="27"/>
  <c r="AI171" i="27" s="1"/>
  <c r="AH168" i="27"/>
  <c r="AI168" i="27" s="1"/>
  <c r="AH165" i="27"/>
  <c r="AI165" i="27" s="1"/>
  <c r="AH162" i="27"/>
  <c r="AI162" i="27" s="1"/>
  <c r="AH159" i="27"/>
  <c r="AI159" i="27" s="1"/>
  <c r="AH156" i="27"/>
  <c r="AI156" i="27" s="1"/>
  <c r="AH153" i="27"/>
  <c r="AI153" i="27" s="1"/>
  <c r="AH150" i="27"/>
  <c r="AI150" i="27" s="1"/>
  <c r="AH147" i="27"/>
  <c r="AI147" i="27" s="1"/>
  <c r="AH169" i="27"/>
  <c r="AI169" i="27" s="1"/>
  <c r="AH160" i="27"/>
  <c r="AI160" i="27" s="1"/>
  <c r="AH151" i="27"/>
  <c r="AI151" i="27" s="1"/>
  <c r="AH143" i="27"/>
  <c r="AI143" i="27" s="1"/>
  <c r="AH140" i="27"/>
  <c r="AI140" i="27" s="1"/>
  <c r="AH137" i="27"/>
  <c r="AI137" i="27" s="1"/>
  <c r="AH134" i="27"/>
  <c r="AI134" i="27" s="1"/>
  <c r="AH131" i="27"/>
  <c r="AI131" i="27" s="1"/>
  <c r="AH128" i="27"/>
  <c r="AI128" i="27" s="1"/>
  <c r="AH124" i="27"/>
  <c r="AI124" i="27" s="1"/>
  <c r="AH115" i="27"/>
  <c r="AI115" i="27" s="1"/>
  <c r="AH111" i="27"/>
  <c r="AI111" i="27" s="1"/>
  <c r="AH175" i="27"/>
  <c r="AI175" i="27" s="1"/>
  <c r="AH166" i="27"/>
  <c r="AI166" i="27" s="1"/>
  <c r="AH157" i="27"/>
  <c r="AI157" i="27" s="1"/>
  <c r="AH148" i="27"/>
  <c r="AI148" i="27" s="1"/>
  <c r="AH142" i="27"/>
  <c r="AI142" i="27" s="1"/>
  <c r="AH139" i="27"/>
  <c r="AI139" i="27" s="1"/>
  <c r="AH136" i="27"/>
  <c r="AI136" i="27" s="1"/>
  <c r="AH133" i="27"/>
  <c r="AI133" i="27" s="1"/>
  <c r="AH130" i="27"/>
  <c r="AI130" i="27" s="1"/>
  <c r="AH127" i="27"/>
  <c r="AI127" i="27" s="1"/>
  <c r="AH123" i="27"/>
  <c r="AI123" i="27" s="1"/>
  <c r="AH114" i="27"/>
  <c r="AI114" i="27" s="1"/>
  <c r="AH110" i="27"/>
  <c r="AI110" i="27" s="1"/>
  <c r="AH109" i="27"/>
  <c r="AI109" i="27" s="1"/>
  <c r="AH106" i="27"/>
  <c r="AI106" i="27" s="1"/>
  <c r="AH103" i="27"/>
  <c r="AI103" i="27" s="1"/>
  <c r="AH100" i="27"/>
  <c r="AI100" i="27" s="1"/>
  <c r="AH97" i="27"/>
  <c r="AI97" i="27" s="1"/>
  <c r="AH94" i="27"/>
  <c r="AI94" i="27" s="1"/>
  <c r="AH91" i="27"/>
  <c r="AI91" i="27" s="1"/>
  <c r="AH88" i="27"/>
  <c r="AI88" i="27" s="1"/>
  <c r="AH172" i="27"/>
  <c r="AI172" i="27" s="1"/>
  <c r="AH163" i="27"/>
  <c r="AI163" i="27" s="1"/>
  <c r="AH154" i="27"/>
  <c r="AI154" i="27" s="1"/>
  <c r="AH145" i="27"/>
  <c r="AI145" i="27" s="1"/>
  <c r="AH144" i="27"/>
  <c r="AI144" i="27" s="1"/>
  <c r="AH141" i="27"/>
  <c r="AI141" i="27" s="1"/>
  <c r="AH138" i="27"/>
  <c r="AI138" i="27" s="1"/>
  <c r="AH135" i="27"/>
  <c r="AI135" i="27" s="1"/>
  <c r="AH132" i="27"/>
  <c r="AI132" i="27" s="1"/>
  <c r="AH129" i="27"/>
  <c r="AI129" i="27" s="1"/>
  <c r="AH125" i="27"/>
  <c r="AI125" i="27" s="1"/>
  <c r="AH116" i="27"/>
  <c r="AI116" i="27" s="1"/>
  <c r="AH113" i="27"/>
  <c r="AI113" i="27" s="1"/>
  <c r="AH108" i="27"/>
  <c r="AI108" i="27" s="1"/>
  <c r="AH105" i="27"/>
  <c r="AI105" i="27" s="1"/>
  <c r="AH102" i="27"/>
  <c r="AI102" i="27" s="1"/>
  <c r="AH99" i="27"/>
  <c r="AI99" i="27" s="1"/>
  <c r="AH96" i="27"/>
  <c r="AI96" i="27" s="1"/>
  <c r="AH93" i="27"/>
  <c r="AI93" i="27" s="1"/>
  <c r="AH90" i="27"/>
  <c r="AI90" i="27" s="1"/>
  <c r="AH107" i="27"/>
  <c r="AI107" i="27" s="1"/>
  <c r="AH104" i="27"/>
  <c r="AI104" i="27" s="1"/>
  <c r="AH101" i="27"/>
  <c r="AI101" i="27" s="1"/>
  <c r="AH98" i="27"/>
  <c r="AI98" i="27" s="1"/>
  <c r="AH95" i="27"/>
  <c r="AI95" i="27" s="1"/>
  <c r="AH92" i="27"/>
  <c r="AI92" i="27" s="1"/>
  <c r="AH86" i="27"/>
  <c r="AI86" i="27" s="1"/>
  <c r="AH89" i="27"/>
  <c r="AI89" i="27" s="1"/>
  <c r="AH84" i="27"/>
  <c r="AI84" i="27" s="1"/>
  <c r="AH81" i="27"/>
  <c r="AI81" i="27" s="1"/>
  <c r="AH78" i="27"/>
  <c r="AI78" i="27" s="1"/>
  <c r="AH75" i="27"/>
  <c r="AI75" i="27" s="1"/>
  <c r="AH72" i="27"/>
  <c r="AI72" i="27" s="1"/>
  <c r="AH69" i="27"/>
  <c r="AI69" i="27" s="1"/>
  <c r="AH66" i="27"/>
  <c r="AI66" i="27" s="1"/>
  <c r="AH63" i="27"/>
  <c r="AI63" i="27" s="1"/>
  <c r="AH85" i="27"/>
  <c r="AI85" i="27" s="1"/>
  <c r="AH82" i="27"/>
  <c r="AI82" i="27" s="1"/>
  <c r="AH79" i="27"/>
  <c r="AI79" i="27" s="1"/>
  <c r="AH76" i="27"/>
  <c r="AI76" i="27" s="1"/>
  <c r="AH73" i="27"/>
  <c r="AI73" i="27" s="1"/>
  <c r="AH70" i="27"/>
  <c r="AI70" i="27" s="1"/>
  <c r="AH67" i="27"/>
  <c r="AI67" i="27" s="1"/>
  <c r="AH64" i="27"/>
  <c r="AI64" i="27" s="1"/>
  <c r="AH83" i="27"/>
  <c r="AI83" i="27" s="1"/>
  <c r="AH74" i="27"/>
  <c r="AI74" i="27" s="1"/>
  <c r="AH65" i="27"/>
  <c r="AI65" i="27" s="1"/>
  <c r="AH61" i="27"/>
  <c r="AI61" i="27" s="1"/>
  <c r="AH58" i="27"/>
  <c r="AI58" i="27" s="1"/>
  <c r="AH55" i="27"/>
  <c r="AI55" i="27" s="1"/>
  <c r="AH52" i="27"/>
  <c r="AI52" i="27" s="1"/>
  <c r="AH49" i="27"/>
  <c r="AI49" i="27" s="1"/>
  <c r="AH46" i="27"/>
  <c r="AI46" i="27" s="1"/>
  <c r="AH43" i="27"/>
  <c r="AI43" i="27" s="1"/>
  <c r="AH40" i="27"/>
  <c r="AI40" i="27" s="1"/>
  <c r="AH37" i="27"/>
  <c r="AI37" i="27" s="1"/>
  <c r="AH80" i="27"/>
  <c r="AI80" i="27" s="1"/>
  <c r="AH71" i="27"/>
  <c r="AI71" i="27" s="1"/>
  <c r="AH62" i="27"/>
  <c r="AI62" i="27" s="1"/>
  <c r="AH59" i="27"/>
  <c r="AI59" i="27" s="1"/>
  <c r="AH56" i="27"/>
  <c r="AI56" i="27" s="1"/>
  <c r="AH53" i="27"/>
  <c r="AI53" i="27" s="1"/>
  <c r="AH50" i="27"/>
  <c r="AI50" i="27" s="1"/>
  <c r="AH47" i="27"/>
  <c r="AI47" i="27" s="1"/>
  <c r="AH44" i="27"/>
  <c r="AI44" i="27" s="1"/>
  <c r="AH41" i="27"/>
  <c r="AI41" i="27" s="1"/>
  <c r="AH38" i="27"/>
  <c r="AI38" i="27" s="1"/>
  <c r="AH87" i="27"/>
  <c r="AI87" i="27" s="1"/>
  <c r="AH77" i="27"/>
  <c r="AI77" i="27" s="1"/>
  <c r="AH54" i="27"/>
  <c r="AI54" i="27" s="1"/>
  <c r="AH45" i="27"/>
  <c r="AI45" i="27" s="1"/>
  <c r="AH36" i="27"/>
  <c r="AI36" i="27" s="1"/>
  <c r="AH33" i="27"/>
  <c r="AI33" i="27" s="1"/>
  <c r="AH30" i="27"/>
  <c r="AI30" i="27" s="1"/>
  <c r="AH27" i="27"/>
  <c r="AI27" i="27" s="1"/>
  <c r="AH24" i="27"/>
  <c r="AI24" i="27" s="1"/>
  <c r="AH21" i="27"/>
  <c r="AI21" i="27" s="1"/>
  <c r="AH18" i="27"/>
  <c r="AI18" i="27" s="1"/>
  <c r="AH15" i="27"/>
  <c r="AI15" i="27" s="1"/>
  <c r="AH12" i="27"/>
  <c r="AI12" i="27" s="1"/>
  <c r="AH68" i="27"/>
  <c r="AI68" i="27" s="1"/>
  <c r="AH57" i="27"/>
  <c r="AI57" i="27" s="1"/>
  <c r="AH48" i="27"/>
  <c r="AI48" i="27" s="1"/>
  <c r="AH39" i="27"/>
  <c r="AI39" i="27" s="1"/>
  <c r="AH35" i="27"/>
  <c r="AI35" i="27" s="1"/>
  <c r="AH32" i="27"/>
  <c r="AI32" i="27" s="1"/>
  <c r="AH29" i="27"/>
  <c r="AI29" i="27" s="1"/>
  <c r="AH26" i="27"/>
  <c r="AI26" i="27" s="1"/>
  <c r="AH23" i="27"/>
  <c r="AI23" i="27" s="1"/>
  <c r="AH20" i="27"/>
  <c r="AI20" i="27" s="1"/>
  <c r="AH17" i="27"/>
  <c r="AI17" i="27" s="1"/>
  <c r="AH14" i="27"/>
  <c r="AI14" i="27" s="1"/>
  <c r="AH11" i="27"/>
  <c r="AI11" i="27" s="1"/>
  <c r="AH28" i="27"/>
  <c r="AI28" i="27" s="1"/>
  <c r="AH19" i="27"/>
  <c r="AI19" i="27" s="1"/>
  <c r="AH10" i="27"/>
  <c r="AI10" i="27" s="1"/>
  <c r="AH51" i="27"/>
  <c r="AI51" i="27" s="1"/>
  <c r="AH8" i="27"/>
  <c r="AI8" i="27" s="1"/>
  <c r="AH5" i="27"/>
  <c r="AI5" i="27" s="1"/>
  <c r="AH34" i="27"/>
  <c r="AI34" i="27" s="1"/>
  <c r="AH25" i="27"/>
  <c r="AI25" i="27" s="1"/>
  <c r="AH16" i="27"/>
  <c r="AI16" i="27" s="1"/>
  <c r="AH60" i="27"/>
  <c r="AI60" i="27" s="1"/>
  <c r="AH9" i="27"/>
  <c r="AI9" i="27" s="1"/>
  <c r="AH6" i="27"/>
  <c r="AI6" i="27" s="1"/>
  <c r="AH3" i="27"/>
  <c r="AI3" i="27" s="1"/>
  <c r="AH31" i="27"/>
  <c r="AI31" i="27" s="1"/>
  <c r="AH22" i="27"/>
  <c r="AI22" i="27" s="1"/>
  <c r="AH13" i="27"/>
  <c r="AI13" i="27" s="1"/>
  <c r="AH42" i="27"/>
  <c r="AI42" i="27" s="1"/>
  <c r="AH7" i="27"/>
  <c r="AI7" i="27" s="1"/>
  <c r="AH4" i="27"/>
  <c r="AI4" i="27" s="1"/>
  <c r="AH174" i="26"/>
  <c r="AI174" i="26" s="1"/>
  <c r="AH171" i="26"/>
  <c r="AI171" i="26" s="1"/>
  <c r="AH168" i="26"/>
  <c r="AI168" i="26" s="1"/>
  <c r="AH165" i="26"/>
  <c r="AI165" i="26" s="1"/>
  <c r="AH162" i="26"/>
  <c r="AI162" i="26" s="1"/>
  <c r="AH159" i="26"/>
  <c r="AI159" i="26" s="1"/>
  <c r="AH175" i="26"/>
  <c r="AI175" i="26" s="1"/>
  <c r="AH172" i="26"/>
  <c r="AI172" i="26" s="1"/>
  <c r="AH169" i="26"/>
  <c r="AI169" i="26" s="1"/>
  <c r="AH166" i="26"/>
  <c r="AI166" i="26" s="1"/>
  <c r="AH163" i="26"/>
  <c r="AI163" i="26" s="1"/>
  <c r="AH160" i="26"/>
  <c r="AI160" i="26" s="1"/>
  <c r="AH176" i="26"/>
  <c r="AI176" i="26" s="1"/>
  <c r="AH173" i="26"/>
  <c r="AI173" i="26" s="1"/>
  <c r="AH170" i="26"/>
  <c r="AI170" i="26" s="1"/>
  <c r="AH167" i="26"/>
  <c r="AI167" i="26" s="1"/>
  <c r="AH164" i="26"/>
  <c r="AI164" i="26" s="1"/>
  <c r="AH161" i="26"/>
  <c r="AI161" i="26" s="1"/>
  <c r="AH156" i="26"/>
  <c r="AI156" i="26" s="1"/>
  <c r="AH153" i="26"/>
  <c r="AI153" i="26" s="1"/>
  <c r="AH150" i="26"/>
  <c r="AI150" i="26" s="1"/>
  <c r="AH147" i="26"/>
  <c r="AI147" i="26" s="1"/>
  <c r="AH144" i="26"/>
  <c r="AI144" i="26" s="1"/>
  <c r="AH141" i="26"/>
  <c r="AI141" i="26" s="1"/>
  <c r="AH138" i="26"/>
  <c r="AI138" i="26" s="1"/>
  <c r="AH135" i="26"/>
  <c r="AI135" i="26" s="1"/>
  <c r="AH132" i="26"/>
  <c r="AI132" i="26" s="1"/>
  <c r="AH129" i="26"/>
  <c r="AI129" i="26" s="1"/>
  <c r="AH157" i="26"/>
  <c r="AI157" i="26" s="1"/>
  <c r="AH154" i="26"/>
  <c r="AI154" i="26" s="1"/>
  <c r="AH151" i="26"/>
  <c r="AI151" i="26" s="1"/>
  <c r="AH148" i="26"/>
  <c r="AI148" i="26" s="1"/>
  <c r="AH145" i="26"/>
  <c r="AI145" i="26" s="1"/>
  <c r="AH142" i="26"/>
  <c r="AI142" i="26" s="1"/>
  <c r="AH139" i="26"/>
  <c r="AI139" i="26" s="1"/>
  <c r="AH136" i="26"/>
  <c r="AI136" i="26" s="1"/>
  <c r="AH133" i="26"/>
  <c r="AI133" i="26" s="1"/>
  <c r="AH158" i="26"/>
  <c r="AI158" i="26" s="1"/>
  <c r="AH155" i="26"/>
  <c r="AI155" i="26" s="1"/>
  <c r="AH152" i="26"/>
  <c r="AI152" i="26" s="1"/>
  <c r="AH149" i="26"/>
  <c r="AI149" i="26" s="1"/>
  <c r="AH146" i="26"/>
  <c r="AI146" i="26" s="1"/>
  <c r="AH143" i="26"/>
  <c r="AI143" i="26" s="1"/>
  <c r="AH140" i="26"/>
  <c r="AI140" i="26" s="1"/>
  <c r="AH137" i="26"/>
  <c r="AI137" i="26" s="1"/>
  <c r="AH134" i="26"/>
  <c r="AI134" i="26" s="1"/>
  <c r="AH131" i="26"/>
  <c r="AI131" i="26" s="1"/>
  <c r="AH128" i="26"/>
  <c r="AI128" i="26" s="1"/>
  <c r="AH124" i="26"/>
  <c r="AI124" i="26" s="1"/>
  <c r="AH115" i="26"/>
  <c r="AI115" i="26" s="1"/>
  <c r="AH111" i="26"/>
  <c r="AI111" i="26" s="1"/>
  <c r="AH108" i="26"/>
  <c r="AI108" i="26" s="1"/>
  <c r="AH105" i="26"/>
  <c r="AI105" i="26" s="1"/>
  <c r="AH102" i="26"/>
  <c r="AI102" i="26" s="1"/>
  <c r="AH99" i="26"/>
  <c r="AI99" i="26" s="1"/>
  <c r="AH96" i="26"/>
  <c r="AI96" i="26" s="1"/>
  <c r="AH93" i="26"/>
  <c r="AI93" i="26" s="1"/>
  <c r="AH90" i="26"/>
  <c r="AI90" i="26" s="1"/>
  <c r="AH87" i="26"/>
  <c r="AI87" i="26" s="1"/>
  <c r="AH84" i="26"/>
  <c r="AI84" i="26" s="1"/>
  <c r="AH81" i="26"/>
  <c r="AI81" i="26" s="1"/>
  <c r="AH78" i="26"/>
  <c r="AI78" i="26" s="1"/>
  <c r="AH75" i="26"/>
  <c r="AI75" i="26" s="1"/>
  <c r="AH72" i="26"/>
  <c r="AI72" i="26" s="1"/>
  <c r="AH125" i="26"/>
  <c r="AI125" i="26" s="1"/>
  <c r="AH116" i="26"/>
  <c r="AI116" i="26" s="1"/>
  <c r="AH113" i="26"/>
  <c r="AI113" i="26" s="1"/>
  <c r="AH109" i="26"/>
  <c r="AI109" i="26" s="1"/>
  <c r="AH106" i="26"/>
  <c r="AI106" i="26" s="1"/>
  <c r="AH103" i="26"/>
  <c r="AI103" i="26" s="1"/>
  <c r="AH100" i="26"/>
  <c r="AI100" i="26" s="1"/>
  <c r="AH97" i="26"/>
  <c r="AI97" i="26" s="1"/>
  <c r="AH94" i="26"/>
  <c r="AI94" i="26" s="1"/>
  <c r="AH91" i="26"/>
  <c r="AI91" i="26" s="1"/>
  <c r="AH88" i="26"/>
  <c r="AI88" i="26" s="1"/>
  <c r="AH85" i="26"/>
  <c r="AI85" i="26" s="1"/>
  <c r="AH82" i="26"/>
  <c r="AI82" i="26" s="1"/>
  <c r="AH79" i="26"/>
  <c r="AI79" i="26" s="1"/>
  <c r="AH76" i="26"/>
  <c r="AI76" i="26" s="1"/>
  <c r="AH73" i="26"/>
  <c r="AI73" i="26" s="1"/>
  <c r="AH70" i="26"/>
  <c r="AI70" i="26" s="1"/>
  <c r="AH67" i="26"/>
  <c r="AI67" i="26" s="1"/>
  <c r="AH64" i="26"/>
  <c r="AI64" i="26" s="1"/>
  <c r="AH61" i="26"/>
  <c r="AI61" i="26" s="1"/>
  <c r="AH58" i="26"/>
  <c r="AI58" i="26" s="1"/>
  <c r="AH55" i="26"/>
  <c r="AI55" i="26" s="1"/>
  <c r="AH52" i="26"/>
  <c r="AI52" i="26" s="1"/>
  <c r="AH130" i="26"/>
  <c r="AI130" i="26" s="1"/>
  <c r="AH68" i="26"/>
  <c r="AI68" i="26" s="1"/>
  <c r="AH65" i="26"/>
  <c r="AI65" i="26" s="1"/>
  <c r="AH62" i="26"/>
  <c r="AI62" i="26" s="1"/>
  <c r="AH59" i="26"/>
  <c r="AI59" i="26" s="1"/>
  <c r="AH56" i="26"/>
  <c r="AI56" i="26" s="1"/>
  <c r="AH53" i="26"/>
  <c r="AI53" i="26" s="1"/>
  <c r="AH123" i="26"/>
  <c r="AI123" i="26" s="1"/>
  <c r="AH114" i="26"/>
  <c r="AI114" i="26" s="1"/>
  <c r="AH110" i="26"/>
  <c r="AI110" i="26" s="1"/>
  <c r="AH107" i="26"/>
  <c r="AI107" i="26" s="1"/>
  <c r="AH104" i="26"/>
  <c r="AI104" i="26" s="1"/>
  <c r="AH101" i="26"/>
  <c r="AI101" i="26" s="1"/>
  <c r="AH98" i="26"/>
  <c r="AI98" i="26" s="1"/>
  <c r="AH95" i="26"/>
  <c r="AI95" i="26" s="1"/>
  <c r="AH92" i="26"/>
  <c r="AI92" i="26" s="1"/>
  <c r="AH89" i="26"/>
  <c r="AI89" i="26" s="1"/>
  <c r="AH86" i="26"/>
  <c r="AI86" i="26" s="1"/>
  <c r="AH83" i="26"/>
  <c r="AI83" i="26" s="1"/>
  <c r="AH80" i="26"/>
  <c r="AI80" i="26" s="1"/>
  <c r="AH77" i="26"/>
  <c r="AI77" i="26" s="1"/>
  <c r="AH74" i="26"/>
  <c r="AI74" i="26" s="1"/>
  <c r="AH71" i="26"/>
  <c r="AI71" i="26" s="1"/>
  <c r="AH63" i="26"/>
  <c r="AI63" i="26" s="1"/>
  <c r="AH54" i="26"/>
  <c r="AI54" i="26" s="1"/>
  <c r="AH49" i="26"/>
  <c r="AI49" i="26" s="1"/>
  <c r="AH46" i="26"/>
  <c r="AI46" i="26" s="1"/>
  <c r="AH43" i="26"/>
  <c r="AI43" i="26" s="1"/>
  <c r="AH40" i="26"/>
  <c r="AI40" i="26" s="1"/>
  <c r="AH37" i="26"/>
  <c r="AI37" i="26" s="1"/>
  <c r="AH34" i="26"/>
  <c r="AI34" i="26" s="1"/>
  <c r="AH31" i="26"/>
  <c r="AI31" i="26" s="1"/>
  <c r="AH28" i="26"/>
  <c r="AI28" i="26" s="1"/>
  <c r="AH25" i="26"/>
  <c r="AI25" i="26" s="1"/>
  <c r="AH22" i="26"/>
  <c r="AI22" i="26" s="1"/>
  <c r="AH19" i="26"/>
  <c r="AI19" i="26" s="1"/>
  <c r="AH16" i="26"/>
  <c r="AI16" i="26" s="1"/>
  <c r="AH13" i="26"/>
  <c r="AI13" i="26" s="1"/>
  <c r="AH10" i="26"/>
  <c r="AI10" i="26" s="1"/>
  <c r="AH7" i="26"/>
  <c r="AI7" i="26" s="1"/>
  <c r="AH4" i="26"/>
  <c r="AI4" i="26" s="1"/>
  <c r="AH66" i="26"/>
  <c r="AI66" i="26" s="1"/>
  <c r="AH57" i="26"/>
  <c r="AI57" i="26" s="1"/>
  <c r="AH50" i="26"/>
  <c r="AI50" i="26" s="1"/>
  <c r="AH47" i="26"/>
  <c r="AI47" i="26" s="1"/>
  <c r="AH44" i="26"/>
  <c r="AI44" i="26" s="1"/>
  <c r="AH41" i="26"/>
  <c r="AI41" i="26" s="1"/>
  <c r="AH38" i="26"/>
  <c r="AI38" i="26" s="1"/>
  <c r="AH35" i="26"/>
  <c r="AI35" i="26" s="1"/>
  <c r="AH32" i="26"/>
  <c r="AI32" i="26" s="1"/>
  <c r="AH29" i="26"/>
  <c r="AI29" i="26" s="1"/>
  <c r="AH26" i="26"/>
  <c r="AI26" i="26" s="1"/>
  <c r="AH23" i="26"/>
  <c r="AI23" i="26" s="1"/>
  <c r="AH20" i="26"/>
  <c r="AI20" i="26" s="1"/>
  <c r="AH17" i="26"/>
  <c r="AI17" i="26" s="1"/>
  <c r="AH14" i="26"/>
  <c r="AI14" i="26" s="1"/>
  <c r="AH11" i="26"/>
  <c r="AI11" i="26" s="1"/>
  <c r="AH8" i="26"/>
  <c r="AI8" i="26" s="1"/>
  <c r="AH5" i="26"/>
  <c r="AI5" i="26" s="1"/>
  <c r="AH69" i="26"/>
  <c r="AI69" i="26" s="1"/>
  <c r="AH60" i="26"/>
  <c r="AI60" i="26" s="1"/>
  <c r="AH48" i="26"/>
  <c r="AI48" i="26" s="1"/>
  <c r="AH45" i="26"/>
  <c r="AI45" i="26" s="1"/>
  <c r="AH42" i="26"/>
  <c r="AI42" i="26" s="1"/>
  <c r="AH39" i="26"/>
  <c r="AI39" i="26" s="1"/>
  <c r="AH36" i="26"/>
  <c r="AI36" i="26" s="1"/>
  <c r="AH33" i="26"/>
  <c r="AI33" i="26" s="1"/>
  <c r="AH30" i="26"/>
  <c r="AI30" i="26" s="1"/>
  <c r="AH27" i="26"/>
  <c r="AI27" i="26" s="1"/>
  <c r="AH24" i="26"/>
  <c r="AI24" i="26" s="1"/>
  <c r="AH21" i="26"/>
  <c r="AI21" i="26" s="1"/>
  <c r="AH18" i="26"/>
  <c r="AI18" i="26" s="1"/>
  <c r="AH15" i="26"/>
  <c r="AI15" i="26" s="1"/>
  <c r="AH12" i="26"/>
  <c r="AI12" i="26" s="1"/>
  <c r="AH9" i="26"/>
  <c r="AI9" i="26" s="1"/>
  <c r="AH6" i="26"/>
  <c r="AI6" i="26" s="1"/>
  <c r="AH3" i="26"/>
  <c r="AI3" i="26" s="1"/>
  <c r="AH127" i="26"/>
  <c r="AI127" i="26" s="1"/>
  <c r="AH51" i="26"/>
  <c r="AI51" i="26" s="1"/>
  <c r="AH130" i="21"/>
  <c r="AH138" i="21"/>
  <c r="AH135" i="21"/>
  <c r="AI135" i="21" s="1"/>
  <c r="AH186" i="21"/>
  <c r="AI186" i="21" s="1"/>
  <c r="AH183" i="21"/>
  <c r="AI183" i="21" s="1"/>
  <c r="AH180" i="21"/>
  <c r="AI180" i="21" s="1"/>
  <c r="AH177" i="21"/>
  <c r="AI177" i="21" s="1"/>
  <c r="AH174" i="21"/>
  <c r="AI174" i="21" s="1"/>
  <c r="AH171" i="21"/>
  <c r="AI171" i="21" s="1"/>
  <c r="AH168" i="21"/>
  <c r="AI168" i="21" s="1"/>
  <c r="AH165" i="21"/>
  <c r="AI165" i="21" s="1"/>
  <c r="AH162" i="21"/>
  <c r="AI162" i="21" s="1"/>
  <c r="AH159" i="21"/>
  <c r="AI159" i="21" s="1"/>
  <c r="AH156" i="21"/>
  <c r="AI156" i="21" s="1"/>
  <c r="AH153" i="21"/>
  <c r="AI153" i="21" s="1"/>
  <c r="AH150" i="21"/>
  <c r="AI150" i="21" s="1"/>
  <c r="AH147" i="21"/>
  <c r="AI147" i="21" s="1"/>
  <c r="AH144" i="21"/>
  <c r="AI144" i="21" s="1"/>
  <c r="AH141" i="21"/>
  <c r="AI141" i="21" s="1"/>
  <c r="AH122" i="21"/>
  <c r="AI122" i="21" s="1"/>
  <c r="AH119" i="21"/>
  <c r="AI119" i="21" s="1"/>
  <c r="AH116" i="21"/>
  <c r="AI116" i="21" s="1"/>
  <c r="AH113" i="21"/>
  <c r="AI113" i="21" s="1"/>
  <c r="AH133" i="21"/>
  <c r="AH128" i="21"/>
  <c r="AI128" i="21" s="1"/>
  <c r="AH125" i="21"/>
  <c r="AI125" i="21" s="1"/>
  <c r="AH187" i="21"/>
  <c r="AI187" i="21" s="1"/>
  <c r="AH184" i="21"/>
  <c r="AI184" i="21" s="1"/>
  <c r="AH181" i="21"/>
  <c r="AI181" i="21" s="1"/>
  <c r="AH178" i="21"/>
  <c r="AI178" i="21" s="1"/>
  <c r="AH175" i="21"/>
  <c r="AI175" i="21" s="1"/>
  <c r="AH172" i="21"/>
  <c r="AI172" i="21" s="1"/>
  <c r="AH169" i="21"/>
  <c r="AI169" i="21" s="1"/>
  <c r="AH166" i="21"/>
  <c r="AI166" i="21" s="1"/>
  <c r="AH163" i="21"/>
  <c r="AI163" i="21" s="1"/>
  <c r="AH160" i="21"/>
  <c r="AI160" i="21" s="1"/>
  <c r="AH157" i="21"/>
  <c r="AI157" i="21" s="1"/>
  <c r="AH154" i="21"/>
  <c r="AI154" i="21" s="1"/>
  <c r="AH151" i="21"/>
  <c r="AI151" i="21" s="1"/>
  <c r="AH148" i="21"/>
  <c r="AI148" i="21" s="1"/>
  <c r="AH145" i="21"/>
  <c r="AI145" i="21" s="1"/>
  <c r="AH142" i="21"/>
  <c r="AI142" i="21" s="1"/>
  <c r="AH139" i="21"/>
  <c r="AI139" i="21" s="1"/>
  <c r="AH129" i="21"/>
  <c r="AH126" i="21"/>
  <c r="AI126" i="21" s="1"/>
  <c r="AH134" i="21"/>
  <c r="AH188" i="21"/>
  <c r="AI188" i="21" s="1"/>
  <c r="AH185" i="21"/>
  <c r="AI185" i="21" s="1"/>
  <c r="AH182" i="21"/>
  <c r="AI182" i="21" s="1"/>
  <c r="AH179" i="21"/>
  <c r="AI179" i="21" s="1"/>
  <c r="AH176" i="21"/>
  <c r="AI176" i="21" s="1"/>
  <c r="AH173" i="21"/>
  <c r="AI173" i="21" s="1"/>
  <c r="AH170" i="21"/>
  <c r="AI170" i="21" s="1"/>
  <c r="AH167" i="21"/>
  <c r="AI167" i="21" s="1"/>
  <c r="AH123" i="21"/>
  <c r="AI123" i="21" s="1"/>
  <c r="AH120" i="21"/>
  <c r="AI120" i="21" s="1"/>
  <c r="AH117" i="21"/>
  <c r="AI117" i="21" s="1"/>
  <c r="AH114" i="21"/>
  <c r="AI114" i="21" s="1"/>
  <c r="AH111" i="21"/>
  <c r="AI111" i="21" s="1"/>
  <c r="AH161" i="21"/>
  <c r="AI161" i="21" s="1"/>
  <c r="AH132" i="21"/>
  <c r="AH146" i="21"/>
  <c r="AI146" i="21" s="1"/>
  <c r="AH108" i="21"/>
  <c r="AI108" i="21" s="1"/>
  <c r="AH105" i="21"/>
  <c r="AI105" i="21" s="1"/>
  <c r="AH102" i="21"/>
  <c r="AI102" i="21" s="1"/>
  <c r="AH99" i="21"/>
  <c r="AI99" i="21" s="1"/>
  <c r="AH96" i="21"/>
  <c r="AI96" i="21" s="1"/>
  <c r="AH93" i="21"/>
  <c r="AI93" i="21" s="1"/>
  <c r="AH90" i="21"/>
  <c r="AI90" i="21" s="1"/>
  <c r="AH87" i="21"/>
  <c r="AI87" i="21" s="1"/>
  <c r="AH84" i="21"/>
  <c r="AI84" i="21" s="1"/>
  <c r="AH81" i="21"/>
  <c r="AI81" i="21" s="1"/>
  <c r="AH78" i="21"/>
  <c r="AI78" i="21" s="1"/>
  <c r="AH75" i="21"/>
  <c r="AI75" i="21" s="1"/>
  <c r="AH72" i="21"/>
  <c r="AI72" i="21" s="1"/>
  <c r="AH69" i="21"/>
  <c r="AI69" i="21" s="1"/>
  <c r="AH66" i="21"/>
  <c r="AI66" i="21" s="1"/>
  <c r="AH63" i="21"/>
  <c r="AI63" i="21" s="1"/>
  <c r="AH60" i="21"/>
  <c r="AI60" i="21" s="1"/>
  <c r="AH57" i="21"/>
  <c r="AI57" i="21" s="1"/>
  <c r="AH54" i="21"/>
  <c r="AI54" i="21" s="1"/>
  <c r="AH51" i="21"/>
  <c r="AI51" i="21" s="1"/>
  <c r="AH48" i="21"/>
  <c r="AI48" i="21" s="1"/>
  <c r="AH45" i="21"/>
  <c r="AI45" i="21" s="1"/>
  <c r="AH42" i="21"/>
  <c r="AI42" i="21" s="1"/>
  <c r="AH39" i="21"/>
  <c r="AI39" i="21" s="1"/>
  <c r="AH36" i="21"/>
  <c r="AI36" i="21" s="1"/>
  <c r="AH33" i="21"/>
  <c r="AI33" i="21" s="1"/>
  <c r="AH30" i="21"/>
  <c r="AI30" i="21" s="1"/>
  <c r="AH27" i="21"/>
  <c r="AI27" i="21" s="1"/>
  <c r="AH24" i="21"/>
  <c r="AI24" i="21" s="1"/>
  <c r="AH21" i="21"/>
  <c r="AI21" i="21" s="1"/>
  <c r="AH18" i="21"/>
  <c r="AI18" i="21" s="1"/>
  <c r="AH164" i="21"/>
  <c r="AI164" i="21" s="1"/>
  <c r="AH155" i="21"/>
  <c r="AI155" i="21" s="1"/>
  <c r="AH124" i="21"/>
  <c r="AH121" i="21"/>
  <c r="AI121" i="21" s="1"/>
  <c r="AH118" i="21"/>
  <c r="AI118" i="21" s="1"/>
  <c r="AH115" i="21"/>
  <c r="AI115" i="21" s="1"/>
  <c r="AH112" i="21"/>
  <c r="AI112" i="21" s="1"/>
  <c r="AH47" i="21"/>
  <c r="AI47" i="21" s="1"/>
  <c r="AH43" i="21"/>
  <c r="AI43" i="21" s="1"/>
  <c r="AH38" i="21"/>
  <c r="AI38" i="21" s="1"/>
  <c r="AH34" i="21"/>
  <c r="AI34" i="21" s="1"/>
  <c r="AH29" i="21"/>
  <c r="AI29" i="21" s="1"/>
  <c r="AH25" i="21"/>
  <c r="AI25" i="21" s="1"/>
  <c r="AH20" i="21"/>
  <c r="AI20" i="21" s="1"/>
  <c r="AH16" i="21"/>
  <c r="AI16" i="21" s="1"/>
  <c r="AH149" i="21"/>
  <c r="AI149" i="21" s="1"/>
  <c r="AH140" i="21"/>
  <c r="AI140" i="21" s="1"/>
  <c r="AH110" i="21"/>
  <c r="AI110" i="21" s="1"/>
  <c r="AH107" i="21"/>
  <c r="AI107" i="21" s="1"/>
  <c r="AH104" i="21"/>
  <c r="AI104" i="21" s="1"/>
  <c r="AH101" i="21"/>
  <c r="AI101" i="21" s="1"/>
  <c r="AH98" i="21"/>
  <c r="AI98" i="21" s="1"/>
  <c r="AH95" i="21"/>
  <c r="AI95" i="21" s="1"/>
  <c r="AH92" i="21"/>
  <c r="AI92" i="21" s="1"/>
  <c r="AH89" i="21"/>
  <c r="AI89" i="21" s="1"/>
  <c r="AH86" i="21"/>
  <c r="AI86" i="21" s="1"/>
  <c r="AH83" i="21"/>
  <c r="AI83" i="21" s="1"/>
  <c r="AH80" i="21"/>
  <c r="AI80" i="21" s="1"/>
  <c r="AH77" i="21"/>
  <c r="AI77" i="21" s="1"/>
  <c r="AH74" i="21"/>
  <c r="AI74" i="21" s="1"/>
  <c r="AH71" i="21"/>
  <c r="AI71" i="21" s="1"/>
  <c r="AH68" i="21"/>
  <c r="AI68" i="21" s="1"/>
  <c r="AH65" i="21"/>
  <c r="AI65" i="21" s="1"/>
  <c r="AH62" i="21"/>
  <c r="AI62" i="21" s="1"/>
  <c r="AH59" i="21"/>
  <c r="AI59" i="21" s="1"/>
  <c r="AH56" i="21"/>
  <c r="AI56" i="21" s="1"/>
  <c r="AH53" i="21"/>
  <c r="AI53" i="21" s="1"/>
  <c r="AH152" i="21"/>
  <c r="AI152" i="21" s="1"/>
  <c r="AH143" i="21"/>
  <c r="AI143" i="21" s="1"/>
  <c r="AH109" i="21"/>
  <c r="AI109" i="21" s="1"/>
  <c r="AH106" i="21"/>
  <c r="AI106" i="21" s="1"/>
  <c r="AH103" i="21"/>
  <c r="AI103" i="21" s="1"/>
  <c r="AH100" i="21"/>
  <c r="AI100" i="21" s="1"/>
  <c r="AH97" i="21"/>
  <c r="AI97" i="21" s="1"/>
  <c r="AH94" i="21"/>
  <c r="AI94" i="21" s="1"/>
  <c r="AH91" i="21"/>
  <c r="AI91" i="21" s="1"/>
  <c r="AH88" i="21"/>
  <c r="AI88" i="21" s="1"/>
  <c r="AH85" i="21"/>
  <c r="AI85" i="21" s="1"/>
  <c r="AH82" i="21"/>
  <c r="AI82" i="21" s="1"/>
  <c r="AH79" i="21"/>
  <c r="AI79" i="21" s="1"/>
  <c r="AH76" i="21"/>
  <c r="AI76" i="21" s="1"/>
  <c r="AH73" i="21"/>
  <c r="AI73" i="21" s="1"/>
  <c r="AH70" i="21"/>
  <c r="AI70" i="21" s="1"/>
  <c r="AH67" i="21"/>
  <c r="AI67" i="21" s="1"/>
  <c r="AH64" i="21"/>
  <c r="AI64" i="21" s="1"/>
  <c r="AH61" i="21"/>
  <c r="AI61" i="21" s="1"/>
  <c r="AH58" i="21"/>
  <c r="AI58" i="21" s="1"/>
  <c r="AH55" i="21"/>
  <c r="AI55" i="21" s="1"/>
  <c r="AH52" i="21"/>
  <c r="AI52" i="21" s="1"/>
  <c r="AH50" i="21"/>
  <c r="AI50" i="21" s="1"/>
  <c r="AH44" i="21"/>
  <c r="AI44" i="21" s="1"/>
  <c r="AH40" i="21"/>
  <c r="AI40" i="21" s="1"/>
  <c r="AH35" i="21"/>
  <c r="AI35" i="21" s="1"/>
  <c r="AH31" i="21"/>
  <c r="AI31" i="21" s="1"/>
  <c r="AH26" i="21"/>
  <c r="AI26" i="21" s="1"/>
  <c r="AH22" i="21"/>
  <c r="AI22" i="21" s="1"/>
  <c r="AH17" i="21"/>
  <c r="AI17" i="21" s="1"/>
  <c r="AH158" i="21"/>
  <c r="AI158" i="21" s="1"/>
  <c r="AH136" i="21"/>
  <c r="AI136" i="21" s="1"/>
  <c r="AH15" i="21"/>
  <c r="AI15" i="21" s="1"/>
  <c r="AH12" i="21"/>
  <c r="AI12" i="21" s="1"/>
  <c r="AH9" i="21"/>
  <c r="AI9" i="21" s="1"/>
  <c r="AH6" i="21"/>
  <c r="AI6" i="21" s="1"/>
  <c r="AH3" i="21"/>
  <c r="AI3" i="21" s="1"/>
  <c r="AH46" i="21"/>
  <c r="AI46" i="21" s="1"/>
  <c r="AH41" i="21"/>
  <c r="AI41" i="21" s="1"/>
  <c r="AH37" i="21"/>
  <c r="AI37" i="21" s="1"/>
  <c r="AH32" i="21"/>
  <c r="AI32" i="21" s="1"/>
  <c r="AH28" i="21"/>
  <c r="AI28" i="21" s="1"/>
  <c r="AH23" i="21"/>
  <c r="AI23" i="21" s="1"/>
  <c r="AH19" i="21"/>
  <c r="AI19" i="21" s="1"/>
  <c r="AH131" i="21"/>
  <c r="AH137" i="21"/>
  <c r="AI137" i="21" s="1"/>
  <c r="AH49" i="21"/>
  <c r="AI49" i="21" s="1"/>
  <c r="AH8" i="21"/>
  <c r="AI8" i="21" s="1"/>
  <c r="AH127" i="21"/>
  <c r="AI127" i="21" s="1"/>
  <c r="AH14" i="21"/>
  <c r="AI14" i="21" s="1"/>
  <c r="AH5" i="21"/>
  <c r="AI5" i="21" s="1"/>
  <c r="AH7" i="21"/>
  <c r="AI7" i="21" s="1"/>
  <c r="AH10" i="21"/>
  <c r="AI10" i="21" s="1"/>
  <c r="AH4" i="21"/>
  <c r="AI4" i="21" s="1"/>
  <c r="AH11" i="21"/>
  <c r="AI11" i="21" s="1"/>
  <c r="AH13" i="21"/>
  <c r="AI13" i="21" s="1"/>
  <c r="AH191" i="18"/>
  <c r="AI191" i="18" s="1"/>
  <c r="AH188" i="18"/>
  <c r="AI188" i="18" s="1"/>
  <c r="AH185" i="18"/>
  <c r="AI185" i="18" s="1"/>
  <c r="AH182" i="18"/>
  <c r="AI182" i="18" s="1"/>
  <c r="AH179" i="18"/>
  <c r="AI179" i="18" s="1"/>
  <c r="AH176" i="18"/>
  <c r="AI176" i="18" s="1"/>
  <c r="AH173" i="18"/>
  <c r="AI173" i="18" s="1"/>
  <c r="AH170" i="18"/>
  <c r="AI170" i="18" s="1"/>
  <c r="AH167" i="18"/>
  <c r="AI167" i="18" s="1"/>
  <c r="AH164" i="18"/>
  <c r="AI164" i="18" s="1"/>
  <c r="AH161" i="18"/>
  <c r="AI161" i="18" s="1"/>
  <c r="AH158" i="18"/>
  <c r="AI158" i="18" s="1"/>
  <c r="AH155" i="18"/>
  <c r="AI155" i="18" s="1"/>
  <c r="AH152" i="18"/>
  <c r="AI152" i="18" s="1"/>
  <c r="AH149" i="18"/>
  <c r="AI149" i="18" s="1"/>
  <c r="AH146" i="18"/>
  <c r="AI146" i="18" s="1"/>
  <c r="AH143" i="18"/>
  <c r="AI143" i="18" s="1"/>
  <c r="AH189" i="18"/>
  <c r="AI189" i="18" s="1"/>
  <c r="AH180" i="18"/>
  <c r="AI180" i="18" s="1"/>
  <c r="AH171" i="18"/>
  <c r="AI171" i="18" s="1"/>
  <c r="AH162" i="18"/>
  <c r="AI162" i="18" s="1"/>
  <c r="AH153" i="18"/>
  <c r="AI153" i="18" s="1"/>
  <c r="AH138" i="18"/>
  <c r="AH187" i="18"/>
  <c r="AI187" i="18" s="1"/>
  <c r="AH178" i="18"/>
  <c r="AI178" i="18" s="1"/>
  <c r="AH169" i="18"/>
  <c r="AI169" i="18" s="1"/>
  <c r="AH190" i="18"/>
  <c r="AI190" i="18" s="1"/>
  <c r="AH181" i="18"/>
  <c r="AI181" i="18" s="1"/>
  <c r="AH172" i="18"/>
  <c r="AI172" i="18" s="1"/>
  <c r="AH186" i="18"/>
  <c r="AI186" i="18" s="1"/>
  <c r="AH177" i="18"/>
  <c r="AI177" i="18" s="1"/>
  <c r="AH183" i="18"/>
  <c r="AI183" i="18" s="1"/>
  <c r="AH168" i="18"/>
  <c r="AI168" i="18" s="1"/>
  <c r="AH163" i="18"/>
  <c r="AI163" i="18" s="1"/>
  <c r="AH151" i="18"/>
  <c r="AI151" i="18" s="1"/>
  <c r="AH131" i="18"/>
  <c r="AI131" i="18" s="1"/>
  <c r="AH174" i="18"/>
  <c r="AI174" i="18" s="1"/>
  <c r="AH132" i="18"/>
  <c r="AI132" i="18" s="1"/>
  <c r="AH129" i="18"/>
  <c r="AI129" i="18" s="1"/>
  <c r="AH157" i="18"/>
  <c r="AI157" i="18" s="1"/>
  <c r="AH156" i="18"/>
  <c r="AI156" i="18" s="1"/>
  <c r="AH140" i="18"/>
  <c r="AI140" i="18" s="1"/>
  <c r="AH126" i="18"/>
  <c r="AI126" i="18" s="1"/>
  <c r="AH117" i="18"/>
  <c r="AI117" i="18" s="1"/>
  <c r="AH108" i="18"/>
  <c r="AI108" i="18" s="1"/>
  <c r="AH99" i="18"/>
  <c r="AI99" i="18" s="1"/>
  <c r="AH90" i="18"/>
  <c r="AI90" i="18" s="1"/>
  <c r="AH81" i="18"/>
  <c r="AI81" i="18" s="1"/>
  <c r="AH72" i="18"/>
  <c r="AI72" i="18" s="1"/>
  <c r="AH67" i="18"/>
  <c r="AI67" i="18" s="1"/>
  <c r="AH58" i="18"/>
  <c r="AI58" i="18" s="1"/>
  <c r="AH49" i="18"/>
  <c r="AI49" i="18" s="1"/>
  <c r="AH40" i="18"/>
  <c r="AI40" i="18" s="1"/>
  <c r="AH31" i="18"/>
  <c r="AI31" i="18" s="1"/>
  <c r="AH22" i="18"/>
  <c r="AI22" i="18" s="1"/>
  <c r="AH13" i="18"/>
  <c r="AI13" i="18" s="1"/>
  <c r="AH4" i="18"/>
  <c r="AI4" i="18" s="1"/>
  <c r="AH121" i="18"/>
  <c r="AI121" i="18" s="1"/>
  <c r="AH112" i="18"/>
  <c r="AI112" i="18" s="1"/>
  <c r="AH103" i="18"/>
  <c r="AI103" i="18" s="1"/>
  <c r="AH94" i="18"/>
  <c r="AI94" i="18" s="1"/>
  <c r="AH85" i="18"/>
  <c r="AI85" i="18" s="1"/>
  <c r="AH76" i="18"/>
  <c r="AI76" i="18" s="1"/>
  <c r="AH154" i="18"/>
  <c r="AI154" i="18" s="1"/>
  <c r="AH147" i="18"/>
  <c r="AI147" i="18" s="1"/>
  <c r="AH130" i="18"/>
  <c r="AI130" i="18" s="1"/>
  <c r="AH62" i="18"/>
  <c r="AI62" i="18" s="1"/>
  <c r="AH53" i="18"/>
  <c r="AI53" i="18" s="1"/>
  <c r="AH44" i="18"/>
  <c r="AI44" i="18" s="1"/>
  <c r="AH35" i="18"/>
  <c r="AI35" i="18" s="1"/>
  <c r="AH26" i="18"/>
  <c r="AI26" i="18" s="1"/>
  <c r="AH17" i="18"/>
  <c r="AI17" i="18" s="1"/>
  <c r="AH8" i="18"/>
  <c r="AI8" i="18" s="1"/>
  <c r="AH184" i="18"/>
  <c r="AI184" i="18" s="1"/>
  <c r="AH145" i="18"/>
  <c r="AI145" i="18" s="1"/>
  <c r="AH135" i="18"/>
  <c r="AH125" i="18"/>
  <c r="AI125" i="18" s="1"/>
  <c r="AH116" i="18"/>
  <c r="AI116" i="18" s="1"/>
  <c r="AH107" i="18"/>
  <c r="AI107" i="18" s="1"/>
  <c r="AH98" i="18"/>
  <c r="AI98" i="18" s="1"/>
  <c r="AH89" i="18"/>
  <c r="AI89" i="18" s="1"/>
  <c r="AH80" i="18"/>
  <c r="AI80" i="18" s="1"/>
  <c r="AH71" i="18"/>
  <c r="AI71" i="18" s="1"/>
  <c r="AH66" i="18"/>
  <c r="AI66" i="18" s="1"/>
  <c r="AH57" i="18"/>
  <c r="AI57" i="18" s="1"/>
  <c r="AH48" i="18"/>
  <c r="AI48" i="18" s="1"/>
  <c r="AH39" i="18"/>
  <c r="AI39" i="18" s="1"/>
  <c r="AH30" i="18"/>
  <c r="AI30" i="18" s="1"/>
  <c r="AH21" i="18"/>
  <c r="AI21" i="18" s="1"/>
  <c r="AH12" i="18"/>
  <c r="AI12" i="18" s="1"/>
  <c r="AH3" i="18"/>
  <c r="AI3" i="18" s="1"/>
  <c r="AH141" i="18"/>
  <c r="AI141" i="18" s="1"/>
  <c r="AH134" i="18"/>
  <c r="AH120" i="18"/>
  <c r="AI120" i="18" s="1"/>
  <c r="AH111" i="18"/>
  <c r="AI111" i="18" s="1"/>
  <c r="AH102" i="18"/>
  <c r="AI102" i="18" s="1"/>
  <c r="AH93" i="18"/>
  <c r="AI93" i="18" s="1"/>
  <c r="AH84" i="18"/>
  <c r="AI84" i="18" s="1"/>
  <c r="AH75" i="18"/>
  <c r="AI75" i="18" s="1"/>
  <c r="AH61" i="18"/>
  <c r="AI61" i="18" s="1"/>
  <c r="AH52" i="18"/>
  <c r="AI52" i="18" s="1"/>
  <c r="AH43" i="18"/>
  <c r="AI43" i="18" s="1"/>
  <c r="AH34" i="18"/>
  <c r="AI34" i="18" s="1"/>
  <c r="AH25" i="18"/>
  <c r="AI25" i="18" s="1"/>
  <c r="AH16" i="18"/>
  <c r="AI16" i="18" s="1"/>
  <c r="AH7" i="18"/>
  <c r="AI7" i="18" s="1"/>
  <c r="AH192" i="18"/>
  <c r="AI192" i="18" s="1"/>
  <c r="AH150" i="18"/>
  <c r="AI150" i="18" s="1"/>
  <c r="AH124" i="18"/>
  <c r="AI124" i="18" s="1"/>
  <c r="AH115" i="18"/>
  <c r="AI115" i="18" s="1"/>
  <c r="AH106" i="18"/>
  <c r="AI106" i="18" s="1"/>
  <c r="AH133" i="18"/>
  <c r="AH77" i="18"/>
  <c r="AI77" i="18" s="1"/>
  <c r="AH56" i="18"/>
  <c r="AI56" i="18" s="1"/>
  <c r="AH46" i="18"/>
  <c r="AI46" i="18" s="1"/>
  <c r="AH29" i="18"/>
  <c r="AI29" i="18" s="1"/>
  <c r="AH23" i="18"/>
  <c r="AI23" i="18" s="1"/>
  <c r="AH175" i="18"/>
  <c r="AI175" i="18" s="1"/>
  <c r="AH119" i="18"/>
  <c r="AI119" i="18" s="1"/>
  <c r="AH118" i="18"/>
  <c r="AI118" i="18" s="1"/>
  <c r="AH105" i="18"/>
  <c r="AI105" i="18" s="1"/>
  <c r="AH97" i="18"/>
  <c r="AI97" i="18" s="1"/>
  <c r="AH88" i="18"/>
  <c r="AI88" i="18" s="1"/>
  <c r="AH79" i="18"/>
  <c r="AI79" i="18" s="1"/>
  <c r="AH42" i="18"/>
  <c r="AI42" i="18" s="1"/>
  <c r="AH10" i="18"/>
  <c r="AI10" i="18" s="1"/>
  <c r="AH137" i="18"/>
  <c r="AH104" i="18"/>
  <c r="AI104" i="18" s="1"/>
  <c r="AH69" i="18"/>
  <c r="AI69" i="18" s="1"/>
  <c r="AH59" i="18"/>
  <c r="AI59" i="18" s="1"/>
  <c r="AH32" i="18"/>
  <c r="AI32" i="18" s="1"/>
  <c r="AH166" i="18"/>
  <c r="AI166" i="18" s="1"/>
  <c r="AH96" i="18"/>
  <c r="AI96" i="18" s="1"/>
  <c r="AH87" i="18"/>
  <c r="AI87" i="18" s="1"/>
  <c r="AH65" i="18"/>
  <c r="AI65" i="18" s="1"/>
  <c r="AH55" i="18"/>
  <c r="AI55" i="18" s="1"/>
  <c r="AH38" i="18"/>
  <c r="AI38" i="18" s="1"/>
  <c r="AH20" i="18"/>
  <c r="AI20" i="18" s="1"/>
  <c r="AH14" i="18"/>
  <c r="AI14" i="18" s="1"/>
  <c r="AH45" i="18"/>
  <c r="AI45" i="18" s="1"/>
  <c r="AH24" i="18"/>
  <c r="AI24" i="18" s="1"/>
  <c r="AH18" i="18"/>
  <c r="AI18" i="18" s="1"/>
  <c r="AH123" i="18"/>
  <c r="AI123" i="18" s="1"/>
  <c r="AH110" i="18"/>
  <c r="AI110" i="18" s="1"/>
  <c r="AH109" i="18"/>
  <c r="AI109" i="18" s="1"/>
  <c r="AH51" i="18"/>
  <c r="AI51" i="18" s="1"/>
  <c r="AH28" i="18"/>
  <c r="AI28" i="18" s="1"/>
  <c r="AH165" i="18"/>
  <c r="AI165" i="18" s="1"/>
  <c r="AH160" i="18"/>
  <c r="AI160" i="18" s="1"/>
  <c r="AH144" i="18"/>
  <c r="AI144" i="18" s="1"/>
  <c r="AH122" i="18"/>
  <c r="AI122" i="18" s="1"/>
  <c r="AH95" i="18"/>
  <c r="AI95" i="18" s="1"/>
  <c r="AH64" i="18"/>
  <c r="AI64" i="18" s="1"/>
  <c r="AH47" i="18"/>
  <c r="AI47" i="18" s="1"/>
  <c r="AH37" i="18"/>
  <c r="AI37" i="18" s="1"/>
  <c r="AH11" i="18"/>
  <c r="AI11" i="18" s="1"/>
  <c r="AH5" i="18"/>
  <c r="AI5" i="18" s="1"/>
  <c r="AH142" i="18"/>
  <c r="AH139" i="18"/>
  <c r="AI139" i="18" s="1"/>
  <c r="AH136" i="18"/>
  <c r="AH92" i="18"/>
  <c r="AI92" i="18" s="1"/>
  <c r="AH83" i="18"/>
  <c r="AI83" i="18" s="1"/>
  <c r="AH74" i="18"/>
  <c r="AI74" i="18" s="1"/>
  <c r="AH54" i="18"/>
  <c r="AI54" i="18" s="1"/>
  <c r="AH15" i="18"/>
  <c r="AI15" i="18" s="1"/>
  <c r="AH9" i="18"/>
  <c r="AI9" i="18" s="1"/>
  <c r="AH128" i="18"/>
  <c r="AH127" i="18"/>
  <c r="AI127" i="18" s="1"/>
  <c r="AH114" i="18"/>
  <c r="AI114" i="18" s="1"/>
  <c r="AH101" i="18"/>
  <c r="AI101" i="18" s="1"/>
  <c r="AH70" i="18"/>
  <c r="AI70" i="18" s="1"/>
  <c r="AH60" i="18"/>
  <c r="AI60" i="18" s="1"/>
  <c r="AH33" i="18"/>
  <c r="AI33" i="18" s="1"/>
  <c r="AH19" i="18"/>
  <c r="AI19" i="18" s="1"/>
  <c r="AH148" i="18"/>
  <c r="AI148" i="18" s="1"/>
  <c r="AH73" i="18"/>
  <c r="AI73" i="18" s="1"/>
  <c r="AH36" i="18"/>
  <c r="AI36" i="18" s="1"/>
  <c r="AH27" i="18"/>
  <c r="AI27" i="18" s="1"/>
  <c r="AH159" i="18"/>
  <c r="AI159" i="18" s="1"/>
  <c r="AH86" i="18"/>
  <c r="AI86" i="18" s="1"/>
  <c r="AH82" i="18"/>
  <c r="AI82" i="18" s="1"/>
  <c r="AH63" i="18"/>
  <c r="AI63" i="18" s="1"/>
  <c r="AH78" i="18"/>
  <c r="AI78" i="18" s="1"/>
  <c r="AH41" i="18"/>
  <c r="AI41" i="18" s="1"/>
  <c r="AH50" i="18"/>
  <c r="AI50" i="18" s="1"/>
  <c r="AH68" i="18"/>
  <c r="AH113" i="18"/>
  <c r="AI113" i="18" s="1"/>
  <c r="AH100" i="18"/>
  <c r="AI100" i="18" s="1"/>
  <c r="AH91" i="18"/>
  <c r="AI91" i="18" s="1"/>
  <c r="AH6" i="18"/>
  <c r="AI6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tc={008300AC-00E7-4E60-88E2-000F00F600FC}</author>
    <author>tc={003C006D-0091-4F1D-8BC2-009E00850050}</author>
  </authors>
  <commentList>
    <comment ref="H86" authorId="0" shapeId="0" xr:uid="{008300AC-00E7-4E60-88E2-000F00F600FC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уч.Сухопитская — везем до терминала г.Красноярск — получатель ф.л. Овичнников Василий Сергеевич паспорт 7600 629016 тел. 89835094085
</t>
        </r>
      </text>
    </comment>
    <comment ref="H110" authorId="1" shapeId="0" xr:uid="{003C006D-0091-4F1D-8BC2-009E0085005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участок Кутын — везем на г.Хабаровск ул.Халтурина 3А литер П — получатель — ХГРП — тел 89841347676
</t>
        </r>
      </text>
    </comment>
  </commentList>
</comments>
</file>

<file path=xl/sharedStrings.xml><?xml version="1.0" encoding="utf-8"?>
<sst xmlns="http://schemas.openxmlformats.org/spreadsheetml/2006/main" count="11440" uniqueCount="2217">
  <si>
    <t>ОТГРУЗКИ ПРОДУКЦИИ</t>
  </si>
  <si>
    <t>заметки</t>
  </si>
  <si>
    <t>НОМЕР ЗАКАЗА</t>
  </si>
  <si>
    <t>КЛИЕНТ</t>
  </si>
  <si>
    <t>ПРОДУКТ</t>
  </si>
  <si>
    <t>ПАРТИЯ</t>
  </si>
  <si>
    <t>КОЛИЧЕСТВО</t>
  </si>
  <si>
    <t>ПУНКТ НАЗНАЧЕНИЯ</t>
  </si>
  <si>
    <t>СТАТУС</t>
  </si>
  <si>
    <t>ДАТА ОТГРУЗКИ</t>
  </si>
  <si>
    <t>АВТОДОСТАВКА</t>
  </si>
  <si>
    <t>ЖД ДОСТАВКА</t>
  </si>
  <si>
    <t>ИТОГО ОТГРУЖЕНО</t>
  </si>
  <si>
    <t>АКТЫ</t>
  </si>
  <si>
    <t>КГ</t>
  </si>
  <si>
    <t>мешков/бочек</t>
  </si>
  <si>
    <t>№ АВТО</t>
  </si>
  <si>
    <t>ТЕЛ. ВОДИТЕЛЯ</t>
  </si>
  <si>
    <t>ВОДИТЕЛЬ</t>
  </si>
  <si>
    <t>№ КОНТЕЙНЕРА</t>
  </si>
  <si>
    <t>ЧП</t>
  </si>
  <si>
    <t>ИНАЯ</t>
  </si>
  <si>
    <t>Жидкий</t>
  </si>
  <si>
    <t>Цена со склада за 1 тонну</t>
  </si>
  <si>
    <t>Итого</t>
  </si>
  <si>
    <t>Спец№75</t>
  </si>
  <si>
    <t>СБМ</t>
  </si>
  <si>
    <t>СБМСУЛЬФ</t>
  </si>
  <si>
    <t>161123</t>
  </si>
  <si>
    <t>самовывоз</t>
  </si>
  <si>
    <t>отгружено</t>
  </si>
  <si>
    <t>Камаз А 317 УА 33</t>
  </si>
  <si>
    <t>8920-013-08-45</t>
  </si>
  <si>
    <t>Тимофеев Анатолий</t>
  </si>
  <si>
    <t>+</t>
  </si>
  <si>
    <t>авто</t>
  </si>
  <si>
    <t>ИСК20618-20</t>
  </si>
  <si>
    <t>Петроинжиниринг</t>
  </si>
  <si>
    <t>BLACKTROL ж - 200 кг п/эт</t>
  </si>
  <si>
    <t>171023</t>
  </si>
  <si>
    <t>Ноябрьск</t>
  </si>
  <si>
    <t>Вольво С 931 ЕМ 51</t>
  </si>
  <si>
    <t>8921-297-46-13</t>
  </si>
  <si>
    <t>Киреев Сергей</t>
  </si>
  <si>
    <t>181023</t>
  </si>
  <si>
    <t>191023</t>
  </si>
  <si>
    <t>221023</t>
  </si>
  <si>
    <t>241023</t>
  </si>
  <si>
    <t>Спец№5</t>
  </si>
  <si>
    <t>КомплексОйл</t>
  </si>
  <si>
    <t>ЛИКВИТРОЛ - 200 кг мет</t>
  </si>
  <si>
    <t>25/23</t>
  </si>
  <si>
    <t>Архангельск</t>
  </si>
  <si>
    <t>Камаз М 608 СТ 29</t>
  </si>
  <si>
    <t>8902-285-18-36</t>
  </si>
  <si>
    <t>Детков Ян</t>
  </si>
  <si>
    <t>БС-40625</t>
  </si>
  <si>
    <t>БурСервис</t>
  </si>
  <si>
    <t>BaraFLC</t>
  </si>
  <si>
    <t>301123</t>
  </si>
  <si>
    <t>Пыть-ях</t>
  </si>
  <si>
    <t>DAF О 922 КМ 29</t>
  </si>
  <si>
    <t>8911-685-32-02</t>
  </si>
  <si>
    <t>Журавлёв Николай</t>
  </si>
  <si>
    <t>Спец№26</t>
  </si>
  <si>
    <t>Энергоресурс</t>
  </si>
  <si>
    <t>BLACKTROL ж - 200 кг мет</t>
  </si>
  <si>
    <t>Скания Н 604 ХО 159</t>
  </si>
  <si>
    <t>8919-468-42-88</t>
  </si>
  <si>
    <t xml:space="preserve">Заярный Евгений Анатольевич </t>
  </si>
  <si>
    <t>Сборка</t>
  </si>
  <si>
    <t>051123</t>
  </si>
  <si>
    <t>8922-246-86-86</t>
  </si>
  <si>
    <t>061123</t>
  </si>
  <si>
    <t>Стабилайт II п/проп 25 кг</t>
  </si>
  <si>
    <t>156</t>
  </si>
  <si>
    <t>271123</t>
  </si>
  <si>
    <t>Вольво У 711 МВ 45</t>
  </si>
  <si>
    <t>8912-836-51-97</t>
  </si>
  <si>
    <t>Дендя Роман</t>
  </si>
  <si>
    <t>291123</t>
  </si>
  <si>
    <t>Мерседес С 094 УХ 72</t>
  </si>
  <si>
    <t>8912-995-38-89</t>
  </si>
  <si>
    <t>Новоселов Виктор</t>
  </si>
  <si>
    <t>Спец№16К</t>
  </si>
  <si>
    <t>ОМАС</t>
  </si>
  <si>
    <t>Сульфированный асфальт</t>
  </si>
  <si>
    <t>09/2023</t>
  </si>
  <si>
    <t>Бузулук</t>
  </si>
  <si>
    <t>DAF К 802 ХЕ 35</t>
  </si>
  <si>
    <t>8911-047-16-40</t>
  </si>
  <si>
    <t>Лишенко Игорь</t>
  </si>
  <si>
    <t>конт</t>
  </si>
  <si>
    <t>БС-41315</t>
  </si>
  <si>
    <t>011223</t>
  </si>
  <si>
    <t>Пурпе</t>
  </si>
  <si>
    <t>TKRU3347636</t>
  </si>
  <si>
    <t>БС-43622</t>
  </si>
  <si>
    <t>EZ-MUD DP (Поликап) бум 25 кг</t>
  </si>
  <si>
    <t>101123</t>
  </si>
  <si>
    <t>БС-44296</t>
  </si>
  <si>
    <t>021223</t>
  </si>
  <si>
    <t>TKRU3456283</t>
  </si>
  <si>
    <t>Спец№1</t>
  </si>
  <si>
    <t>Уральск</t>
  </si>
  <si>
    <t>Мерседес О 119 КУ 790</t>
  </si>
  <si>
    <t>8960-834-08-79</t>
  </si>
  <si>
    <t>Дягтерев Андрей</t>
  </si>
  <si>
    <t>Спец№8</t>
  </si>
  <si>
    <t>KazPetroDrilling</t>
  </si>
  <si>
    <t>Оптитрол Ж - 200 кг п/эт</t>
  </si>
  <si>
    <t>131023</t>
  </si>
  <si>
    <t>Жанаозен</t>
  </si>
  <si>
    <t>DAF У 690 РК 790</t>
  </si>
  <si>
    <t>8927-381-78-12</t>
  </si>
  <si>
    <t>Портнов Дмитрий</t>
  </si>
  <si>
    <t>141023</t>
  </si>
  <si>
    <t>141023/1</t>
  </si>
  <si>
    <t>261023</t>
  </si>
  <si>
    <t>DAF Е 375 АМ 198</t>
  </si>
  <si>
    <t>8927-090-86-60</t>
  </si>
  <si>
    <t>Каражан Арман</t>
  </si>
  <si>
    <t>071123</t>
  </si>
  <si>
    <t>211023</t>
  </si>
  <si>
    <t>сборка</t>
  </si>
  <si>
    <t>Спец№21</t>
  </si>
  <si>
    <t>Буринтех</t>
  </si>
  <si>
    <t>СУЛЬФОБИТ бум 25 кг</t>
  </si>
  <si>
    <t>061223</t>
  </si>
  <si>
    <t>Пыть-Ях</t>
  </si>
  <si>
    <t>Шакман М 544 ЕН 35</t>
  </si>
  <si>
    <t>8911-503-68-69</t>
  </si>
  <si>
    <t>Пелешанко/Останков</t>
  </si>
  <si>
    <t>Спец№2</t>
  </si>
  <si>
    <t>ПУХК</t>
  </si>
  <si>
    <t>141123</t>
  </si>
  <si>
    <t>FORD К 402 УХ 35</t>
  </si>
  <si>
    <t>8911-546-03-09</t>
  </si>
  <si>
    <t>Волков Игорь</t>
  </si>
  <si>
    <t>ТМГ Технолоджи</t>
  </si>
  <si>
    <t>СУПЕРСЛАЙДЕР ГОЛД - 180 кг мет</t>
  </si>
  <si>
    <t>101223</t>
  </si>
  <si>
    <t>Самовывоз</t>
  </si>
  <si>
    <t>Мерседес Т 882 РН 31</t>
  </si>
  <si>
    <t>8-919-223-23-67</t>
  </si>
  <si>
    <t>Малюков Александр</t>
  </si>
  <si>
    <t>Спец№20К</t>
  </si>
  <si>
    <t>ДЖИ-ДРИЛЛ</t>
  </si>
  <si>
    <t>10/2023</t>
  </si>
  <si>
    <t>Ивеко А 173 АС 702</t>
  </si>
  <si>
    <t>8927-089-57-41</t>
  </si>
  <si>
    <t>Саитбаталов Руслан</t>
  </si>
  <si>
    <t>031223</t>
  </si>
  <si>
    <t>TKRU3132160</t>
  </si>
  <si>
    <t>БС-47126</t>
  </si>
  <si>
    <t>TORQ TRIM II PLUS (СС Голд) - 185 кг мет</t>
  </si>
  <si>
    <t>281123</t>
  </si>
  <si>
    <t>TKRU3138220</t>
  </si>
  <si>
    <t>Конт</t>
  </si>
  <si>
    <t>Спец№22</t>
  </si>
  <si>
    <t>RZDU0463982</t>
  </si>
  <si>
    <t>121223</t>
  </si>
  <si>
    <t>RZDU0713968</t>
  </si>
  <si>
    <t>Спец№784/4</t>
  </si>
  <si>
    <t>Татнефть</t>
  </si>
  <si>
    <t>Стабилайт II марк 25 кг</t>
  </si>
  <si>
    <t>141223</t>
  </si>
  <si>
    <t>Бугульма</t>
  </si>
  <si>
    <t>Мерседес Е 324 ТУ 73</t>
  </si>
  <si>
    <t>8-962-634-7052</t>
  </si>
  <si>
    <t>Айдаркин Сергей</t>
  </si>
  <si>
    <t>151223</t>
  </si>
  <si>
    <t>МАЗ Е 065 ВТ</t>
  </si>
  <si>
    <t>8982-817-72-34</t>
  </si>
  <si>
    <t>Смагин Александр</t>
  </si>
  <si>
    <t>ТКШ</t>
  </si>
  <si>
    <t>Реасолт</t>
  </si>
  <si>
    <t>041223</t>
  </si>
  <si>
    <t>ДАФ О 922 КМ 29</t>
  </si>
  <si>
    <t>8-911-685-3202</t>
  </si>
  <si>
    <t>Журавлев Николай (Гандвик)</t>
  </si>
  <si>
    <t>БС-47648</t>
  </si>
  <si>
    <t>251123</t>
  </si>
  <si>
    <t>RZDU0177269</t>
  </si>
  <si>
    <t>021223/1</t>
  </si>
  <si>
    <t>БС-48558</t>
  </si>
  <si>
    <t>BaraFLC (0)</t>
  </si>
  <si>
    <t>161223</t>
  </si>
  <si>
    <t>Усинск</t>
  </si>
  <si>
    <t>TKRU3425132</t>
  </si>
  <si>
    <t>БС-46225</t>
  </si>
  <si>
    <t>ADAPTA II (Ликвитрол) - 25 кг канистра</t>
  </si>
  <si>
    <t>TKRU0732443</t>
  </si>
  <si>
    <t>Спец.№27</t>
  </si>
  <si>
    <t>131223</t>
  </si>
  <si>
    <t xml:space="preserve">Мерседес О 770 МА/29 </t>
  </si>
  <si>
    <t>8-911-682-42-16</t>
  </si>
  <si>
    <t>Васильев Денис</t>
  </si>
  <si>
    <t>261123</t>
  </si>
  <si>
    <t>241123</t>
  </si>
  <si>
    <t>051223</t>
  </si>
  <si>
    <t>Мерседес Х 851 МО 96</t>
  </si>
  <si>
    <t>8 922 03 20 363</t>
  </si>
  <si>
    <t xml:space="preserve">Мясников Андрей </t>
  </si>
  <si>
    <t>Спец№17К</t>
  </si>
  <si>
    <t>Вольво  Н 470 УР 196</t>
  </si>
  <si>
    <t>8-982-720-04-79</t>
  </si>
  <si>
    <t>Береза Вячеслав</t>
  </si>
  <si>
    <t>081223</t>
  </si>
  <si>
    <t>Вольво  Т 954 ВВ 790</t>
  </si>
  <si>
    <t>8920-627-81-26</t>
  </si>
  <si>
    <t>Болтушкин Александр</t>
  </si>
  <si>
    <t>Спец№9</t>
  </si>
  <si>
    <t>181223</t>
  </si>
  <si>
    <t>Mersedes О 119 КУ 790</t>
  </si>
  <si>
    <t xml:space="preserve">8-960 834 08 79 </t>
  </si>
  <si>
    <t xml:space="preserve">Дегтярев Андрей </t>
  </si>
  <si>
    <t>Вольво Е 837 НЕ 196</t>
  </si>
  <si>
    <t>8-982-600-1832</t>
  </si>
  <si>
    <t>Кутыгин/Воротилов (Пермский край)</t>
  </si>
  <si>
    <t>счет462</t>
  </si>
  <si>
    <t>Реахим-Сервис</t>
  </si>
  <si>
    <t>BLACKTROL ж - 50 кг п/эт</t>
  </si>
  <si>
    <t>251223</t>
  </si>
  <si>
    <t>Воронеж</t>
  </si>
  <si>
    <t>Деловые линии</t>
  </si>
  <si>
    <t>БС-44520</t>
  </si>
  <si>
    <t>231223</t>
  </si>
  <si>
    <t>RZDU0618019</t>
  </si>
  <si>
    <t>241223</t>
  </si>
  <si>
    <t>RZDU0616459</t>
  </si>
  <si>
    <t>БС-49314</t>
  </si>
  <si>
    <t>191223</t>
  </si>
  <si>
    <t>RZDU0644189</t>
  </si>
  <si>
    <t>201223</t>
  </si>
  <si>
    <t>RZDU0670212</t>
  </si>
  <si>
    <t>221223</t>
  </si>
  <si>
    <t>Спец№4</t>
  </si>
  <si>
    <t>ПАРМ-ГИНС</t>
  </si>
  <si>
    <t>РЕОМОД ж - 190 кг п/эт</t>
  </si>
  <si>
    <t>271223</t>
  </si>
  <si>
    <t>Деловые Линии</t>
  </si>
  <si>
    <t>Счет 23-00251035238</t>
  </si>
  <si>
    <t>Скания О 654 ОЕ 159</t>
  </si>
  <si>
    <t>8-982-482-9864</t>
  </si>
  <si>
    <t>Харин Максим (ЛегионАвто)</t>
  </si>
  <si>
    <t>Спец№23</t>
  </si>
  <si>
    <t>RZDU0732232</t>
  </si>
  <si>
    <t>RZDU0735376</t>
  </si>
  <si>
    <t>261223</t>
  </si>
  <si>
    <t>TKRU03137481</t>
  </si>
  <si>
    <t>TKRU03518169</t>
  </si>
  <si>
    <t>Итого заказов на:</t>
  </si>
  <si>
    <t>т</t>
  </si>
  <si>
    <t>Итого отгружено:</t>
  </si>
  <si>
    <t>из них ЧП:</t>
  </si>
  <si>
    <t>из них ИНАЯ:</t>
  </si>
  <si>
    <t>из них на жидкий:</t>
  </si>
  <si>
    <t>Осталось отгрузить</t>
  </si>
  <si>
    <t>Контейнер</t>
  </si>
  <si>
    <t>301023</t>
  </si>
  <si>
    <t>RZDU0642801</t>
  </si>
  <si>
    <t>БС-43314</t>
  </si>
  <si>
    <t>251023</t>
  </si>
  <si>
    <t>RZDU0482257</t>
  </si>
  <si>
    <t>RZDU0708112</t>
  </si>
  <si>
    <t>311023</t>
  </si>
  <si>
    <t>RZDU0173664</t>
  </si>
  <si>
    <t>БС-42033</t>
  </si>
  <si>
    <t>281023</t>
  </si>
  <si>
    <t>БС-43490</t>
  </si>
  <si>
    <t>291023</t>
  </si>
  <si>
    <t>RZDU0674856</t>
  </si>
  <si>
    <t>011123</t>
  </si>
  <si>
    <t>RZDU0710439</t>
  </si>
  <si>
    <t>021123</t>
  </si>
  <si>
    <t>АДВАНТА ж</t>
  </si>
  <si>
    <t>24/23</t>
  </si>
  <si>
    <t>Вольво О 801 НМ 29</t>
  </si>
  <si>
    <t>Вечеславов Юрий</t>
  </si>
  <si>
    <t>контейнер</t>
  </si>
  <si>
    <t>БС-42732</t>
  </si>
  <si>
    <t>EZ MUL NTR (Экстрамул-2000) - 190 кг мет</t>
  </si>
  <si>
    <t>Красноярск</t>
  </si>
  <si>
    <t>RZDU0700092</t>
  </si>
  <si>
    <t>220923</t>
  </si>
  <si>
    <t>020923</t>
  </si>
  <si>
    <t>RZDU0713171</t>
  </si>
  <si>
    <t>RZDU0710819</t>
  </si>
  <si>
    <t>031123</t>
  </si>
  <si>
    <t>TKRU3029580</t>
  </si>
  <si>
    <t>041123</t>
  </si>
  <si>
    <t>Спец№71</t>
  </si>
  <si>
    <t>Мерседес Н 409 АН 79</t>
  </si>
  <si>
    <t>8 911-560-41-02</t>
  </si>
  <si>
    <t>Хижин Анатолий</t>
  </si>
  <si>
    <t>Авто</t>
  </si>
  <si>
    <t>Спец№12</t>
  </si>
  <si>
    <t>МКО</t>
  </si>
  <si>
    <t>150923</t>
  </si>
  <si>
    <t>DAF  В 577 СТ 18</t>
  </si>
  <si>
    <t>Чернобровкин Алексей</t>
  </si>
  <si>
    <t>160923</t>
  </si>
  <si>
    <t>170923</t>
  </si>
  <si>
    <t>Спец№68</t>
  </si>
  <si>
    <t>201023</t>
  </si>
  <si>
    <t>Мерседес  С 094 УХ 72</t>
  </si>
  <si>
    <t>Спец№69</t>
  </si>
  <si>
    <t>СБМОЙЛРЕО В (Реомод ж) - 180 кг мет</t>
  </si>
  <si>
    <t>120523</t>
  </si>
  <si>
    <t>Вольво О 618 СМ 29</t>
  </si>
  <si>
    <t>8962-015-57-52</t>
  </si>
  <si>
    <t>Вахтомин Иван</t>
  </si>
  <si>
    <t>БС-43226</t>
  </si>
  <si>
    <t>Счёт.№407</t>
  </si>
  <si>
    <t>Газон Некст С 431 ВЕ 152</t>
  </si>
  <si>
    <t>Калдышкин Роман</t>
  </si>
  <si>
    <t>RZDU0653426</t>
  </si>
  <si>
    <t>4*30+8*35</t>
  </si>
  <si>
    <t>3*30+5*35</t>
  </si>
  <si>
    <t>RZDU0734678</t>
  </si>
  <si>
    <t>ИСК20577-15</t>
  </si>
  <si>
    <t>Нижневартовск</t>
  </si>
  <si>
    <t>DAF К 298 МО 45</t>
  </si>
  <si>
    <t>8919-569-78-88</t>
  </si>
  <si>
    <t>Шмаков Александр</t>
  </si>
  <si>
    <t>БС-43414</t>
  </si>
  <si>
    <t>DAF K 008 МА 29</t>
  </si>
  <si>
    <t>8911-682-59-92</t>
  </si>
  <si>
    <t>Белоцерковский Алексей</t>
  </si>
  <si>
    <t>Ивеко А 922 ХЕ 702</t>
  </si>
  <si>
    <t>8919-145-05-60</t>
  </si>
  <si>
    <t>Кудинов Дмитрий</t>
  </si>
  <si>
    <t>TKRU3157600</t>
  </si>
  <si>
    <t>081123</t>
  </si>
  <si>
    <t>RZDU0611415</t>
  </si>
  <si>
    <t>091123</t>
  </si>
  <si>
    <t>Мад Сервис</t>
  </si>
  <si>
    <t>Самара</t>
  </si>
  <si>
    <t>Kamaz  О 837 МА 29</t>
  </si>
  <si>
    <t>89523-939-90-73</t>
  </si>
  <si>
    <t>Дмитрий Борисов</t>
  </si>
  <si>
    <t>FAW О 053 ОМ 159</t>
  </si>
  <si>
    <t>8982-922-84-77</t>
  </si>
  <si>
    <t>Верещагин Александр</t>
  </si>
  <si>
    <t>Счёт №421</t>
  </si>
  <si>
    <t>121123</t>
  </si>
  <si>
    <t>Газель О 470 НТ 29</t>
  </si>
  <si>
    <t>8921-719-52-05</t>
  </si>
  <si>
    <t>Жилин Виниамин</t>
  </si>
  <si>
    <t>Счет.№423</t>
  </si>
  <si>
    <t>Горно-Промышленный Альянс</t>
  </si>
  <si>
    <t>МАКС-ФЛЕКС</t>
  </si>
  <si>
    <t>Ситрак Н 718 ТТ 198</t>
  </si>
  <si>
    <t>8981-879-05-18</t>
  </si>
  <si>
    <t>Хвостенко Сергей</t>
  </si>
  <si>
    <t>Спец№15К</t>
  </si>
  <si>
    <t>DAF В 426 МХ 45</t>
  </si>
  <si>
    <t>8912-575-48-67</t>
  </si>
  <si>
    <t>Анфалов Сергей</t>
  </si>
  <si>
    <t>Спец№72</t>
  </si>
  <si>
    <t>041023</t>
  </si>
  <si>
    <t>Ивеко Р 855 ВН 159</t>
  </si>
  <si>
    <t>8982-464-91-14</t>
  </si>
  <si>
    <t>Головков Николай</t>
  </si>
  <si>
    <t>СБМЛУБ ПЛЮС (СС Платинум) - 185 кг п/эт</t>
  </si>
  <si>
    <t>Скания В 023 РО 33</t>
  </si>
  <si>
    <t>8922-565-59-40</t>
  </si>
  <si>
    <t>Сверчков Анатолий</t>
  </si>
  <si>
    <t>Спец№136</t>
  </si>
  <si>
    <t>АКРОС</t>
  </si>
  <si>
    <t>Drilling Lube - 200 кг п/эт</t>
  </si>
  <si>
    <t>131123</t>
  </si>
  <si>
    <t>Мурманск</t>
  </si>
  <si>
    <t>Мерседес К 744 ТК 159</t>
  </si>
  <si>
    <t>8912-785-87-31</t>
  </si>
  <si>
    <t>Рамазанов Антон</t>
  </si>
  <si>
    <t>151123</t>
  </si>
  <si>
    <t>Вольво К 894 КВ 29</t>
  </si>
  <si>
    <t>8911-553-15-07</t>
  </si>
  <si>
    <t>Рюмин Дмитрий</t>
  </si>
  <si>
    <t>231023</t>
  </si>
  <si>
    <t>Вольво Т 954 ВВ 790</t>
  </si>
  <si>
    <t>Спец№6</t>
  </si>
  <si>
    <t>МадСервис</t>
  </si>
  <si>
    <t>12/22</t>
  </si>
  <si>
    <t>DAF У 377 МХ 45</t>
  </si>
  <si>
    <t>8912-979-31-83</t>
  </si>
  <si>
    <t>Шукаев Михаил</t>
  </si>
  <si>
    <t>01/2023</t>
  </si>
  <si>
    <t>171123</t>
  </si>
  <si>
    <t>DAF М 547 НЕ 29</t>
  </si>
  <si>
    <t>8999-250-87-92</t>
  </si>
  <si>
    <t>Грязов Руслан</t>
  </si>
  <si>
    <t>RZDU0709438</t>
  </si>
  <si>
    <t>111123</t>
  </si>
  <si>
    <t>181123</t>
  </si>
  <si>
    <t>RZDU0130111</t>
  </si>
  <si>
    <t>191123</t>
  </si>
  <si>
    <t>201123</t>
  </si>
  <si>
    <t>RZDU0686630</t>
  </si>
  <si>
    <t>221123</t>
  </si>
  <si>
    <t>8960-015-57-52</t>
  </si>
  <si>
    <t>211123</t>
  </si>
  <si>
    <t>RZDU0467268</t>
  </si>
  <si>
    <t>RZDU0619294</t>
  </si>
  <si>
    <t>DAF О 539 ОН 29</t>
  </si>
  <si>
    <t>8921-670-06-06</t>
  </si>
  <si>
    <t>Хрущ Александр</t>
  </si>
  <si>
    <t>Спец№73</t>
  </si>
  <si>
    <t>Газон NEXT Т 785 КО 797</t>
  </si>
  <si>
    <t>8904-364-92-57</t>
  </si>
  <si>
    <t>Григорьев Александр</t>
  </si>
  <si>
    <t>Спец№13</t>
  </si>
  <si>
    <t>Скания К 696 ХХ 21</t>
  </si>
  <si>
    <t>Павлов Евгений</t>
  </si>
  <si>
    <t>Спец№74</t>
  </si>
  <si>
    <t>Ситрак А 174 УА 33</t>
  </si>
  <si>
    <t>8904-821-49-90</t>
  </si>
  <si>
    <t>Ненахов Дмитрий</t>
  </si>
  <si>
    <t>ИСК20646-04</t>
  </si>
  <si>
    <t>EWO MUL2 - 200 кг п/эт</t>
  </si>
  <si>
    <t>210923</t>
  </si>
  <si>
    <t>Нефтеюганск</t>
  </si>
  <si>
    <t>Даф О922 КМ 29</t>
  </si>
  <si>
    <t>8 911 685 32 02</t>
  </si>
  <si>
    <t>230923</t>
  </si>
  <si>
    <t>Камаз Е950 СЕ 73</t>
  </si>
  <si>
    <t>8 909 358 23 60</t>
  </si>
  <si>
    <t>Мышляев Денис</t>
  </si>
  <si>
    <t>070923</t>
  </si>
  <si>
    <t>Камаз О218 АР 68</t>
  </si>
  <si>
    <t>8 910 651 00 62</t>
  </si>
  <si>
    <t>Бахшиев Раян</t>
  </si>
  <si>
    <t>290923</t>
  </si>
  <si>
    <t>Вольво В395 ВХ 797</t>
  </si>
  <si>
    <t>8 999 250 94 84</t>
  </si>
  <si>
    <t>Голуб Владимир</t>
  </si>
  <si>
    <t>Спец№30</t>
  </si>
  <si>
    <t>Химпром</t>
  </si>
  <si>
    <t>Оптитрол Пор</t>
  </si>
  <si>
    <t>BJ0094-23</t>
  </si>
  <si>
    <t>Рено М841 МТ 18</t>
  </si>
  <si>
    <t>8 912 756 51 88</t>
  </si>
  <si>
    <t>Лебедев Андрей</t>
  </si>
  <si>
    <t>АСФАСОЛ</t>
  </si>
  <si>
    <t>BJ0095-23</t>
  </si>
  <si>
    <t>ИСК20535-04</t>
  </si>
  <si>
    <t>Коротчаево</t>
  </si>
  <si>
    <t>Скания Н166 МН 159</t>
  </si>
  <si>
    <t>8 922 374 36 58</t>
  </si>
  <si>
    <t>Устинов Алексей</t>
  </si>
  <si>
    <t>Спец№19</t>
  </si>
  <si>
    <t>200923</t>
  </si>
  <si>
    <t>Вольво М552 КК 29</t>
  </si>
  <si>
    <t>8 911 874 49 00</t>
  </si>
  <si>
    <t>Суров Сергей</t>
  </si>
  <si>
    <t>060923</t>
  </si>
  <si>
    <t>Скания В987 ЕК 156</t>
  </si>
  <si>
    <t>8 919 853 01 26</t>
  </si>
  <si>
    <t>Семенов Александр</t>
  </si>
  <si>
    <t>ИСК20652-03</t>
  </si>
  <si>
    <t>Демьянка</t>
  </si>
  <si>
    <t>Даф К298 МО 45</t>
  </si>
  <si>
    <t>8 919 569 78 88</t>
  </si>
  <si>
    <t>240923</t>
  </si>
  <si>
    <t>Спец№17</t>
  </si>
  <si>
    <t>Инко-Сервис</t>
  </si>
  <si>
    <t>ВЕЛЛТРИТ - 180 кг мет</t>
  </si>
  <si>
    <t>14092023-9</t>
  </si>
  <si>
    <t>Волгоград</t>
  </si>
  <si>
    <t>Камаз Н056 МК 73</t>
  </si>
  <si>
    <t>8 927 822 60 48</t>
  </si>
  <si>
    <t>Белов Андрей</t>
  </si>
  <si>
    <t>ЭКСТРАМУЛ-2000 - 180 кг мет</t>
  </si>
  <si>
    <t>18092023-5</t>
  </si>
  <si>
    <t>Спец№7</t>
  </si>
  <si>
    <t>Даф Е375 АМ 198</t>
  </si>
  <si>
    <t>8 927 090 86 60</t>
  </si>
  <si>
    <t>030923</t>
  </si>
  <si>
    <t>090923</t>
  </si>
  <si>
    <t>021023</t>
  </si>
  <si>
    <t>Даф М547 НЕ 29</t>
  </si>
  <si>
    <t>8 999 250 87 92</t>
  </si>
  <si>
    <t>Спец№70</t>
  </si>
  <si>
    <t>190923</t>
  </si>
  <si>
    <t>Новый Уренгой</t>
  </si>
  <si>
    <t>Фав С982 ЕТ 196</t>
  </si>
  <si>
    <t>8 919 597 57 97</t>
  </si>
  <si>
    <t>Абабков Сергей</t>
  </si>
  <si>
    <t>Спец№10</t>
  </si>
  <si>
    <t>ERIELL</t>
  </si>
  <si>
    <t>ТЕРРАПАН</t>
  </si>
  <si>
    <t>280823</t>
  </si>
  <si>
    <t>Даф 50L217TA</t>
  </si>
  <si>
    <t>Иброхимов Иссокхон</t>
  </si>
  <si>
    <t>RZDU0717201</t>
  </si>
  <si>
    <t>БС-40629</t>
  </si>
  <si>
    <t>TORQ TRIM II PLUS (СС Голд) - 185 кг п/эт</t>
  </si>
  <si>
    <t>300923</t>
  </si>
  <si>
    <t>DAF К008МА 29</t>
  </si>
  <si>
    <t>011029</t>
  </si>
  <si>
    <t>Спец№11</t>
  </si>
  <si>
    <t>080923</t>
  </si>
  <si>
    <t>Даф О272 УС 18</t>
  </si>
  <si>
    <t>Данилов Дмитрий</t>
  </si>
  <si>
    <t>120923</t>
  </si>
  <si>
    <t>130923</t>
  </si>
  <si>
    <t>140923</t>
  </si>
  <si>
    <t>BioEnergy</t>
  </si>
  <si>
    <t>RENAULT А861ЕР 198</t>
  </si>
  <si>
    <t>8 911 760-77-92</t>
  </si>
  <si>
    <t>Абдулгалимов Марат</t>
  </si>
  <si>
    <t>280923</t>
  </si>
  <si>
    <t>VOLVO О201НК29</t>
  </si>
  <si>
    <t>Гладышев Артём</t>
  </si>
  <si>
    <t>250923</t>
  </si>
  <si>
    <t>SCANIA М870КУ 198</t>
  </si>
  <si>
    <t>8921-674-72-34</t>
  </si>
  <si>
    <t>Осокин Дмитрий</t>
  </si>
  <si>
    <t>270923</t>
  </si>
  <si>
    <t>DAF Р167МС 178</t>
  </si>
  <si>
    <t>8921-49-39-704</t>
  </si>
  <si>
    <t>Соснин Иван</t>
  </si>
  <si>
    <t>БС-40817</t>
  </si>
  <si>
    <t>ADAPTA LE (Адванта ж) - 25 кг канистра</t>
  </si>
  <si>
    <t>051023</t>
  </si>
  <si>
    <t>RZDU0709870</t>
  </si>
  <si>
    <t>БС-41789</t>
  </si>
  <si>
    <t>Мерседес О119 КУ 790</t>
  </si>
  <si>
    <t>8 960 834 08 79</t>
  </si>
  <si>
    <t>Дегтярёв Андрей</t>
  </si>
  <si>
    <t>БС-41313</t>
  </si>
  <si>
    <t>061023</t>
  </si>
  <si>
    <t>RZDU0473867</t>
  </si>
  <si>
    <t>071023</t>
  </si>
  <si>
    <t>RZDU0737872</t>
  </si>
  <si>
    <t>Скания М503 СМ 159</t>
  </si>
  <si>
    <t>8 919 710 17 26</t>
  </si>
  <si>
    <t>Ракшин Андрей</t>
  </si>
  <si>
    <t>290423</t>
  </si>
  <si>
    <t>101023</t>
  </si>
  <si>
    <t>RZDU0688079</t>
  </si>
  <si>
    <t>111023</t>
  </si>
  <si>
    <t>RZDU0695611</t>
  </si>
  <si>
    <t>БС-41444</t>
  </si>
  <si>
    <t>Скания О654 ОЕ 159</t>
  </si>
  <si>
    <t>8 982 482 98 64</t>
  </si>
  <si>
    <t>Харин Максим</t>
  </si>
  <si>
    <t>081023</t>
  </si>
  <si>
    <t>Рено Х456 ХМ 56</t>
  </si>
  <si>
    <t>8 987 868 58 82</t>
  </si>
  <si>
    <t>Кристанов Николай</t>
  </si>
  <si>
    <t>060423</t>
  </si>
  <si>
    <t>RZDU0603981</t>
  </si>
  <si>
    <t>RZDU0726559</t>
  </si>
  <si>
    <t>081023/1</t>
  </si>
  <si>
    <t>091023</t>
  </si>
  <si>
    <t>RZDU0607729</t>
  </si>
  <si>
    <t>091023/1</t>
  </si>
  <si>
    <t>СОЛАРКЕМ</t>
  </si>
  <si>
    <t>СУПЕРСЛАЙДЕР СИЛЬВЕР - 200 кг п/эт</t>
  </si>
  <si>
    <t>151023</t>
  </si>
  <si>
    <t>ГАЗ В499ЕС 719</t>
  </si>
  <si>
    <t>Мингалимов Ильшат</t>
  </si>
  <si>
    <t>УгутНефРЕсурс</t>
  </si>
  <si>
    <t>Лена</t>
  </si>
  <si>
    <t>TKRU3460766</t>
  </si>
  <si>
    <t>RZDU0718506</t>
  </si>
  <si>
    <t>TKRU3016010</t>
  </si>
  <si>
    <t>RZDU0427877</t>
  </si>
  <si>
    <t>LG-DRILL</t>
  </si>
  <si>
    <t>VOLVO FH 12 50870CBA</t>
  </si>
  <si>
    <t>Турсинбаев Акмаджон Немаджон угли</t>
  </si>
  <si>
    <t>DAFXF954X2 50T263NA</t>
  </si>
  <si>
    <t>Бокижонов Самандар Окилджон угли</t>
  </si>
  <si>
    <t>DAF XF 460 50204NBA</t>
  </si>
  <si>
    <t>Парпиев Нурилло Мусонжонович</t>
  </si>
  <si>
    <t>DAF М547НЕ 29</t>
  </si>
  <si>
    <t>VOLVO FH 50D153UA</t>
  </si>
  <si>
    <t>Исаков Улугбек Уринбоевич</t>
  </si>
  <si>
    <t>XRFO00004A-1</t>
  </si>
  <si>
    <t>260923</t>
  </si>
  <si>
    <t>Нягань</t>
  </si>
  <si>
    <t>DAF О539ОН 29</t>
  </si>
  <si>
    <t>8 921 670 06 06</t>
  </si>
  <si>
    <t>Спец№14К</t>
  </si>
  <si>
    <t>RZDU0667219</t>
  </si>
  <si>
    <t>СУПЕРСЛАЙДЕР ГОЛД - 200 кг п/эт</t>
  </si>
  <si>
    <t>161023</t>
  </si>
  <si>
    <t>RZDU0613660</t>
  </si>
  <si>
    <t>Volvo О618СМ 29</t>
  </si>
  <si>
    <t>Спец№25</t>
  </si>
  <si>
    <t>155</t>
  </si>
  <si>
    <t>Sitrak Р827МХ 46</t>
  </si>
  <si>
    <t>Тараканов Эдуард</t>
  </si>
  <si>
    <t>2 контейнера</t>
  </si>
  <si>
    <t>RZDU0666779</t>
  </si>
  <si>
    <t>121023</t>
  </si>
  <si>
    <t>RZDU0729603</t>
  </si>
  <si>
    <t>Счёт 370</t>
  </si>
  <si>
    <t>ХГРП</t>
  </si>
  <si>
    <t>BLACKTROL ж - 25 кг канистра</t>
  </si>
  <si>
    <t>Оптитрол Ж - 25 кг канистра</t>
  </si>
  <si>
    <t>СУПЕРСЛАЙДЕР ПЛАТИНУМ - 25 кг канистра</t>
  </si>
  <si>
    <t>RZDU0472140</t>
  </si>
  <si>
    <t>RZDU0463426</t>
  </si>
  <si>
    <t>В один контейнер</t>
  </si>
  <si>
    <t>Спец 20</t>
  </si>
  <si>
    <t>TKRU3033532</t>
  </si>
  <si>
    <t>РЕОМОД ж - 180 кг</t>
  </si>
  <si>
    <t>RZDU0672339</t>
  </si>
  <si>
    <t>Scania М184ВТ 159</t>
  </si>
  <si>
    <t>Анферов Юрий</t>
  </si>
  <si>
    <t>RZDU0696433</t>
  </si>
  <si>
    <t>RZDU0419125</t>
  </si>
  <si>
    <t>в 1 Контейнер</t>
  </si>
  <si>
    <t>БС-41860</t>
  </si>
  <si>
    <t>RZDU0707625</t>
  </si>
  <si>
    <t xml:space="preserve">       в 1 Контейнер        (Зелёные бочки!!!)</t>
  </si>
  <si>
    <t>БС-42804</t>
  </si>
  <si>
    <t>TKRU3087539</t>
  </si>
  <si>
    <t>TKRU3540481</t>
  </si>
  <si>
    <t>RZDU0170135</t>
  </si>
  <si>
    <t>271023</t>
  </si>
  <si>
    <t>Счёт 371</t>
  </si>
  <si>
    <t>Хабаровск</t>
  </si>
  <si>
    <t>RZDU0655286</t>
  </si>
  <si>
    <t>RZDU0617389</t>
  </si>
  <si>
    <t>DAF Р575МС 45</t>
  </si>
  <si>
    <t>8-908-002-65-90</t>
  </si>
  <si>
    <t>Голосков Алексей</t>
  </si>
  <si>
    <t>Спец№135</t>
  </si>
  <si>
    <t>Акрос</t>
  </si>
  <si>
    <t>MEX GL-LUBE (СС Голд) - 200 кг п/эт</t>
  </si>
  <si>
    <t>260823</t>
  </si>
  <si>
    <t>DAF K 008 MA 29</t>
  </si>
  <si>
    <t>8 911 682 59 92</t>
  </si>
  <si>
    <t>270823</t>
  </si>
  <si>
    <t>отгрузка с Усть-Кут</t>
  </si>
  <si>
    <t>Спец№10К</t>
  </si>
  <si>
    <t>210122</t>
  </si>
  <si>
    <t>04.09.2023*</t>
  </si>
  <si>
    <t>Вольво М577 МР 96</t>
  </si>
  <si>
    <t>8 912 222 25 57</t>
  </si>
  <si>
    <t>Комаров Константин</t>
  </si>
  <si>
    <t>260122</t>
  </si>
  <si>
    <t>030222</t>
  </si>
  <si>
    <t>САФ-Сервис</t>
  </si>
  <si>
    <t>ЭКСТРАМУЛ-2000 - 190 кг п/эт</t>
  </si>
  <si>
    <t>290823</t>
  </si>
  <si>
    <t>Пермь</t>
  </si>
  <si>
    <t>Volvo М552КК 29</t>
  </si>
  <si>
    <t>Суров Сергей Владимирович</t>
  </si>
  <si>
    <t>300823</t>
  </si>
  <si>
    <t>310823</t>
  </si>
  <si>
    <t>Скания В055 ВА 156</t>
  </si>
  <si>
    <t>8 987 348 11 28</t>
  </si>
  <si>
    <t>Халяфутдинов Ильдар</t>
  </si>
  <si>
    <t>PO #2023PY155</t>
  </si>
  <si>
    <t>Petroyag</t>
  </si>
  <si>
    <t>Новороссийск</t>
  </si>
  <si>
    <t>MAN Р204НС 67</t>
  </si>
  <si>
    <t>8-915-635-38-67</t>
  </si>
  <si>
    <t xml:space="preserve">Ожиганов Денис </t>
  </si>
  <si>
    <t>08/23</t>
  </si>
  <si>
    <t>Mercedes-Benz Х 120 МА 60</t>
  </si>
  <si>
    <t>8-911-698-77-78</t>
  </si>
  <si>
    <t xml:space="preserve">Сахиуллин Ринат </t>
  </si>
  <si>
    <t>БС-37578</t>
  </si>
  <si>
    <t>240823</t>
  </si>
  <si>
    <t xml:space="preserve"> </t>
  </si>
  <si>
    <t>RZDU0105382</t>
  </si>
  <si>
    <t>БС-36789</t>
  </si>
  <si>
    <t>RZDU0706336</t>
  </si>
  <si>
    <t>БС-38613</t>
  </si>
  <si>
    <t>040923</t>
  </si>
  <si>
    <t>RZDU0657756</t>
  </si>
  <si>
    <t>Спец№16</t>
  </si>
  <si>
    <t>СтаркОйл</t>
  </si>
  <si>
    <t>ТЕРРАПАН ж - 200 кг мет</t>
  </si>
  <si>
    <t>Газон Х 956 КВ 152</t>
  </si>
  <si>
    <t>8-919-853-59-64</t>
  </si>
  <si>
    <t>Малютин Алексей</t>
  </si>
  <si>
    <t>КЛСП</t>
  </si>
  <si>
    <t>050323</t>
  </si>
  <si>
    <t>Газон С395НХ 797</t>
  </si>
  <si>
    <t>8-996-307-74-40</t>
  </si>
  <si>
    <t>Сергиенко Артём</t>
  </si>
  <si>
    <t>Скания Н604 ХО 159</t>
  </si>
  <si>
    <t>8 982 235 70 80</t>
  </si>
  <si>
    <t>Миньковский Андрей</t>
  </si>
  <si>
    <t>130723</t>
  </si>
  <si>
    <t>Даф У594 ВА 790</t>
  </si>
  <si>
    <t>8 920 632 65 77</t>
  </si>
  <si>
    <t>Сальников Андрей</t>
  </si>
  <si>
    <t>140723</t>
  </si>
  <si>
    <t>090823</t>
  </si>
  <si>
    <t>010923</t>
  </si>
  <si>
    <t>Вольво К777 ОО 29</t>
  </si>
  <si>
    <t>8 960 015 44 01</t>
  </si>
  <si>
    <t>Жилин Андрей</t>
  </si>
  <si>
    <t>ЭКСТРАМУЛ-2000 - 900 кг еврокуб</t>
  </si>
  <si>
    <t>110823</t>
  </si>
  <si>
    <t>СКАНИЯ М 870 КУ 198</t>
  </si>
  <si>
    <t>8911-676-38-81</t>
  </si>
  <si>
    <t>Вольво Т954 ВВ 790</t>
  </si>
  <si>
    <t>8 920 922 35 55</t>
  </si>
  <si>
    <t>Архипов Сергей</t>
  </si>
  <si>
    <t>160823</t>
  </si>
  <si>
    <t>Вольво Х425 ММ 37</t>
  </si>
  <si>
    <t>Слепцов Денис</t>
  </si>
  <si>
    <t>Счёт №351</t>
  </si>
  <si>
    <t>Морские платформы</t>
  </si>
  <si>
    <t>Спец№3</t>
  </si>
  <si>
    <t>280723</t>
  </si>
  <si>
    <t>Мерседес К861 НС 73</t>
  </si>
  <si>
    <t>8 999 193 93 12</t>
  </si>
  <si>
    <t>Краснов Вячеслав</t>
  </si>
  <si>
    <t>Спец№24</t>
  </si>
  <si>
    <t>154</t>
  </si>
  <si>
    <t>Маз О502 РХ 159</t>
  </si>
  <si>
    <t>Барбитов Алексей</t>
  </si>
  <si>
    <t>Спец№12К</t>
  </si>
  <si>
    <t>Вольво О025 СМ 29</t>
  </si>
  <si>
    <t>8 911 670 46 63</t>
  </si>
  <si>
    <t>Самойлов Вячеслав</t>
  </si>
  <si>
    <t>Счёт №336</t>
  </si>
  <si>
    <t>220123</t>
  </si>
  <si>
    <t>Газон Р 473 МТ 48</t>
  </si>
  <si>
    <t>8 900 598 33 57</t>
  </si>
  <si>
    <t>Двуреченский Илья</t>
  </si>
  <si>
    <t>020823</t>
  </si>
  <si>
    <t>Мерседес С094 УХ 72</t>
  </si>
  <si>
    <t>8 912 995 38 89</t>
  </si>
  <si>
    <t>Новосёлов Виктор</t>
  </si>
  <si>
    <t>Спец№11К</t>
  </si>
  <si>
    <t>Уфа</t>
  </si>
  <si>
    <t>Ман Х222 КВ 45</t>
  </si>
  <si>
    <t>8 958 139 44 04</t>
  </si>
  <si>
    <t>Краснов Сергей</t>
  </si>
  <si>
    <t>БС-39167</t>
  </si>
  <si>
    <t>Даф О539 ОН 29</t>
  </si>
  <si>
    <t>Спец№13К</t>
  </si>
  <si>
    <t>Даф Р575 МС 45</t>
  </si>
  <si>
    <t>8 908 002 65 90</t>
  </si>
  <si>
    <t>Вольво О917 МХ 29</t>
  </si>
  <si>
    <t>8 911 567 52 25</t>
  </si>
  <si>
    <t>Любимков Алексей</t>
  </si>
  <si>
    <t>Даф М910 РУ 29</t>
  </si>
  <si>
    <t>8 911 685 34 05</t>
  </si>
  <si>
    <t>Вишняков Денис</t>
  </si>
  <si>
    <t>23</t>
  </si>
  <si>
    <t>Спец№66</t>
  </si>
  <si>
    <t>СБМОЙЛБЛОК (Ст РУО)</t>
  </si>
  <si>
    <t>Вольво К817 СА 29</t>
  </si>
  <si>
    <t>8 911 686 80 05</t>
  </si>
  <si>
    <t>Одерий Геннадий</t>
  </si>
  <si>
    <t>Спец№60</t>
  </si>
  <si>
    <t>260723</t>
  </si>
  <si>
    <t>Вольво С931 ЕМ 51</t>
  </si>
  <si>
    <t>8 921 297 46 13</t>
  </si>
  <si>
    <t>270723</t>
  </si>
  <si>
    <t>Спец№61</t>
  </si>
  <si>
    <t>210723</t>
  </si>
  <si>
    <t>250723</t>
  </si>
  <si>
    <t>Камаз Н017 ТК 799</t>
  </si>
  <si>
    <t>8 910 209 89 12</t>
  </si>
  <si>
    <t>Зиборов Иван</t>
  </si>
  <si>
    <t>Уренгойский речной порт</t>
  </si>
  <si>
    <t>BUR-RMOD L (Реомод ж) - 190 кг п/эт</t>
  </si>
  <si>
    <t>070623</t>
  </si>
  <si>
    <t>политрол</t>
  </si>
  <si>
    <t>Счёт№271</t>
  </si>
  <si>
    <t>Геохим</t>
  </si>
  <si>
    <t>ПОЛИТРОЛ - 200 кг мет</t>
  </si>
  <si>
    <t>Газель О873 МН 29</t>
  </si>
  <si>
    <t>8 921 476 83 86</t>
  </si>
  <si>
    <t>Ярков Андрей</t>
  </si>
  <si>
    <t>ИНКО-Сервис</t>
  </si>
  <si>
    <t>220122</t>
  </si>
  <si>
    <t>*03.08.2023</t>
  </si>
  <si>
    <t>270122</t>
  </si>
  <si>
    <t>Ситрак В985 ТС 43</t>
  </si>
  <si>
    <t>8 922 942 40 75</t>
  </si>
  <si>
    <t>Павлов Сергей</t>
  </si>
  <si>
    <t>Спец№54</t>
  </si>
  <si>
    <t>Спец№59</t>
  </si>
  <si>
    <t>010823</t>
  </si>
  <si>
    <t>Спец№131</t>
  </si>
  <si>
    <t>310723</t>
  </si>
  <si>
    <t xml:space="preserve">Вольво А954 ОА 134 </t>
  </si>
  <si>
    <t>8 903 478 31 40</t>
  </si>
  <si>
    <t>Мошков Василий</t>
  </si>
  <si>
    <t>Счёт№260</t>
  </si>
  <si>
    <t>BLACKTROL ж - 30 кг канистра</t>
  </si>
  <si>
    <t>Чита</t>
  </si>
  <si>
    <t>ЭРИЕЛЛ</t>
  </si>
  <si>
    <t>220623</t>
  </si>
  <si>
    <t>Ман 80W532TA</t>
  </si>
  <si>
    <t>Азимов Лазизбек</t>
  </si>
  <si>
    <t>260623</t>
  </si>
  <si>
    <t>100723</t>
  </si>
  <si>
    <t>170723</t>
  </si>
  <si>
    <t>Ман 80142TBA</t>
  </si>
  <si>
    <t>Одилов Сардорбек</t>
  </si>
  <si>
    <t>180723</t>
  </si>
  <si>
    <t>190723</t>
  </si>
  <si>
    <t>Ман 80J592VA</t>
  </si>
  <si>
    <t>Махмудов Максуджон</t>
  </si>
  <si>
    <t>200723</t>
  </si>
  <si>
    <t>Спец№7К</t>
  </si>
  <si>
    <t>Скания М173 ВА 159</t>
  </si>
  <si>
    <t>8 982 480 25 26</t>
  </si>
  <si>
    <t>Пепеляев Михаил</t>
  </si>
  <si>
    <t>Соларкем</t>
  </si>
  <si>
    <t>080823</t>
  </si>
  <si>
    <t>Газ К472 МК 45</t>
  </si>
  <si>
    <t>8 919 575 44 37</t>
  </si>
  <si>
    <t>Лапин Алексей</t>
  </si>
  <si>
    <t>Спец№8К</t>
  </si>
  <si>
    <t>Даф А032 НА 45</t>
  </si>
  <si>
    <t>8 919 588 65 79</t>
  </si>
  <si>
    <t>Колупаев Дмитрий</t>
  </si>
  <si>
    <t>Вольво М128 УТ 10</t>
  </si>
  <si>
    <t>8 911 414 67 87</t>
  </si>
  <si>
    <t>Беззубков Антон</t>
  </si>
  <si>
    <t>030823</t>
  </si>
  <si>
    <t>Даф К008 МА 29</t>
  </si>
  <si>
    <t>БС-36243</t>
  </si>
  <si>
    <t>080623</t>
  </si>
  <si>
    <t>070823</t>
  </si>
  <si>
    <t>Спец№134</t>
  </si>
  <si>
    <t>Мегион</t>
  </si>
  <si>
    <t>Скания Т059 АК 59</t>
  </si>
  <si>
    <t>8 999 861 45 97</t>
  </si>
  <si>
    <t>Чугунов Владимир</t>
  </si>
  <si>
    <t>100823</t>
  </si>
  <si>
    <t>8 960 015 44 04</t>
  </si>
  <si>
    <t>Спец№133</t>
  </si>
  <si>
    <t>Спец№9К</t>
  </si>
  <si>
    <t>05/2023</t>
  </si>
  <si>
    <t>Спец№15</t>
  </si>
  <si>
    <t>DAF А359ХМ 159</t>
  </si>
  <si>
    <t>8 912 982 58 97</t>
  </si>
  <si>
    <t>Имайкин Альберт</t>
  </si>
  <si>
    <t>Миррико</t>
  </si>
  <si>
    <t>DAF Е 281ХА 21</t>
  </si>
  <si>
    <t>Порфирьев Сергей</t>
  </si>
  <si>
    <t>140823</t>
  </si>
  <si>
    <t>Камаз К 377 МН 799</t>
  </si>
  <si>
    <t>8 906 651 68 27</t>
  </si>
  <si>
    <t>Сорокин Владимир</t>
  </si>
  <si>
    <t>БС-35902</t>
  </si>
  <si>
    <t>Скания О654ОЕ 159</t>
  </si>
  <si>
    <t xml:space="preserve">Харин Максим </t>
  </si>
  <si>
    <t>БС-24454</t>
  </si>
  <si>
    <t>TORQ TRIM 22 (СС Руо) - 185 кг мет</t>
  </si>
  <si>
    <t>040823</t>
  </si>
  <si>
    <t>150823</t>
  </si>
  <si>
    <t>Вольво С 120 МХ 152</t>
  </si>
  <si>
    <t>8 910 899 81 26</t>
  </si>
  <si>
    <t>Викулин Александр</t>
  </si>
  <si>
    <t>Алнэко</t>
  </si>
  <si>
    <t>РЕОМОД п 18 кг</t>
  </si>
  <si>
    <t>170823</t>
  </si>
  <si>
    <t>Вольво К 377 РР 716</t>
  </si>
  <si>
    <t>8(927) 0-393-494</t>
  </si>
  <si>
    <t>Шелег Владислав</t>
  </si>
  <si>
    <t>Спец№784/3</t>
  </si>
  <si>
    <t>DAF Р 646 СС 152</t>
  </si>
  <si>
    <t>8 910 121 28 46</t>
  </si>
  <si>
    <t>Агеев Александр</t>
  </si>
  <si>
    <t>153</t>
  </si>
  <si>
    <t>Скания  Т 059 АК 59</t>
  </si>
  <si>
    <t>8 999 261 45 97</t>
  </si>
  <si>
    <t>Счёт№330</t>
  </si>
  <si>
    <t>ООО "ГРЕЙС ЛУБРИКАНТС"</t>
  </si>
  <si>
    <t>ЭКСТРАМУЛ-2000 - 25 кг канистра</t>
  </si>
  <si>
    <t>210823</t>
  </si>
  <si>
    <t>Счёт№327</t>
  </si>
  <si>
    <t>ООО «НПО БЕТОХИМИКС»</t>
  </si>
  <si>
    <t>220823</t>
  </si>
  <si>
    <t>КИТ</t>
  </si>
  <si>
    <t>вагон</t>
  </si>
  <si>
    <t>Спец№67</t>
  </si>
  <si>
    <t>Обская</t>
  </si>
  <si>
    <t>180823</t>
  </si>
  <si>
    <t>250823</t>
  </si>
  <si>
    <t>БС-37252</t>
  </si>
  <si>
    <t>EZ MUL NTR (Экстрамул-2000) - 190 кг п/эт</t>
  </si>
  <si>
    <t>230823</t>
  </si>
  <si>
    <t>ИСК20392-01</t>
  </si>
  <si>
    <t>ПетроИнжиниринг</t>
  </si>
  <si>
    <t>Мерседес Р 809 ВР 159</t>
  </si>
  <si>
    <t>8 995 095 55 55</t>
  </si>
  <si>
    <t>Верещагин Иван</t>
  </si>
  <si>
    <t>ИСК19616-08</t>
  </si>
  <si>
    <t>EWO WET (Веллтрит) - 200 кг п/эт</t>
  </si>
  <si>
    <t>190623</t>
  </si>
  <si>
    <t>Скания О265 ВО 159</t>
  </si>
  <si>
    <t>8 965 562 73 55</t>
  </si>
  <si>
    <t>Бекленев Александр</t>
  </si>
  <si>
    <t>ИСК19741-02</t>
  </si>
  <si>
    <t>200623</t>
  </si>
  <si>
    <t>Камаз В875 ЕМ 702</t>
  </si>
  <si>
    <t>8 917 790 18 81</t>
  </si>
  <si>
    <t>Виденеев Сергей</t>
  </si>
  <si>
    <t>290623</t>
  </si>
  <si>
    <t>Вольво О025 НК 29</t>
  </si>
  <si>
    <t>8 911 878 86 34</t>
  </si>
  <si>
    <t>Кириленко Михаил</t>
  </si>
  <si>
    <t>270623</t>
  </si>
  <si>
    <t>ЭкоФлуидз</t>
  </si>
  <si>
    <t>ГАЗ Валдай Р705 ХУ 174</t>
  </si>
  <si>
    <t>8 930 681 00 13</t>
  </si>
  <si>
    <t>Поляков Андрей</t>
  </si>
  <si>
    <t>Спец№20</t>
  </si>
  <si>
    <t>150</t>
  </si>
  <si>
    <t>Мерседес Р996 ОА 198</t>
  </si>
  <si>
    <t>Терентьев Сергей</t>
  </si>
  <si>
    <t>БС-32484</t>
  </si>
  <si>
    <t>280623</t>
  </si>
  <si>
    <t>Скания А280 ЕМ 156</t>
  </si>
  <si>
    <t>8 987 777 27 94</t>
  </si>
  <si>
    <t>Андреев Антон</t>
  </si>
  <si>
    <t>Спец№3К</t>
  </si>
  <si>
    <t xml:space="preserve">Вольво В109 РО 124 </t>
  </si>
  <si>
    <t>Бабичев Анатолий</t>
  </si>
  <si>
    <t>150623</t>
  </si>
  <si>
    <t>150623/1</t>
  </si>
  <si>
    <t>300623</t>
  </si>
  <si>
    <t>Ман М472 УУ 35</t>
  </si>
  <si>
    <t>8 911 534 47 41</t>
  </si>
  <si>
    <t xml:space="preserve">Кузичев Сергей </t>
  </si>
  <si>
    <t>050723</t>
  </si>
  <si>
    <t>Счёт №259</t>
  </si>
  <si>
    <t>ИПСтарикова</t>
  </si>
  <si>
    <t>140323</t>
  </si>
  <si>
    <t>Газель Е089 ХК 73</t>
  </si>
  <si>
    <t>8 937 039 54 56</t>
  </si>
  <si>
    <t>Карпушин Альберт</t>
  </si>
  <si>
    <t>270323</t>
  </si>
  <si>
    <t>290323</t>
  </si>
  <si>
    <t>260523</t>
  </si>
  <si>
    <t>060723</t>
  </si>
  <si>
    <t>070723</t>
  </si>
  <si>
    <t>Маз В420 ОК 43</t>
  </si>
  <si>
    <t>8 912 733 85 67</t>
  </si>
  <si>
    <t>Мутных Дмитрий</t>
  </si>
  <si>
    <t>Счёт№240</t>
  </si>
  <si>
    <t>БГРП</t>
  </si>
  <si>
    <t>Владивосток</t>
  </si>
  <si>
    <t>Счёт№255</t>
  </si>
  <si>
    <t>ОйлИнвест</t>
  </si>
  <si>
    <t>Екатеринбуг</t>
  </si>
  <si>
    <t>БС-30377</t>
  </si>
  <si>
    <t>300523</t>
  </si>
  <si>
    <t>RZDU0201529</t>
  </si>
  <si>
    <t>090623</t>
  </si>
  <si>
    <t>TKRU3174232</t>
  </si>
  <si>
    <t>TKRU3243821</t>
  </si>
  <si>
    <t>TKRU3357629</t>
  </si>
  <si>
    <t>Вольво Р150 АС 178</t>
  </si>
  <si>
    <t>Андреев Александр</t>
  </si>
  <si>
    <t>230623</t>
  </si>
  <si>
    <t>8 927 381 78 12</t>
  </si>
  <si>
    <t>БС-31718</t>
  </si>
  <si>
    <t>Карабула</t>
  </si>
  <si>
    <t>RZDU0295066</t>
  </si>
  <si>
    <t>030723</t>
  </si>
  <si>
    <t>040723</t>
  </si>
  <si>
    <t>TKRU3257168</t>
  </si>
  <si>
    <t>TKRU3257419</t>
  </si>
  <si>
    <t>ИСК19543-05</t>
  </si>
  <si>
    <t>Сургут</t>
  </si>
  <si>
    <t>Ситрак Н722 ТТ 198</t>
  </si>
  <si>
    <t>8 904 024 16 47</t>
  </si>
  <si>
    <t>Буятанов Виктор</t>
  </si>
  <si>
    <t>120723</t>
  </si>
  <si>
    <t>Ситрак Н791 ХК 159</t>
  </si>
  <si>
    <t>8 999 115 98 32</t>
  </si>
  <si>
    <t>Климов Александр</t>
  </si>
  <si>
    <t>Газон О207 АР 716</t>
  </si>
  <si>
    <t>Батрашин Руслан</t>
  </si>
  <si>
    <t>Ситрак Н718 ТТ 198</t>
  </si>
  <si>
    <t>8 981 879 05 18</t>
  </si>
  <si>
    <t>Спец№62</t>
  </si>
  <si>
    <t>110723</t>
  </si>
  <si>
    <t>Владимир</t>
  </si>
  <si>
    <t>Ивеко О830 НЕ 29</t>
  </si>
  <si>
    <t>8 931 408 55 91</t>
  </si>
  <si>
    <t>Долгобородов Савелий</t>
  </si>
  <si>
    <t>Спец№63</t>
  </si>
  <si>
    <t>LIQUID CASING - COARSE - 11,35 кг</t>
  </si>
  <si>
    <t>LIQUID CASING - FINE - 11,35 кг</t>
  </si>
  <si>
    <t>Спец№4К</t>
  </si>
  <si>
    <t>Скания А990 АВ 156</t>
  </si>
  <si>
    <t>8 987 895 65 27</t>
  </si>
  <si>
    <t>Бузынин Виктор</t>
  </si>
  <si>
    <t>Счёт №269</t>
  </si>
  <si>
    <t>Газ О955 КМ 29</t>
  </si>
  <si>
    <t>8 911 595 26 44</t>
  </si>
  <si>
    <t>Жерносек Максим</t>
  </si>
  <si>
    <t>Спец№29</t>
  </si>
  <si>
    <t>BJ0069-23</t>
  </si>
  <si>
    <t>Даф О581 ЕН 159</t>
  </si>
  <si>
    <t>Высоканов Сергей</t>
  </si>
  <si>
    <t>Счёт №270</t>
  </si>
  <si>
    <t>Газон Р383 СУ 11</t>
  </si>
  <si>
    <t>Прокофьев Геннадий</t>
  </si>
  <si>
    <t>Вольво М773 ОВ 29</t>
  </si>
  <si>
    <t>8 911 685 32 72</t>
  </si>
  <si>
    <t>Гужихин Сергей</t>
  </si>
  <si>
    <t>Скания С843 СУ 159</t>
  </si>
  <si>
    <t>8 952 333 51 20</t>
  </si>
  <si>
    <t>Большаков Александр</t>
  </si>
  <si>
    <t>Старкойл</t>
  </si>
  <si>
    <t>Даф А153 ТУ 43</t>
  </si>
  <si>
    <t>8 912 705 46 85</t>
  </si>
  <si>
    <t>Немчанинов Алексей</t>
  </si>
  <si>
    <t>ШЕЙЛ-ИКС ж - 200 кг п/эт</t>
  </si>
  <si>
    <t>Спец№14</t>
  </si>
  <si>
    <t>ШЕЙЛ-ИКС п 25 кг</t>
  </si>
  <si>
    <t>Спец№55</t>
  </si>
  <si>
    <t>Полицелл</t>
  </si>
  <si>
    <t>Фотон Т137 ВМ 62</t>
  </si>
  <si>
    <t>8 910 575 63 41</t>
  </si>
  <si>
    <t>Ханбеков Олег</t>
  </si>
  <si>
    <t>Спец№5К</t>
  </si>
  <si>
    <t>Вольво В075 НМ 196</t>
  </si>
  <si>
    <t>8 922 227 23 90</t>
  </si>
  <si>
    <t>Оболенский Сергей</t>
  </si>
  <si>
    <t>БС-32227</t>
  </si>
  <si>
    <t>Спец№132</t>
  </si>
  <si>
    <t>240723</t>
  </si>
  <si>
    <t>Мерседес К744 ТК 159</t>
  </si>
  <si>
    <t>8 912 785 87 31</t>
  </si>
  <si>
    <t>240723/1</t>
  </si>
  <si>
    <t>Скания М664 ЕУ 159</t>
  </si>
  <si>
    <t>8 922 154 06 00</t>
  </si>
  <si>
    <t>Попов Сергей</t>
  </si>
  <si>
    <t>Спец№65</t>
  </si>
  <si>
    <t>220723</t>
  </si>
  <si>
    <t>Спец№64</t>
  </si>
  <si>
    <t>Скания Н077 АО 159</t>
  </si>
  <si>
    <t>8 992 207 57 88</t>
  </si>
  <si>
    <t>Полушкин Александр</t>
  </si>
  <si>
    <t>Ман О456 ХО 790</t>
  </si>
  <si>
    <t>8 920 306 34 04</t>
  </si>
  <si>
    <t>Толпо Евгений</t>
  </si>
  <si>
    <t>Спец№6К</t>
  </si>
  <si>
    <t>26.07.2023*</t>
  </si>
  <si>
    <t>Вольво М366 РН 716</t>
  </si>
  <si>
    <t>8 982 120 35 55</t>
  </si>
  <si>
    <t>Коробейников Михаил</t>
  </si>
  <si>
    <t>280122</t>
  </si>
  <si>
    <t>БС-28213</t>
  </si>
  <si>
    <t>230523</t>
  </si>
  <si>
    <t>Скания К548 ВА 159</t>
  </si>
  <si>
    <t>8 922 386 99 34</t>
  </si>
  <si>
    <t>Гомзяков Михаил</t>
  </si>
  <si>
    <t>R2D2</t>
  </si>
  <si>
    <t>100523</t>
  </si>
  <si>
    <t>БС-28209</t>
  </si>
  <si>
    <t>160523</t>
  </si>
  <si>
    <t>240523</t>
  </si>
  <si>
    <t>Ман 50116СВА</t>
  </si>
  <si>
    <t>Комалов Шерали</t>
  </si>
  <si>
    <t>БС-12837</t>
  </si>
  <si>
    <t>Рено С705 РО 76</t>
  </si>
  <si>
    <t>8 910 817 94 14</t>
  </si>
  <si>
    <t>Пикалев Анатолий</t>
  </si>
  <si>
    <t>290523</t>
  </si>
  <si>
    <t>БС-27258</t>
  </si>
  <si>
    <t>250523</t>
  </si>
  <si>
    <t>Скания М565 СА 159</t>
  </si>
  <si>
    <t>8 950 811 89 02</t>
  </si>
  <si>
    <t>Роготнев Владимир</t>
  </si>
  <si>
    <t>Спец№18</t>
  </si>
  <si>
    <t>8 982 250 06 69</t>
  </si>
  <si>
    <t>Рожнев Андрей</t>
  </si>
  <si>
    <t>Счёт №204</t>
  </si>
  <si>
    <t>Геотехновации</t>
  </si>
  <si>
    <t>КЛСП РУО</t>
  </si>
  <si>
    <t>Газель Н485 РО 126</t>
  </si>
  <si>
    <t>Сорокин Евгений</t>
  </si>
  <si>
    <t>БС-27247</t>
  </si>
  <si>
    <t>POLYAC PLUS R (BDF-911) бум 22,68 кг</t>
  </si>
  <si>
    <t>310523</t>
  </si>
  <si>
    <t>Даф О538 НЕ 29</t>
  </si>
  <si>
    <t>8 921 243 92 18</t>
  </si>
  <si>
    <t>Десятовский Илья</t>
  </si>
  <si>
    <t>БС-27991</t>
  </si>
  <si>
    <t>CLAY GRABBER - 25 кг канистра</t>
  </si>
  <si>
    <t>100323</t>
  </si>
  <si>
    <t>Вольво 50B076TA</t>
  </si>
  <si>
    <t>Давроналиев Бобуршокс</t>
  </si>
  <si>
    <t>220523</t>
  </si>
  <si>
    <t>Ман 50Z841WA</t>
  </si>
  <si>
    <t>Ганиев Яксоксон</t>
  </si>
  <si>
    <t>БС-22157</t>
  </si>
  <si>
    <t>280523</t>
  </si>
  <si>
    <t>Скания Е250 РН 159</t>
  </si>
  <si>
    <t>8 923 751 36 26</t>
  </si>
  <si>
    <t>Демьяненко Михаил</t>
  </si>
  <si>
    <t>020623</t>
  </si>
  <si>
    <t>Вольво В858 НЕ 763</t>
  </si>
  <si>
    <t>8 927 010 96 17</t>
  </si>
  <si>
    <t>Тишин Денис</t>
  </si>
  <si>
    <t>Мерседес М820 МУ 29</t>
  </si>
  <si>
    <t>8 911 569 60 97</t>
  </si>
  <si>
    <t>Сивуха Александр</t>
  </si>
  <si>
    <t>040223</t>
  </si>
  <si>
    <t>290223</t>
  </si>
  <si>
    <t>030623</t>
  </si>
  <si>
    <t>Скания О715 ЕТ 159</t>
  </si>
  <si>
    <t>8 912 486 94 00</t>
  </si>
  <si>
    <t>Васев Илья</t>
  </si>
  <si>
    <t>Скания В696 ВО 156</t>
  </si>
  <si>
    <t>8 987 864 22 41</t>
  </si>
  <si>
    <t>Коваленко Сергей</t>
  </si>
  <si>
    <t>010623</t>
  </si>
  <si>
    <t>Спец№130</t>
  </si>
  <si>
    <t>030323</t>
  </si>
  <si>
    <t>Камаз Е582 ТХ 35</t>
  </si>
  <si>
    <t>8 981 446 99 24</t>
  </si>
  <si>
    <t>Байков Игорь</t>
  </si>
  <si>
    <t>180523</t>
  </si>
  <si>
    <t>Форд Р349 ХН 58</t>
  </si>
  <si>
    <t>8 927 384 58 41</t>
  </si>
  <si>
    <t>Китанин Дмитрий</t>
  </si>
  <si>
    <t>220423</t>
  </si>
  <si>
    <t>Даф С085 ОР 790</t>
  </si>
  <si>
    <t>8 982 748 07 93</t>
  </si>
  <si>
    <t>Чеботаев Андрей</t>
  </si>
  <si>
    <t>060623</t>
  </si>
  <si>
    <t>040623</t>
  </si>
  <si>
    <t>Даф М791 УВ 29</t>
  </si>
  <si>
    <t>8 911 550 10 26</t>
  </si>
  <si>
    <t>Блинов Александр</t>
  </si>
  <si>
    <t>Даф В426 МХ 45</t>
  </si>
  <si>
    <t>8 912 979 31 83</t>
  </si>
  <si>
    <t>БС-27589</t>
  </si>
  <si>
    <t>180523/1</t>
  </si>
  <si>
    <t>RZDU0723035</t>
  </si>
  <si>
    <t>190523/1</t>
  </si>
  <si>
    <t>TKRU3500581</t>
  </si>
  <si>
    <t>250323</t>
  </si>
  <si>
    <t>260323</t>
  </si>
  <si>
    <t>148</t>
  </si>
  <si>
    <t>Мерседес Е474 НВ 159</t>
  </si>
  <si>
    <t>8 912 98 02 350</t>
  </si>
  <si>
    <t>Пономарёв Сергей</t>
  </si>
  <si>
    <t>280323</t>
  </si>
  <si>
    <t>250423</t>
  </si>
  <si>
    <t>Форд М222 ОР 69</t>
  </si>
  <si>
    <t>8 910 534 94 66</t>
  </si>
  <si>
    <t>Бабанов Алексей</t>
  </si>
  <si>
    <t>Скания М994 МС 159</t>
  </si>
  <si>
    <t>8 982 707 62 33</t>
  </si>
  <si>
    <t>Дьяков Сергей</t>
  </si>
  <si>
    <t>100623</t>
  </si>
  <si>
    <t>ИСК19685-06</t>
  </si>
  <si>
    <t>140623</t>
  </si>
  <si>
    <t>Ивеко А113 АС 702</t>
  </si>
  <si>
    <t>8 912 760 96 55</t>
  </si>
  <si>
    <t>Жижин Сергей</t>
  </si>
  <si>
    <t>БС-24386</t>
  </si>
  <si>
    <t>8 919 718 46 11</t>
  </si>
  <si>
    <t xml:space="preserve">Попов Алексей </t>
  </si>
  <si>
    <t>Вольво H150 FC 178</t>
  </si>
  <si>
    <t>8 960 018 34 55</t>
  </si>
  <si>
    <t xml:space="preserve">Андреев Александр </t>
  </si>
  <si>
    <t>140522</t>
  </si>
  <si>
    <t>8 920 627 81 26</t>
  </si>
  <si>
    <t>Счёт №232</t>
  </si>
  <si>
    <t>Фотон О795 ВУ 29</t>
  </si>
  <si>
    <t>Дутка Андрей Васильевич</t>
  </si>
  <si>
    <t>БС-30661</t>
  </si>
  <si>
    <t>Камаз М608СТ 29</t>
  </si>
  <si>
    <t>Мерседес М935 УХ 29</t>
  </si>
  <si>
    <t>8 952 305 77 12</t>
  </si>
  <si>
    <t>Котлов Сергей</t>
  </si>
  <si>
    <t>160623</t>
  </si>
  <si>
    <t>170623</t>
  </si>
  <si>
    <t>180623</t>
  </si>
  <si>
    <t>Скания Е644 АА 147</t>
  </si>
  <si>
    <t>Калмыков Сергей</t>
  </si>
  <si>
    <t>260423</t>
  </si>
  <si>
    <t>Счёт №233</t>
  </si>
  <si>
    <t>240623</t>
  </si>
  <si>
    <t>Газон Р583 НЕ 152</t>
  </si>
  <si>
    <t>8 920 296 99 25</t>
  </si>
  <si>
    <t>Теснов Евгений</t>
  </si>
  <si>
    <t>210623</t>
  </si>
  <si>
    <t>Газон У699 НХ 797</t>
  </si>
  <si>
    <t>Агеев Владимир</t>
  </si>
  <si>
    <t>Фотон Т356 ТУ 152</t>
  </si>
  <si>
    <t>8 920 026 02 75</t>
  </si>
  <si>
    <t>Нестеров Андрей</t>
  </si>
  <si>
    <t>Мантага Е891 НВ 45</t>
  </si>
  <si>
    <t>8 982 154 35 67</t>
  </si>
  <si>
    <t>Бузанов Евгений</t>
  </si>
  <si>
    <t>Даф О209 МТ 196</t>
  </si>
  <si>
    <t>8 912 857 61 84</t>
  </si>
  <si>
    <t>Хлестов Анатолий</t>
  </si>
  <si>
    <t>20230302-01</t>
  </si>
  <si>
    <t>Вольво О618 СМ 29</t>
  </si>
  <si>
    <t>8 960 015 57 52</t>
  </si>
  <si>
    <t>23062023-03</t>
  </si>
  <si>
    <t>21062023-01</t>
  </si>
  <si>
    <t>Даф К746 МС 196</t>
  </si>
  <si>
    <t>8 906 800 72 92</t>
  </si>
  <si>
    <t>Детков Иван</t>
  </si>
  <si>
    <t>Скания М921 ТР 76</t>
  </si>
  <si>
    <t>8 915 988 62 22</t>
  </si>
  <si>
    <t>Степанов Алексей</t>
  </si>
  <si>
    <t>250623</t>
  </si>
  <si>
    <t>Ситрак М087 МЕ 716</t>
  </si>
  <si>
    <t>8 987 615 86 40</t>
  </si>
  <si>
    <t>Аптышев Радион</t>
  </si>
  <si>
    <t>Мерседес В944 НУ 164</t>
  </si>
  <si>
    <t>8 917 024 79 06</t>
  </si>
  <si>
    <t>Гомзин Виктор</t>
  </si>
  <si>
    <t>Вольво А954 ОА 134</t>
  </si>
  <si>
    <t>8 999 626 43 36</t>
  </si>
  <si>
    <t>Вольво С334 ОО 76</t>
  </si>
  <si>
    <t>8 915 971 34 39</t>
  </si>
  <si>
    <t>Эккерт Илья</t>
  </si>
  <si>
    <t>ДонФенг О600 НУ 159</t>
  </si>
  <si>
    <t>8 992 010 58 89</t>
  </si>
  <si>
    <t>Семёнов Сергей</t>
  </si>
  <si>
    <t>Отгрузка с Усть-Кута</t>
  </si>
  <si>
    <t>*10.06.2023</t>
  </si>
  <si>
    <t>Ивеко А910 ХЕ 702</t>
  </si>
  <si>
    <t>8 987 136 04 74</t>
  </si>
  <si>
    <t>Орлов Александр</t>
  </si>
  <si>
    <t>290122</t>
  </si>
  <si>
    <t>300122</t>
  </si>
  <si>
    <t>БС-23717</t>
  </si>
  <si>
    <t>140423</t>
  </si>
  <si>
    <t>Ситрак М484 АХ 35</t>
  </si>
  <si>
    <t>8 921 127 14 77</t>
  </si>
  <si>
    <t>Пшеничников Сергей</t>
  </si>
  <si>
    <t>140423/1</t>
  </si>
  <si>
    <t>Рено К061 РН 35</t>
  </si>
  <si>
    <t>8 921 231 08 27</t>
  </si>
  <si>
    <t>Шишебаров Василий</t>
  </si>
  <si>
    <t>150423</t>
  </si>
  <si>
    <t>150423/1</t>
  </si>
  <si>
    <t>Скания М173ВА 159</t>
  </si>
  <si>
    <t>160423</t>
  </si>
  <si>
    <t>ЮкатексЮгра</t>
  </si>
  <si>
    <t>200423</t>
  </si>
  <si>
    <t>Куть-Ях</t>
  </si>
  <si>
    <t>VERSATROL M (Ст РУО) бум 22,68 кг</t>
  </si>
  <si>
    <t>310323</t>
  </si>
  <si>
    <t>Камаз М608 СТ29</t>
  </si>
  <si>
    <t>Ян Детков</t>
  </si>
  <si>
    <t>010423</t>
  </si>
  <si>
    <t>040423</t>
  </si>
  <si>
    <t>ИСК17866-25</t>
  </si>
  <si>
    <t>170423</t>
  </si>
  <si>
    <t>8 922 540 20 78</t>
  </si>
  <si>
    <t>Михайлов Вячеслав</t>
  </si>
  <si>
    <t>190423</t>
  </si>
  <si>
    <t>Гужиххин Сергей</t>
  </si>
  <si>
    <t>021222</t>
  </si>
  <si>
    <t>Вольво Р814 ОО 11</t>
  </si>
  <si>
    <t>8 963 485 98 93</t>
  </si>
  <si>
    <t>Мирошниченко Александр</t>
  </si>
  <si>
    <t>061222</t>
  </si>
  <si>
    <t>080323</t>
  </si>
  <si>
    <t>270423</t>
  </si>
  <si>
    <t>ИСК17886-14</t>
  </si>
  <si>
    <t>090423</t>
  </si>
  <si>
    <t>Ситрак М457 АХ 35</t>
  </si>
  <si>
    <t>8 921 538 19 90</t>
  </si>
  <si>
    <t>Курочкин Андрей</t>
  </si>
  <si>
    <t>120423</t>
  </si>
  <si>
    <t>Спец№2К</t>
  </si>
  <si>
    <t>Скания Е282 УС 35</t>
  </si>
  <si>
    <t>8 981 423 70 35</t>
  </si>
  <si>
    <t>Соколов Андрей</t>
  </si>
  <si>
    <t>Скания М626 СА 159</t>
  </si>
  <si>
    <t>8 982 254 50 29</t>
  </si>
  <si>
    <t>Ульяновский Александр</t>
  </si>
  <si>
    <t>050423</t>
  </si>
  <si>
    <t>010423/1</t>
  </si>
  <si>
    <t>020423</t>
  </si>
  <si>
    <t>Ситрак В604 ТМ 43</t>
  </si>
  <si>
    <t>Пахоль Пётр Владимирович</t>
  </si>
  <si>
    <t>030523</t>
  </si>
  <si>
    <t>030523/1</t>
  </si>
  <si>
    <t>050523</t>
  </si>
  <si>
    <t>281122</t>
  </si>
  <si>
    <t>Даф О712 МН 29</t>
  </si>
  <si>
    <t>8 926 630 87 06</t>
  </si>
  <si>
    <t>Десятовский Артём</t>
  </si>
  <si>
    <t>190123</t>
  </si>
  <si>
    <t>190123/1</t>
  </si>
  <si>
    <t>270123</t>
  </si>
  <si>
    <t>030223</t>
  </si>
  <si>
    <t>РуссИнтеграл</t>
  </si>
  <si>
    <t>Камаз Е732 МХ 186</t>
  </si>
  <si>
    <t>8 922 428 87 00</t>
  </si>
  <si>
    <t>Турскис Иван</t>
  </si>
  <si>
    <t>190323</t>
  </si>
  <si>
    <t>Скания В255 ММ 178</t>
  </si>
  <si>
    <t>8 912 771 94 69</t>
  </si>
  <si>
    <t>Авилов Николай</t>
  </si>
  <si>
    <t>230423</t>
  </si>
  <si>
    <t>280423</t>
  </si>
  <si>
    <t>Ман О079 МА 797</t>
  </si>
  <si>
    <t>8 969 414 27 27</t>
  </si>
  <si>
    <t>Черткоев Владислав</t>
  </si>
  <si>
    <t>280423/1</t>
  </si>
  <si>
    <t>110423</t>
  </si>
  <si>
    <t>Попов Алексей</t>
  </si>
  <si>
    <t>Качество</t>
  </si>
  <si>
    <t>020523</t>
  </si>
  <si>
    <t>Луидор М932 ОС 21</t>
  </si>
  <si>
    <t>Афиногентов Михаил</t>
  </si>
  <si>
    <t>Ман В072 НУ 67</t>
  </si>
  <si>
    <t>Ивашков Сергей</t>
  </si>
  <si>
    <t>210423</t>
  </si>
  <si>
    <t>Вольво О990 СТ 159</t>
  </si>
  <si>
    <t>8 982 440 97 55</t>
  </si>
  <si>
    <t>Кондюрин Александр</t>
  </si>
  <si>
    <t>Скания О877 ВР 159</t>
  </si>
  <si>
    <t>8 919 479 28 92</t>
  </si>
  <si>
    <t>Потапов Павел</t>
  </si>
  <si>
    <t>8 912 237 61 71</t>
  </si>
  <si>
    <t>Инюшев Андрей</t>
  </si>
  <si>
    <t>Счёт№160</t>
  </si>
  <si>
    <t xml:space="preserve">СУПЕРСЛАЙДЕР ПЛАТИНУМ - 50 кг </t>
  </si>
  <si>
    <t>Камаз Т220 НТ 152</t>
  </si>
  <si>
    <t>8 908 150 65 90</t>
  </si>
  <si>
    <t>Кривенков Алексей</t>
  </si>
  <si>
    <t>Оптитрол Ж - 50 кг п/эт</t>
  </si>
  <si>
    <t>110523</t>
  </si>
  <si>
    <t>СУЛЬФОБИТ бум 22,7 кг</t>
  </si>
  <si>
    <t>130523</t>
  </si>
  <si>
    <t>СТАБИЛАЙТ РУО</t>
  </si>
  <si>
    <t>Ситрак О895 МХ 159</t>
  </si>
  <si>
    <t>8 952 652 84 44</t>
  </si>
  <si>
    <t>Полуянов Александр</t>
  </si>
  <si>
    <t>Скания О529 МА 159</t>
  </si>
  <si>
    <t>8 919 452 76 06</t>
  </si>
  <si>
    <t>Шалин Антон</t>
  </si>
  <si>
    <t>Счёт№184</t>
  </si>
  <si>
    <t>Техноцентр</t>
  </si>
  <si>
    <t>АДВАНТА ж - 25 кг канистра</t>
  </si>
  <si>
    <t>Тутаево</t>
  </si>
  <si>
    <t>147</t>
  </si>
  <si>
    <t>Скания М849 ВА 136</t>
  </si>
  <si>
    <t>8 929 007 25 25</t>
  </si>
  <si>
    <t>Абрамов Виктор</t>
  </si>
  <si>
    <t>150523</t>
  </si>
  <si>
    <t>Скания О471 ВО 159</t>
  </si>
  <si>
    <t>8 950 454 40 41</t>
  </si>
  <si>
    <t>Красильников Михаил</t>
  </si>
  <si>
    <t>170523</t>
  </si>
  <si>
    <t>БС-26947</t>
  </si>
  <si>
    <t>Скания К411 ОЕ 159</t>
  </si>
  <si>
    <t>8 919 707 10 35</t>
  </si>
  <si>
    <t>Антипин Михаил</t>
  </si>
  <si>
    <t>020323</t>
  </si>
  <si>
    <t>Камаз С384 ХЕ 152</t>
  </si>
  <si>
    <t>8 950 613 18 14</t>
  </si>
  <si>
    <t>Абоймов Владимир</t>
  </si>
  <si>
    <t>СУПЕРСЛАЙДЕР ПЛАТИНУМ</t>
  </si>
  <si>
    <t>190523</t>
  </si>
  <si>
    <t>БС-27689</t>
  </si>
  <si>
    <t>Кожва</t>
  </si>
  <si>
    <t>Скания К108 ОО 159</t>
  </si>
  <si>
    <t>8 982 711 39 94</t>
  </si>
  <si>
    <t>Исаков Владимир</t>
  </si>
  <si>
    <t>RZDU3040290</t>
  </si>
  <si>
    <t>TKRU3294768</t>
  </si>
  <si>
    <t>Скания К564 ВС 159</t>
  </si>
  <si>
    <t>8 992 226 87 71</t>
  </si>
  <si>
    <t>Размадзе Евгений</t>
  </si>
  <si>
    <t>Рено К722 НС 31</t>
  </si>
  <si>
    <t>8 915 529 89 05</t>
  </si>
  <si>
    <t>Филатов Владимир</t>
  </si>
  <si>
    <t>Скания К866 АУ 159</t>
  </si>
  <si>
    <t>8 996 334 79 89</t>
  </si>
  <si>
    <t>Назаров Владимир</t>
  </si>
  <si>
    <t>БС-27682</t>
  </si>
  <si>
    <t>210523</t>
  </si>
  <si>
    <t>DURATONE</t>
  </si>
  <si>
    <t>040523</t>
  </si>
  <si>
    <t>Скания О980 ЕМ 159</t>
  </si>
  <si>
    <t>8 912 982 26 19</t>
  </si>
  <si>
    <t>Хазов Андрей</t>
  </si>
  <si>
    <t>Скания Н367 КН 716</t>
  </si>
  <si>
    <t>8 917 259 71 05</t>
  </si>
  <si>
    <t>Антонов Евгений</t>
  </si>
  <si>
    <t>Скания К511 СС 18</t>
  </si>
  <si>
    <t>8 912 854 86 62</t>
  </si>
  <si>
    <t>Кочуров Александр</t>
  </si>
  <si>
    <t>Скания С842 ХТ 750</t>
  </si>
  <si>
    <t>8 902 793 71 86</t>
  </si>
  <si>
    <t>Вотинов Павел</t>
  </si>
  <si>
    <t>270523</t>
  </si>
  <si>
    <t>Даф О904 ТТ 159</t>
  </si>
  <si>
    <t>8 912 782 61 59</t>
  </si>
  <si>
    <t>Зинкин Андрей</t>
  </si>
  <si>
    <t>Даф М295 ХМ 159</t>
  </si>
  <si>
    <t>8 912 783 55 54</t>
  </si>
  <si>
    <t>Кирьянов Николай</t>
  </si>
  <si>
    <t>ОПИ</t>
  </si>
  <si>
    <t>Технологии ОФС</t>
  </si>
  <si>
    <t>ВЕЛЛБОНД - 200 кг п/эт</t>
  </si>
  <si>
    <t>25.05.2023*</t>
  </si>
  <si>
    <t>БС-23301</t>
  </si>
  <si>
    <t>Реагент В - 200 кг п/эт</t>
  </si>
  <si>
    <t>Вольво К619 УК 35</t>
  </si>
  <si>
    <t>8 911 541 48 01</t>
  </si>
  <si>
    <t>Хольченков Андрей</t>
  </si>
  <si>
    <t>БС-23963</t>
  </si>
  <si>
    <t>БС-19141</t>
  </si>
  <si>
    <t>200323</t>
  </si>
  <si>
    <t>210323</t>
  </si>
  <si>
    <t>300323</t>
  </si>
  <si>
    <t>Мерседес К171 РХ 73</t>
  </si>
  <si>
    <t>8 908 476 42 29</t>
  </si>
  <si>
    <t>Тазиев Ромис</t>
  </si>
  <si>
    <t>Спец№ 6</t>
  </si>
  <si>
    <t>Газ В215 ХС 18</t>
  </si>
  <si>
    <t>Александров Александр</t>
  </si>
  <si>
    <t>CO-4502301543-CL1</t>
  </si>
  <si>
    <t>CSOilfield</t>
  </si>
  <si>
    <t>КАМАЗ К251УУ 21</t>
  </si>
  <si>
    <t>8 967 471 54 16</t>
  </si>
  <si>
    <t>Алексеев Александр</t>
  </si>
  <si>
    <t>Спец№129</t>
  </si>
  <si>
    <t>Скания С938 КВ 102</t>
  </si>
  <si>
    <t>110223</t>
  </si>
  <si>
    <t>030423</t>
  </si>
  <si>
    <t>Спец№28</t>
  </si>
  <si>
    <t>BJ0036-23</t>
  </si>
  <si>
    <t>Ман А405 АВ 196</t>
  </si>
  <si>
    <t>8 922 130 75 41</t>
  </si>
  <si>
    <t>Васильев Андрей</t>
  </si>
  <si>
    <t>BJ0035-23</t>
  </si>
  <si>
    <t>СервисТЭК-Бурене</t>
  </si>
  <si>
    <t>ЭКСТРАМУЛ-2000 - 190 кг мет</t>
  </si>
  <si>
    <t>Мерседес М002 ОН 11</t>
  </si>
  <si>
    <t>8 912 560 00 60</t>
  </si>
  <si>
    <t>Дружинин Владимир</t>
  </si>
  <si>
    <t>БС-19378</t>
  </si>
  <si>
    <t>Камаз Н868 НХ 196</t>
  </si>
  <si>
    <t>8 912 207 85 40</t>
  </si>
  <si>
    <t>Брусницын Сергей</t>
  </si>
  <si>
    <t>БС-22229</t>
  </si>
  <si>
    <t>160323</t>
  </si>
  <si>
    <t>Ман Н160 АН 159</t>
  </si>
  <si>
    <t>8 999 123 13 04</t>
  </si>
  <si>
    <t>Фетисов Денис</t>
  </si>
  <si>
    <t>Мерседес К487 НН 186</t>
  </si>
  <si>
    <t>8 917 490 05 48</t>
  </si>
  <si>
    <t>Потеряхин Игорь</t>
  </si>
  <si>
    <t>030423/1</t>
  </si>
  <si>
    <t>Даф О403 МА 159</t>
  </si>
  <si>
    <t>8 952 649 69 31</t>
  </si>
  <si>
    <t>Пикулев Алексей</t>
  </si>
  <si>
    <t>Спец№56</t>
  </si>
  <si>
    <t>СБМЛУБ ПЛЮС (СС Платинум) - 180 кг мет</t>
  </si>
  <si>
    <t>240323</t>
  </si>
  <si>
    <t>Ман Н281 ТУ 196</t>
  </si>
  <si>
    <t>8 922 031 13 21</t>
  </si>
  <si>
    <t>Банных Андрей</t>
  </si>
  <si>
    <t>Спец№57</t>
  </si>
  <si>
    <t>Даф Н095 ОС 31</t>
  </si>
  <si>
    <t>8 909 209 58 76</t>
  </si>
  <si>
    <t>Ильковский Владимир</t>
  </si>
  <si>
    <t>Вольво Е346 СК 196</t>
  </si>
  <si>
    <t>8 912 661 75 00</t>
  </si>
  <si>
    <t>Абакумов Виктор</t>
  </si>
  <si>
    <t>145</t>
  </si>
  <si>
    <t>Вольво М958 МВ 29</t>
  </si>
  <si>
    <t>Тараканов Артём</t>
  </si>
  <si>
    <t>230323</t>
  </si>
  <si>
    <t>251222</t>
  </si>
  <si>
    <t>БС-17333</t>
  </si>
  <si>
    <t xml:space="preserve">Скания О070 КР 159 </t>
  </si>
  <si>
    <t>8 922 345 55 28</t>
  </si>
  <si>
    <t>Тихонов Андрей</t>
  </si>
  <si>
    <t>070423</t>
  </si>
  <si>
    <t>Вольво А067 РВ 73</t>
  </si>
  <si>
    <t>8 927 818 94 21</t>
  </si>
  <si>
    <t>Гашнев Валерий</t>
  </si>
  <si>
    <t>Скания С371 ВЕ 102</t>
  </si>
  <si>
    <t>8 917 772 48 85</t>
  </si>
  <si>
    <t>Тимирбаев Владислав</t>
  </si>
  <si>
    <t>EWO MUL (Экстрамул-2000) - 190 кг п/эт</t>
  </si>
  <si>
    <t>8 982 491 69 16</t>
  </si>
  <si>
    <t>Вяткин Александр</t>
  </si>
  <si>
    <t>070323</t>
  </si>
  <si>
    <t>Ман Р246 УХ05</t>
  </si>
  <si>
    <t>8 903 477 40 48</t>
  </si>
  <si>
    <t>Магамедов Хасанбек</t>
  </si>
  <si>
    <t>040123</t>
  </si>
  <si>
    <t>Вольво Н929 ЕА 05</t>
  </si>
  <si>
    <t>8 906 444 46 97</t>
  </si>
  <si>
    <t>Султанов Гасанбек</t>
  </si>
  <si>
    <t>130123</t>
  </si>
  <si>
    <t>140123</t>
  </si>
  <si>
    <t>150123</t>
  </si>
  <si>
    <t>250222</t>
  </si>
  <si>
    <t>Рено Р082 ОТ 05</t>
  </si>
  <si>
    <t>8 918 710 33 44</t>
  </si>
  <si>
    <t>Закарьяев Магомед</t>
  </si>
  <si>
    <t>280223</t>
  </si>
  <si>
    <t>БС-24254</t>
  </si>
  <si>
    <t>060423/1</t>
  </si>
  <si>
    <t>Москва</t>
  </si>
  <si>
    <t>Ман Н353 ЕР 196</t>
  </si>
  <si>
    <t>8 966 714 07 82</t>
  </si>
  <si>
    <t>Краснощёков Роман</t>
  </si>
  <si>
    <t>MRS600693A</t>
  </si>
  <si>
    <t>Камаз С594 ОТ 152</t>
  </si>
  <si>
    <t>Кривоногов Алексей</t>
  </si>
  <si>
    <t>191222</t>
  </si>
  <si>
    <t>Даф М306 ВМ 29</t>
  </si>
  <si>
    <t>8 921 246 86 14</t>
  </si>
  <si>
    <t>Лудков Павел</t>
  </si>
  <si>
    <t>СХТ</t>
  </si>
  <si>
    <t>АДВАНТА п 14 кг</t>
  </si>
  <si>
    <t>Казань</t>
  </si>
  <si>
    <t>Ситрак О521 ВХ 159</t>
  </si>
  <si>
    <t>8 922 339 53 04</t>
  </si>
  <si>
    <t>Галкин Игорь</t>
  </si>
  <si>
    <t>130423</t>
  </si>
  <si>
    <t xml:space="preserve">Мерседес А922 СУ 196 </t>
  </si>
  <si>
    <t>Шляпников Александр</t>
  </si>
  <si>
    <t>Ивеко А148 КК 156</t>
  </si>
  <si>
    <t>8 922 820 70 01</t>
  </si>
  <si>
    <t>Зинченко Андрей</t>
  </si>
  <si>
    <t>090323</t>
  </si>
  <si>
    <t>Камаз М413 УМ</t>
  </si>
  <si>
    <t>8 911 325 81 98</t>
  </si>
  <si>
    <t>Короткий Руслан</t>
  </si>
  <si>
    <t>Мерседес В404 МУ 73</t>
  </si>
  <si>
    <t>8 927 982 06 81</t>
  </si>
  <si>
    <t>Хамзин Ряшит</t>
  </si>
  <si>
    <t>JAC М858 ВА 716</t>
  </si>
  <si>
    <t>Остроушко Олег</t>
  </si>
  <si>
    <t>ПармГинс</t>
  </si>
  <si>
    <t>180423</t>
  </si>
  <si>
    <t>Фролово</t>
  </si>
  <si>
    <t>Камаз Т764 ЕХ 76</t>
  </si>
  <si>
    <t>8 910 822 70 37</t>
  </si>
  <si>
    <t>Андрианов Алексей</t>
  </si>
  <si>
    <t>Даф О893 КР 159</t>
  </si>
  <si>
    <t>8 912 888 44 83</t>
  </si>
  <si>
    <t>Зеленин Дмитрий</t>
  </si>
  <si>
    <t>БС-19633</t>
  </si>
  <si>
    <t>080423</t>
  </si>
  <si>
    <t>ИнтеграцияНефтесервис</t>
  </si>
  <si>
    <t>НовыйУренгой</t>
  </si>
  <si>
    <t>Ивеко Р977 ЕР</t>
  </si>
  <si>
    <t>8 919 466 08 28</t>
  </si>
  <si>
    <t>Болотов Дмитрий</t>
  </si>
  <si>
    <t>Спец№03/22</t>
  </si>
  <si>
    <t>БС-21268</t>
  </si>
  <si>
    <t>Вольво Р504 КС 116</t>
  </si>
  <si>
    <t>8 922 831 19 17</t>
  </si>
  <si>
    <t>Топоров Александр</t>
  </si>
  <si>
    <t>МКСервис</t>
  </si>
  <si>
    <t>Реагент В - 50 кг п/эт</t>
  </si>
  <si>
    <t>Сорочинск</t>
  </si>
  <si>
    <t>Спец№1К</t>
  </si>
  <si>
    <t>Камаз М075 ВР 196</t>
  </si>
  <si>
    <t>8 932 609 00 13</t>
  </si>
  <si>
    <t>Баязитов Вячеслав</t>
  </si>
  <si>
    <t>БС-20181</t>
  </si>
  <si>
    <t>150323</t>
  </si>
  <si>
    <t>Скания С853 ХТ 750</t>
  </si>
  <si>
    <t>8 919 456 18 05</t>
  </si>
  <si>
    <t>Ошев Александр</t>
  </si>
  <si>
    <t>100423</t>
  </si>
  <si>
    <t>240423</t>
  </si>
  <si>
    <t>ИСК19079-01</t>
  </si>
  <si>
    <t>Даф Р793 МА 46</t>
  </si>
  <si>
    <t>8 960 682 40 50</t>
  </si>
  <si>
    <t>Рожнов Николай</t>
  </si>
  <si>
    <t>Ситрак Х639 АТ 774</t>
  </si>
  <si>
    <t>8 982 331 41 99</t>
  </si>
  <si>
    <t>Дедык Павел</t>
  </si>
  <si>
    <t>27.04.2023*</t>
  </si>
  <si>
    <t>Скания О633 ЕР 159</t>
  </si>
  <si>
    <t>Кочетов Дмитрий</t>
  </si>
  <si>
    <t>010222</t>
  </si>
  <si>
    <t>020222</t>
  </si>
  <si>
    <t>Стоимость перевозки</t>
  </si>
  <si>
    <t>ИСК17402-21</t>
  </si>
  <si>
    <t>Petro STAB</t>
  </si>
  <si>
    <t>200223</t>
  </si>
  <si>
    <t>Спец№127</t>
  </si>
  <si>
    <t>110123</t>
  </si>
  <si>
    <t>Вольво К114 НК 196</t>
  </si>
  <si>
    <t>8 982 710 24 58</t>
  </si>
  <si>
    <t>Лубов Николай</t>
  </si>
  <si>
    <t>G-30248493-CL3</t>
  </si>
  <si>
    <t>ВЕЛЛТРИТ - 950 кг еврокуб</t>
  </si>
  <si>
    <t>060223</t>
  </si>
  <si>
    <t>Mercedes К378НУ 67</t>
  </si>
  <si>
    <t>8 903 894 62 42</t>
  </si>
  <si>
    <t>Еремин Андрей</t>
  </si>
  <si>
    <t>БС-22921</t>
  </si>
  <si>
    <t>Таёжный</t>
  </si>
  <si>
    <t>8 911 503 96 94</t>
  </si>
  <si>
    <t>Генюк Николай</t>
  </si>
  <si>
    <t>010323</t>
  </si>
  <si>
    <t>БС-17330</t>
  </si>
  <si>
    <t>270223</t>
  </si>
  <si>
    <t>27</t>
  </si>
  <si>
    <t>Скания А511 СХ 156</t>
  </si>
  <si>
    <t>СУПЕРСЛАЙДЕР ГОЛД</t>
  </si>
  <si>
    <t>БС-14751</t>
  </si>
  <si>
    <t>TKRU3091061</t>
  </si>
  <si>
    <t>БС-19441</t>
  </si>
  <si>
    <t>TKRU3070834</t>
  </si>
  <si>
    <t>Вольво К523 КН 196</t>
  </si>
  <si>
    <t>8 982 747 12 91</t>
  </si>
  <si>
    <t>Кадочников Дмитрий</t>
  </si>
  <si>
    <t>Скания К994 РО 35</t>
  </si>
  <si>
    <t>300123</t>
  </si>
  <si>
    <t>Скания К824 ХМ 159</t>
  </si>
  <si>
    <t>8 902 473 43 45</t>
  </si>
  <si>
    <t>Пастухов Сергей</t>
  </si>
  <si>
    <t>БС-19618</t>
  </si>
  <si>
    <t>210223</t>
  </si>
  <si>
    <t>Ивеко Т324 ЕТ 59</t>
  </si>
  <si>
    <t>8 908 265 50 66</t>
  </si>
  <si>
    <t>Хусаинов Константин</t>
  </si>
  <si>
    <t>ИСК17402-17</t>
  </si>
  <si>
    <t>180223</t>
  </si>
  <si>
    <t>Камаз О338 ЕМ 29</t>
  </si>
  <si>
    <t>Борин Дмитрий</t>
  </si>
  <si>
    <t>190223</t>
  </si>
  <si>
    <t>ИСК17408-14</t>
  </si>
  <si>
    <t xml:space="preserve">Мерседес С094 УХ 72 </t>
  </si>
  <si>
    <t>220223</t>
  </si>
  <si>
    <t>Спец№122</t>
  </si>
  <si>
    <t>100123</t>
  </si>
  <si>
    <t>Скания Е859 МК 116</t>
  </si>
  <si>
    <t>8 917 863 89 91</t>
  </si>
  <si>
    <t>Мыльников Сергей</t>
  </si>
  <si>
    <t>ИСК17450-13</t>
  </si>
  <si>
    <t>240123</t>
  </si>
  <si>
    <t>Фрейтлайнер М301 МР 40</t>
  </si>
  <si>
    <t>8 921 538 62 99</t>
  </si>
  <si>
    <t>Меркулов Максим</t>
  </si>
  <si>
    <t>170223</t>
  </si>
  <si>
    <t>Счёт №23</t>
  </si>
  <si>
    <t>Мерседес О669 МЕ 44</t>
  </si>
  <si>
    <t>8 963 930 77 27</t>
  </si>
  <si>
    <t>Степанов Вячеслав</t>
  </si>
  <si>
    <t>TORQ TRIM II PLUS (СС Голд)</t>
  </si>
  <si>
    <t>Вольво О082 ОМ 43</t>
  </si>
  <si>
    <t>8 982 380 98 19</t>
  </si>
  <si>
    <t>Орос Вячеслав</t>
  </si>
  <si>
    <t>Счёт №84</t>
  </si>
  <si>
    <t>Никель</t>
  </si>
  <si>
    <t>Санкт-Петербург</t>
  </si>
  <si>
    <t>БС-15097</t>
  </si>
  <si>
    <t>271222</t>
  </si>
  <si>
    <t>Даф О244 НН29</t>
  </si>
  <si>
    <t>8 905 293 56 25</t>
  </si>
  <si>
    <t>Танашев Роман</t>
  </si>
  <si>
    <t>BJ0008-23</t>
  </si>
  <si>
    <t>Ман А446 ТР 43</t>
  </si>
  <si>
    <t>Плесцов Игорь</t>
  </si>
  <si>
    <t>Даф У432 АТ 31</t>
  </si>
  <si>
    <t>8 910 228 36 63</t>
  </si>
  <si>
    <t>Несиненко Олег</t>
  </si>
  <si>
    <t>Парм-Гинс</t>
  </si>
  <si>
    <t>МАКС-ФЛЕКС - 20 кг канистра</t>
  </si>
  <si>
    <t>АДВАНТА ж - 20 кг канистра</t>
  </si>
  <si>
    <t>Вольво В997 ЕМ 196</t>
  </si>
  <si>
    <t>7 922 164 04 73</t>
  </si>
  <si>
    <t>Елесин Алексей</t>
  </si>
  <si>
    <t>ИСК17428-01</t>
  </si>
  <si>
    <t>Скания М639 ТН 159</t>
  </si>
  <si>
    <t>8 909 018 77 25</t>
  </si>
  <si>
    <t>Горяев Денис</t>
  </si>
  <si>
    <t>Скания О159 ТТ 159</t>
  </si>
  <si>
    <t>8 904 844 58 94</t>
  </si>
  <si>
    <t>Дылдин Андрей</t>
  </si>
  <si>
    <t>120323</t>
  </si>
  <si>
    <t>144</t>
  </si>
  <si>
    <t>Камаз К119 НК 196</t>
  </si>
  <si>
    <t>Авдюков Александр</t>
  </si>
  <si>
    <t>ЭКСТРАМУЛ 2000 - 180 кг мет</t>
  </si>
  <si>
    <t>110323</t>
  </si>
  <si>
    <t>Volvo С931ЕМ 51</t>
  </si>
  <si>
    <t>8-921-297-46-13</t>
  </si>
  <si>
    <t>130323</t>
  </si>
  <si>
    <t>Скания Н031 АА 159</t>
  </si>
  <si>
    <t>8 922 483 46 05</t>
  </si>
  <si>
    <t>Добрянский Вадим</t>
  </si>
  <si>
    <t>Спец№04/22</t>
  </si>
  <si>
    <t>ЭКСТРАМУЛ 2000</t>
  </si>
  <si>
    <t>Мерседес М125 ОА 43</t>
  </si>
  <si>
    <t>Куликов Анатолий</t>
  </si>
  <si>
    <t>Спец№05/22</t>
  </si>
  <si>
    <t>БС-22470</t>
  </si>
  <si>
    <t>RZDU2000035</t>
  </si>
  <si>
    <t>180323</t>
  </si>
  <si>
    <t>RZDU0726651</t>
  </si>
  <si>
    <t>170323</t>
  </si>
  <si>
    <t>SITRAK C7H   M975XE 35</t>
  </si>
  <si>
    <t>8-981-504-77-27</t>
  </si>
  <si>
    <t xml:space="preserve">Федоров Андрей </t>
  </si>
  <si>
    <t>Спец№53</t>
  </si>
  <si>
    <t>СБМОЙЛРЕО В (Реомод ж)</t>
  </si>
  <si>
    <t>THINNER (Экстрамул-2000) - 180 кг мет</t>
  </si>
  <si>
    <t>MAN Е004 ТУ 161</t>
  </si>
  <si>
    <t>8 928 177 04 15</t>
  </si>
  <si>
    <t>Лукьянов Пётр</t>
  </si>
  <si>
    <t>WET AGENT (Веллтрит) - 180 кг мет</t>
  </si>
  <si>
    <t>MRS600694A</t>
  </si>
  <si>
    <t>051222</t>
  </si>
  <si>
    <t>СпецПетроСервис</t>
  </si>
  <si>
    <t>Газель Т123 ЕО 58</t>
  </si>
  <si>
    <t>Прохоров Антон</t>
  </si>
  <si>
    <t>RZDU0673593</t>
  </si>
  <si>
    <t>220323</t>
  </si>
  <si>
    <t>БС-19274</t>
  </si>
  <si>
    <t>RZDU0675549</t>
  </si>
  <si>
    <t>БС-13582</t>
  </si>
  <si>
    <t>Вольво Т317 ХА 96</t>
  </si>
  <si>
    <t>8 982 610 39 38</t>
  </si>
  <si>
    <t>Шиляев Александр</t>
  </si>
  <si>
    <t>130223</t>
  </si>
  <si>
    <t>Фотон С717 КС 196</t>
  </si>
  <si>
    <t>Попов Александр</t>
  </si>
  <si>
    <t>Счёт№97</t>
  </si>
  <si>
    <t>Грайт</t>
  </si>
  <si>
    <t>Оренбург</t>
  </si>
  <si>
    <t>Камаз А298 УС 21</t>
  </si>
  <si>
    <t>8 987 575 63 31</t>
  </si>
  <si>
    <t>Димитриев Эдуард</t>
  </si>
  <si>
    <t>261122</t>
  </si>
  <si>
    <t>Вольво Т681 МР 67</t>
  </si>
  <si>
    <t>8 987 909 17 25</t>
  </si>
  <si>
    <t>Портнов Виталий</t>
  </si>
  <si>
    <t>271122</t>
  </si>
  <si>
    <t>Спец №1</t>
  </si>
  <si>
    <t>Первая Уральская ХК</t>
  </si>
  <si>
    <t>ВЕЛЛТРИТ - 200 кг мет</t>
  </si>
  <si>
    <t>JAC К 197 ОВ 763</t>
  </si>
  <si>
    <t>8-906-038-21-39</t>
  </si>
  <si>
    <t>Дубинников Александр</t>
  </si>
  <si>
    <t>БС-23067</t>
  </si>
  <si>
    <t>KLKU0306665</t>
  </si>
  <si>
    <t>RZDU0706552</t>
  </si>
  <si>
    <t>RZDU2001880</t>
  </si>
  <si>
    <t>Скания Х795 РО 56</t>
  </si>
  <si>
    <t>8 961 905 50 47</t>
  </si>
  <si>
    <t>Зуев Сергей</t>
  </si>
  <si>
    <t>БС-19486</t>
  </si>
  <si>
    <t>Фрейтлайнер А496 ТУ 196</t>
  </si>
  <si>
    <t>8 912 757 20 18</t>
  </si>
  <si>
    <t>Карабаев Валерий</t>
  </si>
  <si>
    <t>Даф Т177 НВ 67</t>
  </si>
  <si>
    <t>8 910 764 54 50</t>
  </si>
  <si>
    <t>Дворянов Григорий</t>
  </si>
  <si>
    <t>РЕОМОД</t>
  </si>
  <si>
    <t>Газон А847 СР 76</t>
  </si>
  <si>
    <t>8 920 149 23 65</t>
  </si>
  <si>
    <t>Бакиров Владимир</t>
  </si>
  <si>
    <t>БС-13701</t>
  </si>
  <si>
    <t>Спец№125</t>
  </si>
  <si>
    <t>MEX GL-LUBE (СС Голд) - 180 кг мет</t>
  </si>
  <si>
    <t>180123</t>
  </si>
  <si>
    <t>8 912 575 48 67</t>
  </si>
  <si>
    <t>010223</t>
  </si>
  <si>
    <t>БС-13052</t>
  </si>
  <si>
    <t>050123</t>
  </si>
  <si>
    <t>Даф М419 ХМ 159</t>
  </si>
  <si>
    <t>Duratone</t>
  </si>
  <si>
    <t>230123</t>
  </si>
  <si>
    <t xml:space="preserve">Ноябрьск </t>
  </si>
  <si>
    <t>ХимБурСервис</t>
  </si>
  <si>
    <t>201222</t>
  </si>
  <si>
    <t>Маз О604 ОМ 116</t>
  </si>
  <si>
    <t>8 965 538 08 00</t>
  </si>
  <si>
    <t>Галаганов Василий</t>
  </si>
  <si>
    <t>291222</t>
  </si>
  <si>
    <t>210123</t>
  </si>
  <si>
    <t>Скания Н680 ОУ 159</t>
  </si>
  <si>
    <t>8 965 551 13 55</t>
  </si>
  <si>
    <t>Жуков Дмитрий</t>
  </si>
  <si>
    <t>200123</t>
  </si>
  <si>
    <t>ЭКСТРАМУЛ 2000 - 900 кг еврокуб</t>
  </si>
  <si>
    <t>310123</t>
  </si>
  <si>
    <t>Камаз К 447 ТМ 716</t>
  </si>
  <si>
    <t>8 917 256 04 21</t>
  </si>
  <si>
    <t>Хакимуллин Ильфат</t>
  </si>
  <si>
    <t>290123</t>
  </si>
  <si>
    <t>БС-15292</t>
  </si>
  <si>
    <t>8 912 585 47 73</t>
  </si>
  <si>
    <t>Хуснутдинов ильдар</t>
  </si>
  <si>
    <t>Скания У999 АК 56</t>
  </si>
  <si>
    <t>8 912 352 59 07</t>
  </si>
  <si>
    <t>Горшенин Владимир</t>
  </si>
  <si>
    <t>БС-14876</t>
  </si>
  <si>
    <t>POLYAC PLUS (BDF-911)</t>
  </si>
  <si>
    <t>Скания А382 УС 156</t>
  </si>
  <si>
    <t>8 922 812 77 87</t>
  </si>
  <si>
    <t>Морунов Максим</t>
  </si>
  <si>
    <t>БС-11686</t>
  </si>
  <si>
    <t>Рено К065 РС 35</t>
  </si>
  <si>
    <t>8 921 716 41 07</t>
  </si>
  <si>
    <t>Замахов Николай</t>
  </si>
  <si>
    <t>260123</t>
  </si>
  <si>
    <t>Скания М960 ВА 159</t>
  </si>
  <si>
    <t>Макаров Юрий</t>
  </si>
  <si>
    <t>БС-18434</t>
  </si>
  <si>
    <t>Спец№44</t>
  </si>
  <si>
    <t>Спец№31</t>
  </si>
  <si>
    <t>10/2021</t>
  </si>
  <si>
    <t>Даф О076 СМ 46</t>
  </si>
  <si>
    <t>8 910 368 74 05</t>
  </si>
  <si>
    <t>Еременко Василий</t>
  </si>
  <si>
    <t>БС-18360</t>
  </si>
  <si>
    <t>Скания О659 ЕУ 159</t>
  </si>
  <si>
    <t>8 919 461 96 50</t>
  </si>
  <si>
    <t>Сятчихин Николай</t>
  </si>
  <si>
    <t>Мерседес Т314 ЕМ 73</t>
  </si>
  <si>
    <t>Иванов Вячеслав</t>
  </si>
  <si>
    <t>ШЕЙЛ-ИКС порошок</t>
  </si>
  <si>
    <t>050223</t>
  </si>
  <si>
    <t>Iveco А877 АО 702</t>
  </si>
  <si>
    <t>8 917 341 68 72</t>
  </si>
  <si>
    <t>Егоров Александр</t>
  </si>
  <si>
    <t>050223/1</t>
  </si>
  <si>
    <t>DAF В613УР 134</t>
  </si>
  <si>
    <t>Нужин Дмитрий</t>
  </si>
  <si>
    <t>020223</t>
  </si>
  <si>
    <t>ВАГОНОМ</t>
  </si>
  <si>
    <t>БС-10030</t>
  </si>
  <si>
    <t>BDF-911</t>
  </si>
  <si>
    <t>211122</t>
  </si>
  <si>
    <t>111122</t>
  </si>
  <si>
    <t>221122</t>
  </si>
  <si>
    <t>171122</t>
  </si>
  <si>
    <t>7 996 342 77 01</t>
  </si>
  <si>
    <t>Шестопалов Александр</t>
  </si>
  <si>
    <t>181122</t>
  </si>
  <si>
    <t>231122</t>
  </si>
  <si>
    <t>Даф С836 ХТ 750</t>
  </si>
  <si>
    <t>8 982 438 25 69</t>
  </si>
  <si>
    <t>Меньшиков Вадим</t>
  </si>
  <si>
    <t>070223</t>
  </si>
  <si>
    <t>8 919 473 14 40</t>
  </si>
  <si>
    <t>Рафиков Леонид</t>
  </si>
  <si>
    <t>ПУрпе</t>
  </si>
  <si>
    <t>Скания М 966 ВА 159</t>
  </si>
  <si>
    <t>8 919 475 89 18</t>
  </si>
  <si>
    <t>Поляшев Алексей</t>
  </si>
  <si>
    <t>БС-12400</t>
  </si>
  <si>
    <t>ИСК17328-09</t>
  </si>
  <si>
    <t>EWO MUL2 (Ликвитрол) - 200 кг п/эт</t>
  </si>
  <si>
    <t>Скания С 850 ХТ 750</t>
  </si>
  <si>
    <t>8 982 455 09 11</t>
  </si>
  <si>
    <t>Полонянкин Евгений</t>
  </si>
  <si>
    <t>Скания М958 ММ 159</t>
  </si>
  <si>
    <t>8 902 833 67 19</t>
  </si>
  <si>
    <t>Корляков Владимир</t>
  </si>
  <si>
    <t>Спец№32</t>
  </si>
  <si>
    <t>Фрейтлайнер С129 МК 72</t>
  </si>
  <si>
    <t>8 982 183 01 34</t>
  </si>
  <si>
    <t>Черноусов Алексей</t>
  </si>
  <si>
    <t>СУЛЬФОБИТ</t>
  </si>
  <si>
    <t>TKRU3052661</t>
  </si>
  <si>
    <t>090223</t>
  </si>
  <si>
    <t>TKRU3318812</t>
  </si>
  <si>
    <t>Скания К285 ВС 159</t>
  </si>
  <si>
    <t>8 982 443 36 31</t>
  </si>
  <si>
    <t>Ознобихин Дмитрий</t>
  </si>
  <si>
    <t>100223</t>
  </si>
  <si>
    <t>120223</t>
  </si>
  <si>
    <t>Скания М981 МС 159</t>
  </si>
  <si>
    <t>8 902 273 24 10</t>
  </si>
  <si>
    <t>Прибавкин Александр</t>
  </si>
  <si>
    <t>Спец№52</t>
  </si>
  <si>
    <t>121122</t>
  </si>
  <si>
    <t>Кенворт У 181 ЕЕ 142</t>
  </si>
  <si>
    <t>8 923 470 40 19</t>
  </si>
  <si>
    <t>Заика Николай</t>
  </si>
  <si>
    <t>ЛИКВИТРОЛ</t>
  </si>
  <si>
    <t>12</t>
  </si>
  <si>
    <t>ГАЗ М372 ХК 29</t>
  </si>
  <si>
    <t>8 911 585 07 97</t>
  </si>
  <si>
    <t>Кочеров Роман</t>
  </si>
  <si>
    <t>Спец№40</t>
  </si>
  <si>
    <t>080223</t>
  </si>
  <si>
    <t>Спец№27</t>
  </si>
  <si>
    <t>Скания Х 811 УТ 56</t>
  </si>
  <si>
    <t>Гудилин Анатолий</t>
  </si>
  <si>
    <t>143</t>
  </si>
  <si>
    <t>Вольво Т094 ЕС 777</t>
  </si>
  <si>
    <t>8 921 082 57 35</t>
  </si>
  <si>
    <t>Васильев Олег</t>
  </si>
  <si>
    <t>Даф Н785 ХО 750</t>
  </si>
  <si>
    <t>Чёкотов Владимир</t>
  </si>
  <si>
    <t>241122</t>
  </si>
  <si>
    <t>251122</t>
  </si>
  <si>
    <t>140223</t>
  </si>
  <si>
    <t>Вольво К816 АН 196</t>
  </si>
  <si>
    <t>8 912 200 53 56</t>
  </si>
  <si>
    <t>Жуйков Михаил</t>
  </si>
  <si>
    <t>Спец№128</t>
  </si>
  <si>
    <t>Рено Е950 ОХ 124</t>
  </si>
  <si>
    <t>8 923 321 68 49</t>
  </si>
  <si>
    <t>Мельников Виктор</t>
  </si>
  <si>
    <t>TKRU3145091</t>
  </si>
  <si>
    <t>TKRU3056190</t>
  </si>
  <si>
    <t>БС-17566</t>
  </si>
  <si>
    <t>070123</t>
  </si>
  <si>
    <t>150223</t>
  </si>
  <si>
    <t>Спец№123</t>
  </si>
  <si>
    <t>Вольво В864 НН 98</t>
  </si>
  <si>
    <t>8-921-482-22-08</t>
  </si>
  <si>
    <t>Тетерин Сергей</t>
  </si>
  <si>
    <t>Спец 4-СТ</t>
  </si>
  <si>
    <t>ССК</t>
  </si>
  <si>
    <t>151222</t>
  </si>
  <si>
    <t>8 931 407 70 90</t>
  </si>
  <si>
    <t>Коберник Николай</t>
  </si>
  <si>
    <t>Спец№118</t>
  </si>
  <si>
    <t>241222</t>
  </si>
  <si>
    <t>БС-11908</t>
  </si>
  <si>
    <t>281222</t>
  </si>
  <si>
    <t>RZDU0711712</t>
  </si>
  <si>
    <t>RZDU0710737</t>
  </si>
  <si>
    <t>Спец№37</t>
  </si>
  <si>
    <t>Спец№120</t>
  </si>
  <si>
    <t>301222</t>
  </si>
  <si>
    <t>020123</t>
  </si>
  <si>
    <t>030123</t>
  </si>
  <si>
    <t>Спец№119</t>
  </si>
  <si>
    <t>031222</t>
  </si>
  <si>
    <t>031222/1</t>
  </si>
  <si>
    <t>ИСК17160-13</t>
  </si>
  <si>
    <t>Даф О841 ВК 29</t>
  </si>
  <si>
    <t>8 962 660 40 43</t>
  </si>
  <si>
    <t>Лапин Максим</t>
  </si>
  <si>
    <t>261222</t>
  </si>
  <si>
    <t>БС-11255</t>
  </si>
  <si>
    <t>071222</t>
  </si>
  <si>
    <t>221222</t>
  </si>
  <si>
    <t>Счёт №480</t>
  </si>
  <si>
    <t>240422</t>
  </si>
  <si>
    <t>RZDU0484455</t>
  </si>
  <si>
    <t>RZDU0638083</t>
  </si>
  <si>
    <t>Спец№51</t>
  </si>
  <si>
    <t>Даф О922КМ 29</t>
  </si>
  <si>
    <t>ИСК17402-13</t>
  </si>
  <si>
    <t>060123</t>
  </si>
  <si>
    <t>080123</t>
  </si>
  <si>
    <t>RZDU0712067</t>
  </si>
  <si>
    <t>RZDU0128182</t>
  </si>
  <si>
    <t>Счёт №474</t>
  </si>
  <si>
    <t>Геотехновация</t>
  </si>
  <si>
    <t>ТК КИТ</t>
  </si>
  <si>
    <t>Спец №23</t>
  </si>
  <si>
    <t>BJ0071-22</t>
  </si>
  <si>
    <t>Скания О802 ВК 159</t>
  </si>
  <si>
    <t>Румянцев Андрей</t>
  </si>
  <si>
    <t>Спец №20</t>
  </si>
  <si>
    <t>BJ0065-22</t>
  </si>
  <si>
    <t>Вольво К894 КВ 29</t>
  </si>
  <si>
    <t>8 911 553 15 07</t>
  </si>
  <si>
    <t>090123</t>
  </si>
  <si>
    <t>Фредлайнер К979 РО 35</t>
  </si>
  <si>
    <t>8 911 522 92 99</t>
  </si>
  <si>
    <t>Кузин Игорь</t>
  </si>
  <si>
    <t xml:space="preserve">Atren SL </t>
  </si>
  <si>
    <t>211222</t>
  </si>
  <si>
    <t>Мерседес Х851 МО 96</t>
  </si>
  <si>
    <t>Мясников Андрей</t>
  </si>
  <si>
    <t>БС-13715</t>
  </si>
  <si>
    <t>RZDU0668555</t>
  </si>
  <si>
    <t>RZDU0713649</t>
  </si>
  <si>
    <t>Скания Р761 ВУ 159</t>
  </si>
  <si>
    <t>8 982 476 72 58</t>
  </si>
  <si>
    <t>Ворков Андрей</t>
  </si>
  <si>
    <t>120123</t>
  </si>
  <si>
    <t>БС-13724</t>
  </si>
  <si>
    <t>RZDU0481121</t>
  </si>
  <si>
    <t>RZDU0643428</t>
  </si>
  <si>
    <t>RZDU0683436</t>
  </si>
  <si>
    <t>250422</t>
  </si>
  <si>
    <t>Ман К911 ЕК 35</t>
  </si>
  <si>
    <t>8 921 231 34 88</t>
  </si>
  <si>
    <t>Некипелов Андрей</t>
  </si>
  <si>
    <t>БС-13847</t>
  </si>
  <si>
    <t>121222</t>
  </si>
  <si>
    <t>Мерседес Р563 АМ 790</t>
  </si>
  <si>
    <t>Спец№124</t>
  </si>
  <si>
    <t>Камаз О338 ЕМ 30</t>
  </si>
  <si>
    <t>Спец№117</t>
  </si>
  <si>
    <t>011222</t>
  </si>
  <si>
    <t>сей</t>
  </si>
  <si>
    <t>160123</t>
  </si>
  <si>
    <t>БС-7186</t>
  </si>
  <si>
    <t>101022</t>
  </si>
  <si>
    <t>Вольво О 079 АН 29</t>
  </si>
  <si>
    <t>Николаев Иван Николаевич</t>
  </si>
  <si>
    <t>121022</t>
  </si>
  <si>
    <t>141022</t>
  </si>
  <si>
    <t>БС-4625</t>
  </si>
  <si>
    <t>Скания К139 ОО 159</t>
  </si>
  <si>
    <t>8 919 478 43 79</t>
  </si>
  <si>
    <t>Макаров Илья</t>
  </si>
  <si>
    <t>ГАЗ  М204 МО 29</t>
  </si>
  <si>
    <t>Филин Павел</t>
  </si>
  <si>
    <t>БС-16324</t>
  </si>
  <si>
    <t>170123</t>
  </si>
  <si>
    <t>Усть-Кут</t>
  </si>
  <si>
    <t>RZDU0631983</t>
  </si>
  <si>
    <t>RZDU0668534</t>
  </si>
  <si>
    <t>RZDU0722450</t>
  </si>
  <si>
    <t>Спец№126</t>
  </si>
  <si>
    <t>Скания С 842 ХТ 750</t>
  </si>
  <si>
    <t>8902 645 91 03</t>
  </si>
  <si>
    <t>Бенковский Иван</t>
  </si>
  <si>
    <t>СервисТЭК-Бурение</t>
  </si>
  <si>
    <t>МАЗ С 354 РА 43</t>
  </si>
  <si>
    <t>8919 516 32 01</t>
  </si>
  <si>
    <t>Хохрин Александр</t>
  </si>
  <si>
    <t>Клотонекс</t>
  </si>
  <si>
    <t>Вольво Т954ВВ 790</t>
  </si>
  <si>
    <t xml:space="preserve">Архипов Сергей </t>
  </si>
  <si>
    <t>БС-6308</t>
  </si>
  <si>
    <t>Камаз Е 732МХ 186</t>
  </si>
  <si>
    <t>8922 428 87 00</t>
  </si>
  <si>
    <t>ИСК17408-11</t>
  </si>
  <si>
    <t>Скания В 801 МО 156</t>
  </si>
  <si>
    <t>8987 786 49 47</t>
  </si>
  <si>
    <t>Валиев Владимир</t>
  </si>
  <si>
    <t>БС-4632</t>
  </si>
  <si>
    <t>Вольво К 619 УК 35</t>
  </si>
  <si>
    <t>8911 503 96 94</t>
  </si>
  <si>
    <t>Спец№121</t>
  </si>
  <si>
    <t>UNITROL</t>
  </si>
  <si>
    <t>Скания К 994 РО 35</t>
  </si>
  <si>
    <t>8921 538 19 90</t>
  </si>
  <si>
    <t>ИСК17330-01</t>
  </si>
  <si>
    <t>8911 685 32 02</t>
  </si>
  <si>
    <t>Рено М552 ХВ 196</t>
  </si>
  <si>
    <t>8 982 705 99 90</t>
  </si>
  <si>
    <t>Панков Андрей</t>
  </si>
  <si>
    <t>9</t>
  </si>
  <si>
    <t>Renault Х668СВ 161</t>
  </si>
  <si>
    <t>8 904 343 90 27</t>
  </si>
  <si>
    <t>Курудимов Дмитрий</t>
  </si>
  <si>
    <t>Volvo Н616РВ 37</t>
  </si>
  <si>
    <t>8 910 689 15 06</t>
  </si>
  <si>
    <t>Ларин Олег</t>
  </si>
  <si>
    <t>280123</t>
  </si>
  <si>
    <t>Номер авто</t>
  </si>
  <si>
    <t>ФИО водителя</t>
  </si>
  <si>
    <t>Телефон</t>
  </si>
  <si>
    <t>АН486473</t>
  </si>
  <si>
    <t xml:space="preserve">Айдаркин </t>
  </si>
  <si>
    <t>Наименование продукции</t>
  </si>
  <si>
    <t>Н555КМ67</t>
  </si>
  <si>
    <t>Асташов С</t>
  </si>
  <si>
    <t>Н252ТУ31</t>
  </si>
  <si>
    <t>Бабкин</t>
  </si>
  <si>
    <t>М960ВА159</t>
  </si>
  <si>
    <t>Бабушкин</t>
  </si>
  <si>
    <t>Стабилайт II бум 25 кг</t>
  </si>
  <si>
    <t>С738ХВ96</t>
  </si>
  <si>
    <t>Баранов В</t>
  </si>
  <si>
    <t>Стабилайт II п/проп 22,7 кг</t>
  </si>
  <si>
    <t>О262ЕМ73</t>
  </si>
  <si>
    <t xml:space="preserve">Бахтияров Фарит </t>
  </si>
  <si>
    <t>Стабилайт II  марк 22,7 кг</t>
  </si>
  <si>
    <t>Х833ЕС116</t>
  </si>
  <si>
    <t>Бачинин</t>
  </si>
  <si>
    <t>Т298ХН96</t>
  </si>
  <si>
    <t>Бедарев</t>
  </si>
  <si>
    <t>В837УУ159</t>
  </si>
  <si>
    <t xml:space="preserve">Бобыкин </t>
  </si>
  <si>
    <t>MEX-ASR</t>
  </si>
  <si>
    <t>М232ЕВ159</t>
  </si>
  <si>
    <t>Болотов</t>
  </si>
  <si>
    <t>Е885УР196</t>
  </si>
  <si>
    <t>Буртовой</t>
  </si>
  <si>
    <t>М773ОВ</t>
  </si>
  <si>
    <t>Бусыгин</t>
  </si>
  <si>
    <t>У745РВ43</t>
  </si>
  <si>
    <t>Бушмелев </t>
  </si>
  <si>
    <t>Petro ASF</t>
  </si>
  <si>
    <t>Асфальтен SAS Bur</t>
  </si>
  <si>
    <t> Р768ТР18</t>
  </si>
  <si>
    <t>Верещагин</t>
  </si>
  <si>
    <t>КЛОТОНЕКС</t>
  </si>
  <si>
    <t>3844 НР/HD120</t>
  </si>
  <si>
    <t>Воронин </t>
  </si>
  <si>
    <t>К300КХ67 </t>
  </si>
  <si>
    <t>Гришкин</t>
  </si>
  <si>
    <t>АВ1548/67   </t>
  </si>
  <si>
    <t>Гришкин </t>
  </si>
  <si>
    <t>Е868ХК73</t>
  </si>
  <si>
    <t>Иванов</t>
  </si>
  <si>
    <t xml:space="preserve"> Е836ХХ73</t>
  </si>
  <si>
    <t>Иванов В</t>
  </si>
  <si>
    <t>В919МР67</t>
  </si>
  <si>
    <t>Корнильев</t>
  </si>
  <si>
    <t>М774НА159</t>
  </si>
  <si>
    <t>Костицын</t>
  </si>
  <si>
    <t>  К800ЕК67    </t>
  </si>
  <si>
    <t>Кравцов</t>
  </si>
  <si>
    <t>89107115070 </t>
  </si>
  <si>
    <t>ПОЛИКАП</t>
  </si>
  <si>
    <t>Х064ЕС116  </t>
  </si>
  <si>
    <t>Крюков</t>
  </si>
  <si>
    <t>М883ТС96</t>
  </si>
  <si>
    <t>Лашутин</t>
  </si>
  <si>
    <t>А698ТЕ37</t>
  </si>
  <si>
    <t>Маркеев</t>
  </si>
  <si>
    <t> В252РР73</t>
  </si>
  <si>
    <t>Маркин</t>
  </si>
  <si>
    <t> В192МЕ196</t>
  </si>
  <si>
    <t>Марусов</t>
  </si>
  <si>
    <t>89502092020  </t>
  </si>
  <si>
    <t>А763ХВ174</t>
  </si>
  <si>
    <t>Мезин</t>
  </si>
  <si>
    <t>Х851МО96</t>
  </si>
  <si>
    <t>Мясников</t>
  </si>
  <si>
    <t>Оптитрол Ж - 200 кг мет</t>
  </si>
  <si>
    <t>Е833УС 35</t>
  </si>
  <si>
    <t>Напалков</t>
  </si>
  <si>
    <t>ЛИКВИТРОЛ - 200 кг п/эт</t>
  </si>
  <si>
    <t>Х644ЕС116RUS </t>
  </si>
  <si>
    <t>Нуртдинов </t>
  </si>
  <si>
    <t> 89061161335</t>
  </si>
  <si>
    <t>СБМОЙЛФИЛЬТР (Ликвитрол)</t>
  </si>
  <si>
    <t>Р442РЕ43 </t>
  </si>
  <si>
    <t xml:space="preserve">Пантелеев  </t>
  </si>
  <si>
    <t>Е135ТО35</t>
  </si>
  <si>
    <t>Петров</t>
  </si>
  <si>
    <t>Т975УК96</t>
  </si>
  <si>
    <t>Полосин</t>
  </si>
  <si>
    <t>К108ОО159</t>
  </si>
  <si>
    <t>Прудников</t>
  </si>
  <si>
    <t>О282КА45</t>
  </si>
  <si>
    <t>Рахматуллин </t>
  </si>
  <si>
    <t>К458МК777</t>
  </si>
  <si>
    <t>Реутов</t>
  </si>
  <si>
    <t>К227АУ136</t>
  </si>
  <si>
    <t>Рубцов</t>
  </si>
  <si>
    <t> Р774ТС96</t>
  </si>
  <si>
    <t>Русинов</t>
  </si>
  <si>
    <t> 89122514901</t>
  </si>
  <si>
    <t>ЭКСТРАМУЛ ДИРЕКТ</t>
  </si>
  <si>
    <t>Х293ЕС116   </t>
  </si>
  <si>
    <t>Савганов</t>
  </si>
  <si>
    <t> Р419МЕ152</t>
  </si>
  <si>
    <t>Семенов</t>
  </si>
  <si>
    <t>A448ET716</t>
  </si>
  <si>
    <t>Смердов</t>
  </si>
  <si>
    <t>А404УХ716</t>
  </si>
  <si>
    <t>Степанов</t>
  </si>
  <si>
    <t>О518УА43</t>
  </si>
  <si>
    <t>Суслов</t>
  </si>
  <si>
    <t>89965296119 </t>
  </si>
  <si>
    <t>Р900НО18</t>
  </si>
  <si>
    <t>Тройников</t>
  </si>
  <si>
    <t>СБМЛУБ (СС Голд)</t>
  </si>
  <si>
    <t>А212МА37</t>
  </si>
  <si>
    <t>Унукович Михаил</t>
  </si>
  <si>
    <t>СУПЕРСЛАЙДЕР СИЛЬВЕР</t>
  </si>
  <si>
    <t>С458НМ116</t>
  </si>
  <si>
    <t>Успехов Вячеслав  </t>
  </si>
  <si>
    <t> 89600381060</t>
  </si>
  <si>
    <t>Р863А076</t>
  </si>
  <si>
    <t>Чайка А</t>
  </si>
  <si>
    <t>СУПЕРСЛАЙДЕР РУО</t>
  </si>
  <si>
    <t>Drilling Lube - 180 кг мет</t>
  </si>
  <si>
    <t>ВЕЛЛТРИТ - 200 кг п/эт</t>
  </si>
  <si>
    <t>РЕОМОД ж - 200 кг</t>
  </si>
  <si>
    <t>UNIMOD</t>
  </si>
  <si>
    <t>ТЕРМАВИС РУО</t>
  </si>
  <si>
    <t>EWO GEL (Термавис РУО)</t>
  </si>
  <si>
    <t>ТАНАТИН</t>
  </si>
  <si>
    <t>СБМТАН (Танатин)</t>
  </si>
  <si>
    <t>КЛА-ФРИ</t>
  </si>
  <si>
    <t xml:space="preserve">ДРИЛАМИН </t>
  </si>
  <si>
    <t>Petro HIB Black (Блэктрол) - 200 кг п/эт</t>
  </si>
  <si>
    <t>31.06.2019</t>
  </si>
  <si>
    <t>Оптитрол Порошок 20 кг</t>
  </si>
  <si>
    <t>Оптитрол (УЩР 30%)</t>
  </si>
  <si>
    <t>Оптитрол Ж (бочка обруч 50 кг)</t>
  </si>
  <si>
    <t>Оптитрол Ж (бочка 200 кг)</t>
  </si>
  <si>
    <t>Оптитрол Ж для СХТ (бочка обруч 200 кг)</t>
  </si>
  <si>
    <t>Оптитрол Ж КАЗАХ (ДТ 20%) 96 л</t>
  </si>
  <si>
    <t>Оптитрол Ж КАЗАХ (ДТ 20%) 200 л</t>
  </si>
  <si>
    <t>Оптитрол Ж КАЗАХ (пеногас 3%) 90 л</t>
  </si>
  <si>
    <t>КЛОТОНЕКС 25 кг</t>
  </si>
  <si>
    <t>BLACKTROL</t>
  </si>
  <si>
    <t>ВЕЛЛТРИТ</t>
  </si>
  <si>
    <t>КЛСП без КМЦ на переработку</t>
  </si>
  <si>
    <t>РЕОМОД жидкий</t>
  </si>
  <si>
    <t>ШЕЙЛ-ИКС</t>
  </si>
  <si>
    <t>EZ 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</si>
</sst>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m\ yyyy;@"/>
    <numFmt numFmtId="165" formatCode="0.000"/>
    <numFmt numFmtId="166" formatCode="0.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6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indexed="5"/>
        <bgColor indexed="5"/>
      </patternFill>
    </fill>
    <fill>
      <patternFill patternType="solid">
        <fgColor theme="2"/>
        <bgColor theme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4" tint="0.59999389629810485"/>
        <bgColor theme="4" tint="0.59999389629810485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7" borderId="2" xfId="0" applyFont="1" applyFill="1" applyBorder="1" applyAlignment="1">
      <alignment horizontal="left" vertical="center"/>
    </xf>
    <xf numFmtId="0" fontId="0" fillId="14" borderId="0" xfId="0" applyFill="1"/>
    <xf numFmtId="0" fontId="0" fillId="0" borderId="5" xfId="0" applyBorder="1"/>
    <xf numFmtId="0" fontId="3" fillId="9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/>
    <xf numFmtId="0" fontId="0" fillId="15" borderId="5" xfId="0" applyFill="1" applyBorder="1"/>
    <xf numFmtId="0" fontId="0" fillId="17" borderId="0" xfId="0" applyFill="1"/>
    <xf numFmtId="0" fontId="0" fillId="17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/>
    </xf>
    <xf numFmtId="0" fontId="4" fillId="17" borderId="5" xfId="0" applyFont="1" applyFill="1" applyBorder="1" applyAlignment="1">
      <alignment horizontal="center" vertical="center"/>
    </xf>
    <xf numFmtId="49" fontId="0" fillId="17" borderId="5" xfId="0" applyNumberFormat="1" applyFill="1" applyBorder="1" applyAlignment="1">
      <alignment horizontal="center"/>
    </xf>
    <xf numFmtId="0" fontId="4" fillId="17" borderId="5" xfId="0" applyFont="1" applyFill="1" applyBorder="1" applyAlignment="1">
      <alignment horizontal="center"/>
    </xf>
    <xf numFmtId="14" fontId="0" fillId="17" borderId="5" xfId="0" applyNumberFormat="1" applyFill="1" applyBorder="1" applyAlignment="1">
      <alignment horizontal="center" vertical="center"/>
    </xf>
    <xf numFmtId="0" fontId="0" fillId="17" borderId="5" xfId="0" applyFill="1" applyBorder="1" applyAlignment="1">
      <alignment horizontal="left" vertical="center"/>
    </xf>
    <xf numFmtId="0" fontId="0" fillId="17" borderId="5" xfId="0" applyFill="1" applyBorder="1" applyAlignment="1">
      <alignment horizontal="left"/>
    </xf>
    <xf numFmtId="0" fontId="0" fillId="17" borderId="5" xfId="0" applyFill="1" applyBorder="1"/>
    <xf numFmtId="3" fontId="0" fillId="17" borderId="2" xfId="0" applyNumberFormat="1" applyFill="1" applyBorder="1"/>
    <xf numFmtId="3" fontId="0" fillId="17" borderId="5" xfId="0" applyNumberFormat="1" applyFill="1" applyBorder="1"/>
    <xf numFmtId="0" fontId="0" fillId="17" borderId="1" xfId="0" applyFill="1" applyBorder="1" applyAlignment="1">
      <alignment horizontal="center" vertical="center"/>
    </xf>
    <xf numFmtId="14" fontId="0" fillId="17" borderId="5" xfId="0" applyNumberFormat="1" applyFill="1" applyBorder="1" applyAlignment="1">
      <alignment horizontal="left" vertical="center"/>
    </xf>
    <xf numFmtId="3" fontId="4" fillId="17" borderId="2" xfId="0" applyNumberFormat="1" applyFont="1" applyFill="1" applyBorder="1"/>
    <xf numFmtId="0" fontId="0" fillId="17" borderId="6" xfId="0" applyFill="1" applyBorder="1" applyAlignment="1">
      <alignment horizontal="center" vertical="center"/>
    </xf>
    <xf numFmtId="49" fontId="4" fillId="17" borderId="5" xfId="0" applyNumberFormat="1" applyFont="1" applyFill="1" applyBorder="1" applyAlignment="1">
      <alignment horizontal="center"/>
    </xf>
    <xf numFmtId="3" fontId="0" fillId="17" borderId="5" xfId="0" applyNumberFormat="1" applyFill="1" applyBorder="1" applyAlignment="1">
      <alignment horizontal="left"/>
    </xf>
    <xf numFmtId="0" fontId="0" fillId="17" borderId="5" xfId="0" applyFill="1" applyBorder="1" applyAlignment="1">
      <alignment horizontal="left" vertical="top"/>
    </xf>
    <xf numFmtId="0" fontId="0" fillId="17" borderId="5" xfId="0" applyFill="1" applyBorder="1" applyAlignment="1">
      <alignment vertical="center"/>
    </xf>
    <xf numFmtId="3" fontId="0" fillId="17" borderId="5" xfId="0" applyNumberFormat="1" applyFill="1" applyBorder="1" applyAlignment="1">
      <alignment horizontal="left" vertical="top"/>
    </xf>
    <xf numFmtId="0" fontId="4" fillId="17" borderId="0" xfId="0" applyFont="1" applyFill="1"/>
    <xf numFmtId="14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/>
    <xf numFmtId="0" fontId="0" fillId="17" borderId="6" xfId="0" applyFill="1" applyBorder="1" applyAlignment="1">
      <alignment horizontal="center"/>
    </xf>
    <xf numFmtId="0" fontId="4" fillId="17" borderId="6" xfId="0" applyFont="1" applyFill="1" applyBorder="1" applyAlignment="1">
      <alignment horizontal="center" vertical="center"/>
    </xf>
    <xf numFmtId="49" fontId="0" fillId="17" borderId="6" xfId="0" applyNumberForma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  <xf numFmtId="14" fontId="0" fillId="17" borderId="6" xfId="0" applyNumberFormat="1" applyFill="1" applyBorder="1" applyAlignment="1">
      <alignment horizontal="center" vertical="center"/>
    </xf>
    <xf numFmtId="0" fontId="0" fillId="17" borderId="6" xfId="0" applyFill="1" applyBorder="1" applyAlignment="1">
      <alignment horizontal="left" vertical="top"/>
    </xf>
    <xf numFmtId="3" fontId="0" fillId="17" borderId="6" xfId="0" applyNumberFormat="1" applyFill="1" applyBorder="1" applyAlignment="1">
      <alignment horizontal="left" vertical="top"/>
    </xf>
    <xf numFmtId="0" fontId="0" fillId="17" borderId="6" xfId="0" applyFill="1" applyBorder="1"/>
    <xf numFmtId="3" fontId="0" fillId="17" borderId="8" xfId="0" applyNumberFormat="1" applyFill="1" applyBorder="1"/>
    <xf numFmtId="0" fontId="0" fillId="3" borderId="9" xfId="0" applyFill="1" applyBorder="1" applyAlignment="1">
      <alignment horizontal="center" vertical="center" wrapText="1"/>
    </xf>
    <xf numFmtId="165" fontId="5" fillId="3" borderId="6" xfId="0" applyNumberFormat="1" applyFont="1" applyFill="1" applyBorder="1" applyAlignment="1">
      <alignment wrapText="1"/>
    </xf>
    <xf numFmtId="0" fontId="5" fillId="3" borderId="10" xfId="0" applyFont="1" applyFill="1" applyBorder="1" applyAlignment="1">
      <alignment wrapText="1"/>
    </xf>
    <xf numFmtId="3" fontId="0" fillId="0" borderId="5" xfId="0" applyNumberFormat="1" applyBorder="1"/>
    <xf numFmtId="0" fontId="3" fillId="3" borderId="11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0" fillId="3" borderId="11" xfId="0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165" fontId="5" fillId="3" borderId="5" xfId="0" applyNumberFormat="1" applyFont="1" applyFill="1" applyBorder="1"/>
    <xf numFmtId="0" fontId="0" fillId="3" borderId="13" xfId="0" applyFill="1" applyBorder="1" applyAlignment="1">
      <alignment horizontal="center" vertical="center" wrapText="1"/>
    </xf>
    <xf numFmtId="165" fontId="5" fillId="3" borderId="14" xfId="0" applyNumberFormat="1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0" fillId="12" borderId="5" xfId="0" applyFill="1" applyBorder="1"/>
    <xf numFmtId="0" fontId="0" fillId="17" borderId="1" xfId="0" applyFill="1" applyBorder="1" applyAlignment="1">
      <alignment horizontal="center"/>
    </xf>
    <xf numFmtId="3" fontId="0" fillId="12" borderId="5" xfId="0" applyNumberFormat="1" applyFill="1" applyBorder="1"/>
    <xf numFmtId="14" fontId="4" fillId="17" borderId="5" xfId="0" applyNumberFormat="1" applyFont="1" applyFill="1" applyBorder="1" applyAlignment="1">
      <alignment horizontal="left" vertical="center"/>
    </xf>
    <xf numFmtId="3" fontId="4" fillId="17" borderId="5" xfId="0" applyNumberFormat="1" applyFont="1" applyFill="1" applyBorder="1"/>
    <xf numFmtId="0" fontId="0" fillId="17" borderId="1" xfId="0" applyFill="1" applyBorder="1"/>
    <xf numFmtId="0" fontId="4" fillId="17" borderId="1" xfId="0" applyFont="1" applyFill="1" applyBorder="1" applyAlignment="1">
      <alignment horizontal="center" vertical="center"/>
    </xf>
    <xf numFmtId="49" fontId="0" fillId="17" borderId="1" xfId="0" applyNumberFormat="1" applyFill="1" applyBorder="1" applyAlignment="1">
      <alignment horizontal="center"/>
    </xf>
    <xf numFmtId="14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top"/>
    </xf>
    <xf numFmtId="0" fontId="0" fillId="17" borderId="1" xfId="0" applyFill="1" applyBorder="1" applyAlignment="1">
      <alignment horizontal="left"/>
    </xf>
    <xf numFmtId="3" fontId="0" fillId="17" borderId="16" xfId="0" applyNumberFormat="1" applyFill="1" applyBorder="1"/>
    <xf numFmtId="3" fontId="0" fillId="17" borderId="1" xfId="0" applyNumberFormat="1" applyFill="1" applyBorder="1"/>
    <xf numFmtId="0" fontId="4" fillId="17" borderId="4" xfId="0" applyFont="1" applyFill="1" applyBorder="1"/>
    <xf numFmtId="0" fontId="4" fillId="17" borderId="4" xfId="0" applyFont="1" applyFill="1" applyBorder="1" applyAlignment="1">
      <alignment horizontal="left" vertical="top"/>
    </xf>
    <xf numFmtId="0" fontId="4" fillId="17" borderId="5" xfId="0" applyFont="1" applyFill="1" applyBorder="1" applyAlignment="1">
      <alignment horizontal="left" vertical="top"/>
    </xf>
    <xf numFmtId="3" fontId="0" fillId="17" borderId="6" xfId="0" applyNumberFormat="1" applyFill="1" applyBorder="1"/>
    <xf numFmtId="3" fontId="7" fillId="17" borderId="2" xfId="0" applyNumberFormat="1" applyFont="1" applyFill="1" applyBorder="1"/>
    <xf numFmtId="3" fontId="0" fillId="13" borderId="5" xfId="0" applyNumberFormat="1" applyFill="1" applyBorder="1"/>
    <xf numFmtId="4" fontId="0" fillId="17" borderId="5" xfId="0" applyNumberFormat="1" applyFill="1" applyBorder="1"/>
    <xf numFmtId="0" fontId="0" fillId="15" borderId="0" xfId="0" applyFill="1"/>
    <xf numFmtId="0" fontId="0" fillId="15" borderId="5" xfId="0" applyFill="1" applyBorder="1" applyAlignment="1">
      <alignment horizontal="center"/>
    </xf>
    <xf numFmtId="0" fontId="4" fillId="15" borderId="5" xfId="0" applyFont="1" applyFill="1" applyBorder="1" applyAlignment="1">
      <alignment horizontal="center" vertical="center"/>
    </xf>
    <xf numFmtId="49" fontId="0" fillId="15" borderId="5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 vertical="center"/>
    </xf>
    <xf numFmtId="14" fontId="0" fillId="15" borderId="5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left" vertical="center"/>
    </xf>
    <xf numFmtId="0" fontId="0" fillId="15" borderId="5" xfId="0" applyFill="1" applyBorder="1" applyAlignment="1">
      <alignment horizontal="left"/>
    </xf>
    <xf numFmtId="3" fontId="0" fillId="15" borderId="2" xfId="0" applyNumberFormat="1" applyFill="1" applyBorder="1"/>
    <xf numFmtId="3" fontId="0" fillId="15" borderId="5" xfId="0" applyNumberFormat="1" applyFill="1" applyBorder="1"/>
    <xf numFmtId="0" fontId="0" fillId="18" borderId="0" xfId="0" applyFill="1"/>
    <xf numFmtId="0" fontId="0" fillId="18" borderId="6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4" fillId="18" borderId="5" xfId="0" applyFont="1" applyFill="1" applyBorder="1" applyAlignment="1">
      <alignment horizontal="center" vertical="center"/>
    </xf>
    <xf numFmtId="49" fontId="0" fillId="18" borderId="5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 vertical="center"/>
    </xf>
    <xf numFmtId="14" fontId="0" fillId="18" borderId="5" xfId="0" applyNumberFormat="1" applyFill="1" applyBorder="1" applyAlignment="1">
      <alignment horizontal="center" vertical="center"/>
    </xf>
    <xf numFmtId="0" fontId="0" fillId="18" borderId="5" xfId="0" applyFill="1" applyBorder="1" applyAlignment="1">
      <alignment horizontal="left"/>
    </xf>
    <xf numFmtId="0" fontId="0" fillId="18" borderId="5" xfId="0" applyFill="1" applyBorder="1"/>
    <xf numFmtId="3" fontId="0" fillId="18" borderId="2" xfId="0" applyNumberFormat="1" applyFill="1" applyBorder="1"/>
    <xf numFmtId="3" fontId="0" fillId="18" borderId="5" xfId="0" applyNumberFormat="1" applyFill="1" applyBorder="1"/>
    <xf numFmtId="0" fontId="0" fillId="15" borderId="5" xfId="0" applyFill="1" applyBorder="1" applyAlignment="1">
      <alignment horizontal="left" vertical="top"/>
    </xf>
    <xf numFmtId="14" fontId="0" fillId="15" borderId="5" xfId="0" applyNumberFormat="1" applyFill="1" applyBorder="1" applyAlignment="1">
      <alignment horizontal="left" vertical="center"/>
    </xf>
    <xf numFmtId="3" fontId="4" fillId="15" borderId="2" xfId="0" applyNumberFormat="1" applyFont="1" applyFill="1" applyBorder="1"/>
    <xf numFmtId="0" fontId="0" fillId="12" borderId="0" xfId="0" applyFill="1"/>
    <xf numFmtId="0" fontId="0" fillId="12" borderId="5" xfId="0" applyFill="1" applyBorder="1" applyAlignment="1">
      <alignment horizontal="center"/>
    </xf>
    <xf numFmtId="0" fontId="4" fillId="12" borderId="5" xfId="0" applyFont="1" applyFill="1" applyBorder="1" applyAlignment="1">
      <alignment horizontal="center" vertical="center"/>
    </xf>
    <xf numFmtId="49" fontId="0" fillId="12" borderId="5" xfId="0" applyNumberFormat="1" applyFill="1" applyBorder="1" applyAlignment="1">
      <alignment horizontal="center"/>
    </xf>
    <xf numFmtId="0" fontId="0" fillId="12" borderId="5" xfId="0" applyFill="1" applyBorder="1" applyAlignment="1">
      <alignment horizontal="center" vertical="center"/>
    </xf>
    <xf numFmtId="14" fontId="0" fillId="12" borderId="5" xfId="0" applyNumberFormat="1" applyFill="1" applyBorder="1" applyAlignment="1">
      <alignment horizontal="center" vertical="center"/>
    </xf>
    <xf numFmtId="0" fontId="0" fillId="12" borderId="5" xfId="0" applyFill="1" applyBorder="1" applyAlignment="1">
      <alignment horizontal="left"/>
    </xf>
    <xf numFmtId="3" fontId="0" fillId="12" borderId="2" xfId="0" applyNumberFormat="1" applyFill="1" applyBorder="1"/>
    <xf numFmtId="0" fontId="0" fillId="12" borderId="6" xfId="0" applyFill="1" applyBorder="1" applyAlignment="1">
      <alignment horizontal="center"/>
    </xf>
    <xf numFmtId="0" fontId="0" fillId="3" borderId="9" xfId="0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3" fillId="7" borderId="2" xfId="0" applyFont="1" applyFill="1" applyBorder="1" applyAlignment="1">
      <alignment horizontal="center" vertical="center"/>
    </xf>
    <xf numFmtId="0" fontId="0" fillId="17" borderId="5" xfId="0" applyFill="1" applyBorder="1" applyAlignment="1">
      <alignment horizontal="right"/>
    </xf>
    <xf numFmtId="14" fontId="0" fillId="17" borderId="0" xfId="0" applyNumberFormat="1" applyFill="1" applyAlignment="1">
      <alignment horizontal="center"/>
    </xf>
    <xf numFmtId="0" fontId="0" fillId="17" borderId="5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/>
    </xf>
    <xf numFmtId="14" fontId="7" fillId="17" borderId="5" xfId="0" applyNumberFormat="1" applyFont="1" applyFill="1" applyBorder="1" applyAlignment="1">
      <alignment horizontal="center" vertical="center"/>
    </xf>
    <xf numFmtId="0" fontId="7" fillId="17" borderId="5" xfId="0" applyFont="1" applyFill="1" applyBorder="1" applyAlignment="1">
      <alignment horizontal="center"/>
    </xf>
    <xf numFmtId="4" fontId="0" fillId="0" borderId="5" xfId="0" applyNumberFormat="1" applyBorder="1"/>
    <xf numFmtId="3" fontId="0" fillId="17" borderId="5" xfId="0" applyNumberFormat="1" applyFill="1" applyBorder="1" applyAlignment="1">
      <alignment horizontal="center" vertical="center"/>
    </xf>
    <xf numFmtId="0" fontId="0" fillId="3" borderId="0" xfId="0" applyFill="1"/>
    <xf numFmtId="166" fontId="5" fillId="3" borderId="6" xfId="0" applyNumberFormat="1" applyFont="1" applyFill="1" applyBorder="1" applyAlignment="1">
      <alignment wrapText="1"/>
    </xf>
    <xf numFmtId="166" fontId="6" fillId="3" borderId="5" xfId="0" applyNumberFormat="1" applyFont="1" applyFill="1" applyBorder="1" applyAlignment="1">
      <alignment wrapText="1"/>
    </xf>
    <xf numFmtId="166" fontId="5" fillId="3" borderId="5" xfId="0" applyNumberFormat="1" applyFont="1" applyFill="1" applyBorder="1" applyAlignment="1">
      <alignment wrapText="1"/>
    </xf>
    <xf numFmtId="0" fontId="5" fillId="3" borderId="5" xfId="0" applyFont="1" applyFill="1" applyBorder="1"/>
    <xf numFmtId="166" fontId="5" fillId="3" borderId="14" xfId="0" applyNumberFormat="1" applyFont="1" applyFill="1" applyBorder="1" applyAlignment="1">
      <alignment wrapText="1"/>
    </xf>
    <xf numFmtId="3" fontId="0" fillId="17" borderId="5" xfId="0" applyNumberFormat="1" applyFill="1" applyBorder="1" applyAlignment="1">
      <alignment horizontal="center"/>
    </xf>
    <xf numFmtId="0" fontId="8" fillId="17" borderId="0" xfId="0" applyFont="1" applyFill="1"/>
    <xf numFmtId="0" fontId="4" fillId="3" borderId="0" xfId="0" applyFont="1" applyFill="1"/>
    <xf numFmtId="0" fontId="3" fillId="17" borderId="5" xfId="0" applyFont="1" applyFill="1" applyBorder="1" applyAlignment="1">
      <alignment horizontal="center"/>
    </xf>
    <xf numFmtId="0" fontId="0" fillId="17" borderId="2" xfId="0" applyFill="1" applyBorder="1"/>
    <xf numFmtId="0" fontId="4" fillId="17" borderId="6" xfId="0" applyFont="1" applyFill="1" applyBorder="1"/>
    <xf numFmtId="49" fontId="4" fillId="17" borderId="6" xfId="0" applyNumberFormat="1" applyFont="1" applyFill="1" applyBorder="1" applyAlignment="1">
      <alignment horizontal="center"/>
    </xf>
    <xf numFmtId="14" fontId="4" fillId="17" borderId="6" xfId="0" applyNumberFormat="1" applyFont="1" applyFill="1" applyBorder="1" applyAlignment="1">
      <alignment horizontal="center" vertical="center"/>
    </xf>
    <xf numFmtId="3" fontId="4" fillId="17" borderId="8" xfId="0" applyNumberFormat="1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7" fillId="17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17" borderId="0" xfId="0" applyFill="1" applyAlignment="1">
      <alignment horizontal="center" vertical="center"/>
    </xf>
    <xf numFmtId="0" fontId="11" fillId="0" borderId="5" xfId="0" applyFont="1" applyBorder="1" applyAlignment="1">
      <alignment horizontal="center"/>
    </xf>
    <xf numFmtId="14" fontId="12" fillId="0" borderId="0" xfId="0" applyNumberFormat="1" applyFont="1"/>
    <xf numFmtId="0" fontId="12" fillId="0" borderId="0" xfId="0" applyFont="1"/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13" fillId="16" borderId="17" xfId="0" applyFont="1" applyFill="1" applyBorder="1" applyAlignment="1">
      <alignment horizontal="center" vertical="center"/>
    </xf>
    <xf numFmtId="0" fontId="14" fillId="14" borderId="19" xfId="0" applyFont="1" applyFill="1" applyBorder="1" applyAlignment="1">
      <alignment horizontal="center" vertical="center" wrapText="1"/>
    </xf>
    <xf numFmtId="166" fontId="15" fillId="14" borderId="19" xfId="0" applyNumberFormat="1" applyFont="1" applyFill="1" applyBorder="1" applyAlignment="1">
      <alignment horizontal="center"/>
    </xf>
    <xf numFmtId="1" fontId="4" fillId="14" borderId="20" xfId="0" applyNumberFormat="1" applyFont="1" applyFill="1" applyBorder="1" applyAlignment="1">
      <alignment horizontal="center" shrinkToFit="1"/>
    </xf>
    <xf numFmtId="1" fontId="16" fillId="3" borderId="19" xfId="0" applyNumberFormat="1" applyFont="1" applyFill="1" applyBorder="1" applyAlignment="1">
      <alignment horizontal="center" shrinkToFit="1"/>
    </xf>
    <xf numFmtId="0" fontId="14" fillId="14" borderId="21" xfId="0" applyFont="1" applyFill="1" applyBorder="1" applyAlignment="1">
      <alignment horizontal="center" vertical="center" wrapText="1"/>
    </xf>
    <xf numFmtId="166" fontId="15" fillId="14" borderId="22" xfId="0" applyNumberFormat="1" applyFont="1" applyFill="1" applyBorder="1" applyAlignment="1">
      <alignment horizontal="center"/>
    </xf>
    <xf numFmtId="1" fontId="4" fillId="14" borderId="23" xfId="0" applyNumberFormat="1" applyFont="1" applyFill="1" applyBorder="1" applyAlignment="1">
      <alignment horizontal="center" shrinkToFit="1"/>
    </xf>
    <xf numFmtId="1" fontId="16" fillId="3" borderId="24" xfId="0" applyNumberFormat="1" applyFont="1" applyFill="1" applyBorder="1" applyAlignment="1">
      <alignment horizontal="center" shrinkToFit="1"/>
    </xf>
    <xf numFmtId="0" fontId="14" fillId="14" borderId="22" xfId="0" applyFont="1" applyFill="1" applyBorder="1" applyAlignment="1">
      <alignment horizontal="center" vertical="center" wrapText="1"/>
    </xf>
    <xf numFmtId="0" fontId="14" fillId="14" borderId="25" xfId="0" applyFont="1" applyFill="1" applyBorder="1" applyAlignment="1">
      <alignment horizontal="center" vertical="center" wrapText="1"/>
    </xf>
    <xf numFmtId="166" fontId="15" fillId="14" borderId="26" xfId="0" applyNumberFormat="1" applyFont="1" applyFill="1" applyBorder="1" applyAlignment="1">
      <alignment horizontal="center"/>
    </xf>
    <xf numFmtId="1" fontId="4" fillId="14" borderId="27" xfId="0" applyNumberFormat="1" applyFont="1" applyFill="1" applyBorder="1" applyAlignment="1">
      <alignment horizontal="center" shrinkToFit="1"/>
    </xf>
    <xf numFmtId="1" fontId="16" fillId="3" borderId="28" xfId="0" applyNumberFormat="1" applyFont="1" applyFill="1" applyBorder="1" applyAlignment="1">
      <alignment horizontal="center" shrinkToFit="1"/>
    </xf>
    <xf numFmtId="1" fontId="0" fillId="0" borderId="0" xfId="0" applyNumberFormat="1"/>
    <xf numFmtId="0" fontId="17" fillId="19" borderId="29" xfId="0" applyFont="1" applyFill="1" applyBorder="1" applyAlignment="1">
      <alignment horizontal="center" vertical="center" wrapText="1"/>
    </xf>
    <xf numFmtId="166" fontId="17" fillId="19" borderId="19" xfId="0" applyNumberFormat="1" applyFont="1" applyFill="1" applyBorder="1" applyAlignment="1">
      <alignment horizontal="center"/>
    </xf>
    <xf numFmtId="1" fontId="9" fillId="3" borderId="19" xfId="0" applyNumberFormat="1" applyFont="1" applyFill="1" applyBorder="1" applyAlignment="1">
      <alignment horizontal="center" shrinkToFit="1"/>
    </xf>
    <xf numFmtId="0" fontId="17" fillId="19" borderId="30" xfId="0" applyFont="1" applyFill="1" applyBorder="1" applyAlignment="1">
      <alignment horizontal="center" vertical="center" wrapText="1"/>
    </xf>
    <xf numFmtId="166" fontId="17" fillId="19" borderId="22" xfId="0" applyNumberFormat="1" applyFont="1" applyFill="1" applyBorder="1" applyAlignment="1">
      <alignment horizontal="center"/>
    </xf>
    <xf numFmtId="1" fontId="9" fillId="3" borderId="22" xfId="0" applyNumberFormat="1" applyFont="1" applyFill="1" applyBorder="1" applyAlignment="1">
      <alignment horizontal="center" shrinkToFit="1"/>
    </xf>
    <xf numFmtId="0" fontId="17" fillId="19" borderId="21" xfId="0" applyFont="1" applyFill="1" applyBorder="1" applyAlignment="1">
      <alignment horizontal="center" vertical="center" wrapText="1"/>
    </xf>
    <xf numFmtId="0" fontId="14" fillId="19" borderId="21" xfId="0" applyFont="1" applyFill="1" applyBorder="1" applyAlignment="1">
      <alignment horizontal="center" vertical="center" wrapText="1"/>
    </xf>
    <xf numFmtId="166" fontId="17" fillId="19" borderId="31" xfId="0" applyNumberFormat="1" applyFont="1" applyFill="1" applyBorder="1" applyAlignment="1">
      <alignment horizontal="center"/>
    </xf>
    <xf numFmtId="0" fontId="17" fillId="19" borderId="22" xfId="0" applyFont="1" applyFill="1" applyBorder="1" applyAlignment="1">
      <alignment horizontal="center" vertical="center" wrapText="1"/>
    </xf>
    <xf numFmtId="0" fontId="17" fillId="19" borderId="32" xfId="0" applyFont="1" applyFill="1" applyBorder="1" applyAlignment="1">
      <alignment horizontal="center" vertical="center" wrapText="1"/>
    </xf>
    <xf numFmtId="0" fontId="17" fillId="19" borderId="25" xfId="0" applyFont="1" applyFill="1" applyBorder="1" applyAlignment="1">
      <alignment horizontal="center" vertical="center" wrapText="1"/>
    </xf>
    <xf numFmtId="166" fontId="17" fillId="19" borderId="26" xfId="0" applyNumberFormat="1" applyFont="1" applyFill="1" applyBorder="1" applyAlignment="1">
      <alignment horizontal="center"/>
    </xf>
    <xf numFmtId="1" fontId="9" fillId="3" borderId="26" xfId="0" applyNumberFormat="1" applyFont="1" applyFill="1" applyBorder="1" applyAlignment="1">
      <alignment horizontal="center" shrinkToFit="1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3" fillId="17" borderId="33" xfId="0" applyFont="1" applyFill="1" applyBorder="1" applyAlignment="1">
      <alignment horizontal="center" vertical="center"/>
    </xf>
    <xf numFmtId="0" fontId="13" fillId="17" borderId="18" xfId="0" applyFont="1" applyFill="1" applyBorder="1" applyAlignment="1">
      <alignment horizontal="center" vertical="center"/>
    </xf>
    <xf numFmtId="0" fontId="15" fillId="10" borderId="19" xfId="0" applyFont="1" applyFill="1" applyBorder="1" applyAlignment="1">
      <alignment horizontal="left" vertical="center" wrapText="1"/>
    </xf>
    <xf numFmtId="2" fontId="15" fillId="10" borderId="19" xfId="0" applyNumberFormat="1" applyFont="1" applyFill="1" applyBorder="1" applyAlignment="1">
      <alignment horizontal="center"/>
    </xf>
    <xf numFmtId="1" fontId="4" fillId="10" borderId="3" xfId="0" applyNumberFormat="1" applyFont="1" applyFill="1" applyBorder="1" applyAlignment="1">
      <alignment horizontal="center" shrinkToFit="1"/>
    </xf>
    <xf numFmtId="0" fontId="15" fillId="10" borderId="21" xfId="0" applyFont="1" applyFill="1" applyBorder="1" applyAlignment="1">
      <alignment horizontal="left" vertical="center" wrapText="1"/>
    </xf>
    <xf numFmtId="166" fontId="15" fillId="10" borderId="22" xfId="0" applyNumberFormat="1" applyFont="1" applyFill="1" applyBorder="1" applyAlignment="1">
      <alignment horizontal="center"/>
    </xf>
    <xf numFmtId="0" fontId="15" fillId="10" borderId="22" xfId="0" applyFont="1" applyFill="1" applyBorder="1" applyAlignment="1">
      <alignment horizontal="left" vertical="center" wrapText="1"/>
    </xf>
    <xf numFmtId="0" fontId="15" fillId="10" borderId="32" xfId="0" applyFont="1" applyFill="1" applyBorder="1" applyAlignment="1">
      <alignment horizontal="left" vertical="center" wrapText="1"/>
    </xf>
    <xf numFmtId="166" fontId="15" fillId="10" borderId="31" xfId="0" applyNumberFormat="1" applyFont="1" applyFill="1" applyBorder="1" applyAlignment="1">
      <alignment horizontal="center"/>
    </xf>
    <xf numFmtId="2" fontId="15" fillId="10" borderId="22" xfId="0" applyNumberFormat="1" applyFont="1" applyFill="1" applyBorder="1" applyAlignment="1">
      <alignment horizontal="center"/>
    </xf>
    <xf numFmtId="0" fontId="15" fillId="9" borderId="32" xfId="0" applyFont="1" applyFill="1" applyBorder="1" applyAlignment="1">
      <alignment horizontal="left" vertical="center" wrapText="1"/>
    </xf>
    <xf numFmtId="166" fontId="15" fillId="9" borderId="22" xfId="0" applyNumberFormat="1" applyFont="1" applyFill="1" applyBorder="1" applyAlignment="1">
      <alignment horizontal="center"/>
    </xf>
    <xf numFmtId="1" fontId="4" fillId="9" borderId="3" xfId="0" applyNumberFormat="1" applyFont="1" applyFill="1" applyBorder="1" applyAlignment="1">
      <alignment horizontal="center" shrinkToFit="1"/>
    </xf>
    <xf numFmtId="0" fontId="15" fillId="9" borderId="21" xfId="0" applyFont="1" applyFill="1" applyBorder="1" applyAlignment="1">
      <alignment horizontal="left" vertical="center" wrapText="1"/>
    </xf>
    <xf numFmtId="0" fontId="15" fillId="9" borderId="30" xfId="0" applyFont="1" applyFill="1" applyBorder="1" applyAlignment="1">
      <alignment horizontal="left" vertical="center" wrapText="1"/>
    </xf>
    <xf numFmtId="0" fontId="18" fillId="9" borderId="30" xfId="0" applyFont="1" applyFill="1" applyBorder="1" applyAlignment="1">
      <alignment horizontal="left" vertical="center" wrapText="1"/>
    </xf>
    <xf numFmtId="166" fontId="18" fillId="9" borderId="22" xfId="0" applyNumberFormat="1" applyFont="1" applyFill="1" applyBorder="1" applyAlignment="1">
      <alignment horizontal="center"/>
    </xf>
    <xf numFmtId="0" fontId="18" fillId="9" borderId="21" xfId="0" applyFont="1" applyFill="1" applyBorder="1" applyAlignment="1">
      <alignment horizontal="left" vertical="center" wrapText="1"/>
    </xf>
    <xf numFmtId="166" fontId="18" fillId="9" borderId="31" xfId="0" applyNumberFormat="1" applyFont="1" applyFill="1" applyBorder="1" applyAlignment="1">
      <alignment horizontal="center"/>
    </xf>
    <xf numFmtId="2" fontId="15" fillId="9" borderId="22" xfId="0" applyNumberFormat="1" applyFont="1" applyFill="1" applyBorder="1" applyAlignment="1">
      <alignment horizontal="center"/>
    </xf>
    <xf numFmtId="2" fontId="18" fillId="9" borderId="22" xfId="0" applyNumberFormat="1" applyFont="1" applyFill="1" applyBorder="1" applyAlignment="1">
      <alignment horizontal="center"/>
    </xf>
    <xf numFmtId="0" fontId="18" fillId="9" borderId="32" xfId="0" applyFont="1" applyFill="1" applyBorder="1" applyAlignment="1">
      <alignment horizontal="left" vertical="center" wrapText="1"/>
    </xf>
    <xf numFmtId="0" fontId="18" fillId="9" borderId="22" xfId="0" applyFont="1" applyFill="1" applyBorder="1" applyAlignment="1">
      <alignment horizontal="left" vertical="center" wrapText="1"/>
    </xf>
    <xf numFmtId="0" fontId="18" fillId="9" borderId="34" xfId="0" applyFont="1" applyFill="1" applyBorder="1" applyAlignment="1">
      <alignment horizontal="left" vertical="center" wrapText="1"/>
    </xf>
    <xf numFmtId="166" fontId="18" fillId="9" borderId="35" xfId="0" applyNumberFormat="1" applyFont="1" applyFill="1" applyBorder="1" applyAlignment="1">
      <alignment horizontal="center"/>
    </xf>
    <xf numFmtId="1" fontId="16" fillId="3" borderId="31" xfId="0" applyNumberFormat="1" applyFont="1" applyFill="1" applyBorder="1" applyAlignment="1">
      <alignment horizontal="center" shrinkToFit="1"/>
    </xf>
    <xf numFmtId="166" fontId="18" fillId="9" borderId="26" xfId="0" applyNumberFormat="1" applyFont="1" applyFill="1" applyBorder="1" applyAlignment="1">
      <alignment horizontal="center"/>
    </xf>
    <xf numFmtId="0" fontId="1" fillId="17" borderId="5" xfId="0" applyFont="1" applyFill="1" applyBorder="1"/>
    <xf numFmtId="0" fontId="3" fillId="12" borderId="2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0" fillId="13" borderId="1" xfId="0" applyFill="1" applyBorder="1" applyAlignment="1">
      <alignment horizontal="center" wrapText="1"/>
    </xf>
    <xf numFmtId="0" fontId="0" fillId="13" borderId="7" xfId="0" applyFill="1" applyBorder="1" applyAlignment="1">
      <alignment horizontal="center" wrapText="1"/>
    </xf>
    <xf numFmtId="0" fontId="0" fillId="17" borderId="1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4" fillId="17" borderId="7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втор" id="{F8679264-1AD6-4F15-6087-2F6020875F39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0" personId="{F8679264-1AD6-4F15-6087-2F6020875F39}" id="{003C006D-0091-4F1D-8BC2-009E00850050}" done="0">
    <text xml:space="preserve">участок Кутын — везем на г.Хабаровск ул.Халтурина 3А литер П — получатель — ХГРП — тел 89841347676
</text>
  </threadedComment>
  <threadedComment ref="H86" personId="{F8679264-1AD6-4F15-6087-2F6020875F39}" id="{008300AC-00E7-4E60-88E2-000F00F600FC}" done="0">
    <text xml:space="preserve">уч.Сухопитская — везем до терминала г.Красноярск — получатель ф.л. Овичнников Василий Сергеевич паспорт 7600 629016 тел. 89835094085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9"/>
  <sheetViews>
    <sheetView topLeftCell="D1" zoomScale="70" zoomScaleNormal="70" workbookViewId="0">
      <pane ySplit="3" topLeftCell="A4" activePane="bottomLeft" state="frozen"/>
      <selection activeCell="H37" sqref="H37"/>
      <selection pane="bottomLeft" activeCell="F11" sqref="F11:F62"/>
    </sheetView>
  </sheetViews>
  <sheetFormatPr defaultRowHeight="15" x14ac:dyDescent="0.25"/>
  <cols>
    <col min="1" max="1" width="22.42578125" style="1" customWidth="1"/>
    <col min="2" max="2" width="23.7109375" customWidth="1"/>
    <col min="3" max="3" width="29" bestFit="1" customWidth="1"/>
    <col min="4" max="4" width="65.5703125" bestFit="1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34.28515625" bestFit="1" customWidth="1"/>
    <col min="14" max="14" width="14.140625" style="2" customWidth="1"/>
    <col min="18" max="18" width="27.140625" customWidth="1"/>
    <col min="19" max="19" width="25.140625" customWidth="1"/>
    <col min="20" max="20" width="20" customWidth="1"/>
    <col min="21" max="21" width="15.42578125" customWidth="1"/>
  </cols>
  <sheetData>
    <row r="1" spans="1:20" s="3" customFormat="1" ht="17.25" x14ac:dyDescent="0.3">
      <c r="A1" s="4"/>
      <c r="B1" s="5" t="s">
        <v>0</v>
      </c>
      <c r="C1" s="6">
        <v>45261</v>
      </c>
      <c r="D1" s="5"/>
      <c r="E1" s="5"/>
      <c r="F1" s="5"/>
      <c r="H1" s="5"/>
      <c r="I1" s="5"/>
      <c r="J1" s="5"/>
      <c r="K1" s="7"/>
      <c r="L1" s="7"/>
      <c r="M1" s="7"/>
      <c r="N1" s="8"/>
      <c r="O1" s="7"/>
      <c r="P1" s="7"/>
      <c r="Q1" s="7"/>
    </row>
    <row r="2" spans="1:20" ht="25.5" customHeight="1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9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9" t="s">
        <v>19</v>
      </c>
      <c r="O3" s="14" t="s">
        <v>20</v>
      </c>
      <c r="P3" s="14" t="s">
        <v>21</v>
      </c>
      <c r="Q3" s="15" t="s">
        <v>22</v>
      </c>
      <c r="R3" s="227"/>
      <c r="S3" s="10" t="s">
        <v>23</v>
      </c>
      <c r="T3" s="16" t="s">
        <v>24</v>
      </c>
    </row>
    <row r="4" spans="1:20" s="17" customFormat="1" ht="13.5" customHeight="1" x14ac:dyDescent="0.25">
      <c r="A4" s="18"/>
      <c r="B4" s="19" t="s">
        <v>25</v>
      </c>
      <c r="C4" s="19" t="s">
        <v>26</v>
      </c>
      <c r="D4" s="20" t="s">
        <v>27</v>
      </c>
      <c r="E4" s="21" t="s">
        <v>28</v>
      </c>
      <c r="F4" s="22">
        <v>20000</v>
      </c>
      <c r="G4" s="18">
        <v>800</v>
      </c>
      <c r="H4" s="18" t="s">
        <v>29</v>
      </c>
      <c r="I4" s="18" t="s">
        <v>30</v>
      </c>
      <c r="J4" s="23">
        <v>45261</v>
      </c>
      <c r="K4" s="24" t="s">
        <v>31</v>
      </c>
      <c r="L4" s="25" t="s">
        <v>32</v>
      </c>
      <c r="M4" s="25" t="s">
        <v>33</v>
      </c>
      <c r="N4" s="25"/>
      <c r="O4" s="19">
        <v>20000</v>
      </c>
      <c r="P4" s="26"/>
      <c r="Q4" s="26"/>
      <c r="R4" s="26" t="s">
        <v>34</v>
      </c>
      <c r="S4" s="27">
        <v>41000</v>
      </c>
      <c r="T4" s="28">
        <f t="shared" ref="T4:T67" si="0">S4*(F4/1000)</f>
        <v>820000</v>
      </c>
    </row>
    <row r="5" spans="1:20" s="17" customFormat="1" ht="13.5" customHeight="1" x14ac:dyDescent="0.25">
      <c r="A5" s="228" t="s">
        <v>35</v>
      </c>
      <c r="B5" s="19" t="s">
        <v>36</v>
      </c>
      <c r="C5" s="19" t="s">
        <v>37</v>
      </c>
      <c r="D5" s="20" t="s">
        <v>38</v>
      </c>
      <c r="E5" s="21" t="s">
        <v>39</v>
      </c>
      <c r="F5" s="22">
        <v>8000</v>
      </c>
      <c r="G5" s="18">
        <v>40</v>
      </c>
      <c r="H5" s="18" t="s">
        <v>40</v>
      </c>
      <c r="I5" s="18" t="s">
        <v>30</v>
      </c>
      <c r="J5" s="23">
        <v>45261</v>
      </c>
      <c r="K5" s="24" t="s">
        <v>41</v>
      </c>
      <c r="L5" s="25" t="s">
        <v>42</v>
      </c>
      <c r="M5" s="25" t="s">
        <v>43</v>
      </c>
      <c r="N5" s="30"/>
      <c r="O5" s="26"/>
      <c r="P5" s="26"/>
      <c r="Q5" s="19">
        <v>8000</v>
      </c>
      <c r="R5" s="26" t="s">
        <v>34</v>
      </c>
      <c r="S5" s="31">
        <v>82000</v>
      </c>
      <c r="T5" s="28">
        <f t="shared" si="0"/>
        <v>656000</v>
      </c>
    </row>
    <row r="6" spans="1:20" s="17" customFormat="1" ht="13.5" customHeight="1" x14ac:dyDescent="0.25">
      <c r="A6" s="229"/>
      <c r="B6" s="19" t="s">
        <v>36</v>
      </c>
      <c r="C6" s="19" t="s">
        <v>37</v>
      </c>
      <c r="D6" s="20" t="s">
        <v>38</v>
      </c>
      <c r="E6" s="21" t="s">
        <v>44</v>
      </c>
      <c r="F6" s="22">
        <v>7200</v>
      </c>
      <c r="G6" s="18">
        <v>36</v>
      </c>
      <c r="H6" s="18" t="s">
        <v>40</v>
      </c>
      <c r="I6" s="18" t="s">
        <v>30</v>
      </c>
      <c r="J6" s="23">
        <v>45261</v>
      </c>
      <c r="K6" s="24"/>
      <c r="L6" s="25"/>
      <c r="M6" s="25"/>
      <c r="N6" s="30"/>
      <c r="O6" s="26"/>
      <c r="P6" s="26"/>
      <c r="Q6" s="19">
        <v>7200</v>
      </c>
      <c r="R6" s="26" t="s">
        <v>34</v>
      </c>
      <c r="S6" s="31">
        <v>82000</v>
      </c>
      <c r="T6" s="28">
        <f t="shared" si="0"/>
        <v>590400</v>
      </c>
    </row>
    <row r="7" spans="1:20" s="17" customFormat="1" ht="13.5" customHeight="1" x14ac:dyDescent="0.25">
      <c r="A7" s="229"/>
      <c r="B7" s="19" t="s">
        <v>36</v>
      </c>
      <c r="C7" s="19" t="s">
        <v>37</v>
      </c>
      <c r="D7" s="20" t="s">
        <v>38</v>
      </c>
      <c r="E7" s="21" t="s">
        <v>45</v>
      </c>
      <c r="F7" s="22">
        <v>1600</v>
      </c>
      <c r="G7" s="18">
        <v>8</v>
      </c>
      <c r="H7" s="18" t="s">
        <v>40</v>
      </c>
      <c r="I7" s="18" t="s">
        <v>30</v>
      </c>
      <c r="J7" s="23">
        <v>45261</v>
      </c>
      <c r="K7" s="24"/>
      <c r="L7" s="25"/>
      <c r="M7" s="25"/>
      <c r="N7" s="30"/>
      <c r="O7" s="26"/>
      <c r="P7" s="26"/>
      <c r="Q7" s="19">
        <v>1600</v>
      </c>
      <c r="R7" s="26" t="s">
        <v>34</v>
      </c>
      <c r="S7" s="31">
        <v>82000</v>
      </c>
      <c r="T7" s="28">
        <f t="shared" si="0"/>
        <v>131200</v>
      </c>
    </row>
    <row r="8" spans="1:20" s="17" customFormat="1" ht="13.5" customHeight="1" x14ac:dyDescent="0.25">
      <c r="A8" s="229"/>
      <c r="B8" s="19" t="s">
        <v>36</v>
      </c>
      <c r="C8" s="19" t="s">
        <v>37</v>
      </c>
      <c r="D8" s="20" t="s">
        <v>38</v>
      </c>
      <c r="E8" s="21" t="s">
        <v>46</v>
      </c>
      <c r="F8" s="22">
        <v>600</v>
      </c>
      <c r="G8" s="18">
        <v>3</v>
      </c>
      <c r="H8" s="18" t="s">
        <v>40</v>
      </c>
      <c r="I8" s="18" t="s">
        <v>30</v>
      </c>
      <c r="J8" s="23">
        <v>45261</v>
      </c>
      <c r="K8" s="24"/>
      <c r="L8" s="25"/>
      <c r="M8" s="25"/>
      <c r="N8" s="30"/>
      <c r="O8" s="26"/>
      <c r="P8" s="26"/>
      <c r="Q8" s="19">
        <v>600</v>
      </c>
      <c r="R8" s="26" t="s">
        <v>34</v>
      </c>
      <c r="S8" s="31">
        <v>82000</v>
      </c>
      <c r="T8" s="28">
        <f t="shared" si="0"/>
        <v>49200</v>
      </c>
    </row>
    <row r="9" spans="1:20" s="17" customFormat="1" ht="13.5" customHeight="1" x14ac:dyDescent="0.25">
      <c r="A9" s="230"/>
      <c r="B9" s="19" t="s">
        <v>36</v>
      </c>
      <c r="C9" s="19" t="s">
        <v>37</v>
      </c>
      <c r="D9" s="20" t="s">
        <v>38</v>
      </c>
      <c r="E9" s="21" t="s">
        <v>47</v>
      </c>
      <c r="F9" s="22">
        <v>200</v>
      </c>
      <c r="G9" s="18">
        <v>1</v>
      </c>
      <c r="H9" s="18" t="s">
        <v>40</v>
      </c>
      <c r="I9" s="18" t="s">
        <v>30</v>
      </c>
      <c r="J9" s="23">
        <v>45261</v>
      </c>
      <c r="K9" s="24"/>
      <c r="L9" s="25"/>
      <c r="M9" s="25"/>
      <c r="N9" s="30"/>
      <c r="O9" s="26"/>
      <c r="P9" s="26"/>
      <c r="Q9" s="19">
        <v>200</v>
      </c>
      <c r="R9" s="26" t="s">
        <v>34</v>
      </c>
      <c r="S9" s="31">
        <v>82000</v>
      </c>
      <c r="T9" s="28">
        <f t="shared" si="0"/>
        <v>16400</v>
      </c>
    </row>
    <row r="10" spans="1:20" s="17" customFormat="1" ht="13.5" customHeight="1" x14ac:dyDescent="0.25">
      <c r="A10" s="18"/>
      <c r="B10" s="19" t="s">
        <v>48</v>
      </c>
      <c r="C10" s="19" t="s">
        <v>49</v>
      </c>
      <c r="D10" s="20" t="s">
        <v>50</v>
      </c>
      <c r="E10" s="33" t="s">
        <v>51</v>
      </c>
      <c r="F10" s="22">
        <v>4000</v>
      </c>
      <c r="G10" s="18">
        <v>20</v>
      </c>
      <c r="H10" s="18" t="s">
        <v>52</v>
      </c>
      <c r="I10" s="18" t="s">
        <v>30</v>
      </c>
      <c r="J10" s="23">
        <v>45261</v>
      </c>
      <c r="K10" s="24" t="s">
        <v>53</v>
      </c>
      <c r="L10" s="34" t="s">
        <v>54</v>
      </c>
      <c r="M10" s="25" t="s">
        <v>55</v>
      </c>
      <c r="N10" s="30"/>
      <c r="O10" s="26"/>
      <c r="P10" s="26"/>
      <c r="Q10" s="19">
        <v>4000</v>
      </c>
      <c r="R10" s="26" t="s">
        <v>34</v>
      </c>
      <c r="S10" s="27">
        <v>167000</v>
      </c>
      <c r="T10" s="28">
        <f t="shared" si="0"/>
        <v>668000</v>
      </c>
    </row>
    <row r="11" spans="1:20" s="17" customFormat="1" ht="13.5" customHeight="1" x14ac:dyDescent="0.25">
      <c r="A11" s="32" t="s">
        <v>35</v>
      </c>
      <c r="B11" s="19" t="s">
        <v>56</v>
      </c>
      <c r="C11" s="19" t="s">
        <v>57</v>
      </c>
      <c r="D11" s="20" t="s">
        <v>58</v>
      </c>
      <c r="E11" s="21" t="s">
        <v>59</v>
      </c>
      <c r="F11" s="22">
        <v>19845</v>
      </c>
      <c r="G11" s="18">
        <v>875</v>
      </c>
      <c r="H11" s="18" t="s">
        <v>60</v>
      </c>
      <c r="I11" s="18" t="s">
        <v>30</v>
      </c>
      <c r="J11" s="23">
        <v>45264</v>
      </c>
      <c r="K11" s="26" t="s">
        <v>61</v>
      </c>
      <c r="L11" s="35" t="s">
        <v>62</v>
      </c>
      <c r="M11" s="26" t="s">
        <v>63</v>
      </c>
      <c r="N11" s="25"/>
      <c r="O11" s="19">
        <v>19845</v>
      </c>
      <c r="P11" s="26"/>
      <c r="Q11" s="22"/>
      <c r="R11" s="26" t="s">
        <v>34</v>
      </c>
      <c r="S11" s="27">
        <v>49500</v>
      </c>
      <c r="T11" s="28">
        <f t="shared" si="0"/>
        <v>982327.5</v>
      </c>
    </row>
    <row r="12" spans="1:20" s="17" customFormat="1" x14ac:dyDescent="0.25">
      <c r="A12" s="18"/>
      <c r="B12" s="22" t="s">
        <v>64</v>
      </c>
      <c r="C12" s="22" t="s">
        <v>65</v>
      </c>
      <c r="D12" s="20" t="s">
        <v>66</v>
      </c>
      <c r="E12" s="21" t="s">
        <v>47</v>
      </c>
      <c r="F12" s="22">
        <v>4000</v>
      </c>
      <c r="G12" s="18">
        <v>20</v>
      </c>
      <c r="H12" s="18" t="s">
        <v>29</v>
      </c>
      <c r="I12" s="18" t="s">
        <v>30</v>
      </c>
      <c r="J12" s="23">
        <v>45264</v>
      </c>
      <c r="K12" s="36" t="s">
        <v>67</v>
      </c>
      <c r="L12" s="37" t="s">
        <v>68</v>
      </c>
      <c r="M12" s="26" t="s">
        <v>69</v>
      </c>
      <c r="N12" s="26"/>
      <c r="O12" s="26"/>
      <c r="P12" s="26"/>
      <c r="Q12" s="22">
        <v>4000</v>
      </c>
      <c r="R12" s="26" t="s">
        <v>34</v>
      </c>
      <c r="S12" s="27">
        <v>89900</v>
      </c>
      <c r="T12" s="28">
        <f t="shared" si="0"/>
        <v>359600</v>
      </c>
    </row>
    <row r="13" spans="1:20" s="17" customFormat="1" ht="13.5" customHeight="1" x14ac:dyDescent="0.25">
      <c r="A13" s="228" t="s">
        <v>70</v>
      </c>
      <c r="B13" s="22" t="s">
        <v>64</v>
      </c>
      <c r="C13" s="22" t="s">
        <v>65</v>
      </c>
      <c r="D13" s="20" t="s">
        <v>66</v>
      </c>
      <c r="E13" s="21" t="s">
        <v>71</v>
      </c>
      <c r="F13" s="22">
        <v>200</v>
      </c>
      <c r="G13" s="18">
        <v>1</v>
      </c>
      <c r="H13" s="18" t="s">
        <v>29</v>
      </c>
      <c r="I13" s="18" t="s">
        <v>30</v>
      </c>
      <c r="J13" s="23">
        <v>45264</v>
      </c>
      <c r="K13" s="24"/>
      <c r="L13" s="35" t="s">
        <v>72</v>
      </c>
      <c r="M13" s="25"/>
      <c r="N13" s="30"/>
      <c r="O13" s="26"/>
      <c r="P13" s="26"/>
      <c r="Q13" s="19">
        <v>200</v>
      </c>
      <c r="R13" s="26" t="s">
        <v>34</v>
      </c>
      <c r="S13" s="27">
        <v>89900</v>
      </c>
      <c r="T13" s="28">
        <f t="shared" si="0"/>
        <v>17980</v>
      </c>
    </row>
    <row r="14" spans="1:20" s="17" customFormat="1" ht="13.5" customHeight="1" x14ac:dyDescent="0.25">
      <c r="A14" s="230"/>
      <c r="B14" s="22" t="s">
        <v>64</v>
      </c>
      <c r="C14" s="22" t="s">
        <v>65</v>
      </c>
      <c r="D14" s="20" t="s">
        <v>66</v>
      </c>
      <c r="E14" s="21" t="s">
        <v>73</v>
      </c>
      <c r="F14" s="22">
        <v>600</v>
      </c>
      <c r="G14" s="18">
        <v>3</v>
      </c>
      <c r="H14" s="18" t="s">
        <v>29</v>
      </c>
      <c r="I14" s="18" t="s">
        <v>30</v>
      </c>
      <c r="J14" s="23">
        <v>45264</v>
      </c>
      <c r="K14" s="24"/>
      <c r="L14" s="34"/>
      <c r="M14" s="25"/>
      <c r="N14" s="30"/>
      <c r="O14" s="26"/>
      <c r="P14" s="26"/>
      <c r="Q14" s="19">
        <v>600</v>
      </c>
      <c r="R14" s="26" t="s">
        <v>34</v>
      </c>
      <c r="S14" s="27">
        <v>89900</v>
      </c>
      <c r="T14" s="28">
        <f t="shared" si="0"/>
        <v>53940</v>
      </c>
    </row>
    <row r="15" spans="1:20" s="17" customFormat="1" x14ac:dyDescent="0.25">
      <c r="A15" s="18"/>
      <c r="B15" s="22" t="s">
        <v>64</v>
      </c>
      <c r="C15" s="22" t="s">
        <v>65</v>
      </c>
      <c r="D15" s="20" t="s">
        <v>74</v>
      </c>
      <c r="E15" s="21" t="s">
        <v>75</v>
      </c>
      <c r="F15" s="22">
        <v>16000</v>
      </c>
      <c r="G15" s="18">
        <v>640</v>
      </c>
      <c r="H15" s="18" t="s">
        <v>29</v>
      </c>
      <c r="I15" s="18" t="s">
        <v>30</v>
      </c>
      <c r="J15" s="23">
        <v>45264</v>
      </c>
      <c r="K15" s="36"/>
      <c r="L15" s="26"/>
      <c r="M15" s="26"/>
      <c r="N15" s="26"/>
      <c r="O15" s="22">
        <v>16000</v>
      </c>
      <c r="P15" s="26"/>
      <c r="Q15" s="26"/>
      <c r="R15" s="26" t="s">
        <v>34</v>
      </c>
      <c r="S15" s="27">
        <v>45000</v>
      </c>
      <c r="T15" s="28">
        <f t="shared" si="0"/>
        <v>720000</v>
      </c>
    </row>
    <row r="16" spans="1:20" s="17" customFormat="1" ht="13.5" customHeight="1" x14ac:dyDescent="0.25">
      <c r="A16" s="18"/>
      <c r="B16" s="19" t="s">
        <v>25</v>
      </c>
      <c r="C16" s="19" t="s">
        <v>26</v>
      </c>
      <c r="D16" s="20" t="s">
        <v>27</v>
      </c>
      <c r="E16" s="21" t="s">
        <v>76</v>
      </c>
      <c r="F16" s="22">
        <v>20000</v>
      </c>
      <c r="G16" s="18">
        <v>800</v>
      </c>
      <c r="H16" s="18" t="s">
        <v>29</v>
      </c>
      <c r="I16" s="18" t="s">
        <v>30</v>
      </c>
      <c r="J16" s="23">
        <v>45264</v>
      </c>
      <c r="K16" s="24" t="s">
        <v>77</v>
      </c>
      <c r="L16" s="25" t="s">
        <v>78</v>
      </c>
      <c r="M16" s="25" t="s">
        <v>79</v>
      </c>
      <c r="N16" s="25"/>
      <c r="O16" s="19">
        <v>20000</v>
      </c>
      <c r="P16" s="26"/>
      <c r="Q16" s="26"/>
      <c r="R16" s="26" t="s">
        <v>34</v>
      </c>
      <c r="S16" s="27">
        <v>41000</v>
      </c>
      <c r="T16" s="28">
        <f t="shared" si="0"/>
        <v>820000</v>
      </c>
    </row>
    <row r="17" spans="1:20" s="17" customFormat="1" ht="13.5" customHeight="1" x14ac:dyDescent="0.25">
      <c r="A17" s="32" t="s">
        <v>35</v>
      </c>
      <c r="B17" s="19" t="s">
        <v>56</v>
      </c>
      <c r="C17" s="19" t="s">
        <v>57</v>
      </c>
      <c r="D17" s="20" t="s">
        <v>58</v>
      </c>
      <c r="E17" s="21" t="s">
        <v>80</v>
      </c>
      <c r="F17" s="22">
        <v>19845</v>
      </c>
      <c r="G17" s="18">
        <v>875</v>
      </c>
      <c r="H17" s="18" t="s">
        <v>60</v>
      </c>
      <c r="I17" s="18" t="s">
        <v>30</v>
      </c>
      <c r="J17" s="23">
        <v>45265</v>
      </c>
      <c r="K17" s="26" t="s">
        <v>81</v>
      </c>
      <c r="L17" s="35" t="s">
        <v>82</v>
      </c>
      <c r="M17" s="26" t="s">
        <v>83</v>
      </c>
      <c r="N17" s="25"/>
      <c r="O17" s="19">
        <v>19845</v>
      </c>
      <c r="P17" s="26"/>
      <c r="Q17" s="22"/>
      <c r="R17" s="26" t="s">
        <v>34</v>
      </c>
      <c r="S17" s="27">
        <v>49500</v>
      </c>
      <c r="T17" s="28">
        <f t="shared" si="0"/>
        <v>982327.5</v>
      </c>
    </row>
    <row r="18" spans="1:20" s="17" customFormat="1" ht="13.5" customHeight="1" x14ac:dyDescent="0.25">
      <c r="A18" s="18"/>
      <c r="B18" s="19" t="s">
        <v>84</v>
      </c>
      <c r="C18" s="19" t="s">
        <v>85</v>
      </c>
      <c r="D18" s="20" t="s">
        <v>86</v>
      </c>
      <c r="E18" s="21" t="s">
        <v>87</v>
      </c>
      <c r="F18" s="22">
        <v>20000</v>
      </c>
      <c r="G18" s="18">
        <v>800</v>
      </c>
      <c r="H18" s="18" t="s">
        <v>88</v>
      </c>
      <c r="I18" s="18" t="s">
        <v>30</v>
      </c>
      <c r="J18" s="23">
        <v>45266</v>
      </c>
      <c r="K18" s="35" t="s">
        <v>89</v>
      </c>
      <c r="L18" s="35" t="s">
        <v>90</v>
      </c>
      <c r="M18" s="35" t="s">
        <v>91</v>
      </c>
      <c r="N18" s="26"/>
      <c r="O18" s="19">
        <v>20000</v>
      </c>
      <c r="P18" s="26"/>
      <c r="Q18" s="26"/>
      <c r="R18" s="26" t="s">
        <v>34</v>
      </c>
      <c r="S18" s="27">
        <v>36200</v>
      </c>
      <c r="T18" s="28">
        <f t="shared" si="0"/>
        <v>724000</v>
      </c>
    </row>
    <row r="19" spans="1:20" s="17" customFormat="1" ht="13.5" customHeight="1" x14ac:dyDescent="0.25">
      <c r="A19" s="228" t="s">
        <v>92</v>
      </c>
      <c r="B19" s="19" t="s">
        <v>93</v>
      </c>
      <c r="C19" s="19" t="s">
        <v>57</v>
      </c>
      <c r="D19" s="20" t="s">
        <v>58</v>
      </c>
      <c r="E19" s="21" t="s">
        <v>94</v>
      </c>
      <c r="F19" s="22">
        <v>13494.6</v>
      </c>
      <c r="G19" s="18">
        <v>595</v>
      </c>
      <c r="H19" s="18" t="s">
        <v>95</v>
      </c>
      <c r="I19" s="18" t="s">
        <v>30</v>
      </c>
      <c r="J19" s="23">
        <v>45268</v>
      </c>
      <c r="K19" s="26"/>
      <c r="L19" s="35"/>
      <c r="M19" s="26"/>
      <c r="N19" s="25" t="s">
        <v>96</v>
      </c>
      <c r="O19" s="19">
        <v>13494.6</v>
      </c>
      <c r="P19" s="26"/>
      <c r="Q19" s="22"/>
      <c r="R19" s="26" t="s">
        <v>34</v>
      </c>
      <c r="S19" s="27">
        <v>49500</v>
      </c>
      <c r="T19" s="28">
        <f t="shared" si="0"/>
        <v>667982.69999999995</v>
      </c>
    </row>
    <row r="20" spans="1:20" s="17" customFormat="1" ht="14.25" customHeight="1" x14ac:dyDescent="0.25">
      <c r="A20" s="230"/>
      <c r="B20" s="22" t="s">
        <v>97</v>
      </c>
      <c r="C20" s="22" t="s">
        <v>57</v>
      </c>
      <c r="D20" s="20" t="s">
        <v>98</v>
      </c>
      <c r="E20" s="33" t="s">
        <v>99</v>
      </c>
      <c r="F20" s="22">
        <v>2250</v>
      </c>
      <c r="G20" s="18">
        <v>90</v>
      </c>
      <c r="H20" s="18" t="s">
        <v>95</v>
      </c>
      <c r="I20" s="18" t="s">
        <v>30</v>
      </c>
      <c r="J20" s="23">
        <v>45268</v>
      </c>
      <c r="K20" s="18"/>
      <c r="L20" s="26"/>
      <c r="M20" s="26"/>
      <c r="N20" s="25" t="s">
        <v>96</v>
      </c>
      <c r="O20" s="26"/>
      <c r="P20" s="26">
        <v>2250</v>
      </c>
      <c r="Q20" s="26"/>
      <c r="R20" s="26" t="s">
        <v>34</v>
      </c>
      <c r="S20" s="27">
        <v>275000</v>
      </c>
      <c r="T20" s="28">
        <f t="shared" si="0"/>
        <v>618750</v>
      </c>
    </row>
    <row r="21" spans="1:20" s="17" customFormat="1" ht="13.5" customHeight="1" x14ac:dyDescent="0.25">
      <c r="A21" s="32" t="s">
        <v>92</v>
      </c>
      <c r="B21" s="19" t="s">
        <v>100</v>
      </c>
      <c r="C21" s="19" t="s">
        <v>57</v>
      </c>
      <c r="D21" s="20" t="s">
        <v>58</v>
      </c>
      <c r="E21" s="21" t="s">
        <v>101</v>
      </c>
      <c r="F21" s="22">
        <v>15876</v>
      </c>
      <c r="G21" s="18">
        <v>700</v>
      </c>
      <c r="H21" s="18" t="s">
        <v>95</v>
      </c>
      <c r="I21" s="18" t="s">
        <v>30</v>
      </c>
      <c r="J21" s="23">
        <v>45268</v>
      </c>
      <c r="K21" s="26"/>
      <c r="L21" s="35"/>
      <c r="M21" s="26"/>
      <c r="N21" s="25" t="s">
        <v>102</v>
      </c>
      <c r="O21" s="19">
        <v>15876</v>
      </c>
      <c r="P21" s="26"/>
      <c r="Q21" s="22"/>
      <c r="R21" s="26" t="s">
        <v>34</v>
      </c>
      <c r="S21" s="27">
        <v>49500</v>
      </c>
      <c r="T21" s="28">
        <f t="shared" si="0"/>
        <v>785862</v>
      </c>
    </row>
    <row r="22" spans="1:20" s="17" customFormat="1" ht="13.5" customHeight="1" x14ac:dyDescent="0.25">
      <c r="A22" s="18" t="s">
        <v>35</v>
      </c>
      <c r="B22" s="19" t="s">
        <v>103</v>
      </c>
      <c r="C22" s="19" t="s">
        <v>85</v>
      </c>
      <c r="D22" s="20" t="s">
        <v>86</v>
      </c>
      <c r="E22" s="21" t="s">
        <v>87</v>
      </c>
      <c r="F22" s="22">
        <v>20000</v>
      </c>
      <c r="G22" s="18">
        <v>800</v>
      </c>
      <c r="H22" s="18" t="s">
        <v>104</v>
      </c>
      <c r="I22" s="18" t="s">
        <v>30</v>
      </c>
      <c r="J22" s="23">
        <v>45271</v>
      </c>
      <c r="K22" s="35" t="s">
        <v>105</v>
      </c>
      <c r="L22" s="35" t="s">
        <v>106</v>
      </c>
      <c r="M22" s="35" t="s">
        <v>107</v>
      </c>
      <c r="N22" s="26"/>
      <c r="O22" s="19">
        <v>20000</v>
      </c>
      <c r="P22" s="26"/>
      <c r="Q22" s="26"/>
      <c r="R22" s="26" t="s">
        <v>34</v>
      </c>
      <c r="S22" s="27">
        <v>36200</v>
      </c>
      <c r="T22" s="28">
        <f t="shared" si="0"/>
        <v>724000</v>
      </c>
    </row>
    <row r="23" spans="1:20" s="17" customFormat="1" ht="13.5" customHeight="1" x14ac:dyDescent="0.25">
      <c r="A23" s="228" t="s">
        <v>35</v>
      </c>
      <c r="B23" s="19" t="s">
        <v>108</v>
      </c>
      <c r="C23" s="19" t="s">
        <v>109</v>
      </c>
      <c r="D23" s="20" t="s">
        <v>110</v>
      </c>
      <c r="E23" s="21" t="s">
        <v>111</v>
      </c>
      <c r="F23" s="22">
        <v>4800</v>
      </c>
      <c r="G23" s="18">
        <v>24</v>
      </c>
      <c r="H23" s="18" t="s">
        <v>112</v>
      </c>
      <c r="I23" s="18" t="s">
        <v>30</v>
      </c>
      <c r="J23" s="23">
        <v>45271</v>
      </c>
      <c r="K23" s="24" t="s">
        <v>113</v>
      </c>
      <c r="L23" s="34" t="s">
        <v>114</v>
      </c>
      <c r="M23" s="25" t="s">
        <v>115</v>
      </c>
      <c r="N23" s="30"/>
      <c r="O23" s="26"/>
      <c r="P23" s="26"/>
      <c r="Q23" s="19">
        <v>4800</v>
      </c>
      <c r="R23" s="26" t="s">
        <v>34</v>
      </c>
      <c r="S23" s="27">
        <v>69000</v>
      </c>
      <c r="T23" s="28">
        <f t="shared" si="0"/>
        <v>331200</v>
      </c>
    </row>
    <row r="24" spans="1:20" s="17" customFormat="1" ht="13.5" customHeight="1" x14ac:dyDescent="0.25">
      <c r="A24" s="229"/>
      <c r="B24" s="19" t="s">
        <v>108</v>
      </c>
      <c r="C24" s="19" t="s">
        <v>109</v>
      </c>
      <c r="D24" s="20" t="s">
        <v>110</v>
      </c>
      <c r="E24" s="21" t="s">
        <v>116</v>
      </c>
      <c r="F24" s="22">
        <v>6400</v>
      </c>
      <c r="G24" s="18">
        <v>32</v>
      </c>
      <c r="H24" s="18" t="s">
        <v>112</v>
      </c>
      <c r="I24" s="18" t="s">
        <v>30</v>
      </c>
      <c r="J24" s="23">
        <v>45271</v>
      </c>
      <c r="K24" s="24"/>
      <c r="L24" s="34"/>
      <c r="M24" s="25"/>
      <c r="N24" s="30"/>
      <c r="O24" s="26"/>
      <c r="P24" s="26"/>
      <c r="Q24" s="19">
        <v>6400</v>
      </c>
      <c r="R24" s="26" t="s">
        <v>34</v>
      </c>
      <c r="S24" s="27">
        <v>69000</v>
      </c>
      <c r="T24" s="28">
        <f t="shared" si="0"/>
        <v>441600</v>
      </c>
    </row>
    <row r="25" spans="1:20" s="17" customFormat="1" ht="13.5" customHeight="1" x14ac:dyDescent="0.25">
      <c r="A25" s="230"/>
      <c r="B25" s="19" t="s">
        <v>108</v>
      </c>
      <c r="C25" s="19" t="s">
        <v>109</v>
      </c>
      <c r="D25" s="20" t="s">
        <v>110</v>
      </c>
      <c r="E25" s="21" t="s">
        <v>117</v>
      </c>
      <c r="F25" s="22">
        <v>6400</v>
      </c>
      <c r="G25" s="18">
        <v>32</v>
      </c>
      <c r="H25" s="18" t="s">
        <v>112</v>
      </c>
      <c r="I25" s="18" t="s">
        <v>30</v>
      </c>
      <c r="J25" s="23">
        <v>45271</v>
      </c>
      <c r="K25" s="24"/>
      <c r="L25" s="34"/>
      <c r="M25" s="25"/>
      <c r="N25" s="30"/>
      <c r="O25" s="26"/>
      <c r="P25" s="26"/>
      <c r="Q25" s="19">
        <v>6400</v>
      </c>
      <c r="R25" s="26" t="s">
        <v>34</v>
      </c>
      <c r="S25" s="27">
        <v>69000</v>
      </c>
      <c r="T25" s="28">
        <f t="shared" si="0"/>
        <v>441600</v>
      </c>
    </row>
    <row r="26" spans="1:20" s="17" customFormat="1" ht="13.5" customHeight="1" x14ac:dyDescent="0.25">
      <c r="A26" s="18"/>
      <c r="B26" s="19" t="s">
        <v>108</v>
      </c>
      <c r="C26" s="19" t="s">
        <v>109</v>
      </c>
      <c r="D26" s="20" t="s">
        <v>110</v>
      </c>
      <c r="E26" s="21" t="s">
        <v>118</v>
      </c>
      <c r="F26" s="22">
        <v>4800</v>
      </c>
      <c r="G26" s="18">
        <v>24</v>
      </c>
      <c r="H26" s="18" t="s">
        <v>112</v>
      </c>
      <c r="I26" s="18" t="s">
        <v>30</v>
      </c>
      <c r="J26" s="23">
        <v>45271</v>
      </c>
      <c r="K26" s="24" t="s">
        <v>119</v>
      </c>
      <c r="L26" s="34" t="s">
        <v>120</v>
      </c>
      <c r="M26" s="25" t="s">
        <v>121</v>
      </c>
      <c r="N26" s="30"/>
      <c r="O26" s="26"/>
      <c r="P26" s="26"/>
      <c r="Q26" s="19">
        <v>4800</v>
      </c>
      <c r="R26" s="26" t="s">
        <v>34</v>
      </c>
      <c r="S26" s="27">
        <v>69000</v>
      </c>
      <c r="T26" s="28">
        <f t="shared" si="0"/>
        <v>331200</v>
      </c>
    </row>
    <row r="27" spans="1:20" s="17" customFormat="1" ht="13.5" customHeight="1" x14ac:dyDescent="0.25">
      <c r="A27" s="18"/>
      <c r="B27" s="19" t="s">
        <v>108</v>
      </c>
      <c r="C27" s="19" t="s">
        <v>109</v>
      </c>
      <c r="D27" s="20" t="s">
        <v>110</v>
      </c>
      <c r="E27" s="21" t="s">
        <v>122</v>
      </c>
      <c r="F27" s="22">
        <v>5600</v>
      </c>
      <c r="G27" s="18">
        <v>28</v>
      </c>
      <c r="H27" s="18" t="s">
        <v>112</v>
      </c>
      <c r="I27" s="18" t="s">
        <v>30</v>
      </c>
      <c r="J27" s="23">
        <v>45271</v>
      </c>
      <c r="K27" s="24"/>
      <c r="L27" s="34"/>
      <c r="M27" s="25"/>
      <c r="N27" s="30"/>
      <c r="O27" s="26"/>
      <c r="P27" s="26"/>
      <c r="Q27" s="19">
        <v>5600</v>
      </c>
      <c r="R27" s="26" t="s">
        <v>34</v>
      </c>
      <c r="S27" s="27">
        <v>69000</v>
      </c>
      <c r="T27" s="28">
        <f t="shared" si="0"/>
        <v>386400</v>
      </c>
    </row>
    <row r="28" spans="1:20" s="17" customFormat="1" ht="13.5" customHeight="1" x14ac:dyDescent="0.25">
      <c r="A28" s="18"/>
      <c r="B28" s="19" t="s">
        <v>108</v>
      </c>
      <c r="C28" s="19" t="s">
        <v>109</v>
      </c>
      <c r="D28" s="20" t="s">
        <v>110</v>
      </c>
      <c r="E28" s="21" t="s">
        <v>123</v>
      </c>
      <c r="F28" s="22">
        <v>6400</v>
      </c>
      <c r="G28" s="18">
        <v>32</v>
      </c>
      <c r="H28" s="18" t="s">
        <v>112</v>
      </c>
      <c r="I28" s="18" t="s">
        <v>30</v>
      </c>
      <c r="J28" s="23">
        <v>45271</v>
      </c>
      <c r="K28" s="24"/>
      <c r="L28" s="34"/>
      <c r="M28" s="25"/>
      <c r="N28" s="30"/>
      <c r="O28" s="26"/>
      <c r="P28" s="26"/>
      <c r="Q28" s="19">
        <v>6400</v>
      </c>
      <c r="R28" s="26" t="s">
        <v>34</v>
      </c>
      <c r="S28" s="27">
        <v>69000</v>
      </c>
      <c r="T28" s="28">
        <f t="shared" si="0"/>
        <v>441600</v>
      </c>
    </row>
    <row r="29" spans="1:20" s="17" customFormat="1" ht="13.5" customHeight="1" x14ac:dyDescent="0.25">
      <c r="A29" s="228" t="s">
        <v>124</v>
      </c>
      <c r="B29" s="19" t="s">
        <v>108</v>
      </c>
      <c r="C29" s="19" t="s">
        <v>109</v>
      </c>
      <c r="D29" s="20" t="s">
        <v>110</v>
      </c>
      <c r="E29" s="21" t="s">
        <v>111</v>
      </c>
      <c r="F29" s="22">
        <v>200</v>
      </c>
      <c r="G29" s="18">
        <v>1</v>
      </c>
      <c r="H29" s="18" t="s">
        <v>112</v>
      </c>
      <c r="I29" s="18" t="s">
        <v>30</v>
      </c>
      <c r="J29" s="23">
        <v>45271</v>
      </c>
      <c r="K29" s="24"/>
      <c r="L29" s="34"/>
      <c r="M29" s="25"/>
      <c r="N29" s="30"/>
      <c r="O29" s="26"/>
      <c r="P29" s="26"/>
      <c r="Q29" s="19">
        <v>200</v>
      </c>
      <c r="R29" s="26" t="s">
        <v>34</v>
      </c>
      <c r="S29" s="27">
        <v>69000</v>
      </c>
      <c r="T29" s="28">
        <f t="shared" si="0"/>
        <v>13800</v>
      </c>
    </row>
    <row r="30" spans="1:20" s="17" customFormat="1" ht="13.5" customHeight="1" x14ac:dyDescent="0.25">
      <c r="A30" s="230"/>
      <c r="B30" s="19" t="s">
        <v>108</v>
      </c>
      <c r="C30" s="19" t="s">
        <v>109</v>
      </c>
      <c r="D30" s="20" t="s">
        <v>110</v>
      </c>
      <c r="E30" s="21" t="s">
        <v>116</v>
      </c>
      <c r="F30" s="22">
        <v>600</v>
      </c>
      <c r="G30" s="18">
        <v>3</v>
      </c>
      <c r="H30" s="18" t="s">
        <v>112</v>
      </c>
      <c r="I30" s="18" t="s">
        <v>30</v>
      </c>
      <c r="J30" s="23">
        <v>45271</v>
      </c>
      <c r="K30" s="24"/>
      <c r="L30" s="34"/>
      <c r="M30" s="25"/>
      <c r="N30" s="30"/>
      <c r="O30" s="26"/>
      <c r="P30" s="26"/>
      <c r="Q30" s="19">
        <v>600</v>
      </c>
      <c r="R30" s="26" t="s">
        <v>34</v>
      </c>
      <c r="S30" s="27">
        <v>69000</v>
      </c>
      <c r="T30" s="28">
        <f t="shared" si="0"/>
        <v>41400</v>
      </c>
    </row>
    <row r="31" spans="1:20" s="17" customFormat="1" ht="13.5" customHeight="1" x14ac:dyDescent="0.25">
      <c r="A31" s="18"/>
      <c r="B31" s="22" t="s">
        <v>125</v>
      </c>
      <c r="C31" s="22" t="s">
        <v>126</v>
      </c>
      <c r="D31" s="20" t="s">
        <v>127</v>
      </c>
      <c r="E31" s="21" t="s">
        <v>128</v>
      </c>
      <c r="F31" s="22">
        <v>20000</v>
      </c>
      <c r="G31" s="18">
        <v>800</v>
      </c>
      <c r="H31" s="18" t="s">
        <v>129</v>
      </c>
      <c r="I31" s="18" t="s">
        <v>30</v>
      </c>
      <c r="J31" s="23">
        <v>45271</v>
      </c>
      <c r="K31" s="24" t="s">
        <v>130</v>
      </c>
      <c r="L31" s="26" t="s">
        <v>131</v>
      </c>
      <c r="M31" s="26" t="s">
        <v>132</v>
      </c>
      <c r="N31" s="23"/>
      <c r="O31" s="22">
        <v>20000</v>
      </c>
      <c r="P31" s="19"/>
      <c r="Q31" s="26"/>
      <c r="R31" s="26" t="s">
        <v>34</v>
      </c>
      <c r="S31" s="27">
        <v>39000</v>
      </c>
      <c r="T31" s="28">
        <f t="shared" si="0"/>
        <v>780000</v>
      </c>
    </row>
    <row r="32" spans="1:20" s="38" customFormat="1" ht="13.5" customHeight="1" x14ac:dyDescent="0.25">
      <c r="A32" s="20"/>
      <c r="B32" s="22" t="s">
        <v>133</v>
      </c>
      <c r="C32" s="22" t="s">
        <v>134</v>
      </c>
      <c r="D32" s="20" t="s">
        <v>86</v>
      </c>
      <c r="E32" s="33" t="s">
        <v>135</v>
      </c>
      <c r="F32" s="22">
        <v>20000</v>
      </c>
      <c r="G32" s="20">
        <v>800</v>
      </c>
      <c r="H32" s="20" t="s">
        <v>29</v>
      </c>
      <c r="I32" s="20" t="s">
        <v>30</v>
      </c>
      <c r="J32" s="39">
        <v>45271</v>
      </c>
      <c r="K32" s="40" t="s">
        <v>136</v>
      </c>
      <c r="L32" s="41" t="s">
        <v>137</v>
      </c>
      <c r="M32" s="41" t="s">
        <v>138</v>
      </c>
      <c r="N32" s="41"/>
      <c r="O32" s="22">
        <v>20000</v>
      </c>
      <c r="P32" s="42"/>
      <c r="Q32" s="42"/>
      <c r="R32" s="42" t="s">
        <v>34</v>
      </c>
      <c r="S32" s="31">
        <v>39000</v>
      </c>
      <c r="T32" s="28">
        <f t="shared" si="0"/>
        <v>780000</v>
      </c>
    </row>
    <row r="33" spans="1:20" s="17" customFormat="1" ht="13.5" customHeight="1" x14ac:dyDescent="0.25">
      <c r="A33" s="32"/>
      <c r="B33" s="43" t="s">
        <v>48</v>
      </c>
      <c r="C33" s="43" t="s">
        <v>139</v>
      </c>
      <c r="D33" s="44" t="s">
        <v>140</v>
      </c>
      <c r="E33" s="45" t="s">
        <v>141</v>
      </c>
      <c r="F33" s="46">
        <v>4320</v>
      </c>
      <c r="G33" s="32">
        <v>24</v>
      </c>
      <c r="H33" s="32" t="s">
        <v>142</v>
      </c>
      <c r="I33" s="32" t="s">
        <v>30</v>
      </c>
      <c r="J33" s="47">
        <v>45272</v>
      </c>
      <c r="K33" s="48" t="s">
        <v>143</v>
      </c>
      <c r="L33" s="48" t="s">
        <v>144</v>
      </c>
      <c r="M33" s="49" t="s">
        <v>145</v>
      </c>
      <c r="N33" s="47"/>
      <c r="O33" s="50"/>
      <c r="P33" s="50"/>
      <c r="Q33" s="46">
        <v>4320</v>
      </c>
      <c r="R33" s="42" t="s">
        <v>34</v>
      </c>
      <c r="S33" s="51">
        <v>110000</v>
      </c>
      <c r="T33" s="28">
        <f t="shared" si="0"/>
        <v>475200.00000000006</v>
      </c>
    </row>
    <row r="34" spans="1:20" s="17" customFormat="1" ht="13.5" customHeight="1" x14ac:dyDescent="0.25">
      <c r="A34" s="18"/>
      <c r="B34" s="19" t="s">
        <v>146</v>
      </c>
      <c r="C34" s="19" t="s">
        <v>85</v>
      </c>
      <c r="D34" s="20" t="s">
        <v>147</v>
      </c>
      <c r="E34" s="33" t="s">
        <v>148</v>
      </c>
      <c r="F34" s="22">
        <v>17600</v>
      </c>
      <c r="G34" s="18">
        <v>88</v>
      </c>
      <c r="H34" s="18" t="s">
        <v>129</v>
      </c>
      <c r="I34" s="18" t="s">
        <v>30</v>
      </c>
      <c r="J34" s="23">
        <v>45273</v>
      </c>
      <c r="K34" s="35" t="s">
        <v>149</v>
      </c>
      <c r="L34" s="35" t="s">
        <v>150</v>
      </c>
      <c r="M34" s="35" t="s">
        <v>151</v>
      </c>
      <c r="N34" s="25"/>
      <c r="O34" s="26"/>
      <c r="P34" s="19"/>
      <c r="Q34" s="19">
        <v>17600</v>
      </c>
      <c r="R34" s="42" t="s">
        <v>34</v>
      </c>
      <c r="S34" s="27">
        <v>95000</v>
      </c>
      <c r="T34" s="28">
        <f t="shared" si="0"/>
        <v>1672000.0000000002</v>
      </c>
    </row>
    <row r="35" spans="1:20" s="17" customFormat="1" ht="13.5" customHeight="1" x14ac:dyDescent="0.25">
      <c r="A35" s="32" t="s">
        <v>92</v>
      </c>
      <c r="B35" s="19" t="s">
        <v>100</v>
      </c>
      <c r="C35" s="19" t="s">
        <v>57</v>
      </c>
      <c r="D35" s="20" t="s">
        <v>58</v>
      </c>
      <c r="E35" s="21" t="s">
        <v>152</v>
      </c>
      <c r="F35" s="22">
        <v>15876</v>
      </c>
      <c r="G35" s="18">
        <v>700</v>
      </c>
      <c r="H35" s="18" t="s">
        <v>95</v>
      </c>
      <c r="I35" s="18" t="s">
        <v>30</v>
      </c>
      <c r="J35" s="23">
        <v>45273</v>
      </c>
      <c r="K35" s="26"/>
      <c r="L35" s="35"/>
      <c r="M35" s="26"/>
      <c r="N35" s="25" t="s">
        <v>153</v>
      </c>
      <c r="O35" s="19">
        <v>15876</v>
      </c>
      <c r="P35" s="26"/>
      <c r="Q35" s="22"/>
      <c r="R35" s="26" t="s">
        <v>34</v>
      </c>
      <c r="S35" s="27">
        <v>49500</v>
      </c>
      <c r="T35" s="28">
        <f t="shared" si="0"/>
        <v>785862</v>
      </c>
    </row>
    <row r="36" spans="1:20" s="17" customFormat="1" ht="13.5" customHeight="1" x14ac:dyDescent="0.25">
      <c r="A36" s="228" t="s">
        <v>92</v>
      </c>
      <c r="B36" s="19" t="s">
        <v>154</v>
      </c>
      <c r="C36" s="19" t="s">
        <v>57</v>
      </c>
      <c r="D36" s="20" t="s">
        <v>155</v>
      </c>
      <c r="E36" s="21" t="s">
        <v>156</v>
      </c>
      <c r="F36" s="22">
        <v>7030</v>
      </c>
      <c r="G36" s="18">
        <v>38</v>
      </c>
      <c r="H36" s="18" t="s">
        <v>95</v>
      </c>
      <c r="I36" s="18" t="s">
        <v>30</v>
      </c>
      <c r="J36" s="23">
        <v>45273</v>
      </c>
      <c r="K36" s="18"/>
      <c r="L36" s="26"/>
      <c r="M36" s="26"/>
      <c r="N36" s="30" t="s">
        <v>157</v>
      </c>
      <c r="O36" s="26"/>
      <c r="P36" s="19"/>
      <c r="Q36" s="19">
        <v>7030</v>
      </c>
      <c r="R36" s="26" t="s">
        <v>34</v>
      </c>
      <c r="S36" s="27">
        <v>110800</v>
      </c>
      <c r="T36" s="28">
        <f t="shared" si="0"/>
        <v>778924</v>
      </c>
    </row>
    <row r="37" spans="1:20" s="17" customFormat="1" ht="13.5" customHeight="1" x14ac:dyDescent="0.25">
      <c r="A37" s="230"/>
      <c r="B37" s="19" t="s">
        <v>154</v>
      </c>
      <c r="C37" s="19" t="s">
        <v>57</v>
      </c>
      <c r="D37" s="20" t="s">
        <v>155</v>
      </c>
      <c r="E37" s="21" t="s">
        <v>80</v>
      </c>
      <c r="F37" s="22">
        <v>7770</v>
      </c>
      <c r="G37" s="18">
        <v>42</v>
      </c>
      <c r="H37" s="18" t="s">
        <v>95</v>
      </c>
      <c r="I37" s="18" t="s">
        <v>30</v>
      </c>
      <c r="J37" s="23">
        <v>45273</v>
      </c>
      <c r="K37" s="18"/>
      <c r="L37" s="26"/>
      <c r="M37" s="26"/>
      <c r="N37" s="30" t="s">
        <v>157</v>
      </c>
      <c r="O37" s="26"/>
      <c r="P37" s="19"/>
      <c r="Q37" s="19">
        <v>7770</v>
      </c>
      <c r="R37" s="26" t="s">
        <v>34</v>
      </c>
      <c r="S37" s="27">
        <v>110800</v>
      </c>
      <c r="T37" s="28">
        <f t="shared" si="0"/>
        <v>860916</v>
      </c>
    </row>
    <row r="38" spans="1:20" s="17" customFormat="1" ht="13.5" customHeight="1" x14ac:dyDescent="0.25">
      <c r="A38" s="18" t="s">
        <v>158</v>
      </c>
      <c r="B38" s="22" t="s">
        <v>159</v>
      </c>
      <c r="C38" s="22" t="s">
        <v>126</v>
      </c>
      <c r="D38" s="20" t="s">
        <v>127</v>
      </c>
      <c r="E38" s="21" t="s">
        <v>141</v>
      </c>
      <c r="F38" s="22">
        <v>17500</v>
      </c>
      <c r="G38" s="18">
        <v>700</v>
      </c>
      <c r="H38" s="18" t="s">
        <v>95</v>
      </c>
      <c r="I38" s="18" t="s">
        <v>30</v>
      </c>
      <c r="J38" s="23">
        <v>45278</v>
      </c>
      <c r="K38" s="18"/>
      <c r="L38" s="26"/>
      <c r="M38" s="26"/>
      <c r="N38" s="30" t="s">
        <v>160</v>
      </c>
      <c r="O38" s="22">
        <v>17500</v>
      </c>
      <c r="P38" s="19"/>
      <c r="Q38" s="26"/>
      <c r="R38" s="26" t="s">
        <v>34</v>
      </c>
      <c r="S38" s="27">
        <v>41000</v>
      </c>
      <c r="T38" s="28">
        <f t="shared" si="0"/>
        <v>717500</v>
      </c>
    </row>
    <row r="39" spans="1:20" s="17" customFormat="1" ht="13.5" customHeight="1" x14ac:dyDescent="0.25">
      <c r="A39" s="18" t="s">
        <v>158</v>
      </c>
      <c r="B39" s="22" t="s">
        <v>159</v>
      </c>
      <c r="C39" s="22" t="s">
        <v>126</v>
      </c>
      <c r="D39" s="20" t="s">
        <v>127</v>
      </c>
      <c r="E39" s="21" t="s">
        <v>161</v>
      </c>
      <c r="F39" s="22">
        <v>17500</v>
      </c>
      <c r="G39" s="18">
        <v>700</v>
      </c>
      <c r="H39" s="18" t="s">
        <v>95</v>
      </c>
      <c r="I39" s="18" t="s">
        <v>30</v>
      </c>
      <c r="J39" s="23">
        <v>45278</v>
      </c>
      <c r="K39" s="18"/>
      <c r="L39" s="26"/>
      <c r="M39" s="26"/>
      <c r="N39" s="30" t="s">
        <v>162</v>
      </c>
      <c r="O39" s="22">
        <v>17500</v>
      </c>
      <c r="P39" s="19"/>
      <c r="Q39" s="26"/>
      <c r="R39" s="26" t="s">
        <v>34</v>
      </c>
      <c r="S39" s="27">
        <v>41000</v>
      </c>
      <c r="T39" s="28">
        <f t="shared" si="0"/>
        <v>717500</v>
      </c>
    </row>
    <row r="40" spans="1:20" s="17" customFormat="1" ht="13.5" customHeight="1" x14ac:dyDescent="0.25">
      <c r="A40" s="18" t="s">
        <v>35</v>
      </c>
      <c r="B40" s="19" t="s">
        <v>163</v>
      </c>
      <c r="C40" s="19" t="s">
        <v>164</v>
      </c>
      <c r="D40" s="20" t="s">
        <v>165</v>
      </c>
      <c r="E40" s="33" t="s">
        <v>166</v>
      </c>
      <c r="F40" s="22">
        <v>20000</v>
      </c>
      <c r="G40" s="18">
        <v>800</v>
      </c>
      <c r="H40" s="18" t="s">
        <v>167</v>
      </c>
      <c r="I40" s="18" t="s">
        <v>30</v>
      </c>
      <c r="J40" s="23">
        <v>45279</v>
      </c>
      <c r="K40" s="35" t="s">
        <v>168</v>
      </c>
      <c r="L40" s="35" t="s">
        <v>169</v>
      </c>
      <c r="M40" s="35" t="s">
        <v>170</v>
      </c>
      <c r="N40" s="25"/>
      <c r="O40" s="19">
        <v>20000</v>
      </c>
      <c r="P40" s="26"/>
      <c r="Q40" s="19"/>
      <c r="R40" s="26" t="s">
        <v>34</v>
      </c>
      <c r="S40" s="27">
        <v>45000</v>
      </c>
      <c r="T40" s="28">
        <f t="shared" si="0"/>
        <v>900000</v>
      </c>
    </row>
    <row r="41" spans="1:20" s="17" customFormat="1" ht="13.5" customHeight="1" x14ac:dyDescent="0.25">
      <c r="A41" s="18" t="s">
        <v>35</v>
      </c>
      <c r="B41" s="19" t="s">
        <v>163</v>
      </c>
      <c r="C41" s="19" t="s">
        <v>164</v>
      </c>
      <c r="D41" s="20" t="s">
        <v>165</v>
      </c>
      <c r="E41" s="33" t="s">
        <v>171</v>
      </c>
      <c r="F41" s="22">
        <v>19950</v>
      </c>
      <c r="G41" s="18">
        <v>798</v>
      </c>
      <c r="H41" s="18" t="s">
        <v>167</v>
      </c>
      <c r="I41" s="18" t="s">
        <v>30</v>
      </c>
      <c r="J41" s="23">
        <v>45279</v>
      </c>
      <c r="K41" s="35" t="s">
        <v>172</v>
      </c>
      <c r="L41" s="35" t="s">
        <v>173</v>
      </c>
      <c r="M41" s="35" t="s">
        <v>174</v>
      </c>
      <c r="N41" s="25"/>
      <c r="O41" s="19">
        <v>19950</v>
      </c>
      <c r="P41" s="26"/>
      <c r="Q41" s="19"/>
      <c r="R41" s="26" t="s">
        <v>34</v>
      </c>
      <c r="S41" s="27">
        <v>45000</v>
      </c>
      <c r="T41" s="28">
        <f t="shared" si="0"/>
        <v>897750</v>
      </c>
    </row>
    <row r="42" spans="1:20" s="17" customFormat="1" ht="13.5" customHeight="1" x14ac:dyDescent="0.25">
      <c r="A42" s="18" t="s">
        <v>35</v>
      </c>
      <c r="B42" s="19">
        <v>43858</v>
      </c>
      <c r="C42" s="19" t="s">
        <v>175</v>
      </c>
      <c r="D42" s="20" t="s">
        <v>176</v>
      </c>
      <c r="E42" s="21" t="s">
        <v>177</v>
      </c>
      <c r="F42" s="22">
        <v>19862.5</v>
      </c>
      <c r="G42" s="18">
        <v>875</v>
      </c>
      <c r="H42" s="18" t="s">
        <v>129</v>
      </c>
      <c r="I42" s="18" t="s">
        <v>30</v>
      </c>
      <c r="J42" s="23">
        <v>45279</v>
      </c>
      <c r="K42" s="24" t="s">
        <v>178</v>
      </c>
      <c r="L42" s="26" t="s">
        <v>179</v>
      </c>
      <c r="M42" s="26" t="s">
        <v>180</v>
      </c>
      <c r="N42" s="23"/>
      <c r="O42" s="19">
        <v>19862.5</v>
      </c>
      <c r="P42" s="26"/>
      <c r="Q42" s="26"/>
      <c r="R42" s="26" t="s">
        <v>34</v>
      </c>
      <c r="S42" s="31">
        <v>42500</v>
      </c>
      <c r="T42" s="28">
        <f t="shared" si="0"/>
        <v>844156.25</v>
      </c>
    </row>
    <row r="43" spans="1:20" s="17" customFormat="1" ht="13.5" customHeight="1" x14ac:dyDescent="0.25">
      <c r="A43" s="228" t="s">
        <v>92</v>
      </c>
      <c r="B43" s="19" t="s">
        <v>181</v>
      </c>
      <c r="C43" s="19" t="s">
        <v>57</v>
      </c>
      <c r="D43" s="20" t="s">
        <v>110</v>
      </c>
      <c r="E43" s="21" t="s">
        <v>182</v>
      </c>
      <c r="F43" s="22">
        <v>6400</v>
      </c>
      <c r="G43" s="18">
        <v>32</v>
      </c>
      <c r="H43" s="18" t="s">
        <v>95</v>
      </c>
      <c r="I43" s="18" t="s">
        <v>30</v>
      </c>
      <c r="J43" s="23">
        <v>45280</v>
      </c>
      <c r="K43" s="24"/>
      <c r="L43" s="34"/>
      <c r="M43" s="25"/>
      <c r="N43" s="30" t="s">
        <v>183</v>
      </c>
      <c r="O43" s="26"/>
      <c r="P43" s="26"/>
      <c r="Q43" s="19">
        <v>6400</v>
      </c>
      <c r="R43" s="26" t="s">
        <v>34</v>
      </c>
      <c r="S43" s="27">
        <v>80000</v>
      </c>
      <c r="T43" s="28">
        <f t="shared" si="0"/>
        <v>512000</v>
      </c>
    </row>
    <row r="44" spans="1:20" s="17" customFormat="1" ht="13.5" customHeight="1" x14ac:dyDescent="0.25">
      <c r="A44" s="229"/>
      <c r="B44" s="19" t="s">
        <v>181</v>
      </c>
      <c r="C44" s="19" t="s">
        <v>57</v>
      </c>
      <c r="D44" s="20" t="s">
        <v>110</v>
      </c>
      <c r="E44" s="21" t="s">
        <v>152</v>
      </c>
      <c r="F44" s="22">
        <v>6400</v>
      </c>
      <c r="G44" s="18">
        <v>32</v>
      </c>
      <c r="H44" s="18" t="s">
        <v>95</v>
      </c>
      <c r="I44" s="18" t="s">
        <v>30</v>
      </c>
      <c r="J44" s="23">
        <v>45280</v>
      </c>
      <c r="K44" s="24"/>
      <c r="L44" s="34"/>
      <c r="M44" s="25"/>
      <c r="N44" s="30" t="s">
        <v>183</v>
      </c>
      <c r="O44" s="26"/>
      <c r="P44" s="26"/>
      <c r="Q44" s="19">
        <v>6400</v>
      </c>
      <c r="R44" s="26" t="s">
        <v>34</v>
      </c>
      <c r="S44" s="27">
        <v>80000</v>
      </c>
      <c r="T44" s="28">
        <f t="shared" si="0"/>
        <v>512000</v>
      </c>
    </row>
    <row r="45" spans="1:20" s="17" customFormat="1" ht="13.5" customHeight="1" x14ac:dyDescent="0.25">
      <c r="A45" s="230"/>
      <c r="B45" s="19" t="s">
        <v>181</v>
      </c>
      <c r="C45" s="19" t="s">
        <v>57</v>
      </c>
      <c r="D45" s="20" t="s">
        <v>110</v>
      </c>
      <c r="E45" s="21" t="s">
        <v>184</v>
      </c>
      <c r="F45" s="22">
        <v>3200</v>
      </c>
      <c r="G45" s="18">
        <v>16</v>
      </c>
      <c r="H45" s="18" t="s">
        <v>95</v>
      </c>
      <c r="I45" s="18" t="s">
        <v>30</v>
      </c>
      <c r="J45" s="23">
        <v>45280</v>
      </c>
      <c r="K45" s="24"/>
      <c r="L45" s="34"/>
      <c r="M45" s="25"/>
      <c r="N45" s="30" t="s">
        <v>183</v>
      </c>
      <c r="O45" s="26"/>
      <c r="P45" s="26"/>
      <c r="Q45" s="19">
        <v>3200</v>
      </c>
      <c r="R45" s="26" t="s">
        <v>34</v>
      </c>
      <c r="S45" s="27">
        <v>80000</v>
      </c>
      <c r="T45" s="28">
        <f t="shared" si="0"/>
        <v>256000</v>
      </c>
    </row>
    <row r="46" spans="1:20" s="17" customFormat="1" ht="13.5" customHeight="1" x14ac:dyDescent="0.25">
      <c r="A46" s="228" t="s">
        <v>92</v>
      </c>
      <c r="B46" s="22" t="s">
        <v>185</v>
      </c>
      <c r="C46" s="22" t="s">
        <v>57</v>
      </c>
      <c r="D46" s="20" t="s">
        <v>186</v>
      </c>
      <c r="E46" s="33" t="s">
        <v>187</v>
      </c>
      <c r="F46" s="22">
        <v>9525.6</v>
      </c>
      <c r="G46" s="18">
        <v>420</v>
      </c>
      <c r="H46" s="18" t="s">
        <v>188</v>
      </c>
      <c r="I46" s="18" t="s">
        <v>30</v>
      </c>
      <c r="J46" s="23">
        <v>45280</v>
      </c>
      <c r="K46" s="18"/>
      <c r="L46" s="26"/>
      <c r="M46" s="26"/>
      <c r="N46" s="25" t="s">
        <v>189</v>
      </c>
      <c r="O46" s="22">
        <v>9525.6</v>
      </c>
      <c r="P46" s="19"/>
      <c r="Q46" s="26"/>
      <c r="R46" s="26" t="s">
        <v>34</v>
      </c>
      <c r="S46" s="27">
        <v>49500</v>
      </c>
      <c r="T46" s="28">
        <f t="shared" si="0"/>
        <v>471517.2</v>
      </c>
    </row>
    <row r="47" spans="1:20" s="17" customFormat="1" ht="13.5" customHeight="1" x14ac:dyDescent="0.25">
      <c r="A47" s="230"/>
      <c r="B47" s="19" t="s">
        <v>190</v>
      </c>
      <c r="C47" s="19" t="s">
        <v>57</v>
      </c>
      <c r="D47" s="20" t="s">
        <v>191</v>
      </c>
      <c r="E47" s="33" t="s">
        <v>76</v>
      </c>
      <c r="F47" s="22">
        <v>4500</v>
      </c>
      <c r="G47" s="18">
        <v>180</v>
      </c>
      <c r="H47" s="18" t="s">
        <v>188</v>
      </c>
      <c r="I47" s="18" t="s">
        <v>30</v>
      </c>
      <c r="J47" s="23">
        <v>45280</v>
      </c>
      <c r="K47" s="26"/>
      <c r="L47" s="26"/>
      <c r="M47" s="26"/>
      <c r="N47" s="25" t="s">
        <v>189</v>
      </c>
      <c r="O47" s="26"/>
      <c r="P47" s="26"/>
      <c r="Q47" s="22">
        <v>4500</v>
      </c>
      <c r="R47" s="26" t="s">
        <v>34</v>
      </c>
      <c r="S47" s="27">
        <v>165000</v>
      </c>
      <c r="T47" s="28">
        <f t="shared" si="0"/>
        <v>742500</v>
      </c>
    </row>
    <row r="48" spans="1:20" s="17" customFormat="1" ht="13.5" customHeight="1" x14ac:dyDescent="0.25">
      <c r="A48" s="29" t="s">
        <v>92</v>
      </c>
      <c r="B48" s="19" t="s">
        <v>190</v>
      </c>
      <c r="C48" s="19" t="s">
        <v>57</v>
      </c>
      <c r="D48" s="20" t="s">
        <v>191</v>
      </c>
      <c r="E48" s="33" t="s">
        <v>76</v>
      </c>
      <c r="F48" s="22">
        <v>12000</v>
      </c>
      <c r="G48" s="18">
        <v>480</v>
      </c>
      <c r="H48" s="18" t="s">
        <v>188</v>
      </c>
      <c r="I48" s="18" t="s">
        <v>30</v>
      </c>
      <c r="J48" s="23">
        <v>45280</v>
      </c>
      <c r="K48" s="26"/>
      <c r="L48" s="26"/>
      <c r="M48" s="26"/>
      <c r="N48" s="25" t="s">
        <v>192</v>
      </c>
      <c r="O48" s="26"/>
      <c r="P48" s="26"/>
      <c r="Q48" s="22">
        <v>12000</v>
      </c>
      <c r="R48" s="26" t="s">
        <v>34</v>
      </c>
      <c r="S48" s="27">
        <v>165000</v>
      </c>
      <c r="T48" s="28">
        <f t="shared" si="0"/>
        <v>1980000</v>
      </c>
    </row>
    <row r="49" spans="1:20" s="17" customFormat="1" ht="13.5" customHeight="1" x14ac:dyDescent="0.25">
      <c r="A49" s="228" t="s">
        <v>124</v>
      </c>
      <c r="B49" s="22" t="s">
        <v>193</v>
      </c>
      <c r="C49" s="22" t="s">
        <v>65</v>
      </c>
      <c r="D49" s="20" t="s">
        <v>66</v>
      </c>
      <c r="E49" s="33" t="s">
        <v>194</v>
      </c>
      <c r="F49" s="22">
        <v>200</v>
      </c>
      <c r="G49" s="18">
        <v>1</v>
      </c>
      <c r="H49" s="18" t="s">
        <v>142</v>
      </c>
      <c r="I49" s="18" t="s">
        <v>30</v>
      </c>
      <c r="J49" s="23">
        <v>45282</v>
      </c>
      <c r="K49" s="24" t="s">
        <v>195</v>
      </c>
      <c r="L49" s="26" t="s">
        <v>196</v>
      </c>
      <c r="M49" s="26" t="s">
        <v>197</v>
      </c>
      <c r="N49" s="23"/>
      <c r="O49" s="26"/>
      <c r="P49" s="19"/>
      <c r="Q49" s="22">
        <v>200</v>
      </c>
      <c r="R49" s="26" t="s">
        <v>34</v>
      </c>
      <c r="S49" s="27">
        <v>89900</v>
      </c>
      <c r="T49" s="28">
        <f t="shared" si="0"/>
        <v>17980</v>
      </c>
    </row>
    <row r="50" spans="1:20" s="17" customFormat="1" ht="13.5" customHeight="1" x14ac:dyDescent="0.25">
      <c r="A50" s="230"/>
      <c r="B50" s="22" t="s">
        <v>193</v>
      </c>
      <c r="C50" s="22" t="s">
        <v>65</v>
      </c>
      <c r="D50" s="20" t="s">
        <v>66</v>
      </c>
      <c r="E50" s="33" t="s">
        <v>198</v>
      </c>
      <c r="F50" s="22">
        <v>600</v>
      </c>
      <c r="G50" s="18">
        <v>3</v>
      </c>
      <c r="H50" s="18" t="s">
        <v>142</v>
      </c>
      <c r="I50" s="18" t="s">
        <v>30</v>
      </c>
      <c r="J50" s="23">
        <v>45282</v>
      </c>
      <c r="K50" s="18"/>
      <c r="L50" s="26"/>
      <c r="M50" s="26"/>
      <c r="N50" s="23"/>
      <c r="O50" s="26"/>
      <c r="P50" s="19"/>
      <c r="Q50" s="22">
        <v>600</v>
      </c>
      <c r="R50" s="26" t="s">
        <v>34</v>
      </c>
      <c r="S50" s="27">
        <v>89900</v>
      </c>
      <c r="T50" s="28">
        <f t="shared" si="0"/>
        <v>53940</v>
      </c>
    </row>
    <row r="51" spans="1:20" s="17" customFormat="1" ht="13.5" customHeight="1" x14ac:dyDescent="0.25">
      <c r="A51" s="228" t="s">
        <v>124</v>
      </c>
      <c r="B51" s="22" t="s">
        <v>193</v>
      </c>
      <c r="C51" s="22" t="s">
        <v>65</v>
      </c>
      <c r="D51" s="20" t="s">
        <v>66</v>
      </c>
      <c r="E51" s="33" t="s">
        <v>199</v>
      </c>
      <c r="F51" s="22">
        <v>600</v>
      </c>
      <c r="G51" s="18">
        <v>3</v>
      </c>
      <c r="H51" s="18" t="s">
        <v>142</v>
      </c>
      <c r="I51" s="18" t="s">
        <v>30</v>
      </c>
      <c r="J51" s="23">
        <v>45282</v>
      </c>
      <c r="K51" s="18"/>
      <c r="L51" s="26"/>
      <c r="M51" s="26"/>
      <c r="N51" s="23"/>
      <c r="O51" s="26"/>
      <c r="P51" s="19"/>
      <c r="Q51" s="22">
        <v>600</v>
      </c>
      <c r="R51" s="26" t="s">
        <v>34</v>
      </c>
      <c r="S51" s="27">
        <v>89900</v>
      </c>
      <c r="T51" s="28">
        <f t="shared" si="0"/>
        <v>53940</v>
      </c>
    </row>
    <row r="52" spans="1:20" s="17" customFormat="1" ht="13.5" customHeight="1" x14ac:dyDescent="0.25">
      <c r="A52" s="230"/>
      <c r="B52" s="22" t="s">
        <v>193</v>
      </c>
      <c r="C52" s="22" t="s">
        <v>65</v>
      </c>
      <c r="D52" s="20" t="s">
        <v>66</v>
      </c>
      <c r="E52" s="33" t="s">
        <v>73</v>
      </c>
      <c r="F52" s="22">
        <v>200</v>
      </c>
      <c r="G52" s="18">
        <v>1</v>
      </c>
      <c r="H52" s="18" t="s">
        <v>142</v>
      </c>
      <c r="I52" s="18" t="s">
        <v>30</v>
      </c>
      <c r="J52" s="23">
        <v>45282</v>
      </c>
      <c r="K52" s="18"/>
      <c r="L52" s="26"/>
      <c r="M52" s="26"/>
      <c r="N52" s="23"/>
      <c r="O52" s="26"/>
      <c r="P52" s="19"/>
      <c r="Q52" s="22">
        <v>200</v>
      </c>
      <c r="R52" s="26" t="s">
        <v>34</v>
      </c>
      <c r="S52" s="27">
        <v>89900</v>
      </c>
      <c r="T52" s="28">
        <f t="shared" si="0"/>
        <v>17980</v>
      </c>
    </row>
    <row r="53" spans="1:20" s="17" customFormat="1" ht="13.5" customHeight="1" x14ac:dyDescent="0.25">
      <c r="A53" s="29"/>
      <c r="B53" s="22" t="s">
        <v>193</v>
      </c>
      <c r="C53" s="22" t="s">
        <v>65</v>
      </c>
      <c r="D53" s="20" t="s">
        <v>66</v>
      </c>
      <c r="E53" s="21" t="s">
        <v>171</v>
      </c>
      <c r="F53" s="22">
        <v>6400</v>
      </c>
      <c r="G53" s="18">
        <v>32</v>
      </c>
      <c r="H53" s="18" t="s">
        <v>142</v>
      </c>
      <c r="I53" s="18" t="s">
        <v>30</v>
      </c>
      <c r="J53" s="23">
        <v>45282</v>
      </c>
      <c r="K53" s="24"/>
      <c r="L53" s="25"/>
      <c r="M53" s="25"/>
      <c r="N53" s="30"/>
      <c r="O53" s="26"/>
      <c r="P53" s="26"/>
      <c r="Q53" s="19">
        <v>6400</v>
      </c>
      <c r="R53" s="26" t="s">
        <v>34</v>
      </c>
      <c r="S53" s="27">
        <v>89900</v>
      </c>
      <c r="T53" s="28">
        <f t="shared" si="0"/>
        <v>575360</v>
      </c>
    </row>
    <row r="54" spans="1:20" s="17" customFormat="1" ht="13.5" customHeight="1" x14ac:dyDescent="0.25">
      <c r="A54" s="29"/>
      <c r="B54" s="22" t="s">
        <v>193</v>
      </c>
      <c r="C54" s="22" t="s">
        <v>65</v>
      </c>
      <c r="D54" s="20" t="s">
        <v>66</v>
      </c>
      <c r="E54" s="21" t="s">
        <v>198</v>
      </c>
      <c r="F54" s="22">
        <v>8000</v>
      </c>
      <c r="G54" s="18">
        <v>40</v>
      </c>
      <c r="H54" s="18" t="s">
        <v>142</v>
      </c>
      <c r="I54" s="18" t="s">
        <v>30</v>
      </c>
      <c r="J54" s="23">
        <v>45282</v>
      </c>
      <c r="K54" s="24"/>
      <c r="L54" s="25"/>
      <c r="M54" s="25"/>
      <c r="N54" s="30"/>
      <c r="O54" s="26"/>
      <c r="P54" s="26"/>
      <c r="Q54" s="19">
        <v>8000</v>
      </c>
      <c r="R54" s="26" t="s">
        <v>34</v>
      </c>
      <c r="S54" s="27">
        <v>89900</v>
      </c>
      <c r="T54" s="28">
        <f t="shared" si="0"/>
        <v>719200</v>
      </c>
    </row>
    <row r="55" spans="1:20" s="17" customFormat="1" ht="13.5" customHeight="1" x14ac:dyDescent="0.25">
      <c r="A55" s="18" t="s">
        <v>35</v>
      </c>
      <c r="B55" s="19">
        <v>43858</v>
      </c>
      <c r="C55" s="19" t="s">
        <v>175</v>
      </c>
      <c r="D55" s="20" t="s">
        <v>176</v>
      </c>
      <c r="E55" s="21" t="s">
        <v>200</v>
      </c>
      <c r="F55" s="22">
        <v>19862.5</v>
      </c>
      <c r="G55" s="18">
        <v>875</v>
      </c>
      <c r="H55" s="18" t="s">
        <v>129</v>
      </c>
      <c r="I55" s="18" t="s">
        <v>30</v>
      </c>
      <c r="J55" s="23">
        <v>45282</v>
      </c>
      <c r="K55" s="24" t="s">
        <v>201</v>
      </c>
      <c r="L55" s="26" t="s">
        <v>202</v>
      </c>
      <c r="M55" s="26" t="s">
        <v>203</v>
      </c>
      <c r="N55" s="23"/>
      <c r="O55" s="19">
        <v>19862.5</v>
      </c>
      <c r="P55" s="26"/>
      <c r="Q55" s="26"/>
      <c r="R55" s="26" t="s">
        <v>34</v>
      </c>
      <c r="S55" s="27">
        <v>42500</v>
      </c>
      <c r="T55" s="28">
        <f t="shared" si="0"/>
        <v>844156.25</v>
      </c>
    </row>
    <row r="56" spans="1:20" s="17" customFormat="1" ht="13.5" customHeight="1" x14ac:dyDescent="0.25">
      <c r="A56" s="29" t="s">
        <v>35</v>
      </c>
      <c r="B56" s="19" t="s">
        <v>204</v>
      </c>
      <c r="C56" s="22" t="s">
        <v>85</v>
      </c>
      <c r="D56" s="20" t="s">
        <v>86</v>
      </c>
      <c r="E56" s="21" t="s">
        <v>87</v>
      </c>
      <c r="F56" s="22">
        <v>20000</v>
      </c>
      <c r="G56" s="18">
        <v>800</v>
      </c>
      <c r="H56" s="18" t="s">
        <v>129</v>
      </c>
      <c r="I56" s="18" t="s">
        <v>30</v>
      </c>
      <c r="J56" s="23">
        <v>45285</v>
      </c>
      <c r="K56" s="24" t="s">
        <v>205</v>
      </c>
      <c r="L56" s="26" t="s">
        <v>206</v>
      </c>
      <c r="M56" s="26" t="s">
        <v>207</v>
      </c>
      <c r="N56" s="23"/>
      <c r="O56" s="22">
        <v>20000</v>
      </c>
      <c r="P56" s="19"/>
      <c r="Q56" s="26"/>
      <c r="R56" s="26" t="s">
        <v>34</v>
      </c>
      <c r="S56" s="27">
        <v>36200</v>
      </c>
      <c r="T56" s="28">
        <f t="shared" si="0"/>
        <v>724000</v>
      </c>
    </row>
    <row r="57" spans="1:20" s="17" customFormat="1" ht="13.5" customHeight="1" x14ac:dyDescent="0.25">
      <c r="A57" s="18" t="s">
        <v>35</v>
      </c>
      <c r="B57" s="19">
        <v>43858</v>
      </c>
      <c r="C57" s="19" t="s">
        <v>175</v>
      </c>
      <c r="D57" s="20" t="s">
        <v>176</v>
      </c>
      <c r="E57" s="21" t="s">
        <v>208</v>
      </c>
      <c r="F57" s="22">
        <v>19862.5</v>
      </c>
      <c r="G57" s="18">
        <v>875</v>
      </c>
      <c r="H57" s="18" t="s">
        <v>129</v>
      </c>
      <c r="I57" s="18" t="s">
        <v>30</v>
      </c>
      <c r="J57" s="23">
        <v>45285</v>
      </c>
      <c r="K57" s="24" t="s">
        <v>209</v>
      </c>
      <c r="L57" s="26" t="s">
        <v>210</v>
      </c>
      <c r="M57" s="26" t="s">
        <v>211</v>
      </c>
      <c r="N57" s="23"/>
      <c r="O57" s="19">
        <v>19862.5</v>
      </c>
      <c r="P57" s="26"/>
      <c r="Q57" s="26"/>
      <c r="R57" s="26" t="s">
        <v>34</v>
      </c>
      <c r="S57" s="27">
        <v>42500</v>
      </c>
      <c r="T57" s="28">
        <f t="shared" si="0"/>
        <v>844156.25</v>
      </c>
    </row>
    <row r="58" spans="1:20" s="17" customFormat="1" x14ac:dyDescent="0.25">
      <c r="A58" s="18" t="s">
        <v>35</v>
      </c>
      <c r="B58" s="22" t="s">
        <v>212</v>
      </c>
      <c r="C58" s="19" t="s">
        <v>109</v>
      </c>
      <c r="D58" s="20" t="s">
        <v>165</v>
      </c>
      <c r="E58" s="21" t="s">
        <v>213</v>
      </c>
      <c r="F58" s="22">
        <v>20000</v>
      </c>
      <c r="G58" s="18">
        <v>800</v>
      </c>
      <c r="H58" s="18" t="s">
        <v>112</v>
      </c>
      <c r="I58" s="18" t="s">
        <v>30</v>
      </c>
      <c r="J58" s="23">
        <v>45285</v>
      </c>
      <c r="K58" s="36" t="s">
        <v>214</v>
      </c>
      <c r="L58" s="26" t="s">
        <v>215</v>
      </c>
      <c r="M58" s="26" t="s">
        <v>216</v>
      </c>
      <c r="N58" s="26"/>
      <c r="O58" s="22">
        <v>20000</v>
      </c>
      <c r="P58" s="26"/>
      <c r="Q58" s="26"/>
      <c r="R58" s="26" t="s">
        <v>34</v>
      </c>
      <c r="S58" s="27">
        <v>45000</v>
      </c>
      <c r="T58" s="28">
        <f t="shared" si="0"/>
        <v>900000</v>
      </c>
    </row>
    <row r="59" spans="1:20" s="17" customFormat="1" ht="13.5" customHeight="1" x14ac:dyDescent="0.25">
      <c r="A59" s="29" t="s">
        <v>35</v>
      </c>
      <c r="B59" s="19" t="s">
        <v>204</v>
      </c>
      <c r="C59" s="22" t="s">
        <v>85</v>
      </c>
      <c r="D59" s="20" t="s">
        <v>86</v>
      </c>
      <c r="E59" s="21" t="s">
        <v>87</v>
      </c>
      <c r="F59" s="22">
        <v>20000</v>
      </c>
      <c r="G59" s="18">
        <v>800</v>
      </c>
      <c r="H59" s="18" t="s">
        <v>129</v>
      </c>
      <c r="I59" s="18" t="s">
        <v>30</v>
      </c>
      <c r="J59" s="23">
        <v>45286</v>
      </c>
      <c r="K59" s="24" t="s">
        <v>217</v>
      </c>
      <c r="L59" s="26" t="s">
        <v>218</v>
      </c>
      <c r="M59" s="26" t="s">
        <v>219</v>
      </c>
      <c r="N59" s="23"/>
      <c r="O59" s="22">
        <v>20000</v>
      </c>
      <c r="P59" s="19"/>
      <c r="Q59" s="26"/>
      <c r="R59" s="26" t="s">
        <v>34</v>
      </c>
      <c r="S59" s="27">
        <v>36200</v>
      </c>
      <c r="T59" s="28">
        <f t="shared" si="0"/>
        <v>724000</v>
      </c>
    </row>
    <row r="60" spans="1:20" s="17" customFormat="1" ht="13.5" customHeight="1" x14ac:dyDescent="0.25">
      <c r="A60" s="29" t="s">
        <v>35</v>
      </c>
      <c r="B60" s="19" t="s">
        <v>220</v>
      </c>
      <c r="C60" s="19" t="s">
        <v>221</v>
      </c>
      <c r="D60" s="20" t="s">
        <v>222</v>
      </c>
      <c r="E60" s="21" t="s">
        <v>223</v>
      </c>
      <c r="F60" s="22">
        <v>100</v>
      </c>
      <c r="G60" s="18">
        <v>2</v>
      </c>
      <c r="H60" s="18" t="s">
        <v>224</v>
      </c>
      <c r="I60" s="18" t="s">
        <v>30</v>
      </c>
      <c r="J60" s="23">
        <v>45287</v>
      </c>
      <c r="K60" s="24" t="s">
        <v>225</v>
      </c>
      <c r="L60" s="25"/>
      <c r="M60" s="25"/>
      <c r="N60" s="30"/>
      <c r="O60" s="26"/>
      <c r="P60" s="26"/>
      <c r="Q60" s="19">
        <v>100</v>
      </c>
      <c r="R60" s="26" t="s">
        <v>34</v>
      </c>
      <c r="S60" s="31">
        <v>87000</v>
      </c>
      <c r="T60" s="28">
        <f t="shared" si="0"/>
        <v>8700</v>
      </c>
    </row>
    <row r="61" spans="1:20" s="17" customFormat="1" ht="13.5" customHeight="1" x14ac:dyDescent="0.25">
      <c r="A61" s="32" t="s">
        <v>92</v>
      </c>
      <c r="B61" s="19" t="s">
        <v>226</v>
      </c>
      <c r="C61" s="19" t="s">
        <v>57</v>
      </c>
      <c r="D61" s="20" t="s">
        <v>58</v>
      </c>
      <c r="E61" s="21" t="s">
        <v>227</v>
      </c>
      <c r="F61" s="22">
        <v>15876</v>
      </c>
      <c r="G61" s="18">
        <v>700</v>
      </c>
      <c r="H61" s="18" t="s">
        <v>129</v>
      </c>
      <c r="I61" s="18" t="s">
        <v>30</v>
      </c>
      <c r="J61" s="23">
        <v>45288</v>
      </c>
      <c r="K61" s="26"/>
      <c r="L61" s="35"/>
      <c r="M61" s="26"/>
      <c r="N61" s="25" t="s">
        <v>228</v>
      </c>
      <c r="O61" s="19">
        <v>15876</v>
      </c>
      <c r="P61" s="26"/>
      <c r="Q61" s="22"/>
      <c r="R61" s="26"/>
      <c r="S61" s="27">
        <v>49500</v>
      </c>
      <c r="T61" s="28">
        <f t="shared" si="0"/>
        <v>785862</v>
      </c>
    </row>
    <row r="62" spans="1:20" s="17" customFormat="1" ht="13.5" customHeight="1" x14ac:dyDescent="0.25">
      <c r="A62" s="32" t="s">
        <v>92</v>
      </c>
      <c r="B62" s="19" t="s">
        <v>226</v>
      </c>
      <c r="C62" s="19" t="s">
        <v>57</v>
      </c>
      <c r="D62" s="20" t="s">
        <v>58</v>
      </c>
      <c r="E62" s="21" t="s">
        <v>229</v>
      </c>
      <c r="F62" s="22">
        <v>15876</v>
      </c>
      <c r="G62" s="18">
        <v>700</v>
      </c>
      <c r="H62" s="18" t="s">
        <v>129</v>
      </c>
      <c r="I62" s="18" t="s">
        <v>30</v>
      </c>
      <c r="J62" s="23">
        <v>45288</v>
      </c>
      <c r="K62" s="26"/>
      <c r="L62" s="35"/>
      <c r="M62" s="26"/>
      <c r="N62" s="25" t="s">
        <v>230</v>
      </c>
      <c r="O62" s="19">
        <v>15876</v>
      </c>
      <c r="P62" s="26"/>
      <c r="Q62" s="22"/>
      <c r="R62" s="26"/>
      <c r="S62" s="27">
        <v>49500</v>
      </c>
      <c r="T62" s="28">
        <f t="shared" si="0"/>
        <v>785862</v>
      </c>
    </row>
    <row r="63" spans="1:20" s="17" customFormat="1" ht="13.5" customHeight="1" x14ac:dyDescent="0.25">
      <c r="A63" s="29" t="s">
        <v>92</v>
      </c>
      <c r="B63" s="19" t="s">
        <v>231</v>
      </c>
      <c r="C63" s="19" t="s">
        <v>57</v>
      </c>
      <c r="D63" s="20" t="s">
        <v>191</v>
      </c>
      <c r="E63" s="33" t="s">
        <v>232</v>
      </c>
      <c r="F63" s="22">
        <v>12000</v>
      </c>
      <c r="G63" s="18">
        <v>480</v>
      </c>
      <c r="H63" s="18" t="s">
        <v>95</v>
      </c>
      <c r="I63" s="18" t="s">
        <v>30</v>
      </c>
      <c r="J63" s="23">
        <v>45288</v>
      </c>
      <c r="K63" s="26"/>
      <c r="L63" s="26"/>
      <c r="M63" s="26"/>
      <c r="N63" s="25" t="s">
        <v>233</v>
      </c>
      <c r="O63" s="26"/>
      <c r="P63" s="26"/>
      <c r="Q63" s="22">
        <v>12000</v>
      </c>
      <c r="R63" s="26"/>
      <c r="S63" s="27">
        <v>165000</v>
      </c>
      <c r="T63" s="28">
        <f t="shared" si="0"/>
        <v>1980000</v>
      </c>
    </row>
    <row r="64" spans="1:20" s="17" customFormat="1" ht="13.5" customHeight="1" x14ac:dyDescent="0.25">
      <c r="A64" s="228" t="s">
        <v>92</v>
      </c>
      <c r="B64" s="19" t="s">
        <v>231</v>
      </c>
      <c r="C64" s="19" t="s">
        <v>57</v>
      </c>
      <c r="D64" s="20" t="s">
        <v>155</v>
      </c>
      <c r="E64" s="33" t="s">
        <v>234</v>
      </c>
      <c r="F64" s="22">
        <v>7770</v>
      </c>
      <c r="G64" s="18">
        <v>42</v>
      </c>
      <c r="H64" s="18" t="s">
        <v>95</v>
      </c>
      <c r="I64" s="18" t="s">
        <v>30</v>
      </c>
      <c r="J64" s="23">
        <v>45288</v>
      </c>
      <c r="K64" s="18"/>
      <c r="L64" s="26"/>
      <c r="M64" s="26"/>
      <c r="N64" s="25" t="s">
        <v>235</v>
      </c>
      <c r="O64" s="26"/>
      <c r="P64" s="19"/>
      <c r="Q64" s="22">
        <v>7770</v>
      </c>
      <c r="R64" s="26"/>
      <c r="S64" s="27">
        <v>110800</v>
      </c>
      <c r="T64" s="28">
        <f t="shared" si="0"/>
        <v>860916</v>
      </c>
    </row>
    <row r="65" spans="1:20" s="17" customFormat="1" ht="13.5" customHeight="1" x14ac:dyDescent="0.25">
      <c r="A65" s="230"/>
      <c r="B65" s="19" t="s">
        <v>231</v>
      </c>
      <c r="C65" s="19" t="s">
        <v>57</v>
      </c>
      <c r="D65" s="20" t="s">
        <v>155</v>
      </c>
      <c r="E65" s="33" t="s">
        <v>236</v>
      </c>
      <c r="F65" s="22">
        <v>7030</v>
      </c>
      <c r="G65" s="18">
        <v>38</v>
      </c>
      <c r="H65" s="18" t="s">
        <v>95</v>
      </c>
      <c r="I65" s="18" t="s">
        <v>30</v>
      </c>
      <c r="J65" s="23">
        <v>45288</v>
      </c>
      <c r="K65" s="18"/>
      <c r="L65" s="26"/>
      <c r="M65" s="26"/>
      <c r="N65" s="25" t="s">
        <v>235</v>
      </c>
      <c r="O65" s="26"/>
      <c r="P65" s="19"/>
      <c r="Q65" s="22">
        <v>7030</v>
      </c>
      <c r="R65" s="26"/>
      <c r="S65" s="27">
        <v>110800</v>
      </c>
      <c r="T65" s="28">
        <f t="shared" si="0"/>
        <v>778924</v>
      </c>
    </row>
    <row r="66" spans="1:20" s="17" customFormat="1" x14ac:dyDescent="0.25">
      <c r="A66" s="18" t="s">
        <v>35</v>
      </c>
      <c r="B66" s="22" t="s">
        <v>237</v>
      </c>
      <c r="C66" s="22" t="s">
        <v>238</v>
      </c>
      <c r="D66" s="20" t="s">
        <v>239</v>
      </c>
      <c r="E66" s="21" t="s">
        <v>240</v>
      </c>
      <c r="F66" s="22">
        <v>1520</v>
      </c>
      <c r="G66" s="18">
        <v>8</v>
      </c>
      <c r="H66" s="18"/>
      <c r="I66" s="18" t="s">
        <v>30</v>
      </c>
      <c r="J66" s="23">
        <v>45288</v>
      </c>
      <c r="K66" s="24" t="s">
        <v>241</v>
      </c>
      <c r="L66" s="26"/>
      <c r="M66" s="26" t="s">
        <v>242</v>
      </c>
      <c r="N66" s="23"/>
      <c r="O66" s="26"/>
      <c r="P66" s="19"/>
      <c r="Q66" s="22">
        <v>1520</v>
      </c>
      <c r="R66" s="26" t="s">
        <v>34</v>
      </c>
      <c r="S66" s="27">
        <v>350000</v>
      </c>
      <c r="T66" s="28">
        <f t="shared" si="0"/>
        <v>532000</v>
      </c>
    </row>
    <row r="67" spans="1:20" s="17" customFormat="1" ht="13.5" customHeight="1" x14ac:dyDescent="0.25">
      <c r="A67" s="18" t="s">
        <v>35</v>
      </c>
      <c r="B67" s="19">
        <v>43858</v>
      </c>
      <c r="C67" s="19" t="s">
        <v>175</v>
      </c>
      <c r="D67" s="20" t="s">
        <v>176</v>
      </c>
      <c r="E67" s="21" t="s">
        <v>141</v>
      </c>
      <c r="F67" s="22">
        <v>19862.5</v>
      </c>
      <c r="G67" s="18">
        <v>875</v>
      </c>
      <c r="H67" s="18" t="s">
        <v>129</v>
      </c>
      <c r="I67" s="18" t="s">
        <v>30</v>
      </c>
      <c r="J67" s="23">
        <v>45288</v>
      </c>
      <c r="K67" s="24" t="s">
        <v>243</v>
      </c>
      <c r="L67" s="26" t="s">
        <v>244</v>
      </c>
      <c r="M67" s="26" t="s">
        <v>245</v>
      </c>
      <c r="N67" s="23"/>
      <c r="O67" s="19">
        <v>19862.5</v>
      </c>
      <c r="P67" s="26"/>
      <c r="Q67" s="26"/>
      <c r="R67" s="26" t="s">
        <v>34</v>
      </c>
      <c r="S67" s="27">
        <v>42500</v>
      </c>
      <c r="T67" s="28">
        <f t="shared" si="0"/>
        <v>844156.25</v>
      </c>
    </row>
    <row r="68" spans="1:20" s="17" customFormat="1" ht="13.5" customHeight="1" x14ac:dyDescent="0.25">
      <c r="A68" s="228" t="s">
        <v>92</v>
      </c>
      <c r="B68" s="19" t="s">
        <v>246</v>
      </c>
      <c r="C68" s="19" t="s">
        <v>126</v>
      </c>
      <c r="D68" s="20" t="s">
        <v>66</v>
      </c>
      <c r="E68" s="21" t="s">
        <v>236</v>
      </c>
      <c r="F68" s="22">
        <v>8800</v>
      </c>
      <c r="G68" s="18">
        <v>44</v>
      </c>
      <c r="H68" s="18" t="s">
        <v>95</v>
      </c>
      <c r="I68" s="18" t="s">
        <v>30</v>
      </c>
      <c r="J68" s="23">
        <v>45289</v>
      </c>
      <c r="K68" s="24"/>
      <c r="L68" s="25"/>
      <c r="M68" s="25"/>
      <c r="N68" s="30" t="s">
        <v>247</v>
      </c>
      <c r="O68" s="26"/>
      <c r="P68" s="26"/>
      <c r="Q68" s="19">
        <v>8800</v>
      </c>
      <c r="R68" s="26"/>
      <c r="S68" s="31">
        <v>85000</v>
      </c>
      <c r="T68" s="28">
        <f t="shared" ref="T68" si="1">S68*(F68/1000)</f>
        <v>748000.00000000012</v>
      </c>
    </row>
    <row r="69" spans="1:20" s="17" customFormat="1" ht="13.5" customHeight="1" x14ac:dyDescent="0.25">
      <c r="A69" s="229"/>
      <c r="B69" s="19" t="s">
        <v>246</v>
      </c>
      <c r="C69" s="19" t="s">
        <v>126</v>
      </c>
      <c r="D69" s="20" t="s">
        <v>66</v>
      </c>
      <c r="E69" s="21" t="s">
        <v>223</v>
      </c>
      <c r="F69" s="22">
        <v>7200</v>
      </c>
      <c r="G69" s="18">
        <v>36</v>
      </c>
      <c r="H69" s="18" t="s">
        <v>95</v>
      </c>
      <c r="I69" s="18" t="s">
        <v>30</v>
      </c>
      <c r="J69" s="23">
        <v>45289</v>
      </c>
      <c r="K69" s="24"/>
      <c r="L69" s="25"/>
      <c r="M69" s="25"/>
      <c r="N69" s="30" t="s">
        <v>247</v>
      </c>
      <c r="O69" s="26"/>
      <c r="P69" s="26"/>
      <c r="Q69" s="19">
        <v>7200</v>
      </c>
      <c r="R69" s="26"/>
      <c r="S69" s="31">
        <v>85000</v>
      </c>
      <c r="T69" s="28">
        <f t="shared" ref="T69:T73" si="2">S69*(F69/1000)</f>
        <v>612000</v>
      </c>
    </row>
    <row r="70" spans="1:20" s="17" customFormat="1" ht="13.5" customHeight="1" x14ac:dyDescent="0.25">
      <c r="A70" s="228" t="s">
        <v>92</v>
      </c>
      <c r="B70" s="19" t="s">
        <v>246</v>
      </c>
      <c r="C70" s="19" t="s">
        <v>126</v>
      </c>
      <c r="D70" s="20" t="s">
        <v>66</v>
      </c>
      <c r="E70" s="21" t="s">
        <v>227</v>
      </c>
      <c r="F70" s="22">
        <v>8800</v>
      </c>
      <c r="G70" s="18">
        <v>44</v>
      </c>
      <c r="H70" s="18" t="s">
        <v>95</v>
      </c>
      <c r="I70" s="18" t="s">
        <v>30</v>
      </c>
      <c r="J70" s="23">
        <v>45289</v>
      </c>
      <c r="K70" s="24"/>
      <c r="L70" s="25"/>
      <c r="M70" s="25"/>
      <c r="N70" s="30" t="s">
        <v>248</v>
      </c>
      <c r="O70" s="26"/>
      <c r="P70" s="26"/>
      <c r="Q70" s="19">
        <v>9600</v>
      </c>
      <c r="R70" s="26"/>
      <c r="S70" s="31">
        <v>85000</v>
      </c>
      <c r="T70" s="28">
        <f t="shared" si="2"/>
        <v>748000.00000000012</v>
      </c>
    </row>
    <row r="71" spans="1:20" s="17" customFormat="1" ht="13.5" customHeight="1" x14ac:dyDescent="0.25">
      <c r="A71" s="229"/>
      <c r="B71" s="19" t="s">
        <v>246</v>
      </c>
      <c r="C71" s="19" t="s">
        <v>126</v>
      </c>
      <c r="D71" s="20" t="s">
        <v>66</v>
      </c>
      <c r="E71" s="21" t="s">
        <v>229</v>
      </c>
      <c r="F71" s="22">
        <v>7200</v>
      </c>
      <c r="G71" s="18">
        <v>36</v>
      </c>
      <c r="H71" s="18" t="s">
        <v>95</v>
      </c>
      <c r="I71" s="18" t="s">
        <v>30</v>
      </c>
      <c r="J71" s="23">
        <v>45289</v>
      </c>
      <c r="K71" s="24"/>
      <c r="L71" s="25"/>
      <c r="M71" s="25"/>
      <c r="N71" s="30" t="s">
        <v>248</v>
      </c>
      <c r="O71" s="26"/>
      <c r="P71" s="26"/>
      <c r="Q71" s="19">
        <v>6400</v>
      </c>
      <c r="R71" s="26"/>
      <c r="S71" s="31">
        <v>85000</v>
      </c>
      <c r="T71" s="28">
        <f t="shared" si="2"/>
        <v>612000</v>
      </c>
    </row>
    <row r="72" spans="1:20" s="17" customFormat="1" ht="13.5" customHeight="1" x14ac:dyDescent="0.25">
      <c r="A72" s="29" t="s">
        <v>92</v>
      </c>
      <c r="B72" s="22" t="s">
        <v>159</v>
      </c>
      <c r="C72" s="22" t="s">
        <v>126</v>
      </c>
      <c r="D72" s="20" t="s">
        <v>127</v>
      </c>
      <c r="E72" s="33" t="s">
        <v>249</v>
      </c>
      <c r="F72" s="22">
        <v>17500</v>
      </c>
      <c r="G72" s="18">
        <v>700</v>
      </c>
      <c r="H72" s="18" t="s">
        <v>95</v>
      </c>
      <c r="I72" s="18" t="s">
        <v>30</v>
      </c>
      <c r="J72" s="23">
        <v>45289</v>
      </c>
      <c r="K72" s="18"/>
      <c r="L72" s="26"/>
      <c r="M72" s="26"/>
      <c r="N72" s="23" t="s">
        <v>250</v>
      </c>
      <c r="O72" s="22">
        <v>17500</v>
      </c>
      <c r="P72" s="19"/>
      <c r="Q72" s="26"/>
      <c r="R72" s="222" t="s">
        <v>34</v>
      </c>
      <c r="S72" s="27">
        <v>41000</v>
      </c>
      <c r="T72" s="28">
        <f t="shared" si="2"/>
        <v>717500</v>
      </c>
    </row>
    <row r="73" spans="1:20" s="17" customFormat="1" ht="13.5" customHeight="1" x14ac:dyDescent="0.25">
      <c r="A73" s="29" t="s">
        <v>92</v>
      </c>
      <c r="B73" s="22" t="s">
        <v>159</v>
      </c>
      <c r="C73" s="22" t="s">
        <v>126</v>
      </c>
      <c r="D73" s="20" t="s">
        <v>127</v>
      </c>
      <c r="E73" s="33" t="s">
        <v>240</v>
      </c>
      <c r="F73" s="22">
        <v>17500</v>
      </c>
      <c r="G73" s="18">
        <v>700</v>
      </c>
      <c r="H73" s="18" t="s">
        <v>95</v>
      </c>
      <c r="I73" s="18" t="s">
        <v>30</v>
      </c>
      <c r="J73" s="23">
        <v>45289</v>
      </c>
      <c r="K73" s="18"/>
      <c r="L73" s="26"/>
      <c r="M73" s="26"/>
      <c r="N73" s="23" t="s">
        <v>251</v>
      </c>
      <c r="O73" s="22">
        <v>17500</v>
      </c>
      <c r="P73" s="19"/>
      <c r="Q73" s="26"/>
      <c r="R73" s="222" t="s">
        <v>34</v>
      </c>
      <c r="S73" s="27">
        <v>41000</v>
      </c>
      <c r="T73" s="28">
        <f t="shared" si="2"/>
        <v>717500</v>
      </c>
    </row>
    <row r="74" spans="1:20" ht="18.75" x14ac:dyDescent="0.3">
      <c r="A74" s="52" t="s">
        <v>252</v>
      </c>
      <c r="B74" s="53">
        <f>SUM(F4:F73)/1000</f>
        <v>721.10419999999999</v>
      </c>
      <c r="C74" s="54" t="s">
        <v>253</v>
      </c>
      <c r="S74" s="55"/>
      <c r="T74" s="55">
        <f>SUM(T4:T73)</f>
        <v>43706727.899999999</v>
      </c>
    </row>
    <row r="75" spans="1:20" ht="18.75" x14ac:dyDescent="0.3">
      <c r="A75" s="56" t="s">
        <v>254</v>
      </c>
      <c r="B75" s="57">
        <f>B76+B77+B78</f>
        <v>721.10419999999999</v>
      </c>
      <c r="C75" s="58" t="s">
        <v>253</v>
      </c>
    </row>
    <row r="76" spans="1:20" ht="18.75" x14ac:dyDescent="0.3">
      <c r="A76" s="59" t="s">
        <v>255</v>
      </c>
      <c r="B76" s="60">
        <f>SUM(O4:O73)/1000</f>
        <v>511.61419999999993</v>
      </c>
      <c r="C76" s="61" t="s">
        <v>253</v>
      </c>
    </row>
    <row r="77" spans="1:20" ht="18.75" x14ac:dyDescent="0.3">
      <c r="A77" s="59" t="s">
        <v>256</v>
      </c>
      <c r="B77" s="60">
        <f>SUM(P4:P73)/1000</f>
        <v>2.25</v>
      </c>
      <c r="C77" s="61" t="s">
        <v>253</v>
      </c>
    </row>
    <row r="78" spans="1:20" ht="18.75" x14ac:dyDescent="0.3">
      <c r="A78" s="59" t="s">
        <v>257</v>
      </c>
      <c r="B78" s="62">
        <f>SUM(Q4:Q73)/1000</f>
        <v>207.24</v>
      </c>
      <c r="C78" s="61" t="s">
        <v>253</v>
      </c>
    </row>
    <row r="79" spans="1:20" ht="18.75" x14ac:dyDescent="0.3">
      <c r="A79" s="63" t="s">
        <v>258</v>
      </c>
      <c r="B79" s="64">
        <f>B74-B75</f>
        <v>0</v>
      </c>
      <c r="C79" s="65" t="s">
        <v>253</v>
      </c>
    </row>
  </sheetData>
  <sheetProtection formatCells="0" formatColumns="0" formatRows="0" insertColumns="0" insertRows="0" insertHyperlinks="0" deleteColumns="0" deleteRows="0" sort="0" autoFilter="0" pivotTables="0"/>
  <autoFilter ref="A1:T79" xr:uid="{D4F541B8-8D0D-46F9-B865-6E60B9E8A790}"/>
  <mergeCells count="25">
    <mergeCell ref="A49:A50"/>
    <mergeCell ref="A51:A52"/>
    <mergeCell ref="A64:A65"/>
    <mergeCell ref="A68:A69"/>
    <mergeCell ref="A70:A71"/>
    <mergeCell ref="A23:A25"/>
    <mergeCell ref="A29:A30"/>
    <mergeCell ref="A36:A37"/>
    <mergeCell ref="A43:A45"/>
    <mergeCell ref="A46:A47"/>
    <mergeCell ref="O2:Q2"/>
    <mergeCell ref="R2:R3"/>
    <mergeCell ref="A5:A9"/>
    <mergeCell ref="A13:A14"/>
    <mergeCell ref="A19:A20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D74" xr:uid="{00F900A8-0091-4805-B243-00A5005900A6}">
      <formula1>$E$74:$E$90</formula1>
    </dataValidation>
  </dataValidations>
  <pageMargins left="0.7" right="0.7" top="0.75" bottom="0.75" header="0.3" footer="0.3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справочник!$E$4:$E$117</xm:f>
          </x14:formula1>
          <xm:sqref>D4:D73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2"/>
  <sheetViews>
    <sheetView zoomScale="70" workbookViewId="0">
      <selection activeCell="D1" sqref="D1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65.5703125" bestFit="1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8.140625" customWidth="1"/>
    <col min="14" max="14" width="14.140625" style="2" customWidth="1"/>
    <col min="18" max="18" width="27.140625" customWidth="1"/>
    <col min="19" max="19" width="25.140625" customWidth="1"/>
    <col min="20" max="20" width="20" customWidth="1"/>
    <col min="21" max="21" width="15.42578125" customWidth="1"/>
  </cols>
  <sheetData>
    <row r="1" spans="1:20" s="3" customFormat="1" ht="17.25" x14ac:dyDescent="0.3">
      <c r="A1" s="5"/>
      <c r="B1" s="5" t="s">
        <v>0</v>
      </c>
      <c r="C1" s="6">
        <v>45231</v>
      </c>
      <c r="D1" s="5"/>
      <c r="E1" s="5"/>
      <c r="F1" s="5"/>
      <c r="H1" s="5"/>
      <c r="I1" s="5"/>
      <c r="J1" s="5"/>
      <c r="K1" s="7"/>
      <c r="L1" s="7"/>
      <c r="M1" s="7"/>
      <c r="N1" s="8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9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9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7" customFormat="1" ht="13.5" customHeight="1" x14ac:dyDescent="0.25">
      <c r="A4" s="29" t="s">
        <v>259</v>
      </c>
      <c r="B4" s="19" t="s">
        <v>93</v>
      </c>
      <c r="C4" s="19" t="s">
        <v>57</v>
      </c>
      <c r="D4" s="20" t="s">
        <v>58</v>
      </c>
      <c r="E4" s="21" t="s">
        <v>260</v>
      </c>
      <c r="F4" s="19">
        <f>G4*22.68</f>
        <v>15876</v>
      </c>
      <c r="G4" s="18">
        <v>700</v>
      </c>
      <c r="H4" s="18" t="s">
        <v>95</v>
      </c>
      <c r="I4" s="18" t="s">
        <v>30</v>
      </c>
      <c r="J4" s="23">
        <v>45231</v>
      </c>
      <c r="K4" s="24"/>
      <c r="L4" s="25"/>
      <c r="M4" s="25"/>
      <c r="N4" s="30" t="s">
        <v>261</v>
      </c>
      <c r="O4" s="19">
        <f>F4</f>
        <v>15876</v>
      </c>
      <c r="P4" s="26"/>
      <c r="Q4" s="26"/>
      <c r="R4" s="26" t="s">
        <v>34</v>
      </c>
      <c r="S4" s="27">
        <v>49500</v>
      </c>
      <c r="T4" s="28">
        <f t="shared" ref="T4:T17" si="0">S4*(F4/1000)</f>
        <v>785862</v>
      </c>
    </row>
    <row r="5" spans="1:20" s="17" customFormat="1" ht="13.5" customHeight="1" x14ac:dyDescent="0.25">
      <c r="A5" s="19" t="s">
        <v>259</v>
      </c>
      <c r="B5" s="19" t="s">
        <v>262</v>
      </c>
      <c r="C5" s="19" t="s">
        <v>57</v>
      </c>
      <c r="D5" s="20" t="s">
        <v>191</v>
      </c>
      <c r="E5" s="33" t="s">
        <v>263</v>
      </c>
      <c r="F5" s="22">
        <v>12000</v>
      </c>
      <c r="G5" s="18">
        <v>480</v>
      </c>
      <c r="H5" s="18" t="s">
        <v>95</v>
      </c>
      <c r="I5" s="18" t="s">
        <v>30</v>
      </c>
      <c r="J5" s="23">
        <v>45231</v>
      </c>
      <c r="K5" s="24"/>
      <c r="L5" s="25"/>
      <c r="M5" s="25"/>
      <c r="N5" s="25" t="s">
        <v>264</v>
      </c>
      <c r="O5" s="26"/>
      <c r="P5" s="26"/>
      <c r="Q5" s="26">
        <v>12000</v>
      </c>
      <c r="R5" s="26" t="s">
        <v>34</v>
      </c>
      <c r="S5" s="27">
        <v>165000</v>
      </c>
      <c r="T5" s="28">
        <f t="shared" si="0"/>
        <v>1980000</v>
      </c>
    </row>
    <row r="6" spans="1:20" s="17" customFormat="1" ht="13.5" customHeight="1" x14ac:dyDescent="0.25">
      <c r="A6" s="19" t="s">
        <v>259</v>
      </c>
      <c r="B6" s="19" t="s">
        <v>97</v>
      </c>
      <c r="C6" s="19" t="s">
        <v>57</v>
      </c>
      <c r="D6" s="20" t="s">
        <v>155</v>
      </c>
      <c r="E6" s="33" t="s">
        <v>260</v>
      </c>
      <c r="F6" s="22">
        <v>7400</v>
      </c>
      <c r="G6" s="18">
        <v>40</v>
      </c>
      <c r="H6" s="18" t="s">
        <v>95</v>
      </c>
      <c r="I6" s="18" t="s">
        <v>30</v>
      </c>
      <c r="J6" s="23">
        <v>45231</v>
      </c>
      <c r="K6" s="24"/>
      <c r="L6" s="25"/>
      <c r="M6" s="25"/>
      <c r="N6" s="25" t="s">
        <v>265</v>
      </c>
      <c r="O6" s="26"/>
      <c r="P6" s="26"/>
      <c r="Q6" s="22">
        <v>7400</v>
      </c>
      <c r="R6" s="26" t="s">
        <v>34</v>
      </c>
      <c r="S6" s="27">
        <v>110800</v>
      </c>
      <c r="T6" s="28">
        <f t="shared" si="0"/>
        <v>819920</v>
      </c>
    </row>
    <row r="7" spans="1:20" s="17" customFormat="1" ht="13.5" customHeight="1" x14ac:dyDescent="0.25">
      <c r="A7" s="19" t="s">
        <v>259</v>
      </c>
      <c r="B7" s="19" t="s">
        <v>97</v>
      </c>
      <c r="C7" s="19" t="s">
        <v>57</v>
      </c>
      <c r="D7" s="20" t="s">
        <v>155</v>
      </c>
      <c r="E7" s="33" t="s">
        <v>266</v>
      </c>
      <c r="F7" s="22">
        <v>7400</v>
      </c>
      <c r="G7" s="18">
        <v>40</v>
      </c>
      <c r="H7" s="18" t="s">
        <v>95</v>
      </c>
      <c r="I7" s="18" t="s">
        <v>30</v>
      </c>
      <c r="J7" s="23">
        <v>45231</v>
      </c>
      <c r="K7" s="24"/>
      <c r="L7" s="25"/>
      <c r="M7" s="25"/>
      <c r="N7" s="25" t="s">
        <v>265</v>
      </c>
      <c r="O7" s="26"/>
      <c r="P7" s="26"/>
      <c r="Q7" s="22">
        <v>7400</v>
      </c>
      <c r="R7" s="26" t="s">
        <v>34</v>
      </c>
      <c r="S7" s="27">
        <v>110800</v>
      </c>
      <c r="T7" s="28">
        <f t="shared" si="0"/>
        <v>819920</v>
      </c>
    </row>
    <row r="8" spans="1:20" s="17" customFormat="1" ht="13.5" customHeight="1" x14ac:dyDescent="0.25">
      <c r="A8" s="228" t="s">
        <v>259</v>
      </c>
      <c r="B8" s="19" t="s">
        <v>262</v>
      </c>
      <c r="C8" s="19" t="s">
        <v>57</v>
      </c>
      <c r="D8" s="20" t="s">
        <v>191</v>
      </c>
      <c r="E8" s="33" t="s">
        <v>263</v>
      </c>
      <c r="F8" s="22">
        <v>600</v>
      </c>
      <c r="G8" s="18">
        <v>24</v>
      </c>
      <c r="H8" s="18" t="s">
        <v>95</v>
      </c>
      <c r="I8" s="18" t="s">
        <v>30</v>
      </c>
      <c r="J8" s="23">
        <v>45233</v>
      </c>
      <c r="K8" s="24"/>
      <c r="L8" s="25"/>
      <c r="M8" s="25"/>
      <c r="N8" s="25" t="s">
        <v>267</v>
      </c>
      <c r="O8" s="26"/>
      <c r="P8" s="26"/>
      <c r="Q8" s="22">
        <v>600</v>
      </c>
      <c r="R8" s="26" t="s">
        <v>34</v>
      </c>
      <c r="S8" s="27">
        <v>165000</v>
      </c>
      <c r="T8" s="28">
        <f t="shared" si="0"/>
        <v>99000</v>
      </c>
    </row>
    <row r="9" spans="1:20" s="17" customFormat="1" ht="13.5" customHeight="1" x14ac:dyDescent="0.25">
      <c r="A9" s="229"/>
      <c r="B9" s="19" t="s">
        <v>268</v>
      </c>
      <c r="C9" s="19" t="s">
        <v>57</v>
      </c>
      <c r="D9" s="20" t="s">
        <v>58</v>
      </c>
      <c r="E9" s="21" t="s">
        <v>269</v>
      </c>
      <c r="F9" s="19">
        <v>11907</v>
      </c>
      <c r="G9" s="18">
        <v>525</v>
      </c>
      <c r="H9" s="18" t="s">
        <v>95</v>
      </c>
      <c r="I9" s="18" t="s">
        <v>30</v>
      </c>
      <c r="J9" s="23">
        <v>45233</v>
      </c>
      <c r="K9" s="24"/>
      <c r="L9" s="25"/>
      <c r="M9" s="25"/>
      <c r="N9" s="25" t="s">
        <v>267</v>
      </c>
      <c r="O9" s="19">
        <v>11907</v>
      </c>
      <c r="P9" s="26"/>
      <c r="Q9" s="26"/>
      <c r="R9" s="26" t="s">
        <v>34</v>
      </c>
      <c r="S9" s="27">
        <v>49500</v>
      </c>
      <c r="T9" s="28">
        <f t="shared" si="0"/>
        <v>589396.5</v>
      </c>
    </row>
    <row r="10" spans="1:20" s="17" customFormat="1" ht="13.5" customHeight="1" x14ac:dyDescent="0.25">
      <c r="A10" s="230"/>
      <c r="B10" s="19" t="s">
        <v>270</v>
      </c>
      <c r="C10" s="19" t="s">
        <v>57</v>
      </c>
      <c r="D10" s="20" t="s">
        <v>191</v>
      </c>
      <c r="E10" s="33" t="s">
        <v>271</v>
      </c>
      <c r="F10" s="22">
        <v>2400</v>
      </c>
      <c r="G10" s="18">
        <v>96</v>
      </c>
      <c r="H10" s="18" t="s">
        <v>95</v>
      </c>
      <c r="I10" s="18" t="s">
        <v>30</v>
      </c>
      <c r="J10" s="23">
        <v>45233</v>
      </c>
      <c r="K10" s="24"/>
      <c r="L10" s="25"/>
      <c r="M10" s="25"/>
      <c r="N10" s="25" t="s">
        <v>267</v>
      </c>
      <c r="O10" s="26"/>
      <c r="P10" s="26"/>
      <c r="Q10" s="22">
        <v>2400</v>
      </c>
      <c r="R10" s="26" t="s">
        <v>34</v>
      </c>
      <c r="S10" s="27">
        <v>165000</v>
      </c>
      <c r="T10" s="28">
        <f t="shared" si="0"/>
        <v>396000</v>
      </c>
    </row>
    <row r="11" spans="1:20" s="17" customFormat="1" ht="13.5" customHeight="1" x14ac:dyDescent="0.25">
      <c r="A11" s="43" t="s">
        <v>259</v>
      </c>
      <c r="B11" s="19" t="s">
        <v>270</v>
      </c>
      <c r="C11" s="19" t="s">
        <v>57</v>
      </c>
      <c r="D11" s="20" t="s">
        <v>58</v>
      </c>
      <c r="E11" s="21" t="s">
        <v>266</v>
      </c>
      <c r="F11" s="19">
        <v>15876</v>
      </c>
      <c r="G11" s="18">
        <v>700</v>
      </c>
      <c r="H11" s="18" t="s">
        <v>95</v>
      </c>
      <c r="I11" s="18" t="s">
        <v>30</v>
      </c>
      <c r="J11" s="23">
        <v>45233</v>
      </c>
      <c r="K11" s="24"/>
      <c r="L11" s="25"/>
      <c r="M11" s="25"/>
      <c r="N11" s="25" t="s">
        <v>272</v>
      </c>
      <c r="O11" s="19">
        <v>15876</v>
      </c>
      <c r="P11" s="26"/>
      <c r="Q11" s="26"/>
      <c r="R11" s="26" t="s">
        <v>34</v>
      </c>
      <c r="S11" s="27">
        <v>49500</v>
      </c>
      <c r="T11" s="28">
        <f t="shared" si="0"/>
        <v>785862</v>
      </c>
    </row>
    <row r="12" spans="1:20" s="17" customFormat="1" ht="13.5" customHeight="1" x14ac:dyDescent="0.25">
      <c r="A12" s="19" t="s">
        <v>259</v>
      </c>
      <c r="B12" s="19" t="s">
        <v>97</v>
      </c>
      <c r="C12" s="19" t="s">
        <v>57</v>
      </c>
      <c r="D12" s="20" t="s">
        <v>155</v>
      </c>
      <c r="E12" s="33" t="s">
        <v>273</v>
      </c>
      <c r="F12" s="22">
        <v>7400</v>
      </c>
      <c r="G12" s="18">
        <v>40</v>
      </c>
      <c r="H12" s="18" t="s">
        <v>95</v>
      </c>
      <c r="I12" s="18" t="s">
        <v>30</v>
      </c>
      <c r="J12" s="23">
        <v>45233</v>
      </c>
      <c r="K12" s="24"/>
      <c r="L12" s="25"/>
      <c r="M12" s="25"/>
      <c r="N12" s="25" t="s">
        <v>274</v>
      </c>
      <c r="O12" s="26"/>
      <c r="P12" s="26"/>
      <c r="Q12" s="22">
        <v>7400</v>
      </c>
      <c r="R12" s="26" t="s">
        <v>34</v>
      </c>
      <c r="S12" s="27">
        <v>110800</v>
      </c>
      <c r="T12" s="28">
        <f t="shared" si="0"/>
        <v>819920</v>
      </c>
    </row>
    <row r="13" spans="1:20" s="17" customFormat="1" ht="13.5" customHeight="1" x14ac:dyDescent="0.25">
      <c r="A13" s="19" t="s">
        <v>259</v>
      </c>
      <c r="B13" s="19" t="s">
        <v>97</v>
      </c>
      <c r="C13" s="19" t="s">
        <v>57</v>
      </c>
      <c r="D13" s="20" t="s">
        <v>155</v>
      </c>
      <c r="E13" s="33" t="s">
        <v>275</v>
      </c>
      <c r="F13" s="22">
        <v>7400</v>
      </c>
      <c r="G13" s="18">
        <v>40</v>
      </c>
      <c r="H13" s="18" t="s">
        <v>95</v>
      </c>
      <c r="I13" s="18" t="s">
        <v>30</v>
      </c>
      <c r="J13" s="23">
        <v>45233</v>
      </c>
      <c r="K13" s="24"/>
      <c r="L13" s="25"/>
      <c r="M13" s="25"/>
      <c r="N13" s="25" t="s">
        <v>274</v>
      </c>
      <c r="O13" s="26"/>
      <c r="P13" s="26"/>
      <c r="Q13" s="22">
        <v>7400</v>
      </c>
      <c r="R13" s="26" t="s">
        <v>34</v>
      </c>
      <c r="S13" s="27">
        <v>110800</v>
      </c>
      <c r="T13" s="28">
        <f t="shared" si="0"/>
        <v>819920</v>
      </c>
    </row>
    <row r="14" spans="1:20" s="17" customFormat="1" ht="13.5" customHeight="1" x14ac:dyDescent="0.25">
      <c r="A14" s="26"/>
      <c r="B14" s="19" t="s">
        <v>237</v>
      </c>
      <c r="C14" s="19" t="s">
        <v>49</v>
      </c>
      <c r="D14" s="20" t="s">
        <v>276</v>
      </c>
      <c r="E14" s="21" t="s">
        <v>277</v>
      </c>
      <c r="F14" s="19">
        <v>8000</v>
      </c>
      <c r="G14" s="18">
        <v>40</v>
      </c>
      <c r="H14" s="18" t="s">
        <v>29</v>
      </c>
      <c r="I14" s="18" t="s">
        <v>30</v>
      </c>
      <c r="J14" s="23">
        <v>45233</v>
      </c>
      <c r="K14" s="24" t="s">
        <v>278</v>
      </c>
      <c r="L14" s="34"/>
      <c r="M14" s="25" t="s">
        <v>279</v>
      </c>
      <c r="N14" s="30"/>
      <c r="O14" s="26"/>
      <c r="P14" s="26"/>
      <c r="Q14" s="19">
        <v>8000</v>
      </c>
      <c r="R14" s="26" t="s">
        <v>34</v>
      </c>
      <c r="S14" s="27">
        <v>211000</v>
      </c>
      <c r="T14" s="28">
        <f t="shared" si="0"/>
        <v>1688000</v>
      </c>
    </row>
    <row r="15" spans="1:20" s="17" customFormat="1" ht="13.5" customHeight="1" x14ac:dyDescent="0.25">
      <c r="A15" s="228" t="s">
        <v>280</v>
      </c>
      <c r="B15" s="19" t="s">
        <v>281</v>
      </c>
      <c r="C15" s="19" t="s">
        <v>57</v>
      </c>
      <c r="D15" s="20" t="s">
        <v>282</v>
      </c>
      <c r="E15" s="21" t="s">
        <v>47</v>
      </c>
      <c r="F15" s="19">
        <v>5320</v>
      </c>
      <c r="G15" s="18">
        <v>28</v>
      </c>
      <c r="H15" s="18" t="s">
        <v>283</v>
      </c>
      <c r="I15" s="18" t="s">
        <v>30</v>
      </c>
      <c r="J15" s="23">
        <v>45237</v>
      </c>
      <c r="K15" s="24"/>
      <c r="L15" s="25"/>
      <c r="M15" s="25"/>
      <c r="N15" s="30" t="s">
        <v>284</v>
      </c>
      <c r="O15" s="26"/>
      <c r="P15" s="26"/>
      <c r="Q15" s="19">
        <v>5320</v>
      </c>
      <c r="R15" s="26" t="s">
        <v>34</v>
      </c>
      <c r="S15" s="27">
        <v>115000</v>
      </c>
      <c r="T15" s="28">
        <f t="shared" si="0"/>
        <v>611800</v>
      </c>
    </row>
    <row r="16" spans="1:20" s="17" customFormat="1" ht="13.5" customHeight="1" x14ac:dyDescent="0.25">
      <c r="A16" s="229"/>
      <c r="B16" s="19" t="s">
        <v>281</v>
      </c>
      <c r="C16" s="19" t="s">
        <v>57</v>
      </c>
      <c r="D16" s="20" t="s">
        <v>282</v>
      </c>
      <c r="E16" s="21" t="s">
        <v>285</v>
      </c>
      <c r="F16" s="19">
        <v>3040</v>
      </c>
      <c r="G16" s="18">
        <v>16</v>
      </c>
      <c r="H16" s="18" t="s">
        <v>283</v>
      </c>
      <c r="I16" s="18" t="s">
        <v>30</v>
      </c>
      <c r="J16" s="23">
        <v>45237</v>
      </c>
      <c r="K16" s="24"/>
      <c r="L16" s="25"/>
      <c r="M16" s="25"/>
      <c r="N16" s="30" t="s">
        <v>284</v>
      </c>
      <c r="O16" s="26"/>
      <c r="P16" s="26"/>
      <c r="Q16" s="19">
        <v>3040</v>
      </c>
      <c r="R16" s="26" t="s">
        <v>34</v>
      </c>
      <c r="S16" s="27">
        <v>115000</v>
      </c>
      <c r="T16" s="28">
        <f t="shared" si="0"/>
        <v>349600</v>
      </c>
    </row>
    <row r="17" spans="1:21" s="17" customFormat="1" ht="13.5" customHeight="1" x14ac:dyDescent="0.25">
      <c r="A17" s="230"/>
      <c r="B17" s="19" t="s">
        <v>281</v>
      </c>
      <c r="C17" s="19" t="s">
        <v>57</v>
      </c>
      <c r="D17" s="20" t="s">
        <v>282</v>
      </c>
      <c r="E17" s="21" t="s">
        <v>286</v>
      </c>
      <c r="F17" s="19">
        <v>6840</v>
      </c>
      <c r="G17" s="18">
        <v>36</v>
      </c>
      <c r="H17" s="18" t="s">
        <v>283</v>
      </c>
      <c r="I17" s="18" t="s">
        <v>30</v>
      </c>
      <c r="J17" s="23">
        <v>45237</v>
      </c>
      <c r="K17" s="24"/>
      <c r="L17" s="25"/>
      <c r="M17" s="25"/>
      <c r="N17" s="25" t="s">
        <v>284</v>
      </c>
      <c r="O17" s="26"/>
      <c r="P17" s="26"/>
      <c r="Q17" s="19">
        <v>6840</v>
      </c>
      <c r="R17" s="26" t="s">
        <v>34</v>
      </c>
      <c r="S17" s="27">
        <v>115000</v>
      </c>
      <c r="T17" s="28">
        <f t="shared" si="0"/>
        <v>786600</v>
      </c>
    </row>
    <row r="18" spans="1:21" s="17" customFormat="1" ht="13.5" customHeight="1" x14ac:dyDescent="0.25">
      <c r="A18" s="43" t="s">
        <v>259</v>
      </c>
      <c r="B18" s="19" t="s">
        <v>93</v>
      </c>
      <c r="C18" s="19" t="s">
        <v>57</v>
      </c>
      <c r="D18" s="20" t="s">
        <v>58</v>
      </c>
      <c r="E18" s="21" t="s">
        <v>275</v>
      </c>
      <c r="F18" s="19">
        <v>15876</v>
      </c>
      <c r="G18" s="18">
        <v>700</v>
      </c>
      <c r="H18" s="18" t="s">
        <v>95</v>
      </c>
      <c r="I18" s="18" t="s">
        <v>30</v>
      </c>
      <c r="J18" s="23">
        <v>45237</v>
      </c>
      <c r="K18" s="24"/>
      <c r="L18" s="25"/>
      <c r="M18" s="25"/>
      <c r="N18" s="25" t="s">
        <v>287</v>
      </c>
      <c r="O18" s="19">
        <v>15876</v>
      </c>
      <c r="P18" s="26"/>
      <c r="Q18" s="26"/>
      <c r="R18" s="26" t="s">
        <v>34</v>
      </c>
      <c r="S18" s="27">
        <v>49500</v>
      </c>
      <c r="T18" s="28">
        <f t="shared" ref="T18:T81" si="1">S18*(F18/1000)</f>
        <v>785862</v>
      </c>
    </row>
    <row r="19" spans="1:21" s="17" customFormat="1" ht="13.5" customHeight="1" x14ac:dyDescent="0.25">
      <c r="A19" s="43" t="s">
        <v>259</v>
      </c>
      <c r="B19" s="19" t="s">
        <v>93</v>
      </c>
      <c r="C19" s="19" t="s">
        <v>57</v>
      </c>
      <c r="D19" s="20" t="s">
        <v>58</v>
      </c>
      <c r="E19" s="21" t="s">
        <v>273</v>
      </c>
      <c r="F19" s="19">
        <v>15876</v>
      </c>
      <c r="G19" s="18">
        <v>700</v>
      </c>
      <c r="H19" s="18" t="s">
        <v>95</v>
      </c>
      <c r="I19" s="18" t="s">
        <v>30</v>
      </c>
      <c r="J19" s="23">
        <v>45237</v>
      </c>
      <c r="K19" s="24"/>
      <c r="L19" s="25"/>
      <c r="M19" s="25"/>
      <c r="N19" s="25" t="s">
        <v>288</v>
      </c>
      <c r="O19" s="19">
        <v>15876</v>
      </c>
      <c r="P19" s="26"/>
      <c r="Q19" s="26"/>
      <c r="R19" s="26" t="s">
        <v>34</v>
      </c>
      <c r="S19" s="27">
        <v>49500</v>
      </c>
      <c r="T19" s="28">
        <f t="shared" si="1"/>
        <v>785862</v>
      </c>
    </row>
    <row r="20" spans="1:21" s="17" customFormat="1" ht="13.5" customHeight="1" x14ac:dyDescent="0.25">
      <c r="A20" s="19" t="s">
        <v>259</v>
      </c>
      <c r="B20" s="19" t="s">
        <v>97</v>
      </c>
      <c r="C20" s="19" t="s">
        <v>57</v>
      </c>
      <c r="D20" s="20" t="s">
        <v>155</v>
      </c>
      <c r="E20" s="33" t="s">
        <v>289</v>
      </c>
      <c r="F20" s="22">
        <v>7585</v>
      </c>
      <c r="G20" s="18">
        <v>41</v>
      </c>
      <c r="H20" s="18" t="s">
        <v>95</v>
      </c>
      <c r="I20" s="18" t="s">
        <v>30</v>
      </c>
      <c r="J20" s="23">
        <v>45237</v>
      </c>
      <c r="K20" s="24"/>
      <c r="L20" s="25"/>
      <c r="M20" s="25"/>
      <c r="N20" s="25" t="s">
        <v>290</v>
      </c>
      <c r="O20" s="26"/>
      <c r="P20" s="26"/>
      <c r="Q20" s="22">
        <v>7585</v>
      </c>
      <c r="R20" s="26" t="s">
        <v>34</v>
      </c>
      <c r="S20" s="27">
        <v>110800</v>
      </c>
      <c r="T20" s="28">
        <f t="shared" si="1"/>
        <v>840418</v>
      </c>
    </row>
    <row r="21" spans="1:21" s="17" customFormat="1" ht="13.5" customHeight="1" x14ac:dyDescent="0.25">
      <c r="A21" s="19" t="s">
        <v>259</v>
      </c>
      <c r="B21" s="19" t="s">
        <v>97</v>
      </c>
      <c r="C21" s="19" t="s">
        <v>57</v>
      </c>
      <c r="D21" s="20" t="s">
        <v>155</v>
      </c>
      <c r="E21" s="33" t="s">
        <v>291</v>
      </c>
      <c r="F21" s="22">
        <v>7215</v>
      </c>
      <c r="G21" s="18">
        <v>39</v>
      </c>
      <c r="H21" s="18" t="s">
        <v>95</v>
      </c>
      <c r="I21" s="18" t="s">
        <v>30</v>
      </c>
      <c r="J21" s="23">
        <v>45237</v>
      </c>
      <c r="K21" s="24"/>
      <c r="L21" s="25"/>
      <c r="M21" s="25"/>
      <c r="N21" s="25" t="s">
        <v>290</v>
      </c>
      <c r="O21" s="26"/>
      <c r="P21" s="26"/>
      <c r="Q21" s="22">
        <v>7215</v>
      </c>
      <c r="R21" s="26" t="s">
        <v>34</v>
      </c>
      <c r="S21" s="27">
        <v>110800</v>
      </c>
      <c r="T21" s="28">
        <f t="shared" si="1"/>
        <v>799422</v>
      </c>
    </row>
    <row r="22" spans="1:21" s="17" customFormat="1" ht="13.5" customHeight="1" x14ac:dyDescent="0.25">
      <c r="A22" s="25"/>
      <c r="B22" s="19" t="s">
        <v>292</v>
      </c>
      <c r="C22" s="19" t="s">
        <v>26</v>
      </c>
      <c r="D22" s="20" t="s">
        <v>27</v>
      </c>
      <c r="E22" s="21" t="s">
        <v>45</v>
      </c>
      <c r="F22" s="19">
        <v>20000</v>
      </c>
      <c r="G22" s="18">
        <v>800</v>
      </c>
      <c r="H22" s="18" t="s">
        <v>29</v>
      </c>
      <c r="I22" s="18" t="s">
        <v>30</v>
      </c>
      <c r="J22" s="23">
        <v>45237</v>
      </c>
      <c r="K22" s="24" t="s">
        <v>293</v>
      </c>
      <c r="L22" s="25" t="s">
        <v>294</v>
      </c>
      <c r="M22" s="25" t="s">
        <v>295</v>
      </c>
      <c r="N22" s="25"/>
      <c r="O22" s="19">
        <v>20000</v>
      </c>
      <c r="P22" s="26"/>
      <c r="Q22" s="26"/>
      <c r="R22" s="26" t="s">
        <v>34</v>
      </c>
      <c r="S22" s="27">
        <v>41000</v>
      </c>
      <c r="T22" s="28">
        <f t="shared" si="1"/>
        <v>820000</v>
      </c>
    </row>
    <row r="23" spans="1:21" s="17" customFormat="1" ht="13.5" customHeight="1" x14ac:dyDescent="0.25">
      <c r="A23" s="228" t="s">
        <v>296</v>
      </c>
      <c r="B23" s="19" t="s">
        <v>297</v>
      </c>
      <c r="C23" s="19" t="s">
        <v>298</v>
      </c>
      <c r="D23" s="20" t="s">
        <v>66</v>
      </c>
      <c r="E23" s="21" t="s">
        <v>299</v>
      </c>
      <c r="F23" s="19">
        <v>800</v>
      </c>
      <c r="G23" s="18">
        <v>4</v>
      </c>
      <c r="H23" s="18" t="s">
        <v>29</v>
      </c>
      <c r="I23" s="18" t="s">
        <v>30</v>
      </c>
      <c r="J23" s="23">
        <v>45238</v>
      </c>
      <c r="K23" s="24" t="s">
        <v>300</v>
      </c>
      <c r="L23" s="25"/>
      <c r="M23" s="25" t="s">
        <v>301</v>
      </c>
      <c r="N23" s="30"/>
      <c r="O23" s="26"/>
      <c r="P23" s="26"/>
      <c r="Q23" s="19">
        <v>800</v>
      </c>
      <c r="R23" s="26" t="s">
        <v>34</v>
      </c>
      <c r="S23" s="27">
        <v>90000</v>
      </c>
      <c r="T23" s="28">
        <f t="shared" si="1"/>
        <v>72000</v>
      </c>
    </row>
    <row r="24" spans="1:21" s="17" customFormat="1" ht="13.5" customHeight="1" x14ac:dyDescent="0.25">
      <c r="A24" s="229"/>
      <c r="B24" s="19" t="s">
        <v>297</v>
      </c>
      <c r="C24" s="19" t="s">
        <v>298</v>
      </c>
      <c r="D24" s="20" t="s">
        <v>66</v>
      </c>
      <c r="E24" s="21" t="s">
        <v>302</v>
      </c>
      <c r="F24" s="19">
        <v>8800</v>
      </c>
      <c r="G24" s="18">
        <v>44</v>
      </c>
      <c r="H24" s="18" t="s">
        <v>29</v>
      </c>
      <c r="I24" s="18" t="s">
        <v>30</v>
      </c>
      <c r="J24" s="23">
        <v>45238</v>
      </c>
      <c r="K24" s="24"/>
      <c r="L24" s="25"/>
      <c r="M24" s="25"/>
      <c r="N24" s="30"/>
      <c r="O24" s="26"/>
      <c r="P24" s="26"/>
      <c r="Q24" s="19">
        <v>8800</v>
      </c>
      <c r="R24" s="26" t="s">
        <v>34</v>
      </c>
      <c r="S24" s="27">
        <v>90000</v>
      </c>
      <c r="T24" s="28">
        <f t="shared" si="1"/>
        <v>792000.00000000012</v>
      </c>
    </row>
    <row r="25" spans="1:21" s="17" customFormat="1" ht="13.5" customHeight="1" x14ac:dyDescent="0.25">
      <c r="A25" s="230"/>
      <c r="B25" s="19" t="s">
        <v>297</v>
      </c>
      <c r="C25" s="19" t="s">
        <v>298</v>
      </c>
      <c r="D25" s="20" t="s">
        <v>66</v>
      </c>
      <c r="E25" s="21" t="s">
        <v>303</v>
      </c>
      <c r="F25" s="19">
        <v>8000</v>
      </c>
      <c r="G25" s="18">
        <v>40</v>
      </c>
      <c r="H25" s="18" t="s">
        <v>29</v>
      </c>
      <c r="I25" s="18" t="s">
        <v>30</v>
      </c>
      <c r="J25" s="23">
        <v>45238</v>
      </c>
      <c r="K25" s="24"/>
      <c r="L25" s="25"/>
      <c r="M25" s="25"/>
      <c r="N25" s="30"/>
      <c r="O25" s="26"/>
      <c r="P25" s="26"/>
      <c r="Q25" s="19">
        <v>8000</v>
      </c>
      <c r="R25" s="26" t="s">
        <v>34</v>
      </c>
      <c r="S25" s="27">
        <v>90000</v>
      </c>
      <c r="T25" s="28">
        <f t="shared" si="1"/>
        <v>720000</v>
      </c>
    </row>
    <row r="26" spans="1:21" s="17" customFormat="1" ht="13.5" customHeight="1" x14ac:dyDescent="0.25">
      <c r="A26" s="252" t="s">
        <v>35</v>
      </c>
      <c r="B26" s="19" t="s">
        <v>304</v>
      </c>
      <c r="C26" s="19" t="s">
        <v>26</v>
      </c>
      <c r="D26" s="20" t="s">
        <v>27</v>
      </c>
      <c r="E26" s="21" t="s">
        <v>305</v>
      </c>
      <c r="F26" s="19">
        <v>18000</v>
      </c>
      <c r="G26" s="18">
        <v>720</v>
      </c>
      <c r="H26" s="18" t="s">
        <v>60</v>
      </c>
      <c r="I26" s="18" t="s">
        <v>30</v>
      </c>
      <c r="J26" s="23">
        <v>45238</v>
      </c>
      <c r="K26" s="24" t="s">
        <v>306</v>
      </c>
      <c r="L26" s="25" t="s">
        <v>82</v>
      </c>
      <c r="M26" s="25" t="s">
        <v>83</v>
      </c>
      <c r="N26" s="25"/>
      <c r="O26" s="19">
        <v>18000</v>
      </c>
      <c r="P26" s="26"/>
      <c r="Q26" s="26"/>
      <c r="R26" s="26" t="s">
        <v>34</v>
      </c>
      <c r="S26" s="27">
        <v>41000</v>
      </c>
      <c r="T26" s="28">
        <f t="shared" si="1"/>
        <v>738000</v>
      </c>
    </row>
    <row r="27" spans="1:21" s="17" customFormat="1" ht="13.5" customHeight="1" x14ac:dyDescent="0.25">
      <c r="A27" s="253"/>
      <c r="B27" s="19" t="s">
        <v>307</v>
      </c>
      <c r="C27" s="19" t="s">
        <v>26</v>
      </c>
      <c r="D27" s="20" t="s">
        <v>308</v>
      </c>
      <c r="E27" s="21" t="s">
        <v>309</v>
      </c>
      <c r="F27" s="19">
        <v>2520</v>
      </c>
      <c r="G27" s="18">
        <v>14</v>
      </c>
      <c r="H27" s="18" t="s">
        <v>60</v>
      </c>
      <c r="I27" s="18" t="s">
        <v>30</v>
      </c>
      <c r="J27" s="23">
        <v>45238</v>
      </c>
      <c r="K27" s="25"/>
      <c r="L27" s="25"/>
      <c r="M27" s="25"/>
      <c r="N27" s="25"/>
      <c r="O27" s="26"/>
      <c r="P27" s="26"/>
      <c r="Q27" s="19">
        <v>2520</v>
      </c>
      <c r="R27" s="26" t="s">
        <v>34</v>
      </c>
      <c r="S27" s="27">
        <v>320000</v>
      </c>
      <c r="T27" s="28">
        <f t="shared" si="1"/>
        <v>806400</v>
      </c>
    </row>
    <row r="28" spans="1:21" s="17" customFormat="1" ht="13.5" customHeight="1" x14ac:dyDescent="0.25">
      <c r="A28" s="228" t="s">
        <v>35</v>
      </c>
      <c r="B28" s="19" t="s">
        <v>268</v>
      </c>
      <c r="C28" s="19" t="s">
        <v>57</v>
      </c>
      <c r="D28" s="20" t="s">
        <v>98</v>
      </c>
      <c r="E28" s="21" t="s">
        <v>263</v>
      </c>
      <c r="F28" s="19">
        <v>17500</v>
      </c>
      <c r="G28" s="18">
        <v>700</v>
      </c>
      <c r="H28" s="18" t="s">
        <v>95</v>
      </c>
      <c r="I28" s="18" t="s">
        <v>30</v>
      </c>
      <c r="J28" s="23">
        <v>45238</v>
      </c>
      <c r="K28" s="24" t="s">
        <v>310</v>
      </c>
      <c r="L28" s="25" t="s">
        <v>311</v>
      </c>
      <c r="M28" s="25" t="s">
        <v>312</v>
      </c>
      <c r="N28" s="30"/>
      <c r="O28" s="26"/>
      <c r="P28" s="19">
        <v>17500</v>
      </c>
      <c r="Q28" s="26"/>
      <c r="R28" s="26" t="s">
        <v>34</v>
      </c>
      <c r="S28" s="27">
        <v>275000</v>
      </c>
      <c r="T28" s="28">
        <f t="shared" si="1"/>
        <v>4812500</v>
      </c>
    </row>
    <row r="29" spans="1:21" s="17" customFormat="1" ht="12.75" customHeight="1" x14ac:dyDescent="0.25">
      <c r="A29" s="230"/>
      <c r="B29" s="19" t="s">
        <v>313</v>
      </c>
      <c r="C29" s="19" t="s">
        <v>57</v>
      </c>
      <c r="D29" s="20" t="s">
        <v>98</v>
      </c>
      <c r="E29" s="21" t="s">
        <v>118</v>
      </c>
      <c r="F29" s="19">
        <v>2250</v>
      </c>
      <c r="G29" s="18">
        <v>90</v>
      </c>
      <c r="H29" s="18" t="s">
        <v>95</v>
      </c>
      <c r="I29" s="18" t="s">
        <v>30</v>
      </c>
      <c r="J29" s="23">
        <v>45238</v>
      </c>
      <c r="K29" s="24"/>
      <c r="L29" s="25"/>
      <c r="M29" s="25"/>
      <c r="N29" s="30"/>
      <c r="O29" s="26"/>
      <c r="P29" s="19">
        <v>2250</v>
      </c>
      <c r="Q29" s="26"/>
      <c r="R29" s="26" t="s">
        <v>34</v>
      </c>
      <c r="S29" s="27">
        <v>275000</v>
      </c>
      <c r="T29" s="28">
        <f t="shared" si="1"/>
        <v>618750</v>
      </c>
    </row>
    <row r="30" spans="1:21" s="38" customFormat="1" ht="13.5" customHeight="1" x14ac:dyDescent="0.25">
      <c r="A30" s="22"/>
      <c r="B30" s="22" t="s">
        <v>314</v>
      </c>
      <c r="C30" s="22" t="s">
        <v>134</v>
      </c>
      <c r="D30" s="20" t="s">
        <v>86</v>
      </c>
      <c r="E30" s="33" t="s">
        <v>260</v>
      </c>
      <c r="F30" s="22">
        <v>4000</v>
      </c>
      <c r="G30" s="20">
        <v>160</v>
      </c>
      <c r="H30" s="20" t="s">
        <v>29</v>
      </c>
      <c r="I30" s="20" t="s">
        <v>30</v>
      </c>
      <c r="J30" s="39">
        <v>45238</v>
      </c>
      <c r="K30" s="40" t="s">
        <v>315</v>
      </c>
      <c r="L30" s="41"/>
      <c r="M30" s="41" t="s">
        <v>316</v>
      </c>
      <c r="N30" s="41"/>
      <c r="O30" s="22">
        <v>4000</v>
      </c>
      <c r="P30" s="42"/>
      <c r="Q30" s="42"/>
      <c r="R30" s="42" t="s">
        <v>34</v>
      </c>
      <c r="S30" s="31">
        <v>39000</v>
      </c>
      <c r="T30" s="68">
        <f t="shared" si="1"/>
        <v>156000</v>
      </c>
    </row>
    <row r="31" spans="1:21" s="38" customFormat="1" ht="13.5" customHeight="1" x14ac:dyDescent="0.25">
      <c r="A31" s="254" t="s">
        <v>259</v>
      </c>
      <c r="B31" s="22" t="s">
        <v>97</v>
      </c>
      <c r="C31" s="22" t="s">
        <v>57</v>
      </c>
      <c r="D31" s="20" t="s">
        <v>58</v>
      </c>
      <c r="E31" s="33" t="s">
        <v>289</v>
      </c>
      <c r="F31" s="22">
        <v>9072</v>
      </c>
      <c r="G31" s="20">
        <v>400</v>
      </c>
      <c r="H31" s="20" t="s">
        <v>95</v>
      </c>
      <c r="I31" s="20" t="s">
        <v>30</v>
      </c>
      <c r="J31" s="39">
        <v>45239</v>
      </c>
      <c r="K31" s="40"/>
      <c r="L31" s="41"/>
      <c r="M31" s="41"/>
      <c r="N31" s="69" t="s">
        <v>317</v>
      </c>
      <c r="O31" s="22">
        <v>9072</v>
      </c>
      <c r="P31" s="42"/>
      <c r="Q31" s="42"/>
      <c r="R31" s="42" t="s">
        <v>34</v>
      </c>
      <c r="S31" s="31">
        <v>49500</v>
      </c>
      <c r="T31" s="70">
        <f t="shared" si="1"/>
        <v>449063.99999999994</v>
      </c>
      <c r="U31" s="20" t="s">
        <v>318</v>
      </c>
    </row>
    <row r="32" spans="1:21" s="38" customFormat="1" ht="13.5" customHeight="1" x14ac:dyDescent="0.25">
      <c r="A32" s="255"/>
      <c r="B32" s="22" t="s">
        <v>270</v>
      </c>
      <c r="C32" s="22" t="s">
        <v>57</v>
      </c>
      <c r="D32" s="20" t="s">
        <v>58</v>
      </c>
      <c r="E32" s="33" t="s">
        <v>291</v>
      </c>
      <c r="F32" s="22">
        <v>6010.2</v>
      </c>
      <c r="G32" s="20">
        <v>265</v>
      </c>
      <c r="H32" s="20" t="s">
        <v>95</v>
      </c>
      <c r="I32" s="20" t="s">
        <v>30</v>
      </c>
      <c r="J32" s="39">
        <v>45239</v>
      </c>
      <c r="K32" s="40"/>
      <c r="L32" s="41"/>
      <c r="M32" s="41"/>
      <c r="N32" s="69" t="s">
        <v>317</v>
      </c>
      <c r="O32" s="22">
        <v>6010.2</v>
      </c>
      <c r="P32" s="42"/>
      <c r="Q32" s="42"/>
      <c r="R32" s="42" t="s">
        <v>34</v>
      </c>
      <c r="S32" s="31">
        <v>49500</v>
      </c>
      <c r="T32" s="70">
        <f t="shared" si="1"/>
        <v>297504.90000000002</v>
      </c>
      <c r="U32" s="20" t="s">
        <v>319</v>
      </c>
    </row>
    <row r="33" spans="1:20" s="38" customFormat="1" ht="13.5" customHeight="1" x14ac:dyDescent="0.25">
      <c r="A33" s="46" t="s">
        <v>259</v>
      </c>
      <c r="B33" s="22" t="s">
        <v>93</v>
      </c>
      <c r="C33" s="22" t="s">
        <v>57</v>
      </c>
      <c r="D33" s="20" t="s">
        <v>58</v>
      </c>
      <c r="E33" s="33" t="s">
        <v>291</v>
      </c>
      <c r="F33" s="22">
        <v>15876</v>
      </c>
      <c r="G33" s="20">
        <v>700</v>
      </c>
      <c r="H33" s="20" t="s">
        <v>95</v>
      </c>
      <c r="I33" s="20" t="s">
        <v>30</v>
      </c>
      <c r="J33" s="39">
        <v>45239</v>
      </c>
      <c r="K33" s="40"/>
      <c r="L33" s="41"/>
      <c r="M33" s="41"/>
      <c r="N33" s="69" t="s">
        <v>320</v>
      </c>
      <c r="O33" s="22">
        <v>15876</v>
      </c>
      <c r="P33" s="42"/>
      <c r="Q33" s="42"/>
      <c r="R33" s="42" t="s">
        <v>34</v>
      </c>
      <c r="S33" s="31">
        <v>49500</v>
      </c>
      <c r="T33" s="70">
        <f t="shared" si="1"/>
        <v>785862</v>
      </c>
    </row>
    <row r="34" spans="1:20" s="17" customFormat="1" ht="13.5" customHeight="1" x14ac:dyDescent="0.25">
      <c r="A34" s="228" t="s">
        <v>35</v>
      </c>
      <c r="B34" s="19" t="s">
        <v>321</v>
      </c>
      <c r="C34" s="19" t="s">
        <v>37</v>
      </c>
      <c r="D34" s="20" t="s">
        <v>38</v>
      </c>
      <c r="E34" s="21" t="s">
        <v>305</v>
      </c>
      <c r="F34" s="19">
        <v>7200</v>
      </c>
      <c r="G34" s="18">
        <v>36</v>
      </c>
      <c r="H34" s="18" t="s">
        <v>322</v>
      </c>
      <c r="I34" s="20" t="s">
        <v>30</v>
      </c>
      <c r="J34" s="23">
        <v>45239</v>
      </c>
      <c r="K34" s="24" t="s">
        <v>323</v>
      </c>
      <c r="L34" s="25" t="s">
        <v>324</v>
      </c>
      <c r="M34" s="25" t="s">
        <v>325</v>
      </c>
      <c r="N34" s="30"/>
      <c r="O34" s="26"/>
      <c r="P34" s="26"/>
      <c r="Q34" s="19">
        <v>7200</v>
      </c>
      <c r="R34" s="26" t="s">
        <v>34</v>
      </c>
      <c r="S34" s="31">
        <v>82000</v>
      </c>
      <c r="T34" s="28">
        <f t="shared" si="1"/>
        <v>590400</v>
      </c>
    </row>
    <row r="35" spans="1:20" s="17" customFormat="1" ht="13.5" customHeight="1" x14ac:dyDescent="0.25">
      <c r="A35" s="229"/>
      <c r="B35" s="19" t="s">
        <v>321</v>
      </c>
      <c r="C35" s="19" t="s">
        <v>37</v>
      </c>
      <c r="D35" s="20" t="s">
        <v>38</v>
      </c>
      <c r="E35" s="21" t="s">
        <v>123</v>
      </c>
      <c r="F35" s="19">
        <v>8000</v>
      </c>
      <c r="G35" s="18">
        <v>40</v>
      </c>
      <c r="H35" s="18" t="s">
        <v>322</v>
      </c>
      <c r="I35" s="20" t="s">
        <v>30</v>
      </c>
      <c r="J35" s="23">
        <v>45239</v>
      </c>
      <c r="K35" s="24"/>
      <c r="L35" s="25"/>
      <c r="M35" s="25"/>
      <c r="N35" s="30"/>
      <c r="O35" s="26"/>
      <c r="P35" s="26"/>
      <c r="Q35" s="19">
        <v>8000</v>
      </c>
      <c r="R35" s="26" t="s">
        <v>34</v>
      </c>
      <c r="S35" s="31">
        <v>82000</v>
      </c>
      <c r="T35" s="28">
        <f t="shared" si="1"/>
        <v>656000</v>
      </c>
    </row>
    <row r="36" spans="1:20" s="17" customFormat="1" ht="13.5" customHeight="1" x14ac:dyDescent="0.25">
      <c r="A36" s="229"/>
      <c r="B36" s="19" t="s">
        <v>321</v>
      </c>
      <c r="C36" s="19" t="s">
        <v>37</v>
      </c>
      <c r="D36" s="20" t="s">
        <v>38</v>
      </c>
      <c r="E36" s="21" t="s">
        <v>47</v>
      </c>
      <c r="F36" s="19">
        <v>800</v>
      </c>
      <c r="G36" s="20">
        <v>4</v>
      </c>
      <c r="H36" s="18" t="s">
        <v>322</v>
      </c>
      <c r="I36" s="20" t="s">
        <v>30</v>
      </c>
      <c r="J36" s="23">
        <v>45239</v>
      </c>
      <c r="K36" s="24"/>
      <c r="L36" s="25"/>
      <c r="M36" s="25"/>
      <c r="N36" s="30"/>
      <c r="O36" s="26"/>
      <c r="P36" s="26"/>
      <c r="Q36" s="19">
        <v>800</v>
      </c>
      <c r="R36" s="26" t="s">
        <v>34</v>
      </c>
      <c r="S36" s="31">
        <v>82000</v>
      </c>
      <c r="T36" s="28">
        <f t="shared" si="1"/>
        <v>65600</v>
      </c>
    </row>
    <row r="37" spans="1:20" s="17" customFormat="1" ht="13.5" customHeight="1" x14ac:dyDescent="0.25">
      <c r="A37" s="229"/>
      <c r="B37" s="19" t="s">
        <v>321</v>
      </c>
      <c r="C37" s="19" t="s">
        <v>37</v>
      </c>
      <c r="D37" s="20" t="s">
        <v>38</v>
      </c>
      <c r="E37" s="21" t="s">
        <v>39</v>
      </c>
      <c r="F37" s="19">
        <v>200</v>
      </c>
      <c r="G37" s="18">
        <v>1</v>
      </c>
      <c r="H37" s="18" t="s">
        <v>322</v>
      </c>
      <c r="I37" s="20" t="s">
        <v>30</v>
      </c>
      <c r="J37" s="23">
        <v>45239</v>
      </c>
      <c r="K37" s="24"/>
      <c r="L37" s="25"/>
      <c r="M37" s="25"/>
      <c r="N37" s="30"/>
      <c r="O37" s="26"/>
      <c r="P37" s="26"/>
      <c r="Q37" s="19">
        <v>200</v>
      </c>
      <c r="R37" s="26" t="s">
        <v>34</v>
      </c>
      <c r="S37" s="31">
        <v>82000</v>
      </c>
      <c r="T37" s="28">
        <f t="shared" si="1"/>
        <v>16400</v>
      </c>
    </row>
    <row r="38" spans="1:20" s="17" customFormat="1" ht="13.5" customHeight="1" x14ac:dyDescent="0.25">
      <c r="A38" s="229"/>
      <c r="B38" s="19" t="s">
        <v>321</v>
      </c>
      <c r="C38" s="19" t="s">
        <v>37</v>
      </c>
      <c r="D38" s="20" t="s">
        <v>38</v>
      </c>
      <c r="E38" s="21" t="s">
        <v>44</v>
      </c>
      <c r="F38" s="19">
        <v>600</v>
      </c>
      <c r="G38" s="18">
        <v>3</v>
      </c>
      <c r="H38" s="18" t="s">
        <v>322</v>
      </c>
      <c r="I38" s="20" t="s">
        <v>30</v>
      </c>
      <c r="J38" s="23">
        <v>45239</v>
      </c>
      <c r="K38" s="24"/>
      <c r="L38" s="25"/>
      <c r="M38" s="25"/>
      <c r="N38" s="30"/>
      <c r="O38" s="26"/>
      <c r="P38" s="26"/>
      <c r="Q38" s="19">
        <v>600</v>
      </c>
      <c r="R38" s="26" t="s">
        <v>34</v>
      </c>
      <c r="S38" s="31">
        <v>82000</v>
      </c>
      <c r="T38" s="28">
        <f t="shared" si="1"/>
        <v>49200</v>
      </c>
    </row>
    <row r="39" spans="1:20" s="17" customFormat="1" ht="13.5" customHeight="1" x14ac:dyDescent="0.25">
      <c r="A39" s="229"/>
      <c r="B39" s="19" t="s">
        <v>321</v>
      </c>
      <c r="C39" s="19" t="s">
        <v>37</v>
      </c>
      <c r="D39" s="20" t="s">
        <v>38</v>
      </c>
      <c r="E39" s="21" t="s">
        <v>44</v>
      </c>
      <c r="F39" s="19">
        <v>200</v>
      </c>
      <c r="G39" s="18">
        <v>1</v>
      </c>
      <c r="H39" s="18" t="s">
        <v>322</v>
      </c>
      <c r="I39" s="20" t="s">
        <v>30</v>
      </c>
      <c r="J39" s="23">
        <v>45239</v>
      </c>
      <c r="K39" s="24"/>
      <c r="L39" s="25"/>
      <c r="M39" s="25"/>
      <c r="N39" s="30"/>
      <c r="O39" s="26"/>
      <c r="P39" s="26"/>
      <c r="Q39" s="19">
        <v>200</v>
      </c>
      <c r="R39" s="26" t="s">
        <v>34</v>
      </c>
      <c r="S39" s="31">
        <v>82000</v>
      </c>
      <c r="T39" s="28">
        <f t="shared" si="1"/>
        <v>16400</v>
      </c>
    </row>
    <row r="40" spans="1:20" s="17" customFormat="1" ht="13.5" customHeight="1" x14ac:dyDescent="0.25">
      <c r="A40" s="230"/>
      <c r="B40" s="19" t="s">
        <v>321</v>
      </c>
      <c r="C40" s="19" t="s">
        <v>37</v>
      </c>
      <c r="D40" s="20" t="s">
        <v>38</v>
      </c>
      <c r="E40" s="21" t="s">
        <v>45</v>
      </c>
      <c r="F40" s="19">
        <v>600</v>
      </c>
      <c r="G40" s="18">
        <v>3</v>
      </c>
      <c r="H40" s="18" t="s">
        <v>322</v>
      </c>
      <c r="I40" s="20" t="s">
        <v>30</v>
      </c>
      <c r="J40" s="23">
        <v>45239</v>
      </c>
      <c r="K40" s="24"/>
      <c r="L40" s="25"/>
      <c r="M40" s="25"/>
      <c r="N40" s="30"/>
      <c r="O40" s="26"/>
      <c r="P40" s="26"/>
      <c r="Q40" s="19">
        <v>600</v>
      </c>
      <c r="R40" s="26" t="s">
        <v>34</v>
      </c>
      <c r="S40" s="31">
        <v>82000</v>
      </c>
      <c r="T40" s="28">
        <f t="shared" si="1"/>
        <v>49200</v>
      </c>
    </row>
    <row r="41" spans="1:20" s="17" customFormat="1" ht="13.5" customHeight="1" x14ac:dyDescent="0.25">
      <c r="A41" s="43"/>
      <c r="B41" s="19" t="s">
        <v>326</v>
      </c>
      <c r="C41" s="19" t="s">
        <v>57</v>
      </c>
      <c r="D41" s="20" t="s">
        <v>58</v>
      </c>
      <c r="E41" s="19" t="s">
        <v>73</v>
      </c>
      <c r="F41" s="19">
        <v>19845</v>
      </c>
      <c r="G41" s="18">
        <v>875</v>
      </c>
      <c r="H41" s="18" t="s">
        <v>129</v>
      </c>
      <c r="I41" s="18" t="s">
        <v>30</v>
      </c>
      <c r="J41" s="23">
        <v>45240</v>
      </c>
      <c r="K41" s="24" t="s">
        <v>327</v>
      </c>
      <c r="L41" s="25" t="s">
        <v>328</v>
      </c>
      <c r="M41" s="25" t="s">
        <v>329</v>
      </c>
      <c r="N41" s="30"/>
      <c r="O41" s="19">
        <v>19845</v>
      </c>
      <c r="P41" s="26"/>
      <c r="Q41" s="26"/>
      <c r="R41" s="26" t="s">
        <v>34</v>
      </c>
      <c r="S41" s="27">
        <v>49500</v>
      </c>
      <c r="T41" s="28">
        <f t="shared" si="1"/>
        <v>982327.5</v>
      </c>
    </row>
    <row r="42" spans="1:20" s="17" customFormat="1" ht="13.5" customHeight="1" x14ac:dyDescent="0.25">
      <c r="A42" s="228" t="s">
        <v>296</v>
      </c>
      <c r="B42" s="19" t="s">
        <v>321</v>
      </c>
      <c r="C42" s="19" t="s">
        <v>37</v>
      </c>
      <c r="D42" s="20" t="s">
        <v>38</v>
      </c>
      <c r="E42" s="21" t="s">
        <v>45</v>
      </c>
      <c r="F42" s="19">
        <v>6000</v>
      </c>
      <c r="G42" s="18">
        <v>30</v>
      </c>
      <c r="H42" s="18" t="s">
        <v>322</v>
      </c>
      <c r="I42" s="18" t="s">
        <v>30</v>
      </c>
      <c r="J42" s="23">
        <v>45244</v>
      </c>
      <c r="K42" s="24" t="s">
        <v>330</v>
      </c>
      <c r="L42" s="25" t="s">
        <v>331</v>
      </c>
      <c r="M42" s="25" t="s">
        <v>332</v>
      </c>
      <c r="N42" s="30"/>
      <c r="O42" s="26"/>
      <c r="P42" s="26"/>
      <c r="Q42" s="19">
        <v>6000</v>
      </c>
      <c r="R42" s="26" t="s">
        <v>34</v>
      </c>
      <c r="S42" s="31">
        <v>82000</v>
      </c>
      <c r="T42" s="28">
        <f t="shared" si="1"/>
        <v>492000</v>
      </c>
    </row>
    <row r="43" spans="1:20" s="17" customFormat="1" ht="13.5" customHeight="1" x14ac:dyDescent="0.25">
      <c r="A43" s="229"/>
      <c r="B43" s="19" t="s">
        <v>321</v>
      </c>
      <c r="C43" s="19" t="s">
        <v>37</v>
      </c>
      <c r="D43" s="20" t="s">
        <v>38</v>
      </c>
      <c r="E43" s="21" t="s">
        <v>46</v>
      </c>
      <c r="F43" s="19">
        <v>8000</v>
      </c>
      <c r="G43" s="18">
        <v>40</v>
      </c>
      <c r="H43" s="18" t="s">
        <v>322</v>
      </c>
      <c r="I43" s="18" t="s">
        <v>30</v>
      </c>
      <c r="J43" s="23">
        <v>45244</v>
      </c>
      <c r="K43" s="24"/>
      <c r="L43" s="25"/>
      <c r="M43" s="25"/>
      <c r="N43" s="30"/>
      <c r="O43" s="26"/>
      <c r="P43" s="26"/>
      <c r="Q43" s="19">
        <v>8000</v>
      </c>
      <c r="R43" s="26" t="s">
        <v>34</v>
      </c>
      <c r="S43" s="31">
        <v>82000</v>
      </c>
      <c r="T43" s="28">
        <f t="shared" si="1"/>
        <v>656000</v>
      </c>
    </row>
    <row r="44" spans="1:20" s="17" customFormat="1" ht="13.5" customHeight="1" x14ac:dyDescent="0.25">
      <c r="A44" s="229"/>
      <c r="B44" s="19" t="s">
        <v>321</v>
      </c>
      <c r="C44" s="19" t="s">
        <v>37</v>
      </c>
      <c r="D44" s="20" t="s">
        <v>38</v>
      </c>
      <c r="E44" s="21" t="s">
        <v>305</v>
      </c>
      <c r="F44" s="19">
        <v>800</v>
      </c>
      <c r="G44" s="18">
        <v>4</v>
      </c>
      <c r="H44" s="18" t="s">
        <v>322</v>
      </c>
      <c r="I44" s="18" t="s">
        <v>30</v>
      </c>
      <c r="J44" s="23">
        <v>45244</v>
      </c>
      <c r="K44" s="24"/>
      <c r="L44" s="25"/>
      <c r="M44" s="25"/>
      <c r="N44" s="30"/>
      <c r="O44" s="26"/>
      <c r="P44" s="26"/>
      <c r="Q44" s="19">
        <v>800</v>
      </c>
      <c r="R44" s="26" t="s">
        <v>34</v>
      </c>
      <c r="S44" s="31">
        <v>82000</v>
      </c>
      <c r="T44" s="28">
        <f t="shared" si="1"/>
        <v>65600</v>
      </c>
    </row>
    <row r="45" spans="1:20" s="17" customFormat="1" ht="13.5" customHeight="1" x14ac:dyDescent="0.25">
      <c r="A45" s="229"/>
      <c r="B45" s="19" t="s">
        <v>321</v>
      </c>
      <c r="C45" s="19" t="s">
        <v>37</v>
      </c>
      <c r="D45" s="20" t="s">
        <v>38</v>
      </c>
      <c r="E45" s="21" t="s">
        <v>123</v>
      </c>
      <c r="F45" s="19">
        <v>600</v>
      </c>
      <c r="G45" s="18">
        <v>3</v>
      </c>
      <c r="H45" s="18" t="s">
        <v>322</v>
      </c>
      <c r="I45" s="18" t="s">
        <v>30</v>
      </c>
      <c r="J45" s="23">
        <v>45244</v>
      </c>
      <c r="K45" s="24"/>
      <c r="L45" s="25"/>
      <c r="M45" s="25"/>
      <c r="N45" s="30"/>
      <c r="O45" s="26"/>
      <c r="P45" s="26"/>
      <c r="Q45" s="19">
        <v>600</v>
      </c>
      <c r="R45" s="26" t="s">
        <v>34</v>
      </c>
      <c r="S45" s="31">
        <v>82000</v>
      </c>
      <c r="T45" s="28">
        <f t="shared" si="1"/>
        <v>49200</v>
      </c>
    </row>
    <row r="46" spans="1:20" s="17" customFormat="1" ht="13.5" customHeight="1" x14ac:dyDescent="0.25">
      <c r="A46" s="229"/>
      <c r="B46" s="19" t="s">
        <v>321</v>
      </c>
      <c r="C46" s="19" t="s">
        <v>37</v>
      </c>
      <c r="D46" s="20" t="s">
        <v>38</v>
      </c>
      <c r="E46" s="21" t="s">
        <v>46</v>
      </c>
      <c r="F46" s="19">
        <v>600</v>
      </c>
      <c r="G46" s="18">
        <v>3</v>
      </c>
      <c r="H46" s="18" t="s">
        <v>322</v>
      </c>
      <c r="I46" s="18" t="s">
        <v>30</v>
      </c>
      <c r="J46" s="23">
        <v>45244</v>
      </c>
      <c r="K46" s="24"/>
      <c r="L46" s="25"/>
      <c r="M46" s="25"/>
      <c r="N46" s="30"/>
      <c r="O46" s="26"/>
      <c r="P46" s="26"/>
      <c r="Q46" s="19">
        <v>600</v>
      </c>
      <c r="R46" s="26" t="s">
        <v>34</v>
      </c>
      <c r="S46" s="31">
        <v>82000</v>
      </c>
      <c r="T46" s="28">
        <f t="shared" si="1"/>
        <v>49200</v>
      </c>
    </row>
    <row r="47" spans="1:20" s="17" customFormat="1" ht="13.5" customHeight="1" x14ac:dyDescent="0.25">
      <c r="A47" s="230"/>
      <c r="B47" s="19" t="s">
        <v>321</v>
      </c>
      <c r="C47" s="19" t="s">
        <v>37</v>
      </c>
      <c r="D47" s="20" t="s">
        <v>38</v>
      </c>
      <c r="E47" s="21" t="s">
        <v>47</v>
      </c>
      <c r="F47" s="19">
        <v>1600</v>
      </c>
      <c r="G47" s="20">
        <v>8</v>
      </c>
      <c r="H47" s="18" t="s">
        <v>322</v>
      </c>
      <c r="I47" s="18" t="s">
        <v>30</v>
      </c>
      <c r="J47" s="23">
        <v>45244</v>
      </c>
      <c r="K47" s="26"/>
      <c r="L47" s="26"/>
      <c r="M47" s="26"/>
      <c r="N47" s="30"/>
      <c r="O47" s="26"/>
      <c r="P47" s="26"/>
      <c r="Q47" s="19">
        <v>1600</v>
      </c>
      <c r="R47" s="26" t="s">
        <v>34</v>
      </c>
      <c r="S47" s="31">
        <v>82000</v>
      </c>
      <c r="T47" s="28">
        <f t="shared" si="1"/>
        <v>131200</v>
      </c>
    </row>
    <row r="48" spans="1:20" s="17" customFormat="1" ht="13.5" customHeight="1" x14ac:dyDescent="0.25">
      <c r="A48" s="228" t="s">
        <v>259</v>
      </c>
      <c r="B48" s="19" t="s">
        <v>270</v>
      </c>
      <c r="C48" s="19" t="s">
        <v>57</v>
      </c>
      <c r="D48" s="20" t="s">
        <v>191</v>
      </c>
      <c r="E48" s="33" t="s">
        <v>271</v>
      </c>
      <c r="F48" s="22">
        <v>3600</v>
      </c>
      <c r="G48" s="18">
        <v>144</v>
      </c>
      <c r="H48" s="18" t="s">
        <v>95</v>
      </c>
      <c r="I48" s="23" t="s">
        <v>30</v>
      </c>
      <c r="J48" s="23">
        <v>45244</v>
      </c>
      <c r="K48" s="26"/>
      <c r="L48" s="26"/>
      <c r="M48" s="26"/>
      <c r="N48" s="25" t="s">
        <v>333</v>
      </c>
      <c r="O48" s="26"/>
      <c r="P48" s="26"/>
      <c r="Q48" s="22">
        <v>3600</v>
      </c>
      <c r="R48" s="26" t="s">
        <v>34</v>
      </c>
      <c r="S48" s="27">
        <v>165000</v>
      </c>
      <c r="T48" s="28">
        <f t="shared" si="1"/>
        <v>594000</v>
      </c>
    </row>
    <row r="49" spans="1:20" s="17" customFormat="1" ht="13.5" customHeight="1" x14ac:dyDescent="0.25">
      <c r="A49" s="229"/>
      <c r="B49" s="19" t="s">
        <v>270</v>
      </c>
      <c r="C49" s="19" t="s">
        <v>57</v>
      </c>
      <c r="D49" s="20" t="s">
        <v>58</v>
      </c>
      <c r="E49" s="21" t="s">
        <v>291</v>
      </c>
      <c r="F49" s="19">
        <v>793.8</v>
      </c>
      <c r="G49" s="18">
        <v>35</v>
      </c>
      <c r="H49" s="18" t="s">
        <v>95</v>
      </c>
      <c r="I49" s="18" t="s">
        <v>30</v>
      </c>
      <c r="J49" s="23">
        <v>45244</v>
      </c>
      <c r="K49" s="26"/>
      <c r="L49" s="26"/>
      <c r="M49" s="26"/>
      <c r="N49" s="25" t="s">
        <v>333</v>
      </c>
      <c r="O49" s="19">
        <v>793.8</v>
      </c>
      <c r="P49" s="26"/>
      <c r="Q49" s="22"/>
      <c r="R49" s="26" t="s">
        <v>34</v>
      </c>
      <c r="S49" s="27">
        <v>49500</v>
      </c>
      <c r="T49" s="28">
        <f t="shared" si="1"/>
        <v>39293.1</v>
      </c>
    </row>
    <row r="50" spans="1:20" s="17" customFormat="1" ht="13.5" customHeight="1" x14ac:dyDescent="0.25">
      <c r="A50" s="229"/>
      <c r="B50" s="19" t="s">
        <v>97</v>
      </c>
      <c r="C50" s="19" t="s">
        <v>57</v>
      </c>
      <c r="D50" s="20" t="s">
        <v>191</v>
      </c>
      <c r="E50" s="33" t="s">
        <v>334</v>
      </c>
      <c r="F50" s="22">
        <v>6000</v>
      </c>
      <c r="G50" s="18">
        <v>240</v>
      </c>
      <c r="H50" s="18" t="s">
        <v>95</v>
      </c>
      <c r="I50" s="18" t="s">
        <v>30</v>
      </c>
      <c r="J50" s="23">
        <v>45244</v>
      </c>
      <c r="K50" s="26"/>
      <c r="L50" s="26"/>
      <c r="M50" s="26"/>
      <c r="N50" s="25" t="s">
        <v>333</v>
      </c>
      <c r="O50" s="26"/>
      <c r="P50" s="26"/>
      <c r="Q50" s="22">
        <v>6000</v>
      </c>
      <c r="R50" s="26" t="s">
        <v>34</v>
      </c>
      <c r="S50" s="27">
        <v>165000</v>
      </c>
      <c r="T50" s="28">
        <f t="shared" si="1"/>
        <v>990000</v>
      </c>
    </row>
    <row r="51" spans="1:20" s="17" customFormat="1" ht="13.5" customHeight="1" x14ac:dyDescent="0.25">
      <c r="A51" s="230"/>
      <c r="B51" s="22" t="s">
        <v>97</v>
      </c>
      <c r="C51" s="22" t="s">
        <v>57</v>
      </c>
      <c r="D51" s="20" t="s">
        <v>98</v>
      </c>
      <c r="E51" s="33" t="s">
        <v>99</v>
      </c>
      <c r="F51" s="22">
        <v>2250</v>
      </c>
      <c r="G51" s="18">
        <v>90</v>
      </c>
      <c r="H51" s="18" t="s">
        <v>95</v>
      </c>
      <c r="I51" s="18" t="s">
        <v>30</v>
      </c>
      <c r="J51" s="23">
        <v>45244</v>
      </c>
      <c r="K51" s="35"/>
      <c r="L51" s="35"/>
      <c r="M51" s="35"/>
      <c r="N51" s="25" t="s">
        <v>333</v>
      </c>
      <c r="O51" s="26"/>
      <c r="P51" s="22">
        <v>2250</v>
      </c>
      <c r="Q51" s="26"/>
      <c r="R51" s="26" t="s">
        <v>34</v>
      </c>
      <c r="S51" s="27">
        <v>275000</v>
      </c>
      <c r="T51" s="28">
        <f t="shared" si="1"/>
        <v>618750</v>
      </c>
    </row>
    <row r="52" spans="1:20" s="17" customFormat="1" ht="13.5" customHeight="1" x14ac:dyDescent="0.25">
      <c r="A52" s="228" t="s">
        <v>259</v>
      </c>
      <c r="B52" s="19" t="s">
        <v>97</v>
      </c>
      <c r="C52" s="19" t="s">
        <v>57</v>
      </c>
      <c r="D52" s="20" t="s">
        <v>282</v>
      </c>
      <c r="E52" s="21" t="s">
        <v>334</v>
      </c>
      <c r="F52" s="19">
        <v>9120</v>
      </c>
      <c r="G52" s="18">
        <v>48</v>
      </c>
      <c r="H52" s="18" t="s">
        <v>95</v>
      </c>
      <c r="I52" s="18" t="s">
        <v>30</v>
      </c>
      <c r="J52" s="23">
        <v>45244</v>
      </c>
      <c r="K52" s="35"/>
      <c r="L52" s="35"/>
      <c r="M52" s="35"/>
      <c r="N52" s="30" t="s">
        <v>335</v>
      </c>
      <c r="O52" s="26"/>
      <c r="P52" s="26"/>
      <c r="Q52" s="19">
        <v>9120</v>
      </c>
      <c r="R52" s="26" t="s">
        <v>34</v>
      </c>
      <c r="S52" s="27">
        <v>115000</v>
      </c>
      <c r="T52" s="28">
        <f t="shared" si="1"/>
        <v>1048800</v>
      </c>
    </row>
    <row r="53" spans="1:20" s="17" customFormat="1" ht="13.5" customHeight="1" x14ac:dyDescent="0.25">
      <c r="A53" s="230"/>
      <c r="B53" s="19" t="s">
        <v>97</v>
      </c>
      <c r="C53" s="19" t="s">
        <v>57</v>
      </c>
      <c r="D53" s="20" t="s">
        <v>282</v>
      </c>
      <c r="E53" s="21" t="s">
        <v>336</v>
      </c>
      <c r="F53" s="19">
        <v>6080</v>
      </c>
      <c r="G53" s="18">
        <v>32</v>
      </c>
      <c r="H53" s="18" t="s">
        <v>95</v>
      </c>
      <c r="I53" s="18" t="s">
        <v>30</v>
      </c>
      <c r="J53" s="23">
        <v>45244</v>
      </c>
      <c r="K53" s="35"/>
      <c r="L53" s="35"/>
      <c r="M53" s="35"/>
      <c r="N53" s="30" t="s">
        <v>335</v>
      </c>
      <c r="O53" s="26"/>
      <c r="P53" s="26"/>
      <c r="Q53" s="19">
        <v>6080</v>
      </c>
      <c r="R53" s="26" t="s">
        <v>34</v>
      </c>
      <c r="S53" s="27">
        <v>115000</v>
      </c>
      <c r="T53" s="28">
        <f t="shared" si="1"/>
        <v>699200</v>
      </c>
    </row>
    <row r="54" spans="1:20" s="17" customFormat="1" x14ac:dyDescent="0.25">
      <c r="A54" s="71"/>
      <c r="B54" s="67" t="s">
        <v>48</v>
      </c>
      <c r="C54" s="67" t="s">
        <v>337</v>
      </c>
      <c r="D54" s="72" t="s">
        <v>86</v>
      </c>
      <c r="E54" s="73" t="s">
        <v>44</v>
      </c>
      <c r="F54" s="67">
        <v>20000</v>
      </c>
      <c r="G54" s="29">
        <v>800</v>
      </c>
      <c r="H54" s="29" t="s">
        <v>338</v>
      </c>
      <c r="I54" s="29" t="s">
        <v>30</v>
      </c>
      <c r="J54" s="74">
        <v>45244</v>
      </c>
      <c r="K54" s="75" t="s">
        <v>339</v>
      </c>
      <c r="L54" s="75" t="s">
        <v>340</v>
      </c>
      <c r="M54" s="75" t="s">
        <v>341</v>
      </c>
      <c r="N54" s="76"/>
      <c r="O54" s="67">
        <v>20000</v>
      </c>
      <c r="P54" s="71"/>
      <c r="Q54" s="71"/>
      <c r="R54" s="71" t="s">
        <v>34</v>
      </c>
      <c r="S54" s="77">
        <v>41000</v>
      </c>
      <c r="T54" s="78">
        <f t="shared" si="1"/>
        <v>820000</v>
      </c>
    </row>
    <row r="55" spans="1:20" s="79" customFormat="1" ht="13.5" customHeight="1" x14ac:dyDescent="0.25">
      <c r="A55" s="22"/>
      <c r="B55" s="22" t="s">
        <v>56</v>
      </c>
      <c r="C55" s="22" t="s">
        <v>57</v>
      </c>
      <c r="D55" s="20" t="s">
        <v>58</v>
      </c>
      <c r="E55" s="33" t="s">
        <v>122</v>
      </c>
      <c r="F55" s="22">
        <v>20412</v>
      </c>
      <c r="G55" s="20">
        <v>900</v>
      </c>
      <c r="H55" s="20" t="s">
        <v>129</v>
      </c>
      <c r="I55" s="20" t="s">
        <v>30</v>
      </c>
      <c r="J55" s="39">
        <v>45244</v>
      </c>
      <c r="K55" s="80" t="s">
        <v>342</v>
      </c>
      <c r="L55" s="81" t="s">
        <v>343</v>
      </c>
      <c r="M55" s="80" t="s">
        <v>344</v>
      </c>
      <c r="N55" s="69"/>
      <c r="O55" s="22">
        <v>20412</v>
      </c>
      <c r="P55" s="42"/>
      <c r="Q55" s="42"/>
      <c r="R55" s="42" t="s">
        <v>34</v>
      </c>
      <c r="S55" s="31">
        <v>49500</v>
      </c>
      <c r="T55" s="70">
        <f t="shared" si="1"/>
        <v>1010394</v>
      </c>
    </row>
    <row r="56" spans="1:20" s="17" customFormat="1" ht="13.5" customHeight="1" x14ac:dyDescent="0.25">
      <c r="A56" s="50"/>
      <c r="B56" s="43" t="s">
        <v>345</v>
      </c>
      <c r="C56" s="43" t="s">
        <v>139</v>
      </c>
      <c r="D56" s="44" t="s">
        <v>140</v>
      </c>
      <c r="E56" s="45" t="s">
        <v>346</v>
      </c>
      <c r="F56" s="46">
        <v>2160</v>
      </c>
      <c r="G56" s="32">
        <v>12</v>
      </c>
      <c r="H56" s="32" t="s">
        <v>142</v>
      </c>
      <c r="I56" s="32" t="s">
        <v>30</v>
      </c>
      <c r="J56" s="47">
        <v>45244</v>
      </c>
      <c r="K56" s="48" t="s">
        <v>347</v>
      </c>
      <c r="L56" s="48" t="s">
        <v>348</v>
      </c>
      <c r="M56" s="49" t="s">
        <v>349</v>
      </c>
      <c r="N56" s="47"/>
      <c r="O56" s="50"/>
      <c r="P56" s="50"/>
      <c r="Q56" s="46">
        <v>2160</v>
      </c>
      <c r="R56" s="50" t="s">
        <v>34</v>
      </c>
      <c r="S56" s="51">
        <v>110000</v>
      </c>
      <c r="T56" s="82">
        <f t="shared" si="1"/>
        <v>237600.00000000003</v>
      </c>
    </row>
    <row r="57" spans="1:20" s="17" customFormat="1" ht="13.5" customHeight="1" x14ac:dyDescent="0.25">
      <c r="A57" s="71"/>
      <c r="B57" s="19" t="s">
        <v>350</v>
      </c>
      <c r="C57" s="19" t="s">
        <v>351</v>
      </c>
      <c r="D57" s="20" t="s">
        <v>352</v>
      </c>
      <c r="E57" s="21" t="s">
        <v>346</v>
      </c>
      <c r="F57" s="19">
        <v>25</v>
      </c>
      <c r="G57" s="18">
        <v>1</v>
      </c>
      <c r="H57" s="18" t="s">
        <v>29</v>
      </c>
      <c r="I57" s="18" t="s">
        <v>30</v>
      </c>
      <c r="J57" s="23">
        <v>45244</v>
      </c>
      <c r="K57" s="35"/>
      <c r="L57" s="35"/>
      <c r="M57" s="35"/>
      <c r="N57" s="30"/>
      <c r="O57" s="26"/>
      <c r="P57" s="26"/>
      <c r="Q57" s="19">
        <v>25</v>
      </c>
      <c r="R57" s="26" t="s">
        <v>34</v>
      </c>
      <c r="S57" s="83">
        <v>207000</v>
      </c>
      <c r="T57" s="84">
        <f t="shared" si="1"/>
        <v>5175</v>
      </c>
    </row>
    <row r="58" spans="1:20" s="17" customFormat="1" ht="12.75" customHeight="1" x14ac:dyDescent="0.25">
      <c r="A58" s="43"/>
      <c r="B58" s="19" t="s">
        <v>56</v>
      </c>
      <c r="C58" s="19" t="s">
        <v>57</v>
      </c>
      <c r="D58" s="20" t="s">
        <v>58</v>
      </c>
      <c r="E58" s="21" t="s">
        <v>334</v>
      </c>
      <c r="F58" s="19">
        <v>20412</v>
      </c>
      <c r="G58" s="18">
        <v>900</v>
      </c>
      <c r="H58" s="18" t="s">
        <v>129</v>
      </c>
      <c r="I58" s="18" t="s">
        <v>30</v>
      </c>
      <c r="J58" s="23">
        <v>45245</v>
      </c>
      <c r="K58" s="35" t="s">
        <v>353</v>
      </c>
      <c r="L58" s="35" t="s">
        <v>354</v>
      </c>
      <c r="M58" s="35" t="s">
        <v>355</v>
      </c>
      <c r="N58" s="30"/>
      <c r="O58" s="19">
        <v>20412</v>
      </c>
      <c r="P58" s="26"/>
      <c r="Q58" s="26"/>
      <c r="R58" s="26" t="s">
        <v>34</v>
      </c>
      <c r="S58" s="27">
        <v>49500</v>
      </c>
      <c r="T58" s="28">
        <f t="shared" si="1"/>
        <v>1010394</v>
      </c>
    </row>
    <row r="59" spans="1:20" s="17" customFormat="1" ht="13.5" customHeight="1" x14ac:dyDescent="0.25">
      <c r="A59" s="228" t="s">
        <v>296</v>
      </c>
      <c r="B59" s="19" t="s">
        <v>356</v>
      </c>
      <c r="C59" s="19" t="s">
        <v>85</v>
      </c>
      <c r="D59" s="20" t="s">
        <v>147</v>
      </c>
      <c r="E59" s="33" t="s">
        <v>148</v>
      </c>
      <c r="F59" s="19">
        <v>6400</v>
      </c>
      <c r="G59" s="18">
        <v>32</v>
      </c>
      <c r="H59" s="18" t="s">
        <v>129</v>
      </c>
      <c r="I59" s="18" t="s">
        <v>30</v>
      </c>
      <c r="J59" s="23">
        <v>45247</v>
      </c>
      <c r="K59" s="35" t="s">
        <v>357</v>
      </c>
      <c r="L59" s="35" t="s">
        <v>358</v>
      </c>
      <c r="M59" s="35" t="s">
        <v>359</v>
      </c>
      <c r="N59" s="25"/>
      <c r="O59" s="26"/>
      <c r="P59" s="26"/>
      <c r="Q59" s="19">
        <v>6400</v>
      </c>
      <c r="R59" s="26" t="s">
        <v>34</v>
      </c>
      <c r="S59" s="27">
        <v>95000</v>
      </c>
      <c r="T59" s="85">
        <f t="shared" si="1"/>
        <v>608000</v>
      </c>
    </row>
    <row r="60" spans="1:20" s="17" customFormat="1" ht="13.5" customHeight="1" x14ac:dyDescent="0.25">
      <c r="A60" s="230"/>
      <c r="B60" s="19" t="s">
        <v>356</v>
      </c>
      <c r="C60" s="19" t="s">
        <v>85</v>
      </c>
      <c r="D60" s="20" t="s">
        <v>86</v>
      </c>
      <c r="E60" s="21" t="s">
        <v>87</v>
      </c>
      <c r="F60" s="19">
        <v>13000</v>
      </c>
      <c r="G60" s="18">
        <v>520</v>
      </c>
      <c r="H60" s="18" t="s">
        <v>129</v>
      </c>
      <c r="I60" s="18" t="s">
        <v>30</v>
      </c>
      <c r="J60" s="23">
        <v>45247</v>
      </c>
      <c r="K60" s="35"/>
      <c r="L60" s="35"/>
      <c r="M60" s="35"/>
      <c r="N60" s="26"/>
      <c r="O60" s="19">
        <v>13000</v>
      </c>
      <c r="P60" s="26"/>
      <c r="Q60" s="26"/>
      <c r="R60" s="26" t="s">
        <v>34</v>
      </c>
      <c r="S60" s="27">
        <v>36200</v>
      </c>
      <c r="T60" s="85">
        <f t="shared" si="1"/>
        <v>470600</v>
      </c>
    </row>
    <row r="61" spans="1:20" s="17" customFormat="1" ht="13.5" customHeight="1" x14ac:dyDescent="0.25">
      <c r="A61" s="228" t="s">
        <v>35</v>
      </c>
      <c r="B61" s="19" t="s">
        <v>360</v>
      </c>
      <c r="C61" s="19" t="s">
        <v>26</v>
      </c>
      <c r="D61" s="20" t="s">
        <v>27</v>
      </c>
      <c r="E61" s="33" t="s">
        <v>361</v>
      </c>
      <c r="F61" s="19">
        <v>7000</v>
      </c>
      <c r="G61" s="18">
        <v>280</v>
      </c>
      <c r="H61" s="20" t="s">
        <v>29</v>
      </c>
      <c r="I61" s="18" t="s">
        <v>30</v>
      </c>
      <c r="J61" s="23">
        <v>45247</v>
      </c>
      <c r="K61" s="35" t="s">
        <v>362</v>
      </c>
      <c r="L61" s="35" t="s">
        <v>363</v>
      </c>
      <c r="M61" s="35" t="s">
        <v>364</v>
      </c>
      <c r="N61" s="25"/>
      <c r="O61" s="19">
        <v>7000</v>
      </c>
      <c r="P61" s="26"/>
      <c r="Q61" s="26"/>
      <c r="R61" s="26" t="s">
        <v>34</v>
      </c>
      <c r="S61" s="27">
        <v>41000</v>
      </c>
      <c r="T61" s="28">
        <f t="shared" si="1"/>
        <v>287000</v>
      </c>
    </row>
    <row r="62" spans="1:20" s="17" customFormat="1" ht="14.25" customHeight="1" x14ac:dyDescent="0.25">
      <c r="A62" s="230"/>
      <c r="B62" s="19" t="s">
        <v>360</v>
      </c>
      <c r="C62" s="19" t="s">
        <v>26</v>
      </c>
      <c r="D62" s="20" t="s">
        <v>365</v>
      </c>
      <c r="E62" s="21" t="s">
        <v>346</v>
      </c>
      <c r="F62" s="19">
        <v>2960</v>
      </c>
      <c r="G62" s="18">
        <v>16</v>
      </c>
      <c r="H62" s="20" t="s">
        <v>29</v>
      </c>
      <c r="I62" s="18" t="s">
        <v>30</v>
      </c>
      <c r="J62" s="23">
        <v>45247</v>
      </c>
      <c r="K62" s="35"/>
      <c r="L62" s="35"/>
      <c r="M62" s="35"/>
      <c r="N62" s="26"/>
      <c r="O62" s="26"/>
      <c r="P62" s="26"/>
      <c r="Q62" s="19">
        <v>2960</v>
      </c>
      <c r="R62" s="26" t="s">
        <v>34</v>
      </c>
      <c r="S62" s="27">
        <v>230000</v>
      </c>
      <c r="T62" s="85">
        <f t="shared" si="1"/>
        <v>680800</v>
      </c>
    </row>
    <row r="63" spans="1:20" s="17" customFormat="1" ht="13.5" customHeight="1" x14ac:dyDescent="0.25">
      <c r="A63" s="25"/>
      <c r="B63" s="19" t="s">
        <v>292</v>
      </c>
      <c r="C63" s="19" t="s">
        <v>26</v>
      </c>
      <c r="D63" s="20" t="s">
        <v>27</v>
      </c>
      <c r="E63" s="21" t="s">
        <v>123</v>
      </c>
      <c r="F63" s="19">
        <v>20000</v>
      </c>
      <c r="G63" s="18">
        <v>800</v>
      </c>
      <c r="H63" s="18" t="s">
        <v>29</v>
      </c>
      <c r="I63" s="18" t="s">
        <v>30</v>
      </c>
      <c r="J63" s="23">
        <v>45247</v>
      </c>
      <c r="K63" s="35" t="s">
        <v>366</v>
      </c>
      <c r="L63" s="35" t="s">
        <v>367</v>
      </c>
      <c r="M63" s="35" t="s">
        <v>368</v>
      </c>
      <c r="N63" s="25"/>
      <c r="O63" s="19">
        <v>20000</v>
      </c>
      <c r="P63" s="26"/>
      <c r="Q63" s="26"/>
      <c r="R63" s="26" t="s">
        <v>34</v>
      </c>
      <c r="S63" s="27">
        <v>41000</v>
      </c>
      <c r="T63" s="28">
        <f t="shared" si="1"/>
        <v>820000</v>
      </c>
    </row>
    <row r="64" spans="1:20" s="17" customFormat="1" x14ac:dyDescent="0.25">
      <c r="A64" s="228" t="s">
        <v>35</v>
      </c>
      <c r="B64" s="19" t="s">
        <v>369</v>
      </c>
      <c r="C64" s="19" t="s">
        <v>370</v>
      </c>
      <c r="D64" s="20" t="s">
        <v>371</v>
      </c>
      <c r="E64" s="21" t="s">
        <v>372</v>
      </c>
      <c r="F64" s="19">
        <v>8600</v>
      </c>
      <c r="G64" s="18">
        <v>43</v>
      </c>
      <c r="H64" s="18" t="s">
        <v>373</v>
      </c>
      <c r="I64" s="18" t="s">
        <v>30</v>
      </c>
      <c r="J64" s="23">
        <v>45251</v>
      </c>
      <c r="K64" s="35" t="s">
        <v>374</v>
      </c>
      <c r="L64" s="37" t="s">
        <v>375</v>
      </c>
      <c r="M64" s="35" t="s">
        <v>376</v>
      </c>
      <c r="N64" s="26"/>
      <c r="O64" s="26"/>
      <c r="P64" s="26"/>
      <c r="Q64" s="19">
        <v>8600</v>
      </c>
      <c r="R64" s="26" t="s">
        <v>34</v>
      </c>
      <c r="S64" s="27">
        <v>369000</v>
      </c>
      <c r="T64" s="28">
        <f t="shared" si="1"/>
        <v>3173400</v>
      </c>
    </row>
    <row r="65" spans="1:20" s="17" customFormat="1" x14ac:dyDescent="0.25">
      <c r="A65" s="230"/>
      <c r="B65" s="19" t="s">
        <v>369</v>
      </c>
      <c r="C65" s="19" t="s">
        <v>370</v>
      </c>
      <c r="D65" s="20" t="s">
        <v>371</v>
      </c>
      <c r="E65" s="21" t="s">
        <v>135</v>
      </c>
      <c r="F65" s="19">
        <v>9000</v>
      </c>
      <c r="G65" s="18">
        <v>45</v>
      </c>
      <c r="H65" s="18" t="s">
        <v>373</v>
      </c>
      <c r="I65" s="18" t="s">
        <v>30</v>
      </c>
      <c r="J65" s="23">
        <v>45251</v>
      </c>
      <c r="K65" s="35"/>
      <c r="L65" s="37"/>
      <c r="M65" s="35"/>
      <c r="N65" s="26"/>
      <c r="O65" s="26"/>
      <c r="P65" s="26"/>
      <c r="Q65" s="19">
        <v>9000</v>
      </c>
      <c r="R65" s="26" t="s">
        <v>34</v>
      </c>
      <c r="S65" s="27">
        <v>369000</v>
      </c>
      <c r="T65" s="28">
        <f t="shared" si="1"/>
        <v>3321000</v>
      </c>
    </row>
    <row r="66" spans="1:20" s="17" customFormat="1" x14ac:dyDescent="0.25">
      <c r="A66" s="228" t="s">
        <v>35</v>
      </c>
      <c r="B66" s="19" t="s">
        <v>369</v>
      </c>
      <c r="C66" s="19" t="s">
        <v>370</v>
      </c>
      <c r="D66" s="20" t="s">
        <v>371</v>
      </c>
      <c r="E66" s="21" t="s">
        <v>377</v>
      </c>
      <c r="F66" s="19">
        <v>9000</v>
      </c>
      <c r="G66" s="18">
        <v>45</v>
      </c>
      <c r="H66" s="18" t="s">
        <v>373</v>
      </c>
      <c r="I66" s="18" t="s">
        <v>30</v>
      </c>
      <c r="J66" s="23">
        <v>45250</v>
      </c>
      <c r="K66" s="35" t="s">
        <v>378</v>
      </c>
      <c r="L66" s="37" t="s">
        <v>379</v>
      </c>
      <c r="M66" s="35" t="s">
        <v>380</v>
      </c>
      <c r="N66" s="26"/>
      <c r="O66" s="26"/>
      <c r="P66" s="26"/>
      <c r="Q66" s="19">
        <v>9000</v>
      </c>
      <c r="R66" s="26" t="s">
        <v>34</v>
      </c>
      <c r="S66" s="27">
        <v>369000</v>
      </c>
      <c r="T66" s="28">
        <f t="shared" si="1"/>
        <v>3321000</v>
      </c>
    </row>
    <row r="67" spans="1:20" s="17" customFormat="1" x14ac:dyDescent="0.25">
      <c r="A67" s="230"/>
      <c r="B67" s="19" t="s">
        <v>369</v>
      </c>
      <c r="C67" s="19" t="s">
        <v>370</v>
      </c>
      <c r="D67" s="20" t="s">
        <v>371</v>
      </c>
      <c r="E67" s="21" t="s">
        <v>28</v>
      </c>
      <c r="F67" s="19">
        <v>8600</v>
      </c>
      <c r="G67" s="18">
        <v>43</v>
      </c>
      <c r="H67" s="18" t="s">
        <v>373</v>
      </c>
      <c r="I67" s="18" t="s">
        <v>30</v>
      </c>
      <c r="J67" s="23">
        <v>45250</v>
      </c>
      <c r="K67" s="35"/>
      <c r="L67" s="37"/>
      <c r="M67" s="35"/>
      <c r="N67" s="26"/>
      <c r="O67" s="26"/>
      <c r="P67" s="26"/>
      <c r="Q67" s="19">
        <v>8600</v>
      </c>
      <c r="R67" s="26" t="s">
        <v>34</v>
      </c>
      <c r="S67" s="27">
        <v>369000</v>
      </c>
      <c r="T67" s="28">
        <f t="shared" si="1"/>
        <v>3173400</v>
      </c>
    </row>
    <row r="68" spans="1:20" s="17" customFormat="1" ht="13.5" customHeight="1" x14ac:dyDescent="0.25">
      <c r="A68" s="25"/>
      <c r="B68" s="19" t="s">
        <v>304</v>
      </c>
      <c r="C68" s="19" t="s">
        <v>26</v>
      </c>
      <c r="D68" s="20" t="s">
        <v>27</v>
      </c>
      <c r="E68" s="21" t="s">
        <v>381</v>
      </c>
      <c r="F68" s="19">
        <v>20000</v>
      </c>
      <c r="G68" s="18">
        <v>800</v>
      </c>
      <c r="H68" s="18" t="s">
        <v>129</v>
      </c>
      <c r="I68" s="18" t="s">
        <v>30</v>
      </c>
      <c r="J68" s="23">
        <v>45250</v>
      </c>
      <c r="K68" s="35" t="s">
        <v>382</v>
      </c>
      <c r="L68" s="35" t="s">
        <v>210</v>
      </c>
      <c r="M68" s="35" t="s">
        <v>211</v>
      </c>
      <c r="N68" s="25"/>
      <c r="O68" s="19">
        <v>20000</v>
      </c>
      <c r="P68" s="26"/>
      <c r="Q68" s="26"/>
      <c r="R68" s="26" t="s">
        <v>34</v>
      </c>
      <c r="S68" s="27">
        <v>41000</v>
      </c>
      <c r="T68" s="28">
        <f t="shared" si="1"/>
        <v>820000</v>
      </c>
    </row>
    <row r="69" spans="1:20" s="17" customFormat="1" ht="13.5" customHeight="1" x14ac:dyDescent="0.25">
      <c r="A69" s="228" t="s">
        <v>35</v>
      </c>
      <c r="B69" s="19" t="s">
        <v>383</v>
      </c>
      <c r="C69" s="19" t="s">
        <v>384</v>
      </c>
      <c r="D69" s="20" t="s">
        <v>140</v>
      </c>
      <c r="E69" s="21" t="s">
        <v>385</v>
      </c>
      <c r="F69" s="19">
        <v>7200</v>
      </c>
      <c r="G69" s="18">
        <v>40</v>
      </c>
      <c r="H69" s="18" t="s">
        <v>322</v>
      </c>
      <c r="I69" s="18" t="s">
        <v>30</v>
      </c>
      <c r="J69" s="23">
        <v>45250</v>
      </c>
      <c r="K69" s="35" t="s">
        <v>386</v>
      </c>
      <c r="L69" s="35" t="s">
        <v>387</v>
      </c>
      <c r="M69" s="35" t="s">
        <v>388</v>
      </c>
      <c r="N69" s="23"/>
      <c r="O69" s="26"/>
      <c r="P69" s="26"/>
      <c r="Q69" s="19">
        <v>7200</v>
      </c>
      <c r="R69" s="26" t="s">
        <v>34</v>
      </c>
      <c r="S69" s="27">
        <v>110000</v>
      </c>
      <c r="T69" s="85">
        <f t="shared" si="1"/>
        <v>792000</v>
      </c>
    </row>
    <row r="70" spans="1:20" s="17" customFormat="1" x14ac:dyDescent="0.25">
      <c r="A70" s="230"/>
      <c r="B70" s="19" t="s">
        <v>383</v>
      </c>
      <c r="C70" s="19" t="s">
        <v>384</v>
      </c>
      <c r="D70" s="20" t="s">
        <v>86</v>
      </c>
      <c r="E70" s="21" t="s">
        <v>389</v>
      </c>
      <c r="F70" s="22">
        <v>12000</v>
      </c>
      <c r="G70" s="18">
        <v>480</v>
      </c>
      <c r="H70" s="18" t="s">
        <v>322</v>
      </c>
      <c r="I70" s="18" t="s">
        <v>30</v>
      </c>
      <c r="J70" s="23">
        <v>45250</v>
      </c>
      <c r="K70" s="35"/>
      <c r="L70" s="35"/>
      <c r="M70" s="35"/>
      <c r="N70" s="26"/>
      <c r="O70" s="22">
        <v>12000</v>
      </c>
      <c r="P70" s="26"/>
      <c r="Q70" s="26"/>
      <c r="R70" s="26" t="s">
        <v>34</v>
      </c>
      <c r="S70" s="27">
        <v>36200</v>
      </c>
      <c r="T70" s="28">
        <f t="shared" si="1"/>
        <v>434400</v>
      </c>
    </row>
    <row r="71" spans="1:20" s="17" customFormat="1" ht="13.5" customHeight="1" x14ac:dyDescent="0.25">
      <c r="A71" s="43"/>
      <c r="B71" s="19" t="s">
        <v>56</v>
      </c>
      <c r="C71" s="19" t="s">
        <v>57</v>
      </c>
      <c r="D71" s="20" t="s">
        <v>58</v>
      </c>
      <c r="E71" s="21" t="s">
        <v>390</v>
      </c>
      <c r="F71" s="19">
        <v>19845</v>
      </c>
      <c r="G71" s="18">
        <v>875</v>
      </c>
      <c r="H71" s="18" t="s">
        <v>60</v>
      </c>
      <c r="I71" s="18" t="s">
        <v>30</v>
      </c>
      <c r="J71" s="23">
        <v>45253</v>
      </c>
      <c r="K71" s="26" t="s">
        <v>391</v>
      </c>
      <c r="L71" s="26" t="s">
        <v>392</v>
      </c>
      <c r="M71" s="26" t="s">
        <v>393</v>
      </c>
      <c r="N71" s="25"/>
      <c r="O71" s="19">
        <v>19845</v>
      </c>
      <c r="P71" s="26"/>
      <c r="Q71" s="22"/>
      <c r="R71" s="26" t="s">
        <v>34</v>
      </c>
      <c r="S71" s="27">
        <v>49500</v>
      </c>
      <c r="T71" s="28">
        <f t="shared" si="1"/>
        <v>982327.5</v>
      </c>
    </row>
    <row r="72" spans="1:20" s="17" customFormat="1" ht="13.5" customHeight="1" x14ac:dyDescent="0.25">
      <c r="A72" s="228" t="s">
        <v>259</v>
      </c>
      <c r="B72" s="19" t="s">
        <v>97</v>
      </c>
      <c r="C72" s="19" t="s">
        <v>57</v>
      </c>
      <c r="D72" s="20" t="s">
        <v>282</v>
      </c>
      <c r="E72" s="21" t="s">
        <v>336</v>
      </c>
      <c r="F72" s="19">
        <v>2470</v>
      </c>
      <c r="G72" s="18">
        <v>13</v>
      </c>
      <c r="H72" s="18" t="s">
        <v>95</v>
      </c>
      <c r="I72" s="18" t="s">
        <v>30</v>
      </c>
      <c r="J72" s="23">
        <v>45254</v>
      </c>
      <c r="K72" s="26"/>
      <c r="L72" s="26"/>
      <c r="M72" s="26"/>
      <c r="N72" s="30" t="s">
        <v>394</v>
      </c>
      <c r="O72" s="26"/>
      <c r="P72" s="26"/>
      <c r="Q72" s="19">
        <v>2470</v>
      </c>
      <c r="R72" s="26" t="s">
        <v>34</v>
      </c>
      <c r="S72" s="27">
        <v>115000</v>
      </c>
      <c r="T72" s="28">
        <f t="shared" si="1"/>
        <v>284050</v>
      </c>
    </row>
    <row r="73" spans="1:20" s="17" customFormat="1" ht="13.5" customHeight="1" x14ac:dyDescent="0.25">
      <c r="A73" s="229"/>
      <c r="B73" s="19" t="s">
        <v>97</v>
      </c>
      <c r="C73" s="19" t="s">
        <v>57</v>
      </c>
      <c r="D73" s="20" t="s">
        <v>282</v>
      </c>
      <c r="E73" s="21" t="s">
        <v>99</v>
      </c>
      <c r="F73" s="19">
        <v>8550</v>
      </c>
      <c r="G73" s="18">
        <v>45</v>
      </c>
      <c r="H73" s="18" t="s">
        <v>95</v>
      </c>
      <c r="I73" s="18" t="s">
        <v>30</v>
      </c>
      <c r="J73" s="23">
        <v>45254</v>
      </c>
      <c r="K73" s="26"/>
      <c r="L73" s="26"/>
      <c r="M73" s="26"/>
      <c r="N73" s="30" t="s">
        <v>394</v>
      </c>
      <c r="O73" s="26"/>
      <c r="P73" s="26"/>
      <c r="Q73" s="19">
        <v>8550</v>
      </c>
      <c r="R73" s="26" t="s">
        <v>34</v>
      </c>
      <c r="S73" s="27">
        <v>115000</v>
      </c>
      <c r="T73" s="28">
        <f t="shared" si="1"/>
        <v>983250.00000000012</v>
      </c>
    </row>
    <row r="74" spans="1:20" s="17" customFormat="1" ht="13.5" customHeight="1" x14ac:dyDescent="0.25">
      <c r="A74" s="230"/>
      <c r="B74" s="19" t="s">
        <v>97</v>
      </c>
      <c r="C74" s="19" t="s">
        <v>57</v>
      </c>
      <c r="D74" s="20" t="s">
        <v>282</v>
      </c>
      <c r="E74" s="21" t="s">
        <v>395</v>
      </c>
      <c r="F74" s="19">
        <v>4180</v>
      </c>
      <c r="G74" s="18">
        <v>22</v>
      </c>
      <c r="H74" s="18" t="s">
        <v>95</v>
      </c>
      <c r="I74" s="18" t="s">
        <v>30</v>
      </c>
      <c r="J74" s="23">
        <v>45254</v>
      </c>
      <c r="K74" s="26"/>
      <c r="L74" s="26"/>
      <c r="M74" s="26"/>
      <c r="N74" s="30" t="s">
        <v>394</v>
      </c>
      <c r="O74" s="26"/>
      <c r="P74" s="26"/>
      <c r="Q74" s="19">
        <v>4180</v>
      </c>
      <c r="R74" s="26" t="s">
        <v>34</v>
      </c>
      <c r="S74" s="27">
        <v>115000</v>
      </c>
      <c r="T74" s="28">
        <f t="shared" si="1"/>
        <v>480699.99999999994</v>
      </c>
    </row>
    <row r="75" spans="1:20" s="17" customFormat="1" ht="13.5" customHeight="1" x14ac:dyDescent="0.25">
      <c r="A75" s="228" t="s">
        <v>280</v>
      </c>
      <c r="B75" s="19" t="s">
        <v>100</v>
      </c>
      <c r="C75" s="19" t="s">
        <v>57</v>
      </c>
      <c r="D75" s="20" t="s">
        <v>155</v>
      </c>
      <c r="E75" s="21" t="s">
        <v>396</v>
      </c>
      <c r="F75" s="19">
        <v>7215</v>
      </c>
      <c r="G75" s="18">
        <v>39</v>
      </c>
      <c r="H75" s="18" t="s">
        <v>95</v>
      </c>
      <c r="I75" s="18" t="s">
        <v>30</v>
      </c>
      <c r="J75" s="23">
        <v>45254</v>
      </c>
      <c r="K75" s="18"/>
      <c r="L75" s="26"/>
      <c r="M75" s="26"/>
      <c r="N75" s="30" t="s">
        <v>397</v>
      </c>
      <c r="O75" s="26"/>
      <c r="P75" s="26"/>
      <c r="Q75" s="19">
        <v>7215</v>
      </c>
      <c r="R75" s="26" t="s">
        <v>34</v>
      </c>
      <c r="S75" s="27">
        <v>110800</v>
      </c>
      <c r="T75" s="85">
        <f t="shared" si="1"/>
        <v>799422</v>
      </c>
    </row>
    <row r="76" spans="1:20" s="17" customFormat="1" ht="13.5" customHeight="1" x14ac:dyDescent="0.25">
      <c r="A76" s="230"/>
      <c r="B76" s="19" t="s">
        <v>100</v>
      </c>
      <c r="C76" s="19" t="s">
        <v>57</v>
      </c>
      <c r="D76" s="20" t="s">
        <v>155</v>
      </c>
      <c r="E76" s="21" t="s">
        <v>398</v>
      </c>
      <c r="F76" s="19">
        <v>7585</v>
      </c>
      <c r="G76" s="18">
        <v>41</v>
      </c>
      <c r="H76" s="18" t="s">
        <v>95</v>
      </c>
      <c r="I76" s="18" t="s">
        <v>30</v>
      </c>
      <c r="J76" s="23">
        <v>45254</v>
      </c>
      <c r="K76" s="18"/>
      <c r="L76" s="26"/>
      <c r="M76" s="26"/>
      <c r="N76" s="30" t="s">
        <v>397</v>
      </c>
      <c r="O76" s="26"/>
      <c r="P76" s="26"/>
      <c r="Q76" s="19">
        <v>7585</v>
      </c>
      <c r="R76" s="26" t="s">
        <v>34</v>
      </c>
      <c r="S76" s="27">
        <v>110800</v>
      </c>
      <c r="T76" s="85">
        <f t="shared" si="1"/>
        <v>840418</v>
      </c>
    </row>
    <row r="77" spans="1:20" s="17" customFormat="1" ht="13.5" customHeight="1" x14ac:dyDescent="0.25">
      <c r="A77" s="252" t="s">
        <v>259</v>
      </c>
      <c r="B77" s="19" t="s">
        <v>100</v>
      </c>
      <c r="C77" s="19" t="s">
        <v>57</v>
      </c>
      <c r="D77" s="20" t="s">
        <v>155</v>
      </c>
      <c r="E77" s="21" t="s">
        <v>399</v>
      </c>
      <c r="F77" s="19">
        <v>7585</v>
      </c>
      <c r="G77" s="18">
        <v>41</v>
      </c>
      <c r="H77" s="18" t="s">
        <v>95</v>
      </c>
      <c r="I77" s="18" t="s">
        <v>30</v>
      </c>
      <c r="J77" s="23">
        <v>45254</v>
      </c>
      <c r="K77" s="18"/>
      <c r="L77" s="26"/>
      <c r="M77" s="26"/>
      <c r="N77" s="30" t="s">
        <v>400</v>
      </c>
      <c r="O77" s="26"/>
      <c r="P77" s="26"/>
      <c r="Q77" s="19">
        <v>7585</v>
      </c>
      <c r="R77" s="26" t="s">
        <v>34</v>
      </c>
      <c r="S77" s="27">
        <v>110800</v>
      </c>
      <c r="T77" s="85">
        <f t="shared" si="1"/>
        <v>840418</v>
      </c>
    </row>
    <row r="78" spans="1:20" s="17" customFormat="1" ht="13.5" customHeight="1" x14ac:dyDescent="0.25">
      <c r="A78" s="253"/>
      <c r="B78" s="19" t="s">
        <v>100</v>
      </c>
      <c r="C78" s="19" t="s">
        <v>57</v>
      </c>
      <c r="D78" s="20" t="s">
        <v>155</v>
      </c>
      <c r="E78" s="21" t="s">
        <v>401</v>
      </c>
      <c r="F78" s="19">
        <v>7215</v>
      </c>
      <c r="G78" s="18">
        <v>39</v>
      </c>
      <c r="H78" s="18" t="s">
        <v>95</v>
      </c>
      <c r="I78" s="18" t="s">
        <v>30</v>
      </c>
      <c r="J78" s="23">
        <v>45254</v>
      </c>
      <c r="K78" s="18"/>
      <c r="L78" s="26"/>
      <c r="M78" s="26"/>
      <c r="N78" s="30" t="s">
        <v>400</v>
      </c>
      <c r="O78" s="26"/>
      <c r="P78" s="26"/>
      <c r="Q78" s="19">
        <v>7215</v>
      </c>
      <c r="R78" s="26" t="s">
        <v>34</v>
      </c>
      <c r="S78" s="27">
        <v>110800</v>
      </c>
      <c r="T78" s="85">
        <f t="shared" si="1"/>
        <v>799422</v>
      </c>
    </row>
    <row r="79" spans="1:20" s="17" customFormat="1" ht="13.5" customHeight="1" x14ac:dyDescent="0.25">
      <c r="A79" s="43" t="s">
        <v>35</v>
      </c>
      <c r="B79" s="19" t="s">
        <v>56</v>
      </c>
      <c r="C79" s="19" t="s">
        <v>57</v>
      </c>
      <c r="D79" s="20" t="s">
        <v>58</v>
      </c>
      <c r="E79" s="21" t="s">
        <v>399</v>
      </c>
      <c r="F79" s="19">
        <v>19845</v>
      </c>
      <c r="G79" s="18">
        <v>875</v>
      </c>
      <c r="H79" s="18" t="s">
        <v>60</v>
      </c>
      <c r="I79" s="18" t="s">
        <v>30</v>
      </c>
      <c r="J79" s="23">
        <v>45257</v>
      </c>
      <c r="K79" s="26" t="s">
        <v>310</v>
      </c>
      <c r="L79" s="26" t="s">
        <v>402</v>
      </c>
      <c r="M79" s="26" t="s">
        <v>312</v>
      </c>
      <c r="N79" s="25"/>
      <c r="O79" s="19">
        <v>19845</v>
      </c>
      <c r="P79" s="26"/>
      <c r="Q79" s="22"/>
      <c r="R79" s="26" t="s">
        <v>34</v>
      </c>
      <c r="S79" s="27">
        <v>49500</v>
      </c>
      <c r="T79" s="28">
        <f t="shared" si="1"/>
        <v>982327.5</v>
      </c>
    </row>
    <row r="80" spans="1:20" s="17" customFormat="1" ht="13.5" customHeight="1" x14ac:dyDescent="0.25">
      <c r="A80" s="228" t="s">
        <v>280</v>
      </c>
      <c r="B80" s="19" t="s">
        <v>100</v>
      </c>
      <c r="C80" s="19" t="s">
        <v>57</v>
      </c>
      <c r="D80" s="20" t="s">
        <v>58</v>
      </c>
      <c r="E80" s="21" t="s">
        <v>403</v>
      </c>
      <c r="F80" s="19">
        <v>15876</v>
      </c>
      <c r="G80" s="18">
        <v>700</v>
      </c>
      <c r="H80" s="18" t="s">
        <v>95</v>
      </c>
      <c r="I80" s="18" t="s">
        <v>30</v>
      </c>
      <c r="J80" s="23">
        <v>45257</v>
      </c>
      <c r="K80" s="26"/>
      <c r="L80" s="26"/>
      <c r="M80" s="26"/>
      <c r="N80" s="25" t="s">
        <v>404</v>
      </c>
      <c r="O80" s="19">
        <v>15876</v>
      </c>
      <c r="P80" s="26"/>
      <c r="Q80" s="22"/>
      <c r="R80" s="26" t="s">
        <v>34</v>
      </c>
      <c r="S80" s="27">
        <v>49500</v>
      </c>
      <c r="T80" s="28">
        <f t="shared" si="1"/>
        <v>785862</v>
      </c>
    </row>
    <row r="81" spans="1:20" s="17" customFormat="1" ht="13.5" customHeight="1" x14ac:dyDescent="0.25">
      <c r="A81" s="230"/>
      <c r="B81" s="19" t="s">
        <v>100</v>
      </c>
      <c r="C81" s="19" t="s">
        <v>57</v>
      </c>
      <c r="D81" s="20" t="s">
        <v>58</v>
      </c>
      <c r="E81" s="21" t="s">
        <v>401</v>
      </c>
      <c r="F81" s="19">
        <v>15876</v>
      </c>
      <c r="G81" s="18">
        <v>700</v>
      </c>
      <c r="H81" s="18" t="s">
        <v>95</v>
      </c>
      <c r="I81" s="18" t="s">
        <v>30</v>
      </c>
      <c r="J81" s="23">
        <v>45257</v>
      </c>
      <c r="K81" s="26"/>
      <c r="L81" s="26"/>
      <c r="M81" s="26"/>
      <c r="N81" s="25" t="s">
        <v>405</v>
      </c>
      <c r="O81" s="19">
        <v>15876</v>
      </c>
      <c r="P81" s="26"/>
      <c r="Q81" s="22"/>
      <c r="R81" s="26" t="s">
        <v>34</v>
      </c>
      <c r="S81" s="27">
        <v>49500</v>
      </c>
      <c r="T81" s="28">
        <f t="shared" si="1"/>
        <v>785862</v>
      </c>
    </row>
    <row r="82" spans="1:20" s="86" customFormat="1" ht="13.5" customHeight="1" x14ac:dyDescent="0.25">
      <c r="A82" s="256" t="s">
        <v>35</v>
      </c>
      <c r="B82" s="87" t="s">
        <v>304</v>
      </c>
      <c r="C82" s="87" t="s">
        <v>26</v>
      </c>
      <c r="D82" s="88" t="s">
        <v>27</v>
      </c>
      <c r="E82" s="89" t="s">
        <v>266</v>
      </c>
      <c r="F82" s="87">
        <v>1000</v>
      </c>
      <c r="G82" s="90">
        <v>40</v>
      </c>
      <c r="H82" s="90" t="s">
        <v>129</v>
      </c>
      <c r="I82" s="90" t="s">
        <v>30</v>
      </c>
      <c r="J82" s="91">
        <v>45258</v>
      </c>
      <c r="K82" s="92" t="s">
        <v>406</v>
      </c>
      <c r="L82" s="93" t="s">
        <v>407</v>
      </c>
      <c r="M82" s="93" t="s">
        <v>408</v>
      </c>
      <c r="N82" s="93"/>
      <c r="O82" s="87">
        <v>1000</v>
      </c>
      <c r="P82" s="16"/>
      <c r="Q82" s="16"/>
      <c r="R82" s="16" t="s">
        <v>34</v>
      </c>
      <c r="S82" s="94">
        <v>41000</v>
      </c>
      <c r="T82" s="95">
        <f t="shared" ref="T82:T96" si="2">S82*(F82/1000)</f>
        <v>41000</v>
      </c>
    </row>
    <row r="83" spans="1:20" s="86" customFormat="1" ht="13.5" customHeight="1" x14ac:dyDescent="0.25">
      <c r="A83" s="257"/>
      <c r="B83" s="87" t="s">
        <v>304</v>
      </c>
      <c r="C83" s="87" t="s">
        <v>26</v>
      </c>
      <c r="D83" s="88" t="s">
        <v>27</v>
      </c>
      <c r="E83" s="89" t="s">
        <v>361</v>
      </c>
      <c r="F83" s="87">
        <v>1000</v>
      </c>
      <c r="G83" s="90">
        <v>40</v>
      </c>
      <c r="H83" s="90" t="s">
        <v>129</v>
      </c>
      <c r="I83" s="90" t="s">
        <v>30</v>
      </c>
      <c r="J83" s="91">
        <v>45258</v>
      </c>
      <c r="K83" s="92"/>
      <c r="L83" s="93"/>
      <c r="M83" s="93"/>
      <c r="N83" s="93"/>
      <c r="O83" s="87">
        <v>1000</v>
      </c>
      <c r="P83" s="16"/>
      <c r="Q83" s="16"/>
      <c r="R83" s="16" t="s">
        <v>34</v>
      </c>
      <c r="S83" s="94">
        <v>41000</v>
      </c>
      <c r="T83" s="95">
        <f t="shared" si="2"/>
        <v>41000</v>
      </c>
    </row>
    <row r="84" spans="1:20" s="86" customFormat="1" ht="13.5" customHeight="1" x14ac:dyDescent="0.25">
      <c r="A84" s="257"/>
      <c r="B84" s="87" t="s">
        <v>304</v>
      </c>
      <c r="C84" s="87" t="s">
        <v>26</v>
      </c>
      <c r="D84" s="88" t="s">
        <v>27</v>
      </c>
      <c r="E84" s="89" t="s">
        <v>305</v>
      </c>
      <c r="F84" s="87">
        <v>2000</v>
      </c>
      <c r="G84" s="90">
        <v>80</v>
      </c>
      <c r="H84" s="90" t="s">
        <v>129</v>
      </c>
      <c r="I84" s="90" t="s">
        <v>30</v>
      </c>
      <c r="J84" s="91">
        <v>45258</v>
      </c>
      <c r="K84" s="92"/>
      <c r="L84" s="93"/>
      <c r="M84" s="93"/>
      <c r="N84" s="93"/>
      <c r="O84" s="87">
        <v>2000</v>
      </c>
      <c r="P84" s="16"/>
      <c r="Q84" s="16"/>
      <c r="R84" s="16" t="s">
        <v>34</v>
      </c>
      <c r="S84" s="94">
        <v>41000</v>
      </c>
      <c r="T84" s="95">
        <f t="shared" si="2"/>
        <v>82000</v>
      </c>
    </row>
    <row r="85" spans="1:20" s="86" customFormat="1" ht="13.5" customHeight="1" x14ac:dyDescent="0.25">
      <c r="A85" s="257"/>
      <c r="B85" s="87" t="s">
        <v>304</v>
      </c>
      <c r="C85" s="87" t="s">
        <v>26</v>
      </c>
      <c r="D85" s="88" t="s">
        <v>27</v>
      </c>
      <c r="E85" s="89" t="s">
        <v>273</v>
      </c>
      <c r="F85" s="87">
        <v>7000</v>
      </c>
      <c r="G85" s="90">
        <v>280</v>
      </c>
      <c r="H85" s="90" t="s">
        <v>129</v>
      </c>
      <c r="I85" s="90" t="s">
        <v>30</v>
      </c>
      <c r="J85" s="91">
        <v>45258</v>
      </c>
      <c r="K85" s="92"/>
      <c r="L85" s="93"/>
      <c r="M85" s="93"/>
      <c r="N85" s="93"/>
      <c r="O85" s="87">
        <v>7000</v>
      </c>
      <c r="P85" s="16"/>
      <c r="Q85" s="16"/>
      <c r="R85" s="16" t="s">
        <v>34</v>
      </c>
      <c r="S85" s="94">
        <v>41000</v>
      </c>
      <c r="T85" s="95">
        <f t="shared" si="2"/>
        <v>287000</v>
      </c>
    </row>
    <row r="86" spans="1:20" s="86" customFormat="1" ht="12.75" customHeight="1" x14ac:dyDescent="0.25">
      <c r="A86" s="257"/>
      <c r="B86" s="87" t="s">
        <v>307</v>
      </c>
      <c r="C86" s="87" t="s">
        <v>26</v>
      </c>
      <c r="D86" s="88" t="s">
        <v>308</v>
      </c>
      <c r="E86" s="89" t="s">
        <v>198</v>
      </c>
      <c r="F86" s="87">
        <v>5760</v>
      </c>
      <c r="G86" s="90">
        <v>32</v>
      </c>
      <c r="H86" s="90" t="s">
        <v>60</v>
      </c>
      <c r="I86" s="90" t="s">
        <v>30</v>
      </c>
      <c r="J86" s="91">
        <v>45258</v>
      </c>
      <c r="K86" s="93"/>
      <c r="L86" s="93"/>
      <c r="M86" s="93"/>
      <c r="N86" s="93"/>
      <c r="O86" s="16"/>
      <c r="P86" s="16"/>
      <c r="Q86" s="87">
        <v>5760</v>
      </c>
      <c r="R86" s="16" t="s">
        <v>34</v>
      </c>
      <c r="S86" s="94">
        <v>320000</v>
      </c>
      <c r="T86" s="95">
        <f t="shared" si="2"/>
        <v>1843200</v>
      </c>
    </row>
    <row r="87" spans="1:20" s="86" customFormat="1" ht="12.75" customHeight="1" x14ac:dyDescent="0.25">
      <c r="A87" s="258"/>
      <c r="B87" s="87" t="s">
        <v>307</v>
      </c>
      <c r="C87" s="87" t="s">
        <v>26</v>
      </c>
      <c r="D87" s="88" t="s">
        <v>308</v>
      </c>
      <c r="E87" s="89" t="s">
        <v>76</v>
      </c>
      <c r="F87" s="87">
        <v>360</v>
      </c>
      <c r="G87" s="90">
        <v>2</v>
      </c>
      <c r="H87" s="90" t="s">
        <v>60</v>
      </c>
      <c r="I87" s="90" t="s">
        <v>30</v>
      </c>
      <c r="J87" s="91">
        <v>45258</v>
      </c>
      <c r="K87" s="93"/>
      <c r="L87" s="93"/>
      <c r="M87" s="93"/>
      <c r="N87" s="93"/>
      <c r="O87" s="16"/>
      <c r="P87" s="16"/>
      <c r="Q87" s="87">
        <v>360</v>
      </c>
      <c r="R87" s="16" t="s">
        <v>34</v>
      </c>
      <c r="S87" s="94">
        <v>320000</v>
      </c>
      <c r="T87" s="95">
        <f t="shared" si="2"/>
        <v>115200</v>
      </c>
    </row>
    <row r="88" spans="1:20" s="17" customFormat="1" ht="13.5" customHeight="1" x14ac:dyDescent="0.25">
      <c r="A88" s="25"/>
      <c r="B88" s="19" t="s">
        <v>304</v>
      </c>
      <c r="C88" s="19" t="s">
        <v>26</v>
      </c>
      <c r="D88" s="20" t="s">
        <v>27</v>
      </c>
      <c r="E88" s="21" t="s">
        <v>266</v>
      </c>
      <c r="F88" s="19">
        <v>19000</v>
      </c>
      <c r="G88" s="18">
        <v>760</v>
      </c>
      <c r="H88" s="18" t="s">
        <v>129</v>
      </c>
      <c r="I88" s="18" t="s">
        <v>30</v>
      </c>
      <c r="J88" s="23">
        <v>45258</v>
      </c>
      <c r="K88" s="24" t="s">
        <v>323</v>
      </c>
      <c r="L88" s="25" t="s">
        <v>324</v>
      </c>
      <c r="M88" s="25" t="s">
        <v>325</v>
      </c>
      <c r="N88" s="25"/>
      <c r="O88" s="19">
        <v>19000</v>
      </c>
      <c r="P88" s="26"/>
      <c r="Q88" s="26"/>
      <c r="R88" s="26" t="s">
        <v>34</v>
      </c>
      <c r="S88" s="27">
        <v>41000</v>
      </c>
      <c r="T88" s="28">
        <f t="shared" si="2"/>
        <v>779000</v>
      </c>
    </row>
    <row r="89" spans="1:20" s="96" customFormat="1" ht="12.75" customHeight="1" x14ac:dyDescent="0.25">
      <c r="A89" s="97"/>
      <c r="B89" s="98" t="s">
        <v>409</v>
      </c>
      <c r="C89" s="98" t="s">
        <v>26</v>
      </c>
      <c r="D89" s="99" t="s">
        <v>308</v>
      </c>
      <c r="E89" s="100" t="s">
        <v>198</v>
      </c>
      <c r="F89" s="98">
        <v>2880</v>
      </c>
      <c r="G89" s="101">
        <v>16</v>
      </c>
      <c r="H89" s="101" t="s">
        <v>29</v>
      </c>
      <c r="I89" s="101" t="s">
        <v>30</v>
      </c>
      <c r="J89" s="102">
        <v>45258</v>
      </c>
      <c r="K89" s="103" t="s">
        <v>410</v>
      </c>
      <c r="L89" s="103" t="s">
        <v>411</v>
      </c>
      <c r="M89" s="103" t="s">
        <v>412</v>
      </c>
      <c r="N89" s="103"/>
      <c r="O89" s="104"/>
      <c r="P89" s="104"/>
      <c r="Q89" s="98">
        <v>2880</v>
      </c>
      <c r="R89" s="104" t="s">
        <v>34</v>
      </c>
      <c r="S89" s="105">
        <v>359000</v>
      </c>
      <c r="T89" s="106">
        <f t="shared" si="2"/>
        <v>1033920</v>
      </c>
    </row>
    <row r="90" spans="1:20" s="96" customFormat="1" ht="13.5" customHeight="1" x14ac:dyDescent="0.25">
      <c r="A90" s="97"/>
      <c r="B90" s="98" t="s">
        <v>409</v>
      </c>
      <c r="C90" s="98" t="s">
        <v>26</v>
      </c>
      <c r="D90" s="99" t="s">
        <v>308</v>
      </c>
      <c r="E90" s="100" t="s">
        <v>76</v>
      </c>
      <c r="F90" s="98">
        <v>720</v>
      </c>
      <c r="G90" s="101">
        <v>4</v>
      </c>
      <c r="H90" s="101" t="s">
        <v>29</v>
      </c>
      <c r="I90" s="101" t="s">
        <v>30</v>
      </c>
      <c r="J90" s="102">
        <v>45258</v>
      </c>
      <c r="K90" s="104"/>
      <c r="L90" s="104"/>
      <c r="M90" s="104"/>
      <c r="N90" s="103"/>
      <c r="O90" s="98"/>
      <c r="P90" s="104"/>
      <c r="Q90" s="98">
        <v>720</v>
      </c>
      <c r="R90" s="104" t="s">
        <v>34</v>
      </c>
      <c r="S90" s="105">
        <v>359000</v>
      </c>
      <c r="T90" s="106">
        <f t="shared" si="2"/>
        <v>258480</v>
      </c>
    </row>
    <row r="91" spans="1:20" s="86" customFormat="1" ht="13.5" customHeight="1" x14ac:dyDescent="0.25">
      <c r="A91" s="256" t="s">
        <v>35</v>
      </c>
      <c r="B91" s="87" t="s">
        <v>413</v>
      </c>
      <c r="C91" s="87" t="s">
        <v>298</v>
      </c>
      <c r="D91" s="88" t="s">
        <v>66</v>
      </c>
      <c r="E91" s="89" t="s">
        <v>303</v>
      </c>
      <c r="F91" s="87">
        <v>800</v>
      </c>
      <c r="G91" s="90">
        <v>4</v>
      </c>
      <c r="H91" s="90" t="s">
        <v>29</v>
      </c>
      <c r="I91" s="90" t="s">
        <v>30</v>
      </c>
      <c r="J91" s="91">
        <v>45259</v>
      </c>
      <c r="K91" s="92" t="s">
        <v>414</v>
      </c>
      <c r="L91" s="93"/>
      <c r="M91" s="107" t="s">
        <v>415</v>
      </c>
      <c r="N91" s="108"/>
      <c r="O91" s="16"/>
      <c r="P91" s="16"/>
      <c r="Q91" s="87">
        <v>800</v>
      </c>
      <c r="R91" s="16" t="s">
        <v>34</v>
      </c>
      <c r="S91" s="109">
        <v>90000</v>
      </c>
      <c r="T91" s="95">
        <f t="shared" si="2"/>
        <v>72000</v>
      </c>
    </row>
    <row r="92" spans="1:20" s="86" customFormat="1" ht="13.5" customHeight="1" x14ac:dyDescent="0.25">
      <c r="A92" s="257"/>
      <c r="B92" s="87" t="s">
        <v>413</v>
      </c>
      <c r="C92" s="87" t="s">
        <v>298</v>
      </c>
      <c r="D92" s="88" t="s">
        <v>66</v>
      </c>
      <c r="E92" s="89" t="s">
        <v>71</v>
      </c>
      <c r="F92" s="87">
        <v>8800</v>
      </c>
      <c r="G92" s="90">
        <v>44</v>
      </c>
      <c r="H92" s="90" t="s">
        <v>29</v>
      </c>
      <c r="I92" s="90" t="s">
        <v>30</v>
      </c>
      <c r="J92" s="91">
        <v>45259</v>
      </c>
      <c r="K92" s="92"/>
      <c r="L92" s="93"/>
      <c r="M92" s="93"/>
      <c r="N92" s="108"/>
      <c r="O92" s="16"/>
      <c r="P92" s="16"/>
      <c r="Q92" s="87">
        <v>8800</v>
      </c>
      <c r="R92" s="16" t="s">
        <v>34</v>
      </c>
      <c r="S92" s="109">
        <v>90000</v>
      </c>
      <c r="T92" s="95">
        <f t="shared" si="2"/>
        <v>792000.00000000012</v>
      </c>
    </row>
    <row r="93" spans="1:20" s="86" customFormat="1" ht="13.5" customHeight="1" x14ac:dyDescent="0.25">
      <c r="A93" s="258"/>
      <c r="B93" s="87" t="s">
        <v>413</v>
      </c>
      <c r="C93" s="87" t="s">
        <v>298</v>
      </c>
      <c r="D93" s="88" t="s">
        <v>66</v>
      </c>
      <c r="E93" s="89" t="s">
        <v>73</v>
      </c>
      <c r="F93" s="87">
        <v>8000</v>
      </c>
      <c r="G93" s="90">
        <v>40</v>
      </c>
      <c r="H93" s="90" t="s">
        <v>29</v>
      </c>
      <c r="I93" s="90" t="s">
        <v>30</v>
      </c>
      <c r="J93" s="91">
        <v>45259</v>
      </c>
      <c r="K93" s="92"/>
      <c r="L93" s="93"/>
      <c r="M93" s="93"/>
      <c r="N93" s="108"/>
      <c r="O93" s="16"/>
      <c r="P93" s="16"/>
      <c r="Q93" s="87">
        <v>8000</v>
      </c>
      <c r="R93" s="16" t="s">
        <v>34</v>
      </c>
      <c r="S93" s="109">
        <v>90000</v>
      </c>
      <c r="T93" s="95">
        <f t="shared" si="2"/>
        <v>720000</v>
      </c>
    </row>
    <row r="94" spans="1:20" s="110" customFormat="1" ht="12.75" customHeight="1" x14ac:dyDescent="0.25">
      <c r="A94" s="259" t="s">
        <v>124</v>
      </c>
      <c r="B94" s="111" t="s">
        <v>416</v>
      </c>
      <c r="C94" s="111" t="s">
        <v>26</v>
      </c>
      <c r="D94" s="112" t="s">
        <v>308</v>
      </c>
      <c r="E94" s="113" t="s">
        <v>198</v>
      </c>
      <c r="F94" s="111">
        <v>540</v>
      </c>
      <c r="G94" s="114">
        <v>3</v>
      </c>
      <c r="H94" s="114" t="s">
        <v>29</v>
      </c>
      <c r="I94" s="114" t="s">
        <v>30</v>
      </c>
      <c r="J94" s="115">
        <v>45259</v>
      </c>
      <c r="K94" s="116" t="s">
        <v>417</v>
      </c>
      <c r="L94" s="116" t="s">
        <v>418</v>
      </c>
      <c r="M94" s="116" t="s">
        <v>419</v>
      </c>
      <c r="N94" s="116"/>
      <c r="O94" s="66"/>
      <c r="P94" s="66"/>
      <c r="Q94" s="111">
        <v>540</v>
      </c>
      <c r="R94" s="66" t="s">
        <v>34</v>
      </c>
      <c r="S94" s="117">
        <v>359000</v>
      </c>
      <c r="T94" s="68">
        <f t="shared" si="2"/>
        <v>193860</v>
      </c>
    </row>
    <row r="95" spans="1:20" s="110" customFormat="1" ht="13.5" customHeight="1" x14ac:dyDescent="0.25">
      <c r="A95" s="260"/>
      <c r="B95" s="111" t="s">
        <v>416</v>
      </c>
      <c r="C95" s="111" t="s">
        <v>26</v>
      </c>
      <c r="D95" s="112" t="s">
        <v>308</v>
      </c>
      <c r="E95" s="113" t="s">
        <v>76</v>
      </c>
      <c r="F95" s="111">
        <v>180</v>
      </c>
      <c r="G95" s="114">
        <v>1</v>
      </c>
      <c r="H95" s="114" t="s">
        <v>29</v>
      </c>
      <c r="I95" s="114" t="s">
        <v>30</v>
      </c>
      <c r="J95" s="115">
        <v>45259</v>
      </c>
      <c r="K95" s="66"/>
      <c r="L95" s="66"/>
      <c r="M95" s="66"/>
      <c r="N95" s="116"/>
      <c r="O95" s="111"/>
      <c r="P95" s="66"/>
      <c r="Q95" s="111">
        <v>180</v>
      </c>
      <c r="R95" s="66" t="s">
        <v>34</v>
      </c>
      <c r="S95" s="117">
        <v>359000</v>
      </c>
      <c r="T95" s="68">
        <f t="shared" si="2"/>
        <v>64620</v>
      </c>
    </row>
    <row r="96" spans="1:20" s="110" customFormat="1" ht="13.5" customHeight="1" x14ac:dyDescent="0.25">
      <c r="A96" s="118"/>
      <c r="B96" s="111" t="s">
        <v>416</v>
      </c>
      <c r="C96" s="111" t="s">
        <v>26</v>
      </c>
      <c r="D96" s="112" t="s">
        <v>308</v>
      </c>
      <c r="E96" s="113" t="s">
        <v>76</v>
      </c>
      <c r="F96" s="111">
        <v>10080</v>
      </c>
      <c r="G96" s="114">
        <v>56</v>
      </c>
      <c r="H96" s="114" t="s">
        <v>29</v>
      </c>
      <c r="I96" s="114" t="s">
        <v>30</v>
      </c>
      <c r="J96" s="115">
        <v>45259</v>
      </c>
      <c r="K96" s="66"/>
      <c r="L96" s="66"/>
      <c r="M96" s="66"/>
      <c r="N96" s="116"/>
      <c r="O96" s="111"/>
      <c r="P96" s="66"/>
      <c r="Q96" s="111">
        <v>10080</v>
      </c>
      <c r="R96" s="66" t="s">
        <v>34</v>
      </c>
      <c r="S96" s="117">
        <v>359000</v>
      </c>
      <c r="T96" s="68">
        <f t="shared" si="2"/>
        <v>3618720</v>
      </c>
    </row>
    <row r="97" spans="1:20" ht="18.75" x14ac:dyDescent="0.3">
      <c r="A97" s="119" t="s">
        <v>252</v>
      </c>
      <c r="B97" s="53">
        <f>SUM(F4:F96)/1000</f>
        <v>724.85900000000004</v>
      </c>
      <c r="C97" s="54" t="s">
        <v>253</v>
      </c>
      <c r="S97" s="55"/>
      <c r="T97" s="55">
        <f>SUM(T4:T96)</f>
        <v>72981438</v>
      </c>
    </row>
    <row r="98" spans="1:20" ht="18.75" x14ac:dyDescent="0.3">
      <c r="A98" s="120" t="s">
        <v>254</v>
      </c>
      <c r="B98" s="57">
        <f>B99+B100+B101</f>
        <v>724.85899999999992</v>
      </c>
      <c r="C98" s="58" t="s">
        <v>253</v>
      </c>
    </row>
    <row r="99" spans="1:20" ht="18.75" x14ac:dyDescent="0.3">
      <c r="A99" s="121" t="s">
        <v>255</v>
      </c>
      <c r="B99" s="60">
        <f>SUM(O4:O96)/1000</f>
        <v>403.274</v>
      </c>
      <c r="C99" s="61" t="s">
        <v>253</v>
      </c>
    </row>
    <row r="100" spans="1:20" ht="18.75" x14ac:dyDescent="0.3">
      <c r="A100" s="121" t="s">
        <v>256</v>
      </c>
      <c r="B100" s="60">
        <f>SUM(P4:P96)/1000</f>
        <v>22</v>
      </c>
      <c r="C100" s="61" t="s">
        <v>253</v>
      </c>
    </row>
    <row r="101" spans="1:20" ht="18.75" x14ac:dyDescent="0.3">
      <c r="A101" s="121" t="s">
        <v>257</v>
      </c>
      <c r="B101" s="62">
        <f>SUM(Q4:Q96)/1000</f>
        <v>299.58499999999998</v>
      </c>
      <c r="C101" s="61" t="s">
        <v>253</v>
      </c>
    </row>
    <row r="102" spans="1:20" ht="18.75" x14ac:dyDescent="0.3">
      <c r="A102" s="122" t="s">
        <v>258</v>
      </c>
      <c r="B102" s="64">
        <f>B97-B98</f>
        <v>0</v>
      </c>
      <c r="C102" s="65" t="s">
        <v>253</v>
      </c>
    </row>
  </sheetData>
  <autoFilter ref="D1:D102" xr:uid="{00000000-0009-0000-0000-000001000000}"/>
  <mergeCells count="34">
    <mergeCell ref="A80:A81"/>
    <mergeCell ref="A82:A87"/>
    <mergeCell ref="A91:A93"/>
    <mergeCell ref="A94:A95"/>
    <mergeCell ref="A66:A67"/>
    <mergeCell ref="A69:A70"/>
    <mergeCell ref="A72:A74"/>
    <mergeCell ref="A75:A76"/>
    <mergeCell ref="A77:A78"/>
    <mergeCell ref="A48:A51"/>
    <mergeCell ref="A52:A53"/>
    <mergeCell ref="A59:A60"/>
    <mergeCell ref="A61:A62"/>
    <mergeCell ref="A64:A65"/>
    <mergeCell ref="A26:A27"/>
    <mergeCell ref="A28:A29"/>
    <mergeCell ref="A31:A32"/>
    <mergeCell ref="A34:A40"/>
    <mergeCell ref="A42:A47"/>
    <mergeCell ref="O2:Q2"/>
    <mergeCell ref="R2:R3"/>
    <mergeCell ref="A8:A10"/>
    <mergeCell ref="A15:A17"/>
    <mergeCell ref="A23:A25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2">
    <dataValidation type="list" allowBlank="1" showInputMessage="1" showErrorMessage="1" sqref="D97" xr:uid="{00EC005B-0056-48F7-8C98-007900E400D4}">
      <formula1>$E$76:$E$113</formula1>
    </dataValidation>
    <dataValidation type="list" allowBlank="1" showInputMessage="1" showErrorMessage="1" sqref="D56 D14" xr:uid="{00D900EA-0065-4F30-BAC5-00AC000300CF}">
      <formula1>$E$4:$E$96</formula1>
    </dataValidation>
  </dataValidations>
  <pageMargins left="0.7" right="0.7" top="0.75" bottom="0.75" header="0.3" footer="0.3"/>
  <pageSetup paperSize="9" scale="27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справочник!$E$4:$E$117</xm:f>
          </x14:formula1>
          <xm:sqref>D4:D96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23"/>
  <sheetViews>
    <sheetView zoomScale="80" workbookViewId="0">
      <selection activeCell="F39" sqref="F39:F119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65.5703125" bestFit="1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8.140625" customWidth="1"/>
    <col min="14" max="14" width="14.140625" customWidth="1"/>
    <col min="18" max="18" width="27.140625" customWidth="1"/>
    <col min="19" max="19" width="25.140625" customWidth="1"/>
    <col min="20" max="20" width="20" customWidth="1"/>
  </cols>
  <sheetData>
    <row r="1" spans="1:20" s="3" customFormat="1" ht="17.25" x14ac:dyDescent="0.3">
      <c r="A1" s="5"/>
      <c r="B1" s="5" t="s">
        <v>0</v>
      </c>
      <c r="C1" s="6">
        <v>45200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7" customFormat="1" ht="13.5" customHeight="1" x14ac:dyDescent="0.25">
      <c r="A4" s="26"/>
      <c r="B4" s="19" t="s">
        <v>420</v>
      </c>
      <c r="C4" s="19" t="s">
        <v>37</v>
      </c>
      <c r="D4" s="20" t="s">
        <v>421</v>
      </c>
      <c r="E4" s="21" t="s">
        <v>422</v>
      </c>
      <c r="F4" s="19">
        <v>7200</v>
      </c>
      <c r="G4" s="18">
        <v>36</v>
      </c>
      <c r="H4" s="18" t="s">
        <v>423</v>
      </c>
      <c r="I4" s="18" t="s">
        <v>30</v>
      </c>
      <c r="J4" s="23">
        <v>45201</v>
      </c>
      <c r="K4" s="18" t="s">
        <v>424</v>
      </c>
      <c r="L4" s="26" t="s">
        <v>425</v>
      </c>
      <c r="M4" s="26" t="s">
        <v>63</v>
      </c>
      <c r="N4" s="23"/>
      <c r="O4" s="26"/>
      <c r="P4" s="26"/>
      <c r="Q4" s="26">
        <v>7200</v>
      </c>
      <c r="R4" s="26"/>
      <c r="S4" s="27">
        <v>180000</v>
      </c>
      <c r="T4" s="85">
        <f t="shared" ref="T4:T48" si="0">S4*(F4/1000)</f>
        <v>1296000</v>
      </c>
    </row>
    <row r="5" spans="1:20" s="17" customFormat="1" ht="13.5" customHeight="1" x14ac:dyDescent="0.25">
      <c r="A5" s="26"/>
      <c r="B5" s="19" t="s">
        <v>420</v>
      </c>
      <c r="C5" s="19" t="s">
        <v>37</v>
      </c>
      <c r="D5" s="20" t="s">
        <v>421</v>
      </c>
      <c r="E5" s="21" t="s">
        <v>285</v>
      </c>
      <c r="F5" s="19">
        <v>10400</v>
      </c>
      <c r="G5" s="18">
        <v>52</v>
      </c>
      <c r="H5" s="18" t="s">
        <v>423</v>
      </c>
      <c r="I5" s="18" t="s">
        <v>30</v>
      </c>
      <c r="J5" s="23">
        <v>45201</v>
      </c>
      <c r="K5" s="18" t="s">
        <v>424</v>
      </c>
      <c r="L5" s="26"/>
      <c r="M5" s="26"/>
      <c r="N5" s="23"/>
      <c r="O5" s="26"/>
      <c r="P5" s="26"/>
      <c r="Q5" s="26">
        <v>10400</v>
      </c>
      <c r="R5" s="26"/>
      <c r="S5" s="27">
        <v>180000</v>
      </c>
      <c r="T5" s="85">
        <f t="shared" si="0"/>
        <v>1872000</v>
      </c>
    </row>
    <row r="6" spans="1:20" s="17" customFormat="1" ht="13.5" customHeight="1" x14ac:dyDescent="0.25">
      <c r="A6" s="26"/>
      <c r="B6" s="19" t="s">
        <v>237</v>
      </c>
      <c r="C6" s="19" t="s">
        <v>384</v>
      </c>
      <c r="D6" s="20" t="s">
        <v>140</v>
      </c>
      <c r="E6" s="21" t="s">
        <v>426</v>
      </c>
      <c r="F6" s="19">
        <v>5040</v>
      </c>
      <c r="G6" s="18">
        <v>28</v>
      </c>
      <c r="H6" s="18" t="s">
        <v>338</v>
      </c>
      <c r="I6" s="18" t="s">
        <v>30</v>
      </c>
      <c r="J6" s="23">
        <v>45201</v>
      </c>
      <c r="K6" s="18" t="s">
        <v>427</v>
      </c>
      <c r="L6" s="26" t="s">
        <v>428</v>
      </c>
      <c r="M6" s="26" t="s">
        <v>429</v>
      </c>
      <c r="N6" s="23"/>
      <c r="O6" s="26"/>
      <c r="P6" s="26"/>
      <c r="Q6" s="26">
        <v>5040</v>
      </c>
      <c r="R6" s="26"/>
      <c r="S6" s="27">
        <v>110000</v>
      </c>
      <c r="T6" s="85">
        <f t="shared" si="0"/>
        <v>554400</v>
      </c>
    </row>
    <row r="7" spans="1:20" s="17" customFormat="1" ht="13.5" customHeight="1" x14ac:dyDescent="0.25">
      <c r="A7" s="25"/>
      <c r="B7" s="19" t="s">
        <v>292</v>
      </c>
      <c r="C7" s="19" t="s">
        <v>26</v>
      </c>
      <c r="D7" s="20" t="s">
        <v>27</v>
      </c>
      <c r="E7" s="21" t="s">
        <v>430</v>
      </c>
      <c r="F7" s="19">
        <v>20000</v>
      </c>
      <c r="G7" s="18">
        <v>800</v>
      </c>
      <c r="H7" s="18" t="s">
        <v>29</v>
      </c>
      <c r="I7" s="18" t="s">
        <v>30</v>
      </c>
      <c r="J7" s="23">
        <v>45201</v>
      </c>
      <c r="K7" s="19" t="s">
        <v>431</v>
      </c>
      <c r="L7" s="26" t="s">
        <v>432</v>
      </c>
      <c r="M7" s="26" t="s">
        <v>433</v>
      </c>
      <c r="N7" s="26"/>
      <c r="O7" s="26">
        <v>20000</v>
      </c>
      <c r="P7" s="26"/>
      <c r="Q7" s="26"/>
      <c r="R7" s="26"/>
      <c r="S7" s="27">
        <v>41000</v>
      </c>
      <c r="T7" s="85">
        <f t="shared" si="0"/>
        <v>820000</v>
      </c>
    </row>
    <row r="8" spans="1:20" s="17" customFormat="1" ht="13.5" customHeight="1" x14ac:dyDescent="0.25">
      <c r="A8" s="25"/>
      <c r="B8" s="19" t="s">
        <v>292</v>
      </c>
      <c r="C8" s="19" t="s">
        <v>26</v>
      </c>
      <c r="D8" s="20" t="s">
        <v>27</v>
      </c>
      <c r="E8" s="21" t="s">
        <v>434</v>
      </c>
      <c r="F8" s="19">
        <v>20000</v>
      </c>
      <c r="G8" s="18">
        <v>800</v>
      </c>
      <c r="H8" s="18" t="s">
        <v>29</v>
      </c>
      <c r="I8" s="18" t="s">
        <v>30</v>
      </c>
      <c r="J8" s="23">
        <v>45201</v>
      </c>
      <c r="K8" s="18" t="s">
        <v>435</v>
      </c>
      <c r="L8" s="26" t="s">
        <v>436</v>
      </c>
      <c r="M8" s="26" t="s">
        <v>437</v>
      </c>
      <c r="N8" s="26"/>
      <c r="O8" s="26">
        <v>20000</v>
      </c>
      <c r="P8" s="26"/>
      <c r="Q8" s="26"/>
      <c r="R8" s="26"/>
      <c r="S8" s="27">
        <v>41000</v>
      </c>
      <c r="T8" s="85">
        <f t="shared" si="0"/>
        <v>820000</v>
      </c>
    </row>
    <row r="9" spans="1:20" s="17" customFormat="1" ht="13.5" customHeight="1" x14ac:dyDescent="0.25">
      <c r="A9" s="26"/>
      <c r="B9" s="19" t="s">
        <v>438</v>
      </c>
      <c r="C9" s="19" t="s">
        <v>439</v>
      </c>
      <c r="D9" s="20" t="s">
        <v>440</v>
      </c>
      <c r="E9" s="21" t="s">
        <v>441</v>
      </c>
      <c r="F9" s="19">
        <v>10000</v>
      </c>
      <c r="G9" s="18">
        <v>500</v>
      </c>
      <c r="H9" s="18" t="s">
        <v>29</v>
      </c>
      <c r="I9" s="18" t="s">
        <v>30</v>
      </c>
      <c r="J9" s="23">
        <v>45202</v>
      </c>
      <c r="K9" s="18" t="s">
        <v>442</v>
      </c>
      <c r="L9" s="26" t="s">
        <v>443</v>
      </c>
      <c r="M9" s="26" t="s">
        <v>444</v>
      </c>
      <c r="N9" s="23"/>
      <c r="O9" s="26"/>
      <c r="P9" s="26">
        <v>10000</v>
      </c>
      <c r="Q9" s="26"/>
      <c r="R9" s="26"/>
      <c r="S9" s="27">
        <v>79000</v>
      </c>
      <c r="T9" s="85">
        <f t="shared" si="0"/>
        <v>790000</v>
      </c>
    </row>
    <row r="10" spans="1:20" s="17" customFormat="1" ht="13.5" customHeight="1" x14ac:dyDescent="0.25">
      <c r="A10" s="26"/>
      <c r="B10" s="19" t="s">
        <v>438</v>
      </c>
      <c r="C10" s="19" t="s">
        <v>439</v>
      </c>
      <c r="D10" s="20" t="s">
        <v>445</v>
      </c>
      <c r="E10" s="21" t="s">
        <v>446</v>
      </c>
      <c r="F10" s="19">
        <v>10000</v>
      </c>
      <c r="G10" s="18">
        <v>400</v>
      </c>
      <c r="H10" s="18" t="s">
        <v>29</v>
      </c>
      <c r="I10" s="18" t="s">
        <v>30</v>
      </c>
      <c r="J10" s="23">
        <v>45202</v>
      </c>
      <c r="K10" s="18" t="s">
        <v>442</v>
      </c>
      <c r="L10" s="26"/>
      <c r="M10" s="26"/>
      <c r="N10" s="23"/>
      <c r="O10" s="26">
        <v>10000</v>
      </c>
      <c r="P10" s="26"/>
      <c r="Q10" s="26"/>
      <c r="R10" s="26"/>
      <c r="S10" s="27">
        <v>45000</v>
      </c>
      <c r="T10" s="85">
        <f t="shared" si="0"/>
        <v>450000</v>
      </c>
    </row>
    <row r="11" spans="1:20" s="17" customFormat="1" ht="13.5" customHeight="1" x14ac:dyDescent="0.25">
      <c r="A11" s="26"/>
      <c r="B11" s="19" t="s">
        <v>447</v>
      </c>
      <c r="C11" s="19" t="s">
        <v>37</v>
      </c>
      <c r="D11" s="20" t="s">
        <v>421</v>
      </c>
      <c r="E11" s="21" t="s">
        <v>299</v>
      </c>
      <c r="F11" s="19">
        <v>14400</v>
      </c>
      <c r="G11" s="18">
        <v>72</v>
      </c>
      <c r="H11" s="18" t="s">
        <v>448</v>
      </c>
      <c r="I11" s="18" t="s">
        <v>30</v>
      </c>
      <c r="J11" s="23">
        <v>45202</v>
      </c>
      <c r="K11" s="18" t="s">
        <v>449</v>
      </c>
      <c r="L11" s="26" t="s">
        <v>450</v>
      </c>
      <c r="M11" s="26" t="s">
        <v>451</v>
      </c>
      <c r="N11" s="23"/>
      <c r="O11" s="26"/>
      <c r="P11" s="26"/>
      <c r="Q11" s="26">
        <v>14400</v>
      </c>
      <c r="R11" s="26"/>
      <c r="S11" s="27">
        <v>180000</v>
      </c>
      <c r="T11" s="85">
        <f t="shared" si="0"/>
        <v>2592000</v>
      </c>
    </row>
    <row r="12" spans="1:20" s="17" customFormat="1" ht="13.5" customHeight="1" x14ac:dyDescent="0.25">
      <c r="A12" s="26"/>
      <c r="B12" s="19" t="s">
        <v>447</v>
      </c>
      <c r="C12" s="19" t="s">
        <v>37</v>
      </c>
      <c r="D12" s="20" t="s">
        <v>421</v>
      </c>
      <c r="E12" s="21" t="s">
        <v>302</v>
      </c>
      <c r="F12" s="19">
        <v>3200</v>
      </c>
      <c r="G12" s="18">
        <v>16</v>
      </c>
      <c r="H12" s="18" t="s">
        <v>448</v>
      </c>
      <c r="I12" s="18" t="s">
        <v>30</v>
      </c>
      <c r="J12" s="23">
        <v>45202</v>
      </c>
      <c r="K12" s="18" t="s">
        <v>449</v>
      </c>
      <c r="L12" s="26"/>
      <c r="M12" s="26"/>
      <c r="N12" s="23"/>
      <c r="O12" s="26"/>
      <c r="P12" s="26"/>
      <c r="Q12" s="26">
        <v>3200</v>
      </c>
      <c r="R12" s="26"/>
      <c r="S12" s="27">
        <v>180000</v>
      </c>
      <c r="T12" s="85">
        <f t="shared" si="0"/>
        <v>576000</v>
      </c>
    </row>
    <row r="13" spans="1:20" s="17" customFormat="1" ht="13.5" customHeight="1" x14ac:dyDescent="0.25">
      <c r="A13" s="26"/>
      <c r="B13" s="19" t="s">
        <v>452</v>
      </c>
      <c r="C13" s="19" t="s">
        <v>126</v>
      </c>
      <c r="D13" s="20" t="s">
        <v>127</v>
      </c>
      <c r="E13" s="21" t="s">
        <v>453</v>
      </c>
      <c r="F13" s="19">
        <v>20000</v>
      </c>
      <c r="G13" s="18">
        <v>800</v>
      </c>
      <c r="H13" s="18" t="s">
        <v>129</v>
      </c>
      <c r="I13" s="18" t="s">
        <v>30</v>
      </c>
      <c r="J13" s="23">
        <v>45202</v>
      </c>
      <c r="K13" s="18" t="s">
        <v>454</v>
      </c>
      <c r="L13" s="26" t="s">
        <v>455</v>
      </c>
      <c r="M13" s="26" t="s">
        <v>456</v>
      </c>
      <c r="N13" s="23"/>
      <c r="O13" s="26">
        <v>20000</v>
      </c>
      <c r="P13" s="26"/>
      <c r="Q13" s="26"/>
      <c r="R13" s="26"/>
      <c r="S13" s="27">
        <v>39000</v>
      </c>
      <c r="T13" s="85">
        <f t="shared" si="0"/>
        <v>780000</v>
      </c>
    </row>
    <row r="14" spans="1:20" s="17" customFormat="1" ht="13.5" customHeight="1" x14ac:dyDescent="0.25">
      <c r="A14" s="25"/>
      <c r="B14" s="19" t="s">
        <v>304</v>
      </c>
      <c r="C14" s="19" t="s">
        <v>26</v>
      </c>
      <c r="D14" s="20" t="s">
        <v>27</v>
      </c>
      <c r="E14" s="21" t="s">
        <v>457</v>
      </c>
      <c r="F14" s="19">
        <v>20000</v>
      </c>
      <c r="G14" s="18">
        <v>800</v>
      </c>
      <c r="H14" s="18" t="s">
        <v>129</v>
      </c>
      <c r="I14" s="18" t="s">
        <v>30</v>
      </c>
      <c r="J14" s="23">
        <v>45202</v>
      </c>
      <c r="K14" s="18" t="s">
        <v>458</v>
      </c>
      <c r="L14" s="26" t="s">
        <v>459</v>
      </c>
      <c r="M14" s="26" t="s">
        <v>460</v>
      </c>
      <c r="N14" s="26"/>
      <c r="O14" s="26">
        <v>20000</v>
      </c>
      <c r="P14" s="26"/>
      <c r="Q14" s="26"/>
      <c r="R14" s="26"/>
      <c r="S14" s="27">
        <v>41000</v>
      </c>
      <c r="T14" s="85">
        <f t="shared" si="0"/>
        <v>820000</v>
      </c>
    </row>
    <row r="15" spans="1:20" s="17" customFormat="1" ht="13.5" customHeight="1" x14ac:dyDescent="0.25">
      <c r="A15" s="26"/>
      <c r="B15" s="19" t="s">
        <v>461</v>
      </c>
      <c r="C15" s="19" t="s">
        <v>37</v>
      </c>
      <c r="D15" s="20" t="s">
        <v>421</v>
      </c>
      <c r="E15" s="21" t="s">
        <v>285</v>
      </c>
      <c r="F15" s="19">
        <v>3200</v>
      </c>
      <c r="G15" s="18">
        <v>16</v>
      </c>
      <c r="H15" s="18" t="s">
        <v>462</v>
      </c>
      <c r="I15" s="18" t="s">
        <v>30</v>
      </c>
      <c r="J15" s="23">
        <v>45202</v>
      </c>
      <c r="K15" s="18" t="s">
        <v>463</v>
      </c>
      <c r="L15" s="26" t="s">
        <v>464</v>
      </c>
      <c r="M15" s="26" t="s">
        <v>325</v>
      </c>
      <c r="N15" s="23"/>
      <c r="O15" s="26"/>
      <c r="P15" s="26"/>
      <c r="Q15" s="26">
        <v>3200</v>
      </c>
      <c r="R15" s="26"/>
      <c r="S15" s="27">
        <v>180000</v>
      </c>
      <c r="T15" s="85">
        <f t="shared" si="0"/>
        <v>576000</v>
      </c>
    </row>
    <row r="16" spans="1:20" s="17" customFormat="1" ht="13.5" customHeight="1" x14ac:dyDescent="0.25">
      <c r="A16" s="26"/>
      <c r="B16" s="19" t="s">
        <v>461</v>
      </c>
      <c r="C16" s="19" t="s">
        <v>37</v>
      </c>
      <c r="D16" s="20" t="s">
        <v>421</v>
      </c>
      <c r="E16" s="21" t="s">
        <v>465</v>
      </c>
      <c r="F16" s="19">
        <v>14400</v>
      </c>
      <c r="G16" s="18">
        <v>72</v>
      </c>
      <c r="H16" s="18" t="s">
        <v>462</v>
      </c>
      <c r="I16" s="18" t="s">
        <v>30</v>
      </c>
      <c r="J16" s="23">
        <v>45202</v>
      </c>
      <c r="K16" s="18" t="s">
        <v>463</v>
      </c>
      <c r="L16" s="26"/>
      <c r="M16" s="26"/>
      <c r="N16" s="23"/>
      <c r="O16" s="26"/>
      <c r="P16" s="26"/>
      <c r="Q16" s="26">
        <v>14400</v>
      </c>
      <c r="R16" s="26"/>
      <c r="S16" s="27">
        <v>180000</v>
      </c>
      <c r="T16" s="85">
        <f t="shared" si="0"/>
        <v>2592000</v>
      </c>
    </row>
    <row r="17" spans="1:20" s="17" customFormat="1" ht="13.5" customHeight="1" x14ac:dyDescent="0.25">
      <c r="A17" s="26"/>
      <c r="B17" s="19" t="s">
        <v>466</v>
      </c>
      <c r="C17" s="19" t="s">
        <v>467</v>
      </c>
      <c r="D17" s="20" t="s">
        <v>468</v>
      </c>
      <c r="E17" s="21" t="s">
        <v>469</v>
      </c>
      <c r="F17" s="19">
        <v>2160</v>
      </c>
      <c r="G17" s="18">
        <v>12</v>
      </c>
      <c r="H17" s="18" t="s">
        <v>470</v>
      </c>
      <c r="I17" s="18" t="s">
        <v>30</v>
      </c>
      <c r="J17" s="23">
        <v>45202</v>
      </c>
      <c r="K17" s="18" t="s">
        <v>471</v>
      </c>
      <c r="L17" s="26" t="s">
        <v>472</v>
      </c>
      <c r="M17" s="26" t="s">
        <v>473</v>
      </c>
      <c r="N17" s="23"/>
      <c r="O17" s="26"/>
      <c r="P17" s="26"/>
      <c r="Q17" s="26">
        <v>2160</v>
      </c>
      <c r="R17" s="26"/>
      <c r="S17" s="27">
        <v>158000</v>
      </c>
      <c r="T17" s="85">
        <f t="shared" si="0"/>
        <v>341280</v>
      </c>
    </row>
    <row r="18" spans="1:20" s="17" customFormat="1" ht="13.5" customHeight="1" x14ac:dyDescent="0.25">
      <c r="A18" s="26"/>
      <c r="B18" s="19" t="s">
        <v>466</v>
      </c>
      <c r="C18" s="19" t="s">
        <v>467</v>
      </c>
      <c r="D18" s="20" t="s">
        <v>474</v>
      </c>
      <c r="E18" s="21" t="s">
        <v>475</v>
      </c>
      <c r="F18" s="19">
        <v>13680</v>
      </c>
      <c r="G18" s="18">
        <v>76</v>
      </c>
      <c r="H18" s="18" t="s">
        <v>470</v>
      </c>
      <c r="I18" s="18" t="s">
        <v>30</v>
      </c>
      <c r="J18" s="23">
        <v>45202</v>
      </c>
      <c r="K18" s="18" t="s">
        <v>471</v>
      </c>
      <c r="L18" s="26"/>
      <c r="M18" s="26"/>
      <c r="N18" s="23"/>
      <c r="O18" s="26"/>
      <c r="P18" s="26"/>
      <c r="Q18" s="26">
        <v>13680</v>
      </c>
      <c r="R18" s="26"/>
      <c r="S18" s="27">
        <v>125000</v>
      </c>
      <c r="T18" s="85">
        <f t="shared" si="0"/>
        <v>1710000</v>
      </c>
    </row>
    <row r="19" spans="1:20" s="17" customFormat="1" ht="13.5" customHeight="1" x14ac:dyDescent="0.25">
      <c r="A19" s="26"/>
      <c r="B19" s="19" t="s">
        <v>476</v>
      </c>
      <c r="C19" s="19" t="s">
        <v>109</v>
      </c>
      <c r="D19" s="20" t="s">
        <v>110</v>
      </c>
      <c r="E19" s="21" t="s">
        <v>286</v>
      </c>
      <c r="F19" s="19">
        <v>3400</v>
      </c>
      <c r="G19" s="18">
        <v>17</v>
      </c>
      <c r="H19" s="18" t="s">
        <v>112</v>
      </c>
      <c r="I19" s="18" t="s">
        <v>30</v>
      </c>
      <c r="J19" s="23">
        <v>45203</v>
      </c>
      <c r="K19" s="18" t="s">
        <v>477</v>
      </c>
      <c r="L19" s="26" t="s">
        <v>478</v>
      </c>
      <c r="M19" s="26" t="s">
        <v>121</v>
      </c>
      <c r="N19" s="23"/>
      <c r="O19" s="26"/>
      <c r="P19" s="26"/>
      <c r="Q19" s="26">
        <v>3400</v>
      </c>
      <c r="R19" s="26"/>
      <c r="S19" s="27">
        <v>70668</v>
      </c>
      <c r="T19" s="85">
        <f t="shared" si="0"/>
        <v>240271.19999999998</v>
      </c>
    </row>
    <row r="20" spans="1:20" s="17" customFormat="1" ht="13.5" customHeight="1" x14ac:dyDescent="0.25">
      <c r="A20" s="26"/>
      <c r="B20" s="19" t="s">
        <v>476</v>
      </c>
      <c r="C20" s="19" t="s">
        <v>109</v>
      </c>
      <c r="D20" s="20" t="s">
        <v>110</v>
      </c>
      <c r="E20" s="21" t="s">
        <v>479</v>
      </c>
      <c r="F20" s="19">
        <v>7200</v>
      </c>
      <c r="G20" s="18">
        <v>36</v>
      </c>
      <c r="H20" s="18" t="s">
        <v>112</v>
      </c>
      <c r="I20" s="18" t="s">
        <v>30</v>
      </c>
      <c r="J20" s="23">
        <v>45203</v>
      </c>
      <c r="K20" s="18" t="s">
        <v>477</v>
      </c>
      <c r="L20" s="26"/>
      <c r="M20" s="26"/>
      <c r="N20" s="23"/>
      <c r="O20" s="26"/>
      <c r="P20" s="26"/>
      <c r="Q20" s="26">
        <v>7200</v>
      </c>
      <c r="R20" s="26"/>
      <c r="S20" s="27">
        <v>70668</v>
      </c>
      <c r="T20" s="85">
        <f t="shared" si="0"/>
        <v>508809.60000000003</v>
      </c>
    </row>
    <row r="21" spans="1:20" s="17" customFormat="1" ht="13.5" customHeight="1" x14ac:dyDescent="0.25">
      <c r="A21" s="26"/>
      <c r="B21" s="19" t="s">
        <v>476</v>
      </c>
      <c r="C21" s="19" t="s">
        <v>109</v>
      </c>
      <c r="D21" s="20" t="s">
        <v>110</v>
      </c>
      <c r="E21" s="21" t="s">
        <v>480</v>
      </c>
      <c r="F21" s="19">
        <v>7000</v>
      </c>
      <c r="G21" s="18">
        <v>35</v>
      </c>
      <c r="H21" s="18" t="s">
        <v>112</v>
      </c>
      <c r="I21" s="18" t="s">
        <v>30</v>
      </c>
      <c r="J21" s="23">
        <v>45203</v>
      </c>
      <c r="K21" s="18" t="s">
        <v>477</v>
      </c>
      <c r="L21" s="26"/>
      <c r="M21" s="26"/>
      <c r="N21" s="23"/>
      <c r="O21" s="26"/>
      <c r="P21" s="26"/>
      <c r="Q21" s="26">
        <v>7000</v>
      </c>
      <c r="R21" s="26"/>
      <c r="S21" s="27">
        <v>70668</v>
      </c>
      <c r="T21" s="85">
        <f t="shared" si="0"/>
        <v>494676</v>
      </c>
    </row>
    <row r="22" spans="1:20" s="17" customFormat="1" ht="13.5" customHeight="1" x14ac:dyDescent="0.25">
      <c r="A22" s="25"/>
      <c r="B22" s="19" t="s">
        <v>304</v>
      </c>
      <c r="C22" s="19" t="s">
        <v>26</v>
      </c>
      <c r="D22" s="20" t="s">
        <v>27</v>
      </c>
      <c r="E22" s="21" t="s">
        <v>481</v>
      </c>
      <c r="F22" s="19">
        <v>20000</v>
      </c>
      <c r="G22" s="18">
        <v>800</v>
      </c>
      <c r="H22" s="18" t="s">
        <v>129</v>
      </c>
      <c r="I22" s="18" t="s">
        <v>30</v>
      </c>
      <c r="J22" s="23">
        <v>45204</v>
      </c>
      <c r="K22" s="18" t="s">
        <v>482</v>
      </c>
      <c r="L22" s="26" t="s">
        <v>483</v>
      </c>
      <c r="M22" s="26" t="s">
        <v>393</v>
      </c>
      <c r="N22" s="26"/>
      <c r="O22" s="26">
        <v>20000</v>
      </c>
      <c r="P22" s="26"/>
      <c r="Q22" s="26"/>
      <c r="R22" s="26"/>
      <c r="S22" s="27">
        <v>41000</v>
      </c>
      <c r="T22" s="85">
        <f t="shared" si="0"/>
        <v>820000</v>
      </c>
    </row>
    <row r="23" spans="1:20" s="17" customFormat="1" ht="14.25" customHeight="1" x14ac:dyDescent="0.25">
      <c r="A23" s="25"/>
      <c r="B23" s="19" t="s">
        <v>484</v>
      </c>
      <c r="C23" s="19" t="s">
        <v>26</v>
      </c>
      <c r="D23" s="20" t="s">
        <v>365</v>
      </c>
      <c r="E23" s="21" t="s">
        <v>485</v>
      </c>
      <c r="F23" s="19">
        <v>8140</v>
      </c>
      <c r="G23" s="18">
        <v>44</v>
      </c>
      <c r="H23" s="18" t="s">
        <v>486</v>
      </c>
      <c r="I23" s="18" t="s">
        <v>30</v>
      </c>
      <c r="J23" s="23">
        <v>45204</v>
      </c>
      <c r="K23" s="19" t="s">
        <v>487</v>
      </c>
      <c r="L23" s="18" t="s">
        <v>488</v>
      </c>
      <c r="M23" s="35" t="s">
        <v>489</v>
      </c>
      <c r="N23" s="26"/>
      <c r="O23" s="26"/>
      <c r="P23" s="26"/>
      <c r="Q23" s="19">
        <v>8140</v>
      </c>
      <c r="R23" s="26"/>
      <c r="S23" s="27">
        <v>230000</v>
      </c>
      <c r="T23" s="85">
        <f t="shared" si="0"/>
        <v>1872200.0000000002</v>
      </c>
    </row>
    <row r="24" spans="1:20" s="17" customFormat="1" ht="14.25" customHeight="1" x14ac:dyDescent="0.25">
      <c r="A24" s="25"/>
      <c r="B24" s="19" t="s">
        <v>484</v>
      </c>
      <c r="C24" s="19" t="s">
        <v>26</v>
      </c>
      <c r="D24" s="20" t="s">
        <v>365</v>
      </c>
      <c r="E24" s="21" t="s">
        <v>453</v>
      </c>
      <c r="F24" s="19">
        <v>8140</v>
      </c>
      <c r="G24" s="18">
        <v>44</v>
      </c>
      <c r="H24" s="18" t="s">
        <v>486</v>
      </c>
      <c r="I24" s="18" t="s">
        <v>30</v>
      </c>
      <c r="J24" s="23">
        <v>45204</v>
      </c>
      <c r="K24" s="19" t="s">
        <v>487</v>
      </c>
      <c r="L24" s="18"/>
      <c r="M24" s="35"/>
      <c r="N24" s="26"/>
      <c r="O24" s="26"/>
      <c r="P24" s="26"/>
      <c r="Q24" s="19">
        <v>8140</v>
      </c>
      <c r="R24" s="26"/>
      <c r="S24" s="27">
        <v>230000</v>
      </c>
      <c r="T24" s="85">
        <f t="shared" si="0"/>
        <v>1872200.0000000002</v>
      </c>
    </row>
    <row r="25" spans="1:20" s="17" customFormat="1" x14ac:dyDescent="0.25">
      <c r="A25" s="26"/>
      <c r="B25" s="19" t="s">
        <v>490</v>
      </c>
      <c r="C25" s="19" t="s">
        <v>491</v>
      </c>
      <c r="D25" s="20" t="s">
        <v>492</v>
      </c>
      <c r="E25" s="21" t="s">
        <v>493</v>
      </c>
      <c r="F25" s="19">
        <v>20000</v>
      </c>
      <c r="G25" s="18">
        <v>800</v>
      </c>
      <c r="H25" s="18" t="s">
        <v>29</v>
      </c>
      <c r="I25" s="18" t="s">
        <v>30</v>
      </c>
      <c r="J25" s="23">
        <v>45204</v>
      </c>
      <c r="K25" s="18" t="s">
        <v>494</v>
      </c>
      <c r="L25" s="26"/>
      <c r="M25" s="26" t="s">
        <v>495</v>
      </c>
      <c r="N25" s="26"/>
      <c r="O25" s="26"/>
      <c r="P25" s="26">
        <v>20000</v>
      </c>
      <c r="Q25" s="26"/>
      <c r="R25" s="26"/>
      <c r="S25" s="27">
        <v>245000</v>
      </c>
      <c r="T25" s="85">
        <f t="shared" si="0"/>
        <v>4900000</v>
      </c>
    </row>
    <row r="26" spans="1:20" s="17" customFormat="1" ht="13.5" customHeight="1" x14ac:dyDescent="0.25">
      <c r="A26" s="26"/>
      <c r="B26" s="19">
        <v>43273</v>
      </c>
      <c r="C26" s="19" t="s">
        <v>175</v>
      </c>
      <c r="D26" s="20" t="s">
        <v>176</v>
      </c>
      <c r="E26" s="21" t="s">
        <v>302</v>
      </c>
      <c r="F26" s="19">
        <v>15890</v>
      </c>
      <c r="G26" s="18">
        <v>700</v>
      </c>
      <c r="H26" s="18" t="s">
        <v>95</v>
      </c>
      <c r="I26" s="18" t="s">
        <v>30</v>
      </c>
      <c r="J26" s="23">
        <v>45206</v>
      </c>
      <c r="K26" s="18"/>
      <c r="L26" s="26"/>
      <c r="M26" s="26"/>
      <c r="N26" s="23" t="s">
        <v>496</v>
      </c>
      <c r="O26" s="26">
        <v>15890</v>
      </c>
      <c r="P26" s="26"/>
      <c r="Q26" s="26"/>
      <c r="R26" s="26"/>
      <c r="S26" s="27">
        <v>42500</v>
      </c>
      <c r="T26" s="85">
        <f t="shared" si="0"/>
        <v>675325</v>
      </c>
    </row>
    <row r="27" spans="1:20" s="17" customFormat="1" ht="13.5" customHeight="1" x14ac:dyDescent="0.25">
      <c r="A27" s="26"/>
      <c r="B27" s="19" t="s">
        <v>497</v>
      </c>
      <c r="C27" s="19" t="s">
        <v>57</v>
      </c>
      <c r="D27" s="20" t="s">
        <v>498</v>
      </c>
      <c r="E27" s="21" t="s">
        <v>499</v>
      </c>
      <c r="F27" s="19">
        <v>8140</v>
      </c>
      <c r="G27" s="18">
        <v>44</v>
      </c>
      <c r="H27" s="18" t="s">
        <v>129</v>
      </c>
      <c r="I27" s="18" t="s">
        <v>30</v>
      </c>
      <c r="J27" s="23">
        <v>45208</v>
      </c>
      <c r="K27" s="18" t="s">
        <v>500</v>
      </c>
      <c r="L27" s="26">
        <v>89212944049</v>
      </c>
      <c r="M27" s="26" t="s">
        <v>329</v>
      </c>
      <c r="N27" s="23"/>
      <c r="O27" s="26"/>
      <c r="P27" s="26"/>
      <c r="Q27" s="26">
        <v>8140</v>
      </c>
      <c r="R27" s="26"/>
      <c r="S27" s="27">
        <v>110800</v>
      </c>
      <c r="T27" s="85">
        <f t="shared" si="0"/>
        <v>901912.00000000012</v>
      </c>
    </row>
    <row r="28" spans="1:20" s="17" customFormat="1" ht="13.5" customHeight="1" x14ac:dyDescent="0.25">
      <c r="A28" s="26"/>
      <c r="B28" s="19" t="s">
        <v>497</v>
      </c>
      <c r="C28" s="19" t="s">
        <v>57</v>
      </c>
      <c r="D28" s="20" t="s">
        <v>498</v>
      </c>
      <c r="E28" s="21" t="s">
        <v>501</v>
      </c>
      <c r="F28" s="19">
        <v>7955</v>
      </c>
      <c r="G28" s="18">
        <v>43</v>
      </c>
      <c r="H28" s="18" t="s">
        <v>129</v>
      </c>
      <c r="I28" s="18" t="s">
        <v>30</v>
      </c>
      <c r="J28" s="23">
        <v>45208</v>
      </c>
      <c r="K28" s="18" t="s">
        <v>500</v>
      </c>
      <c r="L28" s="26"/>
      <c r="M28" s="26"/>
      <c r="N28" s="23"/>
      <c r="O28" s="26"/>
      <c r="P28" s="26"/>
      <c r="Q28" s="26">
        <v>7955</v>
      </c>
      <c r="R28" s="26"/>
      <c r="S28" s="27">
        <v>110800</v>
      </c>
      <c r="T28" s="85">
        <f t="shared" si="0"/>
        <v>881414</v>
      </c>
    </row>
    <row r="29" spans="1:20" s="17" customFormat="1" ht="13.5" customHeight="1" x14ac:dyDescent="0.25">
      <c r="A29" s="26"/>
      <c r="B29" s="19" t="s">
        <v>497</v>
      </c>
      <c r="C29" s="19" t="s">
        <v>57</v>
      </c>
      <c r="D29" s="20" t="s">
        <v>498</v>
      </c>
      <c r="E29" s="21" t="s">
        <v>434</v>
      </c>
      <c r="F29" s="19">
        <v>185</v>
      </c>
      <c r="G29" s="18">
        <v>1</v>
      </c>
      <c r="H29" s="18" t="s">
        <v>129</v>
      </c>
      <c r="I29" s="18" t="s">
        <v>30</v>
      </c>
      <c r="J29" s="23">
        <v>45208</v>
      </c>
      <c r="K29" s="18" t="s">
        <v>500</v>
      </c>
      <c r="L29" s="26"/>
      <c r="M29" s="26"/>
      <c r="N29" s="23"/>
      <c r="O29" s="26"/>
      <c r="P29" s="26"/>
      <c r="Q29" s="26">
        <v>185</v>
      </c>
      <c r="R29" s="26"/>
      <c r="S29" s="27">
        <v>110800</v>
      </c>
      <c r="T29" s="85">
        <f t="shared" si="0"/>
        <v>20498</v>
      </c>
    </row>
    <row r="30" spans="1:20" s="17" customFormat="1" ht="13.5" customHeight="1" x14ac:dyDescent="0.25">
      <c r="A30" s="26"/>
      <c r="B30" s="19" t="s">
        <v>502</v>
      </c>
      <c r="C30" s="19" t="s">
        <v>298</v>
      </c>
      <c r="D30" s="20" t="s">
        <v>66</v>
      </c>
      <c r="E30" s="21" t="s">
        <v>503</v>
      </c>
      <c r="F30" s="19">
        <v>200</v>
      </c>
      <c r="G30" s="18">
        <v>1</v>
      </c>
      <c r="H30" s="18" t="s">
        <v>29</v>
      </c>
      <c r="I30" s="18" t="s">
        <v>30</v>
      </c>
      <c r="J30" s="23">
        <v>45208</v>
      </c>
      <c r="K30" s="18" t="s">
        <v>504</v>
      </c>
      <c r="L30" s="26"/>
      <c r="M30" s="26" t="s">
        <v>505</v>
      </c>
      <c r="N30" s="23"/>
      <c r="O30" s="26"/>
      <c r="P30" s="26"/>
      <c r="Q30" s="26">
        <v>200</v>
      </c>
      <c r="R30" s="26"/>
      <c r="S30" s="27">
        <v>90000</v>
      </c>
      <c r="T30" s="85">
        <f t="shared" si="0"/>
        <v>18000</v>
      </c>
    </row>
    <row r="31" spans="1:20" s="17" customFormat="1" ht="13.5" customHeight="1" x14ac:dyDescent="0.25">
      <c r="A31" s="26"/>
      <c r="B31" s="19" t="s">
        <v>502</v>
      </c>
      <c r="C31" s="19" t="s">
        <v>298</v>
      </c>
      <c r="D31" s="20" t="s">
        <v>66</v>
      </c>
      <c r="E31" s="21" t="s">
        <v>506</v>
      </c>
      <c r="F31" s="19">
        <v>1600</v>
      </c>
      <c r="G31" s="18">
        <v>8</v>
      </c>
      <c r="H31" s="18" t="s">
        <v>29</v>
      </c>
      <c r="I31" s="18" t="s">
        <v>30</v>
      </c>
      <c r="J31" s="23">
        <v>45208</v>
      </c>
      <c r="K31" s="18" t="s">
        <v>504</v>
      </c>
      <c r="L31" s="26"/>
      <c r="M31" s="26"/>
      <c r="N31" s="23"/>
      <c r="O31" s="26"/>
      <c r="P31" s="26"/>
      <c r="Q31" s="26">
        <v>1600</v>
      </c>
      <c r="R31" s="26"/>
      <c r="S31" s="27">
        <v>90000</v>
      </c>
      <c r="T31" s="85">
        <f t="shared" si="0"/>
        <v>144000</v>
      </c>
    </row>
    <row r="32" spans="1:20" s="17" customFormat="1" ht="13.5" customHeight="1" x14ac:dyDescent="0.25">
      <c r="A32" s="26"/>
      <c r="B32" s="19" t="s">
        <v>502</v>
      </c>
      <c r="C32" s="19" t="s">
        <v>298</v>
      </c>
      <c r="D32" s="20" t="s">
        <v>66</v>
      </c>
      <c r="E32" s="21" t="s">
        <v>507</v>
      </c>
      <c r="F32" s="19">
        <v>8800</v>
      </c>
      <c r="G32" s="18">
        <v>44</v>
      </c>
      <c r="H32" s="18" t="s">
        <v>29</v>
      </c>
      <c r="I32" s="18" t="s">
        <v>30</v>
      </c>
      <c r="J32" s="23">
        <v>45208</v>
      </c>
      <c r="K32" s="18" t="s">
        <v>504</v>
      </c>
      <c r="L32" s="26"/>
      <c r="M32" s="26"/>
      <c r="N32" s="23"/>
      <c r="O32" s="26"/>
      <c r="P32" s="26"/>
      <c r="Q32" s="26">
        <v>8800</v>
      </c>
      <c r="R32" s="26"/>
      <c r="S32" s="27">
        <v>90000</v>
      </c>
      <c r="T32" s="85">
        <f t="shared" si="0"/>
        <v>792000.00000000012</v>
      </c>
    </row>
    <row r="33" spans="1:20" s="17" customFormat="1" ht="13.5" customHeight="1" x14ac:dyDescent="0.25">
      <c r="A33" s="26"/>
      <c r="B33" s="19" t="s">
        <v>502</v>
      </c>
      <c r="C33" s="19" t="s">
        <v>298</v>
      </c>
      <c r="D33" s="20" t="s">
        <v>66</v>
      </c>
      <c r="E33" s="21" t="s">
        <v>508</v>
      </c>
      <c r="F33" s="19">
        <v>7000</v>
      </c>
      <c r="G33" s="18">
        <v>35</v>
      </c>
      <c r="H33" s="18" t="s">
        <v>29</v>
      </c>
      <c r="I33" s="18" t="s">
        <v>30</v>
      </c>
      <c r="J33" s="23">
        <v>45208</v>
      </c>
      <c r="K33" s="18" t="s">
        <v>504</v>
      </c>
      <c r="L33" s="26"/>
      <c r="M33" s="26"/>
      <c r="N33" s="23"/>
      <c r="O33" s="26"/>
      <c r="P33" s="26"/>
      <c r="Q33" s="26">
        <v>7000</v>
      </c>
      <c r="R33" s="26"/>
      <c r="S33" s="27">
        <v>90000</v>
      </c>
      <c r="T33" s="85">
        <f t="shared" si="0"/>
        <v>630000</v>
      </c>
    </row>
    <row r="34" spans="1:20" s="17" customFormat="1" ht="13.5" customHeight="1" x14ac:dyDescent="0.25">
      <c r="A34" s="26"/>
      <c r="B34" s="19" t="s">
        <v>133</v>
      </c>
      <c r="C34" s="19" t="s">
        <v>509</v>
      </c>
      <c r="D34" s="20" t="s">
        <v>474</v>
      </c>
      <c r="E34" s="21" t="s">
        <v>434</v>
      </c>
      <c r="F34" s="19">
        <v>14400</v>
      </c>
      <c r="G34" s="18">
        <v>80</v>
      </c>
      <c r="H34" s="18" t="s">
        <v>29</v>
      </c>
      <c r="I34" s="18" t="s">
        <v>30</v>
      </c>
      <c r="J34" s="23">
        <v>45209</v>
      </c>
      <c r="K34" s="18" t="s">
        <v>510</v>
      </c>
      <c r="L34" s="26" t="s">
        <v>511</v>
      </c>
      <c r="M34" s="26" t="s">
        <v>512</v>
      </c>
      <c r="N34" s="26"/>
      <c r="O34" s="26"/>
      <c r="P34" s="26"/>
      <c r="Q34" s="26">
        <v>14400</v>
      </c>
      <c r="R34" s="26"/>
      <c r="S34" s="27">
        <v>115000</v>
      </c>
      <c r="T34" s="85">
        <f t="shared" si="0"/>
        <v>1656000</v>
      </c>
    </row>
    <row r="35" spans="1:20" s="17" customFormat="1" ht="13.5" customHeight="1" x14ac:dyDescent="0.25">
      <c r="A35" s="26"/>
      <c r="B35" s="19" t="s">
        <v>133</v>
      </c>
      <c r="C35" s="19" t="s">
        <v>509</v>
      </c>
      <c r="D35" s="20" t="s">
        <v>140</v>
      </c>
      <c r="E35" s="21" t="s">
        <v>513</v>
      </c>
      <c r="F35" s="19">
        <v>14400</v>
      </c>
      <c r="G35" s="18">
        <v>80</v>
      </c>
      <c r="H35" s="18" t="s">
        <v>29</v>
      </c>
      <c r="I35" s="18" t="s">
        <v>30</v>
      </c>
      <c r="J35" s="23">
        <v>45209</v>
      </c>
      <c r="K35" s="18" t="s">
        <v>514</v>
      </c>
      <c r="L35" s="26"/>
      <c r="M35" s="26" t="s">
        <v>515</v>
      </c>
      <c r="N35" s="26"/>
      <c r="O35" s="26"/>
      <c r="P35" s="26"/>
      <c r="Q35" s="26">
        <v>14400</v>
      </c>
      <c r="R35" s="26"/>
      <c r="S35" s="27">
        <v>73000</v>
      </c>
      <c r="T35" s="85">
        <f t="shared" si="0"/>
        <v>1051200</v>
      </c>
    </row>
    <row r="36" spans="1:20" s="17" customFormat="1" ht="13.5" customHeight="1" x14ac:dyDescent="0.25">
      <c r="A36" s="26"/>
      <c r="B36" s="19" t="s">
        <v>133</v>
      </c>
      <c r="C36" s="19" t="s">
        <v>509</v>
      </c>
      <c r="D36" s="20" t="s">
        <v>474</v>
      </c>
      <c r="E36" s="21" t="s">
        <v>516</v>
      </c>
      <c r="F36" s="19">
        <v>14400</v>
      </c>
      <c r="G36" s="18">
        <v>80</v>
      </c>
      <c r="H36" s="18" t="s">
        <v>29</v>
      </c>
      <c r="I36" s="18" t="s">
        <v>30</v>
      </c>
      <c r="J36" s="23">
        <v>45208</v>
      </c>
      <c r="K36" s="18" t="s">
        <v>517</v>
      </c>
      <c r="L36" s="26" t="s">
        <v>518</v>
      </c>
      <c r="M36" s="26" t="s">
        <v>519</v>
      </c>
      <c r="N36" s="26"/>
      <c r="O36" s="26"/>
      <c r="P36" s="26"/>
      <c r="Q36" s="26">
        <v>14400</v>
      </c>
      <c r="R36" s="26"/>
      <c r="S36" s="27">
        <v>115000</v>
      </c>
      <c r="T36" s="85">
        <f t="shared" si="0"/>
        <v>1656000</v>
      </c>
    </row>
    <row r="37" spans="1:20" s="17" customFormat="1" ht="13.5" customHeight="1" x14ac:dyDescent="0.25">
      <c r="A37" s="26"/>
      <c r="B37" s="19" t="s">
        <v>133</v>
      </c>
      <c r="C37" s="19" t="s">
        <v>509</v>
      </c>
      <c r="D37" s="20" t="s">
        <v>474</v>
      </c>
      <c r="E37" s="21" t="s">
        <v>520</v>
      </c>
      <c r="F37" s="19">
        <v>14400</v>
      </c>
      <c r="G37" s="18">
        <v>80</v>
      </c>
      <c r="H37" s="18" t="s">
        <v>29</v>
      </c>
      <c r="I37" s="18" t="s">
        <v>30</v>
      </c>
      <c r="J37" s="23">
        <v>45208</v>
      </c>
      <c r="K37" s="18" t="s">
        <v>521</v>
      </c>
      <c r="L37" s="26" t="s">
        <v>522</v>
      </c>
      <c r="M37" s="26" t="s">
        <v>523</v>
      </c>
      <c r="N37" s="26"/>
      <c r="O37" s="26"/>
      <c r="P37" s="26"/>
      <c r="Q37" s="26">
        <v>14400</v>
      </c>
      <c r="R37" s="26"/>
      <c r="S37" s="27">
        <v>115000</v>
      </c>
      <c r="T37" s="85">
        <f t="shared" si="0"/>
        <v>1656000</v>
      </c>
    </row>
    <row r="38" spans="1:20" s="17" customFormat="1" ht="13.5" customHeight="1" x14ac:dyDescent="0.25">
      <c r="A38" s="25" t="s">
        <v>280</v>
      </c>
      <c r="B38" s="19" t="s">
        <v>524</v>
      </c>
      <c r="C38" s="19" t="s">
        <v>57</v>
      </c>
      <c r="D38" s="20" t="s">
        <v>525</v>
      </c>
      <c r="E38" s="21" t="s">
        <v>526</v>
      </c>
      <c r="F38" s="19">
        <v>3600</v>
      </c>
      <c r="G38" s="18">
        <v>144</v>
      </c>
      <c r="H38" s="18" t="s">
        <v>188</v>
      </c>
      <c r="I38" s="18" t="s">
        <v>30</v>
      </c>
      <c r="J38" s="23">
        <v>45210</v>
      </c>
      <c r="K38" s="18"/>
      <c r="L38" s="26"/>
      <c r="M38" s="26"/>
      <c r="N38" s="26" t="s">
        <v>527</v>
      </c>
      <c r="O38" s="26"/>
      <c r="P38" s="26"/>
      <c r="Q38" s="26">
        <v>3600</v>
      </c>
      <c r="R38" s="26"/>
      <c r="S38" s="27">
        <v>220000</v>
      </c>
      <c r="T38" s="85">
        <f t="shared" si="0"/>
        <v>792000</v>
      </c>
    </row>
    <row r="39" spans="1:20" s="17" customFormat="1" ht="13.5" customHeight="1" x14ac:dyDescent="0.25">
      <c r="A39" s="25"/>
      <c r="B39" s="19" t="s">
        <v>528</v>
      </c>
      <c r="C39" s="19" t="s">
        <v>57</v>
      </c>
      <c r="D39" s="20" t="s">
        <v>186</v>
      </c>
      <c r="E39" s="21" t="s">
        <v>526</v>
      </c>
      <c r="F39" s="19">
        <v>11113.2</v>
      </c>
      <c r="G39" s="18">
        <v>490</v>
      </c>
      <c r="H39" s="18" t="s">
        <v>188</v>
      </c>
      <c r="I39" s="18" t="s">
        <v>30</v>
      </c>
      <c r="J39" s="23">
        <v>45210</v>
      </c>
      <c r="K39" s="18"/>
      <c r="L39" s="26"/>
      <c r="M39" s="26"/>
      <c r="N39" s="26" t="s">
        <v>527</v>
      </c>
      <c r="O39" s="26">
        <v>11113.2</v>
      </c>
      <c r="P39" s="26"/>
      <c r="Q39" s="26"/>
      <c r="R39" s="26"/>
      <c r="S39" s="27">
        <v>49500</v>
      </c>
      <c r="T39" s="85">
        <f t="shared" si="0"/>
        <v>550103.4</v>
      </c>
    </row>
    <row r="40" spans="1:20" s="17" customFormat="1" ht="13.5" customHeight="1" x14ac:dyDescent="0.25">
      <c r="A40" s="26"/>
      <c r="B40" s="19" t="s">
        <v>476</v>
      </c>
      <c r="C40" s="19" t="s">
        <v>109</v>
      </c>
      <c r="D40" s="20" t="s">
        <v>110</v>
      </c>
      <c r="E40" s="21" t="s">
        <v>480</v>
      </c>
      <c r="F40" s="19">
        <v>200</v>
      </c>
      <c r="G40" s="18">
        <v>1</v>
      </c>
      <c r="H40" s="18" t="s">
        <v>112</v>
      </c>
      <c r="I40" s="18" t="s">
        <v>30</v>
      </c>
      <c r="J40" s="23">
        <v>45210</v>
      </c>
      <c r="K40" s="18" t="s">
        <v>529</v>
      </c>
      <c r="L40" s="26" t="s">
        <v>530</v>
      </c>
      <c r="M40" s="26" t="s">
        <v>531</v>
      </c>
      <c r="N40" s="23"/>
      <c r="O40" s="26"/>
      <c r="P40" s="26"/>
      <c r="Q40" s="26">
        <v>200</v>
      </c>
      <c r="R40" s="26"/>
      <c r="S40" s="27">
        <v>70668</v>
      </c>
      <c r="T40" s="85">
        <f t="shared" si="0"/>
        <v>14133.6</v>
      </c>
    </row>
    <row r="41" spans="1:20" s="17" customFormat="1" ht="13.5" customHeight="1" x14ac:dyDescent="0.25">
      <c r="A41" s="26"/>
      <c r="B41" s="19" t="s">
        <v>476</v>
      </c>
      <c r="C41" s="19" t="s">
        <v>109</v>
      </c>
      <c r="D41" s="20" t="s">
        <v>110</v>
      </c>
      <c r="E41" s="21" t="s">
        <v>506</v>
      </c>
      <c r="F41" s="19">
        <v>7400</v>
      </c>
      <c r="G41" s="18">
        <v>37</v>
      </c>
      <c r="H41" s="18" t="s">
        <v>112</v>
      </c>
      <c r="I41" s="18" t="s">
        <v>30</v>
      </c>
      <c r="J41" s="23">
        <v>45210</v>
      </c>
      <c r="K41" s="18" t="s">
        <v>529</v>
      </c>
      <c r="L41" s="26"/>
      <c r="M41" s="26"/>
      <c r="N41" s="23"/>
      <c r="O41" s="26"/>
      <c r="P41" s="26"/>
      <c r="Q41" s="26">
        <v>7400</v>
      </c>
      <c r="R41" s="26"/>
      <c r="S41" s="27">
        <v>70668</v>
      </c>
      <c r="T41" s="85">
        <f t="shared" si="0"/>
        <v>522943.2</v>
      </c>
    </row>
    <row r="42" spans="1:20" s="17" customFormat="1" ht="13.5" customHeight="1" x14ac:dyDescent="0.25">
      <c r="A42" s="26"/>
      <c r="B42" s="19" t="s">
        <v>476</v>
      </c>
      <c r="C42" s="19" t="s">
        <v>109</v>
      </c>
      <c r="D42" s="20" t="s">
        <v>110</v>
      </c>
      <c r="E42" s="21" t="s">
        <v>507</v>
      </c>
      <c r="F42" s="19">
        <v>7200</v>
      </c>
      <c r="G42" s="18">
        <v>36</v>
      </c>
      <c r="H42" s="18" t="s">
        <v>112</v>
      </c>
      <c r="I42" s="18" t="s">
        <v>30</v>
      </c>
      <c r="J42" s="23">
        <v>45210</v>
      </c>
      <c r="K42" s="18" t="s">
        <v>529</v>
      </c>
      <c r="L42" s="26"/>
      <c r="M42" s="26"/>
      <c r="N42" s="23"/>
      <c r="O42" s="26"/>
      <c r="P42" s="26"/>
      <c r="Q42" s="26">
        <v>7200</v>
      </c>
      <c r="R42" s="26"/>
      <c r="S42" s="27">
        <v>70668</v>
      </c>
      <c r="T42" s="85">
        <f t="shared" si="0"/>
        <v>508809.60000000003</v>
      </c>
    </row>
    <row r="43" spans="1:20" s="17" customFormat="1" ht="13.5" customHeight="1" x14ac:dyDescent="0.25">
      <c r="A43" s="26"/>
      <c r="B43" s="19" t="s">
        <v>476</v>
      </c>
      <c r="C43" s="19" t="s">
        <v>109</v>
      </c>
      <c r="D43" s="20" t="s">
        <v>110</v>
      </c>
      <c r="E43" s="21" t="s">
        <v>508</v>
      </c>
      <c r="F43" s="19">
        <v>2800</v>
      </c>
      <c r="G43" s="18">
        <v>14</v>
      </c>
      <c r="H43" s="18" t="s">
        <v>112</v>
      </c>
      <c r="I43" s="18" t="s">
        <v>30</v>
      </c>
      <c r="J43" s="23">
        <v>45210</v>
      </c>
      <c r="K43" s="18" t="s">
        <v>529</v>
      </c>
      <c r="L43" s="26"/>
      <c r="M43" s="26"/>
      <c r="N43" s="23"/>
      <c r="O43" s="26"/>
      <c r="P43" s="26"/>
      <c r="Q43" s="26">
        <v>2800</v>
      </c>
      <c r="R43" s="26"/>
      <c r="S43" s="27">
        <v>70668</v>
      </c>
      <c r="T43" s="85">
        <f t="shared" si="0"/>
        <v>197870.4</v>
      </c>
    </row>
    <row r="44" spans="1:20" s="17" customFormat="1" ht="13.5" customHeight="1" x14ac:dyDescent="0.25">
      <c r="A44" s="25" t="s">
        <v>280</v>
      </c>
      <c r="B44" s="19" t="s">
        <v>532</v>
      </c>
      <c r="C44" s="19" t="s">
        <v>57</v>
      </c>
      <c r="D44" s="20" t="s">
        <v>58</v>
      </c>
      <c r="E44" s="21" t="s">
        <v>533</v>
      </c>
      <c r="F44" s="19">
        <v>15876</v>
      </c>
      <c r="G44" s="18">
        <v>700</v>
      </c>
      <c r="H44" s="18" t="s">
        <v>95</v>
      </c>
      <c r="I44" s="18" t="s">
        <v>30</v>
      </c>
      <c r="J44" s="23">
        <v>45211</v>
      </c>
      <c r="K44" s="18"/>
      <c r="L44" s="26"/>
      <c r="M44" s="26"/>
      <c r="N44" s="26" t="s">
        <v>534</v>
      </c>
      <c r="O44" s="26">
        <v>15876</v>
      </c>
      <c r="P44" s="26"/>
      <c r="Q44" s="26"/>
      <c r="R44" s="26"/>
      <c r="S44" s="27">
        <v>49500</v>
      </c>
      <c r="T44" s="85">
        <f t="shared" si="0"/>
        <v>785862</v>
      </c>
    </row>
    <row r="45" spans="1:20" s="17" customFormat="1" ht="13.5" customHeight="1" x14ac:dyDescent="0.25">
      <c r="A45" s="25" t="s">
        <v>280</v>
      </c>
      <c r="B45" s="19" t="s">
        <v>532</v>
      </c>
      <c r="C45" s="19" t="s">
        <v>57</v>
      </c>
      <c r="D45" s="20" t="s">
        <v>58</v>
      </c>
      <c r="E45" s="21" t="s">
        <v>535</v>
      </c>
      <c r="F45" s="19">
        <v>15876</v>
      </c>
      <c r="G45" s="18">
        <v>700</v>
      </c>
      <c r="H45" s="18" t="s">
        <v>95</v>
      </c>
      <c r="I45" s="18" t="s">
        <v>30</v>
      </c>
      <c r="J45" s="23">
        <v>45211</v>
      </c>
      <c r="K45" s="18"/>
      <c r="L45" s="26"/>
      <c r="M45" s="26"/>
      <c r="N45" s="26" t="s">
        <v>536</v>
      </c>
      <c r="O45" s="26">
        <v>15876</v>
      </c>
      <c r="P45" s="26"/>
      <c r="Q45" s="26"/>
      <c r="R45" s="26"/>
      <c r="S45" s="27">
        <v>49500</v>
      </c>
      <c r="T45" s="85">
        <f t="shared" si="0"/>
        <v>785862</v>
      </c>
    </row>
    <row r="46" spans="1:20" s="17" customFormat="1" ht="13.5" customHeight="1" x14ac:dyDescent="0.25">
      <c r="A46" s="25"/>
      <c r="B46" s="19" t="s">
        <v>304</v>
      </c>
      <c r="C46" s="19" t="s">
        <v>26</v>
      </c>
      <c r="D46" s="20" t="s">
        <v>27</v>
      </c>
      <c r="E46" s="21" t="s">
        <v>361</v>
      </c>
      <c r="F46" s="19">
        <v>12000</v>
      </c>
      <c r="G46" s="18">
        <v>480</v>
      </c>
      <c r="H46" s="18" t="s">
        <v>129</v>
      </c>
      <c r="I46" s="18" t="s">
        <v>30</v>
      </c>
      <c r="J46" s="23">
        <v>45215</v>
      </c>
      <c r="K46" s="18" t="s">
        <v>537</v>
      </c>
      <c r="L46" s="26" t="s">
        <v>538</v>
      </c>
      <c r="M46" s="26" t="s">
        <v>539</v>
      </c>
      <c r="N46" s="26"/>
      <c r="O46" s="26">
        <v>12000</v>
      </c>
      <c r="P46" s="26"/>
      <c r="Q46" s="26"/>
      <c r="R46" s="26"/>
      <c r="S46" s="27">
        <v>41000</v>
      </c>
      <c r="T46" s="85">
        <f t="shared" si="0"/>
        <v>492000</v>
      </c>
    </row>
    <row r="47" spans="1:20" s="17" customFormat="1" x14ac:dyDescent="0.25">
      <c r="A47" s="26"/>
      <c r="B47" s="19" t="s">
        <v>307</v>
      </c>
      <c r="C47" s="19" t="s">
        <v>26</v>
      </c>
      <c r="D47" s="20" t="s">
        <v>308</v>
      </c>
      <c r="E47" s="21" t="s">
        <v>540</v>
      </c>
      <c r="F47" s="19">
        <v>1620</v>
      </c>
      <c r="G47" s="18">
        <v>9</v>
      </c>
      <c r="H47" s="18" t="s">
        <v>129</v>
      </c>
      <c r="I47" s="18" t="s">
        <v>30</v>
      </c>
      <c r="J47" s="23">
        <v>45215</v>
      </c>
      <c r="K47" s="18" t="s">
        <v>537</v>
      </c>
      <c r="L47" s="26"/>
      <c r="M47" s="26"/>
      <c r="N47" s="26"/>
      <c r="O47" s="26"/>
      <c r="P47" s="26"/>
      <c r="Q47" s="26">
        <v>1620</v>
      </c>
      <c r="R47" s="26"/>
      <c r="S47" s="27">
        <v>320000</v>
      </c>
      <c r="T47" s="85">
        <f t="shared" si="0"/>
        <v>518400.00000000006</v>
      </c>
    </row>
    <row r="48" spans="1:20" s="17" customFormat="1" x14ac:dyDescent="0.25">
      <c r="A48" s="26"/>
      <c r="B48" s="19" t="s">
        <v>307</v>
      </c>
      <c r="C48" s="19" t="s">
        <v>26</v>
      </c>
      <c r="D48" s="20" t="s">
        <v>308</v>
      </c>
      <c r="E48" s="21" t="s">
        <v>309</v>
      </c>
      <c r="F48" s="19">
        <v>5580</v>
      </c>
      <c r="G48" s="18">
        <v>31</v>
      </c>
      <c r="H48" s="18" t="s">
        <v>129</v>
      </c>
      <c r="I48" s="18" t="s">
        <v>30</v>
      </c>
      <c r="J48" s="23">
        <v>45215</v>
      </c>
      <c r="K48" s="18" t="s">
        <v>537</v>
      </c>
      <c r="L48" s="26"/>
      <c r="M48" s="26"/>
      <c r="N48" s="26"/>
      <c r="O48" s="26"/>
      <c r="P48" s="26"/>
      <c r="Q48" s="26">
        <v>5580</v>
      </c>
      <c r="R48" s="26"/>
      <c r="S48" s="27">
        <v>320000</v>
      </c>
      <c r="T48" s="85">
        <f t="shared" si="0"/>
        <v>1785600</v>
      </c>
    </row>
    <row r="49" spans="1:20" s="17" customFormat="1" ht="13.5" customHeight="1" x14ac:dyDescent="0.25">
      <c r="A49" s="25" t="s">
        <v>280</v>
      </c>
      <c r="B49" s="19" t="s">
        <v>532</v>
      </c>
      <c r="C49" s="19" t="s">
        <v>57</v>
      </c>
      <c r="D49" s="20" t="s">
        <v>58</v>
      </c>
      <c r="E49" s="21" t="s">
        <v>541</v>
      </c>
      <c r="F49" s="19">
        <v>15876</v>
      </c>
      <c r="G49" s="18">
        <v>700</v>
      </c>
      <c r="H49" s="18" t="s">
        <v>95</v>
      </c>
      <c r="I49" s="18" t="s">
        <v>30</v>
      </c>
      <c r="J49" s="23">
        <v>45215</v>
      </c>
      <c r="K49" s="18"/>
      <c r="L49" s="26"/>
      <c r="M49" s="26"/>
      <c r="N49" s="26" t="s">
        <v>542</v>
      </c>
      <c r="O49" s="26">
        <v>15876</v>
      </c>
      <c r="P49" s="26"/>
      <c r="Q49" s="26"/>
      <c r="R49" s="26"/>
      <c r="S49" s="27">
        <v>49500</v>
      </c>
      <c r="T49" s="85">
        <f t="shared" ref="T49:T110" si="1">S49*(F49/1000)</f>
        <v>785862</v>
      </c>
    </row>
    <row r="50" spans="1:20" s="17" customFormat="1" ht="13.5" customHeight="1" x14ac:dyDescent="0.25">
      <c r="A50" s="25" t="s">
        <v>280</v>
      </c>
      <c r="B50" s="19" t="s">
        <v>532</v>
      </c>
      <c r="C50" s="19" t="s">
        <v>57</v>
      </c>
      <c r="D50" s="20" t="s">
        <v>58</v>
      </c>
      <c r="E50" s="21" t="s">
        <v>543</v>
      </c>
      <c r="F50" s="19">
        <v>15876</v>
      </c>
      <c r="G50" s="18">
        <v>700</v>
      </c>
      <c r="H50" s="18" t="s">
        <v>95</v>
      </c>
      <c r="I50" s="18" t="s">
        <v>30</v>
      </c>
      <c r="J50" s="23">
        <v>45215</v>
      </c>
      <c r="K50" s="18"/>
      <c r="L50" s="26"/>
      <c r="M50" s="26"/>
      <c r="N50" s="26" t="s">
        <v>544</v>
      </c>
      <c r="O50" s="26">
        <v>15876</v>
      </c>
      <c r="P50" s="26"/>
      <c r="Q50" s="26"/>
      <c r="R50" s="26"/>
      <c r="S50" s="27">
        <v>49500</v>
      </c>
      <c r="T50" s="85">
        <f t="shared" si="1"/>
        <v>785862</v>
      </c>
    </row>
    <row r="51" spans="1:20" s="17" customFormat="1" ht="13.5" customHeight="1" x14ac:dyDescent="0.25">
      <c r="A51" s="25"/>
      <c r="B51" s="19" t="s">
        <v>545</v>
      </c>
      <c r="C51" s="19" t="s">
        <v>57</v>
      </c>
      <c r="D51" s="20" t="s">
        <v>58</v>
      </c>
      <c r="E51" s="21" t="s">
        <v>361</v>
      </c>
      <c r="F51" s="19">
        <v>19845</v>
      </c>
      <c r="G51" s="18">
        <v>875</v>
      </c>
      <c r="H51" s="18" t="s">
        <v>129</v>
      </c>
      <c r="I51" s="18" t="s">
        <v>30</v>
      </c>
      <c r="J51" s="23">
        <v>45215</v>
      </c>
      <c r="K51" s="18" t="s">
        <v>449</v>
      </c>
      <c r="L51" s="26" t="s">
        <v>450</v>
      </c>
      <c r="M51" s="26" t="s">
        <v>451</v>
      </c>
      <c r="N51" s="26"/>
      <c r="O51" s="26">
        <v>19845</v>
      </c>
      <c r="P51" s="26"/>
      <c r="Q51" s="26"/>
      <c r="R51" s="26"/>
      <c r="S51" s="27">
        <v>49500</v>
      </c>
      <c r="T51" s="85">
        <f t="shared" si="1"/>
        <v>982327.5</v>
      </c>
    </row>
    <row r="52" spans="1:20" s="17" customFormat="1" ht="13.5" customHeight="1" x14ac:dyDescent="0.25">
      <c r="A52" s="26"/>
      <c r="B52" s="19" t="s">
        <v>497</v>
      </c>
      <c r="C52" s="19" t="s">
        <v>57</v>
      </c>
      <c r="D52" s="20" t="s">
        <v>498</v>
      </c>
      <c r="E52" s="21" t="s">
        <v>513</v>
      </c>
      <c r="F52" s="19">
        <v>8140</v>
      </c>
      <c r="G52" s="18">
        <v>44</v>
      </c>
      <c r="H52" s="18" t="s">
        <v>129</v>
      </c>
      <c r="I52" s="18" t="s">
        <v>30</v>
      </c>
      <c r="J52" s="23">
        <v>45215</v>
      </c>
      <c r="K52" s="18" t="s">
        <v>546</v>
      </c>
      <c r="L52" s="26" t="s">
        <v>547</v>
      </c>
      <c r="M52" s="26" t="s">
        <v>548</v>
      </c>
      <c r="N52" s="23"/>
      <c r="O52" s="26"/>
      <c r="P52" s="26"/>
      <c r="Q52" s="26">
        <v>8140</v>
      </c>
      <c r="R52" s="26"/>
      <c r="S52" s="27">
        <v>110800</v>
      </c>
      <c r="T52" s="85">
        <f t="shared" si="1"/>
        <v>901912.00000000012</v>
      </c>
    </row>
    <row r="53" spans="1:20" s="17" customFormat="1" ht="13.5" customHeight="1" x14ac:dyDescent="0.25">
      <c r="A53" s="26"/>
      <c r="B53" s="19" t="s">
        <v>497</v>
      </c>
      <c r="C53" s="19" t="s">
        <v>57</v>
      </c>
      <c r="D53" s="20" t="s">
        <v>498</v>
      </c>
      <c r="E53" s="21" t="s">
        <v>434</v>
      </c>
      <c r="F53" s="19">
        <v>8140</v>
      </c>
      <c r="G53" s="18">
        <v>44</v>
      </c>
      <c r="H53" s="18" t="s">
        <v>129</v>
      </c>
      <c r="I53" s="18" t="s">
        <v>30</v>
      </c>
      <c r="J53" s="23">
        <v>45215</v>
      </c>
      <c r="K53" s="18" t="s">
        <v>546</v>
      </c>
      <c r="L53" s="26"/>
      <c r="M53" s="26"/>
      <c r="N53" s="23"/>
      <c r="O53" s="26"/>
      <c r="P53" s="26"/>
      <c r="Q53" s="26">
        <v>8140</v>
      </c>
      <c r="R53" s="26"/>
      <c r="S53" s="27">
        <v>110800</v>
      </c>
      <c r="T53" s="85">
        <f t="shared" si="1"/>
        <v>901912.00000000012</v>
      </c>
    </row>
    <row r="54" spans="1:20" s="17" customFormat="1" ht="13.5" customHeight="1" x14ac:dyDescent="0.25">
      <c r="A54" s="25"/>
      <c r="B54" s="19" t="s">
        <v>56</v>
      </c>
      <c r="C54" s="19" t="s">
        <v>57</v>
      </c>
      <c r="D54" s="20" t="s">
        <v>58</v>
      </c>
      <c r="E54" s="21" t="s">
        <v>549</v>
      </c>
      <c r="F54" s="19">
        <v>19845</v>
      </c>
      <c r="G54" s="18">
        <v>875</v>
      </c>
      <c r="H54" s="18" t="s">
        <v>129</v>
      </c>
      <c r="I54" s="18" t="s">
        <v>30</v>
      </c>
      <c r="J54" s="23">
        <v>45215</v>
      </c>
      <c r="K54" s="18" t="s">
        <v>550</v>
      </c>
      <c r="L54" s="26" t="s">
        <v>551</v>
      </c>
      <c r="M54" s="26" t="s">
        <v>552</v>
      </c>
      <c r="N54" s="26"/>
      <c r="O54" s="26">
        <v>19845</v>
      </c>
      <c r="P54" s="26"/>
      <c r="Q54" s="26"/>
      <c r="R54" s="26"/>
      <c r="S54" s="27">
        <v>49500</v>
      </c>
      <c r="T54" s="85">
        <f t="shared" si="1"/>
        <v>982327.5</v>
      </c>
    </row>
    <row r="55" spans="1:20" s="17" customFormat="1" ht="13.5" customHeight="1" x14ac:dyDescent="0.25">
      <c r="A55" s="26" t="s">
        <v>280</v>
      </c>
      <c r="B55" s="19" t="s">
        <v>93</v>
      </c>
      <c r="C55" s="19" t="s">
        <v>57</v>
      </c>
      <c r="D55" s="20" t="s">
        <v>155</v>
      </c>
      <c r="E55" s="21" t="s">
        <v>553</v>
      </c>
      <c r="F55" s="19">
        <v>3515</v>
      </c>
      <c r="G55" s="18">
        <v>19</v>
      </c>
      <c r="H55" s="18" t="s">
        <v>95</v>
      </c>
      <c r="I55" s="18" t="s">
        <v>30</v>
      </c>
      <c r="J55" s="23">
        <v>45216</v>
      </c>
      <c r="K55" s="18"/>
      <c r="L55" s="26"/>
      <c r="M55" s="26"/>
      <c r="N55" s="23" t="s">
        <v>554</v>
      </c>
      <c r="O55" s="26"/>
      <c r="P55" s="26"/>
      <c r="Q55" s="26">
        <v>3515</v>
      </c>
      <c r="R55" s="26"/>
      <c r="S55" s="27">
        <v>110800</v>
      </c>
      <c r="T55" s="85">
        <f t="shared" si="1"/>
        <v>389462</v>
      </c>
    </row>
    <row r="56" spans="1:20" s="17" customFormat="1" ht="13.5" customHeight="1" x14ac:dyDescent="0.25">
      <c r="A56" s="26" t="s">
        <v>280</v>
      </c>
      <c r="B56" s="19" t="s">
        <v>93</v>
      </c>
      <c r="C56" s="19" t="s">
        <v>57</v>
      </c>
      <c r="D56" s="20" t="s">
        <v>155</v>
      </c>
      <c r="E56" s="21" t="s">
        <v>535</v>
      </c>
      <c r="F56" s="19">
        <v>8325</v>
      </c>
      <c r="G56" s="18">
        <v>45</v>
      </c>
      <c r="H56" s="18" t="s">
        <v>95</v>
      </c>
      <c r="I56" s="18" t="s">
        <v>30</v>
      </c>
      <c r="J56" s="23">
        <v>45216</v>
      </c>
      <c r="K56" s="18"/>
      <c r="L56" s="26"/>
      <c r="M56" s="26"/>
      <c r="N56" s="23" t="s">
        <v>554</v>
      </c>
      <c r="O56" s="26"/>
      <c r="P56" s="26"/>
      <c r="Q56" s="26">
        <v>8325</v>
      </c>
      <c r="R56" s="26"/>
      <c r="S56" s="27">
        <v>110800</v>
      </c>
      <c r="T56" s="85">
        <f t="shared" si="1"/>
        <v>922409.99999999988</v>
      </c>
    </row>
    <row r="57" spans="1:20" s="17" customFormat="1" ht="13.5" customHeight="1" x14ac:dyDescent="0.25">
      <c r="A57" s="26" t="s">
        <v>280</v>
      </c>
      <c r="B57" s="19" t="s">
        <v>93</v>
      </c>
      <c r="C57" s="19" t="s">
        <v>57</v>
      </c>
      <c r="D57" s="20" t="s">
        <v>155</v>
      </c>
      <c r="E57" s="21" t="s">
        <v>549</v>
      </c>
      <c r="F57" s="19">
        <v>2960</v>
      </c>
      <c r="G57" s="18">
        <v>16</v>
      </c>
      <c r="H57" s="18" t="s">
        <v>95</v>
      </c>
      <c r="I57" s="18" t="s">
        <v>30</v>
      </c>
      <c r="J57" s="23">
        <v>45216</v>
      </c>
      <c r="K57" s="18"/>
      <c r="L57" s="26"/>
      <c r="M57" s="26"/>
      <c r="N57" s="23" t="s">
        <v>554</v>
      </c>
      <c r="O57" s="26"/>
      <c r="P57" s="26"/>
      <c r="Q57" s="26">
        <v>2960</v>
      </c>
      <c r="R57" s="26"/>
      <c r="S57" s="27">
        <v>110800</v>
      </c>
      <c r="T57" s="85">
        <f t="shared" si="1"/>
        <v>327968</v>
      </c>
    </row>
    <row r="58" spans="1:20" s="17" customFormat="1" ht="13.5" customHeight="1" x14ac:dyDescent="0.25">
      <c r="A58" s="26" t="s">
        <v>280</v>
      </c>
      <c r="B58" s="19" t="s">
        <v>93</v>
      </c>
      <c r="C58" s="19" t="s">
        <v>57</v>
      </c>
      <c r="D58" s="20" t="s">
        <v>155</v>
      </c>
      <c r="E58" s="21" t="s">
        <v>549</v>
      </c>
      <c r="F58" s="19">
        <v>5550</v>
      </c>
      <c r="G58" s="18">
        <v>30</v>
      </c>
      <c r="H58" s="18" t="s">
        <v>95</v>
      </c>
      <c r="I58" s="18" t="s">
        <v>30</v>
      </c>
      <c r="J58" s="23">
        <v>45216</v>
      </c>
      <c r="K58" s="18"/>
      <c r="L58" s="26"/>
      <c r="M58" s="26"/>
      <c r="N58" s="23" t="s">
        <v>555</v>
      </c>
      <c r="O58" s="26"/>
      <c r="P58" s="26"/>
      <c r="Q58" s="26">
        <v>5550</v>
      </c>
      <c r="R58" s="26"/>
      <c r="S58" s="27">
        <v>110800</v>
      </c>
      <c r="T58" s="85">
        <f t="shared" si="1"/>
        <v>614940</v>
      </c>
    </row>
    <row r="59" spans="1:20" s="17" customFormat="1" ht="13.5" customHeight="1" x14ac:dyDescent="0.25">
      <c r="A59" s="26" t="s">
        <v>280</v>
      </c>
      <c r="B59" s="19" t="s">
        <v>93</v>
      </c>
      <c r="C59" s="19" t="s">
        <v>57</v>
      </c>
      <c r="D59" s="20" t="s">
        <v>155</v>
      </c>
      <c r="E59" s="21" t="s">
        <v>556</v>
      </c>
      <c r="F59" s="19">
        <v>8325</v>
      </c>
      <c r="G59" s="18">
        <v>45</v>
      </c>
      <c r="H59" s="18" t="s">
        <v>95</v>
      </c>
      <c r="I59" s="18" t="s">
        <v>30</v>
      </c>
      <c r="J59" s="23">
        <v>45216</v>
      </c>
      <c r="K59" s="18"/>
      <c r="L59" s="26"/>
      <c r="M59" s="26"/>
      <c r="N59" s="23" t="s">
        <v>555</v>
      </c>
      <c r="O59" s="26"/>
      <c r="P59" s="26"/>
      <c r="Q59" s="26">
        <v>8325</v>
      </c>
      <c r="R59" s="26"/>
      <c r="S59" s="27">
        <v>110800</v>
      </c>
      <c r="T59" s="85">
        <f t="shared" si="1"/>
        <v>922409.99999999988</v>
      </c>
    </row>
    <row r="60" spans="1:20" s="17" customFormat="1" ht="13.5" customHeight="1" x14ac:dyDescent="0.25">
      <c r="A60" s="26" t="s">
        <v>280</v>
      </c>
      <c r="B60" s="19" t="s">
        <v>93</v>
      </c>
      <c r="C60" s="19" t="s">
        <v>57</v>
      </c>
      <c r="D60" s="20" t="s">
        <v>155</v>
      </c>
      <c r="E60" s="21" t="s">
        <v>557</v>
      </c>
      <c r="F60" s="19">
        <v>925</v>
      </c>
      <c r="G60" s="18">
        <v>5</v>
      </c>
      <c r="H60" s="18" t="s">
        <v>95</v>
      </c>
      <c r="I60" s="18" t="s">
        <v>30</v>
      </c>
      <c r="J60" s="23">
        <v>45216</v>
      </c>
      <c r="K60" s="18"/>
      <c r="L60" s="26"/>
      <c r="M60" s="26"/>
      <c r="N60" s="23" t="s">
        <v>555</v>
      </c>
      <c r="O60" s="26"/>
      <c r="P60" s="26"/>
      <c r="Q60" s="26">
        <v>925</v>
      </c>
      <c r="R60" s="26"/>
      <c r="S60" s="27">
        <v>110800</v>
      </c>
      <c r="T60" s="85">
        <f t="shared" si="1"/>
        <v>102490</v>
      </c>
    </row>
    <row r="61" spans="1:20" s="17" customFormat="1" ht="13.5" customHeight="1" x14ac:dyDescent="0.25">
      <c r="A61" s="26" t="s">
        <v>280</v>
      </c>
      <c r="B61" s="19" t="s">
        <v>93</v>
      </c>
      <c r="C61" s="19" t="s">
        <v>57</v>
      </c>
      <c r="D61" s="20" t="s">
        <v>155</v>
      </c>
      <c r="E61" s="21" t="s">
        <v>557</v>
      </c>
      <c r="F61" s="19">
        <v>7585</v>
      </c>
      <c r="G61" s="18">
        <v>41</v>
      </c>
      <c r="H61" s="18" t="s">
        <v>95</v>
      </c>
      <c r="I61" s="18" t="s">
        <v>30</v>
      </c>
      <c r="J61" s="23">
        <v>45216</v>
      </c>
      <c r="K61" s="18"/>
      <c r="L61" s="26"/>
      <c r="M61" s="26"/>
      <c r="N61" s="23" t="s">
        <v>558</v>
      </c>
      <c r="O61" s="26"/>
      <c r="P61" s="26"/>
      <c r="Q61" s="26">
        <v>7585</v>
      </c>
      <c r="R61" s="26"/>
      <c r="S61" s="27">
        <v>110800</v>
      </c>
      <c r="T61" s="85">
        <f t="shared" si="1"/>
        <v>840418</v>
      </c>
    </row>
    <row r="62" spans="1:20" s="17" customFormat="1" ht="13.5" customHeight="1" x14ac:dyDescent="0.25">
      <c r="A62" s="26" t="s">
        <v>280</v>
      </c>
      <c r="B62" s="19" t="s">
        <v>93</v>
      </c>
      <c r="C62" s="19" t="s">
        <v>57</v>
      </c>
      <c r="D62" s="20" t="s">
        <v>155</v>
      </c>
      <c r="E62" s="21" t="s">
        <v>559</v>
      </c>
      <c r="F62" s="19">
        <v>7215</v>
      </c>
      <c r="G62" s="18">
        <v>39</v>
      </c>
      <c r="H62" s="18" t="s">
        <v>95</v>
      </c>
      <c r="I62" s="18" t="s">
        <v>30</v>
      </c>
      <c r="J62" s="23">
        <v>45216</v>
      </c>
      <c r="K62" s="18"/>
      <c r="L62" s="26"/>
      <c r="M62" s="26"/>
      <c r="N62" s="23" t="s">
        <v>558</v>
      </c>
      <c r="O62" s="26"/>
      <c r="P62" s="26"/>
      <c r="Q62" s="26">
        <v>7215</v>
      </c>
      <c r="R62" s="26"/>
      <c r="S62" s="27">
        <v>110800</v>
      </c>
      <c r="T62" s="85">
        <f t="shared" si="1"/>
        <v>799422</v>
      </c>
    </row>
    <row r="63" spans="1:20" s="17" customFormat="1" x14ac:dyDescent="0.25">
      <c r="A63" s="26"/>
      <c r="B63" s="19" t="s">
        <v>237</v>
      </c>
      <c r="C63" s="19" t="s">
        <v>560</v>
      </c>
      <c r="D63" s="20" t="s">
        <v>561</v>
      </c>
      <c r="E63" s="21" t="s">
        <v>562</v>
      </c>
      <c r="F63" s="19">
        <v>4000</v>
      </c>
      <c r="G63" s="18">
        <v>20</v>
      </c>
      <c r="H63" s="18" t="s">
        <v>29</v>
      </c>
      <c r="I63" s="18" t="s">
        <v>30</v>
      </c>
      <c r="J63" s="23">
        <v>45216</v>
      </c>
      <c r="K63" s="18" t="s">
        <v>563</v>
      </c>
      <c r="L63" s="26">
        <v>89677131950</v>
      </c>
      <c r="M63" s="26" t="s">
        <v>564</v>
      </c>
      <c r="N63" s="26"/>
      <c r="O63" s="26"/>
      <c r="P63" s="26"/>
      <c r="Q63" s="26">
        <v>4000</v>
      </c>
      <c r="R63" s="26"/>
      <c r="S63" s="27">
        <v>92500</v>
      </c>
      <c r="T63" s="85">
        <f t="shared" si="1"/>
        <v>370000</v>
      </c>
    </row>
    <row r="64" spans="1:20" s="17" customFormat="1" ht="13.5" customHeight="1" x14ac:dyDescent="0.25">
      <c r="A64" s="26" t="s">
        <v>280</v>
      </c>
      <c r="B64" s="19" t="s">
        <v>103</v>
      </c>
      <c r="C64" s="19" t="s">
        <v>565</v>
      </c>
      <c r="D64" s="20" t="s">
        <v>165</v>
      </c>
      <c r="E64" s="21" t="s">
        <v>520</v>
      </c>
      <c r="F64" s="19">
        <v>17500</v>
      </c>
      <c r="G64" s="18">
        <v>700</v>
      </c>
      <c r="H64" s="18" t="s">
        <v>566</v>
      </c>
      <c r="I64" s="18" t="s">
        <v>30</v>
      </c>
      <c r="J64" s="23">
        <v>45217</v>
      </c>
      <c r="K64" s="24"/>
      <c r="L64" s="26"/>
      <c r="M64" s="26"/>
      <c r="N64" s="23" t="s">
        <v>567</v>
      </c>
      <c r="O64" s="26">
        <v>17500</v>
      </c>
      <c r="P64" s="26"/>
      <c r="Q64" s="26"/>
      <c r="R64" s="26"/>
      <c r="S64" s="27">
        <v>45000</v>
      </c>
      <c r="T64" s="85">
        <f t="shared" si="1"/>
        <v>787500</v>
      </c>
    </row>
    <row r="65" spans="1:20" s="17" customFormat="1" ht="13.5" customHeight="1" x14ac:dyDescent="0.25">
      <c r="A65" s="26" t="s">
        <v>280</v>
      </c>
      <c r="B65" s="19" t="s">
        <v>103</v>
      </c>
      <c r="C65" s="19" t="s">
        <v>565</v>
      </c>
      <c r="D65" s="20" t="s">
        <v>165</v>
      </c>
      <c r="E65" s="21" t="s">
        <v>513</v>
      </c>
      <c r="F65" s="19">
        <v>17500</v>
      </c>
      <c r="G65" s="18">
        <v>700</v>
      </c>
      <c r="H65" s="18" t="s">
        <v>566</v>
      </c>
      <c r="I65" s="18" t="s">
        <v>30</v>
      </c>
      <c r="J65" s="23">
        <v>45217</v>
      </c>
      <c r="K65" s="24"/>
      <c r="L65" s="26"/>
      <c r="M65" s="26"/>
      <c r="N65" s="23" t="s">
        <v>568</v>
      </c>
      <c r="O65" s="26">
        <v>17500</v>
      </c>
      <c r="P65" s="26"/>
      <c r="Q65" s="26"/>
      <c r="R65" s="26"/>
      <c r="S65" s="27">
        <v>45000</v>
      </c>
      <c r="T65" s="85">
        <f t="shared" si="1"/>
        <v>787500</v>
      </c>
    </row>
    <row r="66" spans="1:20" s="17" customFormat="1" ht="13.5" customHeight="1" x14ac:dyDescent="0.25">
      <c r="A66" s="25" t="s">
        <v>280</v>
      </c>
      <c r="B66" s="19" t="s">
        <v>532</v>
      </c>
      <c r="C66" s="19" t="s">
        <v>57</v>
      </c>
      <c r="D66" s="20" t="s">
        <v>58</v>
      </c>
      <c r="E66" s="21" t="s">
        <v>116</v>
      </c>
      <c r="F66" s="19">
        <v>15876</v>
      </c>
      <c r="G66" s="18">
        <v>700</v>
      </c>
      <c r="H66" s="18" t="s">
        <v>95</v>
      </c>
      <c r="I66" s="18" t="s">
        <v>30</v>
      </c>
      <c r="J66" s="23">
        <v>45218</v>
      </c>
      <c r="K66" s="18"/>
      <c r="L66" s="26"/>
      <c r="M66" s="26"/>
      <c r="N66" s="124" t="s">
        <v>569</v>
      </c>
      <c r="O66" s="26">
        <v>15876</v>
      </c>
      <c r="P66" s="26"/>
      <c r="Q66" s="26"/>
      <c r="R66" s="26"/>
      <c r="S66" s="27">
        <v>49500</v>
      </c>
      <c r="T66" s="85">
        <f t="shared" si="1"/>
        <v>785862</v>
      </c>
    </row>
    <row r="67" spans="1:20" s="17" customFormat="1" ht="13.5" customHeight="1" x14ac:dyDescent="0.25">
      <c r="A67" s="26" t="s">
        <v>280</v>
      </c>
      <c r="B67" s="19" t="s">
        <v>93</v>
      </c>
      <c r="C67" s="19" t="s">
        <v>57</v>
      </c>
      <c r="D67" s="20" t="s">
        <v>155</v>
      </c>
      <c r="E67" s="21" t="s">
        <v>559</v>
      </c>
      <c r="F67" s="19">
        <v>1295</v>
      </c>
      <c r="G67" s="18">
        <v>7</v>
      </c>
      <c r="H67" s="18" t="s">
        <v>95</v>
      </c>
      <c r="I67" s="18" t="s">
        <v>30</v>
      </c>
      <c r="J67" s="23">
        <v>45218</v>
      </c>
      <c r="K67" s="18"/>
      <c r="L67" s="26"/>
      <c r="M67" s="26"/>
      <c r="N67" s="23" t="s">
        <v>570</v>
      </c>
      <c r="O67" s="26"/>
      <c r="P67" s="26"/>
      <c r="Q67" s="26">
        <v>1295</v>
      </c>
      <c r="R67" s="26"/>
      <c r="S67" s="27">
        <v>110800</v>
      </c>
      <c r="T67" s="85">
        <f t="shared" si="1"/>
        <v>143486</v>
      </c>
    </row>
    <row r="68" spans="1:20" s="17" customFormat="1" ht="13.5" customHeight="1" x14ac:dyDescent="0.25">
      <c r="A68" s="26" t="s">
        <v>280</v>
      </c>
      <c r="B68" s="19" t="s">
        <v>93</v>
      </c>
      <c r="C68" s="19" t="s">
        <v>57</v>
      </c>
      <c r="D68" s="20" t="s">
        <v>155</v>
      </c>
      <c r="E68" s="21" t="s">
        <v>541</v>
      </c>
      <c r="F68" s="19">
        <v>8510</v>
      </c>
      <c r="G68" s="18">
        <v>46</v>
      </c>
      <c r="H68" s="18" t="s">
        <v>95</v>
      </c>
      <c r="I68" s="18" t="s">
        <v>30</v>
      </c>
      <c r="J68" s="23">
        <v>45218</v>
      </c>
      <c r="K68" s="18"/>
      <c r="L68" s="26"/>
      <c r="M68" s="26"/>
      <c r="N68" s="23" t="s">
        <v>570</v>
      </c>
      <c r="O68" s="26"/>
      <c r="P68" s="26"/>
      <c r="Q68" s="26">
        <v>8510</v>
      </c>
      <c r="R68" s="26"/>
      <c r="S68" s="27">
        <v>110800</v>
      </c>
      <c r="T68" s="85">
        <f t="shared" si="1"/>
        <v>942908</v>
      </c>
    </row>
    <row r="69" spans="1:20" s="17" customFormat="1" ht="13.5" customHeight="1" x14ac:dyDescent="0.25">
      <c r="A69" s="26" t="s">
        <v>280</v>
      </c>
      <c r="B69" s="19" t="s">
        <v>93</v>
      </c>
      <c r="C69" s="19" t="s">
        <v>57</v>
      </c>
      <c r="D69" s="20" t="s">
        <v>155</v>
      </c>
      <c r="E69" s="21" t="s">
        <v>543</v>
      </c>
      <c r="F69" s="19">
        <v>4995</v>
      </c>
      <c r="G69" s="18">
        <v>27</v>
      </c>
      <c r="H69" s="18" t="s">
        <v>95</v>
      </c>
      <c r="I69" s="18" t="s">
        <v>30</v>
      </c>
      <c r="J69" s="23">
        <v>45218</v>
      </c>
      <c r="K69" s="18"/>
      <c r="L69" s="26"/>
      <c r="M69" s="26"/>
      <c r="N69" s="23" t="s">
        <v>570</v>
      </c>
      <c r="O69" s="26"/>
      <c r="P69" s="26"/>
      <c r="Q69" s="26">
        <v>4995</v>
      </c>
      <c r="R69" s="26"/>
      <c r="S69" s="27">
        <v>110800</v>
      </c>
      <c r="T69" s="85">
        <f t="shared" si="1"/>
        <v>553446</v>
      </c>
    </row>
    <row r="70" spans="1:20" s="17" customFormat="1" x14ac:dyDescent="0.25">
      <c r="A70" s="26"/>
      <c r="B70" s="19" t="s">
        <v>108</v>
      </c>
      <c r="C70" s="19" t="s">
        <v>491</v>
      </c>
      <c r="D70" s="20" t="s">
        <v>571</v>
      </c>
      <c r="E70" s="21" t="s">
        <v>485</v>
      </c>
      <c r="F70" s="19">
        <v>20000</v>
      </c>
      <c r="G70" s="18">
        <v>800</v>
      </c>
      <c r="H70" s="18" t="s">
        <v>29</v>
      </c>
      <c r="I70" s="18" t="s">
        <v>30</v>
      </c>
      <c r="J70" s="125">
        <v>45218</v>
      </c>
      <c r="K70" s="18" t="s">
        <v>572</v>
      </c>
      <c r="L70" s="26">
        <v>89063411853</v>
      </c>
      <c r="M70" s="26" t="s">
        <v>573</v>
      </c>
      <c r="N70" s="26"/>
      <c r="O70" s="26">
        <v>20000</v>
      </c>
      <c r="P70" s="26"/>
      <c r="Q70" s="26"/>
      <c r="R70" s="26"/>
      <c r="S70" s="27">
        <v>46036.800000000003</v>
      </c>
      <c r="T70" s="85">
        <f t="shared" si="1"/>
        <v>920736</v>
      </c>
    </row>
    <row r="71" spans="1:20" s="17" customFormat="1" x14ac:dyDescent="0.25">
      <c r="A71" s="26"/>
      <c r="B71" s="19" t="s">
        <v>108</v>
      </c>
      <c r="C71" s="19" t="s">
        <v>491</v>
      </c>
      <c r="D71" s="20" t="s">
        <v>571</v>
      </c>
      <c r="E71" s="21" t="s">
        <v>422</v>
      </c>
      <c r="F71" s="19">
        <v>20000</v>
      </c>
      <c r="G71" s="18">
        <v>800</v>
      </c>
      <c r="H71" s="18" t="s">
        <v>29</v>
      </c>
      <c r="I71" s="18" t="s">
        <v>30</v>
      </c>
      <c r="J71" s="23">
        <v>45218</v>
      </c>
      <c r="K71" s="18" t="s">
        <v>574</v>
      </c>
      <c r="L71" s="26">
        <v>89063411853</v>
      </c>
      <c r="M71" s="26" t="s">
        <v>575</v>
      </c>
      <c r="N71" s="26"/>
      <c r="O71" s="26">
        <v>20000</v>
      </c>
      <c r="P71" s="26"/>
      <c r="Q71" s="26"/>
      <c r="R71" s="26"/>
      <c r="S71" s="27">
        <v>46036.800000000003</v>
      </c>
      <c r="T71" s="85">
        <f t="shared" si="1"/>
        <v>920736</v>
      </c>
    </row>
    <row r="72" spans="1:20" s="17" customFormat="1" x14ac:dyDescent="0.25">
      <c r="A72" s="26"/>
      <c r="B72" s="19" t="s">
        <v>108</v>
      </c>
      <c r="C72" s="19" t="s">
        <v>491</v>
      </c>
      <c r="D72" s="20" t="s">
        <v>571</v>
      </c>
      <c r="E72" s="21" t="s">
        <v>285</v>
      </c>
      <c r="F72" s="19">
        <v>20000</v>
      </c>
      <c r="G72" s="18">
        <v>800</v>
      </c>
      <c r="H72" s="18" t="s">
        <v>29</v>
      </c>
      <c r="I72" s="18" t="s">
        <v>30</v>
      </c>
      <c r="J72" s="23">
        <v>45218</v>
      </c>
      <c r="K72" s="18" t="s">
        <v>576</v>
      </c>
      <c r="L72" s="26">
        <v>89611165711</v>
      </c>
      <c r="M72" s="26" t="s">
        <v>577</v>
      </c>
      <c r="N72" s="26"/>
      <c r="O72" s="26">
        <v>20000</v>
      </c>
      <c r="P72" s="26"/>
      <c r="Q72" s="26"/>
      <c r="R72" s="26"/>
      <c r="S72" s="27">
        <v>46036.800000000003</v>
      </c>
      <c r="T72" s="85">
        <f t="shared" si="1"/>
        <v>920736</v>
      </c>
    </row>
    <row r="73" spans="1:20" s="17" customFormat="1" ht="13.5" customHeight="1" x14ac:dyDescent="0.25">
      <c r="A73" s="25"/>
      <c r="B73" s="19" t="s">
        <v>56</v>
      </c>
      <c r="C73" s="19" t="s">
        <v>57</v>
      </c>
      <c r="D73" s="20" t="s">
        <v>58</v>
      </c>
      <c r="E73" s="21" t="s">
        <v>111</v>
      </c>
      <c r="F73" s="19">
        <v>19845</v>
      </c>
      <c r="G73" s="18">
        <v>875</v>
      </c>
      <c r="H73" s="18" t="s">
        <v>129</v>
      </c>
      <c r="I73" s="18" t="s">
        <v>30</v>
      </c>
      <c r="J73" s="23">
        <v>45219</v>
      </c>
      <c r="K73" s="126" t="s">
        <v>578</v>
      </c>
      <c r="L73" s="26">
        <v>89992508792</v>
      </c>
      <c r="M73" s="26" t="s">
        <v>393</v>
      </c>
      <c r="N73" s="26"/>
      <c r="O73" s="26">
        <v>19845</v>
      </c>
      <c r="P73" s="26"/>
      <c r="Q73" s="26"/>
      <c r="R73" s="26"/>
      <c r="S73" s="27">
        <v>49500</v>
      </c>
      <c r="T73" s="85">
        <f t="shared" si="1"/>
        <v>982327.5</v>
      </c>
    </row>
    <row r="74" spans="1:20" s="17" customFormat="1" x14ac:dyDescent="0.25">
      <c r="A74" s="26"/>
      <c r="B74" s="19" t="s">
        <v>108</v>
      </c>
      <c r="C74" s="19" t="s">
        <v>491</v>
      </c>
      <c r="D74" s="20" t="s">
        <v>571</v>
      </c>
      <c r="E74" s="21" t="s">
        <v>516</v>
      </c>
      <c r="F74" s="19">
        <v>19000</v>
      </c>
      <c r="G74" s="18">
        <v>760</v>
      </c>
      <c r="H74" s="18" t="s">
        <v>29</v>
      </c>
      <c r="I74" s="18" t="s">
        <v>30</v>
      </c>
      <c r="J74" s="23">
        <v>45219</v>
      </c>
      <c r="K74" s="18" t="s">
        <v>579</v>
      </c>
      <c r="L74" s="26">
        <v>89611165711</v>
      </c>
      <c r="M74" s="26" t="s">
        <v>580</v>
      </c>
      <c r="N74" s="26"/>
      <c r="O74" s="26">
        <v>19000</v>
      </c>
      <c r="P74" s="26"/>
      <c r="Q74" s="26"/>
      <c r="R74" s="26"/>
      <c r="S74" s="27">
        <v>46036.800000000003</v>
      </c>
      <c r="T74" s="85">
        <f t="shared" si="1"/>
        <v>874699.20000000007</v>
      </c>
    </row>
    <row r="75" spans="1:20" s="17" customFormat="1" ht="13.5" customHeight="1" x14ac:dyDescent="0.25">
      <c r="A75" s="25"/>
      <c r="B75" s="19" t="s">
        <v>581</v>
      </c>
      <c r="C75" s="19" t="s">
        <v>175</v>
      </c>
      <c r="D75" s="20" t="s">
        <v>176</v>
      </c>
      <c r="E75" s="21" t="s">
        <v>582</v>
      </c>
      <c r="F75" s="19">
        <v>19862.5</v>
      </c>
      <c r="G75" s="18">
        <v>875</v>
      </c>
      <c r="H75" s="18" t="s">
        <v>583</v>
      </c>
      <c r="I75" s="18" t="s">
        <v>30</v>
      </c>
      <c r="J75" s="23">
        <v>45219</v>
      </c>
      <c r="K75" s="18" t="s">
        <v>584</v>
      </c>
      <c r="L75" s="26" t="s">
        <v>585</v>
      </c>
      <c r="M75" s="26" t="s">
        <v>408</v>
      </c>
      <c r="N75" s="26"/>
      <c r="O75" s="26">
        <v>19862.5</v>
      </c>
      <c r="P75" s="26"/>
      <c r="Q75" s="26"/>
      <c r="R75" s="26"/>
      <c r="S75" s="27">
        <v>42500</v>
      </c>
      <c r="T75" s="85">
        <f t="shared" si="1"/>
        <v>844156.25</v>
      </c>
    </row>
    <row r="76" spans="1:20" s="17" customFormat="1" ht="13.5" customHeight="1" x14ac:dyDescent="0.25">
      <c r="A76" s="25" t="s">
        <v>280</v>
      </c>
      <c r="B76" s="19" t="s">
        <v>586</v>
      </c>
      <c r="C76" s="19" t="s">
        <v>85</v>
      </c>
      <c r="D76" s="20" t="s">
        <v>86</v>
      </c>
      <c r="E76" s="21" t="s">
        <v>389</v>
      </c>
      <c r="F76" s="19">
        <v>17500</v>
      </c>
      <c r="G76" s="18">
        <v>700</v>
      </c>
      <c r="H76" s="18" t="s">
        <v>322</v>
      </c>
      <c r="I76" s="18" t="s">
        <v>30</v>
      </c>
      <c r="J76" s="23">
        <v>45219</v>
      </c>
      <c r="K76" s="18"/>
      <c r="L76" s="26"/>
      <c r="M76" s="26"/>
      <c r="N76" s="26" t="s">
        <v>587</v>
      </c>
      <c r="O76" s="26">
        <v>17500</v>
      </c>
      <c r="P76" s="26"/>
      <c r="Q76" s="26"/>
      <c r="R76" s="26"/>
      <c r="S76" s="27">
        <v>36200</v>
      </c>
      <c r="T76" s="85">
        <f t="shared" si="1"/>
        <v>633500</v>
      </c>
    </row>
    <row r="77" spans="1:20" s="17" customFormat="1" ht="13.5" customHeight="1" x14ac:dyDescent="0.25">
      <c r="A77" s="25" t="s">
        <v>280</v>
      </c>
      <c r="B77" s="19" t="s">
        <v>586</v>
      </c>
      <c r="C77" s="19" t="s">
        <v>85</v>
      </c>
      <c r="D77" s="20" t="s">
        <v>588</v>
      </c>
      <c r="E77" s="21" t="s">
        <v>589</v>
      </c>
      <c r="F77" s="19">
        <v>8000</v>
      </c>
      <c r="G77" s="18">
        <v>40</v>
      </c>
      <c r="H77" s="18" t="s">
        <v>322</v>
      </c>
      <c r="I77" s="18" t="s">
        <v>30</v>
      </c>
      <c r="J77" s="23">
        <v>45219</v>
      </c>
      <c r="K77" s="18"/>
      <c r="L77" s="26"/>
      <c r="M77" s="26"/>
      <c r="N77" s="26" t="s">
        <v>590</v>
      </c>
      <c r="O77" s="26"/>
      <c r="P77" s="26"/>
      <c r="Q77" s="26">
        <v>8000</v>
      </c>
      <c r="R77" s="26"/>
      <c r="S77" s="27">
        <v>86300</v>
      </c>
      <c r="T77" s="85">
        <f t="shared" si="1"/>
        <v>690400</v>
      </c>
    </row>
    <row r="78" spans="1:20" s="17" customFormat="1" ht="13.5" customHeight="1" x14ac:dyDescent="0.25">
      <c r="A78" s="25" t="s">
        <v>280</v>
      </c>
      <c r="B78" s="19" t="s">
        <v>586</v>
      </c>
      <c r="C78" s="19" t="s">
        <v>85</v>
      </c>
      <c r="D78" s="20" t="s">
        <v>588</v>
      </c>
      <c r="E78" s="21" t="s">
        <v>39</v>
      </c>
      <c r="F78" s="19">
        <v>8000</v>
      </c>
      <c r="G78" s="18">
        <v>40</v>
      </c>
      <c r="H78" s="18" t="s">
        <v>322</v>
      </c>
      <c r="I78" s="18" t="s">
        <v>30</v>
      </c>
      <c r="J78" s="23">
        <v>45219</v>
      </c>
      <c r="K78" s="18"/>
      <c r="L78" s="26"/>
      <c r="M78" s="26"/>
      <c r="N78" s="26"/>
      <c r="O78" s="26"/>
      <c r="P78" s="26"/>
      <c r="Q78" s="26">
        <v>8000</v>
      </c>
      <c r="R78" s="26"/>
      <c r="S78" s="27">
        <v>86300</v>
      </c>
      <c r="T78" s="85">
        <f t="shared" si="1"/>
        <v>690400</v>
      </c>
    </row>
    <row r="79" spans="1:20" s="17" customFormat="1" ht="13.5" customHeight="1" x14ac:dyDescent="0.25">
      <c r="A79" s="25"/>
      <c r="B79" s="19"/>
      <c r="C79" s="19"/>
      <c r="D79" s="20"/>
      <c r="E79" s="21"/>
      <c r="F79" s="19"/>
      <c r="G79" s="18"/>
      <c r="H79" s="18"/>
      <c r="I79" s="18"/>
      <c r="J79" s="23"/>
      <c r="K79" s="18"/>
      <c r="L79" s="26"/>
      <c r="M79" s="26"/>
      <c r="N79" s="26"/>
      <c r="O79" s="26"/>
      <c r="P79" s="26"/>
      <c r="Q79" s="26"/>
      <c r="R79" s="26"/>
      <c r="S79" s="27"/>
      <c r="T79" s="85"/>
    </row>
    <row r="80" spans="1:20" s="17" customFormat="1" ht="13.5" customHeight="1" x14ac:dyDescent="0.25">
      <c r="A80" s="25"/>
      <c r="B80" s="19" t="s">
        <v>56</v>
      </c>
      <c r="C80" s="19" t="s">
        <v>57</v>
      </c>
      <c r="D80" s="20" t="s">
        <v>58</v>
      </c>
      <c r="E80" s="21" t="s">
        <v>589</v>
      </c>
      <c r="F80" s="19">
        <v>19845</v>
      </c>
      <c r="G80" s="18">
        <v>875</v>
      </c>
      <c r="H80" s="18" t="s">
        <v>129</v>
      </c>
      <c r="I80" s="18" t="s">
        <v>30</v>
      </c>
      <c r="J80" s="23">
        <v>45222</v>
      </c>
      <c r="K80" s="126" t="s">
        <v>591</v>
      </c>
      <c r="L80" s="26">
        <v>89600155752</v>
      </c>
      <c r="M80" s="26" t="s">
        <v>312</v>
      </c>
      <c r="N80" s="26"/>
      <c r="O80" s="26">
        <v>19845</v>
      </c>
      <c r="P80" s="26"/>
      <c r="Q80" s="26"/>
      <c r="R80" s="26"/>
      <c r="S80" s="27">
        <v>49500</v>
      </c>
      <c r="T80" s="85">
        <f t="shared" si="1"/>
        <v>982327.5</v>
      </c>
    </row>
    <row r="81" spans="1:20" s="17" customFormat="1" ht="13.5" customHeight="1" x14ac:dyDescent="0.25">
      <c r="A81" s="26"/>
      <c r="B81" s="19" t="s">
        <v>592</v>
      </c>
      <c r="C81" s="19" t="s">
        <v>65</v>
      </c>
      <c r="D81" s="20" t="s">
        <v>74</v>
      </c>
      <c r="E81" s="21" t="s">
        <v>593</v>
      </c>
      <c r="F81" s="19">
        <v>10000</v>
      </c>
      <c r="G81" s="18">
        <v>400</v>
      </c>
      <c r="H81" s="18" t="s">
        <v>29</v>
      </c>
      <c r="I81" s="18" t="s">
        <v>30</v>
      </c>
      <c r="J81" s="23">
        <v>45222</v>
      </c>
      <c r="K81" s="18" t="s">
        <v>594</v>
      </c>
      <c r="L81" s="26"/>
      <c r="M81" s="26" t="s">
        <v>595</v>
      </c>
      <c r="N81" s="23"/>
      <c r="O81" s="26">
        <v>10000</v>
      </c>
      <c r="P81" s="26"/>
      <c r="Q81" s="26"/>
      <c r="R81" s="26"/>
      <c r="S81" s="27">
        <v>45000</v>
      </c>
      <c r="T81" s="85">
        <f t="shared" si="1"/>
        <v>450000</v>
      </c>
    </row>
    <row r="82" spans="1:20" s="17" customFormat="1" ht="13.5" customHeight="1" x14ac:dyDescent="0.25">
      <c r="A82" s="26"/>
      <c r="B82" s="19" t="s">
        <v>592</v>
      </c>
      <c r="C82" s="19" t="s">
        <v>65</v>
      </c>
      <c r="D82" s="20" t="s">
        <v>66</v>
      </c>
      <c r="E82" s="21" t="s">
        <v>508</v>
      </c>
      <c r="F82" s="19">
        <v>1800</v>
      </c>
      <c r="G82" s="18">
        <v>9</v>
      </c>
      <c r="H82" s="18" t="s">
        <v>29</v>
      </c>
      <c r="I82" s="18" t="s">
        <v>30</v>
      </c>
      <c r="J82" s="23">
        <v>45222</v>
      </c>
      <c r="K82" s="18"/>
      <c r="L82" s="26"/>
      <c r="M82" s="26"/>
      <c r="N82" s="23"/>
      <c r="O82" s="26"/>
      <c r="P82" s="26"/>
      <c r="Q82" s="26">
        <v>1800</v>
      </c>
      <c r="R82" s="26"/>
      <c r="S82" s="27">
        <v>89900</v>
      </c>
      <c r="T82" s="85">
        <f t="shared" si="1"/>
        <v>161820</v>
      </c>
    </row>
    <row r="83" spans="1:20" s="17" customFormat="1" ht="13.5" customHeight="1" x14ac:dyDescent="0.25">
      <c r="A83" s="26"/>
      <c r="B83" s="19" t="s">
        <v>592</v>
      </c>
      <c r="C83" s="19" t="s">
        <v>65</v>
      </c>
      <c r="D83" s="20" t="s">
        <v>66</v>
      </c>
      <c r="E83" s="21" t="s">
        <v>299</v>
      </c>
      <c r="F83" s="19">
        <v>7800</v>
      </c>
      <c r="G83" s="18">
        <v>39</v>
      </c>
      <c r="H83" s="18" t="s">
        <v>29</v>
      </c>
      <c r="I83" s="18" t="s">
        <v>30</v>
      </c>
      <c r="J83" s="23">
        <v>45222</v>
      </c>
      <c r="K83" s="18"/>
      <c r="L83" s="26"/>
      <c r="M83" s="26"/>
      <c r="N83" s="23"/>
      <c r="O83" s="26"/>
      <c r="P83" s="26"/>
      <c r="Q83" s="26">
        <v>7800</v>
      </c>
      <c r="R83" s="26"/>
      <c r="S83" s="27">
        <v>89900</v>
      </c>
      <c r="T83" s="85">
        <f t="shared" si="1"/>
        <v>701220</v>
      </c>
    </row>
    <row r="84" spans="1:20" s="17" customFormat="1" ht="13.5" customHeight="1" x14ac:dyDescent="0.25">
      <c r="A84" s="252" t="s">
        <v>596</v>
      </c>
      <c r="B84" s="19" t="s">
        <v>93</v>
      </c>
      <c r="C84" s="19" t="s">
        <v>57</v>
      </c>
      <c r="D84" s="20" t="s">
        <v>58</v>
      </c>
      <c r="E84" s="21" t="s">
        <v>557</v>
      </c>
      <c r="F84" s="19">
        <v>19845</v>
      </c>
      <c r="G84" s="18">
        <v>875</v>
      </c>
      <c r="H84" s="18" t="s">
        <v>95</v>
      </c>
      <c r="I84" s="18" t="s">
        <v>30</v>
      </c>
      <c r="J84" s="23">
        <v>45223</v>
      </c>
      <c r="K84" s="18"/>
      <c r="L84" s="26"/>
      <c r="M84" s="26"/>
      <c r="N84" s="26" t="s">
        <v>597</v>
      </c>
      <c r="O84" s="26">
        <v>19845</v>
      </c>
      <c r="P84" s="26"/>
      <c r="Q84" s="26"/>
      <c r="R84" s="26"/>
      <c r="S84" s="27">
        <v>49500</v>
      </c>
      <c r="T84" s="85">
        <f t="shared" si="1"/>
        <v>982327.5</v>
      </c>
    </row>
    <row r="85" spans="1:20" s="17" customFormat="1" ht="13.5" customHeight="1" x14ac:dyDescent="0.25">
      <c r="A85" s="253"/>
      <c r="B85" s="19" t="s">
        <v>93</v>
      </c>
      <c r="C85" s="19" t="s">
        <v>57</v>
      </c>
      <c r="D85" s="20" t="s">
        <v>58</v>
      </c>
      <c r="E85" s="21" t="s">
        <v>598</v>
      </c>
      <c r="F85" s="19">
        <v>11907</v>
      </c>
      <c r="G85" s="18">
        <v>525</v>
      </c>
      <c r="H85" s="18" t="s">
        <v>95</v>
      </c>
      <c r="I85" s="18" t="s">
        <v>30</v>
      </c>
      <c r="J85" s="23">
        <v>45223</v>
      </c>
      <c r="K85" s="18"/>
      <c r="L85" s="26"/>
      <c r="M85" s="26"/>
      <c r="N85" s="26" t="s">
        <v>599</v>
      </c>
      <c r="O85" s="26">
        <v>11907</v>
      </c>
      <c r="P85" s="26"/>
      <c r="Q85" s="26"/>
      <c r="R85" s="26"/>
      <c r="S85" s="27">
        <v>49500</v>
      </c>
      <c r="T85" s="85">
        <f t="shared" si="1"/>
        <v>589396.5</v>
      </c>
    </row>
    <row r="86" spans="1:20" s="17" customFormat="1" ht="13.5" customHeight="1" x14ac:dyDescent="0.25">
      <c r="A86" s="25"/>
      <c r="B86" s="19" t="s">
        <v>600</v>
      </c>
      <c r="C86" s="19" t="s">
        <v>601</v>
      </c>
      <c r="D86" s="20" t="s">
        <v>602</v>
      </c>
      <c r="E86" s="21" t="s">
        <v>45</v>
      </c>
      <c r="F86" s="19">
        <v>1500</v>
      </c>
      <c r="G86" s="18">
        <v>60</v>
      </c>
      <c r="H86" s="18" t="s">
        <v>283</v>
      </c>
      <c r="I86" s="18" t="s">
        <v>30</v>
      </c>
      <c r="J86" s="23">
        <v>45224</v>
      </c>
      <c r="K86" s="18"/>
      <c r="L86" s="26"/>
      <c r="M86" s="26"/>
      <c r="N86" s="26"/>
      <c r="O86" s="26"/>
      <c r="P86" s="26"/>
      <c r="Q86" s="26">
        <v>1500</v>
      </c>
      <c r="R86" s="26"/>
      <c r="S86" s="27">
        <v>89000</v>
      </c>
      <c r="T86" s="85">
        <f t="shared" si="1"/>
        <v>133500</v>
      </c>
    </row>
    <row r="87" spans="1:20" s="17" customFormat="1" ht="13.5" customHeight="1" x14ac:dyDescent="0.25">
      <c r="A87" s="25"/>
      <c r="B87" s="19" t="s">
        <v>600</v>
      </c>
      <c r="C87" s="19" t="s">
        <v>601</v>
      </c>
      <c r="D87" s="20" t="s">
        <v>603</v>
      </c>
      <c r="E87" s="21" t="s">
        <v>123</v>
      </c>
      <c r="F87" s="19">
        <v>1100</v>
      </c>
      <c r="G87" s="18">
        <v>44</v>
      </c>
      <c r="H87" s="18" t="s">
        <v>283</v>
      </c>
      <c r="I87" s="18" t="s">
        <v>30</v>
      </c>
      <c r="J87" s="23">
        <v>45224</v>
      </c>
      <c r="K87" s="18"/>
      <c r="L87" s="26"/>
      <c r="M87" s="26"/>
      <c r="N87" s="26"/>
      <c r="O87" s="26"/>
      <c r="P87" s="26"/>
      <c r="Q87" s="26">
        <v>1100</v>
      </c>
      <c r="R87" s="26"/>
      <c r="S87" s="27">
        <v>65000</v>
      </c>
      <c r="T87" s="85">
        <f t="shared" si="1"/>
        <v>71500</v>
      </c>
    </row>
    <row r="88" spans="1:20" s="17" customFormat="1" ht="13.5" customHeight="1" x14ac:dyDescent="0.25">
      <c r="A88" s="25"/>
      <c r="B88" s="19" t="s">
        <v>600</v>
      </c>
      <c r="C88" s="19" t="s">
        <v>601</v>
      </c>
      <c r="D88" s="20" t="s">
        <v>604</v>
      </c>
      <c r="E88" s="21" t="s">
        <v>46</v>
      </c>
      <c r="F88" s="19">
        <v>500</v>
      </c>
      <c r="G88" s="18">
        <v>20</v>
      </c>
      <c r="H88" s="18" t="s">
        <v>283</v>
      </c>
      <c r="I88" s="18" t="s">
        <v>30</v>
      </c>
      <c r="J88" s="23">
        <v>45224</v>
      </c>
      <c r="K88" s="18"/>
      <c r="L88" s="26"/>
      <c r="M88" s="26"/>
      <c r="N88" s="26"/>
      <c r="O88" s="26"/>
      <c r="P88" s="26"/>
      <c r="Q88" s="26">
        <v>500</v>
      </c>
      <c r="R88" s="26"/>
      <c r="S88" s="27">
        <v>205000</v>
      </c>
      <c r="T88" s="85">
        <f t="shared" si="1"/>
        <v>102500</v>
      </c>
    </row>
    <row r="89" spans="1:20" s="17" customFormat="1" ht="13.5" customHeight="1" x14ac:dyDescent="0.25">
      <c r="A89" s="25"/>
      <c r="B89" s="19"/>
      <c r="C89" s="19"/>
      <c r="D89" s="20"/>
      <c r="E89" s="21"/>
      <c r="F89" s="19"/>
      <c r="G89" s="18"/>
      <c r="H89" s="18"/>
      <c r="I89" s="18"/>
      <c r="J89" s="23"/>
      <c r="K89" s="18"/>
      <c r="L89" s="26"/>
      <c r="M89" s="26"/>
      <c r="N89" s="26"/>
      <c r="O89" s="26"/>
      <c r="P89" s="26"/>
      <c r="Q89" s="26"/>
      <c r="R89" s="26"/>
      <c r="S89" s="27"/>
      <c r="T89" s="85"/>
    </row>
    <row r="90" spans="1:20" s="17" customFormat="1" ht="13.5" customHeight="1" x14ac:dyDescent="0.25">
      <c r="A90" s="67" t="s">
        <v>596</v>
      </c>
      <c r="B90" s="19" t="s">
        <v>93</v>
      </c>
      <c r="C90" s="19" t="s">
        <v>57</v>
      </c>
      <c r="D90" s="20" t="s">
        <v>58</v>
      </c>
      <c r="E90" s="21" t="s">
        <v>598</v>
      </c>
      <c r="F90" s="19">
        <f t="shared" ref="F90:F91" si="2">22.68*350</f>
        <v>7938</v>
      </c>
      <c r="G90" s="18">
        <v>350</v>
      </c>
      <c r="H90" s="18" t="s">
        <v>95</v>
      </c>
      <c r="I90" s="18" t="s">
        <v>30</v>
      </c>
      <c r="J90" s="23">
        <v>45224</v>
      </c>
      <c r="K90" s="18"/>
      <c r="L90" s="26"/>
      <c r="M90" s="26"/>
      <c r="N90" s="23" t="s">
        <v>605</v>
      </c>
      <c r="O90" s="26">
        <v>7938</v>
      </c>
      <c r="P90" s="26"/>
      <c r="Q90" s="26"/>
      <c r="R90" s="26"/>
      <c r="S90" s="27">
        <v>49500</v>
      </c>
      <c r="T90" s="85">
        <f t="shared" si="1"/>
        <v>392931</v>
      </c>
    </row>
    <row r="91" spans="1:20" s="17" customFormat="1" ht="13.5" customHeight="1" x14ac:dyDescent="0.25">
      <c r="A91" s="127"/>
      <c r="B91" s="19" t="s">
        <v>93</v>
      </c>
      <c r="C91" s="19" t="s">
        <v>57</v>
      </c>
      <c r="D91" s="20" t="s">
        <v>58</v>
      </c>
      <c r="E91" s="21" t="s">
        <v>557</v>
      </c>
      <c r="F91" s="19">
        <f t="shared" si="2"/>
        <v>7938</v>
      </c>
      <c r="G91" s="18">
        <v>350</v>
      </c>
      <c r="H91" s="18" t="s">
        <v>95</v>
      </c>
      <c r="I91" s="18" t="s">
        <v>30</v>
      </c>
      <c r="J91" s="23">
        <v>45224</v>
      </c>
      <c r="K91" s="18"/>
      <c r="L91" s="26"/>
      <c r="M91" s="26"/>
      <c r="N91" s="23" t="s">
        <v>605</v>
      </c>
      <c r="O91" s="26">
        <v>7938</v>
      </c>
      <c r="P91" s="26"/>
      <c r="Q91" s="26"/>
      <c r="R91" s="26"/>
      <c r="S91" s="27">
        <v>49500</v>
      </c>
      <c r="T91" s="85">
        <f t="shared" si="1"/>
        <v>392931</v>
      </c>
    </row>
    <row r="92" spans="1:20" s="17" customFormat="1" ht="13.5" customHeight="1" x14ac:dyDescent="0.25">
      <c r="A92" s="43"/>
      <c r="B92" s="19" t="s">
        <v>93</v>
      </c>
      <c r="C92" s="19" t="s">
        <v>57</v>
      </c>
      <c r="D92" s="20" t="s">
        <v>58</v>
      </c>
      <c r="E92" s="21" t="s">
        <v>45</v>
      </c>
      <c r="F92" s="19">
        <v>15876</v>
      </c>
      <c r="G92" s="18">
        <v>700</v>
      </c>
      <c r="H92" s="18" t="s">
        <v>95</v>
      </c>
      <c r="I92" s="18" t="s">
        <v>30</v>
      </c>
      <c r="J92" s="23">
        <v>45224</v>
      </c>
      <c r="K92" s="18"/>
      <c r="L92" s="26"/>
      <c r="M92" s="26"/>
      <c r="N92" s="23" t="s">
        <v>606</v>
      </c>
      <c r="O92" s="26">
        <v>15876</v>
      </c>
      <c r="P92" s="26"/>
      <c r="Q92" s="26"/>
      <c r="R92" s="26"/>
      <c r="S92" s="27">
        <v>49500</v>
      </c>
      <c r="T92" s="85">
        <f t="shared" si="1"/>
        <v>785862</v>
      </c>
    </row>
    <row r="93" spans="1:20" s="17" customFormat="1" ht="13.5" customHeight="1" x14ac:dyDescent="0.25">
      <c r="A93" s="25"/>
      <c r="B93" s="19"/>
      <c r="C93" s="19"/>
      <c r="D93" s="20"/>
      <c r="E93" s="21"/>
      <c r="F93" s="19"/>
      <c r="G93" s="18"/>
      <c r="H93" s="18"/>
      <c r="I93" s="18"/>
      <c r="J93" s="23"/>
      <c r="K93" s="18"/>
      <c r="L93" s="26"/>
      <c r="M93" s="26"/>
      <c r="N93" s="26"/>
      <c r="O93" s="26"/>
      <c r="P93" s="26"/>
      <c r="Q93" s="26"/>
      <c r="R93" s="26"/>
      <c r="S93" s="27"/>
      <c r="T93" s="85"/>
    </row>
    <row r="94" spans="1:20" s="17" customFormat="1" ht="21" customHeight="1" x14ac:dyDescent="0.25">
      <c r="A94" s="29" t="s">
        <v>607</v>
      </c>
      <c r="B94" s="19" t="s">
        <v>608</v>
      </c>
      <c r="C94" s="19" t="s">
        <v>126</v>
      </c>
      <c r="D94" s="20" t="s">
        <v>127</v>
      </c>
      <c r="E94" s="21" t="s">
        <v>39</v>
      </c>
      <c r="F94" s="19">
        <v>15750</v>
      </c>
      <c r="G94" s="18">
        <v>630</v>
      </c>
      <c r="H94" s="18" t="s">
        <v>95</v>
      </c>
      <c r="I94" s="18" t="s">
        <v>30</v>
      </c>
      <c r="J94" s="23">
        <v>45225</v>
      </c>
      <c r="K94" s="18"/>
      <c r="L94" s="26"/>
      <c r="M94" s="26"/>
      <c r="N94" s="26" t="s">
        <v>609</v>
      </c>
      <c r="O94" s="26">
        <v>15750</v>
      </c>
      <c r="P94" s="26"/>
      <c r="Q94" s="26"/>
      <c r="R94" s="26"/>
      <c r="S94" s="27">
        <v>39000</v>
      </c>
      <c r="T94" s="85">
        <f t="shared" si="1"/>
        <v>614250</v>
      </c>
    </row>
    <row r="95" spans="1:20" s="17" customFormat="1" ht="15.75" customHeight="1" x14ac:dyDescent="0.25">
      <c r="A95" s="32"/>
      <c r="B95" s="19" t="s">
        <v>608</v>
      </c>
      <c r="C95" s="19" t="s">
        <v>126</v>
      </c>
      <c r="D95" s="20" t="s">
        <v>610</v>
      </c>
      <c r="E95" s="21" t="s">
        <v>562</v>
      </c>
      <c r="F95" s="19">
        <v>1440</v>
      </c>
      <c r="G95" s="18">
        <v>8</v>
      </c>
      <c r="H95" s="18" t="s">
        <v>95</v>
      </c>
      <c r="I95" s="18" t="s">
        <v>30</v>
      </c>
      <c r="J95" s="23">
        <v>45225</v>
      </c>
      <c r="K95" s="18"/>
      <c r="L95" s="26"/>
      <c r="M95" s="26"/>
      <c r="N95" s="23"/>
      <c r="O95" s="26"/>
      <c r="P95" s="26"/>
      <c r="Q95" s="26">
        <v>1440</v>
      </c>
      <c r="R95" s="26"/>
      <c r="S95" s="27">
        <v>339000</v>
      </c>
      <c r="T95" s="85">
        <f t="shared" si="1"/>
        <v>488160</v>
      </c>
    </row>
    <row r="96" spans="1:20" s="17" customFormat="1" ht="13.5" customHeight="1" x14ac:dyDescent="0.25">
      <c r="A96" s="25" t="s">
        <v>280</v>
      </c>
      <c r="B96" s="19" t="s">
        <v>532</v>
      </c>
      <c r="C96" s="19" t="s">
        <v>57</v>
      </c>
      <c r="D96" s="20" t="s">
        <v>58</v>
      </c>
      <c r="E96" s="21" t="s">
        <v>562</v>
      </c>
      <c r="F96" s="19">
        <v>15876</v>
      </c>
      <c r="G96" s="18">
        <v>700</v>
      </c>
      <c r="H96" s="18" t="s">
        <v>95</v>
      </c>
      <c r="I96" s="18" t="s">
        <v>30</v>
      </c>
      <c r="J96" s="23">
        <v>45225</v>
      </c>
      <c r="K96" s="18"/>
      <c r="L96" s="26"/>
      <c r="M96" s="26"/>
      <c r="N96" s="26" t="s">
        <v>611</v>
      </c>
      <c r="O96" s="26">
        <v>15876</v>
      </c>
      <c r="P96" s="26"/>
      <c r="Q96" s="26"/>
      <c r="R96" s="26"/>
      <c r="S96" s="27">
        <v>49500</v>
      </c>
      <c r="T96" s="85">
        <f t="shared" si="1"/>
        <v>785862</v>
      </c>
    </row>
    <row r="97" spans="1:20" s="17" customFormat="1" ht="13.5" customHeight="1" x14ac:dyDescent="0.25">
      <c r="A97" s="25"/>
      <c r="B97" s="19" t="s">
        <v>56</v>
      </c>
      <c r="C97" s="19" t="s">
        <v>57</v>
      </c>
      <c r="D97" s="20" t="s">
        <v>58</v>
      </c>
      <c r="E97" s="21" t="s">
        <v>123</v>
      </c>
      <c r="F97" s="19">
        <v>19845</v>
      </c>
      <c r="G97" s="18">
        <v>875</v>
      </c>
      <c r="H97" s="18" t="s">
        <v>129</v>
      </c>
      <c r="I97" s="18" t="s">
        <v>30</v>
      </c>
      <c r="J97" s="23">
        <v>45223</v>
      </c>
      <c r="K97" s="18" t="s">
        <v>612</v>
      </c>
      <c r="L97" s="26">
        <v>89519555947</v>
      </c>
      <c r="M97" s="26" t="s">
        <v>613</v>
      </c>
      <c r="N97" s="26"/>
      <c r="O97" s="26">
        <v>19845</v>
      </c>
      <c r="P97" s="26"/>
      <c r="Q97" s="26"/>
      <c r="R97" s="26"/>
      <c r="S97" s="27">
        <v>49500</v>
      </c>
      <c r="T97" s="85">
        <f t="shared" si="1"/>
        <v>982327.5</v>
      </c>
    </row>
    <row r="98" spans="1:20" s="17" customFormat="1" ht="13.5" customHeight="1" x14ac:dyDescent="0.25">
      <c r="A98" s="25" t="s">
        <v>280</v>
      </c>
      <c r="B98" s="19" t="s">
        <v>532</v>
      </c>
      <c r="C98" s="19" t="s">
        <v>57</v>
      </c>
      <c r="D98" s="20" t="s">
        <v>58</v>
      </c>
      <c r="E98" s="21" t="s">
        <v>305</v>
      </c>
      <c r="F98" s="19">
        <v>15876</v>
      </c>
      <c r="G98" s="18">
        <v>700</v>
      </c>
      <c r="H98" s="18" t="s">
        <v>95</v>
      </c>
      <c r="I98" s="18" t="s">
        <v>30</v>
      </c>
      <c r="J98" s="23">
        <v>45225</v>
      </c>
      <c r="K98" s="18"/>
      <c r="L98" s="26"/>
      <c r="M98" s="26"/>
      <c r="N98" s="26" t="s">
        <v>614</v>
      </c>
      <c r="O98" s="26">
        <v>15876</v>
      </c>
      <c r="P98" s="26"/>
      <c r="Q98" s="26"/>
      <c r="R98" s="26"/>
      <c r="S98" s="27">
        <v>49500</v>
      </c>
      <c r="T98" s="85">
        <f t="shared" si="1"/>
        <v>785862</v>
      </c>
    </row>
    <row r="99" spans="1:20" s="17" customFormat="1" ht="13.5" customHeight="1" x14ac:dyDescent="0.25">
      <c r="A99" s="43"/>
      <c r="B99" s="19" t="s">
        <v>93</v>
      </c>
      <c r="C99" s="19" t="s">
        <v>57</v>
      </c>
      <c r="D99" s="20" t="s">
        <v>58</v>
      </c>
      <c r="E99" s="21" t="s">
        <v>46</v>
      </c>
      <c r="F99" s="19">
        <v>15876</v>
      </c>
      <c r="G99" s="18">
        <v>700</v>
      </c>
      <c r="H99" s="18" t="s">
        <v>95</v>
      </c>
      <c r="I99" s="18" t="s">
        <v>30</v>
      </c>
      <c r="J99" s="23">
        <v>45226</v>
      </c>
      <c r="K99" s="18"/>
      <c r="L99" s="26"/>
      <c r="M99" s="26"/>
      <c r="N99" s="26" t="s">
        <v>615</v>
      </c>
      <c r="O99" s="19">
        <v>15876</v>
      </c>
      <c r="P99" s="26"/>
      <c r="Q99" s="26"/>
      <c r="R99" s="26"/>
      <c r="S99" s="27">
        <v>49500</v>
      </c>
      <c r="T99" s="85">
        <f t="shared" si="1"/>
        <v>785862</v>
      </c>
    </row>
    <row r="100" spans="1:20" s="17" customFormat="1" ht="13.5" customHeight="1" x14ac:dyDescent="0.25">
      <c r="A100" s="228" t="s">
        <v>616</v>
      </c>
      <c r="B100" s="19" t="s">
        <v>617</v>
      </c>
      <c r="C100" s="19" t="s">
        <v>57</v>
      </c>
      <c r="D100" s="20" t="s">
        <v>110</v>
      </c>
      <c r="E100" s="21" t="s">
        <v>508</v>
      </c>
      <c r="F100" s="19">
        <v>4400</v>
      </c>
      <c r="G100" s="18">
        <v>22</v>
      </c>
      <c r="H100" s="18" t="s">
        <v>95</v>
      </c>
      <c r="I100" s="18" t="s">
        <v>30</v>
      </c>
      <c r="J100" s="23">
        <v>45226</v>
      </c>
      <c r="K100" s="18"/>
      <c r="L100" s="26"/>
      <c r="M100" s="26"/>
      <c r="N100" s="23" t="s">
        <v>618</v>
      </c>
      <c r="O100" s="26"/>
      <c r="P100" s="26"/>
      <c r="Q100" s="19">
        <v>4400</v>
      </c>
      <c r="R100" s="26"/>
      <c r="S100" s="27">
        <v>80000</v>
      </c>
      <c r="T100" s="85">
        <f t="shared" si="1"/>
        <v>352000</v>
      </c>
    </row>
    <row r="101" spans="1:20" s="17" customFormat="1" ht="13.5" customHeight="1" x14ac:dyDescent="0.25">
      <c r="A101" s="229"/>
      <c r="B101" s="19" t="s">
        <v>617</v>
      </c>
      <c r="C101" s="19" t="s">
        <v>57</v>
      </c>
      <c r="D101" s="20" t="s">
        <v>110</v>
      </c>
      <c r="E101" s="21" t="s">
        <v>535</v>
      </c>
      <c r="F101" s="19">
        <v>7200</v>
      </c>
      <c r="G101" s="18">
        <v>36</v>
      </c>
      <c r="H101" s="18" t="s">
        <v>95</v>
      </c>
      <c r="I101" s="18" t="s">
        <v>30</v>
      </c>
      <c r="J101" s="23">
        <v>45226</v>
      </c>
      <c r="K101" s="18"/>
      <c r="L101" s="26"/>
      <c r="M101" s="26"/>
      <c r="N101" s="23" t="s">
        <v>618</v>
      </c>
      <c r="O101" s="26"/>
      <c r="P101" s="26"/>
      <c r="Q101" s="19">
        <v>7200</v>
      </c>
      <c r="R101" s="26"/>
      <c r="S101" s="27">
        <v>80000</v>
      </c>
      <c r="T101" s="85">
        <f t="shared" si="1"/>
        <v>576000</v>
      </c>
    </row>
    <row r="102" spans="1:20" s="17" customFormat="1" ht="13.5" customHeight="1" x14ac:dyDescent="0.25">
      <c r="A102" s="229"/>
      <c r="B102" s="19" t="s">
        <v>617</v>
      </c>
      <c r="C102" s="19" t="s">
        <v>57</v>
      </c>
      <c r="D102" s="20" t="s">
        <v>110</v>
      </c>
      <c r="E102" s="21" t="s">
        <v>111</v>
      </c>
      <c r="F102" s="19">
        <v>2000</v>
      </c>
      <c r="G102" s="18">
        <v>10</v>
      </c>
      <c r="H102" s="18" t="s">
        <v>95</v>
      </c>
      <c r="I102" s="18" t="s">
        <v>30</v>
      </c>
      <c r="J102" s="23">
        <v>45226</v>
      </c>
      <c r="K102" s="18"/>
      <c r="L102" s="26"/>
      <c r="M102" s="26"/>
      <c r="N102" s="23" t="s">
        <v>618</v>
      </c>
      <c r="O102" s="26"/>
      <c r="P102" s="26"/>
      <c r="Q102" s="19">
        <v>2000</v>
      </c>
      <c r="R102" s="26"/>
      <c r="S102" s="27">
        <v>80000</v>
      </c>
      <c r="T102" s="85">
        <f t="shared" si="1"/>
        <v>160000</v>
      </c>
    </row>
    <row r="103" spans="1:20" s="17" customFormat="1" ht="13.5" customHeight="1" x14ac:dyDescent="0.25">
      <c r="A103" s="230"/>
      <c r="B103" s="19" t="s">
        <v>93</v>
      </c>
      <c r="C103" s="19" t="s">
        <v>57</v>
      </c>
      <c r="D103" s="20" t="s">
        <v>58</v>
      </c>
      <c r="E103" s="21" t="s">
        <v>118</v>
      </c>
      <c r="F103" s="19">
        <v>2381.4</v>
      </c>
      <c r="G103" s="18">
        <v>105</v>
      </c>
      <c r="H103" s="18" t="s">
        <v>95</v>
      </c>
      <c r="I103" s="18" t="s">
        <v>30</v>
      </c>
      <c r="J103" s="128">
        <v>45226</v>
      </c>
      <c r="K103" s="18"/>
      <c r="L103" s="26"/>
      <c r="M103" s="26"/>
      <c r="N103" s="23" t="s">
        <v>618</v>
      </c>
      <c r="O103" s="19">
        <v>2381.4</v>
      </c>
      <c r="P103" s="26"/>
      <c r="Q103" s="26"/>
      <c r="R103" s="26"/>
      <c r="S103" s="27">
        <v>49500</v>
      </c>
      <c r="T103" s="85">
        <f t="shared" si="1"/>
        <v>117879.3</v>
      </c>
    </row>
    <row r="104" spans="1:20" s="17" customFormat="1" ht="13.5" customHeight="1" x14ac:dyDescent="0.25">
      <c r="A104" s="261" t="s">
        <v>619</v>
      </c>
      <c r="B104" s="19" t="s">
        <v>620</v>
      </c>
      <c r="C104" s="19" t="s">
        <v>57</v>
      </c>
      <c r="D104" s="20" t="s">
        <v>282</v>
      </c>
      <c r="E104" s="21" t="s">
        <v>263</v>
      </c>
      <c r="F104" s="19">
        <v>8360</v>
      </c>
      <c r="G104" s="18">
        <v>44</v>
      </c>
      <c r="H104" s="18" t="s">
        <v>95</v>
      </c>
      <c r="I104" s="18" t="s">
        <v>30</v>
      </c>
      <c r="J104" s="23">
        <v>45229</v>
      </c>
      <c r="K104" s="18"/>
      <c r="L104" s="26"/>
      <c r="M104" s="26"/>
      <c r="N104" s="23" t="s">
        <v>621</v>
      </c>
      <c r="O104" s="26"/>
      <c r="P104" s="26"/>
      <c r="Q104" s="19">
        <v>8360</v>
      </c>
      <c r="R104" s="26"/>
      <c r="S104" s="27">
        <v>115000</v>
      </c>
      <c r="T104" s="85">
        <f t="shared" si="1"/>
        <v>961399.99999999988</v>
      </c>
    </row>
    <row r="105" spans="1:20" s="17" customFormat="1" ht="13.5" customHeight="1" x14ac:dyDescent="0.25">
      <c r="A105" s="262"/>
      <c r="B105" s="19" t="s">
        <v>620</v>
      </c>
      <c r="C105" s="19" t="s">
        <v>57</v>
      </c>
      <c r="D105" s="20" t="s">
        <v>282</v>
      </c>
      <c r="E105" s="21" t="s">
        <v>118</v>
      </c>
      <c r="F105" s="19">
        <v>6840</v>
      </c>
      <c r="G105" s="18">
        <v>36</v>
      </c>
      <c r="H105" s="18" t="s">
        <v>95</v>
      </c>
      <c r="I105" s="18" t="s">
        <v>30</v>
      </c>
      <c r="J105" s="23">
        <v>45229</v>
      </c>
      <c r="K105" s="18"/>
      <c r="L105" s="26"/>
      <c r="M105" s="26"/>
      <c r="N105" s="23" t="s">
        <v>621</v>
      </c>
      <c r="O105" s="26"/>
      <c r="P105" s="26"/>
      <c r="Q105" s="19">
        <v>6840</v>
      </c>
      <c r="R105" s="26"/>
      <c r="S105" s="27">
        <v>115000</v>
      </c>
      <c r="T105" s="85">
        <f t="shared" si="1"/>
        <v>786600</v>
      </c>
    </row>
    <row r="106" spans="1:20" s="17" customFormat="1" ht="13.5" customHeight="1" x14ac:dyDescent="0.25">
      <c r="A106" s="228" t="s">
        <v>616</v>
      </c>
      <c r="B106" s="19" t="s">
        <v>93</v>
      </c>
      <c r="C106" s="19" t="s">
        <v>57</v>
      </c>
      <c r="D106" s="20" t="s">
        <v>58</v>
      </c>
      <c r="E106" s="21" t="s">
        <v>118</v>
      </c>
      <c r="F106" s="19">
        <v>13494.6</v>
      </c>
      <c r="G106" s="18">
        <v>595</v>
      </c>
      <c r="H106" s="18" t="s">
        <v>95</v>
      </c>
      <c r="I106" s="18" t="s">
        <v>30</v>
      </c>
      <c r="J106" s="23">
        <v>45229</v>
      </c>
      <c r="K106" s="18"/>
      <c r="L106" s="26"/>
      <c r="M106" s="26"/>
      <c r="N106" s="23" t="s">
        <v>622</v>
      </c>
      <c r="O106" s="19">
        <f t="shared" ref="O106:O109" si="3">F106</f>
        <v>13494.6</v>
      </c>
      <c r="P106" s="26"/>
      <c r="Q106" s="26"/>
      <c r="R106" s="26"/>
      <c r="S106" s="27">
        <v>49500</v>
      </c>
      <c r="T106" s="85">
        <f t="shared" si="1"/>
        <v>667982.69999999995</v>
      </c>
    </row>
    <row r="107" spans="1:20" s="17" customFormat="1" ht="13.5" customHeight="1" x14ac:dyDescent="0.25">
      <c r="A107" s="230"/>
      <c r="B107" s="19" t="s">
        <v>93</v>
      </c>
      <c r="C107" s="19" t="s">
        <v>57</v>
      </c>
      <c r="D107" s="20" t="s">
        <v>58</v>
      </c>
      <c r="E107" s="21" t="s">
        <v>46</v>
      </c>
      <c r="F107" s="19">
        <v>2381.4</v>
      </c>
      <c r="G107" s="18">
        <v>105</v>
      </c>
      <c r="H107" s="18" t="s">
        <v>95</v>
      </c>
      <c r="I107" s="18" t="s">
        <v>30</v>
      </c>
      <c r="J107" s="23">
        <v>45229</v>
      </c>
      <c r="K107" s="18"/>
      <c r="L107" s="26"/>
      <c r="M107" s="26"/>
      <c r="N107" s="23" t="s">
        <v>622</v>
      </c>
      <c r="O107" s="19">
        <f t="shared" si="3"/>
        <v>2381.4</v>
      </c>
      <c r="P107" s="26"/>
      <c r="Q107" s="26"/>
      <c r="R107" s="26"/>
      <c r="S107" s="27">
        <v>49500</v>
      </c>
      <c r="T107" s="85">
        <f t="shared" si="1"/>
        <v>117879.3</v>
      </c>
    </row>
    <row r="108" spans="1:20" s="17" customFormat="1" ht="13.5" customHeight="1" x14ac:dyDescent="0.25">
      <c r="A108" s="228" t="s">
        <v>616</v>
      </c>
      <c r="B108" s="22" t="s">
        <v>93</v>
      </c>
      <c r="C108" s="22" t="s">
        <v>57</v>
      </c>
      <c r="D108" s="20" t="s">
        <v>58</v>
      </c>
      <c r="E108" s="21" t="s">
        <v>46</v>
      </c>
      <c r="F108" s="19">
        <v>1587.6</v>
      </c>
      <c r="G108" s="18">
        <v>70</v>
      </c>
      <c r="H108" s="18" t="s">
        <v>95</v>
      </c>
      <c r="I108" s="18" t="s">
        <v>30</v>
      </c>
      <c r="J108" s="23">
        <v>45229</v>
      </c>
      <c r="K108" s="18"/>
      <c r="L108" s="26"/>
      <c r="M108" s="26"/>
      <c r="N108" s="23" t="s">
        <v>623</v>
      </c>
      <c r="O108" s="19">
        <f t="shared" si="3"/>
        <v>1587.6</v>
      </c>
      <c r="P108" s="26"/>
      <c r="Q108" s="26"/>
      <c r="R108" s="26"/>
      <c r="S108" s="27">
        <v>49500</v>
      </c>
      <c r="T108" s="85">
        <f t="shared" si="1"/>
        <v>78586.2</v>
      </c>
    </row>
    <row r="109" spans="1:20" s="17" customFormat="1" ht="13.5" customHeight="1" x14ac:dyDescent="0.25">
      <c r="A109" s="230"/>
      <c r="B109" s="22" t="s">
        <v>93</v>
      </c>
      <c r="C109" s="22" t="s">
        <v>57</v>
      </c>
      <c r="D109" s="20" t="s">
        <v>58</v>
      </c>
      <c r="E109" s="33" t="s">
        <v>624</v>
      </c>
      <c r="F109" s="129">
        <v>14288.4</v>
      </c>
      <c r="G109" s="18">
        <v>630</v>
      </c>
      <c r="H109" s="18" t="s">
        <v>95</v>
      </c>
      <c r="I109" s="18" t="s">
        <v>30</v>
      </c>
      <c r="J109" s="23">
        <v>45229</v>
      </c>
      <c r="K109" s="18"/>
      <c r="L109" s="26"/>
      <c r="M109" s="26"/>
      <c r="N109" s="23" t="s">
        <v>623</v>
      </c>
      <c r="O109" s="19">
        <f t="shared" si="3"/>
        <v>14288.4</v>
      </c>
      <c r="P109" s="26"/>
      <c r="Q109" s="26"/>
      <c r="R109" s="26"/>
      <c r="S109" s="27">
        <v>49500</v>
      </c>
      <c r="T109" s="85">
        <f t="shared" si="1"/>
        <v>707275.79999999993</v>
      </c>
    </row>
    <row r="110" spans="1:20" s="17" customFormat="1" ht="13.5" customHeight="1" x14ac:dyDescent="0.25">
      <c r="A110" s="25"/>
      <c r="B110" s="22" t="s">
        <v>625</v>
      </c>
      <c r="C110" s="22" t="s">
        <v>601</v>
      </c>
      <c r="D110" s="20" t="s">
        <v>604</v>
      </c>
      <c r="E110" s="33" t="s">
        <v>46</v>
      </c>
      <c r="F110" s="22">
        <v>1500</v>
      </c>
      <c r="G110" s="18">
        <v>60</v>
      </c>
      <c r="H110" s="18" t="s">
        <v>626</v>
      </c>
      <c r="I110" s="18" t="s">
        <v>30</v>
      </c>
      <c r="J110" s="23">
        <v>45229</v>
      </c>
      <c r="K110" s="18"/>
      <c r="L110" s="26"/>
      <c r="M110" s="26"/>
      <c r="N110" s="26"/>
      <c r="O110" s="26"/>
      <c r="P110" s="26"/>
      <c r="Q110" s="26">
        <f>F110</f>
        <v>1500</v>
      </c>
      <c r="R110" s="26"/>
      <c r="S110" s="27">
        <v>205000</v>
      </c>
      <c r="T110" s="85">
        <f t="shared" si="1"/>
        <v>307500</v>
      </c>
    </row>
    <row r="111" spans="1:20" s="17" customFormat="1" ht="13.5" customHeight="1" x14ac:dyDescent="0.25">
      <c r="A111" s="228" t="s">
        <v>616</v>
      </c>
      <c r="B111" s="22" t="s">
        <v>268</v>
      </c>
      <c r="C111" s="22" t="s">
        <v>57</v>
      </c>
      <c r="D111" s="20" t="s">
        <v>58</v>
      </c>
      <c r="E111" s="33" t="s">
        <v>624</v>
      </c>
      <c r="F111" s="22">
        <v>1587.6</v>
      </c>
      <c r="G111" s="18">
        <v>70</v>
      </c>
      <c r="H111" s="18" t="s">
        <v>95</v>
      </c>
      <c r="I111" s="18" t="s">
        <v>30</v>
      </c>
      <c r="J111" s="23">
        <v>45230</v>
      </c>
      <c r="K111" s="18"/>
      <c r="L111" s="26"/>
      <c r="M111" s="26"/>
      <c r="N111" s="26" t="s">
        <v>627</v>
      </c>
      <c r="O111" s="19">
        <v>1587.6</v>
      </c>
      <c r="P111" s="26"/>
      <c r="Q111" s="26"/>
      <c r="R111" s="26"/>
      <c r="S111" s="27">
        <v>49500</v>
      </c>
      <c r="T111" s="85">
        <f t="shared" ref="T111:T116" si="4">S111*(F111/1000)</f>
        <v>78586.2</v>
      </c>
    </row>
    <row r="112" spans="1:20" s="17" customFormat="1" ht="13.5" customHeight="1" x14ac:dyDescent="0.25">
      <c r="A112" s="229"/>
      <c r="B112" s="22" t="s">
        <v>313</v>
      </c>
      <c r="C112" s="22" t="s">
        <v>57</v>
      </c>
      <c r="D112" s="20" t="s">
        <v>98</v>
      </c>
      <c r="E112" s="33" t="s">
        <v>118</v>
      </c>
      <c r="F112" s="22">
        <v>7750</v>
      </c>
      <c r="G112" s="18">
        <v>310</v>
      </c>
      <c r="H112" s="18" t="s">
        <v>95</v>
      </c>
      <c r="I112" s="18" t="s">
        <v>30</v>
      </c>
      <c r="J112" s="23">
        <v>45230</v>
      </c>
      <c r="K112" s="18"/>
      <c r="L112" s="26"/>
      <c r="M112" s="26"/>
      <c r="N112" s="23" t="s">
        <v>627</v>
      </c>
      <c r="O112" s="26"/>
      <c r="P112" s="19">
        <v>7750</v>
      </c>
      <c r="Q112" s="26"/>
      <c r="R112" s="26"/>
      <c r="S112" s="27">
        <v>275000</v>
      </c>
      <c r="T112" s="85">
        <f t="shared" si="4"/>
        <v>2131250</v>
      </c>
    </row>
    <row r="113" spans="1:20" s="17" customFormat="1" ht="13.5" customHeight="1" x14ac:dyDescent="0.25">
      <c r="A113" s="230"/>
      <c r="B113" s="22" t="s">
        <v>268</v>
      </c>
      <c r="C113" s="22" t="s">
        <v>57</v>
      </c>
      <c r="D113" s="20" t="s">
        <v>58</v>
      </c>
      <c r="E113" s="33" t="s">
        <v>269</v>
      </c>
      <c r="F113" s="22">
        <v>5556.6</v>
      </c>
      <c r="G113" s="18">
        <v>245</v>
      </c>
      <c r="H113" s="18" t="s">
        <v>95</v>
      </c>
      <c r="I113" s="18" t="s">
        <v>30</v>
      </c>
      <c r="J113" s="23">
        <v>45230</v>
      </c>
      <c r="K113" s="18"/>
      <c r="L113" s="26"/>
      <c r="M113" s="26"/>
      <c r="N113" s="23" t="s">
        <v>627</v>
      </c>
      <c r="O113" s="19">
        <v>5556.6</v>
      </c>
      <c r="P113" s="26"/>
      <c r="Q113" s="26"/>
      <c r="R113" s="26"/>
      <c r="S113" s="27">
        <v>49500</v>
      </c>
      <c r="T113" s="85">
        <f t="shared" si="4"/>
        <v>275051.7</v>
      </c>
    </row>
    <row r="114" spans="1:20" s="17" customFormat="1" ht="13.5" customHeight="1" x14ac:dyDescent="0.25">
      <c r="A114" s="252" t="s">
        <v>616</v>
      </c>
      <c r="B114" s="19" t="s">
        <v>268</v>
      </c>
      <c r="C114" s="19" t="s">
        <v>57</v>
      </c>
      <c r="D114" s="20" t="s">
        <v>58</v>
      </c>
      <c r="E114" s="21" t="s">
        <v>269</v>
      </c>
      <c r="F114" s="19">
        <v>12700.8</v>
      </c>
      <c r="G114" s="18">
        <v>560</v>
      </c>
      <c r="H114" s="18" t="s">
        <v>95</v>
      </c>
      <c r="I114" s="18" t="s">
        <v>30</v>
      </c>
      <c r="J114" s="23">
        <v>45230</v>
      </c>
      <c r="K114" s="18"/>
      <c r="L114" s="26"/>
      <c r="M114" s="26"/>
      <c r="N114" s="23" t="s">
        <v>628</v>
      </c>
      <c r="O114" s="19">
        <v>12700.8</v>
      </c>
      <c r="P114" s="26"/>
      <c r="Q114" s="26"/>
      <c r="R114" s="26"/>
      <c r="S114" s="27">
        <v>49500</v>
      </c>
      <c r="T114" s="85">
        <f t="shared" si="4"/>
        <v>628689.6</v>
      </c>
    </row>
    <row r="115" spans="1:20" s="17" customFormat="1" ht="13.5" customHeight="1" x14ac:dyDescent="0.25">
      <c r="A115" s="253"/>
      <c r="B115" s="19" t="s">
        <v>262</v>
      </c>
      <c r="C115" s="19" t="s">
        <v>57</v>
      </c>
      <c r="D115" s="20" t="s">
        <v>191</v>
      </c>
      <c r="E115" s="33" t="s">
        <v>263</v>
      </c>
      <c r="F115" s="19">
        <f>G115*25</f>
        <v>2400</v>
      </c>
      <c r="G115" s="18">
        <v>96</v>
      </c>
      <c r="H115" s="18" t="s">
        <v>95</v>
      </c>
      <c r="I115" s="18" t="s">
        <v>30</v>
      </c>
      <c r="J115" s="23">
        <v>45230</v>
      </c>
      <c r="K115" s="18"/>
      <c r="L115" s="26"/>
      <c r="M115" s="26"/>
      <c r="N115" s="26" t="s">
        <v>628</v>
      </c>
      <c r="O115" s="26"/>
      <c r="P115" s="26"/>
      <c r="Q115" s="19">
        <f>F115</f>
        <v>2400</v>
      </c>
      <c r="R115" s="26"/>
      <c r="S115" s="27">
        <v>165000</v>
      </c>
      <c r="T115" s="85">
        <f t="shared" si="4"/>
        <v>396000</v>
      </c>
    </row>
    <row r="116" spans="1:20" s="17" customFormat="1" ht="13.5" customHeight="1" x14ac:dyDescent="0.25">
      <c r="A116" s="25"/>
      <c r="B116" s="19" t="s">
        <v>304</v>
      </c>
      <c r="C116" s="19" t="s">
        <v>26</v>
      </c>
      <c r="D116" s="20" t="s">
        <v>27</v>
      </c>
      <c r="E116" s="21" t="s">
        <v>533</v>
      </c>
      <c r="F116" s="19">
        <v>20000</v>
      </c>
      <c r="G116" s="18">
        <v>800</v>
      </c>
      <c r="H116" s="18" t="s">
        <v>129</v>
      </c>
      <c r="I116" s="18" t="s">
        <v>30</v>
      </c>
      <c r="J116" s="23">
        <v>45230</v>
      </c>
      <c r="K116" s="18" t="s">
        <v>629</v>
      </c>
      <c r="L116" s="26" t="s">
        <v>630</v>
      </c>
      <c r="M116" s="26" t="s">
        <v>631</v>
      </c>
      <c r="N116" s="26"/>
      <c r="O116" s="19">
        <v>20000</v>
      </c>
      <c r="P116" s="26"/>
      <c r="Q116" s="26"/>
      <c r="R116" s="26"/>
      <c r="S116" s="27">
        <v>41000</v>
      </c>
      <c r="T116" s="85">
        <f t="shared" si="4"/>
        <v>820000</v>
      </c>
    </row>
    <row r="117" spans="1:20" s="17" customFormat="1" ht="14.25" customHeight="1" x14ac:dyDescent="0.25">
      <c r="A117" s="25"/>
      <c r="B117" s="19"/>
      <c r="C117" s="19"/>
      <c r="D117" s="20"/>
      <c r="E117" s="21"/>
      <c r="F117" s="19"/>
      <c r="G117" s="18"/>
      <c r="H117" s="18"/>
      <c r="I117" s="18"/>
      <c r="J117" s="23"/>
      <c r="K117" s="19"/>
      <c r="L117" s="18"/>
      <c r="M117" s="24"/>
      <c r="N117" s="26"/>
      <c r="O117" s="26"/>
      <c r="P117" s="19"/>
      <c r="Q117" s="26"/>
      <c r="R117" s="26"/>
      <c r="S117" s="27"/>
      <c r="T117" s="85"/>
    </row>
    <row r="118" spans="1:20" ht="18.75" x14ac:dyDescent="0.3">
      <c r="A118" s="119" t="s">
        <v>252</v>
      </c>
      <c r="B118" s="53">
        <f>SUM(F4:F117)/1000</f>
        <v>1097.3411000000001</v>
      </c>
      <c r="C118" s="54" t="s">
        <v>253</v>
      </c>
      <c r="S118" s="55"/>
      <c r="T118" s="130">
        <f>SUM(T4:T117)</f>
        <v>85793205.75</v>
      </c>
    </row>
    <row r="119" spans="1:20" ht="18.75" x14ac:dyDescent="0.3">
      <c r="A119" s="120" t="s">
        <v>254</v>
      </c>
      <c r="B119" s="57">
        <f>B120+B121+B122</f>
        <v>1097.3411000000001</v>
      </c>
      <c r="C119" s="58" t="s">
        <v>253</v>
      </c>
    </row>
    <row r="120" spans="1:20" ht="18.75" x14ac:dyDescent="0.3">
      <c r="A120" s="121" t="s">
        <v>255</v>
      </c>
      <c r="B120" s="60">
        <f>SUM(O4:O117)/1000</f>
        <v>689.83109999999999</v>
      </c>
      <c r="C120" s="61" t="s">
        <v>253</v>
      </c>
    </row>
    <row r="121" spans="1:20" ht="18.75" x14ac:dyDescent="0.3">
      <c r="A121" s="121" t="s">
        <v>256</v>
      </c>
      <c r="B121" s="60">
        <f>SUM(P4:P117)/1000</f>
        <v>37.75</v>
      </c>
      <c r="C121" s="61" t="s">
        <v>253</v>
      </c>
    </row>
    <row r="122" spans="1:20" ht="18.75" x14ac:dyDescent="0.3">
      <c r="A122" s="121" t="s">
        <v>257</v>
      </c>
      <c r="B122" s="62">
        <f>SUM(Q4:Q117)/1000</f>
        <v>369.76</v>
      </c>
      <c r="C122" s="61" t="s">
        <v>253</v>
      </c>
    </row>
    <row r="123" spans="1:20" ht="18.75" x14ac:dyDescent="0.3">
      <c r="A123" s="122" t="s">
        <v>258</v>
      </c>
      <c r="B123" s="64">
        <f>B118-B119</f>
        <v>0</v>
      </c>
      <c r="C123" s="65" t="s">
        <v>253</v>
      </c>
    </row>
  </sheetData>
  <autoFilter ref="D1:D116" xr:uid="{00000000-0009-0000-0000-000002000000}"/>
  <mergeCells count="19">
    <mergeCell ref="A106:A107"/>
    <mergeCell ref="A108:A109"/>
    <mergeCell ref="A111:A113"/>
    <mergeCell ref="A114:A115"/>
    <mergeCell ref="O2:Q2"/>
    <mergeCell ref="R2:R3"/>
    <mergeCell ref="A84:A85"/>
    <mergeCell ref="A100:A103"/>
    <mergeCell ref="A104:A105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D118" xr:uid="{00AD007D-0029-4007-9026-00D0000C00D4}">
      <formula1>$E$4:$E$110</formula1>
    </dataValidation>
  </dataValidations>
  <pageMargins left="0.7" right="0.7" top="0.75" bottom="0.75" header="0.3" footer="0.3"/>
  <pageSetup paperSize="9" scale="3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справочник!$E$4:$E$117</xm:f>
          </x14:formula1>
          <xm:sqref>D4:D117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63"/>
  <sheetViews>
    <sheetView zoomScale="85" workbookViewId="0">
      <selection activeCell="F20" sqref="F20:F64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39.42578125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7" customWidth="1"/>
    <col min="14" max="14" width="14.140625" customWidth="1"/>
    <col min="18" max="18" width="27.140625" customWidth="1"/>
    <col min="19" max="19" width="25.140625" customWidth="1"/>
    <col min="20" max="20" width="20" customWidth="1"/>
  </cols>
  <sheetData>
    <row r="1" spans="1:20" s="3" customFormat="1" ht="17.25" x14ac:dyDescent="0.3">
      <c r="A1" s="5"/>
      <c r="B1" s="5" t="s">
        <v>0</v>
      </c>
      <c r="C1" s="6">
        <v>45170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7" customFormat="1" ht="13.5" customHeight="1" x14ac:dyDescent="0.25">
      <c r="A4" s="25"/>
      <c r="B4" s="19" t="s">
        <v>632</v>
      </c>
      <c r="C4" s="19" t="s">
        <v>633</v>
      </c>
      <c r="D4" s="20" t="s">
        <v>634</v>
      </c>
      <c r="E4" s="21" t="s">
        <v>635</v>
      </c>
      <c r="F4" s="22">
        <v>8800</v>
      </c>
      <c r="G4" s="18">
        <v>44</v>
      </c>
      <c r="H4" s="18" t="s">
        <v>129</v>
      </c>
      <c r="I4" s="18" t="s">
        <v>30</v>
      </c>
      <c r="J4" s="23">
        <v>45170</v>
      </c>
      <c r="K4" s="18" t="s">
        <v>636</v>
      </c>
      <c r="L4" s="26" t="s">
        <v>637</v>
      </c>
      <c r="M4" s="26" t="s">
        <v>329</v>
      </c>
      <c r="N4" s="26"/>
      <c r="O4" s="26"/>
      <c r="P4" s="26"/>
      <c r="Q4" s="19">
        <v>8800</v>
      </c>
      <c r="R4" s="26" t="s">
        <v>34</v>
      </c>
      <c r="S4" s="27">
        <v>110000</v>
      </c>
      <c r="T4" s="28">
        <f t="shared" ref="T4:T15" si="0">S4*(F4/1000)</f>
        <v>968000.00000000012</v>
      </c>
    </row>
    <row r="5" spans="1:20" s="17" customFormat="1" ht="13.5" customHeight="1" x14ac:dyDescent="0.25">
      <c r="A5" s="25"/>
      <c r="B5" s="19" t="s">
        <v>632</v>
      </c>
      <c r="C5" s="19" t="s">
        <v>633</v>
      </c>
      <c r="D5" s="20" t="s">
        <v>634</v>
      </c>
      <c r="E5" s="21" t="s">
        <v>638</v>
      </c>
      <c r="F5" s="22">
        <v>8800</v>
      </c>
      <c r="G5" s="18">
        <v>44</v>
      </c>
      <c r="H5" s="18" t="s">
        <v>129</v>
      </c>
      <c r="I5" s="18" t="s">
        <v>30</v>
      </c>
      <c r="J5" s="23">
        <v>45170</v>
      </c>
      <c r="K5" s="18"/>
      <c r="L5" s="26"/>
      <c r="M5" s="26"/>
      <c r="N5" s="26"/>
      <c r="O5" s="26"/>
      <c r="P5" s="26"/>
      <c r="Q5" s="19">
        <v>8800</v>
      </c>
      <c r="R5" s="26" t="s">
        <v>34</v>
      </c>
      <c r="S5" s="27">
        <v>110000</v>
      </c>
      <c r="T5" s="28">
        <f t="shared" si="0"/>
        <v>968000.00000000012</v>
      </c>
    </row>
    <row r="6" spans="1:20" s="17" customFormat="1" x14ac:dyDescent="0.25">
      <c r="A6" s="26" t="s">
        <v>639</v>
      </c>
      <c r="B6" s="19" t="s">
        <v>640</v>
      </c>
      <c r="C6" s="19" t="s">
        <v>85</v>
      </c>
      <c r="D6" s="20" t="s">
        <v>140</v>
      </c>
      <c r="E6" s="21" t="s">
        <v>641</v>
      </c>
      <c r="F6" s="22">
        <v>10080</v>
      </c>
      <c r="G6" s="18">
        <v>56</v>
      </c>
      <c r="H6" s="18" t="s">
        <v>129</v>
      </c>
      <c r="I6" s="18" t="s">
        <v>30</v>
      </c>
      <c r="J6" s="23" t="s">
        <v>642</v>
      </c>
      <c r="K6" s="18" t="s">
        <v>643</v>
      </c>
      <c r="L6" s="26" t="s">
        <v>644</v>
      </c>
      <c r="M6" s="26" t="s">
        <v>645</v>
      </c>
      <c r="N6" s="26"/>
      <c r="O6" s="26"/>
      <c r="P6" s="26"/>
      <c r="Q6" s="26">
        <v>10080</v>
      </c>
      <c r="R6" s="26"/>
      <c r="S6" s="27">
        <v>90000</v>
      </c>
      <c r="T6" s="28">
        <f t="shared" si="0"/>
        <v>907200</v>
      </c>
    </row>
    <row r="7" spans="1:20" s="17" customFormat="1" x14ac:dyDescent="0.25">
      <c r="A7" s="26" t="s">
        <v>639</v>
      </c>
      <c r="B7" s="19" t="s">
        <v>640</v>
      </c>
      <c r="C7" s="19" t="s">
        <v>85</v>
      </c>
      <c r="D7" s="20" t="s">
        <v>140</v>
      </c>
      <c r="E7" s="21" t="s">
        <v>646</v>
      </c>
      <c r="F7" s="22">
        <v>4320</v>
      </c>
      <c r="G7" s="18">
        <v>24</v>
      </c>
      <c r="H7" s="18" t="s">
        <v>129</v>
      </c>
      <c r="I7" s="18" t="s">
        <v>30</v>
      </c>
      <c r="J7" s="23" t="s">
        <v>642</v>
      </c>
      <c r="K7" s="18" t="s">
        <v>643</v>
      </c>
      <c r="L7" s="26"/>
      <c r="M7" s="26"/>
      <c r="N7" s="26"/>
      <c r="O7" s="26"/>
      <c r="P7" s="26"/>
      <c r="Q7" s="26">
        <v>4320</v>
      </c>
      <c r="R7" s="26"/>
      <c r="S7" s="27">
        <v>90000</v>
      </c>
      <c r="T7" s="28">
        <f t="shared" si="0"/>
        <v>388800</v>
      </c>
    </row>
    <row r="8" spans="1:20" s="17" customFormat="1" x14ac:dyDescent="0.25">
      <c r="A8" s="26" t="s">
        <v>639</v>
      </c>
      <c r="B8" s="19" t="s">
        <v>640</v>
      </c>
      <c r="C8" s="19" t="s">
        <v>85</v>
      </c>
      <c r="D8" s="20" t="s">
        <v>140</v>
      </c>
      <c r="E8" s="21" t="s">
        <v>647</v>
      </c>
      <c r="F8" s="22">
        <v>1440</v>
      </c>
      <c r="G8" s="18">
        <v>8</v>
      </c>
      <c r="H8" s="18" t="s">
        <v>129</v>
      </c>
      <c r="I8" s="18" t="s">
        <v>30</v>
      </c>
      <c r="J8" s="23" t="s">
        <v>642</v>
      </c>
      <c r="K8" s="18" t="s">
        <v>643</v>
      </c>
      <c r="L8" s="26"/>
      <c r="M8" s="26"/>
      <c r="N8" s="26"/>
      <c r="O8" s="26"/>
      <c r="P8" s="26"/>
      <c r="Q8" s="26">
        <v>1440</v>
      </c>
      <c r="R8" s="26"/>
      <c r="S8" s="27">
        <v>90000</v>
      </c>
      <c r="T8" s="28">
        <f t="shared" si="0"/>
        <v>129600</v>
      </c>
    </row>
    <row r="9" spans="1:20" s="17" customFormat="1" x14ac:dyDescent="0.25">
      <c r="A9" s="26"/>
      <c r="B9" s="19" t="s">
        <v>490</v>
      </c>
      <c r="C9" s="19" t="s">
        <v>648</v>
      </c>
      <c r="D9" s="20" t="s">
        <v>649</v>
      </c>
      <c r="E9" s="21" t="s">
        <v>650</v>
      </c>
      <c r="F9" s="22">
        <v>6840</v>
      </c>
      <c r="G9" s="18">
        <v>36</v>
      </c>
      <c r="H9" s="18" t="s">
        <v>651</v>
      </c>
      <c r="I9" s="18" t="s">
        <v>30</v>
      </c>
      <c r="J9" s="23">
        <v>45173</v>
      </c>
      <c r="K9" s="36" t="s">
        <v>652</v>
      </c>
      <c r="L9" s="35">
        <v>89118744900</v>
      </c>
      <c r="M9" s="26" t="s">
        <v>653</v>
      </c>
      <c r="N9" s="26"/>
      <c r="O9" s="26"/>
      <c r="P9" s="26"/>
      <c r="Q9" s="26">
        <v>6840</v>
      </c>
      <c r="R9" s="26" t="s">
        <v>34</v>
      </c>
      <c r="S9" s="27">
        <v>129700</v>
      </c>
      <c r="T9" s="28">
        <f t="shared" si="0"/>
        <v>887148</v>
      </c>
    </row>
    <row r="10" spans="1:20" s="17" customFormat="1" x14ac:dyDescent="0.25">
      <c r="A10" s="26"/>
      <c r="B10" s="19" t="s">
        <v>490</v>
      </c>
      <c r="C10" s="19" t="s">
        <v>648</v>
      </c>
      <c r="D10" s="20" t="s">
        <v>649</v>
      </c>
      <c r="E10" s="21" t="s">
        <v>654</v>
      </c>
      <c r="F10" s="22">
        <v>8550</v>
      </c>
      <c r="G10" s="18">
        <v>45</v>
      </c>
      <c r="H10" s="18" t="s">
        <v>651</v>
      </c>
      <c r="I10" s="18" t="s">
        <v>30</v>
      </c>
      <c r="J10" s="23">
        <v>45173</v>
      </c>
      <c r="K10" s="36" t="s">
        <v>652</v>
      </c>
      <c r="L10" s="26"/>
      <c r="M10" s="26"/>
      <c r="N10" s="26"/>
      <c r="O10" s="26"/>
      <c r="P10" s="26"/>
      <c r="Q10" s="26">
        <v>8550</v>
      </c>
      <c r="R10" s="26" t="s">
        <v>34</v>
      </c>
      <c r="S10" s="27">
        <v>129700</v>
      </c>
      <c r="T10" s="28">
        <f t="shared" si="0"/>
        <v>1108935</v>
      </c>
    </row>
    <row r="11" spans="1:20" s="17" customFormat="1" x14ac:dyDescent="0.25">
      <c r="A11" s="26"/>
      <c r="B11" s="19" t="s">
        <v>490</v>
      </c>
      <c r="C11" s="19" t="s">
        <v>648</v>
      </c>
      <c r="D11" s="20" t="s">
        <v>649</v>
      </c>
      <c r="E11" s="21" t="s">
        <v>655</v>
      </c>
      <c r="F11" s="22">
        <v>1330</v>
      </c>
      <c r="G11" s="18">
        <v>7</v>
      </c>
      <c r="H11" s="18" t="s">
        <v>651</v>
      </c>
      <c r="I11" s="18" t="s">
        <v>30</v>
      </c>
      <c r="J11" s="23">
        <v>45173</v>
      </c>
      <c r="K11" s="36" t="s">
        <v>652</v>
      </c>
      <c r="L11" s="26"/>
      <c r="M11" s="26"/>
      <c r="N11" s="26"/>
      <c r="O11" s="26"/>
      <c r="P11" s="26"/>
      <c r="Q11" s="26">
        <v>1330</v>
      </c>
      <c r="R11" s="26" t="s">
        <v>34</v>
      </c>
      <c r="S11" s="27">
        <v>129700</v>
      </c>
      <c r="T11" s="28">
        <f t="shared" si="0"/>
        <v>172501</v>
      </c>
    </row>
    <row r="12" spans="1:20" s="17" customFormat="1" ht="13.5" customHeight="1" x14ac:dyDescent="0.25">
      <c r="A12" s="25"/>
      <c r="B12" s="19" t="s">
        <v>304</v>
      </c>
      <c r="C12" s="19" t="s">
        <v>26</v>
      </c>
      <c r="D12" s="20" t="s">
        <v>27</v>
      </c>
      <c r="E12" s="21" t="s">
        <v>654</v>
      </c>
      <c r="F12" s="22">
        <v>20000</v>
      </c>
      <c r="G12" s="18">
        <v>800</v>
      </c>
      <c r="H12" s="18" t="s">
        <v>129</v>
      </c>
      <c r="I12" s="18" t="s">
        <v>30</v>
      </c>
      <c r="J12" s="23">
        <v>45173</v>
      </c>
      <c r="K12" s="19" t="s">
        <v>656</v>
      </c>
      <c r="L12" s="26" t="s">
        <v>657</v>
      </c>
      <c r="M12" s="26" t="s">
        <v>658</v>
      </c>
      <c r="N12" s="26"/>
      <c r="O12" s="26">
        <v>20000</v>
      </c>
      <c r="P12" s="26"/>
      <c r="Q12" s="26"/>
      <c r="R12" s="26" t="s">
        <v>34</v>
      </c>
      <c r="S12" s="27">
        <v>41000</v>
      </c>
      <c r="T12" s="28">
        <f t="shared" si="0"/>
        <v>820000</v>
      </c>
    </row>
    <row r="13" spans="1:20" s="17" customFormat="1" x14ac:dyDescent="0.25">
      <c r="A13" s="26"/>
      <c r="B13" s="19" t="s">
        <v>659</v>
      </c>
      <c r="C13" s="19" t="s">
        <v>660</v>
      </c>
      <c r="D13" s="20" t="s">
        <v>474</v>
      </c>
      <c r="E13" s="21" t="s">
        <v>493</v>
      </c>
      <c r="F13" s="22">
        <v>14400</v>
      </c>
      <c r="G13" s="18">
        <v>80</v>
      </c>
      <c r="H13" s="18" t="s">
        <v>661</v>
      </c>
      <c r="I13" s="18" t="s">
        <v>30</v>
      </c>
      <c r="J13" s="23">
        <v>45173</v>
      </c>
      <c r="K13" s="18" t="s">
        <v>662</v>
      </c>
      <c r="L13" s="19" t="s">
        <v>663</v>
      </c>
      <c r="M13" s="19" t="s">
        <v>664</v>
      </c>
      <c r="N13" s="26"/>
      <c r="O13" s="26"/>
      <c r="P13" s="26"/>
      <c r="Q13" s="26">
        <v>14400</v>
      </c>
      <c r="R13" s="26"/>
      <c r="S13" s="27">
        <v>104000</v>
      </c>
      <c r="T13" s="28">
        <f t="shared" si="0"/>
        <v>1497600</v>
      </c>
    </row>
    <row r="14" spans="1:20" s="17" customFormat="1" ht="13.5" customHeight="1" x14ac:dyDescent="0.25">
      <c r="A14" s="26"/>
      <c r="B14" s="19" t="s">
        <v>133</v>
      </c>
      <c r="C14" s="19" t="s">
        <v>49</v>
      </c>
      <c r="D14" s="20" t="s">
        <v>50</v>
      </c>
      <c r="E14" s="21" t="s">
        <v>665</v>
      </c>
      <c r="F14" s="22">
        <v>2400</v>
      </c>
      <c r="G14" s="18">
        <v>12</v>
      </c>
      <c r="H14" s="18" t="s">
        <v>52</v>
      </c>
      <c r="I14" s="18" t="s">
        <v>30</v>
      </c>
      <c r="J14" s="23">
        <v>45174</v>
      </c>
      <c r="K14" s="18"/>
      <c r="L14" s="28"/>
      <c r="M14" s="26"/>
      <c r="N14" s="23"/>
      <c r="O14" s="26"/>
      <c r="P14" s="26"/>
      <c r="Q14" s="26">
        <v>2400</v>
      </c>
      <c r="R14" s="26"/>
      <c r="S14" s="27">
        <v>167000</v>
      </c>
      <c r="T14" s="28">
        <f t="shared" si="0"/>
        <v>400800</v>
      </c>
    </row>
    <row r="15" spans="1:20" s="17" customFormat="1" ht="13.5" customHeight="1" x14ac:dyDescent="0.25">
      <c r="A15" s="26"/>
      <c r="B15" s="19" t="s">
        <v>659</v>
      </c>
      <c r="C15" s="19" t="s">
        <v>660</v>
      </c>
      <c r="D15" s="20" t="s">
        <v>468</v>
      </c>
      <c r="E15" s="21" t="s">
        <v>493</v>
      </c>
      <c r="F15" s="22">
        <v>14400</v>
      </c>
      <c r="G15" s="18">
        <v>80</v>
      </c>
      <c r="H15" s="18" t="s">
        <v>661</v>
      </c>
      <c r="I15" s="18" t="s">
        <v>30</v>
      </c>
      <c r="J15" s="23">
        <v>45175</v>
      </c>
      <c r="K15" s="18" t="s">
        <v>666</v>
      </c>
      <c r="L15" s="19" t="s">
        <v>667</v>
      </c>
      <c r="M15" s="19" t="s">
        <v>668</v>
      </c>
      <c r="N15" s="26"/>
      <c r="O15" s="26"/>
      <c r="P15" s="26"/>
      <c r="Q15" s="26">
        <v>14400</v>
      </c>
      <c r="R15" s="26"/>
      <c r="S15" s="27">
        <v>134800</v>
      </c>
      <c r="T15" s="28">
        <f t="shared" si="0"/>
        <v>1941120</v>
      </c>
    </row>
    <row r="16" spans="1:20" s="17" customFormat="1" x14ac:dyDescent="0.25">
      <c r="A16" s="26" t="s">
        <v>280</v>
      </c>
      <c r="B16" s="19" t="s">
        <v>669</v>
      </c>
      <c r="C16" s="19" t="s">
        <v>57</v>
      </c>
      <c r="D16" s="20" t="s">
        <v>191</v>
      </c>
      <c r="E16" s="21" t="s">
        <v>670</v>
      </c>
      <c r="F16" s="22">
        <v>12000</v>
      </c>
      <c r="G16" s="18">
        <v>480</v>
      </c>
      <c r="H16" s="18" t="s">
        <v>95</v>
      </c>
      <c r="I16" s="18" t="s">
        <v>30</v>
      </c>
      <c r="J16" s="23">
        <v>45177</v>
      </c>
      <c r="K16" s="18" t="s">
        <v>671</v>
      </c>
      <c r="L16" s="18"/>
      <c r="M16" s="19"/>
      <c r="N16" s="26" t="s">
        <v>672</v>
      </c>
      <c r="O16" s="26"/>
      <c r="P16" s="26"/>
      <c r="Q16" s="19">
        <v>12000</v>
      </c>
      <c r="R16" s="26"/>
      <c r="S16" s="27">
        <v>165000</v>
      </c>
      <c r="T16" s="28">
        <f t="shared" ref="T16:T57" si="1">S16*(F16/1000)</f>
        <v>1980000</v>
      </c>
    </row>
    <row r="17" spans="1:20" s="17" customFormat="1" ht="17.25" customHeight="1" x14ac:dyDescent="0.25">
      <c r="A17" s="25" t="s">
        <v>280</v>
      </c>
      <c r="B17" s="19" t="s">
        <v>673</v>
      </c>
      <c r="C17" s="19" t="s">
        <v>57</v>
      </c>
      <c r="D17" s="20" t="s">
        <v>282</v>
      </c>
      <c r="E17" s="21" t="s">
        <v>638</v>
      </c>
      <c r="F17" s="22">
        <v>5130</v>
      </c>
      <c r="G17" s="20">
        <v>27</v>
      </c>
      <c r="H17" s="18" t="s">
        <v>95</v>
      </c>
      <c r="I17" s="18" t="s">
        <v>30</v>
      </c>
      <c r="J17" s="23">
        <v>45177</v>
      </c>
      <c r="K17" s="19"/>
      <c r="L17" s="26"/>
      <c r="M17" s="26"/>
      <c r="N17" s="26" t="s">
        <v>674</v>
      </c>
      <c r="O17" s="26"/>
      <c r="P17" s="26"/>
      <c r="Q17" s="26">
        <v>5130</v>
      </c>
      <c r="R17" s="26"/>
      <c r="S17" s="27">
        <v>115000</v>
      </c>
      <c r="T17" s="28">
        <f t="shared" si="1"/>
        <v>589950</v>
      </c>
    </row>
    <row r="18" spans="1:20" s="17" customFormat="1" ht="17.25" customHeight="1" x14ac:dyDescent="0.25">
      <c r="A18" s="25" t="s">
        <v>280</v>
      </c>
      <c r="B18" s="19" t="s">
        <v>673</v>
      </c>
      <c r="C18" s="19" t="s">
        <v>57</v>
      </c>
      <c r="D18" s="20" t="s">
        <v>282</v>
      </c>
      <c r="E18" s="21" t="s">
        <v>493</v>
      </c>
      <c r="F18" s="22">
        <v>8550</v>
      </c>
      <c r="G18" s="20">
        <v>45</v>
      </c>
      <c r="H18" s="18" t="s">
        <v>95</v>
      </c>
      <c r="I18" s="18" t="s">
        <v>30</v>
      </c>
      <c r="J18" s="23">
        <v>45177</v>
      </c>
      <c r="K18" s="19"/>
      <c r="L18" s="26"/>
      <c r="M18" s="26"/>
      <c r="N18" s="26" t="s">
        <v>674</v>
      </c>
      <c r="O18" s="26"/>
      <c r="P18" s="26"/>
      <c r="Q18" s="26">
        <v>8550</v>
      </c>
      <c r="R18" s="26"/>
      <c r="S18" s="27">
        <v>115000</v>
      </c>
      <c r="T18" s="28">
        <f t="shared" si="1"/>
        <v>983250.00000000012</v>
      </c>
    </row>
    <row r="19" spans="1:20" s="17" customFormat="1" ht="17.25" customHeight="1" x14ac:dyDescent="0.25">
      <c r="A19" s="25" t="s">
        <v>280</v>
      </c>
      <c r="B19" s="19" t="s">
        <v>673</v>
      </c>
      <c r="C19" s="19" t="s">
        <v>57</v>
      </c>
      <c r="D19" s="20" t="s">
        <v>282</v>
      </c>
      <c r="E19" s="21" t="s">
        <v>650</v>
      </c>
      <c r="F19" s="22">
        <v>1520</v>
      </c>
      <c r="G19" s="20">
        <v>8</v>
      </c>
      <c r="H19" s="18" t="s">
        <v>95</v>
      </c>
      <c r="I19" s="18" t="s">
        <v>30</v>
      </c>
      <c r="J19" s="23">
        <v>45177</v>
      </c>
      <c r="K19" s="19"/>
      <c r="L19" s="26"/>
      <c r="M19" s="26"/>
      <c r="N19" s="26" t="s">
        <v>674</v>
      </c>
      <c r="O19" s="26"/>
      <c r="P19" s="26"/>
      <c r="Q19" s="26">
        <v>1520</v>
      </c>
      <c r="R19" s="26"/>
      <c r="S19" s="27">
        <v>115000</v>
      </c>
      <c r="T19" s="28">
        <f t="shared" si="1"/>
        <v>174800</v>
      </c>
    </row>
    <row r="20" spans="1:20" s="17" customFormat="1" ht="17.25" customHeight="1" x14ac:dyDescent="0.25">
      <c r="A20" s="25"/>
      <c r="B20" s="19" t="s">
        <v>675</v>
      </c>
      <c r="C20" s="19" t="s">
        <v>57</v>
      </c>
      <c r="D20" s="20" t="s">
        <v>186</v>
      </c>
      <c r="E20" s="21" t="s">
        <v>676</v>
      </c>
      <c r="F20" s="22">
        <v>15876</v>
      </c>
      <c r="G20" s="20">
        <v>700</v>
      </c>
      <c r="H20" s="18" t="s">
        <v>188</v>
      </c>
      <c r="I20" s="18" t="s">
        <v>30</v>
      </c>
      <c r="J20" s="23">
        <v>45177</v>
      </c>
      <c r="K20" s="19"/>
      <c r="L20" s="26"/>
      <c r="M20" s="26"/>
      <c r="N20" s="26" t="s">
        <v>677</v>
      </c>
      <c r="O20" s="26">
        <v>15876</v>
      </c>
      <c r="P20" s="26"/>
      <c r="Q20" s="26"/>
      <c r="R20" s="26"/>
      <c r="S20" s="27">
        <v>49500</v>
      </c>
      <c r="T20" s="28">
        <f t="shared" si="1"/>
        <v>785862</v>
      </c>
    </row>
    <row r="21" spans="1:20" s="17" customFormat="1" ht="13.5" customHeight="1" x14ac:dyDescent="0.25">
      <c r="A21" s="26"/>
      <c r="B21" s="19" t="s">
        <v>678</v>
      </c>
      <c r="C21" s="19" t="s">
        <v>679</v>
      </c>
      <c r="D21" s="20" t="s">
        <v>680</v>
      </c>
      <c r="E21" s="21" t="s">
        <v>479</v>
      </c>
      <c r="F21" s="22">
        <v>2400</v>
      </c>
      <c r="G21" s="18">
        <v>12</v>
      </c>
      <c r="H21" s="18" t="s">
        <v>29</v>
      </c>
      <c r="I21" s="18" t="s">
        <v>30</v>
      </c>
      <c r="J21" s="23">
        <v>45177</v>
      </c>
      <c r="K21" s="18" t="s">
        <v>681</v>
      </c>
      <c r="L21" s="28" t="s">
        <v>682</v>
      </c>
      <c r="M21" s="26" t="s">
        <v>683</v>
      </c>
      <c r="N21" s="23"/>
      <c r="O21" s="26"/>
      <c r="P21" s="26"/>
      <c r="Q21" s="19">
        <v>2400</v>
      </c>
      <c r="R21" s="26"/>
      <c r="S21" s="27">
        <v>110000</v>
      </c>
      <c r="T21" s="28">
        <f t="shared" si="1"/>
        <v>264000</v>
      </c>
    </row>
    <row r="22" spans="1:20" s="17" customFormat="1" ht="13.5" customHeight="1" x14ac:dyDescent="0.25">
      <c r="A22" s="26"/>
      <c r="B22" s="19" t="s">
        <v>678</v>
      </c>
      <c r="C22" s="19" t="s">
        <v>679</v>
      </c>
      <c r="D22" s="20" t="s">
        <v>110</v>
      </c>
      <c r="E22" s="21" t="s">
        <v>286</v>
      </c>
      <c r="F22" s="22">
        <v>3200</v>
      </c>
      <c r="G22" s="18">
        <v>16</v>
      </c>
      <c r="H22" s="18" t="s">
        <v>29</v>
      </c>
      <c r="I22" s="18" t="s">
        <v>30</v>
      </c>
      <c r="J22" s="23">
        <v>45177</v>
      </c>
      <c r="K22" s="18"/>
      <c r="L22" s="28"/>
      <c r="M22" s="26"/>
      <c r="N22" s="23"/>
      <c r="O22" s="26"/>
      <c r="P22" s="26"/>
      <c r="Q22" s="19">
        <v>3200</v>
      </c>
      <c r="R22" s="26"/>
      <c r="S22" s="27">
        <v>68000</v>
      </c>
      <c r="T22" s="28">
        <f t="shared" si="1"/>
        <v>217600</v>
      </c>
    </row>
    <row r="23" spans="1:20" s="17" customFormat="1" x14ac:dyDescent="0.25">
      <c r="A23" s="26"/>
      <c r="B23" s="19" t="s">
        <v>133</v>
      </c>
      <c r="C23" s="19" t="s">
        <v>337</v>
      </c>
      <c r="D23" s="20" t="s">
        <v>684</v>
      </c>
      <c r="E23" s="21" t="s">
        <v>685</v>
      </c>
      <c r="F23" s="22">
        <v>5000</v>
      </c>
      <c r="G23" s="18">
        <v>250</v>
      </c>
      <c r="H23" s="18" t="s">
        <v>338</v>
      </c>
      <c r="I23" s="18" t="s">
        <v>30</v>
      </c>
      <c r="J23" s="23">
        <v>45177</v>
      </c>
      <c r="K23" s="26" t="s">
        <v>686</v>
      </c>
      <c r="L23" s="26" t="s">
        <v>687</v>
      </c>
      <c r="M23" s="26" t="s">
        <v>688</v>
      </c>
      <c r="N23" s="26"/>
      <c r="O23" s="26"/>
      <c r="P23" s="19">
        <v>5000</v>
      </c>
      <c r="Q23" s="26"/>
      <c r="R23" s="26"/>
      <c r="S23" s="27">
        <v>83800</v>
      </c>
      <c r="T23" s="28">
        <f t="shared" si="1"/>
        <v>419000</v>
      </c>
    </row>
    <row r="24" spans="1:20" s="17" customFormat="1" x14ac:dyDescent="0.25">
      <c r="A24" s="26"/>
      <c r="B24" s="19" t="s">
        <v>103</v>
      </c>
      <c r="C24" s="19" t="s">
        <v>337</v>
      </c>
      <c r="D24" s="20" t="s">
        <v>86</v>
      </c>
      <c r="E24" s="21" t="s">
        <v>389</v>
      </c>
      <c r="F24" s="22">
        <v>8000</v>
      </c>
      <c r="G24" s="18">
        <v>320</v>
      </c>
      <c r="H24" s="18" t="s">
        <v>322</v>
      </c>
      <c r="I24" s="18" t="s">
        <v>30</v>
      </c>
      <c r="J24" s="23">
        <v>45180</v>
      </c>
      <c r="K24" s="26" t="s">
        <v>689</v>
      </c>
      <c r="L24" s="26" t="s">
        <v>690</v>
      </c>
      <c r="M24" s="26" t="s">
        <v>691</v>
      </c>
      <c r="N24" s="26"/>
      <c r="O24" s="26">
        <v>8000</v>
      </c>
      <c r="P24" s="26"/>
      <c r="Q24" s="26"/>
      <c r="R24" s="26"/>
      <c r="S24" s="27">
        <v>41000</v>
      </c>
      <c r="T24" s="28">
        <f t="shared" si="1"/>
        <v>328000</v>
      </c>
    </row>
    <row r="25" spans="1:20" s="17" customFormat="1" x14ac:dyDescent="0.25">
      <c r="A25" s="26"/>
      <c r="B25" s="19" t="s">
        <v>103</v>
      </c>
      <c r="C25" s="19" t="s">
        <v>337</v>
      </c>
      <c r="D25" s="20" t="s">
        <v>140</v>
      </c>
      <c r="E25" s="21" t="s">
        <v>385</v>
      </c>
      <c r="F25" s="22">
        <v>10080</v>
      </c>
      <c r="G25" s="18">
        <v>56</v>
      </c>
      <c r="H25" s="18" t="s">
        <v>322</v>
      </c>
      <c r="I25" s="18" t="s">
        <v>30</v>
      </c>
      <c r="J25" s="23">
        <v>45180</v>
      </c>
      <c r="K25" s="26" t="s">
        <v>689</v>
      </c>
      <c r="L25" s="26"/>
      <c r="M25" s="26"/>
      <c r="N25" s="26"/>
      <c r="O25" s="26"/>
      <c r="P25" s="26"/>
      <c r="Q25" s="26">
        <v>10080</v>
      </c>
      <c r="R25" s="26"/>
      <c r="S25" s="27">
        <v>110000</v>
      </c>
      <c r="T25" s="28">
        <f t="shared" si="1"/>
        <v>1108800</v>
      </c>
    </row>
    <row r="26" spans="1:20" s="17" customFormat="1" ht="13.5" customHeight="1" x14ac:dyDescent="0.25">
      <c r="A26" s="26"/>
      <c r="B26" s="19" t="s">
        <v>476</v>
      </c>
      <c r="C26" s="19" t="s">
        <v>109</v>
      </c>
      <c r="D26" s="20" t="s">
        <v>110</v>
      </c>
      <c r="E26" s="21" t="s">
        <v>692</v>
      </c>
      <c r="F26" s="22">
        <v>800</v>
      </c>
      <c r="G26" s="18">
        <v>4</v>
      </c>
      <c r="H26" s="18" t="s">
        <v>112</v>
      </c>
      <c r="I26" s="18" t="s">
        <v>30</v>
      </c>
      <c r="J26" s="23">
        <v>45180</v>
      </c>
      <c r="K26" s="18" t="s">
        <v>693</v>
      </c>
      <c r="L26" s="28" t="s">
        <v>694</v>
      </c>
      <c r="M26" s="26" t="s">
        <v>695</v>
      </c>
      <c r="N26" s="23"/>
      <c r="O26" s="26"/>
      <c r="P26" s="26"/>
      <c r="Q26" s="26">
        <v>800</v>
      </c>
      <c r="R26" s="26"/>
      <c r="S26" s="27">
        <v>70668</v>
      </c>
      <c r="T26" s="28">
        <f t="shared" si="1"/>
        <v>56534.400000000001</v>
      </c>
    </row>
    <row r="27" spans="1:20" s="17" customFormat="1" ht="13.5" customHeight="1" x14ac:dyDescent="0.25">
      <c r="A27" s="26"/>
      <c r="B27" s="19" t="s">
        <v>476</v>
      </c>
      <c r="C27" s="19" t="s">
        <v>109</v>
      </c>
      <c r="D27" s="20" t="s">
        <v>110</v>
      </c>
      <c r="E27" s="21" t="s">
        <v>696</v>
      </c>
      <c r="F27" s="22">
        <v>7200</v>
      </c>
      <c r="G27" s="18">
        <v>36</v>
      </c>
      <c r="H27" s="18" t="s">
        <v>112</v>
      </c>
      <c r="I27" s="18" t="s">
        <v>30</v>
      </c>
      <c r="J27" s="23">
        <v>45180</v>
      </c>
      <c r="K27" s="18" t="s">
        <v>693</v>
      </c>
      <c r="L27" s="28"/>
      <c r="M27" s="26"/>
      <c r="N27" s="23"/>
      <c r="O27" s="26"/>
      <c r="P27" s="26"/>
      <c r="Q27" s="26">
        <v>7200</v>
      </c>
      <c r="R27" s="26"/>
      <c r="S27" s="27">
        <v>70668</v>
      </c>
      <c r="T27" s="28">
        <f t="shared" si="1"/>
        <v>508809.60000000003</v>
      </c>
    </row>
    <row r="28" spans="1:20" s="17" customFormat="1" ht="13.5" customHeight="1" x14ac:dyDescent="0.25">
      <c r="A28" s="26"/>
      <c r="B28" s="19" t="s">
        <v>476</v>
      </c>
      <c r="C28" s="19" t="s">
        <v>109</v>
      </c>
      <c r="D28" s="20" t="s">
        <v>110</v>
      </c>
      <c r="E28" s="21" t="s">
        <v>697</v>
      </c>
      <c r="F28" s="22">
        <v>4200</v>
      </c>
      <c r="G28" s="18">
        <v>21</v>
      </c>
      <c r="H28" s="18" t="s">
        <v>112</v>
      </c>
      <c r="I28" s="18" t="s">
        <v>30</v>
      </c>
      <c r="J28" s="23">
        <v>45180</v>
      </c>
      <c r="K28" s="18" t="s">
        <v>693</v>
      </c>
      <c r="L28" s="28"/>
      <c r="M28" s="26"/>
      <c r="N28" s="23"/>
      <c r="O28" s="26"/>
      <c r="P28" s="26"/>
      <c r="Q28" s="26">
        <v>4200</v>
      </c>
      <c r="R28" s="26"/>
      <c r="S28" s="27">
        <v>70668</v>
      </c>
      <c r="T28" s="28">
        <f t="shared" si="1"/>
        <v>296805.60000000003</v>
      </c>
    </row>
    <row r="29" spans="1:20" s="17" customFormat="1" ht="13.5" customHeight="1" x14ac:dyDescent="0.25">
      <c r="A29" s="26"/>
      <c r="B29" s="19" t="s">
        <v>476</v>
      </c>
      <c r="C29" s="19" t="s">
        <v>109</v>
      </c>
      <c r="D29" s="20" t="s">
        <v>110</v>
      </c>
      <c r="E29" s="21" t="s">
        <v>698</v>
      </c>
      <c r="F29" s="22">
        <v>4800</v>
      </c>
      <c r="G29" s="18">
        <v>24</v>
      </c>
      <c r="H29" s="18" t="s">
        <v>112</v>
      </c>
      <c r="I29" s="18" t="s">
        <v>30</v>
      </c>
      <c r="J29" s="23">
        <v>45180</v>
      </c>
      <c r="K29" s="18" t="s">
        <v>693</v>
      </c>
      <c r="L29" s="28"/>
      <c r="M29" s="26"/>
      <c r="N29" s="23"/>
      <c r="O29" s="26"/>
      <c r="P29" s="26"/>
      <c r="Q29" s="26">
        <v>4800</v>
      </c>
      <c r="R29" s="26"/>
      <c r="S29" s="27">
        <v>70668</v>
      </c>
      <c r="T29" s="28">
        <f t="shared" si="1"/>
        <v>339206.39999999997</v>
      </c>
    </row>
    <row r="30" spans="1:20" s="17" customFormat="1" ht="13.5" customHeight="1" x14ac:dyDescent="0.25">
      <c r="A30" s="26"/>
      <c r="B30" s="19" t="s">
        <v>476</v>
      </c>
      <c r="C30" s="19" t="s">
        <v>109</v>
      </c>
      <c r="D30" s="20" t="s">
        <v>110</v>
      </c>
      <c r="E30" s="21" t="s">
        <v>286</v>
      </c>
      <c r="F30" s="22">
        <v>600</v>
      </c>
      <c r="G30" s="18">
        <v>3</v>
      </c>
      <c r="H30" s="18" t="s">
        <v>112</v>
      </c>
      <c r="I30" s="18" t="s">
        <v>30</v>
      </c>
      <c r="J30" s="23">
        <v>45180</v>
      </c>
      <c r="K30" s="18" t="s">
        <v>693</v>
      </c>
      <c r="L30" s="28"/>
      <c r="M30" s="26"/>
      <c r="N30" s="23"/>
      <c r="O30" s="26"/>
      <c r="P30" s="26"/>
      <c r="Q30" s="26">
        <v>600</v>
      </c>
      <c r="R30" s="26"/>
      <c r="S30" s="27">
        <v>70668</v>
      </c>
      <c r="T30" s="28">
        <f t="shared" si="1"/>
        <v>42400.799999999996</v>
      </c>
    </row>
    <row r="31" spans="1:20" s="17" customFormat="1" x14ac:dyDescent="0.25">
      <c r="A31" s="26"/>
      <c r="B31" s="19" t="s">
        <v>490</v>
      </c>
      <c r="C31" s="19" t="s">
        <v>648</v>
      </c>
      <c r="D31" s="20" t="s">
        <v>649</v>
      </c>
      <c r="E31" s="21" t="s">
        <v>655</v>
      </c>
      <c r="F31" s="22">
        <v>6840</v>
      </c>
      <c r="G31" s="18">
        <v>36</v>
      </c>
      <c r="H31" s="18" t="s">
        <v>651</v>
      </c>
      <c r="I31" s="18" t="s">
        <v>30</v>
      </c>
      <c r="J31" s="23">
        <v>45180</v>
      </c>
      <c r="K31" s="36" t="s">
        <v>699</v>
      </c>
      <c r="L31" s="26" t="s">
        <v>700</v>
      </c>
      <c r="M31" s="26" t="s">
        <v>701</v>
      </c>
      <c r="N31" s="26"/>
      <c r="O31" s="26"/>
      <c r="P31" s="26"/>
      <c r="Q31" s="26">
        <v>6840</v>
      </c>
      <c r="R31" s="26" t="s">
        <v>34</v>
      </c>
      <c r="S31" s="27">
        <v>129700</v>
      </c>
      <c r="T31" s="28">
        <f t="shared" si="1"/>
        <v>887148</v>
      </c>
    </row>
    <row r="32" spans="1:20" s="17" customFormat="1" x14ac:dyDescent="0.25">
      <c r="A32" s="26"/>
      <c r="B32" s="19" t="s">
        <v>490</v>
      </c>
      <c r="C32" s="19" t="s">
        <v>648</v>
      </c>
      <c r="D32" s="20" t="s">
        <v>649</v>
      </c>
      <c r="E32" s="21" t="s">
        <v>698</v>
      </c>
      <c r="F32" s="22">
        <v>8360</v>
      </c>
      <c r="G32" s="18">
        <v>44</v>
      </c>
      <c r="H32" s="18" t="s">
        <v>651</v>
      </c>
      <c r="I32" s="18" t="s">
        <v>30</v>
      </c>
      <c r="J32" s="23">
        <v>45180</v>
      </c>
      <c r="K32" s="36" t="s">
        <v>699</v>
      </c>
      <c r="L32" s="26"/>
      <c r="M32" s="26"/>
      <c r="N32" s="26"/>
      <c r="O32" s="26"/>
      <c r="P32" s="26"/>
      <c r="Q32" s="26">
        <v>8360</v>
      </c>
      <c r="R32" s="26" t="s">
        <v>34</v>
      </c>
      <c r="S32" s="27">
        <v>129700</v>
      </c>
      <c r="T32" s="28">
        <f t="shared" si="1"/>
        <v>1084292</v>
      </c>
    </row>
    <row r="33" spans="1:20" s="17" customFormat="1" x14ac:dyDescent="0.25">
      <c r="A33" s="26"/>
      <c r="B33" s="19" t="s">
        <v>490</v>
      </c>
      <c r="C33" s="19" t="s">
        <v>648</v>
      </c>
      <c r="D33" s="20" t="s">
        <v>649</v>
      </c>
      <c r="E33" s="21" t="s">
        <v>286</v>
      </c>
      <c r="F33" s="22">
        <v>1520</v>
      </c>
      <c r="G33" s="18">
        <v>8</v>
      </c>
      <c r="H33" s="18" t="s">
        <v>651</v>
      </c>
      <c r="I33" s="18" t="s">
        <v>30</v>
      </c>
      <c r="J33" s="23">
        <v>45180</v>
      </c>
      <c r="K33" s="36" t="s">
        <v>699</v>
      </c>
      <c r="L33" s="26"/>
      <c r="M33" s="26"/>
      <c r="N33" s="26"/>
      <c r="O33" s="26"/>
      <c r="P33" s="26"/>
      <c r="Q33" s="26">
        <v>1520</v>
      </c>
      <c r="R33" s="26" t="s">
        <v>34</v>
      </c>
      <c r="S33" s="27">
        <v>129700</v>
      </c>
      <c r="T33" s="28">
        <f t="shared" si="1"/>
        <v>197144</v>
      </c>
    </row>
    <row r="34" spans="1:20" s="17" customFormat="1" ht="13.5" customHeight="1" x14ac:dyDescent="0.25">
      <c r="A34" s="26"/>
      <c r="B34" s="19" t="s">
        <v>103</v>
      </c>
      <c r="C34" s="19" t="s">
        <v>509</v>
      </c>
      <c r="D34" s="20" t="s">
        <v>702</v>
      </c>
      <c r="E34" s="21" t="s">
        <v>703</v>
      </c>
      <c r="F34" s="22">
        <v>16200</v>
      </c>
      <c r="G34" s="18">
        <v>18</v>
      </c>
      <c r="H34" s="18" t="s">
        <v>142</v>
      </c>
      <c r="I34" s="18" t="s">
        <v>30</v>
      </c>
      <c r="J34" s="23">
        <v>45180</v>
      </c>
      <c r="K34" s="18" t="s">
        <v>704</v>
      </c>
      <c r="L34" s="28" t="s">
        <v>705</v>
      </c>
      <c r="M34" s="26" t="s">
        <v>519</v>
      </c>
      <c r="N34" s="23"/>
      <c r="O34" s="26"/>
      <c r="P34" s="26"/>
      <c r="Q34" s="26">
        <v>16200</v>
      </c>
      <c r="R34" s="26"/>
      <c r="S34" s="27">
        <v>115000</v>
      </c>
      <c r="T34" s="28">
        <f t="shared" si="1"/>
        <v>1863000</v>
      </c>
    </row>
    <row r="35" spans="1:20" s="17" customFormat="1" ht="13.5" customHeight="1" x14ac:dyDescent="0.25">
      <c r="A35" s="25"/>
      <c r="B35" s="19" t="s">
        <v>304</v>
      </c>
      <c r="C35" s="19" t="s">
        <v>26</v>
      </c>
      <c r="D35" s="20" t="s">
        <v>27</v>
      </c>
      <c r="E35" s="21" t="s">
        <v>655</v>
      </c>
      <c r="F35" s="22">
        <v>20000</v>
      </c>
      <c r="G35" s="18">
        <v>800</v>
      </c>
      <c r="H35" s="18" t="s">
        <v>129</v>
      </c>
      <c r="I35" s="18" t="s">
        <v>30</v>
      </c>
      <c r="J35" s="23">
        <v>45181</v>
      </c>
      <c r="K35" s="19" t="s">
        <v>706</v>
      </c>
      <c r="L35" s="26" t="s">
        <v>707</v>
      </c>
      <c r="M35" s="26" t="s">
        <v>708</v>
      </c>
      <c r="N35" s="26"/>
      <c r="O35" s="26">
        <v>20000</v>
      </c>
      <c r="P35" s="26"/>
      <c r="Q35" s="26"/>
      <c r="R35" s="26" t="s">
        <v>34</v>
      </c>
      <c r="S35" s="27">
        <v>41000</v>
      </c>
      <c r="T35" s="28">
        <f t="shared" si="1"/>
        <v>820000</v>
      </c>
    </row>
    <row r="36" spans="1:20" s="17" customFormat="1" x14ac:dyDescent="0.25">
      <c r="A36" s="26"/>
      <c r="B36" s="19" t="s">
        <v>490</v>
      </c>
      <c r="C36" s="19" t="s">
        <v>298</v>
      </c>
      <c r="D36" s="20" t="s">
        <v>66</v>
      </c>
      <c r="E36" s="21" t="s">
        <v>709</v>
      </c>
      <c r="F36" s="22">
        <v>2400</v>
      </c>
      <c r="G36" s="18">
        <v>12</v>
      </c>
      <c r="H36" s="18" t="s">
        <v>29</v>
      </c>
      <c r="I36" s="18" t="s">
        <v>30</v>
      </c>
      <c r="J36" s="23">
        <v>45181</v>
      </c>
      <c r="K36" s="18" t="s">
        <v>710</v>
      </c>
      <c r="L36" s="26"/>
      <c r="M36" s="26" t="s">
        <v>711</v>
      </c>
      <c r="N36" s="26"/>
      <c r="O36" s="26"/>
      <c r="P36" s="26"/>
      <c r="Q36" s="26">
        <v>2400</v>
      </c>
      <c r="R36" s="26"/>
      <c r="S36" s="27">
        <v>89900</v>
      </c>
      <c r="T36" s="28">
        <f t="shared" si="1"/>
        <v>215760</v>
      </c>
    </row>
    <row r="37" spans="1:20" s="17" customFormat="1" x14ac:dyDescent="0.25">
      <c r="A37" s="26"/>
      <c r="B37" s="19" t="s">
        <v>490</v>
      </c>
      <c r="C37" s="19" t="s">
        <v>298</v>
      </c>
      <c r="D37" s="20" t="s">
        <v>66</v>
      </c>
      <c r="E37" s="21" t="s">
        <v>430</v>
      </c>
      <c r="F37" s="22">
        <v>8000</v>
      </c>
      <c r="G37" s="18">
        <v>40</v>
      </c>
      <c r="H37" s="18" t="s">
        <v>29</v>
      </c>
      <c r="I37" s="18" t="s">
        <v>30</v>
      </c>
      <c r="J37" s="23">
        <v>45181</v>
      </c>
      <c r="K37" s="18" t="s">
        <v>710</v>
      </c>
      <c r="L37" s="26"/>
      <c r="M37" s="26"/>
      <c r="N37" s="26"/>
      <c r="O37" s="26"/>
      <c r="P37" s="26"/>
      <c r="Q37" s="26">
        <v>8000</v>
      </c>
      <c r="R37" s="26"/>
      <c r="S37" s="27">
        <v>89900</v>
      </c>
      <c r="T37" s="28">
        <f t="shared" si="1"/>
        <v>719200</v>
      </c>
    </row>
    <row r="38" spans="1:20" s="17" customFormat="1" x14ac:dyDescent="0.25">
      <c r="A38" s="26"/>
      <c r="B38" s="19" t="s">
        <v>490</v>
      </c>
      <c r="C38" s="19" t="s">
        <v>298</v>
      </c>
      <c r="D38" s="20" t="s">
        <v>66</v>
      </c>
      <c r="E38" s="21" t="s">
        <v>503</v>
      </c>
      <c r="F38" s="22">
        <v>7200</v>
      </c>
      <c r="G38" s="18">
        <v>36</v>
      </c>
      <c r="H38" s="18" t="s">
        <v>29</v>
      </c>
      <c r="I38" s="18" t="s">
        <v>30</v>
      </c>
      <c r="J38" s="23">
        <v>45181</v>
      </c>
      <c r="K38" s="18" t="s">
        <v>710</v>
      </c>
      <c r="L38" s="26"/>
      <c r="M38" s="26"/>
      <c r="N38" s="26"/>
      <c r="O38" s="26"/>
      <c r="P38" s="26"/>
      <c r="Q38" s="26">
        <v>7200</v>
      </c>
      <c r="R38" s="26"/>
      <c r="S38" s="27">
        <v>89900</v>
      </c>
      <c r="T38" s="28">
        <f t="shared" si="1"/>
        <v>647280</v>
      </c>
    </row>
    <row r="39" spans="1:20" s="17" customFormat="1" ht="13.5" customHeight="1" x14ac:dyDescent="0.25">
      <c r="A39" s="26"/>
      <c r="B39" s="19" t="s">
        <v>712</v>
      </c>
      <c r="C39" s="19" t="s">
        <v>713</v>
      </c>
      <c r="D39" s="20" t="s">
        <v>110</v>
      </c>
      <c r="E39" s="21" t="s">
        <v>692</v>
      </c>
      <c r="F39" s="22">
        <v>200</v>
      </c>
      <c r="G39" s="18">
        <v>1</v>
      </c>
      <c r="H39" s="18" t="s">
        <v>29</v>
      </c>
      <c r="I39" s="18" t="s">
        <v>30</v>
      </c>
      <c r="J39" s="23">
        <v>45182</v>
      </c>
      <c r="K39" s="18" t="s">
        <v>225</v>
      </c>
      <c r="L39" s="28"/>
      <c r="M39" s="26"/>
      <c r="N39" s="23"/>
      <c r="O39" s="26"/>
      <c r="P39" s="26"/>
      <c r="Q39" s="26">
        <v>200</v>
      </c>
      <c r="R39" s="26"/>
      <c r="S39" s="27">
        <v>67000</v>
      </c>
      <c r="T39" s="28">
        <f t="shared" si="1"/>
        <v>13400</v>
      </c>
    </row>
    <row r="40" spans="1:20" s="17" customFormat="1" ht="13.5" customHeight="1" x14ac:dyDescent="0.25">
      <c r="A40" s="26"/>
      <c r="B40" s="19" t="s">
        <v>712</v>
      </c>
      <c r="C40" s="19" t="s">
        <v>713</v>
      </c>
      <c r="D40" s="20" t="s">
        <v>66</v>
      </c>
      <c r="E40" s="21" t="s">
        <v>709</v>
      </c>
      <c r="F40" s="22">
        <v>200</v>
      </c>
      <c r="G40" s="18">
        <v>1</v>
      </c>
      <c r="H40" s="18" t="s">
        <v>29</v>
      </c>
      <c r="I40" s="18" t="s">
        <v>30</v>
      </c>
      <c r="J40" s="23">
        <v>45182</v>
      </c>
      <c r="K40" s="18" t="s">
        <v>225</v>
      </c>
      <c r="L40" s="28"/>
      <c r="M40" s="26"/>
      <c r="N40" s="23"/>
      <c r="O40" s="26"/>
      <c r="P40" s="26"/>
      <c r="Q40" s="26">
        <v>200</v>
      </c>
      <c r="R40" s="26"/>
      <c r="S40" s="27">
        <v>85000</v>
      </c>
      <c r="T40" s="28">
        <f t="shared" si="1"/>
        <v>17000</v>
      </c>
    </row>
    <row r="41" spans="1:20" s="17" customFormat="1" x14ac:dyDescent="0.25">
      <c r="A41" s="26"/>
      <c r="B41" s="19" t="s">
        <v>714</v>
      </c>
      <c r="C41" s="19" t="s">
        <v>384</v>
      </c>
      <c r="D41" s="20" t="s">
        <v>86</v>
      </c>
      <c r="E41" s="21" t="s">
        <v>715</v>
      </c>
      <c r="F41" s="22">
        <v>20000</v>
      </c>
      <c r="G41" s="18">
        <v>800</v>
      </c>
      <c r="H41" s="18" t="s">
        <v>338</v>
      </c>
      <c r="I41" s="18" t="s">
        <v>30</v>
      </c>
      <c r="J41" s="23">
        <v>45183</v>
      </c>
      <c r="K41" s="19" t="s">
        <v>716</v>
      </c>
      <c r="L41" s="26" t="s">
        <v>717</v>
      </c>
      <c r="M41" s="26" t="s">
        <v>718</v>
      </c>
      <c r="N41" s="26"/>
      <c r="O41" s="26">
        <v>20000</v>
      </c>
      <c r="P41" s="26"/>
      <c r="Q41" s="26"/>
      <c r="R41" s="26" t="s">
        <v>34</v>
      </c>
      <c r="S41" s="27">
        <v>41000</v>
      </c>
      <c r="T41" s="28">
        <f t="shared" si="1"/>
        <v>820000</v>
      </c>
    </row>
    <row r="42" spans="1:20" s="17" customFormat="1" x14ac:dyDescent="0.25">
      <c r="A42" s="26"/>
      <c r="B42" s="19" t="s">
        <v>719</v>
      </c>
      <c r="C42" s="19" t="s">
        <v>65</v>
      </c>
      <c r="D42" s="20" t="s">
        <v>74</v>
      </c>
      <c r="E42" s="21" t="s">
        <v>720</v>
      </c>
      <c r="F42" s="22">
        <v>10000</v>
      </c>
      <c r="G42" s="18">
        <v>400</v>
      </c>
      <c r="H42" s="18" t="s">
        <v>29</v>
      </c>
      <c r="I42" s="18" t="s">
        <v>30</v>
      </c>
      <c r="J42" s="23">
        <v>45184</v>
      </c>
      <c r="K42" s="36" t="s">
        <v>721</v>
      </c>
      <c r="L42" s="26"/>
      <c r="M42" s="26" t="s">
        <v>722</v>
      </c>
      <c r="N42" s="26"/>
      <c r="O42" s="26">
        <v>10000</v>
      </c>
      <c r="P42" s="26"/>
      <c r="Q42" s="26"/>
      <c r="R42" s="26"/>
      <c r="S42" s="27">
        <v>45000</v>
      </c>
      <c r="T42" s="28">
        <f t="shared" si="1"/>
        <v>450000</v>
      </c>
    </row>
    <row r="43" spans="1:20" s="17" customFormat="1" x14ac:dyDescent="0.25">
      <c r="A43" s="26"/>
      <c r="B43" s="19" t="s">
        <v>719</v>
      </c>
      <c r="C43" s="19" t="s">
        <v>65</v>
      </c>
      <c r="D43" s="20" t="s">
        <v>66</v>
      </c>
      <c r="E43" s="21" t="s">
        <v>709</v>
      </c>
      <c r="F43" s="22">
        <v>400</v>
      </c>
      <c r="G43" s="18">
        <v>2</v>
      </c>
      <c r="H43" s="18" t="s">
        <v>29</v>
      </c>
      <c r="I43" s="18" t="s">
        <v>30</v>
      </c>
      <c r="J43" s="23">
        <v>45184</v>
      </c>
      <c r="K43" s="36" t="s">
        <v>721</v>
      </c>
      <c r="L43" s="26"/>
      <c r="M43" s="26"/>
      <c r="N43" s="26"/>
      <c r="O43" s="26"/>
      <c r="P43" s="26"/>
      <c r="Q43" s="26">
        <v>400</v>
      </c>
      <c r="R43" s="26"/>
      <c r="S43" s="27">
        <v>89900</v>
      </c>
      <c r="T43" s="28">
        <f t="shared" si="1"/>
        <v>35960</v>
      </c>
    </row>
    <row r="44" spans="1:20" s="17" customFormat="1" x14ac:dyDescent="0.25">
      <c r="A44" s="26"/>
      <c r="B44" s="19" t="s">
        <v>719</v>
      </c>
      <c r="C44" s="19" t="s">
        <v>65</v>
      </c>
      <c r="D44" s="20" t="s">
        <v>66</v>
      </c>
      <c r="E44" s="21" t="s">
        <v>430</v>
      </c>
      <c r="F44" s="22">
        <v>800</v>
      </c>
      <c r="G44" s="18">
        <v>4</v>
      </c>
      <c r="H44" s="18" t="s">
        <v>29</v>
      </c>
      <c r="I44" s="18" t="s">
        <v>30</v>
      </c>
      <c r="J44" s="23">
        <v>45184</v>
      </c>
      <c r="K44" s="36" t="s">
        <v>721</v>
      </c>
      <c r="L44" s="26"/>
      <c r="M44" s="26"/>
      <c r="N44" s="26"/>
      <c r="O44" s="26"/>
      <c r="P44" s="26"/>
      <c r="Q44" s="26">
        <v>800</v>
      </c>
      <c r="R44" s="26"/>
      <c r="S44" s="27">
        <v>89900</v>
      </c>
      <c r="T44" s="28">
        <f t="shared" si="1"/>
        <v>71920</v>
      </c>
    </row>
    <row r="45" spans="1:20" s="17" customFormat="1" x14ac:dyDescent="0.25">
      <c r="A45" s="26"/>
      <c r="B45" s="19" t="s">
        <v>719</v>
      </c>
      <c r="C45" s="19" t="s">
        <v>65</v>
      </c>
      <c r="D45" s="20" t="s">
        <v>66</v>
      </c>
      <c r="E45" s="21" t="s">
        <v>503</v>
      </c>
      <c r="F45" s="22">
        <v>1200</v>
      </c>
      <c r="G45" s="18">
        <v>6</v>
      </c>
      <c r="H45" s="18" t="s">
        <v>29</v>
      </c>
      <c r="I45" s="18" t="s">
        <v>30</v>
      </c>
      <c r="J45" s="23">
        <v>45184</v>
      </c>
      <c r="K45" s="36" t="s">
        <v>721</v>
      </c>
      <c r="L45" s="26"/>
      <c r="M45" s="26"/>
      <c r="N45" s="26"/>
      <c r="O45" s="26"/>
      <c r="P45" s="26"/>
      <c r="Q45" s="26">
        <v>1200</v>
      </c>
      <c r="R45" s="26"/>
      <c r="S45" s="27">
        <v>89900</v>
      </c>
      <c r="T45" s="28">
        <f t="shared" si="1"/>
        <v>107880</v>
      </c>
    </row>
    <row r="46" spans="1:20" s="17" customFormat="1" x14ac:dyDescent="0.25">
      <c r="A46" s="26"/>
      <c r="B46" s="19" t="s">
        <v>719</v>
      </c>
      <c r="C46" s="19" t="s">
        <v>65</v>
      </c>
      <c r="D46" s="20" t="s">
        <v>66</v>
      </c>
      <c r="E46" s="21" t="s">
        <v>506</v>
      </c>
      <c r="F46" s="22">
        <v>7200</v>
      </c>
      <c r="G46" s="18">
        <v>36</v>
      </c>
      <c r="H46" s="18" t="s">
        <v>29</v>
      </c>
      <c r="I46" s="18" t="s">
        <v>30</v>
      </c>
      <c r="J46" s="23">
        <v>45184</v>
      </c>
      <c r="K46" s="36" t="s">
        <v>721</v>
      </c>
      <c r="L46" s="26"/>
      <c r="M46" s="26"/>
      <c r="N46" s="26"/>
      <c r="O46" s="26"/>
      <c r="P46" s="26"/>
      <c r="Q46" s="26">
        <v>7200</v>
      </c>
      <c r="R46" s="26"/>
      <c r="S46" s="27">
        <v>89900</v>
      </c>
      <c r="T46" s="28">
        <f t="shared" si="1"/>
        <v>647280</v>
      </c>
    </row>
    <row r="47" spans="1:20" s="17" customFormat="1" x14ac:dyDescent="0.25">
      <c r="A47" s="26"/>
      <c r="B47" s="19" t="s">
        <v>723</v>
      </c>
      <c r="C47" s="19" t="s">
        <v>85</v>
      </c>
      <c r="D47" s="20" t="s">
        <v>86</v>
      </c>
      <c r="E47" s="21" t="s">
        <v>389</v>
      </c>
      <c r="F47" s="22">
        <v>20000</v>
      </c>
      <c r="G47" s="18">
        <v>800</v>
      </c>
      <c r="H47" s="18" t="s">
        <v>322</v>
      </c>
      <c r="I47" s="18" t="s">
        <v>30</v>
      </c>
      <c r="J47" s="23">
        <v>45184</v>
      </c>
      <c r="K47" s="23" t="s">
        <v>724</v>
      </c>
      <c r="L47" s="23" t="s">
        <v>725</v>
      </c>
      <c r="M47" s="30" t="s">
        <v>726</v>
      </c>
      <c r="N47" s="26"/>
      <c r="O47" s="19">
        <v>20000</v>
      </c>
      <c r="P47" s="26"/>
      <c r="Q47" s="26"/>
      <c r="R47" s="26"/>
      <c r="S47" s="27">
        <v>42000</v>
      </c>
      <c r="T47" s="28">
        <f t="shared" si="1"/>
        <v>840000</v>
      </c>
    </row>
    <row r="48" spans="1:20" s="17" customFormat="1" ht="13.5" customHeight="1" x14ac:dyDescent="0.25">
      <c r="A48" s="26"/>
      <c r="B48" s="19" t="s">
        <v>727</v>
      </c>
      <c r="C48" s="19" t="s">
        <v>139</v>
      </c>
      <c r="D48" s="20" t="s">
        <v>140</v>
      </c>
      <c r="E48" s="21" t="s">
        <v>728</v>
      </c>
      <c r="F48" s="22">
        <v>2880</v>
      </c>
      <c r="G48" s="18">
        <v>16</v>
      </c>
      <c r="H48" s="18" t="s">
        <v>142</v>
      </c>
      <c r="I48" s="18" t="s">
        <v>30</v>
      </c>
      <c r="J48" s="23">
        <v>45184</v>
      </c>
      <c r="K48" s="18" t="s">
        <v>729</v>
      </c>
      <c r="L48" s="18" t="s">
        <v>730</v>
      </c>
      <c r="M48" s="28" t="s">
        <v>731</v>
      </c>
      <c r="N48" s="23"/>
      <c r="O48" s="26"/>
      <c r="P48" s="26"/>
      <c r="Q48" s="26">
        <v>2880</v>
      </c>
      <c r="R48" s="26"/>
      <c r="S48" s="27">
        <v>110000</v>
      </c>
      <c r="T48" s="28">
        <f t="shared" si="1"/>
        <v>316800</v>
      </c>
    </row>
    <row r="49" spans="1:21" s="17" customFormat="1" ht="13.5" customHeight="1" x14ac:dyDescent="0.25">
      <c r="A49" s="26"/>
      <c r="B49" s="19" t="s">
        <v>723</v>
      </c>
      <c r="C49" s="19" t="s">
        <v>85</v>
      </c>
      <c r="D49" s="20" t="s">
        <v>492</v>
      </c>
      <c r="E49" s="21" t="s">
        <v>732</v>
      </c>
      <c r="F49" s="22">
        <v>20000</v>
      </c>
      <c r="G49" s="18">
        <v>800</v>
      </c>
      <c r="H49" s="18" t="s">
        <v>322</v>
      </c>
      <c r="I49" s="18" t="s">
        <v>30</v>
      </c>
      <c r="J49" s="23">
        <v>45187</v>
      </c>
      <c r="K49" s="18" t="s">
        <v>733</v>
      </c>
      <c r="L49" s="131" t="s">
        <v>734</v>
      </c>
      <c r="M49" s="26" t="s">
        <v>735</v>
      </c>
      <c r="N49" s="23"/>
      <c r="O49" s="26"/>
      <c r="P49" s="26">
        <v>20000</v>
      </c>
      <c r="Q49" s="26"/>
      <c r="R49" s="26"/>
      <c r="S49" s="27">
        <v>249000</v>
      </c>
      <c r="T49" s="28">
        <f t="shared" si="1"/>
        <v>4980000</v>
      </c>
    </row>
    <row r="50" spans="1:21" s="17" customFormat="1" x14ac:dyDescent="0.25">
      <c r="A50" s="26"/>
      <c r="B50" s="19" t="s">
        <v>736</v>
      </c>
      <c r="C50" s="19" t="s">
        <v>85</v>
      </c>
      <c r="D50" s="20" t="s">
        <v>86</v>
      </c>
      <c r="E50" s="21" t="s">
        <v>389</v>
      </c>
      <c r="F50" s="22">
        <v>20000</v>
      </c>
      <c r="G50" s="18">
        <v>800</v>
      </c>
      <c r="H50" s="18" t="s">
        <v>737</v>
      </c>
      <c r="I50" s="18" t="s">
        <v>30</v>
      </c>
      <c r="J50" s="23">
        <v>45188</v>
      </c>
      <c r="K50" s="23" t="s">
        <v>738</v>
      </c>
      <c r="L50" s="23" t="s">
        <v>739</v>
      </c>
      <c r="M50" s="30" t="s">
        <v>740</v>
      </c>
      <c r="N50" s="26"/>
      <c r="O50" s="19">
        <v>20000</v>
      </c>
      <c r="P50" s="26"/>
      <c r="Q50" s="26"/>
      <c r="R50" s="26"/>
      <c r="S50" s="27">
        <v>42000</v>
      </c>
      <c r="T50" s="28">
        <f t="shared" si="1"/>
        <v>840000</v>
      </c>
    </row>
    <row r="51" spans="1:21" s="17" customFormat="1" x14ac:dyDescent="0.25">
      <c r="A51" s="26"/>
      <c r="B51" s="19" t="s">
        <v>741</v>
      </c>
      <c r="C51" s="19" t="s">
        <v>57</v>
      </c>
      <c r="D51" s="20" t="s">
        <v>58</v>
      </c>
      <c r="E51" s="21" t="s">
        <v>715</v>
      </c>
      <c r="F51" s="22">
        <v>19845</v>
      </c>
      <c r="G51" s="18">
        <v>875</v>
      </c>
      <c r="H51" s="18" t="s">
        <v>129</v>
      </c>
      <c r="I51" s="18" t="s">
        <v>30</v>
      </c>
      <c r="J51" s="23">
        <v>45189</v>
      </c>
      <c r="K51" s="36" t="s">
        <v>742</v>
      </c>
      <c r="L51" s="26" t="s">
        <v>585</v>
      </c>
      <c r="M51" s="26" t="s">
        <v>408</v>
      </c>
      <c r="N51" s="26"/>
      <c r="O51" s="26">
        <v>19845</v>
      </c>
      <c r="P51" s="26"/>
      <c r="Q51" s="26"/>
      <c r="R51" s="26"/>
      <c r="S51" s="27">
        <v>49500</v>
      </c>
      <c r="T51" s="28">
        <f t="shared" si="1"/>
        <v>982327.5</v>
      </c>
    </row>
    <row r="52" spans="1:21" s="17" customFormat="1" x14ac:dyDescent="0.25">
      <c r="A52" s="26"/>
      <c r="B52" s="19" t="s">
        <v>743</v>
      </c>
      <c r="C52" s="19" t="s">
        <v>85</v>
      </c>
      <c r="D52" s="20" t="s">
        <v>86</v>
      </c>
      <c r="E52" s="21" t="s">
        <v>389</v>
      </c>
      <c r="F52" s="22">
        <v>20000</v>
      </c>
      <c r="G52" s="18">
        <v>800</v>
      </c>
      <c r="H52" s="18" t="s">
        <v>322</v>
      </c>
      <c r="I52" s="18" t="s">
        <v>30</v>
      </c>
      <c r="J52" s="23">
        <v>45189</v>
      </c>
      <c r="K52" s="23" t="s">
        <v>744</v>
      </c>
      <c r="L52" s="23" t="s">
        <v>745</v>
      </c>
      <c r="M52" s="30" t="s">
        <v>631</v>
      </c>
      <c r="N52" s="26"/>
      <c r="O52" s="19">
        <v>20000</v>
      </c>
      <c r="P52" s="26"/>
      <c r="Q52" s="26"/>
      <c r="R52" s="26"/>
      <c r="S52" s="27">
        <v>42000</v>
      </c>
      <c r="T52" s="28">
        <f t="shared" si="1"/>
        <v>840000</v>
      </c>
    </row>
    <row r="53" spans="1:21" s="17" customFormat="1" x14ac:dyDescent="0.25">
      <c r="A53" s="26"/>
      <c r="B53" s="19" t="s">
        <v>741</v>
      </c>
      <c r="C53" s="19" t="s">
        <v>57</v>
      </c>
      <c r="D53" s="20" t="s">
        <v>58</v>
      </c>
      <c r="E53" s="21" t="s">
        <v>507</v>
      </c>
      <c r="F53" s="22">
        <v>19845</v>
      </c>
      <c r="G53" s="18">
        <v>875</v>
      </c>
      <c r="H53" s="18" t="s">
        <v>129</v>
      </c>
      <c r="I53" s="18" t="s">
        <v>30</v>
      </c>
      <c r="J53" s="23">
        <v>45195</v>
      </c>
      <c r="K53" s="36" t="s">
        <v>746</v>
      </c>
      <c r="L53" s="26" t="s">
        <v>747</v>
      </c>
      <c r="M53" s="26" t="s">
        <v>748</v>
      </c>
      <c r="N53" s="26"/>
      <c r="O53" s="26">
        <v>19845</v>
      </c>
      <c r="P53" s="26"/>
      <c r="Q53" s="26"/>
      <c r="R53" s="26"/>
      <c r="S53" s="27">
        <v>49500</v>
      </c>
      <c r="T53" s="28">
        <f t="shared" si="1"/>
        <v>982327.5</v>
      </c>
    </row>
    <row r="54" spans="1:21" s="17" customFormat="1" ht="13.5" customHeight="1" x14ac:dyDescent="0.25">
      <c r="A54" s="26"/>
      <c r="B54" s="19" t="s">
        <v>420</v>
      </c>
      <c r="C54" s="19" t="s">
        <v>37</v>
      </c>
      <c r="D54" s="20" t="s">
        <v>421</v>
      </c>
      <c r="E54" s="21" t="s">
        <v>302</v>
      </c>
      <c r="F54" s="22">
        <v>10400</v>
      </c>
      <c r="G54" s="18">
        <v>52</v>
      </c>
      <c r="H54" s="18" t="s">
        <v>423</v>
      </c>
      <c r="I54" s="18" t="s">
        <v>30</v>
      </c>
      <c r="J54" s="23">
        <v>45196</v>
      </c>
      <c r="K54" s="24" t="s">
        <v>749</v>
      </c>
      <c r="L54" s="28" t="s">
        <v>750</v>
      </c>
      <c r="M54" s="26" t="s">
        <v>751</v>
      </c>
      <c r="N54" s="23"/>
      <c r="O54" s="26"/>
      <c r="P54" s="26"/>
      <c r="Q54" s="26">
        <v>10400</v>
      </c>
      <c r="R54" s="26"/>
      <c r="S54" s="27">
        <v>180000</v>
      </c>
      <c r="T54" s="28">
        <f t="shared" si="1"/>
        <v>1872000</v>
      </c>
    </row>
    <row r="55" spans="1:21" s="17" customFormat="1" ht="13.5" customHeight="1" x14ac:dyDescent="0.25">
      <c r="A55" s="26"/>
      <c r="B55" s="19" t="s">
        <v>420</v>
      </c>
      <c r="C55" s="19" t="s">
        <v>37</v>
      </c>
      <c r="D55" s="20" t="s">
        <v>421</v>
      </c>
      <c r="E55" s="21" t="s">
        <v>422</v>
      </c>
      <c r="F55" s="22">
        <v>7200</v>
      </c>
      <c r="G55" s="18">
        <v>36</v>
      </c>
      <c r="H55" s="18" t="s">
        <v>423</v>
      </c>
      <c r="I55" s="18" t="s">
        <v>30</v>
      </c>
      <c r="J55" s="23">
        <v>45196</v>
      </c>
      <c r="K55" s="24" t="s">
        <v>749</v>
      </c>
      <c r="L55" s="28"/>
      <c r="M55" s="26"/>
      <c r="N55" s="23"/>
      <c r="O55" s="26"/>
      <c r="P55" s="26"/>
      <c r="Q55" s="26">
        <v>7200</v>
      </c>
      <c r="R55" s="26"/>
      <c r="S55" s="27">
        <v>180000</v>
      </c>
      <c r="T55" s="28">
        <f t="shared" si="1"/>
        <v>1296000</v>
      </c>
    </row>
    <row r="56" spans="1:21" s="17" customFormat="1" ht="13.5" customHeight="1" x14ac:dyDescent="0.25">
      <c r="A56" s="26"/>
      <c r="B56" s="19" t="s">
        <v>714</v>
      </c>
      <c r="C56" s="19" t="s">
        <v>49</v>
      </c>
      <c r="D56" s="20" t="s">
        <v>276</v>
      </c>
      <c r="E56" s="21" t="s">
        <v>752</v>
      </c>
      <c r="F56" s="22">
        <v>4000</v>
      </c>
      <c r="G56" s="18">
        <v>20</v>
      </c>
      <c r="H56" s="18" t="s">
        <v>52</v>
      </c>
      <c r="I56" s="18" t="s">
        <v>30</v>
      </c>
      <c r="J56" s="23">
        <v>45197</v>
      </c>
      <c r="K56" s="24"/>
      <c r="L56" s="28"/>
      <c r="M56" s="26"/>
      <c r="N56" s="23"/>
      <c r="O56" s="26"/>
      <c r="P56" s="26"/>
      <c r="Q56" s="26">
        <v>4000</v>
      </c>
      <c r="R56" s="26"/>
      <c r="S56" s="27">
        <v>211000</v>
      </c>
      <c r="T56" s="28">
        <f t="shared" si="1"/>
        <v>844000</v>
      </c>
    </row>
    <row r="57" spans="1:21" s="17" customFormat="1" x14ac:dyDescent="0.25">
      <c r="A57" s="26"/>
      <c r="B57" s="19" t="s">
        <v>753</v>
      </c>
      <c r="C57" s="19" t="s">
        <v>26</v>
      </c>
      <c r="D57" s="20" t="s">
        <v>754</v>
      </c>
      <c r="E57" s="21" t="s">
        <v>654</v>
      </c>
      <c r="F57" s="22">
        <v>8000</v>
      </c>
      <c r="G57" s="18">
        <v>400</v>
      </c>
      <c r="H57" s="18" t="s">
        <v>29</v>
      </c>
      <c r="I57" s="18" t="s">
        <v>30</v>
      </c>
      <c r="J57" s="23">
        <v>45197</v>
      </c>
      <c r="K57" s="18" t="s">
        <v>755</v>
      </c>
      <c r="L57" s="26" t="s">
        <v>756</v>
      </c>
      <c r="M57" s="26" t="s">
        <v>757</v>
      </c>
      <c r="N57" s="26"/>
      <c r="O57" s="26"/>
      <c r="P57" s="26">
        <v>8000</v>
      </c>
      <c r="Q57" s="26"/>
      <c r="R57" s="26"/>
      <c r="S57" s="27">
        <v>72000</v>
      </c>
      <c r="T57" s="28">
        <f t="shared" si="1"/>
        <v>576000</v>
      </c>
      <c r="U57" s="26"/>
    </row>
    <row r="58" spans="1:21" ht="18.75" x14ac:dyDescent="0.3">
      <c r="A58" s="119" t="s">
        <v>252</v>
      </c>
      <c r="B58" s="53">
        <f>SUM(F4:F57)/1000</f>
        <v>453.40600000000001</v>
      </c>
      <c r="C58" s="54" t="s">
        <v>253</v>
      </c>
      <c r="S58" s="55"/>
      <c r="T58" s="55">
        <f>SUM(T4:T57)</f>
        <v>41251441.799999997</v>
      </c>
    </row>
    <row r="59" spans="1:21" ht="18.75" x14ac:dyDescent="0.3">
      <c r="A59" s="120" t="s">
        <v>254</v>
      </c>
      <c r="B59" s="57">
        <f>B60+B61+B62</f>
        <v>453.40600000000001</v>
      </c>
      <c r="C59" s="58" t="s">
        <v>253</v>
      </c>
    </row>
    <row r="60" spans="1:21" ht="18.75" x14ac:dyDescent="0.3">
      <c r="A60" s="121" t="s">
        <v>255</v>
      </c>
      <c r="B60" s="60">
        <f>SUM(O4:O57)/1000</f>
        <v>193.566</v>
      </c>
      <c r="C60" s="61" t="s">
        <v>253</v>
      </c>
    </row>
    <row r="61" spans="1:21" ht="18.75" x14ac:dyDescent="0.3">
      <c r="A61" s="121" t="s">
        <v>256</v>
      </c>
      <c r="B61" s="60">
        <f>SUM(P4:P57)/1000</f>
        <v>33</v>
      </c>
      <c r="C61" s="61" t="s">
        <v>253</v>
      </c>
    </row>
    <row r="62" spans="1:21" ht="18.75" x14ac:dyDescent="0.3">
      <c r="A62" s="121" t="s">
        <v>257</v>
      </c>
      <c r="B62" s="62">
        <f>SUM(Q4:Q57)/1000</f>
        <v>226.84</v>
      </c>
      <c r="C62" s="61" t="s">
        <v>253</v>
      </c>
    </row>
    <row r="63" spans="1:21" ht="18.75" x14ac:dyDescent="0.3">
      <c r="A63" s="122" t="s">
        <v>258</v>
      </c>
      <c r="B63" s="64">
        <f>B58-B59</f>
        <v>0</v>
      </c>
      <c r="C63" s="65" t="s">
        <v>253</v>
      </c>
    </row>
  </sheetData>
  <autoFilter ref="D1:D63" xr:uid="{00000000-0009-0000-0000-000003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4">
    <dataValidation type="list" allowBlank="1" showInputMessage="1" showErrorMessage="1" sqref="D58" xr:uid="{00880080-00FE-48B3-BCF9-005500220082}">
      <formula1>$E$4:$E$110</formula1>
    </dataValidation>
    <dataValidation type="list" allowBlank="1" showInputMessage="1" showErrorMessage="1" sqref="D57" xr:uid="{001F00C5-00D3-4D50-A25B-007800F900E2}">
      <formula1>$E$4:$E$157</formula1>
    </dataValidation>
    <dataValidation type="list" allowBlank="1" showInputMessage="1" showErrorMessage="1" sqref="D47:D50 D54:D56 D52" xr:uid="{00AB00E0-0057-4FD7-9696-006D007100D6}">
      <formula1>$E$4:$E$115</formula1>
    </dataValidation>
    <dataValidation type="list" allowBlank="1" showInputMessage="1" showErrorMessage="1" sqref="D31:D33 D53 D51 D42:D46 D15 D13" xr:uid="{005B0018-004D-46D9-9811-00D000B00063}">
      <formula1>$E$4:$E$125</formula1>
    </dataValidation>
  </dataValidations>
  <pageMargins left="0.7" right="0.7" top="0.75" bottom="0.75" header="0.3" footer="0.3"/>
  <pageSetup paperSize="9" scale="36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справочник!$E$4:$E$117</xm:f>
          </x14:formula1>
          <xm:sqref>D4:D41</xm:sqref>
        </x14:dataValidation>
        <x14:dataValidation type="list" allowBlank="1" showInputMessage="1" showErrorMessage="1" xr:uid="{00000000-0002-0000-0300-000001000000}">
          <x14:formula1>
            <xm:f>справочник!$E$4:$E$127</xm:f>
          </x14:formula1>
          <xm:sqref>D9:D11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19">
    <pageSetUpPr fitToPage="1"/>
  </sheetPr>
  <dimension ref="A1:T97"/>
  <sheetViews>
    <sheetView tabSelected="1" zoomScale="85" workbookViewId="0">
      <selection activeCell="A4" sqref="A4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39.42578125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7" customWidth="1"/>
    <col min="14" max="14" width="14.140625" customWidth="1"/>
    <col min="18" max="18" width="27.140625" customWidth="1"/>
    <col min="19" max="19" width="25.140625" customWidth="1"/>
    <col min="20" max="20" width="20" customWidth="1"/>
  </cols>
  <sheetData>
    <row r="1" spans="1:20" s="3" customFormat="1" ht="17.25" x14ac:dyDescent="0.3">
      <c r="A1" s="5"/>
      <c r="B1" s="5" t="s">
        <v>0</v>
      </c>
      <c r="C1" s="6">
        <v>45139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7" customFormat="1" ht="13.5" customHeight="1" x14ac:dyDescent="0.25">
      <c r="A4" s="25"/>
      <c r="B4" s="19" t="s">
        <v>758</v>
      </c>
      <c r="C4" s="19" t="s">
        <v>26</v>
      </c>
      <c r="D4" s="20" t="s">
        <v>308</v>
      </c>
      <c r="E4" s="21" t="s">
        <v>759</v>
      </c>
      <c r="F4" s="19">
        <v>720</v>
      </c>
      <c r="G4" s="18">
        <v>4</v>
      </c>
      <c r="H4" s="18" t="s">
        <v>129</v>
      </c>
      <c r="I4" s="18" t="s">
        <v>30</v>
      </c>
      <c r="J4" s="23">
        <v>45139</v>
      </c>
      <c r="K4" s="19" t="s">
        <v>760</v>
      </c>
      <c r="L4" s="18" t="s">
        <v>761</v>
      </c>
      <c r="M4" s="24" t="s">
        <v>43</v>
      </c>
      <c r="N4" s="26"/>
      <c r="O4" s="26"/>
      <c r="P4" s="26"/>
      <c r="Q4" s="26">
        <v>720</v>
      </c>
      <c r="R4" s="26" t="s">
        <v>34</v>
      </c>
      <c r="S4" s="27">
        <v>320000</v>
      </c>
      <c r="T4" s="28">
        <f t="shared" ref="T4:T67" si="0">S4*(F4/1000)</f>
        <v>230400</v>
      </c>
    </row>
    <row r="5" spans="1:20" s="17" customFormat="1" ht="13.5" customHeight="1" x14ac:dyDescent="0.25">
      <c r="A5" s="25"/>
      <c r="B5" s="19" t="s">
        <v>758</v>
      </c>
      <c r="C5" s="19" t="s">
        <v>26</v>
      </c>
      <c r="D5" s="20" t="s">
        <v>308</v>
      </c>
      <c r="E5" s="21" t="s">
        <v>762</v>
      </c>
      <c r="F5" s="19">
        <v>8460</v>
      </c>
      <c r="G5" s="18">
        <v>47</v>
      </c>
      <c r="H5" s="18" t="s">
        <v>129</v>
      </c>
      <c r="I5" s="18" t="s">
        <v>30</v>
      </c>
      <c r="J5" s="23">
        <v>45139</v>
      </c>
      <c r="K5" s="19" t="s">
        <v>760</v>
      </c>
      <c r="L5" s="18"/>
      <c r="M5" s="24"/>
      <c r="N5" s="26"/>
      <c r="O5" s="26"/>
      <c r="P5" s="26"/>
      <c r="Q5" s="26">
        <v>8460</v>
      </c>
      <c r="R5" s="26" t="s">
        <v>34</v>
      </c>
      <c r="S5" s="27">
        <v>320000</v>
      </c>
      <c r="T5" s="28">
        <f t="shared" si="0"/>
        <v>2707200.0000000005</v>
      </c>
    </row>
    <row r="6" spans="1:20" s="17" customFormat="1" ht="13.5" customHeight="1" x14ac:dyDescent="0.25">
      <c r="A6" s="25"/>
      <c r="B6" s="19" t="s">
        <v>758</v>
      </c>
      <c r="C6" s="19" t="s">
        <v>26</v>
      </c>
      <c r="D6" s="20" t="s">
        <v>308</v>
      </c>
      <c r="E6" s="21" t="s">
        <v>715</v>
      </c>
      <c r="F6" s="19">
        <v>6660</v>
      </c>
      <c r="G6" s="18">
        <v>37</v>
      </c>
      <c r="H6" s="18" t="s">
        <v>129</v>
      </c>
      <c r="I6" s="18" t="s">
        <v>30</v>
      </c>
      <c r="J6" s="23">
        <v>45139</v>
      </c>
      <c r="K6" s="19" t="s">
        <v>760</v>
      </c>
      <c r="L6" s="18"/>
      <c r="M6" s="24"/>
      <c r="N6" s="26"/>
      <c r="O6" s="26"/>
      <c r="P6" s="26"/>
      <c r="Q6" s="26">
        <v>6660</v>
      </c>
      <c r="R6" s="26" t="s">
        <v>34</v>
      </c>
      <c r="S6" s="27">
        <v>320000</v>
      </c>
      <c r="T6" s="28">
        <f t="shared" si="0"/>
        <v>2131200</v>
      </c>
    </row>
    <row r="7" spans="1:20" s="17" customFormat="1" ht="13.5" customHeight="1" x14ac:dyDescent="0.25">
      <c r="A7" s="25"/>
      <c r="B7" s="19" t="s">
        <v>763</v>
      </c>
      <c r="C7" s="19" t="s">
        <v>26</v>
      </c>
      <c r="D7" s="20" t="s">
        <v>27</v>
      </c>
      <c r="E7" s="21" t="s">
        <v>764</v>
      </c>
      <c r="F7" s="19">
        <v>20000</v>
      </c>
      <c r="G7" s="18">
        <v>800</v>
      </c>
      <c r="H7" s="18" t="s">
        <v>129</v>
      </c>
      <c r="I7" s="18" t="s">
        <v>30</v>
      </c>
      <c r="J7" s="23">
        <v>45140</v>
      </c>
      <c r="K7" s="19" t="s">
        <v>733</v>
      </c>
      <c r="L7" s="18" t="s">
        <v>734</v>
      </c>
      <c r="M7" s="24" t="s">
        <v>83</v>
      </c>
      <c r="N7" s="26"/>
      <c r="O7" s="26">
        <v>20000</v>
      </c>
      <c r="P7" s="26"/>
      <c r="Q7" s="26"/>
      <c r="R7" s="26" t="s">
        <v>34</v>
      </c>
      <c r="S7" s="27">
        <v>41000</v>
      </c>
      <c r="T7" s="28">
        <f t="shared" si="0"/>
        <v>820000</v>
      </c>
    </row>
    <row r="8" spans="1:20" s="17" customFormat="1" ht="13.5" customHeight="1" x14ac:dyDescent="0.25">
      <c r="A8" s="25"/>
      <c r="B8" s="19" t="s">
        <v>763</v>
      </c>
      <c r="C8" s="19" t="s">
        <v>26</v>
      </c>
      <c r="D8" s="20" t="s">
        <v>27</v>
      </c>
      <c r="E8" s="21" t="s">
        <v>765</v>
      </c>
      <c r="F8" s="19">
        <v>20000</v>
      </c>
      <c r="G8" s="18">
        <v>800</v>
      </c>
      <c r="H8" s="18" t="s">
        <v>129</v>
      </c>
      <c r="I8" s="18" t="s">
        <v>30</v>
      </c>
      <c r="J8" s="23">
        <v>45140</v>
      </c>
      <c r="K8" s="19" t="s">
        <v>766</v>
      </c>
      <c r="L8" s="18" t="s">
        <v>767</v>
      </c>
      <c r="M8" s="24" t="s">
        <v>768</v>
      </c>
      <c r="N8" s="26"/>
      <c r="O8" s="26">
        <v>20000</v>
      </c>
      <c r="P8" s="26"/>
      <c r="Q8" s="26"/>
      <c r="R8" s="26" t="s">
        <v>34</v>
      </c>
      <c r="S8" s="27">
        <v>41000</v>
      </c>
      <c r="T8" s="28">
        <f t="shared" si="0"/>
        <v>820000</v>
      </c>
    </row>
    <row r="9" spans="1:20" s="17" customFormat="1" ht="14.25" customHeight="1" x14ac:dyDescent="0.25">
      <c r="A9" s="25"/>
      <c r="B9" s="19"/>
      <c r="C9" s="19" t="s">
        <v>769</v>
      </c>
      <c r="D9" s="20" t="s">
        <v>770</v>
      </c>
      <c r="E9" s="21" t="s">
        <v>771</v>
      </c>
      <c r="F9" s="19">
        <v>190</v>
      </c>
      <c r="G9" s="18">
        <v>1</v>
      </c>
      <c r="H9" s="18" t="s">
        <v>448</v>
      </c>
      <c r="I9" s="18" t="s">
        <v>30</v>
      </c>
      <c r="J9" s="23">
        <v>45140</v>
      </c>
      <c r="K9" s="19" t="s">
        <v>225</v>
      </c>
      <c r="L9" s="18"/>
      <c r="M9" s="24"/>
      <c r="N9" s="26"/>
      <c r="O9" s="26"/>
      <c r="P9" s="26"/>
      <c r="Q9" s="26">
        <v>190</v>
      </c>
      <c r="R9" s="26"/>
      <c r="S9" s="27">
        <v>320000</v>
      </c>
      <c r="T9" s="28">
        <f t="shared" si="0"/>
        <v>60800</v>
      </c>
    </row>
    <row r="10" spans="1:20" s="17" customFormat="1" x14ac:dyDescent="0.25">
      <c r="A10" s="26" t="s">
        <v>772</v>
      </c>
      <c r="B10" s="19" t="s">
        <v>773</v>
      </c>
      <c r="C10" s="19" t="s">
        <v>774</v>
      </c>
      <c r="D10" s="20" t="s">
        <v>775</v>
      </c>
      <c r="E10" s="21" t="s">
        <v>759</v>
      </c>
      <c r="F10" s="19">
        <v>1000</v>
      </c>
      <c r="G10" s="18">
        <v>5</v>
      </c>
      <c r="H10" s="18" t="s">
        <v>29</v>
      </c>
      <c r="I10" s="18" t="s">
        <v>30</v>
      </c>
      <c r="J10" s="23">
        <v>45140</v>
      </c>
      <c r="K10" s="18" t="s">
        <v>776</v>
      </c>
      <c r="L10" s="18" t="s">
        <v>777</v>
      </c>
      <c r="M10" s="24" t="s">
        <v>778</v>
      </c>
      <c r="N10" s="26"/>
      <c r="O10" s="26"/>
      <c r="P10" s="26"/>
      <c r="Q10" s="26">
        <v>1000</v>
      </c>
      <c r="R10" s="26"/>
      <c r="S10" s="27">
        <v>149000</v>
      </c>
      <c r="T10" s="28">
        <f t="shared" si="0"/>
        <v>149000</v>
      </c>
    </row>
    <row r="11" spans="1:20" s="17" customFormat="1" x14ac:dyDescent="0.25">
      <c r="A11" s="26" t="s">
        <v>639</v>
      </c>
      <c r="B11" s="19" t="s">
        <v>678</v>
      </c>
      <c r="C11" s="19" t="s">
        <v>779</v>
      </c>
      <c r="D11" s="20" t="s">
        <v>140</v>
      </c>
      <c r="E11" s="21" t="s">
        <v>780</v>
      </c>
      <c r="F11" s="19">
        <v>4320</v>
      </c>
      <c r="G11" s="18">
        <v>24</v>
      </c>
      <c r="H11" s="18" t="s">
        <v>338</v>
      </c>
      <c r="I11" s="18" t="s">
        <v>30</v>
      </c>
      <c r="J11" s="23" t="s">
        <v>781</v>
      </c>
      <c r="K11" s="18"/>
      <c r="L11" s="18"/>
      <c r="M11" s="24"/>
      <c r="N11" s="26"/>
      <c r="O11" s="26"/>
      <c r="P11" s="26"/>
      <c r="Q11" s="26">
        <v>4320</v>
      </c>
      <c r="R11" s="26" t="s">
        <v>34</v>
      </c>
      <c r="S11" s="27">
        <v>80000</v>
      </c>
      <c r="T11" s="28">
        <f t="shared" si="0"/>
        <v>345600</v>
      </c>
    </row>
    <row r="12" spans="1:20" s="17" customFormat="1" x14ac:dyDescent="0.25">
      <c r="A12" s="26" t="s">
        <v>639</v>
      </c>
      <c r="B12" s="19" t="s">
        <v>678</v>
      </c>
      <c r="C12" s="19" t="s">
        <v>779</v>
      </c>
      <c r="D12" s="20" t="s">
        <v>140</v>
      </c>
      <c r="E12" s="21" t="s">
        <v>782</v>
      </c>
      <c r="F12" s="19">
        <v>11520</v>
      </c>
      <c r="G12" s="18">
        <v>64</v>
      </c>
      <c r="H12" s="18" t="s">
        <v>338</v>
      </c>
      <c r="I12" s="18" t="s">
        <v>30</v>
      </c>
      <c r="J12" s="23" t="s">
        <v>781</v>
      </c>
      <c r="K12" s="18"/>
      <c r="L12" s="18"/>
      <c r="M12" s="24"/>
      <c r="N12" s="26"/>
      <c r="O12" s="26"/>
      <c r="P12" s="26"/>
      <c r="Q12" s="26">
        <v>11520</v>
      </c>
      <c r="R12" s="26" t="s">
        <v>34</v>
      </c>
      <c r="S12" s="27">
        <v>80000</v>
      </c>
      <c r="T12" s="28">
        <f t="shared" si="0"/>
        <v>921600</v>
      </c>
    </row>
    <row r="13" spans="1:20" s="17" customFormat="1" ht="13.5" customHeight="1" x14ac:dyDescent="0.25">
      <c r="A13" s="25"/>
      <c r="B13" s="19" t="s">
        <v>763</v>
      </c>
      <c r="C13" s="19" t="s">
        <v>26</v>
      </c>
      <c r="D13" s="20" t="s">
        <v>27</v>
      </c>
      <c r="E13" s="21" t="s">
        <v>759</v>
      </c>
      <c r="F13" s="19">
        <v>6000</v>
      </c>
      <c r="G13" s="18">
        <v>240</v>
      </c>
      <c r="H13" s="18" t="s">
        <v>129</v>
      </c>
      <c r="I13" s="18" t="s">
        <v>30</v>
      </c>
      <c r="J13" s="23">
        <v>45141</v>
      </c>
      <c r="K13" s="19" t="s">
        <v>783</v>
      </c>
      <c r="L13" s="18" t="s">
        <v>784</v>
      </c>
      <c r="M13" s="24" t="s">
        <v>785</v>
      </c>
      <c r="N13" s="26"/>
      <c r="O13" s="26">
        <v>6000</v>
      </c>
      <c r="P13" s="26"/>
      <c r="Q13" s="26"/>
      <c r="R13" s="26" t="s">
        <v>34</v>
      </c>
      <c r="S13" s="27">
        <v>41000</v>
      </c>
      <c r="T13" s="28">
        <f t="shared" si="0"/>
        <v>246000</v>
      </c>
    </row>
    <row r="14" spans="1:20" s="17" customFormat="1" ht="13.5" customHeight="1" x14ac:dyDescent="0.25">
      <c r="A14" s="25"/>
      <c r="B14" s="19" t="s">
        <v>786</v>
      </c>
      <c r="C14" s="19" t="s">
        <v>26</v>
      </c>
      <c r="D14" s="20" t="s">
        <v>27</v>
      </c>
      <c r="E14" s="21" t="s">
        <v>762</v>
      </c>
      <c r="F14" s="19">
        <v>4000</v>
      </c>
      <c r="G14" s="18">
        <v>160</v>
      </c>
      <c r="H14" s="18" t="s">
        <v>129</v>
      </c>
      <c r="I14" s="18" t="s">
        <v>30</v>
      </c>
      <c r="J14" s="23">
        <v>45141</v>
      </c>
      <c r="K14" s="19" t="s">
        <v>783</v>
      </c>
      <c r="L14" s="18"/>
      <c r="M14" s="24"/>
      <c r="N14" s="26"/>
      <c r="O14" s="26">
        <v>4000</v>
      </c>
      <c r="P14" s="26"/>
      <c r="Q14" s="26"/>
      <c r="R14" s="26" t="s">
        <v>34</v>
      </c>
      <c r="S14" s="27">
        <v>41000</v>
      </c>
      <c r="T14" s="28">
        <f t="shared" si="0"/>
        <v>164000</v>
      </c>
    </row>
    <row r="15" spans="1:20" s="17" customFormat="1" ht="13.5" customHeight="1" x14ac:dyDescent="0.25">
      <c r="A15" s="25"/>
      <c r="B15" s="19" t="s">
        <v>787</v>
      </c>
      <c r="C15" s="19" t="s">
        <v>26</v>
      </c>
      <c r="D15" s="20" t="s">
        <v>308</v>
      </c>
      <c r="E15" s="21" t="s">
        <v>715</v>
      </c>
      <c r="F15" s="19">
        <v>1620</v>
      </c>
      <c r="G15" s="18">
        <v>9</v>
      </c>
      <c r="H15" s="18" t="s">
        <v>129</v>
      </c>
      <c r="I15" s="18" t="s">
        <v>30</v>
      </c>
      <c r="J15" s="23">
        <v>45141</v>
      </c>
      <c r="K15" s="19" t="s">
        <v>783</v>
      </c>
      <c r="L15" s="18"/>
      <c r="M15" s="24"/>
      <c r="N15" s="26"/>
      <c r="O15" s="26"/>
      <c r="P15" s="26"/>
      <c r="Q15" s="26">
        <v>1620</v>
      </c>
      <c r="R15" s="26" t="s">
        <v>34</v>
      </c>
      <c r="S15" s="27">
        <v>320000</v>
      </c>
      <c r="T15" s="28">
        <f t="shared" si="0"/>
        <v>518400.00000000006</v>
      </c>
    </row>
    <row r="16" spans="1:20" s="17" customFormat="1" ht="13.5" customHeight="1" x14ac:dyDescent="0.25">
      <c r="A16" s="25"/>
      <c r="B16" s="19" t="s">
        <v>787</v>
      </c>
      <c r="C16" s="19" t="s">
        <v>26</v>
      </c>
      <c r="D16" s="20" t="s">
        <v>308</v>
      </c>
      <c r="E16" s="21" t="s">
        <v>788</v>
      </c>
      <c r="F16" s="19">
        <v>5580</v>
      </c>
      <c r="G16" s="18">
        <v>31</v>
      </c>
      <c r="H16" s="18" t="s">
        <v>129</v>
      </c>
      <c r="I16" s="18" t="s">
        <v>30</v>
      </c>
      <c r="J16" s="23">
        <v>45141</v>
      </c>
      <c r="K16" s="19" t="s">
        <v>783</v>
      </c>
      <c r="L16" s="18"/>
      <c r="M16" s="24"/>
      <c r="N16" s="26"/>
      <c r="O16" s="26"/>
      <c r="P16" s="26"/>
      <c r="Q16" s="26">
        <v>5580</v>
      </c>
      <c r="R16" s="26" t="s">
        <v>34</v>
      </c>
      <c r="S16" s="27">
        <v>320000</v>
      </c>
      <c r="T16" s="28">
        <f t="shared" si="0"/>
        <v>1785600</v>
      </c>
    </row>
    <row r="17" spans="1:20" s="17" customFormat="1" x14ac:dyDescent="0.25">
      <c r="A17" s="26"/>
      <c r="B17" s="19" t="s">
        <v>789</v>
      </c>
      <c r="C17" s="19" t="s">
        <v>370</v>
      </c>
      <c r="D17" s="20" t="s">
        <v>371</v>
      </c>
      <c r="E17" s="21" t="s">
        <v>790</v>
      </c>
      <c r="F17" s="19">
        <v>8800</v>
      </c>
      <c r="G17" s="18">
        <v>44</v>
      </c>
      <c r="H17" s="18" t="s">
        <v>373</v>
      </c>
      <c r="I17" s="18" t="s">
        <v>30</v>
      </c>
      <c r="J17" s="23">
        <v>45142</v>
      </c>
      <c r="K17" s="18" t="s">
        <v>791</v>
      </c>
      <c r="L17" s="131" t="s">
        <v>792</v>
      </c>
      <c r="M17" s="24" t="s">
        <v>793</v>
      </c>
      <c r="N17" s="26"/>
      <c r="O17" s="26"/>
      <c r="P17" s="26"/>
      <c r="Q17" s="26">
        <v>8800</v>
      </c>
      <c r="R17" s="26"/>
      <c r="S17" s="27">
        <v>369000</v>
      </c>
      <c r="T17" s="28">
        <f t="shared" si="0"/>
        <v>3247200.0000000005</v>
      </c>
    </row>
    <row r="18" spans="1:20" s="17" customFormat="1" x14ac:dyDescent="0.25">
      <c r="A18" s="26"/>
      <c r="B18" s="19" t="s">
        <v>789</v>
      </c>
      <c r="C18" s="19" t="s">
        <v>370</v>
      </c>
      <c r="D18" s="20" t="s">
        <v>371</v>
      </c>
      <c r="E18" s="21" t="s">
        <v>788</v>
      </c>
      <c r="F18" s="19">
        <v>8800</v>
      </c>
      <c r="G18" s="18">
        <v>44</v>
      </c>
      <c r="H18" s="18" t="s">
        <v>373</v>
      </c>
      <c r="I18" s="18" t="s">
        <v>30</v>
      </c>
      <c r="J18" s="23">
        <v>45142</v>
      </c>
      <c r="K18" s="18" t="s">
        <v>791</v>
      </c>
      <c r="L18" s="131"/>
      <c r="M18" s="24"/>
      <c r="N18" s="26"/>
      <c r="O18" s="26"/>
      <c r="P18" s="26"/>
      <c r="Q18" s="26">
        <v>8800</v>
      </c>
      <c r="R18" s="26"/>
      <c r="S18" s="27">
        <v>369000</v>
      </c>
      <c r="T18" s="28">
        <f t="shared" si="0"/>
        <v>3247200.0000000005</v>
      </c>
    </row>
    <row r="19" spans="1:20" s="17" customFormat="1" x14ac:dyDescent="0.25">
      <c r="A19" s="26"/>
      <c r="B19" s="19" t="s">
        <v>794</v>
      </c>
      <c r="C19" s="19" t="s">
        <v>601</v>
      </c>
      <c r="D19" s="20" t="s">
        <v>795</v>
      </c>
      <c r="E19" s="21" t="s">
        <v>790</v>
      </c>
      <c r="F19" s="19">
        <v>2000</v>
      </c>
      <c r="G19" s="18">
        <v>67</v>
      </c>
      <c r="H19" s="18" t="s">
        <v>796</v>
      </c>
      <c r="I19" s="18" t="s">
        <v>30</v>
      </c>
      <c r="J19" s="23">
        <v>45142</v>
      </c>
      <c r="K19" s="18" t="s">
        <v>225</v>
      </c>
      <c r="L19" s="131"/>
      <c r="M19" s="24"/>
      <c r="N19" s="26"/>
      <c r="O19" s="26"/>
      <c r="P19" s="26"/>
      <c r="Q19" s="26">
        <v>2000</v>
      </c>
      <c r="R19" s="26"/>
      <c r="S19" s="27">
        <v>89900</v>
      </c>
      <c r="T19" s="28">
        <f t="shared" si="0"/>
        <v>179800</v>
      </c>
    </row>
    <row r="20" spans="1:20" s="17" customFormat="1" x14ac:dyDescent="0.25">
      <c r="A20" s="26"/>
      <c r="B20" s="19" t="s">
        <v>476</v>
      </c>
      <c r="C20" s="19" t="s">
        <v>797</v>
      </c>
      <c r="D20" s="20" t="s">
        <v>66</v>
      </c>
      <c r="E20" s="21" t="s">
        <v>798</v>
      </c>
      <c r="F20" s="19">
        <v>4000</v>
      </c>
      <c r="G20" s="18">
        <v>20</v>
      </c>
      <c r="H20" s="18" t="s">
        <v>29</v>
      </c>
      <c r="I20" s="18" t="s">
        <v>30</v>
      </c>
      <c r="J20" s="23">
        <v>45145</v>
      </c>
      <c r="K20" s="18" t="s">
        <v>799</v>
      </c>
      <c r="L20" s="18"/>
      <c r="M20" s="24" t="s">
        <v>800</v>
      </c>
      <c r="N20" s="26"/>
      <c r="O20" s="26"/>
      <c r="P20" s="26"/>
      <c r="Q20" s="26">
        <v>4000</v>
      </c>
      <c r="R20" s="26"/>
      <c r="S20" s="27">
        <v>90000</v>
      </c>
      <c r="T20" s="28">
        <f t="shared" si="0"/>
        <v>360000</v>
      </c>
    </row>
    <row r="21" spans="1:20" s="17" customFormat="1" x14ac:dyDescent="0.25">
      <c r="A21" s="26"/>
      <c r="B21" s="19" t="s">
        <v>476</v>
      </c>
      <c r="C21" s="19" t="s">
        <v>797</v>
      </c>
      <c r="D21" s="20" t="s">
        <v>66</v>
      </c>
      <c r="E21" s="21" t="s">
        <v>801</v>
      </c>
      <c r="F21" s="19">
        <v>800</v>
      </c>
      <c r="G21" s="18">
        <v>4</v>
      </c>
      <c r="H21" s="18" t="s">
        <v>29</v>
      </c>
      <c r="I21" s="18" t="s">
        <v>30</v>
      </c>
      <c r="J21" s="23">
        <v>45145</v>
      </c>
      <c r="K21" s="18" t="s">
        <v>799</v>
      </c>
      <c r="L21" s="18"/>
      <c r="M21" s="24"/>
      <c r="N21" s="26"/>
      <c r="O21" s="26"/>
      <c r="P21" s="26"/>
      <c r="Q21" s="26">
        <v>800</v>
      </c>
      <c r="R21" s="26"/>
      <c r="S21" s="27">
        <v>90000</v>
      </c>
      <c r="T21" s="28">
        <f t="shared" si="0"/>
        <v>72000</v>
      </c>
    </row>
    <row r="22" spans="1:20" s="17" customFormat="1" x14ac:dyDescent="0.25">
      <c r="A22" s="26"/>
      <c r="B22" s="19" t="s">
        <v>476</v>
      </c>
      <c r="C22" s="19" t="s">
        <v>797</v>
      </c>
      <c r="D22" s="20" t="s">
        <v>66</v>
      </c>
      <c r="E22" s="21" t="s">
        <v>802</v>
      </c>
      <c r="F22" s="19">
        <v>8000</v>
      </c>
      <c r="G22" s="18">
        <v>40</v>
      </c>
      <c r="H22" s="18" t="s">
        <v>29</v>
      </c>
      <c r="I22" s="18" t="s">
        <v>30</v>
      </c>
      <c r="J22" s="23">
        <v>45145</v>
      </c>
      <c r="K22" s="18" t="s">
        <v>799</v>
      </c>
      <c r="L22" s="18"/>
      <c r="M22" s="24"/>
      <c r="N22" s="26"/>
      <c r="O22" s="26"/>
      <c r="P22" s="26"/>
      <c r="Q22" s="26">
        <v>8000</v>
      </c>
      <c r="R22" s="26"/>
      <c r="S22" s="27">
        <v>90000</v>
      </c>
      <c r="T22" s="28">
        <f t="shared" si="0"/>
        <v>720000</v>
      </c>
    </row>
    <row r="23" spans="1:20" s="17" customFormat="1" x14ac:dyDescent="0.25">
      <c r="A23" s="26"/>
      <c r="B23" s="19" t="s">
        <v>476</v>
      </c>
      <c r="C23" s="19" t="s">
        <v>797</v>
      </c>
      <c r="D23" s="20" t="s">
        <v>66</v>
      </c>
      <c r="E23" s="21" t="s">
        <v>803</v>
      </c>
      <c r="F23" s="19">
        <v>4800</v>
      </c>
      <c r="G23" s="18">
        <v>24</v>
      </c>
      <c r="H23" s="18" t="s">
        <v>29</v>
      </c>
      <c r="I23" s="18" t="s">
        <v>30</v>
      </c>
      <c r="J23" s="23">
        <v>45145</v>
      </c>
      <c r="K23" s="18" t="s">
        <v>799</v>
      </c>
      <c r="L23" s="18"/>
      <c r="M23" s="24"/>
      <c r="N23" s="26"/>
      <c r="O23" s="26"/>
      <c r="P23" s="26"/>
      <c r="Q23" s="26">
        <v>4800</v>
      </c>
      <c r="R23" s="26"/>
      <c r="S23" s="27">
        <v>90000</v>
      </c>
      <c r="T23" s="28">
        <f t="shared" si="0"/>
        <v>432000</v>
      </c>
    </row>
    <row r="24" spans="1:20" s="17" customFormat="1" x14ac:dyDescent="0.25">
      <c r="A24" s="26"/>
      <c r="B24" s="19" t="s">
        <v>476</v>
      </c>
      <c r="C24" s="19" t="s">
        <v>797</v>
      </c>
      <c r="D24" s="20" t="s">
        <v>66</v>
      </c>
      <c r="E24" s="21" t="s">
        <v>802</v>
      </c>
      <c r="F24" s="19">
        <v>400</v>
      </c>
      <c r="G24" s="18">
        <v>2</v>
      </c>
      <c r="H24" s="18" t="s">
        <v>29</v>
      </c>
      <c r="I24" s="18" t="s">
        <v>30</v>
      </c>
      <c r="J24" s="23">
        <v>45145</v>
      </c>
      <c r="K24" s="18" t="s">
        <v>804</v>
      </c>
      <c r="L24" s="18"/>
      <c r="M24" s="24" t="s">
        <v>805</v>
      </c>
      <c r="N24" s="26"/>
      <c r="O24" s="26"/>
      <c r="P24" s="26"/>
      <c r="Q24" s="26">
        <v>400</v>
      </c>
      <c r="R24" s="26"/>
      <c r="S24" s="27">
        <v>90000</v>
      </c>
      <c r="T24" s="28">
        <f t="shared" si="0"/>
        <v>36000</v>
      </c>
    </row>
    <row r="25" spans="1:20" s="17" customFormat="1" x14ac:dyDescent="0.25">
      <c r="A25" s="26"/>
      <c r="B25" s="19" t="s">
        <v>476</v>
      </c>
      <c r="C25" s="19" t="s">
        <v>797</v>
      </c>
      <c r="D25" s="20" t="s">
        <v>66</v>
      </c>
      <c r="E25" s="21" t="s">
        <v>803</v>
      </c>
      <c r="F25" s="19">
        <v>4200</v>
      </c>
      <c r="G25" s="18">
        <v>21</v>
      </c>
      <c r="H25" s="18" t="s">
        <v>29</v>
      </c>
      <c r="I25" s="18" t="s">
        <v>30</v>
      </c>
      <c r="J25" s="23">
        <v>45145</v>
      </c>
      <c r="K25" s="18" t="s">
        <v>804</v>
      </c>
      <c r="L25" s="18"/>
      <c r="M25" s="24"/>
      <c r="N25" s="26"/>
      <c r="O25" s="26"/>
      <c r="P25" s="26"/>
      <c r="Q25" s="26">
        <v>4200</v>
      </c>
      <c r="R25" s="26"/>
      <c r="S25" s="27">
        <v>90000</v>
      </c>
      <c r="T25" s="28">
        <f t="shared" si="0"/>
        <v>378000</v>
      </c>
    </row>
    <row r="26" spans="1:20" s="17" customFormat="1" x14ac:dyDescent="0.25">
      <c r="A26" s="26"/>
      <c r="B26" s="19" t="s">
        <v>476</v>
      </c>
      <c r="C26" s="19" t="s">
        <v>797</v>
      </c>
      <c r="D26" s="20" t="s">
        <v>66</v>
      </c>
      <c r="E26" s="21" t="s">
        <v>806</v>
      </c>
      <c r="F26" s="19">
        <v>9000</v>
      </c>
      <c r="G26" s="18">
        <v>45</v>
      </c>
      <c r="H26" s="18" t="s">
        <v>29</v>
      </c>
      <c r="I26" s="18" t="s">
        <v>30</v>
      </c>
      <c r="J26" s="23">
        <v>45145</v>
      </c>
      <c r="K26" s="18" t="s">
        <v>804</v>
      </c>
      <c r="L26" s="18"/>
      <c r="M26" s="24"/>
      <c r="N26" s="26"/>
      <c r="O26" s="26"/>
      <c r="P26" s="26"/>
      <c r="Q26" s="26">
        <v>9000</v>
      </c>
      <c r="R26" s="26"/>
      <c r="S26" s="27">
        <v>90000</v>
      </c>
      <c r="T26" s="28">
        <f t="shared" si="0"/>
        <v>810000</v>
      </c>
    </row>
    <row r="27" spans="1:20" s="17" customFormat="1" x14ac:dyDescent="0.25">
      <c r="A27" s="26"/>
      <c r="B27" s="19" t="s">
        <v>476</v>
      </c>
      <c r="C27" s="19" t="s">
        <v>797</v>
      </c>
      <c r="D27" s="20" t="s">
        <v>66</v>
      </c>
      <c r="E27" s="21" t="s">
        <v>807</v>
      </c>
      <c r="F27" s="19">
        <v>4000</v>
      </c>
      <c r="G27" s="18">
        <v>20</v>
      </c>
      <c r="H27" s="18" t="s">
        <v>29</v>
      </c>
      <c r="I27" s="18" t="s">
        <v>30</v>
      </c>
      <c r="J27" s="23">
        <v>45145</v>
      </c>
      <c r="K27" s="18" t="s">
        <v>804</v>
      </c>
      <c r="L27" s="18"/>
      <c r="M27" s="24"/>
      <c r="N27" s="26"/>
      <c r="O27" s="26"/>
      <c r="P27" s="26"/>
      <c r="Q27" s="26">
        <v>4000</v>
      </c>
      <c r="R27" s="26"/>
      <c r="S27" s="27">
        <v>90000</v>
      </c>
      <c r="T27" s="28">
        <f t="shared" si="0"/>
        <v>360000</v>
      </c>
    </row>
    <row r="28" spans="1:20" s="17" customFormat="1" x14ac:dyDescent="0.25">
      <c r="A28" s="26"/>
      <c r="B28" s="19" t="s">
        <v>476</v>
      </c>
      <c r="C28" s="19" t="s">
        <v>797</v>
      </c>
      <c r="D28" s="20" t="s">
        <v>66</v>
      </c>
      <c r="E28" s="21" t="s">
        <v>807</v>
      </c>
      <c r="F28" s="19">
        <v>5000</v>
      </c>
      <c r="G28" s="18">
        <v>25</v>
      </c>
      <c r="H28" s="18" t="s">
        <v>29</v>
      </c>
      <c r="I28" s="18" t="s">
        <v>30</v>
      </c>
      <c r="J28" s="23">
        <v>45145</v>
      </c>
      <c r="K28" s="18" t="s">
        <v>808</v>
      </c>
      <c r="L28" s="18"/>
      <c r="M28" s="24" t="s">
        <v>809</v>
      </c>
      <c r="N28" s="26"/>
      <c r="O28" s="26"/>
      <c r="P28" s="26"/>
      <c r="Q28" s="26">
        <v>5000</v>
      </c>
      <c r="R28" s="26"/>
      <c r="S28" s="27">
        <v>90000</v>
      </c>
      <c r="T28" s="28">
        <f t="shared" si="0"/>
        <v>450000</v>
      </c>
    </row>
    <row r="29" spans="1:20" s="17" customFormat="1" x14ac:dyDescent="0.25">
      <c r="A29" s="26"/>
      <c r="B29" s="19" t="s">
        <v>476</v>
      </c>
      <c r="C29" s="19" t="s">
        <v>797</v>
      </c>
      <c r="D29" s="20" t="s">
        <v>66</v>
      </c>
      <c r="E29" s="21" t="s">
        <v>810</v>
      </c>
      <c r="F29" s="19">
        <v>8800</v>
      </c>
      <c r="G29" s="18">
        <v>44</v>
      </c>
      <c r="H29" s="18" t="s">
        <v>29</v>
      </c>
      <c r="I29" s="18" t="s">
        <v>30</v>
      </c>
      <c r="J29" s="23">
        <v>45145</v>
      </c>
      <c r="K29" s="18" t="s">
        <v>808</v>
      </c>
      <c r="L29" s="18"/>
      <c r="M29" s="24"/>
      <c r="N29" s="26"/>
      <c r="O29" s="26"/>
      <c r="P29" s="26"/>
      <c r="Q29" s="26">
        <v>8800</v>
      </c>
      <c r="R29" s="26"/>
      <c r="S29" s="27">
        <v>90000</v>
      </c>
      <c r="T29" s="28">
        <f t="shared" si="0"/>
        <v>792000.00000000012</v>
      </c>
    </row>
    <row r="30" spans="1:20" s="17" customFormat="1" x14ac:dyDescent="0.25">
      <c r="A30" s="26"/>
      <c r="B30" s="19" t="s">
        <v>476</v>
      </c>
      <c r="C30" s="19" t="s">
        <v>797</v>
      </c>
      <c r="D30" s="20" t="s">
        <v>66</v>
      </c>
      <c r="E30" s="21" t="s">
        <v>764</v>
      </c>
      <c r="F30" s="19">
        <v>3800</v>
      </c>
      <c r="G30" s="18">
        <v>19</v>
      </c>
      <c r="H30" s="18" t="s">
        <v>29</v>
      </c>
      <c r="I30" s="18" t="s">
        <v>30</v>
      </c>
      <c r="J30" s="23">
        <v>45145</v>
      </c>
      <c r="K30" s="18" t="s">
        <v>808</v>
      </c>
      <c r="L30" s="18"/>
      <c r="M30" s="24"/>
      <c r="N30" s="26"/>
      <c r="O30" s="26"/>
      <c r="P30" s="26"/>
      <c r="Q30" s="26">
        <v>3800</v>
      </c>
      <c r="R30" s="26"/>
      <c r="S30" s="27">
        <v>90000</v>
      </c>
      <c r="T30" s="28">
        <f t="shared" si="0"/>
        <v>342000</v>
      </c>
    </row>
    <row r="31" spans="1:20" s="17" customFormat="1" x14ac:dyDescent="0.25">
      <c r="A31" s="26"/>
      <c r="B31" s="19" t="s">
        <v>811</v>
      </c>
      <c r="C31" s="19" t="s">
        <v>85</v>
      </c>
      <c r="D31" s="20" t="s">
        <v>492</v>
      </c>
      <c r="E31" s="21" t="s">
        <v>715</v>
      </c>
      <c r="F31" s="19">
        <v>20000</v>
      </c>
      <c r="G31" s="18">
        <v>800</v>
      </c>
      <c r="H31" s="18" t="s">
        <v>322</v>
      </c>
      <c r="I31" s="18" t="s">
        <v>30</v>
      </c>
      <c r="J31" s="23">
        <v>45147</v>
      </c>
      <c r="K31" s="18" t="s">
        <v>812</v>
      </c>
      <c r="L31" s="18" t="s">
        <v>813</v>
      </c>
      <c r="M31" s="24" t="s">
        <v>814</v>
      </c>
      <c r="N31" s="26"/>
      <c r="O31" s="26"/>
      <c r="P31" s="26">
        <v>20000</v>
      </c>
      <c r="Q31" s="26"/>
      <c r="R31" s="26"/>
      <c r="S31" s="27">
        <v>249000</v>
      </c>
      <c r="T31" s="28">
        <f t="shared" si="0"/>
        <v>4980000</v>
      </c>
    </row>
    <row r="32" spans="1:20" s="17" customFormat="1" x14ac:dyDescent="0.25">
      <c r="A32" s="26"/>
      <c r="B32" s="19" t="s">
        <v>714</v>
      </c>
      <c r="C32" s="19" t="s">
        <v>815</v>
      </c>
      <c r="D32" s="20" t="s">
        <v>86</v>
      </c>
      <c r="E32" s="21" t="s">
        <v>816</v>
      </c>
      <c r="F32" s="19">
        <v>3000</v>
      </c>
      <c r="G32" s="18">
        <v>120</v>
      </c>
      <c r="H32" s="18" t="s">
        <v>29</v>
      </c>
      <c r="I32" s="18" t="s">
        <v>30</v>
      </c>
      <c r="J32" s="23">
        <v>45147</v>
      </c>
      <c r="K32" s="18" t="s">
        <v>817</v>
      </c>
      <c r="L32" s="18" t="s">
        <v>818</v>
      </c>
      <c r="M32" s="24" t="s">
        <v>819</v>
      </c>
      <c r="N32" s="26"/>
      <c r="O32" s="26">
        <v>3000</v>
      </c>
      <c r="P32" s="26"/>
      <c r="Q32" s="26"/>
      <c r="R32" s="26"/>
      <c r="S32" s="27">
        <v>42000</v>
      </c>
      <c r="T32" s="28">
        <f t="shared" si="0"/>
        <v>126000</v>
      </c>
    </row>
    <row r="33" spans="1:20" s="132" customFormat="1" x14ac:dyDescent="0.25">
      <c r="A33" s="26"/>
      <c r="B33" s="19" t="s">
        <v>820</v>
      </c>
      <c r="C33" s="19" t="s">
        <v>85</v>
      </c>
      <c r="D33" s="20" t="s">
        <v>86</v>
      </c>
      <c r="E33" s="21" t="s">
        <v>389</v>
      </c>
      <c r="F33" s="19">
        <v>20000</v>
      </c>
      <c r="G33" s="18">
        <v>800</v>
      </c>
      <c r="H33" s="18" t="s">
        <v>322</v>
      </c>
      <c r="I33" s="18" t="s">
        <v>30</v>
      </c>
      <c r="J33" s="23">
        <v>45147</v>
      </c>
      <c r="K33" s="18" t="s">
        <v>821</v>
      </c>
      <c r="L33" s="18" t="s">
        <v>822</v>
      </c>
      <c r="M33" s="24" t="s">
        <v>823</v>
      </c>
      <c r="N33" s="26"/>
      <c r="O33" s="26">
        <v>20000</v>
      </c>
      <c r="P33" s="26"/>
      <c r="Q33" s="26"/>
      <c r="R33" s="26"/>
      <c r="S33" s="27">
        <v>42000</v>
      </c>
      <c r="T33" s="28">
        <f t="shared" si="0"/>
        <v>840000</v>
      </c>
    </row>
    <row r="34" spans="1:20" s="17" customFormat="1" x14ac:dyDescent="0.25">
      <c r="A34" s="26"/>
      <c r="B34" s="19" t="s">
        <v>789</v>
      </c>
      <c r="C34" s="19" t="s">
        <v>370</v>
      </c>
      <c r="D34" s="20" t="s">
        <v>371</v>
      </c>
      <c r="E34" s="21" t="s">
        <v>732</v>
      </c>
      <c r="F34" s="19">
        <v>8800</v>
      </c>
      <c r="G34" s="18">
        <v>44</v>
      </c>
      <c r="H34" s="18" t="s">
        <v>373</v>
      </c>
      <c r="I34" s="18" t="s">
        <v>30</v>
      </c>
      <c r="J34" s="23">
        <v>45148</v>
      </c>
      <c r="K34" s="18" t="s">
        <v>824</v>
      </c>
      <c r="L34" s="131" t="s">
        <v>825</v>
      </c>
      <c r="M34" s="24" t="s">
        <v>826</v>
      </c>
      <c r="N34" s="26"/>
      <c r="O34" s="26"/>
      <c r="P34" s="26"/>
      <c r="Q34" s="26">
        <v>8800</v>
      </c>
      <c r="R34" s="26"/>
      <c r="S34" s="27">
        <v>369000</v>
      </c>
      <c r="T34" s="28">
        <f t="shared" si="0"/>
        <v>3247200.0000000005</v>
      </c>
    </row>
    <row r="35" spans="1:20" s="17" customFormat="1" x14ac:dyDescent="0.25">
      <c r="A35" s="26"/>
      <c r="B35" s="19" t="s">
        <v>789</v>
      </c>
      <c r="C35" s="19" t="s">
        <v>370</v>
      </c>
      <c r="D35" s="20" t="s">
        <v>371</v>
      </c>
      <c r="E35" s="21" t="s">
        <v>827</v>
      </c>
      <c r="F35" s="19">
        <v>8800</v>
      </c>
      <c r="G35" s="18">
        <v>44</v>
      </c>
      <c r="H35" s="18" t="s">
        <v>373</v>
      </c>
      <c r="I35" s="18" t="s">
        <v>30</v>
      </c>
      <c r="J35" s="23">
        <v>45148</v>
      </c>
      <c r="K35" s="18" t="s">
        <v>824</v>
      </c>
      <c r="L35" s="131"/>
      <c r="M35" s="24"/>
      <c r="N35" s="26"/>
      <c r="O35" s="26"/>
      <c r="P35" s="26"/>
      <c r="Q35" s="26">
        <v>8800</v>
      </c>
      <c r="R35" s="26"/>
      <c r="S35" s="27">
        <v>369000</v>
      </c>
      <c r="T35" s="28">
        <f t="shared" si="0"/>
        <v>3247200.0000000005</v>
      </c>
    </row>
    <row r="36" spans="1:20" s="17" customFormat="1" x14ac:dyDescent="0.25">
      <c r="A36" s="26"/>
      <c r="B36" s="19" t="s">
        <v>820</v>
      </c>
      <c r="C36" s="19" t="s">
        <v>85</v>
      </c>
      <c r="D36" s="20" t="s">
        <v>492</v>
      </c>
      <c r="E36" s="21" t="s">
        <v>732</v>
      </c>
      <c r="F36" s="19">
        <v>20000</v>
      </c>
      <c r="G36" s="18">
        <v>800</v>
      </c>
      <c r="H36" s="18" t="s">
        <v>322</v>
      </c>
      <c r="I36" s="18" t="s">
        <v>30</v>
      </c>
      <c r="J36" s="23">
        <v>45149</v>
      </c>
      <c r="K36" s="18" t="s">
        <v>828</v>
      </c>
      <c r="L36" s="18" t="s">
        <v>637</v>
      </c>
      <c r="M36" s="24" t="s">
        <v>329</v>
      </c>
      <c r="N36" s="26"/>
      <c r="O36" s="26"/>
      <c r="P36" s="26">
        <v>20000</v>
      </c>
      <c r="Q36" s="26"/>
      <c r="R36" s="26"/>
      <c r="S36" s="27">
        <v>249000</v>
      </c>
      <c r="T36" s="28">
        <f t="shared" si="0"/>
        <v>4980000</v>
      </c>
    </row>
    <row r="37" spans="1:20" s="17" customFormat="1" x14ac:dyDescent="0.25">
      <c r="A37" s="26" t="s">
        <v>280</v>
      </c>
      <c r="B37" s="19" t="s">
        <v>829</v>
      </c>
      <c r="C37" s="19" t="s">
        <v>57</v>
      </c>
      <c r="D37" s="20" t="s">
        <v>186</v>
      </c>
      <c r="E37" s="21" t="s">
        <v>830</v>
      </c>
      <c r="F37" s="19">
        <v>15876</v>
      </c>
      <c r="G37" s="18">
        <v>700</v>
      </c>
      <c r="H37" s="18" t="s">
        <v>188</v>
      </c>
      <c r="I37" s="18" t="s">
        <v>30</v>
      </c>
      <c r="J37" s="23">
        <v>45149</v>
      </c>
      <c r="K37" s="18"/>
      <c r="L37" s="18"/>
      <c r="M37" s="24"/>
      <c r="N37" s="26"/>
      <c r="O37" s="26">
        <v>15876</v>
      </c>
      <c r="P37" s="26"/>
      <c r="Q37" s="26"/>
      <c r="R37" s="26"/>
      <c r="S37" s="27">
        <v>49500</v>
      </c>
      <c r="T37" s="28">
        <f t="shared" si="0"/>
        <v>785862</v>
      </c>
    </row>
    <row r="38" spans="1:20" s="17" customFormat="1" x14ac:dyDescent="0.25">
      <c r="A38" s="26" t="s">
        <v>280</v>
      </c>
      <c r="B38" s="19" t="s">
        <v>829</v>
      </c>
      <c r="C38" s="19" t="s">
        <v>57</v>
      </c>
      <c r="D38" s="20" t="s">
        <v>186</v>
      </c>
      <c r="E38" s="21" t="s">
        <v>831</v>
      </c>
      <c r="F38" s="19">
        <v>15876</v>
      </c>
      <c r="G38" s="18">
        <v>700</v>
      </c>
      <c r="H38" s="18" t="s">
        <v>188</v>
      </c>
      <c r="I38" s="18" t="s">
        <v>30</v>
      </c>
      <c r="J38" s="23">
        <v>45149</v>
      </c>
      <c r="K38" s="18"/>
      <c r="L38" s="18"/>
      <c r="M38" s="24"/>
      <c r="N38" s="26"/>
      <c r="O38" s="26">
        <v>15876</v>
      </c>
      <c r="P38" s="26"/>
      <c r="Q38" s="26"/>
      <c r="R38" s="26"/>
      <c r="S38" s="27">
        <v>49500</v>
      </c>
      <c r="T38" s="28">
        <f t="shared" si="0"/>
        <v>785862</v>
      </c>
    </row>
    <row r="39" spans="1:20" s="17" customFormat="1" ht="13.5" customHeight="1" x14ac:dyDescent="0.25">
      <c r="A39" s="25"/>
      <c r="B39" s="19" t="s">
        <v>832</v>
      </c>
      <c r="C39" s="19" t="s">
        <v>633</v>
      </c>
      <c r="D39" s="20" t="s">
        <v>634</v>
      </c>
      <c r="E39" s="21" t="s">
        <v>831</v>
      </c>
      <c r="F39" s="19">
        <v>8800</v>
      </c>
      <c r="G39" s="18">
        <v>44</v>
      </c>
      <c r="H39" s="18" t="s">
        <v>833</v>
      </c>
      <c r="I39" s="18" t="s">
        <v>30</v>
      </c>
      <c r="J39" s="23">
        <v>45152</v>
      </c>
      <c r="K39" s="19" t="s">
        <v>834</v>
      </c>
      <c r="L39" s="18" t="s">
        <v>835</v>
      </c>
      <c r="M39" s="24" t="s">
        <v>836</v>
      </c>
      <c r="N39" s="26"/>
      <c r="O39" s="26"/>
      <c r="P39" s="26"/>
      <c r="Q39" s="19">
        <v>8800</v>
      </c>
      <c r="R39" s="26"/>
      <c r="S39" s="27">
        <v>110000</v>
      </c>
      <c r="T39" s="28">
        <f t="shared" si="0"/>
        <v>968000.00000000012</v>
      </c>
    </row>
    <row r="40" spans="1:20" s="17" customFormat="1" ht="13.5" customHeight="1" x14ac:dyDescent="0.25">
      <c r="A40" s="25"/>
      <c r="B40" s="19" t="s">
        <v>832</v>
      </c>
      <c r="C40" s="19" t="s">
        <v>633</v>
      </c>
      <c r="D40" s="20" t="s">
        <v>634</v>
      </c>
      <c r="E40" s="21" t="s">
        <v>816</v>
      </c>
      <c r="F40" s="19">
        <v>8800</v>
      </c>
      <c r="G40" s="18">
        <v>44</v>
      </c>
      <c r="H40" s="18" t="s">
        <v>833</v>
      </c>
      <c r="I40" s="18" t="s">
        <v>30</v>
      </c>
      <c r="J40" s="23">
        <v>45152</v>
      </c>
      <c r="K40" s="19" t="s">
        <v>834</v>
      </c>
      <c r="L40" s="18"/>
      <c r="M40" s="24"/>
      <c r="N40" s="26"/>
      <c r="O40" s="26"/>
      <c r="P40" s="26"/>
      <c r="Q40" s="19">
        <v>8800</v>
      </c>
      <c r="R40" s="26"/>
      <c r="S40" s="27">
        <v>110000</v>
      </c>
      <c r="T40" s="28">
        <f t="shared" si="0"/>
        <v>968000.00000000012</v>
      </c>
    </row>
    <row r="41" spans="1:20" s="17" customFormat="1" ht="13.5" customHeight="1" x14ac:dyDescent="0.25">
      <c r="A41" s="25"/>
      <c r="B41" s="19" t="s">
        <v>832</v>
      </c>
      <c r="C41" s="19" t="s">
        <v>633</v>
      </c>
      <c r="D41" s="20" t="s">
        <v>634</v>
      </c>
      <c r="E41" s="21" t="s">
        <v>837</v>
      </c>
      <c r="F41" s="19">
        <v>8800</v>
      </c>
      <c r="G41" s="18">
        <v>44</v>
      </c>
      <c r="H41" s="18" t="s">
        <v>833</v>
      </c>
      <c r="I41" s="18" t="s">
        <v>30</v>
      </c>
      <c r="J41" s="23">
        <v>45152</v>
      </c>
      <c r="K41" s="19" t="s">
        <v>699</v>
      </c>
      <c r="L41" s="18" t="s">
        <v>838</v>
      </c>
      <c r="M41" s="24" t="s">
        <v>701</v>
      </c>
      <c r="N41" s="26"/>
      <c r="O41" s="26"/>
      <c r="P41" s="26"/>
      <c r="Q41" s="19">
        <v>8800</v>
      </c>
      <c r="R41" s="26"/>
      <c r="S41" s="27">
        <v>110000</v>
      </c>
      <c r="T41" s="28">
        <f t="shared" si="0"/>
        <v>968000.00000000012</v>
      </c>
    </row>
    <row r="42" spans="1:20" s="17" customFormat="1" ht="13.5" customHeight="1" x14ac:dyDescent="0.25">
      <c r="A42" s="25"/>
      <c r="B42" s="19" t="s">
        <v>832</v>
      </c>
      <c r="C42" s="19" t="s">
        <v>633</v>
      </c>
      <c r="D42" s="20" t="s">
        <v>634</v>
      </c>
      <c r="E42" s="21" t="s">
        <v>703</v>
      </c>
      <c r="F42" s="19">
        <v>8800</v>
      </c>
      <c r="G42" s="18">
        <v>44</v>
      </c>
      <c r="H42" s="18" t="s">
        <v>833</v>
      </c>
      <c r="I42" s="18" t="s">
        <v>30</v>
      </c>
      <c r="J42" s="23">
        <v>45152</v>
      </c>
      <c r="K42" s="19" t="s">
        <v>699</v>
      </c>
      <c r="L42" s="18"/>
      <c r="M42" s="24"/>
      <c r="N42" s="26"/>
      <c r="O42" s="26"/>
      <c r="P42" s="26"/>
      <c r="Q42" s="19">
        <v>8800</v>
      </c>
      <c r="R42" s="26"/>
      <c r="S42" s="27">
        <v>110000</v>
      </c>
      <c r="T42" s="28">
        <f t="shared" si="0"/>
        <v>968000.00000000012</v>
      </c>
    </row>
    <row r="43" spans="1:20" s="17" customFormat="1" ht="13.5" customHeight="1" x14ac:dyDescent="0.25">
      <c r="A43" s="25"/>
      <c r="B43" s="19" t="s">
        <v>839</v>
      </c>
      <c r="C43" s="19" t="s">
        <v>633</v>
      </c>
      <c r="D43" s="20" t="s">
        <v>634</v>
      </c>
      <c r="E43" s="21" t="s">
        <v>762</v>
      </c>
      <c r="F43" s="19">
        <v>8800</v>
      </c>
      <c r="G43" s="18">
        <v>44</v>
      </c>
      <c r="H43" s="18" t="s">
        <v>322</v>
      </c>
      <c r="I43" s="18" t="s">
        <v>30</v>
      </c>
      <c r="J43" s="23">
        <v>45153</v>
      </c>
      <c r="K43" s="18" t="s">
        <v>724</v>
      </c>
      <c r="L43" s="18" t="s">
        <v>725</v>
      </c>
      <c r="M43" s="24" t="s">
        <v>726</v>
      </c>
      <c r="N43" s="26"/>
      <c r="O43" s="26"/>
      <c r="P43" s="26"/>
      <c r="Q43" s="19">
        <v>8800</v>
      </c>
      <c r="R43" s="26"/>
      <c r="S43" s="27">
        <v>110000</v>
      </c>
      <c r="T43" s="28">
        <f t="shared" si="0"/>
        <v>968000.00000000012</v>
      </c>
    </row>
    <row r="44" spans="1:20" s="17" customFormat="1" ht="13.5" customHeight="1" x14ac:dyDescent="0.25">
      <c r="A44" s="25"/>
      <c r="B44" s="19" t="s">
        <v>839</v>
      </c>
      <c r="C44" s="19" t="s">
        <v>633</v>
      </c>
      <c r="D44" s="20" t="s">
        <v>634</v>
      </c>
      <c r="E44" s="21" t="s">
        <v>715</v>
      </c>
      <c r="F44" s="19">
        <v>8800</v>
      </c>
      <c r="G44" s="18">
        <v>44</v>
      </c>
      <c r="H44" s="18" t="s">
        <v>322</v>
      </c>
      <c r="I44" s="18" t="s">
        <v>30</v>
      </c>
      <c r="J44" s="23">
        <v>45153</v>
      </c>
      <c r="K44" s="18" t="s">
        <v>724</v>
      </c>
      <c r="L44" s="18"/>
      <c r="M44" s="24"/>
      <c r="N44" s="26"/>
      <c r="O44" s="26"/>
      <c r="P44" s="26"/>
      <c r="Q44" s="19">
        <v>8800</v>
      </c>
      <c r="R44" s="26"/>
      <c r="S44" s="27">
        <v>110000</v>
      </c>
      <c r="T44" s="28">
        <f t="shared" si="0"/>
        <v>968000.00000000012</v>
      </c>
    </row>
    <row r="45" spans="1:20" s="17" customFormat="1" x14ac:dyDescent="0.25">
      <c r="A45" s="26"/>
      <c r="B45" s="19" t="s">
        <v>840</v>
      </c>
      <c r="C45" s="19" t="s">
        <v>85</v>
      </c>
      <c r="D45" s="20" t="s">
        <v>492</v>
      </c>
      <c r="E45" s="19" t="s">
        <v>841</v>
      </c>
      <c r="F45" s="19">
        <v>20000</v>
      </c>
      <c r="G45" s="18">
        <v>800</v>
      </c>
      <c r="H45" s="18" t="s">
        <v>129</v>
      </c>
      <c r="I45" s="18" t="s">
        <v>30</v>
      </c>
      <c r="J45" s="23">
        <v>45153</v>
      </c>
      <c r="K45" s="18" t="s">
        <v>454</v>
      </c>
      <c r="L45" s="18" t="s">
        <v>455</v>
      </c>
      <c r="M45" s="24" t="s">
        <v>456</v>
      </c>
      <c r="N45" s="26"/>
      <c r="O45" s="26"/>
      <c r="P45" s="19">
        <v>20000</v>
      </c>
      <c r="Q45" s="26"/>
      <c r="R45" s="26"/>
      <c r="S45" s="27">
        <v>249000</v>
      </c>
      <c r="T45" s="28">
        <f t="shared" si="0"/>
        <v>4980000</v>
      </c>
    </row>
    <row r="46" spans="1:20" s="17" customFormat="1" x14ac:dyDescent="0.25">
      <c r="A46" s="26"/>
      <c r="B46" s="19" t="s">
        <v>840</v>
      </c>
      <c r="C46" s="19" t="s">
        <v>85</v>
      </c>
      <c r="D46" s="20" t="s">
        <v>86</v>
      </c>
      <c r="E46" s="21" t="s">
        <v>389</v>
      </c>
      <c r="F46" s="19">
        <v>20000</v>
      </c>
      <c r="G46" s="18">
        <v>800</v>
      </c>
      <c r="H46" s="18" t="s">
        <v>129</v>
      </c>
      <c r="I46" s="18" t="s">
        <v>30</v>
      </c>
      <c r="J46" s="23">
        <v>45153</v>
      </c>
      <c r="K46" s="23" t="s">
        <v>760</v>
      </c>
      <c r="L46" s="23" t="s">
        <v>761</v>
      </c>
      <c r="M46" s="30" t="s">
        <v>43</v>
      </c>
      <c r="N46" s="26"/>
      <c r="O46" s="19">
        <v>20000</v>
      </c>
      <c r="P46" s="26"/>
      <c r="Q46" s="26"/>
      <c r="R46" s="26"/>
      <c r="S46" s="27">
        <v>42000</v>
      </c>
      <c r="T46" s="28">
        <f t="shared" si="0"/>
        <v>840000</v>
      </c>
    </row>
    <row r="47" spans="1:20" s="17" customFormat="1" x14ac:dyDescent="0.25">
      <c r="A47" s="26"/>
      <c r="B47" s="19" t="s">
        <v>842</v>
      </c>
      <c r="C47" s="19" t="s">
        <v>679</v>
      </c>
      <c r="D47" s="20" t="s">
        <v>680</v>
      </c>
      <c r="E47" s="21" t="s">
        <v>703</v>
      </c>
      <c r="F47" s="19">
        <v>3200</v>
      </c>
      <c r="G47" s="18">
        <v>16</v>
      </c>
      <c r="H47" s="18" t="s">
        <v>29</v>
      </c>
      <c r="I47" s="18" t="s">
        <v>30</v>
      </c>
      <c r="J47" s="23">
        <v>45153</v>
      </c>
      <c r="K47" s="18" t="s">
        <v>843</v>
      </c>
      <c r="L47" s="18" t="s">
        <v>844</v>
      </c>
      <c r="M47" s="24" t="s">
        <v>845</v>
      </c>
      <c r="N47" s="26"/>
      <c r="O47" s="26"/>
      <c r="P47" s="26"/>
      <c r="Q47" s="19">
        <v>3200</v>
      </c>
      <c r="R47" s="26"/>
      <c r="S47" s="27">
        <v>110000</v>
      </c>
      <c r="T47" s="28">
        <f t="shared" si="0"/>
        <v>352000</v>
      </c>
    </row>
    <row r="48" spans="1:20" s="17" customFormat="1" x14ac:dyDescent="0.25">
      <c r="A48" s="26"/>
      <c r="B48" s="19" t="s">
        <v>212</v>
      </c>
      <c r="C48" s="19" t="s">
        <v>846</v>
      </c>
      <c r="D48" s="20" t="s">
        <v>66</v>
      </c>
      <c r="E48" s="21" t="s">
        <v>764</v>
      </c>
      <c r="F48" s="19">
        <v>5200</v>
      </c>
      <c r="G48" s="18">
        <v>26</v>
      </c>
      <c r="H48" s="18" t="s">
        <v>29</v>
      </c>
      <c r="I48" s="18" t="s">
        <v>30</v>
      </c>
      <c r="J48" s="23">
        <v>45154</v>
      </c>
      <c r="K48" s="18" t="s">
        <v>847</v>
      </c>
      <c r="L48" s="18"/>
      <c r="M48" s="24" t="s">
        <v>848</v>
      </c>
      <c r="N48" s="26"/>
      <c r="O48" s="26"/>
      <c r="P48" s="26"/>
      <c r="Q48" s="19">
        <v>5200</v>
      </c>
      <c r="R48" s="26"/>
      <c r="S48" s="27">
        <v>90000</v>
      </c>
      <c r="T48" s="28">
        <f t="shared" si="0"/>
        <v>468000</v>
      </c>
    </row>
    <row r="49" spans="1:20" s="17" customFormat="1" x14ac:dyDescent="0.25">
      <c r="A49" s="26"/>
      <c r="B49" s="19" t="s">
        <v>212</v>
      </c>
      <c r="C49" s="19" t="s">
        <v>846</v>
      </c>
      <c r="D49" s="20" t="s">
        <v>66</v>
      </c>
      <c r="E49" s="21" t="s">
        <v>790</v>
      </c>
      <c r="F49" s="19">
        <v>7000</v>
      </c>
      <c r="G49" s="18">
        <v>35</v>
      </c>
      <c r="H49" s="18" t="s">
        <v>29</v>
      </c>
      <c r="I49" s="18" t="s">
        <v>30</v>
      </c>
      <c r="J49" s="23">
        <v>45154</v>
      </c>
      <c r="K49" s="18"/>
      <c r="L49" s="18"/>
      <c r="M49" s="24"/>
      <c r="N49" s="26"/>
      <c r="O49" s="26"/>
      <c r="P49" s="26"/>
      <c r="Q49" s="19">
        <v>7000</v>
      </c>
      <c r="R49" s="26"/>
      <c r="S49" s="27">
        <v>90000</v>
      </c>
      <c r="T49" s="28">
        <f t="shared" si="0"/>
        <v>630000</v>
      </c>
    </row>
    <row r="50" spans="1:20" s="17" customFormat="1" x14ac:dyDescent="0.25">
      <c r="A50" s="26"/>
      <c r="B50" s="19" t="s">
        <v>212</v>
      </c>
      <c r="C50" s="19" t="s">
        <v>846</v>
      </c>
      <c r="D50" s="20" t="s">
        <v>66</v>
      </c>
      <c r="E50" s="21" t="s">
        <v>849</v>
      </c>
      <c r="F50" s="19">
        <v>5400</v>
      </c>
      <c r="G50" s="18">
        <v>27</v>
      </c>
      <c r="H50" s="18" t="s">
        <v>29</v>
      </c>
      <c r="I50" s="18" t="s">
        <v>30</v>
      </c>
      <c r="J50" s="23">
        <v>45154</v>
      </c>
      <c r="K50" s="18"/>
      <c r="L50" s="18"/>
      <c r="M50" s="24"/>
      <c r="N50" s="26"/>
      <c r="O50" s="26"/>
      <c r="P50" s="26"/>
      <c r="Q50" s="19">
        <v>5400</v>
      </c>
      <c r="R50" s="26"/>
      <c r="S50" s="27">
        <v>90000</v>
      </c>
      <c r="T50" s="28">
        <f t="shared" si="0"/>
        <v>486000.00000000006</v>
      </c>
    </row>
    <row r="51" spans="1:20" s="17" customFormat="1" x14ac:dyDescent="0.25">
      <c r="A51" s="26"/>
      <c r="B51" s="19" t="s">
        <v>840</v>
      </c>
      <c r="C51" s="19" t="s">
        <v>85</v>
      </c>
      <c r="D51" s="20" t="s">
        <v>86</v>
      </c>
      <c r="E51" s="21" t="s">
        <v>389</v>
      </c>
      <c r="F51" s="19">
        <v>20000</v>
      </c>
      <c r="G51" s="18">
        <v>800</v>
      </c>
      <c r="H51" s="18" t="s">
        <v>129</v>
      </c>
      <c r="I51" s="18" t="s">
        <v>30</v>
      </c>
      <c r="J51" s="23">
        <v>45154</v>
      </c>
      <c r="K51" s="18" t="s">
        <v>850</v>
      </c>
      <c r="L51" s="18" t="s">
        <v>851</v>
      </c>
      <c r="M51" s="24" t="s">
        <v>852</v>
      </c>
      <c r="N51" s="26"/>
      <c r="O51" s="19">
        <v>20000</v>
      </c>
      <c r="P51" s="26"/>
      <c r="Q51" s="26"/>
      <c r="R51" s="26"/>
      <c r="S51" s="27">
        <v>42000</v>
      </c>
      <c r="T51" s="28">
        <f t="shared" si="0"/>
        <v>840000</v>
      </c>
    </row>
    <row r="52" spans="1:20" s="17" customFormat="1" x14ac:dyDescent="0.25">
      <c r="A52" s="26"/>
      <c r="B52" s="19" t="s">
        <v>853</v>
      </c>
      <c r="C52" s="19" t="s">
        <v>57</v>
      </c>
      <c r="D52" s="20" t="s">
        <v>191</v>
      </c>
      <c r="E52" s="33" t="s">
        <v>816</v>
      </c>
      <c r="F52" s="19">
        <v>800</v>
      </c>
      <c r="G52" s="18">
        <v>32</v>
      </c>
      <c r="H52" s="18" t="s">
        <v>95</v>
      </c>
      <c r="I52" s="18" t="s">
        <v>30</v>
      </c>
      <c r="J52" s="23">
        <v>45155</v>
      </c>
      <c r="K52" s="18" t="s">
        <v>854</v>
      </c>
      <c r="L52" s="18" t="s">
        <v>547</v>
      </c>
      <c r="M52" s="24" t="s">
        <v>855</v>
      </c>
      <c r="N52" s="26"/>
      <c r="O52" s="26"/>
      <c r="P52" s="26"/>
      <c r="Q52" s="19">
        <v>800</v>
      </c>
      <c r="R52" s="26"/>
      <c r="S52" s="27">
        <v>165000</v>
      </c>
      <c r="T52" s="28">
        <f t="shared" si="0"/>
        <v>132000</v>
      </c>
    </row>
    <row r="53" spans="1:20" s="17" customFormat="1" ht="17.25" customHeight="1" x14ac:dyDescent="0.25">
      <c r="A53" s="25"/>
      <c r="B53" s="19" t="s">
        <v>853</v>
      </c>
      <c r="C53" s="19" t="s">
        <v>57</v>
      </c>
      <c r="D53" s="20" t="s">
        <v>282</v>
      </c>
      <c r="E53" s="33" t="s">
        <v>802</v>
      </c>
      <c r="F53" s="19">
        <v>1900</v>
      </c>
      <c r="G53" s="18">
        <v>10</v>
      </c>
      <c r="H53" s="18" t="s">
        <v>95</v>
      </c>
      <c r="I53" s="18" t="s">
        <v>30</v>
      </c>
      <c r="J53" s="23">
        <v>45155</v>
      </c>
      <c r="K53" s="19" t="s">
        <v>854</v>
      </c>
      <c r="L53" s="18"/>
      <c r="M53" s="24"/>
      <c r="N53" s="26"/>
      <c r="O53" s="26"/>
      <c r="P53" s="26"/>
      <c r="Q53" s="19">
        <v>1900</v>
      </c>
      <c r="R53" s="26"/>
      <c r="S53" s="27">
        <v>115000</v>
      </c>
      <c r="T53" s="28">
        <f t="shared" si="0"/>
        <v>218500</v>
      </c>
    </row>
    <row r="54" spans="1:20" s="17" customFormat="1" ht="17.25" customHeight="1" x14ac:dyDescent="0.25">
      <c r="A54" s="25"/>
      <c r="B54" s="19" t="s">
        <v>853</v>
      </c>
      <c r="C54" s="19" t="s">
        <v>57</v>
      </c>
      <c r="D54" s="20" t="s">
        <v>282</v>
      </c>
      <c r="E54" s="33" t="s">
        <v>831</v>
      </c>
      <c r="F54" s="19">
        <v>8360</v>
      </c>
      <c r="G54" s="18">
        <v>44</v>
      </c>
      <c r="H54" s="18" t="s">
        <v>95</v>
      </c>
      <c r="I54" s="18" t="s">
        <v>30</v>
      </c>
      <c r="J54" s="23">
        <v>45155</v>
      </c>
      <c r="K54" s="19" t="s">
        <v>854</v>
      </c>
      <c r="L54" s="18"/>
      <c r="M54" s="24"/>
      <c r="N54" s="26"/>
      <c r="O54" s="26"/>
      <c r="P54" s="26"/>
      <c r="Q54" s="19">
        <v>8360</v>
      </c>
      <c r="R54" s="26"/>
      <c r="S54" s="27">
        <v>115000</v>
      </c>
      <c r="T54" s="28">
        <f t="shared" si="0"/>
        <v>961399.99999999988</v>
      </c>
    </row>
    <row r="55" spans="1:20" s="17" customFormat="1" ht="17.25" customHeight="1" x14ac:dyDescent="0.25">
      <c r="A55" s="25"/>
      <c r="B55" s="19" t="s">
        <v>853</v>
      </c>
      <c r="C55" s="19" t="s">
        <v>57</v>
      </c>
      <c r="D55" s="20" t="s">
        <v>282</v>
      </c>
      <c r="E55" s="33" t="s">
        <v>816</v>
      </c>
      <c r="F55" s="19">
        <v>4940</v>
      </c>
      <c r="G55" s="18">
        <v>26</v>
      </c>
      <c r="H55" s="18" t="s">
        <v>95</v>
      </c>
      <c r="I55" s="18" t="s">
        <v>30</v>
      </c>
      <c r="J55" s="23">
        <v>45155</v>
      </c>
      <c r="K55" s="19" t="s">
        <v>854</v>
      </c>
      <c r="L55" s="18"/>
      <c r="M55" s="24"/>
      <c r="N55" s="26"/>
      <c r="O55" s="26"/>
      <c r="P55" s="26"/>
      <c r="Q55" s="19">
        <v>4940</v>
      </c>
      <c r="R55" s="26"/>
      <c r="S55" s="27">
        <v>115000</v>
      </c>
      <c r="T55" s="28">
        <f t="shared" si="0"/>
        <v>568100</v>
      </c>
    </row>
    <row r="56" spans="1:20" s="17" customFormat="1" x14ac:dyDescent="0.25">
      <c r="A56" s="26" t="s">
        <v>280</v>
      </c>
      <c r="B56" s="19" t="s">
        <v>853</v>
      </c>
      <c r="C56" s="19" t="s">
        <v>57</v>
      </c>
      <c r="D56" s="20" t="s">
        <v>191</v>
      </c>
      <c r="E56" s="33" t="s">
        <v>816</v>
      </c>
      <c r="F56" s="19">
        <v>7200</v>
      </c>
      <c r="G56" s="18">
        <v>288</v>
      </c>
      <c r="H56" s="18" t="s">
        <v>95</v>
      </c>
      <c r="I56" s="18" t="s">
        <v>30</v>
      </c>
      <c r="J56" s="23">
        <v>45156</v>
      </c>
      <c r="K56" s="18"/>
      <c r="L56" s="18"/>
      <c r="M56" s="24"/>
      <c r="N56" s="26"/>
      <c r="O56" s="26"/>
      <c r="P56" s="26"/>
      <c r="Q56" s="19">
        <v>7200</v>
      </c>
      <c r="R56" s="26"/>
      <c r="S56" s="27">
        <v>165000</v>
      </c>
      <c r="T56" s="28">
        <f t="shared" si="0"/>
        <v>1188000</v>
      </c>
    </row>
    <row r="57" spans="1:20" s="17" customFormat="1" x14ac:dyDescent="0.25">
      <c r="A57" s="26" t="s">
        <v>280</v>
      </c>
      <c r="B57" s="19" t="s">
        <v>856</v>
      </c>
      <c r="C57" s="19" t="s">
        <v>57</v>
      </c>
      <c r="D57" s="20" t="s">
        <v>857</v>
      </c>
      <c r="E57" s="33" t="s">
        <v>858</v>
      </c>
      <c r="F57" s="19">
        <v>5920</v>
      </c>
      <c r="G57" s="18">
        <v>32</v>
      </c>
      <c r="H57" s="18" t="s">
        <v>95</v>
      </c>
      <c r="I57" s="18" t="s">
        <v>30</v>
      </c>
      <c r="J57" s="23">
        <v>45156</v>
      </c>
      <c r="K57" s="18"/>
      <c r="L57" s="18"/>
      <c r="M57" s="24"/>
      <c r="N57" s="26"/>
      <c r="O57" s="26"/>
      <c r="P57" s="26"/>
      <c r="Q57" s="19">
        <v>5920</v>
      </c>
      <c r="R57" s="26"/>
      <c r="S57" s="27">
        <v>355000</v>
      </c>
      <c r="T57" s="28">
        <f t="shared" si="0"/>
        <v>2101600</v>
      </c>
    </row>
    <row r="58" spans="1:20" s="17" customFormat="1" ht="17.25" customHeight="1" x14ac:dyDescent="0.25">
      <c r="A58" s="25" t="s">
        <v>280</v>
      </c>
      <c r="B58" s="19" t="s">
        <v>853</v>
      </c>
      <c r="C58" s="19" t="s">
        <v>57</v>
      </c>
      <c r="D58" s="20" t="s">
        <v>282</v>
      </c>
      <c r="E58" s="33" t="s">
        <v>816</v>
      </c>
      <c r="F58" s="19">
        <v>3420</v>
      </c>
      <c r="G58" s="18">
        <v>18</v>
      </c>
      <c r="H58" s="18" t="s">
        <v>95</v>
      </c>
      <c r="I58" s="18" t="s">
        <v>30</v>
      </c>
      <c r="J58" s="23">
        <v>45156</v>
      </c>
      <c r="K58" s="19"/>
      <c r="L58" s="18"/>
      <c r="M58" s="24"/>
      <c r="N58" s="26"/>
      <c r="O58" s="26"/>
      <c r="P58" s="26"/>
      <c r="Q58" s="19">
        <v>3420</v>
      </c>
      <c r="R58" s="26"/>
      <c r="S58" s="27">
        <v>115000</v>
      </c>
      <c r="T58" s="28">
        <f t="shared" si="0"/>
        <v>393300</v>
      </c>
    </row>
    <row r="59" spans="1:20" s="17" customFormat="1" ht="17.25" customHeight="1" x14ac:dyDescent="0.25">
      <c r="A59" s="25" t="s">
        <v>280</v>
      </c>
      <c r="B59" s="19" t="s">
        <v>853</v>
      </c>
      <c r="C59" s="19" t="s">
        <v>57</v>
      </c>
      <c r="D59" s="20" t="s">
        <v>282</v>
      </c>
      <c r="E59" s="33" t="s">
        <v>697</v>
      </c>
      <c r="F59" s="19">
        <v>8360</v>
      </c>
      <c r="G59" s="18">
        <v>44</v>
      </c>
      <c r="H59" s="18" t="s">
        <v>95</v>
      </c>
      <c r="I59" s="18" t="s">
        <v>30</v>
      </c>
      <c r="J59" s="23">
        <v>45156</v>
      </c>
      <c r="K59" s="19"/>
      <c r="L59" s="18"/>
      <c r="M59" s="24"/>
      <c r="N59" s="26"/>
      <c r="O59" s="26"/>
      <c r="P59" s="26"/>
      <c r="Q59" s="19">
        <v>8360</v>
      </c>
      <c r="R59" s="26"/>
      <c r="S59" s="27">
        <v>115000</v>
      </c>
      <c r="T59" s="28">
        <f t="shared" si="0"/>
        <v>961399.99999999988</v>
      </c>
    </row>
    <row r="60" spans="1:20" s="17" customFormat="1" ht="17.25" customHeight="1" x14ac:dyDescent="0.25">
      <c r="A60" s="25" t="s">
        <v>280</v>
      </c>
      <c r="B60" s="19" t="s">
        <v>853</v>
      </c>
      <c r="C60" s="19" t="s">
        <v>57</v>
      </c>
      <c r="D60" s="20" t="s">
        <v>282</v>
      </c>
      <c r="E60" s="33" t="s">
        <v>837</v>
      </c>
      <c r="F60" s="19">
        <v>3420</v>
      </c>
      <c r="G60" s="18">
        <v>18</v>
      </c>
      <c r="H60" s="18" t="s">
        <v>95</v>
      </c>
      <c r="I60" s="18" t="s">
        <v>30</v>
      </c>
      <c r="J60" s="23">
        <v>45156</v>
      </c>
      <c r="K60" s="19"/>
      <c r="L60" s="18"/>
      <c r="M60" s="24"/>
      <c r="N60" s="26"/>
      <c r="O60" s="26"/>
      <c r="P60" s="26"/>
      <c r="Q60" s="19">
        <v>3420</v>
      </c>
      <c r="R60" s="26"/>
      <c r="S60" s="27">
        <v>115000</v>
      </c>
      <c r="T60" s="28">
        <f t="shared" si="0"/>
        <v>393300</v>
      </c>
    </row>
    <row r="61" spans="1:20" s="17" customFormat="1" x14ac:dyDescent="0.25">
      <c r="A61" s="26"/>
      <c r="B61" s="19" t="s">
        <v>212</v>
      </c>
      <c r="C61" s="19" t="s">
        <v>846</v>
      </c>
      <c r="D61" s="20" t="s">
        <v>66</v>
      </c>
      <c r="E61" s="21" t="s">
        <v>859</v>
      </c>
      <c r="F61" s="19">
        <v>8800</v>
      </c>
      <c r="G61" s="18">
        <v>44</v>
      </c>
      <c r="H61" s="18" t="s">
        <v>29</v>
      </c>
      <c r="I61" s="18" t="s">
        <v>30</v>
      </c>
      <c r="J61" s="23">
        <v>45156</v>
      </c>
      <c r="K61" s="18" t="s">
        <v>860</v>
      </c>
      <c r="L61" s="131" t="s">
        <v>861</v>
      </c>
      <c r="M61" s="24" t="s">
        <v>862</v>
      </c>
      <c r="N61" s="26"/>
      <c r="O61" s="26"/>
      <c r="P61" s="26"/>
      <c r="Q61" s="19">
        <v>8800</v>
      </c>
      <c r="R61" s="26"/>
      <c r="S61" s="27">
        <v>90000</v>
      </c>
      <c r="T61" s="28">
        <f t="shared" si="0"/>
        <v>792000.00000000012</v>
      </c>
    </row>
    <row r="62" spans="1:20" s="17" customFormat="1" x14ac:dyDescent="0.25">
      <c r="A62" s="26"/>
      <c r="B62" s="19" t="s">
        <v>212</v>
      </c>
      <c r="C62" s="19" t="s">
        <v>846</v>
      </c>
      <c r="D62" s="20" t="s">
        <v>66</v>
      </c>
      <c r="E62" s="21" t="s">
        <v>849</v>
      </c>
      <c r="F62" s="19">
        <v>3200</v>
      </c>
      <c r="G62" s="18">
        <v>16</v>
      </c>
      <c r="H62" s="18" t="s">
        <v>29</v>
      </c>
      <c r="I62" s="18" t="s">
        <v>30</v>
      </c>
      <c r="J62" s="23">
        <v>45156</v>
      </c>
      <c r="K62" s="18"/>
      <c r="L62" s="18"/>
      <c r="M62" s="24"/>
      <c r="N62" s="26"/>
      <c r="O62" s="26"/>
      <c r="P62" s="26"/>
      <c r="Q62" s="19">
        <v>3200</v>
      </c>
      <c r="R62" s="26"/>
      <c r="S62" s="27">
        <v>90000</v>
      </c>
      <c r="T62" s="28">
        <f t="shared" si="0"/>
        <v>288000</v>
      </c>
    </row>
    <row r="63" spans="1:20" s="17" customFormat="1" x14ac:dyDescent="0.25">
      <c r="A63" s="26"/>
      <c r="B63" s="19" t="s">
        <v>212</v>
      </c>
      <c r="C63" s="19" t="s">
        <v>846</v>
      </c>
      <c r="D63" s="20" t="s">
        <v>66</v>
      </c>
      <c r="E63" s="21" t="s">
        <v>709</v>
      </c>
      <c r="F63" s="19">
        <v>5600</v>
      </c>
      <c r="G63" s="18">
        <v>28</v>
      </c>
      <c r="H63" s="18" t="s">
        <v>29</v>
      </c>
      <c r="I63" s="18" t="s">
        <v>30</v>
      </c>
      <c r="J63" s="23">
        <v>45156</v>
      </c>
      <c r="K63" s="18"/>
      <c r="L63" s="18"/>
      <c r="M63" s="24"/>
      <c r="N63" s="26"/>
      <c r="O63" s="26"/>
      <c r="P63" s="26"/>
      <c r="Q63" s="19">
        <v>5600</v>
      </c>
      <c r="R63" s="26"/>
      <c r="S63" s="27">
        <v>90000</v>
      </c>
      <c r="T63" s="28">
        <f t="shared" si="0"/>
        <v>503999.99999999994</v>
      </c>
    </row>
    <row r="64" spans="1:20" s="17" customFormat="1" x14ac:dyDescent="0.25">
      <c r="A64" s="26"/>
      <c r="B64" s="19" t="s">
        <v>840</v>
      </c>
      <c r="C64" s="19" t="s">
        <v>85</v>
      </c>
      <c r="D64" s="20" t="s">
        <v>492</v>
      </c>
      <c r="E64" s="21" t="s">
        <v>841</v>
      </c>
      <c r="F64" s="19">
        <v>20000</v>
      </c>
      <c r="G64" s="18">
        <v>800</v>
      </c>
      <c r="H64" s="18" t="s">
        <v>129</v>
      </c>
      <c r="I64" s="18" t="s">
        <v>30</v>
      </c>
      <c r="J64" s="23">
        <v>45159</v>
      </c>
      <c r="K64" s="18" t="s">
        <v>81</v>
      </c>
      <c r="L64" s="18" t="s">
        <v>734</v>
      </c>
      <c r="M64" s="24" t="s">
        <v>735</v>
      </c>
      <c r="N64" s="26"/>
      <c r="O64" s="26"/>
      <c r="P64" s="19">
        <v>20000</v>
      </c>
      <c r="Q64" s="26"/>
      <c r="R64" s="26"/>
      <c r="S64" s="27">
        <v>249000</v>
      </c>
      <c r="T64" s="28">
        <f t="shared" si="0"/>
        <v>4980000</v>
      </c>
    </row>
    <row r="65" spans="1:20" s="132" customFormat="1" ht="14.25" customHeight="1" x14ac:dyDescent="0.25">
      <c r="A65" s="25"/>
      <c r="B65" s="19" t="s">
        <v>212</v>
      </c>
      <c r="C65" s="19" t="s">
        <v>863</v>
      </c>
      <c r="D65" s="20" t="s">
        <v>864</v>
      </c>
      <c r="E65" s="21" t="s">
        <v>865</v>
      </c>
      <c r="F65" s="19">
        <v>10008</v>
      </c>
      <c r="G65" s="18">
        <v>556</v>
      </c>
      <c r="H65" s="18" t="s">
        <v>29</v>
      </c>
      <c r="I65" s="18" t="s">
        <v>30</v>
      </c>
      <c r="J65" s="23">
        <v>45159</v>
      </c>
      <c r="K65" s="19" t="s">
        <v>866</v>
      </c>
      <c r="L65" s="18" t="s">
        <v>867</v>
      </c>
      <c r="M65" s="24" t="s">
        <v>868</v>
      </c>
      <c r="N65" s="26"/>
      <c r="O65" s="26"/>
      <c r="P65" s="19">
        <v>10008</v>
      </c>
      <c r="Q65" s="26"/>
      <c r="R65" s="26"/>
      <c r="S65" s="27">
        <v>280000</v>
      </c>
      <c r="T65" s="28">
        <f t="shared" si="0"/>
        <v>2802239.9999999995</v>
      </c>
    </row>
    <row r="66" spans="1:20" s="17" customFormat="1" x14ac:dyDescent="0.25">
      <c r="A66" s="26"/>
      <c r="B66" s="19" t="s">
        <v>869</v>
      </c>
      <c r="C66" s="19" t="s">
        <v>164</v>
      </c>
      <c r="D66" s="20" t="s">
        <v>165</v>
      </c>
      <c r="E66" s="21" t="s">
        <v>697</v>
      </c>
      <c r="F66" s="19">
        <v>20000</v>
      </c>
      <c r="G66" s="18">
        <v>800</v>
      </c>
      <c r="H66" s="18" t="s">
        <v>167</v>
      </c>
      <c r="I66" s="18" t="s">
        <v>30</v>
      </c>
      <c r="J66" s="23">
        <v>45160</v>
      </c>
      <c r="K66" s="18" t="s">
        <v>870</v>
      </c>
      <c r="L66" s="131" t="s">
        <v>871</v>
      </c>
      <c r="M66" s="24" t="s">
        <v>872</v>
      </c>
      <c r="N66" s="23"/>
      <c r="O66" s="19">
        <v>20000</v>
      </c>
      <c r="P66" s="26"/>
      <c r="Q66" s="26"/>
      <c r="R66" s="26"/>
      <c r="S66" s="83">
        <v>45000</v>
      </c>
      <c r="T66" s="28">
        <f t="shared" si="0"/>
        <v>900000</v>
      </c>
    </row>
    <row r="67" spans="1:20" s="17" customFormat="1" x14ac:dyDescent="0.25">
      <c r="A67" s="26" t="s">
        <v>280</v>
      </c>
      <c r="B67" s="19" t="s">
        <v>853</v>
      </c>
      <c r="C67" s="19" t="s">
        <v>57</v>
      </c>
      <c r="D67" s="20" t="s">
        <v>191</v>
      </c>
      <c r="E67" s="21" t="s">
        <v>816</v>
      </c>
      <c r="F67" s="19">
        <v>12000</v>
      </c>
      <c r="G67" s="18">
        <v>480</v>
      </c>
      <c r="H67" s="18" t="s">
        <v>95</v>
      </c>
      <c r="I67" s="18" t="s">
        <v>30</v>
      </c>
      <c r="J67" s="23">
        <v>45160</v>
      </c>
      <c r="K67" s="18" t="s">
        <v>671</v>
      </c>
      <c r="L67" s="18"/>
      <c r="M67" s="24"/>
      <c r="N67" s="26"/>
      <c r="O67" s="26"/>
      <c r="P67" s="26"/>
      <c r="Q67" s="19">
        <v>12000</v>
      </c>
      <c r="R67" s="26"/>
      <c r="S67" s="27">
        <v>165000</v>
      </c>
      <c r="T67" s="28">
        <f t="shared" si="0"/>
        <v>1980000</v>
      </c>
    </row>
    <row r="68" spans="1:20" s="17" customFormat="1" ht="17.25" customHeight="1" x14ac:dyDescent="0.25">
      <c r="A68" s="25" t="s">
        <v>280</v>
      </c>
      <c r="B68" s="19" t="s">
        <v>853</v>
      </c>
      <c r="C68" s="19" t="s">
        <v>57</v>
      </c>
      <c r="D68" s="20" t="s">
        <v>282</v>
      </c>
      <c r="E68" s="21" t="s">
        <v>837</v>
      </c>
      <c r="F68" s="19">
        <v>4940</v>
      </c>
      <c r="G68" s="18">
        <v>26</v>
      </c>
      <c r="H68" s="18" t="s">
        <v>95</v>
      </c>
      <c r="I68" s="18" t="s">
        <v>30</v>
      </c>
      <c r="J68" s="23">
        <v>45160</v>
      </c>
      <c r="K68" s="19"/>
      <c r="L68" s="18"/>
      <c r="M68" s="24"/>
      <c r="N68" s="26"/>
      <c r="O68" s="26"/>
      <c r="P68" s="26"/>
      <c r="Q68" s="19">
        <v>4940</v>
      </c>
      <c r="R68" s="26"/>
      <c r="S68" s="27">
        <v>115000</v>
      </c>
      <c r="T68" s="28">
        <f t="shared" ref="T68" si="1">S68*(F68/1000)</f>
        <v>568100</v>
      </c>
    </row>
    <row r="69" spans="1:20" s="17" customFormat="1" ht="17.25" customHeight="1" x14ac:dyDescent="0.25">
      <c r="A69" s="25" t="s">
        <v>280</v>
      </c>
      <c r="B69" s="19" t="s">
        <v>853</v>
      </c>
      <c r="C69" s="19" t="s">
        <v>57</v>
      </c>
      <c r="D69" s="20" t="s">
        <v>282</v>
      </c>
      <c r="E69" s="21" t="s">
        <v>849</v>
      </c>
      <c r="F69" s="19">
        <v>8740</v>
      </c>
      <c r="G69" s="18">
        <v>46</v>
      </c>
      <c r="H69" s="18" t="s">
        <v>95</v>
      </c>
      <c r="I69" s="18" t="s">
        <v>30</v>
      </c>
      <c r="J69" s="23">
        <v>45160</v>
      </c>
      <c r="K69" s="19"/>
      <c r="L69" s="18"/>
      <c r="M69" s="24"/>
      <c r="N69" s="26"/>
      <c r="O69" s="26"/>
      <c r="P69" s="26"/>
      <c r="Q69" s="19">
        <v>8740</v>
      </c>
      <c r="R69" s="26"/>
      <c r="S69" s="27">
        <v>115000</v>
      </c>
      <c r="T69" s="28">
        <f t="shared" ref="T69:T91" si="2">S69*(F69/1000)</f>
        <v>1005100</v>
      </c>
    </row>
    <row r="70" spans="1:20" s="17" customFormat="1" ht="17.25" customHeight="1" x14ac:dyDescent="0.25">
      <c r="A70" s="25" t="s">
        <v>280</v>
      </c>
      <c r="B70" s="19" t="s">
        <v>853</v>
      </c>
      <c r="C70" s="19" t="s">
        <v>57</v>
      </c>
      <c r="D70" s="20" t="s">
        <v>282</v>
      </c>
      <c r="E70" s="21" t="s">
        <v>859</v>
      </c>
      <c r="F70" s="19">
        <v>1520</v>
      </c>
      <c r="G70" s="18">
        <v>8</v>
      </c>
      <c r="H70" s="18" t="s">
        <v>95</v>
      </c>
      <c r="I70" s="18" t="s">
        <v>30</v>
      </c>
      <c r="J70" s="23">
        <v>45160</v>
      </c>
      <c r="K70" s="19"/>
      <c r="L70" s="18"/>
      <c r="M70" s="24"/>
      <c r="N70" s="26"/>
      <c r="O70" s="26"/>
      <c r="P70" s="26"/>
      <c r="Q70" s="19">
        <v>1520</v>
      </c>
      <c r="R70" s="26"/>
      <c r="S70" s="27">
        <v>115000</v>
      </c>
      <c r="T70" s="28">
        <f t="shared" si="2"/>
        <v>174800</v>
      </c>
    </row>
    <row r="71" spans="1:20" s="132" customFormat="1" x14ac:dyDescent="0.25">
      <c r="A71" s="26"/>
      <c r="B71" s="19" t="s">
        <v>246</v>
      </c>
      <c r="C71" s="19" t="s">
        <v>65</v>
      </c>
      <c r="D71" s="20" t="s">
        <v>74</v>
      </c>
      <c r="E71" s="21" t="s">
        <v>873</v>
      </c>
      <c r="F71" s="19">
        <v>20000</v>
      </c>
      <c r="G71" s="18">
        <v>800</v>
      </c>
      <c r="H71" s="18" t="s">
        <v>29</v>
      </c>
      <c r="I71" s="18" t="s">
        <v>30</v>
      </c>
      <c r="J71" s="23">
        <v>45161</v>
      </c>
      <c r="K71" s="18" t="s">
        <v>874</v>
      </c>
      <c r="L71" s="131" t="s">
        <v>875</v>
      </c>
      <c r="M71" s="24" t="s">
        <v>836</v>
      </c>
      <c r="N71" s="26"/>
      <c r="O71" s="19">
        <v>20000</v>
      </c>
      <c r="P71" s="26"/>
      <c r="Q71" s="26"/>
      <c r="R71" s="26"/>
      <c r="S71" s="27">
        <v>45000</v>
      </c>
      <c r="T71" s="28">
        <f t="shared" si="2"/>
        <v>900000</v>
      </c>
    </row>
    <row r="72" spans="1:20" s="17" customFormat="1" x14ac:dyDescent="0.25">
      <c r="A72" s="26"/>
      <c r="B72" s="19" t="s">
        <v>876</v>
      </c>
      <c r="C72" s="22" t="s">
        <v>877</v>
      </c>
      <c r="D72" s="20" t="s">
        <v>878</v>
      </c>
      <c r="E72" s="33" t="s">
        <v>879</v>
      </c>
      <c r="F72" s="22">
        <v>25</v>
      </c>
      <c r="G72" s="20">
        <v>1</v>
      </c>
      <c r="H72" s="20" t="s">
        <v>29</v>
      </c>
      <c r="I72" s="20" t="s">
        <v>30</v>
      </c>
      <c r="J72" s="23">
        <v>45161</v>
      </c>
      <c r="K72" s="18"/>
      <c r="L72" s="131"/>
      <c r="M72" s="24"/>
      <c r="N72" s="23"/>
      <c r="O72" s="26"/>
      <c r="P72" s="26"/>
      <c r="Q72" s="22">
        <v>25</v>
      </c>
      <c r="R72" s="26"/>
      <c r="S72" s="27">
        <v>135000</v>
      </c>
      <c r="T72" s="28">
        <f t="shared" si="2"/>
        <v>3375</v>
      </c>
    </row>
    <row r="73" spans="1:20" s="17" customFormat="1" x14ac:dyDescent="0.25">
      <c r="A73" s="26"/>
      <c r="B73" s="19" t="s">
        <v>880</v>
      </c>
      <c r="C73" s="19" t="s">
        <v>881</v>
      </c>
      <c r="D73" s="20" t="s">
        <v>352</v>
      </c>
      <c r="E73" s="21" t="s">
        <v>882</v>
      </c>
      <c r="F73" s="19">
        <v>400</v>
      </c>
      <c r="G73" s="18">
        <v>2</v>
      </c>
      <c r="H73" s="18" t="s">
        <v>29</v>
      </c>
      <c r="I73" s="18" t="s">
        <v>30</v>
      </c>
      <c r="J73" s="23">
        <v>45163</v>
      </c>
      <c r="K73" s="18" t="s">
        <v>883</v>
      </c>
      <c r="L73" s="131"/>
      <c r="M73" s="35"/>
      <c r="N73" s="23"/>
      <c r="O73" s="26"/>
      <c r="P73" s="26"/>
      <c r="Q73" s="19">
        <v>400</v>
      </c>
      <c r="R73" s="26"/>
      <c r="S73" s="27">
        <v>201000</v>
      </c>
      <c r="T73" s="28">
        <f t="shared" si="2"/>
        <v>80400</v>
      </c>
    </row>
    <row r="74" spans="1:20" s="17" customFormat="1" ht="14.25" customHeight="1" x14ac:dyDescent="0.25">
      <c r="A74" s="25" t="s">
        <v>884</v>
      </c>
      <c r="B74" s="19" t="s">
        <v>885</v>
      </c>
      <c r="C74" s="19" t="s">
        <v>26</v>
      </c>
      <c r="D74" s="20" t="s">
        <v>365</v>
      </c>
      <c r="E74" s="21" t="s">
        <v>865</v>
      </c>
      <c r="F74" s="19">
        <v>8695</v>
      </c>
      <c r="G74" s="18">
        <v>47</v>
      </c>
      <c r="H74" s="18" t="s">
        <v>886</v>
      </c>
      <c r="I74" s="18" t="s">
        <v>30</v>
      </c>
      <c r="J74" s="23">
        <v>45163</v>
      </c>
      <c r="K74" s="19"/>
      <c r="L74" s="18"/>
      <c r="M74" s="35"/>
      <c r="N74" s="26"/>
      <c r="O74" s="26"/>
      <c r="P74" s="26"/>
      <c r="Q74" s="19">
        <v>8695</v>
      </c>
      <c r="R74" s="26"/>
      <c r="S74" s="27">
        <v>230000</v>
      </c>
      <c r="T74" s="28">
        <f t="shared" si="2"/>
        <v>1999850</v>
      </c>
    </row>
    <row r="75" spans="1:20" s="17" customFormat="1" x14ac:dyDescent="0.25">
      <c r="A75" s="26" t="s">
        <v>884</v>
      </c>
      <c r="B75" s="19" t="s">
        <v>885</v>
      </c>
      <c r="C75" s="19" t="s">
        <v>26</v>
      </c>
      <c r="D75" s="20" t="s">
        <v>365</v>
      </c>
      <c r="E75" s="21" t="s">
        <v>887</v>
      </c>
      <c r="F75" s="19">
        <v>8695</v>
      </c>
      <c r="G75" s="18">
        <v>47</v>
      </c>
      <c r="H75" s="18" t="s">
        <v>886</v>
      </c>
      <c r="I75" s="18" t="s">
        <v>30</v>
      </c>
      <c r="J75" s="23">
        <v>45163</v>
      </c>
      <c r="K75" s="18"/>
      <c r="L75" s="131"/>
      <c r="M75" s="35"/>
      <c r="N75" s="23"/>
      <c r="O75" s="26"/>
      <c r="P75" s="26"/>
      <c r="Q75" s="19">
        <v>8695</v>
      </c>
      <c r="R75" s="26"/>
      <c r="S75" s="27">
        <v>230000</v>
      </c>
      <c r="T75" s="28">
        <f t="shared" si="2"/>
        <v>1999850</v>
      </c>
    </row>
    <row r="76" spans="1:20" s="17" customFormat="1" x14ac:dyDescent="0.25">
      <c r="A76" s="26" t="s">
        <v>884</v>
      </c>
      <c r="B76" s="19" t="s">
        <v>885</v>
      </c>
      <c r="C76" s="19" t="s">
        <v>26</v>
      </c>
      <c r="D76" s="20" t="s">
        <v>365</v>
      </c>
      <c r="E76" s="21" t="s">
        <v>879</v>
      </c>
      <c r="F76" s="19">
        <v>8695</v>
      </c>
      <c r="G76" s="18">
        <v>47</v>
      </c>
      <c r="H76" s="18" t="s">
        <v>886</v>
      </c>
      <c r="I76" s="18" t="s">
        <v>30</v>
      </c>
      <c r="J76" s="23">
        <v>45163</v>
      </c>
      <c r="K76" s="18"/>
      <c r="L76" s="131"/>
      <c r="M76" s="35"/>
      <c r="N76" s="23"/>
      <c r="O76" s="26"/>
      <c r="P76" s="26"/>
      <c r="Q76" s="19">
        <v>8695</v>
      </c>
      <c r="R76" s="26"/>
      <c r="S76" s="27">
        <v>230000</v>
      </c>
      <c r="T76" s="28">
        <f t="shared" si="2"/>
        <v>1999850</v>
      </c>
    </row>
    <row r="77" spans="1:20" s="17" customFormat="1" x14ac:dyDescent="0.25">
      <c r="A77" s="26" t="s">
        <v>884</v>
      </c>
      <c r="B77" s="19" t="s">
        <v>885</v>
      </c>
      <c r="C77" s="19" t="s">
        <v>26</v>
      </c>
      <c r="D77" s="20" t="s">
        <v>365</v>
      </c>
      <c r="E77" s="21" t="s">
        <v>670</v>
      </c>
      <c r="F77" s="19">
        <v>8880</v>
      </c>
      <c r="G77" s="18">
        <v>48</v>
      </c>
      <c r="H77" s="18" t="s">
        <v>886</v>
      </c>
      <c r="I77" s="18" t="s">
        <v>30</v>
      </c>
      <c r="J77" s="23">
        <v>45163</v>
      </c>
      <c r="K77" s="18"/>
      <c r="L77" s="131"/>
      <c r="M77" s="35"/>
      <c r="N77" s="23"/>
      <c r="O77" s="26"/>
      <c r="P77" s="26"/>
      <c r="Q77" s="19">
        <v>8880</v>
      </c>
      <c r="R77" s="26"/>
      <c r="S77" s="27">
        <v>230000</v>
      </c>
      <c r="T77" s="28">
        <f t="shared" si="2"/>
        <v>2042400.0000000002</v>
      </c>
    </row>
    <row r="78" spans="1:20" s="17" customFormat="1" x14ac:dyDescent="0.25">
      <c r="A78" s="26" t="s">
        <v>884</v>
      </c>
      <c r="B78" s="19" t="s">
        <v>885</v>
      </c>
      <c r="C78" s="19" t="s">
        <v>26</v>
      </c>
      <c r="D78" s="20" t="s">
        <v>365</v>
      </c>
      <c r="E78" s="21" t="s">
        <v>888</v>
      </c>
      <c r="F78" s="19">
        <v>8695</v>
      </c>
      <c r="G78" s="18">
        <v>47</v>
      </c>
      <c r="H78" s="18" t="s">
        <v>886</v>
      </c>
      <c r="I78" s="18" t="s">
        <v>30</v>
      </c>
      <c r="J78" s="23">
        <v>45163</v>
      </c>
      <c r="K78" s="18"/>
      <c r="L78" s="131"/>
      <c r="M78" s="35"/>
      <c r="N78" s="23"/>
      <c r="O78" s="26"/>
      <c r="P78" s="26"/>
      <c r="Q78" s="19">
        <v>8695</v>
      </c>
      <c r="R78" s="26"/>
      <c r="S78" s="27">
        <v>230000</v>
      </c>
      <c r="T78" s="28">
        <f t="shared" si="2"/>
        <v>1999850</v>
      </c>
    </row>
    <row r="79" spans="1:20" s="17" customFormat="1" ht="17.25" customHeight="1" x14ac:dyDescent="0.25">
      <c r="A79" s="25" t="s">
        <v>280</v>
      </c>
      <c r="B79" s="19" t="s">
        <v>889</v>
      </c>
      <c r="C79" s="19" t="s">
        <v>57</v>
      </c>
      <c r="D79" s="20" t="s">
        <v>890</v>
      </c>
      <c r="E79" s="33" t="s">
        <v>879</v>
      </c>
      <c r="F79" s="19">
        <v>8360</v>
      </c>
      <c r="G79" s="18">
        <v>44</v>
      </c>
      <c r="H79" s="18" t="s">
        <v>566</v>
      </c>
      <c r="I79" s="18" t="s">
        <v>30</v>
      </c>
      <c r="J79" s="23">
        <v>45166</v>
      </c>
      <c r="K79" s="19"/>
      <c r="L79" s="18"/>
      <c r="M79" s="35"/>
      <c r="N79" s="26"/>
      <c r="O79" s="26"/>
      <c r="P79" s="26"/>
      <c r="Q79" s="19">
        <v>8360</v>
      </c>
      <c r="R79" s="26"/>
      <c r="S79" s="27">
        <v>115000</v>
      </c>
      <c r="T79" s="28">
        <f t="shared" si="2"/>
        <v>961399.99999999988</v>
      </c>
    </row>
    <row r="80" spans="1:20" s="17" customFormat="1" ht="17.25" customHeight="1" x14ac:dyDescent="0.25">
      <c r="A80" s="25" t="s">
        <v>280</v>
      </c>
      <c r="B80" s="19" t="s">
        <v>889</v>
      </c>
      <c r="C80" s="19" t="s">
        <v>57</v>
      </c>
      <c r="D80" s="20" t="s">
        <v>890</v>
      </c>
      <c r="E80" s="33" t="s">
        <v>882</v>
      </c>
      <c r="F80" s="19">
        <v>6840</v>
      </c>
      <c r="G80" s="18">
        <v>36</v>
      </c>
      <c r="H80" s="18" t="s">
        <v>566</v>
      </c>
      <c r="I80" s="18" t="s">
        <v>30</v>
      </c>
      <c r="J80" s="23">
        <v>45166</v>
      </c>
      <c r="K80" s="19"/>
      <c r="L80" s="18"/>
      <c r="M80" s="35"/>
      <c r="N80" s="26"/>
      <c r="O80" s="26"/>
      <c r="P80" s="26"/>
      <c r="Q80" s="19">
        <v>6840</v>
      </c>
      <c r="R80" s="26"/>
      <c r="S80" s="27">
        <v>115000</v>
      </c>
      <c r="T80" s="28">
        <f t="shared" si="2"/>
        <v>786600</v>
      </c>
    </row>
    <row r="81" spans="1:20" s="17" customFormat="1" ht="17.25" customHeight="1" x14ac:dyDescent="0.25">
      <c r="A81" s="25" t="s">
        <v>280</v>
      </c>
      <c r="B81" s="19" t="s">
        <v>889</v>
      </c>
      <c r="C81" s="19" t="s">
        <v>57</v>
      </c>
      <c r="D81" s="20" t="s">
        <v>890</v>
      </c>
      <c r="E81" s="33" t="s">
        <v>882</v>
      </c>
      <c r="F81" s="19">
        <v>1520</v>
      </c>
      <c r="G81" s="18">
        <v>8</v>
      </c>
      <c r="H81" s="18" t="s">
        <v>566</v>
      </c>
      <c r="I81" s="18" t="s">
        <v>30</v>
      </c>
      <c r="J81" s="23">
        <v>45166</v>
      </c>
      <c r="K81" s="19"/>
      <c r="L81" s="18"/>
      <c r="M81" s="35"/>
      <c r="N81" s="26"/>
      <c r="O81" s="26"/>
      <c r="P81" s="26"/>
      <c r="Q81" s="19">
        <v>1520</v>
      </c>
      <c r="R81" s="26"/>
      <c r="S81" s="27">
        <v>115000</v>
      </c>
      <c r="T81" s="28">
        <f t="shared" si="2"/>
        <v>174800</v>
      </c>
    </row>
    <row r="82" spans="1:20" s="17" customFormat="1" ht="17.25" customHeight="1" x14ac:dyDescent="0.25">
      <c r="A82" s="25" t="s">
        <v>280</v>
      </c>
      <c r="B82" s="19" t="s">
        <v>889</v>
      </c>
      <c r="C82" s="19" t="s">
        <v>57</v>
      </c>
      <c r="D82" s="20" t="s">
        <v>890</v>
      </c>
      <c r="E82" s="33" t="s">
        <v>891</v>
      </c>
      <c r="F82" s="19">
        <v>8360</v>
      </c>
      <c r="G82" s="18">
        <v>44</v>
      </c>
      <c r="H82" s="18" t="s">
        <v>566</v>
      </c>
      <c r="I82" s="18" t="s">
        <v>30</v>
      </c>
      <c r="J82" s="23">
        <v>45166</v>
      </c>
      <c r="K82" s="19"/>
      <c r="L82" s="18"/>
      <c r="M82" s="35"/>
      <c r="N82" s="26"/>
      <c r="O82" s="26"/>
      <c r="P82" s="26"/>
      <c r="Q82" s="19">
        <v>8360</v>
      </c>
      <c r="R82" s="26"/>
      <c r="S82" s="27">
        <v>115000</v>
      </c>
      <c r="T82" s="28">
        <f t="shared" si="2"/>
        <v>961399.99999999988</v>
      </c>
    </row>
    <row r="83" spans="1:20" s="17" customFormat="1" ht="17.25" customHeight="1" x14ac:dyDescent="0.25">
      <c r="A83" s="25" t="s">
        <v>280</v>
      </c>
      <c r="B83" s="19" t="s">
        <v>889</v>
      </c>
      <c r="C83" s="19" t="s">
        <v>57</v>
      </c>
      <c r="D83" s="20" t="s">
        <v>890</v>
      </c>
      <c r="E83" s="33" t="s">
        <v>670</v>
      </c>
      <c r="F83" s="19">
        <v>5320</v>
      </c>
      <c r="G83" s="18">
        <v>28</v>
      </c>
      <c r="H83" s="18" t="s">
        <v>566</v>
      </c>
      <c r="I83" s="18" t="s">
        <v>30</v>
      </c>
      <c r="J83" s="23">
        <v>45166</v>
      </c>
      <c r="K83" s="19"/>
      <c r="L83" s="18"/>
      <c r="M83" s="35"/>
      <c r="N83" s="26"/>
      <c r="O83" s="26"/>
      <c r="P83" s="26"/>
      <c r="Q83" s="19">
        <v>5320</v>
      </c>
      <c r="R83" s="26"/>
      <c r="S83" s="27">
        <v>115000</v>
      </c>
      <c r="T83" s="28">
        <f t="shared" si="2"/>
        <v>611800</v>
      </c>
    </row>
    <row r="84" spans="1:20" s="17" customFormat="1" x14ac:dyDescent="0.25">
      <c r="A84" s="26"/>
      <c r="B84" s="19" t="s">
        <v>892</v>
      </c>
      <c r="C84" s="19" t="s">
        <v>893</v>
      </c>
      <c r="D84" s="20" t="s">
        <v>421</v>
      </c>
      <c r="E84" s="21" t="s">
        <v>670</v>
      </c>
      <c r="F84" s="19">
        <v>12800</v>
      </c>
      <c r="G84" s="18">
        <v>64</v>
      </c>
      <c r="H84" s="18" t="s">
        <v>462</v>
      </c>
      <c r="I84" s="18" t="s">
        <v>30</v>
      </c>
      <c r="J84" s="23">
        <v>45168</v>
      </c>
      <c r="K84" s="18" t="s">
        <v>894</v>
      </c>
      <c r="L84" s="18" t="s">
        <v>895</v>
      </c>
      <c r="M84" s="35" t="s">
        <v>896</v>
      </c>
      <c r="N84" s="26"/>
      <c r="O84" s="26"/>
      <c r="P84" s="26"/>
      <c r="Q84" s="19">
        <v>12800</v>
      </c>
      <c r="R84" s="26"/>
      <c r="S84" s="27">
        <v>165000</v>
      </c>
      <c r="T84" s="28">
        <f t="shared" si="2"/>
        <v>2112000</v>
      </c>
    </row>
    <row r="85" spans="1:20" s="17" customFormat="1" x14ac:dyDescent="0.25">
      <c r="A85" s="26"/>
      <c r="B85" s="19" t="s">
        <v>892</v>
      </c>
      <c r="C85" s="19" t="s">
        <v>893</v>
      </c>
      <c r="D85" s="20" t="s">
        <v>421</v>
      </c>
      <c r="E85" s="21" t="s">
        <v>888</v>
      </c>
      <c r="F85" s="19">
        <v>4800</v>
      </c>
      <c r="G85" s="18">
        <v>24</v>
      </c>
      <c r="H85" s="18" t="s">
        <v>462</v>
      </c>
      <c r="I85" s="18" t="s">
        <v>30</v>
      </c>
      <c r="J85" s="23">
        <v>45168</v>
      </c>
      <c r="K85" s="18"/>
      <c r="L85" s="18"/>
      <c r="M85" s="19"/>
      <c r="N85" s="26"/>
      <c r="O85" s="26"/>
      <c r="P85" s="26"/>
      <c r="Q85" s="19">
        <v>4800</v>
      </c>
      <c r="R85" s="26"/>
      <c r="S85" s="27">
        <v>165000</v>
      </c>
      <c r="T85" s="28">
        <f t="shared" si="2"/>
        <v>792000</v>
      </c>
    </row>
    <row r="86" spans="1:20" s="17" customFormat="1" ht="17.25" customHeight="1" x14ac:dyDescent="0.25">
      <c r="A86" s="25" t="s">
        <v>280</v>
      </c>
      <c r="B86" s="19" t="s">
        <v>853</v>
      </c>
      <c r="C86" s="19" t="s">
        <v>57</v>
      </c>
      <c r="D86" s="20" t="s">
        <v>282</v>
      </c>
      <c r="E86" s="21" t="s">
        <v>859</v>
      </c>
      <c r="F86" s="19">
        <v>7030</v>
      </c>
      <c r="G86" s="20">
        <v>37</v>
      </c>
      <c r="H86" s="18" t="s">
        <v>95</v>
      </c>
      <c r="I86" s="18" t="s">
        <v>30</v>
      </c>
      <c r="J86" s="23">
        <v>45168</v>
      </c>
      <c r="K86" s="19"/>
      <c r="L86" s="18"/>
      <c r="M86" s="26"/>
      <c r="N86" s="26"/>
      <c r="O86" s="26"/>
      <c r="P86" s="26"/>
      <c r="Q86" s="19">
        <v>7030</v>
      </c>
      <c r="R86" s="26"/>
      <c r="S86" s="27">
        <v>115000</v>
      </c>
      <c r="T86" s="28">
        <f t="shared" si="2"/>
        <v>808450</v>
      </c>
    </row>
    <row r="87" spans="1:20" s="17" customFormat="1" ht="17.25" customHeight="1" x14ac:dyDescent="0.25">
      <c r="A87" s="25" t="s">
        <v>280</v>
      </c>
      <c r="B87" s="19" t="s">
        <v>853</v>
      </c>
      <c r="C87" s="19" t="s">
        <v>57</v>
      </c>
      <c r="D87" s="20" t="s">
        <v>282</v>
      </c>
      <c r="E87" s="21" t="s">
        <v>709</v>
      </c>
      <c r="F87" s="19">
        <v>8170</v>
      </c>
      <c r="G87" s="20">
        <v>43</v>
      </c>
      <c r="H87" s="18" t="s">
        <v>95</v>
      </c>
      <c r="I87" s="18" t="s">
        <v>30</v>
      </c>
      <c r="J87" s="23">
        <v>45168</v>
      </c>
      <c r="K87" s="19"/>
      <c r="L87" s="26"/>
      <c r="M87" s="26"/>
      <c r="N87" s="26"/>
      <c r="O87" s="26"/>
      <c r="P87" s="26"/>
      <c r="Q87" s="19">
        <v>8170</v>
      </c>
      <c r="R87" s="26"/>
      <c r="S87" s="27">
        <v>115000</v>
      </c>
      <c r="T87" s="28">
        <f t="shared" si="2"/>
        <v>939550</v>
      </c>
    </row>
    <row r="88" spans="1:20" s="17" customFormat="1" ht="17.25" customHeight="1" x14ac:dyDescent="0.25">
      <c r="A88" s="25" t="s">
        <v>280</v>
      </c>
      <c r="B88" s="19" t="s">
        <v>853</v>
      </c>
      <c r="C88" s="19" t="s">
        <v>57</v>
      </c>
      <c r="D88" s="20" t="s">
        <v>282</v>
      </c>
      <c r="E88" s="21" t="s">
        <v>709</v>
      </c>
      <c r="F88" s="19">
        <v>190</v>
      </c>
      <c r="G88" s="20">
        <v>1</v>
      </c>
      <c r="H88" s="18" t="s">
        <v>95</v>
      </c>
      <c r="I88" s="18" t="s">
        <v>30</v>
      </c>
      <c r="J88" s="23">
        <v>45168</v>
      </c>
      <c r="K88" s="19"/>
      <c r="L88" s="26"/>
      <c r="M88" s="26"/>
      <c r="N88" s="26"/>
      <c r="O88" s="26"/>
      <c r="P88" s="26"/>
      <c r="Q88" s="19">
        <v>190</v>
      </c>
      <c r="R88" s="26"/>
      <c r="S88" s="27">
        <v>115000</v>
      </c>
      <c r="T88" s="28">
        <f t="shared" si="2"/>
        <v>21850</v>
      </c>
    </row>
    <row r="89" spans="1:20" s="17" customFormat="1" ht="17.25" customHeight="1" x14ac:dyDescent="0.25">
      <c r="A89" s="25" t="s">
        <v>280</v>
      </c>
      <c r="B89" s="19" t="s">
        <v>853</v>
      </c>
      <c r="C89" s="19" t="s">
        <v>57</v>
      </c>
      <c r="D89" s="20" t="s">
        <v>282</v>
      </c>
      <c r="E89" s="21" t="s">
        <v>670</v>
      </c>
      <c r="F89" s="19">
        <v>3230</v>
      </c>
      <c r="G89" s="20">
        <v>17</v>
      </c>
      <c r="H89" s="18" t="s">
        <v>95</v>
      </c>
      <c r="I89" s="18" t="s">
        <v>30</v>
      </c>
      <c r="J89" s="23">
        <v>45168</v>
      </c>
      <c r="K89" s="19"/>
      <c r="L89" s="26"/>
      <c r="M89" s="26"/>
      <c r="N89" s="26"/>
      <c r="O89" s="26"/>
      <c r="P89" s="26"/>
      <c r="Q89" s="19">
        <v>3230</v>
      </c>
      <c r="R89" s="26"/>
      <c r="S89" s="27">
        <v>115000</v>
      </c>
      <c r="T89" s="28">
        <f t="shared" si="2"/>
        <v>371450</v>
      </c>
    </row>
    <row r="90" spans="1:20" s="17" customFormat="1" ht="17.25" customHeight="1" x14ac:dyDescent="0.25">
      <c r="A90" s="25" t="s">
        <v>280</v>
      </c>
      <c r="B90" s="19" t="s">
        <v>853</v>
      </c>
      <c r="C90" s="19" t="s">
        <v>57</v>
      </c>
      <c r="D90" s="20" t="s">
        <v>282</v>
      </c>
      <c r="E90" s="21" t="s">
        <v>888</v>
      </c>
      <c r="F90" s="19">
        <v>8360</v>
      </c>
      <c r="G90" s="20">
        <v>44</v>
      </c>
      <c r="H90" s="18" t="s">
        <v>95</v>
      </c>
      <c r="I90" s="18" t="s">
        <v>30</v>
      </c>
      <c r="J90" s="23">
        <v>45168</v>
      </c>
      <c r="K90" s="19"/>
      <c r="L90" s="26"/>
      <c r="M90" s="26"/>
      <c r="N90" s="26"/>
      <c r="O90" s="26"/>
      <c r="P90" s="26"/>
      <c r="Q90" s="19">
        <v>8360</v>
      </c>
      <c r="R90" s="26"/>
      <c r="S90" s="27">
        <v>115000</v>
      </c>
      <c r="T90" s="28">
        <f t="shared" si="2"/>
        <v>961399.99999999988</v>
      </c>
    </row>
    <row r="91" spans="1:20" s="17" customFormat="1" ht="17.25" customHeight="1" x14ac:dyDescent="0.25">
      <c r="A91" s="25" t="s">
        <v>280</v>
      </c>
      <c r="B91" s="19" t="s">
        <v>853</v>
      </c>
      <c r="C91" s="19" t="s">
        <v>57</v>
      </c>
      <c r="D91" s="20" t="s">
        <v>282</v>
      </c>
      <c r="E91" s="21" t="s">
        <v>638</v>
      </c>
      <c r="F91" s="19">
        <v>3420</v>
      </c>
      <c r="G91" s="20">
        <v>18</v>
      </c>
      <c r="H91" s="18" t="s">
        <v>95</v>
      </c>
      <c r="I91" s="18" t="s">
        <v>30</v>
      </c>
      <c r="J91" s="23">
        <v>45168</v>
      </c>
      <c r="K91" s="19"/>
      <c r="L91" s="26"/>
      <c r="M91" s="26"/>
      <c r="N91" s="26"/>
      <c r="O91" s="26"/>
      <c r="P91" s="26"/>
      <c r="Q91" s="19">
        <v>3420</v>
      </c>
      <c r="R91" s="26"/>
      <c r="S91" s="27">
        <v>115000</v>
      </c>
      <c r="T91" s="28">
        <f t="shared" si="2"/>
        <v>393300</v>
      </c>
    </row>
    <row r="92" spans="1:20" ht="18.75" x14ac:dyDescent="0.3">
      <c r="A92" s="119" t="s">
        <v>252</v>
      </c>
      <c r="B92" s="133">
        <f>SUM(F4:F91)/1000</f>
        <v>690.03499999999997</v>
      </c>
      <c r="C92" s="54" t="s">
        <v>253</v>
      </c>
      <c r="S92" s="55"/>
      <c r="T92" s="55">
        <f>SUM(T4:T91)</f>
        <v>97555539</v>
      </c>
    </row>
    <row r="93" spans="1:20" ht="18.75" x14ac:dyDescent="0.3">
      <c r="A93" s="120" t="s">
        <v>254</v>
      </c>
      <c r="B93" s="134">
        <f>B94+B95+B96</f>
        <v>690.03499999999997</v>
      </c>
      <c r="C93" s="58" t="s">
        <v>253</v>
      </c>
    </row>
    <row r="94" spans="1:20" ht="18.75" x14ac:dyDescent="0.3">
      <c r="A94" s="121" t="s">
        <v>255</v>
      </c>
      <c r="B94" s="135">
        <f>SUM(O4:O91)/1000</f>
        <v>184.75200000000001</v>
      </c>
      <c r="C94" s="61" t="s">
        <v>253</v>
      </c>
    </row>
    <row r="95" spans="1:20" ht="18.75" x14ac:dyDescent="0.3">
      <c r="A95" s="121" t="s">
        <v>256</v>
      </c>
      <c r="B95" s="135">
        <f>SUM(P4:P91)/1000</f>
        <v>90.007999999999996</v>
      </c>
      <c r="C95" s="61" t="s">
        <v>253</v>
      </c>
    </row>
    <row r="96" spans="1:20" ht="18.75" x14ac:dyDescent="0.3">
      <c r="A96" s="121" t="s">
        <v>257</v>
      </c>
      <c r="B96" s="136">
        <f>SUM(Q4:Q91)/1000</f>
        <v>415.27499999999998</v>
      </c>
      <c r="C96" s="61" t="s">
        <v>253</v>
      </c>
    </row>
    <row r="97" spans="1:3" ht="18.75" x14ac:dyDescent="0.3">
      <c r="A97" s="122" t="s">
        <v>258</v>
      </c>
      <c r="B97" s="137">
        <f>B92-B93</f>
        <v>0</v>
      </c>
      <c r="C97" s="65" t="s">
        <v>253</v>
      </c>
    </row>
  </sheetData>
  <autoFilter ref="D1:D97" xr:uid="{00000000-0009-0000-0000-000004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D92" xr:uid="{004E00AB-0063-4F6C-A6F2-00E3006E006F}">
      <formula1>$E$4:$E$144</formula1>
    </dataValidation>
  </dataValidations>
  <pageMargins left="0.7" right="0.7" top="0.75" bottom="0.75" header="0.3" footer="0.3"/>
  <pageSetup paperSize="9" scale="36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справочник!$E$4:$E$117</xm:f>
          </x14:formula1>
          <xm:sqref>D4:D91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">
    <pageSetUpPr fitToPage="1"/>
  </sheetPr>
  <dimension ref="A1:T103"/>
  <sheetViews>
    <sheetView zoomScale="85" workbookViewId="0">
      <selection activeCell="D44" sqref="D44:S45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39.42578125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7" customWidth="1"/>
    <col min="14" max="14" width="14.140625" customWidth="1"/>
    <col min="18" max="18" width="27.140625" customWidth="1"/>
    <col min="19" max="19" width="25.140625" customWidth="1"/>
    <col min="20" max="20" width="20" customWidth="1"/>
  </cols>
  <sheetData>
    <row r="1" spans="1:20" s="3" customFormat="1" ht="17.25" x14ac:dyDescent="0.3">
      <c r="A1" s="5"/>
      <c r="B1" s="5" t="s">
        <v>0</v>
      </c>
      <c r="C1" s="6">
        <v>45108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32" customFormat="1" ht="15.75" customHeight="1" x14ac:dyDescent="0.25">
      <c r="A4" s="26"/>
      <c r="B4" s="19" t="s">
        <v>897</v>
      </c>
      <c r="C4" s="19" t="s">
        <v>893</v>
      </c>
      <c r="D4" s="20" t="s">
        <v>898</v>
      </c>
      <c r="E4" s="21" t="s">
        <v>899</v>
      </c>
      <c r="F4" s="19">
        <v>17600</v>
      </c>
      <c r="G4" s="18">
        <v>88</v>
      </c>
      <c r="H4" s="18" t="s">
        <v>448</v>
      </c>
      <c r="I4" s="18" t="s">
        <v>30</v>
      </c>
      <c r="J4" s="23">
        <v>45110</v>
      </c>
      <c r="K4" s="18" t="s">
        <v>900</v>
      </c>
      <c r="L4" s="138" t="s">
        <v>901</v>
      </c>
      <c r="M4" s="25" t="s">
        <v>902</v>
      </c>
      <c r="N4" s="26"/>
      <c r="O4" s="26"/>
      <c r="P4" s="26"/>
      <c r="Q4" s="26">
        <v>17600</v>
      </c>
      <c r="R4" s="26"/>
      <c r="S4" s="27">
        <v>152000</v>
      </c>
      <c r="T4" s="28">
        <f t="shared" ref="T4:T8" si="0">S4*(F4/1000)</f>
        <v>2675200</v>
      </c>
    </row>
    <row r="5" spans="1:20" s="132" customFormat="1" ht="15.75" customHeight="1" x14ac:dyDescent="0.25">
      <c r="A5" s="26"/>
      <c r="B5" s="19" t="s">
        <v>903</v>
      </c>
      <c r="C5" s="19" t="s">
        <v>893</v>
      </c>
      <c r="D5" s="20" t="s">
        <v>898</v>
      </c>
      <c r="E5" s="21" t="s">
        <v>904</v>
      </c>
      <c r="F5" s="19">
        <v>17600</v>
      </c>
      <c r="G5" s="18">
        <v>88</v>
      </c>
      <c r="H5" s="18" t="s">
        <v>423</v>
      </c>
      <c r="I5" s="18" t="s">
        <v>30</v>
      </c>
      <c r="J5" s="23">
        <v>45110</v>
      </c>
      <c r="K5" s="18" t="s">
        <v>905</v>
      </c>
      <c r="L5" s="138" t="s">
        <v>906</v>
      </c>
      <c r="M5" s="19" t="s">
        <v>907</v>
      </c>
      <c r="N5" s="26"/>
      <c r="O5" s="26"/>
      <c r="P5" s="26"/>
      <c r="Q5" s="26">
        <v>17600</v>
      </c>
      <c r="R5" s="26" t="s">
        <v>34</v>
      </c>
      <c r="S5" s="27">
        <v>152000</v>
      </c>
      <c r="T5" s="28">
        <f t="shared" si="0"/>
        <v>2675200</v>
      </c>
    </row>
    <row r="6" spans="1:20" s="132" customFormat="1" x14ac:dyDescent="0.25">
      <c r="A6" s="26"/>
      <c r="B6" s="19" t="s">
        <v>133</v>
      </c>
      <c r="C6" s="19" t="s">
        <v>815</v>
      </c>
      <c r="D6" s="20" t="s">
        <v>86</v>
      </c>
      <c r="E6" s="21" t="s">
        <v>908</v>
      </c>
      <c r="F6" s="19">
        <v>12000</v>
      </c>
      <c r="G6" s="18">
        <v>480</v>
      </c>
      <c r="H6" s="18" t="s">
        <v>29</v>
      </c>
      <c r="I6" s="18" t="s">
        <v>30</v>
      </c>
      <c r="J6" s="23">
        <v>45110</v>
      </c>
      <c r="K6" s="18" t="s">
        <v>909</v>
      </c>
      <c r="L6" s="26" t="s">
        <v>910</v>
      </c>
      <c r="M6" s="26" t="s">
        <v>911</v>
      </c>
      <c r="N6" s="26"/>
      <c r="O6" s="26">
        <v>12000</v>
      </c>
      <c r="P6" s="26"/>
      <c r="Q6" s="26"/>
      <c r="R6" s="26"/>
      <c r="S6" s="27">
        <v>42000</v>
      </c>
      <c r="T6" s="28">
        <f t="shared" si="0"/>
        <v>504000</v>
      </c>
    </row>
    <row r="7" spans="1:20" s="132" customFormat="1" x14ac:dyDescent="0.25">
      <c r="A7" s="26"/>
      <c r="B7" s="19" t="s">
        <v>133</v>
      </c>
      <c r="C7" s="19" t="s">
        <v>815</v>
      </c>
      <c r="D7" s="20" t="s">
        <v>561</v>
      </c>
      <c r="E7" s="21" t="s">
        <v>912</v>
      </c>
      <c r="F7" s="19">
        <v>6000</v>
      </c>
      <c r="G7" s="18">
        <v>30</v>
      </c>
      <c r="H7" s="18" t="s">
        <v>29</v>
      </c>
      <c r="I7" s="18" t="s">
        <v>30</v>
      </c>
      <c r="J7" s="23">
        <v>45110</v>
      </c>
      <c r="K7" s="18" t="s">
        <v>909</v>
      </c>
      <c r="L7" s="26"/>
      <c r="M7" s="26"/>
      <c r="N7" s="26"/>
      <c r="O7" s="26"/>
      <c r="P7" s="26"/>
      <c r="Q7" s="26">
        <v>6000</v>
      </c>
      <c r="R7" s="26"/>
      <c r="S7" s="27">
        <v>92500</v>
      </c>
      <c r="T7" s="28">
        <f t="shared" si="0"/>
        <v>555000</v>
      </c>
    </row>
    <row r="8" spans="1:20" s="132" customFormat="1" x14ac:dyDescent="0.25">
      <c r="A8" s="26"/>
      <c r="B8" s="19" t="s">
        <v>678</v>
      </c>
      <c r="C8" s="19" t="s">
        <v>913</v>
      </c>
      <c r="D8" s="20" t="s">
        <v>684</v>
      </c>
      <c r="E8" s="21" t="s">
        <v>685</v>
      </c>
      <c r="F8" s="19">
        <v>5000</v>
      </c>
      <c r="G8" s="18">
        <v>250</v>
      </c>
      <c r="H8" s="18" t="s">
        <v>338</v>
      </c>
      <c r="I8" s="18" t="s">
        <v>30</v>
      </c>
      <c r="J8" s="23">
        <v>45110</v>
      </c>
      <c r="K8" s="26" t="s">
        <v>914</v>
      </c>
      <c r="L8" s="26" t="s">
        <v>915</v>
      </c>
      <c r="M8" s="26" t="s">
        <v>916</v>
      </c>
      <c r="N8" s="26"/>
      <c r="O8" s="26"/>
      <c r="P8" s="26">
        <v>5000</v>
      </c>
      <c r="Q8" s="26"/>
      <c r="R8" s="26"/>
      <c r="S8" s="27">
        <v>85000</v>
      </c>
      <c r="T8" s="28">
        <f t="shared" si="0"/>
        <v>425000</v>
      </c>
    </row>
    <row r="9" spans="1:20" s="132" customFormat="1" x14ac:dyDescent="0.25">
      <c r="A9" s="26"/>
      <c r="B9" s="19" t="s">
        <v>917</v>
      </c>
      <c r="C9" s="19" t="s">
        <v>65</v>
      </c>
      <c r="D9" s="20" t="s">
        <v>74</v>
      </c>
      <c r="E9" s="21" t="s">
        <v>918</v>
      </c>
      <c r="F9" s="19">
        <v>20000</v>
      </c>
      <c r="G9" s="18">
        <v>800</v>
      </c>
      <c r="H9" s="18" t="s">
        <v>29</v>
      </c>
      <c r="I9" s="18" t="s">
        <v>30</v>
      </c>
      <c r="J9" s="23">
        <v>45111</v>
      </c>
      <c r="K9" s="18" t="s">
        <v>919</v>
      </c>
      <c r="L9" s="19"/>
      <c r="M9" s="19" t="s">
        <v>920</v>
      </c>
      <c r="N9" s="26"/>
      <c r="O9" s="26">
        <v>20000</v>
      </c>
      <c r="P9" s="26"/>
      <c r="Q9" s="26"/>
      <c r="R9" s="26"/>
      <c r="S9" s="27">
        <v>45000</v>
      </c>
      <c r="T9" s="28">
        <f>F9/1000*S9</f>
        <v>900000</v>
      </c>
    </row>
    <row r="10" spans="1:20" s="132" customFormat="1" ht="15.75" customHeight="1" x14ac:dyDescent="0.25">
      <c r="A10" s="25"/>
      <c r="B10" s="19" t="s">
        <v>921</v>
      </c>
      <c r="C10" s="19" t="s">
        <v>57</v>
      </c>
      <c r="D10" s="20" t="s">
        <v>98</v>
      </c>
      <c r="E10" s="33" t="s">
        <v>922</v>
      </c>
      <c r="F10" s="19">
        <v>20000</v>
      </c>
      <c r="G10" s="18">
        <v>800</v>
      </c>
      <c r="H10" s="18" t="s">
        <v>129</v>
      </c>
      <c r="I10" s="18" t="s">
        <v>30</v>
      </c>
      <c r="J10" s="23">
        <v>45111</v>
      </c>
      <c r="K10" s="19" t="s">
        <v>923</v>
      </c>
      <c r="L10" s="26" t="s">
        <v>924</v>
      </c>
      <c r="M10" s="26" t="s">
        <v>925</v>
      </c>
      <c r="N10" s="26"/>
      <c r="O10" s="26"/>
      <c r="P10" s="26">
        <v>20000</v>
      </c>
      <c r="Q10" s="26"/>
      <c r="R10" s="26"/>
      <c r="S10" s="27">
        <v>275000</v>
      </c>
      <c r="T10" s="28">
        <f t="shared" ref="T10:T73" si="1">S10*(F10/1000)</f>
        <v>5500000</v>
      </c>
    </row>
    <row r="11" spans="1:20" s="132" customFormat="1" x14ac:dyDescent="0.25">
      <c r="A11" s="26"/>
      <c r="B11" s="19" t="s">
        <v>926</v>
      </c>
      <c r="C11" s="19" t="s">
        <v>85</v>
      </c>
      <c r="D11" s="20" t="s">
        <v>86</v>
      </c>
      <c r="E11" s="21" t="s">
        <v>389</v>
      </c>
      <c r="F11" s="19">
        <v>20000</v>
      </c>
      <c r="G11" s="18">
        <v>800</v>
      </c>
      <c r="H11" s="18" t="s">
        <v>322</v>
      </c>
      <c r="I11" s="18" t="s">
        <v>30</v>
      </c>
      <c r="J11" s="23">
        <v>45111</v>
      </c>
      <c r="K11" s="18" t="s">
        <v>927</v>
      </c>
      <c r="L11" s="26"/>
      <c r="M11" s="26" t="s">
        <v>928</v>
      </c>
      <c r="N11" s="26"/>
      <c r="O11" s="26">
        <v>20000</v>
      </c>
      <c r="P11" s="26"/>
      <c r="Q11" s="26"/>
      <c r="R11" s="26" t="s">
        <v>34</v>
      </c>
      <c r="S11" s="27">
        <v>42000</v>
      </c>
      <c r="T11" s="28">
        <f t="shared" si="1"/>
        <v>840000</v>
      </c>
    </row>
    <row r="12" spans="1:20" s="132" customFormat="1" x14ac:dyDescent="0.25">
      <c r="A12" s="26"/>
      <c r="B12" s="19" t="s">
        <v>903</v>
      </c>
      <c r="C12" s="19" t="s">
        <v>893</v>
      </c>
      <c r="D12" s="20" t="s">
        <v>421</v>
      </c>
      <c r="E12" s="21" t="s">
        <v>929</v>
      </c>
      <c r="F12" s="19">
        <v>8800</v>
      </c>
      <c r="G12" s="18">
        <v>44</v>
      </c>
      <c r="H12" s="18" t="s">
        <v>423</v>
      </c>
      <c r="I12" s="18" t="s">
        <v>30</v>
      </c>
      <c r="J12" s="23">
        <v>45112</v>
      </c>
      <c r="K12" s="18" t="s">
        <v>424</v>
      </c>
      <c r="L12" s="19" t="s">
        <v>425</v>
      </c>
      <c r="M12" s="19" t="s">
        <v>63</v>
      </c>
      <c r="N12" s="26"/>
      <c r="O12" s="26"/>
      <c r="P12" s="26"/>
      <c r="Q12" s="26">
        <v>8800</v>
      </c>
      <c r="R12" s="26" t="s">
        <v>34</v>
      </c>
      <c r="S12" s="27">
        <v>165000</v>
      </c>
      <c r="T12" s="28">
        <f t="shared" si="1"/>
        <v>1452000.0000000002</v>
      </c>
    </row>
    <row r="13" spans="1:20" s="132" customFormat="1" x14ac:dyDescent="0.25">
      <c r="A13" s="26"/>
      <c r="B13" s="19" t="s">
        <v>903</v>
      </c>
      <c r="C13" s="19" t="s">
        <v>893</v>
      </c>
      <c r="D13" s="20" t="s">
        <v>421</v>
      </c>
      <c r="E13" s="21" t="s">
        <v>930</v>
      </c>
      <c r="F13" s="19">
        <v>1600</v>
      </c>
      <c r="G13" s="18">
        <v>8</v>
      </c>
      <c r="H13" s="18" t="s">
        <v>423</v>
      </c>
      <c r="I13" s="18" t="s">
        <v>30</v>
      </c>
      <c r="J13" s="23">
        <v>45112</v>
      </c>
      <c r="K13" s="18" t="s">
        <v>424</v>
      </c>
      <c r="L13" s="19"/>
      <c r="M13" s="19"/>
      <c r="N13" s="26"/>
      <c r="O13" s="26"/>
      <c r="P13" s="26"/>
      <c r="Q13" s="26">
        <v>1600</v>
      </c>
      <c r="R13" s="26" t="s">
        <v>34</v>
      </c>
      <c r="S13" s="27">
        <v>165000</v>
      </c>
      <c r="T13" s="28">
        <f t="shared" si="1"/>
        <v>264000</v>
      </c>
    </row>
    <row r="14" spans="1:20" s="132" customFormat="1" x14ac:dyDescent="0.25">
      <c r="A14" s="26"/>
      <c r="B14" s="19" t="s">
        <v>903</v>
      </c>
      <c r="C14" s="19" t="s">
        <v>893</v>
      </c>
      <c r="D14" s="20" t="s">
        <v>421</v>
      </c>
      <c r="E14" s="21" t="s">
        <v>931</v>
      </c>
      <c r="F14" s="19">
        <v>7200</v>
      </c>
      <c r="G14" s="18">
        <v>36</v>
      </c>
      <c r="H14" s="18" t="s">
        <v>423</v>
      </c>
      <c r="I14" s="18" t="s">
        <v>30</v>
      </c>
      <c r="J14" s="23">
        <v>45112</v>
      </c>
      <c r="K14" s="18" t="s">
        <v>424</v>
      </c>
      <c r="L14" s="19"/>
      <c r="M14" s="19"/>
      <c r="N14" s="26"/>
      <c r="O14" s="26"/>
      <c r="P14" s="26"/>
      <c r="Q14" s="26">
        <v>7200</v>
      </c>
      <c r="R14" s="26" t="s">
        <v>34</v>
      </c>
      <c r="S14" s="27">
        <v>165000</v>
      </c>
      <c r="T14" s="28">
        <f t="shared" si="1"/>
        <v>1188000</v>
      </c>
    </row>
    <row r="15" spans="1:20" s="132" customFormat="1" x14ac:dyDescent="0.25">
      <c r="A15" s="26"/>
      <c r="B15" s="19" t="s">
        <v>842</v>
      </c>
      <c r="C15" s="19" t="s">
        <v>913</v>
      </c>
      <c r="D15" s="20" t="s">
        <v>86</v>
      </c>
      <c r="E15" s="21" t="s">
        <v>931</v>
      </c>
      <c r="F15" s="19">
        <v>20000</v>
      </c>
      <c r="G15" s="18">
        <v>800</v>
      </c>
      <c r="H15" s="18" t="s">
        <v>338</v>
      </c>
      <c r="I15" s="18" t="s">
        <v>30</v>
      </c>
      <c r="J15" s="23">
        <v>45114</v>
      </c>
      <c r="K15" s="19" t="s">
        <v>932</v>
      </c>
      <c r="L15" s="26" t="s">
        <v>933</v>
      </c>
      <c r="M15" s="26" t="s">
        <v>934</v>
      </c>
      <c r="N15" s="26"/>
      <c r="O15" s="26">
        <v>20000</v>
      </c>
      <c r="P15" s="26"/>
      <c r="Q15" s="26"/>
      <c r="R15" s="26" t="s">
        <v>34</v>
      </c>
      <c r="S15" s="27">
        <v>41000</v>
      </c>
      <c r="T15" s="28">
        <f t="shared" si="1"/>
        <v>820000</v>
      </c>
    </row>
    <row r="16" spans="1:20" s="132" customFormat="1" ht="13.5" customHeight="1" x14ac:dyDescent="0.25">
      <c r="A16" s="25"/>
      <c r="B16" s="19" t="s">
        <v>763</v>
      </c>
      <c r="C16" s="19" t="s">
        <v>26</v>
      </c>
      <c r="D16" s="20" t="s">
        <v>27</v>
      </c>
      <c r="E16" s="21" t="s">
        <v>935</v>
      </c>
      <c r="F16" s="19">
        <v>20000</v>
      </c>
      <c r="G16" s="18">
        <v>800</v>
      </c>
      <c r="H16" s="18" t="s">
        <v>129</v>
      </c>
      <c r="I16" s="18" t="s">
        <v>30</v>
      </c>
      <c r="J16" s="23">
        <v>45117</v>
      </c>
      <c r="K16" s="19" t="s">
        <v>749</v>
      </c>
      <c r="L16" s="26" t="s">
        <v>750</v>
      </c>
      <c r="M16" s="26" t="s">
        <v>751</v>
      </c>
      <c r="N16" s="26"/>
      <c r="O16" s="26">
        <v>20000</v>
      </c>
      <c r="P16" s="26"/>
      <c r="Q16" s="26"/>
      <c r="R16" s="26" t="s">
        <v>34</v>
      </c>
      <c r="S16" s="27">
        <v>41000</v>
      </c>
      <c r="T16" s="28">
        <f t="shared" si="1"/>
        <v>820000</v>
      </c>
    </row>
    <row r="17" spans="1:20" s="132" customFormat="1" x14ac:dyDescent="0.25">
      <c r="A17" s="26"/>
      <c r="B17" s="19" t="s">
        <v>936</v>
      </c>
      <c r="C17" s="19" t="s">
        <v>937</v>
      </c>
      <c r="D17" s="20" t="s">
        <v>110</v>
      </c>
      <c r="E17" s="21" t="s">
        <v>938</v>
      </c>
      <c r="F17" s="19">
        <v>200</v>
      </c>
      <c r="G17" s="18">
        <v>1</v>
      </c>
      <c r="H17" s="18" t="s">
        <v>29</v>
      </c>
      <c r="I17" s="18" t="s">
        <v>30</v>
      </c>
      <c r="J17" s="23">
        <v>45117</v>
      </c>
      <c r="K17" s="18" t="s">
        <v>939</v>
      </c>
      <c r="L17" s="26" t="s">
        <v>940</v>
      </c>
      <c r="M17" s="26" t="s">
        <v>941</v>
      </c>
      <c r="N17" s="26"/>
      <c r="O17" s="26"/>
      <c r="P17" s="26"/>
      <c r="Q17" s="26">
        <v>200</v>
      </c>
      <c r="R17" s="26"/>
      <c r="S17" s="27">
        <v>68000</v>
      </c>
      <c r="T17" s="28">
        <f t="shared" si="1"/>
        <v>13600</v>
      </c>
    </row>
    <row r="18" spans="1:20" s="132" customFormat="1" x14ac:dyDescent="0.25">
      <c r="A18" s="26"/>
      <c r="B18" s="19" t="s">
        <v>936</v>
      </c>
      <c r="C18" s="19" t="s">
        <v>937</v>
      </c>
      <c r="D18" s="20" t="s">
        <v>110</v>
      </c>
      <c r="E18" s="21" t="s">
        <v>942</v>
      </c>
      <c r="F18" s="19">
        <v>200</v>
      </c>
      <c r="G18" s="18">
        <v>1</v>
      </c>
      <c r="H18" s="18" t="s">
        <v>29</v>
      </c>
      <c r="I18" s="18" t="s">
        <v>30</v>
      </c>
      <c r="J18" s="23">
        <v>45117</v>
      </c>
      <c r="K18" s="18" t="s">
        <v>939</v>
      </c>
      <c r="L18" s="26"/>
      <c r="M18" s="26"/>
      <c r="N18" s="26"/>
      <c r="O18" s="26"/>
      <c r="P18" s="26"/>
      <c r="Q18" s="26">
        <v>200</v>
      </c>
      <c r="R18" s="26"/>
      <c r="S18" s="27">
        <v>68000</v>
      </c>
      <c r="T18" s="28">
        <f t="shared" si="1"/>
        <v>13600</v>
      </c>
    </row>
    <row r="19" spans="1:20" s="132" customFormat="1" x14ac:dyDescent="0.25">
      <c r="A19" s="26"/>
      <c r="B19" s="19" t="s">
        <v>936</v>
      </c>
      <c r="C19" s="19" t="s">
        <v>937</v>
      </c>
      <c r="D19" s="20" t="s">
        <v>110</v>
      </c>
      <c r="E19" s="21" t="s">
        <v>943</v>
      </c>
      <c r="F19" s="19">
        <v>200</v>
      </c>
      <c r="G19" s="18">
        <v>1</v>
      </c>
      <c r="H19" s="18" t="s">
        <v>29</v>
      </c>
      <c r="I19" s="18" t="s">
        <v>30</v>
      </c>
      <c r="J19" s="23">
        <v>45117</v>
      </c>
      <c r="K19" s="18" t="s">
        <v>939</v>
      </c>
      <c r="L19" s="26"/>
      <c r="M19" s="26"/>
      <c r="N19" s="26"/>
      <c r="O19" s="26"/>
      <c r="P19" s="26"/>
      <c r="Q19" s="26">
        <v>200</v>
      </c>
      <c r="R19" s="26"/>
      <c r="S19" s="27">
        <v>68000</v>
      </c>
      <c r="T19" s="28">
        <f t="shared" si="1"/>
        <v>13600</v>
      </c>
    </row>
    <row r="20" spans="1:20" s="132" customFormat="1" x14ac:dyDescent="0.25">
      <c r="A20" s="26"/>
      <c r="B20" s="19" t="s">
        <v>936</v>
      </c>
      <c r="C20" s="19" t="s">
        <v>937</v>
      </c>
      <c r="D20" s="20" t="s">
        <v>110</v>
      </c>
      <c r="E20" s="21" t="s">
        <v>944</v>
      </c>
      <c r="F20" s="19">
        <v>400</v>
      </c>
      <c r="G20" s="18">
        <v>2</v>
      </c>
      <c r="H20" s="18" t="s">
        <v>29</v>
      </c>
      <c r="I20" s="18" t="s">
        <v>30</v>
      </c>
      <c r="J20" s="23">
        <v>45117</v>
      </c>
      <c r="K20" s="18" t="s">
        <v>939</v>
      </c>
      <c r="L20" s="26"/>
      <c r="M20" s="26"/>
      <c r="N20" s="26"/>
      <c r="O20" s="26"/>
      <c r="P20" s="26"/>
      <c r="Q20" s="26">
        <v>400</v>
      </c>
      <c r="R20" s="26"/>
      <c r="S20" s="27">
        <v>68000</v>
      </c>
      <c r="T20" s="28">
        <f t="shared" si="1"/>
        <v>27200</v>
      </c>
    </row>
    <row r="21" spans="1:20" s="132" customFormat="1" x14ac:dyDescent="0.25">
      <c r="A21" s="26"/>
      <c r="B21" s="19" t="s">
        <v>936</v>
      </c>
      <c r="C21" s="19" t="s">
        <v>937</v>
      </c>
      <c r="D21" s="20" t="s">
        <v>110</v>
      </c>
      <c r="E21" s="21" t="s">
        <v>922</v>
      </c>
      <c r="F21" s="19">
        <v>600</v>
      </c>
      <c r="G21" s="18">
        <v>3</v>
      </c>
      <c r="H21" s="18" t="s">
        <v>29</v>
      </c>
      <c r="I21" s="18" t="s">
        <v>30</v>
      </c>
      <c r="J21" s="23">
        <v>45117</v>
      </c>
      <c r="K21" s="18" t="s">
        <v>939</v>
      </c>
      <c r="L21" s="26"/>
      <c r="M21" s="26"/>
      <c r="N21" s="26"/>
      <c r="O21" s="26"/>
      <c r="P21" s="26"/>
      <c r="Q21" s="26">
        <v>600</v>
      </c>
      <c r="R21" s="26"/>
      <c r="S21" s="27">
        <v>68000</v>
      </c>
      <c r="T21" s="28">
        <f t="shared" si="1"/>
        <v>40800</v>
      </c>
    </row>
    <row r="22" spans="1:20" s="132" customFormat="1" ht="13.5" customHeight="1" x14ac:dyDescent="0.25">
      <c r="A22" s="25"/>
      <c r="B22" s="19" t="s">
        <v>763</v>
      </c>
      <c r="C22" s="19" t="s">
        <v>26</v>
      </c>
      <c r="D22" s="20" t="s">
        <v>27</v>
      </c>
      <c r="E22" s="21" t="s">
        <v>945</v>
      </c>
      <c r="F22" s="19">
        <v>20000</v>
      </c>
      <c r="G22" s="18">
        <v>800</v>
      </c>
      <c r="H22" s="18" t="s">
        <v>129</v>
      </c>
      <c r="I22" s="18" t="s">
        <v>30</v>
      </c>
      <c r="J22" s="23">
        <v>45118</v>
      </c>
      <c r="K22" s="19" t="s">
        <v>746</v>
      </c>
      <c r="L22" s="26" t="s">
        <v>747</v>
      </c>
      <c r="M22" s="26" t="s">
        <v>748</v>
      </c>
      <c r="N22" s="26"/>
      <c r="O22" s="26">
        <v>20000</v>
      </c>
      <c r="P22" s="26"/>
      <c r="Q22" s="26"/>
      <c r="R22" s="26" t="s">
        <v>34</v>
      </c>
      <c r="S22" s="27">
        <v>41000</v>
      </c>
      <c r="T22" s="28">
        <f t="shared" si="1"/>
        <v>820000</v>
      </c>
    </row>
    <row r="23" spans="1:20" s="132" customFormat="1" x14ac:dyDescent="0.25">
      <c r="A23" s="26"/>
      <c r="B23" s="19" t="s">
        <v>212</v>
      </c>
      <c r="C23" s="19" t="s">
        <v>648</v>
      </c>
      <c r="D23" s="20" t="s">
        <v>649</v>
      </c>
      <c r="E23" s="33" t="s">
        <v>946</v>
      </c>
      <c r="F23" s="22">
        <v>3420</v>
      </c>
      <c r="G23" s="20">
        <v>18</v>
      </c>
      <c r="H23" s="20" t="s">
        <v>29</v>
      </c>
      <c r="I23" s="18" t="s">
        <v>30</v>
      </c>
      <c r="J23" s="23">
        <v>45118</v>
      </c>
      <c r="K23" s="18" t="s">
        <v>947</v>
      </c>
      <c r="L23" s="26" t="s">
        <v>948</v>
      </c>
      <c r="M23" s="26" t="s">
        <v>949</v>
      </c>
      <c r="N23" s="26"/>
      <c r="O23" s="26"/>
      <c r="P23" s="26"/>
      <c r="Q23" s="26">
        <v>3420</v>
      </c>
      <c r="R23" s="26"/>
      <c r="S23" s="27">
        <v>129700</v>
      </c>
      <c r="T23" s="28">
        <f t="shared" si="1"/>
        <v>443574</v>
      </c>
    </row>
    <row r="24" spans="1:20" s="132" customFormat="1" x14ac:dyDescent="0.25">
      <c r="A24" s="26"/>
      <c r="B24" s="19" t="s">
        <v>212</v>
      </c>
      <c r="C24" s="19" t="s">
        <v>648</v>
      </c>
      <c r="D24" s="20" t="s">
        <v>649</v>
      </c>
      <c r="E24" s="33" t="s">
        <v>802</v>
      </c>
      <c r="F24" s="22">
        <v>6460</v>
      </c>
      <c r="G24" s="20">
        <v>34</v>
      </c>
      <c r="H24" s="20" t="s">
        <v>29</v>
      </c>
      <c r="I24" s="18" t="s">
        <v>30</v>
      </c>
      <c r="J24" s="23">
        <v>45118</v>
      </c>
      <c r="K24" s="18" t="s">
        <v>947</v>
      </c>
      <c r="L24" s="26"/>
      <c r="M24" s="26"/>
      <c r="N24" s="26"/>
      <c r="O24" s="26"/>
      <c r="P24" s="26"/>
      <c r="Q24" s="26">
        <v>6460</v>
      </c>
      <c r="R24" s="26"/>
      <c r="S24" s="27">
        <v>129700</v>
      </c>
      <c r="T24" s="28">
        <f t="shared" si="1"/>
        <v>837862</v>
      </c>
    </row>
    <row r="25" spans="1:20" s="132" customFormat="1" x14ac:dyDescent="0.25">
      <c r="A25" s="26"/>
      <c r="B25" s="19" t="s">
        <v>950</v>
      </c>
      <c r="C25" s="19" t="s">
        <v>951</v>
      </c>
      <c r="D25" s="20" t="s">
        <v>795</v>
      </c>
      <c r="E25" s="33" t="s">
        <v>802</v>
      </c>
      <c r="F25" s="22">
        <v>510</v>
      </c>
      <c r="G25" s="20">
        <v>17</v>
      </c>
      <c r="H25" s="20" t="s">
        <v>952</v>
      </c>
      <c r="I25" s="18" t="s">
        <v>30</v>
      </c>
      <c r="J25" s="23">
        <v>45119</v>
      </c>
      <c r="K25" s="18" t="s">
        <v>241</v>
      </c>
      <c r="L25" s="19"/>
      <c r="M25" s="19"/>
      <c r="N25" s="26"/>
      <c r="O25" s="26"/>
      <c r="P25" s="26"/>
      <c r="Q25" s="26">
        <v>510</v>
      </c>
      <c r="R25" s="26"/>
      <c r="S25" s="27">
        <v>89000</v>
      </c>
      <c r="T25" s="28">
        <f t="shared" si="1"/>
        <v>45390</v>
      </c>
    </row>
    <row r="26" spans="1:20" s="132" customFormat="1" x14ac:dyDescent="0.25">
      <c r="A26" s="26"/>
      <c r="B26" s="19" t="s">
        <v>953</v>
      </c>
      <c r="C26" s="19" t="s">
        <v>954</v>
      </c>
      <c r="D26" s="20" t="s">
        <v>878</v>
      </c>
      <c r="E26" s="33" t="s">
        <v>802</v>
      </c>
      <c r="F26" s="22">
        <v>25</v>
      </c>
      <c r="G26" s="20">
        <v>1</v>
      </c>
      <c r="H26" s="20" t="s">
        <v>955</v>
      </c>
      <c r="I26" s="18" t="s">
        <v>30</v>
      </c>
      <c r="J26" s="23">
        <v>45119</v>
      </c>
      <c r="K26" s="18" t="s">
        <v>241</v>
      </c>
      <c r="L26" s="19"/>
      <c r="M26" s="19"/>
      <c r="N26" s="26"/>
      <c r="O26" s="26"/>
      <c r="P26" s="26"/>
      <c r="Q26" s="26">
        <v>25</v>
      </c>
      <c r="R26" s="26"/>
      <c r="S26" s="27">
        <v>125000</v>
      </c>
      <c r="T26" s="28">
        <f t="shared" si="1"/>
        <v>3125</v>
      </c>
    </row>
    <row r="27" spans="1:20" s="132" customFormat="1" ht="14.25" customHeight="1" x14ac:dyDescent="0.25">
      <c r="A27" s="25" t="s">
        <v>280</v>
      </c>
      <c r="B27" s="19" t="s">
        <v>956</v>
      </c>
      <c r="C27" s="19" t="s">
        <v>57</v>
      </c>
      <c r="D27" s="20" t="s">
        <v>282</v>
      </c>
      <c r="E27" s="33" t="s">
        <v>957</v>
      </c>
      <c r="F27" s="22">
        <v>3420</v>
      </c>
      <c r="G27" s="20">
        <v>18</v>
      </c>
      <c r="H27" s="20" t="s">
        <v>566</v>
      </c>
      <c r="I27" s="18" t="s">
        <v>30</v>
      </c>
      <c r="J27" s="23">
        <v>45120</v>
      </c>
      <c r="K27" s="19"/>
      <c r="L27" s="26"/>
      <c r="M27" s="26"/>
      <c r="N27" s="26" t="s">
        <v>958</v>
      </c>
      <c r="O27" s="26"/>
      <c r="P27" s="26"/>
      <c r="Q27" s="26">
        <v>3420</v>
      </c>
      <c r="R27" s="26"/>
      <c r="S27" s="27">
        <v>115000</v>
      </c>
      <c r="T27" s="28">
        <f t="shared" si="1"/>
        <v>393300</v>
      </c>
    </row>
    <row r="28" spans="1:20" s="132" customFormat="1" ht="14.25" customHeight="1" x14ac:dyDescent="0.25">
      <c r="A28" s="25" t="s">
        <v>280</v>
      </c>
      <c r="B28" s="19" t="s">
        <v>956</v>
      </c>
      <c r="C28" s="19" t="s">
        <v>57</v>
      </c>
      <c r="D28" s="20" t="s">
        <v>282</v>
      </c>
      <c r="E28" s="33" t="s">
        <v>771</v>
      </c>
      <c r="F28" s="22">
        <v>3040</v>
      </c>
      <c r="G28" s="20">
        <v>16</v>
      </c>
      <c r="H28" s="20" t="s">
        <v>566</v>
      </c>
      <c r="I28" s="18" t="s">
        <v>30</v>
      </c>
      <c r="J28" s="23">
        <v>45120</v>
      </c>
      <c r="K28" s="19"/>
      <c r="L28" s="26"/>
      <c r="M28" s="26"/>
      <c r="N28" s="26" t="s">
        <v>958</v>
      </c>
      <c r="O28" s="26"/>
      <c r="P28" s="26"/>
      <c r="Q28" s="26">
        <v>3040</v>
      </c>
      <c r="R28" s="26"/>
      <c r="S28" s="27">
        <v>115000</v>
      </c>
      <c r="T28" s="28">
        <f t="shared" si="1"/>
        <v>349600</v>
      </c>
    </row>
    <row r="29" spans="1:20" s="132" customFormat="1" ht="14.25" customHeight="1" x14ac:dyDescent="0.25">
      <c r="A29" s="25" t="s">
        <v>280</v>
      </c>
      <c r="B29" s="19" t="s">
        <v>956</v>
      </c>
      <c r="C29" s="19" t="s">
        <v>57</v>
      </c>
      <c r="D29" s="20" t="s">
        <v>282</v>
      </c>
      <c r="E29" s="33" t="s">
        <v>830</v>
      </c>
      <c r="F29" s="22">
        <v>8550</v>
      </c>
      <c r="G29" s="20">
        <v>45</v>
      </c>
      <c r="H29" s="20" t="s">
        <v>566</v>
      </c>
      <c r="I29" s="18" t="s">
        <v>30</v>
      </c>
      <c r="J29" s="23">
        <v>45120</v>
      </c>
      <c r="K29" s="19"/>
      <c r="L29" s="26"/>
      <c r="M29" s="26"/>
      <c r="N29" s="26" t="s">
        <v>958</v>
      </c>
      <c r="O29" s="26"/>
      <c r="P29" s="26"/>
      <c r="Q29" s="26">
        <v>8550</v>
      </c>
      <c r="R29" s="26"/>
      <c r="S29" s="27">
        <v>115000</v>
      </c>
      <c r="T29" s="28">
        <f t="shared" si="1"/>
        <v>983250.00000000012</v>
      </c>
    </row>
    <row r="30" spans="1:20" s="132" customFormat="1" ht="14.25" customHeight="1" x14ac:dyDescent="0.25">
      <c r="A30" s="25" t="s">
        <v>280</v>
      </c>
      <c r="B30" s="19" t="s">
        <v>956</v>
      </c>
      <c r="C30" s="19" t="s">
        <v>57</v>
      </c>
      <c r="D30" s="20" t="s">
        <v>282</v>
      </c>
      <c r="E30" s="33" t="s">
        <v>959</v>
      </c>
      <c r="F30" s="22">
        <v>190</v>
      </c>
      <c r="G30" s="20">
        <v>1</v>
      </c>
      <c r="H30" s="20" t="s">
        <v>566</v>
      </c>
      <c r="I30" s="18" t="s">
        <v>30</v>
      </c>
      <c r="J30" s="23">
        <v>45120</v>
      </c>
      <c r="K30" s="19"/>
      <c r="L30" s="26"/>
      <c r="M30" s="26"/>
      <c r="N30" s="26" t="s">
        <v>958</v>
      </c>
      <c r="O30" s="26"/>
      <c r="P30" s="26"/>
      <c r="Q30" s="26">
        <v>190</v>
      </c>
      <c r="R30" s="26"/>
      <c r="S30" s="27">
        <v>115000</v>
      </c>
      <c r="T30" s="28">
        <f t="shared" si="1"/>
        <v>21850</v>
      </c>
    </row>
    <row r="31" spans="1:20" s="132" customFormat="1" ht="14.25" customHeight="1" x14ac:dyDescent="0.25">
      <c r="A31" s="25" t="s">
        <v>280</v>
      </c>
      <c r="B31" s="19" t="s">
        <v>956</v>
      </c>
      <c r="C31" s="19" t="s">
        <v>57</v>
      </c>
      <c r="D31" s="20" t="s">
        <v>282</v>
      </c>
      <c r="E31" s="33" t="s">
        <v>959</v>
      </c>
      <c r="F31" s="22">
        <v>8360</v>
      </c>
      <c r="G31" s="20">
        <v>44</v>
      </c>
      <c r="H31" s="20" t="s">
        <v>566</v>
      </c>
      <c r="I31" s="18" t="s">
        <v>30</v>
      </c>
      <c r="J31" s="23">
        <v>45120</v>
      </c>
      <c r="K31" s="19"/>
      <c r="L31" s="26"/>
      <c r="M31" s="26"/>
      <c r="N31" s="26" t="s">
        <v>960</v>
      </c>
      <c r="O31" s="26"/>
      <c r="P31" s="26"/>
      <c r="Q31" s="26">
        <v>8360</v>
      </c>
      <c r="R31" s="26"/>
      <c r="S31" s="27">
        <v>115000</v>
      </c>
      <c r="T31" s="28">
        <f t="shared" si="1"/>
        <v>961399.99999999988</v>
      </c>
    </row>
    <row r="32" spans="1:20" s="132" customFormat="1" ht="14.25" customHeight="1" x14ac:dyDescent="0.25">
      <c r="A32" s="25" t="s">
        <v>280</v>
      </c>
      <c r="B32" s="19" t="s">
        <v>956</v>
      </c>
      <c r="C32" s="19" t="s">
        <v>57</v>
      </c>
      <c r="D32" s="20" t="s">
        <v>282</v>
      </c>
      <c r="E32" s="33" t="s">
        <v>899</v>
      </c>
      <c r="F32" s="22">
        <v>950</v>
      </c>
      <c r="G32" s="20">
        <v>5</v>
      </c>
      <c r="H32" s="20" t="s">
        <v>566</v>
      </c>
      <c r="I32" s="18" t="s">
        <v>30</v>
      </c>
      <c r="J32" s="23">
        <v>45120</v>
      </c>
      <c r="K32" s="19"/>
      <c r="L32" s="26"/>
      <c r="M32" s="26"/>
      <c r="N32" s="26" t="s">
        <v>960</v>
      </c>
      <c r="O32" s="26"/>
      <c r="P32" s="26"/>
      <c r="Q32" s="26">
        <v>950</v>
      </c>
      <c r="R32" s="26"/>
      <c r="S32" s="27">
        <v>115000</v>
      </c>
      <c r="T32" s="28">
        <f t="shared" si="1"/>
        <v>109250</v>
      </c>
    </row>
    <row r="33" spans="1:20" s="132" customFormat="1" ht="14.25" customHeight="1" x14ac:dyDescent="0.25">
      <c r="A33" s="25" t="s">
        <v>280</v>
      </c>
      <c r="B33" s="19" t="s">
        <v>956</v>
      </c>
      <c r="C33" s="19" t="s">
        <v>57</v>
      </c>
      <c r="D33" s="20" t="s">
        <v>282</v>
      </c>
      <c r="E33" s="33" t="s">
        <v>904</v>
      </c>
      <c r="F33" s="22">
        <v>5890</v>
      </c>
      <c r="G33" s="20">
        <v>31</v>
      </c>
      <c r="H33" s="20" t="s">
        <v>566</v>
      </c>
      <c r="I33" s="18" t="s">
        <v>30</v>
      </c>
      <c r="J33" s="23">
        <v>45120</v>
      </c>
      <c r="K33" s="19"/>
      <c r="L33" s="26"/>
      <c r="M33" s="26"/>
      <c r="N33" s="26" t="s">
        <v>960</v>
      </c>
      <c r="O33" s="26"/>
      <c r="P33" s="26"/>
      <c r="Q33" s="26">
        <v>5890</v>
      </c>
      <c r="R33" s="26"/>
      <c r="S33" s="27">
        <v>115000</v>
      </c>
      <c r="T33" s="28">
        <f t="shared" si="1"/>
        <v>677350</v>
      </c>
    </row>
    <row r="34" spans="1:20" s="132" customFormat="1" ht="14.25" customHeight="1" x14ac:dyDescent="0.25">
      <c r="A34" s="25" t="s">
        <v>280</v>
      </c>
      <c r="B34" s="19" t="s">
        <v>956</v>
      </c>
      <c r="C34" s="19" t="s">
        <v>57</v>
      </c>
      <c r="D34" s="20" t="s">
        <v>282</v>
      </c>
      <c r="E34" s="33" t="s">
        <v>904</v>
      </c>
      <c r="F34" s="22">
        <v>2850</v>
      </c>
      <c r="G34" s="20">
        <v>15</v>
      </c>
      <c r="H34" s="20" t="s">
        <v>566</v>
      </c>
      <c r="I34" s="18" t="s">
        <v>30</v>
      </c>
      <c r="J34" s="23">
        <v>45120</v>
      </c>
      <c r="K34" s="19"/>
      <c r="L34" s="26"/>
      <c r="M34" s="26"/>
      <c r="N34" s="26" t="s">
        <v>961</v>
      </c>
      <c r="O34" s="26"/>
      <c r="P34" s="26"/>
      <c r="Q34" s="26">
        <v>2850</v>
      </c>
      <c r="R34" s="26"/>
      <c r="S34" s="27">
        <v>115000</v>
      </c>
      <c r="T34" s="28">
        <f t="shared" si="1"/>
        <v>327750</v>
      </c>
    </row>
    <row r="35" spans="1:20" s="132" customFormat="1" ht="14.25" customHeight="1" x14ac:dyDescent="0.25">
      <c r="A35" s="25" t="s">
        <v>280</v>
      </c>
      <c r="B35" s="19" t="s">
        <v>956</v>
      </c>
      <c r="C35" s="19" t="s">
        <v>57</v>
      </c>
      <c r="D35" s="20" t="s">
        <v>282</v>
      </c>
      <c r="E35" s="33" t="s">
        <v>801</v>
      </c>
      <c r="F35" s="22">
        <v>1140</v>
      </c>
      <c r="G35" s="20">
        <v>6</v>
      </c>
      <c r="H35" s="20" t="s">
        <v>566</v>
      </c>
      <c r="I35" s="18" t="s">
        <v>30</v>
      </c>
      <c r="J35" s="23">
        <v>45120</v>
      </c>
      <c r="K35" s="19"/>
      <c r="L35" s="26"/>
      <c r="M35" s="26"/>
      <c r="N35" s="26" t="s">
        <v>961</v>
      </c>
      <c r="O35" s="26"/>
      <c r="P35" s="26"/>
      <c r="Q35" s="26">
        <v>1140</v>
      </c>
      <c r="R35" s="26"/>
      <c r="S35" s="27">
        <v>115000</v>
      </c>
      <c r="T35" s="28">
        <f t="shared" si="1"/>
        <v>131100</v>
      </c>
    </row>
    <row r="36" spans="1:20" s="132" customFormat="1" ht="14.25" customHeight="1" x14ac:dyDescent="0.25">
      <c r="A36" s="25" t="s">
        <v>280</v>
      </c>
      <c r="B36" s="19" t="s">
        <v>956</v>
      </c>
      <c r="C36" s="19" t="s">
        <v>57</v>
      </c>
      <c r="D36" s="20" t="s">
        <v>282</v>
      </c>
      <c r="E36" s="33" t="s">
        <v>912</v>
      </c>
      <c r="F36" s="22">
        <v>8550</v>
      </c>
      <c r="G36" s="20">
        <v>45</v>
      </c>
      <c r="H36" s="20" t="s">
        <v>566</v>
      </c>
      <c r="I36" s="18" t="s">
        <v>30</v>
      </c>
      <c r="J36" s="23">
        <v>45120</v>
      </c>
      <c r="K36" s="19"/>
      <c r="L36" s="26"/>
      <c r="M36" s="26"/>
      <c r="N36" s="26" t="s">
        <v>961</v>
      </c>
      <c r="O36" s="26"/>
      <c r="P36" s="26"/>
      <c r="Q36" s="26">
        <v>8550</v>
      </c>
      <c r="R36" s="26"/>
      <c r="S36" s="27">
        <v>115000</v>
      </c>
      <c r="T36" s="28">
        <f t="shared" si="1"/>
        <v>983250.00000000012</v>
      </c>
    </row>
    <row r="37" spans="1:20" s="132" customFormat="1" ht="14.25" customHeight="1" x14ac:dyDescent="0.25">
      <c r="A37" s="25" t="s">
        <v>280</v>
      </c>
      <c r="B37" s="19" t="s">
        <v>956</v>
      </c>
      <c r="C37" s="19" t="s">
        <v>57</v>
      </c>
      <c r="D37" s="20" t="s">
        <v>282</v>
      </c>
      <c r="E37" s="33" t="s">
        <v>922</v>
      </c>
      <c r="F37" s="22">
        <v>2660</v>
      </c>
      <c r="G37" s="20">
        <v>14</v>
      </c>
      <c r="H37" s="20" t="s">
        <v>566</v>
      </c>
      <c r="I37" s="18" t="s">
        <v>30</v>
      </c>
      <c r="J37" s="23">
        <v>45120</v>
      </c>
      <c r="K37" s="19"/>
      <c r="L37" s="26"/>
      <c r="M37" s="26"/>
      <c r="N37" s="26" t="s">
        <v>961</v>
      </c>
      <c r="O37" s="26"/>
      <c r="P37" s="26"/>
      <c r="Q37" s="26">
        <v>2660</v>
      </c>
      <c r="R37" s="26"/>
      <c r="S37" s="27">
        <v>115000</v>
      </c>
      <c r="T37" s="28">
        <f t="shared" si="1"/>
        <v>305900</v>
      </c>
    </row>
    <row r="38" spans="1:20" s="132" customFormat="1" ht="14.25" customHeight="1" x14ac:dyDescent="0.25">
      <c r="A38" s="25" t="s">
        <v>280</v>
      </c>
      <c r="B38" s="19" t="s">
        <v>956</v>
      </c>
      <c r="C38" s="19" t="s">
        <v>57</v>
      </c>
      <c r="D38" s="20" t="s">
        <v>282</v>
      </c>
      <c r="E38" s="33" t="s">
        <v>922</v>
      </c>
      <c r="F38" s="22">
        <v>5510</v>
      </c>
      <c r="G38" s="20">
        <v>29</v>
      </c>
      <c r="H38" s="20" t="s">
        <v>566</v>
      </c>
      <c r="I38" s="18" t="s">
        <v>30</v>
      </c>
      <c r="J38" s="23">
        <v>45120</v>
      </c>
      <c r="K38" s="19"/>
      <c r="L38" s="26"/>
      <c r="M38" s="26"/>
      <c r="N38" s="26" t="s">
        <v>962</v>
      </c>
      <c r="O38" s="26"/>
      <c r="P38" s="26"/>
      <c r="Q38" s="26">
        <v>5510</v>
      </c>
      <c r="R38" s="26"/>
      <c r="S38" s="27">
        <v>115000</v>
      </c>
      <c r="T38" s="28">
        <f t="shared" si="1"/>
        <v>633650</v>
      </c>
    </row>
    <row r="39" spans="1:20" s="132" customFormat="1" ht="14.25" customHeight="1" x14ac:dyDescent="0.25">
      <c r="A39" s="25" t="s">
        <v>280</v>
      </c>
      <c r="B39" s="19" t="s">
        <v>956</v>
      </c>
      <c r="C39" s="19" t="s">
        <v>57</v>
      </c>
      <c r="D39" s="20" t="s">
        <v>282</v>
      </c>
      <c r="E39" s="33" t="s">
        <v>908</v>
      </c>
      <c r="F39" s="22">
        <v>8550</v>
      </c>
      <c r="G39" s="20">
        <v>45</v>
      </c>
      <c r="H39" s="20" t="s">
        <v>566</v>
      </c>
      <c r="I39" s="18" t="s">
        <v>30</v>
      </c>
      <c r="J39" s="23">
        <v>45120</v>
      </c>
      <c r="K39" s="19"/>
      <c r="L39" s="26"/>
      <c r="M39" s="26"/>
      <c r="N39" s="26" t="s">
        <v>962</v>
      </c>
      <c r="O39" s="26"/>
      <c r="P39" s="26"/>
      <c r="Q39" s="26">
        <v>8550</v>
      </c>
      <c r="R39" s="26"/>
      <c r="S39" s="27">
        <v>115000</v>
      </c>
      <c r="T39" s="28">
        <f t="shared" si="1"/>
        <v>983250.00000000012</v>
      </c>
    </row>
    <row r="40" spans="1:20" s="132" customFormat="1" ht="14.25" customHeight="1" x14ac:dyDescent="0.25">
      <c r="A40" s="25" t="s">
        <v>280</v>
      </c>
      <c r="B40" s="19" t="s">
        <v>956</v>
      </c>
      <c r="C40" s="19" t="s">
        <v>57</v>
      </c>
      <c r="D40" s="20" t="s">
        <v>282</v>
      </c>
      <c r="E40" s="33" t="s">
        <v>931</v>
      </c>
      <c r="F40" s="22">
        <v>1140</v>
      </c>
      <c r="G40" s="20">
        <v>6</v>
      </c>
      <c r="H40" s="20" t="s">
        <v>566</v>
      </c>
      <c r="I40" s="18" t="s">
        <v>30</v>
      </c>
      <c r="J40" s="23">
        <v>45120</v>
      </c>
      <c r="K40" s="19"/>
      <c r="L40" s="26"/>
      <c r="M40" s="26"/>
      <c r="N40" s="26" t="s">
        <v>962</v>
      </c>
      <c r="O40" s="26"/>
      <c r="P40" s="26"/>
      <c r="Q40" s="26">
        <v>1140</v>
      </c>
      <c r="R40" s="26"/>
      <c r="S40" s="27">
        <v>115000</v>
      </c>
      <c r="T40" s="28">
        <f t="shared" si="1"/>
        <v>131100</v>
      </c>
    </row>
    <row r="41" spans="1:20" s="132" customFormat="1" x14ac:dyDescent="0.25">
      <c r="A41" s="26"/>
      <c r="B41" s="19" t="s">
        <v>125</v>
      </c>
      <c r="C41" s="19" t="s">
        <v>65</v>
      </c>
      <c r="D41" s="20" t="s">
        <v>66</v>
      </c>
      <c r="E41" s="33" t="s">
        <v>798</v>
      </c>
      <c r="F41" s="22">
        <v>600</v>
      </c>
      <c r="G41" s="20">
        <v>3</v>
      </c>
      <c r="H41" s="20" t="s">
        <v>29</v>
      </c>
      <c r="I41" s="18" t="s">
        <v>30</v>
      </c>
      <c r="J41" s="23">
        <v>45120</v>
      </c>
      <c r="K41" s="18" t="s">
        <v>963</v>
      </c>
      <c r="L41" s="26"/>
      <c r="M41" s="26" t="s">
        <v>964</v>
      </c>
      <c r="N41" s="26"/>
      <c r="O41" s="26"/>
      <c r="P41" s="26"/>
      <c r="Q41" s="26">
        <v>600</v>
      </c>
      <c r="R41" s="26"/>
      <c r="S41" s="27">
        <v>89900</v>
      </c>
      <c r="T41" s="28">
        <f t="shared" si="1"/>
        <v>53940</v>
      </c>
    </row>
    <row r="42" spans="1:20" s="132" customFormat="1" x14ac:dyDescent="0.25">
      <c r="A42" s="26"/>
      <c r="B42" s="19" t="s">
        <v>125</v>
      </c>
      <c r="C42" s="19" t="s">
        <v>65</v>
      </c>
      <c r="D42" s="20" t="s">
        <v>66</v>
      </c>
      <c r="E42" s="33" t="s">
        <v>965</v>
      </c>
      <c r="F42" s="22">
        <v>9000</v>
      </c>
      <c r="G42" s="20">
        <v>45</v>
      </c>
      <c r="H42" s="20" t="s">
        <v>29</v>
      </c>
      <c r="I42" s="18" t="s">
        <v>30</v>
      </c>
      <c r="J42" s="23">
        <v>45120</v>
      </c>
      <c r="K42" s="18" t="s">
        <v>963</v>
      </c>
      <c r="L42" s="26"/>
      <c r="M42" s="26"/>
      <c r="N42" s="26"/>
      <c r="O42" s="26"/>
      <c r="P42" s="26"/>
      <c r="Q42" s="26">
        <v>9000</v>
      </c>
      <c r="R42" s="26"/>
      <c r="S42" s="27">
        <v>89900</v>
      </c>
      <c r="T42" s="28">
        <f t="shared" si="1"/>
        <v>809100</v>
      </c>
    </row>
    <row r="43" spans="1:20" s="132" customFormat="1" x14ac:dyDescent="0.25">
      <c r="A43" s="26"/>
      <c r="B43" s="19" t="s">
        <v>159</v>
      </c>
      <c r="C43" s="19" t="s">
        <v>65</v>
      </c>
      <c r="D43" s="20" t="s">
        <v>66</v>
      </c>
      <c r="E43" s="33" t="s">
        <v>801</v>
      </c>
      <c r="F43" s="22">
        <v>8000</v>
      </c>
      <c r="G43" s="20">
        <v>40</v>
      </c>
      <c r="H43" s="20" t="s">
        <v>29</v>
      </c>
      <c r="I43" s="18" t="s">
        <v>30</v>
      </c>
      <c r="J43" s="23">
        <v>45120</v>
      </c>
      <c r="K43" s="18" t="s">
        <v>963</v>
      </c>
      <c r="L43" s="26"/>
      <c r="M43" s="26"/>
      <c r="N43" s="26"/>
      <c r="O43" s="26"/>
      <c r="P43" s="26"/>
      <c r="Q43" s="26">
        <v>8000</v>
      </c>
      <c r="R43" s="26"/>
      <c r="S43" s="27">
        <v>89900</v>
      </c>
      <c r="T43" s="28">
        <f t="shared" si="1"/>
        <v>719200</v>
      </c>
    </row>
    <row r="44" spans="1:20" s="132" customFormat="1" ht="15.75" customHeight="1" x14ac:dyDescent="0.25">
      <c r="A44" s="26"/>
      <c r="B44" s="19" t="s">
        <v>383</v>
      </c>
      <c r="C44" s="19" t="s">
        <v>109</v>
      </c>
      <c r="D44" s="20" t="s">
        <v>110</v>
      </c>
      <c r="E44" s="33" t="s">
        <v>943</v>
      </c>
      <c r="F44" s="22">
        <v>5600</v>
      </c>
      <c r="G44" s="20">
        <v>28</v>
      </c>
      <c r="H44" s="20" t="s">
        <v>112</v>
      </c>
      <c r="I44" s="18" t="s">
        <v>30</v>
      </c>
      <c r="J44" s="23">
        <v>45120</v>
      </c>
      <c r="K44" s="36" t="s">
        <v>477</v>
      </c>
      <c r="L44" s="28" t="s">
        <v>966</v>
      </c>
      <c r="M44" s="26" t="s">
        <v>115</v>
      </c>
      <c r="N44" s="26"/>
      <c r="O44" s="26"/>
      <c r="P44" s="26"/>
      <c r="Q44" s="26">
        <v>5600</v>
      </c>
      <c r="R44" s="26" t="s">
        <v>34</v>
      </c>
      <c r="S44" s="27">
        <v>65000</v>
      </c>
      <c r="T44" s="28">
        <f t="shared" si="1"/>
        <v>364000</v>
      </c>
    </row>
    <row r="45" spans="1:20" s="132" customFormat="1" ht="15.75" customHeight="1" x14ac:dyDescent="0.25">
      <c r="A45" s="26"/>
      <c r="B45" s="19" t="s">
        <v>383</v>
      </c>
      <c r="C45" s="19" t="s">
        <v>109</v>
      </c>
      <c r="D45" s="20" t="s">
        <v>110</v>
      </c>
      <c r="E45" s="21" t="s">
        <v>944</v>
      </c>
      <c r="F45" s="19">
        <v>5600</v>
      </c>
      <c r="G45" s="18">
        <v>28</v>
      </c>
      <c r="H45" s="18" t="s">
        <v>112</v>
      </c>
      <c r="I45" s="18" t="s">
        <v>30</v>
      </c>
      <c r="J45" s="23">
        <v>45120</v>
      </c>
      <c r="K45" s="36" t="s">
        <v>477</v>
      </c>
      <c r="L45" s="28"/>
      <c r="M45" s="26"/>
      <c r="N45" s="26"/>
      <c r="O45" s="26"/>
      <c r="P45" s="26"/>
      <c r="Q45" s="26">
        <v>5600</v>
      </c>
      <c r="R45" s="26" t="s">
        <v>34</v>
      </c>
      <c r="S45" s="27">
        <v>65000</v>
      </c>
      <c r="T45" s="28">
        <f t="shared" si="1"/>
        <v>364000</v>
      </c>
    </row>
    <row r="46" spans="1:20" s="132" customFormat="1" ht="15.75" customHeight="1" x14ac:dyDescent="0.25">
      <c r="A46" s="26"/>
      <c r="B46" s="19" t="s">
        <v>383</v>
      </c>
      <c r="C46" s="19" t="s">
        <v>109</v>
      </c>
      <c r="D46" s="20" t="s">
        <v>110</v>
      </c>
      <c r="E46" s="21" t="s">
        <v>922</v>
      </c>
      <c r="F46" s="19">
        <v>6400</v>
      </c>
      <c r="G46" s="18">
        <v>32</v>
      </c>
      <c r="H46" s="18" t="s">
        <v>112</v>
      </c>
      <c r="I46" s="18" t="s">
        <v>30</v>
      </c>
      <c r="J46" s="23">
        <v>45120</v>
      </c>
      <c r="K46" s="36" t="s">
        <v>477</v>
      </c>
      <c r="L46" s="28"/>
      <c r="M46" s="26"/>
      <c r="N46" s="26"/>
      <c r="O46" s="26"/>
      <c r="P46" s="26"/>
      <c r="Q46" s="26">
        <v>6400</v>
      </c>
      <c r="R46" s="26" t="s">
        <v>34</v>
      </c>
      <c r="S46" s="27">
        <v>65000</v>
      </c>
      <c r="T46" s="28">
        <f t="shared" si="1"/>
        <v>416000</v>
      </c>
    </row>
    <row r="47" spans="1:20" s="132" customFormat="1" ht="15.75" customHeight="1" x14ac:dyDescent="0.25">
      <c r="A47" s="25" t="s">
        <v>280</v>
      </c>
      <c r="B47" s="19" t="s">
        <v>967</v>
      </c>
      <c r="C47" s="19" t="s">
        <v>57</v>
      </c>
      <c r="D47" s="20" t="s">
        <v>282</v>
      </c>
      <c r="E47" s="21" t="s">
        <v>931</v>
      </c>
      <c r="F47" s="19">
        <v>7030</v>
      </c>
      <c r="G47" s="18">
        <v>37</v>
      </c>
      <c r="H47" s="18" t="s">
        <v>968</v>
      </c>
      <c r="I47" s="18" t="s">
        <v>30</v>
      </c>
      <c r="J47" s="23">
        <v>45121</v>
      </c>
      <c r="K47" s="19"/>
      <c r="L47" s="26"/>
      <c r="M47" s="26"/>
      <c r="N47" s="26" t="s">
        <v>969</v>
      </c>
      <c r="O47" s="26"/>
      <c r="P47" s="26"/>
      <c r="Q47" s="26">
        <v>7030</v>
      </c>
      <c r="R47" s="26"/>
      <c r="S47" s="27">
        <v>115000</v>
      </c>
      <c r="T47" s="28">
        <f t="shared" si="1"/>
        <v>808450</v>
      </c>
    </row>
    <row r="48" spans="1:20" s="132" customFormat="1" ht="14.25" customHeight="1" x14ac:dyDescent="0.25">
      <c r="A48" s="25" t="s">
        <v>280</v>
      </c>
      <c r="B48" s="19" t="s">
        <v>967</v>
      </c>
      <c r="C48" s="19" t="s">
        <v>57</v>
      </c>
      <c r="D48" s="20" t="s">
        <v>282</v>
      </c>
      <c r="E48" s="21" t="s">
        <v>970</v>
      </c>
      <c r="F48" s="19">
        <v>8170</v>
      </c>
      <c r="G48" s="18">
        <v>43</v>
      </c>
      <c r="H48" s="18" t="s">
        <v>968</v>
      </c>
      <c r="I48" s="18" t="s">
        <v>30</v>
      </c>
      <c r="J48" s="23">
        <v>45121</v>
      </c>
      <c r="K48" s="19"/>
      <c r="L48" s="26"/>
      <c r="M48" s="26"/>
      <c r="N48" s="26" t="s">
        <v>969</v>
      </c>
      <c r="O48" s="26"/>
      <c r="P48" s="26"/>
      <c r="Q48" s="26">
        <v>8170</v>
      </c>
      <c r="R48" s="26"/>
      <c r="S48" s="27">
        <v>115000</v>
      </c>
      <c r="T48" s="28">
        <f t="shared" si="1"/>
        <v>939550</v>
      </c>
    </row>
    <row r="49" spans="1:20" s="132" customFormat="1" ht="14.25" customHeight="1" x14ac:dyDescent="0.25">
      <c r="A49" s="25" t="s">
        <v>280</v>
      </c>
      <c r="B49" s="19" t="s">
        <v>967</v>
      </c>
      <c r="C49" s="19" t="s">
        <v>57</v>
      </c>
      <c r="D49" s="20" t="s">
        <v>282</v>
      </c>
      <c r="E49" s="21" t="s">
        <v>971</v>
      </c>
      <c r="F49" s="19">
        <v>8550</v>
      </c>
      <c r="G49" s="18">
        <v>45</v>
      </c>
      <c r="H49" s="18" t="s">
        <v>968</v>
      </c>
      <c r="I49" s="18" t="s">
        <v>30</v>
      </c>
      <c r="J49" s="23">
        <v>45121</v>
      </c>
      <c r="K49" s="19"/>
      <c r="L49" s="26"/>
      <c r="M49" s="26"/>
      <c r="N49" s="26" t="s">
        <v>972</v>
      </c>
      <c r="O49" s="26"/>
      <c r="P49" s="26"/>
      <c r="Q49" s="26">
        <v>8550</v>
      </c>
      <c r="R49" s="26"/>
      <c r="S49" s="27">
        <v>115000</v>
      </c>
      <c r="T49" s="28">
        <f t="shared" si="1"/>
        <v>983250.00000000012</v>
      </c>
    </row>
    <row r="50" spans="1:20" s="132" customFormat="1" ht="14.25" customHeight="1" x14ac:dyDescent="0.25">
      <c r="A50" s="25" t="s">
        <v>280</v>
      </c>
      <c r="B50" s="19" t="s">
        <v>967</v>
      </c>
      <c r="C50" s="19" t="s">
        <v>57</v>
      </c>
      <c r="D50" s="20" t="s">
        <v>282</v>
      </c>
      <c r="E50" s="21" t="s">
        <v>935</v>
      </c>
      <c r="F50" s="19">
        <v>6650</v>
      </c>
      <c r="G50" s="18">
        <v>35</v>
      </c>
      <c r="H50" s="18" t="s">
        <v>968</v>
      </c>
      <c r="I50" s="18" t="s">
        <v>30</v>
      </c>
      <c r="J50" s="23">
        <v>45121</v>
      </c>
      <c r="K50" s="19"/>
      <c r="L50" s="26"/>
      <c r="M50" s="26"/>
      <c r="N50" s="26" t="s">
        <v>972</v>
      </c>
      <c r="O50" s="26"/>
      <c r="P50" s="26"/>
      <c r="Q50" s="26">
        <v>6650</v>
      </c>
      <c r="R50" s="26"/>
      <c r="S50" s="27">
        <v>115000</v>
      </c>
      <c r="T50" s="28">
        <f t="shared" si="1"/>
        <v>764750</v>
      </c>
    </row>
    <row r="51" spans="1:20" s="132" customFormat="1" ht="14.25" customHeight="1" x14ac:dyDescent="0.25">
      <c r="A51" s="25" t="s">
        <v>280</v>
      </c>
      <c r="B51" s="19" t="s">
        <v>967</v>
      </c>
      <c r="C51" s="19" t="s">
        <v>57</v>
      </c>
      <c r="D51" s="20" t="s">
        <v>282</v>
      </c>
      <c r="E51" s="21" t="s">
        <v>935</v>
      </c>
      <c r="F51" s="19">
        <v>1710</v>
      </c>
      <c r="G51" s="18">
        <v>9</v>
      </c>
      <c r="H51" s="18" t="s">
        <v>968</v>
      </c>
      <c r="I51" s="18" t="s">
        <v>30</v>
      </c>
      <c r="J51" s="23">
        <v>45121</v>
      </c>
      <c r="K51" s="19"/>
      <c r="L51" s="26"/>
      <c r="M51" s="26"/>
      <c r="N51" s="26" t="s">
        <v>973</v>
      </c>
      <c r="O51" s="26"/>
      <c r="P51" s="26"/>
      <c r="Q51" s="26">
        <v>1710</v>
      </c>
      <c r="R51" s="26"/>
      <c r="S51" s="27">
        <v>115000</v>
      </c>
      <c r="T51" s="28">
        <f t="shared" si="1"/>
        <v>196650</v>
      </c>
    </row>
    <row r="52" spans="1:20" s="132" customFormat="1" ht="14.25" customHeight="1" x14ac:dyDescent="0.25">
      <c r="A52" s="25" t="s">
        <v>280</v>
      </c>
      <c r="B52" s="19" t="s">
        <v>967</v>
      </c>
      <c r="C52" s="19" t="s">
        <v>57</v>
      </c>
      <c r="D52" s="20" t="s">
        <v>282</v>
      </c>
      <c r="E52" s="21" t="s">
        <v>945</v>
      </c>
      <c r="F52" s="19">
        <v>8360</v>
      </c>
      <c r="G52" s="18">
        <v>44</v>
      </c>
      <c r="H52" s="18" t="s">
        <v>968</v>
      </c>
      <c r="I52" s="18" t="s">
        <v>30</v>
      </c>
      <c r="J52" s="23">
        <v>45121</v>
      </c>
      <c r="K52" s="19"/>
      <c r="L52" s="26"/>
      <c r="M52" s="26"/>
      <c r="N52" s="26" t="s">
        <v>973</v>
      </c>
      <c r="O52" s="26"/>
      <c r="P52" s="26"/>
      <c r="Q52" s="26">
        <v>8360</v>
      </c>
      <c r="R52" s="26"/>
      <c r="S52" s="27">
        <v>115000</v>
      </c>
      <c r="T52" s="28">
        <f t="shared" si="1"/>
        <v>961399.99999999988</v>
      </c>
    </row>
    <row r="53" spans="1:20" s="132" customFormat="1" ht="14.25" customHeight="1" x14ac:dyDescent="0.25">
      <c r="A53" s="25" t="s">
        <v>280</v>
      </c>
      <c r="B53" s="19" t="s">
        <v>967</v>
      </c>
      <c r="C53" s="19" t="s">
        <v>57</v>
      </c>
      <c r="D53" s="20" t="s">
        <v>282</v>
      </c>
      <c r="E53" s="21" t="s">
        <v>946</v>
      </c>
      <c r="F53" s="19">
        <v>5130</v>
      </c>
      <c r="G53" s="18">
        <v>27</v>
      </c>
      <c r="H53" s="18" t="s">
        <v>968</v>
      </c>
      <c r="I53" s="18" t="s">
        <v>30</v>
      </c>
      <c r="J53" s="23">
        <v>45121</v>
      </c>
      <c r="K53" s="19"/>
      <c r="L53" s="26"/>
      <c r="M53" s="26"/>
      <c r="N53" s="26" t="s">
        <v>973</v>
      </c>
      <c r="O53" s="26"/>
      <c r="P53" s="26"/>
      <c r="Q53" s="26">
        <v>5130</v>
      </c>
      <c r="R53" s="26"/>
      <c r="S53" s="27">
        <v>115000</v>
      </c>
      <c r="T53" s="28">
        <f t="shared" si="1"/>
        <v>589950</v>
      </c>
    </row>
    <row r="54" spans="1:20" s="132" customFormat="1" x14ac:dyDescent="0.25">
      <c r="A54" s="26"/>
      <c r="B54" s="19" t="s">
        <v>974</v>
      </c>
      <c r="C54" s="19" t="s">
        <v>893</v>
      </c>
      <c r="D54" s="20" t="s">
        <v>421</v>
      </c>
      <c r="E54" s="21" t="s">
        <v>931</v>
      </c>
      <c r="F54" s="19">
        <v>7200</v>
      </c>
      <c r="G54" s="18">
        <v>36</v>
      </c>
      <c r="H54" s="18" t="s">
        <v>975</v>
      </c>
      <c r="I54" s="18" t="s">
        <v>30</v>
      </c>
      <c r="J54" s="23">
        <v>45121</v>
      </c>
      <c r="K54" s="18" t="s">
        <v>482</v>
      </c>
      <c r="L54" s="19" t="s">
        <v>585</v>
      </c>
      <c r="M54" s="19" t="s">
        <v>408</v>
      </c>
      <c r="N54" s="26"/>
      <c r="O54" s="26"/>
      <c r="P54" s="26"/>
      <c r="Q54" s="26">
        <v>7200</v>
      </c>
      <c r="R54" s="26" t="s">
        <v>34</v>
      </c>
      <c r="S54" s="27">
        <v>165000</v>
      </c>
      <c r="T54" s="28">
        <f t="shared" si="1"/>
        <v>1188000</v>
      </c>
    </row>
    <row r="55" spans="1:20" s="132" customFormat="1" x14ac:dyDescent="0.25">
      <c r="A55" s="26"/>
      <c r="B55" s="19" t="s">
        <v>974</v>
      </c>
      <c r="C55" s="19" t="s">
        <v>893</v>
      </c>
      <c r="D55" s="20" t="s">
        <v>421</v>
      </c>
      <c r="E55" s="21" t="s">
        <v>945</v>
      </c>
      <c r="F55" s="19">
        <v>10400</v>
      </c>
      <c r="G55" s="18">
        <v>52</v>
      </c>
      <c r="H55" s="18" t="s">
        <v>975</v>
      </c>
      <c r="I55" s="18" t="s">
        <v>30</v>
      </c>
      <c r="J55" s="23">
        <v>45121</v>
      </c>
      <c r="K55" s="18" t="s">
        <v>482</v>
      </c>
      <c r="L55" s="19"/>
      <c r="M55" s="19"/>
      <c r="N55" s="26"/>
      <c r="O55" s="26"/>
      <c r="P55" s="26"/>
      <c r="Q55" s="26">
        <v>10400</v>
      </c>
      <c r="R55" s="26" t="s">
        <v>34</v>
      </c>
      <c r="S55" s="27">
        <v>165000</v>
      </c>
      <c r="T55" s="28">
        <f t="shared" si="1"/>
        <v>1716000</v>
      </c>
    </row>
    <row r="56" spans="1:20" s="132" customFormat="1" x14ac:dyDescent="0.25">
      <c r="A56" s="26"/>
      <c r="B56" s="19" t="s">
        <v>974</v>
      </c>
      <c r="C56" s="19" t="s">
        <v>893</v>
      </c>
      <c r="D56" s="20" t="s">
        <v>421</v>
      </c>
      <c r="E56" s="21" t="s">
        <v>945</v>
      </c>
      <c r="F56" s="19">
        <v>4800</v>
      </c>
      <c r="G56" s="18">
        <v>24</v>
      </c>
      <c r="H56" s="18" t="s">
        <v>975</v>
      </c>
      <c r="I56" s="18" t="s">
        <v>30</v>
      </c>
      <c r="J56" s="23">
        <v>45124</v>
      </c>
      <c r="K56" s="18" t="s">
        <v>976</v>
      </c>
      <c r="L56" s="19" t="s">
        <v>977</v>
      </c>
      <c r="M56" s="19" t="s">
        <v>978</v>
      </c>
      <c r="N56" s="26"/>
      <c r="O56" s="26"/>
      <c r="P56" s="26"/>
      <c r="Q56" s="26">
        <v>4800</v>
      </c>
      <c r="R56" s="26" t="s">
        <v>34</v>
      </c>
      <c r="S56" s="27">
        <v>165000</v>
      </c>
      <c r="T56" s="28">
        <f t="shared" si="1"/>
        <v>792000</v>
      </c>
    </row>
    <row r="57" spans="1:20" s="132" customFormat="1" x14ac:dyDescent="0.25">
      <c r="A57" s="26"/>
      <c r="B57" s="19" t="s">
        <v>974</v>
      </c>
      <c r="C57" s="19" t="s">
        <v>893</v>
      </c>
      <c r="D57" s="20" t="s">
        <v>421</v>
      </c>
      <c r="E57" s="21" t="s">
        <v>946</v>
      </c>
      <c r="F57" s="19">
        <v>12000</v>
      </c>
      <c r="G57" s="18">
        <v>60</v>
      </c>
      <c r="H57" s="18" t="s">
        <v>975</v>
      </c>
      <c r="I57" s="18" t="s">
        <v>30</v>
      </c>
      <c r="J57" s="23">
        <v>45124</v>
      </c>
      <c r="K57" s="18" t="s">
        <v>976</v>
      </c>
      <c r="L57" s="19"/>
      <c r="M57" s="19"/>
      <c r="N57" s="26"/>
      <c r="O57" s="26"/>
      <c r="P57" s="26"/>
      <c r="Q57" s="26">
        <v>12000</v>
      </c>
      <c r="R57" s="26" t="s">
        <v>34</v>
      </c>
      <c r="S57" s="27">
        <v>165000</v>
      </c>
      <c r="T57" s="28">
        <f t="shared" si="1"/>
        <v>1980000</v>
      </c>
    </row>
    <row r="58" spans="1:20" s="132" customFormat="1" x14ac:dyDescent="0.25">
      <c r="A58" s="26"/>
      <c r="B58" s="19" t="s">
        <v>974</v>
      </c>
      <c r="C58" s="19" t="s">
        <v>893</v>
      </c>
      <c r="D58" s="20" t="s">
        <v>421</v>
      </c>
      <c r="E58" s="21" t="s">
        <v>979</v>
      </c>
      <c r="F58" s="19">
        <v>800</v>
      </c>
      <c r="G58" s="18">
        <v>4</v>
      </c>
      <c r="H58" s="18" t="s">
        <v>975</v>
      </c>
      <c r="I58" s="18" t="s">
        <v>30</v>
      </c>
      <c r="J58" s="23">
        <v>45124</v>
      </c>
      <c r="K58" s="18" t="s">
        <v>976</v>
      </c>
      <c r="L58" s="19"/>
      <c r="M58" s="19"/>
      <c r="N58" s="26"/>
      <c r="O58" s="26"/>
      <c r="P58" s="26"/>
      <c r="Q58" s="26">
        <v>800</v>
      </c>
      <c r="R58" s="26" t="s">
        <v>34</v>
      </c>
      <c r="S58" s="27">
        <v>165000</v>
      </c>
      <c r="T58" s="28">
        <f t="shared" si="1"/>
        <v>132000</v>
      </c>
    </row>
    <row r="59" spans="1:20" s="132" customFormat="1" x14ac:dyDescent="0.25">
      <c r="A59" s="26"/>
      <c r="B59" s="19" t="s">
        <v>897</v>
      </c>
      <c r="C59" s="19" t="s">
        <v>893</v>
      </c>
      <c r="D59" s="20" t="s">
        <v>421</v>
      </c>
      <c r="E59" s="21" t="s">
        <v>979</v>
      </c>
      <c r="F59" s="19">
        <v>11200</v>
      </c>
      <c r="G59" s="18">
        <v>56</v>
      </c>
      <c r="H59" s="18" t="s">
        <v>448</v>
      </c>
      <c r="I59" s="18" t="s">
        <v>30</v>
      </c>
      <c r="J59" s="23">
        <v>45124</v>
      </c>
      <c r="K59" s="18" t="s">
        <v>980</v>
      </c>
      <c r="L59" s="19" t="s">
        <v>981</v>
      </c>
      <c r="M59" s="19" t="s">
        <v>982</v>
      </c>
      <c r="N59" s="26"/>
      <c r="O59" s="26"/>
      <c r="P59" s="26"/>
      <c r="Q59" s="26">
        <v>11200</v>
      </c>
      <c r="R59" s="26" t="s">
        <v>34</v>
      </c>
      <c r="S59" s="27">
        <v>165000</v>
      </c>
      <c r="T59" s="28">
        <f t="shared" si="1"/>
        <v>1847999.9999999998</v>
      </c>
    </row>
    <row r="60" spans="1:20" s="132" customFormat="1" x14ac:dyDescent="0.25">
      <c r="A60" s="26"/>
      <c r="B60" s="19" t="s">
        <v>897</v>
      </c>
      <c r="C60" s="19" t="s">
        <v>893</v>
      </c>
      <c r="D60" s="20" t="s">
        <v>421</v>
      </c>
      <c r="E60" s="21" t="s">
        <v>692</v>
      </c>
      <c r="F60" s="19">
        <v>6400</v>
      </c>
      <c r="G60" s="18">
        <v>32</v>
      </c>
      <c r="H60" s="18" t="s">
        <v>448</v>
      </c>
      <c r="I60" s="18" t="s">
        <v>30</v>
      </c>
      <c r="J60" s="23">
        <v>45124</v>
      </c>
      <c r="K60" s="18" t="s">
        <v>980</v>
      </c>
      <c r="L60" s="19"/>
      <c r="M60" s="19"/>
      <c r="N60" s="26"/>
      <c r="O60" s="26"/>
      <c r="P60" s="26"/>
      <c r="Q60" s="26">
        <v>6400</v>
      </c>
      <c r="R60" s="26" t="s">
        <v>34</v>
      </c>
      <c r="S60" s="27">
        <v>165000</v>
      </c>
      <c r="T60" s="28">
        <f t="shared" si="1"/>
        <v>1056000</v>
      </c>
    </row>
    <row r="61" spans="1:20" s="132" customFormat="1" x14ac:dyDescent="0.25">
      <c r="A61" s="26"/>
      <c r="B61" s="19" t="s">
        <v>936</v>
      </c>
      <c r="C61" s="19" t="s">
        <v>937</v>
      </c>
      <c r="D61" s="20" t="s">
        <v>110</v>
      </c>
      <c r="E61" s="21" t="s">
        <v>922</v>
      </c>
      <c r="F61" s="19">
        <v>200</v>
      </c>
      <c r="G61" s="18">
        <v>1</v>
      </c>
      <c r="H61" s="18" t="s">
        <v>29</v>
      </c>
      <c r="I61" s="18" t="s">
        <v>30</v>
      </c>
      <c r="J61" s="23">
        <v>45124</v>
      </c>
      <c r="K61" s="18" t="s">
        <v>983</v>
      </c>
      <c r="L61" s="26"/>
      <c r="M61" s="26" t="s">
        <v>984</v>
      </c>
      <c r="N61" s="26"/>
      <c r="O61" s="26"/>
      <c r="P61" s="26"/>
      <c r="Q61" s="26">
        <v>200</v>
      </c>
      <c r="R61" s="26"/>
      <c r="S61" s="27">
        <v>68000</v>
      </c>
      <c r="T61" s="28">
        <f t="shared" si="1"/>
        <v>13600</v>
      </c>
    </row>
    <row r="62" spans="1:20" s="132" customFormat="1" x14ac:dyDescent="0.25">
      <c r="A62" s="26"/>
      <c r="B62" s="19" t="s">
        <v>936</v>
      </c>
      <c r="C62" s="19" t="s">
        <v>937</v>
      </c>
      <c r="D62" s="20" t="s">
        <v>110</v>
      </c>
      <c r="E62" s="21" t="s">
        <v>692</v>
      </c>
      <c r="F62" s="19">
        <v>800</v>
      </c>
      <c r="G62" s="18">
        <v>4</v>
      </c>
      <c r="H62" s="18" t="s">
        <v>29</v>
      </c>
      <c r="I62" s="18" t="s">
        <v>30</v>
      </c>
      <c r="J62" s="23">
        <v>45124</v>
      </c>
      <c r="K62" s="18" t="s">
        <v>983</v>
      </c>
      <c r="L62" s="26"/>
      <c r="M62" s="26" t="s">
        <v>984</v>
      </c>
      <c r="N62" s="26"/>
      <c r="O62" s="26"/>
      <c r="P62" s="26"/>
      <c r="Q62" s="26">
        <v>800</v>
      </c>
      <c r="R62" s="26"/>
      <c r="S62" s="27">
        <v>68000</v>
      </c>
      <c r="T62" s="28">
        <f t="shared" si="1"/>
        <v>54400</v>
      </c>
    </row>
    <row r="63" spans="1:20" s="132" customFormat="1" x14ac:dyDescent="0.25">
      <c r="A63" s="26"/>
      <c r="B63" s="19" t="s">
        <v>936</v>
      </c>
      <c r="C63" s="19" t="s">
        <v>937</v>
      </c>
      <c r="D63" s="20" t="s">
        <v>492</v>
      </c>
      <c r="E63" s="21" t="s">
        <v>692</v>
      </c>
      <c r="F63" s="19">
        <v>2500</v>
      </c>
      <c r="G63" s="18">
        <v>100</v>
      </c>
      <c r="H63" s="18" t="s">
        <v>29</v>
      </c>
      <c r="I63" s="18" t="s">
        <v>30</v>
      </c>
      <c r="J63" s="23">
        <v>45124</v>
      </c>
      <c r="K63" s="18" t="s">
        <v>983</v>
      </c>
      <c r="L63" s="26"/>
      <c r="M63" s="26" t="s">
        <v>984</v>
      </c>
      <c r="N63" s="26"/>
      <c r="O63" s="26"/>
      <c r="P63" s="26">
        <v>2500</v>
      </c>
      <c r="Q63" s="26"/>
      <c r="R63" s="26"/>
      <c r="S63" s="27">
        <v>255000</v>
      </c>
      <c r="T63" s="28">
        <f t="shared" si="1"/>
        <v>637500</v>
      </c>
    </row>
    <row r="64" spans="1:20" s="132" customFormat="1" x14ac:dyDescent="0.25">
      <c r="A64" s="26"/>
      <c r="B64" s="19" t="s">
        <v>466</v>
      </c>
      <c r="C64" s="19" t="s">
        <v>913</v>
      </c>
      <c r="D64" s="20" t="s">
        <v>86</v>
      </c>
      <c r="E64" s="21" t="s">
        <v>389</v>
      </c>
      <c r="F64" s="19">
        <v>20000</v>
      </c>
      <c r="G64" s="18">
        <v>800</v>
      </c>
      <c r="H64" s="18" t="s">
        <v>322</v>
      </c>
      <c r="I64" s="18" t="s">
        <v>30</v>
      </c>
      <c r="J64" s="23">
        <v>45124</v>
      </c>
      <c r="K64" s="26" t="s">
        <v>985</v>
      </c>
      <c r="L64" s="26" t="s">
        <v>986</v>
      </c>
      <c r="M64" s="26" t="s">
        <v>355</v>
      </c>
      <c r="N64" s="26"/>
      <c r="O64" s="26">
        <v>20000</v>
      </c>
      <c r="P64" s="26"/>
      <c r="Q64" s="26"/>
      <c r="R64" s="26" t="s">
        <v>34</v>
      </c>
      <c r="S64" s="27">
        <v>41000</v>
      </c>
      <c r="T64" s="28">
        <f t="shared" si="1"/>
        <v>820000</v>
      </c>
    </row>
    <row r="65" spans="1:20" s="132" customFormat="1" ht="14.25" customHeight="1" x14ac:dyDescent="0.25">
      <c r="A65" s="25"/>
      <c r="B65" s="19" t="s">
        <v>987</v>
      </c>
      <c r="C65" s="19" t="s">
        <v>26</v>
      </c>
      <c r="D65" s="20" t="s">
        <v>365</v>
      </c>
      <c r="E65" s="21" t="s">
        <v>988</v>
      </c>
      <c r="F65" s="19">
        <v>1295</v>
      </c>
      <c r="G65" s="18">
        <v>7</v>
      </c>
      <c r="H65" s="18" t="s">
        <v>989</v>
      </c>
      <c r="I65" s="18" t="s">
        <v>30</v>
      </c>
      <c r="J65" s="23">
        <v>45124</v>
      </c>
      <c r="K65" s="19" t="s">
        <v>990</v>
      </c>
      <c r="L65" s="26" t="s">
        <v>991</v>
      </c>
      <c r="M65" s="26" t="s">
        <v>992</v>
      </c>
      <c r="N65" s="26"/>
      <c r="O65" s="26"/>
      <c r="P65" s="26"/>
      <c r="Q65" s="26">
        <v>1295</v>
      </c>
      <c r="R65" s="26" t="s">
        <v>34</v>
      </c>
      <c r="S65" s="27">
        <v>58193</v>
      </c>
      <c r="T65" s="28">
        <f t="shared" si="1"/>
        <v>75359.934999999998</v>
      </c>
    </row>
    <row r="66" spans="1:20" s="132" customFormat="1" ht="14.25" customHeight="1" x14ac:dyDescent="0.25">
      <c r="A66" s="25"/>
      <c r="B66" s="19" t="s">
        <v>993</v>
      </c>
      <c r="C66" s="19" t="s">
        <v>26</v>
      </c>
      <c r="D66" s="20" t="s">
        <v>994</v>
      </c>
      <c r="E66" s="21"/>
      <c r="F66" s="19">
        <v>1634</v>
      </c>
      <c r="G66" s="18">
        <v>144</v>
      </c>
      <c r="H66" s="18" t="s">
        <v>989</v>
      </c>
      <c r="I66" s="18" t="s">
        <v>30</v>
      </c>
      <c r="J66" s="23">
        <v>45124</v>
      </c>
      <c r="K66" s="19" t="s">
        <v>990</v>
      </c>
      <c r="L66" s="26"/>
      <c r="M66" s="26"/>
      <c r="N66" s="26"/>
      <c r="O66" s="26"/>
      <c r="P66" s="26">
        <v>1634</v>
      </c>
      <c r="Q66" s="26"/>
      <c r="R66" s="26" t="s">
        <v>34</v>
      </c>
      <c r="S66" s="27">
        <v>990000</v>
      </c>
      <c r="T66" s="28">
        <f t="shared" si="1"/>
        <v>1617660</v>
      </c>
    </row>
    <row r="67" spans="1:20" s="132" customFormat="1" ht="14.25" customHeight="1" x14ac:dyDescent="0.25">
      <c r="A67" s="25"/>
      <c r="B67" s="19" t="s">
        <v>993</v>
      </c>
      <c r="C67" s="19" t="s">
        <v>26</v>
      </c>
      <c r="D67" s="20" t="s">
        <v>995</v>
      </c>
      <c r="E67" s="21"/>
      <c r="F67" s="19">
        <v>3814</v>
      </c>
      <c r="G67" s="18">
        <v>336</v>
      </c>
      <c r="H67" s="18" t="s">
        <v>989</v>
      </c>
      <c r="I67" s="18" t="s">
        <v>30</v>
      </c>
      <c r="J67" s="23">
        <v>45124</v>
      </c>
      <c r="K67" s="19" t="s">
        <v>990</v>
      </c>
      <c r="L67" s="26"/>
      <c r="M67" s="26"/>
      <c r="N67" s="26"/>
      <c r="O67" s="26"/>
      <c r="P67" s="26">
        <v>3814</v>
      </c>
      <c r="Q67" s="26"/>
      <c r="R67" s="26" t="s">
        <v>34</v>
      </c>
      <c r="S67" s="27">
        <v>990000</v>
      </c>
      <c r="T67" s="28">
        <f t="shared" si="1"/>
        <v>3775860</v>
      </c>
    </row>
    <row r="68" spans="1:20" s="132" customFormat="1" x14ac:dyDescent="0.25">
      <c r="A68" s="26"/>
      <c r="B68" s="19" t="s">
        <v>996</v>
      </c>
      <c r="C68" s="19" t="s">
        <v>85</v>
      </c>
      <c r="D68" s="20" t="s">
        <v>86</v>
      </c>
      <c r="E68" s="21" t="s">
        <v>389</v>
      </c>
      <c r="F68" s="19">
        <v>20000</v>
      </c>
      <c r="G68" s="18">
        <v>800</v>
      </c>
      <c r="H68" s="18" t="s">
        <v>737</v>
      </c>
      <c r="I68" s="18" t="s">
        <v>30</v>
      </c>
      <c r="J68" s="23">
        <v>45124</v>
      </c>
      <c r="K68" s="18" t="s">
        <v>997</v>
      </c>
      <c r="L68" s="26" t="s">
        <v>998</v>
      </c>
      <c r="M68" s="26" t="s">
        <v>999</v>
      </c>
      <c r="N68" s="26"/>
      <c r="O68" s="26">
        <v>20000</v>
      </c>
      <c r="P68" s="26"/>
      <c r="Q68" s="26"/>
      <c r="R68" s="26" t="s">
        <v>34</v>
      </c>
      <c r="S68" s="27">
        <v>42000</v>
      </c>
      <c r="T68" s="28">
        <f t="shared" si="1"/>
        <v>840000</v>
      </c>
    </row>
    <row r="69" spans="1:20" s="132" customFormat="1" x14ac:dyDescent="0.25">
      <c r="A69" s="26"/>
      <c r="B69" s="19" t="s">
        <v>1000</v>
      </c>
      <c r="C69" s="19" t="s">
        <v>774</v>
      </c>
      <c r="D69" s="20" t="s">
        <v>66</v>
      </c>
      <c r="E69" s="21" t="s">
        <v>798</v>
      </c>
      <c r="F69" s="19">
        <v>400</v>
      </c>
      <c r="G69" s="18">
        <v>2</v>
      </c>
      <c r="H69" s="18" t="s">
        <v>29</v>
      </c>
      <c r="I69" s="18" t="s">
        <v>30</v>
      </c>
      <c r="J69" s="23">
        <v>45125</v>
      </c>
      <c r="K69" s="18" t="s">
        <v>1001</v>
      </c>
      <c r="L69" s="26" t="s">
        <v>1002</v>
      </c>
      <c r="M69" s="26" t="s">
        <v>1003</v>
      </c>
      <c r="N69" s="26"/>
      <c r="O69" s="26"/>
      <c r="P69" s="26"/>
      <c r="Q69" s="26">
        <v>400</v>
      </c>
      <c r="R69" s="26"/>
      <c r="S69" s="27">
        <v>110000</v>
      </c>
      <c r="T69" s="28">
        <f t="shared" si="1"/>
        <v>44000</v>
      </c>
    </row>
    <row r="70" spans="1:20" s="132" customFormat="1" ht="13.5" customHeight="1" x14ac:dyDescent="0.25">
      <c r="A70" s="25"/>
      <c r="B70" s="19" t="s">
        <v>1004</v>
      </c>
      <c r="C70" s="19" t="s">
        <v>439</v>
      </c>
      <c r="D70" s="20" t="s">
        <v>445</v>
      </c>
      <c r="E70" s="21" t="s">
        <v>1005</v>
      </c>
      <c r="F70" s="19">
        <v>20000</v>
      </c>
      <c r="G70" s="18">
        <v>800</v>
      </c>
      <c r="H70" s="18" t="s">
        <v>29</v>
      </c>
      <c r="I70" s="18" t="s">
        <v>30</v>
      </c>
      <c r="J70" s="23">
        <v>45125</v>
      </c>
      <c r="K70" s="19" t="s">
        <v>1006</v>
      </c>
      <c r="L70" s="26"/>
      <c r="M70" s="26" t="s">
        <v>1007</v>
      </c>
      <c r="N70" s="26"/>
      <c r="O70" s="26">
        <v>20000</v>
      </c>
      <c r="P70" s="26"/>
      <c r="Q70" s="26"/>
      <c r="R70" s="26"/>
      <c r="S70" s="27">
        <v>45000</v>
      </c>
      <c r="T70" s="28">
        <f t="shared" si="1"/>
        <v>900000</v>
      </c>
    </row>
    <row r="71" spans="1:20" s="17" customFormat="1" x14ac:dyDescent="0.25">
      <c r="A71" s="26"/>
      <c r="B71" s="19" t="s">
        <v>1008</v>
      </c>
      <c r="C71" s="19" t="s">
        <v>713</v>
      </c>
      <c r="D71" s="20" t="s">
        <v>66</v>
      </c>
      <c r="E71" s="21" t="s">
        <v>798</v>
      </c>
      <c r="F71" s="19">
        <v>200</v>
      </c>
      <c r="G71" s="18">
        <v>1</v>
      </c>
      <c r="H71" s="18" t="s">
        <v>29</v>
      </c>
      <c r="I71" s="18" t="s">
        <v>30</v>
      </c>
      <c r="J71" s="23">
        <v>45126</v>
      </c>
      <c r="K71" s="18" t="s">
        <v>1009</v>
      </c>
      <c r="L71" s="26"/>
      <c r="M71" s="26" t="s">
        <v>1010</v>
      </c>
      <c r="N71" s="26"/>
      <c r="O71" s="26"/>
      <c r="P71" s="26"/>
      <c r="Q71" s="26">
        <v>200</v>
      </c>
      <c r="R71" s="26"/>
      <c r="S71" s="27">
        <v>85000</v>
      </c>
      <c r="T71" s="28">
        <f t="shared" si="1"/>
        <v>17000</v>
      </c>
    </row>
    <row r="72" spans="1:20" s="17" customFormat="1" x14ac:dyDescent="0.25">
      <c r="A72" s="26"/>
      <c r="B72" s="19" t="s">
        <v>1008</v>
      </c>
      <c r="C72" s="19" t="s">
        <v>713</v>
      </c>
      <c r="D72" s="20" t="s">
        <v>440</v>
      </c>
      <c r="E72" s="21" t="s">
        <v>803</v>
      </c>
      <c r="F72" s="19">
        <v>200</v>
      </c>
      <c r="G72" s="18">
        <v>10</v>
      </c>
      <c r="H72" s="18" t="s">
        <v>29</v>
      </c>
      <c r="I72" s="18" t="s">
        <v>30</v>
      </c>
      <c r="J72" s="23">
        <v>45126</v>
      </c>
      <c r="K72" s="18" t="s">
        <v>1009</v>
      </c>
      <c r="L72" s="26"/>
      <c r="M72" s="26"/>
      <c r="N72" s="26"/>
      <c r="O72" s="26"/>
      <c r="P72" s="26">
        <v>200</v>
      </c>
      <c r="Q72" s="26"/>
      <c r="R72" s="26"/>
      <c r="S72" s="27">
        <v>77000</v>
      </c>
      <c r="T72" s="28">
        <f t="shared" si="1"/>
        <v>15400</v>
      </c>
    </row>
    <row r="73" spans="1:20" s="132" customFormat="1" ht="13.5" customHeight="1" x14ac:dyDescent="0.25">
      <c r="A73" s="25"/>
      <c r="B73" s="19" t="s">
        <v>763</v>
      </c>
      <c r="C73" s="19" t="s">
        <v>26</v>
      </c>
      <c r="D73" s="20" t="s">
        <v>27</v>
      </c>
      <c r="E73" s="21" t="s">
        <v>946</v>
      </c>
      <c r="F73" s="19">
        <v>20000</v>
      </c>
      <c r="G73" s="18">
        <v>800</v>
      </c>
      <c r="H73" s="18" t="s">
        <v>129</v>
      </c>
      <c r="I73" s="18" t="s">
        <v>30</v>
      </c>
      <c r="J73" s="23">
        <v>45126</v>
      </c>
      <c r="K73" s="19" t="s">
        <v>1011</v>
      </c>
      <c r="L73" s="26" t="s">
        <v>1012</v>
      </c>
      <c r="M73" s="26" t="s">
        <v>1013</v>
      </c>
      <c r="N73" s="26"/>
      <c r="O73" s="26">
        <v>20000</v>
      </c>
      <c r="P73" s="26"/>
      <c r="Q73" s="26"/>
      <c r="R73" s="26" t="s">
        <v>34</v>
      </c>
      <c r="S73" s="27">
        <v>41000</v>
      </c>
      <c r="T73" s="28">
        <f t="shared" si="1"/>
        <v>820000</v>
      </c>
    </row>
    <row r="74" spans="1:20" s="132" customFormat="1" ht="14.25" customHeight="1" x14ac:dyDescent="0.25">
      <c r="A74" s="25"/>
      <c r="B74" s="19" t="s">
        <v>108</v>
      </c>
      <c r="C74" s="19" t="s">
        <v>863</v>
      </c>
      <c r="D74" s="20" t="s">
        <v>864</v>
      </c>
      <c r="E74" s="21" t="s">
        <v>696</v>
      </c>
      <c r="F74" s="19">
        <v>10008</v>
      </c>
      <c r="G74" s="18">
        <v>556</v>
      </c>
      <c r="H74" s="18" t="s">
        <v>29</v>
      </c>
      <c r="I74" s="18" t="s">
        <v>30</v>
      </c>
      <c r="J74" s="23">
        <v>45127</v>
      </c>
      <c r="K74" s="19" t="s">
        <v>1014</v>
      </c>
      <c r="L74" s="26" t="s">
        <v>1015</v>
      </c>
      <c r="M74" s="26" t="s">
        <v>1016</v>
      </c>
      <c r="N74" s="26"/>
      <c r="O74" s="26"/>
      <c r="P74" s="26">
        <v>10008</v>
      </c>
      <c r="Q74" s="26"/>
      <c r="R74" s="26"/>
      <c r="S74" s="27">
        <v>280000</v>
      </c>
      <c r="T74" s="28">
        <f t="shared" ref="T74:T97" si="2">S74*(F74/1000)</f>
        <v>2802239.9999999995</v>
      </c>
    </row>
    <row r="75" spans="1:20" s="132" customFormat="1" ht="14.25" customHeight="1" x14ac:dyDescent="0.25">
      <c r="A75" s="26"/>
      <c r="B75" s="19" t="s">
        <v>413</v>
      </c>
      <c r="C75" s="19" t="s">
        <v>1017</v>
      </c>
      <c r="D75" s="18" t="s">
        <v>680</v>
      </c>
      <c r="E75" s="21" t="s">
        <v>971</v>
      </c>
      <c r="F75" s="19">
        <v>5000</v>
      </c>
      <c r="G75" s="18">
        <v>25</v>
      </c>
      <c r="H75" s="18" t="s">
        <v>29</v>
      </c>
      <c r="I75" s="18" t="s">
        <v>30</v>
      </c>
      <c r="J75" s="23">
        <v>45127</v>
      </c>
      <c r="K75" s="18" t="s">
        <v>1018</v>
      </c>
      <c r="L75" s="26" t="s">
        <v>1019</v>
      </c>
      <c r="M75" s="26" t="s">
        <v>1020</v>
      </c>
      <c r="N75" s="26"/>
      <c r="O75" s="26"/>
      <c r="P75" s="26"/>
      <c r="Q75" s="26">
        <v>5000</v>
      </c>
      <c r="R75" s="26"/>
      <c r="S75" s="27">
        <v>110000</v>
      </c>
      <c r="T75" s="28">
        <f t="shared" si="2"/>
        <v>550000</v>
      </c>
    </row>
    <row r="76" spans="1:20" s="132" customFormat="1" ht="14.25" customHeight="1" x14ac:dyDescent="0.25">
      <c r="A76" s="26"/>
      <c r="B76" s="19" t="s">
        <v>413</v>
      </c>
      <c r="C76" s="19" t="s">
        <v>1017</v>
      </c>
      <c r="D76" s="18" t="s">
        <v>680</v>
      </c>
      <c r="E76" s="21" t="s">
        <v>935</v>
      </c>
      <c r="F76" s="19">
        <v>5000</v>
      </c>
      <c r="G76" s="18">
        <v>25</v>
      </c>
      <c r="H76" s="18" t="s">
        <v>29</v>
      </c>
      <c r="I76" s="18" t="s">
        <v>30</v>
      </c>
      <c r="J76" s="23">
        <v>45127</v>
      </c>
      <c r="K76" s="18" t="s">
        <v>1018</v>
      </c>
      <c r="L76" s="26"/>
      <c r="M76" s="26"/>
      <c r="N76" s="26"/>
      <c r="O76" s="26"/>
      <c r="P76" s="26"/>
      <c r="Q76" s="26">
        <v>5000</v>
      </c>
      <c r="R76" s="26"/>
      <c r="S76" s="27">
        <v>110000</v>
      </c>
      <c r="T76" s="28">
        <f t="shared" si="2"/>
        <v>550000</v>
      </c>
    </row>
    <row r="77" spans="1:20" s="132" customFormat="1" ht="14.25" customHeight="1" x14ac:dyDescent="0.25">
      <c r="A77" s="25"/>
      <c r="B77" s="19" t="s">
        <v>297</v>
      </c>
      <c r="C77" s="19" t="s">
        <v>1017</v>
      </c>
      <c r="D77" s="20" t="s">
        <v>1021</v>
      </c>
      <c r="E77" s="21" t="s">
        <v>908</v>
      </c>
      <c r="F77" s="19">
        <v>3200</v>
      </c>
      <c r="G77" s="18">
        <v>16</v>
      </c>
      <c r="H77" s="18" t="s">
        <v>29</v>
      </c>
      <c r="I77" s="18" t="s">
        <v>30</v>
      </c>
      <c r="J77" s="23">
        <v>45127</v>
      </c>
      <c r="K77" s="19" t="s">
        <v>1018</v>
      </c>
      <c r="L77" s="26"/>
      <c r="M77" s="26"/>
      <c r="N77" s="26"/>
      <c r="O77" s="26"/>
      <c r="P77" s="26"/>
      <c r="Q77" s="26">
        <v>3200</v>
      </c>
      <c r="R77" s="26"/>
      <c r="S77" s="27">
        <v>95000</v>
      </c>
      <c r="T77" s="28">
        <f t="shared" si="2"/>
        <v>304000</v>
      </c>
    </row>
    <row r="78" spans="1:20" s="132" customFormat="1" x14ac:dyDescent="0.25">
      <c r="A78" s="26"/>
      <c r="B78" s="19" t="s">
        <v>1022</v>
      </c>
      <c r="C78" s="19" t="s">
        <v>1017</v>
      </c>
      <c r="D78" s="18" t="s">
        <v>165</v>
      </c>
      <c r="E78" s="21" t="s">
        <v>803</v>
      </c>
      <c r="F78" s="19">
        <v>1000</v>
      </c>
      <c r="G78" s="18">
        <v>40</v>
      </c>
      <c r="H78" s="18" t="s">
        <v>29</v>
      </c>
      <c r="I78" s="18" t="s">
        <v>30</v>
      </c>
      <c r="J78" s="23">
        <v>45127</v>
      </c>
      <c r="K78" s="18" t="s">
        <v>1018</v>
      </c>
      <c r="L78" s="26"/>
      <c r="M78" s="26"/>
      <c r="N78" s="26"/>
      <c r="O78" s="26">
        <v>1000</v>
      </c>
      <c r="P78" s="26"/>
      <c r="Q78" s="26"/>
      <c r="R78" s="26"/>
      <c r="S78" s="27">
        <v>47000</v>
      </c>
      <c r="T78" s="28">
        <f t="shared" si="2"/>
        <v>47000</v>
      </c>
    </row>
    <row r="79" spans="1:20" s="132" customFormat="1" ht="14.25" customHeight="1" x14ac:dyDescent="0.25">
      <c r="A79" s="25"/>
      <c r="B79" s="19" t="s">
        <v>1022</v>
      </c>
      <c r="C79" s="19" t="s">
        <v>1017</v>
      </c>
      <c r="D79" s="20" t="s">
        <v>1023</v>
      </c>
      <c r="E79" s="21" t="s">
        <v>807</v>
      </c>
      <c r="F79" s="19">
        <v>4000</v>
      </c>
      <c r="G79" s="18">
        <v>160</v>
      </c>
      <c r="H79" s="18" t="s">
        <v>29</v>
      </c>
      <c r="I79" s="18" t="s">
        <v>30</v>
      </c>
      <c r="J79" s="23">
        <v>45127</v>
      </c>
      <c r="K79" s="19" t="s">
        <v>1018</v>
      </c>
      <c r="L79" s="26"/>
      <c r="M79" s="26"/>
      <c r="N79" s="26"/>
      <c r="O79" s="26"/>
      <c r="P79" s="26">
        <v>4000</v>
      </c>
      <c r="Q79" s="26"/>
      <c r="R79" s="26"/>
      <c r="S79" s="27">
        <v>105000</v>
      </c>
      <c r="T79" s="28">
        <f t="shared" si="2"/>
        <v>420000</v>
      </c>
    </row>
    <row r="80" spans="1:20" s="132" customFormat="1" ht="13.5" customHeight="1" x14ac:dyDescent="0.25">
      <c r="A80" s="25"/>
      <c r="B80" s="19" t="s">
        <v>763</v>
      </c>
      <c r="C80" s="19" t="s">
        <v>26</v>
      </c>
      <c r="D80" s="20" t="s">
        <v>27</v>
      </c>
      <c r="E80" s="21" t="s">
        <v>803</v>
      </c>
      <c r="F80" s="19">
        <v>20000</v>
      </c>
      <c r="G80" s="18">
        <v>800</v>
      </c>
      <c r="H80" s="18" t="s">
        <v>129</v>
      </c>
      <c r="I80" s="18" t="s">
        <v>30</v>
      </c>
      <c r="J80" s="23">
        <v>45131</v>
      </c>
      <c r="K80" s="19" t="s">
        <v>828</v>
      </c>
      <c r="L80" s="26" t="s">
        <v>637</v>
      </c>
      <c r="M80" s="26" t="s">
        <v>329</v>
      </c>
      <c r="N80" s="26"/>
      <c r="O80" s="26">
        <v>20000</v>
      </c>
      <c r="P80" s="26"/>
      <c r="Q80" s="26"/>
      <c r="R80" s="26" t="s">
        <v>34</v>
      </c>
      <c r="S80" s="27">
        <v>41000</v>
      </c>
      <c r="T80" s="28">
        <f t="shared" si="2"/>
        <v>820000</v>
      </c>
    </row>
    <row r="81" spans="1:20" s="132" customFormat="1" ht="14.25" customHeight="1" x14ac:dyDescent="0.25">
      <c r="A81" s="25"/>
      <c r="B81" s="19" t="s">
        <v>1024</v>
      </c>
      <c r="C81" s="19" t="s">
        <v>1025</v>
      </c>
      <c r="D81" s="20" t="s">
        <v>440</v>
      </c>
      <c r="E81" s="21" t="s">
        <v>803</v>
      </c>
      <c r="F81" s="19">
        <v>19000</v>
      </c>
      <c r="G81" s="18">
        <v>950</v>
      </c>
      <c r="H81" s="18" t="s">
        <v>29</v>
      </c>
      <c r="I81" s="18" t="s">
        <v>30</v>
      </c>
      <c r="J81" s="23">
        <v>45131</v>
      </c>
      <c r="K81" s="19" t="s">
        <v>1026</v>
      </c>
      <c r="L81" s="26" t="s">
        <v>1027</v>
      </c>
      <c r="M81" s="26" t="s">
        <v>1028</v>
      </c>
      <c r="N81" s="26"/>
      <c r="O81" s="26"/>
      <c r="P81" s="26">
        <v>19000</v>
      </c>
      <c r="Q81" s="26"/>
      <c r="R81" s="26"/>
      <c r="S81" s="27">
        <v>79000</v>
      </c>
      <c r="T81" s="28">
        <f t="shared" si="2"/>
        <v>1501000</v>
      </c>
    </row>
    <row r="82" spans="1:20" s="132" customFormat="1" x14ac:dyDescent="0.25">
      <c r="A82" s="26"/>
      <c r="B82" s="19" t="s">
        <v>1029</v>
      </c>
      <c r="C82" s="19" t="s">
        <v>85</v>
      </c>
      <c r="D82" s="20" t="s">
        <v>492</v>
      </c>
      <c r="E82" s="21" t="s">
        <v>692</v>
      </c>
      <c r="F82" s="19">
        <v>4000</v>
      </c>
      <c r="G82" s="18">
        <v>160</v>
      </c>
      <c r="H82" s="18" t="s">
        <v>322</v>
      </c>
      <c r="I82" s="18" t="s">
        <v>30</v>
      </c>
      <c r="J82" s="23">
        <v>45132</v>
      </c>
      <c r="K82" s="18" t="s">
        <v>1030</v>
      </c>
      <c r="L82" s="26" t="s">
        <v>1031</v>
      </c>
      <c r="M82" s="26" t="s">
        <v>1032</v>
      </c>
      <c r="N82" s="26"/>
      <c r="O82" s="26"/>
      <c r="P82" s="26">
        <v>4000</v>
      </c>
      <c r="Q82" s="26"/>
      <c r="R82" s="26" t="s">
        <v>34</v>
      </c>
      <c r="S82" s="27">
        <v>249000</v>
      </c>
      <c r="T82" s="28">
        <f t="shared" si="2"/>
        <v>996000</v>
      </c>
    </row>
    <row r="83" spans="1:20" s="132" customFormat="1" ht="15.75" customHeight="1" x14ac:dyDescent="0.25">
      <c r="A83" s="25"/>
      <c r="B83" s="19" t="s">
        <v>1033</v>
      </c>
      <c r="C83" s="19" t="s">
        <v>57</v>
      </c>
      <c r="D83" s="20" t="s">
        <v>98</v>
      </c>
      <c r="E83" s="33" t="s">
        <v>692</v>
      </c>
      <c r="F83" s="19">
        <v>15000</v>
      </c>
      <c r="G83" s="18">
        <v>600</v>
      </c>
      <c r="H83" s="18" t="s">
        <v>95</v>
      </c>
      <c r="I83" s="18" t="s">
        <v>30</v>
      </c>
      <c r="J83" s="23">
        <v>45132</v>
      </c>
      <c r="K83" s="18" t="s">
        <v>1030</v>
      </c>
      <c r="L83" s="26" t="s">
        <v>1031</v>
      </c>
      <c r="M83" s="26" t="s">
        <v>1032</v>
      </c>
      <c r="N83" s="26"/>
      <c r="O83" s="26"/>
      <c r="P83" s="26">
        <v>15000</v>
      </c>
      <c r="Q83" s="26"/>
      <c r="R83" s="26" t="s">
        <v>34</v>
      </c>
      <c r="S83" s="27">
        <v>275000</v>
      </c>
      <c r="T83" s="28">
        <f t="shared" si="2"/>
        <v>4125000</v>
      </c>
    </row>
    <row r="84" spans="1:20" s="132" customFormat="1" ht="13.5" customHeight="1" x14ac:dyDescent="0.25">
      <c r="A84" s="25"/>
      <c r="B84" s="19" t="s">
        <v>1034</v>
      </c>
      <c r="C84" s="19" t="s">
        <v>633</v>
      </c>
      <c r="D84" s="20" t="s">
        <v>634</v>
      </c>
      <c r="E84" s="21" t="s">
        <v>1035</v>
      </c>
      <c r="F84" s="19">
        <v>8800</v>
      </c>
      <c r="G84" s="18">
        <v>44</v>
      </c>
      <c r="H84" s="18" t="s">
        <v>833</v>
      </c>
      <c r="I84" s="18" t="s">
        <v>30</v>
      </c>
      <c r="J84" s="23">
        <v>45132</v>
      </c>
      <c r="K84" s="19" t="s">
        <v>1036</v>
      </c>
      <c r="L84" s="26" t="s">
        <v>1037</v>
      </c>
      <c r="M84" s="26" t="s">
        <v>376</v>
      </c>
      <c r="N84" s="26"/>
      <c r="O84" s="26"/>
      <c r="P84" s="26"/>
      <c r="Q84" s="26">
        <v>8800</v>
      </c>
      <c r="R84" s="26"/>
      <c r="S84" s="27">
        <v>110000</v>
      </c>
      <c r="T84" s="28">
        <f t="shared" si="2"/>
        <v>968000.00000000012</v>
      </c>
    </row>
    <row r="85" spans="1:20" s="132" customFormat="1" ht="13.5" customHeight="1" x14ac:dyDescent="0.25">
      <c r="A85" s="25"/>
      <c r="B85" s="19" t="s">
        <v>1034</v>
      </c>
      <c r="C85" s="19" t="s">
        <v>633</v>
      </c>
      <c r="D85" s="20" t="s">
        <v>634</v>
      </c>
      <c r="E85" s="21" t="s">
        <v>1038</v>
      </c>
      <c r="F85" s="19">
        <v>8800</v>
      </c>
      <c r="G85" s="18">
        <v>44</v>
      </c>
      <c r="H85" s="18" t="s">
        <v>833</v>
      </c>
      <c r="I85" s="18" t="s">
        <v>30</v>
      </c>
      <c r="J85" s="23">
        <v>45132</v>
      </c>
      <c r="K85" s="19" t="s">
        <v>1036</v>
      </c>
      <c r="L85" s="26"/>
      <c r="M85" s="26"/>
      <c r="N85" s="26"/>
      <c r="O85" s="26"/>
      <c r="P85" s="26"/>
      <c r="Q85" s="26">
        <v>8800</v>
      </c>
      <c r="R85" s="26"/>
      <c r="S85" s="27">
        <v>110000</v>
      </c>
      <c r="T85" s="28">
        <f t="shared" si="2"/>
        <v>968000.00000000012</v>
      </c>
    </row>
    <row r="86" spans="1:20" s="132" customFormat="1" ht="13.5" customHeight="1" x14ac:dyDescent="0.25">
      <c r="A86" s="25"/>
      <c r="B86" s="19" t="s">
        <v>763</v>
      </c>
      <c r="C86" s="19" t="s">
        <v>26</v>
      </c>
      <c r="D86" s="20" t="s">
        <v>27</v>
      </c>
      <c r="E86" s="21" t="s">
        <v>806</v>
      </c>
      <c r="F86" s="19">
        <v>20000</v>
      </c>
      <c r="G86" s="18">
        <v>800</v>
      </c>
      <c r="H86" s="18" t="s">
        <v>129</v>
      </c>
      <c r="I86" s="18" t="s">
        <v>30</v>
      </c>
      <c r="J86" s="23">
        <v>45133</v>
      </c>
      <c r="K86" s="19" t="s">
        <v>1039</v>
      </c>
      <c r="L86" s="26" t="s">
        <v>1040</v>
      </c>
      <c r="M86" s="26" t="s">
        <v>1041</v>
      </c>
      <c r="N86" s="26"/>
      <c r="O86" s="26">
        <v>20000</v>
      </c>
      <c r="P86" s="26"/>
      <c r="Q86" s="26"/>
      <c r="R86" s="26"/>
      <c r="S86" s="27">
        <v>41000</v>
      </c>
      <c r="T86" s="28">
        <f t="shared" si="2"/>
        <v>820000</v>
      </c>
    </row>
    <row r="87" spans="1:20" s="132" customFormat="1" ht="13.5" customHeight="1" x14ac:dyDescent="0.25">
      <c r="A87" s="25"/>
      <c r="B87" s="19" t="s">
        <v>1042</v>
      </c>
      <c r="C87" s="19" t="s">
        <v>26</v>
      </c>
      <c r="D87" s="20" t="s">
        <v>27</v>
      </c>
      <c r="E87" s="21" t="s">
        <v>1043</v>
      </c>
      <c r="F87" s="19">
        <v>2000</v>
      </c>
      <c r="G87" s="18">
        <v>80</v>
      </c>
      <c r="H87" s="18" t="s">
        <v>29</v>
      </c>
      <c r="I87" s="18" t="s">
        <v>30</v>
      </c>
      <c r="J87" s="23">
        <v>45135</v>
      </c>
      <c r="K87" s="19" t="s">
        <v>755</v>
      </c>
      <c r="L87" s="26" t="s">
        <v>756</v>
      </c>
      <c r="M87" s="26" t="s">
        <v>757</v>
      </c>
      <c r="N87" s="26"/>
      <c r="O87" s="26">
        <v>2000</v>
      </c>
      <c r="P87" s="26"/>
      <c r="Q87" s="26"/>
      <c r="R87" s="26"/>
      <c r="S87" s="27">
        <v>41000</v>
      </c>
      <c r="T87" s="28">
        <f t="shared" si="2"/>
        <v>82000</v>
      </c>
    </row>
    <row r="88" spans="1:20" s="132" customFormat="1" ht="14.25" customHeight="1" x14ac:dyDescent="0.25">
      <c r="A88" s="25"/>
      <c r="B88" s="19" t="s">
        <v>1044</v>
      </c>
      <c r="C88" s="19" t="s">
        <v>26</v>
      </c>
      <c r="D88" s="20" t="s">
        <v>365</v>
      </c>
      <c r="E88" s="21" t="s">
        <v>765</v>
      </c>
      <c r="F88" s="19">
        <v>5180</v>
      </c>
      <c r="G88" s="18">
        <v>28</v>
      </c>
      <c r="H88" s="18" t="s">
        <v>29</v>
      </c>
      <c r="I88" s="18" t="s">
        <v>30</v>
      </c>
      <c r="J88" s="23">
        <v>45135</v>
      </c>
      <c r="K88" s="19" t="s">
        <v>755</v>
      </c>
      <c r="L88" s="26"/>
      <c r="M88" s="26"/>
      <c r="N88" s="26"/>
      <c r="O88" s="26"/>
      <c r="P88" s="26"/>
      <c r="Q88" s="26">
        <v>5180</v>
      </c>
      <c r="R88" s="26"/>
      <c r="S88" s="27">
        <v>58193</v>
      </c>
      <c r="T88" s="28">
        <f t="shared" si="2"/>
        <v>301439.74</v>
      </c>
    </row>
    <row r="89" spans="1:20" s="132" customFormat="1" ht="13.5" customHeight="1" x14ac:dyDescent="0.25">
      <c r="A89" s="25"/>
      <c r="B89" s="19" t="s">
        <v>758</v>
      </c>
      <c r="C89" s="19" t="s">
        <v>26</v>
      </c>
      <c r="D89" s="20" t="s">
        <v>308</v>
      </c>
      <c r="E89" s="21" t="s">
        <v>765</v>
      </c>
      <c r="F89" s="19">
        <v>8280</v>
      </c>
      <c r="G89" s="18">
        <v>46</v>
      </c>
      <c r="H89" s="18" t="s">
        <v>129</v>
      </c>
      <c r="I89" s="18" t="s">
        <v>30</v>
      </c>
      <c r="J89" s="23">
        <v>45135</v>
      </c>
      <c r="K89" s="19" t="s">
        <v>749</v>
      </c>
      <c r="L89" s="26" t="s">
        <v>750</v>
      </c>
      <c r="M89" s="26" t="s">
        <v>751</v>
      </c>
      <c r="N89" s="26"/>
      <c r="O89" s="26"/>
      <c r="P89" s="26"/>
      <c r="Q89" s="26">
        <v>8280</v>
      </c>
      <c r="R89" s="26" t="s">
        <v>34</v>
      </c>
      <c r="S89" s="27">
        <v>320000</v>
      </c>
      <c r="T89" s="28">
        <f t="shared" si="2"/>
        <v>2649600</v>
      </c>
    </row>
    <row r="90" spans="1:20" s="132" customFormat="1" ht="13.5" customHeight="1" x14ac:dyDescent="0.25">
      <c r="A90" s="25"/>
      <c r="B90" s="19" t="s">
        <v>758</v>
      </c>
      <c r="C90" s="19" t="s">
        <v>26</v>
      </c>
      <c r="D90" s="20" t="s">
        <v>308</v>
      </c>
      <c r="E90" s="21" t="s">
        <v>759</v>
      </c>
      <c r="F90" s="19">
        <v>7560</v>
      </c>
      <c r="G90" s="18">
        <v>42</v>
      </c>
      <c r="H90" s="18" t="s">
        <v>129</v>
      </c>
      <c r="I90" s="18" t="s">
        <v>30</v>
      </c>
      <c r="J90" s="23">
        <v>45135</v>
      </c>
      <c r="K90" s="19" t="s">
        <v>749</v>
      </c>
      <c r="L90" s="26"/>
      <c r="M90" s="26"/>
      <c r="N90" s="26"/>
      <c r="O90" s="26"/>
      <c r="P90" s="26"/>
      <c r="Q90" s="26">
        <v>7560</v>
      </c>
      <c r="R90" s="26" t="s">
        <v>34</v>
      </c>
      <c r="S90" s="27">
        <v>320000</v>
      </c>
      <c r="T90" s="28">
        <f t="shared" si="2"/>
        <v>2419200</v>
      </c>
    </row>
    <row r="91" spans="1:20" s="132" customFormat="1" x14ac:dyDescent="0.25">
      <c r="A91" s="26"/>
      <c r="B91" s="19" t="s">
        <v>903</v>
      </c>
      <c r="C91" s="19" t="s">
        <v>893</v>
      </c>
      <c r="D91" s="20" t="s">
        <v>421</v>
      </c>
      <c r="E91" s="21" t="s">
        <v>692</v>
      </c>
      <c r="F91" s="19">
        <v>7200</v>
      </c>
      <c r="G91" s="18">
        <v>36</v>
      </c>
      <c r="H91" s="18" t="s">
        <v>423</v>
      </c>
      <c r="I91" s="18" t="s">
        <v>30</v>
      </c>
      <c r="J91" s="23">
        <v>45135</v>
      </c>
      <c r="K91" s="18" t="s">
        <v>1045</v>
      </c>
      <c r="L91" s="19" t="s">
        <v>1046</v>
      </c>
      <c r="M91" s="19" t="s">
        <v>1047</v>
      </c>
      <c r="N91" s="26"/>
      <c r="O91" s="26"/>
      <c r="P91" s="26"/>
      <c r="Q91" s="26">
        <v>7200</v>
      </c>
      <c r="R91" s="26" t="s">
        <v>34</v>
      </c>
      <c r="S91" s="27">
        <v>165000</v>
      </c>
      <c r="T91" s="28">
        <f t="shared" si="2"/>
        <v>1188000</v>
      </c>
    </row>
    <row r="92" spans="1:20" s="132" customFormat="1" x14ac:dyDescent="0.25">
      <c r="A92" s="26"/>
      <c r="B92" s="19" t="s">
        <v>903</v>
      </c>
      <c r="C92" s="19" t="s">
        <v>893</v>
      </c>
      <c r="D92" s="20" t="s">
        <v>421</v>
      </c>
      <c r="E92" s="21" t="s">
        <v>696</v>
      </c>
      <c r="F92" s="19">
        <v>10400</v>
      </c>
      <c r="G92" s="18">
        <v>52</v>
      </c>
      <c r="H92" s="18" t="s">
        <v>423</v>
      </c>
      <c r="I92" s="18" t="s">
        <v>30</v>
      </c>
      <c r="J92" s="23">
        <v>45135</v>
      </c>
      <c r="K92" s="18" t="s">
        <v>1045</v>
      </c>
      <c r="L92" s="19"/>
      <c r="M92" s="19"/>
      <c r="N92" s="26"/>
      <c r="O92" s="26"/>
      <c r="P92" s="26"/>
      <c r="Q92" s="26">
        <v>10400</v>
      </c>
      <c r="R92" s="26" t="s">
        <v>34</v>
      </c>
      <c r="S92" s="27">
        <v>165000</v>
      </c>
      <c r="T92" s="28">
        <f t="shared" si="2"/>
        <v>1716000</v>
      </c>
    </row>
    <row r="93" spans="1:20" s="132" customFormat="1" ht="14.25" customHeight="1" x14ac:dyDescent="0.25">
      <c r="A93" s="25"/>
      <c r="B93" s="19" t="s">
        <v>1024</v>
      </c>
      <c r="C93" s="19" t="s">
        <v>1025</v>
      </c>
      <c r="D93" s="20" t="s">
        <v>440</v>
      </c>
      <c r="E93" s="21" t="s">
        <v>1035</v>
      </c>
      <c r="F93" s="19">
        <v>19000</v>
      </c>
      <c r="G93" s="18">
        <v>950</v>
      </c>
      <c r="H93" s="18" t="s">
        <v>29</v>
      </c>
      <c r="I93" s="18" t="s">
        <v>30</v>
      </c>
      <c r="J93" s="23">
        <v>45138</v>
      </c>
      <c r="K93" s="19" t="s">
        <v>1048</v>
      </c>
      <c r="L93" s="26" t="s">
        <v>1049</v>
      </c>
      <c r="M93" s="26" t="s">
        <v>1050</v>
      </c>
      <c r="N93" s="26"/>
      <c r="O93" s="26"/>
      <c r="P93" s="26">
        <v>19000</v>
      </c>
      <c r="Q93" s="26"/>
      <c r="R93" s="26"/>
      <c r="S93" s="27">
        <v>79000</v>
      </c>
      <c r="T93" s="28">
        <f t="shared" si="2"/>
        <v>1501000</v>
      </c>
    </row>
    <row r="94" spans="1:20" s="132" customFormat="1" x14ac:dyDescent="0.25">
      <c r="A94" s="26" t="s">
        <v>639</v>
      </c>
      <c r="B94" s="19" t="s">
        <v>1051</v>
      </c>
      <c r="C94" s="19" t="s">
        <v>85</v>
      </c>
      <c r="D94" s="20" t="s">
        <v>140</v>
      </c>
      <c r="E94" s="21" t="s">
        <v>641</v>
      </c>
      <c r="F94" s="19">
        <v>2160</v>
      </c>
      <c r="G94" s="18">
        <v>12</v>
      </c>
      <c r="H94" s="18" t="s">
        <v>322</v>
      </c>
      <c r="I94" s="18" t="s">
        <v>30</v>
      </c>
      <c r="J94" s="23" t="s">
        <v>1052</v>
      </c>
      <c r="K94" s="18" t="s">
        <v>1053</v>
      </c>
      <c r="L94" s="26" t="s">
        <v>1054</v>
      </c>
      <c r="M94" s="26" t="s">
        <v>1055</v>
      </c>
      <c r="N94" s="26"/>
      <c r="O94" s="26"/>
      <c r="P94" s="26"/>
      <c r="Q94" s="26">
        <v>2160</v>
      </c>
      <c r="R94" s="26"/>
      <c r="S94" s="27">
        <v>90000</v>
      </c>
      <c r="T94" s="28">
        <f t="shared" si="2"/>
        <v>194400</v>
      </c>
    </row>
    <row r="95" spans="1:20" s="132" customFormat="1" x14ac:dyDescent="0.25">
      <c r="A95" s="26" t="s">
        <v>639</v>
      </c>
      <c r="B95" s="19" t="s">
        <v>1051</v>
      </c>
      <c r="C95" s="19" t="s">
        <v>85</v>
      </c>
      <c r="D95" s="20" t="s">
        <v>140</v>
      </c>
      <c r="E95" s="21" t="s">
        <v>780</v>
      </c>
      <c r="F95" s="19">
        <v>10080</v>
      </c>
      <c r="G95" s="18">
        <v>56</v>
      </c>
      <c r="H95" s="18" t="s">
        <v>322</v>
      </c>
      <c r="I95" s="18" t="s">
        <v>30</v>
      </c>
      <c r="J95" s="23" t="s">
        <v>1052</v>
      </c>
      <c r="K95" s="18"/>
      <c r="L95" s="26"/>
      <c r="M95" s="26"/>
      <c r="N95" s="26"/>
      <c r="O95" s="26"/>
      <c r="P95" s="26"/>
      <c r="Q95" s="26">
        <v>10080</v>
      </c>
      <c r="R95" s="26"/>
      <c r="S95" s="27">
        <v>90000</v>
      </c>
      <c r="T95" s="28">
        <f t="shared" si="2"/>
        <v>907200</v>
      </c>
    </row>
    <row r="96" spans="1:20" s="132" customFormat="1" x14ac:dyDescent="0.25">
      <c r="A96" s="26" t="s">
        <v>639</v>
      </c>
      <c r="B96" s="19" t="s">
        <v>1051</v>
      </c>
      <c r="C96" s="19" t="s">
        <v>85</v>
      </c>
      <c r="D96" s="20" t="s">
        <v>140</v>
      </c>
      <c r="E96" s="21" t="s">
        <v>646</v>
      </c>
      <c r="F96" s="19">
        <v>720</v>
      </c>
      <c r="G96" s="18">
        <v>4</v>
      </c>
      <c r="H96" s="18" t="s">
        <v>322</v>
      </c>
      <c r="I96" s="18" t="s">
        <v>30</v>
      </c>
      <c r="J96" s="23" t="s">
        <v>1052</v>
      </c>
      <c r="K96" s="18"/>
      <c r="L96" s="26"/>
      <c r="M96" s="26"/>
      <c r="N96" s="26"/>
      <c r="O96" s="26"/>
      <c r="P96" s="26"/>
      <c r="Q96" s="26">
        <v>720</v>
      </c>
      <c r="R96" s="26"/>
      <c r="S96" s="27">
        <v>90000</v>
      </c>
      <c r="T96" s="28">
        <f t="shared" si="2"/>
        <v>64800</v>
      </c>
    </row>
    <row r="97" spans="1:20" s="132" customFormat="1" x14ac:dyDescent="0.25">
      <c r="A97" s="26" t="s">
        <v>639</v>
      </c>
      <c r="B97" s="19" t="s">
        <v>1051</v>
      </c>
      <c r="C97" s="19" t="s">
        <v>85</v>
      </c>
      <c r="D97" s="20" t="s">
        <v>140</v>
      </c>
      <c r="E97" s="21" t="s">
        <v>1056</v>
      </c>
      <c r="F97" s="19">
        <v>1440</v>
      </c>
      <c r="G97" s="18">
        <v>8</v>
      </c>
      <c r="H97" s="18" t="s">
        <v>322</v>
      </c>
      <c r="I97" s="18" t="s">
        <v>30</v>
      </c>
      <c r="J97" s="23" t="s">
        <v>1052</v>
      </c>
      <c r="K97" s="18"/>
      <c r="L97" s="26"/>
      <c r="M97" s="26"/>
      <c r="N97" s="26"/>
      <c r="O97" s="26"/>
      <c r="P97" s="26"/>
      <c r="Q97" s="26">
        <v>1440</v>
      </c>
      <c r="R97" s="26"/>
      <c r="S97" s="27">
        <v>90000</v>
      </c>
      <c r="T97" s="28">
        <f t="shared" si="2"/>
        <v>129600</v>
      </c>
    </row>
    <row r="98" spans="1:20" ht="18.75" x14ac:dyDescent="0.3">
      <c r="A98" s="119" t="s">
        <v>252</v>
      </c>
      <c r="B98" s="133">
        <f>SUM(F4:F97)/1000</f>
        <v>691.08600000000001</v>
      </c>
      <c r="C98" s="54" t="s">
        <v>253</v>
      </c>
      <c r="S98" s="55"/>
      <c r="T98" s="55">
        <f>SUM(T4:T97)</f>
        <v>80206650.674999997</v>
      </c>
    </row>
    <row r="99" spans="1:20" ht="18.75" x14ac:dyDescent="0.3">
      <c r="A99" s="120" t="s">
        <v>254</v>
      </c>
      <c r="B99" s="134">
        <f>B100+B101+B102</f>
        <v>691.08600000000001</v>
      </c>
      <c r="C99" s="58" t="s">
        <v>253</v>
      </c>
    </row>
    <row r="100" spans="1:20" ht="18.75" x14ac:dyDescent="0.3">
      <c r="A100" s="121" t="s">
        <v>255</v>
      </c>
      <c r="B100" s="135">
        <f>SUM(O4:O97)/1000</f>
        <v>235</v>
      </c>
      <c r="C100" s="61" t="s">
        <v>253</v>
      </c>
    </row>
    <row r="101" spans="1:20" ht="18.75" x14ac:dyDescent="0.3">
      <c r="A101" s="121" t="s">
        <v>256</v>
      </c>
      <c r="B101" s="135">
        <f>SUM(P4:P97)/1000</f>
        <v>104.15600000000001</v>
      </c>
      <c r="C101" s="61" t="s">
        <v>253</v>
      </c>
    </row>
    <row r="102" spans="1:20" ht="18.75" x14ac:dyDescent="0.3">
      <c r="A102" s="121" t="s">
        <v>257</v>
      </c>
      <c r="B102" s="136">
        <f>SUM(Q4:Q97)/1000</f>
        <v>351.93</v>
      </c>
      <c r="C102" s="61" t="s">
        <v>253</v>
      </c>
    </row>
    <row r="103" spans="1:20" ht="18.75" x14ac:dyDescent="0.3">
      <c r="A103" s="122" t="s">
        <v>258</v>
      </c>
      <c r="B103" s="137">
        <f>B98-B99</f>
        <v>0</v>
      </c>
      <c r="C103" s="65" t="s">
        <v>253</v>
      </c>
    </row>
  </sheetData>
  <autoFilter ref="D1:D103" xr:uid="{00000000-0009-0000-0000-000005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D98" xr:uid="{00CC00CC-00EC-42F6-AACB-00270023005D}">
      <formula1>$E$4:$E$150</formula1>
    </dataValidation>
  </dataValidations>
  <pageMargins left="0.7" right="0.7" top="0.75" bottom="0.75" header="0.3" footer="0.3"/>
  <pageSetup paperSize="9" scale="36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справочник!$E$4:$E$117</xm:f>
          </x14:formula1>
          <xm:sqref>D4:D97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">
    <pageSetUpPr fitToPage="1"/>
  </sheetPr>
  <dimension ref="A1:U99"/>
  <sheetViews>
    <sheetView zoomScale="85" workbookViewId="0">
      <selection activeCell="F4" sqref="F4:F89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39.42578125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7" customWidth="1"/>
    <col min="14" max="14" width="14.140625" customWidth="1"/>
    <col min="18" max="18" width="27.140625" customWidth="1"/>
    <col min="19" max="19" width="25.140625" customWidth="1"/>
    <col min="20" max="20" width="20" customWidth="1"/>
  </cols>
  <sheetData>
    <row r="1" spans="1:20" s="3" customFormat="1" ht="17.25" x14ac:dyDescent="0.3">
      <c r="A1" s="5"/>
      <c r="B1" s="5" t="s">
        <v>0</v>
      </c>
      <c r="C1" s="6">
        <v>45078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7" customFormat="1" ht="15.75" customHeight="1" x14ac:dyDescent="0.25">
      <c r="A4" s="25"/>
      <c r="B4" s="19" t="s">
        <v>1057</v>
      </c>
      <c r="C4" s="19" t="s">
        <v>57</v>
      </c>
      <c r="D4" s="20" t="s">
        <v>58</v>
      </c>
      <c r="E4" s="21" t="s">
        <v>1058</v>
      </c>
      <c r="F4" s="19">
        <v>19845</v>
      </c>
      <c r="G4" s="18">
        <v>875</v>
      </c>
      <c r="H4" s="18" t="s">
        <v>486</v>
      </c>
      <c r="I4" s="18" t="s">
        <v>30</v>
      </c>
      <c r="J4" s="23">
        <v>45078</v>
      </c>
      <c r="K4" s="26" t="s">
        <v>1059</v>
      </c>
      <c r="L4" s="26" t="s">
        <v>1060</v>
      </c>
      <c r="M4" s="26" t="s">
        <v>1061</v>
      </c>
      <c r="N4" s="26"/>
      <c r="O4" s="26">
        <v>19845</v>
      </c>
      <c r="P4" s="26"/>
      <c r="Q4" s="26"/>
      <c r="R4" s="26" t="s">
        <v>34</v>
      </c>
      <c r="S4" s="27">
        <v>49500</v>
      </c>
      <c r="T4" s="28">
        <f t="shared" ref="T4:T67" si="0">S4*(F4/1000)</f>
        <v>982327.5</v>
      </c>
    </row>
    <row r="5" spans="1:20" s="17" customFormat="1" x14ac:dyDescent="0.25">
      <c r="A5" s="26"/>
      <c r="B5" s="19">
        <v>42569</v>
      </c>
      <c r="C5" s="19" t="s">
        <v>175</v>
      </c>
      <c r="D5" s="20" t="s">
        <v>1062</v>
      </c>
      <c r="E5" s="21" t="s">
        <v>1063</v>
      </c>
      <c r="F5" s="19">
        <v>1600</v>
      </c>
      <c r="G5" s="18">
        <v>80</v>
      </c>
      <c r="H5" s="18" t="s">
        <v>486</v>
      </c>
      <c r="I5" s="18" t="s">
        <v>30</v>
      </c>
      <c r="J5" s="23">
        <v>45078</v>
      </c>
      <c r="K5" s="36" t="s">
        <v>812</v>
      </c>
      <c r="L5" s="26" t="s">
        <v>813</v>
      </c>
      <c r="M5" s="26" t="s">
        <v>814</v>
      </c>
      <c r="N5" s="26"/>
      <c r="O5" s="26"/>
      <c r="P5" s="26">
        <v>1600</v>
      </c>
      <c r="Q5" s="26"/>
      <c r="R5" s="26" t="s">
        <v>34</v>
      </c>
      <c r="S5" s="27">
        <v>83000</v>
      </c>
      <c r="T5" s="28">
        <f t="shared" si="0"/>
        <v>132800</v>
      </c>
    </row>
    <row r="6" spans="1:20" s="17" customFormat="1" ht="14.25" customHeight="1" x14ac:dyDescent="0.25">
      <c r="A6" s="25"/>
      <c r="B6" s="19" t="s">
        <v>1064</v>
      </c>
      <c r="C6" s="19" t="s">
        <v>57</v>
      </c>
      <c r="D6" s="20" t="s">
        <v>191</v>
      </c>
      <c r="E6" s="21" t="s">
        <v>1065</v>
      </c>
      <c r="F6" s="19">
        <v>12000</v>
      </c>
      <c r="G6" s="18">
        <v>480</v>
      </c>
      <c r="H6" s="18" t="s">
        <v>486</v>
      </c>
      <c r="I6" s="18" t="s">
        <v>30</v>
      </c>
      <c r="J6" s="23">
        <v>45078</v>
      </c>
      <c r="K6" s="26" t="s">
        <v>812</v>
      </c>
      <c r="L6" s="26" t="s">
        <v>813</v>
      </c>
      <c r="M6" s="26" t="s">
        <v>814</v>
      </c>
      <c r="N6" s="26"/>
      <c r="O6" s="26"/>
      <c r="P6" s="26"/>
      <c r="Q6" s="26">
        <v>12000</v>
      </c>
      <c r="R6" s="26" t="s">
        <v>34</v>
      </c>
      <c r="S6" s="27">
        <v>165000</v>
      </c>
      <c r="T6" s="28">
        <f t="shared" si="0"/>
        <v>1980000</v>
      </c>
    </row>
    <row r="7" spans="1:20" s="17" customFormat="1" x14ac:dyDescent="0.25">
      <c r="A7" s="26"/>
      <c r="B7" s="19" t="s">
        <v>212</v>
      </c>
      <c r="C7" s="19" t="s">
        <v>491</v>
      </c>
      <c r="D7" s="20" t="s">
        <v>492</v>
      </c>
      <c r="E7" s="21" t="s">
        <v>1066</v>
      </c>
      <c r="F7" s="19">
        <v>20000</v>
      </c>
      <c r="G7" s="18">
        <v>800</v>
      </c>
      <c r="H7" s="18" t="s">
        <v>29</v>
      </c>
      <c r="I7" s="18" t="s">
        <v>30</v>
      </c>
      <c r="J7" s="23">
        <v>45078</v>
      </c>
      <c r="K7" s="36" t="s">
        <v>1067</v>
      </c>
      <c r="L7" s="26"/>
      <c r="M7" s="26" t="s">
        <v>1068</v>
      </c>
      <c r="N7" s="26"/>
      <c r="O7" s="26"/>
      <c r="P7" s="26">
        <v>20000</v>
      </c>
      <c r="Q7" s="26"/>
      <c r="R7" s="26"/>
      <c r="S7" s="27">
        <v>242000</v>
      </c>
      <c r="T7" s="28">
        <f t="shared" si="0"/>
        <v>4840000</v>
      </c>
    </row>
    <row r="8" spans="1:20" s="17" customFormat="1" ht="14.25" customHeight="1" x14ac:dyDescent="0.25">
      <c r="A8" s="25"/>
      <c r="B8" s="19" t="s">
        <v>1069</v>
      </c>
      <c r="C8" s="19" t="s">
        <v>57</v>
      </c>
      <c r="D8" s="20" t="s">
        <v>282</v>
      </c>
      <c r="E8" s="21" t="s">
        <v>944</v>
      </c>
      <c r="F8" s="19">
        <v>1520</v>
      </c>
      <c r="G8" s="18">
        <v>8</v>
      </c>
      <c r="H8" s="18" t="s">
        <v>95</v>
      </c>
      <c r="I8" s="18" t="s">
        <v>30</v>
      </c>
      <c r="J8" s="23">
        <v>45078</v>
      </c>
      <c r="K8" s="26" t="s">
        <v>1070</v>
      </c>
      <c r="L8" s="26" t="s">
        <v>1071</v>
      </c>
      <c r="M8" s="26" t="s">
        <v>1072</v>
      </c>
      <c r="N8" s="26"/>
      <c r="O8" s="26"/>
      <c r="P8" s="26"/>
      <c r="Q8" s="26">
        <v>1520</v>
      </c>
      <c r="R8" s="26" t="s">
        <v>34</v>
      </c>
      <c r="S8" s="27">
        <v>115000</v>
      </c>
      <c r="T8" s="28">
        <f t="shared" si="0"/>
        <v>174800</v>
      </c>
    </row>
    <row r="9" spans="1:20" s="17" customFormat="1" ht="14.25" customHeight="1" x14ac:dyDescent="0.25">
      <c r="A9" s="25"/>
      <c r="B9" s="19" t="s">
        <v>1069</v>
      </c>
      <c r="C9" s="19" t="s">
        <v>57</v>
      </c>
      <c r="D9" s="20" t="s">
        <v>282</v>
      </c>
      <c r="E9" s="21" t="s">
        <v>1073</v>
      </c>
      <c r="F9" s="19">
        <v>8550</v>
      </c>
      <c r="G9" s="18">
        <v>45</v>
      </c>
      <c r="H9" s="18" t="s">
        <v>95</v>
      </c>
      <c r="I9" s="18" t="s">
        <v>30</v>
      </c>
      <c r="J9" s="23">
        <v>45078</v>
      </c>
      <c r="K9" s="26" t="s">
        <v>1070</v>
      </c>
      <c r="L9" s="26"/>
      <c r="M9" s="26"/>
      <c r="N9" s="26"/>
      <c r="O9" s="26"/>
      <c r="P9" s="26"/>
      <c r="Q9" s="26">
        <v>8550</v>
      </c>
      <c r="R9" s="26" t="s">
        <v>34</v>
      </c>
      <c r="S9" s="27">
        <v>115000</v>
      </c>
      <c r="T9" s="28">
        <f t="shared" si="0"/>
        <v>983250.00000000012</v>
      </c>
    </row>
    <row r="10" spans="1:20" s="17" customFormat="1" ht="14.25" customHeight="1" x14ac:dyDescent="0.25">
      <c r="A10" s="25"/>
      <c r="B10" s="19" t="s">
        <v>1069</v>
      </c>
      <c r="C10" s="19" t="s">
        <v>57</v>
      </c>
      <c r="D10" s="20" t="s">
        <v>282</v>
      </c>
      <c r="E10" s="21" t="s">
        <v>957</v>
      </c>
      <c r="F10" s="19">
        <v>5130</v>
      </c>
      <c r="G10" s="18">
        <v>27</v>
      </c>
      <c r="H10" s="18" t="s">
        <v>95</v>
      </c>
      <c r="I10" s="18" t="s">
        <v>30</v>
      </c>
      <c r="J10" s="23">
        <v>45078</v>
      </c>
      <c r="K10" s="26" t="s">
        <v>1070</v>
      </c>
      <c r="L10" s="26"/>
      <c r="M10" s="26"/>
      <c r="N10" s="26"/>
      <c r="O10" s="26"/>
      <c r="P10" s="26"/>
      <c r="Q10" s="26">
        <v>5130</v>
      </c>
      <c r="R10" s="26" t="s">
        <v>34</v>
      </c>
      <c r="S10" s="27">
        <v>115000</v>
      </c>
      <c r="T10" s="28">
        <f t="shared" si="0"/>
        <v>589950</v>
      </c>
    </row>
    <row r="11" spans="1:20" s="17" customFormat="1" ht="14.25" customHeight="1" x14ac:dyDescent="0.25">
      <c r="A11" s="25"/>
      <c r="B11" s="19" t="s">
        <v>1074</v>
      </c>
      <c r="C11" s="19" t="s">
        <v>57</v>
      </c>
      <c r="D11" s="20" t="s">
        <v>282</v>
      </c>
      <c r="E11" s="21" t="s">
        <v>1075</v>
      </c>
      <c r="F11" s="19">
        <v>3610</v>
      </c>
      <c r="G11" s="18">
        <v>19</v>
      </c>
      <c r="H11" s="18" t="s">
        <v>95</v>
      </c>
      <c r="I11" s="18" t="s">
        <v>30</v>
      </c>
      <c r="J11" s="23">
        <v>45079</v>
      </c>
      <c r="K11" s="26" t="s">
        <v>1076</v>
      </c>
      <c r="L11" s="26" t="s">
        <v>1077</v>
      </c>
      <c r="M11" s="26" t="s">
        <v>1078</v>
      </c>
      <c r="N11" s="26"/>
      <c r="O11" s="26"/>
      <c r="P11" s="26"/>
      <c r="Q11" s="26">
        <v>3610</v>
      </c>
      <c r="R11" s="26" t="s">
        <v>34</v>
      </c>
      <c r="S11" s="27">
        <v>115000</v>
      </c>
      <c r="T11" s="28">
        <f t="shared" si="0"/>
        <v>415150</v>
      </c>
    </row>
    <row r="12" spans="1:20" s="17" customFormat="1" ht="14.25" customHeight="1" x14ac:dyDescent="0.25">
      <c r="A12" s="25"/>
      <c r="B12" s="19" t="s">
        <v>1074</v>
      </c>
      <c r="C12" s="19" t="s">
        <v>57</v>
      </c>
      <c r="D12" s="20" t="s">
        <v>282</v>
      </c>
      <c r="E12" s="21" t="s">
        <v>944</v>
      </c>
      <c r="F12" s="19">
        <v>7030</v>
      </c>
      <c r="G12" s="18">
        <v>37</v>
      </c>
      <c r="H12" s="18" t="s">
        <v>95</v>
      </c>
      <c r="I12" s="18" t="s">
        <v>30</v>
      </c>
      <c r="J12" s="23">
        <v>45079</v>
      </c>
      <c r="K12" s="26" t="s">
        <v>1076</v>
      </c>
      <c r="L12" s="26"/>
      <c r="M12" s="26"/>
      <c r="N12" s="26"/>
      <c r="O12" s="26"/>
      <c r="P12" s="26"/>
      <c r="Q12" s="26">
        <v>7030</v>
      </c>
      <c r="R12" s="26" t="s">
        <v>34</v>
      </c>
      <c r="S12" s="27">
        <v>115000</v>
      </c>
      <c r="T12" s="28">
        <f t="shared" si="0"/>
        <v>808450</v>
      </c>
    </row>
    <row r="13" spans="1:20" s="17" customFormat="1" ht="14.25" customHeight="1" x14ac:dyDescent="0.25">
      <c r="A13" s="25"/>
      <c r="B13" s="19" t="s">
        <v>1074</v>
      </c>
      <c r="C13" s="19" t="s">
        <v>57</v>
      </c>
      <c r="D13" s="20" t="s">
        <v>191</v>
      </c>
      <c r="E13" s="21" t="s">
        <v>1063</v>
      </c>
      <c r="F13" s="19">
        <v>2600</v>
      </c>
      <c r="G13" s="18">
        <v>104</v>
      </c>
      <c r="H13" s="18" t="s">
        <v>95</v>
      </c>
      <c r="I13" s="18" t="s">
        <v>30</v>
      </c>
      <c r="J13" s="23">
        <v>45079</v>
      </c>
      <c r="K13" s="26" t="s">
        <v>1076</v>
      </c>
      <c r="L13" s="26"/>
      <c r="M13" s="26"/>
      <c r="N13" s="26"/>
      <c r="O13" s="26"/>
      <c r="P13" s="26"/>
      <c r="Q13" s="26">
        <v>2600</v>
      </c>
      <c r="R13" s="26" t="s">
        <v>34</v>
      </c>
      <c r="S13" s="27">
        <v>165000</v>
      </c>
      <c r="T13" s="28">
        <f t="shared" si="0"/>
        <v>429000</v>
      </c>
    </row>
    <row r="14" spans="1:20" s="17" customFormat="1" x14ac:dyDescent="0.25">
      <c r="A14" s="26"/>
      <c r="B14" s="19" t="s">
        <v>1079</v>
      </c>
      <c r="C14" s="19" t="s">
        <v>126</v>
      </c>
      <c r="D14" s="20" t="s">
        <v>127</v>
      </c>
      <c r="E14" s="21" t="s">
        <v>957</v>
      </c>
      <c r="F14" s="19">
        <v>20000</v>
      </c>
      <c r="G14" s="18">
        <v>800</v>
      </c>
      <c r="H14" s="18" t="s">
        <v>129</v>
      </c>
      <c r="I14" s="18" t="s">
        <v>30</v>
      </c>
      <c r="J14" s="23">
        <v>45079</v>
      </c>
      <c r="K14" s="36" t="s">
        <v>689</v>
      </c>
      <c r="L14" s="26" t="s">
        <v>1080</v>
      </c>
      <c r="M14" s="26" t="s">
        <v>1081</v>
      </c>
      <c r="N14" s="26"/>
      <c r="O14" s="26">
        <v>20000</v>
      </c>
      <c r="P14" s="26"/>
      <c r="Q14" s="26"/>
      <c r="R14" s="26" t="s">
        <v>34</v>
      </c>
      <c r="S14" s="27">
        <v>41000</v>
      </c>
      <c r="T14" s="28">
        <f t="shared" si="0"/>
        <v>820000</v>
      </c>
    </row>
    <row r="15" spans="1:20" s="17" customFormat="1" x14ac:dyDescent="0.25">
      <c r="A15" s="26"/>
      <c r="B15" s="19" t="s">
        <v>1082</v>
      </c>
      <c r="C15" s="19" t="s">
        <v>1083</v>
      </c>
      <c r="D15" s="18" t="s">
        <v>1084</v>
      </c>
      <c r="E15" s="21" t="s">
        <v>1073</v>
      </c>
      <c r="F15" s="19">
        <v>1000</v>
      </c>
      <c r="G15" s="18">
        <v>50</v>
      </c>
      <c r="H15" s="18" t="s">
        <v>29</v>
      </c>
      <c r="I15" s="18" t="s">
        <v>30</v>
      </c>
      <c r="J15" s="23">
        <v>45079</v>
      </c>
      <c r="K15" s="36" t="s">
        <v>1085</v>
      </c>
      <c r="L15" s="26"/>
      <c r="M15" s="26" t="s">
        <v>1086</v>
      </c>
      <c r="N15" s="26"/>
      <c r="O15" s="26"/>
      <c r="P15" s="26">
        <v>1000</v>
      </c>
      <c r="Q15" s="26"/>
      <c r="R15" s="26"/>
      <c r="S15" s="27">
        <v>90000</v>
      </c>
      <c r="T15" s="28">
        <f t="shared" si="0"/>
        <v>90000</v>
      </c>
    </row>
    <row r="16" spans="1:20" s="17" customFormat="1" x14ac:dyDescent="0.25">
      <c r="A16" s="25"/>
      <c r="B16" s="19" t="s">
        <v>1087</v>
      </c>
      <c r="C16" s="19" t="s">
        <v>57</v>
      </c>
      <c r="D16" s="20" t="s">
        <v>1088</v>
      </c>
      <c r="E16" s="21" t="s">
        <v>1089</v>
      </c>
      <c r="F16" s="19">
        <v>18144</v>
      </c>
      <c r="G16" s="18">
        <v>800</v>
      </c>
      <c r="H16" s="18" t="s">
        <v>129</v>
      </c>
      <c r="I16" s="18" t="s">
        <v>30</v>
      </c>
      <c r="J16" s="23">
        <v>45082</v>
      </c>
      <c r="K16" s="26" t="s">
        <v>1090</v>
      </c>
      <c r="L16" s="26" t="s">
        <v>1091</v>
      </c>
      <c r="M16" s="26" t="s">
        <v>1092</v>
      </c>
      <c r="N16" s="26"/>
      <c r="O16" s="26"/>
      <c r="P16" s="26">
        <v>18144</v>
      </c>
      <c r="Q16" s="26"/>
      <c r="R16" s="26" t="s">
        <v>34</v>
      </c>
      <c r="S16" s="27">
        <v>245000</v>
      </c>
      <c r="T16" s="28">
        <f t="shared" si="0"/>
        <v>4445280</v>
      </c>
    </row>
    <row r="17" spans="1:21" s="17" customFormat="1" x14ac:dyDescent="0.25">
      <c r="A17" s="26"/>
      <c r="B17" s="19" t="s">
        <v>1093</v>
      </c>
      <c r="C17" s="19" t="s">
        <v>57</v>
      </c>
      <c r="D17" s="18" t="s">
        <v>1094</v>
      </c>
      <c r="E17" s="21" t="s">
        <v>1058</v>
      </c>
      <c r="F17" s="19">
        <v>1800</v>
      </c>
      <c r="G17" s="18">
        <v>72</v>
      </c>
      <c r="H17" s="18" t="s">
        <v>129</v>
      </c>
      <c r="I17" s="18" t="s">
        <v>30</v>
      </c>
      <c r="J17" s="23">
        <v>45082</v>
      </c>
      <c r="K17" s="36" t="s">
        <v>1090</v>
      </c>
      <c r="L17" s="26" t="s">
        <v>1091</v>
      </c>
      <c r="M17" s="26" t="s">
        <v>1092</v>
      </c>
      <c r="N17" s="26"/>
      <c r="O17" s="26"/>
      <c r="P17" s="26"/>
      <c r="Q17" s="26">
        <v>1800</v>
      </c>
      <c r="R17" s="26" t="s">
        <v>34</v>
      </c>
      <c r="S17" s="27">
        <v>250000</v>
      </c>
      <c r="T17" s="28">
        <f t="shared" si="0"/>
        <v>450000</v>
      </c>
      <c r="U17" s="26"/>
    </row>
    <row r="18" spans="1:21" s="17" customFormat="1" x14ac:dyDescent="0.25">
      <c r="A18" s="26"/>
      <c r="B18" s="19" t="s">
        <v>108</v>
      </c>
      <c r="C18" s="19" t="s">
        <v>491</v>
      </c>
      <c r="D18" s="20" t="s">
        <v>571</v>
      </c>
      <c r="E18" s="21" t="s">
        <v>1095</v>
      </c>
      <c r="F18" s="19">
        <v>20000</v>
      </c>
      <c r="G18" s="18">
        <v>800</v>
      </c>
      <c r="H18" s="18" t="s">
        <v>29</v>
      </c>
      <c r="I18" s="18" t="s">
        <v>30</v>
      </c>
      <c r="J18" s="23">
        <v>45082</v>
      </c>
      <c r="K18" s="36" t="s">
        <v>1096</v>
      </c>
      <c r="L18" s="26"/>
      <c r="M18" s="26" t="s">
        <v>1097</v>
      </c>
      <c r="N18" s="26"/>
      <c r="O18" s="26">
        <v>20000</v>
      </c>
      <c r="P18" s="26"/>
      <c r="Q18" s="26"/>
      <c r="R18" s="26"/>
      <c r="S18" s="27">
        <v>44480</v>
      </c>
      <c r="T18" s="28">
        <f t="shared" si="0"/>
        <v>889600</v>
      </c>
    </row>
    <row r="19" spans="1:21" s="17" customFormat="1" x14ac:dyDescent="0.25">
      <c r="A19" s="26"/>
      <c r="B19" s="19" t="s">
        <v>108</v>
      </c>
      <c r="C19" s="19" t="s">
        <v>491</v>
      </c>
      <c r="D19" s="20" t="s">
        <v>571</v>
      </c>
      <c r="E19" s="21" t="s">
        <v>1098</v>
      </c>
      <c r="F19" s="19">
        <v>20000</v>
      </c>
      <c r="G19" s="18">
        <v>800</v>
      </c>
      <c r="H19" s="18" t="s">
        <v>29</v>
      </c>
      <c r="I19" s="18" t="s">
        <v>30</v>
      </c>
      <c r="J19" s="23">
        <v>45082</v>
      </c>
      <c r="K19" s="36" t="s">
        <v>1099</v>
      </c>
      <c r="L19" s="26"/>
      <c r="M19" s="26" t="s">
        <v>1100</v>
      </c>
      <c r="N19" s="26"/>
      <c r="O19" s="26">
        <v>20000</v>
      </c>
      <c r="P19" s="26"/>
      <c r="Q19" s="26"/>
      <c r="R19" s="26"/>
      <c r="S19" s="27">
        <v>44480</v>
      </c>
      <c r="T19" s="28">
        <f t="shared" si="0"/>
        <v>889600</v>
      </c>
    </row>
    <row r="20" spans="1:21" s="17" customFormat="1" x14ac:dyDescent="0.25">
      <c r="A20" s="25"/>
      <c r="B20" s="19" t="s">
        <v>1101</v>
      </c>
      <c r="C20" s="19" t="s">
        <v>57</v>
      </c>
      <c r="D20" s="20" t="s">
        <v>58</v>
      </c>
      <c r="E20" s="21" t="s">
        <v>1102</v>
      </c>
      <c r="F20" s="19">
        <v>19845</v>
      </c>
      <c r="G20" s="18">
        <v>875</v>
      </c>
      <c r="H20" s="18" t="s">
        <v>95</v>
      </c>
      <c r="I20" s="18" t="s">
        <v>30</v>
      </c>
      <c r="J20" s="23">
        <v>45082</v>
      </c>
      <c r="K20" s="26" t="s">
        <v>1103</v>
      </c>
      <c r="L20" s="26" t="s">
        <v>1104</v>
      </c>
      <c r="M20" s="26" t="s">
        <v>1105</v>
      </c>
      <c r="N20" s="26"/>
      <c r="O20" s="26">
        <v>19845</v>
      </c>
      <c r="P20" s="26"/>
      <c r="Q20" s="26"/>
      <c r="R20" s="26" t="s">
        <v>34</v>
      </c>
      <c r="S20" s="27">
        <v>49500</v>
      </c>
      <c r="T20" s="28">
        <f t="shared" si="0"/>
        <v>982327.5</v>
      </c>
    </row>
    <row r="21" spans="1:21" s="17" customFormat="1" x14ac:dyDescent="0.25">
      <c r="A21" s="26"/>
      <c r="B21" s="19" t="s">
        <v>413</v>
      </c>
      <c r="C21" s="19" t="s">
        <v>779</v>
      </c>
      <c r="D21" s="20" t="s">
        <v>86</v>
      </c>
      <c r="E21" s="21" t="s">
        <v>1106</v>
      </c>
      <c r="F21" s="19">
        <v>20000</v>
      </c>
      <c r="G21" s="18">
        <v>800</v>
      </c>
      <c r="H21" s="18" t="s">
        <v>338</v>
      </c>
      <c r="I21" s="18" t="s">
        <v>30</v>
      </c>
      <c r="J21" s="23">
        <v>45082</v>
      </c>
      <c r="K21" s="26" t="s">
        <v>1107</v>
      </c>
      <c r="L21" s="26" t="s">
        <v>1108</v>
      </c>
      <c r="M21" s="26" t="s">
        <v>1109</v>
      </c>
      <c r="N21" s="26"/>
      <c r="O21" s="26">
        <v>20000</v>
      </c>
      <c r="P21" s="26"/>
      <c r="Q21" s="26"/>
      <c r="R21" s="26" t="s">
        <v>34</v>
      </c>
      <c r="S21" s="27">
        <v>41000</v>
      </c>
      <c r="T21" s="28">
        <f t="shared" si="0"/>
        <v>820000</v>
      </c>
    </row>
    <row r="22" spans="1:21" s="17" customFormat="1" ht="14.25" customHeight="1" x14ac:dyDescent="0.25">
      <c r="A22" s="26"/>
      <c r="B22" s="19" t="s">
        <v>502</v>
      </c>
      <c r="C22" s="19" t="s">
        <v>1017</v>
      </c>
      <c r="D22" s="18" t="s">
        <v>680</v>
      </c>
      <c r="E22" s="21" t="s">
        <v>1106</v>
      </c>
      <c r="F22" s="19">
        <v>4000</v>
      </c>
      <c r="G22" s="18">
        <v>20</v>
      </c>
      <c r="H22" s="18" t="s">
        <v>29</v>
      </c>
      <c r="I22" s="18" t="s">
        <v>30</v>
      </c>
      <c r="J22" s="23">
        <v>45083</v>
      </c>
      <c r="K22" s="36" t="s">
        <v>1110</v>
      </c>
      <c r="L22" s="26" t="s">
        <v>1111</v>
      </c>
      <c r="M22" s="26" t="s">
        <v>1112</v>
      </c>
      <c r="N22" s="26"/>
      <c r="O22" s="26"/>
      <c r="P22" s="26"/>
      <c r="Q22" s="26">
        <v>4000</v>
      </c>
      <c r="R22" s="26"/>
      <c r="S22" s="27">
        <v>110000</v>
      </c>
      <c r="T22" s="28">
        <f t="shared" si="0"/>
        <v>440000</v>
      </c>
    </row>
    <row r="23" spans="1:21" s="17" customFormat="1" x14ac:dyDescent="0.25">
      <c r="A23" s="26"/>
      <c r="B23" s="19" t="s">
        <v>502</v>
      </c>
      <c r="C23" s="19" t="s">
        <v>1017</v>
      </c>
      <c r="D23" s="18" t="s">
        <v>1021</v>
      </c>
      <c r="E23" s="21" t="s">
        <v>1106</v>
      </c>
      <c r="F23" s="19">
        <v>1600</v>
      </c>
      <c r="G23" s="18">
        <v>8</v>
      </c>
      <c r="H23" s="18" t="s">
        <v>29</v>
      </c>
      <c r="I23" s="18" t="s">
        <v>30</v>
      </c>
      <c r="J23" s="23">
        <v>45083</v>
      </c>
      <c r="K23" s="36" t="s">
        <v>1110</v>
      </c>
      <c r="L23" s="26"/>
      <c r="M23" s="26"/>
      <c r="N23" s="26"/>
      <c r="O23" s="26"/>
      <c r="P23" s="26"/>
      <c r="Q23" s="26">
        <v>1600</v>
      </c>
      <c r="R23" s="26"/>
      <c r="S23" s="27">
        <v>95000</v>
      </c>
      <c r="T23" s="28">
        <f t="shared" si="0"/>
        <v>152000</v>
      </c>
    </row>
    <row r="24" spans="1:21" s="17" customFormat="1" ht="14.25" customHeight="1" x14ac:dyDescent="0.25">
      <c r="A24" s="26"/>
      <c r="B24" s="19" t="s">
        <v>502</v>
      </c>
      <c r="C24" s="19" t="s">
        <v>1017</v>
      </c>
      <c r="D24" s="18" t="s">
        <v>110</v>
      </c>
      <c r="E24" s="21" t="s">
        <v>1113</v>
      </c>
      <c r="F24" s="19">
        <v>2000</v>
      </c>
      <c r="G24" s="18">
        <v>10</v>
      </c>
      <c r="H24" s="18" t="s">
        <v>29</v>
      </c>
      <c r="I24" s="18" t="s">
        <v>30</v>
      </c>
      <c r="J24" s="23">
        <v>45083</v>
      </c>
      <c r="K24" s="36" t="s">
        <v>1110</v>
      </c>
      <c r="L24" s="26"/>
      <c r="M24" s="26"/>
      <c r="N24" s="26"/>
      <c r="O24" s="26"/>
      <c r="P24" s="26"/>
      <c r="Q24" s="26">
        <v>2000</v>
      </c>
      <c r="R24" s="26"/>
      <c r="S24" s="27">
        <v>68000</v>
      </c>
      <c r="T24" s="28">
        <f t="shared" si="0"/>
        <v>136000</v>
      </c>
    </row>
    <row r="25" spans="1:21" s="17" customFormat="1" ht="14.25" customHeight="1" x14ac:dyDescent="0.25">
      <c r="A25" s="26"/>
      <c r="B25" s="19" t="s">
        <v>502</v>
      </c>
      <c r="C25" s="19" t="s">
        <v>1017</v>
      </c>
      <c r="D25" s="18" t="s">
        <v>110</v>
      </c>
      <c r="E25" s="21" t="s">
        <v>1114</v>
      </c>
      <c r="F25" s="19">
        <v>1000</v>
      </c>
      <c r="G25" s="18">
        <v>5</v>
      </c>
      <c r="H25" s="18" t="s">
        <v>29</v>
      </c>
      <c r="I25" s="18" t="s">
        <v>30</v>
      </c>
      <c r="J25" s="23">
        <v>45083</v>
      </c>
      <c r="K25" s="36" t="s">
        <v>1110</v>
      </c>
      <c r="L25" s="26"/>
      <c r="M25" s="26"/>
      <c r="N25" s="26"/>
      <c r="O25" s="26"/>
      <c r="P25" s="26"/>
      <c r="Q25" s="26">
        <v>1000</v>
      </c>
      <c r="R25" s="26"/>
      <c r="S25" s="27">
        <v>68000</v>
      </c>
      <c r="T25" s="28">
        <f t="shared" si="0"/>
        <v>68000</v>
      </c>
    </row>
    <row r="26" spans="1:21" s="17" customFormat="1" ht="15.75" customHeight="1" x14ac:dyDescent="0.25">
      <c r="A26" s="25"/>
      <c r="B26" s="19" t="s">
        <v>1087</v>
      </c>
      <c r="C26" s="19" t="s">
        <v>57</v>
      </c>
      <c r="D26" s="20" t="s">
        <v>58</v>
      </c>
      <c r="E26" s="21" t="s">
        <v>1115</v>
      </c>
      <c r="F26" s="19">
        <v>19845</v>
      </c>
      <c r="G26" s="18">
        <v>875</v>
      </c>
      <c r="H26" s="18" t="s">
        <v>129</v>
      </c>
      <c r="I26" s="18" t="s">
        <v>30</v>
      </c>
      <c r="J26" s="23">
        <v>45083</v>
      </c>
      <c r="K26" s="26" t="s">
        <v>1116</v>
      </c>
      <c r="L26" s="26" t="s">
        <v>1117</v>
      </c>
      <c r="M26" s="26" t="s">
        <v>1118</v>
      </c>
      <c r="N26" s="26"/>
      <c r="O26" s="26">
        <v>19845</v>
      </c>
      <c r="P26" s="26"/>
      <c r="Q26" s="26"/>
      <c r="R26" s="26" t="s">
        <v>34</v>
      </c>
      <c r="S26" s="27">
        <v>49500</v>
      </c>
      <c r="T26" s="28">
        <f t="shared" si="0"/>
        <v>982327.5</v>
      </c>
    </row>
    <row r="27" spans="1:21" s="17" customFormat="1" ht="15.75" customHeight="1" x14ac:dyDescent="0.25">
      <c r="A27" s="25"/>
      <c r="B27" s="19" t="s">
        <v>1087</v>
      </c>
      <c r="C27" s="19" t="s">
        <v>57</v>
      </c>
      <c r="D27" s="20" t="s">
        <v>58</v>
      </c>
      <c r="E27" s="21" t="s">
        <v>957</v>
      </c>
      <c r="F27" s="19">
        <v>19845</v>
      </c>
      <c r="G27" s="18">
        <v>875</v>
      </c>
      <c r="H27" s="18" t="s">
        <v>129</v>
      </c>
      <c r="I27" s="18" t="s">
        <v>30</v>
      </c>
      <c r="J27" s="23">
        <v>45084</v>
      </c>
      <c r="K27" s="26" t="s">
        <v>1119</v>
      </c>
      <c r="L27" s="26" t="s">
        <v>1120</v>
      </c>
      <c r="M27" s="26" t="s">
        <v>1121</v>
      </c>
      <c r="N27" s="26"/>
      <c r="O27" s="26">
        <v>19845</v>
      </c>
      <c r="P27" s="26"/>
      <c r="Q27" s="26"/>
      <c r="R27" s="26" t="s">
        <v>34</v>
      </c>
      <c r="S27" s="27">
        <v>49500</v>
      </c>
      <c r="T27" s="28">
        <f t="shared" si="0"/>
        <v>982327.5</v>
      </c>
    </row>
    <row r="28" spans="1:21" s="17" customFormat="1" ht="15.75" customHeight="1" x14ac:dyDescent="0.25">
      <c r="A28" s="25"/>
      <c r="B28" s="19" t="s">
        <v>1087</v>
      </c>
      <c r="C28" s="19" t="s">
        <v>57</v>
      </c>
      <c r="D28" s="20" t="s">
        <v>58</v>
      </c>
      <c r="E28" s="21" t="s">
        <v>1122</v>
      </c>
      <c r="F28" s="19">
        <v>19845</v>
      </c>
      <c r="G28" s="18">
        <v>875</v>
      </c>
      <c r="H28" s="18" t="s">
        <v>129</v>
      </c>
      <c r="I28" s="18" t="s">
        <v>30</v>
      </c>
      <c r="J28" s="23">
        <v>45084</v>
      </c>
      <c r="K28" s="26" t="s">
        <v>1011</v>
      </c>
      <c r="L28" s="26" t="s">
        <v>1012</v>
      </c>
      <c r="M28" s="26" t="s">
        <v>1013</v>
      </c>
      <c r="N28" s="26"/>
      <c r="O28" s="26">
        <v>19845</v>
      </c>
      <c r="P28" s="26"/>
      <c r="Q28" s="26"/>
      <c r="R28" s="26" t="s">
        <v>34</v>
      </c>
      <c r="S28" s="27">
        <v>49500</v>
      </c>
      <c r="T28" s="28">
        <f t="shared" si="0"/>
        <v>982327.5</v>
      </c>
    </row>
    <row r="29" spans="1:21" s="17" customFormat="1" x14ac:dyDescent="0.25">
      <c r="A29" s="25"/>
      <c r="B29" s="19" t="s">
        <v>1123</v>
      </c>
      <c r="C29" s="19" t="s">
        <v>370</v>
      </c>
      <c r="D29" s="20" t="s">
        <v>371</v>
      </c>
      <c r="E29" s="21" t="s">
        <v>1124</v>
      </c>
      <c r="F29" s="19">
        <v>200</v>
      </c>
      <c r="G29" s="18">
        <v>1</v>
      </c>
      <c r="H29" s="18" t="s">
        <v>373</v>
      </c>
      <c r="I29" s="18" t="s">
        <v>30</v>
      </c>
      <c r="J29" s="23">
        <v>45084</v>
      </c>
      <c r="K29" s="26" t="s">
        <v>1125</v>
      </c>
      <c r="L29" s="26" t="s">
        <v>1126</v>
      </c>
      <c r="M29" s="26" t="s">
        <v>1127</v>
      </c>
      <c r="N29" s="26"/>
      <c r="O29" s="26"/>
      <c r="P29" s="26"/>
      <c r="Q29" s="26">
        <v>200</v>
      </c>
      <c r="R29" s="26"/>
      <c r="S29" s="27">
        <v>359000</v>
      </c>
      <c r="T29" s="28">
        <f t="shared" si="0"/>
        <v>71800</v>
      </c>
    </row>
    <row r="30" spans="1:21" s="17" customFormat="1" x14ac:dyDescent="0.25">
      <c r="A30" s="25"/>
      <c r="B30" s="19" t="s">
        <v>1123</v>
      </c>
      <c r="C30" s="19" t="s">
        <v>370</v>
      </c>
      <c r="D30" s="20" t="s">
        <v>371</v>
      </c>
      <c r="E30" s="21" t="s">
        <v>1089</v>
      </c>
      <c r="F30" s="19">
        <v>8600</v>
      </c>
      <c r="G30" s="18">
        <v>43</v>
      </c>
      <c r="H30" s="18" t="s">
        <v>373</v>
      </c>
      <c r="I30" s="18" t="s">
        <v>30</v>
      </c>
      <c r="J30" s="23">
        <v>45084</v>
      </c>
      <c r="K30" s="26" t="s">
        <v>1125</v>
      </c>
      <c r="L30" s="26"/>
      <c r="M30" s="26"/>
      <c r="N30" s="26"/>
      <c r="O30" s="26"/>
      <c r="P30" s="26"/>
      <c r="Q30" s="26">
        <v>8600</v>
      </c>
      <c r="R30" s="26"/>
      <c r="S30" s="27">
        <v>359000</v>
      </c>
      <c r="T30" s="28">
        <f t="shared" si="0"/>
        <v>3087400</v>
      </c>
    </row>
    <row r="31" spans="1:21" s="17" customFormat="1" x14ac:dyDescent="0.25">
      <c r="A31" s="25"/>
      <c r="B31" s="19" t="s">
        <v>1123</v>
      </c>
      <c r="C31" s="19" t="s">
        <v>370</v>
      </c>
      <c r="D31" s="20" t="s">
        <v>371</v>
      </c>
      <c r="E31" s="21" t="s">
        <v>1122</v>
      </c>
      <c r="F31" s="19">
        <v>8800</v>
      </c>
      <c r="G31" s="18">
        <v>44</v>
      </c>
      <c r="H31" s="18" t="s">
        <v>373</v>
      </c>
      <c r="I31" s="18" t="s">
        <v>30</v>
      </c>
      <c r="J31" s="23">
        <v>45084</v>
      </c>
      <c r="K31" s="26" t="s">
        <v>1125</v>
      </c>
      <c r="L31" s="26"/>
      <c r="M31" s="26"/>
      <c r="N31" s="26"/>
      <c r="O31" s="26"/>
      <c r="P31" s="26"/>
      <c r="Q31" s="26">
        <v>8800</v>
      </c>
      <c r="R31" s="26"/>
      <c r="S31" s="27">
        <v>359000</v>
      </c>
      <c r="T31" s="28">
        <f t="shared" si="0"/>
        <v>3159200.0000000005</v>
      </c>
    </row>
    <row r="32" spans="1:21" s="17" customFormat="1" x14ac:dyDescent="0.25">
      <c r="A32" s="26"/>
      <c r="B32" s="19" t="s">
        <v>1022</v>
      </c>
      <c r="C32" s="19" t="s">
        <v>913</v>
      </c>
      <c r="D32" s="20" t="s">
        <v>86</v>
      </c>
      <c r="E32" s="21" t="s">
        <v>1128</v>
      </c>
      <c r="F32" s="19">
        <v>20000</v>
      </c>
      <c r="G32" s="18">
        <v>800</v>
      </c>
      <c r="H32" s="18" t="s">
        <v>338</v>
      </c>
      <c r="I32" s="18" t="s">
        <v>30</v>
      </c>
      <c r="J32" s="23">
        <v>45085</v>
      </c>
      <c r="K32" s="26" t="s">
        <v>1129</v>
      </c>
      <c r="L32" s="26" t="s">
        <v>1130</v>
      </c>
      <c r="M32" s="26" t="s">
        <v>1131</v>
      </c>
      <c r="N32" s="26"/>
      <c r="O32" s="26">
        <v>20000</v>
      </c>
      <c r="P32" s="26"/>
      <c r="Q32" s="26"/>
      <c r="R32" s="26"/>
      <c r="S32" s="27">
        <v>41000</v>
      </c>
      <c r="T32" s="28">
        <f t="shared" si="0"/>
        <v>820000</v>
      </c>
    </row>
    <row r="33" spans="1:21" s="17" customFormat="1" x14ac:dyDescent="0.25">
      <c r="A33" s="26"/>
      <c r="B33" s="19" t="s">
        <v>476</v>
      </c>
      <c r="C33" s="19" t="s">
        <v>648</v>
      </c>
      <c r="D33" s="20" t="s">
        <v>649</v>
      </c>
      <c r="E33" s="21" t="s">
        <v>1132</v>
      </c>
      <c r="F33" s="19">
        <v>2660</v>
      </c>
      <c r="G33" s="18">
        <v>14</v>
      </c>
      <c r="H33" s="18" t="s">
        <v>651</v>
      </c>
      <c r="I33" s="18" t="s">
        <v>30</v>
      </c>
      <c r="J33" s="23">
        <v>45086</v>
      </c>
      <c r="K33" s="36" t="s">
        <v>1133</v>
      </c>
      <c r="L33" s="26" t="s">
        <v>1134</v>
      </c>
      <c r="M33" s="26" t="s">
        <v>1135</v>
      </c>
      <c r="N33" s="26"/>
      <c r="O33" s="26"/>
      <c r="P33" s="26"/>
      <c r="Q33" s="26">
        <v>2660</v>
      </c>
      <c r="R33" s="26" t="s">
        <v>34</v>
      </c>
      <c r="S33" s="27">
        <v>129700</v>
      </c>
      <c r="T33" s="28">
        <f t="shared" si="0"/>
        <v>345002</v>
      </c>
    </row>
    <row r="34" spans="1:21" s="17" customFormat="1" x14ac:dyDescent="0.25">
      <c r="A34" s="26"/>
      <c r="B34" s="19" t="s">
        <v>476</v>
      </c>
      <c r="C34" s="19" t="s">
        <v>648</v>
      </c>
      <c r="D34" s="20" t="s">
        <v>649</v>
      </c>
      <c r="E34" s="21" t="s">
        <v>1136</v>
      </c>
      <c r="F34" s="19">
        <v>8360</v>
      </c>
      <c r="G34" s="18">
        <v>44</v>
      </c>
      <c r="H34" s="18" t="s">
        <v>651</v>
      </c>
      <c r="I34" s="18" t="s">
        <v>30</v>
      </c>
      <c r="J34" s="23">
        <v>45086</v>
      </c>
      <c r="K34" s="36" t="s">
        <v>1133</v>
      </c>
      <c r="L34" s="26"/>
      <c r="M34" s="26"/>
      <c r="N34" s="26"/>
      <c r="O34" s="26"/>
      <c r="P34" s="26"/>
      <c r="Q34" s="26">
        <v>8360</v>
      </c>
      <c r="R34" s="26" t="s">
        <v>34</v>
      </c>
      <c r="S34" s="27">
        <v>129700</v>
      </c>
      <c r="T34" s="28">
        <f t="shared" si="0"/>
        <v>1084292</v>
      </c>
    </row>
    <row r="35" spans="1:21" s="17" customFormat="1" x14ac:dyDescent="0.25">
      <c r="A35" s="26"/>
      <c r="B35" s="19" t="s">
        <v>476</v>
      </c>
      <c r="C35" s="19" t="s">
        <v>648</v>
      </c>
      <c r="D35" s="20" t="s">
        <v>649</v>
      </c>
      <c r="E35" s="21" t="s">
        <v>771</v>
      </c>
      <c r="F35" s="19">
        <v>5700</v>
      </c>
      <c r="G35" s="18">
        <v>30</v>
      </c>
      <c r="H35" s="18" t="s">
        <v>651</v>
      </c>
      <c r="I35" s="18" t="s">
        <v>30</v>
      </c>
      <c r="J35" s="23">
        <v>45086</v>
      </c>
      <c r="K35" s="36" t="s">
        <v>1133</v>
      </c>
      <c r="L35" s="26"/>
      <c r="M35" s="26"/>
      <c r="N35" s="26"/>
      <c r="O35" s="26"/>
      <c r="P35" s="26"/>
      <c r="Q35" s="26">
        <v>5700</v>
      </c>
      <c r="R35" s="26" t="s">
        <v>34</v>
      </c>
      <c r="S35" s="27">
        <v>129700</v>
      </c>
      <c r="T35" s="28">
        <f t="shared" si="0"/>
        <v>739290</v>
      </c>
    </row>
    <row r="36" spans="1:21" s="17" customFormat="1" ht="15.75" customHeight="1" x14ac:dyDescent="0.25">
      <c r="A36" s="25"/>
      <c r="B36" s="19" t="s">
        <v>1087</v>
      </c>
      <c r="C36" s="19" t="s">
        <v>57</v>
      </c>
      <c r="D36" s="20" t="s">
        <v>58</v>
      </c>
      <c r="E36" s="21" t="s">
        <v>1137</v>
      </c>
      <c r="F36" s="19">
        <v>19845</v>
      </c>
      <c r="G36" s="18">
        <v>875</v>
      </c>
      <c r="H36" s="18" t="s">
        <v>129</v>
      </c>
      <c r="I36" s="18" t="s">
        <v>30</v>
      </c>
      <c r="J36" s="23">
        <v>45086</v>
      </c>
      <c r="K36" s="26" t="s">
        <v>749</v>
      </c>
      <c r="L36" s="26" t="s">
        <v>750</v>
      </c>
      <c r="M36" s="26" t="s">
        <v>751</v>
      </c>
      <c r="N36" s="26"/>
      <c r="O36" s="26">
        <v>19845</v>
      </c>
      <c r="P36" s="26"/>
      <c r="Q36" s="26"/>
      <c r="R36" s="26" t="s">
        <v>34</v>
      </c>
      <c r="S36" s="27">
        <v>49500</v>
      </c>
      <c r="T36" s="28">
        <f t="shared" si="0"/>
        <v>982327.5</v>
      </c>
    </row>
    <row r="37" spans="1:21" s="17" customFormat="1" x14ac:dyDescent="0.25">
      <c r="A37" s="26"/>
      <c r="B37" s="19" t="s">
        <v>1093</v>
      </c>
      <c r="C37" s="19" t="s">
        <v>57</v>
      </c>
      <c r="D37" s="18" t="s">
        <v>1094</v>
      </c>
      <c r="E37" s="21" t="s">
        <v>1058</v>
      </c>
      <c r="F37" s="19">
        <v>600</v>
      </c>
      <c r="G37" s="18">
        <v>24</v>
      </c>
      <c r="H37" s="18" t="s">
        <v>129</v>
      </c>
      <c r="I37" s="18" t="s">
        <v>30</v>
      </c>
      <c r="J37" s="23">
        <v>45086</v>
      </c>
      <c r="K37" s="36" t="s">
        <v>749</v>
      </c>
      <c r="L37" s="26" t="s">
        <v>750</v>
      </c>
      <c r="M37" s="26" t="s">
        <v>751</v>
      </c>
      <c r="N37" s="26"/>
      <c r="O37" s="26"/>
      <c r="P37" s="26"/>
      <c r="Q37" s="26">
        <v>600</v>
      </c>
      <c r="R37" s="26" t="s">
        <v>34</v>
      </c>
      <c r="S37" s="27">
        <v>250000</v>
      </c>
      <c r="T37" s="28">
        <f t="shared" si="0"/>
        <v>150000</v>
      </c>
      <c r="U37" s="26"/>
    </row>
    <row r="38" spans="1:21" s="17" customFormat="1" ht="15.75" customHeight="1" x14ac:dyDescent="0.25">
      <c r="A38" s="25"/>
      <c r="B38" s="19" t="s">
        <v>1087</v>
      </c>
      <c r="C38" s="19" t="s">
        <v>57</v>
      </c>
      <c r="D38" s="20" t="s">
        <v>58</v>
      </c>
      <c r="E38" s="21" t="s">
        <v>1136</v>
      </c>
      <c r="F38" s="19">
        <v>19845</v>
      </c>
      <c r="G38" s="18">
        <v>875</v>
      </c>
      <c r="H38" s="18" t="s">
        <v>129</v>
      </c>
      <c r="I38" s="18" t="s">
        <v>30</v>
      </c>
      <c r="J38" s="23">
        <v>45086</v>
      </c>
      <c r="K38" s="26" t="s">
        <v>1138</v>
      </c>
      <c r="L38" s="26" t="s">
        <v>1139</v>
      </c>
      <c r="M38" s="26" t="s">
        <v>1140</v>
      </c>
      <c r="N38" s="26"/>
      <c r="O38" s="26">
        <v>19845</v>
      </c>
      <c r="P38" s="26"/>
      <c r="Q38" s="26"/>
      <c r="R38" s="26" t="s">
        <v>34</v>
      </c>
      <c r="S38" s="27">
        <v>49500</v>
      </c>
      <c r="T38" s="28">
        <f t="shared" si="0"/>
        <v>982327.5</v>
      </c>
    </row>
    <row r="39" spans="1:21" s="17" customFormat="1" x14ac:dyDescent="0.25">
      <c r="A39" s="26"/>
      <c r="B39" s="19" t="s">
        <v>1093</v>
      </c>
      <c r="C39" s="19" t="s">
        <v>57</v>
      </c>
      <c r="D39" s="18" t="s">
        <v>1094</v>
      </c>
      <c r="E39" s="21" t="s">
        <v>1058</v>
      </c>
      <c r="F39" s="19">
        <v>100</v>
      </c>
      <c r="G39" s="18">
        <v>4</v>
      </c>
      <c r="H39" s="18" t="s">
        <v>129</v>
      </c>
      <c r="I39" s="18" t="s">
        <v>30</v>
      </c>
      <c r="J39" s="23">
        <v>45086</v>
      </c>
      <c r="K39" s="36" t="s">
        <v>1138</v>
      </c>
      <c r="L39" s="26" t="s">
        <v>1139</v>
      </c>
      <c r="M39" s="26" t="s">
        <v>1140</v>
      </c>
      <c r="N39" s="26"/>
      <c r="O39" s="26"/>
      <c r="P39" s="26"/>
      <c r="Q39" s="26">
        <v>100</v>
      </c>
      <c r="R39" s="26" t="s">
        <v>34</v>
      </c>
      <c r="S39" s="27">
        <v>250000</v>
      </c>
      <c r="T39" s="28">
        <f t="shared" si="0"/>
        <v>25000</v>
      </c>
      <c r="U39" s="26"/>
    </row>
    <row r="40" spans="1:21" s="17" customFormat="1" ht="15.75" customHeight="1" x14ac:dyDescent="0.25">
      <c r="A40" s="25"/>
      <c r="B40" s="19" t="s">
        <v>1087</v>
      </c>
      <c r="C40" s="19" t="s">
        <v>57</v>
      </c>
      <c r="D40" s="20" t="s">
        <v>58</v>
      </c>
      <c r="E40" s="21" t="s">
        <v>771</v>
      </c>
      <c r="F40" s="19">
        <v>19845</v>
      </c>
      <c r="G40" s="18">
        <v>875</v>
      </c>
      <c r="H40" s="18" t="s">
        <v>129</v>
      </c>
      <c r="I40" s="18" t="s">
        <v>30</v>
      </c>
      <c r="J40" s="23">
        <v>45086</v>
      </c>
      <c r="K40" s="26" t="s">
        <v>1141</v>
      </c>
      <c r="L40" s="26" t="s">
        <v>1142</v>
      </c>
      <c r="M40" s="26" t="s">
        <v>388</v>
      </c>
      <c r="N40" s="26"/>
      <c r="O40" s="26">
        <v>19845</v>
      </c>
      <c r="P40" s="26"/>
      <c r="Q40" s="26"/>
      <c r="R40" s="26" t="s">
        <v>34</v>
      </c>
      <c r="S40" s="27">
        <v>49500</v>
      </c>
      <c r="T40" s="28">
        <f t="shared" si="0"/>
        <v>982327.5</v>
      </c>
    </row>
    <row r="41" spans="1:21" s="17" customFormat="1" ht="14.25" customHeight="1" x14ac:dyDescent="0.25">
      <c r="A41" s="25" t="s">
        <v>280</v>
      </c>
      <c r="B41" s="19" t="s">
        <v>1143</v>
      </c>
      <c r="C41" s="19" t="s">
        <v>57</v>
      </c>
      <c r="D41" s="20" t="s">
        <v>282</v>
      </c>
      <c r="E41" s="21" t="s">
        <v>1144</v>
      </c>
      <c r="F41" s="19">
        <v>8550</v>
      </c>
      <c r="G41" s="18">
        <v>45</v>
      </c>
      <c r="H41" s="18" t="s">
        <v>188</v>
      </c>
      <c r="I41" s="18" t="s">
        <v>30</v>
      </c>
      <c r="J41" s="23">
        <v>45088</v>
      </c>
      <c r="K41" s="26"/>
      <c r="L41" s="26"/>
      <c r="M41" s="26"/>
      <c r="N41" s="26" t="s">
        <v>1145</v>
      </c>
      <c r="O41" s="26"/>
      <c r="P41" s="26"/>
      <c r="Q41" s="26">
        <v>8550</v>
      </c>
      <c r="R41" s="26" t="s">
        <v>34</v>
      </c>
      <c r="S41" s="27">
        <v>115000</v>
      </c>
      <c r="T41" s="28">
        <f t="shared" si="0"/>
        <v>983250.00000000012</v>
      </c>
    </row>
    <row r="42" spans="1:21" s="17" customFormat="1" ht="14.25" customHeight="1" x14ac:dyDescent="0.25">
      <c r="A42" s="25" t="s">
        <v>280</v>
      </c>
      <c r="B42" s="19" t="s">
        <v>1143</v>
      </c>
      <c r="C42" s="19" t="s">
        <v>57</v>
      </c>
      <c r="D42" s="20" t="s">
        <v>282</v>
      </c>
      <c r="E42" s="21" t="s">
        <v>1146</v>
      </c>
      <c r="F42" s="19">
        <v>6650</v>
      </c>
      <c r="G42" s="18">
        <v>35</v>
      </c>
      <c r="H42" s="18" t="s">
        <v>188</v>
      </c>
      <c r="I42" s="18" t="s">
        <v>30</v>
      </c>
      <c r="J42" s="23">
        <v>45088</v>
      </c>
      <c r="K42" s="26"/>
      <c r="L42" s="26"/>
      <c r="M42" s="26"/>
      <c r="N42" s="26" t="s">
        <v>1145</v>
      </c>
      <c r="O42" s="26"/>
      <c r="P42" s="26"/>
      <c r="Q42" s="26">
        <v>6650</v>
      </c>
      <c r="R42" s="26" t="s">
        <v>34</v>
      </c>
      <c r="S42" s="27">
        <v>115000</v>
      </c>
      <c r="T42" s="28">
        <f t="shared" si="0"/>
        <v>764750</v>
      </c>
    </row>
    <row r="43" spans="1:21" s="17" customFormat="1" ht="14.25" customHeight="1" x14ac:dyDescent="0.25">
      <c r="A43" s="25" t="s">
        <v>280</v>
      </c>
      <c r="B43" s="19" t="s">
        <v>1143</v>
      </c>
      <c r="C43" s="19" t="s">
        <v>57</v>
      </c>
      <c r="D43" s="20" t="s">
        <v>191</v>
      </c>
      <c r="E43" s="21" t="s">
        <v>1128</v>
      </c>
      <c r="F43" s="19">
        <v>12000</v>
      </c>
      <c r="G43" s="18">
        <v>480</v>
      </c>
      <c r="H43" s="18" t="s">
        <v>188</v>
      </c>
      <c r="I43" s="18" t="s">
        <v>30</v>
      </c>
      <c r="J43" s="23">
        <v>45088</v>
      </c>
      <c r="K43" s="26"/>
      <c r="L43" s="26"/>
      <c r="M43" s="26"/>
      <c r="N43" s="26" t="s">
        <v>1147</v>
      </c>
      <c r="O43" s="26"/>
      <c r="P43" s="26"/>
      <c r="Q43" s="26">
        <v>12000</v>
      </c>
      <c r="R43" s="26" t="s">
        <v>34</v>
      </c>
      <c r="S43" s="27">
        <v>165000</v>
      </c>
      <c r="T43" s="28">
        <f t="shared" si="0"/>
        <v>1980000</v>
      </c>
    </row>
    <row r="44" spans="1:21" s="17" customFormat="1" ht="16.5" customHeight="1" x14ac:dyDescent="0.25">
      <c r="A44" s="26"/>
      <c r="B44" s="19" t="s">
        <v>383</v>
      </c>
      <c r="C44" s="19" t="s">
        <v>109</v>
      </c>
      <c r="D44" s="20" t="s">
        <v>110</v>
      </c>
      <c r="E44" s="21" t="s">
        <v>1148</v>
      </c>
      <c r="F44" s="19">
        <v>8000</v>
      </c>
      <c r="G44" s="18">
        <v>40</v>
      </c>
      <c r="H44" s="18" t="s">
        <v>112</v>
      </c>
      <c r="I44" s="18" t="s">
        <v>30</v>
      </c>
      <c r="J44" s="23">
        <v>45090</v>
      </c>
      <c r="K44" s="36" t="s">
        <v>529</v>
      </c>
      <c r="L44" s="28" t="s">
        <v>530</v>
      </c>
      <c r="M44" s="26" t="s">
        <v>531</v>
      </c>
      <c r="N44" s="26"/>
      <c r="O44" s="26"/>
      <c r="P44" s="26"/>
      <c r="Q44" s="26">
        <v>8000</v>
      </c>
      <c r="R44" s="26" t="s">
        <v>34</v>
      </c>
      <c r="S44" s="27">
        <v>65000</v>
      </c>
      <c r="T44" s="28">
        <f t="shared" si="0"/>
        <v>520000</v>
      </c>
    </row>
    <row r="45" spans="1:21" s="17" customFormat="1" ht="15.75" customHeight="1" x14ac:dyDescent="0.25">
      <c r="A45" s="26"/>
      <c r="B45" s="19" t="s">
        <v>383</v>
      </c>
      <c r="C45" s="19" t="s">
        <v>109</v>
      </c>
      <c r="D45" s="20" t="s">
        <v>110</v>
      </c>
      <c r="E45" s="21" t="s">
        <v>1149</v>
      </c>
      <c r="F45" s="19">
        <v>7400</v>
      </c>
      <c r="G45" s="18">
        <v>37</v>
      </c>
      <c r="H45" s="18" t="s">
        <v>112</v>
      </c>
      <c r="I45" s="18" t="s">
        <v>30</v>
      </c>
      <c r="J45" s="23">
        <v>45090</v>
      </c>
      <c r="K45" s="36" t="s">
        <v>529</v>
      </c>
      <c r="L45" s="28"/>
      <c r="M45" s="26"/>
      <c r="N45" s="26"/>
      <c r="O45" s="26"/>
      <c r="P45" s="26"/>
      <c r="Q45" s="26">
        <v>7400</v>
      </c>
      <c r="R45" s="26" t="s">
        <v>34</v>
      </c>
      <c r="S45" s="27">
        <v>65000</v>
      </c>
      <c r="T45" s="28">
        <f t="shared" si="0"/>
        <v>481000</v>
      </c>
    </row>
    <row r="46" spans="1:21" s="17" customFormat="1" ht="15.75" customHeight="1" x14ac:dyDescent="0.25">
      <c r="A46" s="26"/>
      <c r="B46" s="19" t="s">
        <v>383</v>
      </c>
      <c r="C46" s="19" t="s">
        <v>109</v>
      </c>
      <c r="D46" s="20" t="s">
        <v>110</v>
      </c>
      <c r="E46" s="21" t="s">
        <v>942</v>
      </c>
      <c r="F46" s="19">
        <v>2200</v>
      </c>
      <c r="G46" s="18">
        <v>11</v>
      </c>
      <c r="H46" s="18" t="s">
        <v>112</v>
      </c>
      <c r="I46" s="18" t="s">
        <v>30</v>
      </c>
      <c r="J46" s="23">
        <v>45090</v>
      </c>
      <c r="K46" s="36" t="s">
        <v>529</v>
      </c>
      <c r="L46" s="28"/>
      <c r="M46" s="26"/>
      <c r="N46" s="26"/>
      <c r="O46" s="26"/>
      <c r="P46" s="26"/>
      <c r="Q46" s="26">
        <v>2200</v>
      </c>
      <c r="R46" s="26" t="s">
        <v>34</v>
      </c>
      <c r="S46" s="27">
        <v>65000</v>
      </c>
      <c r="T46" s="28">
        <f t="shared" si="0"/>
        <v>143000</v>
      </c>
    </row>
    <row r="47" spans="1:21" s="17" customFormat="1" ht="15.75" customHeight="1" x14ac:dyDescent="0.25">
      <c r="A47" s="25"/>
      <c r="B47" s="19" t="s">
        <v>1087</v>
      </c>
      <c r="C47" s="19" t="s">
        <v>57</v>
      </c>
      <c r="D47" s="20" t="s">
        <v>58</v>
      </c>
      <c r="E47" s="33" t="s">
        <v>830</v>
      </c>
      <c r="F47" s="19">
        <v>19845</v>
      </c>
      <c r="G47" s="18">
        <v>875</v>
      </c>
      <c r="H47" s="18" t="s">
        <v>129</v>
      </c>
      <c r="I47" s="18" t="s">
        <v>30</v>
      </c>
      <c r="J47" s="23">
        <v>45091</v>
      </c>
      <c r="K47" s="26" t="s">
        <v>689</v>
      </c>
      <c r="L47" s="26" t="s">
        <v>1080</v>
      </c>
      <c r="M47" s="26" t="s">
        <v>1081</v>
      </c>
      <c r="N47" s="26"/>
      <c r="O47" s="26">
        <v>19845</v>
      </c>
      <c r="P47" s="26"/>
      <c r="Q47" s="26"/>
      <c r="R47" s="26" t="s">
        <v>34</v>
      </c>
      <c r="S47" s="27">
        <v>49500</v>
      </c>
      <c r="T47" s="28">
        <f t="shared" si="0"/>
        <v>982327.5</v>
      </c>
    </row>
    <row r="48" spans="1:21" s="17" customFormat="1" ht="14.25" customHeight="1" x14ac:dyDescent="0.25">
      <c r="A48" s="25"/>
      <c r="B48" s="19" t="s">
        <v>452</v>
      </c>
      <c r="C48" s="19" t="s">
        <v>65</v>
      </c>
      <c r="D48" s="20" t="s">
        <v>74</v>
      </c>
      <c r="E48" s="21" t="s">
        <v>1150</v>
      </c>
      <c r="F48" s="19">
        <v>11000</v>
      </c>
      <c r="G48" s="18">
        <v>440</v>
      </c>
      <c r="H48" s="18" t="s">
        <v>29</v>
      </c>
      <c r="I48" s="18" t="s">
        <v>30</v>
      </c>
      <c r="J48" s="23">
        <v>45091</v>
      </c>
      <c r="K48" s="26" t="s">
        <v>1151</v>
      </c>
      <c r="L48" s="26" t="s">
        <v>1152</v>
      </c>
      <c r="M48" s="26" t="s">
        <v>1153</v>
      </c>
      <c r="N48" s="26"/>
      <c r="O48" s="26">
        <v>11000</v>
      </c>
      <c r="P48" s="26"/>
      <c r="Q48" s="26"/>
      <c r="R48" s="26"/>
      <c r="S48" s="27">
        <v>45000</v>
      </c>
      <c r="T48" s="28">
        <f t="shared" si="0"/>
        <v>495000</v>
      </c>
    </row>
    <row r="49" spans="1:21" s="17" customFormat="1" ht="14.25" customHeight="1" x14ac:dyDescent="0.25">
      <c r="A49" s="25"/>
      <c r="B49" s="19" t="s">
        <v>452</v>
      </c>
      <c r="C49" s="19" t="s">
        <v>65</v>
      </c>
      <c r="D49" s="20" t="s">
        <v>66</v>
      </c>
      <c r="E49" s="21" t="s">
        <v>1154</v>
      </c>
      <c r="F49" s="19">
        <v>4800</v>
      </c>
      <c r="G49" s="18">
        <v>24</v>
      </c>
      <c r="H49" s="18" t="s">
        <v>29</v>
      </c>
      <c r="I49" s="18" t="s">
        <v>30</v>
      </c>
      <c r="J49" s="23">
        <v>45091</v>
      </c>
      <c r="K49" s="26" t="s">
        <v>1151</v>
      </c>
      <c r="L49" s="26"/>
      <c r="M49" s="26"/>
      <c r="N49" s="26"/>
      <c r="O49" s="26"/>
      <c r="P49" s="26"/>
      <c r="Q49" s="26">
        <v>4800</v>
      </c>
      <c r="R49" s="26"/>
      <c r="S49" s="27">
        <v>89900</v>
      </c>
      <c r="T49" s="28">
        <f t="shared" si="0"/>
        <v>431520</v>
      </c>
    </row>
    <row r="50" spans="1:21" s="17" customFormat="1" ht="14.25" customHeight="1" x14ac:dyDescent="0.25">
      <c r="A50" s="25"/>
      <c r="B50" s="19" t="s">
        <v>452</v>
      </c>
      <c r="C50" s="19" t="s">
        <v>65</v>
      </c>
      <c r="D50" s="20" t="s">
        <v>66</v>
      </c>
      <c r="E50" s="21" t="s">
        <v>1155</v>
      </c>
      <c r="F50" s="19">
        <v>3200</v>
      </c>
      <c r="G50" s="18">
        <v>16</v>
      </c>
      <c r="H50" s="18" t="s">
        <v>29</v>
      </c>
      <c r="I50" s="18" t="s">
        <v>30</v>
      </c>
      <c r="J50" s="23">
        <v>45091</v>
      </c>
      <c r="K50" s="26" t="s">
        <v>1151</v>
      </c>
      <c r="L50" s="26"/>
      <c r="M50" s="26"/>
      <c r="N50" s="26"/>
      <c r="O50" s="26"/>
      <c r="P50" s="26"/>
      <c r="Q50" s="26">
        <v>3200</v>
      </c>
      <c r="R50" s="26"/>
      <c r="S50" s="27">
        <v>89900</v>
      </c>
      <c r="T50" s="28">
        <f t="shared" si="0"/>
        <v>287680</v>
      </c>
    </row>
    <row r="51" spans="1:21" s="17" customFormat="1" x14ac:dyDescent="0.25">
      <c r="A51" s="26"/>
      <c r="B51" s="19" t="s">
        <v>926</v>
      </c>
      <c r="C51" s="19" t="s">
        <v>85</v>
      </c>
      <c r="D51" s="20" t="s">
        <v>86</v>
      </c>
      <c r="E51" s="21" t="s">
        <v>389</v>
      </c>
      <c r="F51" s="19">
        <v>20000</v>
      </c>
      <c r="G51" s="18">
        <v>800</v>
      </c>
      <c r="H51" s="18" t="s">
        <v>322</v>
      </c>
      <c r="I51" s="18" t="s">
        <v>30</v>
      </c>
      <c r="J51" s="23">
        <v>45092</v>
      </c>
      <c r="K51" s="36" t="s">
        <v>1156</v>
      </c>
      <c r="L51" s="26" t="s">
        <v>1157</v>
      </c>
      <c r="M51" s="26" t="s">
        <v>1158</v>
      </c>
      <c r="N51" s="26"/>
      <c r="O51" s="26">
        <v>20000</v>
      </c>
      <c r="P51" s="26"/>
      <c r="Q51" s="26"/>
      <c r="R51" s="26"/>
      <c r="S51" s="27">
        <v>42000</v>
      </c>
      <c r="T51" s="28">
        <f t="shared" si="0"/>
        <v>840000</v>
      </c>
    </row>
    <row r="52" spans="1:21" s="17" customFormat="1" x14ac:dyDescent="0.25">
      <c r="A52" s="26"/>
      <c r="B52" s="19" t="s">
        <v>926</v>
      </c>
      <c r="C52" s="19" t="s">
        <v>85</v>
      </c>
      <c r="D52" s="20" t="s">
        <v>86</v>
      </c>
      <c r="E52" s="21" t="s">
        <v>389</v>
      </c>
      <c r="F52" s="19">
        <v>20000</v>
      </c>
      <c r="G52" s="18">
        <v>800</v>
      </c>
      <c r="H52" s="18" t="s">
        <v>322</v>
      </c>
      <c r="I52" s="18" t="s">
        <v>30</v>
      </c>
      <c r="J52" s="23">
        <v>45092</v>
      </c>
      <c r="K52" s="36" t="s">
        <v>1159</v>
      </c>
      <c r="L52" s="26" t="s">
        <v>1160</v>
      </c>
      <c r="M52" s="26" t="s">
        <v>1161</v>
      </c>
      <c r="N52" s="26"/>
      <c r="O52" s="26">
        <v>20000</v>
      </c>
      <c r="P52" s="26"/>
      <c r="Q52" s="26"/>
      <c r="R52" s="26"/>
      <c r="S52" s="27">
        <v>42000</v>
      </c>
      <c r="T52" s="28">
        <f t="shared" si="0"/>
        <v>840000</v>
      </c>
    </row>
    <row r="53" spans="1:21" s="17" customFormat="1" ht="15.75" customHeight="1" x14ac:dyDescent="0.25">
      <c r="A53" s="25"/>
      <c r="B53" s="19" t="s">
        <v>1087</v>
      </c>
      <c r="C53" s="19" t="s">
        <v>57</v>
      </c>
      <c r="D53" s="20" t="s">
        <v>58</v>
      </c>
      <c r="E53" s="33" t="s">
        <v>959</v>
      </c>
      <c r="F53" s="19">
        <v>19845</v>
      </c>
      <c r="G53" s="18">
        <v>875</v>
      </c>
      <c r="H53" s="18" t="s">
        <v>129</v>
      </c>
      <c r="I53" s="18" t="s">
        <v>30</v>
      </c>
      <c r="J53" s="23">
        <v>45092</v>
      </c>
      <c r="K53" s="26" t="s">
        <v>733</v>
      </c>
      <c r="L53" s="26" t="s">
        <v>734</v>
      </c>
      <c r="M53" s="26" t="s">
        <v>83</v>
      </c>
      <c r="N53" s="26"/>
      <c r="O53" s="26">
        <v>19845</v>
      </c>
      <c r="P53" s="26"/>
      <c r="Q53" s="26"/>
      <c r="R53" s="26" t="s">
        <v>34</v>
      </c>
      <c r="S53" s="27">
        <v>49500</v>
      </c>
      <c r="T53" s="28">
        <f t="shared" si="0"/>
        <v>982327.5</v>
      </c>
    </row>
    <row r="54" spans="1:21" s="17" customFormat="1" ht="15.75" customHeight="1" x14ac:dyDescent="0.25">
      <c r="A54" s="25"/>
      <c r="B54" s="19" t="s">
        <v>1087</v>
      </c>
      <c r="C54" s="19" t="s">
        <v>57</v>
      </c>
      <c r="D54" s="20" t="s">
        <v>58</v>
      </c>
      <c r="E54" s="33" t="s">
        <v>1162</v>
      </c>
      <c r="F54" s="19">
        <v>19845</v>
      </c>
      <c r="G54" s="18">
        <v>875</v>
      </c>
      <c r="H54" s="18" t="s">
        <v>129</v>
      </c>
      <c r="I54" s="18" t="s">
        <v>30</v>
      </c>
      <c r="J54" s="23">
        <v>45093</v>
      </c>
      <c r="K54" s="26" t="s">
        <v>834</v>
      </c>
      <c r="L54" s="26" t="s">
        <v>875</v>
      </c>
      <c r="M54" s="26" t="s">
        <v>836</v>
      </c>
      <c r="N54" s="26"/>
      <c r="O54" s="26">
        <v>19845</v>
      </c>
      <c r="P54" s="26"/>
      <c r="Q54" s="26"/>
      <c r="R54" s="26"/>
      <c r="S54" s="27">
        <v>49500</v>
      </c>
      <c r="T54" s="28">
        <f t="shared" si="0"/>
        <v>982327.5</v>
      </c>
    </row>
    <row r="55" spans="1:21" s="17" customFormat="1" x14ac:dyDescent="0.25">
      <c r="A55" s="26"/>
      <c r="B55" s="19" t="s">
        <v>1163</v>
      </c>
      <c r="C55" s="19" t="s">
        <v>893</v>
      </c>
      <c r="D55" s="20" t="s">
        <v>421</v>
      </c>
      <c r="E55" s="21" t="s">
        <v>1164</v>
      </c>
      <c r="F55" s="19">
        <v>13600</v>
      </c>
      <c r="G55" s="18">
        <v>68</v>
      </c>
      <c r="H55" s="18" t="s">
        <v>462</v>
      </c>
      <c r="I55" s="18" t="s">
        <v>30</v>
      </c>
      <c r="J55" s="23">
        <v>45096</v>
      </c>
      <c r="K55" s="36" t="s">
        <v>1165</v>
      </c>
      <c r="L55" s="26" t="s">
        <v>1166</v>
      </c>
      <c r="M55" s="26" t="s">
        <v>1167</v>
      </c>
      <c r="N55" s="26"/>
      <c r="O55" s="26"/>
      <c r="P55" s="26"/>
      <c r="Q55" s="26">
        <v>13600</v>
      </c>
      <c r="R55" s="26" t="s">
        <v>34</v>
      </c>
      <c r="S55" s="27">
        <v>165000</v>
      </c>
      <c r="T55" s="28">
        <f t="shared" si="0"/>
        <v>2244000</v>
      </c>
    </row>
    <row r="56" spans="1:21" s="17" customFormat="1" ht="18" customHeight="1" x14ac:dyDescent="0.25">
      <c r="A56" s="26"/>
      <c r="B56" s="19" t="s">
        <v>1163</v>
      </c>
      <c r="C56" s="19" t="s">
        <v>893</v>
      </c>
      <c r="D56" s="20" t="s">
        <v>421</v>
      </c>
      <c r="E56" s="21" t="s">
        <v>929</v>
      </c>
      <c r="F56" s="19">
        <v>4000</v>
      </c>
      <c r="G56" s="18">
        <v>20</v>
      </c>
      <c r="H56" s="18" t="s">
        <v>462</v>
      </c>
      <c r="I56" s="18" t="s">
        <v>30</v>
      </c>
      <c r="J56" s="23">
        <v>45096</v>
      </c>
      <c r="K56" s="36" t="s">
        <v>1165</v>
      </c>
      <c r="L56" s="26"/>
      <c r="M56" s="26"/>
      <c r="N56" s="26"/>
      <c r="O56" s="26"/>
      <c r="P56" s="26"/>
      <c r="Q56" s="26">
        <v>4000</v>
      </c>
      <c r="R56" s="26" t="s">
        <v>34</v>
      </c>
      <c r="S56" s="27">
        <v>165000</v>
      </c>
      <c r="T56" s="28">
        <f t="shared" si="0"/>
        <v>660000</v>
      </c>
    </row>
    <row r="57" spans="1:21" s="17" customFormat="1" x14ac:dyDescent="0.25">
      <c r="A57" s="26"/>
      <c r="B57" s="19" t="s">
        <v>1168</v>
      </c>
      <c r="C57" s="19" t="s">
        <v>57</v>
      </c>
      <c r="D57" s="18" t="s">
        <v>1094</v>
      </c>
      <c r="E57" s="21" t="s">
        <v>1106</v>
      </c>
      <c r="F57" s="19">
        <v>10500</v>
      </c>
      <c r="G57" s="18">
        <v>420</v>
      </c>
      <c r="H57" s="18" t="s">
        <v>95</v>
      </c>
      <c r="I57" s="18" t="s">
        <v>30</v>
      </c>
      <c r="J57" s="23">
        <v>45096</v>
      </c>
      <c r="K57" s="36" t="s">
        <v>449</v>
      </c>
      <c r="L57" s="26" t="s">
        <v>1169</v>
      </c>
      <c r="M57" s="26" t="s">
        <v>1170</v>
      </c>
      <c r="N57" s="26"/>
      <c r="O57" s="26"/>
      <c r="P57" s="26"/>
      <c r="Q57" s="26">
        <v>10500</v>
      </c>
      <c r="R57" s="26" t="s">
        <v>34</v>
      </c>
      <c r="S57" s="27">
        <v>250000</v>
      </c>
      <c r="T57" s="28">
        <f t="shared" si="0"/>
        <v>2625000</v>
      </c>
      <c r="U57" s="26"/>
    </row>
    <row r="58" spans="1:21" s="17" customFormat="1" ht="14.25" customHeight="1" x14ac:dyDescent="0.25">
      <c r="A58" s="26"/>
      <c r="B58" s="19" t="s">
        <v>297</v>
      </c>
      <c r="C58" s="19" t="s">
        <v>1017</v>
      </c>
      <c r="D58" s="18" t="s">
        <v>680</v>
      </c>
      <c r="E58" s="21" t="s">
        <v>1106</v>
      </c>
      <c r="F58" s="19">
        <v>3200</v>
      </c>
      <c r="G58" s="18">
        <v>16</v>
      </c>
      <c r="H58" s="18" t="s">
        <v>29</v>
      </c>
      <c r="I58" s="18" t="s">
        <v>30</v>
      </c>
      <c r="J58" s="23">
        <v>45096</v>
      </c>
      <c r="K58" s="18" t="s">
        <v>1171</v>
      </c>
      <c r="L58" s="26" t="s">
        <v>1172</v>
      </c>
      <c r="M58" s="26" t="s">
        <v>1173</v>
      </c>
      <c r="N58" s="26"/>
      <c r="O58" s="26"/>
      <c r="P58" s="26"/>
      <c r="Q58" s="26">
        <v>3200</v>
      </c>
      <c r="R58" s="26"/>
      <c r="S58" s="27">
        <v>110000</v>
      </c>
      <c r="T58" s="28">
        <f t="shared" si="0"/>
        <v>352000</v>
      </c>
    </row>
    <row r="59" spans="1:21" s="17" customFormat="1" x14ac:dyDescent="0.25">
      <c r="A59" s="26"/>
      <c r="B59" s="19" t="s">
        <v>297</v>
      </c>
      <c r="C59" s="19" t="s">
        <v>1017</v>
      </c>
      <c r="D59" s="18" t="s">
        <v>74</v>
      </c>
      <c r="E59" s="21" t="s">
        <v>1174</v>
      </c>
      <c r="F59" s="19">
        <v>1000</v>
      </c>
      <c r="G59" s="18">
        <v>40</v>
      </c>
      <c r="H59" s="18" t="s">
        <v>29</v>
      </c>
      <c r="I59" s="18" t="s">
        <v>30</v>
      </c>
      <c r="J59" s="23">
        <v>45096</v>
      </c>
      <c r="K59" s="18" t="s">
        <v>1171</v>
      </c>
      <c r="L59" s="26"/>
      <c r="M59" s="26"/>
      <c r="N59" s="26"/>
      <c r="O59" s="26">
        <v>1000</v>
      </c>
      <c r="P59" s="26"/>
      <c r="Q59" s="26"/>
      <c r="R59" s="26"/>
      <c r="S59" s="27">
        <v>47000</v>
      </c>
      <c r="T59" s="28">
        <f t="shared" si="0"/>
        <v>47000</v>
      </c>
    </row>
    <row r="60" spans="1:21" s="17" customFormat="1" ht="14.25" customHeight="1" x14ac:dyDescent="0.25">
      <c r="A60" s="26"/>
      <c r="B60" s="19" t="s">
        <v>297</v>
      </c>
      <c r="C60" s="19" t="s">
        <v>1017</v>
      </c>
      <c r="D60" s="18" t="s">
        <v>110</v>
      </c>
      <c r="E60" s="21" t="s">
        <v>942</v>
      </c>
      <c r="F60" s="19">
        <v>3000</v>
      </c>
      <c r="G60" s="18">
        <v>15</v>
      </c>
      <c r="H60" s="18" t="s">
        <v>29</v>
      </c>
      <c r="I60" s="18" t="s">
        <v>30</v>
      </c>
      <c r="J60" s="23">
        <v>45096</v>
      </c>
      <c r="K60" s="18" t="s">
        <v>1171</v>
      </c>
      <c r="L60" s="26"/>
      <c r="M60" s="26"/>
      <c r="N60" s="26"/>
      <c r="O60" s="26"/>
      <c r="P60" s="26"/>
      <c r="Q60" s="26">
        <v>3000</v>
      </c>
      <c r="R60" s="26"/>
      <c r="S60" s="27">
        <v>68000</v>
      </c>
      <c r="T60" s="28">
        <f t="shared" si="0"/>
        <v>204000</v>
      </c>
    </row>
    <row r="61" spans="1:21" s="17" customFormat="1" ht="15.75" customHeight="1" x14ac:dyDescent="0.25">
      <c r="A61" s="25"/>
      <c r="B61" s="19" t="s">
        <v>1087</v>
      </c>
      <c r="C61" s="19" t="s">
        <v>57</v>
      </c>
      <c r="D61" s="20" t="s">
        <v>58</v>
      </c>
      <c r="E61" s="33" t="s">
        <v>929</v>
      </c>
      <c r="F61" s="19">
        <v>19845</v>
      </c>
      <c r="G61" s="18">
        <v>875</v>
      </c>
      <c r="H61" s="18" t="s">
        <v>129</v>
      </c>
      <c r="I61" s="18" t="s">
        <v>30</v>
      </c>
      <c r="J61" s="23">
        <v>45096</v>
      </c>
      <c r="K61" s="26" t="s">
        <v>706</v>
      </c>
      <c r="L61" s="26" t="s">
        <v>1175</v>
      </c>
      <c r="M61" s="26" t="s">
        <v>211</v>
      </c>
      <c r="N61" s="26"/>
      <c r="O61" s="26">
        <v>19845</v>
      </c>
      <c r="P61" s="26"/>
      <c r="Q61" s="26"/>
      <c r="R61" s="26" t="s">
        <v>34</v>
      </c>
      <c r="S61" s="27">
        <v>49500</v>
      </c>
      <c r="T61" s="28">
        <f t="shared" si="0"/>
        <v>982327.5</v>
      </c>
    </row>
    <row r="62" spans="1:21" s="17" customFormat="1" x14ac:dyDescent="0.25">
      <c r="A62" s="26"/>
      <c r="B62" s="19" t="s">
        <v>1176</v>
      </c>
      <c r="C62" s="19" t="s">
        <v>937</v>
      </c>
      <c r="D62" s="20" t="s">
        <v>110</v>
      </c>
      <c r="E62" s="21" t="s">
        <v>938</v>
      </c>
      <c r="F62" s="19">
        <v>1600</v>
      </c>
      <c r="G62" s="18">
        <v>8</v>
      </c>
      <c r="H62" s="18" t="s">
        <v>29</v>
      </c>
      <c r="I62" s="18" t="s">
        <v>30</v>
      </c>
      <c r="J62" s="23">
        <v>45098</v>
      </c>
      <c r="K62" s="18" t="s">
        <v>1177</v>
      </c>
      <c r="L62" s="26"/>
      <c r="M62" s="26" t="s">
        <v>1178</v>
      </c>
      <c r="N62" s="26"/>
      <c r="O62" s="26"/>
      <c r="P62" s="26"/>
      <c r="Q62" s="26">
        <v>1600</v>
      </c>
      <c r="R62" s="26"/>
      <c r="S62" s="27">
        <v>68000</v>
      </c>
      <c r="T62" s="28">
        <f t="shared" si="0"/>
        <v>108800</v>
      </c>
    </row>
    <row r="63" spans="1:21" s="17" customFormat="1" x14ac:dyDescent="0.25">
      <c r="A63" s="26"/>
      <c r="B63" s="19" t="s">
        <v>1176</v>
      </c>
      <c r="C63" s="19" t="s">
        <v>937</v>
      </c>
      <c r="D63" s="20" t="s">
        <v>110</v>
      </c>
      <c r="E63" s="21" t="s">
        <v>942</v>
      </c>
      <c r="F63" s="19">
        <v>1800</v>
      </c>
      <c r="G63" s="18">
        <v>9</v>
      </c>
      <c r="H63" s="18" t="s">
        <v>29</v>
      </c>
      <c r="I63" s="18" t="s">
        <v>30</v>
      </c>
      <c r="J63" s="23">
        <v>45098</v>
      </c>
      <c r="K63" s="18" t="s">
        <v>1177</v>
      </c>
      <c r="L63" s="26"/>
      <c r="M63" s="26"/>
      <c r="N63" s="26"/>
      <c r="O63" s="26"/>
      <c r="P63" s="26"/>
      <c r="Q63" s="26">
        <v>1800</v>
      </c>
      <c r="R63" s="26"/>
      <c r="S63" s="27">
        <v>68000</v>
      </c>
      <c r="T63" s="28">
        <f t="shared" si="0"/>
        <v>122400</v>
      </c>
    </row>
    <row r="64" spans="1:21" s="17" customFormat="1" x14ac:dyDescent="0.25">
      <c r="A64" s="26"/>
      <c r="B64" s="19" t="s">
        <v>1176</v>
      </c>
      <c r="C64" s="19" t="s">
        <v>937</v>
      </c>
      <c r="D64" s="20" t="s">
        <v>110</v>
      </c>
      <c r="E64" s="21" t="s">
        <v>943</v>
      </c>
      <c r="F64" s="19">
        <v>1200</v>
      </c>
      <c r="G64" s="18">
        <v>6</v>
      </c>
      <c r="H64" s="18" t="s">
        <v>29</v>
      </c>
      <c r="I64" s="18" t="s">
        <v>30</v>
      </c>
      <c r="J64" s="23">
        <v>45098</v>
      </c>
      <c r="K64" s="18" t="s">
        <v>1177</v>
      </c>
      <c r="L64" s="26"/>
      <c r="M64" s="26"/>
      <c r="N64" s="26"/>
      <c r="O64" s="26"/>
      <c r="P64" s="26"/>
      <c r="Q64" s="26">
        <v>1200</v>
      </c>
      <c r="R64" s="26"/>
      <c r="S64" s="27">
        <v>68000</v>
      </c>
      <c r="T64" s="28">
        <f t="shared" si="0"/>
        <v>81600</v>
      </c>
    </row>
    <row r="65" spans="1:20" s="17" customFormat="1" ht="14.25" customHeight="1" x14ac:dyDescent="0.25">
      <c r="A65" s="25"/>
      <c r="B65" s="19" t="s">
        <v>1179</v>
      </c>
      <c r="C65" s="19" t="s">
        <v>57</v>
      </c>
      <c r="D65" s="20" t="s">
        <v>770</v>
      </c>
      <c r="E65" s="21" t="s">
        <v>771</v>
      </c>
      <c r="F65" s="19">
        <v>5700</v>
      </c>
      <c r="G65" s="18">
        <v>30</v>
      </c>
      <c r="H65" s="18" t="s">
        <v>52</v>
      </c>
      <c r="I65" s="18" t="s">
        <v>30</v>
      </c>
      <c r="J65" s="23">
        <v>45098</v>
      </c>
      <c r="K65" s="19" t="s">
        <v>1180</v>
      </c>
      <c r="L65" s="26"/>
      <c r="M65" s="26" t="s">
        <v>55</v>
      </c>
      <c r="N65" s="26"/>
      <c r="O65" s="26"/>
      <c r="P65" s="26"/>
      <c r="Q65" s="26">
        <v>5700</v>
      </c>
      <c r="R65" s="26"/>
      <c r="S65" s="27">
        <v>299900</v>
      </c>
      <c r="T65" s="28">
        <f t="shared" si="0"/>
        <v>1709430</v>
      </c>
    </row>
    <row r="66" spans="1:20" s="17" customFormat="1" ht="15.75" customHeight="1" x14ac:dyDescent="0.25">
      <c r="A66" s="25"/>
      <c r="B66" s="19" t="s">
        <v>1087</v>
      </c>
      <c r="C66" s="19" t="s">
        <v>57</v>
      </c>
      <c r="D66" s="20" t="s">
        <v>58</v>
      </c>
      <c r="E66" s="33" t="s">
        <v>1164</v>
      </c>
      <c r="F66" s="19">
        <v>19845</v>
      </c>
      <c r="G66" s="18">
        <v>875</v>
      </c>
      <c r="H66" s="18" t="s">
        <v>129</v>
      </c>
      <c r="I66" s="18" t="s">
        <v>30</v>
      </c>
      <c r="J66" s="23">
        <v>45100</v>
      </c>
      <c r="K66" s="19" t="s">
        <v>746</v>
      </c>
      <c r="L66" s="26" t="s">
        <v>747</v>
      </c>
      <c r="M66" s="26" t="s">
        <v>748</v>
      </c>
      <c r="N66" s="26"/>
      <c r="O66" s="26">
        <v>19845</v>
      </c>
      <c r="P66" s="26"/>
      <c r="Q66" s="26"/>
      <c r="R66" s="26" t="s">
        <v>34</v>
      </c>
      <c r="S66" s="27">
        <v>49500</v>
      </c>
      <c r="T66" s="28">
        <f t="shared" si="0"/>
        <v>982327.5</v>
      </c>
    </row>
    <row r="67" spans="1:20" s="17" customFormat="1" x14ac:dyDescent="0.25">
      <c r="A67" s="26"/>
      <c r="B67" s="19" t="s">
        <v>108</v>
      </c>
      <c r="C67" s="19" t="s">
        <v>648</v>
      </c>
      <c r="D67" s="20" t="s">
        <v>649</v>
      </c>
      <c r="E67" s="21" t="s">
        <v>899</v>
      </c>
      <c r="F67" s="19">
        <v>7600</v>
      </c>
      <c r="G67" s="18">
        <v>40</v>
      </c>
      <c r="H67" s="18" t="s">
        <v>29</v>
      </c>
      <c r="I67" s="18" t="s">
        <v>30</v>
      </c>
      <c r="J67" s="23">
        <v>45100</v>
      </c>
      <c r="K67" s="18" t="s">
        <v>1181</v>
      </c>
      <c r="L67" s="26" t="s">
        <v>1182</v>
      </c>
      <c r="M67" s="26" t="s">
        <v>1183</v>
      </c>
      <c r="N67" s="26"/>
      <c r="O67" s="26"/>
      <c r="P67" s="26"/>
      <c r="Q67" s="26">
        <v>7600</v>
      </c>
      <c r="R67" s="26"/>
      <c r="S67" s="27">
        <v>129700</v>
      </c>
      <c r="T67" s="28">
        <f t="shared" si="0"/>
        <v>985720</v>
      </c>
    </row>
    <row r="68" spans="1:20" s="17" customFormat="1" ht="15.75" customHeight="1" x14ac:dyDescent="0.25">
      <c r="A68" s="25"/>
      <c r="B68" s="19" t="s">
        <v>1087</v>
      </c>
      <c r="C68" s="19" t="s">
        <v>57</v>
      </c>
      <c r="D68" s="20" t="s">
        <v>58</v>
      </c>
      <c r="E68" s="33" t="s">
        <v>1184</v>
      </c>
      <c r="F68" s="19">
        <v>19845</v>
      </c>
      <c r="G68" s="18">
        <v>875</v>
      </c>
      <c r="H68" s="18" t="s">
        <v>129</v>
      </c>
      <c r="I68" s="18" t="s">
        <v>30</v>
      </c>
      <c r="J68" s="23">
        <v>45103</v>
      </c>
      <c r="K68" s="19" t="s">
        <v>482</v>
      </c>
      <c r="L68" s="26" t="s">
        <v>585</v>
      </c>
      <c r="M68" s="26" t="s">
        <v>408</v>
      </c>
      <c r="N68" s="26"/>
      <c r="O68" s="26">
        <v>19845</v>
      </c>
      <c r="P68" s="26"/>
      <c r="Q68" s="26"/>
      <c r="R68" s="26" t="s">
        <v>34</v>
      </c>
      <c r="S68" s="27">
        <v>49500</v>
      </c>
      <c r="T68" s="28">
        <f t="shared" ref="T68:T93" si="1">S68*(F68/1000)</f>
        <v>982327.5</v>
      </c>
    </row>
    <row r="69" spans="1:20" s="17" customFormat="1" ht="15.75" customHeight="1" x14ac:dyDescent="0.25">
      <c r="A69" s="25"/>
      <c r="B69" s="19" t="s">
        <v>1087</v>
      </c>
      <c r="C69" s="19" t="s">
        <v>57</v>
      </c>
      <c r="D69" s="20" t="s">
        <v>58</v>
      </c>
      <c r="E69" s="33" t="s">
        <v>1185</v>
      </c>
      <c r="F69" s="19">
        <v>19845</v>
      </c>
      <c r="G69" s="18">
        <v>875</v>
      </c>
      <c r="H69" s="18" t="s">
        <v>129</v>
      </c>
      <c r="I69" s="18" t="s">
        <v>30</v>
      </c>
      <c r="J69" s="23">
        <v>45103</v>
      </c>
      <c r="K69" s="19" t="s">
        <v>749</v>
      </c>
      <c r="L69" s="26" t="s">
        <v>750</v>
      </c>
      <c r="M69" s="26" t="s">
        <v>751</v>
      </c>
      <c r="N69" s="26"/>
      <c r="O69" s="26">
        <v>19845</v>
      </c>
      <c r="P69" s="26"/>
      <c r="Q69" s="26"/>
      <c r="R69" s="26" t="s">
        <v>34</v>
      </c>
      <c r="S69" s="27">
        <v>49500</v>
      </c>
      <c r="T69" s="28">
        <f t="shared" si="1"/>
        <v>982327.5</v>
      </c>
    </row>
    <row r="70" spans="1:20" s="17" customFormat="1" ht="15.75" customHeight="1" x14ac:dyDescent="0.25">
      <c r="A70" s="25"/>
      <c r="B70" s="19" t="s">
        <v>1087</v>
      </c>
      <c r="C70" s="19" t="s">
        <v>57</v>
      </c>
      <c r="D70" s="20" t="s">
        <v>58</v>
      </c>
      <c r="E70" s="33" t="s">
        <v>1186</v>
      </c>
      <c r="F70" s="19">
        <v>19845</v>
      </c>
      <c r="G70" s="18">
        <v>875</v>
      </c>
      <c r="H70" s="18" t="s">
        <v>129</v>
      </c>
      <c r="I70" s="18" t="s">
        <v>30</v>
      </c>
      <c r="J70" s="23">
        <v>45103</v>
      </c>
      <c r="K70" s="19" t="s">
        <v>783</v>
      </c>
      <c r="L70" s="26" t="s">
        <v>784</v>
      </c>
      <c r="M70" s="26" t="s">
        <v>785</v>
      </c>
      <c r="N70" s="26"/>
      <c r="O70" s="26">
        <v>19845</v>
      </c>
      <c r="P70" s="26"/>
      <c r="Q70" s="26"/>
      <c r="R70" s="26"/>
      <c r="S70" s="27">
        <v>49500</v>
      </c>
      <c r="T70" s="28">
        <f t="shared" si="1"/>
        <v>982327.5</v>
      </c>
    </row>
    <row r="71" spans="1:20" s="17" customFormat="1" x14ac:dyDescent="0.25">
      <c r="A71" s="26"/>
      <c r="B71" s="19" t="s">
        <v>108</v>
      </c>
      <c r="C71" s="19" t="s">
        <v>846</v>
      </c>
      <c r="D71" s="20" t="s">
        <v>66</v>
      </c>
      <c r="E71" s="21" t="s">
        <v>1155</v>
      </c>
      <c r="F71" s="19">
        <v>3200</v>
      </c>
      <c r="G71" s="18">
        <v>16</v>
      </c>
      <c r="H71" s="18" t="s">
        <v>29</v>
      </c>
      <c r="I71" s="18" t="s">
        <v>30</v>
      </c>
      <c r="J71" s="23">
        <v>45103</v>
      </c>
      <c r="K71" s="18" t="s">
        <v>1187</v>
      </c>
      <c r="L71" s="26"/>
      <c r="M71" s="26" t="s">
        <v>1188</v>
      </c>
      <c r="N71" s="26"/>
      <c r="O71" s="26"/>
      <c r="P71" s="26"/>
      <c r="Q71" s="26">
        <v>3200</v>
      </c>
      <c r="R71" s="26"/>
      <c r="S71" s="27">
        <v>90000</v>
      </c>
      <c r="T71" s="28">
        <f t="shared" si="1"/>
        <v>288000</v>
      </c>
    </row>
    <row r="72" spans="1:20" s="17" customFormat="1" x14ac:dyDescent="0.25">
      <c r="A72" s="26"/>
      <c r="B72" s="19" t="s">
        <v>108</v>
      </c>
      <c r="C72" s="19" t="s">
        <v>846</v>
      </c>
      <c r="D72" s="20" t="s">
        <v>66</v>
      </c>
      <c r="E72" s="21" t="s">
        <v>1189</v>
      </c>
      <c r="F72" s="19">
        <v>400</v>
      </c>
      <c r="G72" s="18">
        <v>2</v>
      </c>
      <c r="H72" s="18" t="s">
        <v>29</v>
      </c>
      <c r="I72" s="18" t="s">
        <v>30</v>
      </c>
      <c r="J72" s="23">
        <v>45103</v>
      </c>
      <c r="K72" s="18" t="s">
        <v>1187</v>
      </c>
      <c r="L72" s="26"/>
      <c r="M72" s="26"/>
      <c r="N72" s="26"/>
      <c r="O72" s="26"/>
      <c r="P72" s="26"/>
      <c r="Q72" s="26">
        <v>400</v>
      </c>
      <c r="R72" s="26"/>
      <c r="S72" s="27">
        <v>90000</v>
      </c>
      <c r="T72" s="28">
        <f t="shared" si="1"/>
        <v>36000</v>
      </c>
    </row>
    <row r="73" spans="1:20" s="17" customFormat="1" x14ac:dyDescent="0.25">
      <c r="A73" s="26"/>
      <c r="B73" s="19" t="s">
        <v>108</v>
      </c>
      <c r="C73" s="19" t="s">
        <v>846</v>
      </c>
      <c r="D73" s="20" t="s">
        <v>66</v>
      </c>
      <c r="E73" s="21" t="s">
        <v>798</v>
      </c>
      <c r="F73" s="19">
        <v>3800</v>
      </c>
      <c r="G73" s="18">
        <v>19</v>
      </c>
      <c r="H73" s="18" t="s">
        <v>29</v>
      </c>
      <c r="I73" s="18" t="s">
        <v>30</v>
      </c>
      <c r="J73" s="23">
        <v>45103</v>
      </c>
      <c r="K73" s="18" t="s">
        <v>1187</v>
      </c>
      <c r="L73" s="26"/>
      <c r="M73" s="26"/>
      <c r="N73" s="26"/>
      <c r="O73" s="26"/>
      <c r="P73" s="26"/>
      <c r="Q73" s="26">
        <v>3800</v>
      </c>
      <c r="R73" s="26"/>
      <c r="S73" s="27">
        <v>90000</v>
      </c>
      <c r="T73" s="28">
        <f t="shared" si="1"/>
        <v>342000</v>
      </c>
    </row>
    <row r="74" spans="1:20" s="17" customFormat="1" x14ac:dyDescent="0.25">
      <c r="A74" s="26"/>
      <c r="B74" s="19" t="s">
        <v>1190</v>
      </c>
      <c r="C74" s="19" t="s">
        <v>937</v>
      </c>
      <c r="D74" s="20" t="s">
        <v>492</v>
      </c>
      <c r="E74" s="21" t="s">
        <v>1191</v>
      </c>
      <c r="F74" s="19">
        <v>3000</v>
      </c>
      <c r="G74" s="18">
        <v>120</v>
      </c>
      <c r="H74" s="18" t="s">
        <v>29</v>
      </c>
      <c r="I74" s="18" t="s">
        <v>30</v>
      </c>
      <c r="J74" s="23">
        <v>45103</v>
      </c>
      <c r="K74" s="18" t="s">
        <v>1192</v>
      </c>
      <c r="L74" s="26" t="s">
        <v>1193</v>
      </c>
      <c r="M74" s="26" t="s">
        <v>1194</v>
      </c>
      <c r="N74" s="26"/>
      <c r="O74" s="26"/>
      <c r="P74" s="26">
        <v>3000</v>
      </c>
      <c r="Q74" s="26"/>
      <c r="R74" s="26"/>
      <c r="S74" s="27">
        <v>255000</v>
      </c>
      <c r="T74" s="28">
        <f t="shared" si="1"/>
        <v>765000</v>
      </c>
    </row>
    <row r="75" spans="1:20" s="17" customFormat="1" ht="14.25" customHeight="1" x14ac:dyDescent="0.25">
      <c r="A75" s="26"/>
      <c r="B75" s="19" t="s">
        <v>297</v>
      </c>
      <c r="C75" s="19" t="s">
        <v>1017</v>
      </c>
      <c r="D75" s="18" t="s">
        <v>680</v>
      </c>
      <c r="E75" s="21" t="s">
        <v>1195</v>
      </c>
      <c r="F75" s="19">
        <v>4800</v>
      </c>
      <c r="G75" s="18">
        <v>24</v>
      </c>
      <c r="H75" s="18" t="s">
        <v>29</v>
      </c>
      <c r="I75" s="18" t="s">
        <v>30</v>
      </c>
      <c r="J75" s="23">
        <v>45103</v>
      </c>
      <c r="K75" s="18" t="s">
        <v>1196</v>
      </c>
      <c r="L75" s="26"/>
      <c r="M75" s="26" t="s">
        <v>1197</v>
      </c>
      <c r="N75" s="26"/>
      <c r="O75" s="26"/>
      <c r="P75" s="26"/>
      <c r="Q75" s="26">
        <v>4800</v>
      </c>
      <c r="R75" s="26"/>
      <c r="S75" s="27">
        <v>110000</v>
      </c>
      <c r="T75" s="28">
        <f t="shared" si="1"/>
        <v>528000</v>
      </c>
    </row>
    <row r="76" spans="1:20" s="17" customFormat="1" ht="15.75" customHeight="1" x14ac:dyDescent="0.25">
      <c r="A76" s="25"/>
      <c r="B76" s="19" t="s">
        <v>1087</v>
      </c>
      <c r="C76" s="19" t="s">
        <v>57</v>
      </c>
      <c r="D76" s="20" t="s">
        <v>58</v>
      </c>
      <c r="E76" s="33" t="s">
        <v>904</v>
      </c>
      <c r="F76" s="19">
        <v>19845</v>
      </c>
      <c r="G76" s="18">
        <v>875</v>
      </c>
      <c r="H76" s="18" t="s">
        <v>129</v>
      </c>
      <c r="I76" s="18" t="s">
        <v>30</v>
      </c>
      <c r="J76" s="23">
        <v>45104</v>
      </c>
      <c r="K76" s="19" t="s">
        <v>1198</v>
      </c>
      <c r="L76" s="26" t="s">
        <v>1199</v>
      </c>
      <c r="M76" s="26" t="s">
        <v>1200</v>
      </c>
      <c r="N76" s="26"/>
      <c r="O76" s="26">
        <v>19845</v>
      </c>
      <c r="P76" s="26"/>
      <c r="Q76" s="26"/>
      <c r="R76" s="26"/>
      <c r="S76" s="27">
        <v>49500</v>
      </c>
      <c r="T76" s="28">
        <f t="shared" si="1"/>
        <v>982327.5</v>
      </c>
    </row>
    <row r="77" spans="1:20" s="17" customFormat="1" ht="15.75" customHeight="1" x14ac:dyDescent="0.25">
      <c r="A77" s="25"/>
      <c r="B77" s="19" t="s">
        <v>1087</v>
      </c>
      <c r="C77" s="19" t="s">
        <v>57</v>
      </c>
      <c r="D77" s="20" t="s">
        <v>58</v>
      </c>
      <c r="E77" s="33" t="s">
        <v>1191</v>
      </c>
      <c r="F77" s="19">
        <v>19845</v>
      </c>
      <c r="G77" s="18">
        <v>875</v>
      </c>
      <c r="H77" s="18" t="s">
        <v>129</v>
      </c>
      <c r="I77" s="18" t="s">
        <v>30</v>
      </c>
      <c r="J77" s="23">
        <v>45104</v>
      </c>
      <c r="K77" s="19" t="s">
        <v>1201</v>
      </c>
      <c r="L77" s="26" t="s">
        <v>1202</v>
      </c>
      <c r="M77" s="26" t="s">
        <v>1203</v>
      </c>
      <c r="N77" s="26"/>
      <c r="O77" s="26">
        <v>19845</v>
      </c>
      <c r="P77" s="26"/>
      <c r="Q77" s="26"/>
      <c r="R77" s="26"/>
      <c r="S77" s="27">
        <v>49500</v>
      </c>
      <c r="T77" s="28">
        <f t="shared" si="1"/>
        <v>982327.5</v>
      </c>
    </row>
    <row r="78" spans="1:20" s="17" customFormat="1" ht="15.75" customHeight="1" x14ac:dyDescent="0.25">
      <c r="A78" s="25"/>
      <c r="B78" s="19" t="s">
        <v>1087</v>
      </c>
      <c r="C78" s="19" t="s">
        <v>57</v>
      </c>
      <c r="D78" s="20" t="s">
        <v>58</v>
      </c>
      <c r="E78" s="33" t="s">
        <v>1195</v>
      </c>
      <c r="F78" s="19">
        <v>19845</v>
      </c>
      <c r="G78" s="18">
        <v>875</v>
      </c>
      <c r="H78" s="18" t="s">
        <v>129</v>
      </c>
      <c r="I78" s="18" t="s">
        <v>30</v>
      </c>
      <c r="J78" s="23">
        <v>45104</v>
      </c>
      <c r="K78" s="19" t="s">
        <v>1204</v>
      </c>
      <c r="L78" s="26" t="s">
        <v>1205</v>
      </c>
      <c r="M78" s="26" t="s">
        <v>1206</v>
      </c>
      <c r="N78" s="26"/>
      <c r="O78" s="26">
        <v>19845</v>
      </c>
      <c r="P78" s="26"/>
      <c r="Q78" s="26"/>
      <c r="R78" s="26"/>
      <c r="S78" s="27">
        <v>49500</v>
      </c>
      <c r="T78" s="28">
        <f t="shared" si="1"/>
        <v>982327.5</v>
      </c>
    </row>
    <row r="79" spans="1:20" s="17" customFormat="1" ht="15.75" customHeight="1" x14ac:dyDescent="0.25">
      <c r="A79" s="26"/>
      <c r="B79" s="19" t="s">
        <v>842</v>
      </c>
      <c r="C79" s="19" t="s">
        <v>779</v>
      </c>
      <c r="D79" s="20" t="s">
        <v>864</v>
      </c>
      <c r="E79" s="21" t="s">
        <v>1207</v>
      </c>
      <c r="F79" s="19">
        <v>5004</v>
      </c>
      <c r="G79" s="18">
        <v>278</v>
      </c>
      <c r="H79" s="18" t="s">
        <v>470</v>
      </c>
      <c r="I79" s="18" t="s">
        <v>30</v>
      </c>
      <c r="J79" s="23">
        <v>45105</v>
      </c>
      <c r="K79" s="36" t="s">
        <v>1208</v>
      </c>
      <c r="L79" s="28" t="s">
        <v>1209</v>
      </c>
      <c r="M79" s="26" t="s">
        <v>312</v>
      </c>
      <c r="N79" s="26"/>
      <c r="O79" s="26"/>
      <c r="P79" s="26">
        <v>5004</v>
      </c>
      <c r="Q79" s="26"/>
      <c r="R79" s="26"/>
      <c r="S79" s="27">
        <v>185000</v>
      </c>
      <c r="T79" s="28">
        <f t="shared" si="1"/>
        <v>925739.99999999988</v>
      </c>
    </row>
    <row r="80" spans="1:20" s="17" customFormat="1" ht="15.75" customHeight="1" x14ac:dyDescent="0.25">
      <c r="A80" s="26"/>
      <c r="B80" s="19" t="s">
        <v>842</v>
      </c>
      <c r="C80" s="19" t="s">
        <v>779</v>
      </c>
      <c r="D80" s="20" t="s">
        <v>468</v>
      </c>
      <c r="E80" s="21" t="s">
        <v>1210</v>
      </c>
      <c r="F80" s="19">
        <v>3240</v>
      </c>
      <c r="G80" s="18">
        <v>18</v>
      </c>
      <c r="H80" s="18" t="s">
        <v>470</v>
      </c>
      <c r="I80" s="18" t="s">
        <v>30</v>
      </c>
      <c r="J80" s="23">
        <v>45105</v>
      </c>
      <c r="K80" s="36" t="s">
        <v>1208</v>
      </c>
      <c r="L80" s="28"/>
      <c r="M80" s="26"/>
      <c r="N80" s="26"/>
      <c r="O80" s="26"/>
      <c r="P80" s="26"/>
      <c r="Q80" s="26">
        <v>3240</v>
      </c>
      <c r="R80" s="26"/>
      <c r="S80" s="27">
        <v>158000</v>
      </c>
      <c r="T80" s="28">
        <f t="shared" si="1"/>
        <v>511920.00000000006</v>
      </c>
    </row>
    <row r="81" spans="1:20" s="17" customFormat="1" ht="15.75" customHeight="1" x14ac:dyDescent="0.25">
      <c r="A81" s="26"/>
      <c r="B81" s="19" t="s">
        <v>842</v>
      </c>
      <c r="C81" s="19" t="s">
        <v>779</v>
      </c>
      <c r="D81" s="20" t="s">
        <v>474</v>
      </c>
      <c r="E81" s="21" t="s">
        <v>1211</v>
      </c>
      <c r="F81" s="19">
        <v>7200</v>
      </c>
      <c r="G81" s="18">
        <v>40</v>
      </c>
      <c r="H81" s="18" t="s">
        <v>470</v>
      </c>
      <c r="I81" s="18" t="s">
        <v>30</v>
      </c>
      <c r="J81" s="23">
        <v>45105</v>
      </c>
      <c r="K81" s="36" t="s">
        <v>1208</v>
      </c>
      <c r="L81" s="28"/>
      <c r="M81" s="26"/>
      <c r="N81" s="26"/>
      <c r="O81" s="26"/>
      <c r="P81" s="26"/>
      <c r="Q81" s="26">
        <v>7200</v>
      </c>
      <c r="R81" s="26"/>
      <c r="S81" s="27">
        <v>125000</v>
      </c>
      <c r="T81" s="28">
        <f t="shared" si="1"/>
        <v>900000</v>
      </c>
    </row>
    <row r="82" spans="1:20" s="17" customFormat="1" ht="15.75" customHeight="1" x14ac:dyDescent="0.25">
      <c r="A82" s="25"/>
      <c r="B82" s="19" t="s">
        <v>1087</v>
      </c>
      <c r="C82" s="19" t="s">
        <v>57</v>
      </c>
      <c r="D82" s="20" t="s">
        <v>58</v>
      </c>
      <c r="E82" s="33" t="s">
        <v>798</v>
      </c>
      <c r="F82" s="19">
        <v>19845</v>
      </c>
      <c r="G82" s="18">
        <v>875</v>
      </c>
      <c r="H82" s="18" t="s">
        <v>129</v>
      </c>
      <c r="I82" s="18" t="s">
        <v>30</v>
      </c>
      <c r="J82" s="23">
        <v>45105</v>
      </c>
      <c r="K82" s="19" t="s">
        <v>1212</v>
      </c>
      <c r="L82" s="26" t="s">
        <v>1213</v>
      </c>
      <c r="M82" s="26" t="s">
        <v>1214</v>
      </c>
      <c r="N82" s="26"/>
      <c r="O82" s="26">
        <v>19845</v>
      </c>
      <c r="P82" s="26"/>
      <c r="Q82" s="26"/>
      <c r="R82" s="26" t="s">
        <v>34</v>
      </c>
      <c r="S82" s="27">
        <v>49500</v>
      </c>
      <c r="T82" s="28">
        <f t="shared" si="1"/>
        <v>982327.5</v>
      </c>
    </row>
    <row r="83" spans="1:20" s="17" customFormat="1" ht="15.75" customHeight="1" x14ac:dyDescent="0.25">
      <c r="A83" s="25"/>
      <c r="B83" s="19" t="s">
        <v>1087</v>
      </c>
      <c r="C83" s="19" t="s">
        <v>57</v>
      </c>
      <c r="D83" s="20" t="s">
        <v>58</v>
      </c>
      <c r="E83" s="33" t="s">
        <v>899</v>
      </c>
      <c r="F83" s="19">
        <v>19845</v>
      </c>
      <c r="G83" s="18">
        <v>875</v>
      </c>
      <c r="H83" s="18" t="s">
        <v>129</v>
      </c>
      <c r="I83" s="18" t="s">
        <v>30</v>
      </c>
      <c r="J83" s="23">
        <v>45105</v>
      </c>
      <c r="K83" s="19" t="s">
        <v>1215</v>
      </c>
      <c r="L83" s="26" t="s">
        <v>1216</v>
      </c>
      <c r="M83" s="26" t="s">
        <v>1217</v>
      </c>
      <c r="N83" s="26"/>
      <c r="O83" s="26">
        <v>19845</v>
      </c>
      <c r="P83" s="26"/>
      <c r="Q83" s="26"/>
      <c r="R83" s="26"/>
      <c r="S83" s="27">
        <v>49500</v>
      </c>
      <c r="T83" s="28">
        <f t="shared" si="1"/>
        <v>982327.5</v>
      </c>
    </row>
    <row r="84" spans="1:20" s="17" customFormat="1" ht="15.75" customHeight="1" x14ac:dyDescent="0.25">
      <c r="A84" s="25"/>
      <c r="B84" s="19" t="s">
        <v>1087</v>
      </c>
      <c r="C84" s="19" t="s">
        <v>57</v>
      </c>
      <c r="D84" s="20" t="s">
        <v>58</v>
      </c>
      <c r="E84" s="33" t="s">
        <v>1218</v>
      </c>
      <c r="F84" s="19">
        <v>19845</v>
      </c>
      <c r="G84" s="18">
        <v>875</v>
      </c>
      <c r="H84" s="18" t="s">
        <v>129</v>
      </c>
      <c r="I84" s="18" t="s">
        <v>30</v>
      </c>
      <c r="J84" s="23">
        <v>45106</v>
      </c>
      <c r="K84" s="19" t="s">
        <v>1219</v>
      </c>
      <c r="L84" s="26" t="s">
        <v>1220</v>
      </c>
      <c r="M84" s="26" t="s">
        <v>1221</v>
      </c>
      <c r="N84" s="26"/>
      <c r="O84" s="26">
        <v>19845</v>
      </c>
      <c r="P84" s="26"/>
      <c r="Q84" s="26"/>
      <c r="R84" s="26"/>
      <c r="S84" s="27">
        <v>49500</v>
      </c>
      <c r="T84" s="28">
        <f t="shared" si="1"/>
        <v>982327.5</v>
      </c>
    </row>
    <row r="85" spans="1:20" s="17" customFormat="1" x14ac:dyDescent="0.25">
      <c r="A85" s="25"/>
      <c r="B85" s="19" t="s">
        <v>1087</v>
      </c>
      <c r="C85" s="19" t="s">
        <v>57</v>
      </c>
      <c r="D85" s="20" t="s">
        <v>58</v>
      </c>
      <c r="E85" s="33" t="s">
        <v>801</v>
      </c>
      <c r="F85" s="19">
        <v>19845</v>
      </c>
      <c r="G85" s="18">
        <v>875</v>
      </c>
      <c r="H85" s="18" t="s">
        <v>129</v>
      </c>
      <c r="I85" s="18" t="s">
        <v>30</v>
      </c>
      <c r="J85" s="23">
        <v>45106</v>
      </c>
      <c r="K85" s="19" t="s">
        <v>1222</v>
      </c>
      <c r="L85" s="26" t="s">
        <v>1223</v>
      </c>
      <c r="M85" s="26" t="s">
        <v>1224</v>
      </c>
      <c r="N85" s="26"/>
      <c r="O85" s="26">
        <v>19845</v>
      </c>
      <c r="P85" s="26"/>
      <c r="Q85" s="26"/>
      <c r="R85" s="26"/>
      <c r="S85" s="27">
        <v>49500</v>
      </c>
      <c r="T85" s="28">
        <f t="shared" si="1"/>
        <v>982327.5</v>
      </c>
    </row>
    <row r="86" spans="1:20" s="17" customFormat="1" ht="15.75" customHeight="1" x14ac:dyDescent="0.25">
      <c r="A86" s="25"/>
      <c r="B86" s="19" t="s">
        <v>1087</v>
      </c>
      <c r="C86" s="19" t="s">
        <v>57</v>
      </c>
      <c r="D86" s="20" t="s">
        <v>58</v>
      </c>
      <c r="E86" s="33" t="s">
        <v>965</v>
      </c>
      <c r="F86" s="19">
        <v>19845</v>
      </c>
      <c r="G86" s="18">
        <v>875</v>
      </c>
      <c r="H86" s="18" t="s">
        <v>129</v>
      </c>
      <c r="I86" s="18" t="s">
        <v>30</v>
      </c>
      <c r="J86" s="23">
        <v>45106</v>
      </c>
      <c r="K86" s="19" t="s">
        <v>1225</v>
      </c>
      <c r="L86" s="26" t="s">
        <v>1226</v>
      </c>
      <c r="M86" s="26" t="s">
        <v>793</v>
      </c>
      <c r="N86" s="26"/>
      <c r="O86" s="26">
        <v>19845</v>
      </c>
      <c r="P86" s="26"/>
      <c r="Q86" s="26"/>
      <c r="R86" s="26" t="s">
        <v>34</v>
      </c>
      <c r="S86" s="27">
        <v>49500</v>
      </c>
      <c r="T86" s="28">
        <f t="shared" si="1"/>
        <v>982327.5</v>
      </c>
    </row>
    <row r="87" spans="1:20" s="17" customFormat="1" ht="15.75" customHeight="1" x14ac:dyDescent="0.25">
      <c r="A87" s="25"/>
      <c r="B87" s="19" t="s">
        <v>1087</v>
      </c>
      <c r="C87" s="19" t="s">
        <v>57</v>
      </c>
      <c r="D87" s="20" t="s">
        <v>58</v>
      </c>
      <c r="E87" s="33" t="s">
        <v>922</v>
      </c>
      <c r="F87" s="19">
        <v>19845</v>
      </c>
      <c r="G87" s="18">
        <v>875</v>
      </c>
      <c r="H87" s="18" t="s">
        <v>129</v>
      </c>
      <c r="I87" s="18" t="s">
        <v>30</v>
      </c>
      <c r="J87" s="23">
        <v>45107</v>
      </c>
      <c r="K87" s="19" t="s">
        <v>828</v>
      </c>
      <c r="L87" s="26" t="s">
        <v>637</v>
      </c>
      <c r="M87" s="26" t="s">
        <v>329</v>
      </c>
      <c r="N87" s="26"/>
      <c r="O87" s="26">
        <v>19845</v>
      </c>
      <c r="P87" s="26"/>
      <c r="Q87" s="26"/>
      <c r="R87" s="26"/>
      <c r="S87" s="27">
        <v>49500</v>
      </c>
      <c r="T87" s="28">
        <f t="shared" si="1"/>
        <v>982327.5</v>
      </c>
    </row>
    <row r="88" spans="1:20" s="17" customFormat="1" ht="15.75" customHeight="1" x14ac:dyDescent="0.25">
      <c r="A88" s="25"/>
      <c r="B88" s="19" t="s">
        <v>1087</v>
      </c>
      <c r="C88" s="19" t="s">
        <v>57</v>
      </c>
      <c r="D88" s="20" t="s">
        <v>58</v>
      </c>
      <c r="E88" s="33" t="s">
        <v>908</v>
      </c>
      <c r="F88" s="19">
        <v>19845</v>
      </c>
      <c r="G88" s="18">
        <v>875</v>
      </c>
      <c r="H88" s="18" t="s">
        <v>129</v>
      </c>
      <c r="I88" s="18" t="s">
        <v>30</v>
      </c>
      <c r="J88" s="23">
        <v>45107</v>
      </c>
      <c r="K88" s="19" t="s">
        <v>1227</v>
      </c>
      <c r="L88" s="26" t="s">
        <v>1228</v>
      </c>
      <c r="M88" s="26" t="s">
        <v>1229</v>
      </c>
      <c r="N88" s="26"/>
      <c r="O88" s="26">
        <v>19845</v>
      </c>
      <c r="P88" s="26"/>
      <c r="Q88" s="26"/>
      <c r="R88" s="26" t="s">
        <v>34</v>
      </c>
      <c r="S88" s="27">
        <v>49500</v>
      </c>
      <c r="T88" s="28">
        <f t="shared" si="1"/>
        <v>982327.5</v>
      </c>
    </row>
    <row r="89" spans="1:20" s="17" customFormat="1" ht="15.75" customHeight="1" x14ac:dyDescent="0.25">
      <c r="A89" s="25"/>
      <c r="B89" s="19" t="s">
        <v>1087</v>
      </c>
      <c r="C89" s="19" t="s">
        <v>57</v>
      </c>
      <c r="D89" s="20" t="s">
        <v>58</v>
      </c>
      <c r="E89" s="33" t="s">
        <v>912</v>
      </c>
      <c r="F89" s="19">
        <v>19845</v>
      </c>
      <c r="G89" s="18">
        <v>875</v>
      </c>
      <c r="H89" s="18" t="s">
        <v>129</v>
      </c>
      <c r="I89" s="18" t="s">
        <v>30</v>
      </c>
      <c r="J89" s="23">
        <v>45107</v>
      </c>
      <c r="K89" s="19" t="s">
        <v>1230</v>
      </c>
      <c r="L89" s="26" t="s">
        <v>1231</v>
      </c>
      <c r="M89" s="26" t="s">
        <v>1232</v>
      </c>
      <c r="N89" s="26"/>
      <c r="O89" s="26">
        <v>19845</v>
      </c>
      <c r="P89" s="26"/>
      <c r="Q89" s="26"/>
      <c r="R89" s="26"/>
      <c r="S89" s="27">
        <v>49500</v>
      </c>
      <c r="T89" s="28">
        <f t="shared" si="1"/>
        <v>982327.5</v>
      </c>
    </row>
    <row r="90" spans="1:20" s="17" customFormat="1" x14ac:dyDescent="0.25">
      <c r="A90" s="26" t="s">
        <v>1233</v>
      </c>
      <c r="B90" s="19" t="s">
        <v>1022</v>
      </c>
      <c r="C90" s="19" t="s">
        <v>779</v>
      </c>
      <c r="D90" s="20" t="s">
        <v>140</v>
      </c>
      <c r="E90" s="21" t="s">
        <v>646</v>
      </c>
      <c r="F90" s="19">
        <v>3600</v>
      </c>
      <c r="G90" s="18">
        <v>20</v>
      </c>
      <c r="H90" s="18" t="s">
        <v>338</v>
      </c>
      <c r="I90" s="18" t="s">
        <v>30</v>
      </c>
      <c r="J90" s="23" t="s">
        <v>1234</v>
      </c>
      <c r="K90" s="18" t="s">
        <v>1235</v>
      </c>
      <c r="L90" s="26" t="s">
        <v>1236</v>
      </c>
      <c r="M90" s="26" t="s">
        <v>1237</v>
      </c>
      <c r="N90" s="26"/>
      <c r="O90" s="26"/>
      <c r="P90" s="26"/>
      <c r="Q90" s="26">
        <v>3600</v>
      </c>
      <c r="R90" s="26" t="s">
        <v>34</v>
      </c>
      <c r="S90" s="27">
        <v>80000</v>
      </c>
      <c r="T90" s="28">
        <f t="shared" si="1"/>
        <v>288000</v>
      </c>
    </row>
    <row r="91" spans="1:20" s="17" customFormat="1" x14ac:dyDescent="0.25">
      <c r="A91" s="26" t="s">
        <v>1233</v>
      </c>
      <c r="B91" s="19" t="s">
        <v>1022</v>
      </c>
      <c r="C91" s="19" t="s">
        <v>779</v>
      </c>
      <c r="D91" s="20" t="s">
        <v>140</v>
      </c>
      <c r="E91" s="21" t="s">
        <v>1238</v>
      </c>
      <c r="F91" s="19">
        <v>720</v>
      </c>
      <c r="G91" s="18">
        <v>4</v>
      </c>
      <c r="H91" s="18" t="s">
        <v>338</v>
      </c>
      <c r="I91" s="18" t="s">
        <v>30</v>
      </c>
      <c r="J91" s="23" t="s">
        <v>1234</v>
      </c>
      <c r="K91" s="18" t="s">
        <v>1235</v>
      </c>
      <c r="L91" s="26" t="s">
        <v>1236</v>
      </c>
      <c r="M91" s="26" t="s">
        <v>1237</v>
      </c>
      <c r="N91" s="26"/>
      <c r="O91" s="26"/>
      <c r="P91" s="26"/>
      <c r="Q91" s="26">
        <v>720</v>
      </c>
      <c r="R91" s="26" t="s">
        <v>34</v>
      </c>
      <c r="S91" s="27">
        <v>80000</v>
      </c>
      <c r="T91" s="28">
        <f t="shared" si="1"/>
        <v>57600</v>
      </c>
    </row>
    <row r="92" spans="1:20" s="17" customFormat="1" x14ac:dyDescent="0.25">
      <c r="A92" s="26" t="s">
        <v>1233</v>
      </c>
      <c r="B92" s="19" t="s">
        <v>1022</v>
      </c>
      <c r="C92" s="19" t="s">
        <v>779</v>
      </c>
      <c r="D92" s="20" t="s">
        <v>140</v>
      </c>
      <c r="E92" s="21" t="s">
        <v>1239</v>
      </c>
      <c r="F92" s="19">
        <v>8640</v>
      </c>
      <c r="G92" s="18">
        <v>48</v>
      </c>
      <c r="H92" s="18" t="s">
        <v>338</v>
      </c>
      <c r="I92" s="18" t="s">
        <v>30</v>
      </c>
      <c r="J92" s="23" t="s">
        <v>1234</v>
      </c>
      <c r="K92" s="18" t="s">
        <v>1235</v>
      </c>
      <c r="L92" s="26" t="s">
        <v>1236</v>
      </c>
      <c r="M92" s="26" t="s">
        <v>1237</v>
      </c>
      <c r="N92" s="26"/>
      <c r="O92" s="26"/>
      <c r="P92" s="26"/>
      <c r="Q92" s="26">
        <v>8640</v>
      </c>
      <c r="R92" s="26" t="s">
        <v>34</v>
      </c>
      <c r="S92" s="27">
        <v>80000</v>
      </c>
      <c r="T92" s="28">
        <f t="shared" si="1"/>
        <v>691200</v>
      </c>
    </row>
    <row r="93" spans="1:20" s="17" customFormat="1" x14ac:dyDescent="0.25">
      <c r="A93" s="26" t="s">
        <v>1233</v>
      </c>
      <c r="B93" s="19" t="s">
        <v>1022</v>
      </c>
      <c r="C93" s="19" t="s">
        <v>779</v>
      </c>
      <c r="D93" s="20" t="s">
        <v>140</v>
      </c>
      <c r="E93" s="21" t="s">
        <v>647</v>
      </c>
      <c r="F93" s="19">
        <v>2880</v>
      </c>
      <c r="G93" s="18">
        <v>16</v>
      </c>
      <c r="H93" s="18" t="s">
        <v>338</v>
      </c>
      <c r="I93" s="18" t="s">
        <v>30</v>
      </c>
      <c r="J93" s="23" t="s">
        <v>1234</v>
      </c>
      <c r="K93" s="18" t="s">
        <v>1235</v>
      </c>
      <c r="L93" s="26" t="s">
        <v>1236</v>
      </c>
      <c r="M93" s="26" t="s">
        <v>1237</v>
      </c>
      <c r="N93" s="26"/>
      <c r="O93" s="26"/>
      <c r="P93" s="26"/>
      <c r="Q93" s="26">
        <v>2880</v>
      </c>
      <c r="R93" s="26" t="s">
        <v>34</v>
      </c>
      <c r="S93" s="27">
        <v>80000</v>
      </c>
      <c r="T93" s="28">
        <f t="shared" si="1"/>
        <v>230400</v>
      </c>
    </row>
    <row r="94" spans="1:20" ht="18.75" x14ac:dyDescent="0.3">
      <c r="A94" s="119" t="s">
        <v>252</v>
      </c>
      <c r="B94" s="133">
        <f>SUM(F4:F93)/1000</f>
        <v>965.90300000000002</v>
      </c>
      <c r="C94" s="54" t="s">
        <v>253</v>
      </c>
      <c r="S94" s="55"/>
      <c r="T94" s="55">
        <f>SUM(T4:T93)</f>
        <v>78028716.5</v>
      </c>
    </row>
    <row r="95" spans="1:20" ht="18.75" x14ac:dyDescent="0.3">
      <c r="A95" s="120" t="s">
        <v>254</v>
      </c>
      <c r="B95" s="134">
        <f>B96+B97+B98</f>
        <v>965.90300000000013</v>
      </c>
      <c r="C95" s="58" t="s">
        <v>253</v>
      </c>
    </row>
    <row r="96" spans="1:20" ht="18.75" x14ac:dyDescent="0.3">
      <c r="A96" s="121" t="s">
        <v>255</v>
      </c>
      <c r="B96" s="135">
        <f>SUM(O4:O93)/1000</f>
        <v>687.81500000000005</v>
      </c>
      <c r="C96" s="61" t="s">
        <v>253</v>
      </c>
    </row>
    <row r="97" spans="1:3" ht="18.75" x14ac:dyDescent="0.3">
      <c r="A97" s="121" t="s">
        <v>256</v>
      </c>
      <c r="B97" s="135">
        <f>SUM(P4:P93)/1000</f>
        <v>48.747999999999998</v>
      </c>
      <c r="C97" s="61" t="s">
        <v>253</v>
      </c>
    </row>
    <row r="98" spans="1:3" ht="18.75" x14ac:dyDescent="0.3">
      <c r="A98" s="121" t="s">
        <v>257</v>
      </c>
      <c r="B98" s="136">
        <f>SUM(Q4:Q93)/1000</f>
        <v>229.34</v>
      </c>
      <c r="C98" s="61" t="s">
        <v>253</v>
      </c>
    </row>
    <row r="99" spans="1:3" ht="18.75" x14ac:dyDescent="0.3">
      <c r="A99" s="122" t="s">
        <v>258</v>
      </c>
      <c r="B99" s="137">
        <f>B94-B95</f>
        <v>0</v>
      </c>
      <c r="C99" s="65" t="s">
        <v>253</v>
      </c>
    </row>
  </sheetData>
  <autoFilter ref="D1:D99" xr:uid="{00000000-0009-0000-0000-000006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2">
    <dataValidation type="list" allowBlank="1" showInputMessage="1" showErrorMessage="1" sqref="D94" xr:uid="{00F500E0-00B2-4D91-B1DA-00D2003A005E}">
      <formula1>$E$4:$E$146</formula1>
    </dataValidation>
    <dataValidation type="list" allowBlank="1" showInputMessage="1" showErrorMessage="1" sqref="D53:D93" xr:uid="{006D0098-0078-4AFD-AE75-006000B00063}">
      <formula1>$E$4:$E$121</formula1>
    </dataValidation>
  </dataValidations>
  <pageMargins left="0.7" right="0.7" top="0.75" bottom="0.75" header="0.3" footer="0.3"/>
  <pageSetup paperSize="9" scale="36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справочник!$E$4:$E$127</xm:f>
          </x14:formula1>
          <xm:sqref>D4:D50</xm:sqref>
        </x14:dataValidation>
        <x14:dataValidation type="list" allowBlank="1" showInputMessage="1" showErrorMessage="1" xr:uid="{00000000-0002-0000-0600-000001000000}">
          <x14:formula1>
            <xm:f>справочник!$E$4:$E$113</xm:f>
          </x14:formula1>
          <xm:sqref>D51:D52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3">
    <pageSetUpPr fitToPage="1"/>
  </sheetPr>
  <dimension ref="A1:U122"/>
  <sheetViews>
    <sheetView zoomScale="80" workbookViewId="0">
      <selection activeCell="F45" sqref="F45:F123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39.42578125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7" customWidth="1"/>
    <col min="14" max="14" width="14.140625" customWidth="1"/>
    <col min="18" max="18" width="27.140625" customWidth="1"/>
    <col min="19" max="19" width="25.140625" customWidth="1"/>
    <col min="20" max="20" width="20" customWidth="1"/>
  </cols>
  <sheetData>
    <row r="1" spans="1:20" s="3" customFormat="1" ht="17.25" x14ac:dyDescent="0.3">
      <c r="A1" s="5"/>
      <c r="B1" s="5" t="s">
        <v>0</v>
      </c>
      <c r="C1" s="6">
        <v>45047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7" customFormat="1" x14ac:dyDescent="0.25">
      <c r="A4" s="25"/>
      <c r="B4" s="19" t="s">
        <v>1240</v>
      </c>
      <c r="C4" s="19" t="s">
        <v>57</v>
      </c>
      <c r="D4" s="20" t="s">
        <v>282</v>
      </c>
      <c r="E4" s="21" t="s">
        <v>1241</v>
      </c>
      <c r="F4" s="19">
        <v>7410</v>
      </c>
      <c r="G4" s="18">
        <v>39</v>
      </c>
      <c r="H4" s="18" t="s">
        <v>448</v>
      </c>
      <c r="I4" s="18" t="s">
        <v>30</v>
      </c>
      <c r="J4" s="23">
        <v>45048</v>
      </c>
      <c r="K4" s="19" t="s">
        <v>1242</v>
      </c>
      <c r="L4" s="26" t="s">
        <v>1243</v>
      </c>
      <c r="M4" s="26" t="s">
        <v>1244</v>
      </c>
      <c r="N4" s="26"/>
      <c r="O4" s="26"/>
      <c r="P4" s="26"/>
      <c r="Q4" s="26">
        <v>7410</v>
      </c>
      <c r="R4" s="26" t="s">
        <v>34</v>
      </c>
      <c r="S4" s="27">
        <v>115000</v>
      </c>
      <c r="T4" s="28">
        <f t="shared" ref="T4:T15" si="0">S4*(F4/1000)</f>
        <v>852150</v>
      </c>
    </row>
    <row r="5" spans="1:20" s="17" customFormat="1" x14ac:dyDescent="0.25">
      <c r="A5" s="25"/>
      <c r="B5" s="19" t="s">
        <v>1240</v>
      </c>
      <c r="C5" s="19" t="s">
        <v>57</v>
      </c>
      <c r="D5" s="20" t="s">
        <v>282</v>
      </c>
      <c r="E5" s="21" t="s">
        <v>1245</v>
      </c>
      <c r="F5" s="19">
        <v>7790</v>
      </c>
      <c r="G5" s="18">
        <v>41</v>
      </c>
      <c r="H5" s="18" t="s">
        <v>448</v>
      </c>
      <c r="I5" s="18" t="s">
        <v>30</v>
      </c>
      <c r="J5" s="23">
        <v>45048</v>
      </c>
      <c r="K5" s="19" t="s">
        <v>1242</v>
      </c>
      <c r="L5" s="26"/>
      <c r="M5" s="26"/>
      <c r="N5" s="26"/>
      <c r="O5" s="26"/>
      <c r="P5" s="26"/>
      <c r="Q5" s="26">
        <v>7790</v>
      </c>
      <c r="R5" s="26" t="s">
        <v>34</v>
      </c>
      <c r="S5" s="27">
        <v>115000</v>
      </c>
      <c r="T5" s="28">
        <f t="shared" si="0"/>
        <v>895850</v>
      </c>
    </row>
    <row r="6" spans="1:20" s="17" customFormat="1" x14ac:dyDescent="0.25">
      <c r="A6" s="25"/>
      <c r="B6" s="19" t="s">
        <v>1240</v>
      </c>
      <c r="C6" s="19" t="s">
        <v>57</v>
      </c>
      <c r="D6" s="20" t="s">
        <v>282</v>
      </c>
      <c r="E6" s="21" t="s">
        <v>1245</v>
      </c>
      <c r="F6" s="19">
        <v>760</v>
      </c>
      <c r="G6" s="18">
        <v>4</v>
      </c>
      <c r="H6" s="18" t="s">
        <v>448</v>
      </c>
      <c r="I6" s="18" t="s">
        <v>30</v>
      </c>
      <c r="J6" s="23">
        <v>45048</v>
      </c>
      <c r="K6" s="19" t="s">
        <v>1246</v>
      </c>
      <c r="L6" s="26" t="s">
        <v>1247</v>
      </c>
      <c r="M6" s="26" t="s">
        <v>1248</v>
      </c>
      <c r="N6" s="26"/>
      <c r="O6" s="26"/>
      <c r="P6" s="26"/>
      <c r="Q6" s="26">
        <v>760</v>
      </c>
      <c r="R6" s="26" t="s">
        <v>34</v>
      </c>
      <c r="S6" s="27">
        <v>115000</v>
      </c>
      <c r="T6" s="28">
        <f t="shared" si="0"/>
        <v>87400</v>
      </c>
    </row>
    <row r="7" spans="1:20" s="17" customFormat="1" x14ac:dyDescent="0.25">
      <c r="A7" s="25"/>
      <c r="B7" s="19" t="s">
        <v>1240</v>
      </c>
      <c r="C7" s="19" t="s">
        <v>57</v>
      </c>
      <c r="D7" s="20" t="s">
        <v>282</v>
      </c>
      <c r="E7" s="21" t="s">
        <v>1249</v>
      </c>
      <c r="F7" s="19">
        <v>8930</v>
      </c>
      <c r="G7" s="18">
        <v>47</v>
      </c>
      <c r="H7" s="18" t="s">
        <v>448</v>
      </c>
      <c r="I7" s="18" t="s">
        <v>30</v>
      </c>
      <c r="J7" s="23">
        <v>45048</v>
      </c>
      <c r="K7" s="19" t="s">
        <v>1246</v>
      </c>
      <c r="L7" s="26"/>
      <c r="M7" s="26"/>
      <c r="N7" s="26"/>
      <c r="O7" s="26"/>
      <c r="P7" s="26"/>
      <c r="Q7" s="26">
        <v>8930</v>
      </c>
      <c r="R7" s="26" t="s">
        <v>34</v>
      </c>
      <c r="S7" s="27">
        <v>115000</v>
      </c>
      <c r="T7" s="28">
        <f t="shared" si="0"/>
        <v>1026950</v>
      </c>
    </row>
    <row r="8" spans="1:20" s="17" customFormat="1" x14ac:dyDescent="0.25">
      <c r="A8" s="25"/>
      <c r="B8" s="19" t="s">
        <v>1240</v>
      </c>
      <c r="C8" s="19" t="s">
        <v>57</v>
      </c>
      <c r="D8" s="20" t="s">
        <v>282</v>
      </c>
      <c r="E8" s="21" t="s">
        <v>1250</v>
      </c>
      <c r="F8" s="19">
        <v>5510</v>
      </c>
      <c r="G8" s="18">
        <v>29</v>
      </c>
      <c r="H8" s="18" t="s">
        <v>448</v>
      </c>
      <c r="I8" s="18" t="s">
        <v>30</v>
      </c>
      <c r="J8" s="23">
        <v>45048</v>
      </c>
      <c r="K8" s="19" t="s">
        <v>1246</v>
      </c>
      <c r="L8" s="26"/>
      <c r="M8" s="26"/>
      <c r="N8" s="26"/>
      <c r="O8" s="26"/>
      <c r="P8" s="26"/>
      <c r="Q8" s="26">
        <v>5510</v>
      </c>
      <c r="R8" s="26" t="s">
        <v>34</v>
      </c>
      <c r="S8" s="27">
        <v>115000</v>
      </c>
      <c r="T8" s="28">
        <f t="shared" si="0"/>
        <v>633650</v>
      </c>
    </row>
    <row r="9" spans="1:20" s="17" customFormat="1" x14ac:dyDescent="0.25">
      <c r="A9" s="25"/>
      <c r="B9" s="19" t="s">
        <v>1240</v>
      </c>
      <c r="C9" s="19" t="s">
        <v>57</v>
      </c>
      <c r="D9" s="20" t="s">
        <v>282</v>
      </c>
      <c r="E9" s="21" t="s">
        <v>1250</v>
      </c>
      <c r="F9" s="19">
        <v>3420</v>
      </c>
      <c r="G9" s="18">
        <v>18</v>
      </c>
      <c r="H9" s="18" t="s">
        <v>448</v>
      </c>
      <c r="I9" s="18" t="s">
        <v>30</v>
      </c>
      <c r="J9" s="23">
        <v>45048</v>
      </c>
      <c r="K9" s="18" t="s">
        <v>1251</v>
      </c>
      <c r="L9" s="19" t="s">
        <v>813</v>
      </c>
      <c r="M9" s="19" t="s">
        <v>814</v>
      </c>
      <c r="N9" s="26"/>
      <c r="O9" s="26"/>
      <c r="P9" s="26"/>
      <c r="Q9" s="26">
        <v>3420</v>
      </c>
      <c r="R9" s="26" t="s">
        <v>34</v>
      </c>
      <c r="S9" s="27">
        <v>115000</v>
      </c>
      <c r="T9" s="28">
        <f t="shared" si="0"/>
        <v>393300</v>
      </c>
    </row>
    <row r="10" spans="1:20" s="17" customFormat="1" x14ac:dyDescent="0.25">
      <c r="A10" s="25"/>
      <c r="B10" s="19" t="s">
        <v>1240</v>
      </c>
      <c r="C10" s="19" t="s">
        <v>57</v>
      </c>
      <c r="D10" s="20" t="s">
        <v>282</v>
      </c>
      <c r="E10" s="21" t="s">
        <v>1252</v>
      </c>
      <c r="F10" s="19">
        <v>8930</v>
      </c>
      <c r="G10" s="18">
        <v>47</v>
      </c>
      <c r="H10" s="18" t="s">
        <v>448</v>
      </c>
      <c r="I10" s="18" t="s">
        <v>30</v>
      </c>
      <c r="J10" s="23">
        <v>45048</v>
      </c>
      <c r="K10" s="18" t="s">
        <v>1251</v>
      </c>
      <c r="L10" s="19"/>
      <c r="M10" s="19"/>
      <c r="N10" s="26"/>
      <c r="O10" s="26"/>
      <c r="P10" s="26"/>
      <c r="Q10" s="26">
        <v>8930</v>
      </c>
      <c r="R10" s="26" t="s">
        <v>34</v>
      </c>
      <c r="S10" s="27">
        <v>115000</v>
      </c>
      <c r="T10" s="28">
        <f t="shared" si="0"/>
        <v>1026950</v>
      </c>
    </row>
    <row r="11" spans="1:20" s="17" customFormat="1" ht="14.25" customHeight="1" x14ac:dyDescent="0.25">
      <c r="A11" s="25"/>
      <c r="B11" s="19" t="s">
        <v>1240</v>
      </c>
      <c r="C11" s="19" t="s">
        <v>57</v>
      </c>
      <c r="D11" s="20" t="s">
        <v>282</v>
      </c>
      <c r="E11" s="21" t="s">
        <v>1132</v>
      </c>
      <c r="F11" s="19">
        <v>2850</v>
      </c>
      <c r="G11" s="18">
        <v>15</v>
      </c>
      <c r="H11" s="18" t="s">
        <v>448</v>
      </c>
      <c r="I11" s="18" t="s">
        <v>30</v>
      </c>
      <c r="J11" s="23">
        <v>45048</v>
      </c>
      <c r="K11" s="18" t="s">
        <v>1251</v>
      </c>
      <c r="L11" s="26"/>
      <c r="M11" s="26"/>
      <c r="N11" s="26"/>
      <c r="O11" s="26"/>
      <c r="P11" s="26"/>
      <c r="Q11" s="26">
        <v>2850</v>
      </c>
      <c r="R11" s="26" t="s">
        <v>34</v>
      </c>
      <c r="S11" s="27">
        <v>115000</v>
      </c>
      <c r="T11" s="28">
        <f t="shared" si="0"/>
        <v>327750</v>
      </c>
    </row>
    <row r="12" spans="1:20" s="17" customFormat="1" x14ac:dyDescent="0.25">
      <c r="A12" s="25"/>
      <c r="B12" s="19" t="s">
        <v>714</v>
      </c>
      <c r="C12" s="19" t="s">
        <v>1253</v>
      </c>
      <c r="D12" s="20" t="s">
        <v>165</v>
      </c>
      <c r="E12" s="21" t="s">
        <v>1254</v>
      </c>
      <c r="F12" s="19">
        <v>20000</v>
      </c>
      <c r="G12" s="18">
        <v>800</v>
      </c>
      <c r="H12" s="18" t="s">
        <v>1255</v>
      </c>
      <c r="I12" s="18" t="s">
        <v>30</v>
      </c>
      <c r="J12" s="23">
        <v>45048</v>
      </c>
      <c r="K12" s="19" t="s">
        <v>733</v>
      </c>
      <c r="L12" s="26" t="s">
        <v>734</v>
      </c>
      <c r="M12" s="26" t="s">
        <v>735</v>
      </c>
      <c r="N12" s="26"/>
      <c r="O12" s="26">
        <v>20000</v>
      </c>
      <c r="P12" s="26"/>
      <c r="Q12" s="26"/>
      <c r="R12" s="26" t="s">
        <v>34</v>
      </c>
      <c r="S12" s="27">
        <v>43800</v>
      </c>
      <c r="T12" s="28">
        <f t="shared" si="0"/>
        <v>876000</v>
      </c>
    </row>
    <row r="13" spans="1:20" s="17" customFormat="1" x14ac:dyDescent="0.25">
      <c r="A13" s="26"/>
      <c r="B13" s="19">
        <v>42307</v>
      </c>
      <c r="C13" s="19" t="s">
        <v>175</v>
      </c>
      <c r="D13" s="20" t="s">
        <v>1256</v>
      </c>
      <c r="E13" s="21" t="s">
        <v>1257</v>
      </c>
      <c r="F13" s="19">
        <v>18144</v>
      </c>
      <c r="G13" s="18">
        <v>800</v>
      </c>
      <c r="H13" s="18" t="s">
        <v>52</v>
      </c>
      <c r="I13" s="18" t="s">
        <v>30</v>
      </c>
      <c r="J13" s="23">
        <v>45048</v>
      </c>
      <c r="K13" s="18" t="s">
        <v>1258</v>
      </c>
      <c r="L13" s="26"/>
      <c r="M13" s="26" t="s">
        <v>1259</v>
      </c>
      <c r="N13" s="26"/>
      <c r="O13" s="26"/>
      <c r="P13" s="26">
        <v>18144</v>
      </c>
      <c r="Q13" s="26"/>
      <c r="R13" s="26"/>
      <c r="S13" s="27">
        <v>75000</v>
      </c>
      <c r="T13" s="28">
        <f t="shared" si="0"/>
        <v>1360799.9999999998</v>
      </c>
    </row>
    <row r="14" spans="1:20" s="17" customFormat="1" x14ac:dyDescent="0.25">
      <c r="A14" s="26"/>
      <c r="B14" s="19">
        <v>42263</v>
      </c>
      <c r="C14" s="19" t="s">
        <v>175</v>
      </c>
      <c r="D14" s="20" t="s">
        <v>1256</v>
      </c>
      <c r="E14" s="21" t="s">
        <v>1260</v>
      </c>
      <c r="F14" s="19">
        <v>18144</v>
      </c>
      <c r="G14" s="18">
        <v>800</v>
      </c>
      <c r="H14" s="18" t="s">
        <v>52</v>
      </c>
      <c r="I14" s="18" t="s">
        <v>30</v>
      </c>
      <c r="J14" s="23">
        <v>45048</v>
      </c>
      <c r="K14" s="18" t="s">
        <v>1258</v>
      </c>
      <c r="L14" s="26"/>
      <c r="M14" s="26"/>
      <c r="N14" s="26"/>
      <c r="O14" s="26"/>
      <c r="P14" s="26">
        <v>18144</v>
      </c>
      <c r="Q14" s="26"/>
      <c r="R14" s="26"/>
      <c r="S14" s="27">
        <v>75000</v>
      </c>
      <c r="T14" s="28">
        <f t="shared" si="0"/>
        <v>1360799.9999999998</v>
      </c>
    </row>
    <row r="15" spans="1:20" s="17" customFormat="1" x14ac:dyDescent="0.25">
      <c r="A15" s="26"/>
      <c r="B15" s="19">
        <v>42264</v>
      </c>
      <c r="C15" s="19" t="s">
        <v>175</v>
      </c>
      <c r="D15" s="20" t="s">
        <v>1256</v>
      </c>
      <c r="E15" s="21" t="s">
        <v>1261</v>
      </c>
      <c r="F15" s="19">
        <v>18144</v>
      </c>
      <c r="G15" s="18">
        <v>800</v>
      </c>
      <c r="H15" s="18" t="s">
        <v>52</v>
      </c>
      <c r="I15" s="18" t="s">
        <v>30</v>
      </c>
      <c r="J15" s="23">
        <v>45048</v>
      </c>
      <c r="K15" s="18" t="s">
        <v>1258</v>
      </c>
      <c r="L15" s="26"/>
      <c r="M15" s="26"/>
      <c r="N15" s="26"/>
      <c r="O15" s="26"/>
      <c r="P15" s="26">
        <v>18144</v>
      </c>
      <c r="Q15" s="26"/>
      <c r="R15" s="26"/>
      <c r="S15" s="27">
        <v>75000</v>
      </c>
      <c r="T15" s="28">
        <f t="shared" si="0"/>
        <v>1360799.9999999998</v>
      </c>
    </row>
    <row r="16" spans="1:20" s="17" customFormat="1" x14ac:dyDescent="0.25">
      <c r="A16" s="26"/>
      <c r="B16" s="19" t="s">
        <v>1262</v>
      </c>
      <c r="C16" s="19" t="s">
        <v>893</v>
      </c>
      <c r="D16" s="20" t="s">
        <v>421</v>
      </c>
      <c r="E16" s="21" t="s">
        <v>1263</v>
      </c>
      <c r="F16" s="19">
        <v>14400</v>
      </c>
      <c r="G16" s="18">
        <v>72</v>
      </c>
      <c r="H16" s="18" t="s">
        <v>423</v>
      </c>
      <c r="I16" s="18" t="s">
        <v>30</v>
      </c>
      <c r="J16" s="23">
        <v>45048</v>
      </c>
      <c r="K16" s="18" t="s">
        <v>1119</v>
      </c>
      <c r="L16" s="19" t="s">
        <v>1264</v>
      </c>
      <c r="M16" s="19" t="s">
        <v>1265</v>
      </c>
      <c r="N16" s="26"/>
      <c r="O16" s="26"/>
      <c r="P16" s="26"/>
      <c r="Q16" s="26">
        <v>14400</v>
      </c>
      <c r="R16" s="26" t="s">
        <v>34</v>
      </c>
      <c r="S16" s="27">
        <v>170000</v>
      </c>
      <c r="T16" s="28">
        <f t="shared" ref="T16:T17" si="1">F16/1000*S16</f>
        <v>2448000</v>
      </c>
    </row>
    <row r="17" spans="1:20" s="17" customFormat="1" x14ac:dyDescent="0.25">
      <c r="A17" s="26"/>
      <c r="B17" s="19" t="s">
        <v>1262</v>
      </c>
      <c r="C17" s="19" t="s">
        <v>893</v>
      </c>
      <c r="D17" s="20" t="s">
        <v>421</v>
      </c>
      <c r="E17" s="21" t="s">
        <v>1266</v>
      </c>
      <c r="F17" s="19">
        <v>3200</v>
      </c>
      <c r="G17" s="18">
        <v>16</v>
      </c>
      <c r="H17" s="18" t="s">
        <v>423</v>
      </c>
      <c r="I17" s="18" t="s">
        <v>30</v>
      </c>
      <c r="J17" s="23">
        <v>45048</v>
      </c>
      <c r="K17" s="18" t="s">
        <v>1119</v>
      </c>
      <c r="L17" s="19"/>
      <c r="M17" s="19"/>
      <c r="N17" s="26"/>
      <c r="O17" s="26"/>
      <c r="P17" s="26"/>
      <c r="Q17" s="26">
        <v>3200</v>
      </c>
      <c r="R17" s="26" t="s">
        <v>34</v>
      </c>
      <c r="S17" s="27">
        <v>170000</v>
      </c>
      <c r="T17" s="28">
        <f t="shared" si="1"/>
        <v>544000</v>
      </c>
    </row>
    <row r="18" spans="1:20" s="17" customFormat="1" x14ac:dyDescent="0.25">
      <c r="A18" s="25"/>
      <c r="B18" s="19" t="s">
        <v>714</v>
      </c>
      <c r="C18" s="19" t="s">
        <v>1253</v>
      </c>
      <c r="D18" s="20" t="s">
        <v>165</v>
      </c>
      <c r="E18" s="21" t="s">
        <v>1266</v>
      </c>
      <c r="F18" s="19">
        <v>20000</v>
      </c>
      <c r="G18" s="18">
        <v>800</v>
      </c>
      <c r="H18" s="18" t="s">
        <v>1255</v>
      </c>
      <c r="I18" s="18" t="s">
        <v>30</v>
      </c>
      <c r="J18" s="23">
        <v>45051</v>
      </c>
      <c r="K18" s="19" t="s">
        <v>1011</v>
      </c>
      <c r="L18" s="26" t="s">
        <v>1012</v>
      </c>
      <c r="M18" s="26" t="s">
        <v>1267</v>
      </c>
      <c r="N18" s="26"/>
      <c r="O18" s="26">
        <v>20000</v>
      </c>
      <c r="P18" s="26"/>
      <c r="Q18" s="26"/>
      <c r="R18" s="26" t="s">
        <v>34</v>
      </c>
      <c r="S18" s="27">
        <v>43800</v>
      </c>
      <c r="T18" s="28">
        <f t="shared" ref="T18:T23" si="2">S18*(F18/1000)</f>
        <v>876000</v>
      </c>
    </row>
    <row r="19" spans="1:20" s="17" customFormat="1" x14ac:dyDescent="0.25">
      <c r="A19" s="26"/>
      <c r="B19" s="19" t="s">
        <v>1024</v>
      </c>
      <c r="C19" s="19" t="s">
        <v>26</v>
      </c>
      <c r="D19" s="20" t="s">
        <v>308</v>
      </c>
      <c r="E19" s="21" t="s">
        <v>1268</v>
      </c>
      <c r="F19" s="19">
        <v>1260</v>
      </c>
      <c r="G19" s="18">
        <v>7</v>
      </c>
      <c r="H19" s="18" t="s">
        <v>129</v>
      </c>
      <c r="I19" s="18" t="s">
        <v>30</v>
      </c>
      <c r="J19" s="23">
        <v>45051</v>
      </c>
      <c r="K19" s="18" t="s">
        <v>1269</v>
      </c>
      <c r="L19" s="26" t="s">
        <v>1270</v>
      </c>
      <c r="M19" s="26" t="s">
        <v>1271</v>
      </c>
      <c r="N19" s="26"/>
      <c r="O19" s="26"/>
      <c r="P19" s="26"/>
      <c r="Q19" s="26">
        <v>1260</v>
      </c>
      <c r="R19" s="26" t="s">
        <v>34</v>
      </c>
      <c r="S19" s="27">
        <v>320000</v>
      </c>
      <c r="T19" s="28">
        <f t="shared" si="2"/>
        <v>403200</v>
      </c>
    </row>
    <row r="20" spans="1:20" s="17" customFormat="1" x14ac:dyDescent="0.25">
      <c r="A20" s="26"/>
      <c r="B20" s="19" t="s">
        <v>1024</v>
      </c>
      <c r="C20" s="19" t="s">
        <v>26</v>
      </c>
      <c r="D20" s="20" t="s">
        <v>308</v>
      </c>
      <c r="E20" s="21" t="s">
        <v>1272</v>
      </c>
      <c r="F20" s="19">
        <v>180</v>
      </c>
      <c r="G20" s="18">
        <v>1</v>
      </c>
      <c r="H20" s="18" t="s">
        <v>129</v>
      </c>
      <c r="I20" s="18" t="s">
        <v>30</v>
      </c>
      <c r="J20" s="23">
        <v>45051</v>
      </c>
      <c r="K20" s="18" t="s">
        <v>1269</v>
      </c>
      <c r="L20" s="26"/>
      <c r="M20" s="26"/>
      <c r="N20" s="26"/>
      <c r="O20" s="26"/>
      <c r="P20" s="26"/>
      <c r="Q20" s="26">
        <v>180</v>
      </c>
      <c r="R20" s="26" t="s">
        <v>34</v>
      </c>
      <c r="S20" s="27">
        <v>320000</v>
      </c>
      <c r="T20" s="28">
        <f t="shared" si="2"/>
        <v>57600</v>
      </c>
    </row>
    <row r="21" spans="1:20" s="17" customFormat="1" x14ac:dyDescent="0.25">
      <c r="A21" s="26"/>
      <c r="B21" s="19" t="s">
        <v>1024</v>
      </c>
      <c r="C21" s="19" t="s">
        <v>26</v>
      </c>
      <c r="D21" s="20" t="s">
        <v>308</v>
      </c>
      <c r="E21" s="21" t="s">
        <v>1273</v>
      </c>
      <c r="F21" s="19">
        <v>180</v>
      </c>
      <c r="G21" s="18">
        <v>1</v>
      </c>
      <c r="H21" s="18" t="s">
        <v>129</v>
      </c>
      <c r="I21" s="18" t="s">
        <v>30</v>
      </c>
      <c r="J21" s="23">
        <v>45051</v>
      </c>
      <c r="K21" s="18" t="s">
        <v>1269</v>
      </c>
      <c r="L21" s="26"/>
      <c r="M21" s="26"/>
      <c r="N21" s="26"/>
      <c r="O21" s="26"/>
      <c r="P21" s="26"/>
      <c r="Q21" s="26">
        <v>180</v>
      </c>
      <c r="R21" s="26" t="s">
        <v>34</v>
      </c>
      <c r="S21" s="27">
        <v>320000</v>
      </c>
      <c r="T21" s="28">
        <f t="shared" si="2"/>
        <v>57600</v>
      </c>
    </row>
    <row r="22" spans="1:20" s="17" customFormat="1" x14ac:dyDescent="0.25">
      <c r="A22" s="26"/>
      <c r="B22" s="19" t="s">
        <v>1024</v>
      </c>
      <c r="C22" s="19" t="s">
        <v>26</v>
      </c>
      <c r="D22" s="20" t="s">
        <v>308</v>
      </c>
      <c r="E22" s="21" t="s">
        <v>1155</v>
      </c>
      <c r="F22" s="19">
        <v>8100</v>
      </c>
      <c r="G22" s="18">
        <v>45</v>
      </c>
      <c r="H22" s="18" t="s">
        <v>129</v>
      </c>
      <c r="I22" s="18" t="s">
        <v>30</v>
      </c>
      <c r="J22" s="23">
        <v>45051</v>
      </c>
      <c r="K22" s="18" t="s">
        <v>1269</v>
      </c>
      <c r="L22" s="26"/>
      <c r="M22" s="26"/>
      <c r="N22" s="26"/>
      <c r="O22" s="26"/>
      <c r="P22" s="26"/>
      <c r="Q22" s="26">
        <v>8100</v>
      </c>
      <c r="R22" s="26" t="s">
        <v>34</v>
      </c>
      <c r="S22" s="27">
        <v>320000</v>
      </c>
      <c r="T22" s="28">
        <f t="shared" si="2"/>
        <v>2592000</v>
      </c>
    </row>
    <row r="23" spans="1:20" s="17" customFormat="1" x14ac:dyDescent="0.25">
      <c r="A23" s="26"/>
      <c r="B23" s="19" t="s">
        <v>1024</v>
      </c>
      <c r="C23" s="19" t="s">
        <v>26</v>
      </c>
      <c r="D23" s="20" t="s">
        <v>308</v>
      </c>
      <c r="E23" s="21" t="s">
        <v>1274</v>
      </c>
      <c r="F23" s="19">
        <v>6120</v>
      </c>
      <c r="G23" s="18">
        <v>34</v>
      </c>
      <c r="H23" s="18" t="s">
        <v>129</v>
      </c>
      <c r="I23" s="18" t="s">
        <v>30</v>
      </c>
      <c r="J23" s="23">
        <v>45051</v>
      </c>
      <c r="K23" s="18" t="s">
        <v>1269</v>
      </c>
      <c r="L23" s="26"/>
      <c r="M23" s="26"/>
      <c r="N23" s="26"/>
      <c r="O23" s="26"/>
      <c r="P23" s="26"/>
      <c r="Q23" s="26">
        <v>6120</v>
      </c>
      <c r="R23" s="26" t="s">
        <v>34</v>
      </c>
      <c r="S23" s="27">
        <v>320000</v>
      </c>
      <c r="T23" s="28">
        <f t="shared" si="2"/>
        <v>1958400</v>
      </c>
    </row>
    <row r="24" spans="1:20" s="17" customFormat="1" x14ac:dyDescent="0.25">
      <c r="A24" s="26"/>
      <c r="B24" s="19" t="s">
        <v>1275</v>
      </c>
      <c r="C24" s="19" t="s">
        <v>893</v>
      </c>
      <c r="D24" s="20" t="s">
        <v>421</v>
      </c>
      <c r="E24" s="21" t="s">
        <v>1276</v>
      </c>
      <c r="F24" s="19">
        <v>8000</v>
      </c>
      <c r="G24" s="18">
        <v>40</v>
      </c>
      <c r="H24" s="18" t="s">
        <v>448</v>
      </c>
      <c r="I24" s="18" t="s">
        <v>30</v>
      </c>
      <c r="J24" s="23">
        <v>45051</v>
      </c>
      <c r="K24" s="18" t="s">
        <v>1277</v>
      </c>
      <c r="L24" s="19" t="s">
        <v>1278</v>
      </c>
      <c r="M24" s="19" t="s">
        <v>1279</v>
      </c>
      <c r="N24" s="26"/>
      <c r="O24" s="26"/>
      <c r="P24" s="26"/>
      <c r="Q24" s="26">
        <v>8000</v>
      </c>
      <c r="R24" s="26" t="s">
        <v>34</v>
      </c>
      <c r="S24" s="27">
        <v>170000</v>
      </c>
      <c r="T24" s="28">
        <f t="shared" ref="T24:T25" si="3">F24/1000*S24</f>
        <v>1360000</v>
      </c>
    </row>
    <row r="25" spans="1:20" s="17" customFormat="1" x14ac:dyDescent="0.25">
      <c r="A25" s="26"/>
      <c r="B25" s="19" t="s">
        <v>1275</v>
      </c>
      <c r="C25" s="19" t="s">
        <v>893</v>
      </c>
      <c r="D25" s="20" t="s">
        <v>421</v>
      </c>
      <c r="E25" s="21" t="s">
        <v>1280</v>
      </c>
      <c r="F25" s="19">
        <v>9600</v>
      </c>
      <c r="G25" s="18">
        <v>48</v>
      </c>
      <c r="H25" s="18" t="s">
        <v>448</v>
      </c>
      <c r="I25" s="18" t="s">
        <v>30</v>
      </c>
      <c r="J25" s="23">
        <v>45051</v>
      </c>
      <c r="K25" s="18" t="s">
        <v>1277</v>
      </c>
      <c r="L25" s="19"/>
      <c r="M25" s="19"/>
      <c r="N25" s="26"/>
      <c r="O25" s="26"/>
      <c r="P25" s="26"/>
      <c r="Q25" s="26">
        <v>9600</v>
      </c>
      <c r="R25" s="26" t="s">
        <v>34</v>
      </c>
      <c r="S25" s="27">
        <v>170000</v>
      </c>
      <c r="T25" s="28">
        <f t="shared" si="3"/>
        <v>1632000</v>
      </c>
    </row>
    <row r="26" spans="1:20" s="17" customFormat="1" x14ac:dyDescent="0.25">
      <c r="A26" s="26"/>
      <c r="B26" s="19" t="s">
        <v>1281</v>
      </c>
      <c r="C26" s="19" t="s">
        <v>85</v>
      </c>
      <c r="D26" s="20" t="s">
        <v>86</v>
      </c>
      <c r="E26" s="21" t="s">
        <v>389</v>
      </c>
      <c r="F26" s="19">
        <v>20000</v>
      </c>
      <c r="G26" s="18">
        <v>800</v>
      </c>
      <c r="H26" s="18" t="s">
        <v>737</v>
      </c>
      <c r="I26" s="18" t="s">
        <v>30</v>
      </c>
      <c r="J26" s="23">
        <v>45051</v>
      </c>
      <c r="K26" s="18" t="s">
        <v>1282</v>
      </c>
      <c r="L26" s="26" t="s">
        <v>1283</v>
      </c>
      <c r="M26" s="26" t="s">
        <v>1284</v>
      </c>
      <c r="N26" s="26"/>
      <c r="O26" s="26">
        <v>20000</v>
      </c>
      <c r="P26" s="26"/>
      <c r="Q26" s="26"/>
      <c r="R26" s="26" t="s">
        <v>34</v>
      </c>
      <c r="S26" s="27">
        <v>42000</v>
      </c>
      <c r="T26" s="28">
        <f t="shared" ref="T26:T77" si="4">S26*(F26/1000)</f>
        <v>840000</v>
      </c>
    </row>
    <row r="27" spans="1:20" s="17" customFormat="1" x14ac:dyDescent="0.25">
      <c r="A27" s="25"/>
      <c r="B27" s="19" t="s">
        <v>856</v>
      </c>
      <c r="C27" s="19" t="s">
        <v>57</v>
      </c>
      <c r="D27" s="20" t="s">
        <v>498</v>
      </c>
      <c r="E27" s="21" t="s">
        <v>1261</v>
      </c>
      <c r="F27" s="19">
        <v>1295</v>
      </c>
      <c r="G27" s="18">
        <v>7</v>
      </c>
      <c r="H27" s="18" t="s">
        <v>95</v>
      </c>
      <c r="I27" s="18" t="s">
        <v>30</v>
      </c>
      <c r="J27" s="23">
        <v>45056</v>
      </c>
      <c r="K27" s="19" t="s">
        <v>1285</v>
      </c>
      <c r="L27" s="26" t="s">
        <v>1286</v>
      </c>
      <c r="M27" s="26" t="s">
        <v>1287</v>
      </c>
      <c r="N27" s="26"/>
      <c r="O27" s="26"/>
      <c r="P27" s="26"/>
      <c r="Q27" s="26">
        <v>1295</v>
      </c>
      <c r="R27" s="26"/>
      <c r="S27" s="27">
        <v>110800</v>
      </c>
      <c r="T27" s="28">
        <f t="shared" si="4"/>
        <v>143486</v>
      </c>
    </row>
    <row r="28" spans="1:20" s="17" customFormat="1" x14ac:dyDescent="0.25">
      <c r="A28" s="25"/>
      <c r="B28" s="19" t="s">
        <v>856</v>
      </c>
      <c r="C28" s="19" t="s">
        <v>57</v>
      </c>
      <c r="D28" s="20" t="s">
        <v>498</v>
      </c>
      <c r="E28" s="21" t="s">
        <v>1288</v>
      </c>
      <c r="F28" s="19">
        <v>8510</v>
      </c>
      <c r="G28" s="18">
        <v>46</v>
      </c>
      <c r="H28" s="18" t="s">
        <v>95</v>
      </c>
      <c r="I28" s="18" t="s">
        <v>30</v>
      </c>
      <c r="J28" s="23">
        <v>45056</v>
      </c>
      <c r="K28" s="19" t="s">
        <v>1285</v>
      </c>
      <c r="L28" s="26"/>
      <c r="M28" s="26"/>
      <c r="N28" s="26"/>
      <c r="O28" s="26"/>
      <c r="P28" s="26"/>
      <c r="Q28" s="26">
        <v>8510</v>
      </c>
      <c r="R28" s="26"/>
      <c r="S28" s="27">
        <v>110800</v>
      </c>
      <c r="T28" s="28">
        <f t="shared" si="4"/>
        <v>942908</v>
      </c>
    </row>
    <row r="29" spans="1:20" s="17" customFormat="1" x14ac:dyDescent="0.25">
      <c r="A29" s="25"/>
      <c r="B29" s="19" t="s">
        <v>856</v>
      </c>
      <c r="C29" s="19" t="s">
        <v>57</v>
      </c>
      <c r="D29" s="20" t="s">
        <v>498</v>
      </c>
      <c r="E29" s="21" t="s">
        <v>553</v>
      </c>
      <c r="F29" s="19">
        <v>4995</v>
      </c>
      <c r="G29" s="18">
        <v>27</v>
      </c>
      <c r="H29" s="18" t="s">
        <v>95</v>
      </c>
      <c r="I29" s="18" t="s">
        <v>30</v>
      </c>
      <c r="J29" s="23">
        <v>45056</v>
      </c>
      <c r="K29" s="19" t="s">
        <v>1285</v>
      </c>
      <c r="L29" s="26"/>
      <c r="M29" s="26"/>
      <c r="N29" s="26"/>
      <c r="O29" s="26"/>
      <c r="P29" s="26"/>
      <c r="Q29" s="26">
        <v>4995</v>
      </c>
      <c r="R29" s="26"/>
      <c r="S29" s="27">
        <v>110800</v>
      </c>
      <c r="T29" s="28">
        <f t="shared" si="4"/>
        <v>553446</v>
      </c>
    </row>
    <row r="30" spans="1:20" s="17" customFormat="1" x14ac:dyDescent="0.25">
      <c r="A30" s="25"/>
      <c r="B30" s="19" t="s">
        <v>1101</v>
      </c>
      <c r="C30" s="19" t="s">
        <v>57</v>
      </c>
      <c r="D30" s="20" t="s">
        <v>282</v>
      </c>
      <c r="E30" s="21" t="s">
        <v>1289</v>
      </c>
      <c r="F30" s="19">
        <v>380</v>
      </c>
      <c r="G30" s="18">
        <v>2</v>
      </c>
      <c r="H30" s="18" t="s">
        <v>95</v>
      </c>
      <c r="I30" s="18" t="s">
        <v>30</v>
      </c>
      <c r="J30" s="23">
        <v>45056</v>
      </c>
      <c r="K30" s="19" t="s">
        <v>1285</v>
      </c>
      <c r="L30" s="26" t="s">
        <v>1286</v>
      </c>
      <c r="M30" s="26" t="s">
        <v>1287</v>
      </c>
      <c r="N30" s="26"/>
      <c r="O30" s="26"/>
      <c r="P30" s="26"/>
      <c r="Q30" s="26">
        <v>380</v>
      </c>
      <c r="R30" s="26"/>
      <c r="S30" s="27">
        <v>115000</v>
      </c>
      <c r="T30" s="28">
        <f t="shared" si="4"/>
        <v>43700</v>
      </c>
    </row>
    <row r="31" spans="1:20" s="17" customFormat="1" x14ac:dyDescent="0.25">
      <c r="A31" s="25"/>
      <c r="B31" s="19" t="s">
        <v>1101</v>
      </c>
      <c r="C31" s="19" t="s">
        <v>57</v>
      </c>
      <c r="D31" s="20" t="s">
        <v>282</v>
      </c>
      <c r="E31" s="21" t="s">
        <v>1290</v>
      </c>
      <c r="F31" s="19">
        <v>380</v>
      </c>
      <c r="G31" s="18">
        <v>2</v>
      </c>
      <c r="H31" s="18" t="s">
        <v>95</v>
      </c>
      <c r="I31" s="18" t="s">
        <v>30</v>
      </c>
      <c r="J31" s="23">
        <v>45056</v>
      </c>
      <c r="K31" s="19" t="s">
        <v>1285</v>
      </c>
      <c r="L31" s="26"/>
      <c r="M31" s="26"/>
      <c r="N31" s="26"/>
      <c r="O31" s="26"/>
      <c r="P31" s="26"/>
      <c r="Q31" s="26">
        <v>380</v>
      </c>
      <c r="R31" s="26"/>
      <c r="S31" s="27">
        <v>115000</v>
      </c>
      <c r="T31" s="28">
        <f t="shared" si="4"/>
        <v>43700</v>
      </c>
    </row>
    <row r="32" spans="1:20" s="17" customFormat="1" x14ac:dyDescent="0.25">
      <c r="A32" s="25"/>
      <c r="B32" s="19" t="s">
        <v>108</v>
      </c>
      <c r="C32" s="19" t="s">
        <v>679</v>
      </c>
      <c r="D32" s="20" t="s">
        <v>680</v>
      </c>
      <c r="E32" s="21" t="s">
        <v>1280</v>
      </c>
      <c r="F32" s="19">
        <v>600</v>
      </c>
      <c r="G32" s="18">
        <v>3</v>
      </c>
      <c r="H32" s="18" t="s">
        <v>29</v>
      </c>
      <c r="I32" s="18" t="s">
        <v>30</v>
      </c>
      <c r="J32" s="23">
        <v>45056</v>
      </c>
      <c r="K32" s="19" t="s">
        <v>1291</v>
      </c>
      <c r="L32" s="26"/>
      <c r="M32" s="26" t="s">
        <v>1292</v>
      </c>
      <c r="N32" s="26"/>
      <c r="O32" s="26"/>
      <c r="P32" s="26"/>
      <c r="Q32" s="26">
        <v>600</v>
      </c>
      <c r="R32" s="26"/>
      <c r="S32" s="27">
        <v>110000</v>
      </c>
      <c r="T32" s="28">
        <f t="shared" si="4"/>
        <v>66000</v>
      </c>
    </row>
    <row r="33" spans="1:21" s="17" customFormat="1" x14ac:dyDescent="0.25">
      <c r="A33" s="25"/>
      <c r="B33" s="19" t="s">
        <v>212</v>
      </c>
      <c r="C33" s="19" t="s">
        <v>679</v>
      </c>
      <c r="D33" s="20" t="s">
        <v>680</v>
      </c>
      <c r="E33" s="21" t="s">
        <v>1280</v>
      </c>
      <c r="F33" s="19">
        <v>5800</v>
      </c>
      <c r="G33" s="18">
        <v>29</v>
      </c>
      <c r="H33" s="18" t="s">
        <v>29</v>
      </c>
      <c r="I33" s="18" t="s">
        <v>30</v>
      </c>
      <c r="J33" s="23">
        <v>45056</v>
      </c>
      <c r="K33" s="19" t="s">
        <v>1291</v>
      </c>
      <c r="L33" s="26"/>
      <c r="M33" s="26"/>
      <c r="N33" s="26"/>
      <c r="O33" s="26"/>
      <c r="P33" s="26"/>
      <c r="Q33" s="26">
        <v>5800</v>
      </c>
      <c r="R33" s="26"/>
      <c r="S33" s="27">
        <v>110000</v>
      </c>
      <c r="T33" s="28">
        <f t="shared" si="4"/>
        <v>638000</v>
      </c>
    </row>
    <row r="34" spans="1:21" s="17" customFormat="1" x14ac:dyDescent="0.25">
      <c r="A34" s="25"/>
      <c r="B34" s="19" t="s">
        <v>212</v>
      </c>
      <c r="C34" s="19" t="s">
        <v>679</v>
      </c>
      <c r="D34" s="20" t="s">
        <v>1021</v>
      </c>
      <c r="E34" s="21" t="s">
        <v>1293</v>
      </c>
      <c r="F34" s="19">
        <v>1400</v>
      </c>
      <c r="G34" s="18">
        <v>7</v>
      </c>
      <c r="H34" s="18" t="s">
        <v>29</v>
      </c>
      <c r="I34" s="18" t="s">
        <v>30</v>
      </c>
      <c r="J34" s="23">
        <v>45056</v>
      </c>
      <c r="K34" s="19" t="s">
        <v>1291</v>
      </c>
      <c r="L34" s="26"/>
      <c r="M34" s="26"/>
      <c r="N34" s="26"/>
      <c r="O34" s="26"/>
      <c r="P34" s="26"/>
      <c r="Q34" s="26">
        <v>1400</v>
      </c>
      <c r="R34" s="26"/>
      <c r="S34" s="27">
        <v>95000</v>
      </c>
      <c r="T34" s="28">
        <f t="shared" si="4"/>
        <v>133000</v>
      </c>
    </row>
    <row r="35" spans="1:21" s="17" customFormat="1" x14ac:dyDescent="0.25">
      <c r="A35" s="25"/>
      <c r="B35" s="19" t="s">
        <v>212</v>
      </c>
      <c r="C35" s="19" t="s">
        <v>679</v>
      </c>
      <c r="D35" s="20" t="s">
        <v>1021</v>
      </c>
      <c r="E35" s="21" t="s">
        <v>1294</v>
      </c>
      <c r="F35" s="19">
        <v>1000</v>
      </c>
      <c r="G35" s="18">
        <v>5</v>
      </c>
      <c r="H35" s="18" t="s">
        <v>29</v>
      </c>
      <c r="I35" s="18" t="s">
        <v>30</v>
      </c>
      <c r="J35" s="23">
        <v>45056</v>
      </c>
      <c r="K35" s="19" t="s">
        <v>1291</v>
      </c>
      <c r="L35" s="26"/>
      <c r="M35" s="26"/>
      <c r="N35" s="26"/>
      <c r="O35" s="26"/>
      <c r="P35" s="26"/>
      <c r="Q35" s="26">
        <v>1000</v>
      </c>
      <c r="R35" s="26"/>
      <c r="S35" s="27">
        <v>95000</v>
      </c>
      <c r="T35" s="28">
        <f t="shared" si="4"/>
        <v>95000</v>
      </c>
    </row>
    <row r="36" spans="1:21" s="17" customFormat="1" x14ac:dyDescent="0.25">
      <c r="A36" s="25"/>
      <c r="B36" s="19" t="s">
        <v>490</v>
      </c>
      <c r="C36" s="19" t="s">
        <v>679</v>
      </c>
      <c r="D36" s="20" t="s">
        <v>1021</v>
      </c>
      <c r="E36" s="21" t="s">
        <v>1295</v>
      </c>
      <c r="F36" s="19">
        <v>1800</v>
      </c>
      <c r="G36" s="18">
        <v>9</v>
      </c>
      <c r="H36" s="18" t="s">
        <v>29</v>
      </c>
      <c r="I36" s="18" t="s">
        <v>30</v>
      </c>
      <c r="J36" s="23">
        <v>45056</v>
      </c>
      <c r="K36" s="19" t="s">
        <v>1291</v>
      </c>
      <c r="L36" s="26"/>
      <c r="M36" s="26"/>
      <c r="N36" s="26"/>
      <c r="O36" s="26"/>
      <c r="P36" s="26"/>
      <c r="Q36" s="26">
        <v>1800</v>
      </c>
      <c r="R36" s="26"/>
      <c r="S36" s="27">
        <v>95000</v>
      </c>
      <c r="T36" s="28">
        <f t="shared" si="4"/>
        <v>171000</v>
      </c>
    </row>
    <row r="37" spans="1:21" s="17" customFormat="1" x14ac:dyDescent="0.25">
      <c r="A37" s="25"/>
      <c r="B37" s="19" t="s">
        <v>490</v>
      </c>
      <c r="C37" s="19" t="s">
        <v>679</v>
      </c>
      <c r="D37" s="20" t="s">
        <v>680</v>
      </c>
      <c r="E37" s="21" t="s">
        <v>1280</v>
      </c>
      <c r="F37" s="19">
        <v>3000</v>
      </c>
      <c r="G37" s="18">
        <v>15</v>
      </c>
      <c r="H37" s="18" t="s">
        <v>29</v>
      </c>
      <c r="I37" s="18" t="s">
        <v>30</v>
      </c>
      <c r="J37" s="23">
        <v>45056</v>
      </c>
      <c r="K37" s="19" t="s">
        <v>1291</v>
      </c>
      <c r="L37" s="26"/>
      <c r="M37" s="26"/>
      <c r="N37" s="26"/>
      <c r="O37" s="26"/>
      <c r="P37" s="26"/>
      <c r="Q37" s="26">
        <v>3000</v>
      </c>
      <c r="R37" s="26"/>
      <c r="S37" s="27">
        <v>110000</v>
      </c>
      <c r="T37" s="28">
        <f t="shared" si="4"/>
        <v>330000</v>
      </c>
    </row>
    <row r="38" spans="1:21" s="17" customFormat="1" x14ac:dyDescent="0.25">
      <c r="A38" s="26"/>
      <c r="B38" s="19" t="s">
        <v>383</v>
      </c>
      <c r="C38" s="19" t="s">
        <v>109</v>
      </c>
      <c r="D38" s="20" t="s">
        <v>110</v>
      </c>
      <c r="E38" s="21" t="s">
        <v>1296</v>
      </c>
      <c r="F38" s="19">
        <v>600</v>
      </c>
      <c r="G38" s="18">
        <v>3</v>
      </c>
      <c r="H38" s="18" t="s">
        <v>112</v>
      </c>
      <c r="I38" s="18" t="s">
        <v>30</v>
      </c>
      <c r="J38" s="23">
        <v>45056</v>
      </c>
      <c r="K38" s="18" t="s">
        <v>1297</v>
      </c>
      <c r="L38" s="138" t="s">
        <v>1298</v>
      </c>
      <c r="M38" s="19" t="s">
        <v>1299</v>
      </c>
      <c r="N38" s="26"/>
      <c r="O38" s="26"/>
      <c r="P38" s="26"/>
      <c r="Q38" s="26">
        <v>600</v>
      </c>
      <c r="R38" s="26" t="s">
        <v>34</v>
      </c>
      <c r="S38" s="27">
        <v>65000</v>
      </c>
      <c r="T38" s="28">
        <f t="shared" si="4"/>
        <v>39000</v>
      </c>
    </row>
    <row r="39" spans="1:21" s="17" customFormat="1" x14ac:dyDescent="0.25">
      <c r="A39" s="26"/>
      <c r="B39" s="19" t="s">
        <v>383</v>
      </c>
      <c r="C39" s="19" t="s">
        <v>109</v>
      </c>
      <c r="D39" s="20" t="s">
        <v>110</v>
      </c>
      <c r="E39" s="21" t="s">
        <v>1300</v>
      </c>
      <c r="F39" s="19">
        <v>3000</v>
      </c>
      <c r="G39" s="18">
        <v>15</v>
      </c>
      <c r="H39" s="18" t="s">
        <v>112</v>
      </c>
      <c r="I39" s="18" t="s">
        <v>30</v>
      </c>
      <c r="J39" s="23">
        <v>45056</v>
      </c>
      <c r="K39" s="18" t="s">
        <v>1297</v>
      </c>
      <c r="L39" s="19"/>
      <c r="M39" s="19"/>
      <c r="N39" s="26"/>
      <c r="O39" s="26"/>
      <c r="P39" s="26"/>
      <c r="Q39" s="26">
        <v>3000</v>
      </c>
      <c r="R39" s="26" t="s">
        <v>34</v>
      </c>
      <c r="S39" s="27">
        <v>65000</v>
      </c>
      <c r="T39" s="28">
        <f t="shared" si="4"/>
        <v>195000</v>
      </c>
    </row>
    <row r="40" spans="1:21" s="17" customFormat="1" x14ac:dyDescent="0.25">
      <c r="A40" s="26"/>
      <c r="B40" s="19" t="s">
        <v>383</v>
      </c>
      <c r="C40" s="19" t="s">
        <v>109</v>
      </c>
      <c r="D40" s="20" t="s">
        <v>110</v>
      </c>
      <c r="E40" s="21" t="s">
        <v>1301</v>
      </c>
      <c r="F40" s="19">
        <v>2800</v>
      </c>
      <c r="G40" s="18">
        <v>14</v>
      </c>
      <c r="H40" s="18" t="s">
        <v>112</v>
      </c>
      <c r="I40" s="18" t="s">
        <v>30</v>
      </c>
      <c r="J40" s="23">
        <v>45056</v>
      </c>
      <c r="K40" s="18" t="s">
        <v>1297</v>
      </c>
      <c r="L40" s="19"/>
      <c r="M40" s="19"/>
      <c r="N40" s="26"/>
      <c r="O40" s="26"/>
      <c r="P40" s="26"/>
      <c r="Q40" s="26">
        <v>2800</v>
      </c>
      <c r="R40" s="26" t="s">
        <v>34</v>
      </c>
      <c r="S40" s="27">
        <v>65000</v>
      </c>
      <c r="T40" s="28">
        <f t="shared" si="4"/>
        <v>182000</v>
      </c>
    </row>
    <row r="41" spans="1:21" s="17" customFormat="1" x14ac:dyDescent="0.25">
      <c r="A41" s="26"/>
      <c r="B41" s="19" t="s">
        <v>383</v>
      </c>
      <c r="C41" s="19" t="s">
        <v>109</v>
      </c>
      <c r="D41" s="20" t="s">
        <v>110</v>
      </c>
      <c r="E41" s="21" t="s">
        <v>1302</v>
      </c>
      <c r="F41" s="19">
        <v>4800</v>
      </c>
      <c r="G41" s="18">
        <v>24</v>
      </c>
      <c r="H41" s="18" t="s">
        <v>112</v>
      </c>
      <c r="I41" s="18" t="s">
        <v>30</v>
      </c>
      <c r="J41" s="23">
        <v>45056</v>
      </c>
      <c r="K41" s="18" t="s">
        <v>1297</v>
      </c>
      <c r="L41" s="19"/>
      <c r="M41" s="19"/>
      <c r="N41" s="26"/>
      <c r="O41" s="26"/>
      <c r="P41" s="26"/>
      <c r="Q41" s="26">
        <v>4800</v>
      </c>
      <c r="R41" s="26" t="s">
        <v>34</v>
      </c>
      <c r="S41" s="27">
        <v>65000</v>
      </c>
      <c r="T41" s="28">
        <f t="shared" si="4"/>
        <v>312000</v>
      </c>
    </row>
    <row r="42" spans="1:21" s="17" customFormat="1" x14ac:dyDescent="0.25">
      <c r="A42" s="26"/>
      <c r="B42" s="19" t="s">
        <v>383</v>
      </c>
      <c r="C42" s="19" t="s">
        <v>109</v>
      </c>
      <c r="D42" s="20" t="s">
        <v>110</v>
      </c>
      <c r="E42" s="21" t="s">
        <v>1303</v>
      </c>
      <c r="F42" s="19">
        <v>3200</v>
      </c>
      <c r="G42" s="18">
        <v>16</v>
      </c>
      <c r="H42" s="18" t="s">
        <v>112</v>
      </c>
      <c r="I42" s="18" t="s">
        <v>30</v>
      </c>
      <c r="J42" s="23">
        <v>45056</v>
      </c>
      <c r="K42" s="18" t="s">
        <v>1297</v>
      </c>
      <c r="L42" s="19"/>
      <c r="M42" s="19"/>
      <c r="N42" s="26"/>
      <c r="O42" s="26"/>
      <c r="P42" s="26"/>
      <c r="Q42" s="26">
        <v>3200</v>
      </c>
      <c r="R42" s="26" t="s">
        <v>34</v>
      </c>
      <c r="S42" s="27">
        <v>65000</v>
      </c>
      <c r="T42" s="28">
        <f t="shared" si="4"/>
        <v>208000</v>
      </c>
    </row>
    <row r="43" spans="1:21" s="17" customFormat="1" x14ac:dyDescent="0.25">
      <c r="A43" s="26"/>
      <c r="B43" s="19" t="s">
        <v>383</v>
      </c>
      <c r="C43" s="19" t="s">
        <v>109</v>
      </c>
      <c r="D43" s="20" t="s">
        <v>110</v>
      </c>
      <c r="E43" s="21" t="s">
        <v>1114</v>
      </c>
      <c r="F43" s="19">
        <v>3200</v>
      </c>
      <c r="G43" s="18">
        <v>16</v>
      </c>
      <c r="H43" s="18" t="s">
        <v>112</v>
      </c>
      <c r="I43" s="18" t="s">
        <v>30</v>
      </c>
      <c r="J43" s="23">
        <v>45056</v>
      </c>
      <c r="K43" s="18" t="s">
        <v>1297</v>
      </c>
      <c r="L43" s="19"/>
      <c r="M43" s="19"/>
      <c r="N43" s="26"/>
      <c r="O43" s="26"/>
      <c r="P43" s="26"/>
      <c r="Q43" s="26">
        <v>3200</v>
      </c>
      <c r="R43" s="26" t="s">
        <v>34</v>
      </c>
      <c r="S43" s="27">
        <v>65000</v>
      </c>
      <c r="T43" s="28">
        <f t="shared" si="4"/>
        <v>208000</v>
      </c>
    </row>
    <row r="44" spans="1:21" s="17" customFormat="1" x14ac:dyDescent="0.25">
      <c r="A44" s="26"/>
      <c r="B44" s="22" t="s">
        <v>133</v>
      </c>
      <c r="C44" s="19" t="s">
        <v>1304</v>
      </c>
      <c r="D44" s="20" t="s">
        <v>165</v>
      </c>
      <c r="E44" s="33" t="s">
        <v>1155</v>
      </c>
      <c r="F44" s="19">
        <v>20000</v>
      </c>
      <c r="G44" s="18">
        <v>800</v>
      </c>
      <c r="H44" s="18" t="s">
        <v>129</v>
      </c>
      <c r="I44" s="18" t="s">
        <v>30</v>
      </c>
      <c r="J44" s="23">
        <v>45056</v>
      </c>
      <c r="K44" s="19" t="s">
        <v>749</v>
      </c>
      <c r="L44" s="26" t="s">
        <v>750</v>
      </c>
      <c r="M44" s="26" t="s">
        <v>751</v>
      </c>
      <c r="N44" s="26"/>
      <c r="O44" s="26">
        <v>20000</v>
      </c>
      <c r="P44" s="26"/>
      <c r="Q44" s="26"/>
      <c r="R44" s="26" t="s">
        <v>34</v>
      </c>
      <c r="S44" s="27">
        <v>45000</v>
      </c>
      <c r="T44" s="28">
        <f t="shared" si="4"/>
        <v>900000</v>
      </c>
      <c r="U44" s="28"/>
    </row>
    <row r="45" spans="1:21" s="17" customFormat="1" x14ac:dyDescent="0.25">
      <c r="A45" s="25"/>
      <c r="B45" s="19" t="s">
        <v>1101</v>
      </c>
      <c r="C45" s="19" t="s">
        <v>57</v>
      </c>
      <c r="D45" s="20" t="s">
        <v>58</v>
      </c>
      <c r="E45" s="21" t="s">
        <v>1280</v>
      </c>
      <c r="F45" s="19">
        <v>19845</v>
      </c>
      <c r="G45" s="18">
        <v>875</v>
      </c>
      <c r="H45" s="18" t="s">
        <v>95</v>
      </c>
      <c r="I45" s="18" t="s">
        <v>30</v>
      </c>
      <c r="J45" s="23">
        <v>45057</v>
      </c>
      <c r="K45" s="19" t="s">
        <v>1305</v>
      </c>
      <c r="L45" s="26" t="s">
        <v>1306</v>
      </c>
      <c r="M45" s="26" t="s">
        <v>1307</v>
      </c>
      <c r="N45" s="26"/>
      <c r="O45" s="26">
        <v>19845</v>
      </c>
      <c r="P45" s="26"/>
      <c r="Q45" s="26"/>
      <c r="R45" s="26" t="s">
        <v>34</v>
      </c>
      <c r="S45" s="27">
        <v>49500</v>
      </c>
      <c r="T45" s="28">
        <f t="shared" si="4"/>
        <v>982327.5</v>
      </c>
    </row>
    <row r="46" spans="1:21" s="17" customFormat="1" x14ac:dyDescent="0.25">
      <c r="A46" s="26"/>
      <c r="B46" s="19" t="s">
        <v>1024</v>
      </c>
      <c r="C46" s="19" t="s">
        <v>26</v>
      </c>
      <c r="D46" s="20" t="s">
        <v>308</v>
      </c>
      <c r="E46" s="21" t="s">
        <v>1308</v>
      </c>
      <c r="F46" s="19">
        <v>4680</v>
      </c>
      <c r="G46" s="18">
        <v>26</v>
      </c>
      <c r="H46" s="18" t="s">
        <v>129</v>
      </c>
      <c r="I46" s="18" t="s">
        <v>30</v>
      </c>
      <c r="J46" s="23">
        <v>45057</v>
      </c>
      <c r="K46" s="131" t="s">
        <v>1309</v>
      </c>
      <c r="L46" s="26" t="s">
        <v>1310</v>
      </c>
      <c r="M46" s="26" t="s">
        <v>1311</v>
      </c>
      <c r="N46" s="26"/>
      <c r="O46" s="26"/>
      <c r="P46" s="26"/>
      <c r="Q46" s="26">
        <v>4680</v>
      </c>
      <c r="R46" s="26" t="s">
        <v>34</v>
      </c>
      <c r="S46" s="27">
        <v>320000</v>
      </c>
      <c r="T46" s="28">
        <f t="shared" si="4"/>
        <v>1497600</v>
      </c>
    </row>
    <row r="47" spans="1:21" s="17" customFormat="1" x14ac:dyDescent="0.25">
      <c r="A47" s="26"/>
      <c r="B47" s="19" t="s">
        <v>1024</v>
      </c>
      <c r="C47" s="19" t="s">
        <v>26</v>
      </c>
      <c r="D47" s="20" t="s">
        <v>308</v>
      </c>
      <c r="E47" s="21" t="s">
        <v>1312</v>
      </c>
      <c r="F47" s="19">
        <v>2520</v>
      </c>
      <c r="G47" s="18">
        <v>14</v>
      </c>
      <c r="H47" s="18" t="s">
        <v>129</v>
      </c>
      <c r="I47" s="18" t="s">
        <v>30</v>
      </c>
      <c r="J47" s="23">
        <v>45057</v>
      </c>
      <c r="K47" s="18" t="s">
        <v>1309</v>
      </c>
      <c r="L47" s="26"/>
      <c r="M47" s="26"/>
      <c r="N47" s="26"/>
      <c r="O47" s="26"/>
      <c r="P47" s="26"/>
      <c r="Q47" s="26">
        <v>2520</v>
      </c>
      <c r="R47" s="26" t="s">
        <v>34</v>
      </c>
      <c r="S47" s="27">
        <v>320000</v>
      </c>
      <c r="T47" s="28">
        <f t="shared" si="4"/>
        <v>806400</v>
      </c>
    </row>
    <row r="48" spans="1:21" s="17" customFormat="1" x14ac:dyDescent="0.25">
      <c r="A48" s="26"/>
      <c r="B48" s="19" t="s">
        <v>1024</v>
      </c>
      <c r="C48" s="19" t="s">
        <v>26</v>
      </c>
      <c r="D48" s="20" t="s">
        <v>308</v>
      </c>
      <c r="E48" s="21" t="s">
        <v>1274</v>
      </c>
      <c r="F48" s="19">
        <v>1980</v>
      </c>
      <c r="G48" s="18">
        <v>11</v>
      </c>
      <c r="H48" s="18" t="s">
        <v>129</v>
      </c>
      <c r="I48" s="18" t="s">
        <v>30</v>
      </c>
      <c r="J48" s="23">
        <v>45057</v>
      </c>
      <c r="K48" s="18" t="s">
        <v>1309</v>
      </c>
      <c r="L48" s="26"/>
      <c r="M48" s="26"/>
      <c r="N48" s="26"/>
      <c r="O48" s="26"/>
      <c r="P48" s="26"/>
      <c r="Q48" s="26">
        <v>1980</v>
      </c>
      <c r="R48" s="26" t="s">
        <v>34</v>
      </c>
      <c r="S48" s="27">
        <v>320000</v>
      </c>
      <c r="T48" s="28">
        <f t="shared" si="4"/>
        <v>633600</v>
      </c>
    </row>
    <row r="49" spans="1:21" s="17" customFormat="1" x14ac:dyDescent="0.25">
      <c r="A49" s="26"/>
      <c r="B49" s="19" t="s">
        <v>1024</v>
      </c>
      <c r="C49" s="19" t="s">
        <v>26</v>
      </c>
      <c r="D49" s="20" t="s">
        <v>308</v>
      </c>
      <c r="E49" s="21" t="s">
        <v>540</v>
      </c>
      <c r="F49" s="19">
        <v>6660</v>
      </c>
      <c r="G49" s="18">
        <v>37</v>
      </c>
      <c r="H49" s="18" t="s">
        <v>129</v>
      </c>
      <c r="I49" s="18" t="s">
        <v>30</v>
      </c>
      <c r="J49" s="23">
        <v>45057</v>
      </c>
      <c r="K49" s="18" t="s">
        <v>1309</v>
      </c>
      <c r="L49" s="26"/>
      <c r="M49" s="26"/>
      <c r="N49" s="26"/>
      <c r="O49" s="26"/>
      <c r="P49" s="26"/>
      <c r="Q49" s="26">
        <v>6660</v>
      </c>
      <c r="R49" s="26" t="s">
        <v>34</v>
      </c>
      <c r="S49" s="27">
        <v>320000</v>
      </c>
      <c r="T49" s="28">
        <f t="shared" si="4"/>
        <v>2131200</v>
      </c>
    </row>
    <row r="50" spans="1:21" s="17" customFormat="1" ht="14.25" customHeight="1" x14ac:dyDescent="0.25">
      <c r="A50" s="25"/>
      <c r="B50" s="19" t="s">
        <v>1168</v>
      </c>
      <c r="C50" s="19" t="s">
        <v>57</v>
      </c>
      <c r="D50" s="20" t="s">
        <v>282</v>
      </c>
      <c r="E50" s="21" t="s">
        <v>1313</v>
      </c>
      <c r="F50" s="19">
        <v>5130</v>
      </c>
      <c r="G50" s="18">
        <v>27</v>
      </c>
      <c r="H50" s="18" t="s">
        <v>95</v>
      </c>
      <c r="I50" s="18" t="s">
        <v>30</v>
      </c>
      <c r="J50" s="23">
        <v>45057</v>
      </c>
      <c r="K50" s="19" t="s">
        <v>1314</v>
      </c>
      <c r="L50" s="26" t="s">
        <v>1315</v>
      </c>
      <c r="M50" s="26" t="s">
        <v>1316</v>
      </c>
      <c r="N50" s="26"/>
      <c r="O50" s="26"/>
      <c r="P50" s="26"/>
      <c r="Q50" s="26">
        <v>5130</v>
      </c>
      <c r="R50" s="26" t="s">
        <v>34</v>
      </c>
      <c r="S50" s="27">
        <v>115000</v>
      </c>
      <c r="T50" s="28">
        <f t="shared" si="4"/>
        <v>589950</v>
      </c>
    </row>
    <row r="51" spans="1:21" s="17" customFormat="1" ht="14.25" customHeight="1" x14ac:dyDescent="0.25">
      <c r="A51" s="25"/>
      <c r="B51" s="19" t="s">
        <v>1168</v>
      </c>
      <c r="C51" s="19" t="s">
        <v>57</v>
      </c>
      <c r="D51" s="20" t="s">
        <v>282</v>
      </c>
      <c r="E51" s="21" t="s">
        <v>1317</v>
      </c>
      <c r="F51" s="19">
        <v>8740</v>
      </c>
      <c r="G51" s="18">
        <v>46</v>
      </c>
      <c r="H51" s="18" t="s">
        <v>95</v>
      </c>
      <c r="I51" s="18" t="s">
        <v>30</v>
      </c>
      <c r="J51" s="23">
        <v>45057</v>
      </c>
      <c r="K51" s="19" t="s">
        <v>1314</v>
      </c>
      <c r="L51" s="26"/>
      <c r="M51" s="26"/>
      <c r="N51" s="26"/>
      <c r="O51" s="26"/>
      <c r="P51" s="26"/>
      <c r="Q51" s="26">
        <v>8740</v>
      </c>
      <c r="R51" s="26" t="s">
        <v>34</v>
      </c>
      <c r="S51" s="27">
        <v>115000</v>
      </c>
      <c r="T51" s="28">
        <f t="shared" si="4"/>
        <v>1005100</v>
      </c>
    </row>
    <row r="52" spans="1:21" s="17" customFormat="1" ht="14.25" customHeight="1" x14ac:dyDescent="0.25">
      <c r="A52" s="25"/>
      <c r="B52" s="19" t="s">
        <v>1168</v>
      </c>
      <c r="C52" s="19" t="s">
        <v>57</v>
      </c>
      <c r="D52" s="20" t="s">
        <v>282</v>
      </c>
      <c r="E52" s="21" t="s">
        <v>540</v>
      </c>
      <c r="F52" s="19">
        <v>1330</v>
      </c>
      <c r="G52" s="18">
        <v>7</v>
      </c>
      <c r="H52" s="18" t="s">
        <v>95</v>
      </c>
      <c r="I52" s="18" t="s">
        <v>30</v>
      </c>
      <c r="J52" s="23">
        <v>45057</v>
      </c>
      <c r="K52" s="19" t="s">
        <v>1314</v>
      </c>
      <c r="L52" s="26"/>
      <c r="M52" s="26"/>
      <c r="N52" s="26"/>
      <c r="O52" s="26"/>
      <c r="P52" s="26"/>
      <c r="Q52" s="26">
        <v>1330</v>
      </c>
      <c r="R52" s="26" t="s">
        <v>34</v>
      </c>
      <c r="S52" s="27">
        <v>115000</v>
      </c>
      <c r="T52" s="28">
        <f t="shared" si="4"/>
        <v>152950</v>
      </c>
    </row>
    <row r="53" spans="1:21" s="17" customFormat="1" x14ac:dyDescent="0.25">
      <c r="A53" s="25"/>
      <c r="B53" s="19" t="s">
        <v>1101</v>
      </c>
      <c r="C53" s="19" t="s">
        <v>57</v>
      </c>
      <c r="D53" s="20" t="s">
        <v>58</v>
      </c>
      <c r="E53" s="21" t="s">
        <v>1318</v>
      </c>
      <c r="F53" s="19">
        <v>1587.6</v>
      </c>
      <c r="G53" s="18">
        <v>70</v>
      </c>
      <c r="H53" s="18" t="s">
        <v>95</v>
      </c>
      <c r="I53" s="18" t="s">
        <v>30</v>
      </c>
      <c r="J53" s="23">
        <v>45057</v>
      </c>
      <c r="K53" s="19" t="s">
        <v>1314</v>
      </c>
      <c r="L53" s="26" t="s">
        <v>1315</v>
      </c>
      <c r="M53" s="26" t="s">
        <v>1316</v>
      </c>
      <c r="N53" s="26"/>
      <c r="O53" s="26">
        <v>1587.6</v>
      </c>
      <c r="P53" s="26"/>
      <c r="Q53" s="26"/>
      <c r="R53" s="26" t="s">
        <v>34</v>
      </c>
      <c r="S53" s="27">
        <v>49500</v>
      </c>
      <c r="T53" s="28">
        <f t="shared" si="4"/>
        <v>78586.2</v>
      </c>
    </row>
    <row r="54" spans="1:21" s="17" customFormat="1" ht="14.25" customHeight="1" x14ac:dyDescent="0.25">
      <c r="A54" s="25"/>
      <c r="B54" s="19" t="s">
        <v>1168</v>
      </c>
      <c r="C54" s="19" t="s">
        <v>57</v>
      </c>
      <c r="D54" s="20" t="s">
        <v>282</v>
      </c>
      <c r="E54" s="21" t="s">
        <v>1132</v>
      </c>
      <c r="F54" s="19">
        <v>2850</v>
      </c>
      <c r="G54" s="18">
        <v>15</v>
      </c>
      <c r="H54" s="18" t="s">
        <v>95</v>
      </c>
      <c r="I54" s="18" t="s">
        <v>30</v>
      </c>
      <c r="J54" s="23">
        <v>45058</v>
      </c>
      <c r="K54" s="19" t="s">
        <v>449</v>
      </c>
      <c r="L54" s="26" t="s">
        <v>1169</v>
      </c>
      <c r="M54" s="26" t="s">
        <v>1319</v>
      </c>
      <c r="N54" s="26"/>
      <c r="O54" s="26"/>
      <c r="P54" s="26"/>
      <c r="Q54" s="26">
        <v>2850</v>
      </c>
      <c r="R54" s="26"/>
      <c r="S54" s="27">
        <v>115000</v>
      </c>
      <c r="T54" s="28">
        <f t="shared" si="4"/>
        <v>327750</v>
      </c>
    </row>
    <row r="55" spans="1:21" s="17" customFormat="1" ht="14.25" customHeight="1" x14ac:dyDescent="0.25">
      <c r="A55" s="25"/>
      <c r="B55" s="19" t="s">
        <v>1168</v>
      </c>
      <c r="C55" s="19" t="s">
        <v>57</v>
      </c>
      <c r="D55" s="20" t="s">
        <v>282</v>
      </c>
      <c r="E55" s="21" t="s">
        <v>1189</v>
      </c>
      <c r="F55" s="19">
        <v>8930</v>
      </c>
      <c r="G55" s="18">
        <v>47</v>
      </c>
      <c r="H55" s="18" t="s">
        <v>95</v>
      </c>
      <c r="I55" s="18" t="s">
        <v>30</v>
      </c>
      <c r="J55" s="23">
        <v>45058</v>
      </c>
      <c r="K55" s="19" t="s">
        <v>449</v>
      </c>
      <c r="L55" s="26"/>
      <c r="M55" s="26"/>
      <c r="N55" s="26"/>
      <c r="O55" s="26"/>
      <c r="P55" s="26"/>
      <c r="Q55" s="26">
        <v>8930</v>
      </c>
      <c r="R55" s="26"/>
      <c r="S55" s="27">
        <v>115000</v>
      </c>
      <c r="T55" s="28">
        <f t="shared" si="4"/>
        <v>1026950</v>
      </c>
    </row>
    <row r="56" spans="1:21" s="17" customFormat="1" ht="14.25" customHeight="1" x14ac:dyDescent="0.25">
      <c r="A56" s="25"/>
      <c r="B56" s="19" t="s">
        <v>1168</v>
      </c>
      <c r="C56" s="19" t="s">
        <v>57</v>
      </c>
      <c r="D56" s="20" t="s">
        <v>282</v>
      </c>
      <c r="E56" s="21" t="s">
        <v>1313</v>
      </c>
      <c r="F56" s="19">
        <v>3420</v>
      </c>
      <c r="G56" s="18">
        <v>18</v>
      </c>
      <c r="H56" s="18" t="s">
        <v>95</v>
      </c>
      <c r="I56" s="18" t="s">
        <v>30</v>
      </c>
      <c r="J56" s="23">
        <v>45058</v>
      </c>
      <c r="K56" s="19" t="s">
        <v>449</v>
      </c>
      <c r="L56" s="26"/>
      <c r="M56" s="26"/>
      <c r="N56" s="26"/>
      <c r="O56" s="26"/>
      <c r="P56" s="26"/>
      <c r="Q56" s="26">
        <v>3420</v>
      </c>
      <c r="R56" s="26"/>
      <c r="S56" s="27">
        <v>115000</v>
      </c>
      <c r="T56" s="28">
        <f t="shared" si="4"/>
        <v>393300</v>
      </c>
    </row>
    <row r="57" spans="1:21" s="17" customFormat="1" x14ac:dyDescent="0.25">
      <c r="A57" s="25"/>
      <c r="B57" s="19" t="s">
        <v>1101</v>
      </c>
      <c r="C57" s="19" t="s">
        <v>57</v>
      </c>
      <c r="D57" s="20" t="s">
        <v>58</v>
      </c>
      <c r="E57" s="21" t="s">
        <v>1318</v>
      </c>
      <c r="F57" s="19">
        <v>1587.6</v>
      </c>
      <c r="G57" s="18">
        <v>70</v>
      </c>
      <c r="H57" s="18" t="s">
        <v>95</v>
      </c>
      <c r="I57" s="18" t="s">
        <v>30</v>
      </c>
      <c r="J57" s="23">
        <v>45058</v>
      </c>
      <c r="K57" s="19" t="s">
        <v>449</v>
      </c>
      <c r="L57" s="26" t="s">
        <v>1169</v>
      </c>
      <c r="M57" s="26" t="s">
        <v>1319</v>
      </c>
      <c r="N57" s="26"/>
      <c r="O57" s="26">
        <v>1587.6</v>
      </c>
      <c r="P57" s="26"/>
      <c r="Q57" s="26"/>
      <c r="R57" s="26"/>
      <c r="S57" s="27">
        <v>49500</v>
      </c>
      <c r="T57" s="28">
        <f t="shared" si="4"/>
        <v>78586.2</v>
      </c>
    </row>
    <row r="58" spans="1:21" s="17" customFormat="1" x14ac:dyDescent="0.25">
      <c r="A58" s="25"/>
      <c r="B58" s="19" t="s">
        <v>48</v>
      </c>
      <c r="C58" s="19" t="s">
        <v>1320</v>
      </c>
      <c r="D58" s="20" t="s">
        <v>165</v>
      </c>
      <c r="E58" s="21" t="s">
        <v>1321</v>
      </c>
      <c r="F58" s="19">
        <v>2000</v>
      </c>
      <c r="G58" s="18">
        <v>80</v>
      </c>
      <c r="H58" s="18" t="s">
        <v>29</v>
      </c>
      <c r="I58" s="18" t="s">
        <v>30</v>
      </c>
      <c r="J58" s="23">
        <v>45058</v>
      </c>
      <c r="K58" s="19" t="s">
        <v>1322</v>
      </c>
      <c r="L58" s="26"/>
      <c r="M58" s="26" t="s">
        <v>1323</v>
      </c>
      <c r="N58" s="26"/>
      <c r="O58" s="26">
        <v>2000</v>
      </c>
      <c r="P58" s="26"/>
      <c r="Q58" s="26"/>
      <c r="R58" s="26"/>
      <c r="S58" s="27">
        <v>38000</v>
      </c>
      <c r="T58" s="28">
        <f t="shared" si="4"/>
        <v>76000</v>
      </c>
    </row>
    <row r="59" spans="1:21" s="17" customFormat="1" x14ac:dyDescent="0.25">
      <c r="A59" s="25"/>
      <c r="B59" s="19" t="s">
        <v>48</v>
      </c>
      <c r="C59" s="19" t="s">
        <v>1320</v>
      </c>
      <c r="D59" s="20" t="s">
        <v>492</v>
      </c>
      <c r="E59" s="21" t="s">
        <v>1293</v>
      </c>
      <c r="F59" s="19">
        <v>1000</v>
      </c>
      <c r="G59" s="18">
        <v>40</v>
      </c>
      <c r="H59" s="18" t="s">
        <v>29</v>
      </c>
      <c r="I59" s="18" t="s">
        <v>30</v>
      </c>
      <c r="J59" s="23">
        <v>45058</v>
      </c>
      <c r="K59" s="19" t="s">
        <v>1322</v>
      </c>
      <c r="L59" s="26"/>
      <c r="M59" s="26"/>
      <c r="N59" s="26"/>
      <c r="O59" s="26"/>
      <c r="P59" s="26">
        <v>1000</v>
      </c>
      <c r="Q59" s="26"/>
      <c r="R59" s="26"/>
      <c r="S59" s="27">
        <v>245000</v>
      </c>
      <c r="T59" s="28">
        <f t="shared" si="4"/>
        <v>245000</v>
      </c>
    </row>
    <row r="60" spans="1:21" s="17" customFormat="1" x14ac:dyDescent="0.25">
      <c r="A60" s="26"/>
      <c r="B60" s="19" t="s">
        <v>48</v>
      </c>
      <c r="C60" s="19" t="s">
        <v>1320</v>
      </c>
      <c r="D60" s="20" t="s">
        <v>110</v>
      </c>
      <c r="E60" s="21" t="s">
        <v>1113</v>
      </c>
      <c r="F60" s="19">
        <v>800</v>
      </c>
      <c r="G60" s="18">
        <v>4</v>
      </c>
      <c r="H60" s="18" t="s">
        <v>29</v>
      </c>
      <c r="I60" s="18" t="s">
        <v>30</v>
      </c>
      <c r="J60" s="23">
        <v>45058</v>
      </c>
      <c r="K60" s="18" t="s">
        <v>1322</v>
      </c>
      <c r="L60" s="26"/>
      <c r="M60" s="26"/>
      <c r="N60" s="26"/>
      <c r="O60" s="26"/>
      <c r="P60" s="26"/>
      <c r="Q60" s="26">
        <v>800</v>
      </c>
      <c r="R60" s="26"/>
      <c r="S60" s="27">
        <v>67800</v>
      </c>
      <c r="T60" s="28">
        <f t="shared" si="4"/>
        <v>54240</v>
      </c>
    </row>
    <row r="61" spans="1:21" s="17" customFormat="1" x14ac:dyDescent="0.25">
      <c r="A61" s="26"/>
      <c r="B61" s="19" t="s">
        <v>466</v>
      </c>
      <c r="C61" s="19" t="s">
        <v>65</v>
      </c>
      <c r="D61" s="20" t="s">
        <v>66</v>
      </c>
      <c r="E61" s="21" t="s">
        <v>1155</v>
      </c>
      <c r="F61" s="19">
        <v>400</v>
      </c>
      <c r="G61" s="18">
        <v>2</v>
      </c>
      <c r="H61" s="18" t="s">
        <v>29</v>
      </c>
      <c r="I61" s="18" t="s">
        <v>30</v>
      </c>
      <c r="J61" s="23">
        <v>45058</v>
      </c>
      <c r="K61" s="19" t="s">
        <v>1324</v>
      </c>
      <c r="L61" s="19"/>
      <c r="M61" s="19" t="s">
        <v>1325</v>
      </c>
      <c r="N61" s="26"/>
      <c r="O61" s="26"/>
      <c r="P61" s="26"/>
      <c r="Q61" s="26">
        <v>400</v>
      </c>
      <c r="R61" s="26"/>
      <c r="S61" s="27">
        <v>89900</v>
      </c>
      <c r="T61" s="28">
        <f t="shared" si="4"/>
        <v>35960</v>
      </c>
      <c r="U61" s="26"/>
    </row>
    <row r="62" spans="1:21" s="17" customFormat="1" x14ac:dyDescent="0.25">
      <c r="A62" s="26"/>
      <c r="B62" s="19" t="s">
        <v>466</v>
      </c>
      <c r="C62" s="19" t="s">
        <v>65</v>
      </c>
      <c r="D62" s="20" t="s">
        <v>66</v>
      </c>
      <c r="E62" s="21" t="s">
        <v>1189</v>
      </c>
      <c r="F62" s="19">
        <v>8600</v>
      </c>
      <c r="G62" s="18">
        <v>43</v>
      </c>
      <c r="H62" s="18" t="s">
        <v>29</v>
      </c>
      <c r="I62" s="18" t="s">
        <v>30</v>
      </c>
      <c r="J62" s="23">
        <v>45058</v>
      </c>
      <c r="K62" s="19" t="s">
        <v>1324</v>
      </c>
      <c r="L62" s="19"/>
      <c r="M62" s="19"/>
      <c r="N62" s="26"/>
      <c r="O62" s="26"/>
      <c r="P62" s="26"/>
      <c r="Q62" s="26">
        <v>8600</v>
      </c>
      <c r="R62" s="26"/>
      <c r="S62" s="27">
        <v>89900</v>
      </c>
      <c r="T62" s="28">
        <f t="shared" si="4"/>
        <v>773140</v>
      </c>
      <c r="U62" s="26"/>
    </row>
    <row r="63" spans="1:21" s="17" customFormat="1" x14ac:dyDescent="0.25">
      <c r="A63" s="26"/>
      <c r="B63" s="19" t="s">
        <v>466</v>
      </c>
      <c r="C63" s="19" t="s">
        <v>65</v>
      </c>
      <c r="D63" s="20" t="s">
        <v>66</v>
      </c>
      <c r="E63" s="21" t="s">
        <v>1154</v>
      </c>
      <c r="F63" s="19">
        <v>600</v>
      </c>
      <c r="G63" s="18">
        <v>3</v>
      </c>
      <c r="H63" s="18" t="s">
        <v>29</v>
      </c>
      <c r="I63" s="18" t="s">
        <v>30</v>
      </c>
      <c r="J63" s="23">
        <v>45058</v>
      </c>
      <c r="K63" s="19" t="s">
        <v>1324</v>
      </c>
      <c r="L63" s="19"/>
      <c r="M63" s="19"/>
      <c r="N63" s="26"/>
      <c r="O63" s="26"/>
      <c r="P63" s="26"/>
      <c r="Q63" s="26">
        <v>600</v>
      </c>
      <c r="R63" s="26"/>
      <c r="S63" s="27">
        <v>89900</v>
      </c>
      <c r="T63" s="28">
        <f t="shared" si="4"/>
        <v>53940</v>
      </c>
      <c r="U63" s="26"/>
    </row>
    <row r="64" spans="1:21" s="17" customFormat="1" x14ac:dyDescent="0.25">
      <c r="A64" s="25"/>
      <c r="B64" s="19" t="s">
        <v>1057</v>
      </c>
      <c r="C64" s="19" t="s">
        <v>57</v>
      </c>
      <c r="D64" s="20" t="s">
        <v>58</v>
      </c>
      <c r="E64" s="21" t="s">
        <v>1326</v>
      </c>
      <c r="F64" s="19">
        <v>19845</v>
      </c>
      <c r="G64" s="18">
        <v>875</v>
      </c>
      <c r="H64" s="18" t="s">
        <v>486</v>
      </c>
      <c r="I64" s="18" t="s">
        <v>30</v>
      </c>
      <c r="J64" s="23">
        <v>45058</v>
      </c>
      <c r="K64" s="19" t="s">
        <v>1327</v>
      </c>
      <c r="L64" s="26" t="s">
        <v>1328</v>
      </c>
      <c r="M64" s="26" t="s">
        <v>1329</v>
      </c>
      <c r="N64" s="26"/>
      <c r="O64" s="26">
        <v>19845</v>
      </c>
      <c r="P64" s="26"/>
      <c r="Q64" s="26"/>
      <c r="R64" s="26" t="s">
        <v>34</v>
      </c>
      <c r="S64" s="27">
        <v>49500</v>
      </c>
      <c r="T64" s="28">
        <f t="shared" si="4"/>
        <v>982327.5</v>
      </c>
    </row>
    <row r="65" spans="1:21" s="17" customFormat="1" x14ac:dyDescent="0.25">
      <c r="A65" s="25"/>
      <c r="B65" s="19" t="s">
        <v>1168</v>
      </c>
      <c r="C65" s="19" t="s">
        <v>57</v>
      </c>
      <c r="D65" s="20" t="s">
        <v>58</v>
      </c>
      <c r="E65" s="21" t="s">
        <v>1293</v>
      </c>
      <c r="F65" s="19">
        <v>19845</v>
      </c>
      <c r="G65" s="18">
        <v>875</v>
      </c>
      <c r="H65" s="18" t="s">
        <v>95</v>
      </c>
      <c r="I65" s="18" t="s">
        <v>30</v>
      </c>
      <c r="J65" s="23">
        <v>45061</v>
      </c>
      <c r="K65" s="19" t="s">
        <v>1330</v>
      </c>
      <c r="L65" s="26" t="s">
        <v>1331</v>
      </c>
      <c r="M65" s="26" t="s">
        <v>1332</v>
      </c>
      <c r="N65" s="26"/>
      <c r="O65" s="26">
        <v>19845</v>
      </c>
      <c r="P65" s="26"/>
      <c r="Q65" s="26"/>
      <c r="R65" s="26" t="s">
        <v>34</v>
      </c>
      <c r="S65" s="27">
        <v>49500</v>
      </c>
      <c r="T65" s="28">
        <f t="shared" si="4"/>
        <v>982327.5</v>
      </c>
    </row>
    <row r="66" spans="1:21" s="17" customFormat="1" x14ac:dyDescent="0.25">
      <c r="A66" s="25"/>
      <c r="B66" s="19" t="s">
        <v>1168</v>
      </c>
      <c r="C66" s="19" t="s">
        <v>57</v>
      </c>
      <c r="D66" s="20" t="s">
        <v>1088</v>
      </c>
      <c r="E66" s="21" t="s">
        <v>1155</v>
      </c>
      <c r="F66" s="19">
        <v>18144</v>
      </c>
      <c r="G66" s="18">
        <v>800</v>
      </c>
      <c r="H66" s="18" t="s">
        <v>95</v>
      </c>
      <c r="I66" s="18" t="s">
        <v>30</v>
      </c>
      <c r="J66" s="23">
        <v>45061</v>
      </c>
      <c r="K66" s="19" t="s">
        <v>1039</v>
      </c>
      <c r="L66" s="26" t="s">
        <v>1333</v>
      </c>
      <c r="M66" s="26" t="s">
        <v>1334</v>
      </c>
      <c r="N66" s="26"/>
      <c r="O66" s="26"/>
      <c r="P66" s="26">
        <v>18144</v>
      </c>
      <c r="Q66" s="26"/>
      <c r="R66" s="26" t="s">
        <v>34</v>
      </c>
      <c r="S66" s="27">
        <v>245000</v>
      </c>
      <c r="T66" s="28">
        <f t="shared" si="4"/>
        <v>4445280</v>
      </c>
    </row>
    <row r="67" spans="1:21" s="17" customFormat="1" x14ac:dyDescent="0.25">
      <c r="A67" s="26"/>
      <c r="B67" s="19" t="s">
        <v>1168</v>
      </c>
      <c r="C67" s="19" t="s">
        <v>57</v>
      </c>
      <c r="D67" s="18" t="s">
        <v>525</v>
      </c>
      <c r="E67" s="21" t="s">
        <v>1321</v>
      </c>
      <c r="F67" s="19">
        <v>1800</v>
      </c>
      <c r="G67" s="18">
        <v>72</v>
      </c>
      <c r="H67" s="18" t="s">
        <v>95</v>
      </c>
      <c r="I67" s="18" t="s">
        <v>30</v>
      </c>
      <c r="J67" s="23">
        <v>45061</v>
      </c>
      <c r="K67" s="18" t="s">
        <v>1039</v>
      </c>
      <c r="L67" s="26"/>
      <c r="M67" s="26"/>
      <c r="N67" s="26"/>
      <c r="O67" s="26"/>
      <c r="P67" s="26"/>
      <c r="Q67" s="26">
        <v>1800</v>
      </c>
      <c r="R67" s="26" t="s">
        <v>34</v>
      </c>
      <c r="S67" s="27">
        <v>220000</v>
      </c>
      <c r="T67" s="28">
        <f t="shared" si="4"/>
        <v>396000</v>
      </c>
      <c r="U67" s="26"/>
    </row>
    <row r="68" spans="1:21" s="17" customFormat="1" ht="14.25" customHeight="1" x14ac:dyDescent="0.25">
      <c r="A68" s="25"/>
      <c r="B68" s="19" t="s">
        <v>1074</v>
      </c>
      <c r="C68" s="19" t="s">
        <v>57</v>
      </c>
      <c r="D68" s="20" t="s">
        <v>191</v>
      </c>
      <c r="E68" s="21" t="s">
        <v>1063</v>
      </c>
      <c r="F68" s="19">
        <v>15000</v>
      </c>
      <c r="G68" s="18">
        <v>600</v>
      </c>
      <c r="H68" s="18" t="s">
        <v>95</v>
      </c>
      <c r="I68" s="18" t="s">
        <v>30</v>
      </c>
      <c r="J68" s="23">
        <v>45061</v>
      </c>
      <c r="K68" s="18" t="s">
        <v>1277</v>
      </c>
      <c r="L68" s="19" t="s">
        <v>1278</v>
      </c>
      <c r="M68" s="19" t="s">
        <v>1279</v>
      </c>
      <c r="N68" s="26"/>
      <c r="O68" s="26"/>
      <c r="P68" s="26"/>
      <c r="Q68" s="26">
        <v>15000</v>
      </c>
      <c r="R68" s="26" t="s">
        <v>34</v>
      </c>
      <c r="S68" s="27">
        <v>165000</v>
      </c>
      <c r="T68" s="28">
        <f t="shared" si="4"/>
        <v>2475000</v>
      </c>
    </row>
    <row r="69" spans="1:21" s="17" customFormat="1" x14ac:dyDescent="0.25">
      <c r="A69" s="25"/>
      <c r="B69" s="19" t="s">
        <v>1335</v>
      </c>
      <c r="C69" s="19" t="s">
        <v>601</v>
      </c>
      <c r="D69" s="20" t="s">
        <v>1336</v>
      </c>
      <c r="E69" s="21" t="s">
        <v>1321</v>
      </c>
      <c r="F69" s="19">
        <v>500</v>
      </c>
      <c r="G69" s="18">
        <v>10</v>
      </c>
      <c r="H69" s="18" t="s">
        <v>283</v>
      </c>
      <c r="I69" s="18" t="s">
        <v>30</v>
      </c>
      <c r="J69" s="23">
        <v>45063</v>
      </c>
      <c r="K69" s="19" t="s">
        <v>1337</v>
      </c>
      <c r="L69" s="26" t="s">
        <v>1338</v>
      </c>
      <c r="M69" s="26" t="s">
        <v>1339</v>
      </c>
      <c r="N69" s="26"/>
      <c r="O69" s="26"/>
      <c r="P69" s="26"/>
      <c r="Q69" s="26">
        <v>500</v>
      </c>
      <c r="R69" s="26"/>
      <c r="S69" s="27">
        <v>205000</v>
      </c>
      <c r="T69" s="28">
        <f t="shared" si="4"/>
        <v>102500</v>
      </c>
    </row>
    <row r="70" spans="1:21" s="17" customFormat="1" x14ac:dyDescent="0.25">
      <c r="A70" s="25"/>
      <c r="B70" s="19" t="s">
        <v>1335</v>
      </c>
      <c r="C70" s="19" t="s">
        <v>601</v>
      </c>
      <c r="D70" s="20" t="s">
        <v>222</v>
      </c>
      <c r="E70" s="21" t="s">
        <v>1155</v>
      </c>
      <c r="F70" s="19">
        <v>2000</v>
      </c>
      <c r="G70" s="18">
        <v>40</v>
      </c>
      <c r="H70" s="18" t="s">
        <v>283</v>
      </c>
      <c r="I70" s="18" t="s">
        <v>30</v>
      </c>
      <c r="J70" s="23">
        <v>45063</v>
      </c>
      <c r="K70" s="19" t="s">
        <v>1337</v>
      </c>
      <c r="L70" s="26"/>
      <c r="M70" s="26"/>
      <c r="N70" s="26"/>
      <c r="O70" s="26"/>
      <c r="P70" s="26"/>
      <c r="Q70" s="26">
        <v>2000</v>
      </c>
      <c r="R70" s="26"/>
      <c r="S70" s="27">
        <v>89000</v>
      </c>
      <c r="T70" s="28">
        <f t="shared" si="4"/>
        <v>178000</v>
      </c>
    </row>
    <row r="71" spans="1:21" s="17" customFormat="1" x14ac:dyDescent="0.25">
      <c r="A71" s="25"/>
      <c r="B71" s="19" t="s">
        <v>1335</v>
      </c>
      <c r="C71" s="19" t="s">
        <v>601</v>
      </c>
      <c r="D71" s="20" t="s">
        <v>1340</v>
      </c>
      <c r="E71" s="21" t="s">
        <v>1341</v>
      </c>
      <c r="F71" s="19">
        <v>2000</v>
      </c>
      <c r="G71" s="18">
        <v>40</v>
      </c>
      <c r="H71" s="18" t="s">
        <v>283</v>
      </c>
      <c r="I71" s="18" t="s">
        <v>30</v>
      </c>
      <c r="J71" s="23">
        <v>45063</v>
      </c>
      <c r="K71" s="19" t="s">
        <v>1337</v>
      </c>
      <c r="L71" s="26"/>
      <c r="M71" s="26"/>
      <c r="N71" s="26"/>
      <c r="O71" s="26"/>
      <c r="P71" s="26"/>
      <c r="Q71" s="26">
        <v>2000</v>
      </c>
      <c r="R71" s="26"/>
      <c r="S71" s="27">
        <v>65000</v>
      </c>
      <c r="T71" s="28">
        <f t="shared" si="4"/>
        <v>130000</v>
      </c>
    </row>
    <row r="72" spans="1:21" s="17" customFormat="1" x14ac:dyDescent="0.25">
      <c r="A72" s="26"/>
      <c r="B72" s="19" t="s">
        <v>466</v>
      </c>
      <c r="C72" s="19" t="s">
        <v>126</v>
      </c>
      <c r="D72" s="20" t="s">
        <v>1342</v>
      </c>
      <c r="E72" s="21" t="s">
        <v>1343</v>
      </c>
      <c r="F72" s="19">
        <v>17252</v>
      </c>
      <c r="G72" s="18">
        <v>760</v>
      </c>
      <c r="H72" s="18" t="s">
        <v>95</v>
      </c>
      <c r="I72" s="18" t="s">
        <v>30</v>
      </c>
      <c r="J72" s="23">
        <v>45063</v>
      </c>
      <c r="K72" s="18" t="s">
        <v>482</v>
      </c>
      <c r="L72" s="26" t="s">
        <v>585</v>
      </c>
      <c r="M72" s="26" t="s">
        <v>408</v>
      </c>
      <c r="N72" s="26"/>
      <c r="O72" s="26">
        <v>17252</v>
      </c>
      <c r="P72" s="26"/>
      <c r="Q72" s="26"/>
      <c r="R72" s="26" t="s">
        <v>34</v>
      </c>
      <c r="S72" s="27">
        <v>41000</v>
      </c>
      <c r="T72" s="28">
        <f t="shared" si="4"/>
        <v>707332</v>
      </c>
    </row>
    <row r="73" spans="1:21" s="17" customFormat="1" x14ac:dyDescent="0.25">
      <c r="A73" s="26"/>
      <c r="B73" s="19" t="s">
        <v>466</v>
      </c>
      <c r="C73" s="19" t="s">
        <v>126</v>
      </c>
      <c r="D73" s="20" t="s">
        <v>610</v>
      </c>
      <c r="E73" s="21" t="s">
        <v>309</v>
      </c>
      <c r="F73" s="19">
        <v>540</v>
      </c>
      <c r="G73" s="18">
        <v>3</v>
      </c>
      <c r="H73" s="18" t="s">
        <v>95</v>
      </c>
      <c r="I73" s="18" t="s">
        <v>30</v>
      </c>
      <c r="J73" s="23">
        <v>45063</v>
      </c>
      <c r="K73" s="18" t="s">
        <v>482</v>
      </c>
      <c r="L73" s="26"/>
      <c r="M73" s="26"/>
      <c r="N73" s="26"/>
      <c r="O73" s="26"/>
      <c r="P73" s="26"/>
      <c r="Q73" s="26">
        <v>540</v>
      </c>
      <c r="R73" s="26" t="s">
        <v>34</v>
      </c>
      <c r="S73" s="27">
        <v>320000</v>
      </c>
      <c r="T73" s="28">
        <f t="shared" si="4"/>
        <v>172800</v>
      </c>
    </row>
    <row r="74" spans="1:21" s="17" customFormat="1" x14ac:dyDescent="0.25">
      <c r="A74" s="26"/>
      <c r="B74" s="19" t="s">
        <v>466</v>
      </c>
      <c r="C74" s="19" t="s">
        <v>126</v>
      </c>
      <c r="D74" s="20" t="s">
        <v>1344</v>
      </c>
      <c r="E74" s="21" t="s">
        <v>1065</v>
      </c>
      <c r="F74" s="19">
        <v>2000</v>
      </c>
      <c r="G74" s="18">
        <v>100</v>
      </c>
      <c r="H74" s="18" t="s">
        <v>95</v>
      </c>
      <c r="I74" s="18" t="s">
        <v>30</v>
      </c>
      <c r="J74" s="23">
        <v>45063</v>
      </c>
      <c r="K74" s="18" t="s">
        <v>482</v>
      </c>
      <c r="L74" s="26"/>
      <c r="M74" s="26"/>
      <c r="N74" s="26"/>
      <c r="O74" s="26"/>
      <c r="P74" s="26">
        <v>2000</v>
      </c>
      <c r="Q74" s="26"/>
      <c r="R74" s="26" t="s">
        <v>34</v>
      </c>
      <c r="S74" s="27">
        <v>73000</v>
      </c>
      <c r="T74" s="28">
        <f t="shared" si="4"/>
        <v>146000</v>
      </c>
    </row>
    <row r="75" spans="1:21" s="17" customFormat="1" x14ac:dyDescent="0.25">
      <c r="A75" s="25"/>
      <c r="B75" s="19" t="s">
        <v>1057</v>
      </c>
      <c r="C75" s="19" t="s">
        <v>57</v>
      </c>
      <c r="D75" s="20" t="s">
        <v>58</v>
      </c>
      <c r="E75" s="21" t="s">
        <v>1313</v>
      </c>
      <c r="F75" s="19">
        <v>19845</v>
      </c>
      <c r="G75" s="18">
        <v>875</v>
      </c>
      <c r="H75" s="18" t="s">
        <v>486</v>
      </c>
      <c r="I75" s="18" t="s">
        <v>30</v>
      </c>
      <c r="J75" s="23">
        <v>45064</v>
      </c>
      <c r="K75" s="19" t="s">
        <v>1345</v>
      </c>
      <c r="L75" s="26" t="s">
        <v>1346</v>
      </c>
      <c r="M75" s="26" t="s">
        <v>1347</v>
      </c>
      <c r="N75" s="26"/>
      <c r="O75" s="26">
        <v>19845</v>
      </c>
      <c r="P75" s="26"/>
      <c r="Q75" s="26"/>
      <c r="R75" s="26" t="s">
        <v>34</v>
      </c>
      <c r="S75" s="27">
        <v>49500</v>
      </c>
      <c r="T75" s="28">
        <f t="shared" si="4"/>
        <v>982327.5</v>
      </c>
    </row>
    <row r="76" spans="1:21" s="17" customFormat="1" x14ac:dyDescent="0.25">
      <c r="A76" s="26"/>
      <c r="B76" s="19" t="s">
        <v>1168</v>
      </c>
      <c r="C76" s="19" t="s">
        <v>57</v>
      </c>
      <c r="D76" s="18" t="s">
        <v>525</v>
      </c>
      <c r="E76" s="21" t="s">
        <v>1321</v>
      </c>
      <c r="F76" s="19">
        <v>15600</v>
      </c>
      <c r="G76" s="18">
        <v>624</v>
      </c>
      <c r="H76" s="18" t="s">
        <v>95</v>
      </c>
      <c r="I76" s="18" t="s">
        <v>30</v>
      </c>
      <c r="J76" s="23">
        <v>45065</v>
      </c>
      <c r="K76" s="18" t="s">
        <v>1348</v>
      </c>
      <c r="L76" s="26" t="s">
        <v>1349</v>
      </c>
      <c r="M76" s="26" t="s">
        <v>1350</v>
      </c>
      <c r="N76" s="26"/>
      <c r="O76" s="26"/>
      <c r="P76" s="26"/>
      <c r="Q76" s="26">
        <v>15600</v>
      </c>
      <c r="R76" s="26" t="s">
        <v>34</v>
      </c>
      <c r="S76" s="27">
        <v>220000</v>
      </c>
      <c r="T76" s="28">
        <f t="shared" si="4"/>
        <v>3432000</v>
      </c>
      <c r="U76" s="26"/>
    </row>
    <row r="77" spans="1:21" s="17" customFormat="1" x14ac:dyDescent="0.25">
      <c r="A77" s="26"/>
      <c r="B77" s="19" t="s">
        <v>1351</v>
      </c>
      <c r="C77" s="19" t="s">
        <v>1352</v>
      </c>
      <c r="D77" s="20" t="s">
        <v>1353</v>
      </c>
      <c r="E77" s="21" t="s">
        <v>1128</v>
      </c>
      <c r="F77" s="19">
        <v>25</v>
      </c>
      <c r="G77" s="18">
        <v>1</v>
      </c>
      <c r="H77" s="18" t="s">
        <v>1354</v>
      </c>
      <c r="I77" s="18" t="s">
        <v>30</v>
      </c>
      <c r="J77" s="23">
        <v>45065</v>
      </c>
      <c r="K77" s="18" t="s">
        <v>225</v>
      </c>
      <c r="L77" s="26"/>
      <c r="M77" s="26"/>
      <c r="N77" s="26"/>
      <c r="O77" s="26"/>
      <c r="P77" s="26"/>
      <c r="Q77" s="26">
        <v>25</v>
      </c>
      <c r="R77" s="26"/>
      <c r="S77" s="27">
        <v>215000</v>
      </c>
      <c r="T77" s="28">
        <f t="shared" si="4"/>
        <v>5375</v>
      </c>
    </row>
    <row r="78" spans="1:21" s="17" customFormat="1" x14ac:dyDescent="0.25">
      <c r="A78" s="26"/>
      <c r="B78" s="19" t="s">
        <v>1079</v>
      </c>
      <c r="C78" s="19" t="s">
        <v>65</v>
      </c>
      <c r="D78" s="20" t="s">
        <v>74</v>
      </c>
      <c r="E78" s="21" t="s">
        <v>1355</v>
      </c>
      <c r="F78" s="19">
        <v>20000</v>
      </c>
      <c r="G78" s="18">
        <v>800</v>
      </c>
      <c r="H78" s="18" t="s">
        <v>29</v>
      </c>
      <c r="I78" s="18" t="s">
        <v>30</v>
      </c>
      <c r="J78" s="23">
        <v>45065</v>
      </c>
      <c r="K78" s="18" t="s">
        <v>947</v>
      </c>
      <c r="L78" s="19" t="s">
        <v>948</v>
      </c>
      <c r="M78" s="19" t="s">
        <v>949</v>
      </c>
      <c r="N78" s="26"/>
      <c r="O78" s="26">
        <v>20000</v>
      </c>
      <c r="P78" s="26"/>
      <c r="Q78" s="26"/>
      <c r="R78" s="26"/>
      <c r="S78" s="27">
        <v>45000</v>
      </c>
      <c r="T78" s="28">
        <f>F78/1000*S78</f>
        <v>900000</v>
      </c>
    </row>
    <row r="79" spans="1:21" s="17" customFormat="1" ht="14.25" customHeight="1" x14ac:dyDescent="0.25">
      <c r="A79" s="25"/>
      <c r="B79" s="19" t="s">
        <v>1074</v>
      </c>
      <c r="C79" s="19" t="s">
        <v>57</v>
      </c>
      <c r="D79" s="20" t="s">
        <v>282</v>
      </c>
      <c r="E79" s="21" t="s">
        <v>540</v>
      </c>
      <c r="F79" s="19">
        <v>7030</v>
      </c>
      <c r="G79" s="18">
        <v>37</v>
      </c>
      <c r="H79" s="18" t="s">
        <v>95</v>
      </c>
      <c r="I79" s="18" t="s">
        <v>30</v>
      </c>
      <c r="J79" s="23">
        <v>45068</v>
      </c>
      <c r="K79" s="19" t="s">
        <v>1356</v>
      </c>
      <c r="L79" s="26" t="s">
        <v>1357</v>
      </c>
      <c r="M79" s="26" t="s">
        <v>1358</v>
      </c>
      <c r="N79" s="26"/>
      <c r="O79" s="26"/>
      <c r="P79" s="26"/>
      <c r="Q79" s="26">
        <v>7030</v>
      </c>
      <c r="R79" s="26" t="s">
        <v>34</v>
      </c>
      <c r="S79" s="27">
        <v>115000</v>
      </c>
      <c r="T79" s="28">
        <f t="shared" ref="T79:T105" si="5">S79*(F79/1000)</f>
        <v>808450</v>
      </c>
    </row>
    <row r="80" spans="1:21" s="17" customFormat="1" ht="14.25" customHeight="1" x14ac:dyDescent="0.25">
      <c r="A80" s="25"/>
      <c r="B80" s="19" t="s">
        <v>1074</v>
      </c>
      <c r="C80" s="19" t="s">
        <v>57</v>
      </c>
      <c r="D80" s="20" t="s">
        <v>282</v>
      </c>
      <c r="E80" s="21" t="s">
        <v>1359</v>
      </c>
      <c r="F80" s="19">
        <v>8170</v>
      </c>
      <c r="G80" s="18">
        <v>43</v>
      </c>
      <c r="H80" s="18" t="s">
        <v>95</v>
      </c>
      <c r="I80" s="18" t="s">
        <v>30</v>
      </c>
      <c r="J80" s="23">
        <v>45068</v>
      </c>
      <c r="K80" s="19" t="s">
        <v>1356</v>
      </c>
      <c r="L80" s="26"/>
      <c r="M80" s="26"/>
      <c r="N80" s="26"/>
      <c r="O80" s="26"/>
      <c r="P80" s="26"/>
      <c r="Q80" s="26">
        <v>8170</v>
      </c>
      <c r="R80" s="26" t="s">
        <v>34</v>
      </c>
      <c r="S80" s="27">
        <v>115000</v>
      </c>
      <c r="T80" s="28">
        <f t="shared" si="5"/>
        <v>939550</v>
      </c>
    </row>
    <row r="81" spans="1:21" s="17" customFormat="1" x14ac:dyDescent="0.25">
      <c r="A81" s="26"/>
      <c r="B81" s="19" t="s">
        <v>1168</v>
      </c>
      <c r="C81" s="19" t="s">
        <v>57</v>
      </c>
      <c r="D81" s="18" t="s">
        <v>525</v>
      </c>
      <c r="E81" s="21" t="s">
        <v>1321</v>
      </c>
      <c r="F81" s="19">
        <v>1200</v>
      </c>
      <c r="G81" s="18">
        <v>48</v>
      </c>
      <c r="H81" s="18" t="s">
        <v>95</v>
      </c>
      <c r="I81" s="18" t="s">
        <v>30</v>
      </c>
      <c r="J81" s="23">
        <v>45068</v>
      </c>
      <c r="K81" s="18" t="s">
        <v>1356</v>
      </c>
      <c r="L81" s="26" t="s">
        <v>1357</v>
      </c>
      <c r="M81" s="26" t="s">
        <v>1358</v>
      </c>
      <c r="N81" s="26"/>
      <c r="O81" s="26"/>
      <c r="P81" s="26"/>
      <c r="Q81" s="26">
        <v>1200</v>
      </c>
      <c r="R81" s="26" t="s">
        <v>34</v>
      </c>
      <c r="S81" s="27">
        <v>220000</v>
      </c>
      <c r="T81" s="28">
        <f t="shared" si="5"/>
        <v>264000</v>
      </c>
      <c r="U81" s="26"/>
    </row>
    <row r="82" spans="1:21" s="17" customFormat="1" ht="14.25" customHeight="1" x14ac:dyDescent="0.25">
      <c r="A82" s="25"/>
      <c r="B82" s="19" t="s">
        <v>1074</v>
      </c>
      <c r="C82" s="19" t="s">
        <v>57</v>
      </c>
      <c r="D82" s="20" t="s">
        <v>282</v>
      </c>
      <c r="E82" s="21" t="s">
        <v>1359</v>
      </c>
      <c r="F82" s="19">
        <v>380</v>
      </c>
      <c r="G82" s="18">
        <v>2</v>
      </c>
      <c r="H82" s="18" t="s">
        <v>95</v>
      </c>
      <c r="I82" s="18" t="s">
        <v>30</v>
      </c>
      <c r="J82" s="23">
        <v>45068</v>
      </c>
      <c r="K82" s="19" t="s">
        <v>1360</v>
      </c>
      <c r="L82" s="26" t="s">
        <v>1361</v>
      </c>
      <c r="M82" s="26" t="s">
        <v>1362</v>
      </c>
      <c r="N82" s="26"/>
      <c r="O82" s="26"/>
      <c r="P82" s="26"/>
      <c r="Q82" s="26">
        <v>380</v>
      </c>
      <c r="R82" s="26" t="s">
        <v>34</v>
      </c>
      <c r="S82" s="27">
        <v>115000</v>
      </c>
      <c r="T82" s="28">
        <f t="shared" si="5"/>
        <v>43700</v>
      </c>
    </row>
    <row r="83" spans="1:21" s="17" customFormat="1" ht="14.25" customHeight="1" x14ac:dyDescent="0.25">
      <c r="A83" s="25"/>
      <c r="B83" s="19" t="s">
        <v>1074</v>
      </c>
      <c r="C83" s="19" t="s">
        <v>57</v>
      </c>
      <c r="D83" s="20" t="s">
        <v>282</v>
      </c>
      <c r="E83" s="21" t="s">
        <v>1065</v>
      </c>
      <c r="F83" s="19">
        <v>8550</v>
      </c>
      <c r="G83" s="18">
        <v>45</v>
      </c>
      <c r="H83" s="18" t="s">
        <v>95</v>
      </c>
      <c r="I83" s="18" t="s">
        <v>30</v>
      </c>
      <c r="J83" s="23">
        <v>45068</v>
      </c>
      <c r="K83" s="19" t="s">
        <v>1360</v>
      </c>
      <c r="L83" s="26"/>
      <c r="M83" s="26"/>
      <c r="N83" s="26"/>
      <c r="O83" s="26"/>
      <c r="P83" s="26"/>
      <c r="Q83" s="26">
        <v>8550</v>
      </c>
      <c r="R83" s="26" t="s">
        <v>34</v>
      </c>
      <c r="S83" s="27">
        <v>115000</v>
      </c>
      <c r="T83" s="28">
        <f t="shared" si="5"/>
        <v>983250.00000000012</v>
      </c>
    </row>
    <row r="84" spans="1:21" s="17" customFormat="1" ht="14.25" customHeight="1" x14ac:dyDescent="0.25">
      <c r="A84" s="25"/>
      <c r="B84" s="19" t="s">
        <v>1074</v>
      </c>
      <c r="C84" s="19" t="s">
        <v>57</v>
      </c>
      <c r="D84" s="20" t="s">
        <v>282</v>
      </c>
      <c r="E84" s="21" t="s">
        <v>1363</v>
      </c>
      <c r="F84" s="19">
        <v>6270</v>
      </c>
      <c r="G84" s="18">
        <v>33</v>
      </c>
      <c r="H84" s="18" t="s">
        <v>95</v>
      </c>
      <c r="I84" s="18" t="s">
        <v>30</v>
      </c>
      <c r="J84" s="23">
        <v>45068</v>
      </c>
      <c r="K84" s="19" t="s">
        <v>1360</v>
      </c>
      <c r="L84" s="26"/>
      <c r="M84" s="26"/>
      <c r="N84" s="26"/>
      <c r="O84" s="26"/>
      <c r="P84" s="26"/>
      <c r="Q84" s="26">
        <v>6270</v>
      </c>
      <c r="R84" s="26" t="s">
        <v>34</v>
      </c>
      <c r="S84" s="27">
        <v>115000</v>
      </c>
      <c r="T84" s="28">
        <f t="shared" si="5"/>
        <v>721050</v>
      </c>
    </row>
    <row r="85" spans="1:21" s="17" customFormat="1" x14ac:dyDescent="0.25">
      <c r="A85" s="26"/>
      <c r="B85" s="19" t="s">
        <v>1168</v>
      </c>
      <c r="C85" s="19" t="s">
        <v>57</v>
      </c>
      <c r="D85" s="18" t="s">
        <v>525</v>
      </c>
      <c r="E85" s="21" t="s">
        <v>1321</v>
      </c>
      <c r="F85" s="19">
        <v>1200</v>
      </c>
      <c r="G85" s="18">
        <v>48</v>
      </c>
      <c r="H85" s="18" t="s">
        <v>95</v>
      </c>
      <c r="I85" s="18" t="s">
        <v>30</v>
      </c>
      <c r="J85" s="23">
        <v>45068</v>
      </c>
      <c r="K85" s="18" t="s">
        <v>1360</v>
      </c>
      <c r="L85" s="26" t="s">
        <v>1361</v>
      </c>
      <c r="M85" s="26" t="s">
        <v>1362</v>
      </c>
      <c r="N85" s="26"/>
      <c r="O85" s="26"/>
      <c r="P85" s="26"/>
      <c r="Q85" s="26">
        <v>1200</v>
      </c>
      <c r="R85" s="26" t="s">
        <v>34</v>
      </c>
      <c r="S85" s="27">
        <v>220000</v>
      </c>
      <c r="T85" s="28">
        <f t="shared" si="5"/>
        <v>264000</v>
      </c>
      <c r="U85" s="26"/>
    </row>
    <row r="86" spans="1:21" s="17" customFormat="1" x14ac:dyDescent="0.25">
      <c r="A86" s="25"/>
      <c r="B86" s="19" t="s">
        <v>1364</v>
      </c>
      <c r="C86" s="19" t="s">
        <v>57</v>
      </c>
      <c r="D86" s="20" t="s">
        <v>1088</v>
      </c>
      <c r="E86" s="21" t="s">
        <v>1189</v>
      </c>
      <c r="F86" s="19">
        <v>18144</v>
      </c>
      <c r="G86" s="18">
        <v>800</v>
      </c>
      <c r="H86" s="18" t="s">
        <v>129</v>
      </c>
      <c r="I86" s="18" t="s">
        <v>30</v>
      </c>
      <c r="J86" s="23">
        <v>45068</v>
      </c>
      <c r="K86" s="19" t="s">
        <v>699</v>
      </c>
      <c r="L86" s="26" t="s">
        <v>455</v>
      </c>
      <c r="M86" s="26" t="s">
        <v>456</v>
      </c>
      <c r="N86" s="26"/>
      <c r="O86" s="26"/>
      <c r="P86" s="26">
        <v>18144</v>
      </c>
      <c r="Q86" s="26"/>
      <c r="R86" s="26" t="s">
        <v>34</v>
      </c>
      <c r="S86" s="27">
        <v>245000</v>
      </c>
      <c r="T86" s="28">
        <f t="shared" si="5"/>
        <v>4445280</v>
      </c>
    </row>
    <row r="87" spans="1:21" s="17" customFormat="1" x14ac:dyDescent="0.25">
      <c r="A87" s="26"/>
      <c r="B87" s="19" t="s">
        <v>1262</v>
      </c>
      <c r="C87" s="19" t="s">
        <v>893</v>
      </c>
      <c r="D87" s="20" t="s">
        <v>421</v>
      </c>
      <c r="E87" s="21" t="s">
        <v>1266</v>
      </c>
      <c r="F87" s="19">
        <v>11200</v>
      </c>
      <c r="G87" s="18">
        <v>56</v>
      </c>
      <c r="H87" s="18" t="s">
        <v>423</v>
      </c>
      <c r="I87" s="18" t="s">
        <v>30</v>
      </c>
      <c r="J87" s="23">
        <v>45068</v>
      </c>
      <c r="K87" s="18" t="s">
        <v>1365</v>
      </c>
      <c r="L87" s="19" t="s">
        <v>1366</v>
      </c>
      <c r="M87" s="19" t="s">
        <v>1367</v>
      </c>
      <c r="N87" s="26"/>
      <c r="O87" s="26"/>
      <c r="P87" s="26"/>
      <c r="Q87" s="26">
        <v>11200</v>
      </c>
      <c r="R87" s="26" t="s">
        <v>34</v>
      </c>
      <c r="S87" s="27">
        <v>170000</v>
      </c>
      <c r="T87" s="28">
        <f t="shared" ref="T87:T88" si="6">F87/1000*S87</f>
        <v>1903999.9999999998</v>
      </c>
    </row>
    <row r="88" spans="1:21" s="17" customFormat="1" x14ac:dyDescent="0.25">
      <c r="A88" s="26"/>
      <c r="B88" s="19" t="s">
        <v>1262</v>
      </c>
      <c r="C88" s="19" t="s">
        <v>893</v>
      </c>
      <c r="D88" s="20" t="s">
        <v>421</v>
      </c>
      <c r="E88" s="21" t="s">
        <v>1341</v>
      </c>
      <c r="F88" s="19">
        <v>6400</v>
      </c>
      <c r="G88" s="18">
        <v>32</v>
      </c>
      <c r="H88" s="18" t="s">
        <v>423</v>
      </c>
      <c r="I88" s="18" t="s">
        <v>30</v>
      </c>
      <c r="J88" s="23">
        <v>45068</v>
      </c>
      <c r="K88" s="18" t="s">
        <v>1365</v>
      </c>
      <c r="L88" s="19"/>
      <c r="M88" s="19"/>
      <c r="N88" s="26"/>
      <c r="O88" s="26"/>
      <c r="P88" s="26"/>
      <c r="Q88" s="26">
        <v>6400</v>
      </c>
      <c r="R88" s="26" t="s">
        <v>34</v>
      </c>
      <c r="S88" s="27">
        <v>170000</v>
      </c>
      <c r="T88" s="28">
        <f t="shared" si="6"/>
        <v>1088000</v>
      </c>
    </row>
    <row r="89" spans="1:21" s="17" customFormat="1" x14ac:dyDescent="0.25">
      <c r="A89" s="25"/>
      <c r="B89" s="19" t="s">
        <v>133</v>
      </c>
      <c r="C89" s="19" t="s">
        <v>139</v>
      </c>
      <c r="D89" s="20" t="s">
        <v>140</v>
      </c>
      <c r="E89" s="21" t="s">
        <v>1368</v>
      </c>
      <c r="F89" s="19">
        <v>3420</v>
      </c>
      <c r="G89" s="18">
        <v>19</v>
      </c>
      <c r="H89" s="18" t="s">
        <v>29</v>
      </c>
      <c r="I89" s="18" t="s">
        <v>30</v>
      </c>
      <c r="J89" s="23">
        <v>45070</v>
      </c>
      <c r="K89" s="19" t="s">
        <v>1369</v>
      </c>
      <c r="L89" s="26" t="s">
        <v>1370</v>
      </c>
      <c r="M89" s="26" t="s">
        <v>1371</v>
      </c>
      <c r="N89" s="26"/>
      <c r="O89" s="26"/>
      <c r="P89" s="26"/>
      <c r="Q89" s="26">
        <v>3420</v>
      </c>
      <c r="R89" s="26"/>
      <c r="S89" s="27">
        <v>110000</v>
      </c>
      <c r="T89" s="28">
        <f t="shared" ref="T89:T97" si="7">S89*(F89/1000)</f>
        <v>376200</v>
      </c>
    </row>
    <row r="90" spans="1:21" s="17" customFormat="1" x14ac:dyDescent="0.25">
      <c r="A90" s="25"/>
      <c r="B90" s="19" t="s">
        <v>133</v>
      </c>
      <c r="C90" s="19" t="s">
        <v>139</v>
      </c>
      <c r="D90" s="20" t="s">
        <v>1372</v>
      </c>
      <c r="E90" s="21" t="s">
        <v>1359</v>
      </c>
      <c r="F90" s="19">
        <v>1260</v>
      </c>
      <c r="G90" s="18">
        <v>7</v>
      </c>
      <c r="H90" s="18" t="s">
        <v>29</v>
      </c>
      <c r="I90" s="18" t="s">
        <v>30</v>
      </c>
      <c r="J90" s="23">
        <v>45070</v>
      </c>
      <c r="K90" s="19" t="s">
        <v>1369</v>
      </c>
      <c r="L90" s="26"/>
      <c r="M90" s="26"/>
      <c r="N90" s="26"/>
      <c r="O90" s="26"/>
      <c r="P90" s="26"/>
      <c r="Q90" s="26">
        <v>1260</v>
      </c>
      <c r="R90" s="26"/>
      <c r="S90" s="27">
        <v>300000</v>
      </c>
      <c r="T90" s="28">
        <f t="shared" si="7"/>
        <v>378000</v>
      </c>
    </row>
    <row r="91" spans="1:21" s="38" customFormat="1" ht="14.25" customHeight="1" x14ac:dyDescent="0.25">
      <c r="A91" s="41"/>
      <c r="B91" s="22" t="s">
        <v>1074</v>
      </c>
      <c r="C91" s="22" t="s">
        <v>57</v>
      </c>
      <c r="D91" s="20" t="s">
        <v>282</v>
      </c>
      <c r="E91" s="33" t="s">
        <v>1363</v>
      </c>
      <c r="F91" s="22">
        <v>2280</v>
      </c>
      <c r="G91" s="20">
        <v>12</v>
      </c>
      <c r="H91" s="20" t="s">
        <v>95</v>
      </c>
      <c r="I91" s="20" t="s">
        <v>30</v>
      </c>
      <c r="J91" s="39">
        <v>45071</v>
      </c>
      <c r="K91" s="22" t="s">
        <v>733</v>
      </c>
      <c r="L91" s="42" t="s">
        <v>734</v>
      </c>
      <c r="M91" s="42" t="s">
        <v>735</v>
      </c>
      <c r="N91" s="42"/>
      <c r="O91" s="42"/>
      <c r="P91" s="42"/>
      <c r="Q91" s="42">
        <v>2280</v>
      </c>
      <c r="R91" s="42" t="s">
        <v>34</v>
      </c>
      <c r="S91" s="31">
        <v>115000</v>
      </c>
      <c r="T91" s="70">
        <f t="shared" si="7"/>
        <v>262200</v>
      </c>
    </row>
    <row r="92" spans="1:21" s="38" customFormat="1" ht="14.25" customHeight="1" x14ac:dyDescent="0.25">
      <c r="A92" s="41"/>
      <c r="B92" s="22" t="s">
        <v>1074</v>
      </c>
      <c r="C92" s="22" t="s">
        <v>57</v>
      </c>
      <c r="D92" s="20" t="s">
        <v>282</v>
      </c>
      <c r="E92" s="33" t="s">
        <v>1373</v>
      </c>
      <c r="F92" s="22">
        <v>1900</v>
      </c>
      <c r="G92" s="20">
        <v>10</v>
      </c>
      <c r="H92" s="20" t="s">
        <v>95</v>
      </c>
      <c r="I92" s="20" t="s">
        <v>30</v>
      </c>
      <c r="J92" s="39">
        <v>45071</v>
      </c>
      <c r="K92" s="22" t="s">
        <v>733</v>
      </c>
      <c r="L92" s="42"/>
      <c r="M92" s="42"/>
      <c r="N92" s="42"/>
      <c r="O92" s="42"/>
      <c r="P92" s="42"/>
      <c r="Q92" s="42">
        <v>1900</v>
      </c>
      <c r="R92" s="42" t="s">
        <v>34</v>
      </c>
      <c r="S92" s="31">
        <v>115000</v>
      </c>
      <c r="T92" s="70">
        <f t="shared" si="7"/>
        <v>218500</v>
      </c>
    </row>
    <row r="93" spans="1:21" s="38" customFormat="1" ht="14.25" customHeight="1" x14ac:dyDescent="0.25">
      <c r="A93" s="41"/>
      <c r="B93" s="22" t="s">
        <v>1074</v>
      </c>
      <c r="C93" s="22" t="s">
        <v>57</v>
      </c>
      <c r="D93" s="20" t="s">
        <v>282</v>
      </c>
      <c r="E93" s="33" t="s">
        <v>1128</v>
      </c>
      <c r="F93" s="22">
        <v>8740</v>
      </c>
      <c r="G93" s="20">
        <v>46</v>
      </c>
      <c r="H93" s="20" t="s">
        <v>95</v>
      </c>
      <c r="I93" s="20" t="s">
        <v>30</v>
      </c>
      <c r="J93" s="39">
        <v>45071</v>
      </c>
      <c r="K93" s="22" t="s">
        <v>733</v>
      </c>
      <c r="L93" s="42"/>
      <c r="M93" s="42"/>
      <c r="N93" s="42"/>
      <c r="O93" s="42"/>
      <c r="P93" s="42"/>
      <c r="Q93" s="42">
        <v>8740</v>
      </c>
      <c r="R93" s="42" t="s">
        <v>34</v>
      </c>
      <c r="S93" s="31">
        <v>115000</v>
      </c>
      <c r="T93" s="70">
        <f t="shared" si="7"/>
        <v>1005100</v>
      </c>
    </row>
    <row r="94" spans="1:21" s="38" customFormat="1" ht="14.25" customHeight="1" x14ac:dyDescent="0.25">
      <c r="A94" s="41"/>
      <c r="B94" s="22" t="s">
        <v>1074</v>
      </c>
      <c r="C94" s="22" t="s">
        <v>57</v>
      </c>
      <c r="D94" s="20" t="s">
        <v>282</v>
      </c>
      <c r="E94" s="33" t="s">
        <v>1058</v>
      </c>
      <c r="F94" s="22">
        <v>2280</v>
      </c>
      <c r="G94" s="20">
        <v>12</v>
      </c>
      <c r="H94" s="20" t="s">
        <v>95</v>
      </c>
      <c r="I94" s="20" t="s">
        <v>30</v>
      </c>
      <c r="J94" s="39">
        <v>45071</v>
      </c>
      <c r="K94" s="22" t="s">
        <v>733</v>
      </c>
      <c r="L94" s="42"/>
      <c r="M94" s="42"/>
      <c r="N94" s="42"/>
      <c r="O94" s="42"/>
      <c r="P94" s="42"/>
      <c r="Q94" s="42">
        <v>2280</v>
      </c>
      <c r="R94" s="42" t="s">
        <v>34</v>
      </c>
      <c r="S94" s="31">
        <v>115000</v>
      </c>
      <c r="T94" s="70">
        <f t="shared" si="7"/>
        <v>262200</v>
      </c>
    </row>
    <row r="95" spans="1:21" s="17" customFormat="1" ht="15.75" customHeight="1" x14ac:dyDescent="0.25">
      <c r="A95" s="25"/>
      <c r="B95" s="19" t="s">
        <v>1374</v>
      </c>
      <c r="C95" s="19" t="s">
        <v>57</v>
      </c>
      <c r="D95" s="20" t="s">
        <v>186</v>
      </c>
      <c r="E95" s="21" t="s">
        <v>1373</v>
      </c>
      <c r="F95" s="19">
        <v>19845</v>
      </c>
      <c r="G95" s="18">
        <v>875</v>
      </c>
      <c r="H95" s="18" t="s">
        <v>1375</v>
      </c>
      <c r="I95" s="20" t="s">
        <v>30</v>
      </c>
      <c r="J95" s="23">
        <v>45071</v>
      </c>
      <c r="K95" s="19" t="s">
        <v>1376</v>
      </c>
      <c r="L95" s="26" t="s">
        <v>1377</v>
      </c>
      <c r="M95" s="26" t="s">
        <v>1378</v>
      </c>
      <c r="N95" s="26"/>
      <c r="O95" s="26">
        <v>19845</v>
      </c>
      <c r="P95" s="26"/>
      <c r="Q95" s="26"/>
      <c r="R95" s="26" t="s">
        <v>34</v>
      </c>
      <c r="S95" s="27">
        <v>49500</v>
      </c>
      <c r="T95" s="28">
        <f t="shared" si="7"/>
        <v>982327.5</v>
      </c>
    </row>
    <row r="96" spans="1:21" s="17" customFormat="1" x14ac:dyDescent="0.25">
      <c r="A96" s="25" t="s">
        <v>280</v>
      </c>
      <c r="B96" s="19" t="s">
        <v>1143</v>
      </c>
      <c r="C96" s="19" t="s">
        <v>57</v>
      </c>
      <c r="D96" s="20" t="s">
        <v>186</v>
      </c>
      <c r="E96" s="21" t="s">
        <v>1359</v>
      </c>
      <c r="F96" s="19">
        <v>15876</v>
      </c>
      <c r="G96" s="18">
        <v>700</v>
      </c>
      <c r="H96" s="18" t="s">
        <v>188</v>
      </c>
      <c r="I96" s="18" t="s">
        <v>30</v>
      </c>
      <c r="J96" s="23">
        <v>45071</v>
      </c>
      <c r="K96" s="19"/>
      <c r="L96" s="26"/>
      <c r="M96" s="26"/>
      <c r="N96" s="26" t="s">
        <v>1379</v>
      </c>
      <c r="O96" s="26">
        <v>15876</v>
      </c>
      <c r="P96" s="26"/>
      <c r="Q96" s="26"/>
      <c r="R96" s="26"/>
      <c r="S96" s="27">
        <v>49500</v>
      </c>
      <c r="T96" s="28">
        <f t="shared" si="7"/>
        <v>785862</v>
      </c>
    </row>
    <row r="97" spans="1:21" s="17" customFormat="1" x14ac:dyDescent="0.25">
      <c r="A97" s="25" t="s">
        <v>280</v>
      </c>
      <c r="B97" s="19" t="s">
        <v>1143</v>
      </c>
      <c r="C97" s="19" t="s">
        <v>57</v>
      </c>
      <c r="D97" s="20" t="s">
        <v>186</v>
      </c>
      <c r="E97" s="21" t="s">
        <v>1065</v>
      </c>
      <c r="F97" s="19">
        <v>15876</v>
      </c>
      <c r="G97" s="18">
        <v>700</v>
      </c>
      <c r="H97" s="18" t="s">
        <v>188</v>
      </c>
      <c r="I97" s="18" t="s">
        <v>30</v>
      </c>
      <c r="J97" s="23">
        <v>45071</v>
      </c>
      <c r="K97" s="19"/>
      <c r="L97" s="26"/>
      <c r="M97" s="26"/>
      <c r="N97" s="26" t="s">
        <v>1380</v>
      </c>
      <c r="O97" s="26">
        <v>15876</v>
      </c>
      <c r="P97" s="26"/>
      <c r="Q97" s="26"/>
      <c r="R97" s="26"/>
      <c r="S97" s="27">
        <v>49500</v>
      </c>
      <c r="T97" s="28">
        <f t="shared" si="7"/>
        <v>785862</v>
      </c>
    </row>
    <row r="98" spans="1:21" s="17" customFormat="1" ht="15.75" customHeight="1" x14ac:dyDescent="0.25">
      <c r="A98" s="25"/>
      <c r="B98" s="19" t="s">
        <v>1101</v>
      </c>
      <c r="C98" s="19" t="s">
        <v>57</v>
      </c>
      <c r="D98" s="20" t="s">
        <v>58</v>
      </c>
      <c r="E98" s="21" t="s">
        <v>1318</v>
      </c>
      <c r="F98" s="19">
        <v>11907</v>
      </c>
      <c r="G98" s="18">
        <v>525</v>
      </c>
      <c r="H98" s="18" t="s">
        <v>95</v>
      </c>
      <c r="I98" s="18" t="s">
        <v>30</v>
      </c>
      <c r="J98" s="23">
        <v>45072</v>
      </c>
      <c r="K98" s="19" t="s">
        <v>1381</v>
      </c>
      <c r="L98" s="26" t="s">
        <v>1382</v>
      </c>
      <c r="M98" s="26" t="s">
        <v>1383</v>
      </c>
      <c r="N98" s="26"/>
      <c r="O98" s="26">
        <v>11907</v>
      </c>
      <c r="P98" s="26"/>
      <c r="Q98" s="26"/>
      <c r="R98" s="26"/>
      <c r="S98" s="27">
        <v>49500</v>
      </c>
      <c r="T98" s="28">
        <f t="shared" si="5"/>
        <v>589396.5</v>
      </c>
    </row>
    <row r="99" spans="1:21" s="17" customFormat="1" x14ac:dyDescent="0.25">
      <c r="A99" s="26"/>
      <c r="B99" s="19" t="s">
        <v>1168</v>
      </c>
      <c r="C99" s="19" t="s">
        <v>57</v>
      </c>
      <c r="D99" s="18" t="s">
        <v>525</v>
      </c>
      <c r="E99" s="21" t="s">
        <v>1321</v>
      </c>
      <c r="F99" s="19">
        <v>200</v>
      </c>
      <c r="G99" s="18">
        <v>8</v>
      </c>
      <c r="H99" s="18" t="s">
        <v>95</v>
      </c>
      <c r="I99" s="18" t="s">
        <v>30</v>
      </c>
      <c r="J99" s="23">
        <v>45072</v>
      </c>
      <c r="K99" s="18" t="s">
        <v>1381</v>
      </c>
      <c r="L99" s="26"/>
      <c r="M99" s="26"/>
      <c r="N99" s="26"/>
      <c r="O99" s="26"/>
      <c r="P99" s="26"/>
      <c r="Q99" s="26">
        <v>200</v>
      </c>
      <c r="R99" s="26"/>
      <c r="S99" s="27">
        <v>220000</v>
      </c>
      <c r="T99" s="28">
        <f t="shared" si="5"/>
        <v>44000</v>
      </c>
      <c r="U99" s="26"/>
    </row>
    <row r="100" spans="1:21" s="17" customFormat="1" ht="14.25" customHeight="1" x14ac:dyDescent="0.25">
      <c r="A100" s="25"/>
      <c r="B100" s="19" t="s">
        <v>1074</v>
      </c>
      <c r="C100" s="19" t="s">
        <v>57</v>
      </c>
      <c r="D100" s="20" t="s">
        <v>191</v>
      </c>
      <c r="E100" s="21" t="s">
        <v>1063</v>
      </c>
      <c r="F100" s="19">
        <v>2400</v>
      </c>
      <c r="G100" s="18">
        <v>96</v>
      </c>
      <c r="H100" s="18" t="s">
        <v>95</v>
      </c>
      <c r="I100" s="18" t="s">
        <v>30</v>
      </c>
      <c r="J100" s="23">
        <v>45072</v>
      </c>
      <c r="K100" s="19" t="s">
        <v>1381</v>
      </c>
      <c r="L100" s="26"/>
      <c r="M100" s="26"/>
      <c r="N100" s="26"/>
      <c r="O100" s="26"/>
      <c r="P100" s="26"/>
      <c r="Q100" s="26">
        <v>2400</v>
      </c>
      <c r="R100" s="26"/>
      <c r="S100" s="27">
        <v>165000</v>
      </c>
      <c r="T100" s="28">
        <f t="shared" si="5"/>
        <v>396000</v>
      </c>
    </row>
    <row r="101" spans="1:21" s="17" customFormat="1" ht="14.25" customHeight="1" x14ac:dyDescent="0.25">
      <c r="A101" s="25"/>
      <c r="B101" s="19" t="s">
        <v>1074</v>
      </c>
      <c r="C101" s="19" t="s">
        <v>57</v>
      </c>
      <c r="D101" s="20" t="s">
        <v>282</v>
      </c>
      <c r="E101" s="21" t="s">
        <v>1058</v>
      </c>
      <c r="F101" s="19">
        <v>3040</v>
      </c>
      <c r="G101" s="18">
        <v>16</v>
      </c>
      <c r="H101" s="18" t="s">
        <v>95</v>
      </c>
      <c r="I101" s="18" t="s">
        <v>30</v>
      </c>
      <c r="J101" s="23">
        <v>45072</v>
      </c>
      <c r="K101" s="19" t="s">
        <v>1381</v>
      </c>
      <c r="L101" s="26"/>
      <c r="M101" s="26"/>
      <c r="N101" s="26"/>
      <c r="O101" s="26"/>
      <c r="P101" s="26"/>
      <c r="Q101" s="26">
        <v>3040</v>
      </c>
      <c r="R101" s="26"/>
      <c r="S101" s="27">
        <v>115000</v>
      </c>
      <c r="T101" s="28">
        <f t="shared" si="5"/>
        <v>349600</v>
      </c>
    </row>
    <row r="102" spans="1:21" s="17" customFormat="1" x14ac:dyDescent="0.25">
      <c r="A102" s="26"/>
      <c r="B102" s="19" t="s">
        <v>297</v>
      </c>
      <c r="C102" s="19" t="s">
        <v>779</v>
      </c>
      <c r="D102" s="20" t="s">
        <v>86</v>
      </c>
      <c r="E102" s="21" t="s">
        <v>1058</v>
      </c>
      <c r="F102" s="19">
        <v>20000</v>
      </c>
      <c r="G102" s="18">
        <v>800</v>
      </c>
      <c r="H102" s="18" t="s">
        <v>338</v>
      </c>
      <c r="I102" s="18" t="s">
        <v>30</v>
      </c>
      <c r="J102" s="23">
        <v>45072</v>
      </c>
      <c r="K102" s="19" t="s">
        <v>1384</v>
      </c>
      <c r="L102" s="19" t="s">
        <v>1385</v>
      </c>
      <c r="M102" s="19" t="s">
        <v>1386</v>
      </c>
      <c r="N102" s="26"/>
      <c r="O102" s="26">
        <v>20000</v>
      </c>
      <c r="P102" s="26"/>
      <c r="Q102" s="26"/>
      <c r="R102" s="26" t="s">
        <v>34</v>
      </c>
      <c r="S102" s="27">
        <v>41000</v>
      </c>
      <c r="T102" s="28">
        <f t="shared" si="5"/>
        <v>820000</v>
      </c>
    </row>
    <row r="103" spans="1:21" s="17" customFormat="1" ht="15.75" customHeight="1" x14ac:dyDescent="0.25">
      <c r="A103" s="25"/>
      <c r="B103" s="19" t="s">
        <v>1374</v>
      </c>
      <c r="C103" s="19" t="s">
        <v>57</v>
      </c>
      <c r="D103" s="20" t="s">
        <v>186</v>
      </c>
      <c r="E103" s="21" t="s">
        <v>1373</v>
      </c>
      <c r="F103" s="19">
        <v>6237</v>
      </c>
      <c r="G103" s="18">
        <v>275</v>
      </c>
      <c r="H103" s="18" t="s">
        <v>1375</v>
      </c>
      <c r="I103" s="18" t="s">
        <v>30</v>
      </c>
      <c r="J103" s="23">
        <v>45075</v>
      </c>
      <c r="K103" s="19" t="s">
        <v>1387</v>
      </c>
      <c r="L103" s="26" t="s">
        <v>1388</v>
      </c>
      <c r="M103" s="26" t="s">
        <v>1389</v>
      </c>
      <c r="N103" s="26"/>
      <c r="O103" s="26">
        <v>6237</v>
      </c>
      <c r="P103" s="26"/>
      <c r="Q103" s="26"/>
      <c r="R103" s="26" t="s">
        <v>34</v>
      </c>
      <c r="S103" s="27">
        <v>49500</v>
      </c>
      <c r="T103" s="28">
        <f t="shared" si="5"/>
        <v>308731.5</v>
      </c>
    </row>
    <row r="104" spans="1:21" s="17" customFormat="1" ht="14.25" customHeight="1" x14ac:dyDescent="0.25">
      <c r="A104" s="25"/>
      <c r="B104" s="19" t="s">
        <v>1390</v>
      </c>
      <c r="C104" s="19" t="s">
        <v>57</v>
      </c>
      <c r="D104" s="20" t="s">
        <v>191</v>
      </c>
      <c r="E104" s="21" t="s">
        <v>1391</v>
      </c>
      <c r="F104" s="19">
        <v>5000</v>
      </c>
      <c r="G104" s="18">
        <v>200</v>
      </c>
      <c r="H104" s="18" t="s">
        <v>1375</v>
      </c>
      <c r="I104" s="18" t="s">
        <v>30</v>
      </c>
      <c r="J104" s="23">
        <v>45075</v>
      </c>
      <c r="K104" s="19" t="s">
        <v>1387</v>
      </c>
      <c r="L104" s="26"/>
      <c r="M104" s="26"/>
      <c r="N104" s="26"/>
      <c r="O104" s="26"/>
      <c r="P104" s="26"/>
      <c r="Q104" s="26">
        <v>5000</v>
      </c>
      <c r="R104" s="26" t="s">
        <v>34</v>
      </c>
      <c r="S104" s="27">
        <v>165000</v>
      </c>
      <c r="T104" s="28">
        <f t="shared" si="5"/>
        <v>825000</v>
      </c>
    </row>
    <row r="105" spans="1:21" s="17" customFormat="1" ht="14.25" customHeight="1" x14ac:dyDescent="0.25">
      <c r="A105" s="25"/>
      <c r="B105" s="19" t="s">
        <v>1390</v>
      </c>
      <c r="C105" s="19" t="s">
        <v>57</v>
      </c>
      <c r="D105" s="20" t="s">
        <v>1392</v>
      </c>
      <c r="E105" s="21" t="s">
        <v>1075</v>
      </c>
      <c r="F105" s="19">
        <v>7500</v>
      </c>
      <c r="G105" s="18">
        <v>300</v>
      </c>
      <c r="H105" s="18" t="s">
        <v>1375</v>
      </c>
      <c r="I105" s="18" t="s">
        <v>30</v>
      </c>
      <c r="J105" s="23">
        <v>45075</v>
      </c>
      <c r="K105" s="19" t="s">
        <v>1387</v>
      </c>
      <c r="L105" s="26"/>
      <c r="M105" s="26"/>
      <c r="N105" s="26"/>
      <c r="O105" s="26"/>
      <c r="P105" s="26">
        <v>7500</v>
      </c>
      <c r="Q105" s="26"/>
      <c r="R105" s="26" t="s">
        <v>34</v>
      </c>
      <c r="S105" s="27">
        <v>125000</v>
      </c>
      <c r="T105" s="28">
        <f t="shared" si="5"/>
        <v>937500</v>
      </c>
    </row>
    <row r="106" spans="1:21" s="17" customFormat="1" x14ac:dyDescent="0.25">
      <c r="A106" s="26"/>
      <c r="B106" s="19">
        <v>42544</v>
      </c>
      <c r="C106" s="19" t="s">
        <v>175</v>
      </c>
      <c r="D106" s="20" t="s">
        <v>176</v>
      </c>
      <c r="E106" s="21" t="s">
        <v>1393</v>
      </c>
      <c r="F106" s="19">
        <v>19862.5</v>
      </c>
      <c r="G106" s="18">
        <v>875</v>
      </c>
      <c r="H106" s="18" t="s">
        <v>129</v>
      </c>
      <c r="I106" s="18" t="s">
        <v>30</v>
      </c>
      <c r="J106" s="23">
        <v>45075</v>
      </c>
      <c r="K106" s="18" t="s">
        <v>1394</v>
      </c>
      <c r="L106" s="26" t="s">
        <v>1395</v>
      </c>
      <c r="M106" s="26" t="s">
        <v>1396</v>
      </c>
      <c r="N106" s="26"/>
      <c r="O106" s="26">
        <v>19862.5</v>
      </c>
      <c r="P106" s="26"/>
      <c r="Q106" s="26"/>
      <c r="R106" s="26" t="s">
        <v>34</v>
      </c>
      <c r="S106" s="27">
        <v>42500</v>
      </c>
      <c r="T106" s="28">
        <f t="shared" ref="T106:T115" si="8">S106*(F106/1000)</f>
        <v>844156.25</v>
      </c>
    </row>
    <row r="107" spans="1:21" s="17" customFormat="1" x14ac:dyDescent="0.25">
      <c r="A107" s="26"/>
      <c r="B107" s="19" t="s">
        <v>476</v>
      </c>
      <c r="C107" s="19" t="s">
        <v>863</v>
      </c>
      <c r="D107" s="18" t="s">
        <v>864</v>
      </c>
      <c r="E107" s="21" t="s">
        <v>1266</v>
      </c>
      <c r="F107" s="19">
        <v>5670</v>
      </c>
      <c r="G107" s="18">
        <v>315</v>
      </c>
      <c r="H107" s="18" t="s">
        <v>29</v>
      </c>
      <c r="I107" s="18" t="s">
        <v>30</v>
      </c>
      <c r="J107" s="23">
        <v>45075</v>
      </c>
      <c r="K107" s="18" t="s">
        <v>1397</v>
      </c>
      <c r="L107" s="26" t="s">
        <v>1398</v>
      </c>
      <c r="M107" s="26" t="s">
        <v>1399</v>
      </c>
      <c r="N107" s="26"/>
      <c r="O107" s="26"/>
      <c r="P107" s="26">
        <v>5670</v>
      </c>
      <c r="Q107" s="26"/>
      <c r="R107" s="26"/>
      <c r="S107" s="27">
        <v>280000</v>
      </c>
      <c r="T107" s="28">
        <f t="shared" si="8"/>
        <v>1587600</v>
      </c>
      <c r="U107" s="26"/>
    </row>
    <row r="108" spans="1:21" s="17" customFormat="1" x14ac:dyDescent="0.25">
      <c r="A108" s="26"/>
      <c r="B108" s="19" t="s">
        <v>476</v>
      </c>
      <c r="C108" s="19" t="s">
        <v>863</v>
      </c>
      <c r="D108" s="18" t="s">
        <v>864</v>
      </c>
      <c r="E108" s="21" t="s">
        <v>1065</v>
      </c>
      <c r="F108" s="19">
        <v>4338</v>
      </c>
      <c r="G108" s="18">
        <v>241</v>
      </c>
      <c r="H108" s="18" t="s">
        <v>29</v>
      </c>
      <c r="I108" s="18" t="s">
        <v>30</v>
      </c>
      <c r="J108" s="23">
        <v>45075</v>
      </c>
      <c r="K108" s="18" t="s">
        <v>1397</v>
      </c>
      <c r="L108" s="26"/>
      <c r="M108" s="26"/>
      <c r="N108" s="26"/>
      <c r="O108" s="26"/>
      <c r="P108" s="26">
        <v>4338</v>
      </c>
      <c r="Q108" s="26"/>
      <c r="R108" s="26"/>
      <c r="S108" s="27">
        <v>280000</v>
      </c>
      <c r="T108" s="28">
        <f t="shared" si="8"/>
        <v>1214640</v>
      </c>
      <c r="U108" s="26"/>
    </row>
    <row r="109" spans="1:21" s="17" customFormat="1" x14ac:dyDescent="0.25">
      <c r="A109" s="26"/>
      <c r="B109" s="19">
        <v>42544</v>
      </c>
      <c r="C109" s="19" t="s">
        <v>175</v>
      </c>
      <c r="D109" s="20" t="s">
        <v>176</v>
      </c>
      <c r="E109" s="21" t="s">
        <v>1063</v>
      </c>
      <c r="F109" s="19">
        <v>19862.5</v>
      </c>
      <c r="G109" s="18">
        <v>875</v>
      </c>
      <c r="H109" s="18" t="s">
        <v>129</v>
      </c>
      <c r="I109" s="18" t="s">
        <v>30</v>
      </c>
      <c r="J109" s="23">
        <v>45076</v>
      </c>
      <c r="K109" s="18" t="s">
        <v>828</v>
      </c>
      <c r="L109" s="26" t="s">
        <v>637</v>
      </c>
      <c r="M109" s="26" t="s">
        <v>329</v>
      </c>
      <c r="N109" s="26"/>
      <c r="O109" s="26">
        <v>19862.5</v>
      </c>
      <c r="P109" s="26"/>
      <c r="Q109" s="26"/>
      <c r="R109" s="26"/>
      <c r="S109" s="27">
        <v>42500</v>
      </c>
      <c r="T109" s="28">
        <f t="shared" si="8"/>
        <v>844156.25</v>
      </c>
    </row>
    <row r="110" spans="1:21" s="17" customFormat="1" ht="15.75" customHeight="1" x14ac:dyDescent="0.25">
      <c r="A110" s="25"/>
      <c r="B110" s="19" t="s">
        <v>1087</v>
      </c>
      <c r="C110" s="19" t="s">
        <v>57</v>
      </c>
      <c r="D110" s="20" t="s">
        <v>58</v>
      </c>
      <c r="E110" s="21" t="s">
        <v>944</v>
      </c>
      <c r="F110" s="19">
        <v>19845</v>
      </c>
      <c r="G110" s="18">
        <v>875</v>
      </c>
      <c r="H110" s="18" t="s">
        <v>129</v>
      </c>
      <c r="I110" s="18" t="s">
        <v>30</v>
      </c>
      <c r="J110" s="23">
        <v>45077</v>
      </c>
      <c r="K110" s="19" t="s">
        <v>1400</v>
      </c>
      <c r="L110" s="26" t="s">
        <v>1401</v>
      </c>
      <c r="M110" s="26" t="s">
        <v>1402</v>
      </c>
      <c r="N110" s="26"/>
      <c r="O110" s="26">
        <v>19845</v>
      </c>
      <c r="P110" s="26"/>
      <c r="Q110" s="26"/>
      <c r="R110" s="26" t="s">
        <v>34</v>
      </c>
      <c r="S110" s="27">
        <v>49500</v>
      </c>
      <c r="T110" s="28">
        <f t="shared" si="8"/>
        <v>982327.5</v>
      </c>
    </row>
    <row r="111" spans="1:21" s="17" customFormat="1" ht="14.25" customHeight="1" x14ac:dyDescent="0.25">
      <c r="A111" s="25"/>
      <c r="B111" s="19" t="s">
        <v>1074</v>
      </c>
      <c r="C111" s="19" t="s">
        <v>57</v>
      </c>
      <c r="D111" s="20" t="s">
        <v>282</v>
      </c>
      <c r="E111" s="21" t="s">
        <v>1058</v>
      </c>
      <c r="F111" s="19">
        <v>3230</v>
      </c>
      <c r="G111" s="18">
        <v>17</v>
      </c>
      <c r="H111" s="18" t="s">
        <v>95</v>
      </c>
      <c r="I111" s="18" t="s">
        <v>30</v>
      </c>
      <c r="J111" s="23">
        <v>45077</v>
      </c>
      <c r="K111" s="19" t="s">
        <v>1403</v>
      </c>
      <c r="L111" s="26" t="s">
        <v>1404</v>
      </c>
      <c r="M111" s="26" t="s">
        <v>1405</v>
      </c>
      <c r="N111" s="26"/>
      <c r="O111" s="26"/>
      <c r="P111" s="26"/>
      <c r="Q111" s="26">
        <v>3230</v>
      </c>
      <c r="R111" s="26" t="s">
        <v>34</v>
      </c>
      <c r="S111" s="27">
        <v>115000</v>
      </c>
      <c r="T111" s="28">
        <f t="shared" si="8"/>
        <v>371450</v>
      </c>
    </row>
    <row r="112" spans="1:21" s="17" customFormat="1" ht="14.25" customHeight="1" x14ac:dyDescent="0.25">
      <c r="A112" s="25"/>
      <c r="B112" s="19" t="s">
        <v>1074</v>
      </c>
      <c r="C112" s="19" t="s">
        <v>57</v>
      </c>
      <c r="D112" s="20" t="s">
        <v>282</v>
      </c>
      <c r="E112" s="21" t="s">
        <v>1066</v>
      </c>
      <c r="F112" s="19">
        <v>8550</v>
      </c>
      <c r="G112" s="18">
        <v>45</v>
      </c>
      <c r="H112" s="18" t="s">
        <v>95</v>
      </c>
      <c r="I112" s="18" t="s">
        <v>30</v>
      </c>
      <c r="J112" s="23">
        <v>45077</v>
      </c>
      <c r="K112" s="19" t="s">
        <v>1403</v>
      </c>
      <c r="L112" s="26"/>
      <c r="M112" s="26"/>
      <c r="N112" s="26"/>
      <c r="O112" s="26"/>
      <c r="P112" s="26"/>
      <c r="Q112" s="26">
        <v>8550</v>
      </c>
      <c r="R112" s="26" t="s">
        <v>34</v>
      </c>
      <c r="S112" s="27">
        <v>115000</v>
      </c>
      <c r="T112" s="28">
        <f t="shared" si="8"/>
        <v>983250.00000000012</v>
      </c>
    </row>
    <row r="113" spans="1:20" s="17" customFormat="1" ht="14.25" customHeight="1" x14ac:dyDescent="0.25">
      <c r="A113" s="25"/>
      <c r="B113" s="19" t="s">
        <v>1074</v>
      </c>
      <c r="C113" s="19" t="s">
        <v>57</v>
      </c>
      <c r="D113" s="20" t="s">
        <v>282</v>
      </c>
      <c r="E113" s="21" t="s">
        <v>1075</v>
      </c>
      <c r="F113" s="19">
        <v>4940</v>
      </c>
      <c r="G113" s="18">
        <v>26</v>
      </c>
      <c r="H113" s="18" t="s">
        <v>95</v>
      </c>
      <c r="I113" s="18" t="s">
        <v>30</v>
      </c>
      <c r="J113" s="23">
        <v>45077</v>
      </c>
      <c r="K113" s="19" t="s">
        <v>1403</v>
      </c>
      <c r="L113" s="26"/>
      <c r="M113" s="26"/>
      <c r="N113" s="26"/>
      <c r="O113" s="26"/>
      <c r="P113" s="26"/>
      <c r="Q113" s="26">
        <v>4940</v>
      </c>
      <c r="R113" s="26" t="s">
        <v>34</v>
      </c>
      <c r="S113" s="27">
        <v>115000</v>
      </c>
      <c r="T113" s="28">
        <f t="shared" si="8"/>
        <v>568100</v>
      </c>
    </row>
    <row r="114" spans="1:20" s="17" customFormat="1" ht="15.75" customHeight="1" x14ac:dyDescent="0.25">
      <c r="A114" s="25"/>
      <c r="B114" s="19" t="s">
        <v>1101</v>
      </c>
      <c r="C114" s="19" t="s">
        <v>57</v>
      </c>
      <c r="D114" s="20" t="s">
        <v>58</v>
      </c>
      <c r="E114" s="21" t="s">
        <v>1406</v>
      </c>
      <c r="F114" s="19">
        <v>19845</v>
      </c>
      <c r="G114" s="18">
        <v>875</v>
      </c>
      <c r="H114" s="18" t="s">
        <v>95</v>
      </c>
      <c r="I114" s="18" t="s">
        <v>30</v>
      </c>
      <c r="J114" s="23">
        <v>45077</v>
      </c>
      <c r="K114" s="19" t="s">
        <v>1407</v>
      </c>
      <c r="L114" s="26" t="s">
        <v>1408</v>
      </c>
      <c r="M114" s="26" t="s">
        <v>1409</v>
      </c>
      <c r="N114" s="26"/>
      <c r="O114" s="26">
        <v>19845</v>
      </c>
      <c r="P114" s="26"/>
      <c r="Q114" s="26"/>
      <c r="R114" s="26" t="s">
        <v>34</v>
      </c>
      <c r="S114" s="27">
        <v>49500</v>
      </c>
      <c r="T114" s="28">
        <f t="shared" si="8"/>
        <v>982327.5</v>
      </c>
    </row>
    <row r="115" spans="1:20" s="17" customFormat="1" x14ac:dyDescent="0.25">
      <c r="A115" s="26"/>
      <c r="B115" s="19">
        <v>42544</v>
      </c>
      <c r="C115" s="19" t="s">
        <v>175</v>
      </c>
      <c r="D115" s="20" t="s">
        <v>176</v>
      </c>
      <c r="E115" s="21" t="s">
        <v>309</v>
      </c>
      <c r="F115" s="19">
        <v>19862.5</v>
      </c>
      <c r="G115" s="18">
        <v>875</v>
      </c>
      <c r="H115" s="18" t="s">
        <v>129</v>
      </c>
      <c r="I115" s="18" t="s">
        <v>30</v>
      </c>
      <c r="J115" s="23">
        <v>45077</v>
      </c>
      <c r="K115" s="18" t="s">
        <v>1410</v>
      </c>
      <c r="L115" s="26" t="s">
        <v>1411</v>
      </c>
      <c r="M115" s="26" t="s">
        <v>1412</v>
      </c>
      <c r="N115" s="26"/>
      <c r="O115" s="26">
        <v>19862.5</v>
      </c>
      <c r="P115" s="26"/>
      <c r="Q115" s="26"/>
      <c r="R115" s="26" t="s">
        <v>34</v>
      </c>
      <c r="S115" s="27">
        <v>42500</v>
      </c>
      <c r="T115" s="28">
        <f t="shared" si="8"/>
        <v>844156.25</v>
      </c>
    </row>
    <row r="116" spans="1:20" s="17" customFormat="1" x14ac:dyDescent="0.25">
      <c r="A116" s="26"/>
      <c r="B116" s="19" t="s">
        <v>1413</v>
      </c>
      <c r="C116" s="19" t="s">
        <v>1414</v>
      </c>
      <c r="D116" s="20" t="s">
        <v>1415</v>
      </c>
      <c r="E116" s="21"/>
      <c r="F116" s="19">
        <v>2400</v>
      </c>
      <c r="G116" s="18">
        <v>12</v>
      </c>
      <c r="H116" s="18" t="s">
        <v>29</v>
      </c>
      <c r="I116" s="18" t="s">
        <v>30</v>
      </c>
      <c r="J116" s="23" t="s">
        <v>1416</v>
      </c>
      <c r="K116" s="18"/>
      <c r="L116" s="26"/>
      <c r="M116" s="26"/>
      <c r="N116" s="26"/>
      <c r="O116" s="26"/>
      <c r="P116" s="26"/>
      <c r="Q116" s="26">
        <v>2400</v>
      </c>
      <c r="R116" s="26"/>
      <c r="S116" s="27"/>
      <c r="T116" s="28"/>
    </row>
    <row r="117" spans="1:20" ht="18.75" x14ac:dyDescent="0.3">
      <c r="A117" s="119" t="s">
        <v>252</v>
      </c>
      <c r="B117" s="133">
        <f>SUM(F4:F116)/1000</f>
        <v>839.59870000000001</v>
      </c>
      <c r="C117" s="54" t="s">
        <v>253</v>
      </c>
      <c r="S117" s="55"/>
      <c r="T117" s="55">
        <f>SUM(T4:T115)</f>
        <v>85165212.650000006</v>
      </c>
    </row>
    <row r="118" spans="1:20" ht="18.75" x14ac:dyDescent="0.3">
      <c r="A118" s="120" t="s">
        <v>254</v>
      </c>
      <c r="B118" s="134">
        <f>B119+B120+B121</f>
        <v>839.59870000000001</v>
      </c>
      <c r="C118" s="58" t="s">
        <v>253</v>
      </c>
    </row>
    <row r="119" spans="1:20" ht="18.75" x14ac:dyDescent="0.3">
      <c r="A119" s="121" t="s">
        <v>255</v>
      </c>
      <c r="B119" s="135">
        <f>SUM(O4:O115)/1000</f>
        <v>390.82569999999998</v>
      </c>
      <c r="C119" s="61" t="s">
        <v>253</v>
      </c>
    </row>
    <row r="120" spans="1:20" ht="18.75" x14ac:dyDescent="0.3">
      <c r="A120" s="121" t="s">
        <v>256</v>
      </c>
      <c r="B120" s="135">
        <f>SUM(P4:P115)/1000</f>
        <v>111.22799999999999</v>
      </c>
      <c r="C120" s="61" t="s">
        <v>253</v>
      </c>
    </row>
    <row r="121" spans="1:20" ht="18.75" x14ac:dyDescent="0.3">
      <c r="A121" s="121" t="s">
        <v>257</v>
      </c>
      <c r="B121" s="136">
        <f>SUM(Q4:Q116)/1000</f>
        <v>337.54500000000002</v>
      </c>
      <c r="C121" s="61" t="s">
        <v>253</v>
      </c>
    </row>
    <row r="122" spans="1:20" ht="18.75" x14ac:dyDescent="0.3">
      <c r="A122" s="122" t="s">
        <v>258</v>
      </c>
      <c r="B122" s="137">
        <f>B117-B118</f>
        <v>0</v>
      </c>
      <c r="C122" s="65" t="s">
        <v>253</v>
      </c>
    </row>
  </sheetData>
  <autoFilter ref="D1:D122" xr:uid="{00000000-0009-0000-0000-000007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D117" xr:uid="{003B00A0-003B-45DE-AE47-0090007B00E6}">
      <formula1>$E$4:$E$109</formula1>
    </dataValidation>
  </dataValidations>
  <pageMargins left="0.7" right="0.7" top="0.75" bottom="0.75" header="0.3" footer="0.3"/>
  <pageSetup paperSize="9" scale="36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справочник!$E$4:$E$127</xm:f>
          </x14:formula1>
          <xm:sqref>D4:D116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4">
    <pageSetUpPr fitToPage="1"/>
  </sheetPr>
  <dimension ref="A1:U112"/>
  <sheetViews>
    <sheetView zoomScale="80" workbookViewId="0">
      <selection activeCell="F34" sqref="F34:F77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39.42578125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5.5703125" customWidth="1"/>
    <col min="14" max="14" width="14.140625" customWidth="1"/>
    <col min="18" max="18" width="27.140625" customWidth="1"/>
    <col min="19" max="19" width="25.140625" customWidth="1"/>
    <col min="20" max="20" width="20" customWidth="1"/>
  </cols>
  <sheetData>
    <row r="1" spans="1:20" s="3" customFormat="1" ht="17.25" x14ac:dyDescent="0.3">
      <c r="A1" s="5"/>
      <c r="B1" s="5" t="s">
        <v>0</v>
      </c>
      <c r="C1" s="6">
        <v>45017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0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</row>
    <row r="3" spans="1:20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</row>
    <row r="4" spans="1:20" s="17" customFormat="1" x14ac:dyDescent="0.25">
      <c r="A4" s="25"/>
      <c r="B4" s="19" t="s">
        <v>1417</v>
      </c>
      <c r="C4" s="19" t="s">
        <v>57</v>
      </c>
      <c r="D4" s="20" t="s">
        <v>1418</v>
      </c>
      <c r="E4" s="21" t="s">
        <v>942</v>
      </c>
      <c r="F4" s="19">
        <v>200</v>
      </c>
      <c r="G4" s="18">
        <v>1</v>
      </c>
      <c r="H4" s="18" t="s">
        <v>448</v>
      </c>
      <c r="I4" s="18" t="s">
        <v>30</v>
      </c>
      <c r="J4" s="23">
        <v>45019</v>
      </c>
      <c r="K4" s="18" t="s">
        <v>1419</v>
      </c>
      <c r="L4" s="26" t="s">
        <v>1420</v>
      </c>
      <c r="M4" s="26" t="s">
        <v>1421</v>
      </c>
      <c r="N4" s="26"/>
      <c r="O4" s="26"/>
      <c r="P4" s="26"/>
      <c r="Q4" s="26">
        <v>200</v>
      </c>
      <c r="R4" s="26" t="s">
        <v>34</v>
      </c>
      <c r="S4" s="27">
        <v>350000</v>
      </c>
      <c r="T4" s="28">
        <f t="shared" ref="T4:T9" si="0">S4*(F4/1000)</f>
        <v>70000</v>
      </c>
    </row>
    <row r="5" spans="1:20" s="17" customFormat="1" x14ac:dyDescent="0.25">
      <c r="A5" s="25"/>
      <c r="B5" s="19" t="s">
        <v>1422</v>
      </c>
      <c r="C5" s="19" t="s">
        <v>57</v>
      </c>
      <c r="D5" s="20" t="s">
        <v>1088</v>
      </c>
      <c r="E5" s="21" t="s">
        <v>943</v>
      </c>
      <c r="F5" s="19">
        <v>18144</v>
      </c>
      <c r="G5" s="18">
        <v>800</v>
      </c>
      <c r="H5" s="18" t="s">
        <v>448</v>
      </c>
      <c r="I5" s="18" t="s">
        <v>30</v>
      </c>
      <c r="J5" s="23">
        <v>45019</v>
      </c>
      <c r="K5" s="18" t="s">
        <v>1419</v>
      </c>
      <c r="L5" s="26" t="s">
        <v>1420</v>
      </c>
      <c r="M5" s="26" t="s">
        <v>1421</v>
      </c>
      <c r="N5" s="26"/>
      <c r="O5" s="26"/>
      <c r="P5" s="26">
        <v>18144</v>
      </c>
      <c r="Q5" s="26"/>
      <c r="R5" s="26" t="s">
        <v>34</v>
      </c>
      <c r="S5" s="27">
        <v>245000</v>
      </c>
      <c r="T5" s="28">
        <f t="shared" si="0"/>
        <v>4445280</v>
      </c>
    </row>
    <row r="6" spans="1:20" s="17" customFormat="1" x14ac:dyDescent="0.25">
      <c r="A6" s="26"/>
      <c r="B6" s="22" t="s">
        <v>1423</v>
      </c>
      <c r="C6" s="19" t="s">
        <v>57</v>
      </c>
      <c r="D6" s="20" t="s">
        <v>857</v>
      </c>
      <c r="E6" s="33" t="s">
        <v>1424</v>
      </c>
      <c r="F6" s="19">
        <v>8695</v>
      </c>
      <c r="G6" s="18">
        <v>47</v>
      </c>
      <c r="H6" s="18" t="s">
        <v>129</v>
      </c>
      <c r="I6" s="18" t="s">
        <v>30</v>
      </c>
      <c r="J6" s="23">
        <v>45019</v>
      </c>
      <c r="K6" s="18" t="s">
        <v>828</v>
      </c>
      <c r="L6" s="26" t="s">
        <v>637</v>
      </c>
      <c r="M6" s="26" t="s">
        <v>329</v>
      </c>
      <c r="N6" s="26"/>
      <c r="O6" s="26"/>
      <c r="P6" s="26"/>
      <c r="Q6" s="26">
        <v>8695</v>
      </c>
      <c r="R6" s="26" t="s">
        <v>34</v>
      </c>
      <c r="S6" s="27">
        <v>359000</v>
      </c>
      <c r="T6" s="28">
        <f t="shared" si="0"/>
        <v>3121505</v>
      </c>
    </row>
    <row r="7" spans="1:20" s="17" customFormat="1" x14ac:dyDescent="0.25">
      <c r="A7" s="26"/>
      <c r="B7" s="22" t="s">
        <v>1423</v>
      </c>
      <c r="C7" s="19" t="s">
        <v>57</v>
      </c>
      <c r="D7" s="20" t="s">
        <v>857</v>
      </c>
      <c r="E7" s="33" t="s">
        <v>1425</v>
      </c>
      <c r="F7" s="19">
        <v>6105</v>
      </c>
      <c r="G7" s="18">
        <v>33</v>
      </c>
      <c r="H7" s="18" t="s">
        <v>129</v>
      </c>
      <c r="I7" s="18" t="s">
        <v>30</v>
      </c>
      <c r="J7" s="23">
        <v>45019</v>
      </c>
      <c r="K7" s="18" t="s">
        <v>828</v>
      </c>
      <c r="L7" s="26"/>
      <c r="M7" s="26"/>
      <c r="N7" s="26"/>
      <c r="O7" s="26"/>
      <c r="P7" s="26"/>
      <c r="Q7" s="26">
        <v>6105</v>
      </c>
      <c r="R7" s="26" t="s">
        <v>34</v>
      </c>
      <c r="S7" s="27">
        <v>359000</v>
      </c>
      <c r="T7" s="28">
        <f t="shared" si="0"/>
        <v>2191695</v>
      </c>
    </row>
    <row r="8" spans="1:20" s="17" customFormat="1" x14ac:dyDescent="0.25">
      <c r="A8" s="26"/>
      <c r="B8" s="19" t="s">
        <v>297</v>
      </c>
      <c r="C8" s="19" t="s">
        <v>913</v>
      </c>
      <c r="D8" s="20" t="s">
        <v>86</v>
      </c>
      <c r="E8" s="21" t="s">
        <v>1426</v>
      </c>
      <c r="F8" s="19">
        <v>20000</v>
      </c>
      <c r="G8" s="18">
        <v>800</v>
      </c>
      <c r="H8" s="18" t="s">
        <v>338</v>
      </c>
      <c r="I8" s="18" t="s">
        <v>30</v>
      </c>
      <c r="J8" s="23">
        <v>45019</v>
      </c>
      <c r="K8" s="19" t="s">
        <v>1427</v>
      </c>
      <c r="L8" s="19" t="s">
        <v>1428</v>
      </c>
      <c r="M8" s="19" t="s">
        <v>1429</v>
      </c>
      <c r="N8" s="26"/>
      <c r="O8" s="26">
        <v>20000</v>
      </c>
      <c r="P8" s="26"/>
      <c r="Q8" s="26"/>
      <c r="R8" s="26"/>
      <c r="S8" s="27">
        <v>41000</v>
      </c>
      <c r="T8" s="28">
        <f t="shared" si="0"/>
        <v>820000</v>
      </c>
    </row>
    <row r="9" spans="1:20" s="17" customFormat="1" x14ac:dyDescent="0.25">
      <c r="A9" s="26"/>
      <c r="B9" s="19" t="s">
        <v>1430</v>
      </c>
      <c r="C9" s="19" t="s">
        <v>648</v>
      </c>
      <c r="D9" s="20" t="s">
        <v>649</v>
      </c>
      <c r="E9" s="21" t="s">
        <v>943</v>
      </c>
      <c r="F9" s="19">
        <v>3040</v>
      </c>
      <c r="G9" s="18">
        <v>16</v>
      </c>
      <c r="H9" s="18" t="s">
        <v>29</v>
      </c>
      <c r="I9" s="18" t="s">
        <v>30</v>
      </c>
      <c r="J9" s="23">
        <v>45020</v>
      </c>
      <c r="K9" s="18" t="s">
        <v>1431</v>
      </c>
      <c r="L9" s="26"/>
      <c r="M9" s="26" t="s">
        <v>1432</v>
      </c>
      <c r="N9" s="26"/>
      <c r="O9" s="26"/>
      <c r="P9" s="26"/>
      <c r="Q9" s="26">
        <v>3040</v>
      </c>
      <c r="R9" s="26"/>
      <c r="S9" s="27">
        <v>129700</v>
      </c>
      <c r="T9" s="28">
        <f t="shared" si="0"/>
        <v>394288</v>
      </c>
    </row>
    <row r="10" spans="1:20" s="17" customFormat="1" x14ac:dyDescent="0.25">
      <c r="A10" s="26"/>
      <c r="B10" s="19" t="s">
        <v>1433</v>
      </c>
      <c r="C10" s="19" t="s">
        <v>1434</v>
      </c>
      <c r="D10" s="20" t="s">
        <v>468</v>
      </c>
      <c r="E10" s="21" t="s">
        <v>1424</v>
      </c>
      <c r="F10" s="19">
        <v>10800</v>
      </c>
      <c r="G10" s="18">
        <v>60</v>
      </c>
      <c r="H10" s="18" t="s">
        <v>661</v>
      </c>
      <c r="I10" s="18" t="s">
        <v>30</v>
      </c>
      <c r="J10" s="23">
        <v>45020</v>
      </c>
      <c r="K10" s="18" t="s">
        <v>1435</v>
      </c>
      <c r="L10" s="138" t="s">
        <v>1436</v>
      </c>
      <c r="M10" s="19" t="s">
        <v>1437</v>
      </c>
      <c r="N10" s="26"/>
      <c r="O10" s="26"/>
      <c r="P10" s="26"/>
      <c r="Q10" s="26">
        <v>10800</v>
      </c>
      <c r="R10" s="26"/>
      <c r="S10" s="27">
        <v>108000</v>
      </c>
      <c r="T10" s="28">
        <f t="shared" ref="T10:T36" si="1">F10/1000*S10</f>
        <v>1166400</v>
      </c>
    </row>
    <row r="11" spans="1:20" s="17" customFormat="1" x14ac:dyDescent="0.25">
      <c r="A11" s="26"/>
      <c r="B11" s="19" t="s">
        <v>1438</v>
      </c>
      <c r="C11" s="19" t="s">
        <v>633</v>
      </c>
      <c r="D11" s="20" t="s">
        <v>634</v>
      </c>
      <c r="E11" s="21" t="s">
        <v>1149</v>
      </c>
      <c r="F11" s="19">
        <v>4000</v>
      </c>
      <c r="G11" s="18">
        <v>20</v>
      </c>
      <c r="H11" s="18" t="s">
        <v>833</v>
      </c>
      <c r="I11" s="18" t="s">
        <v>30</v>
      </c>
      <c r="J11" s="23">
        <v>45020</v>
      </c>
      <c r="K11" s="18" t="s">
        <v>1439</v>
      </c>
      <c r="L11" s="19" t="s">
        <v>1166</v>
      </c>
      <c r="M11" s="19" t="s">
        <v>1167</v>
      </c>
      <c r="N11" s="26"/>
      <c r="O11" s="26"/>
      <c r="P11" s="26"/>
      <c r="Q11" s="26">
        <v>4000</v>
      </c>
      <c r="R11" s="26" t="s">
        <v>34</v>
      </c>
      <c r="S11" s="27">
        <v>110000</v>
      </c>
      <c r="T11" s="28">
        <f t="shared" ref="T11:T35" si="2">S11*(F11/1000)</f>
        <v>440000</v>
      </c>
    </row>
    <row r="12" spans="1:20" s="17" customFormat="1" x14ac:dyDescent="0.25">
      <c r="A12" s="26"/>
      <c r="B12" s="19" t="s">
        <v>1438</v>
      </c>
      <c r="C12" s="19" t="s">
        <v>633</v>
      </c>
      <c r="D12" s="20" t="s">
        <v>634</v>
      </c>
      <c r="E12" s="21" t="s">
        <v>1440</v>
      </c>
      <c r="F12" s="19">
        <v>7200</v>
      </c>
      <c r="G12" s="18">
        <v>36</v>
      </c>
      <c r="H12" s="18" t="s">
        <v>833</v>
      </c>
      <c r="I12" s="18" t="s">
        <v>30</v>
      </c>
      <c r="J12" s="23">
        <v>45020</v>
      </c>
      <c r="K12" s="18" t="s">
        <v>1439</v>
      </c>
      <c r="L12" s="19"/>
      <c r="M12" s="19"/>
      <c r="N12" s="26"/>
      <c r="O12" s="26"/>
      <c r="P12" s="26"/>
      <c r="Q12" s="26">
        <v>7200</v>
      </c>
      <c r="R12" s="26" t="s">
        <v>34</v>
      </c>
      <c r="S12" s="27">
        <v>110000</v>
      </c>
      <c r="T12" s="28">
        <f t="shared" si="2"/>
        <v>792000</v>
      </c>
    </row>
    <row r="13" spans="1:20" s="17" customFormat="1" x14ac:dyDescent="0.25">
      <c r="A13" s="26"/>
      <c r="B13" s="19" t="s">
        <v>1438</v>
      </c>
      <c r="C13" s="19" t="s">
        <v>633</v>
      </c>
      <c r="D13" s="20" t="s">
        <v>634</v>
      </c>
      <c r="E13" s="21" t="s">
        <v>1441</v>
      </c>
      <c r="F13" s="19">
        <v>6400</v>
      </c>
      <c r="G13" s="18">
        <v>32</v>
      </c>
      <c r="H13" s="18" t="s">
        <v>833</v>
      </c>
      <c r="I13" s="18" t="s">
        <v>30</v>
      </c>
      <c r="J13" s="23">
        <v>45020</v>
      </c>
      <c r="K13" s="18" t="s">
        <v>1439</v>
      </c>
      <c r="L13" s="19"/>
      <c r="M13" s="19"/>
      <c r="N13" s="26"/>
      <c r="O13" s="26"/>
      <c r="P13" s="26"/>
      <c r="Q13" s="26">
        <v>6400</v>
      </c>
      <c r="R13" s="26" t="s">
        <v>34</v>
      </c>
      <c r="S13" s="27">
        <v>110000</v>
      </c>
      <c r="T13" s="28">
        <f t="shared" si="2"/>
        <v>704000</v>
      </c>
    </row>
    <row r="14" spans="1:20" s="17" customFormat="1" x14ac:dyDescent="0.25">
      <c r="A14" s="25"/>
      <c r="B14" s="19" t="s">
        <v>1442</v>
      </c>
      <c r="C14" s="19" t="s">
        <v>439</v>
      </c>
      <c r="D14" s="20" t="s">
        <v>445</v>
      </c>
      <c r="E14" s="21" t="s">
        <v>1443</v>
      </c>
      <c r="F14" s="19">
        <v>18000</v>
      </c>
      <c r="G14" s="18">
        <v>720</v>
      </c>
      <c r="H14" s="18" t="s">
        <v>29</v>
      </c>
      <c r="I14" s="18" t="s">
        <v>30</v>
      </c>
      <c r="J14" s="23">
        <v>45020</v>
      </c>
      <c r="K14" s="19" t="s">
        <v>1444</v>
      </c>
      <c r="L14" s="26" t="s">
        <v>1445</v>
      </c>
      <c r="M14" s="26" t="s">
        <v>1446</v>
      </c>
      <c r="N14" s="26"/>
      <c r="O14" s="26">
        <v>18000</v>
      </c>
      <c r="P14" s="26"/>
      <c r="Q14" s="26"/>
      <c r="R14" s="26"/>
      <c r="S14" s="27">
        <v>45000</v>
      </c>
      <c r="T14" s="28">
        <f t="shared" si="2"/>
        <v>810000</v>
      </c>
    </row>
    <row r="15" spans="1:20" s="17" customFormat="1" x14ac:dyDescent="0.25">
      <c r="A15" s="25"/>
      <c r="B15" s="19" t="s">
        <v>1442</v>
      </c>
      <c r="C15" s="19" t="s">
        <v>439</v>
      </c>
      <c r="D15" s="20" t="s">
        <v>492</v>
      </c>
      <c r="E15" s="21" t="s">
        <v>1447</v>
      </c>
      <c r="F15" s="19">
        <v>2000</v>
      </c>
      <c r="G15" s="18">
        <v>80</v>
      </c>
      <c r="H15" s="18" t="s">
        <v>29</v>
      </c>
      <c r="I15" s="18" t="s">
        <v>30</v>
      </c>
      <c r="J15" s="23">
        <v>45020</v>
      </c>
      <c r="K15" s="19" t="s">
        <v>1444</v>
      </c>
      <c r="L15" s="26"/>
      <c r="M15" s="26"/>
      <c r="N15" s="26"/>
      <c r="O15" s="26"/>
      <c r="P15" s="26">
        <v>2000</v>
      </c>
      <c r="Q15" s="26"/>
      <c r="R15" s="26"/>
      <c r="S15" s="27">
        <v>255000</v>
      </c>
      <c r="T15" s="28">
        <f t="shared" si="2"/>
        <v>510000</v>
      </c>
    </row>
    <row r="16" spans="1:20" s="17" customFormat="1" x14ac:dyDescent="0.25">
      <c r="A16" s="26"/>
      <c r="B16" s="19" t="s">
        <v>237</v>
      </c>
      <c r="C16" s="19" t="s">
        <v>1448</v>
      </c>
      <c r="D16" s="20" t="s">
        <v>1449</v>
      </c>
      <c r="E16" s="21" t="s">
        <v>1154</v>
      </c>
      <c r="F16" s="19">
        <v>1520</v>
      </c>
      <c r="G16" s="18">
        <v>8</v>
      </c>
      <c r="H16" s="18" t="s">
        <v>29</v>
      </c>
      <c r="I16" s="18" t="s">
        <v>30</v>
      </c>
      <c r="J16" s="23">
        <v>45020</v>
      </c>
      <c r="K16" s="18" t="s">
        <v>1450</v>
      </c>
      <c r="L16" s="26" t="s">
        <v>1451</v>
      </c>
      <c r="M16" s="26" t="s">
        <v>1452</v>
      </c>
      <c r="N16" s="26"/>
      <c r="O16" s="26"/>
      <c r="P16" s="26"/>
      <c r="Q16" s="26">
        <v>1520</v>
      </c>
      <c r="R16" s="26"/>
      <c r="S16" s="27">
        <v>120000</v>
      </c>
      <c r="T16" s="28">
        <f t="shared" si="2"/>
        <v>182400</v>
      </c>
    </row>
    <row r="17" spans="1:20" s="17" customFormat="1" x14ac:dyDescent="0.25">
      <c r="A17" s="26"/>
      <c r="B17" s="19" t="s">
        <v>237</v>
      </c>
      <c r="C17" s="19" t="s">
        <v>1448</v>
      </c>
      <c r="D17" s="20" t="s">
        <v>864</v>
      </c>
      <c r="E17" s="21" t="s">
        <v>1426</v>
      </c>
      <c r="F17" s="19">
        <v>1800</v>
      </c>
      <c r="G17" s="18">
        <v>100</v>
      </c>
      <c r="H17" s="18" t="s">
        <v>29</v>
      </c>
      <c r="I17" s="18" t="s">
        <v>30</v>
      </c>
      <c r="J17" s="23">
        <v>45020</v>
      </c>
      <c r="K17" s="18" t="s">
        <v>1450</v>
      </c>
      <c r="L17" s="26"/>
      <c r="M17" s="26"/>
      <c r="N17" s="26"/>
      <c r="O17" s="26"/>
      <c r="P17" s="26">
        <v>1800</v>
      </c>
      <c r="Q17" s="26"/>
      <c r="R17" s="26"/>
      <c r="S17" s="27">
        <v>230000</v>
      </c>
      <c r="T17" s="28">
        <f t="shared" si="2"/>
        <v>414000</v>
      </c>
    </row>
    <row r="18" spans="1:20" s="17" customFormat="1" x14ac:dyDescent="0.25">
      <c r="A18" s="26"/>
      <c r="B18" s="22" t="s">
        <v>1453</v>
      </c>
      <c r="C18" s="19" t="s">
        <v>57</v>
      </c>
      <c r="D18" s="20" t="s">
        <v>525</v>
      </c>
      <c r="E18" s="33" t="s">
        <v>1095</v>
      </c>
      <c r="F18" s="19">
        <v>8400</v>
      </c>
      <c r="G18" s="18">
        <v>336</v>
      </c>
      <c r="H18" s="18" t="s">
        <v>95</v>
      </c>
      <c r="I18" s="18" t="s">
        <v>30</v>
      </c>
      <c r="J18" s="23">
        <v>45021</v>
      </c>
      <c r="K18" s="18" t="s">
        <v>1454</v>
      </c>
      <c r="L18" s="26" t="s">
        <v>1455</v>
      </c>
      <c r="M18" s="26" t="s">
        <v>1456</v>
      </c>
      <c r="N18" s="26"/>
      <c r="O18" s="26"/>
      <c r="P18" s="26"/>
      <c r="Q18" s="26">
        <v>8400</v>
      </c>
      <c r="R18" s="26" t="s">
        <v>34</v>
      </c>
      <c r="S18" s="27">
        <v>220000</v>
      </c>
      <c r="T18" s="28">
        <f t="shared" si="2"/>
        <v>1848000</v>
      </c>
    </row>
    <row r="19" spans="1:20" s="17" customFormat="1" x14ac:dyDescent="0.25">
      <c r="A19" s="26"/>
      <c r="B19" s="22" t="s">
        <v>1457</v>
      </c>
      <c r="C19" s="19" t="s">
        <v>57</v>
      </c>
      <c r="D19" s="20" t="s">
        <v>191</v>
      </c>
      <c r="E19" s="33" t="s">
        <v>938</v>
      </c>
      <c r="F19" s="19">
        <v>3600</v>
      </c>
      <c r="G19" s="18">
        <v>144</v>
      </c>
      <c r="H19" s="18" t="s">
        <v>95</v>
      </c>
      <c r="I19" s="18" t="s">
        <v>30</v>
      </c>
      <c r="J19" s="23">
        <v>45021</v>
      </c>
      <c r="K19" s="18" t="s">
        <v>1454</v>
      </c>
      <c r="L19" s="26"/>
      <c r="M19" s="26"/>
      <c r="N19" s="26"/>
      <c r="O19" s="26"/>
      <c r="P19" s="26"/>
      <c r="Q19" s="26">
        <v>3600</v>
      </c>
      <c r="R19" s="26" t="s">
        <v>34</v>
      </c>
      <c r="S19" s="27">
        <v>165000</v>
      </c>
      <c r="T19" s="28">
        <f t="shared" si="2"/>
        <v>594000</v>
      </c>
    </row>
    <row r="20" spans="1:20" s="17" customFormat="1" x14ac:dyDescent="0.25">
      <c r="A20" s="25"/>
      <c r="B20" s="19" t="s">
        <v>1101</v>
      </c>
      <c r="C20" s="19" t="s">
        <v>57</v>
      </c>
      <c r="D20" s="20" t="s">
        <v>1088</v>
      </c>
      <c r="E20" s="21" t="s">
        <v>1458</v>
      </c>
      <c r="F20" s="19">
        <v>4762.8</v>
      </c>
      <c r="G20" s="18">
        <v>210</v>
      </c>
      <c r="H20" s="18" t="s">
        <v>95</v>
      </c>
      <c r="I20" s="18" t="s">
        <v>30</v>
      </c>
      <c r="J20" s="23">
        <v>45021</v>
      </c>
      <c r="K20" s="19" t="s">
        <v>1454</v>
      </c>
      <c r="L20" s="26"/>
      <c r="M20" s="26"/>
      <c r="N20" s="26"/>
      <c r="O20" s="26"/>
      <c r="P20" s="26"/>
      <c r="Q20" s="26">
        <v>4762.8</v>
      </c>
      <c r="R20" s="26" t="s">
        <v>34</v>
      </c>
      <c r="S20" s="27">
        <v>245000</v>
      </c>
      <c r="T20" s="28">
        <f t="shared" si="2"/>
        <v>1166886</v>
      </c>
    </row>
    <row r="21" spans="1:20" s="17" customFormat="1" x14ac:dyDescent="0.25">
      <c r="A21" s="25"/>
      <c r="B21" s="19" t="s">
        <v>1101</v>
      </c>
      <c r="C21" s="19" t="s">
        <v>57</v>
      </c>
      <c r="D21" s="20" t="s">
        <v>282</v>
      </c>
      <c r="E21" s="21" t="s">
        <v>1148</v>
      </c>
      <c r="F21" s="19">
        <v>3230</v>
      </c>
      <c r="G21" s="18">
        <v>17</v>
      </c>
      <c r="H21" s="18" t="s">
        <v>95</v>
      </c>
      <c r="I21" s="18" t="s">
        <v>30</v>
      </c>
      <c r="J21" s="23">
        <v>45021</v>
      </c>
      <c r="K21" s="18" t="s">
        <v>1459</v>
      </c>
      <c r="L21" s="26" t="s">
        <v>1460</v>
      </c>
      <c r="M21" s="26" t="s">
        <v>1461</v>
      </c>
      <c r="N21" s="26"/>
      <c r="O21" s="26"/>
      <c r="P21" s="26"/>
      <c r="Q21" s="26">
        <v>3230</v>
      </c>
      <c r="R21" s="26" t="s">
        <v>34</v>
      </c>
      <c r="S21" s="27">
        <v>115000</v>
      </c>
      <c r="T21" s="28">
        <f t="shared" si="2"/>
        <v>371450</v>
      </c>
    </row>
    <row r="22" spans="1:20" s="17" customFormat="1" x14ac:dyDescent="0.25">
      <c r="A22" s="25"/>
      <c r="B22" s="19" t="s">
        <v>1101</v>
      </c>
      <c r="C22" s="19" t="s">
        <v>57</v>
      </c>
      <c r="D22" s="20" t="s">
        <v>282</v>
      </c>
      <c r="E22" s="21" t="s">
        <v>942</v>
      </c>
      <c r="F22" s="19">
        <v>8550</v>
      </c>
      <c r="G22" s="18">
        <v>45</v>
      </c>
      <c r="H22" s="18" t="s">
        <v>95</v>
      </c>
      <c r="I22" s="18" t="s">
        <v>30</v>
      </c>
      <c r="J22" s="23">
        <v>45021</v>
      </c>
      <c r="K22" s="19" t="s">
        <v>1459</v>
      </c>
      <c r="L22" s="26"/>
      <c r="M22" s="26"/>
      <c r="N22" s="26"/>
      <c r="O22" s="26"/>
      <c r="P22" s="26"/>
      <c r="Q22" s="26">
        <v>8550</v>
      </c>
      <c r="R22" s="26" t="s">
        <v>34</v>
      </c>
      <c r="S22" s="27">
        <v>115000</v>
      </c>
      <c r="T22" s="28">
        <f t="shared" si="2"/>
        <v>983250.00000000012</v>
      </c>
    </row>
    <row r="23" spans="1:20" s="17" customFormat="1" x14ac:dyDescent="0.25">
      <c r="A23" s="25"/>
      <c r="B23" s="19" t="s">
        <v>1101</v>
      </c>
      <c r="C23" s="19" t="s">
        <v>57</v>
      </c>
      <c r="D23" s="20" t="s">
        <v>282</v>
      </c>
      <c r="E23" s="21" t="s">
        <v>1154</v>
      </c>
      <c r="F23" s="19">
        <v>3420</v>
      </c>
      <c r="G23" s="18">
        <v>18</v>
      </c>
      <c r="H23" s="18" t="s">
        <v>95</v>
      </c>
      <c r="I23" s="18" t="s">
        <v>30</v>
      </c>
      <c r="J23" s="23">
        <v>45021</v>
      </c>
      <c r="K23" s="19" t="s">
        <v>1459</v>
      </c>
      <c r="L23" s="26"/>
      <c r="M23" s="26"/>
      <c r="N23" s="26"/>
      <c r="O23" s="26"/>
      <c r="P23" s="26"/>
      <c r="Q23" s="26">
        <v>3420</v>
      </c>
      <c r="R23" s="26" t="s">
        <v>34</v>
      </c>
      <c r="S23" s="27">
        <v>115000</v>
      </c>
      <c r="T23" s="28">
        <f t="shared" si="2"/>
        <v>393300</v>
      </c>
    </row>
    <row r="24" spans="1:20" s="17" customFormat="1" x14ac:dyDescent="0.25">
      <c r="A24" s="26"/>
      <c r="B24" s="19" t="s">
        <v>1438</v>
      </c>
      <c r="C24" s="19" t="s">
        <v>633</v>
      </c>
      <c r="D24" s="20" t="s">
        <v>634</v>
      </c>
      <c r="E24" s="21" t="s">
        <v>1441</v>
      </c>
      <c r="F24" s="19">
        <v>2400</v>
      </c>
      <c r="G24" s="18">
        <v>12</v>
      </c>
      <c r="H24" s="18" t="s">
        <v>833</v>
      </c>
      <c r="I24" s="18" t="s">
        <v>30</v>
      </c>
      <c r="J24" s="23">
        <v>45021</v>
      </c>
      <c r="K24" s="18" t="s">
        <v>1462</v>
      </c>
      <c r="L24" s="26" t="s">
        <v>1463</v>
      </c>
      <c r="M24" s="26" t="s">
        <v>1464</v>
      </c>
      <c r="N24" s="26"/>
      <c r="O24" s="26"/>
      <c r="P24" s="26"/>
      <c r="Q24" s="26">
        <v>2400</v>
      </c>
      <c r="R24" s="26" t="s">
        <v>34</v>
      </c>
      <c r="S24" s="27">
        <v>110000</v>
      </c>
      <c r="T24" s="28">
        <f t="shared" si="2"/>
        <v>264000</v>
      </c>
    </row>
    <row r="25" spans="1:20" s="17" customFormat="1" x14ac:dyDescent="0.25">
      <c r="A25" s="26"/>
      <c r="B25" s="19" t="s">
        <v>1438</v>
      </c>
      <c r="C25" s="19" t="s">
        <v>633</v>
      </c>
      <c r="D25" s="20" t="s">
        <v>634</v>
      </c>
      <c r="E25" s="21" t="s">
        <v>1465</v>
      </c>
      <c r="F25" s="19">
        <v>8000</v>
      </c>
      <c r="G25" s="18">
        <v>40</v>
      </c>
      <c r="H25" s="18" t="s">
        <v>833</v>
      </c>
      <c r="I25" s="18" t="s">
        <v>30</v>
      </c>
      <c r="J25" s="23">
        <v>45021</v>
      </c>
      <c r="K25" s="18" t="s">
        <v>1462</v>
      </c>
      <c r="L25" s="26"/>
      <c r="M25" s="26"/>
      <c r="N25" s="26"/>
      <c r="O25" s="26"/>
      <c r="P25" s="26"/>
      <c r="Q25" s="26">
        <v>8000</v>
      </c>
      <c r="R25" s="26" t="s">
        <v>34</v>
      </c>
      <c r="S25" s="27">
        <v>110000</v>
      </c>
      <c r="T25" s="28">
        <f t="shared" si="2"/>
        <v>880000</v>
      </c>
    </row>
    <row r="26" spans="1:20" s="17" customFormat="1" x14ac:dyDescent="0.25">
      <c r="A26" s="26"/>
      <c r="B26" s="19" t="s">
        <v>1438</v>
      </c>
      <c r="C26" s="19" t="s">
        <v>633</v>
      </c>
      <c r="D26" s="20" t="s">
        <v>634</v>
      </c>
      <c r="E26" s="21" t="s">
        <v>1261</v>
      </c>
      <c r="F26" s="19">
        <v>7200</v>
      </c>
      <c r="G26" s="18">
        <v>36</v>
      </c>
      <c r="H26" s="18" t="s">
        <v>833</v>
      </c>
      <c r="I26" s="18" t="s">
        <v>30</v>
      </c>
      <c r="J26" s="23">
        <v>45021</v>
      </c>
      <c r="K26" s="19" t="s">
        <v>1462</v>
      </c>
      <c r="L26" s="26"/>
      <c r="M26" s="26"/>
      <c r="N26" s="26"/>
      <c r="O26" s="26"/>
      <c r="P26" s="26"/>
      <c r="Q26" s="26">
        <v>7200</v>
      </c>
      <c r="R26" s="26" t="s">
        <v>34</v>
      </c>
      <c r="S26" s="27">
        <v>110000</v>
      </c>
      <c r="T26" s="28">
        <f t="shared" si="2"/>
        <v>792000</v>
      </c>
    </row>
    <row r="27" spans="1:20" s="17" customFormat="1" x14ac:dyDescent="0.25">
      <c r="A27" s="25"/>
      <c r="B27" s="19" t="s">
        <v>1101</v>
      </c>
      <c r="C27" s="19" t="s">
        <v>57</v>
      </c>
      <c r="D27" s="20" t="s">
        <v>282</v>
      </c>
      <c r="E27" s="21" t="s">
        <v>1154</v>
      </c>
      <c r="F27" s="19">
        <v>3610</v>
      </c>
      <c r="G27" s="18">
        <v>19</v>
      </c>
      <c r="H27" s="18" t="s">
        <v>95</v>
      </c>
      <c r="I27" s="18" t="s">
        <v>30</v>
      </c>
      <c r="J27" s="23">
        <v>45021</v>
      </c>
      <c r="K27" s="19" t="s">
        <v>1466</v>
      </c>
      <c r="L27" s="26" t="s">
        <v>1467</v>
      </c>
      <c r="M27" s="26" t="s">
        <v>1468</v>
      </c>
      <c r="N27" s="26"/>
      <c r="O27" s="26"/>
      <c r="P27" s="26"/>
      <c r="Q27" s="26">
        <v>3610</v>
      </c>
      <c r="R27" s="26"/>
      <c r="S27" s="27">
        <v>115000</v>
      </c>
      <c r="T27" s="28">
        <f t="shared" si="2"/>
        <v>415150</v>
      </c>
    </row>
    <row r="28" spans="1:20" s="17" customFormat="1" x14ac:dyDescent="0.25">
      <c r="A28" s="25"/>
      <c r="B28" s="19" t="s">
        <v>1101</v>
      </c>
      <c r="C28" s="19" t="s">
        <v>57</v>
      </c>
      <c r="D28" s="20" t="s">
        <v>282</v>
      </c>
      <c r="E28" s="21" t="s">
        <v>1257</v>
      </c>
      <c r="F28" s="19">
        <v>9310</v>
      </c>
      <c r="G28" s="18">
        <v>49</v>
      </c>
      <c r="H28" s="18" t="s">
        <v>95</v>
      </c>
      <c r="I28" s="18" t="s">
        <v>30</v>
      </c>
      <c r="J28" s="23">
        <v>45021</v>
      </c>
      <c r="K28" s="19" t="s">
        <v>1466</v>
      </c>
      <c r="L28" s="26"/>
      <c r="M28" s="26"/>
      <c r="N28" s="26"/>
      <c r="O28" s="26"/>
      <c r="P28" s="26"/>
      <c r="Q28" s="26">
        <v>9310</v>
      </c>
      <c r="R28" s="26"/>
      <c r="S28" s="27">
        <v>115000</v>
      </c>
      <c r="T28" s="28">
        <f t="shared" si="2"/>
        <v>1070650</v>
      </c>
    </row>
    <row r="29" spans="1:20" s="17" customFormat="1" x14ac:dyDescent="0.25">
      <c r="A29" s="25"/>
      <c r="B29" s="19" t="s">
        <v>1101</v>
      </c>
      <c r="C29" s="19" t="s">
        <v>57</v>
      </c>
      <c r="D29" s="20" t="s">
        <v>282</v>
      </c>
      <c r="E29" s="21" t="s">
        <v>1260</v>
      </c>
      <c r="F29" s="19">
        <v>2280</v>
      </c>
      <c r="G29" s="18">
        <v>12</v>
      </c>
      <c r="H29" s="18" t="s">
        <v>95</v>
      </c>
      <c r="I29" s="18" t="s">
        <v>30</v>
      </c>
      <c r="J29" s="23">
        <v>45021</v>
      </c>
      <c r="K29" s="19" t="s">
        <v>1466</v>
      </c>
      <c r="L29" s="26"/>
      <c r="M29" s="26"/>
      <c r="N29" s="26"/>
      <c r="O29" s="26"/>
      <c r="P29" s="26"/>
      <c r="Q29" s="26">
        <v>2280</v>
      </c>
      <c r="R29" s="26"/>
      <c r="S29" s="27">
        <v>115000</v>
      </c>
      <c r="T29" s="28">
        <f t="shared" si="2"/>
        <v>262200</v>
      </c>
    </row>
    <row r="30" spans="1:20" s="17" customFormat="1" x14ac:dyDescent="0.25">
      <c r="A30" s="25"/>
      <c r="B30" s="19" t="s">
        <v>1101</v>
      </c>
      <c r="C30" s="19" t="s">
        <v>57</v>
      </c>
      <c r="D30" s="20" t="s">
        <v>1088</v>
      </c>
      <c r="E30" s="21" t="s">
        <v>1458</v>
      </c>
      <c r="F30" s="19">
        <v>1587.6</v>
      </c>
      <c r="G30" s="18">
        <v>70</v>
      </c>
      <c r="H30" s="18" t="s">
        <v>95</v>
      </c>
      <c r="I30" s="18" t="s">
        <v>30</v>
      </c>
      <c r="J30" s="23">
        <v>45021</v>
      </c>
      <c r="K30" s="19" t="s">
        <v>1466</v>
      </c>
      <c r="L30" s="26"/>
      <c r="M30" s="26"/>
      <c r="N30" s="26"/>
      <c r="O30" s="26"/>
      <c r="P30" s="26">
        <v>1587.6</v>
      </c>
      <c r="Q30" s="26"/>
      <c r="R30" s="26"/>
      <c r="S30" s="27">
        <v>245000</v>
      </c>
      <c r="T30" s="28">
        <f t="shared" si="2"/>
        <v>388962</v>
      </c>
    </row>
    <row r="31" spans="1:20" s="17" customFormat="1" x14ac:dyDescent="0.25">
      <c r="A31" s="26"/>
      <c r="B31" s="19" t="s">
        <v>1469</v>
      </c>
      <c r="C31" s="19" t="s">
        <v>26</v>
      </c>
      <c r="D31" s="20" t="s">
        <v>1470</v>
      </c>
      <c r="E31" s="21" t="s">
        <v>1471</v>
      </c>
      <c r="F31" s="19">
        <v>13680</v>
      </c>
      <c r="G31" s="18">
        <v>76</v>
      </c>
      <c r="H31" s="18" t="s">
        <v>129</v>
      </c>
      <c r="I31" s="18" t="s">
        <v>30</v>
      </c>
      <c r="J31" s="23">
        <v>45022</v>
      </c>
      <c r="K31" s="18" t="s">
        <v>1472</v>
      </c>
      <c r="L31" s="26" t="s">
        <v>1473</v>
      </c>
      <c r="M31" s="26" t="s">
        <v>1474</v>
      </c>
      <c r="N31" s="26"/>
      <c r="O31" s="26"/>
      <c r="P31" s="26"/>
      <c r="Q31" s="26">
        <v>13680</v>
      </c>
      <c r="R31" s="26" t="s">
        <v>34</v>
      </c>
      <c r="S31" s="27">
        <v>230000</v>
      </c>
      <c r="T31" s="28">
        <f t="shared" si="2"/>
        <v>3146400</v>
      </c>
    </row>
    <row r="32" spans="1:20" s="17" customFormat="1" x14ac:dyDescent="0.25">
      <c r="A32" s="26"/>
      <c r="B32" s="19" t="s">
        <v>786</v>
      </c>
      <c r="C32" s="19" t="s">
        <v>26</v>
      </c>
      <c r="D32" s="20" t="s">
        <v>27</v>
      </c>
      <c r="E32" s="21" t="s">
        <v>1257</v>
      </c>
      <c r="F32" s="19">
        <v>3000</v>
      </c>
      <c r="G32" s="18">
        <v>120</v>
      </c>
      <c r="H32" s="18" t="s">
        <v>129</v>
      </c>
      <c r="I32" s="18" t="s">
        <v>30</v>
      </c>
      <c r="J32" s="23">
        <v>45022</v>
      </c>
      <c r="K32" s="18" t="s">
        <v>1472</v>
      </c>
      <c r="L32" s="26" t="s">
        <v>1473</v>
      </c>
      <c r="M32" s="26" t="s">
        <v>1474</v>
      </c>
      <c r="N32" s="26"/>
      <c r="O32" s="26">
        <v>3000</v>
      </c>
      <c r="P32" s="26"/>
      <c r="Q32" s="26"/>
      <c r="R32" s="26" t="s">
        <v>34</v>
      </c>
      <c r="S32" s="27">
        <v>41000</v>
      </c>
      <c r="T32" s="28">
        <f t="shared" si="2"/>
        <v>123000</v>
      </c>
    </row>
    <row r="33" spans="1:20" s="17" customFormat="1" x14ac:dyDescent="0.25">
      <c r="A33" s="26"/>
      <c r="B33" s="19" t="s">
        <v>1475</v>
      </c>
      <c r="C33" s="19" t="s">
        <v>26</v>
      </c>
      <c r="D33" s="20" t="s">
        <v>754</v>
      </c>
      <c r="E33" s="21" t="s">
        <v>1471</v>
      </c>
      <c r="F33" s="19">
        <v>20000</v>
      </c>
      <c r="G33" s="18">
        <v>1000</v>
      </c>
      <c r="H33" s="18" t="s">
        <v>129</v>
      </c>
      <c r="I33" s="18" t="s">
        <v>30</v>
      </c>
      <c r="J33" s="23">
        <v>45022</v>
      </c>
      <c r="K33" s="18" t="s">
        <v>1476</v>
      </c>
      <c r="L33" s="26" t="s">
        <v>1477</v>
      </c>
      <c r="M33" s="26" t="s">
        <v>1478</v>
      </c>
      <c r="N33" s="26"/>
      <c r="O33" s="26"/>
      <c r="P33" s="26">
        <v>20000</v>
      </c>
      <c r="Q33" s="26"/>
      <c r="R33" s="26"/>
      <c r="S33" s="27">
        <v>73000</v>
      </c>
      <c r="T33" s="28">
        <f t="shared" si="2"/>
        <v>1460000</v>
      </c>
    </row>
    <row r="34" spans="1:20" s="17" customFormat="1" x14ac:dyDescent="0.25">
      <c r="A34" s="25"/>
      <c r="B34" s="19" t="s">
        <v>1422</v>
      </c>
      <c r="C34" s="19" t="s">
        <v>57</v>
      </c>
      <c r="D34" s="20" t="s">
        <v>58</v>
      </c>
      <c r="E34" s="21" t="s">
        <v>942</v>
      </c>
      <c r="F34" s="19">
        <v>11113.2</v>
      </c>
      <c r="G34" s="18">
        <v>490</v>
      </c>
      <c r="H34" s="18" t="s">
        <v>29</v>
      </c>
      <c r="I34" s="18" t="s">
        <v>30</v>
      </c>
      <c r="J34" s="23">
        <v>45022</v>
      </c>
      <c r="K34" s="19" t="s">
        <v>1479</v>
      </c>
      <c r="L34" s="26" t="s">
        <v>1480</v>
      </c>
      <c r="M34" s="26" t="s">
        <v>1481</v>
      </c>
      <c r="N34" s="26"/>
      <c r="O34" s="26">
        <v>11113.2</v>
      </c>
      <c r="P34" s="26"/>
      <c r="Q34" s="26"/>
      <c r="R34" s="26"/>
      <c r="S34" s="27">
        <v>49500</v>
      </c>
      <c r="T34" s="28">
        <f t="shared" si="2"/>
        <v>550103.4</v>
      </c>
    </row>
    <row r="35" spans="1:20" s="17" customFormat="1" x14ac:dyDescent="0.25">
      <c r="A35" s="25"/>
      <c r="B35" s="19" t="s">
        <v>1101</v>
      </c>
      <c r="C35" s="19" t="s">
        <v>57</v>
      </c>
      <c r="D35" s="20" t="s">
        <v>282</v>
      </c>
      <c r="E35" s="21" t="s">
        <v>1260</v>
      </c>
      <c r="F35" s="19">
        <v>6080</v>
      </c>
      <c r="G35" s="18">
        <v>32</v>
      </c>
      <c r="H35" s="18" t="s">
        <v>29</v>
      </c>
      <c r="I35" s="18" t="s">
        <v>30</v>
      </c>
      <c r="J35" s="23">
        <v>45022</v>
      </c>
      <c r="K35" s="19" t="s">
        <v>1479</v>
      </c>
      <c r="L35" s="26"/>
      <c r="M35" s="26"/>
      <c r="N35" s="26"/>
      <c r="O35" s="26"/>
      <c r="P35" s="26"/>
      <c r="Q35" s="26">
        <v>6080</v>
      </c>
      <c r="R35" s="26"/>
      <c r="S35" s="27">
        <v>115000</v>
      </c>
      <c r="T35" s="28">
        <f t="shared" si="2"/>
        <v>699200</v>
      </c>
    </row>
    <row r="36" spans="1:20" s="17" customFormat="1" x14ac:dyDescent="0.25">
      <c r="A36" s="26"/>
      <c r="B36" s="19" t="s">
        <v>678</v>
      </c>
      <c r="C36" s="19" t="s">
        <v>65</v>
      </c>
      <c r="D36" s="20" t="s">
        <v>74</v>
      </c>
      <c r="E36" s="21" t="s">
        <v>1482</v>
      </c>
      <c r="F36" s="19">
        <v>20000</v>
      </c>
      <c r="G36" s="18">
        <v>800</v>
      </c>
      <c r="H36" s="18" t="s">
        <v>29</v>
      </c>
      <c r="I36" s="18" t="s">
        <v>30</v>
      </c>
      <c r="J36" s="23">
        <v>45026</v>
      </c>
      <c r="K36" s="18" t="s">
        <v>1483</v>
      </c>
      <c r="L36" s="19"/>
      <c r="M36" s="19" t="s">
        <v>1484</v>
      </c>
      <c r="N36" s="26"/>
      <c r="O36" s="26">
        <v>20000</v>
      </c>
      <c r="P36" s="26"/>
      <c r="Q36" s="26"/>
      <c r="R36" s="26"/>
      <c r="S36" s="27">
        <v>45000</v>
      </c>
      <c r="T36" s="28">
        <f t="shared" si="1"/>
        <v>900000</v>
      </c>
    </row>
    <row r="37" spans="1:20" s="17" customFormat="1" x14ac:dyDescent="0.25">
      <c r="A37" s="26"/>
      <c r="B37" s="19" t="s">
        <v>1475</v>
      </c>
      <c r="C37" s="19" t="s">
        <v>26</v>
      </c>
      <c r="D37" s="20" t="s">
        <v>754</v>
      </c>
      <c r="E37" s="21" t="s">
        <v>1485</v>
      </c>
      <c r="F37" s="19">
        <v>20000</v>
      </c>
      <c r="G37" s="18">
        <v>1000</v>
      </c>
      <c r="H37" s="18" t="s">
        <v>129</v>
      </c>
      <c r="I37" s="18" t="s">
        <v>30</v>
      </c>
      <c r="J37" s="23">
        <v>45026</v>
      </c>
      <c r="K37" s="18" t="s">
        <v>1400</v>
      </c>
      <c r="L37" s="26" t="s">
        <v>1401</v>
      </c>
      <c r="M37" s="26" t="s">
        <v>1402</v>
      </c>
      <c r="N37" s="26"/>
      <c r="O37" s="26"/>
      <c r="P37" s="26">
        <v>20000</v>
      </c>
      <c r="Q37" s="26"/>
      <c r="R37" s="26" t="s">
        <v>34</v>
      </c>
      <c r="S37" s="27">
        <v>73000</v>
      </c>
      <c r="T37" s="28">
        <f t="shared" ref="T37:T61" si="3">S37*(F37/1000)</f>
        <v>1460000</v>
      </c>
    </row>
    <row r="38" spans="1:20" s="17" customFormat="1" x14ac:dyDescent="0.25">
      <c r="A38" s="26"/>
      <c r="B38" s="19">
        <v>42243</v>
      </c>
      <c r="C38" s="19" t="s">
        <v>175</v>
      </c>
      <c r="D38" s="20" t="s">
        <v>176</v>
      </c>
      <c r="E38" s="21" t="s">
        <v>1471</v>
      </c>
      <c r="F38" s="19">
        <v>15890</v>
      </c>
      <c r="G38" s="18">
        <v>700</v>
      </c>
      <c r="H38" s="18" t="s">
        <v>129</v>
      </c>
      <c r="I38" s="18" t="s">
        <v>30</v>
      </c>
      <c r="J38" s="23">
        <v>45026</v>
      </c>
      <c r="K38" s="18" t="s">
        <v>454</v>
      </c>
      <c r="L38" s="26" t="s">
        <v>747</v>
      </c>
      <c r="M38" s="26" t="s">
        <v>748</v>
      </c>
      <c r="N38" s="26"/>
      <c r="O38" s="26">
        <v>15890</v>
      </c>
      <c r="P38" s="26"/>
      <c r="Q38" s="26"/>
      <c r="R38" s="26" t="s">
        <v>34</v>
      </c>
      <c r="S38" s="27">
        <v>41400</v>
      </c>
      <c r="T38" s="28">
        <f t="shared" si="3"/>
        <v>657846</v>
      </c>
    </row>
    <row r="39" spans="1:20" s="17" customFormat="1" x14ac:dyDescent="0.25">
      <c r="A39" s="26"/>
      <c r="B39" s="19">
        <v>42243</v>
      </c>
      <c r="C39" s="19" t="s">
        <v>175</v>
      </c>
      <c r="D39" s="20" t="s">
        <v>176</v>
      </c>
      <c r="E39" s="21" t="s">
        <v>1486</v>
      </c>
      <c r="F39" s="19">
        <v>3972.5</v>
      </c>
      <c r="G39" s="18">
        <v>175</v>
      </c>
      <c r="H39" s="18" t="s">
        <v>129</v>
      </c>
      <c r="I39" s="18" t="s">
        <v>30</v>
      </c>
      <c r="J39" s="23">
        <v>45026</v>
      </c>
      <c r="K39" s="18" t="s">
        <v>454</v>
      </c>
      <c r="L39" s="26"/>
      <c r="M39" s="26"/>
      <c r="N39" s="26"/>
      <c r="O39" s="26">
        <v>3972.5</v>
      </c>
      <c r="P39" s="26"/>
      <c r="Q39" s="26"/>
      <c r="R39" s="26" t="s">
        <v>34</v>
      </c>
      <c r="S39" s="27">
        <v>41400</v>
      </c>
      <c r="T39" s="28">
        <f t="shared" si="3"/>
        <v>164461.5</v>
      </c>
    </row>
    <row r="40" spans="1:20" s="17" customFormat="1" x14ac:dyDescent="0.25">
      <c r="A40" s="25"/>
      <c r="B40" s="19" t="s">
        <v>1487</v>
      </c>
      <c r="C40" s="19" t="s">
        <v>57</v>
      </c>
      <c r="D40" s="20" t="s">
        <v>58</v>
      </c>
      <c r="E40" s="21" t="s">
        <v>1441</v>
      </c>
      <c r="F40" s="19">
        <v>19845</v>
      </c>
      <c r="G40" s="18">
        <v>875</v>
      </c>
      <c r="H40" s="18" t="s">
        <v>129</v>
      </c>
      <c r="I40" s="18" t="s">
        <v>30</v>
      </c>
      <c r="J40" s="23">
        <v>45026</v>
      </c>
      <c r="K40" s="19" t="s">
        <v>1488</v>
      </c>
      <c r="L40" s="26" t="s">
        <v>1489</v>
      </c>
      <c r="M40" s="26" t="s">
        <v>1490</v>
      </c>
      <c r="N40" s="26"/>
      <c r="O40" s="26">
        <v>19845</v>
      </c>
      <c r="P40" s="26"/>
      <c r="Q40" s="26"/>
      <c r="R40" s="26" t="s">
        <v>34</v>
      </c>
      <c r="S40" s="27">
        <v>49500</v>
      </c>
      <c r="T40" s="28">
        <f t="shared" si="3"/>
        <v>982327.5</v>
      </c>
    </row>
    <row r="41" spans="1:20" s="17" customFormat="1" x14ac:dyDescent="0.25">
      <c r="A41" s="26"/>
      <c r="B41" s="19" t="s">
        <v>413</v>
      </c>
      <c r="C41" s="19" t="s">
        <v>913</v>
      </c>
      <c r="D41" s="20" t="s">
        <v>86</v>
      </c>
      <c r="E41" s="21" t="s">
        <v>1491</v>
      </c>
      <c r="F41" s="19">
        <v>20000</v>
      </c>
      <c r="G41" s="18">
        <v>800</v>
      </c>
      <c r="H41" s="18" t="s">
        <v>338</v>
      </c>
      <c r="I41" s="18" t="s">
        <v>30</v>
      </c>
      <c r="J41" s="23">
        <v>45027</v>
      </c>
      <c r="K41" s="19" t="s">
        <v>1492</v>
      </c>
      <c r="L41" s="19" t="s">
        <v>1493</v>
      </c>
      <c r="M41" s="19" t="s">
        <v>1494</v>
      </c>
      <c r="N41" s="26"/>
      <c r="O41" s="26">
        <v>20000</v>
      </c>
      <c r="P41" s="26"/>
      <c r="Q41" s="26"/>
      <c r="R41" s="26" t="s">
        <v>34</v>
      </c>
      <c r="S41" s="27">
        <v>41000</v>
      </c>
      <c r="T41" s="28">
        <f t="shared" si="3"/>
        <v>820000</v>
      </c>
    </row>
    <row r="42" spans="1:20" s="17" customFormat="1" x14ac:dyDescent="0.25">
      <c r="A42" s="26"/>
      <c r="B42" s="19">
        <v>42244</v>
      </c>
      <c r="C42" s="19" t="s">
        <v>175</v>
      </c>
      <c r="D42" s="20" t="s">
        <v>176</v>
      </c>
      <c r="E42" s="21" t="s">
        <v>1148</v>
      </c>
      <c r="F42" s="19">
        <v>19862.5</v>
      </c>
      <c r="G42" s="18">
        <v>875</v>
      </c>
      <c r="H42" s="18" t="s">
        <v>583</v>
      </c>
      <c r="I42" s="18" t="s">
        <v>30</v>
      </c>
      <c r="J42" s="23">
        <v>45027</v>
      </c>
      <c r="K42" s="18" t="s">
        <v>1495</v>
      </c>
      <c r="L42" s="26" t="s">
        <v>1496</v>
      </c>
      <c r="M42" s="26" t="s">
        <v>1497</v>
      </c>
      <c r="N42" s="26"/>
      <c r="O42" s="26">
        <v>19862.5</v>
      </c>
      <c r="P42" s="26"/>
      <c r="Q42" s="26"/>
      <c r="R42" s="26"/>
      <c r="S42" s="27">
        <v>41400</v>
      </c>
      <c r="T42" s="28">
        <f t="shared" si="3"/>
        <v>822307.5</v>
      </c>
    </row>
    <row r="43" spans="1:20" s="17" customFormat="1" x14ac:dyDescent="0.25">
      <c r="A43" s="26"/>
      <c r="B43" s="19" t="s">
        <v>1275</v>
      </c>
      <c r="C43" s="19" t="s">
        <v>893</v>
      </c>
      <c r="D43" s="20" t="s">
        <v>1498</v>
      </c>
      <c r="E43" s="21" t="s">
        <v>1426</v>
      </c>
      <c r="F43" s="19">
        <v>8740</v>
      </c>
      <c r="G43" s="18">
        <v>46</v>
      </c>
      <c r="H43" s="18" t="s">
        <v>448</v>
      </c>
      <c r="I43" s="18" t="s">
        <v>30</v>
      </c>
      <c r="J43" s="23">
        <v>45027</v>
      </c>
      <c r="K43" s="18" t="s">
        <v>812</v>
      </c>
      <c r="L43" s="26" t="s">
        <v>1499</v>
      </c>
      <c r="M43" s="26" t="s">
        <v>1500</v>
      </c>
      <c r="N43" s="26"/>
      <c r="O43" s="26"/>
      <c r="P43" s="26"/>
      <c r="Q43" s="26">
        <v>8740</v>
      </c>
      <c r="R43" s="26"/>
      <c r="S43" s="27">
        <v>165000</v>
      </c>
      <c r="T43" s="28">
        <f t="shared" ref="T43:T44" si="4">F43/1000*S43</f>
        <v>1442100</v>
      </c>
    </row>
    <row r="44" spans="1:20" s="17" customFormat="1" x14ac:dyDescent="0.25">
      <c r="A44" s="26"/>
      <c r="B44" s="19" t="s">
        <v>1275</v>
      </c>
      <c r="C44" s="19" t="s">
        <v>893</v>
      </c>
      <c r="D44" s="20" t="s">
        <v>1498</v>
      </c>
      <c r="E44" s="21" t="s">
        <v>1257</v>
      </c>
      <c r="F44" s="19">
        <v>7980</v>
      </c>
      <c r="G44" s="18">
        <v>42</v>
      </c>
      <c r="H44" s="18" t="s">
        <v>448</v>
      </c>
      <c r="I44" s="18" t="s">
        <v>30</v>
      </c>
      <c r="J44" s="23">
        <v>45027</v>
      </c>
      <c r="K44" s="18" t="s">
        <v>812</v>
      </c>
      <c r="L44" s="19"/>
      <c r="M44" s="19"/>
      <c r="N44" s="26"/>
      <c r="O44" s="26"/>
      <c r="P44" s="26"/>
      <c r="Q44" s="26">
        <v>7980</v>
      </c>
      <c r="R44" s="26"/>
      <c r="S44" s="27">
        <v>165000</v>
      </c>
      <c r="T44" s="28">
        <f t="shared" si="4"/>
        <v>1316700</v>
      </c>
    </row>
    <row r="45" spans="1:20" s="17" customFormat="1" x14ac:dyDescent="0.25">
      <c r="A45" s="26"/>
      <c r="B45" s="19" t="s">
        <v>1475</v>
      </c>
      <c r="C45" s="19" t="s">
        <v>26</v>
      </c>
      <c r="D45" s="20" t="s">
        <v>754</v>
      </c>
      <c r="E45" s="21" t="s">
        <v>1148</v>
      </c>
      <c r="F45" s="19">
        <v>20000</v>
      </c>
      <c r="G45" s="18">
        <v>1000</v>
      </c>
      <c r="H45" s="18" t="s">
        <v>129</v>
      </c>
      <c r="I45" s="18" t="s">
        <v>30</v>
      </c>
      <c r="J45" s="23">
        <v>45028</v>
      </c>
      <c r="K45" s="18" t="s">
        <v>482</v>
      </c>
      <c r="L45" s="19" t="s">
        <v>585</v>
      </c>
      <c r="M45" s="19" t="s">
        <v>408</v>
      </c>
      <c r="N45" s="26"/>
      <c r="O45" s="26"/>
      <c r="P45" s="26">
        <v>20000</v>
      </c>
      <c r="Q45" s="26"/>
      <c r="R45" s="26" t="s">
        <v>34</v>
      </c>
      <c r="S45" s="27">
        <v>73000</v>
      </c>
      <c r="T45" s="28">
        <f t="shared" si="3"/>
        <v>1460000</v>
      </c>
    </row>
    <row r="46" spans="1:20" s="17" customFormat="1" x14ac:dyDescent="0.25">
      <c r="A46" s="26"/>
      <c r="B46" s="19" t="s">
        <v>212</v>
      </c>
      <c r="C46" s="19" t="s">
        <v>491</v>
      </c>
      <c r="D46" s="20" t="s">
        <v>492</v>
      </c>
      <c r="E46" s="21" t="s">
        <v>1501</v>
      </c>
      <c r="F46" s="19">
        <v>20000</v>
      </c>
      <c r="G46" s="18">
        <v>800</v>
      </c>
      <c r="H46" s="18" t="s">
        <v>29</v>
      </c>
      <c r="I46" s="18" t="s">
        <v>30</v>
      </c>
      <c r="J46" s="23">
        <v>45028</v>
      </c>
      <c r="K46" s="18" t="s">
        <v>1502</v>
      </c>
      <c r="L46" s="26" t="s">
        <v>1503</v>
      </c>
      <c r="M46" s="26" t="s">
        <v>1504</v>
      </c>
      <c r="N46" s="26"/>
      <c r="O46" s="26"/>
      <c r="P46" s="26">
        <v>20000</v>
      </c>
      <c r="Q46" s="26"/>
      <c r="R46" s="26"/>
      <c r="S46" s="27">
        <v>242000</v>
      </c>
      <c r="T46" s="28">
        <f t="shared" si="3"/>
        <v>4840000</v>
      </c>
    </row>
    <row r="47" spans="1:20" s="17" customFormat="1" x14ac:dyDescent="0.25">
      <c r="A47" s="26"/>
      <c r="B47" s="19" t="s">
        <v>476</v>
      </c>
      <c r="C47" s="19" t="s">
        <v>491</v>
      </c>
      <c r="D47" s="20" t="s">
        <v>66</v>
      </c>
      <c r="E47" s="21" t="s">
        <v>1505</v>
      </c>
      <c r="F47" s="19">
        <v>200</v>
      </c>
      <c r="G47" s="18">
        <v>1</v>
      </c>
      <c r="H47" s="18" t="s">
        <v>29</v>
      </c>
      <c r="I47" s="18" t="s">
        <v>30</v>
      </c>
      <c r="J47" s="23">
        <v>45028</v>
      </c>
      <c r="K47" s="18" t="s">
        <v>1506</v>
      </c>
      <c r="L47" s="26" t="s">
        <v>1507</v>
      </c>
      <c r="M47" s="26" t="s">
        <v>1508</v>
      </c>
      <c r="N47" s="26"/>
      <c r="O47" s="26"/>
      <c r="P47" s="26"/>
      <c r="Q47" s="26">
        <v>200</v>
      </c>
      <c r="R47" s="26"/>
      <c r="S47" s="27">
        <v>85000</v>
      </c>
      <c r="T47" s="28">
        <f t="shared" si="3"/>
        <v>17000</v>
      </c>
    </row>
    <row r="48" spans="1:20" s="17" customFormat="1" x14ac:dyDescent="0.25">
      <c r="A48" s="26"/>
      <c r="B48" s="19" t="s">
        <v>476</v>
      </c>
      <c r="C48" s="19" t="s">
        <v>491</v>
      </c>
      <c r="D48" s="20" t="s">
        <v>66</v>
      </c>
      <c r="E48" s="21" t="s">
        <v>1509</v>
      </c>
      <c r="F48" s="19">
        <v>8600</v>
      </c>
      <c r="G48" s="18">
        <v>43</v>
      </c>
      <c r="H48" s="18" t="s">
        <v>29</v>
      </c>
      <c r="I48" s="18" t="s">
        <v>30</v>
      </c>
      <c r="J48" s="23">
        <v>45028</v>
      </c>
      <c r="K48" s="18" t="s">
        <v>1506</v>
      </c>
      <c r="L48" s="26"/>
      <c r="M48" s="26"/>
      <c r="N48" s="26"/>
      <c r="O48" s="26"/>
      <c r="P48" s="26"/>
      <c r="Q48" s="26">
        <v>8600</v>
      </c>
      <c r="R48" s="26"/>
      <c r="S48" s="27">
        <v>85000</v>
      </c>
      <c r="T48" s="28">
        <f t="shared" si="3"/>
        <v>731000</v>
      </c>
    </row>
    <row r="49" spans="1:20" s="17" customFormat="1" x14ac:dyDescent="0.25">
      <c r="A49" s="26"/>
      <c r="B49" s="19" t="s">
        <v>476</v>
      </c>
      <c r="C49" s="19" t="s">
        <v>491</v>
      </c>
      <c r="D49" s="20" t="s">
        <v>66</v>
      </c>
      <c r="E49" s="21" t="s">
        <v>1510</v>
      </c>
      <c r="F49" s="19">
        <v>6200</v>
      </c>
      <c r="G49" s="18">
        <v>31</v>
      </c>
      <c r="H49" s="18" t="s">
        <v>29</v>
      </c>
      <c r="I49" s="18" t="s">
        <v>30</v>
      </c>
      <c r="J49" s="23">
        <v>45028</v>
      </c>
      <c r="K49" s="18" t="s">
        <v>1506</v>
      </c>
      <c r="L49" s="26"/>
      <c r="M49" s="26"/>
      <c r="N49" s="26"/>
      <c r="O49" s="26"/>
      <c r="P49" s="26"/>
      <c r="Q49" s="26">
        <v>6200</v>
      </c>
      <c r="R49" s="26"/>
      <c r="S49" s="27">
        <v>85000</v>
      </c>
      <c r="T49" s="28">
        <f t="shared" si="3"/>
        <v>527000</v>
      </c>
    </row>
    <row r="50" spans="1:20" s="17" customFormat="1" x14ac:dyDescent="0.25">
      <c r="A50" s="26"/>
      <c r="B50" s="19" t="s">
        <v>476</v>
      </c>
      <c r="C50" s="19" t="s">
        <v>491</v>
      </c>
      <c r="D50" s="20" t="s">
        <v>66</v>
      </c>
      <c r="E50" s="21" t="s">
        <v>1511</v>
      </c>
      <c r="F50" s="19">
        <v>200</v>
      </c>
      <c r="G50" s="18">
        <v>1</v>
      </c>
      <c r="H50" s="18" t="s">
        <v>29</v>
      </c>
      <c r="I50" s="18" t="s">
        <v>30</v>
      </c>
      <c r="J50" s="23">
        <v>45028</v>
      </c>
      <c r="K50" s="18" t="s">
        <v>1506</v>
      </c>
      <c r="L50" s="26"/>
      <c r="M50" s="26"/>
      <c r="N50" s="26"/>
      <c r="O50" s="26"/>
      <c r="P50" s="26"/>
      <c r="Q50" s="26">
        <v>200</v>
      </c>
      <c r="R50" s="26"/>
      <c r="S50" s="27">
        <v>85000</v>
      </c>
      <c r="T50" s="28">
        <f t="shared" si="3"/>
        <v>17000</v>
      </c>
    </row>
    <row r="51" spans="1:20" s="17" customFormat="1" x14ac:dyDescent="0.25">
      <c r="A51" s="26"/>
      <c r="B51" s="19" t="s">
        <v>476</v>
      </c>
      <c r="C51" s="19" t="s">
        <v>491</v>
      </c>
      <c r="D51" s="20" t="s">
        <v>66</v>
      </c>
      <c r="E51" s="21" t="s">
        <v>1512</v>
      </c>
      <c r="F51" s="19">
        <v>2400</v>
      </c>
      <c r="G51" s="18">
        <v>12</v>
      </c>
      <c r="H51" s="18" t="s">
        <v>29</v>
      </c>
      <c r="I51" s="18" t="s">
        <v>30</v>
      </c>
      <c r="J51" s="23">
        <v>45028</v>
      </c>
      <c r="K51" s="18" t="s">
        <v>1506</v>
      </c>
      <c r="L51" s="26"/>
      <c r="M51" s="26"/>
      <c r="N51" s="26"/>
      <c r="O51" s="26"/>
      <c r="P51" s="26"/>
      <c r="Q51" s="26">
        <v>2400</v>
      </c>
      <c r="R51" s="26"/>
      <c r="S51" s="27">
        <v>85000</v>
      </c>
      <c r="T51" s="28">
        <f t="shared" si="3"/>
        <v>204000</v>
      </c>
    </row>
    <row r="52" spans="1:20" s="17" customFormat="1" x14ac:dyDescent="0.25">
      <c r="A52" s="26"/>
      <c r="B52" s="19" t="s">
        <v>476</v>
      </c>
      <c r="C52" s="19" t="s">
        <v>491</v>
      </c>
      <c r="D52" s="20" t="s">
        <v>66</v>
      </c>
      <c r="E52" s="21" t="s">
        <v>1511</v>
      </c>
      <c r="F52" s="19">
        <v>8000</v>
      </c>
      <c r="G52" s="18">
        <v>40</v>
      </c>
      <c r="H52" s="18" t="s">
        <v>29</v>
      </c>
      <c r="I52" s="18" t="s">
        <v>30</v>
      </c>
      <c r="J52" s="23">
        <v>45028</v>
      </c>
      <c r="K52" s="18" t="s">
        <v>1513</v>
      </c>
      <c r="L52" s="26" t="s">
        <v>1514</v>
      </c>
      <c r="M52" s="26" t="s">
        <v>1515</v>
      </c>
      <c r="N52" s="26"/>
      <c r="O52" s="26"/>
      <c r="P52" s="26"/>
      <c r="Q52" s="26">
        <v>8000</v>
      </c>
      <c r="R52" s="26"/>
      <c r="S52" s="27">
        <v>85000</v>
      </c>
      <c r="T52" s="28">
        <f t="shared" si="3"/>
        <v>680000</v>
      </c>
    </row>
    <row r="53" spans="1:20" s="17" customFormat="1" x14ac:dyDescent="0.25">
      <c r="A53" s="26"/>
      <c r="B53" s="19" t="s">
        <v>476</v>
      </c>
      <c r="C53" s="19" t="s">
        <v>491</v>
      </c>
      <c r="D53" s="20" t="s">
        <v>66</v>
      </c>
      <c r="E53" s="21" t="s">
        <v>1516</v>
      </c>
      <c r="F53" s="19">
        <v>6000</v>
      </c>
      <c r="G53" s="18">
        <v>30</v>
      </c>
      <c r="H53" s="18" t="s">
        <v>29</v>
      </c>
      <c r="I53" s="18" t="s">
        <v>30</v>
      </c>
      <c r="J53" s="23">
        <v>45028</v>
      </c>
      <c r="K53" s="18" t="s">
        <v>1513</v>
      </c>
      <c r="L53" s="26"/>
      <c r="M53" s="26"/>
      <c r="N53" s="26"/>
      <c r="O53" s="26"/>
      <c r="P53" s="26"/>
      <c r="Q53" s="26">
        <v>6000</v>
      </c>
      <c r="R53" s="26"/>
      <c r="S53" s="27">
        <v>85000</v>
      </c>
      <c r="T53" s="28">
        <f t="shared" si="3"/>
        <v>510000</v>
      </c>
    </row>
    <row r="54" spans="1:20" s="17" customFormat="1" x14ac:dyDescent="0.25">
      <c r="A54" s="26"/>
      <c r="B54" s="19" t="s">
        <v>476</v>
      </c>
      <c r="C54" s="19" t="s">
        <v>491</v>
      </c>
      <c r="D54" s="20" t="s">
        <v>66</v>
      </c>
      <c r="E54" s="21" t="s">
        <v>1154</v>
      </c>
      <c r="F54" s="19">
        <v>3600</v>
      </c>
      <c r="G54" s="18">
        <v>18</v>
      </c>
      <c r="H54" s="18" t="s">
        <v>29</v>
      </c>
      <c r="I54" s="18" t="s">
        <v>30</v>
      </c>
      <c r="J54" s="23">
        <v>45028</v>
      </c>
      <c r="K54" s="18" t="s">
        <v>1513</v>
      </c>
      <c r="L54" s="26"/>
      <c r="M54" s="26"/>
      <c r="N54" s="26"/>
      <c r="O54" s="26"/>
      <c r="P54" s="26"/>
      <c r="Q54" s="26">
        <v>3600</v>
      </c>
      <c r="R54" s="26"/>
      <c r="S54" s="27">
        <v>85000</v>
      </c>
      <c r="T54" s="28">
        <f t="shared" si="3"/>
        <v>306000</v>
      </c>
    </row>
    <row r="55" spans="1:20" s="17" customFormat="1" x14ac:dyDescent="0.25">
      <c r="A55" s="25"/>
      <c r="B55" s="19" t="s">
        <v>1517</v>
      </c>
      <c r="C55" s="19" t="s">
        <v>57</v>
      </c>
      <c r="D55" s="20" t="s">
        <v>98</v>
      </c>
      <c r="E55" s="21" t="s">
        <v>1518</v>
      </c>
      <c r="F55" s="19">
        <v>10000</v>
      </c>
      <c r="G55" s="18">
        <v>400</v>
      </c>
      <c r="H55" s="18" t="s">
        <v>1519</v>
      </c>
      <c r="I55" s="18" t="s">
        <v>30</v>
      </c>
      <c r="J55" s="23">
        <v>45029</v>
      </c>
      <c r="K55" s="19" t="s">
        <v>1520</v>
      </c>
      <c r="L55" s="26" t="s">
        <v>1521</v>
      </c>
      <c r="M55" s="26" t="s">
        <v>1522</v>
      </c>
      <c r="N55" s="26"/>
      <c r="O55" s="26"/>
      <c r="P55" s="26">
        <v>10000</v>
      </c>
      <c r="Q55" s="26"/>
      <c r="R55" s="26"/>
      <c r="S55" s="27">
        <v>275000</v>
      </c>
      <c r="T55" s="28">
        <f t="shared" si="3"/>
        <v>2750000</v>
      </c>
    </row>
    <row r="56" spans="1:20" s="17" customFormat="1" x14ac:dyDescent="0.25">
      <c r="A56" s="26"/>
      <c r="B56" s="19" t="s">
        <v>1523</v>
      </c>
      <c r="C56" s="19" t="s">
        <v>175</v>
      </c>
      <c r="D56" s="20" t="s">
        <v>176</v>
      </c>
      <c r="E56" s="21" t="s">
        <v>1257</v>
      </c>
      <c r="F56" s="19">
        <v>19862.5</v>
      </c>
      <c r="G56" s="18">
        <v>875</v>
      </c>
      <c r="H56" s="18" t="s">
        <v>975</v>
      </c>
      <c r="I56" s="18" t="s">
        <v>30</v>
      </c>
      <c r="J56" s="23">
        <v>45030</v>
      </c>
      <c r="K56" s="18" t="s">
        <v>424</v>
      </c>
      <c r="L56" s="26" t="s">
        <v>425</v>
      </c>
      <c r="M56" s="26" t="s">
        <v>63</v>
      </c>
      <c r="N56" s="26"/>
      <c r="O56" s="26">
        <v>19862.5</v>
      </c>
      <c r="P56" s="26"/>
      <c r="Q56" s="26"/>
      <c r="R56" s="26"/>
      <c r="S56" s="27">
        <v>41400</v>
      </c>
      <c r="T56" s="28">
        <f t="shared" si="3"/>
        <v>822307.5</v>
      </c>
    </row>
    <row r="57" spans="1:20" s="17" customFormat="1" x14ac:dyDescent="0.25">
      <c r="A57" s="26"/>
      <c r="B57" s="19">
        <v>42243</v>
      </c>
      <c r="C57" s="19" t="s">
        <v>175</v>
      </c>
      <c r="D57" s="20" t="s">
        <v>176</v>
      </c>
      <c r="E57" s="21" t="s">
        <v>1426</v>
      </c>
      <c r="F57" s="19">
        <v>19862.5</v>
      </c>
      <c r="G57" s="18">
        <v>875</v>
      </c>
      <c r="H57" s="18" t="s">
        <v>129</v>
      </c>
      <c r="I57" s="18" t="s">
        <v>30</v>
      </c>
      <c r="J57" s="23">
        <v>45030</v>
      </c>
      <c r="K57" s="18" t="s">
        <v>1138</v>
      </c>
      <c r="L57" s="26" t="s">
        <v>1139</v>
      </c>
      <c r="M57" s="26" t="s">
        <v>1140</v>
      </c>
      <c r="N57" s="26"/>
      <c r="O57" s="26">
        <v>19862.5</v>
      </c>
      <c r="P57" s="26"/>
      <c r="Q57" s="26"/>
      <c r="R57" s="26" t="s">
        <v>34</v>
      </c>
      <c r="S57" s="27">
        <v>41400</v>
      </c>
      <c r="T57" s="28">
        <f t="shared" si="3"/>
        <v>822307.5</v>
      </c>
    </row>
    <row r="58" spans="1:20" s="17" customFormat="1" x14ac:dyDescent="0.25">
      <c r="A58" s="25"/>
      <c r="B58" s="19" t="s">
        <v>108</v>
      </c>
      <c r="C58" s="19" t="s">
        <v>679</v>
      </c>
      <c r="D58" s="20" t="s">
        <v>680</v>
      </c>
      <c r="E58" s="21" t="s">
        <v>1280</v>
      </c>
      <c r="F58" s="19">
        <v>6400</v>
      </c>
      <c r="G58" s="18">
        <v>32</v>
      </c>
      <c r="H58" s="18" t="s">
        <v>29</v>
      </c>
      <c r="I58" s="18" t="s">
        <v>30</v>
      </c>
      <c r="J58" s="23">
        <v>45030</v>
      </c>
      <c r="K58" s="19" t="s">
        <v>1524</v>
      </c>
      <c r="L58" s="26"/>
      <c r="M58" s="26" t="s">
        <v>1525</v>
      </c>
      <c r="N58" s="26"/>
      <c r="O58" s="26"/>
      <c r="P58" s="26"/>
      <c r="Q58" s="26">
        <v>6400</v>
      </c>
      <c r="R58" s="26"/>
      <c r="S58" s="27">
        <v>110000</v>
      </c>
      <c r="T58" s="28">
        <f t="shared" si="3"/>
        <v>704000</v>
      </c>
    </row>
    <row r="59" spans="1:20" s="17" customFormat="1" x14ac:dyDescent="0.25">
      <c r="A59" s="26"/>
      <c r="B59" s="19" t="s">
        <v>108</v>
      </c>
      <c r="C59" s="19" t="s">
        <v>491</v>
      </c>
      <c r="D59" s="20" t="s">
        <v>571</v>
      </c>
      <c r="E59" s="21" t="s">
        <v>1526</v>
      </c>
      <c r="F59" s="19">
        <v>20000</v>
      </c>
      <c r="G59" s="18">
        <v>800</v>
      </c>
      <c r="H59" s="18" t="s">
        <v>29</v>
      </c>
      <c r="I59" s="18" t="s">
        <v>30</v>
      </c>
      <c r="J59" s="23">
        <v>45033</v>
      </c>
      <c r="K59" s="18" t="s">
        <v>1527</v>
      </c>
      <c r="L59" s="26" t="s">
        <v>1528</v>
      </c>
      <c r="M59" s="26" t="s">
        <v>1529</v>
      </c>
      <c r="N59" s="26"/>
      <c r="O59" s="26">
        <v>20000</v>
      </c>
      <c r="P59" s="26"/>
      <c r="Q59" s="26"/>
      <c r="R59" s="26"/>
      <c r="S59" s="27">
        <v>44480</v>
      </c>
      <c r="T59" s="28">
        <f t="shared" si="3"/>
        <v>889600</v>
      </c>
    </row>
    <row r="60" spans="1:20" s="17" customFormat="1" x14ac:dyDescent="0.25">
      <c r="A60" s="25"/>
      <c r="B60" s="19" t="s">
        <v>786</v>
      </c>
      <c r="C60" s="19" t="s">
        <v>1530</v>
      </c>
      <c r="D60" s="20" t="s">
        <v>1531</v>
      </c>
      <c r="E60" s="21" t="s">
        <v>1318</v>
      </c>
      <c r="F60" s="19">
        <v>5670</v>
      </c>
      <c r="G60" s="18">
        <v>405</v>
      </c>
      <c r="H60" s="18" t="s">
        <v>1532</v>
      </c>
      <c r="I60" s="18" t="s">
        <v>30</v>
      </c>
      <c r="J60" s="23">
        <v>45034</v>
      </c>
      <c r="K60" s="19" t="s">
        <v>1533</v>
      </c>
      <c r="L60" s="26" t="s">
        <v>1534</v>
      </c>
      <c r="M60" s="26" t="s">
        <v>1535</v>
      </c>
      <c r="N60" s="26"/>
      <c r="O60" s="26"/>
      <c r="P60" s="26">
        <v>5670</v>
      </c>
      <c r="Q60" s="26"/>
      <c r="R60" s="26" t="s">
        <v>34</v>
      </c>
      <c r="S60" s="27">
        <v>240000</v>
      </c>
      <c r="T60" s="28">
        <f t="shared" si="3"/>
        <v>1360800</v>
      </c>
    </row>
    <row r="61" spans="1:20" s="17" customFormat="1" x14ac:dyDescent="0.25">
      <c r="A61" s="25"/>
      <c r="B61" s="19" t="s">
        <v>786</v>
      </c>
      <c r="C61" s="19" t="s">
        <v>1530</v>
      </c>
      <c r="D61" s="20" t="s">
        <v>864</v>
      </c>
      <c r="E61" s="21" t="s">
        <v>1536</v>
      </c>
      <c r="F61" s="19">
        <v>14202</v>
      </c>
      <c r="G61" s="18">
        <v>789</v>
      </c>
      <c r="H61" s="18" t="s">
        <v>1532</v>
      </c>
      <c r="I61" s="18" t="s">
        <v>30</v>
      </c>
      <c r="J61" s="23">
        <v>45034</v>
      </c>
      <c r="K61" s="19" t="s">
        <v>1533</v>
      </c>
      <c r="L61" s="26"/>
      <c r="M61" s="26"/>
      <c r="N61" s="26"/>
      <c r="O61" s="26"/>
      <c r="P61" s="26">
        <v>14202</v>
      </c>
      <c r="Q61" s="26"/>
      <c r="R61" s="26" t="s">
        <v>34</v>
      </c>
      <c r="S61" s="27">
        <v>210000</v>
      </c>
      <c r="T61" s="28">
        <f t="shared" si="3"/>
        <v>2982420</v>
      </c>
    </row>
    <row r="62" spans="1:20" s="17" customFormat="1" x14ac:dyDescent="0.25">
      <c r="A62" s="26"/>
      <c r="B62" s="19" t="s">
        <v>1262</v>
      </c>
      <c r="C62" s="19" t="s">
        <v>893</v>
      </c>
      <c r="D62" s="20" t="s">
        <v>1498</v>
      </c>
      <c r="E62" s="21" t="s">
        <v>1280</v>
      </c>
      <c r="F62" s="19">
        <v>8360</v>
      </c>
      <c r="G62" s="18">
        <v>44</v>
      </c>
      <c r="H62" s="18" t="s">
        <v>423</v>
      </c>
      <c r="I62" s="18" t="s">
        <v>30</v>
      </c>
      <c r="J62" s="23">
        <v>45034</v>
      </c>
      <c r="K62" s="18" t="s">
        <v>1537</v>
      </c>
      <c r="L62" s="19"/>
      <c r="M62" s="19" t="s">
        <v>1538</v>
      </c>
      <c r="N62" s="26"/>
      <c r="O62" s="26"/>
      <c r="P62" s="26"/>
      <c r="Q62" s="26">
        <v>8360</v>
      </c>
      <c r="R62" s="26"/>
      <c r="S62" s="27">
        <v>165000</v>
      </c>
      <c r="T62" s="28">
        <f t="shared" ref="T62:T65" si="5">F62/1000*S62</f>
        <v>1379400</v>
      </c>
    </row>
    <row r="63" spans="1:20" s="17" customFormat="1" x14ac:dyDescent="0.25">
      <c r="A63" s="26"/>
      <c r="B63" s="19" t="s">
        <v>1262</v>
      </c>
      <c r="C63" s="19" t="s">
        <v>893</v>
      </c>
      <c r="D63" s="20" t="s">
        <v>1498</v>
      </c>
      <c r="E63" s="21" t="s">
        <v>1536</v>
      </c>
      <c r="F63" s="19">
        <v>8360</v>
      </c>
      <c r="G63" s="18">
        <v>44</v>
      </c>
      <c r="H63" s="18" t="s">
        <v>423</v>
      </c>
      <c r="I63" s="18" t="s">
        <v>30</v>
      </c>
      <c r="J63" s="23">
        <v>45034</v>
      </c>
      <c r="K63" s="18" t="s">
        <v>1537</v>
      </c>
      <c r="L63" s="19"/>
      <c r="M63" s="19"/>
      <c r="N63" s="26"/>
      <c r="O63" s="26"/>
      <c r="P63" s="26"/>
      <c r="Q63" s="26">
        <v>8360</v>
      </c>
      <c r="R63" s="26"/>
      <c r="S63" s="27">
        <v>165000</v>
      </c>
      <c r="T63" s="28">
        <f t="shared" si="5"/>
        <v>1379400</v>
      </c>
    </row>
    <row r="64" spans="1:20" s="17" customFormat="1" x14ac:dyDescent="0.25">
      <c r="A64" s="26"/>
      <c r="B64" s="19" t="s">
        <v>1262</v>
      </c>
      <c r="C64" s="19" t="s">
        <v>893</v>
      </c>
      <c r="D64" s="20" t="s">
        <v>421</v>
      </c>
      <c r="E64" s="21" t="s">
        <v>1491</v>
      </c>
      <c r="F64" s="19">
        <v>11200</v>
      </c>
      <c r="G64" s="18">
        <v>56</v>
      </c>
      <c r="H64" s="18" t="s">
        <v>423</v>
      </c>
      <c r="I64" s="18" t="s">
        <v>30</v>
      </c>
      <c r="J64" s="23">
        <v>45034</v>
      </c>
      <c r="K64" s="18" t="s">
        <v>1539</v>
      </c>
      <c r="L64" s="19" t="s">
        <v>1540</v>
      </c>
      <c r="M64" s="19" t="s">
        <v>1541</v>
      </c>
      <c r="N64" s="26"/>
      <c r="O64" s="26"/>
      <c r="P64" s="26"/>
      <c r="Q64" s="26">
        <v>11200</v>
      </c>
      <c r="R64" s="26" t="s">
        <v>34</v>
      </c>
      <c r="S64" s="27">
        <v>170000</v>
      </c>
      <c r="T64" s="28">
        <f t="shared" si="5"/>
        <v>1903999.9999999998</v>
      </c>
    </row>
    <row r="65" spans="1:20" s="17" customFormat="1" x14ac:dyDescent="0.25">
      <c r="A65" s="26"/>
      <c r="B65" s="19" t="s">
        <v>1262</v>
      </c>
      <c r="C65" s="19" t="s">
        <v>893</v>
      </c>
      <c r="D65" s="20" t="s">
        <v>421</v>
      </c>
      <c r="E65" s="21" t="s">
        <v>1276</v>
      </c>
      <c r="F65" s="19">
        <v>6400</v>
      </c>
      <c r="G65" s="18">
        <v>32</v>
      </c>
      <c r="H65" s="18" t="s">
        <v>423</v>
      </c>
      <c r="I65" s="18" t="s">
        <v>30</v>
      </c>
      <c r="J65" s="23">
        <v>45034</v>
      </c>
      <c r="K65" s="18" t="s">
        <v>1539</v>
      </c>
      <c r="L65" s="19"/>
      <c r="M65" s="19"/>
      <c r="N65" s="26"/>
      <c r="O65" s="26"/>
      <c r="P65" s="26"/>
      <c r="Q65" s="26">
        <v>6400</v>
      </c>
      <c r="R65" s="26" t="s">
        <v>34</v>
      </c>
      <c r="S65" s="27">
        <v>170000</v>
      </c>
      <c r="T65" s="28">
        <f t="shared" si="5"/>
        <v>1088000</v>
      </c>
    </row>
    <row r="66" spans="1:20" s="17" customFormat="1" x14ac:dyDescent="0.25">
      <c r="A66" s="26"/>
      <c r="B66" s="19">
        <v>42243</v>
      </c>
      <c r="C66" s="19" t="s">
        <v>175</v>
      </c>
      <c r="D66" s="20" t="s">
        <v>176</v>
      </c>
      <c r="E66" s="21" t="s">
        <v>1260</v>
      </c>
      <c r="F66" s="19">
        <v>19862.5</v>
      </c>
      <c r="G66" s="18">
        <v>875</v>
      </c>
      <c r="H66" s="18" t="s">
        <v>129</v>
      </c>
      <c r="I66" s="18" t="s">
        <v>30</v>
      </c>
      <c r="J66" s="23">
        <v>45035</v>
      </c>
      <c r="K66" s="18" t="s">
        <v>760</v>
      </c>
      <c r="L66" s="26" t="s">
        <v>761</v>
      </c>
      <c r="M66" s="26" t="s">
        <v>43</v>
      </c>
      <c r="N66" s="26"/>
      <c r="O66" s="26">
        <v>19862.5</v>
      </c>
      <c r="P66" s="26"/>
      <c r="Q66" s="26"/>
      <c r="R66" s="26" t="s">
        <v>34</v>
      </c>
      <c r="S66" s="27">
        <v>41400</v>
      </c>
      <c r="T66" s="28">
        <f t="shared" ref="T66:T67" si="6">S66*(F66/1000)</f>
        <v>822307.5</v>
      </c>
    </row>
    <row r="67" spans="1:20" s="17" customFormat="1" x14ac:dyDescent="0.25">
      <c r="A67" s="26"/>
      <c r="B67" s="19" t="s">
        <v>108</v>
      </c>
      <c r="C67" s="19" t="s">
        <v>491</v>
      </c>
      <c r="D67" s="20" t="s">
        <v>571</v>
      </c>
      <c r="E67" s="21" t="s">
        <v>1542</v>
      </c>
      <c r="F67" s="19">
        <v>20000</v>
      </c>
      <c r="G67" s="18">
        <v>800</v>
      </c>
      <c r="H67" s="18" t="s">
        <v>29</v>
      </c>
      <c r="I67" s="18" t="s">
        <v>30</v>
      </c>
      <c r="J67" s="23">
        <v>45035</v>
      </c>
      <c r="K67" s="18" t="s">
        <v>1543</v>
      </c>
      <c r="L67" s="26" t="s">
        <v>1544</v>
      </c>
      <c r="M67" s="26" t="s">
        <v>1545</v>
      </c>
      <c r="N67" s="26"/>
      <c r="O67" s="26">
        <v>20000</v>
      </c>
      <c r="P67" s="26"/>
      <c r="Q67" s="26"/>
      <c r="R67" s="26"/>
      <c r="S67" s="27">
        <v>44480</v>
      </c>
      <c r="T67" s="28">
        <f t="shared" si="6"/>
        <v>889600</v>
      </c>
    </row>
    <row r="68" spans="1:20" s="17" customFormat="1" x14ac:dyDescent="0.25">
      <c r="A68" s="26"/>
      <c r="B68" s="19" t="s">
        <v>1275</v>
      </c>
      <c r="C68" s="19" t="s">
        <v>893</v>
      </c>
      <c r="D68" s="20" t="s">
        <v>421</v>
      </c>
      <c r="E68" s="21" t="s">
        <v>1288</v>
      </c>
      <c r="F68" s="19">
        <v>14400</v>
      </c>
      <c r="G68" s="18">
        <v>72</v>
      </c>
      <c r="H68" s="18" t="s">
        <v>448</v>
      </c>
      <c r="I68" s="18" t="s">
        <v>30</v>
      </c>
      <c r="J68" s="23">
        <v>45035</v>
      </c>
      <c r="K68" s="18" t="s">
        <v>1546</v>
      </c>
      <c r="L68" s="19" t="s">
        <v>1547</v>
      </c>
      <c r="M68" s="19" t="s">
        <v>1548</v>
      </c>
      <c r="N68" s="26"/>
      <c r="O68" s="26"/>
      <c r="P68" s="26"/>
      <c r="Q68" s="26">
        <v>14400</v>
      </c>
      <c r="R68" s="26" t="s">
        <v>34</v>
      </c>
      <c r="S68" s="27">
        <v>170000</v>
      </c>
      <c r="T68" s="28">
        <f t="shared" ref="T68:T70" si="7">F68/1000*S68</f>
        <v>2448000</v>
      </c>
    </row>
    <row r="69" spans="1:20" s="17" customFormat="1" x14ac:dyDescent="0.25">
      <c r="A69" s="26"/>
      <c r="B69" s="19" t="s">
        <v>1275</v>
      </c>
      <c r="C69" s="19" t="s">
        <v>893</v>
      </c>
      <c r="D69" s="20" t="s">
        <v>421</v>
      </c>
      <c r="E69" s="21" t="s">
        <v>1491</v>
      </c>
      <c r="F69" s="19">
        <v>3200</v>
      </c>
      <c r="G69" s="18">
        <v>16</v>
      </c>
      <c r="H69" s="18" t="s">
        <v>448</v>
      </c>
      <c r="I69" s="18" t="s">
        <v>30</v>
      </c>
      <c r="J69" s="23">
        <v>45035</v>
      </c>
      <c r="K69" s="18" t="s">
        <v>1546</v>
      </c>
      <c r="L69" s="19"/>
      <c r="M69" s="19"/>
      <c r="N69" s="26"/>
      <c r="O69" s="26"/>
      <c r="P69" s="26"/>
      <c r="Q69" s="26">
        <v>3200</v>
      </c>
      <c r="R69" s="26" t="s">
        <v>34</v>
      </c>
      <c r="S69" s="27">
        <v>170000</v>
      </c>
      <c r="T69" s="28">
        <f t="shared" si="7"/>
        <v>544000</v>
      </c>
    </row>
    <row r="70" spans="1:20" s="17" customFormat="1" x14ac:dyDescent="0.25">
      <c r="A70" s="25"/>
      <c r="B70" s="19" t="s">
        <v>786</v>
      </c>
      <c r="C70" s="19" t="s">
        <v>1025</v>
      </c>
      <c r="D70" s="20" t="s">
        <v>440</v>
      </c>
      <c r="E70" s="21" t="s">
        <v>1263</v>
      </c>
      <c r="F70" s="19">
        <v>7000</v>
      </c>
      <c r="G70" s="18">
        <v>350</v>
      </c>
      <c r="H70" s="18" t="s">
        <v>29</v>
      </c>
      <c r="I70" s="18" t="s">
        <v>30</v>
      </c>
      <c r="J70" s="23">
        <v>45036</v>
      </c>
      <c r="K70" s="19" t="s">
        <v>1549</v>
      </c>
      <c r="L70" s="26">
        <v>89228004674</v>
      </c>
      <c r="M70" s="26" t="s">
        <v>1550</v>
      </c>
      <c r="N70" s="26"/>
      <c r="O70" s="26"/>
      <c r="P70" s="26">
        <v>7000</v>
      </c>
      <c r="Q70" s="26"/>
      <c r="R70" s="26"/>
      <c r="S70" s="27">
        <v>79000</v>
      </c>
      <c r="T70" s="28">
        <f t="shared" si="7"/>
        <v>553000</v>
      </c>
    </row>
    <row r="71" spans="1:20" s="17" customFormat="1" x14ac:dyDescent="0.25">
      <c r="A71" s="26"/>
      <c r="B71" s="19" t="s">
        <v>714</v>
      </c>
      <c r="C71" s="19" t="s">
        <v>1551</v>
      </c>
      <c r="D71" s="20" t="s">
        <v>864</v>
      </c>
      <c r="E71" s="21" t="s">
        <v>1552</v>
      </c>
      <c r="F71" s="19">
        <v>1512</v>
      </c>
      <c r="G71" s="18">
        <v>84</v>
      </c>
      <c r="H71" s="18" t="s">
        <v>1553</v>
      </c>
      <c r="I71" s="18" t="s">
        <v>30</v>
      </c>
      <c r="J71" s="23">
        <v>45036</v>
      </c>
      <c r="K71" s="18" t="s">
        <v>1554</v>
      </c>
      <c r="L71" s="26" t="s">
        <v>1555</v>
      </c>
      <c r="M71" s="26" t="s">
        <v>1556</v>
      </c>
      <c r="N71" s="26"/>
      <c r="O71" s="26"/>
      <c r="P71" s="26">
        <v>1512</v>
      </c>
      <c r="Q71" s="26"/>
      <c r="R71" s="26" t="s">
        <v>34</v>
      </c>
      <c r="S71" s="27">
        <v>280000</v>
      </c>
      <c r="T71" s="28">
        <f t="shared" ref="T71:T98" si="8">S71*(F71/1000)</f>
        <v>423360</v>
      </c>
    </row>
    <row r="72" spans="1:20" s="17" customFormat="1" x14ac:dyDescent="0.25">
      <c r="A72" s="26"/>
      <c r="B72" s="19" t="s">
        <v>714</v>
      </c>
      <c r="C72" s="19" t="s">
        <v>1551</v>
      </c>
      <c r="D72" s="20" t="s">
        <v>1531</v>
      </c>
      <c r="E72" s="21" t="s">
        <v>1266</v>
      </c>
      <c r="F72" s="19">
        <v>112</v>
      </c>
      <c r="G72" s="18">
        <v>8</v>
      </c>
      <c r="H72" s="18" t="s">
        <v>1553</v>
      </c>
      <c r="I72" s="18" t="s">
        <v>30</v>
      </c>
      <c r="J72" s="23">
        <v>45036</v>
      </c>
      <c r="K72" s="18" t="s">
        <v>1554</v>
      </c>
      <c r="L72" s="26"/>
      <c r="M72" s="26"/>
      <c r="N72" s="26"/>
      <c r="O72" s="26"/>
      <c r="P72" s="26">
        <v>112</v>
      </c>
      <c r="Q72" s="26"/>
      <c r="R72" s="26" t="s">
        <v>34</v>
      </c>
      <c r="S72" s="27">
        <v>240000</v>
      </c>
      <c r="T72" s="28">
        <f t="shared" si="8"/>
        <v>26880</v>
      </c>
    </row>
    <row r="73" spans="1:20" s="17" customFormat="1" x14ac:dyDescent="0.25">
      <c r="A73" s="26"/>
      <c r="B73" s="19" t="s">
        <v>786</v>
      </c>
      <c r="C73" s="19" t="s">
        <v>26</v>
      </c>
      <c r="D73" s="20" t="s">
        <v>27</v>
      </c>
      <c r="E73" s="21" t="s">
        <v>1261</v>
      </c>
      <c r="F73" s="19">
        <v>20000</v>
      </c>
      <c r="G73" s="18">
        <v>800</v>
      </c>
      <c r="H73" s="18" t="s">
        <v>129</v>
      </c>
      <c r="I73" s="18" t="s">
        <v>30</v>
      </c>
      <c r="J73" s="23">
        <v>45037</v>
      </c>
      <c r="K73" s="18" t="s">
        <v>1557</v>
      </c>
      <c r="L73" s="26" t="s">
        <v>1558</v>
      </c>
      <c r="M73" s="26" t="s">
        <v>1559</v>
      </c>
      <c r="N73" s="26"/>
      <c r="O73" s="26">
        <v>20000</v>
      </c>
      <c r="P73" s="26"/>
      <c r="Q73" s="26"/>
      <c r="R73" s="26" t="s">
        <v>34</v>
      </c>
      <c r="S73" s="27">
        <v>41000</v>
      </c>
      <c r="T73" s="28">
        <f t="shared" si="8"/>
        <v>820000</v>
      </c>
    </row>
    <row r="74" spans="1:20" s="17" customFormat="1" x14ac:dyDescent="0.25">
      <c r="A74" s="25" t="s">
        <v>884</v>
      </c>
      <c r="B74" s="19" t="s">
        <v>1560</v>
      </c>
      <c r="C74" s="19" t="s">
        <v>57</v>
      </c>
      <c r="D74" s="20" t="s">
        <v>98</v>
      </c>
      <c r="E74" s="21" t="s">
        <v>553</v>
      </c>
      <c r="F74" s="19">
        <v>7500</v>
      </c>
      <c r="G74" s="18">
        <v>300</v>
      </c>
      <c r="H74" s="18" t="s">
        <v>95</v>
      </c>
      <c r="I74" s="18" t="s">
        <v>30</v>
      </c>
      <c r="J74" s="23">
        <v>45040</v>
      </c>
      <c r="K74" s="19"/>
      <c r="L74" s="26"/>
      <c r="M74" s="26"/>
      <c r="N74" s="26">
        <v>29479599</v>
      </c>
      <c r="O74" s="26"/>
      <c r="P74" s="26">
        <v>7500</v>
      </c>
      <c r="Q74" s="26"/>
      <c r="R74" s="26"/>
      <c r="S74" s="27">
        <v>275000</v>
      </c>
      <c r="T74" s="28">
        <f t="shared" si="8"/>
        <v>2062500</v>
      </c>
    </row>
    <row r="75" spans="1:20" s="17" customFormat="1" x14ac:dyDescent="0.25">
      <c r="A75" s="25" t="s">
        <v>884</v>
      </c>
      <c r="B75" s="19" t="s">
        <v>1101</v>
      </c>
      <c r="C75" s="19" t="s">
        <v>57</v>
      </c>
      <c r="D75" s="20" t="s">
        <v>58</v>
      </c>
      <c r="E75" s="21" t="s">
        <v>1561</v>
      </c>
      <c r="F75" s="19">
        <v>19845</v>
      </c>
      <c r="G75" s="18">
        <v>875</v>
      </c>
      <c r="H75" s="18" t="s">
        <v>95</v>
      </c>
      <c r="I75" s="18" t="s">
        <v>30</v>
      </c>
      <c r="J75" s="23">
        <v>45040</v>
      </c>
      <c r="K75" s="19"/>
      <c r="L75" s="26"/>
      <c r="M75" s="26"/>
      <c r="N75" s="26">
        <v>29479599</v>
      </c>
      <c r="O75" s="26">
        <v>19845</v>
      </c>
      <c r="P75" s="26"/>
      <c r="Q75" s="26"/>
      <c r="R75" s="26"/>
      <c r="S75" s="27">
        <v>49500</v>
      </c>
      <c r="T75" s="28">
        <f t="shared" si="8"/>
        <v>982327.5</v>
      </c>
    </row>
    <row r="76" spans="1:20" s="17" customFormat="1" x14ac:dyDescent="0.25">
      <c r="A76" s="25" t="s">
        <v>884</v>
      </c>
      <c r="B76" s="19" t="s">
        <v>1101</v>
      </c>
      <c r="C76" s="19" t="s">
        <v>57</v>
      </c>
      <c r="D76" s="20" t="s">
        <v>58</v>
      </c>
      <c r="E76" s="21" t="s">
        <v>1276</v>
      </c>
      <c r="F76" s="19">
        <v>19845</v>
      </c>
      <c r="G76" s="18">
        <v>875</v>
      </c>
      <c r="H76" s="18" t="s">
        <v>95</v>
      </c>
      <c r="I76" s="18" t="s">
        <v>30</v>
      </c>
      <c r="J76" s="23">
        <v>45040</v>
      </c>
      <c r="K76" s="19"/>
      <c r="L76" s="26"/>
      <c r="M76" s="26"/>
      <c r="N76" s="26">
        <v>29479599</v>
      </c>
      <c r="O76" s="26">
        <v>19845</v>
      </c>
      <c r="P76" s="26"/>
      <c r="Q76" s="26"/>
      <c r="R76" s="26"/>
      <c r="S76" s="27">
        <v>49500</v>
      </c>
      <c r="T76" s="28">
        <f t="shared" si="8"/>
        <v>982327.5</v>
      </c>
    </row>
    <row r="77" spans="1:20" s="17" customFormat="1" x14ac:dyDescent="0.25">
      <c r="A77" s="25" t="s">
        <v>884</v>
      </c>
      <c r="B77" s="19" t="s">
        <v>1101</v>
      </c>
      <c r="C77" s="19" t="s">
        <v>57</v>
      </c>
      <c r="D77" s="20" t="s">
        <v>58</v>
      </c>
      <c r="E77" s="21" t="s">
        <v>1318</v>
      </c>
      <c r="F77" s="19">
        <v>4762.8</v>
      </c>
      <c r="G77" s="18">
        <v>210</v>
      </c>
      <c r="H77" s="18" t="s">
        <v>95</v>
      </c>
      <c r="I77" s="18" t="s">
        <v>30</v>
      </c>
      <c r="J77" s="23">
        <v>45040</v>
      </c>
      <c r="K77" s="19"/>
      <c r="L77" s="26"/>
      <c r="M77" s="26"/>
      <c r="N77" s="26">
        <v>29479599</v>
      </c>
      <c r="O77" s="26">
        <v>4762.8</v>
      </c>
      <c r="P77" s="26"/>
      <c r="Q77" s="26"/>
      <c r="R77" s="26"/>
      <c r="S77" s="27">
        <v>49500</v>
      </c>
      <c r="T77" s="28">
        <f t="shared" si="8"/>
        <v>235758.6</v>
      </c>
    </row>
    <row r="78" spans="1:20" s="17" customFormat="1" x14ac:dyDescent="0.25">
      <c r="A78" s="26"/>
      <c r="B78" s="19" t="s">
        <v>383</v>
      </c>
      <c r="C78" s="19" t="s">
        <v>1562</v>
      </c>
      <c r="D78" s="20" t="s">
        <v>165</v>
      </c>
      <c r="E78" s="21" t="s">
        <v>1263</v>
      </c>
      <c r="F78" s="19">
        <v>12000</v>
      </c>
      <c r="G78" s="18">
        <v>480</v>
      </c>
      <c r="H78" s="18" t="s">
        <v>1563</v>
      </c>
      <c r="I78" s="18" t="s">
        <v>30</v>
      </c>
      <c r="J78" s="23">
        <v>45040</v>
      </c>
      <c r="K78" s="18" t="s">
        <v>1564</v>
      </c>
      <c r="L78" s="26" t="s">
        <v>1565</v>
      </c>
      <c r="M78" s="26" t="s">
        <v>1566</v>
      </c>
      <c r="N78" s="26"/>
      <c r="O78" s="26">
        <v>12000</v>
      </c>
      <c r="P78" s="26"/>
      <c r="Q78" s="26"/>
      <c r="R78" s="26" t="s">
        <v>34</v>
      </c>
      <c r="S78" s="27">
        <v>47000</v>
      </c>
      <c r="T78" s="28">
        <f t="shared" si="8"/>
        <v>564000</v>
      </c>
    </row>
    <row r="79" spans="1:20" s="17" customFormat="1" x14ac:dyDescent="0.25">
      <c r="A79" s="26"/>
      <c r="B79" s="19" t="s">
        <v>1567</v>
      </c>
      <c r="C79" s="19" t="s">
        <v>648</v>
      </c>
      <c r="D79" s="20" t="s">
        <v>649</v>
      </c>
      <c r="E79" s="21" t="s">
        <v>943</v>
      </c>
      <c r="F79" s="19">
        <v>5320</v>
      </c>
      <c r="G79" s="18">
        <v>28</v>
      </c>
      <c r="H79" s="18" t="s">
        <v>651</v>
      </c>
      <c r="I79" s="18" t="s">
        <v>30</v>
      </c>
      <c r="J79" s="23">
        <v>45040</v>
      </c>
      <c r="K79" s="18" t="s">
        <v>812</v>
      </c>
      <c r="L79" s="26" t="s">
        <v>1499</v>
      </c>
      <c r="M79" s="26" t="s">
        <v>1500</v>
      </c>
      <c r="N79" s="26"/>
      <c r="O79" s="26"/>
      <c r="P79" s="26"/>
      <c r="Q79" s="26">
        <v>5320</v>
      </c>
      <c r="R79" s="26"/>
      <c r="S79" s="27">
        <v>129700</v>
      </c>
      <c r="T79" s="28">
        <f t="shared" si="8"/>
        <v>690004</v>
      </c>
    </row>
    <row r="80" spans="1:20" s="17" customFormat="1" x14ac:dyDescent="0.25">
      <c r="A80" s="26"/>
      <c r="B80" s="19" t="s">
        <v>1567</v>
      </c>
      <c r="C80" s="19" t="s">
        <v>648</v>
      </c>
      <c r="D80" s="20" t="s">
        <v>649</v>
      </c>
      <c r="E80" s="21" t="s">
        <v>1426</v>
      </c>
      <c r="F80" s="19">
        <v>8360</v>
      </c>
      <c r="G80" s="18">
        <v>44</v>
      </c>
      <c r="H80" s="18" t="s">
        <v>651</v>
      </c>
      <c r="I80" s="18" t="s">
        <v>30</v>
      </c>
      <c r="J80" s="23">
        <v>45040</v>
      </c>
      <c r="K80" s="18" t="s">
        <v>812</v>
      </c>
      <c r="L80" s="19"/>
      <c r="M80" s="19"/>
      <c r="N80" s="26"/>
      <c r="O80" s="26"/>
      <c r="P80" s="26"/>
      <c r="Q80" s="26">
        <v>8360</v>
      </c>
      <c r="R80" s="26"/>
      <c r="S80" s="27">
        <v>129700</v>
      </c>
      <c r="T80" s="28">
        <f t="shared" si="8"/>
        <v>1084292</v>
      </c>
    </row>
    <row r="81" spans="1:21" s="17" customFormat="1" x14ac:dyDescent="0.25">
      <c r="A81" s="26"/>
      <c r="B81" s="19" t="s">
        <v>1567</v>
      </c>
      <c r="C81" s="19" t="s">
        <v>648</v>
      </c>
      <c r="D81" s="20" t="s">
        <v>649</v>
      </c>
      <c r="E81" s="21" t="s">
        <v>1536</v>
      </c>
      <c r="F81" s="19">
        <v>3040</v>
      </c>
      <c r="G81" s="18">
        <v>16</v>
      </c>
      <c r="H81" s="18" t="s">
        <v>651</v>
      </c>
      <c r="I81" s="18" t="s">
        <v>30</v>
      </c>
      <c r="J81" s="23">
        <v>45040</v>
      </c>
      <c r="K81" s="18" t="s">
        <v>812</v>
      </c>
      <c r="L81" s="26"/>
      <c r="M81" s="26"/>
      <c r="N81" s="26"/>
      <c r="O81" s="26"/>
      <c r="P81" s="26"/>
      <c r="Q81" s="26">
        <v>3040</v>
      </c>
      <c r="R81" s="26"/>
      <c r="S81" s="27">
        <v>129700</v>
      </c>
      <c r="T81" s="28">
        <f t="shared" si="8"/>
        <v>394288</v>
      </c>
    </row>
    <row r="82" spans="1:21" s="17" customFormat="1" x14ac:dyDescent="0.25">
      <c r="A82" s="26"/>
      <c r="B82" s="22" t="s">
        <v>1568</v>
      </c>
      <c r="C82" s="19" t="s">
        <v>57</v>
      </c>
      <c r="D82" s="20" t="s">
        <v>770</v>
      </c>
      <c r="E82" s="33" t="s">
        <v>1326</v>
      </c>
      <c r="F82" s="19">
        <v>9120</v>
      </c>
      <c r="G82" s="18">
        <v>48</v>
      </c>
      <c r="H82" s="18" t="s">
        <v>95</v>
      </c>
      <c r="I82" s="18" t="s">
        <v>30</v>
      </c>
      <c r="J82" s="23">
        <v>45040</v>
      </c>
      <c r="K82" s="18" t="s">
        <v>1277</v>
      </c>
      <c r="L82" s="26" t="s">
        <v>1278</v>
      </c>
      <c r="M82" s="26" t="s">
        <v>1279</v>
      </c>
      <c r="N82" s="26"/>
      <c r="O82" s="26"/>
      <c r="P82" s="26"/>
      <c r="Q82" s="26">
        <v>9120</v>
      </c>
      <c r="R82" s="26" t="s">
        <v>34</v>
      </c>
      <c r="S82" s="27">
        <v>299900</v>
      </c>
      <c r="T82" s="28">
        <f t="shared" si="8"/>
        <v>2735087.9999999995</v>
      </c>
    </row>
    <row r="83" spans="1:21" s="17" customFormat="1" x14ac:dyDescent="0.25">
      <c r="A83" s="26"/>
      <c r="B83" s="22" t="s">
        <v>1568</v>
      </c>
      <c r="C83" s="19" t="s">
        <v>57</v>
      </c>
      <c r="D83" s="20" t="s">
        <v>770</v>
      </c>
      <c r="E83" s="33" t="s">
        <v>1312</v>
      </c>
      <c r="F83" s="19">
        <v>6080</v>
      </c>
      <c r="G83" s="18">
        <v>32</v>
      </c>
      <c r="H83" s="18" t="s">
        <v>95</v>
      </c>
      <c r="I83" s="18" t="s">
        <v>30</v>
      </c>
      <c r="J83" s="23">
        <v>45040</v>
      </c>
      <c r="K83" s="18" t="s">
        <v>1277</v>
      </c>
      <c r="L83" s="26"/>
      <c r="M83" s="26"/>
      <c r="N83" s="26"/>
      <c r="O83" s="26"/>
      <c r="P83" s="26"/>
      <c r="Q83" s="26">
        <v>6080</v>
      </c>
      <c r="R83" s="26" t="s">
        <v>34</v>
      </c>
      <c r="S83" s="27">
        <v>299900</v>
      </c>
      <c r="T83" s="28">
        <f t="shared" si="8"/>
        <v>1823392</v>
      </c>
    </row>
    <row r="84" spans="1:21" s="17" customFormat="1" x14ac:dyDescent="0.25">
      <c r="A84" s="25"/>
      <c r="B84" s="19" t="s">
        <v>1101</v>
      </c>
      <c r="C84" s="19" t="s">
        <v>57</v>
      </c>
      <c r="D84" s="20" t="s">
        <v>1088</v>
      </c>
      <c r="E84" s="21" t="s">
        <v>1458</v>
      </c>
      <c r="F84" s="19">
        <v>1587.6</v>
      </c>
      <c r="G84" s="18">
        <v>70</v>
      </c>
      <c r="H84" s="18" t="s">
        <v>95</v>
      </c>
      <c r="I84" s="18" t="s">
        <v>30</v>
      </c>
      <c r="J84" s="23">
        <v>45040</v>
      </c>
      <c r="K84" s="19" t="s">
        <v>1277</v>
      </c>
      <c r="L84" s="26"/>
      <c r="M84" s="26"/>
      <c r="N84" s="26"/>
      <c r="O84" s="26"/>
      <c r="P84" s="26">
        <v>1587.6</v>
      </c>
      <c r="Q84" s="26"/>
      <c r="R84" s="26" t="s">
        <v>34</v>
      </c>
      <c r="S84" s="27">
        <v>245000</v>
      </c>
      <c r="T84" s="28">
        <f t="shared" si="8"/>
        <v>388962</v>
      </c>
    </row>
    <row r="85" spans="1:21" s="17" customFormat="1" x14ac:dyDescent="0.25">
      <c r="A85" s="25"/>
      <c r="B85" s="19" t="s">
        <v>786</v>
      </c>
      <c r="C85" s="19" t="s">
        <v>1530</v>
      </c>
      <c r="D85" s="20" t="s">
        <v>1531</v>
      </c>
      <c r="E85" s="21" t="s">
        <v>1318</v>
      </c>
      <c r="F85" s="19">
        <v>532</v>
      </c>
      <c r="G85" s="18">
        <v>38</v>
      </c>
      <c r="H85" s="18" t="s">
        <v>1532</v>
      </c>
      <c r="I85" s="18" t="s">
        <v>30</v>
      </c>
      <c r="J85" s="23">
        <v>45040</v>
      </c>
      <c r="K85" s="19" t="s">
        <v>1569</v>
      </c>
      <c r="L85" s="26" t="s">
        <v>1570</v>
      </c>
      <c r="M85" s="26" t="s">
        <v>1571</v>
      </c>
      <c r="N85" s="26"/>
      <c r="O85" s="26"/>
      <c r="P85" s="26">
        <v>532</v>
      </c>
      <c r="Q85" s="26"/>
      <c r="R85" s="26"/>
      <c r="S85" s="27">
        <v>240000</v>
      </c>
      <c r="T85" s="28">
        <f t="shared" si="8"/>
        <v>127680</v>
      </c>
    </row>
    <row r="86" spans="1:21" s="17" customFormat="1" x14ac:dyDescent="0.25">
      <c r="A86" s="25"/>
      <c r="B86" s="19" t="s">
        <v>786</v>
      </c>
      <c r="C86" s="19" t="s">
        <v>1530</v>
      </c>
      <c r="D86" s="20" t="s">
        <v>864</v>
      </c>
      <c r="E86" s="21" t="s">
        <v>1536</v>
      </c>
      <c r="F86" s="19">
        <v>1800</v>
      </c>
      <c r="G86" s="18">
        <v>100</v>
      </c>
      <c r="H86" s="18" t="s">
        <v>1532</v>
      </c>
      <c r="I86" s="18" t="s">
        <v>30</v>
      </c>
      <c r="J86" s="23">
        <v>45040</v>
      </c>
      <c r="K86" s="19" t="s">
        <v>1569</v>
      </c>
      <c r="L86" s="26"/>
      <c r="M86" s="26"/>
      <c r="N86" s="26"/>
      <c r="O86" s="26"/>
      <c r="P86" s="26">
        <v>1800</v>
      </c>
      <c r="Q86" s="26"/>
      <c r="R86" s="26"/>
      <c r="S86" s="27">
        <v>210000</v>
      </c>
      <c r="T86" s="28">
        <f t="shared" si="8"/>
        <v>378000</v>
      </c>
    </row>
    <row r="87" spans="1:21" s="17" customFormat="1" x14ac:dyDescent="0.25">
      <c r="A87" s="26"/>
      <c r="B87" s="19" t="s">
        <v>438</v>
      </c>
      <c r="C87" s="19" t="s">
        <v>1572</v>
      </c>
      <c r="D87" s="20" t="s">
        <v>1573</v>
      </c>
      <c r="E87" s="21" t="s">
        <v>1149</v>
      </c>
      <c r="F87" s="19">
        <v>7400</v>
      </c>
      <c r="G87" s="18">
        <v>148</v>
      </c>
      <c r="H87" s="18" t="s">
        <v>1574</v>
      </c>
      <c r="I87" s="18" t="s">
        <v>30</v>
      </c>
      <c r="J87" s="23">
        <v>45040</v>
      </c>
      <c r="K87" s="18" t="s">
        <v>1569</v>
      </c>
      <c r="L87" s="26" t="s">
        <v>1570</v>
      </c>
      <c r="M87" s="26" t="s">
        <v>1571</v>
      </c>
      <c r="N87" s="26"/>
      <c r="O87" s="26"/>
      <c r="P87" s="26"/>
      <c r="Q87" s="26">
        <v>7400</v>
      </c>
      <c r="R87" s="26"/>
      <c r="S87" s="27">
        <v>65000</v>
      </c>
      <c r="T87" s="28">
        <f t="shared" si="8"/>
        <v>481000</v>
      </c>
    </row>
    <row r="88" spans="1:21" s="17" customFormat="1" x14ac:dyDescent="0.25">
      <c r="A88" s="26"/>
      <c r="B88" s="19" t="s">
        <v>438</v>
      </c>
      <c r="C88" s="19" t="s">
        <v>1572</v>
      </c>
      <c r="D88" s="20" t="s">
        <v>1573</v>
      </c>
      <c r="E88" s="21" t="s">
        <v>1536</v>
      </c>
      <c r="F88" s="19">
        <v>2600</v>
      </c>
      <c r="G88" s="18">
        <v>52</v>
      </c>
      <c r="H88" s="18" t="s">
        <v>1574</v>
      </c>
      <c r="I88" s="18" t="s">
        <v>30</v>
      </c>
      <c r="J88" s="23">
        <v>45040</v>
      </c>
      <c r="K88" s="18" t="s">
        <v>1569</v>
      </c>
      <c r="L88" s="26"/>
      <c r="M88" s="26"/>
      <c r="N88" s="26"/>
      <c r="O88" s="26"/>
      <c r="P88" s="26"/>
      <c r="Q88" s="26">
        <v>2600</v>
      </c>
      <c r="R88" s="26"/>
      <c r="S88" s="27">
        <v>65000</v>
      </c>
      <c r="T88" s="28">
        <f t="shared" si="8"/>
        <v>169000</v>
      </c>
    </row>
    <row r="89" spans="1:21" s="17" customFormat="1" x14ac:dyDescent="0.25">
      <c r="A89" s="26"/>
      <c r="B89" s="19" t="s">
        <v>1575</v>
      </c>
      <c r="C89" s="19" t="s">
        <v>85</v>
      </c>
      <c r="D89" s="20" t="s">
        <v>86</v>
      </c>
      <c r="E89" s="21" t="s">
        <v>389</v>
      </c>
      <c r="F89" s="19">
        <v>20000</v>
      </c>
      <c r="G89" s="18">
        <v>800</v>
      </c>
      <c r="H89" s="18" t="s">
        <v>322</v>
      </c>
      <c r="I89" s="18" t="s">
        <v>30</v>
      </c>
      <c r="J89" s="23">
        <v>45041</v>
      </c>
      <c r="K89" s="18" t="s">
        <v>724</v>
      </c>
      <c r="L89" s="26" t="s">
        <v>725</v>
      </c>
      <c r="M89" s="26" t="s">
        <v>726</v>
      </c>
      <c r="N89" s="26"/>
      <c r="O89" s="26">
        <v>20000</v>
      </c>
      <c r="P89" s="26"/>
      <c r="Q89" s="26"/>
      <c r="R89" s="26" t="s">
        <v>34</v>
      </c>
      <c r="S89" s="27">
        <v>42000</v>
      </c>
      <c r="T89" s="28">
        <f t="shared" si="8"/>
        <v>840000</v>
      </c>
    </row>
    <row r="90" spans="1:21" s="17" customFormat="1" x14ac:dyDescent="0.25">
      <c r="A90" s="26"/>
      <c r="B90" s="19" t="s">
        <v>383</v>
      </c>
      <c r="C90" s="19" t="s">
        <v>863</v>
      </c>
      <c r="D90" s="18" t="s">
        <v>864</v>
      </c>
      <c r="E90" s="21" t="s">
        <v>1263</v>
      </c>
      <c r="F90" s="19">
        <v>10008</v>
      </c>
      <c r="G90" s="18">
        <v>556</v>
      </c>
      <c r="H90" s="18" t="s">
        <v>29</v>
      </c>
      <c r="I90" s="18" t="s">
        <v>30</v>
      </c>
      <c r="J90" s="23">
        <v>45041</v>
      </c>
      <c r="K90" s="18" t="s">
        <v>1576</v>
      </c>
      <c r="L90" s="26" t="s">
        <v>1577</v>
      </c>
      <c r="M90" s="26" t="s">
        <v>1578</v>
      </c>
      <c r="N90" s="26"/>
      <c r="O90" s="26"/>
      <c r="P90" s="26">
        <v>10008</v>
      </c>
      <c r="Q90" s="26"/>
      <c r="R90" s="26"/>
      <c r="S90" s="27">
        <v>280000</v>
      </c>
      <c r="T90" s="28">
        <f t="shared" si="8"/>
        <v>2802239.9999999995</v>
      </c>
      <c r="U90" s="26"/>
    </row>
    <row r="91" spans="1:21" s="17" customFormat="1" x14ac:dyDescent="0.25">
      <c r="A91" s="26"/>
      <c r="B91" s="22" t="s">
        <v>1579</v>
      </c>
      <c r="C91" s="19" t="s">
        <v>57</v>
      </c>
      <c r="D91" s="20" t="s">
        <v>1094</v>
      </c>
      <c r="E91" s="33" t="s">
        <v>1580</v>
      </c>
      <c r="F91" s="19">
        <v>3000</v>
      </c>
      <c r="G91" s="18">
        <v>120</v>
      </c>
      <c r="H91" s="18" t="s">
        <v>95</v>
      </c>
      <c r="I91" s="18" t="s">
        <v>30</v>
      </c>
      <c r="J91" s="23">
        <v>45041</v>
      </c>
      <c r="K91" s="18" t="s">
        <v>1581</v>
      </c>
      <c r="L91" s="26" t="s">
        <v>1582</v>
      </c>
      <c r="M91" s="26" t="s">
        <v>1583</v>
      </c>
      <c r="N91" s="26"/>
      <c r="O91" s="26"/>
      <c r="P91" s="26"/>
      <c r="Q91" s="26">
        <v>3000</v>
      </c>
      <c r="R91" s="26" t="s">
        <v>34</v>
      </c>
      <c r="S91" s="27">
        <v>250000</v>
      </c>
      <c r="T91" s="28">
        <f t="shared" si="8"/>
        <v>750000</v>
      </c>
    </row>
    <row r="92" spans="1:21" s="17" customFormat="1" x14ac:dyDescent="0.25">
      <c r="A92" s="25"/>
      <c r="B92" s="19" t="s">
        <v>1101</v>
      </c>
      <c r="C92" s="19" t="s">
        <v>57</v>
      </c>
      <c r="D92" s="20" t="s">
        <v>1088</v>
      </c>
      <c r="E92" s="21" t="s">
        <v>1458</v>
      </c>
      <c r="F92" s="19">
        <v>7938</v>
      </c>
      <c r="G92" s="18">
        <v>350</v>
      </c>
      <c r="H92" s="18" t="s">
        <v>95</v>
      </c>
      <c r="I92" s="18" t="s">
        <v>30</v>
      </c>
      <c r="J92" s="23">
        <v>45041</v>
      </c>
      <c r="K92" s="19" t="s">
        <v>1581</v>
      </c>
      <c r="L92" s="26" t="s">
        <v>1582</v>
      </c>
      <c r="M92" s="26" t="s">
        <v>1583</v>
      </c>
      <c r="N92" s="26"/>
      <c r="O92" s="26"/>
      <c r="P92" s="26">
        <v>7938</v>
      </c>
      <c r="Q92" s="26"/>
      <c r="R92" s="26" t="s">
        <v>34</v>
      </c>
      <c r="S92" s="27">
        <v>245000</v>
      </c>
      <c r="T92" s="28">
        <f t="shared" si="8"/>
        <v>1944810</v>
      </c>
    </row>
    <row r="93" spans="1:21" s="17" customFormat="1" x14ac:dyDescent="0.25">
      <c r="A93" s="25"/>
      <c r="B93" s="19" t="s">
        <v>1101</v>
      </c>
      <c r="C93" s="19" t="s">
        <v>57</v>
      </c>
      <c r="D93" s="20" t="s">
        <v>282</v>
      </c>
      <c r="E93" s="21" t="s">
        <v>1289</v>
      </c>
      <c r="F93" s="19">
        <v>5320</v>
      </c>
      <c r="G93" s="18">
        <v>28</v>
      </c>
      <c r="H93" s="18" t="s">
        <v>95</v>
      </c>
      <c r="I93" s="18" t="s">
        <v>30</v>
      </c>
      <c r="J93" s="23">
        <v>45041</v>
      </c>
      <c r="K93" s="19" t="s">
        <v>1581</v>
      </c>
      <c r="L93" s="26"/>
      <c r="M93" s="26"/>
      <c r="N93" s="26"/>
      <c r="O93" s="26"/>
      <c r="P93" s="26"/>
      <c r="Q93" s="26">
        <v>5320</v>
      </c>
      <c r="R93" s="26" t="s">
        <v>34</v>
      </c>
      <c r="S93" s="27">
        <v>115000</v>
      </c>
      <c r="T93" s="28">
        <f t="shared" si="8"/>
        <v>611800</v>
      </c>
    </row>
    <row r="94" spans="1:21" s="17" customFormat="1" x14ac:dyDescent="0.25">
      <c r="A94" s="25"/>
      <c r="B94" s="19" t="s">
        <v>1101</v>
      </c>
      <c r="C94" s="19" t="s">
        <v>57</v>
      </c>
      <c r="D94" s="20" t="s">
        <v>282</v>
      </c>
      <c r="E94" s="21" t="s">
        <v>1289</v>
      </c>
      <c r="F94" s="19">
        <v>3040</v>
      </c>
      <c r="G94" s="18">
        <v>16</v>
      </c>
      <c r="H94" s="18" t="s">
        <v>95</v>
      </c>
      <c r="I94" s="18" t="s">
        <v>30</v>
      </c>
      <c r="J94" s="23">
        <v>45041</v>
      </c>
      <c r="K94" s="19" t="s">
        <v>1394</v>
      </c>
      <c r="L94" s="26" t="s">
        <v>1395</v>
      </c>
      <c r="M94" s="26" t="s">
        <v>1396</v>
      </c>
      <c r="N94" s="26"/>
      <c r="O94" s="26"/>
      <c r="P94" s="26"/>
      <c r="Q94" s="26">
        <v>3040</v>
      </c>
      <c r="R94" s="26"/>
      <c r="S94" s="27">
        <v>115000</v>
      </c>
      <c r="T94" s="28">
        <f t="shared" si="8"/>
        <v>349600</v>
      </c>
    </row>
    <row r="95" spans="1:21" s="17" customFormat="1" x14ac:dyDescent="0.25">
      <c r="A95" s="25"/>
      <c r="B95" s="19" t="s">
        <v>1101</v>
      </c>
      <c r="C95" s="19" t="s">
        <v>57</v>
      </c>
      <c r="D95" s="20" t="s">
        <v>1088</v>
      </c>
      <c r="E95" s="21" t="s">
        <v>1584</v>
      </c>
      <c r="F95" s="19">
        <v>15876</v>
      </c>
      <c r="G95" s="18">
        <v>700</v>
      </c>
      <c r="H95" s="18" t="s">
        <v>95</v>
      </c>
      <c r="I95" s="18" t="s">
        <v>30</v>
      </c>
      <c r="J95" s="23">
        <v>45041</v>
      </c>
      <c r="K95" s="19" t="s">
        <v>1394</v>
      </c>
      <c r="L95" s="26"/>
      <c r="M95" s="26"/>
      <c r="N95" s="26"/>
      <c r="O95" s="26"/>
      <c r="P95" s="26">
        <v>15876</v>
      </c>
      <c r="Q95" s="26"/>
      <c r="R95" s="26"/>
      <c r="S95" s="27">
        <v>245000</v>
      </c>
      <c r="T95" s="28">
        <f t="shared" si="8"/>
        <v>3889620</v>
      </c>
    </row>
    <row r="96" spans="1:21" s="17" customFormat="1" x14ac:dyDescent="0.25">
      <c r="A96" s="25"/>
      <c r="B96" s="19" t="s">
        <v>714</v>
      </c>
      <c r="C96" s="19" t="s">
        <v>1253</v>
      </c>
      <c r="D96" s="20" t="s">
        <v>165</v>
      </c>
      <c r="E96" s="21" t="s">
        <v>1249</v>
      </c>
      <c r="F96" s="19">
        <v>20000</v>
      </c>
      <c r="G96" s="18">
        <v>800</v>
      </c>
      <c r="H96" s="18" t="s">
        <v>1255</v>
      </c>
      <c r="I96" s="18" t="s">
        <v>30</v>
      </c>
      <c r="J96" s="23">
        <v>45042</v>
      </c>
      <c r="K96" s="19" t="s">
        <v>749</v>
      </c>
      <c r="L96" s="26" t="s">
        <v>750</v>
      </c>
      <c r="M96" s="26" t="s">
        <v>751</v>
      </c>
      <c r="N96" s="26"/>
      <c r="O96" s="26">
        <v>20000</v>
      </c>
      <c r="P96" s="26"/>
      <c r="Q96" s="26"/>
      <c r="R96" s="26" t="s">
        <v>34</v>
      </c>
      <c r="S96" s="27">
        <v>43800</v>
      </c>
      <c r="T96" s="28">
        <f t="shared" si="8"/>
        <v>876000</v>
      </c>
    </row>
    <row r="97" spans="1:20" s="17" customFormat="1" x14ac:dyDescent="0.25">
      <c r="A97" s="26"/>
      <c r="B97" s="19" t="s">
        <v>786</v>
      </c>
      <c r="C97" s="19" t="s">
        <v>26</v>
      </c>
      <c r="D97" s="20" t="s">
        <v>27</v>
      </c>
      <c r="E97" s="21" t="s">
        <v>1257</v>
      </c>
      <c r="F97" s="19">
        <v>13000</v>
      </c>
      <c r="G97" s="18">
        <v>520</v>
      </c>
      <c r="H97" s="18" t="s">
        <v>129</v>
      </c>
      <c r="I97" s="18" t="s">
        <v>30</v>
      </c>
      <c r="J97" s="23">
        <v>45044</v>
      </c>
      <c r="K97" s="18" t="s">
        <v>454</v>
      </c>
      <c r="L97" s="26" t="s">
        <v>747</v>
      </c>
      <c r="M97" s="26" t="s">
        <v>748</v>
      </c>
      <c r="N97" s="26"/>
      <c r="O97" s="26">
        <v>13000</v>
      </c>
      <c r="P97" s="26"/>
      <c r="Q97" s="26"/>
      <c r="R97" s="26"/>
      <c r="S97" s="27">
        <v>41000</v>
      </c>
      <c r="T97" s="28">
        <f t="shared" si="8"/>
        <v>533000</v>
      </c>
    </row>
    <row r="98" spans="1:20" s="17" customFormat="1" x14ac:dyDescent="0.25">
      <c r="A98" s="26"/>
      <c r="B98" s="19" t="s">
        <v>1469</v>
      </c>
      <c r="C98" s="19" t="s">
        <v>26</v>
      </c>
      <c r="D98" s="20" t="s">
        <v>1470</v>
      </c>
      <c r="E98" s="21" t="s">
        <v>1585</v>
      </c>
      <c r="F98" s="19">
        <v>6480</v>
      </c>
      <c r="G98" s="18">
        <v>36</v>
      </c>
      <c r="H98" s="18" t="s">
        <v>129</v>
      </c>
      <c r="I98" s="18" t="s">
        <v>30</v>
      </c>
      <c r="J98" s="23">
        <v>45044</v>
      </c>
      <c r="K98" s="18" t="s">
        <v>454</v>
      </c>
      <c r="L98" s="26"/>
      <c r="M98" s="26"/>
      <c r="N98" s="26"/>
      <c r="O98" s="26"/>
      <c r="P98" s="26"/>
      <c r="Q98" s="26">
        <v>6480</v>
      </c>
      <c r="R98" s="26"/>
      <c r="S98" s="27">
        <v>230000</v>
      </c>
      <c r="T98" s="28">
        <f t="shared" si="8"/>
        <v>1490400</v>
      </c>
    </row>
    <row r="99" spans="1:20" s="17" customFormat="1" x14ac:dyDescent="0.25">
      <c r="A99" s="26"/>
      <c r="B99" s="19" t="s">
        <v>1586</v>
      </c>
      <c r="C99" s="19" t="s">
        <v>893</v>
      </c>
      <c r="D99" s="20" t="s">
        <v>1023</v>
      </c>
      <c r="E99" s="21" t="s">
        <v>1326</v>
      </c>
      <c r="F99" s="19">
        <v>20000</v>
      </c>
      <c r="G99" s="18">
        <v>800</v>
      </c>
      <c r="H99" s="18" t="s">
        <v>462</v>
      </c>
      <c r="I99" s="18" t="s">
        <v>30</v>
      </c>
      <c r="J99" s="23">
        <v>45044</v>
      </c>
      <c r="K99" s="18" t="s">
        <v>1587</v>
      </c>
      <c r="L99" s="19" t="s">
        <v>1588</v>
      </c>
      <c r="M99" s="19" t="s">
        <v>1589</v>
      </c>
      <c r="N99" s="26"/>
      <c r="O99" s="26"/>
      <c r="P99" s="26">
        <v>20000</v>
      </c>
      <c r="Q99" s="26"/>
      <c r="R99" s="26"/>
      <c r="S99" s="27">
        <v>98000</v>
      </c>
      <c r="T99" s="28">
        <f>F99/1000*S99</f>
        <v>1960000</v>
      </c>
    </row>
    <row r="100" spans="1:20" s="17" customFormat="1" x14ac:dyDescent="0.25">
      <c r="A100" s="25"/>
      <c r="B100" s="19" t="s">
        <v>1240</v>
      </c>
      <c r="C100" s="19" t="s">
        <v>57</v>
      </c>
      <c r="D100" s="20" t="s">
        <v>282</v>
      </c>
      <c r="E100" s="21" t="s">
        <v>1290</v>
      </c>
      <c r="F100" s="19">
        <v>8170</v>
      </c>
      <c r="G100" s="18">
        <v>43</v>
      </c>
      <c r="H100" s="18" t="s">
        <v>448</v>
      </c>
      <c r="I100" s="18" t="s">
        <v>30</v>
      </c>
      <c r="J100" s="23">
        <v>45044</v>
      </c>
      <c r="K100" s="19" t="s">
        <v>1590</v>
      </c>
      <c r="L100" s="26" t="s">
        <v>1591</v>
      </c>
      <c r="M100" s="26" t="s">
        <v>1592</v>
      </c>
      <c r="N100" s="26"/>
      <c r="O100" s="26"/>
      <c r="P100" s="26"/>
      <c r="Q100" s="26">
        <v>8170</v>
      </c>
      <c r="R100" s="26" t="s">
        <v>34</v>
      </c>
      <c r="S100" s="27">
        <v>115000</v>
      </c>
      <c r="T100" s="28">
        <f t="shared" ref="T100:T106" si="9">S100*(F100/1000)</f>
        <v>939550</v>
      </c>
    </row>
    <row r="101" spans="1:20" s="17" customFormat="1" x14ac:dyDescent="0.25">
      <c r="A101" s="25"/>
      <c r="B101" s="19" t="s">
        <v>1240</v>
      </c>
      <c r="C101" s="19" t="s">
        <v>57</v>
      </c>
      <c r="D101" s="20" t="s">
        <v>282</v>
      </c>
      <c r="E101" s="21" t="s">
        <v>1536</v>
      </c>
      <c r="F101" s="19">
        <v>5890</v>
      </c>
      <c r="G101" s="18">
        <v>31</v>
      </c>
      <c r="H101" s="18" t="s">
        <v>448</v>
      </c>
      <c r="I101" s="18" t="s">
        <v>30</v>
      </c>
      <c r="J101" s="23">
        <v>45044</v>
      </c>
      <c r="K101" s="19" t="s">
        <v>1590</v>
      </c>
      <c r="L101" s="26"/>
      <c r="M101" s="26"/>
      <c r="N101" s="26"/>
      <c r="O101" s="26"/>
      <c r="P101" s="26"/>
      <c r="Q101" s="26">
        <v>5890</v>
      </c>
      <c r="R101" s="26" t="s">
        <v>34</v>
      </c>
      <c r="S101" s="27">
        <v>115000</v>
      </c>
      <c r="T101" s="28">
        <f t="shared" si="9"/>
        <v>677350</v>
      </c>
    </row>
    <row r="102" spans="1:20" s="17" customFormat="1" x14ac:dyDescent="0.25">
      <c r="A102" s="25"/>
      <c r="B102" s="19" t="s">
        <v>1240</v>
      </c>
      <c r="C102" s="19" t="s">
        <v>57</v>
      </c>
      <c r="D102" s="20" t="s">
        <v>282</v>
      </c>
      <c r="E102" s="21" t="s">
        <v>1241</v>
      </c>
      <c r="F102" s="19">
        <v>1140</v>
      </c>
      <c r="G102" s="18">
        <v>6</v>
      </c>
      <c r="H102" s="18" t="s">
        <v>448</v>
      </c>
      <c r="I102" s="18" t="s">
        <v>30</v>
      </c>
      <c r="J102" s="23">
        <v>45044</v>
      </c>
      <c r="K102" s="19" t="s">
        <v>1590</v>
      </c>
      <c r="L102" s="26"/>
      <c r="M102" s="26"/>
      <c r="N102" s="26"/>
      <c r="O102" s="26"/>
      <c r="P102" s="26"/>
      <c r="Q102" s="26">
        <v>1140</v>
      </c>
      <c r="R102" s="26" t="s">
        <v>34</v>
      </c>
      <c r="S102" s="27">
        <v>115000</v>
      </c>
      <c r="T102" s="28">
        <f t="shared" si="9"/>
        <v>131100</v>
      </c>
    </row>
    <row r="103" spans="1:20" s="17" customFormat="1" x14ac:dyDescent="0.25">
      <c r="A103" s="26" t="s">
        <v>639</v>
      </c>
      <c r="B103" s="19" t="s">
        <v>1575</v>
      </c>
      <c r="C103" s="19" t="s">
        <v>85</v>
      </c>
      <c r="D103" s="20" t="s">
        <v>140</v>
      </c>
      <c r="E103" s="21" t="s">
        <v>646</v>
      </c>
      <c r="F103" s="19">
        <v>5040</v>
      </c>
      <c r="G103" s="18">
        <v>28</v>
      </c>
      <c r="H103" s="18" t="s">
        <v>322</v>
      </c>
      <c r="I103" s="18" t="s">
        <v>30</v>
      </c>
      <c r="J103" s="23" t="s">
        <v>1593</v>
      </c>
      <c r="K103" s="18" t="s">
        <v>1594</v>
      </c>
      <c r="L103" s="26">
        <v>89824854658</v>
      </c>
      <c r="M103" s="26" t="s">
        <v>1595</v>
      </c>
      <c r="N103" s="26"/>
      <c r="O103" s="26"/>
      <c r="P103" s="26"/>
      <c r="Q103" s="26">
        <v>5040</v>
      </c>
      <c r="R103" s="26"/>
      <c r="S103" s="27">
        <v>90000</v>
      </c>
      <c r="T103" s="28">
        <f t="shared" si="9"/>
        <v>453600</v>
      </c>
    </row>
    <row r="104" spans="1:20" s="17" customFormat="1" x14ac:dyDescent="0.25">
      <c r="A104" s="26" t="s">
        <v>639</v>
      </c>
      <c r="B104" s="19" t="s">
        <v>1575</v>
      </c>
      <c r="C104" s="19" t="s">
        <v>85</v>
      </c>
      <c r="D104" s="20" t="s">
        <v>140</v>
      </c>
      <c r="E104" s="21" t="s">
        <v>1596</v>
      </c>
      <c r="F104" s="19">
        <v>5760</v>
      </c>
      <c r="G104" s="18">
        <v>32</v>
      </c>
      <c r="H104" s="18" t="s">
        <v>322</v>
      </c>
      <c r="I104" s="18" t="s">
        <v>30</v>
      </c>
      <c r="J104" s="23" t="s">
        <v>1593</v>
      </c>
      <c r="K104" s="18" t="s">
        <v>1594</v>
      </c>
      <c r="L104" s="26"/>
      <c r="M104" s="26"/>
      <c r="N104" s="26"/>
      <c r="O104" s="26"/>
      <c r="P104" s="26"/>
      <c r="Q104" s="26">
        <v>5760</v>
      </c>
      <c r="R104" s="26"/>
      <c r="S104" s="27">
        <v>90000</v>
      </c>
      <c r="T104" s="28">
        <f t="shared" si="9"/>
        <v>518400</v>
      </c>
    </row>
    <row r="105" spans="1:20" s="17" customFormat="1" x14ac:dyDescent="0.25">
      <c r="A105" s="26" t="s">
        <v>639</v>
      </c>
      <c r="B105" s="19" t="s">
        <v>1575</v>
      </c>
      <c r="C105" s="19" t="s">
        <v>85</v>
      </c>
      <c r="D105" s="20" t="s">
        <v>140</v>
      </c>
      <c r="E105" s="21" t="s">
        <v>1597</v>
      </c>
      <c r="F105" s="19">
        <v>2160</v>
      </c>
      <c r="G105" s="18">
        <v>12</v>
      </c>
      <c r="H105" s="18" t="s">
        <v>322</v>
      </c>
      <c r="I105" s="18" t="s">
        <v>30</v>
      </c>
      <c r="J105" s="23" t="s">
        <v>1593</v>
      </c>
      <c r="K105" s="18" t="s">
        <v>1594</v>
      </c>
      <c r="L105" s="26"/>
      <c r="M105" s="26"/>
      <c r="N105" s="26"/>
      <c r="O105" s="26"/>
      <c r="P105" s="26"/>
      <c r="Q105" s="26">
        <v>2160</v>
      </c>
      <c r="R105" s="26"/>
      <c r="S105" s="27">
        <v>90000</v>
      </c>
      <c r="T105" s="28">
        <f t="shared" si="9"/>
        <v>194400</v>
      </c>
    </row>
    <row r="106" spans="1:20" s="17" customFormat="1" x14ac:dyDescent="0.25">
      <c r="A106" s="26" t="s">
        <v>639</v>
      </c>
      <c r="B106" s="19" t="s">
        <v>1575</v>
      </c>
      <c r="C106" s="19" t="s">
        <v>85</v>
      </c>
      <c r="D106" s="20" t="s">
        <v>140</v>
      </c>
      <c r="E106" s="21" t="s">
        <v>647</v>
      </c>
      <c r="F106" s="19">
        <v>2880</v>
      </c>
      <c r="G106" s="18">
        <v>16</v>
      </c>
      <c r="H106" s="18" t="s">
        <v>322</v>
      </c>
      <c r="I106" s="18" t="s">
        <v>30</v>
      </c>
      <c r="J106" s="23" t="s">
        <v>1593</v>
      </c>
      <c r="K106" s="18" t="s">
        <v>1594</v>
      </c>
      <c r="L106" s="26"/>
      <c r="M106" s="26"/>
      <c r="N106" s="26"/>
      <c r="O106" s="26"/>
      <c r="P106" s="26"/>
      <c r="Q106" s="26">
        <v>2880</v>
      </c>
      <c r="R106" s="26"/>
      <c r="S106" s="27">
        <v>90000</v>
      </c>
      <c r="T106" s="28">
        <f t="shared" si="9"/>
        <v>259200</v>
      </c>
    </row>
    <row r="107" spans="1:20" ht="18.75" x14ac:dyDescent="0.3">
      <c r="A107" s="119" t="s">
        <v>252</v>
      </c>
      <c r="B107" s="133">
        <f>SUM(F4:F106)/1000</f>
        <v>921.51549999999997</v>
      </c>
      <c r="C107" s="54" t="s">
        <v>253</v>
      </c>
      <c r="S107" s="55"/>
      <c r="T107" s="55">
        <f>SUM(T4:T106)</f>
        <v>104256934</v>
      </c>
    </row>
    <row r="108" spans="1:20" ht="18.75" x14ac:dyDescent="0.3">
      <c r="A108" s="120" t="s">
        <v>254</v>
      </c>
      <c r="B108" s="134">
        <f>B109+B110+B111</f>
        <v>921.51549999999997</v>
      </c>
      <c r="C108" s="58" t="s">
        <v>253</v>
      </c>
    </row>
    <row r="109" spans="1:20" ht="18.75" x14ac:dyDescent="0.3">
      <c r="A109" s="121" t="s">
        <v>255</v>
      </c>
      <c r="B109" s="135">
        <f>SUM(O4:O106)/1000</f>
        <v>380.7235</v>
      </c>
      <c r="C109" s="61" t="s">
        <v>253</v>
      </c>
    </row>
    <row r="110" spans="1:20" ht="18.75" x14ac:dyDescent="0.3">
      <c r="A110" s="121" t="s">
        <v>256</v>
      </c>
      <c r="B110" s="135">
        <f>SUM(P4:P106)/1000</f>
        <v>207.26920000000001</v>
      </c>
      <c r="C110" s="61" t="s">
        <v>253</v>
      </c>
    </row>
    <row r="111" spans="1:20" ht="18.75" x14ac:dyDescent="0.3">
      <c r="A111" s="121" t="s">
        <v>257</v>
      </c>
      <c r="B111" s="136">
        <f>SUM(Q4:Q106)/1000</f>
        <v>333.52279999999996</v>
      </c>
      <c r="C111" s="61" t="s">
        <v>253</v>
      </c>
    </row>
    <row r="112" spans="1:20" ht="18.75" x14ac:dyDescent="0.3">
      <c r="A112" s="122" t="s">
        <v>258</v>
      </c>
      <c r="B112" s="137">
        <f>B107-B108</f>
        <v>0</v>
      </c>
      <c r="C112" s="65" t="s">
        <v>253</v>
      </c>
    </row>
  </sheetData>
  <autoFilter ref="D1:D112" xr:uid="{00000000-0009-0000-0000-000008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2">
    <dataValidation type="list" allowBlank="1" showInputMessage="1" showErrorMessage="1" sqref="D90" xr:uid="{00120020-00B5-4AB4-9848-00E800C7005E}">
      <formula1>$E$4:$E$132</formula1>
    </dataValidation>
    <dataValidation type="list" allowBlank="1" showInputMessage="1" showErrorMessage="1" sqref="D91:D106" xr:uid="{00080075-0027-42A5-9325-004700F200EF}">
      <formula1>$E$4:$E$103</formula1>
    </dataValidation>
  </dataValidations>
  <pageMargins left="0.7" right="0.7" top="0.75" bottom="0.75" header="0.3" footer="0.3"/>
  <pageSetup paperSize="9" scale="36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справочник!$E$4:$E$113</xm:f>
          </x14:formula1>
          <xm:sqref>D4:D89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U126"/>
  <sheetViews>
    <sheetView zoomScale="80" workbookViewId="0">
      <selection activeCell="F10" sqref="F10:F116"/>
    </sheetView>
  </sheetViews>
  <sheetFormatPr defaultRowHeight="15" x14ac:dyDescent="0.25"/>
  <cols>
    <col min="1" max="1" width="22.42578125" customWidth="1"/>
    <col min="2" max="2" width="23.7109375" customWidth="1"/>
    <col min="3" max="3" width="29" bestFit="1" customWidth="1"/>
    <col min="4" max="4" width="42" bestFit="1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5.5703125" customWidth="1"/>
    <col min="14" max="14" width="14.140625" customWidth="1"/>
    <col min="18" max="18" width="27.140625" customWidth="1"/>
    <col min="19" max="19" width="25.140625" customWidth="1"/>
    <col min="20" max="20" width="20" customWidth="1"/>
    <col min="21" max="21" width="20.85546875" customWidth="1"/>
  </cols>
  <sheetData>
    <row r="1" spans="1:21" s="3" customFormat="1" ht="17.25" x14ac:dyDescent="0.3">
      <c r="A1" s="5"/>
      <c r="B1" s="5" t="s">
        <v>0</v>
      </c>
      <c r="C1" s="6">
        <v>44986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1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  <c r="U2" s="11" t="s">
        <v>1598</v>
      </c>
    </row>
    <row r="3" spans="1:21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  <c r="U3" s="11"/>
    </row>
    <row r="4" spans="1:21" s="132" customFormat="1" x14ac:dyDescent="0.25">
      <c r="A4" s="26"/>
      <c r="B4" s="19" t="s">
        <v>1599</v>
      </c>
      <c r="C4" s="19" t="s">
        <v>893</v>
      </c>
      <c r="D4" s="20" t="s">
        <v>1600</v>
      </c>
      <c r="E4" s="21" t="s">
        <v>1601</v>
      </c>
      <c r="F4" s="19">
        <v>20000</v>
      </c>
      <c r="G4" s="18">
        <v>800</v>
      </c>
      <c r="H4" s="18" t="s">
        <v>462</v>
      </c>
      <c r="I4" s="18" t="s">
        <v>30</v>
      </c>
      <c r="J4" s="23">
        <v>44986</v>
      </c>
      <c r="K4" s="18" t="s">
        <v>454</v>
      </c>
      <c r="L4" s="19" t="s">
        <v>747</v>
      </c>
      <c r="M4" s="19" t="s">
        <v>748</v>
      </c>
      <c r="N4" s="26"/>
      <c r="O4" s="26"/>
      <c r="P4" s="26">
        <v>20000</v>
      </c>
      <c r="Q4" s="26"/>
      <c r="R4" s="26"/>
      <c r="S4" s="27">
        <v>250000</v>
      </c>
      <c r="T4" s="28">
        <f t="shared" ref="T4:T17" si="0">S4*(F4/1000)</f>
        <v>5000000</v>
      </c>
      <c r="U4" s="26">
        <v>180000</v>
      </c>
    </row>
    <row r="5" spans="1:21" s="132" customFormat="1" x14ac:dyDescent="0.25">
      <c r="A5" s="26"/>
      <c r="B5" s="19" t="s">
        <v>1602</v>
      </c>
      <c r="C5" s="19" t="s">
        <v>633</v>
      </c>
      <c r="D5" s="20" t="s">
        <v>684</v>
      </c>
      <c r="E5" s="21" t="s">
        <v>1603</v>
      </c>
      <c r="F5" s="19">
        <v>20000</v>
      </c>
      <c r="G5" s="18">
        <v>1000</v>
      </c>
      <c r="H5" s="18" t="s">
        <v>448</v>
      </c>
      <c r="I5" s="18" t="s">
        <v>30</v>
      </c>
      <c r="J5" s="23">
        <v>44987</v>
      </c>
      <c r="K5" s="18" t="s">
        <v>1604</v>
      </c>
      <c r="L5" s="19" t="s">
        <v>1605</v>
      </c>
      <c r="M5" s="19" t="s">
        <v>1606</v>
      </c>
      <c r="N5" s="26"/>
      <c r="O5" s="26"/>
      <c r="P5" s="26">
        <v>20000</v>
      </c>
      <c r="Q5" s="26"/>
      <c r="R5" s="26" t="s">
        <v>34</v>
      </c>
      <c r="S5" s="27">
        <v>83000</v>
      </c>
      <c r="T5" s="28">
        <f t="shared" si="0"/>
        <v>1660000</v>
      </c>
      <c r="U5" s="26">
        <v>270000</v>
      </c>
    </row>
    <row r="6" spans="1:21" s="132" customFormat="1" x14ac:dyDescent="0.25">
      <c r="A6" s="26"/>
      <c r="B6" s="19" t="s">
        <v>1607</v>
      </c>
      <c r="C6" s="19" t="s">
        <v>1434</v>
      </c>
      <c r="D6" s="20" t="s">
        <v>1608</v>
      </c>
      <c r="E6" s="21" t="s">
        <v>1609</v>
      </c>
      <c r="F6" s="19">
        <v>9500</v>
      </c>
      <c r="G6" s="18">
        <v>10</v>
      </c>
      <c r="H6" s="18" t="s">
        <v>661</v>
      </c>
      <c r="I6" s="18" t="s">
        <v>30</v>
      </c>
      <c r="J6" s="23">
        <v>44987</v>
      </c>
      <c r="K6" s="18" t="s">
        <v>1610</v>
      </c>
      <c r="L6" s="19" t="s">
        <v>1611</v>
      </c>
      <c r="M6" s="19" t="s">
        <v>1612</v>
      </c>
      <c r="N6" s="26"/>
      <c r="O6" s="26"/>
      <c r="P6" s="26"/>
      <c r="Q6" s="26">
        <v>9500</v>
      </c>
      <c r="R6" s="26"/>
      <c r="S6" s="27">
        <v>134800</v>
      </c>
      <c r="T6" s="28">
        <f t="shared" si="0"/>
        <v>1280600</v>
      </c>
      <c r="U6" s="26">
        <v>165000</v>
      </c>
    </row>
    <row r="7" spans="1:21" s="132" customFormat="1" x14ac:dyDescent="0.25">
      <c r="A7" s="26"/>
      <c r="B7" s="22" t="s">
        <v>1613</v>
      </c>
      <c r="C7" s="19" t="s">
        <v>57</v>
      </c>
      <c r="D7" s="20" t="s">
        <v>857</v>
      </c>
      <c r="E7" s="33" t="s">
        <v>1516</v>
      </c>
      <c r="F7" s="19">
        <v>7770</v>
      </c>
      <c r="G7" s="18">
        <v>42</v>
      </c>
      <c r="H7" s="18" t="s">
        <v>1614</v>
      </c>
      <c r="I7" s="18" t="s">
        <v>30</v>
      </c>
      <c r="J7" s="23">
        <v>44988</v>
      </c>
      <c r="K7" s="18" t="s">
        <v>1419</v>
      </c>
      <c r="L7" s="26" t="s">
        <v>1615</v>
      </c>
      <c r="M7" s="26" t="s">
        <v>1616</v>
      </c>
      <c r="N7" s="26"/>
      <c r="O7" s="26"/>
      <c r="P7" s="26"/>
      <c r="Q7" s="26">
        <v>7770</v>
      </c>
      <c r="R7" s="26"/>
      <c r="S7" s="27">
        <v>359000</v>
      </c>
      <c r="T7" s="28">
        <f t="shared" si="0"/>
        <v>2789430</v>
      </c>
      <c r="U7" s="26">
        <v>340000</v>
      </c>
    </row>
    <row r="8" spans="1:21" s="132" customFormat="1" x14ac:dyDescent="0.25">
      <c r="A8" s="26"/>
      <c r="B8" s="22" t="s">
        <v>1613</v>
      </c>
      <c r="C8" s="19" t="s">
        <v>57</v>
      </c>
      <c r="D8" s="20" t="s">
        <v>857</v>
      </c>
      <c r="E8" s="33" t="s">
        <v>1617</v>
      </c>
      <c r="F8" s="19">
        <v>5550</v>
      </c>
      <c r="G8" s="18">
        <v>30</v>
      </c>
      <c r="H8" s="18" t="s">
        <v>1614</v>
      </c>
      <c r="I8" s="18" t="s">
        <v>30</v>
      </c>
      <c r="J8" s="23">
        <v>44988</v>
      </c>
      <c r="K8" s="18" t="s">
        <v>1419</v>
      </c>
      <c r="L8" s="26"/>
      <c r="M8" s="26"/>
      <c r="N8" s="26"/>
      <c r="O8" s="26"/>
      <c r="P8" s="26"/>
      <c r="Q8" s="26">
        <v>5550</v>
      </c>
      <c r="R8" s="26"/>
      <c r="S8" s="27">
        <v>359000</v>
      </c>
      <c r="T8" s="28">
        <f t="shared" si="0"/>
        <v>1992450</v>
      </c>
      <c r="U8" s="26"/>
    </row>
    <row r="9" spans="1:21" s="132" customFormat="1" x14ac:dyDescent="0.25">
      <c r="A9" s="26"/>
      <c r="B9" s="22" t="s">
        <v>1613</v>
      </c>
      <c r="C9" s="19" t="s">
        <v>57</v>
      </c>
      <c r="D9" s="20" t="s">
        <v>770</v>
      </c>
      <c r="E9" s="33" t="s">
        <v>1124</v>
      </c>
      <c r="F9" s="19">
        <v>3040</v>
      </c>
      <c r="G9" s="18">
        <v>16</v>
      </c>
      <c r="H9" s="18" t="s">
        <v>1614</v>
      </c>
      <c r="I9" s="18" t="s">
        <v>30</v>
      </c>
      <c r="J9" s="23">
        <v>44988</v>
      </c>
      <c r="K9" s="18" t="s">
        <v>1419</v>
      </c>
      <c r="L9" s="26"/>
      <c r="M9" s="26"/>
      <c r="N9" s="26"/>
      <c r="O9" s="26"/>
      <c r="P9" s="26"/>
      <c r="Q9" s="26">
        <v>3040</v>
      </c>
      <c r="R9" s="26"/>
      <c r="S9" s="27">
        <v>299900</v>
      </c>
      <c r="T9" s="28">
        <f t="shared" si="0"/>
        <v>911696</v>
      </c>
      <c r="U9" s="26"/>
    </row>
    <row r="10" spans="1:21" s="132" customFormat="1" x14ac:dyDescent="0.25">
      <c r="A10" s="26"/>
      <c r="B10" s="22" t="s">
        <v>1618</v>
      </c>
      <c r="C10" s="19" t="s">
        <v>57</v>
      </c>
      <c r="D10" s="20" t="s">
        <v>58</v>
      </c>
      <c r="E10" s="33" t="s">
        <v>1619</v>
      </c>
      <c r="F10" s="19">
        <v>19845</v>
      </c>
      <c r="G10" s="18">
        <v>875</v>
      </c>
      <c r="H10" s="18" t="s">
        <v>129</v>
      </c>
      <c r="I10" s="18" t="s">
        <v>30</v>
      </c>
      <c r="J10" s="23">
        <v>44988</v>
      </c>
      <c r="K10" s="18" t="s">
        <v>1400</v>
      </c>
      <c r="L10" s="26" t="s">
        <v>1401</v>
      </c>
      <c r="M10" s="26" t="s">
        <v>1402</v>
      </c>
      <c r="N10" s="26"/>
      <c r="O10" s="26">
        <v>19845</v>
      </c>
      <c r="P10" s="26"/>
      <c r="Q10" s="26"/>
      <c r="R10" s="26" t="s">
        <v>34</v>
      </c>
      <c r="S10" s="27">
        <v>49500</v>
      </c>
      <c r="T10" s="28">
        <f>S10*(F10/1000)</f>
        <v>982327.5</v>
      </c>
      <c r="U10" s="26">
        <v>210000</v>
      </c>
    </row>
    <row r="11" spans="1:21" s="132" customFormat="1" x14ac:dyDescent="0.25">
      <c r="A11" s="26"/>
      <c r="B11" s="19" t="s">
        <v>1602</v>
      </c>
      <c r="C11" s="19" t="s">
        <v>633</v>
      </c>
      <c r="D11" s="20" t="s">
        <v>684</v>
      </c>
      <c r="E11" s="19">
        <v>240123</v>
      </c>
      <c r="F11" s="19">
        <v>20000</v>
      </c>
      <c r="G11" s="18">
        <v>1000</v>
      </c>
      <c r="H11" s="18" t="s">
        <v>448</v>
      </c>
      <c r="I11" s="18" t="s">
        <v>30</v>
      </c>
      <c r="J11" s="23">
        <v>44991</v>
      </c>
      <c r="K11" s="18" t="s">
        <v>1297</v>
      </c>
      <c r="L11" s="138" t="s">
        <v>1298</v>
      </c>
      <c r="M11" s="19" t="s">
        <v>1299</v>
      </c>
      <c r="N11" s="26"/>
      <c r="O11" s="26"/>
      <c r="P11" s="26">
        <v>20000</v>
      </c>
      <c r="Q11" s="26"/>
      <c r="R11" s="26" t="s">
        <v>34</v>
      </c>
      <c r="S11" s="27">
        <v>83000</v>
      </c>
      <c r="T11" s="28">
        <f t="shared" si="0"/>
        <v>1660000</v>
      </c>
      <c r="U11" s="26">
        <v>270000</v>
      </c>
    </row>
    <row r="12" spans="1:21" s="132" customFormat="1" x14ac:dyDescent="0.25">
      <c r="A12" s="26"/>
      <c r="B12" s="19" t="s">
        <v>490</v>
      </c>
      <c r="C12" s="19" t="s">
        <v>913</v>
      </c>
      <c r="D12" s="20" t="s">
        <v>86</v>
      </c>
      <c r="E12" s="21" t="s">
        <v>1620</v>
      </c>
      <c r="F12" s="19">
        <v>10000</v>
      </c>
      <c r="G12" s="18">
        <v>400</v>
      </c>
      <c r="H12" s="18" t="s">
        <v>322</v>
      </c>
      <c r="I12" s="18" t="s">
        <v>30</v>
      </c>
      <c r="J12" s="23">
        <v>44991</v>
      </c>
      <c r="K12" s="18" t="s">
        <v>1621</v>
      </c>
      <c r="L12" s="19" t="s">
        <v>459</v>
      </c>
      <c r="M12" s="19" t="s">
        <v>460</v>
      </c>
      <c r="N12" s="26"/>
      <c r="O12" s="26">
        <v>10000</v>
      </c>
      <c r="P12" s="26"/>
      <c r="Q12" s="26"/>
      <c r="R12" s="26" t="s">
        <v>34</v>
      </c>
      <c r="S12" s="27">
        <v>41000</v>
      </c>
      <c r="T12" s="28">
        <f t="shared" si="0"/>
        <v>410000</v>
      </c>
      <c r="U12" s="26">
        <v>240000</v>
      </c>
    </row>
    <row r="13" spans="1:21" s="132" customFormat="1" x14ac:dyDescent="0.25">
      <c r="A13" s="26"/>
      <c r="B13" s="19" t="s">
        <v>490</v>
      </c>
      <c r="C13" s="19" t="s">
        <v>913</v>
      </c>
      <c r="D13" s="20" t="s">
        <v>1622</v>
      </c>
      <c r="E13" s="21" t="s">
        <v>1619</v>
      </c>
      <c r="F13" s="19">
        <v>4680</v>
      </c>
      <c r="G13" s="18">
        <v>26</v>
      </c>
      <c r="H13" s="18" t="s">
        <v>322</v>
      </c>
      <c r="I13" s="18" t="s">
        <v>30</v>
      </c>
      <c r="J13" s="23">
        <v>44991</v>
      </c>
      <c r="K13" s="18" t="s">
        <v>1621</v>
      </c>
      <c r="L13" s="19"/>
      <c r="M13" s="19"/>
      <c r="N13" s="26"/>
      <c r="O13" s="26"/>
      <c r="P13" s="26"/>
      <c r="Q13" s="26">
        <v>4680</v>
      </c>
      <c r="R13" s="26" t="s">
        <v>34</v>
      </c>
      <c r="S13" s="27">
        <v>110000</v>
      </c>
      <c r="T13" s="28">
        <f t="shared" si="0"/>
        <v>514799.99999999994</v>
      </c>
      <c r="U13" s="26"/>
    </row>
    <row r="14" spans="1:21" s="132" customFormat="1" x14ac:dyDescent="0.25">
      <c r="A14" s="26"/>
      <c r="B14" s="19" t="s">
        <v>490</v>
      </c>
      <c r="C14" s="19" t="s">
        <v>913</v>
      </c>
      <c r="D14" s="20" t="s">
        <v>1622</v>
      </c>
      <c r="E14" s="21" t="s">
        <v>1368</v>
      </c>
      <c r="F14" s="19">
        <v>3960</v>
      </c>
      <c r="G14" s="18">
        <v>22</v>
      </c>
      <c r="H14" s="18" t="s">
        <v>322</v>
      </c>
      <c r="I14" s="18" t="s">
        <v>30</v>
      </c>
      <c r="J14" s="23">
        <v>44991</v>
      </c>
      <c r="K14" s="18" t="s">
        <v>1621</v>
      </c>
      <c r="L14" s="19"/>
      <c r="M14" s="19"/>
      <c r="N14" s="26"/>
      <c r="O14" s="26"/>
      <c r="P14" s="26"/>
      <c r="Q14" s="26">
        <v>3960</v>
      </c>
      <c r="R14" s="26" t="s">
        <v>34</v>
      </c>
      <c r="S14" s="27">
        <v>110000</v>
      </c>
      <c r="T14" s="28">
        <f t="shared" si="0"/>
        <v>435600</v>
      </c>
      <c r="U14" s="26"/>
    </row>
    <row r="15" spans="1:21" s="132" customFormat="1" x14ac:dyDescent="0.25">
      <c r="A15" s="26" t="s">
        <v>280</v>
      </c>
      <c r="B15" s="22" t="s">
        <v>1623</v>
      </c>
      <c r="C15" s="19" t="s">
        <v>57</v>
      </c>
      <c r="D15" s="20" t="s">
        <v>186</v>
      </c>
      <c r="E15" s="33" t="s">
        <v>1368</v>
      </c>
      <c r="F15" s="19">
        <v>15876</v>
      </c>
      <c r="G15" s="18">
        <v>700</v>
      </c>
      <c r="H15" s="18" t="s">
        <v>188</v>
      </c>
      <c r="I15" s="18" t="s">
        <v>30</v>
      </c>
      <c r="J15" s="23">
        <v>44992</v>
      </c>
      <c r="K15" s="18"/>
      <c r="L15" s="26"/>
      <c r="M15" s="26"/>
      <c r="N15" s="139" t="s">
        <v>1624</v>
      </c>
      <c r="O15" s="26">
        <v>15876</v>
      </c>
      <c r="P15" s="26"/>
      <c r="Q15" s="26"/>
      <c r="R15" s="26"/>
      <c r="S15" s="27">
        <v>49500</v>
      </c>
      <c r="T15" s="28">
        <f t="shared" si="0"/>
        <v>785862</v>
      </c>
      <c r="U15" s="26">
        <v>250000</v>
      </c>
    </row>
    <row r="16" spans="1:21" s="132" customFormat="1" x14ac:dyDescent="0.25">
      <c r="A16" s="26" t="s">
        <v>280</v>
      </c>
      <c r="B16" s="22" t="s">
        <v>1625</v>
      </c>
      <c r="C16" s="19" t="s">
        <v>57</v>
      </c>
      <c r="D16" s="20" t="s">
        <v>186</v>
      </c>
      <c r="E16" s="33" t="s">
        <v>1124</v>
      </c>
      <c r="F16" s="19">
        <v>15876</v>
      </c>
      <c r="G16" s="18">
        <v>700</v>
      </c>
      <c r="H16" s="18" t="s">
        <v>188</v>
      </c>
      <c r="I16" s="18" t="s">
        <v>30</v>
      </c>
      <c r="J16" s="23">
        <v>44992</v>
      </c>
      <c r="K16" s="18"/>
      <c r="L16" s="26"/>
      <c r="M16" s="26"/>
      <c r="N16" s="26" t="s">
        <v>1626</v>
      </c>
      <c r="O16" s="26">
        <v>15876</v>
      </c>
      <c r="P16" s="26"/>
      <c r="Q16" s="26"/>
      <c r="R16" s="26"/>
      <c r="S16" s="27">
        <v>49500</v>
      </c>
      <c r="T16" s="28">
        <f t="shared" si="0"/>
        <v>785862</v>
      </c>
      <c r="U16" s="26"/>
    </row>
    <row r="17" spans="1:21" s="132" customFormat="1" x14ac:dyDescent="0.25">
      <c r="A17" s="26"/>
      <c r="B17" s="19" t="s">
        <v>1602</v>
      </c>
      <c r="C17" s="19" t="s">
        <v>633</v>
      </c>
      <c r="D17" s="20" t="s">
        <v>684</v>
      </c>
      <c r="E17" s="19">
        <v>190123</v>
      </c>
      <c r="F17" s="19">
        <v>20000</v>
      </c>
      <c r="G17" s="18">
        <v>1000</v>
      </c>
      <c r="H17" s="18" t="s">
        <v>448</v>
      </c>
      <c r="I17" s="18" t="s">
        <v>30</v>
      </c>
      <c r="J17" s="23">
        <v>44992</v>
      </c>
      <c r="K17" s="18" t="s">
        <v>1627</v>
      </c>
      <c r="L17" s="138" t="s">
        <v>1628</v>
      </c>
      <c r="M17" s="19" t="s">
        <v>1629</v>
      </c>
      <c r="N17" s="26"/>
      <c r="O17" s="26"/>
      <c r="P17" s="26">
        <v>20000</v>
      </c>
      <c r="Q17" s="26"/>
      <c r="R17" s="26" t="s">
        <v>34</v>
      </c>
      <c r="S17" s="27">
        <v>83000</v>
      </c>
      <c r="T17" s="28">
        <f t="shared" si="0"/>
        <v>1660000</v>
      </c>
      <c r="U17" s="26">
        <v>270000</v>
      </c>
    </row>
    <row r="18" spans="1:21" s="132" customFormat="1" x14ac:dyDescent="0.25">
      <c r="A18" s="26"/>
      <c r="B18" s="19" t="s">
        <v>1602</v>
      </c>
      <c r="C18" s="19" t="s">
        <v>633</v>
      </c>
      <c r="D18" s="20" t="s">
        <v>684</v>
      </c>
      <c r="E18" s="33" t="s">
        <v>1124</v>
      </c>
      <c r="F18" s="19">
        <v>20000</v>
      </c>
      <c r="G18" s="18">
        <v>1000</v>
      </c>
      <c r="H18" s="18" t="s">
        <v>448</v>
      </c>
      <c r="I18" s="18" t="s">
        <v>30</v>
      </c>
      <c r="J18" s="23">
        <v>44992</v>
      </c>
      <c r="K18" s="18" t="s">
        <v>1630</v>
      </c>
      <c r="L18" s="19" t="s">
        <v>1278</v>
      </c>
      <c r="M18" s="19" t="s">
        <v>1279</v>
      </c>
      <c r="N18" s="26"/>
      <c r="O18" s="26"/>
      <c r="P18" s="26">
        <v>20000</v>
      </c>
      <c r="Q18" s="26"/>
      <c r="R18" s="26" t="s">
        <v>34</v>
      </c>
      <c r="S18" s="27">
        <v>83000</v>
      </c>
      <c r="T18" s="28">
        <f t="shared" ref="T18:T81" si="1">S18*(F18/1000)</f>
        <v>1660000</v>
      </c>
      <c r="U18" s="26">
        <v>270000</v>
      </c>
    </row>
    <row r="19" spans="1:21" s="132" customFormat="1" x14ac:dyDescent="0.25">
      <c r="A19" s="26"/>
      <c r="B19" s="19" t="s">
        <v>1602</v>
      </c>
      <c r="C19" s="19" t="s">
        <v>633</v>
      </c>
      <c r="D19" s="20" t="s">
        <v>684</v>
      </c>
      <c r="E19" s="33" t="s">
        <v>1631</v>
      </c>
      <c r="F19" s="19">
        <v>20000</v>
      </c>
      <c r="G19" s="18">
        <v>1000</v>
      </c>
      <c r="H19" s="18" t="s">
        <v>448</v>
      </c>
      <c r="I19" s="18" t="s">
        <v>30</v>
      </c>
      <c r="J19" s="23">
        <v>44992</v>
      </c>
      <c r="K19" s="18" t="s">
        <v>1632</v>
      </c>
      <c r="L19" s="19" t="s">
        <v>1633</v>
      </c>
      <c r="M19" s="19" t="s">
        <v>1634</v>
      </c>
      <c r="N19" s="26"/>
      <c r="O19" s="26"/>
      <c r="P19" s="26">
        <v>20000</v>
      </c>
      <c r="Q19" s="26"/>
      <c r="R19" s="26" t="s">
        <v>34</v>
      </c>
      <c r="S19" s="27">
        <v>83000</v>
      </c>
      <c r="T19" s="28">
        <f t="shared" si="1"/>
        <v>1660000</v>
      </c>
      <c r="U19" s="26">
        <v>270000</v>
      </c>
    </row>
    <row r="20" spans="1:21" s="132" customFormat="1" x14ac:dyDescent="0.25">
      <c r="A20" s="26"/>
      <c r="B20" s="22" t="s">
        <v>1635</v>
      </c>
      <c r="C20" s="19" t="s">
        <v>57</v>
      </c>
      <c r="D20" s="20" t="s">
        <v>58</v>
      </c>
      <c r="E20" s="33" t="s">
        <v>1636</v>
      </c>
      <c r="F20" s="19">
        <v>19845</v>
      </c>
      <c r="G20" s="18">
        <v>875</v>
      </c>
      <c r="H20" s="18" t="s">
        <v>448</v>
      </c>
      <c r="I20" s="18" t="s">
        <v>30</v>
      </c>
      <c r="J20" s="23">
        <v>44992</v>
      </c>
      <c r="K20" s="18" t="s">
        <v>1637</v>
      </c>
      <c r="L20" s="26" t="s">
        <v>1638</v>
      </c>
      <c r="M20" s="26" t="s">
        <v>1639</v>
      </c>
      <c r="N20" s="26"/>
      <c r="O20" s="26"/>
      <c r="P20" s="26">
        <v>19845</v>
      </c>
      <c r="Q20" s="26"/>
      <c r="R20" s="26" t="s">
        <v>34</v>
      </c>
      <c r="S20" s="27">
        <v>49500</v>
      </c>
      <c r="T20" s="28">
        <f t="shared" si="1"/>
        <v>982327.5</v>
      </c>
      <c r="U20" s="26">
        <v>270000</v>
      </c>
    </row>
    <row r="21" spans="1:21" s="132" customFormat="1" x14ac:dyDescent="0.25">
      <c r="A21" s="26"/>
      <c r="B21" s="22" t="s">
        <v>1618</v>
      </c>
      <c r="C21" s="19" t="s">
        <v>57</v>
      </c>
      <c r="D21" s="20" t="s">
        <v>58</v>
      </c>
      <c r="E21" s="33" t="s">
        <v>1617</v>
      </c>
      <c r="F21" s="19">
        <v>19845</v>
      </c>
      <c r="G21" s="18">
        <v>875</v>
      </c>
      <c r="H21" s="18" t="s">
        <v>129</v>
      </c>
      <c r="I21" s="18" t="s">
        <v>30</v>
      </c>
      <c r="J21" s="23">
        <v>44994</v>
      </c>
      <c r="K21" s="18" t="s">
        <v>749</v>
      </c>
      <c r="L21" s="26" t="s">
        <v>750</v>
      </c>
      <c r="M21" s="26" t="s">
        <v>751</v>
      </c>
      <c r="N21" s="26"/>
      <c r="O21" s="26">
        <v>19845</v>
      </c>
      <c r="P21" s="26"/>
      <c r="Q21" s="26"/>
      <c r="R21" s="26" t="s">
        <v>34</v>
      </c>
      <c r="S21" s="27">
        <v>49500</v>
      </c>
      <c r="T21" s="28">
        <f t="shared" si="1"/>
        <v>982327.5</v>
      </c>
      <c r="U21" s="26">
        <v>195000</v>
      </c>
    </row>
    <row r="22" spans="1:21" s="132" customFormat="1" x14ac:dyDescent="0.25">
      <c r="A22" s="26"/>
      <c r="B22" s="19" t="s">
        <v>1640</v>
      </c>
      <c r="C22" s="19" t="s">
        <v>893</v>
      </c>
      <c r="D22" s="20" t="s">
        <v>1498</v>
      </c>
      <c r="E22" s="21" t="s">
        <v>1641</v>
      </c>
      <c r="F22" s="19">
        <v>2090</v>
      </c>
      <c r="G22" s="18">
        <v>11</v>
      </c>
      <c r="H22" s="18" t="s">
        <v>462</v>
      </c>
      <c r="I22" s="18" t="s">
        <v>30</v>
      </c>
      <c r="J22" s="23">
        <v>44994</v>
      </c>
      <c r="K22" s="18" t="s">
        <v>1642</v>
      </c>
      <c r="L22" s="19">
        <v>79532629687</v>
      </c>
      <c r="M22" s="19" t="s">
        <v>1643</v>
      </c>
      <c r="N22" s="26"/>
      <c r="O22" s="26"/>
      <c r="P22" s="26"/>
      <c r="Q22" s="26">
        <v>2090</v>
      </c>
      <c r="R22" s="26" t="s">
        <v>34</v>
      </c>
      <c r="S22" s="27">
        <v>165000</v>
      </c>
      <c r="T22" s="28">
        <f t="shared" si="1"/>
        <v>344850</v>
      </c>
      <c r="U22" s="26">
        <v>190000</v>
      </c>
    </row>
    <row r="23" spans="1:21" s="132" customFormat="1" x14ac:dyDescent="0.25">
      <c r="A23" s="26"/>
      <c r="B23" s="19" t="s">
        <v>1640</v>
      </c>
      <c r="C23" s="19" t="s">
        <v>893</v>
      </c>
      <c r="D23" s="20" t="s">
        <v>1498</v>
      </c>
      <c r="E23" s="21" t="s">
        <v>1644</v>
      </c>
      <c r="F23" s="19">
        <v>8930</v>
      </c>
      <c r="G23" s="18">
        <v>47</v>
      </c>
      <c r="H23" s="18" t="s">
        <v>462</v>
      </c>
      <c r="I23" s="18" t="s">
        <v>30</v>
      </c>
      <c r="J23" s="23">
        <v>44994</v>
      </c>
      <c r="K23" s="18" t="s">
        <v>1642</v>
      </c>
      <c r="L23" s="19"/>
      <c r="M23" s="19"/>
      <c r="N23" s="26"/>
      <c r="O23" s="26"/>
      <c r="P23" s="26"/>
      <c r="Q23" s="26">
        <v>8930</v>
      </c>
      <c r="R23" s="26" t="s">
        <v>34</v>
      </c>
      <c r="S23" s="27">
        <v>165000</v>
      </c>
      <c r="T23" s="28">
        <f t="shared" si="1"/>
        <v>1473450</v>
      </c>
      <c r="U23" s="26"/>
    </row>
    <row r="24" spans="1:21" s="132" customFormat="1" x14ac:dyDescent="0.25">
      <c r="A24" s="26"/>
      <c r="B24" s="19" t="s">
        <v>1640</v>
      </c>
      <c r="C24" s="19" t="s">
        <v>893</v>
      </c>
      <c r="D24" s="20" t="s">
        <v>1498</v>
      </c>
      <c r="E24" s="21" t="s">
        <v>1601</v>
      </c>
      <c r="F24" s="19">
        <v>5700</v>
      </c>
      <c r="G24" s="18">
        <v>30</v>
      </c>
      <c r="H24" s="18" t="s">
        <v>462</v>
      </c>
      <c r="I24" s="18" t="s">
        <v>30</v>
      </c>
      <c r="J24" s="23">
        <v>44994</v>
      </c>
      <c r="K24" s="18" t="s">
        <v>1642</v>
      </c>
      <c r="L24" s="19"/>
      <c r="M24" s="19"/>
      <c r="N24" s="26"/>
      <c r="O24" s="26"/>
      <c r="P24" s="26"/>
      <c r="Q24" s="26">
        <v>5700</v>
      </c>
      <c r="R24" s="26" t="s">
        <v>34</v>
      </c>
      <c r="S24" s="27">
        <v>165000</v>
      </c>
      <c r="T24" s="28">
        <f t="shared" si="1"/>
        <v>940500</v>
      </c>
      <c r="U24" s="26"/>
    </row>
    <row r="25" spans="1:21" s="132" customFormat="1" x14ac:dyDescent="0.25">
      <c r="A25" s="26"/>
      <c r="B25" s="19" t="s">
        <v>1599</v>
      </c>
      <c r="C25" s="19" t="s">
        <v>893</v>
      </c>
      <c r="D25" s="20" t="s">
        <v>1600</v>
      </c>
      <c r="E25" s="21" t="s">
        <v>1619</v>
      </c>
      <c r="F25" s="19">
        <v>20000</v>
      </c>
      <c r="G25" s="18">
        <v>800</v>
      </c>
      <c r="H25" s="18" t="s">
        <v>462</v>
      </c>
      <c r="I25" s="18" t="s">
        <v>30</v>
      </c>
      <c r="J25" s="23">
        <v>44994</v>
      </c>
      <c r="K25" s="19" t="s">
        <v>1090</v>
      </c>
      <c r="L25" s="26" t="s">
        <v>1091</v>
      </c>
      <c r="M25" s="26" t="s">
        <v>1092</v>
      </c>
      <c r="N25" s="26"/>
      <c r="O25" s="26"/>
      <c r="P25" s="26">
        <v>20000</v>
      </c>
      <c r="Q25" s="26"/>
      <c r="R25" s="26" t="s">
        <v>34</v>
      </c>
      <c r="S25" s="27">
        <v>250000</v>
      </c>
      <c r="T25" s="28">
        <f t="shared" si="1"/>
        <v>5000000</v>
      </c>
      <c r="U25" s="26">
        <v>190000</v>
      </c>
    </row>
    <row r="26" spans="1:21" s="132" customFormat="1" x14ac:dyDescent="0.25">
      <c r="A26" s="26"/>
      <c r="B26" s="19" t="s">
        <v>1645</v>
      </c>
      <c r="C26" s="19" t="s">
        <v>893</v>
      </c>
      <c r="D26" s="20" t="s">
        <v>1498</v>
      </c>
      <c r="E26" s="21" t="s">
        <v>1601</v>
      </c>
      <c r="F26" s="19">
        <v>3230</v>
      </c>
      <c r="G26" s="18">
        <v>17</v>
      </c>
      <c r="H26" s="18" t="s">
        <v>40</v>
      </c>
      <c r="I26" s="18" t="s">
        <v>30</v>
      </c>
      <c r="J26" s="23">
        <v>44994</v>
      </c>
      <c r="K26" s="18" t="s">
        <v>1646</v>
      </c>
      <c r="L26" s="19" t="s">
        <v>734</v>
      </c>
      <c r="M26" s="19" t="s">
        <v>735</v>
      </c>
      <c r="N26" s="26"/>
      <c r="O26" s="26"/>
      <c r="P26" s="26"/>
      <c r="Q26" s="26">
        <v>3230</v>
      </c>
      <c r="R26" s="26"/>
      <c r="S26" s="27">
        <v>165000</v>
      </c>
      <c r="T26" s="28">
        <f t="shared" si="1"/>
        <v>532950</v>
      </c>
      <c r="U26" s="26">
        <v>230000</v>
      </c>
    </row>
    <row r="27" spans="1:21" s="132" customFormat="1" x14ac:dyDescent="0.25">
      <c r="A27" s="26"/>
      <c r="B27" s="19" t="s">
        <v>1645</v>
      </c>
      <c r="C27" s="19" t="s">
        <v>893</v>
      </c>
      <c r="D27" s="20" t="s">
        <v>1498</v>
      </c>
      <c r="E27" s="21" t="s">
        <v>1636</v>
      </c>
      <c r="F27" s="19">
        <v>8740</v>
      </c>
      <c r="G27" s="18">
        <v>46</v>
      </c>
      <c r="H27" s="18" t="s">
        <v>40</v>
      </c>
      <c r="I27" s="18" t="s">
        <v>30</v>
      </c>
      <c r="J27" s="23">
        <v>44994</v>
      </c>
      <c r="K27" s="18" t="s">
        <v>1646</v>
      </c>
      <c r="L27" s="19"/>
      <c r="M27" s="19"/>
      <c r="N27" s="26"/>
      <c r="O27" s="26"/>
      <c r="P27" s="26"/>
      <c r="Q27" s="26">
        <v>8740</v>
      </c>
      <c r="R27" s="26"/>
      <c r="S27" s="27">
        <v>165000</v>
      </c>
      <c r="T27" s="28">
        <f t="shared" si="1"/>
        <v>1442100</v>
      </c>
      <c r="U27" s="26"/>
    </row>
    <row r="28" spans="1:21" s="132" customFormat="1" x14ac:dyDescent="0.25">
      <c r="A28" s="26"/>
      <c r="B28" s="19" t="s">
        <v>1645</v>
      </c>
      <c r="C28" s="19" t="s">
        <v>893</v>
      </c>
      <c r="D28" s="20" t="s">
        <v>1498</v>
      </c>
      <c r="E28" s="21" t="s">
        <v>1647</v>
      </c>
      <c r="F28" s="19">
        <v>4750</v>
      </c>
      <c r="G28" s="18">
        <v>25</v>
      </c>
      <c r="H28" s="18" t="s">
        <v>40</v>
      </c>
      <c r="I28" s="18" t="s">
        <v>30</v>
      </c>
      <c r="J28" s="23">
        <v>44994</v>
      </c>
      <c r="K28" s="18" t="s">
        <v>1646</v>
      </c>
      <c r="L28" s="19"/>
      <c r="M28" s="19"/>
      <c r="N28" s="26"/>
      <c r="O28" s="26"/>
      <c r="P28" s="26"/>
      <c r="Q28" s="26">
        <v>4750</v>
      </c>
      <c r="R28" s="26"/>
      <c r="S28" s="27">
        <v>165000</v>
      </c>
      <c r="T28" s="28">
        <f t="shared" si="1"/>
        <v>783750</v>
      </c>
      <c r="U28" s="26"/>
    </row>
    <row r="29" spans="1:21" s="132" customFormat="1" x14ac:dyDescent="0.25">
      <c r="A29" s="26"/>
      <c r="B29" s="19" t="s">
        <v>1648</v>
      </c>
      <c r="C29" s="19" t="s">
        <v>633</v>
      </c>
      <c r="D29" s="20" t="s">
        <v>371</v>
      </c>
      <c r="E29" s="21" t="s">
        <v>1649</v>
      </c>
      <c r="F29" s="19">
        <v>400</v>
      </c>
      <c r="G29" s="18">
        <v>2</v>
      </c>
      <c r="H29" s="18" t="s">
        <v>373</v>
      </c>
      <c r="I29" s="18" t="s">
        <v>30</v>
      </c>
      <c r="J29" s="23">
        <v>44994</v>
      </c>
      <c r="K29" s="18" t="s">
        <v>1650</v>
      </c>
      <c r="L29" s="19" t="s">
        <v>1651</v>
      </c>
      <c r="M29" s="19" t="s">
        <v>1652</v>
      </c>
      <c r="N29" s="26"/>
      <c r="O29" s="26"/>
      <c r="P29" s="26"/>
      <c r="Q29" s="26">
        <v>400</v>
      </c>
      <c r="R29" s="26" t="s">
        <v>34</v>
      </c>
      <c r="S29" s="27">
        <v>359000</v>
      </c>
      <c r="T29" s="28">
        <f t="shared" si="1"/>
        <v>143600</v>
      </c>
      <c r="U29" s="26">
        <v>170000</v>
      </c>
    </row>
    <row r="30" spans="1:21" s="132" customFormat="1" x14ac:dyDescent="0.25">
      <c r="A30" s="26"/>
      <c r="B30" s="19" t="s">
        <v>1648</v>
      </c>
      <c r="C30" s="19" t="s">
        <v>633</v>
      </c>
      <c r="D30" s="20" t="s">
        <v>371</v>
      </c>
      <c r="E30" s="21" t="s">
        <v>1368</v>
      </c>
      <c r="F30" s="19">
        <v>9000</v>
      </c>
      <c r="G30" s="18">
        <v>45</v>
      </c>
      <c r="H30" s="18" t="s">
        <v>373</v>
      </c>
      <c r="I30" s="18" t="s">
        <v>30</v>
      </c>
      <c r="J30" s="23">
        <v>44994</v>
      </c>
      <c r="K30" s="18" t="s">
        <v>1650</v>
      </c>
      <c r="L30" s="19"/>
      <c r="M30" s="19"/>
      <c r="N30" s="26"/>
      <c r="O30" s="26"/>
      <c r="P30" s="26"/>
      <c r="Q30" s="26">
        <v>9000</v>
      </c>
      <c r="R30" s="26"/>
      <c r="S30" s="27">
        <v>359000</v>
      </c>
      <c r="T30" s="28">
        <f t="shared" si="1"/>
        <v>3231000</v>
      </c>
      <c r="U30" s="26"/>
    </row>
    <row r="31" spans="1:21" s="132" customFormat="1" ht="15.75" customHeight="1" x14ac:dyDescent="0.25">
      <c r="A31" s="26"/>
      <c r="B31" s="19" t="s">
        <v>1648</v>
      </c>
      <c r="C31" s="19" t="s">
        <v>633</v>
      </c>
      <c r="D31" s="20" t="s">
        <v>371</v>
      </c>
      <c r="E31" s="21" t="s">
        <v>1124</v>
      </c>
      <c r="F31" s="19">
        <v>8000</v>
      </c>
      <c r="G31" s="18">
        <v>40</v>
      </c>
      <c r="H31" s="18" t="s">
        <v>373</v>
      </c>
      <c r="I31" s="18" t="s">
        <v>30</v>
      </c>
      <c r="J31" s="23">
        <v>44994</v>
      </c>
      <c r="K31" s="18" t="s">
        <v>1650</v>
      </c>
      <c r="L31" s="19"/>
      <c r="M31" s="19"/>
      <c r="N31" s="26"/>
      <c r="O31" s="26"/>
      <c r="P31" s="26"/>
      <c r="Q31" s="26">
        <v>8000</v>
      </c>
      <c r="R31" s="26"/>
      <c r="S31" s="27">
        <v>359000</v>
      </c>
      <c r="T31" s="28">
        <f t="shared" si="1"/>
        <v>2872000</v>
      </c>
      <c r="U31" s="26"/>
    </row>
    <row r="32" spans="1:21" s="132" customFormat="1" x14ac:dyDescent="0.25">
      <c r="A32" s="26"/>
      <c r="B32" s="19" t="s">
        <v>1653</v>
      </c>
      <c r="C32" s="19" t="s">
        <v>893</v>
      </c>
      <c r="D32" s="20" t="s">
        <v>1498</v>
      </c>
      <c r="E32" s="21" t="s">
        <v>1654</v>
      </c>
      <c r="F32" s="19">
        <v>380</v>
      </c>
      <c r="G32" s="18">
        <v>2</v>
      </c>
      <c r="H32" s="18" t="s">
        <v>448</v>
      </c>
      <c r="I32" s="18" t="s">
        <v>30</v>
      </c>
      <c r="J32" s="23">
        <v>44995</v>
      </c>
      <c r="K32" s="18" t="s">
        <v>1655</v>
      </c>
      <c r="L32" s="19" t="s">
        <v>1656</v>
      </c>
      <c r="M32" s="19" t="s">
        <v>1657</v>
      </c>
      <c r="N32" s="26"/>
      <c r="O32" s="26"/>
      <c r="P32" s="26"/>
      <c r="Q32" s="26">
        <v>380</v>
      </c>
      <c r="R32" s="26" t="s">
        <v>34</v>
      </c>
      <c r="S32" s="27">
        <v>165000</v>
      </c>
      <c r="T32" s="28">
        <f t="shared" si="1"/>
        <v>62700</v>
      </c>
      <c r="U32" s="26">
        <v>275000</v>
      </c>
    </row>
    <row r="33" spans="1:21" s="132" customFormat="1" x14ac:dyDescent="0.25">
      <c r="A33" s="26"/>
      <c r="B33" s="19" t="s">
        <v>1653</v>
      </c>
      <c r="C33" s="19" t="s">
        <v>893</v>
      </c>
      <c r="D33" s="20" t="s">
        <v>1498</v>
      </c>
      <c r="E33" s="21" t="s">
        <v>1609</v>
      </c>
      <c r="F33" s="19">
        <v>380</v>
      </c>
      <c r="G33" s="18">
        <v>2</v>
      </c>
      <c r="H33" s="18" t="s">
        <v>448</v>
      </c>
      <c r="I33" s="18" t="s">
        <v>30</v>
      </c>
      <c r="J33" s="23">
        <v>44995</v>
      </c>
      <c r="K33" s="18" t="s">
        <v>1655</v>
      </c>
      <c r="L33" s="19"/>
      <c r="M33" s="19"/>
      <c r="N33" s="26"/>
      <c r="O33" s="26"/>
      <c r="P33" s="26"/>
      <c r="Q33" s="26">
        <v>380</v>
      </c>
      <c r="R33" s="26" t="s">
        <v>34</v>
      </c>
      <c r="S33" s="27">
        <v>165000</v>
      </c>
      <c r="T33" s="28">
        <f t="shared" si="1"/>
        <v>62700</v>
      </c>
      <c r="U33" s="26"/>
    </row>
    <row r="34" spans="1:21" s="132" customFormat="1" x14ac:dyDescent="0.25">
      <c r="A34" s="26"/>
      <c r="B34" s="19" t="s">
        <v>1653</v>
      </c>
      <c r="C34" s="19" t="s">
        <v>893</v>
      </c>
      <c r="D34" s="20" t="s">
        <v>1498</v>
      </c>
      <c r="E34" s="21" t="s">
        <v>1440</v>
      </c>
      <c r="F34" s="19">
        <v>380</v>
      </c>
      <c r="G34" s="18">
        <v>2</v>
      </c>
      <c r="H34" s="18" t="s">
        <v>448</v>
      </c>
      <c r="I34" s="18" t="s">
        <v>30</v>
      </c>
      <c r="J34" s="23">
        <v>44995</v>
      </c>
      <c r="K34" s="18" t="s">
        <v>1655</v>
      </c>
      <c r="L34" s="19"/>
      <c r="M34" s="19"/>
      <c r="N34" s="26"/>
      <c r="O34" s="26"/>
      <c r="P34" s="26"/>
      <c r="Q34" s="26">
        <v>380</v>
      </c>
      <c r="R34" s="26" t="s">
        <v>34</v>
      </c>
      <c r="S34" s="27">
        <v>165000</v>
      </c>
      <c r="T34" s="28">
        <f t="shared" si="1"/>
        <v>62700</v>
      </c>
      <c r="U34" s="26"/>
    </row>
    <row r="35" spans="1:21" s="132" customFormat="1" x14ac:dyDescent="0.25">
      <c r="A35" s="26"/>
      <c r="B35" s="19" t="s">
        <v>1653</v>
      </c>
      <c r="C35" s="19" t="s">
        <v>893</v>
      </c>
      <c r="D35" s="20" t="s">
        <v>1498</v>
      </c>
      <c r="E35" s="21" t="s">
        <v>1658</v>
      </c>
      <c r="F35" s="19">
        <v>8930</v>
      </c>
      <c r="G35" s="18">
        <v>47</v>
      </c>
      <c r="H35" s="18" t="s">
        <v>448</v>
      </c>
      <c r="I35" s="18" t="s">
        <v>30</v>
      </c>
      <c r="J35" s="23">
        <v>44995</v>
      </c>
      <c r="K35" s="18" t="s">
        <v>1655</v>
      </c>
      <c r="L35" s="19"/>
      <c r="M35" s="19"/>
      <c r="N35" s="26"/>
      <c r="O35" s="26"/>
      <c r="P35" s="26"/>
      <c r="Q35" s="26">
        <v>8930</v>
      </c>
      <c r="R35" s="26" t="s">
        <v>34</v>
      </c>
      <c r="S35" s="27">
        <v>165000</v>
      </c>
      <c r="T35" s="28">
        <f t="shared" si="1"/>
        <v>1473450</v>
      </c>
      <c r="U35" s="26"/>
    </row>
    <row r="36" spans="1:21" s="132" customFormat="1" x14ac:dyDescent="0.25">
      <c r="A36" s="26"/>
      <c r="B36" s="19" t="s">
        <v>1653</v>
      </c>
      <c r="C36" s="19" t="s">
        <v>893</v>
      </c>
      <c r="D36" s="20" t="s">
        <v>1498</v>
      </c>
      <c r="E36" s="21" t="s">
        <v>1641</v>
      </c>
      <c r="F36" s="19">
        <v>6650</v>
      </c>
      <c r="G36" s="18">
        <v>35</v>
      </c>
      <c r="H36" s="18" t="s">
        <v>448</v>
      </c>
      <c r="I36" s="18" t="s">
        <v>30</v>
      </c>
      <c r="J36" s="23">
        <v>44995</v>
      </c>
      <c r="K36" s="18" t="s">
        <v>1655</v>
      </c>
      <c r="L36" s="19"/>
      <c r="M36" s="19"/>
      <c r="N36" s="26"/>
      <c r="O36" s="26"/>
      <c r="P36" s="26"/>
      <c r="Q36" s="26">
        <v>6650</v>
      </c>
      <c r="R36" s="26" t="s">
        <v>34</v>
      </c>
      <c r="S36" s="27">
        <v>165000</v>
      </c>
      <c r="T36" s="28">
        <f t="shared" si="1"/>
        <v>1097250</v>
      </c>
      <c r="U36" s="26"/>
    </row>
    <row r="37" spans="1:21" s="132" customFormat="1" x14ac:dyDescent="0.25">
      <c r="A37" s="26"/>
      <c r="B37" s="19" t="s">
        <v>1640</v>
      </c>
      <c r="C37" s="19" t="s">
        <v>893</v>
      </c>
      <c r="D37" s="20" t="s">
        <v>898</v>
      </c>
      <c r="E37" s="21" t="s">
        <v>1501</v>
      </c>
      <c r="F37" s="19">
        <v>17600</v>
      </c>
      <c r="G37" s="18">
        <v>88</v>
      </c>
      <c r="H37" s="18" t="s">
        <v>462</v>
      </c>
      <c r="I37" s="18" t="s">
        <v>30</v>
      </c>
      <c r="J37" s="23">
        <v>44995</v>
      </c>
      <c r="K37" s="18" t="s">
        <v>424</v>
      </c>
      <c r="L37" s="19" t="s">
        <v>425</v>
      </c>
      <c r="M37" s="19" t="s">
        <v>63</v>
      </c>
      <c r="N37" s="26"/>
      <c r="O37" s="26"/>
      <c r="P37" s="26"/>
      <c r="Q37" s="26">
        <v>17600</v>
      </c>
      <c r="R37" s="26" t="s">
        <v>34</v>
      </c>
      <c r="S37" s="27">
        <v>152000</v>
      </c>
      <c r="T37" s="28">
        <f t="shared" si="1"/>
        <v>2675200</v>
      </c>
      <c r="U37" s="26">
        <v>180000</v>
      </c>
    </row>
    <row r="38" spans="1:21" s="140" customFormat="1" x14ac:dyDescent="0.25">
      <c r="A38" s="26"/>
      <c r="B38" s="19" t="s">
        <v>1659</v>
      </c>
      <c r="C38" s="19" t="s">
        <v>601</v>
      </c>
      <c r="D38" s="20" t="s">
        <v>165</v>
      </c>
      <c r="E38" s="21" t="s">
        <v>1658</v>
      </c>
      <c r="F38" s="19">
        <v>1500</v>
      </c>
      <c r="G38" s="18">
        <v>60</v>
      </c>
      <c r="H38" s="18" t="s">
        <v>29</v>
      </c>
      <c r="I38" s="18" t="s">
        <v>30</v>
      </c>
      <c r="J38" s="23">
        <v>44995</v>
      </c>
      <c r="K38" s="18" t="s">
        <v>225</v>
      </c>
      <c r="L38" s="19"/>
      <c r="M38" s="19"/>
      <c r="N38" s="26"/>
      <c r="O38" s="26">
        <v>1500</v>
      </c>
      <c r="P38" s="26"/>
      <c r="Q38" s="26"/>
      <c r="R38" s="26" t="s">
        <v>34</v>
      </c>
      <c r="S38" s="27">
        <v>47000</v>
      </c>
      <c r="T38" s="28">
        <f t="shared" si="1"/>
        <v>70500</v>
      </c>
      <c r="U38" s="28">
        <v>540000</v>
      </c>
    </row>
    <row r="39" spans="1:21" s="140" customFormat="1" x14ac:dyDescent="0.25">
      <c r="A39" s="26"/>
      <c r="B39" s="19" t="s">
        <v>1659</v>
      </c>
      <c r="C39" s="19" t="s">
        <v>601</v>
      </c>
      <c r="D39" s="20" t="s">
        <v>1340</v>
      </c>
      <c r="E39" s="21" t="s">
        <v>1114</v>
      </c>
      <c r="F39" s="19">
        <v>3000</v>
      </c>
      <c r="G39" s="18">
        <v>60</v>
      </c>
      <c r="H39" s="18" t="s">
        <v>29</v>
      </c>
      <c r="I39" s="18" t="s">
        <v>30</v>
      </c>
      <c r="J39" s="23">
        <v>44995</v>
      </c>
      <c r="K39" s="18" t="s">
        <v>225</v>
      </c>
      <c r="L39" s="19"/>
      <c r="M39" s="19"/>
      <c r="N39" s="26"/>
      <c r="O39" s="26"/>
      <c r="P39" s="26"/>
      <c r="Q39" s="26">
        <v>3000</v>
      </c>
      <c r="R39" s="26" t="s">
        <v>34</v>
      </c>
      <c r="S39" s="27">
        <v>65000</v>
      </c>
      <c r="T39" s="28">
        <f t="shared" si="1"/>
        <v>195000</v>
      </c>
      <c r="U39" s="26"/>
    </row>
    <row r="40" spans="1:21" s="140" customFormat="1" x14ac:dyDescent="0.25">
      <c r="A40" s="26"/>
      <c r="B40" s="19" t="s">
        <v>1659</v>
      </c>
      <c r="C40" s="19" t="s">
        <v>601</v>
      </c>
      <c r="D40" s="20" t="s">
        <v>222</v>
      </c>
      <c r="E40" s="21" t="s">
        <v>1516</v>
      </c>
      <c r="F40" s="19">
        <v>3000</v>
      </c>
      <c r="G40" s="18">
        <v>60</v>
      </c>
      <c r="H40" s="18" t="s">
        <v>29</v>
      </c>
      <c r="I40" s="18" t="s">
        <v>30</v>
      </c>
      <c r="J40" s="23">
        <v>44995</v>
      </c>
      <c r="K40" s="18" t="s">
        <v>225</v>
      </c>
      <c r="L40" s="19"/>
      <c r="M40" s="19"/>
      <c r="N40" s="26"/>
      <c r="O40" s="26"/>
      <c r="P40" s="26"/>
      <c r="Q40" s="26">
        <v>3000</v>
      </c>
      <c r="R40" s="26" t="s">
        <v>34</v>
      </c>
      <c r="S40" s="27">
        <v>89000</v>
      </c>
      <c r="T40" s="28">
        <f t="shared" si="1"/>
        <v>267000</v>
      </c>
      <c r="U40" s="26"/>
    </row>
    <row r="41" spans="1:21" s="132" customFormat="1" x14ac:dyDescent="0.25">
      <c r="A41" s="25"/>
      <c r="B41" s="19" t="s">
        <v>1635</v>
      </c>
      <c r="C41" s="19" t="s">
        <v>57</v>
      </c>
      <c r="D41" s="20" t="s">
        <v>1088</v>
      </c>
      <c r="E41" s="21" t="s">
        <v>1617</v>
      </c>
      <c r="F41" s="19">
        <v>18144</v>
      </c>
      <c r="G41" s="18">
        <v>800</v>
      </c>
      <c r="H41" s="18" t="s">
        <v>448</v>
      </c>
      <c r="I41" s="18" t="s">
        <v>30</v>
      </c>
      <c r="J41" s="23">
        <v>44995</v>
      </c>
      <c r="K41" s="19" t="s">
        <v>1660</v>
      </c>
      <c r="L41" s="26" t="s">
        <v>1661</v>
      </c>
      <c r="M41" s="26" t="s">
        <v>1662</v>
      </c>
      <c r="N41" s="26"/>
      <c r="O41" s="26"/>
      <c r="P41" s="26">
        <v>18144</v>
      </c>
      <c r="Q41" s="26"/>
      <c r="R41" s="26"/>
      <c r="S41" s="27">
        <v>245000</v>
      </c>
      <c r="T41" s="28">
        <f t="shared" si="1"/>
        <v>4445280</v>
      </c>
      <c r="U41" s="26">
        <v>280000</v>
      </c>
    </row>
    <row r="42" spans="1:21" s="132" customFormat="1" x14ac:dyDescent="0.25">
      <c r="A42" s="26"/>
      <c r="B42" s="22" t="s">
        <v>1635</v>
      </c>
      <c r="C42" s="19" t="s">
        <v>57</v>
      </c>
      <c r="D42" s="20" t="s">
        <v>1663</v>
      </c>
      <c r="E42" s="33" t="s">
        <v>1619</v>
      </c>
      <c r="F42" s="19">
        <v>1480</v>
      </c>
      <c r="G42" s="18">
        <v>8</v>
      </c>
      <c r="H42" s="18" t="s">
        <v>448</v>
      </c>
      <c r="I42" s="18" t="s">
        <v>30</v>
      </c>
      <c r="J42" s="23">
        <v>44995</v>
      </c>
      <c r="K42" s="18" t="s">
        <v>1660</v>
      </c>
      <c r="L42" s="26"/>
      <c r="M42" s="26"/>
      <c r="N42" s="26"/>
      <c r="O42" s="26"/>
      <c r="P42" s="26"/>
      <c r="Q42" s="26">
        <v>1480</v>
      </c>
      <c r="R42" s="26"/>
      <c r="S42" s="27">
        <v>110800</v>
      </c>
      <c r="T42" s="28">
        <f t="shared" si="1"/>
        <v>163984</v>
      </c>
      <c r="U42" s="26"/>
    </row>
    <row r="43" spans="1:21" s="132" customFormat="1" x14ac:dyDescent="0.25">
      <c r="A43" s="26"/>
      <c r="B43" s="19" t="s">
        <v>103</v>
      </c>
      <c r="C43" s="19" t="s">
        <v>560</v>
      </c>
      <c r="D43" s="20" t="s">
        <v>86</v>
      </c>
      <c r="E43" s="21" t="s">
        <v>1644</v>
      </c>
      <c r="F43" s="19">
        <v>4000</v>
      </c>
      <c r="G43" s="18">
        <v>160</v>
      </c>
      <c r="H43" s="18" t="s">
        <v>29</v>
      </c>
      <c r="I43" s="18" t="s">
        <v>30</v>
      </c>
      <c r="J43" s="23">
        <v>44995</v>
      </c>
      <c r="K43" s="18" t="s">
        <v>1664</v>
      </c>
      <c r="L43" s="19" t="s">
        <v>1665</v>
      </c>
      <c r="M43" s="19" t="s">
        <v>1666</v>
      </c>
      <c r="N43" s="26"/>
      <c r="O43" s="26">
        <v>4000</v>
      </c>
      <c r="P43" s="26"/>
      <c r="Q43" s="26"/>
      <c r="R43" s="26"/>
      <c r="S43" s="27">
        <v>41500</v>
      </c>
      <c r="T43" s="28">
        <f t="shared" si="1"/>
        <v>166000</v>
      </c>
      <c r="U43" s="26"/>
    </row>
    <row r="44" spans="1:21" s="132" customFormat="1" x14ac:dyDescent="0.25">
      <c r="A44" s="26"/>
      <c r="B44" s="19" t="s">
        <v>103</v>
      </c>
      <c r="C44" s="19" t="s">
        <v>560</v>
      </c>
      <c r="D44" s="20" t="s">
        <v>561</v>
      </c>
      <c r="E44" s="21" t="s">
        <v>1636</v>
      </c>
      <c r="F44" s="19">
        <v>6800</v>
      </c>
      <c r="G44" s="18">
        <v>34</v>
      </c>
      <c r="H44" s="18" t="s">
        <v>29</v>
      </c>
      <c r="I44" s="18" t="s">
        <v>30</v>
      </c>
      <c r="J44" s="23">
        <v>44995</v>
      </c>
      <c r="K44" s="18" t="s">
        <v>1664</v>
      </c>
      <c r="L44" s="19"/>
      <c r="M44" s="19"/>
      <c r="N44" s="26"/>
      <c r="O44" s="26"/>
      <c r="P44" s="26"/>
      <c r="Q44" s="26">
        <v>6800</v>
      </c>
      <c r="R44" s="26"/>
      <c r="S44" s="27">
        <v>92500</v>
      </c>
      <c r="T44" s="28">
        <f t="shared" si="1"/>
        <v>629000</v>
      </c>
      <c r="U44" s="26"/>
    </row>
    <row r="45" spans="1:21" s="132" customFormat="1" x14ac:dyDescent="0.25">
      <c r="A45" s="26"/>
      <c r="B45" s="19" t="s">
        <v>103</v>
      </c>
      <c r="C45" s="19" t="s">
        <v>560</v>
      </c>
      <c r="D45" s="20" t="s">
        <v>561</v>
      </c>
      <c r="E45" s="21" t="s">
        <v>1647</v>
      </c>
      <c r="F45" s="19">
        <v>7200</v>
      </c>
      <c r="G45" s="18">
        <v>36</v>
      </c>
      <c r="H45" s="18" t="s">
        <v>29</v>
      </c>
      <c r="I45" s="18" t="s">
        <v>30</v>
      </c>
      <c r="J45" s="23">
        <v>44995</v>
      </c>
      <c r="K45" s="18" t="s">
        <v>1664</v>
      </c>
      <c r="L45" s="19"/>
      <c r="M45" s="19"/>
      <c r="N45" s="26"/>
      <c r="O45" s="26"/>
      <c r="P45" s="26"/>
      <c r="Q45" s="26">
        <v>7200</v>
      </c>
      <c r="R45" s="26"/>
      <c r="S45" s="27">
        <v>92500</v>
      </c>
      <c r="T45" s="28">
        <f t="shared" si="1"/>
        <v>666000</v>
      </c>
      <c r="U45" s="26"/>
    </row>
    <row r="46" spans="1:21" s="132" customFormat="1" x14ac:dyDescent="0.25">
      <c r="A46" s="26"/>
      <c r="B46" s="19" t="s">
        <v>1667</v>
      </c>
      <c r="C46" s="19" t="s">
        <v>1668</v>
      </c>
      <c r="D46" s="20" t="s">
        <v>440</v>
      </c>
      <c r="E46" s="33" t="s">
        <v>1273</v>
      </c>
      <c r="F46" s="19">
        <v>20</v>
      </c>
      <c r="G46" s="18">
        <v>1</v>
      </c>
      <c r="H46" s="18" t="s">
        <v>1669</v>
      </c>
      <c r="I46" s="18" t="s">
        <v>30</v>
      </c>
      <c r="J46" s="23">
        <v>44995</v>
      </c>
      <c r="K46" s="18" t="s">
        <v>225</v>
      </c>
      <c r="L46" s="19"/>
      <c r="M46" s="19"/>
      <c r="N46" s="26"/>
      <c r="O46" s="26"/>
      <c r="P46" s="26">
        <v>20</v>
      </c>
      <c r="Q46" s="26"/>
      <c r="R46" s="26"/>
      <c r="S46" s="27">
        <v>79000</v>
      </c>
      <c r="T46" s="28">
        <f t="shared" si="1"/>
        <v>1580</v>
      </c>
      <c r="U46" s="26"/>
    </row>
    <row r="47" spans="1:21" s="132" customFormat="1" x14ac:dyDescent="0.25">
      <c r="A47" s="26"/>
      <c r="B47" s="22" t="s">
        <v>1670</v>
      </c>
      <c r="C47" s="19" t="s">
        <v>57</v>
      </c>
      <c r="D47" s="20" t="s">
        <v>58</v>
      </c>
      <c r="E47" s="33" t="s">
        <v>1671</v>
      </c>
      <c r="F47" s="19">
        <v>15876</v>
      </c>
      <c r="G47" s="18">
        <v>700</v>
      </c>
      <c r="H47" s="18" t="s">
        <v>129</v>
      </c>
      <c r="I47" s="18" t="s">
        <v>30</v>
      </c>
      <c r="J47" s="23">
        <v>44998</v>
      </c>
      <c r="K47" s="19" t="s">
        <v>1672</v>
      </c>
      <c r="L47" s="19" t="s">
        <v>1673</v>
      </c>
      <c r="M47" s="19" t="s">
        <v>1674</v>
      </c>
      <c r="N47" s="26"/>
      <c r="O47" s="26">
        <v>15876</v>
      </c>
      <c r="P47" s="26"/>
      <c r="Q47" s="26"/>
      <c r="R47" s="26" t="s">
        <v>34</v>
      </c>
      <c r="S47" s="27">
        <v>49500</v>
      </c>
      <c r="T47" s="28">
        <f t="shared" si="1"/>
        <v>785862</v>
      </c>
      <c r="U47" s="26">
        <v>205000</v>
      </c>
    </row>
    <row r="48" spans="1:21" s="132" customFormat="1" x14ac:dyDescent="0.25">
      <c r="A48" s="26"/>
      <c r="B48" s="22" t="s">
        <v>1670</v>
      </c>
      <c r="C48" s="19" t="s">
        <v>57</v>
      </c>
      <c r="D48" s="20" t="s">
        <v>58</v>
      </c>
      <c r="E48" s="33" t="s">
        <v>1501</v>
      </c>
      <c r="F48" s="19">
        <v>3969</v>
      </c>
      <c r="G48" s="18">
        <v>175</v>
      </c>
      <c r="H48" s="18" t="s">
        <v>129</v>
      </c>
      <c r="I48" s="18" t="s">
        <v>30</v>
      </c>
      <c r="J48" s="23">
        <v>44998</v>
      </c>
      <c r="K48" s="19" t="s">
        <v>1672</v>
      </c>
      <c r="L48" s="26"/>
      <c r="M48" s="26"/>
      <c r="N48" s="26"/>
      <c r="O48" s="26">
        <v>3969</v>
      </c>
      <c r="P48" s="26"/>
      <c r="Q48" s="26"/>
      <c r="R48" s="26" t="s">
        <v>34</v>
      </c>
      <c r="S48" s="27">
        <v>49500</v>
      </c>
      <c r="T48" s="28">
        <f t="shared" si="1"/>
        <v>196465.5</v>
      </c>
      <c r="U48" s="26"/>
    </row>
    <row r="49" spans="1:21" s="132" customFormat="1" x14ac:dyDescent="0.25">
      <c r="A49" s="26"/>
      <c r="B49" s="19" t="s">
        <v>103</v>
      </c>
      <c r="C49" s="19" t="s">
        <v>560</v>
      </c>
      <c r="D49" s="20" t="s">
        <v>86</v>
      </c>
      <c r="E49" s="21" t="s">
        <v>1644</v>
      </c>
      <c r="F49" s="19">
        <v>20000</v>
      </c>
      <c r="G49" s="18">
        <v>800</v>
      </c>
      <c r="H49" s="18" t="s">
        <v>29</v>
      </c>
      <c r="I49" s="18" t="s">
        <v>30</v>
      </c>
      <c r="J49" s="23">
        <v>44998</v>
      </c>
      <c r="K49" s="18" t="s">
        <v>909</v>
      </c>
      <c r="L49" s="19" t="s">
        <v>910</v>
      </c>
      <c r="M49" s="19" t="s">
        <v>911</v>
      </c>
      <c r="N49" s="26"/>
      <c r="O49" s="26">
        <v>20000</v>
      </c>
      <c r="P49" s="26"/>
      <c r="Q49" s="26"/>
      <c r="R49" s="26"/>
      <c r="S49" s="27">
        <v>41500</v>
      </c>
      <c r="T49" s="28">
        <f t="shared" si="1"/>
        <v>830000</v>
      </c>
      <c r="U49" s="26"/>
    </row>
    <row r="50" spans="1:21" s="132" customFormat="1" x14ac:dyDescent="0.25">
      <c r="A50" s="26"/>
      <c r="B50" s="19" t="s">
        <v>64</v>
      </c>
      <c r="C50" s="19" t="s">
        <v>439</v>
      </c>
      <c r="D50" s="20" t="s">
        <v>445</v>
      </c>
      <c r="E50" s="21" t="s">
        <v>1675</v>
      </c>
      <c r="F50" s="19">
        <v>20000</v>
      </c>
      <c r="G50" s="18">
        <v>800</v>
      </c>
      <c r="H50" s="18" t="s">
        <v>29</v>
      </c>
      <c r="I50" s="18" t="s">
        <v>30</v>
      </c>
      <c r="J50" s="23">
        <v>44998</v>
      </c>
      <c r="K50" s="18" t="s">
        <v>1676</v>
      </c>
      <c r="L50" s="19"/>
      <c r="M50" s="19" t="s">
        <v>1677</v>
      </c>
      <c r="N50" s="26"/>
      <c r="O50" s="26">
        <v>20000</v>
      </c>
      <c r="P50" s="26"/>
      <c r="Q50" s="26"/>
      <c r="R50" s="26"/>
      <c r="S50" s="27">
        <v>45000</v>
      </c>
      <c r="T50" s="28">
        <f t="shared" si="1"/>
        <v>900000</v>
      </c>
      <c r="U50" s="26"/>
    </row>
    <row r="51" spans="1:21" s="132" customFormat="1" x14ac:dyDescent="0.25">
      <c r="A51" s="26"/>
      <c r="B51" s="19" t="s">
        <v>502</v>
      </c>
      <c r="C51" s="19" t="s">
        <v>913</v>
      </c>
      <c r="D51" s="20" t="s">
        <v>86</v>
      </c>
      <c r="E51" s="21" t="s">
        <v>1620</v>
      </c>
      <c r="F51" s="19">
        <v>20000</v>
      </c>
      <c r="G51" s="18">
        <v>800</v>
      </c>
      <c r="H51" s="18" t="s">
        <v>322</v>
      </c>
      <c r="I51" s="18" t="s">
        <v>30</v>
      </c>
      <c r="J51" s="23">
        <v>44999</v>
      </c>
      <c r="K51" s="18" t="s">
        <v>1678</v>
      </c>
      <c r="L51" s="19" t="s">
        <v>1679</v>
      </c>
      <c r="M51" s="19" t="s">
        <v>1680</v>
      </c>
      <c r="N51" s="26"/>
      <c r="O51" s="26">
        <v>20000</v>
      </c>
      <c r="P51" s="26"/>
      <c r="Q51" s="26"/>
      <c r="R51" s="26"/>
      <c r="S51" s="27">
        <v>41000</v>
      </c>
      <c r="T51" s="28">
        <f t="shared" si="1"/>
        <v>820000</v>
      </c>
      <c r="U51" s="26">
        <v>235000</v>
      </c>
    </row>
    <row r="52" spans="1:21" s="140" customFormat="1" x14ac:dyDescent="0.25">
      <c r="A52" s="26"/>
      <c r="B52" s="19" t="s">
        <v>133</v>
      </c>
      <c r="C52" s="19" t="s">
        <v>1681</v>
      </c>
      <c r="D52" s="18" t="s">
        <v>1682</v>
      </c>
      <c r="E52" s="21" t="s">
        <v>1542</v>
      </c>
      <c r="F52" s="19">
        <v>20</v>
      </c>
      <c r="G52" s="18">
        <v>1</v>
      </c>
      <c r="H52" s="18" t="s">
        <v>470</v>
      </c>
      <c r="I52" s="18" t="s">
        <v>30</v>
      </c>
      <c r="J52" s="23">
        <v>44999</v>
      </c>
      <c r="K52" s="18" t="s">
        <v>225</v>
      </c>
      <c r="L52" s="19"/>
      <c r="M52" s="19"/>
      <c r="N52" s="26"/>
      <c r="O52" s="26"/>
      <c r="P52" s="26"/>
      <c r="Q52" s="26">
        <v>20</v>
      </c>
      <c r="R52" s="26" t="s">
        <v>34</v>
      </c>
      <c r="S52" s="27">
        <v>205000</v>
      </c>
      <c r="T52" s="28">
        <f t="shared" si="1"/>
        <v>4100</v>
      </c>
      <c r="U52" s="26"/>
    </row>
    <row r="53" spans="1:21" s="140" customFormat="1" x14ac:dyDescent="0.25">
      <c r="A53" s="26"/>
      <c r="B53" s="19" t="s">
        <v>133</v>
      </c>
      <c r="C53" s="19" t="s">
        <v>1681</v>
      </c>
      <c r="D53" s="18" t="s">
        <v>1683</v>
      </c>
      <c r="E53" s="21" t="s">
        <v>1095</v>
      </c>
      <c r="F53" s="19">
        <v>20</v>
      </c>
      <c r="G53" s="18">
        <v>1</v>
      </c>
      <c r="H53" s="18" t="s">
        <v>470</v>
      </c>
      <c r="I53" s="18" t="s">
        <v>30</v>
      </c>
      <c r="J53" s="23">
        <v>44999</v>
      </c>
      <c r="K53" s="18" t="s">
        <v>225</v>
      </c>
      <c r="L53" s="19"/>
      <c r="M53" s="19"/>
      <c r="N53" s="26"/>
      <c r="O53" s="26"/>
      <c r="P53" s="26"/>
      <c r="Q53" s="26">
        <v>20</v>
      </c>
      <c r="R53" s="26" t="s">
        <v>34</v>
      </c>
      <c r="S53" s="27">
        <v>217000</v>
      </c>
      <c r="T53" s="28">
        <f t="shared" si="1"/>
        <v>4340</v>
      </c>
      <c r="U53" s="26"/>
    </row>
    <row r="54" spans="1:21" s="132" customFormat="1" x14ac:dyDescent="0.25">
      <c r="A54" s="26"/>
      <c r="B54" s="19" t="s">
        <v>786</v>
      </c>
      <c r="C54" s="19" t="s">
        <v>26</v>
      </c>
      <c r="D54" s="20" t="s">
        <v>27</v>
      </c>
      <c r="E54" s="21" t="s">
        <v>1095</v>
      </c>
      <c r="F54" s="19">
        <v>20000</v>
      </c>
      <c r="G54" s="18">
        <v>800</v>
      </c>
      <c r="H54" s="18" t="s">
        <v>129</v>
      </c>
      <c r="I54" s="18" t="s">
        <v>30</v>
      </c>
      <c r="J54" s="23">
        <v>45001</v>
      </c>
      <c r="K54" s="18" t="s">
        <v>1684</v>
      </c>
      <c r="L54" s="26" t="s">
        <v>1685</v>
      </c>
      <c r="M54" s="26" t="s">
        <v>1686</v>
      </c>
      <c r="N54" s="26"/>
      <c r="O54" s="26">
        <v>20000</v>
      </c>
      <c r="P54" s="26"/>
      <c r="Q54" s="26"/>
      <c r="R54" s="26" t="s">
        <v>34</v>
      </c>
      <c r="S54" s="27">
        <v>41000</v>
      </c>
      <c r="T54" s="28">
        <f t="shared" si="1"/>
        <v>820000</v>
      </c>
      <c r="U54" s="28">
        <v>210000</v>
      </c>
    </row>
    <row r="55" spans="1:21" s="132" customFormat="1" ht="17.25" customHeight="1" x14ac:dyDescent="0.25">
      <c r="A55" s="26"/>
      <c r="B55" s="19" t="s">
        <v>1687</v>
      </c>
      <c r="C55" s="19" t="s">
        <v>893</v>
      </c>
      <c r="D55" s="20" t="s">
        <v>1600</v>
      </c>
      <c r="E55" s="21" t="s">
        <v>1516</v>
      </c>
      <c r="F55" s="19">
        <v>20000</v>
      </c>
      <c r="G55" s="18">
        <v>800</v>
      </c>
      <c r="H55" s="18" t="s">
        <v>448</v>
      </c>
      <c r="I55" s="18" t="s">
        <v>30</v>
      </c>
      <c r="J55" s="23">
        <v>45001</v>
      </c>
      <c r="K55" s="18" t="s">
        <v>1688</v>
      </c>
      <c r="L55" s="19" t="s">
        <v>1689</v>
      </c>
      <c r="M55" s="19" t="s">
        <v>1690</v>
      </c>
      <c r="N55" s="26"/>
      <c r="O55" s="26"/>
      <c r="P55" s="26">
        <v>20000</v>
      </c>
      <c r="Q55" s="26"/>
      <c r="R55" s="26" t="s">
        <v>34</v>
      </c>
      <c r="S55" s="27">
        <v>250000</v>
      </c>
      <c r="T55" s="28">
        <f t="shared" si="1"/>
        <v>5000000</v>
      </c>
      <c r="U55" s="26">
        <v>280000</v>
      </c>
    </row>
    <row r="56" spans="1:21" s="132" customFormat="1" x14ac:dyDescent="0.25">
      <c r="A56" s="25"/>
      <c r="B56" s="19" t="s">
        <v>1579</v>
      </c>
      <c r="C56" s="19" t="s">
        <v>57</v>
      </c>
      <c r="D56" s="20" t="s">
        <v>1088</v>
      </c>
      <c r="E56" s="21" t="s">
        <v>1368</v>
      </c>
      <c r="F56" s="19">
        <v>18144</v>
      </c>
      <c r="G56" s="18">
        <v>800</v>
      </c>
      <c r="H56" s="18" t="s">
        <v>95</v>
      </c>
      <c r="I56" s="18" t="s">
        <v>30</v>
      </c>
      <c r="J56" s="23">
        <v>45002</v>
      </c>
      <c r="K56" s="19" t="s">
        <v>1691</v>
      </c>
      <c r="L56" s="26" t="s">
        <v>1692</v>
      </c>
      <c r="M56" s="26" t="s">
        <v>1693</v>
      </c>
      <c r="N56" s="26"/>
      <c r="O56" s="26"/>
      <c r="P56" s="26">
        <v>18144</v>
      </c>
      <c r="Q56" s="26"/>
      <c r="R56" s="26" t="s">
        <v>34</v>
      </c>
      <c r="S56" s="27">
        <v>245000</v>
      </c>
      <c r="T56" s="28">
        <f t="shared" si="1"/>
        <v>4445280</v>
      </c>
      <c r="U56" s="26">
        <v>250000</v>
      </c>
    </row>
    <row r="57" spans="1:21" s="132" customFormat="1" x14ac:dyDescent="0.25">
      <c r="A57" s="26"/>
      <c r="B57" s="22" t="s">
        <v>133</v>
      </c>
      <c r="C57" s="19" t="s">
        <v>1304</v>
      </c>
      <c r="D57" s="20" t="s">
        <v>165</v>
      </c>
      <c r="E57" s="33" t="s">
        <v>1694</v>
      </c>
      <c r="F57" s="19">
        <v>20000</v>
      </c>
      <c r="G57" s="18">
        <v>800</v>
      </c>
      <c r="H57" s="18" t="s">
        <v>129</v>
      </c>
      <c r="I57" s="18" t="s">
        <v>30</v>
      </c>
      <c r="J57" s="23">
        <v>45002</v>
      </c>
      <c r="K57" s="18" t="s">
        <v>1208</v>
      </c>
      <c r="L57" s="26" t="s">
        <v>1209</v>
      </c>
      <c r="M57" s="26" t="s">
        <v>312</v>
      </c>
      <c r="N57" s="26"/>
      <c r="O57" s="26">
        <v>20000</v>
      </c>
      <c r="P57" s="26"/>
      <c r="Q57" s="26"/>
      <c r="R57" s="26" t="s">
        <v>34</v>
      </c>
      <c r="S57" s="27">
        <v>45000</v>
      </c>
      <c r="T57" s="28">
        <f t="shared" si="1"/>
        <v>900000</v>
      </c>
      <c r="U57" s="28">
        <v>166500</v>
      </c>
    </row>
    <row r="58" spans="1:21" s="132" customFormat="1" x14ac:dyDescent="0.25">
      <c r="A58" s="26"/>
      <c r="B58" s="19" t="s">
        <v>1022</v>
      </c>
      <c r="C58" s="19" t="s">
        <v>65</v>
      </c>
      <c r="D58" s="20" t="s">
        <v>74</v>
      </c>
      <c r="E58" s="33" t="s">
        <v>1695</v>
      </c>
      <c r="F58" s="19">
        <v>20000</v>
      </c>
      <c r="G58" s="18">
        <v>800</v>
      </c>
      <c r="H58" s="18" t="s">
        <v>29</v>
      </c>
      <c r="I58" s="18" t="s">
        <v>30</v>
      </c>
      <c r="J58" s="23">
        <v>45002</v>
      </c>
      <c r="K58" s="18" t="s">
        <v>1696</v>
      </c>
      <c r="L58" s="26"/>
      <c r="M58" s="26" t="s">
        <v>1697</v>
      </c>
      <c r="N58" s="26"/>
      <c r="O58" s="26">
        <v>20000</v>
      </c>
      <c r="P58" s="26"/>
      <c r="Q58" s="26"/>
      <c r="R58" s="26"/>
      <c r="S58" s="27">
        <v>45000</v>
      </c>
      <c r="T58" s="28">
        <f t="shared" si="1"/>
        <v>900000</v>
      </c>
      <c r="U58" s="26"/>
    </row>
    <row r="59" spans="1:21" s="132" customFormat="1" x14ac:dyDescent="0.25">
      <c r="A59" s="141"/>
      <c r="B59" s="19" t="s">
        <v>1433</v>
      </c>
      <c r="C59" s="19" t="s">
        <v>1434</v>
      </c>
      <c r="D59" s="20" t="s">
        <v>1698</v>
      </c>
      <c r="E59" s="21" t="s">
        <v>1699</v>
      </c>
      <c r="F59" s="19">
        <f>43*180</f>
        <v>7740</v>
      </c>
      <c r="G59" s="18">
        <v>43</v>
      </c>
      <c r="H59" s="18" t="s">
        <v>661</v>
      </c>
      <c r="I59" s="18" t="s">
        <v>30</v>
      </c>
      <c r="J59" s="23">
        <v>45002</v>
      </c>
      <c r="K59" s="18" t="s">
        <v>1700</v>
      </c>
      <c r="L59" s="19" t="s">
        <v>1701</v>
      </c>
      <c r="M59" s="19" t="s">
        <v>43</v>
      </c>
      <c r="N59" s="26"/>
      <c r="O59" s="26"/>
      <c r="P59" s="26"/>
      <c r="Q59" s="26">
        <v>7740</v>
      </c>
      <c r="R59" s="26"/>
      <c r="S59" s="27">
        <v>104000</v>
      </c>
      <c r="T59" s="28">
        <f t="shared" si="1"/>
        <v>804960</v>
      </c>
      <c r="U59" s="28">
        <v>145000</v>
      </c>
    </row>
    <row r="60" spans="1:21" s="132" customFormat="1" x14ac:dyDescent="0.25">
      <c r="A60" s="141"/>
      <c r="B60" s="19" t="s">
        <v>1433</v>
      </c>
      <c r="C60" s="19" t="s">
        <v>1434</v>
      </c>
      <c r="D60" s="20" t="s">
        <v>1698</v>
      </c>
      <c r="E60" s="21" t="s">
        <v>1694</v>
      </c>
      <c r="F60" s="19">
        <f>44*180</f>
        <v>7920</v>
      </c>
      <c r="G60" s="18">
        <v>44</v>
      </c>
      <c r="H60" s="18" t="s">
        <v>661</v>
      </c>
      <c r="I60" s="18" t="s">
        <v>30</v>
      </c>
      <c r="J60" s="23">
        <v>45002</v>
      </c>
      <c r="K60" s="18" t="s">
        <v>1700</v>
      </c>
      <c r="L60" s="19" t="s">
        <v>1701</v>
      </c>
      <c r="M60" s="19" t="s">
        <v>43</v>
      </c>
      <c r="N60" s="26"/>
      <c r="O60" s="26"/>
      <c r="P60" s="26"/>
      <c r="Q60" s="26">
        <v>7920</v>
      </c>
      <c r="R60" s="26"/>
      <c r="S60" s="27">
        <v>104000</v>
      </c>
      <c r="T60" s="28">
        <f t="shared" si="1"/>
        <v>823680</v>
      </c>
      <c r="U60" s="26"/>
    </row>
    <row r="61" spans="1:21" s="132" customFormat="1" x14ac:dyDescent="0.25">
      <c r="A61" s="141"/>
      <c r="B61" s="19" t="s">
        <v>1433</v>
      </c>
      <c r="C61" s="19" t="s">
        <v>1434</v>
      </c>
      <c r="D61" s="20" t="s">
        <v>1698</v>
      </c>
      <c r="E61" s="21" t="s">
        <v>1702</v>
      </c>
      <c r="F61" s="19">
        <v>180</v>
      </c>
      <c r="G61" s="18">
        <v>1</v>
      </c>
      <c r="H61" s="18" t="s">
        <v>661</v>
      </c>
      <c r="I61" s="18" t="s">
        <v>30</v>
      </c>
      <c r="J61" s="23">
        <v>45002</v>
      </c>
      <c r="K61" s="18" t="s">
        <v>1700</v>
      </c>
      <c r="L61" s="19" t="s">
        <v>1701</v>
      </c>
      <c r="M61" s="19" t="s">
        <v>43</v>
      </c>
      <c r="N61" s="26"/>
      <c r="O61" s="26"/>
      <c r="P61" s="26"/>
      <c r="Q61" s="26">
        <v>180</v>
      </c>
      <c r="R61" s="26"/>
      <c r="S61" s="27">
        <v>104000</v>
      </c>
      <c r="T61" s="28">
        <f t="shared" si="1"/>
        <v>18720</v>
      </c>
      <c r="U61" s="26"/>
    </row>
    <row r="62" spans="1:21" s="132" customFormat="1" x14ac:dyDescent="0.25">
      <c r="A62" s="26"/>
      <c r="B62" s="19" t="s">
        <v>786</v>
      </c>
      <c r="C62" s="19" t="s">
        <v>26</v>
      </c>
      <c r="D62" s="20" t="s">
        <v>27</v>
      </c>
      <c r="E62" s="21" t="s">
        <v>1702</v>
      </c>
      <c r="F62" s="19">
        <v>20000</v>
      </c>
      <c r="G62" s="18">
        <v>800</v>
      </c>
      <c r="H62" s="18" t="s">
        <v>129</v>
      </c>
      <c r="I62" s="23" t="s">
        <v>30</v>
      </c>
      <c r="J62" s="23">
        <v>45005</v>
      </c>
      <c r="K62" s="18" t="s">
        <v>1703</v>
      </c>
      <c r="L62" s="26" t="s">
        <v>1704</v>
      </c>
      <c r="M62" s="26" t="s">
        <v>1705</v>
      </c>
      <c r="N62" s="26"/>
      <c r="O62" s="26">
        <v>20000</v>
      </c>
      <c r="P62" s="26"/>
      <c r="Q62" s="26"/>
      <c r="R62" s="26" t="s">
        <v>34</v>
      </c>
      <c r="S62" s="27">
        <v>41000</v>
      </c>
      <c r="T62" s="28">
        <f t="shared" si="1"/>
        <v>820000</v>
      </c>
      <c r="U62" s="26">
        <v>210000</v>
      </c>
    </row>
    <row r="63" spans="1:21" s="132" customFormat="1" x14ac:dyDescent="0.25">
      <c r="A63" s="141"/>
      <c r="B63" s="19" t="s">
        <v>1706</v>
      </c>
      <c r="C63" s="19" t="s">
        <v>648</v>
      </c>
      <c r="D63" s="20" t="s">
        <v>1707</v>
      </c>
      <c r="E63" s="21" t="s">
        <v>1647</v>
      </c>
      <c r="F63" s="19">
        <v>2660</v>
      </c>
      <c r="G63" s="18">
        <v>14</v>
      </c>
      <c r="H63" s="18" t="s">
        <v>29</v>
      </c>
      <c r="I63" s="18" t="s">
        <v>30</v>
      </c>
      <c r="J63" s="23">
        <v>45005</v>
      </c>
      <c r="K63" s="18" t="s">
        <v>1708</v>
      </c>
      <c r="L63" s="19"/>
      <c r="M63" s="19" t="s">
        <v>1709</v>
      </c>
      <c r="N63" s="26"/>
      <c r="O63" s="26"/>
      <c r="P63" s="26"/>
      <c r="Q63" s="26">
        <v>2660</v>
      </c>
      <c r="R63" s="26"/>
      <c r="S63" s="27">
        <v>129700</v>
      </c>
      <c r="T63" s="28">
        <f t="shared" si="1"/>
        <v>345002</v>
      </c>
      <c r="U63" s="26"/>
    </row>
    <row r="64" spans="1:21" s="132" customFormat="1" x14ac:dyDescent="0.25">
      <c r="A64" s="141"/>
      <c r="B64" s="19" t="s">
        <v>1710</v>
      </c>
      <c r="C64" s="19" t="s">
        <v>648</v>
      </c>
      <c r="D64" s="20" t="s">
        <v>1707</v>
      </c>
      <c r="E64" s="21" t="s">
        <v>1647</v>
      </c>
      <c r="F64" s="19">
        <v>1710</v>
      </c>
      <c r="G64" s="18">
        <v>9</v>
      </c>
      <c r="H64" s="18" t="s">
        <v>29</v>
      </c>
      <c r="I64" s="18" t="s">
        <v>30</v>
      </c>
      <c r="J64" s="23">
        <v>45005</v>
      </c>
      <c r="K64" s="18" t="s">
        <v>1708</v>
      </c>
      <c r="L64" s="19"/>
      <c r="M64" s="19"/>
      <c r="N64" s="26"/>
      <c r="O64" s="26"/>
      <c r="P64" s="26"/>
      <c r="Q64" s="26">
        <v>1710</v>
      </c>
      <c r="R64" s="26"/>
      <c r="S64" s="27">
        <v>129700</v>
      </c>
      <c r="T64" s="28">
        <f t="shared" si="1"/>
        <v>221787</v>
      </c>
      <c r="U64" s="26"/>
    </row>
    <row r="65" spans="1:21" s="132" customFormat="1" x14ac:dyDescent="0.25">
      <c r="A65" s="26"/>
      <c r="B65" s="19" t="s">
        <v>786</v>
      </c>
      <c r="C65" s="19" t="s">
        <v>26</v>
      </c>
      <c r="D65" s="20" t="s">
        <v>27</v>
      </c>
      <c r="E65" s="21" t="s">
        <v>938</v>
      </c>
      <c r="F65" s="19">
        <v>20000</v>
      </c>
      <c r="G65" s="18">
        <v>800</v>
      </c>
      <c r="H65" s="18" t="s">
        <v>129</v>
      </c>
      <c r="I65" s="18" t="s">
        <v>30</v>
      </c>
      <c r="J65" s="23">
        <v>45006</v>
      </c>
      <c r="K65" s="18" t="s">
        <v>1039</v>
      </c>
      <c r="L65" s="26" t="s">
        <v>1333</v>
      </c>
      <c r="M65" s="26" t="s">
        <v>1334</v>
      </c>
      <c r="N65" s="26"/>
      <c r="O65" s="26">
        <v>20000</v>
      </c>
      <c r="P65" s="26"/>
      <c r="Q65" s="26"/>
      <c r="R65" s="26" t="s">
        <v>34</v>
      </c>
      <c r="S65" s="27">
        <v>41000</v>
      </c>
      <c r="T65" s="28">
        <f t="shared" si="1"/>
        <v>820000</v>
      </c>
      <c r="U65" s="26">
        <v>210000</v>
      </c>
    </row>
    <row r="66" spans="1:21" s="132" customFormat="1" x14ac:dyDescent="0.25">
      <c r="A66" s="26" t="s">
        <v>280</v>
      </c>
      <c r="B66" s="22" t="s">
        <v>1711</v>
      </c>
      <c r="C66" s="19" t="s">
        <v>57</v>
      </c>
      <c r="D66" s="20" t="s">
        <v>282</v>
      </c>
      <c r="E66" s="33" t="s">
        <v>1458</v>
      </c>
      <c r="F66" s="19">
        <v>8360</v>
      </c>
      <c r="G66" s="18">
        <v>44</v>
      </c>
      <c r="H66" s="18" t="s">
        <v>188</v>
      </c>
      <c r="I66" s="18" t="s">
        <v>30</v>
      </c>
      <c r="J66" s="23">
        <v>45006</v>
      </c>
      <c r="K66" s="18"/>
      <c r="L66" s="26"/>
      <c r="M66" s="26"/>
      <c r="N66" s="26" t="s">
        <v>1712</v>
      </c>
      <c r="O66" s="26"/>
      <c r="P66" s="26"/>
      <c r="Q66" s="26">
        <v>8360</v>
      </c>
      <c r="R66" s="26"/>
      <c r="S66" s="27">
        <v>115000</v>
      </c>
      <c r="T66" s="28">
        <f t="shared" si="1"/>
        <v>961399.99999999988</v>
      </c>
      <c r="U66" s="28">
        <v>250000</v>
      </c>
    </row>
    <row r="67" spans="1:21" s="132" customFormat="1" x14ac:dyDescent="0.25">
      <c r="A67" s="26" t="s">
        <v>280</v>
      </c>
      <c r="B67" s="22" t="s">
        <v>1711</v>
      </c>
      <c r="C67" s="19" t="s">
        <v>57</v>
      </c>
      <c r="D67" s="20" t="s">
        <v>282</v>
      </c>
      <c r="E67" s="33" t="s">
        <v>1713</v>
      </c>
      <c r="F67" s="19">
        <v>6840</v>
      </c>
      <c r="G67" s="18">
        <v>36</v>
      </c>
      <c r="H67" s="18" t="s">
        <v>188</v>
      </c>
      <c r="I67" s="18" t="s">
        <v>30</v>
      </c>
      <c r="J67" s="23">
        <v>45006</v>
      </c>
      <c r="K67" s="18"/>
      <c r="L67" s="26"/>
      <c r="M67" s="26"/>
      <c r="N67" s="26" t="s">
        <v>1712</v>
      </c>
      <c r="O67" s="26"/>
      <c r="P67" s="26"/>
      <c r="Q67" s="26">
        <v>6840</v>
      </c>
      <c r="R67" s="26"/>
      <c r="S67" s="27">
        <v>115000</v>
      </c>
      <c r="T67" s="28">
        <f t="shared" si="1"/>
        <v>786600</v>
      </c>
      <c r="U67" s="26"/>
    </row>
    <row r="68" spans="1:21" s="132" customFormat="1" x14ac:dyDescent="0.25">
      <c r="A68" s="26" t="s">
        <v>280</v>
      </c>
      <c r="B68" s="22" t="s">
        <v>1711</v>
      </c>
      <c r="C68" s="19" t="s">
        <v>57</v>
      </c>
      <c r="D68" s="20" t="s">
        <v>770</v>
      </c>
      <c r="E68" s="33" t="s">
        <v>1124</v>
      </c>
      <c r="F68" s="19">
        <v>950</v>
      </c>
      <c r="G68" s="18">
        <v>5</v>
      </c>
      <c r="H68" s="18" t="s">
        <v>188</v>
      </c>
      <c r="I68" s="18" t="s">
        <v>30</v>
      </c>
      <c r="J68" s="23">
        <v>45006</v>
      </c>
      <c r="K68" s="18"/>
      <c r="L68" s="26"/>
      <c r="M68" s="26"/>
      <c r="N68" s="26" t="s">
        <v>1714</v>
      </c>
      <c r="O68" s="26"/>
      <c r="P68" s="26"/>
      <c r="Q68" s="26">
        <v>950</v>
      </c>
      <c r="R68" s="26"/>
      <c r="S68" s="27">
        <v>299900</v>
      </c>
      <c r="T68" s="28">
        <f t="shared" si="1"/>
        <v>284905</v>
      </c>
      <c r="U68" s="26"/>
    </row>
    <row r="69" spans="1:21" s="132" customFormat="1" x14ac:dyDescent="0.25">
      <c r="A69" s="26" t="s">
        <v>280</v>
      </c>
      <c r="B69" s="22" t="s">
        <v>1711</v>
      </c>
      <c r="C69" s="19" t="s">
        <v>57</v>
      </c>
      <c r="D69" s="20" t="s">
        <v>770</v>
      </c>
      <c r="E69" s="33" t="s">
        <v>685</v>
      </c>
      <c r="F69" s="19">
        <v>5320</v>
      </c>
      <c r="G69" s="18">
        <v>28</v>
      </c>
      <c r="H69" s="18" t="s">
        <v>188</v>
      </c>
      <c r="I69" s="18" t="s">
        <v>30</v>
      </c>
      <c r="J69" s="23">
        <v>45006</v>
      </c>
      <c r="K69" s="18"/>
      <c r="L69" s="26"/>
      <c r="M69" s="26"/>
      <c r="N69" s="26" t="s">
        <v>1714</v>
      </c>
      <c r="O69" s="26"/>
      <c r="P69" s="26"/>
      <c r="Q69" s="26">
        <v>5320</v>
      </c>
      <c r="R69" s="26"/>
      <c r="S69" s="27">
        <v>299900</v>
      </c>
      <c r="T69" s="28">
        <f t="shared" si="1"/>
        <v>1595468</v>
      </c>
      <c r="U69" s="26"/>
    </row>
    <row r="70" spans="1:21" s="132" customFormat="1" x14ac:dyDescent="0.25">
      <c r="A70" s="26" t="s">
        <v>280</v>
      </c>
      <c r="B70" s="22" t="s">
        <v>1711</v>
      </c>
      <c r="C70" s="19" t="s">
        <v>57</v>
      </c>
      <c r="D70" s="20" t="s">
        <v>770</v>
      </c>
      <c r="E70" s="33" t="s">
        <v>1273</v>
      </c>
      <c r="F70" s="19">
        <v>5890</v>
      </c>
      <c r="G70" s="18">
        <v>31</v>
      </c>
      <c r="H70" s="18" t="s">
        <v>188</v>
      </c>
      <c r="I70" s="18" t="s">
        <v>30</v>
      </c>
      <c r="J70" s="23">
        <v>45006</v>
      </c>
      <c r="K70" s="18"/>
      <c r="L70" s="26"/>
      <c r="M70" s="26"/>
      <c r="N70" s="26" t="s">
        <v>1714</v>
      </c>
      <c r="O70" s="26"/>
      <c r="P70" s="26"/>
      <c r="Q70" s="26">
        <v>5890</v>
      </c>
      <c r="R70" s="26"/>
      <c r="S70" s="27">
        <v>299900</v>
      </c>
      <c r="T70" s="28">
        <f t="shared" si="1"/>
        <v>1766411</v>
      </c>
      <c r="U70" s="26"/>
    </row>
    <row r="71" spans="1:21" s="132" customFormat="1" x14ac:dyDescent="0.25">
      <c r="A71" s="26" t="s">
        <v>280</v>
      </c>
      <c r="B71" s="22" t="s">
        <v>1711</v>
      </c>
      <c r="C71" s="19" t="s">
        <v>57</v>
      </c>
      <c r="D71" s="20" t="s">
        <v>770</v>
      </c>
      <c r="E71" s="33" t="s">
        <v>1715</v>
      </c>
      <c r="F71" s="19">
        <v>3040</v>
      </c>
      <c r="G71" s="18">
        <v>16</v>
      </c>
      <c r="H71" s="18" t="s">
        <v>188</v>
      </c>
      <c r="I71" s="18" t="s">
        <v>30</v>
      </c>
      <c r="J71" s="23">
        <v>45006</v>
      </c>
      <c r="K71" s="18"/>
      <c r="L71" s="26"/>
      <c r="M71" s="26"/>
      <c r="N71" s="26" t="s">
        <v>1714</v>
      </c>
      <c r="O71" s="26"/>
      <c r="P71" s="26"/>
      <c r="Q71" s="26">
        <v>3040</v>
      </c>
      <c r="R71" s="26"/>
      <c r="S71" s="27">
        <v>299900</v>
      </c>
      <c r="T71" s="28">
        <f t="shared" si="1"/>
        <v>911696</v>
      </c>
      <c r="U71" s="26"/>
    </row>
    <row r="72" spans="1:21" s="132" customFormat="1" x14ac:dyDescent="0.25">
      <c r="A72" s="26"/>
      <c r="B72" s="19" t="s">
        <v>786</v>
      </c>
      <c r="C72" s="19" t="s">
        <v>26</v>
      </c>
      <c r="D72" s="20" t="s">
        <v>27</v>
      </c>
      <c r="E72" s="21" t="s">
        <v>1308</v>
      </c>
      <c r="F72" s="19">
        <v>20000</v>
      </c>
      <c r="G72" s="18">
        <v>800</v>
      </c>
      <c r="H72" s="18" t="s">
        <v>129</v>
      </c>
      <c r="I72" s="18" t="s">
        <v>30</v>
      </c>
      <c r="J72" s="23">
        <v>45006</v>
      </c>
      <c r="K72" s="18" t="s">
        <v>424</v>
      </c>
      <c r="L72" s="19" t="s">
        <v>425</v>
      </c>
      <c r="M72" s="19" t="s">
        <v>63</v>
      </c>
      <c r="N72" s="26"/>
      <c r="O72" s="26">
        <v>20000</v>
      </c>
      <c r="P72" s="26"/>
      <c r="Q72" s="26"/>
      <c r="R72" s="26" t="s">
        <v>34</v>
      </c>
      <c r="S72" s="27">
        <v>41000</v>
      </c>
      <c r="T72" s="28">
        <f t="shared" si="1"/>
        <v>820000</v>
      </c>
      <c r="U72" s="26"/>
    </row>
    <row r="73" spans="1:21" s="132" customFormat="1" x14ac:dyDescent="0.25">
      <c r="A73" s="141"/>
      <c r="B73" s="19" t="s">
        <v>1433</v>
      </c>
      <c r="C73" s="19" t="s">
        <v>1434</v>
      </c>
      <c r="D73" s="20" t="s">
        <v>1698</v>
      </c>
      <c r="E73" s="21" t="s">
        <v>1702</v>
      </c>
      <c r="F73" s="19">
        <f t="shared" ref="F73:F74" si="2">44*180</f>
        <v>7920</v>
      </c>
      <c r="G73" s="18">
        <v>44</v>
      </c>
      <c r="H73" s="18" t="s">
        <v>661</v>
      </c>
      <c r="I73" s="18" t="s">
        <v>30</v>
      </c>
      <c r="J73" s="23">
        <v>45006</v>
      </c>
      <c r="K73" s="18" t="s">
        <v>1716</v>
      </c>
      <c r="L73" s="19" t="s">
        <v>1717</v>
      </c>
      <c r="M73" s="19" t="s">
        <v>1718</v>
      </c>
      <c r="N73" s="26"/>
      <c r="O73" s="26"/>
      <c r="P73" s="26"/>
      <c r="Q73" s="26">
        <v>7920</v>
      </c>
      <c r="R73" s="26"/>
      <c r="S73" s="27">
        <v>104000</v>
      </c>
      <c r="T73" s="28">
        <f t="shared" si="1"/>
        <v>823680</v>
      </c>
      <c r="U73" s="28">
        <v>145000</v>
      </c>
    </row>
    <row r="74" spans="1:21" s="132" customFormat="1" x14ac:dyDescent="0.25">
      <c r="A74" s="141"/>
      <c r="B74" s="19" t="s">
        <v>1433</v>
      </c>
      <c r="C74" s="19" t="s">
        <v>1434</v>
      </c>
      <c r="D74" s="20" t="s">
        <v>1698</v>
      </c>
      <c r="E74" s="21" t="s">
        <v>938</v>
      </c>
      <c r="F74" s="19">
        <f t="shared" si="2"/>
        <v>7920</v>
      </c>
      <c r="G74" s="18">
        <v>44</v>
      </c>
      <c r="H74" s="18" t="s">
        <v>661</v>
      </c>
      <c r="I74" s="18" t="s">
        <v>30</v>
      </c>
      <c r="J74" s="23">
        <v>45006</v>
      </c>
      <c r="K74" s="18" t="s">
        <v>1716</v>
      </c>
      <c r="L74" s="19" t="s">
        <v>1717</v>
      </c>
      <c r="M74" s="19" t="s">
        <v>1718</v>
      </c>
      <c r="N74" s="26"/>
      <c r="O74" s="26"/>
      <c r="P74" s="26"/>
      <c r="Q74" s="26">
        <v>7920</v>
      </c>
      <c r="R74" s="26"/>
      <c r="S74" s="27">
        <v>104000</v>
      </c>
      <c r="T74" s="28">
        <f t="shared" si="1"/>
        <v>823680</v>
      </c>
      <c r="U74" s="26"/>
    </row>
    <row r="75" spans="1:21" s="132" customFormat="1" x14ac:dyDescent="0.25">
      <c r="A75" s="26"/>
      <c r="B75" s="19" t="s">
        <v>1719</v>
      </c>
      <c r="C75" s="19" t="s">
        <v>26</v>
      </c>
      <c r="D75" s="20" t="s">
        <v>1720</v>
      </c>
      <c r="E75" s="21" t="s">
        <v>1580</v>
      </c>
      <c r="F75" s="19">
        <v>7020</v>
      </c>
      <c r="G75" s="18">
        <v>39</v>
      </c>
      <c r="H75" s="18" t="s">
        <v>129</v>
      </c>
      <c r="I75" s="18" t="s">
        <v>30</v>
      </c>
      <c r="J75" s="23">
        <v>45007</v>
      </c>
      <c r="K75" s="18" t="s">
        <v>1011</v>
      </c>
      <c r="L75" s="26" t="s">
        <v>1012</v>
      </c>
      <c r="M75" s="26" t="s">
        <v>1013</v>
      </c>
      <c r="N75" s="26"/>
      <c r="O75" s="26"/>
      <c r="P75" s="26"/>
      <c r="Q75" s="26">
        <v>7020</v>
      </c>
      <c r="R75" s="26" t="s">
        <v>34</v>
      </c>
      <c r="S75" s="27">
        <v>320000</v>
      </c>
      <c r="T75" s="28">
        <f t="shared" si="1"/>
        <v>2246400</v>
      </c>
      <c r="U75" s="28">
        <v>210000</v>
      </c>
    </row>
    <row r="76" spans="1:21" s="132" customFormat="1" x14ac:dyDescent="0.25">
      <c r="A76" s="26"/>
      <c r="B76" s="19" t="s">
        <v>1719</v>
      </c>
      <c r="C76" s="19" t="s">
        <v>26</v>
      </c>
      <c r="D76" s="20" t="s">
        <v>1720</v>
      </c>
      <c r="E76" s="21" t="s">
        <v>1715</v>
      </c>
      <c r="F76" s="19">
        <v>5220</v>
      </c>
      <c r="G76" s="18">
        <v>29</v>
      </c>
      <c r="H76" s="18" t="s">
        <v>129</v>
      </c>
      <c r="I76" s="18" t="s">
        <v>30</v>
      </c>
      <c r="J76" s="23">
        <v>45007</v>
      </c>
      <c r="K76" s="18" t="s">
        <v>1011</v>
      </c>
      <c r="L76" s="26"/>
      <c r="M76" s="26"/>
      <c r="N76" s="26"/>
      <c r="O76" s="26"/>
      <c r="P76" s="26"/>
      <c r="Q76" s="26">
        <v>5220</v>
      </c>
      <c r="R76" s="26" t="s">
        <v>34</v>
      </c>
      <c r="S76" s="27">
        <v>320000</v>
      </c>
      <c r="T76" s="28">
        <f t="shared" si="1"/>
        <v>1670400</v>
      </c>
      <c r="U76" s="26"/>
    </row>
    <row r="77" spans="1:21" s="132" customFormat="1" x14ac:dyDescent="0.25">
      <c r="A77" s="26"/>
      <c r="B77" s="19" t="s">
        <v>1719</v>
      </c>
      <c r="C77" s="19" t="s">
        <v>26</v>
      </c>
      <c r="D77" s="20" t="s">
        <v>1720</v>
      </c>
      <c r="E77" s="21" t="s">
        <v>1308</v>
      </c>
      <c r="F77" s="19">
        <v>3600</v>
      </c>
      <c r="G77" s="18">
        <v>20</v>
      </c>
      <c r="H77" s="18" t="s">
        <v>129</v>
      </c>
      <c r="I77" s="18" t="s">
        <v>30</v>
      </c>
      <c r="J77" s="23">
        <v>45007</v>
      </c>
      <c r="K77" s="18" t="s">
        <v>1011</v>
      </c>
      <c r="L77" s="26"/>
      <c r="M77" s="26"/>
      <c r="N77" s="26"/>
      <c r="O77" s="26"/>
      <c r="P77" s="26"/>
      <c r="Q77" s="26">
        <v>3600</v>
      </c>
      <c r="R77" s="26" t="s">
        <v>34</v>
      </c>
      <c r="S77" s="27">
        <v>320000</v>
      </c>
      <c r="T77" s="28">
        <f t="shared" si="1"/>
        <v>1152000</v>
      </c>
      <c r="U77" s="26"/>
    </row>
    <row r="78" spans="1:21" s="132" customFormat="1" x14ac:dyDescent="0.25">
      <c r="A78" s="141"/>
      <c r="B78" s="19" t="s">
        <v>1433</v>
      </c>
      <c r="C78" s="19" t="s">
        <v>1434</v>
      </c>
      <c r="D78" s="20" t="s">
        <v>1721</v>
      </c>
      <c r="E78" s="21" t="s">
        <v>1580</v>
      </c>
      <c r="F78" s="19">
        <v>5760</v>
      </c>
      <c r="G78" s="18">
        <v>32</v>
      </c>
      <c r="H78" s="18" t="s">
        <v>661</v>
      </c>
      <c r="I78" s="18" t="s">
        <v>30</v>
      </c>
      <c r="J78" s="23">
        <v>45009</v>
      </c>
      <c r="K78" s="18" t="s">
        <v>1722</v>
      </c>
      <c r="L78" s="19" t="s">
        <v>1723</v>
      </c>
      <c r="M78" s="19" t="s">
        <v>1724</v>
      </c>
      <c r="N78" s="26"/>
      <c r="O78" s="26"/>
      <c r="P78" s="26"/>
      <c r="Q78" s="26">
        <v>5760</v>
      </c>
      <c r="R78" s="26"/>
      <c r="S78" s="27">
        <v>104000</v>
      </c>
      <c r="T78" s="28">
        <f t="shared" si="1"/>
        <v>599040</v>
      </c>
      <c r="U78" s="28"/>
    </row>
    <row r="79" spans="1:21" s="132" customFormat="1" x14ac:dyDescent="0.25">
      <c r="A79" s="141"/>
      <c r="B79" s="19" t="s">
        <v>1433</v>
      </c>
      <c r="C79" s="19" t="s">
        <v>1434</v>
      </c>
      <c r="D79" s="20" t="s">
        <v>1725</v>
      </c>
      <c r="E79" s="21" t="s">
        <v>1424</v>
      </c>
      <c r="F79" s="19">
        <v>8640</v>
      </c>
      <c r="G79" s="18">
        <v>48</v>
      </c>
      <c r="H79" s="18" t="s">
        <v>661</v>
      </c>
      <c r="I79" s="18" t="s">
        <v>30</v>
      </c>
      <c r="J79" s="23">
        <v>45009</v>
      </c>
      <c r="K79" s="18" t="s">
        <v>1722</v>
      </c>
      <c r="L79" s="19" t="s">
        <v>1723</v>
      </c>
      <c r="M79" s="19" t="s">
        <v>1724</v>
      </c>
      <c r="N79" s="26"/>
      <c r="O79" s="26"/>
      <c r="P79" s="26"/>
      <c r="Q79" s="26">
        <v>8640</v>
      </c>
      <c r="R79" s="26"/>
      <c r="S79" s="27">
        <v>104000</v>
      </c>
      <c r="T79" s="28">
        <f t="shared" si="1"/>
        <v>898560.00000000012</v>
      </c>
      <c r="U79" s="28"/>
    </row>
    <row r="80" spans="1:21" s="132" customFormat="1" x14ac:dyDescent="0.25">
      <c r="A80" s="141"/>
      <c r="B80" s="19" t="s">
        <v>1433</v>
      </c>
      <c r="C80" s="19" t="s">
        <v>1434</v>
      </c>
      <c r="D80" s="20" t="s">
        <v>1698</v>
      </c>
      <c r="E80" s="21" t="s">
        <v>938</v>
      </c>
      <c r="F80" s="19">
        <v>720</v>
      </c>
      <c r="G80" s="18">
        <v>4</v>
      </c>
      <c r="H80" s="18" t="s">
        <v>661</v>
      </c>
      <c r="I80" s="18" t="s">
        <v>30</v>
      </c>
      <c r="J80" s="23">
        <v>45009</v>
      </c>
      <c r="K80" s="18" t="s">
        <v>1722</v>
      </c>
      <c r="L80" s="19" t="s">
        <v>1723</v>
      </c>
      <c r="M80" s="19" t="s">
        <v>1724</v>
      </c>
      <c r="N80" s="26"/>
      <c r="O80" s="26"/>
      <c r="P80" s="26"/>
      <c r="Q80" s="26">
        <v>720</v>
      </c>
      <c r="R80" s="26"/>
      <c r="S80" s="27">
        <v>104000</v>
      </c>
      <c r="T80" s="28">
        <f t="shared" si="1"/>
        <v>74880</v>
      </c>
      <c r="U80" s="26"/>
    </row>
    <row r="81" spans="1:21" s="132" customFormat="1" x14ac:dyDescent="0.25">
      <c r="A81" s="26"/>
      <c r="B81" s="19" t="s">
        <v>1726</v>
      </c>
      <c r="C81" s="19" t="s">
        <v>175</v>
      </c>
      <c r="D81" s="20" t="s">
        <v>176</v>
      </c>
      <c r="E81" s="21" t="s">
        <v>1727</v>
      </c>
      <c r="F81" s="19">
        <v>15890</v>
      </c>
      <c r="G81" s="18">
        <v>700</v>
      </c>
      <c r="H81" s="18" t="s">
        <v>975</v>
      </c>
      <c r="I81" s="18" t="s">
        <v>30</v>
      </c>
      <c r="J81" s="23">
        <v>45008</v>
      </c>
      <c r="K81" s="18" t="s">
        <v>699</v>
      </c>
      <c r="L81" s="26" t="s">
        <v>455</v>
      </c>
      <c r="M81" s="26" t="s">
        <v>456</v>
      </c>
      <c r="N81" s="26"/>
      <c r="O81" s="26">
        <v>15890</v>
      </c>
      <c r="P81" s="26"/>
      <c r="Q81" s="26"/>
      <c r="R81" s="26" t="s">
        <v>34</v>
      </c>
      <c r="S81" s="27">
        <v>41400</v>
      </c>
      <c r="T81" s="28">
        <f t="shared" si="1"/>
        <v>657846</v>
      </c>
      <c r="U81" s="28">
        <v>200000</v>
      </c>
    </row>
    <row r="82" spans="1:21" s="132" customFormat="1" x14ac:dyDescent="0.25">
      <c r="A82" s="26"/>
      <c r="B82" s="19" t="s">
        <v>1726</v>
      </c>
      <c r="C82" s="19" t="s">
        <v>175</v>
      </c>
      <c r="D82" s="20" t="s">
        <v>176</v>
      </c>
      <c r="E82" s="21" t="s">
        <v>1486</v>
      </c>
      <c r="F82" s="19">
        <v>3972.5</v>
      </c>
      <c r="G82" s="18">
        <v>175</v>
      </c>
      <c r="H82" s="18" t="s">
        <v>975</v>
      </c>
      <c r="I82" s="18" t="s">
        <v>30</v>
      </c>
      <c r="J82" s="23">
        <v>45008</v>
      </c>
      <c r="K82" s="18" t="s">
        <v>699</v>
      </c>
      <c r="L82" s="26"/>
      <c r="M82" s="26"/>
      <c r="N82" s="26"/>
      <c r="O82" s="26">
        <v>3972.5</v>
      </c>
      <c r="P82" s="26"/>
      <c r="Q82" s="26"/>
      <c r="R82" s="26" t="s">
        <v>34</v>
      </c>
      <c r="S82" s="27">
        <v>41400</v>
      </c>
      <c r="T82" s="28">
        <f t="shared" ref="T82:T120" si="3">S82*(F82/1000)</f>
        <v>164461.5</v>
      </c>
      <c r="U82" s="26"/>
    </row>
    <row r="83" spans="1:21" s="132" customFormat="1" x14ac:dyDescent="0.25">
      <c r="A83" s="26"/>
      <c r="B83" s="19" t="s">
        <v>1523</v>
      </c>
      <c r="C83" s="19" t="s">
        <v>175</v>
      </c>
      <c r="D83" s="20" t="s">
        <v>176</v>
      </c>
      <c r="E83" s="21" t="s">
        <v>1272</v>
      </c>
      <c r="F83" s="19">
        <v>15890</v>
      </c>
      <c r="G83" s="18">
        <v>700</v>
      </c>
      <c r="H83" s="18" t="s">
        <v>975</v>
      </c>
      <c r="I83" s="18" t="s">
        <v>30</v>
      </c>
      <c r="J83" s="23">
        <v>45008</v>
      </c>
      <c r="K83" s="18" t="s">
        <v>1630</v>
      </c>
      <c r="L83" s="26" t="s">
        <v>1278</v>
      </c>
      <c r="M83" s="26" t="s">
        <v>1279</v>
      </c>
      <c r="N83" s="26"/>
      <c r="O83" s="26">
        <v>15890</v>
      </c>
      <c r="P83" s="26"/>
      <c r="Q83" s="26"/>
      <c r="R83" s="26"/>
      <c r="S83" s="27">
        <v>41400</v>
      </c>
      <c r="T83" s="28">
        <f t="shared" si="3"/>
        <v>657846</v>
      </c>
      <c r="U83" s="26">
        <v>200000</v>
      </c>
    </row>
    <row r="84" spans="1:21" s="132" customFormat="1" x14ac:dyDescent="0.25">
      <c r="A84" s="26"/>
      <c r="B84" s="19" t="s">
        <v>1523</v>
      </c>
      <c r="C84" s="19" t="s">
        <v>175</v>
      </c>
      <c r="D84" s="20" t="s">
        <v>176</v>
      </c>
      <c r="E84" s="21" t="s">
        <v>1486</v>
      </c>
      <c r="F84" s="19">
        <v>3972.5</v>
      </c>
      <c r="G84" s="18">
        <v>175</v>
      </c>
      <c r="H84" s="18" t="s">
        <v>975</v>
      </c>
      <c r="I84" s="18" t="s">
        <v>30</v>
      </c>
      <c r="J84" s="23">
        <v>45008</v>
      </c>
      <c r="K84" s="18" t="s">
        <v>1630</v>
      </c>
      <c r="L84" s="26"/>
      <c r="M84" s="26"/>
      <c r="N84" s="26"/>
      <c r="O84" s="26">
        <v>3972.5</v>
      </c>
      <c r="P84" s="26"/>
      <c r="Q84" s="26"/>
      <c r="R84" s="26"/>
      <c r="S84" s="27">
        <v>41400</v>
      </c>
      <c r="T84" s="28">
        <f t="shared" si="3"/>
        <v>164461.5</v>
      </c>
      <c r="U84" s="26"/>
    </row>
    <row r="85" spans="1:21" s="132" customFormat="1" x14ac:dyDescent="0.25">
      <c r="A85" s="26"/>
      <c r="B85" s="19" t="s">
        <v>786</v>
      </c>
      <c r="C85" s="19" t="s">
        <v>26</v>
      </c>
      <c r="D85" s="20" t="s">
        <v>27</v>
      </c>
      <c r="E85" s="21" t="s">
        <v>1424</v>
      </c>
      <c r="F85" s="19">
        <v>20000</v>
      </c>
      <c r="G85" s="18">
        <v>800</v>
      </c>
      <c r="H85" s="18" t="s">
        <v>129</v>
      </c>
      <c r="I85" s="18" t="s">
        <v>30</v>
      </c>
      <c r="J85" s="23">
        <v>45009</v>
      </c>
      <c r="K85" s="18" t="s">
        <v>482</v>
      </c>
      <c r="L85" s="26" t="s">
        <v>585</v>
      </c>
      <c r="M85" s="26" t="s">
        <v>408</v>
      </c>
      <c r="N85" s="26"/>
      <c r="O85" s="26">
        <v>20000</v>
      </c>
      <c r="P85" s="26"/>
      <c r="Q85" s="26"/>
      <c r="R85" s="26" t="s">
        <v>34</v>
      </c>
      <c r="S85" s="27">
        <v>41000</v>
      </c>
      <c r="T85" s="28">
        <f t="shared" si="3"/>
        <v>820000</v>
      </c>
      <c r="U85" s="28">
        <v>210000</v>
      </c>
    </row>
    <row r="86" spans="1:21" s="132" customFormat="1" x14ac:dyDescent="0.25">
      <c r="A86" s="26"/>
      <c r="B86" s="19">
        <v>42243</v>
      </c>
      <c r="C86" s="19" t="s">
        <v>175</v>
      </c>
      <c r="D86" s="20" t="s">
        <v>176</v>
      </c>
      <c r="E86" s="21" t="s">
        <v>1526</v>
      </c>
      <c r="F86" s="19">
        <v>15890</v>
      </c>
      <c r="G86" s="18">
        <v>700</v>
      </c>
      <c r="H86" s="18" t="s">
        <v>129</v>
      </c>
      <c r="I86" s="18" t="s">
        <v>30</v>
      </c>
      <c r="J86" s="23">
        <v>45009</v>
      </c>
      <c r="K86" s="18" t="s">
        <v>454</v>
      </c>
      <c r="L86" s="26" t="s">
        <v>747</v>
      </c>
      <c r="M86" s="26" t="s">
        <v>748</v>
      </c>
      <c r="N86" s="26"/>
      <c r="O86" s="26">
        <v>15890</v>
      </c>
      <c r="P86" s="26"/>
      <c r="Q86" s="26"/>
      <c r="R86" s="26" t="s">
        <v>34</v>
      </c>
      <c r="S86" s="27">
        <v>41400</v>
      </c>
      <c r="T86" s="28">
        <f t="shared" si="3"/>
        <v>657846</v>
      </c>
      <c r="U86" s="28">
        <v>195000</v>
      </c>
    </row>
    <row r="87" spans="1:21" s="132" customFormat="1" x14ac:dyDescent="0.25">
      <c r="A87" s="26"/>
      <c r="B87" s="19">
        <v>42243</v>
      </c>
      <c r="C87" s="19" t="s">
        <v>175</v>
      </c>
      <c r="D87" s="20" t="s">
        <v>176</v>
      </c>
      <c r="E87" s="21" t="s">
        <v>1486</v>
      </c>
      <c r="F87" s="19">
        <v>3972.5</v>
      </c>
      <c r="G87" s="18">
        <v>175</v>
      </c>
      <c r="H87" s="18" t="s">
        <v>129</v>
      </c>
      <c r="I87" s="18" t="s">
        <v>30</v>
      </c>
      <c r="J87" s="23">
        <v>45009</v>
      </c>
      <c r="K87" s="18" t="s">
        <v>454</v>
      </c>
      <c r="L87" s="26"/>
      <c r="M87" s="26"/>
      <c r="N87" s="26"/>
      <c r="O87" s="26">
        <v>3972.5</v>
      </c>
      <c r="P87" s="26"/>
      <c r="Q87" s="26"/>
      <c r="R87" s="26" t="s">
        <v>34</v>
      </c>
      <c r="S87" s="27">
        <v>41400</v>
      </c>
      <c r="T87" s="28">
        <f t="shared" si="3"/>
        <v>164461.5</v>
      </c>
      <c r="U87" s="26"/>
    </row>
    <row r="88" spans="1:21" s="132" customFormat="1" x14ac:dyDescent="0.25">
      <c r="A88" s="26"/>
      <c r="B88" s="19" t="s">
        <v>1653</v>
      </c>
      <c r="C88" s="19" t="s">
        <v>893</v>
      </c>
      <c r="D88" s="20" t="s">
        <v>898</v>
      </c>
      <c r="E88" s="21" t="s">
        <v>1485</v>
      </c>
      <c r="F88" s="19">
        <v>17600</v>
      </c>
      <c r="G88" s="18">
        <v>88</v>
      </c>
      <c r="H88" s="18" t="s">
        <v>448</v>
      </c>
      <c r="I88" s="18" t="s">
        <v>30</v>
      </c>
      <c r="J88" s="23">
        <v>45009</v>
      </c>
      <c r="K88" s="18" t="s">
        <v>1655</v>
      </c>
      <c r="L88" s="19" t="s">
        <v>1656</v>
      </c>
      <c r="M88" s="19" t="s">
        <v>1657</v>
      </c>
      <c r="N88" s="26"/>
      <c r="O88" s="26"/>
      <c r="P88" s="26"/>
      <c r="Q88" s="26">
        <v>17600</v>
      </c>
      <c r="R88" s="26" t="s">
        <v>34</v>
      </c>
      <c r="S88" s="27">
        <v>152000</v>
      </c>
      <c r="T88" s="28">
        <f t="shared" si="3"/>
        <v>2675200</v>
      </c>
      <c r="U88" s="26">
        <v>275000</v>
      </c>
    </row>
    <row r="89" spans="1:21" s="132" customFormat="1" x14ac:dyDescent="0.25">
      <c r="A89" s="141"/>
      <c r="B89" s="19" t="s">
        <v>133</v>
      </c>
      <c r="C89" s="19" t="s">
        <v>1728</v>
      </c>
      <c r="D89" s="20" t="s">
        <v>352</v>
      </c>
      <c r="E89" s="21" t="s">
        <v>1654</v>
      </c>
      <c r="F89" s="19">
        <v>2000</v>
      </c>
      <c r="G89" s="18">
        <v>10</v>
      </c>
      <c r="H89" s="18" t="s">
        <v>29</v>
      </c>
      <c r="I89" s="18" t="s">
        <v>30</v>
      </c>
      <c r="J89" s="23">
        <v>45009</v>
      </c>
      <c r="K89" s="18" t="s">
        <v>1729</v>
      </c>
      <c r="L89" s="19"/>
      <c r="M89" s="19" t="s">
        <v>1730</v>
      </c>
      <c r="N89" s="26"/>
      <c r="O89" s="26"/>
      <c r="P89" s="26"/>
      <c r="Q89" s="26">
        <v>2000</v>
      </c>
      <c r="R89" s="26"/>
      <c r="S89" s="27">
        <v>195000</v>
      </c>
      <c r="T89" s="28">
        <f t="shared" si="3"/>
        <v>390000</v>
      </c>
      <c r="U89" s="26"/>
    </row>
    <row r="90" spans="1:21" s="132" customFormat="1" x14ac:dyDescent="0.25">
      <c r="A90" s="26" t="s">
        <v>280</v>
      </c>
      <c r="B90" s="22" t="s">
        <v>1711</v>
      </c>
      <c r="C90" s="19" t="s">
        <v>57</v>
      </c>
      <c r="D90" s="20" t="s">
        <v>857</v>
      </c>
      <c r="E90" s="33" t="s">
        <v>1425</v>
      </c>
      <c r="F90" s="19">
        <v>2590</v>
      </c>
      <c r="G90" s="18">
        <v>14</v>
      </c>
      <c r="H90" s="18" t="s">
        <v>188</v>
      </c>
      <c r="I90" s="18" t="s">
        <v>30</v>
      </c>
      <c r="J90" s="23">
        <v>45012</v>
      </c>
      <c r="K90" s="18"/>
      <c r="L90" s="26"/>
      <c r="M90" s="26"/>
      <c r="N90" s="26" t="s">
        <v>1731</v>
      </c>
      <c r="O90" s="26"/>
      <c r="P90" s="26"/>
      <c r="Q90" s="26">
        <v>2590</v>
      </c>
      <c r="R90" s="26"/>
      <c r="S90" s="27">
        <v>359000</v>
      </c>
      <c r="T90" s="28">
        <f t="shared" si="3"/>
        <v>929810</v>
      </c>
      <c r="U90" s="26">
        <v>250000</v>
      </c>
    </row>
    <row r="91" spans="1:21" s="132" customFormat="1" x14ac:dyDescent="0.25">
      <c r="A91" s="26" t="s">
        <v>280</v>
      </c>
      <c r="B91" s="22" t="s">
        <v>1711</v>
      </c>
      <c r="C91" s="19" t="s">
        <v>57</v>
      </c>
      <c r="D91" s="20" t="s">
        <v>857</v>
      </c>
      <c r="E91" s="33" t="s">
        <v>1732</v>
      </c>
      <c r="F91" s="19">
        <v>8510</v>
      </c>
      <c r="G91" s="18">
        <v>46</v>
      </c>
      <c r="H91" s="18" t="s">
        <v>188</v>
      </c>
      <c r="I91" s="18" t="s">
        <v>30</v>
      </c>
      <c r="J91" s="23">
        <v>45012</v>
      </c>
      <c r="K91" s="18"/>
      <c r="L91" s="26"/>
      <c r="M91" s="26"/>
      <c r="N91" s="26" t="s">
        <v>1731</v>
      </c>
      <c r="O91" s="26"/>
      <c r="P91" s="26"/>
      <c r="Q91" s="26">
        <v>8510</v>
      </c>
      <c r="R91" s="26"/>
      <c r="S91" s="27">
        <v>359000</v>
      </c>
      <c r="T91" s="28">
        <f t="shared" si="3"/>
        <v>3055090</v>
      </c>
      <c r="U91" s="26"/>
    </row>
    <row r="92" spans="1:21" s="132" customFormat="1" x14ac:dyDescent="0.25">
      <c r="A92" s="26" t="s">
        <v>280</v>
      </c>
      <c r="B92" s="22" t="s">
        <v>1733</v>
      </c>
      <c r="C92" s="19" t="s">
        <v>57</v>
      </c>
      <c r="D92" s="20" t="s">
        <v>191</v>
      </c>
      <c r="E92" s="33" t="s">
        <v>1702</v>
      </c>
      <c r="F92" s="19">
        <v>3000</v>
      </c>
      <c r="G92" s="18">
        <v>120</v>
      </c>
      <c r="H92" s="18" t="s">
        <v>188</v>
      </c>
      <c r="I92" s="18" t="s">
        <v>30</v>
      </c>
      <c r="J92" s="23">
        <v>45012</v>
      </c>
      <c r="K92" s="18"/>
      <c r="L92" s="26"/>
      <c r="M92" s="26"/>
      <c r="N92" s="26" t="s">
        <v>1734</v>
      </c>
      <c r="O92" s="26"/>
      <c r="P92" s="26"/>
      <c r="Q92" s="26">
        <v>3000</v>
      </c>
      <c r="R92" s="26"/>
      <c r="S92" s="27">
        <v>165000</v>
      </c>
      <c r="T92" s="28">
        <f t="shared" si="3"/>
        <v>495000</v>
      </c>
      <c r="U92" s="26"/>
    </row>
    <row r="93" spans="1:21" s="132" customFormat="1" x14ac:dyDescent="0.25">
      <c r="A93" s="25" t="s">
        <v>280</v>
      </c>
      <c r="B93" s="19" t="s">
        <v>1735</v>
      </c>
      <c r="C93" s="19" t="s">
        <v>57</v>
      </c>
      <c r="D93" s="20" t="s">
        <v>1088</v>
      </c>
      <c r="E93" s="21" t="s">
        <v>1580</v>
      </c>
      <c r="F93" s="19">
        <v>5443.2</v>
      </c>
      <c r="G93" s="18">
        <v>240</v>
      </c>
      <c r="H93" s="18" t="s">
        <v>188</v>
      </c>
      <c r="I93" s="18" t="s">
        <v>30</v>
      </c>
      <c r="J93" s="23">
        <v>45012</v>
      </c>
      <c r="K93" s="19"/>
      <c r="L93" s="26"/>
      <c r="M93" s="26"/>
      <c r="N93" s="26" t="s">
        <v>1734</v>
      </c>
      <c r="O93" s="26"/>
      <c r="P93" s="26">
        <v>5443.2</v>
      </c>
      <c r="Q93" s="26"/>
      <c r="R93" s="26"/>
      <c r="S93" s="27">
        <v>245000</v>
      </c>
      <c r="T93" s="28">
        <f t="shared" si="3"/>
        <v>1333584</v>
      </c>
      <c r="U93" s="26"/>
    </row>
    <row r="94" spans="1:21" s="132" customFormat="1" ht="15.75" customHeight="1" x14ac:dyDescent="0.25">
      <c r="A94" s="26"/>
      <c r="B94" s="19" t="s">
        <v>786</v>
      </c>
      <c r="C94" s="19" t="s">
        <v>26</v>
      </c>
      <c r="D94" s="20" t="s">
        <v>27</v>
      </c>
      <c r="E94" s="21" t="s">
        <v>1425</v>
      </c>
      <c r="F94" s="19">
        <v>20000</v>
      </c>
      <c r="G94" s="18">
        <v>800</v>
      </c>
      <c r="H94" s="18" t="s">
        <v>129</v>
      </c>
      <c r="I94" s="18" t="s">
        <v>30</v>
      </c>
      <c r="J94" s="23">
        <v>45012</v>
      </c>
      <c r="K94" s="18" t="s">
        <v>1297</v>
      </c>
      <c r="L94" s="138" t="s">
        <v>1298</v>
      </c>
      <c r="M94" s="19" t="s">
        <v>1299</v>
      </c>
      <c r="N94" s="26"/>
      <c r="O94" s="26">
        <v>20000</v>
      </c>
      <c r="P94" s="26"/>
      <c r="Q94" s="26"/>
      <c r="R94" s="26" t="s">
        <v>34</v>
      </c>
      <c r="S94" s="27">
        <v>41000</v>
      </c>
      <c r="T94" s="28">
        <f t="shared" si="3"/>
        <v>820000</v>
      </c>
      <c r="U94" s="26">
        <v>200000</v>
      </c>
    </row>
    <row r="95" spans="1:21" s="132" customFormat="1" x14ac:dyDescent="0.25">
      <c r="A95" s="25"/>
      <c r="B95" s="19" t="s">
        <v>1101</v>
      </c>
      <c r="C95" s="19" t="s">
        <v>57</v>
      </c>
      <c r="D95" s="20" t="s">
        <v>282</v>
      </c>
      <c r="E95" s="21" t="s">
        <v>1471</v>
      </c>
      <c r="F95" s="19">
        <v>8550</v>
      </c>
      <c r="G95" s="18">
        <v>45</v>
      </c>
      <c r="H95" s="18" t="s">
        <v>95</v>
      </c>
      <c r="I95" s="18" t="s">
        <v>30</v>
      </c>
      <c r="J95" s="23">
        <v>45013</v>
      </c>
      <c r="K95" s="19" t="s">
        <v>1736</v>
      </c>
      <c r="L95" s="26" t="s">
        <v>1737</v>
      </c>
      <c r="M95" s="26" t="s">
        <v>1738</v>
      </c>
      <c r="N95" s="26"/>
      <c r="O95" s="26"/>
      <c r="P95" s="26"/>
      <c r="Q95" s="26">
        <v>8550</v>
      </c>
      <c r="R95" s="26" t="s">
        <v>34</v>
      </c>
      <c r="S95" s="27">
        <v>115000</v>
      </c>
      <c r="T95" s="28">
        <f t="shared" si="3"/>
        <v>983250.00000000012</v>
      </c>
      <c r="U95" s="26">
        <v>250000</v>
      </c>
    </row>
    <row r="96" spans="1:21" s="132" customFormat="1" x14ac:dyDescent="0.25">
      <c r="A96" s="25"/>
      <c r="B96" s="19" t="s">
        <v>1101</v>
      </c>
      <c r="C96" s="19" t="s">
        <v>57</v>
      </c>
      <c r="D96" s="20" t="s">
        <v>282</v>
      </c>
      <c r="E96" s="21" t="s">
        <v>1148</v>
      </c>
      <c r="F96" s="19">
        <v>5130</v>
      </c>
      <c r="G96" s="18">
        <v>27</v>
      </c>
      <c r="H96" s="18" t="s">
        <v>95</v>
      </c>
      <c r="I96" s="18" t="s">
        <v>30</v>
      </c>
      <c r="J96" s="23">
        <v>45013</v>
      </c>
      <c r="K96" s="19" t="s">
        <v>1736</v>
      </c>
      <c r="L96" s="26"/>
      <c r="M96" s="26"/>
      <c r="N96" s="26"/>
      <c r="O96" s="26"/>
      <c r="P96" s="26"/>
      <c r="Q96" s="26">
        <v>5130</v>
      </c>
      <c r="R96" s="26" t="s">
        <v>34</v>
      </c>
      <c r="S96" s="27">
        <v>115000</v>
      </c>
      <c r="T96" s="28">
        <f t="shared" si="3"/>
        <v>589950</v>
      </c>
      <c r="U96" s="26"/>
    </row>
    <row r="97" spans="1:21" s="132" customFormat="1" x14ac:dyDescent="0.25">
      <c r="A97" s="25"/>
      <c r="B97" s="19" t="s">
        <v>1101</v>
      </c>
      <c r="C97" s="19" t="s">
        <v>57</v>
      </c>
      <c r="D97" s="20" t="s">
        <v>282</v>
      </c>
      <c r="E97" s="21" t="s">
        <v>1713</v>
      </c>
      <c r="F97" s="19">
        <v>1520</v>
      </c>
      <c r="G97" s="18">
        <v>8</v>
      </c>
      <c r="H97" s="18" t="s">
        <v>95</v>
      </c>
      <c r="I97" s="18" t="s">
        <v>30</v>
      </c>
      <c r="J97" s="23">
        <v>45013</v>
      </c>
      <c r="K97" s="19" t="s">
        <v>1736</v>
      </c>
      <c r="L97" s="26"/>
      <c r="M97" s="26"/>
      <c r="N97" s="26"/>
      <c r="O97" s="26"/>
      <c r="P97" s="26"/>
      <c r="Q97" s="26">
        <v>1520</v>
      </c>
      <c r="R97" s="26" t="s">
        <v>34</v>
      </c>
      <c r="S97" s="27">
        <v>115000</v>
      </c>
      <c r="T97" s="28">
        <f t="shared" si="3"/>
        <v>174800</v>
      </c>
      <c r="U97" s="26"/>
    </row>
    <row r="98" spans="1:21" s="132" customFormat="1" x14ac:dyDescent="0.25">
      <c r="A98" s="26"/>
      <c r="B98" s="22" t="s">
        <v>1457</v>
      </c>
      <c r="C98" s="19" t="s">
        <v>57</v>
      </c>
      <c r="D98" s="20" t="s">
        <v>191</v>
      </c>
      <c r="E98" s="33" t="s">
        <v>938</v>
      </c>
      <c r="F98" s="19">
        <v>1200</v>
      </c>
      <c r="G98" s="18">
        <v>48</v>
      </c>
      <c r="H98" s="18" t="s">
        <v>95</v>
      </c>
      <c r="I98" s="18" t="s">
        <v>30</v>
      </c>
      <c r="J98" s="23">
        <v>45013</v>
      </c>
      <c r="K98" s="19" t="s">
        <v>1736</v>
      </c>
      <c r="L98" s="26" t="s">
        <v>1737</v>
      </c>
      <c r="M98" s="26" t="s">
        <v>1738</v>
      </c>
      <c r="N98" s="26"/>
      <c r="O98" s="26"/>
      <c r="P98" s="26"/>
      <c r="Q98" s="26">
        <v>1200</v>
      </c>
      <c r="R98" s="26" t="s">
        <v>34</v>
      </c>
      <c r="S98" s="27">
        <v>165000</v>
      </c>
      <c r="T98" s="28">
        <f t="shared" si="3"/>
        <v>198000</v>
      </c>
      <c r="U98" s="26"/>
    </row>
    <row r="99" spans="1:21" s="132" customFormat="1" x14ac:dyDescent="0.25">
      <c r="A99" s="26"/>
      <c r="B99" s="19" t="s">
        <v>842</v>
      </c>
      <c r="C99" s="19" t="s">
        <v>65</v>
      </c>
      <c r="D99" s="20" t="s">
        <v>66</v>
      </c>
      <c r="E99" s="21" t="s">
        <v>1739</v>
      </c>
      <c r="F99" s="19">
        <v>8800</v>
      </c>
      <c r="G99" s="18">
        <v>44</v>
      </c>
      <c r="H99" s="18" t="s">
        <v>29</v>
      </c>
      <c r="I99" s="18" t="s">
        <v>30</v>
      </c>
      <c r="J99" s="23">
        <v>45013</v>
      </c>
      <c r="K99" s="19" t="s">
        <v>1740</v>
      </c>
      <c r="L99" s="19"/>
      <c r="M99" s="19" t="s">
        <v>1741</v>
      </c>
      <c r="N99" s="26"/>
      <c r="O99" s="26"/>
      <c r="P99" s="26"/>
      <c r="Q99" s="26">
        <v>8800</v>
      </c>
      <c r="R99" s="26"/>
      <c r="S99" s="27">
        <v>89900</v>
      </c>
      <c r="T99" s="28">
        <f t="shared" si="3"/>
        <v>791120.00000000012</v>
      </c>
      <c r="U99" s="26"/>
    </row>
    <row r="100" spans="1:21" s="132" customFormat="1" x14ac:dyDescent="0.25">
      <c r="A100" s="26"/>
      <c r="B100" s="19" t="s">
        <v>842</v>
      </c>
      <c r="C100" s="19" t="s">
        <v>65</v>
      </c>
      <c r="D100" s="20" t="s">
        <v>66</v>
      </c>
      <c r="E100" s="21" t="s">
        <v>1511</v>
      </c>
      <c r="F100" s="19">
        <v>800</v>
      </c>
      <c r="G100" s="18">
        <v>4</v>
      </c>
      <c r="H100" s="18" t="s">
        <v>29</v>
      </c>
      <c r="I100" s="18" t="s">
        <v>30</v>
      </c>
      <c r="J100" s="23">
        <v>45013</v>
      </c>
      <c r="K100" s="19" t="s">
        <v>1740</v>
      </c>
      <c r="L100" s="19"/>
      <c r="M100" s="19"/>
      <c r="N100" s="26"/>
      <c r="O100" s="26"/>
      <c r="P100" s="26"/>
      <c r="Q100" s="26">
        <v>800</v>
      </c>
      <c r="R100" s="26"/>
      <c r="S100" s="27">
        <v>89900</v>
      </c>
      <c r="T100" s="28">
        <f t="shared" si="3"/>
        <v>71920</v>
      </c>
      <c r="U100" s="26"/>
    </row>
    <row r="101" spans="1:21" s="132" customFormat="1" x14ac:dyDescent="0.25">
      <c r="A101" s="26"/>
      <c r="B101" s="19" t="s">
        <v>1742</v>
      </c>
      <c r="C101" s="19" t="s">
        <v>1743</v>
      </c>
      <c r="D101" s="20" t="s">
        <v>74</v>
      </c>
      <c r="E101" s="33" t="s">
        <v>1174</v>
      </c>
      <c r="F101" s="19">
        <v>5000</v>
      </c>
      <c r="G101" s="18">
        <v>200</v>
      </c>
      <c r="H101" s="18" t="s">
        <v>1744</v>
      </c>
      <c r="I101" s="18" t="s">
        <v>30</v>
      </c>
      <c r="J101" s="23">
        <v>45014</v>
      </c>
      <c r="K101" s="18" t="s">
        <v>1745</v>
      </c>
      <c r="L101" s="19" t="s">
        <v>1746</v>
      </c>
      <c r="M101" s="19" t="s">
        <v>1747</v>
      </c>
      <c r="N101" s="26"/>
      <c r="O101" s="26">
        <v>5000</v>
      </c>
      <c r="P101" s="26"/>
      <c r="Q101" s="26"/>
      <c r="R101" s="26"/>
      <c r="S101" s="27">
        <v>47000</v>
      </c>
      <c r="T101" s="28">
        <f t="shared" si="3"/>
        <v>235000</v>
      </c>
      <c r="U101" s="26">
        <v>85000</v>
      </c>
    </row>
    <row r="102" spans="1:21" s="132" customFormat="1" x14ac:dyDescent="0.25">
      <c r="A102" s="26"/>
      <c r="B102" s="19" t="s">
        <v>383</v>
      </c>
      <c r="C102" s="19" t="s">
        <v>109</v>
      </c>
      <c r="D102" s="20" t="s">
        <v>110</v>
      </c>
      <c r="E102" s="21" t="s">
        <v>1748</v>
      </c>
      <c r="F102" s="19">
        <v>3600</v>
      </c>
      <c r="G102" s="18">
        <v>18</v>
      </c>
      <c r="H102" s="18" t="s">
        <v>112</v>
      </c>
      <c r="I102" s="18" t="s">
        <v>30</v>
      </c>
      <c r="J102" s="23">
        <v>45014</v>
      </c>
      <c r="K102" s="18" t="s">
        <v>1749</v>
      </c>
      <c r="L102" s="19" t="s">
        <v>1750</v>
      </c>
      <c r="M102" s="19" t="s">
        <v>1751</v>
      </c>
      <c r="N102" s="26"/>
      <c r="O102" s="26"/>
      <c r="P102" s="26"/>
      <c r="Q102" s="26">
        <v>3600</v>
      </c>
      <c r="R102" s="26"/>
      <c r="S102" s="27">
        <v>65000</v>
      </c>
      <c r="T102" s="28">
        <f t="shared" si="3"/>
        <v>234000</v>
      </c>
      <c r="U102" s="26">
        <v>265000</v>
      </c>
    </row>
    <row r="103" spans="1:21" s="132" customFormat="1" x14ac:dyDescent="0.25">
      <c r="A103" s="26"/>
      <c r="B103" s="19" t="s">
        <v>383</v>
      </c>
      <c r="C103" s="19" t="s">
        <v>109</v>
      </c>
      <c r="D103" s="20" t="s">
        <v>110</v>
      </c>
      <c r="E103" s="21" t="s">
        <v>1752</v>
      </c>
      <c r="F103" s="19">
        <v>7400</v>
      </c>
      <c r="G103" s="18">
        <v>37</v>
      </c>
      <c r="H103" s="18" t="s">
        <v>112</v>
      </c>
      <c r="I103" s="18" t="s">
        <v>30</v>
      </c>
      <c r="J103" s="23">
        <v>45014</v>
      </c>
      <c r="K103" s="18" t="s">
        <v>1749</v>
      </c>
      <c r="L103" s="19"/>
      <c r="M103" s="19"/>
      <c r="N103" s="26"/>
      <c r="O103" s="26"/>
      <c r="P103" s="26"/>
      <c r="Q103" s="26">
        <v>7400</v>
      </c>
      <c r="R103" s="26"/>
      <c r="S103" s="27">
        <v>65000</v>
      </c>
      <c r="T103" s="28">
        <f t="shared" si="3"/>
        <v>481000</v>
      </c>
      <c r="U103" s="26"/>
    </row>
    <row r="104" spans="1:21" s="132" customFormat="1" x14ac:dyDescent="0.25">
      <c r="A104" s="26"/>
      <c r="B104" s="19" t="s">
        <v>383</v>
      </c>
      <c r="C104" s="19" t="s">
        <v>109</v>
      </c>
      <c r="D104" s="20" t="s">
        <v>110</v>
      </c>
      <c r="E104" s="21" t="s">
        <v>1296</v>
      </c>
      <c r="F104" s="19">
        <v>6600</v>
      </c>
      <c r="G104" s="18">
        <v>33</v>
      </c>
      <c r="H104" s="18" t="s">
        <v>112</v>
      </c>
      <c r="I104" s="18" t="s">
        <v>30</v>
      </c>
      <c r="J104" s="23">
        <v>45014</v>
      </c>
      <c r="K104" s="18" t="s">
        <v>1749</v>
      </c>
      <c r="L104" s="19"/>
      <c r="M104" s="19"/>
      <c r="N104" s="26"/>
      <c r="O104" s="26"/>
      <c r="P104" s="26"/>
      <c r="Q104" s="26">
        <v>6600</v>
      </c>
      <c r="R104" s="26"/>
      <c r="S104" s="27">
        <v>65000</v>
      </c>
      <c r="T104" s="28">
        <f t="shared" si="3"/>
        <v>429000</v>
      </c>
      <c r="U104" s="26"/>
    </row>
    <row r="105" spans="1:21" s="132" customFormat="1" x14ac:dyDescent="0.25">
      <c r="A105" s="26"/>
      <c r="B105" s="19" t="s">
        <v>1475</v>
      </c>
      <c r="C105" s="19" t="s">
        <v>26</v>
      </c>
      <c r="D105" s="20" t="s">
        <v>754</v>
      </c>
      <c r="E105" s="21" t="s">
        <v>1458</v>
      </c>
      <c r="F105" s="19">
        <v>20000</v>
      </c>
      <c r="G105" s="18">
        <v>1000</v>
      </c>
      <c r="H105" s="18" t="s">
        <v>129</v>
      </c>
      <c r="I105" s="18" t="s">
        <v>30</v>
      </c>
      <c r="J105" s="23">
        <v>45014</v>
      </c>
      <c r="K105" s="18" t="s">
        <v>706</v>
      </c>
      <c r="L105" s="26" t="s">
        <v>707</v>
      </c>
      <c r="M105" s="26" t="s">
        <v>708</v>
      </c>
      <c r="N105" s="26"/>
      <c r="O105" s="26"/>
      <c r="P105" s="26">
        <v>20000</v>
      </c>
      <c r="Q105" s="26"/>
      <c r="R105" s="26" t="s">
        <v>34</v>
      </c>
      <c r="S105" s="27">
        <v>73000</v>
      </c>
      <c r="T105" s="28">
        <f t="shared" si="3"/>
        <v>1460000</v>
      </c>
      <c r="U105" s="26">
        <v>210000</v>
      </c>
    </row>
    <row r="106" spans="1:21" s="132" customFormat="1" x14ac:dyDescent="0.25">
      <c r="A106" s="25"/>
      <c r="B106" s="19" t="s">
        <v>1753</v>
      </c>
      <c r="C106" s="19" t="s">
        <v>1754</v>
      </c>
      <c r="D106" s="20" t="s">
        <v>1755</v>
      </c>
      <c r="E106" s="21" t="s">
        <v>1154</v>
      </c>
      <c r="F106" s="19">
        <v>6000</v>
      </c>
      <c r="G106" s="18">
        <v>30</v>
      </c>
      <c r="H106" s="18" t="s">
        <v>29</v>
      </c>
      <c r="I106" s="18" t="s">
        <v>30</v>
      </c>
      <c r="J106" s="23">
        <v>45015</v>
      </c>
      <c r="K106" s="19" t="s">
        <v>1756</v>
      </c>
      <c r="L106" s="26" t="s">
        <v>1757</v>
      </c>
      <c r="M106" s="26" t="s">
        <v>1758</v>
      </c>
      <c r="N106" s="26"/>
      <c r="O106" s="26"/>
      <c r="P106" s="26"/>
      <c r="Q106" s="26">
        <v>6000</v>
      </c>
      <c r="R106" s="26"/>
      <c r="S106" s="27">
        <v>165000</v>
      </c>
      <c r="T106" s="28">
        <f>S106*(F106/1000)</f>
        <v>990000</v>
      </c>
      <c r="U106" s="26"/>
    </row>
    <row r="107" spans="1:21" s="132" customFormat="1" x14ac:dyDescent="0.25">
      <c r="A107" s="25" t="s">
        <v>280</v>
      </c>
      <c r="B107" s="19" t="s">
        <v>1759</v>
      </c>
      <c r="C107" s="19" t="s">
        <v>57</v>
      </c>
      <c r="D107" s="20" t="s">
        <v>186</v>
      </c>
      <c r="E107" s="21" t="s">
        <v>1154</v>
      </c>
      <c r="F107" s="19">
        <v>15876</v>
      </c>
      <c r="G107" s="18">
        <v>700</v>
      </c>
      <c r="H107" s="18" t="s">
        <v>188</v>
      </c>
      <c r="I107" s="18" t="s">
        <v>30</v>
      </c>
      <c r="J107" s="23">
        <v>45016</v>
      </c>
      <c r="K107" s="19"/>
      <c r="L107" s="26"/>
      <c r="M107" s="26"/>
      <c r="N107" s="26" t="s">
        <v>1760</v>
      </c>
      <c r="O107" s="26">
        <v>15876</v>
      </c>
      <c r="P107" s="26"/>
      <c r="Q107" s="26"/>
      <c r="R107" s="26"/>
      <c r="S107" s="27">
        <v>49500</v>
      </c>
      <c r="T107" s="28">
        <f t="shared" si="3"/>
        <v>785862</v>
      </c>
      <c r="U107" s="26">
        <v>375000</v>
      </c>
    </row>
    <row r="108" spans="1:21" s="132" customFormat="1" x14ac:dyDescent="0.25">
      <c r="A108" s="25" t="s">
        <v>280</v>
      </c>
      <c r="B108" s="19" t="s">
        <v>1759</v>
      </c>
      <c r="C108" s="19" t="s">
        <v>57</v>
      </c>
      <c r="D108" s="20" t="s">
        <v>186</v>
      </c>
      <c r="E108" s="21" t="s">
        <v>943</v>
      </c>
      <c r="F108" s="19">
        <v>15876</v>
      </c>
      <c r="G108" s="18">
        <v>700</v>
      </c>
      <c r="H108" s="18" t="s">
        <v>188</v>
      </c>
      <c r="I108" s="18" t="s">
        <v>30</v>
      </c>
      <c r="J108" s="23">
        <v>45016</v>
      </c>
      <c r="K108" s="19"/>
      <c r="L108" s="26"/>
      <c r="M108" s="26"/>
      <c r="N108" s="26" t="s">
        <v>1761</v>
      </c>
      <c r="O108" s="26">
        <v>15876</v>
      </c>
      <c r="P108" s="26"/>
      <c r="Q108" s="26"/>
      <c r="R108" s="26"/>
      <c r="S108" s="27">
        <v>49500</v>
      </c>
      <c r="T108" s="28">
        <f t="shared" si="3"/>
        <v>785862</v>
      </c>
      <c r="U108" s="26"/>
    </row>
    <row r="109" spans="1:21" s="132" customFormat="1" x14ac:dyDescent="0.25">
      <c r="A109" s="25" t="s">
        <v>280</v>
      </c>
      <c r="B109" s="19" t="s">
        <v>1759</v>
      </c>
      <c r="C109" s="19" t="s">
        <v>57</v>
      </c>
      <c r="D109" s="20" t="s">
        <v>1088</v>
      </c>
      <c r="E109" s="21" t="s">
        <v>942</v>
      </c>
      <c r="F109" s="19">
        <v>15876</v>
      </c>
      <c r="G109" s="18">
        <v>700</v>
      </c>
      <c r="H109" s="18" t="s">
        <v>188</v>
      </c>
      <c r="I109" s="18" t="s">
        <v>30</v>
      </c>
      <c r="J109" s="23">
        <v>45016</v>
      </c>
      <c r="K109" s="19"/>
      <c r="L109" s="26"/>
      <c r="M109" s="26"/>
      <c r="N109" s="26" t="s">
        <v>1762</v>
      </c>
      <c r="O109" s="26"/>
      <c r="P109" s="26">
        <v>15876</v>
      </c>
      <c r="Q109" s="26"/>
      <c r="R109" s="26"/>
      <c r="S109" s="27">
        <v>245000</v>
      </c>
      <c r="T109" s="28">
        <f t="shared" si="3"/>
        <v>3889620</v>
      </c>
      <c r="U109" s="26"/>
    </row>
    <row r="110" spans="1:21" s="132" customFormat="1" x14ac:dyDescent="0.25">
      <c r="A110" s="26"/>
      <c r="B110" s="19" t="s">
        <v>1453</v>
      </c>
      <c r="C110" s="19" t="s">
        <v>57</v>
      </c>
      <c r="D110" s="18" t="s">
        <v>191</v>
      </c>
      <c r="E110" s="21" t="s">
        <v>1542</v>
      </c>
      <c r="F110" s="19">
        <v>12000</v>
      </c>
      <c r="G110" s="18">
        <v>480</v>
      </c>
      <c r="H110" s="18" t="s">
        <v>95</v>
      </c>
      <c r="I110" s="18" t="s">
        <v>30</v>
      </c>
      <c r="J110" s="23">
        <v>45016</v>
      </c>
      <c r="K110" s="18" t="s">
        <v>1763</v>
      </c>
      <c r="L110" s="26" t="s">
        <v>1764</v>
      </c>
      <c r="M110" s="26" t="s">
        <v>1765</v>
      </c>
      <c r="N110" s="26"/>
      <c r="O110" s="26"/>
      <c r="P110" s="26"/>
      <c r="Q110" s="26">
        <v>12000</v>
      </c>
      <c r="R110" s="26" t="s">
        <v>34</v>
      </c>
      <c r="S110" s="27">
        <v>165000</v>
      </c>
      <c r="T110" s="28">
        <f t="shared" si="3"/>
        <v>1980000</v>
      </c>
      <c r="U110" s="28">
        <v>330000</v>
      </c>
    </row>
    <row r="111" spans="1:21" s="132" customFormat="1" x14ac:dyDescent="0.25">
      <c r="A111" s="26"/>
      <c r="B111" s="19" t="s">
        <v>1453</v>
      </c>
      <c r="C111" s="19" t="s">
        <v>57</v>
      </c>
      <c r="D111" s="18" t="s">
        <v>525</v>
      </c>
      <c r="E111" s="21" t="s">
        <v>1095</v>
      </c>
      <c r="F111" s="19">
        <v>3600</v>
      </c>
      <c r="G111" s="18">
        <v>144</v>
      </c>
      <c r="H111" s="18" t="s">
        <v>95</v>
      </c>
      <c r="I111" s="18" t="s">
        <v>30</v>
      </c>
      <c r="J111" s="23">
        <v>45016</v>
      </c>
      <c r="K111" s="18" t="s">
        <v>1763</v>
      </c>
      <c r="L111" s="26"/>
      <c r="M111" s="26"/>
      <c r="N111" s="26"/>
      <c r="O111" s="26"/>
      <c r="P111" s="26"/>
      <c r="Q111" s="26">
        <v>3600</v>
      </c>
      <c r="R111" s="26" t="s">
        <v>34</v>
      </c>
      <c r="S111" s="27">
        <v>220000</v>
      </c>
      <c r="T111" s="28">
        <f t="shared" si="3"/>
        <v>792000</v>
      </c>
      <c r="U111" s="26"/>
    </row>
    <row r="112" spans="1:21" s="132" customFormat="1" x14ac:dyDescent="0.25">
      <c r="A112" s="26"/>
      <c r="B112" s="19" t="s">
        <v>1766</v>
      </c>
      <c r="C112" s="19" t="s">
        <v>57</v>
      </c>
      <c r="D112" s="18" t="s">
        <v>770</v>
      </c>
      <c r="E112" s="21" t="s">
        <v>1425</v>
      </c>
      <c r="F112" s="19">
        <v>8170</v>
      </c>
      <c r="G112" s="18">
        <v>43</v>
      </c>
      <c r="H112" s="18" t="s">
        <v>95</v>
      </c>
      <c r="I112" s="18" t="s">
        <v>30</v>
      </c>
      <c r="J112" s="23">
        <v>45016</v>
      </c>
      <c r="K112" s="18" t="s">
        <v>1767</v>
      </c>
      <c r="L112" s="26" t="s">
        <v>1768</v>
      </c>
      <c r="M112" s="26" t="s">
        <v>1769</v>
      </c>
      <c r="N112" s="26"/>
      <c r="O112" s="26"/>
      <c r="P112" s="26"/>
      <c r="Q112" s="26">
        <v>8170</v>
      </c>
      <c r="R112" s="26" t="s">
        <v>34</v>
      </c>
      <c r="S112" s="27">
        <v>299900</v>
      </c>
      <c r="T112" s="28">
        <f t="shared" si="3"/>
        <v>2450183</v>
      </c>
      <c r="U112" s="26"/>
    </row>
    <row r="113" spans="1:21" s="132" customFormat="1" x14ac:dyDescent="0.25">
      <c r="A113" s="26"/>
      <c r="B113" s="19" t="s">
        <v>1766</v>
      </c>
      <c r="C113" s="19" t="s">
        <v>57</v>
      </c>
      <c r="D113" s="18" t="s">
        <v>770</v>
      </c>
      <c r="E113" s="21" t="s">
        <v>1485</v>
      </c>
      <c r="F113" s="19">
        <v>7030</v>
      </c>
      <c r="G113" s="18">
        <v>37</v>
      </c>
      <c r="H113" s="18" t="s">
        <v>95</v>
      </c>
      <c r="I113" s="18" t="s">
        <v>30</v>
      </c>
      <c r="J113" s="23">
        <v>45016</v>
      </c>
      <c r="K113" s="18" t="s">
        <v>1767</v>
      </c>
      <c r="L113" s="26"/>
      <c r="M113" s="26"/>
      <c r="N113" s="26"/>
      <c r="O113" s="26"/>
      <c r="P113" s="26"/>
      <c r="Q113" s="26">
        <v>7030</v>
      </c>
      <c r="R113" s="26" t="s">
        <v>34</v>
      </c>
      <c r="S113" s="27">
        <v>299900</v>
      </c>
      <c r="T113" s="28">
        <f t="shared" si="3"/>
        <v>2108297</v>
      </c>
      <c r="U113" s="26"/>
    </row>
    <row r="114" spans="1:21" s="132" customFormat="1" x14ac:dyDescent="0.25">
      <c r="A114" s="26"/>
      <c r="B114" s="19" t="s">
        <v>1635</v>
      </c>
      <c r="C114" s="19" t="s">
        <v>57</v>
      </c>
      <c r="D114" s="18" t="s">
        <v>1663</v>
      </c>
      <c r="E114" s="21" t="s">
        <v>1619</v>
      </c>
      <c r="F114" s="19">
        <v>2220</v>
      </c>
      <c r="G114" s="18">
        <v>12</v>
      </c>
      <c r="H114" s="18" t="s">
        <v>448</v>
      </c>
      <c r="I114" s="18" t="s">
        <v>30</v>
      </c>
      <c r="J114" s="23">
        <v>45016</v>
      </c>
      <c r="K114" s="18" t="s">
        <v>760</v>
      </c>
      <c r="L114" s="26" t="s">
        <v>761</v>
      </c>
      <c r="M114" s="26" t="s">
        <v>43</v>
      </c>
      <c r="N114" s="26"/>
      <c r="O114" s="26"/>
      <c r="P114" s="26"/>
      <c r="Q114" s="26">
        <v>2220</v>
      </c>
      <c r="R114" s="26" t="s">
        <v>34</v>
      </c>
      <c r="S114" s="27">
        <v>110800</v>
      </c>
      <c r="T114" s="28">
        <f t="shared" si="3"/>
        <v>245976.00000000003</v>
      </c>
      <c r="U114" s="26">
        <v>265000</v>
      </c>
    </row>
    <row r="115" spans="1:21" s="132" customFormat="1" x14ac:dyDescent="0.25">
      <c r="A115" s="26"/>
      <c r="B115" s="19" t="s">
        <v>1635</v>
      </c>
      <c r="C115" s="19" t="s">
        <v>57</v>
      </c>
      <c r="D115" s="18" t="s">
        <v>1094</v>
      </c>
      <c r="E115" s="21" t="s">
        <v>1732</v>
      </c>
      <c r="F115" s="19">
        <v>825</v>
      </c>
      <c r="G115" s="18">
        <v>33</v>
      </c>
      <c r="H115" s="18" t="s">
        <v>448</v>
      </c>
      <c r="I115" s="18" t="s">
        <v>30</v>
      </c>
      <c r="J115" s="23">
        <v>45016</v>
      </c>
      <c r="K115" s="18" t="s">
        <v>760</v>
      </c>
      <c r="L115" s="26"/>
      <c r="M115" s="26"/>
      <c r="N115" s="26"/>
      <c r="O115" s="26"/>
      <c r="P115" s="26"/>
      <c r="Q115" s="26">
        <v>825</v>
      </c>
      <c r="R115" s="26" t="s">
        <v>34</v>
      </c>
      <c r="S115" s="27">
        <v>250000</v>
      </c>
      <c r="T115" s="28">
        <f t="shared" si="3"/>
        <v>206250</v>
      </c>
      <c r="U115" s="26"/>
    </row>
    <row r="116" spans="1:21" s="132" customFormat="1" x14ac:dyDescent="0.25">
      <c r="A116" s="25"/>
      <c r="B116" s="19" t="s">
        <v>1422</v>
      </c>
      <c r="C116" s="19" t="s">
        <v>57</v>
      </c>
      <c r="D116" s="18" t="s">
        <v>58</v>
      </c>
      <c r="E116" s="21" t="s">
        <v>942</v>
      </c>
      <c r="F116" s="19">
        <v>8731.7999999999993</v>
      </c>
      <c r="G116" s="18">
        <v>385</v>
      </c>
      <c r="H116" s="18" t="s">
        <v>448</v>
      </c>
      <c r="I116" s="18" t="s">
        <v>30</v>
      </c>
      <c r="J116" s="23">
        <v>45016</v>
      </c>
      <c r="K116" s="19" t="s">
        <v>760</v>
      </c>
      <c r="L116" s="26"/>
      <c r="M116" s="26"/>
      <c r="N116" s="26"/>
      <c r="O116" s="26"/>
      <c r="P116" s="26"/>
      <c r="Q116" s="26">
        <v>8731.7999999999993</v>
      </c>
      <c r="R116" s="26" t="s">
        <v>34</v>
      </c>
      <c r="S116" s="27">
        <v>49500</v>
      </c>
      <c r="T116" s="28">
        <f t="shared" si="3"/>
        <v>432224.1</v>
      </c>
      <c r="U116" s="26"/>
    </row>
    <row r="117" spans="1:21" s="132" customFormat="1" x14ac:dyDescent="0.25">
      <c r="A117" s="25"/>
      <c r="B117" s="19" t="s">
        <v>1422</v>
      </c>
      <c r="C117" s="19" t="s">
        <v>57</v>
      </c>
      <c r="D117" s="18" t="s">
        <v>1663</v>
      </c>
      <c r="E117" s="21" t="s">
        <v>1149</v>
      </c>
      <c r="F117" s="19">
        <v>4440</v>
      </c>
      <c r="G117" s="18">
        <v>24</v>
      </c>
      <c r="H117" s="18" t="s">
        <v>448</v>
      </c>
      <c r="I117" s="18" t="s">
        <v>30</v>
      </c>
      <c r="J117" s="23">
        <v>45016</v>
      </c>
      <c r="K117" s="19" t="s">
        <v>760</v>
      </c>
      <c r="L117" s="26"/>
      <c r="M117" s="26"/>
      <c r="N117" s="26"/>
      <c r="O117" s="26"/>
      <c r="P117" s="26"/>
      <c r="Q117" s="26">
        <v>4440</v>
      </c>
      <c r="R117" s="26" t="s">
        <v>34</v>
      </c>
      <c r="S117" s="27">
        <v>110800</v>
      </c>
      <c r="T117" s="28">
        <f t="shared" si="3"/>
        <v>491952.00000000006</v>
      </c>
      <c r="U117" s="26"/>
    </row>
    <row r="118" spans="1:21" s="132" customFormat="1" x14ac:dyDescent="0.25">
      <c r="A118" s="25"/>
      <c r="B118" s="19" t="s">
        <v>1422</v>
      </c>
      <c r="C118" s="19" t="s">
        <v>57</v>
      </c>
      <c r="D118" s="20" t="s">
        <v>1088</v>
      </c>
      <c r="E118" s="21" t="s">
        <v>1154</v>
      </c>
      <c r="F118" s="19">
        <v>18144</v>
      </c>
      <c r="G118" s="18">
        <v>800</v>
      </c>
      <c r="H118" s="18" t="s">
        <v>448</v>
      </c>
      <c r="I118" s="18" t="s">
        <v>30</v>
      </c>
      <c r="J118" s="23">
        <v>45016</v>
      </c>
      <c r="K118" s="19" t="s">
        <v>1770</v>
      </c>
      <c r="L118" s="26" t="s">
        <v>1771</v>
      </c>
      <c r="M118" s="26" t="s">
        <v>1772</v>
      </c>
      <c r="N118" s="26"/>
      <c r="O118" s="26"/>
      <c r="P118" s="26">
        <v>18144</v>
      </c>
      <c r="Q118" s="26"/>
      <c r="R118" s="26" t="s">
        <v>34</v>
      </c>
      <c r="S118" s="27">
        <v>245000</v>
      </c>
      <c r="T118" s="28">
        <f t="shared" ref="T118:T119" si="4">S118*(F118/1000)</f>
        <v>4445280</v>
      </c>
      <c r="U118" s="28">
        <v>360000</v>
      </c>
    </row>
    <row r="119" spans="1:21" s="132" customFormat="1" x14ac:dyDescent="0.25">
      <c r="A119" s="25"/>
      <c r="B119" s="19" t="s">
        <v>1422</v>
      </c>
      <c r="C119" s="19" t="s">
        <v>57</v>
      </c>
      <c r="D119" s="20" t="s">
        <v>1094</v>
      </c>
      <c r="E119" s="21" t="s">
        <v>1485</v>
      </c>
      <c r="F119" s="19">
        <v>1800</v>
      </c>
      <c r="G119" s="18">
        <v>72</v>
      </c>
      <c r="H119" s="18" t="s">
        <v>448</v>
      </c>
      <c r="I119" s="18" t="s">
        <v>30</v>
      </c>
      <c r="J119" s="23">
        <v>45016</v>
      </c>
      <c r="K119" s="19" t="s">
        <v>1770</v>
      </c>
      <c r="L119" s="26"/>
      <c r="M119" s="26"/>
      <c r="N119" s="26"/>
      <c r="O119" s="26"/>
      <c r="P119" s="26"/>
      <c r="Q119" s="26">
        <v>1800</v>
      </c>
      <c r="R119" s="26" t="s">
        <v>34</v>
      </c>
      <c r="S119" s="27">
        <v>250000</v>
      </c>
      <c r="T119" s="28">
        <f t="shared" si="4"/>
        <v>450000</v>
      </c>
      <c r="U119" s="26"/>
    </row>
    <row r="120" spans="1:21" s="132" customFormat="1" x14ac:dyDescent="0.25">
      <c r="A120" s="26"/>
      <c r="B120" s="19" t="s">
        <v>48</v>
      </c>
      <c r="C120" s="19" t="s">
        <v>863</v>
      </c>
      <c r="D120" s="18" t="s">
        <v>1773</v>
      </c>
      <c r="E120" s="21" t="s">
        <v>943</v>
      </c>
      <c r="F120" s="19">
        <v>6012</v>
      </c>
      <c r="G120" s="18">
        <v>334</v>
      </c>
      <c r="H120" s="18" t="s">
        <v>29</v>
      </c>
      <c r="I120" s="18" t="s">
        <v>30</v>
      </c>
      <c r="J120" s="23">
        <v>45016</v>
      </c>
      <c r="K120" s="18" t="s">
        <v>1774</v>
      </c>
      <c r="L120" s="26" t="s">
        <v>1775</v>
      </c>
      <c r="M120" s="26" t="s">
        <v>1776</v>
      </c>
      <c r="N120" s="26"/>
      <c r="O120" s="26"/>
      <c r="P120" s="26">
        <v>6012</v>
      </c>
      <c r="Q120" s="26"/>
      <c r="R120" s="26"/>
      <c r="S120" s="27">
        <v>280000</v>
      </c>
      <c r="T120" s="28">
        <f t="shared" si="3"/>
        <v>1683359.9999999998</v>
      </c>
      <c r="U120" s="26"/>
    </row>
    <row r="121" spans="1:21" ht="18.75" x14ac:dyDescent="0.3">
      <c r="A121" s="119" t="s">
        <v>252</v>
      </c>
      <c r="B121" s="133">
        <f>SUM(F4:F120)/1000</f>
        <v>1075.4614999999999</v>
      </c>
      <c r="C121" s="54" t="s">
        <v>253</v>
      </c>
      <c r="S121" s="55"/>
      <c r="T121" s="55">
        <f>SUM(T4:T120)</f>
        <v>130201655.59999999</v>
      </c>
      <c r="U121" s="55">
        <f>SUM(U4:U120)</f>
        <v>11441500</v>
      </c>
    </row>
    <row r="122" spans="1:21" ht="18.75" x14ac:dyDescent="0.3">
      <c r="A122" s="120" t="s">
        <v>254</v>
      </c>
      <c r="B122" s="134">
        <f>B123+B124+B125</f>
        <v>1075.4614999999999</v>
      </c>
      <c r="C122" s="58" t="s">
        <v>253</v>
      </c>
    </row>
    <row r="123" spans="1:21" ht="18.75" x14ac:dyDescent="0.3">
      <c r="A123" s="121" t="s">
        <v>255</v>
      </c>
      <c r="B123" s="135">
        <f>SUM(O4:O120)/1000</f>
        <v>423.12650000000002</v>
      </c>
      <c r="C123" s="61" t="s">
        <v>253</v>
      </c>
    </row>
    <row r="124" spans="1:21" ht="18.75" x14ac:dyDescent="0.3">
      <c r="A124" s="121" t="s">
        <v>256</v>
      </c>
      <c r="B124" s="135">
        <f>SUM(P4:P120)/1000</f>
        <v>281.62819999999999</v>
      </c>
      <c r="C124" s="61" t="s">
        <v>253</v>
      </c>
    </row>
    <row r="125" spans="1:21" ht="18.75" x14ac:dyDescent="0.3">
      <c r="A125" s="121" t="s">
        <v>257</v>
      </c>
      <c r="B125" s="136">
        <f>SUM(Q4:Q120)/1000</f>
        <v>370.70679999999999</v>
      </c>
      <c r="C125" s="61" t="s">
        <v>253</v>
      </c>
    </row>
    <row r="126" spans="1:21" ht="18.75" x14ac:dyDescent="0.3">
      <c r="A126" s="122" t="s">
        <v>258</v>
      </c>
      <c r="B126" s="137">
        <f>B121-B122</f>
        <v>0</v>
      </c>
      <c r="C126" s="65" t="s">
        <v>253</v>
      </c>
    </row>
  </sheetData>
  <autoFilter ref="D1:D126" xr:uid="{00000000-0009-0000-0000-000009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dataValidations count="2">
    <dataValidation type="list" allowBlank="1" showInputMessage="1" showErrorMessage="1" sqref="D55:D56 D116:D119 D107:D109 D102:D104 D95:D97 D99:D100 D93 D90:D91" xr:uid="{00340042-00DC-464E-A85A-004400D500D8}">
      <formula1>$E$4:$E$160</formula1>
    </dataValidation>
    <dataValidation type="list" allowBlank="1" showInputMessage="1" showErrorMessage="1" sqref="D92 D120 D110:D115 D105:D106 D101 D98 D94 D57:D89" xr:uid="{006B0071-0027-4E0D-A8DB-008700D20057}">
      <formula1>$E$4:$E$151</formula1>
    </dataValidation>
  </dataValidations>
  <pageMargins left="0.7" right="0.7" top="0.75" bottom="0.75" header="0.3" footer="0.3"/>
  <pageSetup paperSize="9" scale="36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900-000000000000}">
          <x14:formula1>
            <xm:f>справочник!$E$4:$E$173</xm:f>
          </x14:formula1>
          <xm:sqref>D4:D51</xm:sqref>
        </x14:dataValidation>
        <x14:dataValidation type="list" allowBlank="1" showInputMessage="1" showErrorMessage="1" xr:uid="{00000000-0002-0000-0900-000001000000}">
          <x14:formula1>
            <xm:f>справочник!$E$4:$E$164</xm:f>
          </x14:formula1>
          <xm:sqref>D54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6">
    <pageSetUpPr fitToPage="1"/>
  </sheetPr>
  <dimension ref="A1:U112"/>
  <sheetViews>
    <sheetView zoomScale="80" workbookViewId="0">
      <selection activeCell="F4" sqref="F4:F97"/>
    </sheetView>
  </sheetViews>
  <sheetFormatPr defaultRowHeight="15" x14ac:dyDescent="0.25"/>
  <cols>
    <col min="1" max="1" width="22.42578125" customWidth="1"/>
    <col min="2" max="2" width="23.7109375" customWidth="1"/>
    <col min="3" max="3" width="25.7109375" customWidth="1"/>
    <col min="4" max="4" width="36.5703125" bestFit="1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5.5703125" customWidth="1"/>
    <col min="14" max="14" width="14.140625" customWidth="1"/>
    <col min="18" max="18" width="27.140625" customWidth="1"/>
    <col min="19" max="19" width="25.140625" customWidth="1"/>
    <col min="20" max="20" width="20" customWidth="1"/>
    <col min="21" max="21" width="20.85546875" customWidth="1"/>
  </cols>
  <sheetData>
    <row r="1" spans="1:21" s="3" customFormat="1" ht="17.25" x14ac:dyDescent="0.3">
      <c r="A1" s="5"/>
      <c r="B1" s="5" t="s">
        <v>0</v>
      </c>
      <c r="C1" s="6">
        <v>44958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1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  <c r="T2" s="11"/>
      <c r="U2" s="11" t="s">
        <v>1598</v>
      </c>
    </row>
    <row r="3" spans="1:21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  <c r="U3" s="11"/>
    </row>
    <row r="4" spans="1:21" s="17" customFormat="1" x14ac:dyDescent="0.25">
      <c r="A4" s="26"/>
      <c r="B4" s="19" t="s">
        <v>1777</v>
      </c>
      <c r="C4" s="19" t="s">
        <v>57</v>
      </c>
      <c r="D4" s="20" t="s">
        <v>58</v>
      </c>
      <c r="E4" s="21" t="s">
        <v>728</v>
      </c>
      <c r="F4" s="19">
        <v>19845</v>
      </c>
      <c r="G4" s="18">
        <v>875</v>
      </c>
      <c r="H4" s="18" t="s">
        <v>95</v>
      </c>
      <c r="I4" s="18" t="s">
        <v>30</v>
      </c>
      <c r="J4" s="23">
        <v>44958</v>
      </c>
      <c r="K4" s="18" t="s">
        <v>449</v>
      </c>
      <c r="L4" s="19" t="s">
        <v>1169</v>
      </c>
      <c r="M4" s="19" t="s">
        <v>1319</v>
      </c>
      <c r="N4" s="26"/>
      <c r="O4" s="26">
        <v>19845</v>
      </c>
      <c r="P4" s="26"/>
      <c r="Q4" s="26"/>
      <c r="R4" s="26" t="s">
        <v>34</v>
      </c>
      <c r="S4" s="142">
        <v>49500</v>
      </c>
      <c r="T4" s="28">
        <f t="shared" ref="T4:T67" si="0">S4*(F4/1000)</f>
        <v>982327.5</v>
      </c>
      <c r="U4" s="26">
        <v>260000</v>
      </c>
    </row>
    <row r="5" spans="1:21" s="17" customFormat="1" x14ac:dyDescent="0.25">
      <c r="A5" s="26"/>
      <c r="B5" s="19" t="s">
        <v>1778</v>
      </c>
      <c r="C5" s="19" t="s">
        <v>633</v>
      </c>
      <c r="D5" s="20" t="s">
        <v>1779</v>
      </c>
      <c r="E5" s="21" t="s">
        <v>1780</v>
      </c>
      <c r="F5" s="19">
        <v>180</v>
      </c>
      <c r="G5" s="18">
        <v>1</v>
      </c>
      <c r="H5" s="18" t="s">
        <v>322</v>
      </c>
      <c r="I5" s="18" t="s">
        <v>30</v>
      </c>
      <c r="J5" s="23">
        <v>44958</v>
      </c>
      <c r="K5" s="18" t="s">
        <v>1141</v>
      </c>
      <c r="L5" s="26" t="s">
        <v>1781</v>
      </c>
      <c r="M5" s="26" t="s">
        <v>359</v>
      </c>
      <c r="N5" s="26"/>
      <c r="O5" s="26"/>
      <c r="P5" s="26"/>
      <c r="Q5" s="26">
        <v>180</v>
      </c>
      <c r="R5" s="26" t="s">
        <v>34</v>
      </c>
      <c r="S5" s="27">
        <v>110000</v>
      </c>
      <c r="T5" s="28">
        <f t="shared" si="0"/>
        <v>19800</v>
      </c>
      <c r="U5" s="26">
        <v>235000</v>
      </c>
    </row>
    <row r="6" spans="1:21" s="17" customFormat="1" x14ac:dyDescent="0.25">
      <c r="A6" s="26"/>
      <c r="B6" s="19" t="s">
        <v>1778</v>
      </c>
      <c r="C6" s="19" t="s">
        <v>633</v>
      </c>
      <c r="D6" s="20" t="s">
        <v>1779</v>
      </c>
      <c r="E6" s="33" t="s">
        <v>1631</v>
      </c>
      <c r="F6" s="19">
        <v>7560</v>
      </c>
      <c r="G6" s="18">
        <v>42</v>
      </c>
      <c r="H6" s="18" t="s">
        <v>322</v>
      </c>
      <c r="I6" s="18" t="s">
        <v>30</v>
      </c>
      <c r="J6" s="23">
        <v>44958</v>
      </c>
      <c r="K6" s="18" t="s">
        <v>1141</v>
      </c>
      <c r="L6" s="26"/>
      <c r="M6" s="26"/>
      <c r="N6" s="26"/>
      <c r="O6" s="26"/>
      <c r="P6" s="26"/>
      <c r="Q6" s="26">
        <v>7560</v>
      </c>
      <c r="R6" s="26" t="s">
        <v>34</v>
      </c>
      <c r="S6" s="27">
        <v>110000</v>
      </c>
      <c r="T6" s="28">
        <f t="shared" si="0"/>
        <v>831600</v>
      </c>
      <c r="U6" s="26"/>
    </row>
    <row r="7" spans="1:21" s="17" customFormat="1" x14ac:dyDescent="0.25">
      <c r="A7" s="26"/>
      <c r="B7" s="19" t="s">
        <v>1778</v>
      </c>
      <c r="C7" s="19" t="s">
        <v>633</v>
      </c>
      <c r="D7" s="20" t="s">
        <v>1779</v>
      </c>
      <c r="E7" s="33" t="s">
        <v>728</v>
      </c>
      <c r="F7" s="19">
        <v>8100</v>
      </c>
      <c r="G7" s="18">
        <v>45</v>
      </c>
      <c r="H7" s="18" t="s">
        <v>322</v>
      </c>
      <c r="I7" s="18" t="s">
        <v>30</v>
      </c>
      <c r="J7" s="23">
        <v>44958</v>
      </c>
      <c r="K7" s="18" t="s">
        <v>1141</v>
      </c>
      <c r="L7" s="26"/>
      <c r="M7" s="26"/>
      <c r="N7" s="26"/>
      <c r="O7" s="26"/>
      <c r="P7" s="26"/>
      <c r="Q7" s="26">
        <v>8100</v>
      </c>
      <c r="R7" s="26" t="s">
        <v>34</v>
      </c>
      <c r="S7" s="27">
        <v>110000</v>
      </c>
      <c r="T7" s="28">
        <f t="shared" si="0"/>
        <v>891000</v>
      </c>
      <c r="U7" s="26"/>
    </row>
    <row r="8" spans="1:21" s="17" customFormat="1" x14ac:dyDescent="0.25">
      <c r="A8" s="26"/>
      <c r="B8" s="19" t="s">
        <v>103</v>
      </c>
      <c r="C8" s="19" t="s">
        <v>1304</v>
      </c>
      <c r="D8" s="20" t="s">
        <v>165</v>
      </c>
      <c r="E8" s="21" t="s">
        <v>1782</v>
      </c>
      <c r="F8" s="19">
        <v>20000</v>
      </c>
      <c r="G8" s="18">
        <v>800</v>
      </c>
      <c r="H8" s="18" t="s">
        <v>129</v>
      </c>
      <c r="I8" s="18" t="s">
        <v>30</v>
      </c>
      <c r="J8" s="23">
        <v>44958</v>
      </c>
      <c r="K8" s="18" t="s">
        <v>1011</v>
      </c>
      <c r="L8" s="26" t="s">
        <v>1012</v>
      </c>
      <c r="M8" s="26" t="s">
        <v>1013</v>
      </c>
      <c r="N8" s="26"/>
      <c r="O8" s="26">
        <v>20000</v>
      </c>
      <c r="P8" s="26"/>
      <c r="Q8" s="26"/>
      <c r="R8" s="26" t="s">
        <v>34</v>
      </c>
      <c r="S8" s="27">
        <v>45000</v>
      </c>
      <c r="T8" s="28">
        <f t="shared" si="0"/>
        <v>900000</v>
      </c>
      <c r="U8" s="26"/>
    </row>
    <row r="9" spans="1:21" s="17" customFormat="1" x14ac:dyDescent="0.25">
      <c r="A9" s="26"/>
      <c r="B9" s="19" t="s">
        <v>1783</v>
      </c>
      <c r="C9" s="19" t="s">
        <v>57</v>
      </c>
      <c r="D9" s="20" t="s">
        <v>58</v>
      </c>
      <c r="E9" s="21" t="s">
        <v>1784</v>
      </c>
      <c r="F9" s="19">
        <v>9072</v>
      </c>
      <c r="G9" s="18">
        <v>400</v>
      </c>
      <c r="H9" s="18" t="s">
        <v>95</v>
      </c>
      <c r="I9" s="18" t="s">
        <v>30</v>
      </c>
      <c r="J9" s="23">
        <v>44958</v>
      </c>
      <c r="K9" s="18" t="s">
        <v>1785</v>
      </c>
      <c r="L9" s="19" t="s">
        <v>1633</v>
      </c>
      <c r="M9" s="19" t="s">
        <v>1634</v>
      </c>
      <c r="N9" s="26"/>
      <c r="O9" s="26">
        <v>9072</v>
      </c>
      <c r="P9" s="26"/>
      <c r="Q9" s="26"/>
      <c r="R9" s="26" t="s">
        <v>34</v>
      </c>
      <c r="S9" s="27">
        <v>49500</v>
      </c>
      <c r="T9" s="28">
        <f t="shared" si="0"/>
        <v>449063.99999999994</v>
      </c>
      <c r="U9" s="26">
        <v>265000</v>
      </c>
    </row>
    <row r="10" spans="1:21" s="17" customFormat="1" x14ac:dyDescent="0.25">
      <c r="A10" s="26"/>
      <c r="B10" s="19" t="s">
        <v>1783</v>
      </c>
      <c r="C10" s="19" t="s">
        <v>57</v>
      </c>
      <c r="D10" s="20" t="s">
        <v>1786</v>
      </c>
      <c r="E10" s="21" t="s">
        <v>1300</v>
      </c>
      <c r="F10" s="19">
        <v>10000</v>
      </c>
      <c r="G10" s="18">
        <v>400</v>
      </c>
      <c r="H10" s="18" t="s">
        <v>95</v>
      </c>
      <c r="I10" s="18" t="s">
        <v>30</v>
      </c>
      <c r="J10" s="23">
        <v>44958</v>
      </c>
      <c r="K10" s="18" t="s">
        <v>1785</v>
      </c>
      <c r="L10" s="19"/>
      <c r="M10" s="19"/>
      <c r="N10" s="26"/>
      <c r="O10" s="26"/>
      <c r="P10" s="26">
        <v>10000</v>
      </c>
      <c r="Q10" s="26"/>
      <c r="R10" s="26" t="s">
        <v>34</v>
      </c>
      <c r="S10" s="27">
        <v>125000</v>
      </c>
      <c r="T10" s="28">
        <f t="shared" si="0"/>
        <v>1250000</v>
      </c>
      <c r="U10" s="26"/>
    </row>
    <row r="11" spans="1:21" s="38" customFormat="1" x14ac:dyDescent="0.25">
      <c r="A11" s="41"/>
      <c r="B11" s="22" t="s">
        <v>1645</v>
      </c>
      <c r="C11" s="22" t="s">
        <v>893</v>
      </c>
      <c r="D11" s="20" t="s">
        <v>1498</v>
      </c>
      <c r="E11" s="33" t="s">
        <v>1787</v>
      </c>
      <c r="F11" s="22">
        <v>7790</v>
      </c>
      <c r="G11" s="20">
        <v>41</v>
      </c>
      <c r="H11" s="20" t="s">
        <v>1788</v>
      </c>
      <c r="I11" s="20" t="s">
        <v>30</v>
      </c>
      <c r="J11" s="39">
        <v>44959</v>
      </c>
      <c r="K11" s="22" t="s">
        <v>1655</v>
      </c>
      <c r="L11" s="42" t="s">
        <v>1656</v>
      </c>
      <c r="M11" s="42" t="s">
        <v>1657</v>
      </c>
      <c r="N11" s="42"/>
      <c r="O11" s="42"/>
      <c r="P11" s="42"/>
      <c r="Q11" s="42">
        <v>7790</v>
      </c>
      <c r="R11" s="42" t="s">
        <v>34</v>
      </c>
      <c r="S11" s="31">
        <v>165000</v>
      </c>
      <c r="T11" s="28">
        <f t="shared" si="0"/>
        <v>1285350</v>
      </c>
      <c r="U11" s="42">
        <v>225000</v>
      </c>
    </row>
    <row r="12" spans="1:21" s="38" customFormat="1" x14ac:dyDescent="0.25">
      <c r="A12" s="41"/>
      <c r="B12" s="22" t="s">
        <v>1645</v>
      </c>
      <c r="C12" s="22" t="s">
        <v>893</v>
      </c>
      <c r="D12" s="20" t="s">
        <v>1498</v>
      </c>
      <c r="E12" s="33" t="s">
        <v>1654</v>
      </c>
      <c r="F12" s="22">
        <v>8170</v>
      </c>
      <c r="G12" s="20">
        <v>43</v>
      </c>
      <c r="H12" s="20" t="s">
        <v>1788</v>
      </c>
      <c r="I12" s="20" t="s">
        <v>30</v>
      </c>
      <c r="J12" s="39">
        <v>44959</v>
      </c>
      <c r="K12" s="22" t="s">
        <v>1655</v>
      </c>
      <c r="L12" s="42"/>
      <c r="M12" s="42"/>
      <c r="N12" s="42"/>
      <c r="O12" s="42"/>
      <c r="P12" s="42"/>
      <c r="Q12" s="42">
        <v>8170</v>
      </c>
      <c r="R12" s="42" t="s">
        <v>34</v>
      </c>
      <c r="S12" s="31">
        <v>165000</v>
      </c>
      <c r="T12" s="28">
        <f t="shared" si="0"/>
        <v>1348050</v>
      </c>
      <c r="U12" s="42"/>
    </row>
    <row r="13" spans="1:21" s="38" customFormat="1" x14ac:dyDescent="0.25">
      <c r="A13" s="41"/>
      <c r="B13" s="22" t="s">
        <v>1645</v>
      </c>
      <c r="C13" s="22" t="s">
        <v>893</v>
      </c>
      <c r="D13" s="20" t="s">
        <v>1498</v>
      </c>
      <c r="E13" s="33" t="s">
        <v>1782</v>
      </c>
      <c r="F13" s="22">
        <v>760</v>
      </c>
      <c r="G13" s="20">
        <v>4</v>
      </c>
      <c r="H13" s="20" t="s">
        <v>1788</v>
      </c>
      <c r="I13" s="20" t="s">
        <v>30</v>
      </c>
      <c r="J13" s="39">
        <v>44959</v>
      </c>
      <c r="K13" s="22" t="s">
        <v>1655</v>
      </c>
      <c r="L13" s="42"/>
      <c r="M13" s="42"/>
      <c r="N13" s="42"/>
      <c r="O13" s="42"/>
      <c r="P13" s="42"/>
      <c r="Q13" s="42">
        <v>760</v>
      </c>
      <c r="R13" s="42" t="s">
        <v>34</v>
      </c>
      <c r="S13" s="31">
        <v>165000</v>
      </c>
      <c r="T13" s="28">
        <f t="shared" si="0"/>
        <v>125400</v>
      </c>
      <c r="U13" s="42"/>
    </row>
    <row r="14" spans="1:21" s="38" customFormat="1" x14ac:dyDescent="0.25">
      <c r="A14" s="42"/>
      <c r="B14" s="22" t="s">
        <v>413</v>
      </c>
      <c r="C14" s="22" t="s">
        <v>1789</v>
      </c>
      <c r="D14" s="20" t="s">
        <v>66</v>
      </c>
      <c r="E14" s="33" t="s">
        <v>1790</v>
      </c>
      <c r="F14" s="22">
        <v>8800</v>
      </c>
      <c r="G14" s="20">
        <v>44</v>
      </c>
      <c r="H14" s="20" t="s">
        <v>167</v>
      </c>
      <c r="I14" s="20" t="s">
        <v>30</v>
      </c>
      <c r="J14" s="39">
        <v>44959</v>
      </c>
      <c r="K14" s="20" t="s">
        <v>1791</v>
      </c>
      <c r="L14" s="22" t="s">
        <v>1792</v>
      </c>
      <c r="M14" s="22" t="s">
        <v>1793</v>
      </c>
      <c r="N14" s="42"/>
      <c r="O14" s="42"/>
      <c r="P14" s="42"/>
      <c r="Q14" s="42">
        <v>8800</v>
      </c>
      <c r="R14" s="42" t="s">
        <v>34</v>
      </c>
      <c r="S14" s="31">
        <v>89000</v>
      </c>
      <c r="T14" s="28">
        <f t="shared" si="0"/>
        <v>783200.00000000012</v>
      </c>
      <c r="U14" s="42">
        <v>120000</v>
      </c>
    </row>
    <row r="15" spans="1:21" s="38" customFormat="1" x14ac:dyDescent="0.25">
      <c r="A15" s="42"/>
      <c r="B15" s="22" t="s">
        <v>413</v>
      </c>
      <c r="C15" s="22" t="s">
        <v>1789</v>
      </c>
      <c r="D15" s="20" t="s">
        <v>66</v>
      </c>
      <c r="E15" s="33" t="s">
        <v>1794</v>
      </c>
      <c r="F15" s="22">
        <v>8600</v>
      </c>
      <c r="G15" s="20">
        <v>43</v>
      </c>
      <c r="H15" s="20" t="s">
        <v>167</v>
      </c>
      <c r="I15" s="20" t="s">
        <v>30</v>
      </c>
      <c r="J15" s="39">
        <v>44959</v>
      </c>
      <c r="K15" s="20" t="s">
        <v>1791</v>
      </c>
      <c r="L15" s="22"/>
      <c r="M15" s="22"/>
      <c r="N15" s="42"/>
      <c r="O15" s="42"/>
      <c r="P15" s="42"/>
      <c r="Q15" s="42">
        <v>8600</v>
      </c>
      <c r="R15" s="42" t="s">
        <v>34</v>
      </c>
      <c r="S15" s="31">
        <v>89000</v>
      </c>
      <c r="T15" s="28">
        <f t="shared" si="0"/>
        <v>765400</v>
      </c>
      <c r="U15" s="42"/>
    </row>
    <row r="16" spans="1:21" s="38" customFormat="1" x14ac:dyDescent="0.25">
      <c r="A16" s="42"/>
      <c r="B16" s="22" t="s">
        <v>413</v>
      </c>
      <c r="C16" s="22" t="s">
        <v>1789</v>
      </c>
      <c r="D16" s="20" t="s">
        <v>66</v>
      </c>
      <c r="E16" s="33" t="s">
        <v>1505</v>
      </c>
      <c r="F16" s="22">
        <v>200</v>
      </c>
      <c r="G16" s="20">
        <v>1</v>
      </c>
      <c r="H16" s="20" t="s">
        <v>167</v>
      </c>
      <c r="I16" s="20" t="s">
        <v>30</v>
      </c>
      <c r="J16" s="39">
        <v>44959</v>
      </c>
      <c r="K16" s="20" t="s">
        <v>1791</v>
      </c>
      <c r="L16" s="22"/>
      <c r="M16" s="22"/>
      <c r="N16" s="42"/>
      <c r="O16" s="42"/>
      <c r="P16" s="42"/>
      <c r="Q16" s="42">
        <v>200</v>
      </c>
      <c r="R16" s="42" t="s">
        <v>34</v>
      </c>
      <c r="S16" s="31">
        <v>89000</v>
      </c>
      <c r="T16" s="28">
        <f t="shared" si="0"/>
        <v>17800</v>
      </c>
      <c r="U16" s="42"/>
    </row>
    <row r="17" spans="1:21" s="17" customFormat="1" x14ac:dyDescent="0.25">
      <c r="A17" s="26"/>
      <c r="B17" s="19" t="s">
        <v>719</v>
      </c>
      <c r="C17" s="19" t="s">
        <v>439</v>
      </c>
      <c r="D17" s="20" t="s">
        <v>492</v>
      </c>
      <c r="E17" s="21" t="s">
        <v>1795</v>
      </c>
      <c r="F17" s="19">
        <v>8000</v>
      </c>
      <c r="G17" s="18">
        <v>320</v>
      </c>
      <c r="H17" s="18" t="s">
        <v>29</v>
      </c>
      <c r="I17" s="18" t="s">
        <v>30</v>
      </c>
      <c r="J17" s="23">
        <v>44959</v>
      </c>
      <c r="K17" s="18" t="s">
        <v>1796</v>
      </c>
      <c r="L17" s="19" t="s">
        <v>1797</v>
      </c>
      <c r="M17" s="19" t="s">
        <v>1798</v>
      </c>
      <c r="N17" s="26"/>
      <c r="O17" s="26"/>
      <c r="P17" s="26">
        <v>8000</v>
      </c>
      <c r="Q17" s="26"/>
      <c r="R17" s="26"/>
      <c r="S17" s="27">
        <v>255000</v>
      </c>
      <c r="T17" s="28">
        <f t="shared" si="0"/>
        <v>2040000</v>
      </c>
      <c r="U17" s="26"/>
    </row>
    <row r="18" spans="1:21" s="17" customFormat="1" x14ac:dyDescent="0.25">
      <c r="A18" s="26"/>
      <c r="B18" s="19" t="s">
        <v>592</v>
      </c>
      <c r="C18" s="19" t="s">
        <v>439</v>
      </c>
      <c r="D18" s="20" t="s">
        <v>492</v>
      </c>
      <c r="E18" s="21" t="s">
        <v>1799</v>
      </c>
      <c r="F18" s="19">
        <v>3000</v>
      </c>
      <c r="G18" s="18">
        <v>120</v>
      </c>
      <c r="H18" s="18" t="s">
        <v>29</v>
      </c>
      <c r="I18" s="18" t="s">
        <v>30</v>
      </c>
      <c r="J18" s="23">
        <v>44959</v>
      </c>
      <c r="K18" s="18" t="s">
        <v>1796</v>
      </c>
      <c r="L18" s="19"/>
      <c r="M18" s="19"/>
      <c r="N18" s="26"/>
      <c r="O18" s="26"/>
      <c r="P18" s="26">
        <v>3000</v>
      </c>
      <c r="Q18" s="26"/>
      <c r="R18" s="26"/>
      <c r="S18" s="27">
        <v>255000</v>
      </c>
      <c r="T18" s="28">
        <f t="shared" si="0"/>
        <v>765000</v>
      </c>
      <c r="U18" s="26"/>
    </row>
    <row r="19" spans="1:21" s="17" customFormat="1" x14ac:dyDescent="0.25">
      <c r="A19" s="26"/>
      <c r="B19" s="19" t="s">
        <v>1607</v>
      </c>
      <c r="C19" s="19" t="s">
        <v>1434</v>
      </c>
      <c r="D19" s="20" t="s">
        <v>1800</v>
      </c>
      <c r="E19" s="21" t="s">
        <v>1801</v>
      </c>
      <c r="F19" s="19">
        <v>8100</v>
      </c>
      <c r="G19" s="18">
        <v>9</v>
      </c>
      <c r="H19" s="18" t="s">
        <v>661</v>
      </c>
      <c r="I19" s="20" t="s">
        <v>30</v>
      </c>
      <c r="J19" s="23">
        <v>44959</v>
      </c>
      <c r="K19" s="18" t="s">
        <v>1802</v>
      </c>
      <c r="L19" s="19" t="s">
        <v>1803</v>
      </c>
      <c r="M19" s="19" t="s">
        <v>1804</v>
      </c>
      <c r="N19" s="26"/>
      <c r="O19" s="26"/>
      <c r="P19" s="26"/>
      <c r="Q19" s="124">
        <v>8100</v>
      </c>
      <c r="R19" s="26"/>
      <c r="S19" s="27">
        <v>97800</v>
      </c>
      <c r="T19" s="28">
        <f t="shared" si="0"/>
        <v>792180</v>
      </c>
      <c r="U19" s="26">
        <v>185000</v>
      </c>
    </row>
    <row r="20" spans="1:21" s="17" customFormat="1" ht="17.25" customHeight="1" x14ac:dyDescent="0.25">
      <c r="A20" s="26"/>
      <c r="B20" s="19" t="s">
        <v>1607</v>
      </c>
      <c r="C20" s="19" t="s">
        <v>1434</v>
      </c>
      <c r="D20" s="20" t="s">
        <v>1800</v>
      </c>
      <c r="E20" s="21" t="s">
        <v>1631</v>
      </c>
      <c r="F20" s="19">
        <v>8100</v>
      </c>
      <c r="G20" s="18">
        <v>9</v>
      </c>
      <c r="H20" s="18" t="s">
        <v>661</v>
      </c>
      <c r="I20" s="20" t="s">
        <v>30</v>
      </c>
      <c r="J20" s="23">
        <v>44959</v>
      </c>
      <c r="K20" s="18" t="s">
        <v>1802</v>
      </c>
      <c r="L20" s="19" t="s">
        <v>1803</v>
      </c>
      <c r="M20" s="19" t="s">
        <v>1804</v>
      </c>
      <c r="N20" s="26"/>
      <c r="O20" s="26"/>
      <c r="P20" s="26"/>
      <c r="Q20" s="124">
        <v>8100</v>
      </c>
      <c r="R20" s="26"/>
      <c r="S20" s="27">
        <v>97800</v>
      </c>
      <c r="T20" s="28">
        <f t="shared" si="0"/>
        <v>792180</v>
      </c>
      <c r="U20" s="26"/>
    </row>
    <row r="21" spans="1:21" s="17" customFormat="1" x14ac:dyDescent="0.25">
      <c r="A21" s="26"/>
      <c r="B21" s="19" t="s">
        <v>1607</v>
      </c>
      <c r="C21" s="19" t="s">
        <v>1434</v>
      </c>
      <c r="D21" s="20" t="s">
        <v>1800</v>
      </c>
      <c r="E21" s="21" t="s">
        <v>1805</v>
      </c>
      <c r="F21" s="19">
        <v>1800</v>
      </c>
      <c r="G21" s="18">
        <v>2</v>
      </c>
      <c r="H21" s="18" t="s">
        <v>661</v>
      </c>
      <c r="I21" s="18" t="s">
        <v>30</v>
      </c>
      <c r="J21" s="23">
        <v>44959</v>
      </c>
      <c r="K21" s="18" t="s">
        <v>1802</v>
      </c>
      <c r="L21" s="19" t="s">
        <v>1803</v>
      </c>
      <c r="M21" s="19" t="s">
        <v>1804</v>
      </c>
      <c r="N21" s="26"/>
      <c r="O21" s="26"/>
      <c r="P21" s="26"/>
      <c r="Q21" s="124">
        <v>1800</v>
      </c>
      <c r="R21" s="26"/>
      <c r="S21" s="27">
        <v>97800</v>
      </c>
      <c r="T21" s="28">
        <f t="shared" si="0"/>
        <v>176040</v>
      </c>
      <c r="U21" s="26"/>
    </row>
    <row r="22" spans="1:21" s="17" customFormat="1" x14ac:dyDescent="0.25">
      <c r="A22" s="26"/>
      <c r="B22" s="19" t="s">
        <v>1607</v>
      </c>
      <c r="C22" s="19" t="s">
        <v>1434</v>
      </c>
      <c r="D22" s="20" t="s">
        <v>1800</v>
      </c>
      <c r="E22" s="21" t="s">
        <v>1782</v>
      </c>
      <c r="F22" s="19">
        <v>900</v>
      </c>
      <c r="G22" s="18">
        <v>1</v>
      </c>
      <c r="H22" s="18" t="s">
        <v>661</v>
      </c>
      <c r="I22" s="18" t="s">
        <v>30</v>
      </c>
      <c r="J22" s="23">
        <v>44959</v>
      </c>
      <c r="K22" s="18" t="s">
        <v>1802</v>
      </c>
      <c r="L22" s="19" t="s">
        <v>1803</v>
      </c>
      <c r="M22" s="19" t="s">
        <v>1804</v>
      </c>
      <c r="N22" s="26"/>
      <c r="O22" s="26"/>
      <c r="P22" s="26"/>
      <c r="Q22" s="124">
        <v>900</v>
      </c>
      <c r="R22" s="26"/>
      <c r="S22" s="27">
        <v>97800</v>
      </c>
      <c r="T22" s="28">
        <f t="shared" si="0"/>
        <v>88020</v>
      </c>
      <c r="U22" s="26"/>
    </row>
    <row r="23" spans="1:21" s="17" customFormat="1" x14ac:dyDescent="0.25">
      <c r="A23" s="25"/>
      <c r="B23" s="19" t="s">
        <v>1806</v>
      </c>
      <c r="C23" s="19" t="s">
        <v>57</v>
      </c>
      <c r="D23" s="20" t="s">
        <v>1392</v>
      </c>
      <c r="E23" s="21" t="s">
        <v>1787</v>
      </c>
      <c r="F23" s="19">
        <v>20000</v>
      </c>
      <c r="G23" s="18">
        <v>800</v>
      </c>
      <c r="H23" s="18" t="s">
        <v>95</v>
      </c>
      <c r="I23" s="18" t="s">
        <v>30</v>
      </c>
      <c r="J23" s="23">
        <v>44960</v>
      </c>
      <c r="K23" s="19" t="s">
        <v>1410</v>
      </c>
      <c r="L23" s="26" t="s">
        <v>1807</v>
      </c>
      <c r="M23" s="26" t="s">
        <v>1808</v>
      </c>
      <c r="N23" s="26"/>
      <c r="O23" s="26"/>
      <c r="P23" s="26">
        <v>20000</v>
      </c>
      <c r="Q23" s="26"/>
      <c r="R23" s="26"/>
      <c r="S23" s="27">
        <v>125000</v>
      </c>
      <c r="T23" s="28">
        <f t="shared" si="0"/>
        <v>2500000</v>
      </c>
      <c r="U23" s="26"/>
    </row>
    <row r="24" spans="1:21" s="17" customFormat="1" x14ac:dyDescent="0.25">
      <c r="A24" s="26"/>
      <c r="B24" s="19" t="s">
        <v>476</v>
      </c>
      <c r="C24" s="19" t="s">
        <v>913</v>
      </c>
      <c r="D24" s="20" t="s">
        <v>86</v>
      </c>
      <c r="E24" s="21" t="s">
        <v>1620</v>
      </c>
      <c r="F24" s="19">
        <v>20000</v>
      </c>
      <c r="G24" s="18">
        <v>800</v>
      </c>
      <c r="H24" s="18" t="s">
        <v>322</v>
      </c>
      <c r="I24" s="18" t="s">
        <v>30</v>
      </c>
      <c r="J24" s="23">
        <v>44960</v>
      </c>
      <c r="K24" s="18" t="s">
        <v>1809</v>
      </c>
      <c r="L24" s="19" t="s">
        <v>1810</v>
      </c>
      <c r="M24" s="19" t="s">
        <v>1811</v>
      </c>
      <c r="N24" s="26"/>
      <c r="O24" s="26">
        <v>20000</v>
      </c>
      <c r="P24" s="26"/>
      <c r="Q24" s="26"/>
      <c r="R24" s="26" t="s">
        <v>34</v>
      </c>
      <c r="S24" s="27">
        <v>41000</v>
      </c>
      <c r="T24" s="28">
        <f t="shared" si="0"/>
        <v>820000</v>
      </c>
      <c r="U24" s="26">
        <v>225000</v>
      </c>
    </row>
    <row r="25" spans="1:21" s="17" customFormat="1" x14ac:dyDescent="0.25">
      <c r="A25" s="25"/>
      <c r="B25" s="19" t="s">
        <v>1812</v>
      </c>
      <c r="C25" s="19" t="s">
        <v>57</v>
      </c>
      <c r="D25" s="20" t="s">
        <v>1813</v>
      </c>
      <c r="E25" s="21" t="s">
        <v>728</v>
      </c>
      <c r="F25" s="19">
        <v>18144</v>
      </c>
      <c r="G25" s="18">
        <v>800</v>
      </c>
      <c r="H25" s="18" t="s">
        <v>95</v>
      </c>
      <c r="I25" s="18" t="s">
        <v>30</v>
      </c>
      <c r="J25" s="23">
        <v>44960</v>
      </c>
      <c r="K25" s="18" t="s">
        <v>1814</v>
      </c>
      <c r="L25" s="26" t="s">
        <v>1815</v>
      </c>
      <c r="M25" s="26" t="s">
        <v>1816</v>
      </c>
      <c r="N25" s="26"/>
      <c r="O25" s="26"/>
      <c r="P25" s="26">
        <v>18144</v>
      </c>
      <c r="Q25" s="26"/>
      <c r="R25" s="26" t="s">
        <v>34</v>
      </c>
      <c r="S25" s="27">
        <v>245000</v>
      </c>
      <c r="T25" s="28">
        <f t="shared" si="0"/>
        <v>4445280</v>
      </c>
      <c r="U25" s="26">
        <v>255000</v>
      </c>
    </row>
    <row r="26" spans="1:21" s="17" customFormat="1" x14ac:dyDescent="0.25">
      <c r="A26" s="25"/>
      <c r="B26" s="19" t="s">
        <v>1817</v>
      </c>
      <c r="C26" s="19" t="s">
        <v>57</v>
      </c>
      <c r="D26" s="20" t="s">
        <v>1813</v>
      </c>
      <c r="E26" s="21" t="s">
        <v>1782</v>
      </c>
      <c r="F26" s="19">
        <v>18144</v>
      </c>
      <c r="G26" s="18">
        <v>800</v>
      </c>
      <c r="H26" s="18" t="s">
        <v>95</v>
      </c>
      <c r="I26" s="18" t="s">
        <v>30</v>
      </c>
      <c r="J26" s="23">
        <v>44960</v>
      </c>
      <c r="K26" s="19" t="s">
        <v>1818</v>
      </c>
      <c r="L26" s="26" t="s">
        <v>1819</v>
      </c>
      <c r="M26" s="26" t="s">
        <v>1820</v>
      </c>
      <c r="N26" s="26"/>
      <c r="O26" s="26"/>
      <c r="P26" s="26">
        <v>18144</v>
      </c>
      <c r="Q26" s="26"/>
      <c r="R26" s="26"/>
      <c r="S26" s="27">
        <v>245000</v>
      </c>
      <c r="T26" s="28">
        <f t="shared" si="0"/>
        <v>4445280</v>
      </c>
      <c r="U26" s="26">
        <v>250000</v>
      </c>
    </row>
    <row r="27" spans="1:21" s="17" customFormat="1" x14ac:dyDescent="0.25">
      <c r="A27" s="25"/>
      <c r="B27" s="19" t="s">
        <v>1640</v>
      </c>
      <c r="C27" s="19" t="s">
        <v>893</v>
      </c>
      <c r="D27" s="20" t="s">
        <v>898</v>
      </c>
      <c r="E27" s="21" t="s">
        <v>1821</v>
      </c>
      <c r="F27" s="19">
        <v>17600</v>
      </c>
      <c r="G27" s="18">
        <v>88</v>
      </c>
      <c r="H27" s="18" t="s">
        <v>462</v>
      </c>
      <c r="I27" s="18" t="s">
        <v>30</v>
      </c>
      <c r="J27" s="23">
        <v>44960</v>
      </c>
      <c r="K27" s="19" t="s">
        <v>1822</v>
      </c>
      <c r="L27" s="26"/>
      <c r="M27" s="26" t="s">
        <v>1823</v>
      </c>
      <c r="N27" s="26"/>
      <c r="O27" s="26"/>
      <c r="P27" s="26"/>
      <c r="Q27" s="26">
        <v>17600</v>
      </c>
      <c r="R27" s="26"/>
      <c r="S27" s="27">
        <v>152000</v>
      </c>
      <c r="T27" s="28">
        <f t="shared" si="0"/>
        <v>2675200</v>
      </c>
      <c r="U27" s="26">
        <v>190000</v>
      </c>
    </row>
    <row r="28" spans="1:21" s="17" customFormat="1" x14ac:dyDescent="0.25">
      <c r="A28" s="25"/>
      <c r="B28" s="19" t="s">
        <v>1824</v>
      </c>
      <c r="C28" s="19" t="s">
        <v>57</v>
      </c>
      <c r="D28" s="20" t="s">
        <v>58</v>
      </c>
      <c r="E28" s="21" t="s">
        <v>1303</v>
      </c>
      <c r="F28" s="19">
        <v>19845</v>
      </c>
      <c r="G28" s="18">
        <v>875</v>
      </c>
      <c r="H28" s="18" t="s">
        <v>448</v>
      </c>
      <c r="I28" s="18" t="s">
        <v>30</v>
      </c>
      <c r="J28" s="23">
        <v>44963</v>
      </c>
      <c r="K28" s="19" t="s">
        <v>1684</v>
      </c>
      <c r="L28" s="26"/>
      <c r="M28" s="26" t="s">
        <v>1686</v>
      </c>
      <c r="N28" s="26"/>
      <c r="O28" s="26">
        <v>19845</v>
      </c>
      <c r="P28" s="26"/>
      <c r="Q28" s="26"/>
      <c r="R28" s="26" t="s">
        <v>34</v>
      </c>
      <c r="S28" s="27">
        <v>49500</v>
      </c>
      <c r="T28" s="28">
        <f t="shared" si="0"/>
        <v>982327.5</v>
      </c>
      <c r="U28" s="26">
        <v>270000</v>
      </c>
    </row>
    <row r="29" spans="1:21" s="17" customFormat="1" x14ac:dyDescent="0.25">
      <c r="A29" s="26"/>
      <c r="B29" s="19" t="s">
        <v>1825</v>
      </c>
      <c r="C29" s="19" t="s">
        <v>26</v>
      </c>
      <c r="D29" s="20" t="s">
        <v>754</v>
      </c>
      <c r="E29" s="21" t="s">
        <v>1782</v>
      </c>
      <c r="F29" s="19">
        <v>20000</v>
      </c>
      <c r="G29" s="18">
        <v>1000</v>
      </c>
      <c r="H29" s="18" t="s">
        <v>129</v>
      </c>
      <c r="I29" s="18" t="s">
        <v>30</v>
      </c>
      <c r="J29" s="23">
        <v>44963</v>
      </c>
      <c r="K29" s="18" t="s">
        <v>1476</v>
      </c>
      <c r="L29" s="19" t="s">
        <v>1477</v>
      </c>
      <c r="M29" s="19" t="s">
        <v>1478</v>
      </c>
      <c r="N29" s="26"/>
      <c r="O29" s="26"/>
      <c r="P29" s="26">
        <v>20000</v>
      </c>
      <c r="Q29" s="26"/>
      <c r="R29" s="26" t="s">
        <v>34</v>
      </c>
      <c r="S29" s="27">
        <v>70000</v>
      </c>
      <c r="T29" s="28">
        <f t="shared" si="0"/>
        <v>1400000</v>
      </c>
      <c r="U29" s="26">
        <v>195000</v>
      </c>
    </row>
    <row r="30" spans="1:21" s="17" customFormat="1" ht="12" customHeight="1" x14ac:dyDescent="0.25">
      <c r="A30" s="26"/>
      <c r="B30" s="19" t="s">
        <v>1826</v>
      </c>
      <c r="C30" s="19" t="s">
        <v>85</v>
      </c>
      <c r="D30" s="20" t="s">
        <v>86</v>
      </c>
      <c r="E30" s="21" t="s">
        <v>1827</v>
      </c>
      <c r="F30" s="19">
        <v>20000</v>
      </c>
      <c r="G30" s="18">
        <v>800</v>
      </c>
      <c r="H30" s="18" t="s">
        <v>322</v>
      </c>
      <c r="I30" s="18" t="s">
        <v>30</v>
      </c>
      <c r="J30" s="23">
        <v>44963</v>
      </c>
      <c r="K30" s="18" t="s">
        <v>1828</v>
      </c>
      <c r="L30" s="19" t="s">
        <v>1829</v>
      </c>
      <c r="M30" s="19" t="s">
        <v>1830</v>
      </c>
      <c r="N30" s="26"/>
      <c r="O30" s="26">
        <v>20000</v>
      </c>
      <c r="P30" s="26"/>
      <c r="Q30" s="26"/>
      <c r="R30" s="26" t="s">
        <v>34</v>
      </c>
      <c r="S30" s="27">
        <v>41000</v>
      </c>
      <c r="T30" s="28">
        <f t="shared" si="0"/>
        <v>820000</v>
      </c>
      <c r="U30" s="26">
        <v>240000</v>
      </c>
    </row>
    <row r="31" spans="1:21" s="17" customFormat="1" x14ac:dyDescent="0.25">
      <c r="A31" s="25"/>
      <c r="B31" s="19" t="s">
        <v>1831</v>
      </c>
      <c r="C31" s="19" t="s">
        <v>57</v>
      </c>
      <c r="D31" s="20" t="s">
        <v>1813</v>
      </c>
      <c r="E31" s="21" t="s">
        <v>1303</v>
      </c>
      <c r="F31" s="19">
        <v>18144</v>
      </c>
      <c r="G31" s="18">
        <v>800</v>
      </c>
      <c r="H31" s="18" t="s">
        <v>448</v>
      </c>
      <c r="I31" s="18" t="s">
        <v>30</v>
      </c>
      <c r="J31" s="23">
        <v>44965</v>
      </c>
      <c r="K31" s="19" t="s">
        <v>1832</v>
      </c>
      <c r="L31" s="26" t="s">
        <v>1833</v>
      </c>
      <c r="M31" s="26" t="s">
        <v>1834</v>
      </c>
      <c r="N31" s="26"/>
      <c r="O31" s="26"/>
      <c r="P31" s="26">
        <v>18144</v>
      </c>
      <c r="Q31" s="26"/>
      <c r="R31" s="26" t="s">
        <v>34</v>
      </c>
      <c r="S31" s="27">
        <v>245000</v>
      </c>
      <c r="T31" s="28">
        <f t="shared" si="0"/>
        <v>4445280</v>
      </c>
      <c r="U31" s="26">
        <v>275000</v>
      </c>
    </row>
    <row r="32" spans="1:21" s="17" customFormat="1" x14ac:dyDescent="0.25">
      <c r="A32" s="143"/>
      <c r="B32" s="46" t="s">
        <v>476</v>
      </c>
      <c r="C32" s="46" t="s">
        <v>679</v>
      </c>
      <c r="D32" s="44" t="s">
        <v>680</v>
      </c>
      <c r="E32" s="144" t="s">
        <v>1801</v>
      </c>
      <c r="F32" s="46">
        <v>5000</v>
      </c>
      <c r="G32" s="44">
        <v>25</v>
      </c>
      <c r="H32" s="44" t="s">
        <v>29</v>
      </c>
      <c r="I32" s="18" t="s">
        <v>30</v>
      </c>
      <c r="J32" s="145">
        <v>44965</v>
      </c>
      <c r="K32" s="44" t="s">
        <v>1835</v>
      </c>
      <c r="L32" s="46"/>
      <c r="M32" s="46" t="s">
        <v>1836</v>
      </c>
      <c r="N32" s="143"/>
      <c r="O32" s="143"/>
      <c r="P32" s="143"/>
      <c r="Q32" s="143">
        <v>5000</v>
      </c>
      <c r="R32" s="143"/>
      <c r="S32" s="146">
        <v>110000</v>
      </c>
      <c r="T32" s="28">
        <f t="shared" si="0"/>
        <v>550000</v>
      </c>
      <c r="U32" s="143"/>
    </row>
    <row r="33" spans="1:21" s="17" customFormat="1" x14ac:dyDescent="0.25">
      <c r="A33" s="42"/>
      <c r="B33" s="22" t="s">
        <v>476</v>
      </c>
      <c r="C33" s="22" t="s">
        <v>679</v>
      </c>
      <c r="D33" s="20" t="s">
        <v>1837</v>
      </c>
      <c r="E33" s="33" t="s">
        <v>1799</v>
      </c>
      <c r="F33" s="22">
        <v>4000</v>
      </c>
      <c r="G33" s="20">
        <v>160</v>
      </c>
      <c r="H33" s="20" t="s">
        <v>29</v>
      </c>
      <c r="I33" s="18" t="s">
        <v>30</v>
      </c>
      <c r="J33" s="39">
        <v>44965</v>
      </c>
      <c r="K33" s="20" t="s">
        <v>1835</v>
      </c>
      <c r="L33" s="22"/>
      <c r="M33" s="22"/>
      <c r="N33" s="42"/>
      <c r="O33" s="42"/>
      <c r="P33" s="42">
        <v>4000</v>
      </c>
      <c r="Q33" s="42"/>
      <c r="R33" s="42"/>
      <c r="S33" s="31">
        <v>103000</v>
      </c>
      <c r="T33" s="28">
        <f t="shared" si="0"/>
        <v>412000</v>
      </c>
      <c r="U33" s="42"/>
    </row>
    <row r="34" spans="1:21" s="17" customFormat="1" x14ac:dyDescent="0.25">
      <c r="A34" s="26"/>
      <c r="B34" s="19" t="s">
        <v>1607</v>
      </c>
      <c r="C34" s="19" t="s">
        <v>1434</v>
      </c>
      <c r="D34" s="20" t="s">
        <v>1608</v>
      </c>
      <c r="E34" s="21" t="s">
        <v>1838</v>
      </c>
      <c r="F34" s="19">
        <v>8550</v>
      </c>
      <c r="G34" s="18">
        <v>9</v>
      </c>
      <c r="H34" s="18" t="s">
        <v>661</v>
      </c>
      <c r="I34" s="18" t="s">
        <v>30</v>
      </c>
      <c r="J34" s="23">
        <v>44965</v>
      </c>
      <c r="K34" s="18" t="s">
        <v>1839</v>
      </c>
      <c r="L34" s="19" t="s">
        <v>1840</v>
      </c>
      <c r="M34" s="19" t="s">
        <v>1841</v>
      </c>
      <c r="N34" s="26"/>
      <c r="O34" s="26"/>
      <c r="P34" s="26"/>
      <c r="Q34" s="26">
        <v>8550</v>
      </c>
      <c r="R34" s="26"/>
      <c r="S34" s="27">
        <v>134800</v>
      </c>
      <c r="T34" s="28">
        <f t="shared" si="0"/>
        <v>1152540</v>
      </c>
      <c r="U34" s="26">
        <v>185000</v>
      </c>
    </row>
    <row r="35" spans="1:21" s="17" customFormat="1" x14ac:dyDescent="0.25">
      <c r="A35" s="26"/>
      <c r="B35" s="19" t="s">
        <v>1607</v>
      </c>
      <c r="C35" s="19" t="s">
        <v>1434</v>
      </c>
      <c r="D35" s="20" t="s">
        <v>1608</v>
      </c>
      <c r="E35" s="21" t="s">
        <v>1842</v>
      </c>
      <c r="F35" s="19">
        <v>8550</v>
      </c>
      <c r="G35" s="18">
        <v>9</v>
      </c>
      <c r="H35" s="18" t="s">
        <v>661</v>
      </c>
      <c r="I35" s="18" t="s">
        <v>30</v>
      </c>
      <c r="J35" s="23">
        <v>44965</v>
      </c>
      <c r="K35" s="18" t="s">
        <v>1839</v>
      </c>
      <c r="L35" s="19" t="s">
        <v>1840</v>
      </c>
      <c r="M35" s="19" t="s">
        <v>1841</v>
      </c>
      <c r="N35" s="26"/>
      <c r="O35" s="26"/>
      <c r="P35" s="26"/>
      <c r="Q35" s="26">
        <v>8550</v>
      </c>
      <c r="R35" s="26"/>
      <c r="S35" s="27">
        <v>134800</v>
      </c>
      <c r="T35" s="28">
        <f t="shared" si="0"/>
        <v>1152540</v>
      </c>
      <c r="U35" s="26"/>
    </row>
    <row r="36" spans="1:21" s="17" customFormat="1" x14ac:dyDescent="0.25">
      <c r="A36" s="26"/>
      <c r="B36" s="19" t="s">
        <v>1607</v>
      </c>
      <c r="C36" s="19" t="s">
        <v>1434</v>
      </c>
      <c r="D36" s="20" t="s">
        <v>1800</v>
      </c>
      <c r="E36" s="21" t="s">
        <v>1782</v>
      </c>
      <c r="F36" s="19">
        <v>2700</v>
      </c>
      <c r="G36" s="18">
        <v>3</v>
      </c>
      <c r="H36" s="18" t="s">
        <v>661</v>
      </c>
      <c r="I36" s="18" t="s">
        <v>30</v>
      </c>
      <c r="J36" s="23">
        <v>44965</v>
      </c>
      <c r="K36" s="18" t="s">
        <v>1839</v>
      </c>
      <c r="L36" s="19" t="s">
        <v>1840</v>
      </c>
      <c r="M36" s="19" t="s">
        <v>1841</v>
      </c>
      <c r="N36" s="26"/>
      <c r="O36" s="26"/>
      <c r="P36" s="26"/>
      <c r="Q36" s="124">
        <v>2700</v>
      </c>
      <c r="R36" s="26"/>
      <c r="S36" s="27">
        <v>97800</v>
      </c>
      <c r="T36" s="28">
        <f t="shared" si="0"/>
        <v>264060</v>
      </c>
      <c r="U36" s="26"/>
    </row>
    <row r="37" spans="1:21" s="17" customFormat="1" x14ac:dyDescent="0.25">
      <c r="A37" s="26"/>
      <c r="B37" s="19" t="s">
        <v>1607</v>
      </c>
      <c r="C37" s="19" t="s">
        <v>1434</v>
      </c>
      <c r="D37" s="20" t="s">
        <v>1800</v>
      </c>
      <c r="E37" s="21" t="s">
        <v>1782</v>
      </c>
      <c r="F37" s="19">
        <v>4500</v>
      </c>
      <c r="G37" s="18">
        <v>5</v>
      </c>
      <c r="H37" s="18" t="s">
        <v>661</v>
      </c>
      <c r="I37" s="18" t="s">
        <v>30</v>
      </c>
      <c r="J37" s="23">
        <v>44965</v>
      </c>
      <c r="K37" s="18" t="s">
        <v>1843</v>
      </c>
      <c r="L37" s="19">
        <v>89053347111</v>
      </c>
      <c r="M37" s="19" t="s">
        <v>1844</v>
      </c>
      <c r="N37" s="26"/>
      <c r="O37" s="26"/>
      <c r="P37" s="26"/>
      <c r="Q37" s="124">
        <v>4500</v>
      </c>
      <c r="R37" s="26"/>
      <c r="S37" s="27">
        <v>97800</v>
      </c>
      <c r="T37" s="28">
        <f t="shared" si="0"/>
        <v>440100</v>
      </c>
      <c r="U37" s="26"/>
    </row>
    <row r="38" spans="1:21" s="17" customFormat="1" x14ac:dyDescent="0.25">
      <c r="A38" s="26"/>
      <c r="B38" s="19" t="s">
        <v>1607</v>
      </c>
      <c r="C38" s="19" t="s">
        <v>1434</v>
      </c>
      <c r="D38" s="20" t="s">
        <v>1800</v>
      </c>
      <c r="E38" s="21" t="s">
        <v>1845</v>
      </c>
      <c r="F38" s="19">
        <v>8100</v>
      </c>
      <c r="G38" s="18">
        <v>9</v>
      </c>
      <c r="H38" s="18" t="s">
        <v>661</v>
      </c>
      <c r="I38" s="18" t="s">
        <v>30</v>
      </c>
      <c r="J38" s="23">
        <v>44965</v>
      </c>
      <c r="K38" s="18" t="s">
        <v>1843</v>
      </c>
      <c r="L38" s="19">
        <v>89053347111</v>
      </c>
      <c r="M38" s="19" t="s">
        <v>1844</v>
      </c>
      <c r="N38" s="26"/>
      <c r="O38" s="26"/>
      <c r="P38" s="26"/>
      <c r="Q38" s="124">
        <v>8100</v>
      </c>
      <c r="R38" s="26"/>
      <c r="S38" s="27">
        <v>97800</v>
      </c>
      <c r="T38" s="28">
        <f t="shared" si="0"/>
        <v>792180</v>
      </c>
      <c r="U38" s="26"/>
    </row>
    <row r="39" spans="1:21" s="17" customFormat="1" x14ac:dyDescent="0.25">
      <c r="A39" s="26" t="s">
        <v>1846</v>
      </c>
      <c r="B39" s="19" t="s">
        <v>1847</v>
      </c>
      <c r="C39" s="19" t="s">
        <v>57</v>
      </c>
      <c r="D39" s="20" t="s">
        <v>1848</v>
      </c>
      <c r="E39" s="21" t="s">
        <v>1849</v>
      </c>
      <c r="F39" s="19">
        <v>18144</v>
      </c>
      <c r="G39" s="18">
        <v>800</v>
      </c>
      <c r="H39" s="18" t="s">
        <v>886</v>
      </c>
      <c r="I39" s="18" t="s">
        <v>30</v>
      </c>
      <c r="J39" s="23">
        <v>44966</v>
      </c>
      <c r="K39" s="18"/>
      <c r="L39" s="19"/>
      <c r="M39" s="19"/>
      <c r="N39" s="26">
        <v>29156478</v>
      </c>
      <c r="O39" s="26"/>
      <c r="P39" s="26">
        <v>18144</v>
      </c>
      <c r="Q39" s="26"/>
      <c r="R39" s="26"/>
      <c r="S39" s="27">
        <v>245000</v>
      </c>
      <c r="T39" s="28">
        <f t="shared" si="0"/>
        <v>4445280</v>
      </c>
      <c r="U39" s="26"/>
    </row>
    <row r="40" spans="1:21" s="17" customFormat="1" x14ac:dyDescent="0.25">
      <c r="A40" s="26" t="s">
        <v>1846</v>
      </c>
      <c r="B40" s="19" t="s">
        <v>1847</v>
      </c>
      <c r="C40" s="19" t="s">
        <v>57</v>
      </c>
      <c r="D40" s="20" t="s">
        <v>58</v>
      </c>
      <c r="E40" s="21" t="s">
        <v>1850</v>
      </c>
      <c r="F40" s="19">
        <v>29370.6</v>
      </c>
      <c r="G40" s="18">
        <v>1295</v>
      </c>
      <c r="H40" s="18" t="s">
        <v>886</v>
      </c>
      <c r="I40" s="18" t="s">
        <v>30</v>
      </c>
      <c r="J40" s="23">
        <v>44966</v>
      </c>
      <c r="K40" s="18"/>
      <c r="L40" s="19"/>
      <c r="M40" s="19"/>
      <c r="N40" s="26">
        <v>29156478</v>
      </c>
      <c r="O40" s="26">
        <v>29370.6</v>
      </c>
      <c r="P40" s="26"/>
      <c r="Q40" s="26"/>
      <c r="R40" s="26"/>
      <c r="S40" s="27">
        <v>49500</v>
      </c>
      <c r="T40" s="28">
        <f t="shared" si="0"/>
        <v>1453844.7</v>
      </c>
      <c r="U40" s="26"/>
    </row>
    <row r="41" spans="1:21" s="17" customFormat="1" x14ac:dyDescent="0.25">
      <c r="A41" s="26" t="s">
        <v>1846</v>
      </c>
      <c r="B41" s="19" t="s">
        <v>1847</v>
      </c>
      <c r="C41" s="19" t="s">
        <v>57</v>
      </c>
      <c r="D41" s="20" t="s">
        <v>1392</v>
      </c>
      <c r="E41" s="33" t="s">
        <v>1851</v>
      </c>
      <c r="F41" s="19">
        <v>3000</v>
      </c>
      <c r="G41" s="18">
        <v>120</v>
      </c>
      <c r="H41" s="18" t="s">
        <v>886</v>
      </c>
      <c r="I41" s="18" t="s">
        <v>30</v>
      </c>
      <c r="J41" s="23">
        <v>44966</v>
      </c>
      <c r="K41" s="18"/>
      <c r="L41" s="19"/>
      <c r="M41" s="19"/>
      <c r="N41" s="26">
        <v>29156478</v>
      </c>
      <c r="O41" s="26"/>
      <c r="P41" s="26">
        <v>3000</v>
      </c>
      <c r="Q41" s="26"/>
      <c r="R41" s="26"/>
      <c r="S41" s="27">
        <v>125000</v>
      </c>
      <c r="T41" s="28">
        <f t="shared" si="0"/>
        <v>375000</v>
      </c>
      <c r="U41" s="26"/>
    </row>
    <row r="42" spans="1:21" s="17" customFormat="1" x14ac:dyDescent="0.25">
      <c r="A42" s="26"/>
      <c r="B42" s="19" t="s">
        <v>48</v>
      </c>
      <c r="C42" s="19" t="s">
        <v>109</v>
      </c>
      <c r="D42" s="20" t="s">
        <v>110</v>
      </c>
      <c r="E42" s="21" t="s">
        <v>1852</v>
      </c>
      <c r="F42" s="19">
        <v>2400</v>
      </c>
      <c r="G42" s="18">
        <v>12</v>
      </c>
      <c r="H42" s="18" t="s">
        <v>112</v>
      </c>
      <c r="I42" s="18" t="s">
        <v>30</v>
      </c>
      <c r="J42" s="23">
        <v>44966</v>
      </c>
      <c r="K42" s="18" t="s">
        <v>105</v>
      </c>
      <c r="L42" s="19" t="s">
        <v>1853</v>
      </c>
      <c r="M42" s="19" t="s">
        <v>1854</v>
      </c>
      <c r="N42" s="26"/>
      <c r="O42" s="26"/>
      <c r="P42" s="26"/>
      <c r="Q42" s="26">
        <v>2400</v>
      </c>
      <c r="R42" s="26" t="s">
        <v>34</v>
      </c>
      <c r="S42" s="27">
        <v>65000</v>
      </c>
      <c r="T42" s="28">
        <f t="shared" si="0"/>
        <v>156000</v>
      </c>
      <c r="U42" s="28">
        <v>265000</v>
      </c>
    </row>
    <row r="43" spans="1:21" s="17" customFormat="1" x14ac:dyDescent="0.25">
      <c r="A43" s="26"/>
      <c r="B43" s="19" t="s">
        <v>48</v>
      </c>
      <c r="C43" s="19" t="s">
        <v>109</v>
      </c>
      <c r="D43" s="20" t="s">
        <v>110</v>
      </c>
      <c r="E43" s="21" t="s">
        <v>1855</v>
      </c>
      <c r="F43" s="19">
        <v>8400</v>
      </c>
      <c r="G43" s="18">
        <v>42</v>
      </c>
      <c r="H43" s="18" t="s">
        <v>112</v>
      </c>
      <c r="I43" s="18" t="s">
        <v>30</v>
      </c>
      <c r="J43" s="23">
        <v>44966</v>
      </c>
      <c r="K43" s="18" t="s">
        <v>105</v>
      </c>
      <c r="L43" s="19"/>
      <c r="M43" s="19"/>
      <c r="N43" s="26"/>
      <c r="O43" s="26"/>
      <c r="P43" s="26"/>
      <c r="Q43" s="26">
        <v>8400</v>
      </c>
      <c r="R43" s="26" t="s">
        <v>34</v>
      </c>
      <c r="S43" s="27">
        <v>65000</v>
      </c>
      <c r="T43" s="28">
        <f t="shared" si="0"/>
        <v>546000</v>
      </c>
      <c r="U43" s="26"/>
    </row>
    <row r="44" spans="1:21" s="17" customFormat="1" x14ac:dyDescent="0.25">
      <c r="A44" s="26"/>
      <c r="B44" s="19" t="s">
        <v>48</v>
      </c>
      <c r="C44" s="19" t="s">
        <v>109</v>
      </c>
      <c r="D44" s="20" t="s">
        <v>110</v>
      </c>
      <c r="E44" s="21" t="s">
        <v>1856</v>
      </c>
      <c r="F44" s="19">
        <v>6800</v>
      </c>
      <c r="G44" s="18">
        <v>34</v>
      </c>
      <c r="H44" s="18" t="s">
        <v>112</v>
      </c>
      <c r="I44" s="18" t="s">
        <v>30</v>
      </c>
      <c r="J44" s="23">
        <v>44966</v>
      </c>
      <c r="K44" s="18" t="s">
        <v>105</v>
      </c>
      <c r="L44" s="19"/>
      <c r="M44" s="19"/>
      <c r="N44" s="26"/>
      <c r="O44" s="26"/>
      <c r="P44" s="26"/>
      <c r="Q44" s="26">
        <v>6800</v>
      </c>
      <c r="R44" s="26" t="s">
        <v>34</v>
      </c>
      <c r="S44" s="27">
        <v>65000</v>
      </c>
      <c r="T44" s="28">
        <f t="shared" si="0"/>
        <v>442000</v>
      </c>
      <c r="U44" s="26"/>
    </row>
    <row r="45" spans="1:21" s="17" customFormat="1" x14ac:dyDescent="0.25">
      <c r="A45" s="26"/>
      <c r="B45" s="19" t="s">
        <v>1826</v>
      </c>
      <c r="C45" s="19" t="s">
        <v>85</v>
      </c>
      <c r="D45" s="20" t="s">
        <v>86</v>
      </c>
      <c r="E45" s="21" t="s">
        <v>1827</v>
      </c>
      <c r="F45" s="19">
        <v>20000</v>
      </c>
      <c r="G45" s="18">
        <v>800</v>
      </c>
      <c r="H45" s="18" t="s">
        <v>322</v>
      </c>
      <c r="I45" s="18" t="s">
        <v>30</v>
      </c>
      <c r="J45" s="23">
        <v>44966</v>
      </c>
      <c r="K45" s="18" t="s">
        <v>1642</v>
      </c>
      <c r="L45" s="19">
        <v>79532629687</v>
      </c>
      <c r="M45" s="19" t="s">
        <v>1643</v>
      </c>
      <c r="N45" s="26"/>
      <c r="O45" s="26">
        <v>20000</v>
      </c>
      <c r="P45" s="26"/>
      <c r="Q45" s="26"/>
      <c r="R45" s="26" t="s">
        <v>34</v>
      </c>
      <c r="S45" s="27">
        <v>41000</v>
      </c>
      <c r="T45" s="28">
        <f t="shared" si="0"/>
        <v>820000</v>
      </c>
      <c r="U45" s="26">
        <v>225000</v>
      </c>
    </row>
    <row r="46" spans="1:21" s="17" customFormat="1" x14ac:dyDescent="0.25">
      <c r="A46" s="26"/>
      <c r="B46" s="19" t="s">
        <v>108</v>
      </c>
      <c r="C46" s="19" t="s">
        <v>913</v>
      </c>
      <c r="D46" s="20" t="s">
        <v>86</v>
      </c>
      <c r="E46" s="21" t="s">
        <v>1838</v>
      </c>
      <c r="F46" s="19">
        <v>16400</v>
      </c>
      <c r="G46" s="18">
        <v>656</v>
      </c>
      <c r="H46" s="18" t="s">
        <v>338</v>
      </c>
      <c r="I46" s="18" t="s">
        <v>30</v>
      </c>
      <c r="J46" s="23">
        <v>44966</v>
      </c>
      <c r="K46" s="18" t="s">
        <v>1857</v>
      </c>
      <c r="L46" s="19" t="s">
        <v>1858</v>
      </c>
      <c r="M46" s="19" t="s">
        <v>1859</v>
      </c>
      <c r="N46" s="26"/>
      <c r="O46" s="26">
        <v>16400</v>
      </c>
      <c r="P46" s="26"/>
      <c r="Q46" s="26"/>
      <c r="R46" s="26" t="s">
        <v>34</v>
      </c>
      <c r="S46" s="27">
        <v>41000</v>
      </c>
      <c r="T46" s="28">
        <f t="shared" si="0"/>
        <v>672399.99999999988</v>
      </c>
      <c r="U46" s="26">
        <v>120000</v>
      </c>
    </row>
    <row r="47" spans="1:21" s="17" customFormat="1" x14ac:dyDescent="0.25">
      <c r="A47" s="26"/>
      <c r="B47" s="19" t="s">
        <v>108</v>
      </c>
      <c r="C47" s="19" t="s">
        <v>913</v>
      </c>
      <c r="D47" s="20" t="s">
        <v>1622</v>
      </c>
      <c r="E47" s="21" t="s">
        <v>1860</v>
      </c>
      <c r="F47" s="19">
        <v>3600</v>
      </c>
      <c r="G47" s="18">
        <v>20</v>
      </c>
      <c r="H47" s="18" t="s">
        <v>338</v>
      </c>
      <c r="I47" s="18" t="s">
        <v>30</v>
      </c>
      <c r="J47" s="23">
        <v>44966</v>
      </c>
      <c r="K47" s="18" t="s">
        <v>1857</v>
      </c>
      <c r="L47" s="19"/>
      <c r="M47" s="19"/>
      <c r="N47" s="26"/>
      <c r="O47" s="26"/>
      <c r="P47" s="26"/>
      <c r="Q47" s="26">
        <v>3600</v>
      </c>
      <c r="R47" s="26" t="s">
        <v>34</v>
      </c>
      <c r="S47" s="27">
        <v>110000</v>
      </c>
      <c r="T47" s="28">
        <f t="shared" si="0"/>
        <v>396000</v>
      </c>
      <c r="U47" s="26"/>
    </row>
    <row r="48" spans="1:21" s="17" customFormat="1" x14ac:dyDescent="0.25">
      <c r="A48" s="25"/>
      <c r="B48" s="19" t="s">
        <v>1824</v>
      </c>
      <c r="C48" s="19" t="s">
        <v>57</v>
      </c>
      <c r="D48" s="20" t="s">
        <v>58</v>
      </c>
      <c r="E48" s="21" t="s">
        <v>1113</v>
      </c>
      <c r="F48" s="19">
        <v>19845</v>
      </c>
      <c r="G48" s="18">
        <v>875</v>
      </c>
      <c r="H48" s="18" t="s">
        <v>129</v>
      </c>
      <c r="I48" s="18" t="s">
        <v>30</v>
      </c>
      <c r="J48" s="23">
        <v>44968</v>
      </c>
      <c r="K48" s="19" t="s">
        <v>1059</v>
      </c>
      <c r="L48" s="26" t="s">
        <v>1861</v>
      </c>
      <c r="M48" s="26" t="s">
        <v>1862</v>
      </c>
      <c r="N48" s="26"/>
      <c r="O48" s="26">
        <v>19845</v>
      </c>
      <c r="P48" s="26"/>
      <c r="Q48" s="26"/>
      <c r="R48" s="26" t="s">
        <v>34</v>
      </c>
      <c r="S48" s="27">
        <v>49500</v>
      </c>
      <c r="T48" s="28">
        <f t="shared" si="0"/>
        <v>982327.5</v>
      </c>
      <c r="U48" s="26">
        <v>195000</v>
      </c>
    </row>
    <row r="49" spans="1:21" s="17" customFormat="1" x14ac:dyDescent="0.25">
      <c r="A49" s="26"/>
      <c r="B49" s="19" t="s">
        <v>1806</v>
      </c>
      <c r="C49" s="19" t="s">
        <v>57</v>
      </c>
      <c r="D49" s="20" t="s">
        <v>58</v>
      </c>
      <c r="E49" s="21" t="s">
        <v>1511</v>
      </c>
      <c r="F49" s="19">
        <v>15876</v>
      </c>
      <c r="G49" s="18">
        <v>700</v>
      </c>
      <c r="H49" s="18" t="s">
        <v>1863</v>
      </c>
      <c r="I49" s="18" t="s">
        <v>30</v>
      </c>
      <c r="J49" s="23">
        <v>44968</v>
      </c>
      <c r="K49" s="18" t="s">
        <v>1864</v>
      </c>
      <c r="L49" s="19" t="s">
        <v>1865</v>
      </c>
      <c r="M49" s="19" t="s">
        <v>1866</v>
      </c>
      <c r="N49" s="26"/>
      <c r="O49" s="26">
        <v>15876</v>
      </c>
      <c r="P49" s="26"/>
      <c r="Q49" s="26"/>
      <c r="R49" s="26"/>
      <c r="S49" s="27">
        <v>49500</v>
      </c>
      <c r="T49" s="28">
        <f t="shared" si="0"/>
        <v>785862</v>
      </c>
      <c r="U49" s="26"/>
    </row>
    <row r="50" spans="1:21" s="17" customFormat="1" x14ac:dyDescent="0.25">
      <c r="A50" s="26"/>
      <c r="B50" s="22" t="s">
        <v>1867</v>
      </c>
      <c r="C50" s="19" t="s">
        <v>57</v>
      </c>
      <c r="D50" s="20" t="s">
        <v>58</v>
      </c>
      <c r="E50" s="33" t="s">
        <v>1727</v>
      </c>
      <c r="F50" s="19">
        <v>3969</v>
      </c>
      <c r="G50" s="18">
        <v>175</v>
      </c>
      <c r="H50" s="18" t="s">
        <v>95</v>
      </c>
      <c r="I50" s="18" t="s">
        <v>30</v>
      </c>
      <c r="J50" s="23">
        <v>44968</v>
      </c>
      <c r="K50" s="18" t="s">
        <v>1864</v>
      </c>
      <c r="L50" s="26"/>
      <c r="M50" s="26"/>
      <c r="N50" s="26"/>
      <c r="O50" s="26">
        <v>3969</v>
      </c>
      <c r="P50" s="26"/>
      <c r="Q50" s="26"/>
      <c r="R50" s="26"/>
      <c r="S50" s="27">
        <v>49500</v>
      </c>
      <c r="T50" s="28">
        <f t="shared" si="0"/>
        <v>196465.5</v>
      </c>
      <c r="U50" s="26"/>
    </row>
    <row r="51" spans="1:21" s="17" customFormat="1" x14ac:dyDescent="0.25">
      <c r="A51" s="26"/>
      <c r="B51" s="19" t="s">
        <v>1868</v>
      </c>
      <c r="C51" s="19" t="s">
        <v>893</v>
      </c>
      <c r="D51" s="20" t="s">
        <v>1869</v>
      </c>
      <c r="E51" s="21" t="s">
        <v>1113</v>
      </c>
      <c r="F51" s="19">
        <v>8800</v>
      </c>
      <c r="G51" s="18">
        <v>44</v>
      </c>
      <c r="H51" s="18" t="s">
        <v>423</v>
      </c>
      <c r="I51" s="18" t="s">
        <v>30</v>
      </c>
      <c r="J51" s="23">
        <v>44968</v>
      </c>
      <c r="K51" s="18" t="s">
        <v>1870</v>
      </c>
      <c r="L51" s="19" t="s">
        <v>1871</v>
      </c>
      <c r="M51" s="19" t="s">
        <v>1872</v>
      </c>
      <c r="N51" s="26"/>
      <c r="O51" s="26"/>
      <c r="P51" s="26"/>
      <c r="Q51" s="26">
        <v>8800</v>
      </c>
      <c r="R51" s="26" t="s">
        <v>34</v>
      </c>
      <c r="S51" s="27">
        <v>170000</v>
      </c>
      <c r="T51" s="28">
        <f t="shared" si="0"/>
        <v>1496000.0000000002</v>
      </c>
      <c r="U51" s="26"/>
    </row>
    <row r="52" spans="1:21" s="17" customFormat="1" x14ac:dyDescent="0.25">
      <c r="A52" s="26"/>
      <c r="B52" s="19" t="s">
        <v>1868</v>
      </c>
      <c r="C52" s="19" t="s">
        <v>893</v>
      </c>
      <c r="D52" s="20" t="s">
        <v>1869</v>
      </c>
      <c r="E52" s="21" t="s">
        <v>1838</v>
      </c>
      <c r="F52" s="19">
        <v>5600</v>
      </c>
      <c r="G52" s="18">
        <v>28</v>
      </c>
      <c r="H52" s="18" t="s">
        <v>423</v>
      </c>
      <c r="I52" s="18" t="s">
        <v>30</v>
      </c>
      <c r="J52" s="23">
        <v>44968</v>
      </c>
      <c r="K52" s="18" t="s">
        <v>1870</v>
      </c>
      <c r="L52" s="19"/>
      <c r="M52" s="19"/>
      <c r="N52" s="26"/>
      <c r="O52" s="26"/>
      <c r="P52" s="26"/>
      <c r="Q52" s="26">
        <v>5600</v>
      </c>
      <c r="R52" s="26" t="s">
        <v>34</v>
      </c>
      <c r="S52" s="27">
        <v>170000</v>
      </c>
      <c r="T52" s="28">
        <f t="shared" si="0"/>
        <v>951999.99999999988</v>
      </c>
      <c r="U52" s="26"/>
    </row>
    <row r="53" spans="1:21" s="17" customFormat="1" x14ac:dyDescent="0.25">
      <c r="A53" s="26"/>
      <c r="B53" s="19" t="s">
        <v>1868</v>
      </c>
      <c r="C53" s="19" t="s">
        <v>893</v>
      </c>
      <c r="D53" s="20" t="s">
        <v>1869</v>
      </c>
      <c r="E53" s="21" t="s">
        <v>1842</v>
      </c>
      <c r="F53" s="19">
        <v>3200</v>
      </c>
      <c r="G53" s="18">
        <v>16</v>
      </c>
      <c r="H53" s="18" t="s">
        <v>423</v>
      </c>
      <c r="I53" s="18" t="s">
        <v>30</v>
      </c>
      <c r="J53" s="23">
        <v>44968</v>
      </c>
      <c r="K53" s="18" t="s">
        <v>1870</v>
      </c>
      <c r="L53" s="19"/>
      <c r="M53" s="19"/>
      <c r="N53" s="26"/>
      <c r="O53" s="26"/>
      <c r="P53" s="26"/>
      <c r="Q53" s="26">
        <v>3200</v>
      </c>
      <c r="R53" s="26" t="s">
        <v>34</v>
      </c>
      <c r="S53" s="27">
        <v>170000</v>
      </c>
      <c r="T53" s="28">
        <f t="shared" si="0"/>
        <v>544000</v>
      </c>
      <c r="U53" s="26"/>
    </row>
    <row r="54" spans="1:21" s="17" customFormat="1" x14ac:dyDescent="0.25">
      <c r="A54" s="26"/>
      <c r="B54" s="19" t="s">
        <v>1653</v>
      </c>
      <c r="C54" s="19" t="s">
        <v>893</v>
      </c>
      <c r="D54" s="20" t="s">
        <v>1498</v>
      </c>
      <c r="E54" s="21" t="s">
        <v>1609</v>
      </c>
      <c r="F54" s="19">
        <v>8550</v>
      </c>
      <c r="G54" s="18">
        <v>45</v>
      </c>
      <c r="H54" s="18" t="s">
        <v>448</v>
      </c>
      <c r="I54" s="18" t="s">
        <v>30</v>
      </c>
      <c r="J54" s="23">
        <v>44968</v>
      </c>
      <c r="K54" s="18" t="s">
        <v>1873</v>
      </c>
      <c r="L54" s="19" t="s">
        <v>1874</v>
      </c>
      <c r="M54" s="19" t="s">
        <v>1875</v>
      </c>
      <c r="N54" s="26"/>
      <c r="O54" s="26"/>
      <c r="P54" s="26"/>
      <c r="Q54" s="26">
        <v>8550</v>
      </c>
      <c r="R54" s="26" t="s">
        <v>34</v>
      </c>
      <c r="S54" s="27">
        <v>165000</v>
      </c>
      <c r="T54" s="28">
        <f t="shared" si="0"/>
        <v>1410750.0000000002</v>
      </c>
      <c r="U54" s="28">
        <v>270000</v>
      </c>
    </row>
    <row r="55" spans="1:21" s="17" customFormat="1" x14ac:dyDescent="0.25">
      <c r="A55" s="26"/>
      <c r="B55" s="19" t="s">
        <v>1653</v>
      </c>
      <c r="C55" s="19" t="s">
        <v>893</v>
      </c>
      <c r="D55" s="20" t="s">
        <v>1498</v>
      </c>
      <c r="E55" s="21" t="s">
        <v>1860</v>
      </c>
      <c r="F55" s="19">
        <v>8170</v>
      </c>
      <c r="G55" s="18">
        <v>43</v>
      </c>
      <c r="H55" s="18" t="s">
        <v>448</v>
      </c>
      <c r="I55" s="18" t="s">
        <v>30</v>
      </c>
      <c r="J55" s="23">
        <v>44968</v>
      </c>
      <c r="K55" s="18" t="s">
        <v>1873</v>
      </c>
      <c r="L55" s="19"/>
      <c r="M55" s="19"/>
      <c r="N55" s="26"/>
      <c r="O55" s="26"/>
      <c r="P55" s="26"/>
      <c r="Q55" s="26">
        <v>8170</v>
      </c>
      <c r="R55" s="26" t="s">
        <v>34</v>
      </c>
      <c r="S55" s="27">
        <v>165000</v>
      </c>
      <c r="T55" s="28">
        <f t="shared" si="0"/>
        <v>1348050</v>
      </c>
      <c r="U55" s="26"/>
    </row>
    <row r="56" spans="1:21" s="17" customFormat="1" x14ac:dyDescent="0.25">
      <c r="A56" s="26"/>
      <c r="B56" s="19" t="s">
        <v>1876</v>
      </c>
      <c r="C56" s="19" t="s">
        <v>85</v>
      </c>
      <c r="D56" s="20" t="s">
        <v>86</v>
      </c>
      <c r="E56" s="21" t="s">
        <v>389</v>
      </c>
      <c r="F56" s="19">
        <v>20000</v>
      </c>
      <c r="G56" s="18">
        <v>800</v>
      </c>
      <c r="H56" s="18" t="s">
        <v>322</v>
      </c>
      <c r="I56" s="18" t="s">
        <v>30</v>
      </c>
      <c r="J56" s="23">
        <v>44971</v>
      </c>
      <c r="K56" s="18" t="s">
        <v>1877</v>
      </c>
      <c r="L56" s="19" t="s">
        <v>1878</v>
      </c>
      <c r="M56" s="19" t="s">
        <v>1879</v>
      </c>
      <c r="N56" s="26"/>
      <c r="O56" s="26">
        <v>20000</v>
      </c>
      <c r="P56" s="26"/>
      <c r="Q56" s="26"/>
      <c r="R56" s="26"/>
      <c r="S56" s="27">
        <v>41000</v>
      </c>
      <c r="T56" s="28">
        <f t="shared" si="0"/>
        <v>820000</v>
      </c>
      <c r="U56" s="26"/>
    </row>
    <row r="57" spans="1:21" s="17" customFormat="1" x14ac:dyDescent="0.25">
      <c r="A57" s="26" t="s">
        <v>280</v>
      </c>
      <c r="B57" s="19" t="s">
        <v>678</v>
      </c>
      <c r="C57" s="19" t="s">
        <v>126</v>
      </c>
      <c r="D57" s="20" t="s">
        <v>1880</v>
      </c>
      <c r="E57" s="21" t="s">
        <v>1113</v>
      </c>
      <c r="F57" s="19">
        <v>17500</v>
      </c>
      <c r="G57" s="18">
        <v>700</v>
      </c>
      <c r="H57" s="18" t="s">
        <v>129</v>
      </c>
      <c r="I57" s="18" t="s">
        <v>30</v>
      </c>
      <c r="J57" s="23">
        <v>44972</v>
      </c>
      <c r="K57" s="18"/>
      <c r="L57" s="19"/>
      <c r="M57" s="19"/>
      <c r="N57" s="26" t="s">
        <v>1881</v>
      </c>
      <c r="O57" s="26">
        <v>17500</v>
      </c>
      <c r="P57" s="26"/>
      <c r="Q57" s="26"/>
      <c r="R57" s="26"/>
      <c r="S57" s="27">
        <v>41000</v>
      </c>
      <c r="T57" s="28">
        <f t="shared" si="0"/>
        <v>717500</v>
      </c>
      <c r="U57" s="26"/>
    </row>
    <row r="58" spans="1:21" s="17" customFormat="1" x14ac:dyDescent="0.25">
      <c r="A58" s="26" t="s">
        <v>280</v>
      </c>
      <c r="B58" s="19" t="s">
        <v>678</v>
      </c>
      <c r="C58" s="19" t="s">
        <v>126</v>
      </c>
      <c r="D58" s="20" t="s">
        <v>1880</v>
      </c>
      <c r="E58" s="21" t="s">
        <v>1882</v>
      </c>
      <c r="F58" s="19">
        <v>17500</v>
      </c>
      <c r="G58" s="18">
        <v>700</v>
      </c>
      <c r="H58" s="18" t="s">
        <v>129</v>
      </c>
      <c r="I58" s="18" t="s">
        <v>30</v>
      </c>
      <c r="J58" s="23">
        <v>44972</v>
      </c>
      <c r="K58" s="18"/>
      <c r="L58" s="19"/>
      <c r="M58" s="19"/>
      <c r="N58" s="26" t="s">
        <v>1883</v>
      </c>
      <c r="O58" s="26">
        <v>17500</v>
      </c>
      <c r="P58" s="26"/>
      <c r="Q58" s="26"/>
      <c r="R58" s="26"/>
      <c r="S58" s="27">
        <v>41000</v>
      </c>
      <c r="T58" s="28">
        <f t="shared" si="0"/>
        <v>717500</v>
      </c>
      <c r="U58" s="26"/>
    </row>
    <row r="59" spans="1:21" s="17" customFormat="1" x14ac:dyDescent="0.25">
      <c r="A59" s="26"/>
      <c r="B59" s="19" t="s">
        <v>1645</v>
      </c>
      <c r="C59" s="19" t="s">
        <v>893</v>
      </c>
      <c r="D59" s="20" t="s">
        <v>1498</v>
      </c>
      <c r="E59" s="21" t="s">
        <v>1882</v>
      </c>
      <c r="F59" s="19">
        <v>190</v>
      </c>
      <c r="G59" s="18">
        <v>1</v>
      </c>
      <c r="H59" s="18" t="s">
        <v>40</v>
      </c>
      <c r="I59" s="18" t="s">
        <v>30</v>
      </c>
      <c r="J59" s="23">
        <v>44972</v>
      </c>
      <c r="K59" s="18" t="s">
        <v>1884</v>
      </c>
      <c r="L59" s="19" t="s">
        <v>1885</v>
      </c>
      <c r="M59" s="19" t="s">
        <v>1886</v>
      </c>
      <c r="N59" s="26"/>
      <c r="O59" s="26"/>
      <c r="P59" s="26"/>
      <c r="Q59" s="26">
        <v>190</v>
      </c>
      <c r="R59" s="26" t="s">
        <v>34</v>
      </c>
      <c r="S59" s="27">
        <v>165000</v>
      </c>
      <c r="T59" s="28">
        <f t="shared" si="0"/>
        <v>31350</v>
      </c>
      <c r="U59" s="26"/>
    </row>
    <row r="60" spans="1:21" s="17" customFormat="1" x14ac:dyDescent="0.25">
      <c r="A60" s="26"/>
      <c r="B60" s="19" t="s">
        <v>1645</v>
      </c>
      <c r="C60" s="19" t="s">
        <v>893</v>
      </c>
      <c r="D60" s="20" t="s">
        <v>1498</v>
      </c>
      <c r="E60" s="21" t="s">
        <v>1887</v>
      </c>
      <c r="F60" s="19">
        <v>8360</v>
      </c>
      <c r="G60" s="18">
        <v>44</v>
      </c>
      <c r="H60" s="18" t="s">
        <v>40</v>
      </c>
      <c r="I60" s="18" t="s">
        <v>30</v>
      </c>
      <c r="J60" s="23">
        <v>44972</v>
      </c>
      <c r="K60" s="18" t="s">
        <v>1884</v>
      </c>
      <c r="L60" s="19"/>
      <c r="M60" s="19"/>
      <c r="N60" s="26"/>
      <c r="O60" s="26"/>
      <c r="P60" s="26"/>
      <c r="Q60" s="26">
        <v>8360</v>
      </c>
      <c r="R60" s="26" t="s">
        <v>34</v>
      </c>
      <c r="S60" s="27">
        <v>165000</v>
      </c>
      <c r="T60" s="28">
        <f t="shared" si="0"/>
        <v>1379400</v>
      </c>
      <c r="U60" s="26"/>
    </row>
    <row r="61" spans="1:21" s="17" customFormat="1" x14ac:dyDescent="0.25">
      <c r="A61" s="26"/>
      <c r="B61" s="19" t="s">
        <v>1645</v>
      </c>
      <c r="C61" s="19" t="s">
        <v>893</v>
      </c>
      <c r="D61" s="20" t="s">
        <v>1498</v>
      </c>
      <c r="E61" s="21" t="s">
        <v>1440</v>
      </c>
      <c r="F61" s="19">
        <v>8170</v>
      </c>
      <c r="G61" s="18">
        <v>43</v>
      </c>
      <c r="H61" s="18" t="s">
        <v>40</v>
      </c>
      <c r="I61" s="18" t="s">
        <v>30</v>
      </c>
      <c r="J61" s="23">
        <v>44972</v>
      </c>
      <c r="K61" s="18" t="s">
        <v>1884</v>
      </c>
      <c r="L61" s="19"/>
      <c r="M61" s="19"/>
      <c r="N61" s="26"/>
      <c r="O61" s="26"/>
      <c r="P61" s="26"/>
      <c r="Q61" s="26">
        <v>8170</v>
      </c>
      <c r="R61" s="26" t="s">
        <v>34</v>
      </c>
      <c r="S61" s="27">
        <v>165000</v>
      </c>
      <c r="T61" s="28">
        <f t="shared" si="0"/>
        <v>1348050</v>
      </c>
      <c r="U61" s="26"/>
    </row>
    <row r="62" spans="1:21" s="17" customFormat="1" x14ac:dyDescent="0.25">
      <c r="A62" s="26"/>
      <c r="B62" s="19" t="s">
        <v>212</v>
      </c>
      <c r="C62" s="19" t="s">
        <v>913</v>
      </c>
      <c r="D62" s="20" t="s">
        <v>86</v>
      </c>
      <c r="E62" s="21" t="s">
        <v>1888</v>
      </c>
      <c r="F62" s="19">
        <v>20000</v>
      </c>
      <c r="G62" s="18">
        <v>800</v>
      </c>
      <c r="H62" s="18" t="s">
        <v>338</v>
      </c>
      <c r="I62" s="18" t="s">
        <v>30</v>
      </c>
      <c r="J62" s="23">
        <v>44972</v>
      </c>
      <c r="K62" s="19" t="s">
        <v>1672</v>
      </c>
      <c r="L62" s="19" t="s">
        <v>1673</v>
      </c>
      <c r="M62" s="19" t="s">
        <v>1674</v>
      </c>
      <c r="N62" s="26"/>
      <c r="O62" s="26">
        <v>20000</v>
      </c>
      <c r="P62" s="26"/>
      <c r="Q62" s="26"/>
      <c r="R62" s="26"/>
      <c r="S62" s="27">
        <v>41000</v>
      </c>
      <c r="T62" s="28">
        <f t="shared" si="0"/>
        <v>820000</v>
      </c>
      <c r="U62" s="26"/>
    </row>
    <row r="63" spans="1:21" s="17" customFormat="1" x14ac:dyDescent="0.25">
      <c r="A63" s="25"/>
      <c r="B63" s="19" t="s">
        <v>1831</v>
      </c>
      <c r="C63" s="19" t="s">
        <v>57</v>
      </c>
      <c r="D63" s="20" t="s">
        <v>1813</v>
      </c>
      <c r="E63" s="21" t="s">
        <v>1113</v>
      </c>
      <c r="F63" s="19">
        <v>18144</v>
      </c>
      <c r="G63" s="18">
        <v>800</v>
      </c>
      <c r="H63" s="18" t="s">
        <v>448</v>
      </c>
      <c r="I63" s="18" t="s">
        <v>30</v>
      </c>
      <c r="J63" s="23">
        <v>44973</v>
      </c>
      <c r="K63" s="19" t="s">
        <v>1889</v>
      </c>
      <c r="L63" s="26" t="s">
        <v>1890</v>
      </c>
      <c r="M63" s="26" t="s">
        <v>1891</v>
      </c>
      <c r="N63" s="26"/>
      <c r="O63" s="26"/>
      <c r="P63" s="26">
        <v>18144</v>
      </c>
      <c r="Q63" s="26"/>
      <c r="R63" s="26"/>
      <c r="S63" s="27">
        <v>245000</v>
      </c>
      <c r="T63" s="28">
        <f t="shared" si="0"/>
        <v>4445280</v>
      </c>
      <c r="U63" s="26"/>
    </row>
    <row r="64" spans="1:21" s="17" customFormat="1" x14ac:dyDescent="0.25">
      <c r="A64" s="26"/>
      <c r="B64" s="19" t="s">
        <v>1892</v>
      </c>
      <c r="C64" s="19" t="s">
        <v>26</v>
      </c>
      <c r="D64" s="20" t="s">
        <v>27</v>
      </c>
      <c r="E64" s="33" t="s">
        <v>1893</v>
      </c>
      <c r="F64" s="19">
        <v>2000</v>
      </c>
      <c r="G64" s="18">
        <v>80</v>
      </c>
      <c r="H64" s="18" t="s">
        <v>29</v>
      </c>
      <c r="I64" s="18" t="s">
        <v>30</v>
      </c>
      <c r="J64" s="23">
        <v>44973</v>
      </c>
      <c r="K64" s="18" t="s">
        <v>1894</v>
      </c>
      <c r="L64" s="26" t="s">
        <v>1895</v>
      </c>
      <c r="M64" s="26" t="s">
        <v>1896</v>
      </c>
      <c r="N64" s="26"/>
      <c r="O64" s="26">
        <v>2000</v>
      </c>
      <c r="P64" s="26"/>
      <c r="Q64" s="26"/>
      <c r="R64" s="26"/>
      <c r="S64" s="27">
        <v>38500</v>
      </c>
      <c r="T64" s="28">
        <f t="shared" si="0"/>
        <v>77000</v>
      </c>
      <c r="U64" s="26"/>
    </row>
    <row r="65" spans="1:21" s="17" customFormat="1" x14ac:dyDescent="0.25">
      <c r="A65" s="26"/>
      <c r="B65" s="19" t="s">
        <v>1892</v>
      </c>
      <c r="C65" s="19" t="s">
        <v>26</v>
      </c>
      <c r="D65" s="20" t="s">
        <v>27</v>
      </c>
      <c r="E65" s="33" t="s">
        <v>1860</v>
      </c>
      <c r="F65" s="19">
        <v>18000</v>
      </c>
      <c r="G65" s="18">
        <v>720</v>
      </c>
      <c r="H65" s="18" t="s">
        <v>29</v>
      </c>
      <c r="I65" s="18" t="s">
        <v>30</v>
      </c>
      <c r="J65" s="23">
        <v>44973</v>
      </c>
      <c r="K65" s="18" t="s">
        <v>1894</v>
      </c>
      <c r="L65" s="26"/>
      <c r="M65" s="26"/>
      <c r="N65" s="26"/>
      <c r="O65" s="26">
        <v>18000</v>
      </c>
      <c r="P65" s="26"/>
      <c r="Q65" s="26"/>
      <c r="R65" s="26"/>
      <c r="S65" s="27">
        <v>38500</v>
      </c>
      <c r="T65" s="28">
        <f t="shared" si="0"/>
        <v>693000</v>
      </c>
      <c r="U65" s="26"/>
    </row>
    <row r="66" spans="1:21" s="26" customFormat="1" x14ac:dyDescent="0.25">
      <c r="B66" s="19" t="s">
        <v>103</v>
      </c>
      <c r="C66" s="19" t="s">
        <v>49</v>
      </c>
      <c r="D66" s="20" t="s">
        <v>1897</v>
      </c>
      <c r="E66" s="21" t="s">
        <v>1898</v>
      </c>
      <c r="F66" s="19">
        <v>5000</v>
      </c>
      <c r="G66" s="18">
        <v>25</v>
      </c>
      <c r="H66" s="18" t="s">
        <v>29</v>
      </c>
      <c r="I66" s="18" t="s">
        <v>30</v>
      </c>
      <c r="J66" s="23">
        <v>44974</v>
      </c>
      <c r="K66" s="18" t="s">
        <v>1899</v>
      </c>
      <c r="L66" s="19" t="s">
        <v>1900</v>
      </c>
      <c r="M66" s="19" t="s">
        <v>1901</v>
      </c>
      <c r="Q66" s="26">
        <v>5000</v>
      </c>
      <c r="S66" s="28">
        <v>167000</v>
      </c>
      <c r="T66" s="28">
        <f t="shared" si="0"/>
        <v>835000</v>
      </c>
    </row>
    <row r="67" spans="1:21" s="17" customFormat="1" x14ac:dyDescent="0.25">
      <c r="A67" s="26"/>
      <c r="B67" s="19" t="s">
        <v>1902</v>
      </c>
      <c r="C67" s="19" t="s">
        <v>26</v>
      </c>
      <c r="D67" s="20" t="s">
        <v>27</v>
      </c>
      <c r="E67" s="33" t="s">
        <v>1887</v>
      </c>
      <c r="F67" s="19">
        <v>20000</v>
      </c>
      <c r="G67" s="18">
        <v>800</v>
      </c>
      <c r="H67" s="18" t="s">
        <v>129</v>
      </c>
      <c r="I67" s="18" t="s">
        <v>30</v>
      </c>
      <c r="J67" s="23">
        <v>44974</v>
      </c>
      <c r="K67" s="18" t="s">
        <v>482</v>
      </c>
      <c r="L67" s="26" t="s">
        <v>585</v>
      </c>
      <c r="M67" s="26" t="s">
        <v>408</v>
      </c>
      <c r="N67" s="26"/>
      <c r="O67" s="26">
        <v>20000</v>
      </c>
      <c r="P67" s="26"/>
      <c r="Q67" s="26"/>
      <c r="R67" s="26" t="s">
        <v>34</v>
      </c>
      <c r="S67" s="27">
        <v>38500</v>
      </c>
      <c r="T67" s="28">
        <f t="shared" si="0"/>
        <v>770000</v>
      </c>
      <c r="U67" s="26">
        <v>195000</v>
      </c>
    </row>
    <row r="68" spans="1:21" s="17" customFormat="1" x14ac:dyDescent="0.25">
      <c r="A68" s="26"/>
      <c r="B68" s="19" t="s">
        <v>1640</v>
      </c>
      <c r="C68" s="19" t="s">
        <v>893</v>
      </c>
      <c r="D68" s="20" t="s">
        <v>1498</v>
      </c>
      <c r="E68" s="21" t="s">
        <v>1903</v>
      </c>
      <c r="F68" s="19">
        <v>8360</v>
      </c>
      <c r="G68" s="18">
        <v>44</v>
      </c>
      <c r="H68" s="18" t="s">
        <v>462</v>
      </c>
      <c r="I68" s="18" t="s">
        <v>30</v>
      </c>
      <c r="J68" s="23">
        <v>44974</v>
      </c>
      <c r="K68" s="18" t="s">
        <v>1208</v>
      </c>
      <c r="L68" s="19" t="s">
        <v>1209</v>
      </c>
      <c r="M68" s="19" t="s">
        <v>312</v>
      </c>
      <c r="N68" s="26"/>
      <c r="O68" s="26"/>
      <c r="P68" s="26"/>
      <c r="Q68" s="26">
        <v>8360</v>
      </c>
      <c r="R68" s="26" t="s">
        <v>34</v>
      </c>
      <c r="S68" s="27">
        <v>165000</v>
      </c>
      <c r="T68" s="28">
        <f t="shared" ref="T68" si="1">S68*(F68/1000)</f>
        <v>1379400</v>
      </c>
      <c r="U68" s="26">
        <v>200000</v>
      </c>
    </row>
    <row r="69" spans="1:21" s="17" customFormat="1" x14ac:dyDescent="0.25">
      <c r="A69" s="26"/>
      <c r="B69" s="19" t="s">
        <v>1640</v>
      </c>
      <c r="C69" s="19" t="s">
        <v>893</v>
      </c>
      <c r="D69" s="20" t="s">
        <v>1498</v>
      </c>
      <c r="E69" s="21" t="s">
        <v>1882</v>
      </c>
      <c r="F69" s="19">
        <v>8360</v>
      </c>
      <c r="G69" s="18">
        <v>44</v>
      </c>
      <c r="H69" s="18" t="s">
        <v>462</v>
      </c>
      <c r="I69" s="18" t="s">
        <v>30</v>
      </c>
      <c r="J69" s="23">
        <v>44974</v>
      </c>
      <c r="K69" s="18" t="s">
        <v>1208</v>
      </c>
      <c r="L69" s="19"/>
      <c r="M69" s="19"/>
      <c r="N69" s="26"/>
      <c r="O69" s="26"/>
      <c r="P69" s="26"/>
      <c r="Q69" s="26">
        <v>8360</v>
      </c>
      <c r="R69" s="26" t="s">
        <v>34</v>
      </c>
      <c r="S69" s="27">
        <v>165000</v>
      </c>
      <c r="T69" s="28">
        <f t="shared" ref="T69:T106" si="2">S69*(F69/1000)</f>
        <v>1379400</v>
      </c>
      <c r="U69" s="26"/>
    </row>
    <row r="70" spans="1:21" s="17" customFormat="1" x14ac:dyDescent="0.25">
      <c r="A70" s="71"/>
      <c r="B70" s="67" t="s">
        <v>1904</v>
      </c>
      <c r="C70" s="67" t="s">
        <v>439</v>
      </c>
      <c r="D70" s="72" t="s">
        <v>492</v>
      </c>
      <c r="E70" s="73" t="s">
        <v>1882</v>
      </c>
      <c r="F70" s="67">
        <v>20000</v>
      </c>
      <c r="G70" s="29">
        <v>800</v>
      </c>
      <c r="H70" s="29" t="s">
        <v>29</v>
      </c>
      <c r="I70" s="18" t="s">
        <v>30</v>
      </c>
      <c r="J70" s="74">
        <v>44974</v>
      </c>
      <c r="K70" s="29" t="s">
        <v>1905</v>
      </c>
      <c r="L70" s="67"/>
      <c r="M70" s="67" t="s">
        <v>1906</v>
      </c>
      <c r="N70" s="71"/>
      <c r="O70" s="71"/>
      <c r="P70" s="71">
        <v>20000</v>
      </c>
      <c r="Q70" s="71"/>
      <c r="R70" s="71"/>
      <c r="S70" s="77">
        <v>255000</v>
      </c>
      <c r="T70" s="28">
        <f t="shared" si="2"/>
        <v>5100000</v>
      </c>
      <c r="U70" s="71"/>
    </row>
    <row r="71" spans="1:21" s="17" customFormat="1" x14ac:dyDescent="0.25">
      <c r="A71" s="26"/>
      <c r="B71" s="19" t="s">
        <v>413</v>
      </c>
      <c r="C71" s="19" t="s">
        <v>65</v>
      </c>
      <c r="D71" s="20" t="s">
        <v>74</v>
      </c>
      <c r="E71" s="33" t="s">
        <v>1907</v>
      </c>
      <c r="F71" s="19">
        <v>20000</v>
      </c>
      <c r="G71" s="18">
        <v>800</v>
      </c>
      <c r="H71" s="18" t="s">
        <v>29</v>
      </c>
      <c r="I71" s="18" t="s">
        <v>30</v>
      </c>
      <c r="J71" s="23">
        <v>44974</v>
      </c>
      <c r="K71" s="18" t="s">
        <v>1908</v>
      </c>
      <c r="L71" s="26" t="s">
        <v>1909</v>
      </c>
      <c r="M71" s="26" t="s">
        <v>1910</v>
      </c>
      <c r="N71" s="26"/>
      <c r="O71" s="26">
        <v>20000</v>
      </c>
      <c r="P71" s="26"/>
      <c r="Q71" s="26"/>
      <c r="R71" s="26"/>
      <c r="S71" s="27">
        <v>45000</v>
      </c>
      <c r="T71" s="28">
        <f t="shared" si="2"/>
        <v>900000</v>
      </c>
      <c r="U71" s="26"/>
    </row>
    <row r="72" spans="1:21" s="17" customFormat="1" x14ac:dyDescent="0.25">
      <c r="A72" s="26"/>
      <c r="B72" s="19" t="s">
        <v>476</v>
      </c>
      <c r="C72" s="19" t="s">
        <v>491</v>
      </c>
      <c r="D72" s="20" t="s">
        <v>66</v>
      </c>
      <c r="E72" s="21" t="s">
        <v>1526</v>
      </c>
      <c r="F72" s="19">
        <v>4000</v>
      </c>
      <c r="G72" s="18">
        <v>20</v>
      </c>
      <c r="H72" s="18" t="s">
        <v>29</v>
      </c>
      <c r="I72" s="18" t="s">
        <v>30</v>
      </c>
      <c r="J72" s="23">
        <v>44974</v>
      </c>
      <c r="K72" s="18" t="s">
        <v>1911</v>
      </c>
      <c r="L72" s="26"/>
      <c r="M72" s="26" t="s">
        <v>1912</v>
      </c>
      <c r="N72" s="26"/>
      <c r="O72" s="26"/>
      <c r="P72" s="26"/>
      <c r="Q72" s="26">
        <v>4000</v>
      </c>
      <c r="R72" s="26"/>
      <c r="S72" s="27">
        <v>85000</v>
      </c>
      <c r="T72" s="28">
        <f t="shared" si="2"/>
        <v>340000</v>
      </c>
      <c r="U72" s="26"/>
    </row>
    <row r="73" spans="1:21" s="17" customFormat="1" x14ac:dyDescent="0.25">
      <c r="A73" s="26"/>
      <c r="B73" s="19" t="s">
        <v>476</v>
      </c>
      <c r="C73" s="19" t="s">
        <v>491</v>
      </c>
      <c r="D73" s="20" t="s">
        <v>66</v>
      </c>
      <c r="E73" s="21" t="s">
        <v>1794</v>
      </c>
      <c r="F73" s="19">
        <v>1000</v>
      </c>
      <c r="G73" s="18">
        <v>5</v>
      </c>
      <c r="H73" s="18" t="s">
        <v>29</v>
      </c>
      <c r="I73" s="18" t="s">
        <v>30</v>
      </c>
      <c r="J73" s="23">
        <v>44974</v>
      </c>
      <c r="K73" s="18" t="s">
        <v>1911</v>
      </c>
      <c r="L73" s="26"/>
      <c r="M73" s="26"/>
      <c r="N73" s="26"/>
      <c r="O73" s="26"/>
      <c r="P73" s="26"/>
      <c r="Q73" s="26">
        <v>1000</v>
      </c>
      <c r="R73" s="26"/>
      <c r="S73" s="27">
        <v>85000</v>
      </c>
      <c r="T73" s="28">
        <f t="shared" si="2"/>
        <v>85000</v>
      </c>
      <c r="U73" s="26"/>
    </row>
    <row r="74" spans="1:21" s="17" customFormat="1" x14ac:dyDescent="0.25">
      <c r="A74" s="26"/>
      <c r="B74" s="19" t="s">
        <v>476</v>
      </c>
      <c r="C74" s="19" t="s">
        <v>491</v>
      </c>
      <c r="D74" s="20" t="s">
        <v>66</v>
      </c>
      <c r="E74" s="21" t="s">
        <v>1505</v>
      </c>
      <c r="F74" s="19">
        <v>8200</v>
      </c>
      <c r="G74" s="18">
        <v>41</v>
      </c>
      <c r="H74" s="18" t="s">
        <v>29</v>
      </c>
      <c r="I74" s="18" t="s">
        <v>30</v>
      </c>
      <c r="J74" s="23">
        <v>44974</v>
      </c>
      <c r="K74" s="18" t="s">
        <v>1911</v>
      </c>
      <c r="L74" s="26"/>
      <c r="M74" s="26"/>
      <c r="N74" s="26"/>
      <c r="O74" s="26"/>
      <c r="P74" s="26"/>
      <c r="Q74" s="26">
        <v>8200</v>
      </c>
      <c r="R74" s="26"/>
      <c r="S74" s="27">
        <v>85000</v>
      </c>
      <c r="T74" s="28">
        <f t="shared" si="2"/>
        <v>696999.99999999988</v>
      </c>
      <c r="U74" s="26"/>
    </row>
    <row r="75" spans="1:21" s="17" customFormat="1" x14ac:dyDescent="0.25">
      <c r="A75" s="26"/>
      <c r="B75" s="19" t="s">
        <v>476</v>
      </c>
      <c r="C75" s="19" t="s">
        <v>491</v>
      </c>
      <c r="D75" s="20" t="s">
        <v>66</v>
      </c>
      <c r="E75" s="21" t="s">
        <v>1649</v>
      </c>
      <c r="F75" s="19">
        <v>1200</v>
      </c>
      <c r="G75" s="18">
        <v>6</v>
      </c>
      <c r="H75" s="18" t="s">
        <v>29</v>
      </c>
      <c r="I75" s="18" t="s">
        <v>30</v>
      </c>
      <c r="J75" s="23">
        <v>44974</v>
      </c>
      <c r="K75" s="18" t="s">
        <v>1911</v>
      </c>
      <c r="L75" s="26"/>
      <c r="M75" s="26"/>
      <c r="N75" s="26"/>
      <c r="O75" s="26"/>
      <c r="P75" s="26"/>
      <c r="Q75" s="26">
        <v>1200</v>
      </c>
      <c r="R75" s="26"/>
      <c r="S75" s="27">
        <v>85000</v>
      </c>
      <c r="T75" s="28">
        <f t="shared" si="2"/>
        <v>102000</v>
      </c>
      <c r="U75" s="26"/>
    </row>
    <row r="76" spans="1:21" s="17" customFormat="1" x14ac:dyDescent="0.25">
      <c r="A76" s="26"/>
      <c r="B76" s="19" t="s">
        <v>476</v>
      </c>
      <c r="C76" s="19" t="s">
        <v>491</v>
      </c>
      <c r="D76" s="20" t="s">
        <v>66</v>
      </c>
      <c r="E76" s="21" t="s">
        <v>1509</v>
      </c>
      <c r="F76" s="19">
        <v>400</v>
      </c>
      <c r="G76" s="18">
        <v>2</v>
      </c>
      <c r="H76" s="18" t="s">
        <v>29</v>
      </c>
      <c r="I76" s="18" t="s">
        <v>30</v>
      </c>
      <c r="J76" s="23">
        <v>44974</v>
      </c>
      <c r="K76" s="18" t="s">
        <v>1911</v>
      </c>
      <c r="L76" s="26"/>
      <c r="M76" s="26"/>
      <c r="N76" s="26"/>
      <c r="O76" s="26"/>
      <c r="P76" s="26"/>
      <c r="Q76" s="26">
        <v>400</v>
      </c>
      <c r="R76" s="26"/>
      <c r="S76" s="27">
        <v>85000</v>
      </c>
      <c r="T76" s="28">
        <f t="shared" si="2"/>
        <v>34000</v>
      </c>
      <c r="U76" s="26"/>
    </row>
    <row r="77" spans="1:21" s="17" customFormat="1" x14ac:dyDescent="0.25">
      <c r="A77" s="26"/>
      <c r="B77" s="19" t="s">
        <v>476</v>
      </c>
      <c r="C77" s="19" t="s">
        <v>491</v>
      </c>
      <c r="D77" s="20" t="s">
        <v>66</v>
      </c>
      <c r="E77" s="21" t="s">
        <v>1510</v>
      </c>
      <c r="F77" s="19">
        <v>2800</v>
      </c>
      <c r="G77" s="18">
        <v>14</v>
      </c>
      <c r="H77" s="18" t="s">
        <v>29</v>
      </c>
      <c r="I77" s="18" t="s">
        <v>30</v>
      </c>
      <c r="J77" s="23">
        <v>44974</v>
      </c>
      <c r="K77" s="18" t="s">
        <v>1911</v>
      </c>
      <c r="L77" s="26"/>
      <c r="M77" s="26"/>
      <c r="N77" s="26"/>
      <c r="O77" s="26"/>
      <c r="P77" s="26"/>
      <c r="Q77" s="26">
        <v>2800</v>
      </c>
      <c r="R77" s="26"/>
      <c r="S77" s="27">
        <v>85000</v>
      </c>
      <c r="T77" s="28">
        <f t="shared" si="2"/>
        <v>237999.99999999997</v>
      </c>
      <c r="U77" s="26"/>
    </row>
    <row r="78" spans="1:21" s="17" customFormat="1" x14ac:dyDescent="0.25">
      <c r="A78" s="26"/>
      <c r="B78" s="19" t="s">
        <v>48</v>
      </c>
      <c r="C78" s="19" t="s">
        <v>109</v>
      </c>
      <c r="D78" s="20" t="s">
        <v>110</v>
      </c>
      <c r="E78" s="21" t="s">
        <v>1856</v>
      </c>
      <c r="F78" s="19">
        <v>800</v>
      </c>
      <c r="G78" s="18">
        <v>4</v>
      </c>
      <c r="H78" s="18" t="s">
        <v>112</v>
      </c>
      <c r="I78" s="18" t="s">
        <v>30</v>
      </c>
      <c r="J78" s="23">
        <v>44977</v>
      </c>
      <c r="K78" s="18" t="s">
        <v>693</v>
      </c>
      <c r="L78" s="19" t="s">
        <v>694</v>
      </c>
      <c r="M78" s="19" t="s">
        <v>695</v>
      </c>
      <c r="N78" s="26"/>
      <c r="O78" s="26"/>
      <c r="P78" s="26"/>
      <c r="Q78" s="26">
        <v>800</v>
      </c>
      <c r="R78" s="26" t="s">
        <v>34</v>
      </c>
      <c r="S78" s="27">
        <v>65000</v>
      </c>
      <c r="T78" s="28">
        <f t="shared" si="2"/>
        <v>52000</v>
      </c>
      <c r="U78" s="28">
        <v>265000</v>
      </c>
    </row>
    <row r="79" spans="1:21" s="17" customFormat="1" x14ac:dyDescent="0.25">
      <c r="A79" s="26"/>
      <c r="B79" s="19" t="s">
        <v>48</v>
      </c>
      <c r="C79" s="19" t="s">
        <v>109</v>
      </c>
      <c r="D79" s="20" t="s">
        <v>110</v>
      </c>
      <c r="E79" s="21" t="s">
        <v>1913</v>
      </c>
      <c r="F79" s="19">
        <v>5600</v>
      </c>
      <c r="G79" s="18">
        <v>28</v>
      </c>
      <c r="H79" s="18" t="s">
        <v>112</v>
      </c>
      <c r="I79" s="18" t="s">
        <v>30</v>
      </c>
      <c r="J79" s="23">
        <v>44977</v>
      </c>
      <c r="K79" s="18" t="s">
        <v>693</v>
      </c>
      <c r="L79" s="19" t="s">
        <v>694</v>
      </c>
      <c r="M79" s="19" t="s">
        <v>695</v>
      </c>
      <c r="N79" s="26"/>
      <c r="O79" s="26"/>
      <c r="P79" s="26"/>
      <c r="Q79" s="26">
        <v>5600</v>
      </c>
      <c r="R79" s="26" t="s">
        <v>34</v>
      </c>
      <c r="S79" s="27">
        <v>65000</v>
      </c>
      <c r="T79" s="28">
        <f t="shared" si="2"/>
        <v>364000</v>
      </c>
      <c r="U79" s="28"/>
    </row>
    <row r="80" spans="1:21" s="17" customFormat="1" x14ac:dyDescent="0.25">
      <c r="A80" s="26"/>
      <c r="B80" s="19" t="s">
        <v>48</v>
      </c>
      <c r="C80" s="19" t="s">
        <v>109</v>
      </c>
      <c r="D80" s="20" t="s">
        <v>110</v>
      </c>
      <c r="E80" s="21" t="s">
        <v>1914</v>
      </c>
      <c r="F80" s="19">
        <v>7200</v>
      </c>
      <c r="G80" s="18">
        <v>36</v>
      </c>
      <c r="H80" s="18" t="s">
        <v>112</v>
      </c>
      <c r="I80" s="18" t="s">
        <v>30</v>
      </c>
      <c r="J80" s="23">
        <v>44977</v>
      </c>
      <c r="K80" s="18" t="s">
        <v>693</v>
      </c>
      <c r="L80" s="19" t="s">
        <v>694</v>
      </c>
      <c r="M80" s="19" t="s">
        <v>695</v>
      </c>
      <c r="N80" s="26"/>
      <c r="O80" s="26"/>
      <c r="P80" s="26"/>
      <c r="Q80" s="26">
        <v>7200</v>
      </c>
      <c r="R80" s="26" t="s">
        <v>34</v>
      </c>
      <c r="S80" s="27">
        <v>65000</v>
      </c>
      <c r="T80" s="28">
        <f t="shared" si="2"/>
        <v>468000</v>
      </c>
      <c r="U80" s="28"/>
    </row>
    <row r="81" spans="1:21" s="17" customFormat="1" x14ac:dyDescent="0.25">
      <c r="A81" s="26"/>
      <c r="B81" s="19" t="s">
        <v>48</v>
      </c>
      <c r="C81" s="19" t="s">
        <v>109</v>
      </c>
      <c r="D81" s="20" t="s">
        <v>110</v>
      </c>
      <c r="E81" s="21" t="s">
        <v>1748</v>
      </c>
      <c r="F81" s="19">
        <v>4000</v>
      </c>
      <c r="G81" s="18">
        <v>20</v>
      </c>
      <c r="H81" s="18" t="s">
        <v>112</v>
      </c>
      <c r="I81" s="18" t="s">
        <v>30</v>
      </c>
      <c r="J81" s="23">
        <v>44977</v>
      </c>
      <c r="K81" s="18" t="s">
        <v>693</v>
      </c>
      <c r="L81" s="19" t="s">
        <v>694</v>
      </c>
      <c r="M81" s="19" t="s">
        <v>695</v>
      </c>
      <c r="N81" s="26"/>
      <c r="O81" s="26"/>
      <c r="P81" s="26"/>
      <c r="Q81" s="26">
        <v>4000</v>
      </c>
      <c r="R81" s="26" t="s">
        <v>34</v>
      </c>
      <c r="S81" s="27">
        <v>65000</v>
      </c>
      <c r="T81" s="28">
        <f t="shared" si="2"/>
        <v>260000</v>
      </c>
      <c r="U81" s="28"/>
    </row>
    <row r="82" spans="1:21" s="17" customFormat="1" x14ac:dyDescent="0.25">
      <c r="A82" s="26"/>
      <c r="B82" s="19" t="s">
        <v>1687</v>
      </c>
      <c r="C82" s="19" t="s">
        <v>893</v>
      </c>
      <c r="D82" s="20" t="s">
        <v>1600</v>
      </c>
      <c r="E82" s="21" t="s">
        <v>1915</v>
      </c>
      <c r="F82" s="19">
        <v>20000</v>
      </c>
      <c r="G82" s="18">
        <v>800</v>
      </c>
      <c r="H82" s="18" t="s">
        <v>448</v>
      </c>
      <c r="I82" s="18" t="s">
        <v>30</v>
      </c>
      <c r="J82" s="23">
        <v>44977</v>
      </c>
      <c r="K82" s="18" t="s">
        <v>1916</v>
      </c>
      <c r="L82" s="19" t="s">
        <v>1917</v>
      </c>
      <c r="M82" s="19" t="s">
        <v>1918</v>
      </c>
      <c r="N82" s="26"/>
      <c r="O82" s="26"/>
      <c r="P82" s="26">
        <v>20000</v>
      </c>
      <c r="Q82" s="26"/>
      <c r="R82" s="26" t="s">
        <v>34</v>
      </c>
      <c r="S82" s="27">
        <v>250000</v>
      </c>
      <c r="T82" s="28">
        <f t="shared" si="2"/>
        <v>5000000</v>
      </c>
      <c r="U82" s="26"/>
    </row>
    <row r="83" spans="1:21" s="17" customFormat="1" x14ac:dyDescent="0.25">
      <c r="A83" s="26"/>
      <c r="B83" s="19" t="s">
        <v>1876</v>
      </c>
      <c r="C83" s="19" t="s">
        <v>85</v>
      </c>
      <c r="D83" s="20" t="s">
        <v>86</v>
      </c>
      <c r="E83" s="21" t="s">
        <v>389</v>
      </c>
      <c r="F83" s="19">
        <v>20000</v>
      </c>
      <c r="G83" s="18">
        <v>800</v>
      </c>
      <c r="H83" s="18" t="s">
        <v>322</v>
      </c>
      <c r="I83" s="18" t="s">
        <v>30</v>
      </c>
      <c r="J83" s="23">
        <v>44978</v>
      </c>
      <c r="K83" s="18" t="s">
        <v>1678</v>
      </c>
      <c r="L83" s="19" t="s">
        <v>1679</v>
      </c>
      <c r="M83" s="19" t="s">
        <v>1680</v>
      </c>
      <c r="N83" s="26"/>
      <c r="O83" s="26">
        <v>20000</v>
      </c>
      <c r="P83" s="26"/>
      <c r="Q83" s="26"/>
      <c r="R83" s="26" t="s">
        <v>34</v>
      </c>
      <c r="S83" s="27">
        <v>41000</v>
      </c>
      <c r="T83" s="28">
        <f t="shared" si="2"/>
        <v>820000</v>
      </c>
      <c r="U83" s="26">
        <v>240000</v>
      </c>
    </row>
    <row r="84" spans="1:21" s="17" customFormat="1" x14ac:dyDescent="0.25">
      <c r="A84" s="26"/>
      <c r="B84" s="19" t="s">
        <v>1876</v>
      </c>
      <c r="C84" s="19" t="s">
        <v>85</v>
      </c>
      <c r="D84" s="20" t="s">
        <v>86</v>
      </c>
      <c r="E84" s="21" t="s">
        <v>389</v>
      </c>
      <c r="F84" s="19">
        <v>20000</v>
      </c>
      <c r="G84" s="18">
        <v>800</v>
      </c>
      <c r="H84" s="18" t="s">
        <v>322</v>
      </c>
      <c r="I84" s="18" t="s">
        <v>30</v>
      </c>
      <c r="J84" s="23">
        <v>44979</v>
      </c>
      <c r="K84" s="18" t="s">
        <v>760</v>
      </c>
      <c r="L84" s="19" t="s">
        <v>761</v>
      </c>
      <c r="M84" s="19" t="s">
        <v>43</v>
      </c>
      <c r="N84" s="26"/>
      <c r="O84" s="26">
        <v>20000</v>
      </c>
      <c r="P84" s="26"/>
      <c r="Q84" s="26"/>
      <c r="R84" s="26"/>
      <c r="S84" s="27">
        <v>41000</v>
      </c>
      <c r="T84" s="28">
        <f t="shared" si="2"/>
        <v>820000</v>
      </c>
      <c r="U84" s="26">
        <v>240000</v>
      </c>
    </row>
    <row r="85" spans="1:21" s="17" customFormat="1" x14ac:dyDescent="0.25">
      <c r="A85" s="26"/>
      <c r="B85" s="19" t="s">
        <v>1919</v>
      </c>
      <c r="C85" s="19" t="s">
        <v>633</v>
      </c>
      <c r="D85" s="20" t="s">
        <v>634</v>
      </c>
      <c r="E85" s="21" t="s">
        <v>1882</v>
      </c>
      <c r="F85" s="19">
        <v>6000</v>
      </c>
      <c r="G85" s="18">
        <v>30</v>
      </c>
      <c r="H85" s="18" t="s">
        <v>833</v>
      </c>
      <c r="I85" s="18" t="s">
        <v>30</v>
      </c>
      <c r="J85" s="23">
        <v>44979</v>
      </c>
      <c r="K85" s="18" t="s">
        <v>1920</v>
      </c>
      <c r="L85" s="19" t="s">
        <v>1921</v>
      </c>
      <c r="M85" s="19" t="s">
        <v>1922</v>
      </c>
      <c r="N85" s="26"/>
      <c r="O85" s="26"/>
      <c r="P85" s="26"/>
      <c r="Q85" s="26">
        <v>6000</v>
      </c>
      <c r="R85" s="26" t="s">
        <v>34</v>
      </c>
      <c r="S85" s="27">
        <v>110000</v>
      </c>
      <c r="T85" s="28">
        <f t="shared" si="2"/>
        <v>660000</v>
      </c>
      <c r="U85" s="26">
        <v>235000</v>
      </c>
    </row>
    <row r="86" spans="1:21" s="17" customFormat="1" x14ac:dyDescent="0.25">
      <c r="A86" s="26"/>
      <c r="B86" s="19" t="s">
        <v>1919</v>
      </c>
      <c r="C86" s="19" t="s">
        <v>633</v>
      </c>
      <c r="D86" s="20" t="s">
        <v>634</v>
      </c>
      <c r="E86" s="21" t="s">
        <v>1887</v>
      </c>
      <c r="F86" s="19">
        <v>8600</v>
      </c>
      <c r="G86" s="18">
        <v>43</v>
      </c>
      <c r="H86" s="18" t="s">
        <v>833</v>
      </c>
      <c r="I86" s="18" t="s">
        <v>30</v>
      </c>
      <c r="J86" s="23">
        <v>44979</v>
      </c>
      <c r="K86" s="18" t="s">
        <v>1920</v>
      </c>
      <c r="L86" s="19"/>
      <c r="M86" s="19"/>
      <c r="N86" s="26"/>
      <c r="O86" s="26"/>
      <c r="P86" s="26"/>
      <c r="Q86" s="26">
        <v>8600</v>
      </c>
      <c r="R86" s="26" t="s">
        <v>34</v>
      </c>
      <c r="S86" s="27">
        <v>110000</v>
      </c>
      <c r="T86" s="28">
        <f t="shared" si="2"/>
        <v>946000</v>
      </c>
      <c r="U86" s="26"/>
    </row>
    <row r="87" spans="1:21" s="17" customFormat="1" x14ac:dyDescent="0.25">
      <c r="A87" s="26"/>
      <c r="B87" s="19" t="s">
        <v>1919</v>
      </c>
      <c r="C87" s="19" t="s">
        <v>633</v>
      </c>
      <c r="D87" s="20" t="s">
        <v>634</v>
      </c>
      <c r="E87" s="21" t="s">
        <v>1440</v>
      </c>
      <c r="F87" s="19">
        <v>1400</v>
      </c>
      <c r="G87" s="18">
        <v>7</v>
      </c>
      <c r="H87" s="18" t="s">
        <v>833</v>
      </c>
      <c r="I87" s="18" t="s">
        <v>30</v>
      </c>
      <c r="J87" s="23">
        <v>44979</v>
      </c>
      <c r="K87" s="18" t="s">
        <v>1920</v>
      </c>
      <c r="L87" s="19"/>
      <c r="M87" s="19"/>
      <c r="N87" s="26"/>
      <c r="O87" s="26"/>
      <c r="P87" s="26"/>
      <c r="Q87" s="26">
        <v>1400</v>
      </c>
      <c r="R87" s="26" t="s">
        <v>34</v>
      </c>
      <c r="S87" s="27">
        <v>110000</v>
      </c>
      <c r="T87" s="28">
        <f t="shared" si="2"/>
        <v>154000</v>
      </c>
      <c r="U87" s="26"/>
    </row>
    <row r="88" spans="1:21" s="17" customFormat="1" x14ac:dyDescent="0.25">
      <c r="A88" s="26" t="s">
        <v>280</v>
      </c>
      <c r="B88" s="22" t="s">
        <v>1766</v>
      </c>
      <c r="C88" s="19" t="s">
        <v>57</v>
      </c>
      <c r="D88" s="20" t="s">
        <v>58</v>
      </c>
      <c r="E88" s="33" t="s">
        <v>1739</v>
      </c>
      <c r="F88" s="19">
        <v>11907</v>
      </c>
      <c r="G88" s="18">
        <v>525</v>
      </c>
      <c r="H88" s="18" t="s">
        <v>95</v>
      </c>
      <c r="I88" s="18" t="s">
        <v>30</v>
      </c>
      <c r="J88" s="23">
        <v>44979</v>
      </c>
      <c r="K88" s="18"/>
      <c r="L88" s="26"/>
      <c r="M88" s="26"/>
      <c r="N88" s="26" t="s">
        <v>1923</v>
      </c>
      <c r="O88" s="26">
        <v>11907</v>
      </c>
      <c r="P88" s="26"/>
      <c r="Q88" s="26"/>
      <c r="R88" s="26"/>
      <c r="S88" s="27">
        <v>49500</v>
      </c>
      <c r="T88" s="28">
        <f t="shared" si="2"/>
        <v>589396.5</v>
      </c>
      <c r="U88" s="26"/>
    </row>
    <row r="89" spans="1:21" s="17" customFormat="1" x14ac:dyDescent="0.25">
      <c r="A89" s="26" t="s">
        <v>280</v>
      </c>
      <c r="B89" s="22" t="s">
        <v>1766</v>
      </c>
      <c r="C89" s="19" t="s">
        <v>57</v>
      </c>
      <c r="D89" s="20" t="s">
        <v>58</v>
      </c>
      <c r="E89" s="33" t="s">
        <v>1915</v>
      </c>
      <c r="F89" s="19">
        <v>3969</v>
      </c>
      <c r="G89" s="18">
        <v>175</v>
      </c>
      <c r="H89" s="18" t="s">
        <v>95</v>
      </c>
      <c r="I89" s="18" t="s">
        <v>30</v>
      </c>
      <c r="J89" s="23">
        <v>44979</v>
      </c>
      <c r="K89" s="18"/>
      <c r="L89" s="26"/>
      <c r="M89" s="26"/>
      <c r="N89" s="26" t="s">
        <v>1923</v>
      </c>
      <c r="O89" s="26">
        <v>3969</v>
      </c>
      <c r="P89" s="26"/>
      <c r="Q89" s="26"/>
      <c r="R89" s="26"/>
      <c r="S89" s="27">
        <v>49500</v>
      </c>
      <c r="T89" s="28">
        <f t="shared" si="2"/>
        <v>196465.5</v>
      </c>
      <c r="U89" s="26"/>
    </row>
    <row r="90" spans="1:21" s="17" customFormat="1" x14ac:dyDescent="0.25">
      <c r="A90" s="26" t="s">
        <v>280</v>
      </c>
      <c r="B90" s="22" t="s">
        <v>1766</v>
      </c>
      <c r="C90" s="19" t="s">
        <v>57</v>
      </c>
      <c r="D90" s="20" t="s">
        <v>58</v>
      </c>
      <c r="E90" s="33" t="s">
        <v>1915</v>
      </c>
      <c r="F90" s="19">
        <v>15876</v>
      </c>
      <c r="G90" s="18">
        <v>700</v>
      </c>
      <c r="H90" s="18" t="s">
        <v>95</v>
      </c>
      <c r="I90" s="18" t="s">
        <v>30</v>
      </c>
      <c r="J90" s="23">
        <v>44979</v>
      </c>
      <c r="K90" s="18"/>
      <c r="L90" s="26"/>
      <c r="M90" s="26"/>
      <c r="N90" s="26" t="s">
        <v>1924</v>
      </c>
      <c r="O90" s="26">
        <v>15876</v>
      </c>
      <c r="P90" s="26"/>
      <c r="Q90" s="26"/>
      <c r="R90" s="26"/>
      <c r="S90" s="27">
        <v>49500</v>
      </c>
      <c r="T90" s="28">
        <f t="shared" si="2"/>
        <v>785862</v>
      </c>
      <c r="U90" s="26"/>
    </row>
    <row r="91" spans="1:21" s="17" customFormat="1" x14ac:dyDescent="0.25">
      <c r="A91" s="26"/>
      <c r="B91" s="22" t="s">
        <v>1867</v>
      </c>
      <c r="C91" s="19" t="s">
        <v>57</v>
      </c>
      <c r="D91" s="20" t="s">
        <v>58</v>
      </c>
      <c r="E91" s="33" t="s">
        <v>1727</v>
      </c>
      <c r="F91" s="19">
        <v>7938</v>
      </c>
      <c r="G91" s="18">
        <v>350</v>
      </c>
      <c r="H91" s="18" t="s">
        <v>95</v>
      </c>
      <c r="I91" s="18" t="s">
        <v>30</v>
      </c>
      <c r="J91" s="23">
        <v>44980</v>
      </c>
      <c r="K91" s="18"/>
      <c r="L91" s="26"/>
      <c r="M91" s="26"/>
      <c r="N91" s="26">
        <v>29634698</v>
      </c>
      <c r="O91" s="26">
        <v>7938</v>
      </c>
      <c r="P91" s="26"/>
      <c r="Q91" s="26"/>
      <c r="R91" s="26"/>
      <c r="S91" s="27">
        <v>49500</v>
      </c>
      <c r="T91" s="28">
        <f t="shared" si="2"/>
        <v>392931</v>
      </c>
      <c r="U91" s="26"/>
    </row>
    <row r="92" spans="1:21" s="17" customFormat="1" x14ac:dyDescent="0.25">
      <c r="A92" s="25"/>
      <c r="B92" s="19" t="s">
        <v>1925</v>
      </c>
      <c r="C92" s="19" t="s">
        <v>57</v>
      </c>
      <c r="D92" s="20" t="s">
        <v>1663</v>
      </c>
      <c r="E92" s="21" t="s">
        <v>1631</v>
      </c>
      <c r="F92" s="19">
        <v>740</v>
      </c>
      <c r="G92" s="18">
        <v>4</v>
      </c>
      <c r="H92" s="18" t="s">
        <v>95</v>
      </c>
      <c r="I92" s="18" t="s">
        <v>30</v>
      </c>
      <c r="J92" s="23">
        <v>44980</v>
      </c>
      <c r="K92" s="19"/>
      <c r="L92" s="26"/>
      <c r="M92" s="26"/>
      <c r="N92" s="26">
        <v>29634698</v>
      </c>
      <c r="O92" s="26"/>
      <c r="P92" s="26"/>
      <c r="Q92" s="26">
        <v>740</v>
      </c>
      <c r="R92" s="26"/>
      <c r="S92" s="27">
        <v>110800</v>
      </c>
      <c r="T92" s="28">
        <f t="shared" si="2"/>
        <v>81992</v>
      </c>
      <c r="U92" s="26"/>
    </row>
    <row r="93" spans="1:21" s="17" customFormat="1" x14ac:dyDescent="0.25">
      <c r="A93" s="25"/>
      <c r="B93" s="19" t="s">
        <v>1925</v>
      </c>
      <c r="C93" s="19" t="s">
        <v>57</v>
      </c>
      <c r="D93" s="20" t="s">
        <v>1663</v>
      </c>
      <c r="E93" s="21" t="s">
        <v>1801</v>
      </c>
      <c r="F93" s="19">
        <v>5735</v>
      </c>
      <c r="G93" s="18">
        <v>31</v>
      </c>
      <c r="H93" s="18" t="s">
        <v>95</v>
      </c>
      <c r="I93" s="18" t="s">
        <v>30</v>
      </c>
      <c r="J93" s="23">
        <v>44980</v>
      </c>
      <c r="K93" s="19"/>
      <c r="L93" s="26"/>
      <c r="M93" s="26"/>
      <c r="N93" s="26">
        <v>29634698</v>
      </c>
      <c r="O93" s="26"/>
      <c r="P93" s="26"/>
      <c r="Q93" s="26">
        <v>5735</v>
      </c>
      <c r="R93" s="26"/>
      <c r="S93" s="27">
        <v>110800</v>
      </c>
      <c r="T93" s="28">
        <f t="shared" si="2"/>
        <v>635438</v>
      </c>
      <c r="U93" s="26"/>
    </row>
    <row r="94" spans="1:21" s="17" customFormat="1" x14ac:dyDescent="0.25">
      <c r="A94" s="25"/>
      <c r="B94" s="19" t="s">
        <v>1925</v>
      </c>
      <c r="C94" s="19" t="s">
        <v>57</v>
      </c>
      <c r="D94" s="20" t="s">
        <v>1663</v>
      </c>
      <c r="E94" s="21" t="s">
        <v>1926</v>
      </c>
      <c r="F94" s="19">
        <v>2035</v>
      </c>
      <c r="G94" s="18">
        <v>11</v>
      </c>
      <c r="H94" s="18" t="s">
        <v>95</v>
      </c>
      <c r="I94" s="18" t="s">
        <v>30</v>
      </c>
      <c r="J94" s="23">
        <v>44980</v>
      </c>
      <c r="K94" s="19"/>
      <c r="L94" s="26"/>
      <c r="M94" s="26"/>
      <c r="N94" s="26">
        <v>29634698</v>
      </c>
      <c r="O94" s="26"/>
      <c r="P94" s="26"/>
      <c r="Q94" s="26">
        <v>2035</v>
      </c>
      <c r="R94" s="26"/>
      <c r="S94" s="27">
        <v>110800</v>
      </c>
      <c r="T94" s="28">
        <f t="shared" si="2"/>
        <v>225478.00000000003</v>
      </c>
      <c r="U94" s="26"/>
    </row>
    <row r="95" spans="1:21" s="17" customFormat="1" ht="15.75" customHeight="1" x14ac:dyDescent="0.25">
      <c r="A95" s="25"/>
      <c r="B95" s="19" t="s">
        <v>1925</v>
      </c>
      <c r="C95" s="19" t="s">
        <v>57</v>
      </c>
      <c r="D95" s="20" t="s">
        <v>1663</v>
      </c>
      <c r="E95" s="21" t="s">
        <v>1782</v>
      </c>
      <c r="F95" s="19">
        <v>6290</v>
      </c>
      <c r="G95" s="18">
        <v>34</v>
      </c>
      <c r="H95" s="18" t="s">
        <v>95</v>
      </c>
      <c r="I95" s="18" t="s">
        <v>30</v>
      </c>
      <c r="J95" s="23">
        <v>44980</v>
      </c>
      <c r="K95" s="19"/>
      <c r="L95" s="26"/>
      <c r="M95" s="26"/>
      <c r="N95" s="26">
        <v>29634698</v>
      </c>
      <c r="O95" s="26"/>
      <c r="P95" s="26"/>
      <c r="Q95" s="26">
        <v>6290</v>
      </c>
      <c r="R95" s="26"/>
      <c r="S95" s="27">
        <v>110800</v>
      </c>
      <c r="T95" s="28">
        <f t="shared" si="2"/>
        <v>696932</v>
      </c>
      <c r="U95" s="26"/>
    </row>
    <row r="96" spans="1:21" s="17" customFormat="1" x14ac:dyDescent="0.25">
      <c r="A96" s="25"/>
      <c r="B96" s="19" t="s">
        <v>1806</v>
      </c>
      <c r="C96" s="19" t="s">
        <v>57</v>
      </c>
      <c r="D96" s="20" t="s">
        <v>1813</v>
      </c>
      <c r="E96" s="21" t="s">
        <v>1845</v>
      </c>
      <c r="F96" s="19">
        <v>11794</v>
      </c>
      <c r="G96" s="18">
        <v>520</v>
      </c>
      <c r="H96" s="18" t="s">
        <v>95</v>
      </c>
      <c r="I96" s="18" t="s">
        <v>30</v>
      </c>
      <c r="J96" s="23">
        <v>44980</v>
      </c>
      <c r="K96" s="19"/>
      <c r="L96" s="26"/>
      <c r="M96" s="26"/>
      <c r="N96" s="26">
        <v>29634698</v>
      </c>
      <c r="O96" s="26"/>
      <c r="P96" s="26">
        <v>11794</v>
      </c>
      <c r="Q96" s="26"/>
      <c r="R96" s="26"/>
      <c r="S96" s="27">
        <v>245000</v>
      </c>
      <c r="T96" s="28">
        <f t="shared" si="2"/>
        <v>2889530</v>
      </c>
      <c r="U96" s="26"/>
    </row>
    <row r="97" spans="1:21" s="17" customFormat="1" x14ac:dyDescent="0.25">
      <c r="A97" s="26"/>
      <c r="B97" s="22" t="s">
        <v>1766</v>
      </c>
      <c r="C97" s="19" t="s">
        <v>57</v>
      </c>
      <c r="D97" s="20" t="s">
        <v>58</v>
      </c>
      <c r="E97" s="33" t="s">
        <v>1739</v>
      </c>
      <c r="F97" s="19">
        <v>7938</v>
      </c>
      <c r="G97" s="18">
        <v>350</v>
      </c>
      <c r="H97" s="18" t="s">
        <v>95</v>
      </c>
      <c r="I97" s="18" t="s">
        <v>30</v>
      </c>
      <c r="J97" s="23">
        <v>44980</v>
      </c>
      <c r="K97" s="18"/>
      <c r="L97" s="26"/>
      <c r="M97" s="26"/>
      <c r="N97" s="26">
        <v>29634698</v>
      </c>
      <c r="O97" s="26">
        <v>7938</v>
      </c>
      <c r="P97" s="26"/>
      <c r="Q97" s="26"/>
      <c r="R97" s="26"/>
      <c r="S97" s="27">
        <v>49500</v>
      </c>
      <c r="T97" s="28">
        <f t="shared" si="2"/>
        <v>392931</v>
      </c>
      <c r="U97" s="26"/>
    </row>
    <row r="98" spans="1:21" s="17" customFormat="1" x14ac:dyDescent="0.25">
      <c r="A98" s="26"/>
      <c r="B98" s="19" t="s">
        <v>1599</v>
      </c>
      <c r="C98" s="19" t="s">
        <v>893</v>
      </c>
      <c r="D98" s="20" t="s">
        <v>1600</v>
      </c>
      <c r="E98" s="21" t="s">
        <v>1927</v>
      </c>
      <c r="F98" s="19">
        <v>20000</v>
      </c>
      <c r="G98" s="18">
        <v>800</v>
      </c>
      <c r="H98" s="18" t="s">
        <v>462</v>
      </c>
      <c r="I98" s="18" t="s">
        <v>30</v>
      </c>
      <c r="J98" s="23">
        <v>44981</v>
      </c>
      <c r="K98" s="19" t="s">
        <v>1672</v>
      </c>
      <c r="L98" s="19" t="s">
        <v>1673</v>
      </c>
      <c r="M98" s="19" t="s">
        <v>1674</v>
      </c>
      <c r="N98" s="26"/>
      <c r="O98" s="26"/>
      <c r="P98" s="26">
        <v>20000</v>
      </c>
      <c r="Q98" s="26"/>
      <c r="R98" s="26"/>
      <c r="S98" s="27">
        <v>250000</v>
      </c>
      <c r="T98" s="28">
        <f t="shared" si="2"/>
        <v>5000000</v>
      </c>
      <c r="U98" s="26"/>
    </row>
    <row r="99" spans="1:21" s="17" customFormat="1" x14ac:dyDescent="0.25">
      <c r="A99" s="25"/>
      <c r="B99" s="19" t="s">
        <v>1928</v>
      </c>
      <c r="C99" s="19" t="s">
        <v>633</v>
      </c>
      <c r="D99" s="20" t="s">
        <v>634</v>
      </c>
      <c r="E99" s="21" t="s">
        <v>1782</v>
      </c>
      <c r="F99" s="19">
        <v>2200</v>
      </c>
      <c r="G99" s="18">
        <v>11</v>
      </c>
      <c r="H99" s="18" t="s">
        <v>40</v>
      </c>
      <c r="I99" s="18" t="s">
        <v>30</v>
      </c>
      <c r="J99" s="23">
        <v>44984</v>
      </c>
      <c r="K99" s="18" t="s">
        <v>1305</v>
      </c>
      <c r="L99" s="19" t="s">
        <v>1306</v>
      </c>
      <c r="M99" s="19" t="s">
        <v>1307</v>
      </c>
      <c r="N99" s="26"/>
      <c r="O99" s="26"/>
      <c r="P99" s="26"/>
      <c r="Q99" s="26">
        <v>2200</v>
      </c>
      <c r="R99" s="26" t="s">
        <v>34</v>
      </c>
      <c r="S99" s="27">
        <v>110000</v>
      </c>
      <c r="T99" s="28">
        <f t="shared" si="2"/>
        <v>242000.00000000003</v>
      </c>
      <c r="U99" s="26"/>
    </row>
    <row r="100" spans="1:21" s="17" customFormat="1" x14ac:dyDescent="0.25">
      <c r="A100" s="26"/>
      <c r="B100" s="19" t="s">
        <v>1928</v>
      </c>
      <c r="C100" s="19" t="s">
        <v>633</v>
      </c>
      <c r="D100" s="20" t="s">
        <v>634</v>
      </c>
      <c r="E100" s="21" t="s">
        <v>1845</v>
      </c>
      <c r="F100" s="19">
        <v>8600</v>
      </c>
      <c r="G100" s="18">
        <v>43</v>
      </c>
      <c r="H100" s="18" t="s">
        <v>40</v>
      </c>
      <c r="I100" s="18" t="s">
        <v>30</v>
      </c>
      <c r="J100" s="23">
        <v>44984</v>
      </c>
      <c r="K100" s="18" t="s">
        <v>1305</v>
      </c>
      <c r="L100" s="19"/>
      <c r="M100" s="19"/>
      <c r="N100" s="26"/>
      <c r="O100" s="26"/>
      <c r="P100" s="26"/>
      <c r="Q100" s="26">
        <v>8600</v>
      </c>
      <c r="R100" s="26" t="s">
        <v>34</v>
      </c>
      <c r="S100" s="27">
        <v>110000</v>
      </c>
      <c r="T100" s="28">
        <f t="shared" si="2"/>
        <v>946000</v>
      </c>
      <c r="U100" s="26"/>
    </row>
    <row r="101" spans="1:21" s="38" customFormat="1" x14ac:dyDescent="0.25">
      <c r="A101" s="26"/>
      <c r="B101" s="19" t="s">
        <v>1928</v>
      </c>
      <c r="C101" s="19" t="s">
        <v>633</v>
      </c>
      <c r="D101" s="20" t="s">
        <v>634</v>
      </c>
      <c r="E101" s="21" t="s">
        <v>1303</v>
      </c>
      <c r="F101" s="19">
        <v>6800</v>
      </c>
      <c r="G101" s="18">
        <v>34</v>
      </c>
      <c r="H101" s="18" t="s">
        <v>40</v>
      </c>
      <c r="I101" s="18" t="s">
        <v>30</v>
      </c>
      <c r="J101" s="23">
        <v>44984</v>
      </c>
      <c r="K101" s="18" t="s">
        <v>1305</v>
      </c>
      <c r="L101" s="19"/>
      <c r="M101" s="19"/>
      <c r="N101" s="26"/>
      <c r="O101" s="26"/>
      <c r="P101" s="26"/>
      <c r="Q101" s="26">
        <v>6800</v>
      </c>
      <c r="R101" s="26" t="s">
        <v>34</v>
      </c>
      <c r="S101" s="27">
        <v>110000</v>
      </c>
      <c r="T101" s="28">
        <f t="shared" si="2"/>
        <v>748000</v>
      </c>
      <c r="U101" s="26"/>
    </row>
    <row r="102" spans="1:21" s="38" customFormat="1" x14ac:dyDescent="0.25">
      <c r="A102" s="26"/>
      <c r="B102" s="19" t="s">
        <v>1928</v>
      </c>
      <c r="C102" s="19" t="s">
        <v>633</v>
      </c>
      <c r="D102" s="20" t="s">
        <v>634</v>
      </c>
      <c r="E102" s="21" t="s">
        <v>1303</v>
      </c>
      <c r="F102" s="19">
        <v>1600</v>
      </c>
      <c r="G102" s="18">
        <v>8</v>
      </c>
      <c r="H102" s="18" t="s">
        <v>40</v>
      </c>
      <c r="I102" s="18" t="s">
        <v>30</v>
      </c>
      <c r="J102" s="23">
        <v>44984</v>
      </c>
      <c r="K102" s="18" t="s">
        <v>699</v>
      </c>
      <c r="L102" s="19" t="s">
        <v>455</v>
      </c>
      <c r="M102" s="19" t="s">
        <v>456</v>
      </c>
      <c r="N102" s="26"/>
      <c r="O102" s="26"/>
      <c r="P102" s="26"/>
      <c r="Q102" s="26">
        <v>1600</v>
      </c>
      <c r="R102" s="26" t="s">
        <v>34</v>
      </c>
      <c r="S102" s="27">
        <v>110000</v>
      </c>
      <c r="T102" s="28">
        <f t="shared" si="2"/>
        <v>176000</v>
      </c>
      <c r="U102" s="26"/>
    </row>
    <row r="103" spans="1:21" s="17" customFormat="1" ht="17.25" customHeight="1" x14ac:dyDescent="0.25">
      <c r="A103" s="26"/>
      <c r="B103" s="19" t="s">
        <v>1928</v>
      </c>
      <c r="C103" s="19" t="s">
        <v>633</v>
      </c>
      <c r="D103" s="20" t="s">
        <v>634</v>
      </c>
      <c r="E103" s="21" t="s">
        <v>1113</v>
      </c>
      <c r="F103" s="19">
        <v>5000</v>
      </c>
      <c r="G103" s="18">
        <v>25</v>
      </c>
      <c r="H103" s="18" t="s">
        <v>40</v>
      </c>
      <c r="I103" s="18" t="s">
        <v>30</v>
      </c>
      <c r="J103" s="23">
        <v>44984</v>
      </c>
      <c r="K103" s="18" t="s">
        <v>699</v>
      </c>
      <c r="L103" s="19"/>
      <c r="M103" s="19"/>
      <c r="N103" s="26"/>
      <c r="O103" s="26"/>
      <c r="P103" s="26"/>
      <c r="Q103" s="26">
        <v>5000</v>
      </c>
      <c r="R103" s="26" t="s">
        <v>34</v>
      </c>
      <c r="S103" s="27">
        <v>110000</v>
      </c>
      <c r="T103" s="28">
        <f t="shared" si="2"/>
        <v>550000</v>
      </c>
      <c r="U103" s="26"/>
    </row>
    <row r="104" spans="1:21" s="17" customFormat="1" x14ac:dyDescent="0.25">
      <c r="A104" s="26"/>
      <c r="B104" s="19" t="s">
        <v>1928</v>
      </c>
      <c r="C104" s="19" t="s">
        <v>633</v>
      </c>
      <c r="D104" s="20" t="s">
        <v>634</v>
      </c>
      <c r="E104" s="21" t="s">
        <v>1903</v>
      </c>
      <c r="F104" s="19">
        <v>8400</v>
      </c>
      <c r="G104" s="18">
        <v>42</v>
      </c>
      <c r="H104" s="18" t="s">
        <v>40</v>
      </c>
      <c r="I104" s="18" t="s">
        <v>30</v>
      </c>
      <c r="J104" s="23">
        <v>44984</v>
      </c>
      <c r="K104" s="18" t="s">
        <v>699</v>
      </c>
      <c r="L104" s="19"/>
      <c r="M104" s="19"/>
      <c r="N104" s="26"/>
      <c r="O104" s="26"/>
      <c r="P104" s="26"/>
      <c r="Q104" s="26">
        <v>8400</v>
      </c>
      <c r="R104" s="26" t="s">
        <v>34</v>
      </c>
      <c r="S104" s="27">
        <v>110000</v>
      </c>
      <c r="T104" s="28">
        <f t="shared" si="2"/>
        <v>924000</v>
      </c>
      <c r="U104" s="26"/>
    </row>
    <row r="105" spans="1:21" s="17" customFormat="1" x14ac:dyDescent="0.25">
      <c r="A105" s="26"/>
      <c r="B105" s="19" t="s">
        <v>1928</v>
      </c>
      <c r="C105" s="19" t="s">
        <v>633</v>
      </c>
      <c r="D105" s="20" t="s">
        <v>634</v>
      </c>
      <c r="E105" s="21" t="s">
        <v>1882</v>
      </c>
      <c r="F105" s="19">
        <v>2600</v>
      </c>
      <c r="G105" s="18">
        <v>13</v>
      </c>
      <c r="H105" s="18" t="s">
        <v>40</v>
      </c>
      <c r="I105" s="18" t="s">
        <v>30</v>
      </c>
      <c r="J105" s="23">
        <v>44984</v>
      </c>
      <c r="K105" s="18" t="s">
        <v>699</v>
      </c>
      <c r="L105" s="19"/>
      <c r="M105" s="19"/>
      <c r="N105" s="26"/>
      <c r="O105" s="26"/>
      <c r="P105" s="26"/>
      <c r="Q105" s="26">
        <v>2600</v>
      </c>
      <c r="R105" s="26" t="s">
        <v>34</v>
      </c>
      <c r="S105" s="27">
        <v>110000</v>
      </c>
      <c r="T105" s="28">
        <f t="shared" si="2"/>
        <v>286000</v>
      </c>
      <c r="U105" s="26"/>
    </row>
    <row r="106" spans="1:21" s="17" customFormat="1" x14ac:dyDescent="0.25">
      <c r="A106" s="26"/>
      <c r="B106" s="19" t="s">
        <v>212</v>
      </c>
      <c r="C106" s="19" t="s">
        <v>491</v>
      </c>
      <c r="D106" s="20" t="s">
        <v>492</v>
      </c>
      <c r="E106" s="21" t="s">
        <v>1799</v>
      </c>
      <c r="F106" s="19">
        <v>20000</v>
      </c>
      <c r="G106" s="18">
        <v>800</v>
      </c>
      <c r="H106" s="18" t="s">
        <v>29</v>
      </c>
      <c r="I106" s="18" t="s">
        <v>30</v>
      </c>
      <c r="J106" s="23">
        <v>44985</v>
      </c>
      <c r="K106" s="18" t="s">
        <v>1929</v>
      </c>
      <c r="L106" s="26" t="s">
        <v>1930</v>
      </c>
      <c r="M106" s="26" t="s">
        <v>1931</v>
      </c>
      <c r="N106" s="26"/>
      <c r="O106" s="26"/>
      <c r="P106" s="26">
        <v>20000</v>
      </c>
      <c r="Q106" s="26"/>
      <c r="R106" s="26"/>
      <c r="S106" s="27">
        <v>242000</v>
      </c>
      <c r="T106" s="28">
        <f t="shared" si="2"/>
        <v>4840000</v>
      </c>
      <c r="U106" s="26"/>
    </row>
    <row r="107" spans="1:21" ht="18.75" x14ac:dyDescent="0.3">
      <c r="A107" s="119" t="s">
        <v>252</v>
      </c>
      <c r="B107" s="133">
        <f>SUM(F4:F106)/1000</f>
        <v>1006.5846</v>
      </c>
      <c r="C107" s="54" t="s">
        <v>253</v>
      </c>
      <c r="S107" s="55"/>
      <c r="T107" s="55">
        <f>SUM(T4:T106)</f>
        <v>111673014.7</v>
      </c>
      <c r="U107" s="55">
        <f>SUM(U4:U106)</f>
        <v>5825000</v>
      </c>
    </row>
    <row r="108" spans="1:21" ht="18.75" x14ac:dyDescent="0.3">
      <c r="A108" s="120" t="s">
        <v>254</v>
      </c>
      <c r="B108" s="134">
        <f>B109+B110+B111</f>
        <v>1006.5846</v>
      </c>
      <c r="C108" s="58" t="s">
        <v>253</v>
      </c>
    </row>
    <row r="109" spans="1:21" ht="18.75" x14ac:dyDescent="0.3">
      <c r="A109" s="121" t="s">
        <v>255</v>
      </c>
      <c r="B109" s="135">
        <f>SUM(O4:O106)/1000</f>
        <v>436.85059999999999</v>
      </c>
      <c r="C109" s="61" t="s">
        <v>253</v>
      </c>
    </row>
    <row r="110" spans="1:21" ht="18.75" x14ac:dyDescent="0.3">
      <c r="A110" s="121" t="s">
        <v>256</v>
      </c>
      <c r="B110" s="135">
        <f>SUM(P4:P106)/1000</f>
        <v>250.51400000000001</v>
      </c>
      <c r="C110" s="61" t="s">
        <v>253</v>
      </c>
    </row>
    <row r="111" spans="1:21" ht="18.75" x14ac:dyDescent="0.3">
      <c r="A111" s="121" t="s">
        <v>257</v>
      </c>
      <c r="B111" s="136">
        <f>SUM(Q4:Q106)/1000</f>
        <v>319.22000000000003</v>
      </c>
      <c r="C111" s="61" t="s">
        <v>253</v>
      </c>
    </row>
    <row r="112" spans="1:21" ht="18.75" x14ac:dyDescent="0.3">
      <c r="A112" s="122" t="s">
        <v>258</v>
      </c>
      <c r="B112" s="137">
        <f>B107-B108</f>
        <v>0</v>
      </c>
      <c r="C112" s="65" t="s">
        <v>253</v>
      </c>
    </row>
  </sheetData>
  <autoFilter ref="D1:D112" xr:uid="{00000000-0009-0000-0000-00000A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31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справочник!$E$4:$E$173</xm:f>
          </x14:formula1>
          <xm:sqref>D4:D106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7">
    <pageSetUpPr fitToPage="1"/>
  </sheetPr>
  <dimension ref="A1:U128"/>
  <sheetViews>
    <sheetView zoomScale="80" workbookViewId="0">
      <selection activeCell="F8" sqref="F8:F93"/>
    </sheetView>
  </sheetViews>
  <sheetFormatPr defaultRowHeight="15" x14ac:dyDescent="0.25"/>
  <cols>
    <col min="1" max="1" width="22.42578125" customWidth="1"/>
    <col min="2" max="2" width="23.7109375" customWidth="1"/>
    <col min="3" max="3" width="25.7109375" customWidth="1"/>
    <col min="4" max="4" width="36.5703125" bestFit="1" customWidth="1"/>
    <col min="5" max="5" width="16.85546875" customWidth="1"/>
    <col min="6" max="6" width="13" bestFit="1" customWidth="1"/>
    <col min="7" max="7" width="16.7109375" customWidth="1"/>
    <col min="8" max="8" width="28.85546875" customWidth="1"/>
    <col min="9" max="9" width="19.42578125" customWidth="1"/>
    <col min="10" max="10" width="16.42578125" customWidth="1"/>
    <col min="11" max="11" width="25.42578125" customWidth="1"/>
    <col min="12" max="12" width="17.28515625" customWidth="1"/>
    <col min="13" max="13" width="25.5703125" customWidth="1"/>
    <col min="14" max="14" width="14.140625" customWidth="1"/>
    <col min="18" max="18" width="27.140625" customWidth="1"/>
    <col min="19" max="19" width="25.140625" customWidth="1"/>
    <col min="20" max="20" width="20" customWidth="1"/>
    <col min="21" max="21" width="26.28515625" customWidth="1"/>
  </cols>
  <sheetData>
    <row r="1" spans="1:21" s="3" customFormat="1" ht="17.25" x14ac:dyDescent="0.3">
      <c r="A1" s="5"/>
      <c r="B1" s="5" t="s">
        <v>0</v>
      </c>
      <c r="C1" s="6">
        <v>44927</v>
      </c>
      <c r="D1" s="5"/>
      <c r="E1" s="5"/>
      <c r="F1" s="5"/>
      <c r="H1" s="5"/>
      <c r="I1" s="5"/>
      <c r="J1" s="5"/>
      <c r="K1" s="7"/>
      <c r="L1" s="7"/>
      <c r="M1" s="7"/>
      <c r="N1" s="7"/>
      <c r="O1" s="7"/>
      <c r="P1" s="7"/>
      <c r="Q1" s="7"/>
    </row>
    <row r="2" spans="1:21" x14ac:dyDescent="0.25">
      <c r="A2" s="242" t="s">
        <v>1</v>
      </c>
      <c r="B2" s="244" t="s">
        <v>2</v>
      </c>
      <c r="C2" s="246" t="s">
        <v>3</v>
      </c>
      <c r="D2" s="248" t="s">
        <v>4</v>
      </c>
      <c r="E2" s="250" t="s">
        <v>5</v>
      </c>
      <c r="F2" s="231" t="s">
        <v>6</v>
      </c>
      <c r="G2" s="232"/>
      <c r="H2" s="233" t="s">
        <v>7</v>
      </c>
      <c r="I2" s="235" t="s">
        <v>8</v>
      </c>
      <c r="J2" s="237" t="s">
        <v>9</v>
      </c>
      <c r="K2" s="239" t="s">
        <v>10</v>
      </c>
      <c r="L2" s="240"/>
      <c r="M2" s="241"/>
      <c r="N2" s="123" t="s">
        <v>11</v>
      </c>
      <c r="O2" s="223" t="s">
        <v>12</v>
      </c>
      <c r="P2" s="224"/>
      <c r="Q2" s="225"/>
      <c r="R2" s="226" t="s">
        <v>13</v>
      </c>
      <c r="S2" s="10"/>
    </row>
    <row r="3" spans="1:21" x14ac:dyDescent="0.25">
      <c r="A3" s="243"/>
      <c r="B3" s="245"/>
      <c r="C3" s="247"/>
      <c r="D3" s="249"/>
      <c r="E3" s="251"/>
      <c r="F3" s="12" t="s">
        <v>14</v>
      </c>
      <c r="G3" s="12" t="s">
        <v>15</v>
      </c>
      <c r="H3" s="234"/>
      <c r="I3" s="236"/>
      <c r="J3" s="238"/>
      <c r="K3" s="13" t="s">
        <v>16</v>
      </c>
      <c r="L3" s="13" t="s">
        <v>17</v>
      </c>
      <c r="M3" s="13" t="s">
        <v>18</v>
      </c>
      <c r="N3" s="123" t="s">
        <v>19</v>
      </c>
      <c r="O3" s="14" t="s">
        <v>20</v>
      </c>
      <c r="P3" s="14" t="s">
        <v>21</v>
      </c>
      <c r="Q3" s="66" t="s">
        <v>22</v>
      </c>
      <c r="R3" s="227"/>
      <c r="S3" s="10" t="s">
        <v>23</v>
      </c>
      <c r="T3" s="16" t="s">
        <v>24</v>
      </c>
      <c r="U3" s="11" t="s">
        <v>1598</v>
      </c>
    </row>
    <row r="4" spans="1:21" s="132" customFormat="1" ht="15.75" customHeight="1" x14ac:dyDescent="0.25">
      <c r="A4" s="26"/>
      <c r="B4" s="19" t="s">
        <v>1932</v>
      </c>
      <c r="C4" s="19" t="s">
        <v>1933</v>
      </c>
      <c r="D4" s="20" t="s">
        <v>165</v>
      </c>
      <c r="E4" s="21" t="s">
        <v>1934</v>
      </c>
      <c r="F4" s="19">
        <v>20000</v>
      </c>
      <c r="G4" s="18">
        <v>800</v>
      </c>
      <c r="H4" s="18" t="s">
        <v>322</v>
      </c>
      <c r="I4" s="18" t="s">
        <v>30</v>
      </c>
      <c r="J4" s="23">
        <v>44930</v>
      </c>
      <c r="K4" s="18" t="s">
        <v>1138</v>
      </c>
      <c r="L4" s="26" t="s">
        <v>1935</v>
      </c>
      <c r="M4" s="26" t="s">
        <v>1936</v>
      </c>
      <c r="N4" s="26"/>
      <c r="O4" s="26">
        <v>20000</v>
      </c>
      <c r="P4" s="26"/>
      <c r="Q4" s="26"/>
      <c r="R4" s="26" t="s">
        <v>34</v>
      </c>
      <c r="S4" s="27">
        <v>40500</v>
      </c>
      <c r="T4" s="28">
        <f t="shared" ref="T4:T33" si="0">S4*(F4/1000)</f>
        <v>810000</v>
      </c>
      <c r="U4" s="26">
        <v>205000</v>
      </c>
    </row>
    <row r="5" spans="1:21" s="132" customFormat="1" x14ac:dyDescent="0.25">
      <c r="A5" s="26"/>
      <c r="B5" s="19" t="s">
        <v>1937</v>
      </c>
      <c r="C5" s="19" t="s">
        <v>633</v>
      </c>
      <c r="D5" s="20" t="s">
        <v>1779</v>
      </c>
      <c r="E5" s="21" t="s">
        <v>1727</v>
      </c>
      <c r="F5" s="19">
        <v>5040</v>
      </c>
      <c r="G5" s="18">
        <v>28</v>
      </c>
      <c r="H5" s="18" t="s">
        <v>833</v>
      </c>
      <c r="I5" s="18" t="s">
        <v>30</v>
      </c>
      <c r="J5" s="23">
        <v>44930</v>
      </c>
      <c r="K5" s="18" t="s">
        <v>828</v>
      </c>
      <c r="L5" s="26">
        <v>89116825992</v>
      </c>
      <c r="M5" s="26" t="s">
        <v>329</v>
      </c>
      <c r="N5" s="26"/>
      <c r="O5" s="26"/>
      <c r="P5" s="26"/>
      <c r="Q5" s="26">
        <v>5040</v>
      </c>
      <c r="R5" s="26" t="s">
        <v>34</v>
      </c>
      <c r="S5" s="27">
        <v>110000</v>
      </c>
      <c r="T5" s="28">
        <f t="shared" si="0"/>
        <v>554400</v>
      </c>
      <c r="U5" s="26">
        <v>205000</v>
      </c>
    </row>
    <row r="6" spans="1:21" s="132" customFormat="1" x14ac:dyDescent="0.25">
      <c r="A6" s="26"/>
      <c r="B6" s="19" t="s">
        <v>1937</v>
      </c>
      <c r="C6" s="19" t="s">
        <v>633</v>
      </c>
      <c r="D6" s="20" t="s">
        <v>1779</v>
      </c>
      <c r="E6" s="21" t="s">
        <v>1938</v>
      </c>
      <c r="F6" s="19">
        <v>7920</v>
      </c>
      <c r="G6" s="18">
        <v>44</v>
      </c>
      <c r="H6" s="18" t="s">
        <v>833</v>
      </c>
      <c r="I6" s="18" t="s">
        <v>30</v>
      </c>
      <c r="J6" s="23">
        <v>44930</v>
      </c>
      <c r="K6" s="18" t="s">
        <v>828</v>
      </c>
      <c r="L6" s="26"/>
      <c r="M6" s="26"/>
      <c r="N6" s="26"/>
      <c r="O6" s="26"/>
      <c r="P6" s="26"/>
      <c r="Q6" s="26">
        <v>7920</v>
      </c>
      <c r="R6" s="26" t="s">
        <v>34</v>
      </c>
      <c r="S6" s="27">
        <v>110000</v>
      </c>
      <c r="T6" s="28">
        <f t="shared" si="0"/>
        <v>871200</v>
      </c>
      <c r="U6" s="26"/>
    </row>
    <row r="7" spans="1:21" s="132" customFormat="1" x14ac:dyDescent="0.25">
      <c r="A7" s="26"/>
      <c r="B7" s="19" t="s">
        <v>1937</v>
      </c>
      <c r="C7" s="19" t="s">
        <v>633</v>
      </c>
      <c r="D7" s="20" t="s">
        <v>1779</v>
      </c>
      <c r="E7" s="21" t="s">
        <v>1486</v>
      </c>
      <c r="F7" s="19">
        <v>2880</v>
      </c>
      <c r="G7" s="18">
        <v>16</v>
      </c>
      <c r="H7" s="18" t="s">
        <v>833</v>
      </c>
      <c r="I7" s="18" t="s">
        <v>30</v>
      </c>
      <c r="J7" s="23">
        <v>44930</v>
      </c>
      <c r="K7" s="18" t="s">
        <v>828</v>
      </c>
      <c r="L7" s="26"/>
      <c r="M7" s="26"/>
      <c r="N7" s="26"/>
      <c r="O7" s="26"/>
      <c r="P7" s="26"/>
      <c r="Q7" s="26">
        <v>2880</v>
      </c>
      <c r="R7" s="26" t="s">
        <v>34</v>
      </c>
      <c r="S7" s="27">
        <v>110000</v>
      </c>
      <c r="T7" s="28">
        <f t="shared" si="0"/>
        <v>316800</v>
      </c>
      <c r="U7" s="26"/>
    </row>
    <row r="8" spans="1:21" s="132" customFormat="1" x14ac:dyDescent="0.25">
      <c r="A8" s="26" t="s">
        <v>280</v>
      </c>
      <c r="B8" s="19" t="s">
        <v>1939</v>
      </c>
      <c r="C8" s="19" t="s">
        <v>57</v>
      </c>
      <c r="D8" s="20" t="s">
        <v>58</v>
      </c>
      <c r="E8" s="21" t="s">
        <v>1940</v>
      </c>
      <c r="F8" s="19">
        <v>15876</v>
      </c>
      <c r="G8" s="18">
        <v>700</v>
      </c>
      <c r="H8" s="18" t="s">
        <v>129</v>
      </c>
      <c r="I8" s="18" t="s">
        <v>30</v>
      </c>
      <c r="J8" s="23">
        <v>44931</v>
      </c>
      <c r="K8" s="18"/>
      <c r="L8" s="19"/>
      <c r="M8" s="19"/>
      <c r="N8" s="26" t="s">
        <v>1941</v>
      </c>
      <c r="O8" s="26">
        <v>15876</v>
      </c>
      <c r="P8" s="26"/>
      <c r="Q8" s="26"/>
      <c r="R8" s="26"/>
      <c r="S8" s="142">
        <v>49500</v>
      </c>
      <c r="T8" s="28">
        <f t="shared" si="0"/>
        <v>785862</v>
      </c>
      <c r="U8" s="26">
        <v>242402.4</v>
      </c>
    </row>
    <row r="9" spans="1:21" s="132" customFormat="1" x14ac:dyDescent="0.25">
      <c r="A9" s="26" t="s">
        <v>280</v>
      </c>
      <c r="B9" s="19" t="s">
        <v>1939</v>
      </c>
      <c r="C9" s="19" t="s">
        <v>57</v>
      </c>
      <c r="D9" s="20" t="s">
        <v>58</v>
      </c>
      <c r="E9" s="21" t="s">
        <v>1794</v>
      </c>
      <c r="F9" s="19">
        <v>15876</v>
      </c>
      <c r="G9" s="18">
        <v>700</v>
      </c>
      <c r="H9" s="18" t="s">
        <v>129</v>
      </c>
      <c r="I9" s="18" t="s">
        <v>30</v>
      </c>
      <c r="J9" s="23">
        <v>44931</v>
      </c>
      <c r="K9" s="18"/>
      <c r="L9" s="19"/>
      <c r="M9" s="19"/>
      <c r="N9" s="26" t="s">
        <v>1942</v>
      </c>
      <c r="O9" s="26">
        <v>15876</v>
      </c>
      <c r="P9" s="26"/>
      <c r="Q9" s="26"/>
      <c r="R9" s="26"/>
      <c r="S9" s="142">
        <v>49500</v>
      </c>
      <c r="T9" s="28">
        <f t="shared" si="0"/>
        <v>785862</v>
      </c>
      <c r="U9" s="26"/>
    </row>
    <row r="10" spans="1:21" s="132" customFormat="1" x14ac:dyDescent="0.25">
      <c r="A10" s="26"/>
      <c r="B10" s="19" t="s">
        <v>1943</v>
      </c>
      <c r="C10" s="19" t="s">
        <v>26</v>
      </c>
      <c r="D10" s="20" t="s">
        <v>27</v>
      </c>
      <c r="E10" s="33" t="s">
        <v>1268</v>
      </c>
      <c r="F10" s="19">
        <v>20000</v>
      </c>
      <c r="G10" s="18">
        <v>800</v>
      </c>
      <c r="H10" s="18" t="s">
        <v>129</v>
      </c>
      <c r="I10" s="18" t="s">
        <v>30</v>
      </c>
      <c r="J10" s="23">
        <v>44932</v>
      </c>
      <c r="K10" s="18" t="s">
        <v>749</v>
      </c>
      <c r="L10" s="26" t="s">
        <v>750</v>
      </c>
      <c r="M10" s="26" t="s">
        <v>751</v>
      </c>
      <c r="N10" s="26"/>
      <c r="O10" s="26">
        <v>20000</v>
      </c>
      <c r="P10" s="26"/>
      <c r="Q10" s="26"/>
      <c r="R10" s="26" t="s">
        <v>34</v>
      </c>
      <c r="S10" s="27">
        <v>38500</v>
      </c>
      <c r="T10" s="28">
        <f t="shared" si="0"/>
        <v>770000</v>
      </c>
      <c r="U10" s="26">
        <v>185000</v>
      </c>
    </row>
    <row r="11" spans="1:21" s="132" customFormat="1" x14ac:dyDescent="0.25">
      <c r="A11" s="26"/>
      <c r="B11" s="19" t="s">
        <v>1944</v>
      </c>
      <c r="C11" s="19" t="s">
        <v>633</v>
      </c>
      <c r="D11" s="20" t="s">
        <v>634</v>
      </c>
      <c r="E11" s="21" t="s">
        <v>1945</v>
      </c>
      <c r="F11" s="19">
        <v>7000</v>
      </c>
      <c r="G11" s="18">
        <v>35</v>
      </c>
      <c r="H11" s="18" t="s">
        <v>833</v>
      </c>
      <c r="I11" s="18" t="s">
        <v>30</v>
      </c>
      <c r="J11" s="23">
        <v>44932</v>
      </c>
      <c r="K11" s="18" t="s">
        <v>454</v>
      </c>
      <c r="L11" s="19" t="s">
        <v>747</v>
      </c>
      <c r="M11" s="19" t="s">
        <v>748</v>
      </c>
      <c r="N11" s="26"/>
      <c r="O11" s="26"/>
      <c r="P11" s="26"/>
      <c r="Q11" s="26">
        <v>7000</v>
      </c>
      <c r="R11" s="26" t="s">
        <v>34</v>
      </c>
      <c r="S11" s="27">
        <v>110000</v>
      </c>
      <c r="T11" s="28">
        <f t="shared" si="0"/>
        <v>770000</v>
      </c>
      <c r="U11" s="26">
        <v>205000</v>
      </c>
    </row>
    <row r="12" spans="1:21" s="132" customFormat="1" x14ac:dyDescent="0.25">
      <c r="A12" s="26"/>
      <c r="B12" s="19" t="s">
        <v>1944</v>
      </c>
      <c r="C12" s="19" t="s">
        <v>633</v>
      </c>
      <c r="D12" s="20" t="s">
        <v>634</v>
      </c>
      <c r="E12" s="21" t="s">
        <v>1946</v>
      </c>
      <c r="F12" s="19">
        <v>8000</v>
      </c>
      <c r="G12" s="18">
        <v>40</v>
      </c>
      <c r="H12" s="18" t="s">
        <v>833</v>
      </c>
      <c r="I12" s="18" t="s">
        <v>30</v>
      </c>
      <c r="J12" s="23">
        <v>44932</v>
      </c>
      <c r="K12" s="18" t="s">
        <v>454</v>
      </c>
      <c r="L12" s="19"/>
      <c r="M12" s="19"/>
      <c r="N12" s="26"/>
      <c r="O12" s="26"/>
      <c r="P12" s="26"/>
      <c r="Q12" s="26">
        <v>8000</v>
      </c>
      <c r="R12" s="26" t="s">
        <v>34</v>
      </c>
      <c r="S12" s="27">
        <v>110000</v>
      </c>
      <c r="T12" s="28">
        <f t="shared" si="0"/>
        <v>880000</v>
      </c>
      <c r="U12" s="26"/>
    </row>
    <row r="13" spans="1:21" s="132" customFormat="1" x14ac:dyDescent="0.25">
      <c r="A13" s="26"/>
      <c r="B13" s="19" t="s">
        <v>1944</v>
      </c>
      <c r="C13" s="19" t="s">
        <v>633</v>
      </c>
      <c r="D13" s="20" t="s">
        <v>634</v>
      </c>
      <c r="E13" s="21" t="s">
        <v>1947</v>
      </c>
      <c r="F13" s="19">
        <v>1000</v>
      </c>
      <c r="G13" s="18">
        <v>5</v>
      </c>
      <c r="H13" s="18" t="s">
        <v>833</v>
      </c>
      <c r="I13" s="18" t="s">
        <v>30</v>
      </c>
      <c r="J13" s="23">
        <v>44932</v>
      </c>
      <c r="K13" s="18" t="s">
        <v>454</v>
      </c>
      <c r="L13" s="19"/>
      <c r="M13" s="19"/>
      <c r="N13" s="26"/>
      <c r="O13" s="26"/>
      <c r="P13" s="26"/>
      <c r="Q13" s="26">
        <v>1000</v>
      </c>
      <c r="R13" s="26" t="s">
        <v>34</v>
      </c>
      <c r="S13" s="27">
        <v>110000</v>
      </c>
      <c r="T13" s="28">
        <f t="shared" si="0"/>
        <v>110000</v>
      </c>
      <c r="U13" s="26"/>
    </row>
    <row r="14" spans="1:21" s="132" customFormat="1" x14ac:dyDescent="0.25">
      <c r="A14" s="26"/>
      <c r="B14" s="19" t="s">
        <v>1948</v>
      </c>
      <c r="C14" s="19" t="s">
        <v>633</v>
      </c>
      <c r="D14" s="20" t="s">
        <v>1779</v>
      </c>
      <c r="E14" s="21" t="s">
        <v>1949</v>
      </c>
      <c r="F14" s="19">
        <v>5400</v>
      </c>
      <c r="G14" s="18">
        <v>30</v>
      </c>
      <c r="H14" s="18" t="s">
        <v>322</v>
      </c>
      <c r="I14" s="18" t="s">
        <v>30</v>
      </c>
      <c r="J14" s="23">
        <v>44932</v>
      </c>
      <c r="K14" s="18" t="s">
        <v>482</v>
      </c>
      <c r="L14" s="26" t="s">
        <v>585</v>
      </c>
      <c r="M14" s="26" t="s">
        <v>408</v>
      </c>
      <c r="N14" s="26"/>
      <c r="O14" s="26"/>
      <c r="P14" s="26"/>
      <c r="Q14" s="26">
        <v>5400</v>
      </c>
      <c r="R14" s="26" t="s">
        <v>34</v>
      </c>
      <c r="S14" s="27">
        <v>110000</v>
      </c>
      <c r="T14" s="28">
        <f t="shared" si="0"/>
        <v>594000</v>
      </c>
      <c r="U14" s="26">
        <v>205000</v>
      </c>
    </row>
    <row r="15" spans="1:21" s="132" customFormat="1" x14ac:dyDescent="0.25">
      <c r="A15" s="26"/>
      <c r="B15" s="19" t="s">
        <v>1948</v>
      </c>
      <c r="C15" s="19" t="s">
        <v>633</v>
      </c>
      <c r="D15" s="20" t="s">
        <v>1779</v>
      </c>
      <c r="E15" s="21" t="s">
        <v>1950</v>
      </c>
      <c r="F15" s="19">
        <v>7560</v>
      </c>
      <c r="G15" s="18">
        <v>42</v>
      </c>
      <c r="H15" s="18" t="s">
        <v>322</v>
      </c>
      <c r="I15" s="18" t="s">
        <v>30</v>
      </c>
      <c r="J15" s="23">
        <v>44932</v>
      </c>
      <c r="K15" s="18" t="s">
        <v>482</v>
      </c>
      <c r="L15" s="26"/>
      <c r="M15" s="26"/>
      <c r="N15" s="26"/>
      <c r="O15" s="26"/>
      <c r="P15" s="26"/>
      <c r="Q15" s="26">
        <v>7560</v>
      </c>
      <c r="R15" s="26" t="s">
        <v>34</v>
      </c>
      <c r="S15" s="27">
        <v>110000</v>
      </c>
      <c r="T15" s="28">
        <f t="shared" si="0"/>
        <v>831600</v>
      </c>
      <c r="U15" s="26"/>
    </row>
    <row r="16" spans="1:21" s="132" customFormat="1" x14ac:dyDescent="0.25">
      <c r="A16" s="26"/>
      <c r="B16" s="19" t="s">
        <v>1948</v>
      </c>
      <c r="C16" s="19" t="s">
        <v>633</v>
      </c>
      <c r="D16" s="20" t="s">
        <v>1779</v>
      </c>
      <c r="E16" s="21" t="s">
        <v>1727</v>
      </c>
      <c r="F16" s="19">
        <v>2880</v>
      </c>
      <c r="G16" s="18">
        <v>16</v>
      </c>
      <c r="H16" s="18" t="s">
        <v>322</v>
      </c>
      <c r="I16" s="18" t="s">
        <v>30</v>
      </c>
      <c r="J16" s="23">
        <v>44932</v>
      </c>
      <c r="K16" s="18" t="s">
        <v>482</v>
      </c>
      <c r="L16" s="26"/>
      <c r="M16" s="26"/>
      <c r="N16" s="26"/>
      <c r="O16" s="26"/>
      <c r="P16" s="26"/>
      <c r="Q16" s="26">
        <v>2880</v>
      </c>
      <c r="R16" s="26" t="s">
        <v>34</v>
      </c>
      <c r="S16" s="27">
        <v>110000</v>
      </c>
      <c r="T16" s="28">
        <f t="shared" si="0"/>
        <v>316800</v>
      </c>
      <c r="U16" s="26"/>
    </row>
    <row r="17" spans="1:21" s="132" customFormat="1" ht="14.25" customHeight="1" x14ac:dyDescent="0.25">
      <c r="A17" s="26"/>
      <c r="B17" s="19" t="s">
        <v>1951</v>
      </c>
      <c r="C17" s="19" t="s">
        <v>893</v>
      </c>
      <c r="D17" s="20" t="s">
        <v>38</v>
      </c>
      <c r="E17" s="21" t="s">
        <v>1947</v>
      </c>
      <c r="F17" s="19">
        <v>8800</v>
      </c>
      <c r="G17" s="18">
        <v>44</v>
      </c>
      <c r="H17" s="18" t="s">
        <v>322</v>
      </c>
      <c r="I17" s="18" t="s">
        <v>30</v>
      </c>
      <c r="J17" s="23">
        <v>44935</v>
      </c>
      <c r="K17" s="18" t="s">
        <v>1952</v>
      </c>
      <c r="L17" s="26" t="s">
        <v>1953</v>
      </c>
      <c r="M17" s="26" t="s">
        <v>1954</v>
      </c>
      <c r="N17" s="26"/>
      <c r="O17" s="26"/>
      <c r="P17" s="26"/>
      <c r="Q17" s="26">
        <v>8800</v>
      </c>
      <c r="R17" s="26" t="s">
        <v>34</v>
      </c>
      <c r="S17" s="27">
        <v>89700</v>
      </c>
      <c r="T17" s="28">
        <f t="shared" si="0"/>
        <v>789360.00000000012</v>
      </c>
      <c r="U17" s="26">
        <v>205000</v>
      </c>
    </row>
    <row r="18" spans="1:21" s="132" customFormat="1" x14ac:dyDescent="0.25">
      <c r="A18" s="26"/>
      <c r="B18" s="19" t="s">
        <v>1951</v>
      </c>
      <c r="C18" s="19" t="s">
        <v>893</v>
      </c>
      <c r="D18" s="20" t="s">
        <v>38</v>
      </c>
      <c r="E18" s="21" t="s">
        <v>1505</v>
      </c>
      <c r="F18" s="19">
        <v>8800</v>
      </c>
      <c r="G18" s="18">
        <v>44</v>
      </c>
      <c r="H18" s="18" t="s">
        <v>322</v>
      </c>
      <c r="I18" s="18" t="s">
        <v>30</v>
      </c>
      <c r="J18" s="23">
        <v>44935</v>
      </c>
      <c r="K18" s="18" t="s">
        <v>1952</v>
      </c>
      <c r="L18" s="26"/>
      <c r="M18" s="26"/>
      <c r="N18" s="26"/>
      <c r="O18" s="26"/>
      <c r="P18" s="26"/>
      <c r="Q18" s="26">
        <v>8800</v>
      </c>
      <c r="R18" s="26" t="s">
        <v>34</v>
      </c>
      <c r="S18" s="27">
        <v>89700</v>
      </c>
      <c r="T18" s="28">
        <f t="shared" si="0"/>
        <v>789360.00000000012</v>
      </c>
      <c r="U18" s="26"/>
    </row>
    <row r="19" spans="1:21" s="132" customFormat="1" x14ac:dyDescent="0.25">
      <c r="A19" s="26"/>
      <c r="B19" s="19" t="s">
        <v>1948</v>
      </c>
      <c r="C19" s="19" t="s">
        <v>633</v>
      </c>
      <c r="D19" s="20" t="s">
        <v>1779</v>
      </c>
      <c r="E19" s="21" t="s">
        <v>1486</v>
      </c>
      <c r="F19" s="19">
        <v>5220</v>
      </c>
      <c r="G19" s="18">
        <v>29</v>
      </c>
      <c r="H19" s="18" t="s">
        <v>322</v>
      </c>
      <c r="I19" s="18" t="s">
        <v>30</v>
      </c>
      <c r="J19" s="23">
        <v>44935</v>
      </c>
      <c r="K19" s="18" t="s">
        <v>1672</v>
      </c>
      <c r="L19" s="19" t="s">
        <v>1673</v>
      </c>
      <c r="M19" s="19" t="s">
        <v>1674</v>
      </c>
      <c r="N19" s="26"/>
      <c r="O19" s="26"/>
      <c r="P19" s="26"/>
      <c r="Q19" s="26">
        <v>5220</v>
      </c>
      <c r="R19" s="26" t="s">
        <v>34</v>
      </c>
      <c r="S19" s="27">
        <v>110000</v>
      </c>
      <c r="T19" s="28">
        <f t="shared" si="0"/>
        <v>574200</v>
      </c>
      <c r="U19" s="26">
        <v>205000</v>
      </c>
    </row>
    <row r="20" spans="1:21" s="132" customFormat="1" x14ac:dyDescent="0.25">
      <c r="A20" s="26"/>
      <c r="B20" s="19" t="s">
        <v>1948</v>
      </c>
      <c r="C20" s="19" t="s">
        <v>633</v>
      </c>
      <c r="D20" s="20" t="s">
        <v>1779</v>
      </c>
      <c r="E20" s="21" t="s">
        <v>1955</v>
      </c>
      <c r="F20" s="19">
        <v>1800</v>
      </c>
      <c r="G20" s="18">
        <v>10</v>
      </c>
      <c r="H20" s="18" t="s">
        <v>322</v>
      </c>
      <c r="I20" s="18" t="s">
        <v>30</v>
      </c>
      <c r="J20" s="23">
        <v>44935</v>
      </c>
      <c r="K20" s="18" t="s">
        <v>1672</v>
      </c>
      <c r="L20" s="26"/>
      <c r="M20" s="26"/>
      <c r="N20" s="26"/>
      <c r="O20" s="26"/>
      <c r="P20" s="26"/>
      <c r="Q20" s="26">
        <v>1800</v>
      </c>
      <c r="R20" s="26" t="s">
        <v>34</v>
      </c>
      <c r="S20" s="27">
        <v>110000</v>
      </c>
      <c r="T20" s="28">
        <f t="shared" si="0"/>
        <v>198000</v>
      </c>
      <c r="U20" s="26"/>
    </row>
    <row r="21" spans="1:21" s="132" customFormat="1" x14ac:dyDescent="0.25">
      <c r="A21" s="26"/>
      <c r="B21" s="19" t="s">
        <v>1948</v>
      </c>
      <c r="C21" s="19" t="s">
        <v>633</v>
      </c>
      <c r="D21" s="20" t="s">
        <v>1779</v>
      </c>
      <c r="E21" s="21" t="s">
        <v>1671</v>
      </c>
      <c r="F21" s="19">
        <v>7920</v>
      </c>
      <c r="G21" s="18">
        <v>44</v>
      </c>
      <c r="H21" s="18" t="s">
        <v>322</v>
      </c>
      <c r="I21" s="18" t="s">
        <v>30</v>
      </c>
      <c r="J21" s="23">
        <v>44935</v>
      </c>
      <c r="K21" s="18" t="s">
        <v>1672</v>
      </c>
      <c r="L21" s="26"/>
      <c r="M21" s="26"/>
      <c r="N21" s="26"/>
      <c r="O21" s="26"/>
      <c r="P21" s="26"/>
      <c r="Q21" s="26">
        <v>7920</v>
      </c>
      <c r="R21" s="26" t="s">
        <v>34</v>
      </c>
      <c r="S21" s="27">
        <v>110000</v>
      </c>
      <c r="T21" s="28">
        <f t="shared" si="0"/>
        <v>871200</v>
      </c>
      <c r="U21" s="26"/>
    </row>
    <row r="22" spans="1:21" s="132" customFormat="1" x14ac:dyDescent="0.25">
      <c r="A22" s="26"/>
      <c r="B22" s="19" t="s">
        <v>1948</v>
      </c>
      <c r="C22" s="19" t="s">
        <v>633</v>
      </c>
      <c r="D22" s="20" t="s">
        <v>1779</v>
      </c>
      <c r="E22" s="21" t="s">
        <v>1945</v>
      </c>
      <c r="F22" s="19">
        <v>900</v>
      </c>
      <c r="G22" s="18">
        <v>5</v>
      </c>
      <c r="H22" s="18" t="s">
        <v>322</v>
      </c>
      <c r="I22" s="18" t="s">
        <v>30</v>
      </c>
      <c r="J22" s="23">
        <v>44935</v>
      </c>
      <c r="K22" s="18" t="s">
        <v>1672</v>
      </c>
      <c r="L22" s="26"/>
      <c r="M22" s="26"/>
      <c r="N22" s="26"/>
      <c r="O22" s="26"/>
      <c r="P22" s="26"/>
      <c r="Q22" s="26">
        <v>900</v>
      </c>
      <c r="R22" s="26" t="s">
        <v>34</v>
      </c>
      <c r="S22" s="27">
        <v>110000</v>
      </c>
      <c r="T22" s="28">
        <f t="shared" si="0"/>
        <v>99000</v>
      </c>
      <c r="U22" s="26"/>
    </row>
    <row r="23" spans="1:21" s="132" customFormat="1" x14ac:dyDescent="0.25">
      <c r="A23" s="26"/>
      <c r="B23" s="19" t="s">
        <v>1956</v>
      </c>
      <c r="C23" s="19" t="s">
        <v>57</v>
      </c>
      <c r="D23" s="20" t="s">
        <v>58</v>
      </c>
      <c r="E23" s="33" t="s">
        <v>1957</v>
      </c>
      <c r="F23" s="19">
        <v>15876</v>
      </c>
      <c r="G23" s="18">
        <v>700</v>
      </c>
      <c r="H23" s="18" t="s">
        <v>95</v>
      </c>
      <c r="I23" s="18" t="s">
        <v>30</v>
      </c>
      <c r="J23" s="23">
        <v>44935</v>
      </c>
      <c r="K23" s="18" t="s">
        <v>1297</v>
      </c>
      <c r="L23" s="138" t="s">
        <v>1298</v>
      </c>
      <c r="M23" s="19" t="s">
        <v>1299</v>
      </c>
      <c r="N23" s="26"/>
      <c r="O23" s="26">
        <v>15876</v>
      </c>
      <c r="P23" s="26"/>
      <c r="Q23" s="26"/>
      <c r="R23" s="26" t="s">
        <v>34</v>
      </c>
      <c r="S23" s="27">
        <v>49500</v>
      </c>
      <c r="T23" s="28">
        <f t="shared" si="0"/>
        <v>785862</v>
      </c>
      <c r="U23" s="26">
        <v>225000</v>
      </c>
    </row>
    <row r="24" spans="1:21" s="132" customFormat="1" x14ac:dyDescent="0.25">
      <c r="A24" s="26"/>
      <c r="B24" s="19" t="s">
        <v>1956</v>
      </c>
      <c r="C24" s="19" t="s">
        <v>57</v>
      </c>
      <c r="D24" s="20" t="s">
        <v>58</v>
      </c>
      <c r="E24" s="33" t="s">
        <v>1727</v>
      </c>
      <c r="F24" s="19">
        <v>3969</v>
      </c>
      <c r="G24" s="18">
        <v>175</v>
      </c>
      <c r="H24" s="18" t="s">
        <v>95</v>
      </c>
      <c r="I24" s="18" t="s">
        <v>30</v>
      </c>
      <c r="J24" s="23">
        <v>44935</v>
      </c>
      <c r="K24" s="18" t="s">
        <v>1297</v>
      </c>
      <c r="L24" s="138"/>
      <c r="M24" s="19"/>
      <c r="N24" s="26"/>
      <c r="O24" s="26">
        <v>3969</v>
      </c>
      <c r="P24" s="26"/>
      <c r="Q24" s="26"/>
      <c r="R24" s="26" t="s">
        <v>34</v>
      </c>
      <c r="S24" s="27">
        <v>49500</v>
      </c>
      <c r="T24" s="28">
        <f t="shared" si="0"/>
        <v>196465.5</v>
      </c>
      <c r="U24" s="26"/>
    </row>
    <row r="25" spans="1:21" s="132" customFormat="1" x14ac:dyDescent="0.25">
      <c r="A25" s="25"/>
      <c r="B25" s="19" t="s">
        <v>1867</v>
      </c>
      <c r="C25" s="19" t="s">
        <v>57</v>
      </c>
      <c r="D25" s="20" t="s">
        <v>1813</v>
      </c>
      <c r="E25" s="21" t="s">
        <v>1958</v>
      </c>
      <c r="F25" s="19">
        <v>18144</v>
      </c>
      <c r="G25" s="18">
        <v>800</v>
      </c>
      <c r="H25" s="18" t="s">
        <v>95</v>
      </c>
      <c r="I25" s="18" t="s">
        <v>30</v>
      </c>
      <c r="J25" s="23">
        <v>44935</v>
      </c>
      <c r="K25" s="19" t="s">
        <v>1090</v>
      </c>
      <c r="L25" s="26" t="s">
        <v>1091</v>
      </c>
      <c r="M25" s="26" t="s">
        <v>1092</v>
      </c>
      <c r="N25" s="26"/>
      <c r="O25" s="26"/>
      <c r="P25" s="26">
        <v>18144</v>
      </c>
      <c r="Q25" s="26"/>
      <c r="R25" s="26" t="s">
        <v>34</v>
      </c>
      <c r="S25" s="27">
        <v>245000</v>
      </c>
      <c r="T25" s="28">
        <f t="shared" si="0"/>
        <v>4445280</v>
      </c>
      <c r="U25" s="26">
        <v>225000</v>
      </c>
    </row>
    <row r="26" spans="1:21" s="132" customFormat="1" x14ac:dyDescent="0.25">
      <c r="A26" s="26"/>
      <c r="B26" s="19" t="s">
        <v>1959</v>
      </c>
      <c r="C26" s="19" t="s">
        <v>1743</v>
      </c>
      <c r="D26" s="20" t="s">
        <v>74</v>
      </c>
      <c r="E26" s="21" t="s">
        <v>1960</v>
      </c>
      <c r="F26" s="19">
        <v>12000</v>
      </c>
      <c r="G26" s="18">
        <v>480</v>
      </c>
      <c r="H26" s="18" t="s">
        <v>1744</v>
      </c>
      <c r="I26" s="18" t="s">
        <v>30</v>
      </c>
      <c r="J26" s="23">
        <v>44935</v>
      </c>
      <c r="K26" s="18" t="s">
        <v>1642</v>
      </c>
      <c r="L26" s="138">
        <v>79532629687</v>
      </c>
      <c r="M26" s="19" t="s">
        <v>1643</v>
      </c>
      <c r="N26" s="26"/>
      <c r="O26" s="26">
        <v>12000</v>
      </c>
      <c r="P26" s="26"/>
      <c r="Q26" s="26"/>
      <c r="R26" s="26"/>
      <c r="S26" s="27">
        <v>47000</v>
      </c>
      <c r="T26" s="28">
        <f t="shared" si="0"/>
        <v>564000</v>
      </c>
      <c r="U26" s="26">
        <v>150000</v>
      </c>
    </row>
    <row r="27" spans="1:21" s="132" customFormat="1" x14ac:dyDescent="0.25">
      <c r="A27" s="26"/>
      <c r="B27" s="19" t="s">
        <v>1959</v>
      </c>
      <c r="C27" s="19" t="s">
        <v>1743</v>
      </c>
      <c r="D27" s="20" t="s">
        <v>74</v>
      </c>
      <c r="E27" s="21" t="s">
        <v>1174</v>
      </c>
      <c r="F27" s="19">
        <v>5000</v>
      </c>
      <c r="G27" s="18">
        <v>200</v>
      </c>
      <c r="H27" s="18" t="s">
        <v>1744</v>
      </c>
      <c r="I27" s="18" t="s">
        <v>30</v>
      </c>
      <c r="J27" s="23">
        <v>44935</v>
      </c>
      <c r="K27" s="18" t="s">
        <v>1642</v>
      </c>
      <c r="L27" s="19"/>
      <c r="M27" s="19"/>
      <c r="N27" s="26"/>
      <c r="O27" s="26">
        <v>5000</v>
      </c>
      <c r="P27" s="26"/>
      <c r="Q27" s="26"/>
      <c r="R27" s="26"/>
      <c r="S27" s="27">
        <v>47000</v>
      </c>
      <c r="T27" s="28">
        <f t="shared" si="0"/>
        <v>235000</v>
      </c>
      <c r="U27" s="26"/>
    </row>
    <row r="28" spans="1:21" s="132" customFormat="1" x14ac:dyDescent="0.25">
      <c r="A28" s="26" t="s">
        <v>280</v>
      </c>
      <c r="B28" s="19" t="s">
        <v>1939</v>
      </c>
      <c r="C28" s="19" t="s">
        <v>57</v>
      </c>
      <c r="D28" s="20" t="s">
        <v>58</v>
      </c>
      <c r="E28" s="21" t="s">
        <v>1784</v>
      </c>
      <c r="F28" s="19">
        <v>15876</v>
      </c>
      <c r="G28" s="18">
        <v>700</v>
      </c>
      <c r="H28" s="18" t="s">
        <v>129</v>
      </c>
      <c r="I28" s="18" t="s">
        <v>30</v>
      </c>
      <c r="J28" s="23">
        <v>44936</v>
      </c>
      <c r="K28" s="18"/>
      <c r="L28" s="19"/>
      <c r="M28" s="19"/>
      <c r="N28" s="26" t="s">
        <v>1961</v>
      </c>
      <c r="O28" s="26">
        <v>15876</v>
      </c>
      <c r="P28" s="26"/>
      <c r="Q28" s="26"/>
      <c r="R28" s="26"/>
      <c r="S28" s="142">
        <v>49500</v>
      </c>
      <c r="T28" s="28">
        <f t="shared" si="0"/>
        <v>785862</v>
      </c>
      <c r="U28" s="26">
        <v>242402.4</v>
      </c>
    </row>
    <row r="29" spans="1:21" s="132" customFormat="1" x14ac:dyDescent="0.25">
      <c r="A29" s="26" t="s">
        <v>280</v>
      </c>
      <c r="B29" s="19" t="s">
        <v>1939</v>
      </c>
      <c r="C29" s="19" t="s">
        <v>57</v>
      </c>
      <c r="D29" s="20" t="s">
        <v>58</v>
      </c>
      <c r="E29" s="21" t="s">
        <v>1926</v>
      </c>
      <c r="F29" s="19">
        <v>15876</v>
      </c>
      <c r="G29" s="18">
        <v>700</v>
      </c>
      <c r="H29" s="18" t="s">
        <v>129</v>
      </c>
      <c r="I29" s="18" t="s">
        <v>30</v>
      </c>
      <c r="J29" s="23">
        <v>44936</v>
      </c>
      <c r="K29" s="18"/>
      <c r="L29" s="19"/>
      <c r="M29" s="19"/>
      <c r="N29" s="26" t="s">
        <v>1962</v>
      </c>
      <c r="O29" s="26">
        <v>15876</v>
      </c>
      <c r="P29" s="26"/>
      <c r="Q29" s="26"/>
      <c r="R29" s="26"/>
      <c r="S29" s="142">
        <v>49500</v>
      </c>
      <c r="T29" s="28">
        <f t="shared" si="0"/>
        <v>785862</v>
      </c>
      <c r="U29" s="26"/>
    </row>
    <row r="30" spans="1:21" s="132" customFormat="1" x14ac:dyDescent="0.25">
      <c r="A30" s="26"/>
      <c r="B30" s="19" t="s">
        <v>1963</v>
      </c>
      <c r="C30" s="19" t="s">
        <v>26</v>
      </c>
      <c r="D30" s="20" t="s">
        <v>27</v>
      </c>
      <c r="E30" s="33" t="s">
        <v>1947</v>
      </c>
      <c r="F30" s="19">
        <v>20000</v>
      </c>
      <c r="G30" s="18">
        <v>800</v>
      </c>
      <c r="H30" s="18" t="s">
        <v>129</v>
      </c>
      <c r="I30" s="18" t="s">
        <v>30</v>
      </c>
      <c r="J30" s="23">
        <v>44936</v>
      </c>
      <c r="K30" s="18" t="s">
        <v>1964</v>
      </c>
      <c r="L30" s="26" t="s">
        <v>425</v>
      </c>
      <c r="M30" s="26" t="s">
        <v>63</v>
      </c>
      <c r="N30" s="26"/>
      <c r="O30" s="26">
        <v>20000</v>
      </c>
      <c r="P30" s="26"/>
      <c r="Q30" s="26"/>
      <c r="R30" s="26" t="s">
        <v>34</v>
      </c>
      <c r="S30" s="27">
        <v>38500</v>
      </c>
      <c r="T30" s="28">
        <f t="shared" si="0"/>
        <v>770000</v>
      </c>
      <c r="U30" s="26">
        <v>185000</v>
      </c>
    </row>
    <row r="31" spans="1:21" s="132" customFormat="1" x14ac:dyDescent="0.25">
      <c r="A31" s="26"/>
      <c r="B31" s="19" t="s">
        <v>1965</v>
      </c>
      <c r="C31" s="19" t="s">
        <v>893</v>
      </c>
      <c r="D31" s="20" t="s">
        <v>38</v>
      </c>
      <c r="E31" s="21" t="s">
        <v>1966</v>
      </c>
      <c r="F31" s="19">
        <v>400</v>
      </c>
      <c r="G31" s="18">
        <v>2</v>
      </c>
      <c r="H31" s="18" t="s">
        <v>462</v>
      </c>
      <c r="I31" s="18" t="s">
        <v>30</v>
      </c>
      <c r="J31" s="23">
        <v>44936</v>
      </c>
      <c r="K31" s="18" t="s">
        <v>1011</v>
      </c>
      <c r="L31" s="19" t="s">
        <v>1012</v>
      </c>
      <c r="M31" s="19" t="s">
        <v>1013</v>
      </c>
      <c r="N31" s="26"/>
      <c r="O31" s="26"/>
      <c r="P31" s="26"/>
      <c r="Q31" s="26">
        <v>400</v>
      </c>
      <c r="R31" s="26" t="s">
        <v>34</v>
      </c>
      <c r="S31" s="27">
        <v>89700</v>
      </c>
      <c r="T31" s="28">
        <f t="shared" si="0"/>
        <v>35880</v>
      </c>
      <c r="U31" s="26">
        <v>170000</v>
      </c>
    </row>
    <row r="32" spans="1:21" s="132" customFormat="1" x14ac:dyDescent="0.25">
      <c r="A32" s="26"/>
      <c r="B32" s="19" t="s">
        <v>1965</v>
      </c>
      <c r="C32" s="19" t="s">
        <v>893</v>
      </c>
      <c r="D32" s="20" t="s">
        <v>38</v>
      </c>
      <c r="E32" s="21" t="s">
        <v>1926</v>
      </c>
      <c r="F32" s="19">
        <v>9000</v>
      </c>
      <c r="G32" s="18">
        <v>45</v>
      </c>
      <c r="H32" s="18" t="s">
        <v>462</v>
      </c>
      <c r="I32" s="18" t="s">
        <v>30</v>
      </c>
      <c r="J32" s="23">
        <v>44936</v>
      </c>
      <c r="K32" s="18" t="s">
        <v>1011</v>
      </c>
      <c r="L32" s="19"/>
      <c r="M32" s="19"/>
      <c r="N32" s="26"/>
      <c r="O32" s="26"/>
      <c r="P32" s="26"/>
      <c r="Q32" s="26">
        <v>9000</v>
      </c>
      <c r="R32" s="26" t="s">
        <v>34</v>
      </c>
      <c r="S32" s="27">
        <v>89700</v>
      </c>
      <c r="T32" s="28">
        <f t="shared" si="0"/>
        <v>807300</v>
      </c>
      <c r="U32" s="26"/>
    </row>
    <row r="33" spans="1:21" s="132" customFormat="1" x14ac:dyDescent="0.25">
      <c r="A33" s="26"/>
      <c r="B33" s="19" t="s">
        <v>1965</v>
      </c>
      <c r="C33" s="19" t="s">
        <v>893</v>
      </c>
      <c r="D33" s="20" t="s">
        <v>38</v>
      </c>
      <c r="E33" s="21" t="s">
        <v>1967</v>
      </c>
      <c r="F33" s="19">
        <v>8200</v>
      </c>
      <c r="G33" s="18">
        <v>41</v>
      </c>
      <c r="H33" s="18" t="s">
        <v>462</v>
      </c>
      <c r="I33" s="18" t="s">
        <v>30</v>
      </c>
      <c r="J33" s="23">
        <v>44936</v>
      </c>
      <c r="K33" s="18" t="s">
        <v>1011</v>
      </c>
      <c r="L33" s="19"/>
      <c r="M33" s="19"/>
      <c r="N33" s="26"/>
      <c r="O33" s="26"/>
      <c r="P33" s="26"/>
      <c r="Q33" s="26">
        <v>8200</v>
      </c>
      <c r="R33" s="26" t="s">
        <v>34</v>
      </c>
      <c r="S33" s="27">
        <v>89700</v>
      </c>
      <c r="T33" s="28">
        <f t="shared" si="0"/>
        <v>735539.99999999988</v>
      </c>
      <c r="U33" s="26"/>
    </row>
    <row r="34" spans="1:21" s="132" customFormat="1" x14ac:dyDescent="0.25">
      <c r="A34" s="26" t="s">
        <v>280</v>
      </c>
      <c r="B34" s="19" t="s">
        <v>1812</v>
      </c>
      <c r="C34" s="19" t="s">
        <v>57</v>
      </c>
      <c r="D34" s="20" t="s">
        <v>1663</v>
      </c>
      <c r="E34" s="21" t="s">
        <v>1505</v>
      </c>
      <c r="F34" s="19">
        <v>7770</v>
      </c>
      <c r="G34" s="18">
        <v>42</v>
      </c>
      <c r="H34" s="18" t="s">
        <v>95</v>
      </c>
      <c r="I34" s="18" t="s">
        <v>30</v>
      </c>
      <c r="J34" s="23">
        <v>44938</v>
      </c>
      <c r="K34" s="18"/>
      <c r="L34" s="19"/>
      <c r="M34" s="19"/>
      <c r="N34" s="26" t="s">
        <v>1968</v>
      </c>
      <c r="O34" s="26"/>
      <c r="P34" s="26"/>
      <c r="Q34" s="26">
        <v>7770</v>
      </c>
      <c r="R34" s="26"/>
      <c r="S34" s="27">
        <v>110800</v>
      </c>
      <c r="T34" s="28">
        <f t="shared" ref="T34:T97" si="1">S34*(F34/1000)</f>
        <v>860916</v>
      </c>
      <c r="U34" s="26">
        <v>283195.2</v>
      </c>
    </row>
    <row r="35" spans="1:21" s="132" customFormat="1" x14ac:dyDescent="0.25">
      <c r="A35" s="26" t="s">
        <v>280</v>
      </c>
      <c r="B35" s="19" t="s">
        <v>1812</v>
      </c>
      <c r="C35" s="19" t="s">
        <v>57</v>
      </c>
      <c r="D35" s="20" t="s">
        <v>1663</v>
      </c>
      <c r="E35" s="21" t="s">
        <v>1784</v>
      </c>
      <c r="F35" s="19">
        <v>7030</v>
      </c>
      <c r="G35" s="18">
        <v>38</v>
      </c>
      <c r="H35" s="18" t="s">
        <v>95</v>
      </c>
      <c r="I35" s="18" t="s">
        <v>30</v>
      </c>
      <c r="J35" s="23">
        <v>44938</v>
      </c>
      <c r="K35" s="18"/>
      <c r="L35" s="19"/>
      <c r="M35" s="19"/>
      <c r="N35" s="26" t="s">
        <v>1968</v>
      </c>
      <c r="O35" s="26"/>
      <c r="P35" s="26"/>
      <c r="Q35" s="26">
        <v>7030</v>
      </c>
      <c r="R35" s="26"/>
      <c r="S35" s="27">
        <v>110800</v>
      </c>
      <c r="T35" s="28">
        <f t="shared" si="1"/>
        <v>778924</v>
      </c>
      <c r="U35" s="26"/>
    </row>
    <row r="36" spans="1:21" s="132" customFormat="1" x14ac:dyDescent="0.25">
      <c r="A36" s="26" t="s">
        <v>280</v>
      </c>
      <c r="B36" s="19" t="s">
        <v>1812</v>
      </c>
      <c r="C36" s="19" t="s">
        <v>57</v>
      </c>
      <c r="D36" s="20" t="s">
        <v>1663</v>
      </c>
      <c r="E36" s="21" t="s">
        <v>1784</v>
      </c>
      <c r="F36" s="19">
        <v>925</v>
      </c>
      <c r="G36" s="18">
        <v>5</v>
      </c>
      <c r="H36" s="18" t="s">
        <v>95</v>
      </c>
      <c r="I36" s="18" t="s">
        <v>30</v>
      </c>
      <c r="J36" s="23">
        <v>44938</v>
      </c>
      <c r="K36" s="18"/>
      <c r="L36" s="19"/>
      <c r="M36" s="19"/>
      <c r="N36" s="26" t="s">
        <v>1969</v>
      </c>
      <c r="O36" s="26"/>
      <c r="P36" s="26"/>
      <c r="Q36" s="26">
        <v>925</v>
      </c>
      <c r="R36" s="26"/>
      <c r="S36" s="27">
        <v>110800</v>
      </c>
      <c r="T36" s="28">
        <f t="shared" si="1"/>
        <v>102490</v>
      </c>
      <c r="U36" s="26"/>
    </row>
    <row r="37" spans="1:21" s="132" customFormat="1" x14ac:dyDescent="0.25">
      <c r="A37" s="26" t="s">
        <v>280</v>
      </c>
      <c r="B37" s="19" t="s">
        <v>1812</v>
      </c>
      <c r="C37" s="19" t="s">
        <v>57</v>
      </c>
      <c r="D37" s="20" t="s">
        <v>1663</v>
      </c>
      <c r="E37" s="21" t="s">
        <v>1966</v>
      </c>
      <c r="F37" s="19">
        <v>7955</v>
      </c>
      <c r="G37" s="18">
        <v>43</v>
      </c>
      <c r="H37" s="18" t="s">
        <v>95</v>
      </c>
      <c r="I37" s="18" t="s">
        <v>30</v>
      </c>
      <c r="J37" s="23">
        <v>44938</v>
      </c>
      <c r="K37" s="18"/>
      <c r="L37" s="19"/>
      <c r="M37" s="19"/>
      <c r="N37" s="26" t="s">
        <v>1969</v>
      </c>
      <c r="O37" s="26"/>
      <c r="P37" s="26"/>
      <c r="Q37" s="26">
        <v>7955</v>
      </c>
      <c r="R37" s="26"/>
      <c r="S37" s="27">
        <v>110800</v>
      </c>
      <c r="T37" s="28">
        <f t="shared" si="1"/>
        <v>881414</v>
      </c>
      <c r="U37" s="26"/>
    </row>
    <row r="38" spans="1:21" s="132" customFormat="1" x14ac:dyDescent="0.25">
      <c r="A38" s="26" t="s">
        <v>280</v>
      </c>
      <c r="B38" s="19" t="s">
        <v>1812</v>
      </c>
      <c r="C38" s="19" t="s">
        <v>57</v>
      </c>
      <c r="D38" s="20" t="s">
        <v>1663</v>
      </c>
      <c r="E38" s="21" t="s">
        <v>1926</v>
      </c>
      <c r="F38" s="19">
        <v>5920</v>
      </c>
      <c r="G38" s="18">
        <v>32</v>
      </c>
      <c r="H38" s="18" t="s">
        <v>95</v>
      </c>
      <c r="I38" s="18" t="s">
        <v>30</v>
      </c>
      <c r="J38" s="23">
        <v>44938</v>
      </c>
      <c r="K38" s="18"/>
      <c r="L38" s="19"/>
      <c r="M38" s="19"/>
      <c r="N38" s="26" t="s">
        <v>1969</v>
      </c>
      <c r="O38" s="26"/>
      <c r="P38" s="26"/>
      <c r="Q38" s="26">
        <v>5920</v>
      </c>
      <c r="R38" s="26"/>
      <c r="S38" s="27">
        <v>110800</v>
      </c>
      <c r="T38" s="28">
        <f t="shared" si="1"/>
        <v>655936</v>
      </c>
      <c r="U38" s="26"/>
    </row>
    <row r="39" spans="1:21" s="132" customFormat="1" x14ac:dyDescent="0.25">
      <c r="A39" s="26"/>
      <c r="B39" s="19" t="s">
        <v>1970</v>
      </c>
      <c r="C39" s="19" t="s">
        <v>1971</v>
      </c>
      <c r="D39" s="20" t="s">
        <v>1084</v>
      </c>
      <c r="E39" s="21" t="s">
        <v>1938</v>
      </c>
      <c r="F39" s="19">
        <v>1000</v>
      </c>
      <c r="G39" s="18">
        <v>50</v>
      </c>
      <c r="H39" s="18" t="s">
        <v>29</v>
      </c>
      <c r="I39" s="18" t="s">
        <v>30</v>
      </c>
      <c r="J39" s="23">
        <v>44938</v>
      </c>
      <c r="K39" s="18"/>
      <c r="L39" s="19"/>
      <c r="M39" s="19" t="s">
        <v>1972</v>
      </c>
      <c r="N39" s="26"/>
      <c r="O39" s="26"/>
      <c r="P39" s="26">
        <v>1000</v>
      </c>
      <c r="Q39" s="26"/>
      <c r="R39" s="26"/>
      <c r="S39" s="27">
        <v>90000</v>
      </c>
      <c r="T39" s="28">
        <f t="shared" si="1"/>
        <v>90000</v>
      </c>
      <c r="U39" s="26"/>
    </row>
    <row r="40" spans="1:21" s="132" customFormat="1" x14ac:dyDescent="0.25">
      <c r="A40" s="26"/>
      <c r="B40" s="19" t="s">
        <v>1973</v>
      </c>
      <c r="C40" s="19" t="s">
        <v>439</v>
      </c>
      <c r="D40" s="20" t="s">
        <v>445</v>
      </c>
      <c r="E40" s="33" t="s">
        <v>1974</v>
      </c>
      <c r="F40" s="19">
        <v>5000</v>
      </c>
      <c r="G40" s="18">
        <v>200</v>
      </c>
      <c r="H40" s="18" t="s">
        <v>29</v>
      </c>
      <c r="I40" s="18" t="s">
        <v>30</v>
      </c>
      <c r="J40" s="23">
        <v>44938</v>
      </c>
      <c r="K40" s="18" t="s">
        <v>1975</v>
      </c>
      <c r="L40" s="19"/>
      <c r="M40" s="19" t="s">
        <v>1976</v>
      </c>
      <c r="N40" s="26"/>
      <c r="O40" s="26">
        <v>5000</v>
      </c>
      <c r="P40" s="26"/>
      <c r="Q40" s="26"/>
      <c r="R40" s="26"/>
      <c r="S40" s="142">
        <v>45000</v>
      </c>
      <c r="T40" s="28">
        <f t="shared" si="1"/>
        <v>225000</v>
      </c>
      <c r="U40" s="26"/>
    </row>
    <row r="41" spans="1:21" s="132" customFormat="1" x14ac:dyDescent="0.25">
      <c r="A41" s="26"/>
      <c r="B41" s="19" t="s">
        <v>1977</v>
      </c>
      <c r="C41" s="19" t="s">
        <v>439</v>
      </c>
      <c r="D41" s="20" t="s">
        <v>445</v>
      </c>
      <c r="E41" s="33" t="s">
        <v>1978</v>
      </c>
      <c r="F41" s="19">
        <v>5000</v>
      </c>
      <c r="G41" s="18">
        <v>200</v>
      </c>
      <c r="H41" s="18" t="s">
        <v>29</v>
      </c>
      <c r="I41" s="18" t="s">
        <v>30</v>
      </c>
      <c r="J41" s="23">
        <v>44938</v>
      </c>
      <c r="K41" s="18" t="s">
        <v>1975</v>
      </c>
      <c r="L41" s="19"/>
      <c r="M41" s="19"/>
      <c r="N41" s="26"/>
      <c r="O41" s="26">
        <v>5000</v>
      </c>
      <c r="P41" s="26"/>
      <c r="Q41" s="26"/>
      <c r="R41" s="26"/>
      <c r="S41" s="142">
        <v>45000</v>
      </c>
      <c r="T41" s="28">
        <f t="shared" si="1"/>
        <v>225000</v>
      </c>
      <c r="U41" s="26"/>
    </row>
    <row r="42" spans="1:21" s="132" customFormat="1" x14ac:dyDescent="0.25">
      <c r="A42" s="26"/>
      <c r="B42" s="19" t="s">
        <v>1648</v>
      </c>
      <c r="C42" s="19" t="s">
        <v>633</v>
      </c>
      <c r="D42" s="20" t="s">
        <v>371</v>
      </c>
      <c r="E42" s="21" t="s">
        <v>1926</v>
      </c>
      <c r="F42" s="19">
        <v>7800</v>
      </c>
      <c r="G42" s="18">
        <v>39</v>
      </c>
      <c r="H42" s="18" t="s">
        <v>373</v>
      </c>
      <c r="I42" s="18" t="s">
        <v>30</v>
      </c>
      <c r="J42" s="23">
        <v>44939</v>
      </c>
      <c r="K42" s="18" t="s">
        <v>1979</v>
      </c>
      <c r="L42" s="19" t="s">
        <v>1980</v>
      </c>
      <c r="M42" s="19" t="s">
        <v>380</v>
      </c>
      <c r="N42" s="26"/>
      <c r="O42" s="26"/>
      <c r="P42" s="26"/>
      <c r="Q42" s="26">
        <v>7800</v>
      </c>
      <c r="R42" s="26" t="s">
        <v>34</v>
      </c>
      <c r="S42" s="27">
        <v>359000</v>
      </c>
      <c r="T42" s="28">
        <f t="shared" si="1"/>
        <v>2800200</v>
      </c>
      <c r="U42" s="26">
        <v>165000</v>
      </c>
    </row>
    <row r="43" spans="1:21" s="132" customFormat="1" x14ac:dyDescent="0.25">
      <c r="A43" s="26"/>
      <c r="B43" s="19" t="s">
        <v>1648</v>
      </c>
      <c r="C43" s="19" t="s">
        <v>633</v>
      </c>
      <c r="D43" s="20" t="s">
        <v>371</v>
      </c>
      <c r="E43" s="21" t="s">
        <v>1981</v>
      </c>
      <c r="F43" s="19">
        <v>7800</v>
      </c>
      <c r="G43" s="18">
        <v>39</v>
      </c>
      <c r="H43" s="18" t="s">
        <v>373</v>
      </c>
      <c r="I43" s="18" t="s">
        <v>30</v>
      </c>
      <c r="J43" s="23">
        <v>44939</v>
      </c>
      <c r="K43" s="18" t="s">
        <v>1979</v>
      </c>
      <c r="L43" s="19"/>
      <c r="M43" s="19"/>
      <c r="N43" s="26"/>
      <c r="O43" s="26"/>
      <c r="P43" s="26"/>
      <c r="Q43" s="26">
        <v>7800</v>
      </c>
      <c r="R43" s="26" t="s">
        <v>34</v>
      </c>
      <c r="S43" s="27">
        <v>359000</v>
      </c>
      <c r="T43" s="28">
        <f t="shared" si="1"/>
        <v>2800200</v>
      </c>
      <c r="U43" s="26"/>
    </row>
    <row r="44" spans="1:21" s="132" customFormat="1" x14ac:dyDescent="0.25">
      <c r="A44" s="26"/>
      <c r="B44" s="19" t="s">
        <v>1648</v>
      </c>
      <c r="C44" s="19" t="s">
        <v>633</v>
      </c>
      <c r="D44" s="20" t="s">
        <v>371</v>
      </c>
      <c r="E44" s="21" t="s">
        <v>1649</v>
      </c>
      <c r="F44" s="19">
        <v>2000</v>
      </c>
      <c r="G44" s="18">
        <v>10</v>
      </c>
      <c r="H44" s="18" t="s">
        <v>373</v>
      </c>
      <c r="I44" s="18" t="s">
        <v>30</v>
      </c>
      <c r="J44" s="23">
        <v>44939</v>
      </c>
      <c r="K44" s="18" t="s">
        <v>1979</v>
      </c>
      <c r="L44" s="19"/>
      <c r="M44" s="19"/>
      <c r="N44" s="26"/>
      <c r="O44" s="26"/>
      <c r="P44" s="26"/>
      <c r="Q44" s="26">
        <v>2000</v>
      </c>
      <c r="R44" s="26" t="s">
        <v>34</v>
      </c>
      <c r="S44" s="27">
        <v>359000</v>
      </c>
      <c r="T44" s="28">
        <f t="shared" si="1"/>
        <v>718000</v>
      </c>
      <c r="U44" s="26"/>
    </row>
    <row r="45" spans="1:21" s="132" customFormat="1" x14ac:dyDescent="0.25">
      <c r="A45" s="25"/>
      <c r="B45" s="19" t="s">
        <v>48</v>
      </c>
      <c r="C45" s="19" t="s">
        <v>1562</v>
      </c>
      <c r="D45" s="20" t="s">
        <v>165</v>
      </c>
      <c r="E45" s="21" t="s">
        <v>1671</v>
      </c>
      <c r="F45" s="19">
        <v>20000</v>
      </c>
      <c r="G45" s="18">
        <v>800</v>
      </c>
      <c r="H45" s="18" t="s">
        <v>486</v>
      </c>
      <c r="I45" s="18" t="s">
        <v>30</v>
      </c>
      <c r="J45" s="23">
        <v>44942</v>
      </c>
      <c r="K45" s="18" t="s">
        <v>1982</v>
      </c>
      <c r="L45" s="26" t="s">
        <v>1983</v>
      </c>
      <c r="M45" s="26" t="s">
        <v>1984</v>
      </c>
      <c r="N45" s="26"/>
      <c r="O45" s="26">
        <v>20000</v>
      </c>
      <c r="P45" s="26"/>
      <c r="Q45" s="26"/>
      <c r="R45" s="26" t="s">
        <v>34</v>
      </c>
      <c r="S45" s="27">
        <v>47000</v>
      </c>
      <c r="T45" s="28">
        <f t="shared" si="1"/>
        <v>940000</v>
      </c>
      <c r="U45" s="26">
        <v>255000</v>
      </c>
    </row>
    <row r="46" spans="1:21" s="132" customFormat="1" x14ac:dyDescent="0.25">
      <c r="A46" s="26"/>
      <c r="B46" s="19" t="s">
        <v>476</v>
      </c>
      <c r="C46" s="19" t="s">
        <v>846</v>
      </c>
      <c r="D46" s="20" t="s">
        <v>1985</v>
      </c>
      <c r="E46" s="21" t="s">
        <v>1790</v>
      </c>
      <c r="F46" s="19">
        <v>20000</v>
      </c>
      <c r="G46" s="18">
        <v>800</v>
      </c>
      <c r="H46" s="18" t="s">
        <v>29</v>
      </c>
      <c r="I46" s="18" t="s">
        <v>30</v>
      </c>
      <c r="J46" s="23">
        <v>44942</v>
      </c>
      <c r="K46" s="18" t="s">
        <v>1684</v>
      </c>
      <c r="L46" s="26"/>
      <c r="M46" s="26" t="s">
        <v>1686</v>
      </c>
      <c r="N46" s="26"/>
      <c r="O46" s="26">
        <v>20000</v>
      </c>
      <c r="P46" s="26"/>
      <c r="Q46" s="26"/>
      <c r="R46" s="26"/>
      <c r="S46" s="27">
        <v>37000</v>
      </c>
      <c r="T46" s="28">
        <f t="shared" si="1"/>
        <v>740000</v>
      </c>
      <c r="U46" s="26"/>
    </row>
    <row r="47" spans="1:21" s="132" customFormat="1" x14ac:dyDescent="0.25">
      <c r="A47" s="26"/>
      <c r="B47" s="19" t="s">
        <v>476</v>
      </c>
      <c r="C47" s="19" t="s">
        <v>846</v>
      </c>
      <c r="D47" s="20" t="s">
        <v>1985</v>
      </c>
      <c r="E47" s="21" t="s">
        <v>1986</v>
      </c>
      <c r="F47" s="19">
        <v>20000</v>
      </c>
      <c r="G47" s="18">
        <v>800</v>
      </c>
      <c r="H47" s="18" t="s">
        <v>29</v>
      </c>
      <c r="I47" s="18" t="s">
        <v>30</v>
      </c>
      <c r="J47" s="23">
        <v>44943</v>
      </c>
      <c r="K47" s="18" t="s">
        <v>1987</v>
      </c>
      <c r="L47" s="26"/>
      <c r="M47" s="26" t="s">
        <v>1988</v>
      </c>
      <c r="N47" s="26"/>
      <c r="O47" s="26">
        <v>20000</v>
      </c>
      <c r="P47" s="26"/>
      <c r="Q47" s="26"/>
      <c r="R47" s="26"/>
      <c r="S47" s="27">
        <v>37000</v>
      </c>
      <c r="T47" s="28">
        <f t="shared" si="1"/>
        <v>740000</v>
      </c>
      <c r="U47" s="26"/>
    </row>
    <row r="48" spans="1:21" s="132" customFormat="1" x14ac:dyDescent="0.25">
      <c r="A48" s="26" t="s">
        <v>280</v>
      </c>
      <c r="B48" s="19" t="s">
        <v>1989</v>
      </c>
      <c r="C48" s="19" t="s">
        <v>57</v>
      </c>
      <c r="D48" s="20" t="s">
        <v>58</v>
      </c>
      <c r="E48" s="21" t="s">
        <v>1649</v>
      </c>
      <c r="F48" s="19">
        <v>15876</v>
      </c>
      <c r="G48" s="18">
        <v>700</v>
      </c>
      <c r="H48" s="18" t="s">
        <v>129</v>
      </c>
      <c r="I48" s="18" t="s">
        <v>30</v>
      </c>
      <c r="J48" s="23">
        <v>44944</v>
      </c>
      <c r="K48" s="18"/>
      <c r="L48" s="19"/>
      <c r="M48" s="19"/>
      <c r="N48" s="26" t="s">
        <v>1990</v>
      </c>
      <c r="O48" s="26">
        <v>15876</v>
      </c>
      <c r="P48" s="26"/>
      <c r="Q48" s="26"/>
      <c r="R48" s="26"/>
      <c r="S48" s="142">
        <v>49500</v>
      </c>
      <c r="T48" s="28">
        <f t="shared" si="1"/>
        <v>785862</v>
      </c>
      <c r="U48" s="26">
        <v>242402.4</v>
      </c>
    </row>
    <row r="49" spans="1:21" s="132" customFormat="1" x14ac:dyDescent="0.25">
      <c r="A49" s="26" t="s">
        <v>280</v>
      </c>
      <c r="B49" s="19" t="s">
        <v>1989</v>
      </c>
      <c r="C49" s="19" t="s">
        <v>57</v>
      </c>
      <c r="D49" s="20" t="s">
        <v>58</v>
      </c>
      <c r="E49" s="21" t="s">
        <v>1509</v>
      </c>
      <c r="F49" s="19">
        <v>15876</v>
      </c>
      <c r="G49" s="18">
        <v>700</v>
      </c>
      <c r="H49" s="18" t="s">
        <v>129</v>
      </c>
      <c r="I49" s="18" t="s">
        <v>30</v>
      </c>
      <c r="J49" s="23">
        <v>44944</v>
      </c>
      <c r="K49" s="18"/>
      <c r="L49" s="19"/>
      <c r="M49" s="19"/>
      <c r="N49" s="26" t="s">
        <v>1991</v>
      </c>
      <c r="O49" s="26">
        <v>15876</v>
      </c>
      <c r="P49" s="26"/>
      <c r="Q49" s="26"/>
      <c r="R49" s="26"/>
      <c r="S49" s="27">
        <v>49500</v>
      </c>
      <c r="T49" s="28">
        <f t="shared" si="1"/>
        <v>785862</v>
      </c>
      <c r="U49" s="26"/>
    </row>
    <row r="50" spans="1:21" s="132" customFormat="1" x14ac:dyDescent="0.25">
      <c r="A50" s="26"/>
      <c r="B50" s="19" t="s">
        <v>1653</v>
      </c>
      <c r="C50" s="19" t="s">
        <v>893</v>
      </c>
      <c r="D50" s="20" t="s">
        <v>1498</v>
      </c>
      <c r="E50" s="21" t="s">
        <v>1649</v>
      </c>
      <c r="F50" s="19">
        <v>8550</v>
      </c>
      <c r="G50" s="18">
        <v>45</v>
      </c>
      <c r="H50" s="18" t="s">
        <v>448</v>
      </c>
      <c r="I50" s="18" t="s">
        <v>30</v>
      </c>
      <c r="J50" s="23">
        <v>44944</v>
      </c>
      <c r="K50" s="18" t="s">
        <v>1992</v>
      </c>
      <c r="L50" s="19" t="s">
        <v>1993</v>
      </c>
      <c r="M50" s="19" t="s">
        <v>1994</v>
      </c>
      <c r="N50" s="26"/>
      <c r="O50" s="26"/>
      <c r="P50" s="26"/>
      <c r="Q50" s="26">
        <v>8550</v>
      </c>
      <c r="R50" s="26" t="s">
        <v>34</v>
      </c>
      <c r="S50" s="27">
        <v>165000</v>
      </c>
      <c r="T50" s="28">
        <f t="shared" si="1"/>
        <v>1410750.0000000002</v>
      </c>
      <c r="U50" s="26">
        <v>270000</v>
      </c>
    </row>
    <row r="51" spans="1:21" s="132" customFormat="1" x14ac:dyDescent="0.25">
      <c r="A51" s="26"/>
      <c r="B51" s="19" t="s">
        <v>1653</v>
      </c>
      <c r="C51" s="19" t="s">
        <v>893</v>
      </c>
      <c r="D51" s="20" t="s">
        <v>1498</v>
      </c>
      <c r="E51" s="21" t="s">
        <v>1995</v>
      </c>
      <c r="F51" s="19">
        <v>8170</v>
      </c>
      <c r="G51" s="18">
        <v>43</v>
      </c>
      <c r="H51" s="18" t="s">
        <v>448</v>
      </c>
      <c r="I51" s="18" t="s">
        <v>30</v>
      </c>
      <c r="J51" s="23">
        <v>44944</v>
      </c>
      <c r="K51" s="18" t="s">
        <v>1992</v>
      </c>
      <c r="L51" s="19"/>
      <c r="M51" s="19"/>
      <c r="N51" s="26"/>
      <c r="O51" s="26"/>
      <c r="P51" s="26"/>
      <c r="Q51" s="26">
        <v>8170</v>
      </c>
      <c r="R51" s="26" t="s">
        <v>34</v>
      </c>
      <c r="S51" s="27">
        <v>165000</v>
      </c>
      <c r="T51" s="28">
        <f t="shared" si="1"/>
        <v>1348050</v>
      </c>
      <c r="U51" s="26"/>
    </row>
    <row r="52" spans="1:21" s="132" customFormat="1" x14ac:dyDescent="0.25">
      <c r="A52" s="26" t="s">
        <v>280</v>
      </c>
      <c r="B52" s="19" t="s">
        <v>1996</v>
      </c>
      <c r="C52" s="19" t="s">
        <v>57</v>
      </c>
      <c r="D52" s="20" t="s">
        <v>58</v>
      </c>
      <c r="E52" s="21" t="s">
        <v>1967</v>
      </c>
      <c r="F52" s="19">
        <v>15876</v>
      </c>
      <c r="G52" s="18">
        <v>700</v>
      </c>
      <c r="H52" s="18" t="s">
        <v>95</v>
      </c>
      <c r="I52" s="18" t="s">
        <v>30</v>
      </c>
      <c r="J52" s="23">
        <v>44946</v>
      </c>
      <c r="K52" s="18"/>
      <c r="L52" s="19"/>
      <c r="M52" s="19"/>
      <c r="N52" s="26" t="s">
        <v>1997</v>
      </c>
      <c r="O52" s="26">
        <v>15876</v>
      </c>
      <c r="P52" s="26"/>
      <c r="Q52" s="26"/>
      <c r="R52" s="26"/>
      <c r="S52" s="142">
        <v>49500</v>
      </c>
      <c r="T52" s="28">
        <f t="shared" si="1"/>
        <v>785862</v>
      </c>
      <c r="U52" s="26">
        <v>424792.8</v>
      </c>
    </row>
    <row r="53" spans="1:21" s="132" customFormat="1" x14ac:dyDescent="0.25">
      <c r="A53" s="26" t="s">
        <v>280</v>
      </c>
      <c r="B53" s="19" t="s">
        <v>1996</v>
      </c>
      <c r="C53" s="19" t="s">
        <v>57</v>
      </c>
      <c r="D53" s="20" t="s">
        <v>58</v>
      </c>
      <c r="E53" s="21" t="s">
        <v>1981</v>
      </c>
      <c r="F53" s="19">
        <v>15876</v>
      </c>
      <c r="G53" s="18">
        <v>700</v>
      </c>
      <c r="H53" s="18" t="s">
        <v>95</v>
      </c>
      <c r="I53" s="18" t="s">
        <v>30</v>
      </c>
      <c r="J53" s="23">
        <v>44946</v>
      </c>
      <c r="K53" s="18"/>
      <c r="L53" s="19"/>
      <c r="M53" s="19"/>
      <c r="N53" s="26" t="s">
        <v>1998</v>
      </c>
      <c r="O53" s="26">
        <v>15876</v>
      </c>
      <c r="P53" s="26"/>
      <c r="Q53" s="26"/>
      <c r="R53" s="26"/>
      <c r="S53" s="142">
        <v>49500</v>
      </c>
      <c r="T53" s="28">
        <f t="shared" si="1"/>
        <v>785862</v>
      </c>
      <c r="U53" s="26"/>
    </row>
    <row r="54" spans="1:21" s="132" customFormat="1" x14ac:dyDescent="0.25">
      <c r="A54" s="26" t="s">
        <v>280</v>
      </c>
      <c r="B54" s="19" t="s">
        <v>1996</v>
      </c>
      <c r="C54" s="19" t="s">
        <v>57</v>
      </c>
      <c r="D54" s="20" t="s">
        <v>58</v>
      </c>
      <c r="E54" s="21" t="s">
        <v>1967</v>
      </c>
      <c r="F54" s="19">
        <v>3969</v>
      </c>
      <c r="G54" s="18">
        <v>175</v>
      </c>
      <c r="H54" s="18" t="s">
        <v>95</v>
      </c>
      <c r="I54" s="18" t="s">
        <v>30</v>
      </c>
      <c r="J54" s="23">
        <v>44946</v>
      </c>
      <c r="K54" s="18"/>
      <c r="L54" s="19"/>
      <c r="M54" s="19"/>
      <c r="N54" s="26" t="s">
        <v>1999</v>
      </c>
      <c r="O54" s="26">
        <v>3969</v>
      </c>
      <c r="P54" s="26"/>
      <c r="Q54" s="26"/>
      <c r="R54" s="26"/>
      <c r="S54" s="142">
        <v>49500</v>
      </c>
      <c r="T54" s="28">
        <f t="shared" si="1"/>
        <v>196465.5</v>
      </c>
      <c r="U54" s="26"/>
    </row>
    <row r="55" spans="1:21" s="132" customFormat="1" x14ac:dyDescent="0.25">
      <c r="A55" s="26" t="s">
        <v>280</v>
      </c>
      <c r="B55" s="19" t="s">
        <v>1996</v>
      </c>
      <c r="C55" s="19" t="s">
        <v>57</v>
      </c>
      <c r="D55" s="20" t="s">
        <v>58</v>
      </c>
      <c r="E55" s="21" t="s">
        <v>1981</v>
      </c>
      <c r="F55" s="19">
        <v>3969</v>
      </c>
      <c r="G55" s="18">
        <v>175</v>
      </c>
      <c r="H55" s="18" t="s">
        <v>95</v>
      </c>
      <c r="I55" s="18" t="s">
        <v>30</v>
      </c>
      <c r="J55" s="23">
        <v>44946</v>
      </c>
      <c r="K55" s="18"/>
      <c r="L55" s="19"/>
      <c r="M55" s="19"/>
      <c r="N55" s="26" t="s">
        <v>1999</v>
      </c>
      <c r="O55" s="26">
        <v>3969</v>
      </c>
      <c r="P55" s="26"/>
      <c r="Q55" s="26"/>
      <c r="R55" s="26"/>
      <c r="S55" s="142">
        <v>49500</v>
      </c>
      <c r="T55" s="28">
        <f t="shared" si="1"/>
        <v>196465.5</v>
      </c>
      <c r="U55" s="26"/>
    </row>
    <row r="56" spans="1:21" s="132" customFormat="1" x14ac:dyDescent="0.25">
      <c r="A56" s="26" t="s">
        <v>280</v>
      </c>
      <c r="B56" s="19" t="s">
        <v>1867</v>
      </c>
      <c r="C56" s="19" t="s">
        <v>57</v>
      </c>
      <c r="D56" s="20" t="s">
        <v>58</v>
      </c>
      <c r="E56" s="33" t="s">
        <v>1727</v>
      </c>
      <c r="F56" s="19">
        <v>7938</v>
      </c>
      <c r="G56" s="18">
        <v>350</v>
      </c>
      <c r="H56" s="18" t="s">
        <v>95</v>
      </c>
      <c r="I56" s="18" t="s">
        <v>30</v>
      </c>
      <c r="J56" s="23">
        <v>44946</v>
      </c>
      <c r="K56" s="18"/>
      <c r="L56" s="26"/>
      <c r="M56" s="26"/>
      <c r="N56" s="26" t="s">
        <v>1999</v>
      </c>
      <c r="O56" s="26">
        <v>7938</v>
      </c>
      <c r="P56" s="26"/>
      <c r="Q56" s="26"/>
      <c r="R56" s="26"/>
      <c r="S56" s="27">
        <v>49500</v>
      </c>
      <c r="T56" s="28">
        <f t="shared" si="1"/>
        <v>392931</v>
      </c>
      <c r="U56" s="26"/>
    </row>
    <row r="57" spans="1:21" s="132" customFormat="1" x14ac:dyDescent="0.25">
      <c r="A57" s="26"/>
      <c r="B57" s="19" t="s">
        <v>297</v>
      </c>
      <c r="C57" s="19" t="s">
        <v>65</v>
      </c>
      <c r="D57" s="20" t="s">
        <v>74</v>
      </c>
      <c r="E57" s="33" t="s">
        <v>2000</v>
      </c>
      <c r="F57" s="19">
        <v>20000</v>
      </c>
      <c r="G57" s="18">
        <v>800</v>
      </c>
      <c r="H57" s="18" t="s">
        <v>29</v>
      </c>
      <c r="I57" s="18" t="s">
        <v>30</v>
      </c>
      <c r="J57" s="23">
        <v>44946</v>
      </c>
      <c r="K57" s="18" t="s">
        <v>2001</v>
      </c>
      <c r="L57" s="26" t="s">
        <v>2002</v>
      </c>
      <c r="M57" s="26" t="s">
        <v>2003</v>
      </c>
      <c r="N57" s="26"/>
      <c r="O57" s="26">
        <v>20000</v>
      </c>
      <c r="P57" s="26"/>
      <c r="Q57" s="26"/>
      <c r="R57" s="26"/>
      <c r="S57" s="27">
        <v>45000</v>
      </c>
      <c r="T57" s="28">
        <f t="shared" si="1"/>
        <v>900000</v>
      </c>
      <c r="U57" s="26"/>
    </row>
    <row r="58" spans="1:21" s="132" customFormat="1" x14ac:dyDescent="0.25">
      <c r="A58" s="26"/>
      <c r="B58" s="19" t="s">
        <v>1653</v>
      </c>
      <c r="C58" s="19" t="s">
        <v>893</v>
      </c>
      <c r="D58" s="20" t="s">
        <v>898</v>
      </c>
      <c r="E58" s="21" t="s">
        <v>1300</v>
      </c>
      <c r="F58" s="19">
        <v>9200</v>
      </c>
      <c r="G58" s="18">
        <v>46</v>
      </c>
      <c r="H58" s="18" t="s">
        <v>448</v>
      </c>
      <c r="I58" s="18" t="s">
        <v>30</v>
      </c>
      <c r="J58" s="23">
        <v>44949</v>
      </c>
      <c r="K58" s="18" t="s">
        <v>1655</v>
      </c>
      <c r="L58" s="19" t="s">
        <v>1656</v>
      </c>
      <c r="M58" s="19" t="s">
        <v>1657</v>
      </c>
      <c r="N58" s="26"/>
      <c r="O58" s="26"/>
      <c r="P58" s="26"/>
      <c r="Q58" s="19">
        <v>9200</v>
      </c>
      <c r="R58" s="26"/>
      <c r="S58" s="27">
        <v>152000</v>
      </c>
      <c r="T58" s="28">
        <f t="shared" si="1"/>
        <v>1398400</v>
      </c>
      <c r="U58" s="26">
        <v>275000</v>
      </c>
    </row>
    <row r="59" spans="1:21" s="132" customFormat="1" x14ac:dyDescent="0.25">
      <c r="A59" s="26"/>
      <c r="B59" s="19" t="s">
        <v>1653</v>
      </c>
      <c r="C59" s="19" t="s">
        <v>893</v>
      </c>
      <c r="D59" s="20" t="s">
        <v>898</v>
      </c>
      <c r="E59" s="21" t="s">
        <v>1799</v>
      </c>
      <c r="F59" s="19">
        <v>8400</v>
      </c>
      <c r="G59" s="18">
        <v>42</v>
      </c>
      <c r="H59" s="18" t="s">
        <v>448</v>
      </c>
      <c r="I59" s="18" t="s">
        <v>30</v>
      </c>
      <c r="J59" s="23">
        <v>44949</v>
      </c>
      <c r="K59" s="18" t="s">
        <v>1655</v>
      </c>
      <c r="L59" s="19"/>
      <c r="M59" s="19"/>
      <c r="N59" s="26"/>
      <c r="O59" s="26"/>
      <c r="P59" s="26"/>
      <c r="Q59" s="19">
        <v>8400</v>
      </c>
      <c r="R59" s="26"/>
      <c r="S59" s="27">
        <v>152000</v>
      </c>
      <c r="T59" s="28">
        <f t="shared" si="1"/>
        <v>1276800</v>
      </c>
      <c r="U59" s="26"/>
    </row>
    <row r="60" spans="1:21" s="132" customFormat="1" x14ac:dyDescent="0.25">
      <c r="A60" s="26"/>
      <c r="B60" s="19" t="s">
        <v>1951</v>
      </c>
      <c r="C60" s="19" t="s">
        <v>893</v>
      </c>
      <c r="D60" s="20" t="s">
        <v>38</v>
      </c>
      <c r="E60" s="21" t="s">
        <v>1784</v>
      </c>
      <c r="F60" s="19">
        <v>9000</v>
      </c>
      <c r="G60" s="18">
        <v>45</v>
      </c>
      <c r="H60" s="18" t="s">
        <v>322</v>
      </c>
      <c r="I60" s="18" t="s">
        <v>30</v>
      </c>
      <c r="J60" s="23">
        <v>44949</v>
      </c>
      <c r="K60" s="18" t="s">
        <v>749</v>
      </c>
      <c r="L60" s="26" t="s">
        <v>750</v>
      </c>
      <c r="M60" s="26" t="s">
        <v>751</v>
      </c>
      <c r="N60" s="26"/>
      <c r="O60" s="26"/>
      <c r="P60" s="26"/>
      <c r="Q60" s="19">
        <v>9000</v>
      </c>
      <c r="R60" s="26"/>
      <c r="S60" s="27">
        <v>89700</v>
      </c>
      <c r="T60" s="28">
        <f t="shared" si="1"/>
        <v>807300</v>
      </c>
      <c r="U60" s="26">
        <v>240000</v>
      </c>
    </row>
    <row r="61" spans="1:21" s="132" customFormat="1" x14ac:dyDescent="0.25">
      <c r="A61" s="26"/>
      <c r="B61" s="19" t="s">
        <v>1951</v>
      </c>
      <c r="C61" s="19" t="s">
        <v>893</v>
      </c>
      <c r="D61" s="20" t="s">
        <v>38</v>
      </c>
      <c r="E61" s="21" t="s">
        <v>1966</v>
      </c>
      <c r="F61" s="19">
        <v>8600</v>
      </c>
      <c r="G61" s="18">
        <v>43</v>
      </c>
      <c r="H61" s="18" t="s">
        <v>322</v>
      </c>
      <c r="I61" s="18" t="s">
        <v>30</v>
      </c>
      <c r="J61" s="23">
        <v>44949</v>
      </c>
      <c r="K61" s="18" t="s">
        <v>749</v>
      </c>
      <c r="L61" s="26"/>
      <c r="M61" s="26"/>
      <c r="N61" s="26"/>
      <c r="O61" s="26"/>
      <c r="P61" s="26"/>
      <c r="Q61" s="19">
        <v>8600</v>
      </c>
      <c r="R61" s="26"/>
      <c r="S61" s="27">
        <v>89700</v>
      </c>
      <c r="T61" s="28">
        <f t="shared" si="1"/>
        <v>771420</v>
      </c>
      <c r="U61" s="26"/>
    </row>
    <row r="62" spans="1:21" s="132" customFormat="1" ht="17.25" customHeight="1" x14ac:dyDescent="0.25">
      <c r="A62" s="26"/>
      <c r="B62" s="19" t="s">
        <v>2004</v>
      </c>
      <c r="C62" s="19" t="s">
        <v>57</v>
      </c>
      <c r="D62" s="20" t="s">
        <v>1392</v>
      </c>
      <c r="E62" s="33" t="s">
        <v>2005</v>
      </c>
      <c r="F62" s="19">
        <v>17500</v>
      </c>
      <c r="G62" s="18">
        <v>700</v>
      </c>
      <c r="H62" s="18" t="s">
        <v>95</v>
      </c>
      <c r="I62" s="18" t="s">
        <v>30</v>
      </c>
      <c r="J62" s="23">
        <v>44949</v>
      </c>
      <c r="K62" s="18" t="s">
        <v>2006</v>
      </c>
      <c r="L62" s="26" t="s">
        <v>1175</v>
      </c>
      <c r="M62" s="26" t="s">
        <v>211</v>
      </c>
      <c r="N62" s="26"/>
      <c r="O62" s="26"/>
      <c r="P62" s="19">
        <v>17500</v>
      </c>
      <c r="Q62" s="26"/>
      <c r="R62" s="26"/>
      <c r="S62" s="27">
        <v>125000</v>
      </c>
      <c r="T62" s="28">
        <f t="shared" si="1"/>
        <v>2187500</v>
      </c>
      <c r="U62" s="26">
        <v>240000</v>
      </c>
    </row>
    <row r="63" spans="1:21" s="132" customFormat="1" x14ac:dyDescent="0.25">
      <c r="A63" s="26"/>
      <c r="B63" s="19" t="s">
        <v>2007</v>
      </c>
      <c r="C63" s="19" t="s">
        <v>633</v>
      </c>
      <c r="D63" s="20" t="s">
        <v>1779</v>
      </c>
      <c r="E63" s="21" t="s">
        <v>1510</v>
      </c>
      <c r="F63" s="19">
        <v>7920</v>
      </c>
      <c r="G63" s="18">
        <v>44</v>
      </c>
      <c r="H63" s="18" t="s">
        <v>833</v>
      </c>
      <c r="I63" s="18" t="s">
        <v>30</v>
      </c>
      <c r="J63" s="23">
        <v>44950</v>
      </c>
      <c r="K63" s="18" t="s">
        <v>1642</v>
      </c>
      <c r="L63" s="138">
        <v>79532629687</v>
      </c>
      <c r="M63" s="19" t="s">
        <v>1643</v>
      </c>
      <c r="N63" s="26"/>
      <c r="O63" s="26"/>
      <c r="P63" s="26"/>
      <c r="Q63" s="19">
        <v>7920</v>
      </c>
      <c r="R63" s="26" t="s">
        <v>34</v>
      </c>
      <c r="S63" s="27">
        <v>110000</v>
      </c>
      <c r="T63" s="28">
        <f t="shared" si="1"/>
        <v>871200</v>
      </c>
      <c r="U63" s="26">
        <v>220000</v>
      </c>
    </row>
    <row r="64" spans="1:21" s="132" customFormat="1" x14ac:dyDescent="0.25">
      <c r="A64" s="26"/>
      <c r="B64" s="19" t="s">
        <v>2007</v>
      </c>
      <c r="C64" s="19" t="s">
        <v>633</v>
      </c>
      <c r="D64" s="20" t="s">
        <v>1779</v>
      </c>
      <c r="E64" s="21" t="s">
        <v>1511</v>
      </c>
      <c r="F64" s="19">
        <v>7920</v>
      </c>
      <c r="G64" s="18">
        <v>44</v>
      </c>
      <c r="H64" s="18" t="s">
        <v>833</v>
      </c>
      <c r="I64" s="18" t="s">
        <v>30</v>
      </c>
      <c r="J64" s="23">
        <v>44950</v>
      </c>
      <c r="K64" s="18" t="s">
        <v>2008</v>
      </c>
      <c r="L64" s="26"/>
      <c r="M64" s="26"/>
      <c r="N64" s="26"/>
      <c r="O64" s="26"/>
      <c r="P64" s="26"/>
      <c r="Q64" s="19">
        <v>7920</v>
      </c>
      <c r="R64" s="26" t="s">
        <v>34</v>
      </c>
      <c r="S64" s="27">
        <v>110000</v>
      </c>
      <c r="T64" s="28">
        <f t="shared" si="1"/>
        <v>871200</v>
      </c>
      <c r="U64" s="26"/>
    </row>
    <row r="65" spans="1:21" s="132" customFormat="1" x14ac:dyDescent="0.25">
      <c r="A65" s="26"/>
      <c r="B65" s="19" t="s">
        <v>2009</v>
      </c>
      <c r="C65" s="19" t="s">
        <v>633</v>
      </c>
      <c r="D65" s="20" t="s">
        <v>1779</v>
      </c>
      <c r="E65" s="21" t="s">
        <v>1752</v>
      </c>
      <c r="F65" s="19">
        <v>6480</v>
      </c>
      <c r="G65" s="18">
        <v>36</v>
      </c>
      <c r="H65" s="18" t="s">
        <v>40</v>
      </c>
      <c r="I65" s="18" t="s">
        <v>30</v>
      </c>
      <c r="J65" s="23">
        <v>44950</v>
      </c>
      <c r="K65" s="18" t="s">
        <v>454</v>
      </c>
      <c r="L65" s="19" t="s">
        <v>747</v>
      </c>
      <c r="M65" s="26" t="s">
        <v>748</v>
      </c>
      <c r="N65" s="26"/>
      <c r="O65" s="26"/>
      <c r="P65" s="26"/>
      <c r="Q65" s="19">
        <v>6480</v>
      </c>
      <c r="R65" s="26"/>
      <c r="S65" s="27">
        <v>110000</v>
      </c>
      <c r="T65" s="28">
        <f t="shared" si="1"/>
        <v>712800</v>
      </c>
      <c r="U65" s="26">
        <v>220000</v>
      </c>
    </row>
    <row r="66" spans="1:21" s="132" customFormat="1" x14ac:dyDescent="0.25">
      <c r="A66" s="26"/>
      <c r="B66" s="19" t="s">
        <v>2009</v>
      </c>
      <c r="C66" s="19" t="s">
        <v>633</v>
      </c>
      <c r="D66" s="20" t="s">
        <v>1779</v>
      </c>
      <c r="E66" s="21" t="s">
        <v>1296</v>
      </c>
      <c r="F66" s="19">
        <v>7920</v>
      </c>
      <c r="G66" s="18">
        <v>44</v>
      </c>
      <c r="H66" s="18" t="s">
        <v>40</v>
      </c>
      <c r="I66" s="18" t="s">
        <v>30</v>
      </c>
      <c r="J66" s="23">
        <v>44950</v>
      </c>
      <c r="K66" s="18" t="s">
        <v>454</v>
      </c>
      <c r="L66" s="26"/>
      <c r="M66" s="26"/>
      <c r="N66" s="26"/>
      <c r="O66" s="26"/>
      <c r="P66" s="26"/>
      <c r="Q66" s="19">
        <v>7920</v>
      </c>
      <c r="R66" s="26"/>
      <c r="S66" s="27">
        <v>110000</v>
      </c>
      <c r="T66" s="28">
        <f t="shared" si="1"/>
        <v>871200</v>
      </c>
      <c r="U66" s="26"/>
    </row>
    <row r="67" spans="1:21" s="132" customFormat="1" ht="14.25" customHeight="1" x14ac:dyDescent="0.25">
      <c r="A67" s="26"/>
      <c r="B67" s="19" t="s">
        <v>2009</v>
      </c>
      <c r="C67" s="19" t="s">
        <v>633</v>
      </c>
      <c r="D67" s="20" t="s">
        <v>1779</v>
      </c>
      <c r="E67" s="21" t="s">
        <v>2010</v>
      </c>
      <c r="F67" s="19">
        <v>1440</v>
      </c>
      <c r="G67" s="18">
        <v>8</v>
      </c>
      <c r="H67" s="18" t="s">
        <v>40</v>
      </c>
      <c r="I67" s="18" t="s">
        <v>30</v>
      </c>
      <c r="J67" s="23">
        <v>44950</v>
      </c>
      <c r="K67" s="18" t="s">
        <v>454</v>
      </c>
      <c r="L67" s="26"/>
      <c r="M67" s="26"/>
      <c r="N67" s="26"/>
      <c r="O67" s="26"/>
      <c r="P67" s="26"/>
      <c r="Q67" s="19">
        <v>1440</v>
      </c>
      <c r="R67" s="26"/>
      <c r="S67" s="27">
        <v>110000</v>
      </c>
      <c r="T67" s="28">
        <f t="shared" si="1"/>
        <v>158400</v>
      </c>
      <c r="U67" s="26"/>
    </row>
    <row r="68" spans="1:21" s="132" customFormat="1" ht="18.75" customHeight="1" x14ac:dyDescent="0.25">
      <c r="A68" s="26" t="s">
        <v>2011</v>
      </c>
      <c r="B68" s="19" t="s">
        <v>2007</v>
      </c>
      <c r="C68" s="19" t="s">
        <v>633</v>
      </c>
      <c r="D68" s="20" t="s">
        <v>1779</v>
      </c>
      <c r="E68" s="21" t="s">
        <v>2012</v>
      </c>
      <c r="F68" s="19">
        <v>8100</v>
      </c>
      <c r="G68" s="18">
        <v>45</v>
      </c>
      <c r="H68" s="18" t="s">
        <v>833</v>
      </c>
      <c r="I68" s="18" t="s">
        <v>30</v>
      </c>
      <c r="J68" s="23">
        <v>44950</v>
      </c>
      <c r="K68" s="18" t="s">
        <v>724</v>
      </c>
      <c r="L68" s="26" t="s">
        <v>725</v>
      </c>
      <c r="M68" s="26" t="s">
        <v>726</v>
      </c>
      <c r="N68" s="26"/>
      <c r="O68" s="26"/>
      <c r="P68" s="26"/>
      <c r="Q68" s="19">
        <v>8100</v>
      </c>
      <c r="R68" s="26" t="s">
        <v>34</v>
      </c>
      <c r="S68" s="27">
        <v>110000</v>
      </c>
      <c r="T68" s="28">
        <f t="shared" si="1"/>
        <v>891000</v>
      </c>
      <c r="U68" s="26">
        <v>235000</v>
      </c>
    </row>
    <row r="69" spans="1:21" s="132" customFormat="1" x14ac:dyDescent="0.25">
      <c r="A69" s="26"/>
      <c r="B69" s="19" t="s">
        <v>2007</v>
      </c>
      <c r="C69" s="19" t="s">
        <v>633</v>
      </c>
      <c r="D69" s="20" t="s">
        <v>1779</v>
      </c>
      <c r="E69" s="21" t="s">
        <v>1780</v>
      </c>
      <c r="F69" s="19">
        <v>7740</v>
      </c>
      <c r="G69" s="18">
        <v>43</v>
      </c>
      <c r="H69" s="18" t="s">
        <v>833</v>
      </c>
      <c r="I69" s="18" t="s">
        <v>30</v>
      </c>
      <c r="J69" s="23">
        <v>44950</v>
      </c>
      <c r="K69" s="18" t="s">
        <v>724</v>
      </c>
      <c r="L69" s="26"/>
      <c r="M69" s="26"/>
      <c r="N69" s="26"/>
      <c r="O69" s="26"/>
      <c r="P69" s="26"/>
      <c r="Q69" s="19">
        <v>7740</v>
      </c>
      <c r="R69" s="26" t="s">
        <v>34</v>
      </c>
      <c r="S69" s="27">
        <v>110000</v>
      </c>
      <c r="T69" s="28">
        <f t="shared" si="1"/>
        <v>851400</v>
      </c>
      <c r="U69" s="26"/>
    </row>
    <row r="70" spans="1:21" s="132" customFormat="1" x14ac:dyDescent="0.25">
      <c r="A70" s="25" t="s">
        <v>1846</v>
      </c>
      <c r="B70" s="19" t="s">
        <v>2013</v>
      </c>
      <c r="C70" s="19" t="s">
        <v>57</v>
      </c>
      <c r="D70" s="20" t="s">
        <v>1663</v>
      </c>
      <c r="E70" s="21" t="s">
        <v>2014</v>
      </c>
      <c r="F70" s="19">
        <v>14800</v>
      </c>
      <c r="G70" s="18">
        <v>80</v>
      </c>
      <c r="H70" s="18" t="s">
        <v>886</v>
      </c>
      <c r="I70" s="18" t="s">
        <v>30</v>
      </c>
      <c r="J70" s="23">
        <v>44951</v>
      </c>
      <c r="K70" s="18" t="s">
        <v>2015</v>
      </c>
      <c r="L70" s="26"/>
      <c r="M70" s="26" t="s">
        <v>2016</v>
      </c>
      <c r="N70" s="26"/>
      <c r="O70" s="26"/>
      <c r="P70" s="26"/>
      <c r="Q70" s="19">
        <v>14800</v>
      </c>
      <c r="R70" s="26"/>
      <c r="S70" s="27">
        <v>110800</v>
      </c>
      <c r="T70" s="28">
        <f t="shared" si="1"/>
        <v>1639840</v>
      </c>
      <c r="U70" s="26"/>
    </row>
    <row r="71" spans="1:21" s="132" customFormat="1" x14ac:dyDescent="0.25">
      <c r="A71" s="25" t="s">
        <v>1846</v>
      </c>
      <c r="B71" s="19" t="s">
        <v>2013</v>
      </c>
      <c r="C71" s="19" t="s">
        <v>57</v>
      </c>
      <c r="D71" s="20" t="s">
        <v>1663</v>
      </c>
      <c r="E71" s="21" t="s">
        <v>2017</v>
      </c>
      <c r="F71" s="19">
        <v>14800</v>
      </c>
      <c r="G71" s="18">
        <v>80</v>
      </c>
      <c r="H71" s="18" t="s">
        <v>886</v>
      </c>
      <c r="I71" s="18" t="s">
        <v>30</v>
      </c>
      <c r="J71" s="23">
        <v>44951</v>
      </c>
      <c r="K71" s="18" t="s">
        <v>2015</v>
      </c>
      <c r="L71" s="26"/>
      <c r="M71" s="26" t="s">
        <v>2016</v>
      </c>
      <c r="N71" s="26"/>
      <c r="O71" s="26"/>
      <c r="P71" s="26"/>
      <c r="Q71" s="19">
        <v>14800</v>
      </c>
      <c r="R71" s="26"/>
      <c r="S71" s="27">
        <v>110800</v>
      </c>
      <c r="T71" s="28">
        <f t="shared" si="1"/>
        <v>1639840</v>
      </c>
      <c r="U71" s="26"/>
    </row>
    <row r="72" spans="1:21" s="132" customFormat="1" x14ac:dyDescent="0.25">
      <c r="A72" s="25" t="s">
        <v>1846</v>
      </c>
      <c r="B72" s="19" t="s">
        <v>2013</v>
      </c>
      <c r="C72" s="19" t="s">
        <v>57</v>
      </c>
      <c r="D72" s="20" t="s">
        <v>1663</v>
      </c>
      <c r="E72" s="21" t="s">
        <v>2018</v>
      </c>
      <c r="F72" s="19">
        <v>14800</v>
      </c>
      <c r="G72" s="18">
        <v>80</v>
      </c>
      <c r="H72" s="18" t="s">
        <v>886</v>
      </c>
      <c r="I72" s="18" t="s">
        <v>30</v>
      </c>
      <c r="J72" s="23">
        <v>44951</v>
      </c>
      <c r="K72" s="18" t="s">
        <v>2015</v>
      </c>
      <c r="L72" s="26"/>
      <c r="M72" s="26" t="s">
        <v>2016</v>
      </c>
      <c r="N72" s="26"/>
      <c r="O72" s="26"/>
      <c r="P72" s="26"/>
      <c r="Q72" s="19">
        <v>14800</v>
      </c>
      <c r="R72" s="26"/>
      <c r="S72" s="27">
        <v>110800</v>
      </c>
      <c r="T72" s="28">
        <f t="shared" si="1"/>
        <v>1639840</v>
      </c>
      <c r="U72" s="26"/>
    </row>
    <row r="73" spans="1:21" s="132" customFormat="1" x14ac:dyDescent="0.25">
      <c r="A73" s="26"/>
      <c r="B73" s="19" t="s">
        <v>2019</v>
      </c>
      <c r="C73" s="19" t="s">
        <v>57</v>
      </c>
      <c r="D73" s="20" t="s">
        <v>1848</v>
      </c>
      <c r="E73" s="21" t="s">
        <v>1794</v>
      </c>
      <c r="F73" s="19">
        <v>18144</v>
      </c>
      <c r="G73" s="18">
        <v>800</v>
      </c>
      <c r="H73" s="18" t="s">
        <v>448</v>
      </c>
      <c r="I73" s="18" t="s">
        <v>30</v>
      </c>
      <c r="J73" s="23">
        <v>44951</v>
      </c>
      <c r="K73" s="18" t="s">
        <v>2020</v>
      </c>
      <c r="L73" s="19" t="s">
        <v>2021</v>
      </c>
      <c r="M73" s="19" t="s">
        <v>2022</v>
      </c>
      <c r="N73" s="26"/>
      <c r="O73" s="26"/>
      <c r="P73" s="19">
        <v>18144</v>
      </c>
      <c r="Q73" s="26"/>
      <c r="R73" s="26" t="s">
        <v>34</v>
      </c>
      <c r="S73" s="27">
        <v>245000</v>
      </c>
      <c r="T73" s="28">
        <f t="shared" si="1"/>
        <v>4445280</v>
      </c>
      <c r="U73" s="26">
        <v>280000</v>
      </c>
    </row>
    <row r="74" spans="1:21" s="132" customFormat="1" x14ac:dyDescent="0.25">
      <c r="A74" s="26"/>
      <c r="B74" s="19">
        <v>41880</v>
      </c>
      <c r="C74" s="19" t="s">
        <v>175</v>
      </c>
      <c r="D74" s="20" t="s">
        <v>1062</v>
      </c>
      <c r="E74" s="21" t="s">
        <v>1799</v>
      </c>
      <c r="F74" s="19">
        <v>2400</v>
      </c>
      <c r="G74" s="18">
        <v>120</v>
      </c>
      <c r="H74" s="18" t="s">
        <v>52</v>
      </c>
      <c r="I74" s="18" t="s">
        <v>30</v>
      </c>
      <c r="J74" s="23">
        <v>44951</v>
      </c>
      <c r="K74" s="18" t="s">
        <v>2023</v>
      </c>
      <c r="L74" s="26"/>
      <c r="M74" s="26" t="s">
        <v>2024</v>
      </c>
      <c r="N74" s="26"/>
      <c r="O74" s="26"/>
      <c r="P74" s="19">
        <v>2400</v>
      </c>
      <c r="Q74" s="26"/>
      <c r="R74" s="26"/>
      <c r="S74" s="27">
        <v>90000</v>
      </c>
      <c r="T74" s="28">
        <f t="shared" si="1"/>
        <v>216000</v>
      </c>
      <c r="U74" s="26"/>
    </row>
    <row r="75" spans="1:21" s="132" customFormat="1" x14ac:dyDescent="0.25">
      <c r="A75" s="26" t="s">
        <v>280</v>
      </c>
      <c r="B75" s="19" t="s">
        <v>2025</v>
      </c>
      <c r="C75" s="19" t="s">
        <v>57</v>
      </c>
      <c r="D75" s="20" t="s">
        <v>58</v>
      </c>
      <c r="E75" s="33" t="s">
        <v>2026</v>
      </c>
      <c r="F75" s="19">
        <v>15876</v>
      </c>
      <c r="G75" s="18">
        <v>700</v>
      </c>
      <c r="H75" s="18" t="s">
        <v>2027</v>
      </c>
      <c r="I75" s="18" t="s">
        <v>30</v>
      </c>
      <c r="J75" s="23">
        <v>44952</v>
      </c>
      <c r="K75" s="18"/>
      <c r="L75" s="26"/>
      <c r="M75" s="26"/>
      <c r="N75" s="26" t="s">
        <v>2028</v>
      </c>
      <c r="O75" s="19">
        <v>15876</v>
      </c>
      <c r="P75" s="26"/>
      <c r="Q75" s="26"/>
      <c r="R75" s="26"/>
      <c r="S75" s="27">
        <v>49500</v>
      </c>
      <c r="T75" s="28">
        <f t="shared" si="1"/>
        <v>785862</v>
      </c>
      <c r="U75" s="26">
        <v>715478.4</v>
      </c>
    </row>
    <row r="76" spans="1:21" s="132" customFormat="1" x14ac:dyDescent="0.25">
      <c r="A76" s="26" t="s">
        <v>280</v>
      </c>
      <c r="B76" s="19" t="s">
        <v>2025</v>
      </c>
      <c r="C76" s="19" t="s">
        <v>57</v>
      </c>
      <c r="D76" s="20" t="s">
        <v>1392</v>
      </c>
      <c r="E76" s="33" t="s">
        <v>1300</v>
      </c>
      <c r="F76" s="19">
        <v>15000</v>
      </c>
      <c r="G76" s="18">
        <v>600</v>
      </c>
      <c r="H76" s="18" t="s">
        <v>2027</v>
      </c>
      <c r="I76" s="18" t="s">
        <v>30</v>
      </c>
      <c r="J76" s="23">
        <v>44952</v>
      </c>
      <c r="K76" s="18"/>
      <c r="L76" s="26"/>
      <c r="M76" s="26"/>
      <c r="N76" s="26" t="s">
        <v>2029</v>
      </c>
      <c r="O76" s="26"/>
      <c r="P76" s="19">
        <v>15000</v>
      </c>
      <c r="Q76" s="26"/>
      <c r="R76" s="26"/>
      <c r="S76" s="27">
        <v>125000</v>
      </c>
      <c r="T76" s="28">
        <f t="shared" si="1"/>
        <v>1875000</v>
      </c>
      <c r="U76" s="26"/>
    </row>
    <row r="77" spans="1:21" s="132" customFormat="1" x14ac:dyDescent="0.25">
      <c r="A77" s="26" t="s">
        <v>280</v>
      </c>
      <c r="B77" s="19" t="s">
        <v>2025</v>
      </c>
      <c r="C77" s="19" t="s">
        <v>57</v>
      </c>
      <c r="D77" s="20" t="s">
        <v>1392</v>
      </c>
      <c r="E77" s="33" t="s">
        <v>1300</v>
      </c>
      <c r="F77" s="19">
        <v>5000</v>
      </c>
      <c r="G77" s="18">
        <v>200</v>
      </c>
      <c r="H77" s="18" t="s">
        <v>2027</v>
      </c>
      <c r="I77" s="18" t="s">
        <v>30</v>
      </c>
      <c r="J77" s="23">
        <v>44952</v>
      </c>
      <c r="K77" s="18"/>
      <c r="L77" s="26"/>
      <c r="M77" s="26"/>
      <c r="N77" s="26" t="s">
        <v>2029</v>
      </c>
      <c r="O77" s="26"/>
      <c r="P77" s="19">
        <v>5000</v>
      </c>
      <c r="Q77" s="26"/>
      <c r="R77" s="26"/>
      <c r="S77" s="27">
        <v>125000</v>
      </c>
      <c r="T77" s="28">
        <f t="shared" si="1"/>
        <v>625000</v>
      </c>
      <c r="U77" s="26"/>
    </row>
    <row r="78" spans="1:21" s="132" customFormat="1" x14ac:dyDescent="0.25">
      <c r="A78" s="26" t="s">
        <v>280</v>
      </c>
      <c r="B78" s="19" t="s">
        <v>2025</v>
      </c>
      <c r="C78" s="19" t="s">
        <v>57</v>
      </c>
      <c r="D78" s="20" t="s">
        <v>58</v>
      </c>
      <c r="E78" s="33" t="s">
        <v>2026</v>
      </c>
      <c r="F78" s="19">
        <v>3969</v>
      </c>
      <c r="G78" s="18">
        <v>175</v>
      </c>
      <c r="H78" s="18" t="s">
        <v>2027</v>
      </c>
      <c r="I78" s="18" t="s">
        <v>30</v>
      </c>
      <c r="J78" s="23">
        <v>44952</v>
      </c>
      <c r="K78" s="18"/>
      <c r="L78" s="26"/>
      <c r="M78" s="26"/>
      <c r="N78" s="26" t="s">
        <v>2030</v>
      </c>
      <c r="O78" s="19">
        <v>3969</v>
      </c>
      <c r="P78" s="26"/>
      <c r="Q78" s="26"/>
      <c r="R78" s="26"/>
      <c r="S78" s="27">
        <v>49500</v>
      </c>
      <c r="T78" s="28">
        <f t="shared" si="1"/>
        <v>196465.5</v>
      </c>
      <c r="U78" s="26"/>
    </row>
    <row r="79" spans="1:21" s="132" customFormat="1" x14ac:dyDescent="0.25">
      <c r="A79" s="26"/>
      <c r="B79" s="19" t="s">
        <v>2031</v>
      </c>
      <c r="C79" s="19" t="s">
        <v>633</v>
      </c>
      <c r="D79" s="20" t="s">
        <v>684</v>
      </c>
      <c r="E79" s="21" t="s">
        <v>1748</v>
      </c>
      <c r="F79" s="19">
        <v>20000</v>
      </c>
      <c r="G79" s="18">
        <v>1000</v>
      </c>
      <c r="H79" s="18" t="s">
        <v>448</v>
      </c>
      <c r="I79" s="18" t="s">
        <v>30</v>
      </c>
      <c r="J79" s="23">
        <v>44952</v>
      </c>
      <c r="K79" s="18" t="s">
        <v>2032</v>
      </c>
      <c r="L79" s="19" t="s">
        <v>2033</v>
      </c>
      <c r="M79" s="19" t="s">
        <v>2034</v>
      </c>
      <c r="N79" s="26"/>
      <c r="O79" s="26"/>
      <c r="P79" s="19">
        <v>20000</v>
      </c>
      <c r="Q79" s="26"/>
      <c r="R79" s="26"/>
      <c r="S79" s="27">
        <v>83000</v>
      </c>
      <c r="T79" s="28">
        <f t="shared" si="1"/>
        <v>1660000</v>
      </c>
      <c r="U79" s="26">
        <v>270000</v>
      </c>
    </row>
    <row r="80" spans="1:21" s="140" customFormat="1" x14ac:dyDescent="0.25">
      <c r="A80" s="42"/>
      <c r="B80" s="22" t="s">
        <v>714</v>
      </c>
      <c r="C80" s="22" t="s">
        <v>2035</v>
      </c>
      <c r="D80" s="20" t="s">
        <v>1755</v>
      </c>
      <c r="E80" s="33" t="s">
        <v>2012</v>
      </c>
      <c r="F80" s="22">
        <v>6400</v>
      </c>
      <c r="G80" s="20">
        <v>32</v>
      </c>
      <c r="H80" s="20" t="s">
        <v>29</v>
      </c>
      <c r="I80" s="20" t="s">
        <v>30</v>
      </c>
      <c r="J80" s="39">
        <v>44952</v>
      </c>
      <c r="K80" s="18" t="s">
        <v>2036</v>
      </c>
      <c r="L80" s="26" t="s">
        <v>2037</v>
      </c>
      <c r="M80" s="26" t="s">
        <v>2038</v>
      </c>
      <c r="N80" s="42"/>
      <c r="O80" s="42"/>
      <c r="P80" s="42"/>
      <c r="Q80" s="22">
        <v>6400</v>
      </c>
      <c r="R80" s="42"/>
      <c r="S80" s="31">
        <v>160000</v>
      </c>
      <c r="T80" s="28">
        <f t="shared" si="1"/>
        <v>1024000</v>
      </c>
      <c r="U80" s="42"/>
    </row>
    <row r="81" spans="1:21" s="140" customFormat="1" x14ac:dyDescent="0.25">
      <c r="A81" s="42"/>
      <c r="B81" s="22" t="s">
        <v>714</v>
      </c>
      <c r="C81" s="22" t="s">
        <v>2035</v>
      </c>
      <c r="D81" s="20" t="s">
        <v>2039</v>
      </c>
      <c r="E81" s="33" t="s">
        <v>1300</v>
      </c>
      <c r="F81" s="22">
        <v>2375</v>
      </c>
      <c r="G81" s="20">
        <v>95</v>
      </c>
      <c r="H81" s="20" t="s">
        <v>29</v>
      </c>
      <c r="I81" s="20" t="s">
        <v>30</v>
      </c>
      <c r="J81" s="39">
        <v>44952</v>
      </c>
      <c r="K81" s="18" t="s">
        <v>2036</v>
      </c>
      <c r="L81" s="22"/>
      <c r="M81" s="22"/>
      <c r="N81" s="42"/>
      <c r="O81" s="42"/>
      <c r="P81" s="22">
        <v>2375</v>
      </c>
      <c r="Q81" s="42"/>
      <c r="R81" s="42"/>
      <c r="S81" s="31">
        <v>120000</v>
      </c>
      <c r="T81" s="28">
        <f t="shared" si="1"/>
        <v>285000</v>
      </c>
      <c r="U81" s="42"/>
    </row>
    <row r="82" spans="1:21" s="140" customFormat="1" x14ac:dyDescent="0.25">
      <c r="A82" s="42"/>
      <c r="B82" s="22" t="s">
        <v>714</v>
      </c>
      <c r="C82" s="22" t="s">
        <v>2035</v>
      </c>
      <c r="D82" s="20" t="s">
        <v>1707</v>
      </c>
      <c r="E82" s="33" t="s">
        <v>1795</v>
      </c>
      <c r="F82" s="22">
        <v>1140</v>
      </c>
      <c r="G82" s="20">
        <v>6</v>
      </c>
      <c r="H82" s="20" t="s">
        <v>29</v>
      </c>
      <c r="I82" s="20" t="s">
        <v>30</v>
      </c>
      <c r="J82" s="39">
        <v>44952</v>
      </c>
      <c r="K82" s="18" t="s">
        <v>2036</v>
      </c>
      <c r="L82" s="22"/>
      <c r="M82" s="22"/>
      <c r="N82" s="42"/>
      <c r="O82" s="42"/>
      <c r="P82" s="42"/>
      <c r="Q82" s="22">
        <v>1140</v>
      </c>
      <c r="R82" s="42"/>
      <c r="S82" s="31">
        <v>120000</v>
      </c>
      <c r="T82" s="28">
        <f t="shared" si="1"/>
        <v>136800</v>
      </c>
      <c r="U82" s="42"/>
    </row>
    <row r="83" spans="1:21" s="140" customFormat="1" x14ac:dyDescent="0.25">
      <c r="A83" s="42"/>
      <c r="B83" s="22" t="s">
        <v>714</v>
      </c>
      <c r="C83" s="22" t="s">
        <v>2035</v>
      </c>
      <c r="D83" s="20" t="s">
        <v>1773</v>
      </c>
      <c r="E83" s="33" t="s">
        <v>1780</v>
      </c>
      <c r="F83" s="22">
        <v>1620</v>
      </c>
      <c r="G83" s="20">
        <v>90</v>
      </c>
      <c r="H83" s="20" t="s">
        <v>29</v>
      </c>
      <c r="I83" s="20" t="s">
        <v>30</v>
      </c>
      <c r="J83" s="39">
        <v>44952</v>
      </c>
      <c r="K83" s="18" t="s">
        <v>2036</v>
      </c>
      <c r="L83" s="22"/>
      <c r="M83" s="22"/>
      <c r="N83" s="42"/>
      <c r="O83" s="42"/>
      <c r="P83" s="22">
        <v>1620</v>
      </c>
      <c r="Q83" s="22"/>
      <c r="R83" s="42"/>
      <c r="S83" s="31">
        <v>230000</v>
      </c>
      <c r="T83" s="28">
        <f t="shared" si="1"/>
        <v>372600</v>
      </c>
      <c r="U83" s="42"/>
    </row>
    <row r="84" spans="1:21" s="132" customFormat="1" x14ac:dyDescent="0.25">
      <c r="A84" s="25"/>
      <c r="B84" s="19" t="s">
        <v>1640</v>
      </c>
      <c r="C84" s="22" t="s">
        <v>893</v>
      </c>
      <c r="D84" s="20" t="s">
        <v>1498</v>
      </c>
      <c r="E84" s="21" t="s">
        <v>1995</v>
      </c>
      <c r="F84" s="19">
        <v>380</v>
      </c>
      <c r="G84" s="18">
        <v>2</v>
      </c>
      <c r="H84" s="18" t="s">
        <v>462</v>
      </c>
      <c r="I84" s="18" t="s">
        <v>30</v>
      </c>
      <c r="J84" s="23">
        <v>44953</v>
      </c>
      <c r="K84" s="19" t="s">
        <v>1672</v>
      </c>
      <c r="L84" s="19" t="s">
        <v>1673</v>
      </c>
      <c r="M84" s="19" t="s">
        <v>1674</v>
      </c>
      <c r="N84" s="26"/>
      <c r="O84" s="26"/>
      <c r="P84" s="26"/>
      <c r="Q84" s="19">
        <v>380</v>
      </c>
      <c r="R84" s="26"/>
      <c r="S84" s="27">
        <v>165000</v>
      </c>
      <c r="T84" s="28">
        <f t="shared" si="1"/>
        <v>62700</v>
      </c>
      <c r="U84" s="26">
        <v>190000</v>
      </c>
    </row>
    <row r="85" spans="1:21" s="132" customFormat="1" x14ac:dyDescent="0.25">
      <c r="A85" s="25"/>
      <c r="B85" s="19" t="s">
        <v>1640</v>
      </c>
      <c r="C85" s="19" t="s">
        <v>893</v>
      </c>
      <c r="D85" s="20" t="s">
        <v>1498</v>
      </c>
      <c r="E85" s="21" t="s">
        <v>1787</v>
      </c>
      <c r="F85" s="19">
        <v>570</v>
      </c>
      <c r="G85" s="18">
        <v>3</v>
      </c>
      <c r="H85" s="18" t="s">
        <v>462</v>
      </c>
      <c r="I85" s="18" t="s">
        <v>30</v>
      </c>
      <c r="J85" s="23">
        <v>44953</v>
      </c>
      <c r="K85" s="19" t="s">
        <v>1672</v>
      </c>
      <c r="L85" s="26"/>
      <c r="M85" s="26"/>
      <c r="N85" s="26"/>
      <c r="O85" s="26"/>
      <c r="P85" s="26"/>
      <c r="Q85" s="19">
        <v>570</v>
      </c>
      <c r="R85" s="26"/>
      <c r="S85" s="27">
        <v>165000</v>
      </c>
      <c r="T85" s="28">
        <f t="shared" si="1"/>
        <v>94049.999999999985</v>
      </c>
      <c r="U85" s="26"/>
    </row>
    <row r="86" spans="1:21" s="132" customFormat="1" x14ac:dyDescent="0.25">
      <c r="A86" s="25"/>
      <c r="B86" s="19" t="s">
        <v>1640</v>
      </c>
      <c r="C86" s="19" t="s">
        <v>893</v>
      </c>
      <c r="D86" s="20" t="s">
        <v>1498</v>
      </c>
      <c r="E86" s="21" t="s">
        <v>728</v>
      </c>
      <c r="F86" s="19">
        <v>8550</v>
      </c>
      <c r="G86" s="18">
        <v>45</v>
      </c>
      <c r="H86" s="18" t="s">
        <v>462</v>
      </c>
      <c r="I86" s="18" t="s">
        <v>30</v>
      </c>
      <c r="J86" s="23">
        <v>44953</v>
      </c>
      <c r="K86" s="19" t="s">
        <v>1672</v>
      </c>
      <c r="L86" s="26"/>
      <c r="M86" s="26"/>
      <c r="N86" s="26"/>
      <c r="O86" s="26"/>
      <c r="P86" s="26"/>
      <c r="Q86" s="19">
        <v>8550</v>
      </c>
      <c r="R86" s="26"/>
      <c r="S86" s="27">
        <v>165000</v>
      </c>
      <c r="T86" s="28">
        <f t="shared" si="1"/>
        <v>1410750.0000000002</v>
      </c>
      <c r="U86" s="26"/>
    </row>
    <row r="87" spans="1:21" s="132" customFormat="1" x14ac:dyDescent="0.25">
      <c r="A87" s="25"/>
      <c r="B87" s="19" t="s">
        <v>1640</v>
      </c>
      <c r="C87" s="19" t="s">
        <v>893</v>
      </c>
      <c r="D87" s="20" t="s">
        <v>1498</v>
      </c>
      <c r="E87" s="21" t="s">
        <v>1509</v>
      </c>
      <c r="F87" s="19">
        <v>7220</v>
      </c>
      <c r="G87" s="18">
        <v>38</v>
      </c>
      <c r="H87" s="18" t="s">
        <v>462</v>
      </c>
      <c r="I87" s="18" t="s">
        <v>30</v>
      </c>
      <c r="J87" s="23">
        <v>44953</v>
      </c>
      <c r="K87" s="19" t="s">
        <v>1672</v>
      </c>
      <c r="L87" s="26"/>
      <c r="M87" s="26"/>
      <c r="N87" s="26"/>
      <c r="O87" s="26"/>
      <c r="P87" s="26"/>
      <c r="Q87" s="19">
        <v>7220</v>
      </c>
      <c r="R87" s="26"/>
      <c r="S87" s="27">
        <v>165000</v>
      </c>
      <c r="T87" s="28">
        <f t="shared" si="1"/>
        <v>1191300</v>
      </c>
      <c r="U87" s="26"/>
    </row>
    <row r="88" spans="1:21" s="132" customFormat="1" x14ac:dyDescent="0.25">
      <c r="A88" s="26"/>
      <c r="B88" s="19" t="s">
        <v>1867</v>
      </c>
      <c r="C88" s="19" t="s">
        <v>57</v>
      </c>
      <c r="D88" s="20" t="s">
        <v>1392</v>
      </c>
      <c r="E88" s="21" t="s">
        <v>1981</v>
      </c>
      <c r="F88" s="19">
        <v>20000</v>
      </c>
      <c r="G88" s="18">
        <v>800</v>
      </c>
      <c r="H88" s="18" t="s">
        <v>95</v>
      </c>
      <c r="I88" s="18" t="s">
        <v>30</v>
      </c>
      <c r="J88" s="23">
        <v>44953</v>
      </c>
      <c r="K88" s="18" t="s">
        <v>2040</v>
      </c>
      <c r="L88" s="19" t="s">
        <v>707</v>
      </c>
      <c r="M88" s="18" t="s">
        <v>2041</v>
      </c>
      <c r="N88" s="26"/>
      <c r="O88" s="26"/>
      <c r="P88" s="19">
        <v>20000</v>
      </c>
      <c r="Q88" s="26"/>
      <c r="R88" s="26" t="s">
        <v>34</v>
      </c>
      <c r="S88" s="27">
        <v>125000</v>
      </c>
      <c r="T88" s="28">
        <f t="shared" si="1"/>
        <v>2500000</v>
      </c>
      <c r="U88" s="26">
        <v>240000</v>
      </c>
    </row>
    <row r="89" spans="1:21" s="132" customFormat="1" x14ac:dyDescent="0.25">
      <c r="A89" s="26"/>
      <c r="B89" s="19" t="s">
        <v>2042</v>
      </c>
      <c r="C89" s="19" t="s">
        <v>57</v>
      </c>
      <c r="D89" s="20" t="s">
        <v>1848</v>
      </c>
      <c r="E89" s="21" t="s">
        <v>1649</v>
      </c>
      <c r="F89" s="19">
        <v>19958</v>
      </c>
      <c r="G89" s="18">
        <v>880</v>
      </c>
      <c r="H89" s="18" t="s">
        <v>448</v>
      </c>
      <c r="I89" s="18" t="s">
        <v>30</v>
      </c>
      <c r="J89" s="23">
        <v>44953</v>
      </c>
      <c r="K89" s="18" t="s">
        <v>2043</v>
      </c>
      <c r="L89" s="19" t="s">
        <v>2044</v>
      </c>
      <c r="M89" s="19" t="s">
        <v>1307</v>
      </c>
      <c r="N89" s="26"/>
      <c r="O89" s="26"/>
      <c r="P89" s="19">
        <v>19958</v>
      </c>
      <c r="Q89" s="26"/>
      <c r="R89" s="26"/>
      <c r="S89" s="27">
        <v>245000</v>
      </c>
      <c r="T89" s="28">
        <f t="shared" si="1"/>
        <v>4889710</v>
      </c>
      <c r="U89" s="26">
        <v>275000</v>
      </c>
    </row>
    <row r="90" spans="1:21" s="132" customFormat="1" x14ac:dyDescent="0.25">
      <c r="A90" s="26"/>
      <c r="B90" s="19" t="s">
        <v>2045</v>
      </c>
      <c r="C90" s="19" t="s">
        <v>893</v>
      </c>
      <c r="D90" s="20" t="s">
        <v>38</v>
      </c>
      <c r="E90" s="21" t="s">
        <v>1967</v>
      </c>
      <c r="F90" s="19">
        <v>800</v>
      </c>
      <c r="G90" s="18">
        <v>4</v>
      </c>
      <c r="H90" s="18" t="s">
        <v>40</v>
      </c>
      <c r="I90" s="18" t="s">
        <v>30</v>
      </c>
      <c r="J90" s="39">
        <v>44954</v>
      </c>
      <c r="K90" s="18" t="s">
        <v>1952</v>
      </c>
      <c r="L90" s="22" t="s">
        <v>1953</v>
      </c>
      <c r="M90" s="19" t="s">
        <v>1954</v>
      </c>
      <c r="N90" s="26"/>
      <c r="O90" s="26"/>
      <c r="P90" s="26"/>
      <c r="Q90" s="26">
        <v>800</v>
      </c>
      <c r="R90" s="26" t="s">
        <v>34</v>
      </c>
      <c r="S90" s="27">
        <v>89700</v>
      </c>
      <c r="T90" s="28">
        <f t="shared" si="1"/>
        <v>71760</v>
      </c>
      <c r="U90" s="26">
        <v>225000</v>
      </c>
    </row>
    <row r="91" spans="1:21" s="132" customFormat="1" x14ac:dyDescent="0.25">
      <c r="A91" s="26"/>
      <c r="B91" s="19" t="s">
        <v>2045</v>
      </c>
      <c r="C91" s="19" t="s">
        <v>893</v>
      </c>
      <c r="D91" s="20" t="s">
        <v>38</v>
      </c>
      <c r="E91" s="21" t="s">
        <v>1981</v>
      </c>
      <c r="F91" s="19">
        <v>9000</v>
      </c>
      <c r="G91" s="18">
        <v>45</v>
      </c>
      <c r="H91" s="18" t="s">
        <v>40</v>
      </c>
      <c r="I91" s="18" t="s">
        <v>30</v>
      </c>
      <c r="J91" s="39">
        <v>44954</v>
      </c>
      <c r="K91" s="18" t="s">
        <v>1952</v>
      </c>
      <c r="L91" s="19"/>
      <c r="M91" s="19"/>
      <c r="N91" s="26"/>
      <c r="O91" s="26"/>
      <c r="P91" s="26"/>
      <c r="Q91" s="26">
        <v>9000</v>
      </c>
      <c r="R91" s="26" t="s">
        <v>34</v>
      </c>
      <c r="S91" s="27">
        <v>89700</v>
      </c>
      <c r="T91" s="28">
        <f t="shared" si="1"/>
        <v>807300</v>
      </c>
      <c r="U91" s="26"/>
    </row>
    <row r="92" spans="1:21" s="132" customFormat="1" x14ac:dyDescent="0.25">
      <c r="A92" s="26"/>
      <c r="B92" s="19" t="s">
        <v>2045</v>
      </c>
      <c r="C92" s="19" t="s">
        <v>893</v>
      </c>
      <c r="D92" s="20" t="s">
        <v>38</v>
      </c>
      <c r="E92" s="21" t="s">
        <v>1649</v>
      </c>
      <c r="F92" s="19">
        <v>7800</v>
      </c>
      <c r="G92" s="18">
        <v>39</v>
      </c>
      <c r="H92" s="18" t="s">
        <v>40</v>
      </c>
      <c r="I92" s="18" t="s">
        <v>30</v>
      </c>
      <c r="J92" s="39">
        <v>44954</v>
      </c>
      <c r="K92" s="18" t="s">
        <v>1952</v>
      </c>
      <c r="L92" s="19"/>
      <c r="M92" s="19"/>
      <c r="N92" s="26"/>
      <c r="O92" s="26"/>
      <c r="P92" s="26"/>
      <c r="Q92" s="26">
        <v>7800</v>
      </c>
      <c r="R92" s="26" t="s">
        <v>34</v>
      </c>
      <c r="S92" s="27">
        <v>89700</v>
      </c>
      <c r="T92" s="28">
        <f t="shared" si="1"/>
        <v>699660</v>
      </c>
      <c r="U92" s="26"/>
    </row>
    <row r="93" spans="1:21" s="132" customFormat="1" x14ac:dyDescent="0.25">
      <c r="A93" s="26"/>
      <c r="B93" s="19" t="s">
        <v>1777</v>
      </c>
      <c r="C93" s="19" t="s">
        <v>57</v>
      </c>
      <c r="D93" s="20" t="s">
        <v>58</v>
      </c>
      <c r="E93" s="21" t="s">
        <v>1787</v>
      </c>
      <c r="F93" s="19">
        <v>19845</v>
      </c>
      <c r="G93" s="18">
        <v>875</v>
      </c>
      <c r="H93" s="18" t="s">
        <v>95</v>
      </c>
      <c r="I93" s="18" t="s">
        <v>30</v>
      </c>
      <c r="J93" s="23">
        <v>44956</v>
      </c>
      <c r="K93" s="18" t="s">
        <v>2046</v>
      </c>
      <c r="L93" s="19" t="s">
        <v>2047</v>
      </c>
      <c r="M93" s="19" t="s">
        <v>2048</v>
      </c>
      <c r="N93" s="26"/>
      <c r="O93" s="26">
        <v>19845</v>
      </c>
      <c r="P93" s="26"/>
      <c r="Q93" s="26"/>
      <c r="R93" s="26" t="s">
        <v>34</v>
      </c>
      <c r="S93" s="142">
        <v>49500</v>
      </c>
      <c r="T93" s="28">
        <f t="shared" si="1"/>
        <v>982327.5</v>
      </c>
      <c r="U93" s="26">
        <v>270000</v>
      </c>
    </row>
    <row r="94" spans="1:21" s="132" customFormat="1" x14ac:dyDescent="0.25">
      <c r="A94" s="26"/>
      <c r="B94" s="19" t="s">
        <v>2049</v>
      </c>
      <c r="C94" s="19" t="s">
        <v>57</v>
      </c>
      <c r="D94" s="20" t="s">
        <v>1848</v>
      </c>
      <c r="E94" s="21" t="s">
        <v>1966</v>
      </c>
      <c r="F94" s="19">
        <v>18144</v>
      </c>
      <c r="G94" s="18">
        <v>800</v>
      </c>
      <c r="H94" s="18" t="s">
        <v>448</v>
      </c>
      <c r="I94" s="18" t="s">
        <v>30</v>
      </c>
      <c r="J94" s="23">
        <v>44956</v>
      </c>
      <c r="K94" s="18" t="s">
        <v>2050</v>
      </c>
      <c r="L94" s="19" t="s">
        <v>2051</v>
      </c>
      <c r="M94" s="19" t="s">
        <v>1616</v>
      </c>
      <c r="N94" s="26"/>
      <c r="O94" s="26"/>
      <c r="P94" s="26"/>
      <c r="Q94" s="26">
        <v>18144</v>
      </c>
      <c r="R94" s="26"/>
      <c r="S94" s="27">
        <v>245000</v>
      </c>
      <c r="T94" s="28">
        <f t="shared" si="1"/>
        <v>4445280</v>
      </c>
      <c r="U94" s="26">
        <v>285000</v>
      </c>
    </row>
    <row r="95" spans="1:21" s="132" customFormat="1" x14ac:dyDescent="0.25">
      <c r="A95" s="26"/>
      <c r="B95" s="19" t="s">
        <v>2052</v>
      </c>
      <c r="C95" s="19" t="s">
        <v>633</v>
      </c>
      <c r="D95" s="20" t="s">
        <v>2053</v>
      </c>
      <c r="E95" s="21" t="s">
        <v>1934</v>
      </c>
      <c r="F95" s="19">
        <v>10000</v>
      </c>
      <c r="G95" s="18">
        <v>400</v>
      </c>
      <c r="H95" s="18" t="s">
        <v>448</v>
      </c>
      <c r="I95" s="18" t="s">
        <v>30</v>
      </c>
      <c r="J95" s="23">
        <v>44956</v>
      </c>
      <c r="K95" s="18" t="s">
        <v>2054</v>
      </c>
      <c r="L95" s="19" t="s">
        <v>2055</v>
      </c>
      <c r="M95" s="19" t="s">
        <v>1279</v>
      </c>
      <c r="N95" s="26"/>
      <c r="O95" s="26">
        <v>10000</v>
      </c>
      <c r="P95" s="26"/>
      <c r="Q95" s="26"/>
      <c r="R95" s="26"/>
      <c r="S95" s="27">
        <v>46700</v>
      </c>
      <c r="T95" s="28">
        <f t="shared" si="1"/>
        <v>467000</v>
      </c>
      <c r="U95" s="26">
        <v>260000</v>
      </c>
    </row>
    <row r="96" spans="1:21" s="132" customFormat="1" x14ac:dyDescent="0.25">
      <c r="A96" s="26"/>
      <c r="B96" s="19" t="s">
        <v>2052</v>
      </c>
      <c r="C96" s="19" t="s">
        <v>633</v>
      </c>
      <c r="D96" s="20" t="s">
        <v>1779</v>
      </c>
      <c r="E96" s="21" t="s">
        <v>1947</v>
      </c>
      <c r="F96" s="19">
        <v>7200</v>
      </c>
      <c r="G96" s="20">
        <v>40</v>
      </c>
      <c r="H96" s="18" t="s">
        <v>448</v>
      </c>
      <c r="I96" s="18" t="s">
        <v>30</v>
      </c>
      <c r="J96" s="23">
        <v>44956</v>
      </c>
      <c r="K96" s="18"/>
      <c r="L96" s="19"/>
      <c r="M96" s="19"/>
      <c r="N96" s="26"/>
      <c r="O96" s="26"/>
      <c r="P96" s="26"/>
      <c r="Q96" s="26">
        <v>7200</v>
      </c>
      <c r="R96" s="26"/>
      <c r="S96" s="27">
        <v>110000</v>
      </c>
      <c r="T96" s="28">
        <f t="shared" si="1"/>
        <v>792000</v>
      </c>
      <c r="U96" s="26"/>
    </row>
    <row r="97" spans="1:21" s="132" customFormat="1" x14ac:dyDescent="0.25">
      <c r="A97" s="26"/>
      <c r="B97" s="19" t="s">
        <v>2056</v>
      </c>
      <c r="C97" s="19" t="s">
        <v>893</v>
      </c>
      <c r="D97" s="20" t="s">
        <v>1869</v>
      </c>
      <c r="E97" s="21" t="s">
        <v>1300</v>
      </c>
      <c r="F97" s="19">
        <v>8800</v>
      </c>
      <c r="G97" s="18">
        <v>44</v>
      </c>
      <c r="H97" s="18" t="s">
        <v>975</v>
      </c>
      <c r="I97" s="18" t="s">
        <v>30</v>
      </c>
      <c r="J97" s="23">
        <v>44956</v>
      </c>
      <c r="K97" s="18" t="s">
        <v>61</v>
      </c>
      <c r="L97" s="19" t="s">
        <v>2057</v>
      </c>
      <c r="M97" s="19" t="s">
        <v>63</v>
      </c>
      <c r="N97" s="26"/>
      <c r="O97" s="26"/>
      <c r="P97" s="26"/>
      <c r="Q97" s="26">
        <v>8800</v>
      </c>
      <c r="R97" s="26"/>
      <c r="S97" s="27">
        <v>170000</v>
      </c>
      <c r="T97" s="28">
        <f t="shared" si="1"/>
        <v>1496000.0000000002</v>
      </c>
      <c r="U97" s="26">
        <v>205000</v>
      </c>
    </row>
    <row r="98" spans="1:21" s="132" customFormat="1" x14ac:dyDescent="0.25">
      <c r="A98" s="26"/>
      <c r="B98" s="19" t="s">
        <v>2056</v>
      </c>
      <c r="C98" s="19" t="s">
        <v>893</v>
      </c>
      <c r="D98" s="20" t="s">
        <v>1869</v>
      </c>
      <c r="E98" s="21" t="s">
        <v>1799</v>
      </c>
      <c r="F98" s="19">
        <v>8800</v>
      </c>
      <c r="G98" s="18">
        <v>44</v>
      </c>
      <c r="H98" s="18" t="s">
        <v>975</v>
      </c>
      <c r="I98" s="18" t="s">
        <v>30</v>
      </c>
      <c r="J98" s="23">
        <v>44956</v>
      </c>
      <c r="K98" s="18"/>
      <c r="L98" s="19"/>
      <c r="M98" s="19"/>
      <c r="N98" s="26"/>
      <c r="O98" s="26"/>
      <c r="P98" s="26"/>
      <c r="Q98" s="26">
        <v>8800</v>
      </c>
      <c r="R98" s="26"/>
      <c r="S98" s="27">
        <v>170000</v>
      </c>
      <c r="T98" s="28">
        <f t="shared" ref="T98:T106" si="2">S98*(F98/1000)</f>
        <v>1496000.0000000002</v>
      </c>
      <c r="U98" s="26"/>
    </row>
    <row r="99" spans="1:21" s="132" customFormat="1" x14ac:dyDescent="0.25">
      <c r="A99" s="25"/>
      <c r="B99" s="19" t="s">
        <v>1867</v>
      </c>
      <c r="C99" s="19" t="s">
        <v>57</v>
      </c>
      <c r="D99" s="20" t="s">
        <v>1813</v>
      </c>
      <c r="E99" s="21" t="s">
        <v>2012</v>
      </c>
      <c r="F99" s="19">
        <v>18144</v>
      </c>
      <c r="G99" s="18">
        <v>800</v>
      </c>
      <c r="H99" s="18" t="s">
        <v>95</v>
      </c>
      <c r="I99" s="18" t="s">
        <v>30</v>
      </c>
      <c r="J99" s="23">
        <v>44957</v>
      </c>
      <c r="K99" s="19" t="s">
        <v>2058</v>
      </c>
      <c r="L99" s="26" t="s">
        <v>2059</v>
      </c>
      <c r="M99" s="26" t="s">
        <v>2060</v>
      </c>
      <c r="N99" s="26"/>
      <c r="O99" s="26"/>
      <c r="P99" s="26">
        <v>18144</v>
      </c>
      <c r="Q99" s="26"/>
      <c r="R99" s="26" t="s">
        <v>34</v>
      </c>
      <c r="S99" s="27">
        <v>245000</v>
      </c>
      <c r="T99" s="28">
        <f t="shared" si="2"/>
        <v>4445280</v>
      </c>
      <c r="U99" s="26">
        <v>250000</v>
      </c>
    </row>
    <row r="100" spans="1:21" s="140" customFormat="1" x14ac:dyDescent="0.25">
      <c r="A100" s="42"/>
      <c r="B100" s="22" t="s">
        <v>103</v>
      </c>
      <c r="C100" s="22" t="s">
        <v>1728</v>
      </c>
      <c r="D100" s="20" t="s">
        <v>352</v>
      </c>
      <c r="E100" s="33" t="s">
        <v>1654</v>
      </c>
      <c r="F100" s="22">
        <v>4000</v>
      </c>
      <c r="G100" s="20">
        <v>20</v>
      </c>
      <c r="H100" s="20" t="s">
        <v>29</v>
      </c>
      <c r="I100" s="18" t="s">
        <v>30</v>
      </c>
      <c r="J100" s="39">
        <v>44957</v>
      </c>
      <c r="K100" s="20"/>
      <c r="L100" s="22"/>
      <c r="M100" s="22"/>
      <c r="N100" s="42"/>
      <c r="O100" s="42"/>
      <c r="P100" s="42"/>
      <c r="Q100" s="42">
        <v>4000</v>
      </c>
      <c r="R100" s="42"/>
      <c r="S100" s="31">
        <v>195000</v>
      </c>
      <c r="T100" s="28">
        <f t="shared" si="2"/>
        <v>780000</v>
      </c>
      <c r="U100" s="42"/>
    </row>
    <row r="101" spans="1:21" s="140" customFormat="1" x14ac:dyDescent="0.25">
      <c r="A101" s="42"/>
      <c r="B101" s="22" t="s">
        <v>103</v>
      </c>
      <c r="C101" s="22" t="s">
        <v>1728</v>
      </c>
      <c r="D101" s="20" t="s">
        <v>86</v>
      </c>
      <c r="E101" s="33" t="s">
        <v>2061</v>
      </c>
      <c r="F101" s="22">
        <v>16000</v>
      </c>
      <c r="G101" s="20">
        <v>640</v>
      </c>
      <c r="H101" s="20" t="s">
        <v>29</v>
      </c>
      <c r="I101" s="18" t="s">
        <v>30</v>
      </c>
      <c r="J101" s="39">
        <v>44957</v>
      </c>
      <c r="K101" s="20"/>
      <c r="L101" s="22"/>
      <c r="M101" s="22"/>
      <c r="N101" s="42"/>
      <c r="O101" s="42">
        <v>16000</v>
      </c>
      <c r="P101" s="42"/>
      <c r="Q101" s="42"/>
      <c r="R101" s="42"/>
      <c r="S101" s="31">
        <v>39000</v>
      </c>
      <c r="T101" s="28">
        <f t="shared" si="2"/>
        <v>624000</v>
      </c>
      <c r="U101" s="42"/>
    </row>
    <row r="102" spans="1:21" s="132" customFormat="1" x14ac:dyDescent="0.25">
      <c r="A102" s="26"/>
      <c r="B102" s="19" t="s">
        <v>1607</v>
      </c>
      <c r="C102" s="19" t="s">
        <v>1434</v>
      </c>
      <c r="D102" s="20" t="s">
        <v>1800</v>
      </c>
      <c r="E102" s="21" t="s">
        <v>2026</v>
      </c>
      <c r="F102" s="19">
        <v>8100</v>
      </c>
      <c r="G102" s="18">
        <v>9</v>
      </c>
      <c r="H102" s="18" t="s">
        <v>661</v>
      </c>
      <c r="I102" s="18" t="s">
        <v>30</v>
      </c>
      <c r="J102" s="23">
        <v>44956</v>
      </c>
      <c r="K102" s="18" t="s">
        <v>2062</v>
      </c>
      <c r="L102" s="19" t="s">
        <v>2063</v>
      </c>
      <c r="M102" s="19" t="s">
        <v>2064</v>
      </c>
      <c r="N102" s="26"/>
      <c r="O102" s="26"/>
      <c r="P102" s="26"/>
      <c r="Q102" s="26">
        <v>8100</v>
      </c>
      <c r="R102" s="26"/>
      <c r="S102" s="27">
        <v>97800</v>
      </c>
      <c r="T102" s="28">
        <f t="shared" si="2"/>
        <v>792180</v>
      </c>
      <c r="U102" s="26">
        <v>185000</v>
      </c>
    </row>
    <row r="103" spans="1:21" s="132" customFormat="1" x14ac:dyDescent="0.25">
      <c r="A103" s="26"/>
      <c r="B103" s="19" t="s">
        <v>1607</v>
      </c>
      <c r="C103" s="19" t="s">
        <v>1434</v>
      </c>
      <c r="D103" s="20" t="s">
        <v>1800</v>
      </c>
      <c r="E103" s="21" t="s">
        <v>1780</v>
      </c>
      <c r="F103" s="19">
        <v>1800</v>
      </c>
      <c r="G103" s="18">
        <v>3</v>
      </c>
      <c r="H103" s="18" t="s">
        <v>661</v>
      </c>
      <c r="I103" s="18" t="s">
        <v>30</v>
      </c>
      <c r="J103" s="23">
        <v>44956</v>
      </c>
      <c r="K103" s="18" t="s">
        <v>2062</v>
      </c>
      <c r="L103" s="19" t="s">
        <v>2063</v>
      </c>
      <c r="M103" s="19" t="s">
        <v>2064</v>
      </c>
      <c r="N103" s="26"/>
      <c r="O103" s="26"/>
      <c r="P103" s="26"/>
      <c r="Q103" s="26">
        <v>1800</v>
      </c>
      <c r="R103" s="26"/>
      <c r="S103" s="27">
        <v>97800</v>
      </c>
      <c r="T103" s="28">
        <f t="shared" si="2"/>
        <v>176040</v>
      </c>
      <c r="U103" s="26"/>
    </row>
    <row r="104" spans="1:21" s="132" customFormat="1" x14ac:dyDescent="0.25">
      <c r="A104" s="26"/>
      <c r="B104" s="19" t="s">
        <v>1607</v>
      </c>
      <c r="C104" s="19" t="s">
        <v>1434</v>
      </c>
      <c r="D104" s="20" t="s">
        <v>1608</v>
      </c>
      <c r="E104" s="21" t="s">
        <v>1631</v>
      </c>
      <c r="F104" s="19">
        <v>8550</v>
      </c>
      <c r="G104" s="18">
        <v>9</v>
      </c>
      <c r="H104" s="18" t="s">
        <v>661</v>
      </c>
      <c r="I104" s="18" t="s">
        <v>30</v>
      </c>
      <c r="J104" s="23">
        <v>44956</v>
      </c>
      <c r="K104" s="18" t="s">
        <v>2062</v>
      </c>
      <c r="L104" s="19" t="s">
        <v>2063</v>
      </c>
      <c r="M104" s="19" t="s">
        <v>2064</v>
      </c>
      <c r="N104" s="26"/>
      <c r="O104" s="26"/>
      <c r="P104" s="26"/>
      <c r="Q104" s="26">
        <v>8550</v>
      </c>
      <c r="R104" s="26"/>
      <c r="S104" s="27">
        <v>134800</v>
      </c>
      <c r="T104" s="28">
        <f t="shared" si="2"/>
        <v>1152540</v>
      </c>
      <c r="U104" s="26"/>
    </row>
    <row r="105" spans="1:21" s="132" customFormat="1" x14ac:dyDescent="0.25">
      <c r="A105" s="26"/>
      <c r="B105" s="19" t="s">
        <v>1607</v>
      </c>
      <c r="C105" s="19" t="s">
        <v>1434</v>
      </c>
      <c r="D105" s="20" t="s">
        <v>1800</v>
      </c>
      <c r="E105" s="21" t="s">
        <v>1780</v>
      </c>
      <c r="F105" s="19">
        <v>5400</v>
      </c>
      <c r="G105" s="18">
        <v>5</v>
      </c>
      <c r="H105" s="18" t="s">
        <v>661</v>
      </c>
      <c r="I105" s="18" t="s">
        <v>30</v>
      </c>
      <c r="J105" s="23">
        <v>44956</v>
      </c>
      <c r="K105" s="18" t="s">
        <v>2065</v>
      </c>
      <c r="L105" s="19" t="s">
        <v>2066</v>
      </c>
      <c r="M105" s="19" t="s">
        <v>2067</v>
      </c>
      <c r="N105" s="26"/>
      <c r="O105" s="26"/>
      <c r="P105" s="26"/>
      <c r="Q105" s="26">
        <v>5400</v>
      </c>
      <c r="R105" s="26"/>
      <c r="S105" s="27">
        <v>97800</v>
      </c>
      <c r="T105" s="28">
        <f t="shared" si="2"/>
        <v>528120</v>
      </c>
      <c r="U105" s="26">
        <v>185000</v>
      </c>
    </row>
    <row r="106" spans="1:21" s="132" customFormat="1" x14ac:dyDescent="0.25">
      <c r="A106" s="26"/>
      <c r="B106" s="19" t="s">
        <v>1607</v>
      </c>
      <c r="C106" s="19" t="s">
        <v>1434</v>
      </c>
      <c r="D106" s="20" t="s">
        <v>1800</v>
      </c>
      <c r="E106" s="21" t="s">
        <v>2068</v>
      </c>
      <c r="F106" s="19">
        <v>8100</v>
      </c>
      <c r="G106" s="18">
        <v>9</v>
      </c>
      <c r="H106" s="18" t="s">
        <v>661</v>
      </c>
      <c r="I106" s="18" t="s">
        <v>30</v>
      </c>
      <c r="J106" s="23">
        <v>44956</v>
      </c>
      <c r="K106" s="18" t="s">
        <v>2065</v>
      </c>
      <c r="L106" s="19" t="s">
        <v>2066</v>
      </c>
      <c r="M106" s="19" t="s">
        <v>2067</v>
      </c>
      <c r="N106" s="26"/>
      <c r="O106" s="26"/>
      <c r="P106" s="26"/>
      <c r="Q106" s="26">
        <v>8100</v>
      </c>
      <c r="R106" s="26"/>
      <c r="S106" s="27">
        <v>97800</v>
      </c>
      <c r="T106" s="28">
        <f t="shared" si="2"/>
        <v>792180</v>
      </c>
      <c r="U106" s="26"/>
    </row>
    <row r="107" spans="1:21" s="132" customFormat="1" x14ac:dyDescent="0.25">
      <c r="A107" s="26"/>
      <c r="B107" s="19" t="s">
        <v>1607</v>
      </c>
      <c r="C107" s="19" t="s">
        <v>1434</v>
      </c>
      <c r="D107" s="20" t="s">
        <v>1800</v>
      </c>
      <c r="E107" s="21" t="s">
        <v>1805</v>
      </c>
      <c r="F107" s="19">
        <v>5400</v>
      </c>
      <c r="G107" s="18">
        <v>7</v>
      </c>
      <c r="H107" s="18" t="s">
        <v>661</v>
      </c>
      <c r="I107" s="18" t="s">
        <v>30</v>
      </c>
      <c r="J107" s="23">
        <v>44956</v>
      </c>
      <c r="K107" s="18" t="s">
        <v>2065</v>
      </c>
      <c r="L107" s="19" t="s">
        <v>2066</v>
      </c>
      <c r="M107" s="19" t="s">
        <v>2067</v>
      </c>
      <c r="N107" s="26"/>
      <c r="O107" s="26"/>
      <c r="P107" s="26"/>
      <c r="Q107" s="26">
        <v>5400</v>
      </c>
      <c r="R107" s="26"/>
      <c r="S107" s="27">
        <v>97800</v>
      </c>
      <c r="T107" s="28">
        <f>S107*(F107/1000)</f>
        <v>528120</v>
      </c>
      <c r="U107" s="26"/>
    </row>
    <row r="108" spans="1:21" ht="18.75" x14ac:dyDescent="0.3">
      <c r="A108" s="119" t="s">
        <v>252</v>
      </c>
      <c r="B108" s="133">
        <f>SUM(F4:F107)/1000</f>
        <v>970.61800000000005</v>
      </c>
      <c r="C108" s="54" t="s">
        <v>253</v>
      </c>
      <c r="T108" s="55">
        <f>SUM(T4:T107)</f>
        <v>101445330.5</v>
      </c>
      <c r="U108" s="11">
        <f>SUM(U4:U107)</f>
        <v>9760673.6000000015</v>
      </c>
    </row>
    <row r="109" spans="1:21" ht="18.75" x14ac:dyDescent="0.3">
      <c r="A109" s="120" t="s">
        <v>254</v>
      </c>
      <c r="B109" s="134">
        <f>B110+B111+B112</f>
        <v>970.61799999999994</v>
      </c>
      <c r="C109" s="58" t="s">
        <v>253</v>
      </c>
    </row>
    <row r="110" spans="1:21" ht="18.75" x14ac:dyDescent="0.3">
      <c r="A110" s="121" t="s">
        <v>255</v>
      </c>
      <c r="B110" s="135">
        <f>SUM(O4:O107)/1000</f>
        <v>395.41899999999998</v>
      </c>
      <c r="C110" s="61" t="s">
        <v>253</v>
      </c>
    </row>
    <row r="111" spans="1:21" ht="18.75" x14ac:dyDescent="0.3">
      <c r="A111" s="121" t="s">
        <v>256</v>
      </c>
      <c r="B111" s="135">
        <f>SUM(P4:P107)/1000</f>
        <v>159.285</v>
      </c>
      <c r="C111" s="61" t="s">
        <v>253</v>
      </c>
    </row>
    <row r="112" spans="1:21" ht="18.75" x14ac:dyDescent="0.3">
      <c r="A112" s="121" t="s">
        <v>257</v>
      </c>
      <c r="B112" s="136">
        <f>SUM(Q4:Q107)/1000</f>
        <v>415.91399999999999</v>
      </c>
      <c r="C112" s="61" t="s">
        <v>253</v>
      </c>
    </row>
    <row r="113" spans="1:8" ht="18.75" x14ac:dyDescent="0.3">
      <c r="A113" s="122" t="s">
        <v>258</v>
      </c>
      <c r="B113" s="137">
        <f>B108-B109</f>
        <v>0</v>
      </c>
      <c r="C113" s="65" t="s">
        <v>253</v>
      </c>
    </row>
    <row r="128" spans="1:8" x14ac:dyDescent="0.25">
      <c r="H128">
        <v>800</v>
      </c>
    </row>
  </sheetData>
  <autoFilter ref="D1:D113" xr:uid="{00000000-0009-0000-0000-00000B000000}"/>
  <mergeCells count="12">
    <mergeCell ref="O2:Q2"/>
    <mergeCell ref="R2:R3"/>
    <mergeCell ref="F2:G2"/>
    <mergeCell ref="H2:H3"/>
    <mergeCell ref="I2:I3"/>
    <mergeCell ref="J2:J3"/>
    <mergeCell ref="K2:M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31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справочник!#REF!</xm:f>
          </x14:formula1>
          <xm:sqref>D102:D107</xm:sqref>
        </x14:dataValidation>
        <x14:dataValidation type="list" allowBlank="1" showInputMessage="1" showErrorMessage="1" xr:uid="{00000000-0002-0000-0B00-000001000000}">
          <x14:formula1>
            <xm:f>справочник!$E$4:$E$173</xm:f>
          </x14:formula1>
          <xm:sqref>D4:D101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8">
    <tabColor theme="5" tint="0.39997558519241921"/>
  </sheetPr>
  <dimension ref="A2:I119"/>
  <sheetViews>
    <sheetView topLeftCell="A73" workbookViewId="0">
      <selection activeCell="E89" sqref="E89"/>
    </sheetView>
  </sheetViews>
  <sheetFormatPr defaultRowHeight="15" x14ac:dyDescent="0.25"/>
  <cols>
    <col min="1" max="1" width="17.42578125" style="147" customWidth="1"/>
    <col min="2" max="2" width="19.140625" style="147" bestFit="1" customWidth="1"/>
    <col min="3" max="3" width="18.28515625" style="147" customWidth="1"/>
    <col min="5" max="5" width="46.5703125" customWidth="1"/>
  </cols>
  <sheetData>
    <row r="2" spans="1:9" x14ac:dyDescent="0.25">
      <c r="A2" s="147" t="s">
        <v>2069</v>
      </c>
      <c r="B2" s="147" t="s">
        <v>2070</v>
      </c>
      <c r="C2" s="147" t="s">
        <v>2071</v>
      </c>
    </row>
    <row r="3" spans="1:9" ht="18.75" x14ac:dyDescent="0.3">
      <c r="A3" s="18" t="s">
        <v>2072</v>
      </c>
      <c r="B3" s="18" t="s">
        <v>2073</v>
      </c>
      <c r="C3" s="18">
        <v>89626347052</v>
      </c>
      <c r="E3" s="148" t="s">
        <v>2074</v>
      </c>
    </row>
    <row r="4" spans="1:9" ht="15.75" x14ac:dyDescent="0.25">
      <c r="A4" s="18" t="s">
        <v>2075</v>
      </c>
      <c r="B4" s="18" t="s">
        <v>2076</v>
      </c>
      <c r="C4" s="19"/>
      <c r="E4" s="149" t="s">
        <v>58</v>
      </c>
    </row>
    <row r="5" spans="1:9" ht="15.75" x14ac:dyDescent="0.25">
      <c r="A5" s="18"/>
      <c r="B5" s="18"/>
      <c r="C5" s="19"/>
      <c r="E5" s="149" t="s">
        <v>186</v>
      </c>
    </row>
    <row r="6" spans="1:9" ht="15.75" x14ac:dyDescent="0.25">
      <c r="A6" s="18" t="s">
        <v>2077</v>
      </c>
      <c r="B6" s="18" t="s">
        <v>2078</v>
      </c>
      <c r="C6" s="18">
        <v>89611891048</v>
      </c>
      <c r="E6" s="149" t="s">
        <v>74</v>
      </c>
    </row>
    <row r="7" spans="1:9" ht="15.75" x14ac:dyDescent="0.25">
      <c r="A7" s="18" t="s">
        <v>2079</v>
      </c>
      <c r="B7" s="18" t="s">
        <v>2080</v>
      </c>
      <c r="C7" s="18">
        <v>89822583038</v>
      </c>
      <c r="E7" s="149" t="s">
        <v>165</v>
      </c>
    </row>
    <row r="8" spans="1:9" ht="15.75" x14ac:dyDescent="0.25">
      <c r="A8" s="18"/>
      <c r="B8" s="18"/>
      <c r="C8" s="18"/>
      <c r="E8" s="149" t="s">
        <v>2081</v>
      </c>
    </row>
    <row r="9" spans="1:9" ht="15.75" x14ac:dyDescent="0.25">
      <c r="A9" s="18" t="s">
        <v>2082</v>
      </c>
      <c r="B9" s="18" t="s">
        <v>2083</v>
      </c>
      <c r="C9" s="18">
        <v>89126876877</v>
      </c>
      <c r="E9" s="149" t="s">
        <v>2084</v>
      </c>
    </row>
    <row r="10" spans="1:9" ht="15.75" x14ac:dyDescent="0.25">
      <c r="A10" s="18" t="s">
        <v>2085</v>
      </c>
      <c r="B10" s="18" t="s">
        <v>2086</v>
      </c>
      <c r="C10" s="18">
        <v>89279885591</v>
      </c>
      <c r="E10" s="149" t="s">
        <v>2087</v>
      </c>
    </row>
    <row r="11" spans="1:9" ht="15.75" x14ac:dyDescent="0.25">
      <c r="A11" s="18" t="s">
        <v>2088</v>
      </c>
      <c r="B11" s="18" t="s">
        <v>2089</v>
      </c>
      <c r="C11" s="18">
        <v>89172998065</v>
      </c>
      <c r="E11" s="149" t="s">
        <v>176</v>
      </c>
    </row>
    <row r="12" spans="1:9" ht="15.75" x14ac:dyDescent="0.25">
      <c r="A12" s="18" t="s">
        <v>2090</v>
      </c>
      <c r="B12" s="18" t="s">
        <v>2091</v>
      </c>
      <c r="C12" s="131">
        <v>89126661600</v>
      </c>
      <c r="E12" s="149" t="s">
        <v>2053</v>
      </c>
    </row>
    <row r="13" spans="1:9" ht="15.75" x14ac:dyDescent="0.25">
      <c r="A13" s="18" t="s">
        <v>2092</v>
      </c>
      <c r="B13" s="18" t="s">
        <v>2093</v>
      </c>
      <c r="C13" s="18">
        <v>89824504395</v>
      </c>
      <c r="E13" s="149" t="s">
        <v>2094</v>
      </c>
      <c r="I13" s="147"/>
    </row>
    <row r="14" spans="1:9" ht="15.75" x14ac:dyDescent="0.25">
      <c r="A14" s="18" t="s">
        <v>2095</v>
      </c>
      <c r="B14" s="18" t="s">
        <v>2096</v>
      </c>
      <c r="C14" s="18">
        <v>89194660828</v>
      </c>
      <c r="E14" s="149" t="s">
        <v>1392</v>
      </c>
    </row>
    <row r="15" spans="1:9" ht="15.75" x14ac:dyDescent="0.25">
      <c r="A15" s="18"/>
      <c r="B15" s="18"/>
      <c r="C15" s="18"/>
      <c r="E15" s="149" t="s">
        <v>1342</v>
      </c>
    </row>
    <row r="16" spans="1:9" ht="15.75" x14ac:dyDescent="0.25">
      <c r="A16" s="18" t="s">
        <v>2097</v>
      </c>
      <c r="B16" s="18" t="s">
        <v>2098</v>
      </c>
      <c r="C16" s="18">
        <v>89012010372</v>
      </c>
      <c r="E16" s="149" t="s">
        <v>127</v>
      </c>
    </row>
    <row r="17" spans="1:5" ht="15.75" x14ac:dyDescent="0.25">
      <c r="A17" s="18" t="s">
        <v>2099</v>
      </c>
      <c r="B17" s="18" t="s">
        <v>2100</v>
      </c>
      <c r="C17" s="18"/>
      <c r="E17" s="149" t="s">
        <v>86</v>
      </c>
    </row>
    <row r="18" spans="1:5" ht="15.75" x14ac:dyDescent="0.25">
      <c r="A18" s="18" t="s">
        <v>2101</v>
      </c>
      <c r="B18" s="18" t="s">
        <v>2102</v>
      </c>
      <c r="C18" s="18"/>
      <c r="E18" s="149" t="s">
        <v>2103</v>
      </c>
    </row>
    <row r="19" spans="1:5" ht="15.75" x14ac:dyDescent="0.25">
      <c r="A19" s="18"/>
      <c r="B19" s="18"/>
      <c r="C19" s="18"/>
      <c r="E19" s="149" t="s">
        <v>2104</v>
      </c>
    </row>
    <row r="20" spans="1:5" ht="15.75" x14ac:dyDescent="0.25">
      <c r="A20" s="18"/>
      <c r="B20" s="18"/>
      <c r="C20" s="18"/>
      <c r="E20" s="149" t="s">
        <v>571</v>
      </c>
    </row>
    <row r="21" spans="1:5" ht="15.75" x14ac:dyDescent="0.25">
      <c r="A21" s="18"/>
      <c r="B21" s="18"/>
      <c r="C21" s="18"/>
      <c r="E21" s="149" t="s">
        <v>27</v>
      </c>
    </row>
    <row r="22" spans="1:5" ht="15.75" x14ac:dyDescent="0.25">
      <c r="A22" s="18"/>
      <c r="B22" s="18"/>
      <c r="C22" s="18"/>
      <c r="E22" s="149" t="s">
        <v>445</v>
      </c>
    </row>
    <row r="23" spans="1:5" ht="15.75" x14ac:dyDescent="0.25">
      <c r="A23" s="18" t="s">
        <v>2105</v>
      </c>
      <c r="B23" s="18" t="s">
        <v>2106</v>
      </c>
      <c r="C23" s="18">
        <v>89128724099</v>
      </c>
      <c r="E23" s="149" t="s">
        <v>2107</v>
      </c>
    </row>
    <row r="24" spans="1:5" ht="15.75" x14ac:dyDescent="0.25">
      <c r="A24" s="18" t="s">
        <v>2108</v>
      </c>
      <c r="B24" s="18" t="s">
        <v>2109</v>
      </c>
      <c r="C24" s="19">
        <v>89536879872</v>
      </c>
      <c r="E24" s="149" t="s">
        <v>1392</v>
      </c>
    </row>
    <row r="25" spans="1:5" ht="15.75" x14ac:dyDescent="0.25">
      <c r="A25" s="18" t="s">
        <v>2110</v>
      </c>
      <c r="B25" s="150" t="s">
        <v>2111</v>
      </c>
      <c r="C25" s="18">
        <v>89107215115</v>
      </c>
      <c r="E25" s="149" t="s">
        <v>1344</v>
      </c>
    </row>
    <row r="26" spans="1:5" ht="15.75" x14ac:dyDescent="0.25">
      <c r="A26" s="18" t="s">
        <v>2112</v>
      </c>
      <c r="B26" s="150" t="s">
        <v>2113</v>
      </c>
      <c r="C26" s="18">
        <v>89107215115</v>
      </c>
      <c r="E26" s="149" t="s">
        <v>754</v>
      </c>
    </row>
    <row r="27" spans="1:5" ht="15.75" x14ac:dyDescent="0.25">
      <c r="A27" s="151" t="s">
        <v>2114</v>
      </c>
      <c r="B27" s="18" t="s">
        <v>2115</v>
      </c>
      <c r="C27" s="18">
        <v>89278017746</v>
      </c>
      <c r="E27" s="149" t="s">
        <v>1256</v>
      </c>
    </row>
    <row r="28" spans="1:5" ht="15.75" x14ac:dyDescent="0.25">
      <c r="A28" s="150" t="s">
        <v>2116</v>
      </c>
      <c r="B28" s="150" t="s">
        <v>2117</v>
      </c>
      <c r="C28" s="150">
        <v>89093602509</v>
      </c>
      <c r="E28" s="149" t="s">
        <v>1088</v>
      </c>
    </row>
    <row r="29" spans="1:5" ht="15.75" x14ac:dyDescent="0.25">
      <c r="A29" s="18" t="s">
        <v>2118</v>
      </c>
      <c r="B29" s="18" t="s">
        <v>2119</v>
      </c>
      <c r="C29" s="18">
        <v>89156522978</v>
      </c>
      <c r="E29" s="149" t="s">
        <v>492</v>
      </c>
    </row>
    <row r="30" spans="1:5" ht="15.75" x14ac:dyDescent="0.25">
      <c r="A30" s="18"/>
      <c r="B30" s="18"/>
      <c r="C30" s="18"/>
      <c r="E30" s="149" t="s">
        <v>1600</v>
      </c>
    </row>
    <row r="31" spans="1:5" ht="15.75" x14ac:dyDescent="0.25">
      <c r="A31" s="18" t="s">
        <v>2120</v>
      </c>
      <c r="B31" s="18" t="s">
        <v>2121</v>
      </c>
      <c r="C31" s="18">
        <v>89194653759</v>
      </c>
      <c r="E31" s="152" t="s">
        <v>1848</v>
      </c>
    </row>
    <row r="32" spans="1:5" ht="15.75" x14ac:dyDescent="0.25">
      <c r="A32" s="18"/>
      <c r="B32" s="18"/>
      <c r="C32" s="18"/>
      <c r="E32" s="149" t="s">
        <v>680</v>
      </c>
    </row>
    <row r="33" spans="1:5" ht="15.75" x14ac:dyDescent="0.25">
      <c r="A33" s="18" t="s">
        <v>2122</v>
      </c>
      <c r="B33" s="18" t="s">
        <v>2123</v>
      </c>
      <c r="C33" s="18" t="s">
        <v>2124</v>
      </c>
      <c r="E33" s="149" t="s">
        <v>2125</v>
      </c>
    </row>
    <row r="34" spans="1:5" ht="15.75" x14ac:dyDescent="0.25">
      <c r="A34" s="18" t="s">
        <v>2126</v>
      </c>
      <c r="B34" s="18" t="s">
        <v>2127</v>
      </c>
      <c r="C34" s="19">
        <v>89053743019</v>
      </c>
      <c r="E34" s="149" t="s">
        <v>98</v>
      </c>
    </row>
    <row r="35" spans="1:5" ht="15.75" x14ac:dyDescent="0.25">
      <c r="A35" s="18" t="s">
        <v>2128</v>
      </c>
      <c r="B35" s="18" t="s">
        <v>2129</v>
      </c>
      <c r="C35" s="18">
        <v>89632743668</v>
      </c>
      <c r="E35" s="149" t="s">
        <v>684</v>
      </c>
    </row>
    <row r="36" spans="1:5" ht="15.75" x14ac:dyDescent="0.25">
      <c r="A36" s="18" t="s">
        <v>2130</v>
      </c>
      <c r="B36" s="18" t="s">
        <v>2131</v>
      </c>
      <c r="C36" s="18">
        <v>89536720630</v>
      </c>
      <c r="E36" s="149" t="s">
        <v>1062</v>
      </c>
    </row>
    <row r="37" spans="1:5" ht="15.75" x14ac:dyDescent="0.25">
      <c r="A37" s="18" t="s">
        <v>2132</v>
      </c>
      <c r="B37" s="18" t="s">
        <v>2133</v>
      </c>
      <c r="C37" s="18">
        <v>89033399868</v>
      </c>
      <c r="E37" s="149" t="s">
        <v>1084</v>
      </c>
    </row>
    <row r="38" spans="1:5" ht="15.75" x14ac:dyDescent="0.25">
      <c r="A38" s="18" t="s">
        <v>2134</v>
      </c>
      <c r="B38" s="18" t="s">
        <v>2135</v>
      </c>
      <c r="C38" s="18" t="s">
        <v>2136</v>
      </c>
      <c r="E38" s="149" t="s">
        <v>440</v>
      </c>
    </row>
    <row r="39" spans="1:5" ht="15.75" x14ac:dyDescent="0.25">
      <c r="A39" s="18"/>
      <c r="B39" s="18"/>
      <c r="C39" s="18"/>
      <c r="E39" s="149" t="s">
        <v>1573</v>
      </c>
    </row>
    <row r="40" spans="1:5" ht="15.75" x14ac:dyDescent="0.25">
      <c r="A40" s="18"/>
      <c r="B40" s="18"/>
      <c r="C40" s="18"/>
      <c r="E40" s="149" t="s">
        <v>1418</v>
      </c>
    </row>
    <row r="41" spans="1:5" ht="15.75" x14ac:dyDescent="0.25">
      <c r="A41" s="18"/>
      <c r="B41" s="18"/>
      <c r="C41" s="18"/>
      <c r="E41" s="149" t="s">
        <v>603</v>
      </c>
    </row>
    <row r="42" spans="1:5" ht="15.75" x14ac:dyDescent="0.25">
      <c r="A42" s="18" t="s">
        <v>2137</v>
      </c>
      <c r="B42" s="18" t="s">
        <v>2138</v>
      </c>
      <c r="C42" s="18">
        <v>89221219379</v>
      </c>
      <c r="E42" s="149" t="s">
        <v>1340</v>
      </c>
    </row>
    <row r="43" spans="1:5" ht="15.75" x14ac:dyDescent="0.25">
      <c r="A43" s="18" t="s">
        <v>2139</v>
      </c>
      <c r="B43" s="18" t="s">
        <v>2140</v>
      </c>
      <c r="C43" s="18">
        <v>89676349833</v>
      </c>
      <c r="E43" s="149" t="s">
        <v>2141</v>
      </c>
    </row>
    <row r="44" spans="1:5" ht="15.75" x14ac:dyDescent="0.25">
      <c r="A44" s="18" t="s">
        <v>2142</v>
      </c>
      <c r="B44" s="18" t="s">
        <v>2143</v>
      </c>
      <c r="C44" s="18">
        <v>89115091687</v>
      </c>
      <c r="E44" s="149" t="s">
        <v>110</v>
      </c>
    </row>
    <row r="45" spans="1:5" ht="15.75" x14ac:dyDescent="0.25">
      <c r="A45" s="18"/>
      <c r="B45" s="18"/>
      <c r="C45" s="18"/>
      <c r="E45" s="149" t="s">
        <v>1415</v>
      </c>
    </row>
    <row r="46" spans="1:5" x14ac:dyDescent="0.25">
      <c r="A46" s="18"/>
      <c r="B46" s="18"/>
      <c r="C46" s="18"/>
      <c r="E46" s="153" t="s">
        <v>2144</v>
      </c>
    </row>
    <row r="47" spans="1:5" ht="15.75" x14ac:dyDescent="0.25">
      <c r="A47" s="18"/>
      <c r="B47" s="18"/>
      <c r="C47" s="18"/>
      <c r="E47" s="149" t="s">
        <v>50</v>
      </c>
    </row>
    <row r="48" spans="1:5" ht="15.75" x14ac:dyDescent="0.25">
      <c r="A48" s="18" t="s">
        <v>2145</v>
      </c>
      <c r="B48" s="18" t="s">
        <v>2146</v>
      </c>
      <c r="C48" s="18" t="s">
        <v>2147</v>
      </c>
      <c r="E48" s="149" t="s">
        <v>2148</v>
      </c>
    </row>
    <row r="49" spans="1:5" ht="15.75" x14ac:dyDescent="0.25">
      <c r="A49" s="18" t="s">
        <v>2149</v>
      </c>
      <c r="B49" s="18" t="s">
        <v>2150</v>
      </c>
      <c r="C49" s="18">
        <v>89128288445</v>
      </c>
      <c r="E49" s="154" t="s">
        <v>421</v>
      </c>
    </row>
    <row r="50" spans="1:5" ht="15.75" x14ac:dyDescent="0.25">
      <c r="A50" s="18"/>
      <c r="B50" s="18"/>
      <c r="C50" s="18"/>
      <c r="E50" s="154" t="s">
        <v>602</v>
      </c>
    </row>
    <row r="51" spans="1:5" ht="15.75" x14ac:dyDescent="0.25">
      <c r="A51" s="18"/>
      <c r="B51" s="18"/>
      <c r="C51" s="18"/>
      <c r="E51" s="154" t="s">
        <v>222</v>
      </c>
    </row>
    <row r="52" spans="1:5" ht="15.75" x14ac:dyDescent="0.25">
      <c r="A52" s="18"/>
      <c r="B52" s="18"/>
      <c r="C52" s="18"/>
      <c r="E52" s="154" t="s">
        <v>66</v>
      </c>
    </row>
    <row r="53" spans="1:5" ht="15.75" x14ac:dyDescent="0.25">
      <c r="A53" s="18" t="s">
        <v>2151</v>
      </c>
      <c r="B53" s="18" t="s">
        <v>2152</v>
      </c>
      <c r="C53" s="18">
        <v>89211322060</v>
      </c>
      <c r="E53" s="149" t="s">
        <v>38</v>
      </c>
    </row>
    <row r="54" spans="1:5" ht="15.75" x14ac:dyDescent="0.25">
      <c r="A54" s="18"/>
      <c r="B54" s="18"/>
      <c r="C54" s="18"/>
      <c r="E54" s="149" t="s">
        <v>878</v>
      </c>
    </row>
    <row r="55" spans="1:5" ht="15.75" x14ac:dyDescent="0.25">
      <c r="A55" s="18" t="s">
        <v>2153</v>
      </c>
      <c r="B55" s="18" t="s">
        <v>2154</v>
      </c>
      <c r="C55" s="18">
        <v>89221937415</v>
      </c>
      <c r="E55" s="149" t="s">
        <v>474</v>
      </c>
    </row>
    <row r="56" spans="1:5" x14ac:dyDescent="0.25">
      <c r="A56" s="18" t="s">
        <v>2155</v>
      </c>
      <c r="B56" s="18" t="s">
        <v>2156</v>
      </c>
      <c r="C56" s="18">
        <v>89824528695</v>
      </c>
      <c r="E56" s="153" t="s">
        <v>649</v>
      </c>
    </row>
    <row r="57" spans="1:5" ht="15.75" x14ac:dyDescent="0.25">
      <c r="A57" s="18" t="s">
        <v>2157</v>
      </c>
      <c r="B57" s="18" t="s">
        <v>2158</v>
      </c>
      <c r="C57" s="18">
        <v>89292379910</v>
      </c>
      <c r="E57" s="149" t="s">
        <v>1449</v>
      </c>
    </row>
    <row r="58" spans="1:5" ht="15.75" x14ac:dyDescent="0.25">
      <c r="A58" s="18" t="s">
        <v>2159</v>
      </c>
      <c r="B58" s="18" t="s">
        <v>2160</v>
      </c>
      <c r="C58" s="18">
        <v>79096232390</v>
      </c>
      <c r="E58" s="149" t="s">
        <v>702</v>
      </c>
    </row>
    <row r="59" spans="1:5" ht="15.75" x14ac:dyDescent="0.25">
      <c r="A59" s="18" t="s">
        <v>2161</v>
      </c>
      <c r="B59" s="18" t="s">
        <v>2162</v>
      </c>
      <c r="C59" s="18">
        <v>89102494949</v>
      </c>
      <c r="E59" s="149" t="s">
        <v>282</v>
      </c>
    </row>
    <row r="60" spans="1:5" ht="15.75" x14ac:dyDescent="0.25">
      <c r="A60" s="18" t="s">
        <v>2163</v>
      </c>
      <c r="B60" s="18" t="s">
        <v>2164</v>
      </c>
      <c r="C60" s="18" t="s">
        <v>2165</v>
      </c>
      <c r="E60" s="149" t="s">
        <v>1498</v>
      </c>
    </row>
    <row r="61" spans="1:5" ht="15.75" x14ac:dyDescent="0.25">
      <c r="A61" s="18"/>
      <c r="B61" s="18"/>
      <c r="C61" s="18"/>
      <c r="E61" s="149" t="s">
        <v>1721</v>
      </c>
    </row>
    <row r="62" spans="1:5" ht="15.75" x14ac:dyDescent="0.25">
      <c r="A62" s="18"/>
      <c r="B62" s="18"/>
      <c r="C62" s="18"/>
      <c r="E62" s="149" t="s">
        <v>2166</v>
      </c>
    </row>
    <row r="63" spans="1:5" ht="15.75" x14ac:dyDescent="0.25">
      <c r="A63" s="18" t="s">
        <v>2167</v>
      </c>
      <c r="B63" s="18" t="s">
        <v>2168</v>
      </c>
      <c r="C63" s="19">
        <v>89053743966</v>
      </c>
      <c r="E63" s="149" t="s">
        <v>140</v>
      </c>
    </row>
    <row r="64" spans="1:5" ht="15.75" x14ac:dyDescent="0.25">
      <c r="A64" s="18" t="s">
        <v>2169</v>
      </c>
      <c r="B64" s="18" t="s">
        <v>2170</v>
      </c>
      <c r="C64" s="18">
        <v>79047988895</v>
      </c>
      <c r="E64" s="149" t="s">
        <v>588</v>
      </c>
    </row>
    <row r="65" spans="1:5" ht="15.75" x14ac:dyDescent="0.25">
      <c r="A65" s="18" t="s">
        <v>2171</v>
      </c>
      <c r="B65" s="18" t="s">
        <v>2172</v>
      </c>
      <c r="C65" s="18">
        <v>89501689423</v>
      </c>
      <c r="E65" s="149" t="s">
        <v>1779</v>
      </c>
    </row>
    <row r="66" spans="1:5" ht="15.75" x14ac:dyDescent="0.25">
      <c r="A66" s="18" t="s">
        <v>2173</v>
      </c>
      <c r="B66" s="18" t="s">
        <v>2174</v>
      </c>
      <c r="C66" s="18">
        <v>79375721271</v>
      </c>
      <c r="E66" s="149" t="s">
        <v>634</v>
      </c>
    </row>
    <row r="67" spans="1:5" x14ac:dyDescent="0.25">
      <c r="A67" s="18" t="s">
        <v>2175</v>
      </c>
      <c r="B67" s="18" t="s">
        <v>2176</v>
      </c>
      <c r="C67" s="19" t="s">
        <v>2177</v>
      </c>
      <c r="E67" s="153" t="s">
        <v>498</v>
      </c>
    </row>
    <row r="68" spans="1:5" x14ac:dyDescent="0.25">
      <c r="A68" s="18" t="s">
        <v>2178</v>
      </c>
      <c r="B68" s="18" t="s">
        <v>2179</v>
      </c>
      <c r="C68" s="19">
        <v>89120559741</v>
      </c>
      <c r="E68" s="153" t="s">
        <v>155</v>
      </c>
    </row>
    <row r="69" spans="1:5" x14ac:dyDescent="0.25">
      <c r="A69" s="18"/>
      <c r="B69" s="18"/>
      <c r="C69" s="19"/>
      <c r="E69" s="153" t="s">
        <v>2180</v>
      </c>
    </row>
    <row r="70" spans="1:5" x14ac:dyDescent="0.25">
      <c r="A70" s="18" t="s">
        <v>2181</v>
      </c>
      <c r="B70" s="18" t="s">
        <v>2182</v>
      </c>
      <c r="C70" s="18">
        <v>89065103353</v>
      </c>
      <c r="E70" s="153" t="s">
        <v>2183</v>
      </c>
    </row>
    <row r="71" spans="1:5" x14ac:dyDescent="0.25">
      <c r="A71" s="18" t="s">
        <v>2184</v>
      </c>
      <c r="B71" s="18" t="s">
        <v>2185</v>
      </c>
      <c r="C71" s="18" t="s">
        <v>2186</v>
      </c>
      <c r="E71" s="153" t="s">
        <v>561</v>
      </c>
    </row>
    <row r="72" spans="1:5" x14ac:dyDescent="0.25">
      <c r="A72" s="18" t="s">
        <v>2187</v>
      </c>
      <c r="B72" s="18" t="s">
        <v>2188</v>
      </c>
      <c r="C72" s="18">
        <v>89806514693</v>
      </c>
      <c r="E72" s="153" t="s">
        <v>1372</v>
      </c>
    </row>
    <row r="73" spans="1:5" x14ac:dyDescent="0.25">
      <c r="A73" s="155"/>
      <c r="B73" s="155"/>
      <c r="C73" s="155"/>
      <c r="E73" s="153" t="s">
        <v>604</v>
      </c>
    </row>
    <row r="74" spans="1:5" x14ac:dyDescent="0.25">
      <c r="A74" s="155"/>
      <c r="B74" s="155"/>
      <c r="C74" s="155"/>
      <c r="E74" s="153" t="s">
        <v>1336</v>
      </c>
    </row>
    <row r="75" spans="1:5" x14ac:dyDescent="0.25">
      <c r="E75" s="153" t="s">
        <v>1470</v>
      </c>
    </row>
    <row r="76" spans="1:5" x14ac:dyDescent="0.25">
      <c r="E76" s="153" t="s">
        <v>365</v>
      </c>
    </row>
    <row r="77" spans="1:5" x14ac:dyDescent="0.25">
      <c r="E77" s="153" t="s">
        <v>2189</v>
      </c>
    </row>
    <row r="78" spans="1:5" x14ac:dyDescent="0.25">
      <c r="E78" s="153" t="s">
        <v>857</v>
      </c>
    </row>
    <row r="79" spans="1:5" x14ac:dyDescent="0.25">
      <c r="E79" s="153" t="s">
        <v>2190</v>
      </c>
    </row>
    <row r="80" spans="1:5" x14ac:dyDescent="0.25">
      <c r="E80" s="153" t="s">
        <v>371</v>
      </c>
    </row>
    <row r="81" spans="5:5" x14ac:dyDescent="0.25">
      <c r="E81" s="153" t="s">
        <v>1608</v>
      </c>
    </row>
    <row r="82" spans="5:5" x14ac:dyDescent="0.25">
      <c r="E82" s="153" t="s">
        <v>468</v>
      </c>
    </row>
    <row r="83" spans="5:5" x14ac:dyDescent="0.25">
      <c r="E83" s="153" t="s">
        <v>1755</v>
      </c>
    </row>
    <row r="84" spans="5:5" x14ac:dyDescent="0.25">
      <c r="E84" s="153" t="s">
        <v>2191</v>
      </c>
    </row>
    <row r="85" spans="5:5" x14ac:dyDescent="0.25">
      <c r="E85" s="153" t="s">
        <v>898</v>
      </c>
    </row>
    <row r="86" spans="5:5" x14ac:dyDescent="0.25">
      <c r="E86" s="153" t="s">
        <v>1725</v>
      </c>
    </row>
    <row r="87" spans="5:5" x14ac:dyDescent="0.25">
      <c r="E87" s="153" t="s">
        <v>864</v>
      </c>
    </row>
    <row r="88" spans="5:5" x14ac:dyDescent="0.25">
      <c r="E88" s="153" t="s">
        <v>610</v>
      </c>
    </row>
    <row r="89" spans="5:5" x14ac:dyDescent="0.25">
      <c r="E89" s="153" t="s">
        <v>239</v>
      </c>
    </row>
    <row r="90" spans="5:5" x14ac:dyDescent="0.25">
      <c r="E90" s="153" t="s">
        <v>2192</v>
      </c>
    </row>
    <row r="91" spans="5:5" x14ac:dyDescent="0.25">
      <c r="E91" s="156" t="s">
        <v>308</v>
      </c>
    </row>
    <row r="92" spans="5:5" x14ac:dyDescent="0.25">
      <c r="E92" s="156" t="s">
        <v>770</v>
      </c>
    </row>
    <row r="93" spans="5:5" x14ac:dyDescent="0.25">
      <c r="E93" s="153" t="s">
        <v>2193</v>
      </c>
    </row>
    <row r="94" spans="5:5" x14ac:dyDescent="0.25">
      <c r="E94" s="153" t="s">
        <v>2194</v>
      </c>
    </row>
    <row r="95" spans="5:5" x14ac:dyDescent="0.25">
      <c r="E95" s="153" t="s">
        <v>2195</v>
      </c>
    </row>
    <row r="96" spans="5:5" x14ac:dyDescent="0.25">
      <c r="E96" s="153" t="s">
        <v>2196</v>
      </c>
    </row>
    <row r="97" spans="5:5" x14ac:dyDescent="0.25">
      <c r="E97" s="153" t="s">
        <v>2197</v>
      </c>
    </row>
    <row r="98" spans="5:5" x14ac:dyDescent="0.25">
      <c r="E98" s="153" t="s">
        <v>147</v>
      </c>
    </row>
    <row r="99" spans="5:5" x14ac:dyDescent="0.25">
      <c r="E99" s="153" t="s">
        <v>2198</v>
      </c>
    </row>
    <row r="100" spans="5:5" x14ac:dyDescent="0.25">
      <c r="E100" s="153" t="s">
        <v>352</v>
      </c>
    </row>
    <row r="101" spans="5:5" x14ac:dyDescent="0.25">
      <c r="E101" s="153" t="s">
        <v>1531</v>
      </c>
    </row>
    <row r="102" spans="5:5" x14ac:dyDescent="0.25">
      <c r="E102" s="153" t="s">
        <v>276</v>
      </c>
    </row>
    <row r="103" spans="5:5" x14ac:dyDescent="0.25">
      <c r="E103" s="153" t="s">
        <v>1021</v>
      </c>
    </row>
    <row r="104" spans="5:5" x14ac:dyDescent="0.25">
      <c r="E104" s="153" t="s">
        <v>1023</v>
      </c>
    </row>
    <row r="105" spans="5:5" x14ac:dyDescent="0.25">
      <c r="E105" s="153" t="s">
        <v>2199</v>
      </c>
    </row>
    <row r="106" spans="5:5" x14ac:dyDescent="0.25">
      <c r="E106" s="153" t="s">
        <v>775</v>
      </c>
    </row>
    <row r="107" spans="5:5" x14ac:dyDescent="0.25">
      <c r="E107" s="153" t="s">
        <v>1094</v>
      </c>
    </row>
    <row r="108" spans="5:5" x14ac:dyDescent="0.25">
      <c r="E108" s="153" t="s">
        <v>191</v>
      </c>
    </row>
    <row r="109" spans="5:5" x14ac:dyDescent="0.25">
      <c r="E109" s="153" t="s">
        <v>525</v>
      </c>
    </row>
    <row r="110" spans="5:5" x14ac:dyDescent="0.25">
      <c r="E110" s="153" t="s">
        <v>1353</v>
      </c>
    </row>
    <row r="111" spans="5:5" x14ac:dyDescent="0.25">
      <c r="E111" s="153" t="s">
        <v>994</v>
      </c>
    </row>
    <row r="112" spans="5:5" x14ac:dyDescent="0.25">
      <c r="E112" s="153" t="s">
        <v>995</v>
      </c>
    </row>
    <row r="113" spans="5:5" x14ac:dyDescent="0.25">
      <c r="E113" s="153" t="s">
        <v>890</v>
      </c>
    </row>
    <row r="114" spans="5:5" x14ac:dyDescent="0.25">
      <c r="E114" s="153" t="s">
        <v>2200</v>
      </c>
    </row>
    <row r="115" spans="5:5" x14ac:dyDescent="0.25">
      <c r="E115" s="153"/>
    </row>
    <row r="116" spans="5:5" x14ac:dyDescent="0.25">
      <c r="E116" s="153"/>
    </row>
    <row r="117" spans="5:5" ht="15.6" customHeight="1" x14ac:dyDescent="0.25">
      <c r="E117" s="153"/>
    </row>
    <row r="118" spans="5:5" x14ac:dyDescent="0.25">
      <c r="E118" s="147"/>
    </row>
    <row r="119" spans="5:5" x14ac:dyDescent="0.25">
      <c r="E119" s="147"/>
    </row>
  </sheetData>
  <sortState xmlns:xlrd2="http://schemas.microsoft.com/office/spreadsheetml/2017/richdata2" ref="A3:C50">
    <sortCondition ref="B3:B50"/>
  </sortState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9"/>
  <dimension ref="B1:AI26"/>
  <sheetViews>
    <sheetView zoomScale="80" workbookViewId="0">
      <selection activeCell="D3" sqref="D3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x14ac:dyDescent="0.25">
      <c r="D1" s="157">
        <v>43617</v>
      </c>
      <c r="E1" s="157">
        <v>43618</v>
      </c>
      <c r="F1" s="157">
        <v>43619</v>
      </c>
      <c r="G1" s="157">
        <v>43620</v>
      </c>
      <c r="H1" s="157">
        <v>43621</v>
      </c>
      <c r="I1" s="157">
        <v>43622</v>
      </c>
      <c r="J1" s="157">
        <v>43623</v>
      </c>
      <c r="K1" s="157">
        <v>43624</v>
      </c>
      <c r="L1" s="157">
        <v>43625</v>
      </c>
      <c r="M1" s="157">
        <v>43626</v>
      </c>
      <c r="N1" s="157">
        <v>43627</v>
      </c>
      <c r="O1" s="157">
        <v>43628</v>
      </c>
      <c r="P1" s="157">
        <v>43629</v>
      </c>
      <c r="Q1" s="157">
        <v>43630</v>
      </c>
      <c r="R1" s="157">
        <v>43631</v>
      </c>
      <c r="S1" s="157">
        <v>43632</v>
      </c>
      <c r="T1" s="157">
        <v>43633</v>
      </c>
      <c r="U1" s="157">
        <v>43634</v>
      </c>
      <c r="V1" s="157">
        <v>43635</v>
      </c>
      <c r="W1" s="157">
        <v>43636</v>
      </c>
      <c r="X1" s="157">
        <v>43637</v>
      </c>
      <c r="Y1" s="157">
        <v>43638</v>
      </c>
      <c r="Z1" s="157">
        <v>43639</v>
      </c>
      <c r="AA1" s="157">
        <v>43640</v>
      </c>
      <c r="AB1" s="157">
        <v>43641</v>
      </c>
      <c r="AC1" s="157">
        <v>43642</v>
      </c>
      <c r="AD1" s="157">
        <v>43643</v>
      </c>
      <c r="AE1" s="157">
        <v>43644</v>
      </c>
      <c r="AF1" s="157">
        <v>43645</v>
      </c>
      <c r="AG1" s="157">
        <v>43646</v>
      </c>
      <c r="AH1" s="157" t="s">
        <v>2201</v>
      </c>
      <c r="AI1" s="158"/>
    </row>
    <row r="2" spans="2:35" ht="15.75" x14ac:dyDescent="0.25">
      <c r="D2" s="159">
        <v>1</v>
      </c>
      <c r="E2" s="160">
        <v>2</v>
      </c>
      <c r="F2" s="159">
        <v>3</v>
      </c>
      <c r="G2" s="160">
        <v>4</v>
      </c>
      <c r="H2" s="159">
        <v>5</v>
      </c>
      <c r="I2" s="161">
        <v>6</v>
      </c>
      <c r="J2" s="162">
        <v>7</v>
      </c>
      <c r="K2" s="161">
        <v>8</v>
      </c>
      <c r="L2" s="159">
        <v>9</v>
      </c>
      <c r="M2" s="160">
        <v>10</v>
      </c>
      <c r="N2" s="159">
        <v>11</v>
      </c>
      <c r="O2" s="160">
        <v>12</v>
      </c>
      <c r="P2" s="162">
        <v>13</v>
      </c>
      <c r="Q2" s="161">
        <v>14</v>
      </c>
      <c r="R2" s="162">
        <v>15</v>
      </c>
      <c r="S2" s="161">
        <v>16</v>
      </c>
      <c r="T2" s="162">
        <v>17</v>
      </c>
      <c r="U2" s="160">
        <v>18</v>
      </c>
      <c r="V2" s="159">
        <v>19</v>
      </c>
      <c r="W2" s="161">
        <v>20</v>
      </c>
      <c r="X2" s="162">
        <v>21</v>
      </c>
      <c r="Y2" s="161">
        <v>22</v>
      </c>
      <c r="Z2" s="162">
        <v>23</v>
      </c>
      <c r="AA2" s="161">
        <v>24</v>
      </c>
      <c r="AB2" s="159">
        <v>25</v>
      </c>
      <c r="AC2" s="160">
        <v>26</v>
      </c>
      <c r="AD2" s="162">
        <v>27</v>
      </c>
      <c r="AE2" s="161">
        <v>28</v>
      </c>
      <c r="AF2" s="162">
        <v>29</v>
      </c>
      <c r="AG2" s="161">
        <v>30</v>
      </c>
      <c r="AH2" s="162">
        <v>31</v>
      </c>
      <c r="AI2" s="158"/>
    </row>
    <row r="3" spans="2:35" ht="15.75" x14ac:dyDescent="0.25">
      <c r="B3" s="163" t="s">
        <v>58</v>
      </c>
      <c r="C3" s="164">
        <v>22.68</v>
      </c>
      <c r="D3" s="165" t="e">
        <f>SUMIFS(#REF!,#REF!,$B3,#REF!,D$1)</f>
        <v>#REF!</v>
      </c>
      <c r="E3" s="165" t="e">
        <f>SUMIFS(#REF!,#REF!,$B3,#REF!,E$1)</f>
        <v>#REF!</v>
      </c>
      <c r="F3" s="165" t="e">
        <f>SUMIFS(#REF!,#REF!,$B3,#REF!,F$1)</f>
        <v>#REF!</v>
      </c>
      <c r="G3" s="165" t="e">
        <f>SUMIFS(#REF!,#REF!,$B3,#REF!,G$1)</f>
        <v>#REF!</v>
      </c>
      <c r="H3" s="165" t="e">
        <f>SUMIFS(#REF!,#REF!,$B3,#REF!,H$1)</f>
        <v>#REF!</v>
      </c>
      <c r="I3" s="165" t="e">
        <f>SUMIFS(#REF!,#REF!,$B3,#REF!,I$1)</f>
        <v>#REF!</v>
      </c>
      <c r="J3" s="165" t="e">
        <f>SUMIFS(#REF!,#REF!,$B3,#REF!,J$1)</f>
        <v>#REF!</v>
      </c>
      <c r="K3" s="165" t="e">
        <f>SUMIFS(#REF!,#REF!,$B3,#REF!,K$1)</f>
        <v>#REF!</v>
      </c>
      <c r="L3" s="165" t="e">
        <f>SUMIFS(#REF!,#REF!,$B3,#REF!,L$1)</f>
        <v>#REF!</v>
      </c>
      <c r="M3" s="165" t="e">
        <f>SUMIFS(#REF!,#REF!,$B3,#REF!,M$1)</f>
        <v>#REF!</v>
      </c>
      <c r="N3" s="165" t="e">
        <f>SUMIFS(#REF!,#REF!,$B3,#REF!,N$1)</f>
        <v>#REF!</v>
      </c>
      <c r="O3" s="165" t="e">
        <f>SUMIFS(#REF!,#REF!,$B3,#REF!,O$1)</f>
        <v>#REF!</v>
      </c>
      <c r="P3" s="165" t="e">
        <f>SUMIFS(#REF!,#REF!,$B3,#REF!,P$1)</f>
        <v>#REF!</v>
      </c>
      <c r="Q3" s="165" t="e">
        <f>SUMIFS(#REF!,#REF!,$B3,#REF!,Q$1)</f>
        <v>#REF!</v>
      </c>
      <c r="R3" s="165" t="e">
        <f>SUMIFS(#REF!,#REF!,$B3,#REF!,R$1)</f>
        <v>#REF!</v>
      </c>
      <c r="S3" s="165" t="e">
        <f>SUMIFS(#REF!,#REF!,$B3,#REF!,S$1)</f>
        <v>#REF!</v>
      </c>
      <c r="T3" s="165" t="e">
        <f>SUMIFS(#REF!,#REF!,$B3,#REF!,T$1)</f>
        <v>#REF!</v>
      </c>
      <c r="U3" s="165" t="e">
        <f>SUMIFS(#REF!,#REF!,$B3,#REF!,U$1)</f>
        <v>#REF!</v>
      </c>
      <c r="V3" s="165" t="e">
        <f>SUMIFS(#REF!,#REF!,$B3,#REF!,V$1)</f>
        <v>#REF!</v>
      </c>
      <c r="W3" s="165" t="e">
        <f>SUMIFS(#REF!,#REF!,$B3,#REF!,W$1)</f>
        <v>#REF!</v>
      </c>
      <c r="X3" s="165" t="e">
        <f>SUMIFS(#REF!,#REF!,$B3,#REF!,X$1)</f>
        <v>#REF!</v>
      </c>
      <c r="Y3" s="165" t="e">
        <f>SUMIFS(#REF!,#REF!,$B3,#REF!,Y$1)</f>
        <v>#REF!</v>
      </c>
      <c r="Z3" s="165" t="e">
        <f>SUMIFS(#REF!,#REF!,$B3,#REF!,Z$1)</f>
        <v>#REF!</v>
      </c>
      <c r="AA3" s="165" t="e">
        <f>SUMIFS(#REF!,#REF!,$B3,#REF!,AA$1)</f>
        <v>#REF!</v>
      </c>
      <c r="AB3" s="165" t="e">
        <f>SUMIFS(#REF!,#REF!,$B3,#REF!,AB$1)</f>
        <v>#REF!</v>
      </c>
      <c r="AC3" s="165" t="e">
        <f>SUMIFS(#REF!,#REF!,$B3,#REF!,AC$1)</f>
        <v>#REF!</v>
      </c>
      <c r="AD3" s="165" t="e">
        <f>SUMIFS(#REF!,#REF!,$B3,#REF!,AD$1)</f>
        <v>#REF!</v>
      </c>
      <c r="AE3" s="165" t="e">
        <f>SUMIFS(#REF!,#REF!,$B3,#REF!,AE$1)</f>
        <v>#REF!</v>
      </c>
      <c r="AF3" s="165" t="e">
        <f>SUMIFS(#REF!,#REF!,$B3,#REF!,AF$1)</f>
        <v>#REF!</v>
      </c>
      <c r="AG3" s="165" t="e">
        <f>SUMIFS(#REF!,#REF!,$B3,#REF!,AG$1)</f>
        <v>#REF!</v>
      </c>
      <c r="AH3" s="165" t="e">
        <f>SUMIFS(#REF!,#REF!,$B3,#REF!,AH$1)</f>
        <v>#REF!</v>
      </c>
      <c r="AI3" s="166" t="e">
        <f t="shared" ref="AI3:AI10" si="0">SUM(D3:AH3)</f>
        <v>#REF!</v>
      </c>
    </row>
    <row r="4" spans="2:35" ht="15.75" x14ac:dyDescent="0.25">
      <c r="B4" s="167" t="s">
        <v>74</v>
      </c>
      <c r="C4" s="168">
        <v>25</v>
      </c>
      <c r="D4" s="169" t="e">
        <f>SUMIFS(#REF!,#REF!,$B4,#REF!,D$1)</f>
        <v>#REF!</v>
      </c>
      <c r="E4" s="169" t="e">
        <f>SUMIFS(#REF!,#REF!,$B4,#REF!,E$1)</f>
        <v>#REF!</v>
      </c>
      <c r="F4" s="169" t="e">
        <f>SUMIFS(#REF!,#REF!,$B4,#REF!,F$1)</f>
        <v>#REF!</v>
      </c>
      <c r="G4" s="169" t="e">
        <f>SUMIFS(#REF!,#REF!,$B4,#REF!,G$1)</f>
        <v>#REF!</v>
      </c>
      <c r="H4" s="169" t="e">
        <f>SUMIFS(#REF!,#REF!,$B4,#REF!,H$1)</f>
        <v>#REF!</v>
      </c>
      <c r="I4" s="169" t="e">
        <f>SUMIFS(#REF!,#REF!,$B4,#REF!,I$1)</f>
        <v>#REF!</v>
      </c>
      <c r="J4" s="169" t="e">
        <f>SUMIFS(#REF!,#REF!,$B4,#REF!,J$1)</f>
        <v>#REF!</v>
      </c>
      <c r="K4" s="169" t="e">
        <f>SUMIFS(#REF!,#REF!,$B4,#REF!,K$1)</f>
        <v>#REF!</v>
      </c>
      <c r="L4" s="169" t="e">
        <f>SUMIFS(#REF!,#REF!,$B4,#REF!,L$1)</f>
        <v>#REF!</v>
      </c>
      <c r="M4" s="169" t="e">
        <f>SUMIFS(#REF!,#REF!,$B4,#REF!,M$1)</f>
        <v>#REF!</v>
      </c>
      <c r="N4" s="169" t="e">
        <f>SUMIFS(#REF!,#REF!,$B4,#REF!,N$1)</f>
        <v>#REF!</v>
      </c>
      <c r="O4" s="169" t="e">
        <f>SUMIFS(#REF!,#REF!,$B4,#REF!,O$1)</f>
        <v>#REF!</v>
      </c>
      <c r="P4" s="169" t="e">
        <f>SUMIFS(#REF!,#REF!,$B4,#REF!,P$1)</f>
        <v>#REF!</v>
      </c>
      <c r="Q4" s="169" t="e">
        <f>SUMIFS(#REF!,#REF!,$B4,#REF!,Q$1)</f>
        <v>#REF!</v>
      </c>
      <c r="R4" s="169" t="e">
        <f>SUMIFS(#REF!,#REF!,$B4,#REF!,R$1)</f>
        <v>#REF!</v>
      </c>
      <c r="S4" s="169" t="e">
        <f>SUMIFS(#REF!,#REF!,$B4,#REF!,S$1)</f>
        <v>#REF!</v>
      </c>
      <c r="T4" s="169" t="e">
        <f>SUMIFS(#REF!,#REF!,$B4,#REF!,T$1)</f>
        <v>#REF!</v>
      </c>
      <c r="U4" s="169" t="e">
        <f>SUMIFS(#REF!,#REF!,$B4,#REF!,U$1)</f>
        <v>#REF!</v>
      </c>
      <c r="V4" s="169" t="e">
        <f>SUMIFS(#REF!,#REF!,$B4,#REF!,V$1)</f>
        <v>#REF!</v>
      </c>
      <c r="W4" s="169" t="e">
        <f>SUMIFS(#REF!,#REF!,$B4,#REF!,W$1)</f>
        <v>#REF!</v>
      </c>
      <c r="X4" s="169" t="e">
        <f>SUMIFS(#REF!,#REF!,$B4,#REF!,X$1)</f>
        <v>#REF!</v>
      </c>
      <c r="Y4" s="169" t="e">
        <f>SUMIFS(#REF!,#REF!,$B4,#REF!,Y$1)</f>
        <v>#REF!</v>
      </c>
      <c r="Z4" s="169" t="e">
        <f>SUMIFS(#REF!,#REF!,$B4,#REF!,Z$1)</f>
        <v>#REF!</v>
      </c>
      <c r="AA4" s="169" t="e">
        <f>SUMIFS(#REF!,#REF!,$B4,#REF!,AA$1)</f>
        <v>#REF!</v>
      </c>
      <c r="AB4" s="169" t="e">
        <f>SUMIFS(#REF!,#REF!,$B4,#REF!,AB$1)</f>
        <v>#REF!</v>
      </c>
      <c r="AC4" s="169" t="e">
        <f>SUMIFS(#REF!,#REF!,$B4,#REF!,AC$1)</f>
        <v>#REF!</v>
      </c>
      <c r="AD4" s="169" t="e">
        <f>SUMIFS(#REF!,#REF!,$B4,#REF!,AD$1)</f>
        <v>#REF!</v>
      </c>
      <c r="AE4" s="169" t="e">
        <f>SUMIFS(#REF!,#REF!,$B4,#REF!,AE$1)</f>
        <v>#REF!</v>
      </c>
      <c r="AF4" s="169" t="e">
        <f>SUMIFS(#REF!,#REF!,$B4,#REF!,AF$1)</f>
        <v>#REF!</v>
      </c>
      <c r="AG4" s="169" t="e">
        <f>SUMIFS(#REF!,#REF!,$B4,#REF!,AG$1)</f>
        <v>#REF!</v>
      </c>
      <c r="AH4" s="169" t="e">
        <f>SUMIFS(#REF!,#REF!,$B4,#REF!,AH$1)</f>
        <v>#REF!</v>
      </c>
      <c r="AI4" s="170" t="e">
        <f t="shared" si="0"/>
        <v>#REF!</v>
      </c>
    </row>
    <row r="5" spans="2:35" ht="15.75" x14ac:dyDescent="0.25">
      <c r="B5" s="167" t="s">
        <v>165</v>
      </c>
      <c r="C5" s="168">
        <v>25</v>
      </c>
      <c r="D5" s="169" t="e">
        <f>SUMIFS(#REF!,#REF!,$B5,#REF!,D$1)</f>
        <v>#REF!</v>
      </c>
      <c r="E5" s="169" t="e">
        <f>SUMIFS(#REF!,#REF!,$B5,#REF!,E$1)</f>
        <v>#REF!</v>
      </c>
      <c r="F5" s="169" t="e">
        <f>SUMIFS(#REF!,#REF!,$B5,#REF!,F$1)</f>
        <v>#REF!</v>
      </c>
      <c r="G5" s="169" t="e">
        <f>SUMIFS(#REF!,#REF!,$B5,#REF!,G$1)</f>
        <v>#REF!</v>
      </c>
      <c r="H5" s="169" t="e">
        <f>SUMIFS(#REF!,#REF!,$B5,#REF!,H$1)</f>
        <v>#REF!</v>
      </c>
      <c r="I5" s="169" t="e">
        <f>SUMIFS(#REF!,#REF!,$B5,#REF!,I$1)</f>
        <v>#REF!</v>
      </c>
      <c r="J5" s="169" t="e">
        <f>SUMIFS(#REF!,#REF!,$B5,#REF!,J$1)</f>
        <v>#REF!</v>
      </c>
      <c r="K5" s="169" t="e">
        <f>SUMIFS(#REF!,#REF!,$B5,#REF!,K$1)</f>
        <v>#REF!</v>
      </c>
      <c r="L5" s="169" t="e">
        <f>SUMIFS(#REF!,#REF!,$B5,#REF!,L$1)</f>
        <v>#REF!</v>
      </c>
      <c r="M5" s="169" t="e">
        <f>SUMIFS(#REF!,#REF!,$B5,#REF!,M$1)</f>
        <v>#REF!</v>
      </c>
      <c r="N5" s="169" t="e">
        <f>SUMIFS(#REF!,#REF!,$B5,#REF!,N$1)</f>
        <v>#REF!</v>
      </c>
      <c r="O5" s="169" t="e">
        <f>SUMIFS(#REF!,#REF!,$B5,#REF!,O$1)</f>
        <v>#REF!</v>
      </c>
      <c r="P5" s="169" t="e">
        <f>SUMIFS(#REF!,#REF!,$B5,#REF!,P$1)</f>
        <v>#REF!</v>
      </c>
      <c r="Q5" s="169" t="e">
        <f>SUMIFS(#REF!,#REF!,$B5,#REF!,Q$1)</f>
        <v>#REF!</v>
      </c>
      <c r="R5" s="169" t="e">
        <f>SUMIFS(#REF!,#REF!,$B5,#REF!,R$1)</f>
        <v>#REF!</v>
      </c>
      <c r="S5" s="169" t="e">
        <f>SUMIFS(#REF!,#REF!,$B5,#REF!,S$1)</f>
        <v>#REF!</v>
      </c>
      <c r="T5" s="169" t="e">
        <f>SUMIFS(#REF!,#REF!,$B5,#REF!,T$1)</f>
        <v>#REF!</v>
      </c>
      <c r="U5" s="169" t="e">
        <f>SUMIFS(#REF!,#REF!,$B5,#REF!,U$1)</f>
        <v>#REF!</v>
      </c>
      <c r="V5" s="169" t="e">
        <f>SUMIFS(#REF!,#REF!,$B5,#REF!,V$1)</f>
        <v>#REF!</v>
      </c>
      <c r="W5" s="169" t="e">
        <f>SUMIFS(#REF!,#REF!,$B5,#REF!,W$1)</f>
        <v>#REF!</v>
      </c>
      <c r="X5" s="169" t="e">
        <f>SUMIFS(#REF!,#REF!,$B5,#REF!,X$1)</f>
        <v>#REF!</v>
      </c>
      <c r="Y5" s="169" t="e">
        <f>SUMIFS(#REF!,#REF!,$B5,#REF!,Y$1)</f>
        <v>#REF!</v>
      </c>
      <c r="Z5" s="169" t="e">
        <f>SUMIFS(#REF!,#REF!,$B5,#REF!,Z$1)</f>
        <v>#REF!</v>
      </c>
      <c r="AA5" s="169" t="e">
        <f>SUMIFS(#REF!,#REF!,$B5,#REF!,AA$1)</f>
        <v>#REF!</v>
      </c>
      <c r="AB5" s="169" t="e">
        <f>SUMIFS(#REF!,#REF!,$B5,#REF!,AB$1)</f>
        <v>#REF!</v>
      </c>
      <c r="AC5" s="169" t="e">
        <f>SUMIFS(#REF!,#REF!,$B5,#REF!,AC$1)</f>
        <v>#REF!</v>
      </c>
      <c r="AD5" s="169" t="e">
        <f>SUMIFS(#REF!,#REF!,$B5,#REF!,AD$1)</f>
        <v>#REF!</v>
      </c>
      <c r="AE5" s="169" t="e">
        <f>SUMIFS(#REF!,#REF!,$B5,#REF!,AE$1)</f>
        <v>#REF!</v>
      </c>
      <c r="AF5" s="169" t="e">
        <f>SUMIFS(#REF!,#REF!,$B5,#REF!,AF$1)</f>
        <v>#REF!</v>
      </c>
      <c r="AG5" s="169" t="e">
        <f>SUMIFS(#REF!,#REF!,$B5,#REF!,AG$1)</f>
        <v>#REF!</v>
      </c>
      <c r="AH5" s="169" t="e">
        <f>SUMIFS(#REF!,#REF!,$B5,#REF!,AH$1)</f>
        <v>#REF!</v>
      </c>
      <c r="AI5" s="170" t="e">
        <f t="shared" si="0"/>
        <v>#REF!</v>
      </c>
    </row>
    <row r="6" spans="2:35" ht="15.75" x14ac:dyDescent="0.25">
      <c r="B6" s="167" t="s">
        <v>2084</v>
      </c>
      <c r="C6" s="168">
        <v>22.7</v>
      </c>
      <c r="D6" s="169" t="e">
        <f>SUMIFS(#REF!,#REF!,$B6,#REF!,D$1)</f>
        <v>#REF!</v>
      </c>
      <c r="E6" s="169" t="e">
        <f>SUMIFS(#REF!,#REF!,$B6,#REF!,E$1)</f>
        <v>#REF!</v>
      </c>
      <c r="F6" s="169" t="e">
        <f>SUMIFS(#REF!,#REF!,$B6,#REF!,F$1)</f>
        <v>#REF!</v>
      </c>
      <c r="G6" s="169" t="e">
        <f>SUMIFS(#REF!,#REF!,$B6,#REF!,G$1)</f>
        <v>#REF!</v>
      </c>
      <c r="H6" s="169" t="e">
        <f>SUMIFS(#REF!,#REF!,$B6,#REF!,H$1)</f>
        <v>#REF!</v>
      </c>
      <c r="I6" s="169" t="e">
        <f>SUMIFS(#REF!,#REF!,$B6,#REF!,I$1)</f>
        <v>#REF!</v>
      </c>
      <c r="J6" s="169" t="e">
        <f>SUMIFS(#REF!,#REF!,$B6,#REF!,J$1)</f>
        <v>#REF!</v>
      </c>
      <c r="K6" s="169" t="e">
        <f>SUMIFS(#REF!,#REF!,$B6,#REF!,K$1)</f>
        <v>#REF!</v>
      </c>
      <c r="L6" s="169" t="e">
        <f>SUMIFS(#REF!,#REF!,$B6,#REF!,L$1)</f>
        <v>#REF!</v>
      </c>
      <c r="M6" s="169" t="e">
        <f>SUMIFS(#REF!,#REF!,$B6,#REF!,M$1)</f>
        <v>#REF!</v>
      </c>
      <c r="N6" s="169" t="e">
        <f>SUMIFS(#REF!,#REF!,$B6,#REF!,N$1)</f>
        <v>#REF!</v>
      </c>
      <c r="O6" s="169" t="e">
        <f>SUMIFS(#REF!,#REF!,$B6,#REF!,O$1)</f>
        <v>#REF!</v>
      </c>
      <c r="P6" s="169" t="e">
        <f>SUMIFS(#REF!,#REF!,$B6,#REF!,P$1)</f>
        <v>#REF!</v>
      </c>
      <c r="Q6" s="169" t="e">
        <f>SUMIFS(#REF!,#REF!,$B6,#REF!,Q$1)</f>
        <v>#REF!</v>
      </c>
      <c r="R6" s="169" t="e">
        <f>SUMIFS(#REF!,#REF!,$B6,#REF!,R$1)</f>
        <v>#REF!</v>
      </c>
      <c r="S6" s="169" t="e">
        <f>SUMIFS(#REF!,#REF!,$B6,#REF!,S$1)</f>
        <v>#REF!</v>
      </c>
      <c r="T6" s="169" t="e">
        <f>SUMIFS(#REF!,#REF!,$B6,#REF!,T$1)</f>
        <v>#REF!</v>
      </c>
      <c r="U6" s="169" t="e">
        <f>SUMIFS(#REF!,#REF!,$B6,#REF!,U$1)</f>
        <v>#REF!</v>
      </c>
      <c r="V6" s="169" t="e">
        <f>SUMIFS(#REF!,#REF!,$B6,#REF!,V$1)</f>
        <v>#REF!</v>
      </c>
      <c r="W6" s="169" t="e">
        <f>SUMIFS(#REF!,#REF!,$B6,#REF!,W$1)</f>
        <v>#REF!</v>
      </c>
      <c r="X6" s="169" t="e">
        <f>SUMIFS(#REF!,#REF!,$B6,#REF!,X$1)</f>
        <v>#REF!</v>
      </c>
      <c r="Y6" s="169" t="e">
        <f>SUMIFS(#REF!,#REF!,$B6,#REF!,Y$1)</f>
        <v>#REF!</v>
      </c>
      <c r="Z6" s="169" t="e">
        <f>SUMIFS(#REF!,#REF!,$B6,#REF!,Z$1)</f>
        <v>#REF!</v>
      </c>
      <c r="AA6" s="169" t="e">
        <f>SUMIFS(#REF!,#REF!,$B6,#REF!,AA$1)</f>
        <v>#REF!</v>
      </c>
      <c r="AB6" s="169" t="e">
        <f>SUMIFS(#REF!,#REF!,$B6,#REF!,AB$1)</f>
        <v>#REF!</v>
      </c>
      <c r="AC6" s="169" t="e">
        <f>SUMIFS(#REF!,#REF!,$B6,#REF!,AC$1)</f>
        <v>#REF!</v>
      </c>
      <c r="AD6" s="169" t="e">
        <f>SUMIFS(#REF!,#REF!,$B6,#REF!,AD$1)</f>
        <v>#REF!</v>
      </c>
      <c r="AE6" s="169" t="e">
        <f>SUMIFS(#REF!,#REF!,$B6,#REF!,AE$1)</f>
        <v>#REF!</v>
      </c>
      <c r="AF6" s="169" t="e">
        <f>SUMIFS(#REF!,#REF!,$B6,#REF!,AF$1)</f>
        <v>#REF!</v>
      </c>
      <c r="AG6" s="169" t="e">
        <f>SUMIFS(#REF!,#REF!,$B6,#REF!,AG$1)</f>
        <v>#REF!</v>
      </c>
      <c r="AH6" s="169" t="e">
        <f>SUMIFS(#REF!,#REF!,$B6,#REF!,AH$1)</f>
        <v>#REF!</v>
      </c>
      <c r="AI6" s="170" t="e">
        <f t="shared" si="0"/>
        <v>#REF!</v>
      </c>
    </row>
    <row r="7" spans="2:35" ht="15.75" x14ac:dyDescent="0.25">
      <c r="B7" s="167" t="s">
        <v>2087</v>
      </c>
      <c r="C7" s="168">
        <v>22.7</v>
      </c>
      <c r="D7" s="169" t="e">
        <f>SUMIFS(#REF!,#REF!,$B7,#REF!,D$1)</f>
        <v>#REF!</v>
      </c>
      <c r="E7" s="169" t="e">
        <f>SUMIFS(#REF!,#REF!,$B7,#REF!,E$1)</f>
        <v>#REF!</v>
      </c>
      <c r="F7" s="169" t="e">
        <f>SUMIFS(#REF!,#REF!,$B7,#REF!,F$1)</f>
        <v>#REF!</v>
      </c>
      <c r="G7" s="169" t="e">
        <f>SUMIFS(#REF!,#REF!,$B7,#REF!,G$1)</f>
        <v>#REF!</v>
      </c>
      <c r="H7" s="169" t="e">
        <f>SUMIFS(#REF!,#REF!,$B7,#REF!,H$1)</f>
        <v>#REF!</v>
      </c>
      <c r="I7" s="169" t="e">
        <f>SUMIFS(#REF!,#REF!,$B7,#REF!,I$1)</f>
        <v>#REF!</v>
      </c>
      <c r="J7" s="169" t="e">
        <f>SUMIFS(#REF!,#REF!,$B7,#REF!,J$1)</f>
        <v>#REF!</v>
      </c>
      <c r="K7" s="169" t="e">
        <f>SUMIFS(#REF!,#REF!,$B7,#REF!,K$1)</f>
        <v>#REF!</v>
      </c>
      <c r="L7" s="169" t="e">
        <f>SUMIFS(#REF!,#REF!,$B7,#REF!,L$1)</f>
        <v>#REF!</v>
      </c>
      <c r="M7" s="169" t="e">
        <f>SUMIFS(#REF!,#REF!,$B7,#REF!,M$1)</f>
        <v>#REF!</v>
      </c>
      <c r="N7" s="169" t="e">
        <f>SUMIFS(#REF!,#REF!,$B7,#REF!,N$1)</f>
        <v>#REF!</v>
      </c>
      <c r="O7" s="169" t="e">
        <f>SUMIFS(#REF!,#REF!,$B7,#REF!,O$1)</f>
        <v>#REF!</v>
      </c>
      <c r="P7" s="169" t="e">
        <f>SUMIFS(#REF!,#REF!,$B7,#REF!,P$1)</f>
        <v>#REF!</v>
      </c>
      <c r="Q7" s="169" t="e">
        <f>SUMIFS(#REF!,#REF!,$B7,#REF!,Q$1)</f>
        <v>#REF!</v>
      </c>
      <c r="R7" s="169" t="e">
        <f>SUMIFS(#REF!,#REF!,$B7,#REF!,R$1)</f>
        <v>#REF!</v>
      </c>
      <c r="S7" s="169" t="e">
        <f>SUMIFS(#REF!,#REF!,$B7,#REF!,S$1)</f>
        <v>#REF!</v>
      </c>
      <c r="T7" s="169" t="e">
        <f>SUMIFS(#REF!,#REF!,$B7,#REF!,T$1)</f>
        <v>#REF!</v>
      </c>
      <c r="U7" s="169" t="e">
        <f>SUMIFS(#REF!,#REF!,$B7,#REF!,U$1)</f>
        <v>#REF!</v>
      </c>
      <c r="V7" s="169" t="e">
        <f>SUMIFS(#REF!,#REF!,$B7,#REF!,V$1)</f>
        <v>#REF!</v>
      </c>
      <c r="W7" s="169" t="e">
        <f>SUMIFS(#REF!,#REF!,$B7,#REF!,W$1)</f>
        <v>#REF!</v>
      </c>
      <c r="X7" s="169" t="e">
        <f>SUMIFS(#REF!,#REF!,$B7,#REF!,X$1)</f>
        <v>#REF!</v>
      </c>
      <c r="Y7" s="169" t="e">
        <f>SUMIFS(#REF!,#REF!,$B7,#REF!,Y$1)</f>
        <v>#REF!</v>
      </c>
      <c r="Z7" s="169" t="e">
        <f>SUMIFS(#REF!,#REF!,$B7,#REF!,Z$1)</f>
        <v>#REF!</v>
      </c>
      <c r="AA7" s="169" t="e">
        <f>SUMIFS(#REF!,#REF!,$B7,#REF!,AA$1)</f>
        <v>#REF!</v>
      </c>
      <c r="AB7" s="169" t="e">
        <f>SUMIFS(#REF!,#REF!,$B7,#REF!,AB$1)</f>
        <v>#REF!</v>
      </c>
      <c r="AC7" s="169" t="e">
        <f>SUMIFS(#REF!,#REF!,$B7,#REF!,AC$1)</f>
        <v>#REF!</v>
      </c>
      <c r="AD7" s="169" t="e">
        <f>SUMIFS(#REF!,#REF!,$B7,#REF!,AD$1)</f>
        <v>#REF!</v>
      </c>
      <c r="AE7" s="169" t="e">
        <f>SUMIFS(#REF!,#REF!,$B7,#REF!,AE$1)</f>
        <v>#REF!</v>
      </c>
      <c r="AF7" s="169" t="e">
        <f>SUMIFS(#REF!,#REF!,$B7,#REF!,AF$1)</f>
        <v>#REF!</v>
      </c>
      <c r="AG7" s="169" t="e">
        <f>SUMIFS(#REF!,#REF!,$B7,#REF!,AG$1)</f>
        <v>#REF!</v>
      </c>
      <c r="AH7" s="169" t="e">
        <f>SUMIFS(#REF!,#REF!,$B7,#REF!,AH$1)</f>
        <v>#REF!</v>
      </c>
      <c r="AI7" s="170" t="e">
        <f t="shared" si="0"/>
        <v>#REF!</v>
      </c>
    </row>
    <row r="8" spans="2:35" ht="15.75" x14ac:dyDescent="0.25">
      <c r="B8" s="171" t="s">
        <v>176</v>
      </c>
      <c r="C8" s="168">
        <v>22.7</v>
      </c>
      <c r="D8" s="169" t="e">
        <f>SUMIFS(#REF!,#REF!,$B8,#REF!,D$1)</f>
        <v>#REF!</v>
      </c>
      <c r="E8" s="169" t="e">
        <f>SUMIFS(#REF!,#REF!,$B8,#REF!,E$1)</f>
        <v>#REF!</v>
      </c>
      <c r="F8" s="169" t="e">
        <f>SUMIFS(#REF!,#REF!,$B8,#REF!,F$1)</f>
        <v>#REF!</v>
      </c>
      <c r="G8" s="169" t="e">
        <f>SUMIFS(#REF!,#REF!,$B8,#REF!,G$1)</f>
        <v>#REF!</v>
      </c>
      <c r="H8" s="169" t="e">
        <f>SUMIFS(#REF!,#REF!,$B8,#REF!,H$1)</f>
        <v>#REF!</v>
      </c>
      <c r="I8" s="169" t="e">
        <f>SUMIFS(#REF!,#REF!,$B8,#REF!,I$1)</f>
        <v>#REF!</v>
      </c>
      <c r="J8" s="169" t="e">
        <f>SUMIFS(#REF!,#REF!,$B8,#REF!,J$1)</f>
        <v>#REF!</v>
      </c>
      <c r="K8" s="169" t="e">
        <f>SUMIFS(#REF!,#REF!,$B8,#REF!,K$1)</f>
        <v>#REF!</v>
      </c>
      <c r="L8" s="169" t="e">
        <f>SUMIFS(#REF!,#REF!,$B8,#REF!,L$1)</f>
        <v>#REF!</v>
      </c>
      <c r="M8" s="169" t="e">
        <f>SUMIFS(#REF!,#REF!,$B8,#REF!,M$1)</f>
        <v>#REF!</v>
      </c>
      <c r="N8" s="169" t="e">
        <f>SUMIFS(#REF!,#REF!,$B8,#REF!,N$1)</f>
        <v>#REF!</v>
      </c>
      <c r="O8" s="169" t="e">
        <f>SUMIFS(#REF!,#REF!,$B8,#REF!,O$1)</f>
        <v>#REF!</v>
      </c>
      <c r="P8" s="169" t="e">
        <f>SUMIFS(#REF!,#REF!,$B8,#REF!,P$1)</f>
        <v>#REF!</v>
      </c>
      <c r="Q8" s="169" t="e">
        <f>SUMIFS(#REF!,#REF!,$B8,#REF!,Q$1)</f>
        <v>#REF!</v>
      </c>
      <c r="R8" s="169" t="e">
        <f>SUMIFS(#REF!,#REF!,$B8,#REF!,R$1)</f>
        <v>#REF!</v>
      </c>
      <c r="S8" s="169" t="e">
        <f>SUMIFS(#REF!,#REF!,$B8,#REF!,S$1)</f>
        <v>#REF!</v>
      </c>
      <c r="T8" s="169" t="e">
        <f>SUMIFS(#REF!,#REF!,$B8,#REF!,T$1)</f>
        <v>#REF!</v>
      </c>
      <c r="U8" s="169" t="e">
        <f>SUMIFS(#REF!,#REF!,$B8,#REF!,U$1)</f>
        <v>#REF!</v>
      </c>
      <c r="V8" s="169" t="e">
        <f>SUMIFS(#REF!,#REF!,$B8,#REF!,V$1)</f>
        <v>#REF!</v>
      </c>
      <c r="W8" s="169" t="e">
        <f>SUMIFS(#REF!,#REF!,$B8,#REF!,W$1)</f>
        <v>#REF!</v>
      </c>
      <c r="X8" s="169" t="e">
        <f>SUMIFS(#REF!,#REF!,$B8,#REF!,X$1)</f>
        <v>#REF!</v>
      </c>
      <c r="Y8" s="169" t="e">
        <f>SUMIFS(#REF!,#REF!,$B8,#REF!,Y$1)</f>
        <v>#REF!</v>
      </c>
      <c r="Z8" s="169" t="e">
        <f>SUMIFS(#REF!,#REF!,$B8,#REF!,Z$1)</f>
        <v>#REF!</v>
      </c>
      <c r="AA8" s="169" t="e">
        <f>SUMIFS(#REF!,#REF!,$B8,#REF!,AA$1)</f>
        <v>#REF!</v>
      </c>
      <c r="AB8" s="169" t="e">
        <f>SUMIFS(#REF!,#REF!,$B8,#REF!,AB$1)</f>
        <v>#REF!</v>
      </c>
      <c r="AC8" s="169" t="e">
        <f>SUMIFS(#REF!,#REF!,$B8,#REF!,AC$1)</f>
        <v>#REF!</v>
      </c>
      <c r="AD8" s="169" t="e">
        <f>SUMIFS(#REF!,#REF!,$B8,#REF!,AD$1)</f>
        <v>#REF!</v>
      </c>
      <c r="AE8" s="169" t="e">
        <f>SUMIFS(#REF!,#REF!,$B8,#REF!,AE$1)</f>
        <v>#REF!</v>
      </c>
      <c r="AF8" s="169" t="e">
        <f>SUMIFS(#REF!,#REF!,$B8,#REF!,AF$1)</f>
        <v>#REF!</v>
      </c>
      <c r="AG8" s="169" t="e">
        <f>SUMIFS(#REF!,#REF!,$B8,#REF!,AG$1)</f>
        <v>#REF!</v>
      </c>
      <c r="AH8" s="169" t="e">
        <f>SUMIFS(#REF!,#REF!,$B8,#REF!,AH$1)</f>
        <v>#REF!</v>
      </c>
      <c r="AI8" s="170" t="e">
        <f t="shared" si="0"/>
        <v>#REF!</v>
      </c>
    </row>
    <row r="9" spans="2:35" ht="15.75" x14ac:dyDescent="0.25">
      <c r="B9" s="167" t="s">
        <v>2053</v>
      </c>
      <c r="C9" s="168">
        <v>25</v>
      </c>
      <c r="D9" s="169" t="e">
        <f>SUMIFS(#REF!,#REF!,$B9,#REF!,D$1)</f>
        <v>#REF!</v>
      </c>
      <c r="E9" s="169" t="e">
        <f>SUMIFS(#REF!,#REF!,$B9,#REF!,E$1)</f>
        <v>#REF!</v>
      </c>
      <c r="F9" s="169" t="e">
        <f>SUMIFS(#REF!,#REF!,$B9,#REF!,F$1)</f>
        <v>#REF!</v>
      </c>
      <c r="G9" s="169" t="e">
        <f>SUMIFS(#REF!,#REF!,$B9,#REF!,G$1)</f>
        <v>#REF!</v>
      </c>
      <c r="H9" s="169" t="e">
        <f>SUMIFS(#REF!,#REF!,$B9,#REF!,H$1)</f>
        <v>#REF!</v>
      </c>
      <c r="I9" s="169" t="e">
        <f>SUMIFS(#REF!,#REF!,$B9,#REF!,I$1)</f>
        <v>#REF!</v>
      </c>
      <c r="J9" s="169" t="e">
        <f>SUMIFS(#REF!,#REF!,$B9,#REF!,J$1)</f>
        <v>#REF!</v>
      </c>
      <c r="K9" s="169" t="e">
        <f>SUMIFS(#REF!,#REF!,$B9,#REF!,K$1)</f>
        <v>#REF!</v>
      </c>
      <c r="L9" s="169" t="e">
        <f>SUMIFS(#REF!,#REF!,$B9,#REF!,L$1)</f>
        <v>#REF!</v>
      </c>
      <c r="M9" s="169" t="e">
        <f>SUMIFS(#REF!,#REF!,$B9,#REF!,M$1)</f>
        <v>#REF!</v>
      </c>
      <c r="N9" s="169" t="e">
        <f>SUMIFS(#REF!,#REF!,$B9,#REF!,N$1)</f>
        <v>#REF!</v>
      </c>
      <c r="O9" s="169" t="e">
        <f>SUMIFS(#REF!,#REF!,$B9,#REF!,O$1)</f>
        <v>#REF!</v>
      </c>
      <c r="P9" s="169" t="e">
        <f>SUMIFS(#REF!,#REF!,$B9,#REF!,P$1)</f>
        <v>#REF!</v>
      </c>
      <c r="Q9" s="169" t="e">
        <f>SUMIFS(#REF!,#REF!,$B9,#REF!,Q$1)</f>
        <v>#REF!</v>
      </c>
      <c r="R9" s="169" t="e">
        <f>SUMIFS(#REF!,#REF!,$B9,#REF!,R$1)</f>
        <v>#REF!</v>
      </c>
      <c r="S9" s="169" t="e">
        <f>SUMIFS(#REF!,#REF!,$B9,#REF!,S$1)</f>
        <v>#REF!</v>
      </c>
      <c r="T9" s="169" t="e">
        <f>SUMIFS(#REF!,#REF!,$B9,#REF!,T$1)</f>
        <v>#REF!</v>
      </c>
      <c r="U9" s="169" t="e">
        <f>SUMIFS(#REF!,#REF!,$B9,#REF!,U$1)</f>
        <v>#REF!</v>
      </c>
      <c r="V9" s="169" t="e">
        <f>SUMIFS(#REF!,#REF!,$B9,#REF!,V$1)</f>
        <v>#REF!</v>
      </c>
      <c r="W9" s="169" t="e">
        <f>SUMIFS(#REF!,#REF!,$B9,#REF!,W$1)</f>
        <v>#REF!</v>
      </c>
      <c r="X9" s="169" t="e">
        <f>SUMIFS(#REF!,#REF!,$B9,#REF!,X$1)</f>
        <v>#REF!</v>
      </c>
      <c r="Y9" s="169" t="e">
        <f>SUMIFS(#REF!,#REF!,$B9,#REF!,Y$1)</f>
        <v>#REF!</v>
      </c>
      <c r="Z9" s="169" t="e">
        <f>SUMIFS(#REF!,#REF!,$B9,#REF!,Z$1)</f>
        <v>#REF!</v>
      </c>
      <c r="AA9" s="169" t="e">
        <f>SUMIFS(#REF!,#REF!,$B9,#REF!,AA$1)</f>
        <v>#REF!</v>
      </c>
      <c r="AB9" s="169" t="e">
        <f>SUMIFS(#REF!,#REF!,$B9,#REF!,AB$1)</f>
        <v>#REF!</v>
      </c>
      <c r="AC9" s="169" t="e">
        <f>SUMIFS(#REF!,#REF!,$B9,#REF!,AC$1)</f>
        <v>#REF!</v>
      </c>
      <c r="AD9" s="169" t="e">
        <f>SUMIFS(#REF!,#REF!,$B9,#REF!,AD$1)</f>
        <v>#REF!</v>
      </c>
      <c r="AE9" s="169" t="e">
        <f>SUMIFS(#REF!,#REF!,$B9,#REF!,AE$1)</f>
        <v>#REF!</v>
      </c>
      <c r="AF9" s="169" t="e">
        <f>SUMIFS(#REF!,#REF!,$B9,#REF!,AF$1)</f>
        <v>#REF!</v>
      </c>
      <c r="AG9" s="169" t="e">
        <f>SUMIFS(#REF!,#REF!,$B9,#REF!,AG$1)</f>
        <v>#REF!</v>
      </c>
      <c r="AH9" s="169" t="e">
        <f>SUMIFS(#REF!,#REF!,$B9,#REF!,AH$1)</f>
        <v>#REF!</v>
      </c>
      <c r="AI9" s="170" t="e">
        <f t="shared" si="0"/>
        <v>#REF!</v>
      </c>
    </row>
    <row r="10" spans="2:35" ht="15.75" x14ac:dyDescent="0.25">
      <c r="B10" s="172" t="s">
        <v>2094</v>
      </c>
      <c r="C10" s="173">
        <v>22.7</v>
      </c>
      <c r="D10" s="174" t="e">
        <f>SUMIFS(#REF!,#REF!,$B10,#REF!,D$1)</f>
        <v>#REF!</v>
      </c>
      <c r="E10" s="174" t="e">
        <f>SUMIFS(#REF!,#REF!,$B10,#REF!,E$1)</f>
        <v>#REF!</v>
      </c>
      <c r="F10" s="174" t="e">
        <f>SUMIFS(#REF!,#REF!,$B10,#REF!,F$1)</f>
        <v>#REF!</v>
      </c>
      <c r="G10" s="174" t="e">
        <f>SUMIFS(#REF!,#REF!,$B10,#REF!,G$1)</f>
        <v>#REF!</v>
      </c>
      <c r="H10" s="174" t="e">
        <f>SUMIFS(#REF!,#REF!,$B10,#REF!,H$1)</f>
        <v>#REF!</v>
      </c>
      <c r="I10" s="174" t="e">
        <f>SUMIFS(#REF!,#REF!,$B10,#REF!,I$1)</f>
        <v>#REF!</v>
      </c>
      <c r="J10" s="174" t="e">
        <f>SUMIFS(#REF!,#REF!,$B10,#REF!,J$1)</f>
        <v>#REF!</v>
      </c>
      <c r="K10" s="174" t="e">
        <f>SUMIFS(#REF!,#REF!,$B10,#REF!,K$1)</f>
        <v>#REF!</v>
      </c>
      <c r="L10" s="174" t="e">
        <f>SUMIFS(#REF!,#REF!,$B10,#REF!,L$1)</f>
        <v>#REF!</v>
      </c>
      <c r="M10" s="174" t="e">
        <f>SUMIFS(#REF!,#REF!,$B10,#REF!,M$1)</f>
        <v>#REF!</v>
      </c>
      <c r="N10" s="174" t="e">
        <f>SUMIFS(#REF!,#REF!,$B10,#REF!,N$1)</f>
        <v>#REF!</v>
      </c>
      <c r="O10" s="174" t="e">
        <f>SUMIFS(#REF!,#REF!,$B10,#REF!,O$1)</f>
        <v>#REF!</v>
      </c>
      <c r="P10" s="174" t="e">
        <f>SUMIFS(#REF!,#REF!,$B10,#REF!,P$1)</f>
        <v>#REF!</v>
      </c>
      <c r="Q10" s="174" t="e">
        <f>SUMIFS(#REF!,#REF!,$B10,#REF!,Q$1)</f>
        <v>#REF!</v>
      </c>
      <c r="R10" s="174" t="e">
        <f>SUMIFS(#REF!,#REF!,$B10,#REF!,R$1)</f>
        <v>#REF!</v>
      </c>
      <c r="S10" s="174" t="e">
        <f>SUMIFS(#REF!,#REF!,$B10,#REF!,S$1)</f>
        <v>#REF!</v>
      </c>
      <c r="T10" s="174" t="e">
        <f>SUMIFS(#REF!,#REF!,$B10,#REF!,T$1)</f>
        <v>#REF!</v>
      </c>
      <c r="U10" s="174" t="e">
        <f>SUMIFS(#REF!,#REF!,$B10,#REF!,U$1)</f>
        <v>#REF!</v>
      </c>
      <c r="V10" s="174" t="e">
        <f>SUMIFS(#REF!,#REF!,$B10,#REF!,V$1)</f>
        <v>#REF!</v>
      </c>
      <c r="W10" s="174" t="e">
        <f>SUMIFS(#REF!,#REF!,$B10,#REF!,W$1)</f>
        <v>#REF!</v>
      </c>
      <c r="X10" s="174" t="e">
        <f>SUMIFS(#REF!,#REF!,$B10,#REF!,X$1)</f>
        <v>#REF!</v>
      </c>
      <c r="Y10" s="174" t="e">
        <f>SUMIFS(#REF!,#REF!,$B10,#REF!,Y$1)</f>
        <v>#REF!</v>
      </c>
      <c r="Z10" s="174" t="e">
        <f>SUMIFS(#REF!,#REF!,$B10,#REF!,Z$1)</f>
        <v>#REF!</v>
      </c>
      <c r="AA10" s="174" t="e">
        <f>SUMIFS(#REF!,#REF!,$B10,#REF!,AA$1)</f>
        <v>#REF!</v>
      </c>
      <c r="AB10" s="174" t="e">
        <f>SUMIFS(#REF!,#REF!,$B10,#REF!,AB$1)</f>
        <v>#REF!</v>
      </c>
      <c r="AC10" s="174" t="e">
        <f>SUMIFS(#REF!,#REF!,$B10,#REF!,AC$1)</f>
        <v>#REF!</v>
      </c>
      <c r="AD10" s="174" t="e">
        <f>SUMIFS(#REF!,#REF!,$B10,#REF!,AD$1)</f>
        <v>#REF!</v>
      </c>
      <c r="AE10" s="174" t="e">
        <f>SUMIFS(#REF!,#REF!,$B10,#REF!,AE$1)</f>
        <v>#REF!</v>
      </c>
      <c r="AF10" s="174" t="e">
        <f>SUMIFS(#REF!,#REF!,$B10,#REF!,AF$1)</f>
        <v>#REF!</v>
      </c>
      <c r="AG10" s="174" t="e">
        <f>SUMIFS(#REF!,#REF!,$B10,#REF!,AG$1)</f>
        <v>#REF!</v>
      </c>
      <c r="AH10" s="174" t="e">
        <f>SUMIFS(#REF!,#REF!,$B10,#REF!,AH$1)</f>
        <v>#REF!</v>
      </c>
      <c r="AI10" s="175" t="e">
        <f t="shared" si="0"/>
        <v>#REF!</v>
      </c>
    </row>
    <row r="11" spans="2:35" x14ac:dyDescent="0.25"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</row>
    <row r="12" spans="2:35" ht="15.75" x14ac:dyDescent="0.25">
      <c r="B12" s="177" t="s">
        <v>684</v>
      </c>
      <c r="C12" s="178">
        <v>20</v>
      </c>
      <c r="D12" s="165" t="e">
        <f>SUMIFS(#REF!,#REF!,$B12,#REF!,D$1)</f>
        <v>#REF!</v>
      </c>
      <c r="E12" s="165" t="e">
        <f>SUMIFS(#REF!,#REF!,$B12,#REF!,E$1)</f>
        <v>#REF!</v>
      </c>
      <c r="F12" s="165" t="e">
        <f>SUMIFS(#REF!,#REF!,$B12,#REF!,F$1)</f>
        <v>#REF!</v>
      </c>
      <c r="G12" s="165" t="e">
        <f>SUMIFS(#REF!,#REF!,$B12,#REF!,G$1)</f>
        <v>#REF!</v>
      </c>
      <c r="H12" s="165" t="e">
        <f>SUMIFS(#REF!,#REF!,$B12,#REF!,H$1)</f>
        <v>#REF!</v>
      </c>
      <c r="I12" s="165" t="e">
        <f>SUMIFS(#REF!,#REF!,$B12,#REF!,I$1)</f>
        <v>#REF!</v>
      </c>
      <c r="J12" s="165" t="e">
        <f>SUMIFS(#REF!,#REF!,$B12,#REF!,J$1)</f>
        <v>#REF!</v>
      </c>
      <c r="K12" s="165" t="e">
        <f>SUMIFS(#REF!,#REF!,$B12,#REF!,K$1)</f>
        <v>#REF!</v>
      </c>
      <c r="L12" s="165" t="e">
        <f>SUMIFS(#REF!,#REF!,$B12,#REF!,L$1)</f>
        <v>#REF!</v>
      </c>
      <c r="M12" s="165" t="e">
        <f>SUMIFS(#REF!,#REF!,$B12,#REF!,M$1)</f>
        <v>#REF!</v>
      </c>
      <c r="N12" s="165" t="e">
        <f>SUMIFS(#REF!,#REF!,$B12,#REF!,N$1)</f>
        <v>#REF!</v>
      </c>
      <c r="O12" s="165" t="e">
        <f>SUMIFS(#REF!,#REF!,$B12,#REF!,O$1)</f>
        <v>#REF!</v>
      </c>
      <c r="P12" s="165" t="e">
        <f>SUMIFS(#REF!,#REF!,$B12,#REF!,P$1)</f>
        <v>#REF!</v>
      </c>
      <c r="Q12" s="165" t="e">
        <f>SUMIFS(#REF!,#REF!,$B12,#REF!,Q$1)</f>
        <v>#REF!</v>
      </c>
      <c r="R12" s="165" t="e">
        <f>SUMIFS(#REF!,#REF!,$B12,#REF!,R$1)</f>
        <v>#REF!</v>
      </c>
      <c r="S12" s="165" t="e">
        <f>SUMIFS(#REF!,#REF!,$B12,#REF!,S$1)</f>
        <v>#REF!</v>
      </c>
      <c r="T12" s="165" t="e">
        <f>SUMIFS(#REF!,#REF!,$B12,#REF!,T$1)</f>
        <v>#REF!</v>
      </c>
      <c r="U12" s="165" t="e">
        <f>SUMIFS(#REF!,#REF!,$B12,#REF!,U$1)</f>
        <v>#REF!</v>
      </c>
      <c r="V12" s="165" t="e">
        <f>SUMIFS(#REF!,#REF!,$B12,#REF!,V$1)</f>
        <v>#REF!</v>
      </c>
      <c r="W12" s="165" t="e">
        <f>SUMIFS(#REF!,#REF!,$B12,#REF!,W$1)</f>
        <v>#REF!</v>
      </c>
      <c r="X12" s="165" t="e">
        <f>SUMIFS(#REF!,#REF!,$B12,#REF!,X$1)</f>
        <v>#REF!</v>
      </c>
      <c r="Y12" s="165" t="e">
        <f>SUMIFS(#REF!,#REF!,$B12,#REF!,Y$1)</f>
        <v>#REF!</v>
      </c>
      <c r="Z12" s="165" t="e">
        <f>SUMIFS(#REF!,#REF!,$B12,#REF!,Z$1)</f>
        <v>#REF!</v>
      </c>
      <c r="AA12" s="165" t="e">
        <f>SUMIFS(#REF!,#REF!,$B12,#REF!,AA$1)</f>
        <v>#REF!</v>
      </c>
      <c r="AB12" s="165" t="e">
        <f>SUMIFS(#REF!,#REF!,$B12,#REF!,AB$1)</f>
        <v>#REF!</v>
      </c>
      <c r="AC12" s="165" t="e">
        <f>SUMIFS(#REF!,#REF!,$B12,#REF!,AC$1)</f>
        <v>#REF!</v>
      </c>
      <c r="AD12" s="165" t="e">
        <f>SUMIFS(#REF!,#REF!,$B12,#REF!,AD$1)</f>
        <v>#REF!</v>
      </c>
      <c r="AE12" s="165" t="e">
        <f>SUMIFS(#REF!,#REF!,$B12,#REF!,AE$1)</f>
        <v>#REF!</v>
      </c>
      <c r="AF12" s="165" t="e">
        <f>SUMIFS(#REF!,#REF!,$B12,#REF!,AF$1)</f>
        <v>#REF!</v>
      </c>
      <c r="AG12" s="165" t="e">
        <f>SUMIFS(#REF!,#REF!,$B12,#REF!,AG$1)</f>
        <v>#REF!</v>
      </c>
      <c r="AH12" s="165" t="e">
        <f>SUMIFS(#REF!,#REF!,$B12,#REF!,AH$1)</f>
        <v>#REF!</v>
      </c>
      <c r="AI12" s="179" t="e">
        <f t="shared" ref="AI12:AI26" si="1">SUM(D12:AH12)</f>
        <v>#REF!</v>
      </c>
    </row>
    <row r="13" spans="2:35" ht="15.75" x14ac:dyDescent="0.25">
      <c r="B13" s="180" t="s">
        <v>1062</v>
      </c>
      <c r="C13" s="181">
        <v>20</v>
      </c>
      <c r="D13" s="169" t="e">
        <f>SUMIFS(#REF!,#REF!,$B13,#REF!,D$1)</f>
        <v>#REF!</v>
      </c>
      <c r="E13" s="169" t="e">
        <f>SUMIFS(#REF!,#REF!,$B13,#REF!,E$1)</f>
        <v>#REF!</v>
      </c>
      <c r="F13" s="169" t="e">
        <f>SUMIFS(#REF!,#REF!,$B13,#REF!,F$1)</f>
        <v>#REF!</v>
      </c>
      <c r="G13" s="169" t="e">
        <f>SUMIFS(#REF!,#REF!,$B13,#REF!,G$1)</f>
        <v>#REF!</v>
      </c>
      <c r="H13" s="169" t="e">
        <f>SUMIFS(#REF!,#REF!,$B13,#REF!,H$1)</f>
        <v>#REF!</v>
      </c>
      <c r="I13" s="169" t="e">
        <f>SUMIFS(#REF!,#REF!,$B13,#REF!,I$1)</f>
        <v>#REF!</v>
      </c>
      <c r="J13" s="169" t="e">
        <f>SUMIFS(#REF!,#REF!,$B13,#REF!,J$1)</f>
        <v>#REF!</v>
      </c>
      <c r="K13" s="169" t="e">
        <f>SUMIFS(#REF!,#REF!,$B13,#REF!,K$1)</f>
        <v>#REF!</v>
      </c>
      <c r="L13" s="169" t="e">
        <f>SUMIFS(#REF!,#REF!,$B13,#REF!,L$1)</f>
        <v>#REF!</v>
      </c>
      <c r="M13" s="169" t="e">
        <f>SUMIFS(#REF!,#REF!,$B13,#REF!,M$1)</f>
        <v>#REF!</v>
      </c>
      <c r="N13" s="169" t="e">
        <f>SUMIFS(#REF!,#REF!,$B13,#REF!,N$1)</f>
        <v>#REF!</v>
      </c>
      <c r="O13" s="169" t="e">
        <f>SUMIFS(#REF!,#REF!,$B13,#REF!,O$1)</f>
        <v>#REF!</v>
      </c>
      <c r="P13" s="169" t="e">
        <f>SUMIFS(#REF!,#REF!,$B13,#REF!,P$1)</f>
        <v>#REF!</v>
      </c>
      <c r="Q13" s="169" t="e">
        <f>SUMIFS(#REF!,#REF!,$B13,#REF!,Q$1)</f>
        <v>#REF!</v>
      </c>
      <c r="R13" s="169" t="e">
        <f>SUMIFS(#REF!,#REF!,$B13,#REF!,R$1)</f>
        <v>#REF!</v>
      </c>
      <c r="S13" s="169" t="e">
        <f>SUMIFS(#REF!,#REF!,$B13,#REF!,S$1)</f>
        <v>#REF!</v>
      </c>
      <c r="T13" s="169" t="e">
        <f>SUMIFS(#REF!,#REF!,$B13,#REF!,T$1)</f>
        <v>#REF!</v>
      </c>
      <c r="U13" s="169" t="e">
        <f>SUMIFS(#REF!,#REF!,$B13,#REF!,U$1)</f>
        <v>#REF!</v>
      </c>
      <c r="V13" s="169" t="e">
        <f>SUMIFS(#REF!,#REF!,$B13,#REF!,V$1)</f>
        <v>#REF!</v>
      </c>
      <c r="W13" s="169" t="e">
        <f>SUMIFS(#REF!,#REF!,$B13,#REF!,W$1)</f>
        <v>#REF!</v>
      </c>
      <c r="X13" s="169" t="e">
        <f>SUMIFS(#REF!,#REF!,$B13,#REF!,X$1)</f>
        <v>#REF!</v>
      </c>
      <c r="Y13" s="169" t="e">
        <f>SUMIFS(#REF!,#REF!,$B13,#REF!,Y$1)</f>
        <v>#REF!</v>
      </c>
      <c r="Z13" s="169" t="e">
        <f>SUMIFS(#REF!,#REF!,$B13,#REF!,Z$1)</f>
        <v>#REF!</v>
      </c>
      <c r="AA13" s="169" t="e">
        <f>SUMIFS(#REF!,#REF!,$B13,#REF!,AA$1)</f>
        <v>#REF!</v>
      </c>
      <c r="AB13" s="169" t="e">
        <f>SUMIFS(#REF!,#REF!,$B13,#REF!,AB$1)</f>
        <v>#REF!</v>
      </c>
      <c r="AC13" s="169" t="e">
        <f>SUMIFS(#REF!,#REF!,$B13,#REF!,AC$1)</f>
        <v>#REF!</v>
      </c>
      <c r="AD13" s="169" t="e">
        <f>SUMIFS(#REF!,#REF!,$B13,#REF!,AD$1)</f>
        <v>#REF!</v>
      </c>
      <c r="AE13" s="169" t="e">
        <f>SUMIFS(#REF!,#REF!,$B13,#REF!,AE$1)</f>
        <v>#REF!</v>
      </c>
      <c r="AF13" s="169" t="e">
        <f>SUMIFS(#REF!,#REF!,$B13,#REF!,AF$1)</f>
        <v>#REF!</v>
      </c>
      <c r="AG13" s="169" t="e">
        <f>SUMIFS(#REF!,#REF!,$B13,#REF!,AG$1)</f>
        <v>#REF!</v>
      </c>
      <c r="AH13" s="169" t="e">
        <f>SUMIFS(#REF!,#REF!,$B13,#REF!,AH$1)</f>
        <v>#REF!</v>
      </c>
      <c r="AI13" s="182" t="e">
        <f t="shared" si="1"/>
        <v>#REF!</v>
      </c>
    </row>
    <row r="14" spans="2:35" ht="15.75" x14ac:dyDescent="0.25">
      <c r="B14" s="183" t="s">
        <v>2202</v>
      </c>
      <c r="C14" s="181">
        <v>20</v>
      </c>
      <c r="D14" s="169" t="e">
        <f>SUMIFS(#REF!,#REF!,$B14,#REF!,D$1)</f>
        <v>#REF!</v>
      </c>
      <c r="E14" s="169" t="e">
        <f>SUMIFS(#REF!,#REF!,$B14,#REF!,E$1)</f>
        <v>#REF!</v>
      </c>
      <c r="F14" s="169" t="e">
        <f>SUMIFS(#REF!,#REF!,$B14,#REF!,F$1)</f>
        <v>#REF!</v>
      </c>
      <c r="G14" s="169" t="e">
        <f>SUMIFS(#REF!,#REF!,$B14,#REF!,G$1)</f>
        <v>#REF!</v>
      </c>
      <c r="H14" s="169" t="e">
        <f>SUMIFS(#REF!,#REF!,$B14,#REF!,H$1)</f>
        <v>#REF!</v>
      </c>
      <c r="I14" s="169" t="e">
        <f>SUMIFS(#REF!,#REF!,$B14,#REF!,I$1)</f>
        <v>#REF!</v>
      </c>
      <c r="J14" s="169" t="e">
        <f>SUMIFS(#REF!,#REF!,$B14,#REF!,J$1)</f>
        <v>#REF!</v>
      </c>
      <c r="K14" s="169" t="e">
        <f>SUMIFS(#REF!,#REF!,$B14,#REF!,K$1)</f>
        <v>#REF!</v>
      </c>
      <c r="L14" s="169" t="e">
        <f>SUMIFS(#REF!,#REF!,$B14,#REF!,L$1)</f>
        <v>#REF!</v>
      </c>
      <c r="M14" s="169" t="e">
        <f>SUMIFS(#REF!,#REF!,$B14,#REF!,M$1)</f>
        <v>#REF!</v>
      </c>
      <c r="N14" s="169" t="e">
        <f>SUMIFS(#REF!,#REF!,$B14,#REF!,N$1)</f>
        <v>#REF!</v>
      </c>
      <c r="O14" s="169" t="e">
        <f>SUMIFS(#REF!,#REF!,$B14,#REF!,O$1)</f>
        <v>#REF!</v>
      </c>
      <c r="P14" s="169" t="e">
        <f>SUMIFS(#REF!,#REF!,$B14,#REF!,P$1)</f>
        <v>#REF!</v>
      </c>
      <c r="Q14" s="169" t="e">
        <f>SUMIFS(#REF!,#REF!,$B14,#REF!,Q$1)</f>
        <v>#REF!</v>
      </c>
      <c r="R14" s="169" t="e">
        <f>SUMIFS(#REF!,#REF!,$B14,#REF!,R$1)</f>
        <v>#REF!</v>
      </c>
      <c r="S14" s="169" t="e">
        <f>SUMIFS(#REF!,#REF!,$B14,#REF!,S$1)</f>
        <v>#REF!</v>
      </c>
      <c r="T14" s="169" t="e">
        <f>SUMIFS(#REF!,#REF!,$B14,#REF!,T$1)</f>
        <v>#REF!</v>
      </c>
      <c r="U14" s="169" t="e">
        <f>SUMIFS(#REF!,#REF!,$B14,#REF!,U$1)</f>
        <v>#REF!</v>
      </c>
      <c r="V14" s="169" t="e">
        <f>SUMIFS(#REF!,#REF!,$B14,#REF!,V$1)</f>
        <v>#REF!</v>
      </c>
      <c r="W14" s="169" t="e">
        <f>SUMIFS(#REF!,#REF!,$B14,#REF!,W$1)</f>
        <v>#REF!</v>
      </c>
      <c r="X14" s="169" t="e">
        <f>SUMIFS(#REF!,#REF!,$B14,#REF!,X$1)</f>
        <v>#REF!</v>
      </c>
      <c r="Y14" s="169" t="e">
        <f>SUMIFS(#REF!,#REF!,$B14,#REF!,Y$1)</f>
        <v>#REF!</v>
      </c>
      <c r="Z14" s="169" t="e">
        <f>SUMIFS(#REF!,#REF!,$B14,#REF!,Z$1)</f>
        <v>#REF!</v>
      </c>
      <c r="AA14" s="169" t="e">
        <f>SUMIFS(#REF!,#REF!,$B14,#REF!,AA$1)</f>
        <v>#REF!</v>
      </c>
      <c r="AB14" s="169" t="e">
        <f>SUMIFS(#REF!,#REF!,$B14,#REF!,AB$1)</f>
        <v>#REF!</v>
      </c>
      <c r="AC14" s="169" t="e">
        <f>SUMIFS(#REF!,#REF!,$B14,#REF!,AC$1)</f>
        <v>#REF!</v>
      </c>
      <c r="AD14" s="169" t="e">
        <f>SUMIFS(#REF!,#REF!,$B14,#REF!,AD$1)</f>
        <v>#REF!</v>
      </c>
      <c r="AE14" s="169" t="e">
        <f>SUMIFS(#REF!,#REF!,$B14,#REF!,AE$1)</f>
        <v>#REF!</v>
      </c>
      <c r="AF14" s="169" t="e">
        <f>SUMIFS(#REF!,#REF!,$B14,#REF!,AF$1)</f>
        <v>#REF!</v>
      </c>
      <c r="AG14" s="169" t="e">
        <f>SUMIFS(#REF!,#REF!,$B14,#REF!,AG$1)</f>
        <v>#REF!</v>
      </c>
      <c r="AH14" s="169" t="e">
        <f>SUMIFS(#REF!,#REF!,$B14,#REF!,AH$1)</f>
        <v>#REF!</v>
      </c>
      <c r="AI14" s="182" t="e">
        <f t="shared" si="1"/>
        <v>#REF!</v>
      </c>
    </row>
    <row r="15" spans="2:35" ht="15.75" x14ac:dyDescent="0.25">
      <c r="B15" s="183" t="s">
        <v>2203</v>
      </c>
      <c r="C15" s="181">
        <v>20</v>
      </c>
      <c r="D15" s="169" t="e">
        <f>SUMIFS(#REF!,#REF!,$B15,#REF!,D$1)</f>
        <v>#REF!</v>
      </c>
      <c r="E15" s="169" t="e">
        <f>SUMIFS(#REF!,#REF!,$B15,#REF!,E$1)</f>
        <v>#REF!</v>
      </c>
      <c r="F15" s="169" t="e">
        <f>SUMIFS(#REF!,#REF!,$B15,#REF!,F$1)</f>
        <v>#REF!</v>
      </c>
      <c r="G15" s="169" t="e">
        <f>SUMIFS(#REF!,#REF!,$B15,#REF!,G$1)</f>
        <v>#REF!</v>
      </c>
      <c r="H15" s="169" t="e">
        <f>SUMIFS(#REF!,#REF!,$B15,#REF!,H$1)</f>
        <v>#REF!</v>
      </c>
      <c r="I15" s="169" t="e">
        <f>SUMIFS(#REF!,#REF!,$B15,#REF!,I$1)</f>
        <v>#REF!</v>
      </c>
      <c r="J15" s="169" t="e">
        <f>SUMIFS(#REF!,#REF!,$B15,#REF!,J$1)</f>
        <v>#REF!</v>
      </c>
      <c r="K15" s="169" t="e">
        <f>SUMIFS(#REF!,#REF!,$B15,#REF!,K$1)</f>
        <v>#REF!</v>
      </c>
      <c r="L15" s="169" t="e">
        <f>SUMIFS(#REF!,#REF!,$B15,#REF!,L$1)</f>
        <v>#REF!</v>
      </c>
      <c r="M15" s="169" t="e">
        <f>SUMIFS(#REF!,#REF!,$B15,#REF!,M$1)</f>
        <v>#REF!</v>
      </c>
      <c r="N15" s="169" t="e">
        <f>SUMIFS(#REF!,#REF!,$B15,#REF!,N$1)</f>
        <v>#REF!</v>
      </c>
      <c r="O15" s="169" t="e">
        <f>SUMIFS(#REF!,#REF!,$B15,#REF!,O$1)</f>
        <v>#REF!</v>
      </c>
      <c r="P15" s="169" t="e">
        <f>SUMIFS(#REF!,#REF!,$B15,#REF!,P$1)</f>
        <v>#REF!</v>
      </c>
      <c r="Q15" s="169" t="e">
        <f>SUMIFS(#REF!,#REF!,$B15,#REF!,Q$1)</f>
        <v>#REF!</v>
      </c>
      <c r="R15" s="169" t="e">
        <f>SUMIFS(#REF!,#REF!,$B15,#REF!,R$1)</f>
        <v>#REF!</v>
      </c>
      <c r="S15" s="169" t="e">
        <f>SUMIFS(#REF!,#REF!,$B15,#REF!,S$1)</f>
        <v>#REF!</v>
      </c>
      <c r="T15" s="169" t="e">
        <f>SUMIFS(#REF!,#REF!,$B15,#REF!,T$1)</f>
        <v>#REF!</v>
      </c>
      <c r="U15" s="169" t="e">
        <f>SUMIFS(#REF!,#REF!,$B15,#REF!,U$1)</f>
        <v>#REF!</v>
      </c>
      <c r="V15" s="169" t="e">
        <f>SUMIFS(#REF!,#REF!,$B15,#REF!,V$1)</f>
        <v>#REF!</v>
      </c>
      <c r="W15" s="169" t="e">
        <f>SUMIFS(#REF!,#REF!,$B15,#REF!,W$1)</f>
        <v>#REF!</v>
      </c>
      <c r="X15" s="169" t="e">
        <f>SUMIFS(#REF!,#REF!,$B15,#REF!,X$1)</f>
        <v>#REF!</v>
      </c>
      <c r="Y15" s="169" t="e">
        <f>SUMIFS(#REF!,#REF!,$B15,#REF!,Y$1)</f>
        <v>#REF!</v>
      </c>
      <c r="Z15" s="169" t="e">
        <f>SUMIFS(#REF!,#REF!,$B15,#REF!,Z$1)</f>
        <v>#REF!</v>
      </c>
      <c r="AA15" s="169" t="e">
        <f>SUMIFS(#REF!,#REF!,$B15,#REF!,AA$1)</f>
        <v>#REF!</v>
      </c>
      <c r="AB15" s="169" t="e">
        <f>SUMIFS(#REF!,#REF!,$B15,#REF!,AB$1)</f>
        <v>#REF!</v>
      </c>
      <c r="AC15" s="169" t="e">
        <f>SUMIFS(#REF!,#REF!,$B15,#REF!,AC$1)</f>
        <v>#REF!</v>
      </c>
      <c r="AD15" s="169" t="e">
        <f>SUMIFS(#REF!,#REF!,$B15,#REF!,AD$1)</f>
        <v>#REF!</v>
      </c>
      <c r="AE15" s="169" t="e">
        <f>SUMIFS(#REF!,#REF!,$B15,#REF!,AE$1)</f>
        <v>#REF!</v>
      </c>
      <c r="AF15" s="169" t="e">
        <f>SUMIFS(#REF!,#REF!,$B15,#REF!,AF$1)</f>
        <v>#REF!</v>
      </c>
      <c r="AG15" s="169" t="e">
        <f>SUMIFS(#REF!,#REF!,$B15,#REF!,AG$1)</f>
        <v>#REF!</v>
      </c>
      <c r="AH15" s="169" t="e">
        <f>SUMIFS(#REF!,#REF!,$B15,#REF!,AH$1)</f>
        <v>#REF!</v>
      </c>
      <c r="AI15" s="182" t="e">
        <f t="shared" si="1"/>
        <v>#REF!</v>
      </c>
    </row>
    <row r="16" spans="2:35" ht="25.5" x14ac:dyDescent="0.25">
      <c r="B16" s="183" t="s">
        <v>2204</v>
      </c>
      <c r="C16" s="181">
        <v>50</v>
      </c>
      <c r="D16" s="169" t="e">
        <f>SUMIFS(#REF!,#REF!,$B16,#REF!,D$1)</f>
        <v>#REF!</v>
      </c>
      <c r="E16" s="169" t="e">
        <f>SUMIFS(#REF!,#REF!,$B16,#REF!,E$1)</f>
        <v>#REF!</v>
      </c>
      <c r="F16" s="169" t="e">
        <f>SUMIFS(#REF!,#REF!,$B16,#REF!,F$1)</f>
        <v>#REF!</v>
      </c>
      <c r="G16" s="169" t="e">
        <f>SUMIFS(#REF!,#REF!,$B16,#REF!,G$1)</f>
        <v>#REF!</v>
      </c>
      <c r="H16" s="169" t="e">
        <f>SUMIFS(#REF!,#REF!,$B16,#REF!,H$1)</f>
        <v>#REF!</v>
      </c>
      <c r="I16" s="169" t="e">
        <f>SUMIFS(#REF!,#REF!,$B16,#REF!,I$1)</f>
        <v>#REF!</v>
      </c>
      <c r="J16" s="169" t="e">
        <f>SUMIFS(#REF!,#REF!,$B16,#REF!,J$1)</f>
        <v>#REF!</v>
      </c>
      <c r="K16" s="169" t="e">
        <f>SUMIFS(#REF!,#REF!,$B16,#REF!,K$1)</f>
        <v>#REF!</v>
      </c>
      <c r="L16" s="169" t="e">
        <f>SUMIFS(#REF!,#REF!,$B16,#REF!,L$1)</f>
        <v>#REF!</v>
      </c>
      <c r="M16" s="169" t="e">
        <f>SUMIFS(#REF!,#REF!,$B16,#REF!,M$1)</f>
        <v>#REF!</v>
      </c>
      <c r="N16" s="169" t="e">
        <f>SUMIFS(#REF!,#REF!,$B16,#REF!,N$1)</f>
        <v>#REF!</v>
      </c>
      <c r="O16" s="169" t="e">
        <f>SUMIFS(#REF!,#REF!,$B16,#REF!,O$1)</f>
        <v>#REF!</v>
      </c>
      <c r="P16" s="169" t="e">
        <f>SUMIFS(#REF!,#REF!,$B16,#REF!,P$1)</f>
        <v>#REF!</v>
      </c>
      <c r="Q16" s="169" t="e">
        <f>SUMIFS(#REF!,#REF!,$B16,#REF!,Q$1)</f>
        <v>#REF!</v>
      </c>
      <c r="R16" s="169" t="e">
        <f>SUMIFS(#REF!,#REF!,$B16,#REF!,R$1)</f>
        <v>#REF!</v>
      </c>
      <c r="S16" s="169" t="e">
        <f>SUMIFS(#REF!,#REF!,$B16,#REF!,S$1)</f>
        <v>#REF!</v>
      </c>
      <c r="T16" s="169" t="e">
        <f>SUMIFS(#REF!,#REF!,$B16,#REF!,T$1)</f>
        <v>#REF!</v>
      </c>
      <c r="U16" s="169" t="e">
        <f>SUMIFS(#REF!,#REF!,$B16,#REF!,U$1)</f>
        <v>#REF!</v>
      </c>
      <c r="V16" s="169" t="e">
        <f>SUMIFS(#REF!,#REF!,$B16,#REF!,V$1)</f>
        <v>#REF!</v>
      </c>
      <c r="W16" s="169" t="e">
        <f>SUMIFS(#REF!,#REF!,$B16,#REF!,W$1)</f>
        <v>#REF!</v>
      </c>
      <c r="X16" s="169" t="e">
        <f>SUMIFS(#REF!,#REF!,$B16,#REF!,X$1)</f>
        <v>#REF!</v>
      </c>
      <c r="Y16" s="169" t="e">
        <f>SUMIFS(#REF!,#REF!,$B16,#REF!,Y$1)</f>
        <v>#REF!</v>
      </c>
      <c r="Z16" s="169" t="e">
        <f>SUMIFS(#REF!,#REF!,$B16,#REF!,Z$1)</f>
        <v>#REF!</v>
      </c>
      <c r="AA16" s="169" t="e">
        <f>SUMIFS(#REF!,#REF!,$B16,#REF!,AA$1)</f>
        <v>#REF!</v>
      </c>
      <c r="AB16" s="169" t="e">
        <f>SUMIFS(#REF!,#REF!,$B16,#REF!,AB$1)</f>
        <v>#REF!</v>
      </c>
      <c r="AC16" s="169" t="e">
        <f>SUMIFS(#REF!,#REF!,$B16,#REF!,AC$1)</f>
        <v>#REF!</v>
      </c>
      <c r="AD16" s="169" t="e">
        <f>SUMIFS(#REF!,#REF!,$B16,#REF!,AD$1)</f>
        <v>#REF!</v>
      </c>
      <c r="AE16" s="169" t="e">
        <f>SUMIFS(#REF!,#REF!,$B16,#REF!,AE$1)</f>
        <v>#REF!</v>
      </c>
      <c r="AF16" s="169" t="e">
        <f>SUMIFS(#REF!,#REF!,$B16,#REF!,AF$1)</f>
        <v>#REF!</v>
      </c>
      <c r="AG16" s="169" t="e">
        <f>SUMIFS(#REF!,#REF!,$B16,#REF!,AG$1)</f>
        <v>#REF!</v>
      </c>
      <c r="AH16" s="169" t="e">
        <f>SUMIFS(#REF!,#REF!,$B16,#REF!,AH$1)</f>
        <v>#REF!</v>
      </c>
      <c r="AI16" s="182" t="e">
        <f t="shared" si="1"/>
        <v>#REF!</v>
      </c>
    </row>
    <row r="17" spans="2:35" ht="15.75" x14ac:dyDescent="0.25">
      <c r="B17" s="184" t="s">
        <v>2205</v>
      </c>
      <c r="C17" s="185">
        <v>200</v>
      </c>
      <c r="D17" s="169" t="e">
        <f>SUMIFS(#REF!,#REF!,$B17,#REF!,D$1)</f>
        <v>#REF!</v>
      </c>
      <c r="E17" s="169" t="e">
        <f>SUMIFS(#REF!,#REF!,$B17,#REF!,E$1)</f>
        <v>#REF!</v>
      </c>
      <c r="F17" s="169" t="e">
        <f>SUMIFS(#REF!,#REF!,$B17,#REF!,F$1)</f>
        <v>#REF!</v>
      </c>
      <c r="G17" s="169" t="e">
        <f>SUMIFS(#REF!,#REF!,$B17,#REF!,G$1)</f>
        <v>#REF!</v>
      </c>
      <c r="H17" s="169" t="e">
        <f>SUMIFS(#REF!,#REF!,$B17,#REF!,H$1)</f>
        <v>#REF!</v>
      </c>
      <c r="I17" s="169" t="e">
        <f>SUMIFS(#REF!,#REF!,$B17,#REF!,I$1)</f>
        <v>#REF!</v>
      </c>
      <c r="J17" s="169" t="e">
        <f>SUMIFS(#REF!,#REF!,$B17,#REF!,J$1)</f>
        <v>#REF!</v>
      </c>
      <c r="K17" s="169" t="e">
        <f>SUMIFS(#REF!,#REF!,$B17,#REF!,K$1)</f>
        <v>#REF!</v>
      </c>
      <c r="L17" s="169" t="e">
        <f>SUMIFS(#REF!,#REF!,$B17,#REF!,L$1)</f>
        <v>#REF!</v>
      </c>
      <c r="M17" s="169" t="e">
        <f>SUMIFS(#REF!,#REF!,$B17,#REF!,M$1)</f>
        <v>#REF!</v>
      </c>
      <c r="N17" s="169" t="e">
        <f>SUMIFS(#REF!,#REF!,$B17,#REF!,N$1)</f>
        <v>#REF!</v>
      </c>
      <c r="O17" s="169" t="e">
        <f>SUMIFS(#REF!,#REF!,$B17,#REF!,O$1)</f>
        <v>#REF!</v>
      </c>
      <c r="P17" s="169" t="e">
        <f>SUMIFS(#REF!,#REF!,$B17,#REF!,P$1)</f>
        <v>#REF!</v>
      </c>
      <c r="Q17" s="169" t="e">
        <f>SUMIFS(#REF!,#REF!,$B17,#REF!,Q$1)</f>
        <v>#REF!</v>
      </c>
      <c r="R17" s="169" t="e">
        <f>SUMIFS(#REF!,#REF!,$B17,#REF!,R$1)</f>
        <v>#REF!</v>
      </c>
      <c r="S17" s="169" t="e">
        <f>SUMIFS(#REF!,#REF!,$B17,#REF!,S$1)</f>
        <v>#REF!</v>
      </c>
      <c r="T17" s="169" t="e">
        <f>SUMIFS(#REF!,#REF!,$B17,#REF!,T$1)</f>
        <v>#REF!</v>
      </c>
      <c r="U17" s="169" t="e">
        <f>SUMIFS(#REF!,#REF!,$B17,#REF!,U$1)</f>
        <v>#REF!</v>
      </c>
      <c r="V17" s="169" t="e">
        <f>SUMIFS(#REF!,#REF!,$B17,#REF!,V$1)</f>
        <v>#REF!</v>
      </c>
      <c r="W17" s="169" t="e">
        <f>SUMIFS(#REF!,#REF!,$B17,#REF!,W$1)</f>
        <v>#REF!</v>
      </c>
      <c r="X17" s="169" t="e">
        <f>SUMIFS(#REF!,#REF!,$B17,#REF!,X$1)</f>
        <v>#REF!</v>
      </c>
      <c r="Y17" s="169" t="e">
        <f>SUMIFS(#REF!,#REF!,$B17,#REF!,Y$1)</f>
        <v>#REF!</v>
      </c>
      <c r="Z17" s="169" t="e">
        <f>SUMIFS(#REF!,#REF!,$B17,#REF!,Z$1)</f>
        <v>#REF!</v>
      </c>
      <c r="AA17" s="169" t="e">
        <f>SUMIFS(#REF!,#REF!,$B17,#REF!,AA$1)</f>
        <v>#REF!</v>
      </c>
      <c r="AB17" s="169" t="e">
        <f>SUMIFS(#REF!,#REF!,$B17,#REF!,AB$1)</f>
        <v>#REF!</v>
      </c>
      <c r="AC17" s="169" t="e">
        <f>SUMIFS(#REF!,#REF!,$B17,#REF!,AC$1)</f>
        <v>#REF!</v>
      </c>
      <c r="AD17" s="169" t="e">
        <f>SUMIFS(#REF!,#REF!,$B17,#REF!,AD$1)</f>
        <v>#REF!</v>
      </c>
      <c r="AE17" s="169" t="e">
        <f>SUMIFS(#REF!,#REF!,$B17,#REF!,AE$1)</f>
        <v>#REF!</v>
      </c>
      <c r="AF17" s="169" t="e">
        <f>SUMIFS(#REF!,#REF!,$B17,#REF!,AF$1)</f>
        <v>#REF!</v>
      </c>
      <c r="AG17" s="169" t="e">
        <f>SUMIFS(#REF!,#REF!,$B17,#REF!,AG$1)</f>
        <v>#REF!</v>
      </c>
      <c r="AH17" s="169" t="e">
        <f>SUMIFS(#REF!,#REF!,$B17,#REF!,AH$1)</f>
        <v>#REF!</v>
      </c>
      <c r="AI17" s="182" t="e">
        <f t="shared" si="1"/>
        <v>#REF!</v>
      </c>
    </row>
    <row r="18" spans="2:35" ht="25.5" x14ac:dyDescent="0.25">
      <c r="B18" s="183" t="s">
        <v>2206</v>
      </c>
      <c r="C18" s="185">
        <v>200</v>
      </c>
      <c r="D18" s="169" t="e">
        <f>SUMIFS(#REF!,#REF!,$B18,#REF!,D$1)</f>
        <v>#REF!</v>
      </c>
      <c r="E18" s="169" t="e">
        <f>SUMIFS(#REF!,#REF!,$B18,#REF!,E$1)</f>
        <v>#REF!</v>
      </c>
      <c r="F18" s="169" t="e">
        <f>SUMIFS(#REF!,#REF!,$B18,#REF!,F$1)</f>
        <v>#REF!</v>
      </c>
      <c r="G18" s="169" t="e">
        <f>SUMIFS(#REF!,#REF!,$B18,#REF!,G$1)</f>
        <v>#REF!</v>
      </c>
      <c r="H18" s="169" t="e">
        <f>SUMIFS(#REF!,#REF!,$B18,#REF!,H$1)</f>
        <v>#REF!</v>
      </c>
      <c r="I18" s="169" t="e">
        <f>SUMIFS(#REF!,#REF!,$B18,#REF!,I$1)</f>
        <v>#REF!</v>
      </c>
      <c r="J18" s="169" t="e">
        <f>SUMIFS(#REF!,#REF!,$B18,#REF!,J$1)</f>
        <v>#REF!</v>
      </c>
      <c r="K18" s="169" t="e">
        <f>SUMIFS(#REF!,#REF!,$B18,#REF!,K$1)</f>
        <v>#REF!</v>
      </c>
      <c r="L18" s="169" t="e">
        <f>SUMIFS(#REF!,#REF!,$B18,#REF!,L$1)</f>
        <v>#REF!</v>
      </c>
      <c r="M18" s="169" t="e">
        <f>SUMIFS(#REF!,#REF!,$B18,#REF!,M$1)</f>
        <v>#REF!</v>
      </c>
      <c r="N18" s="169" t="e">
        <f>SUMIFS(#REF!,#REF!,$B18,#REF!,N$1)</f>
        <v>#REF!</v>
      </c>
      <c r="O18" s="169" t="e">
        <f>SUMIFS(#REF!,#REF!,$B18,#REF!,O$1)</f>
        <v>#REF!</v>
      </c>
      <c r="P18" s="169" t="e">
        <f>SUMIFS(#REF!,#REF!,$B18,#REF!,P$1)</f>
        <v>#REF!</v>
      </c>
      <c r="Q18" s="169" t="e">
        <f>SUMIFS(#REF!,#REF!,$B18,#REF!,Q$1)</f>
        <v>#REF!</v>
      </c>
      <c r="R18" s="169" t="e">
        <f>SUMIFS(#REF!,#REF!,$B18,#REF!,R$1)</f>
        <v>#REF!</v>
      </c>
      <c r="S18" s="169" t="e">
        <f>SUMIFS(#REF!,#REF!,$B18,#REF!,S$1)</f>
        <v>#REF!</v>
      </c>
      <c r="T18" s="169" t="e">
        <f>SUMIFS(#REF!,#REF!,$B18,#REF!,T$1)</f>
        <v>#REF!</v>
      </c>
      <c r="U18" s="169" t="e">
        <f>SUMIFS(#REF!,#REF!,$B18,#REF!,U$1)</f>
        <v>#REF!</v>
      </c>
      <c r="V18" s="169" t="e">
        <f>SUMIFS(#REF!,#REF!,$B18,#REF!,V$1)</f>
        <v>#REF!</v>
      </c>
      <c r="W18" s="169" t="e">
        <f>SUMIFS(#REF!,#REF!,$B18,#REF!,W$1)</f>
        <v>#REF!</v>
      </c>
      <c r="X18" s="169" t="e">
        <f>SUMIFS(#REF!,#REF!,$B18,#REF!,X$1)</f>
        <v>#REF!</v>
      </c>
      <c r="Y18" s="169" t="e">
        <f>SUMIFS(#REF!,#REF!,$B18,#REF!,Y$1)</f>
        <v>#REF!</v>
      </c>
      <c r="Z18" s="169" t="e">
        <f>SUMIFS(#REF!,#REF!,$B18,#REF!,Z$1)</f>
        <v>#REF!</v>
      </c>
      <c r="AA18" s="169" t="e">
        <f>SUMIFS(#REF!,#REF!,$B18,#REF!,AA$1)</f>
        <v>#REF!</v>
      </c>
      <c r="AB18" s="169" t="e">
        <f>SUMIFS(#REF!,#REF!,$B18,#REF!,AB$1)</f>
        <v>#REF!</v>
      </c>
      <c r="AC18" s="169" t="e">
        <f>SUMIFS(#REF!,#REF!,$B18,#REF!,AC$1)</f>
        <v>#REF!</v>
      </c>
      <c r="AD18" s="169" t="e">
        <f>SUMIFS(#REF!,#REF!,$B18,#REF!,AD$1)</f>
        <v>#REF!</v>
      </c>
      <c r="AE18" s="169" t="e">
        <f>SUMIFS(#REF!,#REF!,$B18,#REF!,AE$1)</f>
        <v>#REF!</v>
      </c>
      <c r="AF18" s="169" t="e">
        <f>SUMIFS(#REF!,#REF!,$B18,#REF!,AF$1)</f>
        <v>#REF!</v>
      </c>
      <c r="AG18" s="169" t="e">
        <f>SUMIFS(#REF!,#REF!,$B18,#REF!,AG$1)</f>
        <v>#REF!</v>
      </c>
      <c r="AH18" s="169" t="e">
        <f>SUMIFS(#REF!,#REF!,$B18,#REF!,AH$1)</f>
        <v>#REF!</v>
      </c>
      <c r="AI18" s="182" t="e">
        <f t="shared" si="1"/>
        <v>#REF!</v>
      </c>
    </row>
    <row r="19" spans="2:35" ht="25.5" x14ac:dyDescent="0.25">
      <c r="B19" s="186" t="s">
        <v>2207</v>
      </c>
      <c r="C19" s="185">
        <v>96</v>
      </c>
      <c r="D19" s="169" t="e">
        <f>SUMIFS(#REF!,#REF!,$B19,#REF!,D$1)</f>
        <v>#REF!</v>
      </c>
      <c r="E19" s="169" t="e">
        <f>SUMIFS(#REF!,#REF!,$B19,#REF!,E$1)</f>
        <v>#REF!</v>
      </c>
      <c r="F19" s="169" t="e">
        <f>SUMIFS(#REF!,#REF!,$B19,#REF!,F$1)</f>
        <v>#REF!</v>
      </c>
      <c r="G19" s="169" t="e">
        <f>SUMIFS(#REF!,#REF!,$B19,#REF!,G$1)</f>
        <v>#REF!</v>
      </c>
      <c r="H19" s="169" t="e">
        <f>SUMIFS(#REF!,#REF!,$B19,#REF!,H$1)</f>
        <v>#REF!</v>
      </c>
      <c r="I19" s="169" t="e">
        <f>SUMIFS(#REF!,#REF!,$B19,#REF!,I$1)</f>
        <v>#REF!</v>
      </c>
      <c r="J19" s="169" t="e">
        <f>SUMIFS(#REF!,#REF!,$B19,#REF!,J$1)</f>
        <v>#REF!</v>
      </c>
      <c r="K19" s="169" t="e">
        <f>SUMIFS(#REF!,#REF!,$B19,#REF!,K$1)</f>
        <v>#REF!</v>
      </c>
      <c r="L19" s="169" t="e">
        <f>SUMIFS(#REF!,#REF!,$B19,#REF!,L$1)</f>
        <v>#REF!</v>
      </c>
      <c r="M19" s="169" t="e">
        <f>SUMIFS(#REF!,#REF!,$B19,#REF!,M$1)</f>
        <v>#REF!</v>
      </c>
      <c r="N19" s="169" t="e">
        <f>SUMIFS(#REF!,#REF!,$B19,#REF!,N$1)</f>
        <v>#REF!</v>
      </c>
      <c r="O19" s="169" t="e">
        <f>SUMIFS(#REF!,#REF!,$B19,#REF!,O$1)</f>
        <v>#REF!</v>
      </c>
      <c r="P19" s="169" t="e">
        <f>SUMIFS(#REF!,#REF!,$B19,#REF!,P$1)</f>
        <v>#REF!</v>
      </c>
      <c r="Q19" s="169" t="e">
        <f>SUMIFS(#REF!,#REF!,$B19,#REF!,Q$1)</f>
        <v>#REF!</v>
      </c>
      <c r="R19" s="169" t="e">
        <f>SUMIFS(#REF!,#REF!,$B19,#REF!,R$1)</f>
        <v>#REF!</v>
      </c>
      <c r="S19" s="169" t="e">
        <f>SUMIFS(#REF!,#REF!,$B19,#REF!,S$1)</f>
        <v>#REF!</v>
      </c>
      <c r="T19" s="169" t="e">
        <f>SUMIFS(#REF!,#REF!,$B19,#REF!,T$1)</f>
        <v>#REF!</v>
      </c>
      <c r="U19" s="169" t="e">
        <f>SUMIFS(#REF!,#REF!,$B19,#REF!,U$1)</f>
        <v>#REF!</v>
      </c>
      <c r="V19" s="169" t="e">
        <f>SUMIFS(#REF!,#REF!,$B19,#REF!,V$1)</f>
        <v>#REF!</v>
      </c>
      <c r="W19" s="169" t="e">
        <f>SUMIFS(#REF!,#REF!,$B19,#REF!,W$1)</f>
        <v>#REF!</v>
      </c>
      <c r="X19" s="169" t="e">
        <f>SUMIFS(#REF!,#REF!,$B19,#REF!,X$1)</f>
        <v>#REF!</v>
      </c>
      <c r="Y19" s="169" t="e">
        <f>SUMIFS(#REF!,#REF!,$B19,#REF!,Y$1)</f>
        <v>#REF!</v>
      </c>
      <c r="Z19" s="169" t="e">
        <f>SUMIFS(#REF!,#REF!,$B19,#REF!,Z$1)</f>
        <v>#REF!</v>
      </c>
      <c r="AA19" s="169" t="e">
        <f>SUMIFS(#REF!,#REF!,$B19,#REF!,AA$1)</f>
        <v>#REF!</v>
      </c>
      <c r="AB19" s="169" t="e">
        <f>SUMIFS(#REF!,#REF!,$B19,#REF!,AB$1)</f>
        <v>#REF!</v>
      </c>
      <c r="AC19" s="169" t="e">
        <f>SUMIFS(#REF!,#REF!,$B19,#REF!,AC$1)</f>
        <v>#REF!</v>
      </c>
      <c r="AD19" s="169" t="e">
        <f>SUMIFS(#REF!,#REF!,$B19,#REF!,AD$1)</f>
        <v>#REF!</v>
      </c>
      <c r="AE19" s="169" t="e">
        <f>SUMIFS(#REF!,#REF!,$B19,#REF!,AE$1)</f>
        <v>#REF!</v>
      </c>
      <c r="AF19" s="169" t="e">
        <f>SUMIFS(#REF!,#REF!,$B19,#REF!,AF$1)</f>
        <v>#REF!</v>
      </c>
      <c r="AG19" s="169" t="e">
        <f>SUMIFS(#REF!,#REF!,$B19,#REF!,AG$1)</f>
        <v>#REF!</v>
      </c>
      <c r="AH19" s="169" t="e">
        <f>SUMIFS(#REF!,#REF!,$B19,#REF!,AH$1)</f>
        <v>#REF!</v>
      </c>
      <c r="AI19" s="182" t="e">
        <f t="shared" si="1"/>
        <v>#REF!</v>
      </c>
    </row>
    <row r="20" spans="2:35" ht="25.5" x14ac:dyDescent="0.25">
      <c r="B20" s="186" t="s">
        <v>2208</v>
      </c>
      <c r="C20" s="185">
        <v>200</v>
      </c>
      <c r="D20" s="169" t="e">
        <f>SUMIFS(#REF!,#REF!,$B20,#REF!,D$1)</f>
        <v>#REF!</v>
      </c>
      <c r="E20" s="169" t="e">
        <f>SUMIFS(#REF!,#REF!,$B20,#REF!,E$1)</f>
        <v>#REF!</v>
      </c>
      <c r="F20" s="169" t="e">
        <f>SUMIFS(#REF!,#REF!,$B20,#REF!,F$1)</f>
        <v>#REF!</v>
      </c>
      <c r="G20" s="169" t="e">
        <f>SUMIFS(#REF!,#REF!,$B20,#REF!,G$1)</f>
        <v>#REF!</v>
      </c>
      <c r="H20" s="169" t="e">
        <f>SUMIFS(#REF!,#REF!,$B20,#REF!,H$1)</f>
        <v>#REF!</v>
      </c>
      <c r="I20" s="169" t="e">
        <f>SUMIFS(#REF!,#REF!,$B20,#REF!,I$1)</f>
        <v>#REF!</v>
      </c>
      <c r="J20" s="169" t="e">
        <f>SUMIFS(#REF!,#REF!,$B20,#REF!,J$1)</f>
        <v>#REF!</v>
      </c>
      <c r="K20" s="169" t="e">
        <f>SUMIFS(#REF!,#REF!,$B20,#REF!,K$1)</f>
        <v>#REF!</v>
      </c>
      <c r="L20" s="169" t="e">
        <f>SUMIFS(#REF!,#REF!,$B20,#REF!,L$1)</f>
        <v>#REF!</v>
      </c>
      <c r="M20" s="169" t="e">
        <f>SUMIFS(#REF!,#REF!,$B20,#REF!,M$1)</f>
        <v>#REF!</v>
      </c>
      <c r="N20" s="169" t="e">
        <f>SUMIFS(#REF!,#REF!,$B20,#REF!,N$1)</f>
        <v>#REF!</v>
      </c>
      <c r="O20" s="169" t="e">
        <f>SUMIFS(#REF!,#REF!,$B20,#REF!,O$1)</f>
        <v>#REF!</v>
      </c>
      <c r="P20" s="169" t="e">
        <f>SUMIFS(#REF!,#REF!,$B20,#REF!,P$1)</f>
        <v>#REF!</v>
      </c>
      <c r="Q20" s="169" t="e">
        <f>SUMIFS(#REF!,#REF!,$B20,#REF!,Q$1)</f>
        <v>#REF!</v>
      </c>
      <c r="R20" s="169" t="e">
        <f>SUMIFS(#REF!,#REF!,$B20,#REF!,R$1)</f>
        <v>#REF!</v>
      </c>
      <c r="S20" s="169" t="e">
        <f>SUMIFS(#REF!,#REF!,$B20,#REF!,S$1)</f>
        <v>#REF!</v>
      </c>
      <c r="T20" s="169" t="e">
        <f>SUMIFS(#REF!,#REF!,$B20,#REF!,T$1)</f>
        <v>#REF!</v>
      </c>
      <c r="U20" s="169" t="e">
        <f>SUMIFS(#REF!,#REF!,$B20,#REF!,U$1)</f>
        <v>#REF!</v>
      </c>
      <c r="V20" s="169" t="e">
        <f>SUMIFS(#REF!,#REF!,$B20,#REF!,V$1)</f>
        <v>#REF!</v>
      </c>
      <c r="W20" s="169" t="e">
        <f>SUMIFS(#REF!,#REF!,$B20,#REF!,W$1)</f>
        <v>#REF!</v>
      </c>
      <c r="X20" s="169" t="e">
        <f>SUMIFS(#REF!,#REF!,$B20,#REF!,X$1)</f>
        <v>#REF!</v>
      </c>
      <c r="Y20" s="169" t="e">
        <f>SUMIFS(#REF!,#REF!,$B20,#REF!,Y$1)</f>
        <v>#REF!</v>
      </c>
      <c r="Z20" s="169" t="e">
        <f>SUMIFS(#REF!,#REF!,$B20,#REF!,Z$1)</f>
        <v>#REF!</v>
      </c>
      <c r="AA20" s="169" t="e">
        <f>SUMIFS(#REF!,#REF!,$B20,#REF!,AA$1)</f>
        <v>#REF!</v>
      </c>
      <c r="AB20" s="169" t="e">
        <f>SUMIFS(#REF!,#REF!,$B20,#REF!,AB$1)</f>
        <v>#REF!</v>
      </c>
      <c r="AC20" s="169" t="e">
        <f>SUMIFS(#REF!,#REF!,$B20,#REF!,AC$1)</f>
        <v>#REF!</v>
      </c>
      <c r="AD20" s="169" t="e">
        <f>SUMIFS(#REF!,#REF!,$B20,#REF!,AD$1)</f>
        <v>#REF!</v>
      </c>
      <c r="AE20" s="169" t="e">
        <f>SUMIFS(#REF!,#REF!,$B20,#REF!,AE$1)</f>
        <v>#REF!</v>
      </c>
      <c r="AF20" s="169" t="e">
        <f>SUMIFS(#REF!,#REF!,$B20,#REF!,AF$1)</f>
        <v>#REF!</v>
      </c>
      <c r="AG20" s="169" t="e">
        <f>SUMIFS(#REF!,#REF!,$B20,#REF!,AG$1)</f>
        <v>#REF!</v>
      </c>
      <c r="AH20" s="169" t="e">
        <f>SUMIFS(#REF!,#REF!,$B20,#REF!,AH$1)</f>
        <v>#REF!</v>
      </c>
      <c r="AI20" s="182" t="e">
        <f t="shared" si="1"/>
        <v>#REF!</v>
      </c>
    </row>
    <row r="21" spans="2:35" ht="25.5" x14ac:dyDescent="0.25">
      <c r="B21" s="186" t="s">
        <v>2209</v>
      </c>
      <c r="C21" s="185">
        <v>90</v>
      </c>
      <c r="D21" s="169" t="e">
        <f>SUMIFS(#REF!,#REF!,$B21,#REF!,D$1)</f>
        <v>#REF!</v>
      </c>
      <c r="E21" s="169" t="e">
        <f>SUMIFS(#REF!,#REF!,$B21,#REF!,E$1)</f>
        <v>#REF!</v>
      </c>
      <c r="F21" s="169" t="e">
        <f>SUMIFS(#REF!,#REF!,$B21,#REF!,F$1)</f>
        <v>#REF!</v>
      </c>
      <c r="G21" s="169" t="e">
        <f>SUMIFS(#REF!,#REF!,$B21,#REF!,G$1)</f>
        <v>#REF!</v>
      </c>
      <c r="H21" s="169" t="e">
        <f>SUMIFS(#REF!,#REF!,$B21,#REF!,H$1)</f>
        <v>#REF!</v>
      </c>
      <c r="I21" s="169" t="e">
        <f>SUMIFS(#REF!,#REF!,$B21,#REF!,I$1)</f>
        <v>#REF!</v>
      </c>
      <c r="J21" s="169" t="e">
        <f>SUMIFS(#REF!,#REF!,$B21,#REF!,J$1)</f>
        <v>#REF!</v>
      </c>
      <c r="K21" s="169" t="e">
        <f>SUMIFS(#REF!,#REF!,$B21,#REF!,K$1)</f>
        <v>#REF!</v>
      </c>
      <c r="L21" s="169" t="e">
        <f>SUMIFS(#REF!,#REF!,$B21,#REF!,L$1)</f>
        <v>#REF!</v>
      </c>
      <c r="M21" s="169" t="e">
        <f>SUMIFS(#REF!,#REF!,$B21,#REF!,M$1)</f>
        <v>#REF!</v>
      </c>
      <c r="N21" s="169" t="e">
        <f>SUMIFS(#REF!,#REF!,$B21,#REF!,N$1)</f>
        <v>#REF!</v>
      </c>
      <c r="O21" s="169" t="e">
        <f>SUMIFS(#REF!,#REF!,$B21,#REF!,O$1)</f>
        <v>#REF!</v>
      </c>
      <c r="P21" s="169" t="e">
        <f>SUMIFS(#REF!,#REF!,$B21,#REF!,P$1)</f>
        <v>#REF!</v>
      </c>
      <c r="Q21" s="169" t="e">
        <f>SUMIFS(#REF!,#REF!,$B21,#REF!,Q$1)</f>
        <v>#REF!</v>
      </c>
      <c r="R21" s="169" t="e">
        <f>SUMIFS(#REF!,#REF!,$B21,#REF!,R$1)</f>
        <v>#REF!</v>
      </c>
      <c r="S21" s="169" t="e">
        <f>SUMIFS(#REF!,#REF!,$B21,#REF!,S$1)</f>
        <v>#REF!</v>
      </c>
      <c r="T21" s="169" t="e">
        <f>SUMIFS(#REF!,#REF!,$B21,#REF!,T$1)</f>
        <v>#REF!</v>
      </c>
      <c r="U21" s="169" t="e">
        <f>SUMIFS(#REF!,#REF!,$B21,#REF!,U$1)</f>
        <v>#REF!</v>
      </c>
      <c r="V21" s="169" t="e">
        <f>SUMIFS(#REF!,#REF!,$B21,#REF!,V$1)</f>
        <v>#REF!</v>
      </c>
      <c r="W21" s="169" t="e">
        <f>SUMIFS(#REF!,#REF!,$B21,#REF!,W$1)</f>
        <v>#REF!</v>
      </c>
      <c r="X21" s="169" t="e">
        <f>SUMIFS(#REF!,#REF!,$B21,#REF!,X$1)</f>
        <v>#REF!</v>
      </c>
      <c r="Y21" s="169" t="e">
        <f>SUMIFS(#REF!,#REF!,$B21,#REF!,Y$1)</f>
        <v>#REF!</v>
      </c>
      <c r="Z21" s="169" t="e">
        <f>SUMIFS(#REF!,#REF!,$B21,#REF!,Z$1)</f>
        <v>#REF!</v>
      </c>
      <c r="AA21" s="169" t="e">
        <f>SUMIFS(#REF!,#REF!,$B21,#REF!,AA$1)</f>
        <v>#REF!</v>
      </c>
      <c r="AB21" s="169" t="e">
        <f>SUMIFS(#REF!,#REF!,$B21,#REF!,AB$1)</f>
        <v>#REF!</v>
      </c>
      <c r="AC21" s="169" t="e">
        <f>SUMIFS(#REF!,#REF!,$B21,#REF!,AC$1)</f>
        <v>#REF!</v>
      </c>
      <c r="AD21" s="169" t="e">
        <f>SUMIFS(#REF!,#REF!,$B21,#REF!,AD$1)</f>
        <v>#REF!</v>
      </c>
      <c r="AE21" s="169" t="e">
        <f>SUMIFS(#REF!,#REF!,$B21,#REF!,AE$1)</f>
        <v>#REF!</v>
      </c>
      <c r="AF21" s="169" t="e">
        <f>SUMIFS(#REF!,#REF!,$B21,#REF!,AF$1)</f>
        <v>#REF!</v>
      </c>
      <c r="AG21" s="169" t="e">
        <f>SUMIFS(#REF!,#REF!,$B21,#REF!,AG$1)</f>
        <v>#REF!</v>
      </c>
      <c r="AH21" s="169" t="e">
        <f>SUMIFS(#REF!,#REF!,$B21,#REF!,AH$1)</f>
        <v>#REF!</v>
      </c>
      <c r="AI21" s="182" t="e">
        <f t="shared" si="1"/>
        <v>#REF!</v>
      </c>
    </row>
    <row r="22" spans="2:35" ht="15.75" x14ac:dyDescent="0.25">
      <c r="B22" s="187" t="s">
        <v>2210</v>
      </c>
      <c r="C22" s="185">
        <v>25</v>
      </c>
      <c r="D22" s="169" t="e">
        <f>SUMIFS(#REF!,#REF!,$B22,#REF!,D$1)</f>
        <v>#REF!</v>
      </c>
      <c r="E22" s="169" t="e">
        <f>SUMIFS(#REF!,#REF!,$B22,#REF!,E$1)</f>
        <v>#REF!</v>
      </c>
      <c r="F22" s="169" t="e">
        <f>SUMIFS(#REF!,#REF!,$B22,#REF!,F$1)</f>
        <v>#REF!</v>
      </c>
      <c r="G22" s="169" t="e">
        <f>SUMIFS(#REF!,#REF!,$B22,#REF!,G$1)</f>
        <v>#REF!</v>
      </c>
      <c r="H22" s="169" t="e">
        <f>SUMIFS(#REF!,#REF!,$B22,#REF!,H$1)</f>
        <v>#REF!</v>
      </c>
      <c r="I22" s="169" t="e">
        <f>SUMIFS(#REF!,#REF!,$B22,#REF!,I$1)</f>
        <v>#REF!</v>
      </c>
      <c r="J22" s="169" t="e">
        <f>SUMIFS(#REF!,#REF!,$B22,#REF!,J$1)</f>
        <v>#REF!</v>
      </c>
      <c r="K22" s="169" t="e">
        <f>SUMIFS(#REF!,#REF!,$B22,#REF!,K$1)</f>
        <v>#REF!</v>
      </c>
      <c r="L22" s="169" t="e">
        <f>SUMIFS(#REF!,#REF!,$B22,#REF!,L$1)</f>
        <v>#REF!</v>
      </c>
      <c r="M22" s="169" t="e">
        <f>SUMIFS(#REF!,#REF!,$B22,#REF!,M$1)</f>
        <v>#REF!</v>
      </c>
      <c r="N22" s="169" t="e">
        <f>SUMIFS(#REF!,#REF!,$B22,#REF!,N$1)</f>
        <v>#REF!</v>
      </c>
      <c r="O22" s="169" t="e">
        <f>SUMIFS(#REF!,#REF!,$B22,#REF!,O$1)</f>
        <v>#REF!</v>
      </c>
      <c r="P22" s="169" t="e">
        <f>SUMIFS(#REF!,#REF!,$B22,#REF!,P$1)</f>
        <v>#REF!</v>
      </c>
      <c r="Q22" s="169" t="e">
        <f>SUMIFS(#REF!,#REF!,$B22,#REF!,Q$1)</f>
        <v>#REF!</v>
      </c>
      <c r="R22" s="169" t="e">
        <f>SUMIFS(#REF!,#REF!,$B22,#REF!,R$1)</f>
        <v>#REF!</v>
      </c>
      <c r="S22" s="169" t="e">
        <f>SUMIFS(#REF!,#REF!,$B22,#REF!,S$1)</f>
        <v>#REF!</v>
      </c>
      <c r="T22" s="169" t="e">
        <f>SUMIFS(#REF!,#REF!,$B22,#REF!,T$1)</f>
        <v>#REF!</v>
      </c>
      <c r="U22" s="169" t="e">
        <f>SUMIFS(#REF!,#REF!,$B22,#REF!,U$1)</f>
        <v>#REF!</v>
      </c>
      <c r="V22" s="169" t="e">
        <f>SUMIFS(#REF!,#REF!,$B22,#REF!,V$1)</f>
        <v>#REF!</v>
      </c>
      <c r="W22" s="169" t="e">
        <f>SUMIFS(#REF!,#REF!,$B22,#REF!,W$1)</f>
        <v>#REF!</v>
      </c>
      <c r="X22" s="169" t="e">
        <f>SUMIFS(#REF!,#REF!,$B22,#REF!,X$1)</f>
        <v>#REF!</v>
      </c>
      <c r="Y22" s="169" t="e">
        <f>SUMIFS(#REF!,#REF!,$B22,#REF!,Y$1)</f>
        <v>#REF!</v>
      </c>
      <c r="Z22" s="169" t="e">
        <f>SUMIFS(#REF!,#REF!,$B22,#REF!,Z$1)</f>
        <v>#REF!</v>
      </c>
      <c r="AA22" s="169" t="e">
        <f>SUMIFS(#REF!,#REF!,$B22,#REF!,AA$1)</f>
        <v>#REF!</v>
      </c>
      <c r="AB22" s="169" t="e">
        <f>SUMIFS(#REF!,#REF!,$B22,#REF!,AB$1)</f>
        <v>#REF!</v>
      </c>
      <c r="AC22" s="169" t="e">
        <f>SUMIFS(#REF!,#REF!,$B22,#REF!,AC$1)</f>
        <v>#REF!</v>
      </c>
      <c r="AD22" s="169" t="e">
        <f>SUMIFS(#REF!,#REF!,$B22,#REF!,AD$1)</f>
        <v>#REF!</v>
      </c>
      <c r="AE22" s="169" t="e">
        <f>SUMIFS(#REF!,#REF!,$B22,#REF!,AE$1)</f>
        <v>#REF!</v>
      </c>
      <c r="AF22" s="169" t="e">
        <f>SUMIFS(#REF!,#REF!,$B22,#REF!,AF$1)</f>
        <v>#REF!</v>
      </c>
      <c r="AG22" s="169" t="e">
        <f>SUMIFS(#REF!,#REF!,$B22,#REF!,AG$1)</f>
        <v>#REF!</v>
      </c>
      <c r="AH22" s="169" t="e">
        <f>SUMIFS(#REF!,#REF!,$B22,#REF!,AH$1)</f>
        <v>#REF!</v>
      </c>
      <c r="AI22" s="182" t="e">
        <f t="shared" si="1"/>
        <v>#REF!</v>
      </c>
    </row>
    <row r="23" spans="2:35" ht="15.75" x14ac:dyDescent="0.25">
      <c r="B23" s="187" t="s">
        <v>2211</v>
      </c>
      <c r="C23" s="185">
        <v>200</v>
      </c>
      <c r="D23" s="169" t="e">
        <f>SUMIFS(#REF!,#REF!,$B23,#REF!,D$1)</f>
        <v>#REF!</v>
      </c>
      <c r="E23" s="169" t="e">
        <f>SUMIFS(#REF!,#REF!,$B23,#REF!,E$1)</f>
        <v>#REF!</v>
      </c>
      <c r="F23" s="169" t="e">
        <f>SUMIFS(#REF!,#REF!,$B23,#REF!,F$1)</f>
        <v>#REF!</v>
      </c>
      <c r="G23" s="169" t="e">
        <f>SUMIFS(#REF!,#REF!,$B23,#REF!,G$1)</f>
        <v>#REF!</v>
      </c>
      <c r="H23" s="169" t="e">
        <f>SUMIFS(#REF!,#REF!,$B23,#REF!,H$1)</f>
        <v>#REF!</v>
      </c>
      <c r="I23" s="169" t="e">
        <f>SUMIFS(#REF!,#REF!,$B23,#REF!,I$1)</f>
        <v>#REF!</v>
      </c>
      <c r="J23" s="169" t="e">
        <f>SUMIFS(#REF!,#REF!,$B23,#REF!,J$1)</f>
        <v>#REF!</v>
      </c>
      <c r="K23" s="169" t="e">
        <f>SUMIFS(#REF!,#REF!,$B23,#REF!,K$1)</f>
        <v>#REF!</v>
      </c>
      <c r="L23" s="169" t="e">
        <f>SUMIFS(#REF!,#REF!,$B23,#REF!,L$1)</f>
        <v>#REF!</v>
      </c>
      <c r="M23" s="169" t="e">
        <f>SUMIFS(#REF!,#REF!,$B23,#REF!,M$1)</f>
        <v>#REF!</v>
      </c>
      <c r="N23" s="169" t="e">
        <f>SUMIFS(#REF!,#REF!,$B23,#REF!,N$1)</f>
        <v>#REF!</v>
      </c>
      <c r="O23" s="169" t="e">
        <f>SUMIFS(#REF!,#REF!,$B23,#REF!,O$1)</f>
        <v>#REF!</v>
      </c>
      <c r="P23" s="169" t="e">
        <f>SUMIFS(#REF!,#REF!,$B23,#REF!,P$1)</f>
        <v>#REF!</v>
      </c>
      <c r="Q23" s="169" t="e">
        <f>SUMIFS(#REF!,#REF!,$B23,#REF!,Q$1)</f>
        <v>#REF!</v>
      </c>
      <c r="R23" s="169" t="e">
        <f>SUMIFS(#REF!,#REF!,$B23,#REF!,R$1)</f>
        <v>#REF!</v>
      </c>
      <c r="S23" s="169" t="e">
        <f>SUMIFS(#REF!,#REF!,$B23,#REF!,S$1)</f>
        <v>#REF!</v>
      </c>
      <c r="T23" s="169" t="e">
        <f>SUMIFS(#REF!,#REF!,$B23,#REF!,T$1)</f>
        <v>#REF!</v>
      </c>
      <c r="U23" s="169" t="e">
        <f>SUMIFS(#REF!,#REF!,$B23,#REF!,U$1)</f>
        <v>#REF!</v>
      </c>
      <c r="V23" s="169" t="e">
        <f>SUMIFS(#REF!,#REF!,$B23,#REF!,V$1)</f>
        <v>#REF!</v>
      </c>
      <c r="W23" s="169" t="e">
        <f>SUMIFS(#REF!,#REF!,$B23,#REF!,W$1)</f>
        <v>#REF!</v>
      </c>
      <c r="X23" s="169" t="e">
        <f>SUMIFS(#REF!,#REF!,$B23,#REF!,X$1)</f>
        <v>#REF!</v>
      </c>
      <c r="Y23" s="169" t="e">
        <f>SUMIFS(#REF!,#REF!,$B23,#REF!,Y$1)</f>
        <v>#REF!</v>
      </c>
      <c r="Z23" s="169" t="e">
        <f>SUMIFS(#REF!,#REF!,$B23,#REF!,Z$1)</f>
        <v>#REF!</v>
      </c>
      <c r="AA23" s="169" t="e">
        <f>SUMIFS(#REF!,#REF!,$B23,#REF!,AA$1)</f>
        <v>#REF!</v>
      </c>
      <c r="AB23" s="169" t="e">
        <f>SUMIFS(#REF!,#REF!,$B23,#REF!,AB$1)</f>
        <v>#REF!</v>
      </c>
      <c r="AC23" s="169" t="e">
        <f>SUMIFS(#REF!,#REF!,$B23,#REF!,AC$1)</f>
        <v>#REF!</v>
      </c>
      <c r="AD23" s="169" t="e">
        <f>SUMIFS(#REF!,#REF!,$B23,#REF!,AD$1)</f>
        <v>#REF!</v>
      </c>
      <c r="AE23" s="169" t="e">
        <f>SUMIFS(#REF!,#REF!,$B23,#REF!,AE$1)</f>
        <v>#REF!</v>
      </c>
      <c r="AF23" s="169" t="e">
        <f>SUMIFS(#REF!,#REF!,$B23,#REF!,AF$1)</f>
        <v>#REF!</v>
      </c>
      <c r="AG23" s="169" t="e">
        <f>SUMIFS(#REF!,#REF!,$B23,#REF!,AG$1)</f>
        <v>#REF!</v>
      </c>
      <c r="AH23" s="169" t="e">
        <f>SUMIFS(#REF!,#REF!,$B23,#REF!,AH$1)</f>
        <v>#REF!</v>
      </c>
      <c r="AI23" s="182" t="e">
        <f t="shared" si="1"/>
        <v>#REF!</v>
      </c>
    </row>
    <row r="24" spans="2:35" ht="15.75" x14ac:dyDescent="0.25">
      <c r="B24" s="187" t="s">
        <v>2212</v>
      </c>
      <c r="C24" s="185">
        <v>200</v>
      </c>
      <c r="D24" s="169" t="e">
        <f>SUMIFS(#REF!,#REF!,$B24,#REF!,D$1)</f>
        <v>#REF!</v>
      </c>
      <c r="E24" s="169" t="e">
        <f>SUMIFS(#REF!,#REF!,$B24,#REF!,E$1)</f>
        <v>#REF!</v>
      </c>
      <c r="F24" s="169" t="e">
        <f>SUMIFS(#REF!,#REF!,$B24,#REF!,F$1)</f>
        <v>#REF!</v>
      </c>
      <c r="G24" s="169" t="e">
        <f>SUMIFS(#REF!,#REF!,$B24,#REF!,G$1)</f>
        <v>#REF!</v>
      </c>
      <c r="H24" s="169" t="e">
        <f>SUMIFS(#REF!,#REF!,$B24,#REF!,H$1)</f>
        <v>#REF!</v>
      </c>
      <c r="I24" s="169" t="e">
        <f>SUMIFS(#REF!,#REF!,$B24,#REF!,I$1)</f>
        <v>#REF!</v>
      </c>
      <c r="J24" s="169" t="e">
        <f>SUMIFS(#REF!,#REF!,$B24,#REF!,J$1)</f>
        <v>#REF!</v>
      </c>
      <c r="K24" s="169" t="e">
        <f>SUMIFS(#REF!,#REF!,$B24,#REF!,K$1)</f>
        <v>#REF!</v>
      </c>
      <c r="L24" s="169" t="e">
        <f>SUMIFS(#REF!,#REF!,$B24,#REF!,L$1)</f>
        <v>#REF!</v>
      </c>
      <c r="M24" s="169" t="e">
        <f>SUMIFS(#REF!,#REF!,$B24,#REF!,M$1)</f>
        <v>#REF!</v>
      </c>
      <c r="N24" s="169" t="e">
        <f>SUMIFS(#REF!,#REF!,$B24,#REF!,N$1)</f>
        <v>#REF!</v>
      </c>
      <c r="O24" s="169" t="e">
        <f>SUMIFS(#REF!,#REF!,$B24,#REF!,O$1)</f>
        <v>#REF!</v>
      </c>
      <c r="P24" s="169" t="e">
        <f>SUMIFS(#REF!,#REF!,$B24,#REF!,P$1)</f>
        <v>#REF!</v>
      </c>
      <c r="Q24" s="169" t="e">
        <f>SUMIFS(#REF!,#REF!,$B24,#REF!,Q$1)</f>
        <v>#REF!</v>
      </c>
      <c r="R24" s="169" t="e">
        <f>SUMIFS(#REF!,#REF!,$B24,#REF!,R$1)</f>
        <v>#REF!</v>
      </c>
      <c r="S24" s="169" t="e">
        <f>SUMIFS(#REF!,#REF!,$B24,#REF!,S$1)</f>
        <v>#REF!</v>
      </c>
      <c r="T24" s="169" t="e">
        <f>SUMIFS(#REF!,#REF!,$B24,#REF!,T$1)</f>
        <v>#REF!</v>
      </c>
      <c r="U24" s="169" t="e">
        <f>SUMIFS(#REF!,#REF!,$B24,#REF!,U$1)</f>
        <v>#REF!</v>
      </c>
      <c r="V24" s="169" t="e">
        <f>SUMIFS(#REF!,#REF!,$B24,#REF!,V$1)</f>
        <v>#REF!</v>
      </c>
      <c r="W24" s="169" t="e">
        <f>SUMIFS(#REF!,#REF!,$B24,#REF!,W$1)</f>
        <v>#REF!</v>
      </c>
      <c r="X24" s="169" t="e">
        <f>SUMIFS(#REF!,#REF!,$B24,#REF!,X$1)</f>
        <v>#REF!</v>
      </c>
      <c r="Y24" s="169" t="e">
        <f>SUMIFS(#REF!,#REF!,$B24,#REF!,Y$1)</f>
        <v>#REF!</v>
      </c>
      <c r="Z24" s="169" t="e">
        <f>SUMIFS(#REF!,#REF!,$B24,#REF!,Z$1)</f>
        <v>#REF!</v>
      </c>
      <c r="AA24" s="169" t="e">
        <f>SUMIFS(#REF!,#REF!,$B24,#REF!,AA$1)</f>
        <v>#REF!</v>
      </c>
      <c r="AB24" s="169" t="e">
        <f>SUMIFS(#REF!,#REF!,$B24,#REF!,AB$1)</f>
        <v>#REF!</v>
      </c>
      <c r="AC24" s="169" t="e">
        <f>SUMIFS(#REF!,#REF!,$B24,#REF!,AC$1)</f>
        <v>#REF!</v>
      </c>
      <c r="AD24" s="169" t="e">
        <f>SUMIFS(#REF!,#REF!,$B24,#REF!,AD$1)</f>
        <v>#REF!</v>
      </c>
      <c r="AE24" s="169" t="e">
        <f>SUMIFS(#REF!,#REF!,$B24,#REF!,AE$1)</f>
        <v>#REF!</v>
      </c>
      <c r="AF24" s="169" t="e">
        <f>SUMIFS(#REF!,#REF!,$B24,#REF!,AF$1)</f>
        <v>#REF!</v>
      </c>
      <c r="AG24" s="169" t="e">
        <f>SUMIFS(#REF!,#REF!,$B24,#REF!,AG$1)</f>
        <v>#REF!</v>
      </c>
      <c r="AH24" s="169" t="e">
        <f>SUMIFS(#REF!,#REF!,$B24,#REF!,AH$1)</f>
        <v>#REF!</v>
      </c>
      <c r="AI24" s="182" t="e">
        <f t="shared" si="1"/>
        <v>#REF!</v>
      </c>
    </row>
    <row r="25" spans="2:35" ht="15.75" x14ac:dyDescent="0.25">
      <c r="B25" s="187" t="s">
        <v>1897</v>
      </c>
      <c r="C25" s="185">
        <v>200</v>
      </c>
      <c r="D25" s="169" t="e">
        <f>SUMIFS(#REF!,#REF!,$B25,#REF!,D$1)</f>
        <v>#REF!</v>
      </c>
      <c r="E25" s="169" t="e">
        <f>SUMIFS(#REF!,#REF!,$B25,#REF!,E$1)</f>
        <v>#REF!</v>
      </c>
      <c r="F25" s="169" t="e">
        <f>SUMIFS(#REF!,#REF!,$B25,#REF!,F$1)</f>
        <v>#REF!</v>
      </c>
      <c r="G25" s="169" t="e">
        <f>SUMIFS(#REF!,#REF!,$B25,#REF!,G$1)</f>
        <v>#REF!</v>
      </c>
      <c r="H25" s="169" t="e">
        <f>SUMIFS(#REF!,#REF!,$B25,#REF!,H$1)</f>
        <v>#REF!</v>
      </c>
      <c r="I25" s="169" t="e">
        <f>SUMIFS(#REF!,#REF!,$B25,#REF!,I$1)</f>
        <v>#REF!</v>
      </c>
      <c r="J25" s="169" t="e">
        <f>SUMIFS(#REF!,#REF!,$B25,#REF!,J$1)</f>
        <v>#REF!</v>
      </c>
      <c r="K25" s="169" t="e">
        <f>SUMIFS(#REF!,#REF!,$B25,#REF!,K$1)</f>
        <v>#REF!</v>
      </c>
      <c r="L25" s="169" t="e">
        <f>SUMIFS(#REF!,#REF!,$B25,#REF!,L$1)</f>
        <v>#REF!</v>
      </c>
      <c r="M25" s="169" t="e">
        <f>SUMIFS(#REF!,#REF!,$B25,#REF!,M$1)</f>
        <v>#REF!</v>
      </c>
      <c r="N25" s="169" t="e">
        <f>SUMIFS(#REF!,#REF!,$B25,#REF!,N$1)</f>
        <v>#REF!</v>
      </c>
      <c r="O25" s="169" t="e">
        <f>SUMIFS(#REF!,#REF!,$B25,#REF!,O$1)</f>
        <v>#REF!</v>
      </c>
      <c r="P25" s="169" t="e">
        <f>SUMIFS(#REF!,#REF!,$B25,#REF!,P$1)</f>
        <v>#REF!</v>
      </c>
      <c r="Q25" s="169" t="e">
        <f>SUMIFS(#REF!,#REF!,$B25,#REF!,Q$1)</f>
        <v>#REF!</v>
      </c>
      <c r="R25" s="169" t="e">
        <f>SUMIFS(#REF!,#REF!,$B25,#REF!,R$1)</f>
        <v>#REF!</v>
      </c>
      <c r="S25" s="169" t="e">
        <f>SUMIFS(#REF!,#REF!,$B25,#REF!,S$1)</f>
        <v>#REF!</v>
      </c>
      <c r="T25" s="169" t="e">
        <f>SUMIFS(#REF!,#REF!,$B25,#REF!,T$1)</f>
        <v>#REF!</v>
      </c>
      <c r="U25" s="169" t="e">
        <f>SUMIFS(#REF!,#REF!,$B25,#REF!,U$1)</f>
        <v>#REF!</v>
      </c>
      <c r="V25" s="169" t="e">
        <f>SUMIFS(#REF!,#REF!,$B25,#REF!,V$1)</f>
        <v>#REF!</v>
      </c>
      <c r="W25" s="169" t="e">
        <f>SUMIFS(#REF!,#REF!,$B25,#REF!,W$1)</f>
        <v>#REF!</v>
      </c>
      <c r="X25" s="169" t="e">
        <f>SUMIFS(#REF!,#REF!,$B25,#REF!,X$1)</f>
        <v>#REF!</v>
      </c>
      <c r="Y25" s="169" t="e">
        <f>SUMIFS(#REF!,#REF!,$B25,#REF!,Y$1)</f>
        <v>#REF!</v>
      </c>
      <c r="Z25" s="169" t="e">
        <f>SUMIFS(#REF!,#REF!,$B25,#REF!,Z$1)</f>
        <v>#REF!</v>
      </c>
      <c r="AA25" s="169" t="e">
        <f>SUMIFS(#REF!,#REF!,$B25,#REF!,AA$1)</f>
        <v>#REF!</v>
      </c>
      <c r="AB25" s="169" t="e">
        <f>SUMIFS(#REF!,#REF!,$B25,#REF!,AB$1)</f>
        <v>#REF!</v>
      </c>
      <c r="AC25" s="169" t="e">
        <f>SUMIFS(#REF!,#REF!,$B25,#REF!,AC$1)</f>
        <v>#REF!</v>
      </c>
      <c r="AD25" s="169" t="e">
        <f>SUMIFS(#REF!,#REF!,$B25,#REF!,AD$1)</f>
        <v>#REF!</v>
      </c>
      <c r="AE25" s="169" t="e">
        <f>SUMIFS(#REF!,#REF!,$B25,#REF!,AE$1)</f>
        <v>#REF!</v>
      </c>
      <c r="AF25" s="169" t="e">
        <f>SUMIFS(#REF!,#REF!,$B25,#REF!,AF$1)</f>
        <v>#REF!</v>
      </c>
      <c r="AG25" s="169" t="e">
        <f>SUMIFS(#REF!,#REF!,$B25,#REF!,AG$1)</f>
        <v>#REF!</v>
      </c>
      <c r="AH25" s="169" t="e">
        <f>SUMIFS(#REF!,#REF!,$B25,#REF!,AH$1)</f>
        <v>#REF!</v>
      </c>
      <c r="AI25" s="182" t="e">
        <f t="shared" si="1"/>
        <v>#REF!</v>
      </c>
    </row>
    <row r="26" spans="2:35" ht="15.75" x14ac:dyDescent="0.25">
      <c r="B26" s="188" t="s">
        <v>2213</v>
      </c>
      <c r="C26" s="189">
        <v>20</v>
      </c>
      <c r="D26" s="169" t="e">
        <f>SUMIFS(#REF!,#REF!,$B26,#REF!,D$1)</f>
        <v>#REF!</v>
      </c>
      <c r="E26" s="169" t="e">
        <f>SUMIFS(#REF!,#REF!,$B26,#REF!,E$1)</f>
        <v>#REF!</v>
      </c>
      <c r="F26" s="169" t="e">
        <f>SUMIFS(#REF!,#REF!,$B26,#REF!,F$1)</f>
        <v>#REF!</v>
      </c>
      <c r="G26" s="169" t="e">
        <f>SUMIFS(#REF!,#REF!,$B26,#REF!,G$1)</f>
        <v>#REF!</v>
      </c>
      <c r="H26" s="169" t="e">
        <f>SUMIFS(#REF!,#REF!,$B26,#REF!,H$1)</f>
        <v>#REF!</v>
      </c>
      <c r="I26" s="169" t="e">
        <f>SUMIFS(#REF!,#REF!,$B26,#REF!,I$1)</f>
        <v>#REF!</v>
      </c>
      <c r="J26" s="169" t="e">
        <f>SUMIFS(#REF!,#REF!,$B26,#REF!,J$1)</f>
        <v>#REF!</v>
      </c>
      <c r="K26" s="169" t="e">
        <f>SUMIFS(#REF!,#REF!,$B26,#REF!,K$1)</f>
        <v>#REF!</v>
      </c>
      <c r="L26" s="169" t="e">
        <f>SUMIFS(#REF!,#REF!,$B26,#REF!,L$1)</f>
        <v>#REF!</v>
      </c>
      <c r="M26" s="169" t="e">
        <f>SUMIFS(#REF!,#REF!,$B26,#REF!,M$1)</f>
        <v>#REF!</v>
      </c>
      <c r="N26" s="169" t="e">
        <f>SUMIFS(#REF!,#REF!,$B26,#REF!,N$1)</f>
        <v>#REF!</v>
      </c>
      <c r="O26" s="169" t="e">
        <f>SUMIFS(#REF!,#REF!,$B26,#REF!,O$1)</f>
        <v>#REF!</v>
      </c>
      <c r="P26" s="169" t="e">
        <f>SUMIFS(#REF!,#REF!,$B26,#REF!,P$1)</f>
        <v>#REF!</v>
      </c>
      <c r="Q26" s="169" t="e">
        <f>SUMIFS(#REF!,#REF!,$B26,#REF!,Q$1)</f>
        <v>#REF!</v>
      </c>
      <c r="R26" s="169" t="e">
        <f>SUMIFS(#REF!,#REF!,$B26,#REF!,R$1)</f>
        <v>#REF!</v>
      </c>
      <c r="S26" s="169" t="e">
        <f>SUMIFS(#REF!,#REF!,$B26,#REF!,S$1)</f>
        <v>#REF!</v>
      </c>
      <c r="T26" s="169" t="e">
        <f>SUMIFS(#REF!,#REF!,$B26,#REF!,T$1)</f>
        <v>#REF!</v>
      </c>
      <c r="U26" s="169" t="e">
        <f>SUMIFS(#REF!,#REF!,$B26,#REF!,U$1)</f>
        <v>#REF!</v>
      </c>
      <c r="V26" s="169" t="e">
        <f>SUMIFS(#REF!,#REF!,$B26,#REF!,V$1)</f>
        <v>#REF!</v>
      </c>
      <c r="W26" s="169" t="e">
        <f>SUMIFS(#REF!,#REF!,$B26,#REF!,W$1)</f>
        <v>#REF!</v>
      </c>
      <c r="X26" s="169" t="e">
        <f>SUMIFS(#REF!,#REF!,$B26,#REF!,X$1)</f>
        <v>#REF!</v>
      </c>
      <c r="Y26" s="169" t="e">
        <f>SUMIFS(#REF!,#REF!,$B26,#REF!,Y$1)</f>
        <v>#REF!</v>
      </c>
      <c r="Z26" s="169" t="e">
        <f>SUMIFS(#REF!,#REF!,$B26,#REF!,Z$1)</f>
        <v>#REF!</v>
      </c>
      <c r="AA26" s="169" t="e">
        <f>SUMIFS(#REF!,#REF!,$B26,#REF!,AA$1)</f>
        <v>#REF!</v>
      </c>
      <c r="AB26" s="169" t="e">
        <f>SUMIFS(#REF!,#REF!,$B26,#REF!,AB$1)</f>
        <v>#REF!</v>
      </c>
      <c r="AC26" s="169" t="e">
        <f>SUMIFS(#REF!,#REF!,$B26,#REF!,AC$1)</f>
        <v>#REF!</v>
      </c>
      <c r="AD26" s="169" t="e">
        <f>SUMIFS(#REF!,#REF!,$B26,#REF!,AD$1)</f>
        <v>#REF!</v>
      </c>
      <c r="AE26" s="169" t="e">
        <f>SUMIFS(#REF!,#REF!,$B26,#REF!,AE$1)</f>
        <v>#REF!</v>
      </c>
      <c r="AF26" s="169" t="e">
        <f>SUMIFS(#REF!,#REF!,$B26,#REF!,AF$1)</f>
        <v>#REF!</v>
      </c>
      <c r="AG26" s="169" t="e">
        <f>SUMIFS(#REF!,#REF!,$B26,#REF!,AG$1)</f>
        <v>#REF!</v>
      </c>
      <c r="AH26" s="169" t="e">
        <f>SUMIFS(#REF!,#REF!,$B26,#REF!,AH$1)</f>
        <v>#REF!</v>
      </c>
      <c r="AI26" s="190" t="e">
        <f t="shared" si="1"/>
        <v>#REF!</v>
      </c>
    </row>
  </sheetData>
  <dataValidations count="1">
    <dataValidation type="list" allowBlank="1" showInputMessage="1" showErrorMessage="1" sqref="B3:B10" xr:uid="{00FE00B5-00DF-470F-A836-00BF005A00EF}">
      <formula1>$E$4:$E$37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0000000}">
          <x14:formula1>
            <xm:f>справочник!$E$4:$E$38</xm:f>
          </x14:formula1>
          <xm:sqref>B12:B26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0"/>
  <dimension ref="B1:AI26"/>
  <sheetViews>
    <sheetView topLeftCell="A25" zoomScale="80" workbookViewId="0">
      <selection activeCell="B28" sqref="B28:AJ54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x14ac:dyDescent="0.25">
      <c r="D1" s="157">
        <v>43586</v>
      </c>
      <c r="E1" s="157">
        <v>43587</v>
      </c>
      <c r="F1" s="157">
        <v>43588</v>
      </c>
      <c r="G1" s="157">
        <v>43589</v>
      </c>
      <c r="H1" s="157">
        <v>43590</v>
      </c>
      <c r="I1" s="157">
        <v>43591</v>
      </c>
      <c r="J1" s="157">
        <v>43592</v>
      </c>
      <c r="K1" s="157">
        <v>43593</v>
      </c>
      <c r="L1" s="157">
        <v>43594</v>
      </c>
      <c r="M1" s="157">
        <v>43595</v>
      </c>
      <c r="N1" s="157">
        <v>43596</v>
      </c>
      <c r="O1" s="157">
        <v>43597</v>
      </c>
      <c r="P1" s="157">
        <v>43598</v>
      </c>
      <c r="Q1" s="157">
        <v>43599</v>
      </c>
      <c r="R1" s="157">
        <v>43600</v>
      </c>
      <c r="S1" s="157">
        <v>43601</v>
      </c>
      <c r="T1" s="157">
        <v>43602</v>
      </c>
      <c r="U1" s="157">
        <v>43603</v>
      </c>
      <c r="V1" s="157">
        <v>43604</v>
      </c>
      <c r="W1" s="157">
        <v>43605</v>
      </c>
      <c r="X1" s="157">
        <v>43606</v>
      </c>
      <c r="Y1" s="157">
        <v>43607</v>
      </c>
      <c r="Z1" s="157">
        <v>43608</v>
      </c>
      <c r="AA1" s="157">
        <v>43609</v>
      </c>
      <c r="AB1" s="157">
        <v>43610</v>
      </c>
      <c r="AC1" s="157">
        <v>43611</v>
      </c>
      <c r="AD1" s="157">
        <v>43612</v>
      </c>
      <c r="AE1" s="157">
        <v>43613</v>
      </c>
      <c r="AF1" s="157">
        <v>43614</v>
      </c>
      <c r="AG1" s="157">
        <v>43615</v>
      </c>
      <c r="AH1" s="157">
        <v>43616</v>
      </c>
      <c r="AI1" s="158"/>
    </row>
    <row r="2" spans="2:35" ht="15.75" x14ac:dyDescent="0.25">
      <c r="D2" s="159">
        <v>1</v>
      </c>
      <c r="E2" s="160">
        <v>2</v>
      </c>
      <c r="F2" s="159">
        <v>3</v>
      </c>
      <c r="G2" s="160">
        <v>4</v>
      </c>
      <c r="H2" s="159">
        <v>5</v>
      </c>
      <c r="I2" s="161">
        <v>6</v>
      </c>
      <c r="J2" s="162">
        <v>7</v>
      </c>
      <c r="K2" s="161">
        <v>8</v>
      </c>
      <c r="L2" s="159">
        <v>9</v>
      </c>
      <c r="M2" s="160">
        <v>10</v>
      </c>
      <c r="N2" s="159">
        <v>11</v>
      </c>
      <c r="O2" s="160">
        <v>12</v>
      </c>
      <c r="P2" s="162">
        <v>13</v>
      </c>
      <c r="Q2" s="161">
        <v>14</v>
      </c>
      <c r="R2" s="162">
        <v>15</v>
      </c>
      <c r="S2" s="161">
        <v>16</v>
      </c>
      <c r="T2" s="162">
        <v>17</v>
      </c>
      <c r="U2" s="160">
        <v>18</v>
      </c>
      <c r="V2" s="159">
        <v>19</v>
      </c>
      <c r="W2" s="161">
        <v>20</v>
      </c>
      <c r="X2" s="162">
        <v>21</v>
      </c>
      <c r="Y2" s="161">
        <v>22</v>
      </c>
      <c r="Z2" s="162">
        <v>23</v>
      </c>
      <c r="AA2" s="161">
        <v>24</v>
      </c>
      <c r="AB2" s="159">
        <v>25</v>
      </c>
      <c r="AC2" s="160">
        <v>26</v>
      </c>
      <c r="AD2" s="162">
        <v>27</v>
      </c>
      <c r="AE2" s="161">
        <v>28</v>
      </c>
      <c r="AF2" s="162">
        <v>29</v>
      </c>
      <c r="AG2" s="161">
        <v>30</v>
      </c>
      <c r="AH2" s="162">
        <v>31</v>
      </c>
      <c r="AI2" s="158"/>
    </row>
    <row r="3" spans="2:35" ht="15.75" x14ac:dyDescent="0.25">
      <c r="B3" s="163" t="s">
        <v>58</v>
      </c>
      <c r="C3" s="164">
        <v>22.68</v>
      </c>
      <c r="D3" s="165" t="e">
        <f>SUMIFS(#REF!,#REF!,$B3,#REF!,D$1)</f>
        <v>#REF!</v>
      </c>
      <c r="E3" s="165" t="e">
        <f>SUMIFS(#REF!,#REF!,$B3,#REF!,E$1)</f>
        <v>#REF!</v>
      </c>
      <c r="F3" s="165" t="e">
        <f>SUMIFS(#REF!,#REF!,$B3,#REF!,F$1)</f>
        <v>#REF!</v>
      </c>
      <c r="G3" s="165" t="e">
        <f>SUMIFS(#REF!,#REF!,$B3,#REF!,G$1)</f>
        <v>#REF!</v>
      </c>
      <c r="H3" s="165" t="e">
        <f>SUMIFS(#REF!,#REF!,$B3,#REF!,H$1)</f>
        <v>#REF!</v>
      </c>
      <c r="I3" s="165" t="e">
        <f>SUMIFS(#REF!,#REF!,$B3,#REF!,I$1)</f>
        <v>#REF!</v>
      </c>
      <c r="J3" s="165" t="e">
        <f>SUMIFS(#REF!,#REF!,$B3,#REF!,J$1)</f>
        <v>#REF!</v>
      </c>
      <c r="K3" s="165" t="e">
        <f>SUMIFS(#REF!,#REF!,$B3,#REF!,K$1)</f>
        <v>#REF!</v>
      </c>
      <c r="L3" s="165" t="e">
        <f>SUMIFS(#REF!,#REF!,$B3,#REF!,L$1)</f>
        <v>#REF!</v>
      </c>
      <c r="M3" s="165" t="e">
        <f>SUMIFS(#REF!,#REF!,$B3,#REF!,M$1)</f>
        <v>#REF!</v>
      </c>
      <c r="N3" s="165" t="e">
        <f>SUMIFS(#REF!,#REF!,$B3,#REF!,N$1)</f>
        <v>#REF!</v>
      </c>
      <c r="O3" s="165" t="e">
        <f>SUMIFS(#REF!,#REF!,$B3,#REF!,O$1)</f>
        <v>#REF!</v>
      </c>
      <c r="P3" s="165" t="e">
        <f>SUMIFS(#REF!,#REF!,$B3,#REF!,P$1)</f>
        <v>#REF!</v>
      </c>
      <c r="Q3" s="165" t="e">
        <f>SUMIFS(#REF!,#REF!,$B3,#REF!,Q$1)</f>
        <v>#REF!</v>
      </c>
      <c r="R3" s="165" t="e">
        <f>SUMIFS(#REF!,#REF!,$B3,#REF!,R$1)</f>
        <v>#REF!</v>
      </c>
      <c r="S3" s="165" t="e">
        <f>SUMIFS(#REF!,#REF!,$B3,#REF!,S$1)</f>
        <v>#REF!</v>
      </c>
      <c r="T3" s="165" t="e">
        <f>SUMIFS(#REF!,#REF!,$B3,#REF!,T$1)</f>
        <v>#REF!</v>
      </c>
      <c r="U3" s="165" t="e">
        <f>SUMIFS(#REF!,#REF!,$B3,#REF!,U$1)</f>
        <v>#REF!</v>
      </c>
      <c r="V3" s="165" t="e">
        <f>SUMIFS(#REF!,#REF!,$B3,#REF!,V$1)</f>
        <v>#REF!</v>
      </c>
      <c r="W3" s="165" t="e">
        <f>SUMIFS(#REF!,#REF!,$B3,#REF!,W$1)</f>
        <v>#REF!</v>
      </c>
      <c r="X3" s="165" t="e">
        <f>SUMIFS(#REF!,#REF!,$B3,#REF!,X$1)</f>
        <v>#REF!</v>
      </c>
      <c r="Y3" s="165" t="e">
        <f>SUMIFS(#REF!,#REF!,$B3,#REF!,Y$1)</f>
        <v>#REF!</v>
      </c>
      <c r="Z3" s="165" t="e">
        <f>SUMIFS(#REF!,#REF!,$B3,#REF!,Z$1)</f>
        <v>#REF!</v>
      </c>
      <c r="AA3" s="165" t="e">
        <f>SUMIFS(#REF!,#REF!,$B3,#REF!,AA$1)</f>
        <v>#REF!</v>
      </c>
      <c r="AB3" s="165" t="e">
        <f>SUMIFS(#REF!,#REF!,$B3,#REF!,AB$1)</f>
        <v>#REF!</v>
      </c>
      <c r="AC3" s="165" t="e">
        <f>SUMIFS(#REF!,#REF!,$B3,#REF!,AC$1)</f>
        <v>#REF!</v>
      </c>
      <c r="AD3" s="165" t="e">
        <f>SUMIFS(#REF!,#REF!,$B3,#REF!,AD$1)</f>
        <v>#REF!</v>
      </c>
      <c r="AE3" s="165" t="e">
        <f>SUMIFS(#REF!,#REF!,$B3,#REF!,AE$1)</f>
        <v>#REF!</v>
      </c>
      <c r="AF3" s="165" t="e">
        <f>SUMIFS(#REF!,#REF!,$B3,#REF!,AF$1)</f>
        <v>#REF!</v>
      </c>
      <c r="AG3" s="165" t="e">
        <f>SUMIFS(#REF!,#REF!,$B3,#REF!,AG$1)</f>
        <v>#REF!</v>
      </c>
      <c r="AH3" s="165" t="e">
        <f>SUMIFS(#REF!,#REF!,$B3,#REF!,AH$1)</f>
        <v>#REF!</v>
      </c>
      <c r="AI3" s="166" t="e">
        <f t="shared" ref="AI3:AI10" si="0">SUM(D3:AH3)</f>
        <v>#REF!</v>
      </c>
    </row>
    <row r="4" spans="2:35" ht="15.75" x14ac:dyDescent="0.25">
      <c r="B4" s="167" t="s">
        <v>74</v>
      </c>
      <c r="C4" s="168">
        <v>25</v>
      </c>
      <c r="D4" s="169" t="e">
        <f>SUMIFS(#REF!,#REF!,$B4,#REF!,D$1)</f>
        <v>#REF!</v>
      </c>
      <c r="E4" s="169" t="e">
        <f>SUMIFS(#REF!,#REF!,$B4,#REF!,E$1)</f>
        <v>#REF!</v>
      </c>
      <c r="F4" s="169" t="e">
        <f>SUMIFS(#REF!,#REF!,$B4,#REF!,F$1)</f>
        <v>#REF!</v>
      </c>
      <c r="G4" s="169" t="e">
        <f>SUMIFS(#REF!,#REF!,$B4,#REF!,G$1)</f>
        <v>#REF!</v>
      </c>
      <c r="H4" s="169" t="e">
        <f>SUMIFS(#REF!,#REF!,$B4,#REF!,H$1)</f>
        <v>#REF!</v>
      </c>
      <c r="I4" s="169" t="e">
        <f>SUMIFS(#REF!,#REF!,$B4,#REF!,I$1)</f>
        <v>#REF!</v>
      </c>
      <c r="J4" s="169" t="e">
        <f>SUMIFS(#REF!,#REF!,$B4,#REF!,J$1)</f>
        <v>#REF!</v>
      </c>
      <c r="K4" s="169" t="e">
        <f>SUMIFS(#REF!,#REF!,$B4,#REF!,K$1)</f>
        <v>#REF!</v>
      </c>
      <c r="L4" s="169" t="e">
        <f>SUMIFS(#REF!,#REF!,$B4,#REF!,L$1)</f>
        <v>#REF!</v>
      </c>
      <c r="M4" s="169" t="e">
        <f>SUMIFS(#REF!,#REF!,$B4,#REF!,M$1)</f>
        <v>#REF!</v>
      </c>
      <c r="N4" s="169" t="e">
        <f>SUMIFS(#REF!,#REF!,$B4,#REF!,N$1)</f>
        <v>#REF!</v>
      </c>
      <c r="O4" s="169" t="e">
        <f>SUMIFS(#REF!,#REF!,$B4,#REF!,O$1)</f>
        <v>#REF!</v>
      </c>
      <c r="P4" s="169" t="e">
        <f>SUMIFS(#REF!,#REF!,$B4,#REF!,P$1)</f>
        <v>#REF!</v>
      </c>
      <c r="Q4" s="169" t="e">
        <f>SUMIFS(#REF!,#REF!,$B4,#REF!,Q$1)</f>
        <v>#REF!</v>
      </c>
      <c r="R4" s="169" t="e">
        <f>SUMIFS(#REF!,#REF!,$B4,#REF!,R$1)</f>
        <v>#REF!</v>
      </c>
      <c r="S4" s="169" t="e">
        <f>SUMIFS(#REF!,#REF!,$B4,#REF!,S$1)</f>
        <v>#REF!</v>
      </c>
      <c r="T4" s="169" t="e">
        <f>SUMIFS(#REF!,#REF!,$B4,#REF!,T$1)</f>
        <v>#REF!</v>
      </c>
      <c r="U4" s="169" t="e">
        <f>SUMIFS(#REF!,#REF!,$B4,#REF!,U$1)</f>
        <v>#REF!</v>
      </c>
      <c r="V4" s="169" t="e">
        <f>SUMIFS(#REF!,#REF!,$B4,#REF!,V$1)</f>
        <v>#REF!</v>
      </c>
      <c r="W4" s="169" t="e">
        <f>SUMIFS(#REF!,#REF!,$B4,#REF!,W$1)</f>
        <v>#REF!</v>
      </c>
      <c r="X4" s="169" t="e">
        <f>SUMIFS(#REF!,#REF!,$B4,#REF!,X$1)</f>
        <v>#REF!</v>
      </c>
      <c r="Y4" s="169" t="e">
        <f>SUMIFS(#REF!,#REF!,$B4,#REF!,Y$1)</f>
        <v>#REF!</v>
      </c>
      <c r="Z4" s="169" t="e">
        <f>SUMIFS(#REF!,#REF!,$B4,#REF!,Z$1)</f>
        <v>#REF!</v>
      </c>
      <c r="AA4" s="169" t="e">
        <f>SUMIFS(#REF!,#REF!,$B4,#REF!,AA$1)</f>
        <v>#REF!</v>
      </c>
      <c r="AB4" s="169" t="e">
        <f>SUMIFS(#REF!,#REF!,$B4,#REF!,AB$1)</f>
        <v>#REF!</v>
      </c>
      <c r="AC4" s="169" t="e">
        <f>SUMIFS(#REF!,#REF!,$B4,#REF!,AC$1)</f>
        <v>#REF!</v>
      </c>
      <c r="AD4" s="169" t="e">
        <f>SUMIFS(#REF!,#REF!,$B4,#REF!,AD$1)</f>
        <v>#REF!</v>
      </c>
      <c r="AE4" s="169" t="e">
        <f>SUMIFS(#REF!,#REF!,$B4,#REF!,AE$1)</f>
        <v>#REF!</v>
      </c>
      <c r="AF4" s="169" t="e">
        <f>SUMIFS(#REF!,#REF!,$B4,#REF!,AF$1)</f>
        <v>#REF!</v>
      </c>
      <c r="AG4" s="169" t="e">
        <f>SUMIFS(#REF!,#REF!,$B4,#REF!,AG$1)</f>
        <v>#REF!</v>
      </c>
      <c r="AH4" s="169" t="e">
        <f>SUMIFS(#REF!,#REF!,$B4,#REF!,AH$1)</f>
        <v>#REF!</v>
      </c>
      <c r="AI4" s="170" t="e">
        <f t="shared" si="0"/>
        <v>#REF!</v>
      </c>
    </row>
    <row r="5" spans="2:35" ht="15.75" x14ac:dyDescent="0.25">
      <c r="B5" s="167" t="s">
        <v>165</v>
      </c>
      <c r="C5" s="168">
        <v>25</v>
      </c>
      <c r="D5" s="169" t="e">
        <f>SUMIFS(#REF!,#REF!,$B5,#REF!,D$1)</f>
        <v>#REF!</v>
      </c>
      <c r="E5" s="169" t="e">
        <f>SUMIFS(#REF!,#REF!,$B5,#REF!,E$1)</f>
        <v>#REF!</v>
      </c>
      <c r="F5" s="169" t="e">
        <f>SUMIFS(#REF!,#REF!,$B5,#REF!,F$1)</f>
        <v>#REF!</v>
      </c>
      <c r="G5" s="169" t="e">
        <f>SUMIFS(#REF!,#REF!,$B5,#REF!,G$1)</f>
        <v>#REF!</v>
      </c>
      <c r="H5" s="169" t="e">
        <f>SUMIFS(#REF!,#REF!,$B5,#REF!,H$1)</f>
        <v>#REF!</v>
      </c>
      <c r="I5" s="169" t="e">
        <f>SUMIFS(#REF!,#REF!,$B5,#REF!,I$1)</f>
        <v>#REF!</v>
      </c>
      <c r="J5" s="169" t="e">
        <f>SUMIFS(#REF!,#REF!,$B5,#REF!,J$1)</f>
        <v>#REF!</v>
      </c>
      <c r="K5" s="169" t="e">
        <f>SUMIFS(#REF!,#REF!,$B5,#REF!,K$1)</f>
        <v>#REF!</v>
      </c>
      <c r="L5" s="169" t="e">
        <f>SUMIFS(#REF!,#REF!,$B5,#REF!,L$1)</f>
        <v>#REF!</v>
      </c>
      <c r="M5" s="169" t="e">
        <f>SUMIFS(#REF!,#REF!,$B5,#REF!,M$1)</f>
        <v>#REF!</v>
      </c>
      <c r="N5" s="169" t="e">
        <f>SUMIFS(#REF!,#REF!,$B5,#REF!,N$1)</f>
        <v>#REF!</v>
      </c>
      <c r="O5" s="169" t="e">
        <f>SUMIFS(#REF!,#REF!,$B5,#REF!,O$1)</f>
        <v>#REF!</v>
      </c>
      <c r="P5" s="169" t="e">
        <f>SUMIFS(#REF!,#REF!,$B5,#REF!,P$1)</f>
        <v>#REF!</v>
      </c>
      <c r="Q5" s="169" t="e">
        <f>SUMIFS(#REF!,#REF!,$B5,#REF!,Q$1)</f>
        <v>#REF!</v>
      </c>
      <c r="R5" s="169" t="e">
        <f>SUMIFS(#REF!,#REF!,$B5,#REF!,R$1)</f>
        <v>#REF!</v>
      </c>
      <c r="S5" s="169" t="e">
        <f>SUMIFS(#REF!,#REF!,$B5,#REF!,S$1)</f>
        <v>#REF!</v>
      </c>
      <c r="T5" s="169" t="e">
        <f>SUMIFS(#REF!,#REF!,$B5,#REF!,T$1)</f>
        <v>#REF!</v>
      </c>
      <c r="U5" s="169" t="e">
        <f>SUMIFS(#REF!,#REF!,$B5,#REF!,U$1)</f>
        <v>#REF!</v>
      </c>
      <c r="V5" s="169" t="e">
        <f>SUMIFS(#REF!,#REF!,$B5,#REF!,V$1)</f>
        <v>#REF!</v>
      </c>
      <c r="W5" s="169" t="e">
        <f>SUMIFS(#REF!,#REF!,$B5,#REF!,W$1)</f>
        <v>#REF!</v>
      </c>
      <c r="X5" s="169" t="e">
        <f>SUMIFS(#REF!,#REF!,$B5,#REF!,X$1)</f>
        <v>#REF!</v>
      </c>
      <c r="Y5" s="169" t="e">
        <f>SUMIFS(#REF!,#REF!,$B5,#REF!,Y$1)</f>
        <v>#REF!</v>
      </c>
      <c r="Z5" s="169" t="e">
        <f>SUMIFS(#REF!,#REF!,$B5,#REF!,Z$1)</f>
        <v>#REF!</v>
      </c>
      <c r="AA5" s="169" t="e">
        <f>SUMIFS(#REF!,#REF!,$B5,#REF!,AA$1)</f>
        <v>#REF!</v>
      </c>
      <c r="AB5" s="169" t="e">
        <f>SUMIFS(#REF!,#REF!,$B5,#REF!,AB$1)</f>
        <v>#REF!</v>
      </c>
      <c r="AC5" s="169" t="e">
        <f>SUMIFS(#REF!,#REF!,$B5,#REF!,AC$1)</f>
        <v>#REF!</v>
      </c>
      <c r="AD5" s="169" t="e">
        <f>SUMIFS(#REF!,#REF!,$B5,#REF!,AD$1)</f>
        <v>#REF!</v>
      </c>
      <c r="AE5" s="169" t="e">
        <f>SUMIFS(#REF!,#REF!,$B5,#REF!,AE$1)</f>
        <v>#REF!</v>
      </c>
      <c r="AF5" s="169" t="e">
        <f>SUMIFS(#REF!,#REF!,$B5,#REF!,AF$1)</f>
        <v>#REF!</v>
      </c>
      <c r="AG5" s="169" t="e">
        <f>SUMIFS(#REF!,#REF!,$B5,#REF!,AG$1)</f>
        <v>#REF!</v>
      </c>
      <c r="AH5" s="169" t="e">
        <f>SUMIFS(#REF!,#REF!,$B5,#REF!,AH$1)</f>
        <v>#REF!</v>
      </c>
      <c r="AI5" s="170" t="e">
        <f t="shared" si="0"/>
        <v>#REF!</v>
      </c>
    </row>
    <row r="6" spans="2:35" ht="15.75" x14ac:dyDescent="0.25">
      <c r="B6" s="167" t="s">
        <v>2084</v>
      </c>
      <c r="C6" s="168">
        <v>22.7</v>
      </c>
      <c r="D6" s="169" t="e">
        <f>SUMIFS(#REF!,#REF!,$B6,#REF!,D$1)</f>
        <v>#REF!</v>
      </c>
      <c r="E6" s="169" t="e">
        <f>SUMIFS(#REF!,#REF!,$B6,#REF!,E$1)</f>
        <v>#REF!</v>
      </c>
      <c r="F6" s="169" t="e">
        <f>SUMIFS(#REF!,#REF!,$B6,#REF!,F$1)</f>
        <v>#REF!</v>
      </c>
      <c r="G6" s="169" t="e">
        <f>SUMIFS(#REF!,#REF!,$B6,#REF!,G$1)</f>
        <v>#REF!</v>
      </c>
      <c r="H6" s="169" t="e">
        <f>SUMIFS(#REF!,#REF!,$B6,#REF!,H$1)</f>
        <v>#REF!</v>
      </c>
      <c r="I6" s="169" t="e">
        <f>SUMIFS(#REF!,#REF!,$B6,#REF!,I$1)</f>
        <v>#REF!</v>
      </c>
      <c r="J6" s="169" t="e">
        <f>SUMIFS(#REF!,#REF!,$B6,#REF!,J$1)</f>
        <v>#REF!</v>
      </c>
      <c r="K6" s="169" t="e">
        <f>SUMIFS(#REF!,#REF!,$B6,#REF!,K$1)</f>
        <v>#REF!</v>
      </c>
      <c r="L6" s="169" t="e">
        <f>SUMIFS(#REF!,#REF!,$B6,#REF!,L$1)</f>
        <v>#REF!</v>
      </c>
      <c r="M6" s="169" t="e">
        <f>SUMIFS(#REF!,#REF!,$B6,#REF!,M$1)</f>
        <v>#REF!</v>
      </c>
      <c r="N6" s="169" t="e">
        <f>SUMIFS(#REF!,#REF!,$B6,#REF!,N$1)</f>
        <v>#REF!</v>
      </c>
      <c r="O6" s="169" t="e">
        <f>SUMIFS(#REF!,#REF!,$B6,#REF!,O$1)</f>
        <v>#REF!</v>
      </c>
      <c r="P6" s="169" t="e">
        <f>SUMIFS(#REF!,#REF!,$B6,#REF!,P$1)</f>
        <v>#REF!</v>
      </c>
      <c r="Q6" s="169" t="e">
        <f>SUMIFS(#REF!,#REF!,$B6,#REF!,Q$1)</f>
        <v>#REF!</v>
      </c>
      <c r="R6" s="169" t="e">
        <f>SUMIFS(#REF!,#REF!,$B6,#REF!,R$1)</f>
        <v>#REF!</v>
      </c>
      <c r="S6" s="169" t="e">
        <f>SUMIFS(#REF!,#REF!,$B6,#REF!,S$1)</f>
        <v>#REF!</v>
      </c>
      <c r="T6" s="169" t="e">
        <f>SUMIFS(#REF!,#REF!,$B6,#REF!,T$1)</f>
        <v>#REF!</v>
      </c>
      <c r="U6" s="169" t="e">
        <f>SUMIFS(#REF!,#REF!,$B6,#REF!,U$1)</f>
        <v>#REF!</v>
      </c>
      <c r="V6" s="169" t="e">
        <f>SUMIFS(#REF!,#REF!,$B6,#REF!,V$1)</f>
        <v>#REF!</v>
      </c>
      <c r="W6" s="169" t="e">
        <f>SUMIFS(#REF!,#REF!,$B6,#REF!,W$1)</f>
        <v>#REF!</v>
      </c>
      <c r="X6" s="169" t="e">
        <f>SUMIFS(#REF!,#REF!,$B6,#REF!,X$1)</f>
        <v>#REF!</v>
      </c>
      <c r="Y6" s="169" t="e">
        <f>SUMIFS(#REF!,#REF!,$B6,#REF!,Y$1)</f>
        <v>#REF!</v>
      </c>
      <c r="Z6" s="169" t="e">
        <f>SUMIFS(#REF!,#REF!,$B6,#REF!,Z$1)</f>
        <v>#REF!</v>
      </c>
      <c r="AA6" s="169" t="e">
        <f>SUMIFS(#REF!,#REF!,$B6,#REF!,AA$1)</f>
        <v>#REF!</v>
      </c>
      <c r="AB6" s="169" t="e">
        <f>SUMIFS(#REF!,#REF!,$B6,#REF!,AB$1)</f>
        <v>#REF!</v>
      </c>
      <c r="AC6" s="169" t="e">
        <f>SUMIFS(#REF!,#REF!,$B6,#REF!,AC$1)</f>
        <v>#REF!</v>
      </c>
      <c r="AD6" s="169" t="e">
        <f>SUMIFS(#REF!,#REF!,$B6,#REF!,AD$1)</f>
        <v>#REF!</v>
      </c>
      <c r="AE6" s="169" t="e">
        <f>SUMIFS(#REF!,#REF!,$B6,#REF!,AE$1)</f>
        <v>#REF!</v>
      </c>
      <c r="AF6" s="169" t="e">
        <f>SUMIFS(#REF!,#REF!,$B6,#REF!,AF$1)</f>
        <v>#REF!</v>
      </c>
      <c r="AG6" s="169" t="e">
        <f>SUMIFS(#REF!,#REF!,$B6,#REF!,AG$1)</f>
        <v>#REF!</v>
      </c>
      <c r="AH6" s="169" t="e">
        <f>SUMIFS(#REF!,#REF!,$B6,#REF!,AH$1)</f>
        <v>#REF!</v>
      </c>
      <c r="AI6" s="170" t="e">
        <f t="shared" si="0"/>
        <v>#REF!</v>
      </c>
    </row>
    <row r="7" spans="2:35" ht="15.75" x14ac:dyDescent="0.25">
      <c r="B7" s="167" t="s">
        <v>2087</v>
      </c>
      <c r="C7" s="168">
        <v>22.7</v>
      </c>
      <c r="D7" s="169" t="e">
        <f>SUMIFS(#REF!,#REF!,$B7,#REF!,D$1)</f>
        <v>#REF!</v>
      </c>
      <c r="E7" s="169" t="e">
        <f>SUMIFS(#REF!,#REF!,$B7,#REF!,E$1)</f>
        <v>#REF!</v>
      </c>
      <c r="F7" s="169" t="e">
        <f>SUMIFS(#REF!,#REF!,$B7,#REF!,F$1)</f>
        <v>#REF!</v>
      </c>
      <c r="G7" s="169" t="e">
        <f>SUMIFS(#REF!,#REF!,$B7,#REF!,G$1)</f>
        <v>#REF!</v>
      </c>
      <c r="H7" s="169" t="e">
        <f>SUMIFS(#REF!,#REF!,$B7,#REF!,H$1)</f>
        <v>#REF!</v>
      </c>
      <c r="I7" s="169" t="e">
        <f>SUMIFS(#REF!,#REF!,$B7,#REF!,I$1)</f>
        <v>#REF!</v>
      </c>
      <c r="J7" s="169" t="e">
        <f>SUMIFS(#REF!,#REF!,$B7,#REF!,J$1)</f>
        <v>#REF!</v>
      </c>
      <c r="K7" s="169" t="e">
        <f>SUMIFS(#REF!,#REF!,$B7,#REF!,K$1)</f>
        <v>#REF!</v>
      </c>
      <c r="L7" s="169" t="e">
        <f>SUMIFS(#REF!,#REF!,$B7,#REF!,L$1)</f>
        <v>#REF!</v>
      </c>
      <c r="M7" s="169" t="e">
        <f>SUMIFS(#REF!,#REF!,$B7,#REF!,M$1)</f>
        <v>#REF!</v>
      </c>
      <c r="N7" s="169" t="e">
        <f>SUMIFS(#REF!,#REF!,$B7,#REF!,N$1)</f>
        <v>#REF!</v>
      </c>
      <c r="O7" s="169" t="e">
        <f>SUMIFS(#REF!,#REF!,$B7,#REF!,O$1)</f>
        <v>#REF!</v>
      </c>
      <c r="P7" s="169" t="e">
        <f>SUMIFS(#REF!,#REF!,$B7,#REF!,P$1)</f>
        <v>#REF!</v>
      </c>
      <c r="Q7" s="169" t="e">
        <f>SUMIFS(#REF!,#REF!,$B7,#REF!,Q$1)</f>
        <v>#REF!</v>
      </c>
      <c r="R7" s="169" t="e">
        <f>SUMIFS(#REF!,#REF!,$B7,#REF!,R$1)</f>
        <v>#REF!</v>
      </c>
      <c r="S7" s="169" t="e">
        <f>SUMIFS(#REF!,#REF!,$B7,#REF!,S$1)</f>
        <v>#REF!</v>
      </c>
      <c r="T7" s="169" t="e">
        <f>SUMIFS(#REF!,#REF!,$B7,#REF!,T$1)</f>
        <v>#REF!</v>
      </c>
      <c r="U7" s="169" t="e">
        <f>SUMIFS(#REF!,#REF!,$B7,#REF!,U$1)</f>
        <v>#REF!</v>
      </c>
      <c r="V7" s="169" t="e">
        <f>SUMIFS(#REF!,#REF!,$B7,#REF!,V$1)</f>
        <v>#REF!</v>
      </c>
      <c r="W7" s="169" t="e">
        <f>SUMIFS(#REF!,#REF!,$B7,#REF!,W$1)</f>
        <v>#REF!</v>
      </c>
      <c r="X7" s="169" t="e">
        <f>SUMIFS(#REF!,#REF!,$B7,#REF!,X$1)</f>
        <v>#REF!</v>
      </c>
      <c r="Y7" s="169" t="e">
        <f>SUMIFS(#REF!,#REF!,$B7,#REF!,Y$1)</f>
        <v>#REF!</v>
      </c>
      <c r="Z7" s="169" t="e">
        <f>SUMIFS(#REF!,#REF!,$B7,#REF!,Z$1)</f>
        <v>#REF!</v>
      </c>
      <c r="AA7" s="169" t="e">
        <f>SUMIFS(#REF!,#REF!,$B7,#REF!,AA$1)</f>
        <v>#REF!</v>
      </c>
      <c r="AB7" s="169" t="e">
        <f>SUMIFS(#REF!,#REF!,$B7,#REF!,AB$1)</f>
        <v>#REF!</v>
      </c>
      <c r="AC7" s="169" t="e">
        <f>SUMIFS(#REF!,#REF!,$B7,#REF!,AC$1)</f>
        <v>#REF!</v>
      </c>
      <c r="AD7" s="169" t="e">
        <f>SUMIFS(#REF!,#REF!,$B7,#REF!,AD$1)</f>
        <v>#REF!</v>
      </c>
      <c r="AE7" s="169" t="e">
        <f>SUMIFS(#REF!,#REF!,$B7,#REF!,AE$1)</f>
        <v>#REF!</v>
      </c>
      <c r="AF7" s="169" t="e">
        <f>SUMIFS(#REF!,#REF!,$B7,#REF!,AF$1)</f>
        <v>#REF!</v>
      </c>
      <c r="AG7" s="169" t="e">
        <f>SUMIFS(#REF!,#REF!,$B7,#REF!,AG$1)</f>
        <v>#REF!</v>
      </c>
      <c r="AH7" s="169" t="e">
        <f>SUMIFS(#REF!,#REF!,$B7,#REF!,AH$1)</f>
        <v>#REF!</v>
      </c>
      <c r="AI7" s="170" t="e">
        <f t="shared" si="0"/>
        <v>#REF!</v>
      </c>
    </row>
    <row r="8" spans="2:35" ht="15.75" x14ac:dyDescent="0.25">
      <c r="B8" s="171" t="s">
        <v>176</v>
      </c>
      <c r="C8" s="168">
        <v>22.7</v>
      </c>
      <c r="D8" s="169" t="e">
        <f>SUMIFS(#REF!,#REF!,$B8,#REF!,D$1)</f>
        <v>#REF!</v>
      </c>
      <c r="E8" s="169" t="e">
        <f>SUMIFS(#REF!,#REF!,$B8,#REF!,E$1)</f>
        <v>#REF!</v>
      </c>
      <c r="F8" s="169" t="e">
        <f>SUMIFS(#REF!,#REF!,$B8,#REF!,F$1)</f>
        <v>#REF!</v>
      </c>
      <c r="G8" s="169" t="e">
        <f>SUMIFS(#REF!,#REF!,$B8,#REF!,G$1)</f>
        <v>#REF!</v>
      </c>
      <c r="H8" s="169" t="e">
        <f>SUMIFS(#REF!,#REF!,$B8,#REF!,H$1)</f>
        <v>#REF!</v>
      </c>
      <c r="I8" s="169" t="e">
        <f>SUMIFS(#REF!,#REF!,$B8,#REF!,I$1)</f>
        <v>#REF!</v>
      </c>
      <c r="J8" s="169" t="e">
        <f>SUMIFS(#REF!,#REF!,$B8,#REF!,J$1)</f>
        <v>#REF!</v>
      </c>
      <c r="K8" s="169" t="e">
        <f>SUMIFS(#REF!,#REF!,$B8,#REF!,K$1)</f>
        <v>#REF!</v>
      </c>
      <c r="L8" s="169" t="e">
        <f>SUMIFS(#REF!,#REF!,$B8,#REF!,L$1)</f>
        <v>#REF!</v>
      </c>
      <c r="M8" s="169" t="e">
        <f>SUMIFS(#REF!,#REF!,$B8,#REF!,M$1)</f>
        <v>#REF!</v>
      </c>
      <c r="N8" s="169" t="e">
        <f>SUMIFS(#REF!,#REF!,$B8,#REF!,N$1)</f>
        <v>#REF!</v>
      </c>
      <c r="O8" s="169" t="e">
        <f>SUMIFS(#REF!,#REF!,$B8,#REF!,O$1)</f>
        <v>#REF!</v>
      </c>
      <c r="P8" s="169" t="e">
        <f>SUMIFS(#REF!,#REF!,$B8,#REF!,P$1)</f>
        <v>#REF!</v>
      </c>
      <c r="Q8" s="169" t="e">
        <f>SUMIFS(#REF!,#REF!,$B8,#REF!,Q$1)</f>
        <v>#REF!</v>
      </c>
      <c r="R8" s="169" t="e">
        <f>SUMIFS(#REF!,#REF!,$B8,#REF!,R$1)</f>
        <v>#REF!</v>
      </c>
      <c r="S8" s="169" t="e">
        <f>SUMIFS(#REF!,#REF!,$B8,#REF!,S$1)</f>
        <v>#REF!</v>
      </c>
      <c r="T8" s="169" t="e">
        <f>SUMIFS(#REF!,#REF!,$B8,#REF!,T$1)</f>
        <v>#REF!</v>
      </c>
      <c r="U8" s="169" t="e">
        <f>SUMIFS(#REF!,#REF!,$B8,#REF!,U$1)</f>
        <v>#REF!</v>
      </c>
      <c r="V8" s="169" t="e">
        <f>SUMIFS(#REF!,#REF!,$B8,#REF!,V$1)</f>
        <v>#REF!</v>
      </c>
      <c r="W8" s="169" t="e">
        <f>SUMIFS(#REF!,#REF!,$B8,#REF!,W$1)</f>
        <v>#REF!</v>
      </c>
      <c r="X8" s="169" t="e">
        <f>SUMIFS(#REF!,#REF!,$B8,#REF!,X$1)</f>
        <v>#REF!</v>
      </c>
      <c r="Y8" s="169" t="e">
        <f>SUMIFS(#REF!,#REF!,$B8,#REF!,Y$1)</f>
        <v>#REF!</v>
      </c>
      <c r="Z8" s="169" t="e">
        <f>SUMIFS(#REF!,#REF!,$B8,#REF!,Z$1)</f>
        <v>#REF!</v>
      </c>
      <c r="AA8" s="169" t="e">
        <f>SUMIFS(#REF!,#REF!,$B8,#REF!,AA$1)</f>
        <v>#REF!</v>
      </c>
      <c r="AB8" s="169" t="e">
        <f>SUMIFS(#REF!,#REF!,$B8,#REF!,AB$1)</f>
        <v>#REF!</v>
      </c>
      <c r="AC8" s="169" t="e">
        <f>SUMIFS(#REF!,#REF!,$B8,#REF!,AC$1)</f>
        <v>#REF!</v>
      </c>
      <c r="AD8" s="169" t="e">
        <f>SUMIFS(#REF!,#REF!,$B8,#REF!,AD$1)</f>
        <v>#REF!</v>
      </c>
      <c r="AE8" s="169" t="e">
        <f>SUMIFS(#REF!,#REF!,$B8,#REF!,AE$1)</f>
        <v>#REF!</v>
      </c>
      <c r="AF8" s="169" t="e">
        <f>SUMIFS(#REF!,#REF!,$B8,#REF!,AF$1)</f>
        <v>#REF!</v>
      </c>
      <c r="AG8" s="169" t="e">
        <f>SUMIFS(#REF!,#REF!,$B8,#REF!,AG$1)</f>
        <v>#REF!</v>
      </c>
      <c r="AH8" s="169" t="e">
        <f>SUMIFS(#REF!,#REF!,$B8,#REF!,AH$1)</f>
        <v>#REF!</v>
      </c>
      <c r="AI8" s="170" t="e">
        <f t="shared" si="0"/>
        <v>#REF!</v>
      </c>
    </row>
    <row r="9" spans="2:35" ht="15.75" x14ac:dyDescent="0.25">
      <c r="B9" s="167" t="s">
        <v>2053</v>
      </c>
      <c r="C9" s="168">
        <v>25</v>
      </c>
      <c r="D9" s="169" t="e">
        <f>SUMIFS(#REF!,#REF!,$B9,#REF!,D$1)</f>
        <v>#REF!</v>
      </c>
      <c r="E9" s="169" t="e">
        <f>SUMIFS(#REF!,#REF!,$B9,#REF!,E$1)</f>
        <v>#REF!</v>
      </c>
      <c r="F9" s="169" t="e">
        <f>SUMIFS(#REF!,#REF!,$B9,#REF!,F$1)</f>
        <v>#REF!</v>
      </c>
      <c r="G9" s="169" t="e">
        <f>SUMIFS(#REF!,#REF!,$B9,#REF!,G$1)</f>
        <v>#REF!</v>
      </c>
      <c r="H9" s="169" t="e">
        <f>SUMIFS(#REF!,#REF!,$B9,#REF!,H$1)</f>
        <v>#REF!</v>
      </c>
      <c r="I9" s="169" t="e">
        <f>SUMIFS(#REF!,#REF!,$B9,#REF!,I$1)</f>
        <v>#REF!</v>
      </c>
      <c r="J9" s="169" t="e">
        <f>SUMIFS(#REF!,#REF!,$B9,#REF!,J$1)</f>
        <v>#REF!</v>
      </c>
      <c r="K9" s="169" t="e">
        <f>SUMIFS(#REF!,#REF!,$B9,#REF!,K$1)</f>
        <v>#REF!</v>
      </c>
      <c r="L9" s="169" t="e">
        <f>SUMIFS(#REF!,#REF!,$B9,#REF!,L$1)</f>
        <v>#REF!</v>
      </c>
      <c r="M9" s="169" t="e">
        <f>SUMIFS(#REF!,#REF!,$B9,#REF!,M$1)</f>
        <v>#REF!</v>
      </c>
      <c r="N9" s="169" t="e">
        <f>SUMIFS(#REF!,#REF!,$B9,#REF!,N$1)</f>
        <v>#REF!</v>
      </c>
      <c r="O9" s="169" t="e">
        <f>SUMIFS(#REF!,#REF!,$B9,#REF!,O$1)</f>
        <v>#REF!</v>
      </c>
      <c r="P9" s="169" t="e">
        <f>SUMIFS(#REF!,#REF!,$B9,#REF!,P$1)</f>
        <v>#REF!</v>
      </c>
      <c r="Q9" s="169" t="e">
        <f>SUMIFS(#REF!,#REF!,$B9,#REF!,Q$1)</f>
        <v>#REF!</v>
      </c>
      <c r="R9" s="169" t="e">
        <f>SUMIFS(#REF!,#REF!,$B9,#REF!,R$1)</f>
        <v>#REF!</v>
      </c>
      <c r="S9" s="169" t="e">
        <f>SUMIFS(#REF!,#REF!,$B9,#REF!,S$1)</f>
        <v>#REF!</v>
      </c>
      <c r="T9" s="169" t="e">
        <f>SUMIFS(#REF!,#REF!,$B9,#REF!,T$1)</f>
        <v>#REF!</v>
      </c>
      <c r="U9" s="169" t="e">
        <f>SUMIFS(#REF!,#REF!,$B9,#REF!,U$1)</f>
        <v>#REF!</v>
      </c>
      <c r="V9" s="169" t="e">
        <f>SUMIFS(#REF!,#REF!,$B9,#REF!,V$1)</f>
        <v>#REF!</v>
      </c>
      <c r="W9" s="169" t="e">
        <f>SUMIFS(#REF!,#REF!,$B9,#REF!,W$1)</f>
        <v>#REF!</v>
      </c>
      <c r="X9" s="169" t="e">
        <f>SUMIFS(#REF!,#REF!,$B9,#REF!,X$1)</f>
        <v>#REF!</v>
      </c>
      <c r="Y9" s="169" t="e">
        <f>SUMIFS(#REF!,#REF!,$B9,#REF!,Y$1)</f>
        <v>#REF!</v>
      </c>
      <c r="Z9" s="169" t="e">
        <f>SUMIFS(#REF!,#REF!,$B9,#REF!,Z$1)</f>
        <v>#REF!</v>
      </c>
      <c r="AA9" s="169" t="e">
        <f>SUMIFS(#REF!,#REF!,$B9,#REF!,AA$1)</f>
        <v>#REF!</v>
      </c>
      <c r="AB9" s="169" t="e">
        <f>SUMIFS(#REF!,#REF!,$B9,#REF!,AB$1)</f>
        <v>#REF!</v>
      </c>
      <c r="AC9" s="169" t="e">
        <f>SUMIFS(#REF!,#REF!,$B9,#REF!,AC$1)</f>
        <v>#REF!</v>
      </c>
      <c r="AD9" s="169" t="e">
        <f>SUMIFS(#REF!,#REF!,$B9,#REF!,AD$1)</f>
        <v>#REF!</v>
      </c>
      <c r="AE9" s="169" t="e">
        <f>SUMIFS(#REF!,#REF!,$B9,#REF!,AE$1)</f>
        <v>#REF!</v>
      </c>
      <c r="AF9" s="169" t="e">
        <f>SUMIFS(#REF!,#REF!,$B9,#REF!,AF$1)</f>
        <v>#REF!</v>
      </c>
      <c r="AG9" s="169" t="e">
        <f>SUMIFS(#REF!,#REF!,$B9,#REF!,AG$1)</f>
        <v>#REF!</v>
      </c>
      <c r="AH9" s="169" t="e">
        <f>SUMIFS(#REF!,#REF!,$B9,#REF!,AH$1)</f>
        <v>#REF!</v>
      </c>
      <c r="AI9" s="170" t="e">
        <f t="shared" si="0"/>
        <v>#REF!</v>
      </c>
    </row>
    <row r="10" spans="2:35" ht="15.75" x14ac:dyDescent="0.25">
      <c r="B10" s="172" t="s">
        <v>2094</v>
      </c>
      <c r="C10" s="173">
        <v>22.7</v>
      </c>
      <c r="D10" s="174" t="e">
        <f>SUMIFS(#REF!,#REF!,$B10,#REF!,D$1)</f>
        <v>#REF!</v>
      </c>
      <c r="E10" s="174" t="e">
        <f>SUMIFS(#REF!,#REF!,$B10,#REF!,E$1)</f>
        <v>#REF!</v>
      </c>
      <c r="F10" s="174" t="e">
        <f>SUMIFS(#REF!,#REF!,$B10,#REF!,F$1)</f>
        <v>#REF!</v>
      </c>
      <c r="G10" s="174" t="e">
        <f>SUMIFS(#REF!,#REF!,$B10,#REF!,G$1)</f>
        <v>#REF!</v>
      </c>
      <c r="H10" s="174" t="e">
        <f>SUMIFS(#REF!,#REF!,$B10,#REF!,H$1)</f>
        <v>#REF!</v>
      </c>
      <c r="I10" s="174" t="e">
        <f>SUMIFS(#REF!,#REF!,$B10,#REF!,I$1)</f>
        <v>#REF!</v>
      </c>
      <c r="J10" s="174" t="e">
        <f>SUMIFS(#REF!,#REF!,$B10,#REF!,J$1)</f>
        <v>#REF!</v>
      </c>
      <c r="K10" s="174" t="e">
        <f>SUMIFS(#REF!,#REF!,$B10,#REF!,K$1)</f>
        <v>#REF!</v>
      </c>
      <c r="L10" s="174" t="e">
        <f>SUMIFS(#REF!,#REF!,$B10,#REF!,L$1)</f>
        <v>#REF!</v>
      </c>
      <c r="M10" s="174" t="e">
        <f>SUMIFS(#REF!,#REF!,$B10,#REF!,M$1)</f>
        <v>#REF!</v>
      </c>
      <c r="N10" s="174" t="e">
        <f>SUMIFS(#REF!,#REF!,$B10,#REF!,N$1)</f>
        <v>#REF!</v>
      </c>
      <c r="O10" s="174" t="e">
        <f>SUMIFS(#REF!,#REF!,$B10,#REF!,O$1)</f>
        <v>#REF!</v>
      </c>
      <c r="P10" s="174" t="e">
        <f>SUMIFS(#REF!,#REF!,$B10,#REF!,P$1)</f>
        <v>#REF!</v>
      </c>
      <c r="Q10" s="174" t="e">
        <f>SUMIFS(#REF!,#REF!,$B10,#REF!,Q$1)</f>
        <v>#REF!</v>
      </c>
      <c r="R10" s="174" t="e">
        <f>SUMIFS(#REF!,#REF!,$B10,#REF!,R$1)</f>
        <v>#REF!</v>
      </c>
      <c r="S10" s="174" t="e">
        <f>SUMIFS(#REF!,#REF!,$B10,#REF!,S$1)</f>
        <v>#REF!</v>
      </c>
      <c r="T10" s="174" t="e">
        <f>SUMIFS(#REF!,#REF!,$B10,#REF!,T$1)</f>
        <v>#REF!</v>
      </c>
      <c r="U10" s="174" t="e">
        <f>SUMIFS(#REF!,#REF!,$B10,#REF!,U$1)</f>
        <v>#REF!</v>
      </c>
      <c r="V10" s="174" t="e">
        <f>SUMIFS(#REF!,#REF!,$B10,#REF!,V$1)</f>
        <v>#REF!</v>
      </c>
      <c r="W10" s="174" t="e">
        <f>SUMIFS(#REF!,#REF!,$B10,#REF!,W$1)</f>
        <v>#REF!</v>
      </c>
      <c r="X10" s="174" t="e">
        <f>SUMIFS(#REF!,#REF!,$B10,#REF!,X$1)</f>
        <v>#REF!</v>
      </c>
      <c r="Y10" s="174" t="e">
        <f>SUMIFS(#REF!,#REF!,$B10,#REF!,Y$1)</f>
        <v>#REF!</v>
      </c>
      <c r="Z10" s="174" t="e">
        <f>SUMIFS(#REF!,#REF!,$B10,#REF!,Z$1)</f>
        <v>#REF!</v>
      </c>
      <c r="AA10" s="174" t="e">
        <f>SUMIFS(#REF!,#REF!,$B10,#REF!,AA$1)</f>
        <v>#REF!</v>
      </c>
      <c r="AB10" s="174" t="e">
        <f>SUMIFS(#REF!,#REF!,$B10,#REF!,AB$1)</f>
        <v>#REF!</v>
      </c>
      <c r="AC10" s="174" t="e">
        <f>SUMIFS(#REF!,#REF!,$B10,#REF!,AC$1)</f>
        <v>#REF!</v>
      </c>
      <c r="AD10" s="174" t="e">
        <f>SUMIFS(#REF!,#REF!,$B10,#REF!,AD$1)</f>
        <v>#REF!</v>
      </c>
      <c r="AE10" s="174" t="e">
        <f>SUMIFS(#REF!,#REF!,$B10,#REF!,AE$1)</f>
        <v>#REF!</v>
      </c>
      <c r="AF10" s="174" t="e">
        <f>SUMIFS(#REF!,#REF!,$B10,#REF!,AF$1)</f>
        <v>#REF!</v>
      </c>
      <c r="AG10" s="174" t="e">
        <f>SUMIFS(#REF!,#REF!,$B10,#REF!,AG$1)</f>
        <v>#REF!</v>
      </c>
      <c r="AH10" s="174" t="e">
        <f>SUMIFS(#REF!,#REF!,$B10,#REF!,AH$1)</f>
        <v>#REF!</v>
      </c>
      <c r="AI10" s="175" t="e">
        <f t="shared" si="0"/>
        <v>#REF!</v>
      </c>
    </row>
    <row r="11" spans="2:35" x14ac:dyDescent="0.25"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</row>
    <row r="12" spans="2:35" ht="15.75" x14ac:dyDescent="0.25">
      <c r="B12" s="177" t="s">
        <v>684</v>
      </c>
      <c r="C12" s="178">
        <v>20</v>
      </c>
      <c r="D12" s="165" t="e">
        <f>SUMIFS(#REF!,#REF!,$B12,#REF!,D$1)</f>
        <v>#REF!</v>
      </c>
      <c r="E12" s="165" t="e">
        <f>SUMIFS(#REF!,#REF!,$B12,#REF!,E$1)</f>
        <v>#REF!</v>
      </c>
      <c r="F12" s="165" t="e">
        <f>SUMIFS(#REF!,#REF!,$B12,#REF!,F$1)</f>
        <v>#REF!</v>
      </c>
      <c r="G12" s="165" t="e">
        <f>SUMIFS(#REF!,#REF!,$B12,#REF!,G$1)</f>
        <v>#REF!</v>
      </c>
      <c r="H12" s="165" t="e">
        <f>SUMIFS(#REF!,#REF!,$B12,#REF!,H$1)</f>
        <v>#REF!</v>
      </c>
      <c r="I12" s="165" t="e">
        <f>SUMIFS(#REF!,#REF!,$B12,#REF!,I$1)</f>
        <v>#REF!</v>
      </c>
      <c r="J12" s="165" t="e">
        <f>SUMIFS(#REF!,#REF!,$B12,#REF!,J$1)</f>
        <v>#REF!</v>
      </c>
      <c r="K12" s="165" t="e">
        <f>SUMIFS(#REF!,#REF!,$B12,#REF!,K$1)</f>
        <v>#REF!</v>
      </c>
      <c r="L12" s="165" t="e">
        <f>SUMIFS(#REF!,#REF!,$B12,#REF!,L$1)</f>
        <v>#REF!</v>
      </c>
      <c r="M12" s="165" t="e">
        <f>SUMIFS(#REF!,#REF!,$B12,#REF!,M$1)</f>
        <v>#REF!</v>
      </c>
      <c r="N12" s="165" t="e">
        <f>SUMIFS(#REF!,#REF!,$B12,#REF!,N$1)</f>
        <v>#REF!</v>
      </c>
      <c r="O12" s="165" t="e">
        <f>SUMIFS(#REF!,#REF!,$B12,#REF!,O$1)</f>
        <v>#REF!</v>
      </c>
      <c r="P12" s="165" t="e">
        <f>SUMIFS(#REF!,#REF!,$B12,#REF!,P$1)</f>
        <v>#REF!</v>
      </c>
      <c r="Q12" s="165" t="e">
        <f>SUMIFS(#REF!,#REF!,$B12,#REF!,Q$1)</f>
        <v>#REF!</v>
      </c>
      <c r="R12" s="165" t="e">
        <f>SUMIFS(#REF!,#REF!,$B12,#REF!,R$1)</f>
        <v>#REF!</v>
      </c>
      <c r="S12" s="165" t="e">
        <f>SUMIFS(#REF!,#REF!,$B12,#REF!,S$1)</f>
        <v>#REF!</v>
      </c>
      <c r="T12" s="165" t="e">
        <f>SUMIFS(#REF!,#REF!,$B12,#REF!,T$1)</f>
        <v>#REF!</v>
      </c>
      <c r="U12" s="165" t="e">
        <f>SUMIFS(#REF!,#REF!,$B12,#REF!,U$1)</f>
        <v>#REF!</v>
      </c>
      <c r="V12" s="165" t="e">
        <f>SUMIFS(#REF!,#REF!,$B12,#REF!,V$1)</f>
        <v>#REF!</v>
      </c>
      <c r="W12" s="165" t="e">
        <f>SUMIFS(#REF!,#REF!,$B12,#REF!,W$1)</f>
        <v>#REF!</v>
      </c>
      <c r="X12" s="165" t="e">
        <f>SUMIFS(#REF!,#REF!,$B12,#REF!,X$1)</f>
        <v>#REF!</v>
      </c>
      <c r="Y12" s="165" t="e">
        <f>SUMIFS(#REF!,#REF!,$B12,#REF!,Y$1)</f>
        <v>#REF!</v>
      </c>
      <c r="Z12" s="165" t="e">
        <f>SUMIFS(#REF!,#REF!,$B12,#REF!,Z$1)</f>
        <v>#REF!</v>
      </c>
      <c r="AA12" s="165" t="e">
        <f>SUMIFS(#REF!,#REF!,$B12,#REF!,AA$1)</f>
        <v>#REF!</v>
      </c>
      <c r="AB12" s="165" t="e">
        <f>SUMIFS(#REF!,#REF!,$B12,#REF!,AB$1)</f>
        <v>#REF!</v>
      </c>
      <c r="AC12" s="165" t="e">
        <f>SUMIFS(#REF!,#REF!,$B12,#REF!,AC$1)</f>
        <v>#REF!</v>
      </c>
      <c r="AD12" s="165" t="e">
        <f>SUMIFS(#REF!,#REF!,$B12,#REF!,AD$1)</f>
        <v>#REF!</v>
      </c>
      <c r="AE12" s="165" t="e">
        <f>SUMIFS(#REF!,#REF!,$B12,#REF!,AE$1)</f>
        <v>#REF!</v>
      </c>
      <c r="AF12" s="165" t="e">
        <f>SUMIFS(#REF!,#REF!,$B12,#REF!,AF$1)</f>
        <v>#REF!</v>
      </c>
      <c r="AG12" s="165" t="e">
        <f>SUMIFS(#REF!,#REF!,$B12,#REF!,AG$1)</f>
        <v>#REF!</v>
      </c>
      <c r="AH12" s="165" t="e">
        <f>SUMIFS(#REF!,#REF!,$B12,#REF!,AH$1)</f>
        <v>#REF!</v>
      </c>
      <c r="AI12" s="179" t="e">
        <f t="shared" ref="AI12:AI26" si="1">SUM(D12:AH12)</f>
        <v>#REF!</v>
      </c>
    </row>
    <row r="13" spans="2:35" ht="15.75" x14ac:dyDescent="0.25">
      <c r="B13" s="180" t="s">
        <v>1062</v>
      </c>
      <c r="C13" s="181">
        <v>20</v>
      </c>
      <c r="D13" s="169" t="e">
        <f>SUMIFS(#REF!,#REF!,$B13,#REF!,D$1)</f>
        <v>#REF!</v>
      </c>
      <c r="E13" s="169" t="e">
        <f>SUMIFS(#REF!,#REF!,$B13,#REF!,E$1)</f>
        <v>#REF!</v>
      </c>
      <c r="F13" s="169" t="e">
        <f>SUMIFS(#REF!,#REF!,$B13,#REF!,F$1)</f>
        <v>#REF!</v>
      </c>
      <c r="G13" s="169" t="e">
        <f>SUMIFS(#REF!,#REF!,$B13,#REF!,G$1)</f>
        <v>#REF!</v>
      </c>
      <c r="H13" s="169" t="e">
        <f>SUMIFS(#REF!,#REF!,$B13,#REF!,H$1)</f>
        <v>#REF!</v>
      </c>
      <c r="I13" s="169" t="e">
        <f>SUMIFS(#REF!,#REF!,$B13,#REF!,I$1)</f>
        <v>#REF!</v>
      </c>
      <c r="J13" s="169" t="e">
        <f>SUMIFS(#REF!,#REF!,$B13,#REF!,J$1)</f>
        <v>#REF!</v>
      </c>
      <c r="K13" s="169" t="e">
        <f>SUMIFS(#REF!,#REF!,$B13,#REF!,K$1)</f>
        <v>#REF!</v>
      </c>
      <c r="L13" s="169" t="e">
        <f>SUMIFS(#REF!,#REF!,$B13,#REF!,L$1)</f>
        <v>#REF!</v>
      </c>
      <c r="M13" s="169" t="e">
        <f>SUMIFS(#REF!,#REF!,$B13,#REF!,M$1)</f>
        <v>#REF!</v>
      </c>
      <c r="N13" s="169" t="e">
        <f>SUMIFS(#REF!,#REF!,$B13,#REF!,N$1)</f>
        <v>#REF!</v>
      </c>
      <c r="O13" s="169" t="e">
        <f>SUMIFS(#REF!,#REF!,$B13,#REF!,O$1)</f>
        <v>#REF!</v>
      </c>
      <c r="P13" s="169" t="e">
        <f>SUMIFS(#REF!,#REF!,$B13,#REF!,P$1)</f>
        <v>#REF!</v>
      </c>
      <c r="Q13" s="169" t="e">
        <f>SUMIFS(#REF!,#REF!,$B13,#REF!,Q$1)</f>
        <v>#REF!</v>
      </c>
      <c r="R13" s="169" t="e">
        <f>SUMIFS(#REF!,#REF!,$B13,#REF!,R$1)</f>
        <v>#REF!</v>
      </c>
      <c r="S13" s="169" t="e">
        <f>SUMIFS(#REF!,#REF!,$B13,#REF!,S$1)</f>
        <v>#REF!</v>
      </c>
      <c r="T13" s="169" t="e">
        <f>SUMIFS(#REF!,#REF!,$B13,#REF!,T$1)</f>
        <v>#REF!</v>
      </c>
      <c r="U13" s="169" t="e">
        <f>SUMIFS(#REF!,#REF!,$B13,#REF!,U$1)</f>
        <v>#REF!</v>
      </c>
      <c r="V13" s="169" t="e">
        <f>SUMIFS(#REF!,#REF!,$B13,#REF!,V$1)</f>
        <v>#REF!</v>
      </c>
      <c r="W13" s="169" t="e">
        <f>SUMIFS(#REF!,#REF!,$B13,#REF!,W$1)</f>
        <v>#REF!</v>
      </c>
      <c r="X13" s="169" t="e">
        <f>SUMIFS(#REF!,#REF!,$B13,#REF!,X$1)</f>
        <v>#REF!</v>
      </c>
      <c r="Y13" s="169" t="e">
        <f>SUMIFS(#REF!,#REF!,$B13,#REF!,Y$1)</f>
        <v>#REF!</v>
      </c>
      <c r="Z13" s="169" t="e">
        <f>SUMIFS(#REF!,#REF!,$B13,#REF!,Z$1)</f>
        <v>#REF!</v>
      </c>
      <c r="AA13" s="169" t="e">
        <f>SUMIFS(#REF!,#REF!,$B13,#REF!,AA$1)</f>
        <v>#REF!</v>
      </c>
      <c r="AB13" s="169" t="e">
        <f>SUMIFS(#REF!,#REF!,$B13,#REF!,AB$1)</f>
        <v>#REF!</v>
      </c>
      <c r="AC13" s="169" t="e">
        <f>SUMIFS(#REF!,#REF!,$B13,#REF!,AC$1)</f>
        <v>#REF!</v>
      </c>
      <c r="AD13" s="169" t="e">
        <f>SUMIFS(#REF!,#REF!,$B13,#REF!,AD$1)</f>
        <v>#REF!</v>
      </c>
      <c r="AE13" s="169" t="e">
        <f>SUMIFS(#REF!,#REF!,$B13,#REF!,AE$1)</f>
        <v>#REF!</v>
      </c>
      <c r="AF13" s="169" t="e">
        <f>SUMIFS(#REF!,#REF!,$B13,#REF!,AF$1)</f>
        <v>#REF!</v>
      </c>
      <c r="AG13" s="169" t="e">
        <f>SUMIFS(#REF!,#REF!,$B13,#REF!,AG$1)</f>
        <v>#REF!</v>
      </c>
      <c r="AH13" s="169" t="e">
        <f>SUMIFS(#REF!,#REF!,$B13,#REF!,AH$1)</f>
        <v>#REF!</v>
      </c>
      <c r="AI13" s="182" t="e">
        <f t="shared" si="1"/>
        <v>#REF!</v>
      </c>
    </row>
    <row r="14" spans="2:35" ht="15.75" x14ac:dyDescent="0.25">
      <c r="B14" s="183" t="s">
        <v>2202</v>
      </c>
      <c r="C14" s="181">
        <v>20</v>
      </c>
      <c r="D14" s="169" t="e">
        <f>SUMIFS(#REF!,#REF!,$B14,#REF!,D$1)</f>
        <v>#REF!</v>
      </c>
      <c r="E14" s="169" t="e">
        <f>SUMIFS(#REF!,#REF!,$B14,#REF!,E$1)</f>
        <v>#REF!</v>
      </c>
      <c r="F14" s="169" t="e">
        <f>SUMIFS(#REF!,#REF!,$B14,#REF!,F$1)</f>
        <v>#REF!</v>
      </c>
      <c r="G14" s="169" t="e">
        <f>SUMIFS(#REF!,#REF!,$B14,#REF!,G$1)</f>
        <v>#REF!</v>
      </c>
      <c r="H14" s="169" t="e">
        <f>SUMIFS(#REF!,#REF!,$B14,#REF!,H$1)</f>
        <v>#REF!</v>
      </c>
      <c r="I14" s="169" t="e">
        <f>SUMIFS(#REF!,#REF!,$B14,#REF!,I$1)</f>
        <v>#REF!</v>
      </c>
      <c r="J14" s="169" t="e">
        <f>SUMIFS(#REF!,#REF!,$B14,#REF!,J$1)</f>
        <v>#REF!</v>
      </c>
      <c r="K14" s="169" t="e">
        <f>SUMIFS(#REF!,#REF!,$B14,#REF!,K$1)</f>
        <v>#REF!</v>
      </c>
      <c r="L14" s="169" t="e">
        <f>SUMIFS(#REF!,#REF!,$B14,#REF!,L$1)</f>
        <v>#REF!</v>
      </c>
      <c r="M14" s="169" t="e">
        <f>SUMIFS(#REF!,#REF!,$B14,#REF!,M$1)</f>
        <v>#REF!</v>
      </c>
      <c r="N14" s="169" t="e">
        <f>SUMIFS(#REF!,#REF!,$B14,#REF!,N$1)</f>
        <v>#REF!</v>
      </c>
      <c r="O14" s="169" t="e">
        <f>SUMIFS(#REF!,#REF!,$B14,#REF!,O$1)</f>
        <v>#REF!</v>
      </c>
      <c r="P14" s="169" t="e">
        <f>SUMIFS(#REF!,#REF!,$B14,#REF!,P$1)</f>
        <v>#REF!</v>
      </c>
      <c r="Q14" s="169" t="e">
        <f>SUMIFS(#REF!,#REF!,$B14,#REF!,Q$1)</f>
        <v>#REF!</v>
      </c>
      <c r="R14" s="169" t="e">
        <f>SUMIFS(#REF!,#REF!,$B14,#REF!,R$1)</f>
        <v>#REF!</v>
      </c>
      <c r="S14" s="169" t="e">
        <f>SUMIFS(#REF!,#REF!,$B14,#REF!,S$1)</f>
        <v>#REF!</v>
      </c>
      <c r="T14" s="169" t="e">
        <f>SUMIFS(#REF!,#REF!,$B14,#REF!,T$1)</f>
        <v>#REF!</v>
      </c>
      <c r="U14" s="169" t="e">
        <f>SUMIFS(#REF!,#REF!,$B14,#REF!,U$1)</f>
        <v>#REF!</v>
      </c>
      <c r="V14" s="169" t="e">
        <f>SUMIFS(#REF!,#REF!,$B14,#REF!,V$1)</f>
        <v>#REF!</v>
      </c>
      <c r="W14" s="169" t="e">
        <f>SUMIFS(#REF!,#REF!,$B14,#REF!,W$1)</f>
        <v>#REF!</v>
      </c>
      <c r="X14" s="169" t="e">
        <f>SUMIFS(#REF!,#REF!,$B14,#REF!,X$1)</f>
        <v>#REF!</v>
      </c>
      <c r="Y14" s="169" t="e">
        <f>SUMIFS(#REF!,#REF!,$B14,#REF!,Y$1)</f>
        <v>#REF!</v>
      </c>
      <c r="Z14" s="169" t="e">
        <f>SUMIFS(#REF!,#REF!,$B14,#REF!,Z$1)</f>
        <v>#REF!</v>
      </c>
      <c r="AA14" s="169" t="e">
        <f>SUMIFS(#REF!,#REF!,$B14,#REF!,AA$1)</f>
        <v>#REF!</v>
      </c>
      <c r="AB14" s="169" t="e">
        <f>SUMIFS(#REF!,#REF!,$B14,#REF!,AB$1)</f>
        <v>#REF!</v>
      </c>
      <c r="AC14" s="169" t="e">
        <f>SUMIFS(#REF!,#REF!,$B14,#REF!,AC$1)</f>
        <v>#REF!</v>
      </c>
      <c r="AD14" s="169" t="e">
        <f>SUMIFS(#REF!,#REF!,$B14,#REF!,AD$1)</f>
        <v>#REF!</v>
      </c>
      <c r="AE14" s="169" t="e">
        <f>SUMIFS(#REF!,#REF!,$B14,#REF!,AE$1)</f>
        <v>#REF!</v>
      </c>
      <c r="AF14" s="169" t="e">
        <f>SUMIFS(#REF!,#REF!,$B14,#REF!,AF$1)</f>
        <v>#REF!</v>
      </c>
      <c r="AG14" s="169" t="e">
        <f>SUMIFS(#REF!,#REF!,$B14,#REF!,AG$1)</f>
        <v>#REF!</v>
      </c>
      <c r="AH14" s="169" t="e">
        <f>SUMIFS(#REF!,#REF!,$B14,#REF!,AH$1)</f>
        <v>#REF!</v>
      </c>
      <c r="AI14" s="182" t="e">
        <f t="shared" si="1"/>
        <v>#REF!</v>
      </c>
    </row>
    <row r="15" spans="2:35" ht="15.75" x14ac:dyDescent="0.25">
      <c r="B15" s="183" t="s">
        <v>2203</v>
      </c>
      <c r="C15" s="181">
        <v>20</v>
      </c>
      <c r="D15" s="169" t="e">
        <f>SUMIFS(#REF!,#REF!,$B15,#REF!,D$1)</f>
        <v>#REF!</v>
      </c>
      <c r="E15" s="169" t="e">
        <f>SUMIFS(#REF!,#REF!,$B15,#REF!,E$1)</f>
        <v>#REF!</v>
      </c>
      <c r="F15" s="169" t="e">
        <f>SUMIFS(#REF!,#REF!,$B15,#REF!,F$1)</f>
        <v>#REF!</v>
      </c>
      <c r="G15" s="169" t="e">
        <f>SUMIFS(#REF!,#REF!,$B15,#REF!,G$1)</f>
        <v>#REF!</v>
      </c>
      <c r="H15" s="169" t="e">
        <f>SUMIFS(#REF!,#REF!,$B15,#REF!,H$1)</f>
        <v>#REF!</v>
      </c>
      <c r="I15" s="169" t="e">
        <f>SUMIFS(#REF!,#REF!,$B15,#REF!,I$1)</f>
        <v>#REF!</v>
      </c>
      <c r="J15" s="169" t="e">
        <f>SUMIFS(#REF!,#REF!,$B15,#REF!,J$1)</f>
        <v>#REF!</v>
      </c>
      <c r="K15" s="169" t="e">
        <f>SUMIFS(#REF!,#REF!,$B15,#REF!,K$1)</f>
        <v>#REF!</v>
      </c>
      <c r="L15" s="169" t="e">
        <f>SUMIFS(#REF!,#REF!,$B15,#REF!,L$1)</f>
        <v>#REF!</v>
      </c>
      <c r="M15" s="169" t="e">
        <f>SUMIFS(#REF!,#REF!,$B15,#REF!,M$1)</f>
        <v>#REF!</v>
      </c>
      <c r="N15" s="169" t="e">
        <f>SUMIFS(#REF!,#REF!,$B15,#REF!,N$1)</f>
        <v>#REF!</v>
      </c>
      <c r="O15" s="169" t="e">
        <f>SUMIFS(#REF!,#REF!,$B15,#REF!,O$1)</f>
        <v>#REF!</v>
      </c>
      <c r="P15" s="169" t="e">
        <f>SUMIFS(#REF!,#REF!,$B15,#REF!,P$1)</f>
        <v>#REF!</v>
      </c>
      <c r="Q15" s="169" t="e">
        <f>SUMIFS(#REF!,#REF!,$B15,#REF!,Q$1)</f>
        <v>#REF!</v>
      </c>
      <c r="R15" s="169" t="e">
        <f>SUMIFS(#REF!,#REF!,$B15,#REF!,R$1)</f>
        <v>#REF!</v>
      </c>
      <c r="S15" s="169" t="e">
        <f>SUMIFS(#REF!,#REF!,$B15,#REF!,S$1)</f>
        <v>#REF!</v>
      </c>
      <c r="T15" s="169" t="e">
        <f>SUMIFS(#REF!,#REF!,$B15,#REF!,T$1)</f>
        <v>#REF!</v>
      </c>
      <c r="U15" s="169" t="e">
        <f>SUMIFS(#REF!,#REF!,$B15,#REF!,U$1)</f>
        <v>#REF!</v>
      </c>
      <c r="V15" s="169" t="e">
        <f>SUMIFS(#REF!,#REF!,$B15,#REF!,V$1)</f>
        <v>#REF!</v>
      </c>
      <c r="W15" s="169" t="e">
        <f>SUMIFS(#REF!,#REF!,$B15,#REF!,W$1)</f>
        <v>#REF!</v>
      </c>
      <c r="X15" s="169" t="e">
        <f>SUMIFS(#REF!,#REF!,$B15,#REF!,X$1)</f>
        <v>#REF!</v>
      </c>
      <c r="Y15" s="169" t="e">
        <f>SUMIFS(#REF!,#REF!,$B15,#REF!,Y$1)</f>
        <v>#REF!</v>
      </c>
      <c r="Z15" s="169" t="e">
        <f>SUMIFS(#REF!,#REF!,$B15,#REF!,Z$1)</f>
        <v>#REF!</v>
      </c>
      <c r="AA15" s="169" t="e">
        <f>SUMIFS(#REF!,#REF!,$B15,#REF!,AA$1)</f>
        <v>#REF!</v>
      </c>
      <c r="AB15" s="169" t="e">
        <f>SUMIFS(#REF!,#REF!,$B15,#REF!,AB$1)</f>
        <v>#REF!</v>
      </c>
      <c r="AC15" s="169" t="e">
        <f>SUMIFS(#REF!,#REF!,$B15,#REF!,AC$1)</f>
        <v>#REF!</v>
      </c>
      <c r="AD15" s="169" t="e">
        <f>SUMIFS(#REF!,#REF!,$B15,#REF!,AD$1)</f>
        <v>#REF!</v>
      </c>
      <c r="AE15" s="169" t="e">
        <f>SUMIFS(#REF!,#REF!,$B15,#REF!,AE$1)</f>
        <v>#REF!</v>
      </c>
      <c r="AF15" s="169" t="e">
        <f>SUMIFS(#REF!,#REF!,$B15,#REF!,AF$1)</f>
        <v>#REF!</v>
      </c>
      <c r="AG15" s="169" t="e">
        <f>SUMIFS(#REF!,#REF!,$B15,#REF!,AG$1)</f>
        <v>#REF!</v>
      </c>
      <c r="AH15" s="169" t="e">
        <f>SUMIFS(#REF!,#REF!,$B15,#REF!,AH$1)</f>
        <v>#REF!</v>
      </c>
      <c r="AI15" s="182" t="e">
        <f t="shared" si="1"/>
        <v>#REF!</v>
      </c>
    </row>
    <row r="16" spans="2:35" ht="25.5" x14ac:dyDescent="0.25">
      <c r="B16" s="183" t="s">
        <v>2204</v>
      </c>
      <c r="C16" s="181">
        <v>50</v>
      </c>
      <c r="D16" s="169" t="e">
        <f>SUMIFS(#REF!,#REF!,$B16,#REF!,D$1)</f>
        <v>#REF!</v>
      </c>
      <c r="E16" s="169" t="e">
        <f>SUMIFS(#REF!,#REF!,$B16,#REF!,E$1)</f>
        <v>#REF!</v>
      </c>
      <c r="F16" s="169" t="e">
        <f>SUMIFS(#REF!,#REF!,$B16,#REF!,F$1)</f>
        <v>#REF!</v>
      </c>
      <c r="G16" s="169" t="e">
        <f>SUMIFS(#REF!,#REF!,$B16,#REF!,G$1)</f>
        <v>#REF!</v>
      </c>
      <c r="H16" s="169" t="e">
        <f>SUMIFS(#REF!,#REF!,$B16,#REF!,H$1)</f>
        <v>#REF!</v>
      </c>
      <c r="I16" s="169" t="e">
        <f>SUMIFS(#REF!,#REF!,$B16,#REF!,I$1)</f>
        <v>#REF!</v>
      </c>
      <c r="J16" s="169" t="e">
        <f>SUMIFS(#REF!,#REF!,$B16,#REF!,J$1)</f>
        <v>#REF!</v>
      </c>
      <c r="K16" s="169" t="e">
        <f>SUMIFS(#REF!,#REF!,$B16,#REF!,K$1)</f>
        <v>#REF!</v>
      </c>
      <c r="L16" s="169" t="e">
        <f>SUMIFS(#REF!,#REF!,$B16,#REF!,L$1)</f>
        <v>#REF!</v>
      </c>
      <c r="M16" s="169" t="e">
        <f>SUMIFS(#REF!,#REF!,$B16,#REF!,M$1)</f>
        <v>#REF!</v>
      </c>
      <c r="N16" s="169" t="e">
        <f>SUMIFS(#REF!,#REF!,$B16,#REF!,N$1)</f>
        <v>#REF!</v>
      </c>
      <c r="O16" s="169" t="e">
        <f>SUMIFS(#REF!,#REF!,$B16,#REF!,O$1)</f>
        <v>#REF!</v>
      </c>
      <c r="P16" s="169" t="e">
        <f>SUMIFS(#REF!,#REF!,$B16,#REF!,P$1)</f>
        <v>#REF!</v>
      </c>
      <c r="Q16" s="169" t="e">
        <f>SUMIFS(#REF!,#REF!,$B16,#REF!,Q$1)</f>
        <v>#REF!</v>
      </c>
      <c r="R16" s="169" t="e">
        <f>SUMIFS(#REF!,#REF!,$B16,#REF!,R$1)</f>
        <v>#REF!</v>
      </c>
      <c r="S16" s="169" t="e">
        <f>SUMIFS(#REF!,#REF!,$B16,#REF!,S$1)</f>
        <v>#REF!</v>
      </c>
      <c r="T16" s="169" t="e">
        <f>SUMIFS(#REF!,#REF!,$B16,#REF!,T$1)</f>
        <v>#REF!</v>
      </c>
      <c r="U16" s="169" t="e">
        <f>SUMIFS(#REF!,#REF!,$B16,#REF!,U$1)</f>
        <v>#REF!</v>
      </c>
      <c r="V16" s="169" t="e">
        <f>SUMIFS(#REF!,#REF!,$B16,#REF!,V$1)</f>
        <v>#REF!</v>
      </c>
      <c r="W16" s="169" t="e">
        <f>SUMIFS(#REF!,#REF!,$B16,#REF!,W$1)</f>
        <v>#REF!</v>
      </c>
      <c r="X16" s="169" t="e">
        <f>SUMIFS(#REF!,#REF!,$B16,#REF!,X$1)</f>
        <v>#REF!</v>
      </c>
      <c r="Y16" s="169" t="e">
        <f>SUMIFS(#REF!,#REF!,$B16,#REF!,Y$1)</f>
        <v>#REF!</v>
      </c>
      <c r="Z16" s="169" t="e">
        <f>SUMIFS(#REF!,#REF!,$B16,#REF!,Z$1)</f>
        <v>#REF!</v>
      </c>
      <c r="AA16" s="169" t="e">
        <f>SUMIFS(#REF!,#REF!,$B16,#REF!,AA$1)</f>
        <v>#REF!</v>
      </c>
      <c r="AB16" s="169" t="e">
        <f>SUMIFS(#REF!,#REF!,$B16,#REF!,AB$1)</f>
        <v>#REF!</v>
      </c>
      <c r="AC16" s="169" t="e">
        <f>SUMIFS(#REF!,#REF!,$B16,#REF!,AC$1)</f>
        <v>#REF!</v>
      </c>
      <c r="AD16" s="169" t="e">
        <f>SUMIFS(#REF!,#REF!,$B16,#REF!,AD$1)</f>
        <v>#REF!</v>
      </c>
      <c r="AE16" s="169" t="e">
        <f>SUMIFS(#REF!,#REF!,$B16,#REF!,AE$1)</f>
        <v>#REF!</v>
      </c>
      <c r="AF16" s="169" t="e">
        <f>SUMIFS(#REF!,#REF!,$B16,#REF!,AF$1)</f>
        <v>#REF!</v>
      </c>
      <c r="AG16" s="169" t="e">
        <f>SUMIFS(#REF!,#REF!,$B16,#REF!,AG$1)</f>
        <v>#REF!</v>
      </c>
      <c r="AH16" s="169" t="e">
        <f>SUMIFS(#REF!,#REF!,$B16,#REF!,AH$1)</f>
        <v>#REF!</v>
      </c>
      <c r="AI16" s="182" t="e">
        <f t="shared" si="1"/>
        <v>#REF!</v>
      </c>
    </row>
    <row r="17" spans="2:35" ht="15.75" x14ac:dyDescent="0.25">
      <c r="B17" s="184" t="s">
        <v>2205</v>
      </c>
      <c r="C17" s="185">
        <v>200</v>
      </c>
      <c r="D17" s="169" t="e">
        <f>SUMIFS(#REF!,#REF!,$B17,#REF!,D$1)</f>
        <v>#REF!</v>
      </c>
      <c r="E17" s="169" t="e">
        <f>SUMIFS(#REF!,#REF!,$B17,#REF!,E$1)</f>
        <v>#REF!</v>
      </c>
      <c r="F17" s="169" t="e">
        <f>SUMIFS(#REF!,#REF!,$B17,#REF!,F$1)</f>
        <v>#REF!</v>
      </c>
      <c r="G17" s="169" t="e">
        <f>SUMIFS(#REF!,#REF!,$B17,#REF!,G$1)</f>
        <v>#REF!</v>
      </c>
      <c r="H17" s="169" t="e">
        <f>SUMIFS(#REF!,#REF!,$B17,#REF!,H$1)</f>
        <v>#REF!</v>
      </c>
      <c r="I17" s="169" t="e">
        <f>SUMIFS(#REF!,#REF!,$B17,#REF!,I$1)</f>
        <v>#REF!</v>
      </c>
      <c r="J17" s="169" t="e">
        <f>SUMIFS(#REF!,#REF!,$B17,#REF!,J$1)</f>
        <v>#REF!</v>
      </c>
      <c r="K17" s="169" t="e">
        <f>SUMIFS(#REF!,#REF!,$B17,#REF!,K$1)</f>
        <v>#REF!</v>
      </c>
      <c r="L17" s="169" t="e">
        <f>SUMIFS(#REF!,#REF!,$B17,#REF!,L$1)</f>
        <v>#REF!</v>
      </c>
      <c r="M17" s="169" t="e">
        <f>SUMIFS(#REF!,#REF!,$B17,#REF!,M$1)</f>
        <v>#REF!</v>
      </c>
      <c r="N17" s="169" t="e">
        <f>SUMIFS(#REF!,#REF!,$B17,#REF!,N$1)</f>
        <v>#REF!</v>
      </c>
      <c r="O17" s="169" t="e">
        <f>SUMIFS(#REF!,#REF!,$B17,#REF!,O$1)</f>
        <v>#REF!</v>
      </c>
      <c r="P17" s="169" t="e">
        <f>SUMIFS(#REF!,#REF!,$B17,#REF!,P$1)</f>
        <v>#REF!</v>
      </c>
      <c r="Q17" s="169" t="e">
        <f>SUMIFS(#REF!,#REF!,$B17,#REF!,Q$1)</f>
        <v>#REF!</v>
      </c>
      <c r="R17" s="169" t="e">
        <f>SUMIFS(#REF!,#REF!,$B17,#REF!,R$1)</f>
        <v>#REF!</v>
      </c>
      <c r="S17" s="169" t="e">
        <f>SUMIFS(#REF!,#REF!,$B17,#REF!,S$1)</f>
        <v>#REF!</v>
      </c>
      <c r="T17" s="169" t="e">
        <f>SUMIFS(#REF!,#REF!,$B17,#REF!,T$1)</f>
        <v>#REF!</v>
      </c>
      <c r="U17" s="169" t="e">
        <f>SUMIFS(#REF!,#REF!,$B17,#REF!,U$1)</f>
        <v>#REF!</v>
      </c>
      <c r="V17" s="169" t="e">
        <f>SUMIFS(#REF!,#REF!,$B17,#REF!,V$1)</f>
        <v>#REF!</v>
      </c>
      <c r="W17" s="169" t="e">
        <f>SUMIFS(#REF!,#REF!,$B17,#REF!,W$1)</f>
        <v>#REF!</v>
      </c>
      <c r="X17" s="169" t="e">
        <f>SUMIFS(#REF!,#REF!,$B17,#REF!,X$1)</f>
        <v>#REF!</v>
      </c>
      <c r="Y17" s="169" t="e">
        <f>SUMIFS(#REF!,#REF!,$B17,#REF!,Y$1)</f>
        <v>#REF!</v>
      </c>
      <c r="Z17" s="169" t="e">
        <f>SUMIFS(#REF!,#REF!,$B17,#REF!,Z$1)</f>
        <v>#REF!</v>
      </c>
      <c r="AA17" s="169" t="e">
        <f>SUMIFS(#REF!,#REF!,$B17,#REF!,AA$1)</f>
        <v>#REF!</v>
      </c>
      <c r="AB17" s="169" t="e">
        <f>SUMIFS(#REF!,#REF!,$B17,#REF!,AB$1)</f>
        <v>#REF!</v>
      </c>
      <c r="AC17" s="169" t="e">
        <f>SUMIFS(#REF!,#REF!,$B17,#REF!,AC$1)</f>
        <v>#REF!</v>
      </c>
      <c r="AD17" s="169" t="e">
        <f>SUMIFS(#REF!,#REF!,$B17,#REF!,AD$1)</f>
        <v>#REF!</v>
      </c>
      <c r="AE17" s="169" t="e">
        <f>SUMIFS(#REF!,#REF!,$B17,#REF!,AE$1)</f>
        <v>#REF!</v>
      </c>
      <c r="AF17" s="169" t="e">
        <f>SUMIFS(#REF!,#REF!,$B17,#REF!,AF$1)</f>
        <v>#REF!</v>
      </c>
      <c r="AG17" s="169" t="e">
        <f>SUMIFS(#REF!,#REF!,$B17,#REF!,AG$1)</f>
        <v>#REF!</v>
      </c>
      <c r="AH17" s="169" t="e">
        <f>SUMIFS(#REF!,#REF!,$B17,#REF!,AH$1)</f>
        <v>#REF!</v>
      </c>
      <c r="AI17" s="182" t="e">
        <f t="shared" si="1"/>
        <v>#REF!</v>
      </c>
    </row>
    <row r="18" spans="2:35" ht="25.5" x14ac:dyDescent="0.25">
      <c r="B18" s="183" t="s">
        <v>2206</v>
      </c>
      <c r="C18" s="185">
        <v>200</v>
      </c>
      <c r="D18" s="169" t="e">
        <f>SUMIFS(#REF!,#REF!,$B18,#REF!,D$1)</f>
        <v>#REF!</v>
      </c>
      <c r="E18" s="169" t="e">
        <f>SUMIFS(#REF!,#REF!,$B18,#REF!,E$1)</f>
        <v>#REF!</v>
      </c>
      <c r="F18" s="169" t="e">
        <f>SUMIFS(#REF!,#REF!,$B18,#REF!,F$1)</f>
        <v>#REF!</v>
      </c>
      <c r="G18" s="169" t="e">
        <f>SUMIFS(#REF!,#REF!,$B18,#REF!,G$1)</f>
        <v>#REF!</v>
      </c>
      <c r="H18" s="169" t="e">
        <f>SUMIFS(#REF!,#REF!,$B18,#REF!,H$1)</f>
        <v>#REF!</v>
      </c>
      <c r="I18" s="169" t="e">
        <f>SUMIFS(#REF!,#REF!,$B18,#REF!,I$1)</f>
        <v>#REF!</v>
      </c>
      <c r="J18" s="169" t="e">
        <f>SUMIFS(#REF!,#REF!,$B18,#REF!,J$1)</f>
        <v>#REF!</v>
      </c>
      <c r="K18" s="169" t="e">
        <f>SUMIFS(#REF!,#REF!,$B18,#REF!,K$1)</f>
        <v>#REF!</v>
      </c>
      <c r="L18" s="169" t="e">
        <f>SUMIFS(#REF!,#REF!,$B18,#REF!,L$1)</f>
        <v>#REF!</v>
      </c>
      <c r="M18" s="169" t="e">
        <f>SUMIFS(#REF!,#REF!,$B18,#REF!,M$1)</f>
        <v>#REF!</v>
      </c>
      <c r="N18" s="169" t="e">
        <f>SUMIFS(#REF!,#REF!,$B18,#REF!,N$1)</f>
        <v>#REF!</v>
      </c>
      <c r="O18" s="169" t="e">
        <f>SUMIFS(#REF!,#REF!,$B18,#REF!,O$1)</f>
        <v>#REF!</v>
      </c>
      <c r="P18" s="169" t="e">
        <f>SUMIFS(#REF!,#REF!,$B18,#REF!,P$1)</f>
        <v>#REF!</v>
      </c>
      <c r="Q18" s="169" t="e">
        <f>SUMIFS(#REF!,#REF!,$B18,#REF!,Q$1)</f>
        <v>#REF!</v>
      </c>
      <c r="R18" s="169" t="e">
        <f>SUMIFS(#REF!,#REF!,$B18,#REF!,R$1)</f>
        <v>#REF!</v>
      </c>
      <c r="S18" s="169" t="e">
        <f>SUMIFS(#REF!,#REF!,$B18,#REF!,S$1)</f>
        <v>#REF!</v>
      </c>
      <c r="T18" s="169" t="e">
        <f>SUMIFS(#REF!,#REF!,$B18,#REF!,T$1)</f>
        <v>#REF!</v>
      </c>
      <c r="U18" s="169" t="e">
        <f>SUMIFS(#REF!,#REF!,$B18,#REF!,U$1)</f>
        <v>#REF!</v>
      </c>
      <c r="V18" s="169" t="e">
        <f>SUMIFS(#REF!,#REF!,$B18,#REF!,V$1)</f>
        <v>#REF!</v>
      </c>
      <c r="W18" s="169" t="e">
        <f>SUMIFS(#REF!,#REF!,$B18,#REF!,W$1)</f>
        <v>#REF!</v>
      </c>
      <c r="X18" s="169" t="e">
        <f>SUMIFS(#REF!,#REF!,$B18,#REF!,X$1)</f>
        <v>#REF!</v>
      </c>
      <c r="Y18" s="169" t="e">
        <f>SUMIFS(#REF!,#REF!,$B18,#REF!,Y$1)</f>
        <v>#REF!</v>
      </c>
      <c r="Z18" s="169" t="e">
        <f>SUMIFS(#REF!,#REF!,$B18,#REF!,Z$1)</f>
        <v>#REF!</v>
      </c>
      <c r="AA18" s="169" t="e">
        <f>SUMIFS(#REF!,#REF!,$B18,#REF!,AA$1)</f>
        <v>#REF!</v>
      </c>
      <c r="AB18" s="169" t="e">
        <f>SUMIFS(#REF!,#REF!,$B18,#REF!,AB$1)</f>
        <v>#REF!</v>
      </c>
      <c r="AC18" s="169" t="e">
        <f>SUMIFS(#REF!,#REF!,$B18,#REF!,AC$1)</f>
        <v>#REF!</v>
      </c>
      <c r="AD18" s="169" t="e">
        <f>SUMIFS(#REF!,#REF!,$B18,#REF!,AD$1)</f>
        <v>#REF!</v>
      </c>
      <c r="AE18" s="169" t="e">
        <f>SUMIFS(#REF!,#REF!,$B18,#REF!,AE$1)</f>
        <v>#REF!</v>
      </c>
      <c r="AF18" s="169" t="e">
        <f>SUMIFS(#REF!,#REF!,$B18,#REF!,AF$1)</f>
        <v>#REF!</v>
      </c>
      <c r="AG18" s="169" t="e">
        <f>SUMIFS(#REF!,#REF!,$B18,#REF!,AG$1)</f>
        <v>#REF!</v>
      </c>
      <c r="AH18" s="169" t="e">
        <f>SUMIFS(#REF!,#REF!,$B18,#REF!,AH$1)</f>
        <v>#REF!</v>
      </c>
      <c r="AI18" s="182" t="e">
        <f t="shared" si="1"/>
        <v>#REF!</v>
      </c>
    </row>
    <row r="19" spans="2:35" ht="25.5" x14ac:dyDescent="0.25">
      <c r="B19" s="186" t="s">
        <v>2207</v>
      </c>
      <c r="C19" s="185">
        <v>96</v>
      </c>
      <c r="D19" s="169" t="e">
        <f>SUMIFS(#REF!,#REF!,$B19,#REF!,D$1)</f>
        <v>#REF!</v>
      </c>
      <c r="E19" s="169" t="e">
        <f>SUMIFS(#REF!,#REF!,$B19,#REF!,E$1)</f>
        <v>#REF!</v>
      </c>
      <c r="F19" s="169" t="e">
        <f>SUMIFS(#REF!,#REF!,$B19,#REF!,F$1)</f>
        <v>#REF!</v>
      </c>
      <c r="G19" s="169" t="e">
        <f>SUMIFS(#REF!,#REF!,$B19,#REF!,G$1)</f>
        <v>#REF!</v>
      </c>
      <c r="H19" s="169" t="e">
        <f>SUMIFS(#REF!,#REF!,$B19,#REF!,H$1)</f>
        <v>#REF!</v>
      </c>
      <c r="I19" s="169" t="e">
        <f>SUMIFS(#REF!,#REF!,$B19,#REF!,I$1)</f>
        <v>#REF!</v>
      </c>
      <c r="J19" s="169" t="e">
        <f>SUMIFS(#REF!,#REF!,$B19,#REF!,J$1)</f>
        <v>#REF!</v>
      </c>
      <c r="K19" s="169" t="e">
        <f>SUMIFS(#REF!,#REF!,$B19,#REF!,K$1)</f>
        <v>#REF!</v>
      </c>
      <c r="L19" s="169" t="e">
        <f>SUMIFS(#REF!,#REF!,$B19,#REF!,L$1)</f>
        <v>#REF!</v>
      </c>
      <c r="M19" s="169" t="e">
        <f>SUMIFS(#REF!,#REF!,$B19,#REF!,M$1)</f>
        <v>#REF!</v>
      </c>
      <c r="N19" s="169" t="e">
        <f>SUMIFS(#REF!,#REF!,$B19,#REF!,N$1)</f>
        <v>#REF!</v>
      </c>
      <c r="O19" s="169" t="e">
        <f>SUMIFS(#REF!,#REF!,$B19,#REF!,O$1)</f>
        <v>#REF!</v>
      </c>
      <c r="P19" s="169" t="e">
        <f>SUMIFS(#REF!,#REF!,$B19,#REF!,P$1)</f>
        <v>#REF!</v>
      </c>
      <c r="Q19" s="169" t="e">
        <f>SUMIFS(#REF!,#REF!,$B19,#REF!,Q$1)</f>
        <v>#REF!</v>
      </c>
      <c r="R19" s="169" t="e">
        <f>SUMIFS(#REF!,#REF!,$B19,#REF!,R$1)</f>
        <v>#REF!</v>
      </c>
      <c r="S19" s="169" t="e">
        <f>SUMIFS(#REF!,#REF!,$B19,#REF!,S$1)</f>
        <v>#REF!</v>
      </c>
      <c r="T19" s="169" t="e">
        <f>SUMIFS(#REF!,#REF!,$B19,#REF!,T$1)</f>
        <v>#REF!</v>
      </c>
      <c r="U19" s="169" t="e">
        <f>SUMIFS(#REF!,#REF!,$B19,#REF!,U$1)</f>
        <v>#REF!</v>
      </c>
      <c r="V19" s="169" t="e">
        <f>SUMIFS(#REF!,#REF!,$B19,#REF!,V$1)</f>
        <v>#REF!</v>
      </c>
      <c r="W19" s="169" t="e">
        <f>SUMIFS(#REF!,#REF!,$B19,#REF!,W$1)</f>
        <v>#REF!</v>
      </c>
      <c r="X19" s="169" t="e">
        <f>SUMIFS(#REF!,#REF!,$B19,#REF!,X$1)</f>
        <v>#REF!</v>
      </c>
      <c r="Y19" s="169" t="e">
        <f>SUMIFS(#REF!,#REF!,$B19,#REF!,Y$1)</f>
        <v>#REF!</v>
      </c>
      <c r="Z19" s="169" t="e">
        <f>SUMIFS(#REF!,#REF!,$B19,#REF!,Z$1)</f>
        <v>#REF!</v>
      </c>
      <c r="AA19" s="169" t="e">
        <f>SUMIFS(#REF!,#REF!,$B19,#REF!,AA$1)</f>
        <v>#REF!</v>
      </c>
      <c r="AB19" s="169" t="e">
        <f>SUMIFS(#REF!,#REF!,$B19,#REF!,AB$1)</f>
        <v>#REF!</v>
      </c>
      <c r="AC19" s="169" t="e">
        <f>SUMIFS(#REF!,#REF!,$B19,#REF!,AC$1)</f>
        <v>#REF!</v>
      </c>
      <c r="AD19" s="169" t="e">
        <f>SUMIFS(#REF!,#REF!,$B19,#REF!,AD$1)</f>
        <v>#REF!</v>
      </c>
      <c r="AE19" s="169" t="e">
        <f>SUMIFS(#REF!,#REF!,$B19,#REF!,AE$1)</f>
        <v>#REF!</v>
      </c>
      <c r="AF19" s="169" t="e">
        <f>SUMIFS(#REF!,#REF!,$B19,#REF!,AF$1)</f>
        <v>#REF!</v>
      </c>
      <c r="AG19" s="169" t="e">
        <f>SUMIFS(#REF!,#REF!,$B19,#REF!,AG$1)</f>
        <v>#REF!</v>
      </c>
      <c r="AH19" s="169" t="e">
        <f>SUMIFS(#REF!,#REF!,$B19,#REF!,AH$1)</f>
        <v>#REF!</v>
      </c>
      <c r="AI19" s="182" t="e">
        <f t="shared" si="1"/>
        <v>#REF!</v>
      </c>
    </row>
    <row r="20" spans="2:35" ht="25.5" x14ac:dyDescent="0.25">
      <c r="B20" s="186" t="s">
        <v>2208</v>
      </c>
      <c r="C20" s="185">
        <v>200</v>
      </c>
      <c r="D20" s="169" t="e">
        <f>SUMIFS(#REF!,#REF!,$B20,#REF!,D$1)</f>
        <v>#REF!</v>
      </c>
      <c r="E20" s="169" t="e">
        <f>SUMIFS(#REF!,#REF!,$B20,#REF!,E$1)</f>
        <v>#REF!</v>
      </c>
      <c r="F20" s="169" t="e">
        <f>SUMIFS(#REF!,#REF!,$B20,#REF!,F$1)</f>
        <v>#REF!</v>
      </c>
      <c r="G20" s="169" t="e">
        <f>SUMIFS(#REF!,#REF!,$B20,#REF!,G$1)</f>
        <v>#REF!</v>
      </c>
      <c r="H20" s="169" t="e">
        <f>SUMIFS(#REF!,#REF!,$B20,#REF!,H$1)</f>
        <v>#REF!</v>
      </c>
      <c r="I20" s="169" t="e">
        <f>SUMIFS(#REF!,#REF!,$B20,#REF!,I$1)</f>
        <v>#REF!</v>
      </c>
      <c r="J20" s="169" t="e">
        <f>SUMIFS(#REF!,#REF!,$B20,#REF!,J$1)</f>
        <v>#REF!</v>
      </c>
      <c r="K20" s="169" t="e">
        <f>SUMIFS(#REF!,#REF!,$B20,#REF!,K$1)</f>
        <v>#REF!</v>
      </c>
      <c r="L20" s="169" t="e">
        <f>SUMIFS(#REF!,#REF!,$B20,#REF!,L$1)</f>
        <v>#REF!</v>
      </c>
      <c r="M20" s="169" t="e">
        <f>SUMIFS(#REF!,#REF!,$B20,#REF!,M$1)</f>
        <v>#REF!</v>
      </c>
      <c r="N20" s="169" t="e">
        <f>SUMIFS(#REF!,#REF!,$B20,#REF!,N$1)</f>
        <v>#REF!</v>
      </c>
      <c r="O20" s="169" t="e">
        <f>SUMIFS(#REF!,#REF!,$B20,#REF!,O$1)</f>
        <v>#REF!</v>
      </c>
      <c r="P20" s="169" t="e">
        <f>SUMIFS(#REF!,#REF!,$B20,#REF!,P$1)</f>
        <v>#REF!</v>
      </c>
      <c r="Q20" s="169" t="e">
        <f>SUMIFS(#REF!,#REF!,$B20,#REF!,Q$1)</f>
        <v>#REF!</v>
      </c>
      <c r="R20" s="169" t="e">
        <f>SUMIFS(#REF!,#REF!,$B20,#REF!,R$1)</f>
        <v>#REF!</v>
      </c>
      <c r="S20" s="169" t="e">
        <f>SUMIFS(#REF!,#REF!,$B20,#REF!,S$1)</f>
        <v>#REF!</v>
      </c>
      <c r="T20" s="169" t="e">
        <f>SUMIFS(#REF!,#REF!,$B20,#REF!,T$1)</f>
        <v>#REF!</v>
      </c>
      <c r="U20" s="169" t="e">
        <f>SUMIFS(#REF!,#REF!,$B20,#REF!,U$1)</f>
        <v>#REF!</v>
      </c>
      <c r="V20" s="169" t="e">
        <f>SUMIFS(#REF!,#REF!,$B20,#REF!,V$1)</f>
        <v>#REF!</v>
      </c>
      <c r="W20" s="169" t="e">
        <f>SUMIFS(#REF!,#REF!,$B20,#REF!,W$1)</f>
        <v>#REF!</v>
      </c>
      <c r="X20" s="169" t="e">
        <f>SUMIFS(#REF!,#REF!,$B20,#REF!,X$1)</f>
        <v>#REF!</v>
      </c>
      <c r="Y20" s="169" t="e">
        <f>SUMIFS(#REF!,#REF!,$B20,#REF!,Y$1)</f>
        <v>#REF!</v>
      </c>
      <c r="Z20" s="169" t="e">
        <f>SUMIFS(#REF!,#REF!,$B20,#REF!,Z$1)</f>
        <v>#REF!</v>
      </c>
      <c r="AA20" s="169" t="e">
        <f>SUMIFS(#REF!,#REF!,$B20,#REF!,AA$1)</f>
        <v>#REF!</v>
      </c>
      <c r="AB20" s="169" t="e">
        <f>SUMIFS(#REF!,#REF!,$B20,#REF!,AB$1)</f>
        <v>#REF!</v>
      </c>
      <c r="AC20" s="169" t="e">
        <f>SUMIFS(#REF!,#REF!,$B20,#REF!,AC$1)</f>
        <v>#REF!</v>
      </c>
      <c r="AD20" s="169" t="e">
        <f>SUMIFS(#REF!,#REF!,$B20,#REF!,AD$1)</f>
        <v>#REF!</v>
      </c>
      <c r="AE20" s="169" t="e">
        <f>SUMIFS(#REF!,#REF!,$B20,#REF!,AE$1)</f>
        <v>#REF!</v>
      </c>
      <c r="AF20" s="169" t="e">
        <f>SUMIFS(#REF!,#REF!,$B20,#REF!,AF$1)</f>
        <v>#REF!</v>
      </c>
      <c r="AG20" s="169" t="e">
        <f>SUMIFS(#REF!,#REF!,$B20,#REF!,AG$1)</f>
        <v>#REF!</v>
      </c>
      <c r="AH20" s="169" t="e">
        <f>SUMIFS(#REF!,#REF!,$B20,#REF!,AH$1)</f>
        <v>#REF!</v>
      </c>
      <c r="AI20" s="182" t="e">
        <f t="shared" si="1"/>
        <v>#REF!</v>
      </c>
    </row>
    <row r="21" spans="2:35" ht="25.5" x14ac:dyDescent="0.25">
      <c r="B21" s="186" t="s">
        <v>2209</v>
      </c>
      <c r="C21" s="185">
        <v>90</v>
      </c>
      <c r="D21" s="169" t="e">
        <f>SUMIFS(#REF!,#REF!,$B21,#REF!,D$1)</f>
        <v>#REF!</v>
      </c>
      <c r="E21" s="169" t="e">
        <f>SUMIFS(#REF!,#REF!,$B21,#REF!,E$1)</f>
        <v>#REF!</v>
      </c>
      <c r="F21" s="169" t="e">
        <f>SUMIFS(#REF!,#REF!,$B21,#REF!,F$1)</f>
        <v>#REF!</v>
      </c>
      <c r="G21" s="169" t="e">
        <f>SUMIFS(#REF!,#REF!,$B21,#REF!,G$1)</f>
        <v>#REF!</v>
      </c>
      <c r="H21" s="169" t="e">
        <f>SUMIFS(#REF!,#REF!,$B21,#REF!,H$1)</f>
        <v>#REF!</v>
      </c>
      <c r="I21" s="169" t="e">
        <f>SUMIFS(#REF!,#REF!,$B21,#REF!,I$1)</f>
        <v>#REF!</v>
      </c>
      <c r="J21" s="169" t="e">
        <f>SUMIFS(#REF!,#REF!,$B21,#REF!,J$1)</f>
        <v>#REF!</v>
      </c>
      <c r="K21" s="169" t="e">
        <f>SUMIFS(#REF!,#REF!,$B21,#REF!,K$1)</f>
        <v>#REF!</v>
      </c>
      <c r="L21" s="169" t="e">
        <f>SUMIFS(#REF!,#REF!,$B21,#REF!,L$1)</f>
        <v>#REF!</v>
      </c>
      <c r="M21" s="169" t="e">
        <f>SUMIFS(#REF!,#REF!,$B21,#REF!,M$1)</f>
        <v>#REF!</v>
      </c>
      <c r="N21" s="169" t="e">
        <f>SUMIFS(#REF!,#REF!,$B21,#REF!,N$1)</f>
        <v>#REF!</v>
      </c>
      <c r="O21" s="169" t="e">
        <f>SUMIFS(#REF!,#REF!,$B21,#REF!,O$1)</f>
        <v>#REF!</v>
      </c>
      <c r="P21" s="169" t="e">
        <f>SUMIFS(#REF!,#REF!,$B21,#REF!,P$1)</f>
        <v>#REF!</v>
      </c>
      <c r="Q21" s="169" t="e">
        <f>SUMIFS(#REF!,#REF!,$B21,#REF!,Q$1)</f>
        <v>#REF!</v>
      </c>
      <c r="R21" s="169" t="e">
        <f>SUMIFS(#REF!,#REF!,$B21,#REF!,R$1)</f>
        <v>#REF!</v>
      </c>
      <c r="S21" s="169" t="e">
        <f>SUMIFS(#REF!,#REF!,$B21,#REF!,S$1)</f>
        <v>#REF!</v>
      </c>
      <c r="T21" s="169" t="e">
        <f>SUMIFS(#REF!,#REF!,$B21,#REF!,T$1)</f>
        <v>#REF!</v>
      </c>
      <c r="U21" s="169" t="e">
        <f>SUMIFS(#REF!,#REF!,$B21,#REF!,U$1)</f>
        <v>#REF!</v>
      </c>
      <c r="V21" s="169" t="e">
        <f>SUMIFS(#REF!,#REF!,$B21,#REF!,V$1)</f>
        <v>#REF!</v>
      </c>
      <c r="W21" s="169" t="e">
        <f>SUMIFS(#REF!,#REF!,$B21,#REF!,W$1)</f>
        <v>#REF!</v>
      </c>
      <c r="X21" s="169" t="e">
        <f>SUMIFS(#REF!,#REF!,$B21,#REF!,X$1)</f>
        <v>#REF!</v>
      </c>
      <c r="Y21" s="169" t="e">
        <f>SUMIFS(#REF!,#REF!,$B21,#REF!,Y$1)</f>
        <v>#REF!</v>
      </c>
      <c r="Z21" s="169" t="e">
        <f>SUMIFS(#REF!,#REF!,$B21,#REF!,Z$1)</f>
        <v>#REF!</v>
      </c>
      <c r="AA21" s="169" t="e">
        <f>SUMIFS(#REF!,#REF!,$B21,#REF!,AA$1)</f>
        <v>#REF!</v>
      </c>
      <c r="AB21" s="169" t="e">
        <f>SUMIFS(#REF!,#REF!,$B21,#REF!,AB$1)</f>
        <v>#REF!</v>
      </c>
      <c r="AC21" s="169" t="e">
        <f>SUMIFS(#REF!,#REF!,$B21,#REF!,AC$1)</f>
        <v>#REF!</v>
      </c>
      <c r="AD21" s="169" t="e">
        <f>SUMIFS(#REF!,#REF!,$B21,#REF!,AD$1)</f>
        <v>#REF!</v>
      </c>
      <c r="AE21" s="169" t="e">
        <f>SUMIFS(#REF!,#REF!,$B21,#REF!,AE$1)</f>
        <v>#REF!</v>
      </c>
      <c r="AF21" s="169" t="e">
        <f>SUMIFS(#REF!,#REF!,$B21,#REF!,AF$1)</f>
        <v>#REF!</v>
      </c>
      <c r="AG21" s="169" t="e">
        <f>SUMIFS(#REF!,#REF!,$B21,#REF!,AG$1)</f>
        <v>#REF!</v>
      </c>
      <c r="AH21" s="169" t="e">
        <f>SUMIFS(#REF!,#REF!,$B21,#REF!,AH$1)</f>
        <v>#REF!</v>
      </c>
      <c r="AI21" s="182" t="e">
        <f t="shared" si="1"/>
        <v>#REF!</v>
      </c>
    </row>
    <row r="22" spans="2:35" ht="15.75" x14ac:dyDescent="0.25">
      <c r="B22" s="187" t="s">
        <v>2210</v>
      </c>
      <c r="C22" s="185">
        <v>25</v>
      </c>
      <c r="D22" s="169" t="e">
        <f>SUMIFS(#REF!,#REF!,$B22,#REF!,D$1)</f>
        <v>#REF!</v>
      </c>
      <c r="E22" s="169" t="e">
        <f>SUMIFS(#REF!,#REF!,$B22,#REF!,E$1)</f>
        <v>#REF!</v>
      </c>
      <c r="F22" s="169" t="e">
        <f>SUMIFS(#REF!,#REF!,$B22,#REF!,F$1)</f>
        <v>#REF!</v>
      </c>
      <c r="G22" s="169" t="e">
        <f>SUMIFS(#REF!,#REF!,$B22,#REF!,G$1)</f>
        <v>#REF!</v>
      </c>
      <c r="H22" s="169" t="e">
        <f>SUMIFS(#REF!,#REF!,$B22,#REF!,H$1)</f>
        <v>#REF!</v>
      </c>
      <c r="I22" s="169" t="e">
        <f>SUMIFS(#REF!,#REF!,$B22,#REF!,I$1)</f>
        <v>#REF!</v>
      </c>
      <c r="J22" s="169" t="e">
        <f>SUMIFS(#REF!,#REF!,$B22,#REF!,J$1)</f>
        <v>#REF!</v>
      </c>
      <c r="K22" s="169" t="e">
        <f>SUMIFS(#REF!,#REF!,$B22,#REF!,K$1)</f>
        <v>#REF!</v>
      </c>
      <c r="L22" s="169" t="e">
        <f>SUMIFS(#REF!,#REF!,$B22,#REF!,L$1)</f>
        <v>#REF!</v>
      </c>
      <c r="M22" s="169" t="e">
        <f>SUMIFS(#REF!,#REF!,$B22,#REF!,M$1)</f>
        <v>#REF!</v>
      </c>
      <c r="N22" s="169" t="e">
        <f>SUMIFS(#REF!,#REF!,$B22,#REF!,N$1)</f>
        <v>#REF!</v>
      </c>
      <c r="O22" s="169" t="e">
        <f>SUMIFS(#REF!,#REF!,$B22,#REF!,O$1)</f>
        <v>#REF!</v>
      </c>
      <c r="P22" s="169" t="e">
        <f>SUMIFS(#REF!,#REF!,$B22,#REF!,P$1)</f>
        <v>#REF!</v>
      </c>
      <c r="Q22" s="169" t="e">
        <f>SUMIFS(#REF!,#REF!,$B22,#REF!,Q$1)</f>
        <v>#REF!</v>
      </c>
      <c r="R22" s="169" t="e">
        <f>SUMIFS(#REF!,#REF!,$B22,#REF!,R$1)</f>
        <v>#REF!</v>
      </c>
      <c r="S22" s="169" t="e">
        <f>SUMIFS(#REF!,#REF!,$B22,#REF!,S$1)</f>
        <v>#REF!</v>
      </c>
      <c r="T22" s="169" t="e">
        <f>SUMIFS(#REF!,#REF!,$B22,#REF!,T$1)</f>
        <v>#REF!</v>
      </c>
      <c r="U22" s="169" t="e">
        <f>SUMIFS(#REF!,#REF!,$B22,#REF!,U$1)</f>
        <v>#REF!</v>
      </c>
      <c r="V22" s="169" t="e">
        <f>SUMIFS(#REF!,#REF!,$B22,#REF!,V$1)</f>
        <v>#REF!</v>
      </c>
      <c r="W22" s="169" t="e">
        <f>SUMIFS(#REF!,#REF!,$B22,#REF!,W$1)</f>
        <v>#REF!</v>
      </c>
      <c r="X22" s="169" t="e">
        <f>SUMIFS(#REF!,#REF!,$B22,#REF!,X$1)</f>
        <v>#REF!</v>
      </c>
      <c r="Y22" s="169" t="e">
        <f>SUMIFS(#REF!,#REF!,$B22,#REF!,Y$1)</f>
        <v>#REF!</v>
      </c>
      <c r="Z22" s="169" t="e">
        <f>SUMIFS(#REF!,#REF!,$B22,#REF!,Z$1)</f>
        <v>#REF!</v>
      </c>
      <c r="AA22" s="169" t="e">
        <f>SUMIFS(#REF!,#REF!,$B22,#REF!,AA$1)</f>
        <v>#REF!</v>
      </c>
      <c r="AB22" s="169" t="e">
        <f>SUMIFS(#REF!,#REF!,$B22,#REF!,AB$1)</f>
        <v>#REF!</v>
      </c>
      <c r="AC22" s="169" t="e">
        <f>SUMIFS(#REF!,#REF!,$B22,#REF!,AC$1)</f>
        <v>#REF!</v>
      </c>
      <c r="AD22" s="169" t="e">
        <f>SUMIFS(#REF!,#REF!,$B22,#REF!,AD$1)</f>
        <v>#REF!</v>
      </c>
      <c r="AE22" s="169" t="e">
        <f>SUMIFS(#REF!,#REF!,$B22,#REF!,AE$1)</f>
        <v>#REF!</v>
      </c>
      <c r="AF22" s="169" t="e">
        <f>SUMIFS(#REF!,#REF!,$B22,#REF!,AF$1)</f>
        <v>#REF!</v>
      </c>
      <c r="AG22" s="169" t="e">
        <f>SUMIFS(#REF!,#REF!,$B22,#REF!,AG$1)</f>
        <v>#REF!</v>
      </c>
      <c r="AH22" s="169" t="e">
        <f>SUMIFS(#REF!,#REF!,$B22,#REF!,AH$1)</f>
        <v>#REF!</v>
      </c>
      <c r="AI22" s="182" t="e">
        <f t="shared" si="1"/>
        <v>#REF!</v>
      </c>
    </row>
    <row r="23" spans="2:35" ht="15.75" x14ac:dyDescent="0.25">
      <c r="B23" s="187" t="s">
        <v>2211</v>
      </c>
      <c r="C23" s="185">
        <v>200</v>
      </c>
      <c r="D23" s="169" t="e">
        <f>SUMIFS(#REF!,#REF!,$B23,#REF!,D$1)</f>
        <v>#REF!</v>
      </c>
      <c r="E23" s="169" t="e">
        <f>SUMIFS(#REF!,#REF!,$B23,#REF!,E$1)</f>
        <v>#REF!</v>
      </c>
      <c r="F23" s="169" t="e">
        <f>SUMIFS(#REF!,#REF!,$B23,#REF!,F$1)</f>
        <v>#REF!</v>
      </c>
      <c r="G23" s="169" t="e">
        <f>SUMIFS(#REF!,#REF!,$B23,#REF!,G$1)</f>
        <v>#REF!</v>
      </c>
      <c r="H23" s="169" t="e">
        <f>SUMIFS(#REF!,#REF!,$B23,#REF!,H$1)</f>
        <v>#REF!</v>
      </c>
      <c r="I23" s="169" t="e">
        <f>SUMIFS(#REF!,#REF!,$B23,#REF!,I$1)</f>
        <v>#REF!</v>
      </c>
      <c r="J23" s="169" t="e">
        <f>SUMIFS(#REF!,#REF!,$B23,#REF!,J$1)</f>
        <v>#REF!</v>
      </c>
      <c r="K23" s="169" t="e">
        <f>SUMIFS(#REF!,#REF!,$B23,#REF!,K$1)</f>
        <v>#REF!</v>
      </c>
      <c r="L23" s="169" t="e">
        <f>SUMIFS(#REF!,#REF!,$B23,#REF!,L$1)</f>
        <v>#REF!</v>
      </c>
      <c r="M23" s="169" t="e">
        <f>SUMIFS(#REF!,#REF!,$B23,#REF!,M$1)</f>
        <v>#REF!</v>
      </c>
      <c r="N23" s="169" t="e">
        <f>SUMIFS(#REF!,#REF!,$B23,#REF!,N$1)</f>
        <v>#REF!</v>
      </c>
      <c r="O23" s="169" t="e">
        <f>SUMIFS(#REF!,#REF!,$B23,#REF!,O$1)</f>
        <v>#REF!</v>
      </c>
      <c r="P23" s="169" t="e">
        <f>SUMIFS(#REF!,#REF!,$B23,#REF!,P$1)</f>
        <v>#REF!</v>
      </c>
      <c r="Q23" s="169" t="e">
        <f>SUMIFS(#REF!,#REF!,$B23,#REF!,Q$1)</f>
        <v>#REF!</v>
      </c>
      <c r="R23" s="169" t="e">
        <f>SUMIFS(#REF!,#REF!,$B23,#REF!,R$1)</f>
        <v>#REF!</v>
      </c>
      <c r="S23" s="169" t="e">
        <f>SUMIFS(#REF!,#REF!,$B23,#REF!,S$1)</f>
        <v>#REF!</v>
      </c>
      <c r="T23" s="169" t="e">
        <f>SUMIFS(#REF!,#REF!,$B23,#REF!,T$1)</f>
        <v>#REF!</v>
      </c>
      <c r="U23" s="169" t="e">
        <f>SUMIFS(#REF!,#REF!,$B23,#REF!,U$1)</f>
        <v>#REF!</v>
      </c>
      <c r="V23" s="169" t="e">
        <f>SUMIFS(#REF!,#REF!,$B23,#REF!,V$1)</f>
        <v>#REF!</v>
      </c>
      <c r="W23" s="169" t="e">
        <f>SUMIFS(#REF!,#REF!,$B23,#REF!,W$1)</f>
        <v>#REF!</v>
      </c>
      <c r="X23" s="169" t="e">
        <f>SUMIFS(#REF!,#REF!,$B23,#REF!,X$1)</f>
        <v>#REF!</v>
      </c>
      <c r="Y23" s="169" t="e">
        <f>SUMIFS(#REF!,#REF!,$B23,#REF!,Y$1)</f>
        <v>#REF!</v>
      </c>
      <c r="Z23" s="169" t="e">
        <f>SUMIFS(#REF!,#REF!,$B23,#REF!,Z$1)</f>
        <v>#REF!</v>
      </c>
      <c r="AA23" s="169" t="e">
        <f>SUMIFS(#REF!,#REF!,$B23,#REF!,AA$1)</f>
        <v>#REF!</v>
      </c>
      <c r="AB23" s="169" t="e">
        <f>SUMIFS(#REF!,#REF!,$B23,#REF!,AB$1)</f>
        <v>#REF!</v>
      </c>
      <c r="AC23" s="169" t="e">
        <f>SUMIFS(#REF!,#REF!,$B23,#REF!,AC$1)</f>
        <v>#REF!</v>
      </c>
      <c r="AD23" s="169" t="e">
        <f>SUMIFS(#REF!,#REF!,$B23,#REF!,AD$1)</f>
        <v>#REF!</v>
      </c>
      <c r="AE23" s="169" t="e">
        <f>SUMIFS(#REF!,#REF!,$B23,#REF!,AE$1)</f>
        <v>#REF!</v>
      </c>
      <c r="AF23" s="169" t="e">
        <f>SUMIFS(#REF!,#REF!,$B23,#REF!,AF$1)</f>
        <v>#REF!</v>
      </c>
      <c r="AG23" s="169" t="e">
        <f>SUMIFS(#REF!,#REF!,$B23,#REF!,AG$1)</f>
        <v>#REF!</v>
      </c>
      <c r="AH23" s="169" t="e">
        <f>SUMIFS(#REF!,#REF!,$B23,#REF!,AH$1)</f>
        <v>#REF!</v>
      </c>
      <c r="AI23" s="182" t="e">
        <f t="shared" si="1"/>
        <v>#REF!</v>
      </c>
    </row>
    <row r="24" spans="2:35" ht="15.75" x14ac:dyDescent="0.25">
      <c r="B24" s="187" t="s">
        <v>2212</v>
      </c>
      <c r="C24" s="185">
        <v>200</v>
      </c>
      <c r="D24" s="169" t="e">
        <f>SUMIFS(#REF!,#REF!,$B24,#REF!,D$1)</f>
        <v>#REF!</v>
      </c>
      <c r="E24" s="169" t="e">
        <f>SUMIFS(#REF!,#REF!,$B24,#REF!,E$1)</f>
        <v>#REF!</v>
      </c>
      <c r="F24" s="169" t="e">
        <f>SUMIFS(#REF!,#REF!,$B24,#REF!,F$1)</f>
        <v>#REF!</v>
      </c>
      <c r="G24" s="169" t="e">
        <f>SUMIFS(#REF!,#REF!,$B24,#REF!,G$1)</f>
        <v>#REF!</v>
      </c>
      <c r="H24" s="169" t="e">
        <f>SUMIFS(#REF!,#REF!,$B24,#REF!,H$1)</f>
        <v>#REF!</v>
      </c>
      <c r="I24" s="169" t="e">
        <f>SUMIFS(#REF!,#REF!,$B24,#REF!,I$1)</f>
        <v>#REF!</v>
      </c>
      <c r="J24" s="169" t="e">
        <f>SUMIFS(#REF!,#REF!,$B24,#REF!,J$1)</f>
        <v>#REF!</v>
      </c>
      <c r="K24" s="169" t="e">
        <f>SUMIFS(#REF!,#REF!,$B24,#REF!,K$1)</f>
        <v>#REF!</v>
      </c>
      <c r="L24" s="169" t="e">
        <f>SUMIFS(#REF!,#REF!,$B24,#REF!,L$1)</f>
        <v>#REF!</v>
      </c>
      <c r="M24" s="169" t="e">
        <f>SUMIFS(#REF!,#REF!,$B24,#REF!,M$1)</f>
        <v>#REF!</v>
      </c>
      <c r="N24" s="169" t="e">
        <f>SUMIFS(#REF!,#REF!,$B24,#REF!,N$1)</f>
        <v>#REF!</v>
      </c>
      <c r="O24" s="169" t="e">
        <f>SUMIFS(#REF!,#REF!,$B24,#REF!,O$1)</f>
        <v>#REF!</v>
      </c>
      <c r="P24" s="169" t="e">
        <f>SUMIFS(#REF!,#REF!,$B24,#REF!,P$1)</f>
        <v>#REF!</v>
      </c>
      <c r="Q24" s="169" t="e">
        <f>SUMIFS(#REF!,#REF!,$B24,#REF!,Q$1)</f>
        <v>#REF!</v>
      </c>
      <c r="R24" s="169" t="e">
        <f>SUMIFS(#REF!,#REF!,$B24,#REF!,R$1)</f>
        <v>#REF!</v>
      </c>
      <c r="S24" s="169" t="e">
        <f>SUMIFS(#REF!,#REF!,$B24,#REF!,S$1)</f>
        <v>#REF!</v>
      </c>
      <c r="T24" s="169" t="e">
        <f>SUMIFS(#REF!,#REF!,$B24,#REF!,T$1)</f>
        <v>#REF!</v>
      </c>
      <c r="U24" s="169" t="e">
        <f>SUMIFS(#REF!,#REF!,$B24,#REF!,U$1)</f>
        <v>#REF!</v>
      </c>
      <c r="V24" s="169" t="e">
        <f>SUMIFS(#REF!,#REF!,$B24,#REF!,V$1)</f>
        <v>#REF!</v>
      </c>
      <c r="W24" s="169" t="e">
        <f>SUMIFS(#REF!,#REF!,$B24,#REF!,W$1)</f>
        <v>#REF!</v>
      </c>
      <c r="X24" s="169" t="e">
        <f>SUMIFS(#REF!,#REF!,$B24,#REF!,X$1)</f>
        <v>#REF!</v>
      </c>
      <c r="Y24" s="169" t="e">
        <f>SUMIFS(#REF!,#REF!,$B24,#REF!,Y$1)</f>
        <v>#REF!</v>
      </c>
      <c r="Z24" s="169" t="e">
        <f>SUMIFS(#REF!,#REF!,$B24,#REF!,Z$1)</f>
        <v>#REF!</v>
      </c>
      <c r="AA24" s="169" t="e">
        <f>SUMIFS(#REF!,#REF!,$B24,#REF!,AA$1)</f>
        <v>#REF!</v>
      </c>
      <c r="AB24" s="169" t="e">
        <f>SUMIFS(#REF!,#REF!,$B24,#REF!,AB$1)</f>
        <v>#REF!</v>
      </c>
      <c r="AC24" s="169" t="e">
        <f>SUMIFS(#REF!,#REF!,$B24,#REF!,AC$1)</f>
        <v>#REF!</v>
      </c>
      <c r="AD24" s="169" t="e">
        <f>SUMIFS(#REF!,#REF!,$B24,#REF!,AD$1)</f>
        <v>#REF!</v>
      </c>
      <c r="AE24" s="169" t="e">
        <f>SUMIFS(#REF!,#REF!,$B24,#REF!,AE$1)</f>
        <v>#REF!</v>
      </c>
      <c r="AF24" s="169" t="e">
        <f>SUMIFS(#REF!,#REF!,$B24,#REF!,AF$1)</f>
        <v>#REF!</v>
      </c>
      <c r="AG24" s="169" t="e">
        <f>SUMIFS(#REF!,#REF!,$B24,#REF!,AG$1)</f>
        <v>#REF!</v>
      </c>
      <c r="AH24" s="169" t="e">
        <f>SUMIFS(#REF!,#REF!,$B24,#REF!,AH$1)</f>
        <v>#REF!</v>
      </c>
      <c r="AI24" s="182" t="e">
        <f t="shared" si="1"/>
        <v>#REF!</v>
      </c>
    </row>
    <row r="25" spans="2:35" ht="15.75" x14ac:dyDescent="0.25">
      <c r="B25" s="187" t="s">
        <v>1897</v>
      </c>
      <c r="C25" s="185">
        <v>200</v>
      </c>
      <c r="D25" s="169" t="e">
        <f>SUMIFS(#REF!,#REF!,$B25,#REF!,D$1)</f>
        <v>#REF!</v>
      </c>
      <c r="E25" s="169" t="e">
        <f>SUMIFS(#REF!,#REF!,$B25,#REF!,E$1)</f>
        <v>#REF!</v>
      </c>
      <c r="F25" s="169" t="e">
        <f>SUMIFS(#REF!,#REF!,$B25,#REF!,F$1)</f>
        <v>#REF!</v>
      </c>
      <c r="G25" s="169" t="e">
        <f>SUMIFS(#REF!,#REF!,$B25,#REF!,G$1)</f>
        <v>#REF!</v>
      </c>
      <c r="H25" s="169" t="e">
        <f>SUMIFS(#REF!,#REF!,$B25,#REF!,H$1)</f>
        <v>#REF!</v>
      </c>
      <c r="I25" s="169" t="e">
        <f>SUMIFS(#REF!,#REF!,$B25,#REF!,I$1)</f>
        <v>#REF!</v>
      </c>
      <c r="J25" s="169" t="e">
        <f>SUMIFS(#REF!,#REF!,$B25,#REF!,J$1)</f>
        <v>#REF!</v>
      </c>
      <c r="K25" s="169" t="e">
        <f>SUMIFS(#REF!,#REF!,$B25,#REF!,K$1)</f>
        <v>#REF!</v>
      </c>
      <c r="L25" s="169" t="e">
        <f>SUMIFS(#REF!,#REF!,$B25,#REF!,L$1)</f>
        <v>#REF!</v>
      </c>
      <c r="M25" s="169" t="e">
        <f>SUMIFS(#REF!,#REF!,$B25,#REF!,M$1)</f>
        <v>#REF!</v>
      </c>
      <c r="N25" s="169" t="e">
        <f>SUMIFS(#REF!,#REF!,$B25,#REF!,N$1)</f>
        <v>#REF!</v>
      </c>
      <c r="O25" s="169" t="e">
        <f>SUMIFS(#REF!,#REF!,$B25,#REF!,O$1)</f>
        <v>#REF!</v>
      </c>
      <c r="P25" s="169" t="e">
        <f>SUMIFS(#REF!,#REF!,$B25,#REF!,P$1)</f>
        <v>#REF!</v>
      </c>
      <c r="Q25" s="169" t="e">
        <f>SUMIFS(#REF!,#REF!,$B25,#REF!,Q$1)</f>
        <v>#REF!</v>
      </c>
      <c r="R25" s="169" t="e">
        <f>SUMIFS(#REF!,#REF!,$B25,#REF!,R$1)</f>
        <v>#REF!</v>
      </c>
      <c r="S25" s="169" t="e">
        <f>SUMIFS(#REF!,#REF!,$B25,#REF!,S$1)</f>
        <v>#REF!</v>
      </c>
      <c r="T25" s="169" t="e">
        <f>SUMIFS(#REF!,#REF!,$B25,#REF!,T$1)</f>
        <v>#REF!</v>
      </c>
      <c r="U25" s="169" t="e">
        <f>SUMIFS(#REF!,#REF!,$B25,#REF!,U$1)</f>
        <v>#REF!</v>
      </c>
      <c r="V25" s="169" t="e">
        <f>SUMIFS(#REF!,#REF!,$B25,#REF!,V$1)</f>
        <v>#REF!</v>
      </c>
      <c r="W25" s="169" t="e">
        <f>SUMIFS(#REF!,#REF!,$B25,#REF!,W$1)</f>
        <v>#REF!</v>
      </c>
      <c r="X25" s="169" t="e">
        <f>SUMIFS(#REF!,#REF!,$B25,#REF!,X$1)</f>
        <v>#REF!</v>
      </c>
      <c r="Y25" s="169" t="e">
        <f>SUMIFS(#REF!,#REF!,$B25,#REF!,Y$1)</f>
        <v>#REF!</v>
      </c>
      <c r="Z25" s="169" t="e">
        <f>SUMIFS(#REF!,#REF!,$B25,#REF!,Z$1)</f>
        <v>#REF!</v>
      </c>
      <c r="AA25" s="169" t="e">
        <f>SUMIFS(#REF!,#REF!,$B25,#REF!,AA$1)</f>
        <v>#REF!</v>
      </c>
      <c r="AB25" s="169" t="e">
        <f>SUMIFS(#REF!,#REF!,$B25,#REF!,AB$1)</f>
        <v>#REF!</v>
      </c>
      <c r="AC25" s="169" t="e">
        <f>SUMIFS(#REF!,#REF!,$B25,#REF!,AC$1)</f>
        <v>#REF!</v>
      </c>
      <c r="AD25" s="169" t="e">
        <f>SUMIFS(#REF!,#REF!,$B25,#REF!,AD$1)</f>
        <v>#REF!</v>
      </c>
      <c r="AE25" s="169" t="e">
        <f>SUMIFS(#REF!,#REF!,$B25,#REF!,AE$1)</f>
        <v>#REF!</v>
      </c>
      <c r="AF25" s="169" t="e">
        <f>SUMIFS(#REF!,#REF!,$B25,#REF!,AF$1)</f>
        <v>#REF!</v>
      </c>
      <c r="AG25" s="169" t="e">
        <f>SUMIFS(#REF!,#REF!,$B25,#REF!,AG$1)</f>
        <v>#REF!</v>
      </c>
      <c r="AH25" s="169" t="e">
        <f>SUMIFS(#REF!,#REF!,$B25,#REF!,AH$1)</f>
        <v>#REF!</v>
      </c>
      <c r="AI25" s="182" t="e">
        <f t="shared" si="1"/>
        <v>#REF!</v>
      </c>
    </row>
    <row r="26" spans="2:35" ht="15.75" x14ac:dyDescent="0.25">
      <c r="B26" s="188" t="s">
        <v>2213</v>
      </c>
      <c r="C26" s="189">
        <v>20</v>
      </c>
      <c r="D26" s="169" t="e">
        <f>SUMIFS(#REF!,#REF!,$B26,#REF!,D$1)</f>
        <v>#REF!</v>
      </c>
      <c r="E26" s="169" t="e">
        <f>SUMIFS(#REF!,#REF!,$B26,#REF!,E$1)</f>
        <v>#REF!</v>
      </c>
      <c r="F26" s="169" t="e">
        <f>SUMIFS(#REF!,#REF!,$B26,#REF!,F$1)</f>
        <v>#REF!</v>
      </c>
      <c r="G26" s="169" t="e">
        <f>SUMIFS(#REF!,#REF!,$B26,#REF!,G$1)</f>
        <v>#REF!</v>
      </c>
      <c r="H26" s="169" t="e">
        <f>SUMIFS(#REF!,#REF!,$B26,#REF!,H$1)</f>
        <v>#REF!</v>
      </c>
      <c r="I26" s="169" t="e">
        <f>SUMIFS(#REF!,#REF!,$B26,#REF!,I$1)</f>
        <v>#REF!</v>
      </c>
      <c r="J26" s="169" t="e">
        <f>SUMIFS(#REF!,#REF!,$B26,#REF!,J$1)</f>
        <v>#REF!</v>
      </c>
      <c r="K26" s="169" t="e">
        <f>SUMIFS(#REF!,#REF!,$B26,#REF!,K$1)</f>
        <v>#REF!</v>
      </c>
      <c r="L26" s="169" t="e">
        <f>SUMIFS(#REF!,#REF!,$B26,#REF!,L$1)</f>
        <v>#REF!</v>
      </c>
      <c r="M26" s="169" t="e">
        <f>SUMIFS(#REF!,#REF!,$B26,#REF!,M$1)</f>
        <v>#REF!</v>
      </c>
      <c r="N26" s="169" t="e">
        <f>SUMIFS(#REF!,#REF!,$B26,#REF!,N$1)</f>
        <v>#REF!</v>
      </c>
      <c r="O26" s="169" t="e">
        <f>SUMIFS(#REF!,#REF!,$B26,#REF!,O$1)</f>
        <v>#REF!</v>
      </c>
      <c r="P26" s="169" t="e">
        <f>SUMIFS(#REF!,#REF!,$B26,#REF!,P$1)</f>
        <v>#REF!</v>
      </c>
      <c r="Q26" s="169" t="e">
        <f>SUMIFS(#REF!,#REF!,$B26,#REF!,Q$1)</f>
        <v>#REF!</v>
      </c>
      <c r="R26" s="169" t="e">
        <f>SUMIFS(#REF!,#REF!,$B26,#REF!,R$1)</f>
        <v>#REF!</v>
      </c>
      <c r="S26" s="169" t="e">
        <f>SUMIFS(#REF!,#REF!,$B26,#REF!,S$1)</f>
        <v>#REF!</v>
      </c>
      <c r="T26" s="169" t="e">
        <f>SUMIFS(#REF!,#REF!,$B26,#REF!,T$1)</f>
        <v>#REF!</v>
      </c>
      <c r="U26" s="169" t="e">
        <f>SUMIFS(#REF!,#REF!,$B26,#REF!,U$1)</f>
        <v>#REF!</v>
      </c>
      <c r="V26" s="169" t="e">
        <f>SUMIFS(#REF!,#REF!,$B26,#REF!,V$1)</f>
        <v>#REF!</v>
      </c>
      <c r="W26" s="169" t="e">
        <f>SUMIFS(#REF!,#REF!,$B26,#REF!,W$1)</f>
        <v>#REF!</v>
      </c>
      <c r="X26" s="169" t="e">
        <f>SUMIFS(#REF!,#REF!,$B26,#REF!,X$1)</f>
        <v>#REF!</v>
      </c>
      <c r="Y26" s="169" t="e">
        <f>SUMIFS(#REF!,#REF!,$B26,#REF!,Y$1)</f>
        <v>#REF!</v>
      </c>
      <c r="Z26" s="169" t="e">
        <f>SUMIFS(#REF!,#REF!,$B26,#REF!,Z$1)</f>
        <v>#REF!</v>
      </c>
      <c r="AA26" s="169" t="e">
        <f>SUMIFS(#REF!,#REF!,$B26,#REF!,AA$1)</f>
        <v>#REF!</v>
      </c>
      <c r="AB26" s="169" t="e">
        <f>SUMIFS(#REF!,#REF!,$B26,#REF!,AB$1)</f>
        <v>#REF!</v>
      </c>
      <c r="AC26" s="169" t="e">
        <f>SUMIFS(#REF!,#REF!,$B26,#REF!,AC$1)</f>
        <v>#REF!</v>
      </c>
      <c r="AD26" s="169" t="e">
        <f>SUMIFS(#REF!,#REF!,$B26,#REF!,AD$1)</f>
        <v>#REF!</v>
      </c>
      <c r="AE26" s="169" t="e">
        <f>SUMIFS(#REF!,#REF!,$B26,#REF!,AE$1)</f>
        <v>#REF!</v>
      </c>
      <c r="AF26" s="169" t="e">
        <f>SUMIFS(#REF!,#REF!,$B26,#REF!,AF$1)</f>
        <v>#REF!</v>
      </c>
      <c r="AG26" s="169" t="e">
        <f>SUMIFS(#REF!,#REF!,$B26,#REF!,AG$1)</f>
        <v>#REF!</v>
      </c>
      <c r="AH26" s="169" t="e">
        <f>SUMIFS(#REF!,#REF!,$B26,#REF!,AH$1)</f>
        <v>#REF!</v>
      </c>
      <c r="AI26" s="190" t="e">
        <f t="shared" si="1"/>
        <v>#REF!</v>
      </c>
    </row>
  </sheetData>
  <dataValidations count="1">
    <dataValidation type="list" allowBlank="1" showInputMessage="1" showErrorMessage="1" sqref="B3:B10" xr:uid="{00FB007F-00F4-4223-B6E4-007E00FC00D2}">
      <formula1>$E$4:$E$37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справочник!$E$4:$E$38</xm:f>
          </x14:formula1>
          <xm:sqref>B12:B26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I193"/>
  <sheetViews>
    <sheetView showZeros="0" zoomScale="70" workbookViewId="0">
      <selection activeCell="AI21" activeCellId="1" sqref="AI3 AI21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45261</v>
      </c>
      <c r="C1" s="192"/>
      <c r="D1" s="157">
        <f>B1</f>
        <v>45261</v>
      </c>
      <c r="E1" s="157">
        <f>D1+1</f>
        <v>45262</v>
      </c>
      <c r="F1" s="157">
        <f t="shared" ref="F1:AH1" si="0">E1+1</f>
        <v>45263</v>
      </c>
      <c r="G1" s="157">
        <f t="shared" si="0"/>
        <v>45264</v>
      </c>
      <c r="H1" s="157">
        <f t="shared" si="0"/>
        <v>45265</v>
      </c>
      <c r="I1" s="157">
        <f t="shared" si="0"/>
        <v>45266</v>
      </c>
      <c r="J1" s="157">
        <f t="shared" si="0"/>
        <v>45267</v>
      </c>
      <c r="K1" s="157">
        <f t="shared" si="0"/>
        <v>45268</v>
      </c>
      <c r="L1" s="157">
        <f t="shared" si="0"/>
        <v>45269</v>
      </c>
      <c r="M1" s="157">
        <f t="shared" si="0"/>
        <v>45270</v>
      </c>
      <c r="N1" s="157">
        <f t="shared" si="0"/>
        <v>45271</v>
      </c>
      <c r="O1" s="157">
        <f t="shared" si="0"/>
        <v>45272</v>
      </c>
      <c r="P1" s="157">
        <f t="shared" si="0"/>
        <v>45273</v>
      </c>
      <c r="Q1" s="157">
        <f t="shared" si="0"/>
        <v>45274</v>
      </c>
      <c r="R1" s="157">
        <f t="shared" si="0"/>
        <v>45275</v>
      </c>
      <c r="S1" s="157">
        <f t="shared" si="0"/>
        <v>45276</v>
      </c>
      <c r="T1" s="157">
        <f t="shared" si="0"/>
        <v>45277</v>
      </c>
      <c r="U1" s="157">
        <f t="shared" si="0"/>
        <v>45278</v>
      </c>
      <c r="V1" s="157">
        <f t="shared" si="0"/>
        <v>45279</v>
      </c>
      <c r="W1" s="157">
        <f t="shared" si="0"/>
        <v>45280</v>
      </c>
      <c r="X1" s="157">
        <f t="shared" si="0"/>
        <v>45281</v>
      </c>
      <c r="Y1" s="157">
        <f t="shared" si="0"/>
        <v>45282</v>
      </c>
      <c r="Z1" s="157">
        <f t="shared" si="0"/>
        <v>45283</v>
      </c>
      <c r="AA1" s="157">
        <f t="shared" si="0"/>
        <v>45284</v>
      </c>
      <c r="AB1" s="157">
        <f t="shared" si="0"/>
        <v>45285</v>
      </c>
      <c r="AC1" s="157">
        <f t="shared" si="0"/>
        <v>45286</v>
      </c>
      <c r="AD1" s="157">
        <f t="shared" si="0"/>
        <v>45287</v>
      </c>
      <c r="AE1" s="157">
        <f t="shared" si="0"/>
        <v>45288</v>
      </c>
      <c r="AF1" s="157">
        <f t="shared" si="0"/>
        <v>45289</v>
      </c>
      <c r="AG1" s="157">
        <f t="shared" si="0"/>
        <v>45290</v>
      </c>
      <c r="AH1" s="157">
        <f t="shared" si="0"/>
        <v>45291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SUMIFS('декабрь 2023'!$G$4:$G$1227,'декабрь 2023'!$D$4:$D$1227,$B3,'декабрь 2023'!$J$4:$J$1227,D$1)</f>
        <v>0</v>
      </c>
      <c r="E3" s="198">
        <f>SUMIFS('декабрь 2023'!$G$4:$G$1227,'декабрь 2023'!$D$4:$D$1227,$B3,'декабрь 2023'!$J$4:$J$1227,E$1)</f>
        <v>0</v>
      </c>
      <c r="F3" s="198">
        <f>SUMIFS('декабрь 2023'!$G$4:$G$1227,'декабрь 2023'!$D$4:$D$1227,$B3,'декабрь 2023'!$J$4:$J$1227,F$1)</f>
        <v>0</v>
      </c>
      <c r="G3" s="198">
        <f>SUMIFS('декабрь 2023'!$G$4:$G$1227,'декабрь 2023'!$D$4:$D$1227,$B3,'декабрь 2023'!$J$4:$J$1227,G$1)</f>
        <v>875</v>
      </c>
      <c r="H3" s="198">
        <f>SUMIFS('декабрь 2023'!$G$4:$G$1227,'декабрь 2023'!$D$4:$D$1227,$B3,'декабрь 2023'!$J$4:$J$1227,H$1)</f>
        <v>875</v>
      </c>
      <c r="I3" s="198">
        <f>SUMIFS('декабрь 2023'!$G$4:$G$1227,'декабрь 2023'!$D$4:$D$1227,$B3,'декабрь 2023'!$J$4:$J$1227,I$1)</f>
        <v>0</v>
      </c>
      <c r="J3" s="198">
        <f>SUMIFS('декабрь 2023'!$G$4:$G$1227,'декабрь 2023'!$D$4:$D$1227,$B3,'декабрь 2023'!$J$4:$J$1227,J$1)</f>
        <v>0</v>
      </c>
      <c r="K3" s="198">
        <f>SUMIFS('декабрь 2023'!$G$4:$G$1227,'декабрь 2023'!$D$4:$D$1227,$B3,'декабрь 2023'!$J$4:$J$1227,K$1)</f>
        <v>1295</v>
      </c>
      <c r="L3" s="198">
        <f>SUMIFS('декабрь 2023'!$G$4:$G$1227,'декабрь 2023'!$D$4:$D$1227,$B3,'декабрь 2023'!$J$4:$J$1227,L$1)</f>
        <v>0</v>
      </c>
      <c r="M3" s="198">
        <f>SUMIFS('декабрь 2023'!$G$4:$G$1227,'декабрь 2023'!$D$4:$D$1227,$B3,'декабрь 2023'!$J$4:$J$1227,M$1)</f>
        <v>0</v>
      </c>
      <c r="N3" s="198">
        <f>SUMIFS('декабрь 2023'!$G$4:$G$1227,'декабрь 2023'!$D$4:$D$1227,$B3,'декабрь 2023'!$J$4:$J$1227,N$1)</f>
        <v>0</v>
      </c>
      <c r="O3" s="198">
        <f>SUMIFS('декабрь 2023'!$G$4:$G$1227,'декабрь 2023'!$D$4:$D$1227,$B3,'декабрь 2023'!$J$4:$J$1227,O$1)</f>
        <v>0</v>
      </c>
      <c r="P3" s="198">
        <f>SUMIFS('декабрь 2023'!$G$4:$G$1227,'декабрь 2023'!$D$4:$D$1227,$B3,'декабрь 2023'!$J$4:$J$1227,P$1)</f>
        <v>700</v>
      </c>
      <c r="Q3" s="198">
        <f>SUMIFS('декабрь 2023'!$G$4:$G$1227,'декабрь 2023'!$D$4:$D$1227,$B3,'декабрь 2023'!$J$4:$J$1227,Q$1)</f>
        <v>0</v>
      </c>
      <c r="R3" s="198">
        <f>SUMIFS('декабрь 2023'!$G$4:$G$1227,'декабрь 2023'!$D$4:$D$1227,$B3,'декабрь 2023'!$J$4:$J$1227,R$1)</f>
        <v>0</v>
      </c>
      <c r="S3" s="198">
        <f>SUMIFS('декабрь 2023'!$G$4:$G$1227,'декабрь 2023'!$D$4:$D$1227,$B3,'декабрь 2023'!$J$4:$J$1227,S$1)</f>
        <v>0</v>
      </c>
      <c r="T3" s="198">
        <f>SUMIFS('декабрь 2023'!$G$4:$G$1227,'декабрь 2023'!$D$4:$D$1227,$B3,'декабрь 2023'!$J$4:$J$1227,T$1)</f>
        <v>0</v>
      </c>
      <c r="U3" s="198">
        <f>SUMIFS('декабрь 2023'!$G$4:$G$1227,'декабрь 2023'!$D$4:$D$1227,$B3,'декабрь 2023'!$J$4:$J$1227,U$1)</f>
        <v>0</v>
      </c>
      <c r="V3" s="198">
        <f>SUMIFS('декабрь 2023'!$G$4:$G$1227,'декабрь 2023'!$D$4:$D$1227,$B3,'декабрь 2023'!$J$4:$J$1227,V$1)</f>
        <v>0</v>
      </c>
      <c r="W3" s="198">
        <f>SUMIFS('декабрь 2023'!$G$4:$G$1227,'декабрь 2023'!$D$4:$D$1227,$B3,'декабрь 2023'!$J$4:$J$1227,W$1)</f>
        <v>0</v>
      </c>
      <c r="X3" s="198">
        <f>SUMIFS('декабрь 2023'!$G$4:$G$1227,'декабрь 2023'!$D$4:$D$1227,$B3,'декабрь 2023'!$J$4:$J$1227,X$1)</f>
        <v>0</v>
      </c>
      <c r="Y3" s="198">
        <f>SUMIFS('декабрь 2023'!$G$4:$G$1227,'декабрь 2023'!$D$4:$D$1227,$B3,'декабрь 2023'!$J$4:$J$1227,Y$1)</f>
        <v>0</v>
      </c>
      <c r="Z3" s="198">
        <f>SUMIFS('декабрь 2023'!$G$4:$G$1227,'декабрь 2023'!$D$4:$D$1227,$B3,'декабрь 2023'!$J$4:$J$1227,Z$1)</f>
        <v>0</v>
      </c>
      <c r="AA3" s="198">
        <f>SUMIFS('декабрь 2023'!$G$4:$G$1227,'декабрь 2023'!$D$4:$D$1227,$B3,'декабрь 2023'!$J$4:$J$1227,AA$1)</f>
        <v>0</v>
      </c>
      <c r="AB3" s="198">
        <f>SUMIFS('декабрь 2023'!$G$4:$G$1227,'декабрь 2023'!$D$4:$D$1227,$B3,'декабрь 2023'!$J$4:$J$1227,AB$1)</f>
        <v>0</v>
      </c>
      <c r="AC3" s="198">
        <f>SUMIFS('декабрь 2023'!$G$4:$G$1227,'декабрь 2023'!$D$4:$D$1227,$B3,'декабрь 2023'!$J$4:$J$1227,AC$1)</f>
        <v>0</v>
      </c>
      <c r="AD3" s="198">
        <f>SUMIFS('декабрь 2023'!$G$4:$G$1227,'декабрь 2023'!$D$4:$D$1227,$B3,'декабрь 2023'!$J$4:$J$1227,AD$1)</f>
        <v>0</v>
      </c>
      <c r="AE3" s="198">
        <f>SUMIFS('декабрь 2023'!$G$4:$G$1227,'декабрь 2023'!$D$4:$D$1227,$B3,'декабрь 2023'!$J$4:$J$1227,AE$1)</f>
        <v>1400</v>
      </c>
      <c r="AF3" s="198">
        <f>SUMIFS('декабрь 2023'!$G$4:$G$1227,'декабрь 2023'!$D$4:$D$1227,$B3,'декабрь 2023'!$J$4:$J$1227,AF$1)</f>
        <v>0</v>
      </c>
      <c r="AG3" s="198">
        <f>SUMIFS('декабрь 2023'!$G$4:$G$1227,'декабрь 2023'!$D$4:$D$1227,$B3,'декабрь 2023'!$J$4:$J$1227,AG$1)</f>
        <v>0</v>
      </c>
      <c r="AH3" s="198">
        <f>SUMIFS('декабрь 2023'!$G$4:$G$1227,'декабрь 2023'!$D$4:$D$1227,$B3,'декабрь 2023'!$J$4:$J$1227,AH$1)</f>
        <v>0</v>
      </c>
      <c r="AI3" s="166">
        <f t="shared" ref="AI3:AI66" si="1">SUM(D3:AH3)</f>
        <v>5145</v>
      </c>
    </row>
    <row r="4" spans="2:35" ht="15" customHeight="1" x14ac:dyDescent="0.25">
      <c r="B4" s="199" t="s">
        <v>74</v>
      </c>
      <c r="C4" s="200">
        <v>25</v>
      </c>
      <c r="D4" s="198">
        <f>SUMIFS('декабрь 2023'!$G$4:$G$1227,'декабрь 2023'!$D$4:$D$1227,$B4,'декабрь 2023'!$J$4:$J$1227,D$1)</f>
        <v>0</v>
      </c>
      <c r="E4" s="198">
        <f>SUMIFS('декабрь 2023'!$G$4:$G$1227,'декабрь 2023'!$D$4:$D$1227,$B4,'декабрь 2023'!$J$4:$J$1227,E$1)</f>
        <v>0</v>
      </c>
      <c r="F4" s="198">
        <f>SUMIFS('декабрь 2023'!$G$4:$G$1227,'декабрь 2023'!$D$4:$D$1227,$B4,'декабрь 2023'!$J$4:$J$1227,F$1)</f>
        <v>0</v>
      </c>
      <c r="G4" s="198">
        <f>SUMIFS('декабрь 2023'!$G$4:$G$1227,'декабрь 2023'!$D$4:$D$1227,$B4,'декабрь 2023'!$J$4:$J$1227,G$1)</f>
        <v>640</v>
      </c>
      <c r="H4" s="198">
        <f>SUMIFS('декабрь 2023'!$G$4:$G$1227,'декабрь 2023'!$D$4:$D$1227,$B4,'декабрь 2023'!$J$4:$J$1227,H$1)</f>
        <v>0</v>
      </c>
      <c r="I4" s="198">
        <f>SUMIFS('декабрь 2023'!$G$4:$G$1227,'декабрь 2023'!$D$4:$D$1227,$B4,'декабрь 2023'!$J$4:$J$1227,I$1)</f>
        <v>0</v>
      </c>
      <c r="J4" s="198">
        <f>SUMIFS('декабрь 2023'!$G$4:$G$1227,'декабрь 2023'!$D$4:$D$1227,$B4,'декабрь 2023'!$J$4:$J$1227,J$1)</f>
        <v>0</v>
      </c>
      <c r="K4" s="198">
        <f>SUMIFS('декабрь 2023'!$G$4:$G$1227,'декабрь 2023'!$D$4:$D$1227,$B4,'декабрь 2023'!$J$4:$J$1227,K$1)</f>
        <v>0</v>
      </c>
      <c r="L4" s="198">
        <f>SUMIFS('декабрь 2023'!$G$4:$G$1227,'декабрь 2023'!$D$4:$D$1227,$B4,'декабрь 2023'!$J$4:$J$1227,L$1)</f>
        <v>0</v>
      </c>
      <c r="M4" s="198">
        <f>SUMIFS('декабрь 2023'!$G$4:$G$1227,'декабрь 2023'!$D$4:$D$1227,$B4,'декабрь 2023'!$J$4:$J$1227,M$1)</f>
        <v>0</v>
      </c>
      <c r="N4" s="198">
        <f>SUMIFS('декабрь 2023'!$G$4:$G$1227,'декабрь 2023'!$D$4:$D$1227,$B4,'декабрь 2023'!$J$4:$J$1227,N$1)</f>
        <v>0</v>
      </c>
      <c r="O4" s="198">
        <f>SUMIFS('декабрь 2023'!$G$4:$G$1227,'декабрь 2023'!$D$4:$D$1227,$B4,'декабрь 2023'!$J$4:$J$1227,O$1)</f>
        <v>0</v>
      </c>
      <c r="P4" s="198">
        <f>SUMIFS('декабрь 2023'!$G$4:$G$1227,'декабрь 2023'!$D$4:$D$1227,$B4,'декабрь 2023'!$J$4:$J$1227,P$1)</f>
        <v>0</v>
      </c>
      <c r="Q4" s="198">
        <f>SUMIFS('декабрь 2023'!$G$4:$G$1227,'декабрь 2023'!$D$4:$D$1227,$B4,'декабрь 2023'!$J$4:$J$1227,Q$1)</f>
        <v>0</v>
      </c>
      <c r="R4" s="198">
        <f>SUMIFS('декабрь 2023'!$G$4:$G$1227,'декабрь 2023'!$D$4:$D$1227,$B4,'декабрь 2023'!$J$4:$J$1227,R$1)</f>
        <v>0</v>
      </c>
      <c r="S4" s="198">
        <f>SUMIFS('декабрь 2023'!$G$4:$G$1227,'декабрь 2023'!$D$4:$D$1227,$B4,'декабрь 2023'!$J$4:$J$1227,S$1)</f>
        <v>0</v>
      </c>
      <c r="T4" s="198">
        <f>SUMIFS('декабрь 2023'!$G$4:$G$1227,'декабрь 2023'!$D$4:$D$1227,$B4,'декабрь 2023'!$J$4:$J$1227,T$1)</f>
        <v>0</v>
      </c>
      <c r="U4" s="198">
        <f>SUMIFS('декабрь 2023'!$G$4:$G$1227,'декабрь 2023'!$D$4:$D$1227,$B4,'декабрь 2023'!$J$4:$J$1227,U$1)</f>
        <v>0</v>
      </c>
      <c r="V4" s="198">
        <f>SUMIFS('декабрь 2023'!$G$4:$G$1227,'декабрь 2023'!$D$4:$D$1227,$B4,'декабрь 2023'!$J$4:$J$1227,V$1)</f>
        <v>0</v>
      </c>
      <c r="W4" s="198">
        <f>SUMIFS('декабрь 2023'!$G$4:$G$1227,'декабрь 2023'!$D$4:$D$1227,$B4,'декабрь 2023'!$J$4:$J$1227,W$1)</f>
        <v>0</v>
      </c>
      <c r="X4" s="198">
        <f>SUMIFS('декабрь 2023'!$G$4:$G$1227,'декабрь 2023'!$D$4:$D$1227,$B4,'декабрь 2023'!$J$4:$J$1227,X$1)</f>
        <v>0</v>
      </c>
      <c r="Y4" s="198">
        <f>SUMIFS('декабрь 2023'!$G$4:$G$1227,'декабрь 2023'!$D$4:$D$1227,$B4,'декабрь 2023'!$J$4:$J$1227,Y$1)</f>
        <v>0</v>
      </c>
      <c r="Z4" s="198">
        <f>SUMIFS('декабрь 2023'!$G$4:$G$1227,'декабрь 2023'!$D$4:$D$1227,$B4,'декабрь 2023'!$J$4:$J$1227,Z$1)</f>
        <v>0</v>
      </c>
      <c r="AA4" s="198">
        <f>SUMIFS('декабрь 2023'!$G$4:$G$1227,'декабрь 2023'!$D$4:$D$1227,$B4,'декабрь 2023'!$J$4:$J$1227,AA$1)</f>
        <v>0</v>
      </c>
      <c r="AB4" s="198">
        <f>SUMIFS('декабрь 2023'!$G$4:$G$1227,'декабрь 2023'!$D$4:$D$1227,$B4,'декабрь 2023'!$J$4:$J$1227,AB$1)</f>
        <v>0</v>
      </c>
      <c r="AC4" s="198">
        <f>SUMIFS('декабрь 2023'!$G$4:$G$1227,'декабрь 2023'!$D$4:$D$1227,$B4,'декабрь 2023'!$J$4:$J$1227,AC$1)</f>
        <v>0</v>
      </c>
      <c r="AD4" s="198">
        <f>SUMIFS('декабрь 2023'!$G$4:$G$1227,'декабрь 2023'!$D$4:$D$1227,$B4,'декабрь 2023'!$J$4:$J$1227,AD$1)</f>
        <v>0</v>
      </c>
      <c r="AE4" s="198">
        <f>SUMIFS('декабрь 2023'!$G$4:$G$1227,'декабрь 2023'!$D$4:$D$1227,$B4,'декабрь 2023'!$J$4:$J$1227,AE$1)</f>
        <v>0</v>
      </c>
      <c r="AF4" s="198">
        <f>SUMIFS('декабрь 2023'!$G$4:$G$1227,'декабрь 2023'!$D$4:$D$1227,$B4,'декабрь 2023'!$J$4:$J$1227,AF$1)</f>
        <v>0</v>
      </c>
      <c r="AG4" s="198">
        <f>SUMIFS('декабрь 2023'!$G$4:$G$1227,'декабрь 2023'!$D$4:$D$1227,$B4,'декабрь 2023'!$J$4:$J$1227,AG$1)</f>
        <v>0</v>
      </c>
      <c r="AH4" s="198">
        <f>SUMIFS('декабрь 2023'!$G$4:$G$1227,'декабрь 2023'!$D$4:$D$1227,$B4,'декабрь 2023'!$J$4:$J$1227,AH$1)</f>
        <v>0</v>
      </c>
      <c r="AI4" s="170">
        <f t="shared" si="1"/>
        <v>640</v>
      </c>
    </row>
    <row r="5" spans="2:35" ht="15" customHeight="1" x14ac:dyDescent="0.25">
      <c r="B5" s="199" t="s">
        <v>165</v>
      </c>
      <c r="C5" s="200">
        <v>25</v>
      </c>
      <c r="D5" s="198">
        <f>SUMIFS('декабрь 2023'!$G$4:$G$1227,'декабрь 2023'!$D$4:$D$1227,$B5,'декабрь 2023'!$J$4:$J$1227,D$1)</f>
        <v>0</v>
      </c>
      <c r="E5" s="198">
        <f>SUMIFS('декабрь 2023'!$G$4:$G$1227,'декабрь 2023'!$D$4:$D$1227,$B5,'декабрь 2023'!$J$4:$J$1227,E$1)</f>
        <v>0</v>
      </c>
      <c r="F5" s="198">
        <f>SUMIFS('декабрь 2023'!$G$4:$G$1227,'декабрь 2023'!$D$4:$D$1227,$B5,'декабрь 2023'!$J$4:$J$1227,F$1)</f>
        <v>0</v>
      </c>
      <c r="G5" s="198">
        <f>SUMIFS('декабрь 2023'!$G$4:$G$1227,'декабрь 2023'!$D$4:$D$1227,$B5,'декабрь 2023'!$J$4:$J$1227,G$1)</f>
        <v>0</v>
      </c>
      <c r="H5" s="198">
        <f>SUMIFS('декабрь 2023'!$G$4:$G$1227,'декабрь 2023'!$D$4:$D$1227,$B5,'декабрь 2023'!$J$4:$J$1227,H$1)</f>
        <v>0</v>
      </c>
      <c r="I5" s="198">
        <f>SUMIFS('декабрь 2023'!$G$4:$G$1227,'декабрь 2023'!$D$4:$D$1227,$B5,'декабрь 2023'!$J$4:$J$1227,I$1)</f>
        <v>0</v>
      </c>
      <c r="J5" s="198">
        <f>SUMIFS('декабрь 2023'!$G$4:$G$1227,'декабрь 2023'!$D$4:$D$1227,$B5,'декабрь 2023'!$J$4:$J$1227,J$1)</f>
        <v>0</v>
      </c>
      <c r="K5" s="198">
        <f>SUMIFS('декабрь 2023'!$G$4:$G$1227,'декабрь 2023'!$D$4:$D$1227,$B5,'декабрь 2023'!$J$4:$J$1227,K$1)</f>
        <v>0</v>
      </c>
      <c r="L5" s="198">
        <f>SUMIFS('декабрь 2023'!$G$4:$G$1227,'декабрь 2023'!$D$4:$D$1227,$B5,'декабрь 2023'!$J$4:$J$1227,L$1)</f>
        <v>0</v>
      </c>
      <c r="M5" s="198">
        <f>SUMIFS('декабрь 2023'!$G$4:$G$1227,'декабрь 2023'!$D$4:$D$1227,$B5,'декабрь 2023'!$J$4:$J$1227,M$1)</f>
        <v>0</v>
      </c>
      <c r="N5" s="198">
        <f>SUMIFS('декабрь 2023'!$G$4:$G$1227,'декабрь 2023'!$D$4:$D$1227,$B5,'декабрь 2023'!$J$4:$J$1227,N$1)</f>
        <v>0</v>
      </c>
      <c r="O5" s="198">
        <f>SUMIFS('декабрь 2023'!$G$4:$G$1227,'декабрь 2023'!$D$4:$D$1227,$B5,'декабрь 2023'!$J$4:$J$1227,O$1)</f>
        <v>0</v>
      </c>
      <c r="P5" s="198">
        <f>SUMIFS('декабрь 2023'!$G$4:$G$1227,'декабрь 2023'!$D$4:$D$1227,$B5,'декабрь 2023'!$J$4:$J$1227,P$1)</f>
        <v>0</v>
      </c>
      <c r="Q5" s="198">
        <f>SUMIFS('декабрь 2023'!$G$4:$G$1227,'декабрь 2023'!$D$4:$D$1227,$B5,'декабрь 2023'!$J$4:$J$1227,Q$1)</f>
        <v>0</v>
      </c>
      <c r="R5" s="198">
        <f>SUMIFS('декабрь 2023'!$G$4:$G$1227,'декабрь 2023'!$D$4:$D$1227,$B5,'декабрь 2023'!$J$4:$J$1227,R$1)</f>
        <v>0</v>
      </c>
      <c r="S5" s="198">
        <f>SUMIFS('декабрь 2023'!$G$4:$G$1227,'декабрь 2023'!$D$4:$D$1227,$B5,'декабрь 2023'!$J$4:$J$1227,S$1)</f>
        <v>0</v>
      </c>
      <c r="T5" s="198">
        <f>SUMIFS('декабрь 2023'!$G$4:$G$1227,'декабрь 2023'!$D$4:$D$1227,$B5,'декабрь 2023'!$J$4:$J$1227,T$1)</f>
        <v>0</v>
      </c>
      <c r="U5" s="198">
        <f>SUMIFS('декабрь 2023'!$G$4:$G$1227,'декабрь 2023'!$D$4:$D$1227,$B5,'декабрь 2023'!$J$4:$J$1227,U$1)</f>
        <v>0</v>
      </c>
      <c r="V5" s="198">
        <f>SUMIFS('декабрь 2023'!$G$4:$G$1227,'декабрь 2023'!$D$4:$D$1227,$B5,'декабрь 2023'!$J$4:$J$1227,V$1)</f>
        <v>1598</v>
      </c>
      <c r="W5" s="198">
        <f>SUMIFS('декабрь 2023'!$G$4:$G$1227,'декабрь 2023'!$D$4:$D$1227,$B5,'декабрь 2023'!$J$4:$J$1227,W$1)</f>
        <v>0</v>
      </c>
      <c r="X5" s="198">
        <f>SUMIFS('декабрь 2023'!$G$4:$G$1227,'декабрь 2023'!$D$4:$D$1227,$B5,'декабрь 2023'!$J$4:$J$1227,X$1)</f>
        <v>0</v>
      </c>
      <c r="Y5" s="198">
        <f>SUMIFS('декабрь 2023'!$G$4:$G$1227,'декабрь 2023'!$D$4:$D$1227,$B5,'декабрь 2023'!$J$4:$J$1227,Y$1)</f>
        <v>0</v>
      </c>
      <c r="Z5" s="198">
        <f>SUMIFS('декабрь 2023'!$G$4:$G$1227,'декабрь 2023'!$D$4:$D$1227,$B5,'декабрь 2023'!$J$4:$J$1227,Z$1)</f>
        <v>0</v>
      </c>
      <c r="AA5" s="198">
        <f>SUMIFS('декабрь 2023'!$G$4:$G$1227,'декабрь 2023'!$D$4:$D$1227,$B5,'декабрь 2023'!$J$4:$J$1227,AA$1)</f>
        <v>0</v>
      </c>
      <c r="AB5" s="198">
        <f>SUMIFS('декабрь 2023'!$G$4:$G$1227,'декабрь 2023'!$D$4:$D$1227,$B5,'декабрь 2023'!$J$4:$J$1227,AB$1)</f>
        <v>800</v>
      </c>
      <c r="AC5" s="198">
        <f>SUMIFS('декабрь 2023'!$G$4:$G$1227,'декабрь 2023'!$D$4:$D$1227,$B5,'декабрь 2023'!$J$4:$J$1227,AC$1)</f>
        <v>0</v>
      </c>
      <c r="AD5" s="198">
        <f>SUMIFS('декабрь 2023'!$G$4:$G$1227,'декабрь 2023'!$D$4:$D$1227,$B5,'декабрь 2023'!$J$4:$J$1227,AD$1)</f>
        <v>0</v>
      </c>
      <c r="AE5" s="198">
        <f>SUMIFS('декабрь 2023'!$G$4:$G$1227,'декабрь 2023'!$D$4:$D$1227,$B5,'декабрь 2023'!$J$4:$J$1227,AE$1)</f>
        <v>0</v>
      </c>
      <c r="AF5" s="198">
        <f>SUMIFS('декабрь 2023'!$G$4:$G$1227,'декабрь 2023'!$D$4:$D$1227,$B5,'декабрь 2023'!$J$4:$J$1227,AF$1)</f>
        <v>0</v>
      </c>
      <c r="AG5" s="198">
        <f>SUMIFS('декабрь 2023'!$G$4:$G$1227,'декабрь 2023'!$D$4:$D$1227,$B5,'декабрь 2023'!$J$4:$J$1227,AG$1)</f>
        <v>0</v>
      </c>
      <c r="AH5" s="198">
        <f>SUMIFS('декабрь 2023'!$G$4:$G$1227,'декабрь 2023'!$D$4:$D$1227,$B5,'декабрь 2023'!$J$4:$J$1227,AH$1)</f>
        <v>0</v>
      </c>
      <c r="AI5" s="170">
        <f t="shared" si="1"/>
        <v>2398</v>
      </c>
    </row>
    <row r="6" spans="2:35" ht="15" customHeight="1" x14ac:dyDescent="0.25">
      <c r="B6" s="199" t="s">
        <v>2084</v>
      </c>
      <c r="C6" s="200">
        <v>22.7</v>
      </c>
      <c r="D6" s="198">
        <f>SUMIFS('декабрь 2023'!$G$4:$G$1227,'декабрь 2023'!$D$4:$D$1227,$B6,'декабрь 2023'!$J$4:$J$1227,D$1)</f>
        <v>0</v>
      </c>
      <c r="E6" s="198">
        <f>SUMIFS('декабрь 2023'!$G$4:$G$1227,'декабрь 2023'!$D$4:$D$1227,$B6,'декабрь 2023'!$J$4:$J$1227,E$1)</f>
        <v>0</v>
      </c>
      <c r="F6" s="198">
        <f>SUMIFS('декабрь 2023'!$G$4:$G$1227,'декабрь 2023'!$D$4:$D$1227,$B6,'декабрь 2023'!$J$4:$J$1227,F$1)</f>
        <v>0</v>
      </c>
      <c r="G6" s="198">
        <f>SUMIFS('декабрь 2023'!$G$4:$G$1227,'декабрь 2023'!$D$4:$D$1227,$B6,'декабрь 2023'!$J$4:$J$1227,G$1)</f>
        <v>0</v>
      </c>
      <c r="H6" s="198">
        <f>SUMIFS('декабрь 2023'!$G$4:$G$1227,'декабрь 2023'!$D$4:$D$1227,$B6,'декабрь 2023'!$J$4:$J$1227,H$1)</f>
        <v>0</v>
      </c>
      <c r="I6" s="198">
        <f>SUMIFS('декабрь 2023'!$G$4:$G$1227,'декабрь 2023'!$D$4:$D$1227,$B6,'декабрь 2023'!$J$4:$J$1227,I$1)</f>
        <v>0</v>
      </c>
      <c r="J6" s="198">
        <f>SUMIFS('декабрь 2023'!$G$4:$G$1227,'декабрь 2023'!$D$4:$D$1227,$B6,'декабрь 2023'!$J$4:$J$1227,J$1)</f>
        <v>0</v>
      </c>
      <c r="K6" s="198">
        <f>SUMIFS('декабрь 2023'!$G$4:$G$1227,'декабрь 2023'!$D$4:$D$1227,$B6,'декабрь 2023'!$J$4:$J$1227,K$1)</f>
        <v>0</v>
      </c>
      <c r="L6" s="198">
        <f>SUMIFS('декабрь 2023'!$G$4:$G$1227,'декабрь 2023'!$D$4:$D$1227,$B6,'декабрь 2023'!$J$4:$J$1227,L$1)</f>
        <v>0</v>
      </c>
      <c r="M6" s="198">
        <f>SUMIFS('декабрь 2023'!$G$4:$G$1227,'декабрь 2023'!$D$4:$D$1227,$B6,'декабрь 2023'!$J$4:$J$1227,M$1)</f>
        <v>0</v>
      </c>
      <c r="N6" s="198">
        <f>SUMIFS('декабрь 2023'!$G$4:$G$1227,'декабрь 2023'!$D$4:$D$1227,$B6,'декабрь 2023'!$J$4:$J$1227,N$1)</f>
        <v>0</v>
      </c>
      <c r="O6" s="198">
        <f>SUMIFS('декабрь 2023'!$G$4:$G$1227,'декабрь 2023'!$D$4:$D$1227,$B6,'декабрь 2023'!$J$4:$J$1227,O$1)</f>
        <v>0</v>
      </c>
      <c r="P6" s="198">
        <f>SUMIFS('декабрь 2023'!$G$4:$G$1227,'декабрь 2023'!$D$4:$D$1227,$B6,'декабрь 2023'!$J$4:$J$1227,P$1)</f>
        <v>0</v>
      </c>
      <c r="Q6" s="198">
        <f>SUMIFS('декабрь 2023'!$G$4:$G$1227,'декабрь 2023'!$D$4:$D$1227,$B6,'декабрь 2023'!$J$4:$J$1227,Q$1)</f>
        <v>0</v>
      </c>
      <c r="R6" s="198">
        <f>SUMIFS('декабрь 2023'!$G$4:$G$1227,'декабрь 2023'!$D$4:$D$1227,$B6,'декабрь 2023'!$J$4:$J$1227,R$1)</f>
        <v>0</v>
      </c>
      <c r="S6" s="198">
        <f>SUMIFS('декабрь 2023'!$G$4:$G$1227,'декабрь 2023'!$D$4:$D$1227,$B6,'декабрь 2023'!$J$4:$J$1227,S$1)</f>
        <v>0</v>
      </c>
      <c r="T6" s="198">
        <f>SUMIFS('декабрь 2023'!$G$4:$G$1227,'декабрь 2023'!$D$4:$D$1227,$B6,'декабрь 2023'!$J$4:$J$1227,T$1)</f>
        <v>0</v>
      </c>
      <c r="U6" s="198">
        <f>SUMIFS('декабрь 2023'!$G$4:$G$1227,'декабрь 2023'!$D$4:$D$1227,$B6,'декабрь 2023'!$J$4:$J$1227,U$1)</f>
        <v>0</v>
      </c>
      <c r="V6" s="198">
        <f>SUMIFS('декабрь 2023'!$G$4:$G$1227,'декабрь 2023'!$D$4:$D$1227,$B6,'декабрь 2023'!$J$4:$J$1227,V$1)</f>
        <v>0</v>
      </c>
      <c r="W6" s="198">
        <f>SUMIFS('декабрь 2023'!$G$4:$G$1227,'декабрь 2023'!$D$4:$D$1227,$B6,'декабрь 2023'!$J$4:$J$1227,W$1)</f>
        <v>0</v>
      </c>
      <c r="X6" s="198">
        <f>SUMIFS('декабрь 2023'!$G$4:$G$1227,'декабрь 2023'!$D$4:$D$1227,$B6,'декабрь 2023'!$J$4:$J$1227,X$1)</f>
        <v>0</v>
      </c>
      <c r="Y6" s="198">
        <f>SUMIFS('декабрь 2023'!$G$4:$G$1227,'декабрь 2023'!$D$4:$D$1227,$B6,'декабрь 2023'!$J$4:$J$1227,Y$1)</f>
        <v>0</v>
      </c>
      <c r="Z6" s="198">
        <f>SUMIFS('декабрь 2023'!$G$4:$G$1227,'декабрь 2023'!$D$4:$D$1227,$B6,'декабрь 2023'!$J$4:$J$1227,Z$1)</f>
        <v>0</v>
      </c>
      <c r="AA6" s="198">
        <f>SUMIFS('декабрь 2023'!$G$4:$G$1227,'декабрь 2023'!$D$4:$D$1227,$B6,'декабрь 2023'!$J$4:$J$1227,AA$1)</f>
        <v>0</v>
      </c>
      <c r="AB6" s="198">
        <f>SUMIFS('декабрь 2023'!$G$4:$G$1227,'декабрь 2023'!$D$4:$D$1227,$B6,'декабрь 2023'!$J$4:$J$1227,AB$1)</f>
        <v>0</v>
      </c>
      <c r="AC6" s="198">
        <f>SUMIFS('декабрь 2023'!$G$4:$G$1227,'декабрь 2023'!$D$4:$D$1227,$B6,'декабрь 2023'!$J$4:$J$1227,AC$1)</f>
        <v>0</v>
      </c>
      <c r="AD6" s="198">
        <f>SUMIFS('декабрь 2023'!$G$4:$G$1227,'декабрь 2023'!$D$4:$D$1227,$B6,'декабрь 2023'!$J$4:$J$1227,AD$1)</f>
        <v>0</v>
      </c>
      <c r="AE6" s="198">
        <f>SUMIFS('декабрь 2023'!$G$4:$G$1227,'декабрь 2023'!$D$4:$D$1227,$B6,'декабрь 2023'!$J$4:$J$1227,AE$1)</f>
        <v>0</v>
      </c>
      <c r="AF6" s="198">
        <f>SUMIFS('декабрь 2023'!$G$4:$G$1227,'декабрь 2023'!$D$4:$D$1227,$B6,'декабрь 2023'!$J$4:$J$1227,AF$1)</f>
        <v>0</v>
      </c>
      <c r="AG6" s="198">
        <f>SUMIFS('декабрь 2023'!$G$4:$G$1227,'декабрь 2023'!$D$4:$D$1227,$B6,'декабрь 2023'!$J$4:$J$1227,AG$1)</f>
        <v>0</v>
      </c>
      <c r="AH6" s="198">
        <f>SUMIFS('декабрь 2023'!$G$4:$G$1227,'декабрь 2023'!$D$4:$D$1227,$B6,'декабрь 2023'!$J$4:$J$1227,AH$1)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SUMIFS('декабрь 2023'!$G$4:$G$1227,'декабрь 2023'!$D$4:$D$1227,$B7,'декабрь 2023'!$J$4:$J$1227,D$1)</f>
        <v>0</v>
      </c>
      <c r="E7" s="198">
        <f>SUMIFS('декабрь 2023'!$G$4:$G$1227,'декабрь 2023'!$D$4:$D$1227,$B7,'декабрь 2023'!$J$4:$J$1227,E$1)</f>
        <v>0</v>
      </c>
      <c r="F7" s="198">
        <f>SUMIFS('декабрь 2023'!$G$4:$G$1227,'декабрь 2023'!$D$4:$D$1227,$B7,'декабрь 2023'!$J$4:$J$1227,F$1)</f>
        <v>0</v>
      </c>
      <c r="G7" s="198">
        <f>SUMIFS('декабрь 2023'!$G$4:$G$1227,'декабрь 2023'!$D$4:$D$1227,$B7,'декабрь 2023'!$J$4:$J$1227,G$1)</f>
        <v>0</v>
      </c>
      <c r="H7" s="198">
        <f>SUMIFS('декабрь 2023'!$G$4:$G$1227,'декабрь 2023'!$D$4:$D$1227,$B7,'декабрь 2023'!$J$4:$J$1227,H$1)</f>
        <v>0</v>
      </c>
      <c r="I7" s="198">
        <f>SUMIFS('декабрь 2023'!$G$4:$G$1227,'декабрь 2023'!$D$4:$D$1227,$B7,'декабрь 2023'!$J$4:$J$1227,I$1)</f>
        <v>0</v>
      </c>
      <c r="J7" s="198">
        <f>SUMIFS('декабрь 2023'!$G$4:$G$1227,'декабрь 2023'!$D$4:$D$1227,$B7,'декабрь 2023'!$J$4:$J$1227,J$1)</f>
        <v>0</v>
      </c>
      <c r="K7" s="198">
        <f>SUMIFS('декабрь 2023'!$G$4:$G$1227,'декабрь 2023'!$D$4:$D$1227,$B7,'декабрь 2023'!$J$4:$J$1227,K$1)</f>
        <v>0</v>
      </c>
      <c r="L7" s="198">
        <f>SUMIFS('декабрь 2023'!$G$4:$G$1227,'декабрь 2023'!$D$4:$D$1227,$B7,'декабрь 2023'!$J$4:$J$1227,L$1)</f>
        <v>0</v>
      </c>
      <c r="M7" s="198">
        <f>SUMIFS('декабрь 2023'!$G$4:$G$1227,'декабрь 2023'!$D$4:$D$1227,$B7,'декабрь 2023'!$J$4:$J$1227,M$1)</f>
        <v>0</v>
      </c>
      <c r="N7" s="198">
        <f>SUMIFS('декабрь 2023'!$G$4:$G$1227,'декабрь 2023'!$D$4:$D$1227,$B7,'декабрь 2023'!$J$4:$J$1227,N$1)</f>
        <v>0</v>
      </c>
      <c r="O7" s="198">
        <f>SUMIFS('декабрь 2023'!$G$4:$G$1227,'декабрь 2023'!$D$4:$D$1227,$B7,'декабрь 2023'!$J$4:$J$1227,O$1)</f>
        <v>0</v>
      </c>
      <c r="P7" s="198">
        <f>SUMIFS('декабрь 2023'!$G$4:$G$1227,'декабрь 2023'!$D$4:$D$1227,$B7,'декабрь 2023'!$J$4:$J$1227,P$1)</f>
        <v>0</v>
      </c>
      <c r="Q7" s="198">
        <f>SUMIFS('декабрь 2023'!$G$4:$G$1227,'декабрь 2023'!$D$4:$D$1227,$B7,'декабрь 2023'!$J$4:$J$1227,Q$1)</f>
        <v>0</v>
      </c>
      <c r="R7" s="198">
        <f>SUMIFS('декабрь 2023'!$G$4:$G$1227,'декабрь 2023'!$D$4:$D$1227,$B7,'декабрь 2023'!$J$4:$J$1227,R$1)</f>
        <v>0</v>
      </c>
      <c r="S7" s="198">
        <f>SUMIFS('декабрь 2023'!$G$4:$G$1227,'декабрь 2023'!$D$4:$D$1227,$B7,'декабрь 2023'!$J$4:$J$1227,S$1)</f>
        <v>0</v>
      </c>
      <c r="T7" s="198">
        <f>SUMIFS('декабрь 2023'!$G$4:$G$1227,'декабрь 2023'!$D$4:$D$1227,$B7,'декабрь 2023'!$J$4:$J$1227,T$1)</f>
        <v>0</v>
      </c>
      <c r="U7" s="198">
        <f>SUMIFS('декабрь 2023'!$G$4:$G$1227,'декабрь 2023'!$D$4:$D$1227,$B7,'декабрь 2023'!$J$4:$J$1227,U$1)</f>
        <v>0</v>
      </c>
      <c r="V7" s="198">
        <f>SUMIFS('декабрь 2023'!$G$4:$G$1227,'декабрь 2023'!$D$4:$D$1227,$B7,'декабрь 2023'!$J$4:$J$1227,V$1)</f>
        <v>0</v>
      </c>
      <c r="W7" s="198">
        <f>SUMIFS('декабрь 2023'!$G$4:$G$1227,'декабрь 2023'!$D$4:$D$1227,$B7,'декабрь 2023'!$J$4:$J$1227,W$1)</f>
        <v>0</v>
      </c>
      <c r="X7" s="198">
        <f>SUMIFS('декабрь 2023'!$G$4:$G$1227,'декабрь 2023'!$D$4:$D$1227,$B7,'декабрь 2023'!$J$4:$J$1227,X$1)</f>
        <v>0</v>
      </c>
      <c r="Y7" s="198">
        <f>SUMIFS('декабрь 2023'!$G$4:$G$1227,'декабрь 2023'!$D$4:$D$1227,$B7,'декабрь 2023'!$J$4:$J$1227,Y$1)</f>
        <v>0</v>
      </c>
      <c r="Z7" s="198">
        <f>SUMIFS('декабрь 2023'!$G$4:$G$1227,'декабрь 2023'!$D$4:$D$1227,$B7,'декабрь 2023'!$J$4:$J$1227,Z$1)</f>
        <v>0</v>
      </c>
      <c r="AA7" s="198">
        <f>SUMIFS('декабрь 2023'!$G$4:$G$1227,'декабрь 2023'!$D$4:$D$1227,$B7,'декабрь 2023'!$J$4:$J$1227,AA$1)</f>
        <v>0</v>
      </c>
      <c r="AB7" s="198">
        <f>SUMIFS('декабрь 2023'!$G$4:$G$1227,'декабрь 2023'!$D$4:$D$1227,$B7,'декабрь 2023'!$J$4:$J$1227,AB$1)</f>
        <v>0</v>
      </c>
      <c r="AC7" s="198">
        <f>SUMIFS('декабрь 2023'!$G$4:$G$1227,'декабрь 2023'!$D$4:$D$1227,$B7,'декабрь 2023'!$J$4:$J$1227,AC$1)</f>
        <v>0</v>
      </c>
      <c r="AD7" s="198">
        <f>SUMIFS('декабрь 2023'!$G$4:$G$1227,'декабрь 2023'!$D$4:$D$1227,$B7,'декабрь 2023'!$J$4:$J$1227,AD$1)</f>
        <v>0</v>
      </c>
      <c r="AE7" s="198">
        <f>SUMIFS('декабрь 2023'!$G$4:$G$1227,'декабрь 2023'!$D$4:$D$1227,$B7,'декабрь 2023'!$J$4:$J$1227,AE$1)</f>
        <v>0</v>
      </c>
      <c r="AF7" s="198">
        <f>SUMIFS('декабрь 2023'!$G$4:$G$1227,'декабрь 2023'!$D$4:$D$1227,$B7,'декабрь 2023'!$J$4:$J$1227,AF$1)</f>
        <v>0</v>
      </c>
      <c r="AG7" s="198">
        <f>SUMIFS('декабрь 2023'!$G$4:$G$1227,'декабрь 2023'!$D$4:$D$1227,$B7,'декабрь 2023'!$J$4:$J$1227,AG$1)</f>
        <v>0</v>
      </c>
      <c r="AH7" s="198">
        <f>SUMIFS('декабрь 2023'!$G$4:$G$1227,'декабрь 2023'!$D$4:$D$1227,$B7,'декабрь 2023'!$J$4:$J$1227,AH$1)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SUMIFS('декабрь 2023'!$G$4:$G$1227,'декабрь 2023'!$D$4:$D$1227,$B8,'декабрь 2023'!$J$4:$J$1227,D$1)</f>
        <v>0</v>
      </c>
      <c r="E8" s="198">
        <f>SUMIFS('декабрь 2023'!$G$4:$G$1227,'декабрь 2023'!$D$4:$D$1227,$B8,'декабрь 2023'!$J$4:$J$1227,E$1)</f>
        <v>0</v>
      </c>
      <c r="F8" s="198">
        <f>SUMIFS('декабрь 2023'!$G$4:$G$1227,'декабрь 2023'!$D$4:$D$1227,$B8,'декабрь 2023'!$J$4:$J$1227,F$1)</f>
        <v>0</v>
      </c>
      <c r="G8" s="198">
        <f>SUMIFS('декабрь 2023'!$G$4:$G$1227,'декабрь 2023'!$D$4:$D$1227,$B8,'декабрь 2023'!$J$4:$J$1227,G$1)</f>
        <v>0</v>
      </c>
      <c r="H8" s="198">
        <f>SUMIFS('декабрь 2023'!$G$4:$G$1227,'декабрь 2023'!$D$4:$D$1227,$B8,'декабрь 2023'!$J$4:$J$1227,H$1)</f>
        <v>0</v>
      </c>
      <c r="I8" s="198">
        <f>SUMIFS('декабрь 2023'!$G$4:$G$1227,'декабрь 2023'!$D$4:$D$1227,$B8,'декабрь 2023'!$J$4:$J$1227,I$1)</f>
        <v>0</v>
      </c>
      <c r="J8" s="198">
        <f>SUMIFS('декабрь 2023'!$G$4:$G$1227,'декабрь 2023'!$D$4:$D$1227,$B8,'декабрь 2023'!$J$4:$J$1227,J$1)</f>
        <v>0</v>
      </c>
      <c r="K8" s="198">
        <f>SUMIFS('декабрь 2023'!$G$4:$G$1227,'декабрь 2023'!$D$4:$D$1227,$B8,'декабрь 2023'!$J$4:$J$1227,K$1)</f>
        <v>0</v>
      </c>
      <c r="L8" s="198">
        <f>SUMIFS('декабрь 2023'!$G$4:$G$1227,'декабрь 2023'!$D$4:$D$1227,$B8,'декабрь 2023'!$J$4:$J$1227,L$1)</f>
        <v>0</v>
      </c>
      <c r="M8" s="198">
        <f>SUMIFS('декабрь 2023'!$G$4:$G$1227,'декабрь 2023'!$D$4:$D$1227,$B8,'декабрь 2023'!$J$4:$J$1227,M$1)</f>
        <v>0</v>
      </c>
      <c r="N8" s="198">
        <f>SUMIFS('декабрь 2023'!$G$4:$G$1227,'декабрь 2023'!$D$4:$D$1227,$B8,'декабрь 2023'!$J$4:$J$1227,N$1)</f>
        <v>0</v>
      </c>
      <c r="O8" s="198">
        <f>SUMIFS('декабрь 2023'!$G$4:$G$1227,'декабрь 2023'!$D$4:$D$1227,$B8,'декабрь 2023'!$J$4:$J$1227,O$1)</f>
        <v>0</v>
      </c>
      <c r="P8" s="198">
        <f>SUMIFS('декабрь 2023'!$G$4:$G$1227,'декабрь 2023'!$D$4:$D$1227,$B8,'декабрь 2023'!$J$4:$J$1227,P$1)</f>
        <v>0</v>
      </c>
      <c r="Q8" s="198">
        <f>SUMIFS('декабрь 2023'!$G$4:$G$1227,'декабрь 2023'!$D$4:$D$1227,$B8,'декабрь 2023'!$J$4:$J$1227,Q$1)</f>
        <v>0</v>
      </c>
      <c r="R8" s="198">
        <f>SUMIFS('декабрь 2023'!$G$4:$G$1227,'декабрь 2023'!$D$4:$D$1227,$B8,'декабрь 2023'!$J$4:$J$1227,R$1)</f>
        <v>0</v>
      </c>
      <c r="S8" s="198">
        <f>SUMIFS('декабрь 2023'!$G$4:$G$1227,'декабрь 2023'!$D$4:$D$1227,$B8,'декабрь 2023'!$J$4:$J$1227,S$1)</f>
        <v>0</v>
      </c>
      <c r="T8" s="198">
        <f>SUMIFS('декабрь 2023'!$G$4:$G$1227,'декабрь 2023'!$D$4:$D$1227,$B8,'декабрь 2023'!$J$4:$J$1227,T$1)</f>
        <v>0</v>
      </c>
      <c r="U8" s="198">
        <f>SUMIFS('декабрь 2023'!$G$4:$G$1227,'декабрь 2023'!$D$4:$D$1227,$B8,'декабрь 2023'!$J$4:$J$1227,U$1)</f>
        <v>0</v>
      </c>
      <c r="V8" s="198">
        <f>SUMIFS('декабрь 2023'!$G$4:$G$1227,'декабрь 2023'!$D$4:$D$1227,$B8,'декабрь 2023'!$J$4:$J$1227,V$1)</f>
        <v>875</v>
      </c>
      <c r="W8" s="198">
        <f>SUMIFS('декабрь 2023'!$G$4:$G$1227,'декабрь 2023'!$D$4:$D$1227,$B8,'декабрь 2023'!$J$4:$J$1227,W$1)</f>
        <v>0</v>
      </c>
      <c r="X8" s="198">
        <f>SUMIFS('декабрь 2023'!$G$4:$G$1227,'декабрь 2023'!$D$4:$D$1227,$B8,'декабрь 2023'!$J$4:$J$1227,X$1)</f>
        <v>0</v>
      </c>
      <c r="Y8" s="198">
        <f>SUMIFS('декабрь 2023'!$G$4:$G$1227,'декабрь 2023'!$D$4:$D$1227,$B8,'декабрь 2023'!$J$4:$J$1227,Y$1)</f>
        <v>875</v>
      </c>
      <c r="Z8" s="198">
        <f>SUMIFS('декабрь 2023'!$G$4:$G$1227,'декабрь 2023'!$D$4:$D$1227,$B8,'декабрь 2023'!$J$4:$J$1227,Z$1)</f>
        <v>0</v>
      </c>
      <c r="AA8" s="198">
        <f>SUMIFS('декабрь 2023'!$G$4:$G$1227,'декабрь 2023'!$D$4:$D$1227,$B8,'декабрь 2023'!$J$4:$J$1227,AA$1)</f>
        <v>0</v>
      </c>
      <c r="AB8" s="198">
        <f>SUMIFS('декабрь 2023'!$G$4:$G$1227,'декабрь 2023'!$D$4:$D$1227,$B8,'декабрь 2023'!$J$4:$J$1227,AB$1)</f>
        <v>875</v>
      </c>
      <c r="AC8" s="198">
        <f>SUMIFS('декабрь 2023'!$G$4:$G$1227,'декабрь 2023'!$D$4:$D$1227,$B8,'декабрь 2023'!$J$4:$J$1227,AC$1)</f>
        <v>0</v>
      </c>
      <c r="AD8" s="198">
        <f>SUMIFS('декабрь 2023'!$G$4:$G$1227,'декабрь 2023'!$D$4:$D$1227,$B8,'декабрь 2023'!$J$4:$J$1227,AD$1)</f>
        <v>0</v>
      </c>
      <c r="AE8" s="198">
        <f>SUMIFS('декабрь 2023'!$G$4:$G$1227,'декабрь 2023'!$D$4:$D$1227,$B8,'декабрь 2023'!$J$4:$J$1227,AE$1)</f>
        <v>875</v>
      </c>
      <c r="AF8" s="198">
        <f>SUMIFS('декабрь 2023'!$G$4:$G$1227,'декабрь 2023'!$D$4:$D$1227,$B8,'декабрь 2023'!$J$4:$J$1227,AF$1)</f>
        <v>0</v>
      </c>
      <c r="AG8" s="198">
        <f>SUMIFS('декабрь 2023'!$G$4:$G$1227,'декабрь 2023'!$D$4:$D$1227,$B8,'декабрь 2023'!$J$4:$J$1227,AG$1)</f>
        <v>0</v>
      </c>
      <c r="AH8" s="198">
        <f>SUMIFS('декабрь 2023'!$G$4:$G$1227,'декабрь 2023'!$D$4:$D$1227,$B8,'декабрь 2023'!$J$4:$J$1227,AH$1)</f>
        <v>0</v>
      </c>
      <c r="AI8" s="170">
        <f t="shared" si="1"/>
        <v>3500</v>
      </c>
    </row>
    <row r="9" spans="2:35" ht="15" customHeight="1" x14ac:dyDescent="0.25">
      <c r="B9" s="199" t="s">
        <v>2053</v>
      </c>
      <c r="C9" s="200">
        <v>25</v>
      </c>
      <c r="D9" s="198">
        <f>SUMIFS('декабрь 2023'!$G$4:$G$1227,'декабрь 2023'!$D$4:$D$1227,$B9,'декабрь 2023'!$J$4:$J$1227,D$1)</f>
        <v>0</v>
      </c>
      <c r="E9" s="198">
        <f>SUMIFS('декабрь 2023'!$G$4:$G$1227,'декабрь 2023'!$D$4:$D$1227,$B9,'декабрь 2023'!$J$4:$J$1227,E$1)</f>
        <v>0</v>
      </c>
      <c r="F9" s="198">
        <f>SUMIFS('декабрь 2023'!$G$4:$G$1227,'декабрь 2023'!$D$4:$D$1227,$B9,'декабрь 2023'!$J$4:$J$1227,F$1)</f>
        <v>0</v>
      </c>
      <c r="G9" s="198">
        <f>SUMIFS('декабрь 2023'!$G$4:$G$1227,'декабрь 2023'!$D$4:$D$1227,$B9,'декабрь 2023'!$J$4:$J$1227,G$1)</f>
        <v>0</v>
      </c>
      <c r="H9" s="198">
        <f>SUMIFS('декабрь 2023'!$G$4:$G$1227,'декабрь 2023'!$D$4:$D$1227,$B9,'декабрь 2023'!$J$4:$J$1227,H$1)</f>
        <v>0</v>
      </c>
      <c r="I9" s="198">
        <f>SUMIFS('декабрь 2023'!$G$4:$G$1227,'декабрь 2023'!$D$4:$D$1227,$B9,'декабрь 2023'!$J$4:$J$1227,I$1)</f>
        <v>0</v>
      </c>
      <c r="J9" s="198">
        <f>SUMIFS('декабрь 2023'!$G$4:$G$1227,'декабрь 2023'!$D$4:$D$1227,$B9,'декабрь 2023'!$J$4:$J$1227,J$1)</f>
        <v>0</v>
      </c>
      <c r="K9" s="198">
        <f>SUMIFS('декабрь 2023'!$G$4:$G$1227,'декабрь 2023'!$D$4:$D$1227,$B9,'декабрь 2023'!$J$4:$J$1227,K$1)</f>
        <v>0</v>
      </c>
      <c r="L9" s="198">
        <f>SUMIFS('декабрь 2023'!$G$4:$G$1227,'декабрь 2023'!$D$4:$D$1227,$B9,'декабрь 2023'!$J$4:$J$1227,L$1)</f>
        <v>0</v>
      </c>
      <c r="M9" s="198">
        <f>SUMIFS('декабрь 2023'!$G$4:$G$1227,'декабрь 2023'!$D$4:$D$1227,$B9,'декабрь 2023'!$J$4:$J$1227,M$1)</f>
        <v>0</v>
      </c>
      <c r="N9" s="198">
        <f>SUMIFS('декабрь 2023'!$G$4:$G$1227,'декабрь 2023'!$D$4:$D$1227,$B9,'декабрь 2023'!$J$4:$J$1227,N$1)</f>
        <v>0</v>
      </c>
      <c r="O9" s="198">
        <f>SUMIFS('декабрь 2023'!$G$4:$G$1227,'декабрь 2023'!$D$4:$D$1227,$B9,'декабрь 2023'!$J$4:$J$1227,O$1)</f>
        <v>0</v>
      </c>
      <c r="P9" s="198">
        <f>SUMIFS('декабрь 2023'!$G$4:$G$1227,'декабрь 2023'!$D$4:$D$1227,$B9,'декабрь 2023'!$J$4:$J$1227,P$1)</f>
        <v>0</v>
      </c>
      <c r="Q9" s="198">
        <f>SUMIFS('декабрь 2023'!$G$4:$G$1227,'декабрь 2023'!$D$4:$D$1227,$B9,'декабрь 2023'!$J$4:$J$1227,Q$1)</f>
        <v>0</v>
      </c>
      <c r="R9" s="198">
        <f>SUMIFS('декабрь 2023'!$G$4:$G$1227,'декабрь 2023'!$D$4:$D$1227,$B9,'декабрь 2023'!$J$4:$J$1227,R$1)</f>
        <v>0</v>
      </c>
      <c r="S9" s="198">
        <f>SUMIFS('декабрь 2023'!$G$4:$G$1227,'декабрь 2023'!$D$4:$D$1227,$B9,'декабрь 2023'!$J$4:$J$1227,S$1)</f>
        <v>0</v>
      </c>
      <c r="T9" s="198">
        <f>SUMIFS('декабрь 2023'!$G$4:$G$1227,'декабрь 2023'!$D$4:$D$1227,$B9,'декабрь 2023'!$J$4:$J$1227,T$1)</f>
        <v>0</v>
      </c>
      <c r="U9" s="198">
        <f>SUMIFS('декабрь 2023'!$G$4:$G$1227,'декабрь 2023'!$D$4:$D$1227,$B9,'декабрь 2023'!$J$4:$J$1227,U$1)</f>
        <v>0</v>
      </c>
      <c r="V9" s="198">
        <f>SUMIFS('декабрь 2023'!$G$4:$G$1227,'декабрь 2023'!$D$4:$D$1227,$B9,'декабрь 2023'!$J$4:$J$1227,V$1)</f>
        <v>0</v>
      </c>
      <c r="W9" s="198">
        <f>SUMIFS('декабрь 2023'!$G$4:$G$1227,'декабрь 2023'!$D$4:$D$1227,$B9,'декабрь 2023'!$J$4:$J$1227,W$1)</f>
        <v>0</v>
      </c>
      <c r="X9" s="198">
        <f>SUMIFS('декабрь 2023'!$G$4:$G$1227,'декабрь 2023'!$D$4:$D$1227,$B9,'декабрь 2023'!$J$4:$J$1227,X$1)</f>
        <v>0</v>
      </c>
      <c r="Y9" s="198">
        <f>SUMIFS('декабрь 2023'!$G$4:$G$1227,'декабрь 2023'!$D$4:$D$1227,$B9,'декабрь 2023'!$J$4:$J$1227,Y$1)</f>
        <v>0</v>
      </c>
      <c r="Z9" s="198">
        <f>SUMIFS('декабрь 2023'!$G$4:$G$1227,'декабрь 2023'!$D$4:$D$1227,$B9,'декабрь 2023'!$J$4:$J$1227,Z$1)</f>
        <v>0</v>
      </c>
      <c r="AA9" s="198">
        <f>SUMIFS('декабрь 2023'!$G$4:$G$1227,'декабрь 2023'!$D$4:$D$1227,$B9,'декабрь 2023'!$J$4:$J$1227,AA$1)</f>
        <v>0</v>
      </c>
      <c r="AB9" s="198">
        <f>SUMIFS('декабрь 2023'!$G$4:$G$1227,'декабрь 2023'!$D$4:$D$1227,$B9,'декабрь 2023'!$J$4:$J$1227,AB$1)</f>
        <v>0</v>
      </c>
      <c r="AC9" s="198">
        <f>SUMIFS('декабрь 2023'!$G$4:$G$1227,'декабрь 2023'!$D$4:$D$1227,$B9,'декабрь 2023'!$J$4:$J$1227,AC$1)</f>
        <v>0</v>
      </c>
      <c r="AD9" s="198">
        <f>SUMIFS('декабрь 2023'!$G$4:$G$1227,'декабрь 2023'!$D$4:$D$1227,$B9,'декабрь 2023'!$J$4:$J$1227,AD$1)</f>
        <v>0</v>
      </c>
      <c r="AE9" s="198">
        <f>SUMIFS('декабрь 2023'!$G$4:$G$1227,'декабрь 2023'!$D$4:$D$1227,$B9,'декабрь 2023'!$J$4:$J$1227,AE$1)</f>
        <v>0</v>
      </c>
      <c r="AF9" s="198">
        <f>SUMIFS('декабрь 2023'!$G$4:$G$1227,'декабрь 2023'!$D$4:$D$1227,$B9,'декабрь 2023'!$J$4:$J$1227,AF$1)</f>
        <v>0</v>
      </c>
      <c r="AG9" s="198">
        <f>SUMIFS('декабрь 2023'!$G$4:$G$1227,'декабрь 2023'!$D$4:$D$1227,$B9,'декабрь 2023'!$J$4:$J$1227,AG$1)</f>
        <v>0</v>
      </c>
      <c r="AH9" s="198">
        <f>SUMIFS('декабрь 2023'!$G$4:$G$1227,'декабрь 2023'!$D$4:$D$1227,$B9,'декабрь 2023'!$J$4:$J$1227,AH$1)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SUMIFS('декабрь 2023'!$G$4:$G$1227,'декабрь 2023'!$D$4:$D$1227,$B10,'декабрь 2023'!$J$4:$J$1227,D$1)</f>
        <v>0</v>
      </c>
      <c r="E10" s="198">
        <f>SUMIFS('декабрь 2023'!$G$4:$G$1227,'декабрь 2023'!$D$4:$D$1227,$B10,'декабрь 2023'!$J$4:$J$1227,E$1)</f>
        <v>0</v>
      </c>
      <c r="F10" s="198">
        <f>SUMIFS('декабрь 2023'!$G$4:$G$1227,'декабрь 2023'!$D$4:$D$1227,$B10,'декабрь 2023'!$J$4:$J$1227,F$1)</f>
        <v>0</v>
      </c>
      <c r="G10" s="198">
        <f>SUMIFS('декабрь 2023'!$G$4:$G$1227,'декабрь 2023'!$D$4:$D$1227,$B10,'декабрь 2023'!$J$4:$J$1227,G$1)</f>
        <v>0</v>
      </c>
      <c r="H10" s="198">
        <f>SUMIFS('декабрь 2023'!$G$4:$G$1227,'декабрь 2023'!$D$4:$D$1227,$B10,'декабрь 2023'!$J$4:$J$1227,H$1)</f>
        <v>0</v>
      </c>
      <c r="I10" s="198">
        <f>SUMIFS('декабрь 2023'!$G$4:$G$1227,'декабрь 2023'!$D$4:$D$1227,$B10,'декабрь 2023'!$J$4:$J$1227,I$1)</f>
        <v>0</v>
      </c>
      <c r="J10" s="198">
        <f>SUMIFS('декабрь 2023'!$G$4:$G$1227,'декабрь 2023'!$D$4:$D$1227,$B10,'декабрь 2023'!$J$4:$J$1227,J$1)</f>
        <v>0</v>
      </c>
      <c r="K10" s="198">
        <f>SUMIFS('декабрь 2023'!$G$4:$G$1227,'декабрь 2023'!$D$4:$D$1227,$B10,'декабрь 2023'!$J$4:$J$1227,K$1)</f>
        <v>0</v>
      </c>
      <c r="L10" s="198">
        <f>SUMIFS('декабрь 2023'!$G$4:$G$1227,'декабрь 2023'!$D$4:$D$1227,$B10,'декабрь 2023'!$J$4:$J$1227,L$1)</f>
        <v>0</v>
      </c>
      <c r="M10" s="198">
        <f>SUMIFS('декабрь 2023'!$G$4:$G$1227,'декабрь 2023'!$D$4:$D$1227,$B10,'декабрь 2023'!$J$4:$J$1227,M$1)</f>
        <v>0</v>
      </c>
      <c r="N10" s="198">
        <f>SUMIFS('декабрь 2023'!$G$4:$G$1227,'декабрь 2023'!$D$4:$D$1227,$B10,'декабрь 2023'!$J$4:$J$1227,N$1)</f>
        <v>0</v>
      </c>
      <c r="O10" s="198">
        <f>SUMIFS('декабрь 2023'!$G$4:$G$1227,'декабрь 2023'!$D$4:$D$1227,$B10,'декабрь 2023'!$J$4:$J$1227,O$1)</f>
        <v>0</v>
      </c>
      <c r="P10" s="198">
        <f>SUMIFS('декабрь 2023'!$G$4:$G$1227,'декабрь 2023'!$D$4:$D$1227,$B10,'декабрь 2023'!$J$4:$J$1227,P$1)</f>
        <v>0</v>
      </c>
      <c r="Q10" s="198">
        <f>SUMIFS('декабрь 2023'!$G$4:$G$1227,'декабрь 2023'!$D$4:$D$1227,$B10,'декабрь 2023'!$J$4:$J$1227,Q$1)</f>
        <v>0</v>
      </c>
      <c r="R10" s="198">
        <f>SUMIFS('декабрь 2023'!$G$4:$G$1227,'декабрь 2023'!$D$4:$D$1227,$B10,'декабрь 2023'!$J$4:$J$1227,R$1)</f>
        <v>0</v>
      </c>
      <c r="S10" s="198">
        <f>SUMIFS('декабрь 2023'!$G$4:$G$1227,'декабрь 2023'!$D$4:$D$1227,$B10,'декабрь 2023'!$J$4:$J$1227,S$1)</f>
        <v>0</v>
      </c>
      <c r="T10" s="198">
        <f>SUMIFS('декабрь 2023'!$G$4:$G$1227,'декабрь 2023'!$D$4:$D$1227,$B10,'декабрь 2023'!$J$4:$J$1227,T$1)</f>
        <v>0</v>
      </c>
      <c r="U10" s="198">
        <f>SUMIFS('декабрь 2023'!$G$4:$G$1227,'декабрь 2023'!$D$4:$D$1227,$B10,'декабрь 2023'!$J$4:$J$1227,U$1)</f>
        <v>0</v>
      </c>
      <c r="V10" s="198">
        <f>SUMIFS('декабрь 2023'!$G$4:$G$1227,'декабрь 2023'!$D$4:$D$1227,$B10,'декабрь 2023'!$J$4:$J$1227,V$1)</f>
        <v>0</v>
      </c>
      <c r="W10" s="198">
        <f>SUMIFS('декабрь 2023'!$G$4:$G$1227,'декабрь 2023'!$D$4:$D$1227,$B10,'декабрь 2023'!$J$4:$J$1227,W$1)</f>
        <v>0</v>
      </c>
      <c r="X10" s="198">
        <f>SUMIFS('декабрь 2023'!$G$4:$G$1227,'декабрь 2023'!$D$4:$D$1227,$B10,'декабрь 2023'!$J$4:$J$1227,X$1)</f>
        <v>0</v>
      </c>
      <c r="Y10" s="198">
        <f>SUMIFS('декабрь 2023'!$G$4:$G$1227,'декабрь 2023'!$D$4:$D$1227,$B10,'декабрь 2023'!$J$4:$J$1227,Y$1)</f>
        <v>0</v>
      </c>
      <c r="Z10" s="198">
        <f>SUMIFS('декабрь 2023'!$G$4:$G$1227,'декабрь 2023'!$D$4:$D$1227,$B10,'декабрь 2023'!$J$4:$J$1227,Z$1)</f>
        <v>0</v>
      </c>
      <c r="AA10" s="198">
        <f>SUMIFS('декабрь 2023'!$G$4:$G$1227,'декабрь 2023'!$D$4:$D$1227,$B10,'декабрь 2023'!$J$4:$J$1227,AA$1)</f>
        <v>0</v>
      </c>
      <c r="AB10" s="198">
        <f>SUMIFS('декабрь 2023'!$G$4:$G$1227,'декабрь 2023'!$D$4:$D$1227,$B10,'декабрь 2023'!$J$4:$J$1227,AB$1)</f>
        <v>0</v>
      </c>
      <c r="AC10" s="198">
        <f>SUMIFS('декабрь 2023'!$G$4:$G$1227,'декабрь 2023'!$D$4:$D$1227,$B10,'декабрь 2023'!$J$4:$J$1227,AC$1)</f>
        <v>0</v>
      </c>
      <c r="AD10" s="198">
        <f>SUMIFS('декабрь 2023'!$G$4:$G$1227,'декабрь 2023'!$D$4:$D$1227,$B10,'декабрь 2023'!$J$4:$J$1227,AD$1)</f>
        <v>0</v>
      </c>
      <c r="AE10" s="198">
        <f>SUMIFS('декабрь 2023'!$G$4:$G$1227,'декабрь 2023'!$D$4:$D$1227,$B10,'декабрь 2023'!$J$4:$J$1227,AE$1)</f>
        <v>0</v>
      </c>
      <c r="AF10" s="198">
        <f>SUMIFS('декабрь 2023'!$G$4:$G$1227,'декабрь 2023'!$D$4:$D$1227,$B10,'декабрь 2023'!$J$4:$J$1227,AF$1)</f>
        <v>0</v>
      </c>
      <c r="AG10" s="198">
        <f>SUMIFS('декабрь 2023'!$G$4:$G$1227,'декабрь 2023'!$D$4:$D$1227,$B10,'декабрь 2023'!$J$4:$J$1227,AG$1)</f>
        <v>0</v>
      </c>
      <c r="AH10" s="198">
        <f>SUMIFS('декабрь 2023'!$G$4:$G$1227,'декабрь 2023'!$D$4:$D$1227,$B10,'декабрь 2023'!$J$4:$J$1227,AH$1)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SUMIFS('декабрь 2023'!$G$4:$G$1227,'декабрь 2023'!$D$4:$D$1227,$B11,'декабрь 2023'!$J$4:$J$1227,D$1)</f>
        <v>0</v>
      </c>
      <c r="E11" s="198">
        <f>SUMIFS('декабрь 2023'!$G$4:$G$1227,'декабрь 2023'!$D$4:$D$1227,$B11,'декабрь 2023'!$J$4:$J$1227,E$1)</f>
        <v>0</v>
      </c>
      <c r="F11" s="198">
        <f>SUMIFS('декабрь 2023'!$G$4:$G$1227,'декабрь 2023'!$D$4:$D$1227,$B11,'декабрь 2023'!$J$4:$J$1227,F$1)</f>
        <v>0</v>
      </c>
      <c r="G11" s="198">
        <f>SUMIFS('декабрь 2023'!$G$4:$G$1227,'декабрь 2023'!$D$4:$D$1227,$B11,'декабрь 2023'!$J$4:$J$1227,G$1)</f>
        <v>0</v>
      </c>
      <c r="H11" s="198">
        <f>SUMIFS('декабрь 2023'!$G$4:$G$1227,'декабрь 2023'!$D$4:$D$1227,$B11,'декабрь 2023'!$J$4:$J$1227,H$1)</f>
        <v>0</v>
      </c>
      <c r="I11" s="198">
        <f>SUMIFS('декабрь 2023'!$G$4:$G$1227,'декабрь 2023'!$D$4:$D$1227,$B11,'декабрь 2023'!$J$4:$J$1227,I$1)</f>
        <v>0</v>
      </c>
      <c r="J11" s="198">
        <f>SUMIFS('декабрь 2023'!$G$4:$G$1227,'декабрь 2023'!$D$4:$D$1227,$B11,'декабрь 2023'!$J$4:$J$1227,J$1)</f>
        <v>0</v>
      </c>
      <c r="K11" s="198">
        <f>SUMIFS('декабрь 2023'!$G$4:$G$1227,'декабрь 2023'!$D$4:$D$1227,$B11,'декабрь 2023'!$J$4:$J$1227,K$1)</f>
        <v>0</v>
      </c>
      <c r="L11" s="198">
        <f>SUMIFS('декабрь 2023'!$G$4:$G$1227,'декабрь 2023'!$D$4:$D$1227,$B11,'декабрь 2023'!$J$4:$J$1227,L$1)</f>
        <v>0</v>
      </c>
      <c r="M11" s="198">
        <f>SUMIFS('декабрь 2023'!$G$4:$G$1227,'декабрь 2023'!$D$4:$D$1227,$B11,'декабрь 2023'!$J$4:$J$1227,M$1)</f>
        <v>0</v>
      </c>
      <c r="N11" s="198">
        <f>SUMIFS('декабрь 2023'!$G$4:$G$1227,'декабрь 2023'!$D$4:$D$1227,$B11,'декабрь 2023'!$J$4:$J$1227,N$1)</f>
        <v>0</v>
      </c>
      <c r="O11" s="198">
        <f>SUMIFS('декабрь 2023'!$G$4:$G$1227,'декабрь 2023'!$D$4:$D$1227,$B11,'декабрь 2023'!$J$4:$J$1227,O$1)</f>
        <v>0</v>
      </c>
      <c r="P11" s="198">
        <f>SUMIFS('декабрь 2023'!$G$4:$G$1227,'декабрь 2023'!$D$4:$D$1227,$B11,'декабрь 2023'!$J$4:$J$1227,P$1)</f>
        <v>0</v>
      </c>
      <c r="Q11" s="198">
        <f>SUMIFS('декабрь 2023'!$G$4:$G$1227,'декабрь 2023'!$D$4:$D$1227,$B11,'декабрь 2023'!$J$4:$J$1227,Q$1)</f>
        <v>0</v>
      </c>
      <c r="R11" s="198">
        <f>SUMIFS('декабрь 2023'!$G$4:$G$1227,'декабрь 2023'!$D$4:$D$1227,$B11,'декабрь 2023'!$J$4:$J$1227,R$1)</f>
        <v>0</v>
      </c>
      <c r="S11" s="198">
        <f>SUMIFS('декабрь 2023'!$G$4:$G$1227,'декабрь 2023'!$D$4:$D$1227,$B11,'декабрь 2023'!$J$4:$J$1227,S$1)</f>
        <v>0</v>
      </c>
      <c r="T11" s="198">
        <f>SUMIFS('декабрь 2023'!$G$4:$G$1227,'декабрь 2023'!$D$4:$D$1227,$B11,'декабрь 2023'!$J$4:$J$1227,T$1)</f>
        <v>0</v>
      </c>
      <c r="U11" s="198">
        <f>SUMIFS('декабрь 2023'!$G$4:$G$1227,'декабрь 2023'!$D$4:$D$1227,$B11,'декабрь 2023'!$J$4:$J$1227,U$1)</f>
        <v>0</v>
      </c>
      <c r="V11" s="198">
        <f>SUMIFS('декабрь 2023'!$G$4:$G$1227,'декабрь 2023'!$D$4:$D$1227,$B11,'декабрь 2023'!$J$4:$J$1227,V$1)</f>
        <v>0</v>
      </c>
      <c r="W11" s="198">
        <f>SUMIFS('декабрь 2023'!$G$4:$G$1227,'декабрь 2023'!$D$4:$D$1227,$B11,'декабрь 2023'!$J$4:$J$1227,W$1)</f>
        <v>0</v>
      </c>
      <c r="X11" s="198">
        <f>SUMIFS('декабрь 2023'!$G$4:$G$1227,'декабрь 2023'!$D$4:$D$1227,$B11,'декабрь 2023'!$J$4:$J$1227,X$1)</f>
        <v>0</v>
      </c>
      <c r="Y11" s="198">
        <f>SUMIFS('декабрь 2023'!$G$4:$G$1227,'декабрь 2023'!$D$4:$D$1227,$B11,'декабрь 2023'!$J$4:$J$1227,Y$1)</f>
        <v>0</v>
      </c>
      <c r="Z11" s="198">
        <f>SUMIFS('декабрь 2023'!$G$4:$G$1227,'декабрь 2023'!$D$4:$D$1227,$B11,'декабрь 2023'!$J$4:$J$1227,Z$1)</f>
        <v>0</v>
      </c>
      <c r="AA11" s="198">
        <f>SUMIFS('декабрь 2023'!$G$4:$G$1227,'декабрь 2023'!$D$4:$D$1227,$B11,'декабрь 2023'!$J$4:$J$1227,AA$1)</f>
        <v>0</v>
      </c>
      <c r="AB11" s="198">
        <f>SUMIFS('декабрь 2023'!$G$4:$G$1227,'декабрь 2023'!$D$4:$D$1227,$B11,'декабрь 2023'!$J$4:$J$1227,AB$1)</f>
        <v>0</v>
      </c>
      <c r="AC11" s="198">
        <f>SUMIFS('декабрь 2023'!$G$4:$G$1227,'декабрь 2023'!$D$4:$D$1227,$B11,'декабрь 2023'!$J$4:$J$1227,AC$1)</f>
        <v>0</v>
      </c>
      <c r="AD11" s="198">
        <f>SUMIFS('декабрь 2023'!$G$4:$G$1227,'декабрь 2023'!$D$4:$D$1227,$B11,'декабрь 2023'!$J$4:$J$1227,AD$1)</f>
        <v>0</v>
      </c>
      <c r="AE11" s="198">
        <f>SUMIFS('декабрь 2023'!$G$4:$G$1227,'декабрь 2023'!$D$4:$D$1227,$B11,'декабрь 2023'!$J$4:$J$1227,AE$1)</f>
        <v>0</v>
      </c>
      <c r="AF11" s="198">
        <f>SUMIFS('декабрь 2023'!$G$4:$G$1227,'декабрь 2023'!$D$4:$D$1227,$B11,'декабрь 2023'!$J$4:$J$1227,AF$1)</f>
        <v>0</v>
      </c>
      <c r="AG11" s="198">
        <f>SUMIFS('декабрь 2023'!$G$4:$G$1227,'декабрь 2023'!$D$4:$D$1227,$B11,'декабрь 2023'!$J$4:$J$1227,AG$1)</f>
        <v>0</v>
      </c>
      <c r="AH11" s="198">
        <f>SUMIFS('декабрь 2023'!$G$4:$G$1227,'декабрь 2023'!$D$4:$D$1227,$B11,'декабрь 2023'!$J$4:$J$1227,AH$1)</f>
        <v>0</v>
      </c>
      <c r="AI11" s="170">
        <f t="shared" si="1"/>
        <v>0</v>
      </c>
    </row>
    <row r="12" spans="2:35" ht="15" customHeight="1" x14ac:dyDescent="0.25">
      <c r="B12" s="202" t="s">
        <v>127</v>
      </c>
      <c r="C12" s="203">
        <v>25</v>
      </c>
      <c r="D12" s="198">
        <f>SUMIFS('декабрь 2023'!$G$4:$G$1227,'декабрь 2023'!$D$4:$D$1227,$B12,'декабрь 2023'!$J$4:$J$1227,D$1)</f>
        <v>0</v>
      </c>
      <c r="E12" s="198">
        <f>SUMIFS('декабрь 2023'!$G$4:$G$1227,'декабрь 2023'!$D$4:$D$1227,$B12,'декабрь 2023'!$J$4:$J$1227,E$1)</f>
        <v>0</v>
      </c>
      <c r="F12" s="198">
        <f>SUMIFS('декабрь 2023'!$G$4:$G$1227,'декабрь 2023'!$D$4:$D$1227,$B12,'декабрь 2023'!$J$4:$J$1227,F$1)</f>
        <v>0</v>
      </c>
      <c r="G12" s="198">
        <f>SUMIFS('декабрь 2023'!$G$4:$G$1227,'декабрь 2023'!$D$4:$D$1227,$B12,'декабрь 2023'!$J$4:$J$1227,G$1)</f>
        <v>0</v>
      </c>
      <c r="H12" s="198">
        <f>SUMIFS('декабрь 2023'!$G$4:$G$1227,'декабрь 2023'!$D$4:$D$1227,$B12,'декабрь 2023'!$J$4:$J$1227,H$1)</f>
        <v>0</v>
      </c>
      <c r="I12" s="198">
        <f>SUMIFS('декабрь 2023'!$G$4:$G$1227,'декабрь 2023'!$D$4:$D$1227,$B12,'декабрь 2023'!$J$4:$J$1227,I$1)</f>
        <v>0</v>
      </c>
      <c r="J12" s="198">
        <f>SUMIFS('декабрь 2023'!$G$4:$G$1227,'декабрь 2023'!$D$4:$D$1227,$B12,'декабрь 2023'!$J$4:$J$1227,J$1)</f>
        <v>0</v>
      </c>
      <c r="K12" s="198">
        <f>SUMIFS('декабрь 2023'!$G$4:$G$1227,'декабрь 2023'!$D$4:$D$1227,$B12,'декабрь 2023'!$J$4:$J$1227,K$1)</f>
        <v>0</v>
      </c>
      <c r="L12" s="198">
        <f>SUMIFS('декабрь 2023'!$G$4:$G$1227,'декабрь 2023'!$D$4:$D$1227,$B12,'декабрь 2023'!$J$4:$J$1227,L$1)</f>
        <v>0</v>
      </c>
      <c r="M12" s="198">
        <f>SUMIFS('декабрь 2023'!$G$4:$G$1227,'декабрь 2023'!$D$4:$D$1227,$B12,'декабрь 2023'!$J$4:$J$1227,M$1)</f>
        <v>0</v>
      </c>
      <c r="N12" s="198">
        <f>SUMIFS('декабрь 2023'!$G$4:$G$1227,'декабрь 2023'!$D$4:$D$1227,$B12,'декабрь 2023'!$J$4:$J$1227,N$1)</f>
        <v>800</v>
      </c>
      <c r="O12" s="198">
        <f>SUMIFS('декабрь 2023'!$G$4:$G$1227,'декабрь 2023'!$D$4:$D$1227,$B12,'декабрь 2023'!$J$4:$J$1227,O$1)</f>
        <v>0</v>
      </c>
      <c r="P12" s="198">
        <f>SUMIFS('декабрь 2023'!$G$4:$G$1227,'декабрь 2023'!$D$4:$D$1227,$B12,'декабрь 2023'!$J$4:$J$1227,P$1)</f>
        <v>0</v>
      </c>
      <c r="Q12" s="198">
        <f>SUMIFS('декабрь 2023'!$G$4:$G$1227,'декабрь 2023'!$D$4:$D$1227,$B12,'декабрь 2023'!$J$4:$J$1227,Q$1)</f>
        <v>0</v>
      </c>
      <c r="R12" s="198">
        <f>SUMIFS('декабрь 2023'!$G$4:$G$1227,'декабрь 2023'!$D$4:$D$1227,$B12,'декабрь 2023'!$J$4:$J$1227,R$1)</f>
        <v>0</v>
      </c>
      <c r="S12" s="198">
        <f>SUMIFS('декабрь 2023'!$G$4:$G$1227,'декабрь 2023'!$D$4:$D$1227,$B12,'декабрь 2023'!$J$4:$J$1227,S$1)</f>
        <v>0</v>
      </c>
      <c r="T12" s="198">
        <f>SUMIFS('декабрь 2023'!$G$4:$G$1227,'декабрь 2023'!$D$4:$D$1227,$B12,'декабрь 2023'!$J$4:$J$1227,T$1)</f>
        <v>0</v>
      </c>
      <c r="U12" s="198">
        <f>SUMIFS('декабрь 2023'!$G$4:$G$1227,'декабрь 2023'!$D$4:$D$1227,$B12,'декабрь 2023'!$J$4:$J$1227,U$1)</f>
        <v>1400</v>
      </c>
      <c r="V12" s="198">
        <f>SUMIFS('декабрь 2023'!$G$4:$G$1227,'декабрь 2023'!$D$4:$D$1227,$B12,'декабрь 2023'!$J$4:$J$1227,V$1)</f>
        <v>0</v>
      </c>
      <c r="W12" s="198">
        <f>SUMIFS('декабрь 2023'!$G$4:$G$1227,'декабрь 2023'!$D$4:$D$1227,$B12,'декабрь 2023'!$J$4:$J$1227,W$1)</f>
        <v>0</v>
      </c>
      <c r="X12" s="198">
        <f>SUMIFS('декабрь 2023'!$G$4:$G$1227,'декабрь 2023'!$D$4:$D$1227,$B12,'декабрь 2023'!$J$4:$J$1227,X$1)</f>
        <v>0</v>
      </c>
      <c r="Y12" s="198">
        <f>SUMIFS('декабрь 2023'!$G$4:$G$1227,'декабрь 2023'!$D$4:$D$1227,$B12,'декабрь 2023'!$J$4:$J$1227,Y$1)</f>
        <v>0</v>
      </c>
      <c r="Z12" s="198">
        <f>SUMIFS('декабрь 2023'!$G$4:$G$1227,'декабрь 2023'!$D$4:$D$1227,$B12,'декабрь 2023'!$J$4:$J$1227,Z$1)</f>
        <v>0</v>
      </c>
      <c r="AA12" s="198">
        <f>SUMIFS('декабрь 2023'!$G$4:$G$1227,'декабрь 2023'!$D$4:$D$1227,$B12,'декабрь 2023'!$J$4:$J$1227,AA$1)</f>
        <v>0</v>
      </c>
      <c r="AB12" s="198">
        <f>SUMIFS('декабрь 2023'!$G$4:$G$1227,'декабрь 2023'!$D$4:$D$1227,$B12,'декабрь 2023'!$J$4:$J$1227,AB$1)</f>
        <v>0</v>
      </c>
      <c r="AC12" s="198">
        <f>SUMIFS('декабрь 2023'!$G$4:$G$1227,'декабрь 2023'!$D$4:$D$1227,$B12,'декабрь 2023'!$J$4:$J$1227,AC$1)</f>
        <v>0</v>
      </c>
      <c r="AD12" s="198">
        <f>SUMIFS('декабрь 2023'!$G$4:$G$1227,'декабрь 2023'!$D$4:$D$1227,$B12,'декабрь 2023'!$J$4:$J$1227,AD$1)</f>
        <v>0</v>
      </c>
      <c r="AE12" s="198">
        <f>SUMIFS('декабрь 2023'!$G$4:$G$1227,'декабрь 2023'!$D$4:$D$1227,$B12,'декабрь 2023'!$J$4:$J$1227,AE$1)</f>
        <v>0</v>
      </c>
      <c r="AF12" s="198">
        <f>SUMIFS('декабрь 2023'!$G$4:$G$1227,'декабрь 2023'!$D$4:$D$1227,$B12,'декабрь 2023'!$J$4:$J$1227,AF$1)</f>
        <v>1400</v>
      </c>
      <c r="AG12" s="198">
        <f>SUMIFS('декабрь 2023'!$G$4:$G$1227,'декабрь 2023'!$D$4:$D$1227,$B12,'декабрь 2023'!$J$4:$J$1227,AG$1)</f>
        <v>0</v>
      </c>
      <c r="AH12" s="198">
        <f>SUMIFS('декабрь 2023'!$G$4:$G$1227,'декабрь 2023'!$D$4:$D$1227,$B12,'декабрь 2023'!$J$4:$J$1227,AH$1)</f>
        <v>0</v>
      </c>
      <c r="AI12" s="170">
        <f t="shared" si="1"/>
        <v>3600</v>
      </c>
    </row>
    <row r="13" spans="2:35" ht="15" customHeight="1" x14ac:dyDescent="0.25">
      <c r="B13" s="202" t="s">
        <v>86</v>
      </c>
      <c r="C13" s="203">
        <v>22.7</v>
      </c>
      <c r="D13" s="198">
        <f>SUMIFS('декабрь 2023'!$G$4:$G$1227,'декабрь 2023'!$D$4:$D$1227,$B13,'декабрь 2023'!$J$4:$J$1227,D$1)</f>
        <v>0</v>
      </c>
      <c r="E13" s="198">
        <f>SUMIFS('декабрь 2023'!$G$4:$G$1227,'декабрь 2023'!$D$4:$D$1227,$B13,'декабрь 2023'!$J$4:$J$1227,E$1)</f>
        <v>0</v>
      </c>
      <c r="F13" s="198">
        <f>SUMIFS('декабрь 2023'!$G$4:$G$1227,'декабрь 2023'!$D$4:$D$1227,$B13,'декабрь 2023'!$J$4:$J$1227,F$1)</f>
        <v>0</v>
      </c>
      <c r="G13" s="198">
        <f>SUMIFS('декабрь 2023'!$G$4:$G$1227,'декабрь 2023'!$D$4:$D$1227,$B13,'декабрь 2023'!$J$4:$J$1227,G$1)</f>
        <v>0</v>
      </c>
      <c r="H13" s="198">
        <f>SUMIFS('декабрь 2023'!$G$4:$G$1227,'декабрь 2023'!$D$4:$D$1227,$B13,'декабрь 2023'!$J$4:$J$1227,H$1)</f>
        <v>0</v>
      </c>
      <c r="I13" s="198">
        <f>SUMIFS('декабрь 2023'!$G$4:$G$1227,'декабрь 2023'!$D$4:$D$1227,$B13,'декабрь 2023'!$J$4:$J$1227,I$1)</f>
        <v>800</v>
      </c>
      <c r="J13" s="198">
        <f>SUMIFS('декабрь 2023'!$G$4:$G$1227,'декабрь 2023'!$D$4:$D$1227,$B13,'декабрь 2023'!$J$4:$J$1227,J$1)</f>
        <v>0</v>
      </c>
      <c r="K13" s="198">
        <f>SUMIFS('декабрь 2023'!$G$4:$G$1227,'декабрь 2023'!$D$4:$D$1227,$B13,'декабрь 2023'!$J$4:$J$1227,K$1)</f>
        <v>0</v>
      </c>
      <c r="L13" s="198">
        <f>SUMIFS('декабрь 2023'!$G$4:$G$1227,'декабрь 2023'!$D$4:$D$1227,$B13,'декабрь 2023'!$J$4:$J$1227,L$1)</f>
        <v>0</v>
      </c>
      <c r="M13" s="198">
        <f>SUMIFS('декабрь 2023'!$G$4:$G$1227,'декабрь 2023'!$D$4:$D$1227,$B13,'декабрь 2023'!$J$4:$J$1227,M$1)</f>
        <v>0</v>
      </c>
      <c r="N13" s="198">
        <f>SUMIFS('декабрь 2023'!$G$4:$G$1227,'декабрь 2023'!$D$4:$D$1227,$B13,'декабрь 2023'!$J$4:$J$1227,N$1)</f>
        <v>1600</v>
      </c>
      <c r="O13" s="198">
        <f>SUMIFS('декабрь 2023'!$G$4:$G$1227,'декабрь 2023'!$D$4:$D$1227,$B13,'декабрь 2023'!$J$4:$J$1227,O$1)</f>
        <v>0</v>
      </c>
      <c r="P13" s="198">
        <f>SUMIFS('декабрь 2023'!$G$4:$G$1227,'декабрь 2023'!$D$4:$D$1227,$B13,'декабрь 2023'!$J$4:$J$1227,P$1)</f>
        <v>0</v>
      </c>
      <c r="Q13" s="198">
        <f>SUMIFS('декабрь 2023'!$G$4:$G$1227,'декабрь 2023'!$D$4:$D$1227,$B13,'декабрь 2023'!$J$4:$J$1227,Q$1)</f>
        <v>0</v>
      </c>
      <c r="R13" s="198">
        <f>SUMIFS('декабрь 2023'!$G$4:$G$1227,'декабрь 2023'!$D$4:$D$1227,$B13,'декабрь 2023'!$J$4:$J$1227,R$1)</f>
        <v>0</v>
      </c>
      <c r="S13" s="198">
        <f>SUMIFS('декабрь 2023'!$G$4:$G$1227,'декабрь 2023'!$D$4:$D$1227,$B13,'декабрь 2023'!$J$4:$J$1227,S$1)</f>
        <v>0</v>
      </c>
      <c r="T13" s="198">
        <f>SUMIFS('декабрь 2023'!$G$4:$G$1227,'декабрь 2023'!$D$4:$D$1227,$B13,'декабрь 2023'!$J$4:$J$1227,T$1)</f>
        <v>0</v>
      </c>
      <c r="U13" s="198">
        <f>SUMIFS('декабрь 2023'!$G$4:$G$1227,'декабрь 2023'!$D$4:$D$1227,$B13,'декабрь 2023'!$J$4:$J$1227,U$1)</f>
        <v>0</v>
      </c>
      <c r="V13" s="198">
        <f>SUMIFS('декабрь 2023'!$G$4:$G$1227,'декабрь 2023'!$D$4:$D$1227,$B13,'декабрь 2023'!$J$4:$J$1227,V$1)</f>
        <v>0</v>
      </c>
      <c r="W13" s="198">
        <f>SUMIFS('декабрь 2023'!$G$4:$G$1227,'декабрь 2023'!$D$4:$D$1227,$B13,'декабрь 2023'!$J$4:$J$1227,W$1)</f>
        <v>0</v>
      </c>
      <c r="X13" s="198">
        <f>SUMIFS('декабрь 2023'!$G$4:$G$1227,'декабрь 2023'!$D$4:$D$1227,$B13,'декабрь 2023'!$J$4:$J$1227,X$1)</f>
        <v>0</v>
      </c>
      <c r="Y13" s="198">
        <f>SUMIFS('декабрь 2023'!$G$4:$G$1227,'декабрь 2023'!$D$4:$D$1227,$B13,'декабрь 2023'!$J$4:$J$1227,Y$1)</f>
        <v>0</v>
      </c>
      <c r="Z13" s="198">
        <f>SUMIFS('декабрь 2023'!$G$4:$G$1227,'декабрь 2023'!$D$4:$D$1227,$B13,'декабрь 2023'!$J$4:$J$1227,Z$1)</f>
        <v>0</v>
      </c>
      <c r="AA13" s="198">
        <f>SUMIFS('декабрь 2023'!$G$4:$G$1227,'декабрь 2023'!$D$4:$D$1227,$B13,'декабрь 2023'!$J$4:$J$1227,AA$1)</f>
        <v>0</v>
      </c>
      <c r="AB13" s="198">
        <f>SUMIFS('декабрь 2023'!$G$4:$G$1227,'декабрь 2023'!$D$4:$D$1227,$B13,'декабрь 2023'!$J$4:$J$1227,AB$1)</f>
        <v>800</v>
      </c>
      <c r="AC13" s="198">
        <f>SUMIFS('декабрь 2023'!$G$4:$G$1227,'декабрь 2023'!$D$4:$D$1227,$B13,'декабрь 2023'!$J$4:$J$1227,AC$1)</f>
        <v>800</v>
      </c>
      <c r="AD13" s="198">
        <f>SUMIFS('декабрь 2023'!$G$4:$G$1227,'декабрь 2023'!$D$4:$D$1227,$B13,'декабрь 2023'!$J$4:$J$1227,AD$1)</f>
        <v>0</v>
      </c>
      <c r="AE13" s="198">
        <f>SUMIFS('декабрь 2023'!$G$4:$G$1227,'декабрь 2023'!$D$4:$D$1227,$B13,'декабрь 2023'!$J$4:$J$1227,AE$1)</f>
        <v>0</v>
      </c>
      <c r="AF13" s="198">
        <f>SUMIFS('декабрь 2023'!$G$4:$G$1227,'декабрь 2023'!$D$4:$D$1227,$B13,'декабрь 2023'!$J$4:$J$1227,AF$1)</f>
        <v>0</v>
      </c>
      <c r="AG13" s="198">
        <f>SUMIFS('декабрь 2023'!$G$4:$G$1227,'декабрь 2023'!$D$4:$D$1227,$B13,'декабрь 2023'!$J$4:$J$1227,AG$1)</f>
        <v>0</v>
      </c>
      <c r="AH13" s="198">
        <f>SUMIFS('декабрь 2023'!$G$4:$G$1227,'декабрь 2023'!$D$4:$D$1227,$B13,'декабрь 2023'!$J$4:$J$1227,AH$1)</f>
        <v>0</v>
      </c>
      <c r="AI13" s="170">
        <f t="shared" si="1"/>
        <v>4000</v>
      </c>
    </row>
    <row r="14" spans="2:35" ht="15" customHeight="1" x14ac:dyDescent="0.25">
      <c r="B14" s="199" t="s">
        <v>2103</v>
      </c>
      <c r="C14" s="200">
        <v>25</v>
      </c>
      <c r="D14" s="198">
        <f>SUMIFS('декабрь 2023'!$G$4:$G$1227,'декабрь 2023'!$D$4:$D$1227,$B14,'декабрь 2023'!$J$4:$J$1227,D$1)</f>
        <v>0</v>
      </c>
      <c r="E14" s="198">
        <f>SUMIFS('декабрь 2023'!$G$4:$G$1227,'декабрь 2023'!$D$4:$D$1227,$B14,'декабрь 2023'!$J$4:$J$1227,E$1)</f>
        <v>0</v>
      </c>
      <c r="F14" s="198">
        <f>SUMIFS('декабрь 2023'!$G$4:$G$1227,'декабрь 2023'!$D$4:$D$1227,$B14,'декабрь 2023'!$J$4:$J$1227,F$1)</f>
        <v>0</v>
      </c>
      <c r="G14" s="198">
        <f>SUMIFS('декабрь 2023'!$G$4:$G$1227,'декабрь 2023'!$D$4:$D$1227,$B14,'декабрь 2023'!$J$4:$J$1227,G$1)</f>
        <v>0</v>
      </c>
      <c r="H14" s="198">
        <f>SUMIFS('декабрь 2023'!$G$4:$G$1227,'декабрь 2023'!$D$4:$D$1227,$B14,'декабрь 2023'!$J$4:$J$1227,H$1)</f>
        <v>0</v>
      </c>
      <c r="I14" s="198">
        <f>SUMIFS('декабрь 2023'!$G$4:$G$1227,'декабрь 2023'!$D$4:$D$1227,$B14,'декабрь 2023'!$J$4:$J$1227,I$1)</f>
        <v>0</v>
      </c>
      <c r="J14" s="198">
        <f>SUMIFS('декабрь 2023'!$G$4:$G$1227,'декабрь 2023'!$D$4:$D$1227,$B14,'декабрь 2023'!$J$4:$J$1227,J$1)</f>
        <v>0</v>
      </c>
      <c r="K14" s="198">
        <f>SUMIFS('декабрь 2023'!$G$4:$G$1227,'декабрь 2023'!$D$4:$D$1227,$B14,'декабрь 2023'!$J$4:$J$1227,K$1)</f>
        <v>0</v>
      </c>
      <c r="L14" s="198">
        <f>SUMIFS('декабрь 2023'!$G$4:$G$1227,'декабрь 2023'!$D$4:$D$1227,$B14,'декабрь 2023'!$J$4:$J$1227,L$1)</f>
        <v>0</v>
      </c>
      <c r="M14" s="198">
        <f>SUMIFS('декабрь 2023'!$G$4:$G$1227,'декабрь 2023'!$D$4:$D$1227,$B14,'декабрь 2023'!$J$4:$J$1227,M$1)</f>
        <v>0</v>
      </c>
      <c r="N14" s="198">
        <f>SUMIFS('декабрь 2023'!$G$4:$G$1227,'декабрь 2023'!$D$4:$D$1227,$B14,'декабрь 2023'!$J$4:$J$1227,N$1)</f>
        <v>0</v>
      </c>
      <c r="O14" s="198">
        <f>SUMIFS('декабрь 2023'!$G$4:$G$1227,'декабрь 2023'!$D$4:$D$1227,$B14,'декабрь 2023'!$J$4:$J$1227,O$1)</f>
        <v>0</v>
      </c>
      <c r="P14" s="198">
        <f>SUMIFS('декабрь 2023'!$G$4:$G$1227,'декабрь 2023'!$D$4:$D$1227,$B14,'декабрь 2023'!$J$4:$J$1227,P$1)</f>
        <v>0</v>
      </c>
      <c r="Q14" s="198">
        <f>SUMIFS('декабрь 2023'!$G$4:$G$1227,'декабрь 2023'!$D$4:$D$1227,$B14,'декабрь 2023'!$J$4:$J$1227,Q$1)</f>
        <v>0</v>
      </c>
      <c r="R14" s="198">
        <f>SUMIFS('декабрь 2023'!$G$4:$G$1227,'декабрь 2023'!$D$4:$D$1227,$B14,'декабрь 2023'!$J$4:$J$1227,R$1)</f>
        <v>0</v>
      </c>
      <c r="S14" s="198">
        <f>SUMIFS('декабрь 2023'!$G$4:$G$1227,'декабрь 2023'!$D$4:$D$1227,$B14,'декабрь 2023'!$J$4:$J$1227,S$1)</f>
        <v>0</v>
      </c>
      <c r="T14" s="198">
        <f>SUMIFS('декабрь 2023'!$G$4:$G$1227,'декабрь 2023'!$D$4:$D$1227,$B14,'декабрь 2023'!$J$4:$J$1227,T$1)</f>
        <v>0</v>
      </c>
      <c r="U14" s="198">
        <f>SUMIFS('декабрь 2023'!$G$4:$G$1227,'декабрь 2023'!$D$4:$D$1227,$B14,'декабрь 2023'!$J$4:$J$1227,U$1)</f>
        <v>0</v>
      </c>
      <c r="V14" s="198">
        <f>SUMIFS('декабрь 2023'!$G$4:$G$1227,'декабрь 2023'!$D$4:$D$1227,$B14,'декабрь 2023'!$J$4:$J$1227,V$1)</f>
        <v>0</v>
      </c>
      <c r="W14" s="198">
        <f>SUMIFS('декабрь 2023'!$G$4:$G$1227,'декабрь 2023'!$D$4:$D$1227,$B14,'декабрь 2023'!$J$4:$J$1227,W$1)</f>
        <v>0</v>
      </c>
      <c r="X14" s="198">
        <f>SUMIFS('декабрь 2023'!$G$4:$G$1227,'декабрь 2023'!$D$4:$D$1227,$B14,'декабрь 2023'!$J$4:$J$1227,X$1)</f>
        <v>0</v>
      </c>
      <c r="Y14" s="198">
        <f>SUMIFS('декабрь 2023'!$G$4:$G$1227,'декабрь 2023'!$D$4:$D$1227,$B14,'декабрь 2023'!$J$4:$J$1227,Y$1)</f>
        <v>0</v>
      </c>
      <c r="Z14" s="198">
        <f>SUMIFS('декабрь 2023'!$G$4:$G$1227,'декабрь 2023'!$D$4:$D$1227,$B14,'декабрь 2023'!$J$4:$J$1227,Z$1)</f>
        <v>0</v>
      </c>
      <c r="AA14" s="198">
        <f>SUMIFS('декабрь 2023'!$G$4:$G$1227,'декабрь 2023'!$D$4:$D$1227,$B14,'декабрь 2023'!$J$4:$J$1227,AA$1)</f>
        <v>0</v>
      </c>
      <c r="AB14" s="198">
        <f>SUMIFS('декабрь 2023'!$G$4:$G$1227,'декабрь 2023'!$D$4:$D$1227,$B14,'декабрь 2023'!$J$4:$J$1227,AB$1)</f>
        <v>0</v>
      </c>
      <c r="AC14" s="198">
        <f>SUMIFS('декабрь 2023'!$G$4:$G$1227,'декабрь 2023'!$D$4:$D$1227,$B14,'декабрь 2023'!$J$4:$J$1227,AC$1)</f>
        <v>0</v>
      </c>
      <c r="AD14" s="198">
        <f>SUMIFS('декабрь 2023'!$G$4:$G$1227,'декабрь 2023'!$D$4:$D$1227,$B14,'декабрь 2023'!$J$4:$J$1227,AD$1)</f>
        <v>0</v>
      </c>
      <c r="AE14" s="198">
        <f>SUMIFS('декабрь 2023'!$G$4:$G$1227,'декабрь 2023'!$D$4:$D$1227,$B14,'декабрь 2023'!$J$4:$J$1227,AE$1)</f>
        <v>0</v>
      </c>
      <c r="AF14" s="198">
        <f>SUMIFS('декабрь 2023'!$G$4:$G$1227,'декабрь 2023'!$D$4:$D$1227,$B14,'декабрь 2023'!$J$4:$J$1227,AF$1)</f>
        <v>0</v>
      </c>
      <c r="AG14" s="198">
        <f>SUMIFS('декабрь 2023'!$G$4:$G$1227,'декабрь 2023'!$D$4:$D$1227,$B14,'декабрь 2023'!$J$4:$J$1227,AG$1)</f>
        <v>0</v>
      </c>
      <c r="AH14" s="198">
        <f>SUMIFS('декабрь 2023'!$G$4:$G$1227,'декабрь 2023'!$D$4:$D$1227,$B14,'декабрь 2023'!$J$4:$J$1227,AH$1)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SUMIFS('декабрь 2023'!$G$4:$G$1227,'декабрь 2023'!$D$4:$D$1227,$B15,'декабрь 2023'!$J$4:$J$1227,D$1)</f>
        <v>0</v>
      </c>
      <c r="E15" s="198">
        <f>SUMIFS('декабрь 2023'!$G$4:$G$1227,'декабрь 2023'!$D$4:$D$1227,$B15,'декабрь 2023'!$J$4:$J$1227,E$1)</f>
        <v>0</v>
      </c>
      <c r="F15" s="198">
        <f>SUMIFS('декабрь 2023'!$G$4:$G$1227,'декабрь 2023'!$D$4:$D$1227,$B15,'декабрь 2023'!$J$4:$J$1227,F$1)</f>
        <v>0</v>
      </c>
      <c r="G15" s="198">
        <f>SUMIFS('декабрь 2023'!$G$4:$G$1227,'декабрь 2023'!$D$4:$D$1227,$B15,'декабрь 2023'!$J$4:$J$1227,G$1)</f>
        <v>0</v>
      </c>
      <c r="H15" s="198">
        <f>SUMIFS('декабрь 2023'!$G$4:$G$1227,'декабрь 2023'!$D$4:$D$1227,$B15,'декабрь 2023'!$J$4:$J$1227,H$1)</f>
        <v>0</v>
      </c>
      <c r="I15" s="198">
        <f>SUMIFS('декабрь 2023'!$G$4:$G$1227,'декабрь 2023'!$D$4:$D$1227,$B15,'декабрь 2023'!$J$4:$J$1227,I$1)</f>
        <v>0</v>
      </c>
      <c r="J15" s="198">
        <f>SUMIFS('декабрь 2023'!$G$4:$G$1227,'декабрь 2023'!$D$4:$D$1227,$B15,'декабрь 2023'!$J$4:$J$1227,J$1)</f>
        <v>0</v>
      </c>
      <c r="K15" s="198">
        <f>SUMIFS('декабрь 2023'!$G$4:$G$1227,'декабрь 2023'!$D$4:$D$1227,$B15,'декабрь 2023'!$J$4:$J$1227,K$1)</f>
        <v>0</v>
      </c>
      <c r="L15" s="198">
        <f>SUMIFS('декабрь 2023'!$G$4:$G$1227,'декабрь 2023'!$D$4:$D$1227,$B15,'декабрь 2023'!$J$4:$J$1227,L$1)</f>
        <v>0</v>
      </c>
      <c r="M15" s="198">
        <f>SUMIFS('декабрь 2023'!$G$4:$G$1227,'декабрь 2023'!$D$4:$D$1227,$B15,'декабрь 2023'!$J$4:$J$1227,M$1)</f>
        <v>0</v>
      </c>
      <c r="N15" s="198">
        <f>SUMIFS('декабрь 2023'!$G$4:$G$1227,'декабрь 2023'!$D$4:$D$1227,$B15,'декабрь 2023'!$J$4:$J$1227,N$1)</f>
        <v>0</v>
      </c>
      <c r="O15" s="198">
        <f>SUMIFS('декабрь 2023'!$G$4:$G$1227,'декабрь 2023'!$D$4:$D$1227,$B15,'декабрь 2023'!$J$4:$J$1227,O$1)</f>
        <v>0</v>
      </c>
      <c r="P15" s="198">
        <f>SUMIFS('декабрь 2023'!$G$4:$G$1227,'декабрь 2023'!$D$4:$D$1227,$B15,'декабрь 2023'!$J$4:$J$1227,P$1)</f>
        <v>0</v>
      </c>
      <c r="Q15" s="198">
        <f>SUMIFS('декабрь 2023'!$G$4:$G$1227,'декабрь 2023'!$D$4:$D$1227,$B15,'декабрь 2023'!$J$4:$J$1227,Q$1)</f>
        <v>0</v>
      </c>
      <c r="R15" s="198">
        <f>SUMIFS('декабрь 2023'!$G$4:$G$1227,'декабрь 2023'!$D$4:$D$1227,$B15,'декабрь 2023'!$J$4:$J$1227,R$1)</f>
        <v>0</v>
      </c>
      <c r="S15" s="198">
        <f>SUMIFS('декабрь 2023'!$G$4:$G$1227,'декабрь 2023'!$D$4:$D$1227,$B15,'декабрь 2023'!$J$4:$J$1227,S$1)</f>
        <v>0</v>
      </c>
      <c r="T15" s="198">
        <f>SUMIFS('декабрь 2023'!$G$4:$G$1227,'декабрь 2023'!$D$4:$D$1227,$B15,'декабрь 2023'!$J$4:$J$1227,T$1)</f>
        <v>0</v>
      </c>
      <c r="U15" s="198">
        <f>SUMIFS('декабрь 2023'!$G$4:$G$1227,'декабрь 2023'!$D$4:$D$1227,$B15,'декабрь 2023'!$J$4:$J$1227,U$1)</f>
        <v>0</v>
      </c>
      <c r="V15" s="198">
        <f>SUMIFS('декабрь 2023'!$G$4:$G$1227,'декабрь 2023'!$D$4:$D$1227,$B15,'декабрь 2023'!$J$4:$J$1227,V$1)</f>
        <v>0</v>
      </c>
      <c r="W15" s="198">
        <f>SUMIFS('декабрь 2023'!$G$4:$G$1227,'декабрь 2023'!$D$4:$D$1227,$B15,'декабрь 2023'!$J$4:$J$1227,W$1)</f>
        <v>0</v>
      </c>
      <c r="X15" s="198">
        <f>SUMIFS('декабрь 2023'!$G$4:$G$1227,'декабрь 2023'!$D$4:$D$1227,$B15,'декабрь 2023'!$J$4:$J$1227,X$1)</f>
        <v>0</v>
      </c>
      <c r="Y15" s="198">
        <f>SUMIFS('декабрь 2023'!$G$4:$G$1227,'декабрь 2023'!$D$4:$D$1227,$B15,'декабрь 2023'!$J$4:$J$1227,Y$1)</f>
        <v>0</v>
      </c>
      <c r="Z15" s="198">
        <f>SUMIFS('декабрь 2023'!$G$4:$G$1227,'декабрь 2023'!$D$4:$D$1227,$B15,'декабрь 2023'!$J$4:$J$1227,Z$1)</f>
        <v>0</v>
      </c>
      <c r="AA15" s="198">
        <f>SUMIFS('декабрь 2023'!$G$4:$G$1227,'декабрь 2023'!$D$4:$D$1227,$B15,'декабрь 2023'!$J$4:$J$1227,AA$1)</f>
        <v>0</v>
      </c>
      <c r="AB15" s="198">
        <f>SUMIFS('декабрь 2023'!$G$4:$G$1227,'декабрь 2023'!$D$4:$D$1227,$B15,'декабрь 2023'!$J$4:$J$1227,AB$1)</f>
        <v>0</v>
      </c>
      <c r="AC15" s="198">
        <f>SUMIFS('декабрь 2023'!$G$4:$G$1227,'декабрь 2023'!$D$4:$D$1227,$B15,'декабрь 2023'!$J$4:$J$1227,AC$1)</f>
        <v>0</v>
      </c>
      <c r="AD15" s="198">
        <f>SUMIFS('декабрь 2023'!$G$4:$G$1227,'декабрь 2023'!$D$4:$D$1227,$B15,'декабрь 2023'!$J$4:$J$1227,AD$1)</f>
        <v>0</v>
      </c>
      <c r="AE15" s="198">
        <f>SUMIFS('декабрь 2023'!$G$4:$G$1227,'декабрь 2023'!$D$4:$D$1227,$B15,'декабрь 2023'!$J$4:$J$1227,AE$1)</f>
        <v>0</v>
      </c>
      <c r="AF15" s="198">
        <f>SUMIFS('декабрь 2023'!$G$4:$G$1227,'декабрь 2023'!$D$4:$D$1227,$B15,'декабрь 2023'!$J$4:$J$1227,AF$1)</f>
        <v>0</v>
      </c>
      <c r="AG15" s="198">
        <f>SUMIFS('декабрь 2023'!$G$4:$G$1227,'декабрь 2023'!$D$4:$D$1227,$B15,'декабрь 2023'!$J$4:$J$1227,AG$1)</f>
        <v>0</v>
      </c>
      <c r="AH15" s="198">
        <f>SUMIFS('декабрь 2023'!$G$4:$G$1227,'декабрь 2023'!$D$4:$D$1227,$B15,'декабрь 2023'!$J$4:$J$1227,AH$1)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SUMIFS('декабрь 2023'!$G$4:$G$1227,'декабрь 2023'!$D$4:$D$1227,$B16,'декабрь 2023'!$J$4:$J$1227,D$1)</f>
        <v>0</v>
      </c>
      <c r="E16" s="198">
        <f>SUMIFS('декабрь 2023'!$G$4:$G$1227,'декабрь 2023'!$D$4:$D$1227,$B16,'декабрь 2023'!$J$4:$J$1227,E$1)</f>
        <v>0</v>
      </c>
      <c r="F16" s="198">
        <f>SUMIFS('декабрь 2023'!$G$4:$G$1227,'декабрь 2023'!$D$4:$D$1227,$B16,'декабрь 2023'!$J$4:$J$1227,F$1)</f>
        <v>0</v>
      </c>
      <c r="G16" s="198">
        <f>SUMIFS('декабрь 2023'!$G$4:$G$1227,'декабрь 2023'!$D$4:$D$1227,$B16,'декабрь 2023'!$J$4:$J$1227,G$1)</f>
        <v>0</v>
      </c>
      <c r="H16" s="198">
        <f>SUMIFS('декабрь 2023'!$G$4:$G$1227,'декабрь 2023'!$D$4:$D$1227,$B16,'декабрь 2023'!$J$4:$J$1227,H$1)</f>
        <v>0</v>
      </c>
      <c r="I16" s="198">
        <f>SUMIFS('декабрь 2023'!$G$4:$G$1227,'декабрь 2023'!$D$4:$D$1227,$B16,'декабрь 2023'!$J$4:$J$1227,I$1)</f>
        <v>0</v>
      </c>
      <c r="J16" s="198">
        <f>SUMIFS('декабрь 2023'!$G$4:$G$1227,'декабрь 2023'!$D$4:$D$1227,$B16,'декабрь 2023'!$J$4:$J$1227,J$1)</f>
        <v>0</v>
      </c>
      <c r="K16" s="198">
        <f>SUMIFS('декабрь 2023'!$G$4:$G$1227,'декабрь 2023'!$D$4:$D$1227,$B16,'декабрь 2023'!$J$4:$J$1227,K$1)</f>
        <v>0</v>
      </c>
      <c r="L16" s="198">
        <f>SUMIFS('декабрь 2023'!$G$4:$G$1227,'декабрь 2023'!$D$4:$D$1227,$B16,'декабрь 2023'!$J$4:$J$1227,L$1)</f>
        <v>0</v>
      </c>
      <c r="M16" s="198">
        <f>SUMIFS('декабрь 2023'!$G$4:$G$1227,'декабрь 2023'!$D$4:$D$1227,$B16,'декабрь 2023'!$J$4:$J$1227,M$1)</f>
        <v>0</v>
      </c>
      <c r="N16" s="198">
        <f>SUMIFS('декабрь 2023'!$G$4:$G$1227,'декабрь 2023'!$D$4:$D$1227,$B16,'декабрь 2023'!$J$4:$J$1227,N$1)</f>
        <v>0</v>
      </c>
      <c r="O16" s="198">
        <f>SUMIFS('декабрь 2023'!$G$4:$G$1227,'декабрь 2023'!$D$4:$D$1227,$B16,'декабрь 2023'!$J$4:$J$1227,O$1)</f>
        <v>0</v>
      </c>
      <c r="P16" s="198">
        <f>SUMIFS('декабрь 2023'!$G$4:$G$1227,'декабрь 2023'!$D$4:$D$1227,$B16,'декабрь 2023'!$J$4:$J$1227,P$1)</f>
        <v>0</v>
      </c>
      <c r="Q16" s="198">
        <f>SUMIFS('декабрь 2023'!$G$4:$G$1227,'декабрь 2023'!$D$4:$D$1227,$B16,'декабрь 2023'!$J$4:$J$1227,Q$1)</f>
        <v>0</v>
      </c>
      <c r="R16" s="198">
        <f>SUMIFS('декабрь 2023'!$G$4:$G$1227,'декабрь 2023'!$D$4:$D$1227,$B16,'декабрь 2023'!$J$4:$J$1227,R$1)</f>
        <v>0</v>
      </c>
      <c r="S16" s="198">
        <f>SUMIFS('декабрь 2023'!$G$4:$G$1227,'декабрь 2023'!$D$4:$D$1227,$B16,'декабрь 2023'!$J$4:$J$1227,S$1)</f>
        <v>0</v>
      </c>
      <c r="T16" s="198">
        <f>SUMIFS('декабрь 2023'!$G$4:$G$1227,'декабрь 2023'!$D$4:$D$1227,$B16,'декабрь 2023'!$J$4:$J$1227,T$1)</f>
        <v>0</v>
      </c>
      <c r="U16" s="198">
        <f>SUMIFS('декабрь 2023'!$G$4:$G$1227,'декабрь 2023'!$D$4:$D$1227,$B16,'декабрь 2023'!$J$4:$J$1227,U$1)</f>
        <v>0</v>
      </c>
      <c r="V16" s="198">
        <f>SUMIFS('декабрь 2023'!$G$4:$G$1227,'декабрь 2023'!$D$4:$D$1227,$B16,'декабрь 2023'!$J$4:$J$1227,V$1)</f>
        <v>0</v>
      </c>
      <c r="W16" s="198">
        <f>SUMIFS('декабрь 2023'!$G$4:$G$1227,'декабрь 2023'!$D$4:$D$1227,$B16,'декабрь 2023'!$J$4:$J$1227,W$1)</f>
        <v>0</v>
      </c>
      <c r="X16" s="198">
        <f>SUMIFS('декабрь 2023'!$G$4:$G$1227,'декабрь 2023'!$D$4:$D$1227,$B16,'декабрь 2023'!$J$4:$J$1227,X$1)</f>
        <v>0</v>
      </c>
      <c r="Y16" s="198">
        <f>SUMIFS('декабрь 2023'!$G$4:$G$1227,'декабрь 2023'!$D$4:$D$1227,$B16,'декабрь 2023'!$J$4:$J$1227,Y$1)</f>
        <v>0</v>
      </c>
      <c r="Z16" s="198">
        <f>SUMIFS('декабрь 2023'!$G$4:$G$1227,'декабрь 2023'!$D$4:$D$1227,$B16,'декабрь 2023'!$J$4:$J$1227,Z$1)</f>
        <v>0</v>
      </c>
      <c r="AA16" s="198">
        <f>SUMIFS('декабрь 2023'!$G$4:$G$1227,'декабрь 2023'!$D$4:$D$1227,$B16,'декабрь 2023'!$J$4:$J$1227,AA$1)</f>
        <v>0</v>
      </c>
      <c r="AB16" s="198">
        <f>SUMIFS('декабрь 2023'!$G$4:$G$1227,'декабрь 2023'!$D$4:$D$1227,$B16,'декабрь 2023'!$J$4:$J$1227,AB$1)</f>
        <v>0</v>
      </c>
      <c r="AC16" s="198">
        <f>SUMIFS('декабрь 2023'!$G$4:$G$1227,'декабрь 2023'!$D$4:$D$1227,$B16,'декабрь 2023'!$J$4:$J$1227,AC$1)</f>
        <v>0</v>
      </c>
      <c r="AD16" s="198">
        <f>SUMIFS('декабрь 2023'!$G$4:$G$1227,'декабрь 2023'!$D$4:$D$1227,$B16,'декабрь 2023'!$J$4:$J$1227,AD$1)</f>
        <v>0</v>
      </c>
      <c r="AE16" s="198">
        <f>SUMIFS('декабрь 2023'!$G$4:$G$1227,'декабрь 2023'!$D$4:$D$1227,$B16,'декабрь 2023'!$J$4:$J$1227,AE$1)</f>
        <v>0</v>
      </c>
      <c r="AF16" s="198">
        <f>SUMIFS('декабрь 2023'!$G$4:$G$1227,'декабрь 2023'!$D$4:$D$1227,$B16,'декабрь 2023'!$J$4:$J$1227,AF$1)</f>
        <v>0</v>
      </c>
      <c r="AG16" s="198">
        <f>SUMIFS('декабрь 2023'!$G$4:$G$1227,'декабрь 2023'!$D$4:$D$1227,$B16,'декабрь 2023'!$J$4:$J$1227,AG$1)</f>
        <v>0</v>
      </c>
      <c r="AH16" s="198">
        <f>SUMIFS('декабрь 2023'!$G$4:$G$1227,'декабрь 2023'!$D$4:$D$1227,$B16,'декабрь 2023'!$J$4:$J$1227,AH$1)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SUMIFS('декабрь 2023'!$G$4:$G$1227,'декабрь 2023'!$D$4:$D$1227,$B17,'декабрь 2023'!$J$4:$J$1227,D$1)</f>
        <v>0</v>
      </c>
      <c r="E17" s="198">
        <f>SUMIFS('декабрь 2023'!$G$4:$G$1227,'декабрь 2023'!$D$4:$D$1227,$B17,'декабрь 2023'!$J$4:$J$1227,E$1)</f>
        <v>0</v>
      </c>
      <c r="F17" s="198">
        <f>SUMIFS('декабрь 2023'!$G$4:$G$1227,'декабрь 2023'!$D$4:$D$1227,$B17,'декабрь 2023'!$J$4:$J$1227,F$1)</f>
        <v>0</v>
      </c>
      <c r="G17" s="198">
        <f>SUMIFS('декабрь 2023'!$G$4:$G$1227,'декабрь 2023'!$D$4:$D$1227,$B17,'декабрь 2023'!$J$4:$J$1227,G$1)</f>
        <v>0</v>
      </c>
      <c r="H17" s="198">
        <f>SUMIFS('декабрь 2023'!$G$4:$G$1227,'декабрь 2023'!$D$4:$D$1227,$B17,'декабрь 2023'!$J$4:$J$1227,H$1)</f>
        <v>0</v>
      </c>
      <c r="I17" s="198">
        <f>SUMIFS('декабрь 2023'!$G$4:$G$1227,'декабрь 2023'!$D$4:$D$1227,$B17,'декабрь 2023'!$J$4:$J$1227,I$1)</f>
        <v>0</v>
      </c>
      <c r="J17" s="198">
        <f>SUMIFS('декабрь 2023'!$G$4:$G$1227,'декабрь 2023'!$D$4:$D$1227,$B17,'декабрь 2023'!$J$4:$J$1227,J$1)</f>
        <v>0</v>
      </c>
      <c r="K17" s="198">
        <f>SUMIFS('декабрь 2023'!$G$4:$G$1227,'декабрь 2023'!$D$4:$D$1227,$B17,'декабрь 2023'!$J$4:$J$1227,K$1)</f>
        <v>0</v>
      </c>
      <c r="L17" s="198">
        <f>SUMIFS('декабрь 2023'!$G$4:$G$1227,'декабрь 2023'!$D$4:$D$1227,$B17,'декабрь 2023'!$J$4:$J$1227,L$1)</f>
        <v>0</v>
      </c>
      <c r="M17" s="198">
        <f>SUMIFS('декабрь 2023'!$G$4:$G$1227,'декабрь 2023'!$D$4:$D$1227,$B17,'декабрь 2023'!$J$4:$J$1227,M$1)</f>
        <v>0</v>
      </c>
      <c r="N17" s="198">
        <f>SUMIFS('декабрь 2023'!$G$4:$G$1227,'декабрь 2023'!$D$4:$D$1227,$B17,'декабрь 2023'!$J$4:$J$1227,N$1)</f>
        <v>0</v>
      </c>
      <c r="O17" s="198">
        <f>SUMIFS('декабрь 2023'!$G$4:$G$1227,'декабрь 2023'!$D$4:$D$1227,$B17,'декабрь 2023'!$J$4:$J$1227,O$1)</f>
        <v>0</v>
      </c>
      <c r="P17" s="198">
        <f>SUMIFS('декабрь 2023'!$G$4:$G$1227,'декабрь 2023'!$D$4:$D$1227,$B17,'декабрь 2023'!$J$4:$J$1227,P$1)</f>
        <v>0</v>
      </c>
      <c r="Q17" s="198">
        <f>SUMIFS('декабрь 2023'!$G$4:$G$1227,'декабрь 2023'!$D$4:$D$1227,$B17,'декабрь 2023'!$J$4:$J$1227,Q$1)</f>
        <v>0</v>
      </c>
      <c r="R17" s="198">
        <f>SUMIFS('декабрь 2023'!$G$4:$G$1227,'декабрь 2023'!$D$4:$D$1227,$B17,'декабрь 2023'!$J$4:$J$1227,R$1)</f>
        <v>0</v>
      </c>
      <c r="S17" s="198">
        <f>SUMIFS('декабрь 2023'!$G$4:$G$1227,'декабрь 2023'!$D$4:$D$1227,$B17,'декабрь 2023'!$J$4:$J$1227,S$1)</f>
        <v>0</v>
      </c>
      <c r="T17" s="198">
        <f>SUMIFS('декабрь 2023'!$G$4:$G$1227,'декабрь 2023'!$D$4:$D$1227,$B17,'декабрь 2023'!$J$4:$J$1227,T$1)</f>
        <v>0</v>
      </c>
      <c r="U17" s="198">
        <f>SUMIFS('декабрь 2023'!$G$4:$G$1227,'декабрь 2023'!$D$4:$D$1227,$B17,'декабрь 2023'!$J$4:$J$1227,U$1)</f>
        <v>0</v>
      </c>
      <c r="V17" s="198">
        <f>SUMIFS('декабрь 2023'!$G$4:$G$1227,'декабрь 2023'!$D$4:$D$1227,$B17,'декабрь 2023'!$J$4:$J$1227,V$1)</f>
        <v>0</v>
      </c>
      <c r="W17" s="198">
        <f>SUMIFS('декабрь 2023'!$G$4:$G$1227,'декабрь 2023'!$D$4:$D$1227,$B17,'декабрь 2023'!$J$4:$J$1227,W$1)</f>
        <v>0</v>
      </c>
      <c r="X17" s="198">
        <f>SUMIFS('декабрь 2023'!$G$4:$G$1227,'декабрь 2023'!$D$4:$D$1227,$B17,'декабрь 2023'!$J$4:$J$1227,X$1)</f>
        <v>0</v>
      </c>
      <c r="Y17" s="198">
        <f>SUMIFS('декабрь 2023'!$G$4:$G$1227,'декабрь 2023'!$D$4:$D$1227,$B17,'декабрь 2023'!$J$4:$J$1227,Y$1)</f>
        <v>0</v>
      </c>
      <c r="Z17" s="198">
        <f>SUMIFS('декабрь 2023'!$G$4:$G$1227,'декабрь 2023'!$D$4:$D$1227,$B17,'декабрь 2023'!$J$4:$J$1227,Z$1)</f>
        <v>0</v>
      </c>
      <c r="AA17" s="198">
        <f>SUMIFS('декабрь 2023'!$G$4:$G$1227,'декабрь 2023'!$D$4:$D$1227,$B17,'декабрь 2023'!$J$4:$J$1227,AA$1)</f>
        <v>0</v>
      </c>
      <c r="AB17" s="198">
        <f>SUMIFS('декабрь 2023'!$G$4:$G$1227,'декабрь 2023'!$D$4:$D$1227,$B17,'декабрь 2023'!$J$4:$J$1227,AB$1)</f>
        <v>0</v>
      </c>
      <c r="AC17" s="198">
        <f>SUMIFS('декабрь 2023'!$G$4:$G$1227,'декабрь 2023'!$D$4:$D$1227,$B17,'декабрь 2023'!$J$4:$J$1227,AC$1)</f>
        <v>0</v>
      </c>
      <c r="AD17" s="198">
        <f>SUMIFS('декабрь 2023'!$G$4:$G$1227,'декабрь 2023'!$D$4:$D$1227,$B17,'декабрь 2023'!$J$4:$J$1227,AD$1)</f>
        <v>0</v>
      </c>
      <c r="AE17" s="198">
        <f>SUMIFS('декабрь 2023'!$G$4:$G$1227,'декабрь 2023'!$D$4:$D$1227,$B17,'декабрь 2023'!$J$4:$J$1227,AE$1)</f>
        <v>0</v>
      </c>
      <c r="AF17" s="198">
        <f>SUMIFS('декабрь 2023'!$G$4:$G$1227,'декабрь 2023'!$D$4:$D$1227,$B17,'декабрь 2023'!$J$4:$J$1227,AF$1)</f>
        <v>0</v>
      </c>
      <c r="AG17" s="198">
        <f>SUMIFS('декабрь 2023'!$G$4:$G$1227,'декабрь 2023'!$D$4:$D$1227,$B17,'декабрь 2023'!$J$4:$J$1227,AG$1)</f>
        <v>0</v>
      </c>
      <c r="AH17" s="198">
        <f>SUMIFS('декабрь 2023'!$G$4:$G$1227,'декабрь 2023'!$D$4:$D$1227,$B17,'декабрь 2023'!$J$4:$J$1227,AH$1)</f>
        <v>0</v>
      </c>
      <c r="AI17" s="170">
        <f t="shared" si="1"/>
        <v>0</v>
      </c>
    </row>
    <row r="18" spans="2:35" ht="15" customHeight="1" x14ac:dyDescent="0.25">
      <c r="B18" s="199" t="s">
        <v>2081</v>
      </c>
      <c r="C18" s="200">
        <v>25</v>
      </c>
      <c r="D18" s="198">
        <f>SUMIFS('декабрь 2023'!$G$4:$G$1227,'декабрь 2023'!$D$4:$D$1227,$B18,'декабрь 2023'!$J$4:$J$1227,D$1)</f>
        <v>0</v>
      </c>
      <c r="E18" s="198">
        <f>SUMIFS('декабрь 2023'!$G$4:$G$1227,'декабрь 2023'!$D$4:$D$1227,$B18,'декабрь 2023'!$J$4:$J$1227,E$1)</f>
        <v>0</v>
      </c>
      <c r="F18" s="198">
        <f>SUMIFS('декабрь 2023'!$G$4:$G$1227,'декабрь 2023'!$D$4:$D$1227,$B18,'декабрь 2023'!$J$4:$J$1227,F$1)</f>
        <v>0</v>
      </c>
      <c r="G18" s="198">
        <f>SUMIFS('декабрь 2023'!$G$4:$G$1227,'декабрь 2023'!$D$4:$D$1227,$B18,'декабрь 2023'!$J$4:$J$1227,G$1)</f>
        <v>0</v>
      </c>
      <c r="H18" s="198">
        <f>SUMIFS('декабрь 2023'!$G$4:$G$1227,'декабрь 2023'!$D$4:$D$1227,$B18,'декабрь 2023'!$J$4:$J$1227,H$1)</f>
        <v>0</v>
      </c>
      <c r="I18" s="198">
        <f>SUMIFS('декабрь 2023'!$G$4:$G$1227,'декабрь 2023'!$D$4:$D$1227,$B18,'декабрь 2023'!$J$4:$J$1227,I$1)</f>
        <v>0</v>
      </c>
      <c r="J18" s="198">
        <f>SUMIFS('декабрь 2023'!$G$4:$G$1227,'декабрь 2023'!$D$4:$D$1227,$B18,'декабрь 2023'!$J$4:$J$1227,J$1)</f>
        <v>0</v>
      </c>
      <c r="K18" s="198">
        <f>SUMIFS('декабрь 2023'!$G$4:$G$1227,'декабрь 2023'!$D$4:$D$1227,$B18,'декабрь 2023'!$J$4:$J$1227,K$1)</f>
        <v>0</v>
      </c>
      <c r="L18" s="198">
        <f>SUMIFS('декабрь 2023'!$G$4:$G$1227,'декабрь 2023'!$D$4:$D$1227,$B18,'декабрь 2023'!$J$4:$J$1227,L$1)</f>
        <v>0</v>
      </c>
      <c r="M18" s="198">
        <f>SUMIFS('декабрь 2023'!$G$4:$G$1227,'декабрь 2023'!$D$4:$D$1227,$B18,'декабрь 2023'!$J$4:$J$1227,M$1)</f>
        <v>0</v>
      </c>
      <c r="N18" s="198">
        <f>SUMIFS('декабрь 2023'!$G$4:$G$1227,'декабрь 2023'!$D$4:$D$1227,$B18,'декабрь 2023'!$J$4:$J$1227,N$1)</f>
        <v>0</v>
      </c>
      <c r="O18" s="198">
        <f>SUMIFS('декабрь 2023'!$G$4:$G$1227,'декабрь 2023'!$D$4:$D$1227,$B18,'декабрь 2023'!$J$4:$J$1227,O$1)</f>
        <v>0</v>
      </c>
      <c r="P18" s="198">
        <f>SUMIFS('декабрь 2023'!$G$4:$G$1227,'декабрь 2023'!$D$4:$D$1227,$B18,'декабрь 2023'!$J$4:$J$1227,P$1)</f>
        <v>0</v>
      </c>
      <c r="Q18" s="198">
        <f>SUMIFS('декабрь 2023'!$G$4:$G$1227,'декабрь 2023'!$D$4:$D$1227,$B18,'декабрь 2023'!$J$4:$J$1227,Q$1)</f>
        <v>0</v>
      </c>
      <c r="R18" s="198">
        <f>SUMIFS('декабрь 2023'!$G$4:$G$1227,'декабрь 2023'!$D$4:$D$1227,$B18,'декабрь 2023'!$J$4:$J$1227,R$1)</f>
        <v>0</v>
      </c>
      <c r="S18" s="198">
        <f>SUMIFS('декабрь 2023'!$G$4:$G$1227,'декабрь 2023'!$D$4:$D$1227,$B18,'декабрь 2023'!$J$4:$J$1227,S$1)</f>
        <v>0</v>
      </c>
      <c r="T18" s="198">
        <f>SUMIFS('декабрь 2023'!$G$4:$G$1227,'декабрь 2023'!$D$4:$D$1227,$B18,'декабрь 2023'!$J$4:$J$1227,T$1)</f>
        <v>0</v>
      </c>
      <c r="U18" s="198">
        <f>SUMIFS('декабрь 2023'!$G$4:$G$1227,'декабрь 2023'!$D$4:$D$1227,$B18,'декабрь 2023'!$J$4:$J$1227,U$1)</f>
        <v>0</v>
      </c>
      <c r="V18" s="198">
        <f>SUMIFS('декабрь 2023'!$G$4:$G$1227,'декабрь 2023'!$D$4:$D$1227,$B18,'декабрь 2023'!$J$4:$J$1227,V$1)</f>
        <v>0</v>
      </c>
      <c r="W18" s="198">
        <f>SUMIFS('декабрь 2023'!$G$4:$G$1227,'декабрь 2023'!$D$4:$D$1227,$B18,'декабрь 2023'!$J$4:$J$1227,W$1)</f>
        <v>0</v>
      </c>
      <c r="X18" s="198">
        <f>SUMIFS('декабрь 2023'!$G$4:$G$1227,'декабрь 2023'!$D$4:$D$1227,$B18,'декабрь 2023'!$J$4:$J$1227,X$1)</f>
        <v>0</v>
      </c>
      <c r="Y18" s="198">
        <f>SUMIFS('декабрь 2023'!$G$4:$G$1227,'декабрь 2023'!$D$4:$D$1227,$B18,'декабрь 2023'!$J$4:$J$1227,Y$1)</f>
        <v>0</v>
      </c>
      <c r="Z18" s="198">
        <f>SUMIFS('декабрь 2023'!$G$4:$G$1227,'декабрь 2023'!$D$4:$D$1227,$B18,'декабрь 2023'!$J$4:$J$1227,Z$1)</f>
        <v>0</v>
      </c>
      <c r="AA18" s="198">
        <f>SUMIFS('декабрь 2023'!$G$4:$G$1227,'декабрь 2023'!$D$4:$D$1227,$B18,'декабрь 2023'!$J$4:$J$1227,AA$1)</f>
        <v>0</v>
      </c>
      <c r="AB18" s="198">
        <f>SUMIFS('декабрь 2023'!$G$4:$G$1227,'декабрь 2023'!$D$4:$D$1227,$B18,'декабрь 2023'!$J$4:$J$1227,AB$1)</f>
        <v>0</v>
      </c>
      <c r="AC18" s="198">
        <f>SUMIFS('декабрь 2023'!$G$4:$G$1227,'декабрь 2023'!$D$4:$D$1227,$B18,'декабрь 2023'!$J$4:$J$1227,AC$1)</f>
        <v>0</v>
      </c>
      <c r="AD18" s="198">
        <f>SUMIFS('декабрь 2023'!$G$4:$G$1227,'декабрь 2023'!$D$4:$D$1227,$B18,'декабрь 2023'!$J$4:$J$1227,AD$1)</f>
        <v>0</v>
      </c>
      <c r="AE18" s="198">
        <f>SUMIFS('декабрь 2023'!$G$4:$G$1227,'декабрь 2023'!$D$4:$D$1227,$B18,'декабрь 2023'!$J$4:$J$1227,AE$1)</f>
        <v>0</v>
      </c>
      <c r="AF18" s="198">
        <f>SUMIFS('декабрь 2023'!$G$4:$G$1227,'декабрь 2023'!$D$4:$D$1227,$B18,'декабрь 2023'!$J$4:$J$1227,AF$1)</f>
        <v>0</v>
      </c>
      <c r="AG18" s="198">
        <f>SUMIFS('декабрь 2023'!$G$4:$G$1227,'декабрь 2023'!$D$4:$D$1227,$B18,'декабрь 2023'!$J$4:$J$1227,AG$1)</f>
        <v>0</v>
      </c>
      <c r="AH18" s="198">
        <f>SUMIFS('декабрь 2023'!$G$4:$G$1227,'декабрь 2023'!$D$4:$D$1227,$B18,'декабрь 2023'!$J$4:$J$1227,AH$1)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SUMIFS('декабрь 2023'!$G$4:$G$1227,'декабрь 2023'!$D$4:$D$1227,$B19,'декабрь 2023'!$J$4:$J$1227,D$1)</f>
        <v>800</v>
      </c>
      <c r="E19" s="198">
        <f>SUMIFS('декабрь 2023'!$G$4:$G$1227,'декабрь 2023'!$D$4:$D$1227,$B19,'декабрь 2023'!$J$4:$J$1227,E$1)</f>
        <v>0</v>
      </c>
      <c r="F19" s="198">
        <f>SUMIFS('декабрь 2023'!$G$4:$G$1227,'декабрь 2023'!$D$4:$D$1227,$B19,'декабрь 2023'!$J$4:$J$1227,F$1)</f>
        <v>0</v>
      </c>
      <c r="G19" s="198">
        <f>SUMIFS('декабрь 2023'!$G$4:$G$1227,'декабрь 2023'!$D$4:$D$1227,$B19,'декабрь 2023'!$J$4:$J$1227,G$1)</f>
        <v>800</v>
      </c>
      <c r="H19" s="198">
        <f>SUMIFS('декабрь 2023'!$G$4:$G$1227,'декабрь 2023'!$D$4:$D$1227,$B19,'декабрь 2023'!$J$4:$J$1227,H$1)</f>
        <v>0</v>
      </c>
      <c r="I19" s="198">
        <f>SUMIFS('декабрь 2023'!$G$4:$G$1227,'декабрь 2023'!$D$4:$D$1227,$B19,'декабрь 2023'!$J$4:$J$1227,I$1)</f>
        <v>0</v>
      </c>
      <c r="J19" s="198">
        <f>SUMIFS('декабрь 2023'!$G$4:$G$1227,'декабрь 2023'!$D$4:$D$1227,$B19,'декабрь 2023'!$J$4:$J$1227,J$1)</f>
        <v>0</v>
      </c>
      <c r="K19" s="198">
        <f>SUMIFS('декабрь 2023'!$G$4:$G$1227,'декабрь 2023'!$D$4:$D$1227,$B19,'декабрь 2023'!$J$4:$J$1227,K$1)</f>
        <v>0</v>
      </c>
      <c r="L19" s="198">
        <f>SUMIFS('декабрь 2023'!$G$4:$G$1227,'декабрь 2023'!$D$4:$D$1227,$B19,'декабрь 2023'!$J$4:$J$1227,L$1)</f>
        <v>0</v>
      </c>
      <c r="M19" s="198">
        <f>SUMIFS('декабрь 2023'!$G$4:$G$1227,'декабрь 2023'!$D$4:$D$1227,$B19,'декабрь 2023'!$J$4:$J$1227,M$1)</f>
        <v>0</v>
      </c>
      <c r="N19" s="198">
        <f>SUMIFS('декабрь 2023'!$G$4:$G$1227,'декабрь 2023'!$D$4:$D$1227,$B19,'декабрь 2023'!$J$4:$J$1227,N$1)</f>
        <v>0</v>
      </c>
      <c r="O19" s="198">
        <f>SUMIFS('декабрь 2023'!$G$4:$G$1227,'декабрь 2023'!$D$4:$D$1227,$B19,'декабрь 2023'!$J$4:$J$1227,O$1)</f>
        <v>0</v>
      </c>
      <c r="P19" s="198">
        <f>SUMIFS('декабрь 2023'!$G$4:$G$1227,'декабрь 2023'!$D$4:$D$1227,$B19,'декабрь 2023'!$J$4:$J$1227,P$1)</f>
        <v>0</v>
      </c>
      <c r="Q19" s="198">
        <f>SUMIFS('декабрь 2023'!$G$4:$G$1227,'декабрь 2023'!$D$4:$D$1227,$B19,'декабрь 2023'!$J$4:$J$1227,Q$1)</f>
        <v>0</v>
      </c>
      <c r="R19" s="198">
        <f>SUMIFS('декабрь 2023'!$G$4:$G$1227,'декабрь 2023'!$D$4:$D$1227,$B19,'декабрь 2023'!$J$4:$J$1227,R$1)</f>
        <v>0</v>
      </c>
      <c r="S19" s="198">
        <f>SUMIFS('декабрь 2023'!$G$4:$G$1227,'декабрь 2023'!$D$4:$D$1227,$B19,'декабрь 2023'!$J$4:$J$1227,S$1)</f>
        <v>0</v>
      </c>
      <c r="T19" s="198">
        <f>SUMIFS('декабрь 2023'!$G$4:$G$1227,'декабрь 2023'!$D$4:$D$1227,$B19,'декабрь 2023'!$J$4:$J$1227,T$1)</f>
        <v>0</v>
      </c>
      <c r="U19" s="198">
        <f>SUMIFS('декабрь 2023'!$G$4:$G$1227,'декабрь 2023'!$D$4:$D$1227,$B19,'декабрь 2023'!$J$4:$J$1227,U$1)</f>
        <v>0</v>
      </c>
      <c r="V19" s="198">
        <f>SUMIFS('декабрь 2023'!$G$4:$G$1227,'декабрь 2023'!$D$4:$D$1227,$B19,'декабрь 2023'!$J$4:$J$1227,V$1)</f>
        <v>0</v>
      </c>
      <c r="W19" s="198">
        <f>SUMIFS('декабрь 2023'!$G$4:$G$1227,'декабрь 2023'!$D$4:$D$1227,$B19,'декабрь 2023'!$J$4:$J$1227,W$1)</f>
        <v>0</v>
      </c>
      <c r="X19" s="198">
        <f>SUMIFS('декабрь 2023'!$G$4:$G$1227,'декабрь 2023'!$D$4:$D$1227,$B19,'декабрь 2023'!$J$4:$J$1227,X$1)</f>
        <v>0</v>
      </c>
      <c r="Y19" s="198">
        <f>SUMIFS('декабрь 2023'!$G$4:$G$1227,'декабрь 2023'!$D$4:$D$1227,$B19,'декабрь 2023'!$J$4:$J$1227,Y$1)</f>
        <v>0</v>
      </c>
      <c r="Z19" s="198">
        <f>SUMIFS('декабрь 2023'!$G$4:$G$1227,'декабрь 2023'!$D$4:$D$1227,$B19,'декабрь 2023'!$J$4:$J$1227,Z$1)</f>
        <v>0</v>
      </c>
      <c r="AA19" s="198">
        <f>SUMIFS('декабрь 2023'!$G$4:$G$1227,'декабрь 2023'!$D$4:$D$1227,$B19,'декабрь 2023'!$J$4:$J$1227,AA$1)</f>
        <v>0</v>
      </c>
      <c r="AB19" s="198">
        <f>SUMIFS('декабрь 2023'!$G$4:$G$1227,'декабрь 2023'!$D$4:$D$1227,$B19,'декабрь 2023'!$J$4:$J$1227,AB$1)</f>
        <v>0</v>
      </c>
      <c r="AC19" s="198">
        <f>SUMIFS('декабрь 2023'!$G$4:$G$1227,'декабрь 2023'!$D$4:$D$1227,$B19,'декабрь 2023'!$J$4:$J$1227,AC$1)</f>
        <v>0</v>
      </c>
      <c r="AD19" s="198">
        <f>SUMIFS('декабрь 2023'!$G$4:$G$1227,'декабрь 2023'!$D$4:$D$1227,$B19,'декабрь 2023'!$J$4:$J$1227,AD$1)</f>
        <v>0</v>
      </c>
      <c r="AE19" s="198">
        <f>SUMIFS('декабрь 2023'!$G$4:$G$1227,'декабрь 2023'!$D$4:$D$1227,$B19,'декабрь 2023'!$J$4:$J$1227,AE$1)</f>
        <v>0</v>
      </c>
      <c r="AF19" s="198">
        <f>SUMIFS('декабрь 2023'!$G$4:$G$1227,'декабрь 2023'!$D$4:$D$1227,$B19,'декабрь 2023'!$J$4:$J$1227,AF$1)</f>
        <v>0</v>
      </c>
      <c r="AG19" s="198">
        <f>SUMIFS('декабрь 2023'!$G$4:$G$1227,'декабрь 2023'!$D$4:$D$1227,$B19,'декабрь 2023'!$J$4:$J$1227,AG$1)</f>
        <v>0</v>
      </c>
      <c r="AH19" s="198">
        <f>SUMIFS('декабрь 2023'!$G$4:$G$1227,'декабрь 2023'!$D$4:$D$1227,$B19,'декабрь 2023'!$J$4:$J$1227,AH$1)</f>
        <v>0</v>
      </c>
      <c r="AI19" s="170">
        <f t="shared" si="1"/>
        <v>1600</v>
      </c>
    </row>
    <row r="20" spans="2:35" ht="15" customHeight="1" x14ac:dyDescent="0.25">
      <c r="B20" s="199" t="s">
        <v>445</v>
      </c>
      <c r="C20" s="200">
        <v>25</v>
      </c>
      <c r="D20" s="198">
        <f>SUMIFS('декабрь 2023'!$G$4:$G$1227,'декабрь 2023'!$D$4:$D$1227,$B20,'декабрь 2023'!$J$4:$J$1227,D$1)</f>
        <v>0</v>
      </c>
      <c r="E20" s="198">
        <f>SUMIFS('декабрь 2023'!$G$4:$G$1227,'декабрь 2023'!$D$4:$D$1227,$B20,'декабрь 2023'!$J$4:$J$1227,E$1)</f>
        <v>0</v>
      </c>
      <c r="F20" s="198">
        <f>SUMIFS('декабрь 2023'!$G$4:$G$1227,'декабрь 2023'!$D$4:$D$1227,$B20,'декабрь 2023'!$J$4:$J$1227,F$1)</f>
        <v>0</v>
      </c>
      <c r="G20" s="198">
        <f>SUMIFS('декабрь 2023'!$G$4:$G$1227,'декабрь 2023'!$D$4:$D$1227,$B20,'декабрь 2023'!$J$4:$J$1227,G$1)</f>
        <v>0</v>
      </c>
      <c r="H20" s="198">
        <f>SUMIFS('декабрь 2023'!$G$4:$G$1227,'декабрь 2023'!$D$4:$D$1227,$B20,'декабрь 2023'!$J$4:$J$1227,H$1)</f>
        <v>0</v>
      </c>
      <c r="I20" s="198">
        <f>SUMIFS('декабрь 2023'!$G$4:$G$1227,'декабрь 2023'!$D$4:$D$1227,$B20,'декабрь 2023'!$J$4:$J$1227,I$1)</f>
        <v>0</v>
      </c>
      <c r="J20" s="198">
        <f>SUMIFS('декабрь 2023'!$G$4:$G$1227,'декабрь 2023'!$D$4:$D$1227,$B20,'декабрь 2023'!$J$4:$J$1227,J$1)</f>
        <v>0</v>
      </c>
      <c r="K20" s="198">
        <f>SUMIFS('декабрь 2023'!$G$4:$G$1227,'декабрь 2023'!$D$4:$D$1227,$B20,'декабрь 2023'!$J$4:$J$1227,K$1)</f>
        <v>0</v>
      </c>
      <c r="L20" s="198">
        <f>SUMIFS('декабрь 2023'!$G$4:$G$1227,'декабрь 2023'!$D$4:$D$1227,$B20,'декабрь 2023'!$J$4:$J$1227,L$1)</f>
        <v>0</v>
      </c>
      <c r="M20" s="198">
        <f>SUMIFS('декабрь 2023'!$G$4:$G$1227,'декабрь 2023'!$D$4:$D$1227,$B20,'декабрь 2023'!$J$4:$J$1227,M$1)</f>
        <v>0</v>
      </c>
      <c r="N20" s="198">
        <f>SUMIFS('декабрь 2023'!$G$4:$G$1227,'декабрь 2023'!$D$4:$D$1227,$B20,'декабрь 2023'!$J$4:$J$1227,N$1)</f>
        <v>0</v>
      </c>
      <c r="O20" s="198">
        <f>SUMIFS('декабрь 2023'!$G$4:$G$1227,'декабрь 2023'!$D$4:$D$1227,$B20,'декабрь 2023'!$J$4:$J$1227,O$1)</f>
        <v>0</v>
      </c>
      <c r="P20" s="198">
        <f>SUMIFS('декабрь 2023'!$G$4:$G$1227,'декабрь 2023'!$D$4:$D$1227,$B20,'декабрь 2023'!$J$4:$J$1227,P$1)</f>
        <v>0</v>
      </c>
      <c r="Q20" s="198">
        <f>SUMIFS('декабрь 2023'!$G$4:$G$1227,'декабрь 2023'!$D$4:$D$1227,$B20,'декабрь 2023'!$J$4:$J$1227,Q$1)</f>
        <v>0</v>
      </c>
      <c r="R20" s="198">
        <f>SUMIFS('декабрь 2023'!$G$4:$G$1227,'декабрь 2023'!$D$4:$D$1227,$B20,'декабрь 2023'!$J$4:$J$1227,R$1)</f>
        <v>0</v>
      </c>
      <c r="S20" s="198">
        <f>SUMIFS('декабрь 2023'!$G$4:$G$1227,'декабрь 2023'!$D$4:$D$1227,$B20,'декабрь 2023'!$J$4:$J$1227,S$1)</f>
        <v>0</v>
      </c>
      <c r="T20" s="198">
        <f>SUMIFS('декабрь 2023'!$G$4:$G$1227,'декабрь 2023'!$D$4:$D$1227,$B20,'декабрь 2023'!$J$4:$J$1227,T$1)</f>
        <v>0</v>
      </c>
      <c r="U20" s="198">
        <f>SUMIFS('декабрь 2023'!$G$4:$G$1227,'декабрь 2023'!$D$4:$D$1227,$B20,'декабрь 2023'!$J$4:$J$1227,U$1)</f>
        <v>0</v>
      </c>
      <c r="V20" s="198">
        <f>SUMIFS('декабрь 2023'!$G$4:$G$1227,'декабрь 2023'!$D$4:$D$1227,$B20,'декабрь 2023'!$J$4:$J$1227,V$1)</f>
        <v>0</v>
      </c>
      <c r="W20" s="198">
        <f>SUMIFS('декабрь 2023'!$G$4:$G$1227,'декабрь 2023'!$D$4:$D$1227,$B20,'декабрь 2023'!$J$4:$J$1227,W$1)</f>
        <v>0</v>
      </c>
      <c r="X20" s="198">
        <f>SUMIFS('декабрь 2023'!$G$4:$G$1227,'декабрь 2023'!$D$4:$D$1227,$B20,'декабрь 2023'!$J$4:$J$1227,X$1)</f>
        <v>0</v>
      </c>
      <c r="Y20" s="198">
        <f>SUMIFS('декабрь 2023'!$G$4:$G$1227,'декабрь 2023'!$D$4:$D$1227,$B20,'декабрь 2023'!$J$4:$J$1227,Y$1)</f>
        <v>0</v>
      </c>
      <c r="Z20" s="198">
        <f>SUMIFS('декабрь 2023'!$G$4:$G$1227,'декабрь 2023'!$D$4:$D$1227,$B20,'декабрь 2023'!$J$4:$J$1227,Z$1)</f>
        <v>0</v>
      </c>
      <c r="AA20" s="198">
        <f>SUMIFS('декабрь 2023'!$G$4:$G$1227,'декабрь 2023'!$D$4:$D$1227,$B20,'декабрь 2023'!$J$4:$J$1227,AA$1)</f>
        <v>0</v>
      </c>
      <c r="AB20" s="198">
        <f>SUMIFS('декабрь 2023'!$G$4:$G$1227,'декабрь 2023'!$D$4:$D$1227,$B20,'декабрь 2023'!$J$4:$J$1227,AB$1)</f>
        <v>0</v>
      </c>
      <c r="AC20" s="198">
        <f>SUMIFS('декабрь 2023'!$G$4:$G$1227,'декабрь 2023'!$D$4:$D$1227,$B20,'декабрь 2023'!$J$4:$J$1227,AC$1)</f>
        <v>0</v>
      </c>
      <c r="AD20" s="198">
        <f>SUMIFS('декабрь 2023'!$G$4:$G$1227,'декабрь 2023'!$D$4:$D$1227,$B20,'декабрь 2023'!$J$4:$J$1227,AD$1)</f>
        <v>0</v>
      </c>
      <c r="AE20" s="198">
        <f>SUMIFS('декабрь 2023'!$G$4:$G$1227,'декабрь 2023'!$D$4:$D$1227,$B20,'декабрь 2023'!$J$4:$J$1227,AE$1)</f>
        <v>0</v>
      </c>
      <c r="AF20" s="198">
        <f>SUMIFS('декабрь 2023'!$G$4:$G$1227,'декабрь 2023'!$D$4:$D$1227,$B20,'декабрь 2023'!$J$4:$J$1227,AF$1)</f>
        <v>0</v>
      </c>
      <c r="AG20" s="198">
        <f>SUMIFS('декабрь 2023'!$G$4:$G$1227,'декабрь 2023'!$D$4:$D$1227,$B20,'декабрь 2023'!$J$4:$J$1227,AG$1)</f>
        <v>0</v>
      </c>
      <c r="AH20" s="198">
        <f>SUMIFS('декабрь 2023'!$G$4:$G$1227,'декабрь 2023'!$D$4:$D$1227,$B20,'декабрь 2023'!$J$4:$J$1227,AH$1)</f>
        <v>0</v>
      </c>
      <c r="AI20" s="170">
        <f t="shared" si="1"/>
        <v>0</v>
      </c>
    </row>
    <row r="21" spans="2:35" ht="15" customHeight="1" x14ac:dyDescent="0.25">
      <c r="B21" s="202" t="s">
        <v>186</v>
      </c>
      <c r="C21" s="204">
        <v>22.68</v>
      </c>
      <c r="D21" s="198">
        <f>SUMIFS('декабрь 2023'!$G$4:$G$1227,'декабрь 2023'!$D$4:$D$1227,$B21,'декабрь 2023'!$J$4:$J$1227,D$1)</f>
        <v>0</v>
      </c>
      <c r="E21" s="198">
        <f>SUMIFS('декабрь 2023'!$G$4:$G$1227,'декабрь 2023'!$D$4:$D$1227,$B21,'декабрь 2023'!$J$4:$J$1227,E$1)</f>
        <v>0</v>
      </c>
      <c r="F21" s="198">
        <f>SUMIFS('декабрь 2023'!$G$4:$G$1227,'декабрь 2023'!$D$4:$D$1227,$B21,'декабрь 2023'!$J$4:$J$1227,F$1)</f>
        <v>0</v>
      </c>
      <c r="G21" s="198">
        <f>SUMIFS('декабрь 2023'!$G$4:$G$1227,'декабрь 2023'!$D$4:$D$1227,$B21,'декабрь 2023'!$J$4:$J$1227,G$1)</f>
        <v>0</v>
      </c>
      <c r="H21" s="198">
        <f>SUMIFS('декабрь 2023'!$G$4:$G$1227,'декабрь 2023'!$D$4:$D$1227,$B21,'декабрь 2023'!$J$4:$J$1227,H$1)</f>
        <v>0</v>
      </c>
      <c r="I21" s="198">
        <f>SUMIFS('декабрь 2023'!$G$4:$G$1227,'декабрь 2023'!$D$4:$D$1227,$B21,'декабрь 2023'!$J$4:$J$1227,I$1)</f>
        <v>0</v>
      </c>
      <c r="J21" s="198">
        <f>SUMIFS('декабрь 2023'!$G$4:$G$1227,'декабрь 2023'!$D$4:$D$1227,$B21,'декабрь 2023'!$J$4:$J$1227,J$1)</f>
        <v>0</v>
      </c>
      <c r="K21" s="198">
        <f>SUMIFS('декабрь 2023'!$G$4:$G$1227,'декабрь 2023'!$D$4:$D$1227,$B21,'декабрь 2023'!$J$4:$J$1227,K$1)</f>
        <v>0</v>
      </c>
      <c r="L21" s="198">
        <f>SUMIFS('декабрь 2023'!$G$4:$G$1227,'декабрь 2023'!$D$4:$D$1227,$B21,'декабрь 2023'!$J$4:$J$1227,L$1)</f>
        <v>0</v>
      </c>
      <c r="M21" s="198">
        <f>SUMIFS('декабрь 2023'!$G$4:$G$1227,'декабрь 2023'!$D$4:$D$1227,$B21,'декабрь 2023'!$J$4:$J$1227,M$1)</f>
        <v>0</v>
      </c>
      <c r="N21" s="198">
        <f>SUMIFS('декабрь 2023'!$G$4:$G$1227,'декабрь 2023'!$D$4:$D$1227,$B21,'декабрь 2023'!$J$4:$J$1227,N$1)</f>
        <v>0</v>
      </c>
      <c r="O21" s="198">
        <f>SUMIFS('декабрь 2023'!$G$4:$G$1227,'декабрь 2023'!$D$4:$D$1227,$B21,'декабрь 2023'!$J$4:$J$1227,O$1)</f>
        <v>0</v>
      </c>
      <c r="P21" s="198">
        <f>SUMIFS('декабрь 2023'!$G$4:$G$1227,'декабрь 2023'!$D$4:$D$1227,$B21,'декабрь 2023'!$J$4:$J$1227,P$1)</f>
        <v>0</v>
      </c>
      <c r="Q21" s="198">
        <f>SUMIFS('декабрь 2023'!$G$4:$G$1227,'декабрь 2023'!$D$4:$D$1227,$B21,'декабрь 2023'!$J$4:$J$1227,Q$1)</f>
        <v>0</v>
      </c>
      <c r="R21" s="198">
        <f>SUMIFS('декабрь 2023'!$G$4:$G$1227,'декабрь 2023'!$D$4:$D$1227,$B21,'декабрь 2023'!$J$4:$J$1227,R$1)</f>
        <v>0</v>
      </c>
      <c r="S21" s="198">
        <f>SUMIFS('декабрь 2023'!$G$4:$G$1227,'декабрь 2023'!$D$4:$D$1227,$B21,'декабрь 2023'!$J$4:$J$1227,S$1)</f>
        <v>0</v>
      </c>
      <c r="T21" s="198">
        <f>SUMIFS('декабрь 2023'!$G$4:$G$1227,'декабрь 2023'!$D$4:$D$1227,$B21,'декабрь 2023'!$J$4:$J$1227,T$1)</f>
        <v>0</v>
      </c>
      <c r="U21" s="198">
        <f>SUMIFS('декабрь 2023'!$G$4:$G$1227,'декабрь 2023'!$D$4:$D$1227,$B21,'декабрь 2023'!$J$4:$J$1227,U$1)</f>
        <v>0</v>
      </c>
      <c r="V21" s="198">
        <f>SUMIFS('декабрь 2023'!$G$4:$G$1227,'декабрь 2023'!$D$4:$D$1227,$B21,'декабрь 2023'!$J$4:$J$1227,V$1)</f>
        <v>0</v>
      </c>
      <c r="W21" s="198">
        <f>SUMIFS('декабрь 2023'!$G$4:$G$1227,'декабрь 2023'!$D$4:$D$1227,$B21,'декабрь 2023'!$J$4:$J$1227,W$1)</f>
        <v>420</v>
      </c>
      <c r="X21" s="198">
        <f>SUMIFS('декабрь 2023'!$G$4:$G$1227,'декабрь 2023'!$D$4:$D$1227,$B21,'декабрь 2023'!$J$4:$J$1227,X$1)</f>
        <v>0</v>
      </c>
      <c r="Y21" s="198">
        <f>SUMIFS('декабрь 2023'!$G$4:$G$1227,'декабрь 2023'!$D$4:$D$1227,$B21,'декабрь 2023'!$J$4:$J$1227,Y$1)</f>
        <v>0</v>
      </c>
      <c r="Z21" s="198">
        <f>SUMIFS('декабрь 2023'!$G$4:$G$1227,'декабрь 2023'!$D$4:$D$1227,$B21,'декабрь 2023'!$J$4:$J$1227,Z$1)</f>
        <v>0</v>
      </c>
      <c r="AA21" s="198">
        <f>SUMIFS('декабрь 2023'!$G$4:$G$1227,'декабрь 2023'!$D$4:$D$1227,$B21,'декабрь 2023'!$J$4:$J$1227,AA$1)</f>
        <v>0</v>
      </c>
      <c r="AB21" s="198">
        <f>SUMIFS('декабрь 2023'!$G$4:$G$1227,'декабрь 2023'!$D$4:$D$1227,$B21,'декабрь 2023'!$J$4:$J$1227,AB$1)</f>
        <v>0</v>
      </c>
      <c r="AC21" s="198">
        <f>SUMIFS('декабрь 2023'!$G$4:$G$1227,'декабрь 2023'!$D$4:$D$1227,$B21,'декабрь 2023'!$J$4:$J$1227,AC$1)</f>
        <v>0</v>
      </c>
      <c r="AD21" s="198">
        <f>SUMIFS('декабрь 2023'!$G$4:$G$1227,'декабрь 2023'!$D$4:$D$1227,$B21,'декабрь 2023'!$J$4:$J$1227,AD$1)</f>
        <v>0</v>
      </c>
      <c r="AE21" s="198">
        <f>SUMIFS('декабрь 2023'!$G$4:$G$1227,'декабрь 2023'!$D$4:$D$1227,$B21,'декабрь 2023'!$J$4:$J$1227,AE$1)</f>
        <v>0</v>
      </c>
      <c r="AF21" s="198">
        <f>SUMIFS('декабрь 2023'!$G$4:$G$1227,'декабрь 2023'!$D$4:$D$1227,$B21,'декабрь 2023'!$J$4:$J$1227,AF$1)</f>
        <v>0</v>
      </c>
      <c r="AG21" s="198">
        <f>SUMIFS('декабрь 2023'!$G$4:$G$1227,'декабрь 2023'!$D$4:$D$1227,$B21,'декабрь 2023'!$J$4:$J$1227,AG$1)</f>
        <v>0</v>
      </c>
      <c r="AH21" s="198">
        <f>SUMIFS('декабрь 2023'!$G$4:$G$1227,'декабрь 2023'!$D$4:$D$1227,$B21,'декабрь 2023'!$J$4:$J$1227,AH$1)</f>
        <v>0</v>
      </c>
      <c r="AI21" s="170">
        <f t="shared" si="1"/>
        <v>420</v>
      </c>
    </row>
    <row r="22" spans="2:35" ht="15" hidden="1" customHeight="1" x14ac:dyDescent="0.25">
      <c r="B22" s="202"/>
      <c r="C22" s="200"/>
      <c r="D22" s="198">
        <f>SUMIFS('декабрь 2023'!$G$4:$G$1227,'декабрь 2023'!$D$4:$D$1227,$B22,'декабрь 2023'!$J$4:$J$1227,D$1)</f>
        <v>0</v>
      </c>
      <c r="E22" s="198">
        <f>SUMIFS('декабрь 2023'!$G$4:$G$1227,'декабрь 2023'!$D$4:$D$1227,$B22,'декабрь 2023'!$J$4:$J$1227,E$1)</f>
        <v>0</v>
      </c>
      <c r="F22" s="198">
        <f>SUMIFS('декабрь 2023'!$G$4:$G$1227,'декабрь 2023'!$D$4:$D$1227,$B22,'декабрь 2023'!$J$4:$J$1227,F$1)</f>
        <v>0</v>
      </c>
      <c r="G22" s="198">
        <f>SUMIFS('декабрь 2023'!$G$4:$G$1227,'декабрь 2023'!$D$4:$D$1227,$B22,'декабрь 2023'!$J$4:$J$1227,G$1)</f>
        <v>0</v>
      </c>
      <c r="H22" s="198">
        <f>SUMIFS('декабрь 2023'!$G$4:$G$1227,'декабрь 2023'!$D$4:$D$1227,$B22,'декабрь 2023'!$J$4:$J$1227,H$1)</f>
        <v>0</v>
      </c>
      <c r="I22" s="198">
        <f>SUMIFS('декабрь 2023'!$G$4:$G$1227,'декабрь 2023'!$D$4:$D$1227,$B22,'декабрь 2023'!$J$4:$J$1227,I$1)</f>
        <v>0</v>
      </c>
      <c r="J22" s="198">
        <f>SUMIFS('декабрь 2023'!$G$4:$G$1227,'декабрь 2023'!$D$4:$D$1227,$B22,'декабрь 2023'!$J$4:$J$1227,J$1)</f>
        <v>0</v>
      </c>
      <c r="K22" s="198">
        <f>SUMIFS('декабрь 2023'!$G$4:$G$1227,'декабрь 2023'!$D$4:$D$1227,$B22,'декабрь 2023'!$J$4:$J$1227,K$1)</f>
        <v>0</v>
      </c>
      <c r="L22" s="198">
        <f>SUMIFS('декабрь 2023'!$G$4:$G$1227,'декабрь 2023'!$D$4:$D$1227,$B22,'декабрь 2023'!$J$4:$J$1227,L$1)</f>
        <v>0</v>
      </c>
      <c r="M22" s="198">
        <f>SUMIFS('декабрь 2023'!$G$4:$G$1227,'декабрь 2023'!$D$4:$D$1227,$B22,'декабрь 2023'!$J$4:$J$1227,M$1)</f>
        <v>0</v>
      </c>
      <c r="N22" s="198">
        <f>SUMIFS('декабрь 2023'!$G$4:$G$1227,'декабрь 2023'!$D$4:$D$1227,$B22,'декабрь 2023'!$J$4:$J$1227,N$1)</f>
        <v>0</v>
      </c>
      <c r="O22" s="198">
        <f>SUMIFS('декабрь 2023'!$G$4:$G$1227,'декабрь 2023'!$D$4:$D$1227,$B22,'декабрь 2023'!$J$4:$J$1227,O$1)</f>
        <v>0</v>
      </c>
      <c r="P22" s="198">
        <f>SUMIFS('декабрь 2023'!$G$4:$G$1227,'декабрь 2023'!$D$4:$D$1227,$B22,'декабрь 2023'!$J$4:$J$1227,P$1)</f>
        <v>0</v>
      </c>
      <c r="Q22" s="198">
        <f>SUMIFS('декабрь 2023'!$G$4:$G$1227,'декабрь 2023'!$D$4:$D$1227,$B22,'декабрь 2023'!$J$4:$J$1227,Q$1)</f>
        <v>0</v>
      </c>
      <c r="R22" s="198">
        <f>SUMIFS('декабрь 2023'!$G$4:$G$1227,'декабрь 2023'!$D$4:$D$1227,$B22,'декабрь 2023'!$J$4:$J$1227,R$1)</f>
        <v>0</v>
      </c>
      <c r="S22" s="198">
        <f>SUMIFS('декабрь 2023'!$G$4:$G$1227,'декабрь 2023'!$D$4:$D$1227,$B22,'декабрь 2023'!$J$4:$J$1227,S$1)</f>
        <v>0</v>
      </c>
      <c r="T22" s="198">
        <f>SUMIFS('декабрь 2023'!$G$4:$G$1227,'декабрь 2023'!$D$4:$D$1227,$B22,'декабрь 2023'!$J$4:$J$1227,T$1)</f>
        <v>0</v>
      </c>
      <c r="U22" s="198">
        <f>SUMIFS('декабрь 2023'!$G$4:$G$1227,'декабрь 2023'!$D$4:$D$1227,$B22,'декабрь 2023'!$J$4:$J$1227,U$1)</f>
        <v>0</v>
      </c>
      <c r="V22" s="198">
        <f>SUMIFS('декабрь 2023'!$G$4:$G$1227,'декабрь 2023'!$D$4:$D$1227,$B22,'декабрь 2023'!$J$4:$J$1227,V$1)</f>
        <v>0</v>
      </c>
      <c r="W22" s="198">
        <f>SUMIFS('декабрь 2023'!$G$4:$G$1227,'декабрь 2023'!$D$4:$D$1227,$B22,'декабрь 2023'!$J$4:$J$1227,W$1)</f>
        <v>0</v>
      </c>
      <c r="X22" s="198">
        <f>SUMIFS('декабрь 2023'!$G$4:$G$1227,'декабрь 2023'!$D$4:$D$1227,$B22,'декабрь 2023'!$J$4:$J$1227,X$1)</f>
        <v>0</v>
      </c>
      <c r="Y22" s="198">
        <f>SUMIFS('декабрь 2023'!$G$4:$G$1227,'декабрь 2023'!$D$4:$D$1227,$B22,'декабрь 2023'!$J$4:$J$1227,Y$1)</f>
        <v>0</v>
      </c>
      <c r="Z22" s="198">
        <f>SUMIFS('декабрь 2023'!$G$4:$G$1227,'декабрь 2023'!$D$4:$D$1227,$B22,'декабрь 2023'!$J$4:$J$1227,Z$1)</f>
        <v>0</v>
      </c>
      <c r="AA22" s="198">
        <f>SUMIFS('декабрь 2023'!$G$4:$G$1227,'декабрь 2023'!$D$4:$D$1227,$B22,'декабрь 2023'!$J$4:$J$1227,AA$1)</f>
        <v>0</v>
      </c>
      <c r="AB22" s="198">
        <f>SUMIFS('декабрь 2023'!$G$4:$G$1227,'декабрь 2023'!$D$4:$D$1227,$B22,'декабрь 2023'!$J$4:$J$1227,AB$1)</f>
        <v>0</v>
      </c>
      <c r="AC22" s="198">
        <f>SUMIFS('декабрь 2023'!$G$4:$G$1227,'декабрь 2023'!$D$4:$D$1227,$B22,'декабрь 2023'!$J$4:$J$1227,AC$1)</f>
        <v>0</v>
      </c>
      <c r="AD22" s="198">
        <f>SUMIFS('декабрь 2023'!$G$4:$G$1227,'декабрь 2023'!$D$4:$D$1227,$B22,'декабрь 2023'!$J$4:$J$1227,AD$1)</f>
        <v>0</v>
      </c>
      <c r="AE22" s="198">
        <f>SUMIFS('декабрь 2023'!$G$4:$G$1227,'декабрь 2023'!$D$4:$D$1227,$B22,'декабрь 2023'!$J$4:$J$1227,AE$1)</f>
        <v>0</v>
      </c>
      <c r="AF22" s="198">
        <f>SUMIFS('декабрь 2023'!$G$4:$G$1227,'декабрь 2023'!$D$4:$D$1227,$B22,'декабрь 2023'!$J$4:$J$1227,AF$1)</f>
        <v>0</v>
      </c>
      <c r="AG22" s="198">
        <f>SUMIFS('декабрь 2023'!$G$4:$G$1227,'декабрь 2023'!$D$4:$D$1227,$B22,'декабрь 2023'!$J$4:$J$1227,AG$1)</f>
        <v>0</v>
      </c>
      <c r="AH22" s="198">
        <f>SUMIFS('декабрь 2023'!$G$4:$G$1227,'декабрь 2023'!$D$4:$D$1227,$B22,'декабрь 2023'!$J$4:$J$1227,AH$1)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SUMIFS('декабрь 2023'!$G$4:$G$1227,'декабрь 2023'!$D$4:$D$1227,$B23,'декабрь 2023'!$J$4:$J$1227,D$1)</f>
        <v>0</v>
      </c>
      <c r="E23" s="198">
        <f>SUMIFS('декабрь 2023'!$G$4:$G$1227,'декабрь 2023'!$D$4:$D$1227,$B23,'декабрь 2023'!$J$4:$J$1227,E$1)</f>
        <v>0</v>
      </c>
      <c r="F23" s="198">
        <f>SUMIFS('декабрь 2023'!$G$4:$G$1227,'декабрь 2023'!$D$4:$D$1227,$B23,'декабрь 2023'!$J$4:$J$1227,F$1)</f>
        <v>0</v>
      </c>
      <c r="G23" s="198">
        <f>SUMIFS('декабрь 2023'!$G$4:$G$1227,'декабрь 2023'!$D$4:$D$1227,$B23,'декабрь 2023'!$J$4:$J$1227,G$1)</f>
        <v>0</v>
      </c>
      <c r="H23" s="198">
        <f>SUMIFS('декабрь 2023'!$G$4:$G$1227,'декабрь 2023'!$D$4:$D$1227,$B23,'декабрь 2023'!$J$4:$J$1227,H$1)</f>
        <v>0</v>
      </c>
      <c r="I23" s="198">
        <f>SUMIFS('декабрь 2023'!$G$4:$G$1227,'декабрь 2023'!$D$4:$D$1227,$B23,'декабрь 2023'!$J$4:$J$1227,I$1)</f>
        <v>0</v>
      </c>
      <c r="J23" s="198">
        <f>SUMIFS('декабрь 2023'!$G$4:$G$1227,'декабрь 2023'!$D$4:$D$1227,$B23,'декабрь 2023'!$J$4:$J$1227,J$1)</f>
        <v>0</v>
      </c>
      <c r="K23" s="198">
        <f>SUMIFS('декабрь 2023'!$G$4:$G$1227,'декабрь 2023'!$D$4:$D$1227,$B23,'декабрь 2023'!$J$4:$J$1227,K$1)</f>
        <v>0</v>
      </c>
      <c r="L23" s="198">
        <f>SUMIFS('декабрь 2023'!$G$4:$G$1227,'декабрь 2023'!$D$4:$D$1227,$B23,'декабрь 2023'!$J$4:$J$1227,L$1)</f>
        <v>0</v>
      </c>
      <c r="M23" s="198">
        <f>SUMIFS('декабрь 2023'!$G$4:$G$1227,'декабрь 2023'!$D$4:$D$1227,$B23,'декабрь 2023'!$J$4:$J$1227,M$1)</f>
        <v>0</v>
      </c>
      <c r="N23" s="198">
        <f>SUMIFS('декабрь 2023'!$G$4:$G$1227,'декабрь 2023'!$D$4:$D$1227,$B23,'декабрь 2023'!$J$4:$J$1227,N$1)</f>
        <v>0</v>
      </c>
      <c r="O23" s="198">
        <f>SUMIFS('декабрь 2023'!$G$4:$G$1227,'декабрь 2023'!$D$4:$D$1227,$B23,'декабрь 2023'!$J$4:$J$1227,O$1)</f>
        <v>0</v>
      </c>
      <c r="P23" s="198">
        <f>SUMIFS('декабрь 2023'!$G$4:$G$1227,'декабрь 2023'!$D$4:$D$1227,$B23,'декабрь 2023'!$J$4:$J$1227,P$1)</f>
        <v>0</v>
      </c>
      <c r="Q23" s="198">
        <f>SUMIFS('декабрь 2023'!$G$4:$G$1227,'декабрь 2023'!$D$4:$D$1227,$B23,'декабрь 2023'!$J$4:$J$1227,Q$1)</f>
        <v>0</v>
      </c>
      <c r="R23" s="198">
        <f>SUMIFS('декабрь 2023'!$G$4:$G$1227,'декабрь 2023'!$D$4:$D$1227,$B23,'декабрь 2023'!$J$4:$J$1227,R$1)</f>
        <v>0</v>
      </c>
      <c r="S23" s="198">
        <f>SUMIFS('декабрь 2023'!$G$4:$G$1227,'декабрь 2023'!$D$4:$D$1227,$B23,'декабрь 2023'!$J$4:$J$1227,S$1)</f>
        <v>0</v>
      </c>
      <c r="T23" s="198">
        <f>SUMIFS('декабрь 2023'!$G$4:$G$1227,'декабрь 2023'!$D$4:$D$1227,$B23,'декабрь 2023'!$J$4:$J$1227,T$1)</f>
        <v>0</v>
      </c>
      <c r="U23" s="198">
        <f>SUMIFS('декабрь 2023'!$G$4:$G$1227,'декабрь 2023'!$D$4:$D$1227,$B23,'декабрь 2023'!$J$4:$J$1227,U$1)</f>
        <v>0</v>
      </c>
      <c r="V23" s="198">
        <f>SUMIFS('декабрь 2023'!$G$4:$G$1227,'декабрь 2023'!$D$4:$D$1227,$B23,'декабрь 2023'!$J$4:$J$1227,V$1)</f>
        <v>0</v>
      </c>
      <c r="W23" s="198">
        <f>SUMIFS('декабрь 2023'!$G$4:$G$1227,'декабрь 2023'!$D$4:$D$1227,$B23,'декабрь 2023'!$J$4:$J$1227,W$1)</f>
        <v>0</v>
      </c>
      <c r="X23" s="198">
        <f>SUMIFS('декабрь 2023'!$G$4:$G$1227,'декабрь 2023'!$D$4:$D$1227,$B23,'декабрь 2023'!$J$4:$J$1227,X$1)</f>
        <v>0</v>
      </c>
      <c r="Y23" s="198">
        <f>SUMIFS('декабрь 2023'!$G$4:$G$1227,'декабрь 2023'!$D$4:$D$1227,$B23,'декабрь 2023'!$J$4:$J$1227,Y$1)</f>
        <v>0</v>
      </c>
      <c r="Z23" s="198">
        <f>SUMIFS('декабрь 2023'!$G$4:$G$1227,'декабрь 2023'!$D$4:$D$1227,$B23,'декабрь 2023'!$J$4:$J$1227,Z$1)</f>
        <v>0</v>
      </c>
      <c r="AA23" s="198">
        <f>SUMIFS('декабрь 2023'!$G$4:$G$1227,'декабрь 2023'!$D$4:$D$1227,$B23,'декабрь 2023'!$J$4:$J$1227,AA$1)</f>
        <v>0</v>
      </c>
      <c r="AB23" s="198">
        <f>SUMIFS('декабрь 2023'!$G$4:$G$1227,'декабрь 2023'!$D$4:$D$1227,$B23,'декабрь 2023'!$J$4:$J$1227,AB$1)</f>
        <v>0</v>
      </c>
      <c r="AC23" s="198">
        <f>SUMIFS('декабрь 2023'!$G$4:$G$1227,'декабрь 2023'!$D$4:$D$1227,$B23,'декабрь 2023'!$J$4:$J$1227,AC$1)</f>
        <v>0</v>
      </c>
      <c r="AD23" s="198">
        <f>SUMIFS('декабрь 2023'!$G$4:$G$1227,'декабрь 2023'!$D$4:$D$1227,$B23,'декабрь 2023'!$J$4:$J$1227,AD$1)</f>
        <v>0</v>
      </c>
      <c r="AE23" s="198">
        <f>SUMIFS('декабрь 2023'!$G$4:$G$1227,'декабрь 2023'!$D$4:$D$1227,$B23,'декабрь 2023'!$J$4:$J$1227,AE$1)</f>
        <v>0</v>
      </c>
      <c r="AF23" s="198">
        <f>SUMIFS('декабрь 2023'!$G$4:$G$1227,'декабрь 2023'!$D$4:$D$1227,$B23,'декабрь 2023'!$J$4:$J$1227,AF$1)</f>
        <v>0</v>
      </c>
      <c r="AG23" s="198">
        <f>SUMIFS('декабрь 2023'!$G$4:$G$1227,'декабрь 2023'!$D$4:$D$1227,$B23,'декабрь 2023'!$J$4:$J$1227,AG$1)</f>
        <v>0</v>
      </c>
      <c r="AH23" s="198">
        <f>SUMIFS('декабрь 2023'!$G$4:$G$1227,'декабрь 2023'!$D$4:$D$1227,$B23,'декабрь 2023'!$J$4:$J$1227,AH$1)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SUMIFS('декабрь 2023'!$G$4:$G$1227,'декабрь 2023'!$D$4:$D$1227,$B24,'декабрь 2023'!$J$4:$J$1227,D$1)</f>
        <v>0</v>
      </c>
      <c r="E24" s="198">
        <f>SUMIFS('декабрь 2023'!$G$4:$G$1227,'декабрь 2023'!$D$4:$D$1227,$B24,'декабрь 2023'!$J$4:$J$1227,E$1)</f>
        <v>0</v>
      </c>
      <c r="F24" s="198">
        <f>SUMIFS('декабрь 2023'!$G$4:$G$1227,'декабрь 2023'!$D$4:$D$1227,$B24,'декабрь 2023'!$J$4:$J$1227,F$1)</f>
        <v>0</v>
      </c>
      <c r="G24" s="198">
        <f>SUMIFS('декабрь 2023'!$G$4:$G$1227,'декабрь 2023'!$D$4:$D$1227,$B24,'декабрь 2023'!$J$4:$J$1227,G$1)</f>
        <v>0</v>
      </c>
      <c r="H24" s="198">
        <f>SUMIFS('декабрь 2023'!$G$4:$G$1227,'декабрь 2023'!$D$4:$D$1227,$B24,'декабрь 2023'!$J$4:$J$1227,H$1)</f>
        <v>0</v>
      </c>
      <c r="I24" s="198">
        <f>SUMIFS('декабрь 2023'!$G$4:$G$1227,'декабрь 2023'!$D$4:$D$1227,$B24,'декабрь 2023'!$J$4:$J$1227,I$1)</f>
        <v>0</v>
      </c>
      <c r="J24" s="198">
        <f>SUMIFS('декабрь 2023'!$G$4:$G$1227,'декабрь 2023'!$D$4:$D$1227,$B24,'декабрь 2023'!$J$4:$J$1227,J$1)</f>
        <v>0</v>
      </c>
      <c r="K24" s="198">
        <f>SUMIFS('декабрь 2023'!$G$4:$G$1227,'декабрь 2023'!$D$4:$D$1227,$B24,'декабрь 2023'!$J$4:$J$1227,K$1)</f>
        <v>0</v>
      </c>
      <c r="L24" s="198">
        <f>SUMIFS('декабрь 2023'!$G$4:$G$1227,'декабрь 2023'!$D$4:$D$1227,$B24,'декабрь 2023'!$J$4:$J$1227,L$1)</f>
        <v>0</v>
      </c>
      <c r="M24" s="198">
        <f>SUMIFS('декабрь 2023'!$G$4:$G$1227,'декабрь 2023'!$D$4:$D$1227,$B24,'декабрь 2023'!$J$4:$J$1227,M$1)</f>
        <v>0</v>
      </c>
      <c r="N24" s="198">
        <f>SUMIFS('декабрь 2023'!$G$4:$G$1227,'декабрь 2023'!$D$4:$D$1227,$B24,'декабрь 2023'!$J$4:$J$1227,N$1)</f>
        <v>0</v>
      </c>
      <c r="O24" s="198">
        <f>SUMIFS('декабрь 2023'!$G$4:$G$1227,'декабрь 2023'!$D$4:$D$1227,$B24,'декабрь 2023'!$J$4:$J$1227,O$1)</f>
        <v>0</v>
      </c>
      <c r="P24" s="198">
        <f>SUMIFS('декабрь 2023'!$G$4:$G$1227,'декабрь 2023'!$D$4:$D$1227,$B24,'декабрь 2023'!$J$4:$J$1227,P$1)</f>
        <v>0</v>
      </c>
      <c r="Q24" s="198">
        <f>SUMIFS('декабрь 2023'!$G$4:$G$1227,'декабрь 2023'!$D$4:$D$1227,$B24,'декабрь 2023'!$J$4:$J$1227,Q$1)</f>
        <v>0</v>
      </c>
      <c r="R24" s="198">
        <f>SUMIFS('декабрь 2023'!$G$4:$G$1227,'декабрь 2023'!$D$4:$D$1227,$B24,'декабрь 2023'!$J$4:$J$1227,R$1)</f>
        <v>0</v>
      </c>
      <c r="S24" s="198">
        <f>SUMIFS('декабрь 2023'!$G$4:$G$1227,'декабрь 2023'!$D$4:$D$1227,$B24,'декабрь 2023'!$J$4:$J$1227,S$1)</f>
        <v>0</v>
      </c>
      <c r="T24" s="198">
        <f>SUMIFS('декабрь 2023'!$G$4:$G$1227,'декабрь 2023'!$D$4:$D$1227,$B24,'декабрь 2023'!$J$4:$J$1227,T$1)</f>
        <v>0</v>
      </c>
      <c r="U24" s="198">
        <f>SUMIFS('декабрь 2023'!$G$4:$G$1227,'декабрь 2023'!$D$4:$D$1227,$B24,'декабрь 2023'!$J$4:$J$1227,U$1)</f>
        <v>0</v>
      </c>
      <c r="V24" s="198">
        <f>SUMIFS('декабрь 2023'!$G$4:$G$1227,'декабрь 2023'!$D$4:$D$1227,$B24,'декабрь 2023'!$J$4:$J$1227,V$1)</f>
        <v>0</v>
      </c>
      <c r="W24" s="198">
        <f>SUMIFS('декабрь 2023'!$G$4:$G$1227,'декабрь 2023'!$D$4:$D$1227,$B24,'декабрь 2023'!$J$4:$J$1227,W$1)</f>
        <v>0</v>
      </c>
      <c r="X24" s="198">
        <f>SUMIFS('декабрь 2023'!$G$4:$G$1227,'декабрь 2023'!$D$4:$D$1227,$B24,'декабрь 2023'!$J$4:$J$1227,X$1)</f>
        <v>0</v>
      </c>
      <c r="Y24" s="198">
        <f>SUMIFS('декабрь 2023'!$G$4:$G$1227,'декабрь 2023'!$D$4:$D$1227,$B24,'декабрь 2023'!$J$4:$J$1227,Y$1)</f>
        <v>0</v>
      </c>
      <c r="Z24" s="198">
        <f>SUMIFS('декабрь 2023'!$G$4:$G$1227,'декабрь 2023'!$D$4:$D$1227,$B24,'декабрь 2023'!$J$4:$J$1227,Z$1)</f>
        <v>0</v>
      </c>
      <c r="AA24" s="198">
        <f>SUMIFS('декабрь 2023'!$G$4:$G$1227,'декабрь 2023'!$D$4:$D$1227,$B24,'декабрь 2023'!$J$4:$J$1227,AA$1)</f>
        <v>0</v>
      </c>
      <c r="AB24" s="198">
        <f>SUMIFS('декабрь 2023'!$G$4:$G$1227,'декабрь 2023'!$D$4:$D$1227,$B24,'декабрь 2023'!$J$4:$J$1227,AB$1)</f>
        <v>0</v>
      </c>
      <c r="AC24" s="198">
        <f>SUMIFS('декабрь 2023'!$G$4:$G$1227,'декабрь 2023'!$D$4:$D$1227,$B24,'декабрь 2023'!$J$4:$J$1227,AC$1)</f>
        <v>0</v>
      </c>
      <c r="AD24" s="198">
        <f>SUMIFS('декабрь 2023'!$G$4:$G$1227,'декабрь 2023'!$D$4:$D$1227,$B24,'декабрь 2023'!$J$4:$J$1227,AD$1)</f>
        <v>0</v>
      </c>
      <c r="AE24" s="198">
        <f>SUMIFS('декабрь 2023'!$G$4:$G$1227,'декабрь 2023'!$D$4:$D$1227,$B24,'декабрь 2023'!$J$4:$J$1227,AE$1)</f>
        <v>0</v>
      </c>
      <c r="AF24" s="198">
        <f>SUMIFS('декабрь 2023'!$G$4:$G$1227,'декабрь 2023'!$D$4:$D$1227,$B24,'декабрь 2023'!$J$4:$J$1227,AF$1)</f>
        <v>0</v>
      </c>
      <c r="AG24" s="198">
        <f>SUMIFS('декабрь 2023'!$G$4:$G$1227,'декабрь 2023'!$D$4:$D$1227,$B24,'декабрь 2023'!$J$4:$J$1227,AG$1)</f>
        <v>0</v>
      </c>
      <c r="AH24" s="198">
        <f>SUMIFS('декабрь 2023'!$G$4:$G$1227,'декабрь 2023'!$D$4:$D$1227,$B24,'декабрь 2023'!$J$4:$J$1227,AH$1)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SUMIFS('декабрь 2023'!$G$4:$G$1227,'декабрь 2023'!$D$4:$D$1227,$B25,'декабрь 2023'!$J$4:$J$1227,D$1)</f>
        <v>0</v>
      </c>
      <c r="E25" s="198">
        <f>SUMIFS('декабрь 2023'!$G$4:$G$1227,'декабрь 2023'!$D$4:$D$1227,$B25,'декабрь 2023'!$J$4:$J$1227,E$1)</f>
        <v>0</v>
      </c>
      <c r="F25" s="198">
        <f>SUMIFS('декабрь 2023'!$G$4:$G$1227,'декабрь 2023'!$D$4:$D$1227,$B25,'декабрь 2023'!$J$4:$J$1227,F$1)</f>
        <v>0</v>
      </c>
      <c r="G25" s="198">
        <f>SUMIFS('декабрь 2023'!$G$4:$G$1227,'декабрь 2023'!$D$4:$D$1227,$B25,'декабрь 2023'!$J$4:$J$1227,G$1)</f>
        <v>0</v>
      </c>
      <c r="H25" s="198">
        <f>SUMIFS('декабрь 2023'!$G$4:$G$1227,'декабрь 2023'!$D$4:$D$1227,$B25,'декабрь 2023'!$J$4:$J$1227,H$1)</f>
        <v>0</v>
      </c>
      <c r="I25" s="198">
        <f>SUMIFS('декабрь 2023'!$G$4:$G$1227,'декабрь 2023'!$D$4:$D$1227,$B25,'декабрь 2023'!$J$4:$J$1227,I$1)</f>
        <v>0</v>
      </c>
      <c r="J25" s="198">
        <f>SUMIFS('декабрь 2023'!$G$4:$G$1227,'декабрь 2023'!$D$4:$D$1227,$B25,'декабрь 2023'!$J$4:$J$1227,J$1)</f>
        <v>0</v>
      </c>
      <c r="K25" s="198">
        <f>SUMIFS('декабрь 2023'!$G$4:$G$1227,'декабрь 2023'!$D$4:$D$1227,$B25,'декабрь 2023'!$J$4:$J$1227,K$1)</f>
        <v>0</v>
      </c>
      <c r="L25" s="198">
        <f>SUMIFS('декабрь 2023'!$G$4:$G$1227,'декабрь 2023'!$D$4:$D$1227,$B25,'декабрь 2023'!$J$4:$J$1227,L$1)</f>
        <v>0</v>
      </c>
      <c r="M25" s="198">
        <f>SUMIFS('декабрь 2023'!$G$4:$G$1227,'декабрь 2023'!$D$4:$D$1227,$B25,'декабрь 2023'!$J$4:$J$1227,M$1)</f>
        <v>0</v>
      </c>
      <c r="N25" s="198">
        <f>SUMIFS('декабрь 2023'!$G$4:$G$1227,'декабрь 2023'!$D$4:$D$1227,$B25,'декабрь 2023'!$J$4:$J$1227,N$1)</f>
        <v>0</v>
      </c>
      <c r="O25" s="198">
        <f>SUMIFS('декабрь 2023'!$G$4:$G$1227,'декабрь 2023'!$D$4:$D$1227,$B25,'декабрь 2023'!$J$4:$J$1227,O$1)</f>
        <v>0</v>
      </c>
      <c r="P25" s="198">
        <f>SUMIFS('декабрь 2023'!$G$4:$G$1227,'декабрь 2023'!$D$4:$D$1227,$B25,'декабрь 2023'!$J$4:$J$1227,P$1)</f>
        <v>0</v>
      </c>
      <c r="Q25" s="198">
        <f>SUMIFS('декабрь 2023'!$G$4:$G$1227,'декабрь 2023'!$D$4:$D$1227,$B25,'декабрь 2023'!$J$4:$J$1227,Q$1)</f>
        <v>0</v>
      </c>
      <c r="R25" s="198">
        <f>SUMIFS('декабрь 2023'!$G$4:$G$1227,'декабрь 2023'!$D$4:$D$1227,$B25,'декабрь 2023'!$J$4:$J$1227,R$1)</f>
        <v>0</v>
      </c>
      <c r="S25" s="198">
        <f>SUMIFS('декабрь 2023'!$G$4:$G$1227,'декабрь 2023'!$D$4:$D$1227,$B25,'декабрь 2023'!$J$4:$J$1227,S$1)</f>
        <v>0</v>
      </c>
      <c r="T25" s="198">
        <f>SUMIFS('декабрь 2023'!$G$4:$G$1227,'декабрь 2023'!$D$4:$D$1227,$B25,'декабрь 2023'!$J$4:$J$1227,T$1)</f>
        <v>0</v>
      </c>
      <c r="U25" s="198">
        <f>SUMIFS('декабрь 2023'!$G$4:$G$1227,'декабрь 2023'!$D$4:$D$1227,$B25,'декабрь 2023'!$J$4:$J$1227,U$1)</f>
        <v>0</v>
      </c>
      <c r="V25" s="198">
        <f>SUMIFS('декабрь 2023'!$G$4:$G$1227,'декабрь 2023'!$D$4:$D$1227,$B25,'декабрь 2023'!$J$4:$J$1227,V$1)</f>
        <v>0</v>
      </c>
      <c r="W25" s="198">
        <f>SUMIFS('декабрь 2023'!$G$4:$G$1227,'декабрь 2023'!$D$4:$D$1227,$B25,'декабрь 2023'!$J$4:$J$1227,W$1)</f>
        <v>0</v>
      </c>
      <c r="X25" s="198">
        <f>SUMIFS('декабрь 2023'!$G$4:$G$1227,'декабрь 2023'!$D$4:$D$1227,$B25,'декабрь 2023'!$J$4:$J$1227,X$1)</f>
        <v>0</v>
      </c>
      <c r="Y25" s="198">
        <f>SUMIFS('декабрь 2023'!$G$4:$G$1227,'декабрь 2023'!$D$4:$D$1227,$B25,'декабрь 2023'!$J$4:$J$1227,Y$1)</f>
        <v>0</v>
      </c>
      <c r="Z25" s="198">
        <f>SUMIFS('декабрь 2023'!$G$4:$G$1227,'декабрь 2023'!$D$4:$D$1227,$B25,'декабрь 2023'!$J$4:$J$1227,Z$1)</f>
        <v>0</v>
      </c>
      <c r="AA25" s="198">
        <f>SUMIFS('декабрь 2023'!$G$4:$G$1227,'декабрь 2023'!$D$4:$D$1227,$B25,'декабрь 2023'!$J$4:$J$1227,AA$1)</f>
        <v>0</v>
      </c>
      <c r="AB25" s="198">
        <f>SUMIFS('декабрь 2023'!$G$4:$G$1227,'декабрь 2023'!$D$4:$D$1227,$B25,'декабрь 2023'!$J$4:$J$1227,AB$1)</f>
        <v>0</v>
      </c>
      <c r="AC25" s="198">
        <f>SUMIFS('декабрь 2023'!$G$4:$G$1227,'декабрь 2023'!$D$4:$D$1227,$B25,'декабрь 2023'!$J$4:$J$1227,AC$1)</f>
        <v>0</v>
      </c>
      <c r="AD25" s="198">
        <f>SUMIFS('декабрь 2023'!$G$4:$G$1227,'декабрь 2023'!$D$4:$D$1227,$B25,'декабрь 2023'!$J$4:$J$1227,AD$1)</f>
        <v>0</v>
      </c>
      <c r="AE25" s="198">
        <f>SUMIFS('декабрь 2023'!$G$4:$G$1227,'декабрь 2023'!$D$4:$D$1227,$B25,'декабрь 2023'!$J$4:$J$1227,AE$1)</f>
        <v>0</v>
      </c>
      <c r="AF25" s="198">
        <f>SUMIFS('декабрь 2023'!$G$4:$G$1227,'декабрь 2023'!$D$4:$D$1227,$B25,'декабрь 2023'!$J$4:$J$1227,AF$1)</f>
        <v>0</v>
      </c>
      <c r="AG25" s="198">
        <f>SUMIFS('декабрь 2023'!$G$4:$G$1227,'декабрь 2023'!$D$4:$D$1227,$B25,'декабрь 2023'!$J$4:$J$1227,AG$1)</f>
        <v>0</v>
      </c>
      <c r="AH25" s="198">
        <f>SUMIFS('декабрь 2023'!$G$4:$G$1227,'декабрь 2023'!$D$4:$D$1227,$B25,'декабрь 2023'!$J$4:$J$1227,AH$1)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SUMIFS('декабрь 2023'!$G$4:$G$1227,'декабрь 2023'!$D$4:$D$1227,$B26,'декабрь 2023'!$J$4:$J$1227,D$1)</f>
        <v>0</v>
      </c>
      <c r="E26" s="198">
        <f>SUMIFS('декабрь 2023'!$G$4:$G$1227,'декабрь 2023'!$D$4:$D$1227,$B26,'декабрь 2023'!$J$4:$J$1227,E$1)</f>
        <v>0</v>
      </c>
      <c r="F26" s="198">
        <f>SUMIFS('декабрь 2023'!$G$4:$G$1227,'декабрь 2023'!$D$4:$D$1227,$B26,'декабрь 2023'!$J$4:$J$1227,F$1)</f>
        <v>0</v>
      </c>
      <c r="G26" s="198">
        <f>SUMIFS('декабрь 2023'!$G$4:$G$1227,'декабрь 2023'!$D$4:$D$1227,$B26,'декабрь 2023'!$J$4:$J$1227,G$1)</f>
        <v>0</v>
      </c>
      <c r="H26" s="198">
        <f>SUMIFS('декабрь 2023'!$G$4:$G$1227,'декабрь 2023'!$D$4:$D$1227,$B26,'декабрь 2023'!$J$4:$J$1227,H$1)</f>
        <v>0</v>
      </c>
      <c r="I26" s="198">
        <f>SUMIFS('декабрь 2023'!$G$4:$G$1227,'декабрь 2023'!$D$4:$D$1227,$B26,'декабрь 2023'!$J$4:$J$1227,I$1)</f>
        <v>0</v>
      </c>
      <c r="J26" s="198">
        <f>SUMIFS('декабрь 2023'!$G$4:$G$1227,'декабрь 2023'!$D$4:$D$1227,$B26,'декабрь 2023'!$J$4:$J$1227,J$1)</f>
        <v>0</v>
      </c>
      <c r="K26" s="198">
        <f>SUMIFS('декабрь 2023'!$G$4:$G$1227,'декабрь 2023'!$D$4:$D$1227,$B26,'декабрь 2023'!$J$4:$J$1227,K$1)</f>
        <v>0</v>
      </c>
      <c r="L26" s="198">
        <f>SUMIFS('декабрь 2023'!$G$4:$G$1227,'декабрь 2023'!$D$4:$D$1227,$B26,'декабрь 2023'!$J$4:$J$1227,L$1)</f>
        <v>0</v>
      </c>
      <c r="M26" s="198">
        <f>SUMIFS('декабрь 2023'!$G$4:$G$1227,'декабрь 2023'!$D$4:$D$1227,$B26,'декабрь 2023'!$J$4:$J$1227,M$1)</f>
        <v>0</v>
      </c>
      <c r="N26" s="198">
        <f>SUMIFS('декабрь 2023'!$G$4:$G$1227,'декабрь 2023'!$D$4:$D$1227,$B26,'декабрь 2023'!$J$4:$J$1227,N$1)</f>
        <v>0</v>
      </c>
      <c r="O26" s="198">
        <f>SUMIFS('декабрь 2023'!$G$4:$G$1227,'декабрь 2023'!$D$4:$D$1227,$B26,'декабрь 2023'!$J$4:$J$1227,O$1)</f>
        <v>0</v>
      </c>
      <c r="P26" s="198">
        <f>SUMIFS('декабрь 2023'!$G$4:$G$1227,'декабрь 2023'!$D$4:$D$1227,$B26,'декабрь 2023'!$J$4:$J$1227,P$1)</f>
        <v>0</v>
      </c>
      <c r="Q26" s="198">
        <f>SUMIFS('декабрь 2023'!$G$4:$G$1227,'декабрь 2023'!$D$4:$D$1227,$B26,'декабрь 2023'!$J$4:$J$1227,Q$1)</f>
        <v>0</v>
      </c>
      <c r="R26" s="198">
        <f>SUMIFS('декабрь 2023'!$G$4:$G$1227,'декабрь 2023'!$D$4:$D$1227,$B26,'декабрь 2023'!$J$4:$J$1227,R$1)</f>
        <v>0</v>
      </c>
      <c r="S26" s="198">
        <f>SUMIFS('декабрь 2023'!$G$4:$G$1227,'декабрь 2023'!$D$4:$D$1227,$B26,'декабрь 2023'!$J$4:$J$1227,S$1)</f>
        <v>0</v>
      </c>
      <c r="T26" s="198">
        <f>SUMIFS('декабрь 2023'!$G$4:$G$1227,'декабрь 2023'!$D$4:$D$1227,$B26,'декабрь 2023'!$J$4:$J$1227,T$1)</f>
        <v>0</v>
      </c>
      <c r="U26" s="198">
        <f>SUMIFS('декабрь 2023'!$G$4:$G$1227,'декабрь 2023'!$D$4:$D$1227,$B26,'декабрь 2023'!$J$4:$J$1227,U$1)</f>
        <v>0</v>
      </c>
      <c r="V26" s="198">
        <f>SUMIFS('декабрь 2023'!$G$4:$G$1227,'декабрь 2023'!$D$4:$D$1227,$B26,'декабрь 2023'!$J$4:$J$1227,V$1)</f>
        <v>0</v>
      </c>
      <c r="W26" s="198">
        <f>SUMIFS('декабрь 2023'!$G$4:$G$1227,'декабрь 2023'!$D$4:$D$1227,$B26,'декабрь 2023'!$J$4:$J$1227,W$1)</f>
        <v>0</v>
      </c>
      <c r="X26" s="198">
        <f>SUMIFS('декабрь 2023'!$G$4:$G$1227,'декабрь 2023'!$D$4:$D$1227,$B26,'декабрь 2023'!$J$4:$J$1227,X$1)</f>
        <v>0</v>
      </c>
      <c r="Y26" s="198">
        <f>SUMIFS('декабрь 2023'!$G$4:$G$1227,'декабрь 2023'!$D$4:$D$1227,$B26,'декабрь 2023'!$J$4:$J$1227,Y$1)</f>
        <v>0</v>
      </c>
      <c r="Z26" s="198">
        <f>SUMIFS('декабрь 2023'!$G$4:$G$1227,'декабрь 2023'!$D$4:$D$1227,$B26,'декабрь 2023'!$J$4:$J$1227,Z$1)</f>
        <v>0</v>
      </c>
      <c r="AA26" s="198">
        <f>SUMIFS('декабрь 2023'!$G$4:$G$1227,'декабрь 2023'!$D$4:$D$1227,$B26,'декабрь 2023'!$J$4:$J$1227,AA$1)</f>
        <v>0</v>
      </c>
      <c r="AB26" s="198">
        <f>SUMIFS('декабрь 2023'!$G$4:$G$1227,'декабрь 2023'!$D$4:$D$1227,$B26,'декабрь 2023'!$J$4:$J$1227,AB$1)</f>
        <v>0</v>
      </c>
      <c r="AC26" s="198">
        <f>SUMIFS('декабрь 2023'!$G$4:$G$1227,'декабрь 2023'!$D$4:$D$1227,$B26,'декабрь 2023'!$J$4:$J$1227,AC$1)</f>
        <v>0</v>
      </c>
      <c r="AD26" s="198">
        <f>SUMIFS('декабрь 2023'!$G$4:$G$1227,'декабрь 2023'!$D$4:$D$1227,$B26,'декабрь 2023'!$J$4:$J$1227,AD$1)</f>
        <v>0</v>
      </c>
      <c r="AE26" s="198">
        <f>SUMIFS('декабрь 2023'!$G$4:$G$1227,'декабрь 2023'!$D$4:$D$1227,$B26,'декабрь 2023'!$J$4:$J$1227,AE$1)</f>
        <v>0</v>
      </c>
      <c r="AF26" s="198">
        <f>SUMIFS('декабрь 2023'!$G$4:$G$1227,'декабрь 2023'!$D$4:$D$1227,$B26,'декабрь 2023'!$J$4:$J$1227,AF$1)</f>
        <v>0</v>
      </c>
      <c r="AG26" s="198">
        <f>SUMIFS('декабрь 2023'!$G$4:$G$1227,'декабрь 2023'!$D$4:$D$1227,$B26,'декабрь 2023'!$J$4:$J$1227,AG$1)</f>
        <v>0</v>
      </c>
      <c r="AH26" s="198">
        <f>SUMIFS('декабрь 2023'!$G$4:$G$1227,'декабрь 2023'!$D$4:$D$1227,$B26,'декабрь 2023'!$J$4:$J$1227,AH$1)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SUMIFS('декабрь 2023'!$G$4:$G$1227,'декабрь 2023'!$D$4:$D$1227,$B27,'декабрь 2023'!$J$4:$J$1227,D$1)</f>
        <v>0</v>
      </c>
      <c r="E27" s="198">
        <f>SUMIFS('декабрь 2023'!$G$4:$G$1227,'декабрь 2023'!$D$4:$D$1227,$B27,'декабрь 2023'!$J$4:$J$1227,E$1)</f>
        <v>0</v>
      </c>
      <c r="F27" s="198">
        <f>SUMIFS('декабрь 2023'!$G$4:$G$1227,'декабрь 2023'!$D$4:$D$1227,$B27,'декабрь 2023'!$J$4:$J$1227,F$1)</f>
        <v>0</v>
      </c>
      <c r="G27" s="198">
        <f>SUMIFS('декабрь 2023'!$G$4:$G$1227,'декабрь 2023'!$D$4:$D$1227,$B27,'декабрь 2023'!$J$4:$J$1227,G$1)</f>
        <v>0</v>
      </c>
      <c r="H27" s="198">
        <f>SUMIFS('декабрь 2023'!$G$4:$G$1227,'декабрь 2023'!$D$4:$D$1227,$B27,'декабрь 2023'!$J$4:$J$1227,H$1)</f>
        <v>0</v>
      </c>
      <c r="I27" s="198">
        <f>SUMIFS('декабрь 2023'!$G$4:$G$1227,'декабрь 2023'!$D$4:$D$1227,$B27,'декабрь 2023'!$J$4:$J$1227,I$1)</f>
        <v>0</v>
      </c>
      <c r="J27" s="198">
        <f>SUMIFS('декабрь 2023'!$G$4:$G$1227,'декабрь 2023'!$D$4:$D$1227,$B27,'декабрь 2023'!$J$4:$J$1227,J$1)</f>
        <v>0</v>
      </c>
      <c r="K27" s="198">
        <f>SUMIFS('декабрь 2023'!$G$4:$G$1227,'декабрь 2023'!$D$4:$D$1227,$B27,'декабрь 2023'!$J$4:$J$1227,K$1)</f>
        <v>0</v>
      </c>
      <c r="L27" s="198">
        <f>SUMIFS('декабрь 2023'!$G$4:$G$1227,'декабрь 2023'!$D$4:$D$1227,$B27,'декабрь 2023'!$J$4:$J$1227,L$1)</f>
        <v>0</v>
      </c>
      <c r="M27" s="198">
        <f>SUMIFS('декабрь 2023'!$G$4:$G$1227,'декабрь 2023'!$D$4:$D$1227,$B27,'декабрь 2023'!$J$4:$J$1227,M$1)</f>
        <v>0</v>
      </c>
      <c r="N27" s="198">
        <f>SUMIFS('декабрь 2023'!$G$4:$G$1227,'декабрь 2023'!$D$4:$D$1227,$B27,'декабрь 2023'!$J$4:$J$1227,N$1)</f>
        <v>0</v>
      </c>
      <c r="O27" s="198">
        <f>SUMIFS('декабрь 2023'!$G$4:$G$1227,'декабрь 2023'!$D$4:$D$1227,$B27,'декабрь 2023'!$J$4:$J$1227,O$1)</f>
        <v>0</v>
      </c>
      <c r="P27" s="198">
        <f>SUMIFS('декабрь 2023'!$G$4:$G$1227,'декабрь 2023'!$D$4:$D$1227,$B27,'декабрь 2023'!$J$4:$J$1227,P$1)</f>
        <v>0</v>
      </c>
      <c r="Q27" s="198">
        <f>SUMIFS('декабрь 2023'!$G$4:$G$1227,'декабрь 2023'!$D$4:$D$1227,$B27,'декабрь 2023'!$J$4:$J$1227,Q$1)</f>
        <v>0</v>
      </c>
      <c r="R27" s="198">
        <f>SUMIFS('декабрь 2023'!$G$4:$G$1227,'декабрь 2023'!$D$4:$D$1227,$B27,'декабрь 2023'!$J$4:$J$1227,R$1)</f>
        <v>0</v>
      </c>
      <c r="S27" s="198">
        <f>SUMIFS('декабрь 2023'!$G$4:$G$1227,'декабрь 2023'!$D$4:$D$1227,$B27,'декабрь 2023'!$J$4:$J$1227,S$1)</f>
        <v>0</v>
      </c>
      <c r="T27" s="198">
        <f>SUMIFS('декабрь 2023'!$G$4:$G$1227,'декабрь 2023'!$D$4:$D$1227,$B27,'декабрь 2023'!$J$4:$J$1227,T$1)</f>
        <v>0</v>
      </c>
      <c r="U27" s="198">
        <f>SUMIFS('декабрь 2023'!$G$4:$G$1227,'декабрь 2023'!$D$4:$D$1227,$B27,'декабрь 2023'!$J$4:$J$1227,U$1)</f>
        <v>0</v>
      </c>
      <c r="V27" s="198">
        <f>SUMIFS('декабрь 2023'!$G$4:$G$1227,'декабрь 2023'!$D$4:$D$1227,$B27,'декабрь 2023'!$J$4:$J$1227,V$1)</f>
        <v>0</v>
      </c>
      <c r="W27" s="198">
        <f>SUMIFS('декабрь 2023'!$G$4:$G$1227,'декабрь 2023'!$D$4:$D$1227,$B27,'декабрь 2023'!$J$4:$J$1227,W$1)</f>
        <v>0</v>
      </c>
      <c r="X27" s="198">
        <f>SUMIFS('декабрь 2023'!$G$4:$G$1227,'декабрь 2023'!$D$4:$D$1227,$B27,'декабрь 2023'!$J$4:$J$1227,X$1)</f>
        <v>0</v>
      </c>
      <c r="Y27" s="198">
        <f>SUMIFS('декабрь 2023'!$G$4:$G$1227,'декабрь 2023'!$D$4:$D$1227,$B27,'декабрь 2023'!$J$4:$J$1227,Y$1)</f>
        <v>0</v>
      </c>
      <c r="Z27" s="198">
        <f>SUMIFS('декабрь 2023'!$G$4:$G$1227,'декабрь 2023'!$D$4:$D$1227,$B27,'декабрь 2023'!$J$4:$J$1227,Z$1)</f>
        <v>0</v>
      </c>
      <c r="AA27" s="198">
        <f>SUMIFS('декабрь 2023'!$G$4:$G$1227,'декабрь 2023'!$D$4:$D$1227,$B27,'декабрь 2023'!$J$4:$J$1227,AA$1)</f>
        <v>0</v>
      </c>
      <c r="AB27" s="198">
        <f>SUMIFS('декабрь 2023'!$G$4:$G$1227,'декабрь 2023'!$D$4:$D$1227,$B27,'декабрь 2023'!$J$4:$J$1227,AB$1)</f>
        <v>0</v>
      </c>
      <c r="AC27" s="198">
        <f>SUMIFS('декабрь 2023'!$G$4:$G$1227,'декабрь 2023'!$D$4:$D$1227,$B27,'декабрь 2023'!$J$4:$J$1227,AC$1)</f>
        <v>0</v>
      </c>
      <c r="AD27" s="198">
        <f>SUMIFS('декабрь 2023'!$G$4:$G$1227,'декабрь 2023'!$D$4:$D$1227,$B27,'декабрь 2023'!$J$4:$J$1227,AD$1)</f>
        <v>0</v>
      </c>
      <c r="AE27" s="198">
        <f>SUMIFS('декабрь 2023'!$G$4:$G$1227,'декабрь 2023'!$D$4:$D$1227,$B27,'декабрь 2023'!$J$4:$J$1227,AE$1)</f>
        <v>0</v>
      </c>
      <c r="AF27" s="198">
        <f>SUMIFS('декабрь 2023'!$G$4:$G$1227,'декабрь 2023'!$D$4:$D$1227,$B27,'декабрь 2023'!$J$4:$J$1227,AF$1)</f>
        <v>0</v>
      </c>
      <c r="AG27" s="198">
        <f>SUMIFS('декабрь 2023'!$G$4:$G$1227,'декабрь 2023'!$D$4:$D$1227,$B27,'декабрь 2023'!$J$4:$J$1227,AG$1)</f>
        <v>0</v>
      </c>
      <c r="AH27" s="198">
        <f>SUMIFS('декабрь 2023'!$G$4:$G$1227,'декабрь 2023'!$D$4:$D$1227,$B27,'декабрь 2023'!$J$4:$J$1227,AH$1)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SUMIFS('декабрь 2023'!$G$4:$G$1227,'декабрь 2023'!$D$4:$D$1227,$B28,'декабрь 2023'!$J$4:$J$1227,D$1)</f>
        <v>0</v>
      </c>
      <c r="E28" s="198">
        <f>SUMIFS('декабрь 2023'!$G$4:$G$1227,'декабрь 2023'!$D$4:$D$1227,$B28,'декабрь 2023'!$J$4:$J$1227,E$1)</f>
        <v>0</v>
      </c>
      <c r="F28" s="198">
        <f>SUMIFS('декабрь 2023'!$G$4:$G$1227,'декабрь 2023'!$D$4:$D$1227,$B28,'декабрь 2023'!$J$4:$J$1227,F$1)</f>
        <v>0</v>
      </c>
      <c r="G28" s="198">
        <f>SUMIFS('декабрь 2023'!$G$4:$G$1227,'декабрь 2023'!$D$4:$D$1227,$B28,'декабрь 2023'!$J$4:$J$1227,G$1)</f>
        <v>0</v>
      </c>
      <c r="H28" s="198">
        <f>SUMIFS('декабрь 2023'!$G$4:$G$1227,'декабрь 2023'!$D$4:$D$1227,$B28,'декабрь 2023'!$J$4:$J$1227,H$1)</f>
        <v>0</v>
      </c>
      <c r="I28" s="198">
        <f>SUMIFS('декабрь 2023'!$G$4:$G$1227,'декабрь 2023'!$D$4:$D$1227,$B28,'декабрь 2023'!$J$4:$J$1227,I$1)</f>
        <v>0</v>
      </c>
      <c r="J28" s="198">
        <f>SUMIFS('декабрь 2023'!$G$4:$G$1227,'декабрь 2023'!$D$4:$D$1227,$B28,'декабрь 2023'!$J$4:$J$1227,J$1)</f>
        <v>0</v>
      </c>
      <c r="K28" s="198">
        <f>SUMIFS('декабрь 2023'!$G$4:$G$1227,'декабрь 2023'!$D$4:$D$1227,$B28,'декабрь 2023'!$J$4:$J$1227,K$1)</f>
        <v>0</v>
      </c>
      <c r="L28" s="198">
        <f>SUMIFS('декабрь 2023'!$G$4:$G$1227,'декабрь 2023'!$D$4:$D$1227,$B28,'декабрь 2023'!$J$4:$J$1227,L$1)</f>
        <v>0</v>
      </c>
      <c r="M28" s="198">
        <f>SUMIFS('декабрь 2023'!$G$4:$G$1227,'декабрь 2023'!$D$4:$D$1227,$B28,'декабрь 2023'!$J$4:$J$1227,M$1)</f>
        <v>0</v>
      </c>
      <c r="N28" s="198">
        <f>SUMIFS('декабрь 2023'!$G$4:$G$1227,'декабрь 2023'!$D$4:$D$1227,$B28,'декабрь 2023'!$J$4:$J$1227,N$1)</f>
        <v>0</v>
      </c>
      <c r="O28" s="198">
        <f>SUMIFS('декабрь 2023'!$G$4:$G$1227,'декабрь 2023'!$D$4:$D$1227,$B28,'декабрь 2023'!$J$4:$J$1227,O$1)</f>
        <v>0</v>
      </c>
      <c r="P28" s="198">
        <f>SUMIFS('декабрь 2023'!$G$4:$G$1227,'декабрь 2023'!$D$4:$D$1227,$B28,'декабрь 2023'!$J$4:$J$1227,P$1)</f>
        <v>0</v>
      </c>
      <c r="Q28" s="198">
        <f>SUMIFS('декабрь 2023'!$G$4:$G$1227,'декабрь 2023'!$D$4:$D$1227,$B28,'декабрь 2023'!$J$4:$J$1227,Q$1)</f>
        <v>0</v>
      </c>
      <c r="R28" s="198">
        <f>SUMIFS('декабрь 2023'!$G$4:$G$1227,'декабрь 2023'!$D$4:$D$1227,$B28,'декабрь 2023'!$J$4:$J$1227,R$1)</f>
        <v>0</v>
      </c>
      <c r="S28" s="198">
        <f>SUMIFS('декабрь 2023'!$G$4:$G$1227,'декабрь 2023'!$D$4:$D$1227,$B28,'декабрь 2023'!$J$4:$J$1227,S$1)</f>
        <v>0</v>
      </c>
      <c r="T28" s="198">
        <f>SUMIFS('декабрь 2023'!$G$4:$G$1227,'декабрь 2023'!$D$4:$D$1227,$B28,'декабрь 2023'!$J$4:$J$1227,T$1)</f>
        <v>0</v>
      </c>
      <c r="U28" s="198">
        <f>SUMIFS('декабрь 2023'!$G$4:$G$1227,'декабрь 2023'!$D$4:$D$1227,$B28,'декабрь 2023'!$J$4:$J$1227,U$1)</f>
        <v>0</v>
      </c>
      <c r="V28" s="198">
        <f>SUMIFS('декабрь 2023'!$G$4:$G$1227,'декабрь 2023'!$D$4:$D$1227,$B28,'декабрь 2023'!$J$4:$J$1227,V$1)</f>
        <v>0</v>
      </c>
      <c r="W28" s="198">
        <f>SUMIFS('декабрь 2023'!$G$4:$G$1227,'декабрь 2023'!$D$4:$D$1227,$B28,'декабрь 2023'!$J$4:$J$1227,W$1)</f>
        <v>0</v>
      </c>
      <c r="X28" s="198">
        <f>SUMIFS('декабрь 2023'!$G$4:$G$1227,'декабрь 2023'!$D$4:$D$1227,$B28,'декабрь 2023'!$J$4:$J$1227,X$1)</f>
        <v>0</v>
      </c>
      <c r="Y28" s="198">
        <f>SUMIFS('декабрь 2023'!$G$4:$G$1227,'декабрь 2023'!$D$4:$D$1227,$B28,'декабрь 2023'!$J$4:$J$1227,Y$1)</f>
        <v>0</v>
      </c>
      <c r="Z28" s="198">
        <f>SUMIFS('декабрь 2023'!$G$4:$G$1227,'декабрь 2023'!$D$4:$D$1227,$B28,'декабрь 2023'!$J$4:$J$1227,Z$1)</f>
        <v>0</v>
      </c>
      <c r="AA28" s="198">
        <f>SUMIFS('декабрь 2023'!$G$4:$G$1227,'декабрь 2023'!$D$4:$D$1227,$B28,'декабрь 2023'!$J$4:$J$1227,AA$1)</f>
        <v>0</v>
      </c>
      <c r="AB28" s="198">
        <f>SUMIFS('декабрь 2023'!$G$4:$G$1227,'декабрь 2023'!$D$4:$D$1227,$B28,'декабрь 2023'!$J$4:$J$1227,AB$1)</f>
        <v>0</v>
      </c>
      <c r="AC28" s="198">
        <f>SUMIFS('декабрь 2023'!$G$4:$G$1227,'декабрь 2023'!$D$4:$D$1227,$B28,'декабрь 2023'!$J$4:$J$1227,AC$1)</f>
        <v>0</v>
      </c>
      <c r="AD28" s="198">
        <f>SUMIFS('декабрь 2023'!$G$4:$G$1227,'декабрь 2023'!$D$4:$D$1227,$B28,'декабрь 2023'!$J$4:$J$1227,AD$1)</f>
        <v>0</v>
      </c>
      <c r="AE28" s="198">
        <f>SUMIFS('декабрь 2023'!$G$4:$G$1227,'декабрь 2023'!$D$4:$D$1227,$B28,'декабрь 2023'!$J$4:$J$1227,AE$1)</f>
        <v>0</v>
      </c>
      <c r="AF28" s="198">
        <f>SUMIFS('декабрь 2023'!$G$4:$G$1227,'декабрь 2023'!$D$4:$D$1227,$B28,'декабрь 2023'!$J$4:$J$1227,AF$1)</f>
        <v>0</v>
      </c>
      <c r="AG28" s="198">
        <f>SUMIFS('декабрь 2023'!$G$4:$G$1227,'декабрь 2023'!$D$4:$D$1227,$B28,'декабрь 2023'!$J$4:$J$1227,AG$1)</f>
        <v>0</v>
      </c>
      <c r="AH28" s="198">
        <f>SUMIFS('декабрь 2023'!$G$4:$G$1227,'декабрь 2023'!$D$4:$D$1227,$B28,'декабрь 2023'!$J$4:$J$1227,AH$1)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SUMIFS('декабрь 2023'!$G$4:$G$1227,'декабрь 2023'!$D$4:$D$1227,$B29,'декабрь 2023'!$J$4:$J$1227,D$1)</f>
        <v>0</v>
      </c>
      <c r="E29" s="198">
        <f>SUMIFS('декабрь 2023'!$G$4:$G$1227,'декабрь 2023'!$D$4:$D$1227,$B29,'декабрь 2023'!$J$4:$J$1227,E$1)</f>
        <v>0</v>
      </c>
      <c r="F29" s="198">
        <f>SUMIFS('декабрь 2023'!$G$4:$G$1227,'декабрь 2023'!$D$4:$D$1227,$B29,'декабрь 2023'!$J$4:$J$1227,F$1)</f>
        <v>0</v>
      </c>
      <c r="G29" s="198">
        <f>SUMIFS('декабрь 2023'!$G$4:$G$1227,'декабрь 2023'!$D$4:$D$1227,$B29,'декабрь 2023'!$J$4:$J$1227,G$1)</f>
        <v>0</v>
      </c>
      <c r="H29" s="198">
        <f>SUMIFS('декабрь 2023'!$G$4:$G$1227,'декабрь 2023'!$D$4:$D$1227,$B29,'декабрь 2023'!$J$4:$J$1227,H$1)</f>
        <v>0</v>
      </c>
      <c r="I29" s="198">
        <f>SUMIFS('декабрь 2023'!$G$4:$G$1227,'декабрь 2023'!$D$4:$D$1227,$B29,'декабрь 2023'!$J$4:$J$1227,I$1)</f>
        <v>0</v>
      </c>
      <c r="J29" s="198">
        <f>SUMIFS('декабрь 2023'!$G$4:$G$1227,'декабрь 2023'!$D$4:$D$1227,$B29,'декабрь 2023'!$J$4:$J$1227,J$1)</f>
        <v>0</v>
      </c>
      <c r="K29" s="198">
        <f>SUMIFS('декабрь 2023'!$G$4:$G$1227,'декабрь 2023'!$D$4:$D$1227,$B29,'декабрь 2023'!$J$4:$J$1227,K$1)</f>
        <v>0</v>
      </c>
      <c r="L29" s="198">
        <f>SUMIFS('декабрь 2023'!$G$4:$G$1227,'декабрь 2023'!$D$4:$D$1227,$B29,'декабрь 2023'!$J$4:$J$1227,L$1)</f>
        <v>0</v>
      </c>
      <c r="M29" s="198">
        <f>SUMIFS('декабрь 2023'!$G$4:$G$1227,'декабрь 2023'!$D$4:$D$1227,$B29,'декабрь 2023'!$J$4:$J$1227,M$1)</f>
        <v>0</v>
      </c>
      <c r="N29" s="198">
        <f>SUMIFS('декабрь 2023'!$G$4:$G$1227,'декабрь 2023'!$D$4:$D$1227,$B29,'декабрь 2023'!$J$4:$J$1227,N$1)</f>
        <v>0</v>
      </c>
      <c r="O29" s="198">
        <f>SUMIFS('декабрь 2023'!$G$4:$G$1227,'декабрь 2023'!$D$4:$D$1227,$B29,'декабрь 2023'!$J$4:$J$1227,O$1)</f>
        <v>0</v>
      </c>
      <c r="P29" s="198">
        <f>SUMIFS('декабрь 2023'!$G$4:$G$1227,'декабрь 2023'!$D$4:$D$1227,$B29,'декабрь 2023'!$J$4:$J$1227,P$1)</f>
        <v>0</v>
      </c>
      <c r="Q29" s="198">
        <f>SUMIFS('декабрь 2023'!$G$4:$G$1227,'декабрь 2023'!$D$4:$D$1227,$B29,'декабрь 2023'!$J$4:$J$1227,Q$1)</f>
        <v>0</v>
      </c>
      <c r="R29" s="198">
        <f>SUMIFS('декабрь 2023'!$G$4:$G$1227,'декабрь 2023'!$D$4:$D$1227,$B29,'декабрь 2023'!$J$4:$J$1227,R$1)</f>
        <v>0</v>
      </c>
      <c r="S29" s="198">
        <f>SUMIFS('декабрь 2023'!$G$4:$G$1227,'декабрь 2023'!$D$4:$D$1227,$B29,'декабрь 2023'!$J$4:$J$1227,S$1)</f>
        <v>0</v>
      </c>
      <c r="T29" s="198">
        <f>SUMIFS('декабрь 2023'!$G$4:$G$1227,'декабрь 2023'!$D$4:$D$1227,$B29,'декабрь 2023'!$J$4:$J$1227,T$1)</f>
        <v>0</v>
      </c>
      <c r="U29" s="198">
        <f>SUMIFS('декабрь 2023'!$G$4:$G$1227,'декабрь 2023'!$D$4:$D$1227,$B29,'декабрь 2023'!$J$4:$J$1227,U$1)</f>
        <v>0</v>
      </c>
      <c r="V29" s="198">
        <f>SUMIFS('декабрь 2023'!$G$4:$G$1227,'декабрь 2023'!$D$4:$D$1227,$B29,'декабрь 2023'!$J$4:$J$1227,V$1)</f>
        <v>0</v>
      </c>
      <c r="W29" s="198">
        <f>SUMIFS('декабрь 2023'!$G$4:$G$1227,'декабрь 2023'!$D$4:$D$1227,$B29,'декабрь 2023'!$J$4:$J$1227,W$1)</f>
        <v>0</v>
      </c>
      <c r="X29" s="198">
        <f>SUMIFS('декабрь 2023'!$G$4:$G$1227,'декабрь 2023'!$D$4:$D$1227,$B29,'декабрь 2023'!$J$4:$J$1227,X$1)</f>
        <v>0</v>
      </c>
      <c r="Y29" s="198">
        <f>SUMIFS('декабрь 2023'!$G$4:$G$1227,'декабрь 2023'!$D$4:$D$1227,$B29,'декабрь 2023'!$J$4:$J$1227,Y$1)</f>
        <v>0</v>
      </c>
      <c r="Z29" s="198">
        <f>SUMIFS('декабрь 2023'!$G$4:$G$1227,'декабрь 2023'!$D$4:$D$1227,$B29,'декабрь 2023'!$J$4:$J$1227,Z$1)</f>
        <v>0</v>
      </c>
      <c r="AA29" s="198">
        <f>SUMIFS('декабрь 2023'!$G$4:$G$1227,'декабрь 2023'!$D$4:$D$1227,$B29,'декабрь 2023'!$J$4:$J$1227,AA$1)</f>
        <v>0</v>
      </c>
      <c r="AB29" s="198">
        <f>SUMIFS('декабрь 2023'!$G$4:$G$1227,'декабрь 2023'!$D$4:$D$1227,$B29,'декабрь 2023'!$J$4:$J$1227,AB$1)</f>
        <v>0</v>
      </c>
      <c r="AC29" s="198">
        <f>SUMIFS('декабрь 2023'!$G$4:$G$1227,'декабрь 2023'!$D$4:$D$1227,$B29,'декабрь 2023'!$J$4:$J$1227,AC$1)</f>
        <v>0</v>
      </c>
      <c r="AD29" s="198">
        <f>SUMIFS('декабрь 2023'!$G$4:$G$1227,'декабрь 2023'!$D$4:$D$1227,$B29,'декабрь 2023'!$J$4:$J$1227,AD$1)</f>
        <v>0</v>
      </c>
      <c r="AE29" s="198">
        <f>SUMIFS('декабрь 2023'!$G$4:$G$1227,'декабрь 2023'!$D$4:$D$1227,$B29,'декабрь 2023'!$J$4:$J$1227,AE$1)</f>
        <v>0</v>
      </c>
      <c r="AF29" s="198">
        <f>SUMIFS('декабрь 2023'!$G$4:$G$1227,'декабрь 2023'!$D$4:$D$1227,$B29,'декабрь 2023'!$J$4:$J$1227,AF$1)</f>
        <v>0</v>
      </c>
      <c r="AG29" s="198">
        <f>SUMIFS('декабрь 2023'!$G$4:$G$1227,'декабрь 2023'!$D$4:$D$1227,$B29,'декабрь 2023'!$J$4:$J$1227,AG$1)</f>
        <v>0</v>
      </c>
      <c r="AH29" s="198">
        <f>SUMIFS('декабрь 2023'!$G$4:$G$1227,'декабрь 2023'!$D$4:$D$1227,$B29,'декабрь 2023'!$J$4:$J$1227,AH$1)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SUMIFS('декабрь 2023'!$G$4:$G$1227,'декабрь 2023'!$D$4:$D$1227,$B30,'декабрь 2023'!$J$4:$J$1227,D$1)</f>
        <v>0</v>
      </c>
      <c r="E30" s="198">
        <f>SUMIFS('декабрь 2023'!$G$4:$G$1227,'декабрь 2023'!$D$4:$D$1227,$B30,'декабрь 2023'!$J$4:$J$1227,E$1)</f>
        <v>0</v>
      </c>
      <c r="F30" s="198">
        <f>SUMIFS('декабрь 2023'!$G$4:$G$1227,'декабрь 2023'!$D$4:$D$1227,$B30,'декабрь 2023'!$J$4:$J$1227,F$1)</f>
        <v>0</v>
      </c>
      <c r="G30" s="198">
        <f>SUMIFS('декабрь 2023'!$G$4:$G$1227,'декабрь 2023'!$D$4:$D$1227,$B30,'декабрь 2023'!$J$4:$J$1227,G$1)</f>
        <v>0</v>
      </c>
      <c r="H30" s="198">
        <f>SUMIFS('декабрь 2023'!$G$4:$G$1227,'декабрь 2023'!$D$4:$D$1227,$B30,'декабрь 2023'!$J$4:$J$1227,H$1)</f>
        <v>0</v>
      </c>
      <c r="I30" s="198">
        <f>SUMIFS('декабрь 2023'!$G$4:$G$1227,'декабрь 2023'!$D$4:$D$1227,$B30,'декабрь 2023'!$J$4:$J$1227,I$1)</f>
        <v>0</v>
      </c>
      <c r="J30" s="198">
        <f>SUMIFS('декабрь 2023'!$G$4:$G$1227,'декабрь 2023'!$D$4:$D$1227,$B30,'декабрь 2023'!$J$4:$J$1227,J$1)</f>
        <v>0</v>
      </c>
      <c r="K30" s="198">
        <f>SUMIFS('декабрь 2023'!$G$4:$G$1227,'декабрь 2023'!$D$4:$D$1227,$B30,'декабрь 2023'!$J$4:$J$1227,K$1)</f>
        <v>0</v>
      </c>
      <c r="L30" s="198">
        <f>SUMIFS('декабрь 2023'!$G$4:$G$1227,'декабрь 2023'!$D$4:$D$1227,$B30,'декабрь 2023'!$J$4:$J$1227,L$1)</f>
        <v>0</v>
      </c>
      <c r="M30" s="198">
        <f>SUMIFS('декабрь 2023'!$G$4:$G$1227,'декабрь 2023'!$D$4:$D$1227,$B30,'декабрь 2023'!$J$4:$J$1227,M$1)</f>
        <v>0</v>
      </c>
      <c r="N30" s="198">
        <f>SUMIFS('декабрь 2023'!$G$4:$G$1227,'декабрь 2023'!$D$4:$D$1227,$B30,'декабрь 2023'!$J$4:$J$1227,N$1)</f>
        <v>0</v>
      </c>
      <c r="O30" s="198">
        <f>SUMIFS('декабрь 2023'!$G$4:$G$1227,'декабрь 2023'!$D$4:$D$1227,$B30,'декабрь 2023'!$J$4:$J$1227,O$1)</f>
        <v>0</v>
      </c>
      <c r="P30" s="198">
        <f>SUMIFS('декабрь 2023'!$G$4:$G$1227,'декабрь 2023'!$D$4:$D$1227,$B30,'декабрь 2023'!$J$4:$J$1227,P$1)</f>
        <v>0</v>
      </c>
      <c r="Q30" s="198">
        <f>SUMIFS('декабрь 2023'!$G$4:$G$1227,'декабрь 2023'!$D$4:$D$1227,$B30,'декабрь 2023'!$J$4:$J$1227,Q$1)</f>
        <v>0</v>
      </c>
      <c r="R30" s="198">
        <f>SUMIFS('декабрь 2023'!$G$4:$G$1227,'декабрь 2023'!$D$4:$D$1227,$B30,'декабрь 2023'!$J$4:$J$1227,R$1)</f>
        <v>0</v>
      </c>
      <c r="S30" s="198">
        <f>SUMIFS('декабрь 2023'!$G$4:$G$1227,'декабрь 2023'!$D$4:$D$1227,$B30,'декабрь 2023'!$J$4:$J$1227,S$1)</f>
        <v>0</v>
      </c>
      <c r="T30" s="198">
        <f>SUMIFS('декабрь 2023'!$G$4:$G$1227,'декабрь 2023'!$D$4:$D$1227,$B30,'декабрь 2023'!$J$4:$J$1227,T$1)</f>
        <v>0</v>
      </c>
      <c r="U30" s="198">
        <f>SUMIFS('декабрь 2023'!$G$4:$G$1227,'декабрь 2023'!$D$4:$D$1227,$B30,'декабрь 2023'!$J$4:$J$1227,U$1)</f>
        <v>0</v>
      </c>
      <c r="V30" s="198">
        <f>SUMIFS('декабрь 2023'!$G$4:$G$1227,'декабрь 2023'!$D$4:$D$1227,$B30,'декабрь 2023'!$J$4:$J$1227,V$1)</f>
        <v>0</v>
      </c>
      <c r="W30" s="198">
        <f>SUMIFS('декабрь 2023'!$G$4:$G$1227,'декабрь 2023'!$D$4:$D$1227,$B30,'декабрь 2023'!$J$4:$J$1227,W$1)</f>
        <v>0</v>
      </c>
      <c r="X30" s="198">
        <f>SUMIFS('декабрь 2023'!$G$4:$G$1227,'декабрь 2023'!$D$4:$D$1227,$B30,'декабрь 2023'!$J$4:$J$1227,X$1)</f>
        <v>0</v>
      </c>
      <c r="Y30" s="198">
        <f>SUMIFS('декабрь 2023'!$G$4:$G$1227,'декабрь 2023'!$D$4:$D$1227,$B30,'декабрь 2023'!$J$4:$J$1227,Y$1)</f>
        <v>0</v>
      </c>
      <c r="Z30" s="198">
        <f>SUMIFS('декабрь 2023'!$G$4:$G$1227,'декабрь 2023'!$D$4:$D$1227,$B30,'декабрь 2023'!$J$4:$J$1227,Z$1)</f>
        <v>0</v>
      </c>
      <c r="AA30" s="198">
        <f>SUMIFS('декабрь 2023'!$G$4:$G$1227,'декабрь 2023'!$D$4:$D$1227,$B30,'декабрь 2023'!$J$4:$J$1227,AA$1)</f>
        <v>0</v>
      </c>
      <c r="AB30" s="198">
        <f>SUMIFS('декабрь 2023'!$G$4:$G$1227,'декабрь 2023'!$D$4:$D$1227,$B30,'декабрь 2023'!$J$4:$J$1227,AB$1)</f>
        <v>0</v>
      </c>
      <c r="AC30" s="198">
        <f>SUMIFS('декабрь 2023'!$G$4:$G$1227,'декабрь 2023'!$D$4:$D$1227,$B30,'декабрь 2023'!$J$4:$J$1227,AC$1)</f>
        <v>0</v>
      </c>
      <c r="AD30" s="198">
        <f>SUMIFS('декабрь 2023'!$G$4:$G$1227,'декабрь 2023'!$D$4:$D$1227,$B30,'декабрь 2023'!$J$4:$J$1227,AD$1)</f>
        <v>0</v>
      </c>
      <c r="AE30" s="198">
        <f>SUMIFS('декабрь 2023'!$G$4:$G$1227,'декабрь 2023'!$D$4:$D$1227,$B30,'декабрь 2023'!$J$4:$J$1227,AE$1)</f>
        <v>0</v>
      </c>
      <c r="AF30" s="198">
        <f>SUMIFS('декабрь 2023'!$G$4:$G$1227,'декабрь 2023'!$D$4:$D$1227,$B30,'декабрь 2023'!$J$4:$J$1227,AF$1)</f>
        <v>0</v>
      </c>
      <c r="AG30" s="198">
        <f>SUMIFS('декабрь 2023'!$G$4:$G$1227,'декабрь 2023'!$D$4:$D$1227,$B30,'декабрь 2023'!$J$4:$J$1227,AG$1)</f>
        <v>0</v>
      </c>
      <c r="AH30" s="198">
        <f>SUMIFS('декабрь 2023'!$G$4:$G$1227,'декабрь 2023'!$D$4:$D$1227,$B30,'декабрь 2023'!$J$4:$J$1227,AH$1)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SUMIFS('декабрь 2023'!$G$4:$G$1227,'декабрь 2023'!$D$4:$D$1227,$B31,'декабрь 2023'!$J$4:$J$1227,D$1)</f>
        <v>0</v>
      </c>
      <c r="E31" s="207">
        <f>SUMIFS('декабрь 2023'!$G$4:$G$1227,'декабрь 2023'!$D$4:$D$1227,$B31,'декабрь 2023'!$J$4:$J$1227,E$1)</f>
        <v>0</v>
      </c>
      <c r="F31" s="207">
        <f>SUMIFS('декабрь 2023'!$G$4:$G$1227,'декабрь 2023'!$D$4:$D$1227,$B31,'декабрь 2023'!$J$4:$J$1227,F$1)</f>
        <v>0</v>
      </c>
      <c r="G31" s="207">
        <f>SUMIFS('декабрь 2023'!$G$4:$G$1227,'декабрь 2023'!$D$4:$D$1227,$B31,'декабрь 2023'!$J$4:$J$1227,G$1)</f>
        <v>0</v>
      </c>
      <c r="H31" s="207">
        <f>SUMIFS('декабрь 2023'!$G$4:$G$1227,'декабрь 2023'!$D$4:$D$1227,$B31,'декабрь 2023'!$J$4:$J$1227,H$1)</f>
        <v>0</v>
      </c>
      <c r="I31" s="207">
        <f>SUMIFS('декабрь 2023'!$G$4:$G$1227,'декабрь 2023'!$D$4:$D$1227,$B31,'декабрь 2023'!$J$4:$J$1227,I$1)</f>
        <v>0</v>
      </c>
      <c r="J31" s="207">
        <f>SUMIFS('декабрь 2023'!$G$4:$G$1227,'декабрь 2023'!$D$4:$D$1227,$B31,'декабрь 2023'!$J$4:$J$1227,J$1)</f>
        <v>0</v>
      </c>
      <c r="K31" s="207">
        <f>SUMIFS('декабрь 2023'!$G$4:$G$1227,'декабрь 2023'!$D$4:$D$1227,$B31,'декабрь 2023'!$J$4:$J$1227,K$1)</f>
        <v>0</v>
      </c>
      <c r="L31" s="207">
        <f>SUMIFS('декабрь 2023'!$G$4:$G$1227,'декабрь 2023'!$D$4:$D$1227,$B31,'декабрь 2023'!$J$4:$J$1227,L$1)</f>
        <v>0</v>
      </c>
      <c r="M31" s="207">
        <f>SUMIFS('декабрь 2023'!$G$4:$G$1227,'декабрь 2023'!$D$4:$D$1227,$B31,'декабрь 2023'!$J$4:$J$1227,M$1)</f>
        <v>0</v>
      </c>
      <c r="N31" s="207">
        <f>SUMIFS('декабрь 2023'!$G$4:$G$1227,'декабрь 2023'!$D$4:$D$1227,$B31,'декабрь 2023'!$J$4:$J$1227,N$1)</f>
        <v>0</v>
      </c>
      <c r="O31" s="207">
        <f>SUMIFS('декабрь 2023'!$G$4:$G$1227,'декабрь 2023'!$D$4:$D$1227,$B31,'декабрь 2023'!$J$4:$J$1227,O$1)</f>
        <v>0</v>
      </c>
      <c r="P31" s="207">
        <f>SUMIFS('декабрь 2023'!$G$4:$G$1227,'декабрь 2023'!$D$4:$D$1227,$B31,'декабрь 2023'!$J$4:$J$1227,P$1)</f>
        <v>0</v>
      </c>
      <c r="Q31" s="207">
        <f>SUMIFS('декабрь 2023'!$G$4:$G$1227,'декабрь 2023'!$D$4:$D$1227,$B31,'декабрь 2023'!$J$4:$J$1227,Q$1)</f>
        <v>0</v>
      </c>
      <c r="R31" s="207">
        <f>SUMIFS('декабрь 2023'!$G$4:$G$1227,'декабрь 2023'!$D$4:$D$1227,$B31,'декабрь 2023'!$J$4:$J$1227,R$1)</f>
        <v>0</v>
      </c>
      <c r="S31" s="207">
        <f>SUMIFS('декабрь 2023'!$G$4:$G$1227,'декабрь 2023'!$D$4:$D$1227,$B31,'декабрь 2023'!$J$4:$J$1227,S$1)</f>
        <v>0</v>
      </c>
      <c r="T31" s="207">
        <f>SUMIFS('декабрь 2023'!$G$4:$G$1227,'декабрь 2023'!$D$4:$D$1227,$B31,'декабрь 2023'!$J$4:$J$1227,T$1)</f>
        <v>0</v>
      </c>
      <c r="U31" s="207">
        <f>SUMIFS('декабрь 2023'!$G$4:$G$1227,'декабрь 2023'!$D$4:$D$1227,$B31,'декабрь 2023'!$J$4:$J$1227,U$1)</f>
        <v>0</v>
      </c>
      <c r="V31" s="207">
        <f>SUMIFS('декабрь 2023'!$G$4:$G$1227,'декабрь 2023'!$D$4:$D$1227,$B31,'декабрь 2023'!$J$4:$J$1227,V$1)</f>
        <v>0</v>
      </c>
      <c r="W31" s="207">
        <f>SUMIFS('декабрь 2023'!$G$4:$G$1227,'декабрь 2023'!$D$4:$D$1227,$B31,'декабрь 2023'!$J$4:$J$1227,W$1)</f>
        <v>0</v>
      </c>
      <c r="X31" s="207">
        <f>SUMIFS('декабрь 2023'!$G$4:$G$1227,'декабрь 2023'!$D$4:$D$1227,$B31,'декабрь 2023'!$J$4:$J$1227,X$1)</f>
        <v>0</v>
      </c>
      <c r="Y31" s="207">
        <f>SUMIFS('декабрь 2023'!$G$4:$G$1227,'декабрь 2023'!$D$4:$D$1227,$B31,'декабрь 2023'!$J$4:$J$1227,Y$1)</f>
        <v>0</v>
      </c>
      <c r="Z31" s="207">
        <f>SUMIFS('декабрь 2023'!$G$4:$G$1227,'декабрь 2023'!$D$4:$D$1227,$B31,'декабрь 2023'!$J$4:$J$1227,Z$1)</f>
        <v>0</v>
      </c>
      <c r="AA31" s="207">
        <f>SUMIFS('декабрь 2023'!$G$4:$G$1227,'декабрь 2023'!$D$4:$D$1227,$B31,'декабрь 2023'!$J$4:$J$1227,AA$1)</f>
        <v>0</v>
      </c>
      <c r="AB31" s="207">
        <f>SUMIFS('декабрь 2023'!$G$4:$G$1227,'декабрь 2023'!$D$4:$D$1227,$B31,'декабрь 2023'!$J$4:$J$1227,AB$1)</f>
        <v>0</v>
      </c>
      <c r="AC31" s="207">
        <f>SUMIFS('декабрь 2023'!$G$4:$G$1227,'декабрь 2023'!$D$4:$D$1227,$B31,'декабрь 2023'!$J$4:$J$1227,AC$1)</f>
        <v>0</v>
      </c>
      <c r="AD31" s="207">
        <f>SUMIFS('декабрь 2023'!$G$4:$G$1227,'декабрь 2023'!$D$4:$D$1227,$B31,'декабрь 2023'!$J$4:$J$1227,AD$1)</f>
        <v>0</v>
      </c>
      <c r="AE31" s="207">
        <f>SUMIFS('декабрь 2023'!$G$4:$G$1227,'декабрь 2023'!$D$4:$D$1227,$B31,'декабрь 2023'!$J$4:$J$1227,AE$1)</f>
        <v>0</v>
      </c>
      <c r="AF31" s="207">
        <f>SUMIFS('декабрь 2023'!$G$4:$G$1227,'декабрь 2023'!$D$4:$D$1227,$B31,'декабрь 2023'!$J$4:$J$1227,AF$1)</f>
        <v>0</v>
      </c>
      <c r="AG31" s="207">
        <f>SUMIFS('декабрь 2023'!$G$4:$G$1227,'декабрь 2023'!$D$4:$D$1227,$B31,'декабрь 2023'!$J$4:$J$1227,AG$1)</f>
        <v>0</v>
      </c>
      <c r="AH31" s="207">
        <f>SUMIFS('декабрь 2023'!$G$4:$G$1227,'декабрь 2023'!$D$4:$D$1227,$B31,'декабрь 2023'!$J$4:$J$1227,AH$1)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SUMIFS('декабрь 2023'!$G$4:$G$1227,'декабрь 2023'!$D$4:$D$1227,$B32,'декабрь 2023'!$J$4:$J$1227,D$1)</f>
        <v>0</v>
      </c>
      <c r="E32" s="207">
        <f>SUMIFS('декабрь 2023'!$G$4:$G$1227,'декабрь 2023'!$D$4:$D$1227,$B32,'декабрь 2023'!$J$4:$J$1227,E$1)</f>
        <v>0</v>
      </c>
      <c r="F32" s="207">
        <f>SUMIFS('декабрь 2023'!$G$4:$G$1227,'декабрь 2023'!$D$4:$D$1227,$B32,'декабрь 2023'!$J$4:$J$1227,F$1)</f>
        <v>0</v>
      </c>
      <c r="G32" s="207">
        <f>SUMIFS('декабрь 2023'!$G$4:$G$1227,'декабрь 2023'!$D$4:$D$1227,$B32,'декабрь 2023'!$J$4:$J$1227,G$1)</f>
        <v>0</v>
      </c>
      <c r="H32" s="207">
        <f>SUMIFS('декабрь 2023'!$G$4:$G$1227,'декабрь 2023'!$D$4:$D$1227,$B32,'декабрь 2023'!$J$4:$J$1227,H$1)</f>
        <v>0</v>
      </c>
      <c r="I32" s="207">
        <f>SUMIFS('декабрь 2023'!$G$4:$G$1227,'декабрь 2023'!$D$4:$D$1227,$B32,'декабрь 2023'!$J$4:$J$1227,I$1)</f>
        <v>0</v>
      </c>
      <c r="J32" s="207">
        <f>SUMIFS('декабрь 2023'!$G$4:$G$1227,'декабрь 2023'!$D$4:$D$1227,$B32,'декабрь 2023'!$J$4:$J$1227,J$1)</f>
        <v>0</v>
      </c>
      <c r="K32" s="207">
        <f>SUMIFS('декабрь 2023'!$G$4:$G$1227,'декабрь 2023'!$D$4:$D$1227,$B32,'декабрь 2023'!$J$4:$J$1227,K$1)</f>
        <v>0</v>
      </c>
      <c r="L32" s="207">
        <f>SUMIFS('декабрь 2023'!$G$4:$G$1227,'декабрь 2023'!$D$4:$D$1227,$B32,'декабрь 2023'!$J$4:$J$1227,L$1)</f>
        <v>0</v>
      </c>
      <c r="M32" s="207">
        <f>SUMIFS('декабрь 2023'!$G$4:$G$1227,'декабрь 2023'!$D$4:$D$1227,$B32,'декабрь 2023'!$J$4:$J$1227,M$1)</f>
        <v>0</v>
      </c>
      <c r="N32" s="207">
        <f>SUMIFS('декабрь 2023'!$G$4:$G$1227,'декабрь 2023'!$D$4:$D$1227,$B32,'декабрь 2023'!$J$4:$J$1227,N$1)</f>
        <v>0</v>
      </c>
      <c r="O32" s="207">
        <f>SUMIFS('декабрь 2023'!$G$4:$G$1227,'декабрь 2023'!$D$4:$D$1227,$B32,'декабрь 2023'!$J$4:$J$1227,O$1)</f>
        <v>0</v>
      </c>
      <c r="P32" s="207">
        <f>SUMIFS('декабрь 2023'!$G$4:$G$1227,'декабрь 2023'!$D$4:$D$1227,$B32,'декабрь 2023'!$J$4:$J$1227,P$1)</f>
        <v>0</v>
      </c>
      <c r="Q32" s="207">
        <f>SUMIFS('декабрь 2023'!$G$4:$G$1227,'декабрь 2023'!$D$4:$D$1227,$B32,'декабрь 2023'!$J$4:$J$1227,Q$1)</f>
        <v>0</v>
      </c>
      <c r="R32" s="207">
        <f>SUMIFS('декабрь 2023'!$G$4:$G$1227,'декабрь 2023'!$D$4:$D$1227,$B32,'декабрь 2023'!$J$4:$J$1227,R$1)</f>
        <v>0</v>
      </c>
      <c r="S32" s="207">
        <f>SUMIFS('декабрь 2023'!$G$4:$G$1227,'декабрь 2023'!$D$4:$D$1227,$B32,'декабрь 2023'!$J$4:$J$1227,S$1)</f>
        <v>0</v>
      </c>
      <c r="T32" s="207">
        <f>SUMIFS('декабрь 2023'!$G$4:$G$1227,'декабрь 2023'!$D$4:$D$1227,$B32,'декабрь 2023'!$J$4:$J$1227,T$1)</f>
        <v>0</v>
      </c>
      <c r="U32" s="207">
        <f>SUMIFS('декабрь 2023'!$G$4:$G$1227,'декабрь 2023'!$D$4:$D$1227,$B32,'декабрь 2023'!$J$4:$J$1227,U$1)</f>
        <v>0</v>
      </c>
      <c r="V32" s="207">
        <f>SUMIFS('декабрь 2023'!$G$4:$G$1227,'декабрь 2023'!$D$4:$D$1227,$B32,'декабрь 2023'!$J$4:$J$1227,V$1)</f>
        <v>0</v>
      </c>
      <c r="W32" s="207">
        <f>SUMIFS('декабрь 2023'!$G$4:$G$1227,'декабрь 2023'!$D$4:$D$1227,$B32,'декабрь 2023'!$J$4:$J$1227,W$1)</f>
        <v>0</v>
      </c>
      <c r="X32" s="207">
        <f>SUMIFS('декабрь 2023'!$G$4:$G$1227,'декабрь 2023'!$D$4:$D$1227,$B32,'декабрь 2023'!$J$4:$J$1227,X$1)</f>
        <v>0</v>
      </c>
      <c r="Y32" s="207">
        <f>SUMIFS('декабрь 2023'!$G$4:$G$1227,'декабрь 2023'!$D$4:$D$1227,$B32,'декабрь 2023'!$J$4:$J$1227,Y$1)</f>
        <v>0</v>
      </c>
      <c r="Z32" s="207">
        <f>SUMIFS('декабрь 2023'!$G$4:$G$1227,'декабрь 2023'!$D$4:$D$1227,$B32,'декабрь 2023'!$J$4:$J$1227,Z$1)</f>
        <v>0</v>
      </c>
      <c r="AA32" s="207">
        <f>SUMIFS('декабрь 2023'!$G$4:$G$1227,'декабрь 2023'!$D$4:$D$1227,$B32,'декабрь 2023'!$J$4:$J$1227,AA$1)</f>
        <v>0</v>
      </c>
      <c r="AB32" s="207">
        <f>SUMIFS('декабрь 2023'!$G$4:$G$1227,'декабрь 2023'!$D$4:$D$1227,$B32,'декабрь 2023'!$J$4:$J$1227,AB$1)</f>
        <v>0</v>
      </c>
      <c r="AC32" s="207">
        <f>SUMIFS('декабрь 2023'!$G$4:$G$1227,'декабрь 2023'!$D$4:$D$1227,$B32,'декабрь 2023'!$J$4:$J$1227,AC$1)</f>
        <v>0</v>
      </c>
      <c r="AD32" s="207">
        <f>SUMIFS('декабрь 2023'!$G$4:$G$1227,'декабрь 2023'!$D$4:$D$1227,$B32,'декабрь 2023'!$J$4:$J$1227,AD$1)</f>
        <v>0</v>
      </c>
      <c r="AE32" s="207">
        <f>SUMIFS('декабрь 2023'!$G$4:$G$1227,'декабрь 2023'!$D$4:$D$1227,$B32,'декабрь 2023'!$J$4:$J$1227,AE$1)</f>
        <v>0</v>
      </c>
      <c r="AF32" s="207">
        <f>SUMIFS('декабрь 2023'!$G$4:$G$1227,'декабрь 2023'!$D$4:$D$1227,$B32,'декабрь 2023'!$J$4:$J$1227,AF$1)</f>
        <v>0</v>
      </c>
      <c r="AG32" s="207">
        <f>SUMIFS('декабрь 2023'!$G$4:$G$1227,'декабрь 2023'!$D$4:$D$1227,$B32,'декабрь 2023'!$J$4:$J$1227,AG$1)</f>
        <v>0</v>
      </c>
      <c r="AH32" s="207">
        <f>SUMIFS('декабрь 2023'!$G$4:$G$1227,'декабрь 2023'!$D$4:$D$1227,$B32,'декабрь 2023'!$J$4:$J$1227,AH$1)</f>
        <v>0</v>
      </c>
      <c r="AI32" s="170">
        <f t="shared" si="1"/>
        <v>0</v>
      </c>
    </row>
    <row r="33" spans="2:35" ht="15" customHeight="1" x14ac:dyDescent="0.25">
      <c r="B33" s="209" t="s">
        <v>1344</v>
      </c>
      <c r="C33" s="206">
        <v>20</v>
      </c>
      <c r="D33" s="207">
        <f>SUMIFS('декабрь 2023'!$G$4:$G$1227,'декабрь 2023'!$D$4:$D$1227,$B33,'декабрь 2023'!$J$4:$J$1227,D$1)</f>
        <v>0</v>
      </c>
      <c r="E33" s="207">
        <f>SUMIFS('декабрь 2023'!$G$4:$G$1227,'декабрь 2023'!$D$4:$D$1227,$B33,'декабрь 2023'!$J$4:$J$1227,E$1)</f>
        <v>0</v>
      </c>
      <c r="F33" s="207">
        <f>SUMIFS('декабрь 2023'!$G$4:$G$1227,'декабрь 2023'!$D$4:$D$1227,$B33,'декабрь 2023'!$J$4:$J$1227,F$1)</f>
        <v>0</v>
      </c>
      <c r="G33" s="207">
        <f>SUMIFS('декабрь 2023'!$G$4:$G$1227,'декабрь 2023'!$D$4:$D$1227,$B33,'декабрь 2023'!$J$4:$J$1227,G$1)</f>
        <v>0</v>
      </c>
      <c r="H33" s="207">
        <f>SUMIFS('декабрь 2023'!$G$4:$G$1227,'декабрь 2023'!$D$4:$D$1227,$B33,'декабрь 2023'!$J$4:$J$1227,H$1)</f>
        <v>0</v>
      </c>
      <c r="I33" s="207">
        <f>SUMIFS('декабрь 2023'!$G$4:$G$1227,'декабрь 2023'!$D$4:$D$1227,$B33,'декабрь 2023'!$J$4:$J$1227,I$1)</f>
        <v>0</v>
      </c>
      <c r="J33" s="207">
        <f>SUMIFS('декабрь 2023'!$G$4:$G$1227,'декабрь 2023'!$D$4:$D$1227,$B33,'декабрь 2023'!$J$4:$J$1227,J$1)</f>
        <v>0</v>
      </c>
      <c r="K33" s="207">
        <f>SUMIFS('декабрь 2023'!$G$4:$G$1227,'декабрь 2023'!$D$4:$D$1227,$B33,'декабрь 2023'!$J$4:$J$1227,K$1)</f>
        <v>0</v>
      </c>
      <c r="L33" s="207">
        <f>SUMIFS('декабрь 2023'!$G$4:$G$1227,'декабрь 2023'!$D$4:$D$1227,$B33,'декабрь 2023'!$J$4:$J$1227,L$1)</f>
        <v>0</v>
      </c>
      <c r="M33" s="207">
        <f>SUMIFS('декабрь 2023'!$G$4:$G$1227,'декабрь 2023'!$D$4:$D$1227,$B33,'декабрь 2023'!$J$4:$J$1227,M$1)</f>
        <v>0</v>
      </c>
      <c r="N33" s="207">
        <f>SUMIFS('декабрь 2023'!$G$4:$G$1227,'декабрь 2023'!$D$4:$D$1227,$B33,'декабрь 2023'!$J$4:$J$1227,N$1)</f>
        <v>0</v>
      </c>
      <c r="O33" s="207">
        <f>SUMIFS('декабрь 2023'!$G$4:$G$1227,'декабрь 2023'!$D$4:$D$1227,$B33,'декабрь 2023'!$J$4:$J$1227,O$1)</f>
        <v>0</v>
      </c>
      <c r="P33" s="207">
        <f>SUMIFS('декабрь 2023'!$G$4:$G$1227,'декабрь 2023'!$D$4:$D$1227,$B33,'декабрь 2023'!$J$4:$J$1227,P$1)</f>
        <v>0</v>
      </c>
      <c r="Q33" s="207">
        <f>SUMIFS('декабрь 2023'!$G$4:$G$1227,'декабрь 2023'!$D$4:$D$1227,$B33,'декабрь 2023'!$J$4:$J$1227,Q$1)</f>
        <v>0</v>
      </c>
      <c r="R33" s="207">
        <f>SUMIFS('декабрь 2023'!$G$4:$G$1227,'декабрь 2023'!$D$4:$D$1227,$B33,'декабрь 2023'!$J$4:$J$1227,R$1)</f>
        <v>0</v>
      </c>
      <c r="S33" s="207">
        <f>SUMIFS('декабрь 2023'!$G$4:$G$1227,'декабрь 2023'!$D$4:$D$1227,$B33,'декабрь 2023'!$J$4:$J$1227,S$1)</f>
        <v>0</v>
      </c>
      <c r="T33" s="207">
        <f>SUMIFS('декабрь 2023'!$G$4:$G$1227,'декабрь 2023'!$D$4:$D$1227,$B33,'декабрь 2023'!$J$4:$J$1227,T$1)</f>
        <v>0</v>
      </c>
      <c r="U33" s="207">
        <f>SUMIFS('декабрь 2023'!$G$4:$G$1227,'декабрь 2023'!$D$4:$D$1227,$B33,'декабрь 2023'!$J$4:$J$1227,U$1)</f>
        <v>0</v>
      </c>
      <c r="V33" s="207">
        <f>SUMIFS('декабрь 2023'!$G$4:$G$1227,'декабрь 2023'!$D$4:$D$1227,$B33,'декабрь 2023'!$J$4:$J$1227,V$1)</f>
        <v>0</v>
      </c>
      <c r="W33" s="207">
        <f>SUMIFS('декабрь 2023'!$G$4:$G$1227,'декабрь 2023'!$D$4:$D$1227,$B33,'декабрь 2023'!$J$4:$J$1227,W$1)</f>
        <v>0</v>
      </c>
      <c r="X33" s="207">
        <f>SUMIFS('декабрь 2023'!$G$4:$G$1227,'декабрь 2023'!$D$4:$D$1227,$B33,'декабрь 2023'!$J$4:$J$1227,X$1)</f>
        <v>0</v>
      </c>
      <c r="Y33" s="207">
        <f>SUMIFS('декабрь 2023'!$G$4:$G$1227,'декабрь 2023'!$D$4:$D$1227,$B33,'декабрь 2023'!$J$4:$J$1227,Y$1)</f>
        <v>0</v>
      </c>
      <c r="Z33" s="207">
        <f>SUMIFS('декабрь 2023'!$G$4:$G$1227,'декабрь 2023'!$D$4:$D$1227,$B33,'декабрь 2023'!$J$4:$J$1227,Z$1)</f>
        <v>0</v>
      </c>
      <c r="AA33" s="207">
        <f>SUMIFS('декабрь 2023'!$G$4:$G$1227,'декабрь 2023'!$D$4:$D$1227,$B33,'декабрь 2023'!$J$4:$J$1227,AA$1)</f>
        <v>0</v>
      </c>
      <c r="AB33" s="207">
        <f>SUMIFS('декабрь 2023'!$G$4:$G$1227,'декабрь 2023'!$D$4:$D$1227,$B33,'декабрь 2023'!$J$4:$J$1227,AB$1)</f>
        <v>0</v>
      </c>
      <c r="AC33" s="207">
        <f>SUMIFS('декабрь 2023'!$G$4:$G$1227,'декабрь 2023'!$D$4:$D$1227,$B33,'декабрь 2023'!$J$4:$J$1227,AC$1)</f>
        <v>0</v>
      </c>
      <c r="AD33" s="207">
        <f>SUMIFS('декабрь 2023'!$G$4:$G$1227,'декабрь 2023'!$D$4:$D$1227,$B33,'декабрь 2023'!$J$4:$J$1227,AD$1)</f>
        <v>0</v>
      </c>
      <c r="AE33" s="207">
        <f>SUMIFS('декабрь 2023'!$G$4:$G$1227,'декабрь 2023'!$D$4:$D$1227,$B33,'декабрь 2023'!$J$4:$J$1227,AE$1)</f>
        <v>0</v>
      </c>
      <c r="AF33" s="207">
        <f>SUMIFS('декабрь 2023'!$G$4:$G$1227,'декабрь 2023'!$D$4:$D$1227,$B33,'декабрь 2023'!$J$4:$J$1227,AF$1)</f>
        <v>0</v>
      </c>
      <c r="AG33" s="207">
        <f>SUMIFS('декабрь 2023'!$G$4:$G$1227,'декабрь 2023'!$D$4:$D$1227,$B33,'декабрь 2023'!$J$4:$J$1227,AG$1)</f>
        <v>0</v>
      </c>
      <c r="AH33" s="207">
        <f>SUMIFS('декабрь 2023'!$G$4:$G$1227,'декабрь 2023'!$D$4:$D$1227,$B33,'декабрь 2023'!$J$4:$J$1227,AH$1)</f>
        <v>0</v>
      </c>
      <c r="AI33" s="170">
        <f t="shared" si="1"/>
        <v>0</v>
      </c>
    </row>
    <row r="34" spans="2:35" ht="15" customHeight="1" x14ac:dyDescent="0.25">
      <c r="B34" s="210" t="s">
        <v>754</v>
      </c>
      <c r="C34" s="211">
        <v>20</v>
      </c>
      <c r="D34" s="207">
        <f>SUMIFS('декабрь 2023'!$G$4:$G$1227,'декабрь 2023'!$D$4:$D$1227,$B34,'декабрь 2023'!$J$4:$J$1227,D$1)</f>
        <v>0</v>
      </c>
      <c r="E34" s="207">
        <f>SUMIFS('декабрь 2023'!$G$4:$G$1227,'декабрь 2023'!$D$4:$D$1227,$B34,'декабрь 2023'!$J$4:$J$1227,E$1)</f>
        <v>0</v>
      </c>
      <c r="F34" s="207">
        <f>SUMIFS('декабрь 2023'!$G$4:$G$1227,'декабрь 2023'!$D$4:$D$1227,$B34,'декабрь 2023'!$J$4:$J$1227,F$1)</f>
        <v>0</v>
      </c>
      <c r="G34" s="207">
        <f>SUMIFS('декабрь 2023'!$G$4:$G$1227,'декабрь 2023'!$D$4:$D$1227,$B34,'декабрь 2023'!$J$4:$J$1227,G$1)</f>
        <v>0</v>
      </c>
      <c r="H34" s="207">
        <f>SUMIFS('декабрь 2023'!$G$4:$G$1227,'декабрь 2023'!$D$4:$D$1227,$B34,'декабрь 2023'!$J$4:$J$1227,H$1)</f>
        <v>0</v>
      </c>
      <c r="I34" s="207">
        <f>SUMIFS('декабрь 2023'!$G$4:$G$1227,'декабрь 2023'!$D$4:$D$1227,$B34,'декабрь 2023'!$J$4:$J$1227,I$1)</f>
        <v>0</v>
      </c>
      <c r="J34" s="207">
        <f>SUMIFS('декабрь 2023'!$G$4:$G$1227,'декабрь 2023'!$D$4:$D$1227,$B34,'декабрь 2023'!$J$4:$J$1227,J$1)</f>
        <v>0</v>
      </c>
      <c r="K34" s="207">
        <f>SUMIFS('декабрь 2023'!$G$4:$G$1227,'декабрь 2023'!$D$4:$D$1227,$B34,'декабрь 2023'!$J$4:$J$1227,K$1)</f>
        <v>0</v>
      </c>
      <c r="L34" s="207">
        <f>SUMIFS('декабрь 2023'!$G$4:$G$1227,'декабрь 2023'!$D$4:$D$1227,$B34,'декабрь 2023'!$J$4:$J$1227,L$1)</f>
        <v>0</v>
      </c>
      <c r="M34" s="207">
        <f>SUMIFS('декабрь 2023'!$G$4:$G$1227,'декабрь 2023'!$D$4:$D$1227,$B34,'декабрь 2023'!$J$4:$J$1227,M$1)</f>
        <v>0</v>
      </c>
      <c r="N34" s="207">
        <f>SUMIFS('декабрь 2023'!$G$4:$G$1227,'декабрь 2023'!$D$4:$D$1227,$B34,'декабрь 2023'!$J$4:$J$1227,N$1)</f>
        <v>0</v>
      </c>
      <c r="O34" s="207">
        <f>SUMIFS('декабрь 2023'!$G$4:$G$1227,'декабрь 2023'!$D$4:$D$1227,$B34,'декабрь 2023'!$J$4:$J$1227,O$1)</f>
        <v>0</v>
      </c>
      <c r="P34" s="207">
        <f>SUMIFS('декабрь 2023'!$G$4:$G$1227,'декабрь 2023'!$D$4:$D$1227,$B34,'декабрь 2023'!$J$4:$J$1227,P$1)</f>
        <v>0</v>
      </c>
      <c r="Q34" s="207">
        <f>SUMIFS('декабрь 2023'!$G$4:$G$1227,'декабрь 2023'!$D$4:$D$1227,$B34,'декабрь 2023'!$J$4:$J$1227,Q$1)</f>
        <v>0</v>
      </c>
      <c r="R34" s="207">
        <f>SUMIFS('декабрь 2023'!$G$4:$G$1227,'декабрь 2023'!$D$4:$D$1227,$B34,'декабрь 2023'!$J$4:$J$1227,R$1)</f>
        <v>0</v>
      </c>
      <c r="S34" s="207">
        <f>SUMIFS('декабрь 2023'!$G$4:$G$1227,'декабрь 2023'!$D$4:$D$1227,$B34,'декабрь 2023'!$J$4:$J$1227,S$1)</f>
        <v>0</v>
      </c>
      <c r="T34" s="207">
        <f>SUMIFS('декабрь 2023'!$G$4:$G$1227,'декабрь 2023'!$D$4:$D$1227,$B34,'декабрь 2023'!$J$4:$J$1227,T$1)</f>
        <v>0</v>
      </c>
      <c r="U34" s="207">
        <f>SUMIFS('декабрь 2023'!$G$4:$G$1227,'декабрь 2023'!$D$4:$D$1227,$B34,'декабрь 2023'!$J$4:$J$1227,U$1)</f>
        <v>0</v>
      </c>
      <c r="V34" s="207">
        <f>SUMIFS('декабрь 2023'!$G$4:$G$1227,'декабрь 2023'!$D$4:$D$1227,$B34,'декабрь 2023'!$J$4:$J$1227,V$1)</f>
        <v>0</v>
      </c>
      <c r="W34" s="207">
        <f>SUMIFS('декабрь 2023'!$G$4:$G$1227,'декабрь 2023'!$D$4:$D$1227,$B34,'декабрь 2023'!$J$4:$J$1227,W$1)</f>
        <v>0</v>
      </c>
      <c r="X34" s="207">
        <f>SUMIFS('декабрь 2023'!$G$4:$G$1227,'декабрь 2023'!$D$4:$D$1227,$B34,'декабрь 2023'!$J$4:$J$1227,X$1)</f>
        <v>0</v>
      </c>
      <c r="Y34" s="207">
        <f>SUMIFS('декабрь 2023'!$G$4:$G$1227,'декабрь 2023'!$D$4:$D$1227,$B34,'декабрь 2023'!$J$4:$J$1227,Y$1)</f>
        <v>0</v>
      </c>
      <c r="Z34" s="207">
        <f>SUMIFS('декабрь 2023'!$G$4:$G$1227,'декабрь 2023'!$D$4:$D$1227,$B34,'декабрь 2023'!$J$4:$J$1227,Z$1)</f>
        <v>0</v>
      </c>
      <c r="AA34" s="207">
        <f>SUMIFS('декабрь 2023'!$G$4:$G$1227,'декабрь 2023'!$D$4:$D$1227,$B34,'декабрь 2023'!$J$4:$J$1227,AA$1)</f>
        <v>0</v>
      </c>
      <c r="AB34" s="207">
        <f>SUMIFS('декабрь 2023'!$G$4:$G$1227,'декабрь 2023'!$D$4:$D$1227,$B34,'декабрь 2023'!$J$4:$J$1227,AB$1)</f>
        <v>0</v>
      </c>
      <c r="AC34" s="207">
        <f>SUMIFS('декабрь 2023'!$G$4:$G$1227,'декабрь 2023'!$D$4:$D$1227,$B34,'декабрь 2023'!$J$4:$J$1227,AC$1)</f>
        <v>0</v>
      </c>
      <c r="AD34" s="207">
        <f>SUMIFS('декабрь 2023'!$G$4:$G$1227,'декабрь 2023'!$D$4:$D$1227,$B34,'декабрь 2023'!$J$4:$J$1227,AD$1)</f>
        <v>0</v>
      </c>
      <c r="AE34" s="207">
        <f>SUMIFS('декабрь 2023'!$G$4:$G$1227,'декабрь 2023'!$D$4:$D$1227,$B34,'декабрь 2023'!$J$4:$J$1227,AE$1)</f>
        <v>0</v>
      </c>
      <c r="AF34" s="207">
        <f>SUMIFS('декабрь 2023'!$G$4:$G$1227,'декабрь 2023'!$D$4:$D$1227,$B34,'декабрь 2023'!$J$4:$J$1227,AF$1)</f>
        <v>0</v>
      </c>
      <c r="AG34" s="207">
        <f>SUMIFS('декабрь 2023'!$G$4:$G$1227,'декабрь 2023'!$D$4:$D$1227,$B34,'декабрь 2023'!$J$4:$J$1227,AG$1)</f>
        <v>0</v>
      </c>
      <c r="AH34" s="207">
        <f>SUMIFS('декабрь 2023'!$G$4:$G$1227,'декабрь 2023'!$D$4:$D$1227,$B34,'декабрь 2023'!$J$4:$J$1227,AH$1)</f>
        <v>0</v>
      </c>
      <c r="AI34" s="170">
        <f t="shared" si="1"/>
        <v>0</v>
      </c>
    </row>
    <row r="35" spans="2:35" ht="15" customHeight="1" x14ac:dyDescent="0.25">
      <c r="B35" s="212" t="s">
        <v>1256</v>
      </c>
      <c r="C35" s="213">
        <v>22.68</v>
      </c>
      <c r="D35" s="207">
        <f>SUMIFS('декабрь 2023'!$G$4:$G$1227,'декабрь 2023'!$D$4:$D$1227,$B35,'декабрь 2023'!$J$4:$J$1227,D$1)</f>
        <v>0</v>
      </c>
      <c r="E35" s="207">
        <f>SUMIFS('декабрь 2023'!$G$4:$G$1227,'декабрь 2023'!$D$4:$D$1227,$B35,'декабрь 2023'!$J$4:$J$1227,E$1)</f>
        <v>0</v>
      </c>
      <c r="F35" s="207">
        <f>SUMIFS('декабрь 2023'!$G$4:$G$1227,'декабрь 2023'!$D$4:$D$1227,$B35,'декабрь 2023'!$J$4:$J$1227,F$1)</f>
        <v>0</v>
      </c>
      <c r="G35" s="207">
        <f>SUMIFS('декабрь 2023'!$G$4:$G$1227,'декабрь 2023'!$D$4:$D$1227,$B35,'декабрь 2023'!$J$4:$J$1227,G$1)</f>
        <v>0</v>
      </c>
      <c r="H35" s="207">
        <f>SUMIFS('декабрь 2023'!$G$4:$G$1227,'декабрь 2023'!$D$4:$D$1227,$B35,'декабрь 2023'!$J$4:$J$1227,H$1)</f>
        <v>0</v>
      </c>
      <c r="I35" s="207">
        <f>SUMIFS('декабрь 2023'!$G$4:$G$1227,'декабрь 2023'!$D$4:$D$1227,$B35,'декабрь 2023'!$J$4:$J$1227,I$1)</f>
        <v>0</v>
      </c>
      <c r="J35" s="207">
        <f>SUMIFS('декабрь 2023'!$G$4:$G$1227,'декабрь 2023'!$D$4:$D$1227,$B35,'декабрь 2023'!$J$4:$J$1227,J$1)</f>
        <v>0</v>
      </c>
      <c r="K35" s="207">
        <f>SUMIFS('декабрь 2023'!$G$4:$G$1227,'декабрь 2023'!$D$4:$D$1227,$B35,'декабрь 2023'!$J$4:$J$1227,K$1)</f>
        <v>0</v>
      </c>
      <c r="L35" s="207">
        <f>SUMIFS('декабрь 2023'!$G$4:$G$1227,'декабрь 2023'!$D$4:$D$1227,$B35,'декабрь 2023'!$J$4:$J$1227,L$1)</f>
        <v>0</v>
      </c>
      <c r="M35" s="207">
        <f>SUMIFS('декабрь 2023'!$G$4:$G$1227,'декабрь 2023'!$D$4:$D$1227,$B35,'декабрь 2023'!$J$4:$J$1227,M$1)</f>
        <v>0</v>
      </c>
      <c r="N35" s="207">
        <f>SUMIFS('декабрь 2023'!$G$4:$G$1227,'декабрь 2023'!$D$4:$D$1227,$B35,'декабрь 2023'!$J$4:$J$1227,N$1)</f>
        <v>0</v>
      </c>
      <c r="O35" s="207">
        <f>SUMIFS('декабрь 2023'!$G$4:$G$1227,'декабрь 2023'!$D$4:$D$1227,$B35,'декабрь 2023'!$J$4:$J$1227,O$1)</f>
        <v>0</v>
      </c>
      <c r="P35" s="207">
        <f>SUMIFS('декабрь 2023'!$G$4:$G$1227,'декабрь 2023'!$D$4:$D$1227,$B35,'декабрь 2023'!$J$4:$J$1227,P$1)</f>
        <v>0</v>
      </c>
      <c r="Q35" s="207">
        <f>SUMIFS('декабрь 2023'!$G$4:$G$1227,'декабрь 2023'!$D$4:$D$1227,$B35,'декабрь 2023'!$J$4:$J$1227,Q$1)</f>
        <v>0</v>
      </c>
      <c r="R35" s="207">
        <f>SUMIFS('декабрь 2023'!$G$4:$G$1227,'декабрь 2023'!$D$4:$D$1227,$B35,'декабрь 2023'!$J$4:$J$1227,R$1)</f>
        <v>0</v>
      </c>
      <c r="S35" s="207">
        <f>SUMIFS('декабрь 2023'!$G$4:$G$1227,'декабрь 2023'!$D$4:$D$1227,$B35,'декабрь 2023'!$J$4:$J$1227,S$1)</f>
        <v>0</v>
      </c>
      <c r="T35" s="207">
        <f>SUMIFS('декабрь 2023'!$G$4:$G$1227,'декабрь 2023'!$D$4:$D$1227,$B35,'декабрь 2023'!$J$4:$J$1227,T$1)</f>
        <v>0</v>
      </c>
      <c r="U35" s="207">
        <f>SUMIFS('декабрь 2023'!$G$4:$G$1227,'декабрь 2023'!$D$4:$D$1227,$B35,'декабрь 2023'!$J$4:$J$1227,U$1)</f>
        <v>0</v>
      </c>
      <c r="V35" s="207">
        <f>SUMIFS('декабрь 2023'!$G$4:$G$1227,'декабрь 2023'!$D$4:$D$1227,$B35,'декабрь 2023'!$J$4:$J$1227,V$1)</f>
        <v>0</v>
      </c>
      <c r="W35" s="207">
        <f>SUMIFS('декабрь 2023'!$G$4:$G$1227,'декабрь 2023'!$D$4:$D$1227,$B35,'декабрь 2023'!$J$4:$J$1227,W$1)</f>
        <v>0</v>
      </c>
      <c r="X35" s="207">
        <f>SUMIFS('декабрь 2023'!$G$4:$G$1227,'декабрь 2023'!$D$4:$D$1227,$B35,'декабрь 2023'!$J$4:$J$1227,X$1)</f>
        <v>0</v>
      </c>
      <c r="Y35" s="207">
        <f>SUMIFS('декабрь 2023'!$G$4:$G$1227,'декабрь 2023'!$D$4:$D$1227,$B35,'декабрь 2023'!$J$4:$J$1227,Y$1)</f>
        <v>0</v>
      </c>
      <c r="Z35" s="207">
        <f>SUMIFS('декабрь 2023'!$G$4:$G$1227,'декабрь 2023'!$D$4:$D$1227,$B35,'декабрь 2023'!$J$4:$J$1227,Z$1)</f>
        <v>0</v>
      </c>
      <c r="AA35" s="207">
        <f>SUMIFS('декабрь 2023'!$G$4:$G$1227,'декабрь 2023'!$D$4:$D$1227,$B35,'декабрь 2023'!$J$4:$J$1227,AA$1)</f>
        <v>0</v>
      </c>
      <c r="AB35" s="207">
        <f>SUMIFS('декабрь 2023'!$G$4:$G$1227,'декабрь 2023'!$D$4:$D$1227,$B35,'декабрь 2023'!$J$4:$J$1227,AB$1)</f>
        <v>0</v>
      </c>
      <c r="AC35" s="207">
        <f>SUMIFS('декабрь 2023'!$G$4:$G$1227,'декабрь 2023'!$D$4:$D$1227,$B35,'декабрь 2023'!$J$4:$J$1227,AC$1)</f>
        <v>0</v>
      </c>
      <c r="AD35" s="207">
        <f>SUMIFS('декабрь 2023'!$G$4:$G$1227,'декабрь 2023'!$D$4:$D$1227,$B35,'декабрь 2023'!$J$4:$J$1227,AD$1)</f>
        <v>0</v>
      </c>
      <c r="AE35" s="207">
        <f>SUMIFS('декабрь 2023'!$G$4:$G$1227,'декабрь 2023'!$D$4:$D$1227,$B35,'декабрь 2023'!$J$4:$J$1227,AE$1)</f>
        <v>0</v>
      </c>
      <c r="AF35" s="207">
        <f>SUMIFS('декабрь 2023'!$G$4:$G$1227,'декабрь 2023'!$D$4:$D$1227,$B35,'декабрь 2023'!$J$4:$J$1227,AF$1)</f>
        <v>0</v>
      </c>
      <c r="AG35" s="207">
        <f>SUMIFS('декабрь 2023'!$G$4:$G$1227,'декабрь 2023'!$D$4:$D$1227,$B35,'декабрь 2023'!$J$4:$J$1227,AG$1)</f>
        <v>0</v>
      </c>
      <c r="AH35" s="207">
        <f>SUMIFS('декабрь 2023'!$G$4:$G$1227,'декабрь 2023'!$D$4:$D$1227,$B35,'декабрь 2023'!$J$4:$J$1227,AH$1)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4">
        <v>22.68</v>
      </c>
      <c r="D36" s="207">
        <f>SUMIFS('декабрь 2023'!$G$4:$G$1227,'декабрь 2023'!$D$4:$D$1227,$B36,'декабрь 2023'!$J$4:$J$1227,D$1)</f>
        <v>0</v>
      </c>
      <c r="E36" s="207">
        <f>SUMIFS('декабрь 2023'!$G$4:$G$1227,'декабрь 2023'!$D$4:$D$1227,$B36,'декабрь 2023'!$J$4:$J$1227,E$1)</f>
        <v>0</v>
      </c>
      <c r="F36" s="207">
        <f>SUMIFS('декабрь 2023'!$G$4:$G$1227,'декабрь 2023'!$D$4:$D$1227,$B36,'декабрь 2023'!$J$4:$J$1227,F$1)</f>
        <v>0</v>
      </c>
      <c r="G36" s="207">
        <f>SUMIFS('декабрь 2023'!$G$4:$G$1227,'декабрь 2023'!$D$4:$D$1227,$B36,'декабрь 2023'!$J$4:$J$1227,G$1)</f>
        <v>0</v>
      </c>
      <c r="H36" s="207">
        <f>SUMIFS('декабрь 2023'!$G$4:$G$1227,'декабрь 2023'!$D$4:$D$1227,$B36,'декабрь 2023'!$J$4:$J$1227,H$1)</f>
        <v>0</v>
      </c>
      <c r="I36" s="207">
        <f>SUMIFS('декабрь 2023'!$G$4:$G$1227,'декабрь 2023'!$D$4:$D$1227,$B36,'декабрь 2023'!$J$4:$J$1227,I$1)</f>
        <v>0</v>
      </c>
      <c r="J36" s="207">
        <f>SUMIFS('декабрь 2023'!$G$4:$G$1227,'декабрь 2023'!$D$4:$D$1227,$B36,'декабрь 2023'!$J$4:$J$1227,J$1)</f>
        <v>0</v>
      </c>
      <c r="K36" s="207">
        <f>SUMIFS('декабрь 2023'!$G$4:$G$1227,'декабрь 2023'!$D$4:$D$1227,$B36,'декабрь 2023'!$J$4:$J$1227,K$1)</f>
        <v>0</v>
      </c>
      <c r="L36" s="207">
        <f>SUMIFS('декабрь 2023'!$G$4:$G$1227,'декабрь 2023'!$D$4:$D$1227,$B36,'декабрь 2023'!$J$4:$J$1227,L$1)</f>
        <v>0</v>
      </c>
      <c r="M36" s="207">
        <f>SUMIFS('декабрь 2023'!$G$4:$G$1227,'декабрь 2023'!$D$4:$D$1227,$B36,'декабрь 2023'!$J$4:$J$1227,M$1)</f>
        <v>0</v>
      </c>
      <c r="N36" s="207">
        <f>SUMIFS('декабрь 2023'!$G$4:$G$1227,'декабрь 2023'!$D$4:$D$1227,$B36,'декабрь 2023'!$J$4:$J$1227,N$1)</f>
        <v>0</v>
      </c>
      <c r="O36" s="207">
        <f>SUMIFS('декабрь 2023'!$G$4:$G$1227,'декабрь 2023'!$D$4:$D$1227,$B36,'декабрь 2023'!$J$4:$J$1227,O$1)</f>
        <v>0</v>
      </c>
      <c r="P36" s="207">
        <f>SUMIFS('декабрь 2023'!$G$4:$G$1227,'декабрь 2023'!$D$4:$D$1227,$B36,'декабрь 2023'!$J$4:$J$1227,P$1)</f>
        <v>0</v>
      </c>
      <c r="Q36" s="207">
        <f>SUMIFS('декабрь 2023'!$G$4:$G$1227,'декабрь 2023'!$D$4:$D$1227,$B36,'декабрь 2023'!$J$4:$J$1227,Q$1)</f>
        <v>0</v>
      </c>
      <c r="R36" s="207">
        <f>SUMIFS('декабрь 2023'!$G$4:$G$1227,'декабрь 2023'!$D$4:$D$1227,$B36,'декабрь 2023'!$J$4:$J$1227,R$1)</f>
        <v>0</v>
      </c>
      <c r="S36" s="207">
        <f>SUMIFS('декабрь 2023'!$G$4:$G$1227,'декабрь 2023'!$D$4:$D$1227,$B36,'декабрь 2023'!$J$4:$J$1227,S$1)</f>
        <v>0</v>
      </c>
      <c r="T36" s="207">
        <f>SUMIFS('декабрь 2023'!$G$4:$G$1227,'декабрь 2023'!$D$4:$D$1227,$B36,'декабрь 2023'!$J$4:$J$1227,T$1)</f>
        <v>0</v>
      </c>
      <c r="U36" s="207">
        <f>SUMIFS('декабрь 2023'!$G$4:$G$1227,'декабрь 2023'!$D$4:$D$1227,$B36,'декабрь 2023'!$J$4:$J$1227,U$1)</f>
        <v>0</v>
      </c>
      <c r="V36" s="207">
        <f>SUMIFS('декабрь 2023'!$G$4:$G$1227,'декабрь 2023'!$D$4:$D$1227,$B36,'декабрь 2023'!$J$4:$J$1227,V$1)</f>
        <v>0</v>
      </c>
      <c r="W36" s="207">
        <f>SUMIFS('декабрь 2023'!$G$4:$G$1227,'декабрь 2023'!$D$4:$D$1227,$B36,'декабрь 2023'!$J$4:$J$1227,W$1)</f>
        <v>0</v>
      </c>
      <c r="X36" s="207">
        <f>SUMIFS('декабрь 2023'!$G$4:$G$1227,'декабрь 2023'!$D$4:$D$1227,$B36,'декабрь 2023'!$J$4:$J$1227,X$1)</f>
        <v>0</v>
      </c>
      <c r="Y36" s="207">
        <f>SUMIFS('декабрь 2023'!$G$4:$G$1227,'декабрь 2023'!$D$4:$D$1227,$B36,'декабрь 2023'!$J$4:$J$1227,Y$1)</f>
        <v>0</v>
      </c>
      <c r="Z36" s="207">
        <f>SUMIFS('декабрь 2023'!$G$4:$G$1227,'декабрь 2023'!$D$4:$D$1227,$B36,'декабрь 2023'!$J$4:$J$1227,Z$1)</f>
        <v>0</v>
      </c>
      <c r="AA36" s="207">
        <f>SUMIFS('декабрь 2023'!$G$4:$G$1227,'декабрь 2023'!$D$4:$D$1227,$B36,'декабрь 2023'!$J$4:$J$1227,AA$1)</f>
        <v>0</v>
      </c>
      <c r="AB36" s="207">
        <f>SUMIFS('декабрь 2023'!$G$4:$G$1227,'декабрь 2023'!$D$4:$D$1227,$B36,'декабрь 2023'!$J$4:$J$1227,AB$1)</f>
        <v>0</v>
      </c>
      <c r="AC36" s="207">
        <f>SUMIFS('декабрь 2023'!$G$4:$G$1227,'декабрь 2023'!$D$4:$D$1227,$B36,'декабрь 2023'!$J$4:$J$1227,AC$1)</f>
        <v>0</v>
      </c>
      <c r="AD36" s="207">
        <f>SUMIFS('декабрь 2023'!$G$4:$G$1227,'декабрь 2023'!$D$4:$D$1227,$B36,'декабрь 2023'!$J$4:$J$1227,AD$1)</f>
        <v>0</v>
      </c>
      <c r="AE36" s="207">
        <f>SUMIFS('декабрь 2023'!$G$4:$G$1227,'декабрь 2023'!$D$4:$D$1227,$B36,'декабрь 2023'!$J$4:$J$1227,AE$1)</f>
        <v>0</v>
      </c>
      <c r="AF36" s="207">
        <f>SUMIFS('декабрь 2023'!$G$4:$G$1227,'декабрь 2023'!$D$4:$D$1227,$B36,'декабрь 2023'!$J$4:$J$1227,AF$1)</f>
        <v>0</v>
      </c>
      <c r="AG36" s="207">
        <f>SUMIFS('декабрь 2023'!$G$4:$G$1227,'декабрь 2023'!$D$4:$D$1227,$B36,'декабрь 2023'!$J$4:$J$1227,AG$1)</f>
        <v>0</v>
      </c>
      <c r="AH36" s="207">
        <f>SUMIFS('декабрь 2023'!$G$4:$G$1227,'декабрь 2023'!$D$4:$D$1227,$B36,'декабрь 2023'!$J$4:$J$1227,AH$1)</f>
        <v>0</v>
      </c>
      <c r="AI36" s="170">
        <f t="shared" si="1"/>
        <v>0</v>
      </c>
    </row>
    <row r="37" spans="2:35" ht="15" customHeight="1" x14ac:dyDescent="0.25">
      <c r="B37" s="212" t="s">
        <v>492</v>
      </c>
      <c r="C37" s="215">
        <v>25</v>
      </c>
      <c r="D37" s="207">
        <f>SUMIFS('декабрь 2023'!$G$4:$G$1227,'декабрь 2023'!$D$4:$D$1227,$B37,'декабрь 2023'!$J$4:$J$1227,D$1)</f>
        <v>0</v>
      </c>
      <c r="E37" s="207">
        <f>SUMIFS('декабрь 2023'!$G$4:$G$1227,'декабрь 2023'!$D$4:$D$1227,$B37,'декабрь 2023'!$J$4:$J$1227,E$1)</f>
        <v>0</v>
      </c>
      <c r="F37" s="207">
        <f>SUMIFS('декабрь 2023'!$G$4:$G$1227,'декабрь 2023'!$D$4:$D$1227,$B37,'декабрь 2023'!$J$4:$J$1227,F$1)</f>
        <v>0</v>
      </c>
      <c r="G37" s="207">
        <f>SUMIFS('декабрь 2023'!$G$4:$G$1227,'декабрь 2023'!$D$4:$D$1227,$B37,'декабрь 2023'!$J$4:$J$1227,G$1)</f>
        <v>0</v>
      </c>
      <c r="H37" s="207">
        <f>SUMIFS('декабрь 2023'!$G$4:$G$1227,'декабрь 2023'!$D$4:$D$1227,$B37,'декабрь 2023'!$J$4:$J$1227,H$1)</f>
        <v>0</v>
      </c>
      <c r="I37" s="207">
        <f>SUMIFS('декабрь 2023'!$G$4:$G$1227,'декабрь 2023'!$D$4:$D$1227,$B37,'декабрь 2023'!$J$4:$J$1227,I$1)</f>
        <v>0</v>
      </c>
      <c r="J37" s="207">
        <f>SUMIFS('декабрь 2023'!$G$4:$G$1227,'декабрь 2023'!$D$4:$D$1227,$B37,'декабрь 2023'!$J$4:$J$1227,J$1)</f>
        <v>0</v>
      </c>
      <c r="K37" s="207">
        <f>SUMIFS('декабрь 2023'!$G$4:$G$1227,'декабрь 2023'!$D$4:$D$1227,$B37,'декабрь 2023'!$J$4:$J$1227,K$1)</f>
        <v>0</v>
      </c>
      <c r="L37" s="207">
        <f>SUMIFS('декабрь 2023'!$G$4:$G$1227,'декабрь 2023'!$D$4:$D$1227,$B37,'декабрь 2023'!$J$4:$J$1227,L$1)</f>
        <v>0</v>
      </c>
      <c r="M37" s="207">
        <f>SUMIFS('декабрь 2023'!$G$4:$G$1227,'декабрь 2023'!$D$4:$D$1227,$B37,'декабрь 2023'!$J$4:$J$1227,M$1)</f>
        <v>0</v>
      </c>
      <c r="N37" s="207">
        <f>SUMIFS('декабрь 2023'!$G$4:$G$1227,'декабрь 2023'!$D$4:$D$1227,$B37,'декабрь 2023'!$J$4:$J$1227,N$1)</f>
        <v>0</v>
      </c>
      <c r="O37" s="207">
        <f>SUMIFS('декабрь 2023'!$G$4:$G$1227,'декабрь 2023'!$D$4:$D$1227,$B37,'декабрь 2023'!$J$4:$J$1227,O$1)</f>
        <v>0</v>
      </c>
      <c r="P37" s="207">
        <f>SUMIFS('декабрь 2023'!$G$4:$G$1227,'декабрь 2023'!$D$4:$D$1227,$B37,'декабрь 2023'!$J$4:$J$1227,P$1)</f>
        <v>0</v>
      </c>
      <c r="Q37" s="207">
        <f>SUMIFS('декабрь 2023'!$G$4:$G$1227,'декабрь 2023'!$D$4:$D$1227,$B37,'декабрь 2023'!$J$4:$J$1227,Q$1)</f>
        <v>0</v>
      </c>
      <c r="R37" s="207">
        <f>SUMIFS('декабрь 2023'!$G$4:$G$1227,'декабрь 2023'!$D$4:$D$1227,$B37,'декабрь 2023'!$J$4:$J$1227,R$1)</f>
        <v>0</v>
      </c>
      <c r="S37" s="207">
        <f>SUMIFS('декабрь 2023'!$G$4:$G$1227,'декабрь 2023'!$D$4:$D$1227,$B37,'декабрь 2023'!$J$4:$J$1227,S$1)</f>
        <v>0</v>
      </c>
      <c r="T37" s="207">
        <f>SUMIFS('декабрь 2023'!$G$4:$G$1227,'декабрь 2023'!$D$4:$D$1227,$B37,'декабрь 2023'!$J$4:$J$1227,T$1)</f>
        <v>0</v>
      </c>
      <c r="U37" s="207">
        <f>SUMIFS('декабрь 2023'!$G$4:$G$1227,'декабрь 2023'!$D$4:$D$1227,$B37,'декабрь 2023'!$J$4:$J$1227,U$1)</f>
        <v>0</v>
      </c>
      <c r="V37" s="207">
        <f>SUMIFS('декабрь 2023'!$G$4:$G$1227,'декабрь 2023'!$D$4:$D$1227,$B37,'декабрь 2023'!$J$4:$J$1227,V$1)</f>
        <v>0</v>
      </c>
      <c r="W37" s="207">
        <f>SUMIFS('декабрь 2023'!$G$4:$G$1227,'декабрь 2023'!$D$4:$D$1227,$B37,'декабрь 2023'!$J$4:$J$1227,W$1)</f>
        <v>0</v>
      </c>
      <c r="X37" s="207">
        <f>SUMIFS('декабрь 2023'!$G$4:$G$1227,'декабрь 2023'!$D$4:$D$1227,$B37,'декабрь 2023'!$J$4:$J$1227,X$1)</f>
        <v>0</v>
      </c>
      <c r="Y37" s="207">
        <f>SUMIFS('декабрь 2023'!$G$4:$G$1227,'декабрь 2023'!$D$4:$D$1227,$B37,'декабрь 2023'!$J$4:$J$1227,Y$1)</f>
        <v>0</v>
      </c>
      <c r="Z37" s="207">
        <f>SUMIFS('декабрь 2023'!$G$4:$G$1227,'декабрь 2023'!$D$4:$D$1227,$B37,'декабрь 2023'!$J$4:$J$1227,Z$1)</f>
        <v>0</v>
      </c>
      <c r="AA37" s="207">
        <f>SUMIFS('декабрь 2023'!$G$4:$G$1227,'декабрь 2023'!$D$4:$D$1227,$B37,'декабрь 2023'!$J$4:$J$1227,AA$1)</f>
        <v>0</v>
      </c>
      <c r="AB37" s="207">
        <f>SUMIFS('декабрь 2023'!$G$4:$G$1227,'декабрь 2023'!$D$4:$D$1227,$B37,'декабрь 2023'!$J$4:$J$1227,AB$1)</f>
        <v>0</v>
      </c>
      <c r="AC37" s="207">
        <f>SUMIFS('декабрь 2023'!$G$4:$G$1227,'декабрь 2023'!$D$4:$D$1227,$B37,'декабрь 2023'!$J$4:$J$1227,AC$1)</f>
        <v>0</v>
      </c>
      <c r="AD37" s="207">
        <f>SUMIFS('декабрь 2023'!$G$4:$G$1227,'декабрь 2023'!$D$4:$D$1227,$B37,'декабрь 2023'!$J$4:$J$1227,AD$1)</f>
        <v>0</v>
      </c>
      <c r="AE37" s="207">
        <f>SUMIFS('декабрь 2023'!$G$4:$G$1227,'декабрь 2023'!$D$4:$D$1227,$B37,'декабрь 2023'!$J$4:$J$1227,AE$1)</f>
        <v>0</v>
      </c>
      <c r="AF37" s="207">
        <f>SUMIFS('декабрь 2023'!$G$4:$G$1227,'декабрь 2023'!$D$4:$D$1227,$B37,'декабрь 2023'!$J$4:$J$1227,AF$1)</f>
        <v>0</v>
      </c>
      <c r="AG37" s="207">
        <f>SUMIFS('декабрь 2023'!$G$4:$G$1227,'декабрь 2023'!$D$4:$D$1227,$B37,'декабрь 2023'!$J$4:$J$1227,AG$1)</f>
        <v>0</v>
      </c>
      <c r="AH37" s="207">
        <f>SUMIFS('декабрь 2023'!$G$4:$G$1227,'декабрь 2023'!$D$4:$D$1227,$B37,'декабрь 2023'!$J$4:$J$1227,AH$1)</f>
        <v>0</v>
      </c>
      <c r="AI37" s="170">
        <f t="shared" si="1"/>
        <v>0</v>
      </c>
    </row>
    <row r="38" spans="2:35" ht="15" customHeight="1" x14ac:dyDescent="0.25">
      <c r="B38" s="212" t="s">
        <v>1600</v>
      </c>
      <c r="C38" s="211">
        <v>25</v>
      </c>
      <c r="D38" s="207">
        <f>SUMIFS('декабрь 2023'!$G$4:$G$1227,'декабрь 2023'!$D$4:$D$1227,$B38,'декабрь 2023'!$J$4:$J$1227,D$1)</f>
        <v>0</v>
      </c>
      <c r="E38" s="207">
        <f>SUMIFS('декабрь 2023'!$G$4:$G$1227,'декабрь 2023'!$D$4:$D$1227,$B38,'декабрь 2023'!$J$4:$J$1227,E$1)</f>
        <v>0</v>
      </c>
      <c r="F38" s="207">
        <f>SUMIFS('декабрь 2023'!$G$4:$G$1227,'декабрь 2023'!$D$4:$D$1227,$B38,'декабрь 2023'!$J$4:$J$1227,F$1)</f>
        <v>0</v>
      </c>
      <c r="G38" s="207">
        <f>SUMIFS('декабрь 2023'!$G$4:$G$1227,'декабрь 2023'!$D$4:$D$1227,$B38,'декабрь 2023'!$J$4:$J$1227,G$1)</f>
        <v>0</v>
      </c>
      <c r="H38" s="207">
        <f>SUMIFS('декабрь 2023'!$G$4:$G$1227,'декабрь 2023'!$D$4:$D$1227,$B38,'декабрь 2023'!$J$4:$J$1227,H$1)</f>
        <v>0</v>
      </c>
      <c r="I38" s="207">
        <f>SUMIFS('декабрь 2023'!$G$4:$G$1227,'декабрь 2023'!$D$4:$D$1227,$B38,'декабрь 2023'!$J$4:$J$1227,I$1)</f>
        <v>0</v>
      </c>
      <c r="J38" s="207">
        <f>SUMIFS('декабрь 2023'!$G$4:$G$1227,'декабрь 2023'!$D$4:$D$1227,$B38,'декабрь 2023'!$J$4:$J$1227,J$1)</f>
        <v>0</v>
      </c>
      <c r="K38" s="207">
        <f>SUMIFS('декабрь 2023'!$G$4:$G$1227,'декабрь 2023'!$D$4:$D$1227,$B38,'декабрь 2023'!$J$4:$J$1227,K$1)</f>
        <v>0</v>
      </c>
      <c r="L38" s="207">
        <f>SUMIFS('декабрь 2023'!$G$4:$G$1227,'декабрь 2023'!$D$4:$D$1227,$B38,'декабрь 2023'!$J$4:$J$1227,L$1)</f>
        <v>0</v>
      </c>
      <c r="M38" s="207">
        <f>SUMIFS('декабрь 2023'!$G$4:$G$1227,'декабрь 2023'!$D$4:$D$1227,$B38,'декабрь 2023'!$J$4:$J$1227,M$1)</f>
        <v>0</v>
      </c>
      <c r="N38" s="207">
        <f>SUMIFS('декабрь 2023'!$G$4:$G$1227,'декабрь 2023'!$D$4:$D$1227,$B38,'декабрь 2023'!$J$4:$J$1227,N$1)</f>
        <v>0</v>
      </c>
      <c r="O38" s="207">
        <f>SUMIFS('декабрь 2023'!$G$4:$G$1227,'декабрь 2023'!$D$4:$D$1227,$B38,'декабрь 2023'!$J$4:$J$1227,O$1)</f>
        <v>0</v>
      </c>
      <c r="P38" s="207">
        <f>SUMIFS('декабрь 2023'!$G$4:$G$1227,'декабрь 2023'!$D$4:$D$1227,$B38,'декабрь 2023'!$J$4:$J$1227,P$1)</f>
        <v>0</v>
      </c>
      <c r="Q38" s="207">
        <f>SUMIFS('декабрь 2023'!$G$4:$G$1227,'декабрь 2023'!$D$4:$D$1227,$B38,'декабрь 2023'!$J$4:$J$1227,Q$1)</f>
        <v>0</v>
      </c>
      <c r="R38" s="207">
        <f>SUMIFS('декабрь 2023'!$G$4:$G$1227,'декабрь 2023'!$D$4:$D$1227,$B38,'декабрь 2023'!$J$4:$J$1227,R$1)</f>
        <v>0</v>
      </c>
      <c r="S38" s="207">
        <f>SUMIFS('декабрь 2023'!$G$4:$G$1227,'декабрь 2023'!$D$4:$D$1227,$B38,'декабрь 2023'!$J$4:$J$1227,S$1)</f>
        <v>0</v>
      </c>
      <c r="T38" s="207">
        <f>SUMIFS('декабрь 2023'!$G$4:$G$1227,'декабрь 2023'!$D$4:$D$1227,$B38,'декабрь 2023'!$J$4:$J$1227,T$1)</f>
        <v>0</v>
      </c>
      <c r="U38" s="207">
        <f>SUMIFS('декабрь 2023'!$G$4:$G$1227,'декабрь 2023'!$D$4:$D$1227,$B38,'декабрь 2023'!$J$4:$J$1227,U$1)</f>
        <v>0</v>
      </c>
      <c r="V38" s="207">
        <f>SUMIFS('декабрь 2023'!$G$4:$G$1227,'декабрь 2023'!$D$4:$D$1227,$B38,'декабрь 2023'!$J$4:$J$1227,V$1)</f>
        <v>0</v>
      </c>
      <c r="W38" s="207">
        <f>SUMIFS('декабрь 2023'!$G$4:$G$1227,'декабрь 2023'!$D$4:$D$1227,$B38,'декабрь 2023'!$J$4:$J$1227,W$1)</f>
        <v>0</v>
      </c>
      <c r="X38" s="207">
        <f>SUMIFS('декабрь 2023'!$G$4:$G$1227,'декабрь 2023'!$D$4:$D$1227,$B38,'декабрь 2023'!$J$4:$J$1227,X$1)</f>
        <v>0</v>
      </c>
      <c r="Y38" s="207">
        <f>SUMIFS('декабрь 2023'!$G$4:$G$1227,'декабрь 2023'!$D$4:$D$1227,$B38,'декабрь 2023'!$J$4:$J$1227,Y$1)</f>
        <v>0</v>
      </c>
      <c r="Z38" s="207">
        <f>SUMIFS('декабрь 2023'!$G$4:$G$1227,'декабрь 2023'!$D$4:$D$1227,$B38,'декабрь 2023'!$J$4:$J$1227,Z$1)</f>
        <v>0</v>
      </c>
      <c r="AA38" s="207">
        <f>SUMIFS('декабрь 2023'!$G$4:$G$1227,'декабрь 2023'!$D$4:$D$1227,$B38,'декабрь 2023'!$J$4:$J$1227,AA$1)</f>
        <v>0</v>
      </c>
      <c r="AB38" s="207">
        <f>SUMIFS('декабрь 2023'!$G$4:$G$1227,'декабрь 2023'!$D$4:$D$1227,$B38,'декабрь 2023'!$J$4:$J$1227,AB$1)</f>
        <v>0</v>
      </c>
      <c r="AC38" s="207">
        <f>SUMIFS('декабрь 2023'!$G$4:$G$1227,'декабрь 2023'!$D$4:$D$1227,$B38,'декабрь 2023'!$J$4:$J$1227,AC$1)</f>
        <v>0</v>
      </c>
      <c r="AD38" s="207">
        <f>SUMIFS('декабрь 2023'!$G$4:$G$1227,'декабрь 2023'!$D$4:$D$1227,$B38,'декабрь 2023'!$J$4:$J$1227,AD$1)</f>
        <v>0</v>
      </c>
      <c r="AE38" s="207">
        <f>SUMIFS('декабрь 2023'!$G$4:$G$1227,'декабрь 2023'!$D$4:$D$1227,$B38,'декабрь 2023'!$J$4:$J$1227,AE$1)</f>
        <v>0</v>
      </c>
      <c r="AF38" s="207">
        <f>SUMIFS('декабрь 2023'!$G$4:$G$1227,'декабрь 2023'!$D$4:$D$1227,$B38,'декабрь 2023'!$J$4:$J$1227,AF$1)</f>
        <v>0</v>
      </c>
      <c r="AG38" s="207">
        <f>SUMIFS('декабрь 2023'!$G$4:$G$1227,'декабрь 2023'!$D$4:$D$1227,$B38,'декабрь 2023'!$J$4:$J$1227,AG$1)</f>
        <v>0</v>
      </c>
      <c r="AH38" s="207">
        <f>SUMIFS('декабрь 2023'!$G$4:$G$1227,'декабрь 2023'!$D$4:$D$1227,$B38,'декабрь 2023'!$J$4:$J$1227,AH$1)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SUMIFS('декабрь 2023'!$G$4:$G$1227,'декабрь 2023'!$D$4:$D$1227,$B39,'декабрь 2023'!$J$4:$J$1227,D$1)</f>
        <v>0</v>
      </c>
      <c r="E39" s="207">
        <f>SUMIFS('декабрь 2023'!$G$4:$G$1227,'декабрь 2023'!$D$4:$D$1227,$B39,'декабрь 2023'!$J$4:$J$1227,E$1)</f>
        <v>0</v>
      </c>
      <c r="F39" s="207">
        <f>SUMIFS('декабрь 2023'!$G$4:$G$1227,'декабрь 2023'!$D$4:$D$1227,$B39,'декабрь 2023'!$J$4:$J$1227,F$1)</f>
        <v>0</v>
      </c>
      <c r="G39" s="207">
        <f>SUMIFS('декабрь 2023'!$G$4:$G$1227,'декабрь 2023'!$D$4:$D$1227,$B39,'декабрь 2023'!$J$4:$J$1227,G$1)</f>
        <v>0</v>
      </c>
      <c r="H39" s="207">
        <f>SUMIFS('декабрь 2023'!$G$4:$G$1227,'декабрь 2023'!$D$4:$D$1227,$B39,'декабрь 2023'!$J$4:$J$1227,H$1)</f>
        <v>0</v>
      </c>
      <c r="I39" s="207">
        <f>SUMIFS('декабрь 2023'!$G$4:$G$1227,'декабрь 2023'!$D$4:$D$1227,$B39,'декабрь 2023'!$J$4:$J$1227,I$1)</f>
        <v>0</v>
      </c>
      <c r="J39" s="207">
        <f>SUMIFS('декабрь 2023'!$G$4:$G$1227,'декабрь 2023'!$D$4:$D$1227,$B39,'декабрь 2023'!$J$4:$J$1227,J$1)</f>
        <v>0</v>
      </c>
      <c r="K39" s="207">
        <f>SUMIFS('декабрь 2023'!$G$4:$G$1227,'декабрь 2023'!$D$4:$D$1227,$B39,'декабрь 2023'!$J$4:$J$1227,K$1)</f>
        <v>0</v>
      </c>
      <c r="L39" s="207">
        <f>SUMIFS('декабрь 2023'!$G$4:$G$1227,'декабрь 2023'!$D$4:$D$1227,$B39,'декабрь 2023'!$J$4:$J$1227,L$1)</f>
        <v>0</v>
      </c>
      <c r="M39" s="207">
        <f>SUMIFS('декабрь 2023'!$G$4:$G$1227,'декабрь 2023'!$D$4:$D$1227,$B39,'декабрь 2023'!$J$4:$J$1227,M$1)</f>
        <v>0</v>
      </c>
      <c r="N39" s="207">
        <f>SUMIFS('декабрь 2023'!$G$4:$G$1227,'декабрь 2023'!$D$4:$D$1227,$B39,'декабрь 2023'!$J$4:$J$1227,N$1)</f>
        <v>0</v>
      </c>
      <c r="O39" s="207">
        <f>SUMIFS('декабрь 2023'!$G$4:$G$1227,'декабрь 2023'!$D$4:$D$1227,$B39,'декабрь 2023'!$J$4:$J$1227,O$1)</f>
        <v>0</v>
      </c>
      <c r="P39" s="207">
        <f>SUMIFS('декабрь 2023'!$G$4:$G$1227,'декабрь 2023'!$D$4:$D$1227,$B39,'декабрь 2023'!$J$4:$J$1227,P$1)</f>
        <v>0</v>
      </c>
      <c r="Q39" s="207">
        <f>SUMIFS('декабрь 2023'!$G$4:$G$1227,'декабрь 2023'!$D$4:$D$1227,$B39,'декабрь 2023'!$J$4:$J$1227,Q$1)</f>
        <v>0</v>
      </c>
      <c r="R39" s="207">
        <f>SUMIFS('декабрь 2023'!$G$4:$G$1227,'декабрь 2023'!$D$4:$D$1227,$B39,'декабрь 2023'!$J$4:$J$1227,R$1)</f>
        <v>0</v>
      </c>
      <c r="S39" s="207">
        <f>SUMIFS('декабрь 2023'!$G$4:$G$1227,'декабрь 2023'!$D$4:$D$1227,$B39,'декабрь 2023'!$J$4:$J$1227,S$1)</f>
        <v>0</v>
      </c>
      <c r="T39" s="207">
        <f>SUMIFS('декабрь 2023'!$G$4:$G$1227,'декабрь 2023'!$D$4:$D$1227,$B39,'декабрь 2023'!$J$4:$J$1227,T$1)</f>
        <v>0</v>
      </c>
      <c r="U39" s="207">
        <f>SUMIFS('декабрь 2023'!$G$4:$G$1227,'декабрь 2023'!$D$4:$D$1227,$B39,'декабрь 2023'!$J$4:$J$1227,U$1)</f>
        <v>0</v>
      </c>
      <c r="V39" s="207">
        <f>SUMIFS('декабрь 2023'!$G$4:$G$1227,'декабрь 2023'!$D$4:$D$1227,$B39,'декабрь 2023'!$J$4:$J$1227,V$1)</f>
        <v>0</v>
      </c>
      <c r="W39" s="207">
        <f>SUMIFS('декабрь 2023'!$G$4:$G$1227,'декабрь 2023'!$D$4:$D$1227,$B39,'декабрь 2023'!$J$4:$J$1227,W$1)</f>
        <v>0</v>
      </c>
      <c r="X39" s="207">
        <f>SUMIFS('декабрь 2023'!$G$4:$G$1227,'декабрь 2023'!$D$4:$D$1227,$B39,'декабрь 2023'!$J$4:$J$1227,X$1)</f>
        <v>0</v>
      </c>
      <c r="Y39" s="207">
        <f>SUMIFS('декабрь 2023'!$G$4:$G$1227,'декабрь 2023'!$D$4:$D$1227,$B39,'декабрь 2023'!$J$4:$J$1227,Y$1)</f>
        <v>0</v>
      </c>
      <c r="Z39" s="207">
        <f>SUMIFS('декабрь 2023'!$G$4:$G$1227,'декабрь 2023'!$D$4:$D$1227,$B39,'декабрь 2023'!$J$4:$J$1227,Z$1)</f>
        <v>0</v>
      </c>
      <c r="AA39" s="207">
        <f>SUMIFS('декабрь 2023'!$G$4:$G$1227,'декабрь 2023'!$D$4:$D$1227,$B39,'декабрь 2023'!$J$4:$J$1227,AA$1)</f>
        <v>0</v>
      </c>
      <c r="AB39" s="207">
        <f>SUMIFS('декабрь 2023'!$G$4:$G$1227,'декабрь 2023'!$D$4:$D$1227,$B39,'декабрь 2023'!$J$4:$J$1227,AB$1)</f>
        <v>0</v>
      </c>
      <c r="AC39" s="207">
        <f>SUMIFS('декабрь 2023'!$G$4:$G$1227,'декабрь 2023'!$D$4:$D$1227,$B39,'декабрь 2023'!$J$4:$J$1227,AC$1)</f>
        <v>0</v>
      </c>
      <c r="AD39" s="207">
        <f>SUMIFS('декабрь 2023'!$G$4:$G$1227,'декабрь 2023'!$D$4:$D$1227,$B39,'декабрь 2023'!$J$4:$J$1227,AD$1)</f>
        <v>0</v>
      </c>
      <c r="AE39" s="207">
        <f>SUMIFS('декабрь 2023'!$G$4:$G$1227,'декабрь 2023'!$D$4:$D$1227,$B39,'декабрь 2023'!$J$4:$J$1227,AE$1)</f>
        <v>0</v>
      </c>
      <c r="AF39" s="207">
        <f>SUMIFS('декабрь 2023'!$G$4:$G$1227,'декабрь 2023'!$D$4:$D$1227,$B39,'декабрь 2023'!$J$4:$J$1227,AF$1)</f>
        <v>0</v>
      </c>
      <c r="AG39" s="207">
        <f>SUMIFS('декабрь 2023'!$G$4:$G$1227,'декабрь 2023'!$D$4:$D$1227,$B39,'декабрь 2023'!$J$4:$J$1227,AG$1)</f>
        <v>0</v>
      </c>
      <c r="AH39" s="207">
        <f>SUMIFS('декабрь 2023'!$G$4:$G$1227,'декабрь 2023'!$D$4:$D$1227,$B39,'декабрь 2023'!$J$4:$J$1227,AH$1)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SUMIFS('декабрь 2023'!$G$4:$G$1227,'декабрь 2023'!$D$4:$D$1227,$B40,'декабрь 2023'!$J$4:$J$1227,D$1)</f>
        <v>0</v>
      </c>
      <c r="E40" s="207">
        <f>SUMIFS('декабрь 2023'!$G$4:$G$1227,'декабрь 2023'!$D$4:$D$1227,$B40,'декабрь 2023'!$J$4:$J$1227,E$1)</f>
        <v>0</v>
      </c>
      <c r="F40" s="207">
        <f>SUMIFS('декабрь 2023'!$G$4:$G$1227,'декабрь 2023'!$D$4:$D$1227,$B40,'декабрь 2023'!$J$4:$J$1227,F$1)</f>
        <v>0</v>
      </c>
      <c r="G40" s="207">
        <f>SUMIFS('декабрь 2023'!$G$4:$G$1227,'декабрь 2023'!$D$4:$D$1227,$B40,'декабрь 2023'!$J$4:$J$1227,G$1)</f>
        <v>0</v>
      </c>
      <c r="H40" s="207">
        <f>SUMIFS('декабрь 2023'!$G$4:$G$1227,'декабрь 2023'!$D$4:$D$1227,$B40,'декабрь 2023'!$J$4:$J$1227,H$1)</f>
        <v>0</v>
      </c>
      <c r="I40" s="207">
        <f>SUMIFS('декабрь 2023'!$G$4:$G$1227,'декабрь 2023'!$D$4:$D$1227,$B40,'декабрь 2023'!$J$4:$J$1227,I$1)</f>
        <v>0</v>
      </c>
      <c r="J40" s="207">
        <f>SUMIFS('декабрь 2023'!$G$4:$G$1227,'декабрь 2023'!$D$4:$D$1227,$B40,'декабрь 2023'!$J$4:$J$1227,J$1)</f>
        <v>0</v>
      </c>
      <c r="K40" s="207">
        <f>SUMIFS('декабрь 2023'!$G$4:$G$1227,'декабрь 2023'!$D$4:$D$1227,$B40,'декабрь 2023'!$J$4:$J$1227,K$1)</f>
        <v>0</v>
      </c>
      <c r="L40" s="207">
        <f>SUMIFS('декабрь 2023'!$G$4:$G$1227,'декабрь 2023'!$D$4:$D$1227,$B40,'декабрь 2023'!$J$4:$J$1227,L$1)</f>
        <v>0</v>
      </c>
      <c r="M40" s="207">
        <f>SUMIFS('декабрь 2023'!$G$4:$G$1227,'декабрь 2023'!$D$4:$D$1227,$B40,'декабрь 2023'!$J$4:$J$1227,M$1)</f>
        <v>0</v>
      </c>
      <c r="N40" s="207">
        <f>SUMIFS('декабрь 2023'!$G$4:$G$1227,'декабрь 2023'!$D$4:$D$1227,$B40,'декабрь 2023'!$J$4:$J$1227,N$1)</f>
        <v>0</v>
      </c>
      <c r="O40" s="207">
        <f>SUMIFS('декабрь 2023'!$G$4:$G$1227,'декабрь 2023'!$D$4:$D$1227,$B40,'декабрь 2023'!$J$4:$J$1227,O$1)</f>
        <v>0</v>
      </c>
      <c r="P40" s="207">
        <f>SUMIFS('декабрь 2023'!$G$4:$G$1227,'декабрь 2023'!$D$4:$D$1227,$B40,'декабрь 2023'!$J$4:$J$1227,P$1)</f>
        <v>0</v>
      </c>
      <c r="Q40" s="207">
        <f>SUMIFS('декабрь 2023'!$G$4:$G$1227,'декабрь 2023'!$D$4:$D$1227,$B40,'декабрь 2023'!$J$4:$J$1227,Q$1)</f>
        <v>0</v>
      </c>
      <c r="R40" s="207">
        <f>SUMIFS('декабрь 2023'!$G$4:$G$1227,'декабрь 2023'!$D$4:$D$1227,$B40,'декабрь 2023'!$J$4:$J$1227,R$1)</f>
        <v>0</v>
      </c>
      <c r="S40" s="207">
        <f>SUMIFS('декабрь 2023'!$G$4:$G$1227,'декабрь 2023'!$D$4:$D$1227,$B40,'декабрь 2023'!$J$4:$J$1227,S$1)</f>
        <v>0</v>
      </c>
      <c r="T40" s="207">
        <f>SUMIFS('декабрь 2023'!$G$4:$G$1227,'декабрь 2023'!$D$4:$D$1227,$B40,'декабрь 2023'!$J$4:$J$1227,T$1)</f>
        <v>0</v>
      </c>
      <c r="U40" s="207">
        <f>SUMIFS('декабрь 2023'!$G$4:$G$1227,'декабрь 2023'!$D$4:$D$1227,$B40,'декабрь 2023'!$J$4:$J$1227,U$1)</f>
        <v>0</v>
      </c>
      <c r="V40" s="207">
        <f>SUMIFS('декабрь 2023'!$G$4:$G$1227,'декабрь 2023'!$D$4:$D$1227,$B40,'декабрь 2023'!$J$4:$J$1227,V$1)</f>
        <v>0</v>
      </c>
      <c r="W40" s="207">
        <f>SUMIFS('декабрь 2023'!$G$4:$G$1227,'декабрь 2023'!$D$4:$D$1227,$B40,'декабрь 2023'!$J$4:$J$1227,W$1)</f>
        <v>0</v>
      </c>
      <c r="X40" s="207">
        <f>SUMIFS('декабрь 2023'!$G$4:$G$1227,'декабрь 2023'!$D$4:$D$1227,$B40,'декабрь 2023'!$J$4:$J$1227,X$1)</f>
        <v>0</v>
      </c>
      <c r="Y40" s="207">
        <f>SUMIFS('декабрь 2023'!$G$4:$G$1227,'декабрь 2023'!$D$4:$D$1227,$B40,'декабрь 2023'!$J$4:$J$1227,Y$1)</f>
        <v>0</v>
      </c>
      <c r="Z40" s="207">
        <f>SUMIFS('декабрь 2023'!$G$4:$G$1227,'декабрь 2023'!$D$4:$D$1227,$B40,'декабрь 2023'!$J$4:$J$1227,Z$1)</f>
        <v>0</v>
      </c>
      <c r="AA40" s="207">
        <f>SUMIFS('декабрь 2023'!$G$4:$G$1227,'декабрь 2023'!$D$4:$D$1227,$B40,'декабрь 2023'!$J$4:$J$1227,AA$1)</f>
        <v>0</v>
      </c>
      <c r="AB40" s="207">
        <f>SUMIFS('декабрь 2023'!$G$4:$G$1227,'декабрь 2023'!$D$4:$D$1227,$B40,'декабрь 2023'!$J$4:$J$1227,AB$1)</f>
        <v>0</v>
      </c>
      <c r="AC40" s="207">
        <f>SUMIFS('декабрь 2023'!$G$4:$G$1227,'декабрь 2023'!$D$4:$D$1227,$B40,'декабрь 2023'!$J$4:$J$1227,AC$1)</f>
        <v>0</v>
      </c>
      <c r="AD40" s="207">
        <f>SUMIFS('декабрь 2023'!$G$4:$G$1227,'декабрь 2023'!$D$4:$D$1227,$B40,'декабрь 2023'!$J$4:$J$1227,AD$1)</f>
        <v>0</v>
      </c>
      <c r="AE40" s="207">
        <f>SUMIFS('декабрь 2023'!$G$4:$G$1227,'декабрь 2023'!$D$4:$D$1227,$B40,'декабрь 2023'!$J$4:$J$1227,AE$1)</f>
        <v>0</v>
      </c>
      <c r="AF40" s="207">
        <f>SUMIFS('декабрь 2023'!$G$4:$G$1227,'декабрь 2023'!$D$4:$D$1227,$B40,'декабрь 2023'!$J$4:$J$1227,AF$1)</f>
        <v>0</v>
      </c>
      <c r="AG40" s="207">
        <f>SUMIFS('декабрь 2023'!$G$4:$G$1227,'декабрь 2023'!$D$4:$D$1227,$B40,'декабрь 2023'!$J$4:$J$1227,AG$1)</f>
        <v>0</v>
      </c>
      <c r="AH40" s="207">
        <f>SUMIFS('декабрь 2023'!$G$4:$G$1227,'декабрь 2023'!$D$4:$D$1227,$B40,'декабрь 2023'!$J$4:$J$1227,AH$1)</f>
        <v>0</v>
      </c>
      <c r="AI40" s="170">
        <f t="shared" si="1"/>
        <v>0</v>
      </c>
    </row>
    <row r="41" spans="2:35" ht="15" customHeight="1" x14ac:dyDescent="0.25">
      <c r="B41" s="216" t="s">
        <v>2125</v>
      </c>
      <c r="C41" s="213">
        <v>25</v>
      </c>
      <c r="D41" s="207">
        <f>SUMIFS('декабрь 2023'!$G$4:$G$1227,'декабрь 2023'!$D$4:$D$1227,$B41,'декабрь 2023'!$J$4:$J$1227,D$1)</f>
        <v>0</v>
      </c>
      <c r="E41" s="207">
        <f>SUMIFS('декабрь 2023'!$G$4:$G$1227,'декабрь 2023'!$D$4:$D$1227,$B41,'декабрь 2023'!$J$4:$J$1227,E$1)</f>
        <v>0</v>
      </c>
      <c r="F41" s="207">
        <f>SUMIFS('декабрь 2023'!$G$4:$G$1227,'декабрь 2023'!$D$4:$D$1227,$B41,'декабрь 2023'!$J$4:$J$1227,F$1)</f>
        <v>0</v>
      </c>
      <c r="G41" s="207">
        <f>SUMIFS('декабрь 2023'!$G$4:$G$1227,'декабрь 2023'!$D$4:$D$1227,$B41,'декабрь 2023'!$J$4:$J$1227,G$1)</f>
        <v>0</v>
      </c>
      <c r="H41" s="207">
        <f>SUMIFS('декабрь 2023'!$G$4:$G$1227,'декабрь 2023'!$D$4:$D$1227,$B41,'декабрь 2023'!$J$4:$J$1227,H$1)</f>
        <v>0</v>
      </c>
      <c r="I41" s="207">
        <f>SUMIFS('декабрь 2023'!$G$4:$G$1227,'декабрь 2023'!$D$4:$D$1227,$B41,'декабрь 2023'!$J$4:$J$1227,I$1)</f>
        <v>0</v>
      </c>
      <c r="J41" s="207">
        <f>SUMIFS('декабрь 2023'!$G$4:$G$1227,'декабрь 2023'!$D$4:$D$1227,$B41,'декабрь 2023'!$J$4:$J$1227,J$1)</f>
        <v>0</v>
      </c>
      <c r="K41" s="207">
        <f>SUMIFS('декабрь 2023'!$G$4:$G$1227,'декабрь 2023'!$D$4:$D$1227,$B41,'декабрь 2023'!$J$4:$J$1227,K$1)</f>
        <v>0</v>
      </c>
      <c r="L41" s="207">
        <f>SUMIFS('декабрь 2023'!$G$4:$G$1227,'декабрь 2023'!$D$4:$D$1227,$B41,'декабрь 2023'!$J$4:$J$1227,L$1)</f>
        <v>0</v>
      </c>
      <c r="M41" s="207">
        <f>SUMIFS('декабрь 2023'!$G$4:$G$1227,'декабрь 2023'!$D$4:$D$1227,$B41,'декабрь 2023'!$J$4:$J$1227,M$1)</f>
        <v>0</v>
      </c>
      <c r="N41" s="207">
        <f>SUMIFS('декабрь 2023'!$G$4:$G$1227,'декабрь 2023'!$D$4:$D$1227,$B41,'декабрь 2023'!$J$4:$J$1227,N$1)</f>
        <v>0</v>
      </c>
      <c r="O41" s="207">
        <f>SUMIFS('декабрь 2023'!$G$4:$G$1227,'декабрь 2023'!$D$4:$D$1227,$B41,'декабрь 2023'!$J$4:$J$1227,O$1)</f>
        <v>0</v>
      </c>
      <c r="P41" s="207">
        <f>SUMIFS('декабрь 2023'!$G$4:$G$1227,'декабрь 2023'!$D$4:$D$1227,$B41,'декабрь 2023'!$J$4:$J$1227,P$1)</f>
        <v>0</v>
      </c>
      <c r="Q41" s="207">
        <f>SUMIFS('декабрь 2023'!$G$4:$G$1227,'декабрь 2023'!$D$4:$D$1227,$B41,'декабрь 2023'!$J$4:$J$1227,Q$1)</f>
        <v>0</v>
      </c>
      <c r="R41" s="207">
        <f>SUMIFS('декабрь 2023'!$G$4:$G$1227,'декабрь 2023'!$D$4:$D$1227,$B41,'декабрь 2023'!$J$4:$J$1227,R$1)</f>
        <v>0</v>
      </c>
      <c r="S41" s="207">
        <f>SUMIFS('декабрь 2023'!$G$4:$G$1227,'декабрь 2023'!$D$4:$D$1227,$B41,'декабрь 2023'!$J$4:$J$1227,S$1)</f>
        <v>0</v>
      </c>
      <c r="T41" s="207">
        <f>SUMIFS('декабрь 2023'!$G$4:$G$1227,'декабрь 2023'!$D$4:$D$1227,$B41,'декабрь 2023'!$J$4:$J$1227,T$1)</f>
        <v>0</v>
      </c>
      <c r="U41" s="207">
        <f>SUMIFS('декабрь 2023'!$G$4:$G$1227,'декабрь 2023'!$D$4:$D$1227,$B41,'декабрь 2023'!$J$4:$J$1227,U$1)</f>
        <v>0</v>
      </c>
      <c r="V41" s="207">
        <f>SUMIFS('декабрь 2023'!$G$4:$G$1227,'декабрь 2023'!$D$4:$D$1227,$B41,'декабрь 2023'!$J$4:$J$1227,V$1)</f>
        <v>0</v>
      </c>
      <c r="W41" s="207">
        <f>SUMIFS('декабрь 2023'!$G$4:$G$1227,'декабрь 2023'!$D$4:$D$1227,$B41,'декабрь 2023'!$J$4:$J$1227,W$1)</f>
        <v>0</v>
      </c>
      <c r="X41" s="207">
        <f>SUMIFS('декабрь 2023'!$G$4:$G$1227,'декабрь 2023'!$D$4:$D$1227,$B41,'декабрь 2023'!$J$4:$J$1227,X$1)</f>
        <v>0</v>
      </c>
      <c r="Y41" s="207">
        <f>SUMIFS('декабрь 2023'!$G$4:$G$1227,'декабрь 2023'!$D$4:$D$1227,$B41,'декабрь 2023'!$J$4:$J$1227,Y$1)</f>
        <v>0</v>
      </c>
      <c r="Z41" s="207">
        <f>SUMIFS('декабрь 2023'!$G$4:$G$1227,'декабрь 2023'!$D$4:$D$1227,$B41,'декабрь 2023'!$J$4:$J$1227,Z$1)</f>
        <v>0</v>
      </c>
      <c r="AA41" s="207">
        <f>SUMIFS('декабрь 2023'!$G$4:$G$1227,'декабрь 2023'!$D$4:$D$1227,$B41,'декабрь 2023'!$J$4:$J$1227,AA$1)</f>
        <v>0</v>
      </c>
      <c r="AB41" s="207">
        <f>SUMIFS('декабрь 2023'!$G$4:$G$1227,'декабрь 2023'!$D$4:$D$1227,$B41,'декабрь 2023'!$J$4:$J$1227,AB$1)</f>
        <v>0</v>
      </c>
      <c r="AC41" s="207">
        <f>SUMIFS('декабрь 2023'!$G$4:$G$1227,'декабрь 2023'!$D$4:$D$1227,$B41,'декабрь 2023'!$J$4:$J$1227,AC$1)</f>
        <v>0</v>
      </c>
      <c r="AD41" s="207">
        <f>SUMIFS('декабрь 2023'!$G$4:$G$1227,'декабрь 2023'!$D$4:$D$1227,$B41,'декабрь 2023'!$J$4:$J$1227,AD$1)</f>
        <v>0</v>
      </c>
      <c r="AE41" s="207">
        <f>SUMIFS('декабрь 2023'!$G$4:$G$1227,'декабрь 2023'!$D$4:$D$1227,$B41,'декабрь 2023'!$J$4:$J$1227,AE$1)</f>
        <v>0</v>
      </c>
      <c r="AF41" s="207">
        <f>SUMIFS('декабрь 2023'!$G$4:$G$1227,'декабрь 2023'!$D$4:$D$1227,$B41,'декабрь 2023'!$J$4:$J$1227,AF$1)</f>
        <v>0</v>
      </c>
      <c r="AG41" s="207">
        <f>SUMIFS('декабрь 2023'!$G$4:$G$1227,'декабрь 2023'!$D$4:$D$1227,$B41,'декабрь 2023'!$J$4:$J$1227,AG$1)</f>
        <v>0</v>
      </c>
      <c r="AH41" s="207">
        <f>SUMIFS('декабрь 2023'!$G$4:$G$1227,'декабрь 2023'!$D$4:$D$1227,$B41,'декабрь 2023'!$J$4:$J$1227,AH$1)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SUMIFS('декабрь 2023'!$G$4:$G$1227,'декабрь 2023'!$D$4:$D$1227,$B42,'декабрь 2023'!$J$4:$J$1227,D$1)</f>
        <v>0</v>
      </c>
      <c r="E42" s="207">
        <f>SUMIFS('декабрь 2023'!$G$4:$G$1227,'декабрь 2023'!$D$4:$D$1227,$B42,'декабрь 2023'!$J$4:$J$1227,E$1)</f>
        <v>0</v>
      </c>
      <c r="F42" s="207">
        <f>SUMIFS('декабрь 2023'!$G$4:$G$1227,'декабрь 2023'!$D$4:$D$1227,$B42,'декабрь 2023'!$J$4:$J$1227,F$1)</f>
        <v>0</v>
      </c>
      <c r="G42" s="207">
        <f>SUMIFS('декабрь 2023'!$G$4:$G$1227,'декабрь 2023'!$D$4:$D$1227,$B42,'декабрь 2023'!$J$4:$J$1227,G$1)</f>
        <v>0</v>
      </c>
      <c r="H42" s="207">
        <f>SUMIFS('декабрь 2023'!$G$4:$G$1227,'декабрь 2023'!$D$4:$D$1227,$B42,'декабрь 2023'!$J$4:$J$1227,H$1)</f>
        <v>0</v>
      </c>
      <c r="I42" s="207">
        <f>SUMIFS('декабрь 2023'!$G$4:$G$1227,'декабрь 2023'!$D$4:$D$1227,$B42,'декабрь 2023'!$J$4:$J$1227,I$1)</f>
        <v>0</v>
      </c>
      <c r="J42" s="207">
        <f>SUMIFS('декабрь 2023'!$G$4:$G$1227,'декабрь 2023'!$D$4:$D$1227,$B42,'декабрь 2023'!$J$4:$J$1227,J$1)</f>
        <v>0</v>
      </c>
      <c r="K42" s="207">
        <f>SUMIFS('декабрь 2023'!$G$4:$G$1227,'декабрь 2023'!$D$4:$D$1227,$B42,'декабрь 2023'!$J$4:$J$1227,K$1)</f>
        <v>90</v>
      </c>
      <c r="L42" s="207">
        <f>SUMIFS('декабрь 2023'!$G$4:$G$1227,'декабрь 2023'!$D$4:$D$1227,$B42,'декабрь 2023'!$J$4:$J$1227,L$1)</f>
        <v>0</v>
      </c>
      <c r="M42" s="207">
        <f>SUMIFS('декабрь 2023'!$G$4:$G$1227,'декабрь 2023'!$D$4:$D$1227,$B42,'декабрь 2023'!$J$4:$J$1227,M$1)</f>
        <v>0</v>
      </c>
      <c r="N42" s="207">
        <f>SUMIFS('декабрь 2023'!$G$4:$G$1227,'декабрь 2023'!$D$4:$D$1227,$B42,'декабрь 2023'!$J$4:$J$1227,N$1)</f>
        <v>0</v>
      </c>
      <c r="O42" s="207">
        <f>SUMIFS('декабрь 2023'!$G$4:$G$1227,'декабрь 2023'!$D$4:$D$1227,$B42,'декабрь 2023'!$J$4:$J$1227,O$1)</f>
        <v>0</v>
      </c>
      <c r="P42" s="207">
        <f>SUMIFS('декабрь 2023'!$G$4:$G$1227,'декабрь 2023'!$D$4:$D$1227,$B42,'декабрь 2023'!$J$4:$J$1227,P$1)</f>
        <v>0</v>
      </c>
      <c r="Q42" s="207">
        <f>SUMIFS('декабрь 2023'!$G$4:$G$1227,'декабрь 2023'!$D$4:$D$1227,$B42,'декабрь 2023'!$J$4:$J$1227,Q$1)</f>
        <v>0</v>
      </c>
      <c r="R42" s="207">
        <f>SUMIFS('декабрь 2023'!$G$4:$G$1227,'декабрь 2023'!$D$4:$D$1227,$B42,'декабрь 2023'!$J$4:$J$1227,R$1)</f>
        <v>0</v>
      </c>
      <c r="S42" s="207">
        <f>SUMIFS('декабрь 2023'!$G$4:$G$1227,'декабрь 2023'!$D$4:$D$1227,$B42,'декабрь 2023'!$J$4:$J$1227,S$1)</f>
        <v>0</v>
      </c>
      <c r="T42" s="207">
        <f>SUMIFS('декабрь 2023'!$G$4:$G$1227,'декабрь 2023'!$D$4:$D$1227,$B42,'декабрь 2023'!$J$4:$J$1227,T$1)</f>
        <v>0</v>
      </c>
      <c r="U42" s="207">
        <f>SUMIFS('декабрь 2023'!$G$4:$G$1227,'декабрь 2023'!$D$4:$D$1227,$B42,'декабрь 2023'!$J$4:$J$1227,U$1)</f>
        <v>0</v>
      </c>
      <c r="V42" s="207">
        <f>SUMIFS('декабрь 2023'!$G$4:$G$1227,'декабрь 2023'!$D$4:$D$1227,$B42,'декабрь 2023'!$J$4:$J$1227,V$1)</f>
        <v>0</v>
      </c>
      <c r="W42" s="207">
        <f>SUMIFS('декабрь 2023'!$G$4:$G$1227,'декабрь 2023'!$D$4:$D$1227,$B42,'декабрь 2023'!$J$4:$J$1227,W$1)</f>
        <v>0</v>
      </c>
      <c r="X42" s="207">
        <f>SUMIFS('декабрь 2023'!$G$4:$G$1227,'декабрь 2023'!$D$4:$D$1227,$B42,'декабрь 2023'!$J$4:$J$1227,X$1)</f>
        <v>0</v>
      </c>
      <c r="Y42" s="207">
        <f>SUMIFS('декабрь 2023'!$G$4:$G$1227,'декабрь 2023'!$D$4:$D$1227,$B42,'декабрь 2023'!$J$4:$J$1227,Y$1)</f>
        <v>0</v>
      </c>
      <c r="Z42" s="207">
        <f>SUMIFS('декабрь 2023'!$G$4:$G$1227,'декабрь 2023'!$D$4:$D$1227,$B42,'декабрь 2023'!$J$4:$J$1227,Z$1)</f>
        <v>0</v>
      </c>
      <c r="AA42" s="207">
        <f>SUMIFS('декабрь 2023'!$G$4:$G$1227,'декабрь 2023'!$D$4:$D$1227,$B42,'декабрь 2023'!$J$4:$J$1227,AA$1)</f>
        <v>0</v>
      </c>
      <c r="AB42" s="207">
        <f>SUMIFS('декабрь 2023'!$G$4:$G$1227,'декабрь 2023'!$D$4:$D$1227,$B42,'декабрь 2023'!$J$4:$J$1227,AB$1)</f>
        <v>0</v>
      </c>
      <c r="AC42" s="207">
        <f>SUMIFS('декабрь 2023'!$G$4:$G$1227,'декабрь 2023'!$D$4:$D$1227,$B42,'декабрь 2023'!$J$4:$J$1227,AC$1)</f>
        <v>0</v>
      </c>
      <c r="AD42" s="207">
        <f>SUMIFS('декабрь 2023'!$G$4:$G$1227,'декабрь 2023'!$D$4:$D$1227,$B42,'декабрь 2023'!$J$4:$J$1227,AD$1)</f>
        <v>0</v>
      </c>
      <c r="AE42" s="207">
        <f>SUMIFS('декабрь 2023'!$G$4:$G$1227,'декабрь 2023'!$D$4:$D$1227,$B42,'декабрь 2023'!$J$4:$J$1227,AE$1)</f>
        <v>0</v>
      </c>
      <c r="AF42" s="207">
        <f>SUMIFS('декабрь 2023'!$G$4:$G$1227,'декабрь 2023'!$D$4:$D$1227,$B42,'декабрь 2023'!$J$4:$J$1227,AF$1)</f>
        <v>0</v>
      </c>
      <c r="AG42" s="207">
        <f>SUMIFS('декабрь 2023'!$G$4:$G$1227,'декабрь 2023'!$D$4:$D$1227,$B42,'декабрь 2023'!$J$4:$J$1227,AG$1)</f>
        <v>0</v>
      </c>
      <c r="AH42" s="207">
        <f>SUMIFS('декабрь 2023'!$G$4:$G$1227,'декабрь 2023'!$D$4:$D$1227,$B42,'декабрь 2023'!$J$4:$J$1227,AH$1)</f>
        <v>0</v>
      </c>
      <c r="AI42" s="170">
        <f t="shared" si="1"/>
        <v>90</v>
      </c>
    </row>
    <row r="43" spans="2:35" ht="15" customHeight="1" x14ac:dyDescent="0.25">
      <c r="B43" s="216" t="s">
        <v>684</v>
      </c>
      <c r="C43" s="213">
        <v>20</v>
      </c>
      <c r="D43" s="207">
        <f>SUMIFS('декабрь 2023'!$G$4:$G$1227,'декабрь 2023'!$D$4:$D$1227,$B43,'декабрь 2023'!$J$4:$J$1227,D$1)</f>
        <v>0</v>
      </c>
      <c r="E43" s="207">
        <f>SUMIFS('декабрь 2023'!$G$4:$G$1227,'декабрь 2023'!$D$4:$D$1227,$B43,'декабрь 2023'!$J$4:$J$1227,E$1)</f>
        <v>0</v>
      </c>
      <c r="F43" s="207">
        <f>SUMIFS('декабрь 2023'!$G$4:$G$1227,'декабрь 2023'!$D$4:$D$1227,$B43,'декабрь 2023'!$J$4:$J$1227,F$1)</f>
        <v>0</v>
      </c>
      <c r="G43" s="207">
        <f>SUMIFS('декабрь 2023'!$G$4:$G$1227,'декабрь 2023'!$D$4:$D$1227,$B43,'декабрь 2023'!$J$4:$J$1227,G$1)</f>
        <v>0</v>
      </c>
      <c r="H43" s="207">
        <f>SUMIFS('декабрь 2023'!$G$4:$G$1227,'декабрь 2023'!$D$4:$D$1227,$B43,'декабрь 2023'!$J$4:$J$1227,H$1)</f>
        <v>0</v>
      </c>
      <c r="I43" s="207">
        <f>SUMIFS('декабрь 2023'!$G$4:$G$1227,'декабрь 2023'!$D$4:$D$1227,$B43,'декабрь 2023'!$J$4:$J$1227,I$1)</f>
        <v>0</v>
      </c>
      <c r="J43" s="207">
        <f>SUMIFS('декабрь 2023'!$G$4:$G$1227,'декабрь 2023'!$D$4:$D$1227,$B43,'декабрь 2023'!$J$4:$J$1227,J$1)</f>
        <v>0</v>
      </c>
      <c r="K43" s="207">
        <f>SUMIFS('декабрь 2023'!$G$4:$G$1227,'декабрь 2023'!$D$4:$D$1227,$B43,'декабрь 2023'!$J$4:$J$1227,K$1)</f>
        <v>0</v>
      </c>
      <c r="L43" s="207">
        <f>SUMIFS('декабрь 2023'!$G$4:$G$1227,'декабрь 2023'!$D$4:$D$1227,$B43,'декабрь 2023'!$J$4:$J$1227,L$1)</f>
        <v>0</v>
      </c>
      <c r="M43" s="207">
        <f>SUMIFS('декабрь 2023'!$G$4:$G$1227,'декабрь 2023'!$D$4:$D$1227,$B43,'декабрь 2023'!$J$4:$J$1227,M$1)</f>
        <v>0</v>
      </c>
      <c r="N43" s="207">
        <f>SUMIFS('декабрь 2023'!$G$4:$G$1227,'декабрь 2023'!$D$4:$D$1227,$B43,'декабрь 2023'!$J$4:$J$1227,N$1)</f>
        <v>0</v>
      </c>
      <c r="O43" s="207">
        <f>SUMIFS('декабрь 2023'!$G$4:$G$1227,'декабрь 2023'!$D$4:$D$1227,$B43,'декабрь 2023'!$J$4:$J$1227,O$1)</f>
        <v>0</v>
      </c>
      <c r="P43" s="207">
        <f>SUMIFS('декабрь 2023'!$G$4:$G$1227,'декабрь 2023'!$D$4:$D$1227,$B43,'декабрь 2023'!$J$4:$J$1227,P$1)</f>
        <v>0</v>
      </c>
      <c r="Q43" s="207">
        <f>SUMIFS('декабрь 2023'!$G$4:$G$1227,'декабрь 2023'!$D$4:$D$1227,$B43,'декабрь 2023'!$J$4:$J$1227,Q$1)</f>
        <v>0</v>
      </c>
      <c r="R43" s="207">
        <f>SUMIFS('декабрь 2023'!$G$4:$G$1227,'декабрь 2023'!$D$4:$D$1227,$B43,'декабрь 2023'!$J$4:$J$1227,R$1)</f>
        <v>0</v>
      </c>
      <c r="S43" s="207">
        <f>SUMIFS('декабрь 2023'!$G$4:$G$1227,'декабрь 2023'!$D$4:$D$1227,$B43,'декабрь 2023'!$J$4:$J$1227,S$1)</f>
        <v>0</v>
      </c>
      <c r="T43" s="207">
        <f>SUMIFS('декабрь 2023'!$G$4:$G$1227,'декабрь 2023'!$D$4:$D$1227,$B43,'декабрь 2023'!$J$4:$J$1227,T$1)</f>
        <v>0</v>
      </c>
      <c r="U43" s="207">
        <f>SUMIFS('декабрь 2023'!$G$4:$G$1227,'декабрь 2023'!$D$4:$D$1227,$B43,'декабрь 2023'!$J$4:$J$1227,U$1)</f>
        <v>0</v>
      </c>
      <c r="V43" s="207">
        <f>SUMIFS('декабрь 2023'!$G$4:$G$1227,'декабрь 2023'!$D$4:$D$1227,$B43,'декабрь 2023'!$J$4:$J$1227,V$1)</f>
        <v>0</v>
      </c>
      <c r="W43" s="207">
        <f>SUMIFS('декабрь 2023'!$G$4:$G$1227,'декабрь 2023'!$D$4:$D$1227,$B43,'декабрь 2023'!$J$4:$J$1227,W$1)</f>
        <v>0</v>
      </c>
      <c r="X43" s="207">
        <f>SUMIFS('декабрь 2023'!$G$4:$G$1227,'декабрь 2023'!$D$4:$D$1227,$B43,'декабрь 2023'!$J$4:$J$1227,X$1)</f>
        <v>0</v>
      </c>
      <c r="Y43" s="207">
        <f>SUMIFS('декабрь 2023'!$G$4:$G$1227,'декабрь 2023'!$D$4:$D$1227,$B43,'декабрь 2023'!$J$4:$J$1227,Y$1)</f>
        <v>0</v>
      </c>
      <c r="Z43" s="207">
        <f>SUMIFS('декабрь 2023'!$G$4:$G$1227,'декабрь 2023'!$D$4:$D$1227,$B43,'декабрь 2023'!$J$4:$J$1227,Z$1)</f>
        <v>0</v>
      </c>
      <c r="AA43" s="207">
        <f>SUMIFS('декабрь 2023'!$G$4:$G$1227,'декабрь 2023'!$D$4:$D$1227,$B43,'декабрь 2023'!$J$4:$J$1227,AA$1)</f>
        <v>0</v>
      </c>
      <c r="AB43" s="207">
        <f>SUMIFS('декабрь 2023'!$G$4:$G$1227,'декабрь 2023'!$D$4:$D$1227,$B43,'декабрь 2023'!$J$4:$J$1227,AB$1)</f>
        <v>0</v>
      </c>
      <c r="AC43" s="207">
        <f>SUMIFS('декабрь 2023'!$G$4:$G$1227,'декабрь 2023'!$D$4:$D$1227,$B43,'декабрь 2023'!$J$4:$J$1227,AC$1)</f>
        <v>0</v>
      </c>
      <c r="AD43" s="207">
        <f>SUMIFS('декабрь 2023'!$G$4:$G$1227,'декабрь 2023'!$D$4:$D$1227,$B43,'декабрь 2023'!$J$4:$J$1227,AD$1)</f>
        <v>0</v>
      </c>
      <c r="AE43" s="207">
        <f>SUMIFS('декабрь 2023'!$G$4:$G$1227,'декабрь 2023'!$D$4:$D$1227,$B43,'декабрь 2023'!$J$4:$J$1227,AE$1)</f>
        <v>0</v>
      </c>
      <c r="AF43" s="207">
        <f>SUMIFS('декабрь 2023'!$G$4:$G$1227,'декабрь 2023'!$D$4:$D$1227,$B43,'декабрь 2023'!$J$4:$J$1227,AF$1)</f>
        <v>0</v>
      </c>
      <c r="AG43" s="207">
        <f>SUMIFS('декабрь 2023'!$G$4:$G$1227,'декабрь 2023'!$D$4:$D$1227,$B43,'декабрь 2023'!$J$4:$J$1227,AG$1)</f>
        <v>0</v>
      </c>
      <c r="AH43" s="207">
        <f>SUMIFS('декабрь 2023'!$G$4:$G$1227,'декабрь 2023'!$D$4:$D$1227,$B43,'декабрь 2023'!$J$4:$J$1227,AH$1)</f>
        <v>0</v>
      </c>
      <c r="AI43" s="170">
        <f t="shared" si="1"/>
        <v>0</v>
      </c>
    </row>
    <row r="44" spans="2:35" ht="15" customHeight="1" x14ac:dyDescent="0.25">
      <c r="B44" s="212" t="s">
        <v>1062</v>
      </c>
      <c r="C44" s="215">
        <v>20</v>
      </c>
      <c r="D44" s="207">
        <f>SUMIFS('декабрь 2023'!$G$4:$G$1227,'декабрь 2023'!$D$4:$D$1227,$B44,'декабрь 2023'!$J$4:$J$1227,D$1)</f>
        <v>0</v>
      </c>
      <c r="E44" s="207">
        <f>SUMIFS('декабрь 2023'!$G$4:$G$1227,'декабрь 2023'!$D$4:$D$1227,$B44,'декабрь 2023'!$J$4:$J$1227,E$1)</f>
        <v>0</v>
      </c>
      <c r="F44" s="207">
        <f>SUMIFS('декабрь 2023'!$G$4:$G$1227,'декабрь 2023'!$D$4:$D$1227,$B44,'декабрь 2023'!$J$4:$J$1227,F$1)</f>
        <v>0</v>
      </c>
      <c r="G44" s="207">
        <f>SUMIFS('декабрь 2023'!$G$4:$G$1227,'декабрь 2023'!$D$4:$D$1227,$B44,'декабрь 2023'!$J$4:$J$1227,G$1)</f>
        <v>0</v>
      </c>
      <c r="H44" s="207">
        <f>SUMIFS('декабрь 2023'!$G$4:$G$1227,'декабрь 2023'!$D$4:$D$1227,$B44,'декабрь 2023'!$J$4:$J$1227,H$1)</f>
        <v>0</v>
      </c>
      <c r="I44" s="207">
        <f>SUMIFS('декабрь 2023'!$G$4:$G$1227,'декабрь 2023'!$D$4:$D$1227,$B44,'декабрь 2023'!$J$4:$J$1227,I$1)</f>
        <v>0</v>
      </c>
      <c r="J44" s="207">
        <f>SUMIFS('декабрь 2023'!$G$4:$G$1227,'декабрь 2023'!$D$4:$D$1227,$B44,'декабрь 2023'!$J$4:$J$1227,J$1)</f>
        <v>0</v>
      </c>
      <c r="K44" s="207">
        <f>SUMIFS('декабрь 2023'!$G$4:$G$1227,'декабрь 2023'!$D$4:$D$1227,$B44,'декабрь 2023'!$J$4:$J$1227,K$1)</f>
        <v>0</v>
      </c>
      <c r="L44" s="207">
        <f>SUMIFS('декабрь 2023'!$G$4:$G$1227,'декабрь 2023'!$D$4:$D$1227,$B44,'декабрь 2023'!$J$4:$J$1227,L$1)</f>
        <v>0</v>
      </c>
      <c r="M44" s="207">
        <f>SUMIFS('декабрь 2023'!$G$4:$G$1227,'декабрь 2023'!$D$4:$D$1227,$B44,'декабрь 2023'!$J$4:$J$1227,M$1)</f>
        <v>0</v>
      </c>
      <c r="N44" s="207">
        <f>SUMIFS('декабрь 2023'!$G$4:$G$1227,'декабрь 2023'!$D$4:$D$1227,$B44,'декабрь 2023'!$J$4:$J$1227,N$1)</f>
        <v>0</v>
      </c>
      <c r="O44" s="207">
        <f>SUMIFS('декабрь 2023'!$G$4:$G$1227,'декабрь 2023'!$D$4:$D$1227,$B44,'декабрь 2023'!$J$4:$J$1227,O$1)</f>
        <v>0</v>
      </c>
      <c r="P44" s="207">
        <f>SUMIFS('декабрь 2023'!$G$4:$G$1227,'декабрь 2023'!$D$4:$D$1227,$B44,'декабрь 2023'!$J$4:$J$1227,P$1)</f>
        <v>0</v>
      </c>
      <c r="Q44" s="207">
        <f>SUMIFS('декабрь 2023'!$G$4:$G$1227,'декабрь 2023'!$D$4:$D$1227,$B44,'декабрь 2023'!$J$4:$J$1227,Q$1)</f>
        <v>0</v>
      </c>
      <c r="R44" s="207">
        <f>SUMIFS('декабрь 2023'!$G$4:$G$1227,'декабрь 2023'!$D$4:$D$1227,$B44,'декабрь 2023'!$J$4:$J$1227,R$1)</f>
        <v>0</v>
      </c>
      <c r="S44" s="207">
        <f>SUMIFS('декабрь 2023'!$G$4:$G$1227,'декабрь 2023'!$D$4:$D$1227,$B44,'декабрь 2023'!$J$4:$J$1227,S$1)</f>
        <v>0</v>
      </c>
      <c r="T44" s="207">
        <f>SUMIFS('декабрь 2023'!$G$4:$G$1227,'декабрь 2023'!$D$4:$D$1227,$B44,'декабрь 2023'!$J$4:$J$1227,T$1)</f>
        <v>0</v>
      </c>
      <c r="U44" s="207">
        <f>SUMIFS('декабрь 2023'!$G$4:$G$1227,'декабрь 2023'!$D$4:$D$1227,$B44,'декабрь 2023'!$J$4:$J$1227,U$1)</f>
        <v>0</v>
      </c>
      <c r="V44" s="207">
        <f>SUMIFS('декабрь 2023'!$G$4:$G$1227,'декабрь 2023'!$D$4:$D$1227,$B44,'декабрь 2023'!$J$4:$J$1227,V$1)</f>
        <v>0</v>
      </c>
      <c r="W44" s="207">
        <f>SUMIFS('декабрь 2023'!$G$4:$G$1227,'декабрь 2023'!$D$4:$D$1227,$B44,'декабрь 2023'!$J$4:$J$1227,W$1)</f>
        <v>0</v>
      </c>
      <c r="X44" s="207">
        <f>SUMIFS('декабрь 2023'!$G$4:$G$1227,'декабрь 2023'!$D$4:$D$1227,$B44,'декабрь 2023'!$J$4:$J$1227,X$1)</f>
        <v>0</v>
      </c>
      <c r="Y44" s="207">
        <f>SUMIFS('декабрь 2023'!$G$4:$G$1227,'декабрь 2023'!$D$4:$D$1227,$B44,'декабрь 2023'!$J$4:$J$1227,Y$1)</f>
        <v>0</v>
      </c>
      <c r="Z44" s="207">
        <f>SUMIFS('декабрь 2023'!$G$4:$G$1227,'декабрь 2023'!$D$4:$D$1227,$B44,'декабрь 2023'!$J$4:$J$1227,Z$1)</f>
        <v>0</v>
      </c>
      <c r="AA44" s="207">
        <f>SUMIFS('декабрь 2023'!$G$4:$G$1227,'декабрь 2023'!$D$4:$D$1227,$B44,'декабрь 2023'!$J$4:$J$1227,AA$1)</f>
        <v>0</v>
      </c>
      <c r="AB44" s="207">
        <f>SUMIFS('декабрь 2023'!$G$4:$G$1227,'декабрь 2023'!$D$4:$D$1227,$B44,'декабрь 2023'!$J$4:$J$1227,AB$1)</f>
        <v>0</v>
      </c>
      <c r="AC44" s="207">
        <f>SUMIFS('декабрь 2023'!$G$4:$G$1227,'декабрь 2023'!$D$4:$D$1227,$B44,'декабрь 2023'!$J$4:$J$1227,AC$1)</f>
        <v>0</v>
      </c>
      <c r="AD44" s="207">
        <f>SUMIFS('декабрь 2023'!$G$4:$G$1227,'декабрь 2023'!$D$4:$D$1227,$B44,'декабрь 2023'!$J$4:$J$1227,AD$1)</f>
        <v>0</v>
      </c>
      <c r="AE44" s="207">
        <f>SUMIFS('декабрь 2023'!$G$4:$G$1227,'декабрь 2023'!$D$4:$D$1227,$B44,'декабрь 2023'!$J$4:$J$1227,AE$1)</f>
        <v>0</v>
      </c>
      <c r="AF44" s="207">
        <f>SUMIFS('декабрь 2023'!$G$4:$G$1227,'декабрь 2023'!$D$4:$D$1227,$B44,'декабрь 2023'!$J$4:$J$1227,AF$1)</f>
        <v>0</v>
      </c>
      <c r="AG44" s="207">
        <f>SUMIFS('декабрь 2023'!$G$4:$G$1227,'декабрь 2023'!$D$4:$D$1227,$B44,'декабрь 2023'!$J$4:$J$1227,AG$1)</f>
        <v>0</v>
      </c>
      <c r="AH44" s="207">
        <f>SUMIFS('декабрь 2023'!$G$4:$G$1227,'декабрь 2023'!$D$4:$D$1227,$B44,'декабрь 2023'!$J$4:$J$1227,AH$1)</f>
        <v>0</v>
      </c>
      <c r="AI44" s="170">
        <f t="shared" si="1"/>
        <v>0</v>
      </c>
    </row>
    <row r="45" spans="2:35" ht="15" customHeight="1" x14ac:dyDescent="0.25">
      <c r="B45" s="212" t="s">
        <v>1084</v>
      </c>
      <c r="C45" s="211">
        <v>20</v>
      </c>
      <c r="D45" s="207">
        <f>SUMIFS('декабрь 2023'!$G$4:$G$1227,'декабрь 2023'!$D$4:$D$1227,$B45,'декабрь 2023'!$J$4:$J$1227,D$1)</f>
        <v>0</v>
      </c>
      <c r="E45" s="207">
        <f>SUMIFS('декабрь 2023'!$G$4:$G$1227,'декабрь 2023'!$D$4:$D$1227,$B45,'декабрь 2023'!$J$4:$J$1227,E$1)</f>
        <v>0</v>
      </c>
      <c r="F45" s="207">
        <f>SUMIFS('декабрь 2023'!$G$4:$G$1227,'декабрь 2023'!$D$4:$D$1227,$B45,'декабрь 2023'!$J$4:$J$1227,F$1)</f>
        <v>0</v>
      </c>
      <c r="G45" s="207">
        <f>SUMIFS('декабрь 2023'!$G$4:$G$1227,'декабрь 2023'!$D$4:$D$1227,$B45,'декабрь 2023'!$J$4:$J$1227,G$1)</f>
        <v>0</v>
      </c>
      <c r="H45" s="207">
        <f>SUMIFS('декабрь 2023'!$G$4:$G$1227,'декабрь 2023'!$D$4:$D$1227,$B45,'декабрь 2023'!$J$4:$J$1227,H$1)</f>
        <v>0</v>
      </c>
      <c r="I45" s="207">
        <f>SUMIFS('декабрь 2023'!$G$4:$G$1227,'декабрь 2023'!$D$4:$D$1227,$B45,'декабрь 2023'!$J$4:$J$1227,I$1)</f>
        <v>0</v>
      </c>
      <c r="J45" s="207">
        <f>SUMIFS('декабрь 2023'!$G$4:$G$1227,'декабрь 2023'!$D$4:$D$1227,$B45,'декабрь 2023'!$J$4:$J$1227,J$1)</f>
        <v>0</v>
      </c>
      <c r="K45" s="207">
        <f>SUMIFS('декабрь 2023'!$G$4:$G$1227,'декабрь 2023'!$D$4:$D$1227,$B45,'декабрь 2023'!$J$4:$J$1227,K$1)</f>
        <v>0</v>
      </c>
      <c r="L45" s="207">
        <f>SUMIFS('декабрь 2023'!$G$4:$G$1227,'декабрь 2023'!$D$4:$D$1227,$B45,'декабрь 2023'!$J$4:$J$1227,L$1)</f>
        <v>0</v>
      </c>
      <c r="M45" s="207">
        <f>SUMIFS('декабрь 2023'!$G$4:$G$1227,'декабрь 2023'!$D$4:$D$1227,$B45,'декабрь 2023'!$J$4:$J$1227,M$1)</f>
        <v>0</v>
      </c>
      <c r="N45" s="207">
        <f>SUMIFS('декабрь 2023'!$G$4:$G$1227,'декабрь 2023'!$D$4:$D$1227,$B45,'декабрь 2023'!$J$4:$J$1227,N$1)</f>
        <v>0</v>
      </c>
      <c r="O45" s="207">
        <f>SUMIFS('декабрь 2023'!$G$4:$G$1227,'декабрь 2023'!$D$4:$D$1227,$B45,'декабрь 2023'!$J$4:$J$1227,O$1)</f>
        <v>0</v>
      </c>
      <c r="P45" s="207">
        <f>SUMIFS('декабрь 2023'!$G$4:$G$1227,'декабрь 2023'!$D$4:$D$1227,$B45,'декабрь 2023'!$J$4:$J$1227,P$1)</f>
        <v>0</v>
      </c>
      <c r="Q45" s="207">
        <f>SUMIFS('декабрь 2023'!$G$4:$G$1227,'декабрь 2023'!$D$4:$D$1227,$B45,'декабрь 2023'!$J$4:$J$1227,Q$1)</f>
        <v>0</v>
      </c>
      <c r="R45" s="207">
        <f>SUMIFS('декабрь 2023'!$G$4:$G$1227,'декабрь 2023'!$D$4:$D$1227,$B45,'декабрь 2023'!$J$4:$J$1227,R$1)</f>
        <v>0</v>
      </c>
      <c r="S45" s="207">
        <f>SUMIFS('декабрь 2023'!$G$4:$G$1227,'декабрь 2023'!$D$4:$D$1227,$B45,'декабрь 2023'!$J$4:$J$1227,S$1)</f>
        <v>0</v>
      </c>
      <c r="T45" s="207">
        <f>SUMIFS('декабрь 2023'!$G$4:$G$1227,'декабрь 2023'!$D$4:$D$1227,$B45,'декабрь 2023'!$J$4:$J$1227,T$1)</f>
        <v>0</v>
      </c>
      <c r="U45" s="207">
        <f>SUMIFS('декабрь 2023'!$G$4:$G$1227,'декабрь 2023'!$D$4:$D$1227,$B45,'декабрь 2023'!$J$4:$J$1227,U$1)</f>
        <v>0</v>
      </c>
      <c r="V45" s="207">
        <f>SUMIFS('декабрь 2023'!$G$4:$G$1227,'декабрь 2023'!$D$4:$D$1227,$B45,'декабрь 2023'!$J$4:$J$1227,V$1)</f>
        <v>0</v>
      </c>
      <c r="W45" s="207">
        <f>SUMIFS('декабрь 2023'!$G$4:$G$1227,'декабрь 2023'!$D$4:$D$1227,$B45,'декабрь 2023'!$J$4:$J$1227,W$1)</f>
        <v>0</v>
      </c>
      <c r="X45" s="207">
        <f>SUMIFS('декабрь 2023'!$G$4:$G$1227,'декабрь 2023'!$D$4:$D$1227,$B45,'декабрь 2023'!$J$4:$J$1227,X$1)</f>
        <v>0</v>
      </c>
      <c r="Y45" s="207">
        <f>SUMIFS('декабрь 2023'!$G$4:$G$1227,'декабрь 2023'!$D$4:$D$1227,$B45,'декабрь 2023'!$J$4:$J$1227,Y$1)</f>
        <v>0</v>
      </c>
      <c r="Z45" s="207">
        <f>SUMIFS('декабрь 2023'!$G$4:$G$1227,'декабрь 2023'!$D$4:$D$1227,$B45,'декабрь 2023'!$J$4:$J$1227,Z$1)</f>
        <v>0</v>
      </c>
      <c r="AA45" s="207">
        <f>SUMIFS('декабрь 2023'!$G$4:$G$1227,'декабрь 2023'!$D$4:$D$1227,$B45,'декабрь 2023'!$J$4:$J$1227,AA$1)</f>
        <v>0</v>
      </c>
      <c r="AB45" s="207">
        <f>SUMIFS('декабрь 2023'!$G$4:$G$1227,'декабрь 2023'!$D$4:$D$1227,$B45,'декабрь 2023'!$J$4:$J$1227,AB$1)</f>
        <v>0</v>
      </c>
      <c r="AC45" s="207">
        <f>SUMIFS('декабрь 2023'!$G$4:$G$1227,'декабрь 2023'!$D$4:$D$1227,$B45,'декабрь 2023'!$J$4:$J$1227,AC$1)</f>
        <v>0</v>
      </c>
      <c r="AD45" s="207">
        <f>SUMIFS('декабрь 2023'!$G$4:$G$1227,'декабрь 2023'!$D$4:$D$1227,$B45,'декабрь 2023'!$J$4:$J$1227,AD$1)</f>
        <v>0</v>
      </c>
      <c r="AE45" s="207">
        <f>SUMIFS('декабрь 2023'!$G$4:$G$1227,'декабрь 2023'!$D$4:$D$1227,$B45,'декабрь 2023'!$J$4:$J$1227,AE$1)</f>
        <v>0</v>
      </c>
      <c r="AF45" s="207">
        <f>SUMIFS('декабрь 2023'!$G$4:$G$1227,'декабрь 2023'!$D$4:$D$1227,$B45,'декабрь 2023'!$J$4:$J$1227,AF$1)</f>
        <v>0</v>
      </c>
      <c r="AG45" s="207">
        <f>SUMIFS('декабрь 2023'!$G$4:$G$1227,'декабрь 2023'!$D$4:$D$1227,$B45,'декабрь 2023'!$J$4:$J$1227,AG$1)</f>
        <v>0</v>
      </c>
      <c r="AH45" s="207">
        <f>SUMIFS('декабрь 2023'!$G$4:$G$1227,'декабрь 2023'!$D$4:$D$1227,$B45,'декабрь 2023'!$J$4:$J$1227,AH$1)</f>
        <v>0</v>
      </c>
      <c r="AI45" s="170">
        <f t="shared" si="1"/>
        <v>0</v>
      </c>
    </row>
    <row r="46" spans="2:35" ht="15" customHeight="1" x14ac:dyDescent="0.25">
      <c r="B46" s="212" t="s">
        <v>440</v>
      </c>
      <c r="C46" s="213">
        <v>20</v>
      </c>
      <c r="D46" s="207">
        <f>SUMIFS('декабрь 2023'!$G$4:$G$1227,'декабрь 2023'!$D$4:$D$1227,$B46,'декабрь 2023'!$J$4:$J$1227,D$1)</f>
        <v>0</v>
      </c>
      <c r="E46" s="207">
        <f>SUMIFS('декабрь 2023'!$G$4:$G$1227,'декабрь 2023'!$D$4:$D$1227,$B46,'декабрь 2023'!$J$4:$J$1227,E$1)</f>
        <v>0</v>
      </c>
      <c r="F46" s="207">
        <f>SUMIFS('декабрь 2023'!$G$4:$G$1227,'декабрь 2023'!$D$4:$D$1227,$B46,'декабрь 2023'!$J$4:$J$1227,F$1)</f>
        <v>0</v>
      </c>
      <c r="G46" s="207">
        <f>SUMIFS('декабрь 2023'!$G$4:$G$1227,'декабрь 2023'!$D$4:$D$1227,$B46,'декабрь 2023'!$J$4:$J$1227,G$1)</f>
        <v>0</v>
      </c>
      <c r="H46" s="207">
        <f>SUMIFS('декабрь 2023'!$G$4:$G$1227,'декабрь 2023'!$D$4:$D$1227,$B46,'декабрь 2023'!$J$4:$J$1227,H$1)</f>
        <v>0</v>
      </c>
      <c r="I46" s="207">
        <f>SUMIFS('декабрь 2023'!$G$4:$G$1227,'декабрь 2023'!$D$4:$D$1227,$B46,'декабрь 2023'!$J$4:$J$1227,I$1)</f>
        <v>0</v>
      </c>
      <c r="J46" s="207">
        <f>SUMIFS('декабрь 2023'!$G$4:$G$1227,'декабрь 2023'!$D$4:$D$1227,$B46,'декабрь 2023'!$J$4:$J$1227,J$1)</f>
        <v>0</v>
      </c>
      <c r="K46" s="207">
        <f>SUMIFS('декабрь 2023'!$G$4:$G$1227,'декабрь 2023'!$D$4:$D$1227,$B46,'декабрь 2023'!$J$4:$J$1227,K$1)</f>
        <v>0</v>
      </c>
      <c r="L46" s="207">
        <f>SUMIFS('декабрь 2023'!$G$4:$G$1227,'декабрь 2023'!$D$4:$D$1227,$B46,'декабрь 2023'!$J$4:$J$1227,L$1)</f>
        <v>0</v>
      </c>
      <c r="M46" s="207">
        <f>SUMIFS('декабрь 2023'!$G$4:$G$1227,'декабрь 2023'!$D$4:$D$1227,$B46,'декабрь 2023'!$J$4:$J$1227,M$1)</f>
        <v>0</v>
      </c>
      <c r="N46" s="207">
        <f>SUMIFS('декабрь 2023'!$G$4:$G$1227,'декабрь 2023'!$D$4:$D$1227,$B46,'декабрь 2023'!$J$4:$J$1227,N$1)</f>
        <v>0</v>
      </c>
      <c r="O46" s="207">
        <f>SUMIFS('декабрь 2023'!$G$4:$G$1227,'декабрь 2023'!$D$4:$D$1227,$B46,'декабрь 2023'!$J$4:$J$1227,O$1)</f>
        <v>0</v>
      </c>
      <c r="P46" s="207">
        <f>SUMIFS('декабрь 2023'!$G$4:$G$1227,'декабрь 2023'!$D$4:$D$1227,$B46,'декабрь 2023'!$J$4:$J$1227,P$1)</f>
        <v>0</v>
      </c>
      <c r="Q46" s="207">
        <f>SUMIFS('декабрь 2023'!$G$4:$G$1227,'декабрь 2023'!$D$4:$D$1227,$B46,'декабрь 2023'!$J$4:$J$1227,Q$1)</f>
        <v>0</v>
      </c>
      <c r="R46" s="207">
        <f>SUMIFS('декабрь 2023'!$G$4:$G$1227,'декабрь 2023'!$D$4:$D$1227,$B46,'декабрь 2023'!$J$4:$J$1227,R$1)</f>
        <v>0</v>
      </c>
      <c r="S46" s="207">
        <f>SUMIFS('декабрь 2023'!$G$4:$G$1227,'декабрь 2023'!$D$4:$D$1227,$B46,'декабрь 2023'!$J$4:$J$1227,S$1)</f>
        <v>0</v>
      </c>
      <c r="T46" s="207">
        <f>SUMIFS('декабрь 2023'!$G$4:$G$1227,'декабрь 2023'!$D$4:$D$1227,$B46,'декабрь 2023'!$J$4:$J$1227,T$1)</f>
        <v>0</v>
      </c>
      <c r="U46" s="207">
        <f>SUMIFS('декабрь 2023'!$G$4:$G$1227,'декабрь 2023'!$D$4:$D$1227,$B46,'декабрь 2023'!$J$4:$J$1227,U$1)</f>
        <v>0</v>
      </c>
      <c r="V46" s="207">
        <f>SUMIFS('декабрь 2023'!$G$4:$G$1227,'декабрь 2023'!$D$4:$D$1227,$B46,'декабрь 2023'!$J$4:$J$1227,V$1)</f>
        <v>0</v>
      </c>
      <c r="W46" s="207">
        <f>SUMIFS('декабрь 2023'!$G$4:$G$1227,'декабрь 2023'!$D$4:$D$1227,$B46,'декабрь 2023'!$J$4:$J$1227,W$1)</f>
        <v>0</v>
      </c>
      <c r="X46" s="207">
        <f>SUMIFS('декабрь 2023'!$G$4:$G$1227,'декабрь 2023'!$D$4:$D$1227,$B46,'декабрь 2023'!$J$4:$J$1227,X$1)</f>
        <v>0</v>
      </c>
      <c r="Y46" s="207">
        <f>SUMIFS('декабрь 2023'!$G$4:$G$1227,'декабрь 2023'!$D$4:$D$1227,$B46,'декабрь 2023'!$J$4:$J$1227,Y$1)</f>
        <v>0</v>
      </c>
      <c r="Z46" s="207">
        <f>SUMIFS('декабрь 2023'!$G$4:$G$1227,'декабрь 2023'!$D$4:$D$1227,$B46,'декабрь 2023'!$J$4:$J$1227,Z$1)</f>
        <v>0</v>
      </c>
      <c r="AA46" s="207">
        <f>SUMIFS('декабрь 2023'!$G$4:$G$1227,'декабрь 2023'!$D$4:$D$1227,$B46,'декабрь 2023'!$J$4:$J$1227,AA$1)</f>
        <v>0</v>
      </c>
      <c r="AB46" s="207">
        <f>SUMIFS('декабрь 2023'!$G$4:$G$1227,'декабрь 2023'!$D$4:$D$1227,$B46,'декабрь 2023'!$J$4:$J$1227,AB$1)</f>
        <v>0</v>
      </c>
      <c r="AC46" s="207">
        <f>SUMIFS('декабрь 2023'!$G$4:$G$1227,'декабрь 2023'!$D$4:$D$1227,$B46,'декабрь 2023'!$J$4:$J$1227,AC$1)</f>
        <v>0</v>
      </c>
      <c r="AD46" s="207">
        <f>SUMIFS('декабрь 2023'!$G$4:$G$1227,'декабрь 2023'!$D$4:$D$1227,$B46,'декабрь 2023'!$J$4:$J$1227,AD$1)</f>
        <v>0</v>
      </c>
      <c r="AE46" s="207">
        <f>SUMIFS('декабрь 2023'!$G$4:$G$1227,'декабрь 2023'!$D$4:$D$1227,$B46,'декабрь 2023'!$J$4:$J$1227,AE$1)</f>
        <v>0</v>
      </c>
      <c r="AF46" s="207">
        <f>SUMIFS('декабрь 2023'!$G$4:$G$1227,'декабрь 2023'!$D$4:$D$1227,$B46,'декабрь 2023'!$J$4:$J$1227,AF$1)</f>
        <v>0</v>
      </c>
      <c r="AG46" s="207">
        <f>SUMIFS('декабрь 2023'!$G$4:$G$1227,'декабрь 2023'!$D$4:$D$1227,$B46,'декабрь 2023'!$J$4:$J$1227,AG$1)</f>
        <v>0</v>
      </c>
      <c r="AH46" s="207">
        <f>SUMIFS('декабрь 2023'!$G$4:$G$1227,'декабрь 2023'!$D$4:$D$1227,$B46,'декабрь 2023'!$J$4:$J$1227,AH$1)</f>
        <v>0</v>
      </c>
      <c r="AI46" s="170">
        <f t="shared" si="1"/>
        <v>0</v>
      </c>
    </row>
    <row r="47" spans="2:35" ht="15" customHeight="1" x14ac:dyDescent="0.25">
      <c r="B47" s="212" t="s">
        <v>1573</v>
      </c>
      <c r="C47" s="213">
        <v>50</v>
      </c>
      <c r="D47" s="207">
        <f>SUMIFS('декабрь 2023'!$G$4:$G$1227,'декабрь 2023'!$D$4:$D$1227,$B47,'декабрь 2023'!$J$4:$J$1227,D$1)</f>
        <v>0</v>
      </c>
      <c r="E47" s="207">
        <f>SUMIFS('декабрь 2023'!$G$4:$G$1227,'декабрь 2023'!$D$4:$D$1227,$B47,'декабрь 2023'!$J$4:$J$1227,E$1)</f>
        <v>0</v>
      </c>
      <c r="F47" s="207">
        <f>SUMIFS('декабрь 2023'!$G$4:$G$1227,'декабрь 2023'!$D$4:$D$1227,$B47,'декабрь 2023'!$J$4:$J$1227,F$1)</f>
        <v>0</v>
      </c>
      <c r="G47" s="207">
        <f>SUMIFS('декабрь 2023'!$G$4:$G$1227,'декабрь 2023'!$D$4:$D$1227,$B47,'декабрь 2023'!$J$4:$J$1227,G$1)</f>
        <v>0</v>
      </c>
      <c r="H47" s="207">
        <f>SUMIFS('декабрь 2023'!$G$4:$G$1227,'декабрь 2023'!$D$4:$D$1227,$B47,'декабрь 2023'!$J$4:$J$1227,H$1)</f>
        <v>0</v>
      </c>
      <c r="I47" s="207">
        <f>SUMIFS('декабрь 2023'!$G$4:$G$1227,'декабрь 2023'!$D$4:$D$1227,$B47,'декабрь 2023'!$J$4:$J$1227,I$1)</f>
        <v>0</v>
      </c>
      <c r="J47" s="207">
        <f>SUMIFS('декабрь 2023'!$G$4:$G$1227,'декабрь 2023'!$D$4:$D$1227,$B47,'декабрь 2023'!$J$4:$J$1227,J$1)</f>
        <v>0</v>
      </c>
      <c r="K47" s="207">
        <f>SUMIFS('декабрь 2023'!$G$4:$G$1227,'декабрь 2023'!$D$4:$D$1227,$B47,'декабрь 2023'!$J$4:$J$1227,K$1)</f>
        <v>0</v>
      </c>
      <c r="L47" s="207">
        <f>SUMIFS('декабрь 2023'!$G$4:$G$1227,'декабрь 2023'!$D$4:$D$1227,$B47,'декабрь 2023'!$J$4:$J$1227,L$1)</f>
        <v>0</v>
      </c>
      <c r="M47" s="207">
        <f>SUMIFS('декабрь 2023'!$G$4:$G$1227,'декабрь 2023'!$D$4:$D$1227,$B47,'декабрь 2023'!$J$4:$J$1227,M$1)</f>
        <v>0</v>
      </c>
      <c r="N47" s="207">
        <f>SUMIFS('декабрь 2023'!$G$4:$G$1227,'декабрь 2023'!$D$4:$D$1227,$B47,'декабрь 2023'!$J$4:$J$1227,N$1)</f>
        <v>0</v>
      </c>
      <c r="O47" s="207">
        <f>SUMIFS('декабрь 2023'!$G$4:$G$1227,'декабрь 2023'!$D$4:$D$1227,$B47,'декабрь 2023'!$J$4:$J$1227,O$1)</f>
        <v>0</v>
      </c>
      <c r="P47" s="207">
        <f>SUMIFS('декабрь 2023'!$G$4:$G$1227,'декабрь 2023'!$D$4:$D$1227,$B47,'декабрь 2023'!$J$4:$J$1227,P$1)</f>
        <v>0</v>
      </c>
      <c r="Q47" s="207">
        <f>SUMIFS('декабрь 2023'!$G$4:$G$1227,'декабрь 2023'!$D$4:$D$1227,$B47,'декабрь 2023'!$J$4:$J$1227,Q$1)</f>
        <v>0</v>
      </c>
      <c r="R47" s="207">
        <f>SUMIFS('декабрь 2023'!$G$4:$G$1227,'декабрь 2023'!$D$4:$D$1227,$B47,'декабрь 2023'!$J$4:$J$1227,R$1)</f>
        <v>0</v>
      </c>
      <c r="S47" s="207">
        <f>SUMIFS('декабрь 2023'!$G$4:$G$1227,'декабрь 2023'!$D$4:$D$1227,$B47,'декабрь 2023'!$J$4:$J$1227,S$1)</f>
        <v>0</v>
      </c>
      <c r="T47" s="207">
        <f>SUMIFS('декабрь 2023'!$G$4:$G$1227,'декабрь 2023'!$D$4:$D$1227,$B47,'декабрь 2023'!$J$4:$J$1227,T$1)</f>
        <v>0</v>
      </c>
      <c r="U47" s="207">
        <f>SUMIFS('декабрь 2023'!$G$4:$G$1227,'декабрь 2023'!$D$4:$D$1227,$B47,'декабрь 2023'!$J$4:$J$1227,U$1)</f>
        <v>0</v>
      </c>
      <c r="V47" s="207">
        <f>SUMIFS('декабрь 2023'!$G$4:$G$1227,'декабрь 2023'!$D$4:$D$1227,$B47,'декабрь 2023'!$J$4:$J$1227,V$1)</f>
        <v>0</v>
      </c>
      <c r="W47" s="207">
        <f>SUMIFS('декабрь 2023'!$G$4:$G$1227,'декабрь 2023'!$D$4:$D$1227,$B47,'декабрь 2023'!$J$4:$J$1227,W$1)</f>
        <v>0</v>
      </c>
      <c r="X47" s="207">
        <f>SUMIFS('декабрь 2023'!$G$4:$G$1227,'декабрь 2023'!$D$4:$D$1227,$B47,'декабрь 2023'!$J$4:$J$1227,X$1)</f>
        <v>0</v>
      </c>
      <c r="Y47" s="207">
        <f>SUMIFS('декабрь 2023'!$G$4:$G$1227,'декабрь 2023'!$D$4:$D$1227,$B47,'декабрь 2023'!$J$4:$J$1227,Y$1)</f>
        <v>0</v>
      </c>
      <c r="Z47" s="207">
        <f>SUMIFS('декабрь 2023'!$G$4:$G$1227,'декабрь 2023'!$D$4:$D$1227,$B47,'декабрь 2023'!$J$4:$J$1227,Z$1)</f>
        <v>0</v>
      </c>
      <c r="AA47" s="207">
        <f>SUMIFS('декабрь 2023'!$G$4:$G$1227,'декабрь 2023'!$D$4:$D$1227,$B47,'декабрь 2023'!$J$4:$J$1227,AA$1)</f>
        <v>0</v>
      </c>
      <c r="AB47" s="207">
        <f>SUMIFS('декабрь 2023'!$G$4:$G$1227,'декабрь 2023'!$D$4:$D$1227,$B47,'декабрь 2023'!$J$4:$J$1227,AB$1)</f>
        <v>0</v>
      </c>
      <c r="AC47" s="207">
        <f>SUMIFS('декабрь 2023'!$G$4:$G$1227,'декабрь 2023'!$D$4:$D$1227,$B47,'декабрь 2023'!$J$4:$J$1227,AC$1)</f>
        <v>0</v>
      </c>
      <c r="AD47" s="207">
        <f>SUMIFS('декабрь 2023'!$G$4:$G$1227,'декабрь 2023'!$D$4:$D$1227,$B47,'декабрь 2023'!$J$4:$J$1227,AD$1)</f>
        <v>0</v>
      </c>
      <c r="AE47" s="207">
        <f>SUMIFS('декабрь 2023'!$G$4:$G$1227,'декабрь 2023'!$D$4:$D$1227,$B47,'декабрь 2023'!$J$4:$J$1227,AE$1)</f>
        <v>0</v>
      </c>
      <c r="AF47" s="207">
        <f>SUMIFS('декабрь 2023'!$G$4:$G$1227,'декабрь 2023'!$D$4:$D$1227,$B47,'декабрь 2023'!$J$4:$J$1227,AF$1)</f>
        <v>0</v>
      </c>
      <c r="AG47" s="207">
        <f>SUMIFS('декабрь 2023'!$G$4:$G$1227,'декабрь 2023'!$D$4:$D$1227,$B47,'декабрь 2023'!$J$4:$J$1227,AG$1)</f>
        <v>0</v>
      </c>
      <c r="AH47" s="207">
        <f>SUMIFS('декабрь 2023'!$G$4:$G$1227,'декабрь 2023'!$D$4:$D$1227,$B47,'декабрь 2023'!$J$4:$J$1227,AH$1)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SUMIFS('декабрь 2023'!$G$4:$G$1227,'декабрь 2023'!$D$4:$D$1227,$B48,'декабрь 2023'!$J$4:$J$1227,D$1)</f>
        <v>0</v>
      </c>
      <c r="E48" s="207">
        <f>SUMIFS('декабрь 2023'!$G$4:$G$1227,'декабрь 2023'!$D$4:$D$1227,$B48,'декабрь 2023'!$J$4:$J$1227,E$1)</f>
        <v>0</v>
      </c>
      <c r="F48" s="207">
        <f>SUMIFS('декабрь 2023'!$G$4:$G$1227,'декабрь 2023'!$D$4:$D$1227,$B48,'декабрь 2023'!$J$4:$J$1227,F$1)</f>
        <v>0</v>
      </c>
      <c r="G48" s="207">
        <f>SUMIFS('декабрь 2023'!$G$4:$G$1227,'декабрь 2023'!$D$4:$D$1227,$B48,'декабрь 2023'!$J$4:$J$1227,G$1)</f>
        <v>0</v>
      </c>
      <c r="H48" s="207">
        <f>SUMIFS('декабрь 2023'!$G$4:$G$1227,'декабрь 2023'!$D$4:$D$1227,$B48,'декабрь 2023'!$J$4:$J$1227,H$1)</f>
        <v>0</v>
      </c>
      <c r="I48" s="207">
        <f>SUMIFS('декабрь 2023'!$G$4:$G$1227,'декабрь 2023'!$D$4:$D$1227,$B48,'декабрь 2023'!$J$4:$J$1227,I$1)</f>
        <v>0</v>
      </c>
      <c r="J48" s="207">
        <f>SUMIFS('декабрь 2023'!$G$4:$G$1227,'декабрь 2023'!$D$4:$D$1227,$B48,'декабрь 2023'!$J$4:$J$1227,J$1)</f>
        <v>0</v>
      </c>
      <c r="K48" s="207">
        <f>SUMIFS('декабрь 2023'!$G$4:$G$1227,'декабрь 2023'!$D$4:$D$1227,$B48,'декабрь 2023'!$J$4:$J$1227,K$1)</f>
        <v>0</v>
      </c>
      <c r="L48" s="207">
        <f>SUMIFS('декабрь 2023'!$G$4:$G$1227,'декабрь 2023'!$D$4:$D$1227,$B48,'декабрь 2023'!$J$4:$J$1227,L$1)</f>
        <v>0</v>
      </c>
      <c r="M48" s="207">
        <f>SUMIFS('декабрь 2023'!$G$4:$G$1227,'декабрь 2023'!$D$4:$D$1227,$B48,'декабрь 2023'!$J$4:$J$1227,M$1)</f>
        <v>0</v>
      </c>
      <c r="N48" s="207">
        <f>SUMIFS('декабрь 2023'!$G$4:$G$1227,'декабрь 2023'!$D$4:$D$1227,$B48,'декабрь 2023'!$J$4:$J$1227,N$1)</f>
        <v>0</v>
      </c>
      <c r="O48" s="207">
        <f>SUMIFS('декабрь 2023'!$G$4:$G$1227,'декабрь 2023'!$D$4:$D$1227,$B48,'декабрь 2023'!$J$4:$J$1227,O$1)</f>
        <v>0</v>
      </c>
      <c r="P48" s="207">
        <f>SUMIFS('декабрь 2023'!$G$4:$G$1227,'декабрь 2023'!$D$4:$D$1227,$B48,'декабрь 2023'!$J$4:$J$1227,P$1)</f>
        <v>0</v>
      </c>
      <c r="Q48" s="207">
        <f>SUMIFS('декабрь 2023'!$G$4:$G$1227,'декабрь 2023'!$D$4:$D$1227,$B48,'декабрь 2023'!$J$4:$J$1227,Q$1)</f>
        <v>0</v>
      </c>
      <c r="R48" s="207">
        <f>SUMIFS('декабрь 2023'!$G$4:$G$1227,'декабрь 2023'!$D$4:$D$1227,$B48,'декабрь 2023'!$J$4:$J$1227,R$1)</f>
        <v>0</v>
      </c>
      <c r="S48" s="207">
        <f>SUMIFS('декабрь 2023'!$G$4:$G$1227,'декабрь 2023'!$D$4:$D$1227,$B48,'декабрь 2023'!$J$4:$J$1227,S$1)</f>
        <v>0</v>
      </c>
      <c r="T48" s="207">
        <f>SUMIFS('декабрь 2023'!$G$4:$G$1227,'декабрь 2023'!$D$4:$D$1227,$B48,'декабрь 2023'!$J$4:$J$1227,T$1)</f>
        <v>0</v>
      </c>
      <c r="U48" s="207">
        <f>SUMIFS('декабрь 2023'!$G$4:$G$1227,'декабрь 2023'!$D$4:$D$1227,$B48,'декабрь 2023'!$J$4:$J$1227,U$1)</f>
        <v>0</v>
      </c>
      <c r="V48" s="207">
        <f>SUMIFS('декабрь 2023'!$G$4:$G$1227,'декабрь 2023'!$D$4:$D$1227,$B48,'декабрь 2023'!$J$4:$J$1227,V$1)</f>
        <v>0</v>
      </c>
      <c r="W48" s="207">
        <f>SUMIFS('декабрь 2023'!$G$4:$G$1227,'декабрь 2023'!$D$4:$D$1227,$B48,'декабрь 2023'!$J$4:$J$1227,W$1)</f>
        <v>0</v>
      </c>
      <c r="X48" s="207">
        <f>SUMIFS('декабрь 2023'!$G$4:$G$1227,'декабрь 2023'!$D$4:$D$1227,$B48,'декабрь 2023'!$J$4:$J$1227,X$1)</f>
        <v>0</v>
      </c>
      <c r="Y48" s="207">
        <f>SUMIFS('декабрь 2023'!$G$4:$G$1227,'декабрь 2023'!$D$4:$D$1227,$B48,'декабрь 2023'!$J$4:$J$1227,Y$1)</f>
        <v>0</v>
      </c>
      <c r="Z48" s="207">
        <f>SUMIFS('декабрь 2023'!$G$4:$G$1227,'декабрь 2023'!$D$4:$D$1227,$B48,'декабрь 2023'!$J$4:$J$1227,Z$1)</f>
        <v>0</v>
      </c>
      <c r="AA48" s="207">
        <f>SUMIFS('декабрь 2023'!$G$4:$G$1227,'декабрь 2023'!$D$4:$D$1227,$B48,'декабрь 2023'!$J$4:$J$1227,AA$1)</f>
        <v>0</v>
      </c>
      <c r="AB48" s="207">
        <f>SUMIFS('декабрь 2023'!$G$4:$G$1227,'декабрь 2023'!$D$4:$D$1227,$B48,'декабрь 2023'!$J$4:$J$1227,AB$1)</f>
        <v>0</v>
      </c>
      <c r="AC48" s="207">
        <f>SUMIFS('декабрь 2023'!$G$4:$G$1227,'декабрь 2023'!$D$4:$D$1227,$B48,'декабрь 2023'!$J$4:$J$1227,AC$1)</f>
        <v>0</v>
      </c>
      <c r="AD48" s="207">
        <f>SUMIFS('декабрь 2023'!$G$4:$G$1227,'декабрь 2023'!$D$4:$D$1227,$B48,'декабрь 2023'!$J$4:$J$1227,AD$1)</f>
        <v>0</v>
      </c>
      <c r="AE48" s="207">
        <f>SUMIFS('декабрь 2023'!$G$4:$G$1227,'декабрь 2023'!$D$4:$D$1227,$B48,'декабрь 2023'!$J$4:$J$1227,AE$1)</f>
        <v>0</v>
      </c>
      <c r="AF48" s="207">
        <f>SUMIFS('декабрь 2023'!$G$4:$G$1227,'декабрь 2023'!$D$4:$D$1227,$B48,'декабрь 2023'!$J$4:$J$1227,AF$1)</f>
        <v>0</v>
      </c>
      <c r="AG48" s="207">
        <f>SUMIFS('декабрь 2023'!$G$4:$G$1227,'декабрь 2023'!$D$4:$D$1227,$B48,'декабрь 2023'!$J$4:$J$1227,AG$1)</f>
        <v>0</v>
      </c>
      <c r="AH48" s="207">
        <f>SUMIFS('декабрь 2023'!$G$4:$G$1227,'декабрь 2023'!$D$4:$D$1227,$B48,'декабрь 2023'!$J$4:$J$1227,AH$1)</f>
        <v>0</v>
      </c>
      <c r="AI48" s="170">
        <f t="shared" si="1"/>
        <v>0</v>
      </c>
    </row>
    <row r="49" spans="2:35" ht="15" customHeight="1" x14ac:dyDescent="0.25">
      <c r="B49" s="212" t="s">
        <v>603</v>
      </c>
      <c r="C49" s="213">
        <v>25</v>
      </c>
      <c r="D49" s="207">
        <f>SUMIFS('декабрь 2023'!$G$4:$G$1227,'декабрь 2023'!$D$4:$D$1227,$B49,'декабрь 2023'!$J$4:$J$1227,D$1)</f>
        <v>0</v>
      </c>
      <c r="E49" s="207">
        <f>SUMIFS('декабрь 2023'!$G$4:$G$1227,'декабрь 2023'!$D$4:$D$1227,$B49,'декабрь 2023'!$J$4:$J$1227,E$1)</f>
        <v>0</v>
      </c>
      <c r="F49" s="207">
        <f>SUMIFS('декабрь 2023'!$G$4:$G$1227,'декабрь 2023'!$D$4:$D$1227,$B49,'декабрь 2023'!$J$4:$J$1227,F$1)</f>
        <v>0</v>
      </c>
      <c r="G49" s="207">
        <f>SUMIFS('декабрь 2023'!$G$4:$G$1227,'декабрь 2023'!$D$4:$D$1227,$B49,'декабрь 2023'!$J$4:$J$1227,G$1)</f>
        <v>0</v>
      </c>
      <c r="H49" s="207">
        <f>SUMIFS('декабрь 2023'!$G$4:$G$1227,'декабрь 2023'!$D$4:$D$1227,$B49,'декабрь 2023'!$J$4:$J$1227,H$1)</f>
        <v>0</v>
      </c>
      <c r="I49" s="207">
        <f>SUMIFS('декабрь 2023'!$G$4:$G$1227,'декабрь 2023'!$D$4:$D$1227,$B49,'декабрь 2023'!$J$4:$J$1227,I$1)</f>
        <v>0</v>
      </c>
      <c r="J49" s="207">
        <f>SUMIFS('декабрь 2023'!$G$4:$G$1227,'декабрь 2023'!$D$4:$D$1227,$B49,'декабрь 2023'!$J$4:$J$1227,J$1)</f>
        <v>0</v>
      </c>
      <c r="K49" s="207">
        <f>SUMIFS('декабрь 2023'!$G$4:$G$1227,'декабрь 2023'!$D$4:$D$1227,$B49,'декабрь 2023'!$J$4:$J$1227,K$1)</f>
        <v>0</v>
      </c>
      <c r="L49" s="207">
        <f>SUMIFS('декабрь 2023'!$G$4:$G$1227,'декабрь 2023'!$D$4:$D$1227,$B49,'декабрь 2023'!$J$4:$J$1227,L$1)</f>
        <v>0</v>
      </c>
      <c r="M49" s="207">
        <f>SUMIFS('декабрь 2023'!$G$4:$G$1227,'декабрь 2023'!$D$4:$D$1227,$B49,'декабрь 2023'!$J$4:$J$1227,M$1)</f>
        <v>0</v>
      </c>
      <c r="N49" s="207">
        <f>SUMIFS('декабрь 2023'!$G$4:$G$1227,'декабрь 2023'!$D$4:$D$1227,$B49,'декабрь 2023'!$J$4:$J$1227,N$1)</f>
        <v>0</v>
      </c>
      <c r="O49" s="207">
        <f>SUMIFS('декабрь 2023'!$G$4:$G$1227,'декабрь 2023'!$D$4:$D$1227,$B49,'декабрь 2023'!$J$4:$J$1227,O$1)</f>
        <v>0</v>
      </c>
      <c r="P49" s="207">
        <f>SUMIFS('декабрь 2023'!$G$4:$G$1227,'декабрь 2023'!$D$4:$D$1227,$B49,'декабрь 2023'!$J$4:$J$1227,P$1)</f>
        <v>0</v>
      </c>
      <c r="Q49" s="207">
        <f>SUMIFS('декабрь 2023'!$G$4:$G$1227,'декабрь 2023'!$D$4:$D$1227,$B49,'декабрь 2023'!$J$4:$J$1227,Q$1)</f>
        <v>0</v>
      </c>
      <c r="R49" s="207">
        <f>SUMIFS('декабрь 2023'!$G$4:$G$1227,'декабрь 2023'!$D$4:$D$1227,$B49,'декабрь 2023'!$J$4:$J$1227,R$1)</f>
        <v>0</v>
      </c>
      <c r="S49" s="207">
        <f>SUMIFS('декабрь 2023'!$G$4:$G$1227,'декабрь 2023'!$D$4:$D$1227,$B49,'декабрь 2023'!$J$4:$J$1227,S$1)</f>
        <v>0</v>
      </c>
      <c r="T49" s="207">
        <f>SUMIFS('декабрь 2023'!$G$4:$G$1227,'декабрь 2023'!$D$4:$D$1227,$B49,'декабрь 2023'!$J$4:$J$1227,T$1)</f>
        <v>0</v>
      </c>
      <c r="U49" s="207">
        <f>SUMIFS('декабрь 2023'!$G$4:$G$1227,'декабрь 2023'!$D$4:$D$1227,$B49,'декабрь 2023'!$J$4:$J$1227,U$1)</f>
        <v>0</v>
      </c>
      <c r="V49" s="207">
        <f>SUMIFS('декабрь 2023'!$G$4:$G$1227,'декабрь 2023'!$D$4:$D$1227,$B49,'декабрь 2023'!$J$4:$J$1227,V$1)</f>
        <v>0</v>
      </c>
      <c r="W49" s="207">
        <f>SUMIFS('декабрь 2023'!$G$4:$G$1227,'декабрь 2023'!$D$4:$D$1227,$B49,'декабрь 2023'!$J$4:$J$1227,W$1)</f>
        <v>0</v>
      </c>
      <c r="X49" s="207">
        <f>SUMIFS('декабрь 2023'!$G$4:$G$1227,'декабрь 2023'!$D$4:$D$1227,$B49,'декабрь 2023'!$J$4:$J$1227,X$1)</f>
        <v>0</v>
      </c>
      <c r="Y49" s="207">
        <f>SUMIFS('декабрь 2023'!$G$4:$G$1227,'декабрь 2023'!$D$4:$D$1227,$B49,'декабрь 2023'!$J$4:$J$1227,Y$1)</f>
        <v>0</v>
      </c>
      <c r="Z49" s="207">
        <f>SUMIFS('декабрь 2023'!$G$4:$G$1227,'декабрь 2023'!$D$4:$D$1227,$B49,'декабрь 2023'!$J$4:$J$1227,Z$1)</f>
        <v>0</v>
      </c>
      <c r="AA49" s="207">
        <f>SUMIFS('декабрь 2023'!$G$4:$G$1227,'декабрь 2023'!$D$4:$D$1227,$B49,'декабрь 2023'!$J$4:$J$1227,AA$1)</f>
        <v>0</v>
      </c>
      <c r="AB49" s="207">
        <f>SUMIFS('декабрь 2023'!$G$4:$G$1227,'декабрь 2023'!$D$4:$D$1227,$B49,'декабрь 2023'!$J$4:$J$1227,AB$1)</f>
        <v>0</v>
      </c>
      <c r="AC49" s="207">
        <f>SUMIFS('декабрь 2023'!$G$4:$G$1227,'декабрь 2023'!$D$4:$D$1227,$B49,'декабрь 2023'!$J$4:$J$1227,AC$1)</f>
        <v>0</v>
      </c>
      <c r="AD49" s="207">
        <f>SUMIFS('декабрь 2023'!$G$4:$G$1227,'декабрь 2023'!$D$4:$D$1227,$B49,'декабрь 2023'!$J$4:$J$1227,AD$1)</f>
        <v>0</v>
      </c>
      <c r="AE49" s="207">
        <f>SUMIFS('декабрь 2023'!$G$4:$G$1227,'декабрь 2023'!$D$4:$D$1227,$B49,'декабрь 2023'!$J$4:$J$1227,AE$1)</f>
        <v>0</v>
      </c>
      <c r="AF49" s="207">
        <f>SUMIFS('декабрь 2023'!$G$4:$G$1227,'декабрь 2023'!$D$4:$D$1227,$B49,'декабрь 2023'!$J$4:$J$1227,AF$1)</f>
        <v>0</v>
      </c>
      <c r="AG49" s="207">
        <f>SUMIFS('декабрь 2023'!$G$4:$G$1227,'декабрь 2023'!$D$4:$D$1227,$B49,'декабрь 2023'!$J$4:$J$1227,AG$1)</f>
        <v>0</v>
      </c>
      <c r="AH49" s="207">
        <f>SUMIFS('декабрь 2023'!$G$4:$G$1227,'декабрь 2023'!$D$4:$D$1227,$B49,'декабрь 2023'!$J$4:$J$1227,AH$1)</f>
        <v>0</v>
      </c>
      <c r="AI49" s="170">
        <f t="shared" si="1"/>
        <v>0</v>
      </c>
    </row>
    <row r="50" spans="2:35" ht="15" customHeight="1" x14ac:dyDescent="0.25">
      <c r="B50" s="208" t="s">
        <v>1340</v>
      </c>
      <c r="C50" s="213">
        <v>50</v>
      </c>
      <c r="D50" s="207">
        <f>SUMIFS('декабрь 2023'!$G$4:$G$1227,'декабрь 2023'!$D$4:$D$1227,$B50,'декабрь 2023'!$J$4:$J$1227,D$1)</f>
        <v>0</v>
      </c>
      <c r="E50" s="207">
        <f>SUMIFS('декабрь 2023'!$G$4:$G$1227,'декабрь 2023'!$D$4:$D$1227,$B50,'декабрь 2023'!$J$4:$J$1227,E$1)</f>
        <v>0</v>
      </c>
      <c r="F50" s="207">
        <f>SUMIFS('декабрь 2023'!$G$4:$G$1227,'декабрь 2023'!$D$4:$D$1227,$B50,'декабрь 2023'!$J$4:$J$1227,F$1)</f>
        <v>0</v>
      </c>
      <c r="G50" s="207">
        <f>SUMIFS('декабрь 2023'!$G$4:$G$1227,'декабрь 2023'!$D$4:$D$1227,$B50,'декабрь 2023'!$J$4:$J$1227,G$1)</f>
        <v>0</v>
      </c>
      <c r="H50" s="207">
        <f>SUMIFS('декабрь 2023'!$G$4:$G$1227,'декабрь 2023'!$D$4:$D$1227,$B50,'декабрь 2023'!$J$4:$J$1227,H$1)</f>
        <v>0</v>
      </c>
      <c r="I50" s="207">
        <f>SUMIFS('декабрь 2023'!$G$4:$G$1227,'декабрь 2023'!$D$4:$D$1227,$B50,'декабрь 2023'!$J$4:$J$1227,I$1)</f>
        <v>0</v>
      </c>
      <c r="J50" s="207">
        <f>SUMIFS('декабрь 2023'!$G$4:$G$1227,'декабрь 2023'!$D$4:$D$1227,$B50,'декабрь 2023'!$J$4:$J$1227,J$1)</f>
        <v>0</v>
      </c>
      <c r="K50" s="207">
        <f>SUMIFS('декабрь 2023'!$G$4:$G$1227,'декабрь 2023'!$D$4:$D$1227,$B50,'декабрь 2023'!$J$4:$J$1227,K$1)</f>
        <v>0</v>
      </c>
      <c r="L50" s="207">
        <f>SUMIFS('декабрь 2023'!$G$4:$G$1227,'декабрь 2023'!$D$4:$D$1227,$B50,'декабрь 2023'!$J$4:$J$1227,L$1)</f>
        <v>0</v>
      </c>
      <c r="M50" s="207">
        <f>SUMIFS('декабрь 2023'!$G$4:$G$1227,'декабрь 2023'!$D$4:$D$1227,$B50,'декабрь 2023'!$J$4:$J$1227,M$1)</f>
        <v>0</v>
      </c>
      <c r="N50" s="207">
        <f>SUMIFS('декабрь 2023'!$G$4:$G$1227,'декабрь 2023'!$D$4:$D$1227,$B50,'декабрь 2023'!$J$4:$J$1227,N$1)</f>
        <v>0</v>
      </c>
      <c r="O50" s="207">
        <f>SUMIFS('декабрь 2023'!$G$4:$G$1227,'декабрь 2023'!$D$4:$D$1227,$B50,'декабрь 2023'!$J$4:$J$1227,O$1)</f>
        <v>0</v>
      </c>
      <c r="P50" s="207">
        <f>SUMIFS('декабрь 2023'!$G$4:$G$1227,'декабрь 2023'!$D$4:$D$1227,$B50,'декабрь 2023'!$J$4:$J$1227,P$1)</f>
        <v>0</v>
      </c>
      <c r="Q50" s="207">
        <f>SUMIFS('декабрь 2023'!$G$4:$G$1227,'декабрь 2023'!$D$4:$D$1227,$B50,'декабрь 2023'!$J$4:$J$1227,Q$1)</f>
        <v>0</v>
      </c>
      <c r="R50" s="207">
        <f>SUMIFS('декабрь 2023'!$G$4:$G$1227,'декабрь 2023'!$D$4:$D$1227,$B50,'декабрь 2023'!$J$4:$J$1227,R$1)</f>
        <v>0</v>
      </c>
      <c r="S50" s="207">
        <f>SUMIFS('декабрь 2023'!$G$4:$G$1227,'декабрь 2023'!$D$4:$D$1227,$B50,'декабрь 2023'!$J$4:$J$1227,S$1)</f>
        <v>0</v>
      </c>
      <c r="T50" s="207">
        <f>SUMIFS('декабрь 2023'!$G$4:$G$1227,'декабрь 2023'!$D$4:$D$1227,$B50,'декабрь 2023'!$J$4:$J$1227,T$1)</f>
        <v>0</v>
      </c>
      <c r="U50" s="207">
        <f>SUMIFS('декабрь 2023'!$G$4:$G$1227,'декабрь 2023'!$D$4:$D$1227,$B50,'декабрь 2023'!$J$4:$J$1227,U$1)</f>
        <v>0</v>
      </c>
      <c r="V50" s="207">
        <f>SUMIFS('декабрь 2023'!$G$4:$G$1227,'декабрь 2023'!$D$4:$D$1227,$B50,'декабрь 2023'!$J$4:$J$1227,V$1)</f>
        <v>0</v>
      </c>
      <c r="W50" s="207">
        <f>SUMIFS('декабрь 2023'!$G$4:$G$1227,'декабрь 2023'!$D$4:$D$1227,$B50,'декабрь 2023'!$J$4:$J$1227,W$1)</f>
        <v>0</v>
      </c>
      <c r="X50" s="207">
        <f>SUMIFS('декабрь 2023'!$G$4:$G$1227,'декабрь 2023'!$D$4:$D$1227,$B50,'декабрь 2023'!$J$4:$J$1227,X$1)</f>
        <v>0</v>
      </c>
      <c r="Y50" s="207">
        <f>SUMIFS('декабрь 2023'!$G$4:$G$1227,'декабрь 2023'!$D$4:$D$1227,$B50,'декабрь 2023'!$J$4:$J$1227,Y$1)</f>
        <v>0</v>
      </c>
      <c r="Z50" s="207">
        <f>SUMIFS('декабрь 2023'!$G$4:$G$1227,'декабрь 2023'!$D$4:$D$1227,$B50,'декабрь 2023'!$J$4:$J$1227,Z$1)</f>
        <v>0</v>
      </c>
      <c r="AA50" s="207">
        <f>SUMIFS('декабрь 2023'!$G$4:$G$1227,'декабрь 2023'!$D$4:$D$1227,$B50,'декабрь 2023'!$J$4:$J$1227,AA$1)</f>
        <v>0</v>
      </c>
      <c r="AB50" s="207">
        <f>SUMIFS('декабрь 2023'!$G$4:$G$1227,'декабрь 2023'!$D$4:$D$1227,$B50,'декабрь 2023'!$J$4:$J$1227,AB$1)</f>
        <v>0</v>
      </c>
      <c r="AC50" s="207">
        <f>SUMIFS('декабрь 2023'!$G$4:$G$1227,'декабрь 2023'!$D$4:$D$1227,$B50,'декабрь 2023'!$J$4:$J$1227,AC$1)</f>
        <v>0</v>
      </c>
      <c r="AD50" s="207">
        <f>SUMIFS('декабрь 2023'!$G$4:$G$1227,'декабрь 2023'!$D$4:$D$1227,$B50,'декабрь 2023'!$J$4:$J$1227,AD$1)</f>
        <v>0</v>
      </c>
      <c r="AE50" s="207">
        <f>SUMIFS('декабрь 2023'!$G$4:$G$1227,'декабрь 2023'!$D$4:$D$1227,$B50,'декабрь 2023'!$J$4:$J$1227,AE$1)</f>
        <v>0</v>
      </c>
      <c r="AF50" s="207">
        <f>SUMIFS('декабрь 2023'!$G$4:$G$1227,'декабрь 2023'!$D$4:$D$1227,$B50,'декабрь 2023'!$J$4:$J$1227,AF$1)</f>
        <v>0</v>
      </c>
      <c r="AG50" s="207">
        <f>SUMIFS('декабрь 2023'!$G$4:$G$1227,'декабрь 2023'!$D$4:$D$1227,$B50,'декабрь 2023'!$J$4:$J$1227,AG$1)</f>
        <v>0</v>
      </c>
      <c r="AH50" s="207">
        <f>SUMIFS('декабрь 2023'!$G$4:$G$1227,'декабрь 2023'!$D$4:$D$1227,$B50,'декабрь 2023'!$J$4:$J$1227,AH$1)</f>
        <v>0</v>
      </c>
      <c r="AI50" s="170">
        <f t="shared" si="1"/>
        <v>0</v>
      </c>
    </row>
    <row r="51" spans="2:35" ht="15" customHeight="1" x14ac:dyDescent="0.25">
      <c r="B51" s="212" t="s">
        <v>2141</v>
      </c>
      <c r="C51" s="213">
        <v>200</v>
      </c>
      <c r="D51" s="207">
        <f>SUMIFS('декабрь 2023'!$G$4:$G$1227,'декабрь 2023'!$D$4:$D$1227,$B51,'декабрь 2023'!$J$4:$J$1227,D$1)</f>
        <v>0</v>
      </c>
      <c r="E51" s="207">
        <f>SUMIFS('декабрь 2023'!$G$4:$G$1227,'декабрь 2023'!$D$4:$D$1227,$B51,'декабрь 2023'!$J$4:$J$1227,E$1)</f>
        <v>0</v>
      </c>
      <c r="F51" s="207">
        <f>SUMIFS('декабрь 2023'!$G$4:$G$1227,'декабрь 2023'!$D$4:$D$1227,$B51,'декабрь 2023'!$J$4:$J$1227,F$1)</f>
        <v>0</v>
      </c>
      <c r="G51" s="207">
        <f>SUMIFS('декабрь 2023'!$G$4:$G$1227,'декабрь 2023'!$D$4:$D$1227,$B51,'декабрь 2023'!$J$4:$J$1227,G$1)</f>
        <v>0</v>
      </c>
      <c r="H51" s="207">
        <f>SUMIFS('декабрь 2023'!$G$4:$G$1227,'декабрь 2023'!$D$4:$D$1227,$B51,'декабрь 2023'!$J$4:$J$1227,H$1)</f>
        <v>0</v>
      </c>
      <c r="I51" s="207">
        <f>SUMIFS('декабрь 2023'!$G$4:$G$1227,'декабрь 2023'!$D$4:$D$1227,$B51,'декабрь 2023'!$J$4:$J$1227,I$1)</f>
        <v>0</v>
      </c>
      <c r="J51" s="207">
        <f>SUMIFS('декабрь 2023'!$G$4:$G$1227,'декабрь 2023'!$D$4:$D$1227,$B51,'декабрь 2023'!$J$4:$J$1227,J$1)</f>
        <v>0</v>
      </c>
      <c r="K51" s="207">
        <f>SUMIFS('декабрь 2023'!$G$4:$G$1227,'декабрь 2023'!$D$4:$D$1227,$B51,'декабрь 2023'!$J$4:$J$1227,K$1)</f>
        <v>0</v>
      </c>
      <c r="L51" s="207">
        <f>SUMIFS('декабрь 2023'!$G$4:$G$1227,'декабрь 2023'!$D$4:$D$1227,$B51,'декабрь 2023'!$J$4:$J$1227,L$1)</f>
        <v>0</v>
      </c>
      <c r="M51" s="207">
        <f>SUMIFS('декабрь 2023'!$G$4:$G$1227,'декабрь 2023'!$D$4:$D$1227,$B51,'декабрь 2023'!$J$4:$J$1227,M$1)</f>
        <v>0</v>
      </c>
      <c r="N51" s="207">
        <f>SUMIFS('декабрь 2023'!$G$4:$G$1227,'декабрь 2023'!$D$4:$D$1227,$B51,'декабрь 2023'!$J$4:$J$1227,N$1)</f>
        <v>0</v>
      </c>
      <c r="O51" s="207">
        <f>SUMIFS('декабрь 2023'!$G$4:$G$1227,'декабрь 2023'!$D$4:$D$1227,$B51,'декабрь 2023'!$J$4:$J$1227,O$1)</f>
        <v>0</v>
      </c>
      <c r="P51" s="207">
        <f>SUMIFS('декабрь 2023'!$G$4:$G$1227,'декабрь 2023'!$D$4:$D$1227,$B51,'декабрь 2023'!$J$4:$J$1227,P$1)</f>
        <v>0</v>
      </c>
      <c r="Q51" s="207">
        <f>SUMIFS('декабрь 2023'!$G$4:$G$1227,'декабрь 2023'!$D$4:$D$1227,$B51,'декабрь 2023'!$J$4:$J$1227,Q$1)</f>
        <v>0</v>
      </c>
      <c r="R51" s="207">
        <f>SUMIFS('декабрь 2023'!$G$4:$G$1227,'декабрь 2023'!$D$4:$D$1227,$B51,'декабрь 2023'!$J$4:$J$1227,R$1)</f>
        <v>0</v>
      </c>
      <c r="S51" s="207">
        <f>SUMIFS('декабрь 2023'!$G$4:$G$1227,'декабрь 2023'!$D$4:$D$1227,$B51,'декабрь 2023'!$J$4:$J$1227,S$1)</f>
        <v>0</v>
      </c>
      <c r="T51" s="207">
        <f>SUMIFS('декабрь 2023'!$G$4:$G$1227,'декабрь 2023'!$D$4:$D$1227,$B51,'декабрь 2023'!$J$4:$J$1227,T$1)</f>
        <v>0</v>
      </c>
      <c r="U51" s="207">
        <f>SUMIFS('декабрь 2023'!$G$4:$G$1227,'декабрь 2023'!$D$4:$D$1227,$B51,'декабрь 2023'!$J$4:$J$1227,U$1)</f>
        <v>0</v>
      </c>
      <c r="V51" s="207">
        <f>SUMIFS('декабрь 2023'!$G$4:$G$1227,'декабрь 2023'!$D$4:$D$1227,$B51,'декабрь 2023'!$J$4:$J$1227,V$1)</f>
        <v>0</v>
      </c>
      <c r="W51" s="207">
        <f>SUMIFS('декабрь 2023'!$G$4:$G$1227,'декабрь 2023'!$D$4:$D$1227,$B51,'декабрь 2023'!$J$4:$J$1227,W$1)</f>
        <v>0</v>
      </c>
      <c r="X51" s="207">
        <f>SUMIFS('декабрь 2023'!$G$4:$G$1227,'декабрь 2023'!$D$4:$D$1227,$B51,'декабрь 2023'!$J$4:$J$1227,X$1)</f>
        <v>0</v>
      </c>
      <c r="Y51" s="207">
        <f>SUMIFS('декабрь 2023'!$G$4:$G$1227,'декабрь 2023'!$D$4:$D$1227,$B51,'декабрь 2023'!$J$4:$J$1227,Y$1)</f>
        <v>0</v>
      </c>
      <c r="Z51" s="207">
        <f>SUMIFS('декабрь 2023'!$G$4:$G$1227,'декабрь 2023'!$D$4:$D$1227,$B51,'декабрь 2023'!$J$4:$J$1227,Z$1)</f>
        <v>0</v>
      </c>
      <c r="AA51" s="207">
        <f>SUMIFS('декабрь 2023'!$G$4:$G$1227,'декабрь 2023'!$D$4:$D$1227,$B51,'декабрь 2023'!$J$4:$J$1227,AA$1)</f>
        <v>0</v>
      </c>
      <c r="AB51" s="207">
        <f>SUMIFS('декабрь 2023'!$G$4:$G$1227,'декабрь 2023'!$D$4:$D$1227,$B51,'декабрь 2023'!$J$4:$J$1227,AB$1)</f>
        <v>0</v>
      </c>
      <c r="AC51" s="207">
        <f>SUMIFS('декабрь 2023'!$G$4:$G$1227,'декабрь 2023'!$D$4:$D$1227,$B51,'декабрь 2023'!$J$4:$J$1227,AC$1)</f>
        <v>0</v>
      </c>
      <c r="AD51" s="207">
        <f>SUMIFS('декабрь 2023'!$G$4:$G$1227,'декабрь 2023'!$D$4:$D$1227,$B51,'декабрь 2023'!$J$4:$J$1227,AD$1)</f>
        <v>0</v>
      </c>
      <c r="AE51" s="207">
        <f>SUMIFS('декабрь 2023'!$G$4:$G$1227,'декабрь 2023'!$D$4:$D$1227,$B51,'декабрь 2023'!$J$4:$J$1227,AE$1)</f>
        <v>0</v>
      </c>
      <c r="AF51" s="207">
        <f>SUMIFS('декабрь 2023'!$G$4:$G$1227,'декабрь 2023'!$D$4:$D$1227,$B51,'декабрь 2023'!$J$4:$J$1227,AF$1)</f>
        <v>0</v>
      </c>
      <c r="AG51" s="207">
        <f>SUMIFS('декабрь 2023'!$G$4:$G$1227,'декабрь 2023'!$D$4:$D$1227,$B51,'декабрь 2023'!$J$4:$J$1227,AG$1)</f>
        <v>0</v>
      </c>
      <c r="AH51" s="207">
        <f>SUMIFS('декабрь 2023'!$G$4:$G$1227,'декабрь 2023'!$D$4:$D$1227,$B51,'декабрь 2023'!$J$4:$J$1227,AH$1)</f>
        <v>0</v>
      </c>
      <c r="AI51" s="170">
        <f t="shared" si="1"/>
        <v>0</v>
      </c>
    </row>
    <row r="52" spans="2:35" ht="15" customHeight="1" x14ac:dyDescent="0.25">
      <c r="B52" s="212" t="s">
        <v>110</v>
      </c>
      <c r="C52" s="213">
        <v>200</v>
      </c>
      <c r="D52" s="207">
        <f>SUMIFS('декабрь 2023'!$G$4:$G$1227,'декабрь 2023'!$D$4:$D$1227,$B52,'декабрь 2023'!$J$4:$J$1227,D$1)</f>
        <v>0</v>
      </c>
      <c r="E52" s="207">
        <f>SUMIFS('декабрь 2023'!$G$4:$G$1227,'декабрь 2023'!$D$4:$D$1227,$B52,'декабрь 2023'!$J$4:$J$1227,E$1)</f>
        <v>0</v>
      </c>
      <c r="F52" s="207">
        <f>SUMIFS('декабрь 2023'!$G$4:$G$1227,'декабрь 2023'!$D$4:$D$1227,$B52,'декабрь 2023'!$J$4:$J$1227,F$1)</f>
        <v>0</v>
      </c>
      <c r="G52" s="207">
        <f>SUMIFS('декабрь 2023'!$G$4:$G$1227,'декабрь 2023'!$D$4:$D$1227,$B52,'декабрь 2023'!$J$4:$J$1227,G$1)</f>
        <v>0</v>
      </c>
      <c r="H52" s="207">
        <f>SUMIFS('декабрь 2023'!$G$4:$G$1227,'декабрь 2023'!$D$4:$D$1227,$B52,'декабрь 2023'!$J$4:$J$1227,H$1)</f>
        <v>0</v>
      </c>
      <c r="I52" s="207">
        <f>SUMIFS('декабрь 2023'!$G$4:$G$1227,'декабрь 2023'!$D$4:$D$1227,$B52,'декабрь 2023'!$J$4:$J$1227,I$1)</f>
        <v>0</v>
      </c>
      <c r="J52" s="207">
        <f>SUMIFS('декабрь 2023'!$G$4:$G$1227,'декабрь 2023'!$D$4:$D$1227,$B52,'декабрь 2023'!$J$4:$J$1227,J$1)</f>
        <v>0</v>
      </c>
      <c r="K52" s="207">
        <f>SUMIFS('декабрь 2023'!$G$4:$G$1227,'декабрь 2023'!$D$4:$D$1227,$B52,'декабрь 2023'!$J$4:$J$1227,K$1)</f>
        <v>0</v>
      </c>
      <c r="L52" s="207">
        <f>SUMIFS('декабрь 2023'!$G$4:$G$1227,'декабрь 2023'!$D$4:$D$1227,$B52,'декабрь 2023'!$J$4:$J$1227,L$1)</f>
        <v>0</v>
      </c>
      <c r="M52" s="207">
        <f>SUMIFS('декабрь 2023'!$G$4:$G$1227,'декабрь 2023'!$D$4:$D$1227,$B52,'декабрь 2023'!$J$4:$J$1227,M$1)</f>
        <v>0</v>
      </c>
      <c r="N52" s="207">
        <f>SUMIFS('декабрь 2023'!$G$4:$G$1227,'декабрь 2023'!$D$4:$D$1227,$B52,'декабрь 2023'!$J$4:$J$1227,N$1)</f>
        <v>176</v>
      </c>
      <c r="O52" s="207">
        <f>SUMIFS('декабрь 2023'!$G$4:$G$1227,'декабрь 2023'!$D$4:$D$1227,$B52,'декабрь 2023'!$J$4:$J$1227,O$1)</f>
        <v>0</v>
      </c>
      <c r="P52" s="207">
        <f>SUMIFS('декабрь 2023'!$G$4:$G$1227,'декабрь 2023'!$D$4:$D$1227,$B52,'декабрь 2023'!$J$4:$J$1227,P$1)</f>
        <v>0</v>
      </c>
      <c r="Q52" s="207">
        <f>SUMIFS('декабрь 2023'!$G$4:$G$1227,'декабрь 2023'!$D$4:$D$1227,$B52,'декабрь 2023'!$J$4:$J$1227,Q$1)</f>
        <v>0</v>
      </c>
      <c r="R52" s="207">
        <f>SUMIFS('декабрь 2023'!$G$4:$G$1227,'декабрь 2023'!$D$4:$D$1227,$B52,'декабрь 2023'!$J$4:$J$1227,R$1)</f>
        <v>0</v>
      </c>
      <c r="S52" s="207">
        <f>SUMIFS('декабрь 2023'!$G$4:$G$1227,'декабрь 2023'!$D$4:$D$1227,$B52,'декабрь 2023'!$J$4:$J$1227,S$1)</f>
        <v>0</v>
      </c>
      <c r="T52" s="207">
        <f>SUMIFS('декабрь 2023'!$G$4:$G$1227,'декабрь 2023'!$D$4:$D$1227,$B52,'декабрь 2023'!$J$4:$J$1227,T$1)</f>
        <v>0</v>
      </c>
      <c r="U52" s="207">
        <f>SUMIFS('декабрь 2023'!$G$4:$G$1227,'декабрь 2023'!$D$4:$D$1227,$B52,'декабрь 2023'!$J$4:$J$1227,U$1)</f>
        <v>0</v>
      </c>
      <c r="V52" s="207">
        <f>SUMIFS('декабрь 2023'!$G$4:$G$1227,'декабрь 2023'!$D$4:$D$1227,$B52,'декабрь 2023'!$J$4:$J$1227,V$1)</f>
        <v>0</v>
      </c>
      <c r="W52" s="207">
        <f>SUMIFS('декабрь 2023'!$G$4:$G$1227,'декабрь 2023'!$D$4:$D$1227,$B52,'декабрь 2023'!$J$4:$J$1227,W$1)</f>
        <v>80</v>
      </c>
      <c r="X52" s="207">
        <f>SUMIFS('декабрь 2023'!$G$4:$G$1227,'декабрь 2023'!$D$4:$D$1227,$B52,'декабрь 2023'!$J$4:$J$1227,X$1)</f>
        <v>0</v>
      </c>
      <c r="Y52" s="207">
        <f>SUMIFS('декабрь 2023'!$G$4:$G$1227,'декабрь 2023'!$D$4:$D$1227,$B52,'декабрь 2023'!$J$4:$J$1227,Y$1)</f>
        <v>0</v>
      </c>
      <c r="Z52" s="207">
        <f>SUMIFS('декабрь 2023'!$G$4:$G$1227,'декабрь 2023'!$D$4:$D$1227,$B52,'декабрь 2023'!$J$4:$J$1227,Z$1)</f>
        <v>0</v>
      </c>
      <c r="AA52" s="207">
        <f>SUMIFS('декабрь 2023'!$G$4:$G$1227,'декабрь 2023'!$D$4:$D$1227,$B52,'декабрь 2023'!$J$4:$J$1227,AA$1)</f>
        <v>0</v>
      </c>
      <c r="AB52" s="207">
        <f>SUMIFS('декабрь 2023'!$G$4:$G$1227,'декабрь 2023'!$D$4:$D$1227,$B52,'декабрь 2023'!$J$4:$J$1227,AB$1)</f>
        <v>0</v>
      </c>
      <c r="AC52" s="207">
        <f>SUMIFS('декабрь 2023'!$G$4:$G$1227,'декабрь 2023'!$D$4:$D$1227,$B52,'декабрь 2023'!$J$4:$J$1227,AC$1)</f>
        <v>0</v>
      </c>
      <c r="AD52" s="207">
        <f>SUMIFS('декабрь 2023'!$G$4:$G$1227,'декабрь 2023'!$D$4:$D$1227,$B52,'декабрь 2023'!$J$4:$J$1227,AD$1)</f>
        <v>0</v>
      </c>
      <c r="AE52" s="207">
        <f>SUMIFS('декабрь 2023'!$G$4:$G$1227,'декабрь 2023'!$D$4:$D$1227,$B52,'декабрь 2023'!$J$4:$J$1227,AE$1)</f>
        <v>0</v>
      </c>
      <c r="AF52" s="207">
        <f>SUMIFS('декабрь 2023'!$G$4:$G$1227,'декабрь 2023'!$D$4:$D$1227,$B52,'декабрь 2023'!$J$4:$J$1227,AF$1)</f>
        <v>0</v>
      </c>
      <c r="AG52" s="207">
        <f>SUMIFS('декабрь 2023'!$G$4:$G$1227,'декабрь 2023'!$D$4:$D$1227,$B52,'декабрь 2023'!$J$4:$J$1227,AG$1)</f>
        <v>0</v>
      </c>
      <c r="AH52" s="207">
        <f>SUMIFS('декабрь 2023'!$G$4:$G$1227,'декабрь 2023'!$D$4:$D$1227,$B52,'декабрь 2023'!$J$4:$J$1227,AH$1)</f>
        <v>0</v>
      </c>
      <c r="AI52" s="170">
        <f t="shared" si="1"/>
        <v>256</v>
      </c>
    </row>
    <row r="53" spans="2:35" ht="15" customHeight="1" x14ac:dyDescent="0.25">
      <c r="B53" s="212" t="s">
        <v>1415</v>
      </c>
      <c r="C53" s="213">
        <v>200</v>
      </c>
      <c r="D53" s="207">
        <f>SUMIFS('декабрь 2023'!$G$4:$G$1227,'декабрь 2023'!$D$4:$D$1227,$B53,'декабрь 2023'!$J$4:$J$1227,D$1)</f>
        <v>0</v>
      </c>
      <c r="E53" s="207">
        <f>SUMIFS('декабрь 2023'!$G$4:$G$1227,'декабрь 2023'!$D$4:$D$1227,$B53,'декабрь 2023'!$J$4:$J$1227,E$1)</f>
        <v>0</v>
      </c>
      <c r="F53" s="207">
        <f>SUMIFS('декабрь 2023'!$G$4:$G$1227,'декабрь 2023'!$D$4:$D$1227,$B53,'декабрь 2023'!$J$4:$J$1227,F$1)</f>
        <v>0</v>
      </c>
      <c r="G53" s="207">
        <f>SUMIFS('декабрь 2023'!$G$4:$G$1227,'декабрь 2023'!$D$4:$D$1227,$B53,'декабрь 2023'!$J$4:$J$1227,G$1)</f>
        <v>0</v>
      </c>
      <c r="H53" s="207">
        <f>SUMIFS('декабрь 2023'!$G$4:$G$1227,'декабрь 2023'!$D$4:$D$1227,$B53,'декабрь 2023'!$J$4:$J$1227,H$1)</f>
        <v>0</v>
      </c>
      <c r="I53" s="207">
        <f>SUMIFS('декабрь 2023'!$G$4:$G$1227,'декабрь 2023'!$D$4:$D$1227,$B53,'декабрь 2023'!$J$4:$J$1227,I$1)</f>
        <v>0</v>
      </c>
      <c r="J53" s="207">
        <f>SUMIFS('декабрь 2023'!$G$4:$G$1227,'декабрь 2023'!$D$4:$D$1227,$B53,'декабрь 2023'!$J$4:$J$1227,J$1)</f>
        <v>0</v>
      </c>
      <c r="K53" s="207">
        <f>SUMIFS('декабрь 2023'!$G$4:$G$1227,'декабрь 2023'!$D$4:$D$1227,$B53,'декабрь 2023'!$J$4:$J$1227,K$1)</f>
        <v>0</v>
      </c>
      <c r="L53" s="207">
        <f>SUMIFS('декабрь 2023'!$G$4:$G$1227,'декабрь 2023'!$D$4:$D$1227,$B53,'декабрь 2023'!$J$4:$J$1227,L$1)</f>
        <v>0</v>
      </c>
      <c r="M53" s="207">
        <f>SUMIFS('декабрь 2023'!$G$4:$G$1227,'декабрь 2023'!$D$4:$D$1227,$B53,'декабрь 2023'!$J$4:$J$1227,M$1)</f>
        <v>0</v>
      </c>
      <c r="N53" s="207">
        <f>SUMIFS('декабрь 2023'!$G$4:$G$1227,'декабрь 2023'!$D$4:$D$1227,$B53,'декабрь 2023'!$J$4:$J$1227,N$1)</f>
        <v>0</v>
      </c>
      <c r="O53" s="207">
        <f>SUMIFS('декабрь 2023'!$G$4:$G$1227,'декабрь 2023'!$D$4:$D$1227,$B53,'декабрь 2023'!$J$4:$J$1227,O$1)</f>
        <v>0</v>
      </c>
      <c r="P53" s="207">
        <f>SUMIFS('декабрь 2023'!$G$4:$G$1227,'декабрь 2023'!$D$4:$D$1227,$B53,'декабрь 2023'!$J$4:$J$1227,P$1)</f>
        <v>0</v>
      </c>
      <c r="Q53" s="207">
        <f>SUMIFS('декабрь 2023'!$G$4:$G$1227,'декабрь 2023'!$D$4:$D$1227,$B53,'декабрь 2023'!$J$4:$J$1227,Q$1)</f>
        <v>0</v>
      </c>
      <c r="R53" s="207">
        <f>SUMIFS('декабрь 2023'!$G$4:$G$1227,'декабрь 2023'!$D$4:$D$1227,$B53,'декабрь 2023'!$J$4:$J$1227,R$1)</f>
        <v>0</v>
      </c>
      <c r="S53" s="207">
        <f>SUMIFS('декабрь 2023'!$G$4:$G$1227,'декабрь 2023'!$D$4:$D$1227,$B53,'декабрь 2023'!$J$4:$J$1227,S$1)</f>
        <v>0</v>
      </c>
      <c r="T53" s="207">
        <f>SUMIFS('декабрь 2023'!$G$4:$G$1227,'декабрь 2023'!$D$4:$D$1227,$B53,'декабрь 2023'!$J$4:$J$1227,T$1)</f>
        <v>0</v>
      </c>
      <c r="U53" s="207">
        <f>SUMIFS('декабрь 2023'!$G$4:$G$1227,'декабрь 2023'!$D$4:$D$1227,$B53,'декабрь 2023'!$J$4:$J$1227,U$1)</f>
        <v>0</v>
      </c>
      <c r="V53" s="207">
        <f>SUMIFS('декабрь 2023'!$G$4:$G$1227,'декабрь 2023'!$D$4:$D$1227,$B53,'декабрь 2023'!$J$4:$J$1227,V$1)</f>
        <v>0</v>
      </c>
      <c r="W53" s="207">
        <f>SUMIFS('декабрь 2023'!$G$4:$G$1227,'декабрь 2023'!$D$4:$D$1227,$B53,'декабрь 2023'!$J$4:$J$1227,W$1)</f>
        <v>0</v>
      </c>
      <c r="X53" s="207">
        <f>SUMIFS('декабрь 2023'!$G$4:$G$1227,'декабрь 2023'!$D$4:$D$1227,$B53,'декабрь 2023'!$J$4:$J$1227,X$1)</f>
        <v>0</v>
      </c>
      <c r="Y53" s="207">
        <f>SUMIFS('декабрь 2023'!$G$4:$G$1227,'декабрь 2023'!$D$4:$D$1227,$B53,'декабрь 2023'!$J$4:$J$1227,Y$1)</f>
        <v>0</v>
      </c>
      <c r="Z53" s="207">
        <f>SUMIFS('декабрь 2023'!$G$4:$G$1227,'декабрь 2023'!$D$4:$D$1227,$B53,'декабрь 2023'!$J$4:$J$1227,Z$1)</f>
        <v>0</v>
      </c>
      <c r="AA53" s="207">
        <f>SUMIFS('декабрь 2023'!$G$4:$G$1227,'декабрь 2023'!$D$4:$D$1227,$B53,'декабрь 2023'!$J$4:$J$1227,AA$1)</f>
        <v>0</v>
      </c>
      <c r="AB53" s="207">
        <f>SUMIFS('декабрь 2023'!$G$4:$G$1227,'декабрь 2023'!$D$4:$D$1227,$B53,'декабрь 2023'!$J$4:$J$1227,AB$1)</f>
        <v>0</v>
      </c>
      <c r="AC53" s="207">
        <f>SUMIFS('декабрь 2023'!$G$4:$G$1227,'декабрь 2023'!$D$4:$D$1227,$B53,'декабрь 2023'!$J$4:$J$1227,AC$1)</f>
        <v>0</v>
      </c>
      <c r="AD53" s="207">
        <f>SUMIFS('декабрь 2023'!$G$4:$G$1227,'декабрь 2023'!$D$4:$D$1227,$B53,'декабрь 2023'!$J$4:$J$1227,AD$1)</f>
        <v>0</v>
      </c>
      <c r="AE53" s="207">
        <f>SUMIFS('декабрь 2023'!$G$4:$G$1227,'декабрь 2023'!$D$4:$D$1227,$B53,'декабрь 2023'!$J$4:$J$1227,AE$1)</f>
        <v>0</v>
      </c>
      <c r="AF53" s="207">
        <f>SUMIFS('декабрь 2023'!$G$4:$G$1227,'декабрь 2023'!$D$4:$D$1227,$B53,'декабрь 2023'!$J$4:$J$1227,AF$1)</f>
        <v>0</v>
      </c>
      <c r="AG53" s="207">
        <f>SUMIFS('декабрь 2023'!$G$4:$G$1227,'декабрь 2023'!$D$4:$D$1227,$B53,'декабрь 2023'!$J$4:$J$1227,AG$1)</f>
        <v>0</v>
      </c>
      <c r="AH53" s="207">
        <f>SUMIFS('декабрь 2023'!$G$4:$G$1227,'декабрь 2023'!$D$4:$D$1227,$B53,'декабрь 2023'!$J$4:$J$1227,AH$1)</f>
        <v>0</v>
      </c>
      <c r="AI53" s="170">
        <f t="shared" si="1"/>
        <v>0</v>
      </c>
    </row>
    <row r="54" spans="2:35" ht="15" customHeight="1" x14ac:dyDescent="0.25">
      <c r="B54" s="212" t="s">
        <v>2144</v>
      </c>
      <c r="C54" s="213">
        <v>200</v>
      </c>
      <c r="D54" s="207">
        <f>SUMIFS('декабрь 2023'!$G$4:$G$1227,'декабрь 2023'!$D$4:$D$1227,$B54,'декабрь 2023'!$J$4:$J$1227,D$1)</f>
        <v>0</v>
      </c>
      <c r="E54" s="207">
        <f>SUMIFS('декабрь 2023'!$G$4:$G$1227,'декабрь 2023'!$D$4:$D$1227,$B54,'декабрь 2023'!$J$4:$J$1227,E$1)</f>
        <v>0</v>
      </c>
      <c r="F54" s="207">
        <f>SUMIFS('декабрь 2023'!$G$4:$G$1227,'декабрь 2023'!$D$4:$D$1227,$B54,'декабрь 2023'!$J$4:$J$1227,F$1)</f>
        <v>0</v>
      </c>
      <c r="G54" s="207">
        <f>SUMIFS('декабрь 2023'!$G$4:$G$1227,'декабрь 2023'!$D$4:$D$1227,$B54,'декабрь 2023'!$J$4:$J$1227,G$1)</f>
        <v>0</v>
      </c>
      <c r="H54" s="207">
        <f>SUMIFS('декабрь 2023'!$G$4:$G$1227,'декабрь 2023'!$D$4:$D$1227,$B54,'декабрь 2023'!$J$4:$J$1227,H$1)</f>
        <v>0</v>
      </c>
      <c r="I54" s="207">
        <f>SUMIFS('декабрь 2023'!$G$4:$G$1227,'декабрь 2023'!$D$4:$D$1227,$B54,'декабрь 2023'!$J$4:$J$1227,I$1)</f>
        <v>0</v>
      </c>
      <c r="J54" s="207">
        <f>SUMIFS('декабрь 2023'!$G$4:$G$1227,'декабрь 2023'!$D$4:$D$1227,$B54,'декабрь 2023'!$J$4:$J$1227,J$1)</f>
        <v>0</v>
      </c>
      <c r="K54" s="207">
        <f>SUMIFS('декабрь 2023'!$G$4:$G$1227,'декабрь 2023'!$D$4:$D$1227,$B54,'декабрь 2023'!$J$4:$J$1227,K$1)</f>
        <v>0</v>
      </c>
      <c r="L54" s="207">
        <f>SUMIFS('декабрь 2023'!$G$4:$G$1227,'декабрь 2023'!$D$4:$D$1227,$B54,'декабрь 2023'!$J$4:$J$1227,L$1)</f>
        <v>0</v>
      </c>
      <c r="M54" s="207">
        <f>SUMIFS('декабрь 2023'!$G$4:$G$1227,'декабрь 2023'!$D$4:$D$1227,$B54,'декабрь 2023'!$J$4:$J$1227,M$1)</f>
        <v>0</v>
      </c>
      <c r="N54" s="207">
        <f>SUMIFS('декабрь 2023'!$G$4:$G$1227,'декабрь 2023'!$D$4:$D$1227,$B54,'декабрь 2023'!$J$4:$J$1227,N$1)</f>
        <v>0</v>
      </c>
      <c r="O54" s="207">
        <f>SUMIFS('декабрь 2023'!$G$4:$G$1227,'декабрь 2023'!$D$4:$D$1227,$B54,'декабрь 2023'!$J$4:$J$1227,O$1)</f>
        <v>0</v>
      </c>
      <c r="P54" s="207">
        <f>SUMIFS('декабрь 2023'!$G$4:$G$1227,'декабрь 2023'!$D$4:$D$1227,$B54,'декабрь 2023'!$J$4:$J$1227,P$1)</f>
        <v>0</v>
      </c>
      <c r="Q54" s="207">
        <f>SUMIFS('декабрь 2023'!$G$4:$G$1227,'декабрь 2023'!$D$4:$D$1227,$B54,'декабрь 2023'!$J$4:$J$1227,Q$1)</f>
        <v>0</v>
      </c>
      <c r="R54" s="207">
        <f>SUMIFS('декабрь 2023'!$G$4:$G$1227,'декабрь 2023'!$D$4:$D$1227,$B54,'декабрь 2023'!$J$4:$J$1227,R$1)</f>
        <v>0</v>
      </c>
      <c r="S54" s="207">
        <f>SUMIFS('декабрь 2023'!$G$4:$G$1227,'декабрь 2023'!$D$4:$D$1227,$B54,'декабрь 2023'!$J$4:$J$1227,S$1)</f>
        <v>0</v>
      </c>
      <c r="T54" s="207">
        <f>SUMIFS('декабрь 2023'!$G$4:$G$1227,'декабрь 2023'!$D$4:$D$1227,$B54,'декабрь 2023'!$J$4:$J$1227,T$1)</f>
        <v>0</v>
      </c>
      <c r="U54" s="207">
        <f>SUMIFS('декабрь 2023'!$G$4:$G$1227,'декабрь 2023'!$D$4:$D$1227,$B54,'декабрь 2023'!$J$4:$J$1227,U$1)</f>
        <v>0</v>
      </c>
      <c r="V54" s="207">
        <f>SUMIFS('декабрь 2023'!$G$4:$G$1227,'декабрь 2023'!$D$4:$D$1227,$B54,'декабрь 2023'!$J$4:$J$1227,V$1)</f>
        <v>0</v>
      </c>
      <c r="W54" s="207">
        <f>SUMIFS('декабрь 2023'!$G$4:$G$1227,'декабрь 2023'!$D$4:$D$1227,$B54,'декабрь 2023'!$J$4:$J$1227,W$1)</f>
        <v>0</v>
      </c>
      <c r="X54" s="207">
        <f>SUMIFS('декабрь 2023'!$G$4:$G$1227,'декабрь 2023'!$D$4:$D$1227,$B54,'декабрь 2023'!$J$4:$J$1227,X$1)</f>
        <v>0</v>
      </c>
      <c r="Y54" s="207">
        <f>SUMIFS('декабрь 2023'!$G$4:$G$1227,'декабрь 2023'!$D$4:$D$1227,$B54,'декабрь 2023'!$J$4:$J$1227,Y$1)</f>
        <v>0</v>
      </c>
      <c r="Z54" s="207">
        <f>SUMIFS('декабрь 2023'!$G$4:$G$1227,'декабрь 2023'!$D$4:$D$1227,$B54,'декабрь 2023'!$J$4:$J$1227,Z$1)</f>
        <v>0</v>
      </c>
      <c r="AA54" s="207">
        <f>SUMIFS('декабрь 2023'!$G$4:$G$1227,'декабрь 2023'!$D$4:$D$1227,$B54,'декабрь 2023'!$J$4:$J$1227,AA$1)</f>
        <v>0</v>
      </c>
      <c r="AB54" s="207">
        <f>SUMIFS('декабрь 2023'!$G$4:$G$1227,'декабрь 2023'!$D$4:$D$1227,$B54,'декабрь 2023'!$J$4:$J$1227,AB$1)</f>
        <v>0</v>
      </c>
      <c r="AC54" s="207">
        <f>SUMIFS('декабрь 2023'!$G$4:$G$1227,'декабрь 2023'!$D$4:$D$1227,$B54,'декабрь 2023'!$J$4:$J$1227,AC$1)</f>
        <v>0</v>
      </c>
      <c r="AD54" s="207">
        <f>SUMIFS('декабрь 2023'!$G$4:$G$1227,'декабрь 2023'!$D$4:$D$1227,$B54,'декабрь 2023'!$J$4:$J$1227,AD$1)</f>
        <v>0</v>
      </c>
      <c r="AE54" s="207">
        <f>SUMIFS('декабрь 2023'!$G$4:$G$1227,'декабрь 2023'!$D$4:$D$1227,$B54,'декабрь 2023'!$J$4:$J$1227,AE$1)</f>
        <v>0</v>
      </c>
      <c r="AF54" s="207">
        <f>SUMIFS('декабрь 2023'!$G$4:$G$1227,'декабрь 2023'!$D$4:$D$1227,$B54,'декабрь 2023'!$J$4:$J$1227,AF$1)</f>
        <v>0</v>
      </c>
      <c r="AG54" s="207">
        <f>SUMIFS('декабрь 2023'!$G$4:$G$1227,'декабрь 2023'!$D$4:$D$1227,$B54,'декабрь 2023'!$J$4:$J$1227,AG$1)</f>
        <v>0</v>
      </c>
      <c r="AH54" s="207">
        <f>SUMIFS('декабрь 2023'!$G$4:$G$1227,'декабрь 2023'!$D$4:$D$1227,$B54,'декабрь 2023'!$J$4:$J$1227,AH$1)</f>
        <v>0</v>
      </c>
      <c r="AI54" s="170">
        <f t="shared" si="1"/>
        <v>0</v>
      </c>
    </row>
    <row r="55" spans="2:35" ht="15" customHeight="1" x14ac:dyDescent="0.25">
      <c r="B55" s="217" t="s">
        <v>50</v>
      </c>
      <c r="C55" s="213">
        <v>200</v>
      </c>
      <c r="D55" s="207">
        <f>SUMIFS('декабрь 2023'!$G$4:$G$1227,'декабрь 2023'!$D$4:$D$1227,$B55,'декабрь 2023'!$J$4:$J$1227,D$1)</f>
        <v>20</v>
      </c>
      <c r="E55" s="207">
        <f>SUMIFS('декабрь 2023'!$G$4:$G$1227,'декабрь 2023'!$D$4:$D$1227,$B55,'декабрь 2023'!$J$4:$J$1227,E$1)</f>
        <v>0</v>
      </c>
      <c r="F55" s="207">
        <f>SUMIFS('декабрь 2023'!$G$4:$G$1227,'декабрь 2023'!$D$4:$D$1227,$B55,'декабрь 2023'!$J$4:$J$1227,F$1)</f>
        <v>0</v>
      </c>
      <c r="G55" s="207">
        <f>SUMIFS('декабрь 2023'!$G$4:$G$1227,'декабрь 2023'!$D$4:$D$1227,$B55,'декабрь 2023'!$J$4:$J$1227,G$1)</f>
        <v>0</v>
      </c>
      <c r="H55" s="207">
        <f>SUMIFS('декабрь 2023'!$G$4:$G$1227,'декабрь 2023'!$D$4:$D$1227,$B55,'декабрь 2023'!$J$4:$J$1227,H$1)</f>
        <v>0</v>
      </c>
      <c r="I55" s="207">
        <f>SUMIFS('декабрь 2023'!$G$4:$G$1227,'декабрь 2023'!$D$4:$D$1227,$B55,'декабрь 2023'!$J$4:$J$1227,I$1)</f>
        <v>0</v>
      </c>
      <c r="J55" s="207">
        <f>SUMIFS('декабрь 2023'!$G$4:$G$1227,'декабрь 2023'!$D$4:$D$1227,$B55,'декабрь 2023'!$J$4:$J$1227,J$1)</f>
        <v>0</v>
      </c>
      <c r="K55" s="207">
        <f>SUMIFS('декабрь 2023'!$G$4:$G$1227,'декабрь 2023'!$D$4:$D$1227,$B55,'декабрь 2023'!$J$4:$J$1227,K$1)</f>
        <v>0</v>
      </c>
      <c r="L55" s="207">
        <f>SUMIFS('декабрь 2023'!$G$4:$G$1227,'декабрь 2023'!$D$4:$D$1227,$B55,'декабрь 2023'!$J$4:$J$1227,L$1)</f>
        <v>0</v>
      </c>
      <c r="M55" s="207">
        <f>SUMIFS('декабрь 2023'!$G$4:$G$1227,'декабрь 2023'!$D$4:$D$1227,$B55,'декабрь 2023'!$J$4:$J$1227,M$1)</f>
        <v>0</v>
      </c>
      <c r="N55" s="207">
        <f>SUMIFS('декабрь 2023'!$G$4:$G$1227,'декабрь 2023'!$D$4:$D$1227,$B55,'декабрь 2023'!$J$4:$J$1227,N$1)</f>
        <v>0</v>
      </c>
      <c r="O55" s="207">
        <f>SUMIFS('декабрь 2023'!$G$4:$G$1227,'декабрь 2023'!$D$4:$D$1227,$B55,'декабрь 2023'!$J$4:$J$1227,O$1)</f>
        <v>0</v>
      </c>
      <c r="P55" s="207">
        <f>SUMIFS('декабрь 2023'!$G$4:$G$1227,'декабрь 2023'!$D$4:$D$1227,$B55,'декабрь 2023'!$J$4:$J$1227,P$1)</f>
        <v>0</v>
      </c>
      <c r="Q55" s="207">
        <f>SUMIFS('декабрь 2023'!$G$4:$G$1227,'декабрь 2023'!$D$4:$D$1227,$B55,'декабрь 2023'!$J$4:$J$1227,Q$1)</f>
        <v>0</v>
      </c>
      <c r="R55" s="207">
        <f>SUMIFS('декабрь 2023'!$G$4:$G$1227,'декабрь 2023'!$D$4:$D$1227,$B55,'декабрь 2023'!$J$4:$J$1227,R$1)</f>
        <v>0</v>
      </c>
      <c r="S55" s="207">
        <f>SUMIFS('декабрь 2023'!$G$4:$G$1227,'декабрь 2023'!$D$4:$D$1227,$B55,'декабрь 2023'!$J$4:$J$1227,S$1)</f>
        <v>0</v>
      </c>
      <c r="T55" s="207">
        <f>SUMIFS('декабрь 2023'!$G$4:$G$1227,'декабрь 2023'!$D$4:$D$1227,$B55,'декабрь 2023'!$J$4:$J$1227,T$1)</f>
        <v>0</v>
      </c>
      <c r="U55" s="207">
        <f>SUMIFS('декабрь 2023'!$G$4:$G$1227,'декабрь 2023'!$D$4:$D$1227,$B55,'декабрь 2023'!$J$4:$J$1227,U$1)</f>
        <v>0</v>
      </c>
      <c r="V55" s="207">
        <f>SUMIFS('декабрь 2023'!$G$4:$G$1227,'декабрь 2023'!$D$4:$D$1227,$B55,'декабрь 2023'!$J$4:$J$1227,V$1)</f>
        <v>0</v>
      </c>
      <c r="W55" s="207">
        <f>SUMIFS('декабрь 2023'!$G$4:$G$1227,'декабрь 2023'!$D$4:$D$1227,$B55,'декабрь 2023'!$J$4:$J$1227,W$1)</f>
        <v>0</v>
      </c>
      <c r="X55" s="207">
        <f>SUMIFS('декабрь 2023'!$G$4:$G$1227,'декабрь 2023'!$D$4:$D$1227,$B55,'декабрь 2023'!$J$4:$J$1227,X$1)</f>
        <v>0</v>
      </c>
      <c r="Y55" s="207">
        <f>SUMIFS('декабрь 2023'!$G$4:$G$1227,'декабрь 2023'!$D$4:$D$1227,$B55,'декабрь 2023'!$J$4:$J$1227,Y$1)</f>
        <v>0</v>
      </c>
      <c r="Z55" s="207">
        <f>SUMIFS('декабрь 2023'!$G$4:$G$1227,'декабрь 2023'!$D$4:$D$1227,$B55,'декабрь 2023'!$J$4:$J$1227,Z$1)</f>
        <v>0</v>
      </c>
      <c r="AA55" s="207">
        <f>SUMIFS('декабрь 2023'!$G$4:$G$1227,'декабрь 2023'!$D$4:$D$1227,$B55,'декабрь 2023'!$J$4:$J$1227,AA$1)</f>
        <v>0</v>
      </c>
      <c r="AB55" s="207">
        <f>SUMIFS('декабрь 2023'!$G$4:$G$1227,'декабрь 2023'!$D$4:$D$1227,$B55,'декабрь 2023'!$J$4:$J$1227,AB$1)</f>
        <v>0</v>
      </c>
      <c r="AC55" s="207">
        <f>SUMIFS('декабрь 2023'!$G$4:$G$1227,'декабрь 2023'!$D$4:$D$1227,$B55,'декабрь 2023'!$J$4:$J$1227,AC$1)</f>
        <v>0</v>
      </c>
      <c r="AD55" s="207">
        <f>SUMIFS('декабрь 2023'!$G$4:$G$1227,'декабрь 2023'!$D$4:$D$1227,$B55,'декабрь 2023'!$J$4:$J$1227,AD$1)</f>
        <v>0</v>
      </c>
      <c r="AE55" s="207">
        <f>SUMIFS('декабрь 2023'!$G$4:$G$1227,'декабрь 2023'!$D$4:$D$1227,$B55,'декабрь 2023'!$J$4:$J$1227,AE$1)</f>
        <v>0</v>
      </c>
      <c r="AF55" s="207">
        <f>SUMIFS('декабрь 2023'!$G$4:$G$1227,'декабрь 2023'!$D$4:$D$1227,$B55,'декабрь 2023'!$J$4:$J$1227,AF$1)</f>
        <v>0</v>
      </c>
      <c r="AG55" s="207">
        <f>SUMIFS('декабрь 2023'!$G$4:$G$1227,'декабрь 2023'!$D$4:$D$1227,$B55,'декабрь 2023'!$J$4:$J$1227,AG$1)</f>
        <v>0</v>
      </c>
      <c r="AH55" s="207">
        <f>SUMIFS('декабрь 2023'!$G$4:$G$1227,'декабрь 2023'!$D$4:$D$1227,$B55,'декабрь 2023'!$J$4:$J$1227,AH$1)</f>
        <v>0</v>
      </c>
      <c r="AI55" s="170">
        <f t="shared" si="1"/>
        <v>20</v>
      </c>
    </row>
    <row r="56" spans="2:35" ht="15" customHeight="1" x14ac:dyDescent="0.25">
      <c r="B56" s="217" t="s">
        <v>2148</v>
      </c>
      <c r="C56" s="213">
        <v>190</v>
      </c>
      <c r="D56" s="207">
        <f>SUMIFS('декабрь 2023'!$G$4:$G$1227,'декабрь 2023'!$D$4:$D$1227,$B56,'декабрь 2023'!$J$4:$J$1227,D$1)</f>
        <v>0</v>
      </c>
      <c r="E56" s="207">
        <f>SUMIFS('декабрь 2023'!$G$4:$G$1227,'декабрь 2023'!$D$4:$D$1227,$B56,'декабрь 2023'!$J$4:$J$1227,E$1)</f>
        <v>0</v>
      </c>
      <c r="F56" s="207">
        <f>SUMIFS('декабрь 2023'!$G$4:$G$1227,'декабрь 2023'!$D$4:$D$1227,$B56,'декабрь 2023'!$J$4:$J$1227,F$1)</f>
        <v>0</v>
      </c>
      <c r="G56" s="207">
        <f>SUMIFS('декабрь 2023'!$G$4:$G$1227,'декабрь 2023'!$D$4:$D$1227,$B56,'декабрь 2023'!$J$4:$J$1227,G$1)</f>
        <v>0</v>
      </c>
      <c r="H56" s="207">
        <f>SUMIFS('декабрь 2023'!$G$4:$G$1227,'декабрь 2023'!$D$4:$D$1227,$B56,'декабрь 2023'!$J$4:$J$1227,H$1)</f>
        <v>0</v>
      </c>
      <c r="I56" s="207">
        <f>SUMIFS('декабрь 2023'!$G$4:$G$1227,'декабрь 2023'!$D$4:$D$1227,$B56,'декабрь 2023'!$J$4:$J$1227,I$1)</f>
        <v>0</v>
      </c>
      <c r="J56" s="207">
        <f>SUMIFS('декабрь 2023'!$G$4:$G$1227,'декабрь 2023'!$D$4:$D$1227,$B56,'декабрь 2023'!$J$4:$J$1227,J$1)</f>
        <v>0</v>
      </c>
      <c r="K56" s="207">
        <f>SUMIFS('декабрь 2023'!$G$4:$G$1227,'декабрь 2023'!$D$4:$D$1227,$B56,'декабрь 2023'!$J$4:$J$1227,K$1)</f>
        <v>0</v>
      </c>
      <c r="L56" s="207">
        <f>SUMIFS('декабрь 2023'!$G$4:$G$1227,'декабрь 2023'!$D$4:$D$1227,$B56,'декабрь 2023'!$J$4:$J$1227,L$1)</f>
        <v>0</v>
      </c>
      <c r="M56" s="207">
        <f>SUMIFS('декабрь 2023'!$G$4:$G$1227,'декабрь 2023'!$D$4:$D$1227,$B56,'декабрь 2023'!$J$4:$J$1227,M$1)</f>
        <v>0</v>
      </c>
      <c r="N56" s="207">
        <f>SUMIFS('декабрь 2023'!$G$4:$G$1227,'декабрь 2023'!$D$4:$D$1227,$B56,'декабрь 2023'!$J$4:$J$1227,N$1)</f>
        <v>0</v>
      </c>
      <c r="O56" s="207">
        <f>SUMIFS('декабрь 2023'!$G$4:$G$1227,'декабрь 2023'!$D$4:$D$1227,$B56,'декабрь 2023'!$J$4:$J$1227,O$1)</f>
        <v>0</v>
      </c>
      <c r="P56" s="207">
        <f>SUMIFS('декабрь 2023'!$G$4:$G$1227,'декабрь 2023'!$D$4:$D$1227,$B56,'декабрь 2023'!$J$4:$J$1227,P$1)</f>
        <v>0</v>
      </c>
      <c r="Q56" s="207">
        <f>SUMIFS('декабрь 2023'!$G$4:$G$1227,'декабрь 2023'!$D$4:$D$1227,$B56,'декабрь 2023'!$J$4:$J$1227,Q$1)</f>
        <v>0</v>
      </c>
      <c r="R56" s="207">
        <f>SUMIFS('декабрь 2023'!$G$4:$G$1227,'декабрь 2023'!$D$4:$D$1227,$B56,'декабрь 2023'!$J$4:$J$1227,R$1)</f>
        <v>0</v>
      </c>
      <c r="S56" s="207">
        <f>SUMIFS('декабрь 2023'!$G$4:$G$1227,'декабрь 2023'!$D$4:$D$1227,$B56,'декабрь 2023'!$J$4:$J$1227,S$1)</f>
        <v>0</v>
      </c>
      <c r="T56" s="207">
        <f>SUMIFS('декабрь 2023'!$G$4:$G$1227,'декабрь 2023'!$D$4:$D$1227,$B56,'декабрь 2023'!$J$4:$J$1227,T$1)</f>
        <v>0</v>
      </c>
      <c r="U56" s="207">
        <f>SUMIFS('декабрь 2023'!$G$4:$G$1227,'декабрь 2023'!$D$4:$D$1227,$B56,'декабрь 2023'!$J$4:$J$1227,U$1)</f>
        <v>0</v>
      </c>
      <c r="V56" s="207">
        <f>SUMIFS('декабрь 2023'!$G$4:$G$1227,'декабрь 2023'!$D$4:$D$1227,$B56,'декабрь 2023'!$J$4:$J$1227,V$1)</f>
        <v>0</v>
      </c>
      <c r="W56" s="207">
        <f>SUMIFS('декабрь 2023'!$G$4:$G$1227,'декабрь 2023'!$D$4:$D$1227,$B56,'декабрь 2023'!$J$4:$J$1227,W$1)</f>
        <v>0</v>
      </c>
      <c r="X56" s="207">
        <f>SUMIFS('декабрь 2023'!$G$4:$G$1227,'декабрь 2023'!$D$4:$D$1227,$B56,'декабрь 2023'!$J$4:$J$1227,X$1)</f>
        <v>0</v>
      </c>
      <c r="Y56" s="207">
        <f>SUMIFS('декабрь 2023'!$G$4:$G$1227,'декабрь 2023'!$D$4:$D$1227,$B56,'декабрь 2023'!$J$4:$J$1227,Y$1)</f>
        <v>0</v>
      </c>
      <c r="Z56" s="207">
        <f>SUMIFS('декабрь 2023'!$G$4:$G$1227,'декабрь 2023'!$D$4:$D$1227,$B56,'декабрь 2023'!$J$4:$J$1227,Z$1)</f>
        <v>0</v>
      </c>
      <c r="AA56" s="207">
        <f>SUMIFS('декабрь 2023'!$G$4:$G$1227,'декабрь 2023'!$D$4:$D$1227,$B56,'декабрь 2023'!$J$4:$J$1227,AA$1)</f>
        <v>0</v>
      </c>
      <c r="AB56" s="207">
        <f>SUMIFS('декабрь 2023'!$G$4:$G$1227,'декабрь 2023'!$D$4:$D$1227,$B56,'декабрь 2023'!$J$4:$J$1227,AB$1)</f>
        <v>0</v>
      </c>
      <c r="AC56" s="207">
        <f>SUMIFS('декабрь 2023'!$G$4:$G$1227,'декабрь 2023'!$D$4:$D$1227,$B56,'декабрь 2023'!$J$4:$J$1227,AC$1)</f>
        <v>0</v>
      </c>
      <c r="AD56" s="207">
        <f>SUMIFS('декабрь 2023'!$G$4:$G$1227,'декабрь 2023'!$D$4:$D$1227,$B56,'декабрь 2023'!$J$4:$J$1227,AD$1)</f>
        <v>0</v>
      </c>
      <c r="AE56" s="207">
        <f>SUMIFS('декабрь 2023'!$G$4:$G$1227,'декабрь 2023'!$D$4:$D$1227,$B56,'декабрь 2023'!$J$4:$J$1227,AE$1)</f>
        <v>0</v>
      </c>
      <c r="AF56" s="207">
        <f>SUMIFS('декабрь 2023'!$G$4:$G$1227,'декабрь 2023'!$D$4:$D$1227,$B56,'декабрь 2023'!$J$4:$J$1227,AF$1)</f>
        <v>0</v>
      </c>
      <c r="AG56" s="207">
        <f>SUMIFS('декабрь 2023'!$G$4:$G$1227,'декабрь 2023'!$D$4:$D$1227,$B56,'декабрь 2023'!$J$4:$J$1227,AG$1)</f>
        <v>0</v>
      </c>
      <c r="AH56" s="207">
        <f>SUMIFS('декабрь 2023'!$G$4:$G$1227,'декабрь 2023'!$D$4:$D$1227,$B56,'декабрь 2023'!$J$4:$J$1227,AH$1)</f>
        <v>0</v>
      </c>
      <c r="AI56" s="170">
        <f t="shared" si="1"/>
        <v>0</v>
      </c>
    </row>
    <row r="57" spans="2:35" ht="15" customHeight="1" x14ac:dyDescent="0.25">
      <c r="B57" s="217" t="s">
        <v>421</v>
      </c>
      <c r="C57" s="213">
        <v>200</v>
      </c>
      <c r="D57" s="207">
        <f>SUMIFS('декабрь 2023'!$G$4:$G$1227,'декабрь 2023'!$D$4:$D$1227,$B57,'декабрь 2023'!$J$4:$J$1227,D$1)</f>
        <v>0</v>
      </c>
      <c r="E57" s="207">
        <f>SUMIFS('декабрь 2023'!$G$4:$G$1227,'декабрь 2023'!$D$4:$D$1227,$B57,'декабрь 2023'!$J$4:$J$1227,E$1)</f>
        <v>0</v>
      </c>
      <c r="F57" s="207">
        <f>SUMIFS('декабрь 2023'!$G$4:$G$1227,'декабрь 2023'!$D$4:$D$1227,$B57,'декабрь 2023'!$J$4:$J$1227,F$1)</f>
        <v>0</v>
      </c>
      <c r="G57" s="207">
        <f>SUMIFS('декабрь 2023'!$G$4:$G$1227,'декабрь 2023'!$D$4:$D$1227,$B57,'декабрь 2023'!$J$4:$J$1227,G$1)</f>
        <v>0</v>
      </c>
      <c r="H57" s="207">
        <f>SUMIFS('декабрь 2023'!$G$4:$G$1227,'декабрь 2023'!$D$4:$D$1227,$B57,'декабрь 2023'!$J$4:$J$1227,H$1)</f>
        <v>0</v>
      </c>
      <c r="I57" s="207">
        <f>SUMIFS('декабрь 2023'!$G$4:$G$1227,'декабрь 2023'!$D$4:$D$1227,$B57,'декабрь 2023'!$J$4:$J$1227,I$1)</f>
        <v>0</v>
      </c>
      <c r="J57" s="207">
        <f>SUMIFS('декабрь 2023'!$G$4:$G$1227,'декабрь 2023'!$D$4:$D$1227,$B57,'декабрь 2023'!$J$4:$J$1227,J$1)</f>
        <v>0</v>
      </c>
      <c r="K57" s="207">
        <f>SUMIFS('декабрь 2023'!$G$4:$G$1227,'декабрь 2023'!$D$4:$D$1227,$B57,'декабрь 2023'!$J$4:$J$1227,K$1)</f>
        <v>0</v>
      </c>
      <c r="L57" s="207">
        <f>SUMIFS('декабрь 2023'!$G$4:$G$1227,'декабрь 2023'!$D$4:$D$1227,$B57,'декабрь 2023'!$J$4:$J$1227,L$1)</f>
        <v>0</v>
      </c>
      <c r="M57" s="207">
        <f>SUMIFS('декабрь 2023'!$G$4:$G$1227,'декабрь 2023'!$D$4:$D$1227,$B57,'декабрь 2023'!$J$4:$J$1227,M$1)</f>
        <v>0</v>
      </c>
      <c r="N57" s="207">
        <f>SUMIFS('декабрь 2023'!$G$4:$G$1227,'декабрь 2023'!$D$4:$D$1227,$B57,'декабрь 2023'!$J$4:$J$1227,N$1)</f>
        <v>0</v>
      </c>
      <c r="O57" s="207">
        <f>SUMIFS('декабрь 2023'!$G$4:$G$1227,'декабрь 2023'!$D$4:$D$1227,$B57,'декабрь 2023'!$J$4:$J$1227,O$1)</f>
        <v>0</v>
      </c>
      <c r="P57" s="207">
        <f>SUMIFS('декабрь 2023'!$G$4:$G$1227,'декабрь 2023'!$D$4:$D$1227,$B57,'декабрь 2023'!$J$4:$J$1227,P$1)</f>
        <v>0</v>
      </c>
      <c r="Q57" s="207">
        <f>SUMIFS('декабрь 2023'!$G$4:$G$1227,'декабрь 2023'!$D$4:$D$1227,$B57,'декабрь 2023'!$J$4:$J$1227,Q$1)</f>
        <v>0</v>
      </c>
      <c r="R57" s="207">
        <f>SUMIFS('декабрь 2023'!$G$4:$G$1227,'декабрь 2023'!$D$4:$D$1227,$B57,'декабрь 2023'!$J$4:$J$1227,R$1)</f>
        <v>0</v>
      </c>
      <c r="S57" s="207">
        <f>SUMIFS('декабрь 2023'!$G$4:$G$1227,'декабрь 2023'!$D$4:$D$1227,$B57,'декабрь 2023'!$J$4:$J$1227,S$1)</f>
        <v>0</v>
      </c>
      <c r="T57" s="207">
        <f>SUMIFS('декабрь 2023'!$G$4:$G$1227,'декабрь 2023'!$D$4:$D$1227,$B57,'декабрь 2023'!$J$4:$J$1227,T$1)</f>
        <v>0</v>
      </c>
      <c r="U57" s="207">
        <f>SUMIFS('декабрь 2023'!$G$4:$G$1227,'декабрь 2023'!$D$4:$D$1227,$B57,'декабрь 2023'!$J$4:$J$1227,U$1)</f>
        <v>0</v>
      </c>
      <c r="V57" s="207">
        <f>SUMIFS('декабрь 2023'!$G$4:$G$1227,'декабрь 2023'!$D$4:$D$1227,$B57,'декабрь 2023'!$J$4:$J$1227,V$1)</f>
        <v>0</v>
      </c>
      <c r="W57" s="207">
        <f>SUMIFS('декабрь 2023'!$G$4:$G$1227,'декабрь 2023'!$D$4:$D$1227,$B57,'декабрь 2023'!$J$4:$J$1227,W$1)</f>
        <v>0</v>
      </c>
      <c r="X57" s="207">
        <f>SUMIFS('декабрь 2023'!$G$4:$G$1227,'декабрь 2023'!$D$4:$D$1227,$B57,'декабрь 2023'!$J$4:$J$1227,X$1)</f>
        <v>0</v>
      </c>
      <c r="Y57" s="207">
        <f>SUMIFS('декабрь 2023'!$G$4:$G$1227,'декабрь 2023'!$D$4:$D$1227,$B57,'декабрь 2023'!$J$4:$J$1227,Y$1)</f>
        <v>0</v>
      </c>
      <c r="Z57" s="207">
        <f>SUMIFS('декабрь 2023'!$G$4:$G$1227,'декабрь 2023'!$D$4:$D$1227,$B57,'декабрь 2023'!$J$4:$J$1227,Z$1)</f>
        <v>0</v>
      </c>
      <c r="AA57" s="207">
        <f>SUMIFS('декабрь 2023'!$G$4:$G$1227,'декабрь 2023'!$D$4:$D$1227,$B57,'декабрь 2023'!$J$4:$J$1227,AA$1)</f>
        <v>0</v>
      </c>
      <c r="AB57" s="207">
        <f>SUMIFS('декабрь 2023'!$G$4:$G$1227,'декабрь 2023'!$D$4:$D$1227,$B57,'декабрь 2023'!$J$4:$J$1227,AB$1)</f>
        <v>0</v>
      </c>
      <c r="AC57" s="207">
        <f>SUMIFS('декабрь 2023'!$G$4:$G$1227,'декабрь 2023'!$D$4:$D$1227,$B57,'декабрь 2023'!$J$4:$J$1227,AC$1)</f>
        <v>0</v>
      </c>
      <c r="AD57" s="207">
        <f>SUMIFS('декабрь 2023'!$G$4:$G$1227,'декабрь 2023'!$D$4:$D$1227,$B57,'декабрь 2023'!$J$4:$J$1227,AD$1)</f>
        <v>0</v>
      </c>
      <c r="AE57" s="207">
        <f>SUMIFS('декабрь 2023'!$G$4:$G$1227,'декабрь 2023'!$D$4:$D$1227,$B57,'декабрь 2023'!$J$4:$J$1227,AE$1)</f>
        <v>0</v>
      </c>
      <c r="AF57" s="207">
        <f>SUMIFS('декабрь 2023'!$G$4:$G$1227,'декабрь 2023'!$D$4:$D$1227,$B57,'декабрь 2023'!$J$4:$J$1227,AF$1)</f>
        <v>0</v>
      </c>
      <c r="AG57" s="207">
        <f>SUMIFS('декабрь 2023'!$G$4:$G$1227,'декабрь 2023'!$D$4:$D$1227,$B57,'декабрь 2023'!$J$4:$J$1227,AG$1)</f>
        <v>0</v>
      </c>
      <c r="AH57" s="207">
        <f>SUMIFS('декабрь 2023'!$G$4:$G$1227,'декабрь 2023'!$D$4:$D$1227,$B57,'декабрь 2023'!$J$4:$J$1227,AH$1)</f>
        <v>0</v>
      </c>
      <c r="AI57" s="170">
        <f t="shared" si="1"/>
        <v>0</v>
      </c>
    </row>
    <row r="58" spans="2:35" ht="15" customHeight="1" x14ac:dyDescent="0.25">
      <c r="B58" s="217" t="s">
        <v>602</v>
      </c>
      <c r="C58" s="213">
        <v>25</v>
      </c>
      <c r="D58" s="207">
        <f>SUMIFS('декабрь 2023'!$G$4:$G$1227,'декабрь 2023'!$D$4:$D$1227,$B58,'декабрь 2023'!$J$4:$J$1227,D$1)</f>
        <v>0</v>
      </c>
      <c r="E58" s="207">
        <f>SUMIFS('декабрь 2023'!$G$4:$G$1227,'декабрь 2023'!$D$4:$D$1227,$B58,'декабрь 2023'!$J$4:$J$1227,E$1)</f>
        <v>0</v>
      </c>
      <c r="F58" s="207">
        <f>SUMIFS('декабрь 2023'!$G$4:$G$1227,'декабрь 2023'!$D$4:$D$1227,$B58,'декабрь 2023'!$J$4:$J$1227,F$1)</f>
        <v>0</v>
      </c>
      <c r="G58" s="207">
        <f>SUMIFS('декабрь 2023'!$G$4:$G$1227,'декабрь 2023'!$D$4:$D$1227,$B58,'декабрь 2023'!$J$4:$J$1227,G$1)</f>
        <v>0</v>
      </c>
      <c r="H58" s="207">
        <f>SUMIFS('декабрь 2023'!$G$4:$G$1227,'декабрь 2023'!$D$4:$D$1227,$B58,'декабрь 2023'!$J$4:$J$1227,H$1)</f>
        <v>0</v>
      </c>
      <c r="I58" s="207">
        <f>SUMIFS('декабрь 2023'!$G$4:$G$1227,'декабрь 2023'!$D$4:$D$1227,$B58,'декабрь 2023'!$J$4:$J$1227,I$1)</f>
        <v>0</v>
      </c>
      <c r="J58" s="207">
        <f>SUMIFS('декабрь 2023'!$G$4:$G$1227,'декабрь 2023'!$D$4:$D$1227,$B58,'декабрь 2023'!$J$4:$J$1227,J$1)</f>
        <v>0</v>
      </c>
      <c r="K58" s="207">
        <f>SUMIFS('декабрь 2023'!$G$4:$G$1227,'декабрь 2023'!$D$4:$D$1227,$B58,'декабрь 2023'!$J$4:$J$1227,K$1)</f>
        <v>0</v>
      </c>
      <c r="L58" s="207">
        <f>SUMIFS('декабрь 2023'!$G$4:$G$1227,'декабрь 2023'!$D$4:$D$1227,$B58,'декабрь 2023'!$J$4:$J$1227,L$1)</f>
        <v>0</v>
      </c>
      <c r="M58" s="207">
        <f>SUMIFS('декабрь 2023'!$G$4:$G$1227,'декабрь 2023'!$D$4:$D$1227,$B58,'декабрь 2023'!$J$4:$J$1227,M$1)</f>
        <v>0</v>
      </c>
      <c r="N58" s="207">
        <f>SUMIFS('декабрь 2023'!$G$4:$G$1227,'декабрь 2023'!$D$4:$D$1227,$B58,'декабрь 2023'!$J$4:$J$1227,N$1)</f>
        <v>0</v>
      </c>
      <c r="O58" s="207">
        <f>SUMIFS('декабрь 2023'!$G$4:$G$1227,'декабрь 2023'!$D$4:$D$1227,$B58,'декабрь 2023'!$J$4:$J$1227,O$1)</f>
        <v>0</v>
      </c>
      <c r="P58" s="207">
        <f>SUMIFS('декабрь 2023'!$G$4:$G$1227,'декабрь 2023'!$D$4:$D$1227,$B58,'декабрь 2023'!$J$4:$J$1227,P$1)</f>
        <v>0</v>
      </c>
      <c r="Q58" s="207">
        <f>SUMIFS('декабрь 2023'!$G$4:$G$1227,'декабрь 2023'!$D$4:$D$1227,$B58,'декабрь 2023'!$J$4:$J$1227,Q$1)</f>
        <v>0</v>
      </c>
      <c r="R58" s="207">
        <f>SUMIFS('декабрь 2023'!$G$4:$G$1227,'декабрь 2023'!$D$4:$D$1227,$B58,'декабрь 2023'!$J$4:$J$1227,R$1)</f>
        <v>0</v>
      </c>
      <c r="S58" s="207">
        <f>SUMIFS('декабрь 2023'!$G$4:$G$1227,'декабрь 2023'!$D$4:$D$1227,$B58,'декабрь 2023'!$J$4:$J$1227,S$1)</f>
        <v>0</v>
      </c>
      <c r="T58" s="207">
        <f>SUMIFS('декабрь 2023'!$G$4:$G$1227,'декабрь 2023'!$D$4:$D$1227,$B58,'декабрь 2023'!$J$4:$J$1227,T$1)</f>
        <v>0</v>
      </c>
      <c r="U58" s="207">
        <f>SUMIFS('декабрь 2023'!$G$4:$G$1227,'декабрь 2023'!$D$4:$D$1227,$B58,'декабрь 2023'!$J$4:$J$1227,U$1)</f>
        <v>0</v>
      </c>
      <c r="V58" s="207">
        <f>SUMIFS('декабрь 2023'!$G$4:$G$1227,'декабрь 2023'!$D$4:$D$1227,$B58,'декабрь 2023'!$J$4:$J$1227,V$1)</f>
        <v>0</v>
      </c>
      <c r="W58" s="207">
        <f>SUMIFS('декабрь 2023'!$G$4:$G$1227,'декабрь 2023'!$D$4:$D$1227,$B58,'декабрь 2023'!$J$4:$J$1227,W$1)</f>
        <v>0</v>
      </c>
      <c r="X58" s="207">
        <f>SUMIFS('декабрь 2023'!$G$4:$G$1227,'декабрь 2023'!$D$4:$D$1227,$B58,'декабрь 2023'!$J$4:$J$1227,X$1)</f>
        <v>0</v>
      </c>
      <c r="Y58" s="207">
        <f>SUMIFS('декабрь 2023'!$G$4:$G$1227,'декабрь 2023'!$D$4:$D$1227,$B58,'декабрь 2023'!$J$4:$J$1227,Y$1)</f>
        <v>0</v>
      </c>
      <c r="Z58" s="207">
        <f>SUMIFS('декабрь 2023'!$G$4:$G$1227,'декабрь 2023'!$D$4:$D$1227,$B58,'декабрь 2023'!$J$4:$J$1227,Z$1)</f>
        <v>0</v>
      </c>
      <c r="AA58" s="207">
        <f>SUMIFS('декабрь 2023'!$G$4:$G$1227,'декабрь 2023'!$D$4:$D$1227,$B58,'декабрь 2023'!$J$4:$J$1227,AA$1)</f>
        <v>0</v>
      </c>
      <c r="AB58" s="207">
        <f>SUMIFS('декабрь 2023'!$G$4:$G$1227,'декабрь 2023'!$D$4:$D$1227,$B58,'декабрь 2023'!$J$4:$J$1227,AB$1)</f>
        <v>0</v>
      </c>
      <c r="AC58" s="207">
        <f>SUMIFS('декабрь 2023'!$G$4:$G$1227,'декабрь 2023'!$D$4:$D$1227,$B58,'декабрь 2023'!$J$4:$J$1227,AC$1)</f>
        <v>0</v>
      </c>
      <c r="AD58" s="207">
        <f>SUMIFS('декабрь 2023'!$G$4:$G$1227,'декабрь 2023'!$D$4:$D$1227,$B58,'декабрь 2023'!$J$4:$J$1227,AD$1)</f>
        <v>0</v>
      </c>
      <c r="AE58" s="207">
        <f>SUMIFS('декабрь 2023'!$G$4:$G$1227,'декабрь 2023'!$D$4:$D$1227,$B58,'декабрь 2023'!$J$4:$J$1227,AE$1)</f>
        <v>0</v>
      </c>
      <c r="AF58" s="207">
        <f>SUMIFS('декабрь 2023'!$G$4:$G$1227,'декабрь 2023'!$D$4:$D$1227,$B58,'декабрь 2023'!$J$4:$J$1227,AF$1)</f>
        <v>0</v>
      </c>
      <c r="AG58" s="207">
        <f>SUMIFS('декабрь 2023'!$G$4:$G$1227,'декабрь 2023'!$D$4:$D$1227,$B58,'декабрь 2023'!$J$4:$J$1227,AG$1)</f>
        <v>0</v>
      </c>
      <c r="AH58" s="207">
        <f>SUMIFS('декабрь 2023'!$G$4:$G$1227,'декабрь 2023'!$D$4:$D$1227,$B58,'декабрь 2023'!$J$4:$J$1227,AH$1)</f>
        <v>0</v>
      </c>
      <c r="AI58" s="170">
        <f t="shared" si="1"/>
        <v>0</v>
      </c>
    </row>
    <row r="59" spans="2:35" ht="15" customHeight="1" x14ac:dyDescent="0.25">
      <c r="B59" s="217" t="s">
        <v>222</v>
      </c>
      <c r="C59" s="213">
        <v>50</v>
      </c>
      <c r="D59" s="207">
        <f>SUMIFS('декабрь 2023'!$G$4:$G$1227,'декабрь 2023'!$D$4:$D$1227,$B59,'декабрь 2023'!$J$4:$J$1227,D$1)</f>
        <v>0</v>
      </c>
      <c r="E59" s="207">
        <f>SUMIFS('декабрь 2023'!$G$4:$G$1227,'декабрь 2023'!$D$4:$D$1227,$B59,'декабрь 2023'!$J$4:$J$1227,E$1)</f>
        <v>0</v>
      </c>
      <c r="F59" s="207">
        <f>SUMIFS('декабрь 2023'!$G$4:$G$1227,'декабрь 2023'!$D$4:$D$1227,$B59,'декабрь 2023'!$J$4:$J$1227,F$1)</f>
        <v>0</v>
      </c>
      <c r="G59" s="207">
        <f>SUMIFS('декабрь 2023'!$G$4:$G$1227,'декабрь 2023'!$D$4:$D$1227,$B59,'декабрь 2023'!$J$4:$J$1227,G$1)</f>
        <v>0</v>
      </c>
      <c r="H59" s="207">
        <f>SUMIFS('декабрь 2023'!$G$4:$G$1227,'декабрь 2023'!$D$4:$D$1227,$B59,'декабрь 2023'!$J$4:$J$1227,H$1)</f>
        <v>0</v>
      </c>
      <c r="I59" s="207">
        <f>SUMIFS('декабрь 2023'!$G$4:$G$1227,'декабрь 2023'!$D$4:$D$1227,$B59,'декабрь 2023'!$J$4:$J$1227,I$1)</f>
        <v>0</v>
      </c>
      <c r="J59" s="207">
        <f>SUMIFS('декабрь 2023'!$G$4:$G$1227,'декабрь 2023'!$D$4:$D$1227,$B59,'декабрь 2023'!$J$4:$J$1227,J$1)</f>
        <v>0</v>
      </c>
      <c r="K59" s="207">
        <f>SUMIFS('декабрь 2023'!$G$4:$G$1227,'декабрь 2023'!$D$4:$D$1227,$B59,'декабрь 2023'!$J$4:$J$1227,K$1)</f>
        <v>0</v>
      </c>
      <c r="L59" s="207">
        <f>SUMIFS('декабрь 2023'!$G$4:$G$1227,'декабрь 2023'!$D$4:$D$1227,$B59,'декабрь 2023'!$J$4:$J$1227,L$1)</f>
        <v>0</v>
      </c>
      <c r="M59" s="207">
        <f>SUMIFS('декабрь 2023'!$G$4:$G$1227,'декабрь 2023'!$D$4:$D$1227,$B59,'декабрь 2023'!$J$4:$J$1227,M$1)</f>
        <v>0</v>
      </c>
      <c r="N59" s="207">
        <f>SUMIFS('декабрь 2023'!$G$4:$G$1227,'декабрь 2023'!$D$4:$D$1227,$B59,'декабрь 2023'!$J$4:$J$1227,N$1)</f>
        <v>0</v>
      </c>
      <c r="O59" s="207">
        <f>SUMIFS('декабрь 2023'!$G$4:$G$1227,'декабрь 2023'!$D$4:$D$1227,$B59,'декабрь 2023'!$J$4:$J$1227,O$1)</f>
        <v>0</v>
      </c>
      <c r="P59" s="207">
        <f>SUMIFS('декабрь 2023'!$G$4:$G$1227,'декабрь 2023'!$D$4:$D$1227,$B59,'декабрь 2023'!$J$4:$J$1227,P$1)</f>
        <v>0</v>
      </c>
      <c r="Q59" s="207">
        <f>SUMIFS('декабрь 2023'!$G$4:$G$1227,'декабрь 2023'!$D$4:$D$1227,$B59,'декабрь 2023'!$J$4:$J$1227,Q$1)</f>
        <v>0</v>
      </c>
      <c r="R59" s="207">
        <f>SUMIFS('декабрь 2023'!$G$4:$G$1227,'декабрь 2023'!$D$4:$D$1227,$B59,'декабрь 2023'!$J$4:$J$1227,R$1)</f>
        <v>0</v>
      </c>
      <c r="S59" s="207">
        <f>SUMIFS('декабрь 2023'!$G$4:$G$1227,'декабрь 2023'!$D$4:$D$1227,$B59,'декабрь 2023'!$J$4:$J$1227,S$1)</f>
        <v>0</v>
      </c>
      <c r="T59" s="207">
        <f>SUMIFS('декабрь 2023'!$G$4:$G$1227,'декабрь 2023'!$D$4:$D$1227,$B59,'декабрь 2023'!$J$4:$J$1227,T$1)</f>
        <v>0</v>
      </c>
      <c r="U59" s="207">
        <f>SUMIFS('декабрь 2023'!$G$4:$G$1227,'декабрь 2023'!$D$4:$D$1227,$B59,'декабрь 2023'!$J$4:$J$1227,U$1)</f>
        <v>0</v>
      </c>
      <c r="V59" s="207">
        <f>SUMIFS('декабрь 2023'!$G$4:$G$1227,'декабрь 2023'!$D$4:$D$1227,$B59,'декабрь 2023'!$J$4:$J$1227,V$1)</f>
        <v>0</v>
      </c>
      <c r="W59" s="207">
        <f>SUMIFS('декабрь 2023'!$G$4:$G$1227,'декабрь 2023'!$D$4:$D$1227,$B59,'декабрь 2023'!$J$4:$J$1227,W$1)</f>
        <v>0</v>
      </c>
      <c r="X59" s="207">
        <f>SUMIFS('декабрь 2023'!$G$4:$G$1227,'декабрь 2023'!$D$4:$D$1227,$B59,'декабрь 2023'!$J$4:$J$1227,X$1)</f>
        <v>0</v>
      </c>
      <c r="Y59" s="207">
        <f>SUMIFS('декабрь 2023'!$G$4:$G$1227,'декабрь 2023'!$D$4:$D$1227,$B59,'декабрь 2023'!$J$4:$J$1227,Y$1)</f>
        <v>0</v>
      </c>
      <c r="Z59" s="207">
        <f>SUMIFS('декабрь 2023'!$G$4:$G$1227,'декабрь 2023'!$D$4:$D$1227,$B59,'декабрь 2023'!$J$4:$J$1227,Z$1)</f>
        <v>0</v>
      </c>
      <c r="AA59" s="207">
        <f>SUMIFS('декабрь 2023'!$G$4:$G$1227,'декабрь 2023'!$D$4:$D$1227,$B59,'декабрь 2023'!$J$4:$J$1227,AA$1)</f>
        <v>0</v>
      </c>
      <c r="AB59" s="207">
        <f>SUMIFS('декабрь 2023'!$G$4:$G$1227,'декабрь 2023'!$D$4:$D$1227,$B59,'декабрь 2023'!$J$4:$J$1227,AB$1)</f>
        <v>0</v>
      </c>
      <c r="AC59" s="207">
        <f>SUMIFS('декабрь 2023'!$G$4:$G$1227,'декабрь 2023'!$D$4:$D$1227,$B59,'декабрь 2023'!$J$4:$J$1227,AC$1)</f>
        <v>0</v>
      </c>
      <c r="AD59" s="207">
        <f>SUMIFS('декабрь 2023'!$G$4:$G$1227,'декабрь 2023'!$D$4:$D$1227,$B59,'декабрь 2023'!$J$4:$J$1227,AD$1)</f>
        <v>2</v>
      </c>
      <c r="AE59" s="207">
        <f>SUMIFS('декабрь 2023'!$G$4:$G$1227,'декабрь 2023'!$D$4:$D$1227,$B59,'декабрь 2023'!$J$4:$J$1227,AE$1)</f>
        <v>0</v>
      </c>
      <c r="AF59" s="207">
        <f>SUMIFS('декабрь 2023'!$G$4:$G$1227,'декабрь 2023'!$D$4:$D$1227,$B59,'декабрь 2023'!$J$4:$J$1227,AF$1)</f>
        <v>0</v>
      </c>
      <c r="AG59" s="207">
        <f>SUMIFS('декабрь 2023'!$G$4:$G$1227,'декабрь 2023'!$D$4:$D$1227,$B59,'декабрь 2023'!$J$4:$J$1227,AG$1)</f>
        <v>0</v>
      </c>
      <c r="AH59" s="207">
        <f>SUMIFS('декабрь 2023'!$G$4:$G$1227,'декабрь 2023'!$D$4:$D$1227,$B59,'декабрь 2023'!$J$4:$J$1227,AH$1)</f>
        <v>0</v>
      </c>
      <c r="AI59" s="170">
        <f t="shared" si="1"/>
        <v>2</v>
      </c>
    </row>
    <row r="60" spans="2:35" ht="15" customHeight="1" x14ac:dyDescent="0.25">
      <c r="B60" s="216" t="s">
        <v>66</v>
      </c>
      <c r="C60" s="213">
        <v>200</v>
      </c>
      <c r="D60" s="207">
        <f>SUMIFS('декабрь 2023'!$G$4:$G$1227,'декабрь 2023'!$D$4:$D$1227,$B60,'декабрь 2023'!$J$4:$J$1227,D$1)</f>
        <v>0</v>
      </c>
      <c r="E60" s="207">
        <f>SUMIFS('декабрь 2023'!$G$4:$G$1227,'декабрь 2023'!$D$4:$D$1227,$B60,'декабрь 2023'!$J$4:$J$1227,E$1)</f>
        <v>0</v>
      </c>
      <c r="F60" s="207">
        <f>SUMIFS('декабрь 2023'!$G$4:$G$1227,'декабрь 2023'!$D$4:$D$1227,$B60,'декабрь 2023'!$J$4:$J$1227,F$1)</f>
        <v>0</v>
      </c>
      <c r="G60" s="207">
        <f>SUMIFS('декабрь 2023'!$G$4:$G$1227,'декабрь 2023'!$D$4:$D$1227,$B60,'декабрь 2023'!$J$4:$J$1227,G$1)</f>
        <v>24</v>
      </c>
      <c r="H60" s="207">
        <f>SUMIFS('декабрь 2023'!$G$4:$G$1227,'декабрь 2023'!$D$4:$D$1227,$B60,'декабрь 2023'!$J$4:$J$1227,H$1)</f>
        <v>0</v>
      </c>
      <c r="I60" s="207">
        <f>SUMIFS('декабрь 2023'!$G$4:$G$1227,'декабрь 2023'!$D$4:$D$1227,$B60,'декабрь 2023'!$J$4:$J$1227,I$1)</f>
        <v>0</v>
      </c>
      <c r="J60" s="207">
        <f>SUMIFS('декабрь 2023'!$G$4:$G$1227,'декабрь 2023'!$D$4:$D$1227,$B60,'декабрь 2023'!$J$4:$J$1227,J$1)</f>
        <v>0</v>
      </c>
      <c r="K60" s="207">
        <f>SUMIFS('декабрь 2023'!$G$4:$G$1227,'декабрь 2023'!$D$4:$D$1227,$B60,'декабрь 2023'!$J$4:$J$1227,K$1)</f>
        <v>0</v>
      </c>
      <c r="L60" s="207">
        <f>SUMIFS('декабрь 2023'!$G$4:$G$1227,'декабрь 2023'!$D$4:$D$1227,$B60,'декабрь 2023'!$J$4:$J$1227,L$1)</f>
        <v>0</v>
      </c>
      <c r="M60" s="207">
        <f>SUMIFS('декабрь 2023'!$G$4:$G$1227,'декабрь 2023'!$D$4:$D$1227,$B60,'декабрь 2023'!$J$4:$J$1227,M$1)</f>
        <v>0</v>
      </c>
      <c r="N60" s="207">
        <f>SUMIFS('декабрь 2023'!$G$4:$G$1227,'декабрь 2023'!$D$4:$D$1227,$B60,'декабрь 2023'!$J$4:$J$1227,N$1)</f>
        <v>0</v>
      </c>
      <c r="O60" s="207">
        <f>SUMIFS('декабрь 2023'!$G$4:$G$1227,'декабрь 2023'!$D$4:$D$1227,$B60,'декабрь 2023'!$J$4:$J$1227,O$1)</f>
        <v>0</v>
      </c>
      <c r="P60" s="207">
        <f>SUMIFS('декабрь 2023'!$G$4:$G$1227,'декабрь 2023'!$D$4:$D$1227,$B60,'декабрь 2023'!$J$4:$J$1227,P$1)</f>
        <v>0</v>
      </c>
      <c r="Q60" s="207">
        <f>SUMIFS('декабрь 2023'!$G$4:$G$1227,'декабрь 2023'!$D$4:$D$1227,$B60,'декабрь 2023'!$J$4:$J$1227,Q$1)</f>
        <v>0</v>
      </c>
      <c r="R60" s="207">
        <f>SUMIFS('декабрь 2023'!$G$4:$G$1227,'декабрь 2023'!$D$4:$D$1227,$B60,'декабрь 2023'!$J$4:$J$1227,R$1)</f>
        <v>0</v>
      </c>
      <c r="S60" s="207">
        <f>SUMIFS('декабрь 2023'!$G$4:$G$1227,'декабрь 2023'!$D$4:$D$1227,$B60,'декабрь 2023'!$J$4:$J$1227,S$1)</f>
        <v>0</v>
      </c>
      <c r="T60" s="207">
        <f>SUMIFS('декабрь 2023'!$G$4:$G$1227,'декабрь 2023'!$D$4:$D$1227,$B60,'декабрь 2023'!$J$4:$J$1227,T$1)</f>
        <v>0</v>
      </c>
      <c r="U60" s="207">
        <f>SUMIFS('декабрь 2023'!$G$4:$G$1227,'декабрь 2023'!$D$4:$D$1227,$B60,'декабрь 2023'!$J$4:$J$1227,U$1)</f>
        <v>0</v>
      </c>
      <c r="V60" s="207">
        <f>SUMIFS('декабрь 2023'!$G$4:$G$1227,'декабрь 2023'!$D$4:$D$1227,$B60,'декабрь 2023'!$J$4:$J$1227,V$1)</f>
        <v>0</v>
      </c>
      <c r="W60" s="207">
        <f>SUMIFS('декабрь 2023'!$G$4:$G$1227,'декабрь 2023'!$D$4:$D$1227,$B60,'декабрь 2023'!$J$4:$J$1227,W$1)</f>
        <v>0</v>
      </c>
      <c r="X60" s="207">
        <f>SUMIFS('декабрь 2023'!$G$4:$G$1227,'декабрь 2023'!$D$4:$D$1227,$B60,'декабрь 2023'!$J$4:$J$1227,X$1)</f>
        <v>0</v>
      </c>
      <c r="Y60" s="207">
        <f>SUMIFS('декабрь 2023'!$G$4:$G$1227,'декабрь 2023'!$D$4:$D$1227,$B60,'декабрь 2023'!$J$4:$J$1227,Y$1)</f>
        <v>80</v>
      </c>
      <c r="Z60" s="207">
        <f>SUMIFS('декабрь 2023'!$G$4:$G$1227,'декабрь 2023'!$D$4:$D$1227,$B60,'декабрь 2023'!$J$4:$J$1227,Z$1)</f>
        <v>0</v>
      </c>
      <c r="AA60" s="207">
        <f>SUMIFS('декабрь 2023'!$G$4:$G$1227,'декабрь 2023'!$D$4:$D$1227,$B60,'декабрь 2023'!$J$4:$J$1227,AA$1)</f>
        <v>0</v>
      </c>
      <c r="AB60" s="207">
        <f>SUMIFS('декабрь 2023'!$G$4:$G$1227,'декабрь 2023'!$D$4:$D$1227,$B60,'декабрь 2023'!$J$4:$J$1227,AB$1)</f>
        <v>0</v>
      </c>
      <c r="AC60" s="207">
        <f>SUMIFS('декабрь 2023'!$G$4:$G$1227,'декабрь 2023'!$D$4:$D$1227,$B60,'декабрь 2023'!$J$4:$J$1227,AC$1)</f>
        <v>0</v>
      </c>
      <c r="AD60" s="207">
        <f>SUMIFS('декабрь 2023'!$G$4:$G$1227,'декабрь 2023'!$D$4:$D$1227,$B60,'декабрь 2023'!$J$4:$J$1227,AD$1)</f>
        <v>0</v>
      </c>
      <c r="AE60" s="207">
        <f>SUMIFS('декабрь 2023'!$G$4:$G$1227,'декабрь 2023'!$D$4:$D$1227,$B60,'декабрь 2023'!$J$4:$J$1227,AE$1)</f>
        <v>0</v>
      </c>
      <c r="AF60" s="207">
        <f>SUMIFS('декабрь 2023'!$G$4:$G$1227,'декабрь 2023'!$D$4:$D$1227,$B60,'декабрь 2023'!$J$4:$J$1227,AF$1)</f>
        <v>160</v>
      </c>
      <c r="AG60" s="207">
        <f>SUMIFS('декабрь 2023'!$G$4:$G$1227,'декабрь 2023'!$D$4:$D$1227,$B60,'декабрь 2023'!$J$4:$J$1227,AG$1)</f>
        <v>0</v>
      </c>
      <c r="AH60" s="207">
        <f>SUMIFS('декабрь 2023'!$G$4:$G$1227,'декабрь 2023'!$D$4:$D$1227,$B60,'декабрь 2023'!$J$4:$J$1227,AH$1)</f>
        <v>0</v>
      </c>
      <c r="AI60" s="170">
        <f t="shared" si="1"/>
        <v>264</v>
      </c>
    </row>
    <row r="61" spans="2:35" ht="15" customHeight="1" x14ac:dyDescent="0.25">
      <c r="B61" s="216" t="s">
        <v>38</v>
      </c>
      <c r="C61" s="213">
        <v>200</v>
      </c>
      <c r="D61" s="207">
        <f>SUMIFS('декабрь 2023'!$G$4:$G$1227,'декабрь 2023'!$D$4:$D$1227,$B61,'декабрь 2023'!$J$4:$J$1227,D$1)</f>
        <v>88</v>
      </c>
      <c r="E61" s="207">
        <f>SUMIFS('декабрь 2023'!$G$4:$G$1227,'декабрь 2023'!$D$4:$D$1227,$B61,'декабрь 2023'!$J$4:$J$1227,E$1)</f>
        <v>0</v>
      </c>
      <c r="F61" s="207">
        <f>SUMIFS('декабрь 2023'!$G$4:$G$1227,'декабрь 2023'!$D$4:$D$1227,$B61,'декабрь 2023'!$J$4:$J$1227,F$1)</f>
        <v>0</v>
      </c>
      <c r="G61" s="207">
        <f>SUMIFS('декабрь 2023'!$G$4:$G$1227,'декабрь 2023'!$D$4:$D$1227,$B61,'декабрь 2023'!$J$4:$J$1227,G$1)</f>
        <v>0</v>
      </c>
      <c r="H61" s="207">
        <f>SUMIFS('декабрь 2023'!$G$4:$G$1227,'декабрь 2023'!$D$4:$D$1227,$B61,'декабрь 2023'!$J$4:$J$1227,H$1)</f>
        <v>0</v>
      </c>
      <c r="I61" s="207">
        <f>SUMIFS('декабрь 2023'!$G$4:$G$1227,'декабрь 2023'!$D$4:$D$1227,$B61,'декабрь 2023'!$J$4:$J$1227,I$1)</f>
        <v>0</v>
      </c>
      <c r="J61" s="207">
        <f>SUMIFS('декабрь 2023'!$G$4:$G$1227,'декабрь 2023'!$D$4:$D$1227,$B61,'декабрь 2023'!$J$4:$J$1227,J$1)</f>
        <v>0</v>
      </c>
      <c r="K61" s="207">
        <f>SUMIFS('декабрь 2023'!$G$4:$G$1227,'декабрь 2023'!$D$4:$D$1227,$B61,'декабрь 2023'!$J$4:$J$1227,K$1)</f>
        <v>0</v>
      </c>
      <c r="L61" s="207">
        <f>SUMIFS('декабрь 2023'!$G$4:$G$1227,'декабрь 2023'!$D$4:$D$1227,$B61,'декабрь 2023'!$J$4:$J$1227,L$1)</f>
        <v>0</v>
      </c>
      <c r="M61" s="207">
        <f>SUMIFS('декабрь 2023'!$G$4:$G$1227,'декабрь 2023'!$D$4:$D$1227,$B61,'декабрь 2023'!$J$4:$J$1227,M$1)</f>
        <v>0</v>
      </c>
      <c r="N61" s="207">
        <f>SUMIFS('декабрь 2023'!$G$4:$G$1227,'декабрь 2023'!$D$4:$D$1227,$B61,'декабрь 2023'!$J$4:$J$1227,N$1)</f>
        <v>0</v>
      </c>
      <c r="O61" s="207">
        <f>SUMIFS('декабрь 2023'!$G$4:$G$1227,'декабрь 2023'!$D$4:$D$1227,$B61,'декабрь 2023'!$J$4:$J$1227,O$1)</f>
        <v>0</v>
      </c>
      <c r="P61" s="207">
        <f>SUMIFS('декабрь 2023'!$G$4:$G$1227,'декабрь 2023'!$D$4:$D$1227,$B61,'декабрь 2023'!$J$4:$J$1227,P$1)</f>
        <v>0</v>
      </c>
      <c r="Q61" s="207">
        <f>SUMIFS('декабрь 2023'!$G$4:$G$1227,'декабрь 2023'!$D$4:$D$1227,$B61,'декабрь 2023'!$J$4:$J$1227,Q$1)</f>
        <v>0</v>
      </c>
      <c r="R61" s="207">
        <f>SUMIFS('декабрь 2023'!$G$4:$G$1227,'декабрь 2023'!$D$4:$D$1227,$B61,'декабрь 2023'!$J$4:$J$1227,R$1)</f>
        <v>0</v>
      </c>
      <c r="S61" s="207">
        <f>SUMIFS('декабрь 2023'!$G$4:$G$1227,'декабрь 2023'!$D$4:$D$1227,$B61,'декабрь 2023'!$J$4:$J$1227,S$1)</f>
        <v>0</v>
      </c>
      <c r="T61" s="207">
        <f>SUMIFS('декабрь 2023'!$G$4:$G$1227,'декабрь 2023'!$D$4:$D$1227,$B61,'декабрь 2023'!$J$4:$J$1227,T$1)</f>
        <v>0</v>
      </c>
      <c r="U61" s="207">
        <f>SUMIFS('декабрь 2023'!$G$4:$G$1227,'декабрь 2023'!$D$4:$D$1227,$B61,'декабрь 2023'!$J$4:$J$1227,U$1)</f>
        <v>0</v>
      </c>
      <c r="V61" s="207">
        <f>SUMIFS('декабрь 2023'!$G$4:$G$1227,'декабрь 2023'!$D$4:$D$1227,$B61,'декабрь 2023'!$J$4:$J$1227,V$1)</f>
        <v>0</v>
      </c>
      <c r="W61" s="207">
        <f>SUMIFS('декабрь 2023'!$G$4:$G$1227,'декабрь 2023'!$D$4:$D$1227,$B61,'декабрь 2023'!$J$4:$J$1227,W$1)</f>
        <v>0</v>
      </c>
      <c r="X61" s="207">
        <f>SUMIFS('декабрь 2023'!$G$4:$G$1227,'декабрь 2023'!$D$4:$D$1227,$B61,'декабрь 2023'!$J$4:$J$1227,X$1)</f>
        <v>0</v>
      </c>
      <c r="Y61" s="207">
        <f>SUMIFS('декабрь 2023'!$G$4:$G$1227,'декабрь 2023'!$D$4:$D$1227,$B61,'декабрь 2023'!$J$4:$J$1227,Y$1)</f>
        <v>0</v>
      </c>
      <c r="Z61" s="207">
        <f>SUMIFS('декабрь 2023'!$G$4:$G$1227,'декабрь 2023'!$D$4:$D$1227,$B61,'декабрь 2023'!$J$4:$J$1227,Z$1)</f>
        <v>0</v>
      </c>
      <c r="AA61" s="207">
        <f>SUMIFS('декабрь 2023'!$G$4:$G$1227,'декабрь 2023'!$D$4:$D$1227,$B61,'декабрь 2023'!$J$4:$J$1227,AA$1)</f>
        <v>0</v>
      </c>
      <c r="AB61" s="207">
        <f>SUMIFS('декабрь 2023'!$G$4:$G$1227,'декабрь 2023'!$D$4:$D$1227,$B61,'декабрь 2023'!$J$4:$J$1227,AB$1)</f>
        <v>0</v>
      </c>
      <c r="AC61" s="207">
        <f>SUMIFS('декабрь 2023'!$G$4:$G$1227,'декабрь 2023'!$D$4:$D$1227,$B61,'декабрь 2023'!$J$4:$J$1227,AC$1)</f>
        <v>0</v>
      </c>
      <c r="AD61" s="207">
        <f>SUMIFS('декабрь 2023'!$G$4:$G$1227,'декабрь 2023'!$D$4:$D$1227,$B61,'декабрь 2023'!$J$4:$J$1227,AD$1)</f>
        <v>0</v>
      </c>
      <c r="AE61" s="207">
        <f>SUMIFS('декабрь 2023'!$G$4:$G$1227,'декабрь 2023'!$D$4:$D$1227,$B61,'декабрь 2023'!$J$4:$J$1227,AE$1)</f>
        <v>0</v>
      </c>
      <c r="AF61" s="207">
        <f>SUMIFS('декабрь 2023'!$G$4:$G$1227,'декабрь 2023'!$D$4:$D$1227,$B61,'декабрь 2023'!$J$4:$J$1227,AF$1)</f>
        <v>0</v>
      </c>
      <c r="AG61" s="207">
        <f>SUMIFS('декабрь 2023'!$G$4:$G$1227,'декабрь 2023'!$D$4:$D$1227,$B61,'декабрь 2023'!$J$4:$J$1227,AG$1)</f>
        <v>0</v>
      </c>
      <c r="AH61" s="207">
        <f>SUMIFS('декабрь 2023'!$G$4:$G$1227,'декабрь 2023'!$D$4:$D$1227,$B61,'декабрь 2023'!$J$4:$J$1227,AH$1)</f>
        <v>0</v>
      </c>
      <c r="AI61" s="170">
        <f t="shared" si="1"/>
        <v>88</v>
      </c>
    </row>
    <row r="62" spans="2:35" ht="15" customHeight="1" x14ac:dyDescent="0.25">
      <c r="B62" s="216" t="s">
        <v>878</v>
      </c>
      <c r="C62" s="213">
        <v>25</v>
      </c>
      <c r="D62" s="207">
        <f>SUMIFS('декабрь 2023'!$G$4:$G$1227,'декабрь 2023'!$D$4:$D$1227,$B62,'декабрь 2023'!$J$4:$J$1227,D$1)</f>
        <v>0</v>
      </c>
      <c r="E62" s="207">
        <f>SUMIFS('декабрь 2023'!$G$4:$G$1227,'декабрь 2023'!$D$4:$D$1227,$B62,'декабрь 2023'!$J$4:$J$1227,E$1)</f>
        <v>0</v>
      </c>
      <c r="F62" s="207">
        <f>SUMIFS('декабрь 2023'!$G$4:$G$1227,'декабрь 2023'!$D$4:$D$1227,$B62,'декабрь 2023'!$J$4:$J$1227,F$1)</f>
        <v>0</v>
      </c>
      <c r="G62" s="207">
        <f>SUMIFS('декабрь 2023'!$G$4:$G$1227,'декабрь 2023'!$D$4:$D$1227,$B62,'декабрь 2023'!$J$4:$J$1227,G$1)</f>
        <v>0</v>
      </c>
      <c r="H62" s="207">
        <f>SUMIFS('декабрь 2023'!$G$4:$G$1227,'декабрь 2023'!$D$4:$D$1227,$B62,'декабрь 2023'!$J$4:$J$1227,H$1)</f>
        <v>0</v>
      </c>
      <c r="I62" s="207">
        <f>SUMIFS('декабрь 2023'!$G$4:$G$1227,'декабрь 2023'!$D$4:$D$1227,$B62,'декабрь 2023'!$J$4:$J$1227,I$1)</f>
        <v>0</v>
      </c>
      <c r="J62" s="207">
        <f>SUMIFS('декабрь 2023'!$G$4:$G$1227,'декабрь 2023'!$D$4:$D$1227,$B62,'декабрь 2023'!$J$4:$J$1227,J$1)</f>
        <v>0</v>
      </c>
      <c r="K62" s="207">
        <f>SUMIFS('декабрь 2023'!$G$4:$G$1227,'декабрь 2023'!$D$4:$D$1227,$B62,'декабрь 2023'!$J$4:$J$1227,K$1)</f>
        <v>0</v>
      </c>
      <c r="L62" s="207">
        <f>SUMIFS('декабрь 2023'!$G$4:$G$1227,'декабрь 2023'!$D$4:$D$1227,$B62,'декабрь 2023'!$J$4:$J$1227,L$1)</f>
        <v>0</v>
      </c>
      <c r="M62" s="207">
        <f>SUMIFS('декабрь 2023'!$G$4:$G$1227,'декабрь 2023'!$D$4:$D$1227,$B62,'декабрь 2023'!$J$4:$J$1227,M$1)</f>
        <v>0</v>
      </c>
      <c r="N62" s="207">
        <f>SUMIFS('декабрь 2023'!$G$4:$G$1227,'декабрь 2023'!$D$4:$D$1227,$B62,'декабрь 2023'!$J$4:$J$1227,N$1)</f>
        <v>0</v>
      </c>
      <c r="O62" s="207">
        <f>SUMIFS('декабрь 2023'!$G$4:$G$1227,'декабрь 2023'!$D$4:$D$1227,$B62,'декабрь 2023'!$J$4:$J$1227,O$1)</f>
        <v>0</v>
      </c>
      <c r="P62" s="207">
        <f>SUMIFS('декабрь 2023'!$G$4:$G$1227,'декабрь 2023'!$D$4:$D$1227,$B62,'декабрь 2023'!$J$4:$J$1227,P$1)</f>
        <v>0</v>
      </c>
      <c r="Q62" s="207">
        <f>SUMIFS('декабрь 2023'!$G$4:$G$1227,'декабрь 2023'!$D$4:$D$1227,$B62,'декабрь 2023'!$J$4:$J$1227,Q$1)</f>
        <v>0</v>
      </c>
      <c r="R62" s="207">
        <f>SUMIFS('декабрь 2023'!$G$4:$G$1227,'декабрь 2023'!$D$4:$D$1227,$B62,'декабрь 2023'!$J$4:$J$1227,R$1)</f>
        <v>0</v>
      </c>
      <c r="S62" s="207">
        <f>SUMIFS('декабрь 2023'!$G$4:$G$1227,'декабрь 2023'!$D$4:$D$1227,$B62,'декабрь 2023'!$J$4:$J$1227,S$1)</f>
        <v>0</v>
      </c>
      <c r="T62" s="207">
        <f>SUMIFS('декабрь 2023'!$G$4:$G$1227,'декабрь 2023'!$D$4:$D$1227,$B62,'декабрь 2023'!$J$4:$J$1227,T$1)</f>
        <v>0</v>
      </c>
      <c r="U62" s="207">
        <f>SUMIFS('декабрь 2023'!$G$4:$G$1227,'декабрь 2023'!$D$4:$D$1227,$B62,'декабрь 2023'!$J$4:$J$1227,U$1)</f>
        <v>0</v>
      </c>
      <c r="V62" s="207">
        <f>SUMIFS('декабрь 2023'!$G$4:$G$1227,'декабрь 2023'!$D$4:$D$1227,$B62,'декабрь 2023'!$J$4:$J$1227,V$1)</f>
        <v>0</v>
      </c>
      <c r="W62" s="207">
        <f>SUMIFS('декабрь 2023'!$G$4:$G$1227,'декабрь 2023'!$D$4:$D$1227,$B62,'декабрь 2023'!$J$4:$J$1227,W$1)</f>
        <v>0</v>
      </c>
      <c r="X62" s="207">
        <f>SUMIFS('декабрь 2023'!$G$4:$G$1227,'декабрь 2023'!$D$4:$D$1227,$B62,'декабрь 2023'!$J$4:$J$1227,X$1)</f>
        <v>0</v>
      </c>
      <c r="Y62" s="207">
        <f>SUMIFS('декабрь 2023'!$G$4:$G$1227,'декабрь 2023'!$D$4:$D$1227,$B62,'декабрь 2023'!$J$4:$J$1227,Y$1)</f>
        <v>0</v>
      </c>
      <c r="Z62" s="207">
        <f>SUMIFS('декабрь 2023'!$G$4:$G$1227,'декабрь 2023'!$D$4:$D$1227,$B62,'декабрь 2023'!$J$4:$J$1227,Z$1)</f>
        <v>0</v>
      </c>
      <c r="AA62" s="207">
        <f>SUMIFS('декабрь 2023'!$G$4:$G$1227,'декабрь 2023'!$D$4:$D$1227,$B62,'декабрь 2023'!$J$4:$J$1227,AA$1)</f>
        <v>0</v>
      </c>
      <c r="AB62" s="207">
        <f>SUMIFS('декабрь 2023'!$G$4:$G$1227,'декабрь 2023'!$D$4:$D$1227,$B62,'декабрь 2023'!$J$4:$J$1227,AB$1)</f>
        <v>0</v>
      </c>
      <c r="AC62" s="207">
        <f>SUMIFS('декабрь 2023'!$G$4:$G$1227,'декабрь 2023'!$D$4:$D$1227,$B62,'декабрь 2023'!$J$4:$J$1227,AC$1)</f>
        <v>0</v>
      </c>
      <c r="AD62" s="207">
        <f>SUMIFS('декабрь 2023'!$G$4:$G$1227,'декабрь 2023'!$D$4:$D$1227,$B62,'декабрь 2023'!$J$4:$J$1227,AD$1)</f>
        <v>0</v>
      </c>
      <c r="AE62" s="207">
        <f>SUMIFS('декабрь 2023'!$G$4:$G$1227,'декабрь 2023'!$D$4:$D$1227,$B62,'декабрь 2023'!$J$4:$J$1227,AE$1)</f>
        <v>0</v>
      </c>
      <c r="AF62" s="207">
        <f>SUMIFS('декабрь 2023'!$G$4:$G$1227,'декабрь 2023'!$D$4:$D$1227,$B62,'декабрь 2023'!$J$4:$J$1227,AF$1)</f>
        <v>0</v>
      </c>
      <c r="AG62" s="207">
        <f>SUMIFS('декабрь 2023'!$G$4:$G$1227,'декабрь 2023'!$D$4:$D$1227,$B62,'декабрь 2023'!$J$4:$J$1227,AG$1)</f>
        <v>0</v>
      </c>
      <c r="AH62" s="207">
        <f>SUMIFS('декабрь 2023'!$G$4:$G$1227,'декабрь 2023'!$D$4:$D$1227,$B62,'декабрь 2023'!$J$4:$J$1227,AH$1)</f>
        <v>0</v>
      </c>
      <c r="AI62" s="170">
        <f t="shared" si="1"/>
        <v>0</v>
      </c>
    </row>
    <row r="63" spans="2:35" ht="15.75" x14ac:dyDescent="0.25">
      <c r="B63" s="212" t="s">
        <v>474</v>
      </c>
      <c r="C63" s="211">
        <v>180</v>
      </c>
      <c r="D63" s="207">
        <f>SUMIFS('декабрь 2023'!$G$4:$G$1227,'декабрь 2023'!$D$4:$D$1227,$B63,'декабрь 2023'!$J$4:$J$1227,D$1)</f>
        <v>0</v>
      </c>
      <c r="E63" s="207">
        <f>SUMIFS('декабрь 2023'!$G$4:$G$1227,'декабрь 2023'!$D$4:$D$1227,$B63,'декабрь 2023'!$J$4:$J$1227,E$1)</f>
        <v>0</v>
      </c>
      <c r="F63" s="207">
        <f>SUMIFS('декабрь 2023'!$G$4:$G$1227,'декабрь 2023'!$D$4:$D$1227,$B63,'декабрь 2023'!$J$4:$J$1227,F$1)</f>
        <v>0</v>
      </c>
      <c r="G63" s="207">
        <f>SUMIFS('декабрь 2023'!$G$4:$G$1227,'декабрь 2023'!$D$4:$D$1227,$B63,'декабрь 2023'!$J$4:$J$1227,G$1)</f>
        <v>0</v>
      </c>
      <c r="H63" s="207">
        <f>SUMIFS('декабрь 2023'!$G$4:$G$1227,'декабрь 2023'!$D$4:$D$1227,$B63,'декабрь 2023'!$J$4:$J$1227,H$1)</f>
        <v>0</v>
      </c>
      <c r="I63" s="207">
        <f>SUMIFS('декабрь 2023'!$G$4:$G$1227,'декабрь 2023'!$D$4:$D$1227,$B63,'декабрь 2023'!$J$4:$J$1227,I$1)</f>
        <v>0</v>
      </c>
      <c r="J63" s="207">
        <f>SUMIFS('декабрь 2023'!$G$4:$G$1227,'декабрь 2023'!$D$4:$D$1227,$B63,'декабрь 2023'!$J$4:$J$1227,J$1)</f>
        <v>0</v>
      </c>
      <c r="K63" s="207">
        <f>SUMIFS('декабрь 2023'!$G$4:$G$1227,'декабрь 2023'!$D$4:$D$1227,$B63,'декабрь 2023'!$J$4:$J$1227,K$1)</f>
        <v>0</v>
      </c>
      <c r="L63" s="207">
        <f>SUMIFS('декабрь 2023'!$G$4:$G$1227,'декабрь 2023'!$D$4:$D$1227,$B63,'декабрь 2023'!$J$4:$J$1227,L$1)</f>
        <v>0</v>
      </c>
      <c r="M63" s="207">
        <f>SUMIFS('декабрь 2023'!$G$4:$G$1227,'декабрь 2023'!$D$4:$D$1227,$B63,'декабрь 2023'!$J$4:$J$1227,M$1)</f>
        <v>0</v>
      </c>
      <c r="N63" s="207">
        <f>SUMIFS('декабрь 2023'!$G$4:$G$1227,'декабрь 2023'!$D$4:$D$1227,$B63,'декабрь 2023'!$J$4:$J$1227,N$1)</f>
        <v>0</v>
      </c>
      <c r="O63" s="207">
        <f>SUMIFS('декабрь 2023'!$G$4:$G$1227,'декабрь 2023'!$D$4:$D$1227,$B63,'декабрь 2023'!$J$4:$J$1227,O$1)</f>
        <v>0</v>
      </c>
      <c r="P63" s="207">
        <f>SUMIFS('декабрь 2023'!$G$4:$G$1227,'декабрь 2023'!$D$4:$D$1227,$B63,'декабрь 2023'!$J$4:$J$1227,P$1)</f>
        <v>0</v>
      </c>
      <c r="Q63" s="207">
        <f>SUMIFS('декабрь 2023'!$G$4:$G$1227,'декабрь 2023'!$D$4:$D$1227,$B63,'декабрь 2023'!$J$4:$J$1227,Q$1)</f>
        <v>0</v>
      </c>
      <c r="R63" s="207">
        <f>SUMIFS('декабрь 2023'!$G$4:$G$1227,'декабрь 2023'!$D$4:$D$1227,$B63,'декабрь 2023'!$J$4:$J$1227,R$1)</f>
        <v>0</v>
      </c>
      <c r="S63" s="207">
        <f>SUMIFS('декабрь 2023'!$G$4:$G$1227,'декабрь 2023'!$D$4:$D$1227,$B63,'декабрь 2023'!$J$4:$J$1227,S$1)</f>
        <v>0</v>
      </c>
      <c r="T63" s="207">
        <f>SUMIFS('декабрь 2023'!$G$4:$G$1227,'декабрь 2023'!$D$4:$D$1227,$B63,'декабрь 2023'!$J$4:$J$1227,T$1)</f>
        <v>0</v>
      </c>
      <c r="U63" s="207">
        <f>SUMIFS('декабрь 2023'!$G$4:$G$1227,'декабрь 2023'!$D$4:$D$1227,$B63,'декабрь 2023'!$J$4:$J$1227,U$1)</f>
        <v>0</v>
      </c>
      <c r="V63" s="207">
        <f>SUMIFS('декабрь 2023'!$G$4:$G$1227,'декабрь 2023'!$D$4:$D$1227,$B63,'декабрь 2023'!$J$4:$J$1227,V$1)</f>
        <v>0</v>
      </c>
      <c r="W63" s="207">
        <f>SUMIFS('декабрь 2023'!$G$4:$G$1227,'декабрь 2023'!$D$4:$D$1227,$B63,'декабрь 2023'!$J$4:$J$1227,W$1)</f>
        <v>0</v>
      </c>
      <c r="X63" s="207">
        <f>SUMIFS('декабрь 2023'!$G$4:$G$1227,'декабрь 2023'!$D$4:$D$1227,$B63,'декабрь 2023'!$J$4:$J$1227,X$1)</f>
        <v>0</v>
      </c>
      <c r="Y63" s="207">
        <f>SUMIFS('декабрь 2023'!$G$4:$G$1227,'декабрь 2023'!$D$4:$D$1227,$B63,'декабрь 2023'!$J$4:$J$1227,Y$1)</f>
        <v>0</v>
      </c>
      <c r="Z63" s="207">
        <f>SUMIFS('декабрь 2023'!$G$4:$G$1227,'декабрь 2023'!$D$4:$D$1227,$B63,'декабрь 2023'!$J$4:$J$1227,Z$1)</f>
        <v>0</v>
      </c>
      <c r="AA63" s="207">
        <f>SUMIFS('декабрь 2023'!$G$4:$G$1227,'декабрь 2023'!$D$4:$D$1227,$B63,'декабрь 2023'!$J$4:$J$1227,AA$1)</f>
        <v>0</v>
      </c>
      <c r="AB63" s="207">
        <f>SUMIFS('декабрь 2023'!$G$4:$G$1227,'декабрь 2023'!$D$4:$D$1227,$B63,'декабрь 2023'!$J$4:$J$1227,AB$1)</f>
        <v>0</v>
      </c>
      <c r="AC63" s="207">
        <f>SUMIFS('декабрь 2023'!$G$4:$G$1227,'декабрь 2023'!$D$4:$D$1227,$B63,'декабрь 2023'!$J$4:$J$1227,AC$1)</f>
        <v>0</v>
      </c>
      <c r="AD63" s="207">
        <f>SUMIFS('декабрь 2023'!$G$4:$G$1227,'декабрь 2023'!$D$4:$D$1227,$B63,'декабрь 2023'!$J$4:$J$1227,AD$1)</f>
        <v>0</v>
      </c>
      <c r="AE63" s="207">
        <f>SUMIFS('декабрь 2023'!$G$4:$G$1227,'декабрь 2023'!$D$4:$D$1227,$B63,'декабрь 2023'!$J$4:$J$1227,AE$1)</f>
        <v>0</v>
      </c>
      <c r="AF63" s="207">
        <f>SUMIFS('декабрь 2023'!$G$4:$G$1227,'декабрь 2023'!$D$4:$D$1227,$B63,'декабрь 2023'!$J$4:$J$1227,AF$1)</f>
        <v>0</v>
      </c>
      <c r="AG63" s="207">
        <f>SUMIFS('декабрь 2023'!$G$4:$G$1227,'декабрь 2023'!$D$4:$D$1227,$B63,'декабрь 2023'!$J$4:$J$1227,AG$1)</f>
        <v>0</v>
      </c>
      <c r="AH63" s="207">
        <f>SUMIFS('декабрь 2023'!$G$4:$G$1227,'декабрь 2023'!$D$4:$D$1227,$B63,'декабрь 2023'!$J$4:$J$1227,AH$1)</f>
        <v>0</v>
      </c>
      <c r="AI63" s="170">
        <f t="shared" si="1"/>
        <v>0</v>
      </c>
    </row>
    <row r="64" spans="2:35" ht="15.75" x14ac:dyDescent="0.25">
      <c r="B64" s="216" t="s">
        <v>649</v>
      </c>
      <c r="C64" s="213">
        <v>190</v>
      </c>
      <c r="D64" s="207">
        <f>SUMIFS('декабрь 2023'!$G$4:$G$1227,'декабрь 2023'!$D$4:$D$1227,$B64,'декабрь 2023'!$J$4:$J$1227,D$1)</f>
        <v>0</v>
      </c>
      <c r="E64" s="207">
        <f>SUMIFS('декабрь 2023'!$G$4:$G$1227,'декабрь 2023'!$D$4:$D$1227,$B64,'декабрь 2023'!$J$4:$J$1227,E$1)</f>
        <v>0</v>
      </c>
      <c r="F64" s="207">
        <f>SUMIFS('декабрь 2023'!$G$4:$G$1227,'декабрь 2023'!$D$4:$D$1227,$B64,'декабрь 2023'!$J$4:$J$1227,F$1)</f>
        <v>0</v>
      </c>
      <c r="G64" s="207">
        <f>SUMIFS('декабрь 2023'!$G$4:$G$1227,'декабрь 2023'!$D$4:$D$1227,$B64,'декабрь 2023'!$J$4:$J$1227,G$1)</f>
        <v>0</v>
      </c>
      <c r="H64" s="207">
        <f>SUMIFS('декабрь 2023'!$G$4:$G$1227,'декабрь 2023'!$D$4:$D$1227,$B64,'декабрь 2023'!$J$4:$J$1227,H$1)</f>
        <v>0</v>
      </c>
      <c r="I64" s="207">
        <f>SUMIFS('декабрь 2023'!$G$4:$G$1227,'декабрь 2023'!$D$4:$D$1227,$B64,'декабрь 2023'!$J$4:$J$1227,I$1)</f>
        <v>0</v>
      </c>
      <c r="J64" s="207">
        <f>SUMIFS('декабрь 2023'!$G$4:$G$1227,'декабрь 2023'!$D$4:$D$1227,$B64,'декабрь 2023'!$J$4:$J$1227,J$1)</f>
        <v>0</v>
      </c>
      <c r="K64" s="207">
        <f>SUMIFS('декабрь 2023'!$G$4:$G$1227,'декабрь 2023'!$D$4:$D$1227,$B64,'декабрь 2023'!$J$4:$J$1227,K$1)</f>
        <v>0</v>
      </c>
      <c r="L64" s="207">
        <f>SUMIFS('декабрь 2023'!$G$4:$G$1227,'декабрь 2023'!$D$4:$D$1227,$B64,'декабрь 2023'!$J$4:$J$1227,L$1)</f>
        <v>0</v>
      </c>
      <c r="M64" s="207">
        <f>SUMIFS('декабрь 2023'!$G$4:$G$1227,'декабрь 2023'!$D$4:$D$1227,$B64,'декабрь 2023'!$J$4:$J$1227,M$1)</f>
        <v>0</v>
      </c>
      <c r="N64" s="207">
        <f>SUMIFS('декабрь 2023'!$G$4:$G$1227,'декабрь 2023'!$D$4:$D$1227,$B64,'декабрь 2023'!$J$4:$J$1227,N$1)</f>
        <v>0</v>
      </c>
      <c r="O64" s="207">
        <f>SUMIFS('декабрь 2023'!$G$4:$G$1227,'декабрь 2023'!$D$4:$D$1227,$B64,'декабрь 2023'!$J$4:$J$1227,O$1)</f>
        <v>0</v>
      </c>
      <c r="P64" s="207">
        <f>SUMIFS('декабрь 2023'!$G$4:$G$1227,'декабрь 2023'!$D$4:$D$1227,$B64,'декабрь 2023'!$J$4:$J$1227,P$1)</f>
        <v>0</v>
      </c>
      <c r="Q64" s="207">
        <f>SUMIFS('декабрь 2023'!$G$4:$G$1227,'декабрь 2023'!$D$4:$D$1227,$B64,'декабрь 2023'!$J$4:$J$1227,Q$1)</f>
        <v>0</v>
      </c>
      <c r="R64" s="207">
        <f>SUMIFS('декабрь 2023'!$G$4:$G$1227,'декабрь 2023'!$D$4:$D$1227,$B64,'декабрь 2023'!$J$4:$J$1227,R$1)</f>
        <v>0</v>
      </c>
      <c r="S64" s="207">
        <f>SUMIFS('декабрь 2023'!$G$4:$G$1227,'декабрь 2023'!$D$4:$D$1227,$B64,'декабрь 2023'!$J$4:$J$1227,S$1)</f>
        <v>0</v>
      </c>
      <c r="T64" s="207">
        <f>SUMIFS('декабрь 2023'!$G$4:$G$1227,'декабрь 2023'!$D$4:$D$1227,$B64,'декабрь 2023'!$J$4:$J$1227,T$1)</f>
        <v>0</v>
      </c>
      <c r="U64" s="207">
        <f>SUMIFS('декабрь 2023'!$G$4:$G$1227,'декабрь 2023'!$D$4:$D$1227,$B64,'декабрь 2023'!$J$4:$J$1227,U$1)</f>
        <v>0</v>
      </c>
      <c r="V64" s="207">
        <f>SUMIFS('декабрь 2023'!$G$4:$G$1227,'декабрь 2023'!$D$4:$D$1227,$B64,'декабрь 2023'!$J$4:$J$1227,V$1)</f>
        <v>0</v>
      </c>
      <c r="W64" s="207">
        <f>SUMIFS('декабрь 2023'!$G$4:$G$1227,'декабрь 2023'!$D$4:$D$1227,$B64,'декабрь 2023'!$J$4:$J$1227,W$1)</f>
        <v>0</v>
      </c>
      <c r="X64" s="207">
        <f>SUMIFS('декабрь 2023'!$G$4:$G$1227,'декабрь 2023'!$D$4:$D$1227,$B64,'декабрь 2023'!$J$4:$J$1227,X$1)</f>
        <v>0</v>
      </c>
      <c r="Y64" s="207">
        <f>SUMIFS('декабрь 2023'!$G$4:$G$1227,'декабрь 2023'!$D$4:$D$1227,$B64,'декабрь 2023'!$J$4:$J$1227,Y$1)</f>
        <v>0</v>
      </c>
      <c r="Z64" s="207">
        <f>SUMIFS('декабрь 2023'!$G$4:$G$1227,'декабрь 2023'!$D$4:$D$1227,$B64,'декабрь 2023'!$J$4:$J$1227,Z$1)</f>
        <v>0</v>
      </c>
      <c r="AA64" s="207">
        <f>SUMIFS('декабрь 2023'!$G$4:$G$1227,'декабрь 2023'!$D$4:$D$1227,$B64,'декабрь 2023'!$J$4:$J$1227,AA$1)</f>
        <v>0</v>
      </c>
      <c r="AB64" s="207">
        <f>SUMIFS('декабрь 2023'!$G$4:$G$1227,'декабрь 2023'!$D$4:$D$1227,$B64,'декабрь 2023'!$J$4:$J$1227,AB$1)</f>
        <v>0</v>
      </c>
      <c r="AC64" s="207">
        <f>SUMIFS('декабрь 2023'!$G$4:$G$1227,'декабрь 2023'!$D$4:$D$1227,$B64,'декабрь 2023'!$J$4:$J$1227,AC$1)</f>
        <v>0</v>
      </c>
      <c r="AD64" s="207">
        <f>SUMIFS('декабрь 2023'!$G$4:$G$1227,'декабрь 2023'!$D$4:$D$1227,$B64,'декабрь 2023'!$J$4:$J$1227,AD$1)</f>
        <v>0</v>
      </c>
      <c r="AE64" s="207">
        <f>SUMIFS('декабрь 2023'!$G$4:$G$1227,'декабрь 2023'!$D$4:$D$1227,$B64,'декабрь 2023'!$J$4:$J$1227,AE$1)</f>
        <v>0</v>
      </c>
      <c r="AF64" s="207">
        <f>SUMIFS('декабрь 2023'!$G$4:$G$1227,'декабрь 2023'!$D$4:$D$1227,$B64,'декабрь 2023'!$J$4:$J$1227,AF$1)</f>
        <v>0</v>
      </c>
      <c r="AG64" s="207">
        <f>SUMIFS('декабрь 2023'!$G$4:$G$1227,'декабрь 2023'!$D$4:$D$1227,$B64,'декабрь 2023'!$J$4:$J$1227,AG$1)</f>
        <v>0</v>
      </c>
      <c r="AH64" s="207">
        <f>SUMIFS('декабрь 2023'!$G$4:$G$1227,'декабрь 2023'!$D$4:$D$1227,$B64,'декабрь 2023'!$J$4:$J$1227,AH$1)</f>
        <v>0</v>
      </c>
      <c r="AI64" s="170">
        <f t="shared" si="1"/>
        <v>0</v>
      </c>
    </row>
    <row r="65" spans="2:35" ht="15" customHeight="1" x14ac:dyDescent="0.25">
      <c r="B65" s="216" t="s">
        <v>1449</v>
      </c>
      <c r="C65" s="213">
        <v>190</v>
      </c>
      <c r="D65" s="207">
        <f>SUMIFS('декабрь 2023'!$G$4:$G$1227,'декабрь 2023'!$D$4:$D$1227,$B65,'декабрь 2023'!$J$4:$J$1227,D$1)</f>
        <v>0</v>
      </c>
      <c r="E65" s="207">
        <f>SUMIFS('декабрь 2023'!$G$4:$G$1227,'декабрь 2023'!$D$4:$D$1227,$B65,'декабрь 2023'!$J$4:$J$1227,E$1)</f>
        <v>0</v>
      </c>
      <c r="F65" s="207">
        <f>SUMIFS('декабрь 2023'!$G$4:$G$1227,'декабрь 2023'!$D$4:$D$1227,$B65,'декабрь 2023'!$J$4:$J$1227,F$1)</f>
        <v>0</v>
      </c>
      <c r="G65" s="207">
        <f>SUMIFS('декабрь 2023'!$G$4:$G$1227,'декабрь 2023'!$D$4:$D$1227,$B65,'декабрь 2023'!$J$4:$J$1227,G$1)</f>
        <v>0</v>
      </c>
      <c r="H65" s="207">
        <f>SUMIFS('декабрь 2023'!$G$4:$G$1227,'декабрь 2023'!$D$4:$D$1227,$B65,'декабрь 2023'!$J$4:$J$1227,H$1)</f>
        <v>0</v>
      </c>
      <c r="I65" s="207">
        <f>SUMIFS('декабрь 2023'!$G$4:$G$1227,'декабрь 2023'!$D$4:$D$1227,$B65,'декабрь 2023'!$J$4:$J$1227,I$1)</f>
        <v>0</v>
      </c>
      <c r="J65" s="207">
        <f>SUMIFS('декабрь 2023'!$G$4:$G$1227,'декабрь 2023'!$D$4:$D$1227,$B65,'декабрь 2023'!$J$4:$J$1227,J$1)</f>
        <v>0</v>
      </c>
      <c r="K65" s="207">
        <f>SUMIFS('декабрь 2023'!$G$4:$G$1227,'декабрь 2023'!$D$4:$D$1227,$B65,'декабрь 2023'!$J$4:$J$1227,K$1)</f>
        <v>0</v>
      </c>
      <c r="L65" s="207">
        <f>SUMIFS('декабрь 2023'!$G$4:$G$1227,'декабрь 2023'!$D$4:$D$1227,$B65,'декабрь 2023'!$J$4:$J$1227,L$1)</f>
        <v>0</v>
      </c>
      <c r="M65" s="207">
        <f>SUMIFS('декабрь 2023'!$G$4:$G$1227,'декабрь 2023'!$D$4:$D$1227,$B65,'декабрь 2023'!$J$4:$J$1227,M$1)</f>
        <v>0</v>
      </c>
      <c r="N65" s="207">
        <f>SUMIFS('декабрь 2023'!$G$4:$G$1227,'декабрь 2023'!$D$4:$D$1227,$B65,'декабрь 2023'!$J$4:$J$1227,N$1)</f>
        <v>0</v>
      </c>
      <c r="O65" s="207">
        <f>SUMIFS('декабрь 2023'!$G$4:$G$1227,'декабрь 2023'!$D$4:$D$1227,$B65,'декабрь 2023'!$J$4:$J$1227,O$1)</f>
        <v>0</v>
      </c>
      <c r="P65" s="207">
        <f>SUMIFS('декабрь 2023'!$G$4:$G$1227,'декабрь 2023'!$D$4:$D$1227,$B65,'декабрь 2023'!$J$4:$J$1227,P$1)</f>
        <v>0</v>
      </c>
      <c r="Q65" s="207">
        <f>SUMIFS('декабрь 2023'!$G$4:$G$1227,'декабрь 2023'!$D$4:$D$1227,$B65,'декабрь 2023'!$J$4:$J$1227,Q$1)</f>
        <v>0</v>
      </c>
      <c r="R65" s="207">
        <f>SUMIFS('декабрь 2023'!$G$4:$G$1227,'декабрь 2023'!$D$4:$D$1227,$B65,'декабрь 2023'!$J$4:$J$1227,R$1)</f>
        <v>0</v>
      </c>
      <c r="S65" s="207">
        <f>SUMIFS('декабрь 2023'!$G$4:$G$1227,'декабрь 2023'!$D$4:$D$1227,$B65,'декабрь 2023'!$J$4:$J$1227,S$1)</f>
        <v>0</v>
      </c>
      <c r="T65" s="207">
        <f>SUMIFS('декабрь 2023'!$G$4:$G$1227,'декабрь 2023'!$D$4:$D$1227,$B65,'декабрь 2023'!$J$4:$J$1227,T$1)</f>
        <v>0</v>
      </c>
      <c r="U65" s="207">
        <f>SUMIFS('декабрь 2023'!$G$4:$G$1227,'декабрь 2023'!$D$4:$D$1227,$B65,'декабрь 2023'!$J$4:$J$1227,U$1)</f>
        <v>0</v>
      </c>
      <c r="V65" s="207">
        <f>SUMIFS('декабрь 2023'!$G$4:$G$1227,'декабрь 2023'!$D$4:$D$1227,$B65,'декабрь 2023'!$J$4:$J$1227,V$1)</f>
        <v>0</v>
      </c>
      <c r="W65" s="207">
        <f>SUMIFS('декабрь 2023'!$G$4:$G$1227,'декабрь 2023'!$D$4:$D$1227,$B65,'декабрь 2023'!$J$4:$J$1227,W$1)</f>
        <v>0</v>
      </c>
      <c r="X65" s="207">
        <f>SUMIFS('декабрь 2023'!$G$4:$G$1227,'декабрь 2023'!$D$4:$D$1227,$B65,'декабрь 2023'!$J$4:$J$1227,X$1)</f>
        <v>0</v>
      </c>
      <c r="Y65" s="207">
        <f>SUMIFS('декабрь 2023'!$G$4:$G$1227,'декабрь 2023'!$D$4:$D$1227,$B65,'декабрь 2023'!$J$4:$J$1227,Y$1)</f>
        <v>0</v>
      </c>
      <c r="Z65" s="207">
        <f>SUMIFS('декабрь 2023'!$G$4:$G$1227,'декабрь 2023'!$D$4:$D$1227,$B65,'декабрь 2023'!$J$4:$J$1227,Z$1)</f>
        <v>0</v>
      </c>
      <c r="AA65" s="207">
        <f>SUMIFS('декабрь 2023'!$G$4:$G$1227,'декабрь 2023'!$D$4:$D$1227,$B65,'декабрь 2023'!$J$4:$J$1227,AA$1)</f>
        <v>0</v>
      </c>
      <c r="AB65" s="207">
        <f>SUMIFS('декабрь 2023'!$G$4:$G$1227,'декабрь 2023'!$D$4:$D$1227,$B65,'декабрь 2023'!$J$4:$J$1227,AB$1)</f>
        <v>0</v>
      </c>
      <c r="AC65" s="207">
        <f>SUMIFS('декабрь 2023'!$G$4:$G$1227,'декабрь 2023'!$D$4:$D$1227,$B65,'декабрь 2023'!$J$4:$J$1227,AC$1)</f>
        <v>0</v>
      </c>
      <c r="AD65" s="207">
        <f>SUMIFS('декабрь 2023'!$G$4:$G$1227,'декабрь 2023'!$D$4:$D$1227,$B65,'декабрь 2023'!$J$4:$J$1227,AD$1)</f>
        <v>0</v>
      </c>
      <c r="AE65" s="207">
        <f>SUMIFS('декабрь 2023'!$G$4:$G$1227,'декабрь 2023'!$D$4:$D$1227,$B65,'декабрь 2023'!$J$4:$J$1227,AE$1)</f>
        <v>0</v>
      </c>
      <c r="AF65" s="207">
        <f>SUMIFS('декабрь 2023'!$G$4:$G$1227,'декабрь 2023'!$D$4:$D$1227,$B65,'декабрь 2023'!$J$4:$J$1227,AF$1)</f>
        <v>0</v>
      </c>
      <c r="AG65" s="207">
        <f>SUMIFS('декабрь 2023'!$G$4:$G$1227,'декабрь 2023'!$D$4:$D$1227,$B65,'декабрь 2023'!$J$4:$J$1227,AG$1)</f>
        <v>0</v>
      </c>
      <c r="AH65" s="207">
        <f>SUMIFS('декабрь 2023'!$G$4:$G$1227,'декабрь 2023'!$D$4:$D$1227,$B65,'декабрь 2023'!$J$4:$J$1227,AH$1)</f>
        <v>0</v>
      </c>
      <c r="AI65" s="170">
        <f t="shared" si="1"/>
        <v>0</v>
      </c>
    </row>
    <row r="66" spans="2:35" ht="15" customHeight="1" x14ac:dyDescent="0.25">
      <c r="B66" s="216" t="s">
        <v>702</v>
      </c>
      <c r="C66" s="213">
        <v>900</v>
      </c>
      <c r="D66" s="207">
        <f>SUMIFS('декабрь 2023'!$G$4:$G$1227,'декабрь 2023'!$D$4:$D$1227,$B66,'декабрь 2023'!$J$4:$J$1227,D$1)</f>
        <v>0</v>
      </c>
      <c r="E66" s="207">
        <f>SUMIFS('декабрь 2023'!$G$4:$G$1227,'декабрь 2023'!$D$4:$D$1227,$B66,'декабрь 2023'!$J$4:$J$1227,E$1)</f>
        <v>0</v>
      </c>
      <c r="F66" s="207">
        <f>SUMIFS('декабрь 2023'!$G$4:$G$1227,'декабрь 2023'!$D$4:$D$1227,$B66,'декабрь 2023'!$J$4:$J$1227,F$1)</f>
        <v>0</v>
      </c>
      <c r="G66" s="207">
        <f>SUMIFS('декабрь 2023'!$G$4:$G$1227,'декабрь 2023'!$D$4:$D$1227,$B66,'декабрь 2023'!$J$4:$J$1227,G$1)</f>
        <v>0</v>
      </c>
      <c r="H66" s="207">
        <f>SUMIFS('декабрь 2023'!$G$4:$G$1227,'декабрь 2023'!$D$4:$D$1227,$B66,'декабрь 2023'!$J$4:$J$1227,H$1)</f>
        <v>0</v>
      </c>
      <c r="I66" s="207">
        <f>SUMIFS('декабрь 2023'!$G$4:$G$1227,'декабрь 2023'!$D$4:$D$1227,$B66,'декабрь 2023'!$J$4:$J$1227,I$1)</f>
        <v>0</v>
      </c>
      <c r="J66" s="207">
        <f>SUMIFS('декабрь 2023'!$G$4:$G$1227,'декабрь 2023'!$D$4:$D$1227,$B66,'декабрь 2023'!$J$4:$J$1227,J$1)</f>
        <v>0</v>
      </c>
      <c r="K66" s="207">
        <f>SUMIFS('декабрь 2023'!$G$4:$G$1227,'декабрь 2023'!$D$4:$D$1227,$B66,'декабрь 2023'!$J$4:$J$1227,K$1)</f>
        <v>0</v>
      </c>
      <c r="L66" s="207">
        <f>SUMIFS('декабрь 2023'!$G$4:$G$1227,'декабрь 2023'!$D$4:$D$1227,$B66,'декабрь 2023'!$J$4:$J$1227,L$1)</f>
        <v>0</v>
      </c>
      <c r="M66" s="207">
        <f>SUMIFS('декабрь 2023'!$G$4:$G$1227,'декабрь 2023'!$D$4:$D$1227,$B66,'декабрь 2023'!$J$4:$J$1227,M$1)</f>
        <v>0</v>
      </c>
      <c r="N66" s="207">
        <f>SUMIFS('декабрь 2023'!$G$4:$G$1227,'декабрь 2023'!$D$4:$D$1227,$B66,'декабрь 2023'!$J$4:$J$1227,N$1)</f>
        <v>0</v>
      </c>
      <c r="O66" s="207">
        <f>SUMIFS('декабрь 2023'!$G$4:$G$1227,'декабрь 2023'!$D$4:$D$1227,$B66,'декабрь 2023'!$J$4:$J$1227,O$1)</f>
        <v>0</v>
      </c>
      <c r="P66" s="207">
        <f>SUMIFS('декабрь 2023'!$G$4:$G$1227,'декабрь 2023'!$D$4:$D$1227,$B66,'декабрь 2023'!$J$4:$J$1227,P$1)</f>
        <v>0</v>
      </c>
      <c r="Q66" s="207">
        <f>SUMIFS('декабрь 2023'!$G$4:$G$1227,'декабрь 2023'!$D$4:$D$1227,$B66,'декабрь 2023'!$J$4:$J$1227,Q$1)</f>
        <v>0</v>
      </c>
      <c r="R66" s="207">
        <f>SUMIFS('декабрь 2023'!$G$4:$G$1227,'декабрь 2023'!$D$4:$D$1227,$B66,'декабрь 2023'!$J$4:$J$1227,R$1)</f>
        <v>0</v>
      </c>
      <c r="S66" s="207">
        <f>SUMIFS('декабрь 2023'!$G$4:$G$1227,'декабрь 2023'!$D$4:$D$1227,$B66,'декабрь 2023'!$J$4:$J$1227,S$1)</f>
        <v>0</v>
      </c>
      <c r="T66" s="207">
        <f>SUMIFS('декабрь 2023'!$G$4:$G$1227,'декабрь 2023'!$D$4:$D$1227,$B66,'декабрь 2023'!$J$4:$J$1227,T$1)</f>
        <v>0</v>
      </c>
      <c r="U66" s="207">
        <f>SUMIFS('декабрь 2023'!$G$4:$G$1227,'декабрь 2023'!$D$4:$D$1227,$B66,'декабрь 2023'!$J$4:$J$1227,U$1)</f>
        <v>0</v>
      </c>
      <c r="V66" s="207">
        <f>SUMIFS('декабрь 2023'!$G$4:$G$1227,'декабрь 2023'!$D$4:$D$1227,$B66,'декабрь 2023'!$J$4:$J$1227,V$1)</f>
        <v>0</v>
      </c>
      <c r="W66" s="207">
        <f>SUMIFS('декабрь 2023'!$G$4:$G$1227,'декабрь 2023'!$D$4:$D$1227,$B66,'декабрь 2023'!$J$4:$J$1227,W$1)</f>
        <v>0</v>
      </c>
      <c r="X66" s="207">
        <f>SUMIFS('декабрь 2023'!$G$4:$G$1227,'декабрь 2023'!$D$4:$D$1227,$B66,'декабрь 2023'!$J$4:$J$1227,X$1)</f>
        <v>0</v>
      </c>
      <c r="Y66" s="207">
        <f>SUMIFS('декабрь 2023'!$G$4:$G$1227,'декабрь 2023'!$D$4:$D$1227,$B66,'декабрь 2023'!$J$4:$J$1227,Y$1)</f>
        <v>0</v>
      </c>
      <c r="Z66" s="207">
        <f>SUMIFS('декабрь 2023'!$G$4:$G$1227,'декабрь 2023'!$D$4:$D$1227,$B66,'декабрь 2023'!$J$4:$J$1227,Z$1)</f>
        <v>0</v>
      </c>
      <c r="AA66" s="207">
        <f>SUMIFS('декабрь 2023'!$G$4:$G$1227,'декабрь 2023'!$D$4:$D$1227,$B66,'декабрь 2023'!$J$4:$J$1227,AA$1)</f>
        <v>0</v>
      </c>
      <c r="AB66" s="207">
        <f>SUMIFS('декабрь 2023'!$G$4:$G$1227,'декабрь 2023'!$D$4:$D$1227,$B66,'декабрь 2023'!$J$4:$J$1227,AB$1)</f>
        <v>0</v>
      </c>
      <c r="AC66" s="207">
        <f>SUMIFS('декабрь 2023'!$G$4:$G$1227,'декабрь 2023'!$D$4:$D$1227,$B66,'декабрь 2023'!$J$4:$J$1227,AC$1)</f>
        <v>0</v>
      </c>
      <c r="AD66" s="207">
        <f>SUMIFS('декабрь 2023'!$G$4:$G$1227,'декабрь 2023'!$D$4:$D$1227,$B66,'декабрь 2023'!$J$4:$J$1227,AD$1)</f>
        <v>0</v>
      </c>
      <c r="AE66" s="207">
        <f>SUMIFS('декабрь 2023'!$G$4:$G$1227,'декабрь 2023'!$D$4:$D$1227,$B66,'декабрь 2023'!$J$4:$J$1227,AE$1)</f>
        <v>0</v>
      </c>
      <c r="AF66" s="207">
        <f>SUMIFS('декабрь 2023'!$G$4:$G$1227,'декабрь 2023'!$D$4:$D$1227,$B66,'декабрь 2023'!$J$4:$J$1227,AF$1)</f>
        <v>0</v>
      </c>
      <c r="AG66" s="207">
        <f>SUMIFS('декабрь 2023'!$G$4:$G$1227,'декабрь 2023'!$D$4:$D$1227,$B66,'декабрь 2023'!$J$4:$J$1227,AG$1)</f>
        <v>0</v>
      </c>
      <c r="AH66" s="207">
        <f>SUMIFS('декабрь 2023'!$G$4:$G$1227,'декабрь 2023'!$D$4:$D$1227,$B66,'декабрь 2023'!$J$4:$J$1227,AH$1)</f>
        <v>0</v>
      </c>
      <c r="AI66" s="170">
        <f t="shared" si="1"/>
        <v>0</v>
      </c>
    </row>
    <row r="67" spans="2:35" ht="15" customHeight="1" x14ac:dyDescent="0.25">
      <c r="B67" s="216" t="s">
        <v>282</v>
      </c>
      <c r="C67" s="213">
        <v>190</v>
      </c>
      <c r="D67" s="207">
        <f>SUMIFS('декабрь 2023'!$G$4:$G$1227,'декабрь 2023'!$D$4:$D$1227,$B67,'декабрь 2023'!$J$4:$J$1227,D$1)</f>
        <v>0</v>
      </c>
      <c r="E67" s="207">
        <f>SUMIFS('декабрь 2023'!$G$4:$G$1227,'декабрь 2023'!$D$4:$D$1227,$B67,'декабрь 2023'!$J$4:$J$1227,E$1)</f>
        <v>0</v>
      </c>
      <c r="F67" s="207">
        <f>SUMIFS('декабрь 2023'!$G$4:$G$1227,'декабрь 2023'!$D$4:$D$1227,$B67,'декабрь 2023'!$J$4:$J$1227,F$1)</f>
        <v>0</v>
      </c>
      <c r="G67" s="207">
        <f>SUMIFS('декабрь 2023'!$G$4:$G$1227,'декабрь 2023'!$D$4:$D$1227,$B67,'декабрь 2023'!$J$4:$J$1227,G$1)</f>
        <v>0</v>
      </c>
      <c r="H67" s="207">
        <f>SUMIFS('декабрь 2023'!$G$4:$G$1227,'декабрь 2023'!$D$4:$D$1227,$B67,'декабрь 2023'!$J$4:$J$1227,H$1)</f>
        <v>0</v>
      </c>
      <c r="I67" s="207">
        <f>SUMIFS('декабрь 2023'!$G$4:$G$1227,'декабрь 2023'!$D$4:$D$1227,$B67,'декабрь 2023'!$J$4:$J$1227,I$1)</f>
        <v>0</v>
      </c>
      <c r="J67" s="207">
        <f>SUMIFS('декабрь 2023'!$G$4:$G$1227,'декабрь 2023'!$D$4:$D$1227,$B67,'декабрь 2023'!$J$4:$J$1227,J$1)</f>
        <v>0</v>
      </c>
      <c r="K67" s="207">
        <f>SUMIFS('декабрь 2023'!$G$4:$G$1227,'декабрь 2023'!$D$4:$D$1227,$B67,'декабрь 2023'!$J$4:$J$1227,K$1)</f>
        <v>0</v>
      </c>
      <c r="L67" s="207">
        <f>SUMIFS('декабрь 2023'!$G$4:$G$1227,'декабрь 2023'!$D$4:$D$1227,$B67,'декабрь 2023'!$J$4:$J$1227,L$1)</f>
        <v>0</v>
      </c>
      <c r="M67" s="207">
        <f>SUMIFS('декабрь 2023'!$G$4:$G$1227,'декабрь 2023'!$D$4:$D$1227,$B67,'декабрь 2023'!$J$4:$J$1227,M$1)</f>
        <v>0</v>
      </c>
      <c r="N67" s="207">
        <f>SUMIFS('декабрь 2023'!$G$4:$G$1227,'декабрь 2023'!$D$4:$D$1227,$B67,'декабрь 2023'!$J$4:$J$1227,N$1)</f>
        <v>0</v>
      </c>
      <c r="O67" s="207">
        <f>SUMIFS('декабрь 2023'!$G$4:$G$1227,'декабрь 2023'!$D$4:$D$1227,$B67,'декабрь 2023'!$J$4:$J$1227,O$1)</f>
        <v>0</v>
      </c>
      <c r="P67" s="207">
        <f>SUMIFS('декабрь 2023'!$G$4:$G$1227,'декабрь 2023'!$D$4:$D$1227,$B67,'декабрь 2023'!$J$4:$J$1227,P$1)</f>
        <v>0</v>
      </c>
      <c r="Q67" s="207">
        <f>SUMIFS('декабрь 2023'!$G$4:$G$1227,'декабрь 2023'!$D$4:$D$1227,$B67,'декабрь 2023'!$J$4:$J$1227,Q$1)</f>
        <v>0</v>
      </c>
      <c r="R67" s="207">
        <f>SUMIFS('декабрь 2023'!$G$4:$G$1227,'декабрь 2023'!$D$4:$D$1227,$B67,'декабрь 2023'!$J$4:$J$1227,R$1)</f>
        <v>0</v>
      </c>
      <c r="S67" s="207">
        <f>SUMIFS('декабрь 2023'!$G$4:$G$1227,'декабрь 2023'!$D$4:$D$1227,$B67,'декабрь 2023'!$J$4:$J$1227,S$1)</f>
        <v>0</v>
      </c>
      <c r="T67" s="207">
        <f>SUMIFS('декабрь 2023'!$G$4:$G$1227,'декабрь 2023'!$D$4:$D$1227,$B67,'декабрь 2023'!$J$4:$J$1227,T$1)</f>
        <v>0</v>
      </c>
      <c r="U67" s="207">
        <f>SUMIFS('декабрь 2023'!$G$4:$G$1227,'декабрь 2023'!$D$4:$D$1227,$B67,'декабрь 2023'!$J$4:$J$1227,U$1)</f>
        <v>0</v>
      </c>
      <c r="V67" s="207">
        <f>SUMIFS('декабрь 2023'!$G$4:$G$1227,'декабрь 2023'!$D$4:$D$1227,$B67,'декабрь 2023'!$J$4:$J$1227,V$1)</f>
        <v>0</v>
      </c>
      <c r="W67" s="207">
        <f>SUMIFS('декабрь 2023'!$G$4:$G$1227,'декабрь 2023'!$D$4:$D$1227,$B67,'декабрь 2023'!$J$4:$J$1227,W$1)</f>
        <v>0</v>
      </c>
      <c r="X67" s="207">
        <f>SUMIFS('декабрь 2023'!$G$4:$G$1227,'декабрь 2023'!$D$4:$D$1227,$B67,'декабрь 2023'!$J$4:$J$1227,X$1)</f>
        <v>0</v>
      </c>
      <c r="Y67" s="207">
        <f>SUMIFS('декабрь 2023'!$G$4:$G$1227,'декабрь 2023'!$D$4:$D$1227,$B67,'декабрь 2023'!$J$4:$J$1227,Y$1)</f>
        <v>0</v>
      </c>
      <c r="Z67" s="207">
        <f>SUMIFS('декабрь 2023'!$G$4:$G$1227,'декабрь 2023'!$D$4:$D$1227,$B67,'декабрь 2023'!$J$4:$J$1227,Z$1)</f>
        <v>0</v>
      </c>
      <c r="AA67" s="207">
        <f>SUMIFS('декабрь 2023'!$G$4:$G$1227,'декабрь 2023'!$D$4:$D$1227,$B67,'декабрь 2023'!$J$4:$J$1227,AA$1)</f>
        <v>0</v>
      </c>
      <c r="AB67" s="207">
        <f>SUMIFS('декабрь 2023'!$G$4:$G$1227,'декабрь 2023'!$D$4:$D$1227,$B67,'декабрь 2023'!$J$4:$J$1227,AB$1)</f>
        <v>0</v>
      </c>
      <c r="AC67" s="207">
        <f>SUMIFS('декабрь 2023'!$G$4:$G$1227,'декабрь 2023'!$D$4:$D$1227,$B67,'декабрь 2023'!$J$4:$J$1227,AC$1)</f>
        <v>0</v>
      </c>
      <c r="AD67" s="207">
        <f>SUMIFS('декабрь 2023'!$G$4:$G$1227,'декабрь 2023'!$D$4:$D$1227,$B67,'декабрь 2023'!$J$4:$J$1227,AD$1)</f>
        <v>0</v>
      </c>
      <c r="AE67" s="207">
        <f>SUMIFS('декабрь 2023'!$G$4:$G$1227,'декабрь 2023'!$D$4:$D$1227,$B67,'декабрь 2023'!$J$4:$J$1227,AE$1)</f>
        <v>0</v>
      </c>
      <c r="AF67" s="207">
        <f>SUMIFS('декабрь 2023'!$G$4:$G$1227,'декабрь 2023'!$D$4:$D$1227,$B67,'декабрь 2023'!$J$4:$J$1227,AF$1)</f>
        <v>0</v>
      </c>
      <c r="AG67" s="207">
        <f>SUMIFS('декабрь 2023'!$G$4:$G$1227,'декабрь 2023'!$D$4:$D$1227,$B67,'декабрь 2023'!$J$4:$J$1227,AG$1)</f>
        <v>0</v>
      </c>
      <c r="AH67" s="207">
        <f>SUMIFS('декабрь 2023'!$G$4:$G$1227,'декабрь 2023'!$D$4:$D$1227,$B67,'декабрь 2023'!$J$4:$J$1227,AH$1)</f>
        <v>0</v>
      </c>
      <c r="AI67" s="170">
        <f t="shared" ref="AI67:AI130" si="2">SUM(D67:AH67)</f>
        <v>0</v>
      </c>
    </row>
    <row r="68" spans="2:35" ht="15" customHeight="1" x14ac:dyDescent="0.25">
      <c r="B68" s="216" t="s">
        <v>890</v>
      </c>
      <c r="C68" s="213">
        <v>190</v>
      </c>
      <c r="D68" s="207">
        <f>SUMIFS('декабрь 2023'!$G$4:$G$1227,'декабрь 2023'!$D$4:$D$1227,$B68,'декабрь 2023'!$J$4:$J$1227,D$1)</f>
        <v>0</v>
      </c>
      <c r="E68" s="207">
        <f>SUMIFS('декабрь 2023'!$G$4:$G$1227,'декабрь 2023'!$D$4:$D$1227,$B68,'декабрь 2023'!$J$4:$J$1227,E$1)</f>
        <v>0</v>
      </c>
      <c r="F68" s="207">
        <f>SUMIFS('декабрь 2023'!$G$4:$G$1227,'декабрь 2023'!$D$4:$D$1227,$B68,'декабрь 2023'!$J$4:$J$1227,F$1)</f>
        <v>0</v>
      </c>
      <c r="G68" s="207">
        <f>SUMIFS('декабрь 2023'!$G$4:$G$1227,'декабрь 2023'!$D$4:$D$1227,$B68,'декабрь 2023'!$J$4:$J$1227,G$1)</f>
        <v>0</v>
      </c>
      <c r="H68" s="207">
        <f>SUMIFS('декабрь 2023'!$G$4:$G$1227,'декабрь 2023'!$D$4:$D$1227,$B68,'декабрь 2023'!$J$4:$J$1227,H$1)</f>
        <v>0</v>
      </c>
      <c r="I68" s="207">
        <f>SUMIFS('декабрь 2023'!$G$4:$G$1227,'декабрь 2023'!$D$4:$D$1227,$B68,'декабрь 2023'!$J$4:$J$1227,I$1)</f>
        <v>0</v>
      </c>
      <c r="J68" s="207">
        <f>SUMIFS('декабрь 2023'!$G$4:$G$1227,'декабрь 2023'!$D$4:$D$1227,$B68,'декабрь 2023'!$J$4:$J$1227,J$1)</f>
        <v>0</v>
      </c>
      <c r="K68" s="207">
        <f>SUMIFS('декабрь 2023'!$G$4:$G$1227,'декабрь 2023'!$D$4:$D$1227,$B68,'декабрь 2023'!$J$4:$J$1227,K$1)</f>
        <v>0</v>
      </c>
      <c r="L68" s="207">
        <f>SUMIFS('декабрь 2023'!$G$4:$G$1227,'декабрь 2023'!$D$4:$D$1227,$B68,'декабрь 2023'!$J$4:$J$1227,L$1)</f>
        <v>0</v>
      </c>
      <c r="M68" s="207">
        <f>SUMIFS('декабрь 2023'!$G$4:$G$1227,'декабрь 2023'!$D$4:$D$1227,$B68,'декабрь 2023'!$J$4:$J$1227,M$1)</f>
        <v>0</v>
      </c>
      <c r="N68" s="207">
        <f>SUMIFS('декабрь 2023'!$G$4:$G$1227,'декабрь 2023'!$D$4:$D$1227,$B68,'декабрь 2023'!$J$4:$J$1227,N$1)</f>
        <v>0</v>
      </c>
      <c r="O68" s="207">
        <f>SUMIFS('декабрь 2023'!$G$4:$G$1227,'декабрь 2023'!$D$4:$D$1227,$B68,'декабрь 2023'!$J$4:$J$1227,O$1)</f>
        <v>0</v>
      </c>
      <c r="P68" s="207">
        <f>SUMIFS('декабрь 2023'!$G$4:$G$1227,'декабрь 2023'!$D$4:$D$1227,$B68,'декабрь 2023'!$J$4:$J$1227,P$1)</f>
        <v>0</v>
      </c>
      <c r="Q68" s="207">
        <f>SUMIFS('декабрь 2023'!$G$4:$G$1227,'декабрь 2023'!$D$4:$D$1227,$B68,'декабрь 2023'!$J$4:$J$1227,Q$1)</f>
        <v>0</v>
      </c>
      <c r="R68" s="207">
        <f>SUMIFS('декабрь 2023'!$G$4:$G$1227,'декабрь 2023'!$D$4:$D$1227,$B68,'декабрь 2023'!$J$4:$J$1227,R$1)</f>
        <v>0</v>
      </c>
      <c r="S68" s="207">
        <f>SUMIFS('декабрь 2023'!$G$4:$G$1227,'декабрь 2023'!$D$4:$D$1227,$B68,'декабрь 2023'!$J$4:$J$1227,S$1)</f>
        <v>0</v>
      </c>
      <c r="T68" s="207">
        <f>SUMIFS('декабрь 2023'!$G$4:$G$1227,'декабрь 2023'!$D$4:$D$1227,$B68,'декабрь 2023'!$J$4:$J$1227,T$1)</f>
        <v>0</v>
      </c>
      <c r="U68" s="207">
        <f>SUMIFS('декабрь 2023'!$G$4:$G$1227,'декабрь 2023'!$D$4:$D$1227,$B68,'декабрь 2023'!$J$4:$J$1227,U$1)</f>
        <v>0</v>
      </c>
      <c r="V68" s="207">
        <f>SUMIFS('декабрь 2023'!$G$4:$G$1227,'декабрь 2023'!$D$4:$D$1227,$B68,'декабрь 2023'!$J$4:$J$1227,V$1)</f>
        <v>0</v>
      </c>
      <c r="W68" s="207">
        <f>SUMIFS('декабрь 2023'!$G$4:$G$1227,'декабрь 2023'!$D$4:$D$1227,$B68,'декабрь 2023'!$J$4:$J$1227,W$1)</f>
        <v>0</v>
      </c>
      <c r="X68" s="207">
        <f>SUMIFS('декабрь 2023'!$G$4:$G$1227,'декабрь 2023'!$D$4:$D$1227,$B68,'декабрь 2023'!$J$4:$J$1227,X$1)</f>
        <v>0</v>
      </c>
      <c r="Y68" s="207">
        <f>SUMIFS('декабрь 2023'!$G$4:$G$1227,'декабрь 2023'!$D$4:$D$1227,$B68,'декабрь 2023'!$J$4:$J$1227,Y$1)</f>
        <v>0</v>
      </c>
      <c r="Z68" s="207">
        <f>SUMIFS('декабрь 2023'!$G$4:$G$1227,'декабрь 2023'!$D$4:$D$1227,$B68,'декабрь 2023'!$J$4:$J$1227,Z$1)</f>
        <v>0</v>
      </c>
      <c r="AA68" s="207">
        <f>SUMIFS('декабрь 2023'!$G$4:$G$1227,'декабрь 2023'!$D$4:$D$1227,$B68,'декабрь 2023'!$J$4:$J$1227,AA$1)</f>
        <v>0</v>
      </c>
      <c r="AB68" s="207">
        <f>SUMIFS('декабрь 2023'!$G$4:$G$1227,'декабрь 2023'!$D$4:$D$1227,$B68,'декабрь 2023'!$J$4:$J$1227,AB$1)</f>
        <v>0</v>
      </c>
      <c r="AC68" s="207">
        <f>SUMIFS('декабрь 2023'!$G$4:$G$1227,'декабрь 2023'!$D$4:$D$1227,$B68,'декабрь 2023'!$J$4:$J$1227,AC$1)</f>
        <v>0</v>
      </c>
      <c r="AD68" s="207">
        <f>SUMIFS('декабрь 2023'!$G$4:$G$1227,'декабрь 2023'!$D$4:$D$1227,$B68,'декабрь 2023'!$J$4:$J$1227,AD$1)</f>
        <v>0</v>
      </c>
      <c r="AE68" s="207">
        <f>SUMIFS('декабрь 2023'!$G$4:$G$1227,'декабрь 2023'!$D$4:$D$1227,$B68,'декабрь 2023'!$J$4:$J$1227,AE$1)</f>
        <v>0</v>
      </c>
      <c r="AF68" s="207">
        <f>SUMIFS('декабрь 2023'!$G$4:$G$1227,'декабрь 2023'!$D$4:$D$1227,$B68,'декабрь 2023'!$J$4:$J$1227,AF$1)</f>
        <v>0</v>
      </c>
      <c r="AG68" s="207">
        <f>SUMIFS('декабрь 2023'!$G$4:$G$1227,'декабрь 2023'!$D$4:$D$1227,$B68,'декабрь 2023'!$J$4:$J$1227,AG$1)</f>
        <v>0</v>
      </c>
      <c r="AH68" s="207">
        <f>SUMIFS('декабрь 2023'!$G$4:$G$1227,'декабрь 2023'!$D$4:$D$1227,$B68,'декабрь 2023'!$J$4:$J$1227,AH$1)</f>
        <v>0</v>
      </c>
      <c r="AI68" s="170"/>
    </row>
    <row r="69" spans="2:35" ht="15" customHeight="1" x14ac:dyDescent="0.25">
      <c r="B69" s="216" t="s">
        <v>1498</v>
      </c>
      <c r="C69" s="213">
        <v>190</v>
      </c>
      <c r="D69" s="207">
        <f>SUMIFS('декабрь 2023'!$G$4:$G$1227,'декабрь 2023'!$D$4:$D$1227,$B69,'декабрь 2023'!$J$4:$J$1227,D$1)</f>
        <v>0</v>
      </c>
      <c r="E69" s="207">
        <f>SUMIFS('декабрь 2023'!$G$4:$G$1227,'декабрь 2023'!$D$4:$D$1227,$B69,'декабрь 2023'!$J$4:$J$1227,E$1)</f>
        <v>0</v>
      </c>
      <c r="F69" s="207">
        <f>SUMIFS('декабрь 2023'!$G$4:$G$1227,'декабрь 2023'!$D$4:$D$1227,$B69,'декабрь 2023'!$J$4:$J$1227,F$1)</f>
        <v>0</v>
      </c>
      <c r="G69" s="207">
        <f>SUMIFS('декабрь 2023'!$G$4:$G$1227,'декабрь 2023'!$D$4:$D$1227,$B69,'декабрь 2023'!$J$4:$J$1227,G$1)</f>
        <v>0</v>
      </c>
      <c r="H69" s="207">
        <f>SUMIFS('декабрь 2023'!$G$4:$G$1227,'декабрь 2023'!$D$4:$D$1227,$B69,'декабрь 2023'!$J$4:$J$1227,H$1)</f>
        <v>0</v>
      </c>
      <c r="I69" s="207">
        <f>SUMIFS('декабрь 2023'!$G$4:$G$1227,'декабрь 2023'!$D$4:$D$1227,$B69,'декабрь 2023'!$J$4:$J$1227,I$1)</f>
        <v>0</v>
      </c>
      <c r="J69" s="207">
        <f>SUMIFS('декабрь 2023'!$G$4:$G$1227,'декабрь 2023'!$D$4:$D$1227,$B69,'декабрь 2023'!$J$4:$J$1227,J$1)</f>
        <v>0</v>
      </c>
      <c r="K69" s="207">
        <f>SUMIFS('декабрь 2023'!$G$4:$G$1227,'декабрь 2023'!$D$4:$D$1227,$B69,'декабрь 2023'!$J$4:$J$1227,K$1)</f>
        <v>0</v>
      </c>
      <c r="L69" s="207">
        <f>SUMIFS('декабрь 2023'!$G$4:$G$1227,'декабрь 2023'!$D$4:$D$1227,$B69,'декабрь 2023'!$J$4:$J$1227,L$1)</f>
        <v>0</v>
      </c>
      <c r="M69" s="207">
        <f>SUMIFS('декабрь 2023'!$G$4:$G$1227,'декабрь 2023'!$D$4:$D$1227,$B69,'декабрь 2023'!$J$4:$J$1227,M$1)</f>
        <v>0</v>
      </c>
      <c r="N69" s="207">
        <f>SUMIFS('декабрь 2023'!$G$4:$G$1227,'декабрь 2023'!$D$4:$D$1227,$B69,'декабрь 2023'!$J$4:$J$1227,N$1)</f>
        <v>0</v>
      </c>
      <c r="O69" s="207">
        <f>SUMIFS('декабрь 2023'!$G$4:$G$1227,'декабрь 2023'!$D$4:$D$1227,$B69,'декабрь 2023'!$J$4:$J$1227,O$1)</f>
        <v>0</v>
      </c>
      <c r="P69" s="207">
        <f>SUMIFS('декабрь 2023'!$G$4:$G$1227,'декабрь 2023'!$D$4:$D$1227,$B69,'декабрь 2023'!$J$4:$J$1227,P$1)</f>
        <v>0</v>
      </c>
      <c r="Q69" s="207">
        <f>SUMIFS('декабрь 2023'!$G$4:$G$1227,'декабрь 2023'!$D$4:$D$1227,$B69,'декабрь 2023'!$J$4:$J$1227,Q$1)</f>
        <v>0</v>
      </c>
      <c r="R69" s="207">
        <f>SUMIFS('декабрь 2023'!$G$4:$G$1227,'декабрь 2023'!$D$4:$D$1227,$B69,'декабрь 2023'!$J$4:$J$1227,R$1)</f>
        <v>0</v>
      </c>
      <c r="S69" s="207">
        <f>SUMIFS('декабрь 2023'!$G$4:$G$1227,'декабрь 2023'!$D$4:$D$1227,$B69,'декабрь 2023'!$J$4:$J$1227,S$1)</f>
        <v>0</v>
      </c>
      <c r="T69" s="207">
        <f>SUMIFS('декабрь 2023'!$G$4:$G$1227,'декабрь 2023'!$D$4:$D$1227,$B69,'декабрь 2023'!$J$4:$J$1227,T$1)</f>
        <v>0</v>
      </c>
      <c r="U69" s="207">
        <f>SUMIFS('декабрь 2023'!$G$4:$G$1227,'декабрь 2023'!$D$4:$D$1227,$B69,'декабрь 2023'!$J$4:$J$1227,U$1)</f>
        <v>0</v>
      </c>
      <c r="V69" s="207">
        <f>SUMIFS('декабрь 2023'!$G$4:$G$1227,'декабрь 2023'!$D$4:$D$1227,$B69,'декабрь 2023'!$J$4:$J$1227,V$1)</f>
        <v>0</v>
      </c>
      <c r="W69" s="207">
        <f>SUMIFS('декабрь 2023'!$G$4:$G$1227,'декабрь 2023'!$D$4:$D$1227,$B69,'декабрь 2023'!$J$4:$J$1227,W$1)</f>
        <v>0</v>
      </c>
      <c r="X69" s="207">
        <f>SUMIFS('декабрь 2023'!$G$4:$G$1227,'декабрь 2023'!$D$4:$D$1227,$B69,'декабрь 2023'!$J$4:$J$1227,X$1)</f>
        <v>0</v>
      </c>
      <c r="Y69" s="207">
        <f>SUMIFS('декабрь 2023'!$G$4:$G$1227,'декабрь 2023'!$D$4:$D$1227,$B69,'декабрь 2023'!$J$4:$J$1227,Y$1)</f>
        <v>0</v>
      </c>
      <c r="Z69" s="207">
        <f>SUMIFS('декабрь 2023'!$G$4:$G$1227,'декабрь 2023'!$D$4:$D$1227,$B69,'декабрь 2023'!$J$4:$J$1227,Z$1)</f>
        <v>0</v>
      </c>
      <c r="AA69" s="207">
        <f>SUMIFS('декабрь 2023'!$G$4:$G$1227,'декабрь 2023'!$D$4:$D$1227,$B69,'декабрь 2023'!$J$4:$J$1227,AA$1)</f>
        <v>0</v>
      </c>
      <c r="AB69" s="207">
        <f>SUMIFS('декабрь 2023'!$G$4:$G$1227,'декабрь 2023'!$D$4:$D$1227,$B69,'декабрь 2023'!$J$4:$J$1227,AB$1)</f>
        <v>0</v>
      </c>
      <c r="AC69" s="207">
        <f>SUMIFS('декабрь 2023'!$G$4:$G$1227,'декабрь 2023'!$D$4:$D$1227,$B69,'декабрь 2023'!$J$4:$J$1227,AC$1)</f>
        <v>0</v>
      </c>
      <c r="AD69" s="207">
        <f>SUMIFS('декабрь 2023'!$G$4:$G$1227,'декабрь 2023'!$D$4:$D$1227,$B69,'декабрь 2023'!$J$4:$J$1227,AD$1)</f>
        <v>0</v>
      </c>
      <c r="AE69" s="207">
        <f>SUMIFS('декабрь 2023'!$G$4:$G$1227,'декабрь 2023'!$D$4:$D$1227,$B69,'декабрь 2023'!$J$4:$J$1227,AE$1)</f>
        <v>0</v>
      </c>
      <c r="AF69" s="207">
        <f>SUMIFS('декабрь 2023'!$G$4:$G$1227,'декабрь 2023'!$D$4:$D$1227,$B69,'декабрь 2023'!$J$4:$J$1227,AF$1)</f>
        <v>0</v>
      </c>
      <c r="AG69" s="207">
        <f>SUMIFS('декабрь 2023'!$G$4:$G$1227,'декабрь 2023'!$D$4:$D$1227,$B69,'декабрь 2023'!$J$4:$J$1227,AG$1)</f>
        <v>0</v>
      </c>
      <c r="AH69" s="207">
        <f>SUMIFS('декабрь 2023'!$G$4:$G$1227,'декабрь 2023'!$D$4:$D$1227,$B69,'декабрь 2023'!$J$4:$J$1227,AH$1)</f>
        <v>0</v>
      </c>
      <c r="AI69" s="170">
        <f t="shared" si="2"/>
        <v>0</v>
      </c>
    </row>
    <row r="70" spans="2:35" ht="15" customHeight="1" x14ac:dyDescent="0.25">
      <c r="B70" s="216" t="s">
        <v>1721</v>
      </c>
      <c r="C70" s="213">
        <v>180</v>
      </c>
      <c r="D70" s="207">
        <f>SUMIFS('декабрь 2023'!$G$4:$G$1227,'декабрь 2023'!$D$4:$D$1227,$B70,'декабрь 2023'!$J$4:$J$1227,D$1)</f>
        <v>0</v>
      </c>
      <c r="E70" s="207">
        <f>SUMIFS('декабрь 2023'!$G$4:$G$1227,'декабрь 2023'!$D$4:$D$1227,$B70,'декабрь 2023'!$J$4:$J$1227,E$1)</f>
        <v>0</v>
      </c>
      <c r="F70" s="207">
        <f>SUMIFS('декабрь 2023'!$G$4:$G$1227,'декабрь 2023'!$D$4:$D$1227,$B70,'декабрь 2023'!$J$4:$J$1227,F$1)</f>
        <v>0</v>
      </c>
      <c r="G70" s="207">
        <f>SUMIFS('декабрь 2023'!$G$4:$G$1227,'декабрь 2023'!$D$4:$D$1227,$B70,'декабрь 2023'!$J$4:$J$1227,G$1)</f>
        <v>0</v>
      </c>
      <c r="H70" s="207">
        <f>SUMIFS('декабрь 2023'!$G$4:$G$1227,'декабрь 2023'!$D$4:$D$1227,$B70,'декабрь 2023'!$J$4:$J$1227,H$1)</f>
        <v>0</v>
      </c>
      <c r="I70" s="207">
        <f>SUMIFS('декабрь 2023'!$G$4:$G$1227,'декабрь 2023'!$D$4:$D$1227,$B70,'декабрь 2023'!$J$4:$J$1227,I$1)</f>
        <v>0</v>
      </c>
      <c r="J70" s="207">
        <f>SUMIFS('декабрь 2023'!$G$4:$G$1227,'декабрь 2023'!$D$4:$D$1227,$B70,'декабрь 2023'!$J$4:$J$1227,J$1)</f>
        <v>0</v>
      </c>
      <c r="K70" s="207">
        <f>SUMIFS('декабрь 2023'!$G$4:$G$1227,'декабрь 2023'!$D$4:$D$1227,$B70,'декабрь 2023'!$J$4:$J$1227,K$1)</f>
        <v>0</v>
      </c>
      <c r="L70" s="207">
        <f>SUMIFS('декабрь 2023'!$G$4:$G$1227,'декабрь 2023'!$D$4:$D$1227,$B70,'декабрь 2023'!$J$4:$J$1227,L$1)</f>
        <v>0</v>
      </c>
      <c r="M70" s="207">
        <f>SUMIFS('декабрь 2023'!$G$4:$G$1227,'декабрь 2023'!$D$4:$D$1227,$B70,'декабрь 2023'!$J$4:$J$1227,M$1)</f>
        <v>0</v>
      </c>
      <c r="N70" s="207">
        <f>SUMIFS('декабрь 2023'!$G$4:$G$1227,'декабрь 2023'!$D$4:$D$1227,$B70,'декабрь 2023'!$J$4:$J$1227,N$1)</f>
        <v>0</v>
      </c>
      <c r="O70" s="207">
        <f>SUMIFS('декабрь 2023'!$G$4:$G$1227,'декабрь 2023'!$D$4:$D$1227,$B70,'декабрь 2023'!$J$4:$J$1227,O$1)</f>
        <v>0</v>
      </c>
      <c r="P70" s="207">
        <f>SUMIFS('декабрь 2023'!$G$4:$G$1227,'декабрь 2023'!$D$4:$D$1227,$B70,'декабрь 2023'!$J$4:$J$1227,P$1)</f>
        <v>0</v>
      </c>
      <c r="Q70" s="207">
        <f>SUMIFS('декабрь 2023'!$G$4:$G$1227,'декабрь 2023'!$D$4:$D$1227,$B70,'декабрь 2023'!$J$4:$J$1227,Q$1)</f>
        <v>0</v>
      </c>
      <c r="R70" s="207">
        <f>SUMIFS('декабрь 2023'!$G$4:$G$1227,'декабрь 2023'!$D$4:$D$1227,$B70,'декабрь 2023'!$J$4:$J$1227,R$1)</f>
        <v>0</v>
      </c>
      <c r="S70" s="207">
        <f>SUMIFS('декабрь 2023'!$G$4:$G$1227,'декабрь 2023'!$D$4:$D$1227,$B70,'декабрь 2023'!$J$4:$J$1227,S$1)</f>
        <v>0</v>
      </c>
      <c r="T70" s="207">
        <f>SUMIFS('декабрь 2023'!$G$4:$G$1227,'декабрь 2023'!$D$4:$D$1227,$B70,'декабрь 2023'!$J$4:$J$1227,T$1)</f>
        <v>0</v>
      </c>
      <c r="U70" s="207">
        <f>SUMIFS('декабрь 2023'!$G$4:$G$1227,'декабрь 2023'!$D$4:$D$1227,$B70,'декабрь 2023'!$J$4:$J$1227,U$1)</f>
        <v>0</v>
      </c>
      <c r="V70" s="207">
        <f>SUMIFS('декабрь 2023'!$G$4:$G$1227,'декабрь 2023'!$D$4:$D$1227,$B70,'декабрь 2023'!$J$4:$J$1227,V$1)</f>
        <v>0</v>
      </c>
      <c r="W70" s="207">
        <f>SUMIFS('декабрь 2023'!$G$4:$G$1227,'декабрь 2023'!$D$4:$D$1227,$B70,'декабрь 2023'!$J$4:$J$1227,W$1)</f>
        <v>0</v>
      </c>
      <c r="X70" s="207">
        <f>SUMIFS('декабрь 2023'!$G$4:$G$1227,'декабрь 2023'!$D$4:$D$1227,$B70,'декабрь 2023'!$J$4:$J$1227,X$1)</f>
        <v>0</v>
      </c>
      <c r="Y70" s="207">
        <f>SUMIFS('декабрь 2023'!$G$4:$G$1227,'декабрь 2023'!$D$4:$D$1227,$B70,'декабрь 2023'!$J$4:$J$1227,Y$1)</f>
        <v>0</v>
      </c>
      <c r="Z70" s="207">
        <f>SUMIFS('декабрь 2023'!$G$4:$G$1227,'декабрь 2023'!$D$4:$D$1227,$B70,'декабрь 2023'!$J$4:$J$1227,Z$1)</f>
        <v>0</v>
      </c>
      <c r="AA70" s="207">
        <f>SUMIFS('декабрь 2023'!$G$4:$G$1227,'декабрь 2023'!$D$4:$D$1227,$B70,'декабрь 2023'!$J$4:$J$1227,AA$1)</f>
        <v>0</v>
      </c>
      <c r="AB70" s="207">
        <f>SUMIFS('декабрь 2023'!$G$4:$G$1227,'декабрь 2023'!$D$4:$D$1227,$B70,'декабрь 2023'!$J$4:$J$1227,AB$1)</f>
        <v>0</v>
      </c>
      <c r="AC70" s="207">
        <f>SUMIFS('декабрь 2023'!$G$4:$G$1227,'декабрь 2023'!$D$4:$D$1227,$B70,'декабрь 2023'!$J$4:$J$1227,AC$1)</f>
        <v>0</v>
      </c>
      <c r="AD70" s="207">
        <f>SUMIFS('декабрь 2023'!$G$4:$G$1227,'декабрь 2023'!$D$4:$D$1227,$B70,'декабрь 2023'!$J$4:$J$1227,AD$1)</f>
        <v>0</v>
      </c>
      <c r="AE70" s="207">
        <f>SUMIFS('декабрь 2023'!$G$4:$G$1227,'декабрь 2023'!$D$4:$D$1227,$B70,'декабрь 2023'!$J$4:$J$1227,AE$1)</f>
        <v>0</v>
      </c>
      <c r="AF70" s="207">
        <f>SUMIFS('декабрь 2023'!$G$4:$G$1227,'декабрь 2023'!$D$4:$D$1227,$B70,'декабрь 2023'!$J$4:$J$1227,AF$1)</f>
        <v>0</v>
      </c>
      <c r="AG70" s="207">
        <f>SUMIFS('декабрь 2023'!$G$4:$G$1227,'декабрь 2023'!$D$4:$D$1227,$B70,'декабрь 2023'!$J$4:$J$1227,AG$1)</f>
        <v>0</v>
      </c>
      <c r="AH70" s="207">
        <f>SUMIFS('декабрь 2023'!$G$4:$G$1227,'декабрь 2023'!$D$4:$D$1227,$B70,'декабрь 2023'!$J$4:$J$1227,AH$1)</f>
        <v>0</v>
      </c>
      <c r="AI70" s="170">
        <f t="shared" si="2"/>
        <v>0</v>
      </c>
    </row>
    <row r="71" spans="2:35" ht="15" customHeight="1" x14ac:dyDescent="0.25">
      <c r="B71" s="216" t="s">
        <v>2166</v>
      </c>
      <c r="C71" s="213">
        <v>180</v>
      </c>
      <c r="D71" s="207">
        <f>SUMIFS('декабрь 2023'!$G$4:$G$1227,'декабрь 2023'!$D$4:$D$1227,$B71,'декабрь 2023'!$J$4:$J$1227,D$1)</f>
        <v>0</v>
      </c>
      <c r="E71" s="207">
        <f>SUMIFS('декабрь 2023'!$G$4:$G$1227,'декабрь 2023'!$D$4:$D$1227,$B71,'декабрь 2023'!$J$4:$J$1227,E$1)</f>
        <v>0</v>
      </c>
      <c r="F71" s="207">
        <f>SUMIFS('декабрь 2023'!$G$4:$G$1227,'декабрь 2023'!$D$4:$D$1227,$B71,'декабрь 2023'!$J$4:$J$1227,F$1)</f>
        <v>0</v>
      </c>
      <c r="G71" s="207">
        <f>SUMIFS('декабрь 2023'!$G$4:$G$1227,'декабрь 2023'!$D$4:$D$1227,$B71,'декабрь 2023'!$J$4:$J$1227,G$1)</f>
        <v>0</v>
      </c>
      <c r="H71" s="207">
        <f>SUMIFS('декабрь 2023'!$G$4:$G$1227,'декабрь 2023'!$D$4:$D$1227,$B71,'декабрь 2023'!$J$4:$J$1227,H$1)</f>
        <v>0</v>
      </c>
      <c r="I71" s="207">
        <f>SUMIFS('декабрь 2023'!$G$4:$G$1227,'декабрь 2023'!$D$4:$D$1227,$B71,'декабрь 2023'!$J$4:$J$1227,I$1)</f>
        <v>0</v>
      </c>
      <c r="J71" s="207">
        <f>SUMIFS('декабрь 2023'!$G$4:$G$1227,'декабрь 2023'!$D$4:$D$1227,$B71,'декабрь 2023'!$J$4:$J$1227,J$1)</f>
        <v>0</v>
      </c>
      <c r="K71" s="207">
        <f>SUMIFS('декабрь 2023'!$G$4:$G$1227,'декабрь 2023'!$D$4:$D$1227,$B71,'декабрь 2023'!$J$4:$J$1227,K$1)</f>
        <v>0</v>
      </c>
      <c r="L71" s="207">
        <f>SUMIFS('декабрь 2023'!$G$4:$G$1227,'декабрь 2023'!$D$4:$D$1227,$B71,'декабрь 2023'!$J$4:$J$1227,L$1)</f>
        <v>0</v>
      </c>
      <c r="M71" s="207">
        <f>SUMIFS('декабрь 2023'!$G$4:$G$1227,'декабрь 2023'!$D$4:$D$1227,$B71,'декабрь 2023'!$J$4:$J$1227,M$1)</f>
        <v>0</v>
      </c>
      <c r="N71" s="207">
        <f>SUMIFS('декабрь 2023'!$G$4:$G$1227,'декабрь 2023'!$D$4:$D$1227,$B71,'декабрь 2023'!$J$4:$J$1227,N$1)</f>
        <v>0</v>
      </c>
      <c r="O71" s="207">
        <f>SUMIFS('декабрь 2023'!$G$4:$G$1227,'декабрь 2023'!$D$4:$D$1227,$B71,'декабрь 2023'!$J$4:$J$1227,O$1)</f>
        <v>0</v>
      </c>
      <c r="P71" s="207">
        <f>SUMIFS('декабрь 2023'!$G$4:$G$1227,'декабрь 2023'!$D$4:$D$1227,$B71,'декабрь 2023'!$J$4:$J$1227,P$1)</f>
        <v>0</v>
      </c>
      <c r="Q71" s="207">
        <f>SUMIFS('декабрь 2023'!$G$4:$G$1227,'декабрь 2023'!$D$4:$D$1227,$B71,'декабрь 2023'!$J$4:$J$1227,Q$1)</f>
        <v>0</v>
      </c>
      <c r="R71" s="207">
        <f>SUMIFS('декабрь 2023'!$G$4:$G$1227,'декабрь 2023'!$D$4:$D$1227,$B71,'декабрь 2023'!$J$4:$J$1227,R$1)</f>
        <v>0</v>
      </c>
      <c r="S71" s="207">
        <f>SUMIFS('декабрь 2023'!$G$4:$G$1227,'декабрь 2023'!$D$4:$D$1227,$B71,'декабрь 2023'!$J$4:$J$1227,S$1)</f>
        <v>0</v>
      </c>
      <c r="T71" s="207">
        <f>SUMIFS('декабрь 2023'!$G$4:$G$1227,'декабрь 2023'!$D$4:$D$1227,$B71,'декабрь 2023'!$J$4:$J$1227,T$1)</f>
        <v>0</v>
      </c>
      <c r="U71" s="207">
        <f>SUMIFS('декабрь 2023'!$G$4:$G$1227,'декабрь 2023'!$D$4:$D$1227,$B71,'декабрь 2023'!$J$4:$J$1227,U$1)</f>
        <v>0</v>
      </c>
      <c r="V71" s="207">
        <f>SUMIFS('декабрь 2023'!$G$4:$G$1227,'декабрь 2023'!$D$4:$D$1227,$B71,'декабрь 2023'!$J$4:$J$1227,V$1)</f>
        <v>0</v>
      </c>
      <c r="W71" s="207">
        <f>SUMIFS('декабрь 2023'!$G$4:$G$1227,'декабрь 2023'!$D$4:$D$1227,$B71,'декабрь 2023'!$J$4:$J$1227,W$1)</f>
        <v>0</v>
      </c>
      <c r="X71" s="207">
        <f>SUMIFS('декабрь 2023'!$G$4:$G$1227,'декабрь 2023'!$D$4:$D$1227,$B71,'декабрь 2023'!$J$4:$J$1227,X$1)</f>
        <v>0</v>
      </c>
      <c r="Y71" s="207">
        <f>SUMIFS('декабрь 2023'!$G$4:$G$1227,'декабрь 2023'!$D$4:$D$1227,$B71,'декабрь 2023'!$J$4:$J$1227,Y$1)</f>
        <v>0</v>
      </c>
      <c r="Z71" s="207">
        <f>SUMIFS('декабрь 2023'!$G$4:$G$1227,'декабрь 2023'!$D$4:$D$1227,$B71,'декабрь 2023'!$J$4:$J$1227,Z$1)</f>
        <v>0</v>
      </c>
      <c r="AA71" s="207">
        <f>SUMIFS('декабрь 2023'!$G$4:$G$1227,'декабрь 2023'!$D$4:$D$1227,$B71,'декабрь 2023'!$J$4:$J$1227,AA$1)</f>
        <v>0</v>
      </c>
      <c r="AB71" s="207">
        <f>SUMIFS('декабрь 2023'!$G$4:$G$1227,'декабрь 2023'!$D$4:$D$1227,$B71,'декабрь 2023'!$J$4:$J$1227,AB$1)</f>
        <v>0</v>
      </c>
      <c r="AC71" s="207">
        <f>SUMIFS('декабрь 2023'!$G$4:$G$1227,'декабрь 2023'!$D$4:$D$1227,$B71,'декабрь 2023'!$J$4:$J$1227,AC$1)</f>
        <v>0</v>
      </c>
      <c r="AD71" s="207">
        <f>SUMIFS('декабрь 2023'!$G$4:$G$1227,'декабрь 2023'!$D$4:$D$1227,$B71,'декабрь 2023'!$J$4:$J$1227,AD$1)</f>
        <v>0</v>
      </c>
      <c r="AE71" s="207">
        <f>SUMIFS('декабрь 2023'!$G$4:$G$1227,'декабрь 2023'!$D$4:$D$1227,$B71,'декабрь 2023'!$J$4:$J$1227,AE$1)</f>
        <v>0</v>
      </c>
      <c r="AF71" s="207">
        <f>SUMIFS('декабрь 2023'!$G$4:$G$1227,'декабрь 2023'!$D$4:$D$1227,$B71,'декабрь 2023'!$J$4:$J$1227,AF$1)</f>
        <v>0</v>
      </c>
      <c r="AG71" s="207">
        <f>SUMIFS('декабрь 2023'!$G$4:$G$1227,'декабрь 2023'!$D$4:$D$1227,$B71,'декабрь 2023'!$J$4:$J$1227,AG$1)</f>
        <v>0</v>
      </c>
      <c r="AH71" s="207">
        <f>SUMIFS('декабрь 2023'!$G$4:$G$1227,'декабрь 2023'!$D$4:$D$1227,$B71,'декабрь 2023'!$J$4:$J$1227,AH$1)</f>
        <v>0</v>
      </c>
      <c r="AI71" s="170">
        <f t="shared" si="2"/>
        <v>0</v>
      </c>
    </row>
    <row r="72" spans="2:35" ht="15" customHeight="1" x14ac:dyDescent="0.25">
      <c r="B72" s="216" t="s">
        <v>140</v>
      </c>
      <c r="C72" s="213">
        <v>180</v>
      </c>
      <c r="D72" s="207">
        <f>SUMIFS('декабрь 2023'!$G$4:$G$1227,'декабрь 2023'!$D$4:$D$1227,$B72,'декабрь 2023'!$J$4:$J$1227,D$1)</f>
        <v>0</v>
      </c>
      <c r="E72" s="207">
        <f>SUMIFS('декабрь 2023'!$G$4:$G$1227,'декабрь 2023'!$D$4:$D$1227,$B72,'декабрь 2023'!$J$4:$J$1227,E$1)</f>
        <v>0</v>
      </c>
      <c r="F72" s="207">
        <f>SUMIFS('декабрь 2023'!$G$4:$G$1227,'декабрь 2023'!$D$4:$D$1227,$B72,'декабрь 2023'!$J$4:$J$1227,F$1)</f>
        <v>0</v>
      </c>
      <c r="G72" s="207">
        <f>SUMIFS('декабрь 2023'!$G$4:$G$1227,'декабрь 2023'!$D$4:$D$1227,$B72,'декабрь 2023'!$J$4:$J$1227,G$1)</f>
        <v>0</v>
      </c>
      <c r="H72" s="207">
        <f>SUMIFS('декабрь 2023'!$G$4:$G$1227,'декабрь 2023'!$D$4:$D$1227,$B72,'декабрь 2023'!$J$4:$J$1227,H$1)</f>
        <v>0</v>
      </c>
      <c r="I72" s="207">
        <f>SUMIFS('декабрь 2023'!$G$4:$G$1227,'декабрь 2023'!$D$4:$D$1227,$B72,'декабрь 2023'!$J$4:$J$1227,I$1)</f>
        <v>0</v>
      </c>
      <c r="J72" s="207">
        <f>SUMIFS('декабрь 2023'!$G$4:$G$1227,'декабрь 2023'!$D$4:$D$1227,$B72,'декабрь 2023'!$J$4:$J$1227,J$1)</f>
        <v>0</v>
      </c>
      <c r="K72" s="207">
        <f>SUMIFS('декабрь 2023'!$G$4:$G$1227,'декабрь 2023'!$D$4:$D$1227,$B72,'декабрь 2023'!$J$4:$J$1227,K$1)</f>
        <v>0</v>
      </c>
      <c r="L72" s="207">
        <f>SUMIFS('декабрь 2023'!$G$4:$G$1227,'декабрь 2023'!$D$4:$D$1227,$B72,'декабрь 2023'!$J$4:$J$1227,L$1)</f>
        <v>0</v>
      </c>
      <c r="M72" s="207">
        <f>SUMIFS('декабрь 2023'!$G$4:$G$1227,'декабрь 2023'!$D$4:$D$1227,$B72,'декабрь 2023'!$J$4:$J$1227,M$1)</f>
        <v>0</v>
      </c>
      <c r="N72" s="207">
        <f>SUMIFS('декабрь 2023'!$G$4:$G$1227,'декабрь 2023'!$D$4:$D$1227,$B72,'декабрь 2023'!$J$4:$J$1227,N$1)</f>
        <v>0</v>
      </c>
      <c r="O72" s="207">
        <f>SUMIFS('декабрь 2023'!$G$4:$G$1227,'декабрь 2023'!$D$4:$D$1227,$B72,'декабрь 2023'!$J$4:$J$1227,O$1)</f>
        <v>24</v>
      </c>
      <c r="P72" s="207">
        <f>SUMIFS('декабрь 2023'!$G$4:$G$1227,'декабрь 2023'!$D$4:$D$1227,$B72,'декабрь 2023'!$J$4:$J$1227,P$1)</f>
        <v>0</v>
      </c>
      <c r="Q72" s="207">
        <f>SUMIFS('декабрь 2023'!$G$4:$G$1227,'декабрь 2023'!$D$4:$D$1227,$B72,'декабрь 2023'!$J$4:$J$1227,Q$1)</f>
        <v>0</v>
      </c>
      <c r="R72" s="207">
        <f>SUMIFS('декабрь 2023'!$G$4:$G$1227,'декабрь 2023'!$D$4:$D$1227,$B72,'декабрь 2023'!$J$4:$J$1227,R$1)</f>
        <v>0</v>
      </c>
      <c r="S72" s="207">
        <f>SUMIFS('декабрь 2023'!$G$4:$G$1227,'декабрь 2023'!$D$4:$D$1227,$B72,'декабрь 2023'!$J$4:$J$1227,S$1)</f>
        <v>0</v>
      </c>
      <c r="T72" s="207">
        <f>SUMIFS('декабрь 2023'!$G$4:$G$1227,'декабрь 2023'!$D$4:$D$1227,$B72,'декабрь 2023'!$J$4:$J$1227,T$1)</f>
        <v>0</v>
      </c>
      <c r="U72" s="207">
        <f>SUMIFS('декабрь 2023'!$G$4:$G$1227,'декабрь 2023'!$D$4:$D$1227,$B72,'декабрь 2023'!$J$4:$J$1227,U$1)</f>
        <v>0</v>
      </c>
      <c r="V72" s="207">
        <f>SUMIFS('декабрь 2023'!$G$4:$G$1227,'декабрь 2023'!$D$4:$D$1227,$B72,'декабрь 2023'!$J$4:$J$1227,V$1)</f>
        <v>0</v>
      </c>
      <c r="W72" s="207">
        <f>SUMIFS('декабрь 2023'!$G$4:$G$1227,'декабрь 2023'!$D$4:$D$1227,$B72,'декабрь 2023'!$J$4:$J$1227,W$1)</f>
        <v>0</v>
      </c>
      <c r="X72" s="207">
        <f>SUMIFS('декабрь 2023'!$G$4:$G$1227,'декабрь 2023'!$D$4:$D$1227,$B72,'декабрь 2023'!$J$4:$J$1227,X$1)</f>
        <v>0</v>
      </c>
      <c r="Y72" s="207">
        <f>SUMIFS('декабрь 2023'!$G$4:$G$1227,'декабрь 2023'!$D$4:$D$1227,$B72,'декабрь 2023'!$J$4:$J$1227,Y$1)</f>
        <v>0</v>
      </c>
      <c r="Z72" s="207">
        <f>SUMIFS('декабрь 2023'!$G$4:$G$1227,'декабрь 2023'!$D$4:$D$1227,$B72,'декабрь 2023'!$J$4:$J$1227,Z$1)</f>
        <v>0</v>
      </c>
      <c r="AA72" s="207">
        <f>SUMIFS('декабрь 2023'!$G$4:$G$1227,'декабрь 2023'!$D$4:$D$1227,$B72,'декабрь 2023'!$J$4:$J$1227,AA$1)</f>
        <v>0</v>
      </c>
      <c r="AB72" s="207">
        <f>SUMIFS('декабрь 2023'!$G$4:$G$1227,'декабрь 2023'!$D$4:$D$1227,$B72,'декабрь 2023'!$J$4:$J$1227,AB$1)</f>
        <v>0</v>
      </c>
      <c r="AC72" s="207">
        <f>SUMIFS('декабрь 2023'!$G$4:$G$1227,'декабрь 2023'!$D$4:$D$1227,$B72,'декабрь 2023'!$J$4:$J$1227,AC$1)</f>
        <v>0</v>
      </c>
      <c r="AD72" s="207">
        <f>SUMIFS('декабрь 2023'!$G$4:$G$1227,'декабрь 2023'!$D$4:$D$1227,$B72,'декабрь 2023'!$J$4:$J$1227,AD$1)</f>
        <v>0</v>
      </c>
      <c r="AE72" s="207">
        <f>SUMIFS('декабрь 2023'!$G$4:$G$1227,'декабрь 2023'!$D$4:$D$1227,$B72,'декабрь 2023'!$J$4:$J$1227,AE$1)</f>
        <v>0</v>
      </c>
      <c r="AF72" s="207">
        <f>SUMIFS('декабрь 2023'!$G$4:$G$1227,'декабрь 2023'!$D$4:$D$1227,$B72,'декабрь 2023'!$J$4:$J$1227,AF$1)</f>
        <v>0</v>
      </c>
      <c r="AG72" s="207">
        <f>SUMIFS('декабрь 2023'!$G$4:$G$1227,'декабрь 2023'!$D$4:$D$1227,$B72,'декабрь 2023'!$J$4:$J$1227,AG$1)</f>
        <v>0</v>
      </c>
      <c r="AH72" s="207">
        <f>SUMIFS('декабрь 2023'!$G$4:$G$1227,'декабрь 2023'!$D$4:$D$1227,$B72,'декабрь 2023'!$J$4:$J$1227,AH$1)</f>
        <v>0</v>
      </c>
      <c r="AI72" s="170">
        <f t="shared" si="2"/>
        <v>24</v>
      </c>
    </row>
    <row r="73" spans="2:35" ht="15" customHeight="1" x14ac:dyDescent="0.25">
      <c r="B73" s="216" t="s">
        <v>588</v>
      </c>
      <c r="C73" s="213">
        <v>200</v>
      </c>
      <c r="D73" s="207">
        <f>SUMIFS('декабрь 2023'!$G$4:$G$1227,'декабрь 2023'!$D$4:$D$1227,$B73,'декабрь 2023'!$J$4:$J$1227,D$1)</f>
        <v>0</v>
      </c>
      <c r="E73" s="207">
        <f>SUMIFS('декабрь 2023'!$G$4:$G$1227,'декабрь 2023'!$D$4:$D$1227,$B73,'декабрь 2023'!$J$4:$J$1227,E$1)</f>
        <v>0</v>
      </c>
      <c r="F73" s="207">
        <f>SUMIFS('декабрь 2023'!$G$4:$G$1227,'декабрь 2023'!$D$4:$D$1227,$B73,'декабрь 2023'!$J$4:$J$1227,F$1)</f>
        <v>0</v>
      </c>
      <c r="G73" s="207">
        <f>SUMIFS('декабрь 2023'!$G$4:$G$1227,'декабрь 2023'!$D$4:$D$1227,$B73,'декабрь 2023'!$J$4:$J$1227,G$1)</f>
        <v>0</v>
      </c>
      <c r="H73" s="207">
        <f>SUMIFS('декабрь 2023'!$G$4:$G$1227,'декабрь 2023'!$D$4:$D$1227,$B73,'декабрь 2023'!$J$4:$J$1227,H$1)</f>
        <v>0</v>
      </c>
      <c r="I73" s="207">
        <f>SUMIFS('декабрь 2023'!$G$4:$G$1227,'декабрь 2023'!$D$4:$D$1227,$B73,'декабрь 2023'!$J$4:$J$1227,I$1)</f>
        <v>0</v>
      </c>
      <c r="J73" s="207">
        <f>SUMIFS('декабрь 2023'!$G$4:$G$1227,'декабрь 2023'!$D$4:$D$1227,$B73,'декабрь 2023'!$J$4:$J$1227,J$1)</f>
        <v>0</v>
      </c>
      <c r="K73" s="207">
        <f>SUMIFS('декабрь 2023'!$G$4:$G$1227,'декабрь 2023'!$D$4:$D$1227,$B73,'декабрь 2023'!$J$4:$J$1227,K$1)</f>
        <v>0</v>
      </c>
      <c r="L73" s="207">
        <f>SUMIFS('декабрь 2023'!$G$4:$G$1227,'декабрь 2023'!$D$4:$D$1227,$B73,'декабрь 2023'!$J$4:$J$1227,L$1)</f>
        <v>0</v>
      </c>
      <c r="M73" s="207">
        <f>SUMIFS('декабрь 2023'!$G$4:$G$1227,'декабрь 2023'!$D$4:$D$1227,$B73,'декабрь 2023'!$J$4:$J$1227,M$1)</f>
        <v>0</v>
      </c>
      <c r="N73" s="207">
        <f>SUMIFS('декабрь 2023'!$G$4:$G$1227,'декабрь 2023'!$D$4:$D$1227,$B73,'декабрь 2023'!$J$4:$J$1227,N$1)</f>
        <v>0</v>
      </c>
      <c r="O73" s="207">
        <f>SUMIFS('декабрь 2023'!$G$4:$G$1227,'декабрь 2023'!$D$4:$D$1227,$B73,'декабрь 2023'!$J$4:$J$1227,O$1)</f>
        <v>0</v>
      </c>
      <c r="P73" s="207">
        <f>SUMIFS('декабрь 2023'!$G$4:$G$1227,'декабрь 2023'!$D$4:$D$1227,$B73,'декабрь 2023'!$J$4:$J$1227,P$1)</f>
        <v>0</v>
      </c>
      <c r="Q73" s="207">
        <f>SUMIFS('декабрь 2023'!$G$4:$G$1227,'декабрь 2023'!$D$4:$D$1227,$B73,'декабрь 2023'!$J$4:$J$1227,Q$1)</f>
        <v>0</v>
      </c>
      <c r="R73" s="207">
        <f>SUMIFS('декабрь 2023'!$G$4:$G$1227,'декабрь 2023'!$D$4:$D$1227,$B73,'декабрь 2023'!$J$4:$J$1227,R$1)</f>
        <v>0</v>
      </c>
      <c r="S73" s="207">
        <f>SUMIFS('декабрь 2023'!$G$4:$G$1227,'декабрь 2023'!$D$4:$D$1227,$B73,'декабрь 2023'!$J$4:$J$1227,S$1)</f>
        <v>0</v>
      </c>
      <c r="T73" s="207">
        <f>SUMIFS('декабрь 2023'!$G$4:$G$1227,'декабрь 2023'!$D$4:$D$1227,$B73,'декабрь 2023'!$J$4:$J$1227,T$1)</f>
        <v>0</v>
      </c>
      <c r="U73" s="207">
        <f>SUMIFS('декабрь 2023'!$G$4:$G$1227,'декабрь 2023'!$D$4:$D$1227,$B73,'декабрь 2023'!$J$4:$J$1227,U$1)</f>
        <v>0</v>
      </c>
      <c r="V73" s="207">
        <f>SUMIFS('декабрь 2023'!$G$4:$G$1227,'декабрь 2023'!$D$4:$D$1227,$B73,'декабрь 2023'!$J$4:$J$1227,V$1)</f>
        <v>0</v>
      </c>
      <c r="W73" s="207">
        <f>SUMIFS('декабрь 2023'!$G$4:$G$1227,'декабрь 2023'!$D$4:$D$1227,$B73,'декабрь 2023'!$J$4:$J$1227,W$1)</f>
        <v>0</v>
      </c>
      <c r="X73" s="207">
        <f>SUMIFS('декабрь 2023'!$G$4:$G$1227,'декабрь 2023'!$D$4:$D$1227,$B73,'декабрь 2023'!$J$4:$J$1227,X$1)</f>
        <v>0</v>
      </c>
      <c r="Y73" s="207">
        <f>SUMIFS('декабрь 2023'!$G$4:$G$1227,'декабрь 2023'!$D$4:$D$1227,$B73,'декабрь 2023'!$J$4:$J$1227,Y$1)</f>
        <v>0</v>
      </c>
      <c r="Z73" s="207">
        <f>SUMIFS('декабрь 2023'!$G$4:$G$1227,'декабрь 2023'!$D$4:$D$1227,$B73,'декабрь 2023'!$J$4:$J$1227,Z$1)</f>
        <v>0</v>
      </c>
      <c r="AA73" s="207">
        <f>SUMIFS('декабрь 2023'!$G$4:$G$1227,'декабрь 2023'!$D$4:$D$1227,$B73,'декабрь 2023'!$J$4:$J$1227,AA$1)</f>
        <v>0</v>
      </c>
      <c r="AB73" s="207">
        <f>SUMIFS('декабрь 2023'!$G$4:$G$1227,'декабрь 2023'!$D$4:$D$1227,$B73,'декабрь 2023'!$J$4:$J$1227,AB$1)</f>
        <v>0</v>
      </c>
      <c r="AC73" s="207">
        <f>SUMIFS('декабрь 2023'!$G$4:$G$1227,'декабрь 2023'!$D$4:$D$1227,$B73,'декабрь 2023'!$J$4:$J$1227,AC$1)</f>
        <v>0</v>
      </c>
      <c r="AD73" s="207">
        <f>SUMIFS('декабрь 2023'!$G$4:$G$1227,'декабрь 2023'!$D$4:$D$1227,$B73,'декабрь 2023'!$J$4:$J$1227,AD$1)</f>
        <v>0</v>
      </c>
      <c r="AE73" s="207">
        <f>SUMIFS('декабрь 2023'!$G$4:$G$1227,'декабрь 2023'!$D$4:$D$1227,$B73,'декабрь 2023'!$J$4:$J$1227,AE$1)</f>
        <v>0</v>
      </c>
      <c r="AF73" s="207">
        <f>SUMIFS('декабрь 2023'!$G$4:$G$1227,'декабрь 2023'!$D$4:$D$1227,$B73,'декабрь 2023'!$J$4:$J$1227,AF$1)</f>
        <v>0</v>
      </c>
      <c r="AG73" s="207">
        <f>SUMIFS('декабрь 2023'!$G$4:$G$1227,'декабрь 2023'!$D$4:$D$1227,$B73,'декабрь 2023'!$J$4:$J$1227,AG$1)</f>
        <v>0</v>
      </c>
      <c r="AH73" s="207">
        <f>SUMIFS('декабрь 2023'!$G$4:$G$1227,'декабрь 2023'!$D$4:$D$1227,$B73,'декабрь 2023'!$J$4:$J$1227,AH$1)</f>
        <v>0</v>
      </c>
      <c r="AI73" s="170">
        <f t="shared" si="2"/>
        <v>0</v>
      </c>
    </row>
    <row r="74" spans="2:35" ht="15" customHeight="1" x14ac:dyDescent="0.25">
      <c r="B74" s="216" t="s">
        <v>1779</v>
      </c>
      <c r="C74" s="213">
        <v>180</v>
      </c>
      <c r="D74" s="207">
        <f>SUMIFS('декабрь 2023'!$G$4:$G$1227,'декабрь 2023'!$D$4:$D$1227,$B74,'декабрь 2023'!$J$4:$J$1227,D$1)</f>
        <v>0</v>
      </c>
      <c r="E74" s="207">
        <f>SUMIFS('декабрь 2023'!$G$4:$G$1227,'декабрь 2023'!$D$4:$D$1227,$B74,'декабрь 2023'!$J$4:$J$1227,E$1)</f>
        <v>0</v>
      </c>
      <c r="F74" s="207">
        <f>SUMIFS('декабрь 2023'!$G$4:$G$1227,'декабрь 2023'!$D$4:$D$1227,$B74,'декабрь 2023'!$J$4:$J$1227,F$1)</f>
        <v>0</v>
      </c>
      <c r="G74" s="207">
        <f>SUMIFS('декабрь 2023'!$G$4:$G$1227,'декабрь 2023'!$D$4:$D$1227,$B74,'декабрь 2023'!$J$4:$J$1227,G$1)</f>
        <v>0</v>
      </c>
      <c r="H74" s="207">
        <f>SUMIFS('декабрь 2023'!$G$4:$G$1227,'декабрь 2023'!$D$4:$D$1227,$B74,'декабрь 2023'!$J$4:$J$1227,H$1)</f>
        <v>0</v>
      </c>
      <c r="I74" s="207">
        <f>SUMIFS('декабрь 2023'!$G$4:$G$1227,'декабрь 2023'!$D$4:$D$1227,$B74,'декабрь 2023'!$J$4:$J$1227,I$1)</f>
        <v>0</v>
      </c>
      <c r="J74" s="207">
        <f>SUMIFS('декабрь 2023'!$G$4:$G$1227,'декабрь 2023'!$D$4:$D$1227,$B74,'декабрь 2023'!$J$4:$J$1227,J$1)</f>
        <v>0</v>
      </c>
      <c r="K74" s="207">
        <f>SUMIFS('декабрь 2023'!$G$4:$G$1227,'декабрь 2023'!$D$4:$D$1227,$B74,'декабрь 2023'!$J$4:$J$1227,K$1)</f>
        <v>0</v>
      </c>
      <c r="L74" s="207">
        <f>SUMIFS('декабрь 2023'!$G$4:$G$1227,'декабрь 2023'!$D$4:$D$1227,$B74,'декабрь 2023'!$J$4:$J$1227,L$1)</f>
        <v>0</v>
      </c>
      <c r="M74" s="207">
        <f>SUMIFS('декабрь 2023'!$G$4:$G$1227,'декабрь 2023'!$D$4:$D$1227,$B74,'декабрь 2023'!$J$4:$J$1227,M$1)</f>
        <v>0</v>
      </c>
      <c r="N74" s="207">
        <f>SUMIFS('декабрь 2023'!$G$4:$G$1227,'декабрь 2023'!$D$4:$D$1227,$B74,'декабрь 2023'!$J$4:$J$1227,N$1)</f>
        <v>0</v>
      </c>
      <c r="O74" s="207">
        <f>SUMIFS('декабрь 2023'!$G$4:$G$1227,'декабрь 2023'!$D$4:$D$1227,$B74,'декабрь 2023'!$J$4:$J$1227,O$1)</f>
        <v>0</v>
      </c>
      <c r="P74" s="207">
        <f>SUMIFS('декабрь 2023'!$G$4:$G$1227,'декабрь 2023'!$D$4:$D$1227,$B74,'декабрь 2023'!$J$4:$J$1227,P$1)</f>
        <v>0</v>
      </c>
      <c r="Q74" s="207">
        <f>SUMIFS('декабрь 2023'!$G$4:$G$1227,'декабрь 2023'!$D$4:$D$1227,$B74,'декабрь 2023'!$J$4:$J$1227,Q$1)</f>
        <v>0</v>
      </c>
      <c r="R74" s="207">
        <f>SUMIFS('декабрь 2023'!$G$4:$G$1227,'декабрь 2023'!$D$4:$D$1227,$B74,'декабрь 2023'!$J$4:$J$1227,R$1)</f>
        <v>0</v>
      </c>
      <c r="S74" s="207">
        <f>SUMIFS('декабрь 2023'!$G$4:$G$1227,'декабрь 2023'!$D$4:$D$1227,$B74,'декабрь 2023'!$J$4:$J$1227,S$1)</f>
        <v>0</v>
      </c>
      <c r="T74" s="207">
        <f>SUMIFS('декабрь 2023'!$G$4:$G$1227,'декабрь 2023'!$D$4:$D$1227,$B74,'декабрь 2023'!$J$4:$J$1227,T$1)</f>
        <v>0</v>
      </c>
      <c r="U74" s="207">
        <f>SUMIFS('декабрь 2023'!$G$4:$G$1227,'декабрь 2023'!$D$4:$D$1227,$B74,'декабрь 2023'!$J$4:$J$1227,U$1)</f>
        <v>0</v>
      </c>
      <c r="V74" s="207">
        <f>SUMIFS('декабрь 2023'!$G$4:$G$1227,'декабрь 2023'!$D$4:$D$1227,$B74,'декабрь 2023'!$J$4:$J$1227,V$1)</f>
        <v>0</v>
      </c>
      <c r="W74" s="207">
        <f>SUMIFS('декабрь 2023'!$G$4:$G$1227,'декабрь 2023'!$D$4:$D$1227,$B74,'декабрь 2023'!$J$4:$J$1227,W$1)</f>
        <v>0</v>
      </c>
      <c r="X74" s="207">
        <f>SUMIFS('декабрь 2023'!$G$4:$G$1227,'декабрь 2023'!$D$4:$D$1227,$B74,'декабрь 2023'!$J$4:$J$1227,X$1)</f>
        <v>0</v>
      </c>
      <c r="Y74" s="207">
        <f>SUMIFS('декабрь 2023'!$G$4:$G$1227,'декабрь 2023'!$D$4:$D$1227,$B74,'декабрь 2023'!$J$4:$J$1227,Y$1)</f>
        <v>0</v>
      </c>
      <c r="Z74" s="207">
        <f>SUMIFS('декабрь 2023'!$G$4:$G$1227,'декабрь 2023'!$D$4:$D$1227,$B74,'декабрь 2023'!$J$4:$J$1227,Z$1)</f>
        <v>0</v>
      </c>
      <c r="AA74" s="207">
        <f>SUMIFS('декабрь 2023'!$G$4:$G$1227,'декабрь 2023'!$D$4:$D$1227,$B74,'декабрь 2023'!$J$4:$J$1227,AA$1)</f>
        <v>0</v>
      </c>
      <c r="AB74" s="207">
        <f>SUMIFS('декабрь 2023'!$G$4:$G$1227,'декабрь 2023'!$D$4:$D$1227,$B74,'декабрь 2023'!$J$4:$J$1227,AB$1)</f>
        <v>0</v>
      </c>
      <c r="AC74" s="207">
        <f>SUMIFS('декабрь 2023'!$G$4:$G$1227,'декабрь 2023'!$D$4:$D$1227,$B74,'декабрь 2023'!$J$4:$J$1227,AC$1)</f>
        <v>0</v>
      </c>
      <c r="AD74" s="207">
        <f>SUMIFS('декабрь 2023'!$G$4:$G$1227,'декабрь 2023'!$D$4:$D$1227,$B74,'декабрь 2023'!$J$4:$J$1227,AD$1)</f>
        <v>0</v>
      </c>
      <c r="AE74" s="207">
        <f>SUMIFS('декабрь 2023'!$G$4:$G$1227,'декабрь 2023'!$D$4:$D$1227,$B74,'декабрь 2023'!$J$4:$J$1227,AE$1)</f>
        <v>0</v>
      </c>
      <c r="AF74" s="207">
        <f>SUMIFS('декабрь 2023'!$G$4:$G$1227,'декабрь 2023'!$D$4:$D$1227,$B74,'декабрь 2023'!$J$4:$J$1227,AF$1)</f>
        <v>0</v>
      </c>
      <c r="AG74" s="207">
        <f>SUMIFS('декабрь 2023'!$G$4:$G$1227,'декабрь 2023'!$D$4:$D$1227,$B74,'декабрь 2023'!$J$4:$J$1227,AG$1)</f>
        <v>0</v>
      </c>
      <c r="AH74" s="207">
        <f>SUMIFS('декабрь 2023'!$G$4:$G$1227,'декабрь 2023'!$D$4:$D$1227,$B74,'декабрь 2023'!$J$4:$J$1227,AH$1)</f>
        <v>0</v>
      </c>
      <c r="AI74" s="170">
        <f t="shared" si="2"/>
        <v>0</v>
      </c>
    </row>
    <row r="75" spans="2:35" ht="15" customHeight="1" x14ac:dyDescent="0.25">
      <c r="B75" s="212" t="s">
        <v>634</v>
      </c>
      <c r="C75" s="211">
        <v>200</v>
      </c>
      <c r="D75" s="207">
        <f>SUMIFS('декабрь 2023'!$G$4:$G$1227,'декабрь 2023'!$D$4:$D$1227,$B75,'декабрь 2023'!$J$4:$J$1227,D$1)</f>
        <v>0</v>
      </c>
      <c r="E75" s="207">
        <f>SUMIFS('декабрь 2023'!$G$4:$G$1227,'декабрь 2023'!$D$4:$D$1227,$B75,'декабрь 2023'!$J$4:$J$1227,E$1)</f>
        <v>0</v>
      </c>
      <c r="F75" s="207">
        <f>SUMIFS('декабрь 2023'!$G$4:$G$1227,'декабрь 2023'!$D$4:$D$1227,$B75,'декабрь 2023'!$J$4:$J$1227,F$1)</f>
        <v>0</v>
      </c>
      <c r="G75" s="207">
        <f>SUMIFS('декабрь 2023'!$G$4:$G$1227,'декабрь 2023'!$D$4:$D$1227,$B75,'декабрь 2023'!$J$4:$J$1227,G$1)</f>
        <v>0</v>
      </c>
      <c r="H75" s="207">
        <f>SUMIFS('декабрь 2023'!$G$4:$G$1227,'декабрь 2023'!$D$4:$D$1227,$B75,'декабрь 2023'!$J$4:$J$1227,H$1)</f>
        <v>0</v>
      </c>
      <c r="I75" s="207">
        <f>SUMIFS('декабрь 2023'!$G$4:$G$1227,'декабрь 2023'!$D$4:$D$1227,$B75,'декабрь 2023'!$J$4:$J$1227,I$1)</f>
        <v>0</v>
      </c>
      <c r="J75" s="207">
        <f>SUMIFS('декабрь 2023'!$G$4:$G$1227,'декабрь 2023'!$D$4:$D$1227,$B75,'декабрь 2023'!$J$4:$J$1227,J$1)</f>
        <v>0</v>
      </c>
      <c r="K75" s="207">
        <f>SUMIFS('декабрь 2023'!$G$4:$G$1227,'декабрь 2023'!$D$4:$D$1227,$B75,'декабрь 2023'!$J$4:$J$1227,K$1)</f>
        <v>0</v>
      </c>
      <c r="L75" s="207">
        <f>SUMIFS('декабрь 2023'!$G$4:$G$1227,'декабрь 2023'!$D$4:$D$1227,$B75,'декабрь 2023'!$J$4:$J$1227,L$1)</f>
        <v>0</v>
      </c>
      <c r="M75" s="207">
        <f>SUMIFS('декабрь 2023'!$G$4:$G$1227,'декабрь 2023'!$D$4:$D$1227,$B75,'декабрь 2023'!$J$4:$J$1227,M$1)</f>
        <v>0</v>
      </c>
      <c r="N75" s="207">
        <f>SUMIFS('декабрь 2023'!$G$4:$G$1227,'декабрь 2023'!$D$4:$D$1227,$B75,'декабрь 2023'!$J$4:$J$1227,N$1)</f>
        <v>0</v>
      </c>
      <c r="O75" s="207">
        <f>SUMIFS('декабрь 2023'!$G$4:$G$1227,'декабрь 2023'!$D$4:$D$1227,$B75,'декабрь 2023'!$J$4:$J$1227,O$1)</f>
        <v>0</v>
      </c>
      <c r="P75" s="207">
        <f>SUMIFS('декабрь 2023'!$G$4:$G$1227,'декабрь 2023'!$D$4:$D$1227,$B75,'декабрь 2023'!$J$4:$J$1227,P$1)</f>
        <v>0</v>
      </c>
      <c r="Q75" s="207">
        <f>SUMIFS('декабрь 2023'!$G$4:$G$1227,'декабрь 2023'!$D$4:$D$1227,$B75,'декабрь 2023'!$J$4:$J$1227,Q$1)</f>
        <v>0</v>
      </c>
      <c r="R75" s="207">
        <f>SUMIFS('декабрь 2023'!$G$4:$G$1227,'декабрь 2023'!$D$4:$D$1227,$B75,'декабрь 2023'!$J$4:$J$1227,R$1)</f>
        <v>0</v>
      </c>
      <c r="S75" s="207">
        <f>SUMIFS('декабрь 2023'!$G$4:$G$1227,'декабрь 2023'!$D$4:$D$1227,$B75,'декабрь 2023'!$J$4:$J$1227,S$1)</f>
        <v>0</v>
      </c>
      <c r="T75" s="207">
        <f>SUMIFS('декабрь 2023'!$G$4:$G$1227,'декабрь 2023'!$D$4:$D$1227,$B75,'декабрь 2023'!$J$4:$J$1227,T$1)</f>
        <v>0</v>
      </c>
      <c r="U75" s="207">
        <f>SUMIFS('декабрь 2023'!$G$4:$G$1227,'декабрь 2023'!$D$4:$D$1227,$B75,'декабрь 2023'!$J$4:$J$1227,U$1)</f>
        <v>0</v>
      </c>
      <c r="V75" s="207">
        <f>SUMIFS('декабрь 2023'!$G$4:$G$1227,'декабрь 2023'!$D$4:$D$1227,$B75,'декабрь 2023'!$J$4:$J$1227,V$1)</f>
        <v>0</v>
      </c>
      <c r="W75" s="207">
        <f>SUMIFS('декабрь 2023'!$G$4:$G$1227,'декабрь 2023'!$D$4:$D$1227,$B75,'декабрь 2023'!$J$4:$J$1227,W$1)</f>
        <v>0</v>
      </c>
      <c r="X75" s="207">
        <f>SUMIFS('декабрь 2023'!$G$4:$G$1227,'декабрь 2023'!$D$4:$D$1227,$B75,'декабрь 2023'!$J$4:$J$1227,X$1)</f>
        <v>0</v>
      </c>
      <c r="Y75" s="207">
        <f>SUMIFS('декабрь 2023'!$G$4:$G$1227,'декабрь 2023'!$D$4:$D$1227,$B75,'декабрь 2023'!$J$4:$J$1227,Y$1)</f>
        <v>0</v>
      </c>
      <c r="Z75" s="207">
        <f>SUMIFS('декабрь 2023'!$G$4:$G$1227,'декабрь 2023'!$D$4:$D$1227,$B75,'декабрь 2023'!$J$4:$J$1227,Z$1)</f>
        <v>0</v>
      </c>
      <c r="AA75" s="207">
        <f>SUMIFS('декабрь 2023'!$G$4:$G$1227,'декабрь 2023'!$D$4:$D$1227,$B75,'декабрь 2023'!$J$4:$J$1227,AA$1)</f>
        <v>0</v>
      </c>
      <c r="AB75" s="207">
        <f>SUMIFS('декабрь 2023'!$G$4:$G$1227,'декабрь 2023'!$D$4:$D$1227,$B75,'декабрь 2023'!$J$4:$J$1227,AB$1)</f>
        <v>0</v>
      </c>
      <c r="AC75" s="207">
        <f>SUMIFS('декабрь 2023'!$G$4:$G$1227,'декабрь 2023'!$D$4:$D$1227,$B75,'декабрь 2023'!$J$4:$J$1227,AC$1)</f>
        <v>0</v>
      </c>
      <c r="AD75" s="207">
        <f>SUMIFS('декабрь 2023'!$G$4:$G$1227,'декабрь 2023'!$D$4:$D$1227,$B75,'декабрь 2023'!$J$4:$J$1227,AD$1)</f>
        <v>0</v>
      </c>
      <c r="AE75" s="207">
        <f>SUMIFS('декабрь 2023'!$G$4:$G$1227,'декабрь 2023'!$D$4:$D$1227,$B75,'декабрь 2023'!$J$4:$J$1227,AE$1)</f>
        <v>0</v>
      </c>
      <c r="AF75" s="207">
        <f>SUMIFS('декабрь 2023'!$G$4:$G$1227,'декабрь 2023'!$D$4:$D$1227,$B75,'декабрь 2023'!$J$4:$J$1227,AF$1)</f>
        <v>0</v>
      </c>
      <c r="AG75" s="207">
        <f>SUMIFS('декабрь 2023'!$G$4:$G$1227,'декабрь 2023'!$D$4:$D$1227,$B75,'декабрь 2023'!$J$4:$J$1227,AG$1)</f>
        <v>0</v>
      </c>
      <c r="AH75" s="207">
        <f>SUMIFS('декабрь 2023'!$G$4:$G$1227,'декабрь 2023'!$D$4:$D$1227,$B75,'декабрь 2023'!$J$4:$J$1227,AH$1)</f>
        <v>0</v>
      </c>
      <c r="AI75" s="170">
        <f t="shared" si="2"/>
        <v>0</v>
      </c>
    </row>
    <row r="76" spans="2:35" ht="15" customHeight="1" x14ac:dyDescent="0.25">
      <c r="B76" s="216" t="s">
        <v>498</v>
      </c>
      <c r="C76" s="213">
        <v>185</v>
      </c>
      <c r="D76" s="207">
        <f>SUMIFS('декабрь 2023'!$G$4:$G$1227,'декабрь 2023'!$D$4:$D$1227,$B76,'декабрь 2023'!$J$4:$J$1227,D$1)</f>
        <v>0</v>
      </c>
      <c r="E76" s="207">
        <f>SUMIFS('декабрь 2023'!$G$4:$G$1227,'декабрь 2023'!$D$4:$D$1227,$B76,'декабрь 2023'!$J$4:$J$1227,E$1)</f>
        <v>0</v>
      </c>
      <c r="F76" s="207">
        <f>SUMIFS('декабрь 2023'!$G$4:$G$1227,'декабрь 2023'!$D$4:$D$1227,$B76,'декабрь 2023'!$J$4:$J$1227,F$1)</f>
        <v>0</v>
      </c>
      <c r="G76" s="207">
        <f>SUMIFS('декабрь 2023'!$G$4:$G$1227,'декабрь 2023'!$D$4:$D$1227,$B76,'декабрь 2023'!$J$4:$J$1227,G$1)</f>
        <v>0</v>
      </c>
      <c r="H76" s="207">
        <f>SUMIFS('декабрь 2023'!$G$4:$G$1227,'декабрь 2023'!$D$4:$D$1227,$B76,'декабрь 2023'!$J$4:$J$1227,H$1)</f>
        <v>0</v>
      </c>
      <c r="I76" s="207">
        <f>SUMIFS('декабрь 2023'!$G$4:$G$1227,'декабрь 2023'!$D$4:$D$1227,$B76,'декабрь 2023'!$J$4:$J$1227,I$1)</f>
        <v>0</v>
      </c>
      <c r="J76" s="207">
        <f>SUMIFS('декабрь 2023'!$G$4:$G$1227,'декабрь 2023'!$D$4:$D$1227,$B76,'декабрь 2023'!$J$4:$J$1227,J$1)</f>
        <v>0</v>
      </c>
      <c r="K76" s="207">
        <f>SUMIFS('декабрь 2023'!$G$4:$G$1227,'декабрь 2023'!$D$4:$D$1227,$B76,'декабрь 2023'!$J$4:$J$1227,K$1)</f>
        <v>0</v>
      </c>
      <c r="L76" s="207">
        <f>SUMIFS('декабрь 2023'!$G$4:$G$1227,'декабрь 2023'!$D$4:$D$1227,$B76,'декабрь 2023'!$J$4:$J$1227,L$1)</f>
        <v>0</v>
      </c>
      <c r="M76" s="207">
        <f>SUMIFS('декабрь 2023'!$G$4:$G$1227,'декабрь 2023'!$D$4:$D$1227,$B76,'декабрь 2023'!$J$4:$J$1227,M$1)</f>
        <v>0</v>
      </c>
      <c r="N76" s="207">
        <f>SUMIFS('декабрь 2023'!$G$4:$G$1227,'декабрь 2023'!$D$4:$D$1227,$B76,'декабрь 2023'!$J$4:$J$1227,N$1)</f>
        <v>0</v>
      </c>
      <c r="O76" s="207">
        <f>SUMIFS('декабрь 2023'!$G$4:$G$1227,'декабрь 2023'!$D$4:$D$1227,$B76,'декабрь 2023'!$J$4:$J$1227,O$1)</f>
        <v>0</v>
      </c>
      <c r="P76" s="207">
        <f>SUMIFS('декабрь 2023'!$G$4:$G$1227,'декабрь 2023'!$D$4:$D$1227,$B76,'декабрь 2023'!$J$4:$J$1227,P$1)</f>
        <v>0</v>
      </c>
      <c r="Q76" s="207">
        <f>SUMIFS('декабрь 2023'!$G$4:$G$1227,'декабрь 2023'!$D$4:$D$1227,$B76,'декабрь 2023'!$J$4:$J$1227,Q$1)</f>
        <v>0</v>
      </c>
      <c r="R76" s="207">
        <f>SUMIFS('декабрь 2023'!$G$4:$G$1227,'декабрь 2023'!$D$4:$D$1227,$B76,'декабрь 2023'!$J$4:$J$1227,R$1)</f>
        <v>0</v>
      </c>
      <c r="S76" s="207">
        <f>SUMIFS('декабрь 2023'!$G$4:$G$1227,'декабрь 2023'!$D$4:$D$1227,$B76,'декабрь 2023'!$J$4:$J$1227,S$1)</f>
        <v>0</v>
      </c>
      <c r="T76" s="207">
        <f>SUMIFS('декабрь 2023'!$G$4:$G$1227,'декабрь 2023'!$D$4:$D$1227,$B76,'декабрь 2023'!$J$4:$J$1227,T$1)</f>
        <v>0</v>
      </c>
      <c r="U76" s="207">
        <f>SUMIFS('декабрь 2023'!$G$4:$G$1227,'декабрь 2023'!$D$4:$D$1227,$B76,'декабрь 2023'!$J$4:$J$1227,U$1)</f>
        <v>0</v>
      </c>
      <c r="V76" s="207">
        <f>SUMIFS('декабрь 2023'!$G$4:$G$1227,'декабрь 2023'!$D$4:$D$1227,$B76,'декабрь 2023'!$J$4:$J$1227,V$1)</f>
        <v>0</v>
      </c>
      <c r="W76" s="207">
        <f>SUMIFS('декабрь 2023'!$G$4:$G$1227,'декабрь 2023'!$D$4:$D$1227,$B76,'декабрь 2023'!$J$4:$J$1227,W$1)</f>
        <v>0</v>
      </c>
      <c r="X76" s="207">
        <f>SUMIFS('декабрь 2023'!$G$4:$G$1227,'декабрь 2023'!$D$4:$D$1227,$B76,'декабрь 2023'!$J$4:$J$1227,X$1)</f>
        <v>0</v>
      </c>
      <c r="Y76" s="207">
        <f>SUMIFS('декабрь 2023'!$G$4:$G$1227,'декабрь 2023'!$D$4:$D$1227,$B76,'декабрь 2023'!$J$4:$J$1227,Y$1)</f>
        <v>0</v>
      </c>
      <c r="Z76" s="207">
        <f>SUMIFS('декабрь 2023'!$G$4:$G$1227,'декабрь 2023'!$D$4:$D$1227,$B76,'декабрь 2023'!$J$4:$J$1227,Z$1)</f>
        <v>0</v>
      </c>
      <c r="AA76" s="207">
        <f>SUMIFS('декабрь 2023'!$G$4:$G$1227,'декабрь 2023'!$D$4:$D$1227,$B76,'декабрь 2023'!$J$4:$J$1227,AA$1)</f>
        <v>0</v>
      </c>
      <c r="AB76" s="207">
        <f>SUMIFS('декабрь 2023'!$G$4:$G$1227,'декабрь 2023'!$D$4:$D$1227,$B76,'декабрь 2023'!$J$4:$J$1227,AB$1)</f>
        <v>0</v>
      </c>
      <c r="AC76" s="207">
        <f>SUMIFS('декабрь 2023'!$G$4:$G$1227,'декабрь 2023'!$D$4:$D$1227,$B76,'декабрь 2023'!$J$4:$J$1227,AC$1)</f>
        <v>0</v>
      </c>
      <c r="AD76" s="207">
        <f>SUMIFS('декабрь 2023'!$G$4:$G$1227,'декабрь 2023'!$D$4:$D$1227,$B76,'декабрь 2023'!$J$4:$J$1227,AD$1)</f>
        <v>0</v>
      </c>
      <c r="AE76" s="207">
        <f>SUMIFS('декабрь 2023'!$G$4:$G$1227,'декабрь 2023'!$D$4:$D$1227,$B76,'декабрь 2023'!$J$4:$J$1227,AE$1)</f>
        <v>0</v>
      </c>
      <c r="AF76" s="207">
        <f>SUMIFS('декабрь 2023'!$G$4:$G$1227,'декабрь 2023'!$D$4:$D$1227,$B76,'декабрь 2023'!$J$4:$J$1227,AF$1)</f>
        <v>0</v>
      </c>
      <c r="AG76" s="207">
        <f>SUMIFS('декабрь 2023'!$G$4:$G$1227,'декабрь 2023'!$D$4:$D$1227,$B76,'декабрь 2023'!$J$4:$J$1227,AG$1)</f>
        <v>0</v>
      </c>
      <c r="AH76" s="207">
        <f>SUMIFS('декабрь 2023'!$G$4:$G$1227,'декабрь 2023'!$D$4:$D$1227,$B76,'декабрь 2023'!$J$4:$J$1227,AH$1)</f>
        <v>0</v>
      </c>
      <c r="AI76" s="170">
        <f t="shared" si="2"/>
        <v>0</v>
      </c>
    </row>
    <row r="77" spans="2:35" ht="15" customHeight="1" x14ac:dyDescent="0.25">
      <c r="B77" s="216" t="s">
        <v>155</v>
      </c>
      <c r="C77" s="213">
        <v>185</v>
      </c>
      <c r="D77" s="207">
        <f>SUMIFS('декабрь 2023'!$G$4:$G$1227,'декабрь 2023'!$D$4:$D$1227,$B77,'декабрь 2023'!$J$4:$J$1227,D$1)</f>
        <v>0</v>
      </c>
      <c r="E77" s="207">
        <f>SUMIFS('декабрь 2023'!$G$4:$G$1227,'декабрь 2023'!$D$4:$D$1227,$B77,'декабрь 2023'!$J$4:$J$1227,E$1)</f>
        <v>0</v>
      </c>
      <c r="F77" s="207">
        <f>SUMIFS('декабрь 2023'!$G$4:$G$1227,'декабрь 2023'!$D$4:$D$1227,$B77,'декабрь 2023'!$J$4:$J$1227,F$1)</f>
        <v>0</v>
      </c>
      <c r="G77" s="207">
        <f>SUMIFS('декабрь 2023'!$G$4:$G$1227,'декабрь 2023'!$D$4:$D$1227,$B77,'декабрь 2023'!$J$4:$J$1227,G$1)</f>
        <v>0</v>
      </c>
      <c r="H77" s="207">
        <f>SUMIFS('декабрь 2023'!$G$4:$G$1227,'декабрь 2023'!$D$4:$D$1227,$B77,'декабрь 2023'!$J$4:$J$1227,H$1)</f>
        <v>0</v>
      </c>
      <c r="I77" s="207">
        <f>SUMIFS('декабрь 2023'!$G$4:$G$1227,'декабрь 2023'!$D$4:$D$1227,$B77,'декабрь 2023'!$J$4:$J$1227,I$1)</f>
        <v>0</v>
      </c>
      <c r="J77" s="207">
        <f>SUMIFS('декабрь 2023'!$G$4:$G$1227,'декабрь 2023'!$D$4:$D$1227,$B77,'декабрь 2023'!$J$4:$J$1227,J$1)</f>
        <v>0</v>
      </c>
      <c r="K77" s="207">
        <f>SUMIFS('декабрь 2023'!$G$4:$G$1227,'декабрь 2023'!$D$4:$D$1227,$B77,'декабрь 2023'!$J$4:$J$1227,K$1)</f>
        <v>0</v>
      </c>
      <c r="L77" s="207">
        <f>SUMIFS('декабрь 2023'!$G$4:$G$1227,'декабрь 2023'!$D$4:$D$1227,$B77,'декабрь 2023'!$J$4:$J$1227,L$1)</f>
        <v>0</v>
      </c>
      <c r="M77" s="207">
        <f>SUMIFS('декабрь 2023'!$G$4:$G$1227,'декабрь 2023'!$D$4:$D$1227,$B77,'декабрь 2023'!$J$4:$J$1227,M$1)</f>
        <v>0</v>
      </c>
      <c r="N77" s="207">
        <f>SUMIFS('декабрь 2023'!$G$4:$G$1227,'декабрь 2023'!$D$4:$D$1227,$B77,'декабрь 2023'!$J$4:$J$1227,N$1)</f>
        <v>0</v>
      </c>
      <c r="O77" s="207">
        <f>SUMIFS('декабрь 2023'!$G$4:$G$1227,'декабрь 2023'!$D$4:$D$1227,$B77,'декабрь 2023'!$J$4:$J$1227,O$1)</f>
        <v>0</v>
      </c>
      <c r="P77" s="207">
        <f>SUMIFS('декабрь 2023'!$G$4:$G$1227,'декабрь 2023'!$D$4:$D$1227,$B77,'декабрь 2023'!$J$4:$J$1227,P$1)</f>
        <v>80</v>
      </c>
      <c r="Q77" s="207">
        <f>SUMIFS('декабрь 2023'!$G$4:$G$1227,'декабрь 2023'!$D$4:$D$1227,$B77,'декабрь 2023'!$J$4:$J$1227,Q$1)</f>
        <v>0</v>
      </c>
      <c r="R77" s="207">
        <f>SUMIFS('декабрь 2023'!$G$4:$G$1227,'декабрь 2023'!$D$4:$D$1227,$B77,'декабрь 2023'!$J$4:$J$1227,R$1)</f>
        <v>0</v>
      </c>
      <c r="S77" s="207">
        <f>SUMIFS('декабрь 2023'!$G$4:$G$1227,'декабрь 2023'!$D$4:$D$1227,$B77,'декабрь 2023'!$J$4:$J$1227,S$1)</f>
        <v>0</v>
      </c>
      <c r="T77" s="207">
        <f>SUMIFS('декабрь 2023'!$G$4:$G$1227,'декабрь 2023'!$D$4:$D$1227,$B77,'декабрь 2023'!$J$4:$J$1227,T$1)</f>
        <v>0</v>
      </c>
      <c r="U77" s="207">
        <f>SUMIFS('декабрь 2023'!$G$4:$G$1227,'декабрь 2023'!$D$4:$D$1227,$B77,'декабрь 2023'!$J$4:$J$1227,U$1)</f>
        <v>0</v>
      </c>
      <c r="V77" s="207">
        <f>SUMIFS('декабрь 2023'!$G$4:$G$1227,'декабрь 2023'!$D$4:$D$1227,$B77,'декабрь 2023'!$J$4:$J$1227,V$1)</f>
        <v>0</v>
      </c>
      <c r="W77" s="207">
        <f>SUMIFS('декабрь 2023'!$G$4:$G$1227,'декабрь 2023'!$D$4:$D$1227,$B77,'декабрь 2023'!$J$4:$J$1227,W$1)</f>
        <v>0</v>
      </c>
      <c r="X77" s="207">
        <f>SUMIFS('декабрь 2023'!$G$4:$G$1227,'декабрь 2023'!$D$4:$D$1227,$B77,'декабрь 2023'!$J$4:$J$1227,X$1)</f>
        <v>0</v>
      </c>
      <c r="Y77" s="207">
        <f>SUMIFS('декабрь 2023'!$G$4:$G$1227,'декабрь 2023'!$D$4:$D$1227,$B77,'декабрь 2023'!$J$4:$J$1227,Y$1)</f>
        <v>0</v>
      </c>
      <c r="Z77" s="207">
        <f>SUMIFS('декабрь 2023'!$G$4:$G$1227,'декабрь 2023'!$D$4:$D$1227,$B77,'декабрь 2023'!$J$4:$J$1227,Z$1)</f>
        <v>0</v>
      </c>
      <c r="AA77" s="207">
        <f>SUMIFS('декабрь 2023'!$G$4:$G$1227,'декабрь 2023'!$D$4:$D$1227,$B77,'декабрь 2023'!$J$4:$J$1227,AA$1)</f>
        <v>0</v>
      </c>
      <c r="AB77" s="207">
        <f>SUMIFS('декабрь 2023'!$G$4:$G$1227,'декабрь 2023'!$D$4:$D$1227,$B77,'декабрь 2023'!$J$4:$J$1227,AB$1)</f>
        <v>0</v>
      </c>
      <c r="AC77" s="207">
        <f>SUMIFS('декабрь 2023'!$G$4:$G$1227,'декабрь 2023'!$D$4:$D$1227,$B77,'декабрь 2023'!$J$4:$J$1227,AC$1)</f>
        <v>0</v>
      </c>
      <c r="AD77" s="207">
        <f>SUMIFS('декабрь 2023'!$G$4:$G$1227,'декабрь 2023'!$D$4:$D$1227,$B77,'декабрь 2023'!$J$4:$J$1227,AD$1)</f>
        <v>0</v>
      </c>
      <c r="AE77" s="207">
        <f>SUMIFS('декабрь 2023'!$G$4:$G$1227,'декабрь 2023'!$D$4:$D$1227,$B77,'декабрь 2023'!$J$4:$J$1227,AE$1)</f>
        <v>80</v>
      </c>
      <c r="AF77" s="207">
        <f>SUMIFS('декабрь 2023'!$G$4:$G$1227,'декабрь 2023'!$D$4:$D$1227,$B77,'декабрь 2023'!$J$4:$J$1227,AF$1)</f>
        <v>0</v>
      </c>
      <c r="AG77" s="207">
        <f>SUMIFS('декабрь 2023'!$G$4:$G$1227,'декабрь 2023'!$D$4:$D$1227,$B77,'декабрь 2023'!$J$4:$J$1227,AG$1)</f>
        <v>0</v>
      </c>
      <c r="AH77" s="207">
        <f>SUMIFS('декабрь 2023'!$G$4:$G$1227,'декабрь 2023'!$D$4:$D$1227,$B77,'декабрь 2023'!$J$4:$J$1227,AH$1)</f>
        <v>0</v>
      </c>
      <c r="AI77" s="170">
        <f t="shared" si="2"/>
        <v>160</v>
      </c>
    </row>
    <row r="78" spans="2:35" ht="15" customHeight="1" x14ac:dyDescent="0.25">
      <c r="B78" s="216" t="s">
        <v>2180</v>
      </c>
      <c r="C78" s="213">
        <v>180</v>
      </c>
      <c r="D78" s="207">
        <f>SUMIFS('декабрь 2023'!$G$4:$G$1227,'декабрь 2023'!$D$4:$D$1227,$B78,'декабрь 2023'!$J$4:$J$1227,D$1)</f>
        <v>0</v>
      </c>
      <c r="E78" s="207">
        <f>SUMIFS('декабрь 2023'!$G$4:$G$1227,'декабрь 2023'!$D$4:$D$1227,$B78,'декабрь 2023'!$J$4:$J$1227,E$1)</f>
        <v>0</v>
      </c>
      <c r="F78" s="207">
        <f>SUMIFS('декабрь 2023'!$G$4:$G$1227,'декабрь 2023'!$D$4:$D$1227,$B78,'декабрь 2023'!$J$4:$J$1227,F$1)</f>
        <v>0</v>
      </c>
      <c r="G78" s="207">
        <f>SUMIFS('декабрь 2023'!$G$4:$G$1227,'декабрь 2023'!$D$4:$D$1227,$B78,'декабрь 2023'!$J$4:$J$1227,G$1)</f>
        <v>0</v>
      </c>
      <c r="H78" s="207">
        <f>SUMIFS('декабрь 2023'!$G$4:$G$1227,'декабрь 2023'!$D$4:$D$1227,$B78,'декабрь 2023'!$J$4:$J$1227,H$1)</f>
        <v>0</v>
      </c>
      <c r="I78" s="207">
        <f>SUMIFS('декабрь 2023'!$G$4:$G$1227,'декабрь 2023'!$D$4:$D$1227,$B78,'декабрь 2023'!$J$4:$J$1227,I$1)</f>
        <v>0</v>
      </c>
      <c r="J78" s="207">
        <f>SUMIFS('декабрь 2023'!$G$4:$G$1227,'декабрь 2023'!$D$4:$D$1227,$B78,'декабрь 2023'!$J$4:$J$1227,J$1)</f>
        <v>0</v>
      </c>
      <c r="K78" s="207">
        <f>SUMIFS('декабрь 2023'!$G$4:$G$1227,'декабрь 2023'!$D$4:$D$1227,$B78,'декабрь 2023'!$J$4:$J$1227,K$1)</f>
        <v>0</v>
      </c>
      <c r="L78" s="207">
        <f>SUMIFS('декабрь 2023'!$G$4:$G$1227,'декабрь 2023'!$D$4:$D$1227,$B78,'декабрь 2023'!$J$4:$J$1227,L$1)</f>
        <v>0</v>
      </c>
      <c r="M78" s="207">
        <f>SUMIFS('декабрь 2023'!$G$4:$G$1227,'декабрь 2023'!$D$4:$D$1227,$B78,'декабрь 2023'!$J$4:$J$1227,M$1)</f>
        <v>0</v>
      </c>
      <c r="N78" s="207">
        <f>SUMIFS('декабрь 2023'!$G$4:$G$1227,'декабрь 2023'!$D$4:$D$1227,$B78,'декабрь 2023'!$J$4:$J$1227,N$1)</f>
        <v>0</v>
      </c>
      <c r="O78" s="207">
        <f>SUMIFS('декабрь 2023'!$G$4:$G$1227,'декабрь 2023'!$D$4:$D$1227,$B78,'декабрь 2023'!$J$4:$J$1227,O$1)</f>
        <v>0</v>
      </c>
      <c r="P78" s="207">
        <f>SUMIFS('декабрь 2023'!$G$4:$G$1227,'декабрь 2023'!$D$4:$D$1227,$B78,'декабрь 2023'!$J$4:$J$1227,P$1)</f>
        <v>0</v>
      </c>
      <c r="Q78" s="207">
        <f>SUMIFS('декабрь 2023'!$G$4:$G$1227,'декабрь 2023'!$D$4:$D$1227,$B78,'декабрь 2023'!$J$4:$J$1227,Q$1)</f>
        <v>0</v>
      </c>
      <c r="R78" s="207">
        <f>SUMIFS('декабрь 2023'!$G$4:$G$1227,'декабрь 2023'!$D$4:$D$1227,$B78,'декабрь 2023'!$J$4:$J$1227,R$1)</f>
        <v>0</v>
      </c>
      <c r="S78" s="207">
        <f>SUMIFS('декабрь 2023'!$G$4:$G$1227,'декабрь 2023'!$D$4:$D$1227,$B78,'декабрь 2023'!$J$4:$J$1227,S$1)</f>
        <v>0</v>
      </c>
      <c r="T78" s="207">
        <f>SUMIFS('декабрь 2023'!$G$4:$G$1227,'декабрь 2023'!$D$4:$D$1227,$B78,'декабрь 2023'!$J$4:$J$1227,T$1)</f>
        <v>0</v>
      </c>
      <c r="U78" s="207">
        <f>SUMIFS('декабрь 2023'!$G$4:$G$1227,'декабрь 2023'!$D$4:$D$1227,$B78,'декабрь 2023'!$J$4:$J$1227,U$1)</f>
        <v>0</v>
      </c>
      <c r="V78" s="207">
        <f>SUMIFS('декабрь 2023'!$G$4:$G$1227,'декабрь 2023'!$D$4:$D$1227,$B78,'декабрь 2023'!$J$4:$J$1227,V$1)</f>
        <v>0</v>
      </c>
      <c r="W78" s="207">
        <f>SUMIFS('декабрь 2023'!$G$4:$G$1227,'декабрь 2023'!$D$4:$D$1227,$B78,'декабрь 2023'!$J$4:$J$1227,W$1)</f>
        <v>0</v>
      </c>
      <c r="X78" s="207">
        <f>SUMIFS('декабрь 2023'!$G$4:$G$1227,'декабрь 2023'!$D$4:$D$1227,$B78,'декабрь 2023'!$J$4:$J$1227,X$1)</f>
        <v>0</v>
      </c>
      <c r="Y78" s="207">
        <f>SUMIFS('декабрь 2023'!$G$4:$G$1227,'декабрь 2023'!$D$4:$D$1227,$B78,'декабрь 2023'!$J$4:$J$1227,Y$1)</f>
        <v>0</v>
      </c>
      <c r="Z78" s="207">
        <f>SUMIFS('декабрь 2023'!$G$4:$G$1227,'декабрь 2023'!$D$4:$D$1227,$B78,'декабрь 2023'!$J$4:$J$1227,Z$1)</f>
        <v>0</v>
      </c>
      <c r="AA78" s="207">
        <f>SUMIFS('декабрь 2023'!$G$4:$G$1227,'декабрь 2023'!$D$4:$D$1227,$B78,'декабрь 2023'!$J$4:$J$1227,AA$1)</f>
        <v>0</v>
      </c>
      <c r="AB78" s="207">
        <f>SUMIFS('декабрь 2023'!$G$4:$G$1227,'декабрь 2023'!$D$4:$D$1227,$B78,'декабрь 2023'!$J$4:$J$1227,AB$1)</f>
        <v>0</v>
      </c>
      <c r="AC78" s="207">
        <f>SUMIFS('декабрь 2023'!$G$4:$G$1227,'декабрь 2023'!$D$4:$D$1227,$B78,'декабрь 2023'!$J$4:$J$1227,AC$1)</f>
        <v>0</v>
      </c>
      <c r="AD78" s="207">
        <f>SUMIFS('декабрь 2023'!$G$4:$G$1227,'декабрь 2023'!$D$4:$D$1227,$B78,'декабрь 2023'!$J$4:$J$1227,AD$1)</f>
        <v>0</v>
      </c>
      <c r="AE78" s="207">
        <f>SUMIFS('декабрь 2023'!$G$4:$G$1227,'декабрь 2023'!$D$4:$D$1227,$B78,'декабрь 2023'!$J$4:$J$1227,AE$1)</f>
        <v>0</v>
      </c>
      <c r="AF78" s="207">
        <f>SUMIFS('декабрь 2023'!$G$4:$G$1227,'декабрь 2023'!$D$4:$D$1227,$B78,'декабрь 2023'!$J$4:$J$1227,AF$1)</f>
        <v>0</v>
      </c>
      <c r="AG78" s="207">
        <f>SUMIFS('декабрь 2023'!$G$4:$G$1227,'декабрь 2023'!$D$4:$D$1227,$B78,'декабрь 2023'!$J$4:$J$1227,AG$1)</f>
        <v>0</v>
      </c>
      <c r="AH78" s="207">
        <f>SUMIFS('декабрь 2023'!$G$4:$G$1227,'декабрь 2023'!$D$4:$D$1227,$B78,'декабрь 2023'!$J$4:$J$1227,AH$1)</f>
        <v>0</v>
      </c>
      <c r="AI78" s="170">
        <f t="shared" si="2"/>
        <v>0</v>
      </c>
    </row>
    <row r="79" spans="2:35" ht="15" customHeight="1" x14ac:dyDescent="0.25">
      <c r="B79" s="212" t="s">
        <v>2183</v>
      </c>
      <c r="C79" s="211">
        <v>180</v>
      </c>
      <c r="D79" s="207">
        <f>SUMIFS('декабрь 2023'!$G$4:$G$1227,'декабрь 2023'!$D$4:$D$1227,$B79,'декабрь 2023'!$J$4:$J$1227,D$1)</f>
        <v>0</v>
      </c>
      <c r="E79" s="207">
        <f>SUMIFS('декабрь 2023'!$G$4:$G$1227,'декабрь 2023'!$D$4:$D$1227,$B79,'декабрь 2023'!$J$4:$J$1227,E$1)</f>
        <v>0</v>
      </c>
      <c r="F79" s="207">
        <f>SUMIFS('декабрь 2023'!$G$4:$G$1227,'декабрь 2023'!$D$4:$D$1227,$B79,'декабрь 2023'!$J$4:$J$1227,F$1)</f>
        <v>0</v>
      </c>
      <c r="G79" s="207">
        <f>SUMIFS('декабрь 2023'!$G$4:$G$1227,'декабрь 2023'!$D$4:$D$1227,$B79,'декабрь 2023'!$J$4:$J$1227,G$1)</f>
        <v>0</v>
      </c>
      <c r="H79" s="207">
        <f>SUMIFS('декабрь 2023'!$G$4:$G$1227,'декабрь 2023'!$D$4:$D$1227,$B79,'декабрь 2023'!$J$4:$J$1227,H$1)</f>
        <v>0</v>
      </c>
      <c r="I79" s="207">
        <f>SUMIFS('декабрь 2023'!$G$4:$G$1227,'декабрь 2023'!$D$4:$D$1227,$B79,'декабрь 2023'!$J$4:$J$1227,I$1)</f>
        <v>0</v>
      </c>
      <c r="J79" s="207">
        <f>SUMIFS('декабрь 2023'!$G$4:$G$1227,'декабрь 2023'!$D$4:$D$1227,$B79,'декабрь 2023'!$J$4:$J$1227,J$1)</f>
        <v>0</v>
      </c>
      <c r="K79" s="207">
        <f>SUMIFS('декабрь 2023'!$G$4:$G$1227,'декабрь 2023'!$D$4:$D$1227,$B79,'декабрь 2023'!$J$4:$J$1227,K$1)</f>
        <v>0</v>
      </c>
      <c r="L79" s="207">
        <f>SUMIFS('декабрь 2023'!$G$4:$G$1227,'декабрь 2023'!$D$4:$D$1227,$B79,'декабрь 2023'!$J$4:$J$1227,L$1)</f>
        <v>0</v>
      </c>
      <c r="M79" s="207">
        <f>SUMIFS('декабрь 2023'!$G$4:$G$1227,'декабрь 2023'!$D$4:$D$1227,$B79,'декабрь 2023'!$J$4:$J$1227,M$1)</f>
        <v>0</v>
      </c>
      <c r="N79" s="207">
        <f>SUMIFS('декабрь 2023'!$G$4:$G$1227,'декабрь 2023'!$D$4:$D$1227,$B79,'декабрь 2023'!$J$4:$J$1227,N$1)</f>
        <v>0</v>
      </c>
      <c r="O79" s="207">
        <f>SUMIFS('декабрь 2023'!$G$4:$G$1227,'декабрь 2023'!$D$4:$D$1227,$B79,'декабрь 2023'!$J$4:$J$1227,O$1)</f>
        <v>0</v>
      </c>
      <c r="P79" s="207">
        <f>SUMIFS('декабрь 2023'!$G$4:$G$1227,'декабрь 2023'!$D$4:$D$1227,$B79,'декабрь 2023'!$J$4:$J$1227,P$1)</f>
        <v>0</v>
      </c>
      <c r="Q79" s="207">
        <f>SUMIFS('декабрь 2023'!$G$4:$G$1227,'декабрь 2023'!$D$4:$D$1227,$B79,'декабрь 2023'!$J$4:$J$1227,Q$1)</f>
        <v>0</v>
      </c>
      <c r="R79" s="207">
        <f>SUMIFS('декабрь 2023'!$G$4:$G$1227,'декабрь 2023'!$D$4:$D$1227,$B79,'декабрь 2023'!$J$4:$J$1227,R$1)</f>
        <v>0</v>
      </c>
      <c r="S79" s="207">
        <f>SUMIFS('декабрь 2023'!$G$4:$G$1227,'декабрь 2023'!$D$4:$D$1227,$B79,'декабрь 2023'!$J$4:$J$1227,S$1)</f>
        <v>0</v>
      </c>
      <c r="T79" s="207">
        <f>SUMIFS('декабрь 2023'!$G$4:$G$1227,'декабрь 2023'!$D$4:$D$1227,$B79,'декабрь 2023'!$J$4:$J$1227,T$1)</f>
        <v>0</v>
      </c>
      <c r="U79" s="207">
        <f>SUMIFS('декабрь 2023'!$G$4:$G$1227,'декабрь 2023'!$D$4:$D$1227,$B79,'декабрь 2023'!$J$4:$J$1227,U$1)</f>
        <v>0</v>
      </c>
      <c r="V79" s="207">
        <f>SUMIFS('декабрь 2023'!$G$4:$G$1227,'декабрь 2023'!$D$4:$D$1227,$B79,'декабрь 2023'!$J$4:$J$1227,V$1)</f>
        <v>0</v>
      </c>
      <c r="W79" s="207">
        <f>SUMIFS('декабрь 2023'!$G$4:$G$1227,'декабрь 2023'!$D$4:$D$1227,$B79,'декабрь 2023'!$J$4:$J$1227,W$1)</f>
        <v>0</v>
      </c>
      <c r="X79" s="207">
        <f>SUMIFS('декабрь 2023'!$G$4:$G$1227,'декабрь 2023'!$D$4:$D$1227,$B79,'декабрь 2023'!$J$4:$J$1227,X$1)</f>
        <v>0</v>
      </c>
      <c r="Y79" s="207">
        <f>SUMIFS('декабрь 2023'!$G$4:$G$1227,'декабрь 2023'!$D$4:$D$1227,$B79,'декабрь 2023'!$J$4:$J$1227,Y$1)</f>
        <v>0</v>
      </c>
      <c r="Z79" s="207">
        <f>SUMIFS('декабрь 2023'!$G$4:$G$1227,'декабрь 2023'!$D$4:$D$1227,$B79,'декабрь 2023'!$J$4:$J$1227,Z$1)</f>
        <v>0</v>
      </c>
      <c r="AA79" s="207">
        <f>SUMIFS('декабрь 2023'!$G$4:$G$1227,'декабрь 2023'!$D$4:$D$1227,$B79,'декабрь 2023'!$J$4:$J$1227,AA$1)</f>
        <v>0</v>
      </c>
      <c r="AB79" s="207">
        <f>SUMIFS('декабрь 2023'!$G$4:$G$1227,'декабрь 2023'!$D$4:$D$1227,$B79,'декабрь 2023'!$J$4:$J$1227,AB$1)</f>
        <v>0</v>
      </c>
      <c r="AC79" s="207">
        <f>SUMIFS('декабрь 2023'!$G$4:$G$1227,'декабрь 2023'!$D$4:$D$1227,$B79,'декабрь 2023'!$J$4:$J$1227,AC$1)</f>
        <v>0</v>
      </c>
      <c r="AD79" s="207">
        <f>SUMIFS('декабрь 2023'!$G$4:$G$1227,'декабрь 2023'!$D$4:$D$1227,$B79,'декабрь 2023'!$J$4:$J$1227,AD$1)</f>
        <v>0</v>
      </c>
      <c r="AE79" s="207">
        <f>SUMIFS('декабрь 2023'!$G$4:$G$1227,'декабрь 2023'!$D$4:$D$1227,$B79,'декабрь 2023'!$J$4:$J$1227,AE$1)</f>
        <v>0</v>
      </c>
      <c r="AF79" s="207">
        <f>SUMIFS('декабрь 2023'!$G$4:$G$1227,'декабрь 2023'!$D$4:$D$1227,$B79,'декабрь 2023'!$J$4:$J$1227,AF$1)</f>
        <v>0</v>
      </c>
      <c r="AG79" s="207">
        <f>SUMIFS('декабрь 2023'!$G$4:$G$1227,'декабрь 2023'!$D$4:$D$1227,$B79,'декабрь 2023'!$J$4:$J$1227,AG$1)</f>
        <v>0</v>
      </c>
      <c r="AH79" s="207">
        <f>SUMIFS('декабрь 2023'!$G$4:$G$1227,'декабрь 2023'!$D$4:$D$1227,$B79,'декабрь 2023'!$J$4:$J$1227,AH$1)</f>
        <v>0</v>
      </c>
      <c r="AI79" s="170">
        <f t="shared" si="2"/>
        <v>0</v>
      </c>
    </row>
    <row r="80" spans="2:35" ht="15" customHeight="1" x14ac:dyDescent="0.25">
      <c r="B80" s="212" t="s">
        <v>561</v>
      </c>
      <c r="C80" s="211">
        <v>200</v>
      </c>
      <c r="D80" s="207">
        <f>SUMIFS('декабрь 2023'!$G$4:$G$1227,'декабрь 2023'!$D$4:$D$1227,$B80,'декабрь 2023'!$J$4:$J$1227,D$1)</f>
        <v>0</v>
      </c>
      <c r="E80" s="207">
        <f>SUMIFS('декабрь 2023'!$G$4:$G$1227,'декабрь 2023'!$D$4:$D$1227,$B80,'декабрь 2023'!$J$4:$J$1227,E$1)</f>
        <v>0</v>
      </c>
      <c r="F80" s="207">
        <f>SUMIFS('декабрь 2023'!$G$4:$G$1227,'декабрь 2023'!$D$4:$D$1227,$B80,'декабрь 2023'!$J$4:$J$1227,F$1)</f>
        <v>0</v>
      </c>
      <c r="G80" s="207">
        <f>SUMIFS('декабрь 2023'!$G$4:$G$1227,'декабрь 2023'!$D$4:$D$1227,$B80,'декабрь 2023'!$J$4:$J$1227,G$1)</f>
        <v>0</v>
      </c>
      <c r="H80" s="207">
        <f>SUMIFS('декабрь 2023'!$G$4:$G$1227,'декабрь 2023'!$D$4:$D$1227,$B80,'декабрь 2023'!$J$4:$J$1227,H$1)</f>
        <v>0</v>
      </c>
      <c r="I80" s="207">
        <f>SUMIFS('декабрь 2023'!$G$4:$G$1227,'декабрь 2023'!$D$4:$D$1227,$B80,'декабрь 2023'!$J$4:$J$1227,I$1)</f>
        <v>0</v>
      </c>
      <c r="J80" s="207">
        <f>SUMIFS('декабрь 2023'!$G$4:$G$1227,'декабрь 2023'!$D$4:$D$1227,$B80,'декабрь 2023'!$J$4:$J$1227,J$1)</f>
        <v>0</v>
      </c>
      <c r="K80" s="207">
        <f>SUMIFS('декабрь 2023'!$G$4:$G$1227,'декабрь 2023'!$D$4:$D$1227,$B80,'декабрь 2023'!$J$4:$J$1227,K$1)</f>
        <v>0</v>
      </c>
      <c r="L80" s="207">
        <f>SUMIFS('декабрь 2023'!$G$4:$G$1227,'декабрь 2023'!$D$4:$D$1227,$B80,'декабрь 2023'!$J$4:$J$1227,L$1)</f>
        <v>0</v>
      </c>
      <c r="M80" s="207">
        <f>SUMIFS('декабрь 2023'!$G$4:$G$1227,'декабрь 2023'!$D$4:$D$1227,$B80,'декабрь 2023'!$J$4:$J$1227,M$1)</f>
        <v>0</v>
      </c>
      <c r="N80" s="207">
        <f>SUMIFS('декабрь 2023'!$G$4:$G$1227,'декабрь 2023'!$D$4:$D$1227,$B80,'декабрь 2023'!$J$4:$J$1227,N$1)</f>
        <v>0</v>
      </c>
      <c r="O80" s="207">
        <f>SUMIFS('декабрь 2023'!$G$4:$G$1227,'декабрь 2023'!$D$4:$D$1227,$B80,'декабрь 2023'!$J$4:$J$1227,O$1)</f>
        <v>0</v>
      </c>
      <c r="P80" s="207">
        <f>SUMIFS('декабрь 2023'!$G$4:$G$1227,'декабрь 2023'!$D$4:$D$1227,$B80,'декабрь 2023'!$J$4:$J$1227,P$1)</f>
        <v>0</v>
      </c>
      <c r="Q80" s="207">
        <f>SUMIFS('декабрь 2023'!$G$4:$G$1227,'декабрь 2023'!$D$4:$D$1227,$B80,'декабрь 2023'!$J$4:$J$1227,Q$1)</f>
        <v>0</v>
      </c>
      <c r="R80" s="207">
        <f>SUMIFS('декабрь 2023'!$G$4:$G$1227,'декабрь 2023'!$D$4:$D$1227,$B80,'декабрь 2023'!$J$4:$J$1227,R$1)</f>
        <v>0</v>
      </c>
      <c r="S80" s="207">
        <f>SUMIFS('декабрь 2023'!$G$4:$G$1227,'декабрь 2023'!$D$4:$D$1227,$B80,'декабрь 2023'!$J$4:$J$1227,S$1)</f>
        <v>0</v>
      </c>
      <c r="T80" s="207">
        <f>SUMIFS('декабрь 2023'!$G$4:$G$1227,'декабрь 2023'!$D$4:$D$1227,$B80,'декабрь 2023'!$J$4:$J$1227,T$1)</f>
        <v>0</v>
      </c>
      <c r="U80" s="207">
        <f>SUMIFS('декабрь 2023'!$G$4:$G$1227,'декабрь 2023'!$D$4:$D$1227,$B80,'декабрь 2023'!$J$4:$J$1227,U$1)</f>
        <v>0</v>
      </c>
      <c r="V80" s="207">
        <f>SUMIFS('декабрь 2023'!$G$4:$G$1227,'декабрь 2023'!$D$4:$D$1227,$B80,'декабрь 2023'!$J$4:$J$1227,V$1)</f>
        <v>0</v>
      </c>
      <c r="W80" s="207">
        <f>SUMIFS('декабрь 2023'!$G$4:$G$1227,'декабрь 2023'!$D$4:$D$1227,$B80,'декабрь 2023'!$J$4:$J$1227,W$1)</f>
        <v>0</v>
      </c>
      <c r="X80" s="207">
        <f>SUMIFS('декабрь 2023'!$G$4:$G$1227,'декабрь 2023'!$D$4:$D$1227,$B80,'декабрь 2023'!$J$4:$J$1227,X$1)</f>
        <v>0</v>
      </c>
      <c r="Y80" s="207">
        <f>SUMIFS('декабрь 2023'!$G$4:$G$1227,'декабрь 2023'!$D$4:$D$1227,$B80,'декабрь 2023'!$J$4:$J$1227,Y$1)</f>
        <v>0</v>
      </c>
      <c r="Z80" s="207">
        <f>SUMIFS('декабрь 2023'!$G$4:$G$1227,'декабрь 2023'!$D$4:$D$1227,$B80,'декабрь 2023'!$J$4:$J$1227,Z$1)</f>
        <v>0</v>
      </c>
      <c r="AA80" s="207">
        <f>SUMIFS('декабрь 2023'!$G$4:$G$1227,'декабрь 2023'!$D$4:$D$1227,$B80,'декабрь 2023'!$J$4:$J$1227,AA$1)</f>
        <v>0</v>
      </c>
      <c r="AB80" s="207">
        <f>SUMIFS('декабрь 2023'!$G$4:$G$1227,'декабрь 2023'!$D$4:$D$1227,$B80,'декабрь 2023'!$J$4:$J$1227,AB$1)</f>
        <v>0</v>
      </c>
      <c r="AC80" s="207">
        <f>SUMIFS('декабрь 2023'!$G$4:$G$1227,'декабрь 2023'!$D$4:$D$1227,$B80,'декабрь 2023'!$J$4:$J$1227,AC$1)</f>
        <v>0</v>
      </c>
      <c r="AD80" s="207">
        <f>SUMIFS('декабрь 2023'!$G$4:$G$1227,'декабрь 2023'!$D$4:$D$1227,$B80,'декабрь 2023'!$J$4:$J$1227,AD$1)</f>
        <v>0</v>
      </c>
      <c r="AE80" s="207">
        <f>SUMIFS('декабрь 2023'!$G$4:$G$1227,'декабрь 2023'!$D$4:$D$1227,$B80,'декабрь 2023'!$J$4:$J$1227,AE$1)</f>
        <v>0</v>
      </c>
      <c r="AF80" s="207">
        <f>SUMIFS('декабрь 2023'!$G$4:$G$1227,'декабрь 2023'!$D$4:$D$1227,$B80,'декабрь 2023'!$J$4:$J$1227,AF$1)</f>
        <v>0</v>
      </c>
      <c r="AG80" s="207">
        <f>SUMIFS('декабрь 2023'!$G$4:$G$1227,'декабрь 2023'!$D$4:$D$1227,$B80,'декабрь 2023'!$J$4:$J$1227,AG$1)</f>
        <v>0</v>
      </c>
      <c r="AH80" s="207">
        <f>SUMIFS('декабрь 2023'!$G$4:$G$1227,'декабрь 2023'!$D$4:$D$1227,$B80,'декабрь 2023'!$J$4:$J$1227,AH$1)</f>
        <v>0</v>
      </c>
      <c r="AI80" s="170">
        <f t="shared" si="2"/>
        <v>0</v>
      </c>
    </row>
    <row r="81" spans="2:35" ht="15" customHeight="1" x14ac:dyDescent="0.25">
      <c r="B81" s="216" t="s">
        <v>1372</v>
      </c>
      <c r="C81" s="211">
        <v>180</v>
      </c>
      <c r="D81" s="207">
        <f>SUMIFS('декабрь 2023'!$G$4:$G$1227,'декабрь 2023'!$D$4:$D$1227,$B81,'декабрь 2023'!$J$4:$J$1227,D$1)</f>
        <v>0</v>
      </c>
      <c r="E81" s="207">
        <f>SUMIFS('декабрь 2023'!$G$4:$G$1227,'декабрь 2023'!$D$4:$D$1227,$B81,'декабрь 2023'!$J$4:$J$1227,E$1)</f>
        <v>0</v>
      </c>
      <c r="F81" s="207">
        <f>SUMIFS('декабрь 2023'!$G$4:$G$1227,'декабрь 2023'!$D$4:$D$1227,$B81,'декабрь 2023'!$J$4:$J$1227,F$1)</f>
        <v>0</v>
      </c>
      <c r="G81" s="207">
        <f>SUMIFS('декабрь 2023'!$G$4:$G$1227,'декабрь 2023'!$D$4:$D$1227,$B81,'декабрь 2023'!$J$4:$J$1227,G$1)</f>
        <v>0</v>
      </c>
      <c r="H81" s="207">
        <f>SUMIFS('декабрь 2023'!$G$4:$G$1227,'декабрь 2023'!$D$4:$D$1227,$B81,'декабрь 2023'!$J$4:$J$1227,H$1)</f>
        <v>0</v>
      </c>
      <c r="I81" s="207">
        <f>SUMIFS('декабрь 2023'!$G$4:$G$1227,'декабрь 2023'!$D$4:$D$1227,$B81,'декабрь 2023'!$J$4:$J$1227,I$1)</f>
        <v>0</v>
      </c>
      <c r="J81" s="207">
        <f>SUMIFS('декабрь 2023'!$G$4:$G$1227,'декабрь 2023'!$D$4:$D$1227,$B81,'декабрь 2023'!$J$4:$J$1227,J$1)</f>
        <v>0</v>
      </c>
      <c r="K81" s="207">
        <f>SUMIFS('декабрь 2023'!$G$4:$G$1227,'декабрь 2023'!$D$4:$D$1227,$B81,'декабрь 2023'!$J$4:$J$1227,K$1)</f>
        <v>0</v>
      </c>
      <c r="L81" s="207">
        <f>SUMIFS('декабрь 2023'!$G$4:$G$1227,'декабрь 2023'!$D$4:$D$1227,$B81,'декабрь 2023'!$J$4:$J$1227,L$1)</f>
        <v>0</v>
      </c>
      <c r="M81" s="207">
        <f>SUMIFS('декабрь 2023'!$G$4:$G$1227,'декабрь 2023'!$D$4:$D$1227,$B81,'декабрь 2023'!$J$4:$J$1227,M$1)</f>
        <v>0</v>
      </c>
      <c r="N81" s="207">
        <f>SUMIFS('декабрь 2023'!$G$4:$G$1227,'декабрь 2023'!$D$4:$D$1227,$B81,'декабрь 2023'!$J$4:$J$1227,N$1)</f>
        <v>0</v>
      </c>
      <c r="O81" s="207">
        <f>SUMIFS('декабрь 2023'!$G$4:$G$1227,'декабрь 2023'!$D$4:$D$1227,$B81,'декабрь 2023'!$J$4:$J$1227,O$1)</f>
        <v>0</v>
      </c>
      <c r="P81" s="207">
        <f>SUMIFS('декабрь 2023'!$G$4:$G$1227,'декабрь 2023'!$D$4:$D$1227,$B81,'декабрь 2023'!$J$4:$J$1227,P$1)</f>
        <v>0</v>
      </c>
      <c r="Q81" s="207">
        <f>SUMIFS('декабрь 2023'!$G$4:$G$1227,'декабрь 2023'!$D$4:$D$1227,$B81,'декабрь 2023'!$J$4:$J$1227,Q$1)</f>
        <v>0</v>
      </c>
      <c r="R81" s="207">
        <f>SUMIFS('декабрь 2023'!$G$4:$G$1227,'декабрь 2023'!$D$4:$D$1227,$B81,'декабрь 2023'!$J$4:$J$1227,R$1)</f>
        <v>0</v>
      </c>
      <c r="S81" s="207">
        <f>SUMIFS('декабрь 2023'!$G$4:$G$1227,'декабрь 2023'!$D$4:$D$1227,$B81,'декабрь 2023'!$J$4:$J$1227,S$1)</f>
        <v>0</v>
      </c>
      <c r="T81" s="207">
        <f>SUMIFS('декабрь 2023'!$G$4:$G$1227,'декабрь 2023'!$D$4:$D$1227,$B81,'декабрь 2023'!$J$4:$J$1227,T$1)</f>
        <v>0</v>
      </c>
      <c r="U81" s="207">
        <f>SUMIFS('декабрь 2023'!$G$4:$G$1227,'декабрь 2023'!$D$4:$D$1227,$B81,'декабрь 2023'!$J$4:$J$1227,U$1)</f>
        <v>0</v>
      </c>
      <c r="V81" s="207">
        <f>SUMIFS('декабрь 2023'!$G$4:$G$1227,'декабрь 2023'!$D$4:$D$1227,$B81,'декабрь 2023'!$J$4:$J$1227,V$1)</f>
        <v>0</v>
      </c>
      <c r="W81" s="207">
        <f>SUMIFS('декабрь 2023'!$G$4:$G$1227,'декабрь 2023'!$D$4:$D$1227,$B81,'декабрь 2023'!$J$4:$J$1227,W$1)</f>
        <v>0</v>
      </c>
      <c r="X81" s="207">
        <f>SUMIFS('декабрь 2023'!$G$4:$G$1227,'декабрь 2023'!$D$4:$D$1227,$B81,'декабрь 2023'!$J$4:$J$1227,X$1)</f>
        <v>0</v>
      </c>
      <c r="Y81" s="207">
        <f>SUMIFS('декабрь 2023'!$G$4:$G$1227,'декабрь 2023'!$D$4:$D$1227,$B81,'декабрь 2023'!$J$4:$J$1227,Y$1)</f>
        <v>0</v>
      </c>
      <c r="Z81" s="207">
        <f>SUMIFS('декабрь 2023'!$G$4:$G$1227,'декабрь 2023'!$D$4:$D$1227,$B81,'декабрь 2023'!$J$4:$J$1227,Z$1)</f>
        <v>0</v>
      </c>
      <c r="AA81" s="207">
        <f>SUMIFS('декабрь 2023'!$G$4:$G$1227,'декабрь 2023'!$D$4:$D$1227,$B81,'декабрь 2023'!$J$4:$J$1227,AA$1)</f>
        <v>0</v>
      </c>
      <c r="AB81" s="207">
        <f>SUMIFS('декабрь 2023'!$G$4:$G$1227,'декабрь 2023'!$D$4:$D$1227,$B81,'декабрь 2023'!$J$4:$J$1227,AB$1)</f>
        <v>0</v>
      </c>
      <c r="AC81" s="207">
        <f>SUMIFS('декабрь 2023'!$G$4:$G$1227,'декабрь 2023'!$D$4:$D$1227,$B81,'декабрь 2023'!$J$4:$J$1227,AC$1)</f>
        <v>0</v>
      </c>
      <c r="AD81" s="207">
        <f>SUMIFS('декабрь 2023'!$G$4:$G$1227,'декабрь 2023'!$D$4:$D$1227,$B81,'декабрь 2023'!$J$4:$J$1227,AD$1)</f>
        <v>0</v>
      </c>
      <c r="AE81" s="207">
        <f>SUMIFS('декабрь 2023'!$G$4:$G$1227,'декабрь 2023'!$D$4:$D$1227,$B81,'декабрь 2023'!$J$4:$J$1227,AE$1)</f>
        <v>0</v>
      </c>
      <c r="AF81" s="207">
        <f>SUMIFS('декабрь 2023'!$G$4:$G$1227,'декабрь 2023'!$D$4:$D$1227,$B81,'декабрь 2023'!$J$4:$J$1227,AF$1)</f>
        <v>0</v>
      </c>
      <c r="AG81" s="207">
        <f>SUMIFS('декабрь 2023'!$G$4:$G$1227,'декабрь 2023'!$D$4:$D$1227,$B81,'декабрь 2023'!$J$4:$J$1227,AG$1)</f>
        <v>0</v>
      </c>
      <c r="AH81" s="207">
        <f>SUMIFS('декабрь 2023'!$G$4:$G$1227,'декабрь 2023'!$D$4:$D$1227,$B81,'декабрь 2023'!$J$4:$J$1227,AH$1)</f>
        <v>0</v>
      </c>
      <c r="AI81" s="170">
        <f t="shared" si="2"/>
        <v>0</v>
      </c>
    </row>
    <row r="82" spans="2:35" ht="15" customHeight="1" x14ac:dyDescent="0.25">
      <c r="B82" s="216" t="s">
        <v>604</v>
      </c>
      <c r="C82" s="213">
        <v>25</v>
      </c>
      <c r="D82" s="207">
        <f>SUMIFS('декабрь 2023'!$G$4:$G$1227,'декабрь 2023'!$D$4:$D$1227,$B82,'декабрь 2023'!$J$4:$J$1227,D$1)</f>
        <v>0</v>
      </c>
      <c r="E82" s="207">
        <f>SUMIFS('декабрь 2023'!$G$4:$G$1227,'декабрь 2023'!$D$4:$D$1227,$B82,'декабрь 2023'!$J$4:$J$1227,E$1)</f>
        <v>0</v>
      </c>
      <c r="F82" s="207">
        <f>SUMIFS('декабрь 2023'!$G$4:$G$1227,'декабрь 2023'!$D$4:$D$1227,$B82,'декабрь 2023'!$J$4:$J$1227,F$1)</f>
        <v>0</v>
      </c>
      <c r="G82" s="207">
        <f>SUMIFS('декабрь 2023'!$G$4:$G$1227,'декабрь 2023'!$D$4:$D$1227,$B82,'декабрь 2023'!$J$4:$J$1227,G$1)</f>
        <v>0</v>
      </c>
      <c r="H82" s="207">
        <f>SUMIFS('декабрь 2023'!$G$4:$G$1227,'декабрь 2023'!$D$4:$D$1227,$B82,'декабрь 2023'!$J$4:$J$1227,H$1)</f>
        <v>0</v>
      </c>
      <c r="I82" s="207">
        <f>SUMIFS('декабрь 2023'!$G$4:$G$1227,'декабрь 2023'!$D$4:$D$1227,$B82,'декабрь 2023'!$J$4:$J$1227,I$1)</f>
        <v>0</v>
      </c>
      <c r="J82" s="207">
        <f>SUMIFS('декабрь 2023'!$G$4:$G$1227,'декабрь 2023'!$D$4:$D$1227,$B82,'декабрь 2023'!$J$4:$J$1227,J$1)</f>
        <v>0</v>
      </c>
      <c r="K82" s="207">
        <f>SUMIFS('декабрь 2023'!$G$4:$G$1227,'декабрь 2023'!$D$4:$D$1227,$B82,'декабрь 2023'!$J$4:$J$1227,K$1)</f>
        <v>0</v>
      </c>
      <c r="L82" s="207">
        <f>SUMIFS('декабрь 2023'!$G$4:$G$1227,'декабрь 2023'!$D$4:$D$1227,$B82,'декабрь 2023'!$J$4:$J$1227,L$1)</f>
        <v>0</v>
      </c>
      <c r="M82" s="207">
        <f>SUMIFS('декабрь 2023'!$G$4:$G$1227,'декабрь 2023'!$D$4:$D$1227,$B82,'декабрь 2023'!$J$4:$J$1227,M$1)</f>
        <v>0</v>
      </c>
      <c r="N82" s="207">
        <f>SUMIFS('декабрь 2023'!$G$4:$G$1227,'декабрь 2023'!$D$4:$D$1227,$B82,'декабрь 2023'!$J$4:$J$1227,N$1)</f>
        <v>0</v>
      </c>
      <c r="O82" s="207">
        <f>SUMIFS('декабрь 2023'!$G$4:$G$1227,'декабрь 2023'!$D$4:$D$1227,$B82,'декабрь 2023'!$J$4:$J$1227,O$1)</f>
        <v>0</v>
      </c>
      <c r="P82" s="207">
        <f>SUMIFS('декабрь 2023'!$G$4:$G$1227,'декабрь 2023'!$D$4:$D$1227,$B82,'декабрь 2023'!$J$4:$J$1227,P$1)</f>
        <v>0</v>
      </c>
      <c r="Q82" s="207">
        <f>SUMIFS('декабрь 2023'!$G$4:$G$1227,'декабрь 2023'!$D$4:$D$1227,$B82,'декабрь 2023'!$J$4:$J$1227,Q$1)</f>
        <v>0</v>
      </c>
      <c r="R82" s="207">
        <f>SUMIFS('декабрь 2023'!$G$4:$G$1227,'декабрь 2023'!$D$4:$D$1227,$B82,'декабрь 2023'!$J$4:$J$1227,R$1)</f>
        <v>0</v>
      </c>
      <c r="S82" s="207">
        <f>SUMIFS('декабрь 2023'!$G$4:$G$1227,'декабрь 2023'!$D$4:$D$1227,$B82,'декабрь 2023'!$J$4:$J$1227,S$1)</f>
        <v>0</v>
      </c>
      <c r="T82" s="207">
        <f>SUMIFS('декабрь 2023'!$G$4:$G$1227,'декабрь 2023'!$D$4:$D$1227,$B82,'декабрь 2023'!$J$4:$J$1227,T$1)</f>
        <v>0</v>
      </c>
      <c r="U82" s="207">
        <f>SUMIFS('декабрь 2023'!$G$4:$G$1227,'декабрь 2023'!$D$4:$D$1227,$B82,'декабрь 2023'!$J$4:$J$1227,U$1)</f>
        <v>0</v>
      </c>
      <c r="V82" s="207">
        <f>SUMIFS('декабрь 2023'!$G$4:$G$1227,'декабрь 2023'!$D$4:$D$1227,$B82,'декабрь 2023'!$J$4:$J$1227,V$1)</f>
        <v>0</v>
      </c>
      <c r="W82" s="207">
        <f>SUMIFS('декабрь 2023'!$G$4:$G$1227,'декабрь 2023'!$D$4:$D$1227,$B82,'декабрь 2023'!$J$4:$J$1227,W$1)</f>
        <v>0</v>
      </c>
      <c r="X82" s="207">
        <f>SUMIFS('декабрь 2023'!$G$4:$G$1227,'декабрь 2023'!$D$4:$D$1227,$B82,'декабрь 2023'!$J$4:$J$1227,X$1)</f>
        <v>0</v>
      </c>
      <c r="Y82" s="207">
        <f>SUMIFS('декабрь 2023'!$G$4:$G$1227,'декабрь 2023'!$D$4:$D$1227,$B82,'декабрь 2023'!$J$4:$J$1227,Y$1)</f>
        <v>0</v>
      </c>
      <c r="Z82" s="207">
        <f>SUMIFS('декабрь 2023'!$G$4:$G$1227,'декабрь 2023'!$D$4:$D$1227,$B82,'декабрь 2023'!$J$4:$J$1227,Z$1)</f>
        <v>0</v>
      </c>
      <c r="AA82" s="207">
        <f>SUMIFS('декабрь 2023'!$G$4:$G$1227,'декабрь 2023'!$D$4:$D$1227,$B82,'декабрь 2023'!$J$4:$J$1227,AA$1)</f>
        <v>0</v>
      </c>
      <c r="AB82" s="207">
        <f>SUMIFS('декабрь 2023'!$G$4:$G$1227,'декабрь 2023'!$D$4:$D$1227,$B82,'декабрь 2023'!$J$4:$J$1227,AB$1)</f>
        <v>0</v>
      </c>
      <c r="AC82" s="207">
        <f>SUMIFS('декабрь 2023'!$G$4:$G$1227,'декабрь 2023'!$D$4:$D$1227,$B82,'декабрь 2023'!$J$4:$J$1227,AC$1)</f>
        <v>0</v>
      </c>
      <c r="AD82" s="207">
        <f>SUMIFS('декабрь 2023'!$G$4:$G$1227,'декабрь 2023'!$D$4:$D$1227,$B82,'декабрь 2023'!$J$4:$J$1227,AD$1)</f>
        <v>0</v>
      </c>
      <c r="AE82" s="207">
        <f>SUMIFS('декабрь 2023'!$G$4:$G$1227,'декабрь 2023'!$D$4:$D$1227,$B82,'декабрь 2023'!$J$4:$J$1227,AE$1)</f>
        <v>0</v>
      </c>
      <c r="AF82" s="207">
        <f>SUMIFS('декабрь 2023'!$G$4:$G$1227,'декабрь 2023'!$D$4:$D$1227,$B82,'декабрь 2023'!$J$4:$J$1227,AF$1)</f>
        <v>0</v>
      </c>
      <c r="AG82" s="207">
        <f>SUMIFS('декабрь 2023'!$G$4:$G$1227,'декабрь 2023'!$D$4:$D$1227,$B82,'декабрь 2023'!$J$4:$J$1227,AG$1)</f>
        <v>0</v>
      </c>
      <c r="AH82" s="207">
        <f>SUMIFS('декабрь 2023'!$G$4:$G$1227,'декабрь 2023'!$D$4:$D$1227,$B82,'декабрь 2023'!$J$4:$J$1227,AH$1)</f>
        <v>0</v>
      </c>
      <c r="AI82" s="170">
        <f t="shared" si="2"/>
        <v>0</v>
      </c>
    </row>
    <row r="83" spans="2:35" ht="15" customHeight="1" x14ac:dyDescent="0.25">
      <c r="B83" s="216" t="s">
        <v>1336</v>
      </c>
      <c r="C83" s="213">
        <v>50</v>
      </c>
      <c r="D83" s="207">
        <f>SUMIFS('декабрь 2023'!$G$4:$G$1227,'декабрь 2023'!$D$4:$D$1227,$B83,'декабрь 2023'!$J$4:$J$1227,D$1)</f>
        <v>0</v>
      </c>
      <c r="E83" s="207">
        <f>SUMIFS('декабрь 2023'!$G$4:$G$1227,'декабрь 2023'!$D$4:$D$1227,$B83,'декабрь 2023'!$J$4:$J$1227,E$1)</f>
        <v>0</v>
      </c>
      <c r="F83" s="207">
        <f>SUMIFS('декабрь 2023'!$G$4:$G$1227,'декабрь 2023'!$D$4:$D$1227,$B83,'декабрь 2023'!$J$4:$J$1227,F$1)</f>
        <v>0</v>
      </c>
      <c r="G83" s="207">
        <f>SUMIFS('декабрь 2023'!$G$4:$G$1227,'декабрь 2023'!$D$4:$D$1227,$B83,'декабрь 2023'!$J$4:$J$1227,G$1)</f>
        <v>0</v>
      </c>
      <c r="H83" s="207">
        <f>SUMIFS('декабрь 2023'!$G$4:$G$1227,'декабрь 2023'!$D$4:$D$1227,$B83,'декабрь 2023'!$J$4:$J$1227,H$1)</f>
        <v>0</v>
      </c>
      <c r="I83" s="207">
        <f>SUMIFS('декабрь 2023'!$G$4:$G$1227,'декабрь 2023'!$D$4:$D$1227,$B83,'декабрь 2023'!$J$4:$J$1227,I$1)</f>
        <v>0</v>
      </c>
      <c r="J83" s="207">
        <f>SUMIFS('декабрь 2023'!$G$4:$G$1227,'декабрь 2023'!$D$4:$D$1227,$B83,'декабрь 2023'!$J$4:$J$1227,J$1)</f>
        <v>0</v>
      </c>
      <c r="K83" s="207">
        <f>SUMIFS('декабрь 2023'!$G$4:$G$1227,'декабрь 2023'!$D$4:$D$1227,$B83,'декабрь 2023'!$J$4:$J$1227,K$1)</f>
        <v>0</v>
      </c>
      <c r="L83" s="207">
        <f>SUMIFS('декабрь 2023'!$G$4:$G$1227,'декабрь 2023'!$D$4:$D$1227,$B83,'декабрь 2023'!$J$4:$J$1227,L$1)</f>
        <v>0</v>
      </c>
      <c r="M83" s="207">
        <f>SUMIFS('декабрь 2023'!$G$4:$G$1227,'декабрь 2023'!$D$4:$D$1227,$B83,'декабрь 2023'!$J$4:$J$1227,M$1)</f>
        <v>0</v>
      </c>
      <c r="N83" s="207">
        <f>SUMIFS('декабрь 2023'!$G$4:$G$1227,'декабрь 2023'!$D$4:$D$1227,$B83,'декабрь 2023'!$J$4:$J$1227,N$1)</f>
        <v>0</v>
      </c>
      <c r="O83" s="207">
        <f>SUMIFS('декабрь 2023'!$G$4:$G$1227,'декабрь 2023'!$D$4:$D$1227,$B83,'декабрь 2023'!$J$4:$J$1227,O$1)</f>
        <v>0</v>
      </c>
      <c r="P83" s="207">
        <f>SUMIFS('декабрь 2023'!$G$4:$G$1227,'декабрь 2023'!$D$4:$D$1227,$B83,'декабрь 2023'!$J$4:$J$1227,P$1)</f>
        <v>0</v>
      </c>
      <c r="Q83" s="207">
        <f>SUMIFS('декабрь 2023'!$G$4:$G$1227,'декабрь 2023'!$D$4:$D$1227,$B83,'декабрь 2023'!$J$4:$J$1227,Q$1)</f>
        <v>0</v>
      </c>
      <c r="R83" s="207">
        <f>SUMIFS('декабрь 2023'!$G$4:$G$1227,'декабрь 2023'!$D$4:$D$1227,$B83,'декабрь 2023'!$J$4:$J$1227,R$1)</f>
        <v>0</v>
      </c>
      <c r="S83" s="207">
        <f>SUMIFS('декабрь 2023'!$G$4:$G$1227,'декабрь 2023'!$D$4:$D$1227,$B83,'декабрь 2023'!$J$4:$J$1227,S$1)</f>
        <v>0</v>
      </c>
      <c r="T83" s="207">
        <f>SUMIFS('декабрь 2023'!$G$4:$G$1227,'декабрь 2023'!$D$4:$D$1227,$B83,'декабрь 2023'!$J$4:$J$1227,T$1)</f>
        <v>0</v>
      </c>
      <c r="U83" s="207">
        <f>SUMIFS('декабрь 2023'!$G$4:$G$1227,'декабрь 2023'!$D$4:$D$1227,$B83,'декабрь 2023'!$J$4:$J$1227,U$1)</f>
        <v>0</v>
      </c>
      <c r="V83" s="207">
        <f>SUMIFS('декабрь 2023'!$G$4:$G$1227,'декабрь 2023'!$D$4:$D$1227,$B83,'декабрь 2023'!$J$4:$J$1227,V$1)</f>
        <v>0</v>
      </c>
      <c r="W83" s="207">
        <f>SUMIFS('декабрь 2023'!$G$4:$G$1227,'декабрь 2023'!$D$4:$D$1227,$B83,'декабрь 2023'!$J$4:$J$1227,W$1)</f>
        <v>0</v>
      </c>
      <c r="X83" s="207">
        <f>SUMIFS('декабрь 2023'!$G$4:$G$1227,'декабрь 2023'!$D$4:$D$1227,$B83,'декабрь 2023'!$J$4:$J$1227,X$1)</f>
        <v>0</v>
      </c>
      <c r="Y83" s="207">
        <f>SUMIFS('декабрь 2023'!$G$4:$G$1227,'декабрь 2023'!$D$4:$D$1227,$B83,'декабрь 2023'!$J$4:$J$1227,Y$1)</f>
        <v>0</v>
      </c>
      <c r="Z83" s="207">
        <f>SUMIFS('декабрь 2023'!$G$4:$G$1227,'декабрь 2023'!$D$4:$D$1227,$B83,'декабрь 2023'!$J$4:$J$1227,Z$1)</f>
        <v>0</v>
      </c>
      <c r="AA83" s="207">
        <f>SUMIFS('декабрь 2023'!$G$4:$G$1227,'декабрь 2023'!$D$4:$D$1227,$B83,'декабрь 2023'!$J$4:$J$1227,AA$1)</f>
        <v>0</v>
      </c>
      <c r="AB83" s="207">
        <f>SUMIFS('декабрь 2023'!$G$4:$G$1227,'декабрь 2023'!$D$4:$D$1227,$B83,'декабрь 2023'!$J$4:$J$1227,AB$1)</f>
        <v>0</v>
      </c>
      <c r="AC83" s="207">
        <f>SUMIFS('декабрь 2023'!$G$4:$G$1227,'декабрь 2023'!$D$4:$D$1227,$B83,'декабрь 2023'!$J$4:$J$1227,AC$1)</f>
        <v>0</v>
      </c>
      <c r="AD83" s="207">
        <f>SUMIFS('декабрь 2023'!$G$4:$G$1227,'декабрь 2023'!$D$4:$D$1227,$B83,'декабрь 2023'!$J$4:$J$1227,AD$1)</f>
        <v>0</v>
      </c>
      <c r="AE83" s="207">
        <f>SUMIFS('декабрь 2023'!$G$4:$G$1227,'декабрь 2023'!$D$4:$D$1227,$B83,'декабрь 2023'!$J$4:$J$1227,AE$1)</f>
        <v>0</v>
      </c>
      <c r="AF83" s="207">
        <f>SUMIFS('декабрь 2023'!$G$4:$G$1227,'декабрь 2023'!$D$4:$D$1227,$B83,'декабрь 2023'!$J$4:$J$1227,AF$1)</f>
        <v>0</v>
      </c>
      <c r="AG83" s="207">
        <f>SUMIFS('декабрь 2023'!$G$4:$G$1227,'декабрь 2023'!$D$4:$D$1227,$B83,'декабрь 2023'!$J$4:$J$1227,AG$1)</f>
        <v>0</v>
      </c>
      <c r="AH83" s="207">
        <f>SUMIFS('декабрь 2023'!$G$4:$G$1227,'декабрь 2023'!$D$4:$D$1227,$B83,'декабрь 2023'!$J$4:$J$1227,AH$1)</f>
        <v>0</v>
      </c>
      <c r="AI83" s="170">
        <f t="shared" si="2"/>
        <v>0</v>
      </c>
    </row>
    <row r="84" spans="2:35" ht="15" customHeight="1" x14ac:dyDescent="0.25">
      <c r="B84" s="216" t="s">
        <v>1470</v>
      </c>
      <c r="C84" s="213">
        <v>180</v>
      </c>
      <c r="D84" s="207">
        <f>SUMIFS('декабрь 2023'!$G$4:$G$1227,'декабрь 2023'!$D$4:$D$1227,$B84,'декабрь 2023'!$J$4:$J$1227,D$1)</f>
        <v>0</v>
      </c>
      <c r="E84" s="207">
        <f>SUMIFS('декабрь 2023'!$G$4:$G$1227,'декабрь 2023'!$D$4:$D$1227,$B84,'декабрь 2023'!$J$4:$J$1227,E$1)</f>
        <v>0</v>
      </c>
      <c r="F84" s="207">
        <f>SUMIFS('декабрь 2023'!$G$4:$G$1227,'декабрь 2023'!$D$4:$D$1227,$B84,'декабрь 2023'!$J$4:$J$1227,F$1)</f>
        <v>0</v>
      </c>
      <c r="G84" s="207">
        <f>SUMIFS('декабрь 2023'!$G$4:$G$1227,'декабрь 2023'!$D$4:$D$1227,$B84,'декабрь 2023'!$J$4:$J$1227,G$1)</f>
        <v>0</v>
      </c>
      <c r="H84" s="207">
        <f>SUMIFS('декабрь 2023'!$G$4:$G$1227,'декабрь 2023'!$D$4:$D$1227,$B84,'декабрь 2023'!$J$4:$J$1227,H$1)</f>
        <v>0</v>
      </c>
      <c r="I84" s="207">
        <f>SUMIFS('декабрь 2023'!$G$4:$G$1227,'декабрь 2023'!$D$4:$D$1227,$B84,'декабрь 2023'!$J$4:$J$1227,I$1)</f>
        <v>0</v>
      </c>
      <c r="J84" s="207">
        <f>SUMIFS('декабрь 2023'!$G$4:$G$1227,'декабрь 2023'!$D$4:$D$1227,$B84,'декабрь 2023'!$J$4:$J$1227,J$1)</f>
        <v>0</v>
      </c>
      <c r="K84" s="207">
        <f>SUMIFS('декабрь 2023'!$G$4:$G$1227,'декабрь 2023'!$D$4:$D$1227,$B84,'декабрь 2023'!$J$4:$J$1227,K$1)</f>
        <v>0</v>
      </c>
      <c r="L84" s="207">
        <f>SUMIFS('декабрь 2023'!$G$4:$G$1227,'декабрь 2023'!$D$4:$D$1227,$B84,'декабрь 2023'!$J$4:$J$1227,L$1)</f>
        <v>0</v>
      </c>
      <c r="M84" s="207">
        <f>SUMIFS('декабрь 2023'!$G$4:$G$1227,'декабрь 2023'!$D$4:$D$1227,$B84,'декабрь 2023'!$J$4:$J$1227,M$1)</f>
        <v>0</v>
      </c>
      <c r="N84" s="207">
        <f>SUMIFS('декабрь 2023'!$G$4:$G$1227,'декабрь 2023'!$D$4:$D$1227,$B84,'декабрь 2023'!$J$4:$J$1227,N$1)</f>
        <v>0</v>
      </c>
      <c r="O84" s="207">
        <f>SUMIFS('декабрь 2023'!$G$4:$G$1227,'декабрь 2023'!$D$4:$D$1227,$B84,'декабрь 2023'!$J$4:$J$1227,O$1)</f>
        <v>0</v>
      </c>
      <c r="P84" s="207">
        <f>SUMIFS('декабрь 2023'!$G$4:$G$1227,'декабрь 2023'!$D$4:$D$1227,$B84,'декабрь 2023'!$J$4:$J$1227,P$1)</f>
        <v>0</v>
      </c>
      <c r="Q84" s="207">
        <f>SUMIFS('декабрь 2023'!$G$4:$G$1227,'декабрь 2023'!$D$4:$D$1227,$B84,'декабрь 2023'!$J$4:$J$1227,Q$1)</f>
        <v>0</v>
      </c>
      <c r="R84" s="207">
        <f>SUMIFS('декабрь 2023'!$G$4:$G$1227,'декабрь 2023'!$D$4:$D$1227,$B84,'декабрь 2023'!$J$4:$J$1227,R$1)</f>
        <v>0</v>
      </c>
      <c r="S84" s="207">
        <f>SUMIFS('декабрь 2023'!$G$4:$G$1227,'декабрь 2023'!$D$4:$D$1227,$B84,'декабрь 2023'!$J$4:$J$1227,S$1)</f>
        <v>0</v>
      </c>
      <c r="T84" s="207">
        <f>SUMIFS('декабрь 2023'!$G$4:$G$1227,'декабрь 2023'!$D$4:$D$1227,$B84,'декабрь 2023'!$J$4:$J$1227,T$1)</f>
        <v>0</v>
      </c>
      <c r="U84" s="207">
        <f>SUMIFS('декабрь 2023'!$G$4:$G$1227,'декабрь 2023'!$D$4:$D$1227,$B84,'декабрь 2023'!$J$4:$J$1227,U$1)</f>
        <v>0</v>
      </c>
      <c r="V84" s="207">
        <f>SUMIFS('декабрь 2023'!$G$4:$G$1227,'декабрь 2023'!$D$4:$D$1227,$B84,'декабрь 2023'!$J$4:$J$1227,V$1)</f>
        <v>0</v>
      </c>
      <c r="W84" s="207">
        <f>SUMIFS('декабрь 2023'!$G$4:$G$1227,'декабрь 2023'!$D$4:$D$1227,$B84,'декабрь 2023'!$J$4:$J$1227,W$1)</f>
        <v>0</v>
      </c>
      <c r="X84" s="207">
        <f>SUMIFS('декабрь 2023'!$G$4:$G$1227,'декабрь 2023'!$D$4:$D$1227,$B84,'декабрь 2023'!$J$4:$J$1227,X$1)</f>
        <v>0</v>
      </c>
      <c r="Y84" s="207">
        <f>SUMIFS('декабрь 2023'!$G$4:$G$1227,'декабрь 2023'!$D$4:$D$1227,$B84,'декабрь 2023'!$J$4:$J$1227,Y$1)</f>
        <v>0</v>
      </c>
      <c r="Z84" s="207">
        <f>SUMIFS('декабрь 2023'!$G$4:$G$1227,'декабрь 2023'!$D$4:$D$1227,$B84,'декабрь 2023'!$J$4:$J$1227,Z$1)</f>
        <v>0</v>
      </c>
      <c r="AA84" s="207">
        <f>SUMIFS('декабрь 2023'!$G$4:$G$1227,'декабрь 2023'!$D$4:$D$1227,$B84,'декабрь 2023'!$J$4:$J$1227,AA$1)</f>
        <v>0</v>
      </c>
      <c r="AB84" s="207">
        <f>SUMIFS('декабрь 2023'!$G$4:$G$1227,'декабрь 2023'!$D$4:$D$1227,$B84,'декабрь 2023'!$J$4:$J$1227,AB$1)</f>
        <v>0</v>
      </c>
      <c r="AC84" s="207">
        <f>SUMIFS('декабрь 2023'!$G$4:$G$1227,'декабрь 2023'!$D$4:$D$1227,$B84,'декабрь 2023'!$J$4:$J$1227,AC$1)</f>
        <v>0</v>
      </c>
      <c r="AD84" s="207">
        <f>SUMIFS('декабрь 2023'!$G$4:$G$1227,'декабрь 2023'!$D$4:$D$1227,$B84,'декабрь 2023'!$J$4:$J$1227,AD$1)</f>
        <v>0</v>
      </c>
      <c r="AE84" s="207">
        <f>SUMIFS('декабрь 2023'!$G$4:$G$1227,'декабрь 2023'!$D$4:$D$1227,$B84,'декабрь 2023'!$J$4:$J$1227,AE$1)</f>
        <v>0</v>
      </c>
      <c r="AF84" s="207">
        <f>SUMIFS('декабрь 2023'!$G$4:$G$1227,'декабрь 2023'!$D$4:$D$1227,$B84,'декабрь 2023'!$J$4:$J$1227,AF$1)</f>
        <v>0</v>
      </c>
      <c r="AG84" s="207">
        <f>SUMIFS('декабрь 2023'!$G$4:$G$1227,'декабрь 2023'!$D$4:$D$1227,$B84,'декабрь 2023'!$J$4:$J$1227,AG$1)</f>
        <v>0</v>
      </c>
      <c r="AH84" s="207">
        <f>SUMIFS('декабрь 2023'!$G$4:$G$1227,'декабрь 2023'!$D$4:$D$1227,$B84,'декабрь 2023'!$J$4:$J$1227,AH$1)</f>
        <v>0</v>
      </c>
      <c r="AI84" s="170">
        <f t="shared" si="2"/>
        <v>0</v>
      </c>
    </row>
    <row r="85" spans="2:35" ht="15" customHeight="1" x14ac:dyDescent="0.25">
      <c r="B85" s="216" t="s">
        <v>365</v>
      </c>
      <c r="C85" s="213">
        <v>185</v>
      </c>
      <c r="D85" s="207">
        <f>SUMIFS('декабрь 2023'!$G$4:$G$1227,'декабрь 2023'!$D$4:$D$1227,$B85,'декабрь 2023'!$J$4:$J$1227,D$1)</f>
        <v>0</v>
      </c>
      <c r="E85" s="207">
        <f>SUMIFS('декабрь 2023'!$G$4:$G$1227,'декабрь 2023'!$D$4:$D$1227,$B85,'декабрь 2023'!$J$4:$J$1227,E$1)</f>
        <v>0</v>
      </c>
      <c r="F85" s="207">
        <f>SUMIFS('декабрь 2023'!$G$4:$G$1227,'декабрь 2023'!$D$4:$D$1227,$B85,'декабрь 2023'!$J$4:$J$1227,F$1)</f>
        <v>0</v>
      </c>
      <c r="G85" s="207">
        <f>SUMIFS('декабрь 2023'!$G$4:$G$1227,'декабрь 2023'!$D$4:$D$1227,$B85,'декабрь 2023'!$J$4:$J$1227,G$1)</f>
        <v>0</v>
      </c>
      <c r="H85" s="207">
        <f>SUMIFS('декабрь 2023'!$G$4:$G$1227,'декабрь 2023'!$D$4:$D$1227,$B85,'декабрь 2023'!$J$4:$J$1227,H$1)</f>
        <v>0</v>
      </c>
      <c r="I85" s="207">
        <f>SUMIFS('декабрь 2023'!$G$4:$G$1227,'декабрь 2023'!$D$4:$D$1227,$B85,'декабрь 2023'!$J$4:$J$1227,I$1)</f>
        <v>0</v>
      </c>
      <c r="J85" s="207">
        <f>SUMIFS('декабрь 2023'!$G$4:$G$1227,'декабрь 2023'!$D$4:$D$1227,$B85,'декабрь 2023'!$J$4:$J$1227,J$1)</f>
        <v>0</v>
      </c>
      <c r="K85" s="207">
        <f>SUMIFS('декабрь 2023'!$G$4:$G$1227,'декабрь 2023'!$D$4:$D$1227,$B85,'декабрь 2023'!$J$4:$J$1227,K$1)</f>
        <v>0</v>
      </c>
      <c r="L85" s="207">
        <f>SUMIFS('декабрь 2023'!$G$4:$G$1227,'декабрь 2023'!$D$4:$D$1227,$B85,'декабрь 2023'!$J$4:$J$1227,L$1)</f>
        <v>0</v>
      </c>
      <c r="M85" s="207">
        <f>SUMIFS('декабрь 2023'!$G$4:$G$1227,'декабрь 2023'!$D$4:$D$1227,$B85,'декабрь 2023'!$J$4:$J$1227,M$1)</f>
        <v>0</v>
      </c>
      <c r="N85" s="207">
        <f>SUMIFS('декабрь 2023'!$G$4:$G$1227,'декабрь 2023'!$D$4:$D$1227,$B85,'декабрь 2023'!$J$4:$J$1227,N$1)</f>
        <v>0</v>
      </c>
      <c r="O85" s="207">
        <f>SUMIFS('декабрь 2023'!$G$4:$G$1227,'декабрь 2023'!$D$4:$D$1227,$B85,'декабрь 2023'!$J$4:$J$1227,O$1)</f>
        <v>0</v>
      </c>
      <c r="P85" s="207">
        <f>SUMIFS('декабрь 2023'!$G$4:$G$1227,'декабрь 2023'!$D$4:$D$1227,$B85,'декабрь 2023'!$J$4:$J$1227,P$1)</f>
        <v>0</v>
      </c>
      <c r="Q85" s="207">
        <f>SUMIFS('декабрь 2023'!$G$4:$G$1227,'декабрь 2023'!$D$4:$D$1227,$B85,'декабрь 2023'!$J$4:$J$1227,Q$1)</f>
        <v>0</v>
      </c>
      <c r="R85" s="207">
        <f>SUMIFS('декабрь 2023'!$G$4:$G$1227,'декабрь 2023'!$D$4:$D$1227,$B85,'декабрь 2023'!$J$4:$J$1227,R$1)</f>
        <v>0</v>
      </c>
      <c r="S85" s="207">
        <f>SUMIFS('декабрь 2023'!$G$4:$G$1227,'декабрь 2023'!$D$4:$D$1227,$B85,'декабрь 2023'!$J$4:$J$1227,S$1)</f>
        <v>0</v>
      </c>
      <c r="T85" s="207">
        <f>SUMIFS('декабрь 2023'!$G$4:$G$1227,'декабрь 2023'!$D$4:$D$1227,$B85,'декабрь 2023'!$J$4:$J$1227,T$1)</f>
        <v>0</v>
      </c>
      <c r="U85" s="207">
        <f>SUMIFS('декабрь 2023'!$G$4:$G$1227,'декабрь 2023'!$D$4:$D$1227,$B85,'декабрь 2023'!$J$4:$J$1227,U$1)</f>
        <v>0</v>
      </c>
      <c r="V85" s="207">
        <f>SUMIFS('декабрь 2023'!$G$4:$G$1227,'декабрь 2023'!$D$4:$D$1227,$B85,'декабрь 2023'!$J$4:$J$1227,V$1)</f>
        <v>0</v>
      </c>
      <c r="W85" s="207">
        <f>SUMIFS('декабрь 2023'!$G$4:$G$1227,'декабрь 2023'!$D$4:$D$1227,$B85,'декабрь 2023'!$J$4:$J$1227,W$1)</f>
        <v>0</v>
      </c>
      <c r="X85" s="207">
        <f>SUMIFS('декабрь 2023'!$G$4:$G$1227,'декабрь 2023'!$D$4:$D$1227,$B85,'декабрь 2023'!$J$4:$J$1227,X$1)</f>
        <v>0</v>
      </c>
      <c r="Y85" s="207">
        <f>SUMIFS('декабрь 2023'!$G$4:$G$1227,'декабрь 2023'!$D$4:$D$1227,$B85,'декабрь 2023'!$J$4:$J$1227,Y$1)</f>
        <v>0</v>
      </c>
      <c r="Z85" s="207">
        <f>SUMIFS('декабрь 2023'!$G$4:$G$1227,'декабрь 2023'!$D$4:$D$1227,$B85,'декабрь 2023'!$J$4:$J$1227,Z$1)</f>
        <v>0</v>
      </c>
      <c r="AA85" s="207">
        <f>SUMIFS('декабрь 2023'!$G$4:$G$1227,'декабрь 2023'!$D$4:$D$1227,$B85,'декабрь 2023'!$J$4:$J$1227,AA$1)</f>
        <v>0</v>
      </c>
      <c r="AB85" s="207">
        <f>SUMIFS('декабрь 2023'!$G$4:$G$1227,'декабрь 2023'!$D$4:$D$1227,$B85,'декабрь 2023'!$J$4:$J$1227,AB$1)</f>
        <v>0</v>
      </c>
      <c r="AC85" s="207">
        <f>SUMIFS('декабрь 2023'!$G$4:$G$1227,'декабрь 2023'!$D$4:$D$1227,$B85,'декабрь 2023'!$J$4:$J$1227,AC$1)</f>
        <v>0</v>
      </c>
      <c r="AD85" s="207">
        <f>SUMIFS('декабрь 2023'!$G$4:$G$1227,'декабрь 2023'!$D$4:$D$1227,$B85,'декабрь 2023'!$J$4:$J$1227,AD$1)</f>
        <v>0</v>
      </c>
      <c r="AE85" s="207">
        <f>SUMIFS('декабрь 2023'!$G$4:$G$1227,'декабрь 2023'!$D$4:$D$1227,$B85,'декабрь 2023'!$J$4:$J$1227,AE$1)</f>
        <v>0</v>
      </c>
      <c r="AF85" s="207">
        <f>SUMIFS('декабрь 2023'!$G$4:$G$1227,'декабрь 2023'!$D$4:$D$1227,$B85,'декабрь 2023'!$J$4:$J$1227,AF$1)</f>
        <v>0</v>
      </c>
      <c r="AG85" s="207">
        <f>SUMIFS('декабрь 2023'!$G$4:$G$1227,'декабрь 2023'!$D$4:$D$1227,$B85,'декабрь 2023'!$J$4:$J$1227,AG$1)</f>
        <v>0</v>
      </c>
      <c r="AH85" s="207">
        <f>SUMIFS('декабрь 2023'!$G$4:$G$1227,'декабрь 2023'!$D$4:$D$1227,$B85,'декабрь 2023'!$J$4:$J$1227,AH$1)</f>
        <v>0</v>
      </c>
      <c r="AI85" s="170">
        <f t="shared" si="2"/>
        <v>0</v>
      </c>
    </row>
    <row r="86" spans="2:35" ht="15" customHeight="1" x14ac:dyDescent="0.25">
      <c r="B86" s="212" t="s">
        <v>2189</v>
      </c>
      <c r="C86" s="211">
        <v>180</v>
      </c>
      <c r="D86" s="207">
        <f>SUMIFS('декабрь 2023'!$G$4:$G$1227,'декабрь 2023'!$D$4:$D$1227,$B86,'декабрь 2023'!$J$4:$J$1227,D$1)</f>
        <v>0</v>
      </c>
      <c r="E86" s="207">
        <f>SUMIFS('декабрь 2023'!$G$4:$G$1227,'декабрь 2023'!$D$4:$D$1227,$B86,'декабрь 2023'!$J$4:$J$1227,E$1)</f>
        <v>0</v>
      </c>
      <c r="F86" s="207">
        <f>SUMIFS('декабрь 2023'!$G$4:$G$1227,'декабрь 2023'!$D$4:$D$1227,$B86,'декабрь 2023'!$J$4:$J$1227,F$1)</f>
        <v>0</v>
      </c>
      <c r="G86" s="207">
        <f>SUMIFS('декабрь 2023'!$G$4:$G$1227,'декабрь 2023'!$D$4:$D$1227,$B86,'декабрь 2023'!$J$4:$J$1227,G$1)</f>
        <v>0</v>
      </c>
      <c r="H86" s="207">
        <f>SUMIFS('декабрь 2023'!$G$4:$G$1227,'декабрь 2023'!$D$4:$D$1227,$B86,'декабрь 2023'!$J$4:$J$1227,H$1)</f>
        <v>0</v>
      </c>
      <c r="I86" s="207">
        <f>SUMIFS('декабрь 2023'!$G$4:$G$1227,'декабрь 2023'!$D$4:$D$1227,$B86,'декабрь 2023'!$J$4:$J$1227,I$1)</f>
        <v>0</v>
      </c>
      <c r="J86" s="207">
        <f>SUMIFS('декабрь 2023'!$G$4:$G$1227,'декабрь 2023'!$D$4:$D$1227,$B86,'декабрь 2023'!$J$4:$J$1227,J$1)</f>
        <v>0</v>
      </c>
      <c r="K86" s="207">
        <f>SUMIFS('декабрь 2023'!$G$4:$G$1227,'декабрь 2023'!$D$4:$D$1227,$B86,'декабрь 2023'!$J$4:$J$1227,K$1)</f>
        <v>0</v>
      </c>
      <c r="L86" s="207">
        <f>SUMIFS('декабрь 2023'!$G$4:$G$1227,'декабрь 2023'!$D$4:$D$1227,$B86,'декабрь 2023'!$J$4:$J$1227,L$1)</f>
        <v>0</v>
      </c>
      <c r="M86" s="207">
        <f>SUMIFS('декабрь 2023'!$G$4:$G$1227,'декабрь 2023'!$D$4:$D$1227,$B86,'декабрь 2023'!$J$4:$J$1227,M$1)</f>
        <v>0</v>
      </c>
      <c r="N86" s="207">
        <f>SUMIFS('декабрь 2023'!$G$4:$G$1227,'декабрь 2023'!$D$4:$D$1227,$B86,'декабрь 2023'!$J$4:$J$1227,N$1)</f>
        <v>0</v>
      </c>
      <c r="O86" s="207">
        <f>SUMIFS('декабрь 2023'!$G$4:$G$1227,'декабрь 2023'!$D$4:$D$1227,$B86,'декабрь 2023'!$J$4:$J$1227,O$1)</f>
        <v>0</v>
      </c>
      <c r="P86" s="207">
        <f>SUMIFS('декабрь 2023'!$G$4:$G$1227,'декабрь 2023'!$D$4:$D$1227,$B86,'декабрь 2023'!$J$4:$J$1227,P$1)</f>
        <v>0</v>
      </c>
      <c r="Q86" s="207">
        <f>SUMIFS('декабрь 2023'!$G$4:$G$1227,'декабрь 2023'!$D$4:$D$1227,$B86,'декабрь 2023'!$J$4:$J$1227,Q$1)</f>
        <v>0</v>
      </c>
      <c r="R86" s="207">
        <f>SUMIFS('декабрь 2023'!$G$4:$G$1227,'декабрь 2023'!$D$4:$D$1227,$B86,'декабрь 2023'!$J$4:$J$1227,R$1)</f>
        <v>0</v>
      </c>
      <c r="S86" s="207">
        <f>SUMIFS('декабрь 2023'!$G$4:$G$1227,'декабрь 2023'!$D$4:$D$1227,$B86,'декабрь 2023'!$J$4:$J$1227,S$1)</f>
        <v>0</v>
      </c>
      <c r="T86" s="207">
        <f>SUMIFS('декабрь 2023'!$G$4:$G$1227,'декабрь 2023'!$D$4:$D$1227,$B86,'декабрь 2023'!$J$4:$J$1227,T$1)</f>
        <v>0</v>
      </c>
      <c r="U86" s="207">
        <f>SUMIFS('декабрь 2023'!$G$4:$G$1227,'декабрь 2023'!$D$4:$D$1227,$B86,'декабрь 2023'!$J$4:$J$1227,U$1)</f>
        <v>0</v>
      </c>
      <c r="V86" s="207">
        <f>SUMIFS('декабрь 2023'!$G$4:$G$1227,'декабрь 2023'!$D$4:$D$1227,$B86,'декабрь 2023'!$J$4:$J$1227,V$1)</f>
        <v>0</v>
      </c>
      <c r="W86" s="207">
        <f>SUMIFS('декабрь 2023'!$G$4:$G$1227,'декабрь 2023'!$D$4:$D$1227,$B86,'декабрь 2023'!$J$4:$J$1227,W$1)</f>
        <v>0</v>
      </c>
      <c r="X86" s="207">
        <f>SUMIFS('декабрь 2023'!$G$4:$G$1227,'декабрь 2023'!$D$4:$D$1227,$B86,'декабрь 2023'!$J$4:$J$1227,X$1)</f>
        <v>0</v>
      </c>
      <c r="Y86" s="207">
        <f>SUMIFS('декабрь 2023'!$G$4:$G$1227,'декабрь 2023'!$D$4:$D$1227,$B86,'декабрь 2023'!$J$4:$J$1227,Y$1)</f>
        <v>0</v>
      </c>
      <c r="Z86" s="207">
        <f>SUMIFS('декабрь 2023'!$G$4:$G$1227,'декабрь 2023'!$D$4:$D$1227,$B86,'декабрь 2023'!$J$4:$J$1227,Z$1)</f>
        <v>0</v>
      </c>
      <c r="AA86" s="207">
        <f>SUMIFS('декабрь 2023'!$G$4:$G$1227,'декабрь 2023'!$D$4:$D$1227,$B86,'декабрь 2023'!$J$4:$J$1227,AA$1)</f>
        <v>0</v>
      </c>
      <c r="AB86" s="207">
        <f>SUMIFS('декабрь 2023'!$G$4:$G$1227,'декабрь 2023'!$D$4:$D$1227,$B86,'декабрь 2023'!$J$4:$J$1227,AB$1)</f>
        <v>0</v>
      </c>
      <c r="AC86" s="207">
        <f>SUMIFS('декабрь 2023'!$G$4:$G$1227,'декабрь 2023'!$D$4:$D$1227,$B86,'декабрь 2023'!$J$4:$J$1227,AC$1)</f>
        <v>0</v>
      </c>
      <c r="AD86" s="207">
        <f>SUMIFS('декабрь 2023'!$G$4:$G$1227,'декабрь 2023'!$D$4:$D$1227,$B86,'декабрь 2023'!$J$4:$J$1227,AD$1)</f>
        <v>0</v>
      </c>
      <c r="AE86" s="207">
        <f>SUMIFS('декабрь 2023'!$G$4:$G$1227,'декабрь 2023'!$D$4:$D$1227,$B86,'декабрь 2023'!$J$4:$J$1227,AE$1)</f>
        <v>0</v>
      </c>
      <c r="AF86" s="207">
        <f>SUMIFS('декабрь 2023'!$G$4:$G$1227,'декабрь 2023'!$D$4:$D$1227,$B86,'декабрь 2023'!$J$4:$J$1227,AF$1)</f>
        <v>0</v>
      </c>
      <c r="AG86" s="207">
        <f>SUMIFS('декабрь 2023'!$G$4:$G$1227,'декабрь 2023'!$D$4:$D$1227,$B86,'декабрь 2023'!$J$4:$J$1227,AG$1)</f>
        <v>0</v>
      </c>
      <c r="AH86" s="207">
        <f>SUMIFS('декабрь 2023'!$G$4:$G$1227,'декабрь 2023'!$D$4:$D$1227,$B86,'декабрь 2023'!$J$4:$J$1227,AH$1)</f>
        <v>0</v>
      </c>
      <c r="AI86" s="170">
        <f t="shared" si="2"/>
        <v>0</v>
      </c>
    </row>
    <row r="87" spans="2:35" ht="15" customHeight="1" x14ac:dyDescent="0.25">
      <c r="B87" s="217" t="s">
        <v>857</v>
      </c>
      <c r="C87" s="213">
        <v>185</v>
      </c>
      <c r="D87" s="207">
        <f>SUMIFS('декабрь 2023'!$G$4:$G$1227,'декабрь 2023'!$D$4:$D$1227,$B87,'декабрь 2023'!$J$4:$J$1227,D$1)</f>
        <v>0</v>
      </c>
      <c r="E87" s="207">
        <f>SUMIFS('декабрь 2023'!$G$4:$G$1227,'декабрь 2023'!$D$4:$D$1227,$B87,'декабрь 2023'!$J$4:$J$1227,E$1)</f>
        <v>0</v>
      </c>
      <c r="F87" s="207">
        <f>SUMIFS('декабрь 2023'!$G$4:$G$1227,'декабрь 2023'!$D$4:$D$1227,$B87,'декабрь 2023'!$J$4:$J$1227,F$1)</f>
        <v>0</v>
      </c>
      <c r="G87" s="207">
        <f>SUMIFS('декабрь 2023'!$G$4:$G$1227,'декабрь 2023'!$D$4:$D$1227,$B87,'декабрь 2023'!$J$4:$J$1227,G$1)</f>
        <v>0</v>
      </c>
      <c r="H87" s="207">
        <f>SUMIFS('декабрь 2023'!$G$4:$G$1227,'декабрь 2023'!$D$4:$D$1227,$B87,'декабрь 2023'!$J$4:$J$1227,H$1)</f>
        <v>0</v>
      </c>
      <c r="I87" s="207">
        <f>SUMIFS('декабрь 2023'!$G$4:$G$1227,'декабрь 2023'!$D$4:$D$1227,$B87,'декабрь 2023'!$J$4:$J$1227,I$1)</f>
        <v>0</v>
      </c>
      <c r="J87" s="207">
        <f>SUMIFS('декабрь 2023'!$G$4:$G$1227,'декабрь 2023'!$D$4:$D$1227,$B87,'декабрь 2023'!$J$4:$J$1227,J$1)</f>
        <v>0</v>
      </c>
      <c r="K87" s="207">
        <f>SUMIFS('декабрь 2023'!$G$4:$G$1227,'декабрь 2023'!$D$4:$D$1227,$B87,'декабрь 2023'!$J$4:$J$1227,K$1)</f>
        <v>0</v>
      </c>
      <c r="L87" s="207">
        <f>SUMIFS('декабрь 2023'!$G$4:$G$1227,'декабрь 2023'!$D$4:$D$1227,$B87,'декабрь 2023'!$J$4:$J$1227,L$1)</f>
        <v>0</v>
      </c>
      <c r="M87" s="207">
        <f>SUMIFS('декабрь 2023'!$G$4:$G$1227,'декабрь 2023'!$D$4:$D$1227,$B87,'декабрь 2023'!$J$4:$J$1227,M$1)</f>
        <v>0</v>
      </c>
      <c r="N87" s="207">
        <f>SUMIFS('декабрь 2023'!$G$4:$G$1227,'декабрь 2023'!$D$4:$D$1227,$B87,'декабрь 2023'!$J$4:$J$1227,N$1)</f>
        <v>0</v>
      </c>
      <c r="O87" s="207">
        <f>SUMIFS('декабрь 2023'!$G$4:$G$1227,'декабрь 2023'!$D$4:$D$1227,$B87,'декабрь 2023'!$J$4:$J$1227,O$1)</f>
        <v>0</v>
      </c>
      <c r="P87" s="207">
        <f>SUMIFS('декабрь 2023'!$G$4:$G$1227,'декабрь 2023'!$D$4:$D$1227,$B87,'декабрь 2023'!$J$4:$J$1227,P$1)</f>
        <v>0</v>
      </c>
      <c r="Q87" s="207">
        <f>SUMIFS('декабрь 2023'!$G$4:$G$1227,'декабрь 2023'!$D$4:$D$1227,$B87,'декабрь 2023'!$J$4:$J$1227,Q$1)</f>
        <v>0</v>
      </c>
      <c r="R87" s="207">
        <f>SUMIFS('декабрь 2023'!$G$4:$G$1227,'декабрь 2023'!$D$4:$D$1227,$B87,'декабрь 2023'!$J$4:$J$1227,R$1)</f>
        <v>0</v>
      </c>
      <c r="S87" s="207">
        <f>SUMIFS('декабрь 2023'!$G$4:$G$1227,'декабрь 2023'!$D$4:$D$1227,$B87,'декабрь 2023'!$J$4:$J$1227,S$1)</f>
        <v>0</v>
      </c>
      <c r="T87" s="207">
        <f>SUMIFS('декабрь 2023'!$G$4:$G$1227,'декабрь 2023'!$D$4:$D$1227,$B87,'декабрь 2023'!$J$4:$J$1227,T$1)</f>
        <v>0</v>
      </c>
      <c r="U87" s="207">
        <f>SUMIFS('декабрь 2023'!$G$4:$G$1227,'декабрь 2023'!$D$4:$D$1227,$B87,'декабрь 2023'!$J$4:$J$1227,U$1)</f>
        <v>0</v>
      </c>
      <c r="V87" s="207">
        <f>SUMIFS('декабрь 2023'!$G$4:$G$1227,'декабрь 2023'!$D$4:$D$1227,$B87,'декабрь 2023'!$J$4:$J$1227,V$1)</f>
        <v>0</v>
      </c>
      <c r="W87" s="207">
        <f>SUMIFS('декабрь 2023'!$G$4:$G$1227,'декабрь 2023'!$D$4:$D$1227,$B87,'декабрь 2023'!$J$4:$J$1227,W$1)</f>
        <v>0</v>
      </c>
      <c r="X87" s="207">
        <f>SUMIFS('декабрь 2023'!$G$4:$G$1227,'декабрь 2023'!$D$4:$D$1227,$B87,'декабрь 2023'!$J$4:$J$1227,X$1)</f>
        <v>0</v>
      </c>
      <c r="Y87" s="207">
        <f>SUMIFS('декабрь 2023'!$G$4:$G$1227,'декабрь 2023'!$D$4:$D$1227,$B87,'декабрь 2023'!$J$4:$J$1227,Y$1)</f>
        <v>0</v>
      </c>
      <c r="Z87" s="207">
        <f>SUMIFS('декабрь 2023'!$G$4:$G$1227,'декабрь 2023'!$D$4:$D$1227,$B87,'декабрь 2023'!$J$4:$J$1227,Z$1)</f>
        <v>0</v>
      </c>
      <c r="AA87" s="207">
        <f>SUMIFS('декабрь 2023'!$G$4:$G$1227,'декабрь 2023'!$D$4:$D$1227,$B87,'декабрь 2023'!$J$4:$J$1227,AA$1)</f>
        <v>0</v>
      </c>
      <c r="AB87" s="207">
        <f>SUMIFS('декабрь 2023'!$G$4:$G$1227,'декабрь 2023'!$D$4:$D$1227,$B87,'декабрь 2023'!$J$4:$J$1227,AB$1)</f>
        <v>0</v>
      </c>
      <c r="AC87" s="207">
        <f>SUMIFS('декабрь 2023'!$G$4:$G$1227,'декабрь 2023'!$D$4:$D$1227,$B87,'декабрь 2023'!$J$4:$J$1227,AC$1)</f>
        <v>0</v>
      </c>
      <c r="AD87" s="207">
        <f>SUMIFS('декабрь 2023'!$G$4:$G$1227,'декабрь 2023'!$D$4:$D$1227,$B87,'декабрь 2023'!$J$4:$J$1227,AD$1)</f>
        <v>0</v>
      </c>
      <c r="AE87" s="207">
        <f>SUMIFS('декабрь 2023'!$G$4:$G$1227,'декабрь 2023'!$D$4:$D$1227,$B87,'декабрь 2023'!$J$4:$J$1227,AE$1)</f>
        <v>0</v>
      </c>
      <c r="AF87" s="207">
        <f>SUMIFS('декабрь 2023'!$G$4:$G$1227,'декабрь 2023'!$D$4:$D$1227,$B87,'декабрь 2023'!$J$4:$J$1227,AF$1)</f>
        <v>0</v>
      </c>
      <c r="AG87" s="207">
        <f>SUMIFS('декабрь 2023'!$G$4:$G$1227,'декабрь 2023'!$D$4:$D$1227,$B87,'декабрь 2023'!$J$4:$J$1227,AG$1)</f>
        <v>0</v>
      </c>
      <c r="AH87" s="207">
        <f>SUMIFS('декабрь 2023'!$G$4:$G$1227,'декабрь 2023'!$D$4:$D$1227,$B87,'декабрь 2023'!$J$4:$J$1227,AH$1)</f>
        <v>0</v>
      </c>
      <c r="AI87" s="170">
        <f t="shared" si="2"/>
        <v>0</v>
      </c>
    </row>
    <row r="88" spans="2:35" ht="15" customHeight="1" x14ac:dyDescent="0.25">
      <c r="B88" s="212" t="s">
        <v>2190</v>
      </c>
      <c r="C88" s="213">
        <v>180</v>
      </c>
      <c r="D88" s="207">
        <f>SUMIFS('декабрь 2023'!$G$4:$G$1227,'декабрь 2023'!$D$4:$D$1227,$B88,'декабрь 2023'!$J$4:$J$1227,D$1)</f>
        <v>0</v>
      </c>
      <c r="E88" s="207">
        <f>SUMIFS('декабрь 2023'!$G$4:$G$1227,'декабрь 2023'!$D$4:$D$1227,$B88,'декабрь 2023'!$J$4:$J$1227,E$1)</f>
        <v>0</v>
      </c>
      <c r="F88" s="207">
        <f>SUMIFS('декабрь 2023'!$G$4:$G$1227,'декабрь 2023'!$D$4:$D$1227,$B88,'декабрь 2023'!$J$4:$J$1227,F$1)</f>
        <v>0</v>
      </c>
      <c r="G88" s="207">
        <f>SUMIFS('декабрь 2023'!$G$4:$G$1227,'декабрь 2023'!$D$4:$D$1227,$B88,'декабрь 2023'!$J$4:$J$1227,G$1)</f>
        <v>0</v>
      </c>
      <c r="H88" s="207">
        <f>SUMIFS('декабрь 2023'!$G$4:$G$1227,'декабрь 2023'!$D$4:$D$1227,$B88,'декабрь 2023'!$J$4:$J$1227,H$1)</f>
        <v>0</v>
      </c>
      <c r="I88" s="207">
        <f>SUMIFS('декабрь 2023'!$G$4:$G$1227,'декабрь 2023'!$D$4:$D$1227,$B88,'декабрь 2023'!$J$4:$J$1227,I$1)</f>
        <v>0</v>
      </c>
      <c r="J88" s="207">
        <f>SUMIFS('декабрь 2023'!$G$4:$G$1227,'декабрь 2023'!$D$4:$D$1227,$B88,'декабрь 2023'!$J$4:$J$1227,J$1)</f>
        <v>0</v>
      </c>
      <c r="K88" s="207">
        <f>SUMIFS('декабрь 2023'!$G$4:$G$1227,'декабрь 2023'!$D$4:$D$1227,$B88,'декабрь 2023'!$J$4:$J$1227,K$1)</f>
        <v>0</v>
      </c>
      <c r="L88" s="207">
        <f>SUMIFS('декабрь 2023'!$G$4:$G$1227,'декабрь 2023'!$D$4:$D$1227,$B88,'декабрь 2023'!$J$4:$J$1227,L$1)</f>
        <v>0</v>
      </c>
      <c r="M88" s="207">
        <f>SUMIFS('декабрь 2023'!$G$4:$G$1227,'декабрь 2023'!$D$4:$D$1227,$B88,'декабрь 2023'!$J$4:$J$1227,M$1)</f>
        <v>0</v>
      </c>
      <c r="N88" s="207">
        <f>SUMIFS('декабрь 2023'!$G$4:$G$1227,'декабрь 2023'!$D$4:$D$1227,$B88,'декабрь 2023'!$J$4:$J$1227,N$1)</f>
        <v>0</v>
      </c>
      <c r="O88" s="207">
        <f>SUMIFS('декабрь 2023'!$G$4:$G$1227,'декабрь 2023'!$D$4:$D$1227,$B88,'декабрь 2023'!$J$4:$J$1227,O$1)</f>
        <v>0</v>
      </c>
      <c r="P88" s="207">
        <f>SUMIFS('декабрь 2023'!$G$4:$G$1227,'декабрь 2023'!$D$4:$D$1227,$B88,'декабрь 2023'!$J$4:$J$1227,P$1)</f>
        <v>0</v>
      </c>
      <c r="Q88" s="207">
        <f>SUMIFS('декабрь 2023'!$G$4:$G$1227,'декабрь 2023'!$D$4:$D$1227,$B88,'декабрь 2023'!$J$4:$J$1227,Q$1)</f>
        <v>0</v>
      </c>
      <c r="R88" s="207">
        <f>SUMIFS('декабрь 2023'!$G$4:$G$1227,'декабрь 2023'!$D$4:$D$1227,$B88,'декабрь 2023'!$J$4:$J$1227,R$1)</f>
        <v>0</v>
      </c>
      <c r="S88" s="207">
        <f>SUMIFS('декабрь 2023'!$G$4:$G$1227,'декабрь 2023'!$D$4:$D$1227,$B88,'декабрь 2023'!$J$4:$J$1227,S$1)</f>
        <v>0</v>
      </c>
      <c r="T88" s="207">
        <f>SUMIFS('декабрь 2023'!$G$4:$G$1227,'декабрь 2023'!$D$4:$D$1227,$B88,'декабрь 2023'!$J$4:$J$1227,T$1)</f>
        <v>0</v>
      </c>
      <c r="U88" s="207">
        <f>SUMIFS('декабрь 2023'!$G$4:$G$1227,'декабрь 2023'!$D$4:$D$1227,$B88,'декабрь 2023'!$J$4:$J$1227,U$1)</f>
        <v>0</v>
      </c>
      <c r="V88" s="207">
        <f>SUMIFS('декабрь 2023'!$G$4:$G$1227,'декабрь 2023'!$D$4:$D$1227,$B88,'декабрь 2023'!$J$4:$J$1227,V$1)</f>
        <v>0</v>
      </c>
      <c r="W88" s="207">
        <f>SUMIFS('декабрь 2023'!$G$4:$G$1227,'декабрь 2023'!$D$4:$D$1227,$B88,'декабрь 2023'!$J$4:$J$1227,W$1)</f>
        <v>0</v>
      </c>
      <c r="X88" s="207">
        <f>SUMIFS('декабрь 2023'!$G$4:$G$1227,'декабрь 2023'!$D$4:$D$1227,$B88,'декабрь 2023'!$J$4:$J$1227,X$1)</f>
        <v>0</v>
      </c>
      <c r="Y88" s="207">
        <f>SUMIFS('декабрь 2023'!$G$4:$G$1227,'декабрь 2023'!$D$4:$D$1227,$B88,'декабрь 2023'!$J$4:$J$1227,Y$1)</f>
        <v>0</v>
      </c>
      <c r="Z88" s="207">
        <f>SUMIFS('декабрь 2023'!$G$4:$G$1227,'декабрь 2023'!$D$4:$D$1227,$B88,'декабрь 2023'!$J$4:$J$1227,Z$1)</f>
        <v>0</v>
      </c>
      <c r="AA88" s="207">
        <f>SUMIFS('декабрь 2023'!$G$4:$G$1227,'декабрь 2023'!$D$4:$D$1227,$B88,'декабрь 2023'!$J$4:$J$1227,AA$1)</f>
        <v>0</v>
      </c>
      <c r="AB88" s="207">
        <f>SUMIFS('декабрь 2023'!$G$4:$G$1227,'декабрь 2023'!$D$4:$D$1227,$B88,'декабрь 2023'!$J$4:$J$1227,AB$1)</f>
        <v>0</v>
      </c>
      <c r="AC88" s="207">
        <f>SUMIFS('декабрь 2023'!$G$4:$G$1227,'декабрь 2023'!$D$4:$D$1227,$B88,'декабрь 2023'!$J$4:$J$1227,AC$1)</f>
        <v>0</v>
      </c>
      <c r="AD88" s="207">
        <f>SUMIFS('декабрь 2023'!$G$4:$G$1227,'декабрь 2023'!$D$4:$D$1227,$B88,'декабрь 2023'!$J$4:$J$1227,AD$1)</f>
        <v>0</v>
      </c>
      <c r="AE88" s="207">
        <f>SUMIFS('декабрь 2023'!$G$4:$G$1227,'декабрь 2023'!$D$4:$D$1227,$B88,'декабрь 2023'!$J$4:$J$1227,AE$1)</f>
        <v>0</v>
      </c>
      <c r="AF88" s="207">
        <f>SUMIFS('декабрь 2023'!$G$4:$G$1227,'декабрь 2023'!$D$4:$D$1227,$B88,'декабрь 2023'!$J$4:$J$1227,AF$1)</f>
        <v>0</v>
      </c>
      <c r="AG88" s="207">
        <f>SUMIFS('декабрь 2023'!$G$4:$G$1227,'декабрь 2023'!$D$4:$D$1227,$B88,'декабрь 2023'!$J$4:$J$1227,AG$1)</f>
        <v>0</v>
      </c>
      <c r="AH88" s="207">
        <f>SUMIFS('декабрь 2023'!$G$4:$G$1227,'декабрь 2023'!$D$4:$D$1227,$B88,'декабрь 2023'!$J$4:$J$1227,AH$1)</f>
        <v>0</v>
      </c>
      <c r="AI88" s="170">
        <f t="shared" si="2"/>
        <v>0</v>
      </c>
    </row>
    <row r="89" spans="2:35" ht="15" customHeight="1" x14ac:dyDescent="0.25">
      <c r="B89" s="212" t="s">
        <v>371</v>
      </c>
      <c r="C89" s="211">
        <v>200</v>
      </c>
      <c r="D89" s="207">
        <f>SUMIFS('декабрь 2023'!$G$4:$G$1227,'декабрь 2023'!$D$4:$D$1227,$B89,'декабрь 2023'!$J$4:$J$1227,D$1)</f>
        <v>0</v>
      </c>
      <c r="E89" s="207">
        <f>SUMIFS('декабрь 2023'!$G$4:$G$1227,'декабрь 2023'!$D$4:$D$1227,$B89,'декабрь 2023'!$J$4:$J$1227,E$1)</f>
        <v>0</v>
      </c>
      <c r="F89" s="207">
        <f>SUMIFS('декабрь 2023'!$G$4:$G$1227,'декабрь 2023'!$D$4:$D$1227,$B89,'декабрь 2023'!$J$4:$J$1227,F$1)</f>
        <v>0</v>
      </c>
      <c r="G89" s="207">
        <f>SUMIFS('декабрь 2023'!$G$4:$G$1227,'декабрь 2023'!$D$4:$D$1227,$B89,'декабрь 2023'!$J$4:$J$1227,G$1)</f>
        <v>0</v>
      </c>
      <c r="H89" s="207">
        <f>SUMIFS('декабрь 2023'!$G$4:$G$1227,'декабрь 2023'!$D$4:$D$1227,$B89,'декабрь 2023'!$J$4:$J$1227,H$1)</f>
        <v>0</v>
      </c>
      <c r="I89" s="207">
        <f>SUMIFS('декабрь 2023'!$G$4:$G$1227,'декабрь 2023'!$D$4:$D$1227,$B89,'декабрь 2023'!$J$4:$J$1227,I$1)</f>
        <v>0</v>
      </c>
      <c r="J89" s="207">
        <f>SUMIFS('декабрь 2023'!$G$4:$G$1227,'декабрь 2023'!$D$4:$D$1227,$B89,'декабрь 2023'!$J$4:$J$1227,J$1)</f>
        <v>0</v>
      </c>
      <c r="K89" s="207">
        <f>SUMIFS('декабрь 2023'!$G$4:$G$1227,'декабрь 2023'!$D$4:$D$1227,$B89,'декабрь 2023'!$J$4:$J$1227,K$1)</f>
        <v>0</v>
      </c>
      <c r="L89" s="207">
        <f>SUMIFS('декабрь 2023'!$G$4:$G$1227,'декабрь 2023'!$D$4:$D$1227,$B89,'декабрь 2023'!$J$4:$J$1227,L$1)</f>
        <v>0</v>
      </c>
      <c r="M89" s="207">
        <f>SUMIFS('декабрь 2023'!$G$4:$G$1227,'декабрь 2023'!$D$4:$D$1227,$B89,'декабрь 2023'!$J$4:$J$1227,M$1)</f>
        <v>0</v>
      </c>
      <c r="N89" s="207">
        <f>SUMIFS('декабрь 2023'!$G$4:$G$1227,'декабрь 2023'!$D$4:$D$1227,$B89,'декабрь 2023'!$J$4:$J$1227,N$1)</f>
        <v>0</v>
      </c>
      <c r="O89" s="207">
        <f>SUMIFS('декабрь 2023'!$G$4:$G$1227,'декабрь 2023'!$D$4:$D$1227,$B89,'декабрь 2023'!$J$4:$J$1227,O$1)</f>
        <v>0</v>
      </c>
      <c r="P89" s="207">
        <f>SUMIFS('декабрь 2023'!$G$4:$G$1227,'декабрь 2023'!$D$4:$D$1227,$B89,'декабрь 2023'!$J$4:$J$1227,P$1)</f>
        <v>0</v>
      </c>
      <c r="Q89" s="207">
        <f>SUMIFS('декабрь 2023'!$G$4:$G$1227,'декабрь 2023'!$D$4:$D$1227,$B89,'декабрь 2023'!$J$4:$J$1227,Q$1)</f>
        <v>0</v>
      </c>
      <c r="R89" s="207">
        <f>SUMIFS('декабрь 2023'!$G$4:$G$1227,'декабрь 2023'!$D$4:$D$1227,$B89,'декабрь 2023'!$J$4:$J$1227,R$1)</f>
        <v>0</v>
      </c>
      <c r="S89" s="207">
        <f>SUMIFS('декабрь 2023'!$G$4:$G$1227,'декабрь 2023'!$D$4:$D$1227,$B89,'декабрь 2023'!$J$4:$J$1227,S$1)</f>
        <v>0</v>
      </c>
      <c r="T89" s="207">
        <f>SUMIFS('декабрь 2023'!$G$4:$G$1227,'декабрь 2023'!$D$4:$D$1227,$B89,'декабрь 2023'!$J$4:$J$1227,T$1)</f>
        <v>0</v>
      </c>
      <c r="U89" s="207">
        <f>SUMIFS('декабрь 2023'!$G$4:$G$1227,'декабрь 2023'!$D$4:$D$1227,$B89,'декабрь 2023'!$J$4:$J$1227,U$1)</f>
        <v>0</v>
      </c>
      <c r="V89" s="207">
        <f>SUMIFS('декабрь 2023'!$G$4:$G$1227,'декабрь 2023'!$D$4:$D$1227,$B89,'декабрь 2023'!$J$4:$J$1227,V$1)</f>
        <v>0</v>
      </c>
      <c r="W89" s="207">
        <f>SUMIFS('декабрь 2023'!$G$4:$G$1227,'декабрь 2023'!$D$4:$D$1227,$B89,'декабрь 2023'!$J$4:$J$1227,W$1)</f>
        <v>0</v>
      </c>
      <c r="X89" s="207">
        <f>SUMIFS('декабрь 2023'!$G$4:$G$1227,'декабрь 2023'!$D$4:$D$1227,$B89,'декабрь 2023'!$J$4:$J$1227,X$1)</f>
        <v>0</v>
      </c>
      <c r="Y89" s="207">
        <f>SUMIFS('декабрь 2023'!$G$4:$G$1227,'декабрь 2023'!$D$4:$D$1227,$B89,'декабрь 2023'!$J$4:$J$1227,Y$1)</f>
        <v>0</v>
      </c>
      <c r="Z89" s="207">
        <f>SUMIFS('декабрь 2023'!$G$4:$G$1227,'декабрь 2023'!$D$4:$D$1227,$B89,'декабрь 2023'!$J$4:$J$1227,Z$1)</f>
        <v>0</v>
      </c>
      <c r="AA89" s="207">
        <f>SUMIFS('декабрь 2023'!$G$4:$G$1227,'декабрь 2023'!$D$4:$D$1227,$B89,'декабрь 2023'!$J$4:$J$1227,AA$1)</f>
        <v>0</v>
      </c>
      <c r="AB89" s="207">
        <f>SUMIFS('декабрь 2023'!$G$4:$G$1227,'декабрь 2023'!$D$4:$D$1227,$B89,'декабрь 2023'!$J$4:$J$1227,AB$1)</f>
        <v>0</v>
      </c>
      <c r="AC89" s="207">
        <f>SUMIFS('декабрь 2023'!$G$4:$G$1227,'декабрь 2023'!$D$4:$D$1227,$B89,'декабрь 2023'!$J$4:$J$1227,AC$1)</f>
        <v>0</v>
      </c>
      <c r="AD89" s="207">
        <f>SUMIFS('декабрь 2023'!$G$4:$G$1227,'декабрь 2023'!$D$4:$D$1227,$B89,'декабрь 2023'!$J$4:$J$1227,AD$1)</f>
        <v>0</v>
      </c>
      <c r="AE89" s="207">
        <f>SUMIFS('декабрь 2023'!$G$4:$G$1227,'декабрь 2023'!$D$4:$D$1227,$B89,'декабрь 2023'!$J$4:$J$1227,AE$1)</f>
        <v>0</v>
      </c>
      <c r="AF89" s="207">
        <f>SUMIFS('декабрь 2023'!$G$4:$G$1227,'декабрь 2023'!$D$4:$D$1227,$B89,'декабрь 2023'!$J$4:$J$1227,AF$1)</f>
        <v>0</v>
      </c>
      <c r="AG89" s="207">
        <f>SUMIFS('декабрь 2023'!$G$4:$G$1227,'декабрь 2023'!$D$4:$D$1227,$B89,'декабрь 2023'!$J$4:$J$1227,AG$1)</f>
        <v>0</v>
      </c>
      <c r="AH89" s="207">
        <f>SUMIFS('декабрь 2023'!$G$4:$G$1227,'декабрь 2023'!$D$4:$D$1227,$B89,'декабрь 2023'!$J$4:$J$1227,AH$1)</f>
        <v>0</v>
      </c>
      <c r="AI89" s="170">
        <f t="shared" si="2"/>
        <v>0</v>
      </c>
    </row>
    <row r="90" spans="2:35" ht="15" customHeight="1" x14ac:dyDescent="0.25">
      <c r="B90" s="212" t="s">
        <v>1608</v>
      </c>
      <c r="C90" s="211">
        <v>950</v>
      </c>
      <c r="D90" s="207">
        <f>SUMIFS('декабрь 2023'!$G$4:$G$1227,'декабрь 2023'!$D$4:$D$1227,$B90,'декабрь 2023'!$J$4:$J$1227,D$1)</f>
        <v>0</v>
      </c>
      <c r="E90" s="207">
        <f>SUMIFS('декабрь 2023'!$G$4:$G$1227,'декабрь 2023'!$D$4:$D$1227,$B90,'декабрь 2023'!$J$4:$J$1227,E$1)</f>
        <v>0</v>
      </c>
      <c r="F90" s="207">
        <f>SUMIFS('декабрь 2023'!$G$4:$G$1227,'декабрь 2023'!$D$4:$D$1227,$B90,'декабрь 2023'!$J$4:$J$1227,F$1)</f>
        <v>0</v>
      </c>
      <c r="G90" s="207">
        <f>SUMIFS('декабрь 2023'!$G$4:$G$1227,'декабрь 2023'!$D$4:$D$1227,$B90,'декабрь 2023'!$J$4:$J$1227,G$1)</f>
        <v>0</v>
      </c>
      <c r="H90" s="207">
        <f>SUMIFS('декабрь 2023'!$G$4:$G$1227,'декабрь 2023'!$D$4:$D$1227,$B90,'декабрь 2023'!$J$4:$J$1227,H$1)</f>
        <v>0</v>
      </c>
      <c r="I90" s="207">
        <f>SUMIFS('декабрь 2023'!$G$4:$G$1227,'декабрь 2023'!$D$4:$D$1227,$B90,'декабрь 2023'!$J$4:$J$1227,I$1)</f>
        <v>0</v>
      </c>
      <c r="J90" s="207">
        <f>SUMIFS('декабрь 2023'!$G$4:$G$1227,'декабрь 2023'!$D$4:$D$1227,$B90,'декабрь 2023'!$J$4:$J$1227,J$1)</f>
        <v>0</v>
      </c>
      <c r="K90" s="207">
        <f>SUMIFS('декабрь 2023'!$G$4:$G$1227,'декабрь 2023'!$D$4:$D$1227,$B90,'декабрь 2023'!$J$4:$J$1227,K$1)</f>
        <v>0</v>
      </c>
      <c r="L90" s="207">
        <f>SUMIFS('декабрь 2023'!$G$4:$G$1227,'декабрь 2023'!$D$4:$D$1227,$B90,'декабрь 2023'!$J$4:$J$1227,L$1)</f>
        <v>0</v>
      </c>
      <c r="M90" s="207">
        <f>SUMIFS('декабрь 2023'!$G$4:$G$1227,'декабрь 2023'!$D$4:$D$1227,$B90,'декабрь 2023'!$J$4:$J$1227,M$1)</f>
        <v>0</v>
      </c>
      <c r="N90" s="207">
        <f>SUMIFS('декабрь 2023'!$G$4:$G$1227,'декабрь 2023'!$D$4:$D$1227,$B90,'декабрь 2023'!$J$4:$J$1227,N$1)</f>
        <v>0</v>
      </c>
      <c r="O90" s="207">
        <f>SUMIFS('декабрь 2023'!$G$4:$G$1227,'декабрь 2023'!$D$4:$D$1227,$B90,'декабрь 2023'!$J$4:$J$1227,O$1)</f>
        <v>0</v>
      </c>
      <c r="P90" s="207">
        <f>SUMIFS('декабрь 2023'!$G$4:$G$1227,'декабрь 2023'!$D$4:$D$1227,$B90,'декабрь 2023'!$J$4:$J$1227,P$1)</f>
        <v>0</v>
      </c>
      <c r="Q90" s="207">
        <f>SUMIFS('декабрь 2023'!$G$4:$G$1227,'декабрь 2023'!$D$4:$D$1227,$B90,'декабрь 2023'!$J$4:$J$1227,Q$1)</f>
        <v>0</v>
      </c>
      <c r="R90" s="207">
        <f>SUMIFS('декабрь 2023'!$G$4:$G$1227,'декабрь 2023'!$D$4:$D$1227,$B90,'декабрь 2023'!$J$4:$J$1227,R$1)</f>
        <v>0</v>
      </c>
      <c r="S90" s="207">
        <f>SUMIFS('декабрь 2023'!$G$4:$G$1227,'декабрь 2023'!$D$4:$D$1227,$B90,'декабрь 2023'!$J$4:$J$1227,S$1)</f>
        <v>0</v>
      </c>
      <c r="T90" s="207">
        <f>SUMIFS('декабрь 2023'!$G$4:$G$1227,'декабрь 2023'!$D$4:$D$1227,$B90,'декабрь 2023'!$J$4:$J$1227,T$1)</f>
        <v>0</v>
      </c>
      <c r="U90" s="207">
        <f>SUMIFS('декабрь 2023'!$G$4:$G$1227,'декабрь 2023'!$D$4:$D$1227,$B90,'декабрь 2023'!$J$4:$J$1227,U$1)</f>
        <v>0</v>
      </c>
      <c r="V90" s="207">
        <f>SUMIFS('декабрь 2023'!$G$4:$G$1227,'декабрь 2023'!$D$4:$D$1227,$B90,'декабрь 2023'!$J$4:$J$1227,V$1)</f>
        <v>0</v>
      </c>
      <c r="W90" s="207">
        <f>SUMIFS('декабрь 2023'!$G$4:$G$1227,'декабрь 2023'!$D$4:$D$1227,$B90,'декабрь 2023'!$J$4:$J$1227,W$1)</f>
        <v>0</v>
      </c>
      <c r="X90" s="207">
        <f>SUMIFS('декабрь 2023'!$G$4:$G$1227,'декабрь 2023'!$D$4:$D$1227,$B90,'декабрь 2023'!$J$4:$J$1227,X$1)</f>
        <v>0</v>
      </c>
      <c r="Y90" s="207">
        <f>SUMIFS('декабрь 2023'!$G$4:$G$1227,'декабрь 2023'!$D$4:$D$1227,$B90,'декабрь 2023'!$J$4:$J$1227,Y$1)</f>
        <v>0</v>
      </c>
      <c r="Z90" s="207">
        <f>SUMIFS('декабрь 2023'!$G$4:$G$1227,'декабрь 2023'!$D$4:$D$1227,$B90,'декабрь 2023'!$J$4:$J$1227,Z$1)</f>
        <v>0</v>
      </c>
      <c r="AA90" s="207">
        <f>SUMIFS('декабрь 2023'!$G$4:$G$1227,'декабрь 2023'!$D$4:$D$1227,$B90,'декабрь 2023'!$J$4:$J$1227,AA$1)</f>
        <v>0</v>
      </c>
      <c r="AB90" s="207">
        <f>SUMIFS('декабрь 2023'!$G$4:$G$1227,'декабрь 2023'!$D$4:$D$1227,$B90,'декабрь 2023'!$J$4:$J$1227,AB$1)</f>
        <v>0</v>
      </c>
      <c r="AC90" s="207">
        <f>SUMIFS('декабрь 2023'!$G$4:$G$1227,'декабрь 2023'!$D$4:$D$1227,$B90,'декабрь 2023'!$J$4:$J$1227,AC$1)</f>
        <v>0</v>
      </c>
      <c r="AD90" s="207">
        <f>SUMIFS('декабрь 2023'!$G$4:$G$1227,'декабрь 2023'!$D$4:$D$1227,$B90,'декабрь 2023'!$J$4:$J$1227,AD$1)</f>
        <v>0</v>
      </c>
      <c r="AE90" s="207">
        <f>SUMIFS('декабрь 2023'!$G$4:$G$1227,'декабрь 2023'!$D$4:$D$1227,$B90,'декабрь 2023'!$J$4:$J$1227,AE$1)</f>
        <v>0</v>
      </c>
      <c r="AF90" s="207">
        <f>SUMIFS('декабрь 2023'!$G$4:$G$1227,'декабрь 2023'!$D$4:$D$1227,$B90,'декабрь 2023'!$J$4:$J$1227,AF$1)</f>
        <v>0</v>
      </c>
      <c r="AG90" s="207">
        <f>SUMIFS('декабрь 2023'!$G$4:$G$1227,'декабрь 2023'!$D$4:$D$1227,$B90,'декабрь 2023'!$J$4:$J$1227,AG$1)</f>
        <v>0</v>
      </c>
      <c r="AH90" s="207">
        <f>SUMIFS('декабрь 2023'!$G$4:$G$1227,'декабрь 2023'!$D$4:$D$1227,$B90,'декабрь 2023'!$J$4:$J$1227,AH$1)</f>
        <v>0</v>
      </c>
      <c r="AI90" s="170">
        <f t="shared" si="2"/>
        <v>0</v>
      </c>
    </row>
    <row r="91" spans="2:35" ht="15" customHeight="1" x14ac:dyDescent="0.25">
      <c r="B91" s="212" t="s">
        <v>468</v>
      </c>
      <c r="C91" s="211">
        <v>180</v>
      </c>
      <c r="D91" s="207">
        <f>SUMIFS('декабрь 2023'!$G$4:$G$1227,'декабрь 2023'!$D$4:$D$1227,$B91,'декабрь 2023'!$J$4:$J$1227,D$1)</f>
        <v>0</v>
      </c>
      <c r="E91" s="207">
        <f>SUMIFS('декабрь 2023'!$G$4:$G$1227,'декабрь 2023'!$D$4:$D$1227,$B91,'декабрь 2023'!$J$4:$J$1227,E$1)</f>
        <v>0</v>
      </c>
      <c r="F91" s="207">
        <f>SUMIFS('декабрь 2023'!$G$4:$G$1227,'декабрь 2023'!$D$4:$D$1227,$B91,'декабрь 2023'!$J$4:$J$1227,F$1)</f>
        <v>0</v>
      </c>
      <c r="G91" s="207">
        <f>SUMIFS('декабрь 2023'!$G$4:$G$1227,'декабрь 2023'!$D$4:$D$1227,$B91,'декабрь 2023'!$J$4:$J$1227,G$1)</f>
        <v>0</v>
      </c>
      <c r="H91" s="207">
        <f>SUMIFS('декабрь 2023'!$G$4:$G$1227,'декабрь 2023'!$D$4:$D$1227,$B91,'декабрь 2023'!$J$4:$J$1227,H$1)</f>
        <v>0</v>
      </c>
      <c r="I91" s="207">
        <f>SUMIFS('декабрь 2023'!$G$4:$G$1227,'декабрь 2023'!$D$4:$D$1227,$B91,'декабрь 2023'!$J$4:$J$1227,I$1)</f>
        <v>0</v>
      </c>
      <c r="J91" s="207">
        <f>SUMIFS('декабрь 2023'!$G$4:$G$1227,'декабрь 2023'!$D$4:$D$1227,$B91,'декабрь 2023'!$J$4:$J$1227,J$1)</f>
        <v>0</v>
      </c>
      <c r="K91" s="207">
        <f>SUMIFS('декабрь 2023'!$G$4:$G$1227,'декабрь 2023'!$D$4:$D$1227,$B91,'декабрь 2023'!$J$4:$J$1227,K$1)</f>
        <v>0</v>
      </c>
      <c r="L91" s="207">
        <f>SUMIFS('декабрь 2023'!$G$4:$G$1227,'декабрь 2023'!$D$4:$D$1227,$B91,'декабрь 2023'!$J$4:$J$1227,L$1)</f>
        <v>0</v>
      </c>
      <c r="M91" s="207">
        <f>SUMIFS('декабрь 2023'!$G$4:$G$1227,'декабрь 2023'!$D$4:$D$1227,$B91,'декабрь 2023'!$J$4:$J$1227,M$1)</f>
        <v>0</v>
      </c>
      <c r="N91" s="207">
        <f>SUMIFS('декабрь 2023'!$G$4:$G$1227,'декабрь 2023'!$D$4:$D$1227,$B91,'декабрь 2023'!$J$4:$J$1227,N$1)</f>
        <v>0</v>
      </c>
      <c r="O91" s="207">
        <f>SUMIFS('декабрь 2023'!$G$4:$G$1227,'декабрь 2023'!$D$4:$D$1227,$B91,'декабрь 2023'!$J$4:$J$1227,O$1)</f>
        <v>0</v>
      </c>
      <c r="P91" s="207">
        <f>SUMIFS('декабрь 2023'!$G$4:$G$1227,'декабрь 2023'!$D$4:$D$1227,$B91,'декабрь 2023'!$J$4:$J$1227,P$1)</f>
        <v>0</v>
      </c>
      <c r="Q91" s="207">
        <f>SUMIFS('декабрь 2023'!$G$4:$G$1227,'декабрь 2023'!$D$4:$D$1227,$B91,'декабрь 2023'!$J$4:$J$1227,Q$1)</f>
        <v>0</v>
      </c>
      <c r="R91" s="207">
        <f>SUMIFS('декабрь 2023'!$G$4:$G$1227,'декабрь 2023'!$D$4:$D$1227,$B91,'декабрь 2023'!$J$4:$J$1227,R$1)</f>
        <v>0</v>
      </c>
      <c r="S91" s="207">
        <f>SUMIFS('декабрь 2023'!$G$4:$G$1227,'декабрь 2023'!$D$4:$D$1227,$B91,'декабрь 2023'!$J$4:$J$1227,S$1)</f>
        <v>0</v>
      </c>
      <c r="T91" s="207">
        <f>SUMIFS('декабрь 2023'!$G$4:$G$1227,'декабрь 2023'!$D$4:$D$1227,$B91,'декабрь 2023'!$J$4:$J$1227,T$1)</f>
        <v>0</v>
      </c>
      <c r="U91" s="207">
        <f>SUMIFS('декабрь 2023'!$G$4:$G$1227,'декабрь 2023'!$D$4:$D$1227,$B91,'декабрь 2023'!$J$4:$J$1227,U$1)</f>
        <v>0</v>
      </c>
      <c r="V91" s="207">
        <f>SUMIFS('декабрь 2023'!$G$4:$G$1227,'декабрь 2023'!$D$4:$D$1227,$B91,'декабрь 2023'!$J$4:$J$1227,V$1)</f>
        <v>0</v>
      </c>
      <c r="W91" s="207">
        <f>SUMIFS('декабрь 2023'!$G$4:$G$1227,'декабрь 2023'!$D$4:$D$1227,$B91,'декабрь 2023'!$J$4:$J$1227,W$1)</f>
        <v>0</v>
      </c>
      <c r="X91" s="207">
        <f>SUMIFS('декабрь 2023'!$G$4:$G$1227,'декабрь 2023'!$D$4:$D$1227,$B91,'декабрь 2023'!$J$4:$J$1227,X$1)</f>
        <v>0</v>
      </c>
      <c r="Y91" s="207">
        <f>SUMIFS('декабрь 2023'!$G$4:$G$1227,'декабрь 2023'!$D$4:$D$1227,$B91,'декабрь 2023'!$J$4:$J$1227,Y$1)</f>
        <v>0</v>
      </c>
      <c r="Z91" s="207">
        <f>SUMIFS('декабрь 2023'!$G$4:$G$1227,'декабрь 2023'!$D$4:$D$1227,$B91,'декабрь 2023'!$J$4:$J$1227,Z$1)</f>
        <v>0</v>
      </c>
      <c r="AA91" s="207">
        <f>SUMIFS('декабрь 2023'!$G$4:$G$1227,'декабрь 2023'!$D$4:$D$1227,$B91,'декабрь 2023'!$J$4:$J$1227,AA$1)</f>
        <v>0</v>
      </c>
      <c r="AB91" s="207">
        <f>SUMIFS('декабрь 2023'!$G$4:$G$1227,'декабрь 2023'!$D$4:$D$1227,$B91,'декабрь 2023'!$J$4:$J$1227,AB$1)</f>
        <v>0</v>
      </c>
      <c r="AC91" s="207">
        <f>SUMIFS('декабрь 2023'!$G$4:$G$1227,'декабрь 2023'!$D$4:$D$1227,$B91,'декабрь 2023'!$J$4:$J$1227,AC$1)</f>
        <v>0</v>
      </c>
      <c r="AD91" s="207">
        <f>SUMIFS('декабрь 2023'!$G$4:$G$1227,'декабрь 2023'!$D$4:$D$1227,$B91,'декабрь 2023'!$J$4:$J$1227,AD$1)</f>
        <v>0</v>
      </c>
      <c r="AE91" s="207">
        <f>SUMIFS('декабрь 2023'!$G$4:$G$1227,'декабрь 2023'!$D$4:$D$1227,$B91,'декабрь 2023'!$J$4:$J$1227,AE$1)</f>
        <v>0</v>
      </c>
      <c r="AF91" s="207">
        <f>SUMIFS('декабрь 2023'!$G$4:$G$1227,'декабрь 2023'!$D$4:$D$1227,$B91,'декабрь 2023'!$J$4:$J$1227,AF$1)</f>
        <v>0</v>
      </c>
      <c r="AG91" s="207">
        <f>SUMIFS('декабрь 2023'!$G$4:$G$1227,'декабрь 2023'!$D$4:$D$1227,$B91,'декабрь 2023'!$J$4:$J$1227,AG$1)</f>
        <v>0</v>
      </c>
      <c r="AH91" s="207">
        <f>SUMIFS('декабрь 2023'!$G$4:$G$1227,'декабрь 2023'!$D$4:$D$1227,$B91,'декабрь 2023'!$J$4:$J$1227,AH$1)</f>
        <v>0</v>
      </c>
      <c r="AI91" s="170">
        <f t="shared" si="2"/>
        <v>0</v>
      </c>
    </row>
    <row r="92" spans="2:35" ht="15" customHeight="1" x14ac:dyDescent="0.25">
      <c r="B92" s="216" t="s">
        <v>1755</v>
      </c>
      <c r="C92" s="213">
        <v>200</v>
      </c>
      <c r="D92" s="207">
        <f>SUMIFS('декабрь 2023'!$G$4:$G$1227,'декабрь 2023'!$D$4:$D$1227,$B92,'декабрь 2023'!$J$4:$J$1227,D$1)</f>
        <v>0</v>
      </c>
      <c r="E92" s="207">
        <f>SUMIFS('декабрь 2023'!$G$4:$G$1227,'декабрь 2023'!$D$4:$D$1227,$B92,'декабрь 2023'!$J$4:$J$1227,E$1)</f>
        <v>0</v>
      </c>
      <c r="F92" s="207">
        <f>SUMIFS('декабрь 2023'!$G$4:$G$1227,'декабрь 2023'!$D$4:$D$1227,$B92,'декабрь 2023'!$J$4:$J$1227,F$1)</f>
        <v>0</v>
      </c>
      <c r="G92" s="207">
        <f>SUMIFS('декабрь 2023'!$G$4:$G$1227,'декабрь 2023'!$D$4:$D$1227,$B92,'декабрь 2023'!$J$4:$J$1227,G$1)</f>
        <v>0</v>
      </c>
      <c r="H92" s="207">
        <f>SUMIFS('декабрь 2023'!$G$4:$G$1227,'декабрь 2023'!$D$4:$D$1227,$B92,'декабрь 2023'!$J$4:$J$1227,H$1)</f>
        <v>0</v>
      </c>
      <c r="I92" s="207">
        <f>SUMIFS('декабрь 2023'!$G$4:$G$1227,'декабрь 2023'!$D$4:$D$1227,$B92,'декабрь 2023'!$J$4:$J$1227,I$1)</f>
        <v>0</v>
      </c>
      <c r="J92" s="207">
        <f>SUMIFS('декабрь 2023'!$G$4:$G$1227,'декабрь 2023'!$D$4:$D$1227,$B92,'декабрь 2023'!$J$4:$J$1227,J$1)</f>
        <v>0</v>
      </c>
      <c r="K92" s="207">
        <f>SUMIFS('декабрь 2023'!$G$4:$G$1227,'декабрь 2023'!$D$4:$D$1227,$B92,'декабрь 2023'!$J$4:$J$1227,K$1)</f>
        <v>0</v>
      </c>
      <c r="L92" s="207">
        <f>SUMIFS('декабрь 2023'!$G$4:$G$1227,'декабрь 2023'!$D$4:$D$1227,$B92,'декабрь 2023'!$J$4:$J$1227,L$1)</f>
        <v>0</v>
      </c>
      <c r="M92" s="207">
        <f>SUMIFS('декабрь 2023'!$G$4:$G$1227,'декабрь 2023'!$D$4:$D$1227,$B92,'декабрь 2023'!$J$4:$J$1227,M$1)</f>
        <v>0</v>
      </c>
      <c r="N92" s="207">
        <f>SUMIFS('декабрь 2023'!$G$4:$G$1227,'декабрь 2023'!$D$4:$D$1227,$B92,'декабрь 2023'!$J$4:$J$1227,N$1)</f>
        <v>0</v>
      </c>
      <c r="O92" s="207">
        <f>SUMIFS('декабрь 2023'!$G$4:$G$1227,'декабрь 2023'!$D$4:$D$1227,$B92,'декабрь 2023'!$J$4:$J$1227,O$1)</f>
        <v>0</v>
      </c>
      <c r="P92" s="207">
        <f>SUMIFS('декабрь 2023'!$G$4:$G$1227,'декабрь 2023'!$D$4:$D$1227,$B92,'декабрь 2023'!$J$4:$J$1227,P$1)</f>
        <v>0</v>
      </c>
      <c r="Q92" s="207">
        <f>SUMIFS('декабрь 2023'!$G$4:$G$1227,'декабрь 2023'!$D$4:$D$1227,$B92,'декабрь 2023'!$J$4:$J$1227,Q$1)</f>
        <v>0</v>
      </c>
      <c r="R92" s="207">
        <f>SUMIFS('декабрь 2023'!$G$4:$G$1227,'декабрь 2023'!$D$4:$D$1227,$B92,'декабрь 2023'!$J$4:$J$1227,R$1)</f>
        <v>0</v>
      </c>
      <c r="S92" s="207">
        <f>SUMIFS('декабрь 2023'!$G$4:$G$1227,'декабрь 2023'!$D$4:$D$1227,$B92,'декабрь 2023'!$J$4:$J$1227,S$1)</f>
        <v>0</v>
      </c>
      <c r="T92" s="207">
        <f>SUMIFS('декабрь 2023'!$G$4:$G$1227,'декабрь 2023'!$D$4:$D$1227,$B92,'декабрь 2023'!$J$4:$J$1227,T$1)</f>
        <v>0</v>
      </c>
      <c r="U92" s="207">
        <f>SUMIFS('декабрь 2023'!$G$4:$G$1227,'декабрь 2023'!$D$4:$D$1227,$B92,'декабрь 2023'!$J$4:$J$1227,U$1)</f>
        <v>0</v>
      </c>
      <c r="V92" s="207">
        <f>SUMIFS('декабрь 2023'!$G$4:$G$1227,'декабрь 2023'!$D$4:$D$1227,$B92,'декабрь 2023'!$J$4:$J$1227,V$1)</f>
        <v>0</v>
      </c>
      <c r="W92" s="207">
        <f>SUMIFS('декабрь 2023'!$G$4:$G$1227,'декабрь 2023'!$D$4:$D$1227,$B92,'декабрь 2023'!$J$4:$J$1227,W$1)</f>
        <v>0</v>
      </c>
      <c r="X92" s="207">
        <f>SUMIFS('декабрь 2023'!$G$4:$G$1227,'декабрь 2023'!$D$4:$D$1227,$B92,'декабрь 2023'!$J$4:$J$1227,X$1)</f>
        <v>0</v>
      </c>
      <c r="Y92" s="207">
        <f>SUMIFS('декабрь 2023'!$G$4:$G$1227,'декабрь 2023'!$D$4:$D$1227,$B92,'декабрь 2023'!$J$4:$J$1227,Y$1)</f>
        <v>0</v>
      </c>
      <c r="Z92" s="207">
        <f>SUMIFS('декабрь 2023'!$G$4:$G$1227,'декабрь 2023'!$D$4:$D$1227,$B92,'декабрь 2023'!$J$4:$J$1227,Z$1)</f>
        <v>0</v>
      </c>
      <c r="AA92" s="207">
        <f>SUMIFS('декабрь 2023'!$G$4:$G$1227,'декабрь 2023'!$D$4:$D$1227,$B92,'декабрь 2023'!$J$4:$J$1227,AA$1)</f>
        <v>0</v>
      </c>
      <c r="AB92" s="207">
        <f>SUMIFS('декабрь 2023'!$G$4:$G$1227,'декабрь 2023'!$D$4:$D$1227,$B92,'декабрь 2023'!$J$4:$J$1227,AB$1)</f>
        <v>0</v>
      </c>
      <c r="AC92" s="207">
        <f>SUMIFS('декабрь 2023'!$G$4:$G$1227,'декабрь 2023'!$D$4:$D$1227,$B92,'декабрь 2023'!$J$4:$J$1227,AC$1)</f>
        <v>0</v>
      </c>
      <c r="AD92" s="207">
        <f>SUMIFS('декабрь 2023'!$G$4:$G$1227,'декабрь 2023'!$D$4:$D$1227,$B92,'декабрь 2023'!$J$4:$J$1227,AD$1)</f>
        <v>0</v>
      </c>
      <c r="AE92" s="207">
        <f>SUMIFS('декабрь 2023'!$G$4:$G$1227,'декабрь 2023'!$D$4:$D$1227,$B92,'декабрь 2023'!$J$4:$J$1227,AE$1)</f>
        <v>0</v>
      </c>
      <c r="AF92" s="207">
        <f>SUMIFS('декабрь 2023'!$G$4:$G$1227,'декабрь 2023'!$D$4:$D$1227,$B92,'декабрь 2023'!$J$4:$J$1227,AF$1)</f>
        <v>0</v>
      </c>
      <c r="AG92" s="207">
        <f>SUMIFS('декабрь 2023'!$G$4:$G$1227,'декабрь 2023'!$D$4:$D$1227,$B92,'декабрь 2023'!$J$4:$J$1227,AG$1)</f>
        <v>0</v>
      </c>
      <c r="AH92" s="207">
        <f>SUMIFS('декабрь 2023'!$G$4:$G$1227,'декабрь 2023'!$D$4:$D$1227,$B92,'декабрь 2023'!$J$4:$J$1227,AH$1)</f>
        <v>0</v>
      </c>
      <c r="AI92" s="170">
        <f t="shared" si="2"/>
        <v>0</v>
      </c>
    </row>
    <row r="93" spans="2:35" ht="15" customHeight="1" x14ac:dyDescent="0.25">
      <c r="B93" s="216" t="s">
        <v>2191</v>
      </c>
      <c r="C93" s="213">
        <v>200</v>
      </c>
      <c r="D93" s="207">
        <f>SUMIFS('декабрь 2023'!$G$4:$G$1227,'декабрь 2023'!$D$4:$D$1227,$B93,'декабрь 2023'!$J$4:$J$1227,D$1)</f>
        <v>0</v>
      </c>
      <c r="E93" s="207">
        <f>SUMIFS('декабрь 2023'!$G$4:$G$1227,'декабрь 2023'!$D$4:$D$1227,$B93,'декабрь 2023'!$J$4:$J$1227,E$1)</f>
        <v>0</v>
      </c>
      <c r="F93" s="207">
        <f>SUMIFS('декабрь 2023'!$G$4:$G$1227,'декабрь 2023'!$D$4:$D$1227,$B93,'декабрь 2023'!$J$4:$J$1227,F$1)</f>
        <v>0</v>
      </c>
      <c r="G93" s="207">
        <f>SUMIFS('декабрь 2023'!$G$4:$G$1227,'декабрь 2023'!$D$4:$D$1227,$B93,'декабрь 2023'!$J$4:$J$1227,G$1)</f>
        <v>0</v>
      </c>
      <c r="H93" s="207">
        <f>SUMIFS('декабрь 2023'!$G$4:$G$1227,'декабрь 2023'!$D$4:$D$1227,$B93,'декабрь 2023'!$J$4:$J$1227,H$1)</f>
        <v>0</v>
      </c>
      <c r="I93" s="207">
        <f>SUMIFS('декабрь 2023'!$G$4:$G$1227,'декабрь 2023'!$D$4:$D$1227,$B93,'декабрь 2023'!$J$4:$J$1227,I$1)</f>
        <v>0</v>
      </c>
      <c r="J93" s="207">
        <f>SUMIFS('декабрь 2023'!$G$4:$G$1227,'декабрь 2023'!$D$4:$D$1227,$B93,'декабрь 2023'!$J$4:$J$1227,J$1)</f>
        <v>0</v>
      </c>
      <c r="K93" s="207">
        <f>SUMIFS('декабрь 2023'!$G$4:$G$1227,'декабрь 2023'!$D$4:$D$1227,$B93,'декабрь 2023'!$J$4:$J$1227,K$1)</f>
        <v>0</v>
      </c>
      <c r="L93" s="207">
        <f>SUMIFS('декабрь 2023'!$G$4:$G$1227,'декабрь 2023'!$D$4:$D$1227,$B93,'декабрь 2023'!$J$4:$J$1227,L$1)</f>
        <v>0</v>
      </c>
      <c r="M93" s="207">
        <f>SUMIFS('декабрь 2023'!$G$4:$G$1227,'декабрь 2023'!$D$4:$D$1227,$B93,'декабрь 2023'!$J$4:$J$1227,M$1)</f>
        <v>0</v>
      </c>
      <c r="N93" s="207">
        <f>SUMIFS('декабрь 2023'!$G$4:$G$1227,'декабрь 2023'!$D$4:$D$1227,$B93,'декабрь 2023'!$J$4:$J$1227,N$1)</f>
        <v>0</v>
      </c>
      <c r="O93" s="207">
        <f>SUMIFS('декабрь 2023'!$G$4:$G$1227,'декабрь 2023'!$D$4:$D$1227,$B93,'декабрь 2023'!$J$4:$J$1227,O$1)</f>
        <v>0</v>
      </c>
      <c r="P93" s="207">
        <f>SUMIFS('декабрь 2023'!$G$4:$G$1227,'декабрь 2023'!$D$4:$D$1227,$B93,'декабрь 2023'!$J$4:$J$1227,P$1)</f>
        <v>0</v>
      </c>
      <c r="Q93" s="207">
        <f>SUMIFS('декабрь 2023'!$G$4:$G$1227,'декабрь 2023'!$D$4:$D$1227,$B93,'декабрь 2023'!$J$4:$J$1227,Q$1)</f>
        <v>0</v>
      </c>
      <c r="R93" s="207">
        <f>SUMIFS('декабрь 2023'!$G$4:$G$1227,'декабрь 2023'!$D$4:$D$1227,$B93,'декабрь 2023'!$J$4:$J$1227,R$1)</f>
        <v>0</v>
      </c>
      <c r="S93" s="207">
        <f>SUMIFS('декабрь 2023'!$G$4:$G$1227,'декабрь 2023'!$D$4:$D$1227,$B93,'декабрь 2023'!$J$4:$J$1227,S$1)</f>
        <v>0</v>
      </c>
      <c r="T93" s="207">
        <f>SUMIFS('декабрь 2023'!$G$4:$G$1227,'декабрь 2023'!$D$4:$D$1227,$B93,'декабрь 2023'!$J$4:$J$1227,T$1)</f>
        <v>0</v>
      </c>
      <c r="U93" s="207">
        <f>SUMIFS('декабрь 2023'!$G$4:$G$1227,'декабрь 2023'!$D$4:$D$1227,$B93,'декабрь 2023'!$J$4:$J$1227,U$1)</f>
        <v>0</v>
      </c>
      <c r="V93" s="207">
        <f>SUMIFS('декабрь 2023'!$G$4:$G$1227,'декабрь 2023'!$D$4:$D$1227,$B93,'декабрь 2023'!$J$4:$J$1227,V$1)</f>
        <v>0</v>
      </c>
      <c r="W93" s="207">
        <f>SUMIFS('декабрь 2023'!$G$4:$G$1227,'декабрь 2023'!$D$4:$D$1227,$B93,'декабрь 2023'!$J$4:$J$1227,W$1)</f>
        <v>0</v>
      </c>
      <c r="X93" s="207">
        <f>SUMIFS('декабрь 2023'!$G$4:$G$1227,'декабрь 2023'!$D$4:$D$1227,$B93,'декабрь 2023'!$J$4:$J$1227,X$1)</f>
        <v>0</v>
      </c>
      <c r="Y93" s="207">
        <f>SUMIFS('декабрь 2023'!$G$4:$G$1227,'декабрь 2023'!$D$4:$D$1227,$B93,'декабрь 2023'!$J$4:$J$1227,Y$1)</f>
        <v>0</v>
      </c>
      <c r="Z93" s="207">
        <f>SUMIFS('декабрь 2023'!$G$4:$G$1227,'декабрь 2023'!$D$4:$D$1227,$B93,'декабрь 2023'!$J$4:$J$1227,Z$1)</f>
        <v>0</v>
      </c>
      <c r="AA93" s="207">
        <f>SUMIFS('декабрь 2023'!$G$4:$G$1227,'декабрь 2023'!$D$4:$D$1227,$B93,'декабрь 2023'!$J$4:$J$1227,AA$1)</f>
        <v>0</v>
      </c>
      <c r="AB93" s="207">
        <f>SUMIFS('декабрь 2023'!$G$4:$G$1227,'декабрь 2023'!$D$4:$D$1227,$B93,'декабрь 2023'!$J$4:$J$1227,AB$1)</f>
        <v>0</v>
      </c>
      <c r="AC93" s="207">
        <f>SUMIFS('декабрь 2023'!$G$4:$G$1227,'декабрь 2023'!$D$4:$D$1227,$B93,'декабрь 2023'!$J$4:$J$1227,AC$1)</f>
        <v>0</v>
      </c>
      <c r="AD93" s="207">
        <f>SUMIFS('декабрь 2023'!$G$4:$G$1227,'декабрь 2023'!$D$4:$D$1227,$B93,'декабрь 2023'!$J$4:$J$1227,AD$1)</f>
        <v>0</v>
      </c>
      <c r="AE93" s="207">
        <f>SUMIFS('декабрь 2023'!$G$4:$G$1227,'декабрь 2023'!$D$4:$D$1227,$B93,'декабрь 2023'!$J$4:$J$1227,AE$1)</f>
        <v>0</v>
      </c>
      <c r="AF93" s="207">
        <f>SUMIFS('декабрь 2023'!$G$4:$G$1227,'декабрь 2023'!$D$4:$D$1227,$B93,'декабрь 2023'!$J$4:$J$1227,AF$1)</f>
        <v>0</v>
      </c>
      <c r="AG93" s="207">
        <f>SUMIFS('декабрь 2023'!$G$4:$G$1227,'декабрь 2023'!$D$4:$D$1227,$B93,'декабрь 2023'!$J$4:$J$1227,AG$1)</f>
        <v>0</v>
      </c>
      <c r="AH93" s="207">
        <f>SUMIFS('декабрь 2023'!$G$4:$G$1227,'декабрь 2023'!$D$4:$D$1227,$B93,'декабрь 2023'!$J$4:$J$1227,AH$1)</f>
        <v>0</v>
      </c>
      <c r="AI93" s="170">
        <f t="shared" si="2"/>
        <v>0</v>
      </c>
    </row>
    <row r="94" spans="2:35" ht="15" customHeight="1" x14ac:dyDescent="0.25">
      <c r="B94" s="216" t="s">
        <v>898</v>
      </c>
      <c r="C94" s="213">
        <v>200</v>
      </c>
      <c r="D94" s="207">
        <f>SUMIFS('декабрь 2023'!$G$4:$G$1227,'декабрь 2023'!$D$4:$D$1227,$B94,'декабрь 2023'!$J$4:$J$1227,D$1)</f>
        <v>0</v>
      </c>
      <c r="E94" s="207">
        <f>SUMIFS('декабрь 2023'!$G$4:$G$1227,'декабрь 2023'!$D$4:$D$1227,$B94,'декабрь 2023'!$J$4:$J$1227,E$1)</f>
        <v>0</v>
      </c>
      <c r="F94" s="207">
        <f>SUMIFS('декабрь 2023'!$G$4:$G$1227,'декабрь 2023'!$D$4:$D$1227,$B94,'декабрь 2023'!$J$4:$J$1227,F$1)</f>
        <v>0</v>
      </c>
      <c r="G94" s="207">
        <f>SUMIFS('декабрь 2023'!$G$4:$G$1227,'декабрь 2023'!$D$4:$D$1227,$B94,'декабрь 2023'!$J$4:$J$1227,G$1)</f>
        <v>0</v>
      </c>
      <c r="H94" s="207">
        <f>SUMIFS('декабрь 2023'!$G$4:$G$1227,'декабрь 2023'!$D$4:$D$1227,$B94,'декабрь 2023'!$J$4:$J$1227,H$1)</f>
        <v>0</v>
      </c>
      <c r="I94" s="207">
        <f>SUMIFS('декабрь 2023'!$G$4:$G$1227,'декабрь 2023'!$D$4:$D$1227,$B94,'декабрь 2023'!$J$4:$J$1227,I$1)</f>
        <v>0</v>
      </c>
      <c r="J94" s="207">
        <f>SUMIFS('декабрь 2023'!$G$4:$G$1227,'декабрь 2023'!$D$4:$D$1227,$B94,'декабрь 2023'!$J$4:$J$1227,J$1)</f>
        <v>0</v>
      </c>
      <c r="K94" s="207">
        <f>SUMIFS('декабрь 2023'!$G$4:$G$1227,'декабрь 2023'!$D$4:$D$1227,$B94,'декабрь 2023'!$J$4:$J$1227,K$1)</f>
        <v>0</v>
      </c>
      <c r="L94" s="207">
        <f>SUMIFS('декабрь 2023'!$G$4:$G$1227,'декабрь 2023'!$D$4:$D$1227,$B94,'декабрь 2023'!$J$4:$J$1227,L$1)</f>
        <v>0</v>
      </c>
      <c r="M94" s="207">
        <f>SUMIFS('декабрь 2023'!$G$4:$G$1227,'декабрь 2023'!$D$4:$D$1227,$B94,'декабрь 2023'!$J$4:$J$1227,M$1)</f>
        <v>0</v>
      </c>
      <c r="N94" s="207">
        <f>SUMIFS('декабрь 2023'!$G$4:$G$1227,'декабрь 2023'!$D$4:$D$1227,$B94,'декабрь 2023'!$J$4:$J$1227,N$1)</f>
        <v>0</v>
      </c>
      <c r="O94" s="207">
        <f>SUMIFS('декабрь 2023'!$G$4:$G$1227,'декабрь 2023'!$D$4:$D$1227,$B94,'декабрь 2023'!$J$4:$J$1227,O$1)</f>
        <v>0</v>
      </c>
      <c r="P94" s="207">
        <f>SUMIFS('декабрь 2023'!$G$4:$G$1227,'декабрь 2023'!$D$4:$D$1227,$B94,'декабрь 2023'!$J$4:$J$1227,P$1)</f>
        <v>0</v>
      </c>
      <c r="Q94" s="207">
        <f>SUMIFS('декабрь 2023'!$G$4:$G$1227,'декабрь 2023'!$D$4:$D$1227,$B94,'декабрь 2023'!$J$4:$J$1227,Q$1)</f>
        <v>0</v>
      </c>
      <c r="R94" s="207">
        <f>SUMIFS('декабрь 2023'!$G$4:$G$1227,'декабрь 2023'!$D$4:$D$1227,$B94,'декабрь 2023'!$J$4:$J$1227,R$1)</f>
        <v>0</v>
      </c>
      <c r="S94" s="207">
        <f>SUMIFS('декабрь 2023'!$G$4:$G$1227,'декабрь 2023'!$D$4:$D$1227,$B94,'декабрь 2023'!$J$4:$J$1227,S$1)</f>
        <v>0</v>
      </c>
      <c r="T94" s="207">
        <f>SUMIFS('декабрь 2023'!$G$4:$G$1227,'декабрь 2023'!$D$4:$D$1227,$B94,'декабрь 2023'!$J$4:$J$1227,T$1)</f>
        <v>0</v>
      </c>
      <c r="U94" s="207">
        <f>SUMIFS('декабрь 2023'!$G$4:$G$1227,'декабрь 2023'!$D$4:$D$1227,$B94,'декабрь 2023'!$J$4:$J$1227,U$1)</f>
        <v>0</v>
      </c>
      <c r="V94" s="207">
        <f>SUMIFS('декабрь 2023'!$G$4:$G$1227,'декабрь 2023'!$D$4:$D$1227,$B94,'декабрь 2023'!$J$4:$J$1227,V$1)</f>
        <v>0</v>
      </c>
      <c r="W94" s="207">
        <f>SUMIFS('декабрь 2023'!$G$4:$G$1227,'декабрь 2023'!$D$4:$D$1227,$B94,'декабрь 2023'!$J$4:$J$1227,W$1)</f>
        <v>0</v>
      </c>
      <c r="X94" s="207">
        <f>SUMIFS('декабрь 2023'!$G$4:$G$1227,'декабрь 2023'!$D$4:$D$1227,$B94,'декабрь 2023'!$J$4:$J$1227,X$1)</f>
        <v>0</v>
      </c>
      <c r="Y94" s="207">
        <f>SUMIFS('декабрь 2023'!$G$4:$G$1227,'декабрь 2023'!$D$4:$D$1227,$B94,'декабрь 2023'!$J$4:$J$1227,Y$1)</f>
        <v>0</v>
      </c>
      <c r="Z94" s="207">
        <f>SUMIFS('декабрь 2023'!$G$4:$G$1227,'декабрь 2023'!$D$4:$D$1227,$B94,'декабрь 2023'!$J$4:$J$1227,Z$1)</f>
        <v>0</v>
      </c>
      <c r="AA94" s="207">
        <f>SUMIFS('декабрь 2023'!$G$4:$G$1227,'декабрь 2023'!$D$4:$D$1227,$B94,'декабрь 2023'!$J$4:$J$1227,AA$1)</f>
        <v>0</v>
      </c>
      <c r="AB94" s="207">
        <f>SUMIFS('декабрь 2023'!$G$4:$G$1227,'декабрь 2023'!$D$4:$D$1227,$B94,'декабрь 2023'!$J$4:$J$1227,AB$1)</f>
        <v>0</v>
      </c>
      <c r="AC94" s="207">
        <f>SUMIFS('декабрь 2023'!$G$4:$G$1227,'декабрь 2023'!$D$4:$D$1227,$B94,'декабрь 2023'!$J$4:$J$1227,AC$1)</f>
        <v>0</v>
      </c>
      <c r="AD94" s="207">
        <f>SUMIFS('декабрь 2023'!$G$4:$G$1227,'декабрь 2023'!$D$4:$D$1227,$B94,'декабрь 2023'!$J$4:$J$1227,AD$1)</f>
        <v>0</v>
      </c>
      <c r="AE94" s="207">
        <f>SUMIFS('декабрь 2023'!$G$4:$G$1227,'декабрь 2023'!$D$4:$D$1227,$B94,'декабрь 2023'!$J$4:$J$1227,AE$1)</f>
        <v>0</v>
      </c>
      <c r="AF94" s="207">
        <f>SUMIFS('декабрь 2023'!$G$4:$G$1227,'декабрь 2023'!$D$4:$D$1227,$B94,'декабрь 2023'!$J$4:$J$1227,AF$1)</f>
        <v>0</v>
      </c>
      <c r="AG94" s="207">
        <f>SUMIFS('декабрь 2023'!$G$4:$G$1227,'декабрь 2023'!$D$4:$D$1227,$B94,'декабрь 2023'!$J$4:$J$1227,AG$1)</f>
        <v>0</v>
      </c>
      <c r="AH94" s="207">
        <f>SUMIFS('декабрь 2023'!$G$4:$G$1227,'декабрь 2023'!$D$4:$D$1227,$B94,'декабрь 2023'!$J$4:$J$1227,AH$1)</f>
        <v>0</v>
      </c>
      <c r="AI94" s="170">
        <f t="shared" si="2"/>
        <v>0</v>
      </c>
    </row>
    <row r="95" spans="2:35" ht="15" customHeight="1" x14ac:dyDescent="0.25">
      <c r="B95" s="216" t="s">
        <v>1725</v>
      </c>
      <c r="C95" s="213">
        <v>180</v>
      </c>
      <c r="D95" s="207">
        <f>SUMIFS('декабрь 2023'!$G$4:$G$1227,'декабрь 2023'!$D$4:$D$1227,$B95,'декабрь 2023'!$J$4:$J$1227,D$1)</f>
        <v>0</v>
      </c>
      <c r="E95" s="207">
        <f>SUMIFS('декабрь 2023'!$G$4:$G$1227,'декабрь 2023'!$D$4:$D$1227,$B95,'декабрь 2023'!$J$4:$J$1227,E$1)</f>
        <v>0</v>
      </c>
      <c r="F95" s="207">
        <f>SUMIFS('декабрь 2023'!$G$4:$G$1227,'декабрь 2023'!$D$4:$D$1227,$B95,'декабрь 2023'!$J$4:$J$1227,F$1)</f>
        <v>0</v>
      </c>
      <c r="G95" s="207">
        <f>SUMIFS('декабрь 2023'!$G$4:$G$1227,'декабрь 2023'!$D$4:$D$1227,$B95,'декабрь 2023'!$J$4:$J$1227,G$1)</f>
        <v>0</v>
      </c>
      <c r="H95" s="207">
        <f>SUMIFS('декабрь 2023'!$G$4:$G$1227,'декабрь 2023'!$D$4:$D$1227,$B95,'декабрь 2023'!$J$4:$J$1227,H$1)</f>
        <v>0</v>
      </c>
      <c r="I95" s="207">
        <f>SUMIFS('декабрь 2023'!$G$4:$G$1227,'декабрь 2023'!$D$4:$D$1227,$B95,'декабрь 2023'!$J$4:$J$1227,I$1)</f>
        <v>0</v>
      </c>
      <c r="J95" s="207">
        <f>SUMIFS('декабрь 2023'!$G$4:$G$1227,'декабрь 2023'!$D$4:$D$1227,$B95,'декабрь 2023'!$J$4:$J$1227,J$1)</f>
        <v>0</v>
      </c>
      <c r="K95" s="207">
        <f>SUMIFS('декабрь 2023'!$G$4:$G$1227,'декабрь 2023'!$D$4:$D$1227,$B95,'декабрь 2023'!$J$4:$J$1227,K$1)</f>
        <v>0</v>
      </c>
      <c r="L95" s="207">
        <f>SUMIFS('декабрь 2023'!$G$4:$G$1227,'декабрь 2023'!$D$4:$D$1227,$B95,'декабрь 2023'!$J$4:$J$1227,L$1)</f>
        <v>0</v>
      </c>
      <c r="M95" s="207">
        <f>SUMIFS('декабрь 2023'!$G$4:$G$1227,'декабрь 2023'!$D$4:$D$1227,$B95,'декабрь 2023'!$J$4:$J$1227,M$1)</f>
        <v>0</v>
      </c>
      <c r="N95" s="207">
        <f>SUMIFS('декабрь 2023'!$G$4:$G$1227,'декабрь 2023'!$D$4:$D$1227,$B95,'декабрь 2023'!$J$4:$J$1227,N$1)</f>
        <v>0</v>
      </c>
      <c r="O95" s="207">
        <f>SUMIFS('декабрь 2023'!$G$4:$G$1227,'декабрь 2023'!$D$4:$D$1227,$B95,'декабрь 2023'!$J$4:$J$1227,O$1)</f>
        <v>0</v>
      </c>
      <c r="P95" s="207">
        <f>SUMIFS('декабрь 2023'!$G$4:$G$1227,'декабрь 2023'!$D$4:$D$1227,$B95,'декабрь 2023'!$J$4:$J$1227,P$1)</f>
        <v>0</v>
      </c>
      <c r="Q95" s="207">
        <f>SUMIFS('декабрь 2023'!$G$4:$G$1227,'декабрь 2023'!$D$4:$D$1227,$B95,'декабрь 2023'!$J$4:$J$1227,Q$1)</f>
        <v>0</v>
      </c>
      <c r="R95" s="207">
        <f>SUMIFS('декабрь 2023'!$G$4:$G$1227,'декабрь 2023'!$D$4:$D$1227,$B95,'декабрь 2023'!$J$4:$J$1227,R$1)</f>
        <v>0</v>
      </c>
      <c r="S95" s="207">
        <f>SUMIFS('декабрь 2023'!$G$4:$G$1227,'декабрь 2023'!$D$4:$D$1227,$B95,'декабрь 2023'!$J$4:$J$1227,S$1)</f>
        <v>0</v>
      </c>
      <c r="T95" s="207">
        <f>SUMIFS('декабрь 2023'!$G$4:$G$1227,'декабрь 2023'!$D$4:$D$1227,$B95,'декабрь 2023'!$J$4:$J$1227,T$1)</f>
        <v>0</v>
      </c>
      <c r="U95" s="207">
        <f>SUMIFS('декабрь 2023'!$G$4:$G$1227,'декабрь 2023'!$D$4:$D$1227,$B95,'декабрь 2023'!$J$4:$J$1227,U$1)</f>
        <v>0</v>
      </c>
      <c r="V95" s="207">
        <f>SUMIFS('декабрь 2023'!$G$4:$G$1227,'декабрь 2023'!$D$4:$D$1227,$B95,'декабрь 2023'!$J$4:$J$1227,V$1)</f>
        <v>0</v>
      </c>
      <c r="W95" s="207">
        <f>SUMIFS('декабрь 2023'!$G$4:$G$1227,'декабрь 2023'!$D$4:$D$1227,$B95,'декабрь 2023'!$J$4:$J$1227,W$1)</f>
        <v>0</v>
      </c>
      <c r="X95" s="207">
        <f>SUMIFS('декабрь 2023'!$G$4:$G$1227,'декабрь 2023'!$D$4:$D$1227,$B95,'декабрь 2023'!$J$4:$J$1227,X$1)</f>
        <v>0</v>
      </c>
      <c r="Y95" s="207">
        <f>SUMIFS('декабрь 2023'!$G$4:$G$1227,'декабрь 2023'!$D$4:$D$1227,$B95,'декабрь 2023'!$J$4:$J$1227,Y$1)</f>
        <v>0</v>
      </c>
      <c r="Z95" s="207">
        <f>SUMIFS('декабрь 2023'!$G$4:$G$1227,'декабрь 2023'!$D$4:$D$1227,$B95,'декабрь 2023'!$J$4:$J$1227,Z$1)</f>
        <v>0</v>
      </c>
      <c r="AA95" s="207">
        <f>SUMIFS('декабрь 2023'!$G$4:$G$1227,'декабрь 2023'!$D$4:$D$1227,$B95,'декабрь 2023'!$J$4:$J$1227,AA$1)</f>
        <v>0</v>
      </c>
      <c r="AB95" s="207">
        <f>SUMIFS('декабрь 2023'!$G$4:$G$1227,'декабрь 2023'!$D$4:$D$1227,$B95,'декабрь 2023'!$J$4:$J$1227,AB$1)</f>
        <v>0</v>
      </c>
      <c r="AC95" s="207">
        <f>SUMIFS('декабрь 2023'!$G$4:$G$1227,'декабрь 2023'!$D$4:$D$1227,$B95,'декабрь 2023'!$J$4:$J$1227,AC$1)</f>
        <v>0</v>
      </c>
      <c r="AD95" s="207">
        <f>SUMIFS('декабрь 2023'!$G$4:$G$1227,'декабрь 2023'!$D$4:$D$1227,$B95,'декабрь 2023'!$J$4:$J$1227,AD$1)</f>
        <v>0</v>
      </c>
      <c r="AE95" s="207">
        <f>SUMIFS('декабрь 2023'!$G$4:$G$1227,'декабрь 2023'!$D$4:$D$1227,$B95,'декабрь 2023'!$J$4:$J$1227,AE$1)</f>
        <v>0</v>
      </c>
      <c r="AF95" s="207">
        <f>SUMIFS('декабрь 2023'!$G$4:$G$1227,'декабрь 2023'!$D$4:$D$1227,$B95,'декабрь 2023'!$J$4:$J$1227,AF$1)</f>
        <v>0</v>
      </c>
      <c r="AG95" s="207">
        <f>SUMIFS('декабрь 2023'!$G$4:$G$1227,'декабрь 2023'!$D$4:$D$1227,$B95,'декабрь 2023'!$J$4:$J$1227,AG$1)</f>
        <v>0</v>
      </c>
      <c r="AH95" s="207">
        <f>SUMIFS('декабрь 2023'!$G$4:$G$1227,'декабрь 2023'!$D$4:$D$1227,$B95,'декабрь 2023'!$J$4:$J$1227,AH$1)</f>
        <v>0</v>
      </c>
      <c r="AI95" s="170">
        <f t="shared" si="2"/>
        <v>0</v>
      </c>
    </row>
    <row r="96" spans="2:35" ht="15" customHeight="1" x14ac:dyDescent="0.25">
      <c r="B96" s="212" t="s">
        <v>864</v>
      </c>
      <c r="C96" s="211">
        <v>18</v>
      </c>
      <c r="D96" s="207">
        <f>SUMIFS('декабрь 2023'!$G$4:$G$1227,'декабрь 2023'!$D$4:$D$1227,$B96,'декабрь 2023'!$J$4:$J$1227,D$1)</f>
        <v>0</v>
      </c>
      <c r="E96" s="207">
        <f>SUMIFS('декабрь 2023'!$G$4:$G$1227,'декабрь 2023'!$D$4:$D$1227,$B96,'декабрь 2023'!$J$4:$J$1227,E$1)</f>
        <v>0</v>
      </c>
      <c r="F96" s="207">
        <f>SUMIFS('декабрь 2023'!$G$4:$G$1227,'декабрь 2023'!$D$4:$D$1227,$B96,'декабрь 2023'!$J$4:$J$1227,F$1)</f>
        <v>0</v>
      </c>
      <c r="G96" s="207">
        <f>SUMIFS('декабрь 2023'!$G$4:$G$1227,'декабрь 2023'!$D$4:$D$1227,$B96,'декабрь 2023'!$J$4:$J$1227,G$1)</f>
        <v>0</v>
      </c>
      <c r="H96" s="207">
        <f>SUMIFS('декабрь 2023'!$G$4:$G$1227,'декабрь 2023'!$D$4:$D$1227,$B96,'декабрь 2023'!$J$4:$J$1227,H$1)</f>
        <v>0</v>
      </c>
      <c r="I96" s="207">
        <f>SUMIFS('декабрь 2023'!$G$4:$G$1227,'декабрь 2023'!$D$4:$D$1227,$B96,'декабрь 2023'!$J$4:$J$1227,I$1)</f>
        <v>0</v>
      </c>
      <c r="J96" s="207">
        <f>SUMIFS('декабрь 2023'!$G$4:$G$1227,'декабрь 2023'!$D$4:$D$1227,$B96,'декабрь 2023'!$J$4:$J$1227,J$1)</f>
        <v>0</v>
      </c>
      <c r="K96" s="207">
        <f>SUMIFS('декабрь 2023'!$G$4:$G$1227,'декабрь 2023'!$D$4:$D$1227,$B96,'декабрь 2023'!$J$4:$J$1227,K$1)</f>
        <v>0</v>
      </c>
      <c r="L96" s="207">
        <f>SUMIFS('декабрь 2023'!$G$4:$G$1227,'декабрь 2023'!$D$4:$D$1227,$B96,'декабрь 2023'!$J$4:$J$1227,L$1)</f>
        <v>0</v>
      </c>
      <c r="M96" s="207">
        <f>SUMIFS('декабрь 2023'!$G$4:$G$1227,'декабрь 2023'!$D$4:$D$1227,$B96,'декабрь 2023'!$J$4:$J$1227,M$1)</f>
        <v>0</v>
      </c>
      <c r="N96" s="207">
        <f>SUMIFS('декабрь 2023'!$G$4:$G$1227,'декабрь 2023'!$D$4:$D$1227,$B96,'декабрь 2023'!$J$4:$J$1227,N$1)</f>
        <v>0</v>
      </c>
      <c r="O96" s="207">
        <f>SUMIFS('декабрь 2023'!$G$4:$G$1227,'декабрь 2023'!$D$4:$D$1227,$B96,'декабрь 2023'!$J$4:$J$1227,O$1)</f>
        <v>0</v>
      </c>
      <c r="P96" s="207">
        <f>SUMIFS('декабрь 2023'!$G$4:$G$1227,'декабрь 2023'!$D$4:$D$1227,$B96,'декабрь 2023'!$J$4:$J$1227,P$1)</f>
        <v>0</v>
      </c>
      <c r="Q96" s="207">
        <f>SUMIFS('декабрь 2023'!$G$4:$G$1227,'декабрь 2023'!$D$4:$D$1227,$B96,'декабрь 2023'!$J$4:$J$1227,Q$1)</f>
        <v>0</v>
      </c>
      <c r="R96" s="207">
        <f>SUMIFS('декабрь 2023'!$G$4:$G$1227,'декабрь 2023'!$D$4:$D$1227,$B96,'декабрь 2023'!$J$4:$J$1227,R$1)</f>
        <v>0</v>
      </c>
      <c r="S96" s="207">
        <f>SUMIFS('декабрь 2023'!$G$4:$G$1227,'декабрь 2023'!$D$4:$D$1227,$B96,'декабрь 2023'!$J$4:$J$1227,S$1)</f>
        <v>0</v>
      </c>
      <c r="T96" s="207">
        <f>SUMIFS('декабрь 2023'!$G$4:$G$1227,'декабрь 2023'!$D$4:$D$1227,$B96,'декабрь 2023'!$J$4:$J$1227,T$1)</f>
        <v>0</v>
      </c>
      <c r="U96" s="207">
        <f>SUMIFS('декабрь 2023'!$G$4:$G$1227,'декабрь 2023'!$D$4:$D$1227,$B96,'декабрь 2023'!$J$4:$J$1227,U$1)</f>
        <v>0</v>
      </c>
      <c r="V96" s="207">
        <f>SUMIFS('декабрь 2023'!$G$4:$G$1227,'декабрь 2023'!$D$4:$D$1227,$B96,'декабрь 2023'!$J$4:$J$1227,V$1)</f>
        <v>0</v>
      </c>
      <c r="W96" s="207">
        <f>SUMIFS('декабрь 2023'!$G$4:$G$1227,'декабрь 2023'!$D$4:$D$1227,$B96,'декабрь 2023'!$J$4:$J$1227,W$1)</f>
        <v>0</v>
      </c>
      <c r="X96" s="207">
        <f>SUMIFS('декабрь 2023'!$G$4:$G$1227,'декабрь 2023'!$D$4:$D$1227,$B96,'декабрь 2023'!$J$4:$J$1227,X$1)</f>
        <v>0</v>
      </c>
      <c r="Y96" s="207">
        <f>SUMIFS('декабрь 2023'!$G$4:$G$1227,'декабрь 2023'!$D$4:$D$1227,$B96,'декабрь 2023'!$J$4:$J$1227,Y$1)</f>
        <v>0</v>
      </c>
      <c r="Z96" s="207">
        <f>SUMIFS('декабрь 2023'!$G$4:$G$1227,'декабрь 2023'!$D$4:$D$1227,$B96,'декабрь 2023'!$J$4:$J$1227,Z$1)</f>
        <v>0</v>
      </c>
      <c r="AA96" s="207">
        <f>SUMIFS('декабрь 2023'!$G$4:$G$1227,'декабрь 2023'!$D$4:$D$1227,$B96,'декабрь 2023'!$J$4:$J$1227,AA$1)</f>
        <v>0</v>
      </c>
      <c r="AB96" s="207">
        <f>SUMIFS('декабрь 2023'!$G$4:$G$1227,'декабрь 2023'!$D$4:$D$1227,$B96,'декабрь 2023'!$J$4:$J$1227,AB$1)</f>
        <v>0</v>
      </c>
      <c r="AC96" s="207">
        <f>SUMIFS('декабрь 2023'!$G$4:$G$1227,'декабрь 2023'!$D$4:$D$1227,$B96,'декабрь 2023'!$J$4:$J$1227,AC$1)</f>
        <v>0</v>
      </c>
      <c r="AD96" s="207">
        <f>SUMIFS('декабрь 2023'!$G$4:$G$1227,'декабрь 2023'!$D$4:$D$1227,$B96,'декабрь 2023'!$J$4:$J$1227,AD$1)</f>
        <v>0</v>
      </c>
      <c r="AE96" s="207">
        <f>SUMIFS('декабрь 2023'!$G$4:$G$1227,'декабрь 2023'!$D$4:$D$1227,$B96,'декабрь 2023'!$J$4:$J$1227,AE$1)</f>
        <v>0</v>
      </c>
      <c r="AF96" s="207">
        <f>SUMIFS('декабрь 2023'!$G$4:$G$1227,'декабрь 2023'!$D$4:$D$1227,$B96,'декабрь 2023'!$J$4:$J$1227,AF$1)</f>
        <v>0</v>
      </c>
      <c r="AG96" s="207">
        <f>SUMIFS('декабрь 2023'!$G$4:$G$1227,'декабрь 2023'!$D$4:$D$1227,$B96,'декабрь 2023'!$J$4:$J$1227,AG$1)</f>
        <v>0</v>
      </c>
      <c r="AH96" s="207">
        <f>SUMIFS('декабрь 2023'!$G$4:$G$1227,'декабрь 2023'!$D$4:$D$1227,$B96,'декабрь 2023'!$J$4:$J$1227,AH$1)</f>
        <v>0</v>
      </c>
      <c r="AI96" s="170">
        <f t="shared" si="2"/>
        <v>0</v>
      </c>
    </row>
    <row r="97" spans="2:35" ht="15" customHeight="1" x14ac:dyDescent="0.25">
      <c r="B97" s="216" t="s">
        <v>610</v>
      </c>
      <c r="C97" s="213">
        <v>180</v>
      </c>
      <c r="D97" s="207">
        <f>SUMIFS('декабрь 2023'!$G$4:$G$1227,'декабрь 2023'!$D$4:$D$1227,$B97,'декабрь 2023'!$J$4:$J$1227,D$1)</f>
        <v>0</v>
      </c>
      <c r="E97" s="207">
        <f>SUMIFS('декабрь 2023'!$G$4:$G$1227,'декабрь 2023'!$D$4:$D$1227,$B97,'декабрь 2023'!$J$4:$J$1227,E$1)</f>
        <v>0</v>
      </c>
      <c r="F97" s="207">
        <f>SUMIFS('декабрь 2023'!$G$4:$G$1227,'декабрь 2023'!$D$4:$D$1227,$B97,'декабрь 2023'!$J$4:$J$1227,F$1)</f>
        <v>0</v>
      </c>
      <c r="G97" s="207">
        <f>SUMIFS('декабрь 2023'!$G$4:$G$1227,'декабрь 2023'!$D$4:$D$1227,$B97,'декабрь 2023'!$J$4:$J$1227,G$1)</f>
        <v>0</v>
      </c>
      <c r="H97" s="207">
        <f>SUMIFS('декабрь 2023'!$G$4:$G$1227,'декабрь 2023'!$D$4:$D$1227,$B97,'декабрь 2023'!$J$4:$J$1227,H$1)</f>
        <v>0</v>
      </c>
      <c r="I97" s="207">
        <f>SUMIFS('декабрь 2023'!$G$4:$G$1227,'декабрь 2023'!$D$4:$D$1227,$B97,'декабрь 2023'!$J$4:$J$1227,I$1)</f>
        <v>0</v>
      </c>
      <c r="J97" s="207">
        <f>SUMIFS('декабрь 2023'!$G$4:$G$1227,'декабрь 2023'!$D$4:$D$1227,$B97,'декабрь 2023'!$J$4:$J$1227,J$1)</f>
        <v>0</v>
      </c>
      <c r="K97" s="207">
        <f>SUMIFS('декабрь 2023'!$G$4:$G$1227,'декабрь 2023'!$D$4:$D$1227,$B97,'декабрь 2023'!$J$4:$J$1227,K$1)</f>
        <v>0</v>
      </c>
      <c r="L97" s="207">
        <f>SUMIFS('декабрь 2023'!$G$4:$G$1227,'декабрь 2023'!$D$4:$D$1227,$B97,'декабрь 2023'!$J$4:$J$1227,L$1)</f>
        <v>0</v>
      </c>
      <c r="M97" s="207">
        <f>SUMIFS('декабрь 2023'!$G$4:$G$1227,'декабрь 2023'!$D$4:$D$1227,$B97,'декабрь 2023'!$J$4:$J$1227,M$1)</f>
        <v>0</v>
      </c>
      <c r="N97" s="207">
        <f>SUMIFS('декабрь 2023'!$G$4:$G$1227,'декабрь 2023'!$D$4:$D$1227,$B97,'декабрь 2023'!$J$4:$J$1227,N$1)</f>
        <v>0</v>
      </c>
      <c r="O97" s="207">
        <f>SUMIFS('декабрь 2023'!$G$4:$G$1227,'декабрь 2023'!$D$4:$D$1227,$B97,'декабрь 2023'!$J$4:$J$1227,O$1)</f>
        <v>0</v>
      </c>
      <c r="P97" s="207">
        <f>SUMIFS('декабрь 2023'!$G$4:$G$1227,'декабрь 2023'!$D$4:$D$1227,$B97,'декабрь 2023'!$J$4:$J$1227,P$1)</f>
        <v>0</v>
      </c>
      <c r="Q97" s="207">
        <f>SUMIFS('декабрь 2023'!$G$4:$G$1227,'декабрь 2023'!$D$4:$D$1227,$B97,'декабрь 2023'!$J$4:$J$1227,Q$1)</f>
        <v>0</v>
      </c>
      <c r="R97" s="207">
        <f>SUMIFS('декабрь 2023'!$G$4:$G$1227,'декабрь 2023'!$D$4:$D$1227,$B97,'декабрь 2023'!$J$4:$J$1227,R$1)</f>
        <v>0</v>
      </c>
      <c r="S97" s="207">
        <f>SUMIFS('декабрь 2023'!$G$4:$G$1227,'декабрь 2023'!$D$4:$D$1227,$B97,'декабрь 2023'!$J$4:$J$1227,S$1)</f>
        <v>0</v>
      </c>
      <c r="T97" s="207">
        <f>SUMIFS('декабрь 2023'!$G$4:$G$1227,'декабрь 2023'!$D$4:$D$1227,$B97,'декабрь 2023'!$J$4:$J$1227,T$1)</f>
        <v>0</v>
      </c>
      <c r="U97" s="207">
        <f>SUMIFS('декабрь 2023'!$G$4:$G$1227,'декабрь 2023'!$D$4:$D$1227,$B97,'декабрь 2023'!$J$4:$J$1227,U$1)</f>
        <v>0</v>
      </c>
      <c r="V97" s="207">
        <f>SUMIFS('декабрь 2023'!$G$4:$G$1227,'декабрь 2023'!$D$4:$D$1227,$B97,'декабрь 2023'!$J$4:$J$1227,V$1)</f>
        <v>0</v>
      </c>
      <c r="W97" s="207">
        <f>SUMIFS('декабрь 2023'!$G$4:$G$1227,'декабрь 2023'!$D$4:$D$1227,$B97,'декабрь 2023'!$J$4:$J$1227,W$1)</f>
        <v>0</v>
      </c>
      <c r="X97" s="207">
        <f>SUMIFS('декабрь 2023'!$G$4:$G$1227,'декабрь 2023'!$D$4:$D$1227,$B97,'декабрь 2023'!$J$4:$J$1227,X$1)</f>
        <v>0</v>
      </c>
      <c r="Y97" s="207">
        <f>SUMIFS('декабрь 2023'!$G$4:$G$1227,'декабрь 2023'!$D$4:$D$1227,$B97,'декабрь 2023'!$J$4:$J$1227,Y$1)</f>
        <v>0</v>
      </c>
      <c r="Z97" s="207">
        <f>SUMIFS('декабрь 2023'!$G$4:$G$1227,'декабрь 2023'!$D$4:$D$1227,$B97,'декабрь 2023'!$J$4:$J$1227,Z$1)</f>
        <v>0</v>
      </c>
      <c r="AA97" s="207">
        <f>SUMIFS('декабрь 2023'!$G$4:$G$1227,'декабрь 2023'!$D$4:$D$1227,$B97,'декабрь 2023'!$J$4:$J$1227,AA$1)</f>
        <v>0</v>
      </c>
      <c r="AB97" s="207">
        <f>SUMIFS('декабрь 2023'!$G$4:$G$1227,'декабрь 2023'!$D$4:$D$1227,$B97,'декабрь 2023'!$J$4:$J$1227,AB$1)</f>
        <v>0</v>
      </c>
      <c r="AC97" s="207">
        <f>SUMIFS('декабрь 2023'!$G$4:$G$1227,'декабрь 2023'!$D$4:$D$1227,$B97,'декабрь 2023'!$J$4:$J$1227,AC$1)</f>
        <v>0</v>
      </c>
      <c r="AD97" s="207">
        <f>SUMIFS('декабрь 2023'!$G$4:$G$1227,'декабрь 2023'!$D$4:$D$1227,$B97,'декабрь 2023'!$J$4:$J$1227,AD$1)</f>
        <v>0</v>
      </c>
      <c r="AE97" s="207">
        <f>SUMIFS('декабрь 2023'!$G$4:$G$1227,'декабрь 2023'!$D$4:$D$1227,$B97,'декабрь 2023'!$J$4:$J$1227,AE$1)</f>
        <v>0</v>
      </c>
      <c r="AF97" s="207">
        <f>SUMIFS('декабрь 2023'!$G$4:$G$1227,'декабрь 2023'!$D$4:$D$1227,$B97,'декабрь 2023'!$J$4:$J$1227,AF$1)</f>
        <v>0</v>
      </c>
      <c r="AG97" s="207">
        <f>SUMIFS('декабрь 2023'!$G$4:$G$1227,'декабрь 2023'!$D$4:$D$1227,$B97,'декабрь 2023'!$J$4:$J$1227,AG$1)</f>
        <v>0</v>
      </c>
      <c r="AH97" s="207">
        <f>SUMIFS('декабрь 2023'!$G$4:$G$1227,'декабрь 2023'!$D$4:$D$1227,$B97,'декабрь 2023'!$J$4:$J$1227,AH$1)</f>
        <v>0</v>
      </c>
      <c r="AI97" s="170">
        <f t="shared" si="2"/>
        <v>0</v>
      </c>
    </row>
    <row r="98" spans="2:35" ht="15" customHeight="1" x14ac:dyDescent="0.25">
      <c r="B98" s="216" t="s">
        <v>239</v>
      </c>
      <c r="C98" s="213">
        <v>190</v>
      </c>
      <c r="D98" s="207">
        <f>SUMIFS('декабрь 2023'!$G$4:$G$1227,'декабрь 2023'!$D$4:$D$1227,$B98,'декабрь 2023'!$J$4:$J$1227,D$1)</f>
        <v>0</v>
      </c>
      <c r="E98" s="207">
        <f>SUMIFS('декабрь 2023'!$G$4:$G$1227,'декабрь 2023'!$D$4:$D$1227,$B98,'декабрь 2023'!$J$4:$J$1227,E$1)</f>
        <v>0</v>
      </c>
      <c r="F98" s="207">
        <f>SUMIFS('декабрь 2023'!$G$4:$G$1227,'декабрь 2023'!$D$4:$D$1227,$B98,'декабрь 2023'!$J$4:$J$1227,F$1)</f>
        <v>0</v>
      </c>
      <c r="G98" s="207">
        <f>SUMIFS('декабрь 2023'!$G$4:$G$1227,'декабрь 2023'!$D$4:$D$1227,$B98,'декабрь 2023'!$J$4:$J$1227,G$1)</f>
        <v>0</v>
      </c>
      <c r="H98" s="207">
        <f>SUMIFS('декабрь 2023'!$G$4:$G$1227,'декабрь 2023'!$D$4:$D$1227,$B98,'декабрь 2023'!$J$4:$J$1227,H$1)</f>
        <v>0</v>
      </c>
      <c r="I98" s="207">
        <f>SUMIFS('декабрь 2023'!$G$4:$G$1227,'декабрь 2023'!$D$4:$D$1227,$B98,'декабрь 2023'!$J$4:$J$1227,I$1)</f>
        <v>0</v>
      </c>
      <c r="J98" s="207">
        <f>SUMIFS('декабрь 2023'!$G$4:$G$1227,'декабрь 2023'!$D$4:$D$1227,$B98,'декабрь 2023'!$J$4:$J$1227,J$1)</f>
        <v>0</v>
      </c>
      <c r="K98" s="207">
        <f>SUMIFS('декабрь 2023'!$G$4:$G$1227,'декабрь 2023'!$D$4:$D$1227,$B98,'декабрь 2023'!$J$4:$J$1227,K$1)</f>
        <v>0</v>
      </c>
      <c r="L98" s="207">
        <f>SUMIFS('декабрь 2023'!$G$4:$G$1227,'декабрь 2023'!$D$4:$D$1227,$B98,'декабрь 2023'!$J$4:$J$1227,L$1)</f>
        <v>0</v>
      </c>
      <c r="M98" s="207">
        <f>SUMIFS('декабрь 2023'!$G$4:$G$1227,'декабрь 2023'!$D$4:$D$1227,$B98,'декабрь 2023'!$J$4:$J$1227,M$1)</f>
        <v>0</v>
      </c>
      <c r="N98" s="207">
        <f>SUMIFS('декабрь 2023'!$G$4:$G$1227,'декабрь 2023'!$D$4:$D$1227,$B98,'декабрь 2023'!$J$4:$J$1227,N$1)</f>
        <v>0</v>
      </c>
      <c r="O98" s="207">
        <f>SUMIFS('декабрь 2023'!$G$4:$G$1227,'декабрь 2023'!$D$4:$D$1227,$B98,'декабрь 2023'!$J$4:$J$1227,O$1)</f>
        <v>0</v>
      </c>
      <c r="P98" s="207">
        <f>SUMIFS('декабрь 2023'!$G$4:$G$1227,'декабрь 2023'!$D$4:$D$1227,$B98,'декабрь 2023'!$J$4:$J$1227,P$1)</f>
        <v>0</v>
      </c>
      <c r="Q98" s="207">
        <f>SUMIFS('декабрь 2023'!$G$4:$G$1227,'декабрь 2023'!$D$4:$D$1227,$B98,'декабрь 2023'!$J$4:$J$1227,Q$1)</f>
        <v>0</v>
      </c>
      <c r="R98" s="207">
        <f>SUMIFS('декабрь 2023'!$G$4:$G$1227,'декабрь 2023'!$D$4:$D$1227,$B98,'декабрь 2023'!$J$4:$J$1227,R$1)</f>
        <v>0</v>
      </c>
      <c r="S98" s="207">
        <f>SUMIFS('декабрь 2023'!$G$4:$G$1227,'декабрь 2023'!$D$4:$D$1227,$B98,'декабрь 2023'!$J$4:$J$1227,S$1)</f>
        <v>0</v>
      </c>
      <c r="T98" s="207">
        <f>SUMIFS('декабрь 2023'!$G$4:$G$1227,'декабрь 2023'!$D$4:$D$1227,$B98,'декабрь 2023'!$J$4:$J$1227,T$1)</f>
        <v>0</v>
      </c>
      <c r="U98" s="207">
        <f>SUMIFS('декабрь 2023'!$G$4:$G$1227,'декабрь 2023'!$D$4:$D$1227,$B98,'декабрь 2023'!$J$4:$J$1227,U$1)</f>
        <v>0</v>
      </c>
      <c r="V98" s="207">
        <f>SUMIFS('декабрь 2023'!$G$4:$G$1227,'декабрь 2023'!$D$4:$D$1227,$B98,'декабрь 2023'!$J$4:$J$1227,V$1)</f>
        <v>0</v>
      </c>
      <c r="W98" s="207">
        <f>SUMIFS('декабрь 2023'!$G$4:$G$1227,'декабрь 2023'!$D$4:$D$1227,$B98,'декабрь 2023'!$J$4:$J$1227,W$1)</f>
        <v>0</v>
      </c>
      <c r="X98" s="207">
        <f>SUMIFS('декабрь 2023'!$G$4:$G$1227,'декабрь 2023'!$D$4:$D$1227,$B98,'декабрь 2023'!$J$4:$J$1227,X$1)</f>
        <v>0</v>
      </c>
      <c r="Y98" s="207">
        <f>SUMIFS('декабрь 2023'!$G$4:$G$1227,'декабрь 2023'!$D$4:$D$1227,$B98,'декабрь 2023'!$J$4:$J$1227,Y$1)</f>
        <v>0</v>
      </c>
      <c r="Z98" s="207">
        <f>SUMIFS('декабрь 2023'!$G$4:$G$1227,'декабрь 2023'!$D$4:$D$1227,$B98,'декабрь 2023'!$J$4:$J$1227,Z$1)</f>
        <v>0</v>
      </c>
      <c r="AA98" s="207">
        <f>SUMIFS('декабрь 2023'!$G$4:$G$1227,'декабрь 2023'!$D$4:$D$1227,$B98,'декабрь 2023'!$J$4:$J$1227,AA$1)</f>
        <v>0</v>
      </c>
      <c r="AB98" s="207">
        <f>SUMIFS('декабрь 2023'!$G$4:$G$1227,'декабрь 2023'!$D$4:$D$1227,$B98,'декабрь 2023'!$J$4:$J$1227,AB$1)</f>
        <v>0</v>
      </c>
      <c r="AC98" s="207">
        <f>SUMIFS('декабрь 2023'!$G$4:$G$1227,'декабрь 2023'!$D$4:$D$1227,$B98,'декабрь 2023'!$J$4:$J$1227,AC$1)</f>
        <v>0</v>
      </c>
      <c r="AD98" s="207">
        <f>SUMIFS('декабрь 2023'!$G$4:$G$1227,'декабрь 2023'!$D$4:$D$1227,$B98,'декабрь 2023'!$J$4:$J$1227,AD$1)</f>
        <v>0</v>
      </c>
      <c r="AE98" s="207">
        <f>SUMIFS('декабрь 2023'!$G$4:$G$1227,'декабрь 2023'!$D$4:$D$1227,$B98,'декабрь 2023'!$J$4:$J$1227,AE$1)</f>
        <v>8</v>
      </c>
      <c r="AF98" s="207">
        <f>SUMIFS('декабрь 2023'!$G$4:$G$1227,'декабрь 2023'!$D$4:$D$1227,$B98,'декабрь 2023'!$J$4:$J$1227,AF$1)</f>
        <v>0</v>
      </c>
      <c r="AG98" s="207">
        <f>SUMIFS('декабрь 2023'!$G$4:$G$1227,'декабрь 2023'!$D$4:$D$1227,$B98,'декабрь 2023'!$J$4:$J$1227,AG$1)</f>
        <v>0</v>
      </c>
      <c r="AH98" s="207">
        <f>SUMIFS('декабрь 2023'!$G$4:$G$1227,'декабрь 2023'!$D$4:$D$1227,$B98,'декабрь 2023'!$J$4:$J$1227,AH$1)</f>
        <v>0</v>
      </c>
      <c r="AI98" s="170">
        <f t="shared" si="2"/>
        <v>8</v>
      </c>
    </row>
    <row r="99" spans="2:35" ht="15" customHeight="1" x14ac:dyDescent="0.25">
      <c r="B99" s="216" t="s">
        <v>2192</v>
      </c>
      <c r="C99" s="213">
        <v>200</v>
      </c>
      <c r="D99" s="207">
        <f>SUMIFS('декабрь 2023'!$G$4:$G$1227,'декабрь 2023'!$D$4:$D$1227,$B99,'декабрь 2023'!$J$4:$J$1227,D$1)</f>
        <v>0</v>
      </c>
      <c r="E99" s="207">
        <f>SUMIFS('декабрь 2023'!$G$4:$G$1227,'декабрь 2023'!$D$4:$D$1227,$B99,'декабрь 2023'!$J$4:$J$1227,E$1)</f>
        <v>0</v>
      </c>
      <c r="F99" s="207">
        <f>SUMIFS('декабрь 2023'!$G$4:$G$1227,'декабрь 2023'!$D$4:$D$1227,$B99,'декабрь 2023'!$J$4:$J$1227,F$1)</f>
        <v>0</v>
      </c>
      <c r="G99" s="207">
        <f>SUMIFS('декабрь 2023'!$G$4:$G$1227,'декабрь 2023'!$D$4:$D$1227,$B99,'декабрь 2023'!$J$4:$J$1227,G$1)</f>
        <v>0</v>
      </c>
      <c r="H99" s="207">
        <f>SUMIFS('декабрь 2023'!$G$4:$G$1227,'декабрь 2023'!$D$4:$D$1227,$B99,'декабрь 2023'!$J$4:$J$1227,H$1)</f>
        <v>0</v>
      </c>
      <c r="I99" s="207">
        <f>SUMIFS('декабрь 2023'!$G$4:$G$1227,'декабрь 2023'!$D$4:$D$1227,$B99,'декабрь 2023'!$J$4:$J$1227,I$1)</f>
        <v>0</v>
      </c>
      <c r="J99" s="207">
        <f>SUMIFS('декабрь 2023'!$G$4:$G$1227,'декабрь 2023'!$D$4:$D$1227,$B99,'декабрь 2023'!$J$4:$J$1227,J$1)</f>
        <v>0</v>
      </c>
      <c r="K99" s="207">
        <f>SUMIFS('декабрь 2023'!$G$4:$G$1227,'декабрь 2023'!$D$4:$D$1227,$B99,'декабрь 2023'!$J$4:$J$1227,K$1)</f>
        <v>0</v>
      </c>
      <c r="L99" s="207">
        <f>SUMIFS('декабрь 2023'!$G$4:$G$1227,'декабрь 2023'!$D$4:$D$1227,$B99,'декабрь 2023'!$J$4:$J$1227,L$1)</f>
        <v>0</v>
      </c>
      <c r="M99" s="207">
        <f>SUMIFS('декабрь 2023'!$G$4:$G$1227,'декабрь 2023'!$D$4:$D$1227,$B99,'декабрь 2023'!$J$4:$J$1227,M$1)</f>
        <v>0</v>
      </c>
      <c r="N99" s="207">
        <f>SUMIFS('декабрь 2023'!$G$4:$G$1227,'декабрь 2023'!$D$4:$D$1227,$B99,'декабрь 2023'!$J$4:$J$1227,N$1)</f>
        <v>0</v>
      </c>
      <c r="O99" s="207">
        <f>SUMIFS('декабрь 2023'!$G$4:$G$1227,'декабрь 2023'!$D$4:$D$1227,$B99,'декабрь 2023'!$J$4:$J$1227,O$1)</f>
        <v>0</v>
      </c>
      <c r="P99" s="207">
        <f>SUMIFS('декабрь 2023'!$G$4:$G$1227,'декабрь 2023'!$D$4:$D$1227,$B99,'декабрь 2023'!$J$4:$J$1227,P$1)</f>
        <v>0</v>
      </c>
      <c r="Q99" s="207">
        <f>SUMIFS('декабрь 2023'!$G$4:$G$1227,'декабрь 2023'!$D$4:$D$1227,$B99,'декабрь 2023'!$J$4:$J$1227,Q$1)</f>
        <v>0</v>
      </c>
      <c r="R99" s="207">
        <f>SUMIFS('декабрь 2023'!$G$4:$G$1227,'декабрь 2023'!$D$4:$D$1227,$B99,'декабрь 2023'!$J$4:$J$1227,R$1)</f>
        <v>0</v>
      </c>
      <c r="S99" s="207">
        <f>SUMIFS('декабрь 2023'!$G$4:$G$1227,'декабрь 2023'!$D$4:$D$1227,$B99,'декабрь 2023'!$J$4:$J$1227,S$1)</f>
        <v>0</v>
      </c>
      <c r="T99" s="207">
        <f>SUMIFS('декабрь 2023'!$G$4:$G$1227,'декабрь 2023'!$D$4:$D$1227,$B99,'декабрь 2023'!$J$4:$J$1227,T$1)</f>
        <v>0</v>
      </c>
      <c r="U99" s="207">
        <f>SUMIFS('декабрь 2023'!$G$4:$G$1227,'декабрь 2023'!$D$4:$D$1227,$B99,'декабрь 2023'!$J$4:$J$1227,U$1)</f>
        <v>0</v>
      </c>
      <c r="V99" s="207">
        <f>SUMIFS('декабрь 2023'!$G$4:$G$1227,'декабрь 2023'!$D$4:$D$1227,$B99,'декабрь 2023'!$J$4:$J$1227,V$1)</f>
        <v>0</v>
      </c>
      <c r="W99" s="207">
        <f>SUMIFS('декабрь 2023'!$G$4:$G$1227,'декабрь 2023'!$D$4:$D$1227,$B99,'декабрь 2023'!$J$4:$J$1227,W$1)</f>
        <v>0</v>
      </c>
      <c r="X99" s="207">
        <f>SUMIFS('декабрь 2023'!$G$4:$G$1227,'декабрь 2023'!$D$4:$D$1227,$B99,'декабрь 2023'!$J$4:$J$1227,X$1)</f>
        <v>0</v>
      </c>
      <c r="Y99" s="207">
        <f>SUMIFS('декабрь 2023'!$G$4:$G$1227,'декабрь 2023'!$D$4:$D$1227,$B99,'декабрь 2023'!$J$4:$J$1227,Y$1)</f>
        <v>0</v>
      </c>
      <c r="Z99" s="207">
        <f>SUMIFS('декабрь 2023'!$G$4:$G$1227,'декабрь 2023'!$D$4:$D$1227,$B99,'декабрь 2023'!$J$4:$J$1227,Z$1)</f>
        <v>0</v>
      </c>
      <c r="AA99" s="207">
        <f>SUMIFS('декабрь 2023'!$G$4:$G$1227,'декабрь 2023'!$D$4:$D$1227,$B99,'декабрь 2023'!$J$4:$J$1227,AA$1)</f>
        <v>0</v>
      </c>
      <c r="AB99" s="207">
        <f>SUMIFS('декабрь 2023'!$G$4:$G$1227,'декабрь 2023'!$D$4:$D$1227,$B99,'декабрь 2023'!$J$4:$J$1227,AB$1)</f>
        <v>0</v>
      </c>
      <c r="AC99" s="207">
        <f>SUMIFS('декабрь 2023'!$G$4:$G$1227,'декабрь 2023'!$D$4:$D$1227,$B99,'декабрь 2023'!$J$4:$J$1227,AC$1)</f>
        <v>0</v>
      </c>
      <c r="AD99" s="207">
        <f>SUMIFS('декабрь 2023'!$G$4:$G$1227,'декабрь 2023'!$D$4:$D$1227,$B99,'декабрь 2023'!$J$4:$J$1227,AD$1)</f>
        <v>0</v>
      </c>
      <c r="AE99" s="207">
        <f>SUMIFS('декабрь 2023'!$G$4:$G$1227,'декабрь 2023'!$D$4:$D$1227,$B99,'декабрь 2023'!$J$4:$J$1227,AE$1)</f>
        <v>0</v>
      </c>
      <c r="AF99" s="207">
        <f>SUMIFS('декабрь 2023'!$G$4:$G$1227,'декабрь 2023'!$D$4:$D$1227,$B99,'декабрь 2023'!$J$4:$J$1227,AF$1)</f>
        <v>0</v>
      </c>
      <c r="AG99" s="207">
        <f>SUMIFS('декабрь 2023'!$G$4:$G$1227,'декабрь 2023'!$D$4:$D$1227,$B99,'декабрь 2023'!$J$4:$J$1227,AG$1)</f>
        <v>0</v>
      </c>
      <c r="AH99" s="207">
        <f>SUMIFS('декабрь 2023'!$G$4:$G$1227,'декабрь 2023'!$D$4:$D$1227,$B99,'декабрь 2023'!$J$4:$J$1227,AH$1)</f>
        <v>0</v>
      </c>
      <c r="AI99" s="170">
        <f t="shared" si="2"/>
        <v>0</v>
      </c>
    </row>
    <row r="100" spans="2:35" ht="15" customHeight="1" x14ac:dyDescent="0.25">
      <c r="B100" s="216" t="s">
        <v>308</v>
      </c>
      <c r="C100" s="213">
        <v>180</v>
      </c>
      <c r="D100" s="207">
        <f>SUMIFS('декабрь 2023'!$G$4:$G$1227,'декабрь 2023'!$D$4:$D$1227,$B100,'декабрь 2023'!$J$4:$J$1227,D$1)</f>
        <v>0</v>
      </c>
      <c r="E100" s="207">
        <f>SUMIFS('декабрь 2023'!$G$4:$G$1227,'декабрь 2023'!$D$4:$D$1227,$B100,'декабрь 2023'!$J$4:$J$1227,E$1)</f>
        <v>0</v>
      </c>
      <c r="F100" s="207">
        <f>SUMIFS('декабрь 2023'!$G$4:$G$1227,'декабрь 2023'!$D$4:$D$1227,$B100,'декабрь 2023'!$J$4:$J$1227,F$1)</f>
        <v>0</v>
      </c>
      <c r="G100" s="207">
        <f>SUMIFS('декабрь 2023'!$G$4:$G$1227,'декабрь 2023'!$D$4:$D$1227,$B100,'декабрь 2023'!$J$4:$J$1227,G$1)</f>
        <v>0</v>
      </c>
      <c r="H100" s="207">
        <f>SUMIFS('декабрь 2023'!$G$4:$G$1227,'декабрь 2023'!$D$4:$D$1227,$B100,'декабрь 2023'!$J$4:$J$1227,H$1)</f>
        <v>0</v>
      </c>
      <c r="I100" s="207">
        <f>SUMIFS('декабрь 2023'!$G$4:$G$1227,'декабрь 2023'!$D$4:$D$1227,$B100,'декабрь 2023'!$J$4:$J$1227,I$1)</f>
        <v>0</v>
      </c>
      <c r="J100" s="207">
        <f>SUMIFS('декабрь 2023'!$G$4:$G$1227,'декабрь 2023'!$D$4:$D$1227,$B100,'декабрь 2023'!$J$4:$J$1227,J$1)</f>
        <v>0</v>
      </c>
      <c r="K100" s="207">
        <f>SUMIFS('декабрь 2023'!$G$4:$G$1227,'декабрь 2023'!$D$4:$D$1227,$B100,'декабрь 2023'!$J$4:$J$1227,K$1)</f>
        <v>0</v>
      </c>
      <c r="L100" s="207">
        <f>SUMIFS('декабрь 2023'!$G$4:$G$1227,'декабрь 2023'!$D$4:$D$1227,$B100,'декабрь 2023'!$J$4:$J$1227,L$1)</f>
        <v>0</v>
      </c>
      <c r="M100" s="207">
        <f>SUMIFS('декабрь 2023'!$G$4:$G$1227,'декабрь 2023'!$D$4:$D$1227,$B100,'декабрь 2023'!$J$4:$J$1227,M$1)</f>
        <v>0</v>
      </c>
      <c r="N100" s="207">
        <f>SUMIFS('декабрь 2023'!$G$4:$G$1227,'декабрь 2023'!$D$4:$D$1227,$B100,'декабрь 2023'!$J$4:$J$1227,N$1)</f>
        <v>0</v>
      </c>
      <c r="O100" s="207">
        <f>SUMIFS('декабрь 2023'!$G$4:$G$1227,'декабрь 2023'!$D$4:$D$1227,$B100,'декабрь 2023'!$J$4:$J$1227,O$1)</f>
        <v>0</v>
      </c>
      <c r="P100" s="207">
        <f>SUMIFS('декабрь 2023'!$G$4:$G$1227,'декабрь 2023'!$D$4:$D$1227,$B100,'декабрь 2023'!$J$4:$J$1227,P$1)</f>
        <v>0</v>
      </c>
      <c r="Q100" s="207">
        <f>SUMIFS('декабрь 2023'!$G$4:$G$1227,'декабрь 2023'!$D$4:$D$1227,$B100,'декабрь 2023'!$J$4:$J$1227,Q$1)</f>
        <v>0</v>
      </c>
      <c r="R100" s="207">
        <f>SUMIFS('декабрь 2023'!$G$4:$G$1227,'декабрь 2023'!$D$4:$D$1227,$B100,'декабрь 2023'!$J$4:$J$1227,R$1)</f>
        <v>0</v>
      </c>
      <c r="S100" s="207">
        <f>SUMIFS('декабрь 2023'!$G$4:$G$1227,'декабрь 2023'!$D$4:$D$1227,$B100,'декабрь 2023'!$J$4:$J$1227,S$1)</f>
        <v>0</v>
      </c>
      <c r="T100" s="207">
        <f>SUMIFS('декабрь 2023'!$G$4:$G$1227,'декабрь 2023'!$D$4:$D$1227,$B100,'декабрь 2023'!$J$4:$J$1227,T$1)</f>
        <v>0</v>
      </c>
      <c r="U100" s="207">
        <f>SUMIFS('декабрь 2023'!$G$4:$G$1227,'декабрь 2023'!$D$4:$D$1227,$B100,'декабрь 2023'!$J$4:$J$1227,U$1)</f>
        <v>0</v>
      </c>
      <c r="V100" s="207">
        <f>SUMIFS('декабрь 2023'!$G$4:$G$1227,'декабрь 2023'!$D$4:$D$1227,$B100,'декабрь 2023'!$J$4:$J$1227,V$1)</f>
        <v>0</v>
      </c>
      <c r="W100" s="207">
        <f>SUMIFS('декабрь 2023'!$G$4:$G$1227,'декабрь 2023'!$D$4:$D$1227,$B100,'декабрь 2023'!$J$4:$J$1227,W$1)</f>
        <v>0</v>
      </c>
      <c r="X100" s="207">
        <f>SUMIFS('декабрь 2023'!$G$4:$G$1227,'декабрь 2023'!$D$4:$D$1227,$B100,'декабрь 2023'!$J$4:$J$1227,X$1)</f>
        <v>0</v>
      </c>
      <c r="Y100" s="207">
        <f>SUMIFS('декабрь 2023'!$G$4:$G$1227,'декабрь 2023'!$D$4:$D$1227,$B100,'декабрь 2023'!$J$4:$J$1227,Y$1)</f>
        <v>0</v>
      </c>
      <c r="Z100" s="207">
        <f>SUMIFS('декабрь 2023'!$G$4:$G$1227,'декабрь 2023'!$D$4:$D$1227,$B100,'декабрь 2023'!$J$4:$J$1227,Z$1)</f>
        <v>0</v>
      </c>
      <c r="AA100" s="207">
        <f>SUMIFS('декабрь 2023'!$G$4:$G$1227,'декабрь 2023'!$D$4:$D$1227,$B100,'декабрь 2023'!$J$4:$J$1227,AA$1)</f>
        <v>0</v>
      </c>
      <c r="AB100" s="207">
        <f>SUMIFS('декабрь 2023'!$G$4:$G$1227,'декабрь 2023'!$D$4:$D$1227,$B100,'декабрь 2023'!$J$4:$J$1227,AB$1)</f>
        <v>0</v>
      </c>
      <c r="AC100" s="207">
        <f>SUMIFS('декабрь 2023'!$G$4:$G$1227,'декабрь 2023'!$D$4:$D$1227,$B100,'декабрь 2023'!$J$4:$J$1227,AC$1)</f>
        <v>0</v>
      </c>
      <c r="AD100" s="207">
        <f>SUMIFS('декабрь 2023'!$G$4:$G$1227,'декабрь 2023'!$D$4:$D$1227,$B100,'декабрь 2023'!$J$4:$J$1227,AD$1)</f>
        <v>0</v>
      </c>
      <c r="AE100" s="207">
        <f>SUMIFS('декабрь 2023'!$G$4:$G$1227,'декабрь 2023'!$D$4:$D$1227,$B100,'декабрь 2023'!$J$4:$J$1227,AE$1)</f>
        <v>0</v>
      </c>
      <c r="AF100" s="207">
        <f>SUMIFS('декабрь 2023'!$G$4:$G$1227,'декабрь 2023'!$D$4:$D$1227,$B100,'декабрь 2023'!$J$4:$J$1227,AF$1)</f>
        <v>0</v>
      </c>
      <c r="AG100" s="207">
        <f>SUMIFS('декабрь 2023'!$G$4:$G$1227,'декабрь 2023'!$D$4:$D$1227,$B100,'декабрь 2023'!$J$4:$J$1227,AG$1)</f>
        <v>0</v>
      </c>
      <c r="AH100" s="207">
        <f>SUMIFS('декабрь 2023'!$G$4:$G$1227,'декабрь 2023'!$D$4:$D$1227,$B100,'декабрь 2023'!$J$4:$J$1227,AH$1)</f>
        <v>0</v>
      </c>
      <c r="AI100" s="170">
        <f t="shared" si="2"/>
        <v>0</v>
      </c>
    </row>
    <row r="101" spans="2:35" ht="15" customHeight="1" x14ac:dyDescent="0.25">
      <c r="B101" s="216" t="s">
        <v>770</v>
      </c>
      <c r="C101" s="213">
        <v>190</v>
      </c>
      <c r="D101" s="207">
        <f>SUMIFS('декабрь 2023'!$G$4:$G$1227,'декабрь 2023'!$D$4:$D$1227,$B101,'декабрь 2023'!$J$4:$J$1227,D$1)</f>
        <v>0</v>
      </c>
      <c r="E101" s="207">
        <f>SUMIFS('декабрь 2023'!$G$4:$G$1227,'декабрь 2023'!$D$4:$D$1227,$B101,'декабрь 2023'!$J$4:$J$1227,E$1)</f>
        <v>0</v>
      </c>
      <c r="F101" s="207">
        <f>SUMIFS('декабрь 2023'!$G$4:$G$1227,'декабрь 2023'!$D$4:$D$1227,$B101,'декабрь 2023'!$J$4:$J$1227,F$1)</f>
        <v>0</v>
      </c>
      <c r="G101" s="207">
        <f>SUMIFS('декабрь 2023'!$G$4:$G$1227,'декабрь 2023'!$D$4:$D$1227,$B101,'декабрь 2023'!$J$4:$J$1227,G$1)</f>
        <v>0</v>
      </c>
      <c r="H101" s="207">
        <f>SUMIFS('декабрь 2023'!$G$4:$G$1227,'декабрь 2023'!$D$4:$D$1227,$B101,'декабрь 2023'!$J$4:$J$1227,H$1)</f>
        <v>0</v>
      </c>
      <c r="I101" s="207">
        <f>SUMIFS('декабрь 2023'!$G$4:$G$1227,'декабрь 2023'!$D$4:$D$1227,$B101,'декабрь 2023'!$J$4:$J$1227,I$1)</f>
        <v>0</v>
      </c>
      <c r="J101" s="207">
        <f>SUMIFS('декабрь 2023'!$G$4:$G$1227,'декабрь 2023'!$D$4:$D$1227,$B101,'декабрь 2023'!$J$4:$J$1227,J$1)</f>
        <v>0</v>
      </c>
      <c r="K101" s="207">
        <f>SUMIFS('декабрь 2023'!$G$4:$G$1227,'декабрь 2023'!$D$4:$D$1227,$B101,'декабрь 2023'!$J$4:$J$1227,K$1)</f>
        <v>0</v>
      </c>
      <c r="L101" s="207">
        <f>SUMIFS('декабрь 2023'!$G$4:$G$1227,'декабрь 2023'!$D$4:$D$1227,$B101,'декабрь 2023'!$J$4:$J$1227,L$1)</f>
        <v>0</v>
      </c>
      <c r="M101" s="207">
        <f>SUMIFS('декабрь 2023'!$G$4:$G$1227,'декабрь 2023'!$D$4:$D$1227,$B101,'декабрь 2023'!$J$4:$J$1227,M$1)</f>
        <v>0</v>
      </c>
      <c r="N101" s="207">
        <f>SUMIFS('декабрь 2023'!$G$4:$G$1227,'декабрь 2023'!$D$4:$D$1227,$B101,'декабрь 2023'!$J$4:$J$1227,N$1)</f>
        <v>0</v>
      </c>
      <c r="O101" s="207">
        <f>SUMIFS('декабрь 2023'!$G$4:$G$1227,'декабрь 2023'!$D$4:$D$1227,$B101,'декабрь 2023'!$J$4:$J$1227,O$1)</f>
        <v>0</v>
      </c>
      <c r="P101" s="207">
        <f>SUMIFS('декабрь 2023'!$G$4:$G$1227,'декабрь 2023'!$D$4:$D$1227,$B101,'декабрь 2023'!$J$4:$J$1227,P$1)</f>
        <v>0</v>
      </c>
      <c r="Q101" s="207">
        <f>SUMIFS('декабрь 2023'!$G$4:$G$1227,'декабрь 2023'!$D$4:$D$1227,$B101,'декабрь 2023'!$J$4:$J$1227,Q$1)</f>
        <v>0</v>
      </c>
      <c r="R101" s="207">
        <f>SUMIFS('декабрь 2023'!$G$4:$G$1227,'декабрь 2023'!$D$4:$D$1227,$B101,'декабрь 2023'!$J$4:$J$1227,R$1)</f>
        <v>0</v>
      </c>
      <c r="S101" s="207">
        <f>SUMIFS('декабрь 2023'!$G$4:$G$1227,'декабрь 2023'!$D$4:$D$1227,$B101,'декабрь 2023'!$J$4:$J$1227,S$1)</f>
        <v>0</v>
      </c>
      <c r="T101" s="207">
        <f>SUMIFS('декабрь 2023'!$G$4:$G$1227,'декабрь 2023'!$D$4:$D$1227,$B101,'декабрь 2023'!$J$4:$J$1227,T$1)</f>
        <v>0</v>
      </c>
      <c r="U101" s="207">
        <f>SUMIFS('декабрь 2023'!$G$4:$G$1227,'декабрь 2023'!$D$4:$D$1227,$B101,'декабрь 2023'!$J$4:$J$1227,U$1)</f>
        <v>0</v>
      </c>
      <c r="V101" s="207">
        <f>SUMIFS('декабрь 2023'!$G$4:$G$1227,'декабрь 2023'!$D$4:$D$1227,$B101,'декабрь 2023'!$J$4:$J$1227,V$1)</f>
        <v>0</v>
      </c>
      <c r="W101" s="207">
        <f>SUMIFS('декабрь 2023'!$G$4:$G$1227,'декабрь 2023'!$D$4:$D$1227,$B101,'декабрь 2023'!$J$4:$J$1227,W$1)</f>
        <v>0</v>
      </c>
      <c r="X101" s="207">
        <f>SUMIFS('декабрь 2023'!$G$4:$G$1227,'декабрь 2023'!$D$4:$D$1227,$B101,'декабрь 2023'!$J$4:$J$1227,X$1)</f>
        <v>0</v>
      </c>
      <c r="Y101" s="207">
        <f>SUMIFS('декабрь 2023'!$G$4:$G$1227,'декабрь 2023'!$D$4:$D$1227,$B101,'декабрь 2023'!$J$4:$J$1227,Y$1)</f>
        <v>0</v>
      </c>
      <c r="Z101" s="207">
        <f>SUMIFS('декабрь 2023'!$G$4:$G$1227,'декабрь 2023'!$D$4:$D$1227,$B101,'декабрь 2023'!$J$4:$J$1227,Z$1)</f>
        <v>0</v>
      </c>
      <c r="AA101" s="207">
        <f>SUMIFS('декабрь 2023'!$G$4:$G$1227,'декабрь 2023'!$D$4:$D$1227,$B101,'декабрь 2023'!$J$4:$J$1227,AA$1)</f>
        <v>0</v>
      </c>
      <c r="AB101" s="207">
        <f>SUMIFS('декабрь 2023'!$G$4:$G$1227,'декабрь 2023'!$D$4:$D$1227,$B101,'декабрь 2023'!$J$4:$J$1227,AB$1)</f>
        <v>0</v>
      </c>
      <c r="AC101" s="207">
        <f>SUMIFS('декабрь 2023'!$G$4:$G$1227,'декабрь 2023'!$D$4:$D$1227,$B101,'декабрь 2023'!$J$4:$J$1227,AC$1)</f>
        <v>0</v>
      </c>
      <c r="AD101" s="207">
        <f>SUMIFS('декабрь 2023'!$G$4:$G$1227,'декабрь 2023'!$D$4:$D$1227,$B101,'декабрь 2023'!$J$4:$J$1227,AD$1)</f>
        <v>0</v>
      </c>
      <c r="AE101" s="207">
        <f>SUMIFS('декабрь 2023'!$G$4:$G$1227,'декабрь 2023'!$D$4:$D$1227,$B101,'декабрь 2023'!$J$4:$J$1227,AE$1)</f>
        <v>0</v>
      </c>
      <c r="AF101" s="207">
        <f>SUMIFS('декабрь 2023'!$G$4:$G$1227,'декабрь 2023'!$D$4:$D$1227,$B101,'декабрь 2023'!$J$4:$J$1227,AF$1)</f>
        <v>0</v>
      </c>
      <c r="AG101" s="207">
        <f>SUMIFS('декабрь 2023'!$G$4:$G$1227,'декабрь 2023'!$D$4:$D$1227,$B101,'декабрь 2023'!$J$4:$J$1227,AG$1)</f>
        <v>0</v>
      </c>
      <c r="AH101" s="207">
        <f>SUMIFS('декабрь 2023'!$G$4:$G$1227,'декабрь 2023'!$D$4:$D$1227,$B101,'декабрь 2023'!$J$4:$J$1227,AH$1)</f>
        <v>0</v>
      </c>
      <c r="AI101" s="170">
        <f t="shared" si="2"/>
        <v>0</v>
      </c>
    </row>
    <row r="102" spans="2:35" ht="15" customHeight="1" x14ac:dyDescent="0.25">
      <c r="B102" s="216" t="s">
        <v>2193</v>
      </c>
      <c r="C102" s="213">
        <v>190</v>
      </c>
      <c r="D102" s="207">
        <f>SUMIFS('декабрь 2023'!$G$4:$G$1227,'декабрь 2023'!$D$4:$D$1227,$B102,'декабрь 2023'!$J$4:$J$1227,D$1)</f>
        <v>0</v>
      </c>
      <c r="E102" s="207">
        <f>SUMIFS('декабрь 2023'!$G$4:$G$1227,'декабрь 2023'!$D$4:$D$1227,$B102,'декабрь 2023'!$J$4:$J$1227,E$1)</f>
        <v>0</v>
      </c>
      <c r="F102" s="207">
        <f>SUMIFS('декабрь 2023'!$G$4:$G$1227,'декабрь 2023'!$D$4:$D$1227,$B102,'декабрь 2023'!$J$4:$J$1227,F$1)</f>
        <v>0</v>
      </c>
      <c r="G102" s="207">
        <f>SUMIFS('декабрь 2023'!$G$4:$G$1227,'декабрь 2023'!$D$4:$D$1227,$B102,'декабрь 2023'!$J$4:$J$1227,G$1)</f>
        <v>0</v>
      </c>
      <c r="H102" s="207">
        <f>SUMIFS('декабрь 2023'!$G$4:$G$1227,'декабрь 2023'!$D$4:$D$1227,$B102,'декабрь 2023'!$J$4:$J$1227,H$1)</f>
        <v>0</v>
      </c>
      <c r="I102" s="207">
        <f>SUMIFS('декабрь 2023'!$G$4:$G$1227,'декабрь 2023'!$D$4:$D$1227,$B102,'декабрь 2023'!$J$4:$J$1227,I$1)</f>
        <v>0</v>
      </c>
      <c r="J102" s="207">
        <f>SUMIFS('декабрь 2023'!$G$4:$G$1227,'декабрь 2023'!$D$4:$D$1227,$B102,'декабрь 2023'!$J$4:$J$1227,J$1)</f>
        <v>0</v>
      </c>
      <c r="K102" s="207">
        <f>SUMIFS('декабрь 2023'!$G$4:$G$1227,'декабрь 2023'!$D$4:$D$1227,$B102,'декабрь 2023'!$J$4:$J$1227,K$1)</f>
        <v>0</v>
      </c>
      <c r="L102" s="207">
        <f>SUMIFS('декабрь 2023'!$G$4:$G$1227,'декабрь 2023'!$D$4:$D$1227,$B102,'декабрь 2023'!$J$4:$J$1227,L$1)</f>
        <v>0</v>
      </c>
      <c r="M102" s="207">
        <f>SUMIFS('декабрь 2023'!$G$4:$G$1227,'декабрь 2023'!$D$4:$D$1227,$B102,'декабрь 2023'!$J$4:$J$1227,M$1)</f>
        <v>0</v>
      </c>
      <c r="N102" s="207">
        <f>SUMIFS('декабрь 2023'!$G$4:$G$1227,'декабрь 2023'!$D$4:$D$1227,$B102,'декабрь 2023'!$J$4:$J$1227,N$1)</f>
        <v>0</v>
      </c>
      <c r="O102" s="207">
        <f>SUMIFS('декабрь 2023'!$G$4:$G$1227,'декабрь 2023'!$D$4:$D$1227,$B102,'декабрь 2023'!$J$4:$J$1227,O$1)</f>
        <v>0</v>
      </c>
      <c r="P102" s="207">
        <f>SUMIFS('декабрь 2023'!$G$4:$G$1227,'декабрь 2023'!$D$4:$D$1227,$B102,'декабрь 2023'!$J$4:$J$1227,P$1)</f>
        <v>0</v>
      </c>
      <c r="Q102" s="207">
        <f>SUMIFS('декабрь 2023'!$G$4:$G$1227,'декабрь 2023'!$D$4:$D$1227,$B102,'декабрь 2023'!$J$4:$J$1227,Q$1)</f>
        <v>0</v>
      </c>
      <c r="R102" s="207">
        <f>SUMIFS('декабрь 2023'!$G$4:$G$1227,'декабрь 2023'!$D$4:$D$1227,$B102,'декабрь 2023'!$J$4:$J$1227,R$1)</f>
        <v>0</v>
      </c>
      <c r="S102" s="207">
        <f>SUMIFS('декабрь 2023'!$G$4:$G$1227,'декабрь 2023'!$D$4:$D$1227,$B102,'декабрь 2023'!$J$4:$J$1227,S$1)</f>
        <v>0</v>
      </c>
      <c r="T102" s="207">
        <f>SUMIFS('декабрь 2023'!$G$4:$G$1227,'декабрь 2023'!$D$4:$D$1227,$B102,'декабрь 2023'!$J$4:$J$1227,T$1)</f>
        <v>0</v>
      </c>
      <c r="U102" s="207">
        <f>SUMIFS('декабрь 2023'!$G$4:$G$1227,'декабрь 2023'!$D$4:$D$1227,$B102,'декабрь 2023'!$J$4:$J$1227,U$1)</f>
        <v>0</v>
      </c>
      <c r="V102" s="207">
        <f>SUMIFS('декабрь 2023'!$G$4:$G$1227,'декабрь 2023'!$D$4:$D$1227,$B102,'декабрь 2023'!$J$4:$J$1227,V$1)</f>
        <v>0</v>
      </c>
      <c r="W102" s="207">
        <f>SUMIFS('декабрь 2023'!$G$4:$G$1227,'декабрь 2023'!$D$4:$D$1227,$B102,'декабрь 2023'!$J$4:$J$1227,W$1)</f>
        <v>0</v>
      </c>
      <c r="X102" s="207">
        <f>SUMIFS('декабрь 2023'!$G$4:$G$1227,'декабрь 2023'!$D$4:$D$1227,$B102,'декабрь 2023'!$J$4:$J$1227,X$1)</f>
        <v>0</v>
      </c>
      <c r="Y102" s="207">
        <f>SUMIFS('декабрь 2023'!$G$4:$G$1227,'декабрь 2023'!$D$4:$D$1227,$B102,'декабрь 2023'!$J$4:$J$1227,Y$1)</f>
        <v>0</v>
      </c>
      <c r="Z102" s="207">
        <f>SUMIFS('декабрь 2023'!$G$4:$G$1227,'декабрь 2023'!$D$4:$D$1227,$B102,'декабрь 2023'!$J$4:$J$1227,Z$1)</f>
        <v>0</v>
      </c>
      <c r="AA102" s="207">
        <f>SUMIFS('декабрь 2023'!$G$4:$G$1227,'декабрь 2023'!$D$4:$D$1227,$B102,'декабрь 2023'!$J$4:$J$1227,AA$1)</f>
        <v>0</v>
      </c>
      <c r="AB102" s="207">
        <f>SUMIFS('декабрь 2023'!$G$4:$G$1227,'декабрь 2023'!$D$4:$D$1227,$B102,'декабрь 2023'!$J$4:$J$1227,AB$1)</f>
        <v>0</v>
      </c>
      <c r="AC102" s="207">
        <f>SUMIFS('декабрь 2023'!$G$4:$G$1227,'декабрь 2023'!$D$4:$D$1227,$B102,'декабрь 2023'!$J$4:$J$1227,AC$1)</f>
        <v>0</v>
      </c>
      <c r="AD102" s="207">
        <f>SUMIFS('декабрь 2023'!$G$4:$G$1227,'декабрь 2023'!$D$4:$D$1227,$B102,'декабрь 2023'!$J$4:$J$1227,AD$1)</f>
        <v>0</v>
      </c>
      <c r="AE102" s="207">
        <f>SUMIFS('декабрь 2023'!$G$4:$G$1227,'декабрь 2023'!$D$4:$D$1227,$B102,'декабрь 2023'!$J$4:$J$1227,AE$1)</f>
        <v>0</v>
      </c>
      <c r="AF102" s="207">
        <f>SUMIFS('декабрь 2023'!$G$4:$G$1227,'декабрь 2023'!$D$4:$D$1227,$B102,'декабрь 2023'!$J$4:$J$1227,AF$1)</f>
        <v>0</v>
      </c>
      <c r="AG102" s="207">
        <f>SUMIFS('декабрь 2023'!$G$4:$G$1227,'декабрь 2023'!$D$4:$D$1227,$B102,'декабрь 2023'!$J$4:$J$1227,AG$1)</f>
        <v>0</v>
      </c>
      <c r="AH102" s="207">
        <f>SUMIFS('декабрь 2023'!$G$4:$G$1227,'декабрь 2023'!$D$4:$D$1227,$B102,'декабрь 2023'!$J$4:$J$1227,AH$1)</f>
        <v>0</v>
      </c>
      <c r="AI102" s="170">
        <f t="shared" si="2"/>
        <v>0</v>
      </c>
    </row>
    <row r="103" spans="2:35" ht="15" customHeight="1" x14ac:dyDescent="0.25">
      <c r="B103" s="216" t="s">
        <v>2194</v>
      </c>
      <c r="C103" s="213">
        <v>20</v>
      </c>
      <c r="D103" s="207">
        <f>SUMIFS('декабрь 2023'!$G$4:$G$1227,'декабрь 2023'!$D$4:$D$1227,$B103,'декабрь 2023'!$J$4:$J$1227,D$1)</f>
        <v>0</v>
      </c>
      <c r="E103" s="207">
        <f>SUMIFS('декабрь 2023'!$G$4:$G$1227,'декабрь 2023'!$D$4:$D$1227,$B103,'декабрь 2023'!$J$4:$J$1227,E$1)</f>
        <v>0</v>
      </c>
      <c r="F103" s="207">
        <f>SUMIFS('декабрь 2023'!$G$4:$G$1227,'декабрь 2023'!$D$4:$D$1227,$B103,'декабрь 2023'!$J$4:$J$1227,F$1)</f>
        <v>0</v>
      </c>
      <c r="G103" s="207">
        <f>SUMIFS('декабрь 2023'!$G$4:$G$1227,'декабрь 2023'!$D$4:$D$1227,$B103,'декабрь 2023'!$J$4:$J$1227,G$1)</f>
        <v>0</v>
      </c>
      <c r="H103" s="207">
        <f>SUMIFS('декабрь 2023'!$G$4:$G$1227,'декабрь 2023'!$D$4:$D$1227,$B103,'декабрь 2023'!$J$4:$J$1227,H$1)</f>
        <v>0</v>
      </c>
      <c r="I103" s="207">
        <f>SUMIFS('декабрь 2023'!$G$4:$G$1227,'декабрь 2023'!$D$4:$D$1227,$B103,'декабрь 2023'!$J$4:$J$1227,I$1)</f>
        <v>0</v>
      </c>
      <c r="J103" s="207">
        <f>SUMIFS('декабрь 2023'!$G$4:$G$1227,'декабрь 2023'!$D$4:$D$1227,$B103,'декабрь 2023'!$J$4:$J$1227,J$1)</f>
        <v>0</v>
      </c>
      <c r="K103" s="207">
        <f>SUMIFS('декабрь 2023'!$G$4:$G$1227,'декабрь 2023'!$D$4:$D$1227,$B103,'декабрь 2023'!$J$4:$J$1227,K$1)</f>
        <v>0</v>
      </c>
      <c r="L103" s="207">
        <f>SUMIFS('декабрь 2023'!$G$4:$G$1227,'декабрь 2023'!$D$4:$D$1227,$B103,'декабрь 2023'!$J$4:$J$1227,L$1)</f>
        <v>0</v>
      </c>
      <c r="M103" s="207">
        <f>SUMIFS('декабрь 2023'!$G$4:$G$1227,'декабрь 2023'!$D$4:$D$1227,$B103,'декабрь 2023'!$J$4:$J$1227,M$1)</f>
        <v>0</v>
      </c>
      <c r="N103" s="207">
        <f>SUMIFS('декабрь 2023'!$G$4:$G$1227,'декабрь 2023'!$D$4:$D$1227,$B103,'декабрь 2023'!$J$4:$J$1227,N$1)</f>
        <v>0</v>
      </c>
      <c r="O103" s="207">
        <f>SUMIFS('декабрь 2023'!$G$4:$G$1227,'декабрь 2023'!$D$4:$D$1227,$B103,'декабрь 2023'!$J$4:$J$1227,O$1)</f>
        <v>0</v>
      </c>
      <c r="P103" s="207">
        <f>SUMIFS('декабрь 2023'!$G$4:$G$1227,'декабрь 2023'!$D$4:$D$1227,$B103,'декабрь 2023'!$J$4:$J$1227,P$1)</f>
        <v>0</v>
      </c>
      <c r="Q103" s="207">
        <f>SUMIFS('декабрь 2023'!$G$4:$G$1227,'декабрь 2023'!$D$4:$D$1227,$B103,'декабрь 2023'!$J$4:$J$1227,Q$1)</f>
        <v>0</v>
      </c>
      <c r="R103" s="207">
        <f>SUMIFS('декабрь 2023'!$G$4:$G$1227,'декабрь 2023'!$D$4:$D$1227,$B103,'декабрь 2023'!$J$4:$J$1227,R$1)</f>
        <v>0</v>
      </c>
      <c r="S103" s="207">
        <f>SUMIFS('декабрь 2023'!$G$4:$G$1227,'декабрь 2023'!$D$4:$D$1227,$B103,'декабрь 2023'!$J$4:$J$1227,S$1)</f>
        <v>0</v>
      </c>
      <c r="T103" s="207">
        <f>SUMIFS('декабрь 2023'!$G$4:$G$1227,'декабрь 2023'!$D$4:$D$1227,$B103,'декабрь 2023'!$J$4:$J$1227,T$1)</f>
        <v>0</v>
      </c>
      <c r="U103" s="207">
        <f>SUMIFS('декабрь 2023'!$G$4:$G$1227,'декабрь 2023'!$D$4:$D$1227,$B103,'декабрь 2023'!$J$4:$J$1227,U$1)</f>
        <v>0</v>
      </c>
      <c r="V103" s="207">
        <f>SUMIFS('декабрь 2023'!$G$4:$G$1227,'декабрь 2023'!$D$4:$D$1227,$B103,'декабрь 2023'!$J$4:$J$1227,V$1)</f>
        <v>0</v>
      </c>
      <c r="W103" s="207">
        <f>SUMIFS('декабрь 2023'!$G$4:$G$1227,'декабрь 2023'!$D$4:$D$1227,$B103,'декабрь 2023'!$J$4:$J$1227,W$1)</f>
        <v>0</v>
      </c>
      <c r="X103" s="207">
        <f>SUMIFS('декабрь 2023'!$G$4:$G$1227,'декабрь 2023'!$D$4:$D$1227,$B103,'декабрь 2023'!$J$4:$J$1227,X$1)</f>
        <v>0</v>
      </c>
      <c r="Y103" s="207">
        <f>SUMIFS('декабрь 2023'!$G$4:$G$1227,'декабрь 2023'!$D$4:$D$1227,$B103,'декабрь 2023'!$J$4:$J$1227,Y$1)</f>
        <v>0</v>
      </c>
      <c r="Z103" s="207">
        <f>SUMIFS('декабрь 2023'!$G$4:$G$1227,'декабрь 2023'!$D$4:$D$1227,$B103,'декабрь 2023'!$J$4:$J$1227,Z$1)</f>
        <v>0</v>
      </c>
      <c r="AA103" s="207">
        <f>SUMIFS('декабрь 2023'!$G$4:$G$1227,'декабрь 2023'!$D$4:$D$1227,$B103,'декабрь 2023'!$J$4:$J$1227,AA$1)</f>
        <v>0</v>
      </c>
      <c r="AB103" s="207">
        <f>SUMIFS('декабрь 2023'!$G$4:$G$1227,'декабрь 2023'!$D$4:$D$1227,$B103,'декабрь 2023'!$J$4:$J$1227,AB$1)</f>
        <v>0</v>
      </c>
      <c r="AC103" s="207">
        <f>SUMIFS('декабрь 2023'!$G$4:$G$1227,'декабрь 2023'!$D$4:$D$1227,$B103,'декабрь 2023'!$J$4:$J$1227,AC$1)</f>
        <v>0</v>
      </c>
      <c r="AD103" s="207">
        <f>SUMIFS('декабрь 2023'!$G$4:$G$1227,'декабрь 2023'!$D$4:$D$1227,$B103,'декабрь 2023'!$J$4:$J$1227,AD$1)</f>
        <v>0</v>
      </c>
      <c r="AE103" s="207">
        <f>SUMIFS('декабрь 2023'!$G$4:$G$1227,'декабрь 2023'!$D$4:$D$1227,$B103,'декабрь 2023'!$J$4:$J$1227,AE$1)</f>
        <v>0</v>
      </c>
      <c r="AF103" s="207">
        <f>SUMIFS('декабрь 2023'!$G$4:$G$1227,'декабрь 2023'!$D$4:$D$1227,$B103,'декабрь 2023'!$J$4:$J$1227,AF$1)</f>
        <v>0</v>
      </c>
      <c r="AG103" s="207">
        <f>SUMIFS('декабрь 2023'!$G$4:$G$1227,'декабрь 2023'!$D$4:$D$1227,$B103,'декабрь 2023'!$J$4:$J$1227,AG$1)</f>
        <v>0</v>
      </c>
      <c r="AH103" s="207">
        <f>SUMIFS('декабрь 2023'!$G$4:$G$1227,'декабрь 2023'!$D$4:$D$1227,$B103,'декабрь 2023'!$J$4:$J$1227,AH$1)</f>
        <v>0</v>
      </c>
      <c r="AI103" s="170">
        <f t="shared" si="2"/>
        <v>0</v>
      </c>
    </row>
    <row r="104" spans="2:35" ht="15" customHeight="1" x14ac:dyDescent="0.25">
      <c r="B104" s="212" t="s">
        <v>2195</v>
      </c>
      <c r="C104" s="211">
        <v>20</v>
      </c>
      <c r="D104" s="207">
        <f>SUMIFS('декабрь 2023'!$G$4:$G$1227,'декабрь 2023'!$D$4:$D$1227,$B104,'декабрь 2023'!$J$4:$J$1227,D$1)</f>
        <v>0</v>
      </c>
      <c r="E104" s="207">
        <f>SUMIFS('декабрь 2023'!$G$4:$G$1227,'декабрь 2023'!$D$4:$D$1227,$B104,'декабрь 2023'!$J$4:$J$1227,E$1)</f>
        <v>0</v>
      </c>
      <c r="F104" s="207">
        <f>SUMIFS('декабрь 2023'!$G$4:$G$1227,'декабрь 2023'!$D$4:$D$1227,$B104,'декабрь 2023'!$J$4:$J$1227,F$1)</f>
        <v>0</v>
      </c>
      <c r="G104" s="207">
        <f>SUMIFS('декабрь 2023'!$G$4:$G$1227,'декабрь 2023'!$D$4:$D$1227,$B104,'декабрь 2023'!$J$4:$J$1227,G$1)</f>
        <v>0</v>
      </c>
      <c r="H104" s="207">
        <f>SUMIFS('декабрь 2023'!$G$4:$G$1227,'декабрь 2023'!$D$4:$D$1227,$B104,'декабрь 2023'!$J$4:$J$1227,H$1)</f>
        <v>0</v>
      </c>
      <c r="I104" s="207">
        <f>SUMIFS('декабрь 2023'!$G$4:$G$1227,'декабрь 2023'!$D$4:$D$1227,$B104,'декабрь 2023'!$J$4:$J$1227,I$1)</f>
        <v>0</v>
      </c>
      <c r="J104" s="207">
        <f>SUMIFS('декабрь 2023'!$G$4:$G$1227,'декабрь 2023'!$D$4:$D$1227,$B104,'декабрь 2023'!$J$4:$J$1227,J$1)</f>
        <v>0</v>
      </c>
      <c r="K104" s="207">
        <f>SUMIFS('декабрь 2023'!$G$4:$G$1227,'декабрь 2023'!$D$4:$D$1227,$B104,'декабрь 2023'!$J$4:$J$1227,K$1)</f>
        <v>0</v>
      </c>
      <c r="L104" s="207">
        <f>SUMIFS('декабрь 2023'!$G$4:$G$1227,'декабрь 2023'!$D$4:$D$1227,$B104,'декабрь 2023'!$J$4:$J$1227,L$1)</f>
        <v>0</v>
      </c>
      <c r="M104" s="207">
        <f>SUMIFS('декабрь 2023'!$G$4:$G$1227,'декабрь 2023'!$D$4:$D$1227,$B104,'декабрь 2023'!$J$4:$J$1227,M$1)</f>
        <v>0</v>
      </c>
      <c r="N104" s="207">
        <f>SUMIFS('декабрь 2023'!$G$4:$G$1227,'декабрь 2023'!$D$4:$D$1227,$B104,'декабрь 2023'!$J$4:$J$1227,N$1)</f>
        <v>0</v>
      </c>
      <c r="O104" s="207">
        <f>SUMIFS('декабрь 2023'!$G$4:$G$1227,'декабрь 2023'!$D$4:$D$1227,$B104,'декабрь 2023'!$J$4:$J$1227,O$1)</f>
        <v>0</v>
      </c>
      <c r="P104" s="207">
        <f>SUMIFS('декабрь 2023'!$G$4:$G$1227,'декабрь 2023'!$D$4:$D$1227,$B104,'декабрь 2023'!$J$4:$J$1227,P$1)</f>
        <v>0</v>
      </c>
      <c r="Q104" s="207">
        <f>SUMIFS('декабрь 2023'!$G$4:$G$1227,'декабрь 2023'!$D$4:$D$1227,$B104,'декабрь 2023'!$J$4:$J$1227,Q$1)</f>
        <v>0</v>
      </c>
      <c r="R104" s="207">
        <f>SUMIFS('декабрь 2023'!$G$4:$G$1227,'декабрь 2023'!$D$4:$D$1227,$B104,'декабрь 2023'!$J$4:$J$1227,R$1)</f>
        <v>0</v>
      </c>
      <c r="S104" s="207">
        <f>SUMIFS('декабрь 2023'!$G$4:$G$1227,'декабрь 2023'!$D$4:$D$1227,$B104,'декабрь 2023'!$J$4:$J$1227,S$1)</f>
        <v>0</v>
      </c>
      <c r="T104" s="207">
        <f>SUMIFS('декабрь 2023'!$G$4:$G$1227,'декабрь 2023'!$D$4:$D$1227,$B104,'декабрь 2023'!$J$4:$J$1227,T$1)</f>
        <v>0</v>
      </c>
      <c r="U104" s="207">
        <f>SUMIFS('декабрь 2023'!$G$4:$G$1227,'декабрь 2023'!$D$4:$D$1227,$B104,'декабрь 2023'!$J$4:$J$1227,U$1)</f>
        <v>0</v>
      </c>
      <c r="V104" s="207">
        <f>SUMIFS('декабрь 2023'!$G$4:$G$1227,'декабрь 2023'!$D$4:$D$1227,$B104,'декабрь 2023'!$J$4:$J$1227,V$1)</f>
        <v>0</v>
      </c>
      <c r="W104" s="207">
        <f>SUMIFS('декабрь 2023'!$G$4:$G$1227,'декабрь 2023'!$D$4:$D$1227,$B104,'декабрь 2023'!$J$4:$J$1227,W$1)</f>
        <v>0</v>
      </c>
      <c r="X104" s="207">
        <f>SUMIFS('декабрь 2023'!$G$4:$G$1227,'декабрь 2023'!$D$4:$D$1227,$B104,'декабрь 2023'!$J$4:$J$1227,X$1)</f>
        <v>0</v>
      </c>
      <c r="Y104" s="207">
        <f>SUMIFS('декабрь 2023'!$G$4:$G$1227,'декабрь 2023'!$D$4:$D$1227,$B104,'декабрь 2023'!$J$4:$J$1227,Y$1)</f>
        <v>0</v>
      </c>
      <c r="Z104" s="207">
        <f>SUMIFS('декабрь 2023'!$G$4:$G$1227,'декабрь 2023'!$D$4:$D$1227,$B104,'декабрь 2023'!$J$4:$J$1227,Z$1)</f>
        <v>0</v>
      </c>
      <c r="AA104" s="207">
        <f>SUMIFS('декабрь 2023'!$G$4:$G$1227,'декабрь 2023'!$D$4:$D$1227,$B104,'декабрь 2023'!$J$4:$J$1227,AA$1)</f>
        <v>0</v>
      </c>
      <c r="AB104" s="207">
        <f>SUMIFS('декабрь 2023'!$G$4:$G$1227,'декабрь 2023'!$D$4:$D$1227,$B104,'декабрь 2023'!$J$4:$J$1227,AB$1)</f>
        <v>0</v>
      </c>
      <c r="AC104" s="207">
        <f>SUMIFS('декабрь 2023'!$G$4:$G$1227,'декабрь 2023'!$D$4:$D$1227,$B104,'декабрь 2023'!$J$4:$J$1227,AC$1)</f>
        <v>0</v>
      </c>
      <c r="AD104" s="207">
        <f>SUMIFS('декабрь 2023'!$G$4:$G$1227,'декабрь 2023'!$D$4:$D$1227,$B104,'декабрь 2023'!$J$4:$J$1227,AD$1)</f>
        <v>0</v>
      </c>
      <c r="AE104" s="207">
        <f>SUMIFS('декабрь 2023'!$G$4:$G$1227,'декабрь 2023'!$D$4:$D$1227,$B104,'декабрь 2023'!$J$4:$J$1227,AE$1)</f>
        <v>0</v>
      </c>
      <c r="AF104" s="207">
        <f>SUMIFS('декабрь 2023'!$G$4:$G$1227,'декабрь 2023'!$D$4:$D$1227,$B104,'декабрь 2023'!$J$4:$J$1227,AF$1)</f>
        <v>0</v>
      </c>
      <c r="AG104" s="207">
        <f>SUMIFS('декабрь 2023'!$G$4:$G$1227,'декабрь 2023'!$D$4:$D$1227,$B104,'декабрь 2023'!$J$4:$J$1227,AG$1)</f>
        <v>0</v>
      </c>
      <c r="AH104" s="207">
        <f>SUMIFS('декабрь 2023'!$G$4:$G$1227,'декабрь 2023'!$D$4:$D$1227,$B104,'декабрь 2023'!$J$4:$J$1227,AH$1)</f>
        <v>0</v>
      </c>
      <c r="AI104" s="170">
        <f t="shared" si="2"/>
        <v>0</v>
      </c>
    </row>
    <row r="105" spans="2:35" ht="15" customHeight="1" x14ac:dyDescent="0.25">
      <c r="B105" s="212" t="s">
        <v>2196</v>
      </c>
      <c r="C105" s="211">
        <v>20</v>
      </c>
      <c r="D105" s="207">
        <f>SUMIFS('декабрь 2023'!$G$4:$G$1227,'декабрь 2023'!$D$4:$D$1227,$B105,'декабрь 2023'!$J$4:$J$1227,D$1)</f>
        <v>0</v>
      </c>
      <c r="E105" s="207">
        <f>SUMIFS('декабрь 2023'!$G$4:$G$1227,'декабрь 2023'!$D$4:$D$1227,$B105,'декабрь 2023'!$J$4:$J$1227,E$1)</f>
        <v>0</v>
      </c>
      <c r="F105" s="207">
        <f>SUMIFS('декабрь 2023'!$G$4:$G$1227,'декабрь 2023'!$D$4:$D$1227,$B105,'декабрь 2023'!$J$4:$J$1227,F$1)</f>
        <v>0</v>
      </c>
      <c r="G105" s="207">
        <f>SUMIFS('декабрь 2023'!$G$4:$G$1227,'декабрь 2023'!$D$4:$D$1227,$B105,'декабрь 2023'!$J$4:$J$1227,G$1)</f>
        <v>0</v>
      </c>
      <c r="H105" s="207">
        <f>SUMIFS('декабрь 2023'!$G$4:$G$1227,'декабрь 2023'!$D$4:$D$1227,$B105,'декабрь 2023'!$J$4:$J$1227,H$1)</f>
        <v>0</v>
      </c>
      <c r="I105" s="207">
        <f>SUMIFS('декабрь 2023'!$G$4:$G$1227,'декабрь 2023'!$D$4:$D$1227,$B105,'декабрь 2023'!$J$4:$J$1227,I$1)</f>
        <v>0</v>
      </c>
      <c r="J105" s="207">
        <f>SUMIFS('декабрь 2023'!$G$4:$G$1227,'декабрь 2023'!$D$4:$D$1227,$B105,'декабрь 2023'!$J$4:$J$1227,J$1)</f>
        <v>0</v>
      </c>
      <c r="K105" s="207">
        <f>SUMIFS('декабрь 2023'!$G$4:$G$1227,'декабрь 2023'!$D$4:$D$1227,$B105,'декабрь 2023'!$J$4:$J$1227,K$1)</f>
        <v>0</v>
      </c>
      <c r="L105" s="207">
        <f>SUMIFS('декабрь 2023'!$G$4:$G$1227,'декабрь 2023'!$D$4:$D$1227,$B105,'декабрь 2023'!$J$4:$J$1227,L$1)</f>
        <v>0</v>
      </c>
      <c r="M105" s="207">
        <f>SUMIFS('декабрь 2023'!$G$4:$G$1227,'декабрь 2023'!$D$4:$D$1227,$B105,'декабрь 2023'!$J$4:$J$1227,M$1)</f>
        <v>0</v>
      </c>
      <c r="N105" s="207">
        <f>SUMIFS('декабрь 2023'!$G$4:$G$1227,'декабрь 2023'!$D$4:$D$1227,$B105,'декабрь 2023'!$J$4:$J$1227,N$1)</f>
        <v>0</v>
      </c>
      <c r="O105" s="207">
        <f>SUMIFS('декабрь 2023'!$G$4:$G$1227,'декабрь 2023'!$D$4:$D$1227,$B105,'декабрь 2023'!$J$4:$J$1227,O$1)</f>
        <v>0</v>
      </c>
      <c r="P105" s="207">
        <f>SUMIFS('декабрь 2023'!$G$4:$G$1227,'декабрь 2023'!$D$4:$D$1227,$B105,'декабрь 2023'!$J$4:$J$1227,P$1)</f>
        <v>0</v>
      </c>
      <c r="Q105" s="207">
        <f>SUMIFS('декабрь 2023'!$G$4:$G$1227,'декабрь 2023'!$D$4:$D$1227,$B105,'декабрь 2023'!$J$4:$J$1227,Q$1)</f>
        <v>0</v>
      </c>
      <c r="R105" s="207">
        <f>SUMIFS('декабрь 2023'!$G$4:$G$1227,'декабрь 2023'!$D$4:$D$1227,$B105,'декабрь 2023'!$J$4:$J$1227,R$1)</f>
        <v>0</v>
      </c>
      <c r="S105" s="207">
        <f>SUMIFS('декабрь 2023'!$G$4:$G$1227,'декабрь 2023'!$D$4:$D$1227,$B105,'декабрь 2023'!$J$4:$J$1227,S$1)</f>
        <v>0</v>
      </c>
      <c r="T105" s="207">
        <f>SUMIFS('декабрь 2023'!$G$4:$G$1227,'декабрь 2023'!$D$4:$D$1227,$B105,'декабрь 2023'!$J$4:$J$1227,T$1)</f>
        <v>0</v>
      </c>
      <c r="U105" s="207">
        <f>SUMIFS('декабрь 2023'!$G$4:$G$1227,'декабрь 2023'!$D$4:$D$1227,$B105,'декабрь 2023'!$J$4:$J$1227,U$1)</f>
        <v>0</v>
      </c>
      <c r="V105" s="207">
        <f>SUMIFS('декабрь 2023'!$G$4:$G$1227,'декабрь 2023'!$D$4:$D$1227,$B105,'декабрь 2023'!$J$4:$J$1227,V$1)</f>
        <v>0</v>
      </c>
      <c r="W105" s="207">
        <f>SUMIFS('декабрь 2023'!$G$4:$G$1227,'декабрь 2023'!$D$4:$D$1227,$B105,'декабрь 2023'!$J$4:$J$1227,W$1)</f>
        <v>0</v>
      </c>
      <c r="X105" s="207">
        <f>SUMIFS('декабрь 2023'!$G$4:$G$1227,'декабрь 2023'!$D$4:$D$1227,$B105,'декабрь 2023'!$J$4:$J$1227,X$1)</f>
        <v>0</v>
      </c>
      <c r="Y105" s="207">
        <f>SUMIFS('декабрь 2023'!$G$4:$G$1227,'декабрь 2023'!$D$4:$D$1227,$B105,'декабрь 2023'!$J$4:$J$1227,Y$1)</f>
        <v>0</v>
      </c>
      <c r="Z105" s="207">
        <f>SUMIFS('декабрь 2023'!$G$4:$G$1227,'декабрь 2023'!$D$4:$D$1227,$B105,'декабрь 2023'!$J$4:$J$1227,Z$1)</f>
        <v>0</v>
      </c>
      <c r="AA105" s="207">
        <f>SUMIFS('декабрь 2023'!$G$4:$G$1227,'декабрь 2023'!$D$4:$D$1227,$B105,'декабрь 2023'!$J$4:$J$1227,AA$1)</f>
        <v>0</v>
      </c>
      <c r="AB105" s="207">
        <f>SUMIFS('декабрь 2023'!$G$4:$G$1227,'декабрь 2023'!$D$4:$D$1227,$B105,'декабрь 2023'!$J$4:$J$1227,AB$1)</f>
        <v>0</v>
      </c>
      <c r="AC105" s="207">
        <f>SUMIFS('декабрь 2023'!$G$4:$G$1227,'декабрь 2023'!$D$4:$D$1227,$B105,'декабрь 2023'!$J$4:$J$1227,AC$1)</f>
        <v>0</v>
      </c>
      <c r="AD105" s="207">
        <f>SUMIFS('декабрь 2023'!$G$4:$G$1227,'декабрь 2023'!$D$4:$D$1227,$B105,'декабрь 2023'!$J$4:$J$1227,AD$1)</f>
        <v>0</v>
      </c>
      <c r="AE105" s="207">
        <f>SUMIFS('декабрь 2023'!$G$4:$G$1227,'декабрь 2023'!$D$4:$D$1227,$B105,'декабрь 2023'!$J$4:$J$1227,AE$1)</f>
        <v>0</v>
      </c>
      <c r="AF105" s="207">
        <f>SUMIFS('декабрь 2023'!$G$4:$G$1227,'декабрь 2023'!$D$4:$D$1227,$B105,'декабрь 2023'!$J$4:$J$1227,AF$1)</f>
        <v>0</v>
      </c>
      <c r="AG105" s="207">
        <f>SUMIFS('декабрь 2023'!$G$4:$G$1227,'декабрь 2023'!$D$4:$D$1227,$B105,'декабрь 2023'!$J$4:$J$1227,AG$1)</f>
        <v>0</v>
      </c>
      <c r="AH105" s="207">
        <f>SUMIFS('декабрь 2023'!$G$4:$G$1227,'декабрь 2023'!$D$4:$D$1227,$B105,'декабрь 2023'!$J$4:$J$1227,AH$1)</f>
        <v>0</v>
      </c>
      <c r="AI105" s="170">
        <f t="shared" si="2"/>
        <v>0</v>
      </c>
    </row>
    <row r="106" spans="2:35" ht="15" customHeight="1" x14ac:dyDescent="0.25">
      <c r="B106" s="212" t="s">
        <v>2197</v>
      </c>
      <c r="C106" s="211">
        <v>20</v>
      </c>
      <c r="D106" s="207">
        <f>SUMIFS('декабрь 2023'!$G$4:$G$1227,'декабрь 2023'!$D$4:$D$1227,$B106,'декабрь 2023'!$J$4:$J$1227,D$1)</f>
        <v>0</v>
      </c>
      <c r="E106" s="207">
        <f>SUMIFS('декабрь 2023'!$G$4:$G$1227,'декабрь 2023'!$D$4:$D$1227,$B106,'декабрь 2023'!$J$4:$J$1227,E$1)</f>
        <v>0</v>
      </c>
      <c r="F106" s="207">
        <f>SUMIFS('декабрь 2023'!$G$4:$G$1227,'декабрь 2023'!$D$4:$D$1227,$B106,'декабрь 2023'!$J$4:$J$1227,F$1)</f>
        <v>0</v>
      </c>
      <c r="G106" s="207">
        <f>SUMIFS('декабрь 2023'!$G$4:$G$1227,'декабрь 2023'!$D$4:$D$1227,$B106,'декабрь 2023'!$J$4:$J$1227,G$1)</f>
        <v>0</v>
      </c>
      <c r="H106" s="207">
        <f>SUMIFS('декабрь 2023'!$G$4:$G$1227,'декабрь 2023'!$D$4:$D$1227,$B106,'декабрь 2023'!$J$4:$J$1227,H$1)</f>
        <v>0</v>
      </c>
      <c r="I106" s="207">
        <f>SUMIFS('декабрь 2023'!$G$4:$G$1227,'декабрь 2023'!$D$4:$D$1227,$B106,'декабрь 2023'!$J$4:$J$1227,I$1)</f>
        <v>0</v>
      </c>
      <c r="J106" s="207">
        <f>SUMIFS('декабрь 2023'!$G$4:$G$1227,'декабрь 2023'!$D$4:$D$1227,$B106,'декабрь 2023'!$J$4:$J$1227,J$1)</f>
        <v>0</v>
      </c>
      <c r="K106" s="207">
        <f>SUMIFS('декабрь 2023'!$G$4:$G$1227,'декабрь 2023'!$D$4:$D$1227,$B106,'декабрь 2023'!$J$4:$J$1227,K$1)</f>
        <v>0</v>
      </c>
      <c r="L106" s="207">
        <f>SUMIFS('декабрь 2023'!$G$4:$G$1227,'декабрь 2023'!$D$4:$D$1227,$B106,'декабрь 2023'!$J$4:$J$1227,L$1)</f>
        <v>0</v>
      </c>
      <c r="M106" s="207">
        <f>SUMIFS('декабрь 2023'!$G$4:$G$1227,'декабрь 2023'!$D$4:$D$1227,$B106,'декабрь 2023'!$J$4:$J$1227,M$1)</f>
        <v>0</v>
      </c>
      <c r="N106" s="207">
        <f>SUMIFS('декабрь 2023'!$G$4:$G$1227,'декабрь 2023'!$D$4:$D$1227,$B106,'декабрь 2023'!$J$4:$J$1227,N$1)</f>
        <v>0</v>
      </c>
      <c r="O106" s="207">
        <f>SUMIFS('декабрь 2023'!$G$4:$G$1227,'декабрь 2023'!$D$4:$D$1227,$B106,'декабрь 2023'!$J$4:$J$1227,O$1)</f>
        <v>0</v>
      </c>
      <c r="P106" s="207">
        <f>SUMIFS('декабрь 2023'!$G$4:$G$1227,'декабрь 2023'!$D$4:$D$1227,$B106,'декабрь 2023'!$J$4:$J$1227,P$1)</f>
        <v>0</v>
      </c>
      <c r="Q106" s="207">
        <f>SUMIFS('декабрь 2023'!$G$4:$G$1227,'декабрь 2023'!$D$4:$D$1227,$B106,'декабрь 2023'!$J$4:$J$1227,Q$1)</f>
        <v>0</v>
      </c>
      <c r="R106" s="207">
        <f>SUMIFS('декабрь 2023'!$G$4:$G$1227,'декабрь 2023'!$D$4:$D$1227,$B106,'декабрь 2023'!$J$4:$J$1227,R$1)</f>
        <v>0</v>
      </c>
      <c r="S106" s="207">
        <f>SUMIFS('декабрь 2023'!$G$4:$G$1227,'декабрь 2023'!$D$4:$D$1227,$B106,'декабрь 2023'!$J$4:$J$1227,S$1)</f>
        <v>0</v>
      </c>
      <c r="T106" s="207">
        <f>SUMIFS('декабрь 2023'!$G$4:$G$1227,'декабрь 2023'!$D$4:$D$1227,$B106,'декабрь 2023'!$J$4:$J$1227,T$1)</f>
        <v>0</v>
      </c>
      <c r="U106" s="207">
        <f>SUMIFS('декабрь 2023'!$G$4:$G$1227,'декабрь 2023'!$D$4:$D$1227,$B106,'декабрь 2023'!$J$4:$J$1227,U$1)</f>
        <v>0</v>
      </c>
      <c r="V106" s="207">
        <f>SUMIFS('декабрь 2023'!$G$4:$G$1227,'декабрь 2023'!$D$4:$D$1227,$B106,'декабрь 2023'!$J$4:$J$1227,V$1)</f>
        <v>0</v>
      </c>
      <c r="W106" s="207">
        <f>SUMIFS('декабрь 2023'!$G$4:$G$1227,'декабрь 2023'!$D$4:$D$1227,$B106,'декабрь 2023'!$J$4:$J$1227,W$1)</f>
        <v>0</v>
      </c>
      <c r="X106" s="207">
        <f>SUMIFS('декабрь 2023'!$G$4:$G$1227,'декабрь 2023'!$D$4:$D$1227,$B106,'декабрь 2023'!$J$4:$J$1227,X$1)</f>
        <v>0</v>
      </c>
      <c r="Y106" s="207">
        <f>SUMIFS('декабрь 2023'!$G$4:$G$1227,'декабрь 2023'!$D$4:$D$1227,$B106,'декабрь 2023'!$J$4:$J$1227,Y$1)</f>
        <v>0</v>
      </c>
      <c r="Z106" s="207">
        <f>SUMIFS('декабрь 2023'!$G$4:$G$1227,'декабрь 2023'!$D$4:$D$1227,$B106,'декабрь 2023'!$J$4:$J$1227,Z$1)</f>
        <v>0</v>
      </c>
      <c r="AA106" s="207">
        <f>SUMIFS('декабрь 2023'!$G$4:$G$1227,'декабрь 2023'!$D$4:$D$1227,$B106,'декабрь 2023'!$J$4:$J$1227,AA$1)</f>
        <v>0</v>
      </c>
      <c r="AB106" s="207">
        <f>SUMIFS('декабрь 2023'!$G$4:$G$1227,'декабрь 2023'!$D$4:$D$1227,$B106,'декабрь 2023'!$J$4:$J$1227,AB$1)</f>
        <v>0</v>
      </c>
      <c r="AC106" s="207">
        <f>SUMIFS('декабрь 2023'!$G$4:$G$1227,'декабрь 2023'!$D$4:$D$1227,$B106,'декабрь 2023'!$J$4:$J$1227,AC$1)</f>
        <v>0</v>
      </c>
      <c r="AD106" s="207">
        <f>SUMIFS('декабрь 2023'!$G$4:$G$1227,'декабрь 2023'!$D$4:$D$1227,$B106,'декабрь 2023'!$J$4:$J$1227,AD$1)</f>
        <v>0</v>
      </c>
      <c r="AE106" s="207">
        <f>SUMIFS('декабрь 2023'!$G$4:$G$1227,'декабрь 2023'!$D$4:$D$1227,$B106,'декабрь 2023'!$J$4:$J$1227,AE$1)</f>
        <v>0</v>
      </c>
      <c r="AF106" s="207">
        <f>SUMIFS('декабрь 2023'!$G$4:$G$1227,'декабрь 2023'!$D$4:$D$1227,$B106,'декабрь 2023'!$J$4:$J$1227,AF$1)</f>
        <v>0</v>
      </c>
      <c r="AG106" s="207">
        <f>SUMIFS('декабрь 2023'!$G$4:$G$1227,'декабрь 2023'!$D$4:$D$1227,$B106,'декабрь 2023'!$J$4:$J$1227,AG$1)</f>
        <v>0</v>
      </c>
      <c r="AH106" s="207">
        <f>SUMIFS('декабрь 2023'!$G$4:$G$1227,'декабрь 2023'!$D$4:$D$1227,$B106,'декабрь 2023'!$J$4:$J$1227,AH$1)</f>
        <v>0</v>
      </c>
      <c r="AI106" s="170">
        <f t="shared" si="2"/>
        <v>0</v>
      </c>
    </row>
    <row r="107" spans="2:35" ht="15" customHeight="1" x14ac:dyDescent="0.25">
      <c r="B107" s="212" t="s">
        <v>147</v>
      </c>
      <c r="C107" s="211">
        <v>200</v>
      </c>
      <c r="D107" s="207">
        <f>SUMIFS('декабрь 2023'!$G$4:$G$1227,'декабрь 2023'!$D$4:$D$1227,$B107,'декабрь 2023'!$J$4:$J$1227,D$1)</f>
        <v>0</v>
      </c>
      <c r="E107" s="207">
        <f>SUMIFS('декабрь 2023'!$G$4:$G$1227,'декабрь 2023'!$D$4:$D$1227,$B107,'декабрь 2023'!$J$4:$J$1227,E$1)</f>
        <v>0</v>
      </c>
      <c r="F107" s="207">
        <f>SUMIFS('декабрь 2023'!$G$4:$G$1227,'декабрь 2023'!$D$4:$D$1227,$B107,'декабрь 2023'!$J$4:$J$1227,F$1)</f>
        <v>0</v>
      </c>
      <c r="G107" s="207">
        <f>SUMIFS('декабрь 2023'!$G$4:$G$1227,'декабрь 2023'!$D$4:$D$1227,$B107,'декабрь 2023'!$J$4:$J$1227,G$1)</f>
        <v>0</v>
      </c>
      <c r="H107" s="207">
        <f>SUMIFS('декабрь 2023'!$G$4:$G$1227,'декабрь 2023'!$D$4:$D$1227,$B107,'декабрь 2023'!$J$4:$J$1227,H$1)</f>
        <v>0</v>
      </c>
      <c r="I107" s="207">
        <f>SUMIFS('декабрь 2023'!$G$4:$G$1227,'декабрь 2023'!$D$4:$D$1227,$B107,'декабрь 2023'!$J$4:$J$1227,I$1)</f>
        <v>0</v>
      </c>
      <c r="J107" s="207">
        <f>SUMIFS('декабрь 2023'!$G$4:$G$1227,'декабрь 2023'!$D$4:$D$1227,$B107,'декабрь 2023'!$J$4:$J$1227,J$1)</f>
        <v>0</v>
      </c>
      <c r="K107" s="207">
        <f>SUMIFS('декабрь 2023'!$G$4:$G$1227,'декабрь 2023'!$D$4:$D$1227,$B107,'декабрь 2023'!$J$4:$J$1227,K$1)</f>
        <v>0</v>
      </c>
      <c r="L107" s="207">
        <f>SUMIFS('декабрь 2023'!$G$4:$G$1227,'декабрь 2023'!$D$4:$D$1227,$B107,'декабрь 2023'!$J$4:$J$1227,L$1)</f>
        <v>0</v>
      </c>
      <c r="M107" s="207">
        <f>SUMIFS('декабрь 2023'!$G$4:$G$1227,'декабрь 2023'!$D$4:$D$1227,$B107,'декабрь 2023'!$J$4:$J$1227,M$1)</f>
        <v>0</v>
      </c>
      <c r="N107" s="207">
        <f>SUMIFS('декабрь 2023'!$G$4:$G$1227,'декабрь 2023'!$D$4:$D$1227,$B107,'декабрь 2023'!$J$4:$J$1227,N$1)</f>
        <v>0</v>
      </c>
      <c r="O107" s="207">
        <f>SUMIFS('декабрь 2023'!$G$4:$G$1227,'декабрь 2023'!$D$4:$D$1227,$B107,'декабрь 2023'!$J$4:$J$1227,O$1)</f>
        <v>0</v>
      </c>
      <c r="P107" s="207">
        <f>SUMIFS('декабрь 2023'!$G$4:$G$1227,'декабрь 2023'!$D$4:$D$1227,$B107,'декабрь 2023'!$J$4:$J$1227,P$1)</f>
        <v>88</v>
      </c>
      <c r="Q107" s="207">
        <f>SUMIFS('декабрь 2023'!$G$4:$G$1227,'декабрь 2023'!$D$4:$D$1227,$B107,'декабрь 2023'!$J$4:$J$1227,Q$1)</f>
        <v>0</v>
      </c>
      <c r="R107" s="207">
        <f>SUMIFS('декабрь 2023'!$G$4:$G$1227,'декабрь 2023'!$D$4:$D$1227,$B107,'декабрь 2023'!$J$4:$J$1227,R$1)</f>
        <v>0</v>
      </c>
      <c r="S107" s="207">
        <f>SUMIFS('декабрь 2023'!$G$4:$G$1227,'декабрь 2023'!$D$4:$D$1227,$B107,'декабрь 2023'!$J$4:$J$1227,S$1)</f>
        <v>0</v>
      </c>
      <c r="T107" s="207">
        <f>SUMIFS('декабрь 2023'!$G$4:$G$1227,'декабрь 2023'!$D$4:$D$1227,$B107,'декабрь 2023'!$J$4:$J$1227,T$1)</f>
        <v>0</v>
      </c>
      <c r="U107" s="207">
        <f>SUMIFS('декабрь 2023'!$G$4:$G$1227,'декабрь 2023'!$D$4:$D$1227,$B107,'декабрь 2023'!$J$4:$J$1227,U$1)</f>
        <v>0</v>
      </c>
      <c r="V107" s="207">
        <f>SUMIFS('декабрь 2023'!$G$4:$G$1227,'декабрь 2023'!$D$4:$D$1227,$B107,'декабрь 2023'!$J$4:$J$1227,V$1)</f>
        <v>0</v>
      </c>
      <c r="W107" s="207">
        <f>SUMIFS('декабрь 2023'!$G$4:$G$1227,'декабрь 2023'!$D$4:$D$1227,$B107,'декабрь 2023'!$J$4:$J$1227,W$1)</f>
        <v>0</v>
      </c>
      <c r="X107" s="207">
        <f>SUMIFS('декабрь 2023'!$G$4:$G$1227,'декабрь 2023'!$D$4:$D$1227,$B107,'декабрь 2023'!$J$4:$J$1227,X$1)</f>
        <v>0</v>
      </c>
      <c r="Y107" s="207">
        <f>SUMIFS('декабрь 2023'!$G$4:$G$1227,'декабрь 2023'!$D$4:$D$1227,$B107,'декабрь 2023'!$J$4:$J$1227,Y$1)</f>
        <v>0</v>
      </c>
      <c r="Z107" s="207">
        <f>SUMIFS('декабрь 2023'!$G$4:$G$1227,'декабрь 2023'!$D$4:$D$1227,$B107,'декабрь 2023'!$J$4:$J$1227,Z$1)</f>
        <v>0</v>
      </c>
      <c r="AA107" s="207">
        <f>SUMIFS('декабрь 2023'!$G$4:$G$1227,'декабрь 2023'!$D$4:$D$1227,$B107,'декабрь 2023'!$J$4:$J$1227,AA$1)</f>
        <v>0</v>
      </c>
      <c r="AB107" s="207">
        <f>SUMIFS('декабрь 2023'!$G$4:$G$1227,'декабрь 2023'!$D$4:$D$1227,$B107,'декабрь 2023'!$J$4:$J$1227,AB$1)</f>
        <v>0</v>
      </c>
      <c r="AC107" s="207">
        <f>SUMIFS('декабрь 2023'!$G$4:$G$1227,'декабрь 2023'!$D$4:$D$1227,$B107,'декабрь 2023'!$J$4:$J$1227,AC$1)</f>
        <v>0</v>
      </c>
      <c r="AD107" s="207">
        <f>SUMIFS('декабрь 2023'!$G$4:$G$1227,'декабрь 2023'!$D$4:$D$1227,$B107,'декабрь 2023'!$J$4:$J$1227,AD$1)</f>
        <v>0</v>
      </c>
      <c r="AE107" s="207">
        <f>SUMIFS('декабрь 2023'!$G$4:$G$1227,'декабрь 2023'!$D$4:$D$1227,$B107,'декабрь 2023'!$J$4:$J$1227,AE$1)</f>
        <v>0</v>
      </c>
      <c r="AF107" s="207">
        <f>SUMIFS('декабрь 2023'!$G$4:$G$1227,'декабрь 2023'!$D$4:$D$1227,$B107,'декабрь 2023'!$J$4:$J$1227,AF$1)</f>
        <v>0</v>
      </c>
      <c r="AG107" s="207">
        <f>SUMIFS('декабрь 2023'!$G$4:$G$1227,'декабрь 2023'!$D$4:$D$1227,$B107,'декабрь 2023'!$J$4:$J$1227,AG$1)</f>
        <v>0</v>
      </c>
      <c r="AH107" s="207">
        <f>SUMIFS('декабрь 2023'!$G$4:$G$1227,'декабрь 2023'!$D$4:$D$1227,$B107,'декабрь 2023'!$J$4:$J$1227,AH$1)</f>
        <v>0</v>
      </c>
      <c r="AI107" s="170">
        <f t="shared" si="2"/>
        <v>88</v>
      </c>
    </row>
    <row r="108" spans="2:35" ht="15" customHeight="1" x14ac:dyDescent="0.25">
      <c r="B108" s="212" t="s">
        <v>2198</v>
      </c>
      <c r="C108" s="211">
        <v>200</v>
      </c>
      <c r="D108" s="207">
        <f>SUMIFS('декабрь 2023'!$G$4:$G$1227,'декабрь 2023'!$D$4:$D$1227,$B108,'декабрь 2023'!$J$4:$J$1227,D$1)</f>
        <v>0</v>
      </c>
      <c r="E108" s="207">
        <f>SUMIFS('декабрь 2023'!$G$4:$G$1227,'декабрь 2023'!$D$4:$D$1227,$B108,'декабрь 2023'!$J$4:$J$1227,E$1)</f>
        <v>0</v>
      </c>
      <c r="F108" s="207">
        <f>SUMIFS('декабрь 2023'!$G$4:$G$1227,'декабрь 2023'!$D$4:$D$1227,$B108,'декабрь 2023'!$J$4:$J$1227,F$1)</f>
        <v>0</v>
      </c>
      <c r="G108" s="207">
        <f>SUMIFS('декабрь 2023'!$G$4:$G$1227,'декабрь 2023'!$D$4:$D$1227,$B108,'декабрь 2023'!$J$4:$J$1227,G$1)</f>
        <v>0</v>
      </c>
      <c r="H108" s="207">
        <f>SUMIFS('декабрь 2023'!$G$4:$G$1227,'декабрь 2023'!$D$4:$D$1227,$B108,'декабрь 2023'!$J$4:$J$1227,H$1)</f>
        <v>0</v>
      </c>
      <c r="I108" s="207">
        <f>SUMIFS('декабрь 2023'!$G$4:$G$1227,'декабрь 2023'!$D$4:$D$1227,$B108,'декабрь 2023'!$J$4:$J$1227,I$1)</f>
        <v>0</v>
      </c>
      <c r="J108" s="207">
        <f>SUMIFS('декабрь 2023'!$G$4:$G$1227,'декабрь 2023'!$D$4:$D$1227,$B108,'декабрь 2023'!$J$4:$J$1227,J$1)</f>
        <v>0</v>
      </c>
      <c r="K108" s="207">
        <f>SUMIFS('декабрь 2023'!$G$4:$G$1227,'декабрь 2023'!$D$4:$D$1227,$B108,'декабрь 2023'!$J$4:$J$1227,K$1)</f>
        <v>0</v>
      </c>
      <c r="L108" s="207">
        <f>SUMIFS('декабрь 2023'!$G$4:$G$1227,'декабрь 2023'!$D$4:$D$1227,$B108,'декабрь 2023'!$J$4:$J$1227,L$1)</f>
        <v>0</v>
      </c>
      <c r="M108" s="207">
        <f>SUMIFS('декабрь 2023'!$G$4:$G$1227,'декабрь 2023'!$D$4:$D$1227,$B108,'декабрь 2023'!$J$4:$J$1227,M$1)</f>
        <v>0</v>
      </c>
      <c r="N108" s="207">
        <f>SUMIFS('декабрь 2023'!$G$4:$G$1227,'декабрь 2023'!$D$4:$D$1227,$B108,'декабрь 2023'!$J$4:$J$1227,N$1)</f>
        <v>0</v>
      </c>
      <c r="O108" s="207">
        <f>SUMIFS('декабрь 2023'!$G$4:$G$1227,'декабрь 2023'!$D$4:$D$1227,$B108,'декабрь 2023'!$J$4:$J$1227,O$1)</f>
        <v>0</v>
      </c>
      <c r="P108" s="207">
        <f>SUMIFS('декабрь 2023'!$G$4:$G$1227,'декабрь 2023'!$D$4:$D$1227,$B108,'декабрь 2023'!$J$4:$J$1227,P$1)</f>
        <v>0</v>
      </c>
      <c r="Q108" s="207">
        <f>SUMIFS('декабрь 2023'!$G$4:$G$1227,'декабрь 2023'!$D$4:$D$1227,$B108,'декабрь 2023'!$J$4:$J$1227,Q$1)</f>
        <v>0</v>
      </c>
      <c r="R108" s="207">
        <f>SUMIFS('декабрь 2023'!$G$4:$G$1227,'декабрь 2023'!$D$4:$D$1227,$B108,'декабрь 2023'!$J$4:$J$1227,R$1)</f>
        <v>0</v>
      </c>
      <c r="S108" s="207">
        <f>SUMIFS('декабрь 2023'!$G$4:$G$1227,'декабрь 2023'!$D$4:$D$1227,$B108,'декабрь 2023'!$J$4:$J$1227,S$1)</f>
        <v>0</v>
      </c>
      <c r="T108" s="207">
        <f>SUMIFS('декабрь 2023'!$G$4:$G$1227,'декабрь 2023'!$D$4:$D$1227,$B108,'декабрь 2023'!$J$4:$J$1227,T$1)</f>
        <v>0</v>
      </c>
      <c r="U108" s="207">
        <f>SUMIFS('декабрь 2023'!$G$4:$G$1227,'декабрь 2023'!$D$4:$D$1227,$B108,'декабрь 2023'!$J$4:$J$1227,U$1)</f>
        <v>0</v>
      </c>
      <c r="V108" s="207">
        <f>SUMIFS('декабрь 2023'!$G$4:$G$1227,'декабрь 2023'!$D$4:$D$1227,$B108,'декабрь 2023'!$J$4:$J$1227,V$1)</f>
        <v>0</v>
      </c>
      <c r="W108" s="207">
        <f>SUMIFS('декабрь 2023'!$G$4:$G$1227,'декабрь 2023'!$D$4:$D$1227,$B108,'декабрь 2023'!$J$4:$J$1227,W$1)</f>
        <v>0</v>
      </c>
      <c r="X108" s="207">
        <f>SUMIFS('декабрь 2023'!$G$4:$G$1227,'декабрь 2023'!$D$4:$D$1227,$B108,'декабрь 2023'!$J$4:$J$1227,X$1)</f>
        <v>0</v>
      </c>
      <c r="Y108" s="207">
        <f>SUMIFS('декабрь 2023'!$G$4:$G$1227,'декабрь 2023'!$D$4:$D$1227,$B108,'декабрь 2023'!$J$4:$J$1227,Y$1)</f>
        <v>0</v>
      </c>
      <c r="Z108" s="207">
        <f>SUMIFS('декабрь 2023'!$G$4:$G$1227,'декабрь 2023'!$D$4:$D$1227,$B108,'декабрь 2023'!$J$4:$J$1227,Z$1)</f>
        <v>0</v>
      </c>
      <c r="AA108" s="207">
        <f>SUMIFS('декабрь 2023'!$G$4:$G$1227,'декабрь 2023'!$D$4:$D$1227,$B108,'декабрь 2023'!$J$4:$J$1227,AA$1)</f>
        <v>0</v>
      </c>
      <c r="AB108" s="207">
        <f>SUMIFS('декабрь 2023'!$G$4:$G$1227,'декабрь 2023'!$D$4:$D$1227,$B108,'декабрь 2023'!$J$4:$J$1227,AB$1)</f>
        <v>0</v>
      </c>
      <c r="AC108" s="207">
        <f>SUMIFS('декабрь 2023'!$G$4:$G$1227,'декабрь 2023'!$D$4:$D$1227,$B108,'декабрь 2023'!$J$4:$J$1227,AC$1)</f>
        <v>0</v>
      </c>
      <c r="AD108" s="207">
        <f>SUMIFS('декабрь 2023'!$G$4:$G$1227,'декабрь 2023'!$D$4:$D$1227,$B108,'декабрь 2023'!$J$4:$J$1227,AD$1)</f>
        <v>0</v>
      </c>
      <c r="AE108" s="207">
        <f>SUMIFS('декабрь 2023'!$G$4:$G$1227,'декабрь 2023'!$D$4:$D$1227,$B108,'декабрь 2023'!$J$4:$J$1227,AE$1)</f>
        <v>0</v>
      </c>
      <c r="AF108" s="207">
        <f>SUMIFS('декабрь 2023'!$G$4:$G$1227,'декабрь 2023'!$D$4:$D$1227,$B108,'декабрь 2023'!$J$4:$J$1227,AF$1)</f>
        <v>0</v>
      </c>
      <c r="AG108" s="207">
        <f>SUMIFS('декабрь 2023'!$G$4:$G$1227,'декабрь 2023'!$D$4:$D$1227,$B108,'декабрь 2023'!$J$4:$J$1227,AG$1)</f>
        <v>0</v>
      </c>
      <c r="AH108" s="207">
        <f>SUMIFS('декабрь 2023'!$G$4:$G$1227,'декабрь 2023'!$D$4:$D$1227,$B108,'декабрь 2023'!$J$4:$J$1227,AH$1)</f>
        <v>0</v>
      </c>
      <c r="AI108" s="170">
        <f t="shared" si="2"/>
        <v>0</v>
      </c>
    </row>
    <row r="109" spans="2:35" ht="15" customHeight="1" x14ac:dyDescent="0.25">
      <c r="B109" s="218" t="s">
        <v>352</v>
      </c>
      <c r="C109" s="219">
        <v>200</v>
      </c>
      <c r="D109" s="207">
        <f>SUMIFS('декабрь 2023'!$G$4:$G$1227,'декабрь 2023'!$D$4:$D$1227,$B109,'декабрь 2023'!$J$4:$J$1227,D$1)</f>
        <v>0</v>
      </c>
      <c r="E109" s="207">
        <f>SUMIFS('декабрь 2023'!$G$4:$G$1227,'декабрь 2023'!$D$4:$D$1227,$B109,'декабрь 2023'!$J$4:$J$1227,E$1)</f>
        <v>0</v>
      </c>
      <c r="F109" s="207">
        <f>SUMIFS('декабрь 2023'!$G$4:$G$1227,'декабрь 2023'!$D$4:$D$1227,$B109,'декабрь 2023'!$J$4:$J$1227,F$1)</f>
        <v>0</v>
      </c>
      <c r="G109" s="207">
        <f>SUMIFS('декабрь 2023'!$G$4:$G$1227,'декабрь 2023'!$D$4:$D$1227,$B109,'декабрь 2023'!$J$4:$J$1227,G$1)</f>
        <v>0</v>
      </c>
      <c r="H109" s="207">
        <f>SUMIFS('декабрь 2023'!$G$4:$G$1227,'декабрь 2023'!$D$4:$D$1227,$B109,'декабрь 2023'!$J$4:$J$1227,H$1)</f>
        <v>0</v>
      </c>
      <c r="I109" s="207">
        <f>SUMIFS('декабрь 2023'!$G$4:$G$1227,'декабрь 2023'!$D$4:$D$1227,$B109,'декабрь 2023'!$J$4:$J$1227,I$1)</f>
        <v>0</v>
      </c>
      <c r="J109" s="207">
        <f>SUMIFS('декабрь 2023'!$G$4:$G$1227,'декабрь 2023'!$D$4:$D$1227,$B109,'декабрь 2023'!$J$4:$J$1227,J$1)</f>
        <v>0</v>
      </c>
      <c r="K109" s="207">
        <f>SUMIFS('декабрь 2023'!$G$4:$G$1227,'декабрь 2023'!$D$4:$D$1227,$B109,'декабрь 2023'!$J$4:$J$1227,K$1)</f>
        <v>0</v>
      </c>
      <c r="L109" s="207">
        <f>SUMIFS('декабрь 2023'!$G$4:$G$1227,'декабрь 2023'!$D$4:$D$1227,$B109,'декабрь 2023'!$J$4:$J$1227,L$1)</f>
        <v>0</v>
      </c>
      <c r="M109" s="207">
        <f>SUMIFS('декабрь 2023'!$G$4:$G$1227,'декабрь 2023'!$D$4:$D$1227,$B109,'декабрь 2023'!$J$4:$J$1227,M$1)</f>
        <v>0</v>
      </c>
      <c r="N109" s="207">
        <f>SUMIFS('декабрь 2023'!$G$4:$G$1227,'декабрь 2023'!$D$4:$D$1227,$B109,'декабрь 2023'!$J$4:$J$1227,N$1)</f>
        <v>0</v>
      </c>
      <c r="O109" s="207">
        <f>SUMIFS('декабрь 2023'!$G$4:$G$1227,'декабрь 2023'!$D$4:$D$1227,$B109,'декабрь 2023'!$J$4:$J$1227,O$1)</f>
        <v>0</v>
      </c>
      <c r="P109" s="207">
        <f>SUMIFS('декабрь 2023'!$G$4:$G$1227,'декабрь 2023'!$D$4:$D$1227,$B109,'декабрь 2023'!$J$4:$J$1227,P$1)</f>
        <v>0</v>
      </c>
      <c r="Q109" s="207">
        <f>SUMIFS('декабрь 2023'!$G$4:$G$1227,'декабрь 2023'!$D$4:$D$1227,$B109,'декабрь 2023'!$J$4:$J$1227,Q$1)</f>
        <v>0</v>
      </c>
      <c r="R109" s="207">
        <f>SUMIFS('декабрь 2023'!$G$4:$G$1227,'декабрь 2023'!$D$4:$D$1227,$B109,'декабрь 2023'!$J$4:$J$1227,R$1)</f>
        <v>0</v>
      </c>
      <c r="S109" s="207">
        <f>SUMIFS('декабрь 2023'!$G$4:$G$1227,'декабрь 2023'!$D$4:$D$1227,$B109,'декабрь 2023'!$J$4:$J$1227,S$1)</f>
        <v>0</v>
      </c>
      <c r="T109" s="207">
        <f>SUMIFS('декабрь 2023'!$G$4:$G$1227,'декабрь 2023'!$D$4:$D$1227,$B109,'декабрь 2023'!$J$4:$J$1227,T$1)</f>
        <v>0</v>
      </c>
      <c r="U109" s="207">
        <f>SUMIFS('декабрь 2023'!$G$4:$G$1227,'декабрь 2023'!$D$4:$D$1227,$B109,'декабрь 2023'!$J$4:$J$1227,U$1)</f>
        <v>0</v>
      </c>
      <c r="V109" s="207">
        <f>SUMIFS('декабрь 2023'!$G$4:$G$1227,'декабрь 2023'!$D$4:$D$1227,$B109,'декабрь 2023'!$J$4:$J$1227,V$1)</f>
        <v>0</v>
      </c>
      <c r="W109" s="207">
        <f>SUMIFS('декабрь 2023'!$G$4:$G$1227,'декабрь 2023'!$D$4:$D$1227,$B109,'декабрь 2023'!$J$4:$J$1227,W$1)</f>
        <v>0</v>
      </c>
      <c r="X109" s="207">
        <f>SUMIFS('декабрь 2023'!$G$4:$G$1227,'декабрь 2023'!$D$4:$D$1227,$B109,'декабрь 2023'!$J$4:$J$1227,X$1)</f>
        <v>0</v>
      </c>
      <c r="Y109" s="207">
        <f>SUMIFS('декабрь 2023'!$G$4:$G$1227,'декабрь 2023'!$D$4:$D$1227,$B109,'декабрь 2023'!$J$4:$J$1227,Y$1)</f>
        <v>0</v>
      </c>
      <c r="Z109" s="207">
        <f>SUMIFS('декабрь 2023'!$G$4:$G$1227,'декабрь 2023'!$D$4:$D$1227,$B109,'декабрь 2023'!$J$4:$J$1227,Z$1)</f>
        <v>0</v>
      </c>
      <c r="AA109" s="207">
        <f>SUMIFS('декабрь 2023'!$G$4:$G$1227,'декабрь 2023'!$D$4:$D$1227,$B109,'декабрь 2023'!$J$4:$J$1227,AA$1)</f>
        <v>0</v>
      </c>
      <c r="AB109" s="207">
        <f>SUMIFS('декабрь 2023'!$G$4:$G$1227,'декабрь 2023'!$D$4:$D$1227,$B109,'декабрь 2023'!$J$4:$J$1227,AB$1)</f>
        <v>0</v>
      </c>
      <c r="AC109" s="207">
        <f>SUMIFS('декабрь 2023'!$G$4:$G$1227,'декабрь 2023'!$D$4:$D$1227,$B109,'декабрь 2023'!$J$4:$J$1227,AC$1)</f>
        <v>0</v>
      </c>
      <c r="AD109" s="207">
        <f>SUMIFS('декабрь 2023'!$G$4:$G$1227,'декабрь 2023'!$D$4:$D$1227,$B109,'декабрь 2023'!$J$4:$J$1227,AD$1)</f>
        <v>0</v>
      </c>
      <c r="AE109" s="207">
        <f>SUMIFS('декабрь 2023'!$G$4:$G$1227,'декабрь 2023'!$D$4:$D$1227,$B109,'декабрь 2023'!$J$4:$J$1227,AE$1)</f>
        <v>0</v>
      </c>
      <c r="AF109" s="207">
        <f>SUMIFS('декабрь 2023'!$G$4:$G$1227,'декабрь 2023'!$D$4:$D$1227,$B109,'декабрь 2023'!$J$4:$J$1227,AF$1)</f>
        <v>0</v>
      </c>
      <c r="AG109" s="207">
        <f>SUMIFS('декабрь 2023'!$G$4:$G$1227,'декабрь 2023'!$D$4:$D$1227,$B109,'декабрь 2023'!$J$4:$J$1227,AG$1)</f>
        <v>0</v>
      </c>
      <c r="AH109" s="207">
        <f>SUMIFS('декабрь 2023'!$G$4:$G$1227,'декабрь 2023'!$D$4:$D$1227,$B109,'декабрь 2023'!$J$4:$J$1227,AH$1)</f>
        <v>0</v>
      </c>
      <c r="AI109" s="170">
        <f t="shared" si="2"/>
        <v>0</v>
      </c>
    </row>
    <row r="110" spans="2:35" ht="15" customHeight="1" x14ac:dyDescent="0.25">
      <c r="B110" s="212" t="s">
        <v>276</v>
      </c>
      <c r="C110" s="213">
        <v>200</v>
      </c>
      <c r="D110" s="207">
        <f>SUMIFS('декабрь 2023'!$G$4:$G$1227,'декабрь 2023'!$D$4:$D$1227,$B110,'декабрь 2023'!$J$4:$J$1227,D$1)</f>
        <v>0</v>
      </c>
      <c r="E110" s="207">
        <f>SUMIFS('декабрь 2023'!$G$4:$G$1227,'декабрь 2023'!$D$4:$D$1227,$B110,'декабрь 2023'!$J$4:$J$1227,E$1)</f>
        <v>0</v>
      </c>
      <c r="F110" s="207">
        <f>SUMIFS('декабрь 2023'!$G$4:$G$1227,'декабрь 2023'!$D$4:$D$1227,$B110,'декабрь 2023'!$J$4:$J$1227,F$1)</f>
        <v>0</v>
      </c>
      <c r="G110" s="207">
        <f>SUMIFS('декабрь 2023'!$G$4:$G$1227,'декабрь 2023'!$D$4:$D$1227,$B110,'декабрь 2023'!$J$4:$J$1227,G$1)</f>
        <v>0</v>
      </c>
      <c r="H110" s="207">
        <f>SUMIFS('декабрь 2023'!$G$4:$G$1227,'декабрь 2023'!$D$4:$D$1227,$B110,'декабрь 2023'!$J$4:$J$1227,H$1)</f>
        <v>0</v>
      </c>
      <c r="I110" s="207">
        <f>SUMIFS('декабрь 2023'!$G$4:$G$1227,'декабрь 2023'!$D$4:$D$1227,$B110,'декабрь 2023'!$J$4:$J$1227,I$1)</f>
        <v>0</v>
      </c>
      <c r="J110" s="207">
        <f>SUMIFS('декабрь 2023'!$G$4:$G$1227,'декабрь 2023'!$D$4:$D$1227,$B110,'декабрь 2023'!$J$4:$J$1227,J$1)</f>
        <v>0</v>
      </c>
      <c r="K110" s="207">
        <f>SUMIFS('декабрь 2023'!$G$4:$G$1227,'декабрь 2023'!$D$4:$D$1227,$B110,'декабрь 2023'!$J$4:$J$1227,K$1)</f>
        <v>0</v>
      </c>
      <c r="L110" s="207">
        <f>SUMIFS('декабрь 2023'!$G$4:$G$1227,'декабрь 2023'!$D$4:$D$1227,$B110,'декабрь 2023'!$J$4:$J$1227,L$1)</f>
        <v>0</v>
      </c>
      <c r="M110" s="207">
        <f>SUMIFS('декабрь 2023'!$G$4:$G$1227,'декабрь 2023'!$D$4:$D$1227,$B110,'декабрь 2023'!$J$4:$J$1227,M$1)</f>
        <v>0</v>
      </c>
      <c r="N110" s="207">
        <f>SUMIFS('декабрь 2023'!$G$4:$G$1227,'декабрь 2023'!$D$4:$D$1227,$B110,'декабрь 2023'!$J$4:$J$1227,N$1)</f>
        <v>0</v>
      </c>
      <c r="O110" s="207">
        <f>SUMIFS('декабрь 2023'!$G$4:$G$1227,'декабрь 2023'!$D$4:$D$1227,$B110,'декабрь 2023'!$J$4:$J$1227,O$1)</f>
        <v>0</v>
      </c>
      <c r="P110" s="207">
        <f>SUMIFS('декабрь 2023'!$G$4:$G$1227,'декабрь 2023'!$D$4:$D$1227,$B110,'декабрь 2023'!$J$4:$J$1227,P$1)</f>
        <v>0</v>
      </c>
      <c r="Q110" s="207">
        <f>SUMIFS('декабрь 2023'!$G$4:$G$1227,'декабрь 2023'!$D$4:$D$1227,$B110,'декабрь 2023'!$J$4:$J$1227,Q$1)</f>
        <v>0</v>
      </c>
      <c r="R110" s="207">
        <f>SUMIFS('декабрь 2023'!$G$4:$G$1227,'декабрь 2023'!$D$4:$D$1227,$B110,'декабрь 2023'!$J$4:$J$1227,R$1)</f>
        <v>0</v>
      </c>
      <c r="S110" s="207">
        <f>SUMIFS('декабрь 2023'!$G$4:$G$1227,'декабрь 2023'!$D$4:$D$1227,$B110,'декабрь 2023'!$J$4:$J$1227,S$1)</f>
        <v>0</v>
      </c>
      <c r="T110" s="207">
        <f>SUMIFS('декабрь 2023'!$G$4:$G$1227,'декабрь 2023'!$D$4:$D$1227,$B110,'декабрь 2023'!$J$4:$J$1227,T$1)</f>
        <v>0</v>
      </c>
      <c r="U110" s="207">
        <f>SUMIFS('декабрь 2023'!$G$4:$G$1227,'декабрь 2023'!$D$4:$D$1227,$B110,'декабрь 2023'!$J$4:$J$1227,U$1)</f>
        <v>0</v>
      </c>
      <c r="V110" s="207">
        <f>SUMIFS('декабрь 2023'!$G$4:$G$1227,'декабрь 2023'!$D$4:$D$1227,$B110,'декабрь 2023'!$J$4:$J$1227,V$1)</f>
        <v>0</v>
      </c>
      <c r="W110" s="207">
        <f>SUMIFS('декабрь 2023'!$G$4:$G$1227,'декабрь 2023'!$D$4:$D$1227,$B110,'декабрь 2023'!$J$4:$J$1227,W$1)</f>
        <v>0</v>
      </c>
      <c r="X110" s="207">
        <f>SUMIFS('декабрь 2023'!$G$4:$G$1227,'декабрь 2023'!$D$4:$D$1227,$B110,'декабрь 2023'!$J$4:$J$1227,X$1)</f>
        <v>0</v>
      </c>
      <c r="Y110" s="207">
        <f>SUMIFS('декабрь 2023'!$G$4:$G$1227,'декабрь 2023'!$D$4:$D$1227,$B110,'декабрь 2023'!$J$4:$J$1227,Y$1)</f>
        <v>0</v>
      </c>
      <c r="Z110" s="207">
        <f>SUMIFS('декабрь 2023'!$G$4:$G$1227,'декабрь 2023'!$D$4:$D$1227,$B110,'декабрь 2023'!$J$4:$J$1227,Z$1)</f>
        <v>0</v>
      </c>
      <c r="AA110" s="207">
        <f>SUMIFS('декабрь 2023'!$G$4:$G$1227,'декабрь 2023'!$D$4:$D$1227,$B110,'декабрь 2023'!$J$4:$J$1227,AA$1)</f>
        <v>0</v>
      </c>
      <c r="AB110" s="207">
        <f>SUMIFS('декабрь 2023'!$G$4:$G$1227,'декабрь 2023'!$D$4:$D$1227,$B110,'декабрь 2023'!$J$4:$J$1227,AB$1)</f>
        <v>0</v>
      </c>
      <c r="AC110" s="207">
        <f>SUMIFS('декабрь 2023'!$G$4:$G$1227,'декабрь 2023'!$D$4:$D$1227,$B110,'декабрь 2023'!$J$4:$J$1227,AC$1)</f>
        <v>0</v>
      </c>
      <c r="AD110" s="207">
        <f>SUMIFS('декабрь 2023'!$G$4:$G$1227,'декабрь 2023'!$D$4:$D$1227,$B110,'декабрь 2023'!$J$4:$J$1227,AD$1)</f>
        <v>0</v>
      </c>
      <c r="AE110" s="207">
        <f>SUMIFS('декабрь 2023'!$G$4:$G$1227,'декабрь 2023'!$D$4:$D$1227,$B110,'декабрь 2023'!$J$4:$J$1227,AE$1)</f>
        <v>0</v>
      </c>
      <c r="AF110" s="207">
        <f>SUMIFS('декабрь 2023'!$G$4:$G$1227,'декабрь 2023'!$D$4:$D$1227,$B110,'декабрь 2023'!$J$4:$J$1227,AF$1)</f>
        <v>0</v>
      </c>
      <c r="AG110" s="207">
        <f>SUMIFS('декабрь 2023'!$G$4:$G$1227,'декабрь 2023'!$D$4:$D$1227,$B110,'декабрь 2023'!$J$4:$J$1227,AG$1)</f>
        <v>0</v>
      </c>
      <c r="AH110" s="207">
        <f>SUMIFS('декабрь 2023'!$G$4:$G$1227,'декабрь 2023'!$D$4:$D$1227,$B110,'декабрь 2023'!$J$4:$J$1227,AH$1)</f>
        <v>0</v>
      </c>
      <c r="AI110" s="170">
        <f t="shared" si="2"/>
        <v>0</v>
      </c>
    </row>
    <row r="111" spans="2:35" ht="15" customHeight="1" x14ac:dyDescent="0.25">
      <c r="B111" s="212" t="s">
        <v>1021</v>
      </c>
      <c r="C111" s="213">
        <v>200</v>
      </c>
      <c r="D111" s="207">
        <f>SUMIFS('декабрь 2023'!$G$4:$G$1227,'декабрь 2023'!$D$4:$D$1227,$B111,'декабрь 2023'!$J$4:$J$1227,D$1)</f>
        <v>0</v>
      </c>
      <c r="E111" s="207">
        <f>SUMIFS('декабрь 2023'!$G$4:$G$1227,'декабрь 2023'!$D$4:$D$1227,$B111,'декабрь 2023'!$J$4:$J$1227,E$1)</f>
        <v>0</v>
      </c>
      <c r="F111" s="207">
        <f>SUMIFS('декабрь 2023'!$G$4:$G$1227,'декабрь 2023'!$D$4:$D$1227,$B111,'декабрь 2023'!$J$4:$J$1227,F$1)</f>
        <v>0</v>
      </c>
      <c r="G111" s="207">
        <f>SUMIFS('декабрь 2023'!$G$4:$G$1227,'декабрь 2023'!$D$4:$D$1227,$B111,'декабрь 2023'!$J$4:$J$1227,G$1)</f>
        <v>0</v>
      </c>
      <c r="H111" s="207">
        <f>SUMIFS('декабрь 2023'!$G$4:$G$1227,'декабрь 2023'!$D$4:$D$1227,$B111,'декабрь 2023'!$J$4:$J$1227,H$1)</f>
        <v>0</v>
      </c>
      <c r="I111" s="207">
        <f>SUMIFS('декабрь 2023'!$G$4:$G$1227,'декабрь 2023'!$D$4:$D$1227,$B111,'декабрь 2023'!$J$4:$J$1227,I$1)</f>
        <v>0</v>
      </c>
      <c r="J111" s="207">
        <f>SUMIFS('декабрь 2023'!$G$4:$G$1227,'декабрь 2023'!$D$4:$D$1227,$B111,'декабрь 2023'!$J$4:$J$1227,J$1)</f>
        <v>0</v>
      </c>
      <c r="K111" s="207">
        <f>SUMIFS('декабрь 2023'!$G$4:$G$1227,'декабрь 2023'!$D$4:$D$1227,$B111,'декабрь 2023'!$J$4:$J$1227,K$1)</f>
        <v>0</v>
      </c>
      <c r="L111" s="207">
        <f>SUMIFS('декабрь 2023'!$G$4:$G$1227,'декабрь 2023'!$D$4:$D$1227,$B111,'декабрь 2023'!$J$4:$J$1227,L$1)</f>
        <v>0</v>
      </c>
      <c r="M111" s="207">
        <f>SUMIFS('декабрь 2023'!$G$4:$G$1227,'декабрь 2023'!$D$4:$D$1227,$B111,'декабрь 2023'!$J$4:$J$1227,M$1)</f>
        <v>0</v>
      </c>
      <c r="N111" s="207">
        <f>SUMIFS('декабрь 2023'!$G$4:$G$1227,'декабрь 2023'!$D$4:$D$1227,$B111,'декабрь 2023'!$J$4:$J$1227,N$1)</f>
        <v>0</v>
      </c>
      <c r="O111" s="207">
        <f>SUMIFS('декабрь 2023'!$G$4:$G$1227,'декабрь 2023'!$D$4:$D$1227,$B111,'декабрь 2023'!$J$4:$J$1227,O$1)</f>
        <v>0</v>
      </c>
      <c r="P111" s="207">
        <f>SUMIFS('декабрь 2023'!$G$4:$G$1227,'декабрь 2023'!$D$4:$D$1227,$B111,'декабрь 2023'!$J$4:$J$1227,P$1)</f>
        <v>0</v>
      </c>
      <c r="Q111" s="207">
        <f>SUMIFS('декабрь 2023'!$G$4:$G$1227,'декабрь 2023'!$D$4:$D$1227,$B111,'декабрь 2023'!$J$4:$J$1227,Q$1)</f>
        <v>0</v>
      </c>
      <c r="R111" s="207">
        <f>SUMIFS('декабрь 2023'!$G$4:$G$1227,'декабрь 2023'!$D$4:$D$1227,$B111,'декабрь 2023'!$J$4:$J$1227,R$1)</f>
        <v>0</v>
      </c>
      <c r="S111" s="207">
        <f>SUMIFS('декабрь 2023'!$G$4:$G$1227,'декабрь 2023'!$D$4:$D$1227,$B111,'декабрь 2023'!$J$4:$J$1227,S$1)</f>
        <v>0</v>
      </c>
      <c r="T111" s="207">
        <f>SUMIFS('декабрь 2023'!$G$4:$G$1227,'декабрь 2023'!$D$4:$D$1227,$B111,'декабрь 2023'!$J$4:$J$1227,T$1)</f>
        <v>0</v>
      </c>
      <c r="U111" s="207">
        <f>SUMIFS('декабрь 2023'!$G$4:$G$1227,'декабрь 2023'!$D$4:$D$1227,$B111,'декабрь 2023'!$J$4:$J$1227,U$1)</f>
        <v>0</v>
      </c>
      <c r="V111" s="207">
        <f>SUMIFS('декабрь 2023'!$G$4:$G$1227,'декабрь 2023'!$D$4:$D$1227,$B111,'декабрь 2023'!$J$4:$J$1227,V$1)</f>
        <v>0</v>
      </c>
      <c r="W111" s="207">
        <f>SUMIFS('декабрь 2023'!$G$4:$G$1227,'декабрь 2023'!$D$4:$D$1227,$B111,'декабрь 2023'!$J$4:$J$1227,W$1)</f>
        <v>0</v>
      </c>
      <c r="X111" s="207">
        <f>SUMIFS('декабрь 2023'!$G$4:$G$1227,'декабрь 2023'!$D$4:$D$1227,$B111,'декабрь 2023'!$J$4:$J$1227,X$1)</f>
        <v>0</v>
      </c>
      <c r="Y111" s="207">
        <f>SUMIFS('декабрь 2023'!$G$4:$G$1227,'декабрь 2023'!$D$4:$D$1227,$B111,'декабрь 2023'!$J$4:$J$1227,Y$1)</f>
        <v>0</v>
      </c>
      <c r="Z111" s="207">
        <f>SUMIFS('декабрь 2023'!$G$4:$G$1227,'декабрь 2023'!$D$4:$D$1227,$B111,'декабрь 2023'!$J$4:$J$1227,Z$1)</f>
        <v>0</v>
      </c>
      <c r="AA111" s="207">
        <f>SUMIFS('декабрь 2023'!$G$4:$G$1227,'декабрь 2023'!$D$4:$D$1227,$B111,'декабрь 2023'!$J$4:$J$1227,AA$1)</f>
        <v>0</v>
      </c>
      <c r="AB111" s="207">
        <f>SUMIFS('декабрь 2023'!$G$4:$G$1227,'декабрь 2023'!$D$4:$D$1227,$B111,'декабрь 2023'!$J$4:$J$1227,AB$1)</f>
        <v>0</v>
      </c>
      <c r="AC111" s="207">
        <f>SUMIFS('декабрь 2023'!$G$4:$G$1227,'декабрь 2023'!$D$4:$D$1227,$B111,'декабрь 2023'!$J$4:$J$1227,AC$1)</f>
        <v>0</v>
      </c>
      <c r="AD111" s="207">
        <f>SUMIFS('декабрь 2023'!$G$4:$G$1227,'декабрь 2023'!$D$4:$D$1227,$B111,'декабрь 2023'!$J$4:$J$1227,AD$1)</f>
        <v>0</v>
      </c>
      <c r="AE111" s="207">
        <f>SUMIFS('декабрь 2023'!$G$4:$G$1227,'декабрь 2023'!$D$4:$D$1227,$B111,'декабрь 2023'!$J$4:$J$1227,AE$1)</f>
        <v>0</v>
      </c>
      <c r="AF111" s="207">
        <f>SUMIFS('декабрь 2023'!$G$4:$G$1227,'декабрь 2023'!$D$4:$D$1227,$B111,'декабрь 2023'!$J$4:$J$1227,AF$1)</f>
        <v>0</v>
      </c>
      <c r="AG111" s="207">
        <f>SUMIFS('декабрь 2023'!$G$4:$G$1227,'декабрь 2023'!$D$4:$D$1227,$B111,'декабрь 2023'!$J$4:$J$1227,AG$1)</f>
        <v>0</v>
      </c>
      <c r="AH111" s="207">
        <f>SUMIFS('декабрь 2023'!$G$4:$G$1227,'декабрь 2023'!$D$4:$D$1227,$B111,'декабрь 2023'!$J$4:$J$1227,AH$1)</f>
        <v>0</v>
      </c>
      <c r="AI111" s="170">
        <f t="shared" si="2"/>
        <v>0</v>
      </c>
    </row>
    <row r="112" spans="2:35" ht="15" customHeight="1" x14ac:dyDescent="0.25">
      <c r="B112" s="212" t="s">
        <v>1023</v>
      </c>
      <c r="C112" s="213">
        <v>25</v>
      </c>
      <c r="D112" s="207">
        <f>SUMIFS('декабрь 2023'!$G$4:$G$1227,'декабрь 2023'!$D$4:$D$1227,$B112,'декабрь 2023'!$J$4:$J$1227,D$1)</f>
        <v>0</v>
      </c>
      <c r="E112" s="207">
        <f>SUMIFS('декабрь 2023'!$G$4:$G$1227,'декабрь 2023'!$D$4:$D$1227,$B112,'декабрь 2023'!$J$4:$J$1227,E$1)</f>
        <v>0</v>
      </c>
      <c r="F112" s="207">
        <f>SUMIFS('декабрь 2023'!$G$4:$G$1227,'декабрь 2023'!$D$4:$D$1227,$B112,'декабрь 2023'!$J$4:$J$1227,F$1)</f>
        <v>0</v>
      </c>
      <c r="G112" s="207">
        <f>SUMIFS('декабрь 2023'!$G$4:$G$1227,'декабрь 2023'!$D$4:$D$1227,$B112,'декабрь 2023'!$J$4:$J$1227,G$1)</f>
        <v>0</v>
      </c>
      <c r="H112" s="207">
        <f>SUMIFS('декабрь 2023'!$G$4:$G$1227,'декабрь 2023'!$D$4:$D$1227,$B112,'декабрь 2023'!$J$4:$J$1227,H$1)</f>
        <v>0</v>
      </c>
      <c r="I112" s="207">
        <f>SUMIFS('декабрь 2023'!$G$4:$G$1227,'декабрь 2023'!$D$4:$D$1227,$B112,'декабрь 2023'!$J$4:$J$1227,I$1)</f>
        <v>0</v>
      </c>
      <c r="J112" s="207">
        <f>SUMIFS('декабрь 2023'!$G$4:$G$1227,'декабрь 2023'!$D$4:$D$1227,$B112,'декабрь 2023'!$J$4:$J$1227,J$1)</f>
        <v>0</v>
      </c>
      <c r="K112" s="207">
        <f>SUMIFS('декабрь 2023'!$G$4:$G$1227,'декабрь 2023'!$D$4:$D$1227,$B112,'декабрь 2023'!$J$4:$J$1227,K$1)</f>
        <v>0</v>
      </c>
      <c r="L112" s="207">
        <f>SUMIFS('декабрь 2023'!$G$4:$G$1227,'декабрь 2023'!$D$4:$D$1227,$B112,'декабрь 2023'!$J$4:$J$1227,L$1)</f>
        <v>0</v>
      </c>
      <c r="M112" s="207">
        <f>SUMIFS('декабрь 2023'!$G$4:$G$1227,'декабрь 2023'!$D$4:$D$1227,$B112,'декабрь 2023'!$J$4:$J$1227,M$1)</f>
        <v>0</v>
      </c>
      <c r="N112" s="207">
        <f>SUMIFS('декабрь 2023'!$G$4:$G$1227,'декабрь 2023'!$D$4:$D$1227,$B112,'декабрь 2023'!$J$4:$J$1227,N$1)</f>
        <v>0</v>
      </c>
      <c r="O112" s="207">
        <f>SUMIFS('декабрь 2023'!$G$4:$G$1227,'декабрь 2023'!$D$4:$D$1227,$B112,'декабрь 2023'!$J$4:$J$1227,O$1)</f>
        <v>0</v>
      </c>
      <c r="P112" s="207">
        <f>SUMIFS('декабрь 2023'!$G$4:$G$1227,'декабрь 2023'!$D$4:$D$1227,$B112,'декабрь 2023'!$J$4:$J$1227,P$1)</f>
        <v>0</v>
      </c>
      <c r="Q112" s="207">
        <f>SUMIFS('декабрь 2023'!$G$4:$G$1227,'декабрь 2023'!$D$4:$D$1227,$B112,'декабрь 2023'!$J$4:$J$1227,Q$1)</f>
        <v>0</v>
      </c>
      <c r="R112" s="207">
        <f>SUMIFS('декабрь 2023'!$G$4:$G$1227,'декабрь 2023'!$D$4:$D$1227,$B112,'декабрь 2023'!$J$4:$J$1227,R$1)</f>
        <v>0</v>
      </c>
      <c r="S112" s="207">
        <f>SUMIFS('декабрь 2023'!$G$4:$G$1227,'декабрь 2023'!$D$4:$D$1227,$B112,'декабрь 2023'!$J$4:$J$1227,S$1)</f>
        <v>0</v>
      </c>
      <c r="T112" s="207">
        <f>SUMIFS('декабрь 2023'!$G$4:$G$1227,'декабрь 2023'!$D$4:$D$1227,$B112,'декабрь 2023'!$J$4:$J$1227,T$1)</f>
        <v>0</v>
      </c>
      <c r="U112" s="207">
        <f>SUMIFS('декабрь 2023'!$G$4:$G$1227,'декабрь 2023'!$D$4:$D$1227,$B112,'декабрь 2023'!$J$4:$J$1227,U$1)</f>
        <v>0</v>
      </c>
      <c r="V112" s="207">
        <f>SUMIFS('декабрь 2023'!$G$4:$G$1227,'декабрь 2023'!$D$4:$D$1227,$B112,'декабрь 2023'!$J$4:$J$1227,V$1)</f>
        <v>0</v>
      </c>
      <c r="W112" s="207">
        <f>SUMIFS('декабрь 2023'!$G$4:$G$1227,'декабрь 2023'!$D$4:$D$1227,$B112,'декабрь 2023'!$J$4:$J$1227,W$1)</f>
        <v>0</v>
      </c>
      <c r="X112" s="207">
        <f>SUMIFS('декабрь 2023'!$G$4:$G$1227,'декабрь 2023'!$D$4:$D$1227,$B112,'декабрь 2023'!$J$4:$J$1227,X$1)</f>
        <v>0</v>
      </c>
      <c r="Y112" s="207">
        <f>SUMIFS('декабрь 2023'!$G$4:$G$1227,'декабрь 2023'!$D$4:$D$1227,$B112,'декабрь 2023'!$J$4:$J$1227,Y$1)</f>
        <v>0</v>
      </c>
      <c r="Z112" s="207">
        <f>SUMIFS('декабрь 2023'!$G$4:$G$1227,'декабрь 2023'!$D$4:$D$1227,$B112,'декабрь 2023'!$J$4:$J$1227,Z$1)</f>
        <v>0</v>
      </c>
      <c r="AA112" s="207">
        <f>SUMIFS('декабрь 2023'!$G$4:$G$1227,'декабрь 2023'!$D$4:$D$1227,$B112,'декабрь 2023'!$J$4:$J$1227,AA$1)</f>
        <v>0</v>
      </c>
      <c r="AB112" s="207">
        <f>SUMIFS('декабрь 2023'!$G$4:$G$1227,'декабрь 2023'!$D$4:$D$1227,$B112,'декабрь 2023'!$J$4:$J$1227,AB$1)</f>
        <v>0</v>
      </c>
      <c r="AC112" s="207">
        <f>SUMIFS('декабрь 2023'!$G$4:$G$1227,'декабрь 2023'!$D$4:$D$1227,$B112,'декабрь 2023'!$J$4:$J$1227,AC$1)</f>
        <v>0</v>
      </c>
      <c r="AD112" s="207">
        <f>SUMIFS('декабрь 2023'!$G$4:$G$1227,'декабрь 2023'!$D$4:$D$1227,$B112,'декабрь 2023'!$J$4:$J$1227,AD$1)</f>
        <v>0</v>
      </c>
      <c r="AE112" s="207">
        <f>SUMIFS('декабрь 2023'!$G$4:$G$1227,'декабрь 2023'!$D$4:$D$1227,$B112,'декабрь 2023'!$J$4:$J$1227,AE$1)</f>
        <v>0</v>
      </c>
      <c r="AF112" s="207">
        <f>SUMIFS('декабрь 2023'!$G$4:$G$1227,'декабрь 2023'!$D$4:$D$1227,$B112,'декабрь 2023'!$J$4:$J$1227,AF$1)</f>
        <v>0</v>
      </c>
      <c r="AG112" s="207">
        <f>SUMIFS('декабрь 2023'!$G$4:$G$1227,'декабрь 2023'!$D$4:$D$1227,$B112,'декабрь 2023'!$J$4:$J$1227,AG$1)</f>
        <v>0</v>
      </c>
      <c r="AH112" s="207">
        <f>SUMIFS('декабрь 2023'!$G$4:$G$1227,'декабрь 2023'!$D$4:$D$1227,$B112,'декабрь 2023'!$J$4:$J$1227,AH$1)</f>
        <v>0</v>
      </c>
      <c r="AI112" s="170">
        <f t="shared" si="2"/>
        <v>0</v>
      </c>
    </row>
    <row r="113" spans="2:35" ht="15" customHeight="1" x14ac:dyDescent="0.25">
      <c r="B113" s="216" t="s">
        <v>2199</v>
      </c>
      <c r="C113" s="213">
        <v>200</v>
      </c>
      <c r="D113" s="207">
        <f>SUMIFS('декабрь 2023'!$G$4:$G$1227,'декабрь 2023'!$D$4:$D$1227,$B113,'декабрь 2023'!$J$4:$J$1227,D$1)</f>
        <v>0</v>
      </c>
      <c r="E113" s="207">
        <f>SUMIFS('декабрь 2023'!$G$4:$G$1227,'декабрь 2023'!$D$4:$D$1227,$B113,'декабрь 2023'!$J$4:$J$1227,E$1)</f>
        <v>0</v>
      </c>
      <c r="F113" s="207">
        <f>SUMIFS('декабрь 2023'!$G$4:$G$1227,'декабрь 2023'!$D$4:$D$1227,$B113,'декабрь 2023'!$J$4:$J$1227,F$1)</f>
        <v>0</v>
      </c>
      <c r="G113" s="207">
        <f>SUMIFS('декабрь 2023'!$G$4:$G$1227,'декабрь 2023'!$D$4:$D$1227,$B113,'декабрь 2023'!$J$4:$J$1227,G$1)</f>
        <v>0</v>
      </c>
      <c r="H113" s="207">
        <f>SUMIFS('декабрь 2023'!$G$4:$G$1227,'декабрь 2023'!$D$4:$D$1227,$B113,'декабрь 2023'!$J$4:$J$1227,H$1)</f>
        <v>0</v>
      </c>
      <c r="I113" s="207">
        <f>SUMIFS('декабрь 2023'!$G$4:$G$1227,'декабрь 2023'!$D$4:$D$1227,$B113,'декабрь 2023'!$J$4:$J$1227,I$1)</f>
        <v>0</v>
      </c>
      <c r="J113" s="207">
        <f>SUMIFS('декабрь 2023'!$G$4:$G$1227,'декабрь 2023'!$D$4:$D$1227,$B113,'декабрь 2023'!$J$4:$J$1227,J$1)</f>
        <v>0</v>
      </c>
      <c r="K113" s="207">
        <f>SUMIFS('декабрь 2023'!$G$4:$G$1227,'декабрь 2023'!$D$4:$D$1227,$B113,'декабрь 2023'!$J$4:$J$1227,K$1)</f>
        <v>0</v>
      </c>
      <c r="L113" s="207">
        <f>SUMIFS('декабрь 2023'!$G$4:$G$1227,'декабрь 2023'!$D$4:$D$1227,$B113,'декабрь 2023'!$J$4:$J$1227,L$1)</f>
        <v>0</v>
      </c>
      <c r="M113" s="207">
        <f>SUMIFS('декабрь 2023'!$G$4:$G$1227,'декабрь 2023'!$D$4:$D$1227,$B113,'декабрь 2023'!$J$4:$J$1227,M$1)</f>
        <v>0</v>
      </c>
      <c r="N113" s="207">
        <f>SUMIFS('декабрь 2023'!$G$4:$G$1227,'декабрь 2023'!$D$4:$D$1227,$B113,'декабрь 2023'!$J$4:$J$1227,N$1)</f>
        <v>0</v>
      </c>
      <c r="O113" s="207">
        <f>SUMIFS('декабрь 2023'!$G$4:$G$1227,'декабрь 2023'!$D$4:$D$1227,$B113,'декабрь 2023'!$J$4:$J$1227,O$1)</f>
        <v>0</v>
      </c>
      <c r="P113" s="207">
        <f>SUMIFS('декабрь 2023'!$G$4:$G$1227,'декабрь 2023'!$D$4:$D$1227,$B113,'декабрь 2023'!$J$4:$J$1227,P$1)</f>
        <v>0</v>
      </c>
      <c r="Q113" s="207">
        <f>SUMIFS('декабрь 2023'!$G$4:$G$1227,'декабрь 2023'!$D$4:$D$1227,$B113,'декабрь 2023'!$J$4:$J$1227,Q$1)</f>
        <v>0</v>
      </c>
      <c r="R113" s="207">
        <f>SUMIFS('декабрь 2023'!$G$4:$G$1227,'декабрь 2023'!$D$4:$D$1227,$B113,'декабрь 2023'!$J$4:$J$1227,R$1)</f>
        <v>0</v>
      </c>
      <c r="S113" s="207">
        <f>SUMIFS('декабрь 2023'!$G$4:$G$1227,'декабрь 2023'!$D$4:$D$1227,$B113,'декабрь 2023'!$J$4:$J$1227,S$1)</f>
        <v>0</v>
      </c>
      <c r="T113" s="207">
        <f>SUMIFS('декабрь 2023'!$G$4:$G$1227,'декабрь 2023'!$D$4:$D$1227,$B113,'декабрь 2023'!$J$4:$J$1227,T$1)</f>
        <v>0</v>
      </c>
      <c r="U113" s="207">
        <f>SUMIFS('декабрь 2023'!$G$4:$G$1227,'декабрь 2023'!$D$4:$D$1227,$B113,'декабрь 2023'!$J$4:$J$1227,U$1)</f>
        <v>0</v>
      </c>
      <c r="V113" s="207">
        <f>SUMIFS('декабрь 2023'!$G$4:$G$1227,'декабрь 2023'!$D$4:$D$1227,$B113,'декабрь 2023'!$J$4:$J$1227,V$1)</f>
        <v>0</v>
      </c>
      <c r="W113" s="207">
        <f>SUMIFS('декабрь 2023'!$G$4:$G$1227,'декабрь 2023'!$D$4:$D$1227,$B113,'декабрь 2023'!$J$4:$J$1227,W$1)</f>
        <v>0</v>
      </c>
      <c r="X113" s="207">
        <f>SUMIFS('декабрь 2023'!$G$4:$G$1227,'декабрь 2023'!$D$4:$D$1227,$B113,'декабрь 2023'!$J$4:$J$1227,X$1)</f>
        <v>0</v>
      </c>
      <c r="Y113" s="207">
        <f>SUMIFS('декабрь 2023'!$G$4:$G$1227,'декабрь 2023'!$D$4:$D$1227,$B113,'декабрь 2023'!$J$4:$J$1227,Y$1)</f>
        <v>0</v>
      </c>
      <c r="Z113" s="207">
        <f>SUMIFS('декабрь 2023'!$G$4:$G$1227,'декабрь 2023'!$D$4:$D$1227,$B113,'декабрь 2023'!$J$4:$J$1227,Z$1)</f>
        <v>0</v>
      </c>
      <c r="AA113" s="207">
        <f>SUMIFS('декабрь 2023'!$G$4:$G$1227,'декабрь 2023'!$D$4:$D$1227,$B113,'декабрь 2023'!$J$4:$J$1227,AA$1)</f>
        <v>0</v>
      </c>
      <c r="AB113" s="207">
        <f>SUMIFS('декабрь 2023'!$G$4:$G$1227,'декабрь 2023'!$D$4:$D$1227,$B113,'декабрь 2023'!$J$4:$J$1227,AB$1)</f>
        <v>0</v>
      </c>
      <c r="AC113" s="207">
        <f>SUMIFS('декабрь 2023'!$G$4:$G$1227,'декабрь 2023'!$D$4:$D$1227,$B113,'декабрь 2023'!$J$4:$J$1227,AC$1)</f>
        <v>0</v>
      </c>
      <c r="AD113" s="207">
        <f>SUMIFS('декабрь 2023'!$G$4:$G$1227,'декабрь 2023'!$D$4:$D$1227,$B113,'декабрь 2023'!$J$4:$J$1227,AD$1)</f>
        <v>0</v>
      </c>
      <c r="AE113" s="207">
        <f>SUMIFS('декабрь 2023'!$G$4:$G$1227,'декабрь 2023'!$D$4:$D$1227,$B113,'декабрь 2023'!$J$4:$J$1227,AE$1)</f>
        <v>0</v>
      </c>
      <c r="AF113" s="207">
        <f>SUMIFS('декабрь 2023'!$G$4:$G$1227,'декабрь 2023'!$D$4:$D$1227,$B113,'декабрь 2023'!$J$4:$J$1227,AF$1)</f>
        <v>0</v>
      </c>
      <c r="AG113" s="207">
        <f>SUMIFS('декабрь 2023'!$G$4:$G$1227,'декабрь 2023'!$D$4:$D$1227,$B113,'декабрь 2023'!$J$4:$J$1227,AG$1)</f>
        <v>0</v>
      </c>
      <c r="AH113" s="207">
        <f>SUMIFS('декабрь 2023'!$G$4:$G$1227,'декабрь 2023'!$D$4:$D$1227,$B113,'декабрь 2023'!$J$4:$J$1227,AH$1)</f>
        <v>0</v>
      </c>
      <c r="AI113" s="170">
        <f t="shared" si="2"/>
        <v>0</v>
      </c>
    </row>
    <row r="114" spans="2:35" ht="15" customHeight="1" x14ac:dyDescent="0.25">
      <c r="B114" s="216" t="s">
        <v>775</v>
      </c>
      <c r="C114" s="213">
        <v>200</v>
      </c>
      <c r="D114" s="207">
        <f>SUMIFS('декабрь 2023'!$G$4:$G$1227,'декабрь 2023'!$D$4:$D$1227,$B114,'декабрь 2023'!$J$4:$J$1227,D$1)</f>
        <v>0</v>
      </c>
      <c r="E114" s="207">
        <f>SUMIFS('декабрь 2023'!$G$4:$G$1227,'декабрь 2023'!$D$4:$D$1227,$B114,'декабрь 2023'!$J$4:$J$1227,E$1)</f>
        <v>0</v>
      </c>
      <c r="F114" s="207">
        <f>SUMIFS('декабрь 2023'!$G$4:$G$1227,'декабрь 2023'!$D$4:$D$1227,$B114,'декабрь 2023'!$J$4:$J$1227,F$1)</f>
        <v>0</v>
      </c>
      <c r="G114" s="207">
        <f>SUMIFS('декабрь 2023'!$G$4:$G$1227,'декабрь 2023'!$D$4:$D$1227,$B114,'декабрь 2023'!$J$4:$J$1227,G$1)</f>
        <v>0</v>
      </c>
      <c r="H114" s="207">
        <f>SUMIFS('декабрь 2023'!$G$4:$G$1227,'декабрь 2023'!$D$4:$D$1227,$B114,'декабрь 2023'!$J$4:$J$1227,H$1)</f>
        <v>0</v>
      </c>
      <c r="I114" s="207">
        <f>SUMIFS('декабрь 2023'!$G$4:$G$1227,'декабрь 2023'!$D$4:$D$1227,$B114,'декабрь 2023'!$J$4:$J$1227,I$1)</f>
        <v>0</v>
      </c>
      <c r="J114" s="207">
        <f>SUMIFS('декабрь 2023'!$G$4:$G$1227,'декабрь 2023'!$D$4:$D$1227,$B114,'декабрь 2023'!$J$4:$J$1227,J$1)</f>
        <v>0</v>
      </c>
      <c r="K114" s="207">
        <f>SUMIFS('декабрь 2023'!$G$4:$G$1227,'декабрь 2023'!$D$4:$D$1227,$B114,'декабрь 2023'!$J$4:$J$1227,K$1)</f>
        <v>0</v>
      </c>
      <c r="L114" s="207">
        <f>SUMIFS('декабрь 2023'!$G$4:$G$1227,'декабрь 2023'!$D$4:$D$1227,$B114,'декабрь 2023'!$J$4:$J$1227,L$1)</f>
        <v>0</v>
      </c>
      <c r="M114" s="207">
        <f>SUMIFS('декабрь 2023'!$G$4:$G$1227,'декабрь 2023'!$D$4:$D$1227,$B114,'декабрь 2023'!$J$4:$J$1227,M$1)</f>
        <v>0</v>
      </c>
      <c r="N114" s="207">
        <f>SUMIFS('декабрь 2023'!$G$4:$G$1227,'декабрь 2023'!$D$4:$D$1227,$B114,'декабрь 2023'!$J$4:$J$1227,N$1)</f>
        <v>0</v>
      </c>
      <c r="O114" s="207">
        <f>SUMIFS('декабрь 2023'!$G$4:$G$1227,'декабрь 2023'!$D$4:$D$1227,$B114,'декабрь 2023'!$J$4:$J$1227,O$1)</f>
        <v>0</v>
      </c>
      <c r="P114" s="207">
        <f>SUMIFS('декабрь 2023'!$G$4:$G$1227,'декабрь 2023'!$D$4:$D$1227,$B114,'декабрь 2023'!$J$4:$J$1227,P$1)</f>
        <v>0</v>
      </c>
      <c r="Q114" s="207">
        <f>SUMIFS('декабрь 2023'!$G$4:$G$1227,'декабрь 2023'!$D$4:$D$1227,$B114,'декабрь 2023'!$J$4:$J$1227,Q$1)</f>
        <v>0</v>
      </c>
      <c r="R114" s="207">
        <f>SUMIFS('декабрь 2023'!$G$4:$G$1227,'декабрь 2023'!$D$4:$D$1227,$B114,'декабрь 2023'!$J$4:$J$1227,R$1)</f>
        <v>0</v>
      </c>
      <c r="S114" s="207">
        <f>SUMIFS('декабрь 2023'!$G$4:$G$1227,'декабрь 2023'!$D$4:$D$1227,$B114,'декабрь 2023'!$J$4:$J$1227,S$1)</f>
        <v>0</v>
      </c>
      <c r="T114" s="207">
        <f>SUMIFS('декабрь 2023'!$G$4:$G$1227,'декабрь 2023'!$D$4:$D$1227,$B114,'декабрь 2023'!$J$4:$J$1227,T$1)</f>
        <v>0</v>
      </c>
      <c r="U114" s="207">
        <f>SUMIFS('декабрь 2023'!$G$4:$G$1227,'декабрь 2023'!$D$4:$D$1227,$B114,'декабрь 2023'!$J$4:$J$1227,U$1)</f>
        <v>0</v>
      </c>
      <c r="V114" s="207">
        <f>SUMIFS('декабрь 2023'!$G$4:$G$1227,'декабрь 2023'!$D$4:$D$1227,$B114,'декабрь 2023'!$J$4:$J$1227,V$1)</f>
        <v>0</v>
      </c>
      <c r="W114" s="207">
        <f>SUMIFS('декабрь 2023'!$G$4:$G$1227,'декабрь 2023'!$D$4:$D$1227,$B114,'декабрь 2023'!$J$4:$J$1227,W$1)</f>
        <v>0</v>
      </c>
      <c r="X114" s="207">
        <f>SUMIFS('декабрь 2023'!$G$4:$G$1227,'декабрь 2023'!$D$4:$D$1227,$B114,'декабрь 2023'!$J$4:$J$1227,X$1)</f>
        <v>0</v>
      </c>
      <c r="Y114" s="207">
        <f>SUMIFS('декабрь 2023'!$G$4:$G$1227,'декабрь 2023'!$D$4:$D$1227,$B114,'декабрь 2023'!$J$4:$J$1227,Y$1)</f>
        <v>0</v>
      </c>
      <c r="Z114" s="207">
        <f>SUMIFS('декабрь 2023'!$G$4:$G$1227,'декабрь 2023'!$D$4:$D$1227,$B114,'декабрь 2023'!$J$4:$J$1227,Z$1)</f>
        <v>0</v>
      </c>
      <c r="AA114" s="207">
        <f>SUMIFS('декабрь 2023'!$G$4:$G$1227,'декабрь 2023'!$D$4:$D$1227,$B114,'декабрь 2023'!$J$4:$J$1227,AA$1)</f>
        <v>0</v>
      </c>
      <c r="AB114" s="207">
        <f>SUMIFS('декабрь 2023'!$G$4:$G$1227,'декабрь 2023'!$D$4:$D$1227,$B114,'декабрь 2023'!$J$4:$J$1227,AB$1)</f>
        <v>0</v>
      </c>
      <c r="AC114" s="207">
        <f>SUMIFS('декабрь 2023'!$G$4:$G$1227,'декабрь 2023'!$D$4:$D$1227,$B114,'декабрь 2023'!$J$4:$J$1227,AC$1)</f>
        <v>0</v>
      </c>
      <c r="AD114" s="207">
        <f>SUMIFS('декабрь 2023'!$G$4:$G$1227,'декабрь 2023'!$D$4:$D$1227,$B114,'декабрь 2023'!$J$4:$J$1227,AD$1)</f>
        <v>0</v>
      </c>
      <c r="AE114" s="207">
        <f>SUMIFS('декабрь 2023'!$G$4:$G$1227,'декабрь 2023'!$D$4:$D$1227,$B114,'декабрь 2023'!$J$4:$J$1227,AE$1)</f>
        <v>0</v>
      </c>
      <c r="AF114" s="207">
        <f>SUMIFS('декабрь 2023'!$G$4:$G$1227,'декабрь 2023'!$D$4:$D$1227,$B114,'декабрь 2023'!$J$4:$J$1227,AF$1)</f>
        <v>0</v>
      </c>
      <c r="AG114" s="207">
        <f>SUMIFS('декабрь 2023'!$G$4:$G$1227,'декабрь 2023'!$D$4:$D$1227,$B114,'декабрь 2023'!$J$4:$J$1227,AG$1)</f>
        <v>0</v>
      </c>
      <c r="AH114" s="207">
        <f>SUMIFS('декабрь 2023'!$G$4:$G$1227,'декабрь 2023'!$D$4:$D$1227,$B114,'декабрь 2023'!$J$4:$J$1227,AH$1)</f>
        <v>0</v>
      </c>
      <c r="AI114" s="170">
        <f t="shared" si="2"/>
        <v>0</v>
      </c>
    </row>
    <row r="115" spans="2:35" ht="16.899999999999999" customHeight="1" x14ac:dyDescent="0.25">
      <c r="B115" s="212" t="s">
        <v>1094</v>
      </c>
      <c r="C115" s="211">
        <v>25</v>
      </c>
      <c r="D115" s="207">
        <f>SUMIFS('декабрь 2023'!$G$4:$G$1227,'декабрь 2023'!$D$4:$D$1227,$B115,'декабрь 2023'!$J$4:$J$1227,D$1)</f>
        <v>0</v>
      </c>
      <c r="E115" s="207">
        <f>SUMIFS('декабрь 2023'!$G$4:$G$1227,'декабрь 2023'!$D$4:$D$1227,$B115,'декабрь 2023'!$J$4:$J$1227,E$1)</f>
        <v>0</v>
      </c>
      <c r="F115" s="207">
        <f>SUMIFS('декабрь 2023'!$G$4:$G$1227,'декабрь 2023'!$D$4:$D$1227,$B115,'декабрь 2023'!$J$4:$J$1227,F$1)</f>
        <v>0</v>
      </c>
      <c r="G115" s="207">
        <f>SUMIFS('декабрь 2023'!$G$4:$G$1227,'декабрь 2023'!$D$4:$D$1227,$B115,'декабрь 2023'!$J$4:$J$1227,G$1)</f>
        <v>0</v>
      </c>
      <c r="H115" s="207">
        <f>SUMIFS('декабрь 2023'!$G$4:$G$1227,'декабрь 2023'!$D$4:$D$1227,$B115,'декабрь 2023'!$J$4:$J$1227,H$1)</f>
        <v>0</v>
      </c>
      <c r="I115" s="207">
        <f>SUMIFS('декабрь 2023'!$G$4:$G$1227,'декабрь 2023'!$D$4:$D$1227,$B115,'декабрь 2023'!$J$4:$J$1227,I$1)</f>
        <v>0</v>
      </c>
      <c r="J115" s="207">
        <f>SUMIFS('декабрь 2023'!$G$4:$G$1227,'декабрь 2023'!$D$4:$D$1227,$B115,'декабрь 2023'!$J$4:$J$1227,J$1)</f>
        <v>0</v>
      </c>
      <c r="K115" s="207">
        <f>SUMIFS('декабрь 2023'!$G$4:$G$1227,'декабрь 2023'!$D$4:$D$1227,$B115,'декабрь 2023'!$J$4:$J$1227,K$1)</f>
        <v>0</v>
      </c>
      <c r="L115" s="207">
        <f>SUMIFS('декабрь 2023'!$G$4:$G$1227,'декабрь 2023'!$D$4:$D$1227,$B115,'декабрь 2023'!$J$4:$J$1227,L$1)</f>
        <v>0</v>
      </c>
      <c r="M115" s="207">
        <f>SUMIFS('декабрь 2023'!$G$4:$G$1227,'декабрь 2023'!$D$4:$D$1227,$B115,'декабрь 2023'!$J$4:$J$1227,M$1)</f>
        <v>0</v>
      </c>
      <c r="N115" s="207">
        <f>SUMIFS('декабрь 2023'!$G$4:$G$1227,'декабрь 2023'!$D$4:$D$1227,$B115,'декабрь 2023'!$J$4:$J$1227,N$1)</f>
        <v>0</v>
      </c>
      <c r="O115" s="207">
        <f>SUMIFS('декабрь 2023'!$G$4:$G$1227,'декабрь 2023'!$D$4:$D$1227,$B115,'декабрь 2023'!$J$4:$J$1227,O$1)</f>
        <v>0</v>
      </c>
      <c r="P115" s="207">
        <f>SUMIFS('декабрь 2023'!$G$4:$G$1227,'декабрь 2023'!$D$4:$D$1227,$B115,'декабрь 2023'!$J$4:$J$1227,P$1)</f>
        <v>0</v>
      </c>
      <c r="Q115" s="207">
        <f>SUMIFS('декабрь 2023'!$G$4:$G$1227,'декабрь 2023'!$D$4:$D$1227,$B115,'декабрь 2023'!$J$4:$J$1227,Q$1)</f>
        <v>0</v>
      </c>
      <c r="R115" s="207">
        <f>SUMIFS('декабрь 2023'!$G$4:$G$1227,'декабрь 2023'!$D$4:$D$1227,$B115,'декабрь 2023'!$J$4:$J$1227,R$1)</f>
        <v>0</v>
      </c>
      <c r="S115" s="207">
        <f>SUMIFS('декабрь 2023'!$G$4:$G$1227,'декабрь 2023'!$D$4:$D$1227,$B115,'декабрь 2023'!$J$4:$J$1227,S$1)</f>
        <v>0</v>
      </c>
      <c r="T115" s="207">
        <f>SUMIFS('декабрь 2023'!$G$4:$G$1227,'декабрь 2023'!$D$4:$D$1227,$B115,'декабрь 2023'!$J$4:$J$1227,T$1)</f>
        <v>0</v>
      </c>
      <c r="U115" s="207">
        <f>SUMIFS('декабрь 2023'!$G$4:$G$1227,'декабрь 2023'!$D$4:$D$1227,$B115,'декабрь 2023'!$J$4:$J$1227,U$1)</f>
        <v>0</v>
      </c>
      <c r="V115" s="207">
        <f>SUMIFS('декабрь 2023'!$G$4:$G$1227,'декабрь 2023'!$D$4:$D$1227,$B115,'декабрь 2023'!$J$4:$J$1227,V$1)</f>
        <v>0</v>
      </c>
      <c r="W115" s="207">
        <f>SUMIFS('декабрь 2023'!$G$4:$G$1227,'декабрь 2023'!$D$4:$D$1227,$B115,'декабрь 2023'!$J$4:$J$1227,W$1)</f>
        <v>0</v>
      </c>
      <c r="X115" s="207">
        <f>SUMIFS('декабрь 2023'!$G$4:$G$1227,'декабрь 2023'!$D$4:$D$1227,$B115,'декабрь 2023'!$J$4:$J$1227,X$1)</f>
        <v>0</v>
      </c>
      <c r="Y115" s="207">
        <f>SUMIFS('декабрь 2023'!$G$4:$G$1227,'декабрь 2023'!$D$4:$D$1227,$B115,'декабрь 2023'!$J$4:$J$1227,Y$1)</f>
        <v>0</v>
      </c>
      <c r="Z115" s="207">
        <f>SUMIFS('декабрь 2023'!$G$4:$G$1227,'декабрь 2023'!$D$4:$D$1227,$B115,'декабрь 2023'!$J$4:$J$1227,Z$1)</f>
        <v>0</v>
      </c>
      <c r="AA115" s="207">
        <f>SUMIFS('декабрь 2023'!$G$4:$G$1227,'декабрь 2023'!$D$4:$D$1227,$B115,'декабрь 2023'!$J$4:$J$1227,AA$1)</f>
        <v>0</v>
      </c>
      <c r="AB115" s="207">
        <f>SUMIFS('декабрь 2023'!$G$4:$G$1227,'декабрь 2023'!$D$4:$D$1227,$B115,'декабрь 2023'!$J$4:$J$1227,AB$1)</f>
        <v>0</v>
      </c>
      <c r="AC115" s="207">
        <f>SUMIFS('декабрь 2023'!$G$4:$G$1227,'декабрь 2023'!$D$4:$D$1227,$B115,'декабрь 2023'!$J$4:$J$1227,AC$1)</f>
        <v>0</v>
      </c>
      <c r="AD115" s="207">
        <f>SUMIFS('декабрь 2023'!$G$4:$G$1227,'декабрь 2023'!$D$4:$D$1227,$B115,'декабрь 2023'!$J$4:$J$1227,AD$1)</f>
        <v>0</v>
      </c>
      <c r="AE115" s="207">
        <f>SUMIFS('декабрь 2023'!$G$4:$G$1227,'декабрь 2023'!$D$4:$D$1227,$B115,'декабрь 2023'!$J$4:$J$1227,AE$1)</f>
        <v>0</v>
      </c>
      <c r="AF115" s="207">
        <f>SUMIFS('декабрь 2023'!$G$4:$G$1227,'декабрь 2023'!$D$4:$D$1227,$B115,'декабрь 2023'!$J$4:$J$1227,AF$1)</f>
        <v>0</v>
      </c>
      <c r="AG115" s="207">
        <f>SUMIFS('декабрь 2023'!$G$4:$G$1227,'декабрь 2023'!$D$4:$D$1227,$B115,'декабрь 2023'!$J$4:$J$1227,AG$1)</f>
        <v>0</v>
      </c>
      <c r="AH115" s="207">
        <f>SUMIFS('декабрь 2023'!$G$4:$G$1227,'декабрь 2023'!$D$4:$D$1227,$B115,'декабрь 2023'!$J$4:$J$1227,AH$1)</f>
        <v>0</v>
      </c>
      <c r="AI115" s="170">
        <f t="shared" si="2"/>
        <v>0</v>
      </c>
    </row>
    <row r="116" spans="2:35" ht="15" customHeight="1" x14ac:dyDescent="0.25">
      <c r="B116" s="212" t="s">
        <v>191</v>
      </c>
      <c r="C116" s="211">
        <v>25</v>
      </c>
      <c r="D116" s="207">
        <f>SUMIFS('декабрь 2023'!$G$4:$G$1227,'декабрь 2023'!$D$4:$D$1227,$B116,'декабрь 2023'!$J$4:$J$1227,D$1)</f>
        <v>0</v>
      </c>
      <c r="E116" s="207">
        <f>SUMIFS('декабрь 2023'!$G$4:$G$1227,'декабрь 2023'!$D$4:$D$1227,$B116,'декабрь 2023'!$J$4:$J$1227,E$1)</f>
        <v>0</v>
      </c>
      <c r="F116" s="207">
        <f>SUMIFS('декабрь 2023'!$G$4:$G$1227,'декабрь 2023'!$D$4:$D$1227,$B116,'декабрь 2023'!$J$4:$J$1227,F$1)</f>
        <v>0</v>
      </c>
      <c r="G116" s="207">
        <f>SUMIFS('декабрь 2023'!$G$4:$G$1227,'декабрь 2023'!$D$4:$D$1227,$B116,'декабрь 2023'!$J$4:$J$1227,G$1)</f>
        <v>0</v>
      </c>
      <c r="H116" s="207">
        <f>SUMIFS('декабрь 2023'!$G$4:$G$1227,'декабрь 2023'!$D$4:$D$1227,$B116,'декабрь 2023'!$J$4:$J$1227,H$1)</f>
        <v>0</v>
      </c>
      <c r="I116" s="207">
        <f>SUMIFS('декабрь 2023'!$G$4:$G$1227,'декабрь 2023'!$D$4:$D$1227,$B116,'декабрь 2023'!$J$4:$J$1227,I$1)</f>
        <v>0</v>
      </c>
      <c r="J116" s="207">
        <f>SUMIFS('декабрь 2023'!$G$4:$G$1227,'декабрь 2023'!$D$4:$D$1227,$B116,'декабрь 2023'!$J$4:$J$1227,J$1)</f>
        <v>0</v>
      </c>
      <c r="K116" s="207">
        <f>SUMIFS('декабрь 2023'!$G$4:$G$1227,'декабрь 2023'!$D$4:$D$1227,$B116,'декабрь 2023'!$J$4:$J$1227,K$1)</f>
        <v>0</v>
      </c>
      <c r="L116" s="207">
        <f>SUMIFS('декабрь 2023'!$G$4:$G$1227,'декабрь 2023'!$D$4:$D$1227,$B116,'декабрь 2023'!$J$4:$J$1227,L$1)</f>
        <v>0</v>
      </c>
      <c r="M116" s="207">
        <f>SUMIFS('декабрь 2023'!$G$4:$G$1227,'декабрь 2023'!$D$4:$D$1227,$B116,'декабрь 2023'!$J$4:$J$1227,M$1)</f>
        <v>0</v>
      </c>
      <c r="N116" s="207">
        <f>SUMIFS('декабрь 2023'!$G$4:$G$1227,'декабрь 2023'!$D$4:$D$1227,$B116,'декабрь 2023'!$J$4:$J$1227,N$1)</f>
        <v>0</v>
      </c>
      <c r="O116" s="207">
        <f>SUMIFS('декабрь 2023'!$G$4:$G$1227,'декабрь 2023'!$D$4:$D$1227,$B116,'декабрь 2023'!$J$4:$J$1227,O$1)</f>
        <v>0</v>
      </c>
      <c r="P116" s="207">
        <f>SUMIFS('декабрь 2023'!$G$4:$G$1227,'декабрь 2023'!$D$4:$D$1227,$B116,'декабрь 2023'!$J$4:$J$1227,P$1)</f>
        <v>0</v>
      </c>
      <c r="Q116" s="207">
        <f>SUMIFS('декабрь 2023'!$G$4:$G$1227,'декабрь 2023'!$D$4:$D$1227,$B116,'декабрь 2023'!$J$4:$J$1227,Q$1)</f>
        <v>0</v>
      </c>
      <c r="R116" s="207">
        <f>SUMIFS('декабрь 2023'!$G$4:$G$1227,'декабрь 2023'!$D$4:$D$1227,$B116,'декабрь 2023'!$J$4:$J$1227,R$1)</f>
        <v>0</v>
      </c>
      <c r="S116" s="207">
        <f>SUMIFS('декабрь 2023'!$G$4:$G$1227,'декабрь 2023'!$D$4:$D$1227,$B116,'декабрь 2023'!$J$4:$J$1227,S$1)</f>
        <v>0</v>
      </c>
      <c r="T116" s="207">
        <f>SUMIFS('декабрь 2023'!$G$4:$G$1227,'декабрь 2023'!$D$4:$D$1227,$B116,'декабрь 2023'!$J$4:$J$1227,T$1)</f>
        <v>0</v>
      </c>
      <c r="U116" s="207">
        <f>SUMIFS('декабрь 2023'!$G$4:$G$1227,'декабрь 2023'!$D$4:$D$1227,$B116,'декабрь 2023'!$J$4:$J$1227,U$1)</f>
        <v>0</v>
      </c>
      <c r="V116" s="207">
        <f>SUMIFS('декабрь 2023'!$G$4:$G$1227,'декабрь 2023'!$D$4:$D$1227,$B116,'декабрь 2023'!$J$4:$J$1227,V$1)</f>
        <v>0</v>
      </c>
      <c r="W116" s="207">
        <f>SUMIFS('декабрь 2023'!$G$4:$G$1227,'декабрь 2023'!$D$4:$D$1227,$B116,'декабрь 2023'!$J$4:$J$1227,W$1)</f>
        <v>660</v>
      </c>
      <c r="X116" s="207">
        <f>SUMIFS('декабрь 2023'!$G$4:$G$1227,'декабрь 2023'!$D$4:$D$1227,$B116,'декабрь 2023'!$J$4:$J$1227,X$1)</f>
        <v>0</v>
      </c>
      <c r="Y116" s="207">
        <f>SUMIFS('декабрь 2023'!$G$4:$G$1227,'декабрь 2023'!$D$4:$D$1227,$B116,'декабрь 2023'!$J$4:$J$1227,Y$1)</f>
        <v>0</v>
      </c>
      <c r="Z116" s="207">
        <f>SUMIFS('декабрь 2023'!$G$4:$G$1227,'декабрь 2023'!$D$4:$D$1227,$B116,'декабрь 2023'!$J$4:$J$1227,Z$1)</f>
        <v>0</v>
      </c>
      <c r="AA116" s="207">
        <f>SUMIFS('декабрь 2023'!$G$4:$G$1227,'декабрь 2023'!$D$4:$D$1227,$B116,'декабрь 2023'!$J$4:$J$1227,AA$1)</f>
        <v>0</v>
      </c>
      <c r="AB116" s="207">
        <f>SUMIFS('декабрь 2023'!$G$4:$G$1227,'декабрь 2023'!$D$4:$D$1227,$B116,'декабрь 2023'!$J$4:$J$1227,AB$1)</f>
        <v>0</v>
      </c>
      <c r="AC116" s="207">
        <f>SUMIFS('декабрь 2023'!$G$4:$G$1227,'декабрь 2023'!$D$4:$D$1227,$B116,'декабрь 2023'!$J$4:$J$1227,AC$1)</f>
        <v>0</v>
      </c>
      <c r="AD116" s="207">
        <f>SUMIFS('декабрь 2023'!$G$4:$G$1227,'декабрь 2023'!$D$4:$D$1227,$B116,'декабрь 2023'!$J$4:$J$1227,AD$1)</f>
        <v>0</v>
      </c>
      <c r="AE116" s="207">
        <f>SUMIFS('декабрь 2023'!$G$4:$G$1227,'декабрь 2023'!$D$4:$D$1227,$B116,'декабрь 2023'!$J$4:$J$1227,AE$1)</f>
        <v>480</v>
      </c>
      <c r="AF116" s="207">
        <f>SUMIFS('декабрь 2023'!$G$4:$G$1227,'декабрь 2023'!$D$4:$D$1227,$B116,'декабрь 2023'!$J$4:$J$1227,AF$1)</f>
        <v>0</v>
      </c>
      <c r="AG116" s="207">
        <f>SUMIFS('декабрь 2023'!$G$4:$G$1227,'декабрь 2023'!$D$4:$D$1227,$B116,'декабрь 2023'!$J$4:$J$1227,AG$1)</f>
        <v>0</v>
      </c>
      <c r="AH116" s="207">
        <f>SUMIFS('декабрь 2023'!$G$4:$G$1227,'декабрь 2023'!$D$4:$D$1227,$B116,'декабрь 2023'!$J$4:$J$1227,AH$1)</f>
        <v>0</v>
      </c>
      <c r="AI116" s="170">
        <f t="shared" si="2"/>
        <v>1140</v>
      </c>
    </row>
    <row r="117" spans="2:35" ht="15" customHeight="1" x14ac:dyDescent="0.25">
      <c r="B117" s="212" t="s">
        <v>525</v>
      </c>
      <c r="C117" s="211">
        <v>25</v>
      </c>
      <c r="D117" s="207">
        <f>SUMIFS('декабрь 2023'!$G$4:$G$1227,'декабрь 2023'!$D$4:$D$1227,$B117,'декабрь 2023'!$J$4:$J$1227,D$1)</f>
        <v>0</v>
      </c>
      <c r="E117" s="207">
        <f>SUMIFS('декабрь 2023'!$G$4:$G$1227,'декабрь 2023'!$D$4:$D$1227,$B117,'декабрь 2023'!$J$4:$J$1227,E$1)</f>
        <v>0</v>
      </c>
      <c r="F117" s="207">
        <f>SUMIFS('декабрь 2023'!$G$4:$G$1227,'декабрь 2023'!$D$4:$D$1227,$B117,'декабрь 2023'!$J$4:$J$1227,F$1)</f>
        <v>0</v>
      </c>
      <c r="G117" s="207">
        <f>SUMIFS('декабрь 2023'!$G$4:$G$1227,'декабрь 2023'!$D$4:$D$1227,$B117,'декабрь 2023'!$J$4:$J$1227,G$1)</f>
        <v>0</v>
      </c>
      <c r="H117" s="207">
        <f>SUMIFS('декабрь 2023'!$G$4:$G$1227,'декабрь 2023'!$D$4:$D$1227,$B117,'декабрь 2023'!$J$4:$J$1227,H$1)</f>
        <v>0</v>
      </c>
      <c r="I117" s="207">
        <f>SUMIFS('декабрь 2023'!$G$4:$G$1227,'декабрь 2023'!$D$4:$D$1227,$B117,'декабрь 2023'!$J$4:$J$1227,I$1)</f>
        <v>0</v>
      </c>
      <c r="J117" s="207">
        <f>SUMIFS('декабрь 2023'!$G$4:$G$1227,'декабрь 2023'!$D$4:$D$1227,$B117,'декабрь 2023'!$J$4:$J$1227,J$1)</f>
        <v>0</v>
      </c>
      <c r="K117" s="207">
        <f>SUMIFS('декабрь 2023'!$G$4:$G$1227,'декабрь 2023'!$D$4:$D$1227,$B117,'декабрь 2023'!$J$4:$J$1227,K$1)</f>
        <v>0</v>
      </c>
      <c r="L117" s="207">
        <f>SUMIFS('декабрь 2023'!$G$4:$G$1227,'декабрь 2023'!$D$4:$D$1227,$B117,'декабрь 2023'!$J$4:$J$1227,L$1)</f>
        <v>0</v>
      </c>
      <c r="M117" s="207">
        <f>SUMIFS('декабрь 2023'!$G$4:$G$1227,'декабрь 2023'!$D$4:$D$1227,$B117,'декабрь 2023'!$J$4:$J$1227,M$1)</f>
        <v>0</v>
      </c>
      <c r="N117" s="207">
        <f>SUMIFS('декабрь 2023'!$G$4:$G$1227,'декабрь 2023'!$D$4:$D$1227,$B117,'декабрь 2023'!$J$4:$J$1227,N$1)</f>
        <v>0</v>
      </c>
      <c r="O117" s="207">
        <f>SUMIFS('декабрь 2023'!$G$4:$G$1227,'декабрь 2023'!$D$4:$D$1227,$B117,'декабрь 2023'!$J$4:$J$1227,O$1)</f>
        <v>0</v>
      </c>
      <c r="P117" s="207">
        <f>SUMIFS('декабрь 2023'!$G$4:$G$1227,'декабрь 2023'!$D$4:$D$1227,$B117,'декабрь 2023'!$J$4:$J$1227,P$1)</f>
        <v>0</v>
      </c>
      <c r="Q117" s="207">
        <f>SUMIFS('декабрь 2023'!$G$4:$G$1227,'декабрь 2023'!$D$4:$D$1227,$B117,'декабрь 2023'!$J$4:$J$1227,Q$1)</f>
        <v>0</v>
      </c>
      <c r="R117" s="207">
        <f>SUMIFS('декабрь 2023'!$G$4:$G$1227,'декабрь 2023'!$D$4:$D$1227,$B117,'декабрь 2023'!$J$4:$J$1227,R$1)</f>
        <v>0</v>
      </c>
      <c r="S117" s="207">
        <f>SUMIFS('декабрь 2023'!$G$4:$G$1227,'декабрь 2023'!$D$4:$D$1227,$B117,'декабрь 2023'!$J$4:$J$1227,S$1)</f>
        <v>0</v>
      </c>
      <c r="T117" s="207">
        <f>SUMIFS('декабрь 2023'!$G$4:$G$1227,'декабрь 2023'!$D$4:$D$1227,$B117,'декабрь 2023'!$J$4:$J$1227,T$1)</f>
        <v>0</v>
      </c>
      <c r="U117" s="207">
        <f>SUMIFS('декабрь 2023'!$G$4:$G$1227,'декабрь 2023'!$D$4:$D$1227,$B117,'декабрь 2023'!$J$4:$J$1227,U$1)</f>
        <v>0</v>
      </c>
      <c r="V117" s="207">
        <f>SUMIFS('декабрь 2023'!$G$4:$G$1227,'декабрь 2023'!$D$4:$D$1227,$B117,'декабрь 2023'!$J$4:$J$1227,V$1)</f>
        <v>0</v>
      </c>
      <c r="W117" s="207">
        <f>SUMIFS('декабрь 2023'!$G$4:$G$1227,'декабрь 2023'!$D$4:$D$1227,$B117,'декабрь 2023'!$J$4:$J$1227,W$1)</f>
        <v>0</v>
      </c>
      <c r="X117" s="207">
        <f>SUMIFS('декабрь 2023'!$G$4:$G$1227,'декабрь 2023'!$D$4:$D$1227,$B117,'декабрь 2023'!$J$4:$J$1227,X$1)</f>
        <v>0</v>
      </c>
      <c r="Y117" s="207">
        <f>SUMIFS('декабрь 2023'!$G$4:$G$1227,'декабрь 2023'!$D$4:$D$1227,$B117,'декабрь 2023'!$J$4:$J$1227,Y$1)</f>
        <v>0</v>
      </c>
      <c r="Z117" s="207">
        <f>SUMIFS('декабрь 2023'!$G$4:$G$1227,'декабрь 2023'!$D$4:$D$1227,$B117,'декабрь 2023'!$J$4:$J$1227,Z$1)</f>
        <v>0</v>
      </c>
      <c r="AA117" s="207">
        <f>SUMIFS('декабрь 2023'!$G$4:$G$1227,'декабрь 2023'!$D$4:$D$1227,$B117,'декабрь 2023'!$J$4:$J$1227,AA$1)</f>
        <v>0</v>
      </c>
      <c r="AB117" s="207">
        <f>SUMIFS('декабрь 2023'!$G$4:$G$1227,'декабрь 2023'!$D$4:$D$1227,$B117,'декабрь 2023'!$J$4:$J$1227,AB$1)</f>
        <v>0</v>
      </c>
      <c r="AC117" s="207">
        <f>SUMIFS('декабрь 2023'!$G$4:$G$1227,'декабрь 2023'!$D$4:$D$1227,$B117,'декабрь 2023'!$J$4:$J$1227,AC$1)</f>
        <v>0</v>
      </c>
      <c r="AD117" s="207">
        <f>SUMIFS('декабрь 2023'!$G$4:$G$1227,'декабрь 2023'!$D$4:$D$1227,$B117,'декабрь 2023'!$J$4:$J$1227,AD$1)</f>
        <v>0</v>
      </c>
      <c r="AE117" s="207">
        <f>SUMIFS('декабрь 2023'!$G$4:$G$1227,'декабрь 2023'!$D$4:$D$1227,$B117,'декабрь 2023'!$J$4:$J$1227,AE$1)</f>
        <v>0</v>
      </c>
      <c r="AF117" s="207">
        <f>SUMIFS('декабрь 2023'!$G$4:$G$1227,'декабрь 2023'!$D$4:$D$1227,$B117,'декабрь 2023'!$J$4:$J$1227,AF$1)</f>
        <v>0</v>
      </c>
      <c r="AG117" s="207">
        <f>SUMIFS('декабрь 2023'!$G$4:$G$1227,'декабрь 2023'!$D$4:$D$1227,$B117,'декабрь 2023'!$J$4:$J$1227,AG$1)</f>
        <v>0</v>
      </c>
      <c r="AH117" s="207">
        <f>SUMIFS('декабрь 2023'!$G$4:$G$1227,'декабрь 2023'!$D$4:$D$1227,$B117,'декабрь 2023'!$J$4:$J$1227,AH$1)</f>
        <v>0</v>
      </c>
      <c r="AI117" s="170">
        <f t="shared" si="2"/>
        <v>0</v>
      </c>
    </row>
    <row r="118" spans="2:35" ht="15" customHeight="1" x14ac:dyDescent="0.25">
      <c r="B118" s="212" t="s">
        <v>1353</v>
      </c>
      <c r="C118" s="211">
        <v>25</v>
      </c>
      <c r="D118" s="207">
        <f>SUMIFS('декабрь 2023'!$G$4:$G$1227,'декабрь 2023'!$D$4:$D$1227,$B118,'декабрь 2023'!$J$4:$J$1227,D$1)</f>
        <v>0</v>
      </c>
      <c r="E118" s="207">
        <f>SUMIFS('декабрь 2023'!$G$4:$G$1227,'декабрь 2023'!$D$4:$D$1227,$B118,'декабрь 2023'!$J$4:$J$1227,E$1)</f>
        <v>0</v>
      </c>
      <c r="F118" s="207">
        <f>SUMIFS('декабрь 2023'!$G$4:$G$1227,'декабрь 2023'!$D$4:$D$1227,$B118,'декабрь 2023'!$J$4:$J$1227,F$1)</f>
        <v>0</v>
      </c>
      <c r="G118" s="207">
        <f>SUMIFS('декабрь 2023'!$G$4:$G$1227,'декабрь 2023'!$D$4:$D$1227,$B118,'декабрь 2023'!$J$4:$J$1227,G$1)</f>
        <v>0</v>
      </c>
      <c r="H118" s="207">
        <f>SUMIFS('декабрь 2023'!$G$4:$G$1227,'декабрь 2023'!$D$4:$D$1227,$B118,'декабрь 2023'!$J$4:$J$1227,H$1)</f>
        <v>0</v>
      </c>
      <c r="I118" s="207">
        <f>SUMIFS('декабрь 2023'!$G$4:$G$1227,'декабрь 2023'!$D$4:$D$1227,$B118,'декабрь 2023'!$J$4:$J$1227,I$1)</f>
        <v>0</v>
      </c>
      <c r="J118" s="207">
        <f>SUMIFS('декабрь 2023'!$G$4:$G$1227,'декабрь 2023'!$D$4:$D$1227,$B118,'декабрь 2023'!$J$4:$J$1227,J$1)</f>
        <v>0</v>
      </c>
      <c r="K118" s="207">
        <f>SUMIFS('декабрь 2023'!$G$4:$G$1227,'декабрь 2023'!$D$4:$D$1227,$B118,'декабрь 2023'!$J$4:$J$1227,K$1)</f>
        <v>0</v>
      </c>
      <c r="L118" s="207">
        <f>SUMIFS('декабрь 2023'!$G$4:$G$1227,'декабрь 2023'!$D$4:$D$1227,$B118,'декабрь 2023'!$J$4:$J$1227,L$1)</f>
        <v>0</v>
      </c>
      <c r="M118" s="207">
        <f>SUMIFS('декабрь 2023'!$G$4:$G$1227,'декабрь 2023'!$D$4:$D$1227,$B118,'декабрь 2023'!$J$4:$J$1227,M$1)</f>
        <v>0</v>
      </c>
      <c r="N118" s="207">
        <f>SUMIFS('декабрь 2023'!$G$4:$G$1227,'декабрь 2023'!$D$4:$D$1227,$B118,'декабрь 2023'!$J$4:$J$1227,N$1)</f>
        <v>0</v>
      </c>
      <c r="O118" s="207">
        <f>SUMIFS('декабрь 2023'!$G$4:$G$1227,'декабрь 2023'!$D$4:$D$1227,$B118,'декабрь 2023'!$J$4:$J$1227,O$1)</f>
        <v>0</v>
      </c>
      <c r="P118" s="207">
        <f>SUMIFS('декабрь 2023'!$G$4:$G$1227,'декабрь 2023'!$D$4:$D$1227,$B118,'декабрь 2023'!$J$4:$J$1227,P$1)</f>
        <v>0</v>
      </c>
      <c r="Q118" s="207">
        <f>SUMIFS('декабрь 2023'!$G$4:$G$1227,'декабрь 2023'!$D$4:$D$1227,$B118,'декабрь 2023'!$J$4:$J$1227,Q$1)</f>
        <v>0</v>
      </c>
      <c r="R118" s="207">
        <f>SUMIFS('декабрь 2023'!$G$4:$G$1227,'декабрь 2023'!$D$4:$D$1227,$B118,'декабрь 2023'!$J$4:$J$1227,R$1)</f>
        <v>0</v>
      </c>
      <c r="S118" s="207">
        <f>SUMIFS('декабрь 2023'!$G$4:$G$1227,'декабрь 2023'!$D$4:$D$1227,$B118,'декабрь 2023'!$J$4:$J$1227,S$1)</f>
        <v>0</v>
      </c>
      <c r="T118" s="207">
        <f>SUMIFS('декабрь 2023'!$G$4:$G$1227,'декабрь 2023'!$D$4:$D$1227,$B118,'декабрь 2023'!$J$4:$J$1227,T$1)</f>
        <v>0</v>
      </c>
      <c r="U118" s="207">
        <f>SUMIFS('декабрь 2023'!$G$4:$G$1227,'декабрь 2023'!$D$4:$D$1227,$B118,'декабрь 2023'!$J$4:$J$1227,U$1)</f>
        <v>0</v>
      </c>
      <c r="V118" s="207">
        <f>SUMIFS('декабрь 2023'!$G$4:$G$1227,'декабрь 2023'!$D$4:$D$1227,$B118,'декабрь 2023'!$J$4:$J$1227,V$1)</f>
        <v>0</v>
      </c>
      <c r="W118" s="207">
        <f>SUMIFS('декабрь 2023'!$G$4:$G$1227,'декабрь 2023'!$D$4:$D$1227,$B118,'декабрь 2023'!$J$4:$J$1227,W$1)</f>
        <v>0</v>
      </c>
      <c r="X118" s="207">
        <f>SUMIFS('декабрь 2023'!$G$4:$G$1227,'декабрь 2023'!$D$4:$D$1227,$B118,'декабрь 2023'!$J$4:$J$1227,X$1)</f>
        <v>0</v>
      </c>
      <c r="Y118" s="207">
        <f>SUMIFS('декабрь 2023'!$G$4:$G$1227,'декабрь 2023'!$D$4:$D$1227,$B118,'декабрь 2023'!$J$4:$J$1227,Y$1)</f>
        <v>0</v>
      </c>
      <c r="Z118" s="207">
        <f>SUMIFS('декабрь 2023'!$G$4:$G$1227,'декабрь 2023'!$D$4:$D$1227,$B118,'декабрь 2023'!$J$4:$J$1227,Z$1)</f>
        <v>0</v>
      </c>
      <c r="AA118" s="207">
        <f>SUMIFS('декабрь 2023'!$G$4:$G$1227,'декабрь 2023'!$D$4:$D$1227,$B118,'декабрь 2023'!$J$4:$J$1227,AA$1)</f>
        <v>0</v>
      </c>
      <c r="AB118" s="207">
        <f>SUMIFS('декабрь 2023'!$G$4:$G$1227,'декабрь 2023'!$D$4:$D$1227,$B118,'декабрь 2023'!$J$4:$J$1227,AB$1)</f>
        <v>0</v>
      </c>
      <c r="AC118" s="207">
        <f>SUMIFS('декабрь 2023'!$G$4:$G$1227,'декабрь 2023'!$D$4:$D$1227,$B118,'декабрь 2023'!$J$4:$J$1227,AC$1)</f>
        <v>0</v>
      </c>
      <c r="AD118" s="207">
        <f>SUMIFS('декабрь 2023'!$G$4:$G$1227,'декабрь 2023'!$D$4:$D$1227,$B118,'декабрь 2023'!$J$4:$J$1227,AD$1)</f>
        <v>0</v>
      </c>
      <c r="AE118" s="207">
        <f>SUMIFS('декабрь 2023'!$G$4:$G$1227,'декабрь 2023'!$D$4:$D$1227,$B118,'декабрь 2023'!$J$4:$J$1227,AE$1)</f>
        <v>0</v>
      </c>
      <c r="AF118" s="207">
        <f>SUMIFS('декабрь 2023'!$G$4:$G$1227,'декабрь 2023'!$D$4:$D$1227,$B118,'декабрь 2023'!$J$4:$J$1227,AF$1)</f>
        <v>0</v>
      </c>
      <c r="AG118" s="207">
        <f>SUMIFS('декабрь 2023'!$G$4:$G$1227,'декабрь 2023'!$D$4:$D$1227,$B118,'декабрь 2023'!$J$4:$J$1227,AG$1)</f>
        <v>0</v>
      </c>
      <c r="AH118" s="207">
        <f>SUMIFS('декабрь 2023'!$G$4:$G$1227,'декабрь 2023'!$D$4:$D$1227,$B118,'декабрь 2023'!$J$4:$J$1227,AH$1)</f>
        <v>0</v>
      </c>
      <c r="AI118" s="170">
        <f t="shared" si="2"/>
        <v>0</v>
      </c>
    </row>
    <row r="119" spans="2:35" ht="15" customHeight="1" x14ac:dyDescent="0.25">
      <c r="B119" s="212"/>
      <c r="C119" s="211"/>
      <c r="D119" s="207">
        <f>SUMIFS('ноябрь 2023'!$G$76:$G$1127,'ноябрь 2023'!$D$76:$D$1127,$B119,'ноябрь 2023'!$J$76:$J$1127,D$1)</f>
        <v>0</v>
      </c>
      <c r="E119" s="207">
        <f>SUMIFS('ноябрь 2023'!$G$76:$G$1127,'ноябрь 2023'!$D$76:$D$1127,$B119,'ноябрь 2023'!$J$76:$J$1127,E$1)</f>
        <v>0</v>
      </c>
      <c r="F119" s="207">
        <f>SUMIFS('ноябрь 2023'!$G$76:$G$1127,'ноябрь 2023'!$D$76:$D$1127,$B119,'ноябрь 2023'!$J$76:$J$1127,F$1)</f>
        <v>0</v>
      </c>
      <c r="G119" s="207">
        <f>SUMIFS('ноябрь 2023'!$G$76:$G$1127,'ноябрь 2023'!$D$76:$D$1127,$B119,'ноябрь 2023'!$J$76:$J$1127,G$1)</f>
        <v>0</v>
      </c>
      <c r="H119" s="207">
        <f>SUMIFS('ноябрь 2023'!$G$76:$G$1127,'ноябрь 2023'!$D$76:$D$1127,$B119,'ноябрь 2023'!$J$76:$J$1127,H$1)</f>
        <v>0</v>
      </c>
      <c r="I119" s="207">
        <f>SUMIFS('ноябрь 2023'!$G$76:$G$1127,'ноябрь 2023'!$D$76:$D$1127,$B119,'ноябрь 2023'!$J$76:$J$1127,I$1)</f>
        <v>0</v>
      </c>
      <c r="J119" s="207">
        <f>SUMIFS('ноябрь 2023'!$G$76:$G$1127,'ноябрь 2023'!$D$76:$D$1127,$B119,'ноябрь 2023'!$J$76:$J$1127,J$1)</f>
        <v>0</v>
      </c>
      <c r="K119" s="207">
        <f>SUMIFS('ноябрь 2023'!$G$76:$G$1127,'ноябрь 2023'!$D$76:$D$1127,$B119,'ноябрь 2023'!$J$76:$J$1127,K$1)</f>
        <v>0</v>
      </c>
      <c r="L119" s="207">
        <f>SUMIFS('ноябрь 2023'!$G$76:$G$1127,'ноябрь 2023'!$D$76:$D$1127,$B119,'ноябрь 2023'!$J$76:$J$1127,L$1)</f>
        <v>0</v>
      </c>
      <c r="M119" s="207">
        <f>SUMIFS('ноябрь 2023'!$G$76:$G$1127,'ноябрь 2023'!$D$76:$D$1127,$B119,'ноябрь 2023'!$J$76:$J$1127,M$1)</f>
        <v>0</v>
      </c>
      <c r="N119" s="207">
        <f>SUMIFS('ноябрь 2023'!$G$76:$G$1127,'ноябрь 2023'!$D$76:$D$1127,$B119,'ноябрь 2023'!$J$76:$J$1127,N$1)</f>
        <v>0</v>
      </c>
      <c r="O119" s="207">
        <f>SUMIFS('ноябрь 2023'!$G$76:$G$1127,'ноябрь 2023'!$D$76:$D$1127,$B119,'ноябрь 2023'!$J$76:$J$1127,O$1)</f>
        <v>0</v>
      </c>
      <c r="P119" s="207">
        <f>SUMIFS('ноябрь 2023'!$G$76:$G$1127,'ноябрь 2023'!$D$76:$D$1127,$B119,'ноябрь 2023'!$J$76:$J$1127,P$1)</f>
        <v>0</v>
      </c>
      <c r="Q119" s="207">
        <f>SUMIFS('ноябрь 2023'!$G$76:$G$1127,'ноябрь 2023'!$D$76:$D$1127,$B119,'ноябрь 2023'!$J$76:$J$1127,Q$1)</f>
        <v>0</v>
      </c>
      <c r="R119" s="207">
        <f>SUMIFS('ноябрь 2023'!$G$76:$G$1127,'ноябрь 2023'!$D$76:$D$1127,$B119,'ноябрь 2023'!$J$76:$J$1127,R$1)</f>
        <v>0</v>
      </c>
      <c r="S119" s="207">
        <f>SUMIFS('ноябрь 2023'!$G$76:$G$1127,'ноябрь 2023'!$D$76:$D$1127,$B119,'ноябрь 2023'!$J$76:$J$1127,S$1)</f>
        <v>0</v>
      </c>
      <c r="T119" s="207">
        <f>SUMIFS('ноябрь 2023'!$G$76:$G$1127,'ноябрь 2023'!$D$76:$D$1127,$B119,'ноябрь 2023'!$J$76:$J$1127,T$1)</f>
        <v>0</v>
      </c>
      <c r="U119" s="207">
        <f>SUMIFS('ноябрь 2023'!$G$76:$G$1127,'ноябрь 2023'!$D$76:$D$1127,$B119,'ноябрь 2023'!$J$76:$J$1127,U$1)</f>
        <v>0</v>
      </c>
      <c r="V119" s="207">
        <f>SUMIFS('ноябрь 2023'!$G$76:$G$1127,'ноябрь 2023'!$D$76:$D$1127,$B119,'ноябрь 2023'!$J$76:$J$1127,V$1)</f>
        <v>0</v>
      </c>
      <c r="W119" s="207">
        <f>SUMIFS('ноябрь 2023'!$G$76:$G$1127,'ноябрь 2023'!$D$76:$D$1127,$B119,'ноябрь 2023'!$J$76:$J$1127,W$1)</f>
        <v>0</v>
      </c>
      <c r="X119" s="207">
        <f>SUMIFS('ноябрь 2023'!$G$76:$G$1127,'ноябрь 2023'!$D$76:$D$1127,$B119,'ноябрь 2023'!$J$76:$J$1127,X$1)</f>
        <v>0</v>
      </c>
      <c r="Y119" s="207">
        <f>SUMIFS('ноябрь 2023'!$G$76:$G$1127,'ноябрь 2023'!$D$76:$D$1127,$B119,'ноябрь 2023'!$J$76:$J$1127,Y$1)</f>
        <v>0</v>
      </c>
      <c r="Z119" s="207">
        <f>SUMIFS('ноябрь 2023'!$G$76:$G$1127,'ноябрь 2023'!$D$76:$D$1127,$B119,'ноябрь 2023'!$J$76:$J$1127,Z$1)</f>
        <v>0</v>
      </c>
      <c r="AA119" s="207">
        <f>SUMIFS('ноябрь 2023'!$G$76:$G$1127,'ноябрь 2023'!$D$76:$D$1127,$B119,'ноябрь 2023'!$J$76:$J$1127,AA$1)</f>
        <v>0</v>
      </c>
      <c r="AB119" s="207">
        <f>SUMIFS('ноябрь 2023'!$G$76:$G$1127,'ноябрь 2023'!$D$76:$D$1127,$B119,'ноябрь 2023'!$J$76:$J$1127,AB$1)</f>
        <v>0</v>
      </c>
      <c r="AC119" s="207">
        <f>SUMIFS('ноябрь 2023'!$G$76:$G$1127,'ноябрь 2023'!$D$76:$D$1127,$B119,'ноябрь 2023'!$J$76:$J$1127,AC$1)</f>
        <v>0</v>
      </c>
      <c r="AD119" s="207">
        <f>SUMIFS('ноябрь 2023'!$G$76:$G$1127,'ноябрь 2023'!$D$76:$D$1127,$B119,'ноябрь 2023'!$J$76:$J$1127,AD$1)</f>
        <v>0</v>
      </c>
      <c r="AE119" s="207">
        <f>SUMIFS('ноябрь 2023'!$G$76:$G$1127,'ноябрь 2023'!$D$76:$D$1127,$B119,'ноябрь 2023'!$J$76:$J$1127,AE$1)</f>
        <v>0</v>
      </c>
      <c r="AF119" s="207">
        <f>SUMIFS('ноябрь 2023'!$G$76:$G$1127,'ноябрь 2023'!$D$76:$D$1127,$B119,'ноябрь 2023'!$J$76:$J$1127,AF$1)</f>
        <v>0</v>
      </c>
      <c r="AG119" s="207">
        <f>SUMIFS('ноябрь 2023'!$G$76:$G$1127,'ноябрь 2023'!$D$76:$D$1127,$B119,'ноябрь 2023'!$J$76:$J$1127,AG$1)</f>
        <v>0</v>
      </c>
      <c r="AH119" s="207">
        <f>SUMIFS('ноябрь 2023'!$G$76:$G$1127,'ноябрь 2023'!$D$76:$D$1127,$B119,'ноябрь 2023'!$J$76:$J$1127,AH$1)</f>
        <v>0</v>
      </c>
      <c r="AI119" s="170">
        <f t="shared" si="2"/>
        <v>0</v>
      </c>
    </row>
    <row r="120" spans="2:35" ht="15" customHeight="1" x14ac:dyDescent="0.25">
      <c r="B120" s="212"/>
      <c r="C120" s="211"/>
      <c r="D120" s="207">
        <f>SUMIFS('ноябрь 2023'!$G$76:$G$1127,'ноябрь 2023'!$D$76:$D$1127,$B120,'ноябрь 2023'!$J$76:$J$1127,D$1)</f>
        <v>0</v>
      </c>
      <c r="E120" s="207">
        <f>SUMIFS('ноябрь 2023'!$G$76:$G$1127,'ноябрь 2023'!$D$76:$D$1127,$B120,'ноябрь 2023'!$J$76:$J$1127,E$1)</f>
        <v>0</v>
      </c>
      <c r="F120" s="207">
        <f>SUMIFS('ноябрь 2023'!$G$76:$G$1127,'ноябрь 2023'!$D$76:$D$1127,$B120,'ноябрь 2023'!$J$76:$J$1127,F$1)</f>
        <v>0</v>
      </c>
      <c r="G120" s="207">
        <f>SUMIFS('ноябрь 2023'!$G$76:$G$1127,'ноябрь 2023'!$D$76:$D$1127,$B120,'ноябрь 2023'!$J$76:$J$1127,G$1)</f>
        <v>0</v>
      </c>
      <c r="H120" s="207">
        <f>SUMIFS('ноябрь 2023'!$G$76:$G$1127,'ноябрь 2023'!$D$76:$D$1127,$B120,'ноябрь 2023'!$J$76:$J$1127,H$1)</f>
        <v>0</v>
      </c>
      <c r="I120" s="207">
        <f>SUMIFS('ноябрь 2023'!$G$76:$G$1127,'ноябрь 2023'!$D$76:$D$1127,$B120,'ноябрь 2023'!$J$76:$J$1127,I$1)</f>
        <v>0</v>
      </c>
      <c r="J120" s="207">
        <f>SUMIFS('ноябрь 2023'!$G$76:$G$1127,'ноябрь 2023'!$D$76:$D$1127,$B120,'ноябрь 2023'!$J$76:$J$1127,J$1)</f>
        <v>0</v>
      </c>
      <c r="K120" s="207">
        <f>SUMIFS('ноябрь 2023'!$G$76:$G$1127,'ноябрь 2023'!$D$76:$D$1127,$B120,'ноябрь 2023'!$J$76:$J$1127,K$1)</f>
        <v>0</v>
      </c>
      <c r="L120" s="207">
        <f>SUMIFS('ноябрь 2023'!$G$76:$G$1127,'ноябрь 2023'!$D$76:$D$1127,$B120,'ноябрь 2023'!$J$76:$J$1127,L$1)</f>
        <v>0</v>
      </c>
      <c r="M120" s="207">
        <f>SUMIFS('ноябрь 2023'!$G$76:$G$1127,'ноябрь 2023'!$D$76:$D$1127,$B120,'ноябрь 2023'!$J$76:$J$1127,M$1)</f>
        <v>0</v>
      </c>
      <c r="N120" s="207">
        <f>SUMIFS('ноябрь 2023'!$G$76:$G$1127,'ноябрь 2023'!$D$76:$D$1127,$B120,'ноябрь 2023'!$J$76:$J$1127,N$1)</f>
        <v>0</v>
      </c>
      <c r="O120" s="207">
        <f>SUMIFS('ноябрь 2023'!$G$76:$G$1127,'ноябрь 2023'!$D$76:$D$1127,$B120,'ноябрь 2023'!$J$76:$J$1127,O$1)</f>
        <v>0</v>
      </c>
      <c r="P120" s="207">
        <f>SUMIFS('ноябрь 2023'!$G$76:$G$1127,'ноябрь 2023'!$D$76:$D$1127,$B120,'ноябрь 2023'!$J$76:$J$1127,P$1)</f>
        <v>0</v>
      </c>
      <c r="Q120" s="207">
        <f>SUMIFS('ноябрь 2023'!$G$76:$G$1127,'ноябрь 2023'!$D$76:$D$1127,$B120,'ноябрь 2023'!$J$76:$J$1127,Q$1)</f>
        <v>0</v>
      </c>
      <c r="R120" s="207">
        <f>SUMIFS('ноябрь 2023'!$G$76:$G$1127,'ноябрь 2023'!$D$76:$D$1127,$B120,'ноябрь 2023'!$J$76:$J$1127,R$1)</f>
        <v>0</v>
      </c>
      <c r="S120" s="207">
        <f>SUMIFS('ноябрь 2023'!$G$76:$G$1127,'ноябрь 2023'!$D$76:$D$1127,$B120,'ноябрь 2023'!$J$76:$J$1127,S$1)</f>
        <v>0</v>
      </c>
      <c r="T120" s="207">
        <f>SUMIFS('ноябрь 2023'!$G$76:$G$1127,'ноябрь 2023'!$D$76:$D$1127,$B120,'ноябрь 2023'!$J$76:$J$1127,T$1)</f>
        <v>0</v>
      </c>
      <c r="U120" s="207">
        <f>SUMIFS('ноябрь 2023'!$G$76:$G$1127,'ноябрь 2023'!$D$76:$D$1127,$B120,'ноябрь 2023'!$J$76:$J$1127,U$1)</f>
        <v>0</v>
      </c>
      <c r="V120" s="207">
        <f>SUMIFS('ноябрь 2023'!$G$76:$G$1127,'ноябрь 2023'!$D$76:$D$1127,$B120,'ноябрь 2023'!$J$76:$J$1127,V$1)</f>
        <v>0</v>
      </c>
      <c r="W120" s="207">
        <f>SUMIFS('ноябрь 2023'!$G$76:$G$1127,'ноябрь 2023'!$D$76:$D$1127,$B120,'ноябрь 2023'!$J$76:$J$1127,W$1)</f>
        <v>0</v>
      </c>
      <c r="X120" s="207">
        <f>SUMIFS('ноябрь 2023'!$G$76:$G$1127,'ноябрь 2023'!$D$76:$D$1127,$B120,'ноябрь 2023'!$J$76:$J$1127,X$1)</f>
        <v>0</v>
      </c>
      <c r="Y120" s="207">
        <f>SUMIFS('ноябрь 2023'!$G$76:$G$1127,'ноябрь 2023'!$D$76:$D$1127,$B120,'ноябрь 2023'!$J$76:$J$1127,Y$1)</f>
        <v>0</v>
      </c>
      <c r="Z120" s="207">
        <f>SUMIFS('ноябрь 2023'!$G$76:$G$1127,'ноябрь 2023'!$D$76:$D$1127,$B120,'ноябрь 2023'!$J$76:$J$1127,Z$1)</f>
        <v>0</v>
      </c>
      <c r="AA120" s="207">
        <f>SUMIFS('ноябрь 2023'!$G$76:$G$1127,'ноябрь 2023'!$D$76:$D$1127,$B120,'ноябрь 2023'!$J$76:$J$1127,AA$1)</f>
        <v>0</v>
      </c>
      <c r="AB120" s="207">
        <f>SUMIFS('ноябрь 2023'!$G$76:$G$1127,'ноябрь 2023'!$D$76:$D$1127,$B120,'ноябрь 2023'!$J$76:$J$1127,AB$1)</f>
        <v>0</v>
      </c>
      <c r="AC120" s="207">
        <f>SUMIFS('ноябрь 2023'!$G$76:$G$1127,'ноябрь 2023'!$D$76:$D$1127,$B120,'ноябрь 2023'!$J$76:$J$1127,AC$1)</f>
        <v>0</v>
      </c>
      <c r="AD120" s="207">
        <f>SUMIFS('ноябрь 2023'!$G$76:$G$1127,'ноябрь 2023'!$D$76:$D$1127,$B120,'ноябрь 2023'!$J$76:$J$1127,AD$1)</f>
        <v>0</v>
      </c>
      <c r="AE120" s="207">
        <f>SUMIFS('ноябрь 2023'!$G$76:$G$1127,'ноябрь 2023'!$D$76:$D$1127,$B120,'ноябрь 2023'!$J$76:$J$1127,AE$1)</f>
        <v>0</v>
      </c>
      <c r="AF120" s="207">
        <f>SUMIFS('ноябрь 2023'!$G$76:$G$1127,'ноябрь 2023'!$D$76:$D$1127,$B120,'ноябрь 2023'!$J$76:$J$1127,AF$1)</f>
        <v>0</v>
      </c>
      <c r="AG120" s="207">
        <f>SUMIFS('ноябрь 2023'!$G$76:$G$1127,'ноябрь 2023'!$D$76:$D$1127,$B120,'ноябрь 2023'!$J$76:$J$1127,AG$1)</f>
        <v>0</v>
      </c>
      <c r="AH120" s="207">
        <f>SUMIFS('ноябрь 2023'!$G$76:$G$1127,'ноябрь 2023'!$D$76:$D$1127,$B120,'ноябрь 2023'!$J$76:$J$1127,AH$1)</f>
        <v>0</v>
      </c>
      <c r="AI120" s="170">
        <f t="shared" si="2"/>
        <v>0</v>
      </c>
    </row>
    <row r="121" spans="2:35" ht="15" customHeight="1" x14ac:dyDescent="0.25">
      <c r="B121" s="212"/>
      <c r="C121" s="213"/>
      <c r="D121" s="207">
        <f>SUMIFS('ноябрь 2023'!$G$76:$G$1127,'ноябрь 2023'!$D$76:$D$1127,$B121,'ноябрь 2023'!$J$76:$J$1127,D$1)</f>
        <v>0</v>
      </c>
      <c r="E121" s="207">
        <f>SUMIFS('ноябрь 2023'!$G$76:$G$1127,'ноябрь 2023'!$D$76:$D$1127,$B121,'ноябрь 2023'!$J$76:$J$1127,E$1)</f>
        <v>0</v>
      </c>
      <c r="F121" s="207">
        <f>SUMIFS('ноябрь 2023'!$G$76:$G$1127,'ноябрь 2023'!$D$76:$D$1127,$B121,'ноябрь 2023'!$J$76:$J$1127,F$1)</f>
        <v>0</v>
      </c>
      <c r="G121" s="207">
        <f>SUMIFS('ноябрь 2023'!$G$76:$G$1127,'ноябрь 2023'!$D$76:$D$1127,$B121,'ноябрь 2023'!$J$76:$J$1127,G$1)</f>
        <v>0</v>
      </c>
      <c r="H121" s="207">
        <f>SUMIFS('ноябрь 2023'!$G$76:$G$1127,'ноябрь 2023'!$D$76:$D$1127,$B121,'ноябрь 2023'!$J$76:$J$1127,H$1)</f>
        <v>0</v>
      </c>
      <c r="I121" s="207">
        <f>SUMIFS('ноябрь 2023'!$G$76:$G$1127,'ноябрь 2023'!$D$76:$D$1127,$B121,'ноябрь 2023'!$J$76:$J$1127,I$1)</f>
        <v>0</v>
      </c>
      <c r="J121" s="207">
        <f>SUMIFS('ноябрь 2023'!$G$76:$G$1127,'ноябрь 2023'!$D$76:$D$1127,$B121,'ноябрь 2023'!$J$76:$J$1127,J$1)</f>
        <v>0</v>
      </c>
      <c r="K121" s="207">
        <f>SUMIFS('ноябрь 2023'!$G$76:$G$1127,'ноябрь 2023'!$D$76:$D$1127,$B121,'ноябрь 2023'!$J$76:$J$1127,K$1)</f>
        <v>0</v>
      </c>
      <c r="L121" s="207">
        <f>SUMIFS('ноябрь 2023'!$G$76:$G$1127,'ноябрь 2023'!$D$76:$D$1127,$B121,'ноябрь 2023'!$J$76:$J$1127,L$1)</f>
        <v>0</v>
      </c>
      <c r="M121" s="207">
        <f>SUMIFS('ноябрь 2023'!$G$76:$G$1127,'ноябрь 2023'!$D$76:$D$1127,$B121,'ноябрь 2023'!$J$76:$J$1127,M$1)</f>
        <v>0</v>
      </c>
      <c r="N121" s="207">
        <f>SUMIFS('ноябрь 2023'!$G$76:$G$1127,'ноябрь 2023'!$D$76:$D$1127,$B121,'ноябрь 2023'!$J$76:$J$1127,N$1)</f>
        <v>0</v>
      </c>
      <c r="O121" s="207">
        <f>SUMIFS('ноябрь 2023'!$G$76:$G$1127,'ноябрь 2023'!$D$76:$D$1127,$B121,'ноябрь 2023'!$J$76:$J$1127,O$1)</f>
        <v>0</v>
      </c>
      <c r="P121" s="207">
        <f>SUMIFS('ноябрь 2023'!$G$76:$G$1127,'ноябрь 2023'!$D$76:$D$1127,$B121,'ноябрь 2023'!$J$76:$J$1127,P$1)</f>
        <v>0</v>
      </c>
      <c r="Q121" s="207">
        <f>SUMIFS('ноябрь 2023'!$G$76:$G$1127,'ноябрь 2023'!$D$76:$D$1127,$B121,'ноябрь 2023'!$J$76:$J$1127,Q$1)</f>
        <v>0</v>
      </c>
      <c r="R121" s="207">
        <f>SUMIFS('ноябрь 2023'!$G$76:$G$1127,'ноябрь 2023'!$D$76:$D$1127,$B121,'ноябрь 2023'!$J$76:$J$1127,R$1)</f>
        <v>0</v>
      </c>
      <c r="S121" s="207">
        <f>SUMIFS('ноябрь 2023'!$G$76:$G$1127,'ноябрь 2023'!$D$76:$D$1127,$B121,'ноябрь 2023'!$J$76:$J$1127,S$1)</f>
        <v>0</v>
      </c>
      <c r="T121" s="207">
        <f>SUMIFS('ноябрь 2023'!$G$76:$G$1127,'ноябрь 2023'!$D$76:$D$1127,$B121,'ноябрь 2023'!$J$76:$J$1127,T$1)</f>
        <v>0</v>
      </c>
      <c r="U121" s="207">
        <f>SUMIFS('ноябрь 2023'!$G$76:$G$1127,'ноябрь 2023'!$D$76:$D$1127,$B121,'ноябрь 2023'!$J$76:$J$1127,U$1)</f>
        <v>0</v>
      </c>
      <c r="V121" s="207">
        <f>SUMIFS('ноябрь 2023'!$G$76:$G$1127,'ноябрь 2023'!$D$76:$D$1127,$B121,'ноябрь 2023'!$J$76:$J$1127,V$1)</f>
        <v>0</v>
      </c>
      <c r="W121" s="207">
        <f>SUMIFS('ноябрь 2023'!$G$76:$G$1127,'ноябрь 2023'!$D$76:$D$1127,$B121,'ноябрь 2023'!$J$76:$J$1127,W$1)</f>
        <v>0</v>
      </c>
      <c r="X121" s="207">
        <f>SUMIFS('ноябрь 2023'!$G$76:$G$1127,'ноябрь 2023'!$D$76:$D$1127,$B121,'ноябрь 2023'!$J$76:$J$1127,X$1)</f>
        <v>0</v>
      </c>
      <c r="Y121" s="207">
        <f>SUMIFS('ноябрь 2023'!$G$76:$G$1127,'ноябрь 2023'!$D$76:$D$1127,$B121,'ноябрь 2023'!$J$76:$J$1127,Y$1)</f>
        <v>0</v>
      </c>
      <c r="Z121" s="207">
        <f>SUMIFS('ноябрь 2023'!$G$76:$G$1127,'ноябрь 2023'!$D$76:$D$1127,$B121,'ноябрь 2023'!$J$76:$J$1127,Z$1)</f>
        <v>0</v>
      </c>
      <c r="AA121" s="207">
        <f>SUMIFS('ноябрь 2023'!$G$76:$G$1127,'ноябрь 2023'!$D$76:$D$1127,$B121,'ноябрь 2023'!$J$76:$J$1127,AA$1)</f>
        <v>0</v>
      </c>
      <c r="AB121" s="207">
        <f>SUMIFS('ноябрь 2023'!$G$76:$G$1127,'ноябрь 2023'!$D$76:$D$1127,$B121,'ноябрь 2023'!$J$76:$J$1127,AB$1)</f>
        <v>0</v>
      </c>
      <c r="AC121" s="207">
        <f>SUMIFS('ноябрь 2023'!$G$76:$G$1127,'ноябрь 2023'!$D$76:$D$1127,$B121,'ноябрь 2023'!$J$76:$J$1127,AC$1)</f>
        <v>0</v>
      </c>
      <c r="AD121" s="207">
        <f>SUMIFS('ноябрь 2023'!$G$76:$G$1127,'ноябрь 2023'!$D$76:$D$1127,$B121,'ноябрь 2023'!$J$76:$J$1127,AD$1)</f>
        <v>0</v>
      </c>
      <c r="AE121" s="207">
        <f>SUMIFS('ноябрь 2023'!$G$76:$G$1127,'ноябрь 2023'!$D$76:$D$1127,$B121,'ноябрь 2023'!$J$76:$J$1127,AE$1)</f>
        <v>0</v>
      </c>
      <c r="AF121" s="207">
        <f>SUMIFS('ноябрь 2023'!$G$76:$G$1127,'ноябрь 2023'!$D$76:$D$1127,$B121,'ноябрь 2023'!$J$76:$J$1127,AF$1)</f>
        <v>0</v>
      </c>
      <c r="AG121" s="207">
        <f>SUMIFS('ноябрь 2023'!$G$76:$G$1127,'ноябрь 2023'!$D$76:$D$1127,$B121,'ноябрь 2023'!$J$76:$J$1127,AG$1)</f>
        <v>0</v>
      </c>
      <c r="AH121" s="207">
        <f>SUMIFS('ноябрь 2023'!$G$76:$G$1127,'ноябрь 2023'!$D$76:$D$1127,$B121,'ноябрь 2023'!$J$76:$J$1127,AH$1)</f>
        <v>0</v>
      </c>
      <c r="AI121" s="170">
        <f t="shared" si="2"/>
        <v>0</v>
      </c>
    </row>
    <row r="122" spans="2:35" ht="15" customHeight="1" x14ac:dyDescent="0.25">
      <c r="B122" s="216"/>
      <c r="C122" s="213"/>
      <c r="D122" s="207">
        <f>SUMIFS('ноябрь 2023'!$G$76:$G$1127,'ноябрь 2023'!$D$76:$D$1127,$B122,'ноябрь 2023'!$J$76:$J$1127,D$1)</f>
        <v>0</v>
      </c>
      <c r="E122" s="207">
        <f>SUMIFS('ноябрь 2023'!$G$76:$G$1127,'ноябрь 2023'!$D$76:$D$1127,$B122,'ноябрь 2023'!$J$76:$J$1127,E$1)</f>
        <v>0</v>
      </c>
      <c r="F122" s="207">
        <f>SUMIFS('ноябрь 2023'!$G$76:$G$1127,'ноябрь 2023'!$D$76:$D$1127,$B122,'ноябрь 2023'!$J$76:$J$1127,F$1)</f>
        <v>0</v>
      </c>
      <c r="G122" s="207">
        <f>SUMIFS('ноябрь 2023'!$G$76:$G$1127,'ноябрь 2023'!$D$76:$D$1127,$B122,'ноябрь 2023'!$J$76:$J$1127,G$1)</f>
        <v>0</v>
      </c>
      <c r="H122" s="207">
        <f>SUMIFS('ноябрь 2023'!$G$76:$G$1127,'ноябрь 2023'!$D$76:$D$1127,$B122,'ноябрь 2023'!$J$76:$J$1127,H$1)</f>
        <v>0</v>
      </c>
      <c r="I122" s="207">
        <f>SUMIFS('ноябрь 2023'!$G$76:$G$1127,'ноябрь 2023'!$D$76:$D$1127,$B122,'ноябрь 2023'!$J$76:$J$1127,I$1)</f>
        <v>0</v>
      </c>
      <c r="J122" s="207">
        <f>SUMIFS('ноябрь 2023'!$G$76:$G$1127,'ноябрь 2023'!$D$76:$D$1127,$B122,'ноябрь 2023'!$J$76:$J$1127,J$1)</f>
        <v>0</v>
      </c>
      <c r="K122" s="207">
        <f>SUMIFS('ноябрь 2023'!$G$76:$G$1127,'ноябрь 2023'!$D$76:$D$1127,$B122,'ноябрь 2023'!$J$76:$J$1127,K$1)</f>
        <v>0</v>
      </c>
      <c r="L122" s="207">
        <f>SUMIFS('ноябрь 2023'!$G$76:$G$1127,'ноябрь 2023'!$D$76:$D$1127,$B122,'ноябрь 2023'!$J$76:$J$1127,L$1)</f>
        <v>0</v>
      </c>
      <c r="M122" s="207">
        <f>SUMIFS('ноябрь 2023'!$G$76:$G$1127,'ноябрь 2023'!$D$76:$D$1127,$B122,'ноябрь 2023'!$J$76:$J$1127,M$1)</f>
        <v>0</v>
      </c>
      <c r="N122" s="207">
        <f>SUMIFS('ноябрь 2023'!$G$76:$G$1127,'ноябрь 2023'!$D$76:$D$1127,$B122,'ноябрь 2023'!$J$76:$J$1127,N$1)</f>
        <v>0</v>
      </c>
      <c r="O122" s="207">
        <f>SUMIFS('ноябрь 2023'!$G$76:$G$1127,'ноябрь 2023'!$D$76:$D$1127,$B122,'ноябрь 2023'!$J$76:$J$1127,O$1)</f>
        <v>0</v>
      </c>
      <c r="P122" s="207">
        <f>SUMIFS('ноябрь 2023'!$G$76:$G$1127,'ноябрь 2023'!$D$76:$D$1127,$B122,'ноябрь 2023'!$J$76:$J$1127,P$1)</f>
        <v>0</v>
      </c>
      <c r="Q122" s="207">
        <f>SUMIFS('ноябрь 2023'!$G$76:$G$1127,'ноябрь 2023'!$D$76:$D$1127,$B122,'ноябрь 2023'!$J$76:$J$1127,Q$1)</f>
        <v>0</v>
      </c>
      <c r="R122" s="207">
        <f>SUMIFS('ноябрь 2023'!$G$76:$G$1127,'ноябрь 2023'!$D$76:$D$1127,$B122,'ноябрь 2023'!$J$76:$J$1127,R$1)</f>
        <v>0</v>
      </c>
      <c r="S122" s="207">
        <f>SUMIFS('ноябрь 2023'!$G$76:$G$1127,'ноябрь 2023'!$D$76:$D$1127,$B122,'ноябрь 2023'!$J$76:$J$1127,S$1)</f>
        <v>0</v>
      </c>
      <c r="T122" s="207">
        <f>SUMIFS('ноябрь 2023'!$G$76:$G$1127,'ноябрь 2023'!$D$76:$D$1127,$B122,'ноябрь 2023'!$J$76:$J$1127,T$1)</f>
        <v>0</v>
      </c>
      <c r="U122" s="207">
        <f>SUMIFS('ноябрь 2023'!$G$76:$G$1127,'ноябрь 2023'!$D$76:$D$1127,$B122,'ноябрь 2023'!$J$76:$J$1127,U$1)</f>
        <v>0</v>
      </c>
      <c r="V122" s="207">
        <f>SUMIFS('ноябрь 2023'!$G$76:$G$1127,'ноябрь 2023'!$D$76:$D$1127,$B122,'ноябрь 2023'!$J$76:$J$1127,V$1)</f>
        <v>0</v>
      </c>
      <c r="W122" s="207">
        <f>SUMIFS('ноябрь 2023'!$G$76:$G$1127,'ноябрь 2023'!$D$76:$D$1127,$B122,'ноябрь 2023'!$J$76:$J$1127,W$1)</f>
        <v>0</v>
      </c>
      <c r="X122" s="207">
        <f>SUMIFS('ноябрь 2023'!$G$76:$G$1127,'ноябрь 2023'!$D$76:$D$1127,$B122,'ноябрь 2023'!$J$76:$J$1127,X$1)</f>
        <v>0</v>
      </c>
      <c r="Y122" s="207">
        <f>SUMIFS('ноябрь 2023'!$G$76:$G$1127,'ноябрь 2023'!$D$76:$D$1127,$B122,'ноябрь 2023'!$J$76:$J$1127,Y$1)</f>
        <v>0</v>
      </c>
      <c r="Z122" s="207">
        <f>SUMIFS('ноябрь 2023'!$G$76:$G$1127,'ноябрь 2023'!$D$76:$D$1127,$B122,'ноябрь 2023'!$J$76:$J$1127,Z$1)</f>
        <v>0</v>
      </c>
      <c r="AA122" s="207">
        <f>SUMIFS('ноябрь 2023'!$G$76:$G$1127,'ноябрь 2023'!$D$76:$D$1127,$B122,'ноябрь 2023'!$J$76:$J$1127,AA$1)</f>
        <v>0</v>
      </c>
      <c r="AB122" s="207">
        <f>SUMIFS('ноябрь 2023'!$G$76:$G$1127,'ноябрь 2023'!$D$76:$D$1127,$B122,'ноябрь 2023'!$J$76:$J$1127,AB$1)</f>
        <v>0</v>
      </c>
      <c r="AC122" s="207">
        <f>SUMIFS('ноябрь 2023'!$G$76:$G$1127,'ноябрь 2023'!$D$76:$D$1127,$B122,'ноябрь 2023'!$J$76:$J$1127,AC$1)</f>
        <v>0</v>
      </c>
      <c r="AD122" s="207">
        <f>SUMIFS('ноябрь 2023'!$G$76:$G$1127,'ноябрь 2023'!$D$76:$D$1127,$B122,'ноябрь 2023'!$J$76:$J$1127,AD$1)</f>
        <v>0</v>
      </c>
      <c r="AE122" s="207">
        <f>SUMIFS('ноябрь 2023'!$G$76:$G$1127,'ноябрь 2023'!$D$76:$D$1127,$B122,'ноябрь 2023'!$J$76:$J$1127,AE$1)</f>
        <v>0</v>
      </c>
      <c r="AF122" s="207">
        <f>SUMIFS('ноябрь 2023'!$G$76:$G$1127,'ноябрь 2023'!$D$76:$D$1127,$B122,'ноябрь 2023'!$J$76:$J$1127,AF$1)</f>
        <v>0</v>
      </c>
      <c r="AG122" s="207">
        <f>SUMIFS('ноябрь 2023'!$G$76:$G$1127,'ноябрь 2023'!$D$76:$D$1127,$B122,'ноябрь 2023'!$J$76:$J$1127,AG$1)</f>
        <v>0</v>
      </c>
      <c r="AH122" s="207">
        <f>SUMIFS('ноябрь 2023'!$G$76:$G$1127,'ноябрь 2023'!$D$76:$D$1127,$B122,'ноябрь 2023'!$J$76:$J$1127,AH$1)</f>
        <v>0</v>
      </c>
      <c r="AI122" s="170">
        <f t="shared" si="2"/>
        <v>0</v>
      </c>
    </row>
    <row r="123" spans="2:35" ht="15" customHeight="1" x14ac:dyDescent="0.25">
      <c r="B123" s="212"/>
      <c r="C123" s="211"/>
      <c r="D123" s="207">
        <f>SUMIFS('ноябрь 2023'!$G$76:$G$1127,'ноябрь 2023'!$D$76:$D$1127,$B123,'ноябрь 2023'!$J$76:$J$1127,D$1)</f>
        <v>0</v>
      </c>
      <c r="E123" s="207">
        <f>SUMIFS('ноябрь 2023'!$G$76:$G$1127,'ноябрь 2023'!$D$76:$D$1127,$B123,'ноябрь 2023'!$J$76:$J$1127,E$1)</f>
        <v>0</v>
      </c>
      <c r="F123" s="207">
        <f>SUMIFS('ноябрь 2023'!$G$76:$G$1127,'ноябрь 2023'!$D$76:$D$1127,$B123,'ноябрь 2023'!$J$76:$J$1127,F$1)</f>
        <v>0</v>
      </c>
      <c r="G123" s="207">
        <f>SUMIFS('ноябрь 2023'!$G$76:$G$1127,'ноябрь 2023'!$D$76:$D$1127,$B123,'ноябрь 2023'!$J$76:$J$1127,G$1)</f>
        <v>0</v>
      </c>
      <c r="H123" s="207">
        <f>SUMIFS('ноябрь 2023'!$G$76:$G$1127,'ноябрь 2023'!$D$76:$D$1127,$B123,'ноябрь 2023'!$J$76:$J$1127,H$1)</f>
        <v>0</v>
      </c>
      <c r="I123" s="207">
        <f>SUMIFS('ноябрь 2023'!$G$76:$G$1127,'ноябрь 2023'!$D$76:$D$1127,$B123,'ноябрь 2023'!$J$76:$J$1127,I$1)</f>
        <v>0</v>
      </c>
      <c r="J123" s="207">
        <f>SUMIFS('ноябрь 2023'!$G$76:$G$1127,'ноябрь 2023'!$D$76:$D$1127,$B123,'ноябрь 2023'!$J$76:$J$1127,J$1)</f>
        <v>0</v>
      </c>
      <c r="K123" s="207">
        <f>SUMIFS('ноябрь 2023'!$G$76:$G$1127,'ноябрь 2023'!$D$76:$D$1127,$B123,'ноябрь 2023'!$J$76:$J$1127,K$1)</f>
        <v>0</v>
      </c>
      <c r="L123" s="207">
        <f>SUMIFS('ноябрь 2023'!$G$76:$G$1127,'ноябрь 2023'!$D$76:$D$1127,$B123,'ноябрь 2023'!$J$76:$J$1127,L$1)</f>
        <v>0</v>
      </c>
      <c r="M123" s="207">
        <f>SUMIFS('ноябрь 2023'!$G$76:$G$1127,'ноябрь 2023'!$D$76:$D$1127,$B123,'ноябрь 2023'!$J$76:$J$1127,M$1)</f>
        <v>0</v>
      </c>
      <c r="N123" s="207">
        <f>SUMIFS('ноябрь 2023'!$G$76:$G$1127,'ноябрь 2023'!$D$76:$D$1127,$B123,'ноябрь 2023'!$J$76:$J$1127,N$1)</f>
        <v>0</v>
      </c>
      <c r="O123" s="207">
        <f>SUMIFS('ноябрь 2023'!$G$76:$G$1127,'ноябрь 2023'!$D$76:$D$1127,$B123,'ноябрь 2023'!$J$76:$J$1127,O$1)</f>
        <v>0</v>
      </c>
      <c r="P123" s="207">
        <f>SUMIFS('ноябрь 2023'!$G$76:$G$1127,'ноябрь 2023'!$D$76:$D$1127,$B123,'ноябрь 2023'!$J$76:$J$1127,P$1)</f>
        <v>0</v>
      </c>
      <c r="Q123" s="207">
        <f>SUMIFS('ноябрь 2023'!$G$76:$G$1127,'ноябрь 2023'!$D$76:$D$1127,$B123,'ноябрь 2023'!$J$76:$J$1127,Q$1)</f>
        <v>0</v>
      </c>
      <c r="R123" s="207">
        <f>SUMIFS('ноябрь 2023'!$G$76:$G$1127,'ноябрь 2023'!$D$76:$D$1127,$B123,'ноябрь 2023'!$J$76:$J$1127,R$1)</f>
        <v>0</v>
      </c>
      <c r="S123" s="207">
        <f>SUMIFS('ноябрь 2023'!$G$76:$G$1127,'ноябрь 2023'!$D$76:$D$1127,$B123,'ноябрь 2023'!$J$76:$J$1127,S$1)</f>
        <v>0</v>
      </c>
      <c r="T123" s="207">
        <f>SUMIFS('ноябрь 2023'!$G$76:$G$1127,'ноябрь 2023'!$D$76:$D$1127,$B123,'ноябрь 2023'!$J$76:$J$1127,T$1)</f>
        <v>0</v>
      </c>
      <c r="U123" s="207">
        <f>SUMIFS('ноябрь 2023'!$G$76:$G$1127,'ноябрь 2023'!$D$76:$D$1127,$B123,'ноябрь 2023'!$J$76:$J$1127,U$1)</f>
        <v>0</v>
      </c>
      <c r="V123" s="207">
        <f>SUMIFS('ноябрь 2023'!$G$76:$G$1127,'ноябрь 2023'!$D$76:$D$1127,$B123,'ноябрь 2023'!$J$76:$J$1127,V$1)</f>
        <v>0</v>
      </c>
      <c r="W123" s="207">
        <f>SUMIFS('ноябрь 2023'!$G$76:$G$1127,'ноябрь 2023'!$D$76:$D$1127,$B123,'ноябрь 2023'!$J$76:$J$1127,W$1)</f>
        <v>0</v>
      </c>
      <c r="X123" s="207">
        <f>SUMIFS('ноябрь 2023'!$G$76:$G$1127,'ноябрь 2023'!$D$76:$D$1127,$B123,'ноябрь 2023'!$J$76:$J$1127,X$1)</f>
        <v>0</v>
      </c>
      <c r="Y123" s="207">
        <f>SUMIFS('ноябрь 2023'!$G$76:$G$1127,'ноябрь 2023'!$D$76:$D$1127,$B123,'ноябрь 2023'!$J$76:$J$1127,Y$1)</f>
        <v>0</v>
      </c>
      <c r="Z123" s="207">
        <f>SUMIFS('ноябрь 2023'!$G$76:$G$1127,'ноябрь 2023'!$D$76:$D$1127,$B123,'ноябрь 2023'!$J$76:$J$1127,Z$1)</f>
        <v>0</v>
      </c>
      <c r="AA123" s="207">
        <f>SUMIFS('ноябрь 2023'!$G$76:$G$1127,'ноябрь 2023'!$D$76:$D$1127,$B123,'ноябрь 2023'!$J$76:$J$1127,AA$1)</f>
        <v>0</v>
      </c>
      <c r="AB123" s="207">
        <f>SUMIFS('ноябрь 2023'!$G$76:$G$1127,'ноябрь 2023'!$D$76:$D$1127,$B123,'ноябрь 2023'!$J$76:$J$1127,AB$1)</f>
        <v>0</v>
      </c>
      <c r="AC123" s="207">
        <f>SUMIFS('ноябрь 2023'!$G$76:$G$1127,'ноябрь 2023'!$D$76:$D$1127,$B123,'ноябрь 2023'!$J$76:$J$1127,AC$1)</f>
        <v>0</v>
      </c>
      <c r="AD123" s="207">
        <f>SUMIFS('ноябрь 2023'!$G$76:$G$1127,'ноябрь 2023'!$D$76:$D$1127,$B123,'ноябрь 2023'!$J$76:$J$1127,AD$1)</f>
        <v>0</v>
      </c>
      <c r="AE123" s="207">
        <f>SUMIFS('ноябрь 2023'!$G$76:$G$1127,'ноябрь 2023'!$D$76:$D$1127,$B123,'ноябрь 2023'!$J$76:$J$1127,AE$1)</f>
        <v>0</v>
      </c>
      <c r="AF123" s="207">
        <f>SUMIFS('ноябрь 2023'!$G$76:$G$1127,'ноябрь 2023'!$D$76:$D$1127,$B123,'ноябрь 2023'!$J$76:$J$1127,AF$1)</f>
        <v>0</v>
      </c>
      <c r="AG123" s="207">
        <f>SUMIFS('ноябрь 2023'!$G$76:$G$1127,'ноябрь 2023'!$D$76:$D$1127,$B123,'ноябрь 2023'!$J$76:$J$1127,AG$1)</f>
        <v>0</v>
      </c>
      <c r="AH123" s="207">
        <f>SUMIFS('ноябрь 2023'!$G$76:$G$1127,'ноябрь 2023'!$D$76:$D$1127,$B123,'ноябрь 2023'!$J$76:$J$1127,AH$1)</f>
        <v>0</v>
      </c>
      <c r="AI123" s="170">
        <f t="shared" si="2"/>
        <v>0</v>
      </c>
    </row>
    <row r="124" spans="2:35" ht="15" customHeight="1" x14ac:dyDescent="0.25">
      <c r="B124" s="212"/>
      <c r="C124" s="211"/>
      <c r="D124" s="207">
        <f>SUMIFS('ноябрь 2023'!$G$76:$G$1127,'ноябрь 2023'!$D$76:$D$1127,$B124,'ноябрь 2023'!$J$76:$J$1127,D$1)</f>
        <v>0</v>
      </c>
      <c r="E124" s="207">
        <f>SUMIFS('ноябрь 2023'!$G$76:$G$1127,'ноябрь 2023'!$D$76:$D$1127,$B124,'ноябрь 2023'!$J$76:$J$1127,E$1)</f>
        <v>0</v>
      </c>
      <c r="F124" s="207">
        <f>SUMIFS('ноябрь 2023'!$G$76:$G$1127,'ноябрь 2023'!$D$76:$D$1127,$B124,'ноябрь 2023'!$J$76:$J$1127,F$1)</f>
        <v>0</v>
      </c>
      <c r="G124" s="207">
        <f>SUMIFS('ноябрь 2023'!$G$76:$G$1127,'ноябрь 2023'!$D$76:$D$1127,$B124,'ноябрь 2023'!$J$76:$J$1127,G$1)</f>
        <v>0</v>
      </c>
      <c r="H124" s="207">
        <f>SUMIFS('ноябрь 2023'!$G$76:$G$1127,'ноябрь 2023'!$D$76:$D$1127,$B124,'ноябрь 2023'!$J$76:$J$1127,H$1)</f>
        <v>0</v>
      </c>
      <c r="I124" s="207">
        <f>SUMIFS('ноябрь 2023'!$G$76:$G$1127,'ноябрь 2023'!$D$76:$D$1127,$B124,'ноябрь 2023'!$J$76:$J$1127,I$1)</f>
        <v>0</v>
      </c>
      <c r="J124" s="207">
        <f>SUMIFS('ноябрь 2023'!$G$76:$G$1127,'ноябрь 2023'!$D$76:$D$1127,$B124,'ноябрь 2023'!$J$76:$J$1127,J$1)</f>
        <v>0</v>
      </c>
      <c r="K124" s="207">
        <f>SUMIFS('ноябрь 2023'!$G$76:$G$1127,'ноябрь 2023'!$D$76:$D$1127,$B124,'ноябрь 2023'!$J$76:$J$1127,K$1)</f>
        <v>0</v>
      </c>
      <c r="L124" s="207">
        <f>SUMIFS('ноябрь 2023'!$G$76:$G$1127,'ноябрь 2023'!$D$76:$D$1127,$B124,'ноябрь 2023'!$J$76:$J$1127,L$1)</f>
        <v>0</v>
      </c>
      <c r="M124" s="207">
        <f>SUMIFS('ноябрь 2023'!$G$76:$G$1127,'ноябрь 2023'!$D$76:$D$1127,$B124,'ноябрь 2023'!$J$76:$J$1127,M$1)</f>
        <v>0</v>
      </c>
      <c r="N124" s="207">
        <f>SUMIFS('ноябрь 2023'!$G$76:$G$1127,'ноябрь 2023'!$D$76:$D$1127,$B124,'ноябрь 2023'!$J$76:$J$1127,N$1)</f>
        <v>0</v>
      </c>
      <c r="O124" s="207">
        <f>SUMIFS('ноябрь 2023'!$G$76:$G$1127,'ноябрь 2023'!$D$76:$D$1127,$B124,'ноябрь 2023'!$J$76:$J$1127,O$1)</f>
        <v>0</v>
      </c>
      <c r="P124" s="207">
        <f>SUMIFS('ноябрь 2023'!$G$76:$G$1127,'ноябрь 2023'!$D$76:$D$1127,$B124,'ноябрь 2023'!$J$76:$J$1127,P$1)</f>
        <v>0</v>
      </c>
      <c r="Q124" s="207">
        <f>SUMIFS('ноябрь 2023'!$G$76:$G$1127,'ноябрь 2023'!$D$76:$D$1127,$B124,'ноябрь 2023'!$J$76:$J$1127,Q$1)</f>
        <v>0</v>
      </c>
      <c r="R124" s="207">
        <f>SUMIFS('ноябрь 2023'!$G$76:$G$1127,'ноябрь 2023'!$D$76:$D$1127,$B124,'ноябрь 2023'!$J$76:$J$1127,R$1)</f>
        <v>0</v>
      </c>
      <c r="S124" s="207">
        <f>SUMIFS('ноябрь 2023'!$G$76:$G$1127,'ноябрь 2023'!$D$76:$D$1127,$B124,'ноябрь 2023'!$J$76:$J$1127,S$1)</f>
        <v>0</v>
      </c>
      <c r="T124" s="207">
        <f>SUMIFS('ноябрь 2023'!$G$76:$G$1127,'ноябрь 2023'!$D$76:$D$1127,$B124,'ноябрь 2023'!$J$76:$J$1127,T$1)</f>
        <v>0</v>
      </c>
      <c r="U124" s="207">
        <f>SUMIFS('ноябрь 2023'!$G$76:$G$1127,'ноябрь 2023'!$D$76:$D$1127,$B124,'ноябрь 2023'!$J$76:$J$1127,U$1)</f>
        <v>0</v>
      </c>
      <c r="V124" s="207">
        <f>SUMIFS('ноябрь 2023'!$G$76:$G$1127,'ноябрь 2023'!$D$76:$D$1127,$B124,'ноябрь 2023'!$J$76:$J$1127,V$1)</f>
        <v>0</v>
      </c>
      <c r="W124" s="207">
        <f>SUMIFS('ноябрь 2023'!$G$76:$G$1127,'ноябрь 2023'!$D$76:$D$1127,$B124,'ноябрь 2023'!$J$76:$J$1127,W$1)</f>
        <v>0</v>
      </c>
      <c r="X124" s="207">
        <f>SUMIFS('ноябрь 2023'!$G$76:$G$1127,'ноябрь 2023'!$D$76:$D$1127,$B124,'ноябрь 2023'!$J$76:$J$1127,X$1)</f>
        <v>0</v>
      </c>
      <c r="Y124" s="207">
        <f>SUMIFS('ноябрь 2023'!$G$76:$G$1127,'ноябрь 2023'!$D$76:$D$1127,$B124,'ноябрь 2023'!$J$76:$J$1127,Y$1)</f>
        <v>0</v>
      </c>
      <c r="Z124" s="207">
        <f>SUMIFS('ноябрь 2023'!$G$76:$G$1127,'ноябрь 2023'!$D$76:$D$1127,$B124,'ноябрь 2023'!$J$76:$J$1127,Z$1)</f>
        <v>0</v>
      </c>
      <c r="AA124" s="207">
        <f>SUMIFS('ноябрь 2023'!$G$76:$G$1127,'ноябрь 2023'!$D$76:$D$1127,$B124,'ноябрь 2023'!$J$76:$J$1127,AA$1)</f>
        <v>0</v>
      </c>
      <c r="AB124" s="207">
        <f>SUMIFS('ноябрь 2023'!$G$76:$G$1127,'ноябрь 2023'!$D$76:$D$1127,$B124,'ноябрь 2023'!$J$76:$J$1127,AB$1)</f>
        <v>0</v>
      </c>
      <c r="AC124" s="207">
        <f>SUMIFS('ноябрь 2023'!$G$76:$G$1127,'ноябрь 2023'!$D$76:$D$1127,$B124,'ноябрь 2023'!$J$76:$J$1127,AC$1)</f>
        <v>0</v>
      </c>
      <c r="AD124" s="207">
        <f>SUMIFS('ноябрь 2023'!$G$76:$G$1127,'ноябрь 2023'!$D$76:$D$1127,$B124,'ноябрь 2023'!$J$76:$J$1127,AD$1)</f>
        <v>0</v>
      </c>
      <c r="AE124" s="207">
        <f>SUMIFS('ноябрь 2023'!$G$76:$G$1127,'ноябрь 2023'!$D$76:$D$1127,$B124,'ноябрь 2023'!$J$76:$J$1127,AE$1)</f>
        <v>0</v>
      </c>
      <c r="AF124" s="207">
        <f>SUMIFS('ноябрь 2023'!$G$76:$G$1127,'ноябрь 2023'!$D$76:$D$1127,$B124,'ноябрь 2023'!$J$76:$J$1127,AF$1)</f>
        <v>0</v>
      </c>
      <c r="AG124" s="207">
        <f>SUMIFS('ноябрь 2023'!$G$76:$G$1127,'ноябрь 2023'!$D$76:$D$1127,$B124,'ноябрь 2023'!$J$76:$J$1127,AG$1)</f>
        <v>0</v>
      </c>
      <c r="AH124" s="207">
        <f>SUMIFS('ноябрь 2023'!$G$76:$G$1127,'ноябрь 2023'!$D$76:$D$1127,$B124,'ноябрь 2023'!$J$76:$J$1127,AH$1)</f>
        <v>0</v>
      </c>
      <c r="AI124" s="170">
        <f t="shared" si="2"/>
        <v>0</v>
      </c>
    </row>
    <row r="125" spans="2:35" ht="15" customHeight="1" x14ac:dyDescent="0.25">
      <c r="B125" s="212"/>
      <c r="C125" s="211"/>
      <c r="D125" s="207">
        <f>SUMIFS('ноябрь 2023'!$G$76:$G$1127,'ноябрь 2023'!$D$76:$D$1127,$B125,'ноябрь 2023'!$J$76:$J$1127,D$1)</f>
        <v>0</v>
      </c>
      <c r="E125" s="207">
        <f>SUMIFS('ноябрь 2023'!$G$76:$G$1127,'ноябрь 2023'!$D$76:$D$1127,$B125,'ноябрь 2023'!$J$76:$J$1127,E$1)</f>
        <v>0</v>
      </c>
      <c r="F125" s="207">
        <f>SUMIFS('ноябрь 2023'!$G$76:$G$1127,'ноябрь 2023'!$D$76:$D$1127,$B125,'ноябрь 2023'!$J$76:$J$1127,F$1)</f>
        <v>0</v>
      </c>
      <c r="G125" s="207">
        <f>SUMIFS('ноябрь 2023'!$G$76:$G$1127,'ноябрь 2023'!$D$76:$D$1127,$B125,'ноябрь 2023'!$J$76:$J$1127,G$1)</f>
        <v>0</v>
      </c>
      <c r="H125" s="207">
        <f>SUMIFS('ноябрь 2023'!$G$76:$G$1127,'ноябрь 2023'!$D$76:$D$1127,$B125,'ноябрь 2023'!$J$76:$J$1127,H$1)</f>
        <v>0</v>
      </c>
      <c r="I125" s="207">
        <f>SUMIFS('ноябрь 2023'!$G$76:$G$1127,'ноябрь 2023'!$D$76:$D$1127,$B125,'ноябрь 2023'!$J$76:$J$1127,I$1)</f>
        <v>0</v>
      </c>
      <c r="J125" s="207">
        <f>SUMIFS('ноябрь 2023'!$G$76:$G$1127,'ноябрь 2023'!$D$76:$D$1127,$B125,'ноябрь 2023'!$J$76:$J$1127,J$1)</f>
        <v>0</v>
      </c>
      <c r="K125" s="207">
        <f>SUMIFS('ноябрь 2023'!$G$76:$G$1127,'ноябрь 2023'!$D$76:$D$1127,$B125,'ноябрь 2023'!$J$76:$J$1127,K$1)</f>
        <v>0</v>
      </c>
      <c r="L125" s="207">
        <f>SUMIFS('ноябрь 2023'!$G$76:$G$1127,'ноябрь 2023'!$D$76:$D$1127,$B125,'ноябрь 2023'!$J$76:$J$1127,L$1)</f>
        <v>0</v>
      </c>
      <c r="M125" s="207">
        <f>SUMIFS('ноябрь 2023'!$G$76:$G$1127,'ноябрь 2023'!$D$76:$D$1127,$B125,'ноябрь 2023'!$J$76:$J$1127,M$1)</f>
        <v>0</v>
      </c>
      <c r="N125" s="207">
        <f>SUMIFS('ноябрь 2023'!$G$76:$G$1127,'ноябрь 2023'!$D$76:$D$1127,$B125,'ноябрь 2023'!$J$76:$J$1127,N$1)</f>
        <v>0</v>
      </c>
      <c r="O125" s="207">
        <f>SUMIFS('ноябрь 2023'!$G$76:$G$1127,'ноябрь 2023'!$D$76:$D$1127,$B125,'ноябрь 2023'!$J$76:$J$1127,O$1)</f>
        <v>0</v>
      </c>
      <c r="P125" s="207">
        <f>SUMIFS('ноябрь 2023'!$G$76:$G$1127,'ноябрь 2023'!$D$76:$D$1127,$B125,'ноябрь 2023'!$J$76:$J$1127,P$1)</f>
        <v>0</v>
      </c>
      <c r="Q125" s="207">
        <f>SUMIFS('ноябрь 2023'!$G$76:$G$1127,'ноябрь 2023'!$D$76:$D$1127,$B125,'ноябрь 2023'!$J$76:$J$1127,Q$1)</f>
        <v>0</v>
      </c>
      <c r="R125" s="207">
        <f>SUMIFS('ноябрь 2023'!$G$76:$G$1127,'ноябрь 2023'!$D$76:$D$1127,$B125,'ноябрь 2023'!$J$76:$J$1127,R$1)</f>
        <v>0</v>
      </c>
      <c r="S125" s="207">
        <f>SUMIFS('ноябрь 2023'!$G$76:$G$1127,'ноябрь 2023'!$D$76:$D$1127,$B125,'ноябрь 2023'!$J$76:$J$1127,S$1)</f>
        <v>0</v>
      </c>
      <c r="T125" s="207">
        <f>SUMIFS('ноябрь 2023'!$G$76:$G$1127,'ноябрь 2023'!$D$76:$D$1127,$B125,'ноябрь 2023'!$J$76:$J$1127,T$1)</f>
        <v>0</v>
      </c>
      <c r="U125" s="207">
        <f>SUMIFS('ноябрь 2023'!$G$76:$G$1127,'ноябрь 2023'!$D$76:$D$1127,$B125,'ноябрь 2023'!$J$76:$J$1127,U$1)</f>
        <v>0</v>
      </c>
      <c r="V125" s="207">
        <f>SUMIFS('ноябрь 2023'!$G$76:$G$1127,'ноябрь 2023'!$D$76:$D$1127,$B125,'ноябрь 2023'!$J$76:$J$1127,V$1)</f>
        <v>0</v>
      </c>
      <c r="W125" s="207">
        <f>SUMIFS('ноябрь 2023'!$G$76:$G$1127,'ноябрь 2023'!$D$76:$D$1127,$B125,'ноябрь 2023'!$J$76:$J$1127,W$1)</f>
        <v>0</v>
      </c>
      <c r="X125" s="207">
        <f>SUMIFS('ноябрь 2023'!$G$76:$G$1127,'ноябрь 2023'!$D$76:$D$1127,$B125,'ноябрь 2023'!$J$76:$J$1127,X$1)</f>
        <v>0</v>
      </c>
      <c r="Y125" s="207">
        <f>SUMIFS('ноябрь 2023'!$G$76:$G$1127,'ноябрь 2023'!$D$76:$D$1127,$B125,'ноябрь 2023'!$J$76:$J$1127,Y$1)</f>
        <v>0</v>
      </c>
      <c r="Z125" s="207">
        <f>SUMIFS('ноябрь 2023'!$G$76:$G$1127,'ноябрь 2023'!$D$76:$D$1127,$B125,'ноябрь 2023'!$J$76:$J$1127,Z$1)</f>
        <v>0</v>
      </c>
      <c r="AA125" s="207">
        <f>SUMIFS('ноябрь 2023'!$G$76:$G$1127,'ноябрь 2023'!$D$76:$D$1127,$B125,'ноябрь 2023'!$J$76:$J$1127,AA$1)</f>
        <v>0</v>
      </c>
      <c r="AB125" s="207">
        <f>SUMIFS('ноябрь 2023'!$G$76:$G$1127,'ноябрь 2023'!$D$76:$D$1127,$B125,'ноябрь 2023'!$J$76:$J$1127,AB$1)</f>
        <v>0</v>
      </c>
      <c r="AC125" s="207">
        <f>SUMIFS('ноябрь 2023'!$G$76:$G$1127,'ноябрь 2023'!$D$76:$D$1127,$B125,'ноябрь 2023'!$J$76:$J$1127,AC$1)</f>
        <v>0</v>
      </c>
      <c r="AD125" s="207">
        <f>SUMIFS('ноябрь 2023'!$G$76:$G$1127,'ноябрь 2023'!$D$76:$D$1127,$B125,'ноябрь 2023'!$J$76:$J$1127,AD$1)</f>
        <v>0</v>
      </c>
      <c r="AE125" s="207">
        <f>SUMIFS('ноябрь 2023'!$G$76:$G$1127,'ноябрь 2023'!$D$76:$D$1127,$B125,'ноябрь 2023'!$J$76:$J$1127,AE$1)</f>
        <v>0</v>
      </c>
      <c r="AF125" s="207">
        <f>SUMIFS('ноябрь 2023'!$G$76:$G$1127,'ноябрь 2023'!$D$76:$D$1127,$B125,'ноябрь 2023'!$J$76:$J$1127,AF$1)</f>
        <v>0</v>
      </c>
      <c r="AG125" s="207">
        <f>SUMIFS('ноябрь 2023'!$G$76:$G$1127,'ноябрь 2023'!$D$76:$D$1127,$B125,'ноябрь 2023'!$J$76:$J$1127,AG$1)</f>
        <v>0</v>
      </c>
      <c r="AH125" s="207">
        <f>SUMIFS('ноябрь 2023'!$G$76:$G$1127,'ноябрь 2023'!$D$76:$D$1127,$B125,'ноябрь 2023'!$J$76:$J$1127,AH$1)</f>
        <v>0</v>
      </c>
      <c r="AI125" s="170">
        <f t="shared" si="2"/>
        <v>0</v>
      </c>
    </row>
    <row r="126" spans="2:35" ht="15" hidden="1" customHeight="1" x14ac:dyDescent="0.25">
      <c r="B126" s="212"/>
      <c r="C126" s="211"/>
      <c r="D126" s="207">
        <f>SUMIFS('ноябрь 2023'!$G$76:$G$1127,'ноябрь 2023'!$D$76:$D$1127,$B126,'ноябрь 2023'!$J$76:$J$1127,D$1)</f>
        <v>0</v>
      </c>
      <c r="E126" s="207">
        <f>SUMIFS('ноябрь 2023'!$G$76:$G$1127,'ноябрь 2023'!$D$76:$D$1127,$B126,'ноябрь 2023'!$J$76:$J$1127,E$1)</f>
        <v>0</v>
      </c>
      <c r="F126" s="207">
        <f>SUMIFS('ноябрь 2023'!$G$76:$G$1127,'ноябрь 2023'!$D$76:$D$1127,$B126,'ноябрь 2023'!$J$76:$J$1127,F$1)</f>
        <v>0</v>
      </c>
      <c r="G126" s="207">
        <f>SUMIFS('ноябрь 2023'!$G$76:$G$1127,'ноябрь 2023'!$D$76:$D$1127,$B126,'ноябрь 2023'!$J$76:$J$1127,G$1)</f>
        <v>0</v>
      </c>
      <c r="H126" s="207">
        <f>SUMIFS('ноябрь 2023'!$G$76:$G$1127,'ноябрь 2023'!$D$76:$D$1127,$B126,'ноябрь 2023'!$J$76:$J$1127,H$1)</f>
        <v>0</v>
      </c>
      <c r="I126" s="207">
        <f>SUMIFS('ноябрь 2023'!$G$76:$G$1127,'ноябрь 2023'!$D$76:$D$1127,$B126,'ноябрь 2023'!$J$76:$J$1127,I$1)</f>
        <v>0</v>
      </c>
      <c r="J126" s="207">
        <f>SUMIFS('ноябрь 2023'!$G$76:$G$1127,'ноябрь 2023'!$D$76:$D$1127,$B126,'ноябрь 2023'!$J$76:$J$1127,J$1)</f>
        <v>0</v>
      </c>
      <c r="K126" s="207">
        <f>SUMIFS('ноябрь 2023'!$G$76:$G$1127,'ноябрь 2023'!$D$76:$D$1127,$B126,'ноябрь 2023'!$J$76:$J$1127,K$1)</f>
        <v>0</v>
      </c>
      <c r="L126" s="207">
        <f>SUMIFS('ноябрь 2023'!$G$76:$G$1127,'ноябрь 2023'!$D$76:$D$1127,$B126,'ноябрь 2023'!$J$76:$J$1127,L$1)</f>
        <v>0</v>
      </c>
      <c r="M126" s="207">
        <f>SUMIFS('ноябрь 2023'!$G$76:$G$1127,'ноябрь 2023'!$D$76:$D$1127,$B126,'ноябрь 2023'!$J$76:$J$1127,M$1)</f>
        <v>0</v>
      </c>
      <c r="N126" s="207">
        <f>SUMIFS('ноябрь 2023'!$G$76:$G$1127,'ноябрь 2023'!$D$76:$D$1127,$B126,'ноябрь 2023'!$J$76:$J$1127,N$1)</f>
        <v>0</v>
      </c>
      <c r="O126" s="207">
        <f>SUMIFS('ноябрь 2023'!$G$76:$G$1127,'ноябрь 2023'!$D$76:$D$1127,$B126,'ноябрь 2023'!$J$76:$J$1127,O$1)</f>
        <v>0</v>
      </c>
      <c r="P126" s="207">
        <f>SUMIFS('ноябрь 2023'!$G$76:$G$1127,'ноябрь 2023'!$D$76:$D$1127,$B126,'ноябрь 2023'!$J$76:$J$1127,P$1)</f>
        <v>0</v>
      </c>
      <c r="Q126" s="207">
        <f>SUMIFS('ноябрь 2023'!$G$76:$G$1127,'ноябрь 2023'!$D$76:$D$1127,$B126,'ноябрь 2023'!$J$76:$J$1127,Q$1)</f>
        <v>0</v>
      </c>
      <c r="R126" s="207">
        <f>SUMIFS('ноябрь 2023'!$G$76:$G$1127,'ноябрь 2023'!$D$76:$D$1127,$B126,'ноябрь 2023'!$J$76:$J$1127,R$1)</f>
        <v>0</v>
      </c>
      <c r="S126" s="207">
        <f>SUMIFS('ноябрь 2023'!$G$76:$G$1127,'ноябрь 2023'!$D$76:$D$1127,$B126,'ноябрь 2023'!$J$76:$J$1127,S$1)</f>
        <v>0</v>
      </c>
      <c r="T126" s="207">
        <f>SUMIFS('ноябрь 2023'!$G$76:$G$1127,'ноябрь 2023'!$D$76:$D$1127,$B126,'ноябрь 2023'!$J$76:$J$1127,T$1)</f>
        <v>0</v>
      </c>
      <c r="U126" s="207">
        <f>SUMIFS('ноябрь 2023'!$G$76:$G$1127,'ноябрь 2023'!$D$76:$D$1127,$B126,'ноябрь 2023'!$J$76:$J$1127,U$1)</f>
        <v>0</v>
      </c>
      <c r="V126" s="207">
        <f>SUMIFS('ноябрь 2023'!$G$76:$G$1127,'ноябрь 2023'!$D$76:$D$1127,$B126,'ноябрь 2023'!$J$76:$J$1127,V$1)</f>
        <v>0</v>
      </c>
      <c r="W126" s="207">
        <f>SUMIFS('ноябрь 2023'!$G$76:$G$1127,'ноябрь 2023'!$D$76:$D$1127,$B126,'ноябрь 2023'!$J$76:$J$1127,W$1)</f>
        <v>0</v>
      </c>
      <c r="X126" s="207">
        <f>SUMIFS('ноябрь 2023'!$G$76:$G$1127,'ноябрь 2023'!$D$76:$D$1127,$B126,'ноябрь 2023'!$J$76:$J$1127,X$1)</f>
        <v>0</v>
      </c>
      <c r="Y126" s="207">
        <f>SUMIFS('ноябрь 2023'!$G$76:$G$1127,'ноябрь 2023'!$D$76:$D$1127,$B126,'ноябрь 2023'!$J$76:$J$1127,Y$1)</f>
        <v>0</v>
      </c>
      <c r="Z126" s="207">
        <f>SUMIFS('ноябрь 2023'!$G$76:$G$1127,'ноябрь 2023'!$D$76:$D$1127,$B126,'ноябрь 2023'!$J$76:$J$1127,Z$1)</f>
        <v>0</v>
      </c>
      <c r="AA126" s="207">
        <f>SUMIFS('ноябрь 2023'!$G$76:$G$1127,'ноябрь 2023'!$D$76:$D$1127,$B126,'ноябрь 2023'!$J$76:$J$1127,AA$1)</f>
        <v>0</v>
      </c>
      <c r="AB126" s="207">
        <f>SUMIFS('ноябрь 2023'!$G$76:$G$1127,'ноябрь 2023'!$D$76:$D$1127,$B126,'ноябрь 2023'!$J$76:$J$1127,AB$1)</f>
        <v>0</v>
      </c>
      <c r="AC126" s="207">
        <f>SUMIFS('ноябрь 2023'!$G$76:$G$1127,'ноябрь 2023'!$D$76:$D$1127,$B126,'ноябрь 2023'!$J$76:$J$1127,AC$1)</f>
        <v>0</v>
      </c>
      <c r="AD126" s="207">
        <f>SUMIFS('ноябрь 2023'!$G$76:$G$1127,'ноябрь 2023'!$D$76:$D$1127,$B126,'ноябрь 2023'!$J$76:$J$1127,AD$1)</f>
        <v>0</v>
      </c>
      <c r="AE126" s="207">
        <f>SUMIFS('ноябрь 2023'!$G$76:$G$1127,'ноябрь 2023'!$D$76:$D$1127,$B126,'ноябрь 2023'!$J$76:$J$1127,AE$1)</f>
        <v>0</v>
      </c>
      <c r="AF126" s="207">
        <f>SUMIFS('ноябрь 2023'!$G$76:$G$1127,'ноябрь 2023'!$D$76:$D$1127,$B126,'ноябрь 2023'!$J$76:$J$1127,AF$1)</f>
        <v>0</v>
      </c>
      <c r="AG126" s="207">
        <f>SUMIFS('ноябрь 2023'!$G$76:$G$1127,'ноябрь 2023'!$D$76:$D$1127,$B126,'ноябрь 2023'!$J$76:$J$1127,AG$1)</f>
        <v>0</v>
      </c>
      <c r="AH126" s="207">
        <f>SUMIFS('ноябрь 2023'!$G$76:$G$1127,'ноябрь 2023'!$D$76:$D$1127,$B126,'ноябрь 2023'!$J$76:$J$1127,AH$1)</f>
        <v>0</v>
      </c>
      <c r="AI126" s="220">
        <f t="shared" si="2"/>
        <v>0</v>
      </c>
    </row>
    <row r="127" spans="2:35" ht="15" hidden="1" customHeight="1" x14ac:dyDescent="0.25">
      <c r="B127" s="212"/>
      <c r="C127" s="211"/>
      <c r="D127" s="207">
        <f>SUMIFS('ноябрь 2023'!$G$76:$G$1127,'ноябрь 2023'!$D$76:$D$1127,$B127,'ноябрь 2023'!$J$76:$J$1127,D$1)</f>
        <v>0</v>
      </c>
      <c r="E127" s="207">
        <f>SUMIFS('ноябрь 2023'!$G$76:$G$1127,'ноябрь 2023'!$D$76:$D$1127,$B127,'ноябрь 2023'!$J$76:$J$1127,E$1)</f>
        <v>0</v>
      </c>
      <c r="F127" s="207">
        <f>SUMIFS('ноябрь 2023'!$G$76:$G$1127,'ноябрь 2023'!$D$76:$D$1127,$B127,'ноябрь 2023'!$J$76:$J$1127,F$1)</f>
        <v>0</v>
      </c>
      <c r="G127" s="207">
        <f>SUMIFS('ноябрь 2023'!$G$76:$G$1127,'ноябрь 2023'!$D$76:$D$1127,$B127,'ноябрь 2023'!$J$76:$J$1127,G$1)</f>
        <v>0</v>
      </c>
      <c r="H127" s="207">
        <f>SUMIFS('ноябрь 2023'!$G$76:$G$1127,'ноябрь 2023'!$D$76:$D$1127,$B127,'ноябрь 2023'!$J$76:$J$1127,H$1)</f>
        <v>0</v>
      </c>
      <c r="I127" s="207">
        <f>SUMIFS('ноябрь 2023'!$G$76:$G$1127,'ноябрь 2023'!$D$76:$D$1127,$B127,'ноябрь 2023'!$J$76:$J$1127,I$1)</f>
        <v>0</v>
      </c>
      <c r="J127" s="207">
        <f>SUMIFS('ноябрь 2023'!$G$76:$G$1127,'ноябрь 2023'!$D$76:$D$1127,$B127,'ноябрь 2023'!$J$76:$J$1127,J$1)</f>
        <v>0</v>
      </c>
      <c r="K127" s="207">
        <f>SUMIFS('ноябрь 2023'!$G$76:$G$1127,'ноябрь 2023'!$D$76:$D$1127,$B127,'ноябрь 2023'!$J$76:$J$1127,K$1)</f>
        <v>0</v>
      </c>
      <c r="L127" s="207">
        <f>SUMIFS('ноябрь 2023'!$G$76:$G$1127,'ноябрь 2023'!$D$76:$D$1127,$B127,'ноябрь 2023'!$J$76:$J$1127,L$1)</f>
        <v>0</v>
      </c>
      <c r="M127" s="207">
        <f>SUMIFS('ноябрь 2023'!$G$76:$G$1127,'ноябрь 2023'!$D$76:$D$1127,$B127,'ноябрь 2023'!$J$76:$J$1127,M$1)</f>
        <v>0</v>
      </c>
      <c r="N127" s="207">
        <f>SUMIFS('ноябрь 2023'!$G$76:$G$1127,'ноябрь 2023'!$D$76:$D$1127,$B127,'ноябрь 2023'!$J$76:$J$1127,N$1)</f>
        <v>0</v>
      </c>
      <c r="O127" s="207">
        <f>SUMIFS('ноябрь 2023'!$G$76:$G$1127,'ноябрь 2023'!$D$76:$D$1127,$B127,'ноябрь 2023'!$J$76:$J$1127,O$1)</f>
        <v>0</v>
      </c>
      <c r="P127" s="207">
        <f>SUMIFS('ноябрь 2023'!$G$76:$G$1127,'ноябрь 2023'!$D$76:$D$1127,$B127,'ноябрь 2023'!$J$76:$J$1127,P$1)</f>
        <v>0</v>
      </c>
      <c r="Q127" s="207">
        <f>SUMIFS('ноябрь 2023'!$G$76:$G$1127,'ноябрь 2023'!$D$76:$D$1127,$B127,'ноябрь 2023'!$J$76:$J$1127,Q$1)</f>
        <v>0</v>
      </c>
      <c r="R127" s="207">
        <f>SUMIFS('ноябрь 2023'!$G$76:$G$1127,'ноябрь 2023'!$D$76:$D$1127,$B127,'ноябрь 2023'!$J$76:$J$1127,R$1)</f>
        <v>0</v>
      </c>
      <c r="S127" s="207">
        <f>SUMIFS('ноябрь 2023'!$G$76:$G$1127,'ноябрь 2023'!$D$76:$D$1127,$B127,'ноябрь 2023'!$J$76:$J$1127,S$1)</f>
        <v>0</v>
      </c>
      <c r="T127" s="207">
        <f>SUMIFS('ноябрь 2023'!$G$76:$G$1127,'ноябрь 2023'!$D$76:$D$1127,$B127,'ноябрь 2023'!$J$76:$J$1127,T$1)</f>
        <v>0</v>
      </c>
      <c r="U127" s="207">
        <f>SUMIFS('ноябрь 2023'!$G$76:$G$1127,'ноябрь 2023'!$D$76:$D$1127,$B127,'ноябрь 2023'!$J$76:$J$1127,U$1)</f>
        <v>0</v>
      </c>
      <c r="V127" s="207">
        <f>SUMIFS('ноябрь 2023'!$G$76:$G$1127,'ноябрь 2023'!$D$76:$D$1127,$B127,'ноябрь 2023'!$J$76:$J$1127,V$1)</f>
        <v>0</v>
      </c>
      <c r="W127" s="207">
        <f>SUMIFS('ноябрь 2023'!$G$76:$G$1127,'ноябрь 2023'!$D$76:$D$1127,$B127,'ноябрь 2023'!$J$76:$J$1127,W$1)</f>
        <v>0</v>
      </c>
      <c r="X127" s="207">
        <f>SUMIFS('ноябрь 2023'!$G$76:$G$1127,'ноябрь 2023'!$D$76:$D$1127,$B127,'ноябрь 2023'!$J$76:$J$1127,X$1)</f>
        <v>0</v>
      </c>
      <c r="Y127" s="207">
        <f>SUMIFS('ноябрь 2023'!$G$76:$G$1127,'ноябрь 2023'!$D$76:$D$1127,$B127,'ноябрь 2023'!$J$76:$J$1127,Y$1)</f>
        <v>0</v>
      </c>
      <c r="Z127" s="207">
        <f>SUMIFS('ноябрь 2023'!$G$76:$G$1127,'ноябрь 2023'!$D$76:$D$1127,$B127,'ноябрь 2023'!$J$76:$J$1127,Z$1)</f>
        <v>0</v>
      </c>
      <c r="AA127" s="207">
        <f>SUMIFS('ноябрь 2023'!$G$76:$G$1127,'ноябрь 2023'!$D$76:$D$1127,$B127,'ноябрь 2023'!$J$76:$J$1127,AA$1)</f>
        <v>0</v>
      </c>
      <c r="AB127" s="207">
        <f>SUMIFS('ноябрь 2023'!$G$76:$G$1127,'ноябрь 2023'!$D$76:$D$1127,$B127,'ноябрь 2023'!$J$76:$J$1127,AB$1)</f>
        <v>0</v>
      </c>
      <c r="AC127" s="207">
        <f>SUMIFS('ноябрь 2023'!$G$76:$G$1127,'ноябрь 2023'!$D$76:$D$1127,$B127,'ноябрь 2023'!$J$76:$J$1127,AC$1)</f>
        <v>0</v>
      </c>
      <c r="AD127" s="207">
        <f>SUMIFS('ноябрь 2023'!$G$76:$G$1127,'ноябрь 2023'!$D$76:$D$1127,$B127,'ноябрь 2023'!$J$76:$J$1127,AD$1)</f>
        <v>0</v>
      </c>
      <c r="AE127" s="207">
        <f>SUMIFS('ноябрь 2023'!$G$76:$G$1127,'ноябрь 2023'!$D$76:$D$1127,$B127,'ноябрь 2023'!$J$76:$J$1127,AE$1)</f>
        <v>0</v>
      </c>
      <c r="AF127" s="207">
        <f>SUMIFS('ноябрь 2023'!$G$76:$G$1127,'ноябрь 2023'!$D$76:$D$1127,$B127,'ноябрь 2023'!$J$76:$J$1127,AF$1)</f>
        <v>0</v>
      </c>
      <c r="AG127" s="207">
        <f>SUMIFS('ноябрь 2023'!$G$76:$G$1127,'ноябрь 2023'!$D$76:$D$1127,$B127,'ноябрь 2023'!$J$76:$J$1127,AG$1)</f>
        <v>0</v>
      </c>
      <c r="AH127" s="207">
        <f>SUMIFS('ноябрь 2023'!$G$76:$G$1127,'ноябрь 2023'!$D$76:$D$1127,$B127,'ноябрь 2023'!$J$76:$J$1127,AH$1)</f>
        <v>0</v>
      </c>
      <c r="AI127" s="220">
        <f t="shared" si="2"/>
        <v>0</v>
      </c>
    </row>
    <row r="128" spans="2:35" ht="15" hidden="1" customHeight="1" x14ac:dyDescent="0.25">
      <c r="B128" s="212"/>
      <c r="C128" s="211"/>
      <c r="D128" s="207">
        <f>SUMIFS('ноябрь 2023'!$G$76:$G$1127,'ноябрь 2023'!$D$76:$D$1127,$B128,'ноябрь 2023'!$J$76:$J$1127,D$1)</f>
        <v>0</v>
      </c>
      <c r="E128" s="207">
        <f>SUMIFS('ноябрь 2023'!$G$76:$G$1127,'ноябрь 2023'!$D$76:$D$1127,$B128,'ноябрь 2023'!$J$76:$J$1127,E$1)</f>
        <v>0</v>
      </c>
      <c r="F128" s="207">
        <f>SUMIFS('ноябрь 2023'!$G$76:$G$1127,'ноябрь 2023'!$D$76:$D$1127,$B128,'ноябрь 2023'!$J$76:$J$1127,F$1)</f>
        <v>0</v>
      </c>
      <c r="G128" s="207">
        <f>SUMIFS('ноябрь 2023'!$G$76:$G$1127,'ноябрь 2023'!$D$76:$D$1127,$B128,'ноябрь 2023'!$J$76:$J$1127,G$1)</f>
        <v>0</v>
      </c>
      <c r="H128" s="207">
        <f>SUMIFS('ноябрь 2023'!$G$76:$G$1127,'ноябрь 2023'!$D$76:$D$1127,$B128,'ноябрь 2023'!$J$76:$J$1127,H$1)</f>
        <v>0</v>
      </c>
      <c r="I128" s="207">
        <f>SUMIFS('ноябрь 2023'!$G$76:$G$1127,'ноябрь 2023'!$D$76:$D$1127,$B128,'ноябрь 2023'!$J$76:$J$1127,I$1)</f>
        <v>0</v>
      </c>
      <c r="J128" s="207">
        <f>SUMIFS('ноябрь 2023'!$G$76:$G$1127,'ноябрь 2023'!$D$76:$D$1127,$B128,'ноябрь 2023'!$J$76:$J$1127,J$1)</f>
        <v>0</v>
      </c>
      <c r="K128" s="207">
        <f>SUMIFS('ноябрь 2023'!$G$76:$G$1127,'ноябрь 2023'!$D$76:$D$1127,$B128,'ноябрь 2023'!$J$76:$J$1127,K$1)</f>
        <v>0</v>
      </c>
      <c r="L128" s="207">
        <f>SUMIFS('ноябрь 2023'!$G$76:$G$1127,'ноябрь 2023'!$D$76:$D$1127,$B128,'ноябрь 2023'!$J$76:$J$1127,L$1)</f>
        <v>0</v>
      </c>
      <c r="M128" s="207">
        <f>SUMIFS('ноябрь 2023'!$G$76:$G$1127,'ноябрь 2023'!$D$76:$D$1127,$B128,'ноябрь 2023'!$J$76:$J$1127,M$1)</f>
        <v>0</v>
      </c>
      <c r="N128" s="207">
        <f>SUMIFS('ноябрь 2023'!$G$76:$G$1127,'ноябрь 2023'!$D$76:$D$1127,$B128,'ноябрь 2023'!$J$76:$J$1127,N$1)</f>
        <v>0</v>
      </c>
      <c r="O128" s="207">
        <f>SUMIFS('ноябрь 2023'!$G$76:$G$1127,'ноябрь 2023'!$D$76:$D$1127,$B128,'ноябрь 2023'!$J$76:$J$1127,O$1)</f>
        <v>0</v>
      </c>
      <c r="P128" s="207">
        <f>SUMIFS('ноябрь 2023'!$G$76:$G$1127,'ноябрь 2023'!$D$76:$D$1127,$B128,'ноябрь 2023'!$J$76:$J$1127,P$1)</f>
        <v>0</v>
      </c>
      <c r="Q128" s="207">
        <f>SUMIFS('ноябрь 2023'!$G$76:$G$1127,'ноябрь 2023'!$D$76:$D$1127,$B128,'ноябрь 2023'!$J$76:$J$1127,Q$1)</f>
        <v>0</v>
      </c>
      <c r="R128" s="207">
        <f>SUMIFS('ноябрь 2023'!$G$76:$G$1127,'ноябрь 2023'!$D$76:$D$1127,$B128,'ноябрь 2023'!$J$76:$J$1127,R$1)</f>
        <v>0</v>
      </c>
      <c r="S128" s="207">
        <f>SUMIFS('ноябрь 2023'!$G$76:$G$1127,'ноябрь 2023'!$D$76:$D$1127,$B128,'ноябрь 2023'!$J$76:$J$1127,S$1)</f>
        <v>0</v>
      </c>
      <c r="T128" s="207">
        <f>SUMIFS('ноябрь 2023'!$G$76:$G$1127,'ноябрь 2023'!$D$76:$D$1127,$B128,'ноябрь 2023'!$J$76:$J$1127,T$1)</f>
        <v>0</v>
      </c>
      <c r="U128" s="207">
        <f>SUMIFS('ноябрь 2023'!$G$76:$G$1127,'ноябрь 2023'!$D$76:$D$1127,$B128,'ноябрь 2023'!$J$76:$J$1127,U$1)</f>
        <v>0</v>
      </c>
      <c r="V128" s="207">
        <f>SUMIFS('ноябрь 2023'!$G$76:$G$1127,'ноябрь 2023'!$D$76:$D$1127,$B128,'ноябрь 2023'!$J$76:$J$1127,V$1)</f>
        <v>0</v>
      </c>
      <c r="W128" s="207">
        <f>SUMIFS('ноябрь 2023'!$G$76:$G$1127,'ноябрь 2023'!$D$76:$D$1127,$B128,'ноябрь 2023'!$J$76:$J$1127,W$1)</f>
        <v>0</v>
      </c>
      <c r="X128" s="207">
        <f>SUMIFS('ноябрь 2023'!$G$76:$G$1127,'ноябрь 2023'!$D$76:$D$1127,$B128,'ноябрь 2023'!$J$76:$J$1127,X$1)</f>
        <v>0</v>
      </c>
      <c r="Y128" s="207">
        <f>SUMIFS('ноябрь 2023'!$G$76:$G$1127,'ноябрь 2023'!$D$76:$D$1127,$B128,'ноябрь 2023'!$J$76:$J$1127,Y$1)</f>
        <v>0</v>
      </c>
      <c r="Z128" s="207">
        <f>SUMIFS('ноябрь 2023'!$G$76:$G$1127,'ноябрь 2023'!$D$76:$D$1127,$B128,'ноябрь 2023'!$J$76:$J$1127,Z$1)</f>
        <v>0</v>
      </c>
      <c r="AA128" s="207">
        <f>SUMIFS('ноябрь 2023'!$G$76:$G$1127,'ноябрь 2023'!$D$76:$D$1127,$B128,'ноябрь 2023'!$J$76:$J$1127,AA$1)</f>
        <v>0</v>
      </c>
      <c r="AB128" s="207">
        <f>SUMIFS('ноябрь 2023'!$G$76:$G$1127,'ноябрь 2023'!$D$76:$D$1127,$B128,'ноябрь 2023'!$J$76:$J$1127,AB$1)</f>
        <v>0</v>
      </c>
      <c r="AC128" s="207">
        <f>SUMIFS('ноябрь 2023'!$G$76:$G$1127,'ноябрь 2023'!$D$76:$D$1127,$B128,'ноябрь 2023'!$J$76:$J$1127,AC$1)</f>
        <v>0</v>
      </c>
      <c r="AD128" s="207">
        <f>SUMIFS('ноябрь 2023'!$G$76:$G$1127,'ноябрь 2023'!$D$76:$D$1127,$B128,'ноябрь 2023'!$J$76:$J$1127,AD$1)</f>
        <v>0</v>
      </c>
      <c r="AE128" s="207">
        <f>SUMIFS('ноябрь 2023'!$G$76:$G$1127,'ноябрь 2023'!$D$76:$D$1127,$B128,'ноябрь 2023'!$J$76:$J$1127,AE$1)</f>
        <v>0</v>
      </c>
      <c r="AF128" s="207">
        <f>SUMIFS('ноябрь 2023'!$G$76:$G$1127,'ноябрь 2023'!$D$76:$D$1127,$B128,'ноябрь 2023'!$J$76:$J$1127,AF$1)</f>
        <v>0</v>
      </c>
      <c r="AG128" s="207">
        <f>SUMIFS('ноябрь 2023'!$G$76:$G$1127,'ноябрь 2023'!$D$76:$D$1127,$B128,'ноябрь 2023'!$J$76:$J$1127,AG$1)</f>
        <v>0</v>
      </c>
      <c r="AH128" s="207">
        <f>SUMIFS('ноябрь 2023'!$G$76:$G$1127,'ноябрь 2023'!$D$76:$D$1127,$B128,'ноябрь 2023'!$J$76:$J$1127,AH$1)</f>
        <v>0</v>
      </c>
      <c r="AI128" s="220">
        <f t="shared" si="2"/>
        <v>0</v>
      </c>
    </row>
    <row r="129" spans="2:35" ht="15" hidden="1" customHeight="1" x14ac:dyDescent="0.25">
      <c r="B129" s="212"/>
      <c r="C129" s="211"/>
      <c r="D129" s="207">
        <f>SUMIFS('ноябрь 2023'!$G$76:$G$1127,'ноябрь 2023'!$D$76:$D$1127,$B129,'ноябрь 2023'!$J$76:$J$1127,D$1)</f>
        <v>0</v>
      </c>
      <c r="E129" s="207">
        <f>SUMIFS('ноябрь 2023'!$G$76:$G$1127,'ноябрь 2023'!$D$76:$D$1127,$B129,'ноябрь 2023'!$J$76:$J$1127,E$1)</f>
        <v>0</v>
      </c>
      <c r="F129" s="207">
        <f>SUMIFS('ноябрь 2023'!$G$76:$G$1127,'ноябрь 2023'!$D$76:$D$1127,$B129,'ноябрь 2023'!$J$76:$J$1127,F$1)</f>
        <v>0</v>
      </c>
      <c r="G129" s="207">
        <f>SUMIFS('ноябрь 2023'!$G$76:$G$1127,'ноябрь 2023'!$D$76:$D$1127,$B129,'ноябрь 2023'!$J$76:$J$1127,G$1)</f>
        <v>0</v>
      </c>
      <c r="H129" s="207">
        <f>SUMIFS('ноябрь 2023'!$G$76:$G$1127,'ноябрь 2023'!$D$76:$D$1127,$B129,'ноябрь 2023'!$J$76:$J$1127,H$1)</f>
        <v>0</v>
      </c>
      <c r="I129" s="207">
        <f>SUMIFS('ноябрь 2023'!$G$76:$G$1127,'ноябрь 2023'!$D$76:$D$1127,$B129,'ноябрь 2023'!$J$76:$J$1127,I$1)</f>
        <v>0</v>
      </c>
      <c r="J129" s="207">
        <f>SUMIFS('ноябрь 2023'!$G$76:$G$1127,'ноябрь 2023'!$D$76:$D$1127,$B129,'ноябрь 2023'!$J$76:$J$1127,J$1)</f>
        <v>0</v>
      </c>
      <c r="K129" s="207">
        <f>SUMIFS('ноябрь 2023'!$G$76:$G$1127,'ноябрь 2023'!$D$76:$D$1127,$B129,'ноябрь 2023'!$J$76:$J$1127,K$1)</f>
        <v>0</v>
      </c>
      <c r="L129" s="207">
        <f>SUMIFS('ноябрь 2023'!$G$76:$G$1127,'ноябрь 2023'!$D$76:$D$1127,$B129,'ноябрь 2023'!$J$76:$J$1127,L$1)</f>
        <v>0</v>
      </c>
      <c r="M129" s="207">
        <f>SUMIFS('ноябрь 2023'!$G$76:$G$1127,'ноябрь 2023'!$D$76:$D$1127,$B129,'ноябрь 2023'!$J$76:$J$1127,M$1)</f>
        <v>0</v>
      </c>
      <c r="N129" s="207">
        <f>SUMIFS('ноябрь 2023'!$G$76:$G$1127,'ноябрь 2023'!$D$76:$D$1127,$B129,'ноябрь 2023'!$J$76:$J$1127,N$1)</f>
        <v>0</v>
      </c>
      <c r="O129" s="207">
        <f>SUMIFS('ноябрь 2023'!$G$76:$G$1127,'ноябрь 2023'!$D$76:$D$1127,$B129,'ноябрь 2023'!$J$76:$J$1127,O$1)</f>
        <v>0</v>
      </c>
      <c r="P129" s="207">
        <f>SUMIFS('ноябрь 2023'!$G$76:$G$1127,'ноябрь 2023'!$D$76:$D$1127,$B129,'ноябрь 2023'!$J$76:$J$1127,P$1)</f>
        <v>0</v>
      </c>
      <c r="Q129" s="207">
        <f>SUMIFS('ноябрь 2023'!$G$76:$G$1127,'ноябрь 2023'!$D$76:$D$1127,$B129,'ноябрь 2023'!$J$76:$J$1127,Q$1)</f>
        <v>0</v>
      </c>
      <c r="R129" s="207">
        <f>SUMIFS('ноябрь 2023'!$G$76:$G$1127,'ноябрь 2023'!$D$76:$D$1127,$B129,'ноябрь 2023'!$J$76:$J$1127,R$1)</f>
        <v>0</v>
      </c>
      <c r="S129" s="207">
        <f>SUMIFS('ноябрь 2023'!$G$76:$G$1127,'ноябрь 2023'!$D$76:$D$1127,$B129,'ноябрь 2023'!$J$76:$J$1127,S$1)</f>
        <v>0</v>
      </c>
      <c r="T129" s="207">
        <f>SUMIFS('ноябрь 2023'!$G$76:$G$1127,'ноябрь 2023'!$D$76:$D$1127,$B129,'ноябрь 2023'!$J$76:$J$1127,T$1)</f>
        <v>0</v>
      </c>
      <c r="U129" s="207">
        <f>SUMIFS('ноябрь 2023'!$G$76:$G$1127,'ноябрь 2023'!$D$76:$D$1127,$B129,'ноябрь 2023'!$J$76:$J$1127,U$1)</f>
        <v>0</v>
      </c>
      <c r="V129" s="207">
        <f>SUMIFS('ноябрь 2023'!$G$76:$G$1127,'ноябрь 2023'!$D$76:$D$1127,$B129,'ноябрь 2023'!$J$76:$J$1127,V$1)</f>
        <v>0</v>
      </c>
      <c r="W129" s="207">
        <f>SUMIFS('ноябрь 2023'!$G$76:$G$1127,'ноябрь 2023'!$D$76:$D$1127,$B129,'ноябрь 2023'!$J$76:$J$1127,W$1)</f>
        <v>0</v>
      </c>
      <c r="X129" s="207">
        <f>SUMIFS('ноябрь 2023'!$G$76:$G$1127,'ноябрь 2023'!$D$76:$D$1127,$B129,'ноябрь 2023'!$J$76:$J$1127,X$1)</f>
        <v>0</v>
      </c>
      <c r="Y129" s="207">
        <f>SUMIFS('ноябрь 2023'!$G$76:$G$1127,'ноябрь 2023'!$D$76:$D$1127,$B129,'ноябрь 2023'!$J$76:$J$1127,Y$1)</f>
        <v>0</v>
      </c>
      <c r="Z129" s="207">
        <f>SUMIFS('ноябрь 2023'!$G$76:$G$1127,'ноябрь 2023'!$D$76:$D$1127,$B129,'ноябрь 2023'!$J$76:$J$1127,Z$1)</f>
        <v>0</v>
      </c>
      <c r="AA129" s="207">
        <f>SUMIFS('ноябрь 2023'!$G$76:$G$1127,'ноябрь 2023'!$D$76:$D$1127,$B129,'ноябрь 2023'!$J$76:$J$1127,AA$1)</f>
        <v>0</v>
      </c>
      <c r="AB129" s="207">
        <f>SUMIFS('ноябрь 2023'!$G$76:$G$1127,'ноябрь 2023'!$D$76:$D$1127,$B129,'ноябрь 2023'!$J$76:$J$1127,AB$1)</f>
        <v>0</v>
      </c>
      <c r="AC129" s="207">
        <f>SUMIFS('ноябрь 2023'!$G$76:$G$1127,'ноябрь 2023'!$D$76:$D$1127,$B129,'ноябрь 2023'!$J$76:$J$1127,AC$1)</f>
        <v>0</v>
      </c>
      <c r="AD129" s="207">
        <f>SUMIFS('ноябрь 2023'!$G$76:$G$1127,'ноябрь 2023'!$D$76:$D$1127,$B129,'ноябрь 2023'!$J$76:$J$1127,AD$1)</f>
        <v>0</v>
      </c>
      <c r="AE129" s="207">
        <f>SUMIFS('ноябрь 2023'!$G$76:$G$1127,'ноябрь 2023'!$D$76:$D$1127,$B129,'ноябрь 2023'!$J$76:$J$1127,AE$1)</f>
        <v>0</v>
      </c>
      <c r="AF129" s="207">
        <f>SUMIFS('ноябрь 2023'!$G$76:$G$1127,'ноябрь 2023'!$D$76:$D$1127,$B129,'ноябрь 2023'!$J$76:$J$1127,AF$1)</f>
        <v>0</v>
      </c>
      <c r="AG129" s="207">
        <f>SUMIFS('ноябрь 2023'!$G$76:$G$1127,'ноябрь 2023'!$D$76:$D$1127,$B129,'ноябрь 2023'!$J$76:$J$1127,AG$1)</f>
        <v>0</v>
      </c>
      <c r="AH129" s="207">
        <f>SUMIFS('ноябрь 2023'!$G$76:$G$1127,'ноябрь 2023'!$D$76:$D$1127,$B129,'ноябрь 2023'!$J$76:$J$1127,AH$1)</f>
        <v>0</v>
      </c>
      <c r="AI129" s="220"/>
    </row>
    <row r="130" spans="2:35" ht="15" hidden="1" customHeight="1" x14ac:dyDescent="0.25">
      <c r="B130" s="212"/>
      <c r="C130" s="211"/>
      <c r="D130" s="207">
        <f>SUMIFS('ноябрь 2023'!$G$76:$G$1127,'ноябрь 2023'!$D$76:$D$1127,$B130,'ноябрь 2023'!$J$76:$J$1127,D$1)</f>
        <v>0</v>
      </c>
      <c r="E130" s="207">
        <f>SUMIFS('ноябрь 2023'!$G$76:$G$1127,'ноябрь 2023'!$D$76:$D$1127,$B130,'ноябрь 2023'!$J$76:$J$1127,E$1)</f>
        <v>0</v>
      </c>
      <c r="F130" s="207">
        <f>SUMIFS('ноябрь 2023'!$G$76:$G$1127,'ноябрь 2023'!$D$76:$D$1127,$B130,'ноябрь 2023'!$J$76:$J$1127,F$1)</f>
        <v>0</v>
      </c>
      <c r="G130" s="207">
        <f>SUMIFS('ноябрь 2023'!$G$76:$G$1127,'ноябрь 2023'!$D$76:$D$1127,$B130,'ноябрь 2023'!$J$76:$J$1127,G$1)</f>
        <v>0</v>
      </c>
      <c r="H130" s="207">
        <f>SUMIFS('ноябрь 2023'!$G$76:$G$1127,'ноябрь 2023'!$D$76:$D$1127,$B130,'ноябрь 2023'!$J$76:$J$1127,H$1)</f>
        <v>0</v>
      </c>
      <c r="I130" s="207">
        <f>SUMIFS('ноябрь 2023'!$G$76:$G$1127,'ноябрь 2023'!$D$76:$D$1127,$B130,'ноябрь 2023'!$J$76:$J$1127,I$1)</f>
        <v>0</v>
      </c>
      <c r="J130" s="207">
        <f>SUMIFS('ноябрь 2023'!$G$76:$G$1127,'ноябрь 2023'!$D$76:$D$1127,$B130,'ноябрь 2023'!$J$76:$J$1127,J$1)</f>
        <v>0</v>
      </c>
      <c r="K130" s="207">
        <f>SUMIFS('ноябрь 2023'!$G$76:$G$1127,'ноябрь 2023'!$D$76:$D$1127,$B130,'ноябрь 2023'!$J$76:$J$1127,K$1)</f>
        <v>0</v>
      </c>
      <c r="L130" s="207">
        <f>SUMIFS('ноябрь 2023'!$G$76:$G$1127,'ноябрь 2023'!$D$76:$D$1127,$B130,'ноябрь 2023'!$J$76:$J$1127,L$1)</f>
        <v>0</v>
      </c>
      <c r="M130" s="207">
        <f>SUMIFS('ноябрь 2023'!$G$76:$G$1127,'ноябрь 2023'!$D$76:$D$1127,$B130,'ноябрь 2023'!$J$76:$J$1127,M$1)</f>
        <v>0</v>
      </c>
      <c r="N130" s="207">
        <f>SUMIFS('ноябрь 2023'!$G$76:$G$1127,'ноябрь 2023'!$D$76:$D$1127,$B130,'ноябрь 2023'!$J$76:$J$1127,N$1)</f>
        <v>0</v>
      </c>
      <c r="O130" s="207">
        <f>SUMIFS('ноябрь 2023'!$G$76:$G$1127,'ноябрь 2023'!$D$76:$D$1127,$B130,'ноябрь 2023'!$J$76:$J$1127,O$1)</f>
        <v>0</v>
      </c>
      <c r="P130" s="207">
        <f>SUMIFS('ноябрь 2023'!$G$76:$G$1127,'ноябрь 2023'!$D$76:$D$1127,$B130,'ноябрь 2023'!$J$76:$J$1127,P$1)</f>
        <v>0</v>
      </c>
      <c r="Q130" s="207">
        <f>SUMIFS('ноябрь 2023'!$G$76:$G$1127,'ноябрь 2023'!$D$76:$D$1127,$B130,'ноябрь 2023'!$J$76:$J$1127,Q$1)</f>
        <v>0</v>
      </c>
      <c r="R130" s="207">
        <f>SUMIFS('ноябрь 2023'!$G$76:$G$1127,'ноябрь 2023'!$D$76:$D$1127,$B130,'ноябрь 2023'!$J$76:$J$1127,R$1)</f>
        <v>0</v>
      </c>
      <c r="S130" s="207">
        <f>SUMIFS('ноябрь 2023'!$G$76:$G$1127,'ноябрь 2023'!$D$76:$D$1127,$B130,'ноябрь 2023'!$J$76:$J$1127,S$1)</f>
        <v>0</v>
      </c>
      <c r="T130" s="207">
        <f>SUMIFS('ноябрь 2023'!$G$76:$G$1127,'ноябрь 2023'!$D$76:$D$1127,$B130,'ноябрь 2023'!$J$76:$J$1127,T$1)</f>
        <v>0</v>
      </c>
      <c r="U130" s="207">
        <f>SUMIFS('ноябрь 2023'!$G$76:$G$1127,'ноябрь 2023'!$D$76:$D$1127,$B130,'ноябрь 2023'!$J$76:$J$1127,U$1)</f>
        <v>0</v>
      </c>
      <c r="V130" s="207">
        <f>SUMIFS('ноябрь 2023'!$G$76:$G$1127,'ноябрь 2023'!$D$76:$D$1127,$B130,'ноябрь 2023'!$J$76:$J$1127,V$1)</f>
        <v>0</v>
      </c>
      <c r="W130" s="207">
        <f>SUMIFS('ноябрь 2023'!$G$76:$G$1127,'ноябрь 2023'!$D$76:$D$1127,$B130,'ноябрь 2023'!$J$76:$J$1127,W$1)</f>
        <v>0</v>
      </c>
      <c r="X130" s="207">
        <f>SUMIFS('ноябрь 2023'!$G$76:$G$1127,'ноябрь 2023'!$D$76:$D$1127,$B130,'ноябрь 2023'!$J$76:$J$1127,X$1)</f>
        <v>0</v>
      </c>
      <c r="Y130" s="207">
        <f>SUMIFS('ноябрь 2023'!$G$76:$G$1127,'ноябрь 2023'!$D$76:$D$1127,$B130,'ноябрь 2023'!$J$76:$J$1127,Y$1)</f>
        <v>0</v>
      </c>
      <c r="Z130" s="207">
        <f>SUMIFS('ноябрь 2023'!$G$76:$G$1127,'ноябрь 2023'!$D$76:$D$1127,$B130,'ноябрь 2023'!$J$76:$J$1127,Z$1)</f>
        <v>0</v>
      </c>
      <c r="AA130" s="207">
        <f>SUMIFS('ноябрь 2023'!$G$76:$G$1127,'ноябрь 2023'!$D$76:$D$1127,$B130,'ноябрь 2023'!$J$76:$J$1127,AA$1)</f>
        <v>0</v>
      </c>
      <c r="AB130" s="207">
        <f>SUMIFS('ноябрь 2023'!$G$76:$G$1127,'ноябрь 2023'!$D$76:$D$1127,$B130,'ноябрь 2023'!$J$76:$J$1127,AB$1)</f>
        <v>0</v>
      </c>
      <c r="AC130" s="207">
        <f>SUMIFS('ноябрь 2023'!$G$76:$G$1127,'ноябрь 2023'!$D$76:$D$1127,$B130,'ноябрь 2023'!$J$76:$J$1127,AC$1)</f>
        <v>0</v>
      </c>
      <c r="AD130" s="207">
        <f>SUMIFS('ноябрь 2023'!$G$76:$G$1127,'ноябрь 2023'!$D$76:$D$1127,$B130,'ноябрь 2023'!$J$76:$J$1127,AD$1)</f>
        <v>0</v>
      </c>
      <c r="AE130" s="207">
        <f>SUMIFS('ноябрь 2023'!$G$76:$G$1127,'ноябрь 2023'!$D$76:$D$1127,$B130,'ноябрь 2023'!$J$76:$J$1127,AE$1)</f>
        <v>0</v>
      </c>
      <c r="AF130" s="207">
        <f>SUMIFS('ноябрь 2023'!$G$76:$G$1127,'ноябрь 2023'!$D$76:$D$1127,$B130,'ноябрь 2023'!$J$76:$J$1127,AF$1)</f>
        <v>0</v>
      </c>
      <c r="AG130" s="207">
        <f>SUMIFS('ноябрь 2023'!$G$76:$G$1127,'ноябрь 2023'!$D$76:$D$1127,$B130,'ноябрь 2023'!$J$76:$J$1127,AG$1)</f>
        <v>0</v>
      </c>
      <c r="AH130" s="207">
        <f>SUMIFS('ноябрь 2023'!$G$76:$G$1127,'ноябрь 2023'!$D$76:$D$1127,$B130,'ноябрь 2023'!$J$76:$J$1127,AH$1)</f>
        <v>0</v>
      </c>
      <c r="AI130" s="220">
        <f t="shared" si="2"/>
        <v>0</v>
      </c>
    </row>
    <row r="131" spans="2:35" ht="15" hidden="1" customHeight="1" x14ac:dyDescent="0.25">
      <c r="B131" s="212"/>
      <c r="C131" s="211"/>
      <c r="D131" s="207">
        <f>SUMIFS('ноябрь 2023'!$G$76:$G$1127,'ноябрь 2023'!$D$76:$D$1127,$B131,'ноябрь 2023'!$J$76:$J$1127,D$1)</f>
        <v>0</v>
      </c>
      <c r="E131" s="207">
        <f>SUMIFS('ноябрь 2023'!$G$76:$G$1127,'ноябрь 2023'!$D$76:$D$1127,$B131,'ноябрь 2023'!$J$76:$J$1127,E$1)</f>
        <v>0</v>
      </c>
      <c r="F131" s="207">
        <f>SUMIFS('ноябрь 2023'!$G$76:$G$1127,'ноябрь 2023'!$D$76:$D$1127,$B131,'ноябрь 2023'!$J$76:$J$1127,F$1)</f>
        <v>0</v>
      </c>
      <c r="G131" s="207">
        <f>SUMIFS('ноябрь 2023'!$G$76:$G$1127,'ноябрь 2023'!$D$76:$D$1127,$B131,'ноябрь 2023'!$J$76:$J$1127,G$1)</f>
        <v>0</v>
      </c>
      <c r="H131" s="207">
        <f>SUMIFS('ноябрь 2023'!$G$76:$G$1127,'ноябрь 2023'!$D$76:$D$1127,$B131,'ноябрь 2023'!$J$76:$J$1127,H$1)</f>
        <v>0</v>
      </c>
      <c r="I131" s="207">
        <f>SUMIFS('ноябрь 2023'!$G$76:$G$1127,'ноябрь 2023'!$D$76:$D$1127,$B131,'ноябрь 2023'!$J$76:$J$1127,I$1)</f>
        <v>0</v>
      </c>
      <c r="J131" s="207">
        <f>SUMIFS('ноябрь 2023'!$G$76:$G$1127,'ноябрь 2023'!$D$76:$D$1127,$B131,'ноябрь 2023'!$J$76:$J$1127,J$1)</f>
        <v>0</v>
      </c>
      <c r="K131" s="207">
        <f>SUMIFS('ноябрь 2023'!$G$76:$G$1127,'ноябрь 2023'!$D$76:$D$1127,$B131,'ноябрь 2023'!$J$76:$J$1127,K$1)</f>
        <v>0</v>
      </c>
      <c r="L131" s="207">
        <f>SUMIFS('ноябрь 2023'!$G$76:$G$1127,'ноябрь 2023'!$D$76:$D$1127,$B131,'ноябрь 2023'!$J$76:$J$1127,L$1)</f>
        <v>0</v>
      </c>
      <c r="M131" s="207">
        <f>SUMIFS('ноябрь 2023'!$G$76:$G$1127,'ноябрь 2023'!$D$76:$D$1127,$B131,'ноябрь 2023'!$J$76:$J$1127,M$1)</f>
        <v>0</v>
      </c>
      <c r="N131" s="207">
        <f>SUMIFS('ноябрь 2023'!$G$76:$G$1127,'ноябрь 2023'!$D$76:$D$1127,$B131,'ноябрь 2023'!$J$76:$J$1127,N$1)</f>
        <v>0</v>
      </c>
      <c r="O131" s="207">
        <f>SUMIFS('ноябрь 2023'!$G$76:$G$1127,'ноябрь 2023'!$D$76:$D$1127,$B131,'ноябрь 2023'!$J$76:$J$1127,O$1)</f>
        <v>0</v>
      </c>
      <c r="P131" s="207">
        <f>SUMIFS('ноябрь 2023'!$G$76:$G$1127,'ноябрь 2023'!$D$76:$D$1127,$B131,'ноябрь 2023'!$J$76:$J$1127,P$1)</f>
        <v>0</v>
      </c>
      <c r="Q131" s="207">
        <f>SUMIFS('ноябрь 2023'!$G$76:$G$1127,'ноябрь 2023'!$D$76:$D$1127,$B131,'ноябрь 2023'!$J$76:$J$1127,Q$1)</f>
        <v>0</v>
      </c>
      <c r="R131" s="207">
        <f>SUMIFS('ноябрь 2023'!$G$76:$G$1127,'ноябрь 2023'!$D$76:$D$1127,$B131,'ноябрь 2023'!$J$76:$J$1127,R$1)</f>
        <v>0</v>
      </c>
      <c r="S131" s="207">
        <f>SUMIFS('ноябрь 2023'!$G$76:$G$1127,'ноябрь 2023'!$D$76:$D$1127,$B131,'ноябрь 2023'!$J$76:$J$1127,S$1)</f>
        <v>0</v>
      </c>
      <c r="T131" s="207">
        <f>SUMIFS('ноябрь 2023'!$G$76:$G$1127,'ноябрь 2023'!$D$76:$D$1127,$B131,'ноябрь 2023'!$J$76:$J$1127,T$1)</f>
        <v>0</v>
      </c>
      <c r="U131" s="207">
        <f>SUMIFS('ноябрь 2023'!$G$76:$G$1127,'ноябрь 2023'!$D$76:$D$1127,$B131,'ноябрь 2023'!$J$76:$J$1127,U$1)</f>
        <v>0</v>
      </c>
      <c r="V131" s="207">
        <f>SUMIFS('ноябрь 2023'!$G$76:$G$1127,'ноябрь 2023'!$D$76:$D$1127,$B131,'ноябрь 2023'!$J$76:$J$1127,V$1)</f>
        <v>0</v>
      </c>
      <c r="W131" s="207">
        <f>SUMIFS('ноябрь 2023'!$G$76:$G$1127,'ноябрь 2023'!$D$76:$D$1127,$B131,'ноябрь 2023'!$J$76:$J$1127,W$1)</f>
        <v>0</v>
      </c>
      <c r="X131" s="207">
        <f>SUMIFS('ноябрь 2023'!$G$76:$G$1127,'ноябрь 2023'!$D$76:$D$1127,$B131,'ноябрь 2023'!$J$76:$J$1127,X$1)</f>
        <v>0</v>
      </c>
      <c r="Y131" s="207">
        <f>SUMIFS('ноябрь 2023'!$G$76:$G$1127,'ноябрь 2023'!$D$76:$D$1127,$B131,'ноябрь 2023'!$J$76:$J$1127,Y$1)</f>
        <v>0</v>
      </c>
      <c r="Z131" s="207">
        <f>SUMIFS('ноябрь 2023'!$G$76:$G$1127,'ноябрь 2023'!$D$76:$D$1127,$B131,'ноябрь 2023'!$J$76:$J$1127,Z$1)</f>
        <v>0</v>
      </c>
      <c r="AA131" s="207">
        <f>SUMIFS('ноябрь 2023'!$G$76:$G$1127,'ноябрь 2023'!$D$76:$D$1127,$B131,'ноябрь 2023'!$J$76:$J$1127,AA$1)</f>
        <v>0</v>
      </c>
      <c r="AB131" s="207">
        <f>SUMIFS('ноябрь 2023'!$G$76:$G$1127,'ноябрь 2023'!$D$76:$D$1127,$B131,'ноябрь 2023'!$J$76:$J$1127,AB$1)</f>
        <v>0</v>
      </c>
      <c r="AC131" s="207">
        <f>SUMIFS('ноябрь 2023'!$G$76:$G$1127,'ноябрь 2023'!$D$76:$D$1127,$B131,'ноябрь 2023'!$J$76:$J$1127,AC$1)</f>
        <v>0</v>
      </c>
      <c r="AD131" s="207">
        <f>SUMIFS('ноябрь 2023'!$G$76:$G$1127,'ноябрь 2023'!$D$76:$D$1127,$B131,'ноябрь 2023'!$J$76:$J$1127,AD$1)</f>
        <v>0</v>
      </c>
      <c r="AE131" s="207">
        <f>SUMIFS('ноябрь 2023'!$G$76:$G$1127,'ноябрь 2023'!$D$76:$D$1127,$B131,'ноябрь 2023'!$J$76:$J$1127,AE$1)</f>
        <v>0</v>
      </c>
      <c r="AF131" s="207">
        <f>SUMIFS('ноябрь 2023'!$G$76:$G$1127,'ноябрь 2023'!$D$76:$D$1127,$B131,'ноябрь 2023'!$J$76:$J$1127,AF$1)</f>
        <v>0</v>
      </c>
      <c r="AG131" s="207">
        <f>SUMIFS('ноябрь 2023'!$G$76:$G$1127,'ноябрь 2023'!$D$76:$D$1127,$B131,'ноябрь 2023'!$J$76:$J$1127,AG$1)</f>
        <v>0</v>
      </c>
      <c r="AH131" s="207">
        <f>SUMIFS('ноябрь 2023'!$G$76:$G$1127,'ноябрь 2023'!$D$76:$D$1127,$B131,'ноябрь 2023'!$J$76:$J$1127,AH$1)</f>
        <v>0</v>
      </c>
      <c r="AI131" s="220">
        <f t="shared" ref="AI131:AI154" si="3">SUM(D131:AH131)</f>
        <v>0</v>
      </c>
    </row>
    <row r="132" spans="2:35" ht="15" hidden="1" customHeight="1" x14ac:dyDescent="0.25">
      <c r="B132" s="216"/>
      <c r="C132" s="211"/>
      <c r="D132" s="207">
        <f>SUMIFS('ноябрь 2023'!$G$76:$G$1127,'ноябрь 2023'!$D$76:$D$1127,$B132,'ноябрь 2023'!$J$76:$J$1127,D$1)</f>
        <v>0</v>
      </c>
      <c r="E132" s="207">
        <f>SUMIFS('ноябрь 2023'!$G$76:$G$1127,'ноябрь 2023'!$D$76:$D$1127,$B132,'ноябрь 2023'!$J$76:$J$1127,E$1)</f>
        <v>0</v>
      </c>
      <c r="F132" s="207">
        <f>SUMIFS('ноябрь 2023'!$G$76:$G$1127,'ноябрь 2023'!$D$76:$D$1127,$B132,'ноябрь 2023'!$J$76:$J$1127,F$1)</f>
        <v>0</v>
      </c>
      <c r="G132" s="207">
        <f>SUMIFS('ноябрь 2023'!$G$76:$G$1127,'ноябрь 2023'!$D$76:$D$1127,$B132,'ноябрь 2023'!$J$76:$J$1127,G$1)</f>
        <v>0</v>
      </c>
      <c r="H132" s="207">
        <f>SUMIFS('ноябрь 2023'!$G$76:$G$1127,'ноябрь 2023'!$D$76:$D$1127,$B132,'ноябрь 2023'!$J$76:$J$1127,H$1)</f>
        <v>0</v>
      </c>
      <c r="I132" s="207">
        <f>SUMIFS('ноябрь 2023'!$G$76:$G$1127,'ноябрь 2023'!$D$76:$D$1127,$B132,'ноябрь 2023'!$J$76:$J$1127,I$1)</f>
        <v>0</v>
      </c>
      <c r="J132" s="207">
        <f>SUMIFS('ноябрь 2023'!$G$76:$G$1127,'ноябрь 2023'!$D$76:$D$1127,$B132,'ноябрь 2023'!$J$76:$J$1127,J$1)</f>
        <v>0</v>
      </c>
      <c r="K132" s="207">
        <f>SUMIFS('ноябрь 2023'!$G$76:$G$1127,'ноябрь 2023'!$D$76:$D$1127,$B132,'ноябрь 2023'!$J$76:$J$1127,K$1)</f>
        <v>0</v>
      </c>
      <c r="L132" s="207">
        <f>SUMIFS('ноябрь 2023'!$G$76:$G$1127,'ноябрь 2023'!$D$76:$D$1127,$B132,'ноябрь 2023'!$J$76:$J$1127,L$1)</f>
        <v>0</v>
      </c>
      <c r="M132" s="207">
        <f>SUMIFS('ноябрь 2023'!$G$76:$G$1127,'ноябрь 2023'!$D$76:$D$1127,$B132,'ноябрь 2023'!$J$76:$J$1127,M$1)</f>
        <v>0</v>
      </c>
      <c r="N132" s="207">
        <f>SUMIFS('ноябрь 2023'!$G$76:$G$1127,'ноябрь 2023'!$D$76:$D$1127,$B132,'ноябрь 2023'!$J$76:$J$1127,N$1)</f>
        <v>0</v>
      </c>
      <c r="O132" s="207">
        <f>SUMIFS('ноябрь 2023'!$G$76:$G$1127,'ноябрь 2023'!$D$76:$D$1127,$B132,'ноябрь 2023'!$J$76:$J$1127,O$1)</f>
        <v>0</v>
      </c>
      <c r="P132" s="207">
        <f>SUMIFS('ноябрь 2023'!$G$76:$G$1127,'ноябрь 2023'!$D$76:$D$1127,$B132,'ноябрь 2023'!$J$76:$J$1127,P$1)</f>
        <v>0</v>
      </c>
      <c r="Q132" s="207">
        <f>SUMIFS('ноябрь 2023'!$G$76:$G$1127,'ноябрь 2023'!$D$76:$D$1127,$B132,'ноябрь 2023'!$J$76:$J$1127,Q$1)</f>
        <v>0</v>
      </c>
      <c r="R132" s="207">
        <f>SUMIFS('ноябрь 2023'!$G$76:$G$1127,'ноябрь 2023'!$D$76:$D$1127,$B132,'ноябрь 2023'!$J$76:$J$1127,R$1)</f>
        <v>0</v>
      </c>
      <c r="S132" s="207">
        <f>SUMIFS('ноябрь 2023'!$G$76:$G$1127,'ноябрь 2023'!$D$76:$D$1127,$B132,'ноябрь 2023'!$J$76:$J$1127,S$1)</f>
        <v>0</v>
      </c>
      <c r="T132" s="207">
        <f>SUMIFS('ноябрь 2023'!$G$76:$G$1127,'ноябрь 2023'!$D$76:$D$1127,$B132,'ноябрь 2023'!$J$76:$J$1127,T$1)</f>
        <v>0</v>
      </c>
      <c r="U132" s="207">
        <f>SUMIFS('ноябрь 2023'!$G$76:$G$1127,'ноябрь 2023'!$D$76:$D$1127,$B132,'ноябрь 2023'!$J$76:$J$1127,U$1)</f>
        <v>0</v>
      </c>
      <c r="V132" s="207">
        <f>SUMIFS('ноябрь 2023'!$G$76:$G$1127,'ноябрь 2023'!$D$76:$D$1127,$B132,'ноябрь 2023'!$J$76:$J$1127,V$1)</f>
        <v>0</v>
      </c>
      <c r="W132" s="207">
        <f>SUMIFS('ноябрь 2023'!$G$76:$G$1127,'ноябрь 2023'!$D$76:$D$1127,$B132,'ноябрь 2023'!$J$76:$J$1127,W$1)</f>
        <v>0</v>
      </c>
      <c r="X132" s="207">
        <f>SUMIFS('ноябрь 2023'!$G$76:$G$1127,'ноябрь 2023'!$D$76:$D$1127,$B132,'ноябрь 2023'!$J$76:$J$1127,X$1)</f>
        <v>0</v>
      </c>
      <c r="Y132" s="207">
        <f>SUMIFS('ноябрь 2023'!$G$76:$G$1127,'ноябрь 2023'!$D$76:$D$1127,$B132,'ноябрь 2023'!$J$76:$J$1127,Y$1)</f>
        <v>0</v>
      </c>
      <c r="Z132" s="207">
        <f>SUMIFS('ноябрь 2023'!$G$76:$G$1127,'ноябрь 2023'!$D$76:$D$1127,$B132,'ноябрь 2023'!$J$76:$J$1127,Z$1)</f>
        <v>0</v>
      </c>
      <c r="AA132" s="207">
        <f>SUMIFS('ноябрь 2023'!$G$76:$G$1127,'ноябрь 2023'!$D$76:$D$1127,$B132,'ноябрь 2023'!$J$76:$J$1127,AA$1)</f>
        <v>0</v>
      </c>
      <c r="AB132" s="207">
        <f>SUMIFS('ноябрь 2023'!$G$76:$G$1127,'ноябрь 2023'!$D$76:$D$1127,$B132,'ноябрь 2023'!$J$76:$J$1127,AB$1)</f>
        <v>0</v>
      </c>
      <c r="AC132" s="207">
        <f>SUMIFS('ноябрь 2023'!$G$76:$G$1127,'ноябрь 2023'!$D$76:$D$1127,$B132,'ноябрь 2023'!$J$76:$J$1127,AC$1)</f>
        <v>0</v>
      </c>
      <c r="AD132" s="207">
        <f>SUMIFS('ноябрь 2023'!$G$76:$G$1127,'ноябрь 2023'!$D$76:$D$1127,$B132,'ноябрь 2023'!$J$76:$J$1127,AD$1)</f>
        <v>0</v>
      </c>
      <c r="AE132" s="207">
        <f>SUMIFS('ноябрь 2023'!$G$76:$G$1127,'ноябрь 2023'!$D$76:$D$1127,$B132,'ноябрь 2023'!$J$76:$J$1127,AE$1)</f>
        <v>0</v>
      </c>
      <c r="AF132" s="207">
        <f>SUMIFS('ноябрь 2023'!$G$76:$G$1127,'ноябрь 2023'!$D$76:$D$1127,$B132,'ноябрь 2023'!$J$76:$J$1127,AF$1)</f>
        <v>0</v>
      </c>
      <c r="AG132" s="207">
        <f>SUMIFS('ноябрь 2023'!$G$76:$G$1127,'ноябрь 2023'!$D$76:$D$1127,$B132,'ноябрь 2023'!$J$76:$J$1127,AG$1)</f>
        <v>0</v>
      </c>
      <c r="AH132" s="207">
        <f>SUMIFS('ноябрь 2023'!$G$76:$G$1127,'ноябрь 2023'!$D$76:$D$1127,$B132,'ноябрь 2023'!$J$76:$J$1127,AH$1)</f>
        <v>0</v>
      </c>
      <c r="AI132" s="220">
        <f t="shared" si="3"/>
        <v>0</v>
      </c>
    </row>
    <row r="133" spans="2:35" ht="15" hidden="1" customHeight="1" x14ac:dyDescent="0.25">
      <c r="B133" s="216"/>
      <c r="C133" s="213"/>
      <c r="D133" s="207">
        <f>SUMIFS('ноябрь 2023'!$G$76:$G$1127,'ноябрь 2023'!$D$76:$D$1127,$B133,'ноябрь 2023'!$J$76:$J$1127,D$1)</f>
        <v>0</v>
      </c>
      <c r="E133" s="207">
        <f>SUMIFS('ноябрь 2023'!$G$76:$G$1127,'ноябрь 2023'!$D$76:$D$1127,$B133,'ноябрь 2023'!$J$76:$J$1127,E$1)</f>
        <v>0</v>
      </c>
      <c r="F133" s="207">
        <f>SUMIFS('ноябрь 2023'!$G$76:$G$1127,'ноябрь 2023'!$D$76:$D$1127,$B133,'ноябрь 2023'!$J$76:$J$1127,F$1)</f>
        <v>0</v>
      </c>
      <c r="G133" s="207">
        <f>SUMIFS('ноябрь 2023'!$G$76:$G$1127,'ноябрь 2023'!$D$76:$D$1127,$B133,'ноябрь 2023'!$J$76:$J$1127,G$1)</f>
        <v>0</v>
      </c>
      <c r="H133" s="207">
        <f>SUMIFS('ноябрь 2023'!$G$76:$G$1127,'ноябрь 2023'!$D$76:$D$1127,$B133,'ноябрь 2023'!$J$76:$J$1127,H$1)</f>
        <v>0</v>
      </c>
      <c r="I133" s="207">
        <f>SUMIFS('ноябрь 2023'!$G$76:$G$1127,'ноябрь 2023'!$D$76:$D$1127,$B133,'ноябрь 2023'!$J$76:$J$1127,I$1)</f>
        <v>0</v>
      </c>
      <c r="J133" s="207">
        <f>SUMIFS('ноябрь 2023'!$G$76:$G$1127,'ноябрь 2023'!$D$76:$D$1127,$B133,'ноябрь 2023'!$J$76:$J$1127,J$1)</f>
        <v>0</v>
      </c>
      <c r="K133" s="207">
        <f>SUMIFS('ноябрь 2023'!$G$76:$G$1127,'ноябрь 2023'!$D$76:$D$1127,$B133,'ноябрь 2023'!$J$76:$J$1127,K$1)</f>
        <v>0</v>
      </c>
      <c r="L133" s="207">
        <f>SUMIFS('ноябрь 2023'!$G$76:$G$1127,'ноябрь 2023'!$D$76:$D$1127,$B133,'ноябрь 2023'!$J$76:$J$1127,L$1)</f>
        <v>0</v>
      </c>
      <c r="M133" s="207">
        <f>SUMIFS('ноябрь 2023'!$G$76:$G$1127,'ноябрь 2023'!$D$76:$D$1127,$B133,'ноябрь 2023'!$J$76:$J$1127,M$1)</f>
        <v>0</v>
      </c>
      <c r="N133" s="207">
        <f>SUMIFS('ноябрь 2023'!$G$76:$G$1127,'ноябрь 2023'!$D$76:$D$1127,$B133,'ноябрь 2023'!$J$76:$J$1127,N$1)</f>
        <v>0</v>
      </c>
      <c r="O133" s="207">
        <f>SUMIFS('ноябрь 2023'!$G$76:$G$1127,'ноябрь 2023'!$D$76:$D$1127,$B133,'ноябрь 2023'!$J$76:$J$1127,O$1)</f>
        <v>0</v>
      </c>
      <c r="P133" s="207">
        <f>SUMIFS('ноябрь 2023'!$G$76:$G$1127,'ноябрь 2023'!$D$76:$D$1127,$B133,'ноябрь 2023'!$J$76:$J$1127,P$1)</f>
        <v>0</v>
      </c>
      <c r="Q133" s="207">
        <f>SUMIFS('ноябрь 2023'!$G$76:$G$1127,'ноябрь 2023'!$D$76:$D$1127,$B133,'ноябрь 2023'!$J$76:$J$1127,Q$1)</f>
        <v>0</v>
      </c>
      <c r="R133" s="207">
        <f>SUMIFS('ноябрь 2023'!$G$76:$G$1127,'ноябрь 2023'!$D$76:$D$1127,$B133,'ноябрь 2023'!$J$76:$J$1127,R$1)</f>
        <v>0</v>
      </c>
      <c r="S133" s="207">
        <f>SUMIFS('ноябрь 2023'!$G$76:$G$1127,'ноябрь 2023'!$D$76:$D$1127,$B133,'ноябрь 2023'!$J$76:$J$1127,S$1)</f>
        <v>0</v>
      </c>
      <c r="T133" s="207">
        <f>SUMIFS('ноябрь 2023'!$G$76:$G$1127,'ноябрь 2023'!$D$76:$D$1127,$B133,'ноябрь 2023'!$J$76:$J$1127,T$1)</f>
        <v>0</v>
      </c>
      <c r="U133" s="207">
        <f>SUMIFS('ноябрь 2023'!$G$76:$G$1127,'ноябрь 2023'!$D$76:$D$1127,$B133,'ноябрь 2023'!$J$76:$J$1127,U$1)</f>
        <v>0</v>
      </c>
      <c r="V133" s="207">
        <f>SUMIFS('ноябрь 2023'!$G$76:$G$1127,'ноябрь 2023'!$D$76:$D$1127,$B133,'ноябрь 2023'!$J$76:$J$1127,V$1)</f>
        <v>0</v>
      </c>
      <c r="W133" s="207">
        <f>SUMIFS('ноябрь 2023'!$G$76:$G$1127,'ноябрь 2023'!$D$76:$D$1127,$B133,'ноябрь 2023'!$J$76:$J$1127,W$1)</f>
        <v>0</v>
      </c>
      <c r="X133" s="207">
        <f>SUMIFS('ноябрь 2023'!$G$76:$G$1127,'ноябрь 2023'!$D$76:$D$1127,$B133,'ноябрь 2023'!$J$76:$J$1127,X$1)</f>
        <v>0</v>
      </c>
      <c r="Y133" s="207">
        <f>SUMIFS('ноябрь 2023'!$G$76:$G$1127,'ноябрь 2023'!$D$76:$D$1127,$B133,'ноябрь 2023'!$J$76:$J$1127,Y$1)</f>
        <v>0</v>
      </c>
      <c r="Z133" s="207">
        <f>SUMIFS('ноябрь 2023'!$G$76:$G$1127,'ноябрь 2023'!$D$76:$D$1127,$B133,'ноябрь 2023'!$J$76:$J$1127,Z$1)</f>
        <v>0</v>
      </c>
      <c r="AA133" s="207">
        <f>SUMIFS('ноябрь 2023'!$G$76:$G$1127,'ноябрь 2023'!$D$76:$D$1127,$B133,'ноябрь 2023'!$J$76:$J$1127,AA$1)</f>
        <v>0</v>
      </c>
      <c r="AB133" s="207">
        <f>SUMIFS('ноябрь 2023'!$G$76:$G$1127,'ноябрь 2023'!$D$76:$D$1127,$B133,'ноябрь 2023'!$J$76:$J$1127,AB$1)</f>
        <v>0</v>
      </c>
      <c r="AC133" s="207">
        <f>SUMIFS('ноябрь 2023'!$G$76:$G$1127,'ноябрь 2023'!$D$76:$D$1127,$B133,'ноябрь 2023'!$J$76:$J$1127,AC$1)</f>
        <v>0</v>
      </c>
      <c r="AD133" s="207">
        <f>SUMIFS('ноябрь 2023'!$G$76:$G$1127,'ноябрь 2023'!$D$76:$D$1127,$B133,'ноябрь 2023'!$J$76:$J$1127,AD$1)</f>
        <v>0</v>
      </c>
      <c r="AE133" s="207">
        <f>SUMIFS('ноябрь 2023'!$G$76:$G$1127,'ноябрь 2023'!$D$76:$D$1127,$B133,'ноябрь 2023'!$J$76:$J$1127,AE$1)</f>
        <v>0</v>
      </c>
      <c r="AF133" s="207">
        <f>SUMIFS('ноябрь 2023'!$G$76:$G$1127,'ноябрь 2023'!$D$76:$D$1127,$B133,'ноябрь 2023'!$J$76:$J$1127,AF$1)</f>
        <v>0</v>
      </c>
      <c r="AG133" s="207">
        <f>SUMIFS('ноябрь 2023'!$G$76:$G$1127,'ноябрь 2023'!$D$76:$D$1127,$B133,'ноябрь 2023'!$J$76:$J$1127,AG$1)</f>
        <v>0</v>
      </c>
      <c r="AH133" s="207">
        <f>SUMIFS('ноябрь 2023'!$G$76:$G$1127,'ноябрь 2023'!$D$76:$D$1127,$B133,'ноябрь 2023'!$J$76:$J$1127,AH$1)</f>
        <v>0</v>
      </c>
      <c r="AI133" s="220">
        <f t="shared" si="3"/>
        <v>0</v>
      </c>
    </row>
    <row r="134" spans="2:35" ht="15" hidden="1" customHeight="1" x14ac:dyDescent="0.25">
      <c r="B134" s="212"/>
      <c r="C134" s="211"/>
      <c r="D134" s="207">
        <f>SUMIFS('ноябрь 2023'!$G$76:$G$1127,'ноябрь 2023'!$D$76:$D$1127,$B134,'ноябрь 2023'!$J$76:$J$1127,D$1)</f>
        <v>0</v>
      </c>
      <c r="E134" s="207">
        <f>SUMIFS('ноябрь 2023'!$G$76:$G$1127,'ноябрь 2023'!$D$76:$D$1127,$B134,'ноябрь 2023'!$J$76:$J$1127,E$1)</f>
        <v>0</v>
      </c>
      <c r="F134" s="207">
        <f>SUMIFS('ноябрь 2023'!$G$76:$G$1127,'ноябрь 2023'!$D$76:$D$1127,$B134,'ноябрь 2023'!$J$76:$J$1127,F$1)</f>
        <v>0</v>
      </c>
      <c r="G134" s="207">
        <f>SUMIFS('ноябрь 2023'!$G$76:$G$1127,'ноябрь 2023'!$D$76:$D$1127,$B134,'ноябрь 2023'!$J$76:$J$1127,G$1)</f>
        <v>0</v>
      </c>
      <c r="H134" s="207">
        <f>SUMIFS('ноябрь 2023'!$G$76:$G$1127,'ноябрь 2023'!$D$76:$D$1127,$B134,'ноябрь 2023'!$J$76:$J$1127,H$1)</f>
        <v>0</v>
      </c>
      <c r="I134" s="207">
        <f>SUMIFS('ноябрь 2023'!$G$76:$G$1127,'ноябрь 2023'!$D$76:$D$1127,$B134,'ноябрь 2023'!$J$76:$J$1127,I$1)</f>
        <v>0</v>
      </c>
      <c r="J134" s="207">
        <f>SUMIFS('ноябрь 2023'!$G$76:$G$1127,'ноябрь 2023'!$D$76:$D$1127,$B134,'ноябрь 2023'!$J$76:$J$1127,J$1)</f>
        <v>0</v>
      </c>
      <c r="K134" s="207">
        <f>SUMIFS('ноябрь 2023'!$G$76:$G$1127,'ноябрь 2023'!$D$76:$D$1127,$B134,'ноябрь 2023'!$J$76:$J$1127,K$1)</f>
        <v>0</v>
      </c>
      <c r="L134" s="207">
        <f>SUMIFS('ноябрь 2023'!$G$76:$G$1127,'ноябрь 2023'!$D$76:$D$1127,$B134,'ноябрь 2023'!$J$76:$J$1127,L$1)</f>
        <v>0</v>
      </c>
      <c r="M134" s="207">
        <f>SUMIFS('ноябрь 2023'!$G$76:$G$1127,'ноябрь 2023'!$D$76:$D$1127,$B134,'ноябрь 2023'!$J$76:$J$1127,M$1)</f>
        <v>0</v>
      </c>
      <c r="N134" s="207">
        <f>SUMIFS('ноябрь 2023'!$G$76:$G$1127,'ноябрь 2023'!$D$76:$D$1127,$B134,'ноябрь 2023'!$J$76:$J$1127,N$1)</f>
        <v>0</v>
      </c>
      <c r="O134" s="207">
        <f>SUMIFS('ноябрь 2023'!$G$76:$G$1127,'ноябрь 2023'!$D$76:$D$1127,$B134,'ноябрь 2023'!$J$76:$J$1127,O$1)</f>
        <v>0</v>
      </c>
      <c r="P134" s="207">
        <f>SUMIFS('ноябрь 2023'!$G$76:$G$1127,'ноябрь 2023'!$D$76:$D$1127,$B134,'ноябрь 2023'!$J$76:$J$1127,P$1)</f>
        <v>0</v>
      </c>
      <c r="Q134" s="207">
        <f>SUMIFS('ноябрь 2023'!$G$76:$G$1127,'ноябрь 2023'!$D$76:$D$1127,$B134,'ноябрь 2023'!$J$76:$J$1127,Q$1)</f>
        <v>0</v>
      </c>
      <c r="R134" s="207">
        <f>SUMIFS('ноябрь 2023'!$G$76:$G$1127,'ноябрь 2023'!$D$76:$D$1127,$B134,'ноябрь 2023'!$J$76:$J$1127,R$1)</f>
        <v>0</v>
      </c>
      <c r="S134" s="207">
        <f>SUMIFS('ноябрь 2023'!$G$76:$G$1127,'ноябрь 2023'!$D$76:$D$1127,$B134,'ноябрь 2023'!$J$76:$J$1127,S$1)</f>
        <v>0</v>
      </c>
      <c r="T134" s="207">
        <f>SUMIFS('ноябрь 2023'!$G$76:$G$1127,'ноябрь 2023'!$D$76:$D$1127,$B134,'ноябрь 2023'!$J$76:$J$1127,T$1)</f>
        <v>0</v>
      </c>
      <c r="U134" s="207">
        <f>SUMIFS('ноябрь 2023'!$G$76:$G$1127,'ноябрь 2023'!$D$76:$D$1127,$B134,'ноябрь 2023'!$J$76:$J$1127,U$1)</f>
        <v>0</v>
      </c>
      <c r="V134" s="207">
        <f>SUMIFS('ноябрь 2023'!$G$76:$G$1127,'ноябрь 2023'!$D$76:$D$1127,$B134,'ноябрь 2023'!$J$76:$J$1127,V$1)</f>
        <v>0</v>
      </c>
      <c r="W134" s="207">
        <f>SUMIFS('ноябрь 2023'!$G$76:$G$1127,'ноябрь 2023'!$D$76:$D$1127,$B134,'ноябрь 2023'!$J$76:$J$1127,W$1)</f>
        <v>0</v>
      </c>
      <c r="X134" s="207">
        <f>SUMIFS('ноябрь 2023'!$G$76:$G$1127,'ноябрь 2023'!$D$76:$D$1127,$B134,'ноябрь 2023'!$J$76:$J$1127,X$1)</f>
        <v>0</v>
      </c>
      <c r="Y134" s="207">
        <f>SUMIFS('ноябрь 2023'!$G$76:$G$1127,'ноябрь 2023'!$D$76:$D$1127,$B134,'ноябрь 2023'!$J$76:$J$1127,Y$1)</f>
        <v>0</v>
      </c>
      <c r="Z134" s="207">
        <f>SUMIFS('ноябрь 2023'!$G$76:$G$1127,'ноябрь 2023'!$D$76:$D$1127,$B134,'ноябрь 2023'!$J$76:$J$1127,Z$1)</f>
        <v>0</v>
      </c>
      <c r="AA134" s="207">
        <f>SUMIFS('ноябрь 2023'!$G$76:$G$1127,'ноябрь 2023'!$D$76:$D$1127,$B134,'ноябрь 2023'!$J$76:$J$1127,AA$1)</f>
        <v>0</v>
      </c>
      <c r="AB134" s="207">
        <f>SUMIFS('ноябрь 2023'!$G$76:$G$1127,'ноябрь 2023'!$D$76:$D$1127,$B134,'ноябрь 2023'!$J$76:$J$1127,AB$1)</f>
        <v>0</v>
      </c>
      <c r="AC134" s="207">
        <f>SUMIFS('ноябрь 2023'!$G$76:$G$1127,'ноябрь 2023'!$D$76:$D$1127,$B134,'ноябрь 2023'!$J$76:$J$1127,AC$1)</f>
        <v>0</v>
      </c>
      <c r="AD134" s="207">
        <f>SUMIFS('ноябрь 2023'!$G$76:$G$1127,'ноябрь 2023'!$D$76:$D$1127,$B134,'ноябрь 2023'!$J$76:$J$1127,AD$1)</f>
        <v>0</v>
      </c>
      <c r="AE134" s="207">
        <f>SUMIFS('ноябрь 2023'!$G$76:$G$1127,'ноябрь 2023'!$D$76:$D$1127,$B134,'ноябрь 2023'!$J$76:$J$1127,AE$1)</f>
        <v>0</v>
      </c>
      <c r="AF134" s="207">
        <f>SUMIFS('ноябрь 2023'!$G$76:$G$1127,'ноябрь 2023'!$D$76:$D$1127,$B134,'ноябрь 2023'!$J$76:$J$1127,AF$1)</f>
        <v>0</v>
      </c>
      <c r="AG134" s="207">
        <f>SUMIFS('ноябрь 2023'!$G$76:$G$1127,'ноябрь 2023'!$D$76:$D$1127,$B134,'ноябрь 2023'!$J$76:$J$1127,AG$1)</f>
        <v>0</v>
      </c>
      <c r="AH134" s="207">
        <f>SUMIFS('ноябрь 2023'!$G$76:$G$1127,'ноябрь 2023'!$D$76:$D$1127,$B134,'ноябрь 2023'!$J$76:$J$1127,AH$1)</f>
        <v>0</v>
      </c>
      <c r="AI134" s="220"/>
    </row>
    <row r="135" spans="2:35" ht="15" hidden="1" customHeight="1" x14ac:dyDescent="0.25">
      <c r="B135" s="217"/>
      <c r="C135" s="213"/>
      <c r="D135" s="207">
        <f>SUMIFS('ноябрь 2023'!$G$76:$G$1127,'ноябрь 2023'!$D$76:$D$1127,$B135,'ноябрь 2023'!$J$76:$J$1127,D$1)</f>
        <v>0</v>
      </c>
      <c r="E135" s="207">
        <f>SUMIFS('ноябрь 2023'!$G$76:$G$1127,'ноябрь 2023'!$D$76:$D$1127,$B135,'ноябрь 2023'!$J$76:$J$1127,E$1)</f>
        <v>0</v>
      </c>
      <c r="F135" s="207">
        <f>SUMIFS('ноябрь 2023'!$G$76:$G$1127,'ноябрь 2023'!$D$76:$D$1127,$B135,'ноябрь 2023'!$J$76:$J$1127,F$1)</f>
        <v>0</v>
      </c>
      <c r="G135" s="207">
        <f>SUMIFS('ноябрь 2023'!$G$76:$G$1127,'ноябрь 2023'!$D$76:$D$1127,$B135,'ноябрь 2023'!$J$76:$J$1127,G$1)</f>
        <v>0</v>
      </c>
      <c r="H135" s="207">
        <f>SUMIFS('ноябрь 2023'!$G$76:$G$1127,'ноябрь 2023'!$D$76:$D$1127,$B135,'ноябрь 2023'!$J$76:$J$1127,H$1)</f>
        <v>0</v>
      </c>
      <c r="I135" s="207">
        <f>SUMIFS('ноябрь 2023'!$G$76:$G$1127,'ноябрь 2023'!$D$76:$D$1127,$B135,'ноябрь 2023'!$J$76:$J$1127,I$1)</f>
        <v>0</v>
      </c>
      <c r="J135" s="207">
        <f>SUMIFS('ноябрь 2023'!$G$76:$G$1127,'ноябрь 2023'!$D$76:$D$1127,$B135,'ноябрь 2023'!$J$76:$J$1127,J$1)</f>
        <v>0</v>
      </c>
      <c r="K135" s="207">
        <f>SUMIFS('ноябрь 2023'!$G$76:$G$1127,'ноябрь 2023'!$D$76:$D$1127,$B135,'ноябрь 2023'!$J$76:$J$1127,K$1)</f>
        <v>0</v>
      </c>
      <c r="L135" s="207">
        <f>SUMIFS('ноябрь 2023'!$G$76:$G$1127,'ноябрь 2023'!$D$76:$D$1127,$B135,'ноябрь 2023'!$J$76:$J$1127,L$1)</f>
        <v>0</v>
      </c>
      <c r="M135" s="207">
        <f>SUMIFS('ноябрь 2023'!$G$76:$G$1127,'ноябрь 2023'!$D$76:$D$1127,$B135,'ноябрь 2023'!$J$76:$J$1127,M$1)</f>
        <v>0</v>
      </c>
      <c r="N135" s="207">
        <f>SUMIFS('ноябрь 2023'!$G$76:$G$1127,'ноябрь 2023'!$D$76:$D$1127,$B135,'ноябрь 2023'!$J$76:$J$1127,N$1)</f>
        <v>0</v>
      </c>
      <c r="O135" s="207">
        <f>SUMIFS('ноябрь 2023'!$G$76:$G$1127,'ноябрь 2023'!$D$76:$D$1127,$B135,'ноябрь 2023'!$J$76:$J$1127,O$1)</f>
        <v>0</v>
      </c>
      <c r="P135" s="207">
        <f>SUMIFS('ноябрь 2023'!$G$76:$G$1127,'ноябрь 2023'!$D$76:$D$1127,$B135,'ноябрь 2023'!$J$76:$J$1127,P$1)</f>
        <v>0</v>
      </c>
      <c r="Q135" s="207">
        <f>SUMIFS('ноябрь 2023'!$G$76:$G$1127,'ноябрь 2023'!$D$76:$D$1127,$B135,'ноябрь 2023'!$J$76:$J$1127,Q$1)</f>
        <v>0</v>
      </c>
      <c r="R135" s="207">
        <f>SUMIFS('ноябрь 2023'!$G$76:$G$1127,'ноябрь 2023'!$D$76:$D$1127,$B135,'ноябрь 2023'!$J$76:$J$1127,R$1)</f>
        <v>0</v>
      </c>
      <c r="S135" s="207">
        <f>SUMIFS('ноябрь 2023'!$G$76:$G$1127,'ноябрь 2023'!$D$76:$D$1127,$B135,'ноябрь 2023'!$J$76:$J$1127,S$1)</f>
        <v>0</v>
      </c>
      <c r="T135" s="207">
        <f>SUMIFS('ноябрь 2023'!$G$76:$G$1127,'ноябрь 2023'!$D$76:$D$1127,$B135,'ноябрь 2023'!$J$76:$J$1127,T$1)</f>
        <v>0</v>
      </c>
      <c r="U135" s="207">
        <f>SUMIFS('ноябрь 2023'!$G$76:$G$1127,'ноябрь 2023'!$D$76:$D$1127,$B135,'ноябрь 2023'!$J$76:$J$1127,U$1)</f>
        <v>0</v>
      </c>
      <c r="V135" s="207">
        <f>SUMIFS('ноябрь 2023'!$G$76:$G$1127,'ноябрь 2023'!$D$76:$D$1127,$B135,'ноябрь 2023'!$J$76:$J$1127,V$1)</f>
        <v>0</v>
      </c>
      <c r="W135" s="207">
        <f>SUMIFS('ноябрь 2023'!$G$76:$G$1127,'ноябрь 2023'!$D$76:$D$1127,$B135,'ноябрь 2023'!$J$76:$J$1127,W$1)</f>
        <v>0</v>
      </c>
      <c r="X135" s="207">
        <f>SUMIFS('ноябрь 2023'!$G$76:$G$1127,'ноябрь 2023'!$D$76:$D$1127,$B135,'ноябрь 2023'!$J$76:$J$1127,X$1)</f>
        <v>0</v>
      </c>
      <c r="Y135" s="207">
        <f>SUMIFS('ноябрь 2023'!$G$76:$G$1127,'ноябрь 2023'!$D$76:$D$1127,$B135,'ноябрь 2023'!$J$76:$J$1127,Y$1)</f>
        <v>0</v>
      </c>
      <c r="Z135" s="207">
        <f>SUMIFS('ноябрь 2023'!$G$76:$G$1127,'ноябрь 2023'!$D$76:$D$1127,$B135,'ноябрь 2023'!$J$76:$J$1127,Z$1)</f>
        <v>0</v>
      </c>
      <c r="AA135" s="207">
        <f>SUMIFS('ноябрь 2023'!$G$76:$G$1127,'ноябрь 2023'!$D$76:$D$1127,$B135,'ноябрь 2023'!$J$76:$J$1127,AA$1)</f>
        <v>0</v>
      </c>
      <c r="AB135" s="207">
        <f>SUMIFS('ноябрь 2023'!$G$76:$G$1127,'ноябрь 2023'!$D$76:$D$1127,$B135,'ноябрь 2023'!$J$76:$J$1127,AB$1)</f>
        <v>0</v>
      </c>
      <c r="AC135" s="207">
        <f>SUMIFS('ноябрь 2023'!$G$76:$G$1127,'ноябрь 2023'!$D$76:$D$1127,$B135,'ноябрь 2023'!$J$76:$J$1127,AC$1)</f>
        <v>0</v>
      </c>
      <c r="AD135" s="207">
        <f>SUMIFS('ноябрь 2023'!$G$76:$G$1127,'ноябрь 2023'!$D$76:$D$1127,$B135,'ноябрь 2023'!$J$76:$J$1127,AD$1)</f>
        <v>0</v>
      </c>
      <c r="AE135" s="207">
        <f>SUMIFS('ноябрь 2023'!$G$76:$G$1127,'ноябрь 2023'!$D$76:$D$1127,$B135,'ноябрь 2023'!$J$76:$J$1127,AE$1)</f>
        <v>0</v>
      </c>
      <c r="AF135" s="207">
        <f>SUMIFS('ноябрь 2023'!$G$76:$G$1127,'ноябрь 2023'!$D$76:$D$1127,$B135,'ноябрь 2023'!$J$76:$J$1127,AF$1)</f>
        <v>0</v>
      </c>
      <c r="AG135" s="207">
        <f>SUMIFS('ноябрь 2023'!$G$76:$G$1127,'ноябрь 2023'!$D$76:$D$1127,$B135,'ноябрь 2023'!$J$76:$J$1127,AG$1)</f>
        <v>0</v>
      </c>
      <c r="AH135" s="207">
        <f>SUMIFS('ноябрь 2023'!$G$76:$G$1127,'ноябрь 2023'!$D$76:$D$1127,$B135,'ноябрь 2023'!$J$76:$J$1127,AH$1)</f>
        <v>0</v>
      </c>
      <c r="AI135" s="220"/>
    </row>
    <row r="136" spans="2:35" ht="15" hidden="1" customHeight="1" x14ac:dyDescent="0.25">
      <c r="B136" s="212"/>
      <c r="C136" s="213"/>
      <c r="D136" s="207">
        <f>SUMIFS('ноябрь 2023'!$G$76:$G$1127,'ноябрь 2023'!$D$76:$D$1127,$B136,'ноябрь 2023'!$J$76:$J$1127,D$1)</f>
        <v>0</v>
      </c>
      <c r="E136" s="207">
        <f>SUMIFS('ноябрь 2023'!$G$76:$G$1127,'ноябрь 2023'!$D$76:$D$1127,$B136,'ноябрь 2023'!$J$76:$J$1127,E$1)</f>
        <v>0</v>
      </c>
      <c r="F136" s="207">
        <f>SUMIFS('ноябрь 2023'!$G$76:$G$1127,'ноябрь 2023'!$D$76:$D$1127,$B136,'ноябрь 2023'!$J$76:$J$1127,F$1)</f>
        <v>0</v>
      </c>
      <c r="G136" s="207">
        <f>SUMIFS('ноябрь 2023'!$G$76:$G$1127,'ноябрь 2023'!$D$76:$D$1127,$B136,'ноябрь 2023'!$J$76:$J$1127,G$1)</f>
        <v>0</v>
      </c>
      <c r="H136" s="207">
        <f>SUMIFS('ноябрь 2023'!$G$76:$G$1127,'ноябрь 2023'!$D$76:$D$1127,$B136,'ноябрь 2023'!$J$76:$J$1127,H$1)</f>
        <v>0</v>
      </c>
      <c r="I136" s="207">
        <f>SUMIFS('ноябрь 2023'!$G$76:$G$1127,'ноябрь 2023'!$D$76:$D$1127,$B136,'ноябрь 2023'!$J$76:$J$1127,I$1)</f>
        <v>0</v>
      </c>
      <c r="J136" s="207">
        <f>SUMIFS('ноябрь 2023'!$G$76:$G$1127,'ноябрь 2023'!$D$76:$D$1127,$B136,'ноябрь 2023'!$J$76:$J$1127,J$1)</f>
        <v>0</v>
      </c>
      <c r="K136" s="207">
        <f>SUMIFS('ноябрь 2023'!$G$76:$G$1127,'ноябрь 2023'!$D$76:$D$1127,$B136,'ноябрь 2023'!$J$76:$J$1127,K$1)</f>
        <v>0</v>
      </c>
      <c r="L136" s="207">
        <f>SUMIFS('ноябрь 2023'!$G$76:$G$1127,'ноябрь 2023'!$D$76:$D$1127,$B136,'ноябрь 2023'!$J$76:$J$1127,L$1)</f>
        <v>0</v>
      </c>
      <c r="M136" s="207">
        <f>SUMIFS('ноябрь 2023'!$G$76:$G$1127,'ноябрь 2023'!$D$76:$D$1127,$B136,'ноябрь 2023'!$J$76:$J$1127,M$1)</f>
        <v>0</v>
      </c>
      <c r="N136" s="207">
        <f>SUMIFS('ноябрь 2023'!$G$76:$G$1127,'ноябрь 2023'!$D$76:$D$1127,$B136,'ноябрь 2023'!$J$76:$J$1127,N$1)</f>
        <v>0</v>
      </c>
      <c r="O136" s="207">
        <f>SUMIFS('ноябрь 2023'!$G$76:$G$1127,'ноябрь 2023'!$D$76:$D$1127,$B136,'ноябрь 2023'!$J$76:$J$1127,O$1)</f>
        <v>0</v>
      </c>
      <c r="P136" s="207">
        <f>SUMIFS('ноябрь 2023'!$G$76:$G$1127,'ноябрь 2023'!$D$76:$D$1127,$B136,'ноябрь 2023'!$J$76:$J$1127,P$1)</f>
        <v>0</v>
      </c>
      <c r="Q136" s="207">
        <f>SUMIFS('ноябрь 2023'!$G$76:$G$1127,'ноябрь 2023'!$D$76:$D$1127,$B136,'ноябрь 2023'!$J$76:$J$1127,Q$1)</f>
        <v>0</v>
      </c>
      <c r="R136" s="207">
        <f>SUMIFS('ноябрь 2023'!$G$76:$G$1127,'ноябрь 2023'!$D$76:$D$1127,$B136,'ноябрь 2023'!$J$76:$J$1127,R$1)</f>
        <v>0</v>
      </c>
      <c r="S136" s="207">
        <f>SUMIFS('ноябрь 2023'!$G$76:$G$1127,'ноябрь 2023'!$D$76:$D$1127,$B136,'ноябрь 2023'!$J$76:$J$1127,S$1)</f>
        <v>0</v>
      </c>
      <c r="T136" s="207">
        <f>SUMIFS('ноябрь 2023'!$G$76:$G$1127,'ноябрь 2023'!$D$76:$D$1127,$B136,'ноябрь 2023'!$J$76:$J$1127,T$1)</f>
        <v>0</v>
      </c>
      <c r="U136" s="207">
        <f>SUMIFS('ноябрь 2023'!$G$76:$G$1127,'ноябрь 2023'!$D$76:$D$1127,$B136,'ноябрь 2023'!$J$76:$J$1127,U$1)</f>
        <v>0</v>
      </c>
      <c r="V136" s="207">
        <f>SUMIFS('ноябрь 2023'!$G$76:$G$1127,'ноябрь 2023'!$D$76:$D$1127,$B136,'ноябрь 2023'!$J$76:$J$1127,V$1)</f>
        <v>0</v>
      </c>
      <c r="W136" s="207">
        <f>SUMIFS('ноябрь 2023'!$G$76:$G$1127,'ноябрь 2023'!$D$76:$D$1127,$B136,'ноябрь 2023'!$J$76:$J$1127,W$1)</f>
        <v>0</v>
      </c>
      <c r="X136" s="207">
        <f>SUMIFS('ноябрь 2023'!$G$76:$G$1127,'ноябрь 2023'!$D$76:$D$1127,$B136,'ноябрь 2023'!$J$76:$J$1127,X$1)</f>
        <v>0</v>
      </c>
      <c r="Y136" s="207">
        <f>SUMIFS('ноябрь 2023'!$G$76:$G$1127,'ноябрь 2023'!$D$76:$D$1127,$B136,'ноябрь 2023'!$J$76:$J$1127,Y$1)</f>
        <v>0</v>
      </c>
      <c r="Z136" s="207">
        <f>SUMIFS('ноябрь 2023'!$G$76:$G$1127,'ноябрь 2023'!$D$76:$D$1127,$B136,'ноябрь 2023'!$J$76:$J$1127,Z$1)</f>
        <v>0</v>
      </c>
      <c r="AA136" s="207">
        <f>SUMIFS('ноябрь 2023'!$G$76:$G$1127,'ноябрь 2023'!$D$76:$D$1127,$B136,'ноябрь 2023'!$J$76:$J$1127,AA$1)</f>
        <v>0</v>
      </c>
      <c r="AB136" s="207">
        <f>SUMIFS('ноябрь 2023'!$G$76:$G$1127,'ноябрь 2023'!$D$76:$D$1127,$B136,'ноябрь 2023'!$J$76:$J$1127,AB$1)</f>
        <v>0</v>
      </c>
      <c r="AC136" s="207">
        <f>SUMIFS('ноябрь 2023'!$G$76:$G$1127,'ноябрь 2023'!$D$76:$D$1127,$B136,'ноябрь 2023'!$J$76:$J$1127,AC$1)</f>
        <v>0</v>
      </c>
      <c r="AD136" s="207">
        <f>SUMIFS('ноябрь 2023'!$G$76:$G$1127,'ноябрь 2023'!$D$76:$D$1127,$B136,'ноябрь 2023'!$J$76:$J$1127,AD$1)</f>
        <v>0</v>
      </c>
      <c r="AE136" s="207">
        <f>SUMIFS('ноябрь 2023'!$G$76:$G$1127,'ноябрь 2023'!$D$76:$D$1127,$B136,'ноябрь 2023'!$J$76:$J$1127,AE$1)</f>
        <v>0</v>
      </c>
      <c r="AF136" s="207">
        <f>SUMIFS('ноябрь 2023'!$G$76:$G$1127,'ноябрь 2023'!$D$76:$D$1127,$B136,'ноябрь 2023'!$J$76:$J$1127,AF$1)</f>
        <v>0</v>
      </c>
      <c r="AG136" s="207">
        <f>SUMIFS('ноябрь 2023'!$G$76:$G$1127,'ноябрь 2023'!$D$76:$D$1127,$B136,'ноябрь 2023'!$J$76:$J$1127,AG$1)</f>
        <v>0</v>
      </c>
      <c r="AH136" s="207">
        <f>SUMIFS('ноябрь 2023'!$G$76:$G$1127,'ноябрь 2023'!$D$76:$D$1127,$B136,'ноябрь 2023'!$J$76:$J$1127,AH$1)</f>
        <v>0</v>
      </c>
      <c r="AI136" s="220"/>
    </row>
    <row r="137" spans="2:35" ht="15" hidden="1" customHeight="1" x14ac:dyDescent="0.25">
      <c r="B137" s="212"/>
      <c r="C137" s="211"/>
      <c r="D137" s="207">
        <f>SUMIFS('ноябрь 2023'!$G$76:$G$1127,'ноябрь 2023'!$D$76:$D$1127,$B137,'ноябрь 2023'!$J$76:$J$1127,D$1)</f>
        <v>0</v>
      </c>
      <c r="E137" s="207">
        <f>SUMIFS('ноябрь 2023'!$G$76:$G$1127,'ноябрь 2023'!$D$76:$D$1127,$B137,'ноябрь 2023'!$J$76:$J$1127,E$1)</f>
        <v>0</v>
      </c>
      <c r="F137" s="207">
        <f>SUMIFS('ноябрь 2023'!$G$76:$G$1127,'ноябрь 2023'!$D$76:$D$1127,$B137,'ноябрь 2023'!$J$76:$J$1127,F$1)</f>
        <v>0</v>
      </c>
      <c r="G137" s="207">
        <f>SUMIFS('ноябрь 2023'!$G$76:$G$1127,'ноябрь 2023'!$D$76:$D$1127,$B137,'ноябрь 2023'!$J$76:$J$1127,G$1)</f>
        <v>0</v>
      </c>
      <c r="H137" s="207">
        <f>SUMIFS('ноябрь 2023'!$G$76:$G$1127,'ноябрь 2023'!$D$76:$D$1127,$B137,'ноябрь 2023'!$J$76:$J$1127,H$1)</f>
        <v>0</v>
      </c>
      <c r="I137" s="207">
        <f>SUMIFS('ноябрь 2023'!$G$76:$G$1127,'ноябрь 2023'!$D$76:$D$1127,$B137,'ноябрь 2023'!$J$76:$J$1127,I$1)</f>
        <v>0</v>
      </c>
      <c r="J137" s="207">
        <f>SUMIFS('ноябрь 2023'!$G$76:$G$1127,'ноябрь 2023'!$D$76:$D$1127,$B137,'ноябрь 2023'!$J$76:$J$1127,J$1)</f>
        <v>0</v>
      </c>
      <c r="K137" s="207">
        <f>SUMIFS('ноябрь 2023'!$G$76:$G$1127,'ноябрь 2023'!$D$76:$D$1127,$B137,'ноябрь 2023'!$J$76:$J$1127,K$1)</f>
        <v>0</v>
      </c>
      <c r="L137" s="207">
        <f>SUMIFS('ноябрь 2023'!$G$76:$G$1127,'ноябрь 2023'!$D$76:$D$1127,$B137,'ноябрь 2023'!$J$76:$J$1127,L$1)</f>
        <v>0</v>
      </c>
      <c r="M137" s="207">
        <f>SUMIFS('ноябрь 2023'!$G$76:$G$1127,'ноябрь 2023'!$D$76:$D$1127,$B137,'ноябрь 2023'!$J$76:$J$1127,M$1)</f>
        <v>0</v>
      </c>
      <c r="N137" s="207">
        <f>SUMIFS('ноябрь 2023'!$G$76:$G$1127,'ноябрь 2023'!$D$76:$D$1127,$B137,'ноябрь 2023'!$J$76:$J$1127,N$1)</f>
        <v>0</v>
      </c>
      <c r="O137" s="207">
        <f>SUMIFS('ноябрь 2023'!$G$76:$G$1127,'ноябрь 2023'!$D$76:$D$1127,$B137,'ноябрь 2023'!$J$76:$J$1127,O$1)</f>
        <v>0</v>
      </c>
      <c r="P137" s="207">
        <f>SUMIFS('ноябрь 2023'!$G$76:$G$1127,'ноябрь 2023'!$D$76:$D$1127,$B137,'ноябрь 2023'!$J$76:$J$1127,P$1)</f>
        <v>0</v>
      </c>
      <c r="Q137" s="207">
        <f>SUMIFS('ноябрь 2023'!$G$76:$G$1127,'ноябрь 2023'!$D$76:$D$1127,$B137,'ноябрь 2023'!$J$76:$J$1127,Q$1)</f>
        <v>0</v>
      </c>
      <c r="R137" s="207">
        <f>SUMIFS('ноябрь 2023'!$G$76:$G$1127,'ноябрь 2023'!$D$76:$D$1127,$B137,'ноябрь 2023'!$J$76:$J$1127,R$1)</f>
        <v>0</v>
      </c>
      <c r="S137" s="207">
        <f>SUMIFS('ноябрь 2023'!$G$76:$G$1127,'ноябрь 2023'!$D$76:$D$1127,$B137,'ноябрь 2023'!$J$76:$J$1127,S$1)</f>
        <v>0</v>
      </c>
      <c r="T137" s="207">
        <f>SUMIFS('ноябрь 2023'!$G$76:$G$1127,'ноябрь 2023'!$D$76:$D$1127,$B137,'ноябрь 2023'!$J$76:$J$1127,T$1)</f>
        <v>0</v>
      </c>
      <c r="U137" s="207">
        <f>SUMIFS('ноябрь 2023'!$G$76:$G$1127,'ноябрь 2023'!$D$76:$D$1127,$B137,'ноябрь 2023'!$J$76:$J$1127,U$1)</f>
        <v>0</v>
      </c>
      <c r="V137" s="207">
        <f>SUMIFS('ноябрь 2023'!$G$76:$G$1127,'ноябрь 2023'!$D$76:$D$1127,$B137,'ноябрь 2023'!$J$76:$J$1127,V$1)</f>
        <v>0</v>
      </c>
      <c r="W137" s="207">
        <f>SUMIFS('ноябрь 2023'!$G$76:$G$1127,'ноябрь 2023'!$D$76:$D$1127,$B137,'ноябрь 2023'!$J$76:$J$1127,W$1)</f>
        <v>0</v>
      </c>
      <c r="X137" s="207">
        <f>SUMIFS('ноябрь 2023'!$G$76:$G$1127,'ноябрь 2023'!$D$76:$D$1127,$B137,'ноябрь 2023'!$J$76:$J$1127,X$1)</f>
        <v>0</v>
      </c>
      <c r="Y137" s="207">
        <f>SUMIFS('ноябрь 2023'!$G$76:$G$1127,'ноябрь 2023'!$D$76:$D$1127,$B137,'ноябрь 2023'!$J$76:$J$1127,Y$1)</f>
        <v>0</v>
      </c>
      <c r="Z137" s="207">
        <f>SUMIFS('ноябрь 2023'!$G$76:$G$1127,'ноябрь 2023'!$D$76:$D$1127,$B137,'ноябрь 2023'!$J$76:$J$1127,Z$1)</f>
        <v>0</v>
      </c>
      <c r="AA137" s="207">
        <f>SUMIFS('ноябрь 2023'!$G$76:$G$1127,'ноябрь 2023'!$D$76:$D$1127,$B137,'ноябрь 2023'!$J$76:$J$1127,AA$1)</f>
        <v>0</v>
      </c>
      <c r="AB137" s="207">
        <f>SUMIFS('ноябрь 2023'!$G$76:$G$1127,'ноябрь 2023'!$D$76:$D$1127,$B137,'ноябрь 2023'!$J$76:$J$1127,AB$1)</f>
        <v>0</v>
      </c>
      <c r="AC137" s="207">
        <f>SUMIFS('ноябрь 2023'!$G$76:$G$1127,'ноябрь 2023'!$D$76:$D$1127,$B137,'ноябрь 2023'!$J$76:$J$1127,AC$1)</f>
        <v>0</v>
      </c>
      <c r="AD137" s="207">
        <f>SUMIFS('ноябрь 2023'!$G$76:$G$1127,'ноябрь 2023'!$D$76:$D$1127,$B137,'ноябрь 2023'!$J$76:$J$1127,AD$1)</f>
        <v>0</v>
      </c>
      <c r="AE137" s="207">
        <f>SUMIFS('ноябрь 2023'!$G$76:$G$1127,'ноябрь 2023'!$D$76:$D$1127,$B137,'ноябрь 2023'!$J$76:$J$1127,AE$1)</f>
        <v>0</v>
      </c>
      <c r="AF137" s="207">
        <f>SUMIFS('ноябрь 2023'!$G$76:$G$1127,'ноябрь 2023'!$D$76:$D$1127,$B137,'ноябрь 2023'!$J$76:$J$1127,AF$1)</f>
        <v>0</v>
      </c>
      <c r="AG137" s="207">
        <f>SUMIFS('ноябрь 2023'!$G$76:$G$1127,'ноябрь 2023'!$D$76:$D$1127,$B137,'ноябрь 2023'!$J$76:$J$1127,AG$1)</f>
        <v>0</v>
      </c>
      <c r="AH137" s="207">
        <f>SUMIFS('ноябрь 2023'!$G$76:$G$1127,'ноябрь 2023'!$D$76:$D$1127,$B137,'ноябрь 2023'!$J$76:$J$1127,AH$1)</f>
        <v>0</v>
      </c>
      <c r="AI137" s="220"/>
    </row>
    <row r="138" spans="2:35" ht="15" hidden="1" customHeight="1" x14ac:dyDescent="0.25">
      <c r="B138" s="212"/>
      <c r="C138" s="211"/>
      <c r="D138" s="207">
        <f>SUMIFS('ноябрь 2023'!$G$76:$G$1127,'ноябрь 2023'!$D$76:$D$1127,$B138,'ноябрь 2023'!$J$76:$J$1127,D$1)</f>
        <v>0</v>
      </c>
      <c r="E138" s="207">
        <f>SUMIFS('ноябрь 2023'!$G$76:$G$1127,'ноябрь 2023'!$D$76:$D$1127,$B138,'ноябрь 2023'!$J$76:$J$1127,E$1)</f>
        <v>0</v>
      </c>
      <c r="F138" s="207">
        <f>SUMIFS('ноябрь 2023'!$G$76:$G$1127,'ноябрь 2023'!$D$76:$D$1127,$B138,'ноябрь 2023'!$J$76:$J$1127,F$1)</f>
        <v>0</v>
      </c>
      <c r="G138" s="207">
        <f>SUMIFS('ноябрь 2023'!$G$76:$G$1127,'ноябрь 2023'!$D$76:$D$1127,$B138,'ноябрь 2023'!$J$76:$J$1127,G$1)</f>
        <v>0</v>
      </c>
      <c r="H138" s="207">
        <f>SUMIFS('ноябрь 2023'!$G$76:$G$1127,'ноябрь 2023'!$D$76:$D$1127,$B138,'ноябрь 2023'!$J$76:$J$1127,H$1)</f>
        <v>0</v>
      </c>
      <c r="I138" s="207">
        <f>SUMIFS('ноябрь 2023'!$G$76:$G$1127,'ноябрь 2023'!$D$76:$D$1127,$B138,'ноябрь 2023'!$J$76:$J$1127,I$1)</f>
        <v>0</v>
      </c>
      <c r="J138" s="207">
        <f>SUMIFS('ноябрь 2023'!$G$76:$G$1127,'ноябрь 2023'!$D$76:$D$1127,$B138,'ноябрь 2023'!$J$76:$J$1127,J$1)</f>
        <v>0</v>
      </c>
      <c r="K138" s="207">
        <f>SUMIFS('ноябрь 2023'!$G$76:$G$1127,'ноябрь 2023'!$D$76:$D$1127,$B138,'ноябрь 2023'!$J$76:$J$1127,K$1)</f>
        <v>0</v>
      </c>
      <c r="L138" s="207">
        <f>SUMIFS('ноябрь 2023'!$G$76:$G$1127,'ноябрь 2023'!$D$76:$D$1127,$B138,'ноябрь 2023'!$J$76:$J$1127,L$1)</f>
        <v>0</v>
      </c>
      <c r="M138" s="207">
        <f>SUMIFS('ноябрь 2023'!$G$76:$G$1127,'ноябрь 2023'!$D$76:$D$1127,$B138,'ноябрь 2023'!$J$76:$J$1127,M$1)</f>
        <v>0</v>
      </c>
      <c r="N138" s="207">
        <f>SUMIFS('ноябрь 2023'!$G$76:$G$1127,'ноябрь 2023'!$D$76:$D$1127,$B138,'ноябрь 2023'!$J$76:$J$1127,N$1)</f>
        <v>0</v>
      </c>
      <c r="O138" s="207">
        <f>SUMIFS('ноябрь 2023'!$G$76:$G$1127,'ноябрь 2023'!$D$76:$D$1127,$B138,'ноябрь 2023'!$J$76:$J$1127,O$1)</f>
        <v>0</v>
      </c>
      <c r="P138" s="207">
        <f>SUMIFS('ноябрь 2023'!$G$76:$G$1127,'ноябрь 2023'!$D$76:$D$1127,$B138,'ноябрь 2023'!$J$76:$J$1127,P$1)</f>
        <v>0</v>
      </c>
      <c r="Q138" s="207">
        <f>SUMIFS('ноябрь 2023'!$G$76:$G$1127,'ноябрь 2023'!$D$76:$D$1127,$B138,'ноябрь 2023'!$J$76:$J$1127,Q$1)</f>
        <v>0</v>
      </c>
      <c r="R138" s="207">
        <f>SUMIFS('ноябрь 2023'!$G$76:$G$1127,'ноябрь 2023'!$D$76:$D$1127,$B138,'ноябрь 2023'!$J$76:$J$1127,R$1)</f>
        <v>0</v>
      </c>
      <c r="S138" s="207">
        <f>SUMIFS('ноябрь 2023'!$G$76:$G$1127,'ноябрь 2023'!$D$76:$D$1127,$B138,'ноябрь 2023'!$J$76:$J$1127,S$1)</f>
        <v>0</v>
      </c>
      <c r="T138" s="207">
        <f>SUMIFS('ноябрь 2023'!$G$76:$G$1127,'ноябрь 2023'!$D$76:$D$1127,$B138,'ноябрь 2023'!$J$76:$J$1127,T$1)</f>
        <v>0</v>
      </c>
      <c r="U138" s="207">
        <f>SUMIFS('ноябрь 2023'!$G$76:$G$1127,'ноябрь 2023'!$D$76:$D$1127,$B138,'ноябрь 2023'!$J$76:$J$1127,U$1)</f>
        <v>0</v>
      </c>
      <c r="V138" s="207">
        <f>SUMIFS('ноябрь 2023'!$G$76:$G$1127,'ноябрь 2023'!$D$76:$D$1127,$B138,'ноябрь 2023'!$J$76:$J$1127,V$1)</f>
        <v>0</v>
      </c>
      <c r="W138" s="207">
        <f>SUMIFS('ноябрь 2023'!$G$76:$G$1127,'ноябрь 2023'!$D$76:$D$1127,$B138,'ноябрь 2023'!$J$76:$J$1127,W$1)</f>
        <v>0</v>
      </c>
      <c r="X138" s="207">
        <f>SUMIFS('ноябрь 2023'!$G$76:$G$1127,'ноябрь 2023'!$D$76:$D$1127,$B138,'ноябрь 2023'!$J$76:$J$1127,X$1)</f>
        <v>0</v>
      </c>
      <c r="Y138" s="207">
        <f>SUMIFS('ноябрь 2023'!$G$76:$G$1127,'ноябрь 2023'!$D$76:$D$1127,$B138,'ноябрь 2023'!$J$76:$J$1127,Y$1)</f>
        <v>0</v>
      </c>
      <c r="Z138" s="207">
        <f>SUMIFS('ноябрь 2023'!$G$76:$G$1127,'ноябрь 2023'!$D$76:$D$1127,$B138,'ноябрь 2023'!$J$76:$J$1127,Z$1)</f>
        <v>0</v>
      </c>
      <c r="AA138" s="207">
        <f>SUMIFS('ноябрь 2023'!$G$76:$G$1127,'ноябрь 2023'!$D$76:$D$1127,$B138,'ноябрь 2023'!$J$76:$J$1127,AA$1)</f>
        <v>0</v>
      </c>
      <c r="AB138" s="207">
        <f>SUMIFS('ноябрь 2023'!$G$76:$G$1127,'ноябрь 2023'!$D$76:$D$1127,$B138,'ноябрь 2023'!$J$76:$J$1127,AB$1)</f>
        <v>0</v>
      </c>
      <c r="AC138" s="207">
        <f>SUMIFS('ноябрь 2023'!$G$76:$G$1127,'ноябрь 2023'!$D$76:$D$1127,$B138,'ноябрь 2023'!$J$76:$J$1127,AC$1)</f>
        <v>0</v>
      </c>
      <c r="AD138" s="207">
        <f>SUMIFS('ноябрь 2023'!$G$76:$G$1127,'ноябрь 2023'!$D$76:$D$1127,$B138,'ноябрь 2023'!$J$76:$J$1127,AD$1)</f>
        <v>0</v>
      </c>
      <c r="AE138" s="207">
        <f>SUMIFS('ноябрь 2023'!$G$76:$G$1127,'ноябрь 2023'!$D$76:$D$1127,$B138,'ноябрь 2023'!$J$76:$J$1127,AE$1)</f>
        <v>0</v>
      </c>
      <c r="AF138" s="207">
        <f>SUMIFS('ноябрь 2023'!$G$76:$G$1127,'ноябрь 2023'!$D$76:$D$1127,$B138,'ноябрь 2023'!$J$76:$J$1127,AF$1)</f>
        <v>0</v>
      </c>
      <c r="AG138" s="207">
        <f>SUMIFS('ноябрь 2023'!$G$76:$G$1127,'ноябрь 2023'!$D$76:$D$1127,$B138,'ноябрь 2023'!$J$76:$J$1127,AG$1)</f>
        <v>0</v>
      </c>
      <c r="AH138" s="207">
        <f>SUMIFS('ноябрь 2023'!$G$76:$G$1127,'ноябрь 2023'!$D$76:$D$1127,$B138,'ноябрь 2023'!$J$76:$J$1127,AH$1)</f>
        <v>0</v>
      </c>
      <c r="AI138" s="220"/>
    </row>
    <row r="139" spans="2:35" ht="15" hidden="1" customHeight="1" x14ac:dyDescent="0.25">
      <c r="B139" s="212"/>
      <c r="C139" s="211"/>
      <c r="D139" s="207">
        <f>SUMIFS('ноябрь 2023'!$G$76:$G$1127,'ноябрь 2023'!$D$76:$D$1127,$B139,'ноябрь 2023'!$J$76:$J$1127,D$1)</f>
        <v>0</v>
      </c>
      <c r="E139" s="207">
        <f>SUMIFS('ноябрь 2023'!$G$76:$G$1127,'ноябрь 2023'!$D$76:$D$1127,$B139,'ноябрь 2023'!$J$76:$J$1127,E$1)</f>
        <v>0</v>
      </c>
      <c r="F139" s="207">
        <f>SUMIFS('ноябрь 2023'!$G$76:$G$1127,'ноябрь 2023'!$D$76:$D$1127,$B139,'ноябрь 2023'!$J$76:$J$1127,F$1)</f>
        <v>0</v>
      </c>
      <c r="G139" s="207">
        <f>SUMIFS('ноябрь 2023'!$G$76:$G$1127,'ноябрь 2023'!$D$76:$D$1127,$B139,'ноябрь 2023'!$J$76:$J$1127,G$1)</f>
        <v>0</v>
      </c>
      <c r="H139" s="207">
        <f>SUMIFS('ноябрь 2023'!$G$76:$G$1127,'ноябрь 2023'!$D$76:$D$1127,$B139,'ноябрь 2023'!$J$76:$J$1127,H$1)</f>
        <v>0</v>
      </c>
      <c r="I139" s="207">
        <f>SUMIFS('ноябрь 2023'!$G$76:$G$1127,'ноябрь 2023'!$D$76:$D$1127,$B139,'ноябрь 2023'!$J$76:$J$1127,I$1)</f>
        <v>0</v>
      </c>
      <c r="J139" s="207">
        <f>SUMIFS('ноябрь 2023'!$G$76:$G$1127,'ноябрь 2023'!$D$76:$D$1127,$B139,'ноябрь 2023'!$J$76:$J$1127,J$1)</f>
        <v>0</v>
      </c>
      <c r="K139" s="207">
        <f>SUMIFS('ноябрь 2023'!$G$76:$G$1127,'ноябрь 2023'!$D$76:$D$1127,$B139,'ноябрь 2023'!$J$76:$J$1127,K$1)</f>
        <v>0</v>
      </c>
      <c r="L139" s="207">
        <f>SUMIFS('ноябрь 2023'!$G$76:$G$1127,'ноябрь 2023'!$D$76:$D$1127,$B139,'ноябрь 2023'!$J$76:$J$1127,L$1)</f>
        <v>0</v>
      </c>
      <c r="M139" s="207">
        <f>SUMIFS('ноябрь 2023'!$G$76:$G$1127,'ноябрь 2023'!$D$76:$D$1127,$B139,'ноябрь 2023'!$J$76:$J$1127,M$1)</f>
        <v>0</v>
      </c>
      <c r="N139" s="207">
        <f>SUMIFS('ноябрь 2023'!$G$76:$G$1127,'ноябрь 2023'!$D$76:$D$1127,$B139,'ноябрь 2023'!$J$76:$J$1127,N$1)</f>
        <v>0</v>
      </c>
      <c r="O139" s="207">
        <f>SUMIFS('ноябрь 2023'!$G$76:$G$1127,'ноябрь 2023'!$D$76:$D$1127,$B139,'ноябрь 2023'!$J$76:$J$1127,O$1)</f>
        <v>0</v>
      </c>
      <c r="P139" s="207">
        <f>SUMIFS('ноябрь 2023'!$G$76:$G$1127,'ноябрь 2023'!$D$76:$D$1127,$B139,'ноябрь 2023'!$J$76:$J$1127,P$1)</f>
        <v>0</v>
      </c>
      <c r="Q139" s="207">
        <f>SUMIFS('ноябрь 2023'!$G$76:$G$1127,'ноябрь 2023'!$D$76:$D$1127,$B139,'ноябрь 2023'!$J$76:$J$1127,Q$1)</f>
        <v>0</v>
      </c>
      <c r="R139" s="207">
        <f>SUMIFS('ноябрь 2023'!$G$76:$G$1127,'ноябрь 2023'!$D$76:$D$1127,$B139,'ноябрь 2023'!$J$76:$J$1127,R$1)</f>
        <v>0</v>
      </c>
      <c r="S139" s="207">
        <f>SUMIFS('ноябрь 2023'!$G$76:$G$1127,'ноябрь 2023'!$D$76:$D$1127,$B139,'ноябрь 2023'!$J$76:$J$1127,S$1)</f>
        <v>0</v>
      </c>
      <c r="T139" s="207">
        <f>SUMIFS('ноябрь 2023'!$G$76:$G$1127,'ноябрь 2023'!$D$76:$D$1127,$B139,'ноябрь 2023'!$J$76:$J$1127,T$1)</f>
        <v>0</v>
      </c>
      <c r="U139" s="207">
        <f>SUMIFS('ноябрь 2023'!$G$76:$G$1127,'ноябрь 2023'!$D$76:$D$1127,$B139,'ноябрь 2023'!$J$76:$J$1127,U$1)</f>
        <v>0</v>
      </c>
      <c r="V139" s="207">
        <f>SUMIFS('ноябрь 2023'!$G$76:$G$1127,'ноябрь 2023'!$D$76:$D$1127,$B139,'ноябрь 2023'!$J$76:$J$1127,V$1)</f>
        <v>0</v>
      </c>
      <c r="W139" s="207">
        <f>SUMIFS('ноябрь 2023'!$G$76:$G$1127,'ноябрь 2023'!$D$76:$D$1127,$B139,'ноябрь 2023'!$J$76:$J$1127,W$1)</f>
        <v>0</v>
      </c>
      <c r="X139" s="207">
        <f>SUMIFS('ноябрь 2023'!$G$76:$G$1127,'ноябрь 2023'!$D$76:$D$1127,$B139,'ноябрь 2023'!$J$76:$J$1127,X$1)</f>
        <v>0</v>
      </c>
      <c r="Y139" s="207">
        <f>SUMIFS('ноябрь 2023'!$G$76:$G$1127,'ноябрь 2023'!$D$76:$D$1127,$B139,'ноябрь 2023'!$J$76:$J$1127,Y$1)</f>
        <v>0</v>
      </c>
      <c r="Z139" s="207">
        <f>SUMIFS('ноябрь 2023'!$G$76:$G$1127,'ноябрь 2023'!$D$76:$D$1127,$B139,'ноябрь 2023'!$J$76:$J$1127,Z$1)</f>
        <v>0</v>
      </c>
      <c r="AA139" s="207">
        <f>SUMIFS('ноябрь 2023'!$G$76:$G$1127,'ноябрь 2023'!$D$76:$D$1127,$B139,'ноябрь 2023'!$J$76:$J$1127,AA$1)</f>
        <v>0</v>
      </c>
      <c r="AB139" s="207">
        <f>SUMIFS('ноябрь 2023'!$G$76:$G$1127,'ноябрь 2023'!$D$76:$D$1127,$B139,'ноябрь 2023'!$J$76:$J$1127,AB$1)</f>
        <v>0</v>
      </c>
      <c r="AC139" s="207">
        <f>SUMIFS('ноябрь 2023'!$G$76:$G$1127,'ноябрь 2023'!$D$76:$D$1127,$B139,'ноябрь 2023'!$J$76:$J$1127,AC$1)</f>
        <v>0</v>
      </c>
      <c r="AD139" s="207">
        <f>SUMIFS('ноябрь 2023'!$G$76:$G$1127,'ноябрь 2023'!$D$76:$D$1127,$B139,'ноябрь 2023'!$J$76:$J$1127,AD$1)</f>
        <v>0</v>
      </c>
      <c r="AE139" s="207">
        <f>SUMIFS('ноябрь 2023'!$G$76:$G$1127,'ноябрь 2023'!$D$76:$D$1127,$B139,'ноябрь 2023'!$J$76:$J$1127,AE$1)</f>
        <v>0</v>
      </c>
      <c r="AF139" s="207">
        <f>SUMIFS('ноябрь 2023'!$G$76:$G$1127,'ноябрь 2023'!$D$76:$D$1127,$B139,'ноябрь 2023'!$J$76:$J$1127,AF$1)</f>
        <v>0</v>
      </c>
      <c r="AG139" s="207">
        <f>SUMIFS('ноябрь 2023'!$G$76:$G$1127,'ноябрь 2023'!$D$76:$D$1127,$B139,'ноябрь 2023'!$J$76:$J$1127,AG$1)</f>
        <v>0</v>
      </c>
      <c r="AH139" s="207">
        <f>SUMIFS('ноябрь 2023'!$G$76:$G$1127,'ноябрь 2023'!$D$76:$D$1127,$B139,'ноябрь 2023'!$J$76:$J$1127,AH$1)</f>
        <v>0</v>
      </c>
      <c r="AI139" s="220"/>
    </row>
    <row r="140" spans="2:35" ht="15" hidden="1" customHeight="1" x14ac:dyDescent="0.25">
      <c r="B140" s="216"/>
      <c r="C140" s="213"/>
      <c r="D140" s="207">
        <f>SUMIFS('ноябрь 2023'!$G$76:$G$1127,'ноябрь 2023'!$D$76:$D$1127,$B140,'ноябрь 2023'!$J$76:$J$1127,D$1)</f>
        <v>0</v>
      </c>
      <c r="E140" s="207">
        <f>SUMIFS('ноябрь 2023'!$G$76:$G$1127,'ноябрь 2023'!$D$76:$D$1127,$B140,'ноябрь 2023'!$J$76:$J$1127,E$1)</f>
        <v>0</v>
      </c>
      <c r="F140" s="207">
        <f>SUMIFS('ноябрь 2023'!$G$76:$G$1127,'ноябрь 2023'!$D$76:$D$1127,$B140,'ноябрь 2023'!$J$76:$J$1127,F$1)</f>
        <v>0</v>
      </c>
      <c r="G140" s="207">
        <f>SUMIFS('ноябрь 2023'!$G$76:$G$1127,'ноябрь 2023'!$D$76:$D$1127,$B140,'ноябрь 2023'!$J$76:$J$1127,G$1)</f>
        <v>0</v>
      </c>
      <c r="H140" s="207">
        <f>SUMIFS('ноябрь 2023'!$G$76:$G$1127,'ноябрь 2023'!$D$76:$D$1127,$B140,'ноябрь 2023'!$J$76:$J$1127,H$1)</f>
        <v>0</v>
      </c>
      <c r="I140" s="207">
        <f>SUMIFS('ноябрь 2023'!$G$76:$G$1127,'ноябрь 2023'!$D$76:$D$1127,$B140,'ноябрь 2023'!$J$76:$J$1127,I$1)</f>
        <v>0</v>
      </c>
      <c r="J140" s="207">
        <f>SUMIFS('ноябрь 2023'!$G$76:$G$1127,'ноябрь 2023'!$D$76:$D$1127,$B140,'ноябрь 2023'!$J$76:$J$1127,J$1)</f>
        <v>0</v>
      </c>
      <c r="K140" s="207">
        <f>SUMIFS('ноябрь 2023'!$G$76:$G$1127,'ноябрь 2023'!$D$76:$D$1127,$B140,'ноябрь 2023'!$J$76:$J$1127,K$1)</f>
        <v>0</v>
      </c>
      <c r="L140" s="207">
        <f>SUMIFS('ноябрь 2023'!$G$76:$G$1127,'ноябрь 2023'!$D$76:$D$1127,$B140,'ноябрь 2023'!$J$76:$J$1127,L$1)</f>
        <v>0</v>
      </c>
      <c r="M140" s="207">
        <f>SUMIFS('ноябрь 2023'!$G$76:$G$1127,'ноябрь 2023'!$D$76:$D$1127,$B140,'ноябрь 2023'!$J$76:$J$1127,M$1)</f>
        <v>0</v>
      </c>
      <c r="N140" s="207">
        <f>SUMIFS('ноябрь 2023'!$G$76:$G$1127,'ноябрь 2023'!$D$76:$D$1127,$B140,'ноябрь 2023'!$J$76:$J$1127,N$1)</f>
        <v>0</v>
      </c>
      <c r="O140" s="207">
        <f>SUMIFS('ноябрь 2023'!$G$76:$G$1127,'ноябрь 2023'!$D$76:$D$1127,$B140,'ноябрь 2023'!$J$76:$J$1127,O$1)</f>
        <v>0</v>
      </c>
      <c r="P140" s="207">
        <f>SUMIFS('ноябрь 2023'!$G$76:$G$1127,'ноябрь 2023'!$D$76:$D$1127,$B140,'ноябрь 2023'!$J$76:$J$1127,P$1)</f>
        <v>0</v>
      </c>
      <c r="Q140" s="207">
        <f>SUMIFS('ноябрь 2023'!$G$76:$G$1127,'ноябрь 2023'!$D$76:$D$1127,$B140,'ноябрь 2023'!$J$76:$J$1127,Q$1)</f>
        <v>0</v>
      </c>
      <c r="R140" s="207">
        <f>SUMIFS('ноябрь 2023'!$G$76:$G$1127,'ноябрь 2023'!$D$76:$D$1127,$B140,'ноябрь 2023'!$J$76:$J$1127,R$1)</f>
        <v>0</v>
      </c>
      <c r="S140" s="207">
        <f>SUMIFS('ноябрь 2023'!$G$76:$G$1127,'ноябрь 2023'!$D$76:$D$1127,$B140,'ноябрь 2023'!$J$76:$J$1127,S$1)</f>
        <v>0</v>
      </c>
      <c r="T140" s="207">
        <f>SUMIFS('ноябрь 2023'!$G$76:$G$1127,'ноябрь 2023'!$D$76:$D$1127,$B140,'ноябрь 2023'!$J$76:$J$1127,T$1)</f>
        <v>0</v>
      </c>
      <c r="U140" s="207">
        <f>SUMIFS('ноябрь 2023'!$G$76:$G$1127,'ноябрь 2023'!$D$76:$D$1127,$B140,'ноябрь 2023'!$J$76:$J$1127,U$1)</f>
        <v>0</v>
      </c>
      <c r="V140" s="207">
        <f>SUMIFS('ноябрь 2023'!$G$76:$G$1127,'ноябрь 2023'!$D$76:$D$1127,$B140,'ноябрь 2023'!$J$76:$J$1127,V$1)</f>
        <v>0</v>
      </c>
      <c r="W140" s="207">
        <f>SUMIFS('ноябрь 2023'!$G$76:$G$1127,'ноябрь 2023'!$D$76:$D$1127,$B140,'ноябрь 2023'!$J$76:$J$1127,W$1)</f>
        <v>0</v>
      </c>
      <c r="X140" s="207">
        <f>SUMIFS('ноябрь 2023'!$G$76:$G$1127,'ноябрь 2023'!$D$76:$D$1127,$B140,'ноябрь 2023'!$J$76:$J$1127,X$1)</f>
        <v>0</v>
      </c>
      <c r="Y140" s="207">
        <f>SUMIFS('ноябрь 2023'!$G$76:$G$1127,'ноябрь 2023'!$D$76:$D$1127,$B140,'ноябрь 2023'!$J$76:$J$1127,Y$1)</f>
        <v>0</v>
      </c>
      <c r="Z140" s="207">
        <f>SUMIFS('ноябрь 2023'!$G$76:$G$1127,'ноябрь 2023'!$D$76:$D$1127,$B140,'ноябрь 2023'!$J$76:$J$1127,Z$1)</f>
        <v>0</v>
      </c>
      <c r="AA140" s="207">
        <f>SUMIFS('ноябрь 2023'!$G$76:$G$1127,'ноябрь 2023'!$D$76:$D$1127,$B140,'ноябрь 2023'!$J$76:$J$1127,AA$1)</f>
        <v>0</v>
      </c>
      <c r="AB140" s="207">
        <f>SUMIFS('ноябрь 2023'!$G$76:$G$1127,'ноябрь 2023'!$D$76:$D$1127,$B140,'ноябрь 2023'!$J$76:$J$1127,AB$1)</f>
        <v>0</v>
      </c>
      <c r="AC140" s="207">
        <f>SUMIFS('ноябрь 2023'!$G$76:$G$1127,'ноябрь 2023'!$D$76:$D$1127,$B140,'ноябрь 2023'!$J$76:$J$1127,AC$1)</f>
        <v>0</v>
      </c>
      <c r="AD140" s="207">
        <f>SUMIFS('ноябрь 2023'!$G$76:$G$1127,'ноябрь 2023'!$D$76:$D$1127,$B140,'ноябрь 2023'!$J$76:$J$1127,AD$1)</f>
        <v>0</v>
      </c>
      <c r="AE140" s="207">
        <f>SUMIFS('ноябрь 2023'!$G$76:$G$1127,'ноябрь 2023'!$D$76:$D$1127,$B140,'ноябрь 2023'!$J$76:$J$1127,AE$1)</f>
        <v>0</v>
      </c>
      <c r="AF140" s="207">
        <f>SUMIFS('ноябрь 2023'!$G$76:$G$1127,'ноябрь 2023'!$D$76:$D$1127,$B140,'ноябрь 2023'!$J$76:$J$1127,AF$1)</f>
        <v>0</v>
      </c>
      <c r="AG140" s="207">
        <f>SUMIFS('ноябрь 2023'!$G$76:$G$1127,'ноябрь 2023'!$D$76:$D$1127,$B140,'ноябрь 2023'!$J$76:$J$1127,AG$1)</f>
        <v>0</v>
      </c>
      <c r="AH140" s="207">
        <f>SUMIFS('ноябрь 2023'!$G$76:$G$1127,'ноябрь 2023'!$D$76:$D$1127,$B140,'ноябрь 2023'!$J$76:$J$1127,AH$1)</f>
        <v>0</v>
      </c>
      <c r="AI140" s="220">
        <f t="shared" si="3"/>
        <v>0</v>
      </c>
    </row>
    <row r="141" spans="2:35" ht="15" hidden="1" customHeight="1" x14ac:dyDescent="0.25">
      <c r="B141" s="216"/>
      <c r="C141" s="213"/>
      <c r="D141" s="207">
        <f>SUMIFS('ноябрь 2023'!$G$76:$G$1127,'ноябрь 2023'!$D$76:$D$1127,$B141,'ноябрь 2023'!$J$76:$J$1127,D$1)</f>
        <v>0</v>
      </c>
      <c r="E141" s="207">
        <f>SUMIFS('ноябрь 2023'!$G$76:$G$1127,'ноябрь 2023'!$D$76:$D$1127,$B141,'ноябрь 2023'!$J$76:$J$1127,E$1)</f>
        <v>0</v>
      </c>
      <c r="F141" s="207">
        <f>SUMIFS('ноябрь 2023'!$G$76:$G$1127,'ноябрь 2023'!$D$76:$D$1127,$B141,'ноябрь 2023'!$J$76:$J$1127,F$1)</f>
        <v>0</v>
      </c>
      <c r="G141" s="207">
        <f>SUMIFS('ноябрь 2023'!$G$76:$G$1127,'ноябрь 2023'!$D$76:$D$1127,$B141,'ноябрь 2023'!$J$76:$J$1127,G$1)</f>
        <v>0</v>
      </c>
      <c r="H141" s="207">
        <f>SUMIFS('ноябрь 2023'!$G$76:$G$1127,'ноябрь 2023'!$D$76:$D$1127,$B141,'ноябрь 2023'!$J$76:$J$1127,H$1)</f>
        <v>0</v>
      </c>
      <c r="I141" s="207">
        <f>SUMIFS('ноябрь 2023'!$G$76:$G$1127,'ноябрь 2023'!$D$76:$D$1127,$B141,'ноябрь 2023'!$J$76:$J$1127,I$1)</f>
        <v>0</v>
      </c>
      <c r="J141" s="207">
        <f>SUMIFS('ноябрь 2023'!$G$76:$G$1127,'ноябрь 2023'!$D$76:$D$1127,$B141,'ноябрь 2023'!$J$76:$J$1127,J$1)</f>
        <v>0</v>
      </c>
      <c r="K141" s="207">
        <f>SUMIFS('ноябрь 2023'!$G$76:$G$1127,'ноябрь 2023'!$D$76:$D$1127,$B141,'ноябрь 2023'!$J$76:$J$1127,K$1)</f>
        <v>0</v>
      </c>
      <c r="L141" s="207">
        <f>SUMIFS('ноябрь 2023'!$G$76:$G$1127,'ноябрь 2023'!$D$76:$D$1127,$B141,'ноябрь 2023'!$J$76:$J$1127,L$1)</f>
        <v>0</v>
      </c>
      <c r="M141" s="207">
        <f>SUMIFS('ноябрь 2023'!$G$76:$G$1127,'ноябрь 2023'!$D$76:$D$1127,$B141,'ноябрь 2023'!$J$76:$J$1127,M$1)</f>
        <v>0</v>
      </c>
      <c r="N141" s="207">
        <f>SUMIFS('ноябрь 2023'!$G$76:$G$1127,'ноябрь 2023'!$D$76:$D$1127,$B141,'ноябрь 2023'!$J$76:$J$1127,N$1)</f>
        <v>0</v>
      </c>
      <c r="O141" s="207">
        <f>SUMIFS('ноябрь 2023'!$G$76:$G$1127,'ноябрь 2023'!$D$76:$D$1127,$B141,'ноябрь 2023'!$J$76:$J$1127,O$1)</f>
        <v>0</v>
      </c>
      <c r="P141" s="207">
        <f>SUMIFS('ноябрь 2023'!$G$76:$G$1127,'ноябрь 2023'!$D$76:$D$1127,$B141,'ноябрь 2023'!$J$76:$J$1127,P$1)</f>
        <v>0</v>
      </c>
      <c r="Q141" s="207">
        <f>SUMIFS('ноябрь 2023'!$G$76:$G$1127,'ноябрь 2023'!$D$76:$D$1127,$B141,'ноябрь 2023'!$J$76:$J$1127,Q$1)</f>
        <v>0</v>
      </c>
      <c r="R141" s="207">
        <f>SUMIFS('ноябрь 2023'!$G$76:$G$1127,'ноябрь 2023'!$D$76:$D$1127,$B141,'ноябрь 2023'!$J$76:$J$1127,R$1)</f>
        <v>0</v>
      </c>
      <c r="S141" s="207">
        <f>SUMIFS('ноябрь 2023'!$G$76:$G$1127,'ноябрь 2023'!$D$76:$D$1127,$B141,'ноябрь 2023'!$J$76:$J$1127,S$1)</f>
        <v>0</v>
      </c>
      <c r="T141" s="207">
        <f>SUMIFS('ноябрь 2023'!$G$76:$G$1127,'ноябрь 2023'!$D$76:$D$1127,$B141,'ноябрь 2023'!$J$76:$J$1127,T$1)</f>
        <v>0</v>
      </c>
      <c r="U141" s="207">
        <f>SUMIFS('ноябрь 2023'!$G$76:$G$1127,'ноябрь 2023'!$D$76:$D$1127,$B141,'ноябрь 2023'!$J$76:$J$1127,U$1)</f>
        <v>0</v>
      </c>
      <c r="V141" s="207">
        <f>SUMIFS('ноябрь 2023'!$G$76:$G$1127,'ноябрь 2023'!$D$76:$D$1127,$B141,'ноябрь 2023'!$J$76:$J$1127,V$1)</f>
        <v>0</v>
      </c>
      <c r="W141" s="207">
        <f>SUMIFS('ноябрь 2023'!$G$76:$G$1127,'ноябрь 2023'!$D$76:$D$1127,$B141,'ноябрь 2023'!$J$76:$J$1127,W$1)</f>
        <v>0</v>
      </c>
      <c r="X141" s="207">
        <f>SUMIFS('ноябрь 2023'!$G$76:$G$1127,'ноябрь 2023'!$D$76:$D$1127,$B141,'ноябрь 2023'!$J$76:$J$1127,X$1)</f>
        <v>0</v>
      </c>
      <c r="Y141" s="207">
        <f>SUMIFS('ноябрь 2023'!$G$76:$G$1127,'ноябрь 2023'!$D$76:$D$1127,$B141,'ноябрь 2023'!$J$76:$J$1127,Y$1)</f>
        <v>0</v>
      </c>
      <c r="Z141" s="207">
        <f>SUMIFS('ноябрь 2023'!$G$76:$G$1127,'ноябрь 2023'!$D$76:$D$1127,$B141,'ноябрь 2023'!$J$76:$J$1127,Z$1)</f>
        <v>0</v>
      </c>
      <c r="AA141" s="207">
        <f>SUMIFS('ноябрь 2023'!$G$76:$G$1127,'ноябрь 2023'!$D$76:$D$1127,$B141,'ноябрь 2023'!$J$76:$J$1127,AA$1)</f>
        <v>0</v>
      </c>
      <c r="AB141" s="207">
        <f>SUMIFS('ноябрь 2023'!$G$76:$G$1127,'ноябрь 2023'!$D$76:$D$1127,$B141,'ноябрь 2023'!$J$76:$J$1127,AB$1)</f>
        <v>0</v>
      </c>
      <c r="AC141" s="207">
        <f>SUMIFS('ноябрь 2023'!$G$76:$G$1127,'ноябрь 2023'!$D$76:$D$1127,$B141,'ноябрь 2023'!$J$76:$J$1127,AC$1)</f>
        <v>0</v>
      </c>
      <c r="AD141" s="207">
        <f>SUMIFS('ноябрь 2023'!$G$76:$G$1127,'ноябрь 2023'!$D$76:$D$1127,$B141,'ноябрь 2023'!$J$76:$J$1127,AD$1)</f>
        <v>0</v>
      </c>
      <c r="AE141" s="207">
        <f>SUMIFS('ноябрь 2023'!$G$76:$G$1127,'ноябрь 2023'!$D$76:$D$1127,$B141,'ноябрь 2023'!$J$76:$J$1127,AE$1)</f>
        <v>0</v>
      </c>
      <c r="AF141" s="207">
        <f>SUMIFS('ноябрь 2023'!$G$76:$G$1127,'ноябрь 2023'!$D$76:$D$1127,$B141,'ноябрь 2023'!$J$76:$J$1127,AF$1)</f>
        <v>0</v>
      </c>
      <c r="AG141" s="207">
        <f>SUMIFS('ноябрь 2023'!$G$76:$G$1127,'ноябрь 2023'!$D$76:$D$1127,$B141,'ноябрь 2023'!$J$76:$J$1127,AG$1)</f>
        <v>0</v>
      </c>
      <c r="AH141" s="207">
        <f>SUMIFS('ноябрь 2023'!$G$76:$G$1127,'ноябрь 2023'!$D$76:$D$1127,$B141,'ноябрь 2023'!$J$76:$J$1127,AH$1)</f>
        <v>0</v>
      </c>
      <c r="AI141" s="220">
        <f t="shared" si="3"/>
        <v>0</v>
      </c>
    </row>
    <row r="142" spans="2:35" ht="15" hidden="1" customHeight="1" x14ac:dyDescent="0.25">
      <c r="B142" s="216"/>
      <c r="C142" s="213"/>
      <c r="D142" s="207">
        <f>SUMIFS('ноябрь 2023'!$G$76:$G$1127,'ноябрь 2023'!$D$76:$D$1127,$B142,'ноябрь 2023'!$J$76:$J$1127,D$1)</f>
        <v>0</v>
      </c>
      <c r="E142" s="207">
        <f>SUMIFS('ноябрь 2023'!$G$76:$G$1127,'ноябрь 2023'!$D$76:$D$1127,$B142,'ноябрь 2023'!$J$76:$J$1127,E$1)</f>
        <v>0</v>
      </c>
      <c r="F142" s="207">
        <f>SUMIFS('ноябрь 2023'!$G$76:$G$1127,'ноябрь 2023'!$D$76:$D$1127,$B142,'ноябрь 2023'!$J$76:$J$1127,F$1)</f>
        <v>0</v>
      </c>
      <c r="G142" s="207">
        <f>SUMIFS('ноябрь 2023'!$G$76:$G$1127,'ноябрь 2023'!$D$76:$D$1127,$B142,'ноябрь 2023'!$J$76:$J$1127,G$1)</f>
        <v>0</v>
      </c>
      <c r="H142" s="207">
        <f>SUMIFS('ноябрь 2023'!$G$76:$G$1127,'ноябрь 2023'!$D$76:$D$1127,$B142,'ноябрь 2023'!$J$76:$J$1127,H$1)</f>
        <v>0</v>
      </c>
      <c r="I142" s="207">
        <f>SUMIFS('ноябрь 2023'!$G$76:$G$1127,'ноябрь 2023'!$D$76:$D$1127,$B142,'ноябрь 2023'!$J$76:$J$1127,I$1)</f>
        <v>0</v>
      </c>
      <c r="J142" s="207">
        <f>SUMIFS('ноябрь 2023'!$G$76:$G$1127,'ноябрь 2023'!$D$76:$D$1127,$B142,'ноябрь 2023'!$J$76:$J$1127,J$1)</f>
        <v>0</v>
      </c>
      <c r="K142" s="207">
        <f>SUMIFS('ноябрь 2023'!$G$76:$G$1127,'ноябрь 2023'!$D$76:$D$1127,$B142,'ноябрь 2023'!$J$76:$J$1127,K$1)</f>
        <v>0</v>
      </c>
      <c r="L142" s="207">
        <f>SUMIFS('ноябрь 2023'!$G$76:$G$1127,'ноябрь 2023'!$D$76:$D$1127,$B142,'ноябрь 2023'!$J$76:$J$1127,L$1)</f>
        <v>0</v>
      </c>
      <c r="M142" s="207">
        <f>SUMIFS('ноябрь 2023'!$G$76:$G$1127,'ноябрь 2023'!$D$76:$D$1127,$B142,'ноябрь 2023'!$J$76:$J$1127,M$1)</f>
        <v>0</v>
      </c>
      <c r="N142" s="207">
        <f>SUMIFS('ноябрь 2023'!$G$76:$G$1127,'ноябрь 2023'!$D$76:$D$1127,$B142,'ноябрь 2023'!$J$76:$J$1127,N$1)</f>
        <v>0</v>
      </c>
      <c r="O142" s="207">
        <f>SUMIFS('ноябрь 2023'!$G$76:$G$1127,'ноябрь 2023'!$D$76:$D$1127,$B142,'ноябрь 2023'!$J$76:$J$1127,O$1)</f>
        <v>0</v>
      </c>
      <c r="P142" s="207">
        <f>SUMIFS('ноябрь 2023'!$G$76:$G$1127,'ноябрь 2023'!$D$76:$D$1127,$B142,'ноябрь 2023'!$J$76:$J$1127,P$1)</f>
        <v>0</v>
      </c>
      <c r="Q142" s="207">
        <f>SUMIFS('ноябрь 2023'!$G$76:$G$1127,'ноябрь 2023'!$D$76:$D$1127,$B142,'ноябрь 2023'!$J$76:$J$1127,Q$1)</f>
        <v>0</v>
      </c>
      <c r="R142" s="207">
        <f>SUMIFS('ноябрь 2023'!$G$76:$G$1127,'ноябрь 2023'!$D$76:$D$1127,$B142,'ноябрь 2023'!$J$76:$J$1127,R$1)</f>
        <v>0</v>
      </c>
      <c r="S142" s="207">
        <f>SUMIFS('ноябрь 2023'!$G$76:$G$1127,'ноябрь 2023'!$D$76:$D$1127,$B142,'ноябрь 2023'!$J$76:$J$1127,S$1)</f>
        <v>0</v>
      </c>
      <c r="T142" s="207">
        <f>SUMIFS('ноябрь 2023'!$G$76:$G$1127,'ноябрь 2023'!$D$76:$D$1127,$B142,'ноябрь 2023'!$J$76:$J$1127,T$1)</f>
        <v>0</v>
      </c>
      <c r="U142" s="207">
        <f>SUMIFS('ноябрь 2023'!$G$76:$G$1127,'ноябрь 2023'!$D$76:$D$1127,$B142,'ноябрь 2023'!$J$76:$J$1127,U$1)</f>
        <v>0</v>
      </c>
      <c r="V142" s="207">
        <f>SUMIFS('ноябрь 2023'!$G$76:$G$1127,'ноябрь 2023'!$D$76:$D$1127,$B142,'ноябрь 2023'!$J$76:$J$1127,V$1)</f>
        <v>0</v>
      </c>
      <c r="W142" s="207">
        <f>SUMIFS('ноябрь 2023'!$G$76:$G$1127,'ноябрь 2023'!$D$76:$D$1127,$B142,'ноябрь 2023'!$J$76:$J$1127,W$1)</f>
        <v>0</v>
      </c>
      <c r="X142" s="207">
        <f>SUMIFS('ноябрь 2023'!$G$76:$G$1127,'ноябрь 2023'!$D$76:$D$1127,$B142,'ноябрь 2023'!$J$76:$J$1127,X$1)</f>
        <v>0</v>
      </c>
      <c r="Y142" s="207">
        <f>SUMIFS('ноябрь 2023'!$G$76:$G$1127,'ноябрь 2023'!$D$76:$D$1127,$B142,'ноябрь 2023'!$J$76:$J$1127,Y$1)</f>
        <v>0</v>
      </c>
      <c r="Z142" s="207">
        <f>SUMIFS('ноябрь 2023'!$G$76:$G$1127,'ноябрь 2023'!$D$76:$D$1127,$B142,'ноябрь 2023'!$J$76:$J$1127,Z$1)</f>
        <v>0</v>
      </c>
      <c r="AA142" s="207">
        <f>SUMIFS('ноябрь 2023'!$G$76:$G$1127,'ноябрь 2023'!$D$76:$D$1127,$B142,'ноябрь 2023'!$J$76:$J$1127,AA$1)</f>
        <v>0</v>
      </c>
      <c r="AB142" s="207">
        <f>SUMIFS('ноябрь 2023'!$G$76:$G$1127,'ноябрь 2023'!$D$76:$D$1127,$B142,'ноябрь 2023'!$J$76:$J$1127,AB$1)</f>
        <v>0</v>
      </c>
      <c r="AC142" s="207">
        <f>SUMIFS('ноябрь 2023'!$G$76:$G$1127,'ноябрь 2023'!$D$76:$D$1127,$B142,'ноябрь 2023'!$J$76:$J$1127,AC$1)</f>
        <v>0</v>
      </c>
      <c r="AD142" s="207">
        <f>SUMIFS('ноябрь 2023'!$G$76:$G$1127,'ноябрь 2023'!$D$76:$D$1127,$B142,'ноябрь 2023'!$J$76:$J$1127,AD$1)</f>
        <v>0</v>
      </c>
      <c r="AE142" s="207">
        <f>SUMIFS('ноябрь 2023'!$G$76:$G$1127,'ноябрь 2023'!$D$76:$D$1127,$B142,'ноябрь 2023'!$J$76:$J$1127,AE$1)</f>
        <v>0</v>
      </c>
      <c r="AF142" s="207">
        <f>SUMIFS('ноябрь 2023'!$G$76:$G$1127,'ноябрь 2023'!$D$76:$D$1127,$B142,'ноябрь 2023'!$J$76:$J$1127,AF$1)</f>
        <v>0</v>
      </c>
      <c r="AG142" s="207">
        <f>SUMIFS('ноябрь 2023'!$G$76:$G$1127,'ноябрь 2023'!$D$76:$D$1127,$B142,'ноябрь 2023'!$J$76:$J$1127,AG$1)</f>
        <v>0</v>
      </c>
      <c r="AH142" s="207">
        <f>SUMIFS('ноябрь 2023'!$G$76:$G$1127,'ноябрь 2023'!$D$76:$D$1127,$B142,'ноябрь 2023'!$J$76:$J$1127,AH$1)</f>
        <v>0</v>
      </c>
      <c r="AI142" s="220">
        <f t="shared" si="3"/>
        <v>0</v>
      </c>
    </row>
    <row r="143" spans="2:35" ht="15" hidden="1" customHeight="1" x14ac:dyDescent="0.25">
      <c r="B143" s="212"/>
      <c r="C143" s="211"/>
      <c r="D143" s="207">
        <f>SUMIFS('ноябрь 2023'!$G$76:$G$1127,'ноябрь 2023'!$D$76:$D$1127,$B143,'ноябрь 2023'!$J$76:$J$1127,D$1)</f>
        <v>0</v>
      </c>
      <c r="E143" s="207">
        <f>SUMIFS('ноябрь 2023'!$G$76:$G$1127,'ноябрь 2023'!$D$76:$D$1127,$B143,'ноябрь 2023'!$J$76:$J$1127,E$1)</f>
        <v>0</v>
      </c>
      <c r="F143" s="207">
        <f>SUMIFS('ноябрь 2023'!$G$76:$G$1127,'ноябрь 2023'!$D$76:$D$1127,$B143,'ноябрь 2023'!$J$76:$J$1127,F$1)</f>
        <v>0</v>
      </c>
      <c r="G143" s="207">
        <f>SUMIFS('ноябрь 2023'!$G$76:$G$1127,'ноябрь 2023'!$D$76:$D$1127,$B143,'ноябрь 2023'!$J$76:$J$1127,G$1)</f>
        <v>0</v>
      </c>
      <c r="H143" s="207">
        <f>SUMIFS('ноябрь 2023'!$G$76:$G$1127,'ноябрь 2023'!$D$76:$D$1127,$B143,'ноябрь 2023'!$J$76:$J$1127,H$1)</f>
        <v>0</v>
      </c>
      <c r="I143" s="207">
        <f>SUMIFS('ноябрь 2023'!$G$76:$G$1127,'ноябрь 2023'!$D$76:$D$1127,$B143,'ноябрь 2023'!$J$76:$J$1127,I$1)</f>
        <v>0</v>
      </c>
      <c r="J143" s="207">
        <f>SUMIFS('ноябрь 2023'!$G$76:$G$1127,'ноябрь 2023'!$D$76:$D$1127,$B143,'ноябрь 2023'!$J$76:$J$1127,J$1)</f>
        <v>0</v>
      </c>
      <c r="K143" s="207">
        <f>SUMIFS('ноябрь 2023'!$G$76:$G$1127,'ноябрь 2023'!$D$76:$D$1127,$B143,'ноябрь 2023'!$J$76:$J$1127,K$1)</f>
        <v>0</v>
      </c>
      <c r="L143" s="207">
        <f>SUMIFS('ноябрь 2023'!$G$76:$G$1127,'ноябрь 2023'!$D$76:$D$1127,$B143,'ноябрь 2023'!$J$76:$J$1127,L$1)</f>
        <v>0</v>
      </c>
      <c r="M143" s="207">
        <f>SUMIFS('ноябрь 2023'!$G$76:$G$1127,'ноябрь 2023'!$D$76:$D$1127,$B143,'ноябрь 2023'!$J$76:$J$1127,M$1)</f>
        <v>0</v>
      </c>
      <c r="N143" s="207">
        <f>SUMIFS('ноябрь 2023'!$G$76:$G$1127,'ноябрь 2023'!$D$76:$D$1127,$B143,'ноябрь 2023'!$J$76:$J$1127,N$1)</f>
        <v>0</v>
      </c>
      <c r="O143" s="207">
        <f>SUMIFS('ноябрь 2023'!$G$76:$G$1127,'ноябрь 2023'!$D$76:$D$1127,$B143,'ноябрь 2023'!$J$76:$J$1127,O$1)</f>
        <v>0</v>
      </c>
      <c r="P143" s="207">
        <f>SUMIFS('ноябрь 2023'!$G$76:$G$1127,'ноябрь 2023'!$D$76:$D$1127,$B143,'ноябрь 2023'!$J$76:$J$1127,P$1)</f>
        <v>0</v>
      </c>
      <c r="Q143" s="207">
        <f>SUMIFS('ноябрь 2023'!$G$76:$G$1127,'ноябрь 2023'!$D$76:$D$1127,$B143,'ноябрь 2023'!$J$76:$J$1127,Q$1)</f>
        <v>0</v>
      </c>
      <c r="R143" s="207">
        <f>SUMIFS('ноябрь 2023'!$G$76:$G$1127,'ноябрь 2023'!$D$76:$D$1127,$B143,'ноябрь 2023'!$J$76:$J$1127,R$1)</f>
        <v>0</v>
      </c>
      <c r="S143" s="207">
        <f>SUMIFS('ноябрь 2023'!$G$76:$G$1127,'ноябрь 2023'!$D$76:$D$1127,$B143,'ноябрь 2023'!$J$76:$J$1127,S$1)</f>
        <v>0</v>
      </c>
      <c r="T143" s="207">
        <f>SUMIFS('ноябрь 2023'!$G$76:$G$1127,'ноябрь 2023'!$D$76:$D$1127,$B143,'ноябрь 2023'!$J$76:$J$1127,T$1)</f>
        <v>0</v>
      </c>
      <c r="U143" s="207">
        <f>SUMIFS('ноябрь 2023'!$G$76:$G$1127,'ноябрь 2023'!$D$76:$D$1127,$B143,'ноябрь 2023'!$J$76:$J$1127,U$1)</f>
        <v>0</v>
      </c>
      <c r="V143" s="207">
        <f>SUMIFS('ноябрь 2023'!$G$76:$G$1127,'ноябрь 2023'!$D$76:$D$1127,$B143,'ноябрь 2023'!$J$76:$J$1127,V$1)</f>
        <v>0</v>
      </c>
      <c r="W143" s="207">
        <f>SUMIFS('ноябрь 2023'!$G$76:$G$1127,'ноябрь 2023'!$D$76:$D$1127,$B143,'ноябрь 2023'!$J$76:$J$1127,W$1)</f>
        <v>0</v>
      </c>
      <c r="X143" s="207">
        <f>SUMIFS('ноябрь 2023'!$G$76:$G$1127,'ноябрь 2023'!$D$76:$D$1127,$B143,'ноябрь 2023'!$J$76:$J$1127,X$1)</f>
        <v>0</v>
      </c>
      <c r="Y143" s="207">
        <f>SUMIFS('ноябрь 2023'!$G$76:$G$1127,'ноябрь 2023'!$D$76:$D$1127,$B143,'ноябрь 2023'!$J$76:$J$1127,Y$1)</f>
        <v>0</v>
      </c>
      <c r="Z143" s="207">
        <f>SUMIFS('ноябрь 2023'!$G$76:$G$1127,'ноябрь 2023'!$D$76:$D$1127,$B143,'ноябрь 2023'!$J$76:$J$1127,Z$1)</f>
        <v>0</v>
      </c>
      <c r="AA143" s="207">
        <f>SUMIFS('ноябрь 2023'!$G$76:$G$1127,'ноябрь 2023'!$D$76:$D$1127,$B143,'ноябрь 2023'!$J$76:$J$1127,AA$1)</f>
        <v>0</v>
      </c>
      <c r="AB143" s="207">
        <f>SUMIFS('ноябрь 2023'!$G$76:$G$1127,'ноябрь 2023'!$D$76:$D$1127,$B143,'ноябрь 2023'!$J$76:$J$1127,AB$1)</f>
        <v>0</v>
      </c>
      <c r="AC143" s="207">
        <f>SUMIFS('ноябрь 2023'!$G$76:$G$1127,'ноябрь 2023'!$D$76:$D$1127,$B143,'ноябрь 2023'!$J$76:$J$1127,AC$1)</f>
        <v>0</v>
      </c>
      <c r="AD143" s="207">
        <f>SUMIFS('ноябрь 2023'!$G$76:$G$1127,'ноябрь 2023'!$D$76:$D$1127,$B143,'ноябрь 2023'!$J$76:$J$1127,AD$1)</f>
        <v>0</v>
      </c>
      <c r="AE143" s="207">
        <f>SUMIFS('ноябрь 2023'!$G$76:$G$1127,'ноябрь 2023'!$D$76:$D$1127,$B143,'ноябрь 2023'!$J$76:$J$1127,AE$1)</f>
        <v>0</v>
      </c>
      <c r="AF143" s="207">
        <f>SUMIFS('ноябрь 2023'!$G$76:$G$1127,'ноябрь 2023'!$D$76:$D$1127,$B143,'ноябрь 2023'!$J$76:$J$1127,AF$1)</f>
        <v>0</v>
      </c>
      <c r="AG143" s="207">
        <f>SUMIFS('ноябрь 2023'!$G$76:$G$1127,'ноябрь 2023'!$D$76:$D$1127,$B143,'ноябрь 2023'!$J$76:$J$1127,AG$1)</f>
        <v>0</v>
      </c>
      <c r="AH143" s="207">
        <f>SUMIFS('ноябрь 2023'!$G$76:$G$1127,'ноябрь 2023'!$D$76:$D$1127,$B143,'ноябрь 2023'!$J$76:$J$1127,AH$1)</f>
        <v>0</v>
      </c>
      <c r="AI143" s="220"/>
    </row>
    <row r="144" spans="2:35" ht="15" hidden="1" customHeight="1" x14ac:dyDescent="0.25">
      <c r="B144" s="212"/>
      <c r="C144" s="211"/>
      <c r="D144" s="207">
        <f>SUMIFS('ноябрь 2023'!$G$76:$G$1127,'ноябрь 2023'!$D$76:$D$1127,$B144,'ноябрь 2023'!$J$76:$J$1127,D$1)</f>
        <v>0</v>
      </c>
      <c r="E144" s="207">
        <f>SUMIFS('ноябрь 2023'!$G$76:$G$1127,'ноябрь 2023'!$D$76:$D$1127,$B144,'ноябрь 2023'!$J$76:$J$1127,E$1)</f>
        <v>0</v>
      </c>
      <c r="F144" s="207">
        <f>SUMIFS('ноябрь 2023'!$G$76:$G$1127,'ноябрь 2023'!$D$76:$D$1127,$B144,'ноябрь 2023'!$J$76:$J$1127,F$1)</f>
        <v>0</v>
      </c>
      <c r="G144" s="207">
        <f>SUMIFS('ноябрь 2023'!$G$76:$G$1127,'ноябрь 2023'!$D$76:$D$1127,$B144,'ноябрь 2023'!$J$76:$J$1127,G$1)</f>
        <v>0</v>
      </c>
      <c r="H144" s="207">
        <f>SUMIFS('ноябрь 2023'!$G$76:$G$1127,'ноябрь 2023'!$D$76:$D$1127,$B144,'ноябрь 2023'!$J$76:$J$1127,H$1)</f>
        <v>0</v>
      </c>
      <c r="I144" s="207">
        <f>SUMIFS('ноябрь 2023'!$G$76:$G$1127,'ноябрь 2023'!$D$76:$D$1127,$B144,'ноябрь 2023'!$J$76:$J$1127,I$1)</f>
        <v>0</v>
      </c>
      <c r="J144" s="207">
        <f>SUMIFS('ноябрь 2023'!$G$76:$G$1127,'ноябрь 2023'!$D$76:$D$1127,$B144,'ноябрь 2023'!$J$76:$J$1127,J$1)</f>
        <v>0</v>
      </c>
      <c r="K144" s="207">
        <f>SUMIFS('ноябрь 2023'!$G$76:$G$1127,'ноябрь 2023'!$D$76:$D$1127,$B144,'ноябрь 2023'!$J$76:$J$1127,K$1)</f>
        <v>0</v>
      </c>
      <c r="L144" s="207">
        <f>SUMIFS('ноябрь 2023'!$G$76:$G$1127,'ноябрь 2023'!$D$76:$D$1127,$B144,'ноябрь 2023'!$J$76:$J$1127,L$1)</f>
        <v>0</v>
      </c>
      <c r="M144" s="207">
        <f>SUMIFS('ноябрь 2023'!$G$76:$G$1127,'ноябрь 2023'!$D$76:$D$1127,$B144,'ноябрь 2023'!$J$76:$J$1127,M$1)</f>
        <v>0</v>
      </c>
      <c r="N144" s="207">
        <f>SUMIFS('ноябрь 2023'!$G$76:$G$1127,'ноябрь 2023'!$D$76:$D$1127,$B144,'ноябрь 2023'!$J$76:$J$1127,N$1)</f>
        <v>0</v>
      </c>
      <c r="O144" s="207">
        <f>SUMIFS('ноябрь 2023'!$G$76:$G$1127,'ноябрь 2023'!$D$76:$D$1127,$B144,'ноябрь 2023'!$J$76:$J$1127,O$1)</f>
        <v>0</v>
      </c>
      <c r="P144" s="207">
        <f>SUMIFS('ноябрь 2023'!$G$76:$G$1127,'ноябрь 2023'!$D$76:$D$1127,$B144,'ноябрь 2023'!$J$76:$J$1127,P$1)</f>
        <v>0</v>
      </c>
      <c r="Q144" s="207">
        <f>SUMIFS('ноябрь 2023'!$G$76:$G$1127,'ноябрь 2023'!$D$76:$D$1127,$B144,'ноябрь 2023'!$J$76:$J$1127,Q$1)</f>
        <v>0</v>
      </c>
      <c r="R144" s="207">
        <f>SUMIFS('ноябрь 2023'!$G$76:$G$1127,'ноябрь 2023'!$D$76:$D$1127,$B144,'ноябрь 2023'!$J$76:$J$1127,R$1)</f>
        <v>0</v>
      </c>
      <c r="S144" s="207">
        <f>SUMIFS('ноябрь 2023'!$G$76:$G$1127,'ноябрь 2023'!$D$76:$D$1127,$B144,'ноябрь 2023'!$J$76:$J$1127,S$1)</f>
        <v>0</v>
      </c>
      <c r="T144" s="207">
        <f>SUMIFS('ноябрь 2023'!$G$76:$G$1127,'ноябрь 2023'!$D$76:$D$1127,$B144,'ноябрь 2023'!$J$76:$J$1127,T$1)</f>
        <v>0</v>
      </c>
      <c r="U144" s="207">
        <f>SUMIFS('ноябрь 2023'!$G$76:$G$1127,'ноябрь 2023'!$D$76:$D$1127,$B144,'ноябрь 2023'!$J$76:$J$1127,U$1)</f>
        <v>0</v>
      </c>
      <c r="V144" s="207">
        <f>SUMIFS('ноябрь 2023'!$G$76:$G$1127,'ноябрь 2023'!$D$76:$D$1127,$B144,'ноябрь 2023'!$J$76:$J$1127,V$1)</f>
        <v>0</v>
      </c>
      <c r="W144" s="207">
        <f>SUMIFS('ноябрь 2023'!$G$76:$G$1127,'ноябрь 2023'!$D$76:$D$1127,$B144,'ноябрь 2023'!$J$76:$J$1127,W$1)</f>
        <v>0</v>
      </c>
      <c r="X144" s="207">
        <f>SUMIFS('ноябрь 2023'!$G$76:$G$1127,'ноябрь 2023'!$D$76:$D$1127,$B144,'ноябрь 2023'!$J$76:$J$1127,X$1)</f>
        <v>0</v>
      </c>
      <c r="Y144" s="207">
        <f>SUMIFS('ноябрь 2023'!$G$76:$G$1127,'ноябрь 2023'!$D$76:$D$1127,$B144,'ноябрь 2023'!$J$76:$J$1127,Y$1)</f>
        <v>0</v>
      </c>
      <c r="Z144" s="207">
        <f>SUMIFS('ноябрь 2023'!$G$76:$G$1127,'ноябрь 2023'!$D$76:$D$1127,$B144,'ноябрь 2023'!$J$76:$J$1127,Z$1)</f>
        <v>0</v>
      </c>
      <c r="AA144" s="207">
        <f>SUMIFS('ноябрь 2023'!$G$76:$G$1127,'ноябрь 2023'!$D$76:$D$1127,$B144,'ноябрь 2023'!$J$76:$J$1127,AA$1)</f>
        <v>0</v>
      </c>
      <c r="AB144" s="207">
        <f>SUMIFS('ноябрь 2023'!$G$76:$G$1127,'ноябрь 2023'!$D$76:$D$1127,$B144,'ноябрь 2023'!$J$76:$J$1127,AB$1)</f>
        <v>0</v>
      </c>
      <c r="AC144" s="207">
        <f>SUMIFS('ноябрь 2023'!$G$76:$G$1127,'ноябрь 2023'!$D$76:$D$1127,$B144,'ноябрь 2023'!$J$76:$J$1127,AC$1)</f>
        <v>0</v>
      </c>
      <c r="AD144" s="207">
        <f>SUMIFS('ноябрь 2023'!$G$76:$G$1127,'ноябрь 2023'!$D$76:$D$1127,$B144,'ноябрь 2023'!$J$76:$J$1127,AD$1)</f>
        <v>0</v>
      </c>
      <c r="AE144" s="207">
        <f>SUMIFS('ноябрь 2023'!$G$76:$G$1127,'ноябрь 2023'!$D$76:$D$1127,$B144,'ноябрь 2023'!$J$76:$J$1127,AE$1)</f>
        <v>0</v>
      </c>
      <c r="AF144" s="207">
        <f>SUMIFS('ноябрь 2023'!$G$76:$G$1127,'ноябрь 2023'!$D$76:$D$1127,$B144,'ноябрь 2023'!$J$76:$J$1127,AF$1)</f>
        <v>0</v>
      </c>
      <c r="AG144" s="207">
        <f>SUMIFS('ноябрь 2023'!$G$76:$G$1127,'ноябрь 2023'!$D$76:$D$1127,$B144,'ноябрь 2023'!$J$76:$J$1127,AG$1)</f>
        <v>0</v>
      </c>
      <c r="AH144" s="207">
        <f>SUMIFS('ноябрь 2023'!$G$76:$G$1127,'ноябрь 2023'!$D$76:$D$1127,$B144,'ноябрь 2023'!$J$76:$J$1127,AH$1)</f>
        <v>0</v>
      </c>
      <c r="AI144" s="220">
        <f t="shared" si="3"/>
        <v>0</v>
      </c>
    </row>
    <row r="145" spans="2:35" ht="15" hidden="1" customHeight="1" x14ac:dyDescent="0.25">
      <c r="B145" s="212"/>
      <c r="C145" s="211"/>
      <c r="D145" s="207">
        <f>SUMIFS('ноябрь 2023'!$G$76:$G$1127,'ноябрь 2023'!$D$76:$D$1127,$B145,'ноябрь 2023'!$J$76:$J$1127,D$1)</f>
        <v>0</v>
      </c>
      <c r="E145" s="207">
        <f>SUMIFS('ноябрь 2023'!$G$76:$G$1127,'ноябрь 2023'!$D$76:$D$1127,$B145,'ноябрь 2023'!$J$76:$J$1127,E$1)</f>
        <v>0</v>
      </c>
      <c r="F145" s="207">
        <f>SUMIFS('ноябрь 2023'!$G$76:$G$1127,'ноябрь 2023'!$D$76:$D$1127,$B145,'ноябрь 2023'!$J$76:$J$1127,F$1)</f>
        <v>0</v>
      </c>
      <c r="G145" s="207">
        <f>SUMIFS('ноябрь 2023'!$G$76:$G$1127,'ноябрь 2023'!$D$76:$D$1127,$B145,'ноябрь 2023'!$J$76:$J$1127,G$1)</f>
        <v>0</v>
      </c>
      <c r="H145" s="207">
        <f>SUMIFS('ноябрь 2023'!$G$76:$G$1127,'ноябрь 2023'!$D$76:$D$1127,$B145,'ноябрь 2023'!$J$76:$J$1127,H$1)</f>
        <v>0</v>
      </c>
      <c r="I145" s="207">
        <f>SUMIFS('ноябрь 2023'!$G$76:$G$1127,'ноябрь 2023'!$D$76:$D$1127,$B145,'ноябрь 2023'!$J$76:$J$1127,I$1)</f>
        <v>0</v>
      </c>
      <c r="J145" s="207">
        <f>SUMIFS('ноябрь 2023'!$G$76:$G$1127,'ноябрь 2023'!$D$76:$D$1127,$B145,'ноябрь 2023'!$J$76:$J$1127,J$1)</f>
        <v>0</v>
      </c>
      <c r="K145" s="207">
        <f>SUMIFS('ноябрь 2023'!$G$76:$G$1127,'ноябрь 2023'!$D$76:$D$1127,$B145,'ноябрь 2023'!$J$76:$J$1127,K$1)</f>
        <v>0</v>
      </c>
      <c r="L145" s="207">
        <f>SUMIFS('ноябрь 2023'!$G$76:$G$1127,'ноябрь 2023'!$D$76:$D$1127,$B145,'ноябрь 2023'!$J$76:$J$1127,L$1)</f>
        <v>0</v>
      </c>
      <c r="M145" s="207">
        <f>SUMIFS('ноябрь 2023'!$G$76:$G$1127,'ноябрь 2023'!$D$76:$D$1127,$B145,'ноябрь 2023'!$J$76:$J$1127,M$1)</f>
        <v>0</v>
      </c>
      <c r="N145" s="207">
        <f>SUMIFS('ноябрь 2023'!$G$76:$G$1127,'ноябрь 2023'!$D$76:$D$1127,$B145,'ноябрь 2023'!$J$76:$J$1127,N$1)</f>
        <v>0</v>
      </c>
      <c r="O145" s="207">
        <f>SUMIFS('ноябрь 2023'!$G$76:$G$1127,'ноябрь 2023'!$D$76:$D$1127,$B145,'ноябрь 2023'!$J$76:$J$1127,O$1)</f>
        <v>0</v>
      </c>
      <c r="P145" s="207">
        <f>SUMIFS('ноябрь 2023'!$G$76:$G$1127,'ноябрь 2023'!$D$76:$D$1127,$B145,'ноябрь 2023'!$J$76:$J$1127,P$1)</f>
        <v>0</v>
      </c>
      <c r="Q145" s="207">
        <f>SUMIFS('ноябрь 2023'!$G$76:$G$1127,'ноябрь 2023'!$D$76:$D$1127,$B145,'ноябрь 2023'!$J$76:$J$1127,Q$1)</f>
        <v>0</v>
      </c>
      <c r="R145" s="207">
        <f>SUMIFS('ноябрь 2023'!$G$76:$G$1127,'ноябрь 2023'!$D$76:$D$1127,$B145,'ноябрь 2023'!$J$76:$J$1127,R$1)</f>
        <v>0</v>
      </c>
      <c r="S145" s="207">
        <f>SUMIFS('ноябрь 2023'!$G$76:$G$1127,'ноябрь 2023'!$D$76:$D$1127,$B145,'ноябрь 2023'!$J$76:$J$1127,S$1)</f>
        <v>0</v>
      </c>
      <c r="T145" s="207">
        <f>SUMIFS('ноябрь 2023'!$G$76:$G$1127,'ноябрь 2023'!$D$76:$D$1127,$B145,'ноябрь 2023'!$J$76:$J$1127,T$1)</f>
        <v>0</v>
      </c>
      <c r="U145" s="207">
        <f>SUMIFS('ноябрь 2023'!$G$76:$G$1127,'ноябрь 2023'!$D$76:$D$1127,$B145,'ноябрь 2023'!$J$76:$J$1127,U$1)</f>
        <v>0</v>
      </c>
      <c r="V145" s="207">
        <f>SUMIFS('ноябрь 2023'!$G$76:$G$1127,'ноябрь 2023'!$D$76:$D$1127,$B145,'ноябрь 2023'!$J$76:$J$1127,V$1)</f>
        <v>0</v>
      </c>
      <c r="W145" s="207">
        <f>SUMIFS('ноябрь 2023'!$G$76:$G$1127,'ноябрь 2023'!$D$76:$D$1127,$B145,'ноябрь 2023'!$J$76:$J$1127,W$1)</f>
        <v>0</v>
      </c>
      <c r="X145" s="207">
        <f>SUMIFS('ноябрь 2023'!$G$76:$G$1127,'ноябрь 2023'!$D$76:$D$1127,$B145,'ноябрь 2023'!$J$76:$J$1127,X$1)</f>
        <v>0</v>
      </c>
      <c r="Y145" s="207">
        <f>SUMIFS('ноябрь 2023'!$G$76:$G$1127,'ноябрь 2023'!$D$76:$D$1127,$B145,'ноябрь 2023'!$J$76:$J$1127,Y$1)</f>
        <v>0</v>
      </c>
      <c r="Z145" s="207">
        <f>SUMIFS('ноябрь 2023'!$G$76:$G$1127,'ноябрь 2023'!$D$76:$D$1127,$B145,'ноябрь 2023'!$J$76:$J$1127,Z$1)</f>
        <v>0</v>
      </c>
      <c r="AA145" s="207">
        <f>SUMIFS('ноябрь 2023'!$G$76:$G$1127,'ноябрь 2023'!$D$76:$D$1127,$B145,'ноябрь 2023'!$J$76:$J$1127,AA$1)</f>
        <v>0</v>
      </c>
      <c r="AB145" s="207">
        <f>SUMIFS('ноябрь 2023'!$G$76:$G$1127,'ноябрь 2023'!$D$76:$D$1127,$B145,'ноябрь 2023'!$J$76:$J$1127,AB$1)</f>
        <v>0</v>
      </c>
      <c r="AC145" s="207">
        <f>SUMIFS('ноябрь 2023'!$G$76:$G$1127,'ноябрь 2023'!$D$76:$D$1127,$B145,'ноябрь 2023'!$J$76:$J$1127,AC$1)</f>
        <v>0</v>
      </c>
      <c r="AD145" s="207">
        <f>SUMIFS('ноябрь 2023'!$G$76:$G$1127,'ноябрь 2023'!$D$76:$D$1127,$B145,'ноябрь 2023'!$J$76:$J$1127,AD$1)</f>
        <v>0</v>
      </c>
      <c r="AE145" s="207">
        <f>SUMIFS('ноябрь 2023'!$G$76:$G$1127,'ноябрь 2023'!$D$76:$D$1127,$B145,'ноябрь 2023'!$J$76:$J$1127,AE$1)</f>
        <v>0</v>
      </c>
      <c r="AF145" s="207">
        <f>SUMIFS('ноябрь 2023'!$G$76:$G$1127,'ноябрь 2023'!$D$76:$D$1127,$B145,'ноябрь 2023'!$J$76:$J$1127,AF$1)</f>
        <v>0</v>
      </c>
      <c r="AG145" s="207">
        <f>SUMIFS('ноябрь 2023'!$G$76:$G$1127,'ноябрь 2023'!$D$76:$D$1127,$B145,'ноябрь 2023'!$J$76:$J$1127,AG$1)</f>
        <v>0</v>
      </c>
      <c r="AH145" s="207">
        <f>SUMIFS('ноябрь 2023'!$G$76:$G$1127,'ноябрь 2023'!$D$76:$D$1127,$B145,'ноябрь 2023'!$J$76:$J$1127,AH$1)</f>
        <v>0</v>
      </c>
      <c r="AI145" s="220">
        <f t="shared" si="3"/>
        <v>0</v>
      </c>
    </row>
    <row r="146" spans="2:35" ht="15" hidden="1" customHeight="1" x14ac:dyDescent="0.25">
      <c r="B146" s="218"/>
      <c r="C146" s="219"/>
      <c r="D146" s="207">
        <f>SUMIFS('ноябрь 2023'!$G$76:$G$1127,'ноябрь 2023'!$D$76:$D$1127,$B146,'ноябрь 2023'!$J$76:$J$1127,D$1)</f>
        <v>0</v>
      </c>
      <c r="E146" s="207">
        <f>SUMIFS('ноябрь 2023'!$G$76:$G$1127,'ноябрь 2023'!$D$76:$D$1127,$B146,'ноябрь 2023'!$J$76:$J$1127,E$1)</f>
        <v>0</v>
      </c>
      <c r="F146" s="207">
        <f>SUMIFS('ноябрь 2023'!$G$76:$G$1127,'ноябрь 2023'!$D$76:$D$1127,$B146,'ноябрь 2023'!$J$76:$J$1127,F$1)</f>
        <v>0</v>
      </c>
      <c r="G146" s="207">
        <f>SUMIFS('ноябрь 2023'!$G$76:$G$1127,'ноябрь 2023'!$D$76:$D$1127,$B146,'ноябрь 2023'!$J$76:$J$1127,G$1)</f>
        <v>0</v>
      </c>
      <c r="H146" s="207">
        <f>SUMIFS('ноябрь 2023'!$G$76:$G$1127,'ноябрь 2023'!$D$76:$D$1127,$B146,'ноябрь 2023'!$J$76:$J$1127,H$1)</f>
        <v>0</v>
      </c>
      <c r="I146" s="207">
        <f>SUMIFS('ноябрь 2023'!$G$76:$G$1127,'ноябрь 2023'!$D$76:$D$1127,$B146,'ноябрь 2023'!$J$76:$J$1127,I$1)</f>
        <v>0</v>
      </c>
      <c r="J146" s="207">
        <f>SUMIFS('ноябрь 2023'!$G$76:$G$1127,'ноябрь 2023'!$D$76:$D$1127,$B146,'ноябрь 2023'!$J$76:$J$1127,J$1)</f>
        <v>0</v>
      </c>
      <c r="K146" s="207">
        <f>SUMIFS('ноябрь 2023'!$G$76:$G$1127,'ноябрь 2023'!$D$76:$D$1127,$B146,'ноябрь 2023'!$J$76:$J$1127,K$1)</f>
        <v>0</v>
      </c>
      <c r="L146" s="207">
        <f>SUMIFS('ноябрь 2023'!$G$76:$G$1127,'ноябрь 2023'!$D$76:$D$1127,$B146,'ноябрь 2023'!$J$76:$J$1127,L$1)</f>
        <v>0</v>
      </c>
      <c r="M146" s="207">
        <f>SUMIFS('ноябрь 2023'!$G$76:$G$1127,'ноябрь 2023'!$D$76:$D$1127,$B146,'ноябрь 2023'!$J$76:$J$1127,M$1)</f>
        <v>0</v>
      </c>
      <c r="N146" s="207">
        <f>SUMIFS('ноябрь 2023'!$G$76:$G$1127,'ноябрь 2023'!$D$76:$D$1127,$B146,'ноябрь 2023'!$J$76:$J$1127,N$1)</f>
        <v>0</v>
      </c>
      <c r="O146" s="207">
        <f>SUMIFS('ноябрь 2023'!$G$76:$G$1127,'ноябрь 2023'!$D$76:$D$1127,$B146,'ноябрь 2023'!$J$76:$J$1127,O$1)</f>
        <v>0</v>
      </c>
      <c r="P146" s="207">
        <f>SUMIFS('ноябрь 2023'!$G$76:$G$1127,'ноябрь 2023'!$D$76:$D$1127,$B146,'ноябрь 2023'!$J$76:$J$1127,P$1)</f>
        <v>0</v>
      </c>
      <c r="Q146" s="207">
        <f>SUMIFS('ноябрь 2023'!$G$76:$G$1127,'ноябрь 2023'!$D$76:$D$1127,$B146,'ноябрь 2023'!$J$76:$J$1127,Q$1)</f>
        <v>0</v>
      </c>
      <c r="R146" s="207">
        <f>SUMIFS('ноябрь 2023'!$G$76:$G$1127,'ноябрь 2023'!$D$76:$D$1127,$B146,'ноябрь 2023'!$J$76:$J$1127,R$1)</f>
        <v>0</v>
      </c>
      <c r="S146" s="207">
        <f>SUMIFS('ноябрь 2023'!$G$76:$G$1127,'ноябрь 2023'!$D$76:$D$1127,$B146,'ноябрь 2023'!$J$76:$J$1127,S$1)</f>
        <v>0</v>
      </c>
      <c r="T146" s="207">
        <f>SUMIFS('ноябрь 2023'!$G$76:$G$1127,'ноябрь 2023'!$D$76:$D$1127,$B146,'ноябрь 2023'!$J$76:$J$1127,T$1)</f>
        <v>0</v>
      </c>
      <c r="U146" s="207">
        <f>SUMIFS('ноябрь 2023'!$G$76:$G$1127,'ноябрь 2023'!$D$76:$D$1127,$B146,'ноябрь 2023'!$J$76:$J$1127,U$1)</f>
        <v>0</v>
      </c>
      <c r="V146" s="207">
        <f>SUMIFS('ноябрь 2023'!$G$76:$G$1127,'ноябрь 2023'!$D$76:$D$1127,$B146,'ноябрь 2023'!$J$76:$J$1127,V$1)</f>
        <v>0</v>
      </c>
      <c r="W146" s="207">
        <f>SUMIFS('ноябрь 2023'!$G$76:$G$1127,'ноябрь 2023'!$D$76:$D$1127,$B146,'ноябрь 2023'!$J$76:$J$1127,W$1)</f>
        <v>0</v>
      </c>
      <c r="X146" s="207">
        <f>SUMIFS('ноябрь 2023'!$G$76:$G$1127,'ноябрь 2023'!$D$76:$D$1127,$B146,'ноябрь 2023'!$J$76:$J$1127,X$1)</f>
        <v>0</v>
      </c>
      <c r="Y146" s="207">
        <f>SUMIFS('ноябрь 2023'!$G$76:$G$1127,'ноябрь 2023'!$D$76:$D$1127,$B146,'ноябрь 2023'!$J$76:$J$1127,Y$1)</f>
        <v>0</v>
      </c>
      <c r="Z146" s="207">
        <f>SUMIFS('ноябрь 2023'!$G$76:$G$1127,'ноябрь 2023'!$D$76:$D$1127,$B146,'ноябрь 2023'!$J$76:$J$1127,Z$1)</f>
        <v>0</v>
      </c>
      <c r="AA146" s="207">
        <f>SUMIFS('ноябрь 2023'!$G$76:$G$1127,'ноябрь 2023'!$D$76:$D$1127,$B146,'ноябрь 2023'!$J$76:$J$1127,AA$1)</f>
        <v>0</v>
      </c>
      <c r="AB146" s="207">
        <f>SUMIFS('ноябрь 2023'!$G$76:$G$1127,'ноябрь 2023'!$D$76:$D$1127,$B146,'ноябрь 2023'!$J$76:$J$1127,AB$1)</f>
        <v>0</v>
      </c>
      <c r="AC146" s="207">
        <f>SUMIFS('ноябрь 2023'!$G$76:$G$1127,'ноябрь 2023'!$D$76:$D$1127,$B146,'ноябрь 2023'!$J$76:$J$1127,AC$1)</f>
        <v>0</v>
      </c>
      <c r="AD146" s="207">
        <f>SUMIFS('ноябрь 2023'!$G$76:$G$1127,'ноябрь 2023'!$D$76:$D$1127,$B146,'ноябрь 2023'!$J$76:$J$1127,AD$1)</f>
        <v>0</v>
      </c>
      <c r="AE146" s="207">
        <f>SUMIFS('ноябрь 2023'!$G$76:$G$1127,'ноябрь 2023'!$D$76:$D$1127,$B146,'ноябрь 2023'!$J$76:$J$1127,AE$1)</f>
        <v>0</v>
      </c>
      <c r="AF146" s="207">
        <f>SUMIFS('ноябрь 2023'!$G$76:$G$1127,'ноябрь 2023'!$D$76:$D$1127,$B146,'ноябрь 2023'!$J$76:$J$1127,AF$1)</f>
        <v>0</v>
      </c>
      <c r="AG146" s="207">
        <f>SUMIFS('ноябрь 2023'!$G$76:$G$1127,'ноябрь 2023'!$D$76:$D$1127,$B146,'ноябрь 2023'!$J$76:$J$1127,AG$1)</f>
        <v>0</v>
      </c>
      <c r="AH146" s="207">
        <f>SUMIFS('ноябрь 2023'!$G$76:$G$1127,'ноябрь 2023'!$D$76:$D$1127,$B146,'ноябрь 2023'!$J$76:$J$1127,AH$1)</f>
        <v>0</v>
      </c>
      <c r="AI146" s="220">
        <f t="shared" si="3"/>
        <v>0</v>
      </c>
    </row>
    <row r="147" spans="2:35" ht="15" hidden="1" customHeight="1" x14ac:dyDescent="0.25">
      <c r="B147" s="212"/>
      <c r="C147" s="213"/>
      <c r="D147" s="207">
        <f>SUMIFS('ноябрь 2023'!$G$76:$G$1127,'ноябрь 2023'!$D$76:$D$1127,$B147,'ноябрь 2023'!$J$76:$J$1127,D$1)</f>
        <v>0</v>
      </c>
      <c r="E147" s="207">
        <f>SUMIFS('ноябрь 2023'!$G$76:$G$1127,'ноябрь 2023'!$D$76:$D$1127,$B147,'ноябрь 2023'!$J$76:$J$1127,E$1)</f>
        <v>0</v>
      </c>
      <c r="F147" s="207">
        <f>SUMIFS('ноябрь 2023'!$G$76:$G$1127,'ноябрь 2023'!$D$76:$D$1127,$B147,'ноябрь 2023'!$J$76:$J$1127,F$1)</f>
        <v>0</v>
      </c>
      <c r="G147" s="207">
        <f>SUMIFS('ноябрь 2023'!$G$76:$G$1127,'ноябрь 2023'!$D$76:$D$1127,$B147,'ноябрь 2023'!$J$76:$J$1127,G$1)</f>
        <v>0</v>
      </c>
      <c r="H147" s="207">
        <f>SUMIFS('ноябрь 2023'!$G$76:$G$1127,'ноябрь 2023'!$D$76:$D$1127,$B147,'ноябрь 2023'!$J$76:$J$1127,H$1)</f>
        <v>0</v>
      </c>
      <c r="I147" s="207">
        <f>SUMIFS('ноябрь 2023'!$G$76:$G$1127,'ноябрь 2023'!$D$76:$D$1127,$B147,'ноябрь 2023'!$J$76:$J$1127,I$1)</f>
        <v>0</v>
      </c>
      <c r="J147" s="207">
        <f>SUMIFS('ноябрь 2023'!$G$76:$G$1127,'ноябрь 2023'!$D$76:$D$1127,$B147,'ноябрь 2023'!$J$76:$J$1127,J$1)</f>
        <v>0</v>
      </c>
      <c r="K147" s="207">
        <f>SUMIFS('ноябрь 2023'!$G$76:$G$1127,'ноябрь 2023'!$D$76:$D$1127,$B147,'ноябрь 2023'!$J$76:$J$1127,K$1)</f>
        <v>0</v>
      </c>
      <c r="L147" s="207">
        <f>SUMIFS('ноябрь 2023'!$G$76:$G$1127,'ноябрь 2023'!$D$76:$D$1127,$B147,'ноябрь 2023'!$J$76:$J$1127,L$1)</f>
        <v>0</v>
      </c>
      <c r="M147" s="207">
        <f>SUMIFS('ноябрь 2023'!$G$76:$G$1127,'ноябрь 2023'!$D$76:$D$1127,$B147,'ноябрь 2023'!$J$76:$J$1127,M$1)</f>
        <v>0</v>
      </c>
      <c r="N147" s="207">
        <f>SUMIFS('ноябрь 2023'!$G$76:$G$1127,'ноябрь 2023'!$D$76:$D$1127,$B147,'ноябрь 2023'!$J$76:$J$1127,N$1)</f>
        <v>0</v>
      </c>
      <c r="O147" s="207">
        <f>SUMIFS('ноябрь 2023'!$G$76:$G$1127,'ноябрь 2023'!$D$76:$D$1127,$B147,'ноябрь 2023'!$J$76:$J$1127,O$1)</f>
        <v>0</v>
      </c>
      <c r="P147" s="207">
        <f>SUMIFS('ноябрь 2023'!$G$76:$G$1127,'ноябрь 2023'!$D$76:$D$1127,$B147,'ноябрь 2023'!$J$76:$J$1127,P$1)</f>
        <v>0</v>
      </c>
      <c r="Q147" s="207">
        <f>SUMIFS('ноябрь 2023'!$G$76:$G$1127,'ноябрь 2023'!$D$76:$D$1127,$B147,'ноябрь 2023'!$J$76:$J$1127,Q$1)</f>
        <v>0</v>
      </c>
      <c r="R147" s="207">
        <f>SUMIFS('ноябрь 2023'!$G$76:$G$1127,'ноябрь 2023'!$D$76:$D$1127,$B147,'ноябрь 2023'!$J$76:$J$1127,R$1)</f>
        <v>0</v>
      </c>
      <c r="S147" s="207">
        <f>SUMIFS('ноябрь 2023'!$G$76:$G$1127,'ноябрь 2023'!$D$76:$D$1127,$B147,'ноябрь 2023'!$J$76:$J$1127,S$1)</f>
        <v>0</v>
      </c>
      <c r="T147" s="207">
        <f>SUMIFS('ноябрь 2023'!$G$76:$G$1127,'ноябрь 2023'!$D$76:$D$1127,$B147,'ноябрь 2023'!$J$76:$J$1127,T$1)</f>
        <v>0</v>
      </c>
      <c r="U147" s="207">
        <f>SUMIFS('ноябрь 2023'!$G$76:$G$1127,'ноябрь 2023'!$D$76:$D$1127,$B147,'ноябрь 2023'!$J$76:$J$1127,U$1)</f>
        <v>0</v>
      </c>
      <c r="V147" s="207">
        <f>SUMIFS('ноябрь 2023'!$G$76:$G$1127,'ноябрь 2023'!$D$76:$D$1127,$B147,'ноябрь 2023'!$J$76:$J$1127,V$1)</f>
        <v>0</v>
      </c>
      <c r="W147" s="207">
        <f>SUMIFS('ноябрь 2023'!$G$76:$G$1127,'ноябрь 2023'!$D$76:$D$1127,$B147,'ноябрь 2023'!$J$76:$J$1127,W$1)</f>
        <v>0</v>
      </c>
      <c r="X147" s="207">
        <f>SUMIFS('ноябрь 2023'!$G$76:$G$1127,'ноябрь 2023'!$D$76:$D$1127,$B147,'ноябрь 2023'!$J$76:$J$1127,X$1)</f>
        <v>0</v>
      </c>
      <c r="Y147" s="207">
        <f>SUMIFS('ноябрь 2023'!$G$76:$G$1127,'ноябрь 2023'!$D$76:$D$1127,$B147,'ноябрь 2023'!$J$76:$J$1127,Y$1)</f>
        <v>0</v>
      </c>
      <c r="Z147" s="207">
        <f>SUMIFS('ноябрь 2023'!$G$76:$G$1127,'ноябрь 2023'!$D$76:$D$1127,$B147,'ноябрь 2023'!$J$76:$J$1127,Z$1)</f>
        <v>0</v>
      </c>
      <c r="AA147" s="207">
        <f>SUMIFS('ноябрь 2023'!$G$76:$G$1127,'ноябрь 2023'!$D$76:$D$1127,$B147,'ноябрь 2023'!$J$76:$J$1127,AA$1)</f>
        <v>0</v>
      </c>
      <c r="AB147" s="207">
        <f>SUMIFS('ноябрь 2023'!$G$76:$G$1127,'ноябрь 2023'!$D$76:$D$1127,$B147,'ноябрь 2023'!$J$76:$J$1127,AB$1)</f>
        <v>0</v>
      </c>
      <c r="AC147" s="207">
        <f>SUMIFS('ноябрь 2023'!$G$76:$G$1127,'ноябрь 2023'!$D$76:$D$1127,$B147,'ноябрь 2023'!$J$76:$J$1127,AC$1)</f>
        <v>0</v>
      </c>
      <c r="AD147" s="207">
        <f>SUMIFS('ноябрь 2023'!$G$76:$G$1127,'ноябрь 2023'!$D$76:$D$1127,$B147,'ноябрь 2023'!$J$76:$J$1127,AD$1)</f>
        <v>0</v>
      </c>
      <c r="AE147" s="207">
        <f>SUMIFS('ноябрь 2023'!$G$76:$G$1127,'ноябрь 2023'!$D$76:$D$1127,$B147,'ноябрь 2023'!$J$76:$J$1127,AE$1)</f>
        <v>0</v>
      </c>
      <c r="AF147" s="207">
        <f>SUMIFS('ноябрь 2023'!$G$76:$G$1127,'ноябрь 2023'!$D$76:$D$1127,$B147,'ноябрь 2023'!$J$76:$J$1127,AF$1)</f>
        <v>0</v>
      </c>
      <c r="AG147" s="207">
        <f>SUMIFS('ноябрь 2023'!$G$76:$G$1127,'ноябрь 2023'!$D$76:$D$1127,$B147,'ноябрь 2023'!$J$76:$J$1127,AG$1)</f>
        <v>0</v>
      </c>
      <c r="AH147" s="207">
        <f>SUMIFS('ноябрь 2023'!$G$76:$G$1127,'ноябрь 2023'!$D$76:$D$1127,$B147,'ноябрь 2023'!$J$76:$J$1127,AH$1)</f>
        <v>0</v>
      </c>
      <c r="AI147" s="220">
        <f t="shared" si="3"/>
        <v>0</v>
      </c>
    </row>
    <row r="148" spans="2:35" ht="15" hidden="1" customHeight="1" x14ac:dyDescent="0.25">
      <c r="B148" s="212"/>
      <c r="C148" s="211"/>
      <c r="D148" s="207">
        <f>SUMIFS('ноябрь 2023'!$G$76:$G$1127,'ноябрь 2023'!$D$76:$D$1127,$B148,'ноябрь 2023'!$J$76:$J$1127,D$1)</f>
        <v>0</v>
      </c>
      <c r="E148" s="207">
        <f>SUMIFS('ноябрь 2023'!$G$76:$G$1127,'ноябрь 2023'!$D$76:$D$1127,$B148,'ноябрь 2023'!$J$76:$J$1127,E$1)</f>
        <v>0</v>
      </c>
      <c r="F148" s="207">
        <f>SUMIFS('ноябрь 2023'!$G$76:$G$1127,'ноябрь 2023'!$D$76:$D$1127,$B148,'ноябрь 2023'!$J$76:$J$1127,F$1)</f>
        <v>0</v>
      </c>
      <c r="G148" s="207">
        <f>SUMIFS('ноябрь 2023'!$G$76:$G$1127,'ноябрь 2023'!$D$76:$D$1127,$B148,'ноябрь 2023'!$J$76:$J$1127,G$1)</f>
        <v>0</v>
      </c>
      <c r="H148" s="207">
        <f>SUMIFS('ноябрь 2023'!$G$76:$G$1127,'ноябрь 2023'!$D$76:$D$1127,$B148,'ноябрь 2023'!$J$76:$J$1127,H$1)</f>
        <v>0</v>
      </c>
      <c r="I148" s="207">
        <f>SUMIFS('ноябрь 2023'!$G$76:$G$1127,'ноябрь 2023'!$D$76:$D$1127,$B148,'ноябрь 2023'!$J$76:$J$1127,I$1)</f>
        <v>0</v>
      </c>
      <c r="J148" s="207">
        <f>SUMIFS('ноябрь 2023'!$G$76:$G$1127,'ноябрь 2023'!$D$76:$D$1127,$B148,'ноябрь 2023'!$J$76:$J$1127,J$1)</f>
        <v>0</v>
      </c>
      <c r="K148" s="207">
        <f>SUMIFS('ноябрь 2023'!$G$76:$G$1127,'ноябрь 2023'!$D$76:$D$1127,$B148,'ноябрь 2023'!$J$76:$J$1127,K$1)</f>
        <v>0</v>
      </c>
      <c r="L148" s="207">
        <f>SUMIFS('ноябрь 2023'!$G$76:$G$1127,'ноябрь 2023'!$D$76:$D$1127,$B148,'ноябрь 2023'!$J$76:$J$1127,L$1)</f>
        <v>0</v>
      </c>
      <c r="M148" s="207">
        <f>SUMIFS('ноябрь 2023'!$G$76:$G$1127,'ноябрь 2023'!$D$76:$D$1127,$B148,'ноябрь 2023'!$J$76:$J$1127,M$1)</f>
        <v>0</v>
      </c>
      <c r="N148" s="207">
        <f>SUMIFS('ноябрь 2023'!$G$76:$G$1127,'ноябрь 2023'!$D$76:$D$1127,$B148,'ноябрь 2023'!$J$76:$J$1127,N$1)</f>
        <v>0</v>
      </c>
      <c r="O148" s="207">
        <f>SUMIFS('ноябрь 2023'!$G$76:$G$1127,'ноябрь 2023'!$D$76:$D$1127,$B148,'ноябрь 2023'!$J$76:$J$1127,O$1)</f>
        <v>0</v>
      </c>
      <c r="P148" s="207">
        <f>SUMIFS('ноябрь 2023'!$G$76:$G$1127,'ноябрь 2023'!$D$76:$D$1127,$B148,'ноябрь 2023'!$J$76:$J$1127,P$1)</f>
        <v>0</v>
      </c>
      <c r="Q148" s="207">
        <f>SUMIFS('ноябрь 2023'!$G$76:$G$1127,'ноябрь 2023'!$D$76:$D$1127,$B148,'ноябрь 2023'!$J$76:$J$1127,Q$1)</f>
        <v>0</v>
      </c>
      <c r="R148" s="207">
        <f>SUMIFS('ноябрь 2023'!$G$76:$G$1127,'ноябрь 2023'!$D$76:$D$1127,$B148,'ноябрь 2023'!$J$76:$J$1127,R$1)</f>
        <v>0</v>
      </c>
      <c r="S148" s="207">
        <f>SUMIFS('ноябрь 2023'!$G$76:$G$1127,'ноябрь 2023'!$D$76:$D$1127,$B148,'ноябрь 2023'!$J$76:$J$1127,S$1)</f>
        <v>0</v>
      </c>
      <c r="T148" s="207">
        <f>SUMIFS('ноябрь 2023'!$G$76:$G$1127,'ноябрь 2023'!$D$76:$D$1127,$B148,'ноябрь 2023'!$J$76:$J$1127,T$1)</f>
        <v>0</v>
      </c>
      <c r="U148" s="207">
        <f>SUMIFS('ноябрь 2023'!$G$76:$G$1127,'ноябрь 2023'!$D$76:$D$1127,$B148,'ноябрь 2023'!$J$76:$J$1127,U$1)</f>
        <v>0</v>
      </c>
      <c r="V148" s="207">
        <f>SUMIFS('ноябрь 2023'!$G$76:$G$1127,'ноябрь 2023'!$D$76:$D$1127,$B148,'ноябрь 2023'!$J$76:$J$1127,V$1)</f>
        <v>0</v>
      </c>
      <c r="W148" s="207">
        <f>SUMIFS('ноябрь 2023'!$G$76:$G$1127,'ноябрь 2023'!$D$76:$D$1127,$B148,'ноябрь 2023'!$J$76:$J$1127,W$1)</f>
        <v>0</v>
      </c>
      <c r="X148" s="207">
        <f>SUMIFS('ноябрь 2023'!$G$76:$G$1127,'ноябрь 2023'!$D$76:$D$1127,$B148,'ноябрь 2023'!$J$76:$J$1127,X$1)</f>
        <v>0</v>
      </c>
      <c r="Y148" s="207">
        <f>SUMIFS('ноябрь 2023'!$G$76:$G$1127,'ноябрь 2023'!$D$76:$D$1127,$B148,'ноябрь 2023'!$J$76:$J$1127,Y$1)</f>
        <v>0</v>
      </c>
      <c r="Z148" s="207">
        <f>SUMIFS('ноябрь 2023'!$G$76:$G$1127,'ноябрь 2023'!$D$76:$D$1127,$B148,'ноябрь 2023'!$J$76:$J$1127,Z$1)</f>
        <v>0</v>
      </c>
      <c r="AA148" s="207">
        <f>SUMIFS('ноябрь 2023'!$G$76:$G$1127,'ноябрь 2023'!$D$76:$D$1127,$B148,'ноябрь 2023'!$J$76:$J$1127,AA$1)</f>
        <v>0</v>
      </c>
      <c r="AB148" s="207">
        <f>SUMIFS('ноябрь 2023'!$G$76:$G$1127,'ноябрь 2023'!$D$76:$D$1127,$B148,'ноябрь 2023'!$J$76:$J$1127,AB$1)</f>
        <v>0</v>
      </c>
      <c r="AC148" s="207">
        <f>SUMIFS('ноябрь 2023'!$G$76:$G$1127,'ноябрь 2023'!$D$76:$D$1127,$B148,'ноябрь 2023'!$J$76:$J$1127,AC$1)</f>
        <v>0</v>
      </c>
      <c r="AD148" s="207">
        <f>SUMIFS('ноябрь 2023'!$G$76:$G$1127,'ноябрь 2023'!$D$76:$D$1127,$B148,'ноябрь 2023'!$J$76:$J$1127,AD$1)</f>
        <v>0</v>
      </c>
      <c r="AE148" s="207">
        <f>SUMIFS('ноябрь 2023'!$G$76:$G$1127,'ноябрь 2023'!$D$76:$D$1127,$B148,'ноябрь 2023'!$J$76:$J$1127,AE$1)</f>
        <v>0</v>
      </c>
      <c r="AF148" s="207">
        <f>SUMIFS('ноябрь 2023'!$G$76:$G$1127,'ноябрь 2023'!$D$76:$D$1127,$B148,'ноябрь 2023'!$J$76:$J$1127,AF$1)</f>
        <v>0</v>
      </c>
      <c r="AG148" s="207">
        <f>SUMIFS('ноябрь 2023'!$G$76:$G$1127,'ноябрь 2023'!$D$76:$D$1127,$B148,'ноябрь 2023'!$J$76:$J$1127,AG$1)</f>
        <v>0</v>
      </c>
      <c r="AH148" s="207">
        <f>SUMIFS('ноябрь 2023'!$G$76:$G$1127,'ноябрь 2023'!$D$76:$D$1127,$B148,'ноябрь 2023'!$J$76:$J$1127,AH$1)</f>
        <v>0</v>
      </c>
      <c r="AI148" s="220">
        <f t="shared" si="3"/>
        <v>0</v>
      </c>
    </row>
    <row r="149" spans="2:35" ht="15" hidden="1" customHeight="1" x14ac:dyDescent="0.25">
      <c r="B149" s="212"/>
      <c r="C149" s="211"/>
      <c r="D149" s="207">
        <f>SUMIFS('ноябрь 2023'!$G$76:$G$1127,'ноябрь 2023'!$D$76:$D$1127,$B149,'ноябрь 2023'!$J$76:$J$1127,D$1)</f>
        <v>0</v>
      </c>
      <c r="E149" s="207">
        <f>SUMIFS('ноябрь 2023'!$G$76:$G$1127,'ноябрь 2023'!$D$76:$D$1127,$B149,'ноябрь 2023'!$J$76:$J$1127,E$1)</f>
        <v>0</v>
      </c>
      <c r="F149" s="207">
        <f>SUMIFS('ноябрь 2023'!$G$76:$G$1127,'ноябрь 2023'!$D$76:$D$1127,$B149,'ноябрь 2023'!$J$76:$J$1127,F$1)</f>
        <v>0</v>
      </c>
      <c r="G149" s="207">
        <f>SUMIFS('ноябрь 2023'!$G$76:$G$1127,'ноябрь 2023'!$D$76:$D$1127,$B149,'ноябрь 2023'!$J$76:$J$1127,G$1)</f>
        <v>0</v>
      </c>
      <c r="H149" s="207">
        <f>SUMIFS('ноябрь 2023'!$G$76:$G$1127,'ноябрь 2023'!$D$76:$D$1127,$B149,'ноябрь 2023'!$J$76:$J$1127,H$1)</f>
        <v>0</v>
      </c>
      <c r="I149" s="207">
        <f>SUMIFS('ноябрь 2023'!$G$76:$G$1127,'ноябрь 2023'!$D$76:$D$1127,$B149,'ноябрь 2023'!$J$76:$J$1127,I$1)</f>
        <v>0</v>
      </c>
      <c r="J149" s="207">
        <f>SUMIFS('ноябрь 2023'!$G$76:$G$1127,'ноябрь 2023'!$D$76:$D$1127,$B149,'ноябрь 2023'!$J$76:$J$1127,J$1)</f>
        <v>0</v>
      </c>
      <c r="K149" s="207">
        <f>SUMIFS('ноябрь 2023'!$G$76:$G$1127,'ноябрь 2023'!$D$76:$D$1127,$B149,'ноябрь 2023'!$J$76:$J$1127,K$1)</f>
        <v>0</v>
      </c>
      <c r="L149" s="207">
        <f>SUMIFS('ноябрь 2023'!$G$76:$G$1127,'ноябрь 2023'!$D$76:$D$1127,$B149,'ноябрь 2023'!$J$76:$J$1127,L$1)</f>
        <v>0</v>
      </c>
      <c r="M149" s="207">
        <f>SUMIFS('ноябрь 2023'!$G$76:$G$1127,'ноябрь 2023'!$D$76:$D$1127,$B149,'ноябрь 2023'!$J$76:$J$1127,M$1)</f>
        <v>0</v>
      </c>
      <c r="N149" s="207">
        <f>SUMIFS('ноябрь 2023'!$G$76:$G$1127,'ноябрь 2023'!$D$76:$D$1127,$B149,'ноябрь 2023'!$J$76:$J$1127,N$1)</f>
        <v>0</v>
      </c>
      <c r="O149" s="207">
        <f>SUMIFS('ноябрь 2023'!$G$76:$G$1127,'ноябрь 2023'!$D$76:$D$1127,$B149,'ноябрь 2023'!$J$76:$J$1127,O$1)</f>
        <v>0</v>
      </c>
      <c r="P149" s="207">
        <f>SUMIFS('ноябрь 2023'!$G$76:$G$1127,'ноябрь 2023'!$D$76:$D$1127,$B149,'ноябрь 2023'!$J$76:$J$1127,P$1)</f>
        <v>0</v>
      </c>
      <c r="Q149" s="207">
        <f>SUMIFS('ноябрь 2023'!$G$76:$G$1127,'ноябрь 2023'!$D$76:$D$1127,$B149,'ноябрь 2023'!$J$76:$J$1127,Q$1)</f>
        <v>0</v>
      </c>
      <c r="R149" s="207">
        <f>SUMIFS('ноябрь 2023'!$G$76:$G$1127,'ноябрь 2023'!$D$76:$D$1127,$B149,'ноябрь 2023'!$J$76:$J$1127,R$1)</f>
        <v>0</v>
      </c>
      <c r="S149" s="207">
        <f>SUMIFS('ноябрь 2023'!$G$76:$G$1127,'ноябрь 2023'!$D$76:$D$1127,$B149,'ноябрь 2023'!$J$76:$J$1127,S$1)</f>
        <v>0</v>
      </c>
      <c r="T149" s="207">
        <f>SUMIFS('ноябрь 2023'!$G$76:$G$1127,'ноябрь 2023'!$D$76:$D$1127,$B149,'ноябрь 2023'!$J$76:$J$1127,T$1)</f>
        <v>0</v>
      </c>
      <c r="U149" s="207">
        <f>SUMIFS('ноябрь 2023'!$G$76:$G$1127,'ноябрь 2023'!$D$76:$D$1127,$B149,'ноябрь 2023'!$J$76:$J$1127,U$1)</f>
        <v>0</v>
      </c>
      <c r="V149" s="207">
        <f>SUMIFS('ноябрь 2023'!$G$76:$G$1127,'ноябрь 2023'!$D$76:$D$1127,$B149,'ноябрь 2023'!$J$76:$J$1127,V$1)</f>
        <v>0</v>
      </c>
      <c r="W149" s="207">
        <f>SUMIFS('ноябрь 2023'!$G$76:$G$1127,'ноябрь 2023'!$D$76:$D$1127,$B149,'ноябрь 2023'!$J$76:$J$1127,W$1)</f>
        <v>0</v>
      </c>
      <c r="X149" s="207">
        <f>SUMIFS('ноябрь 2023'!$G$76:$G$1127,'ноябрь 2023'!$D$76:$D$1127,$B149,'ноябрь 2023'!$J$76:$J$1127,X$1)</f>
        <v>0</v>
      </c>
      <c r="Y149" s="207">
        <f>SUMIFS('ноябрь 2023'!$G$76:$G$1127,'ноябрь 2023'!$D$76:$D$1127,$B149,'ноябрь 2023'!$J$76:$J$1127,Y$1)</f>
        <v>0</v>
      </c>
      <c r="Z149" s="207">
        <f>SUMIFS('ноябрь 2023'!$G$76:$G$1127,'ноябрь 2023'!$D$76:$D$1127,$B149,'ноябрь 2023'!$J$76:$J$1127,Z$1)</f>
        <v>0</v>
      </c>
      <c r="AA149" s="207">
        <f>SUMIFS('ноябрь 2023'!$G$76:$G$1127,'ноябрь 2023'!$D$76:$D$1127,$B149,'ноябрь 2023'!$J$76:$J$1127,AA$1)</f>
        <v>0</v>
      </c>
      <c r="AB149" s="207">
        <f>SUMIFS('ноябрь 2023'!$G$76:$G$1127,'ноябрь 2023'!$D$76:$D$1127,$B149,'ноябрь 2023'!$J$76:$J$1127,AB$1)</f>
        <v>0</v>
      </c>
      <c r="AC149" s="207">
        <f>SUMIFS('ноябрь 2023'!$G$76:$G$1127,'ноябрь 2023'!$D$76:$D$1127,$B149,'ноябрь 2023'!$J$76:$J$1127,AC$1)</f>
        <v>0</v>
      </c>
      <c r="AD149" s="207">
        <f>SUMIFS('ноябрь 2023'!$G$76:$G$1127,'ноябрь 2023'!$D$76:$D$1127,$B149,'ноябрь 2023'!$J$76:$J$1127,AD$1)</f>
        <v>0</v>
      </c>
      <c r="AE149" s="207">
        <f>SUMIFS('ноябрь 2023'!$G$76:$G$1127,'ноябрь 2023'!$D$76:$D$1127,$B149,'ноябрь 2023'!$J$76:$J$1127,AE$1)</f>
        <v>0</v>
      </c>
      <c r="AF149" s="207">
        <f>SUMIFS('ноябрь 2023'!$G$76:$G$1127,'ноябрь 2023'!$D$76:$D$1127,$B149,'ноябрь 2023'!$J$76:$J$1127,AF$1)</f>
        <v>0</v>
      </c>
      <c r="AG149" s="207">
        <f>SUMIFS('ноябрь 2023'!$G$76:$G$1127,'ноябрь 2023'!$D$76:$D$1127,$B149,'ноябрь 2023'!$J$76:$J$1127,AG$1)</f>
        <v>0</v>
      </c>
      <c r="AH149" s="207">
        <f>SUMIFS('ноябрь 2023'!$G$76:$G$1127,'ноябрь 2023'!$D$76:$D$1127,$B149,'ноябрь 2023'!$J$76:$J$1127,AH$1)</f>
        <v>0</v>
      </c>
      <c r="AI149" s="220">
        <f t="shared" si="3"/>
        <v>0</v>
      </c>
    </row>
    <row r="150" spans="2:35" ht="15" hidden="1" customHeight="1" x14ac:dyDescent="0.25">
      <c r="B150" s="212"/>
      <c r="C150" s="215"/>
      <c r="D150" s="207">
        <f>SUMIFS('ноябрь 2023'!$G$76:$G$1127,'ноябрь 2023'!$D$76:$D$1127,$B150,'ноябрь 2023'!$J$76:$J$1127,D$1)</f>
        <v>0</v>
      </c>
      <c r="E150" s="207">
        <f>SUMIFS('ноябрь 2023'!$G$76:$G$1127,'ноябрь 2023'!$D$76:$D$1127,$B150,'ноябрь 2023'!$J$76:$J$1127,E$1)</f>
        <v>0</v>
      </c>
      <c r="F150" s="207">
        <f>SUMIFS('ноябрь 2023'!$G$76:$G$1127,'ноябрь 2023'!$D$76:$D$1127,$B150,'ноябрь 2023'!$J$76:$J$1127,F$1)</f>
        <v>0</v>
      </c>
      <c r="G150" s="207">
        <f>SUMIFS('ноябрь 2023'!$G$76:$G$1127,'ноябрь 2023'!$D$76:$D$1127,$B150,'ноябрь 2023'!$J$76:$J$1127,G$1)</f>
        <v>0</v>
      </c>
      <c r="H150" s="207">
        <f>SUMIFS('ноябрь 2023'!$G$76:$G$1127,'ноябрь 2023'!$D$76:$D$1127,$B150,'ноябрь 2023'!$J$76:$J$1127,H$1)</f>
        <v>0</v>
      </c>
      <c r="I150" s="207">
        <f>SUMIFS('ноябрь 2023'!$G$76:$G$1127,'ноябрь 2023'!$D$76:$D$1127,$B150,'ноябрь 2023'!$J$76:$J$1127,I$1)</f>
        <v>0</v>
      </c>
      <c r="J150" s="207">
        <f>SUMIFS('ноябрь 2023'!$G$76:$G$1127,'ноябрь 2023'!$D$76:$D$1127,$B150,'ноябрь 2023'!$J$76:$J$1127,J$1)</f>
        <v>0</v>
      </c>
      <c r="K150" s="207">
        <f>SUMIFS('ноябрь 2023'!$G$76:$G$1127,'ноябрь 2023'!$D$76:$D$1127,$B150,'ноябрь 2023'!$J$76:$J$1127,K$1)</f>
        <v>0</v>
      </c>
      <c r="L150" s="207">
        <f>SUMIFS('ноябрь 2023'!$G$76:$G$1127,'ноябрь 2023'!$D$76:$D$1127,$B150,'ноябрь 2023'!$J$76:$J$1127,L$1)</f>
        <v>0</v>
      </c>
      <c r="M150" s="207">
        <f>SUMIFS('ноябрь 2023'!$G$76:$G$1127,'ноябрь 2023'!$D$76:$D$1127,$B150,'ноябрь 2023'!$J$76:$J$1127,M$1)</f>
        <v>0</v>
      </c>
      <c r="N150" s="207">
        <f>SUMIFS('ноябрь 2023'!$G$76:$G$1127,'ноябрь 2023'!$D$76:$D$1127,$B150,'ноябрь 2023'!$J$76:$J$1127,N$1)</f>
        <v>0</v>
      </c>
      <c r="O150" s="207">
        <f>SUMIFS('ноябрь 2023'!$G$76:$G$1127,'ноябрь 2023'!$D$76:$D$1127,$B150,'ноябрь 2023'!$J$76:$J$1127,O$1)</f>
        <v>0</v>
      </c>
      <c r="P150" s="207">
        <f>SUMIFS('ноябрь 2023'!$G$76:$G$1127,'ноябрь 2023'!$D$76:$D$1127,$B150,'ноябрь 2023'!$J$76:$J$1127,P$1)</f>
        <v>0</v>
      </c>
      <c r="Q150" s="207">
        <f>SUMIFS('ноябрь 2023'!$G$76:$G$1127,'ноябрь 2023'!$D$76:$D$1127,$B150,'ноябрь 2023'!$J$76:$J$1127,Q$1)</f>
        <v>0</v>
      </c>
      <c r="R150" s="207">
        <f>SUMIFS('ноябрь 2023'!$G$76:$G$1127,'ноябрь 2023'!$D$76:$D$1127,$B150,'ноябрь 2023'!$J$76:$J$1127,R$1)</f>
        <v>0</v>
      </c>
      <c r="S150" s="207">
        <f>SUMIFS('ноябрь 2023'!$G$76:$G$1127,'ноябрь 2023'!$D$76:$D$1127,$B150,'ноябрь 2023'!$J$76:$J$1127,S$1)</f>
        <v>0</v>
      </c>
      <c r="T150" s="207">
        <f>SUMIFS('ноябрь 2023'!$G$76:$G$1127,'ноябрь 2023'!$D$76:$D$1127,$B150,'ноябрь 2023'!$J$76:$J$1127,T$1)</f>
        <v>0</v>
      </c>
      <c r="U150" s="207">
        <f>SUMIFS('ноябрь 2023'!$G$76:$G$1127,'ноябрь 2023'!$D$76:$D$1127,$B150,'ноябрь 2023'!$J$76:$J$1127,U$1)</f>
        <v>0</v>
      </c>
      <c r="V150" s="207">
        <f>SUMIFS('ноябрь 2023'!$G$76:$G$1127,'ноябрь 2023'!$D$76:$D$1127,$B150,'ноябрь 2023'!$J$76:$J$1127,V$1)</f>
        <v>0</v>
      </c>
      <c r="W150" s="207">
        <f>SUMIFS('ноябрь 2023'!$G$76:$G$1127,'ноябрь 2023'!$D$76:$D$1127,$B150,'ноябрь 2023'!$J$76:$J$1127,W$1)</f>
        <v>0</v>
      </c>
      <c r="X150" s="207">
        <f>SUMIFS('ноябрь 2023'!$G$76:$G$1127,'ноябрь 2023'!$D$76:$D$1127,$B150,'ноябрь 2023'!$J$76:$J$1127,X$1)</f>
        <v>0</v>
      </c>
      <c r="Y150" s="207">
        <f>SUMIFS('ноябрь 2023'!$G$76:$G$1127,'ноябрь 2023'!$D$76:$D$1127,$B150,'ноябрь 2023'!$J$76:$J$1127,Y$1)</f>
        <v>0</v>
      </c>
      <c r="Z150" s="207">
        <f>SUMIFS('ноябрь 2023'!$G$76:$G$1127,'ноябрь 2023'!$D$76:$D$1127,$B150,'ноябрь 2023'!$J$76:$J$1127,Z$1)</f>
        <v>0</v>
      </c>
      <c r="AA150" s="207">
        <f>SUMIFS('ноябрь 2023'!$G$76:$G$1127,'ноябрь 2023'!$D$76:$D$1127,$B150,'ноябрь 2023'!$J$76:$J$1127,AA$1)</f>
        <v>0</v>
      </c>
      <c r="AB150" s="207">
        <f>SUMIFS('ноябрь 2023'!$G$76:$G$1127,'ноябрь 2023'!$D$76:$D$1127,$B150,'ноябрь 2023'!$J$76:$J$1127,AB$1)</f>
        <v>0</v>
      </c>
      <c r="AC150" s="207">
        <f>SUMIFS('ноябрь 2023'!$G$76:$G$1127,'ноябрь 2023'!$D$76:$D$1127,$B150,'ноябрь 2023'!$J$76:$J$1127,AC$1)</f>
        <v>0</v>
      </c>
      <c r="AD150" s="207">
        <f>SUMIFS('ноябрь 2023'!$G$76:$G$1127,'ноябрь 2023'!$D$76:$D$1127,$B150,'ноябрь 2023'!$J$76:$J$1127,AD$1)</f>
        <v>0</v>
      </c>
      <c r="AE150" s="207">
        <f>SUMIFS('ноябрь 2023'!$G$76:$G$1127,'ноябрь 2023'!$D$76:$D$1127,$B150,'ноябрь 2023'!$J$76:$J$1127,AE$1)</f>
        <v>0</v>
      </c>
      <c r="AF150" s="207">
        <f>SUMIFS('ноябрь 2023'!$G$76:$G$1127,'ноябрь 2023'!$D$76:$D$1127,$B150,'ноябрь 2023'!$J$76:$J$1127,AF$1)</f>
        <v>0</v>
      </c>
      <c r="AG150" s="207">
        <f>SUMIFS('ноябрь 2023'!$G$76:$G$1127,'ноябрь 2023'!$D$76:$D$1127,$B150,'ноябрь 2023'!$J$76:$J$1127,AG$1)</f>
        <v>0</v>
      </c>
      <c r="AH150" s="207">
        <f>SUMIFS('ноябрь 2023'!$G$76:$G$1127,'ноябрь 2023'!$D$76:$D$1127,$B150,'ноябрь 2023'!$J$76:$J$1127,AH$1)</f>
        <v>0</v>
      </c>
      <c r="AI150" s="220">
        <f t="shared" si="3"/>
        <v>0</v>
      </c>
    </row>
    <row r="151" spans="2:35" ht="15" hidden="1" customHeight="1" x14ac:dyDescent="0.25">
      <c r="B151" s="212"/>
      <c r="C151" s="213"/>
      <c r="D151" s="207">
        <f>SUMIFS('ноябрь 2023'!$G$76:$G$1127,'ноябрь 2023'!$D$76:$D$1127,$B151,'ноябрь 2023'!$J$76:$J$1127,D$1)</f>
        <v>0</v>
      </c>
      <c r="E151" s="207">
        <f>SUMIFS('ноябрь 2023'!$G$76:$G$1127,'ноябрь 2023'!$D$76:$D$1127,$B151,'ноябрь 2023'!$J$76:$J$1127,E$1)</f>
        <v>0</v>
      </c>
      <c r="F151" s="207">
        <f>SUMIFS('ноябрь 2023'!$G$76:$G$1127,'ноябрь 2023'!$D$76:$D$1127,$B151,'ноябрь 2023'!$J$76:$J$1127,F$1)</f>
        <v>0</v>
      </c>
      <c r="G151" s="207">
        <f>SUMIFS('ноябрь 2023'!$G$76:$G$1127,'ноябрь 2023'!$D$76:$D$1127,$B151,'ноябрь 2023'!$J$76:$J$1127,G$1)</f>
        <v>0</v>
      </c>
      <c r="H151" s="207">
        <f>SUMIFS('ноябрь 2023'!$G$76:$G$1127,'ноябрь 2023'!$D$76:$D$1127,$B151,'ноябрь 2023'!$J$76:$J$1127,H$1)</f>
        <v>0</v>
      </c>
      <c r="I151" s="207">
        <f>SUMIFS('ноябрь 2023'!$G$76:$G$1127,'ноябрь 2023'!$D$76:$D$1127,$B151,'ноябрь 2023'!$J$76:$J$1127,I$1)</f>
        <v>0</v>
      </c>
      <c r="J151" s="207">
        <f>SUMIFS('ноябрь 2023'!$G$76:$G$1127,'ноябрь 2023'!$D$76:$D$1127,$B151,'ноябрь 2023'!$J$76:$J$1127,J$1)</f>
        <v>0</v>
      </c>
      <c r="K151" s="207">
        <f>SUMIFS('ноябрь 2023'!$G$76:$G$1127,'ноябрь 2023'!$D$76:$D$1127,$B151,'ноябрь 2023'!$J$76:$J$1127,K$1)</f>
        <v>0</v>
      </c>
      <c r="L151" s="207">
        <f>SUMIFS('ноябрь 2023'!$G$76:$G$1127,'ноябрь 2023'!$D$76:$D$1127,$B151,'ноябрь 2023'!$J$76:$J$1127,L$1)</f>
        <v>0</v>
      </c>
      <c r="M151" s="207">
        <f>SUMIFS('ноябрь 2023'!$G$76:$G$1127,'ноябрь 2023'!$D$76:$D$1127,$B151,'ноябрь 2023'!$J$76:$J$1127,M$1)</f>
        <v>0</v>
      </c>
      <c r="N151" s="207">
        <f>SUMIFS('ноябрь 2023'!$G$76:$G$1127,'ноябрь 2023'!$D$76:$D$1127,$B151,'ноябрь 2023'!$J$76:$J$1127,N$1)</f>
        <v>0</v>
      </c>
      <c r="O151" s="207">
        <f>SUMIFS('ноябрь 2023'!$G$76:$G$1127,'ноябрь 2023'!$D$76:$D$1127,$B151,'ноябрь 2023'!$J$76:$J$1127,O$1)</f>
        <v>0</v>
      </c>
      <c r="P151" s="207">
        <f>SUMIFS('ноябрь 2023'!$G$76:$G$1127,'ноябрь 2023'!$D$76:$D$1127,$B151,'ноябрь 2023'!$J$76:$J$1127,P$1)</f>
        <v>0</v>
      </c>
      <c r="Q151" s="207">
        <f>SUMIFS('ноябрь 2023'!$G$76:$G$1127,'ноябрь 2023'!$D$76:$D$1127,$B151,'ноябрь 2023'!$J$76:$J$1127,Q$1)</f>
        <v>0</v>
      </c>
      <c r="R151" s="207">
        <f>SUMIFS('ноябрь 2023'!$G$76:$G$1127,'ноябрь 2023'!$D$76:$D$1127,$B151,'ноябрь 2023'!$J$76:$J$1127,R$1)</f>
        <v>0</v>
      </c>
      <c r="S151" s="207">
        <f>SUMIFS('ноябрь 2023'!$G$76:$G$1127,'ноябрь 2023'!$D$76:$D$1127,$B151,'ноябрь 2023'!$J$76:$J$1127,S$1)</f>
        <v>0</v>
      </c>
      <c r="T151" s="207">
        <f>SUMIFS('ноябрь 2023'!$G$76:$G$1127,'ноябрь 2023'!$D$76:$D$1127,$B151,'ноябрь 2023'!$J$76:$J$1127,T$1)</f>
        <v>0</v>
      </c>
      <c r="U151" s="207">
        <f>SUMIFS('ноябрь 2023'!$G$76:$G$1127,'ноябрь 2023'!$D$76:$D$1127,$B151,'ноябрь 2023'!$J$76:$J$1127,U$1)</f>
        <v>0</v>
      </c>
      <c r="V151" s="207">
        <f>SUMIFS('ноябрь 2023'!$G$76:$G$1127,'ноябрь 2023'!$D$76:$D$1127,$B151,'ноябрь 2023'!$J$76:$J$1127,V$1)</f>
        <v>0</v>
      </c>
      <c r="W151" s="207">
        <f>SUMIFS('ноябрь 2023'!$G$76:$G$1127,'ноябрь 2023'!$D$76:$D$1127,$B151,'ноябрь 2023'!$J$76:$J$1127,W$1)</f>
        <v>0</v>
      </c>
      <c r="X151" s="207">
        <f>SUMIFS('ноябрь 2023'!$G$76:$G$1127,'ноябрь 2023'!$D$76:$D$1127,$B151,'ноябрь 2023'!$J$76:$J$1127,X$1)</f>
        <v>0</v>
      </c>
      <c r="Y151" s="207">
        <f>SUMIFS('ноябрь 2023'!$G$76:$G$1127,'ноябрь 2023'!$D$76:$D$1127,$B151,'ноябрь 2023'!$J$76:$J$1127,Y$1)</f>
        <v>0</v>
      </c>
      <c r="Z151" s="207">
        <f>SUMIFS('ноябрь 2023'!$G$76:$G$1127,'ноябрь 2023'!$D$76:$D$1127,$B151,'ноябрь 2023'!$J$76:$J$1127,Z$1)</f>
        <v>0</v>
      </c>
      <c r="AA151" s="207">
        <f>SUMIFS('ноябрь 2023'!$G$76:$G$1127,'ноябрь 2023'!$D$76:$D$1127,$B151,'ноябрь 2023'!$J$76:$J$1127,AA$1)</f>
        <v>0</v>
      </c>
      <c r="AB151" s="207">
        <f>SUMIFS('ноябрь 2023'!$G$76:$G$1127,'ноябрь 2023'!$D$76:$D$1127,$B151,'ноябрь 2023'!$J$76:$J$1127,AB$1)</f>
        <v>0</v>
      </c>
      <c r="AC151" s="207">
        <f>SUMIFS('ноябрь 2023'!$G$76:$G$1127,'ноябрь 2023'!$D$76:$D$1127,$B151,'ноябрь 2023'!$J$76:$J$1127,AC$1)</f>
        <v>0</v>
      </c>
      <c r="AD151" s="207">
        <f>SUMIFS('ноябрь 2023'!$G$76:$G$1127,'ноябрь 2023'!$D$76:$D$1127,$B151,'ноябрь 2023'!$J$76:$J$1127,AD$1)</f>
        <v>0</v>
      </c>
      <c r="AE151" s="207">
        <f>SUMIFS('ноябрь 2023'!$G$76:$G$1127,'ноябрь 2023'!$D$76:$D$1127,$B151,'ноябрь 2023'!$J$76:$J$1127,AE$1)</f>
        <v>0</v>
      </c>
      <c r="AF151" s="207">
        <f>SUMIFS('ноябрь 2023'!$G$76:$G$1127,'ноябрь 2023'!$D$76:$D$1127,$B151,'ноябрь 2023'!$J$76:$J$1127,AF$1)</f>
        <v>0</v>
      </c>
      <c r="AG151" s="207">
        <f>SUMIFS('ноябрь 2023'!$G$76:$G$1127,'ноябрь 2023'!$D$76:$D$1127,$B151,'ноябрь 2023'!$J$76:$J$1127,AG$1)</f>
        <v>0</v>
      </c>
      <c r="AH151" s="207">
        <f>SUMIFS('ноябрь 2023'!$G$76:$G$1127,'ноябрь 2023'!$D$76:$D$1127,$B151,'ноябрь 2023'!$J$76:$J$1127,AH$1)</f>
        <v>0</v>
      </c>
      <c r="AI151" s="220">
        <f t="shared" si="3"/>
        <v>0</v>
      </c>
    </row>
    <row r="152" spans="2:35" ht="15" hidden="1" customHeight="1" x14ac:dyDescent="0.25">
      <c r="B152" s="216"/>
      <c r="C152" s="213"/>
      <c r="D152" s="207">
        <f>SUMIFS('ноябрь 2023'!$G$76:$G$1127,'ноябрь 2023'!$D$76:$D$1127,$B152,'ноябрь 2023'!$J$76:$J$1127,D$1)</f>
        <v>0</v>
      </c>
      <c r="E152" s="207">
        <f>SUMIFS('ноябрь 2023'!$G$76:$G$1127,'ноябрь 2023'!$D$76:$D$1127,$B152,'ноябрь 2023'!$J$76:$J$1127,E$1)</f>
        <v>0</v>
      </c>
      <c r="F152" s="207">
        <f>SUMIFS('ноябрь 2023'!$G$76:$G$1127,'ноябрь 2023'!$D$76:$D$1127,$B152,'ноябрь 2023'!$J$76:$J$1127,F$1)</f>
        <v>0</v>
      </c>
      <c r="G152" s="207">
        <f>SUMIFS('ноябрь 2023'!$G$76:$G$1127,'ноябрь 2023'!$D$76:$D$1127,$B152,'ноябрь 2023'!$J$76:$J$1127,G$1)</f>
        <v>0</v>
      </c>
      <c r="H152" s="207">
        <f>SUMIFS('ноябрь 2023'!$G$76:$G$1127,'ноябрь 2023'!$D$76:$D$1127,$B152,'ноябрь 2023'!$J$76:$J$1127,H$1)</f>
        <v>0</v>
      </c>
      <c r="I152" s="207">
        <f>SUMIFS('ноябрь 2023'!$G$76:$G$1127,'ноябрь 2023'!$D$76:$D$1127,$B152,'ноябрь 2023'!$J$76:$J$1127,I$1)</f>
        <v>0</v>
      </c>
      <c r="J152" s="207">
        <f>SUMIFS('ноябрь 2023'!$G$76:$G$1127,'ноябрь 2023'!$D$76:$D$1127,$B152,'ноябрь 2023'!$J$76:$J$1127,J$1)</f>
        <v>0</v>
      </c>
      <c r="K152" s="207">
        <f>SUMIFS('ноябрь 2023'!$G$76:$G$1127,'ноябрь 2023'!$D$76:$D$1127,$B152,'ноябрь 2023'!$J$76:$J$1127,K$1)</f>
        <v>0</v>
      </c>
      <c r="L152" s="207">
        <f>SUMIFS('ноябрь 2023'!$G$76:$G$1127,'ноябрь 2023'!$D$76:$D$1127,$B152,'ноябрь 2023'!$J$76:$J$1127,L$1)</f>
        <v>0</v>
      </c>
      <c r="M152" s="207">
        <f>SUMIFS('ноябрь 2023'!$G$76:$G$1127,'ноябрь 2023'!$D$76:$D$1127,$B152,'ноябрь 2023'!$J$76:$J$1127,M$1)</f>
        <v>0</v>
      </c>
      <c r="N152" s="207">
        <f>SUMIFS('ноябрь 2023'!$G$76:$G$1127,'ноябрь 2023'!$D$76:$D$1127,$B152,'ноябрь 2023'!$J$76:$J$1127,N$1)</f>
        <v>0</v>
      </c>
      <c r="O152" s="207">
        <f>SUMIFS('ноябрь 2023'!$G$76:$G$1127,'ноябрь 2023'!$D$76:$D$1127,$B152,'ноябрь 2023'!$J$76:$J$1127,O$1)</f>
        <v>0</v>
      </c>
      <c r="P152" s="207">
        <f>SUMIFS('ноябрь 2023'!$G$76:$G$1127,'ноябрь 2023'!$D$76:$D$1127,$B152,'ноябрь 2023'!$J$76:$J$1127,P$1)</f>
        <v>0</v>
      </c>
      <c r="Q152" s="207">
        <f>SUMIFS('ноябрь 2023'!$G$76:$G$1127,'ноябрь 2023'!$D$76:$D$1127,$B152,'ноябрь 2023'!$J$76:$J$1127,Q$1)</f>
        <v>0</v>
      </c>
      <c r="R152" s="207">
        <f>SUMIFS('ноябрь 2023'!$G$76:$G$1127,'ноябрь 2023'!$D$76:$D$1127,$B152,'ноябрь 2023'!$J$76:$J$1127,R$1)</f>
        <v>0</v>
      </c>
      <c r="S152" s="207">
        <f>SUMIFS('ноябрь 2023'!$G$76:$G$1127,'ноябрь 2023'!$D$76:$D$1127,$B152,'ноябрь 2023'!$J$76:$J$1127,S$1)</f>
        <v>0</v>
      </c>
      <c r="T152" s="207">
        <f>SUMIFS('ноябрь 2023'!$G$76:$G$1127,'ноябрь 2023'!$D$76:$D$1127,$B152,'ноябрь 2023'!$J$76:$J$1127,T$1)</f>
        <v>0</v>
      </c>
      <c r="U152" s="207">
        <f>SUMIFS('ноябрь 2023'!$G$76:$G$1127,'ноябрь 2023'!$D$76:$D$1127,$B152,'ноябрь 2023'!$J$76:$J$1127,U$1)</f>
        <v>0</v>
      </c>
      <c r="V152" s="207">
        <f>SUMIFS('ноябрь 2023'!$G$76:$G$1127,'ноябрь 2023'!$D$76:$D$1127,$B152,'ноябрь 2023'!$J$76:$J$1127,V$1)</f>
        <v>0</v>
      </c>
      <c r="W152" s="207">
        <f>SUMIFS('ноябрь 2023'!$G$76:$G$1127,'ноябрь 2023'!$D$76:$D$1127,$B152,'ноябрь 2023'!$J$76:$J$1127,W$1)</f>
        <v>0</v>
      </c>
      <c r="X152" s="207">
        <f>SUMIFS('ноябрь 2023'!$G$76:$G$1127,'ноябрь 2023'!$D$76:$D$1127,$B152,'ноябрь 2023'!$J$76:$J$1127,X$1)</f>
        <v>0</v>
      </c>
      <c r="Y152" s="207">
        <f>SUMIFS('ноябрь 2023'!$G$76:$G$1127,'ноябрь 2023'!$D$76:$D$1127,$B152,'ноябрь 2023'!$J$76:$J$1127,Y$1)</f>
        <v>0</v>
      </c>
      <c r="Z152" s="207">
        <f>SUMIFS('ноябрь 2023'!$G$76:$G$1127,'ноябрь 2023'!$D$76:$D$1127,$B152,'ноябрь 2023'!$J$76:$J$1127,Z$1)</f>
        <v>0</v>
      </c>
      <c r="AA152" s="207">
        <f>SUMIFS('ноябрь 2023'!$G$76:$G$1127,'ноябрь 2023'!$D$76:$D$1127,$B152,'ноябрь 2023'!$J$76:$J$1127,AA$1)</f>
        <v>0</v>
      </c>
      <c r="AB152" s="207">
        <f>SUMIFS('ноябрь 2023'!$G$76:$G$1127,'ноябрь 2023'!$D$76:$D$1127,$B152,'ноябрь 2023'!$J$76:$J$1127,AB$1)</f>
        <v>0</v>
      </c>
      <c r="AC152" s="207">
        <f>SUMIFS('ноябрь 2023'!$G$76:$G$1127,'ноябрь 2023'!$D$76:$D$1127,$B152,'ноябрь 2023'!$J$76:$J$1127,AC$1)</f>
        <v>0</v>
      </c>
      <c r="AD152" s="207">
        <f>SUMIFS('ноябрь 2023'!$G$76:$G$1127,'ноябрь 2023'!$D$76:$D$1127,$B152,'ноябрь 2023'!$J$76:$J$1127,AD$1)</f>
        <v>0</v>
      </c>
      <c r="AE152" s="207">
        <f>SUMIFS('ноябрь 2023'!$G$76:$G$1127,'ноябрь 2023'!$D$76:$D$1127,$B152,'ноябрь 2023'!$J$76:$J$1127,AE$1)</f>
        <v>0</v>
      </c>
      <c r="AF152" s="207">
        <f>SUMIFS('ноябрь 2023'!$G$76:$G$1127,'ноябрь 2023'!$D$76:$D$1127,$B152,'ноябрь 2023'!$J$76:$J$1127,AF$1)</f>
        <v>0</v>
      </c>
      <c r="AG152" s="207">
        <f>SUMIFS('ноябрь 2023'!$G$76:$G$1127,'ноябрь 2023'!$D$76:$D$1127,$B152,'ноябрь 2023'!$J$76:$J$1127,AG$1)</f>
        <v>0</v>
      </c>
      <c r="AH152" s="207">
        <f>SUMIFS('ноябрь 2023'!$G$76:$G$1127,'ноябрь 2023'!$D$76:$D$1127,$B152,'ноябрь 2023'!$J$76:$J$1127,AH$1)</f>
        <v>0</v>
      </c>
      <c r="AI152" s="220">
        <f t="shared" si="3"/>
        <v>0</v>
      </c>
    </row>
    <row r="153" spans="2:35" ht="15" hidden="1" customHeight="1" x14ac:dyDescent="0.25">
      <c r="B153" s="212"/>
      <c r="C153" s="211"/>
      <c r="D153" s="207">
        <f>SUMIFS('ноябрь 2023'!$G$76:$G$1127,'ноябрь 2023'!$D$76:$D$1127,$B153,'ноябрь 2023'!$J$76:$J$1127,D$1)</f>
        <v>0</v>
      </c>
      <c r="E153" s="207">
        <f>SUMIFS('ноябрь 2023'!$G$76:$G$1127,'ноябрь 2023'!$D$76:$D$1127,$B153,'ноябрь 2023'!$J$76:$J$1127,E$1)</f>
        <v>0</v>
      </c>
      <c r="F153" s="207">
        <f>SUMIFS('ноябрь 2023'!$G$76:$G$1127,'ноябрь 2023'!$D$76:$D$1127,$B153,'ноябрь 2023'!$J$76:$J$1127,F$1)</f>
        <v>0</v>
      </c>
      <c r="G153" s="207">
        <f>SUMIFS('ноябрь 2023'!$G$76:$G$1127,'ноябрь 2023'!$D$76:$D$1127,$B153,'ноябрь 2023'!$J$76:$J$1127,G$1)</f>
        <v>0</v>
      </c>
      <c r="H153" s="207">
        <f>SUMIFS('ноябрь 2023'!$G$76:$G$1127,'ноябрь 2023'!$D$76:$D$1127,$B153,'ноябрь 2023'!$J$76:$J$1127,H$1)</f>
        <v>0</v>
      </c>
      <c r="I153" s="207">
        <f>SUMIFS('ноябрь 2023'!$G$76:$G$1127,'ноябрь 2023'!$D$76:$D$1127,$B153,'ноябрь 2023'!$J$76:$J$1127,I$1)</f>
        <v>0</v>
      </c>
      <c r="J153" s="207">
        <f>SUMIFS('ноябрь 2023'!$G$76:$G$1127,'ноябрь 2023'!$D$76:$D$1127,$B153,'ноябрь 2023'!$J$76:$J$1127,J$1)</f>
        <v>0</v>
      </c>
      <c r="K153" s="207">
        <f>SUMIFS('ноябрь 2023'!$G$76:$G$1127,'ноябрь 2023'!$D$76:$D$1127,$B153,'ноябрь 2023'!$J$76:$J$1127,K$1)</f>
        <v>0</v>
      </c>
      <c r="L153" s="207">
        <f>SUMIFS('ноябрь 2023'!$G$76:$G$1127,'ноябрь 2023'!$D$76:$D$1127,$B153,'ноябрь 2023'!$J$76:$J$1127,L$1)</f>
        <v>0</v>
      </c>
      <c r="M153" s="207">
        <f>SUMIFS('ноябрь 2023'!$G$76:$G$1127,'ноябрь 2023'!$D$76:$D$1127,$B153,'ноябрь 2023'!$J$76:$J$1127,M$1)</f>
        <v>0</v>
      </c>
      <c r="N153" s="207">
        <f>SUMIFS('ноябрь 2023'!$G$76:$G$1127,'ноябрь 2023'!$D$76:$D$1127,$B153,'ноябрь 2023'!$J$76:$J$1127,N$1)</f>
        <v>0</v>
      </c>
      <c r="O153" s="207">
        <f>SUMIFS('ноябрь 2023'!$G$76:$G$1127,'ноябрь 2023'!$D$76:$D$1127,$B153,'ноябрь 2023'!$J$76:$J$1127,O$1)</f>
        <v>0</v>
      </c>
      <c r="P153" s="207">
        <f>SUMIFS('ноябрь 2023'!$G$76:$G$1127,'ноябрь 2023'!$D$76:$D$1127,$B153,'ноябрь 2023'!$J$76:$J$1127,P$1)</f>
        <v>0</v>
      </c>
      <c r="Q153" s="207">
        <f>SUMIFS('ноябрь 2023'!$G$76:$G$1127,'ноябрь 2023'!$D$76:$D$1127,$B153,'ноябрь 2023'!$J$76:$J$1127,Q$1)</f>
        <v>0</v>
      </c>
      <c r="R153" s="207">
        <f>SUMIFS('ноябрь 2023'!$G$76:$G$1127,'ноябрь 2023'!$D$76:$D$1127,$B153,'ноябрь 2023'!$J$76:$J$1127,R$1)</f>
        <v>0</v>
      </c>
      <c r="S153" s="207">
        <f>SUMIFS('ноябрь 2023'!$G$76:$G$1127,'ноябрь 2023'!$D$76:$D$1127,$B153,'ноябрь 2023'!$J$76:$J$1127,S$1)</f>
        <v>0</v>
      </c>
      <c r="T153" s="207">
        <f>SUMIFS('ноябрь 2023'!$G$76:$G$1127,'ноябрь 2023'!$D$76:$D$1127,$B153,'ноябрь 2023'!$J$76:$J$1127,T$1)</f>
        <v>0</v>
      </c>
      <c r="U153" s="207">
        <f>SUMIFS('ноябрь 2023'!$G$76:$G$1127,'ноябрь 2023'!$D$76:$D$1127,$B153,'ноябрь 2023'!$J$76:$J$1127,U$1)</f>
        <v>0</v>
      </c>
      <c r="V153" s="207">
        <f>SUMIFS('ноябрь 2023'!$G$76:$G$1127,'ноябрь 2023'!$D$76:$D$1127,$B153,'ноябрь 2023'!$J$76:$J$1127,V$1)</f>
        <v>0</v>
      </c>
      <c r="W153" s="207">
        <f>SUMIFS('ноябрь 2023'!$G$76:$G$1127,'ноябрь 2023'!$D$76:$D$1127,$B153,'ноябрь 2023'!$J$76:$J$1127,W$1)</f>
        <v>0</v>
      </c>
      <c r="X153" s="207">
        <f>SUMIFS('ноябрь 2023'!$G$76:$G$1127,'ноябрь 2023'!$D$76:$D$1127,$B153,'ноябрь 2023'!$J$76:$J$1127,X$1)</f>
        <v>0</v>
      </c>
      <c r="Y153" s="207">
        <f>SUMIFS('ноябрь 2023'!$G$76:$G$1127,'ноябрь 2023'!$D$76:$D$1127,$B153,'ноябрь 2023'!$J$76:$J$1127,Y$1)</f>
        <v>0</v>
      </c>
      <c r="Z153" s="207">
        <f>SUMIFS('ноябрь 2023'!$G$76:$G$1127,'ноябрь 2023'!$D$76:$D$1127,$B153,'ноябрь 2023'!$J$76:$J$1127,Z$1)</f>
        <v>0</v>
      </c>
      <c r="AA153" s="207">
        <f>SUMIFS('ноябрь 2023'!$G$76:$G$1127,'ноябрь 2023'!$D$76:$D$1127,$B153,'ноябрь 2023'!$J$76:$J$1127,AA$1)</f>
        <v>0</v>
      </c>
      <c r="AB153" s="207">
        <f>SUMIFS('ноябрь 2023'!$G$76:$G$1127,'ноябрь 2023'!$D$76:$D$1127,$B153,'ноябрь 2023'!$J$76:$J$1127,AB$1)</f>
        <v>0</v>
      </c>
      <c r="AC153" s="207">
        <f>SUMIFS('ноябрь 2023'!$G$76:$G$1127,'ноябрь 2023'!$D$76:$D$1127,$B153,'ноябрь 2023'!$J$76:$J$1127,AC$1)</f>
        <v>0</v>
      </c>
      <c r="AD153" s="207">
        <f>SUMIFS('ноябрь 2023'!$G$76:$G$1127,'ноябрь 2023'!$D$76:$D$1127,$B153,'ноябрь 2023'!$J$76:$J$1127,AD$1)</f>
        <v>0</v>
      </c>
      <c r="AE153" s="207">
        <f>SUMIFS('ноябрь 2023'!$G$76:$G$1127,'ноябрь 2023'!$D$76:$D$1127,$B153,'ноябрь 2023'!$J$76:$J$1127,AE$1)</f>
        <v>0</v>
      </c>
      <c r="AF153" s="207">
        <f>SUMIFS('ноябрь 2023'!$G$76:$G$1127,'ноябрь 2023'!$D$76:$D$1127,$B153,'ноябрь 2023'!$J$76:$J$1127,AF$1)</f>
        <v>0</v>
      </c>
      <c r="AG153" s="207">
        <f>SUMIFS('ноябрь 2023'!$G$76:$G$1127,'ноябрь 2023'!$D$76:$D$1127,$B153,'ноябрь 2023'!$J$76:$J$1127,AG$1)</f>
        <v>0</v>
      </c>
      <c r="AH153" s="207">
        <f>SUMIFS('ноябрь 2023'!$G$76:$G$1127,'ноябрь 2023'!$D$76:$D$1127,$B153,'ноябрь 2023'!$J$76:$J$1127,AH$1)</f>
        <v>0</v>
      </c>
      <c r="AI153" s="220">
        <f t="shared" si="3"/>
        <v>0</v>
      </c>
    </row>
    <row r="154" spans="2:35" ht="15" hidden="1" customHeight="1" x14ac:dyDescent="0.25">
      <c r="B154" s="212"/>
      <c r="C154" s="213"/>
      <c r="D154" s="207">
        <f>SUMIFS('ноябрь 2023'!$G$76:$G$1127,'ноябрь 2023'!$D$76:$D$1127,$B154,'ноябрь 2023'!$J$76:$J$1127,D$1)</f>
        <v>0</v>
      </c>
      <c r="E154" s="207">
        <f>SUMIFS('ноябрь 2023'!$G$76:$G$1127,'ноябрь 2023'!$D$76:$D$1127,$B154,'ноябрь 2023'!$J$76:$J$1127,E$1)</f>
        <v>0</v>
      </c>
      <c r="F154" s="207">
        <f>SUMIFS('ноябрь 2023'!$G$76:$G$1127,'ноябрь 2023'!$D$76:$D$1127,$B154,'ноябрь 2023'!$J$76:$J$1127,F$1)</f>
        <v>0</v>
      </c>
      <c r="G154" s="207">
        <f>SUMIFS('ноябрь 2023'!$G$76:$G$1127,'ноябрь 2023'!$D$76:$D$1127,$B154,'ноябрь 2023'!$J$76:$J$1127,G$1)</f>
        <v>0</v>
      </c>
      <c r="H154" s="207">
        <f>SUMIFS('ноябрь 2023'!$G$76:$G$1127,'ноябрь 2023'!$D$76:$D$1127,$B154,'ноябрь 2023'!$J$76:$J$1127,H$1)</f>
        <v>0</v>
      </c>
      <c r="I154" s="207">
        <f>SUMIFS('ноябрь 2023'!$G$76:$G$1127,'ноябрь 2023'!$D$76:$D$1127,$B154,'ноябрь 2023'!$J$76:$J$1127,I$1)</f>
        <v>0</v>
      </c>
      <c r="J154" s="207">
        <f>SUMIFS('ноябрь 2023'!$G$76:$G$1127,'ноябрь 2023'!$D$76:$D$1127,$B154,'ноябрь 2023'!$J$76:$J$1127,J$1)</f>
        <v>0</v>
      </c>
      <c r="K154" s="207">
        <f>SUMIFS('ноябрь 2023'!$G$76:$G$1127,'ноябрь 2023'!$D$76:$D$1127,$B154,'ноябрь 2023'!$J$76:$J$1127,K$1)</f>
        <v>0</v>
      </c>
      <c r="L154" s="207">
        <f>SUMIFS('ноябрь 2023'!$G$76:$G$1127,'ноябрь 2023'!$D$76:$D$1127,$B154,'ноябрь 2023'!$J$76:$J$1127,L$1)</f>
        <v>0</v>
      </c>
      <c r="M154" s="207">
        <f>SUMIFS('ноябрь 2023'!$G$76:$G$1127,'ноябрь 2023'!$D$76:$D$1127,$B154,'ноябрь 2023'!$J$76:$J$1127,M$1)</f>
        <v>0</v>
      </c>
      <c r="N154" s="207">
        <f>SUMIFS('ноябрь 2023'!$G$76:$G$1127,'ноябрь 2023'!$D$76:$D$1127,$B154,'ноябрь 2023'!$J$76:$J$1127,N$1)</f>
        <v>0</v>
      </c>
      <c r="O154" s="207">
        <f>SUMIFS('ноябрь 2023'!$G$76:$G$1127,'ноябрь 2023'!$D$76:$D$1127,$B154,'ноябрь 2023'!$J$76:$J$1127,O$1)</f>
        <v>0</v>
      </c>
      <c r="P154" s="207">
        <f>SUMIFS('ноябрь 2023'!$G$76:$G$1127,'ноябрь 2023'!$D$76:$D$1127,$B154,'ноябрь 2023'!$J$76:$J$1127,P$1)</f>
        <v>0</v>
      </c>
      <c r="Q154" s="207">
        <f>SUMIFS('ноябрь 2023'!$G$76:$G$1127,'ноябрь 2023'!$D$76:$D$1127,$B154,'ноябрь 2023'!$J$76:$J$1127,Q$1)</f>
        <v>0</v>
      </c>
      <c r="R154" s="207">
        <f>SUMIFS('ноябрь 2023'!$G$76:$G$1127,'ноябрь 2023'!$D$76:$D$1127,$B154,'ноябрь 2023'!$J$76:$J$1127,R$1)</f>
        <v>0</v>
      </c>
      <c r="S154" s="207">
        <f>SUMIFS('ноябрь 2023'!$G$76:$G$1127,'ноябрь 2023'!$D$76:$D$1127,$B154,'ноябрь 2023'!$J$76:$J$1127,S$1)</f>
        <v>0</v>
      </c>
      <c r="T154" s="207">
        <f>SUMIFS('ноябрь 2023'!$G$76:$G$1127,'ноябрь 2023'!$D$76:$D$1127,$B154,'ноябрь 2023'!$J$76:$J$1127,T$1)</f>
        <v>0</v>
      </c>
      <c r="U154" s="207">
        <f>SUMIFS('ноябрь 2023'!$G$76:$G$1127,'ноябрь 2023'!$D$76:$D$1127,$B154,'ноябрь 2023'!$J$76:$J$1127,U$1)</f>
        <v>0</v>
      </c>
      <c r="V154" s="207">
        <f>SUMIFS('ноябрь 2023'!$G$76:$G$1127,'ноябрь 2023'!$D$76:$D$1127,$B154,'ноябрь 2023'!$J$76:$J$1127,V$1)</f>
        <v>0</v>
      </c>
      <c r="W154" s="207">
        <f>SUMIFS('ноябрь 2023'!$G$76:$G$1127,'ноябрь 2023'!$D$76:$D$1127,$B154,'ноябрь 2023'!$J$76:$J$1127,W$1)</f>
        <v>0</v>
      </c>
      <c r="X154" s="207">
        <f>SUMIFS('ноябрь 2023'!$G$76:$G$1127,'ноябрь 2023'!$D$76:$D$1127,$B154,'ноябрь 2023'!$J$76:$J$1127,X$1)</f>
        <v>0</v>
      </c>
      <c r="Y154" s="207">
        <f>SUMIFS('ноябрь 2023'!$G$76:$G$1127,'ноябрь 2023'!$D$76:$D$1127,$B154,'ноябрь 2023'!$J$76:$J$1127,Y$1)</f>
        <v>0</v>
      </c>
      <c r="Z154" s="207">
        <f>SUMIFS('ноябрь 2023'!$G$76:$G$1127,'ноябрь 2023'!$D$76:$D$1127,$B154,'ноябрь 2023'!$J$76:$J$1127,Z$1)</f>
        <v>0</v>
      </c>
      <c r="AA154" s="207">
        <f>SUMIFS('ноябрь 2023'!$G$76:$G$1127,'ноябрь 2023'!$D$76:$D$1127,$B154,'ноябрь 2023'!$J$76:$J$1127,AA$1)</f>
        <v>0</v>
      </c>
      <c r="AB154" s="207">
        <f>SUMIFS('ноябрь 2023'!$G$76:$G$1127,'ноябрь 2023'!$D$76:$D$1127,$B154,'ноябрь 2023'!$J$76:$J$1127,AB$1)</f>
        <v>0</v>
      </c>
      <c r="AC154" s="207">
        <f>SUMIFS('ноябрь 2023'!$G$76:$G$1127,'ноябрь 2023'!$D$76:$D$1127,$B154,'ноябрь 2023'!$J$76:$J$1127,AC$1)</f>
        <v>0</v>
      </c>
      <c r="AD154" s="207">
        <f>SUMIFS('ноябрь 2023'!$G$76:$G$1127,'ноябрь 2023'!$D$76:$D$1127,$B154,'ноябрь 2023'!$J$76:$J$1127,AD$1)</f>
        <v>0</v>
      </c>
      <c r="AE154" s="207">
        <f>SUMIFS('ноябрь 2023'!$G$76:$G$1127,'ноябрь 2023'!$D$76:$D$1127,$B154,'ноябрь 2023'!$J$76:$J$1127,AE$1)</f>
        <v>0</v>
      </c>
      <c r="AF154" s="207">
        <f>SUMIFS('ноябрь 2023'!$G$76:$G$1127,'ноябрь 2023'!$D$76:$D$1127,$B154,'ноябрь 2023'!$J$76:$J$1127,AF$1)</f>
        <v>0</v>
      </c>
      <c r="AG154" s="207">
        <f>SUMIFS('ноябрь 2023'!$G$76:$G$1127,'ноябрь 2023'!$D$76:$D$1127,$B154,'ноябрь 2023'!$J$76:$J$1127,AG$1)</f>
        <v>0</v>
      </c>
      <c r="AH154" s="207">
        <f>SUMIFS('ноябрь 2023'!$G$76:$G$1127,'ноябрь 2023'!$D$76:$D$1127,$B154,'ноябрь 2023'!$J$76:$J$1127,AH$1)</f>
        <v>0</v>
      </c>
      <c r="AI154" s="220">
        <f t="shared" si="3"/>
        <v>0</v>
      </c>
    </row>
    <row r="155" spans="2:35" ht="15" hidden="1" customHeight="1" x14ac:dyDescent="0.25">
      <c r="B155" s="212"/>
      <c r="C155" s="213"/>
      <c r="D155" s="207">
        <f>SUMIFS('ноябрь 2023'!$G$76:$G$1127,'ноябрь 2023'!$D$76:$D$1127,$B155,'ноябрь 2023'!$J$76:$J$1127,D$1)</f>
        <v>0</v>
      </c>
      <c r="E155" s="207">
        <f>SUMIFS('ноябрь 2023'!$G$76:$G$1127,'ноябрь 2023'!$D$76:$D$1127,$B155,'ноябрь 2023'!$J$76:$J$1127,E$1)</f>
        <v>0</v>
      </c>
      <c r="F155" s="207">
        <f>SUMIFS('ноябрь 2023'!$G$76:$G$1127,'ноябрь 2023'!$D$76:$D$1127,$B155,'ноябрь 2023'!$J$76:$J$1127,F$1)</f>
        <v>0</v>
      </c>
      <c r="G155" s="207">
        <f>SUMIFS('ноябрь 2023'!$G$76:$G$1127,'ноябрь 2023'!$D$76:$D$1127,$B155,'ноябрь 2023'!$J$76:$J$1127,G$1)</f>
        <v>0</v>
      </c>
      <c r="H155" s="207">
        <f>SUMIFS('ноябрь 2023'!$G$76:$G$1127,'ноябрь 2023'!$D$76:$D$1127,$B155,'ноябрь 2023'!$J$76:$J$1127,H$1)</f>
        <v>0</v>
      </c>
      <c r="I155" s="207">
        <f>SUMIFS('ноябрь 2023'!$G$76:$G$1127,'ноябрь 2023'!$D$76:$D$1127,$B155,'ноябрь 2023'!$J$76:$J$1127,I$1)</f>
        <v>0</v>
      </c>
      <c r="J155" s="207">
        <f>SUMIFS('ноябрь 2023'!$G$76:$G$1127,'ноябрь 2023'!$D$76:$D$1127,$B155,'ноябрь 2023'!$J$76:$J$1127,J$1)</f>
        <v>0</v>
      </c>
      <c r="K155" s="207">
        <f>SUMIFS('ноябрь 2023'!$G$76:$G$1127,'ноябрь 2023'!$D$76:$D$1127,$B155,'ноябрь 2023'!$J$76:$J$1127,K$1)</f>
        <v>0</v>
      </c>
      <c r="L155" s="207">
        <f>SUMIFS('ноябрь 2023'!$G$76:$G$1127,'ноябрь 2023'!$D$76:$D$1127,$B155,'ноябрь 2023'!$J$76:$J$1127,L$1)</f>
        <v>0</v>
      </c>
      <c r="M155" s="207">
        <f>SUMIFS('ноябрь 2023'!$G$76:$G$1127,'ноябрь 2023'!$D$76:$D$1127,$B155,'ноябрь 2023'!$J$76:$J$1127,M$1)</f>
        <v>0</v>
      </c>
      <c r="N155" s="207">
        <f>SUMIFS('ноябрь 2023'!$G$76:$G$1127,'ноябрь 2023'!$D$76:$D$1127,$B155,'ноябрь 2023'!$J$76:$J$1127,N$1)</f>
        <v>0</v>
      </c>
      <c r="O155" s="207">
        <f>SUMIFS('ноябрь 2023'!$G$76:$G$1127,'ноябрь 2023'!$D$76:$D$1127,$B155,'ноябрь 2023'!$J$76:$J$1127,O$1)</f>
        <v>0</v>
      </c>
      <c r="P155" s="207">
        <f>SUMIFS('ноябрь 2023'!$G$76:$G$1127,'ноябрь 2023'!$D$76:$D$1127,$B155,'ноябрь 2023'!$J$76:$J$1127,P$1)</f>
        <v>0</v>
      </c>
      <c r="Q155" s="207">
        <f>SUMIFS('ноябрь 2023'!$G$76:$G$1127,'ноябрь 2023'!$D$76:$D$1127,$B155,'ноябрь 2023'!$J$76:$J$1127,Q$1)</f>
        <v>0</v>
      </c>
      <c r="R155" s="207">
        <f>SUMIFS('ноябрь 2023'!$G$76:$G$1127,'ноябрь 2023'!$D$76:$D$1127,$B155,'ноябрь 2023'!$J$76:$J$1127,R$1)</f>
        <v>0</v>
      </c>
      <c r="S155" s="207">
        <f>SUMIFS('ноябрь 2023'!$G$76:$G$1127,'ноябрь 2023'!$D$76:$D$1127,$B155,'ноябрь 2023'!$J$76:$J$1127,S$1)</f>
        <v>0</v>
      </c>
      <c r="T155" s="207">
        <f>SUMIFS('ноябрь 2023'!$G$76:$G$1127,'ноябрь 2023'!$D$76:$D$1127,$B155,'ноябрь 2023'!$J$76:$J$1127,T$1)</f>
        <v>0</v>
      </c>
      <c r="U155" s="207">
        <f>SUMIFS('ноябрь 2023'!$G$76:$G$1127,'ноябрь 2023'!$D$76:$D$1127,$B155,'ноябрь 2023'!$J$76:$J$1127,U$1)</f>
        <v>0</v>
      </c>
      <c r="V155" s="207">
        <f>SUMIFS('ноябрь 2023'!$G$76:$G$1127,'ноябрь 2023'!$D$76:$D$1127,$B155,'ноябрь 2023'!$J$76:$J$1127,V$1)</f>
        <v>0</v>
      </c>
      <c r="W155" s="207">
        <f>SUMIFS('ноябрь 2023'!$G$76:$G$1127,'ноябрь 2023'!$D$76:$D$1127,$B155,'ноябрь 2023'!$J$76:$J$1127,W$1)</f>
        <v>0</v>
      </c>
      <c r="X155" s="207">
        <f>SUMIFS('ноябрь 2023'!$G$76:$G$1127,'ноябрь 2023'!$D$76:$D$1127,$B155,'ноябрь 2023'!$J$76:$J$1127,X$1)</f>
        <v>0</v>
      </c>
      <c r="Y155" s="207">
        <f>SUMIFS('ноябрь 2023'!$G$76:$G$1127,'ноябрь 2023'!$D$76:$D$1127,$B155,'ноябрь 2023'!$J$76:$J$1127,Y$1)</f>
        <v>0</v>
      </c>
      <c r="Z155" s="207">
        <f>SUMIFS('ноябрь 2023'!$G$76:$G$1127,'ноябрь 2023'!$D$76:$D$1127,$B155,'ноябрь 2023'!$J$76:$J$1127,Z$1)</f>
        <v>0</v>
      </c>
      <c r="AA155" s="207">
        <f>SUMIFS('ноябрь 2023'!$G$76:$G$1127,'ноябрь 2023'!$D$76:$D$1127,$B155,'ноябрь 2023'!$J$76:$J$1127,AA$1)</f>
        <v>0</v>
      </c>
      <c r="AB155" s="207">
        <f>SUMIFS('ноябрь 2023'!$G$76:$G$1127,'ноябрь 2023'!$D$76:$D$1127,$B155,'ноябрь 2023'!$J$76:$J$1127,AB$1)</f>
        <v>0</v>
      </c>
      <c r="AC155" s="207">
        <f>SUMIFS('ноябрь 2023'!$G$76:$G$1127,'ноябрь 2023'!$D$76:$D$1127,$B155,'ноябрь 2023'!$J$76:$J$1127,AC$1)</f>
        <v>0</v>
      </c>
      <c r="AD155" s="207">
        <f>SUMIFS('ноябрь 2023'!$G$76:$G$1127,'ноябрь 2023'!$D$76:$D$1127,$B155,'ноябрь 2023'!$J$76:$J$1127,AD$1)</f>
        <v>0</v>
      </c>
      <c r="AE155" s="207">
        <f>SUMIFS('ноябрь 2023'!$G$76:$G$1127,'ноябрь 2023'!$D$76:$D$1127,$B155,'ноябрь 2023'!$J$76:$J$1127,AE$1)</f>
        <v>0</v>
      </c>
      <c r="AF155" s="207">
        <f>SUMIFS('ноябрь 2023'!$G$76:$G$1127,'ноябрь 2023'!$D$76:$D$1127,$B155,'ноябрь 2023'!$J$76:$J$1127,AF$1)</f>
        <v>0</v>
      </c>
      <c r="AG155" s="207">
        <f>SUMIFS('ноябрь 2023'!$G$76:$G$1127,'ноябрь 2023'!$D$76:$D$1127,$B155,'ноябрь 2023'!$J$76:$J$1127,AG$1)</f>
        <v>0</v>
      </c>
      <c r="AH155" s="207">
        <f>SUMIFS('ноябрь 2023'!$G$76:$G$1127,'ноябрь 2023'!$D$76:$D$1127,$B155,'ноябрь 2023'!$J$76:$J$1127,AH$1)</f>
        <v>0</v>
      </c>
      <c r="AI155" s="220">
        <f t="shared" ref="AI155:AI193" si="4">SUM(D155:AH155)</f>
        <v>0</v>
      </c>
    </row>
    <row r="156" spans="2:35" ht="15" hidden="1" customHeight="1" x14ac:dyDescent="0.25">
      <c r="B156" s="212"/>
      <c r="C156" s="213"/>
      <c r="D156" s="207">
        <f>SUMIFS('ноябрь 2023'!$G$76:$G$1127,'ноябрь 2023'!$D$76:$D$1127,$B156,'ноябрь 2023'!$J$76:$J$1127,D$1)</f>
        <v>0</v>
      </c>
      <c r="E156" s="207">
        <f>SUMIFS('ноябрь 2023'!$G$76:$G$1127,'ноябрь 2023'!$D$76:$D$1127,$B156,'ноябрь 2023'!$J$76:$J$1127,E$1)</f>
        <v>0</v>
      </c>
      <c r="F156" s="207">
        <f>SUMIFS('ноябрь 2023'!$G$76:$G$1127,'ноябрь 2023'!$D$76:$D$1127,$B156,'ноябрь 2023'!$J$76:$J$1127,F$1)</f>
        <v>0</v>
      </c>
      <c r="G156" s="207">
        <f>SUMIFS('ноябрь 2023'!$G$76:$G$1127,'ноябрь 2023'!$D$76:$D$1127,$B156,'ноябрь 2023'!$J$76:$J$1127,G$1)</f>
        <v>0</v>
      </c>
      <c r="H156" s="207">
        <f>SUMIFS('ноябрь 2023'!$G$76:$G$1127,'ноябрь 2023'!$D$76:$D$1127,$B156,'ноябрь 2023'!$J$76:$J$1127,H$1)</f>
        <v>0</v>
      </c>
      <c r="I156" s="207">
        <f>SUMIFS('ноябрь 2023'!$G$76:$G$1127,'ноябрь 2023'!$D$76:$D$1127,$B156,'ноябрь 2023'!$J$76:$J$1127,I$1)</f>
        <v>0</v>
      </c>
      <c r="J156" s="207">
        <f>SUMIFS('ноябрь 2023'!$G$76:$G$1127,'ноябрь 2023'!$D$76:$D$1127,$B156,'ноябрь 2023'!$J$76:$J$1127,J$1)</f>
        <v>0</v>
      </c>
      <c r="K156" s="207">
        <f>SUMIFS('ноябрь 2023'!$G$76:$G$1127,'ноябрь 2023'!$D$76:$D$1127,$B156,'ноябрь 2023'!$J$76:$J$1127,K$1)</f>
        <v>0</v>
      </c>
      <c r="L156" s="207">
        <f>SUMIFS('ноябрь 2023'!$G$76:$G$1127,'ноябрь 2023'!$D$76:$D$1127,$B156,'ноябрь 2023'!$J$76:$J$1127,L$1)</f>
        <v>0</v>
      </c>
      <c r="M156" s="207">
        <f>SUMIFS('ноябрь 2023'!$G$76:$G$1127,'ноябрь 2023'!$D$76:$D$1127,$B156,'ноябрь 2023'!$J$76:$J$1127,M$1)</f>
        <v>0</v>
      </c>
      <c r="N156" s="207">
        <f>SUMIFS('ноябрь 2023'!$G$76:$G$1127,'ноябрь 2023'!$D$76:$D$1127,$B156,'ноябрь 2023'!$J$76:$J$1127,N$1)</f>
        <v>0</v>
      </c>
      <c r="O156" s="207">
        <f>SUMIFS('ноябрь 2023'!$G$76:$G$1127,'ноябрь 2023'!$D$76:$D$1127,$B156,'ноябрь 2023'!$J$76:$J$1127,O$1)</f>
        <v>0</v>
      </c>
      <c r="P156" s="207">
        <f>SUMIFS('ноябрь 2023'!$G$76:$G$1127,'ноябрь 2023'!$D$76:$D$1127,$B156,'ноябрь 2023'!$J$76:$J$1127,P$1)</f>
        <v>0</v>
      </c>
      <c r="Q156" s="207">
        <f>SUMIFS('ноябрь 2023'!$G$76:$G$1127,'ноябрь 2023'!$D$76:$D$1127,$B156,'ноябрь 2023'!$J$76:$J$1127,Q$1)</f>
        <v>0</v>
      </c>
      <c r="R156" s="207">
        <f>SUMIFS('ноябрь 2023'!$G$76:$G$1127,'ноябрь 2023'!$D$76:$D$1127,$B156,'ноябрь 2023'!$J$76:$J$1127,R$1)</f>
        <v>0</v>
      </c>
      <c r="S156" s="207">
        <f>SUMIFS('ноябрь 2023'!$G$76:$G$1127,'ноябрь 2023'!$D$76:$D$1127,$B156,'ноябрь 2023'!$J$76:$J$1127,S$1)</f>
        <v>0</v>
      </c>
      <c r="T156" s="207">
        <f>SUMIFS('ноябрь 2023'!$G$76:$G$1127,'ноябрь 2023'!$D$76:$D$1127,$B156,'ноябрь 2023'!$J$76:$J$1127,T$1)</f>
        <v>0</v>
      </c>
      <c r="U156" s="207">
        <f>SUMIFS('ноябрь 2023'!$G$76:$G$1127,'ноябрь 2023'!$D$76:$D$1127,$B156,'ноябрь 2023'!$J$76:$J$1127,U$1)</f>
        <v>0</v>
      </c>
      <c r="V156" s="207">
        <f>SUMIFS('ноябрь 2023'!$G$76:$G$1127,'ноябрь 2023'!$D$76:$D$1127,$B156,'ноябрь 2023'!$J$76:$J$1127,V$1)</f>
        <v>0</v>
      </c>
      <c r="W156" s="207">
        <f>SUMIFS('ноябрь 2023'!$G$76:$G$1127,'ноябрь 2023'!$D$76:$D$1127,$B156,'ноябрь 2023'!$J$76:$J$1127,W$1)</f>
        <v>0</v>
      </c>
      <c r="X156" s="207">
        <f>SUMIFS('ноябрь 2023'!$G$76:$G$1127,'ноябрь 2023'!$D$76:$D$1127,$B156,'ноябрь 2023'!$J$76:$J$1127,X$1)</f>
        <v>0</v>
      </c>
      <c r="Y156" s="207">
        <f>SUMIFS('ноябрь 2023'!$G$76:$G$1127,'ноябрь 2023'!$D$76:$D$1127,$B156,'ноябрь 2023'!$J$76:$J$1127,Y$1)</f>
        <v>0</v>
      </c>
      <c r="Z156" s="207">
        <f>SUMIFS('ноябрь 2023'!$G$76:$G$1127,'ноябрь 2023'!$D$76:$D$1127,$B156,'ноябрь 2023'!$J$76:$J$1127,Z$1)</f>
        <v>0</v>
      </c>
      <c r="AA156" s="207">
        <f>SUMIFS('ноябрь 2023'!$G$76:$G$1127,'ноябрь 2023'!$D$76:$D$1127,$B156,'ноябрь 2023'!$J$76:$J$1127,AA$1)</f>
        <v>0</v>
      </c>
      <c r="AB156" s="207">
        <f>SUMIFS('ноябрь 2023'!$G$76:$G$1127,'ноябрь 2023'!$D$76:$D$1127,$B156,'ноябрь 2023'!$J$76:$J$1127,AB$1)</f>
        <v>0</v>
      </c>
      <c r="AC156" s="207">
        <f>SUMIFS('ноябрь 2023'!$G$76:$G$1127,'ноябрь 2023'!$D$76:$D$1127,$B156,'ноябрь 2023'!$J$76:$J$1127,AC$1)</f>
        <v>0</v>
      </c>
      <c r="AD156" s="207">
        <f>SUMIFS('ноябрь 2023'!$G$76:$G$1127,'ноябрь 2023'!$D$76:$D$1127,$B156,'ноябрь 2023'!$J$76:$J$1127,AD$1)</f>
        <v>0</v>
      </c>
      <c r="AE156" s="207">
        <f>SUMIFS('ноябрь 2023'!$G$76:$G$1127,'ноябрь 2023'!$D$76:$D$1127,$B156,'ноябрь 2023'!$J$76:$J$1127,AE$1)</f>
        <v>0</v>
      </c>
      <c r="AF156" s="207">
        <f>SUMIFS('ноябрь 2023'!$G$76:$G$1127,'ноябрь 2023'!$D$76:$D$1127,$B156,'ноябрь 2023'!$J$76:$J$1127,AF$1)</f>
        <v>0</v>
      </c>
      <c r="AG156" s="207">
        <f>SUMIFS('ноябрь 2023'!$G$76:$G$1127,'ноябрь 2023'!$D$76:$D$1127,$B156,'ноябрь 2023'!$J$76:$J$1127,AG$1)</f>
        <v>0</v>
      </c>
      <c r="AH156" s="207">
        <f>SUMIFS('ноябрь 2023'!$G$76:$G$1127,'ноябрь 2023'!$D$76:$D$1127,$B156,'ноябрь 2023'!$J$76:$J$1127,AH$1)</f>
        <v>0</v>
      </c>
      <c r="AI156" s="220">
        <f t="shared" si="4"/>
        <v>0</v>
      </c>
    </row>
    <row r="157" spans="2:35" ht="15.75" hidden="1" x14ac:dyDescent="0.25">
      <c r="B157" s="212"/>
      <c r="C157" s="213"/>
      <c r="D157" s="207">
        <f>SUMIFS('ноябрь 2023'!$G$76:$G$1127,'ноябрь 2023'!$D$76:$D$1127,$B157,'ноябрь 2023'!$J$76:$J$1127,D$1)</f>
        <v>0</v>
      </c>
      <c r="E157" s="207">
        <f>SUMIFS('ноябрь 2023'!$G$76:$G$1127,'ноябрь 2023'!$D$76:$D$1127,$B157,'ноябрь 2023'!$J$76:$J$1127,E$1)</f>
        <v>0</v>
      </c>
      <c r="F157" s="207">
        <f>SUMIFS('ноябрь 2023'!$G$76:$G$1127,'ноябрь 2023'!$D$76:$D$1127,$B157,'ноябрь 2023'!$J$76:$J$1127,F$1)</f>
        <v>0</v>
      </c>
      <c r="G157" s="207">
        <f>SUMIFS('ноябрь 2023'!$G$76:$G$1127,'ноябрь 2023'!$D$76:$D$1127,$B157,'ноябрь 2023'!$J$76:$J$1127,G$1)</f>
        <v>0</v>
      </c>
      <c r="H157" s="207">
        <f>SUMIFS('ноябрь 2023'!$G$76:$G$1127,'ноябрь 2023'!$D$76:$D$1127,$B157,'ноябрь 2023'!$J$76:$J$1127,H$1)</f>
        <v>0</v>
      </c>
      <c r="I157" s="207">
        <f>SUMIFS('ноябрь 2023'!$G$76:$G$1127,'ноябрь 2023'!$D$76:$D$1127,$B157,'ноябрь 2023'!$J$76:$J$1127,I$1)</f>
        <v>0</v>
      </c>
      <c r="J157" s="207">
        <f>SUMIFS('ноябрь 2023'!$G$76:$G$1127,'ноябрь 2023'!$D$76:$D$1127,$B157,'ноябрь 2023'!$J$76:$J$1127,J$1)</f>
        <v>0</v>
      </c>
      <c r="K157" s="207">
        <f>SUMIFS('ноябрь 2023'!$G$76:$G$1127,'ноябрь 2023'!$D$76:$D$1127,$B157,'ноябрь 2023'!$J$76:$J$1127,K$1)</f>
        <v>0</v>
      </c>
      <c r="L157" s="207">
        <f>SUMIFS('ноябрь 2023'!$G$76:$G$1127,'ноябрь 2023'!$D$76:$D$1127,$B157,'ноябрь 2023'!$J$76:$J$1127,L$1)</f>
        <v>0</v>
      </c>
      <c r="M157" s="207">
        <f>SUMIFS('ноябрь 2023'!$G$76:$G$1127,'ноябрь 2023'!$D$76:$D$1127,$B157,'ноябрь 2023'!$J$76:$J$1127,M$1)</f>
        <v>0</v>
      </c>
      <c r="N157" s="207">
        <f>SUMIFS('ноябрь 2023'!$G$76:$G$1127,'ноябрь 2023'!$D$76:$D$1127,$B157,'ноябрь 2023'!$J$76:$J$1127,N$1)</f>
        <v>0</v>
      </c>
      <c r="O157" s="207">
        <f>SUMIFS('ноябрь 2023'!$G$76:$G$1127,'ноябрь 2023'!$D$76:$D$1127,$B157,'ноябрь 2023'!$J$76:$J$1127,O$1)</f>
        <v>0</v>
      </c>
      <c r="P157" s="207">
        <f>SUMIFS('ноябрь 2023'!$G$76:$G$1127,'ноябрь 2023'!$D$76:$D$1127,$B157,'ноябрь 2023'!$J$76:$J$1127,P$1)</f>
        <v>0</v>
      </c>
      <c r="Q157" s="207">
        <f>SUMIFS('ноябрь 2023'!$G$76:$G$1127,'ноябрь 2023'!$D$76:$D$1127,$B157,'ноябрь 2023'!$J$76:$J$1127,Q$1)</f>
        <v>0</v>
      </c>
      <c r="R157" s="207">
        <f>SUMIFS('ноябрь 2023'!$G$76:$G$1127,'ноябрь 2023'!$D$76:$D$1127,$B157,'ноябрь 2023'!$J$76:$J$1127,R$1)</f>
        <v>0</v>
      </c>
      <c r="S157" s="207">
        <f>SUMIFS('ноябрь 2023'!$G$76:$G$1127,'ноябрь 2023'!$D$76:$D$1127,$B157,'ноябрь 2023'!$J$76:$J$1127,S$1)</f>
        <v>0</v>
      </c>
      <c r="T157" s="207">
        <f>SUMIFS('ноябрь 2023'!$G$76:$G$1127,'ноябрь 2023'!$D$76:$D$1127,$B157,'ноябрь 2023'!$J$76:$J$1127,T$1)</f>
        <v>0</v>
      </c>
      <c r="U157" s="207">
        <f>SUMIFS('ноябрь 2023'!$G$76:$G$1127,'ноябрь 2023'!$D$76:$D$1127,$B157,'ноябрь 2023'!$J$76:$J$1127,U$1)</f>
        <v>0</v>
      </c>
      <c r="V157" s="207">
        <f>SUMIFS('ноябрь 2023'!$G$76:$G$1127,'ноябрь 2023'!$D$76:$D$1127,$B157,'ноябрь 2023'!$J$76:$J$1127,V$1)</f>
        <v>0</v>
      </c>
      <c r="W157" s="207">
        <f>SUMIFS('ноябрь 2023'!$G$76:$G$1127,'ноябрь 2023'!$D$76:$D$1127,$B157,'ноябрь 2023'!$J$76:$J$1127,W$1)</f>
        <v>0</v>
      </c>
      <c r="X157" s="207">
        <f>SUMIFS('ноябрь 2023'!$G$76:$G$1127,'ноябрь 2023'!$D$76:$D$1127,$B157,'ноябрь 2023'!$J$76:$J$1127,X$1)</f>
        <v>0</v>
      </c>
      <c r="Y157" s="207">
        <f>SUMIFS('ноябрь 2023'!$G$76:$G$1127,'ноябрь 2023'!$D$76:$D$1127,$B157,'ноябрь 2023'!$J$76:$J$1127,Y$1)</f>
        <v>0</v>
      </c>
      <c r="Z157" s="207">
        <f>SUMIFS('ноябрь 2023'!$G$76:$G$1127,'ноябрь 2023'!$D$76:$D$1127,$B157,'ноябрь 2023'!$J$76:$J$1127,Z$1)</f>
        <v>0</v>
      </c>
      <c r="AA157" s="207">
        <f>SUMIFS('ноябрь 2023'!$G$76:$G$1127,'ноябрь 2023'!$D$76:$D$1127,$B157,'ноябрь 2023'!$J$76:$J$1127,AA$1)</f>
        <v>0</v>
      </c>
      <c r="AB157" s="207">
        <f>SUMIFS('ноябрь 2023'!$G$76:$G$1127,'ноябрь 2023'!$D$76:$D$1127,$B157,'ноябрь 2023'!$J$76:$J$1127,AB$1)</f>
        <v>0</v>
      </c>
      <c r="AC157" s="207">
        <f>SUMIFS('ноябрь 2023'!$G$76:$G$1127,'ноябрь 2023'!$D$76:$D$1127,$B157,'ноябрь 2023'!$J$76:$J$1127,AC$1)</f>
        <v>0</v>
      </c>
      <c r="AD157" s="207">
        <f>SUMIFS('ноябрь 2023'!$G$76:$G$1127,'ноябрь 2023'!$D$76:$D$1127,$B157,'ноябрь 2023'!$J$76:$J$1127,AD$1)</f>
        <v>0</v>
      </c>
      <c r="AE157" s="207">
        <f>SUMIFS('ноябрь 2023'!$G$76:$G$1127,'ноябрь 2023'!$D$76:$D$1127,$B157,'ноябрь 2023'!$J$76:$J$1127,AE$1)</f>
        <v>0</v>
      </c>
      <c r="AF157" s="207">
        <f>SUMIFS('ноябрь 2023'!$G$76:$G$1127,'ноябрь 2023'!$D$76:$D$1127,$B157,'ноябрь 2023'!$J$76:$J$1127,AF$1)</f>
        <v>0</v>
      </c>
      <c r="AG157" s="207">
        <f>SUMIFS('ноябрь 2023'!$G$76:$G$1127,'ноябрь 2023'!$D$76:$D$1127,$B157,'ноябрь 2023'!$J$76:$J$1127,AG$1)</f>
        <v>0</v>
      </c>
      <c r="AH157" s="207">
        <f>SUMIFS('ноябрь 2023'!$G$76:$G$1127,'ноябрь 2023'!$D$76:$D$1127,$B157,'ноябрь 2023'!$J$76:$J$1127,AH$1)</f>
        <v>0</v>
      </c>
      <c r="AI157" s="220">
        <f t="shared" si="4"/>
        <v>0</v>
      </c>
    </row>
    <row r="158" spans="2:35" ht="15.75" hidden="1" x14ac:dyDescent="0.25">
      <c r="B158" s="212"/>
      <c r="C158" s="213"/>
      <c r="D158" s="207">
        <f>SUMIFS('ноябрь 2023'!$G$76:$G$1127,'ноябрь 2023'!$D$76:$D$1127,$B158,'ноябрь 2023'!$J$76:$J$1127,D$1)</f>
        <v>0</v>
      </c>
      <c r="E158" s="207">
        <f>SUMIFS('ноябрь 2023'!$G$76:$G$1127,'ноябрь 2023'!$D$76:$D$1127,$B158,'ноябрь 2023'!$J$76:$J$1127,E$1)</f>
        <v>0</v>
      </c>
      <c r="F158" s="207">
        <f>SUMIFS('ноябрь 2023'!$G$76:$G$1127,'ноябрь 2023'!$D$76:$D$1127,$B158,'ноябрь 2023'!$J$76:$J$1127,F$1)</f>
        <v>0</v>
      </c>
      <c r="G158" s="207">
        <f>SUMIFS('ноябрь 2023'!$G$76:$G$1127,'ноябрь 2023'!$D$76:$D$1127,$B158,'ноябрь 2023'!$J$76:$J$1127,G$1)</f>
        <v>0</v>
      </c>
      <c r="H158" s="207">
        <f>SUMIFS('ноябрь 2023'!$G$76:$G$1127,'ноябрь 2023'!$D$76:$D$1127,$B158,'ноябрь 2023'!$J$76:$J$1127,H$1)</f>
        <v>0</v>
      </c>
      <c r="I158" s="207">
        <f>SUMIFS('ноябрь 2023'!$G$76:$G$1127,'ноябрь 2023'!$D$76:$D$1127,$B158,'ноябрь 2023'!$J$76:$J$1127,I$1)</f>
        <v>0</v>
      </c>
      <c r="J158" s="207">
        <f>SUMIFS('ноябрь 2023'!$G$76:$G$1127,'ноябрь 2023'!$D$76:$D$1127,$B158,'ноябрь 2023'!$J$76:$J$1127,J$1)</f>
        <v>0</v>
      </c>
      <c r="K158" s="207">
        <f>SUMIFS('ноябрь 2023'!$G$76:$G$1127,'ноябрь 2023'!$D$76:$D$1127,$B158,'ноябрь 2023'!$J$76:$J$1127,K$1)</f>
        <v>0</v>
      </c>
      <c r="L158" s="207">
        <f>SUMIFS('ноябрь 2023'!$G$76:$G$1127,'ноябрь 2023'!$D$76:$D$1127,$B158,'ноябрь 2023'!$J$76:$J$1127,L$1)</f>
        <v>0</v>
      </c>
      <c r="M158" s="207">
        <f>SUMIFS('ноябрь 2023'!$G$76:$G$1127,'ноябрь 2023'!$D$76:$D$1127,$B158,'ноябрь 2023'!$J$76:$J$1127,M$1)</f>
        <v>0</v>
      </c>
      <c r="N158" s="207">
        <f>SUMIFS('ноябрь 2023'!$G$76:$G$1127,'ноябрь 2023'!$D$76:$D$1127,$B158,'ноябрь 2023'!$J$76:$J$1127,N$1)</f>
        <v>0</v>
      </c>
      <c r="O158" s="207">
        <f>SUMIFS('ноябрь 2023'!$G$76:$G$1127,'ноябрь 2023'!$D$76:$D$1127,$B158,'ноябрь 2023'!$J$76:$J$1127,O$1)</f>
        <v>0</v>
      </c>
      <c r="P158" s="207">
        <f>SUMIFS('ноябрь 2023'!$G$76:$G$1127,'ноябрь 2023'!$D$76:$D$1127,$B158,'ноябрь 2023'!$J$76:$J$1127,P$1)</f>
        <v>0</v>
      </c>
      <c r="Q158" s="207">
        <f>SUMIFS('ноябрь 2023'!$G$76:$G$1127,'ноябрь 2023'!$D$76:$D$1127,$B158,'ноябрь 2023'!$J$76:$J$1127,Q$1)</f>
        <v>0</v>
      </c>
      <c r="R158" s="207">
        <f>SUMIFS('ноябрь 2023'!$G$76:$G$1127,'ноябрь 2023'!$D$76:$D$1127,$B158,'ноябрь 2023'!$J$76:$J$1127,R$1)</f>
        <v>0</v>
      </c>
      <c r="S158" s="207">
        <f>SUMIFS('ноябрь 2023'!$G$76:$G$1127,'ноябрь 2023'!$D$76:$D$1127,$B158,'ноябрь 2023'!$J$76:$J$1127,S$1)</f>
        <v>0</v>
      </c>
      <c r="T158" s="207">
        <f>SUMIFS('ноябрь 2023'!$G$76:$G$1127,'ноябрь 2023'!$D$76:$D$1127,$B158,'ноябрь 2023'!$J$76:$J$1127,T$1)</f>
        <v>0</v>
      </c>
      <c r="U158" s="207">
        <f>SUMIFS('ноябрь 2023'!$G$76:$G$1127,'ноябрь 2023'!$D$76:$D$1127,$B158,'ноябрь 2023'!$J$76:$J$1127,U$1)</f>
        <v>0</v>
      </c>
      <c r="V158" s="207">
        <f>SUMIFS('ноябрь 2023'!$G$76:$G$1127,'ноябрь 2023'!$D$76:$D$1127,$B158,'ноябрь 2023'!$J$76:$J$1127,V$1)</f>
        <v>0</v>
      </c>
      <c r="W158" s="207">
        <f>SUMIFS('ноябрь 2023'!$G$76:$G$1127,'ноябрь 2023'!$D$76:$D$1127,$B158,'ноябрь 2023'!$J$76:$J$1127,W$1)</f>
        <v>0</v>
      </c>
      <c r="X158" s="207">
        <f>SUMIFS('ноябрь 2023'!$G$76:$G$1127,'ноябрь 2023'!$D$76:$D$1127,$B158,'ноябрь 2023'!$J$76:$J$1127,X$1)</f>
        <v>0</v>
      </c>
      <c r="Y158" s="207">
        <f>SUMIFS('ноябрь 2023'!$G$76:$G$1127,'ноябрь 2023'!$D$76:$D$1127,$B158,'ноябрь 2023'!$J$76:$J$1127,Y$1)</f>
        <v>0</v>
      </c>
      <c r="Z158" s="207">
        <f>SUMIFS('ноябрь 2023'!$G$76:$G$1127,'ноябрь 2023'!$D$76:$D$1127,$B158,'ноябрь 2023'!$J$76:$J$1127,Z$1)</f>
        <v>0</v>
      </c>
      <c r="AA158" s="207">
        <f>SUMIFS('ноябрь 2023'!$G$76:$G$1127,'ноябрь 2023'!$D$76:$D$1127,$B158,'ноябрь 2023'!$J$76:$J$1127,AA$1)</f>
        <v>0</v>
      </c>
      <c r="AB158" s="207">
        <f>SUMIFS('ноябрь 2023'!$G$76:$G$1127,'ноябрь 2023'!$D$76:$D$1127,$B158,'ноябрь 2023'!$J$76:$J$1127,AB$1)</f>
        <v>0</v>
      </c>
      <c r="AC158" s="207">
        <f>SUMIFS('ноябрь 2023'!$G$76:$G$1127,'ноябрь 2023'!$D$76:$D$1127,$B158,'ноябрь 2023'!$J$76:$J$1127,AC$1)</f>
        <v>0</v>
      </c>
      <c r="AD158" s="207">
        <f>SUMIFS('ноябрь 2023'!$G$76:$G$1127,'ноябрь 2023'!$D$76:$D$1127,$B158,'ноябрь 2023'!$J$76:$J$1127,AD$1)</f>
        <v>0</v>
      </c>
      <c r="AE158" s="207">
        <f>SUMIFS('ноябрь 2023'!$G$76:$G$1127,'ноябрь 2023'!$D$76:$D$1127,$B158,'ноябрь 2023'!$J$76:$J$1127,AE$1)</f>
        <v>0</v>
      </c>
      <c r="AF158" s="207">
        <f>SUMIFS('ноябрь 2023'!$G$76:$G$1127,'ноябрь 2023'!$D$76:$D$1127,$B158,'ноябрь 2023'!$J$76:$J$1127,AF$1)</f>
        <v>0</v>
      </c>
      <c r="AG158" s="207">
        <f>SUMIFS('ноябрь 2023'!$G$76:$G$1127,'ноябрь 2023'!$D$76:$D$1127,$B158,'ноябрь 2023'!$J$76:$J$1127,AG$1)</f>
        <v>0</v>
      </c>
      <c r="AH158" s="207">
        <f>SUMIFS('ноябрь 2023'!$G$76:$G$1127,'ноябрь 2023'!$D$76:$D$1127,$B158,'ноябрь 2023'!$J$76:$J$1127,AH$1)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SUMIFS('ноябрь 2023'!$G$76:$G$1127,'ноябрь 2023'!$D$76:$D$1127,$B159,'ноябрь 2023'!$J$76:$J$1127,D$1)</f>
        <v>0</v>
      </c>
      <c r="E159" s="207">
        <f>SUMIFS('ноябрь 2023'!$G$76:$G$1127,'ноябрь 2023'!$D$76:$D$1127,$B159,'ноябрь 2023'!$J$76:$J$1127,E$1)</f>
        <v>0</v>
      </c>
      <c r="F159" s="207">
        <f>SUMIFS('ноябрь 2023'!$G$76:$G$1127,'ноябрь 2023'!$D$76:$D$1127,$B159,'ноябрь 2023'!$J$76:$J$1127,F$1)</f>
        <v>0</v>
      </c>
      <c r="G159" s="207">
        <f>SUMIFS('ноябрь 2023'!$G$76:$G$1127,'ноябрь 2023'!$D$76:$D$1127,$B159,'ноябрь 2023'!$J$76:$J$1127,G$1)</f>
        <v>0</v>
      </c>
      <c r="H159" s="207">
        <f>SUMIFS('ноябрь 2023'!$G$76:$G$1127,'ноябрь 2023'!$D$76:$D$1127,$B159,'ноябрь 2023'!$J$76:$J$1127,H$1)</f>
        <v>0</v>
      </c>
      <c r="I159" s="207">
        <f>SUMIFS('ноябрь 2023'!$G$76:$G$1127,'ноябрь 2023'!$D$76:$D$1127,$B159,'ноябрь 2023'!$J$76:$J$1127,I$1)</f>
        <v>0</v>
      </c>
      <c r="J159" s="207">
        <f>SUMIFS('ноябрь 2023'!$G$76:$G$1127,'ноябрь 2023'!$D$76:$D$1127,$B159,'ноябрь 2023'!$J$76:$J$1127,J$1)</f>
        <v>0</v>
      </c>
      <c r="K159" s="207">
        <f>SUMIFS('ноябрь 2023'!$G$76:$G$1127,'ноябрь 2023'!$D$76:$D$1127,$B159,'ноябрь 2023'!$J$76:$J$1127,K$1)</f>
        <v>0</v>
      </c>
      <c r="L159" s="207">
        <f>SUMIFS('ноябрь 2023'!$G$76:$G$1127,'ноябрь 2023'!$D$76:$D$1127,$B159,'ноябрь 2023'!$J$76:$J$1127,L$1)</f>
        <v>0</v>
      </c>
      <c r="M159" s="207">
        <f>SUMIFS('ноябрь 2023'!$G$76:$G$1127,'ноябрь 2023'!$D$76:$D$1127,$B159,'ноябрь 2023'!$J$76:$J$1127,M$1)</f>
        <v>0</v>
      </c>
      <c r="N159" s="207">
        <f>SUMIFS('ноябрь 2023'!$G$76:$G$1127,'ноябрь 2023'!$D$76:$D$1127,$B159,'ноябрь 2023'!$J$76:$J$1127,N$1)</f>
        <v>0</v>
      </c>
      <c r="O159" s="207">
        <f>SUMIFS('ноябрь 2023'!$G$76:$G$1127,'ноябрь 2023'!$D$76:$D$1127,$B159,'ноябрь 2023'!$J$76:$J$1127,O$1)</f>
        <v>0</v>
      </c>
      <c r="P159" s="207">
        <f>SUMIFS('ноябрь 2023'!$G$76:$G$1127,'ноябрь 2023'!$D$76:$D$1127,$B159,'ноябрь 2023'!$J$76:$J$1127,P$1)</f>
        <v>0</v>
      </c>
      <c r="Q159" s="207">
        <f>SUMIFS('ноябрь 2023'!$G$76:$G$1127,'ноябрь 2023'!$D$76:$D$1127,$B159,'ноябрь 2023'!$J$76:$J$1127,Q$1)</f>
        <v>0</v>
      </c>
      <c r="R159" s="207">
        <f>SUMIFS('ноябрь 2023'!$G$76:$G$1127,'ноябрь 2023'!$D$76:$D$1127,$B159,'ноябрь 2023'!$J$76:$J$1127,R$1)</f>
        <v>0</v>
      </c>
      <c r="S159" s="207">
        <f>SUMIFS('ноябрь 2023'!$G$76:$G$1127,'ноябрь 2023'!$D$76:$D$1127,$B159,'ноябрь 2023'!$J$76:$J$1127,S$1)</f>
        <v>0</v>
      </c>
      <c r="T159" s="207">
        <f>SUMIFS('ноябрь 2023'!$G$76:$G$1127,'ноябрь 2023'!$D$76:$D$1127,$B159,'ноябрь 2023'!$J$76:$J$1127,T$1)</f>
        <v>0</v>
      </c>
      <c r="U159" s="207">
        <f>SUMIFS('ноябрь 2023'!$G$76:$G$1127,'ноябрь 2023'!$D$76:$D$1127,$B159,'ноябрь 2023'!$J$76:$J$1127,U$1)</f>
        <v>0</v>
      </c>
      <c r="V159" s="207">
        <f>SUMIFS('ноябрь 2023'!$G$76:$G$1127,'ноябрь 2023'!$D$76:$D$1127,$B159,'ноябрь 2023'!$J$76:$J$1127,V$1)</f>
        <v>0</v>
      </c>
      <c r="W159" s="207">
        <f>SUMIFS('ноябрь 2023'!$G$76:$G$1127,'ноябрь 2023'!$D$76:$D$1127,$B159,'ноябрь 2023'!$J$76:$J$1127,W$1)</f>
        <v>0</v>
      </c>
      <c r="X159" s="207">
        <f>SUMIFS('ноябрь 2023'!$G$76:$G$1127,'ноябрь 2023'!$D$76:$D$1127,$B159,'ноябрь 2023'!$J$76:$J$1127,X$1)</f>
        <v>0</v>
      </c>
      <c r="Y159" s="207">
        <f>SUMIFS('ноябрь 2023'!$G$76:$G$1127,'ноябрь 2023'!$D$76:$D$1127,$B159,'ноябрь 2023'!$J$76:$J$1127,Y$1)</f>
        <v>0</v>
      </c>
      <c r="Z159" s="207">
        <f>SUMIFS('ноябрь 2023'!$G$76:$G$1127,'ноябрь 2023'!$D$76:$D$1127,$B159,'ноябрь 2023'!$J$76:$J$1127,Z$1)</f>
        <v>0</v>
      </c>
      <c r="AA159" s="207">
        <f>SUMIFS('ноябрь 2023'!$G$76:$G$1127,'ноябрь 2023'!$D$76:$D$1127,$B159,'ноябрь 2023'!$J$76:$J$1127,AA$1)</f>
        <v>0</v>
      </c>
      <c r="AB159" s="207">
        <f>SUMIFS('ноябрь 2023'!$G$76:$G$1127,'ноябрь 2023'!$D$76:$D$1127,$B159,'ноябрь 2023'!$J$76:$J$1127,AB$1)</f>
        <v>0</v>
      </c>
      <c r="AC159" s="207">
        <f>SUMIFS('ноябрь 2023'!$G$76:$G$1127,'ноябрь 2023'!$D$76:$D$1127,$B159,'ноябрь 2023'!$J$76:$J$1127,AC$1)</f>
        <v>0</v>
      </c>
      <c r="AD159" s="207">
        <f>SUMIFS('ноябрь 2023'!$G$76:$G$1127,'ноябрь 2023'!$D$76:$D$1127,$B159,'ноябрь 2023'!$J$76:$J$1127,AD$1)</f>
        <v>0</v>
      </c>
      <c r="AE159" s="207">
        <f>SUMIFS('ноябрь 2023'!$G$76:$G$1127,'ноябрь 2023'!$D$76:$D$1127,$B159,'ноябрь 2023'!$J$76:$J$1127,AE$1)</f>
        <v>0</v>
      </c>
      <c r="AF159" s="207">
        <f>SUMIFS('ноябрь 2023'!$G$76:$G$1127,'ноябрь 2023'!$D$76:$D$1127,$B159,'ноябрь 2023'!$J$76:$J$1127,AF$1)</f>
        <v>0</v>
      </c>
      <c r="AG159" s="207">
        <f>SUMIFS('ноябрь 2023'!$G$76:$G$1127,'ноябрь 2023'!$D$76:$D$1127,$B159,'ноябрь 2023'!$J$76:$J$1127,AG$1)</f>
        <v>0</v>
      </c>
      <c r="AH159" s="207">
        <f>SUMIFS('ноябрь 2023'!$G$76:$G$1127,'ноябрь 2023'!$D$76:$D$1127,$B159,'ноябрь 2023'!$J$76:$J$1127,AH$1)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SUMIFS('ноябрь 2023'!$G$76:$G$1127,'ноябрь 2023'!$D$76:$D$1127,$B160,'ноябрь 2023'!$J$76:$J$1127,D$1)</f>
        <v>0</v>
      </c>
      <c r="E160" s="207">
        <f>SUMIFS('ноябрь 2023'!$G$76:$G$1127,'ноябрь 2023'!$D$76:$D$1127,$B160,'ноябрь 2023'!$J$76:$J$1127,E$1)</f>
        <v>0</v>
      </c>
      <c r="F160" s="207">
        <f>SUMIFS('ноябрь 2023'!$G$76:$G$1127,'ноябрь 2023'!$D$76:$D$1127,$B160,'ноябрь 2023'!$J$76:$J$1127,F$1)</f>
        <v>0</v>
      </c>
      <c r="G160" s="207">
        <f>SUMIFS('ноябрь 2023'!$G$76:$G$1127,'ноябрь 2023'!$D$76:$D$1127,$B160,'ноябрь 2023'!$J$76:$J$1127,G$1)</f>
        <v>0</v>
      </c>
      <c r="H160" s="207">
        <f>SUMIFS('ноябрь 2023'!$G$76:$G$1127,'ноябрь 2023'!$D$76:$D$1127,$B160,'ноябрь 2023'!$J$76:$J$1127,H$1)</f>
        <v>0</v>
      </c>
      <c r="I160" s="207">
        <f>SUMIFS('ноябрь 2023'!$G$76:$G$1127,'ноябрь 2023'!$D$76:$D$1127,$B160,'ноябрь 2023'!$J$76:$J$1127,I$1)</f>
        <v>0</v>
      </c>
      <c r="J160" s="207">
        <f>SUMIFS('ноябрь 2023'!$G$76:$G$1127,'ноябрь 2023'!$D$76:$D$1127,$B160,'ноябрь 2023'!$J$76:$J$1127,J$1)</f>
        <v>0</v>
      </c>
      <c r="K160" s="207">
        <f>SUMIFS('ноябрь 2023'!$G$76:$G$1127,'ноябрь 2023'!$D$76:$D$1127,$B160,'ноябрь 2023'!$J$76:$J$1127,K$1)</f>
        <v>0</v>
      </c>
      <c r="L160" s="207">
        <f>SUMIFS('ноябрь 2023'!$G$76:$G$1127,'ноябрь 2023'!$D$76:$D$1127,$B160,'ноябрь 2023'!$J$76:$J$1127,L$1)</f>
        <v>0</v>
      </c>
      <c r="M160" s="207">
        <f>SUMIFS('ноябрь 2023'!$G$76:$G$1127,'ноябрь 2023'!$D$76:$D$1127,$B160,'ноябрь 2023'!$J$76:$J$1127,M$1)</f>
        <v>0</v>
      </c>
      <c r="N160" s="207">
        <f>SUMIFS('ноябрь 2023'!$G$76:$G$1127,'ноябрь 2023'!$D$76:$D$1127,$B160,'ноябрь 2023'!$J$76:$J$1127,N$1)</f>
        <v>0</v>
      </c>
      <c r="O160" s="207">
        <f>SUMIFS('ноябрь 2023'!$G$76:$G$1127,'ноябрь 2023'!$D$76:$D$1127,$B160,'ноябрь 2023'!$J$76:$J$1127,O$1)</f>
        <v>0</v>
      </c>
      <c r="P160" s="207">
        <f>SUMIFS('ноябрь 2023'!$G$76:$G$1127,'ноябрь 2023'!$D$76:$D$1127,$B160,'ноябрь 2023'!$J$76:$J$1127,P$1)</f>
        <v>0</v>
      </c>
      <c r="Q160" s="207">
        <f>SUMIFS('ноябрь 2023'!$G$76:$G$1127,'ноябрь 2023'!$D$76:$D$1127,$B160,'ноябрь 2023'!$J$76:$J$1127,Q$1)</f>
        <v>0</v>
      </c>
      <c r="R160" s="207">
        <f>SUMIFS('ноябрь 2023'!$G$76:$G$1127,'ноябрь 2023'!$D$76:$D$1127,$B160,'ноябрь 2023'!$J$76:$J$1127,R$1)</f>
        <v>0</v>
      </c>
      <c r="S160" s="207">
        <f>SUMIFS('ноябрь 2023'!$G$76:$G$1127,'ноябрь 2023'!$D$76:$D$1127,$B160,'ноябрь 2023'!$J$76:$J$1127,S$1)</f>
        <v>0</v>
      </c>
      <c r="T160" s="207">
        <f>SUMIFS('ноябрь 2023'!$G$76:$G$1127,'ноябрь 2023'!$D$76:$D$1127,$B160,'ноябрь 2023'!$J$76:$J$1127,T$1)</f>
        <v>0</v>
      </c>
      <c r="U160" s="207">
        <f>SUMIFS('ноябрь 2023'!$G$76:$G$1127,'ноябрь 2023'!$D$76:$D$1127,$B160,'ноябрь 2023'!$J$76:$J$1127,U$1)</f>
        <v>0</v>
      </c>
      <c r="V160" s="207">
        <f>SUMIFS('ноябрь 2023'!$G$76:$G$1127,'ноябрь 2023'!$D$76:$D$1127,$B160,'ноябрь 2023'!$J$76:$J$1127,V$1)</f>
        <v>0</v>
      </c>
      <c r="W160" s="207">
        <f>SUMIFS('ноябрь 2023'!$G$76:$G$1127,'ноябрь 2023'!$D$76:$D$1127,$B160,'ноябрь 2023'!$J$76:$J$1127,W$1)</f>
        <v>0</v>
      </c>
      <c r="X160" s="207">
        <f>SUMIFS('ноябрь 2023'!$G$76:$G$1127,'ноябрь 2023'!$D$76:$D$1127,$B160,'ноябрь 2023'!$J$76:$J$1127,X$1)</f>
        <v>0</v>
      </c>
      <c r="Y160" s="207">
        <f>SUMIFS('ноябрь 2023'!$G$76:$G$1127,'ноябрь 2023'!$D$76:$D$1127,$B160,'ноябрь 2023'!$J$76:$J$1127,Y$1)</f>
        <v>0</v>
      </c>
      <c r="Z160" s="207">
        <f>SUMIFS('ноябрь 2023'!$G$76:$G$1127,'ноябрь 2023'!$D$76:$D$1127,$B160,'ноябрь 2023'!$J$76:$J$1127,Z$1)</f>
        <v>0</v>
      </c>
      <c r="AA160" s="207">
        <f>SUMIFS('ноябрь 2023'!$G$76:$G$1127,'ноябрь 2023'!$D$76:$D$1127,$B160,'ноябрь 2023'!$J$76:$J$1127,AA$1)</f>
        <v>0</v>
      </c>
      <c r="AB160" s="207">
        <f>SUMIFS('ноябрь 2023'!$G$76:$G$1127,'ноябрь 2023'!$D$76:$D$1127,$B160,'ноябрь 2023'!$J$76:$J$1127,AB$1)</f>
        <v>0</v>
      </c>
      <c r="AC160" s="207">
        <f>SUMIFS('ноябрь 2023'!$G$76:$G$1127,'ноябрь 2023'!$D$76:$D$1127,$B160,'ноябрь 2023'!$J$76:$J$1127,AC$1)</f>
        <v>0</v>
      </c>
      <c r="AD160" s="207">
        <f>SUMIFS('ноябрь 2023'!$G$76:$G$1127,'ноябрь 2023'!$D$76:$D$1127,$B160,'ноябрь 2023'!$J$76:$J$1127,AD$1)</f>
        <v>0</v>
      </c>
      <c r="AE160" s="207">
        <f>SUMIFS('ноябрь 2023'!$G$76:$G$1127,'ноябрь 2023'!$D$76:$D$1127,$B160,'ноябрь 2023'!$J$76:$J$1127,AE$1)</f>
        <v>0</v>
      </c>
      <c r="AF160" s="207">
        <f>SUMIFS('ноябрь 2023'!$G$76:$G$1127,'ноябрь 2023'!$D$76:$D$1127,$B160,'ноябрь 2023'!$J$76:$J$1127,AF$1)</f>
        <v>0</v>
      </c>
      <c r="AG160" s="207">
        <f>SUMIFS('ноябрь 2023'!$G$76:$G$1127,'ноябрь 2023'!$D$76:$D$1127,$B160,'ноябрь 2023'!$J$76:$J$1127,AG$1)</f>
        <v>0</v>
      </c>
      <c r="AH160" s="207">
        <f>SUMIFS('ноябрь 2023'!$G$76:$G$1127,'ноябрь 2023'!$D$76:$D$1127,$B160,'ноябрь 2023'!$J$76:$J$1127,AH$1)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SUMIFS('ноябрь 2023'!$G$76:$G$1127,'ноябрь 2023'!$D$76:$D$1127,$B161,'ноябрь 2023'!$J$76:$J$1127,D$1)</f>
        <v>0</v>
      </c>
      <c r="E161" s="207">
        <f>SUMIFS('ноябрь 2023'!$G$76:$G$1127,'ноябрь 2023'!$D$76:$D$1127,$B161,'ноябрь 2023'!$J$76:$J$1127,E$1)</f>
        <v>0</v>
      </c>
      <c r="F161" s="207">
        <f>SUMIFS('ноябрь 2023'!$G$76:$G$1127,'ноябрь 2023'!$D$76:$D$1127,$B161,'ноябрь 2023'!$J$76:$J$1127,F$1)</f>
        <v>0</v>
      </c>
      <c r="G161" s="207">
        <f>SUMIFS('ноябрь 2023'!$G$76:$G$1127,'ноябрь 2023'!$D$76:$D$1127,$B161,'ноябрь 2023'!$J$76:$J$1127,G$1)</f>
        <v>0</v>
      </c>
      <c r="H161" s="207">
        <f>SUMIFS('ноябрь 2023'!$G$76:$G$1127,'ноябрь 2023'!$D$76:$D$1127,$B161,'ноябрь 2023'!$J$76:$J$1127,H$1)</f>
        <v>0</v>
      </c>
      <c r="I161" s="207">
        <f>SUMIFS('ноябрь 2023'!$G$76:$G$1127,'ноябрь 2023'!$D$76:$D$1127,$B161,'ноябрь 2023'!$J$76:$J$1127,I$1)</f>
        <v>0</v>
      </c>
      <c r="J161" s="207">
        <f>SUMIFS('ноябрь 2023'!$G$76:$G$1127,'ноябрь 2023'!$D$76:$D$1127,$B161,'ноябрь 2023'!$J$76:$J$1127,J$1)</f>
        <v>0</v>
      </c>
      <c r="K161" s="207">
        <f>SUMIFS('ноябрь 2023'!$G$76:$G$1127,'ноябрь 2023'!$D$76:$D$1127,$B161,'ноябрь 2023'!$J$76:$J$1127,K$1)</f>
        <v>0</v>
      </c>
      <c r="L161" s="207">
        <f>SUMIFS('ноябрь 2023'!$G$76:$G$1127,'ноябрь 2023'!$D$76:$D$1127,$B161,'ноябрь 2023'!$J$76:$J$1127,L$1)</f>
        <v>0</v>
      </c>
      <c r="M161" s="207">
        <f>SUMIFS('ноябрь 2023'!$G$76:$G$1127,'ноябрь 2023'!$D$76:$D$1127,$B161,'ноябрь 2023'!$J$76:$J$1127,M$1)</f>
        <v>0</v>
      </c>
      <c r="N161" s="207">
        <f>SUMIFS('ноябрь 2023'!$G$76:$G$1127,'ноябрь 2023'!$D$76:$D$1127,$B161,'ноябрь 2023'!$J$76:$J$1127,N$1)</f>
        <v>0</v>
      </c>
      <c r="O161" s="207">
        <f>SUMIFS('ноябрь 2023'!$G$76:$G$1127,'ноябрь 2023'!$D$76:$D$1127,$B161,'ноябрь 2023'!$J$76:$J$1127,O$1)</f>
        <v>0</v>
      </c>
      <c r="P161" s="207">
        <f>SUMIFS('ноябрь 2023'!$G$76:$G$1127,'ноябрь 2023'!$D$76:$D$1127,$B161,'ноябрь 2023'!$J$76:$J$1127,P$1)</f>
        <v>0</v>
      </c>
      <c r="Q161" s="207">
        <f>SUMIFS('ноябрь 2023'!$G$76:$G$1127,'ноябрь 2023'!$D$76:$D$1127,$B161,'ноябрь 2023'!$J$76:$J$1127,Q$1)</f>
        <v>0</v>
      </c>
      <c r="R161" s="207">
        <f>SUMIFS('ноябрь 2023'!$G$76:$G$1127,'ноябрь 2023'!$D$76:$D$1127,$B161,'ноябрь 2023'!$J$76:$J$1127,R$1)</f>
        <v>0</v>
      </c>
      <c r="S161" s="207">
        <f>SUMIFS('ноябрь 2023'!$G$76:$G$1127,'ноябрь 2023'!$D$76:$D$1127,$B161,'ноябрь 2023'!$J$76:$J$1127,S$1)</f>
        <v>0</v>
      </c>
      <c r="T161" s="207">
        <f>SUMIFS('ноябрь 2023'!$G$76:$G$1127,'ноябрь 2023'!$D$76:$D$1127,$B161,'ноябрь 2023'!$J$76:$J$1127,T$1)</f>
        <v>0</v>
      </c>
      <c r="U161" s="207">
        <f>SUMIFS('ноябрь 2023'!$G$76:$G$1127,'ноябрь 2023'!$D$76:$D$1127,$B161,'ноябрь 2023'!$J$76:$J$1127,U$1)</f>
        <v>0</v>
      </c>
      <c r="V161" s="207">
        <f>SUMIFS('ноябрь 2023'!$G$76:$G$1127,'ноябрь 2023'!$D$76:$D$1127,$B161,'ноябрь 2023'!$J$76:$J$1127,V$1)</f>
        <v>0</v>
      </c>
      <c r="W161" s="207">
        <f>SUMIFS('ноябрь 2023'!$G$76:$G$1127,'ноябрь 2023'!$D$76:$D$1127,$B161,'ноябрь 2023'!$J$76:$J$1127,W$1)</f>
        <v>0</v>
      </c>
      <c r="X161" s="207">
        <f>SUMIFS('ноябрь 2023'!$G$76:$G$1127,'ноябрь 2023'!$D$76:$D$1127,$B161,'ноябрь 2023'!$J$76:$J$1127,X$1)</f>
        <v>0</v>
      </c>
      <c r="Y161" s="207">
        <f>SUMIFS('ноябрь 2023'!$G$76:$G$1127,'ноябрь 2023'!$D$76:$D$1127,$B161,'ноябрь 2023'!$J$76:$J$1127,Y$1)</f>
        <v>0</v>
      </c>
      <c r="Z161" s="207">
        <f>SUMIFS('ноябрь 2023'!$G$76:$G$1127,'ноябрь 2023'!$D$76:$D$1127,$B161,'ноябрь 2023'!$J$76:$J$1127,Z$1)</f>
        <v>0</v>
      </c>
      <c r="AA161" s="207">
        <f>SUMIFS('ноябрь 2023'!$G$76:$G$1127,'ноябрь 2023'!$D$76:$D$1127,$B161,'ноябрь 2023'!$J$76:$J$1127,AA$1)</f>
        <v>0</v>
      </c>
      <c r="AB161" s="207">
        <f>SUMIFS('ноябрь 2023'!$G$76:$G$1127,'ноябрь 2023'!$D$76:$D$1127,$B161,'ноябрь 2023'!$J$76:$J$1127,AB$1)</f>
        <v>0</v>
      </c>
      <c r="AC161" s="207">
        <f>SUMIFS('ноябрь 2023'!$G$76:$G$1127,'ноябрь 2023'!$D$76:$D$1127,$B161,'ноябрь 2023'!$J$76:$J$1127,AC$1)</f>
        <v>0</v>
      </c>
      <c r="AD161" s="207">
        <f>SUMIFS('ноябрь 2023'!$G$76:$G$1127,'ноябрь 2023'!$D$76:$D$1127,$B161,'ноябрь 2023'!$J$76:$J$1127,AD$1)</f>
        <v>0</v>
      </c>
      <c r="AE161" s="207">
        <f>SUMIFS('ноябрь 2023'!$G$76:$G$1127,'ноябрь 2023'!$D$76:$D$1127,$B161,'ноябрь 2023'!$J$76:$J$1127,AE$1)</f>
        <v>0</v>
      </c>
      <c r="AF161" s="207">
        <f>SUMIFS('ноябрь 2023'!$G$76:$G$1127,'ноябрь 2023'!$D$76:$D$1127,$B161,'ноябрь 2023'!$J$76:$J$1127,AF$1)</f>
        <v>0</v>
      </c>
      <c r="AG161" s="207">
        <f>SUMIFS('ноябрь 2023'!$G$76:$G$1127,'ноябрь 2023'!$D$76:$D$1127,$B161,'ноябрь 2023'!$J$76:$J$1127,AG$1)</f>
        <v>0</v>
      </c>
      <c r="AH161" s="207">
        <f>SUMIFS('ноябрь 2023'!$G$76:$G$1127,'ноябрь 2023'!$D$76:$D$1127,$B161,'ноябрь 2023'!$J$76:$J$1127,AH$1)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SUMIFS('ноябрь 2023'!$G$76:$G$1127,'ноябрь 2023'!$D$76:$D$1127,$B162,'ноябрь 2023'!$J$76:$J$1127,D$1)</f>
        <v>0</v>
      </c>
      <c r="E162" s="207">
        <f>SUMIFS('ноябрь 2023'!$G$76:$G$1127,'ноябрь 2023'!$D$76:$D$1127,$B162,'ноябрь 2023'!$J$76:$J$1127,E$1)</f>
        <v>0</v>
      </c>
      <c r="F162" s="207">
        <f>SUMIFS('ноябрь 2023'!$G$76:$G$1127,'ноябрь 2023'!$D$76:$D$1127,$B162,'ноябрь 2023'!$J$76:$J$1127,F$1)</f>
        <v>0</v>
      </c>
      <c r="G162" s="207">
        <f>SUMIFS('ноябрь 2023'!$G$76:$G$1127,'ноябрь 2023'!$D$76:$D$1127,$B162,'ноябрь 2023'!$J$76:$J$1127,G$1)</f>
        <v>0</v>
      </c>
      <c r="H162" s="207">
        <f>SUMIFS('ноябрь 2023'!$G$76:$G$1127,'ноябрь 2023'!$D$76:$D$1127,$B162,'ноябрь 2023'!$J$76:$J$1127,H$1)</f>
        <v>0</v>
      </c>
      <c r="I162" s="207">
        <f>SUMIFS('ноябрь 2023'!$G$76:$G$1127,'ноябрь 2023'!$D$76:$D$1127,$B162,'ноябрь 2023'!$J$76:$J$1127,I$1)</f>
        <v>0</v>
      </c>
      <c r="J162" s="207">
        <f>SUMIFS('ноябрь 2023'!$G$76:$G$1127,'ноябрь 2023'!$D$76:$D$1127,$B162,'ноябрь 2023'!$J$76:$J$1127,J$1)</f>
        <v>0</v>
      </c>
      <c r="K162" s="207">
        <f>SUMIFS('ноябрь 2023'!$G$76:$G$1127,'ноябрь 2023'!$D$76:$D$1127,$B162,'ноябрь 2023'!$J$76:$J$1127,K$1)</f>
        <v>0</v>
      </c>
      <c r="L162" s="207">
        <f>SUMIFS('ноябрь 2023'!$G$76:$G$1127,'ноябрь 2023'!$D$76:$D$1127,$B162,'ноябрь 2023'!$J$76:$J$1127,L$1)</f>
        <v>0</v>
      </c>
      <c r="M162" s="207">
        <f>SUMIFS('ноябрь 2023'!$G$76:$G$1127,'ноябрь 2023'!$D$76:$D$1127,$B162,'ноябрь 2023'!$J$76:$J$1127,M$1)</f>
        <v>0</v>
      </c>
      <c r="N162" s="207">
        <f>SUMIFS('ноябрь 2023'!$G$76:$G$1127,'ноябрь 2023'!$D$76:$D$1127,$B162,'ноябрь 2023'!$J$76:$J$1127,N$1)</f>
        <v>0</v>
      </c>
      <c r="O162" s="207">
        <f>SUMIFS('ноябрь 2023'!$G$76:$G$1127,'ноябрь 2023'!$D$76:$D$1127,$B162,'ноябрь 2023'!$J$76:$J$1127,O$1)</f>
        <v>0</v>
      </c>
      <c r="P162" s="207">
        <f>SUMIFS('ноябрь 2023'!$G$76:$G$1127,'ноябрь 2023'!$D$76:$D$1127,$B162,'ноябрь 2023'!$J$76:$J$1127,P$1)</f>
        <v>0</v>
      </c>
      <c r="Q162" s="207">
        <f>SUMIFS('ноябрь 2023'!$G$76:$G$1127,'ноябрь 2023'!$D$76:$D$1127,$B162,'ноябрь 2023'!$J$76:$J$1127,Q$1)</f>
        <v>0</v>
      </c>
      <c r="R162" s="207">
        <f>SUMIFS('ноябрь 2023'!$G$76:$G$1127,'ноябрь 2023'!$D$76:$D$1127,$B162,'ноябрь 2023'!$J$76:$J$1127,R$1)</f>
        <v>0</v>
      </c>
      <c r="S162" s="207">
        <f>SUMIFS('ноябрь 2023'!$G$76:$G$1127,'ноябрь 2023'!$D$76:$D$1127,$B162,'ноябрь 2023'!$J$76:$J$1127,S$1)</f>
        <v>0</v>
      </c>
      <c r="T162" s="207">
        <f>SUMIFS('ноябрь 2023'!$G$76:$G$1127,'ноябрь 2023'!$D$76:$D$1127,$B162,'ноябрь 2023'!$J$76:$J$1127,T$1)</f>
        <v>0</v>
      </c>
      <c r="U162" s="207">
        <f>SUMIFS('ноябрь 2023'!$G$76:$G$1127,'ноябрь 2023'!$D$76:$D$1127,$B162,'ноябрь 2023'!$J$76:$J$1127,U$1)</f>
        <v>0</v>
      </c>
      <c r="V162" s="207">
        <f>SUMIFS('ноябрь 2023'!$G$76:$G$1127,'ноябрь 2023'!$D$76:$D$1127,$B162,'ноябрь 2023'!$J$76:$J$1127,V$1)</f>
        <v>0</v>
      </c>
      <c r="W162" s="207">
        <f>SUMIFS('ноябрь 2023'!$G$76:$G$1127,'ноябрь 2023'!$D$76:$D$1127,$B162,'ноябрь 2023'!$J$76:$J$1127,W$1)</f>
        <v>0</v>
      </c>
      <c r="X162" s="207">
        <f>SUMIFS('ноябрь 2023'!$G$76:$G$1127,'ноябрь 2023'!$D$76:$D$1127,$B162,'ноябрь 2023'!$J$76:$J$1127,X$1)</f>
        <v>0</v>
      </c>
      <c r="Y162" s="207">
        <f>SUMIFS('ноябрь 2023'!$G$76:$G$1127,'ноябрь 2023'!$D$76:$D$1127,$B162,'ноябрь 2023'!$J$76:$J$1127,Y$1)</f>
        <v>0</v>
      </c>
      <c r="Z162" s="207">
        <f>SUMIFS('ноябрь 2023'!$G$76:$G$1127,'ноябрь 2023'!$D$76:$D$1127,$B162,'ноябрь 2023'!$J$76:$J$1127,Z$1)</f>
        <v>0</v>
      </c>
      <c r="AA162" s="207">
        <f>SUMIFS('ноябрь 2023'!$G$76:$G$1127,'ноябрь 2023'!$D$76:$D$1127,$B162,'ноябрь 2023'!$J$76:$J$1127,AA$1)</f>
        <v>0</v>
      </c>
      <c r="AB162" s="207">
        <f>SUMIFS('ноябрь 2023'!$G$76:$G$1127,'ноябрь 2023'!$D$76:$D$1127,$B162,'ноябрь 2023'!$J$76:$J$1127,AB$1)</f>
        <v>0</v>
      </c>
      <c r="AC162" s="207">
        <f>SUMIFS('ноябрь 2023'!$G$76:$G$1127,'ноябрь 2023'!$D$76:$D$1127,$B162,'ноябрь 2023'!$J$76:$J$1127,AC$1)</f>
        <v>0</v>
      </c>
      <c r="AD162" s="207">
        <f>SUMIFS('ноябрь 2023'!$G$76:$G$1127,'ноябрь 2023'!$D$76:$D$1127,$B162,'ноябрь 2023'!$J$76:$J$1127,AD$1)</f>
        <v>0</v>
      </c>
      <c r="AE162" s="207">
        <f>SUMIFS('ноябрь 2023'!$G$76:$G$1127,'ноябрь 2023'!$D$76:$D$1127,$B162,'ноябрь 2023'!$J$76:$J$1127,AE$1)</f>
        <v>0</v>
      </c>
      <c r="AF162" s="207">
        <f>SUMIFS('ноябрь 2023'!$G$76:$G$1127,'ноябрь 2023'!$D$76:$D$1127,$B162,'ноябрь 2023'!$J$76:$J$1127,AF$1)</f>
        <v>0</v>
      </c>
      <c r="AG162" s="207">
        <f>SUMIFS('ноябрь 2023'!$G$76:$G$1127,'ноябрь 2023'!$D$76:$D$1127,$B162,'ноябрь 2023'!$J$76:$J$1127,AG$1)</f>
        <v>0</v>
      </c>
      <c r="AH162" s="207">
        <f>SUMIFS('ноябрь 2023'!$G$76:$G$1127,'ноябрь 2023'!$D$76:$D$1127,$B162,'ноябрь 2023'!$J$76:$J$1127,AH$1)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SUMIFS('ноябрь 2023'!$G$76:$G$1127,'ноябрь 2023'!$D$76:$D$1127,$B163,'ноябрь 2023'!$J$76:$J$1127,D$1)</f>
        <v>0</v>
      </c>
      <c r="E163" s="207">
        <f>SUMIFS('ноябрь 2023'!$G$76:$G$1127,'ноябрь 2023'!$D$76:$D$1127,$B163,'ноябрь 2023'!$J$76:$J$1127,E$1)</f>
        <v>0</v>
      </c>
      <c r="F163" s="207">
        <f>SUMIFS('ноябрь 2023'!$G$76:$G$1127,'ноябрь 2023'!$D$76:$D$1127,$B163,'ноябрь 2023'!$J$76:$J$1127,F$1)</f>
        <v>0</v>
      </c>
      <c r="G163" s="207">
        <f>SUMIFS('ноябрь 2023'!$G$76:$G$1127,'ноябрь 2023'!$D$76:$D$1127,$B163,'ноябрь 2023'!$J$76:$J$1127,G$1)</f>
        <v>0</v>
      </c>
      <c r="H163" s="207">
        <f>SUMIFS('ноябрь 2023'!$G$76:$G$1127,'ноябрь 2023'!$D$76:$D$1127,$B163,'ноябрь 2023'!$J$76:$J$1127,H$1)</f>
        <v>0</v>
      </c>
      <c r="I163" s="207">
        <f>SUMIFS('ноябрь 2023'!$G$76:$G$1127,'ноябрь 2023'!$D$76:$D$1127,$B163,'ноябрь 2023'!$J$76:$J$1127,I$1)</f>
        <v>0</v>
      </c>
      <c r="J163" s="207">
        <f>SUMIFS('ноябрь 2023'!$G$76:$G$1127,'ноябрь 2023'!$D$76:$D$1127,$B163,'ноябрь 2023'!$J$76:$J$1127,J$1)</f>
        <v>0</v>
      </c>
      <c r="K163" s="207">
        <f>SUMIFS('ноябрь 2023'!$G$76:$G$1127,'ноябрь 2023'!$D$76:$D$1127,$B163,'ноябрь 2023'!$J$76:$J$1127,K$1)</f>
        <v>0</v>
      </c>
      <c r="L163" s="207">
        <f>SUMIFS('ноябрь 2023'!$G$76:$G$1127,'ноябрь 2023'!$D$76:$D$1127,$B163,'ноябрь 2023'!$J$76:$J$1127,L$1)</f>
        <v>0</v>
      </c>
      <c r="M163" s="207">
        <f>SUMIFS('ноябрь 2023'!$G$76:$G$1127,'ноябрь 2023'!$D$76:$D$1127,$B163,'ноябрь 2023'!$J$76:$J$1127,M$1)</f>
        <v>0</v>
      </c>
      <c r="N163" s="207">
        <f>SUMIFS('ноябрь 2023'!$G$76:$G$1127,'ноябрь 2023'!$D$76:$D$1127,$B163,'ноябрь 2023'!$J$76:$J$1127,N$1)</f>
        <v>0</v>
      </c>
      <c r="O163" s="207">
        <f>SUMIFS('ноябрь 2023'!$G$76:$G$1127,'ноябрь 2023'!$D$76:$D$1127,$B163,'ноябрь 2023'!$J$76:$J$1127,O$1)</f>
        <v>0</v>
      </c>
      <c r="P163" s="207">
        <f>SUMIFS('ноябрь 2023'!$G$76:$G$1127,'ноябрь 2023'!$D$76:$D$1127,$B163,'ноябрь 2023'!$J$76:$J$1127,P$1)</f>
        <v>0</v>
      </c>
      <c r="Q163" s="207">
        <f>SUMIFS('ноябрь 2023'!$G$76:$G$1127,'ноябрь 2023'!$D$76:$D$1127,$B163,'ноябрь 2023'!$J$76:$J$1127,Q$1)</f>
        <v>0</v>
      </c>
      <c r="R163" s="207">
        <f>SUMIFS('ноябрь 2023'!$G$76:$G$1127,'ноябрь 2023'!$D$76:$D$1127,$B163,'ноябрь 2023'!$J$76:$J$1127,R$1)</f>
        <v>0</v>
      </c>
      <c r="S163" s="207">
        <f>SUMIFS('ноябрь 2023'!$G$76:$G$1127,'ноябрь 2023'!$D$76:$D$1127,$B163,'ноябрь 2023'!$J$76:$J$1127,S$1)</f>
        <v>0</v>
      </c>
      <c r="T163" s="207">
        <f>SUMIFS('ноябрь 2023'!$G$76:$G$1127,'ноябрь 2023'!$D$76:$D$1127,$B163,'ноябрь 2023'!$J$76:$J$1127,T$1)</f>
        <v>0</v>
      </c>
      <c r="U163" s="207">
        <f>SUMIFS('ноябрь 2023'!$G$76:$G$1127,'ноябрь 2023'!$D$76:$D$1127,$B163,'ноябрь 2023'!$J$76:$J$1127,U$1)</f>
        <v>0</v>
      </c>
      <c r="V163" s="207">
        <f>SUMIFS('ноябрь 2023'!$G$76:$G$1127,'ноябрь 2023'!$D$76:$D$1127,$B163,'ноябрь 2023'!$J$76:$J$1127,V$1)</f>
        <v>0</v>
      </c>
      <c r="W163" s="207">
        <f>SUMIFS('ноябрь 2023'!$G$76:$G$1127,'ноябрь 2023'!$D$76:$D$1127,$B163,'ноябрь 2023'!$J$76:$J$1127,W$1)</f>
        <v>0</v>
      </c>
      <c r="X163" s="207">
        <f>SUMIFS('ноябрь 2023'!$G$76:$G$1127,'ноябрь 2023'!$D$76:$D$1127,$B163,'ноябрь 2023'!$J$76:$J$1127,X$1)</f>
        <v>0</v>
      </c>
      <c r="Y163" s="207">
        <f>SUMIFS('ноябрь 2023'!$G$76:$G$1127,'ноябрь 2023'!$D$76:$D$1127,$B163,'ноябрь 2023'!$J$76:$J$1127,Y$1)</f>
        <v>0</v>
      </c>
      <c r="Z163" s="207">
        <f>SUMIFS('ноябрь 2023'!$G$76:$G$1127,'ноябрь 2023'!$D$76:$D$1127,$B163,'ноябрь 2023'!$J$76:$J$1127,Z$1)</f>
        <v>0</v>
      </c>
      <c r="AA163" s="207">
        <f>SUMIFS('ноябрь 2023'!$G$76:$G$1127,'ноябрь 2023'!$D$76:$D$1127,$B163,'ноябрь 2023'!$J$76:$J$1127,AA$1)</f>
        <v>0</v>
      </c>
      <c r="AB163" s="207">
        <f>SUMIFS('ноябрь 2023'!$G$76:$G$1127,'ноябрь 2023'!$D$76:$D$1127,$B163,'ноябрь 2023'!$J$76:$J$1127,AB$1)</f>
        <v>0</v>
      </c>
      <c r="AC163" s="207">
        <f>SUMIFS('ноябрь 2023'!$G$76:$G$1127,'ноябрь 2023'!$D$76:$D$1127,$B163,'ноябрь 2023'!$J$76:$J$1127,AC$1)</f>
        <v>0</v>
      </c>
      <c r="AD163" s="207">
        <f>SUMIFS('ноябрь 2023'!$G$76:$G$1127,'ноябрь 2023'!$D$76:$D$1127,$B163,'ноябрь 2023'!$J$76:$J$1127,AD$1)</f>
        <v>0</v>
      </c>
      <c r="AE163" s="207">
        <f>SUMIFS('ноябрь 2023'!$G$76:$G$1127,'ноябрь 2023'!$D$76:$D$1127,$B163,'ноябрь 2023'!$J$76:$J$1127,AE$1)</f>
        <v>0</v>
      </c>
      <c r="AF163" s="207">
        <f>SUMIFS('ноябрь 2023'!$G$76:$G$1127,'ноябрь 2023'!$D$76:$D$1127,$B163,'ноябрь 2023'!$J$76:$J$1127,AF$1)</f>
        <v>0</v>
      </c>
      <c r="AG163" s="207">
        <f>SUMIFS('ноябрь 2023'!$G$76:$G$1127,'ноябрь 2023'!$D$76:$D$1127,$B163,'ноябрь 2023'!$J$76:$J$1127,AG$1)</f>
        <v>0</v>
      </c>
      <c r="AH163" s="207">
        <f>SUMIFS('ноябрь 2023'!$G$76:$G$1127,'ноябрь 2023'!$D$76:$D$1127,$B163,'ноябрь 2023'!$J$76:$J$1127,AH$1)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SUMIFS('ноябрь 2023'!$G$76:$G$1127,'ноябрь 2023'!$D$76:$D$1127,$B164,'ноябрь 2023'!$J$76:$J$1127,D$1)</f>
        <v>0</v>
      </c>
      <c r="E164" s="207">
        <f>SUMIFS('ноябрь 2023'!$G$76:$G$1127,'ноябрь 2023'!$D$76:$D$1127,$B164,'ноябрь 2023'!$J$76:$J$1127,E$1)</f>
        <v>0</v>
      </c>
      <c r="F164" s="207">
        <f>SUMIFS('ноябрь 2023'!$G$76:$G$1127,'ноябрь 2023'!$D$76:$D$1127,$B164,'ноябрь 2023'!$J$76:$J$1127,F$1)</f>
        <v>0</v>
      </c>
      <c r="G164" s="207">
        <f>SUMIFS('ноябрь 2023'!$G$76:$G$1127,'ноябрь 2023'!$D$76:$D$1127,$B164,'ноябрь 2023'!$J$76:$J$1127,G$1)</f>
        <v>0</v>
      </c>
      <c r="H164" s="207">
        <f>SUMIFS('ноябрь 2023'!$G$76:$G$1127,'ноябрь 2023'!$D$76:$D$1127,$B164,'ноябрь 2023'!$J$76:$J$1127,H$1)</f>
        <v>0</v>
      </c>
      <c r="I164" s="207">
        <f>SUMIFS('ноябрь 2023'!$G$76:$G$1127,'ноябрь 2023'!$D$76:$D$1127,$B164,'ноябрь 2023'!$J$76:$J$1127,I$1)</f>
        <v>0</v>
      </c>
      <c r="J164" s="207">
        <f>SUMIFS('ноябрь 2023'!$G$76:$G$1127,'ноябрь 2023'!$D$76:$D$1127,$B164,'ноябрь 2023'!$J$76:$J$1127,J$1)</f>
        <v>0</v>
      </c>
      <c r="K164" s="207">
        <f>SUMIFS('ноябрь 2023'!$G$76:$G$1127,'ноябрь 2023'!$D$76:$D$1127,$B164,'ноябрь 2023'!$J$76:$J$1127,K$1)</f>
        <v>0</v>
      </c>
      <c r="L164" s="207">
        <f>SUMIFS('ноябрь 2023'!$G$76:$G$1127,'ноябрь 2023'!$D$76:$D$1127,$B164,'ноябрь 2023'!$J$76:$J$1127,L$1)</f>
        <v>0</v>
      </c>
      <c r="M164" s="207">
        <f>SUMIFS('ноябрь 2023'!$G$76:$G$1127,'ноябрь 2023'!$D$76:$D$1127,$B164,'ноябрь 2023'!$J$76:$J$1127,M$1)</f>
        <v>0</v>
      </c>
      <c r="N164" s="207">
        <f>SUMIFS('ноябрь 2023'!$G$76:$G$1127,'ноябрь 2023'!$D$76:$D$1127,$B164,'ноябрь 2023'!$J$76:$J$1127,N$1)</f>
        <v>0</v>
      </c>
      <c r="O164" s="207">
        <f>SUMIFS('ноябрь 2023'!$G$76:$G$1127,'ноябрь 2023'!$D$76:$D$1127,$B164,'ноябрь 2023'!$J$76:$J$1127,O$1)</f>
        <v>0</v>
      </c>
      <c r="P164" s="207">
        <f>SUMIFS('ноябрь 2023'!$G$76:$G$1127,'ноябрь 2023'!$D$76:$D$1127,$B164,'ноябрь 2023'!$J$76:$J$1127,P$1)</f>
        <v>0</v>
      </c>
      <c r="Q164" s="207">
        <f>SUMIFS('ноябрь 2023'!$G$76:$G$1127,'ноябрь 2023'!$D$76:$D$1127,$B164,'ноябрь 2023'!$J$76:$J$1127,Q$1)</f>
        <v>0</v>
      </c>
      <c r="R164" s="207">
        <f>SUMIFS('ноябрь 2023'!$G$76:$G$1127,'ноябрь 2023'!$D$76:$D$1127,$B164,'ноябрь 2023'!$J$76:$J$1127,R$1)</f>
        <v>0</v>
      </c>
      <c r="S164" s="207">
        <f>SUMIFS('ноябрь 2023'!$G$76:$G$1127,'ноябрь 2023'!$D$76:$D$1127,$B164,'ноябрь 2023'!$J$76:$J$1127,S$1)</f>
        <v>0</v>
      </c>
      <c r="T164" s="207">
        <f>SUMIFS('ноябрь 2023'!$G$76:$G$1127,'ноябрь 2023'!$D$76:$D$1127,$B164,'ноябрь 2023'!$J$76:$J$1127,T$1)</f>
        <v>0</v>
      </c>
      <c r="U164" s="207">
        <f>SUMIFS('ноябрь 2023'!$G$76:$G$1127,'ноябрь 2023'!$D$76:$D$1127,$B164,'ноябрь 2023'!$J$76:$J$1127,U$1)</f>
        <v>0</v>
      </c>
      <c r="V164" s="207">
        <f>SUMIFS('ноябрь 2023'!$G$76:$G$1127,'ноябрь 2023'!$D$76:$D$1127,$B164,'ноябрь 2023'!$J$76:$J$1127,V$1)</f>
        <v>0</v>
      </c>
      <c r="W164" s="207">
        <f>SUMIFS('ноябрь 2023'!$G$76:$G$1127,'ноябрь 2023'!$D$76:$D$1127,$B164,'ноябрь 2023'!$J$76:$J$1127,W$1)</f>
        <v>0</v>
      </c>
      <c r="X164" s="207">
        <f>SUMIFS('ноябрь 2023'!$G$76:$G$1127,'ноябрь 2023'!$D$76:$D$1127,$B164,'ноябрь 2023'!$J$76:$J$1127,X$1)</f>
        <v>0</v>
      </c>
      <c r="Y164" s="207">
        <f>SUMIFS('ноябрь 2023'!$G$76:$G$1127,'ноябрь 2023'!$D$76:$D$1127,$B164,'ноябрь 2023'!$J$76:$J$1127,Y$1)</f>
        <v>0</v>
      </c>
      <c r="Z164" s="207">
        <f>SUMIFS('ноябрь 2023'!$G$76:$G$1127,'ноябрь 2023'!$D$76:$D$1127,$B164,'ноябрь 2023'!$J$76:$J$1127,Z$1)</f>
        <v>0</v>
      </c>
      <c r="AA164" s="207">
        <f>SUMIFS('ноябрь 2023'!$G$76:$G$1127,'ноябрь 2023'!$D$76:$D$1127,$B164,'ноябрь 2023'!$J$76:$J$1127,AA$1)</f>
        <v>0</v>
      </c>
      <c r="AB164" s="207">
        <f>SUMIFS('ноябрь 2023'!$G$76:$G$1127,'ноябрь 2023'!$D$76:$D$1127,$B164,'ноябрь 2023'!$J$76:$J$1127,AB$1)</f>
        <v>0</v>
      </c>
      <c r="AC164" s="207">
        <f>SUMIFS('ноябрь 2023'!$G$76:$G$1127,'ноябрь 2023'!$D$76:$D$1127,$B164,'ноябрь 2023'!$J$76:$J$1127,AC$1)</f>
        <v>0</v>
      </c>
      <c r="AD164" s="207">
        <f>SUMIFS('ноябрь 2023'!$G$76:$G$1127,'ноябрь 2023'!$D$76:$D$1127,$B164,'ноябрь 2023'!$J$76:$J$1127,AD$1)</f>
        <v>0</v>
      </c>
      <c r="AE164" s="207">
        <f>SUMIFS('ноябрь 2023'!$G$76:$G$1127,'ноябрь 2023'!$D$76:$D$1127,$B164,'ноябрь 2023'!$J$76:$J$1127,AE$1)</f>
        <v>0</v>
      </c>
      <c r="AF164" s="207">
        <f>SUMIFS('ноябрь 2023'!$G$76:$G$1127,'ноябрь 2023'!$D$76:$D$1127,$B164,'ноябрь 2023'!$J$76:$J$1127,AF$1)</f>
        <v>0</v>
      </c>
      <c r="AG164" s="207">
        <f>SUMIFS('ноябрь 2023'!$G$76:$G$1127,'ноябрь 2023'!$D$76:$D$1127,$B164,'ноябрь 2023'!$J$76:$J$1127,AG$1)</f>
        <v>0</v>
      </c>
      <c r="AH164" s="207">
        <f>SUMIFS('ноябрь 2023'!$G$76:$G$1127,'ноябрь 2023'!$D$76:$D$1127,$B164,'ноябрь 2023'!$J$76:$J$1127,AH$1)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SUMIFS('ноябрь 2023'!$G$76:$G$1127,'ноябрь 2023'!$D$76:$D$1127,$B165,'ноябрь 2023'!$J$76:$J$1127,D$1)</f>
        <v>0</v>
      </c>
      <c r="E165" s="207">
        <f>SUMIFS('ноябрь 2023'!$G$76:$G$1127,'ноябрь 2023'!$D$76:$D$1127,$B165,'ноябрь 2023'!$J$76:$J$1127,E$1)</f>
        <v>0</v>
      </c>
      <c r="F165" s="207">
        <f>SUMIFS('ноябрь 2023'!$G$76:$G$1127,'ноябрь 2023'!$D$76:$D$1127,$B165,'ноябрь 2023'!$J$76:$J$1127,F$1)</f>
        <v>0</v>
      </c>
      <c r="G165" s="207">
        <f>SUMIFS('ноябрь 2023'!$G$76:$G$1127,'ноябрь 2023'!$D$76:$D$1127,$B165,'ноябрь 2023'!$J$76:$J$1127,G$1)</f>
        <v>0</v>
      </c>
      <c r="H165" s="207">
        <f>SUMIFS('ноябрь 2023'!$G$76:$G$1127,'ноябрь 2023'!$D$76:$D$1127,$B165,'ноябрь 2023'!$J$76:$J$1127,H$1)</f>
        <v>0</v>
      </c>
      <c r="I165" s="207">
        <f>SUMIFS('ноябрь 2023'!$G$76:$G$1127,'ноябрь 2023'!$D$76:$D$1127,$B165,'ноябрь 2023'!$J$76:$J$1127,I$1)</f>
        <v>0</v>
      </c>
      <c r="J165" s="207">
        <f>SUMIFS('ноябрь 2023'!$G$76:$G$1127,'ноябрь 2023'!$D$76:$D$1127,$B165,'ноябрь 2023'!$J$76:$J$1127,J$1)</f>
        <v>0</v>
      </c>
      <c r="K165" s="207">
        <f>SUMIFS('ноябрь 2023'!$G$76:$G$1127,'ноябрь 2023'!$D$76:$D$1127,$B165,'ноябрь 2023'!$J$76:$J$1127,K$1)</f>
        <v>0</v>
      </c>
      <c r="L165" s="207">
        <f>SUMIFS('ноябрь 2023'!$G$76:$G$1127,'ноябрь 2023'!$D$76:$D$1127,$B165,'ноябрь 2023'!$J$76:$J$1127,L$1)</f>
        <v>0</v>
      </c>
      <c r="M165" s="207">
        <f>SUMIFS('ноябрь 2023'!$G$76:$G$1127,'ноябрь 2023'!$D$76:$D$1127,$B165,'ноябрь 2023'!$J$76:$J$1127,M$1)</f>
        <v>0</v>
      </c>
      <c r="N165" s="207">
        <f>SUMIFS('ноябрь 2023'!$G$76:$G$1127,'ноябрь 2023'!$D$76:$D$1127,$B165,'ноябрь 2023'!$J$76:$J$1127,N$1)</f>
        <v>0</v>
      </c>
      <c r="O165" s="207">
        <f>SUMIFS('ноябрь 2023'!$G$76:$G$1127,'ноябрь 2023'!$D$76:$D$1127,$B165,'ноябрь 2023'!$J$76:$J$1127,O$1)</f>
        <v>0</v>
      </c>
      <c r="P165" s="207">
        <f>SUMIFS('ноябрь 2023'!$G$76:$G$1127,'ноябрь 2023'!$D$76:$D$1127,$B165,'ноябрь 2023'!$J$76:$J$1127,P$1)</f>
        <v>0</v>
      </c>
      <c r="Q165" s="207">
        <f>SUMIFS('ноябрь 2023'!$G$76:$G$1127,'ноябрь 2023'!$D$76:$D$1127,$B165,'ноябрь 2023'!$J$76:$J$1127,Q$1)</f>
        <v>0</v>
      </c>
      <c r="R165" s="207">
        <f>SUMIFS('ноябрь 2023'!$G$76:$G$1127,'ноябрь 2023'!$D$76:$D$1127,$B165,'ноябрь 2023'!$J$76:$J$1127,R$1)</f>
        <v>0</v>
      </c>
      <c r="S165" s="207">
        <f>SUMIFS('ноябрь 2023'!$G$76:$G$1127,'ноябрь 2023'!$D$76:$D$1127,$B165,'ноябрь 2023'!$J$76:$J$1127,S$1)</f>
        <v>0</v>
      </c>
      <c r="T165" s="207">
        <f>SUMIFS('ноябрь 2023'!$G$76:$G$1127,'ноябрь 2023'!$D$76:$D$1127,$B165,'ноябрь 2023'!$J$76:$J$1127,T$1)</f>
        <v>0</v>
      </c>
      <c r="U165" s="207">
        <f>SUMIFS('ноябрь 2023'!$G$76:$G$1127,'ноябрь 2023'!$D$76:$D$1127,$B165,'ноябрь 2023'!$J$76:$J$1127,U$1)</f>
        <v>0</v>
      </c>
      <c r="V165" s="207">
        <f>SUMIFS('ноябрь 2023'!$G$76:$G$1127,'ноябрь 2023'!$D$76:$D$1127,$B165,'ноябрь 2023'!$J$76:$J$1127,V$1)</f>
        <v>0</v>
      </c>
      <c r="W165" s="207">
        <f>SUMIFS('ноябрь 2023'!$G$76:$G$1127,'ноябрь 2023'!$D$76:$D$1127,$B165,'ноябрь 2023'!$J$76:$J$1127,W$1)</f>
        <v>0</v>
      </c>
      <c r="X165" s="207">
        <f>SUMIFS('ноябрь 2023'!$G$76:$G$1127,'ноябрь 2023'!$D$76:$D$1127,$B165,'ноябрь 2023'!$J$76:$J$1127,X$1)</f>
        <v>0</v>
      </c>
      <c r="Y165" s="207">
        <f>SUMIFS('ноябрь 2023'!$G$76:$G$1127,'ноябрь 2023'!$D$76:$D$1127,$B165,'ноябрь 2023'!$J$76:$J$1127,Y$1)</f>
        <v>0</v>
      </c>
      <c r="Z165" s="207">
        <f>SUMIFS('ноябрь 2023'!$G$76:$G$1127,'ноябрь 2023'!$D$76:$D$1127,$B165,'ноябрь 2023'!$J$76:$J$1127,Z$1)</f>
        <v>0</v>
      </c>
      <c r="AA165" s="207">
        <f>SUMIFS('ноябрь 2023'!$G$76:$G$1127,'ноябрь 2023'!$D$76:$D$1127,$B165,'ноябрь 2023'!$J$76:$J$1127,AA$1)</f>
        <v>0</v>
      </c>
      <c r="AB165" s="207">
        <f>SUMIFS('ноябрь 2023'!$G$76:$G$1127,'ноябрь 2023'!$D$76:$D$1127,$B165,'ноябрь 2023'!$J$76:$J$1127,AB$1)</f>
        <v>0</v>
      </c>
      <c r="AC165" s="207">
        <f>SUMIFS('ноябрь 2023'!$G$76:$G$1127,'ноябрь 2023'!$D$76:$D$1127,$B165,'ноябрь 2023'!$J$76:$J$1127,AC$1)</f>
        <v>0</v>
      </c>
      <c r="AD165" s="207">
        <f>SUMIFS('ноябрь 2023'!$G$76:$G$1127,'ноябрь 2023'!$D$76:$D$1127,$B165,'ноябрь 2023'!$J$76:$J$1127,AD$1)</f>
        <v>0</v>
      </c>
      <c r="AE165" s="207">
        <f>SUMIFS('ноябрь 2023'!$G$76:$G$1127,'ноябрь 2023'!$D$76:$D$1127,$B165,'ноябрь 2023'!$J$76:$J$1127,AE$1)</f>
        <v>0</v>
      </c>
      <c r="AF165" s="207">
        <f>SUMIFS('ноябрь 2023'!$G$76:$G$1127,'ноябрь 2023'!$D$76:$D$1127,$B165,'ноябрь 2023'!$J$76:$J$1127,AF$1)</f>
        <v>0</v>
      </c>
      <c r="AG165" s="207">
        <f>SUMIFS('ноябрь 2023'!$G$76:$G$1127,'ноябрь 2023'!$D$76:$D$1127,$B165,'ноябрь 2023'!$J$76:$J$1127,AG$1)</f>
        <v>0</v>
      </c>
      <c r="AH165" s="207">
        <f>SUMIFS('ноябрь 2023'!$G$76:$G$1127,'ноябрь 2023'!$D$76:$D$1127,$B165,'ноябрь 2023'!$J$76:$J$1127,AH$1)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SUMIFS('ноябрь 2023'!$G$76:$G$1127,'ноябрь 2023'!$D$76:$D$1127,$B166,'ноябрь 2023'!$J$76:$J$1127,D$1)</f>
        <v>0</v>
      </c>
      <c r="E166" s="207">
        <f>SUMIFS('ноябрь 2023'!$G$76:$G$1127,'ноябрь 2023'!$D$76:$D$1127,$B166,'ноябрь 2023'!$J$76:$J$1127,E$1)</f>
        <v>0</v>
      </c>
      <c r="F166" s="207">
        <f>SUMIFS('ноябрь 2023'!$G$76:$G$1127,'ноябрь 2023'!$D$76:$D$1127,$B166,'ноябрь 2023'!$J$76:$J$1127,F$1)</f>
        <v>0</v>
      </c>
      <c r="G166" s="207">
        <f>SUMIFS('ноябрь 2023'!$G$76:$G$1127,'ноябрь 2023'!$D$76:$D$1127,$B166,'ноябрь 2023'!$J$76:$J$1127,G$1)</f>
        <v>0</v>
      </c>
      <c r="H166" s="207">
        <f>SUMIFS('ноябрь 2023'!$G$76:$G$1127,'ноябрь 2023'!$D$76:$D$1127,$B166,'ноябрь 2023'!$J$76:$J$1127,H$1)</f>
        <v>0</v>
      </c>
      <c r="I166" s="207">
        <f>SUMIFS('ноябрь 2023'!$G$76:$G$1127,'ноябрь 2023'!$D$76:$D$1127,$B166,'ноябрь 2023'!$J$76:$J$1127,I$1)</f>
        <v>0</v>
      </c>
      <c r="J166" s="207">
        <f>SUMIFS('ноябрь 2023'!$G$76:$G$1127,'ноябрь 2023'!$D$76:$D$1127,$B166,'ноябрь 2023'!$J$76:$J$1127,J$1)</f>
        <v>0</v>
      </c>
      <c r="K166" s="207">
        <f>SUMIFS('ноябрь 2023'!$G$76:$G$1127,'ноябрь 2023'!$D$76:$D$1127,$B166,'ноябрь 2023'!$J$76:$J$1127,K$1)</f>
        <v>0</v>
      </c>
      <c r="L166" s="207">
        <f>SUMIFS('ноябрь 2023'!$G$76:$G$1127,'ноябрь 2023'!$D$76:$D$1127,$B166,'ноябрь 2023'!$J$76:$J$1127,L$1)</f>
        <v>0</v>
      </c>
      <c r="M166" s="207">
        <f>SUMIFS('ноябрь 2023'!$G$76:$G$1127,'ноябрь 2023'!$D$76:$D$1127,$B166,'ноябрь 2023'!$J$76:$J$1127,M$1)</f>
        <v>0</v>
      </c>
      <c r="N166" s="207">
        <f>SUMIFS('ноябрь 2023'!$G$76:$G$1127,'ноябрь 2023'!$D$76:$D$1127,$B166,'ноябрь 2023'!$J$76:$J$1127,N$1)</f>
        <v>0</v>
      </c>
      <c r="O166" s="207">
        <f>SUMIFS('ноябрь 2023'!$G$76:$G$1127,'ноябрь 2023'!$D$76:$D$1127,$B166,'ноябрь 2023'!$J$76:$J$1127,O$1)</f>
        <v>0</v>
      </c>
      <c r="P166" s="207">
        <f>SUMIFS('ноябрь 2023'!$G$76:$G$1127,'ноябрь 2023'!$D$76:$D$1127,$B166,'ноябрь 2023'!$J$76:$J$1127,P$1)</f>
        <v>0</v>
      </c>
      <c r="Q166" s="207">
        <f>SUMIFS('ноябрь 2023'!$G$76:$G$1127,'ноябрь 2023'!$D$76:$D$1127,$B166,'ноябрь 2023'!$J$76:$J$1127,Q$1)</f>
        <v>0</v>
      </c>
      <c r="R166" s="207">
        <f>SUMIFS('ноябрь 2023'!$G$76:$G$1127,'ноябрь 2023'!$D$76:$D$1127,$B166,'ноябрь 2023'!$J$76:$J$1127,R$1)</f>
        <v>0</v>
      </c>
      <c r="S166" s="207">
        <f>SUMIFS('ноябрь 2023'!$G$76:$G$1127,'ноябрь 2023'!$D$76:$D$1127,$B166,'ноябрь 2023'!$J$76:$J$1127,S$1)</f>
        <v>0</v>
      </c>
      <c r="T166" s="207">
        <f>SUMIFS('ноябрь 2023'!$G$76:$G$1127,'ноябрь 2023'!$D$76:$D$1127,$B166,'ноябрь 2023'!$J$76:$J$1127,T$1)</f>
        <v>0</v>
      </c>
      <c r="U166" s="207">
        <f>SUMIFS('ноябрь 2023'!$G$76:$G$1127,'ноябрь 2023'!$D$76:$D$1127,$B166,'ноябрь 2023'!$J$76:$J$1127,U$1)</f>
        <v>0</v>
      </c>
      <c r="V166" s="207">
        <f>SUMIFS('ноябрь 2023'!$G$76:$G$1127,'ноябрь 2023'!$D$76:$D$1127,$B166,'ноябрь 2023'!$J$76:$J$1127,V$1)</f>
        <v>0</v>
      </c>
      <c r="W166" s="207">
        <f>SUMIFS('ноябрь 2023'!$G$76:$G$1127,'ноябрь 2023'!$D$76:$D$1127,$B166,'ноябрь 2023'!$J$76:$J$1127,W$1)</f>
        <v>0</v>
      </c>
      <c r="X166" s="207">
        <f>SUMIFS('ноябрь 2023'!$G$76:$G$1127,'ноябрь 2023'!$D$76:$D$1127,$B166,'ноябрь 2023'!$J$76:$J$1127,X$1)</f>
        <v>0</v>
      </c>
      <c r="Y166" s="207">
        <f>SUMIFS('ноябрь 2023'!$G$76:$G$1127,'ноябрь 2023'!$D$76:$D$1127,$B166,'ноябрь 2023'!$J$76:$J$1127,Y$1)</f>
        <v>0</v>
      </c>
      <c r="Z166" s="207">
        <f>SUMIFS('ноябрь 2023'!$G$76:$G$1127,'ноябрь 2023'!$D$76:$D$1127,$B166,'ноябрь 2023'!$J$76:$J$1127,Z$1)</f>
        <v>0</v>
      </c>
      <c r="AA166" s="207">
        <f>SUMIFS('ноябрь 2023'!$G$76:$G$1127,'ноябрь 2023'!$D$76:$D$1127,$B166,'ноябрь 2023'!$J$76:$J$1127,AA$1)</f>
        <v>0</v>
      </c>
      <c r="AB166" s="207">
        <f>SUMIFS('ноябрь 2023'!$G$76:$G$1127,'ноябрь 2023'!$D$76:$D$1127,$B166,'ноябрь 2023'!$J$76:$J$1127,AB$1)</f>
        <v>0</v>
      </c>
      <c r="AC166" s="207">
        <f>SUMIFS('ноябрь 2023'!$G$76:$G$1127,'ноябрь 2023'!$D$76:$D$1127,$B166,'ноябрь 2023'!$J$76:$J$1127,AC$1)</f>
        <v>0</v>
      </c>
      <c r="AD166" s="207">
        <f>SUMIFS('ноябрь 2023'!$G$76:$G$1127,'ноябрь 2023'!$D$76:$D$1127,$B166,'ноябрь 2023'!$J$76:$J$1127,AD$1)</f>
        <v>0</v>
      </c>
      <c r="AE166" s="207">
        <f>SUMIFS('ноябрь 2023'!$G$76:$G$1127,'ноябрь 2023'!$D$76:$D$1127,$B166,'ноябрь 2023'!$J$76:$J$1127,AE$1)</f>
        <v>0</v>
      </c>
      <c r="AF166" s="207">
        <f>SUMIFS('ноябрь 2023'!$G$76:$G$1127,'ноябрь 2023'!$D$76:$D$1127,$B166,'ноябрь 2023'!$J$76:$J$1127,AF$1)</f>
        <v>0</v>
      </c>
      <c r="AG166" s="207">
        <f>SUMIFS('ноябрь 2023'!$G$76:$G$1127,'ноябрь 2023'!$D$76:$D$1127,$B166,'ноябрь 2023'!$J$76:$J$1127,AG$1)</f>
        <v>0</v>
      </c>
      <c r="AH166" s="207">
        <f>SUMIFS('ноябрь 2023'!$G$76:$G$1127,'ноябрь 2023'!$D$76:$D$1127,$B166,'ноябрь 2023'!$J$76:$J$1127,AH$1)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SUMIFS('ноябрь 2023'!$G$76:$G$1127,'ноябрь 2023'!$D$76:$D$1127,$B167,'ноябрь 2023'!$J$76:$J$1127,D$1)</f>
        <v>0</v>
      </c>
      <c r="E167" s="207">
        <f>SUMIFS('ноябрь 2023'!$G$76:$G$1127,'ноябрь 2023'!$D$76:$D$1127,$B167,'ноябрь 2023'!$J$76:$J$1127,E$1)</f>
        <v>0</v>
      </c>
      <c r="F167" s="207">
        <f>SUMIFS('ноябрь 2023'!$G$76:$G$1127,'ноябрь 2023'!$D$76:$D$1127,$B167,'ноябрь 2023'!$J$76:$J$1127,F$1)</f>
        <v>0</v>
      </c>
      <c r="G167" s="207">
        <f>SUMIFS('ноябрь 2023'!$G$76:$G$1127,'ноябрь 2023'!$D$76:$D$1127,$B167,'ноябрь 2023'!$J$76:$J$1127,G$1)</f>
        <v>0</v>
      </c>
      <c r="H167" s="207">
        <f>SUMIFS('ноябрь 2023'!$G$76:$G$1127,'ноябрь 2023'!$D$76:$D$1127,$B167,'ноябрь 2023'!$J$76:$J$1127,H$1)</f>
        <v>0</v>
      </c>
      <c r="I167" s="207">
        <f>SUMIFS('ноябрь 2023'!$G$76:$G$1127,'ноябрь 2023'!$D$76:$D$1127,$B167,'ноябрь 2023'!$J$76:$J$1127,I$1)</f>
        <v>0</v>
      </c>
      <c r="J167" s="207">
        <f>SUMIFS('ноябрь 2023'!$G$76:$G$1127,'ноябрь 2023'!$D$76:$D$1127,$B167,'ноябрь 2023'!$J$76:$J$1127,J$1)</f>
        <v>0</v>
      </c>
      <c r="K167" s="207">
        <f>SUMIFS('ноябрь 2023'!$G$76:$G$1127,'ноябрь 2023'!$D$76:$D$1127,$B167,'ноябрь 2023'!$J$76:$J$1127,K$1)</f>
        <v>0</v>
      </c>
      <c r="L167" s="207">
        <f>SUMIFS('ноябрь 2023'!$G$76:$G$1127,'ноябрь 2023'!$D$76:$D$1127,$B167,'ноябрь 2023'!$J$76:$J$1127,L$1)</f>
        <v>0</v>
      </c>
      <c r="M167" s="207">
        <f>SUMIFS('ноябрь 2023'!$G$76:$G$1127,'ноябрь 2023'!$D$76:$D$1127,$B167,'ноябрь 2023'!$J$76:$J$1127,M$1)</f>
        <v>0</v>
      </c>
      <c r="N167" s="207">
        <f>SUMIFS('ноябрь 2023'!$G$76:$G$1127,'ноябрь 2023'!$D$76:$D$1127,$B167,'ноябрь 2023'!$J$76:$J$1127,N$1)</f>
        <v>0</v>
      </c>
      <c r="O167" s="207">
        <f>SUMIFS('ноябрь 2023'!$G$76:$G$1127,'ноябрь 2023'!$D$76:$D$1127,$B167,'ноябрь 2023'!$J$76:$J$1127,O$1)</f>
        <v>0</v>
      </c>
      <c r="P167" s="207">
        <f>SUMIFS('ноябрь 2023'!$G$76:$G$1127,'ноябрь 2023'!$D$76:$D$1127,$B167,'ноябрь 2023'!$J$76:$J$1127,P$1)</f>
        <v>0</v>
      </c>
      <c r="Q167" s="207">
        <f>SUMIFS('ноябрь 2023'!$G$76:$G$1127,'ноябрь 2023'!$D$76:$D$1127,$B167,'ноябрь 2023'!$J$76:$J$1127,Q$1)</f>
        <v>0</v>
      </c>
      <c r="R167" s="207">
        <f>SUMIFS('ноябрь 2023'!$G$76:$G$1127,'ноябрь 2023'!$D$76:$D$1127,$B167,'ноябрь 2023'!$J$76:$J$1127,R$1)</f>
        <v>0</v>
      </c>
      <c r="S167" s="207">
        <f>SUMIFS('ноябрь 2023'!$G$76:$G$1127,'ноябрь 2023'!$D$76:$D$1127,$B167,'ноябрь 2023'!$J$76:$J$1127,S$1)</f>
        <v>0</v>
      </c>
      <c r="T167" s="207">
        <f>SUMIFS('ноябрь 2023'!$G$76:$G$1127,'ноябрь 2023'!$D$76:$D$1127,$B167,'ноябрь 2023'!$J$76:$J$1127,T$1)</f>
        <v>0</v>
      </c>
      <c r="U167" s="207">
        <f>SUMIFS('ноябрь 2023'!$G$76:$G$1127,'ноябрь 2023'!$D$76:$D$1127,$B167,'ноябрь 2023'!$J$76:$J$1127,U$1)</f>
        <v>0</v>
      </c>
      <c r="V167" s="207">
        <f>SUMIFS('ноябрь 2023'!$G$76:$G$1127,'ноябрь 2023'!$D$76:$D$1127,$B167,'ноябрь 2023'!$J$76:$J$1127,V$1)</f>
        <v>0</v>
      </c>
      <c r="W167" s="207">
        <f>SUMIFS('ноябрь 2023'!$G$76:$G$1127,'ноябрь 2023'!$D$76:$D$1127,$B167,'ноябрь 2023'!$J$76:$J$1127,W$1)</f>
        <v>0</v>
      </c>
      <c r="X167" s="207">
        <f>SUMIFS('ноябрь 2023'!$G$76:$G$1127,'ноябрь 2023'!$D$76:$D$1127,$B167,'ноябрь 2023'!$J$76:$J$1127,X$1)</f>
        <v>0</v>
      </c>
      <c r="Y167" s="207">
        <f>SUMIFS('ноябрь 2023'!$G$76:$G$1127,'ноябрь 2023'!$D$76:$D$1127,$B167,'ноябрь 2023'!$J$76:$J$1127,Y$1)</f>
        <v>0</v>
      </c>
      <c r="Z167" s="207">
        <f>SUMIFS('ноябрь 2023'!$G$76:$G$1127,'ноябрь 2023'!$D$76:$D$1127,$B167,'ноябрь 2023'!$J$76:$J$1127,Z$1)</f>
        <v>0</v>
      </c>
      <c r="AA167" s="207">
        <f>SUMIFS('ноябрь 2023'!$G$76:$G$1127,'ноябрь 2023'!$D$76:$D$1127,$B167,'ноябрь 2023'!$J$76:$J$1127,AA$1)</f>
        <v>0</v>
      </c>
      <c r="AB167" s="207">
        <f>SUMIFS('ноябрь 2023'!$G$76:$G$1127,'ноябрь 2023'!$D$76:$D$1127,$B167,'ноябрь 2023'!$J$76:$J$1127,AB$1)</f>
        <v>0</v>
      </c>
      <c r="AC167" s="207">
        <f>SUMIFS('ноябрь 2023'!$G$76:$G$1127,'ноябрь 2023'!$D$76:$D$1127,$B167,'ноябрь 2023'!$J$76:$J$1127,AC$1)</f>
        <v>0</v>
      </c>
      <c r="AD167" s="207">
        <f>SUMIFS('ноябрь 2023'!$G$76:$G$1127,'ноябрь 2023'!$D$76:$D$1127,$B167,'ноябрь 2023'!$J$76:$J$1127,AD$1)</f>
        <v>0</v>
      </c>
      <c r="AE167" s="207">
        <f>SUMIFS('ноябрь 2023'!$G$76:$G$1127,'ноябрь 2023'!$D$76:$D$1127,$B167,'ноябрь 2023'!$J$76:$J$1127,AE$1)</f>
        <v>0</v>
      </c>
      <c r="AF167" s="207">
        <f>SUMIFS('ноябрь 2023'!$G$76:$G$1127,'ноябрь 2023'!$D$76:$D$1127,$B167,'ноябрь 2023'!$J$76:$J$1127,AF$1)</f>
        <v>0</v>
      </c>
      <c r="AG167" s="207">
        <f>SUMIFS('ноябрь 2023'!$G$76:$G$1127,'ноябрь 2023'!$D$76:$D$1127,$B167,'ноябрь 2023'!$J$76:$J$1127,AG$1)</f>
        <v>0</v>
      </c>
      <c r="AH167" s="207">
        <f>SUMIFS('ноябрь 2023'!$G$76:$G$1127,'ноябрь 2023'!$D$76:$D$1127,$B167,'ноябрь 2023'!$J$76:$J$1127,AH$1)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SUMIFS('ноябрь 2023'!$G$76:$G$1127,'ноябрь 2023'!$D$76:$D$1127,$B168,'ноябрь 2023'!$J$76:$J$1127,D$1)</f>
        <v>0</v>
      </c>
      <c r="E168" s="207">
        <f>SUMIFS('ноябрь 2023'!$G$76:$G$1127,'ноябрь 2023'!$D$76:$D$1127,$B168,'ноябрь 2023'!$J$76:$J$1127,E$1)</f>
        <v>0</v>
      </c>
      <c r="F168" s="207">
        <f>SUMIFS('ноябрь 2023'!$G$76:$G$1127,'ноябрь 2023'!$D$76:$D$1127,$B168,'ноябрь 2023'!$J$76:$J$1127,F$1)</f>
        <v>0</v>
      </c>
      <c r="G168" s="207">
        <f>SUMIFS('ноябрь 2023'!$G$76:$G$1127,'ноябрь 2023'!$D$76:$D$1127,$B168,'ноябрь 2023'!$J$76:$J$1127,G$1)</f>
        <v>0</v>
      </c>
      <c r="H168" s="207">
        <f>SUMIFS('ноябрь 2023'!$G$76:$G$1127,'ноябрь 2023'!$D$76:$D$1127,$B168,'ноябрь 2023'!$J$76:$J$1127,H$1)</f>
        <v>0</v>
      </c>
      <c r="I168" s="207">
        <f>SUMIFS('ноябрь 2023'!$G$76:$G$1127,'ноябрь 2023'!$D$76:$D$1127,$B168,'ноябрь 2023'!$J$76:$J$1127,I$1)</f>
        <v>0</v>
      </c>
      <c r="J168" s="207">
        <f>SUMIFS('ноябрь 2023'!$G$76:$G$1127,'ноябрь 2023'!$D$76:$D$1127,$B168,'ноябрь 2023'!$J$76:$J$1127,J$1)</f>
        <v>0</v>
      </c>
      <c r="K168" s="207">
        <f>SUMIFS('ноябрь 2023'!$G$76:$G$1127,'ноябрь 2023'!$D$76:$D$1127,$B168,'ноябрь 2023'!$J$76:$J$1127,K$1)</f>
        <v>0</v>
      </c>
      <c r="L168" s="207">
        <f>SUMIFS('ноябрь 2023'!$G$76:$G$1127,'ноябрь 2023'!$D$76:$D$1127,$B168,'ноябрь 2023'!$J$76:$J$1127,L$1)</f>
        <v>0</v>
      </c>
      <c r="M168" s="207">
        <f>SUMIFS('ноябрь 2023'!$G$76:$G$1127,'ноябрь 2023'!$D$76:$D$1127,$B168,'ноябрь 2023'!$J$76:$J$1127,M$1)</f>
        <v>0</v>
      </c>
      <c r="N168" s="207">
        <f>SUMIFS('ноябрь 2023'!$G$76:$G$1127,'ноябрь 2023'!$D$76:$D$1127,$B168,'ноябрь 2023'!$J$76:$J$1127,N$1)</f>
        <v>0</v>
      </c>
      <c r="O168" s="207">
        <f>SUMIFS('ноябрь 2023'!$G$76:$G$1127,'ноябрь 2023'!$D$76:$D$1127,$B168,'ноябрь 2023'!$J$76:$J$1127,O$1)</f>
        <v>0</v>
      </c>
      <c r="P168" s="207">
        <f>SUMIFS('ноябрь 2023'!$G$76:$G$1127,'ноябрь 2023'!$D$76:$D$1127,$B168,'ноябрь 2023'!$J$76:$J$1127,P$1)</f>
        <v>0</v>
      </c>
      <c r="Q168" s="207">
        <f>SUMIFS('ноябрь 2023'!$G$76:$G$1127,'ноябрь 2023'!$D$76:$D$1127,$B168,'ноябрь 2023'!$J$76:$J$1127,Q$1)</f>
        <v>0</v>
      </c>
      <c r="R168" s="207">
        <f>SUMIFS('ноябрь 2023'!$G$76:$G$1127,'ноябрь 2023'!$D$76:$D$1127,$B168,'ноябрь 2023'!$J$76:$J$1127,R$1)</f>
        <v>0</v>
      </c>
      <c r="S168" s="207">
        <f>SUMIFS('ноябрь 2023'!$G$76:$G$1127,'ноябрь 2023'!$D$76:$D$1127,$B168,'ноябрь 2023'!$J$76:$J$1127,S$1)</f>
        <v>0</v>
      </c>
      <c r="T168" s="207">
        <f>SUMIFS('ноябрь 2023'!$G$76:$G$1127,'ноябрь 2023'!$D$76:$D$1127,$B168,'ноябрь 2023'!$J$76:$J$1127,T$1)</f>
        <v>0</v>
      </c>
      <c r="U168" s="207">
        <f>SUMIFS('ноябрь 2023'!$G$76:$G$1127,'ноябрь 2023'!$D$76:$D$1127,$B168,'ноябрь 2023'!$J$76:$J$1127,U$1)</f>
        <v>0</v>
      </c>
      <c r="V168" s="207">
        <f>SUMIFS('ноябрь 2023'!$G$76:$G$1127,'ноябрь 2023'!$D$76:$D$1127,$B168,'ноябрь 2023'!$J$76:$J$1127,V$1)</f>
        <v>0</v>
      </c>
      <c r="W168" s="207">
        <f>SUMIFS('ноябрь 2023'!$G$76:$G$1127,'ноябрь 2023'!$D$76:$D$1127,$B168,'ноябрь 2023'!$J$76:$J$1127,W$1)</f>
        <v>0</v>
      </c>
      <c r="X168" s="207">
        <f>SUMIFS('ноябрь 2023'!$G$76:$G$1127,'ноябрь 2023'!$D$76:$D$1127,$B168,'ноябрь 2023'!$J$76:$J$1127,X$1)</f>
        <v>0</v>
      </c>
      <c r="Y168" s="207">
        <f>SUMIFS('ноябрь 2023'!$G$76:$G$1127,'ноябрь 2023'!$D$76:$D$1127,$B168,'ноябрь 2023'!$J$76:$J$1127,Y$1)</f>
        <v>0</v>
      </c>
      <c r="Z168" s="207">
        <f>SUMIFS('ноябрь 2023'!$G$76:$G$1127,'ноябрь 2023'!$D$76:$D$1127,$B168,'ноябрь 2023'!$J$76:$J$1127,Z$1)</f>
        <v>0</v>
      </c>
      <c r="AA168" s="207">
        <f>SUMIFS('ноябрь 2023'!$G$76:$G$1127,'ноябрь 2023'!$D$76:$D$1127,$B168,'ноябрь 2023'!$J$76:$J$1127,AA$1)</f>
        <v>0</v>
      </c>
      <c r="AB168" s="207">
        <f>SUMIFS('ноябрь 2023'!$G$76:$G$1127,'ноябрь 2023'!$D$76:$D$1127,$B168,'ноябрь 2023'!$J$76:$J$1127,AB$1)</f>
        <v>0</v>
      </c>
      <c r="AC168" s="207">
        <f>SUMIFS('ноябрь 2023'!$G$76:$G$1127,'ноябрь 2023'!$D$76:$D$1127,$B168,'ноябрь 2023'!$J$76:$J$1127,AC$1)</f>
        <v>0</v>
      </c>
      <c r="AD168" s="207">
        <f>SUMIFS('ноябрь 2023'!$G$76:$G$1127,'ноябрь 2023'!$D$76:$D$1127,$B168,'ноябрь 2023'!$J$76:$J$1127,AD$1)</f>
        <v>0</v>
      </c>
      <c r="AE168" s="207">
        <f>SUMIFS('ноябрь 2023'!$G$76:$G$1127,'ноябрь 2023'!$D$76:$D$1127,$B168,'ноябрь 2023'!$J$76:$J$1127,AE$1)</f>
        <v>0</v>
      </c>
      <c r="AF168" s="207">
        <f>SUMIFS('ноябрь 2023'!$G$76:$G$1127,'ноябрь 2023'!$D$76:$D$1127,$B168,'ноябрь 2023'!$J$76:$J$1127,AF$1)</f>
        <v>0</v>
      </c>
      <c r="AG168" s="207">
        <f>SUMIFS('ноябрь 2023'!$G$76:$G$1127,'ноябрь 2023'!$D$76:$D$1127,$B168,'ноябрь 2023'!$J$76:$J$1127,AG$1)</f>
        <v>0</v>
      </c>
      <c r="AH168" s="207">
        <f>SUMIFS('ноябрь 2023'!$G$76:$G$1127,'ноябрь 2023'!$D$76:$D$1127,$B168,'ноябрь 2023'!$J$76:$J$1127,AH$1)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SUMIFS('ноябрь 2023'!$G$76:$G$1127,'ноябрь 2023'!$D$76:$D$1127,$B169,'ноябрь 2023'!$J$76:$J$1127,D$1)</f>
        <v>0</v>
      </c>
      <c r="E169" s="207">
        <f>SUMIFS('ноябрь 2023'!$G$76:$G$1127,'ноябрь 2023'!$D$76:$D$1127,$B169,'ноябрь 2023'!$J$76:$J$1127,E$1)</f>
        <v>0</v>
      </c>
      <c r="F169" s="207">
        <f>SUMIFS('ноябрь 2023'!$G$76:$G$1127,'ноябрь 2023'!$D$76:$D$1127,$B169,'ноябрь 2023'!$J$76:$J$1127,F$1)</f>
        <v>0</v>
      </c>
      <c r="G169" s="207">
        <f>SUMIFS('ноябрь 2023'!$G$76:$G$1127,'ноябрь 2023'!$D$76:$D$1127,$B169,'ноябрь 2023'!$J$76:$J$1127,G$1)</f>
        <v>0</v>
      </c>
      <c r="H169" s="207">
        <f>SUMIFS('ноябрь 2023'!$G$76:$G$1127,'ноябрь 2023'!$D$76:$D$1127,$B169,'ноябрь 2023'!$J$76:$J$1127,H$1)</f>
        <v>0</v>
      </c>
      <c r="I169" s="207">
        <f>SUMIFS('ноябрь 2023'!$G$76:$G$1127,'ноябрь 2023'!$D$76:$D$1127,$B169,'ноябрь 2023'!$J$76:$J$1127,I$1)</f>
        <v>0</v>
      </c>
      <c r="J169" s="207">
        <f>SUMIFS('ноябрь 2023'!$G$76:$G$1127,'ноябрь 2023'!$D$76:$D$1127,$B169,'ноябрь 2023'!$J$76:$J$1127,J$1)</f>
        <v>0</v>
      </c>
      <c r="K169" s="207">
        <f>SUMIFS('ноябрь 2023'!$G$76:$G$1127,'ноябрь 2023'!$D$76:$D$1127,$B169,'ноябрь 2023'!$J$76:$J$1127,K$1)</f>
        <v>0</v>
      </c>
      <c r="L169" s="207">
        <f>SUMIFS('ноябрь 2023'!$G$76:$G$1127,'ноябрь 2023'!$D$76:$D$1127,$B169,'ноябрь 2023'!$J$76:$J$1127,L$1)</f>
        <v>0</v>
      </c>
      <c r="M169" s="207">
        <f>SUMIFS('ноябрь 2023'!$G$76:$G$1127,'ноябрь 2023'!$D$76:$D$1127,$B169,'ноябрь 2023'!$J$76:$J$1127,M$1)</f>
        <v>0</v>
      </c>
      <c r="N169" s="207">
        <f>SUMIFS('ноябрь 2023'!$G$76:$G$1127,'ноябрь 2023'!$D$76:$D$1127,$B169,'ноябрь 2023'!$J$76:$J$1127,N$1)</f>
        <v>0</v>
      </c>
      <c r="O169" s="207">
        <f>SUMIFS('ноябрь 2023'!$G$76:$G$1127,'ноябрь 2023'!$D$76:$D$1127,$B169,'ноябрь 2023'!$J$76:$J$1127,O$1)</f>
        <v>0</v>
      </c>
      <c r="P169" s="207">
        <f>SUMIFS('ноябрь 2023'!$G$76:$G$1127,'ноябрь 2023'!$D$76:$D$1127,$B169,'ноябрь 2023'!$J$76:$J$1127,P$1)</f>
        <v>0</v>
      </c>
      <c r="Q169" s="207">
        <f>SUMIFS('ноябрь 2023'!$G$76:$G$1127,'ноябрь 2023'!$D$76:$D$1127,$B169,'ноябрь 2023'!$J$76:$J$1127,Q$1)</f>
        <v>0</v>
      </c>
      <c r="R169" s="207">
        <f>SUMIFS('ноябрь 2023'!$G$76:$G$1127,'ноябрь 2023'!$D$76:$D$1127,$B169,'ноябрь 2023'!$J$76:$J$1127,R$1)</f>
        <v>0</v>
      </c>
      <c r="S169" s="207">
        <f>SUMIFS('ноябрь 2023'!$G$76:$G$1127,'ноябрь 2023'!$D$76:$D$1127,$B169,'ноябрь 2023'!$J$76:$J$1127,S$1)</f>
        <v>0</v>
      </c>
      <c r="T169" s="207">
        <f>SUMIFS('ноябрь 2023'!$G$76:$G$1127,'ноябрь 2023'!$D$76:$D$1127,$B169,'ноябрь 2023'!$J$76:$J$1127,T$1)</f>
        <v>0</v>
      </c>
      <c r="U169" s="207">
        <f>SUMIFS('ноябрь 2023'!$G$76:$G$1127,'ноябрь 2023'!$D$76:$D$1127,$B169,'ноябрь 2023'!$J$76:$J$1127,U$1)</f>
        <v>0</v>
      </c>
      <c r="V169" s="207">
        <f>SUMIFS('ноябрь 2023'!$G$76:$G$1127,'ноябрь 2023'!$D$76:$D$1127,$B169,'ноябрь 2023'!$J$76:$J$1127,V$1)</f>
        <v>0</v>
      </c>
      <c r="W169" s="207">
        <f>SUMIFS('ноябрь 2023'!$G$76:$G$1127,'ноябрь 2023'!$D$76:$D$1127,$B169,'ноябрь 2023'!$J$76:$J$1127,W$1)</f>
        <v>0</v>
      </c>
      <c r="X169" s="207">
        <f>SUMIFS('ноябрь 2023'!$G$76:$G$1127,'ноябрь 2023'!$D$76:$D$1127,$B169,'ноябрь 2023'!$J$76:$J$1127,X$1)</f>
        <v>0</v>
      </c>
      <c r="Y169" s="207">
        <f>SUMIFS('ноябрь 2023'!$G$76:$G$1127,'ноябрь 2023'!$D$76:$D$1127,$B169,'ноябрь 2023'!$J$76:$J$1127,Y$1)</f>
        <v>0</v>
      </c>
      <c r="Z169" s="207">
        <f>SUMIFS('ноябрь 2023'!$G$76:$G$1127,'ноябрь 2023'!$D$76:$D$1127,$B169,'ноябрь 2023'!$J$76:$J$1127,Z$1)</f>
        <v>0</v>
      </c>
      <c r="AA169" s="207">
        <f>SUMIFS('ноябрь 2023'!$G$76:$G$1127,'ноябрь 2023'!$D$76:$D$1127,$B169,'ноябрь 2023'!$J$76:$J$1127,AA$1)</f>
        <v>0</v>
      </c>
      <c r="AB169" s="207">
        <f>SUMIFS('ноябрь 2023'!$G$76:$G$1127,'ноябрь 2023'!$D$76:$D$1127,$B169,'ноябрь 2023'!$J$76:$J$1127,AB$1)</f>
        <v>0</v>
      </c>
      <c r="AC169" s="207">
        <f>SUMIFS('ноябрь 2023'!$G$76:$G$1127,'ноябрь 2023'!$D$76:$D$1127,$B169,'ноябрь 2023'!$J$76:$J$1127,AC$1)</f>
        <v>0</v>
      </c>
      <c r="AD169" s="207">
        <f>SUMIFS('ноябрь 2023'!$G$76:$G$1127,'ноябрь 2023'!$D$76:$D$1127,$B169,'ноябрь 2023'!$J$76:$J$1127,AD$1)</f>
        <v>0</v>
      </c>
      <c r="AE169" s="207">
        <f>SUMIFS('ноябрь 2023'!$G$76:$G$1127,'ноябрь 2023'!$D$76:$D$1127,$B169,'ноябрь 2023'!$J$76:$J$1127,AE$1)</f>
        <v>0</v>
      </c>
      <c r="AF169" s="207">
        <f>SUMIFS('ноябрь 2023'!$G$76:$G$1127,'ноябрь 2023'!$D$76:$D$1127,$B169,'ноябрь 2023'!$J$76:$J$1127,AF$1)</f>
        <v>0</v>
      </c>
      <c r="AG169" s="207">
        <f>SUMIFS('ноябрь 2023'!$G$76:$G$1127,'ноябрь 2023'!$D$76:$D$1127,$B169,'ноябрь 2023'!$J$76:$J$1127,AG$1)</f>
        <v>0</v>
      </c>
      <c r="AH169" s="207">
        <f>SUMIFS('ноябрь 2023'!$G$76:$G$1127,'ноябрь 2023'!$D$76:$D$1127,$B169,'ноябрь 2023'!$J$76:$J$1127,AH$1)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SUMIFS('ноябрь 2023'!$G$76:$G$1127,'ноябрь 2023'!$D$76:$D$1127,$B170,'ноябрь 2023'!$J$76:$J$1127,D$1)</f>
        <v>0</v>
      </c>
      <c r="E170" s="207">
        <f>SUMIFS('ноябрь 2023'!$G$76:$G$1127,'ноябрь 2023'!$D$76:$D$1127,$B170,'ноябрь 2023'!$J$76:$J$1127,E$1)</f>
        <v>0</v>
      </c>
      <c r="F170" s="207">
        <f>SUMIFS('ноябрь 2023'!$G$76:$G$1127,'ноябрь 2023'!$D$76:$D$1127,$B170,'ноябрь 2023'!$J$76:$J$1127,F$1)</f>
        <v>0</v>
      </c>
      <c r="G170" s="207">
        <f>SUMIFS('ноябрь 2023'!$G$76:$G$1127,'ноябрь 2023'!$D$76:$D$1127,$B170,'ноябрь 2023'!$J$76:$J$1127,G$1)</f>
        <v>0</v>
      </c>
      <c r="H170" s="207">
        <f>SUMIFS('ноябрь 2023'!$G$76:$G$1127,'ноябрь 2023'!$D$76:$D$1127,$B170,'ноябрь 2023'!$J$76:$J$1127,H$1)</f>
        <v>0</v>
      </c>
      <c r="I170" s="207">
        <f>SUMIFS('ноябрь 2023'!$G$76:$G$1127,'ноябрь 2023'!$D$76:$D$1127,$B170,'ноябрь 2023'!$J$76:$J$1127,I$1)</f>
        <v>0</v>
      </c>
      <c r="J170" s="207">
        <f>SUMIFS('ноябрь 2023'!$G$76:$G$1127,'ноябрь 2023'!$D$76:$D$1127,$B170,'ноябрь 2023'!$J$76:$J$1127,J$1)</f>
        <v>0</v>
      </c>
      <c r="K170" s="207">
        <f>SUMIFS('ноябрь 2023'!$G$76:$G$1127,'ноябрь 2023'!$D$76:$D$1127,$B170,'ноябрь 2023'!$J$76:$J$1127,K$1)</f>
        <v>0</v>
      </c>
      <c r="L170" s="207">
        <f>SUMIFS('ноябрь 2023'!$G$76:$G$1127,'ноябрь 2023'!$D$76:$D$1127,$B170,'ноябрь 2023'!$J$76:$J$1127,L$1)</f>
        <v>0</v>
      </c>
      <c r="M170" s="207">
        <f>SUMIFS('ноябрь 2023'!$G$76:$G$1127,'ноябрь 2023'!$D$76:$D$1127,$B170,'ноябрь 2023'!$J$76:$J$1127,M$1)</f>
        <v>0</v>
      </c>
      <c r="N170" s="207">
        <f>SUMIFS('ноябрь 2023'!$G$76:$G$1127,'ноябрь 2023'!$D$76:$D$1127,$B170,'ноябрь 2023'!$J$76:$J$1127,N$1)</f>
        <v>0</v>
      </c>
      <c r="O170" s="207">
        <f>SUMIFS('ноябрь 2023'!$G$76:$G$1127,'ноябрь 2023'!$D$76:$D$1127,$B170,'ноябрь 2023'!$J$76:$J$1127,O$1)</f>
        <v>0</v>
      </c>
      <c r="P170" s="207">
        <f>SUMIFS('ноябрь 2023'!$G$76:$G$1127,'ноябрь 2023'!$D$76:$D$1127,$B170,'ноябрь 2023'!$J$76:$J$1127,P$1)</f>
        <v>0</v>
      </c>
      <c r="Q170" s="207">
        <f>SUMIFS('ноябрь 2023'!$G$76:$G$1127,'ноябрь 2023'!$D$76:$D$1127,$B170,'ноябрь 2023'!$J$76:$J$1127,Q$1)</f>
        <v>0</v>
      </c>
      <c r="R170" s="207">
        <f>SUMIFS('ноябрь 2023'!$G$76:$G$1127,'ноябрь 2023'!$D$76:$D$1127,$B170,'ноябрь 2023'!$J$76:$J$1127,R$1)</f>
        <v>0</v>
      </c>
      <c r="S170" s="207">
        <f>SUMIFS('ноябрь 2023'!$G$76:$G$1127,'ноябрь 2023'!$D$76:$D$1127,$B170,'ноябрь 2023'!$J$76:$J$1127,S$1)</f>
        <v>0</v>
      </c>
      <c r="T170" s="207">
        <f>SUMIFS('ноябрь 2023'!$G$76:$G$1127,'ноябрь 2023'!$D$76:$D$1127,$B170,'ноябрь 2023'!$J$76:$J$1127,T$1)</f>
        <v>0</v>
      </c>
      <c r="U170" s="207">
        <f>SUMIFS('ноябрь 2023'!$G$76:$G$1127,'ноябрь 2023'!$D$76:$D$1127,$B170,'ноябрь 2023'!$J$76:$J$1127,U$1)</f>
        <v>0</v>
      </c>
      <c r="V170" s="207">
        <f>SUMIFS('ноябрь 2023'!$G$76:$G$1127,'ноябрь 2023'!$D$76:$D$1127,$B170,'ноябрь 2023'!$J$76:$J$1127,V$1)</f>
        <v>0</v>
      </c>
      <c r="W170" s="207">
        <f>SUMIFS('ноябрь 2023'!$G$76:$G$1127,'ноябрь 2023'!$D$76:$D$1127,$B170,'ноябрь 2023'!$J$76:$J$1127,W$1)</f>
        <v>0</v>
      </c>
      <c r="X170" s="207">
        <f>SUMIFS('ноябрь 2023'!$G$76:$G$1127,'ноябрь 2023'!$D$76:$D$1127,$B170,'ноябрь 2023'!$J$76:$J$1127,X$1)</f>
        <v>0</v>
      </c>
      <c r="Y170" s="207">
        <f>SUMIFS('ноябрь 2023'!$G$76:$G$1127,'ноябрь 2023'!$D$76:$D$1127,$B170,'ноябрь 2023'!$J$76:$J$1127,Y$1)</f>
        <v>0</v>
      </c>
      <c r="Z170" s="207">
        <f>SUMIFS('ноябрь 2023'!$G$76:$G$1127,'ноябрь 2023'!$D$76:$D$1127,$B170,'ноябрь 2023'!$J$76:$J$1127,Z$1)</f>
        <v>0</v>
      </c>
      <c r="AA170" s="207">
        <f>SUMIFS('ноябрь 2023'!$G$76:$G$1127,'ноябрь 2023'!$D$76:$D$1127,$B170,'ноябрь 2023'!$J$76:$J$1127,AA$1)</f>
        <v>0</v>
      </c>
      <c r="AB170" s="207">
        <f>SUMIFS('ноябрь 2023'!$G$76:$G$1127,'ноябрь 2023'!$D$76:$D$1127,$B170,'ноябрь 2023'!$J$76:$J$1127,AB$1)</f>
        <v>0</v>
      </c>
      <c r="AC170" s="207">
        <f>SUMIFS('ноябрь 2023'!$G$76:$G$1127,'ноябрь 2023'!$D$76:$D$1127,$B170,'ноябрь 2023'!$J$76:$J$1127,AC$1)</f>
        <v>0</v>
      </c>
      <c r="AD170" s="207">
        <f>SUMIFS('ноябрь 2023'!$G$76:$G$1127,'ноябрь 2023'!$D$76:$D$1127,$B170,'ноябрь 2023'!$J$76:$J$1127,AD$1)</f>
        <v>0</v>
      </c>
      <c r="AE170" s="207">
        <f>SUMIFS('ноябрь 2023'!$G$76:$G$1127,'ноябрь 2023'!$D$76:$D$1127,$B170,'ноябрь 2023'!$J$76:$J$1127,AE$1)</f>
        <v>0</v>
      </c>
      <c r="AF170" s="207">
        <f>SUMIFS('ноябрь 2023'!$G$76:$G$1127,'ноябрь 2023'!$D$76:$D$1127,$B170,'ноябрь 2023'!$J$76:$J$1127,AF$1)</f>
        <v>0</v>
      </c>
      <c r="AG170" s="207">
        <f>SUMIFS('ноябрь 2023'!$G$76:$G$1127,'ноябрь 2023'!$D$76:$D$1127,$B170,'ноябрь 2023'!$J$76:$J$1127,AG$1)</f>
        <v>0</v>
      </c>
      <c r="AH170" s="207">
        <f>SUMIFS('ноябрь 2023'!$G$76:$G$1127,'ноябрь 2023'!$D$76:$D$1127,$B170,'ноябрь 2023'!$J$76:$J$1127,AH$1)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SUMIFS('ноябрь 2023'!$G$76:$G$1127,'ноябрь 2023'!$D$76:$D$1127,$B171,'ноябрь 2023'!$J$76:$J$1127,D$1)</f>
        <v>0</v>
      </c>
      <c r="E171" s="207">
        <f>SUMIFS('ноябрь 2023'!$G$76:$G$1127,'ноябрь 2023'!$D$76:$D$1127,$B171,'ноябрь 2023'!$J$76:$J$1127,E$1)</f>
        <v>0</v>
      </c>
      <c r="F171" s="207">
        <f>SUMIFS('ноябрь 2023'!$G$76:$G$1127,'ноябрь 2023'!$D$76:$D$1127,$B171,'ноябрь 2023'!$J$76:$J$1127,F$1)</f>
        <v>0</v>
      </c>
      <c r="G171" s="207">
        <f>SUMIFS('ноябрь 2023'!$G$76:$G$1127,'ноябрь 2023'!$D$76:$D$1127,$B171,'ноябрь 2023'!$J$76:$J$1127,G$1)</f>
        <v>0</v>
      </c>
      <c r="H171" s="207">
        <f>SUMIFS('ноябрь 2023'!$G$76:$G$1127,'ноябрь 2023'!$D$76:$D$1127,$B171,'ноябрь 2023'!$J$76:$J$1127,H$1)</f>
        <v>0</v>
      </c>
      <c r="I171" s="207">
        <f>SUMIFS('ноябрь 2023'!$G$76:$G$1127,'ноябрь 2023'!$D$76:$D$1127,$B171,'ноябрь 2023'!$J$76:$J$1127,I$1)</f>
        <v>0</v>
      </c>
      <c r="J171" s="207">
        <f>SUMIFS('ноябрь 2023'!$G$76:$G$1127,'ноябрь 2023'!$D$76:$D$1127,$B171,'ноябрь 2023'!$J$76:$J$1127,J$1)</f>
        <v>0</v>
      </c>
      <c r="K171" s="207">
        <f>SUMIFS('ноябрь 2023'!$G$76:$G$1127,'ноябрь 2023'!$D$76:$D$1127,$B171,'ноябрь 2023'!$J$76:$J$1127,K$1)</f>
        <v>0</v>
      </c>
      <c r="L171" s="207">
        <f>SUMIFS('ноябрь 2023'!$G$76:$G$1127,'ноябрь 2023'!$D$76:$D$1127,$B171,'ноябрь 2023'!$J$76:$J$1127,L$1)</f>
        <v>0</v>
      </c>
      <c r="M171" s="207">
        <f>SUMIFS('ноябрь 2023'!$G$76:$G$1127,'ноябрь 2023'!$D$76:$D$1127,$B171,'ноябрь 2023'!$J$76:$J$1127,M$1)</f>
        <v>0</v>
      </c>
      <c r="N171" s="207">
        <f>SUMIFS('ноябрь 2023'!$G$76:$G$1127,'ноябрь 2023'!$D$76:$D$1127,$B171,'ноябрь 2023'!$J$76:$J$1127,N$1)</f>
        <v>0</v>
      </c>
      <c r="O171" s="207">
        <f>SUMIFS('ноябрь 2023'!$G$76:$G$1127,'ноябрь 2023'!$D$76:$D$1127,$B171,'ноябрь 2023'!$J$76:$J$1127,O$1)</f>
        <v>0</v>
      </c>
      <c r="P171" s="207">
        <f>SUMIFS('ноябрь 2023'!$G$76:$G$1127,'ноябрь 2023'!$D$76:$D$1127,$B171,'ноябрь 2023'!$J$76:$J$1127,P$1)</f>
        <v>0</v>
      </c>
      <c r="Q171" s="207">
        <f>SUMIFS('ноябрь 2023'!$G$76:$G$1127,'ноябрь 2023'!$D$76:$D$1127,$B171,'ноябрь 2023'!$J$76:$J$1127,Q$1)</f>
        <v>0</v>
      </c>
      <c r="R171" s="207">
        <f>SUMIFS('ноябрь 2023'!$G$76:$G$1127,'ноябрь 2023'!$D$76:$D$1127,$B171,'ноябрь 2023'!$J$76:$J$1127,R$1)</f>
        <v>0</v>
      </c>
      <c r="S171" s="207">
        <f>SUMIFS('ноябрь 2023'!$G$76:$G$1127,'ноябрь 2023'!$D$76:$D$1127,$B171,'ноябрь 2023'!$J$76:$J$1127,S$1)</f>
        <v>0</v>
      </c>
      <c r="T171" s="207">
        <f>SUMIFS('ноябрь 2023'!$G$76:$G$1127,'ноябрь 2023'!$D$76:$D$1127,$B171,'ноябрь 2023'!$J$76:$J$1127,T$1)</f>
        <v>0</v>
      </c>
      <c r="U171" s="207">
        <f>SUMIFS('ноябрь 2023'!$G$76:$G$1127,'ноябрь 2023'!$D$76:$D$1127,$B171,'ноябрь 2023'!$J$76:$J$1127,U$1)</f>
        <v>0</v>
      </c>
      <c r="V171" s="207">
        <f>SUMIFS('ноябрь 2023'!$G$76:$G$1127,'ноябрь 2023'!$D$76:$D$1127,$B171,'ноябрь 2023'!$J$76:$J$1127,V$1)</f>
        <v>0</v>
      </c>
      <c r="W171" s="207">
        <f>SUMIFS('ноябрь 2023'!$G$76:$G$1127,'ноябрь 2023'!$D$76:$D$1127,$B171,'ноябрь 2023'!$J$76:$J$1127,W$1)</f>
        <v>0</v>
      </c>
      <c r="X171" s="207">
        <f>SUMIFS('ноябрь 2023'!$G$76:$G$1127,'ноябрь 2023'!$D$76:$D$1127,$B171,'ноябрь 2023'!$J$76:$J$1127,X$1)</f>
        <v>0</v>
      </c>
      <c r="Y171" s="207">
        <f>SUMIFS('ноябрь 2023'!$G$76:$G$1127,'ноябрь 2023'!$D$76:$D$1127,$B171,'ноябрь 2023'!$J$76:$J$1127,Y$1)</f>
        <v>0</v>
      </c>
      <c r="Z171" s="207">
        <f>SUMIFS('ноябрь 2023'!$G$76:$G$1127,'ноябрь 2023'!$D$76:$D$1127,$B171,'ноябрь 2023'!$J$76:$J$1127,Z$1)</f>
        <v>0</v>
      </c>
      <c r="AA171" s="207">
        <f>SUMIFS('ноябрь 2023'!$G$76:$G$1127,'ноябрь 2023'!$D$76:$D$1127,$B171,'ноябрь 2023'!$J$76:$J$1127,AA$1)</f>
        <v>0</v>
      </c>
      <c r="AB171" s="207">
        <f>SUMIFS('ноябрь 2023'!$G$76:$G$1127,'ноябрь 2023'!$D$76:$D$1127,$B171,'ноябрь 2023'!$J$76:$J$1127,AB$1)</f>
        <v>0</v>
      </c>
      <c r="AC171" s="207">
        <f>SUMIFS('ноябрь 2023'!$G$76:$G$1127,'ноябрь 2023'!$D$76:$D$1127,$B171,'ноябрь 2023'!$J$76:$J$1127,AC$1)</f>
        <v>0</v>
      </c>
      <c r="AD171" s="207">
        <f>SUMIFS('ноябрь 2023'!$G$76:$G$1127,'ноябрь 2023'!$D$76:$D$1127,$B171,'ноябрь 2023'!$J$76:$J$1127,AD$1)</f>
        <v>0</v>
      </c>
      <c r="AE171" s="207">
        <f>SUMIFS('ноябрь 2023'!$G$76:$G$1127,'ноябрь 2023'!$D$76:$D$1127,$B171,'ноябрь 2023'!$J$76:$J$1127,AE$1)</f>
        <v>0</v>
      </c>
      <c r="AF171" s="207">
        <f>SUMIFS('ноябрь 2023'!$G$76:$G$1127,'ноябрь 2023'!$D$76:$D$1127,$B171,'ноябрь 2023'!$J$76:$J$1127,AF$1)</f>
        <v>0</v>
      </c>
      <c r="AG171" s="207">
        <f>SUMIFS('ноябрь 2023'!$G$76:$G$1127,'ноябрь 2023'!$D$76:$D$1127,$B171,'ноябрь 2023'!$J$76:$J$1127,AG$1)</f>
        <v>0</v>
      </c>
      <c r="AH171" s="207">
        <f>SUMIFS('ноябрь 2023'!$G$76:$G$1127,'ноябрь 2023'!$D$76:$D$1127,$B171,'ноябрь 2023'!$J$76:$J$1127,AH$1)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SUMIFS('ноябрь 2023'!$G$76:$G$1127,'ноябрь 2023'!$D$76:$D$1127,$B172,'ноябрь 2023'!$J$76:$J$1127,D$1)</f>
        <v>0</v>
      </c>
      <c r="E172" s="207">
        <f>SUMIFS('ноябрь 2023'!$G$76:$G$1127,'ноябрь 2023'!$D$76:$D$1127,$B172,'ноябрь 2023'!$J$76:$J$1127,E$1)</f>
        <v>0</v>
      </c>
      <c r="F172" s="207">
        <f>SUMIFS('ноябрь 2023'!$G$76:$G$1127,'ноябрь 2023'!$D$76:$D$1127,$B172,'ноябрь 2023'!$J$76:$J$1127,F$1)</f>
        <v>0</v>
      </c>
      <c r="G172" s="207">
        <f>SUMIFS('ноябрь 2023'!$G$76:$G$1127,'ноябрь 2023'!$D$76:$D$1127,$B172,'ноябрь 2023'!$J$76:$J$1127,G$1)</f>
        <v>0</v>
      </c>
      <c r="H172" s="207">
        <f>SUMIFS('ноябрь 2023'!$G$76:$G$1127,'ноябрь 2023'!$D$76:$D$1127,$B172,'ноябрь 2023'!$J$76:$J$1127,H$1)</f>
        <v>0</v>
      </c>
      <c r="I172" s="207">
        <f>SUMIFS('ноябрь 2023'!$G$76:$G$1127,'ноябрь 2023'!$D$76:$D$1127,$B172,'ноябрь 2023'!$J$76:$J$1127,I$1)</f>
        <v>0</v>
      </c>
      <c r="J172" s="207">
        <f>SUMIFS('ноябрь 2023'!$G$76:$G$1127,'ноябрь 2023'!$D$76:$D$1127,$B172,'ноябрь 2023'!$J$76:$J$1127,J$1)</f>
        <v>0</v>
      </c>
      <c r="K172" s="207">
        <f>SUMIFS('ноябрь 2023'!$G$76:$G$1127,'ноябрь 2023'!$D$76:$D$1127,$B172,'ноябрь 2023'!$J$76:$J$1127,K$1)</f>
        <v>0</v>
      </c>
      <c r="L172" s="207">
        <f>SUMIFS('ноябрь 2023'!$G$76:$G$1127,'ноябрь 2023'!$D$76:$D$1127,$B172,'ноябрь 2023'!$J$76:$J$1127,L$1)</f>
        <v>0</v>
      </c>
      <c r="M172" s="207">
        <f>SUMIFS('ноябрь 2023'!$G$76:$G$1127,'ноябрь 2023'!$D$76:$D$1127,$B172,'ноябрь 2023'!$J$76:$J$1127,M$1)</f>
        <v>0</v>
      </c>
      <c r="N172" s="207">
        <f>SUMIFS('ноябрь 2023'!$G$76:$G$1127,'ноябрь 2023'!$D$76:$D$1127,$B172,'ноябрь 2023'!$J$76:$J$1127,N$1)</f>
        <v>0</v>
      </c>
      <c r="O172" s="207">
        <f>SUMIFS('ноябрь 2023'!$G$76:$G$1127,'ноябрь 2023'!$D$76:$D$1127,$B172,'ноябрь 2023'!$J$76:$J$1127,O$1)</f>
        <v>0</v>
      </c>
      <c r="P172" s="207">
        <f>SUMIFS('ноябрь 2023'!$G$76:$G$1127,'ноябрь 2023'!$D$76:$D$1127,$B172,'ноябрь 2023'!$J$76:$J$1127,P$1)</f>
        <v>0</v>
      </c>
      <c r="Q172" s="207">
        <f>SUMIFS('ноябрь 2023'!$G$76:$G$1127,'ноябрь 2023'!$D$76:$D$1127,$B172,'ноябрь 2023'!$J$76:$J$1127,Q$1)</f>
        <v>0</v>
      </c>
      <c r="R172" s="207">
        <f>SUMIFS('ноябрь 2023'!$G$76:$G$1127,'ноябрь 2023'!$D$76:$D$1127,$B172,'ноябрь 2023'!$J$76:$J$1127,R$1)</f>
        <v>0</v>
      </c>
      <c r="S172" s="207">
        <f>SUMIFS('ноябрь 2023'!$G$76:$G$1127,'ноябрь 2023'!$D$76:$D$1127,$B172,'ноябрь 2023'!$J$76:$J$1127,S$1)</f>
        <v>0</v>
      </c>
      <c r="T172" s="207">
        <f>SUMIFS('ноябрь 2023'!$G$76:$G$1127,'ноябрь 2023'!$D$76:$D$1127,$B172,'ноябрь 2023'!$J$76:$J$1127,T$1)</f>
        <v>0</v>
      </c>
      <c r="U172" s="207">
        <f>SUMIFS('ноябрь 2023'!$G$76:$G$1127,'ноябрь 2023'!$D$76:$D$1127,$B172,'ноябрь 2023'!$J$76:$J$1127,U$1)</f>
        <v>0</v>
      </c>
      <c r="V172" s="207">
        <f>SUMIFS('ноябрь 2023'!$G$76:$G$1127,'ноябрь 2023'!$D$76:$D$1127,$B172,'ноябрь 2023'!$J$76:$J$1127,V$1)</f>
        <v>0</v>
      </c>
      <c r="W172" s="207">
        <f>SUMIFS('ноябрь 2023'!$G$76:$G$1127,'ноябрь 2023'!$D$76:$D$1127,$B172,'ноябрь 2023'!$J$76:$J$1127,W$1)</f>
        <v>0</v>
      </c>
      <c r="X172" s="207">
        <f>SUMIFS('ноябрь 2023'!$G$76:$G$1127,'ноябрь 2023'!$D$76:$D$1127,$B172,'ноябрь 2023'!$J$76:$J$1127,X$1)</f>
        <v>0</v>
      </c>
      <c r="Y172" s="207">
        <f>SUMIFS('ноябрь 2023'!$G$76:$G$1127,'ноябрь 2023'!$D$76:$D$1127,$B172,'ноябрь 2023'!$J$76:$J$1127,Y$1)</f>
        <v>0</v>
      </c>
      <c r="Z172" s="207">
        <f>SUMIFS('ноябрь 2023'!$G$76:$G$1127,'ноябрь 2023'!$D$76:$D$1127,$B172,'ноябрь 2023'!$J$76:$J$1127,Z$1)</f>
        <v>0</v>
      </c>
      <c r="AA172" s="207">
        <f>SUMIFS('ноябрь 2023'!$G$76:$G$1127,'ноябрь 2023'!$D$76:$D$1127,$B172,'ноябрь 2023'!$J$76:$J$1127,AA$1)</f>
        <v>0</v>
      </c>
      <c r="AB172" s="207">
        <f>SUMIFS('ноябрь 2023'!$G$76:$G$1127,'ноябрь 2023'!$D$76:$D$1127,$B172,'ноябрь 2023'!$J$76:$J$1127,AB$1)</f>
        <v>0</v>
      </c>
      <c r="AC172" s="207">
        <f>SUMIFS('ноябрь 2023'!$G$76:$G$1127,'ноябрь 2023'!$D$76:$D$1127,$B172,'ноябрь 2023'!$J$76:$J$1127,AC$1)</f>
        <v>0</v>
      </c>
      <c r="AD172" s="207">
        <f>SUMIFS('ноябрь 2023'!$G$76:$G$1127,'ноябрь 2023'!$D$76:$D$1127,$B172,'ноябрь 2023'!$J$76:$J$1127,AD$1)</f>
        <v>0</v>
      </c>
      <c r="AE172" s="207">
        <f>SUMIFS('ноябрь 2023'!$G$76:$G$1127,'ноябрь 2023'!$D$76:$D$1127,$B172,'ноябрь 2023'!$J$76:$J$1127,AE$1)</f>
        <v>0</v>
      </c>
      <c r="AF172" s="207">
        <f>SUMIFS('ноябрь 2023'!$G$76:$G$1127,'ноябрь 2023'!$D$76:$D$1127,$B172,'ноябрь 2023'!$J$76:$J$1127,AF$1)</f>
        <v>0</v>
      </c>
      <c r="AG172" s="207">
        <f>SUMIFS('ноябрь 2023'!$G$76:$G$1127,'ноябрь 2023'!$D$76:$D$1127,$B172,'ноябрь 2023'!$J$76:$J$1127,AG$1)</f>
        <v>0</v>
      </c>
      <c r="AH172" s="207">
        <f>SUMIFS('ноябрь 2023'!$G$76:$G$1127,'ноябрь 2023'!$D$76:$D$1127,$B172,'ноябрь 2023'!$J$76:$J$1127,AH$1)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SUMIFS('ноябрь 2023'!$G$76:$G$1127,'ноябрь 2023'!$D$76:$D$1127,$B173,'ноябрь 2023'!$J$76:$J$1127,D$1)</f>
        <v>0</v>
      </c>
      <c r="E173" s="207">
        <f>SUMIFS('ноябрь 2023'!$G$76:$G$1127,'ноябрь 2023'!$D$76:$D$1127,$B173,'ноябрь 2023'!$J$76:$J$1127,E$1)</f>
        <v>0</v>
      </c>
      <c r="F173" s="207">
        <f>SUMIFS('ноябрь 2023'!$G$76:$G$1127,'ноябрь 2023'!$D$76:$D$1127,$B173,'ноябрь 2023'!$J$76:$J$1127,F$1)</f>
        <v>0</v>
      </c>
      <c r="G173" s="207">
        <f>SUMIFS('ноябрь 2023'!$G$76:$G$1127,'ноябрь 2023'!$D$76:$D$1127,$B173,'ноябрь 2023'!$J$76:$J$1127,G$1)</f>
        <v>0</v>
      </c>
      <c r="H173" s="207">
        <f>SUMIFS('ноябрь 2023'!$G$76:$G$1127,'ноябрь 2023'!$D$76:$D$1127,$B173,'ноябрь 2023'!$J$76:$J$1127,H$1)</f>
        <v>0</v>
      </c>
      <c r="I173" s="207">
        <f>SUMIFS('ноябрь 2023'!$G$76:$G$1127,'ноябрь 2023'!$D$76:$D$1127,$B173,'ноябрь 2023'!$J$76:$J$1127,I$1)</f>
        <v>0</v>
      </c>
      <c r="J173" s="207">
        <f>SUMIFS('ноябрь 2023'!$G$76:$G$1127,'ноябрь 2023'!$D$76:$D$1127,$B173,'ноябрь 2023'!$J$76:$J$1127,J$1)</f>
        <v>0</v>
      </c>
      <c r="K173" s="207">
        <f>SUMIFS('ноябрь 2023'!$G$76:$G$1127,'ноябрь 2023'!$D$76:$D$1127,$B173,'ноябрь 2023'!$J$76:$J$1127,K$1)</f>
        <v>0</v>
      </c>
      <c r="L173" s="207">
        <f>SUMIFS('ноябрь 2023'!$G$76:$G$1127,'ноябрь 2023'!$D$76:$D$1127,$B173,'ноябрь 2023'!$J$76:$J$1127,L$1)</f>
        <v>0</v>
      </c>
      <c r="M173" s="207">
        <f>SUMIFS('ноябрь 2023'!$G$76:$G$1127,'ноябрь 2023'!$D$76:$D$1127,$B173,'ноябрь 2023'!$J$76:$J$1127,M$1)</f>
        <v>0</v>
      </c>
      <c r="N173" s="207">
        <f>SUMIFS('ноябрь 2023'!$G$76:$G$1127,'ноябрь 2023'!$D$76:$D$1127,$B173,'ноябрь 2023'!$J$76:$J$1127,N$1)</f>
        <v>0</v>
      </c>
      <c r="O173" s="207">
        <f>SUMIFS('ноябрь 2023'!$G$76:$G$1127,'ноябрь 2023'!$D$76:$D$1127,$B173,'ноябрь 2023'!$J$76:$J$1127,O$1)</f>
        <v>0</v>
      </c>
      <c r="P173" s="207">
        <f>SUMIFS('ноябрь 2023'!$G$76:$G$1127,'ноябрь 2023'!$D$76:$D$1127,$B173,'ноябрь 2023'!$J$76:$J$1127,P$1)</f>
        <v>0</v>
      </c>
      <c r="Q173" s="207">
        <f>SUMIFS('ноябрь 2023'!$G$76:$G$1127,'ноябрь 2023'!$D$76:$D$1127,$B173,'ноябрь 2023'!$J$76:$J$1127,Q$1)</f>
        <v>0</v>
      </c>
      <c r="R173" s="207">
        <f>SUMIFS('ноябрь 2023'!$G$76:$G$1127,'ноябрь 2023'!$D$76:$D$1127,$B173,'ноябрь 2023'!$J$76:$J$1127,R$1)</f>
        <v>0</v>
      </c>
      <c r="S173" s="207">
        <f>SUMIFS('ноябрь 2023'!$G$76:$G$1127,'ноябрь 2023'!$D$76:$D$1127,$B173,'ноябрь 2023'!$J$76:$J$1127,S$1)</f>
        <v>0</v>
      </c>
      <c r="T173" s="207">
        <f>SUMIFS('ноябрь 2023'!$G$76:$G$1127,'ноябрь 2023'!$D$76:$D$1127,$B173,'ноябрь 2023'!$J$76:$J$1127,T$1)</f>
        <v>0</v>
      </c>
      <c r="U173" s="207">
        <f>SUMIFS('ноябрь 2023'!$G$76:$G$1127,'ноябрь 2023'!$D$76:$D$1127,$B173,'ноябрь 2023'!$J$76:$J$1127,U$1)</f>
        <v>0</v>
      </c>
      <c r="V173" s="207">
        <f>SUMIFS('ноябрь 2023'!$G$76:$G$1127,'ноябрь 2023'!$D$76:$D$1127,$B173,'ноябрь 2023'!$J$76:$J$1127,V$1)</f>
        <v>0</v>
      </c>
      <c r="W173" s="207">
        <f>SUMIFS('ноябрь 2023'!$G$76:$G$1127,'ноябрь 2023'!$D$76:$D$1127,$B173,'ноябрь 2023'!$J$76:$J$1127,W$1)</f>
        <v>0</v>
      </c>
      <c r="X173" s="207">
        <f>SUMIFS('ноябрь 2023'!$G$76:$G$1127,'ноябрь 2023'!$D$76:$D$1127,$B173,'ноябрь 2023'!$J$76:$J$1127,X$1)</f>
        <v>0</v>
      </c>
      <c r="Y173" s="207">
        <f>SUMIFS('ноябрь 2023'!$G$76:$G$1127,'ноябрь 2023'!$D$76:$D$1127,$B173,'ноябрь 2023'!$J$76:$J$1127,Y$1)</f>
        <v>0</v>
      </c>
      <c r="Z173" s="207">
        <f>SUMIFS('ноябрь 2023'!$G$76:$G$1127,'ноябрь 2023'!$D$76:$D$1127,$B173,'ноябрь 2023'!$J$76:$J$1127,Z$1)</f>
        <v>0</v>
      </c>
      <c r="AA173" s="207">
        <f>SUMIFS('ноябрь 2023'!$G$76:$G$1127,'ноябрь 2023'!$D$76:$D$1127,$B173,'ноябрь 2023'!$J$76:$J$1127,AA$1)</f>
        <v>0</v>
      </c>
      <c r="AB173" s="207">
        <f>SUMIFS('ноябрь 2023'!$G$76:$G$1127,'ноябрь 2023'!$D$76:$D$1127,$B173,'ноябрь 2023'!$J$76:$J$1127,AB$1)</f>
        <v>0</v>
      </c>
      <c r="AC173" s="207">
        <f>SUMIFS('ноябрь 2023'!$G$76:$G$1127,'ноябрь 2023'!$D$76:$D$1127,$B173,'ноябрь 2023'!$J$76:$J$1127,AC$1)</f>
        <v>0</v>
      </c>
      <c r="AD173" s="207">
        <f>SUMIFS('ноябрь 2023'!$G$76:$G$1127,'ноябрь 2023'!$D$76:$D$1127,$B173,'ноябрь 2023'!$J$76:$J$1127,AD$1)</f>
        <v>0</v>
      </c>
      <c r="AE173" s="207">
        <f>SUMIFS('ноябрь 2023'!$G$76:$G$1127,'ноябрь 2023'!$D$76:$D$1127,$B173,'ноябрь 2023'!$J$76:$J$1127,AE$1)</f>
        <v>0</v>
      </c>
      <c r="AF173" s="207">
        <f>SUMIFS('ноябрь 2023'!$G$76:$G$1127,'ноябрь 2023'!$D$76:$D$1127,$B173,'ноябрь 2023'!$J$76:$J$1127,AF$1)</f>
        <v>0</v>
      </c>
      <c r="AG173" s="207">
        <f>SUMIFS('ноябрь 2023'!$G$76:$G$1127,'ноябрь 2023'!$D$76:$D$1127,$B173,'ноябрь 2023'!$J$76:$J$1127,AG$1)</f>
        <v>0</v>
      </c>
      <c r="AH173" s="207">
        <f>SUMIFS('ноябрь 2023'!$G$76:$G$1127,'ноябрь 2023'!$D$76:$D$1127,$B173,'ноябрь 2023'!$J$76:$J$1127,AH$1)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SUMIFS('ноябрь 2023'!$G$76:$G$1127,'ноябрь 2023'!$D$76:$D$1127,$B174,'ноябрь 2023'!$J$76:$J$1127,D$1)</f>
        <v>0</v>
      </c>
      <c r="E174" s="207">
        <f>SUMIFS('ноябрь 2023'!$G$76:$G$1127,'ноябрь 2023'!$D$76:$D$1127,$B174,'ноябрь 2023'!$J$76:$J$1127,E$1)</f>
        <v>0</v>
      </c>
      <c r="F174" s="207">
        <f>SUMIFS('ноябрь 2023'!$G$76:$G$1127,'ноябрь 2023'!$D$76:$D$1127,$B174,'ноябрь 2023'!$J$76:$J$1127,F$1)</f>
        <v>0</v>
      </c>
      <c r="G174" s="207">
        <f>SUMIFS('ноябрь 2023'!$G$76:$G$1127,'ноябрь 2023'!$D$76:$D$1127,$B174,'ноябрь 2023'!$J$76:$J$1127,G$1)</f>
        <v>0</v>
      </c>
      <c r="H174" s="207">
        <f>SUMIFS('ноябрь 2023'!$G$76:$G$1127,'ноябрь 2023'!$D$76:$D$1127,$B174,'ноябрь 2023'!$J$76:$J$1127,H$1)</f>
        <v>0</v>
      </c>
      <c r="I174" s="207">
        <f>SUMIFS('ноябрь 2023'!$G$76:$G$1127,'ноябрь 2023'!$D$76:$D$1127,$B174,'ноябрь 2023'!$J$76:$J$1127,I$1)</f>
        <v>0</v>
      </c>
      <c r="J174" s="207">
        <f>SUMIFS('ноябрь 2023'!$G$76:$G$1127,'ноябрь 2023'!$D$76:$D$1127,$B174,'ноябрь 2023'!$J$76:$J$1127,J$1)</f>
        <v>0</v>
      </c>
      <c r="K174" s="207">
        <f>SUMIFS('ноябрь 2023'!$G$76:$G$1127,'ноябрь 2023'!$D$76:$D$1127,$B174,'ноябрь 2023'!$J$76:$J$1127,K$1)</f>
        <v>0</v>
      </c>
      <c r="L174" s="207">
        <f>SUMIFS('ноябрь 2023'!$G$76:$G$1127,'ноябрь 2023'!$D$76:$D$1127,$B174,'ноябрь 2023'!$J$76:$J$1127,L$1)</f>
        <v>0</v>
      </c>
      <c r="M174" s="207">
        <f>SUMIFS('ноябрь 2023'!$G$76:$G$1127,'ноябрь 2023'!$D$76:$D$1127,$B174,'ноябрь 2023'!$J$76:$J$1127,M$1)</f>
        <v>0</v>
      </c>
      <c r="N174" s="207">
        <f>SUMIFS('ноябрь 2023'!$G$76:$G$1127,'ноябрь 2023'!$D$76:$D$1127,$B174,'ноябрь 2023'!$J$76:$J$1127,N$1)</f>
        <v>0</v>
      </c>
      <c r="O174" s="207">
        <f>SUMIFS('ноябрь 2023'!$G$76:$G$1127,'ноябрь 2023'!$D$76:$D$1127,$B174,'ноябрь 2023'!$J$76:$J$1127,O$1)</f>
        <v>0</v>
      </c>
      <c r="P174" s="207">
        <f>SUMIFS('ноябрь 2023'!$G$76:$G$1127,'ноябрь 2023'!$D$76:$D$1127,$B174,'ноябрь 2023'!$J$76:$J$1127,P$1)</f>
        <v>0</v>
      </c>
      <c r="Q174" s="207">
        <f>SUMIFS('ноябрь 2023'!$G$76:$G$1127,'ноябрь 2023'!$D$76:$D$1127,$B174,'ноябрь 2023'!$J$76:$J$1127,Q$1)</f>
        <v>0</v>
      </c>
      <c r="R174" s="207">
        <f>SUMIFS('ноябрь 2023'!$G$76:$G$1127,'ноябрь 2023'!$D$76:$D$1127,$B174,'ноябрь 2023'!$J$76:$J$1127,R$1)</f>
        <v>0</v>
      </c>
      <c r="S174" s="207">
        <f>SUMIFS('ноябрь 2023'!$G$76:$G$1127,'ноябрь 2023'!$D$76:$D$1127,$B174,'ноябрь 2023'!$J$76:$J$1127,S$1)</f>
        <v>0</v>
      </c>
      <c r="T174" s="207">
        <f>SUMIFS('ноябрь 2023'!$G$76:$G$1127,'ноябрь 2023'!$D$76:$D$1127,$B174,'ноябрь 2023'!$J$76:$J$1127,T$1)</f>
        <v>0</v>
      </c>
      <c r="U174" s="207">
        <f>SUMIFS('ноябрь 2023'!$G$76:$G$1127,'ноябрь 2023'!$D$76:$D$1127,$B174,'ноябрь 2023'!$J$76:$J$1127,U$1)</f>
        <v>0</v>
      </c>
      <c r="V174" s="207">
        <f>SUMIFS('ноябрь 2023'!$G$76:$G$1127,'ноябрь 2023'!$D$76:$D$1127,$B174,'ноябрь 2023'!$J$76:$J$1127,V$1)</f>
        <v>0</v>
      </c>
      <c r="W174" s="207">
        <f>SUMIFS('ноябрь 2023'!$G$76:$G$1127,'ноябрь 2023'!$D$76:$D$1127,$B174,'ноябрь 2023'!$J$76:$J$1127,W$1)</f>
        <v>0</v>
      </c>
      <c r="X174" s="207">
        <f>SUMIFS('ноябрь 2023'!$G$76:$G$1127,'ноябрь 2023'!$D$76:$D$1127,$B174,'ноябрь 2023'!$J$76:$J$1127,X$1)</f>
        <v>0</v>
      </c>
      <c r="Y174" s="207">
        <f>SUMIFS('ноябрь 2023'!$G$76:$G$1127,'ноябрь 2023'!$D$76:$D$1127,$B174,'ноябрь 2023'!$J$76:$J$1127,Y$1)</f>
        <v>0</v>
      </c>
      <c r="Z174" s="207">
        <f>SUMIFS('ноябрь 2023'!$G$76:$G$1127,'ноябрь 2023'!$D$76:$D$1127,$B174,'ноябрь 2023'!$J$76:$J$1127,Z$1)</f>
        <v>0</v>
      </c>
      <c r="AA174" s="207">
        <f>SUMIFS('ноябрь 2023'!$G$76:$G$1127,'ноябрь 2023'!$D$76:$D$1127,$B174,'ноябрь 2023'!$J$76:$J$1127,AA$1)</f>
        <v>0</v>
      </c>
      <c r="AB174" s="207">
        <f>SUMIFS('ноябрь 2023'!$G$76:$G$1127,'ноябрь 2023'!$D$76:$D$1127,$B174,'ноябрь 2023'!$J$76:$J$1127,AB$1)</f>
        <v>0</v>
      </c>
      <c r="AC174" s="207">
        <f>SUMIFS('ноябрь 2023'!$G$76:$G$1127,'ноябрь 2023'!$D$76:$D$1127,$B174,'ноябрь 2023'!$J$76:$J$1127,AC$1)</f>
        <v>0</v>
      </c>
      <c r="AD174" s="207">
        <f>SUMIFS('ноябрь 2023'!$G$76:$G$1127,'ноябрь 2023'!$D$76:$D$1127,$B174,'ноябрь 2023'!$J$76:$J$1127,AD$1)</f>
        <v>0</v>
      </c>
      <c r="AE174" s="207">
        <f>SUMIFS('ноябрь 2023'!$G$76:$G$1127,'ноябрь 2023'!$D$76:$D$1127,$B174,'ноябрь 2023'!$J$76:$J$1127,AE$1)</f>
        <v>0</v>
      </c>
      <c r="AF174" s="207">
        <f>SUMIFS('ноябрь 2023'!$G$76:$G$1127,'ноябрь 2023'!$D$76:$D$1127,$B174,'ноябрь 2023'!$J$76:$J$1127,AF$1)</f>
        <v>0</v>
      </c>
      <c r="AG174" s="207">
        <f>SUMIFS('ноябрь 2023'!$G$76:$G$1127,'ноябрь 2023'!$D$76:$D$1127,$B174,'ноябрь 2023'!$J$76:$J$1127,AG$1)</f>
        <v>0</v>
      </c>
      <c r="AH174" s="207">
        <f>SUMIFS('ноябрь 2023'!$G$76:$G$1127,'ноябрь 2023'!$D$76:$D$1127,$B174,'ноябрь 2023'!$J$76:$J$1127,AH$1)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SUMIFS('ноябрь 2023'!$G$76:$G$1127,'ноябрь 2023'!$D$76:$D$1127,$B175,'ноябрь 2023'!$J$76:$J$1127,D$1)</f>
        <v>0</v>
      </c>
      <c r="E175" s="207">
        <f>SUMIFS('ноябрь 2023'!$G$76:$G$1127,'ноябрь 2023'!$D$76:$D$1127,$B175,'ноябрь 2023'!$J$76:$J$1127,E$1)</f>
        <v>0</v>
      </c>
      <c r="F175" s="207">
        <f>SUMIFS('ноябрь 2023'!$G$76:$G$1127,'ноябрь 2023'!$D$76:$D$1127,$B175,'ноябрь 2023'!$J$76:$J$1127,F$1)</f>
        <v>0</v>
      </c>
      <c r="G175" s="207">
        <f>SUMIFS('ноябрь 2023'!$G$76:$G$1127,'ноябрь 2023'!$D$76:$D$1127,$B175,'ноябрь 2023'!$J$76:$J$1127,G$1)</f>
        <v>0</v>
      </c>
      <c r="H175" s="207">
        <f>SUMIFS('ноябрь 2023'!$G$76:$G$1127,'ноябрь 2023'!$D$76:$D$1127,$B175,'ноябрь 2023'!$J$76:$J$1127,H$1)</f>
        <v>0</v>
      </c>
      <c r="I175" s="207">
        <f>SUMIFS('ноябрь 2023'!$G$76:$G$1127,'ноябрь 2023'!$D$76:$D$1127,$B175,'ноябрь 2023'!$J$76:$J$1127,I$1)</f>
        <v>0</v>
      </c>
      <c r="J175" s="207">
        <f>SUMIFS('ноябрь 2023'!$G$76:$G$1127,'ноябрь 2023'!$D$76:$D$1127,$B175,'ноябрь 2023'!$J$76:$J$1127,J$1)</f>
        <v>0</v>
      </c>
      <c r="K175" s="207">
        <f>SUMIFS('ноябрь 2023'!$G$76:$G$1127,'ноябрь 2023'!$D$76:$D$1127,$B175,'ноябрь 2023'!$J$76:$J$1127,K$1)</f>
        <v>0</v>
      </c>
      <c r="L175" s="207">
        <f>SUMIFS('ноябрь 2023'!$G$76:$G$1127,'ноябрь 2023'!$D$76:$D$1127,$B175,'ноябрь 2023'!$J$76:$J$1127,L$1)</f>
        <v>0</v>
      </c>
      <c r="M175" s="207">
        <f>SUMIFS('ноябрь 2023'!$G$76:$G$1127,'ноябрь 2023'!$D$76:$D$1127,$B175,'ноябрь 2023'!$J$76:$J$1127,M$1)</f>
        <v>0</v>
      </c>
      <c r="N175" s="207">
        <f>SUMIFS('ноябрь 2023'!$G$76:$G$1127,'ноябрь 2023'!$D$76:$D$1127,$B175,'ноябрь 2023'!$J$76:$J$1127,N$1)</f>
        <v>0</v>
      </c>
      <c r="O175" s="207">
        <f>SUMIFS('ноябрь 2023'!$G$76:$G$1127,'ноябрь 2023'!$D$76:$D$1127,$B175,'ноябрь 2023'!$J$76:$J$1127,O$1)</f>
        <v>0</v>
      </c>
      <c r="P175" s="207">
        <f>SUMIFS('ноябрь 2023'!$G$76:$G$1127,'ноябрь 2023'!$D$76:$D$1127,$B175,'ноябрь 2023'!$J$76:$J$1127,P$1)</f>
        <v>0</v>
      </c>
      <c r="Q175" s="207">
        <f>SUMIFS('ноябрь 2023'!$G$76:$G$1127,'ноябрь 2023'!$D$76:$D$1127,$B175,'ноябрь 2023'!$J$76:$J$1127,Q$1)</f>
        <v>0</v>
      </c>
      <c r="R175" s="207">
        <f>SUMIFS('ноябрь 2023'!$G$76:$G$1127,'ноябрь 2023'!$D$76:$D$1127,$B175,'ноябрь 2023'!$J$76:$J$1127,R$1)</f>
        <v>0</v>
      </c>
      <c r="S175" s="207">
        <f>SUMIFS('ноябрь 2023'!$G$76:$G$1127,'ноябрь 2023'!$D$76:$D$1127,$B175,'ноябрь 2023'!$J$76:$J$1127,S$1)</f>
        <v>0</v>
      </c>
      <c r="T175" s="207">
        <f>SUMIFS('ноябрь 2023'!$G$76:$G$1127,'ноябрь 2023'!$D$76:$D$1127,$B175,'ноябрь 2023'!$J$76:$J$1127,T$1)</f>
        <v>0</v>
      </c>
      <c r="U175" s="207">
        <f>SUMIFS('ноябрь 2023'!$G$76:$G$1127,'ноябрь 2023'!$D$76:$D$1127,$B175,'ноябрь 2023'!$J$76:$J$1127,U$1)</f>
        <v>0</v>
      </c>
      <c r="V175" s="207">
        <f>SUMIFS('ноябрь 2023'!$G$76:$G$1127,'ноябрь 2023'!$D$76:$D$1127,$B175,'ноябрь 2023'!$J$76:$J$1127,V$1)</f>
        <v>0</v>
      </c>
      <c r="W175" s="207">
        <f>SUMIFS('ноябрь 2023'!$G$76:$G$1127,'ноябрь 2023'!$D$76:$D$1127,$B175,'ноябрь 2023'!$J$76:$J$1127,W$1)</f>
        <v>0</v>
      </c>
      <c r="X175" s="207">
        <f>SUMIFS('ноябрь 2023'!$G$76:$G$1127,'ноябрь 2023'!$D$76:$D$1127,$B175,'ноябрь 2023'!$J$76:$J$1127,X$1)</f>
        <v>0</v>
      </c>
      <c r="Y175" s="207">
        <f>SUMIFS('ноябрь 2023'!$G$76:$G$1127,'ноябрь 2023'!$D$76:$D$1127,$B175,'ноябрь 2023'!$J$76:$J$1127,Y$1)</f>
        <v>0</v>
      </c>
      <c r="Z175" s="207">
        <f>SUMIFS('ноябрь 2023'!$G$76:$G$1127,'ноябрь 2023'!$D$76:$D$1127,$B175,'ноябрь 2023'!$J$76:$J$1127,Z$1)</f>
        <v>0</v>
      </c>
      <c r="AA175" s="207">
        <f>SUMIFS('ноябрь 2023'!$G$76:$G$1127,'ноябрь 2023'!$D$76:$D$1127,$B175,'ноябрь 2023'!$J$76:$J$1127,AA$1)</f>
        <v>0</v>
      </c>
      <c r="AB175" s="207">
        <f>SUMIFS('ноябрь 2023'!$G$76:$G$1127,'ноябрь 2023'!$D$76:$D$1127,$B175,'ноябрь 2023'!$J$76:$J$1127,AB$1)</f>
        <v>0</v>
      </c>
      <c r="AC175" s="207">
        <f>SUMIFS('ноябрь 2023'!$G$76:$G$1127,'ноябрь 2023'!$D$76:$D$1127,$B175,'ноябрь 2023'!$J$76:$J$1127,AC$1)</f>
        <v>0</v>
      </c>
      <c r="AD175" s="207">
        <f>SUMIFS('ноябрь 2023'!$G$76:$G$1127,'ноябрь 2023'!$D$76:$D$1127,$B175,'ноябрь 2023'!$J$76:$J$1127,AD$1)</f>
        <v>0</v>
      </c>
      <c r="AE175" s="207">
        <f>SUMIFS('ноябрь 2023'!$G$76:$G$1127,'ноябрь 2023'!$D$76:$D$1127,$B175,'ноябрь 2023'!$J$76:$J$1127,AE$1)</f>
        <v>0</v>
      </c>
      <c r="AF175" s="207">
        <f>SUMIFS('ноябрь 2023'!$G$76:$G$1127,'ноябрь 2023'!$D$76:$D$1127,$B175,'ноябрь 2023'!$J$76:$J$1127,AF$1)</f>
        <v>0</v>
      </c>
      <c r="AG175" s="207">
        <f>SUMIFS('ноябрь 2023'!$G$76:$G$1127,'ноябрь 2023'!$D$76:$D$1127,$B175,'ноябрь 2023'!$J$76:$J$1127,AG$1)</f>
        <v>0</v>
      </c>
      <c r="AH175" s="207">
        <f>SUMIFS('ноябрь 2023'!$G$76:$G$1127,'ноябрь 2023'!$D$76:$D$1127,$B175,'ноябрь 2023'!$J$76:$J$1127,AH$1)</f>
        <v>0</v>
      </c>
      <c r="AI175" s="220">
        <f t="shared" si="4"/>
        <v>0</v>
      </c>
    </row>
    <row r="176" spans="2:35" ht="15.75" hidden="1" x14ac:dyDescent="0.25">
      <c r="B176" s="212"/>
      <c r="C176" s="211"/>
      <c r="D176" s="207">
        <f>SUMIFS('ноябрь 2023'!$G$76:$G$1127,'ноябрь 2023'!$D$76:$D$1127,$B176,'ноябрь 2023'!$J$76:$J$1127,D$1)</f>
        <v>0</v>
      </c>
      <c r="E176" s="207">
        <f>SUMIFS('ноябрь 2023'!$G$76:$G$1127,'ноябрь 2023'!$D$76:$D$1127,$B176,'ноябрь 2023'!$J$76:$J$1127,E$1)</f>
        <v>0</v>
      </c>
      <c r="F176" s="207">
        <f>SUMIFS('ноябрь 2023'!$G$76:$G$1127,'ноябрь 2023'!$D$76:$D$1127,$B176,'ноябрь 2023'!$J$76:$J$1127,F$1)</f>
        <v>0</v>
      </c>
      <c r="G176" s="207">
        <f>SUMIFS('ноябрь 2023'!$G$76:$G$1127,'ноябрь 2023'!$D$76:$D$1127,$B176,'ноябрь 2023'!$J$76:$J$1127,G$1)</f>
        <v>0</v>
      </c>
      <c r="H176" s="207">
        <f>SUMIFS('ноябрь 2023'!$G$76:$G$1127,'ноябрь 2023'!$D$76:$D$1127,$B176,'ноябрь 2023'!$J$76:$J$1127,H$1)</f>
        <v>0</v>
      </c>
      <c r="I176" s="207">
        <f>SUMIFS('ноябрь 2023'!$G$76:$G$1127,'ноябрь 2023'!$D$76:$D$1127,$B176,'ноябрь 2023'!$J$76:$J$1127,I$1)</f>
        <v>0</v>
      </c>
      <c r="J176" s="207">
        <f>SUMIFS('ноябрь 2023'!$G$76:$G$1127,'ноябрь 2023'!$D$76:$D$1127,$B176,'ноябрь 2023'!$J$76:$J$1127,J$1)</f>
        <v>0</v>
      </c>
      <c r="K176" s="207">
        <f>SUMIFS('ноябрь 2023'!$G$76:$G$1127,'ноябрь 2023'!$D$76:$D$1127,$B176,'ноябрь 2023'!$J$76:$J$1127,K$1)</f>
        <v>0</v>
      </c>
      <c r="L176" s="207">
        <f>SUMIFS('ноябрь 2023'!$G$76:$G$1127,'ноябрь 2023'!$D$76:$D$1127,$B176,'ноябрь 2023'!$J$76:$J$1127,L$1)</f>
        <v>0</v>
      </c>
      <c r="M176" s="207">
        <f>SUMIFS('ноябрь 2023'!$G$76:$G$1127,'ноябрь 2023'!$D$76:$D$1127,$B176,'ноябрь 2023'!$J$76:$J$1127,M$1)</f>
        <v>0</v>
      </c>
      <c r="N176" s="207">
        <f>SUMIFS('ноябрь 2023'!$G$76:$G$1127,'ноябрь 2023'!$D$76:$D$1127,$B176,'ноябрь 2023'!$J$76:$J$1127,N$1)</f>
        <v>0</v>
      </c>
      <c r="O176" s="207">
        <f>SUMIFS('ноябрь 2023'!$G$76:$G$1127,'ноябрь 2023'!$D$76:$D$1127,$B176,'ноябрь 2023'!$J$76:$J$1127,O$1)</f>
        <v>0</v>
      </c>
      <c r="P176" s="207">
        <f>SUMIFS('ноябрь 2023'!$G$76:$G$1127,'ноябрь 2023'!$D$76:$D$1127,$B176,'ноябрь 2023'!$J$76:$J$1127,P$1)</f>
        <v>0</v>
      </c>
      <c r="Q176" s="207">
        <f>SUMIFS('ноябрь 2023'!$G$76:$G$1127,'ноябрь 2023'!$D$76:$D$1127,$B176,'ноябрь 2023'!$J$76:$J$1127,Q$1)</f>
        <v>0</v>
      </c>
      <c r="R176" s="207">
        <f>SUMIFS('ноябрь 2023'!$G$76:$G$1127,'ноябрь 2023'!$D$76:$D$1127,$B176,'ноябрь 2023'!$J$76:$J$1127,R$1)</f>
        <v>0</v>
      </c>
      <c r="S176" s="207">
        <f>SUMIFS('ноябрь 2023'!$G$76:$G$1127,'ноябрь 2023'!$D$76:$D$1127,$B176,'ноябрь 2023'!$J$76:$J$1127,S$1)</f>
        <v>0</v>
      </c>
      <c r="T176" s="207">
        <f>SUMIFS('ноябрь 2023'!$G$76:$G$1127,'ноябрь 2023'!$D$76:$D$1127,$B176,'ноябрь 2023'!$J$76:$J$1127,T$1)</f>
        <v>0</v>
      </c>
      <c r="U176" s="207">
        <f>SUMIFS('ноябрь 2023'!$G$76:$G$1127,'ноябрь 2023'!$D$76:$D$1127,$B176,'ноябрь 2023'!$J$76:$J$1127,U$1)</f>
        <v>0</v>
      </c>
      <c r="V176" s="207">
        <f>SUMIFS('ноябрь 2023'!$G$76:$G$1127,'ноябрь 2023'!$D$76:$D$1127,$B176,'ноябрь 2023'!$J$76:$J$1127,V$1)</f>
        <v>0</v>
      </c>
      <c r="W176" s="207">
        <f>SUMIFS('ноябрь 2023'!$G$76:$G$1127,'ноябрь 2023'!$D$76:$D$1127,$B176,'ноябрь 2023'!$J$76:$J$1127,W$1)</f>
        <v>0</v>
      </c>
      <c r="X176" s="207">
        <f>SUMIFS('ноябрь 2023'!$G$76:$G$1127,'ноябрь 2023'!$D$76:$D$1127,$B176,'ноябрь 2023'!$J$76:$J$1127,X$1)</f>
        <v>0</v>
      </c>
      <c r="Y176" s="207">
        <f>SUMIFS('ноябрь 2023'!$G$76:$G$1127,'ноябрь 2023'!$D$76:$D$1127,$B176,'ноябрь 2023'!$J$76:$J$1127,Y$1)</f>
        <v>0</v>
      </c>
      <c r="Z176" s="207">
        <f>SUMIFS('ноябрь 2023'!$G$76:$G$1127,'ноябрь 2023'!$D$76:$D$1127,$B176,'ноябрь 2023'!$J$76:$J$1127,Z$1)</f>
        <v>0</v>
      </c>
      <c r="AA176" s="207">
        <f>SUMIFS('ноябрь 2023'!$G$76:$G$1127,'ноябрь 2023'!$D$76:$D$1127,$B176,'ноябрь 2023'!$J$76:$J$1127,AA$1)</f>
        <v>0</v>
      </c>
      <c r="AB176" s="207">
        <f>SUMIFS('ноябрь 2023'!$G$76:$G$1127,'ноябрь 2023'!$D$76:$D$1127,$B176,'ноябрь 2023'!$J$76:$J$1127,AB$1)</f>
        <v>0</v>
      </c>
      <c r="AC176" s="207">
        <f>SUMIFS('ноябрь 2023'!$G$76:$G$1127,'ноябрь 2023'!$D$76:$D$1127,$B176,'ноябрь 2023'!$J$76:$J$1127,AC$1)</f>
        <v>0</v>
      </c>
      <c r="AD176" s="207">
        <f>SUMIFS('ноябрь 2023'!$G$76:$G$1127,'ноябрь 2023'!$D$76:$D$1127,$B176,'ноябрь 2023'!$J$76:$J$1127,AD$1)</f>
        <v>0</v>
      </c>
      <c r="AE176" s="207">
        <f>SUMIFS('ноябрь 2023'!$G$76:$G$1127,'ноябрь 2023'!$D$76:$D$1127,$B176,'ноябрь 2023'!$J$76:$J$1127,AE$1)</f>
        <v>0</v>
      </c>
      <c r="AF176" s="207">
        <f>SUMIFS('ноябрь 2023'!$G$76:$G$1127,'ноябрь 2023'!$D$76:$D$1127,$B176,'ноябрь 2023'!$J$76:$J$1127,AF$1)</f>
        <v>0</v>
      </c>
      <c r="AG176" s="207">
        <f>SUMIFS('ноябрь 2023'!$G$76:$G$1127,'ноябрь 2023'!$D$76:$D$1127,$B176,'ноябрь 2023'!$J$76:$J$1127,AG$1)</f>
        <v>0</v>
      </c>
      <c r="AH176" s="207">
        <f>SUMIFS('ноябрь 2023'!$G$76:$G$1127,'ноябрь 2023'!$D$76:$D$1127,$B176,'ноябрь 2023'!$J$76:$J$1127,AH$1)</f>
        <v>0</v>
      </c>
      <c r="AI176" s="220">
        <f t="shared" si="4"/>
        <v>0</v>
      </c>
    </row>
    <row r="177" spans="2:35" ht="15.75" hidden="1" x14ac:dyDescent="0.25">
      <c r="B177" s="212"/>
      <c r="C177" s="211"/>
      <c r="D177" s="207">
        <f>SUMIFS('ноябрь 2023'!$G$76:$G$1127,'ноябрь 2023'!$D$76:$D$1127,$B177,'ноябрь 2023'!$J$76:$J$1127,D$1)</f>
        <v>0</v>
      </c>
      <c r="E177" s="207">
        <f>SUMIFS('ноябрь 2023'!$G$76:$G$1127,'ноябрь 2023'!$D$76:$D$1127,$B177,'ноябрь 2023'!$J$76:$J$1127,E$1)</f>
        <v>0</v>
      </c>
      <c r="F177" s="207">
        <f>SUMIFS('ноябрь 2023'!$G$76:$G$1127,'ноябрь 2023'!$D$76:$D$1127,$B177,'ноябрь 2023'!$J$76:$J$1127,F$1)</f>
        <v>0</v>
      </c>
      <c r="G177" s="207">
        <f>SUMIFS('ноябрь 2023'!$G$76:$G$1127,'ноябрь 2023'!$D$76:$D$1127,$B177,'ноябрь 2023'!$J$76:$J$1127,G$1)</f>
        <v>0</v>
      </c>
      <c r="H177" s="207">
        <f>SUMIFS('ноябрь 2023'!$G$76:$G$1127,'ноябрь 2023'!$D$76:$D$1127,$B177,'ноябрь 2023'!$J$76:$J$1127,H$1)</f>
        <v>0</v>
      </c>
      <c r="I177" s="207">
        <f>SUMIFS('ноябрь 2023'!$G$76:$G$1127,'ноябрь 2023'!$D$76:$D$1127,$B177,'ноябрь 2023'!$J$76:$J$1127,I$1)</f>
        <v>0</v>
      </c>
      <c r="J177" s="207">
        <f>SUMIFS('ноябрь 2023'!$G$76:$G$1127,'ноябрь 2023'!$D$76:$D$1127,$B177,'ноябрь 2023'!$J$76:$J$1127,J$1)</f>
        <v>0</v>
      </c>
      <c r="K177" s="207">
        <f>SUMIFS('ноябрь 2023'!$G$76:$G$1127,'ноябрь 2023'!$D$76:$D$1127,$B177,'ноябрь 2023'!$J$76:$J$1127,K$1)</f>
        <v>0</v>
      </c>
      <c r="L177" s="207">
        <f>SUMIFS('ноябрь 2023'!$G$76:$G$1127,'ноябрь 2023'!$D$76:$D$1127,$B177,'ноябрь 2023'!$J$76:$J$1127,L$1)</f>
        <v>0</v>
      </c>
      <c r="M177" s="207">
        <f>SUMIFS('ноябрь 2023'!$G$76:$G$1127,'ноябрь 2023'!$D$76:$D$1127,$B177,'ноябрь 2023'!$J$76:$J$1127,M$1)</f>
        <v>0</v>
      </c>
      <c r="N177" s="207">
        <f>SUMIFS('ноябрь 2023'!$G$76:$G$1127,'ноябрь 2023'!$D$76:$D$1127,$B177,'ноябрь 2023'!$J$76:$J$1127,N$1)</f>
        <v>0</v>
      </c>
      <c r="O177" s="207">
        <f>SUMIFS('ноябрь 2023'!$G$76:$G$1127,'ноябрь 2023'!$D$76:$D$1127,$B177,'ноябрь 2023'!$J$76:$J$1127,O$1)</f>
        <v>0</v>
      </c>
      <c r="P177" s="207">
        <f>SUMIFS('ноябрь 2023'!$G$76:$G$1127,'ноябрь 2023'!$D$76:$D$1127,$B177,'ноябрь 2023'!$J$76:$J$1127,P$1)</f>
        <v>0</v>
      </c>
      <c r="Q177" s="207">
        <f>SUMIFS('ноябрь 2023'!$G$76:$G$1127,'ноябрь 2023'!$D$76:$D$1127,$B177,'ноябрь 2023'!$J$76:$J$1127,Q$1)</f>
        <v>0</v>
      </c>
      <c r="R177" s="207">
        <f>SUMIFS('ноябрь 2023'!$G$76:$G$1127,'ноябрь 2023'!$D$76:$D$1127,$B177,'ноябрь 2023'!$J$76:$J$1127,R$1)</f>
        <v>0</v>
      </c>
      <c r="S177" s="207">
        <f>SUMIFS('ноябрь 2023'!$G$76:$G$1127,'ноябрь 2023'!$D$76:$D$1127,$B177,'ноябрь 2023'!$J$76:$J$1127,S$1)</f>
        <v>0</v>
      </c>
      <c r="T177" s="207">
        <f>SUMIFS('ноябрь 2023'!$G$76:$G$1127,'ноябрь 2023'!$D$76:$D$1127,$B177,'ноябрь 2023'!$J$76:$J$1127,T$1)</f>
        <v>0</v>
      </c>
      <c r="U177" s="207">
        <f>SUMIFS('ноябрь 2023'!$G$76:$G$1127,'ноябрь 2023'!$D$76:$D$1127,$B177,'ноябрь 2023'!$J$76:$J$1127,U$1)</f>
        <v>0</v>
      </c>
      <c r="V177" s="207">
        <f>SUMIFS('ноябрь 2023'!$G$76:$G$1127,'ноябрь 2023'!$D$76:$D$1127,$B177,'ноябрь 2023'!$J$76:$J$1127,V$1)</f>
        <v>0</v>
      </c>
      <c r="W177" s="207">
        <f>SUMIFS('ноябрь 2023'!$G$76:$G$1127,'ноябрь 2023'!$D$76:$D$1127,$B177,'ноябрь 2023'!$J$76:$J$1127,W$1)</f>
        <v>0</v>
      </c>
      <c r="X177" s="207">
        <f>SUMIFS('ноябрь 2023'!$G$76:$G$1127,'ноябрь 2023'!$D$76:$D$1127,$B177,'ноябрь 2023'!$J$76:$J$1127,X$1)</f>
        <v>0</v>
      </c>
      <c r="Y177" s="207">
        <f>SUMIFS('ноябрь 2023'!$G$76:$G$1127,'ноябрь 2023'!$D$76:$D$1127,$B177,'ноябрь 2023'!$J$76:$J$1127,Y$1)</f>
        <v>0</v>
      </c>
      <c r="Z177" s="207">
        <f>SUMIFS('ноябрь 2023'!$G$76:$G$1127,'ноябрь 2023'!$D$76:$D$1127,$B177,'ноябрь 2023'!$J$76:$J$1127,Z$1)</f>
        <v>0</v>
      </c>
      <c r="AA177" s="207">
        <f>SUMIFS('ноябрь 2023'!$G$76:$G$1127,'ноябрь 2023'!$D$76:$D$1127,$B177,'ноябрь 2023'!$J$76:$J$1127,AA$1)</f>
        <v>0</v>
      </c>
      <c r="AB177" s="207">
        <f>SUMIFS('ноябрь 2023'!$G$76:$G$1127,'ноябрь 2023'!$D$76:$D$1127,$B177,'ноябрь 2023'!$J$76:$J$1127,AB$1)</f>
        <v>0</v>
      </c>
      <c r="AC177" s="207">
        <f>SUMIFS('ноябрь 2023'!$G$76:$G$1127,'ноябрь 2023'!$D$76:$D$1127,$B177,'ноябрь 2023'!$J$76:$J$1127,AC$1)</f>
        <v>0</v>
      </c>
      <c r="AD177" s="207">
        <f>SUMIFS('ноябрь 2023'!$G$76:$G$1127,'ноябрь 2023'!$D$76:$D$1127,$B177,'ноябрь 2023'!$J$76:$J$1127,AD$1)</f>
        <v>0</v>
      </c>
      <c r="AE177" s="207">
        <f>SUMIFS('ноябрь 2023'!$G$76:$G$1127,'ноябрь 2023'!$D$76:$D$1127,$B177,'ноябрь 2023'!$J$76:$J$1127,AE$1)</f>
        <v>0</v>
      </c>
      <c r="AF177" s="207">
        <f>SUMIFS('ноябрь 2023'!$G$76:$G$1127,'ноябрь 2023'!$D$76:$D$1127,$B177,'ноябрь 2023'!$J$76:$J$1127,AF$1)</f>
        <v>0</v>
      </c>
      <c r="AG177" s="207">
        <f>SUMIFS('ноябрь 2023'!$G$76:$G$1127,'ноябрь 2023'!$D$76:$D$1127,$B177,'ноябрь 2023'!$J$76:$J$1127,AG$1)</f>
        <v>0</v>
      </c>
      <c r="AH177" s="207">
        <f>SUMIFS('ноябрь 2023'!$G$76:$G$1127,'ноябрь 2023'!$D$76:$D$1127,$B177,'ноябрь 2023'!$J$76:$J$1127,AH$1)</f>
        <v>0</v>
      </c>
      <c r="AI177" s="220">
        <f t="shared" si="4"/>
        <v>0</v>
      </c>
    </row>
    <row r="178" spans="2:35" ht="15.75" hidden="1" x14ac:dyDescent="0.25">
      <c r="B178" s="212"/>
      <c r="C178" s="211"/>
      <c r="D178" s="207">
        <f>SUMIFS('ноябрь 2023'!$G$76:$G$1127,'ноябрь 2023'!$D$76:$D$1127,$B178,'ноябрь 2023'!$J$76:$J$1127,D$1)</f>
        <v>0</v>
      </c>
      <c r="E178" s="207">
        <f>SUMIFS('ноябрь 2023'!$G$76:$G$1127,'ноябрь 2023'!$D$76:$D$1127,$B178,'ноябрь 2023'!$J$76:$J$1127,E$1)</f>
        <v>0</v>
      </c>
      <c r="F178" s="207">
        <f>SUMIFS('ноябрь 2023'!$G$76:$G$1127,'ноябрь 2023'!$D$76:$D$1127,$B178,'ноябрь 2023'!$J$76:$J$1127,F$1)</f>
        <v>0</v>
      </c>
      <c r="G178" s="207">
        <f>SUMIFS('ноябрь 2023'!$G$76:$G$1127,'ноябрь 2023'!$D$76:$D$1127,$B178,'ноябрь 2023'!$J$76:$J$1127,G$1)</f>
        <v>0</v>
      </c>
      <c r="H178" s="207">
        <f>SUMIFS('ноябрь 2023'!$G$76:$G$1127,'ноябрь 2023'!$D$76:$D$1127,$B178,'ноябрь 2023'!$J$76:$J$1127,H$1)</f>
        <v>0</v>
      </c>
      <c r="I178" s="207">
        <f>SUMIFS('ноябрь 2023'!$G$76:$G$1127,'ноябрь 2023'!$D$76:$D$1127,$B178,'ноябрь 2023'!$J$76:$J$1127,I$1)</f>
        <v>0</v>
      </c>
      <c r="J178" s="207">
        <f>SUMIFS('ноябрь 2023'!$G$76:$G$1127,'ноябрь 2023'!$D$76:$D$1127,$B178,'ноябрь 2023'!$J$76:$J$1127,J$1)</f>
        <v>0</v>
      </c>
      <c r="K178" s="207">
        <f>SUMIFS('ноябрь 2023'!$G$76:$G$1127,'ноябрь 2023'!$D$76:$D$1127,$B178,'ноябрь 2023'!$J$76:$J$1127,K$1)</f>
        <v>0</v>
      </c>
      <c r="L178" s="207">
        <f>SUMIFS('ноябрь 2023'!$G$76:$G$1127,'ноябрь 2023'!$D$76:$D$1127,$B178,'ноябрь 2023'!$J$76:$J$1127,L$1)</f>
        <v>0</v>
      </c>
      <c r="M178" s="207">
        <f>SUMIFS('ноябрь 2023'!$G$76:$G$1127,'ноябрь 2023'!$D$76:$D$1127,$B178,'ноябрь 2023'!$J$76:$J$1127,M$1)</f>
        <v>0</v>
      </c>
      <c r="N178" s="207">
        <f>SUMIFS('ноябрь 2023'!$G$76:$G$1127,'ноябрь 2023'!$D$76:$D$1127,$B178,'ноябрь 2023'!$J$76:$J$1127,N$1)</f>
        <v>0</v>
      </c>
      <c r="O178" s="207">
        <f>SUMIFS('ноябрь 2023'!$G$76:$G$1127,'ноябрь 2023'!$D$76:$D$1127,$B178,'ноябрь 2023'!$J$76:$J$1127,O$1)</f>
        <v>0</v>
      </c>
      <c r="P178" s="207">
        <f>SUMIFS('ноябрь 2023'!$G$76:$G$1127,'ноябрь 2023'!$D$76:$D$1127,$B178,'ноябрь 2023'!$J$76:$J$1127,P$1)</f>
        <v>0</v>
      </c>
      <c r="Q178" s="207">
        <f>SUMIFS('ноябрь 2023'!$G$76:$G$1127,'ноябрь 2023'!$D$76:$D$1127,$B178,'ноябрь 2023'!$J$76:$J$1127,Q$1)</f>
        <v>0</v>
      </c>
      <c r="R178" s="207">
        <f>SUMIFS('ноябрь 2023'!$G$76:$G$1127,'ноябрь 2023'!$D$76:$D$1127,$B178,'ноябрь 2023'!$J$76:$J$1127,R$1)</f>
        <v>0</v>
      </c>
      <c r="S178" s="207">
        <f>SUMIFS('ноябрь 2023'!$G$76:$G$1127,'ноябрь 2023'!$D$76:$D$1127,$B178,'ноябрь 2023'!$J$76:$J$1127,S$1)</f>
        <v>0</v>
      </c>
      <c r="T178" s="207">
        <f>SUMIFS('ноябрь 2023'!$G$76:$G$1127,'ноябрь 2023'!$D$76:$D$1127,$B178,'ноябрь 2023'!$J$76:$J$1127,T$1)</f>
        <v>0</v>
      </c>
      <c r="U178" s="207">
        <f>SUMIFS('ноябрь 2023'!$G$76:$G$1127,'ноябрь 2023'!$D$76:$D$1127,$B178,'ноябрь 2023'!$J$76:$J$1127,U$1)</f>
        <v>0</v>
      </c>
      <c r="V178" s="207">
        <f>SUMIFS('ноябрь 2023'!$G$76:$G$1127,'ноябрь 2023'!$D$76:$D$1127,$B178,'ноябрь 2023'!$J$76:$J$1127,V$1)</f>
        <v>0</v>
      </c>
      <c r="W178" s="207">
        <f>SUMIFS('ноябрь 2023'!$G$76:$G$1127,'ноябрь 2023'!$D$76:$D$1127,$B178,'ноябрь 2023'!$J$76:$J$1127,W$1)</f>
        <v>0</v>
      </c>
      <c r="X178" s="207">
        <f>SUMIFS('ноябрь 2023'!$G$76:$G$1127,'ноябрь 2023'!$D$76:$D$1127,$B178,'ноябрь 2023'!$J$76:$J$1127,X$1)</f>
        <v>0</v>
      </c>
      <c r="Y178" s="207">
        <f>SUMIFS('ноябрь 2023'!$G$76:$G$1127,'ноябрь 2023'!$D$76:$D$1127,$B178,'ноябрь 2023'!$J$76:$J$1127,Y$1)</f>
        <v>0</v>
      </c>
      <c r="Z178" s="207">
        <f>SUMIFS('ноябрь 2023'!$G$76:$G$1127,'ноябрь 2023'!$D$76:$D$1127,$B178,'ноябрь 2023'!$J$76:$J$1127,Z$1)</f>
        <v>0</v>
      </c>
      <c r="AA178" s="207">
        <f>SUMIFS('ноябрь 2023'!$G$76:$G$1127,'ноябрь 2023'!$D$76:$D$1127,$B178,'ноябрь 2023'!$J$76:$J$1127,AA$1)</f>
        <v>0</v>
      </c>
      <c r="AB178" s="207">
        <f>SUMIFS('ноябрь 2023'!$G$76:$G$1127,'ноябрь 2023'!$D$76:$D$1127,$B178,'ноябрь 2023'!$J$76:$J$1127,AB$1)</f>
        <v>0</v>
      </c>
      <c r="AC178" s="207">
        <f>SUMIFS('ноябрь 2023'!$G$76:$G$1127,'ноябрь 2023'!$D$76:$D$1127,$B178,'ноябрь 2023'!$J$76:$J$1127,AC$1)</f>
        <v>0</v>
      </c>
      <c r="AD178" s="207">
        <f>SUMIFS('ноябрь 2023'!$G$76:$G$1127,'ноябрь 2023'!$D$76:$D$1127,$B178,'ноябрь 2023'!$J$76:$J$1127,AD$1)</f>
        <v>0</v>
      </c>
      <c r="AE178" s="207">
        <f>SUMIFS('ноябрь 2023'!$G$76:$G$1127,'ноябрь 2023'!$D$76:$D$1127,$B178,'ноябрь 2023'!$J$76:$J$1127,AE$1)</f>
        <v>0</v>
      </c>
      <c r="AF178" s="207">
        <f>SUMIFS('ноябрь 2023'!$G$76:$G$1127,'ноябрь 2023'!$D$76:$D$1127,$B178,'ноябрь 2023'!$J$76:$J$1127,AF$1)</f>
        <v>0</v>
      </c>
      <c r="AG178" s="207">
        <f>SUMIFS('ноябрь 2023'!$G$76:$G$1127,'ноябрь 2023'!$D$76:$D$1127,$B178,'ноябрь 2023'!$J$76:$J$1127,AG$1)</f>
        <v>0</v>
      </c>
      <c r="AH178" s="207">
        <f>SUMIFS('ноябрь 2023'!$G$76:$G$1127,'ноябрь 2023'!$D$76:$D$1127,$B178,'ноябрь 2023'!$J$76:$J$1127,AH$1)</f>
        <v>0</v>
      </c>
      <c r="AI178" s="220">
        <f t="shared" si="4"/>
        <v>0</v>
      </c>
    </row>
    <row r="179" spans="2:35" ht="15.75" hidden="1" x14ac:dyDescent="0.25">
      <c r="B179" s="212"/>
      <c r="C179" s="211"/>
      <c r="D179" s="207">
        <f>SUMIFS('ноябрь 2023'!$G$76:$G$1127,'ноябрь 2023'!$D$76:$D$1127,$B179,'ноябрь 2023'!$J$76:$J$1127,D$1)</f>
        <v>0</v>
      </c>
      <c r="E179" s="207">
        <f>SUMIFS('ноябрь 2023'!$G$76:$G$1127,'ноябрь 2023'!$D$76:$D$1127,$B179,'ноябрь 2023'!$J$76:$J$1127,E$1)</f>
        <v>0</v>
      </c>
      <c r="F179" s="207">
        <f>SUMIFS('ноябрь 2023'!$G$76:$G$1127,'ноябрь 2023'!$D$76:$D$1127,$B179,'ноябрь 2023'!$J$76:$J$1127,F$1)</f>
        <v>0</v>
      </c>
      <c r="G179" s="207">
        <f>SUMIFS('ноябрь 2023'!$G$76:$G$1127,'ноябрь 2023'!$D$76:$D$1127,$B179,'ноябрь 2023'!$J$76:$J$1127,G$1)</f>
        <v>0</v>
      </c>
      <c r="H179" s="207">
        <f>SUMIFS('ноябрь 2023'!$G$76:$G$1127,'ноябрь 2023'!$D$76:$D$1127,$B179,'ноябрь 2023'!$J$76:$J$1127,H$1)</f>
        <v>0</v>
      </c>
      <c r="I179" s="207">
        <f>SUMIFS('ноябрь 2023'!$G$76:$G$1127,'ноябрь 2023'!$D$76:$D$1127,$B179,'ноябрь 2023'!$J$76:$J$1127,I$1)</f>
        <v>0</v>
      </c>
      <c r="J179" s="207">
        <f>SUMIFS('ноябрь 2023'!$G$76:$G$1127,'ноябрь 2023'!$D$76:$D$1127,$B179,'ноябрь 2023'!$J$76:$J$1127,J$1)</f>
        <v>0</v>
      </c>
      <c r="K179" s="207">
        <f>SUMIFS('ноябрь 2023'!$G$76:$G$1127,'ноябрь 2023'!$D$76:$D$1127,$B179,'ноябрь 2023'!$J$76:$J$1127,K$1)</f>
        <v>0</v>
      </c>
      <c r="L179" s="207">
        <f>SUMIFS('ноябрь 2023'!$G$76:$G$1127,'ноябрь 2023'!$D$76:$D$1127,$B179,'ноябрь 2023'!$J$76:$J$1127,L$1)</f>
        <v>0</v>
      </c>
      <c r="M179" s="207">
        <f>SUMIFS('ноябрь 2023'!$G$76:$G$1127,'ноябрь 2023'!$D$76:$D$1127,$B179,'ноябрь 2023'!$J$76:$J$1127,M$1)</f>
        <v>0</v>
      </c>
      <c r="N179" s="207">
        <f>SUMIFS('ноябрь 2023'!$G$76:$G$1127,'ноябрь 2023'!$D$76:$D$1127,$B179,'ноябрь 2023'!$J$76:$J$1127,N$1)</f>
        <v>0</v>
      </c>
      <c r="O179" s="207">
        <f>SUMIFS('ноябрь 2023'!$G$76:$G$1127,'ноябрь 2023'!$D$76:$D$1127,$B179,'ноябрь 2023'!$J$76:$J$1127,O$1)</f>
        <v>0</v>
      </c>
      <c r="P179" s="207">
        <f>SUMIFS('ноябрь 2023'!$G$76:$G$1127,'ноябрь 2023'!$D$76:$D$1127,$B179,'ноябрь 2023'!$J$76:$J$1127,P$1)</f>
        <v>0</v>
      </c>
      <c r="Q179" s="207">
        <f>SUMIFS('ноябрь 2023'!$G$76:$G$1127,'ноябрь 2023'!$D$76:$D$1127,$B179,'ноябрь 2023'!$J$76:$J$1127,Q$1)</f>
        <v>0</v>
      </c>
      <c r="R179" s="207">
        <f>SUMIFS('ноябрь 2023'!$G$76:$G$1127,'ноябрь 2023'!$D$76:$D$1127,$B179,'ноябрь 2023'!$J$76:$J$1127,R$1)</f>
        <v>0</v>
      </c>
      <c r="S179" s="207">
        <f>SUMIFS('ноябрь 2023'!$G$76:$G$1127,'ноябрь 2023'!$D$76:$D$1127,$B179,'ноябрь 2023'!$J$76:$J$1127,S$1)</f>
        <v>0</v>
      </c>
      <c r="T179" s="207">
        <f>SUMIFS('ноябрь 2023'!$G$76:$G$1127,'ноябрь 2023'!$D$76:$D$1127,$B179,'ноябрь 2023'!$J$76:$J$1127,T$1)</f>
        <v>0</v>
      </c>
      <c r="U179" s="207">
        <f>SUMIFS('ноябрь 2023'!$G$76:$G$1127,'ноябрь 2023'!$D$76:$D$1127,$B179,'ноябрь 2023'!$J$76:$J$1127,U$1)</f>
        <v>0</v>
      </c>
      <c r="V179" s="207">
        <f>SUMIFS('ноябрь 2023'!$G$76:$G$1127,'ноябрь 2023'!$D$76:$D$1127,$B179,'ноябрь 2023'!$J$76:$J$1127,V$1)</f>
        <v>0</v>
      </c>
      <c r="W179" s="207">
        <f>SUMIFS('ноябрь 2023'!$G$76:$G$1127,'ноябрь 2023'!$D$76:$D$1127,$B179,'ноябрь 2023'!$J$76:$J$1127,W$1)</f>
        <v>0</v>
      </c>
      <c r="X179" s="207">
        <f>SUMIFS('ноябрь 2023'!$G$76:$G$1127,'ноябрь 2023'!$D$76:$D$1127,$B179,'ноябрь 2023'!$J$76:$J$1127,X$1)</f>
        <v>0</v>
      </c>
      <c r="Y179" s="207">
        <f>SUMIFS('ноябрь 2023'!$G$76:$G$1127,'ноябрь 2023'!$D$76:$D$1127,$B179,'ноябрь 2023'!$J$76:$J$1127,Y$1)</f>
        <v>0</v>
      </c>
      <c r="Z179" s="207">
        <f>SUMIFS('ноябрь 2023'!$G$76:$G$1127,'ноябрь 2023'!$D$76:$D$1127,$B179,'ноябрь 2023'!$J$76:$J$1127,Z$1)</f>
        <v>0</v>
      </c>
      <c r="AA179" s="207">
        <f>SUMIFS('ноябрь 2023'!$G$76:$G$1127,'ноябрь 2023'!$D$76:$D$1127,$B179,'ноябрь 2023'!$J$76:$J$1127,AA$1)</f>
        <v>0</v>
      </c>
      <c r="AB179" s="207">
        <f>SUMIFS('ноябрь 2023'!$G$76:$G$1127,'ноябрь 2023'!$D$76:$D$1127,$B179,'ноябрь 2023'!$J$76:$J$1127,AB$1)</f>
        <v>0</v>
      </c>
      <c r="AC179" s="207">
        <f>SUMIFS('ноябрь 2023'!$G$76:$G$1127,'ноябрь 2023'!$D$76:$D$1127,$B179,'ноябрь 2023'!$J$76:$J$1127,AC$1)</f>
        <v>0</v>
      </c>
      <c r="AD179" s="207">
        <f>SUMIFS('ноябрь 2023'!$G$76:$G$1127,'ноябрь 2023'!$D$76:$D$1127,$B179,'ноябрь 2023'!$J$76:$J$1127,AD$1)</f>
        <v>0</v>
      </c>
      <c r="AE179" s="207">
        <f>SUMIFS('ноябрь 2023'!$G$76:$G$1127,'ноябрь 2023'!$D$76:$D$1127,$B179,'ноябрь 2023'!$J$76:$J$1127,AE$1)</f>
        <v>0</v>
      </c>
      <c r="AF179" s="207">
        <f>SUMIFS('ноябрь 2023'!$G$76:$G$1127,'ноябрь 2023'!$D$76:$D$1127,$B179,'ноябрь 2023'!$J$76:$J$1127,AF$1)</f>
        <v>0</v>
      </c>
      <c r="AG179" s="207">
        <f>SUMIFS('ноябрь 2023'!$G$76:$G$1127,'ноябрь 2023'!$D$76:$D$1127,$B179,'ноябрь 2023'!$J$76:$J$1127,AG$1)</f>
        <v>0</v>
      </c>
      <c r="AH179" s="207">
        <f>SUMIFS('ноябрь 2023'!$G$76:$G$1127,'ноябрь 2023'!$D$76:$D$1127,$B179,'ноябрь 2023'!$J$76:$J$1127,AH$1)</f>
        <v>0</v>
      </c>
      <c r="AI179" s="220">
        <f t="shared" si="4"/>
        <v>0</v>
      </c>
    </row>
    <row r="180" spans="2:35" ht="15.75" hidden="1" x14ac:dyDescent="0.25">
      <c r="B180" s="212"/>
      <c r="C180" s="211"/>
      <c r="D180" s="207">
        <f>SUMIFS('ноябрь 2023'!$G$76:$G$1127,'ноябрь 2023'!$D$76:$D$1127,$B180,'ноябрь 2023'!$J$76:$J$1127,D$1)</f>
        <v>0</v>
      </c>
      <c r="E180" s="207">
        <f>SUMIFS('ноябрь 2023'!$G$76:$G$1127,'ноябрь 2023'!$D$76:$D$1127,$B180,'ноябрь 2023'!$J$76:$J$1127,E$1)</f>
        <v>0</v>
      </c>
      <c r="F180" s="207">
        <f>SUMIFS('ноябрь 2023'!$G$76:$G$1127,'ноябрь 2023'!$D$76:$D$1127,$B180,'ноябрь 2023'!$J$76:$J$1127,F$1)</f>
        <v>0</v>
      </c>
      <c r="G180" s="207">
        <f>SUMIFS('ноябрь 2023'!$G$76:$G$1127,'ноябрь 2023'!$D$76:$D$1127,$B180,'ноябрь 2023'!$J$76:$J$1127,G$1)</f>
        <v>0</v>
      </c>
      <c r="H180" s="207">
        <f>SUMIFS('ноябрь 2023'!$G$76:$G$1127,'ноябрь 2023'!$D$76:$D$1127,$B180,'ноябрь 2023'!$J$76:$J$1127,H$1)</f>
        <v>0</v>
      </c>
      <c r="I180" s="207">
        <f>SUMIFS('ноябрь 2023'!$G$76:$G$1127,'ноябрь 2023'!$D$76:$D$1127,$B180,'ноябрь 2023'!$J$76:$J$1127,I$1)</f>
        <v>0</v>
      </c>
      <c r="J180" s="207">
        <f>SUMIFS('ноябрь 2023'!$G$76:$G$1127,'ноябрь 2023'!$D$76:$D$1127,$B180,'ноябрь 2023'!$J$76:$J$1127,J$1)</f>
        <v>0</v>
      </c>
      <c r="K180" s="207">
        <f>SUMIFS('ноябрь 2023'!$G$76:$G$1127,'ноябрь 2023'!$D$76:$D$1127,$B180,'ноябрь 2023'!$J$76:$J$1127,K$1)</f>
        <v>0</v>
      </c>
      <c r="L180" s="207">
        <f>SUMIFS('ноябрь 2023'!$G$76:$G$1127,'ноябрь 2023'!$D$76:$D$1127,$B180,'ноябрь 2023'!$J$76:$J$1127,L$1)</f>
        <v>0</v>
      </c>
      <c r="M180" s="207">
        <f>SUMIFS('ноябрь 2023'!$G$76:$G$1127,'ноябрь 2023'!$D$76:$D$1127,$B180,'ноябрь 2023'!$J$76:$J$1127,M$1)</f>
        <v>0</v>
      </c>
      <c r="N180" s="207">
        <f>SUMIFS('ноябрь 2023'!$G$76:$G$1127,'ноябрь 2023'!$D$76:$D$1127,$B180,'ноябрь 2023'!$J$76:$J$1127,N$1)</f>
        <v>0</v>
      </c>
      <c r="O180" s="207">
        <f>SUMIFS('ноябрь 2023'!$G$76:$G$1127,'ноябрь 2023'!$D$76:$D$1127,$B180,'ноябрь 2023'!$J$76:$J$1127,O$1)</f>
        <v>0</v>
      </c>
      <c r="P180" s="207">
        <f>SUMIFS('ноябрь 2023'!$G$76:$G$1127,'ноябрь 2023'!$D$76:$D$1127,$B180,'ноябрь 2023'!$J$76:$J$1127,P$1)</f>
        <v>0</v>
      </c>
      <c r="Q180" s="207">
        <f>SUMIFS('ноябрь 2023'!$G$76:$G$1127,'ноябрь 2023'!$D$76:$D$1127,$B180,'ноябрь 2023'!$J$76:$J$1127,Q$1)</f>
        <v>0</v>
      </c>
      <c r="R180" s="207">
        <f>SUMIFS('ноябрь 2023'!$G$76:$G$1127,'ноябрь 2023'!$D$76:$D$1127,$B180,'ноябрь 2023'!$J$76:$J$1127,R$1)</f>
        <v>0</v>
      </c>
      <c r="S180" s="207">
        <f>SUMIFS('ноябрь 2023'!$G$76:$G$1127,'ноябрь 2023'!$D$76:$D$1127,$B180,'ноябрь 2023'!$J$76:$J$1127,S$1)</f>
        <v>0</v>
      </c>
      <c r="T180" s="207">
        <f>SUMIFS('ноябрь 2023'!$G$76:$G$1127,'ноябрь 2023'!$D$76:$D$1127,$B180,'ноябрь 2023'!$J$76:$J$1127,T$1)</f>
        <v>0</v>
      </c>
      <c r="U180" s="207">
        <f>SUMIFS('ноябрь 2023'!$G$76:$G$1127,'ноябрь 2023'!$D$76:$D$1127,$B180,'ноябрь 2023'!$J$76:$J$1127,U$1)</f>
        <v>0</v>
      </c>
      <c r="V180" s="207">
        <f>SUMIFS('ноябрь 2023'!$G$76:$G$1127,'ноябрь 2023'!$D$76:$D$1127,$B180,'ноябрь 2023'!$J$76:$J$1127,V$1)</f>
        <v>0</v>
      </c>
      <c r="W180" s="207">
        <f>SUMIFS('ноябрь 2023'!$G$76:$G$1127,'ноябрь 2023'!$D$76:$D$1127,$B180,'ноябрь 2023'!$J$76:$J$1127,W$1)</f>
        <v>0</v>
      </c>
      <c r="X180" s="207">
        <f>SUMIFS('ноябрь 2023'!$G$76:$G$1127,'ноябрь 2023'!$D$76:$D$1127,$B180,'ноябрь 2023'!$J$76:$J$1127,X$1)</f>
        <v>0</v>
      </c>
      <c r="Y180" s="207">
        <f>SUMIFS('ноябрь 2023'!$G$76:$G$1127,'ноябрь 2023'!$D$76:$D$1127,$B180,'ноябрь 2023'!$J$76:$J$1127,Y$1)</f>
        <v>0</v>
      </c>
      <c r="Z180" s="207">
        <f>SUMIFS('ноябрь 2023'!$G$76:$G$1127,'ноябрь 2023'!$D$76:$D$1127,$B180,'ноябрь 2023'!$J$76:$J$1127,Z$1)</f>
        <v>0</v>
      </c>
      <c r="AA180" s="207">
        <f>SUMIFS('ноябрь 2023'!$G$76:$G$1127,'ноябрь 2023'!$D$76:$D$1127,$B180,'ноябрь 2023'!$J$76:$J$1127,AA$1)</f>
        <v>0</v>
      </c>
      <c r="AB180" s="207">
        <f>SUMIFS('ноябрь 2023'!$G$76:$G$1127,'ноябрь 2023'!$D$76:$D$1127,$B180,'ноябрь 2023'!$J$76:$J$1127,AB$1)</f>
        <v>0</v>
      </c>
      <c r="AC180" s="207">
        <f>SUMIFS('ноябрь 2023'!$G$76:$G$1127,'ноябрь 2023'!$D$76:$D$1127,$B180,'ноябрь 2023'!$J$76:$J$1127,AC$1)</f>
        <v>0</v>
      </c>
      <c r="AD180" s="207">
        <f>SUMIFS('ноябрь 2023'!$G$76:$G$1127,'ноябрь 2023'!$D$76:$D$1127,$B180,'ноябрь 2023'!$J$76:$J$1127,AD$1)</f>
        <v>0</v>
      </c>
      <c r="AE180" s="207">
        <f>SUMIFS('ноябрь 2023'!$G$76:$G$1127,'ноябрь 2023'!$D$76:$D$1127,$B180,'ноябрь 2023'!$J$76:$J$1127,AE$1)</f>
        <v>0</v>
      </c>
      <c r="AF180" s="207">
        <f>SUMIFS('ноябрь 2023'!$G$76:$G$1127,'ноябрь 2023'!$D$76:$D$1127,$B180,'ноябрь 2023'!$J$76:$J$1127,AF$1)</f>
        <v>0</v>
      </c>
      <c r="AG180" s="207">
        <f>SUMIFS('ноябрь 2023'!$G$76:$G$1127,'ноябрь 2023'!$D$76:$D$1127,$B180,'ноябрь 2023'!$J$76:$J$1127,AG$1)</f>
        <v>0</v>
      </c>
      <c r="AH180" s="207">
        <f>SUMIFS('ноябрь 2023'!$G$76:$G$1127,'ноябрь 2023'!$D$76:$D$1127,$B180,'ноябрь 2023'!$J$76:$J$1127,AH$1)</f>
        <v>0</v>
      </c>
      <c r="AI180" s="220">
        <f t="shared" si="4"/>
        <v>0</v>
      </c>
    </row>
    <row r="181" spans="2:35" ht="15.75" hidden="1" x14ac:dyDescent="0.25">
      <c r="B181" s="212"/>
      <c r="C181" s="211"/>
      <c r="D181" s="207">
        <f>SUMIFS('ноябрь 2023'!$G$76:$G$1127,'ноябрь 2023'!$D$76:$D$1127,$B181,'ноябрь 2023'!$J$76:$J$1127,D$1)</f>
        <v>0</v>
      </c>
      <c r="E181" s="207">
        <f>SUMIFS('ноябрь 2023'!$G$76:$G$1127,'ноябрь 2023'!$D$76:$D$1127,$B181,'ноябрь 2023'!$J$76:$J$1127,E$1)</f>
        <v>0</v>
      </c>
      <c r="F181" s="207">
        <f>SUMIFS('ноябрь 2023'!$G$76:$G$1127,'ноябрь 2023'!$D$76:$D$1127,$B181,'ноябрь 2023'!$J$76:$J$1127,F$1)</f>
        <v>0</v>
      </c>
      <c r="G181" s="207">
        <f>SUMIFS('ноябрь 2023'!$G$76:$G$1127,'ноябрь 2023'!$D$76:$D$1127,$B181,'ноябрь 2023'!$J$76:$J$1127,G$1)</f>
        <v>0</v>
      </c>
      <c r="H181" s="207">
        <f>SUMIFS('ноябрь 2023'!$G$76:$G$1127,'ноябрь 2023'!$D$76:$D$1127,$B181,'ноябрь 2023'!$J$76:$J$1127,H$1)</f>
        <v>0</v>
      </c>
      <c r="I181" s="207">
        <f>SUMIFS('ноябрь 2023'!$G$76:$G$1127,'ноябрь 2023'!$D$76:$D$1127,$B181,'ноябрь 2023'!$J$76:$J$1127,I$1)</f>
        <v>0</v>
      </c>
      <c r="J181" s="207">
        <f>SUMIFS('ноябрь 2023'!$G$76:$G$1127,'ноябрь 2023'!$D$76:$D$1127,$B181,'ноябрь 2023'!$J$76:$J$1127,J$1)</f>
        <v>0</v>
      </c>
      <c r="K181" s="207">
        <f>SUMIFS('ноябрь 2023'!$G$76:$G$1127,'ноябрь 2023'!$D$76:$D$1127,$B181,'ноябрь 2023'!$J$76:$J$1127,K$1)</f>
        <v>0</v>
      </c>
      <c r="L181" s="207">
        <f>SUMIFS('ноябрь 2023'!$G$76:$G$1127,'ноябрь 2023'!$D$76:$D$1127,$B181,'ноябрь 2023'!$J$76:$J$1127,L$1)</f>
        <v>0</v>
      </c>
      <c r="M181" s="207">
        <f>SUMIFS('ноябрь 2023'!$G$76:$G$1127,'ноябрь 2023'!$D$76:$D$1127,$B181,'ноябрь 2023'!$J$76:$J$1127,M$1)</f>
        <v>0</v>
      </c>
      <c r="N181" s="207">
        <f>SUMIFS('ноябрь 2023'!$G$76:$G$1127,'ноябрь 2023'!$D$76:$D$1127,$B181,'ноябрь 2023'!$J$76:$J$1127,N$1)</f>
        <v>0</v>
      </c>
      <c r="O181" s="207">
        <f>SUMIFS('ноябрь 2023'!$G$76:$G$1127,'ноябрь 2023'!$D$76:$D$1127,$B181,'ноябрь 2023'!$J$76:$J$1127,O$1)</f>
        <v>0</v>
      </c>
      <c r="P181" s="207">
        <f>SUMIFS('ноябрь 2023'!$G$76:$G$1127,'ноябрь 2023'!$D$76:$D$1127,$B181,'ноябрь 2023'!$J$76:$J$1127,P$1)</f>
        <v>0</v>
      </c>
      <c r="Q181" s="207">
        <f>SUMIFS('ноябрь 2023'!$G$76:$G$1127,'ноябрь 2023'!$D$76:$D$1127,$B181,'ноябрь 2023'!$J$76:$J$1127,Q$1)</f>
        <v>0</v>
      </c>
      <c r="R181" s="207">
        <f>SUMIFS('ноябрь 2023'!$G$76:$G$1127,'ноябрь 2023'!$D$76:$D$1127,$B181,'ноябрь 2023'!$J$76:$J$1127,R$1)</f>
        <v>0</v>
      </c>
      <c r="S181" s="207">
        <f>SUMIFS('ноябрь 2023'!$G$76:$G$1127,'ноябрь 2023'!$D$76:$D$1127,$B181,'ноябрь 2023'!$J$76:$J$1127,S$1)</f>
        <v>0</v>
      </c>
      <c r="T181" s="207">
        <f>SUMIFS('ноябрь 2023'!$G$76:$G$1127,'ноябрь 2023'!$D$76:$D$1127,$B181,'ноябрь 2023'!$J$76:$J$1127,T$1)</f>
        <v>0</v>
      </c>
      <c r="U181" s="207">
        <f>SUMIFS('ноябрь 2023'!$G$76:$G$1127,'ноябрь 2023'!$D$76:$D$1127,$B181,'ноябрь 2023'!$J$76:$J$1127,U$1)</f>
        <v>0</v>
      </c>
      <c r="V181" s="207">
        <f>SUMIFS('ноябрь 2023'!$G$76:$G$1127,'ноябрь 2023'!$D$76:$D$1127,$B181,'ноябрь 2023'!$J$76:$J$1127,V$1)</f>
        <v>0</v>
      </c>
      <c r="W181" s="207">
        <f>SUMIFS('ноябрь 2023'!$G$76:$G$1127,'ноябрь 2023'!$D$76:$D$1127,$B181,'ноябрь 2023'!$J$76:$J$1127,W$1)</f>
        <v>0</v>
      </c>
      <c r="X181" s="207">
        <f>SUMIFS('ноябрь 2023'!$G$76:$G$1127,'ноябрь 2023'!$D$76:$D$1127,$B181,'ноябрь 2023'!$J$76:$J$1127,X$1)</f>
        <v>0</v>
      </c>
      <c r="Y181" s="207">
        <f>SUMIFS('ноябрь 2023'!$G$76:$G$1127,'ноябрь 2023'!$D$76:$D$1127,$B181,'ноябрь 2023'!$J$76:$J$1127,Y$1)</f>
        <v>0</v>
      </c>
      <c r="Z181" s="207">
        <f>SUMIFS('ноябрь 2023'!$G$76:$G$1127,'ноябрь 2023'!$D$76:$D$1127,$B181,'ноябрь 2023'!$J$76:$J$1127,Z$1)</f>
        <v>0</v>
      </c>
      <c r="AA181" s="207">
        <f>SUMIFS('ноябрь 2023'!$G$76:$G$1127,'ноябрь 2023'!$D$76:$D$1127,$B181,'ноябрь 2023'!$J$76:$J$1127,AA$1)</f>
        <v>0</v>
      </c>
      <c r="AB181" s="207">
        <f>SUMIFS('ноябрь 2023'!$G$76:$G$1127,'ноябрь 2023'!$D$76:$D$1127,$B181,'ноябрь 2023'!$J$76:$J$1127,AB$1)</f>
        <v>0</v>
      </c>
      <c r="AC181" s="207">
        <f>SUMIFS('ноябрь 2023'!$G$76:$G$1127,'ноябрь 2023'!$D$76:$D$1127,$B181,'ноябрь 2023'!$J$76:$J$1127,AC$1)</f>
        <v>0</v>
      </c>
      <c r="AD181" s="207">
        <f>SUMIFS('ноябрь 2023'!$G$76:$G$1127,'ноябрь 2023'!$D$76:$D$1127,$B181,'ноябрь 2023'!$J$76:$J$1127,AD$1)</f>
        <v>0</v>
      </c>
      <c r="AE181" s="207">
        <f>SUMIFS('ноябрь 2023'!$G$76:$G$1127,'ноябрь 2023'!$D$76:$D$1127,$B181,'ноябрь 2023'!$J$76:$J$1127,AE$1)</f>
        <v>0</v>
      </c>
      <c r="AF181" s="207">
        <f>SUMIFS('ноябрь 2023'!$G$76:$G$1127,'ноябрь 2023'!$D$76:$D$1127,$B181,'ноябрь 2023'!$J$76:$J$1127,AF$1)</f>
        <v>0</v>
      </c>
      <c r="AG181" s="207">
        <f>SUMIFS('ноябрь 2023'!$G$76:$G$1127,'ноябрь 2023'!$D$76:$D$1127,$B181,'ноябрь 2023'!$J$76:$J$1127,AG$1)</f>
        <v>0</v>
      </c>
      <c r="AH181" s="207">
        <f>SUMIFS('ноябрь 2023'!$G$76:$G$1127,'ноябрь 2023'!$D$76:$D$1127,$B181,'ноябрь 2023'!$J$76:$J$1127,AH$1)</f>
        <v>0</v>
      </c>
      <c r="AI181" s="220">
        <f t="shared" si="4"/>
        <v>0</v>
      </c>
    </row>
    <row r="182" spans="2:35" ht="15.75" hidden="1" x14ac:dyDescent="0.25">
      <c r="B182" s="212"/>
      <c r="C182" s="211"/>
      <c r="D182" s="207">
        <f>SUMIFS('ноябрь 2023'!$G$76:$G$1127,'ноябрь 2023'!$D$76:$D$1127,$B182,'ноябрь 2023'!$J$76:$J$1127,D$1)</f>
        <v>0</v>
      </c>
      <c r="E182" s="207">
        <f>SUMIFS('ноябрь 2023'!$G$76:$G$1127,'ноябрь 2023'!$D$76:$D$1127,$B182,'ноябрь 2023'!$J$76:$J$1127,E$1)</f>
        <v>0</v>
      </c>
      <c r="F182" s="207">
        <f>SUMIFS('ноябрь 2023'!$G$76:$G$1127,'ноябрь 2023'!$D$76:$D$1127,$B182,'ноябрь 2023'!$J$76:$J$1127,F$1)</f>
        <v>0</v>
      </c>
      <c r="G182" s="207">
        <f>SUMIFS('ноябрь 2023'!$G$76:$G$1127,'ноябрь 2023'!$D$76:$D$1127,$B182,'ноябрь 2023'!$J$76:$J$1127,G$1)</f>
        <v>0</v>
      </c>
      <c r="H182" s="207">
        <f>SUMIFS('ноябрь 2023'!$G$76:$G$1127,'ноябрь 2023'!$D$76:$D$1127,$B182,'ноябрь 2023'!$J$76:$J$1127,H$1)</f>
        <v>0</v>
      </c>
      <c r="I182" s="207">
        <f>SUMIFS('ноябрь 2023'!$G$76:$G$1127,'ноябрь 2023'!$D$76:$D$1127,$B182,'ноябрь 2023'!$J$76:$J$1127,I$1)</f>
        <v>0</v>
      </c>
      <c r="J182" s="207">
        <f>SUMIFS('ноябрь 2023'!$G$76:$G$1127,'ноябрь 2023'!$D$76:$D$1127,$B182,'ноябрь 2023'!$J$76:$J$1127,J$1)</f>
        <v>0</v>
      </c>
      <c r="K182" s="207">
        <f>SUMIFS('ноябрь 2023'!$G$76:$G$1127,'ноябрь 2023'!$D$76:$D$1127,$B182,'ноябрь 2023'!$J$76:$J$1127,K$1)</f>
        <v>0</v>
      </c>
      <c r="L182" s="207">
        <f>SUMIFS('ноябрь 2023'!$G$76:$G$1127,'ноябрь 2023'!$D$76:$D$1127,$B182,'ноябрь 2023'!$J$76:$J$1127,L$1)</f>
        <v>0</v>
      </c>
      <c r="M182" s="207">
        <f>SUMIFS('ноябрь 2023'!$G$76:$G$1127,'ноябрь 2023'!$D$76:$D$1127,$B182,'ноябрь 2023'!$J$76:$J$1127,M$1)</f>
        <v>0</v>
      </c>
      <c r="N182" s="207">
        <f>SUMIFS('ноябрь 2023'!$G$76:$G$1127,'ноябрь 2023'!$D$76:$D$1127,$B182,'ноябрь 2023'!$J$76:$J$1127,N$1)</f>
        <v>0</v>
      </c>
      <c r="O182" s="207">
        <f>SUMIFS('ноябрь 2023'!$G$76:$G$1127,'ноябрь 2023'!$D$76:$D$1127,$B182,'ноябрь 2023'!$J$76:$J$1127,O$1)</f>
        <v>0</v>
      </c>
      <c r="P182" s="207">
        <f>SUMIFS('ноябрь 2023'!$G$76:$G$1127,'ноябрь 2023'!$D$76:$D$1127,$B182,'ноябрь 2023'!$J$76:$J$1127,P$1)</f>
        <v>0</v>
      </c>
      <c r="Q182" s="207">
        <f>SUMIFS('ноябрь 2023'!$G$76:$G$1127,'ноябрь 2023'!$D$76:$D$1127,$B182,'ноябрь 2023'!$J$76:$J$1127,Q$1)</f>
        <v>0</v>
      </c>
      <c r="R182" s="207">
        <f>SUMIFS('ноябрь 2023'!$G$76:$G$1127,'ноябрь 2023'!$D$76:$D$1127,$B182,'ноябрь 2023'!$J$76:$J$1127,R$1)</f>
        <v>0</v>
      </c>
      <c r="S182" s="207">
        <f>SUMIFS('ноябрь 2023'!$G$76:$G$1127,'ноябрь 2023'!$D$76:$D$1127,$B182,'ноябрь 2023'!$J$76:$J$1127,S$1)</f>
        <v>0</v>
      </c>
      <c r="T182" s="207">
        <f>SUMIFS('ноябрь 2023'!$G$76:$G$1127,'ноябрь 2023'!$D$76:$D$1127,$B182,'ноябрь 2023'!$J$76:$J$1127,T$1)</f>
        <v>0</v>
      </c>
      <c r="U182" s="207">
        <f>SUMIFS('ноябрь 2023'!$G$76:$G$1127,'ноябрь 2023'!$D$76:$D$1127,$B182,'ноябрь 2023'!$J$76:$J$1127,U$1)</f>
        <v>0</v>
      </c>
      <c r="V182" s="207">
        <f>SUMIFS('ноябрь 2023'!$G$76:$G$1127,'ноябрь 2023'!$D$76:$D$1127,$B182,'ноябрь 2023'!$J$76:$J$1127,V$1)</f>
        <v>0</v>
      </c>
      <c r="W182" s="207">
        <f>SUMIFS('ноябрь 2023'!$G$76:$G$1127,'ноябрь 2023'!$D$76:$D$1127,$B182,'ноябрь 2023'!$J$76:$J$1127,W$1)</f>
        <v>0</v>
      </c>
      <c r="X182" s="207">
        <f>SUMIFS('ноябрь 2023'!$G$76:$G$1127,'ноябрь 2023'!$D$76:$D$1127,$B182,'ноябрь 2023'!$J$76:$J$1127,X$1)</f>
        <v>0</v>
      </c>
      <c r="Y182" s="207">
        <f>SUMIFS('ноябрь 2023'!$G$76:$G$1127,'ноябрь 2023'!$D$76:$D$1127,$B182,'ноябрь 2023'!$J$76:$J$1127,Y$1)</f>
        <v>0</v>
      </c>
      <c r="Z182" s="207">
        <f>SUMIFS('ноябрь 2023'!$G$76:$G$1127,'ноябрь 2023'!$D$76:$D$1127,$B182,'ноябрь 2023'!$J$76:$J$1127,Z$1)</f>
        <v>0</v>
      </c>
      <c r="AA182" s="207">
        <f>SUMIFS('ноябрь 2023'!$G$76:$G$1127,'ноябрь 2023'!$D$76:$D$1127,$B182,'ноябрь 2023'!$J$76:$J$1127,AA$1)</f>
        <v>0</v>
      </c>
      <c r="AB182" s="207">
        <f>SUMIFS('ноябрь 2023'!$G$76:$G$1127,'ноябрь 2023'!$D$76:$D$1127,$B182,'ноябрь 2023'!$J$76:$J$1127,AB$1)</f>
        <v>0</v>
      </c>
      <c r="AC182" s="207">
        <f>SUMIFS('ноябрь 2023'!$G$76:$G$1127,'ноябрь 2023'!$D$76:$D$1127,$B182,'ноябрь 2023'!$J$76:$J$1127,AC$1)</f>
        <v>0</v>
      </c>
      <c r="AD182" s="207">
        <f>SUMIFS('ноябрь 2023'!$G$76:$G$1127,'ноябрь 2023'!$D$76:$D$1127,$B182,'ноябрь 2023'!$J$76:$J$1127,AD$1)</f>
        <v>0</v>
      </c>
      <c r="AE182" s="207">
        <f>SUMIFS('ноябрь 2023'!$G$76:$G$1127,'ноябрь 2023'!$D$76:$D$1127,$B182,'ноябрь 2023'!$J$76:$J$1127,AE$1)</f>
        <v>0</v>
      </c>
      <c r="AF182" s="207">
        <f>SUMIFS('ноябрь 2023'!$G$76:$G$1127,'ноябрь 2023'!$D$76:$D$1127,$B182,'ноябрь 2023'!$J$76:$J$1127,AF$1)</f>
        <v>0</v>
      </c>
      <c r="AG182" s="207">
        <f>SUMIFS('ноябрь 2023'!$G$76:$G$1127,'ноябрь 2023'!$D$76:$D$1127,$B182,'ноябрь 2023'!$J$76:$J$1127,AG$1)</f>
        <v>0</v>
      </c>
      <c r="AH182" s="207">
        <f>SUMIFS('ноябрь 2023'!$G$76:$G$1127,'ноябрь 2023'!$D$76:$D$1127,$B182,'ноябрь 2023'!$J$76:$J$1127,AH$1)</f>
        <v>0</v>
      </c>
      <c r="AI182" s="220">
        <f t="shared" si="4"/>
        <v>0</v>
      </c>
    </row>
    <row r="183" spans="2:35" ht="15.75" hidden="1" x14ac:dyDescent="0.25">
      <c r="B183" s="212"/>
      <c r="C183" s="211"/>
      <c r="D183" s="207">
        <f>SUMIFS('ноябрь 2023'!$G$76:$G$1127,'ноябрь 2023'!$D$76:$D$1127,$B183,'ноябрь 2023'!$J$76:$J$1127,D$1)</f>
        <v>0</v>
      </c>
      <c r="E183" s="207">
        <f>SUMIFS('ноябрь 2023'!$G$76:$G$1127,'ноябрь 2023'!$D$76:$D$1127,$B183,'ноябрь 2023'!$J$76:$J$1127,E$1)</f>
        <v>0</v>
      </c>
      <c r="F183" s="207">
        <f>SUMIFS('ноябрь 2023'!$G$76:$G$1127,'ноябрь 2023'!$D$76:$D$1127,$B183,'ноябрь 2023'!$J$76:$J$1127,F$1)</f>
        <v>0</v>
      </c>
      <c r="G183" s="207">
        <f>SUMIFS('ноябрь 2023'!$G$76:$G$1127,'ноябрь 2023'!$D$76:$D$1127,$B183,'ноябрь 2023'!$J$76:$J$1127,G$1)</f>
        <v>0</v>
      </c>
      <c r="H183" s="207">
        <f>SUMIFS('ноябрь 2023'!$G$76:$G$1127,'ноябрь 2023'!$D$76:$D$1127,$B183,'ноябрь 2023'!$J$76:$J$1127,H$1)</f>
        <v>0</v>
      </c>
      <c r="I183" s="207">
        <f>SUMIFS('ноябрь 2023'!$G$76:$G$1127,'ноябрь 2023'!$D$76:$D$1127,$B183,'ноябрь 2023'!$J$76:$J$1127,I$1)</f>
        <v>0</v>
      </c>
      <c r="J183" s="207">
        <f>SUMIFS('ноябрь 2023'!$G$76:$G$1127,'ноябрь 2023'!$D$76:$D$1127,$B183,'ноябрь 2023'!$J$76:$J$1127,J$1)</f>
        <v>0</v>
      </c>
      <c r="K183" s="207">
        <f>SUMIFS('ноябрь 2023'!$G$76:$G$1127,'ноябрь 2023'!$D$76:$D$1127,$B183,'ноябрь 2023'!$J$76:$J$1127,K$1)</f>
        <v>0</v>
      </c>
      <c r="L183" s="207">
        <f>SUMIFS('ноябрь 2023'!$G$76:$G$1127,'ноябрь 2023'!$D$76:$D$1127,$B183,'ноябрь 2023'!$J$76:$J$1127,L$1)</f>
        <v>0</v>
      </c>
      <c r="M183" s="207">
        <f>SUMIFS('ноябрь 2023'!$G$76:$G$1127,'ноябрь 2023'!$D$76:$D$1127,$B183,'ноябрь 2023'!$J$76:$J$1127,M$1)</f>
        <v>0</v>
      </c>
      <c r="N183" s="207">
        <f>SUMIFS('ноябрь 2023'!$G$76:$G$1127,'ноябрь 2023'!$D$76:$D$1127,$B183,'ноябрь 2023'!$J$76:$J$1127,N$1)</f>
        <v>0</v>
      </c>
      <c r="O183" s="207">
        <f>SUMIFS('ноябрь 2023'!$G$76:$G$1127,'ноябрь 2023'!$D$76:$D$1127,$B183,'ноябрь 2023'!$J$76:$J$1127,O$1)</f>
        <v>0</v>
      </c>
      <c r="P183" s="207">
        <f>SUMIFS('ноябрь 2023'!$G$76:$G$1127,'ноябрь 2023'!$D$76:$D$1127,$B183,'ноябрь 2023'!$J$76:$J$1127,P$1)</f>
        <v>0</v>
      </c>
      <c r="Q183" s="207">
        <f>SUMIFS('ноябрь 2023'!$G$76:$G$1127,'ноябрь 2023'!$D$76:$D$1127,$B183,'ноябрь 2023'!$J$76:$J$1127,Q$1)</f>
        <v>0</v>
      </c>
      <c r="R183" s="207">
        <f>SUMIFS('ноябрь 2023'!$G$76:$G$1127,'ноябрь 2023'!$D$76:$D$1127,$B183,'ноябрь 2023'!$J$76:$J$1127,R$1)</f>
        <v>0</v>
      </c>
      <c r="S183" s="207">
        <f>SUMIFS('ноябрь 2023'!$G$76:$G$1127,'ноябрь 2023'!$D$76:$D$1127,$B183,'ноябрь 2023'!$J$76:$J$1127,S$1)</f>
        <v>0</v>
      </c>
      <c r="T183" s="207">
        <f>SUMIFS('ноябрь 2023'!$G$76:$G$1127,'ноябрь 2023'!$D$76:$D$1127,$B183,'ноябрь 2023'!$J$76:$J$1127,T$1)</f>
        <v>0</v>
      </c>
      <c r="U183" s="207">
        <f>SUMIFS('ноябрь 2023'!$G$76:$G$1127,'ноябрь 2023'!$D$76:$D$1127,$B183,'ноябрь 2023'!$J$76:$J$1127,U$1)</f>
        <v>0</v>
      </c>
      <c r="V183" s="207">
        <f>SUMIFS('ноябрь 2023'!$G$76:$G$1127,'ноябрь 2023'!$D$76:$D$1127,$B183,'ноябрь 2023'!$J$76:$J$1127,V$1)</f>
        <v>0</v>
      </c>
      <c r="W183" s="207">
        <f>SUMIFS('ноябрь 2023'!$G$76:$G$1127,'ноябрь 2023'!$D$76:$D$1127,$B183,'ноябрь 2023'!$J$76:$J$1127,W$1)</f>
        <v>0</v>
      </c>
      <c r="X183" s="207">
        <f>SUMIFS('ноябрь 2023'!$G$76:$G$1127,'ноябрь 2023'!$D$76:$D$1127,$B183,'ноябрь 2023'!$J$76:$J$1127,X$1)</f>
        <v>0</v>
      </c>
      <c r="Y183" s="207">
        <f>SUMIFS('ноябрь 2023'!$G$76:$G$1127,'ноябрь 2023'!$D$76:$D$1127,$B183,'ноябрь 2023'!$J$76:$J$1127,Y$1)</f>
        <v>0</v>
      </c>
      <c r="Z183" s="207">
        <f>SUMIFS('ноябрь 2023'!$G$76:$G$1127,'ноябрь 2023'!$D$76:$D$1127,$B183,'ноябрь 2023'!$J$76:$J$1127,Z$1)</f>
        <v>0</v>
      </c>
      <c r="AA183" s="207">
        <f>SUMIFS('ноябрь 2023'!$G$76:$G$1127,'ноябрь 2023'!$D$76:$D$1127,$B183,'ноябрь 2023'!$J$76:$J$1127,AA$1)</f>
        <v>0</v>
      </c>
      <c r="AB183" s="207">
        <f>SUMIFS('ноябрь 2023'!$G$76:$G$1127,'ноябрь 2023'!$D$76:$D$1127,$B183,'ноябрь 2023'!$J$76:$J$1127,AB$1)</f>
        <v>0</v>
      </c>
      <c r="AC183" s="207">
        <f>SUMIFS('ноябрь 2023'!$G$76:$G$1127,'ноябрь 2023'!$D$76:$D$1127,$B183,'ноябрь 2023'!$J$76:$J$1127,AC$1)</f>
        <v>0</v>
      </c>
      <c r="AD183" s="207">
        <f>SUMIFS('ноябрь 2023'!$G$76:$G$1127,'ноябрь 2023'!$D$76:$D$1127,$B183,'ноябрь 2023'!$J$76:$J$1127,AD$1)</f>
        <v>0</v>
      </c>
      <c r="AE183" s="207">
        <f>SUMIFS('ноябрь 2023'!$G$76:$G$1127,'ноябрь 2023'!$D$76:$D$1127,$B183,'ноябрь 2023'!$J$76:$J$1127,AE$1)</f>
        <v>0</v>
      </c>
      <c r="AF183" s="207">
        <f>SUMIFS('ноябрь 2023'!$G$76:$G$1127,'ноябрь 2023'!$D$76:$D$1127,$B183,'ноябрь 2023'!$J$76:$J$1127,AF$1)</f>
        <v>0</v>
      </c>
      <c r="AG183" s="207">
        <f>SUMIFS('ноябрь 2023'!$G$76:$G$1127,'ноябрь 2023'!$D$76:$D$1127,$B183,'ноябрь 2023'!$J$76:$J$1127,AG$1)</f>
        <v>0</v>
      </c>
      <c r="AH183" s="207">
        <f>SUMIFS('ноябрь 2023'!$G$76:$G$1127,'ноябрь 2023'!$D$76:$D$1127,$B183,'ноябрь 2023'!$J$76:$J$1127,AH$1)</f>
        <v>0</v>
      </c>
      <c r="AI183" s="220">
        <f t="shared" si="4"/>
        <v>0</v>
      </c>
    </row>
    <row r="184" spans="2:35" ht="15.75" hidden="1" x14ac:dyDescent="0.25">
      <c r="B184" s="212"/>
      <c r="C184" s="211"/>
      <c r="D184" s="207">
        <f>SUMIFS('ноябрь 2023'!$G$76:$G$1127,'ноябрь 2023'!$D$76:$D$1127,$B184,'ноябрь 2023'!$J$76:$J$1127,D$1)</f>
        <v>0</v>
      </c>
      <c r="E184" s="207">
        <f>SUMIFS('ноябрь 2023'!$G$76:$G$1127,'ноябрь 2023'!$D$76:$D$1127,$B184,'ноябрь 2023'!$J$76:$J$1127,E$1)</f>
        <v>0</v>
      </c>
      <c r="F184" s="207">
        <f>SUMIFS('ноябрь 2023'!$G$76:$G$1127,'ноябрь 2023'!$D$76:$D$1127,$B184,'ноябрь 2023'!$J$76:$J$1127,F$1)</f>
        <v>0</v>
      </c>
      <c r="G184" s="207">
        <f>SUMIFS('ноябрь 2023'!$G$76:$G$1127,'ноябрь 2023'!$D$76:$D$1127,$B184,'ноябрь 2023'!$J$76:$J$1127,G$1)</f>
        <v>0</v>
      </c>
      <c r="H184" s="207">
        <f>SUMIFS('ноябрь 2023'!$G$76:$G$1127,'ноябрь 2023'!$D$76:$D$1127,$B184,'ноябрь 2023'!$J$76:$J$1127,H$1)</f>
        <v>0</v>
      </c>
      <c r="I184" s="207">
        <f>SUMIFS('ноябрь 2023'!$G$76:$G$1127,'ноябрь 2023'!$D$76:$D$1127,$B184,'ноябрь 2023'!$J$76:$J$1127,I$1)</f>
        <v>0</v>
      </c>
      <c r="J184" s="207">
        <f>SUMIFS('ноябрь 2023'!$G$76:$G$1127,'ноябрь 2023'!$D$76:$D$1127,$B184,'ноябрь 2023'!$J$76:$J$1127,J$1)</f>
        <v>0</v>
      </c>
      <c r="K184" s="207">
        <f>SUMIFS('ноябрь 2023'!$G$76:$G$1127,'ноябрь 2023'!$D$76:$D$1127,$B184,'ноябрь 2023'!$J$76:$J$1127,K$1)</f>
        <v>0</v>
      </c>
      <c r="L184" s="207">
        <f>SUMIFS('ноябрь 2023'!$G$76:$G$1127,'ноябрь 2023'!$D$76:$D$1127,$B184,'ноябрь 2023'!$J$76:$J$1127,L$1)</f>
        <v>0</v>
      </c>
      <c r="M184" s="207">
        <f>SUMIFS('ноябрь 2023'!$G$76:$G$1127,'ноябрь 2023'!$D$76:$D$1127,$B184,'ноябрь 2023'!$J$76:$J$1127,M$1)</f>
        <v>0</v>
      </c>
      <c r="N184" s="207">
        <f>SUMIFS('ноябрь 2023'!$G$76:$G$1127,'ноябрь 2023'!$D$76:$D$1127,$B184,'ноябрь 2023'!$J$76:$J$1127,N$1)</f>
        <v>0</v>
      </c>
      <c r="O184" s="207">
        <f>SUMIFS('ноябрь 2023'!$G$76:$G$1127,'ноябрь 2023'!$D$76:$D$1127,$B184,'ноябрь 2023'!$J$76:$J$1127,O$1)</f>
        <v>0</v>
      </c>
      <c r="P184" s="207">
        <f>SUMIFS('ноябрь 2023'!$G$76:$G$1127,'ноябрь 2023'!$D$76:$D$1127,$B184,'ноябрь 2023'!$J$76:$J$1127,P$1)</f>
        <v>0</v>
      </c>
      <c r="Q184" s="207">
        <f>SUMIFS('ноябрь 2023'!$G$76:$G$1127,'ноябрь 2023'!$D$76:$D$1127,$B184,'ноябрь 2023'!$J$76:$J$1127,Q$1)</f>
        <v>0</v>
      </c>
      <c r="R184" s="207">
        <f>SUMIFS('ноябрь 2023'!$G$76:$G$1127,'ноябрь 2023'!$D$76:$D$1127,$B184,'ноябрь 2023'!$J$76:$J$1127,R$1)</f>
        <v>0</v>
      </c>
      <c r="S184" s="207">
        <f>SUMIFS('ноябрь 2023'!$G$76:$G$1127,'ноябрь 2023'!$D$76:$D$1127,$B184,'ноябрь 2023'!$J$76:$J$1127,S$1)</f>
        <v>0</v>
      </c>
      <c r="T184" s="207">
        <f>SUMIFS('ноябрь 2023'!$G$76:$G$1127,'ноябрь 2023'!$D$76:$D$1127,$B184,'ноябрь 2023'!$J$76:$J$1127,T$1)</f>
        <v>0</v>
      </c>
      <c r="U184" s="207">
        <f>SUMIFS('ноябрь 2023'!$G$76:$G$1127,'ноябрь 2023'!$D$76:$D$1127,$B184,'ноябрь 2023'!$J$76:$J$1127,U$1)</f>
        <v>0</v>
      </c>
      <c r="V184" s="207">
        <f>SUMIFS('ноябрь 2023'!$G$76:$G$1127,'ноябрь 2023'!$D$76:$D$1127,$B184,'ноябрь 2023'!$J$76:$J$1127,V$1)</f>
        <v>0</v>
      </c>
      <c r="W184" s="207">
        <f>SUMIFS('ноябрь 2023'!$G$76:$G$1127,'ноябрь 2023'!$D$76:$D$1127,$B184,'ноябрь 2023'!$J$76:$J$1127,W$1)</f>
        <v>0</v>
      </c>
      <c r="X184" s="207">
        <f>SUMIFS('ноябрь 2023'!$G$76:$G$1127,'ноябрь 2023'!$D$76:$D$1127,$B184,'ноябрь 2023'!$J$76:$J$1127,X$1)</f>
        <v>0</v>
      </c>
      <c r="Y184" s="207">
        <f>SUMIFS('ноябрь 2023'!$G$76:$G$1127,'ноябрь 2023'!$D$76:$D$1127,$B184,'ноябрь 2023'!$J$76:$J$1127,Y$1)</f>
        <v>0</v>
      </c>
      <c r="Z184" s="207">
        <f>SUMIFS('ноябрь 2023'!$G$76:$G$1127,'ноябрь 2023'!$D$76:$D$1127,$B184,'ноябрь 2023'!$J$76:$J$1127,Z$1)</f>
        <v>0</v>
      </c>
      <c r="AA184" s="207">
        <f>SUMIFS('ноябрь 2023'!$G$76:$G$1127,'ноябрь 2023'!$D$76:$D$1127,$B184,'ноябрь 2023'!$J$76:$J$1127,AA$1)</f>
        <v>0</v>
      </c>
      <c r="AB184" s="207">
        <f>SUMIFS('ноябрь 2023'!$G$76:$G$1127,'ноябрь 2023'!$D$76:$D$1127,$B184,'ноябрь 2023'!$J$76:$J$1127,AB$1)</f>
        <v>0</v>
      </c>
      <c r="AC184" s="207">
        <f>SUMIFS('ноябрь 2023'!$G$76:$G$1127,'ноябрь 2023'!$D$76:$D$1127,$B184,'ноябрь 2023'!$J$76:$J$1127,AC$1)</f>
        <v>0</v>
      </c>
      <c r="AD184" s="207">
        <f>SUMIFS('ноябрь 2023'!$G$76:$G$1127,'ноябрь 2023'!$D$76:$D$1127,$B184,'ноябрь 2023'!$J$76:$J$1127,AD$1)</f>
        <v>0</v>
      </c>
      <c r="AE184" s="207">
        <f>SUMIFS('ноябрь 2023'!$G$76:$G$1127,'ноябрь 2023'!$D$76:$D$1127,$B184,'ноябрь 2023'!$J$76:$J$1127,AE$1)</f>
        <v>0</v>
      </c>
      <c r="AF184" s="207">
        <f>SUMIFS('ноябрь 2023'!$G$76:$G$1127,'ноябрь 2023'!$D$76:$D$1127,$B184,'ноябрь 2023'!$J$76:$J$1127,AF$1)</f>
        <v>0</v>
      </c>
      <c r="AG184" s="207">
        <f>SUMIFS('ноябрь 2023'!$G$76:$G$1127,'ноябрь 2023'!$D$76:$D$1127,$B184,'ноябрь 2023'!$J$76:$J$1127,AG$1)</f>
        <v>0</v>
      </c>
      <c r="AH184" s="207">
        <f>SUMIFS('ноябрь 2023'!$G$76:$G$1127,'ноябрь 2023'!$D$76:$D$1127,$B184,'ноябрь 2023'!$J$76:$J$1127,AH$1)</f>
        <v>0</v>
      </c>
      <c r="AI184" s="220">
        <f t="shared" si="4"/>
        <v>0</v>
      </c>
    </row>
    <row r="185" spans="2:35" ht="15.75" hidden="1" x14ac:dyDescent="0.25">
      <c r="B185" s="212"/>
      <c r="C185" s="211"/>
      <c r="D185" s="207">
        <f>SUMIFS('ноябрь 2023'!$G$76:$G$1127,'ноябрь 2023'!$D$76:$D$1127,$B185,'ноябрь 2023'!$J$76:$J$1127,D$1)</f>
        <v>0</v>
      </c>
      <c r="E185" s="207">
        <f>SUMIFS('ноябрь 2023'!$G$76:$G$1127,'ноябрь 2023'!$D$76:$D$1127,$B185,'ноябрь 2023'!$J$76:$J$1127,E$1)</f>
        <v>0</v>
      </c>
      <c r="F185" s="207">
        <f>SUMIFS('ноябрь 2023'!$G$76:$G$1127,'ноябрь 2023'!$D$76:$D$1127,$B185,'ноябрь 2023'!$J$76:$J$1127,F$1)</f>
        <v>0</v>
      </c>
      <c r="G185" s="207">
        <f>SUMIFS('ноябрь 2023'!$G$76:$G$1127,'ноябрь 2023'!$D$76:$D$1127,$B185,'ноябрь 2023'!$J$76:$J$1127,G$1)</f>
        <v>0</v>
      </c>
      <c r="H185" s="207">
        <f>SUMIFS('ноябрь 2023'!$G$76:$G$1127,'ноябрь 2023'!$D$76:$D$1127,$B185,'ноябрь 2023'!$J$76:$J$1127,H$1)</f>
        <v>0</v>
      </c>
      <c r="I185" s="207">
        <f>SUMIFS('ноябрь 2023'!$G$76:$G$1127,'ноябрь 2023'!$D$76:$D$1127,$B185,'ноябрь 2023'!$J$76:$J$1127,I$1)</f>
        <v>0</v>
      </c>
      <c r="J185" s="207">
        <f>SUMIFS('ноябрь 2023'!$G$76:$G$1127,'ноябрь 2023'!$D$76:$D$1127,$B185,'ноябрь 2023'!$J$76:$J$1127,J$1)</f>
        <v>0</v>
      </c>
      <c r="K185" s="207">
        <f>SUMIFS('ноябрь 2023'!$G$76:$G$1127,'ноябрь 2023'!$D$76:$D$1127,$B185,'ноябрь 2023'!$J$76:$J$1127,K$1)</f>
        <v>0</v>
      </c>
      <c r="L185" s="207">
        <f>SUMIFS('ноябрь 2023'!$G$76:$G$1127,'ноябрь 2023'!$D$76:$D$1127,$B185,'ноябрь 2023'!$J$76:$J$1127,L$1)</f>
        <v>0</v>
      </c>
      <c r="M185" s="207">
        <f>SUMIFS('ноябрь 2023'!$G$76:$G$1127,'ноябрь 2023'!$D$76:$D$1127,$B185,'ноябрь 2023'!$J$76:$J$1127,M$1)</f>
        <v>0</v>
      </c>
      <c r="N185" s="207">
        <f>SUMIFS('ноябрь 2023'!$G$76:$G$1127,'ноябрь 2023'!$D$76:$D$1127,$B185,'ноябрь 2023'!$J$76:$J$1127,N$1)</f>
        <v>0</v>
      </c>
      <c r="O185" s="207">
        <f>SUMIFS('ноябрь 2023'!$G$76:$G$1127,'ноябрь 2023'!$D$76:$D$1127,$B185,'ноябрь 2023'!$J$76:$J$1127,O$1)</f>
        <v>0</v>
      </c>
      <c r="P185" s="207">
        <f>SUMIFS('ноябрь 2023'!$G$76:$G$1127,'ноябрь 2023'!$D$76:$D$1127,$B185,'ноябрь 2023'!$J$76:$J$1127,P$1)</f>
        <v>0</v>
      </c>
      <c r="Q185" s="207">
        <f>SUMIFS('ноябрь 2023'!$G$76:$G$1127,'ноябрь 2023'!$D$76:$D$1127,$B185,'ноябрь 2023'!$J$76:$J$1127,Q$1)</f>
        <v>0</v>
      </c>
      <c r="R185" s="207">
        <f>SUMIFS('ноябрь 2023'!$G$76:$G$1127,'ноябрь 2023'!$D$76:$D$1127,$B185,'ноябрь 2023'!$J$76:$J$1127,R$1)</f>
        <v>0</v>
      </c>
      <c r="S185" s="207">
        <f>SUMIFS('ноябрь 2023'!$G$76:$G$1127,'ноябрь 2023'!$D$76:$D$1127,$B185,'ноябрь 2023'!$J$76:$J$1127,S$1)</f>
        <v>0</v>
      </c>
      <c r="T185" s="207">
        <f>SUMIFS('ноябрь 2023'!$G$76:$G$1127,'ноябрь 2023'!$D$76:$D$1127,$B185,'ноябрь 2023'!$J$76:$J$1127,T$1)</f>
        <v>0</v>
      </c>
      <c r="U185" s="207">
        <f>SUMIFS('ноябрь 2023'!$G$76:$G$1127,'ноябрь 2023'!$D$76:$D$1127,$B185,'ноябрь 2023'!$J$76:$J$1127,U$1)</f>
        <v>0</v>
      </c>
      <c r="V185" s="207">
        <f>SUMIFS('ноябрь 2023'!$G$76:$G$1127,'ноябрь 2023'!$D$76:$D$1127,$B185,'ноябрь 2023'!$J$76:$J$1127,V$1)</f>
        <v>0</v>
      </c>
      <c r="W185" s="207">
        <f>SUMIFS('ноябрь 2023'!$G$76:$G$1127,'ноябрь 2023'!$D$76:$D$1127,$B185,'ноябрь 2023'!$J$76:$J$1127,W$1)</f>
        <v>0</v>
      </c>
      <c r="X185" s="207">
        <f>SUMIFS('ноябрь 2023'!$G$76:$G$1127,'ноябрь 2023'!$D$76:$D$1127,$B185,'ноябрь 2023'!$J$76:$J$1127,X$1)</f>
        <v>0</v>
      </c>
      <c r="Y185" s="207">
        <f>SUMIFS('ноябрь 2023'!$G$76:$G$1127,'ноябрь 2023'!$D$76:$D$1127,$B185,'ноябрь 2023'!$J$76:$J$1127,Y$1)</f>
        <v>0</v>
      </c>
      <c r="Z185" s="207">
        <f>SUMIFS('ноябрь 2023'!$G$76:$G$1127,'ноябрь 2023'!$D$76:$D$1127,$B185,'ноябрь 2023'!$J$76:$J$1127,Z$1)</f>
        <v>0</v>
      </c>
      <c r="AA185" s="207">
        <f>SUMIFS('ноябрь 2023'!$G$76:$G$1127,'ноябрь 2023'!$D$76:$D$1127,$B185,'ноябрь 2023'!$J$76:$J$1127,AA$1)</f>
        <v>0</v>
      </c>
      <c r="AB185" s="207">
        <f>SUMIFS('ноябрь 2023'!$G$76:$G$1127,'ноябрь 2023'!$D$76:$D$1127,$B185,'ноябрь 2023'!$J$76:$J$1127,AB$1)</f>
        <v>0</v>
      </c>
      <c r="AC185" s="207">
        <f>SUMIFS('ноябрь 2023'!$G$76:$G$1127,'ноябрь 2023'!$D$76:$D$1127,$B185,'ноябрь 2023'!$J$76:$J$1127,AC$1)</f>
        <v>0</v>
      </c>
      <c r="AD185" s="207">
        <f>SUMIFS('ноябрь 2023'!$G$76:$G$1127,'ноябрь 2023'!$D$76:$D$1127,$B185,'ноябрь 2023'!$J$76:$J$1127,AD$1)</f>
        <v>0</v>
      </c>
      <c r="AE185" s="207">
        <f>SUMIFS('ноябрь 2023'!$G$76:$G$1127,'ноябрь 2023'!$D$76:$D$1127,$B185,'ноябрь 2023'!$J$76:$J$1127,AE$1)</f>
        <v>0</v>
      </c>
      <c r="AF185" s="207">
        <f>SUMIFS('ноябрь 2023'!$G$76:$G$1127,'ноябрь 2023'!$D$76:$D$1127,$B185,'ноябрь 2023'!$J$76:$J$1127,AF$1)</f>
        <v>0</v>
      </c>
      <c r="AG185" s="207">
        <f>SUMIFS('ноябрь 2023'!$G$76:$G$1127,'ноябрь 2023'!$D$76:$D$1127,$B185,'ноябрь 2023'!$J$76:$J$1127,AG$1)</f>
        <v>0</v>
      </c>
      <c r="AH185" s="207">
        <f>SUMIFS('ноябрь 2023'!$G$76:$G$1127,'ноябрь 2023'!$D$76:$D$1127,$B185,'ноябрь 2023'!$J$76:$J$1127,AH$1)</f>
        <v>0</v>
      </c>
      <c r="AI185" s="220">
        <f t="shared" si="4"/>
        <v>0</v>
      </c>
    </row>
    <row r="186" spans="2:35" ht="15.75" hidden="1" x14ac:dyDescent="0.25">
      <c r="B186" s="212"/>
      <c r="C186" s="211"/>
      <c r="D186" s="207">
        <f>SUMIFS('ноябрь 2023'!$G$76:$G$1127,'ноябрь 2023'!$D$76:$D$1127,$B186,'ноябрь 2023'!$J$76:$J$1127,D$1)</f>
        <v>0</v>
      </c>
      <c r="E186" s="207">
        <f>SUMIFS('ноябрь 2023'!$G$76:$G$1127,'ноябрь 2023'!$D$76:$D$1127,$B186,'ноябрь 2023'!$J$76:$J$1127,E$1)</f>
        <v>0</v>
      </c>
      <c r="F186" s="207">
        <f>SUMIFS('ноябрь 2023'!$G$76:$G$1127,'ноябрь 2023'!$D$76:$D$1127,$B186,'ноябрь 2023'!$J$76:$J$1127,F$1)</f>
        <v>0</v>
      </c>
      <c r="G186" s="207">
        <f>SUMIFS('ноябрь 2023'!$G$76:$G$1127,'ноябрь 2023'!$D$76:$D$1127,$B186,'ноябрь 2023'!$J$76:$J$1127,G$1)</f>
        <v>0</v>
      </c>
      <c r="H186" s="207">
        <f>SUMIFS('ноябрь 2023'!$G$76:$G$1127,'ноябрь 2023'!$D$76:$D$1127,$B186,'ноябрь 2023'!$J$76:$J$1127,H$1)</f>
        <v>0</v>
      </c>
      <c r="I186" s="207">
        <f>SUMIFS('ноябрь 2023'!$G$76:$G$1127,'ноябрь 2023'!$D$76:$D$1127,$B186,'ноябрь 2023'!$J$76:$J$1127,I$1)</f>
        <v>0</v>
      </c>
      <c r="J186" s="207">
        <f>SUMIFS('ноябрь 2023'!$G$76:$G$1127,'ноябрь 2023'!$D$76:$D$1127,$B186,'ноябрь 2023'!$J$76:$J$1127,J$1)</f>
        <v>0</v>
      </c>
      <c r="K186" s="207">
        <f>SUMIFS('ноябрь 2023'!$G$76:$G$1127,'ноябрь 2023'!$D$76:$D$1127,$B186,'ноябрь 2023'!$J$76:$J$1127,K$1)</f>
        <v>0</v>
      </c>
      <c r="L186" s="207">
        <f>SUMIFS('ноябрь 2023'!$G$76:$G$1127,'ноябрь 2023'!$D$76:$D$1127,$B186,'ноябрь 2023'!$J$76:$J$1127,L$1)</f>
        <v>0</v>
      </c>
      <c r="M186" s="207">
        <f>SUMIFS('ноябрь 2023'!$G$76:$G$1127,'ноябрь 2023'!$D$76:$D$1127,$B186,'ноябрь 2023'!$J$76:$J$1127,M$1)</f>
        <v>0</v>
      </c>
      <c r="N186" s="207">
        <f>SUMIFS('ноябрь 2023'!$G$76:$G$1127,'ноябрь 2023'!$D$76:$D$1127,$B186,'ноябрь 2023'!$J$76:$J$1127,N$1)</f>
        <v>0</v>
      </c>
      <c r="O186" s="207">
        <f>SUMIFS('ноябрь 2023'!$G$76:$G$1127,'ноябрь 2023'!$D$76:$D$1127,$B186,'ноябрь 2023'!$J$76:$J$1127,O$1)</f>
        <v>0</v>
      </c>
      <c r="P186" s="207">
        <f>SUMIFS('ноябрь 2023'!$G$76:$G$1127,'ноябрь 2023'!$D$76:$D$1127,$B186,'ноябрь 2023'!$J$76:$J$1127,P$1)</f>
        <v>0</v>
      </c>
      <c r="Q186" s="207">
        <f>SUMIFS('ноябрь 2023'!$G$76:$G$1127,'ноябрь 2023'!$D$76:$D$1127,$B186,'ноябрь 2023'!$J$76:$J$1127,Q$1)</f>
        <v>0</v>
      </c>
      <c r="R186" s="207">
        <f>SUMIFS('ноябрь 2023'!$G$76:$G$1127,'ноябрь 2023'!$D$76:$D$1127,$B186,'ноябрь 2023'!$J$76:$J$1127,R$1)</f>
        <v>0</v>
      </c>
      <c r="S186" s="207">
        <f>SUMIFS('ноябрь 2023'!$G$76:$G$1127,'ноябрь 2023'!$D$76:$D$1127,$B186,'ноябрь 2023'!$J$76:$J$1127,S$1)</f>
        <v>0</v>
      </c>
      <c r="T186" s="207">
        <f>SUMIFS('ноябрь 2023'!$G$76:$G$1127,'ноябрь 2023'!$D$76:$D$1127,$B186,'ноябрь 2023'!$J$76:$J$1127,T$1)</f>
        <v>0</v>
      </c>
      <c r="U186" s="207">
        <f>SUMIFS('ноябрь 2023'!$G$76:$G$1127,'ноябрь 2023'!$D$76:$D$1127,$B186,'ноябрь 2023'!$J$76:$J$1127,U$1)</f>
        <v>0</v>
      </c>
      <c r="V186" s="207">
        <f>SUMIFS('ноябрь 2023'!$G$76:$G$1127,'ноябрь 2023'!$D$76:$D$1127,$B186,'ноябрь 2023'!$J$76:$J$1127,V$1)</f>
        <v>0</v>
      </c>
      <c r="W186" s="207">
        <f>SUMIFS('ноябрь 2023'!$G$76:$G$1127,'ноябрь 2023'!$D$76:$D$1127,$B186,'ноябрь 2023'!$J$76:$J$1127,W$1)</f>
        <v>0</v>
      </c>
      <c r="X186" s="207">
        <f>SUMIFS('ноябрь 2023'!$G$76:$G$1127,'ноябрь 2023'!$D$76:$D$1127,$B186,'ноябрь 2023'!$J$76:$J$1127,X$1)</f>
        <v>0</v>
      </c>
      <c r="Y186" s="207">
        <f>SUMIFS('ноябрь 2023'!$G$76:$G$1127,'ноябрь 2023'!$D$76:$D$1127,$B186,'ноябрь 2023'!$J$76:$J$1127,Y$1)</f>
        <v>0</v>
      </c>
      <c r="Z186" s="207">
        <f>SUMIFS('ноябрь 2023'!$G$76:$G$1127,'ноябрь 2023'!$D$76:$D$1127,$B186,'ноябрь 2023'!$J$76:$J$1127,Z$1)</f>
        <v>0</v>
      </c>
      <c r="AA186" s="207">
        <f>SUMIFS('ноябрь 2023'!$G$76:$G$1127,'ноябрь 2023'!$D$76:$D$1127,$B186,'ноябрь 2023'!$J$76:$J$1127,AA$1)</f>
        <v>0</v>
      </c>
      <c r="AB186" s="207">
        <f>SUMIFS('ноябрь 2023'!$G$76:$G$1127,'ноябрь 2023'!$D$76:$D$1127,$B186,'ноябрь 2023'!$J$76:$J$1127,AB$1)</f>
        <v>0</v>
      </c>
      <c r="AC186" s="207">
        <f>SUMIFS('ноябрь 2023'!$G$76:$G$1127,'ноябрь 2023'!$D$76:$D$1127,$B186,'ноябрь 2023'!$J$76:$J$1127,AC$1)</f>
        <v>0</v>
      </c>
      <c r="AD186" s="207">
        <f>SUMIFS('ноябрь 2023'!$G$76:$G$1127,'ноябрь 2023'!$D$76:$D$1127,$B186,'ноябрь 2023'!$J$76:$J$1127,AD$1)</f>
        <v>0</v>
      </c>
      <c r="AE186" s="207">
        <f>SUMIFS('ноябрь 2023'!$G$76:$G$1127,'ноябрь 2023'!$D$76:$D$1127,$B186,'ноябрь 2023'!$J$76:$J$1127,AE$1)</f>
        <v>0</v>
      </c>
      <c r="AF186" s="207">
        <f>SUMIFS('ноябрь 2023'!$G$76:$G$1127,'ноябрь 2023'!$D$76:$D$1127,$B186,'ноябрь 2023'!$J$76:$J$1127,AF$1)</f>
        <v>0</v>
      </c>
      <c r="AG186" s="207">
        <f>SUMIFS('ноябрь 2023'!$G$76:$G$1127,'ноябрь 2023'!$D$76:$D$1127,$B186,'ноябрь 2023'!$J$76:$J$1127,AG$1)</f>
        <v>0</v>
      </c>
      <c r="AH186" s="207">
        <f>SUMIFS('ноябрь 2023'!$G$76:$G$1127,'ноябрь 2023'!$D$76:$D$1127,$B186,'ноябрь 2023'!$J$76:$J$1127,AH$1)</f>
        <v>0</v>
      </c>
      <c r="AI186" s="220">
        <f t="shared" si="4"/>
        <v>0</v>
      </c>
    </row>
    <row r="187" spans="2:35" ht="15.75" hidden="1" x14ac:dyDescent="0.25">
      <c r="B187" s="212"/>
      <c r="C187" s="211"/>
      <c r="D187" s="207">
        <f>SUMIFS('ноябрь 2023'!$G$76:$G$1127,'ноябрь 2023'!$D$76:$D$1127,$B187,'ноябрь 2023'!$J$76:$J$1127,D$1)</f>
        <v>0</v>
      </c>
      <c r="E187" s="207">
        <f>SUMIFS('ноябрь 2023'!$G$76:$G$1127,'ноябрь 2023'!$D$76:$D$1127,$B187,'ноябрь 2023'!$J$76:$J$1127,E$1)</f>
        <v>0</v>
      </c>
      <c r="F187" s="207">
        <f>SUMIFS('ноябрь 2023'!$G$76:$G$1127,'ноябрь 2023'!$D$76:$D$1127,$B187,'ноябрь 2023'!$J$76:$J$1127,F$1)</f>
        <v>0</v>
      </c>
      <c r="G187" s="207">
        <f>SUMIFS('ноябрь 2023'!$G$76:$G$1127,'ноябрь 2023'!$D$76:$D$1127,$B187,'ноябрь 2023'!$J$76:$J$1127,G$1)</f>
        <v>0</v>
      </c>
      <c r="H187" s="207">
        <f>SUMIFS('ноябрь 2023'!$G$76:$G$1127,'ноябрь 2023'!$D$76:$D$1127,$B187,'ноябрь 2023'!$J$76:$J$1127,H$1)</f>
        <v>0</v>
      </c>
      <c r="I187" s="207">
        <f>SUMIFS('ноябрь 2023'!$G$76:$G$1127,'ноябрь 2023'!$D$76:$D$1127,$B187,'ноябрь 2023'!$J$76:$J$1127,I$1)</f>
        <v>0</v>
      </c>
      <c r="J187" s="207">
        <f>SUMIFS('ноябрь 2023'!$G$76:$G$1127,'ноябрь 2023'!$D$76:$D$1127,$B187,'ноябрь 2023'!$J$76:$J$1127,J$1)</f>
        <v>0</v>
      </c>
      <c r="K187" s="207">
        <f>SUMIFS('ноябрь 2023'!$G$76:$G$1127,'ноябрь 2023'!$D$76:$D$1127,$B187,'ноябрь 2023'!$J$76:$J$1127,K$1)</f>
        <v>0</v>
      </c>
      <c r="L187" s="207">
        <f>SUMIFS('ноябрь 2023'!$G$76:$G$1127,'ноябрь 2023'!$D$76:$D$1127,$B187,'ноябрь 2023'!$J$76:$J$1127,L$1)</f>
        <v>0</v>
      </c>
      <c r="M187" s="207">
        <f>SUMIFS('ноябрь 2023'!$G$76:$G$1127,'ноябрь 2023'!$D$76:$D$1127,$B187,'ноябрь 2023'!$J$76:$J$1127,M$1)</f>
        <v>0</v>
      </c>
      <c r="N187" s="207">
        <f>SUMIFS('ноябрь 2023'!$G$76:$G$1127,'ноябрь 2023'!$D$76:$D$1127,$B187,'ноябрь 2023'!$J$76:$J$1127,N$1)</f>
        <v>0</v>
      </c>
      <c r="O187" s="207">
        <f>SUMIFS('ноябрь 2023'!$G$76:$G$1127,'ноябрь 2023'!$D$76:$D$1127,$B187,'ноябрь 2023'!$J$76:$J$1127,O$1)</f>
        <v>0</v>
      </c>
      <c r="P187" s="207">
        <f>SUMIFS('ноябрь 2023'!$G$76:$G$1127,'ноябрь 2023'!$D$76:$D$1127,$B187,'ноябрь 2023'!$J$76:$J$1127,P$1)</f>
        <v>0</v>
      </c>
      <c r="Q187" s="207">
        <f>SUMIFS('ноябрь 2023'!$G$76:$G$1127,'ноябрь 2023'!$D$76:$D$1127,$B187,'ноябрь 2023'!$J$76:$J$1127,Q$1)</f>
        <v>0</v>
      </c>
      <c r="R187" s="207">
        <f>SUMIFS('ноябрь 2023'!$G$76:$G$1127,'ноябрь 2023'!$D$76:$D$1127,$B187,'ноябрь 2023'!$J$76:$J$1127,R$1)</f>
        <v>0</v>
      </c>
      <c r="S187" s="207">
        <f>SUMIFS('ноябрь 2023'!$G$76:$G$1127,'ноябрь 2023'!$D$76:$D$1127,$B187,'ноябрь 2023'!$J$76:$J$1127,S$1)</f>
        <v>0</v>
      </c>
      <c r="T187" s="207">
        <f>SUMIFS('ноябрь 2023'!$G$76:$G$1127,'ноябрь 2023'!$D$76:$D$1127,$B187,'ноябрь 2023'!$J$76:$J$1127,T$1)</f>
        <v>0</v>
      </c>
      <c r="U187" s="207">
        <f>SUMIFS('ноябрь 2023'!$G$76:$G$1127,'ноябрь 2023'!$D$76:$D$1127,$B187,'ноябрь 2023'!$J$76:$J$1127,U$1)</f>
        <v>0</v>
      </c>
      <c r="V187" s="207">
        <f>SUMIFS('ноябрь 2023'!$G$76:$G$1127,'ноябрь 2023'!$D$76:$D$1127,$B187,'ноябрь 2023'!$J$76:$J$1127,V$1)</f>
        <v>0</v>
      </c>
      <c r="W187" s="207">
        <f>SUMIFS('ноябрь 2023'!$G$76:$G$1127,'ноябрь 2023'!$D$76:$D$1127,$B187,'ноябрь 2023'!$J$76:$J$1127,W$1)</f>
        <v>0</v>
      </c>
      <c r="X187" s="207">
        <f>SUMIFS('ноябрь 2023'!$G$76:$G$1127,'ноябрь 2023'!$D$76:$D$1127,$B187,'ноябрь 2023'!$J$76:$J$1127,X$1)</f>
        <v>0</v>
      </c>
      <c r="Y187" s="207">
        <f>SUMIFS('ноябрь 2023'!$G$76:$G$1127,'ноябрь 2023'!$D$76:$D$1127,$B187,'ноябрь 2023'!$J$76:$J$1127,Y$1)</f>
        <v>0</v>
      </c>
      <c r="Z187" s="207">
        <f>SUMIFS('ноябрь 2023'!$G$76:$G$1127,'ноябрь 2023'!$D$76:$D$1127,$B187,'ноябрь 2023'!$J$76:$J$1127,Z$1)</f>
        <v>0</v>
      </c>
      <c r="AA187" s="207">
        <f>SUMIFS('ноябрь 2023'!$G$76:$G$1127,'ноябрь 2023'!$D$76:$D$1127,$B187,'ноябрь 2023'!$J$76:$J$1127,AA$1)</f>
        <v>0</v>
      </c>
      <c r="AB187" s="207">
        <f>SUMIFS('ноябрь 2023'!$G$76:$G$1127,'ноябрь 2023'!$D$76:$D$1127,$B187,'ноябрь 2023'!$J$76:$J$1127,AB$1)</f>
        <v>0</v>
      </c>
      <c r="AC187" s="207">
        <f>SUMIFS('ноябрь 2023'!$G$76:$G$1127,'ноябрь 2023'!$D$76:$D$1127,$B187,'ноябрь 2023'!$J$76:$J$1127,AC$1)</f>
        <v>0</v>
      </c>
      <c r="AD187" s="207">
        <f>SUMIFS('ноябрь 2023'!$G$76:$G$1127,'ноябрь 2023'!$D$76:$D$1127,$B187,'ноябрь 2023'!$J$76:$J$1127,AD$1)</f>
        <v>0</v>
      </c>
      <c r="AE187" s="207">
        <f>SUMIFS('ноябрь 2023'!$G$76:$G$1127,'ноябрь 2023'!$D$76:$D$1127,$B187,'ноябрь 2023'!$J$76:$J$1127,AE$1)</f>
        <v>0</v>
      </c>
      <c r="AF187" s="207">
        <f>SUMIFS('ноябрь 2023'!$G$76:$G$1127,'ноябрь 2023'!$D$76:$D$1127,$B187,'ноябрь 2023'!$J$76:$J$1127,AF$1)</f>
        <v>0</v>
      </c>
      <c r="AG187" s="207">
        <f>SUMIFS('ноябрь 2023'!$G$76:$G$1127,'ноябрь 2023'!$D$76:$D$1127,$B187,'ноябрь 2023'!$J$76:$J$1127,AG$1)</f>
        <v>0</v>
      </c>
      <c r="AH187" s="207">
        <f>SUMIFS('ноябрь 2023'!$G$76:$G$1127,'ноябрь 2023'!$D$76:$D$1127,$B187,'ноябрь 2023'!$J$76:$J$1127,AH$1)</f>
        <v>0</v>
      </c>
      <c r="AI187" s="220">
        <f t="shared" si="4"/>
        <v>0</v>
      </c>
    </row>
    <row r="188" spans="2:35" ht="15.75" hidden="1" x14ac:dyDescent="0.25">
      <c r="B188" s="212"/>
      <c r="C188" s="211"/>
      <c r="D188" s="207">
        <f>SUMIFS('ноябрь 2023'!$G$76:$G$1127,'ноябрь 2023'!$D$76:$D$1127,$B188,'ноябрь 2023'!$J$76:$J$1127,D$1)</f>
        <v>0</v>
      </c>
      <c r="E188" s="207">
        <f>SUMIFS('ноябрь 2023'!$G$76:$G$1127,'ноябрь 2023'!$D$76:$D$1127,$B188,'ноябрь 2023'!$J$76:$J$1127,E$1)</f>
        <v>0</v>
      </c>
      <c r="F188" s="207">
        <f>SUMIFS('ноябрь 2023'!$G$76:$G$1127,'ноябрь 2023'!$D$76:$D$1127,$B188,'ноябрь 2023'!$J$76:$J$1127,F$1)</f>
        <v>0</v>
      </c>
      <c r="G188" s="207">
        <f>SUMIFS('ноябрь 2023'!$G$76:$G$1127,'ноябрь 2023'!$D$76:$D$1127,$B188,'ноябрь 2023'!$J$76:$J$1127,G$1)</f>
        <v>0</v>
      </c>
      <c r="H188" s="207">
        <f>SUMIFS('ноябрь 2023'!$G$76:$G$1127,'ноябрь 2023'!$D$76:$D$1127,$B188,'ноябрь 2023'!$J$76:$J$1127,H$1)</f>
        <v>0</v>
      </c>
      <c r="I188" s="207">
        <f>SUMIFS('ноябрь 2023'!$G$76:$G$1127,'ноябрь 2023'!$D$76:$D$1127,$B188,'ноябрь 2023'!$J$76:$J$1127,I$1)</f>
        <v>0</v>
      </c>
      <c r="J188" s="207">
        <f>SUMIFS('ноябрь 2023'!$G$76:$G$1127,'ноябрь 2023'!$D$76:$D$1127,$B188,'ноябрь 2023'!$J$76:$J$1127,J$1)</f>
        <v>0</v>
      </c>
      <c r="K188" s="207">
        <f>SUMIFS('ноябрь 2023'!$G$76:$G$1127,'ноябрь 2023'!$D$76:$D$1127,$B188,'ноябрь 2023'!$J$76:$J$1127,K$1)</f>
        <v>0</v>
      </c>
      <c r="L188" s="207">
        <f>SUMIFS('ноябрь 2023'!$G$76:$G$1127,'ноябрь 2023'!$D$76:$D$1127,$B188,'ноябрь 2023'!$J$76:$J$1127,L$1)</f>
        <v>0</v>
      </c>
      <c r="M188" s="207">
        <f>SUMIFS('ноябрь 2023'!$G$76:$G$1127,'ноябрь 2023'!$D$76:$D$1127,$B188,'ноябрь 2023'!$J$76:$J$1127,M$1)</f>
        <v>0</v>
      </c>
      <c r="N188" s="207">
        <f>SUMIFS('ноябрь 2023'!$G$76:$G$1127,'ноябрь 2023'!$D$76:$D$1127,$B188,'ноябрь 2023'!$J$76:$J$1127,N$1)</f>
        <v>0</v>
      </c>
      <c r="O188" s="207">
        <f>SUMIFS('ноябрь 2023'!$G$76:$G$1127,'ноябрь 2023'!$D$76:$D$1127,$B188,'ноябрь 2023'!$J$76:$J$1127,O$1)</f>
        <v>0</v>
      </c>
      <c r="P188" s="207">
        <f>SUMIFS('ноябрь 2023'!$G$76:$G$1127,'ноябрь 2023'!$D$76:$D$1127,$B188,'ноябрь 2023'!$J$76:$J$1127,P$1)</f>
        <v>0</v>
      </c>
      <c r="Q188" s="207">
        <f>SUMIFS('ноябрь 2023'!$G$76:$G$1127,'ноябрь 2023'!$D$76:$D$1127,$B188,'ноябрь 2023'!$J$76:$J$1127,Q$1)</f>
        <v>0</v>
      </c>
      <c r="R188" s="207">
        <f>SUMIFS('ноябрь 2023'!$G$76:$G$1127,'ноябрь 2023'!$D$76:$D$1127,$B188,'ноябрь 2023'!$J$76:$J$1127,R$1)</f>
        <v>0</v>
      </c>
      <c r="S188" s="207">
        <f>SUMIFS('ноябрь 2023'!$G$76:$G$1127,'ноябрь 2023'!$D$76:$D$1127,$B188,'ноябрь 2023'!$J$76:$J$1127,S$1)</f>
        <v>0</v>
      </c>
      <c r="T188" s="207">
        <f>SUMIFS('ноябрь 2023'!$G$76:$G$1127,'ноябрь 2023'!$D$76:$D$1127,$B188,'ноябрь 2023'!$J$76:$J$1127,T$1)</f>
        <v>0</v>
      </c>
      <c r="U188" s="207">
        <f>SUMIFS('ноябрь 2023'!$G$76:$G$1127,'ноябрь 2023'!$D$76:$D$1127,$B188,'ноябрь 2023'!$J$76:$J$1127,U$1)</f>
        <v>0</v>
      </c>
      <c r="V188" s="207">
        <f>SUMIFS('ноябрь 2023'!$G$76:$G$1127,'ноябрь 2023'!$D$76:$D$1127,$B188,'ноябрь 2023'!$J$76:$J$1127,V$1)</f>
        <v>0</v>
      </c>
      <c r="W188" s="207">
        <f>SUMIFS('ноябрь 2023'!$G$76:$G$1127,'ноябрь 2023'!$D$76:$D$1127,$B188,'ноябрь 2023'!$J$76:$J$1127,W$1)</f>
        <v>0</v>
      </c>
      <c r="X188" s="207">
        <f>SUMIFS('ноябрь 2023'!$G$76:$G$1127,'ноябрь 2023'!$D$76:$D$1127,$B188,'ноябрь 2023'!$J$76:$J$1127,X$1)</f>
        <v>0</v>
      </c>
      <c r="Y188" s="207">
        <f>SUMIFS('ноябрь 2023'!$G$76:$G$1127,'ноябрь 2023'!$D$76:$D$1127,$B188,'ноябрь 2023'!$J$76:$J$1127,Y$1)</f>
        <v>0</v>
      </c>
      <c r="Z188" s="207">
        <f>SUMIFS('ноябрь 2023'!$G$76:$G$1127,'ноябрь 2023'!$D$76:$D$1127,$B188,'ноябрь 2023'!$J$76:$J$1127,Z$1)</f>
        <v>0</v>
      </c>
      <c r="AA188" s="207">
        <f>SUMIFS('ноябрь 2023'!$G$76:$G$1127,'ноябрь 2023'!$D$76:$D$1127,$B188,'ноябрь 2023'!$J$76:$J$1127,AA$1)</f>
        <v>0</v>
      </c>
      <c r="AB188" s="207">
        <f>SUMIFS('ноябрь 2023'!$G$76:$G$1127,'ноябрь 2023'!$D$76:$D$1127,$B188,'ноябрь 2023'!$J$76:$J$1127,AB$1)</f>
        <v>0</v>
      </c>
      <c r="AC188" s="207">
        <f>SUMIFS('ноябрь 2023'!$G$76:$G$1127,'ноябрь 2023'!$D$76:$D$1127,$B188,'ноябрь 2023'!$J$76:$J$1127,AC$1)</f>
        <v>0</v>
      </c>
      <c r="AD188" s="207">
        <f>SUMIFS('ноябрь 2023'!$G$76:$G$1127,'ноябрь 2023'!$D$76:$D$1127,$B188,'ноябрь 2023'!$J$76:$J$1127,AD$1)</f>
        <v>0</v>
      </c>
      <c r="AE188" s="207">
        <f>SUMIFS('ноябрь 2023'!$G$76:$G$1127,'ноябрь 2023'!$D$76:$D$1127,$B188,'ноябрь 2023'!$J$76:$J$1127,AE$1)</f>
        <v>0</v>
      </c>
      <c r="AF188" s="207">
        <f>SUMIFS('ноябрь 2023'!$G$76:$G$1127,'ноябрь 2023'!$D$76:$D$1127,$B188,'ноябрь 2023'!$J$76:$J$1127,AF$1)</f>
        <v>0</v>
      </c>
      <c r="AG188" s="207">
        <f>SUMIFS('ноябрь 2023'!$G$76:$G$1127,'ноябрь 2023'!$D$76:$D$1127,$B188,'ноябрь 2023'!$J$76:$J$1127,AG$1)</f>
        <v>0</v>
      </c>
      <c r="AH188" s="207">
        <f>SUMIFS('ноябрь 2023'!$G$76:$G$1127,'ноябрь 2023'!$D$76:$D$1127,$B188,'ноябрь 2023'!$J$76:$J$1127,AH$1)</f>
        <v>0</v>
      </c>
      <c r="AI188" s="220">
        <f t="shared" si="4"/>
        <v>0</v>
      </c>
    </row>
    <row r="189" spans="2:35" ht="15.75" hidden="1" x14ac:dyDescent="0.25">
      <c r="B189" s="212"/>
      <c r="C189" s="211"/>
      <c r="D189" s="207">
        <f>SUMIFS('ноябрь 2023'!$G$76:$G$1127,'ноябрь 2023'!$D$76:$D$1127,$B189,'ноябрь 2023'!$J$76:$J$1127,D$1)</f>
        <v>0</v>
      </c>
      <c r="E189" s="207">
        <f>SUMIFS('ноябрь 2023'!$G$76:$G$1127,'ноябрь 2023'!$D$76:$D$1127,$B189,'ноябрь 2023'!$J$76:$J$1127,E$1)</f>
        <v>0</v>
      </c>
      <c r="F189" s="207">
        <f>SUMIFS('ноябрь 2023'!$G$76:$G$1127,'ноябрь 2023'!$D$76:$D$1127,$B189,'ноябрь 2023'!$J$76:$J$1127,F$1)</f>
        <v>0</v>
      </c>
      <c r="G189" s="207">
        <f>SUMIFS('ноябрь 2023'!$G$76:$G$1127,'ноябрь 2023'!$D$76:$D$1127,$B189,'ноябрь 2023'!$J$76:$J$1127,G$1)</f>
        <v>0</v>
      </c>
      <c r="H189" s="207">
        <f>SUMIFS('ноябрь 2023'!$G$76:$G$1127,'ноябрь 2023'!$D$76:$D$1127,$B189,'ноябрь 2023'!$J$76:$J$1127,H$1)</f>
        <v>0</v>
      </c>
      <c r="I189" s="207">
        <f>SUMIFS('ноябрь 2023'!$G$76:$G$1127,'ноябрь 2023'!$D$76:$D$1127,$B189,'ноябрь 2023'!$J$76:$J$1127,I$1)</f>
        <v>0</v>
      </c>
      <c r="J189" s="207">
        <f>SUMIFS('ноябрь 2023'!$G$76:$G$1127,'ноябрь 2023'!$D$76:$D$1127,$B189,'ноябрь 2023'!$J$76:$J$1127,J$1)</f>
        <v>0</v>
      </c>
      <c r="K189" s="207">
        <f>SUMIFS('ноябрь 2023'!$G$76:$G$1127,'ноябрь 2023'!$D$76:$D$1127,$B189,'ноябрь 2023'!$J$76:$J$1127,K$1)</f>
        <v>0</v>
      </c>
      <c r="L189" s="207">
        <f>SUMIFS('ноябрь 2023'!$G$76:$G$1127,'ноябрь 2023'!$D$76:$D$1127,$B189,'ноябрь 2023'!$J$76:$J$1127,L$1)</f>
        <v>0</v>
      </c>
      <c r="M189" s="207">
        <f>SUMIFS('ноябрь 2023'!$G$76:$G$1127,'ноябрь 2023'!$D$76:$D$1127,$B189,'ноябрь 2023'!$J$76:$J$1127,M$1)</f>
        <v>0</v>
      </c>
      <c r="N189" s="207">
        <f>SUMIFS('ноябрь 2023'!$G$76:$G$1127,'ноябрь 2023'!$D$76:$D$1127,$B189,'ноябрь 2023'!$J$76:$J$1127,N$1)</f>
        <v>0</v>
      </c>
      <c r="O189" s="207">
        <f>SUMIFS('ноябрь 2023'!$G$76:$G$1127,'ноябрь 2023'!$D$76:$D$1127,$B189,'ноябрь 2023'!$J$76:$J$1127,O$1)</f>
        <v>0</v>
      </c>
      <c r="P189" s="207">
        <f>SUMIFS('ноябрь 2023'!$G$76:$G$1127,'ноябрь 2023'!$D$76:$D$1127,$B189,'ноябрь 2023'!$J$76:$J$1127,P$1)</f>
        <v>0</v>
      </c>
      <c r="Q189" s="207">
        <f>SUMIFS('ноябрь 2023'!$G$76:$G$1127,'ноябрь 2023'!$D$76:$D$1127,$B189,'ноябрь 2023'!$J$76:$J$1127,Q$1)</f>
        <v>0</v>
      </c>
      <c r="R189" s="207">
        <f>SUMIFS('ноябрь 2023'!$G$76:$G$1127,'ноябрь 2023'!$D$76:$D$1127,$B189,'ноябрь 2023'!$J$76:$J$1127,R$1)</f>
        <v>0</v>
      </c>
      <c r="S189" s="207">
        <f>SUMIFS('ноябрь 2023'!$G$76:$G$1127,'ноябрь 2023'!$D$76:$D$1127,$B189,'ноябрь 2023'!$J$76:$J$1127,S$1)</f>
        <v>0</v>
      </c>
      <c r="T189" s="207">
        <f>SUMIFS('ноябрь 2023'!$G$76:$G$1127,'ноябрь 2023'!$D$76:$D$1127,$B189,'ноябрь 2023'!$J$76:$J$1127,T$1)</f>
        <v>0</v>
      </c>
      <c r="U189" s="207">
        <f>SUMIFS('ноябрь 2023'!$G$76:$G$1127,'ноябрь 2023'!$D$76:$D$1127,$B189,'ноябрь 2023'!$J$76:$J$1127,U$1)</f>
        <v>0</v>
      </c>
      <c r="V189" s="207">
        <f>SUMIFS('ноябрь 2023'!$G$76:$G$1127,'ноябрь 2023'!$D$76:$D$1127,$B189,'ноябрь 2023'!$J$76:$J$1127,V$1)</f>
        <v>0</v>
      </c>
      <c r="W189" s="207">
        <f>SUMIFS('ноябрь 2023'!$G$76:$G$1127,'ноябрь 2023'!$D$76:$D$1127,$B189,'ноябрь 2023'!$J$76:$J$1127,W$1)</f>
        <v>0</v>
      </c>
      <c r="X189" s="207">
        <f>SUMIFS('ноябрь 2023'!$G$76:$G$1127,'ноябрь 2023'!$D$76:$D$1127,$B189,'ноябрь 2023'!$J$76:$J$1127,X$1)</f>
        <v>0</v>
      </c>
      <c r="Y189" s="207">
        <f>SUMIFS('ноябрь 2023'!$G$76:$G$1127,'ноябрь 2023'!$D$76:$D$1127,$B189,'ноябрь 2023'!$J$76:$J$1127,Y$1)</f>
        <v>0</v>
      </c>
      <c r="Z189" s="207">
        <f>SUMIFS('ноябрь 2023'!$G$76:$G$1127,'ноябрь 2023'!$D$76:$D$1127,$B189,'ноябрь 2023'!$J$76:$J$1127,Z$1)</f>
        <v>0</v>
      </c>
      <c r="AA189" s="207">
        <f>SUMIFS('ноябрь 2023'!$G$76:$G$1127,'ноябрь 2023'!$D$76:$D$1127,$B189,'ноябрь 2023'!$J$76:$J$1127,AA$1)</f>
        <v>0</v>
      </c>
      <c r="AB189" s="207">
        <f>SUMIFS('ноябрь 2023'!$G$76:$G$1127,'ноябрь 2023'!$D$76:$D$1127,$B189,'ноябрь 2023'!$J$76:$J$1127,AB$1)</f>
        <v>0</v>
      </c>
      <c r="AC189" s="207">
        <f>SUMIFS('ноябрь 2023'!$G$76:$G$1127,'ноябрь 2023'!$D$76:$D$1127,$B189,'ноябрь 2023'!$J$76:$J$1127,AC$1)</f>
        <v>0</v>
      </c>
      <c r="AD189" s="207">
        <f>SUMIFS('ноябрь 2023'!$G$76:$G$1127,'ноябрь 2023'!$D$76:$D$1127,$B189,'ноябрь 2023'!$J$76:$J$1127,AD$1)</f>
        <v>0</v>
      </c>
      <c r="AE189" s="207">
        <f>SUMIFS('ноябрь 2023'!$G$76:$G$1127,'ноябрь 2023'!$D$76:$D$1127,$B189,'ноябрь 2023'!$J$76:$J$1127,AE$1)</f>
        <v>0</v>
      </c>
      <c r="AF189" s="207">
        <f>SUMIFS('ноябрь 2023'!$G$76:$G$1127,'ноябрь 2023'!$D$76:$D$1127,$B189,'ноябрь 2023'!$J$76:$J$1127,AF$1)</f>
        <v>0</v>
      </c>
      <c r="AG189" s="207">
        <f>SUMIFS('ноябрь 2023'!$G$76:$G$1127,'ноябрь 2023'!$D$76:$D$1127,$B189,'ноябрь 2023'!$J$76:$J$1127,AG$1)</f>
        <v>0</v>
      </c>
      <c r="AH189" s="207">
        <f>SUMIFS('ноябрь 2023'!$G$76:$G$1127,'ноябрь 2023'!$D$76:$D$1127,$B189,'ноябрь 2023'!$J$76:$J$1127,AH$1)</f>
        <v>0</v>
      </c>
      <c r="AI189" s="220">
        <f t="shared" si="4"/>
        <v>0</v>
      </c>
    </row>
    <row r="190" spans="2:35" ht="15.75" hidden="1" x14ac:dyDescent="0.25">
      <c r="B190" s="212"/>
      <c r="C190" s="211"/>
      <c r="D190" s="207">
        <f>SUMIFS('ноябрь 2023'!$G$76:$G$1127,'ноябрь 2023'!$D$76:$D$1127,$B190,'ноябрь 2023'!$J$76:$J$1127,D$1)</f>
        <v>0</v>
      </c>
      <c r="E190" s="207">
        <f>SUMIFS('ноябрь 2023'!$G$76:$G$1127,'ноябрь 2023'!$D$76:$D$1127,$B190,'ноябрь 2023'!$J$76:$J$1127,E$1)</f>
        <v>0</v>
      </c>
      <c r="F190" s="207">
        <f>SUMIFS('ноябрь 2023'!$G$76:$G$1127,'ноябрь 2023'!$D$76:$D$1127,$B190,'ноябрь 2023'!$J$76:$J$1127,F$1)</f>
        <v>0</v>
      </c>
      <c r="G190" s="207">
        <f>SUMIFS('ноябрь 2023'!$G$76:$G$1127,'ноябрь 2023'!$D$76:$D$1127,$B190,'ноябрь 2023'!$J$76:$J$1127,G$1)</f>
        <v>0</v>
      </c>
      <c r="H190" s="207">
        <f>SUMIFS('ноябрь 2023'!$G$76:$G$1127,'ноябрь 2023'!$D$76:$D$1127,$B190,'ноябрь 2023'!$J$76:$J$1127,H$1)</f>
        <v>0</v>
      </c>
      <c r="I190" s="207">
        <f>SUMIFS('ноябрь 2023'!$G$76:$G$1127,'ноябрь 2023'!$D$76:$D$1127,$B190,'ноябрь 2023'!$J$76:$J$1127,I$1)</f>
        <v>0</v>
      </c>
      <c r="J190" s="207">
        <f>SUMIFS('ноябрь 2023'!$G$76:$G$1127,'ноябрь 2023'!$D$76:$D$1127,$B190,'ноябрь 2023'!$J$76:$J$1127,J$1)</f>
        <v>0</v>
      </c>
      <c r="K190" s="207">
        <f>SUMIFS('ноябрь 2023'!$G$76:$G$1127,'ноябрь 2023'!$D$76:$D$1127,$B190,'ноябрь 2023'!$J$76:$J$1127,K$1)</f>
        <v>0</v>
      </c>
      <c r="L190" s="207">
        <f>SUMIFS('ноябрь 2023'!$G$76:$G$1127,'ноябрь 2023'!$D$76:$D$1127,$B190,'ноябрь 2023'!$J$76:$J$1127,L$1)</f>
        <v>0</v>
      </c>
      <c r="M190" s="207">
        <f>SUMIFS('ноябрь 2023'!$G$76:$G$1127,'ноябрь 2023'!$D$76:$D$1127,$B190,'ноябрь 2023'!$J$76:$J$1127,M$1)</f>
        <v>0</v>
      </c>
      <c r="N190" s="207">
        <f>SUMIFS('ноябрь 2023'!$G$76:$G$1127,'ноябрь 2023'!$D$76:$D$1127,$B190,'ноябрь 2023'!$J$76:$J$1127,N$1)</f>
        <v>0</v>
      </c>
      <c r="O190" s="207">
        <f>SUMIFS('ноябрь 2023'!$G$76:$G$1127,'ноябрь 2023'!$D$76:$D$1127,$B190,'ноябрь 2023'!$J$76:$J$1127,O$1)</f>
        <v>0</v>
      </c>
      <c r="P190" s="207">
        <f>SUMIFS('ноябрь 2023'!$G$76:$G$1127,'ноябрь 2023'!$D$76:$D$1127,$B190,'ноябрь 2023'!$J$76:$J$1127,P$1)</f>
        <v>0</v>
      </c>
      <c r="Q190" s="207">
        <f>SUMIFS('ноябрь 2023'!$G$76:$G$1127,'ноябрь 2023'!$D$76:$D$1127,$B190,'ноябрь 2023'!$J$76:$J$1127,Q$1)</f>
        <v>0</v>
      </c>
      <c r="R190" s="207">
        <f>SUMIFS('ноябрь 2023'!$G$76:$G$1127,'ноябрь 2023'!$D$76:$D$1127,$B190,'ноябрь 2023'!$J$76:$J$1127,R$1)</f>
        <v>0</v>
      </c>
      <c r="S190" s="207">
        <f>SUMIFS('ноябрь 2023'!$G$76:$G$1127,'ноябрь 2023'!$D$76:$D$1127,$B190,'ноябрь 2023'!$J$76:$J$1127,S$1)</f>
        <v>0</v>
      </c>
      <c r="T190" s="207">
        <f>SUMIFS('ноябрь 2023'!$G$76:$G$1127,'ноябрь 2023'!$D$76:$D$1127,$B190,'ноябрь 2023'!$J$76:$J$1127,T$1)</f>
        <v>0</v>
      </c>
      <c r="U190" s="207">
        <f>SUMIFS('ноябрь 2023'!$G$76:$G$1127,'ноябрь 2023'!$D$76:$D$1127,$B190,'ноябрь 2023'!$J$76:$J$1127,U$1)</f>
        <v>0</v>
      </c>
      <c r="V190" s="207">
        <f>SUMIFS('ноябрь 2023'!$G$76:$G$1127,'ноябрь 2023'!$D$76:$D$1127,$B190,'ноябрь 2023'!$J$76:$J$1127,V$1)</f>
        <v>0</v>
      </c>
      <c r="W190" s="207">
        <f>SUMIFS('ноябрь 2023'!$G$76:$G$1127,'ноябрь 2023'!$D$76:$D$1127,$B190,'ноябрь 2023'!$J$76:$J$1127,W$1)</f>
        <v>0</v>
      </c>
      <c r="X190" s="207">
        <f>SUMIFS('ноябрь 2023'!$G$76:$G$1127,'ноябрь 2023'!$D$76:$D$1127,$B190,'ноябрь 2023'!$J$76:$J$1127,X$1)</f>
        <v>0</v>
      </c>
      <c r="Y190" s="207">
        <f>SUMIFS('ноябрь 2023'!$G$76:$G$1127,'ноябрь 2023'!$D$76:$D$1127,$B190,'ноябрь 2023'!$J$76:$J$1127,Y$1)</f>
        <v>0</v>
      </c>
      <c r="Z190" s="207">
        <f>SUMIFS('ноябрь 2023'!$G$76:$G$1127,'ноябрь 2023'!$D$76:$D$1127,$B190,'ноябрь 2023'!$J$76:$J$1127,Z$1)</f>
        <v>0</v>
      </c>
      <c r="AA190" s="207">
        <f>SUMIFS('ноябрь 2023'!$G$76:$G$1127,'ноябрь 2023'!$D$76:$D$1127,$B190,'ноябрь 2023'!$J$76:$J$1127,AA$1)</f>
        <v>0</v>
      </c>
      <c r="AB190" s="207">
        <f>SUMIFS('ноябрь 2023'!$G$76:$G$1127,'ноябрь 2023'!$D$76:$D$1127,$B190,'ноябрь 2023'!$J$76:$J$1127,AB$1)</f>
        <v>0</v>
      </c>
      <c r="AC190" s="207">
        <f>SUMIFS('ноябрь 2023'!$G$76:$G$1127,'ноябрь 2023'!$D$76:$D$1127,$B190,'ноябрь 2023'!$J$76:$J$1127,AC$1)</f>
        <v>0</v>
      </c>
      <c r="AD190" s="207">
        <f>SUMIFS('ноябрь 2023'!$G$76:$G$1127,'ноябрь 2023'!$D$76:$D$1127,$B190,'ноябрь 2023'!$J$76:$J$1127,AD$1)</f>
        <v>0</v>
      </c>
      <c r="AE190" s="207">
        <f>SUMIFS('ноябрь 2023'!$G$76:$G$1127,'ноябрь 2023'!$D$76:$D$1127,$B190,'ноябрь 2023'!$J$76:$J$1127,AE$1)</f>
        <v>0</v>
      </c>
      <c r="AF190" s="207">
        <f>SUMIFS('ноябрь 2023'!$G$76:$G$1127,'ноябрь 2023'!$D$76:$D$1127,$B190,'ноябрь 2023'!$J$76:$J$1127,AF$1)</f>
        <v>0</v>
      </c>
      <c r="AG190" s="207">
        <f>SUMIFS('ноябрь 2023'!$G$76:$G$1127,'ноябрь 2023'!$D$76:$D$1127,$B190,'ноябрь 2023'!$J$76:$J$1127,AG$1)</f>
        <v>0</v>
      </c>
      <c r="AH190" s="207">
        <f>SUMIFS('ноябрь 2023'!$G$76:$G$1127,'ноябрь 2023'!$D$76:$D$1127,$B190,'ноябрь 2023'!$J$76:$J$1127,AH$1)</f>
        <v>0</v>
      </c>
      <c r="AI190" s="220">
        <f t="shared" si="4"/>
        <v>0</v>
      </c>
    </row>
    <row r="191" spans="2:35" ht="15.75" hidden="1" x14ac:dyDescent="0.25">
      <c r="B191" s="212"/>
      <c r="C191" s="211"/>
      <c r="D191" s="207">
        <f>SUMIFS('ноябрь 2023'!$G$76:$G$1127,'ноябрь 2023'!$D$76:$D$1127,$B191,'ноябрь 2023'!$J$76:$J$1127,D$1)</f>
        <v>0</v>
      </c>
      <c r="E191" s="207">
        <f>SUMIFS('ноябрь 2023'!$G$76:$G$1127,'ноябрь 2023'!$D$76:$D$1127,$B191,'ноябрь 2023'!$J$76:$J$1127,E$1)</f>
        <v>0</v>
      </c>
      <c r="F191" s="207">
        <f>SUMIFS('ноябрь 2023'!$G$76:$G$1127,'ноябрь 2023'!$D$76:$D$1127,$B191,'ноябрь 2023'!$J$76:$J$1127,F$1)</f>
        <v>0</v>
      </c>
      <c r="G191" s="207">
        <f>SUMIFS('ноябрь 2023'!$G$76:$G$1127,'ноябрь 2023'!$D$76:$D$1127,$B191,'ноябрь 2023'!$J$76:$J$1127,G$1)</f>
        <v>0</v>
      </c>
      <c r="H191" s="207">
        <f>SUMIFS('ноябрь 2023'!$G$76:$G$1127,'ноябрь 2023'!$D$76:$D$1127,$B191,'ноябрь 2023'!$J$76:$J$1127,H$1)</f>
        <v>0</v>
      </c>
      <c r="I191" s="207">
        <f>SUMIFS('ноябрь 2023'!$G$76:$G$1127,'ноябрь 2023'!$D$76:$D$1127,$B191,'ноябрь 2023'!$J$76:$J$1127,I$1)</f>
        <v>0</v>
      </c>
      <c r="J191" s="207">
        <f>SUMIFS('ноябрь 2023'!$G$76:$G$1127,'ноябрь 2023'!$D$76:$D$1127,$B191,'ноябрь 2023'!$J$76:$J$1127,J$1)</f>
        <v>0</v>
      </c>
      <c r="K191" s="207">
        <f>SUMIFS('ноябрь 2023'!$G$76:$G$1127,'ноябрь 2023'!$D$76:$D$1127,$B191,'ноябрь 2023'!$J$76:$J$1127,K$1)</f>
        <v>0</v>
      </c>
      <c r="L191" s="207">
        <f>SUMIFS('ноябрь 2023'!$G$76:$G$1127,'ноябрь 2023'!$D$76:$D$1127,$B191,'ноябрь 2023'!$J$76:$J$1127,L$1)</f>
        <v>0</v>
      </c>
      <c r="M191" s="207">
        <f>SUMIFS('ноябрь 2023'!$G$76:$G$1127,'ноябрь 2023'!$D$76:$D$1127,$B191,'ноябрь 2023'!$J$76:$J$1127,M$1)</f>
        <v>0</v>
      </c>
      <c r="N191" s="207">
        <f>SUMIFS('ноябрь 2023'!$G$76:$G$1127,'ноябрь 2023'!$D$76:$D$1127,$B191,'ноябрь 2023'!$J$76:$J$1127,N$1)</f>
        <v>0</v>
      </c>
      <c r="O191" s="207">
        <f>SUMIFS('ноябрь 2023'!$G$76:$G$1127,'ноябрь 2023'!$D$76:$D$1127,$B191,'ноябрь 2023'!$J$76:$J$1127,O$1)</f>
        <v>0</v>
      </c>
      <c r="P191" s="207">
        <f>SUMIFS('ноябрь 2023'!$G$76:$G$1127,'ноябрь 2023'!$D$76:$D$1127,$B191,'ноябрь 2023'!$J$76:$J$1127,P$1)</f>
        <v>0</v>
      </c>
      <c r="Q191" s="207">
        <f>SUMIFS('ноябрь 2023'!$G$76:$G$1127,'ноябрь 2023'!$D$76:$D$1127,$B191,'ноябрь 2023'!$J$76:$J$1127,Q$1)</f>
        <v>0</v>
      </c>
      <c r="R191" s="207">
        <f>SUMIFS('ноябрь 2023'!$G$76:$G$1127,'ноябрь 2023'!$D$76:$D$1127,$B191,'ноябрь 2023'!$J$76:$J$1127,R$1)</f>
        <v>0</v>
      </c>
      <c r="S191" s="207">
        <f>SUMIFS('ноябрь 2023'!$G$76:$G$1127,'ноябрь 2023'!$D$76:$D$1127,$B191,'ноябрь 2023'!$J$76:$J$1127,S$1)</f>
        <v>0</v>
      </c>
      <c r="T191" s="207">
        <f>SUMIFS('ноябрь 2023'!$G$76:$G$1127,'ноябрь 2023'!$D$76:$D$1127,$B191,'ноябрь 2023'!$J$76:$J$1127,T$1)</f>
        <v>0</v>
      </c>
      <c r="U191" s="207">
        <f>SUMIFS('ноябрь 2023'!$G$76:$G$1127,'ноябрь 2023'!$D$76:$D$1127,$B191,'ноябрь 2023'!$J$76:$J$1127,U$1)</f>
        <v>0</v>
      </c>
      <c r="V191" s="207">
        <f>SUMIFS('ноябрь 2023'!$G$76:$G$1127,'ноябрь 2023'!$D$76:$D$1127,$B191,'ноябрь 2023'!$J$76:$J$1127,V$1)</f>
        <v>0</v>
      </c>
      <c r="W191" s="207">
        <f>SUMIFS('ноябрь 2023'!$G$76:$G$1127,'ноябрь 2023'!$D$76:$D$1127,$B191,'ноябрь 2023'!$J$76:$J$1127,W$1)</f>
        <v>0</v>
      </c>
      <c r="X191" s="207">
        <f>SUMIFS('ноябрь 2023'!$G$76:$G$1127,'ноябрь 2023'!$D$76:$D$1127,$B191,'ноябрь 2023'!$J$76:$J$1127,X$1)</f>
        <v>0</v>
      </c>
      <c r="Y191" s="207">
        <f>SUMIFS('ноябрь 2023'!$G$76:$G$1127,'ноябрь 2023'!$D$76:$D$1127,$B191,'ноябрь 2023'!$J$76:$J$1127,Y$1)</f>
        <v>0</v>
      </c>
      <c r="Z191" s="207">
        <f>SUMIFS('ноябрь 2023'!$G$76:$G$1127,'ноябрь 2023'!$D$76:$D$1127,$B191,'ноябрь 2023'!$J$76:$J$1127,Z$1)</f>
        <v>0</v>
      </c>
      <c r="AA191" s="207">
        <f>SUMIFS('ноябрь 2023'!$G$76:$G$1127,'ноябрь 2023'!$D$76:$D$1127,$B191,'ноябрь 2023'!$J$76:$J$1127,AA$1)</f>
        <v>0</v>
      </c>
      <c r="AB191" s="207">
        <f>SUMIFS('ноябрь 2023'!$G$76:$G$1127,'ноябрь 2023'!$D$76:$D$1127,$B191,'ноябрь 2023'!$J$76:$J$1127,AB$1)</f>
        <v>0</v>
      </c>
      <c r="AC191" s="207">
        <f>SUMIFS('ноябрь 2023'!$G$76:$G$1127,'ноябрь 2023'!$D$76:$D$1127,$B191,'ноябрь 2023'!$J$76:$J$1127,AC$1)</f>
        <v>0</v>
      </c>
      <c r="AD191" s="207">
        <f>SUMIFS('ноябрь 2023'!$G$76:$G$1127,'ноябрь 2023'!$D$76:$D$1127,$B191,'ноябрь 2023'!$J$76:$J$1127,AD$1)</f>
        <v>0</v>
      </c>
      <c r="AE191" s="207">
        <f>SUMIFS('ноябрь 2023'!$G$76:$G$1127,'ноябрь 2023'!$D$76:$D$1127,$B191,'ноябрь 2023'!$J$76:$J$1127,AE$1)</f>
        <v>0</v>
      </c>
      <c r="AF191" s="207">
        <f>SUMIFS('ноябрь 2023'!$G$76:$G$1127,'ноябрь 2023'!$D$76:$D$1127,$B191,'ноябрь 2023'!$J$76:$J$1127,AF$1)</f>
        <v>0</v>
      </c>
      <c r="AG191" s="207">
        <f>SUMIFS('ноябрь 2023'!$G$76:$G$1127,'ноябрь 2023'!$D$76:$D$1127,$B191,'ноябрь 2023'!$J$76:$J$1127,AG$1)</f>
        <v>0</v>
      </c>
      <c r="AH191" s="207">
        <f>SUMIFS('ноябрь 2023'!$G$76:$G$1127,'ноябрь 2023'!$D$76:$D$1127,$B191,'ноябрь 2023'!$J$76:$J$1127,AH$1)</f>
        <v>0</v>
      </c>
      <c r="AI191" s="220">
        <f t="shared" si="4"/>
        <v>0</v>
      </c>
    </row>
    <row r="192" spans="2:35" ht="15.75" hidden="1" x14ac:dyDescent="0.25">
      <c r="B192" s="212"/>
      <c r="C192" s="211"/>
      <c r="D192" s="207">
        <f>SUMIFS('ноябрь 2023'!$G$76:$G$1127,'ноябрь 2023'!$D$76:$D$1127,$B192,'ноябрь 2023'!$J$76:$J$1127,D$1)</f>
        <v>0</v>
      </c>
      <c r="E192" s="207">
        <f>SUMIFS('ноябрь 2023'!$G$76:$G$1127,'ноябрь 2023'!$D$76:$D$1127,$B192,'ноябрь 2023'!$J$76:$J$1127,E$1)</f>
        <v>0</v>
      </c>
      <c r="F192" s="207">
        <f>SUMIFS('ноябрь 2023'!$G$76:$G$1127,'ноябрь 2023'!$D$76:$D$1127,$B192,'ноябрь 2023'!$J$76:$J$1127,F$1)</f>
        <v>0</v>
      </c>
      <c r="G192" s="207">
        <f>SUMIFS('ноябрь 2023'!$G$76:$G$1127,'ноябрь 2023'!$D$76:$D$1127,$B192,'ноябрь 2023'!$J$76:$J$1127,G$1)</f>
        <v>0</v>
      </c>
      <c r="H192" s="207">
        <f>SUMIFS('ноябрь 2023'!$G$76:$G$1127,'ноябрь 2023'!$D$76:$D$1127,$B192,'ноябрь 2023'!$J$76:$J$1127,H$1)</f>
        <v>0</v>
      </c>
      <c r="I192" s="207">
        <f>SUMIFS('ноябрь 2023'!$G$76:$G$1127,'ноябрь 2023'!$D$76:$D$1127,$B192,'ноябрь 2023'!$J$76:$J$1127,I$1)</f>
        <v>0</v>
      </c>
      <c r="J192" s="207">
        <f>SUMIFS('ноябрь 2023'!$G$76:$G$1127,'ноябрь 2023'!$D$76:$D$1127,$B192,'ноябрь 2023'!$J$76:$J$1127,J$1)</f>
        <v>0</v>
      </c>
      <c r="K192" s="207">
        <f>SUMIFS('ноябрь 2023'!$G$76:$G$1127,'ноябрь 2023'!$D$76:$D$1127,$B192,'ноябрь 2023'!$J$76:$J$1127,K$1)</f>
        <v>0</v>
      </c>
      <c r="L192" s="207">
        <f>SUMIFS('ноябрь 2023'!$G$76:$G$1127,'ноябрь 2023'!$D$76:$D$1127,$B192,'ноябрь 2023'!$J$76:$J$1127,L$1)</f>
        <v>0</v>
      </c>
      <c r="M192" s="207">
        <f>SUMIFS('ноябрь 2023'!$G$76:$G$1127,'ноябрь 2023'!$D$76:$D$1127,$B192,'ноябрь 2023'!$J$76:$J$1127,M$1)</f>
        <v>0</v>
      </c>
      <c r="N192" s="207">
        <f>SUMIFS('ноябрь 2023'!$G$76:$G$1127,'ноябрь 2023'!$D$76:$D$1127,$B192,'ноябрь 2023'!$J$76:$J$1127,N$1)</f>
        <v>0</v>
      </c>
      <c r="O192" s="207">
        <f>SUMIFS('ноябрь 2023'!$G$76:$G$1127,'ноябрь 2023'!$D$76:$D$1127,$B192,'ноябрь 2023'!$J$76:$J$1127,O$1)</f>
        <v>0</v>
      </c>
      <c r="P192" s="207">
        <f>SUMIFS('ноябрь 2023'!$G$76:$G$1127,'ноябрь 2023'!$D$76:$D$1127,$B192,'ноябрь 2023'!$J$76:$J$1127,P$1)</f>
        <v>0</v>
      </c>
      <c r="Q192" s="207">
        <f>SUMIFS('ноябрь 2023'!$G$76:$G$1127,'ноябрь 2023'!$D$76:$D$1127,$B192,'ноябрь 2023'!$J$76:$J$1127,Q$1)</f>
        <v>0</v>
      </c>
      <c r="R192" s="207">
        <f>SUMIFS('ноябрь 2023'!$G$76:$G$1127,'ноябрь 2023'!$D$76:$D$1127,$B192,'ноябрь 2023'!$J$76:$J$1127,R$1)</f>
        <v>0</v>
      </c>
      <c r="S192" s="207">
        <f>SUMIFS('ноябрь 2023'!$G$76:$G$1127,'ноябрь 2023'!$D$76:$D$1127,$B192,'ноябрь 2023'!$J$76:$J$1127,S$1)</f>
        <v>0</v>
      </c>
      <c r="T192" s="207">
        <f>SUMIFS('ноябрь 2023'!$G$76:$G$1127,'ноябрь 2023'!$D$76:$D$1127,$B192,'ноябрь 2023'!$J$76:$J$1127,T$1)</f>
        <v>0</v>
      </c>
      <c r="U192" s="207">
        <f>SUMIFS('ноябрь 2023'!$G$76:$G$1127,'ноябрь 2023'!$D$76:$D$1127,$B192,'ноябрь 2023'!$J$76:$J$1127,U$1)</f>
        <v>0</v>
      </c>
      <c r="V192" s="207">
        <f>SUMIFS('ноябрь 2023'!$G$76:$G$1127,'ноябрь 2023'!$D$76:$D$1127,$B192,'ноябрь 2023'!$J$76:$J$1127,V$1)</f>
        <v>0</v>
      </c>
      <c r="W192" s="207">
        <f>SUMIFS('ноябрь 2023'!$G$76:$G$1127,'ноябрь 2023'!$D$76:$D$1127,$B192,'ноябрь 2023'!$J$76:$J$1127,W$1)</f>
        <v>0</v>
      </c>
      <c r="X192" s="207">
        <f>SUMIFS('ноябрь 2023'!$G$76:$G$1127,'ноябрь 2023'!$D$76:$D$1127,$B192,'ноябрь 2023'!$J$76:$J$1127,X$1)</f>
        <v>0</v>
      </c>
      <c r="Y192" s="207">
        <f>SUMIFS('ноябрь 2023'!$G$76:$G$1127,'ноябрь 2023'!$D$76:$D$1127,$B192,'ноябрь 2023'!$J$76:$J$1127,Y$1)</f>
        <v>0</v>
      </c>
      <c r="Z192" s="207">
        <f>SUMIFS('ноябрь 2023'!$G$76:$G$1127,'ноябрь 2023'!$D$76:$D$1127,$B192,'ноябрь 2023'!$J$76:$J$1127,Z$1)</f>
        <v>0</v>
      </c>
      <c r="AA192" s="207">
        <f>SUMIFS('ноябрь 2023'!$G$76:$G$1127,'ноябрь 2023'!$D$76:$D$1127,$B192,'ноябрь 2023'!$J$76:$J$1127,AA$1)</f>
        <v>0</v>
      </c>
      <c r="AB192" s="207">
        <f>SUMIFS('ноябрь 2023'!$G$76:$G$1127,'ноябрь 2023'!$D$76:$D$1127,$B192,'ноябрь 2023'!$J$76:$J$1127,AB$1)</f>
        <v>0</v>
      </c>
      <c r="AC192" s="207">
        <f>SUMIFS('ноябрь 2023'!$G$76:$G$1127,'ноябрь 2023'!$D$76:$D$1127,$B192,'ноябрь 2023'!$J$76:$J$1127,AC$1)</f>
        <v>0</v>
      </c>
      <c r="AD192" s="207">
        <f>SUMIFS('ноябрь 2023'!$G$76:$G$1127,'ноябрь 2023'!$D$76:$D$1127,$B192,'ноябрь 2023'!$J$76:$J$1127,AD$1)</f>
        <v>0</v>
      </c>
      <c r="AE192" s="207">
        <f>SUMIFS('ноябрь 2023'!$G$76:$G$1127,'ноябрь 2023'!$D$76:$D$1127,$B192,'ноябрь 2023'!$J$76:$J$1127,AE$1)</f>
        <v>0</v>
      </c>
      <c r="AF192" s="207">
        <f>SUMIFS('ноябрь 2023'!$G$76:$G$1127,'ноябрь 2023'!$D$76:$D$1127,$B192,'ноябрь 2023'!$J$76:$J$1127,AF$1)</f>
        <v>0</v>
      </c>
      <c r="AG192" s="207">
        <f>SUMIFS('ноябрь 2023'!$G$76:$G$1127,'ноябрь 2023'!$D$76:$D$1127,$B192,'ноябрь 2023'!$J$76:$J$1127,AG$1)</f>
        <v>0</v>
      </c>
      <c r="AH192" s="207">
        <f>SUMIFS('ноябрь 2023'!$G$76:$G$1127,'ноябрь 2023'!$D$76:$D$1127,$B192,'ноябрь 2023'!$J$76:$J$1127,AH$1)</f>
        <v>0</v>
      </c>
      <c r="AI192" s="220">
        <f t="shared" si="4"/>
        <v>0</v>
      </c>
    </row>
    <row r="193" spans="2:35" ht="15.75" x14ac:dyDescent="0.25">
      <c r="B193" s="212"/>
      <c r="C193" s="221"/>
      <c r="D193" s="207">
        <f>SUMIFS('ноябрь 2023'!$G$76:$G$1127,'ноябрь 2023'!$D$76:$D$1127,$B193,'ноябрь 2023'!$J$76:$J$1127,D$1)</f>
        <v>0</v>
      </c>
      <c r="E193" s="207">
        <f>SUMIFS('ноябрь 2023'!$G$76:$G$1127,'ноябрь 2023'!$D$76:$D$1127,$B193,'ноябрь 2023'!$J$76:$J$1127,E$1)</f>
        <v>0</v>
      </c>
      <c r="F193" s="207">
        <f>SUMIFS('ноябрь 2023'!$G$76:$G$1127,'ноябрь 2023'!$D$76:$D$1127,$B193,'ноябрь 2023'!$J$76:$J$1127,F$1)</f>
        <v>0</v>
      </c>
      <c r="G193" s="207">
        <f>SUMIFS('ноябрь 2023'!$G$76:$G$1127,'ноябрь 2023'!$D$76:$D$1127,$B193,'ноябрь 2023'!$J$76:$J$1127,G$1)</f>
        <v>0</v>
      </c>
      <c r="H193" s="207">
        <f>SUMIFS('ноябрь 2023'!$G$76:$G$1127,'ноябрь 2023'!$D$76:$D$1127,$B193,'ноябрь 2023'!$J$76:$J$1127,H$1)</f>
        <v>0</v>
      </c>
      <c r="I193" s="207">
        <f>SUMIFS('ноябрь 2023'!$G$76:$G$1127,'ноябрь 2023'!$D$76:$D$1127,$B193,'ноябрь 2023'!$J$76:$J$1127,I$1)</f>
        <v>0</v>
      </c>
      <c r="J193" s="207">
        <f>SUMIFS('ноябрь 2023'!$G$76:$G$1127,'ноябрь 2023'!$D$76:$D$1127,$B193,'ноябрь 2023'!$J$76:$J$1127,J$1)</f>
        <v>0</v>
      </c>
      <c r="K193" s="207">
        <f>SUMIFS('ноябрь 2023'!$G$76:$G$1127,'ноябрь 2023'!$D$76:$D$1127,$B193,'ноябрь 2023'!$J$76:$J$1127,K$1)</f>
        <v>0</v>
      </c>
      <c r="L193" s="207">
        <f>SUMIFS('ноябрь 2023'!$G$76:$G$1127,'ноябрь 2023'!$D$76:$D$1127,$B193,'ноябрь 2023'!$J$76:$J$1127,L$1)</f>
        <v>0</v>
      </c>
      <c r="M193" s="207">
        <f>SUMIFS('ноябрь 2023'!$G$76:$G$1127,'ноябрь 2023'!$D$76:$D$1127,$B193,'ноябрь 2023'!$J$76:$J$1127,M$1)</f>
        <v>0</v>
      </c>
      <c r="N193" s="207">
        <f>SUMIFS('ноябрь 2023'!$G$76:$G$1127,'ноябрь 2023'!$D$76:$D$1127,$B193,'ноябрь 2023'!$J$76:$J$1127,N$1)</f>
        <v>0</v>
      </c>
      <c r="O193" s="207">
        <f>SUMIFS('ноябрь 2023'!$G$76:$G$1127,'ноябрь 2023'!$D$76:$D$1127,$B193,'ноябрь 2023'!$J$76:$J$1127,O$1)</f>
        <v>0</v>
      </c>
      <c r="P193" s="207">
        <f>SUMIFS('ноябрь 2023'!$G$76:$G$1127,'ноябрь 2023'!$D$76:$D$1127,$B193,'ноябрь 2023'!$J$76:$J$1127,P$1)</f>
        <v>0</v>
      </c>
      <c r="Q193" s="207">
        <f>SUMIFS('ноябрь 2023'!$G$76:$G$1127,'ноябрь 2023'!$D$76:$D$1127,$B193,'ноябрь 2023'!$J$76:$J$1127,Q$1)</f>
        <v>0</v>
      </c>
      <c r="R193" s="207">
        <f>SUMIFS('ноябрь 2023'!$G$76:$G$1127,'ноябрь 2023'!$D$76:$D$1127,$B193,'ноябрь 2023'!$J$76:$J$1127,R$1)</f>
        <v>0</v>
      </c>
      <c r="S193" s="207">
        <f>SUMIFS('ноябрь 2023'!$G$76:$G$1127,'ноябрь 2023'!$D$76:$D$1127,$B193,'ноябрь 2023'!$J$76:$J$1127,S$1)</f>
        <v>0</v>
      </c>
      <c r="T193" s="207">
        <f>SUMIFS('ноябрь 2023'!$G$76:$G$1127,'ноябрь 2023'!$D$76:$D$1127,$B193,'ноябрь 2023'!$J$76:$J$1127,T$1)</f>
        <v>0</v>
      </c>
      <c r="U193" s="207">
        <f>SUMIFS('ноябрь 2023'!$G$76:$G$1127,'ноябрь 2023'!$D$76:$D$1127,$B193,'ноябрь 2023'!$J$76:$J$1127,U$1)</f>
        <v>0</v>
      </c>
      <c r="V193" s="207">
        <f>SUMIFS('ноябрь 2023'!$G$76:$G$1127,'ноябрь 2023'!$D$76:$D$1127,$B193,'ноябрь 2023'!$J$76:$J$1127,V$1)</f>
        <v>0</v>
      </c>
      <c r="W193" s="207">
        <f>SUMIFS('ноябрь 2023'!$G$76:$G$1127,'ноябрь 2023'!$D$76:$D$1127,$B193,'ноябрь 2023'!$J$76:$J$1127,W$1)</f>
        <v>0</v>
      </c>
      <c r="X193" s="207">
        <f>SUMIFS('ноябрь 2023'!$G$76:$G$1127,'ноябрь 2023'!$D$76:$D$1127,$B193,'ноябрь 2023'!$J$76:$J$1127,X$1)</f>
        <v>0</v>
      </c>
      <c r="Y193" s="207">
        <f>SUMIFS('ноябрь 2023'!$G$76:$G$1127,'ноябрь 2023'!$D$76:$D$1127,$B193,'ноябрь 2023'!$J$76:$J$1127,Y$1)</f>
        <v>0</v>
      </c>
      <c r="Z193" s="207">
        <f>SUMIFS('ноябрь 2023'!$G$76:$G$1127,'ноябрь 2023'!$D$76:$D$1127,$B193,'ноябрь 2023'!$J$76:$J$1127,Z$1)</f>
        <v>0</v>
      </c>
      <c r="AA193" s="207">
        <f>SUMIFS('ноябрь 2023'!$G$76:$G$1127,'ноябрь 2023'!$D$76:$D$1127,$B193,'ноябрь 2023'!$J$76:$J$1127,AA$1)</f>
        <v>0</v>
      </c>
      <c r="AB193" s="207">
        <f>SUMIFS('ноябрь 2023'!$G$76:$G$1127,'ноябрь 2023'!$D$76:$D$1127,$B193,'ноябрь 2023'!$J$76:$J$1127,AB$1)</f>
        <v>0</v>
      </c>
      <c r="AC193" s="207">
        <f>SUMIFS('ноябрь 2023'!$G$76:$G$1127,'ноябрь 2023'!$D$76:$D$1127,$B193,'ноябрь 2023'!$J$76:$J$1127,AC$1)</f>
        <v>0</v>
      </c>
      <c r="AD193" s="207">
        <f>SUMIFS('ноябрь 2023'!$G$76:$G$1127,'ноябрь 2023'!$D$76:$D$1127,$B193,'ноябрь 2023'!$J$76:$J$1127,AD$1)</f>
        <v>0</v>
      </c>
      <c r="AE193" s="207">
        <f>SUMIFS('ноябрь 2023'!$G$76:$G$1127,'ноябрь 2023'!$D$76:$D$1127,$B193,'ноябрь 2023'!$J$76:$J$1127,AE$1)</f>
        <v>0</v>
      </c>
      <c r="AF193" s="207">
        <f>SUMIFS('ноябрь 2023'!$G$76:$G$1127,'ноябрь 2023'!$D$76:$D$1127,$B193,'ноябрь 2023'!$J$76:$J$1127,AF$1)</f>
        <v>0</v>
      </c>
      <c r="AG193" s="207">
        <f>SUMIFS('ноябрь 2023'!$G$76:$G$1127,'ноябрь 2023'!$D$76:$D$1127,$B193,'ноябрь 2023'!$J$76:$J$1127,AG$1)</f>
        <v>0</v>
      </c>
      <c r="AH193" s="207">
        <f>SUMIFS('ноябрь 2023'!$G$76:$G$1127,'ноябрь 2023'!$D$76:$D$1127,$B193,'ноябрь 2023'!$J$76:$J$1127,AH$1)</f>
        <v>0</v>
      </c>
      <c r="AI193" s="220">
        <f t="shared" si="4"/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справочник!$E$4:$E$159</xm:f>
          </x14:formula1>
          <xm:sqref>B3:B193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I192"/>
  <sheetViews>
    <sheetView showZeros="0" topLeftCell="A2" zoomScale="70" workbookViewId="0">
      <selection activeCell="Y36" sqref="Y36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45231</v>
      </c>
      <c r="C1" s="192"/>
      <c r="D1" s="157">
        <f>B1</f>
        <v>45231</v>
      </c>
      <c r="E1" s="157">
        <f>D1+1</f>
        <v>45232</v>
      </c>
      <c r="F1" s="157">
        <f t="shared" ref="F1:AH1" si="0">E1+1</f>
        <v>45233</v>
      </c>
      <c r="G1" s="157">
        <f t="shared" si="0"/>
        <v>45234</v>
      </c>
      <c r="H1" s="157">
        <f t="shared" si="0"/>
        <v>45235</v>
      </c>
      <c r="I1" s="157">
        <f t="shared" si="0"/>
        <v>45236</v>
      </c>
      <c r="J1" s="157">
        <f t="shared" si="0"/>
        <v>45237</v>
      </c>
      <c r="K1" s="157">
        <f t="shared" si="0"/>
        <v>45238</v>
      </c>
      <c r="L1" s="157">
        <f t="shared" si="0"/>
        <v>45239</v>
      </c>
      <c r="M1" s="157">
        <f t="shared" si="0"/>
        <v>45240</v>
      </c>
      <c r="N1" s="157">
        <f t="shared" si="0"/>
        <v>45241</v>
      </c>
      <c r="O1" s="157">
        <f t="shared" si="0"/>
        <v>45242</v>
      </c>
      <c r="P1" s="157">
        <f t="shared" si="0"/>
        <v>45243</v>
      </c>
      <c r="Q1" s="157">
        <f t="shared" si="0"/>
        <v>45244</v>
      </c>
      <c r="R1" s="157">
        <f t="shared" si="0"/>
        <v>45245</v>
      </c>
      <c r="S1" s="157">
        <f t="shared" si="0"/>
        <v>45246</v>
      </c>
      <c r="T1" s="157">
        <f t="shared" si="0"/>
        <v>45247</v>
      </c>
      <c r="U1" s="157">
        <f t="shared" si="0"/>
        <v>45248</v>
      </c>
      <c r="V1" s="157">
        <f t="shared" si="0"/>
        <v>45249</v>
      </c>
      <c r="W1" s="157">
        <f t="shared" si="0"/>
        <v>45250</v>
      </c>
      <c r="X1" s="157">
        <f t="shared" si="0"/>
        <v>45251</v>
      </c>
      <c r="Y1" s="157">
        <f t="shared" si="0"/>
        <v>45252</v>
      </c>
      <c r="Z1" s="157">
        <f t="shared" si="0"/>
        <v>45253</v>
      </c>
      <c r="AA1" s="157">
        <f t="shared" si="0"/>
        <v>45254</v>
      </c>
      <c r="AB1" s="157">
        <f t="shared" si="0"/>
        <v>45255</v>
      </c>
      <c r="AC1" s="157">
        <f t="shared" si="0"/>
        <v>45256</v>
      </c>
      <c r="AD1" s="157">
        <f t="shared" si="0"/>
        <v>45257</v>
      </c>
      <c r="AE1" s="157">
        <f t="shared" si="0"/>
        <v>45258</v>
      </c>
      <c r="AF1" s="157">
        <f t="shared" si="0"/>
        <v>45259</v>
      </c>
      <c r="AG1" s="157">
        <f t="shared" si="0"/>
        <v>45260</v>
      </c>
      <c r="AH1" s="157">
        <f t="shared" si="0"/>
        <v>45261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SUMIFS('ноябрь 2023'!$G$4:$G$1127,'ноябрь 2023'!$D$4:$D$1127,$B3,'ноябрь 2023'!$J$4:$J$1127,D$1)</f>
        <v>700</v>
      </c>
      <c r="E3" s="198">
        <f>SUMIFS('ноябрь 2023'!$G$4:$G$1127,'ноябрь 2023'!$D$4:$D$1127,$B3,'ноябрь 2023'!$J$4:$J$1127,E$1)</f>
        <v>0</v>
      </c>
      <c r="F3" s="198">
        <f>SUMIFS('ноябрь 2023'!$G$4:$G$1127,'ноябрь 2023'!$D$4:$D$1127,$B3,'ноябрь 2023'!$J$4:$J$1127,F$1)</f>
        <v>1225</v>
      </c>
      <c r="G3" s="198">
        <f>SUMIFS('ноябрь 2023'!$G$4:$G$1127,'ноябрь 2023'!$D$4:$D$1127,$B3,'ноябрь 2023'!$J$4:$J$1127,G$1)</f>
        <v>0</v>
      </c>
      <c r="H3" s="198">
        <f>SUMIFS('ноябрь 2023'!$G$4:$G$1127,'ноябрь 2023'!$D$4:$D$1127,$B3,'ноябрь 2023'!$J$4:$J$1127,H$1)</f>
        <v>0</v>
      </c>
      <c r="I3" s="198">
        <f>SUMIFS('ноябрь 2023'!$G$4:$G$1127,'ноябрь 2023'!$D$4:$D$1127,$B3,'ноябрь 2023'!$J$4:$J$1127,I$1)</f>
        <v>0</v>
      </c>
      <c r="J3" s="198">
        <f>SUMIFS('ноябрь 2023'!$G$4:$G$1127,'ноябрь 2023'!$D$4:$D$1127,$B3,'ноябрь 2023'!$J$4:$J$1127,J$1)</f>
        <v>1400</v>
      </c>
      <c r="K3" s="198">
        <f>SUMIFS('ноябрь 2023'!$G$4:$G$1127,'ноябрь 2023'!$D$4:$D$1127,$B3,'ноябрь 2023'!$J$4:$J$1127,K$1)</f>
        <v>0</v>
      </c>
      <c r="L3" s="198">
        <f>SUMIFS('ноябрь 2023'!$G$4:$G$1127,'ноябрь 2023'!$D$4:$D$1127,$B3,'ноябрь 2023'!$J$4:$J$1127,L$1)</f>
        <v>1365</v>
      </c>
      <c r="M3" s="198">
        <f>SUMIFS('ноябрь 2023'!$G$4:$G$1127,'ноябрь 2023'!$D$4:$D$1127,$B3,'ноябрь 2023'!$J$4:$J$1127,M$1)</f>
        <v>875</v>
      </c>
      <c r="N3" s="198">
        <f>SUMIFS('ноябрь 2023'!$G$4:$G$1127,'ноябрь 2023'!$D$4:$D$1127,$B3,'ноябрь 2023'!$J$4:$J$1127,N$1)</f>
        <v>0</v>
      </c>
      <c r="O3" s="198">
        <f>SUMIFS('ноябрь 2023'!$G$4:$G$1127,'ноябрь 2023'!$D$4:$D$1127,$B3,'ноябрь 2023'!$J$4:$J$1127,O$1)</f>
        <v>0</v>
      </c>
      <c r="P3" s="198">
        <f>SUMIFS('ноябрь 2023'!$G$4:$G$1127,'ноябрь 2023'!$D$4:$D$1127,$B3,'ноябрь 2023'!$J$4:$J$1127,P$1)</f>
        <v>0</v>
      </c>
      <c r="Q3" s="198">
        <f>SUMIFS('ноябрь 2023'!$G$4:$G$1127,'ноябрь 2023'!$D$4:$D$1127,$B3,'ноябрь 2023'!$J$4:$J$1127,Q$1)</f>
        <v>935</v>
      </c>
      <c r="R3" s="198">
        <f>SUMIFS('ноябрь 2023'!$G$4:$G$1127,'ноябрь 2023'!$D$4:$D$1127,$B3,'ноябрь 2023'!$J$4:$J$1127,R$1)</f>
        <v>900</v>
      </c>
      <c r="S3" s="198">
        <f>SUMIFS('ноябрь 2023'!$G$4:$G$1127,'ноябрь 2023'!$D$4:$D$1127,$B3,'ноябрь 2023'!$J$4:$J$1127,S$1)</f>
        <v>0</v>
      </c>
      <c r="T3" s="198">
        <f>SUMIFS('ноябрь 2023'!$G$4:$G$1127,'ноябрь 2023'!$D$4:$D$1127,$B3,'ноябрь 2023'!$J$4:$J$1127,T$1)</f>
        <v>0</v>
      </c>
      <c r="U3" s="198">
        <f>SUMIFS('ноябрь 2023'!$G$4:$G$1127,'ноябрь 2023'!$D$4:$D$1127,$B3,'ноябрь 2023'!$J$4:$J$1127,U$1)</f>
        <v>0</v>
      </c>
      <c r="V3" s="198">
        <f>SUMIFS('ноябрь 2023'!$G$4:$G$1127,'ноябрь 2023'!$D$4:$D$1127,$B3,'ноябрь 2023'!$J$4:$J$1127,V$1)</f>
        <v>0</v>
      </c>
      <c r="W3" s="198">
        <f>SUMIFS('ноябрь 2023'!$G$4:$G$1127,'ноябрь 2023'!$D$4:$D$1127,$B3,'ноябрь 2023'!$J$4:$J$1127,W$1)</f>
        <v>0</v>
      </c>
      <c r="X3" s="198">
        <f>SUMIFS('ноябрь 2023'!$G$4:$G$1127,'ноябрь 2023'!$D$4:$D$1127,$B3,'ноябрь 2023'!$J$4:$J$1127,X$1)</f>
        <v>0</v>
      </c>
      <c r="Y3" s="198">
        <f>SUMIFS('ноябрь 2023'!$G$4:$G$1127,'ноябрь 2023'!$D$4:$D$1127,$B3,'ноябрь 2023'!$J$4:$J$1127,Y$1)</f>
        <v>0</v>
      </c>
      <c r="Z3" s="198">
        <f>SUMIFS('ноябрь 2023'!$G$4:$G$1127,'ноябрь 2023'!$D$4:$D$1127,$B3,'ноябрь 2023'!$J$4:$J$1127,Z$1)</f>
        <v>875</v>
      </c>
      <c r="AA3" s="198">
        <f>SUMIFS('ноябрь 2023'!$G$4:$G$1127,'ноябрь 2023'!$D$4:$D$1127,$B3,'ноябрь 2023'!$J$4:$J$1127,AA$1)</f>
        <v>0</v>
      </c>
      <c r="AB3" s="198">
        <f>SUMIFS('ноябрь 2023'!$G$4:$G$1127,'ноябрь 2023'!$D$4:$D$1127,$B3,'ноябрь 2023'!$J$4:$J$1127,AB$1)</f>
        <v>0</v>
      </c>
      <c r="AC3" s="198">
        <f>SUMIFS('ноябрь 2023'!$G$4:$G$1127,'ноябрь 2023'!$D$4:$D$1127,$B3,'ноябрь 2023'!$J$4:$J$1127,AC$1)</f>
        <v>0</v>
      </c>
      <c r="AD3" s="198">
        <f>SUMIFS('ноябрь 2023'!$G$4:$G$1127,'ноябрь 2023'!$D$4:$D$1127,$B3,'ноябрь 2023'!$J$4:$J$1127,AD$1)</f>
        <v>2275</v>
      </c>
      <c r="AE3" s="198">
        <f>SUMIFS('ноябрь 2023'!$G$4:$G$1127,'ноябрь 2023'!$D$4:$D$1127,$B3,'ноябрь 2023'!$J$4:$J$1127,AE$1)</f>
        <v>0</v>
      </c>
      <c r="AF3" s="198">
        <f>SUMIFS('ноябрь 2023'!$G$4:$G$1127,'ноябрь 2023'!$D$4:$D$1127,$B3,'ноябрь 2023'!$J$4:$J$1127,AF$1)</f>
        <v>0</v>
      </c>
      <c r="AG3" s="198">
        <f>SUMIFS('ноябрь 2023'!$G$4:$G$1127,'ноябрь 2023'!$D$4:$D$1127,$B3,'ноябрь 2023'!$J$4:$J$1127,AG$1)</f>
        <v>0</v>
      </c>
      <c r="AH3" s="198">
        <f>SUMIFS('ноябрь 2023'!$G$4:$G$1127,'ноябрь 2023'!$D$4:$D$1127,$B3,'ноябрь 2023'!$J$4:$J$1127,AH$1)</f>
        <v>0</v>
      </c>
      <c r="AI3" s="166">
        <f t="shared" ref="AI3:AI66" si="1">SUM(D3:AH3)</f>
        <v>10550</v>
      </c>
    </row>
    <row r="4" spans="2:35" ht="15" customHeight="1" x14ac:dyDescent="0.25">
      <c r="B4" s="199" t="s">
        <v>74</v>
      </c>
      <c r="C4" s="200">
        <v>25</v>
      </c>
      <c r="D4" s="198">
        <f>SUMIFS('ноябрь 2023'!$G$4:$G$1127,'ноябрь 2023'!$D$4:$D$1127,$B4,'ноябрь 2023'!$J$4:$J$1127,D$1)</f>
        <v>0</v>
      </c>
      <c r="E4" s="198">
        <f>SUMIFS('ноябрь 2023'!$G$4:$G$1127,'ноябрь 2023'!$D$4:$D$1127,$B4,'ноябрь 2023'!$J$4:$J$1127,E$1)</f>
        <v>0</v>
      </c>
      <c r="F4" s="198">
        <f>SUMIFS('ноябрь 2023'!$G$4:$G$1127,'ноябрь 2023'!$D$4:$D$1127,$B4,'ноябрь 2023'!$J$4:$J$1127,F$1)</f>
        <v>0</v>
      </c>
      <c r="G4" s="198">
        <f>SUMIFS('ноябрь 2023'!$G$4:$G$1127,'ноябрь 2023'!$D$4:$D$1127,$B4,'ноябрь 2023'!$J$4:$J$1127,G$1)</f>
        <v>0</v>
      </c>
      <c r="H4" s="198">
        <f>SUMIFS('ноябрь 2023'!$G$4:$G$1127,'ноябрь 2023'!$D$4:$D$1127,$B4,'ноябрь 2023'!$J$4:$J$1127,H$1)</f>
        <v>0</v>
      </c>
      <c r="I4" s="198">
        <f>SUMIFS('ноябрь 2023'!$G$4:$G$1127,'ноябрь 2023'!$D$4:$D$1127,$B4,'ноябрь 2023'!$J$4:$J$1127,I$1)</f>
        <v>0</v>
      </c>
      <c r="J4" s="198">
        <f>SUMIFS('ноябрь 2023'!$G$4:$G$1127,'ноябрь 2023'!$D$4:$D$1127,$B4,'ноябрь 2023'!$J$4:$J$1127,J$1)</f>
        <v>0</v>
      </c>
      <c r="K4" s="198">
        <f>SUMIFS('ноябрь 2023'!$G$4:$G$1127,'ноябрь 2023'!$D$4:$D$1127,$B4,'ноябрь 2023'!$J$4:$J$1127,K$1)</f>
        <v>0</v>
      </c>
      <c r="L4" s="198">
        <f>SUMIFS('ноябрь 2023'!$G$4:$G$1127,'ноябрь 2023'!$D$4:$D$1127,$B4,'ноябрь 2023'!$J$4:$J$1127,L$1)</f>
        <v>0</v>
      </c>
      <c r="M4" s="198">
        <f>SUMIFS('ноябрь 2023'!$G$4:$G$1127,'ноябрь 2023'!$D$4:$D$1127,$B4,'ноябрь 2023'!$J$4:$J$1127,M$1)</f>
        <v>0</v>
      </c>
      <c r="N4" s="198">
        <f>SUMIFS('ноябрь 2023'!$G$4:$G$1127,'ноябрь 2023'!$D$4:$D$1127,$B4,'ноябрь 2023'!$J$4:$J$1127,N$1)</f>
        <v>0</v>
      </c>
      <c r="O4" s="198">
        <f>SUMIFS('ноябрь 2023'!$G$4:$G$1127,'ноябрь 2023'!$D$4:$D$1127,$B4,'ноябрь 2023'!$J$4:$J$1127,O$1)</f>
        <v>0</v>
      </c>
      <c r="P4" s="198">
        <f>SUMIFS('ноябрь 2023'!$G$4:$G$1127,'ноябрь 2023'!$D$4:$D$1127,$B4,'ноябрь 2023'!$J$4:$J$1127,P$1)</f>
        <v>0</v>
      </c>
      <c r="Q4" s="198">
        <f>SUMIFS('ноябрь 2023'!$G$4:$G$1127,'ноябрь 2023'!$D$4:$D$1127,$B4,'ноябрь 2023'!$J$4:$J$1127,Q$1)</f>
        <v>0</v>
      </c>
      <c r="R4" s="198">
        <f>SUMIFS('ноябрь 2023'!$G$4:$G$1127,'ноябрь 2023'!$D$4:$D$1127,$B4,'ноябрь 2023'!$J$4:$J$1127,R$1)</f>
        <v>0</v>
      </c>
      <c r="S4" s="198">
        <f>SUMIFS('ноябрь 2023'!$G$4:$G$1127,'ноябрь 2023'!$D$4:$D$1127,$B4,'ноябрь 2023'!$J$4:$J$1127,S$1)</f>
        <v>0</v>
      </c>
      <c r="T4" s="198">
        <f>SUMIFS('ноябрь 2023'!$G$4:$G$1127,'ноябрь 2023'!$D$4:$D$1127,$B4,'ноябрь 2023'!$J$4:$J$1127,T$1)</f>
        <v>0</v>
      </c>
      <c r="U4" s="198">
        <f>SUMIFS('ноябрь 2023'!$G$4:$G$1127,'ноябрь 2023'!$D$4:$D$1127,$B4,'ноябрь 2023'!$J$4:$J$1127,U$1)</f>
        <v>0</v>
      </c>
      <c r="V4" s="198">
        <f>SUMIFS('ноябрь 2023'!$G$4:$G$1127,'ноябрь 2023'!$D$4:$D$1127,$B4,'ноябрь 2023'!$J$4:$J$1127,V$1)</f>
        <v>0</v>
      </c>
      <c r="W4" s="198">
        <f>SUMIFS('ноябрь 2023'!$G$4:$G$1127,'ноябрь 2023'!$D$4:$D$1127,$B4,'ноябрь 2023'!$J$4:$J$1127,W$1)</f>
        <v>0</v>
      </c>
      <c r="X4" s="198">
        <f>SUMIFS('ноябрь 2023'!$G$4:$G$1127,'ноябрь 2023'!$D$4:$D$1127,$B4,'ноябрь 2023'!$J$4:$J$1127,X$1)</f>
        <v>0</v>
      </c>
      <c r="Y4" s="198">
        <f>SUMIFS('ноябрь 2023'!$G$4:$G$1127,'ноябрь 2023'!$D$4:$D$1127,$B4,'ноябрь 2023'!$J$4:$J$1127,Y$1)</f>
        <v>0</v>
      </c>
      <c r="Z4" s="198">
        <f>SUMIFS('ноябрь 2023'!$G$4:$G$1127,'ноябрь 2023'!$D$4:$D$1127,$B4,'ноябрь 2023'!$J$4:$J$1127,Z$1)</f>
        <v>0</v>
      </c>
      <c r="AA4" s="198">
        <f>SUMIFS('ноябрь 2023'!$G$4:$G$1127,'ноябрь 2023'!$D$4:$D$1127,$B4,'ноябрь 2023'!$J$4:$J$1127,AA$1)</f>
        <v>0</v>
      </c>
      <c r="AB4" s="198">
        <f>SUMIFS('ноябрь 2023'!$G$4:$G$1127,'ноябрь 2023'!$D$4:$D$1127,$B4,'ноябрь 2023'!$J$4:$J$1127,AB$1)</f>
        <v>0</v>
      </c>
      <c r="AC4" s="198">
        <f>SUMIFS('ноябрь 2023'!$G$4:$G$1127,'ноябрь 2023'!$D$4:$D$1127,$B4,'ноябрь 2023'!$J$4:$J$1127,AC$1)</f>
        <v>0</v>
      </c>
      <c r="AD4" s="198">
        <f>SUMIFS('ноябрь 2023'!$G$4:$G$1127,'ноябрь 2023'!$D$4:$D$1127,$B4,'ноябрь 2023'!$J$4:$J$1127,AD$1)</f>
        <v>0</v>
      </c>
      <c r="AE4" s="198">
        <f>SUMIFS('ноябрь 2023'!$G$4:$G$1127,'ноябрь 2023'!$D$4:$D$1127,$B4,'ноябрь 2023'!$J$4:$J$1127,AE$1)</f>
        <v>0</v>
      </c>
      <c r="AF4" s="198">
        <f>SUMIFS('ноябрь 2023'!$G$4:$G$1127,'ноябрь 2023'!$D$4:$D$1127,$B4,'ноябрь 2023'!$J$4:$J$1127,AF$1)</f>
        <v>0</v>
      </c>
      <c r="AG4" s="198">
        <f>SUMIFS('ноябрь 2023'!$G$4:$G$1127,'ноябрь 2023'!$D$4:$D$1127,$B4,'ноябрь 2023'!$J$4:$J$1127,AG$1)</f>
        <v>0</v>
      </c>
      <c r="AH4" s="198">
        <f>SUMIFS('ноябрь 2023'!$G$4:$G$1127,'ноябрь 2023'!$D$4:$D$1127,$B4,'ноябрь 2023'!$J$4:$J$1127,AH$1)</f>
        <v>0</v>
      </c>
      <c r="AI4" s="170">
        <f t="shared" si="1"/>
        <v>0</v>
      </c>
    </row>
    <row r="5" spans="2:35" ht="15" customHeight="1" x14ac:dyDescent="0.25">
      <c r="B5" s="199" t="s">
        <v>165</v>
      </c>
      <c r="C5" s="200">
        <v>25</v>
      </c>
      <c r="D5" s="198">
        <f>SUMIFS('ноябрь 2023'!$G$4:$G$1127,'ноябрь 2023'!$D$4:$D$1127,$B5,'ноябрь 2023'!$J$4:$J$1127,D$1)</f>
        <v>0</v>
      </c>
      <c r="E5" s="198">
        <f>SUMIFS('ноябрь 2023'!$G$4:$G$1127,'ноябрь 2023'!$D$4:$D$1127,$B5,'ноябрь 2023'!$J$4:$J$1127,E$1)</f>
        <v>0</v>
      </c>
      <c r="F5" s="198">
        <f>SUMIFS('ноябрь 2023'!$G$4:$G$1127,'ноябрь 2023'!$D$4:$D$1127,$B5,'ноябрь 2023'!$J$4:$J$1127,F$1)</f>
        <v>0</v>
      </c>
      <c r="G5" s="198">
        <f>SUMIFS('ноябрь 2023'!$G$4:$G$1127,'ноябрь 2023'!$D$4:$D$1127,$B5,'ноябрь 2023'!$J$4:$J$1127,G$1)</f>
        <v>0</v>
      </c>
      <c r="H5" s="198">
        <f>SUMIFS('ноябрь 2023'!$G$4:$G$1127,'ноябрь 2023'!$D$4:$D$1127,$B5,'ноябрь 2023'!$J$4:$J$1127,H$1)</f>
        <v>0</v>
      </c>
      <c r="I5" s="198">
        <f>SUMIFS('ноябрь 2023'!$G$4:$G$1127,'ноябрь 2023'!$D$4:$D$1127,$B5,'ноябрь 2023'!$J$4:$J$1127,I$1)</f>
        <v>0</v>
      </c>
      <c r="J5" s="198">
        <f>SUMIFS('ноябрь 2023'!$G$4:$G$1127,'ноябрь 2023'!$D$4:$D$1127,$B5,'ноябрь 2023'!$J$4:$J$1127,J$1)</f>
        <v>0</v>
      </c>
      <c r="K5" s="198">
        <f>SUMIFS('ноябрь 2023'!$G$4:$G$1127,'ноябрь 2023'!$D$4:$D$1127,$B5,'ноябрь 2023'!$J$4:$J$1127,K$1)</f>
        <v>0</v>
      </c>
      <c r="L5" s="198">
        <f>SUMIFS('ноябрь 2023'!$G$4:$G$1127,'ноябрь 2023'!$D$4:$D$1127,$B5,'ноябрь 2023'!$J$4:$J$1127,L$1)</f>
        <v>0</v>
      </c>
      <c r="M5" s="198">
        <f>SUMIFS('ноябрь 2023'!$G$4:$G$1127,'ноябрь 2023'!$D$4:$D$1127,$B5,'ноябрь 2023'!$J$4:$J$1127,M$1)</f>
        <v>0</v>
      </c>
      <c r="N5" s="198">
        <f>SUMIFS('ноябрь 2023'!$G$4:$G$1127,'ноябрь 2023'!$D$4:$D$1127,$B5,'ноябрь 2023'!$J$4:$J$1127,N$1)</f>
        <v>0</v>
      </c>
      <c r="O5" s="198">
        <f>SUMIFS('ноябрь 2023'!$G$4:$G$1127,'ноябрь 2023'!$D$4:$D$1127,$B5,'ноябрь 2023'!$J$4:$J$1127,O$1)</f>
        <v>0</v>
      </c>
      <c r="P5" s="198">
        <f>SUMIFS('ноябрь 2023'!$G$4:$G$1127,'ноябрь 2023'!$D$4:$D$1127,$B5,'ноябрь 2023'!$J$4:$J$1127,P$1)</f>
        <v>0</v>
      </c>
      <c r="Q5" s="198">
        <f>SUMIFS('ноябрь 2023'!$G$4:$G$1127,'ноябрь 2023'!$D$4:$D$1127,$B5,'ноябрь 2023'!$J$4:$J$1127,Q$1)</f>
        <v>0</v>
      </c>
      <c r="R5" s="198">
        <f>SUMIFS('ноябрь 2023'!$G$4:$G$1127,'ноябрь 2023'!$D$4:$D$1127,$B5,'ноябрь 2023'!$J$4:$J$1127,R$1)</f>
        <v>0</v>
      </c>
      <c r="S5" s="198">
        <f>SUMIFS('ноябрь 2023'!$G$4:$G$1127,'ноябрь 2023'!$D$4:$D$1127,$B5,'ноябрь 2023'!$J$4:$J$1127,S$1)</f>
        <v>0</v>
      </c>
      <c r="T5" s="198">
        <f>SUMIFS('ноябрь 2023'!$G$4:$G$1127,'ноябрь 2023'!$D$4:$D$1127,$B5,'ноябрь 2023'!$J$4:$J$1127,T$1)</f>
        <v>0</v>
      </c>
      <c r="U5" s="198">
        <f>SUMIFS('ноябрь 2023'!$G$4:$G$1127,'ноябрь 2023'!$D$4:$D$1127,$B5,'ноябрь 2023'!$J$4:$J$1127,U$1)</f>
        <v>0</v>
      </c>
      <c r="V5" s="198">
        <f>SUMIFS('ноябрь 2023'!$G$4:$G$1127,'ноябрь 2023'!$D$4:$D$1127,$B5,'ноябрь 2023'!$J$4:$J$1127,V$1)</f>
        <v>0</v>
      </c>
      <c r="W5" s="198">
        <f>SUMIFS('ноябрь 2023'!$G$4:$G$1127,'ноябрь 2023'!$D$4:$D$1127,$B5,'ноябрь 2023'!$J$4:$J$1127,W$1)</f>
        <v>0</v>
      </c>
      <c r="X5" s="198">
        <f>SUMIFS('ноябрь 2023'!$G$4:$G$1127,'ноябрь 2023'!$D$4:$D$1127,$B5,'ноябрь 2023'!$J$4:$J$1127,X$1)</f>
        <v>0</v>
      </c>
      <c r="Y5" s="198">
        <f>SUMIFS('ноябрь 2023'!$G$4:$G$1127,'ноябрь 2023'!$D$4:$D$1127,$B5,'ноябрь 2023'!$J$4:$J$1127,Y$1)</f>
        <v>0</v>
      </c>
      <c r="Z5" s="198">
        <f>SUMIFS('ноябрь 2023'!$G$4:$G$1127,'ноябрь 2023'!$D$4:$D$1127,$B5,'ноябрь 2023'!$J$4:$J$1127,Z$1)</f>
        <v>0</v>
      </c>
      <c r="AA5" s="198">
        <f>SUMIFS('ноябрь 2023'!$G$4:$G$1127,'ноябрь 2023'!$D$4:$D$1127,$B5,'ноябрь 2023'!$J$4:$J$1127,AA$1)</f>
        <v>0</v>
      </c>
      <c r="AB5" s="198">
        <f>SUMIFS('ноябрь 2023'!$G$4:$G$1127,'ноябрь 2023'!$D$4:$D$1127,$B5,'ноябрь 2023'!$J$4:$J$1127,AB$1)</f>
        <v>0</v>
      </c>
      <c r="AC5" s="198">
        <f>SUMIFS('ноябрь 2023'!$G$4:$G$1127,'ноябрь 2023'!$D$4:$D$1127,$B5,'ноябрь 2023'!$J$4:$J$1127,AC$1)</f>
        <v>0</v>
      </c>
      <c r="AD5" s="198">
        <f>SUMIFS('ноябрь 2023'!$G$4:$G$1127,'ноябрь 2023'!$D$4:$D$1127,$B5,'ноябрь 2023'!$J$4:$J$1127,AD$1)</f>
        <v>0</v>
      </c>
      <c r="AE5" s="198">
        <f>SUMIFS('ноябрь 2023'!$G$4:$G$1127,'ноябрь 2023'!$D$4:$D$1127,$B5,'ноябрь 2023'!$J$4:$J$1127,AE$1)</f>
        <v>0</v>
      </c>
      <c r="AF5" s="198">
        <f>SUMIFS('ноябрь 2023'!$G$4:$G$1127,'ноябрь 2023'!$D$4:$D$1127,$B5,'ноябрь 2023'!$J$4:$J$1127,AF$1)</f>
        <v>0</v>
      </c>
      <c r="AG5" s="198">
        <f>SUMIFS('ноябрь 2023'!$G$4:$G$1127,'ноябрь 2023'!$D$4:$D$1127,$B5,'ноябрь 2023'!$J$4:$J$1127,AG$1)</f>
        <v>0</v>
      </c>
      <c r="AH5" s="198">
        <f>SUMIFS('ноябрь 2023'!$G$4:$G$1127,'ноябрь 2023'!$D$4:$D$1127,$B5,'ноябрь 2023'!$J$4:$J$1127,AH$1)</f>
        <v>0</v>
      </c>
      <c r="AI5" s="170">
        <f t="shared" si="1"/>
        <v>0</v>
      </c>
    </row>
    <row r="6" spans="2:35" ht="15" customHeight="1" x14ac:dyDescent="0.25">
      <c r="B6" s="199" t="s">
        <v>2084</v>
      </c>
      <c r="C6" s="200">
        <v>22.7</v>
      </c>
      <c r="D6" s="198">
        <f>SUMIFS('ноябрь 2023'!$G$4:$G$1127,'ноябрь 2023'!$D$4:$D$1127,$B6,'ноябрь 2023'!$J$4:$J$1127,D$1)</f>
        <v>0</v>
      </c>
      <c r="E6" s="198">
        <f>SUMIFS('ноябрь 2023'!$G$4:$G$1127,'ноябрь 2023'!$D$4:$D$1127,$B6,'ноябрь 2023'!$J$4:$J$1127,E$1)</f>
        <v>0</v>
      </c>
      <c r="F6" s="198">
        <f>SUMIFS('ноябрь 2023'!$G$4:$G$1127,'ноябрь 2023'!$D$4:$D$1127,$B6,'ноябрь 2023'!$J$4:$J$1127,F$1)</f>
        <v>0</v>
      </c>
      <c r="G6" s="198">
        <f>SUMIFS('ноябрь 2023'!$G$4:$G$1127,'ноябрь 2023'!$D$4:$D$1127,$B6,'ноябрь 2023'!$J$4:$J$1127,G$1)</f>
        <v>0</v>
      </c>
      <c r="H6" s="198">
        <f>SUMIFS('ноябрь 2023'!$G$4:$G$1127,'ноябрь 2023'!$D$4:$D$1127,$B6,'ноябрь 2023'!$J$4:$J$1127,H$1)</f>
        <v>0</v>
      </c>
      <c r="I6" s="198">
        <f>SUMIFS('ноябрь 2023'!$G$4:$G$1127,'ноябрь 2023'!$D$4:$D$1127,$B6,'ноябрь 2023'!$J$4:$J$1127,I$1)</f>
        <v>0</v>
      </c>
      <c r="J6" s="198">
        <f>SUMIFS('ноябрь 2023'!$G$4:$G$1127,'ноябрь 2023'!$D$4:$D$1127,$B6,'ноябрь 2023'!$J$4:$J$1127,J$1)</f>
        <v>0</v>
      </c>
      <c r="K6" s="198">
        <f>SUMIFS('ноябрь 2023'!$G$4:$G$1127,'ноябрь 2023'!$D$4:$D$1127,$B6,'ноябрь 2023'!$J$4:$J$1127,K$1)</f>
        <v>0</v>
      </c>
      <c r="L6" s="198">
        <f>SUMIFS('ноябрь 2023'!$G$4:$G$1127,'ноябрь 2023'!$D$4:$D$1127,$B6,'ноябрь 2023'!$J$4:$J$1127,L$1)</f>
        <v>0</v>
      </c>
      <c r="M6" s="198">
        <f>SUMIFS('ноябрь 2023'!$G$4:$G$1127,'ноябрь 2023'!$D$4:$D$1127,$B6,'ноябрь 2023'!$J$4:$J$1127,M$1)</f>
        <v>0</v>
      </c>
      <c r="N6" s="198">
        <f>SUMIFS('ноябрь 2023'!$G$4:$G$1127,'ноябрь 2023'!$D$4:$D$1127,$B6,'ноябрь 2023'!$J$4:$J$1127,N$1)</f>
        <v>0</v>
      </c>
      <c r="O6" s="198">
        <f>SUMIFS('ноябрь 2023'!$G$4:$G$1127,'ноябрь 2023'!$D$4:$D$1127,$B6,'ноябрь 2023'!$J$4:$J$1127,O$1)</f>
        <v>0</v>
      </c>
      <c r="P6" s="198">
        <f>SUMIFS('ноябрь 2023'!$G$4:$G$1127,'ноябрь 2023'!$D$4:$D$1127,$B6,'ноябрь 2023'!$J$4:$J$1127,P$1)</f>
        <v>0</v>
      </c>
      <c r="Q6" s="198">
        <f>SUMIFS('ноябрь 2023'!$G$4:$G$1127,'ноябрь 2023'!$D$4:$D$1127,$B6,'ноябрь 2023'!$J$4:$J$1127,Q$1)</f>
        <v>0</v>
      </c>
      <c r="R6" s="198">
        <f>SUMIFS('ноябрь 2023'!$G$4:$G$1127,'ноябрь 2023'!$D$4:$D$1127,$B6,'ноябрь 2023'!$J$4:$J$1127,R$1)</f>
        <v>0</v>
      </c>
      <c r="S6" s="198">
        <f>SUMIFS('ноябрь 2023'!$G$4:$G$1127,'ноябрь 2023'!$D$4:$D$1127,$B6,'ноябрь 2023'!$J$4:$J$1127,S$1)</f>
        <v>0</v>
      </c>
      <c r="T6" s="198">
        <f>SUMIFS('ноябрь 2023'!$G$4:$G$1127,'ноябрь 2023'!$D$4:$D$1127,$B6,'ноябрь 2023'!$J$4:$J$1127,T$1)</f>
        <v>0</v>
      </c>
      <c r="U6" s="198">
        <f>SUMIFS('ноябрь 2023'!$G$4:$G$1127,'ноябрь 2023'!$D$4:$D$1127,$B6,'ноябрь 2023'!$J$4:$J$1127,U$1)</f>
        <v>0</v>
      </c>
      <c r="V6" s="198">
        <f>SUMIFS('ноябрь 2023'!$G$4:$G$1127,'ноябрь 2023'!$D$4:$D$1127,$B6,'ноябрь 2023'!$J$4:$J$1127,V$1)</f>
        <v>0</v>
      </c>
      <c r="W6" s="198">
        <f>SUMIFS('ноябрь 2023'!$G$4:$G$1127,'ноябрь 2023'!$D$4:$D$1127,$B6,'ноябрь 2023'!$J$4:$J$1127,W$1)</f>
        <v>0</v>
      </c>
      <c r="X6" s="198">
        <f>SUMIFS('ноябрь 2023'!$G$4:$G$1127,'ноябрь 2023'!$D$4:$D$1127,$B6,'ноябрь 2023'!$J$4:$J$1127,X$1)</f>
        <v>0</v>
      </c>
      <c r="Y6" s="198">
        <f>SUMIFS('ноябрь 2023'!$G$4:$G$1127,'ноябрь 2023'!$D$4:$D$1127,$B6,'ноябрь 2023'!$J$4:$J$1127,Y$1)</f>
        <v>0</v>
      </c>
      <c r="Z6" s="198">
        <f>SUMIFS('ноябрь 2023'!$G$4:$G$1127,'ноябрь 2023'!$D$4:$D$1127,$B6,'ноябрь 2023'!$J$4:$J$1127,Z$1)</f>
        <v>0</v>
      </c>
      <c r="AA6" s="198">
        <f>SUMIFS('ноябрь 2023'!$G$4:$G$1127,'ноябрь 2023'!$D$4:$D$1127,$B6,'ноябрь 2023'!$J$4:$J$1127,AA$1)</f>
        <v>0</v>
      </c>
      <c r="AB6" s="198">
        <f>SUMIFS('ноябрь 2023'!$G$4:$G$1127,'ноябрь 2023'!$D$4:$D$1127,$B6,'ноябрь 2023'!$J$4:$J$1127,AB$1)</f>
        <v>0</v>
      </c>
      <c r="AC6" s="198">
        <f>SUMIFS('ноябрь 2023'!$G$4:$G$1127,'ноябрь 2023'!$D$4:$D$1127,$B6,'ноябрь 2023'!$J$4:$J$1127,AC$1)</f>
        <v>0</v>
      </c>
      <c r="AD6" s="198">
        <f>SUMIFS('ноябрь 2023'!$G$4:$G$1127,'ноябрь 2023'!$D$4:$D$1127,$B6,'ноябрь 2023'!$J$4:$J$1127,AD$1)</f>
        <v>0</v>
      </c>
      <c r="AE6" s="198">
        <f>SUMIFS('ноябрь 2023'!$G$4:$G$1127,'ноябрь 2023'!$D$4:$D$1127,$B6,'ноябрь 2023'!$J$4:$J$1127,AE$1)</f>
        <v>0</v>
      </c>
      <c r="AF6" s="198">
        <f>SUMIFS('ноябрь 2023'!$G$4:$G$1127,'ноябрь 2023'!$D$4:$D$1127,$B6,'ноябрь 2023'!$J$4:$J$1127,AF$1)</f>
        <v>0</v>
      </c>
      <c r="AG6" s="198">
        <f>SUMIFS('ноябрь 2023'!$G$4:$G$1127,'ноябрь 2023'!$D$4:$D$1127,$B6,'ноябрь 2023'!$J$4:$J$1127,AG$1)</f>
        <v>0</v>
      </c>
      <c r="AH6" s="198">
        <f>SUMIFS('ноябрь 2023'!$G$4:$G$1127,'ноябрь 2023'!$D$4:$D$1127,$B6,'ноябрь 2023'!$J$4:$J$1127,AH$1)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SUMIFS('ноябрь 2023'!$G$4:$G$1127,'ноябрь 2023'!$D$4:$D$1127,$B7,'ноябрь 2023'!$J$4:$J$1127,D$1)</f>
        <v>0</v>
      </c>
      <c r="E7" s="198">
        <f>SUMIFS('ноябрь 2023'!$G$4:$G$1127,'ноябрь 2023'!$D$4:$D$1127,$B7,'ноябрь 2023'!$J$4:$J$1127,E$1)</f>
        <v>0</v>
      </c>
      <c r="F7" s="198">
        <f>SUMIFS('ноябрь 2023'!$G$4:$G$1127,'ноябрь 2023'!$D$4:$D$1127,$B7,'ноябрь 2023'!$J$4:$J$1127,F$1)</f>
        <v>0</v>
      </c>
      <c r="G7" s="198">
        <f>SUMIFS('ноябрь 2023'!$G$4:$G$1127,'ноябрь 2023'!$D$4:$D$1127,$B7,'ноябрь 2023'!$J$4:$J$1127,G$1)</f>
        <v>0</v>
      </c>
      <c r="H7" s="198">
        <f>SUMIFS('ноябрь 2023'!$G$4:$G$1127,'ноябрь 2023'!$D$4:$D$1127,$B7,'ноябрь 2023'!$J$4:$J$1127,H$1)</f>
        <v>0</v>
      </c>
      <c r="I7" s="198">
        <f>SUMIFS('ноябрь 2023'!$G$4:$G$1127,'ноябрь 2023'!$D$4:$D$1127,$B7,'ноябрь 2023'!$J$4:$J$1127,I$1)</f>
        <v>0</v>
      </c>
      <c r="J7" s="198">
        <f>SUMIFS('ноябрь 2023'!$G$4:$G$1127,'ноябрь 2023'!$D$4:$D$1127,$B7,'ноябрь 2023'!$J$4:$J$1127,J$1)</f>
        <v>0</v>
      </c>
      <c r="K7" s="198">
        <f>SUMIFS('ноябрь 2023'!$G$4:$G$1127,'ноябрь 2023'!$D$4:$D$1127,$B7,'ноябрь 2023'!$J$4:$J$1127,K$1)</f>
        <v>0</v>
      </c>
      <c r="L7" s="198">
        <f>SUMIFS('ноябрь 2023'!$G$4:$G$1127,'ноябрь 2023'!$D$4:$D$1127,$B7,'ноябрь 2023'!$J$4:$J$1127,L$1)</f>
        <v>0</v>
      </c>
      <c r="M7" s="198">
        <f>SUMIFS('ноябрь 2023'!$G$4:$G$1127,'ноябрь 2023'!$D$4:$D$1127,$B7,'ноябрь 2023'!$J$4:$J$1127,M$1)</f>
        <v>0</v>
      </c>
      <c r="N7" s="198">
        <f>SUMIFS('ноябрь 2023'!$G$4:$G$1127,'ноябрь 2023'!$D$4:$D$1127,$B7,'ноябрь 2023'!$J$4:$J$1127,N$1)</f>
        <v>0</v>
      </c>
      <c r="O7" s="198">
        <f>SUMIFS('ноябрь 2023'!$G$4:$G$1127,'ноябрь 2023'!$D$4:$D$1127,$B7,'ноябрь 2023'!$J$4:$J$1127,O$1)</f>
        <v>0</v>
      </c>
      <c r="P7" s="198">
        <f>SUMIFS('ноябрь 2023'!$G$4:$G$1127,'ноябрь 2023'!$D$4:$D$1127,$B7,'ноябрь 2023'!$J$4:$J$1127,P$1)</f>
        <v>0</v>
      </c>
      <c r="Q7" s="198">
        <f>SUMIFS('ноябрь 2023'!$G$4:$G$1127,'ноябрь 2023'!$D$4:$D$1127,$B7,'ноябрь 2023'!$J$4:$J$1127,Q$1)</f>
        <v>0</v>
      </c>
      <c r="R7" s="198">
        <f>SUMIFS('ноябрь 2023'!$G$4:$G$1127,'ноябрь 2023'!$D$4:$D$1127,$B7,'ноябрь 2023'!$J$4:$J$1127,R$1)</f>
        <v>0</v>
      </c>
      <c r="S7" s="198">
        <f>SUMIFS('ноябрь 2023'!$G$4:$G$1127,'ноябрь 2023'!$D$4:$D$1127,$B7,'ноябрь 2023'!$J$4:$J$1127,S$1)</f>
        <v>0</v>
      </c>
      <c r="T7" s="198">
        <f>SUMIFS('ноябрь 2023'!$G$4:$G$1127,'ноябрь 2023'!$D$4:$D$1127,$B7,'ноябрь 2023'!$J$4:$J$1127,T$1)</f>
        <v>0</v>
      </c>
      <c r="U7" s="198">
        <f>SUMIFS('ноябрь 2023'!$G$4:$G$1127,'ноябрь 2023'!$D$4:$D$1127,$B7,'ноябрь 2023'!$J$4:$J$1127,U$1)</f>
        <v>0</v>
      </c>
      <c r="V7" s="198">
        <f>SUMIFS('ноябрь 2023'!$G$4:$G$1127,'ноябрь 2023'!$D$4:$D$1127,$B7,'ноябрь 2023'!$J$4:$J$1127,V$1)</f>
        <v>0</v>
      </c>
      <c r="W7" s="198">
        <f>SUMIFS('ноябрь 2023'!$G$4:$G$1127,'ноябрь 2023'!$D$4:$D$1127,$B7,'ноябрь 2023'!$J$4:$J$1127,W$1)</f>
        <v>0</v>
      </c>
      <c r="X7" s="198">
        <f>SUMIFS('ноябрь 2023'!$G$4:$G$1127,'ноябрь 2023'!$D$4:$D$1127,$B7,'ноябрь 2023'!$J$4:$J$1127,X$1)</f>
        <v>0</v>
      </c>
      <c r="Y7" s="198">
        <f>SUMIFS('ноябрь 2023'!$G$4:$G$1127,'ноябрь 2023'!$D$4:$D$1127,$B7,'ноябрь 2023'!$J$4:$J$1127,Y$1)</f>
        <v>0</v>
      </c>
      <c r="Z7" s="198">
        <f>SUMIFS('ноябрь 2023'!$G$4:$G$1127,'ноябрь 2023'!$D$4:$D$1127,$B7,'ноябрь 2023'!$J$4:$J$1127,Z$1)</f>
        <v>0</v>
      </c>
      <c r="AA7" s="198">
        <f>SUMIFS('ноябрь 2023'!$G$4:$G$1127,'ноябрь 2023'!$D$4:$D$1127,$B7,'ноябрь 2023'!$J$4:$J$1127,AA$1)</f>
        <v>0</v>
      </c>
      <c r="AB7" s="198">
        <f>SUMIFS('ноябрь 2023'!$G$4:$G$1127,'ноябрь 2023'!$D$4:$D$1127,$B7,'ноябрь 2023'!$J$4:$J$1127,AB$1)</f>
        <v>0</v>
      </c>
      <c r="AC7" s="198">
        <f>SUMIFS('ноябрь 2023'!$G$4:$G$1127,'ноябрь 2023'!$D$4:$D$1127,$B7,'ноябрь 2023'!$J$4:$J$1127,AC$1)</f>
        <v>0</v>
      </c>
      <c r="AD7" s="198">
        <f>SUMIFS('ноябрь 2023'!$G$4:$G$1127,'ноябрь 2023'!$D$4:$D$1127,$B7,'ноябрь 2023'!$J$4:$J$1127,AD$1)</f>
        <v>0</v>
      </c>
      <c r="AE7" s="198">
        <f>SUMIFS('ноябрь 2023'!$G$4:$G$1127,'ноябрь 2023'!$D$4:$D$1127,$B7,'ноябрь 2023'!$J$4:$J$1127,AE$1)</f>
        <v>0</v>
      </c>
      <c r="AF7" s="198">
        <f>SUMIFS('ноябрь 2023'!$G$4:$G$1127,'ноябрь 2023'!$D$4:$D$1127,$B7,'ноябрь 2023'!$J$4:$J$1127,AF$1)</f>
        <v>0</v>
      </c>
      <c r="AG7" s="198">
        <f>SUMIFS('ноябрь 2023'!$G$4:$G$1127,'ноябрь 2023'!$D$4:$D$1127,$B7,'ноябрь 2023'!$J$4:$J$1127,AG$1)</f>
        <v>0</v>
      </c>
      <c r="AH7" s="198">
        <f>SUMIFS('ноябрь 2023'!$G$4:$G$1127,'ноябрь 2023'!$D$4:$D$1127,$B7,'ноябрь 2023'!$J$4:$J$1127,AH$1)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SUMIFS('ноябрь 2023'!$G$4:$G$1127,'ноябрь 2023'!$D$4:$D$1127,$B8,'ноябрь 2023'!$J$4:$J$1127,D$1)</f>
        <v>0</v>
      </c>
      <c r="E8" s="198">
        <f>SUMIFS('ноябрь 2023'!$G$4:$G$1127,'ноябрь 2023'!$D$4:$D$1127,$B8,'ноябрь 2023'!$J$4:$J$1127,E$1)</f>
        <v>0</v>
      </c>
      <c r="F8" s="198">
        <f>SUMIFS('ноябрь 2023'!$G$4:$G$1127,'ноябрь 2023'!$D$4:$D$1127,$B8,'ноябрь 2023'!$J$4:$J$1127,F$1)</f>
        <v>0</v>
      </c>
      <c r="G8" s="198">
        <f>SUMIFS('ноябрь 2023'!$G$4:$G$1127,'ноябрь 2023'!$D$4:$D$1127,$B8,'ноябрь 2023'!$J$4:$J$1127,G$1)</f>
        <v>0</v>
      </c>
      <c r="H8" s="198">
        <f>SUMIFS('ноябрь 2023'!$G$4:$G$1127,'ноябрь 2023'!$D$4:$D$1127,$B8,'ноябрь 2023'!$J$4:$J$1127,H$1)</f>
        <v>0</v>
      </c>
      <c r="I8" s="198">
        <f>SUMIFS('ноябрь 2023'!$G$4:$G$1127,'ноябрь 2023'!$D$4:$D$1127,$B8,'ноябрь 2023'!$J$4:$J$1127,I$1)</f>
        <v>0</v>
      </c>
      <c r="J8" s="198">
        <f>SUMIFS('ноябрь 2023'!$G$4:$G$1127,'ноябрь 2023'!$D$4:$D$1127,$B8,'ноябрь 2023'!$J$4:$J$1127,J$1)</f>
        <v>0</v>
      </c>
      <c r="K8" s="198">
        <f>SUMIFS('ноябрь 2023'!$G$4:$G$1127,'ноябрь 2023'!$D$4:$D$1127,$B8,'ноябрь 2023'!$J$4:$J$1127,K$1)</f>
        <v>0</v>
      </c>
      <c r="L8" s="198">
        <f>SUMIFS('ноябрь 2023'!$G$4:$G$1127,'ноябрь 2023'!$D$4:$D$1127,$B8,'ноябрь 2023'!$J$4:$J$1127,L$1)</f>
        <v>0</v>
      </c>
      <c r="M8" s="198">
        <f>SUMIFS('ноябрь 2023'!$G$4:$G$1127,'ноябрь 2023'!$D$4:$D$1127,$B8,'ноябрь 2023'!$J$4:$J$1127,M$1)</f>
        <v>0</v>
      </c>
      <c r="N8" s="198">
        <f>SUMIFS('ноябрь 2023'!$G$4:$G$1127,'ноябрь 2023'!$D$4:$D$1127,$B8,'ноябрь 2023'!$J$4:$J$1127,N$1)</f>
        <v>0</v>
      </c>
      <c r="O8" s="198">
        <f>SUMIFS('ноябрь 2023'!$G$4:$G$1127,'ноябрь 2023'!$D$4:$D$1127,$B8,'ноябрь 2023'!$J$4:$J$1127,O$1)</f>
        <v>0</v>
      </c>
      <c r="P8" s="198">
        <f>SUMIFS('ноябрь 2023'!$G$4:$G$1127,'ноябрь 2023'!$D$4:$D$1127,$B8,'ноябрь 2023'!$J$4:$J$1127,P$1)</f>
        <v>0</v>
      </c>
      <c r="Q8" s="198">
        <f>SUMIFS('ноябрь 2023'!$G$4:$G$1127,'ноябрь 2023'!$D$4:$D$1127,$B8,'ноябрь 2023'!$J$4:$J$1127,Q$1)</f>
        <v>0</v>
      </c>
      <c r="R8" s="198">
        <f>SUMIFS('ноябрь 2023'!$G$4:$G$1127,'ноябрь 2023'!$D$4:$D$1127,$B8,'ноябрь 2023'!$J$4:$J$1127,R$1)</f>
        <v>0</v>
      </c>
      <c r="S8" s="198">
        <f>SUMIFS('ноябрь 2023'!$G$4:$G$1127,'ноябрь 2023'!$D$4:$D$1127,$B8,'ноябрь 2023'!$J$4:$J$1127,S$1)</f>
        <v>0</v>
      </c>
      <c r="T8" s="198">
        <f>SUMIFS('ноябрь 2023'!$G$4:$G$1127,'ноябрь 2023'!$D$4:$D$1127,$B8,'ноябрь 2023'!$J$4:$J$1127,T$1)</f>
        <v>0</v>
      </c>
      <c r="U8" s="198">
        <f>SUMIFS('ноябрь 2023'!$G$4:$G$1127,'ноябрь 2023'!$D$4:$D$1127,$B8,'ноябрь 2023'!$J$4:$J$1127,U$1)</f>
        <v>0</v>
      </c>
      <c r="V8" s="198">
        <f>SUMIFS('ноябрь 2023'!$G$4:$G$1127,'ноябрь 2023'!$D$4:$D$1127,$B8,'ноябрь 2023'!$J$4:$J$1127,V$1)</f>
        <v>0</v>
      </c>
      <c r="W8" s="198">
        <f>SUMIFS('ноябрь 2023'!$G$4:$G$1127,'ноябрь 2023'!$D$4:$D$1127,$B8,'ноябрь 2023'!$J$4:$J$1127,W$1)</f>
        <v>0</v>
      </c>
      <c r="X8" s="198">
        <f>SUMIFS('ноябрь 2023'!$G$4:$G$1127,'ноябрь 2023'!$D$4:$D$1127,$B8,'ноябрь 2023'!$J$4:$J$1127,X$1)</f>
        <v>0</v>
      </c>
      <c r="Y8" s="198">
        <f>SUMIFS('ноябрь 2023'!$G$4:$G$1127,'ноябрь 2023'!$D$4:$D$1127,$B8,'ноябрь 2023'!$J$4:$J$1127,Y$1)</f>
        <v>0</v>
      </c>
      <c r="Z8" s="198">
        <f>SUMIFS('ноябрь 2023'!$G$4:$G$1127,'ноябрь 2023'!$D$4:$D$1127,$B8,'ноябрь 2023'!$J$4:$J$1127,Z$1)</f>
        <v>0</v>
      </c>
      <c r="AA8" s="198">
        <f>SUMIFS('ноябрь 2023'!$G$4:$G$1127,'ноябрь 2023'!$D$4:$D$1127,$B8,'ноябрь 2023'!$J$4:$J$1127,AA$1)</f>
        <v>0</v>
      </c>
      <c r="AB8" s="198">
        <f>SUMIFS('ноябрь 2023'!$G$4:$G$1127,'ноябрь 2023'!$D$4:$D$1127,$B8,'ноябрь 2023'!$J$4:$J$1127,AB$1)</f>
        <v>0</v>
      </c>
      <c r="AC8" s="198">
        <f>SUMIFS('ноябрь 2023'!$G$4:$G$1127,'ноябрь 2023'!$D$4:$D$1127,$B8,'ноябрь 2023'!$J$4:$J$1127,AC$1)</f>
        <v>0</v>
      </c>
      <c r="AD8" s="198">
        <f>SUMIFS('ноябрь 2023'!$G$4:$G$1127,'ноябрь 2023'!$D$4:$D$1127,$B8,'ноябрь 2023'!$J$4:$J$1127,AD$1)</f>
        <v>0</v>
      </c>
      <c r="AE8" s="198">
        <f>SUMIFS('ноябрь 2023'!$G$4:$G$1127,'ноябрь 2023'!$D$4:$D$1127,$B8,'ноябрь 2023'!$J$4:$J$1127,AE$1)</f>
        <v>0</v>
      </c>
      <c r="AF8" s="198">
        <f>SUMIFS('ноябрь 2023'!$G$4:$G$1127,'ноябрь 2023'!$D$4:$D$1127,$B8,'ноябрь 2023'!$J$4:$J$1127,AF$1)</f>
        <v>0</v>
      </c>
      <c r="AG8" s="198">
        <f>SUMIFS('ноябрь 2023'!$G$4:$G$1127,'ноябрь 2023'!$D$4:$D$1127,$B8,'ноябрь 2023'!$J$4:$J$1127,AG$1)</f>
        <v>0</v>
      </c>
      <c r="AH8" s="198">
        <f>SUMIFS('ноябрь 2023'!$G$4:$G$1127,'ноябрь 2023'!$D$4:$D$1127,$B8,'ноябрь 2023'!$J$4:$J$1127,AH$1)</f>
        <v>0</v>
      </c>
      <c r="AI8" s="170">
        <f t="shared" si="1"/>
        <v>0</v>
      </c>
    </row>
    <row r="9" spans="2:35" ht="15" customHeight="1" x14ac:dyDescent="0.25">
      <c r="B9" s="199" t="s">
        <v>2053</v>
      </c>
      <c r="C9" s="200">
        <v>25</v>
      </c>
      <c r="D9" s="198">
        <f>SUMIFS('ноябрь 2023'!$G$4:$G$1127,'ноябрь 2023'!$D$4:$D$1127,$B9,'ноябрь 2023'!$J$4:$J$1127,D$1)</f>
        <v>0</v>
      </c>
      <c r="E9" s="198">
        <f>SUMIFS('ноябрь 2023'!$G$4:$G$1127,'ноябрь 2023'!$D$4:$D$1127,$B9,'ноябрь 2023'!$J$4:$J$1127,E$1)</f>
        <v>0</v>
      </c>
      <c r="F9" s="198">
        <f>SUMIFS('ноябрь 2023'!$G$4:$G$1127,'ноябрь 2023'!$D$4:$D$1127,$B9,'ноябрь 2023'!$J$4:$J$1127,F$1)</f>
        <v>0</v>
      </c>
      <c r="G9" s="198">
        <f>SUMIFS('ноябрь 2023'!$G$4:$G$1127,'ноябрь 2023'!$D$4:$D$1127,$B9,'ноябрь 2023'!$J$4:$J$1127,G$1)</f>
        <v>0</v>
      </c>
      <c r="H9" s="198">
        <f>SUMIFS('ноябрь 2023'!$G$4:$G$1127,'ноябрь 2023'!$D$4:$D$1127,$B9,'ноябрь 2023'!$J$4:$J$1127,H$1)</f>
        <v>0</v>
      </c>
      <c r="I9" s="198">
        <f>SUMIFS('ноябрь 2023'!$G$4:$G$1127,'ноябрь 2023'!$D$4:$D$1127,$B9,'ноябрь 2023'!$J$4:$J$1127,I$1)</f>
        <v>0</v>
      </c>
      <c r="J9" s="198">
        <f>SUMIFS('ноябрь 2023'!$G$4:$G$1127,'ноябрь 2023'!$D$4:$D$1127,$B9,'ноябрь 2023'!$J$4:$J$1127,J$1)</f>
        <v>0</v>
      </c>
      <c r="K9" s="198">
        <f>SUMIFS('ноябрь 2023'!$G$4:$G$1127,'ноябрь 2023'!$D$4:$D$1127,$B9,'ноябрь 2023'!$J$4:$J$1127,K$1)</f>
        <v>0</v>
      </c>
      <c r="L9" s="198">
        <f>SUMIFS('ноябрь 2023'!$G$4:$G$1127,'ноябрь 2023'!$D$4:$D$1127,$B9,'ноябрь 2023'!$J$4:$J$1127,L$1)</f>
        <v>0</v>
      </c>
      <c r="M9" s="198">
        <f>SUMIFS('ноябрь 2023'!$G$4:$G$1127,'ноябрь 2023'!$D$4:$D$1127,$B9,'ноябрь 2023'!$J$4:$J$1127,M$1)</f>
        <v>0</v>
      </c>
      <c r="N9" s="198">
        <f>SUMIFS('ноябрь 2023'!$G$4:$G$1127,'ноябрь 2023'!$D$4:$D$1127,$B9,'ноябрь 2023'!$J$4:$J$1127,N$1)</f>
        <v>0</v>
      </c>
      <c r="O9" s="198">
        <f>SUMIFS('ноябрь 2023'!$G$4:$G$1127,'ноябрь 2023'!$D$4:$D$1127,$B9,'ноябрь 2023'!$J$4:$J$1127,O$1)</f>
        <v>0</v>
      </c>
      <c r="P9" s="198">
        <f>SUMIFS('ноябрь 2023'!$G$4:$G$1127,'ноябрь 2023'!$D$4:$D$1127,$B9,'ноябрь 2023'!$J$4:$J$1127,P$1)</f>
        <v>0</v>
      </c>
      <c r="Q9" s="198">
        <f>SUMIFS('ноябрь 2023'!$G$4:$G$1127,'ноябрь 2023'!$D$4:$D$1127,$B9,'ноябрь 2023'!$J$4:$J$1127,Q$1)</f>
        <v>0</v>
      </c>
      <c r="R9" s="198">
        <f>SUMIFS('ноябрь 2023'!$G$4:$G$1127,'ноябрь 2023'!$D$4:$D$1127,$B9,'ноябрь 2023'!$J$4:$J$1127,R$1)</f>
        <v>0</v>
      </c>
      <c r="S9" s="198">
        <f>SUMIFS('ноябрь 2023'!$G$4:$G$1127,'ноябрь 2023'!$D$4:$D$1127,$B9,'ноябрь 2023'!$J$4:$J$1127,S$1)</f>
        <v>0</v>
      </c>
      <c r="T9" s="198">
        <f>SUMIFS('ноябрь 2023'!$G$4:$G$1127,'ноябрь 2023'!$D$4:$D$1127,$B9,'ноябрь 2023'!$J$4:$J$1127,T$1)</f>
        <v>0</v>
      </c>
      <c r="U9" s="198">
        <f>SUMIFS('ноябрь 2023'!$G$4:$G$1127,'ноябрь 2023'!$D$4:$D$1127,$B9,'ноябрь 2023'!$J$4:$J$1127,U$1)</f>
        <v>0</v>
      </c>
      <c r="V9" s="198">
        <f>SUMIFS('ноябрь 2023'!$G$4:$G$1127,'ноябрь 2023'!$D$4:$D$1127,$B9,'ноябрь 2023'!$J$4:$J$1127,V$1)</f>
        <v>0</v>
      </c>
      <c r="W9" s="198">
        <f>SUMIFS('ноябрь 2023'!$G$4:$G$1127,'ноябрь 2023'!$D$4:$D$1127,$B9,'ноябрь 2023'!$J$4:$J$1127,W$1)</f>
        <v>0</v>
      </c>
      <c r="X9" s="198">
        <f>SUMIFS('ноябрь 2023'!$G$4:$G$1127,'ноябрь 2023'!$D$4:$D$1127,$B9,'ноябрь 2023'!$J$4:$J$1127,X$1)</f>
        <v>0</v>
      </c>
      <c r="Y9" s="198">
        <f>SUMIFS('ноябрь 2023'!$G$4:$G$1127,'ноябрь 2023'!$D$4:$D$1127,$B9,'ноябрь 2023'!$J$4:$J$1127,Y$1)</f>
        <v>0</v>
      </c>
      <c r="Z9" s="198">
        <f>SUMIFS('ноябрь 2023'!$G$4:$G$1127,'ноябрь 2023'!$D$4:$D$1127,$B9,'ноябрь 2023'!$J$4:$J$1127,Z$1)</f>
        <v>0</v>
      </c>
      <c r="AA9" s="198">
        <f>SUMIFS('ноябрь 2023'!$G$4:$G$1127,'ноябрь 2023'!$D$4:$D$1127,$B9,'ноябрь 2023'!$J$4:$J$1127,AA$1)</f>
        <v>0</v>
      </c>
      <c r="AB9" s="198">
        <f>SUMIFS('ноябрь 2023'!$G$4:$G$1127,'ноябрь 2023'!$D$4:$D$1127,$B9,'ноябрь 2023'!$J$4:$J$1127,AB$1)</f>
        <v>0</v>
      </c>
      <c r="AC9" s="198">
        <f>SUMIFS('ноябрь 2023'!$G$4:$G$1127,'ноябрь 2023'!$D$4:$D$1127,$B9,'ноябрь 2023'!$J$4:$J$1127,AC$1)</f>
        <v>0</v>
      </c>
      <c r="AD9" s="198">
        <f>SUMIFS('ноябрь 2023'!$G$4:$G$1127,'ноябрь 2023'!$D$4:$D$1127,$B9,'ноябрь 2023'!$J$4:$J$1127,AD$1)</f>
        <v>0</v>
      </c>
      <c r="AE9" s="198">
        <f>SUMIFS('ноябрь 2023'!$G$4:$G$1127,'ноябрь 2023'!$D$4:$D$1127,$B9,'ноябрь 2023'!$J$4:$J$1127,AE$1)</f>
        <v>0</v>
      </c>
      <c r="AF9" s="198">
        <f>SUMIFS('ноябрь 2023'!$G$4:$G$1127,'ноябрь 2023'!$D$4:$D$1127,$B9,'ноябрь 2023'!$J$4:$J$1127,AF$1)</f>
        <v>0</v>
      </c>
      <c r="AG9" s="198">
        <f>SUMIFS('ноябрь 2023'!$G$4:$G$1127,'ноябрь 2023'!$D$4:$D$1127,$B9,'ноябрь 2023'!$J$4:$J$1127,AG$1)</f>
        <v>0</v>
      </c>
      <c r="AH9" s="198">
        <f>SUMIFS('ноябрь 2023'!$G$4:$G$1127,'ноябрь 2023'!$D$4:$D$1127,$B9,'ноябрь 2023'!$J$4:$J$1127,AH$1)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SUMIFS('ноябрь 2023'!$G$4:$G$1127,'ноябрь 2023'!$D$4:$D$1127,$B10,'ноябрь 2023'!$J$4:$J$1127,D$1)</f>
        <v>0</v>
      </c>
      <c r="E10" s="198">
        <f>SUMIFS('ноябрь 2023'!$G$4:$G$1127,'ноябрь 2023'!$D$4:$D$1127,$B10,'ноябрь 2023'!$J$4:$J$1127,E$1)</f>
        <v>0</v>
      </c>
      <c r="F10" s="198">
        <f>SUMIFS('ноябрь 2023'!$G$4:$G$1127,'ноябрь 2023'!$D$4:$D$1127,$B10,'ноябрь 2023'!$J$4:$J$1127,F$1)</f>
        <v>0</v>
      </c>
      <c r="G10" s="198">
        <f>SUMIFS('ноябрь 2023'!$G$4:$G$1127,'ноябрь 2023'!$D$4:$D$1127,$B10,'ноябрь 2023'!$J$4:$J$1127,G$1)</f>
        <v>0</v>
      </c>
      <c r="H10" s="198">
        <f>SUMIFS('ноябрь 2023'!$G$4:$G$1127,'ноябрь 2023'!$D$4:$D$1127,$B10,'ноябрь 2023'!$J$4:$J$1127,H$1)</f>
        <v>0</v>
      </c>
      <c r="I10" s="198">
        <f>SUMIFS('ноябрь 2023'!$G$4:$G$1127,'ноябрь 2023'!$D$4:$D$1127,$B10,'ноябрь 2023'!$J$4:$J$1127,I$1)</f>
        <v>0</v>
      </c>
      <c r="J10" s="198">
        <f>SUMIFS('ноябрь 2023'!$G$4:$G$1127,'ноябрь 2023'!$D$4:$D$1127,$B10,'ноябрь 2023'!$J$4:$J$1127,J$1)</f>
        <v>0</v>
      </c>
      <c r="K10" s="198">
        <f>SUMIFS('ноябрь 2023'!$G$4:$G$1127,'ноябрь 2023'!$D$4:$D$1127,$B10,'ноябрь 2023'!$J$4:$J$1127,K$1)</f>
        <v>0</v>
      </c>
      <c r="L10" s="198">
        <f>SUMIFS('ноябрь 2023'!$G$4:$G$1127,'ноябрь 2023'!$D$4:$D$1127,$B10,'ноябрь 2023'!$J$4:$J$1127,L$1)</f>
        <v>0</v>
      </c>
      <c r="M10" s="198">
        <f>SUMIFS('ноябрь 2023'!$G$4:$G$1127,'ноябрь 2023'!$D$4:$D$1127,$B10,'ноябрь 2023'!$J$4:$J$1127,M$1)</f>
        <v>0</v>
      </c>
      <c r="N10" s="198">
        <f>SUMIFS('ноябрь 2023'!$G$4:$G$1127,'ноябрь 2023'!$D$4:$D$1127,$B10,'ноябрь 2023'!$J$4:$J$1127,N$1)</f>
        <v>0</v>
      </c>
      <c r="O10" s="198">
        <f>SUMIFS('ноябрь 2023'!$G$4:$G$1127,'ноябрь 2023'!$D$4:$D$1127,$B10,'ноябрь 2023'!$J$4:$J$1127,O$1)</f>
        <v>0</v>
      </c>
      <c r="P10" s="198">
        <f>SUMIFS('ноябрь 2023'!$G$4:$G$1127,'ноябрь 2023'!$D$4:$D$1127,$B10,'ноябрь 2023'!$J$4:$J$1127,P$1)</f>
        <v>0</v>
      </c>
      <c r="Q10" s="198">
        <f>SUMIFS('ноябрь 2023'!$G$4:$G$1127,'ноябрь 2023'!$D$4:$D$1127,$B10,'ноябрь 2023'!$J$4:$J$1127,Q$1)</f>
        <v>0</v>
      </c>
      <c r="R10" s="198">
        <f>SUMIFS('ноябрь 2023'!$G$4:$G$1127,'ноябрь 2023'!$D$4:$D$1127,$B10,'ноябрь 2023'!$J$4:$J$1127,R$1)</f>
        <v>0</v>
      </c>
      <c r="S10" s="198">
        <f>SUMIFS('ноябрь 2023'!$G$4:$G$1127,'ноябрь 2023'!$D$4:$D$1127,$B10,'ноябрь 2023'!$J$4:$J$1127,S$1)</f>
        <v>0</v>
      </c>
      <c r="T10" s="198">
        <f>SUMIFS('ноябрь 2023'!$G$4:$G$1127,'ноябрь 2023'!$D$4:$D$1127,$B10,'ноябрь 2023'!$J$4:$J$1127,T$1)</f>
        <v>0</v>
      </c>
      <c r="U10" s="198">
        <f>SUMIFS('ноябрь 2023'!$G$4:$G$1127,'ноябрь 2023'!$D$4:$D$1127,$B10,'ноябрь 2023'!$J$4:$J$1127,U$1)</f>
        <v>0</v>
      </c>
      <c r="V10" s="198">
        <f>SUMIFS('ноябрь 2023'!$G$4:$G$1127,'ноябрь 2023'!$D$4:$D$1127,$B10,'ноябрь 2023'!$J$4:$J$1127,V$1)</f>
        <v>0</v>
      </c>
      <c r="W10" s="198">
        <f>SUMIFS('ноябрь 2023'!$G$4:$G$1127,'ноябрь 2023'!$D$4:$D$1127,$B10,'ноябрь 2023'!$J$4:$J$1127,W$1)</f>
        <v>0</v>
      </c>
      <c r="X10" s="198">
        <f>SUMIFS('ноябрь 2023'!$G$4:$G$1127,'ноябрь 2023'!$D$4:$D$1127,$B10,'ноябрь 2023'!$J$4:$J$1127,X$1)</f>
        <v>0</v>
      </c>
      <c r="Y10" s="198">
        <f>SUMIFS('ноябрь 2023'!$G$4:$G$1127,'ноябрь 2023'!$D$4:$D$1127,$B10,'ноябрь 2023'!$J$4:$J$1127,Y$1)</f>
        <v>0</v>
      </c>
      <c r="Z10" s="198">
        <f>SUMIFS('ноябрь 2023'!$G$4:$G$1127,'ноябрь 2023'!$D$4:$D$1127,$B10,'ноябрь 2023'!$J$4:$J$1127,Z$1)</f>
        <v>0</v>
      </c>
      <c r="AA10" s="198">
        <f>SUMIFS('ноябрь 2023'!$G$4:$G$1127,'ноябрь 2023'!$D$4:$D$1127,$B10,'ноябрь 2023'!$J$4:$J$1127,AA$1)</f>
        <v>0</v>
      </c>
      <c r="AB10" s="198">
        <f>SUMIFS('ноябрь 2023'!$G$4:$G$1127,'ноябрь 2023'!$D$4:$D$1127,$B10,'ноябрь 2023'!$J$4:$J$1127,AB$1)</f>
        <v>0</v>
      </c>
      <c r="AC10" s="198">
        <f>SUMIFS('ноябрь 2023'!$G$4:$G$1127,'ноябрь 2023'!$D$4:$D$1127,$B10,'ноябрь 2023'!$J$4:$J$1127,AC$1)</f>
        <v>0</v>
      </c>
      <c r="AD10" s="198">
        <f>SUMIFS('ноябрь 2023'!$G$4:$G$1127,'ноябрь 2023'!$D$4:$D$1127,$B10,'ноябрь 2023'!$J$4:$J$1127,AD$1)</f>
        <v>0</v>
      </c>
      <c r="AE10" s="198">
        <f>SUMIFS('ноябрь 2023'!$G$4:$G$1127,'ноябрь 2023'!$D$4:$D$1127,$B10,'ноябрь 2023'!$J$4:$J$1127,AE$1)</f>
        <v>0</v>
      </c>
      <c r="AF10" s="198">
        <f>SUMIFS('ноябрь 2023'!$G$4:$G$1127,'ноябрь 2023'!$D$4:$D$1127,$B10,'ноябрь 2023'!$J$4:$J$1127,AF$1)</f>
        <v>0</v>
      </c>
      <c r="AG10" s="198">
        <f>SUMIFS('ноябрь 2023'!$G$4:$G$1127,'ноябрь 2023'!$D$4:$D$1127,$B10,'ноябрь 2023'!$J$4:$J$1127,AG$1)</f>
        <v>0</v>
      </c>
      <c r="AH10" s="198">
        <f>SUMIFS('ноябрь 2023'!$G$4:$G$1127,'ноябрь 2023'!$D$4:$D$1127,$B10,'ноябрь 2023'!$J$4:$J$1127,AH$1)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SUMIFS('ноябрь 2023'!$G$4:$G$1127,'ноябрь 2023'!$D$4:$D$1127,$B11,'ноябрь 2023'!$J$4:$J$1127,D$1)</f>
        <v>0</v>
      </c>
      <c r="E11" s="198">
        <f>SUMIFS('ноябрь 2023'!$G$4:$G$1127,'ноябрь 2023'!$D$4:$D$1127,$B11,'ноябрь 2023'!$J$4:$J$1127,E$1)</f>
        <v>0</v>
      </c>
      <c r="F11" s="198">
        <f>SUMIFS('ноябрь 2023'!$G$4:$G$1127,'ноябрь 2023'!$D$4:$D$1127,$B11,'ноябрь 2023'!$J$4:$J$1127,F$1)</f>
        <v>0</v>
      </c>
      <c r="G11" s="198">
        <f>SUMIFS('ноябрь 2023'!$G$4:$G$1127,'ноябрь 2023'!$D$4:$D$1127,$B11,'ноябрь 2023'!$J$4:$J$1127,G$1)</f>
        <v>0</v>
      </c>
      <c r="H11" s="198">
        <f>SUMIFS('ноябрь 2023'!$G$4:$G$1127,'ноябрь 2023'!$D$4:$D$1127,$B11,'ноябрь 2023'!$J$4:$J$1127,H$1)</f>
        <v>0</v>
      </c>
      <c r="I11" s="198">
        <f>SUMIFS('ноябрь 2023'!$G$4:$G$1127,'ноябрь 2023'!$D$4:$D$1127,$B11,'ноябрь 2023'!$J$4:$J$1127,I$1)</f>
        <v>0</v>
      </c>
      <c r="J11" s="198">
        <f>SUMIFS('ноябрь 2023'!$G$4:$G$1127,'ноябрь 2023'!$D$4:$D$1127,$B11,'ноябрь 2023'!$J$4:$J$1127,J$1)</f>
        <v>0</v>
      </c>
      <c r="K11" s="198">
        <f>SUMIFS('ноябрь 2023'!$G$4:$G$1127,'ноябрь 2023'!$D$4:$D$1127,$B11,'ноябрь 2023'!$J$4:$J$1127,K$1)</f>
        <v>0</v>
      </c>
      <c r="L11" s="198">
        <f>SUMIFS('ноябрь 2023'!$G$4:$G$1127,'ноябрь 2023'!$D$4:$D$1127,$B11,'ноябрь 2023'!$J$4:$J$1127,L$1)</f>
        <v>0</v>
      </c>
      <c r="M11" s="198">
        <f>SUMIFS('ноябрь 2023'!$G$4:$G$1127,'ноябрь 2023'!$D$4:$D$1127,$B11,'ноябрь 2023'!$J$4:$J$1127,M$1)</f>
        <v>0</v>
      </c>
      <c r="N11" s="198">
        <f>SUMIFS('ноябрь 2023'!$G$4:$G$1127,'ноябрь 2023'!$D$4:$D$1127,$B11,'ноябрь 2023'!$J$4:$J$1127,N$1)</f>
        <v>0</v>
      </c>
      <c r="O11" s="198">
        <f>SUMIFS('ноябрь 2023'!$G$4:$G$1127,'ноябрь 2023'!$D$4:$D$1127,$B11,'ноябрь 2023'!$J$4:$J$1127,O$1)</f>
        <v>0</v>
      </c>
      <c r="P11" s="198">
        <f>SUMIFS('ноябрь 2023'!$G$4:$G$1127,'ноябрь 2023'!$D$4:$D$1127,$B11,'ноябрь 2023'!$J$4:$J$1127,P$1)</f>
        <v>0</v>
      </c>
      <c r="Q11" s="198">
        <f>SUMIFS('ноябрь 2023'!$G$4:$G$1127,'ноябрь 2023'!$D$4:$D$1127,$B11,'ноябрь 2023'!$J$4:$J$1127,Q$1)</f>
        <v>0</v>
      </c>
      <c r="R11" s="198">
        <f>SUMIFS('ноябрь 2023'!$G$4:$G$1127,'ноябрь 2023'!$D$4:$D$1127,$B11,'ноябрь 2023'!$J$4:$J$1127,R$1)</f>
        <v>0</v>
      </c>
      <c r="S11" s="198">
        <f>SUMIFS('ноябрь 2023'!$G$4:$G$1127,'ноябрь 2023'!$D$4:$D$1127,$B11,'ноябрь 2023'!$J$4:$J$1127,S$1)</f>
        <v>0</v>
      </c>
      <c r="T11" s="198">
        <f>SUMIFS('ноябрь 2023'!$G$4:$G$1127,'ноябрь 2023'!$D$4:$D$1127,$B11,'ноябрь 2023'!$J$4:$J$1127,T$1)</f>
        <v>0</v>
      </c>
      <c r="U11" s="198">
        <f>SUMIFS('ноябрь 2023'!$G$4:$G$1127,'ноябрь 2023'!$D$4:$D$1127,$B11,'ноябрь 2023'!$J$4:$J$1127,U$1)</f>
        <v>0</v>
      </c>
      <c r="V11" s="198">
        <f>SUMIFS('ноябрь 2023'!$G$4:$G$1127,'ноябрь 2023'!$D$4:$D$1127,$B11,'ноябрь 2023'!$J$4:$J$1127,V$1)</f>
        <v>0</v>
      </c>
      <c r="W11" s="198">
        <f>SUMIFS('ноябрь 2023'!$G$4:$G$1127,'ноябрь 2023'!$D$4:$D$1127,$B11,'ноябрь 2023'!$J$4:$J$1127,W$1)</f>
        <v>0</v>
      </c>
      <c r="X11" s="198">
        <f>SUMIFS('ноябрь 2023'!$G$4:$G$1127,'ноябрь 2023'!$D$4:$D$1127,$B11,'ноябрь 2023'!$J$4:$J$1127,X$1)</f>
        <v>0</v>
      </c>
      <c r="Y11" s="198">
        <f>SUMIFS('ноябрь 2023'!$G$4:$G$1127,'ноябрь 2023'!$D$4:$D$1127,$B11,'ноябрь 2023'!$J$4:$J$1127,Y$1)</f>
        <v>0</v>
      </c>
      <c r="Z11" s="198">
        <f>SUMIFS('ноябрь 2023'!$G$4:$G$1127,'ноябрь 2023'!$D$4:$D$1127,$B11,'ноябрь 2023'!$J$4:$J$1127,Z$1)</f>
        <v>0</v>
      </c>
      <c r="AA11" s="198">
        <f>SUMIFS('ноябрь 2023'!$G$4:$G$1127,'ноябрь 2023'!$D$4:$D$1127,$B11,'ноябрь 2023'!$J$4:$J$1127,AA$1)</f>
        <v>0</v>
      </c>
      <c r="AB11" s="198">
        <f>SUMIFS('ноябрь 2023'!$G$4:$G$1127,'ноябрь 2023'!$D$4:$D$1127,$B11,'ноябрь 2023'!$J$4:$J$1127,AB$1)</f>
        <v>0</v>
      </c>
      <c r="AC11" s="198">
        <f>SUMIFS('ноябрь 2023'!$G$4:$G$1127,'ноябрь 2023'!$D$4:$D$1127,$B11,'ноябрь 2023'!$J$4:$J$1127,AC$1)</f>
        <v>0</v>
      </c>
      <c r="AD11" s="198">
        <f>SUMIFS('ноябрь 2023'!$G$4:$G$1127,'ноябрь 2023'!$D$4:$D$1127,$B11,'ноябрь 2023'!$J$4:$J$1127,AD$1)</f>
        <v>0</v>
      </c>
      <c r="AE11" s="198">
        <f>SUMIFS('ноябрь 2023'!$G$4:$G$1127,'ноябрь 2023'!$D$4:$D$1127,$B11,'ноябрь 2023'!$J$4:$J$1127,AE$1)</f>
        <v>0</v>
      </c>
      <c r="AF11" s="198">
        <f>SUMIFS('ноябрь 2023'!$G$4:$G$1127,'ноябрь 2023'!$D$4:$D$1127,$B11,'ноябрь 2023'!$J$4:$J$1127,AF$1)</f>
        <v>0</v>
      </c>
      <c r="AG11" s="198">
        <f>SUMIFS('ноябрь 2023'!$G$4:$G$1127,'ноябрь 2023'!$D$4:$D$1127,$B11,'ноябрь 2023'!$J$4:$J$1127,AG$1)</f>
        <v>0</v>
      </c>
      <c r="AH11" s="198">
        <f>SUMIFS('ноябрь 2023'!$G$4:$G$1127,'ноябрь 2023'!$D$4:$D$1127,$B11,'ноябрь 2023'!$J$4:$J$1127,AH$1)</f>
        <v>0</v>
      </c>
      <c r="AI11" s="170">
        <f t="shared" si="1"/>
        <v>0</v>
      </c>
    </row>
    <row r="12" spans="2:35" ht="15" customHeight="1" x14ac:dyDescent="0.25">
      <c r="B12" s="202" t="s">
        <v>127</v>
      </c>
      <c r="C12" s="203">
        <v>25</v>
      </c>
      <c r="D12" s="198">
        <f>SUMIFS('ноябрь 2023'!$G$4:$G$1127,'ноябрь 2023'!$D$4:$D$1127,$B12,'ноябрь 2023'!$J$4:$J$1127,D$1)</f>
        <v>0</v>
      </c>
      <c r="E12" s="198">
        <f>SUMIFS('ноябрь 2023'!$G$4:$G$1127,'ноябрь 2023'!$D$4:$D$1127,$B12,'ноябрь 2023'!$J$4:$J$1127,E$1)</f>
        <v>0</v>
      </c>
      <c r="F12" s="198">
        <f>SUMIFS('ноябрь 2023'!$G$4:$G$1127,'ноябрь 2023'!$D$4:$D$1127,$B12,'ноябрь 2023'!$J$4:$J$1127,F$1)</f>
        <v>0</v>
      </c>
      <c r="G12" s="198">
        <f>SUMIFS('ноябрь 2023'!$G$4:$G$1127,'ноябрь 2023'!$D$4:$D$1127,$B12,'ноябрь 2023'!$J$4:$J$1127,G$1)</f>
        <v>0</v>
      </c>
      <c r="H12" s="198">
        <f>SUMIFS('ноябрь 2023'!$G$4:$G$1127,'ноябрь 2023'!$D$4:$D$1127,$B12,'ноябрь 2023'!$J$4:$J$1127,H$1)</f>
        <v>0</v>
      </c>
      <c r="I12" s="198">
        <f>SUMIFS('ноябрь 2023'!$G$4:$G$1127,'ноябрь 2023'!$D$4:$D$1127,$B12,'ноябрь 2023'!$J$4:$J$1127,I$1)</f>
        <v>0</v>
      </c>
      <c r="J12" s="198">
        <f>SUMIFS('ноябрь 2023'!$G$4:$G$1127,'ноябрь 2023'!$D$4:$D$1127,$B12,'ноябрь 2023'!$J$4:$J$1127,J$1)</f>
        <v>0</v>
      </c>
      <c r="K12" s="198">
        <f>SUMIFS('ноябрь 2023'!$G$4:$G$1127,'ноябрь 2023'!$D$4:$D$1127,$B12,'ноябрь 2023'!$J$4:$J$1127,K$1)</f>
        <v>0</v>
      </c>
      <c r="L12" s="198">
        <f>SUMIFS('ноябрь 2023'!$G$4:$G$1127,'ноябрь 2023'!$D$4:$D$1127,$B12,'ноябрь 2023'!$J$4:$J$1127,L$1)</f>
        <v>0</v>
      </c>
      <c r="M12" s="198">
        <f>SUMIFS('ноябрь 2023'!$G$4:$G$1127,'ноябрь 2023'!$D$4:$D$1127,$B12,'ноябрь 2023'!$J$4:$J$1127,M$1)</f>
        <v>0</v>
      </c>
      <c r="N12" s="198">
        <f>SUMIFS('ноябрь 2023'!$G$4:$G$1127,'ноябрь 2023'!$D$4:$D$1127,$B12,'ноябрь 2023'!$J$4:$J$1127,N$1)</f>
        <v>0</v>
      </c>
      <c r="O12" s="198">
        <f>SUMIFS('ноябрь 2023'!$G$4:$G$1127,'ноябрь 2023'!$D$4:$D$1127,$B12,'ноябрь 2023'!$J$4:$J$1127,O$1)</f>
        <v>0</v>
      </c>
      <c r="P12" s="198">
        <f>SUMIFS('ноябрь 2023'!$G$4:$G$1127,'ноябрь 2023'!$D$4:$D$1127,$B12,'ноябрь 2023'!$J$4:$J$1127,P$1)</f>
        <v>0</v>
      </c>
      <c r="Q12" s="198">
        <f>SUMIFS('ноябрь 2023'!$G$4:$G$1127,'ноябрь 2023'!$D$4:$D$1127,$B12,'ноябрь 2023'!$J$4:$J$1127,Q$1)</f>
        <v>0</v>
      </c>
      <c r="R12" s="198">
        <f>SUMIFS('ноябрь 2023'!$G$4:$G$1127,'ноябрь 2023'!$D$4:$D$1127,$B12,'ноябрь 2023'!$J$4:$J$1127,R$1)</f>
        <v>0</v>
      </c>
      <c r="S12" s="198">
        <f>SUMIFS('ноябрь 2023'!$G$4:$G$1127,'ноябрь 2023'!$D$4:$D$1127,$B12,'ноябрь 2023'!$J$4:$J$1127,S$1)</f>
        <v>0</v>
      </c>
      <c r="T12" s="198">
        <f>SUMIFS('ноябрь 2023'!$G$4:$G$1127,'ноябрь 2023'!$D$4:$D$1127,$B12,'ноябрь 2023'!$J$4:$J$1127,T$1)</f>
        <v>0</v>
      </c>
      <c r="U12" s="198">
        <f>SUMIFS('ноябрь 2023'!$G$4:$G$1127,'ноябрь 2023'!$D$4:$D$1127,$B12,'ноябрь 2023'!$J$4:$J$1127,U$1)</f>
        <v>0</v>
      </c>
      <c r="V12" s="198">
        <f>SUMIFS('ноябрь 2023'!$G$4:$G$1127,'ноябрь 2023'!$D$4:$D$1127,$B12,'ноябрь 2023'!$J$4:$J$1127,V$1)</f>
        <v>0</v>
      </c>
      <c r="W12" s="198">
        <f>SUMIFS('ноябрь 2023'!$G$4:$G$1127,'ноябрь 2023'!$D$4:$D$1127,$B12,'ноябрь 2023'!$J$4:$J$1127,W$1)</f>
        <v>0</v>
      </c>
      <c r="X12" s="198">
        <f>SUMIFS('ноябрь 2023'!$G$4:$G$1127,'ноябрь 2023'!$D$4:$D$1127,$B12,'ноябрь 2023'!$J$4:$J$1127,X$1)</f>
        <v>0</v>
      </c>
      <c r="Y12" s="198">
        <f>SUMIFS('ноябрь 2023'!$G$4:$G$1127,'ноябрь 2023'!$D$4:$D$1127,$B12,'ноябрь 2023'!$J$4:$J$1127,Y$1)</f>
        <v>0</v>
      </c>
      <c r="Z12" s="198">
        <f>SUMIFS('ноябрь 2023'!$G$4:$G$1127,'ноябрь 2023'!$D$4:$D$1127,$B12,'ноябрь 2023'!$J$4:$J$1127,Z$1)</f>
        <v>0</v>
      </c>
      <c r="AA12" s="198">
        <f>SUMIFS('ноябрь 2023'!$G$4:$G$1127,'ноябрь 2023'!$D$4:$D$1127,$B12,'ноябрь 2023'!$J$4:$J$1127,AA$1)</f>
        <v>0</v>
      </c>
      <c r="AB12" s="198">
        <f>SUMIFS('ноябрь 2023'!$G$4:$G$1127,'ноябрь 2023'!$D$4:$D$1127,$B12,'ноябрь 2023'!$J$4:$J$1127,AB$1)</f>
        <v>0</v>
      </c>
      <c r="AC12" s="198">
        <f>SUMIFS('ноябрь 2023'!$G$4:$G$1127,'ноябрь 2023'!$D$4:$D$1127,$B12,'ноябрь 2023'!$J$4:$J$1127,AC$1)</f>
        <v>0</v>
      </c>
      <c r="AD12" s="198">
        <f>SUMIFS('ноябрь 2023'!$G$4:$G$1127,'ноябрь 2023'!$D$4:$D$1127,$B12,'ноябрь 2023'!$J$4:$J$1127,AD$1)</f>
        <v>0</v>
      </c>
      <c r="AE12" s="198">
        <f>SUMIFS('ноябрь 2023'!$G$4:$G$1127,'ноябрь 2023'!$D$4:$D$1127,$B12,'ноябрь 2023'!$J$4:$J$1127,AE$1)</f>
        <v>0</v>
      </c>
      <c r="AF12" s="198">
        <f>SUMIFS('ноябрь 2023'!$G$4:$G$1127,'ноябрь 2023'!$D$4:$D$1127,$B12,'ноябрь 2023'!$J$4:$J$1127,AF$1)</f>
        <v>0</v>
      </c>
      <c r="AG12" s="198">
        <f>SUMIFS('ноябрь 2023'!$G$4:$G$1127,'ноябрь 2023'!$D$4:$D$1127,$B12,'ноябрь 2023'!$J$4:$J$1127,AG$1)</f>
        <v>0</v>
      </c>
      <c r="AH12" s="198">
        <f>SUMIFS('ноябрь 2023'!$G$4:$G$1127,'ноябрь 2023'!$D$4:$D$1127,$B12,'ноябрь 2023'!$J$4:$J$1127,AH$1)</f>
        <v>0</v>
      </c>
      <c r="AI12" s="170">
        <f t="shared" si="1"/>
        <v>0</v>
      </c>
    </row>
    <row r="13" spans="2:35" ht="15" customHeight="1" x14ac:dyDescent="0.25">
      <c r="B13" s="202" t="s">
        <v>86</v>
      </c>
      <c r="C13" s="203">
        <v>22.7</v>
      </c>
      <c r="D13" s="198">
        <f>SUMIFS('ноябрь 2023'!$G$4:$G$1127,'ноябрь 2023'!$D$4:$D$1127,$B13,'ноябрь 2023'!$J$4:$J$1127,D$1)</f>
        <v>0</v>
      </c>
      <c r="E13" s="198">
        <f>SUMIFS('ноябрь 2023'!$G$4:$G$1127,'ноябрь 2023'!$D$4:$D$1127,$B13,'ноябрь 2023'!$J$4:$J$1127,E$1)</f>
        <v>0</v>
      </c>
      <c r="F13" s="198">
        <f>SUMIFS('ноябрь 2023'!$G$4:$G$1127,'ноябрь 2023'!$D$4:$D$1127,$B13,'ноябрь 2023'!$J$4:$J$1127,F$1)</f>
        <v>0</v>
      </c>
      <c r="G13" s="198">
        <f>SUMIFS('ноябрь 2023'!$G$4:$G$1127,'ноябрь 2023'!$D$4:$D$1127,$B13,'ноябрь 2023'!$J$4:$J$1127,G$1)</f>
        <v>0</v>
      </c>
      <c r="H13" s="198">
        <f>SUMIFS('ноябрь 2023'!$G$4:$G$1127,'ноябрь 2023'!$D$4:$D$1127,$B13,'ноябрь 2023'!$J$4:$J$1127,H$1)</f>
        <v>0</v>
      </c>
      <c r="I13" s="198">
        <f>SUMIFS('ноябрь 2023'!$G$4:$G$1127,'ноябрь 2023'!$D$4:$D$1127,$B13,'ноябрь 2023'!$J$4:$J$1127,I$1)</f>
        <v>0</v>
      </c>
      <c r="J13" s="198">
        <f>SUMIFS('ноябрь 2023'!$G$4:$G$1127,'ноябрь 2023'!$D$4:$D$1127,$B13,'ноябрь 2023'!$J$4:$J$1127,J$1)</f>
        <v>0</v>
      </c>
      <c r="K13" s="198">
        <f>SUMIFS('ноябрь 2023'!$G$4:$G$1127,'ноябрь 2023'!$D$4:$D$1127,$B13,'ноябрь 2023'!$J$4:$J$1127,K$1)</f>
        <v>160</v>
      </c>
      <c r="L13" s="198">
        <f>SUMIFS('ноябрь 2023'!$G$4:$G$1127,'ноябрь 2023'!$D$4:$D$1127,$B13,'ноябрь 2023'!$J$4:$J$1127,L$1)</f>
        <v>0</v>
      </c>
      <c r="M13" s="198">
        <f>SUMIFS('ноябрь 2023'!$G$4:$G$1127,'ноябрь 2023'!$D$4:$D$1127,$B13,'ноябрь 2023'!$J$4:$J$1127,M$1)</f>
        <v>0</v>
      </c>
      <c r="N13" s="198">
        <f>SUMIFS('ноябрь 2023'!$G$4:$G$1127,'ноябрь 2023'!$D$4:$D$1127,$B13,'ноябрь 2023'!$J$4:$J$1127,N$1)</f>
        <v>0</v>
      </c>
      <c r="O13" s="198">
        <f>SUMIFS('ноябрь 2023'!$G$4:$G$1127,'ноябрь 2023'!$D$4:$D$1127,$B13,'ноябрь 2023'!$J$4:$J$1127,O$1)</f>
        <v>0</v>
      </c>
      <c r="P13" s="198">
        <f>SUMIFS('ноябрь 2023'!$G$4:$G$1127,'ноябрь 2023'!$D$4:$D$1127,$B13,'ноябрь 2023'!$J$4:$J$1127,P$1)</f>
        <v>0</v>
      </c>
      <c r="Q13" s="198">
        <f>SUMIFS('ноябрь 2023'!$G$4:$G$1127,'ноябрь 2023'!$D$4:$D$1127,$B13,'ноябрь 2023'!$J$4:$J$1127,Q$1)</f>
        <v>800</v>
      </c>
      <c r="R13" s="198">
        <f>SUMIFS('ноябрь 2023'!$G$4:$G$1127,'ноябрь 2023'!$D$4:$D$1127,$B13,'ноябрь 2023'!$J$4:$J$1127,R$1)</f>
        <v>0</v>
      </c>
      <c r="S13" s="198">
        <f>SUMIFS('ноябрь 2023'!$G$4:$G$1127,'ноябрь 2023'!$D$4:$D$1127,$B13,'ноябрь 2023'!$J$4:$J$1127,S$1)</f>
        <v>0</v>
      </c>
      <c r="T13" s="198">
        <f>SUMIFS('ноябрь 2023'!$G$4:$G$1127,'ноябрь 2023'!$D$4:$D$1127,$B13,'ноябрь 2023'!$J$4:$J$1127,T$1)</f>
        <v>520</v>
      </c>
      <c r="U13" s="198">
        <f>SUMIFS('ноябрь 2023'!$G$4:$G$1127,'ноябрь 2023'!$D$4:$D$1127,$B13,'ноябрь 2023'!$J$4:$J$1127,U$1)</f>
        <v>0</v>
      </c>
      <c r="V13" s="198">
        <f>SUMIFS('ноябрь 2023'!$G$4:$G$1127,'ноябрь 2023'!$D$4:$D$1127,$B13,'ноябрь 2023'!$J$4:$J$1127,V$1)</f>
        <v>0</v>
      </c>
      <c r="W13" s="198">
        <f>SUMIFS('ноябрь 2023'!$G$4:$G$1127,'ноябрь 2023'!$D$4:$D$1127,$B13,'ноябрь 2023'!$J$4:$J$1127,W$1)</f>
        <v>480</v>
      </c>
      <c r="X13" s="198">
        <f>SUMIFS('ноябрь 2023'!$G$4:$G$1127,'ноябрь 2023'!$D$4:$D$1127,$B13,'ноябрь 2023'!$J$4:$J$1127,X$1)</f>
        <v>0</v>
      </c>
      <c r="Y13" s="198">
        <f>SUMIFS('ноябрь 2023'!$G$4:$G$1127,'ноябрь 2023'!$D$4:$D$1127,$B13,'ноябрь 2023'!$J$4:$J$1127,Y$1)</f>
        <v>0</v>
      </c>
      <c r="Z13" s="198">
        <f>SUMIFS('ноябрь 2023'!$G$4:$G$1127,'ноябрь 2023'!$D$4:$D$1127,$B13,'ноябрь 2023'!$J$4:$J$1127,Z$1)</f>
        <v>0</v>
      </c>
      <c r="AA13" s="198">
        <f>SUMIFS('ноябрь 2023'!$G$4:$G$1127,'ноябрь 2023'!$D$4:$D$1127,$B13,'ноябрь 2023'!$J$4:$J$1127,AA$1)</f>
        <v>0</v>
      </c>
      <c r="AB13" s="198">
        <f>SUMIFS('ноябрь 2023'!$G$4:$G$1127,'ноябрь 2023'!$D$4:$D$1127,$B13,'ноябрь 2023'!$J$4:$J$1127,AB$1)</f>
        <v>0</v>
      </c>
      <c r="AC13" s="198">
        <f>SUMIFS('ноябрь 2023'!$G$4:$G$1127,'ноябрь 2023'!$D$4:$D$1127,$B13,'ноябрь 2023'!$J$4:$J$1127,AC$1)</f>
        <v>0</v>
      </c>
      <c r="AD13" s="198">
        <f>SUMIFS('ноябрь 2023'!$G$4:$G$1127,'ноябрь 2023'!$D$4:$D$1127,$B13,'ноябрь 2023'!$J$4:$J$1127,AD$1)</f>
        <v>0</v>
      </c>
      <c r="AE13" s="198">
        <f>SUMIFS('ноябрь 2023'!$G$4:$G$1127,'ноябрь 2023'!$D$4:$D$1127,$B13,'ноябрь 2023'!$J$4:$J$1127,AE$1)</f>
        <v>0</v>
      </c>
      <c r="AF13" s="198">
        <f>SUMIFS('ноябрь 2023'!$G$4:$G$1127,'ноябрь 2023'!$D$4:$D$1127,$B13,'ноябрь 2023'!$J$4:$J$1127,AF$1)</f>
        <v>0</v>
      </c>
      <c r="AG13" s="198">
        <f>SUMIFS('ноябрь 2023'!$G$4:$G$1127,'ноябрь 2023'!$D$4:$D$1127,$B13,'ноябрь 2023'!$J$4:$J$1127,AG$1)</f>
        <v>0</v>
      </c>
      <c r="AH13" s="198">
        <f>SUMIFS('ноябрь 2023'!$G$4:$G$1127,'ноябрь 2023'!$D$4:$D$1127,$B13,'ноябрь 2023'!$J$4:$J$1127,AH$1)</f>
        <v>0</v>
      </c>
      <c r="AI13" s="170">
        <f t="shared" si="1"/>
        <v>1960</v>
      </c>
    </row>
    <row r="14" spans="2:35" ht="15" customHeight="1" x14ac:dyDescent="0.25">
      <c r="B14" s="199" t="s">
        <v>2103</v>
      </c>
      <c r="C14" s="200">
        <v>25</v>
      </c>
      <c r="D14" s="198">
        <f>SUMIFS('ноябрь 2023'!$G$4:$G$1127,'ноябрь 2023'!$D$4:$D$1127,$B14,'ноябрь 2023'!$J$4:$J$1127,D$1)</f>
        <v>0</v>
      </c>
      <c r="E14" s="198">
        <f>SUMIFS('ноябрь 2023'!$G$4:$G$1127,'ноябрь 2023'!$D$4:$D$1127,$B14,'ноябрь 2023'!$J$4:$J$1127,E$1)</f>
        <v>0</v>
      </c>
      <c r="F14" s="198">
        <f>SUMIFS('ноябрь 2023'!$G$4:$G$1127,'ноябрь 2023'!$D$4:$D$1127,$B14,'ноябрь 2023'!$J$4:$J$1127,F$1)</f>
        <v>0</v>
      </c>
      <c r="G14" s="198">
        <f>SUMIFS('ноябрь 2023'!$G$4:$G$1127,'ноябрь 2023'!$D$4:$D$1127,$B14,'ноябрь 2023'!$J$4:$J$1127,G$1)</f>
        <v>0</v>
      </c>
      <c r="H14" s="198">
        <f>SUMIFS('ноябрь 2023'!$G$4:$G$1127,'ноябрь 2023'!$D$4:$D$1127,$B14,'ноябрь 2023'!$J$4:$J$1127,H$1)</f>
        <v>0</v>
      </c>
      <c r="I14" s="198">
        <f>SUMIFS('ноябрь 2023'!$G$4:$G$1127,'ноябрь 2023'!$D$4:$D$1127,$B14,'ноябрь 2023'!$J$4:$J$1127,I$1)</f>
        <v>0</v>
      </c>
      <c r="J14" s="198">
        <f>SUMIFS('ноябрь 2023'!$G$4:$G$1127,'ноябрь 2023'!$D$4:$D$1127,$B14,'ноябрь 2023'!$J$4:$J$1127,J$1)</f>
        <v>0</v>
      </c>
      <c r="K14" s="198">
        <f>SUMIFS('ноябрь 2023'!$G$4:$G$1127,'ноябрь 2023'!$D$4:$D$1127,$B14,'ноябрь 2023'!$J$4:$J$1127,K$1)</f>
        <v>0</v>
      </c>
      <c r="L14" s="198">
        <f>SUMIFS('ноябрь 2023'!$G$4:$G$1127,'ноябрь 2023'!$D$4:$D$1127,$B14,'ноябрь 2023'!$J$4:$J$1127,L$1)</f>
        <v>0</v>
      </c>
      <c r="M14" s="198">
        <f>SUMIFS('ноябрь 2023'!$G$4:$G$1127,'ноябрь 2023'!$D$4:$D$1127,$B14,'ноябрь 2023'!$J$4:$J$1127,M$1)</f>
        <v>0</v>
      </c>
      <c r="N14" s="198">
        <f>SUMIFS('ноябрь 2023'!$G$4:$G$1127,'ноябрь 2023'!$D$4:$D$1127,$B14,'ноябрь 2023'!$J$4:$J$1127,N$1)</f>
        <v>0</v>
      </c>
      <c r="O14" s="198">
        <f>SUMIFS('ноябрь 2023'!$G$4:$G$1127,'ноябрь 2023'!$D$4:$D$1127,$B14,'ноябрь 2023'!$J$4:$J$1127,O$1)</f>
        <v>0</v>
      </c>
      <c r="P14" s="198">
        <f>SUMIFS('ноябрь 2023'!$G$4:$G$1127,'ноябрь 2023'!$D$4:$D$1127,$B14,'ноябрь 2023'!$J$4:$J$1127,P$1)</f>
        <v>0</v>
      </c>
      <c r="Q14" s="198">
        <f>SUMIFS('ноябрь 2023'!$G$4:$G$1127,'ноябрь 2023'!$D$4:$D$1127,$B14,'ноябрь 2023'!$J$4:$J$1127,Q$1)</f>
        <v>0</v>
      </c>
      <c r="R14" s="198">
        <f>SUMIFS('ноябрь 2023'!$G$4:$G$1127,'ноябрь 2023'!$D$4:$D$1127,$B14,'ноябрь 2023'!$J$4:$J$1127,R$1)</f>
        <v>0</v>
      </c>
      <c r="S14" s="198">
        <f>SUMIFS('ноябрь 2023'!$G$4:$G$1127,'ноябрь 2023'!$D$4:$D$1127,$B14,'ноябрь 2023'!$J$4:$J$1127,S$1)</f>
        <v>0</v>
      </c>
      <c r="T14" s="198">
        <f>SUMIFS('ноябрь 2023'!$G$4:$G$1127,'ноябрь 2023'!$D$4:$D$1127,$B14,'ноябрь 2023'!$J$4:$J$1127,T$1)</f>
        <v>0</v>
      </c>
      <c r="U14" s="198">
        <f>SUMIFS('ноябрь 2023'!$G$4:$G$1127,'ноябрь 2023'!$D$4:$D$1127,$B14,'ноябрь 2023'!$J$4:$J$1127,U$1)</f>
        <v>0</v>
      </c>
      <c r="V14" s="198">
        <f>SUMIFS('ноябрь 2023'!$G$4:$G$1127,'ноябрь 2023'!$D$4:$D$1127,$B14,'ноябрь 2023'!$J$4:$J$1127,V$1)</f>
        <v>0</v>
      </c>
      <c r="W14" s="198">
        <f>SUMIFS('ноябрь 2023'!$G$4:$G$1127,'ноябрь 2023'!$D$4:$D$1127,$B14,'ноябрь 2023'!$J$4:$J$1127,W$1)</f>
        <v>0</v>
      </c>
      <c r="X14" s="198">
        <f>SUMIFS('ноябрь 2023'!$G$4:$G$1127,'ноябрь 2023'!$D$4:$D$1127,$B14,'ноябрь 2023'!$J$4:$J$1127,X$1)</f>
        <v>0</v>
      </c>
      <c r="Y14" s="198">
        <f>SUMIFS('ноябрь 2023'!$G$4:$G$1127,'ноябрь 2023'!$D$4:$D$1127,$B14,'ноябрь 2023'!$J$4:$J$1127,Y$1)</f>
        <v>0</v>
      </c>
      <c r="Z14" s="198">
        <f>SUMIFS('ноябрь 2023'!$G$4:$G$1127,'ноябрь 2023'!$D$4:$D$1127,$B14,'ноябрь 2023'!$J$4:$J$1127,Z$1)</f>
        <v>0</v>
      </c>
      <c r="AA14" s="198">
        <f>SUMIFS('ноябрь 2023'!$G$4:$G$1127,'ноябрь 2023'!$D$4:$D$1127,$B14,'ноябрь 2023'!$J$4:$J$1127,AA$1)</f>
        <v>0</v>
      </c>
      <c r="AB14" s="198">
        <f>SUMIFS('ноябрь 2023'!$G$4:$G$1127,'ноябрь 2023'!$D$4:$D$1127,$B14,'ноябрь 2023'!$J$4:$J$1127,AB$1)</f>
        <v>0</v>
      </c>
      <c r="AC14" s="198">
        <f>SUMIFS('ноябрь 2023'!$G$4:$G$1127,'ноябрь 2023'!$D$4:$D$1127,$B14,'ноябрь 2023'!$J$4:$J$1127,AC$1)</f>
        <v>0</v>
      </c>
      <c r="AD14" s="198">
        <f>SUMIFS('ноябрь 2023'!$G$4:$G$1127,'ноябрь 2023'!$D$4:$D$1127,$B14,'ноябрь 2023'!$J$4:$J$1127,AD$1)</f>
        <v>0</v>
      </c>
      <c r="AE14" s="198">
        <f>SUMIFS('ноябрь 2023'!$G$4:$G$1127,'ноябрь 2023'!$D$4:$D$1127,$B14,'ноябрь 2023'!$J$4:$J$1127,AE$1)</f>
        <v>0</v>
      </c>
      <c r="AF14" s="198">
        <f>SUMIFS('ноябрь 2023'!$G$4:$G$1127,'ноябрь 2023'!$D$4:$D$1127,$B14,'ноябрь 2023'!$J$4:$J$1127,AF$1)</f>
        <v>0</v>
      </c>
      <c r="AG14" s="198">
        <f>SUMIFS('ноябрь 2023'!$G$4:$G$1127,'ноябрь 2023'!$D$4:$D$1127,$B14,'ноябрь 2023'!$J$4:$J$1127,AG$1)</f>
        <v>0</v>
      </c>
      <c r="AH14" s="198">
        <f>SUMIFS('ноябрь 2023'!$G$4:$G$1127,'ноябрь 2023'!$D$4:$D$1127,$B14,'ноябрь 2023'!$J$4:$J$1127,AH$1)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SUMIFS('ноябрь 2023'!$G$4:$G$1127,'ноябрь 2023'!$D$4:$D$1127,$B15,'ноябрь 2023'!$J$4:$J$1127,D$1)</f>
        <v>0</v>
      </c>
      <c r="E15" s="198">
        <f>SUMIFS('ноябрь 2023'!$G$4:$G$1127,'ноябрь 2023'!$D$4:$D$1127,$B15,'ноябрь 2023'!$J$4:$J$1127,E$1)</f>
        <v>0</v>
      </c>
      <c r="F15" s="198">
        <f>SUMIFS('ноябрь 2023'!$G$4:$G$1127,'ноябрь 2023'!$D$4:$D$1127,$B15,'ноябрь 2023'!$J$4:$J$1127,F$1)</f>
        <v>0</v>
      </c>
      <c r="G15" s="198">
        <f>SUMIFS('ноябрь 2023'!$G$4:$G$1127,'ноябрь 2023'!$D$4:$D$1127,$B15,'ноябрь 2023'!$J$4:$J$1127,G$1)</f>
        <v>0</v>
      </c>
      <c r="H15" s="198">
        <f>SUMIFS('ноябрь 2023'!$G$4:$G$1127,'ноябрь 2023'!$D$4:$D$1127,$B15,'ноябрь 2023'!$J$4:$J$1127,H$1)</f>
        <v>0</v>
      </c>
      <c r="I15" s="198">
        <f>SUMIFS('ноябрь 2023'!$G$4:$G$1127,'ноябрь 2023'!$D$4:$D$1127,$B15,'ноябрь 2023'!$J$4:$J$1127,I$1)</f>
        <v>0</v>
      </c>
      <c r="J15" s="198">
        <f>SUMIFS('ноябрь 2023'!$G$4:$G$1127,'ноябрь 2023'!$D$4:$D$1127,$B15,'ноябрь 2023'!$J$4:$J$1127,J$1)</f>
        <v>0</v>
      </c>
      <c r="K15" s="198">
        <f>SUMIFS('ноябрь 2023'!$G$4:$G$1127,'ноябрь 2023'!$D$4:$D$1127,$B15,'ноябрь 2023'!$J$4:$J$1127,K$1)</f>
        <v>0</v>
      </c>
      <c r="L15" s="198">
        <f>SUMIFS('ноябрь 2023'!$G$4:$G$1127,'ноябрь 2023'!$D$4:$D$1127,$B15,'ноябрь 2023'!$J$4:$J$1127,L$1)</f>
        <v>0</v>
      </c>
      <c r="M15" s="198">
        <f>SUMIFS('ноябрь 2023'!$G$4:$G$1127,'ноябрь 2023'!$D$4:$D$1127,$B15,'ноябрь 2023'!$J$4:$J$1127,M$1)</f>
        <v>0</v>
      </c>
      <c r="N15" s="198">
        <f>SUMIFS('ноябрь 2023'!$G$4:$G$1127,'ноябрь 2023'!$D$4:$D$1127,$B15,'ноябрь 2023'!$J$4:$J$1127,N$1)</f>
        <v>0</v>
      </c>
      <c r="O15" s="198">
        <f>SUMIFS('ноябрь 2023'!$G$4:$G$1127,'ноябрь 2023'!$D$4:$D$1127,$B15,'ноябрь 2023'!$J$4:$J$1127,O$1)</f>
        <v>0</v>
      </c>
      <c r="P15" s="198">
        <f>SUMIFS('ноябрь 2023'!$G$4:$G$1127,'ноябрь 2023'!$D$4:$D$1127,$B15,'ноябрь 2023'!$J$4:$J$1127,P$1)</f>
        <v>0</v>
      </c>
      <c r="Q15" s="198">
        <f>SUMIFS('ноябрь 2023'!$G$4:$G$1127,'ноябрь 2023'!$D$4:$D$1127,$B15,'ноябрь 2023'!$J$4:$J$1127,Q$1)</f>
        <v>0</v>
      </c>
      <c r="R15" s="198">
        <f>SUMIFS('ноябрь 2023'!$G$4:$G$1127,'ноябрь 2023'!$D$4:$D$1127,$B15,'ноябрь 2023'!$J$4:$J$1127,R$1)</f>
        <v>0</v>
      </c>
      <c r="S15" s="198">
        <f>SUMIFS('ноябрь 2023'!$G$4:$G$1127,'ноябрь 2023'!$D$4:$D$1127,$B15,'ноябрь 2023'!$J$4:$J$1127,S$1)</f>
        <v>0</v>
      </c>
      <c r="T15" s="198">
        <f>SUMIFS('ноябрь 2023'!$G$4:$G$1127,'ноябрь 2023'!$D$4:$D$1127,$B15,'ноябрь 2023'!$J$4:$J$1127,T$1)</f>
        <v>0</v>
      </c>
      <c r="U15" s="198">
        <f>SUMIFS('ноябрь 2023'!$G$4:$G$1127,'ноябрь 2023'!$D$4:$D$1127,$B15,'ноябрь 2023'!$J$4:$J$1127,U$1)</f>
        <v>0</v>
      </c>
      <c r="V15" s="198">
        <f>SUMIFS('ноябрь 2023'!$G$4:$G$1127,'ноябрь 2023'!$D$4:$D$1127,$B15,'ноябрь 2023'!$J$4:$J$1127,V$1)</f>
        <v>0</v>
      </c>
      <c r="W15" s="198">
        <f>SUMIFS('ноябрь 2023'!$G$4:$G$1127,'ноябрь 2023'!$D$4:$D$1127,$B15,'ноябрь 2023'!$J$4:$J$1127,W$1)</f>
        <v>0</v>
      </c>
      <c r="X15" s="198">
        <f>SUMIFS('ноябрь 2023'!$G$4:$G$1127,'ноябрь 2023'!$D$4:$D$1127,$B15,'ноябрь 2023'!$J$4:$J$1127,X$1)</f>
        <v>0</v>
      </c>
      <c r="Y15" s="198">
        <f>SUMIFS('ноябрь 2023'!$G$4:$G$1127,'ноябрь 2023'!$D$4:$D$1127,$B15,'ноябрь 2023'!$J$4:$J$1127,Y$1)</f>
        <v>0</v>
      </c>
      <c r="Z15" s="198">
        <f>SUMIFS('ноябрь 2023'!$G$4:$G$1127,'ноябрь 2023'!$D$4:$D$1127,$B15,'ноябрь 2023'!$J$4:$J$1127,Z$1)</f>
        <v>0</v>
      </c>
      <c r="AA15" s="198">
        <f>SUMIFS('ноябрь 2023'!$G$4:$G$1127,'ноябрь 2023'!$D$4:$D$1127,$B15,'ноябрь 2023'!$J$4:$J$1127,AA$1)</f>
        <v>0</v>
      </c>
      <c r="AB15" s="198">
        <f>SUMIFS('ноябрь 2023'!$G$4:$G$1127,'ноябрь 2023'!$D$4:$D$1127,$B15,'ноябрь 2023'!$J$4:$J$1127,AB$1)</f>
        <v>0</v>
      </c>
      <c r="AC15" s="198">
        <f>SUMIFS('ноябрь 2023'!$G$4:$G$1127,'ноябрь 2023'!$D$4:$D$1127,$B15,'ноябрь 2023'!$J$4:$J$1127,AC$1)</f>
        <v>0</v>
      </c>
      <c r="AD15" s="198">
        <f>SUMIFS('ноябрь 2023'!$G$4:$G$1127,'ноябрь 2023'!$D$4:$D$1127,$B15,'ноябрь 2023'!$J$4:$J$1127,AD$1)</f>
        <v>0</v>
      </c>
      <c r="AE15" s="198">
        <f>SUMIFS('ноябрь 2023'!$G$4:$G$1127,'ноябрь 2023'!$D$4:$D$1127,$B15,'ноябрь 2023'!$J$4:$J$1127,AE$1)</f>
        <v>0</v>
      </c>
      <c r="AF15" s="198">
        <f>SUMIFS('ноябрь 2023'!$G$4:$G$1127,'ноябрь 2023'!$D$4:$D$1127,$B15,'ноябрь 2023'!$J$4:$J$1127,AF$1)</f>
        <v>0</v>
      </c>
      <c r="AG15" s="198">
        <f>SUMIFS('ноябрь 2023'!$G$4:$G$1127,'ноябрь 2023'!$D$4:$D$1127,$B15,'ноябрь 2023'!$J$4:$J$1127,AG$1)</f>
        <v>0</v>
      </c>
      <c r="AH15" s="198">
        <f>SUMIFS('ноябрь 2023'!$G$4:$G$1127,'ноябрь 2023'!$D$4:$D$1127,$B15,'ноябрь 2023'!$J$4:$J$1127,AH$1)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SUMIFS('ноябрь 2023'!$G$4:$G$1127,'ноябрь 2023'!$D$4:$D$1127,$B16,'ноябрь 2023'!$J$4:$J$1127,D$1)</f>
        <v>0</v>
      </c>
      <c r="E16" s="198">
        <f>SUMIFS('ноябрь 2023'!$G$4:$G$1127,'ноябрь 2023'!$D$4:$D$1127,$B16,'ноябрь 2023'!$J$4:$J$1127,E$1)</f>
        <v>0</v>
      </c>
      <c r="F16" s="198">
        <f>SUMIFS('ноябрь 2023'!$G$4:$G$1127,'ноябрь 2023'!$D$4:$D$1127,$B16,'ноябрь 2023'!$J$4:$J$1127,F$1)</f>
        <v>0</v>
      </c>
      <c r="G16" s="198">
        <f>SUMIFS('ноябрь 2023'!$G$4:$G$1127,'ноябрь 2023'!$D$4:$D$1127,$B16,'ноябрь 2023'!$J$4:$J$1127,G$1)</f>
        <v>0</v>
      </c>
      <c r="H16" s="198">
        <f>SUMIFS('ноябрь 2023'!$G$4:$G$1127,'ноябрь 2023'!$D$4:$D$1127,$B16,'ноябрь 2023'!$J$4:$J$1127,H$1)</f>
        <v>0</v>
      </c>
      <c r="I16" s="198">
        <f>SUMIFS('ноябрь 2023'!$G$4:$G$1127,'ноябрь 2023'!$D$4:$D$1127,$B16,'ноябрь 2023'!$J$4:$J$1127,I$1)</f>
        <v>0</v>
      </c>
      <c r="J16" s="198">
        <f>SUMIFS('ноябрь 2023'!$G$4:$G$1127,'ноябрь 2023'!$D$4:$D$1127,$B16,'ноябрь 2023'!$J$4:$J$1127,J$1)</f>
        <v>0</v>
      </c>
      <c r="K16" s="198">
        <f>SUMIFS('ноябрь 2023'!$G$4:$G$1127,'ноябрь 2023'!$D$4:$D$1127,$B16,'ноябрь 2023'!$J$4:$J$1127,K$1)</f>
        <v>0</v>
      </c>
      <c r="L16" s="198">
        <f>SUMIFS('ноябрь 2023'!$G$4:$G$1127,'ноябрь 2023'!$D$4:$D$1127,$B16,'ноябрь 2023'!$J$4:$J$1127,L$1)</f>
        <v>0</v>
      </c>
      <c r="M16" s="198">
        <f>SUMIFS('ноябрь 2023'!$G$4:$G$1127,'ноябрь 2023'!$D$4:$D$1127,$B16,'ноябрь 2023'!$J$4:$J$1127,M$1)</f>
        <v>0</v>
      </c>
      <c r="N16" s="198">
        <f>SUMIFS('ноябрь 2023'!$G$4:$G$1127,'ноябрь 2023'!$D$4:$D$1127,$B16,'ноябрь 2023'!$J$4:$J$1127,N$1)</f>
        <v>0</v>
      </c>
      <c r="O16" s="198">
        <f>SUMIFS('ноябрь 2023'!$G$4:$G$1127,'ноябрь 2023'!$D$4:$D$1127,$B16,'ноябрь 2023'!$J$4:$J$1127,O$1)</f>
        <v>0</v>
      </c>
      <c r="P16" s="198">
        <f>SUMIFS('ноябрь 2023'!$G$4:$G$1127,'ноябрь 2023'!$D$4:$D$1127,$B16,'ноябрь 2023'!$J$4:$J$1127,P$1)</f>
        <v>0</v>
      </c>
      <c r="Q16" s="198">
        <f>SUMIFS('ноябрь 2023'!$G$4:$G$1127,'ноябрь 2023'!$D$4:$D$1127,$B16,'ноябрь 2023'!$J$4:$J$1127,Q$1)</f>
        <v>0</v>
      </c>
      <c r="R16" s="198">
        <f>SUMIFS('ноябрь 2023'!$G$4:$G$1127,'ноябрь 2023'!$D$4:$D$1127,$B16,'ноябрь 2023'!$J$4:$J$1127,R$1)</f>
        <v>0</v>
      </c>
      <c r="S16" s="198">
        <f>SUMIFS('ноябрь 2023'!$G$4:$G$1127,'ноябрь 2023'!$D$4:$D$1127,$B16,'ноябрь 2023'!$J$4:$J$1127,S$1)</f>
        <v>0</v>
      </c>
      <c r="T16" s="198">
        <f>SUMIFS('ноябрь 2023'!$G$4:$G$1127,'ноябрь 2023'!$D$4:$D$1127,$B16,'ноябрь 2023'!$J$4:$J$1127,T$1)</f>
        <v>0</v>
      </c>
      <c r="U16" s="198">
        <f>SUMIFS('ноябрь 2023'!$G$4:$G$1127,'ноябрь 2023'!$D$4:$D$1127,$B16,'ноябрь 2023'!$J$4:$J$1127,U$1)</f>
        <v>0</v>
      </c>
      <c r="V16" s="198">
        <f>SUMIFS('ноябрь 2023'!$G$4:$G$1127,'ноябрь 2023'!$D$4:$D$1127,$B16,'ноябрь 2023'!$J$4:$J$1127,V$1)</f>
        <v>0</v>
      </c>
      <c r="W16" s="198">
        <f>SUMIFS('ноябрь 2023'!$G$4:$G$1127,'ноябрь 2023'!$D$4:$D$1127,$B16,'ноябрь 2023'!$J$4:$J$1127,W$1)</f>
        <v>0</v>
      </c>
      <c r="X16" s="198">
        <f>SUMIFS('ноябрь 2023'!$G$4:$G$1127,'ноябрь 2023'!$D$4:$D$1127,$B16,'ноябрь 2023'!$J$4:$J$1127,X$1)</f>
        <v>0</v>
      </c>
      <c r="Y16" s="198">
        <f>SUMIFS('ноябрь 2023'!$G$4:$G$1127,'ноябрь 2023'!$D$4:$D$1127,$B16,'ноябрь 2023'!$J$4:$J$1127,Y$1)</f>
        <v>0</v>
      </c>
      <c r="Z16" s="198">
        <f>SUMIFS('ноябрь 2023'!$G$4:$G$1127,'ноябрь 2023'!$D$4:$D$1127,$B16,'ноябрь 2023'!$J$4:$J$1127,Z$1)</f>
        <v>0</v>
      </c>
      <c r="AA16" s="198">
        <f>SUMIFS('ноябрь 2023'!$G$4:$G$1127,'ноябрь 2023'!$D$4:$D$1127,$B16,'ноябрь 2023'!$J$4:$J$1127,AA$1)</f>
        <v>0</v>
      </c>
      <c r="AB16" s="198">
        <f>SUMIFS('ноябрь 2023'!$G$4:$G$1127,'ноябрь 2023'!$D$4:$D$1127,$B16,'ноябрь 2023'!$J$4:$J$1127,AB$1)</f>
        <v>0</v>
      </c>
      <c r="AC16" s="198">
        <f>SUMIFS('ноябрь 2023'!$G$4:$G$1127,'ноябрь 2023'!$D$4:$D$1127,$B16,'ноябрь 2023'!$J$4:$J$1127,AC$1)</f>
        <v>0</v>
      </c>
      <c r="AD16" s="198">
        <f>SUMIFS('ноябрь 2023'!$G$4:$G$1127,'ноябрь 2023'!$D$4:$D$1127,$B16,'ноябрь 2023'!$J$4:$J$1127,AD$1)</f>
        <v>0</v>
      </c>
      <c r="AE16" s="198">
        <f>SUMIFS('ноябрь 2023'!$G$4:$G$1127,'ноябрь 2023'!$D$4:$D$1127,$B16,'ноябрь 2023'!$J$4:$J$1127,AE$1)</f>
        <v>0</v>
      </c>
      <c r="AF16" s="198">
        <f>SUMIFS('ноябрь 2023'!$G$4:$G$1127,'ноябрь 2023'!$D$4:$D$1127,$B16,'ноябрь 2023'!$J$4:$J$1127,AF$1)</f>
        <v>0</v>
      </c>
      <c r="AG16" s="198">
        <f>SUMIFS('ноябрь 2023'!$G$4:$G$1127,'ноябрь 2023'!$D$4:$D$1127,$B16,'ноябрь 2023'!$J$4:$J$1127,AG$1)</f>
        <v>0</v>
      </c>
      <c r="AH16" s="198">
        <f>SUMIFS('ноябрь 2023'!$G$4:$G$1127,'ноябрь 2023'!$D$4:$D$1127,$B16,'ноябрь 2023'!$J$4:$J$1127,AH$1)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SUMIFS('ноябрь 2023'!$G$4:$G$1127,'ноябрь 2023'!$D$4:$D$1127,$B17,'ноябрь 2023'!$J$4:$J$1127,D$1)</f>
        <v>0</v>
      </c>
      <c r="E17" s="198">
        <f>SUMIFS('ноябрь 2023'!$G$4:$G$1127,'ноябрь 2023'!$D$4:$D$1127,$B17,'ноябрь 2023'!$J$4:$J$1127,E$1)</f>
        <v>0</v>
      </c>
      <c r="F17" s="198">
        <f>SUMIFS('ноябрь 2023'!$G$4:$G$1127,'ноябрь 2023'!$D$4:$D$1127,$B17,'ноябрь 2023'!$J$4:$J$1127,F$1)</f>
        <v>0</v>
      </c>
      <c r="G17" s="198">
        <f>SUMIFS('ноябрь 2023'!$G$4:$G$1127,'ноябрь 2023'!$D$4:$D$1127,$B17,'ноябрь 2023'!$J$4:$J$1127,G$1)</f>
        <v>0</v>
      </c>
      <c r="H17" s="198">
        <f>SUMIFS('ноябрь 2023'!$G$4:$G$1127,'ноябрь 2023'!$D$4:$D$1127,$B17,'ноябрь 2023'!$J$4:$J$1127,H$1)</f>
        <v>0</v>
      </c>
      <c r="I17" s="198">
        <f>SUMIFS('ноябрь 2023'!$G$4:$G$1127,'ноябрь 2023'!$D$4:$D$1127,$B17,'ноябрь 2023'!$J$4:$J$1127,I$1)</f>
        <v>0</v>
      </c>
      <c r="J17" s="198">
        <f>SUMIFS('ноябрь 2023'!$G$4:$G$1127,'ноябрь 2023'!$D$4:$D$1127,$B17,'ноябрь 2023'!$J$4:$J$1127,J$1)</f>
        <v>0</v>
      </c>
      <c r="K17" s="198">
        <f>SUMIFS('ноябрь 2023'!$G$4:$G$1127,'ноябрь 2023'!$D$4:$D$1127,$B17,'ноябрь 2023'!$J$4:$J$1127,K$1)</f>
        <v>0</v>
      </c>
      <c r="L17" s="198">
        <f>SUMIFS('ноябрь 2023'!$G$4:$G$1127,'ноябрь 2023'!$D$4:$D$1127,$B17,'ноябрь 2023'!$J$4:$J$1127,L$1)</f>
        <v>0</v>
      </c>
      <c r="M17" s="198">
        <f>SUMIFS('ноябрь 2023'!$G$4:$G$1127,'ноябрь 2023'!$D$4:$D$1127,$B17,'ноябрь 2023'!$J$4:$J$1127,M$1)</f>
        <v>0</v>
      </c>
      <c r="N17" s="198">
        <f>SUMIFS('ноябрь 2023'!$G$4:$G$1127,'ноябрь 2023'!$D$4:$D$1127,$B17,'ноябрь 2023'!$J$4:$J$1127,N$1)</f>
        <v>0</v>
      </c>
      <c r="O17" s="198">
        <f>SUMIFS('ноябрь 2023'!$G$4:$G$1127,'ноябрь 2023'!$D$4:$D$1127,$B17,'ноябрь 2023'!$J$4:$J$1127,O$1)</f>
        <v>0</v>
      </c>
      <c r="P17" s="198">
        <f>SUMIFS('ноябрь 2023'!$G$4:$G$1127,'ноябрь 2023'!$D$4:$D$1127,$B17,'ноябрь 2023'!$J$4:$J$1127,P$1)</f>
        <v>0</v>
      </c>
      <c r="Q17" s="198">
        <f>SUMIFS('ноябрь 2023'!$G$4:$G$1127,'ноябрь 2023'!$D$4:$D$1127,$B17,'ноябрь 2023'!$J$4:$J$1127,Q$1)</f>
        <v>0</v>
      </c>
      <c r="R17" s="198">
        <f>SUMIFS('ноябрь 2023'!$G$4:$G$1127,'ноябрь 2023'!$D$4:$D$1127,$B17,'ноябрь 2023'!$J$4:$J$1127,R$1)</f>
        <v>0</v>
      </c>
      <c r="S17" s="198">
        <f>SUMIFS('ноябрь 2023'!$G$4:$G$1127,'ноябрь 2023'!$D$4:$D$1127,$B17,'ноябрь 2023'!$J$4:$J$1127,S$1)</f>
        <v>0</v>
      </c>
      <c r="T17" s="198">
        <f>SUMIFS('ноябрь 2023'!$G$4:$G$1127,'ноябрь 2023'!$D$4:$D$1127,$B17,'ноябрь 2023'!$J$4:$J$1127,T$1)</f>
        <v>0</v>
      </c>
      <c r="U17" s="198">
        <f>SUMIFS('ноябрь 2023'!$G$4:$G$1127,'ноябрь 2023'!$D$4:$D$1127,$B17,'ноябрь 2023'!$J$4:$J$1127,U$1)</f>
        <v>0</v>
      </c>
      <c r="V17" s="198">
        <f>SUMIFS('ноябрь 2023'!$G$4:$G$1127,'ноябрь 2023'!$D$4:$D$1127,$B17,'ноябрь 2023'!$J$4:$J$1127,V$1)</f>
        <v>0</v>
      </c>
      <c r="W17" s="198">
        <f>SUMIFS('ноябрь 2023'!$G$4:$G$1127,'ноябрь 2023'!$D$4:$D$1127,$B17,'ноябрь 2023'!$J$4:$J$1127,W$1)</f>
        <v>0</v>
      </c>
      <c r="X17" s="198">
        <f>SUMIFS('ноябрь 2023'!$G$4:$G$1127,'ноябрь 2023'!$D$4:$D$1127,$B17,'ноябрь 2023'!$J$4:$J$1127,X$1)</f>
        <v>0</v>
      </c>
      <c r="Y17" s="198">
        <f>SUMIFS('ноябрь 2023'!$G$4:$G$1127,'ноябрь 2023'!$D$4:$D$1127,$B17,'ноябрь 2023'!$J$4:$J$1127,Y$1)</f>
        <v>0</v>
      </c>
      <c r="Z17" s="198">
        <f>SUMIFS('ноябрь 2023'!$G$4:$G$1127,'ноябрь 2023'!$D$4:$D$1127,$B17,'ноябрь 2023'!$J$4:$J$1127,Z$1)</f>
        <v>0</v>
      </c>
      <c r="AA17" s="198">
        <f>SUMIFS('ноябрь 2023'!$G$4:$G$1127,'ноябрь 2023'!$D$4:$D$1127,$B17,'ноябрь 2023'!$J$4:$J$1127,AA$1)</f>
        <v>0</v>
      </c>
      <c r="AB17" s="198">
        <f>SUMIFS('ноябрь 2023'!$G$4:$G$1127,'ноябрь 2023'!$D$4:$D$1127,$B17,'ноябрь 2023'!$J$4:$J$1127,AB$1)</f>
        <v>0</v>
      </c>
      <c r="AC17" s="198">
        <f>SUMIFS('ноябрь 2023'!$G$4:$G$1127,'ноябрь 2023'!$D$4:$D$1127,$B17,'ноябрь 2023'!$J$4:$J$1127,AC$1)</f>
        <v>0</v>
      </c>
      <c r="AD17" s="198">
        <f>SUMIFS('ноябрь 2023'!$G$4:$G$1127,'ноябрь 2023'!$D$4:$D$1127,$B17,'ноябрь 2023'!$J$4:$J$1127,AD$1)</f>
        <v>0</v>
      </c>
      <c r="AE17" s="198">
        <f>SUMIFS('ноябрь 2023'!$G$4:$G$1127,'ноябрь 2023'!$D$4:$D$1127,$B17,'ноябрь 2023'!$J$4:$J$1127,AE$1)</f>
        <v>0</v>
      </c>
      <c r="AF17" s="198">
        <f>SUMIFS('ноябрь 2023'!$G$4:$G$1127,'ноябрь 2023'!$D$4:$D$1127,$B17,'ноябрь 2023'!$J$4:$J$1127,AF$1)</f>
        <v>0</v>
      </c>
      <c r="AG17" s="198">
        <f>SUMIFS('ноябрь 2023'!$G$4:$G$1127,'ноябрь 2023'!$D$4:$D$1127,$B17,'ноябрь 2023'!$J$4:$J$1127,AG$1)</f>
        <v>0</v>
      </c>
      <c r="AH17" s="198">
        <f>SUMIFS('ноябрь 2023'!$G$4:$G$1127,'ноябрь 2023'!$D$4:$D$1127,$B17,'ноябрь 2023'!$J$4:$J$1127,AH$1)</f>
        <v>0</v>
      </c>
      <c r="AI17" s="170">
        <f t="shared" si="1"/>
        <v>0</v>
      </c>
    </row>
    <row r="18" spans="2:35" ht="15" customHeight="1" x14ac:dyDescent="0.25">
      <c r="B18" s="199" t="s">
        <v>2081</v>
      </c>
      <c r="C18" s="200">
        <v>25</v>
      </c>
      <c r="D18" s="198">
        <f>SUMIFS('ноябрь 2023'!$G$4:$G$1127,'ноябрь 2023'!$D$4:$D$1127,$B18,'ноябрь 2023'!$J$4:$J$1127,D$1)</f>
        <v>0</v>
      </c>
      <c r="E18" s="198">
        <f>SUMIFS('ноябрь 2023'!$G$4:$G$1127,'ноябрь 2023'!$D$4:$D$1127,$B18,'ноябрь 2023'!$J$4:$J$1127,E$1)</f>
        <v>0</v>
      </c>
      <c r="F18" s="198">
        <f>SUMIFS('ноябрь 2023'!$G$4:$G$1127,'ноябрь 2023'!$D$4:$D$1127,$B18,'ноябрь 2023'!$J$4:$J$1127,F$1)</f>
        <v>0</v>
      </c>
      <c r="G18" s="198">
        <f>SUMIFS('ноябрь 2023'!$G$4:$G$1127,'ноябрь 2023'!$D$4:$D$1127,$B18,'ноябрь 2023'!$J$4:$J$1127,G$1)</f>
        <v>0</v>
      </c>
      <c r="H18" s="198">
        <f>SUMIFS('ноябрь 2023'!$G$4:$G$1127,'ноябрь 2023'!$D$4:$D$1127,$B18,'ноябрь 2023'!$J$4:$J$1127,H$1)</f>
        <v>0</v>
      </c>
      <c r="I18" s="198">
        <f>SUMIFS('ноябрь 2023'!$G$4:$G$1127,'ноябрь 2023'!$D$4:$D$1127,$B18,'ноябрь 2023'!$J$4:$J$1127,I$1)</f>
        <v>0</v>
      </c>
      <c r="J18" s="198">
        <f>SUMIFS('ноябрь 2023'!$G$4:$G$1127,'ноябрь 2023'!$D$4:$D$1127,$B18,'ноябрь 2023'!$J$4:$J$1127,J$1)</f>
        <v>0</v>
      </c>
      <c r="K18" s="198">
        <f>SUMIFS('ноябрь 2023'!$G$4:$G$1127,'ноябрь 2023'!$D$4:$D$1127,$B18,'ноябрь 2023'!$J$4:$J$1127,K$1)</f>
        <v>0</v>
      </c>
      <c r="L18" s="198">
        <f>SUMIFS('ноябрь 2023'!$G$4:$G$1127,'ноябрь 2023'!$D$4:$D$1127,$B18,'ноябрь 2023'!$J$4:$J$1127,L$1)</f>
        <v>0</v>
      </c>
      <c r="M18" s="198">
        <f>SUMIFS('ноябрь 2023'!$G$4:$G$1127,'ноябрь 2023'!$D$4:$D$1127,$B18,'ноябрь 2023'!$J$4:$J$1127,M$1)</f>
        <v>0</v>
      </c>
      <c r="N18" s="198">
        <f>SUMIFS('ноябрь 2023'!$G$4:$G$1127,'ноябрь 2023'!$D$4:$D$1127,$B18,'ноябрь 2023'!$J$4:$J$1127,N$1)</f>
        <v>0</v>
      </c>
      <c r="O18" s="198">
        <f>SUMIFS('ноябрь 2023'!$G$4:$G$1127,'ноябрь 2023'!$D$4:$D$1127,$B18,'ноябрь 2023'!$J$4:$J$1127,O$1)</f>
        <v>0</v>
      </c>
      <c r="P18" s="198">
        <f>SUMIFS('ноябрь 2023'!$G$4:$G$1127,'ноябрь 2023'!$D$4:$D$1127,$B18,'ноябрь 2023'!$J$4:$J$1127,P$1)</f>
        <v>0</v>
      </c>
      <c r="Q18" s="198">
        <f>SUMIFS('ноябрь 2023'!$G$4:$G$1127,'ноябрь 2023'!$D$4:$D$1127,$B18,'ноябрь 2023'!$J$4:$J$1127,Q$1)</f>
        <v>0</v>
      </c>
      <c r="R18" s="198">
        <f>SUMIFS('ноябрь 2023'!$G$4:$G$1127,'ноябрь 2023'!$D$4:$D$1127,$B18,'ноябрь 2023'!$J$4:$J$1127,R$1)</f>
        <v>0</v>
      </c>
      <c r="S18" s="198">
        <f>SUMIFS('ноябрь 2023'!$G$4:$G$1127,'ноябрь 2023'!$D$4:$D$1127,$B18,'ноябрь 2023'!$J$4:$J$1127,S$1)</f>
        <v>0</v>
      </c>
      <c r="T18" s="198">
        <f>SUMIFS('ноябрь 2023'!$G$4:$G$1127,'ноябрь 2023'!$D$4:$D$1127,$B18,'ноябрь 2023'!$J$4:$J$1127,T$1)</f>
        <v>0</v>
      </c>
      <c r="U18" s="198">
        <f>SUMIFS('ноябрь 2023'!$G$4:$G$1127,'ноябрь 2023'!$D$4:$D$1127,$B18,'ноябрь 2023'!$J$4:$J$1127,U$1)</f>
        <v>0</v>
      </c>
      <c r="V18" s="198">
        <f>SUMIFS('ноябрь 2023'!$G$4:$G$1127,'ноябрь 2023'!$D$4:$D$1127,$B18,'ноябрь 2023'!$J$4:$J$1127,V$1)</f>
        <v>0</v>
      </c>
      <c r="W18" s="198">
        <f>SUMIFS('ноябрь 2023'!$G$4:$G$1127,'ноябрь 2023'!$D$4:$D$1127,$B18,'ноябрь 2023'!$J$4:$J$1127,W$1)</f>
        <v>0</v>
      </c>
      <c r="X18" s="198">
        <f>SUMIFS('ноябрь 2023'!$G$4:$G$1127,'ноябрь 2023'!$D$4:$D$1127,$B18,'ноябрь 2023'!$J$4:$J$1127,X$1)</f>
        <v>0</v>
      </c>
      <c r="Y18" s="198">
        <f>SUMIFS('ноябрь 2023'!$G$4:$G$1127,'ноябрь 2023'!$D$4:$D$1127,$B18,'ноябрь 2023'!$J$4:$J$1127,Y$1)</f>
        <v>0</v>
      </c>
      <c r="Z18" s="198">
        <f>SUMIFS('ноябрь 2023'!$G$4:$G$1127,'ноябрь 2023'!$D$4:$D$1127,$B18,'ноябрь 2023'!$J$4:$J$1127,Z$1)</f>
        <v>0</v>
      </c>
      <c r="AA18" s="198">
        <f>SUMIFS('ноябрь 2023'!$G$4:$G$1127,'ноябрь 2023'!$D$4:$D$1127,$B18,'ноябрь 2023'!$J$4:$J$1127,AA$1)</f>
        <v>0</v>
      </c>
      <c r="AB18" s="198">
        <f>SUMIFS('ноябрь 2023'!$G$4:$G$1127,'ноябрь 2023'!$D$4:$D$1127,$B18,'ноябрь 2023'!$J$4:$J$1127,AB$1)</f>
        <v>0</v>
      </c>
      <c r="AC18" s="198">
        <f>SUMIFS('ноябрь 2023'!$G$4:$G$1127,'ноябрь 2023'!$D$4:$D$1127,$B18,'ноябрь 2023'!$J$4:$J$1127,AC$1)</f>
        <v>0</v>
      </c>
      <c r="AD18" s="198">
        <f>SUMIFS('ноябрь 2023'!$G$4:$G$1127,'ноябрь 2023'!$D$4:$D$1127,$B18,'ноябрь 2023'!$J$4:$J$1127,AD$1)</f>
        <v>0</v>
      </c>
      <c r="AE18" s="198">
        <f>SUMIFS('ноябрь 2023'!$G$4:$G$1127,'ноябрь 2023'!$D$4:$D$1127,$B18,'ноябрь 2023'!$J$4:$J$1127,AE$1)</f>
        <v>0</v>
      </c>
      <c r="AF18" s="198">
        <f>SUMIFS('ноябрь 2023'!$G$4:$G$1127,'ноябрь 2023'!$D$4:$D$1127,$B18,'ноябрь 2023'!$J$4:$J$1127,AF$1)</f>
        <v>0</v>
      </c>
      <c r="AG18" s="198">
        <f>SUMIFS('ноябрь 2023'!$G$4:$G$1127,'ноябрь 2023'!$D$4:$D$1127,$B18,'ноябрь 2023'!$J$4:$J$1127,AG$1)</f>
        <v>0</v>
      </c>
      <c r="AH18" s="198">
        <f>SUMIFS('ноябрь 2023'!$G$4:$G$1127,'ноябрь 2023'!$D$4:$D$1127,$B18,'ноябрь 2023'!$J$4:$J$1127,AH$1)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SUMIFS('ноябрь 2023'!$G$4:$G$1127,'ноябрь 2023'!$D$4:$D$1127,$B19,'ноябрь 2023'!$J$4:$J$1127,D$1)</f>
        <v>0</v>
      </c>
      <c r="E19" s="198">
        <f>SUMIFS('ноябрь 2023'!$G$4:$G$1127,'ноябрь 2023'!$D$4:$D$1127,$B19,'ноябрь 2023'!$J$4:$J$1127,E$1)</f>
        <v>0</v>
      </c>
      <c r="F19" s="198">
        <f>SUMIFS('ноябрь 2023'!$G$4:$G$1127,'ноябрь 2023'!$D$4:$D$1127,$B19,'ноябрь 2023'!$J$4:$J$1127,F$1)</f>
        <v>0</v>
      </c>
      <c r="G19" s="198">
        <f>SUMIFS('ноябрь 2023'!$G$4:$G$1127,'ноябрь 2023'!$D$4:$D$1127,$B19,'ноябрь 2023'!$J$4:$J$1127,G$1)</f>
        <v>0</v>
      </c>
      <c r="H19" s="198">
        <f>SUMIFS('ноябрь 2023'!$G$4:$G$1127,'ноябрь 2023'!$D$4:$D$1127,$B19,'ноябрь 2023'!$J$4:$J$1127,H$1)</f>
        <v>0</v>
      </c>
      <c r="I19" s="198">
        <f>SUMIFS('ноябрь 2023'!$G$4:$G$1127,'ноябрь 2023'!$D$4:$D$1127,$B19,'ноябрь 2023'!$J$4:$J$1127,I$1)</f>
        <v>0</v>
      </c>
      <c r="J19" s="198">
        <f>SUMIFS('ноябрь 2023'!$G$4:$G$1127,'ноябрь 2023'!$D$4:$D$1127,$B19,'ноябрь 2023'!$J$4:$J$1127,J$1)</f>
        <v>800</v>
      </c>
      <c r="K19" s="198">
        <f>SUMIFS('ноябрь 2023'!$G$4:$G$1127,'ноябрь 2023'!$D$4:$D$1127,$B19,'ноябрь 2023'!$J$4:$J$1127,K$1)</f>
        <v>720</v>
      </c>
      <c r="L19" s="198">
        <f>SUMIFS('ноябрь 2023'!$G$4:$G$1127,'ноябрь 2023'!$D$4:$D$1127,$B19,'ноябрь 2023'!$J$4:$J$1127,L$1)</f>
        <v>0</v>
      </c>
      <c r="M19" s="198">
        <f>SUMIFS('ноябрь 2023'!$G$4:$G$1127,'ноябрь 2023'!$D$4:$D$1127,$B19,'ноябрь 2023'!$J$4:$J$1127,M$1)</f>
        <v>0</v>
      </c>
      <c r="N19" s="198">
        <f>SUMIFS('ноябрь 2023'!$G$4:$G$1127,'ноябрь 2023'!$D$4:$D$1127,$B19,'ноябрь 2023'!$J$4:$J$1127,N$1)</f>
        <v>0</v>
      </c>
      <c r="O19" s="198">
        <f>SUMIFS('ноябрь 2023'!$G$4:$G$1127,'ноябрь 2023'!$D$4:$D$1127,$B19,'ноябрь 2023'!$J$4:$J$1127,O$1)</f>
        <v>0</v>
      </c>
      <c r="P19" s="198">
        <f>SUMIFS('ноябрь 2023'!$G$4:$G$1127,'ноябрь 2023'!$D$4:$D$1127,$B19,'ноябрь 2023'!$J$4:$J$1127,P$1)</f>
        <v>0</v>
      </c>
      <c r="Q19" s="198">
        <f>SUMIFS('ноябрь 2023'!$G$4:$G$1127,'ноябрь 2023'!$D$4:$D$1127,$B19,'ноябрь 2023'!$J$4:$J$1127,Q$1)</f>
        <v>0</v>
      </c>
      <c r="R19" s="198">
        <f>SUMIFS('ноябрь 2023'!$G$4:$G$1127,'ноябрь 2023'!$D$4:$D$1127,$B19,'ноябрь 2023'!$J$4:$J$1127,R$1)</f>
        <v>0</v>
      </c>
      <c r="S19" s="198">
        <f>SUMIFS('ноябрь 2023'!$G$4:$G$1127,'ноябрь 2023'!$D$4:$D$1127,$B19,'ноябрь 2023'!$J$4:$J$1127,S$1)</f>
        <v>0</v>
      </c>
      <c r="T19" s="198">
        <f>SUMIFS('ноябрь 2023'!$G$4:$G$1127,'ноябрь 2023'!$D$4:$D$1127,$B19,'ноябрь 2023'!$J$4:$J$1127,T$1)</f>
        <v>1080</v>
      </c>
      <c r="U19" s="198">
        <f>SUMIFS('ноябрь 2023'!$G$4:$G$1127,'ноябрь 2023'!$D$4:$D$1127,$B19,'ноябрь 2023'!$J$4:$J$1127,U$1)</f>
        <v>0</v>
      </c>
      <c r="V19" s="198">
        <f>SUMIFS('ноябрь 2023'!$G$4:$G$1127,'ноябрь 2023'!$D$4:$D$1127,$B19,'ноябрь 2023'!$J$4:$J$1127,V$1)</f>
        <v>0</v>
      </c>
      <c r="W19" s="198">
        <f>SUMIFS('ноябрь 2023'!$G$4:$G$1127,'ноябрь 2023'!$D$4:$D$1127,$B19,'ноябрь 2023'!$J$4:$J$1127,W$1)</f>
        <v>800</v>
      </c>
      <c r="X19" s="198">
        <f>SUMIFS('ноябрь 2023'!$G$4:$G$1127,'ноябрь 2023'!$D$4:$D$1127,$B19,'ноябрь 2023'!$J$4:$J$1127,X$1)</f>
        <v>0</v>
      </c>
      <c r="Y19" s="198">
        <f>SUMIFS('ноябрь 2023'!$G$4:$G$1127,'ноябрь 2023'!$D$4:$D$1127,$B19,'ноябрь 2023'!$J$4:$J$1127,Y$1)</f>
        <v>0</v>
      </c>
      <c r="Z19" s="198">
        <f>SUMIFS('ноябрь 2023'!$G$4:$G$1127,'ноябрь 2023'!$D$4:$D$1127,$B19,'ноябрь 2023'!$J$4:$J$1127,Z$1)</f>
        <v>0</v>
      </c>
      <c r="AA19" s="198">
        <f>SUMIFS('ноябрь 2023'!$G$4:$G$1127,'ноябрь 2023'!$D$4:$D$1127,$B19,'ноябрь 2023'!$J$4:$J$1127,AA$1)</f>
        <v>0</v>
      </c>
      <c r="AB19" s="198">
        <f>SUMIFS('ноябрь 2023'!$G$4:$G$1127,'ноябрь 2023'!$D$4:$D$1127,$B19,'ноябрь 2023'!$J$4:$J$1127,AB$1)</f>
        <v>0</v>
      </c>
      <c r="AC19" s="198">
        <f>SUMIFS('ноябрь 2023'!$G$4:$G$1127,'ноябрь 2023'!$D$4:$D$1127,$B19,'ноябрь 2023'!$J$4:$J$1127,AC$1)</f>
        <v>0</v>
      </c>
      <c r="AD19" s="198">
        <f>SUMIFS('ноябрь 2023'!$G$4:$G$1127,'ноябрь 2023'!$D$4:$D$1127,$B19,'ноябрь 2023'!$J$4:$J$1127,AD$1)</f>
        <v>0</v>
      </c>
      <c r="AE19" s="198">
        <f>SUMIFS('ноябрь 2023'!$G$4:$G$1127,'ноябрь 2023'!$D$4:$D$1127,$B19,'ноябрь 2023'!$J$4:$J$1127,AE$1)</f>
        <v>1200</v>
      </c>
      <c r="AF19" s="198">
        <f>SUMIFS('ноябрь 2023'!$G$4:$G$1127,'ноябрь 2023'!$D$4:$D$1127,$B19,'ноябрь 2023'!$J$4:$J$1127,AF$1)</f>
        <v>0</v>
      </c>
      <c r="AG19" s="198">
        <f>SUMIFS('ноябрь 2023'!$G$4:$G$1127,'ноябрь 2023'!$D$4:$D$1127,$B19,'ноябрь 2023'!$J$4:$J$1127,AG$1)</f>
        <v>0</v>
      </c>
      <c r="AH19" s="198">
        <f>SUMIFS('ноябрь 2023'!$G$4:$G$1127,'ноябрь 2023'!$D$4:$D$1127,$B19,'ноябрь 2023'!$J$4:$J$1127,AH$1)</f>
        <v>0</v>
      </c>
      <c r="AI19" s="170">
        <f t="shared" si="1"/>
        <v>4600</v>
      </c>
    </row>
    <row r="20" spans="2:35" ht="15" customHeight="1" x14ac:dyDescent="0.25">
      <c r="B20" s="199" t="s">
        <v>445</v>
      </c>
      <c r="C20" s="200">
        <v>25</v>
      </c>
      <c r="D20" s="198">
        <f>SUMIFS('ноябрь 2023'!$G$4:$G$1127,'ноябрь 2023'!$D$4:$D$1127,$B20,'ноябрь 2023'!$J$4:$J$1127,D$1)</f>
        <v>0</v>
      </c>
      <c r="E20" s="198">
        <f>SUMIFS('ноябрь 2023'!$G$4:$G$1127,'ноябрь 2023'!$D$4:$D$1127,$B20,'ноябрь 2023'!$J$4:$J$1127,E$1)</f>
        <v>0</v>
      </c>
      <c r="F20" s="198">
        <f>SUMIFS('ноябрь 2023'!$G$4:$G$1127,'ноябрь 2023'!$D$4:$D$1127,$B20,'ноябрь 2023'!$J$4:$J$1127,F$1)</f>
        <v>0</v>
      </c>
      <c r="G20" s="198">
        <f>SUMIFS('ноябрь 2023'!$G$4:$G$1127,'ноябрь 2023'!$D$4:$D$1127,$B20,'ноябрь 2023'!$J$4:$J$1127,G$1)</f>
        <v>0</v>
      </c>
      <c r="H20" s="198">
        <f>SUMIFS('ноябрь 2023'!$G$4:$G$1127,'ноябрь 2023'!$D$4:$D$1127,$B20,'ноябрь 2023'!$J$4:$J$1127,H$1)</f>
        <v>0</v>
      </c>
      <c r="I20" s="198">
        <f>SUMIFS('ноябрь 2023'!$G$4:$G$1127,'ноябрь 2023'!$D$4:$D$1127,$B20,'ноябрь 2023'!$J$4:$J$1127,I$1)</f>
        <v>0</v>
      </c>
      <c r="J20" s="198">
        <f>SUMIFS('ноябрь 2023'!$G$4:$G$1127,'ноябрь 2023'!$D$4:$D$1127,$B20,'ноябрь 2023'!$J$4:$J$1127,J$1)</f>
        <v>0</v>
      </c>
      <c r="K20" s="198">
        <f>SUMIFS('ноябрь 2023'!$G$4:$G$1127,'ноябрь 2023'!$D$4:$D$1127,$B20,'ноябрь 2023'!$J$4:$J$1127,K$1)</f>
        <v>0</v>
      </c>
      <c r="L20" s="198">
        <f>SUMIFS('ноябрь 2023'!$G$4:$G$1127,'ноябрь 2023'!$D$4:$D$1127,$B20,'ноябрь 2023'!$J$4:$J$1127,L$1)</f>
        <v>0</v>
      </c>
      <c r="M20" s="198">
        <f>SUMIFS('ноябрь 2023'!$G$4:$G$1127,'ноябрь 2023'!$D$4:$D$1127,$B20,'ноябрь 2023'!$J$4:$J$1127,M$1)</f>
        <v>0</v>
      </c>
      <c r="N20" s="198">
        <f>SUMIFS('ноябрь 2023'!$G$4:$G$1127,'ноябрь 2023'!$D$4:$D$1127,$B20,'ноябрь 2023'!$J$4:$J$1127,N$1)</f>
        <v>0</v>
      </c>
      <c r="O20" s="198">
        <f>SUMIFS('ноябрь 2023'!$G$4:$G$1127,'ноябрь 2023'!$D$4:$D$1127,$B20,'ноябрь 2023'!$J$4:$J$1127,O$1)</f>
        <v>0</v>
      </c>
      <c r="P20" s="198">
        <f>SUMIFS('ноябрь 2023'!$G$4:$G$1127,'ноябрь 2023'!$D$4:$D$1127,$B20,'ноябрь 2023'!$J$4:$J$1127,P$1)</f>
        <v>0</v>
      </c>
      <c r="Q20" s="198">
        <f>SUMIFS('ноябрь 2023'!$G$4:$G$1127,'ноябрь 2023'!$D$4:$D$1127,$B20,'ноябрь 2023'!$J$4:$J$1127,Q$1)</f>
        <v>0</v>
      </c>
      <c r="R20" s="198">
        <f>SUMIFS('ноябрь 2023'!$G$4:$G$1127,'ноябрь 2023'!$D$4:$D$1127,$B20,'ноябрь 2023'!$J$4:$J$1127,R$1)</f>
        <v>0</v>
      </c>
      <c r="S20" s="198">
        <f>SUMIFS('ноябрь 2023'!$G$4:$G$1127,'ноябрь 2023'!$D$4:$D$1127,$B20,'ноябрь 2023'!$J$4:$J$1127,S$1)</f>
        <v>0</v>
      </c>
      <c r="T20" s="198">
        <f>SUMIFS('ноябрь 2023'!$G$4:$G$1127,'ноябрь 2023'!$D$4:$D$1127,$B20,'ноябрь 2023'!$J$4:$J$1127,T$1)</f>
        <v>0</v>
      </c>
      <c r="U20" s="198">
        <f>SUMIFS('ноябрь 2023'!$G$4:$G$1127,'ноябрь 2023'!$D$4:$D$1127,$B20,'ноябрь 2023'!$J$4:$J$1127,U$1)</f>
        <v>0</v>
      </c>
      <c r="V20" s="198">
        <f>SUMIFS('ноябрь 2023'!$G$4:$G$1127,'ноябрь 2023'!$D$4:$D$1127,$B20,'ноябрь 2023'!$J$4:$J$1127,V$1)</f>
        <v>0</v>
      </c>
      <c r="W20" s="198">
        <f>SUMIFS('ноябрь 2023'!$G$4:$G$1127,'ноябрь 2023'!$D$4:$D$1127,$B20,'ноябрь 2023'!$J$4:$J$1127,W$1)</f>
        <v>0</v>
      </c>
      <c r="X20" s="198">
        <f>SUMIFS('ноябрь 2023'!$G$4:$G$1127,'ноябрь 2023'!$D$4:$D$1127,$B20,'ноябрь 2023'!$J$4:$J$1127,X$1)</f>
        <v>0</v>
      </c>
      <c r="Y20" s="198">
        <f>SUMIFS('ноябрь 2023'!$G$4:$G$1127,'ноябрь 2023'!$D$4:$D$1127,$B20,'ноябрь 2023'!$J$4:$J$1127,Y$1)</f>
        <v>0</v>
      </c>
      <c r="Z20" s="198">
        <f>SUMIFS('ноябрь 2023'!$G$4:$G$1127,'ноябрь 2023'!$D$4:$D$1127,$B20,'ноябрь 2023'!$J$4:$J$1127,Z$1)</f>
        <v>0</v>
      </c>
      <c r="AA20" s="198">
        <f>SUMIFS('ноябрь 2023'!$G$4:$G$1127,'ноябрь 2023'!$D$4:$D$1127,$B20,'ноябрь 2023'!$J$4:$J$1127,AA$1)</f>
        <v>0</v>
      </c>
      <c r="AB20" s="198">
        <f>SUMIFS('ноябрь 2023'!$G$4:$G$1127,'ноябрь 2023'!$D$4:$D$1127,$B20,'ноябрь 2023'!$J$4:$J$1127,AB$1)</f>
        <v>0</v>
      </c>
      <c r="AC20" s="198">
        <f>SUMIFS('ноябрь 2023'!$G$4:$G$1127,'ноябрь 2023'!$D$4:$D$1127,$B20,'ноябрь 2023'!$J$4:$J$1127,AC$1)</f>
        <v>0</v>
      </c>
      <c r="AD20" s="198">
        <f>SUMIFS('ноябрь 2023'!$G$4:$G$1127,'ноябрь 2023'!$D$4:$D$1127,$B20,'ноябрь 2023'!$J$4:$J$1127,AD$1)</f>
        <v>0</v>
      </c>
      <c r="AE20" s="198">
        <f>SUMIFS('ноябрь 2023'!$G$4:$G$1127,'ноябрь 2023'!$D$4:$D$1127,$B20,'ноябрь 2023'!$J$4:$J$1127,AE$1)</f>
        <v>0</v>
      </c>
      <c r="AF20" s="198">
        <f>SUMIFS('ноябрь 2023'!$G$4:$G$1127,'ноябрь 2023'!$D$4:$D$1127,$B20,'ноябрь 2023'!$J$4:$J$1127,AF$1)</f>
        <v>0</v>
      </c>
      <c r="AG20" s="198">
        <f>SUMIFS('ноябрь 2023'!$G$4:$G$1127,'ноябрь 2023'!$D$4:$D$1127,$B20,'ноябрь 2023'!$J$4:$J$1127,AG$1)</f>
        <v>0</v>
      </c>
      <c r="AH20" s="198">
        <f>SUMIFS('ноябрь 2023'!$G$4:$G$1127,'ноябрь 2023'!$D$4:$D$1127,$B20,'ноябрь 2023'!$J$4:$J$1127,AH$1)</f>
        <v>0</v>
      </c>
      <c r="AI20" s="170">
        <f t="shared" si="1"/>
        <v>0</v>
      </c>
    </row>
    <row r="21" spans="2:35" ht="15" customHeight="1" x14ac:dyDescent="0.25">
      <c r="B21" s="202" t="s">
        <v>186</v>
      </c>
      <c r="C21" s="204">
        <v>22.68</v>
      </c>
      <c r="D21" s="198">
        <f>SUMIFS('ноябрь 2023'!$G$4:$G$1127,'ноябрь 2023'!$D$4:$D$1127,$B21,'ноябрь 2023'!$J$4:$J$1127,D$1)</f>
        <v>0</v>
      </c>
      <c r="E21" s="198">
        <f>SUMIFS('ноябрь 2023'!$G$4:$G$1127,'ноябрь 2023'!$D$4:$D$1127,$B21,'ноябрь 2023'!$J$4:$J$1127,E$1)</f>
        <v>0</v>
      </c>
      <c r="F21" s="198">
        <f>SUMIFS('ноябрь 2023'!$G$4:$G$1127,'ноябрь 2023'!$D$4:$D$1127,$B21,'ноябрь 2023'!$J$4:$J$1127,F$1)</f>
        <v>0</v>
      </c>
      <c r="G21" s="198">
        <f>SUMIFS('ноябрь 2023'!$G$4:$G$1127,'ноябрь 2023'!$D$4:$D$1127,$B21,'ноябрь 2023'!$J$4:$J$1127,G$1)</f>
        <v>0</v>
      </c>
      <c r="H21" s="198">
        <f>SUMIFS('ноябрь 2023'!$G$4:$G$1127,'ноябрь 2023'!$D$4:$D$1127,$B21,'ноябрь 2023'!$J$4:$J$1127,H$1)</f>
        <v>0</v>
      </c>
      <c r="I21" s="198">
        <f>SUMIFS('ноябрь 2023'!$G$4:$G$1127,'ноябрь 2023'!$D$4:$D$1127,$B21,'ноябрь 2023'!$J$4:$J$1127,I$1)</f>
        <v>0</v>
      </c>
      <c r="J21" s="198">
        <f>SUMIFS('ноябрь 2023'!$G$4:$G$1127,'ноябрь 2023'!$D$4:$D$1127,$B21,'ноябрь 2023'!$J$4:$J$1127,J$1)</f>
        <v>0</v>
      </c>
      <c r="K21" s="198">
        <f>SUMIFS('ноябрь 2023'!$G$4:$G$1127,'ноябрь 2023'!$D$4:$D$1127,$B21,'ноябрь 2023'!$J$4:$J$1127,K$1)</f>
        <v>0</v>
      </c>
      <c r="L21" s="198">
        <f>SUMIFS('ноябрь 2023'!$G$4:$G$1127,'ноябрь 2023'!$D$4:$D$1127,$B21,'ноябрь 2023'!$J$4:$J$1127,L$1)</f>
        <v>0</v>
      </c>
      <c r="M21" s="198">
        <f>SUMIFS('ноябрь 2023'!$G$4:$G$1127,'ноябрь 2023'!$D$4:$D$1127,$B21,'ноябрь 2023'!$J$4:$J$1127,M$1)</f>
        <v>0</v>
      </c>
      <c r="N21" s="198">
        <f>SUMIFS('ноябрь 2023'!$G$4:$G$1127,'ноябрь 2023'!$D$4:$D$1127,$B21,'ноябрь 2023'!$J$4:$J$1127,N$1)</f>
        <v>0</v>
      </c>
      <c r="O21" s="198">
        <f>SUMIFS('ноябрь 2023'!$G$4:$G$1127,'ноябрь 2023'!$D$4:$D$1127,$B21,'ноябрь 2023'!$J$4:$J$1127,O$1)</f>
        <v>0</v>
      </c>
      <c r="P21" s="198">
        <f>SUMIFS('ноябрь 2023'!$G$4:$G$1127,'ноябрь 2023'!$D$4:$D$1127,$B21,'ноябрь 2023'!$J$4:$J$1127,P$1)</f>
        <v>0</v>
      </c>
      <c r="Q21" s="198">
        <f>SUMIFS('ноябрь 2023'!$G$4:$G$1127,'ноябрь 2023'!$D$4:$D$1127,$B21,'ноябрь 2023'!$J$4:$J$1127,Q$1)</f>
        <v>0</v>
      </c>
      <c r="R21" s="198">
        <f>SUMIFS('ноябрь 2023'!$G$4:$G$1127,'ноябрь 2023'!$D$4:$D$1127,$B21,'ноябрь 2023'!$J$4:$J$1127,R$1)</f>
        <v>0</v>
      </c>
      <c r="S21" s="198">
        <f>SUMIFS('ноябрь 2023'!$G$4:$G$1127,'ноябрь 2023'!$D$4:$D$1127,$B21,'ноябрь 2023'!$J$4:$J$1127,S$1)</f>
        <v>0</v>
      </c>
      <c r="T21" s="198">
        <f>SUMIFS('ноябрь 2023'!$G$4:$G$1127,'ноябрь 2023'!$D$4:$D$1127,$B21,'ноябрь 2023'!$J$4:$J$1127,T$1)</f>
        <v>0</v>
      </c>
      <c r="U21" s="198">
        <f>SUMIFS('ноябрь 2023'!$G$4:$G$1127,'ноябрь 2023'!$D$4:$D$1127,$B21,'ноябрь 2023'!$J$4:$J$1127,U$1)</f>
        <v>0</v>
      </c>
      <c r="V21" s="198">
        <f>SUMIFS('ноябрь 2023'!$G$4:$G$1127,'ноябрь 2023'!$D$4:$D$1127,$B21,'ноябрь 2023'!$J$4:$J$1127,V$1)</f>
        <v>0</v>
      </c>
      <c r="W21" s="198">
        <f>SUMIFS('ноябрь 2023'!$G$4:$G$1127,'ноябрь 2023'!$D$4:$D$1127,$B21,'ноябрь 2023'!$J$4:$J$1127,W$1)</f>
        <v>0</v>
      </c>
      <c r="X21" s="198">
        <f>SUMIFS('ноябрь 2023'!$G$4:$G$1127,'ноябрь 2023'!$D$4:$D$1127,$B21,'ноябрь 2023'!$J$4:$J$1127,X$1)</f>
        <v>0</v>
      </c>
      <c r="Y21" s="198">
        <f>SUMIFS('ноябрь 2023'!$G$4:$G$1127,'ноябрь 2023'!$D$4:$D$1127,$B21,'ноябрь 2023'!$J$4:$J$1127,Y$1)</f>
        <v>0</v>
      </c>
      <c r="Z21" s="198">
        <f>SUMIFS('ноябрь 2023'!$G$4:$G$1127,'ноябрь 2023'!$D$4:$D$1127,$B21,'ноябрь 2023'!$J$4:$J$1127,Z$1)</f>
        <v>0</v>
      </c>
      <c r="AA21" s="198">
        <f>SUMIFS('ноябрь 2023'!$G$4:$G$1127,'ноябрь 2023'!$D$4:$D$1127,$B21,'ноябрь 2023'!$J$4:$J$1127,AA$1)</f>
        <v>0</v>
      </c>
      <c r="AB21" s="198">
        <f>SUMIFS('ноябрь 2023'!$G$4:$G$1127,'ноябрь 2023'!$D$4:$D$1127,$B21,'ноябрь 2023'!$J$4:$J$1127,AB$1)</f>
        <v>0</v>
      </c>
      <c r="AC21" s="198">
        <f>SUMIFS('ноябрь 2023'!$G$4:$G$1127,'ноябрь 2023'!$D$4:$D$1127,$B21,'ноябрь 2023'!$J$4:$J$1127,AC$1)</f>
        <v>0</v>
      </c>
      <c r="AD21" s="198">
        <f>SUMIFS('ноябрь 2023'!$G$4:$G$1127,'ноябрь 2023'!$D$4:$D$1127,$B21,'ноябрь 2023'!$J$4:$J$1127,AD$1)</f>
        <v>0</v>
      </c>
      <c r="AE21" s="198">
        <f>SUMIFS('ноябрь 2023'!$G$4:$G$1127,'ноябрь 2023'!$D$4:$D$1127,$B21,'ноябрь 2023'!$J$4:$J$1127,AE$1)</f>
        <v>0</v>
      </c>
      <c r="AF21" s="198">
        <f>SUMIFS('ноябрь 2023'!$G$4:$G$1127,'ноябрь 2023'!$D$4:$D$1127,$B21,'ноябрь 2023'!$J$4:$J$1127,AF$1)</f>
        <v>0</v>
      </c>
      <c r="AG21" s="198">
        <f>SUMIFS('ноябрь 2023'!$G$4:$G$1127,'ноябрь 2023'!$D$4:$D$1127,$B21,'ноябрь 2023'!$J$4:$J$1127,AG$1)</f>
        <v>0</v>
      </c>
      <c r="AH21" s="198">
        <f>SUMIFS('ноябрь 2023'!$G$4:$G$1127,'ноябрь 2023'!$D$4:$D$1127,$B21,'ноябрь 2023'!$J$4:$J$1127,AH$1)</f>
        <v>0</v>
      </c>
      <c r="AI21" s="170">
        <f t="shared" si="1"/>
        <v>0</v>
      </c>
    </row>
    <row r="22" spans="2:35" ht="15" hidden="1" customHeight="1" x14ac:dyDescent="0.25">
      <c r="B22" s="202"/>
      <c r="C22" s="200"/>
      <c r="D22" s="198">
        <f>SUMIFS('ноябрь 2023'!$G$4:$G$1127,'ноябрь 2023'!$D$4:$D$1127,$B22,'ноябрь 2023'!$J$4:$J$1127,D$1)</f>
        <v>0</v>
      </c>
      <c r="E22" s="198">
        <f>SUMIFS('ноябрь 2023'!$G$4:$G$1127,'ноябрь 2023'!$D$4:$D$1127,$B22,'ноябрь 2023'!$J$4:$J$1127,E$1)</f>
        <v>0</v>
      </c>
      <c r="F22" s="198">
        <f>SUMIFS('ноябрь 2023'!$G$4:$G$1127,'ноябрь 2023'!$D$4:$D$1127,$B22,'ноябрь 2023'!$J$4:$J$1127,F$1)</f>
        <v>0</v>
      </c>
      <c r="G22" s="198">
        <f>SUMIFS('ноябрь 2023'!$G$4:$G$1127,'ноябрь 2023'!$D$4:$D$1127,$B22,'ноябрь 2023'!$J$4:$J$1127,G$1)</f>
        <v>0</v>
      </c>
      <c r="H22" s="198">
        <f>SUMIFS('ноябрь 2023'!$G$4:$G$1127,'ноябрь 2023'!$D$4:$D$1127,$B22,'ноябрь 2023'!$J$4:$J$1127,H$1)</f>
        <v>0</v>
      </c>
      <c r="I22" s="198">
        <f>SUMIFS('ноябрь 2023'!$G$4:$G$1127,'ноябрь 2023'!$D$4:$D$1127,$B22,'ноябрь 2023'!$J$4:$J$1127,I$1)</f>
        <v>0</v>
      </c>
      <c r="J22" s="198">
        <f>SUMIFS('ноябрь 2023'!$G$4:$G$1127,'ноябрь 2023'!$D$4:$D$1127,$B22,'ноябрь 2023'!$J$4:$J$1127,J$1)</f>
        <v>0</v>
      </c>
      <c r="K22" s="198">
        <f>SUMIFS('ноябрь 2023'!$G$4:$G$1127,'ноябрь 2023'!$D$4:$D$1127,$B22,'ноябрь 2023'!$J$4:$J$1127,K$1)</f>
        <v>0</v>
      </c>
      <c r="L22" s="198">
        <f>SUMIFS('ноябрь 2023'!$G$4:$G$1127,'ноябрь 2023'!$D$4:$D$1127,$B22,'ноябрь 2023'!$J$4:$J$1127,L$1)</f>
        <v>0</v>
      </c>
      <c r="M22" s="198">
        <f>SUMIFS('ноябрь 2023'!$G$4:$G$1127,'ноябрь 2023'!$D$4:$D$1127,$B22,'ноябрь 2023'!$J$4:$J$1127,M$1)</f>
        <v>0</v>
      </c>
      <c r="N22" s="198">
        <f>SUMIFS('ноябрь 2023'!$G$4:$G$1127,'ноябрь 2023'!$D$4:$D$1127,$B22,'ноябрь 2023'!$J$4:$J$1127,N$1)</f>
        <v>0</v>
      </c>
      <c r="O22" s="198">
        <f>SUMIFS('ноябрь 2023'!$G$4:$G$1127,'ноябрь 2023'!$D$4:$D$1127,$B22,'ноябрь 2023'!$J$4:$J$1127,O$1)</f>
        <v>0</v>
      </c>
      <c r="P22" s="198">
        <f>SUMIFS('ноябрь 2023'!$G$4:$G$1127,'ноябрь 2023'!$D$4:$D$1127,$B22,'ноябрь 2023'!$J$4:$J$1127,P$1)</f>
        <v>0</v>
      </c>
      <c r="Q22" s="198">
        <f>SUMIFS('ноябрь 2023'!$G$4:$G$1127,'ноябрь 2023'!$D$4:$D$1127,$B22,'ноябрь 2023'!$J$4:$J$1127,Q$1)</f>
        <v>0</v>
      </c>
      <c r="R22" s="198">
        <f>SUMIFS('ноябрь 2023'!$G$4:$G$1127,'ноябрь 2023'!$D$4:$D$1127,$B22,'ноябрь 2023'!$J$4:$J$1127,R$1)</f>
        <v>0</v>
      </c>
      <c r="S22" s="198">
        <f>SUMIFS('ноябрь 2023'!$G$4:$G$1127,'ноябрь 2023'!$D$4:$D$1127,$B22,'ноябрь 2023'!$J$4:$J$1127,S$1)</f>
        <v>0</v>
      </c>
      <c r="T22" s="198">
        <f>SUMIFS('ноябрь 2023'!$G$4:$G$1127,'ноябрь 2023'!$D$4:$D$1127,$B22,'ноябрь 2023'!$J$4:$J$1127,T$1)</f>
        <v>0</v>
      </c>
      <c r="U22" s="198">
        <f>SUMIFS('ноябрь 2023'!$G$4:$G$1127,'ноябрь 2023'!$D$4:$D$1127,$B22,'ноябрь 2023'!$J$4:$J$1127,U$1)</f>
        <v>0</v>
      </c>
      <c r="V22" s="198">
        <f>SUMIFS('ноябрь 2023'!$G$4:$G$1127,'ноябрь 2023'!$D$4:$D$1127,$B22,'ноябрь 2023'!$J$4:$J$1127,V$1)</f>
        <v>0</v>
      </c>
      <c r="W22" s="198">
        <f>SUMIFS('ноябрь 2023'!$G$4:$G$1127,'ноябрь 2023'!$D$4:$D$1127,$B22,'ноябрь 2023'!$J$4:$J$1127,W$1)</f>
        <v>0</v>
      </c>
      <c r="X22" s="198">
        <f>SUMIFS('ноябрь 2023'!$G$4:$G$1127,'ноябрь 2023'!$D$4:$D$1127,$B22,'ноябрь 2023'!$J$4:$J$1127,X$1)</f>
        <v>0</v>
      </c>
      <c r="Y22" s="198">
        <f>SUMIFS('ноябрь 2023'!$G$4:$G$1127,'ноябрь 2023'!$D$4:$D$1127,$B22,'ноябрь 2023'!$J$4:$J$1127,Y$1)</f>
        <v>0</v>
      </c>
      <c r="Z22" s="198">
        <f>SUMIFS('ноябрь 2023'!$G$4:$G$1127,'ноябрь 2023'!$D$4:$D$1127,$B22,'ноябрь 2023'!$J$4:$J$1127,Z$1)</f>
        <v>0</v>
      </c>
      <c r="AA22" s="198">
        <f>SUMIFS('ноябрь 2023'!$G$4:$G$1127,'ноябрь 2023'!$D$4:$D$1127,$B22,'ноябрь 2023'!$J$4:$J$1127,AA$1)</f>
        <v>0</v>
      </c>
      <c r="AB22" s="198">
        <f>SUMIFS('ноябрь 2023'!$G$4:$G$1127,'ноябрь 2023'!$D$4:$D$1127,$B22,'ноябрь 2023'!$J$4:$J$1127,AB$1)</f>
        <v>0</v>
      </c>
      <c r="AC22" s="198">
        <f>SUMIFS('ноябрь 2023'!$G$4:$G$1127,'ноябрь 2023'!$D$4:$D$1127,$B22,'ноябрь 2023'!$J$4:$J$1127,AC$1)</f>
        <v>0</v>
      </c>
      <c r="AD22" s="198">
        <f>SUMIFS('ноябрь 2023'!$G$4:$G$1127,'ноябрь 2023'!$D$4:$D$1127,$B22,'ноябрь 2023'!$J$4:$J$1127,AD$1)</f>
        <v>0</v>
      </c>
      <c r="AE22" s="198">
        <f>SUMIFS('ноябрь 2023'!$G$4:$G$1127,'ноябрь 2023'!$D$4:$D$1127,$B22,'ноябрь 2023'!$J$4:$J$1127,AE$1)</f>
        <v>0</v>
      </c>
      <c r="AF22" s="198">
        <f>SUMIFS('ноябрь 2023'!$G$4:$G$1127,'ноябрь 2023'!$D$4:$D$1127,$B22,'ноябрь 2023'!$J$4:$J$1127,AF$1)</f>
        <v>0</v>
      </c>
      <c r="AG22" s="198">
        <f>SUMIFS('ноябрь 2023'!$G$4:$G$1127,'ноябрь 2023'!$D$4:$D$1127,$B22,'ноябрь 2023'!$J$4:$J$1127,AG$1)</f>
        <v>0</v>
      </c>
      <c r="AH22" s="198">
        <f>SUMIFS('ноябрь 2023'!$G$4:$G$1127,'ноябрь 2023'!$D$4:$D$1127,$B22,'ноябрь 2023'!$J$4:$J$1127,AH$1)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SUMIFS('ноябрь 2023'!$G$4:$G$1127,'ноябрь 2023'!$D$4:$D$1127,$B23,'ноябрь 2023'!$J$4:$J$1127,D$1)</f>
        <v>0</v>
      </c>
      <c r="E23" s="198">
        <f>SUMIFS('ноябрь 2023'!$G$4:$G$1127,'ноябрь 2023'!$D$4:$D$1127,$B23,'ноябрь 2023'!$J$4:$J$1127,E$1)</f>
        <v>0</v>
      </c>
      <c r="F23" s="198">
        <f>SUMIFS('ноябрь 2023'!$G$4:$G$1127,'ноябрь 2023'!$D$4:$D$1127,$B23,'ноябрь 2023'!$J$4:$J$1127,F$1)</f>
        <v>0</v>
      </c>
      <c r="G23" s="198">
        <f>SUMIFS('ноябрь 2023'!$G$4:$G$1127,'ноябрь 2023'!$D$4:$D$1127,$B23,'ноябрь 2023'!$J$4:$J$1127,G$1)</f>
        <v>0</v>
      </c>
      <c r="H23" s="198">
        <f>SUMIFS('ноябрь 2023'!$G$4:$G$1127,'ноябрь 2023'!$D$4:$D$1127,$B23,'ноябрь 2023'!$J$4:$J$1127,H$1)</f>
        <v>0</v>
      </c>
      <c r="I23" s="198">
        <f>SUMIFS('ноябрь 2023'!$G$4:$G$1127,'ноябрь 2023'!$D$4:$D$1127,$B23,'ноябрь 2023'!$J$4:$J$1127,I$1)</f>
        <v>0</v>
      </c>
      <c r="J23" s="198">
        <f>SUMIFS('ноябрь 2023'!$G$4:$G$1127,'ноябрь 2023'!$D$4:$D$1127,$B23,'ноябрь 2023'!$J$4:$J$1127,J$1)</f>
        <v>0</v>
      </c>
      <c r="K23" s="198">
        <f>SUMIFS('ноябрь 2023'!$G$4:$G$1127,'ноябрь 2023'!$D$4:$D$1127,$B23,'ноябрь 2023'!$J$4:$J$1127,K$1)</f>
        <v>0</v>
      </c>
      <c r="L23" s="198">
        <f>SUMIFS('ноябрь 2023'!$G$4:$G$1127,'ноябрь 2023'!$D$4:$D$1127,$B23,'ноябрь 2023'!$J$4:$J$1127,L$1)</f>
        <v>0</v>
      </c>
      <c r="M23" s="198">
        <f>SUMIFS('ноябрь 2023'!$G$4:$G$1127,'ноябрь 2023'!$D$4:$D$1127,$B23,'ноябрь 2023'!$J$4:$J$1127,M$1)</f>
        <v>0</v>
      </c>
      <c r="N23" s="198">
        <f>SUMIFS('ноябрь 2023'!$G$4:$G$1127,'ноябрь 2023'!$D$4:$D$1127,$B23,'ноябрь 2023'!$J$4:$J$1127,N$1)</f>
        <v>0</v>
      </c>
      <c r="O23" s="198">
        <f>SUMIFS('ноябрь 2023'!$G$4:$G$1127,'ноябрь 2023'!$D$4:$D$1127,$B23,'ноябрь 2023'!$J$4:$J$1127,O$1)</f>
        <v>0</v>
      </c>
      <c r="P23" s="198">
        <f>SUMIFS('ноябрь 2023'!$G$4:$G$1127,'ноябрь 2023'!$D$4:$D$1127,$B23,'ноябрь 2023'!$J$4:$J$1127,P$1)</f>
        <v>0</v>
      </c>
      <c r="Q23" s="198">
        <f>SUMIFS('ноябрь 2023'!$G$4:$G$1127,'ноябрь 2023'!$D$4:$D$1127,$B23,'ноябрь 2023'!$J$4:$J$1127,Q$1)</f>
        <v>0</v>
      </c>
      <c r="R23" s="198">
        <f>SUMIFS('ноябрь 2023'!$G$4:$G$1127,'ноябрь 2023'!$D$4:$D$1127,$B23,'ноябрь 2023'!$J$4:$J$1127,R$1)</f>
        <v>0</v>
      </c>
      <c r="S23" s="198">
        <f>SUMIFS('ноябрь 2023'!$G$4:$G$1127,'ноябрь 2023'!$D$4:$D$1127,$B23,'ноябрь 2023'!$J$4:$J$1127,S$1)</f>
        <v>0</v>
      </c>
      <c r="T23" s="198">
        <f>SUMIFS('ноябрь 2023'!$G$4:$G$1127,'ноябрь 2023'!$D$4:$D$1127,$B23,'ноябрь 2023'!$J$4:$J$1127,T$1)</f>
        <v>0</v>
      </c>
      <c r="U23" s="198">
        <f>SUMIFS('ноябрь 2023'!$G$4:$G$1127,'ноябрь 2023'!$D$4:$D$1127,$B23,'ноябрь 2023'!$J$4:$J$1127,U$1)</f>
        <v>0</v>
      </c>
      <c r="V23" s="198">
        <f>SUMIFS('ноябрь 2023'!$G$4:$G$1127,'ноябрь 2023'!$D$4:$D$1127,$B23,'ноябрь 2023'!$J$4:$J$1127,V$1)</f>
        <v>0</v>
      </c>
      <c r="W23" s="198">
        <f>SUMIFS('ноябрь 2023'!$G$4:$G$1127,'ноябрь 2023'!$D$4:$D$1127,$B23,'ноябрь 2023'!$J$4:$J$1127,W$1)</f>
        <v>0</v>
      </c>
      <c r="X23" s="198">
        <f>SUMIFS('ноябрь 2023'!$G$4:$G$1127,'ноябрь 2023'!$D$4:$D$1127,$B23,'ноябрь 2023'!$J$4:$J$1127,X$1)</f>
        <v>0</v>
      </c>
      <c r="Y23" s="198">
        <f>SUMIFS('ноябрь 2023'!$G$4:$G$1127,'ноябрь 2023'!$D$4:$D$1127,$B23,'ноябрь 2023'!$J$4:$J$1127,Y$1)</f>
        <v>0</v>
      </c>
      <c r="Z23" s="198">
        <f>SUMIFS('ноябрь 2023'!$G$4:$G$1127,'ноябрь 2023'!$D$4:$D$1127,$B23,'ноябрь 2023'!$J$4:$J$1127,Z$1)</f>
        <v>0</v>
      </c>
      <c r="AA23" s="198">
        <f>SUMIFS('ноябрь 2023'!$G$4:$G$1127,'ноябрь 2023'!$D$4:$D$1127,$B23,'ноябрь 2023'!$J$4:$J$1127,AA$1)</f>
        <v>0</v>
      </c>
      <c r="AB23" s="198">
        <f>SUMIFS('ноябрь 2023'!$G$4:$G$1127,'ноябрь 2023'!$D$4:$D$1127,$B23,'ноябрь 2023'!$J$4:$J$1127,AB$1)</f>
        <v>0</v>
      </c>
      <c r="AC23" s="198">
        <f>SUMIFS('ноябрь 2023'!$G$4:$G$1127,'ноябрь 2023'!$D$4:$D$1127,$B23,'ноябрь 2023'!$J$4:$J$1127,AC$1)</f>
        <v>0</v>
      </c>
      <c r="AD23" s="198">
        <f>SUMIFS('ноябрь 2023'!$G$4:$G$1127,'ноябрь 2023'!$D$4:$D$1127,$B23,'ноябрь 2023'!$J$4:$J$1127,AD$1)</f>
        <v>0</v>
      </c>
      <c r="AE23" s="198">
        <f>SUMIFS('ноябрь 2023'!$G$4:$G$1127,'ноябрь 2023'!$D$4:$D$1127,$B23,'ноябрь 2023'!$J$4:$J$1127,AE$1)</f>
        <v>0</v>
      </c>
      <c r="AF23" s="198">
        <f>SUMIFS('ноябрь 2023'!$G$4:$G$1127,'ноябрь 2023'!$D$4:$D$1127,$B23,'ноябрь 2023'!$J$4:$J$1127,AF$1)</f>
        <v>0</v>
      </c>
      <c r="AG23" s="198">
        <f>SUMIFS('ноябрь 2023'!$G$4:$G$1127,'ноябрь 2023'!$D$4:$D$1127,$B23,'ноябрь 2023'!$J$4:$J$1127,AG$1)</f>
        <v>0</v>
      </c>
      <c r="AH23" s="198">
        <f>SUMIFS('ноябрь 2023'!$G$4:$G$1127,'ноябрь 2023'!$D$4:$D$1127,$B23,'ноябрь 2023'!$J$4:$J$1127,AH$1)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SUMIFS('ноябрь 2023'!$G$4:$G$1127,'ноябрь 2023'!$D$4:$D$1127,$B24,'ноябрь 2023'!$J$4:$J$1127,D$1)</f>
        <v>0</v>
      </c>
      <c r="E24" s="198">
        <f>SUMIFS('ноябрь 2023'!$G$4:$G$1127,'ноябрь 2023'!$D$4:$D$1127,$B24,'ноябрь 2023'!$J$4:$J$1127,E$1)</f>
        <v>0</v>
      </c>
      <c r="F24" s="198">
        <f>SUMIFS('ноябрь 2023'!$G$4:$G$1127,'ноябрь 2023'!$D$4:$D$1127,$B24,'ноябрь 2023'!$J$4:$J$1127,F$1)</f>
        <v>0</v>
      </c>
      <c r="G24" s="198">
        <f>SUMIFS('ноябрь 2023'!$G$4:$G$1127,'ноябрь 2023'!$D$4:$D$1127,$B24,'ноябрь 2023'!$J$4:$J$1127,G$1)</f>
        <v>0</v>
      </c>
      <c r="H24" s="198">
        <f>SUMIFS('ноябрь 2023'!$G$4:$G$1127,'ноябрь 2023'!$D$4:$D$1127,$B24,'ноябрь 2023'!$J$4:$J$1127,H$1)</f>
        <v>0</v>
      </c>
      <c r="I24" s="198">
        <f>SUMIFS('ноябрь 2023'!$G$4:$G$1127,'ноябрь 2023'!$D$4:$D$1127,$B24,'ноябрь 2023'!$J$4:$J$1127,I$1)</f>
        <v>0</v>
      </c>
      <c r="J24" s="198">
        <f>SUMIFS('ноябрь 2023'!$G$4:$G$1127,'ноябрь 2023'!$D$4:$D$1127,$B24,'ноябрь 2023'!$J$4:$J$1127,J$1)</f>
        <v>0</v>
      </c>
      <c r="K24" s="198">
        <f>SUMIFS('ноябрь 2023'!$G$4:$G$1127,'ноябрь 2023'!$D$4:$D$1127,$B24,'ноябрь 2023'!$J$4:$J$1127,K$1)</f>
        <v>0</v>
      </c>
      <c r="L24" s="198">
        <f>SUMIFS('ноябрь 2023'!$G$4:$G$1127,'ноябрь 2023'!$D$4:$D$1127,$B24,'ноябрь 2023'!$J$4:$J$1127,L$1)</f>
        <v>0</v>
      </c>
      <c r="M24" s="198">
        <f>SUMIFS('ноябрь 2023'!$G$4:$G$1127,'ноябрь 2023'!$D$4:$D$1127,$B24,'ноябрь 2023'!$J$4:$J$1127,M$1)</f>
        <v>0</v>
      </c>
      <c r="N24" s="198">
        <f>SUMIFS('ноябрь 2023'!$G$4:$G$1127,'ноябрь 2023'!$D$4:$D$1127,$B24,'ноябрь 2023'!$J$4:$J$1127,N$1)</f>
        <v>0</v>
      </c>
      <c r="O24" s="198">
        <f>SUMIFS('ноябрь 2023'!$G$4:$G$1127,'ноябрь 2023'!$D$4:$D$1127,$B24,'ноябрь 2023'!$J$4:$J$1127,O$1)</f>
        <v>0</v>
      </c>
      <c r="P24" s="198">
        <f>SUMIFS('ноябрь 2023'!$G$4:$G$1127,'ноябрь 2023'!$D$4:$D$1127,$B24,'ноябрь 2023'!$J$4:$J$1127,P$1)</f>
        <v>0</v>
      </c>
      <c r="Q24" s="198">
        <f>SUMIFS('ноябрь 2023'!$G$4:$G$1127,'ноябрь 2023'!$D$4:$D$1127,$B24,'ноябрь 2023'!$J$4:$J$1127,Q$1)</f>
        <v>0</v>
      </c>
      <c r="R24" s="198">
        <f>SUMIFS('ноябрь 2023'!$G$4:$G$1127,'ноябрь 2023'!$D$4:$D$1127,$B24,'ноябрь 2023'!$J$4:$J$1127,R$1)</f>
        <v>0</v>
      </c>
      <c r="S24" s="198">
        <f>SUMIFS('ноябрь 2023'!$G$4:$G$1127,'ноябрь 2023'!$D$4:$D$1127,$B24,'ноябрь 2023'!$J$4:$J$1127,S$1)</f>
        <v>0</v>
      </c>
      <c r="T24" s="198">
        <f>SUMIFS('ноябрь 2023'!$G$4:$G$1127,'ноябрь 2023'!$D$4:$D$1127,$B24,'ноябрь 2023'!$J$4:$J$1127,T$1)</f>
        <v>0</v>
      </c>
      <c r="U24" s="198">
        <f>SUMIFS('ноябрь 2023'!$G$4:$G$1127,'ноябрь 2023'!$D$4:$D$1127,$B24,'ноябрь 2023'!$J$4:$J$1127,U$1)</f>
        <v>0</v>
      </c>
      <c r="V24" s="198">
        <f>SUMIFS('ноябрь 2023'!$G$4:$G$1127,'ноябрь 2023'!$D$4:$D$1127,$B24,'ноябрь 2023'!$J$4:$J$1127,V$1)</f>
        <v>0</v>
      </c>
      <c r="W24" s="198">
        <f>SUMIFS('ноябрь 2023'!$G$4:$G$1127,'ноябрь 2023'!$D$4:$D$1127,$B24,'ноябрь 2023'!$J$4:$J$1127,W$1)</f>
        <v>0</v>
      </c>
      <c r="X24" s="198">
        <f>SUMIFS('ноябрь 2023'!$G$4:$G$1127,'ноябрь 2023'!$D$4:$D$1127,$B24,'ноябрь 2023'!$J$4:$J$1127,X$1)</f>
        <v>0</v>
      </c>
      <c r="Y24" s="198">
        <f>SUMIFS('ноябрь 2023'!$G$4:$G$1127,'ноябрь 2023'!$D$4:$D$1127,$B24,'ноябрь 2023'!$J$4:$J$1127,Y$1)</f>
        <v>0</v>
      </c>
      <c r="Z24" s="198">
        <f>SUMIFS('ноябрь 2023'!$G$4:$G$1127,'ноябрь 2023'!$D$4:$D$1127,$B24,'ноябрь 2023'!$J$4:$J$1127,Z$1)</f>
        <v>0</v>
      </c>
      <c r="AA24" s="198">
        <f>SUMIFS('ноябрь 2023'!$G$4:$G$1127,'ноябрь 2023'!$D$4:$D$1127,$B24,'ноябрь 2023'!$J$4:$J$1127,AA$1)</f>
        <v>0</v>
      </c>
      <c r="AB24" s="198">
        <f>SUMIFS('ноябрь 2023'!$G$4:$G$1127,'ноябрь 2023'!$D$4:$D$1127,$B24,'ноябрь 2023'!$J$4:$J$1127,AB$1)</f>
        <v>0</v>
      </c>
      <c r="AC24" s="198">
        <f>SUMIFS('ноябрь 2023'!$G$4:$G$1127,'ноябрь 2023'!$D$4:$D$1127,$B24,'ноябрь 2023'!$J$4:$J$1127,AC$1)</f>
        <v>0</v>
      </c>
      <c r="AD24" s="198">
        <f>SUMIFS('ноябрь 2023'!$G$4:$G$1127,'ноябрь 2023'!$D$4:$D$1127,$B24,'ноябрь 2023'!$J$4:$J$1127,AD$1)</f>
        <v>0</v>
      </c>
      <c r="AE24" s="198">
        <f>SUMIFS('ноябрь 2023'!$G$4:$G$1127,'ноябрь 2023'!$D$4:$D$1127,$B24,'ноябрь 2023'!$J$4:$J$1127,AE$1)</f>
        <v>0</v>
      </c>
      <c r="AF24" s="198">
        <f>SUMIFS('ноябрь 2023'!$G$4:$G$1127,'ноябрь 2023'!$D$4:$D$1127,$B24,'ноябрь 2023'!$J$4:$J$1127,AF$1)</f>
        <v>0</v>
      </c>
      <c r="AG24" s="198">
        <f>SUMIFS('ноябрь 2023'!$G$4:$G$1127,'ноябрь 2023'!$D$4:$D$1127,$B24,'ноябрь 2023'!$J$4:$J$1127,AG$1)</f>
        <v>0</v>
      </c>
      <c r="AH24" s="198">
        <f>SUMIFS('ноябрь 2023'!$G$4:$G$1127,'ноябрь 2023'!$D$4:$D$1127,$B24,'ноябрь 2023'!$J$4:$J$1127,AH$1)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SUMIFS('ноябрь 2023'!$G$4:$G$1127,'ноябрь 2023'!$D$4:$D$1127,$B25,'ноябрь 2023'!$J$4:$J$1127,D$1)</f>
        <v>0</v>
      </c>
      <c r="E25" s="198">
        <f>SUMIFS('ноябрь 2023'!$G$4:$G$1127,'ноябрь 2023'!$D$4:$D$1127,$B25,'ноябрь 2023'!$J$4:$J$1127,E$1)</f>
        <v>0</v>
      </c>
      <c r="F25" s="198">
        <f>SUMIFS('ноябрь 2023'!$G$4:$G$1127,'ноябрь 2023'!$D$4:$D$1127,$B25,'ноябрь 2023'!$J$4:$J$1127,F$1)</f>
        <v>0</v>
      </c>
      <c r="G25" s="198">
        <f>SUMIFS('ноябрь 2023'!$G$4:$G$1127,'ноябрь 2023'!$D$4:$D$1127,$B25,'ноябрь 2023'!$J$4:$J$1127,G$1)</f>
        <v>0</v>
      </c>
      <c r="H25" s="198">
        <f>SUMIFS('ноябрь 2023'!$G$4:$G$1127,'ноябрь 2023'!$D$4:$D$1127,$B25,'ноябрь 2023'!$J$4:$J$1127,H$1)</f>
        <v>0</v>
      </c>
      <c r="I25" s="198">
        <f>SUMIFS('ноябрь 2023'!$G$4:$G$1127,'ноябрь 2023'!$D$4:$D$1127,$B25,'ноябрь 2023'!$J$4:$J$1127,I$1)</f>
        <v>0</v>
      </c>
      <c r="J25" s="198">
        <f>SUMIFS('ноябрь 2023'!$G$4:$G$1127,'ноябрь 2023'!$D$4:$D$1127,$B25,'ноябрь 2023'!$J$4:$J$1127,J$1)</f>
        <v>0</v>
      </c>
      <c r="K25" s="198">
        <f>SUMIFS('ноябрь 2023'!$G$4:$G$1127,'ноябрь 2023'!$D$4:$D$1127,$B25,'ноябрь 2023'!$J$4:$J$1127,K$1)</f>
        <v>0</v>
      </c>
      <c r="L25" s="198">
        <f>SUMIFS('ноябрь 2023'!$G$4:$G$1127,'ноябрь 2023'!$D$4:$D$1127,$B25,'ноябрь 2023'!$J$4:$J$1127,L$1)</f>
        <v>0</v>
      </c>
      <c r="M25" s="198">
        <f>SUMIFS('ноябрь 2023'!$G$4:$G$1127,'ноябрь 2023'!$D$4:$D$1127,$B25,'ноябрь 2023'!$J$4:$J$1127,M$1)</f>
        <v>0</v>
      </c>
      <c r="N25" s="198">
        <f>SUMIFS('ноябрь 2023'!$G$4:$G$1127,'ноябрь 2023'!$D$4:$D$1127,$B25,'ноябрь 2023'!$J$4:$J$1127,N$1)</f>
        <v>0</v>
      </c>
      <c r="O25" s="198">
        <f>SUMIFS('ноябрь 2023'!$G$4:$G$1127,'ноябрь 2023'!$D$4:$D$1127,$B25,'ноябрь 2023'!$J$4:$J$1127,O$1)</f>
        <v>0</v>
      </c>
      <c r="P25" s="198">
        <f>SUMIFS('ноябрь 2023'!$G$4:$G$1127,'ноябрь 2023'!$D$4:$D$1127,$B25,'ноябрь 2023'!$J$4:$J$1127,P$1)</f>
        <v>0</v>
      </c>
      <c r="Q25" s="198">
        <f>SUMIFS('ноябрь 2023'!$G$4:$G$1127,'ноябрь 2023'!$D$4:$D$1127,$B25,'ноябрь 2023'!$J$4:$J$1127,Q$1)</f>
        <v>0</v>
      </c>
      <c r="R25" s="198">
        <f>SUMIFS('ноябрь 2023'!$G$4:$G$1127,'ноябрь 2023'!$D$4:$D$1127,$B25,'ноябрь 2023'!$J$4:$J$1127,R$1)</f>
        <v>0</v>
      </c>
      <c r="S25" s="198">
        <f>SUMIFS('ноябрь 2023'!$G$4:$G$1127,'ноябрь 2023'!$D$4:$D$1127,$B25,'ноябрь 2023'!$J$4:$J$1127,S$1)</f>
        <v>0</v>
      </c>
      <c r="T25" s="198">
        <f>SUMIFS('ноябрь 2023'!$G$4:$G$1127,'ноябрь 2023'!$D$4:$D$1127,$B25,'ноябрь 2023'!$J$4:$J$1127,T$1)</f>
        <v>0</v>
      </c>
      <c r="U25" s="198">
        <f>SUMIFS('ноябрь 2023'!$G$4:$G$1127,'ноябрь 2023'!$D$4:$D$1127,$B25,'ноябрь 2023'!$J$4:$J$1127,U$1)</f>
        <v>0</v>
      </c>
      <c r="V25" s="198">
        <f>SUMIFS('ноябрь 2023'!$G$4:$G$1127,'ноябрь 2023'!$D$4:$D$1127,$B25,'ноябрь 2023'!$J$4:$J$1127,V$1)</f>
        <v>0</v>
      </c>
      <c r="W25" s="198">
        <f>SUMIFS('ноябрь 2023'!$G$4:$G$1127,'ноябрь 2023'!$D$4:$D$1127,$B25,'ноябрь 2023'!$J$4:$J$1127,W$1)</f>
        <v>0</v>
      </c>
      <c r="X25" s="198">
        <f>SUMIFS('ноябрь 2023'!$G$4:$G$1127,'ноябрь 2023'!$D$4:$D$1127,$B25,'ноябрь 2023'!$J$4:$J$1127,X$1)</f>
        <v>0</v>
      </c>
      <c r="Y25" s="198">
        <f>SUMIFS('ноябрь 2023'!$G$4:$G$1127,'ноябрь 2023'!$D$4:$D$1127,$B25,'ноябрь 2023'!$J$4:$J$1127,Y$1)</f>
        <v>0</v>
      </c>
      <c r="Z25" s="198">
        <f>SUMIFS('ноябрь 2023'!$G$4:$G$1127,'ноябрь 2023'!$D$4:$D$1127,$B25,'ноябрь 2023'!$J$4:$J$1127,Z$1)</f>
        <v>0</v>
      </c>
      <c r="AA25" s="198">
        <f>SUMIFS('ноябрь 2023'!$G$4:$G$1127,'ноябрь 2023'!$D$4:$D$1127,$B25,'ноябрь 2023'!$J$4:$J$1127,AA$1)</f>
        <v>0</v>
      </c>
      <c r="AB25" s="198">
        <f>SUMIFS('ноябрь 2023'!$G$4:$G$1127,'ноябрь 2023'!$D$4:$D$1127,$B25,'ноябрь 2023'!$J$4:$J$1127,AB$1)</f>
        <v>0</v>
      </c>
      <c r="AC25" s="198">
        <f>SUMIFS('ноябрь 2023'!$G$4:$G$1127,'ноябрь 2023'!$D$4:$D$1127,$B25,'ноябрь 2023'!$J$4:$J$1127,AC$1)</f>
        <v>0</v>
      </c>
      <c r="AD25" s="198">
        <f>SUMIFS('ноябрь 2023'!$G$4:$G$1127,'ноябрь 2023'!$D$4:$D$1127,$B25,'ноябрь 2023'!$J$4:$J$1127,AD$1)</f>
        <v>0</v>
      </c>
      <c r="AE25" s="198">
        <f>SUMIFS('ноябрь 2023'!$G$4:$G$1127,'ноябрь 2023'!$D$4:$D$1127,$B25,'ноябрь 2023'!$J$4:$J$1127,AE$1)</f>
        <v>0</v>
      </c>
      <c r="AF25" s="198">
        <f>SUMIFS('ноябрь 2023'!$G$4:$G$1127,'ноябрь 2023'!$D$4:$D$1127,$B25,'ноябрь 2023'!$J$4:$J$1127,AF$1)</f>
        <v>0</v>
      </c>
      <c r="AG25" s="198">
        <f>SUMIFS('ноябрь 2023'!$G$4:$G$1127,'ноябрь 2023'!$D$4:$D$1127,$B25,'ноябрь 2023'!$J$4:$J$1127,AG$1)</f>
        <v>0</v>
      </c>
      <c r="AH25" s="198">
        <f>SUMIFS('ноябрь 2023'!$G$4:$G$1127,'ноябрь 2023'!$D$4:$D$1127,$B25,'ноябрь 2023'!$J$4:$J$1127,AH$1)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SUMIFS('ноябрь 2023'!$G$4:$G$1127,'ноябрь 2023'!$D$4:$D$1127,$B26,'ноябрь 2023'!$J$4:$J$1127,D$1)</f>
        <v>0</v>
      </c>
      <c r="E26" s="198">
        <f>SUMIFS('ноябрь 2023'!$G$4:$G$1127,'ноябрь 2023'!$D$4:$D$1127,$B26,'ноябрь 2023'!$J$4:$J$1127,E$1)</f>
        <v>0</v>
      </c>
      <c r="F26" s="198">
        <f>SUMIFS('ноябрь 2023'!$G$4:$G$1127,'ноябрь 2023'!$D$4:$D$1127,$B26,'ноябрь 2023'!$J$4:$J$1127,F$1)</f>
        <v>0</v>
      </c>
      <c r="G26" s="198">
        <f>SUMIFS('ноябрь 2023'!$G$4:$G$1127,'ноябрь 2023'!$D$4:$D$1127,$B26,'ноябрь 2023'!$J$4:$J$1127,G$1)</f>
        <v>0</v>
      </c>
      <c r="H26" s="198">
        <f>SUMIFS('ноябрь 2023'!$G$4:$G$1127,'ноябрь 2023'!$D$4:$D$1127,$B26,'ноябрь 2023'!$J$4:$J$1127,H$1)</f>
        <v>0</v>
      </c>
      <c r="I26" s="198">
        <f>SUMIFS('ноябрь 2023'!$G$4:$G$1127,'ноябрь 2023'!$D$4:$D$1127,$B26,'ноябрь 2023'!$J$4:$J$1127,I$1)</f>
        <v>0</v>
      </c>
      <c r="J26" s="198">
        <f>SUMIFS('ноябрь 2023'!$G$4:$G$1127,'ноябрь 2023'!$D$4:$D$1127,$B26,'ноябрь 2023'!$J$4:$J$1127,J$1)</f>
        <v>0</v>
      </c>
      <c r="K26" s="198">
        <f>SUMIFS('ноябрь 2023'!$G$4:$G$1127,'ноябрь 2023'!$D$4:$D$1127,$B26,'ноябрь 2023'!$J$4:$J$1127,K$1)</f>
        <v>0</v>
      </c>
      <c r="L26" s="198">
        <f>SUMIFS('ноябрь 2023'!$G$4:$G$1127,'ноябрь 2023'!$D$4:$D$1127,$B26,'ноябрь 2023'!$J$4:$J$1127,L$1)</f>
        <v>0</v>
      </c>
      <c r="M26" s="198">
        <f>SUMIFS('ноябрь 2023'!$G$4:$G$1127,'ноябрь 2023'!$D$4:$D$1127,$B26,'ноябрь 2023'!$J$4:$J$1127,M$1)</f>
        <v>0</v>
      </c>
      <c r="N26" s="198">
        <f>SUMIFS('ноябрь 2023'!$G$4:$G$1127,'ноябрь 2023'!$D$4:$D$1127,$B26,'ноябрь 2023'!$J$4:$J$1127,N$1)</f>
        <v>0</v>
      </c>
      <c r="O26" s="198">
        <f>SUMIFS('ноябрь 2023'!$G$4:$G$1127,'ноябрь 2023'!$D$4:$D$1127,$B26,'ноябрь 2023'!$J$4:$J$1127,O$1)</f>
        <v>0</v>
      </c>
      <c r="P26" s="198">
        <f>SUMIFS('ноябрь 2023'!$G$4:$G$1127,'ноябрь 2023'!$D$4:$D$1127,$B26,'ноябрь 2023'!$J$4:$J$1127,P$1)</f>
        <v>0</v>
      </c>
      <c r="Q26" s="198">
        <f>SUMIFS('ноябрь 2023'!$G$4:$G$1127,'ноябрь 2023'!$D$4:$D$1127,$B26,'ноябрь 2023'!$J$4:$J$1127,Q$1)</f>
        <v>0</v>
      </c>
      <c r="R26" s="198">
        <f>SUMIFS('ноябрь 2023'!$G$4:$G$1127,'ноябрь 2023'!$D$4:$D$1127,$B26,'ноябрь 2023'!$J$4:$J$1127,R$1)</f>
        <v>0</v>
      </c>
      <c r="S26" s="198">
        <f>SUMIFS('ноябрь 2023'!$G$4:$G$1127,'ноябрь 2023'!$D$4:$D$1127,$B26,'ноябрь 2023'!$J$4:$J$1127,S$1)</f>
        <v>0</v>
      </c>
      <c r="T26" s="198">
        <f>SUMIFS('ноябрь 2023'!$G$4:$G$1127,'ноябрь 2023'!$D$4:$D$1127,$B26,'ноябрь 2023'!$J$4:$J$1127,T$1)</f>
        <v>0</v>
      </c>
      <c r="U26" s="198">
        <f>SUMIFS('ноябрь 2023'!$G$4:$G$1127,'ноябрь 2023'!$D$4:$D$1127,$B26,'ноябрь 2023'!$J$4:$J$1127,U$1)</f>
        <v>0</v>
      </c>
      <c r="V26" s="198">
        <f>SUMIFS('ноябрь 2023'!$G$4:$G$1127,'ноябрь 2023'!$D$4:$D$1127,$B26,'ноябрь 2023'!$J$4:$J$1127,V$1)</f>
        <v>0</v>
      </c>
      <c r="W26" s="198">
        <f>SUMIFS('ноябрь 2023'!$G$4:$G$1127,'ноябрь 2023'!$D$4:$D$1127,$B26,'ноябрь 2023'!$J$4:$J$1127,W$1)</f>
        <v>0</v>
      </c>
      <c r="X26" s="198">
        <f>SUMIFS('ноябрь 2023'!$G$4:$G$1127,'ноябрь 2023'!$D$4:$D$1127,$B26,'ноябрь 2023'!$J$4:$J$1127,X$1)</f>
        <v>0</v>
      </c>
      <c r="Y26" s="198">
        <f>SUMIFS('ноябрь 2023'!$G$4:$G$1127,'ноябрь 2023'!$D$4:$D$1127,$B26,'ноябрь 2023'!$J$4:$J$1127,Y$1)</f>
        <v>0</v>
      </c>
      <c r="Z26" s="198">
        <f>SUMIFS('ноябрь 2023'!$G$4:$G$1127,'ноябрь 2023'!$D$4:$D$1127,$B26,'ноябрь 2023'!$J$4:$J$1127,Z$1)</f>
        <v>0</v>
      </c>
      <c r="AA26" s="198">
        <f>SUMIFS('ноябрь 2023'!$G$4:$G$1127,'ноябрь 2023'!$D$4:$D$1127,$B26,'ноябрь 2023'!$J$4:$J$1127,AA$1)</f>
        <v>0</v>
      </c>
      <c r="AB26" s="198">
        <f>SUMIFS('ноябрь 2023'!$G$4:$G$1127,'ноябрь 2023'!$D$4:$D$1127,$B26,'ноябрь 2023'!$J$4:$J$1127,AB$1)</f>
        <v>0</v>
      </c>
      <c r="AC26" s="198">
        <f>SUMIFS('ноябрь 2023'!$G$4:$G$1127,'ноябрь 2023'!$D$4:$D$1127,$B26,'ноябрь 2023'!$J$4:$J$1127,AC$1)</f>
        <v>0</v>
      </c>
      <c r="AD26" s="198">
        <f>SUMIFS('ноябрь 2023'!$G$4:$G$1127,'ноябрь 2023'!$D$4:$D$1127,$B26,'ноябрь 2023'!$J$4:$J$1127,AD$1)</f>
        <v>0</v>
      </c>
      <c r="AE26" s="198">
        <f>SUMIFS('ноябрь 2023'!$G$4:$G$1127,'ноябрь 2023'!$D$4:$D$1127,$B26,'ноябрь 2023'!$J$4:$J$1127,AE$1)</f>
        <v>0</v>
      </c>
      <c r="AF26" s="198">
        <f>SUMIFS('ноябрь 2023'!$G$4:$G$1127,'ноябрь 2023'!$D$4:$D$1127,$B26,'ноябрь 2023'!$J$4:$J$1127,AF$1)</f>
        <v>0</v>
      </c>
      <c r="AG26" s="198">
        <f>SUMIFS('ноябрь 2023'!$G$4:$G$1127,'ноябрь 2023'!$D$4:$D$1127,$B26,'ноябрь 2023'!$J$4:$J$1127,AG$1)</f>
        <v>0</v>
      </c>
      <c r="AH26" s="198">
        <f>SUMIFS('ноябрь 2023'!$G$4:$G$1127,'ноябрь 2023'!$D$4:$D$1127,$B26,'ноябрь 2023'!$J$4:$J$1127,AH$1)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SUMIFS('ноябрь 2023'!$G$4:$G$1127,'ноябрь 2023'!$D$4:$D$1127,$B27,'ноябрь 2023'!$J$4:$J$1127,D$1)</f>
        <v>0</v>
      </c>
      <c r="E27" s="198">
        <f>SUMIFS('ноябрь 2023'!$G$4:$G$1127,'ноябрь 2023'!$D$4:$D$1127,$B27,'ноябрь 2023'!$J$4:$J$1127,E$1)</f>
        <v>0</v>
      </c>
      <c r="F27" s="198">
        <f>SUMIFS('ноябрь 2023'!$G$4:$G$1127,'ноябрь 2023'!$D$4:$D$1127,$B27,'ноябрь 2023'!$J$4:$J$1127,F$1)</f>
        <v>0</v>
      </c>
      <c r="G27" s="198">
        <f>SUMIFS('ноябрь 2023'!$G$4:$G$1127,'ноябрь 2023'!$D$4:$D$1127,$B27,'ноябрь 2023'!$J$4:$J$1127,G$1)</f>
        <v>0</v>
      </c>
      <c r="H27" s="198">
        <f>SUMIFS('ноябрь 2023'!$G$4:$G$1127,'ноябрь 2023'!$D$4:$D$1127,$B27,'ноябрь 2023'!$J$4:$J$1127,H$1)</f>
        <v>0</v>
      </c>
      <c r="I27" s="198">
        <f>SUMIFS('ноябрь 2023'!$G$4:$G$1127,'ноябрь 2023'!$D$4:$D$1127,$B27,'ноябрь 2023'!$J$4:$J$1127,I$1)</f>
        <v>0</v>
      </c>
      <c r="J27" s="198">
        <f>SUMIFS('ноябрь 2023'!$G$4:$G$1127,'ноябрь 2023'!$D$4:$D$1127,$B27,'ноябрь 2023'!$J$4:$J$1127,J$1)</f>
        <v>0</v>
      </c>
      <c r="K27" s="198">
        <f>SUMIFS('ноябрь 2023'!$G$4:$G$1127,'ноябрь 2023'!$D$4:$D$1127,$B27,'ноябрь 2023'!$J$4:$J$1127,K$1)</f>
        <v>0</v>
      </c>
      <c r="L27" s="198">
        <f>SUMIFS('ноябрь 2023'!$G$4:$G$1127,'ноябрь 2023'!$D$4:$D$1127,$B27,'ноябрь 2023'!$J$4:$J$1127,L$1)</f>
        <v>0</v>
      </c>
      <c r="M27" s="198">
        <f>SUMIFS('ноябрь 2023'!$G$4:$G$1127,'ноябрь 2023'!$D$4:$D$1127,$B27,'ноябрь 2023'!$J$4:$J$1127,M$1)</f>
        <v>0</v>
      </c>
      <c r="N27" s="198">
        <f>SUMIFS('ноябрь 2023'!$G$4:$G$1127,'ноябрь 2023'!$D$4:$D$1127,$B27,'ноябрь 2023'!$J$4:$J$1127,N$1)</f>
        <v>0</v>
      </c>
      <c r="O27" s="198">
        <f>SUMIFS('ноябрь 2023'!$G$4:$G$1127,'ноябрь 2023'!$D$4:$D$1127,$B27,'ноябрь 2023'!$J$4:$J$1127,O$1)</f>
        <v>0</v>
      </c>
      <c r="P27" s="198">
        <f>SUMIFS('ноябрь 2023'!$G$4:$G$1127,'ноябрь 2023'!$D$4:$D$1127,$B27,'ноябрь 2023'!$J$4:$J$1127,P$1)</f>
        <v>0</v>
      </c>
      <c r="Q27" s="198">
        <f>SUMIFS('ноябрь 2023'!$G$4:$G$1127,'ноябрь 2023'!$D$4:$D$1127,$B27,'ноябрь 2023'!$J$4:$J$1127,Q$1)</f>
        <v>0</v>
      </c>
      <c r="R27" s="198">
        <f>SUMIFS('ноябрь 2023'!$G$4:$G$1127,'ноябрь 2023'!$D$4:$D$1127,$B27,'ноябрь 2023'!$J$4:$J$1127,R$1)</f>
        <v>0</v>
      </c>
      <c r="S27" s="198">
        <f>SUMIFS('ноябрь 2023'!$G$4:$G$1127,'ноябрь 2023'!$D$4:$D$1127,$B27,'ноябрь 2023'!$J$4:$J$1127,S$1)</f>
        <v>0</v>
      </c>
      <c r="T27" s="198">
        <f>SUMIFS('ноябрь 2023'!$G$4:$G$1127,'ноябрь 2023'!$D$4:$D$1127,$B27,'ноябрь 2023'!$J$4:$J$1127,T$1)</f>
        <v>0</v>
      </c>
      <c r="U27" s="198">
        <f>SUMIFS('ноябрь 2023'!$G$4:$G$1127,'ноябрь 2023'!$D$4:$D$1127,$B27,'ноябрь 2023'!$J$4:$J$1127,U$1)</f>
        <v>0</v>
      </c>
      <c r="V27" s="198">
        <f>SUMIFS('ноябрь 2023'!$G$4:$G$1127,'ноябрь 2023'!$D$4:$D$1127,$B27,'ноябрь 2023'!$J$4:$J$1127,V$1)</f>
        <v>0</v>
      </c>
      <c r="W27" s="198">
        <f>SUMIFS('ноябрь 2023'!$G$4:$G$1127,'ноябрь 2023'!$D$4:$D$1127,$B27,'ноябрь 2023'!$J$4:$J$1127,W$1)</f>
        <v>0</v>
      </c>
      <c r="X27" s="198">
        <f>SUMIFS('ноябрь 2023'!$G$4:$G$1127,'ноябрь 2023'!$D$4:$D$1127,$B27,'ноябрь 2023'!$J$4:$J$1127,X$1)</f>
        <v>0</v>
      </c>
      <c r="Y27" s="198">
        <f>SUMIFS('ноябрь 2023'!$G$4:$G$1127,'ноябрь 2023'!$D$4:$D$1127,$B27,'ноябрь 2023'!$J$4:$J$1127,Y$1)</f>
        <v>0</v>
      </c>
      <c r="Z27" s="198">
        <f>SUMIFS('ноябрь 2023'!$G$4:$G$1127,'ноябрь 2023'!$D$4:$D$1127,$B27,'ноябрь 2023'!$J$4:$J$1127,Z$1)</f>
        <v>0</v>
      </c>
      <c r="AA27" s="198">
        <f>SUMIFS('ноябрь 2023'!$G$4:$G$1127,'ноябрь 2023'!$D$4:$D$1127,$B27,'ноябрь 2023'!$J$4:$J$1127,AA$1)</f>
        <v>0</v>
      </c>
      <c r="AB27" s="198">
        <f>SUMIFS('ноябрь 2023'!$G$4:$G$1127,'ноябрь 2023'!$D$4:$D$1127,$B27,'ноябрь 2023'!$J$4:$J$1127,AB$1)</f>
        <v>0</v>
      </c>
      <c r="AC27" s="198">
        <f>SUMIFS('ноябрь 2023'!$G$4:$G$1127,'ноябрь 2023'!$D$4:$D$1127,$B27,'ноябрь 2023'!$J$4:$J$1127,AC$1)</f>
        <v>0</v>
      </c>
      <c r="AD27" s="198">
        <f>SUMIFS('ноябрь 2023'!$G$4:$G$1127,'ноябрь 2023'!$D$4:$D$1127,$B27,'ноябрь 2023'!$J$4:$J$1127,AD$1)</f>
        <v>0</v>
      </c>
      <c r="AE27" s="198">
        <f>SUMIFS('ноябрь 2023'!$G$4:$G$1127,'ноябрь 2023'!$D$4:$D$1127,$B27,'ноябрь 2023'!$J$4:$J$1127,AE$1)</f>
        <v>0</v>
      </c>
      <c r="AF27" s="198">
        <f>SUMIFS('ноябрь 2023'!$G$4:$G$1127,'ноябрь 2023'!$D$4:$D$1127,$B27,'ноябрь 2023'!$J$4:$J$1127,AF$1)</f>
        <v>0</v>
      </c>
      <c r="AG27" s="198">
        <f>SUMIFS('ноябрь 2023'!$G$4:$G$1127,'ноябрь 2023'!$D$4:$D$1127,$B27,'ноябрь 2023'!$J$4:$J$1127,AG$1)</f>
        <v>0</v>
      </c>
      <c r="AH27" s="198">
        <f>SUMIFS('ноябрь 2023'!$G$4:$G$1127,'ноябрь 2023'!$D$4:$D$1127,$B27,'ноябрь 2023'!$J$4:$J$1127,AH$1)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SUMIFS('ноябрь 2023'!$G$4:$G$1127,'ноябрь 2023'!$D$4:$D$1127,$B28,'ноябрь 2023'!$J$4:$J$1127,D$1)</f>
        <v>0</v>
      </c>
      <c r="E28" s="198">
        <f>SUMIFS('ноябрь 2023'!$G$4:$G$1127,'ноябрь 2023'!$D$4:$D$1127,$B28,'ноябрь 2023'!$J$4:$J$1127,E$1)</f>
        <v>0</v>
      </c>
      <c r="F28" s="198">
        <f>SUMIFS('ноябрь 2023'!$G$4:$G$1127,'ноябрь 2023'!$D$4:$D$1127,$B28,'ноябрь 2023'!$J$4:$J$1127,F$1)</f>
        <v>0</v>
      </c>
      <c r="G28" s="198">
        <f>SUMIFS('ноябрь 2023'!$G$4:$G$1127,'ноябрь 2023'!$D$4:$D$1127,$B28,'ноябрь 2023'!$J$4:$J$1127,G$1)</f>
        <v>0</v>
      </c>
      <c r="H28" s="198">
        <f>SUMIFS('ноябрь 2023'!$G$4:$G$1127,'ноябрь 2023'!$D$4:$D$1127,$B28,'ноябрь 2023'!$J$4:$J$1127,H$1)</f>
        <v>0</v>
      </c>
      <c r="I28" s="198">
        <f>SUMIFS('ноябрь 2023'!$G$4:$G$1127,'ноябрь 2023'!$D$4:$D$1127,$B28,'ноябрь 2023'!$J$4:$J$1127,I$1)</f>
        <v>0</v>
      </c>
      <c r="J28" s="198">
        <f>SUMIFS('ноябрь 2023'!$G$4:$G$1127,'ноябрь 2023'!$D$4:$D$1127,$B28,'ноябрь 2023'!$J$4:$J$1127,J$1)</f>
        <v>0</v>
      </c>
      <c r="K28" s="198">
        <f>SUMIFS('ноябрь 2023'!$G$4:$G$1127,'ноябрь 2023'!$D$4:$D$1127,$B28,'ноябрь 2023'!$J$4:$J$1127,K$1)</f>
        <v>0</v>
      </c>
      <c r="L28" s="198">
        <f>SUMIFS('ноябрь 2023'!$G$4:$G$1127,'ноябрь 2023'!$D$4:$D$1127,$B28,'ноябрь 2023'!$J$4:$J$1127,L$1)</f>
        <v>0</v>
      </c>
      <c r="M28" s="198">
        <f>SUMIFS('ноябрь 2023'!$G$4:$G$1127,'ноябрь 2023'!$D$4:$D$1127,$B28,'ноябрь 2023'!$J$4:$J$1127,M$1)</f>
        <v>0</v>
      </c>
      <c r="N28" s="198">
        <f>SUMIFS('ноябрь 2023'!$G$4:$G$1127,'ноябрь 2023'!$D$4:$D$1127,$B28,'ноябрь 2023'!$J$4:$J$1127,N$1)</f>
        <v>0</v>
      </c>
      <c r="O28" s="198">
        <f>SUMIFS('ноябрь 2023'!$G$4:$G$1127,'ноябрь 2023'!$D$4:$D$1127,$B28,'ноябрь 2023'!$J$4:$J$1127,O$1)</f>
        <v>0</v>
      </c>
      <c r="P28" s="198">
        <f>SUMIFS('ноябрь 2023'!$G$4:$G$1127,'ноябрь 2023'!$D$4:$D$1127,$B28,'ноябрь 2023'!$J$4:$J$1127,P$1)</f>
        <v>0</v>
      </c>
      <c r="Q28" s="198">
        <f>SUMIFS('ноябрь 2023'!$G$4:$G$1127,'ноябрь 2023'!$D$4:$D$1127,$B28,'ноябрь 2023'!$J$4:$J$1127,Q$1)</f>
        <v>0</v>
      </c>
      <c r="R28" s="198">
        <f>SUMIFS('ноябрь 2023'!$G$4:$G$1127,'ноябрь 2023'!$D$4:$D$1127,$B28,'ноябрь 2023'!$J$4:$J$1127,R$1)</f>
        <v>0</v>
      </c>
      <c r="S28" s="198">
        <f>SUMIFS('ноябрь 2023'!$G$4:$G$1127,'ноябрь 2023'!$D$4:$D$1127,$B28,'ноябрь 2023'!$J$4:$J$1127,S$1)</f>
        <v>0</v>
      </c>
      <c r="T28" s="198">
        <f>SUMIFS('ноябрь 2023'!$G$4:$G$1127,'ноябрь 2023'!$D$4:$D$1127,$B28,'ноябрь 2023'!$J$4:$J$1127,T$1)</f>
        <v>0</v>
      </c>
      <c r="U28" s="198">
        <f>SUMIFS('ноябрь 2023'!$G$4:$G$1127,'ноябрь 2023'!$D$4:$D$1127,$B28,'ноябрь 2023'!$J$4:$J$1127,U$1)</f>
        <v>0</v>
      </c>
      <c r="V28" s="198">
        <f>SUMIFS('ноябрь 2023'!$G$4:$G$1127,'ноябрь 2023'!$D$4:$D$1127,$B28,'ноябрь 2023'!$J$4:$J$1127,V$1)</f>
        <v>0</v>
      </c>
      <c r="W28" s="198">
        <f>SUMIFS('ноябрь 2023'!$G$4:$G$1127,'ноябрь 2023'!$D$4:$D$1127,$B28,'ноябрь 2023'!$J$4:$J$1127,W$1)</f>
        <v>0</v>
      </c>
      <c r="X28" s="198">
        <f>SUMIFS('ноябрь 2023'!$G$4:$G$1127,'ноябрь 2023'!$D$4:$D$1127,$B28,'ноябрь 2023'!$J$4:$J$1127,X$1)</f>
        <v>0</v>
      </c>
      <c r="Y28" s="198">
        <f>SUMIFS('ноябрь 2023'!$G$4:$G$1127,'ноябрь 2023'!$D$4:$D$1127,$B28,'ноябрь 2023'!$J$4:$J$1127,Y$1)</f>
        <v>0</v>
      </c>
      <c r="Z28" s="198">
        <f>SUMIFS('ноябрь 2023'!$G$4:$G$1127,'ноябрь 2023'!$D$4:$D$1127,$B28,'ноябрь 2023'!$J$4:$J$1127,Z$1)</f>
        <v>0</v>
      </c>
      <c r="AA28" s="198">
        <f>SUMIFS('ноябрь 2023'!$G$4:$G$1127,'ноябрь 2023'!$D$4:$D$1127,$B28,'ноябрь 2023'!$J$4:$J$1127,AA$1)</f>
        <v>0</v>
      </c>
      <c r="AB28" s="198">
        <f>SUMIFS('ноябрь 2023'!$G$4:$G$1127,'ноябрь 2023'!$D$4:$D$1127,$B28,'ноябрь 2023'!$J$4:$J$1127,AB$1)</f>
        <v>0</v>
      </c>
      <c r="AC28" s="198">
        <f>SUMIFS('ноябрь 2023'!$G$4:$G$1127,'ноябрь 2023'!$D$4:$D$1127,$B28,'ноябрь 2023'!$J$4:$J$1127,AC$1)</f>
        <v>0</v>
      </c>
      <c r="AD28" s="198">
        <f>SUMIFS('ноябрь 2023'!$G$4:$G$1127,'ноябрь 2023'!$D$4:$D$1127,$B28,'ноябрь 2023'!$J$4:$J$1127,AD$1)</f>
        <v>0</v>
      </c>
      <c r="AE28" s="198">
        <f>SUMIFS('ноябрь 2023'!$G$4:$G$1127,'ноябрь 2023'!$D$4:$D$1127,$B28,'ноябрь 2023'!$J$4:$J$1127,AE$1)</f>
        <v>0</v>
      </c>
      <c r="AF28" s="198">
        <f>SUMIFS('ноябрь 2023'!$G$4:$G$1127,'ноябрь 2023'!$D$4:$D$1127,$B28,'ноябрь 2023'!$J$4:$J$1127,AF$1)</f>
        <v>0</v>
      </c>
      <c r="AG28" s="198">
        <f>SUMIFS('ноябрь 2023'!$G$4:$G$1127,'ноябрь 2023'!$D$4:$D$1127,$B28,'ноябрь 2023'!$J$4:$J$1127,AG$1)</f>
        <v>0</v>
      </c>
      <c r="AH28" s="198">
        <f>SUMIFS('ноябрь 2023'!$G$4:$G$1127,'ноябрь 2023'!$D$4:$D$1127,$B28,'ноябрь 2023'!$J$4:$J$1127,AH$1)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SUMIFS('ноябрь 2023'!$G$4:$G$1127,'ноябрь 2023'!$D$4:$D$1127,$B29,'ноябрь 2023'!$J$4:$J$1127,D$1)</f>
        <v>0</v>
      </c>
      <c r="E29" s="198">
        <f>SUMIFS('ноябрь 2023'!$G$4:$G$1127,'ноябрь 2023'!$D$4:$D$1127,$B29,'ноябрь 2023'!$J$4:$J$1127,E$1)</f>
        <v>0</v>
      </c>
      <c r="F29" s="198">
        <f>SUMIFS('ноябрь 2023'!$G$4:$G$1127,'ноябрь 2023'!$D$4:$D$1127,$B29,'ноябрь 2023'!$J$4:$J$1127,F$1)</f>
        <v>0</v>
      </c>
      <c r="G29" s="198">
        <f>SUMIFS('ноябрь 2023'!$G$4:$G$1127,'ноябрь 2023'!$D$4:$D$1127,$B29,'ноябрь 2023'!$J$4:$J$1127,G$1)</f>
        <v>0</v>
      </c>
      <c r="H29" s="198">
        <f>SUMIFS('ноябрь 2023'!$G$4:$G$1127,'ноябрь 2023'!$D$4:$D$1127,$B29,'ноябрь 2023'!$J$4:$J$1127,H$1)</f>
        <v>0</v>
      </c>
      <c r="I29" s="198">
        <f>SUMIFS('ноябрь 2023'!$G$4:$G$1127,'ноябрь 2023'!$D$4:$D$1127,$B29,'ноябрь 2023'!$J$4:$J$1127,I$1)</f>
        <v>0</v>
      </c>
      <c r="J29" s="198">
        <f>SUMIFS('ноябрь 2023'!$G$4:$G$1127,'ноябрь 2023'!$D$4:$D$1127,$B29,'ноябрь 2023'!$J$4:$J$1127,J$1)</f>
        <v>0</v>
      </c>
      <c r="K29" s="198">
        <f>SUMIFS('ноябрь 2023'!$G$4:$G$1127,'ноябрь 2023'!$D$4:$D$1127,$B29,'ноябрь 2023'!$J$4:$J$1127,K$1)</f>
        <v>0</v>
      </c>
      <c r="L29" s="198">
        <f>SUMIFS('ноябрь 2023'!$G$4:$G$1127,'ноябрь 2023'!$D$4:$D$1127,$B29,'ноябрь 2023'!$J$4:$J$1127,L$1)</f>
        <v>0</v>
      </c>
      <c r="M29" s="198">
        <f>SUMIFS('ноябрь 2023'!$G$4:$G$1127,'ноябрь 2023'!$D$4:$D$1127,$B29,'ноябрь 2023'!$J$4:$J$1127,M$1)</f>
        <v>0</v>
      </c>
      <c r="N29" s="198">
        <f>SUMIFS('ноябрь 2023'!$G$4:$G$1127,'ноябрь 2023'!$D$4:$D$1127,$B29,'ноябрь 2023'!$J$4:$J$1127,N$1)</f>
        <v>0</v>
      </c>
      <c r="O29" s="198">
        <f>SUMIFS('ноябрь 2023'!$G$4:$G$1127,'ноябрь 2023'!$D$4:$D$1127,$B29,'ноябрь 2023'!$J$4:$J$1127,O$1)</f>
        <v>0</v>
      </c>
      <c r="P29" s="198">
        <f>SUMIFS('ноябрь 2023'!$G$4:$G$1127,'ноябрь 2023'!$D$4:$D$1127,$B29,'ноябрь 2023'!$J$4:$J$1127,P$1)</f>
        <v>0</v>
      </c>
      <c r="Q29" s="198">
        <f>SUMIFS('ноябрь 2023'!$G$4:$G$1127,'ноябрь 2023'!$D$4:$D$1127,$B29,'ноябрь 2023'!$J$4:$J$1127,Q$1)</f>
        <v>0</v>
      </c>
      <c r="R29" s="198">
        <f>SUMIFS('ноябрь 2023'!$G$4:$G$1127,'ноябрь 2023'!$D$4:$D$1127,$B29,'ноябрь 2023'!$J$4:$J$1127,R$1)</f>
        <v>0</v>
      </c>
      <c r="S29" s="198">
        <f>SUMIFS('ноябрь 2023'!$G$4:$G$1127,'ноябрь 2023'!$D$4:$D$1127,$B29,'ноябрь 2023'!$J$4:$J$1127,S$1)</f>
        <v>0</v>
      </c>
      <c r="T29" s="198">
        <f>SUMIFS('ноябрь 2023'!$G$4:$G$1127,'ноябрь 2023'!$D$4:$D$1127,$B29,'ноябрь 2023'!$J$4:$J$1127,T$1)</f>
        <v>0</v>
      </c>
      <c r="U29" s="198">
        <f>SUMIFS('ноябрь 2023'!$G$4:$G$1127,'ноябрь 2023'!$D$4:$D$1127,$B29,'ноябрь 2023'!$J$4:$J$1127,U$1)</f>
        <v>0</v>
      </c>
      <c r="V29" s="198">
        <f>SUMIFS('ноябрь 2023'!$G$4:$G$1127,'ноябрь 2023'!$D$4:$D$1127,$B29,'ноябрь 2023'!$J$4:$J$1127,V$1)</f>
        <v>0</v>
      </c>
      <c r="W29" s="198">
        <f>SUMIFS('ноябрь 2023'!$G$4:$G$1127,'ноябрь 2023'!$D$4:$D$1127,$B29,'ноябрь 2023'!$J$4:$J$1127,W$1)</f>
        <v>0</v>
      </c>
      <c r="X29" s="198">
        <f>SUMIFS('ноябрь 2023'!$G$4:$G$1127,'ноябрь 2023'!$D$4:$D$1127,$B29,'ноябрь 2023'!$J$4:$J$1127,X$1)</f>
        <v>0</v>
      </c>
      <c r="Y29" s="198">
        <f>SUMIFS('ноябрь 2023'!$G$4:$G$1127,'ноябрь 2023'!$D$4:$D$1127,$B29,'ноябрь 2023'!$J$4:$J$1127,Y$1)</f>
        <v>0</v>
      </c>
      <c r="Z29" s="198">
        <f>SUMIFS('ноябрь 2023'!$G$4:$G$1127,'ноябрь 2023'!$D$4:$D$1127,$B29,'ноябрь 2023'!$J$4:$J$1127,Z$1)</f>
        <v>0</v>
      </c>
      <c r="AA29" s="198">
        <f>SUMIFS('ноябрь 2023'!$G$4:$G$1127,'ноябрь 2023'!$D$4:$D$1127,$B29,'ноябрь 2023'!$J$4:$J$1127,AA$1)</f>
        <v>0</v>
      </c>
      <c r="AB29" s="198">
        <f>SUMIFS('ноябрь 2023'!$G$4:$G$1127,'ноябрь 2023'!$D$4:$D$1127,$B29,'ноябрь 2023'!$J$4:$J$1127,AB$1)</f>
        <v>0</v>
      </c>
      <c r="AC29" s="198">
        <f>SUMIFS('ноябрь 2023'!$G$4:$G$1127,'ноябрь 2023'!$D$4:$D$1127,$B29,'ноябрь 2023'!$J$4:$J$1127,AC$1)</f>
        <v>0</v>
      </c>
      <c r="AD29" s="198">
        <f>SUMIFS('ноябрь 2023'!$G$4:$G$1127,'ноябрь 2023'!$D$4:$D$1127,$B29,'ноябрь 2023'!$J$4:$J$1127,AD$1)</f>
        <v>0</v>
      </c>
      <c r="AE29" s="198">
        <f>SUMIFS('ноябрь 2023'!$G$4:$G$1127,'ноябрь 2023'!$D$4:$D$1127,$B29,'ноябрь 2023'!$J$4:$J$1127,AE$1)</f>
        <v>0</v>
      </c>
      <c r="AF29" s="198">
        <f>SUMIFS('ноябрь 2023'!$G$4:$G$1127,'ноябрь 2023'!$D$4:$D$1127,$B29,'ноябрь 2023'!$J$4:$J$1127,AF$1)</f>
        <v>0</v>
      </c>
      <c r="AG29" s="198">
        <f>SUMIFS('ноябрь 2023'!$G$4:$G$1127,'ноябрь 2023'!$D$4:$D$1127,$B29,'ноябрь 2023'!$J$4:$J$1127,AG$1)</f>
        <v>0</v>
      </c>
      <c r="AH29" s="198">
        <f>SUMIFS('ноябрь 2023'!$G$4:$G$1127,'ноябрь 2023'!$D$4:$D$1127,$B29,'ноябрь 2023'!$J$4:$J$1127,AH$1)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SUMIFS('ноябрь 2023'!$G$4:$G$1127,'ноябрь 2023'!$D$4:$D$1127,$B30,'ноябрь 2023'!$J$4:$J$1127,D$1)</f>
        <v>0</v>
      </c>
      <c r="E30" s="198">
        <f>SUMIFS('ноябрь 2023'!$G$4:$G$1127,'ноябрь 2023'!$D$4:$D$1127,$B30,'ноябрь 2023'!$J$4:$J$1127,E$1)</f>
        <v>0</v>
      </c>
      <c r="F30" s="198">
        <f>SUMIFS('ноябрь 2023'!$G$4:$G$1127,'ноябрь 2023'!$D$4:$D$1127,$B30,'ноябрь 2023'!$J$4:$J$1127,F$1)</f>
        <v>0</v>
      </c>
      <c r="G30" s="198">
        <f>SUMIFS('ноябрь 2023'!$G$4:$G$1127,'ноябрь 2023'!$D$4:$D$1127,$B30,'ноябрь 2023'!$J$4:$J$1127,G$1)</f>
        <v>0</v>
      </c>
      <c r="H30" s="198">
        <f>SUMIFS('ноябрь 2023'!$G$4:$G$1127,'ноябрь 2023'!$D$4:$D$1127,$B30,'ноябрь 2023'!$J$4:$J$1127,H$1)</f>
        <v>0</v>
      </c>
      <c r="I30" s="198">
        <f>SUMIFS('ноябрь 2023'!$G$4:$G$1127,'ноябрь 2023'!$D$4:$D$1127,$B30,'ноябрь 2023'!$J$4:$J$1127,I$1)</f>
        <v>0</v>
      </c>
      <c r="J30" s="198">
        <f>SUMIFS('ноябрь 2023'!$G$4:$G$1127,'ноябрь 2023'!$D$4:$D$1127,$B30,'ноябрь 2023'!$J$4:$J$1127,J$1)</f>
        <v>0</v>
      </c>
      <c r="K30" s="198">
        <f>SUMIFS('ноябрь 2023'!$G$4:$G$1127,'ноябрь 2023'!$D$4:$D$1127,$B30,'ноябрь 2023'!$J$4:$J$1127,K$1)</f>
        <v>0</v>
      </c>
      <c r="L30" s="198">
        <f>SUMIFS('ноябрь 2023'!$G$4:$G$1127,'ноябрь 2023'!$D$4:$D$1127,$B30,'ноябрь 2023'!$J$4:$J$1127,L$1)</f>
        <v>0</v>
      </c>
      <c r="M30" s="198">
        <f>SUMIFS('ноябрь 2023'!$G$4:$G$1127,'ноябрь 2023'!$D$4:$D$1127,$B30,'ноябрь 2023'!$J$4:$J$1127,M$1)</f>
        <v>0</v>
      </c>
      <c r="N30" s="198">
        <f>SUMIFS('ноябрь 2023'!$G$4:$G$1127,'ноябрь 2023'!$D$4:$D$1127,$B30,'ноябрь 2023'!$J$4:$J$1127,N$1)</f>
        <v>0</v>
      </c>
      <c r="O30" s="198">
        <f>SUMIFS('ноябрь 2023'!$G$4:$G$1127,'ноябрь 2023'!$D$4:$D$1127,$B30,'ноябрь 2023'!$J$4:$J$1127,O$1)</f>
        <v>0</v>
      </c>
      <c r="P30" s="198">
        <f>SUMIFS('ноябрь 2023'!$G$4:$G$1127,'ноябрь 2023'!$D$4:$D$1127,$B30,'ноябрь 2023'!$J$4:$J$1127,P$1)</f>
        <v>0</v>
      </c>
      <c r="Q30" s="198">
        <f>SUMIFS('ноябрь 2023'!$G$4:$G$1127,'ноябрь 2023'!$D$4:$D$1127,$B30,'ноябрь 2023'!$J$4:$J$1127,Q$1)</f>
        <v>0</v>
      </c>
      <c r="R30" s="198">
        <f>SUMIFS('ноябрь 2023'!$G$4:$G$1127,'ноябрь 2023'!$D$4:$D$1127,$B30,'ноябрь 2023'!$J$4:$J$1127,R$1)</f>
        <v>0</v>
      </c>
      <c r="S30" s="198">
        <f>SUMIFS('ноябрь 2023'!$G$4:$G$1127,'ноябрь 2023'!$D$4:$D$1127,$B30,'ноябрь 2023'!$J$4:$J$1127,S$1)</f>
        <v>0</v>
      </c>
      <c r="T30" s="198">
        <f>SUMIFS('ноябрь 2023'!$G$4:$G$1127,'ноябрь 2023'!$D$4:$D$1127,$B30,'ноябрь 2023'!$J$4:$J$1127,T$1)</f>
        <v>0</v>
      </c>
      <c r="U30" s="198">
        <f>SUMIFS('ноябрь 2023'!$G$4:$G$1127,'ноябрь 2023'!$D$4:$D$1127,$B30,'ноябрь 2023'!$J$4:$J$1127,U$1)</f>
        <v>0</v>
      </c>
      <c r="V30" s="198">
        <f>SUMIFS('ноябрь 2023'!$G$4:$G$1127,'ноябрь 2023'!$D$4:$D$1127,$B30,'ноябрь 2023'!$J$4:$J$1127,V$1)</f>
        <v>0</v>
      </c>
      <c r="W30" s="198">
        <f>SUMIFS('ноябрь 2023'!$G$4:$G$1127,'ноябрь 2023'!$D$4:$D$1127,$B30,'ноябрь 2023'!$J$4:$J$1127,W$1)</f>
        <v>0</v>
      </c>
      <c r="X30" s="198">
        <f>SUMIFS('ноябрь 2023'!$G$4:$G$1127,'ноябрь 2023'!$D$4:$D$1127,$B30,'ноябрь 2023'!$J$4:$J$1127,X$1)</f>
        <v>0</v>
      </c>
      <c r="Y30" s="198">
        <f>SUMIFS('ноябрь 2023'!$G$4:$G$1127,'ноябрь 2023'!$D$4:$D$1127,$B30,'ноябрь 2023'!$J$4:$J$1127,Y$1)</f>
        <v>0</v>
      </c>
      <c r="Z30" s="198">
        <f>SUMIFS('ноябрь 2023'!$G$4:$G$1127,'ноябрь 2023'!$D$4:$D$1127,$B30,'ноябрь 2023'!$J$4:$J$1127,Z$1)</f>
        <v>0</v>
      </c>
      <c r="AA30" s="198">
        <f>SUMIFS('ноябрь 2023'!$G$4:$G$1127,'ноябрь 2023'!$D$4:$D$1127,$B30,'ноябрь 2023'!$J$4:$J$1127,AA$1)</f>
        <v>0</v>
      </c>
      <c r="AB30" s="198">
        <f>SUMIFS('ноябрь 2023'!$G$4:$G$1127,'ноябрь 2023'!$D$4:$D$1127,$B30,'ноябрь 2023'!$J$4:$J$1127,AB$1)</f>
        <v>0</v>
      </c>
      <c r="AC30" s="198">
        <f>SUMIFS('ноябрь 2023'!$G$4:$G$1127,'ноябрь 2023'!$D$4:$D$1127,$B30,'ноябрь 2023'!$J$4:$J$1127,AC$1)</f>
        <v>0</v>
      </c>
      <c r="AD30" s="198">
        <f>SUMIFS('ноябрь 2023'!$G$4:$G$1127,'ноябрь 2023'!$D$4:$D$1127,$B30,'ноябрь 2023'!$J$4:$J$1127,AD$1)</f>
        <v>0</v>
      </c>
      <c r="AE30" s="198">
        <f>SUMIFS('ноябрь 2023'!$G$4:$G$1127,'ноябрь 2023'!$D$4:$D$1127,$B30,'ноябрь 2023'!$J$4:$J$1127,AE$1)</f>
        <v>0</v>
      </c>
      <c r="AF30" s="198">
        <f>SUMIFS('ноябрь 2023'!$G$4:$G$1127,'ноябрь 2023'!$D$4:$D$1127,$B30,'ноябрь 2023'!$J$4:$J$1127,AF$1)</f>
        <v>0</v>
      </c>
      <c r="AG30" s="198">
        <f>SUMIFS('ноябрь 2023'!$G$4:$G$1127,'ноябрь 2023'!$D$4:$D$1127,$B30,'ноябрь 2023'!$J$4:$J$1127,AG$1)</f>
        <v>0</v>
      </c>
      <c r="AH30" s="198">
        <f>SUMIFS('ноябрь 2023'!$G$4:$G$1127,'ноябрь 2023'!$D$4:$D$1127,$B30,'ноябрь 2023'!$J$4:$J$1127,AH$1)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SUMIFS('ноябрь 2023'!$G$4:$G$1127,'ноябрь 2023'!$D$4:$D$1127,$B31,'ноябрь 2023'!$J$4:$J$1127,D$1)</f>
        <v>0</v>
      </c>
      <c r="E31" s="207">
        <f>SUMIFS('ноябрь 2023'!$G$4:$G$1127,'ноябрь 2023'!$D$4:$D$1127,$B31,'ноябрь 2023'!$J$4:$J$1127,E$1)</f>
        <v>0</v>
      </c>
      <c r="F31" s="207">
        <f>SUMIFS('ноябрь 2023'!$G$4:$G$1127,'ноябрь 2023'!$D$4:$D$1127,$B31,'ноябрь 2023'!$J$4:$J$1127,F$1)</f>
        <v>0</v>
      </c>
      <c r="G31" s="207">
        <f>SUMIFS('ноябрь 2023'!$G$4:$G$1127,'ноябрь 2023'!$D$4:$D$1127,$B31,'ноябрь 2023'!$J$4:$J$1127,G$1)</f>
        <v>0</v>
      </c>
      <c r="H31" s="207">
        <f>SUMIFS('ноябрь 2023'!$G$4:$G$1127,'ноябрь 2023'!$D$4:$D$1127,$B31,'ноябрь 2023'!$J$4:$J$1127,H$1)</f>
        <v>0</v>
      </c>
      <c r="I31" s="207">
        <f>SUMIFS('ноябрь 2023'!$G$4:$G$1127,'ноябрь 2023'!$D$4:$D$1127,$B31,'ноябрь 2023'!$J$4:$J$1127,I$1)</f>
        <v>0</v>
      </c>
      <c r="J31" s="207">
        <f>SUMIFS('ноябрь 2023'!$G$4:$G$1127,'ноябрь 2023'!$D$4:$D$1127,$B31,'ноябрь 2023'!$J$4:$J$1127,J$1)</f>
        <v>0</v>
      </c>
      <c r="K31" s="207">
        <f>SUMIFS('ноябрь 2023'!$G$4:$G$1127,'ноябрь 2023'!$D$4:$D$1127,$B31,'ноябрь 2023'!$J$4:$J$1127,K$1)</f>
        <v>0</v>
      </c>
      <c r="L31" s="207">
        <f>SUMIFS('ноябрь 2023'!$G$4:$G$1127,'ноябрь 2023'!$D$4:$D$1127,$B31,'ноябрь 2023'!$J$4:$J$1127,L$1)</f>
        <v>0</v>
      </c>
      <c r="M31" s="207">
        <f>SUMIFS('ноябрь 2023'!$G$4:$G$1127,'ноябрь 2023'!$D$4:$D$1127,$B31,'ноябрь 2023'!$J$4:$J$1127,M$1)</f>
        <v>0</v>
      </c>
      <c r="N31" s="207">
        <f>SUMIFS('ноябрь 2023'!$G$4:$G$1127,'ноябрь 2023'!$D$4:$D$1127,$B31,'ноябрь 2023'!$J$4:$J$1127,N$1)</f>
        <v>0</v>
      </c>
      <c r="O31" s="207">
        <f>SUMIFS('ноябрь 2023'!$G$4:$G$1127,'ноябрь 2023'!$D$4:$D$1127,$B31,'ноябрь 2023'!$J$4:$J$1127,O$1)</f>
        <v>0</v>
      </c>
      <c r="P31" s="207">
        <f>SUMIFS('ноябрь 2023'!$G$4:$G$1127,'ноябрь 2023'!$D$4:$D$1127,$B31,'ноябрь 2023'!$J$4:$J$1127,P$1)</f>
        <v>0</v>
      </c>
      <c r="Q31" s="207">
        <f>SUMIFS('ноябрь 2023'!$G$4:$G$1127,'ноябрь 2023'!$D$4:$D$1127,$B31,'ноябрь 2023'!$J$4:$J$1127,Q$1)</f>
        <v>0</v>
      </c>
      <c r="R31" s="207">
        <f>SUMIFS('ноябрь 2023'!$G$4:$G$1127,'ноябрь 2023'!$D$4:$D$1127,$B31,'ноябрь 2023'!$J$4:$J$1127,R$1)</f>
        <v>0</v>
      </c>
      <c r="S31" s="207">
        <f>SUMIFS('ноябрь 2023'!$G$4:$G$1127,'ноябрь 2023'!$D$4:$D$1127,$B31,'ноябрь 2023'!$J$4:$J$1127,S$1)</f>
        <v>0</v>
      </c>
      <c r="T31" s="207">
        <f>SUMIFS('ноябрь 2023'!$G$4:$G$1127,'ноябрь 2023'!$D$4:$D$1127,$B31,'ноябрь 2023'!$J$4:$J$1127,T$1)</f>
        <v>0</v>
      </c>
      <c r="U31" s="207">
        <f>SUMIFS('ноябрь 2023'!$G$4:$G$1127,'ноябрь 2023'!$D$4:$D$1127,$B31,'ноябрь 2023'!$J$4:$J$1127,U$1)</f>
        <v>0</v>
      </c>
      <c r="V31" s="207">
        <f>SUMIFS('ноябрь 2023'!$G$4:$G$1127,'ноябрь 2023'!$D$4:$D$1127,$B31,'ноябрь 2023'!$J$4:$J$1127,V$1)</f>
        <v>0</v>
      </c>
      <c r="W31" s="207">
        <f>SUMIFS('ноябрь 2023'!$G$4:$G$1127,'ноябрь 2023'!$D$4:$D$1127,$B31,'ноябрь 2023'!$J$4:$J$1127,W$1)</f>
        <v>0</v>
      </c>
      <c r="X31" s="207">
        <f>SUMIFS('ноябрь 2023'!$G$4:$G$1127,'ноябрь 2023'!$D$4:$D$1127,$B31,'ноябрь 2023'!$J$4:$J$1127,X$1)</f>
        <v>0</v>
      </c>
      <c r="Y31" s="207">
        <f>SUMIFS('ноябрь 2023'!$G$4:$G$1127,'ноябрь 2023'!$D$4:$D$1127,$B31,'ноябрь 2023'!$J$4:$J$1127,Y$1)</f>
        <v>0</v>
      </c>
      <c r="Z31" s="207">
        <f>SUMIFS('ноябрь 2023'!$G$4:$G$1127,'ноябрь 2023'!$D$4:$D$1127,$B31,'ноябрь 2023'!$J$4:$J$1127,Z$1)</f>
        <v>0</v>
      </c>
      <c r="AA31" s="207">
        <f>SUMIFS('ноябрь 2023'!$G$4:$G$1127,'ноябрь 2023'!$D$4:$D$1127,$B31,'ноябрь 2023'!$J$4:$J$1127,AA$1)</f>
        <v>0</v>
      </c>
      <c r="AB31" s="207">
        <f>SUMIFS('ноябрь 2023'!$G$4:$G$1127,'ноябрь 2023'!$D$4:$D$1127,$B31,'ноябрь 2023'!$J$4:$J$1127,AB$1)</f>
        <v>0</v>
      </c>
      <c r="AC31" s="207">
        <f>SUMIFS('ноябрь 2023'!$G$4:$G$1127,'ноябрь 2023'!$D$4:$D$1127,$B31,'ноябрь 2023'!$J$4:$J$1127,AC$1)</f>
        <v>0</v>
      </c>
      <c r="AD31" s="207">
        <f>SUMIFS('ноябрь 2023'!$G$4:$G$1127,'ноябрь 2023'!$D$4:$D$1127,$B31,'ноябрь 2023'!$J$4:$J$1127,AD$1)</f>
        <v>0</v>
      </c>
      <c r="AE31" s="207">
        <f>SUMIFS('ноябрь 2023'!$G$4:$G$1127,'ноябрь 2023'!$D$4:$D$1127,$B31,'ноябрь 2023'!$J$4:$J$1127,AE$1)</f>
        <v>0</v>
      </c>
      <c r="AF31" s="207">
        <f>SUMIFS('ноябрь 2023'!$G$4:$G$1127,'ноябрь 2023'!$D$4:$D$1127,$B31,'ноябрь 2023'!$J$4:$J$1127,AF$1)</f>
        <v>0</v>
      </c>
      <c r="AG31" s="207">
        <f>SUMIFS('ноябрь 2023'!$G$4:$G$1127,'ноябрь 2023'!$D$4:$D$1127,$B31,'ноябрь 2023'!$J$4:$J$1127,AG$1)</f>
        <v>0</v>
      </c>
      <c r="AH31" s="207">
        <f>SUMIFS('ноябрь 2023'!$G$4:$G$1127,'ноябрь 2023'!$D$4:$D$1127,$B31,'ноябрь 2023'!$J$4:$J$1127,AH$1)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SUMIFS('ноябрь 2023'!$G$4:$G$1127,'ноябрь 2023'!$D$4:$D$1127,$B32,'ноябрь 2023'!$J$4:$J$1127,D$1)</f>
        <v>0</v>
      </c>
      <c r="E32" s="207">
        <f>SUMIFS('ноябрь 2023'!$G$4:$G$1127,'ноябрь 2023'!$D$4:$D$1127,$B32,'ноябрь 2023'!$J$4:$J$1127,E$1)</f>
        <v>0</v>
      </c>
      <c r="F32" s="207">
        <f>SUMIFS('ноябрь 2023'!$G$4:$G$1127,'ноябрь 2023'!$D$4:$D$1127,$B32,'ноябрь 2023'!$J$4:$J$1127,F$1)</f>
        <v>0</v>
      </c>
      <c r="G32" s="207">
        <f>SUMIFS('ноябрь 2023'!$G$4:$G$1127,'ноябрь 2023'!$D$4:$D$1127,$B32,'ноябрь 2023'!$J$4:$J$1127,G$1)</f>
        <v>0</v>
      </c>
      <c r="H32" s="207">
        <f>SUMIFS('ноябрь 2023'!$G$4:$G$1127,'ноябрь 2023'!$D$4:$D$1127,$B32,'ноябрь 2023'!$J$4:$J$1127,H$1)</f>
        <v>0</v>
      </c>
      <c r="I32" s="207">
        <f>SUMIFS('ноябрь 2023'!$G$4:$G$1127,'ноябрь 2023'!$D$4:$D$1127,$B32,'ноябрь 2023'!$J$4:$J$1127,I$1)</f>
        <v>0</v>
      </c>
      <c r="J32" s="207">
        <f>SUMIFS('ноябрь 2023'!$G$4:$G$1127,'ноябрь 2023'!$D$4:$D$1127,$B32,'ноябрь 2023'!$J$4:$J$1127,J$1)</f>
        <v>0</v>
      </c>
      <c r="K32" s="207">
        <f>SUMIFS('ноябрь 2023'!$G$4:$G$1127,'ноябрь 2023'!$D$4:$D$1127,$B32,'ноябрь 2023'!$J$4:$J$1127,K$1)</f>
        <v>0</v>
      </c>
      <c r="L32" s="207">
        <f>SUMIFS('ноябрь 2023'!$G$4:$G$1127,'ноябрь 2023'!$D$4:$D$1127,$B32,'ноябрь 2023'!$J$4:$J$1127,L$1)</f>
        <v>0</v>
      </c>
      <c r="M32" s="207">
        <f>SUMIFS('ноябрь 2023'!$G$4:$G$1127,'ноябрь 2023'!$D$4:$D$1127,$B32,'ноябрь 2023'!$J$4:$J$1127,M$1)</f>
        <v>0</v>
      </c>
      <c r="N32" s="207">
        <f>SUMIFS('ноябрь 2023'!$G$4:$G$1127,'ноябрь 2023'!$D$4:$D$1127,$B32,'ноябрь 2023'!$J$4:$J$1127,N$1)</f>
        <v>0</v>
      </c>
      <c r="O32" s="207">
        <f>SUMIFS('ноябрь 2023'!$G$4:$G$1127,'ноябрь 2023'!$D$4:$D$1127,$B32,'ноябрь 2023'!$J$4:$J$1127,O$1)</f>
        <v>0</v>
      </c>
      <c r="P32" s="207">
        <f>SUMIFS('ноябрь 2023'!$G$4:$G$1127,'ноябрь 2023'!$D$4:$D$1127,$B32,'ноябрь 2023'!$J$4:$J$1127,P$1)</f>
        <v>0</v>
      </c>
      <c r="Q32" s="207">
        <f>SUMIFS('ноябрь 2023'!$G$4:$G$1127,'ноябрь 2023'!$D$4:$D$1127,$B32,'ноябрь 2023'!$J$4:$J$1127,Q$1)</f>
        <v>0</v>
      </c>
      <c r="R32" s="207">
        <f>SUMIFS('ноябрь 2023'!$G$4:$G$1127,'ноябрь 2023'!$D$4:$D$1127,$B32,'ноябрь 2023'!$J$4:$J$1127,R$1)</f>
        <v>0</v>
      </c>
      <c r="S32" s="207">
        <f>SUMIFS('ноябрь 2023'!$G$4:$G$1127,'ноябрь 2023'!$D$4:$D$1127,$B32,'ноябрь 2023'!$J$4:$J$1127,S$1)</f>
        <v>0</v>
      </c>
      <c r="T32" s="207">
        <f>SUMIFS('ноябрь 2023'!$G$4:$G$1127,'ноябрь 2023'!$D$4:$D$1127,$B32,'ноябрь 2023'!$J$4:$J$1127,T$1)</f>
        <v>0</v>
      </c>
      <c r="U32" s="207">
        <f>SUMIFS('ноябрь 2023'!$G$4:$G$1127,'ноябрь 2023'!$D$4:$D$1127,$B32,'ноябрь 2023'!$J$4:$J$1127,U$1)</f>
        <v>0</v>
      </c>
      <c r="V32" s="207">
        <f>SUMIFS('ноябрь 2023'!$G$4:$G$1127,'ноябрь 2023'!$D$4:$D$1127,$B32,'ноябрь 2023'!$J$4:$J$1127,V$1)</f>
        <v>0</v>
      </c>
      <c r="W32" s="207">
        <f>SUMIFS('ноябрь 2023'!$G$4:$G$1127,'ноябрь 2023'!$D$4:$D$1127,$B32,'ноябрь 2023'!$J$4:$J$1127,W$1)</f>
        <v>0</v>
      </c>
      <c r="X32" s="207">
        <f>SUMIFS('ноябрь 2023'!$G$4:$G$1127,'ноябрь 2023'!$D$4:$D$1127,$B32,'ноябрь 2023'!$J$4:$J$1127,X$1)</f>
        <v>0</v>
      </c>
      <c r="Y32" s="207">
        <f>SUMIFS('ноябрь 2023'!$G$4:$G$1127,'ноябрь 2023'!$D$4:$D$1127,$B32,'ноябрь 2023'!$J$4:$J$1127,Y$1)</f>
        <v>0</v>
      </c>
      <c r="Z32" s="207">
        <f>SUMIFS('ноябрь 2023'!$G$4:$G$1127,'ноябрь 2023'!$D$4:$D$1127,$B32,'ноябрь 2023'!$J$4:$J$1127,Z$1)</f>
        <v>0</v>
      </c>
      <c r="AA32" s="207">
        <f>SUMIFS('ноябрь 2023'!$G$4:$G$1127,'ноябрь 2023'!$D$4:$D$1127,$B32,'ноябрь 2023'!$J$4:$J$1127,AA$1)</f>
        <v>0</v>
      </c>
      <c r="AB32" s="207">
        <f>SUMIFS('ноябрь 2023'!$G$4:$G$1127,'ноябрь 2023'!$D$4:$D$1127,$B32,'ноябрь 2023'!$J$4:$J$1127,AB$1)</f>
        <v>0</v>
      </c>
      <c r="AC32" s="207">
        <f>SUMIFS('ноябрь 2023'!$G$4:$G$1127,'ноябрь 2023'!$D$4:$D$1127,$B32,'ноябрь 2023'!$J$4:$J$1127,AC$1)</f>
        <v>0</v>
      </c>
      <c r="AD32" s="207">
        <f>SUMIFS('ноябрь 2023'!$G$4:$G$1127,'ноябрь 2023'!$D$4:$D$1127,$B32,'ноябрь 2023'!$J$4:$J$1127,AD$1)</f>
        <v>0</v>
      </c>
      <c r="AE32" s="207">
        <f>SUMIFS('ноябрь 2023'!$G$4:$G$1127,'ноябрь 2023'!$D$4:$D$1127,$B32,'ноябрь 2023'!$J$4:$J$1127,AE$1)</f>
        <v>0</v>
      </c>
      <c r="AF32" s="207">
        <f>SUMIFS('ноябрь 2023'!$G$4:$G$1127,'ноябрь 2023'!$D$4:$D$1127,$B32,'ноябрь 2023'!$J$4:$J$1127,AF$1)</f>
        <v>0</v>
      </c>
      <c r="AG32" s="207">
        <f>SUMIFS('ноябрь 2023'!$G$4:$G$1127,'ноябрь 2023'!$D$4:$D$1127,$B32,'ноябрь 2023'!$J$4:$J$1127,AG$1)</f>
        <v>0</v>
      </c>
      <c r="AH32" s="207">
        <f>SUMIFS('ноябрь 2023'!$G$4:$G$1127,'ноябрь 2023'!$D$4:$D$1127,$B32,'ноябрь 2023'!$J$4:$J$1127,AH$1)</f>
        <v>0</v>
      </c>
      <c r="AI32" s="170">
        <f t="shared" si="1"/>
        <v>0</v>
      </c>
    </row>
    <row r="33" spans="2:35" ht="15" customHeight="1" x14ac:dyDescent="0.25">
      <c r="B33" s="209" t="s">
        <v>1344</v>
      </c>
      <c r="C33" s="206">
        <v>20</v>
      </c>
      <c r="D33" s="207">
        <f>SUMIFS('ноябрь 2023'!$G$4:$G$1127,'ноябрь 2023'!$D$4:$D$1127,$B33,'ноябрь 2023'!$J$4:$J$1127,D$1)</f>
        <v>0</v>
      </c>
      <c r="E33" s="207">
        <f>SUMIFS('ноябрь 2023'!$G$4:$G$1127,'ноябрь 2023'!$D$4:$D$1127,$B33,'ноябрь 2023'!$J$4:$J$1127,E$1)</f>
        <v>0</v>
      </c>
      <c r="F33" s="207">
        <f>SUMIFS('ноябрь 2023'!$G$4:$G$1127,'ноябрь 2023'!$D$4:$D$1127,$B33,'ноябрь 2023'!$J$4:$J$1127,F$1)</f>
        <v>0</v>
      </c>
      <c r="G33" s="207">
        <f>SUMIFS('ноябрь 2023'!$G$4:$G$1127,'ноябрь 2023'!$D$4:$D$1127,$B33,'ноябрь 2023'!$J$4:$J$1127,G$1)</f>
        <v>0</v>
      </c>
      <c r="H33" s="207">
        <f>SUMIFS('ноябрь 2023'!$G$4:$G$1127,'ноябрь 2023'!$D$4:$D$1127,$B33,'ноябрь 2023'!$J$4:$J$1127,H$1)</f>
        <v>0</v>
      </c>
      <c r="I33" s="207">
        <f>SUMIFS('ноябрь 2023'!$G$4:$G$1127,'ноябрь 2023'!$D$4:$D$1127,$B33,'ноябрь 2023'!$J$4:$J$1127,I$1)</f>
        <v>0</v>
      </c>
      <c r="J33" s="207">
        <f>SUMIFS('ноябрь 2023'!$G$4:$G$1127,'ноябрь 2023'!$D$4:$D$1127,$B33,'ноябрь 2023'!$J$4:$J$1127,J$1)</f>
        <v>0</v>
      </c>
      <c r="K33" s="207">
        <f>SUMIFS('ноябрь 2023'!$G$4:$G$1127,'ноябрь 2023'!$D$4:$D$1127,$B33,'ноябрь 2023'!$J$4:$J$1127,K$1)</f>
        <v>0</v>
      </c>
      <c r="L33" s="207">
        <f>SUMIFS('ноябрь 2023'!$G$4:$G$1127,'ноябрь 2023'!$D$4:$D$1127,$B33,'ноябрь 2023'!$J$4:$J$1127,L$1)</f>
        <v>0</v>
      </c>
      <c r="M33" s="207">
        <f>SUMIFS('ноябрь 2023'!$G$4:$G$1127,'ноябрь 2023'!$D$4:$D$1127,$B33,'ноябрь 2023'!$J$4:$J$1127,M$1)</f>
        <v>0</v>
      </c>
      <c r="N33" s="207">
        <f>SUMIFS('ноябрь 2023'!$G$4:$G$1127,'ноябрь 2023'!$D$4:$D$1127,$B33,'ноябрь 2023'!$J$4:$J$1127,N$1)</f>
        <v>0</v>
      </c>
      <c r="O33" s="207">
        <f>SUMIFS('ноябрь 2023'!$G$4:$G$1127,'ноябрь 2023'!$D$4:$D$1127,$B33,'ноябрь 2023'!$J$4:$J$1127,O$1)</f>
        <v>0</v>
      </c>
      <c r="P33" s="207">
        <f>SUMIFS('ноябрь 2023'!$G$4:$G$1127,'ноябрь 2023'!$D$4:$D$1127,$B33,'ноябрь 2023'!$J$4:$J$1127,P$1)</f>
        <v>0</v>
      </c>
      <c r="Q33" s="207">
        <f>SUMIFS('ноябрь 2023'!$G$4:$G$1127,'ноябрь 2023'!$D$4:$D$1127,$B33,'ноябрь 2023'!$J$4:$J$1127,Q$1)</f>
        <v>0</v>
      </c>
      <c r="R33" s="207">
        <f>SUMIFS('ноябрь 2023'!$G$4:$G$1127,'ноябрь 2023'!$D$4:$D$1127,$B33,'ноябрь 2023'!$J$4:$J$1127,R$1)</f>
        <v>0</v>
      </c>
      <c r="S33" s="207">
        <f>SUMIFS('ноябрь 2023'!$G$4:$G$1127,'ноябрь 2023'!$D$4:$D$1127,$B33,'ноябрь 2023'!$J$4:$J$1127,S$1)</f>
        <v>0</v>
      </c>
      <c r="T33" s="207">
        <f>SUMIFS('ноябрь 2023'!$G$4:$G$1127,'ноябрь 2023'!$D$4:$D$1127,$B33,'ноябрь 2023'!$J$4:$J$1127,T$1)</f>
        <v>0</v>
      </c>
      <c r="U33" s="207">
        <f>SUMIFS('ноябрь 2023'!$G$4:$G$1127,'ноябрь 2023'!$D$4:$D$1127,$B33,'ноябрь 2023'!$J$4:$J$1127,U$1)</f>
        <v>0</v>
      </c>
      <c r="V33" s="207">
        <f>SUMIFS('ноябрь 2023'!$G$4:$G$1127,'ноябрь 2023'!$D$4:$D$1127,$B33,'ноябрь 2023'!$J$4:$J$1127,V$1)</f>
        <v>0</v>
      </c>
      <c r="W33" s="207">
        <f>SUMIFS('ноябрь 2023'!$G$4:$G$1127,'ноябрь 2023'!$D$4:$D$1127,$B33,'ноябрь 2023'!$J$4:$J$1127,W$1)</f>
        <v>0</v>
      </c>
      <c r="X33" s="207">
        <f>SUMIFS('ноябрь 2023'!$G$4:$G$1127,'ноябрь 2023'!$D$4:$D$1127,$B33,'ноябрь 2023'!$J$4:$J$1127,X$1)</f>
        <v>0</v>
      </c>
      <c r="Y33" s="207">
        <f>SUMIFS('ноябрь 2023'!$G$4:$G$1127,'ноябрь 2023'!$D$4:$D$1127,$B33,'ноябрь 2023'!$J$4:$J$1127,Y$1)</f>
        <v>0</v>
      </c>
      <c r="Z33" s="207">
        <f>SUMIFS('ноябрь 2023'!$G$4:$G$1127,'ноябрь 2023'!$D$4:$D$1127,$B33,'ноябрь 2023'!$J$4:$J$1127,Z$1)</f>
        <v>0</v>
      </c>
      <c r="AA33" s="207">
        <f>SUMIFS('ноябрь 2023'!$G$4:$G$1127,'ноябрь 2023'!$D$4:$D$1127,$B33,'ноябрь 2023'!$J$4:$J$1127,AA$1)</f>
        <v>0</v>
      </c>
      <c r="AB33" s="207">
        <f>SUMIFS('ноябрь 2023'!$G$4:$G$1127,'ноябрь 2023'!$D$4:$D$1127,$B33,'ноябрь 2023'!$J$4:$J$1127,AB$1)</f>
        <v>0</v>
      </c>
      <c r="AC33" s="207">
        <f>SUMIFS('ноябрь 2023'!$G$4:$G$1127,'ноябрь 2023'!$D$4:$D$1127,$B33,'ноябрь 2023'!$J$4:$J$1127,AC$1)</f>
        <v>0</v>
      </c>
      <c r="AD33" s="207">
        <f>SUMIFS('ноябрь 2023'!$G$4:$G$1127,'ноябрь 2023'!$D$4:$D$1127,$B33,'ноябрь 2023'!$J$4:$J$1127,AD$1)</f>
        <v>0</v>
      </c>
      <c r="AE33" s="207">
        <f>SUMIFS('ноябрь 2023'!$G$4:$G$1127,'ноябрь 2023'!$D$4:$D$1127,$B33,'ноябрь 2023'!$J$4:$J$1127,AE$1)</f>
        <v>0</v>
      </c>
      <c r="AF33" s="207">
        <f>SUMIFS('ноябрь 2023'!$G$4:$G$1127,'ноябрь 2023'!$D$4:$D$1127,$B33,'ноябрь 2023'!$J$4:$J$1127,AF$1)</f>
        <v>0</v>
      </c>
      <c r="AG33" s="207">
        <f>SUMIFS('ноябрь 2023'!$G$4:$G$1127,'ноябрь 2023'!$D$4:$D$1127,$B33,'ноябрь 2023'!$J$4:$J$1127,AG$1)</f>
        <v>0</v>
      </c>
      <c r="AH33" s="207">
        <f>SUMIFS('ноябрь 2023'!$G$4:$G$1127,'ноябрь 2023'!$D$4:$D$1127,$B33,'ноябрь 2023'!$J$4:$J$1127,AH$1)</f>
        <v>0</v>
      </c>
      <c r="AI33" s="170">
        <f t="shared" si="1"/>
        <v>0</v>
      </c>
    </row>
    <row r="34" spans="2:35" ht="15" customHeight="1" x14ac:dyDescent="0.25">
      <c r="B34" s="210" t="s">
        <v>754</v>
      </c>
      <c r="C34" s="211">
        <v>20</v>
      </c>
      <c r="D34" s="207">
        <f>SUMIFS('ноябрь 2023'!$G$4:$G$1127,'ноябрь 2023'!$D$4:$D$1127,$B34,'ноябрь 2023'!$J$4:$J$1127,D$1)</f>
        <v>0</v>
      </c>
      <c r="E34" s="207">
        <f>SUMIFS('ноябрь 2023'!$G$4:$G$1127,'ноябрь 2023'!$D$4:$D$1127,$B34,'ноябрь 2023'!$J$4:$J$1127,E$1)</f>
        <v>0</v>
      </c>
      <c r="F34" s="207">
        <f>SUMIFS('ноябрь 2023'!$G$4:$G$1127,'ноябрь 2023'!$D$4:$D$1127,$B34,'ноябрь 2023'!$J$4:$J$1127,F$1)</f>
        <v>0</v>
      </c>
      <c r="G34" s="207">
        <f>SUMIFS('ноябрь 2023'!$G$4:$G$1127,'ноябрь 2023'!$D$4:$D$1127,$B34,'ноябрь 2023'!$J$4:$J$1127,G$1)</f>
        <v>0</v>
      </c>
      <c r="H34" s="207">
        <f>SUMIFS('ноябрь 2023'!$G$4:$G$1127,'ноябрь 2023'!$D$4:$D$1127,$B34,'ноябрь 2023'!$J$4:$J$1127,H$1)</f>
        <v>0</v>
      </c>
      <c r="I34" s="207">
        <f>SUMIFS('ноябрь 2023'!$G$4:$G$1127,'ноябрь 2023'!$D$4:$D$1127,$B34,'ноябрь 2023'!$J$4:$J$1127,I$1)</f>
        <v>0</v>
      </c>
      <c r="J34" s="207">
        <f>SUMIFS('ноябрь 2023'!$G$4:$G$1127,'ноябрь 2023'!$D$4:$D$1127,$B34,'ноябрь 2023'!$J$4:$J$1127,J$1)</f>
        <v>0</v>
      </c>
      <c r="K34" s="207">
        <f>SUMIFS('ноябрь 2023'!$G$4:$G$1127,'ноябрь 2023'!$D$4:$D$1127,$B34,'ноябрь 2023'!$J$4:$J$1127,K$1)</f>
        <v>0</v>
      </c>
      <c r="L34" s="207">
        <f>SUMIFS('ноябрь 2023'!$G$4:$G$1127,'ноябрь 2023'!$D$4:$D$1127,$B34,'ноябрь 2023'!$J$4:$J$1127,L$1)</f>
        <v>0</v>
      </c>
      <c r="M34" s="207">
        <f>SUMIFS('ноябрь 2023'!$G$4:$G$1127,'ноябрь 2023'!$D$4:$D$1127,$B34,'ноябрь 2023'!$J$4:$J$1127,M$1)</f>
        <v>0</v>
      </c>
      <c r="N34" s="207">
        <f>SUMIFS('ноябрь 2023'!$G$4:$G$1127,'ноябрь 2023'!$D$4:$D$1127,$B34,'ноябрь 2023'!$J$4:$J$1127,N$1)</f>
        <v>0</v>
      </c>
      <c r="O34" s="207">
        <f>SUMIFS('ноябрь 2023'!$G$4:$G$1127,'ноябрь 2023'!$D$4:$D$1127,$B34,'ноябрь 2023'!$J$4:$J$1127,O$1)</f>
        <v>0</v>
      </c>
      <c r="P34" s="207">
        <f>SUMIFS('ноябрь 2023'!$G$4:$G$1127,'ноябрь 2023'!$D$4:$D$1127,$B34,'ноябрь 2023'!$J$4:$J$1127,P$1)</f>
        <v>0</v>
      </c>
      <c r="Q34" s="207">
        <f>SUMIFS('ноябрь 2023'!$G$4:$G$1127,'ноябрь 2023'!$D$4:$D$1127,$B34,'ноябрь 2023'!$J$4:$J$1127,Q$1)</f>
        <v>0</v>
      </c>
      <c r="R34" s="207">
        <f>SUMIFS('ноябрь 2023'!$G$4:$G$1127,'ноябрь 2023'!$D$4:$D$1127,$B34,'ноябрь 2023'!$J$4:$J$1127,R$1)</f>
        <v>0</v>
      </c>
      <c r="S34" s="207">
        <f>SUMIFS('ноябрь 2023'!$G$4:$G$1127,'ноябрь 2023'!$D$4:$D$1127,$B34,'ноябрь 2023'!$J$4:$J$1127,S$1)</f>
        <v>0</v>
      </c>
      <c r="T34" s="207">
        <f>SUMIFS('ноябрь 2023'!$G$4:$G$1127,'ноябрь 2023'!$D$4:$D$1127,$B34,'ноябрь 2023'!$J$4:$J$1127,T$1)</f>
        <v>0</v>
      </c>
      <c r="U34" s="207">
        <f>SUMIFS('ноябрь 2023'!$G$4:$G$1127,'ноябрь 2023'!$D$4:$D$1127,$B34,'ноябрь 2023'!$J$4:$J$1127,U$1)</f>
        <v>0</v>
      </c>
      <c r="V34" s="207">
        <f>SUMIFS('ноябрь 2023'!$G$4:$G$1127,'ноябрь 2023'!$D$4:$D$1127,$B34,'ноябрь 2023'!$J$4:$J$1127,V$1)</f>
        <v>0</v>
      </c>
      <c r="W34" s="207">
        <f>SUMIFS('ноябрь 2023'!$G$4:$G$1127,'ноябрь 2023'!$D$4:$D$1127,$B34,'ноябрь 2023'!$J$4:$J$1127,W$1)</f>
        <v>0</v>
      </c>
      <c r="X34" s="207">
        <f>SUMIFS('ноябрь 2023'!$G$4:$G$1127,'ноябрь 2023'!$D$4:$D$1127,$B34,'ноябрь 2023'!$J$4:$J$1127,X$1)</f>
        <v>0</v>
      </c>
      <c r="Y34" s="207">
        <f>SUMIFS('ноябрь 2023'!$G$4:$G$1127,'ноябрь 2023'!$D$4:$D$1127,$B34,'ноябрь 2023'!$J$4:$J$1127,Y$1)</f>
        <v>0</v>
      </c>
      <c r="Z34" s="207">
        <f>SUMIFS('ноябрь 2023'!$G$4:$G$1127,'ноябрь 2023'!$D$4:$D$1127,$B34,'ноябрь 2023'!$J$4:$J$1127,Z$1)</f>
        <v>0</v>
      </c>
      <c r="AA34" s="207">
        <f>SUMIFS('ноябрь 2023'!$G$4:$G$1127,'ноябрь 2023'!$D$4:$D$1127,$B34,'ноябрь 2023'!$J$4:$J$1127,AA$1)</f>
        <v>0</v>
      </c>
      <c r="AB34" s="207">
        <f>SUMIFS('ноябрь 2023'!$G$4:$G$1127,'ноябрь 2023'!$D$4:$D$1127,$B34,'ноябрь 2023'!$J$4:$J$1127,AB$1)</f>
        <v>0</v>
      </c>
      <c r="AC34" s="207">
        <f>SUMIFS('ноябрь 2023'!$G$4:$G$1127,'ноябрь 2023'!$D$4:$D$1127,$B34,'ноябрь 2023'!$J$4:$J$1127,AC$1)</f>
        <v>0</v>
      </c>
      <c r="AD34" s="207">
        <f>SUMIFS('ноябрь 2023'!$G$4:$G$1127,'ноябрь 2023'!$D$4:$D$1127,$B34,'ноябрь 2023'!$J$4:$J$1127,AD$1)</f>
        <v>0</v>
      </c>
      <c r="AE34" s="207">
        <f>SUMIFS('ноябрь 2023'!$G$4:$G$1127,'ноябрь 2023'!$D$4:$D$1127,$B34,'ноябрь 2023'!$J$4:$J$1127,AE$1)</f>
        <v>0</v>
      </c>
      <c r="AF34" s="207">
        <f>SUMIFS('ноябрь 2023'!$G$4:$G$1127,'ноябрь 2023'!$D$4:$D$1127,$B34,'ноябрь 2023'!$J$4:$J$1127,AF$1)</f>
        <v>0</v>
      </c>
      <c r="AG34" s="207">
        <f>SUMIFS('ноябрь 2023'!$G$4:$G$1127,'ноябрь 2023'!$D$4:$D$1127,$B34,'ноябрь 2023'!$J$4:$J$1127,AG$1)</f>
        <v>0</v>
      </c>
      <c r="AH34" s="207">
        <f>SUMIFS('ноябрь 2023'!$G$4:$G$1127,'ноябрь 2023'!$D$4:$D$1127,$B34,'ноябрь 2023'!$J$4:$J$1127,AH$1)</f>
        <v>0</v>
      </c>
      <c r="AI34" s="170">
        <f t="shared" si="1"/>
        <v>0</v>
      </c>
    </row>
    <row r="35" spans="2:35" ht="15" customHeight="1" x14ac:dyDescent="0.25">
      <c r="B35" s="212" t="s">
        <v>1256</v>
      </c>
      <c r="C35" s="213">
        <v>22.68</v>
      </c>
      <c r="D35" s="207">
        <f>SUMIFS('ноябрь 2023'!$G$4:$G$1127,'ноябрь 2023'!$D$4:$D$1127,$B35,'ноябрь 2023'!$J$4:$J$1127,D$1)</f>
        <v>0</v>
      </c>
      <c r="E35" s="207">
        <f>SUMIFS('ноябрь 2023'!$G$4:$G$1127,'ноябрь 2023'!$D$4:$D$1127,$B35,'ноябрь 2023'!$J$4:$J$1127,E$1)</f>
        <v>0</v>
      </c>
      <c r="F35" s="207">
        <f>SUMIFS('ноябрь 2023'!$G$4:$G$1127,'ноябрь 2023'!$D$4:$D$1127,$B35,'ноябрь 2023'!$J$4:$J$1127,F$1)</f>
        <v>0</v>
      </c>
      <c r="G35" s="207">
        <f>SUMIFS('ноябрь 2023'!$G$4:$G$1127,'ноябрь 2023'!$D$4:$D$1127,$B35,'ноябрь 2023'!$J$4:$J$1127,G$1)</f>
        <v>0</v>
      </c>
      <c r="H35" s="207">
        <f>SUMIFS('ноябрь 2023'!$G$4:$G$1127,'ноябрь 2023'!$D$4:$D$1127,$B35,'ноябрь 2023'!$J$4:$J$1127,H$1)</f>
        <v>0</v>
      </c>
      <c r="I35" s="207">
        <f>SUMIFS('ноябрь 2023'!$G$4:$G$1127,'ноябрь 2023'!$D$4:$D$1127,$B35,'ноябрь 2023'!$J$4:$J$1127,I$1)</f>
        <v>0</v>
      </c>
      <c r="J35" s="207">
        <f>SUMIFS('ноябрь 2023'!$G$4:$G$1127,'ноябрь 2023'!$D$4:$D$1127,$B35,'ноябрь 2023'!$J$4:$J$1127,J$1)</f>
        <v>0</v>
      </c>
      <c r="K35" s="207">
        <f>SUMIFS('ноябрь 2023'!$G$4:$G$1127,'ноябрь 2023'!$D$4:$D$1127,$B35,'ноябрь 2023'!$J$4:$J$1127,K$1)</f>
        <v>0</v>
      </c>
      <c r="L35" s="207">
        <f>SUMIFS('ноябрь 2023'!$G$4:$G$1127,'ноябрь 2023'!$D$4:$D$1127,$B35,'ноябрь 2023'!$J$4:$J$1127,L$1)</f>
        <v>0</v>
      </c>
      <c r="M35" s="207">
        <f>SUMIFS('ноябрь 2023'!$G$4:$G$1127,'ноябрь 2023'!$D$4:$D$1127,$B35,'ноябрь 2023'!$J$4:$J$1127,M$1)</f>
        <v>0</v>
      </c>
      <c r="N35" s="207">
        <f>SUMIFS('ноябрь 2023'!$G$4:$G$1127,'ноябрь 2023'!$D$4:$D$1127,$B35,'ноябрь 2023'!$J$4:$J$1127,N$1)</f>
        <v>0</v>
      </c>
      <c r="O35" s="207">
        <f>SUMIFS('ноябрь 2023'!$G$4:$G$1127,'ноябрь 2023'!$D$4:$D$1127,$B35,'ноябрь 2023'!$J$4:$J$1127,O$1)</f>
        <v>0</v>
      </c>
      <c r="P35" s="207">
        <f>SUMIFS('ноябрь 2023'!$G$4:$G$1127,'ноябрь 2023'!$D$4:$D$1127,$B35,'ноябрь 2023'!$J$4:$J$1127,P$1)</f>
        <v>0</v>
      </c>
      <c r="Q35" s="207">
        <f>SUMIFS('ноябрь 2023'!$G$4:$G$1127,'ноябрь 2023'!$D$4:$D$1127,$B35,'ноябрь 2023'!$J$4:$J$1127,Q$1)</f>
        <v>0</v>
      </c>
      <c r="R35" s="207">
        <f>SUMIFS('ноябрь 2023'!$G$4:$G$1127,'ноябрь 2023'!$D$4:$D$1127,$B35,'ноябрь 2023'!$J$4:$J$1127,R$1)</f>
        <v>0</v>
      </c>
      <c r="S35" s="207">
        <f>SUMIFS('ноябрь 2023'!$G$4:$G$1127,'ноябрь 2023'!$D$4:$D$1127,$B35,'ноябрь 2023'!$J$4:$J$1127,S$1)</f>
        <v>0</v>
      </c>
      <c r="T35" s="207">
        <f>SUMIFS('ноябрь 2023'!$G$4:$G$1127,'ноябрь 2023'!$D$4:$D$1127,$B35,'ноябрь 2023'!$J$4:$J$1127,T$1)</f>
        <v>0</v>
      </c>
      <c r="U35" s="207">
        <f>SUMIFS('ноябрь 2023'!$G$4:$G$1127,'ноябрь 2023'!$D$4:$D$1127,$B35,'ноябрь 2023'!$J$4:$J$1127,U$1)</f>
        <v>0</v>
      </c>
      <c r="V35" s="207">
        <f>SUMIFS('ноябрь 2023'!$G$4:$G$1127,'ноябрь 2023'!$D$4:$D$1127,$B35,'ноябрь 2023'!$J$4:$J$1127,V$1)</f>
        <v>0</v>
      </c>
      <c r="W35" s="207">
        <f>SUMIFS('ноябрь 2023'!$G$4:$G$1127,'ноябрь 2023'!$D$4:$D$1127,$B35,'ноябрь 2023'!$J$4:$J$1127,W$1)</f>
        <v>0</v>
      </c>
      <c r="X35" s="207">
        <f>SUMIFS('ноябрь 2023'!$G$4:$G$1127,'ноябрь 2023'!$D$4:$D$1127,$B35,'ноябрь 2023'!$J$4:$J$1127,X$1)</f>
        <v>0</v>
      </c>
      <c r="Y35" s="207">
        <f>SUMIFS('ноябрь 2023'!$G$4:$G$1127,'ноябрь 2023'!$D$4:$D$1127,$B35,'ноябрь 2023'!$J$4:$J$1127,Y$1)</f>
        <v>0</v>
      </c>
      <c r="Z35" s="207">
        <f>SUMIFS('ноябрь 2023'!$G$4:$G$1127,'ноябрь 2023'!$D$4:$D$1127,$B35,'ноябрь 2023'!$J$4:$J$1127,Z$1)</f>
        <v>0</v>
      </c>
      <c r="AA35" s="207">
        <f>SUMIFS('ноябрь 2023'!$G$4:$G$1127,'ноябрь 2023'!$D$4:$D$1127,$B35,'ноябрь 2023'!$J$4:$J$1127,AA$1)</f>
        <v>0</v>
      </c>
      <c r="AB35" s="207">
        <f>SUMIFS('ноябрь 2023'!$G$4:$G$1127,'ноябрь 2023'!$D$4:$D$1127,$B35,'ноябрь 2023'!$J$4:$J$1127,AB$1)</f>
        <v>0</v>
      </c>
      <c r="AC35" s="207">
        <f>SUMIFS('ноябрь 2023'!$G$4:$G$1127,'ноябрь 2023'!$D$4:$D$1127,$B35,'ноябрь 2023'!$J$4:$J$1127,AC$1)</f>
        <v>0</v>
      </c>
      <c r="AD35" s="207">
        <f>SUMIFS('ноябрь 2023'!$G$4:$G$1127,'ноябрь 2023'!$D$4:$D$1127,$B35,'ноябрь 2023'!$J$4:$J$1127,AD$1)</f>
        <v>0</v>
      </c>
      <c r="AE35" s="207">
        <f>SUMIFS('ноябрь 2023'!$G$4:$G$1127,'ноябрь 2023'!$D$4:$D$1127,$B35,'ноябрь 2023'!$J$4:$J$1127,AE$1)</f>
        <v>0</v>
      </c>
      <c r="AF35" s="207">
        <f>SUMIFS('ноябрь 2023'!$G$4:$G$1127,'ноябрь 2023'!$D$4:$D$1127,$B35,'ноябрь 2023'!$J$4:$J$1127,AF$1)</f>
        <v>0</v>
      </c>
      <c r="AG35" s="207">
        <f>SUMIFS('ноябрь 2023'!$G$4:$G$1127,'ноябрь 2023'!$D$4:$D$1127,$B35,'ноябрь 2023'!$J$4:$J$1127,AG$1)</f>
        <v>0</v>
      </c>
      <c r="AH35" s="207">
        <f>SUMIFS('ноябрь 2023'!$G$4:$G$1127,'ноябрь 2023'!$D$4:$D$1127,$B35,'ноябрь 2023'!$J$4:$J$1127,AH$1)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4">
        <v>22.68</v>
      </c>
      <c r="D36" s="207">
        <f>SUMIFS('ноябрь 2023'!$G$4:$G$1127,'ноябрь 2023'!$D$4:$D$1127,$B36,'ноябрь 2023'!$J$4:$J$1127,D$1)</f>
        <v>0</v>
      </c>
      <c r="E36" s="207">
        <f>SUMIFS('ноябрь 2023'!$G$4:$G$1127,'ноябрь 2023'!$D$4:$D$1127,$B36,'ноябрь 2023'!$J$4:$J$1127,E$1)</f>
        <v>0</v>
      </c>
      <c r="F36" s="207">
        <f>SUMIFS('ноябрь 2023'!$G$4:$G$1127,'ноябрь 2023'!$D$4:$D$1127,$B36,'ноябрь 2023'!$J$4:$J$1127,F$1)</f>
        <v>0</v>
      </c>
      <c r="G36" s="207">
        <f>SUMIFS('ноябрь 2023'!$G$4:$G$1127,'ноябрь 2023'!$D$4:$D$1127,$B36,'ноябрь 2023'!$J$4:$J$1127,G$1)</f>
        <v>0</v>
      </c>
      <c r="H36" s="207">
        <f>SUMIFS('ноябрь 2023'!$G$4:$G$1127,'ноябрь 2023'!$D$4:$D$1127,$B36,'ноябрь 2023'!$J$4:$J$1127,H$1)</f>
        <v>0</v>
      </c>
      <c r="I36" s="207">
        <f>SUMIFS('ноябрь 2023'!$G$4:$G$1127,'ноябрь 2023'!$D$4:$D$1127,$B36,'ноябрь 2023'!$J$4:$J$1127,I$1)</f>
        <v>0</v>
      </c>
      <c r="J36" s="207">
        <f>SUMIFS('ноябрь 2023'!$G$4:$G$1127,'ноябрь 2023'!$D$4:$D$1127,$B36,'ноябрь 2023'!$J$4:$J$1127,J$1)</f>
        <v>0</v>
      </c>
      <c r="K36" s="207">
        <f>SUMIFS('ноябрь 2023'!$G$4:$G$1127,'ноябрь 2023'!$D$4:$D$1127,$B36,'ноябрь 2023'!$J$4:$J$1127,K$1)</f>
        <v>0</v>
      </c>
      <c r="L36" s="207">
        <f>SUMIFS('ноябрь 2023'!$G$4:$G$1127,'ноябрь 2023'!$D$4:$D$1127,$B36,'ноябрь 2023'!$J$4:$J$1127,L$1)</f>
        <v>0</v>
      </c>
      <c r="M36" s="207">
        <f>SUMIFS('ноябрь 2023'!$G$4:$G$1127,'ноябрь 2023'!$D$4:$D$1127,$B36,'ноябрь 2023'!$J$4:$J$1127,M$1)</f>
        <v>0</v>
      </c>
      <c r="N36" s="207">
        <f>SUMIFS('ноябрь 2023'!$G$4:$G$1127,'ноябрь 2023'!$D$4:$D$1127,$B36,'ноябрь 2023'!$J$4:$J$1127,N$1)</f>
        <v>0</v>
      </c>
      <c r="O36" s="207">
        <f>SUMIFS('ноябрь 2023'!$G$4:$G$1127,'ноябрь 2023'!$D$4:$D$1127,$B36,'ноябрь 2023'!$J$4:$J$1127,O$1)</f>
        <v>0</v>
      </c>
      <c r="P36" s="207">
        <f>SUMIFS('ноябрь 2023'!$G$4:$G$1127,'ноябрь 2023'!$D$4:$D$1127,$B36,'ноябрь 2023'!$J$4:$J$1127,P$1)</f>
        <v>0</v>
      </c>
      <c r="Q36" s="207">
        <f>SUMIFS('ноябрь 2023'!$G$4:$G$1127,'ноябрь 2023'!$D$4:$D$1127,$B36,'ноябрь 2023'!$J$4:$J$1127,Q$1)</f>
        <v>0</v>
      </c>
      <c r="R36" s="207">
        <f>SUMIFS('ноябрь 2023'!$G$4:$G$1127,'ноябрь 2023'!$D$4:$D$1127,$B36,'ноябрь 2023'!$J$4:$J$1127,R$1)</f>
        <v>0</v>
      </c>
      <c r="S36" s="207">
        <f>SUMIFS('ноябрь 2023'!$G$4:$G$1127,'ноябрь 2023'!$D$4:$D$1127,$B36,'ноябрь 2023'!$J$4:$J$1127,S$1)</f>
        <v>0</v>
      </c>
      <c r="T36" s="207">
        <f>SUMIFS('ноябрь 2023'!$G$4:$G$1127,'ноябрь 2023'!$D$4:$D$1127,$B36,'ноябрь 2023'!$J$4:$J$1127,T$1)</f>
        <v>0</v>
      </c>
      <c r="U36" s="207">
        <f>SUMIFS('ноябрь 2023'!$G$4:$G$1127,'ноябрь 2023'!$D$4:$D$1127,$B36,'ноябрь 2023'!$J$4:$J$1127,U$1)</f>
        <v>0</v>
      </c>
      <c r="V36" s="207">
        <f>SUMIFS('ноябрь 2023'!$G$4:$G$1127,'ноябрь 2023'!$D$4:$D$1127,$B36,'ноябрь 2023'!$J$4:$J$1127,V$1)</f>
        <v>0</v>
      </c>
      <c r="W36" s="207">
        <f>SUMIFS('ноябрь 2023'!$G$4:$G$1127,'ноябрь 2023'!$D$4:$D$1127,$B36,'ноябрь 2023'!$J$4:$J$1127,W$1)</f>
        <v>0</v>
      </c>
      <c r="X36" s="207">
        <f>SUMIFS('ноябрь 2023'!$G$4:$G$1127,'ноябрь 2023'!$D$4:$D$1127,$B36,'ноябрь 2023'!$J$4:$J$1127,X$1)</f>
        <v>0</v>
      </c>
      <c r="Y36" s="207">
        <f>SUMIFS('ноябрь 2023'!$G$4:$G$1127,'ноябрь 2023'!$D$4:$D$1127,$B36,'ноябрь 2023'!$J$4:$J$1127,Y$1)</f>
        <v>0</v>
      </c>
      <c r="Z36" s="207">
        <f>SUMIFS('ноябрь 2023'!$G$4:$G$1127,'ноябрь 2023'!$D$4:$D$1127,$B36,'ноябрь 2023'!$J$4:$J$1127,Z$1)</f>
        <v>0</v>
      </c>
      <c r="AA36" s="207">
        <f>SUMIFS('ноябрь 2023'!$G$4:$G$1127,'ноябрь 2023'!$D$4:$D$1127,$B36,'ноябрь 2023'!$J$4:$J$1127,AA$1)</f>
        <v>0</v>
      </c>
      <c r="AB36" s="207">
        <f>SUMIFS('ноябрь 2023'!$G$4:$G$1127,'ноябрь 2023'!$D$4:$D$1127,$B36,'ноябрь 2023'!$J$4:$J$1127,AB$1)</f>
        <v>0</v>
      </c>
      <c r="AC36" s="207">
        <f>SUMIFS('ноябрь 2023'!$G$4:$G$1127,'ноябрь 2023'!$D$4:$D$1127,$B36,'ноябрь 2023'!$J$4:$J$1127,AC$1)</f>
        <v>0</v>
      </c>
      <c r="AD36" s="207">
        <f>SUMIFS('ноябрь 2023'!$G$4:$G$1127,'ноябрь 2023'!$D$4:$D$1127,$B36,'ноябрь 2023'!$J$4:$J$1127,AD$1)</f>
        <v>0</v>
      </c>
      <c r="AE36" s="207">
        <f>SUMIFS('ноябрь 2023'!$G$4:$G$1127,'ноябрь 2023'!$D$4:$D$1127,$B36,'ноябрь 2023'!$J$4:$J$1127,AE$1)</f>
        <v>0</v>
      </c>
      <c r="AF36" s="207">
        <f>SUMIFS('ноябрь 2023'!$G$4:$G$1127,'ноябрь 2023'!$D$4:$D$1127,$B36,'ноябрь 2023'!$J$4:$J$1127,AF$1)</f>
        <v>0</v>
      </c>
      <c r="AG36" s="207">
        <f>SUMIFS('ноябрь 2023'!$G$4:$G$1127,'ноябрь 2023'!$D$4:$D$1127,$B36,'ноябрь 2023'!$J$4:$J$1127,AG$1)</f>
        <v>0</v>
      </c>
      <c r="AH36" s="207">
        <f>SUMIFS('ноябрь 2023'!$G$4:$G$1127,'ноябрь 2023'!$D$4:$D$1127,$B36,'ноябрь 2023'!$J$4:$J$1127,AH$1)</f>
        <v>0</v>
      </c>
      <c r="AI36" s="170">
        <f t="shared" si="1"/>
        <v>0</v>
      </c>
    </row>
    <row r="37" spans="2:35" ht="15" customHeight="1" x14ac:dyDescent="0.25">
      <c r="B37" s="212" t="s">
        <v>492</v>
      </c>
      <c r="C37" s="215">
        <v>25</v>
      </c>
      <c r="D37" s="207">
        <f>SUMIFS('ноябрь 2023'!$G$4:$G$1127,'ноябрь 2023'!$D$4:$D$1127,$B37,'ноябрь 2023'!$J$4:$J$1127,D$1)</f>
        <v>0</v>
      </c>
      <c r="E37" s="207">
        <f>SUMIFS('ноябрь 2023'!$G$4:$G$1127,'ноябрь 2023'!$D$4:$D$1127,$B37,'ноябрь 2023'!$J$4:$J$1127,E$1)</f>
        <v>0</v>
      </c>
      <c r="F37" s="207">
        <f>SUMIFS('ноябрь 2023'!$G$4:$G$1127,'ноябрь 2023'!$D$4:$D$1127,$B37,'ноябрь 2023'!$J$4:$J$1127,F$1)</f>
        <v>0</v>
      </c>
      <c r="G37" s="207">
        <f>SUMIFS('ноябрь 2023'!$G$4:$G$1127,'ноябрь 2023'!$D$4:$D$1127,$B37,'ноябрь 2023'!$J$4:$J$1127,G$1)</f>
        <v>0</v>
      </c>
      <c r="H37" s="207">
        <f>SUMIFS('ноябрь 2023'!$G$4:$G$1127,'ноябрь 2023'!$D$4:$D$1127,$B37,'ноябрь 2023'!$J$4:$J$1127,H$1)</f>
        <v>0</v>
      </c>
      <c r="I37" s="207">
        <f>SUMIFS('ноябрь 2023'!$G$4:$G$1127,'ноябрь 2023'!$D$4:$D$1127,$B37,'ноябрь 2023'!$J$4:$J$1127,I$1)</f>
        <v>0</v>
      </c>
      <c r="J37" s="207">
        <f>SUMIFS('ноябрь 2023'!$G$4:$G$1127,'ноябрь 2023'!$D$4:$D$1127,$B37,'ноябрь 2023'!$J$4:$J$1127,J$1)</f>
        <v>0</v>
      </c>
      <c r="K37" s="207">
        <f>SUMIFS('ноябрь 2023'!$G$4:$G$1127,'ноябрь 2023'!$D$4:$D$1127,$B37,'ноябрь 2023'!$J$4:$J$1127,K$1)</f>
        <v>0</v>
      </c>
      <c r="L37" s="207">
        <f>SUMIFS('ноябрь 2023'!$G$4:$G$1127,'ноябрь 2023'!$D$4:$D$1127,$B37,'ноябрь 2023'!$J$4:$J$1127,L$1)</f>
        <v>0</v>
      </c>
      <c r="M37" s="207">
        <f>SUMIFS('ноябрь 2023'!$G$4:$G$1127,'ноябрь 2023'!$D$4:$D$1127,$B37,'ноябрь 2023'!$J$4:$J$1127,M$1)</f>
        <v>0</v>
      </c>
      <c r="N37" s="207">
        <f>SUMIFS('ноябрь 2023'!$G$4:$G$1127,'ноябрь 2023'!$D$4:$D$1127,$B37,'ноябрь 2023'!$J$4:$J$1127,N$1)</f>
        <v>0</v>
      </c>
      <c r="O37" s="207">
        <f>SUMIFS('ноябрь 2023'!$G$4:$G$1127,'ноябрь 2023'!$D$4:$D$1127,$B37,'ноябрь 2023'!$J$4:$J$1127,O$1)</f>
        <v>0</v>
      </c>
      <c r="P37" s="207">
        <f>SUMIFS('ноябрь 2023'!$G$4:$G$1127,'ноябрь 2023'!$D$4:$D$1127,$B37,'ноябрь 2023'!$J$4:$J$1127,P$1)</f>
        <v>0</v>
      </c>
      <c r="Q37" s="207">
        <f>SUMIFS('ноябрь 2023'!$G$4:$G$1127,'ноябрь 2023'!$D$4:$D$1127,$B37,'ноябрь 2023'!$J$4:$J$1127,Q$1)</f>
        <v>0</v>
      </c>
      <c r="R37" s="207">
        <f>SUMIFS('ноябрь 2023'!$G$4:$G$1127,'ноябрь 2023'!$D$4:$D$1127,$B37,'ноябрь 2023'!$J$4:$J$1127,R$1)</f>
        <v>0</v>
      </c>
      <c r="S37" s="207">
        <f>SUMIFS('ноябрь 2023'!$G$4:$G$1127,'ноябрь 2023'!$D$4:$D$1127,$B37,'ноябрь 2023'!$J$4:$J$1127,S$1)</f>
        <v>0</v>
      </c>
      <c r="T37" s="207">
        <f>SUMIFS('ноябрь 2023'!$G$4:$G$1127,'ноябрь 2023'!$D$4:$D$1127,$B37,'ноябрь 2023'!$J$4:$J$1127,T$1)</f>
        <v>0</v>
      </c>
      <c r="U37" s="207">
        <f>SUMIFS('ноябрь 2023'!$G$4:$G$1127,'ноябрь 2023'!$D$4:$D$1127,$B37,'ноябрь 2023'!$J$4:$J$1127,U$1)</f>
        <v>0</v>
      </c>
      <c r="V37" s="207">
        <f>SUMIFS('ноябрь 2023'!$G$4:$G$1127,'ноябрь 2023'!$D$4:$D$1127,$B37,'ноябрь 2023'!$J$4:$J$1127,V$1)</f>
        <v>0</v>
      </c>
      <c r="W37" s="207">
        <f>SUMIFS('ноябрь 2023'!$G$4:$G$1127,'ноябрь 2023'!$D$4:$D$1127,$B37,'ноябрь 2023'!$J$4:$J$1127,W$1)</f>
        <v>0</v>
      </c>
      <c r="X37" s="207">
        <f>SUMIFS('ноябрь 2023'!$G$4:$G$1127,'ноябрь 2023'!$D$4:$D$1127,$B37,'ноябрь 2023'!$J$4:$J$1127,X$1)</f>
        <v>0</v>
      </c>
      <c r="Y37" s="207">
        <f>SUMIFS('ноябрь 2023'!$G$4:$G$1127,'ноябрь 2023'!$D$4:$D$1127,$B37,'ноябрь 2023'!$J$4:$J$1127,Y$1)</f>
        <v>0</v>
      </c>
      <c r="Z37" s="207">
        <f>SUMIFS('ноябрь 2023'!$G$4:$G$1127,'ноябрь 2023'!$D$4:$D$1127,$B37,'ноябрь 2023'!$J$4:$J$1127,Z$1)</f>
        <v>0</v>
      </c>
      <c r="AA37" s="207">
        <f>SUMIFS('ноябрь 2023'!$G$4:$G$1127,'ноябрь 2023'!$D$4:$D$1127,$B37,'ноябрь 2023'!$J$4:$J$1127,AA$1)</f>
        <v>0</v>
      </c>
      <c r="AB37" s="207">
        <f>SUMIFS('ноябрь 2023'!$G$4:$G$1127,'ноябрь 2023'!$D$4:$D$1127,$B37,'ноябрь 2023'!$J$4:$J$1127,AB$1)</f>
        <v>0</v>
      </c>
      <c r="AC37" s="207">
        <f>SUMIFS('ноябрь 2023'!$G$4:$G$1127,'ноябрь 2023'!$D$4:$D$1127,$B37,'ноябрь 2023'!$J$4:$J$1127,AC$1)</f>
        <v>0</v>
      </c>
      <c r="AD37" s="207">
        <f>SUMIFS('ноябрь 2023'!$G$4:$G$1127,'ноябрь 2023'!$D$4:$D$1127,$B37,'ноябрь 2023'!$J$4:$J$1127,AD$1)</f>
        <v>0</v>
      </c>
      <c r="AE37" s="207">
        <f>SUMIFS('ноябрь 2023'!$G$4:$G$1127,'ноябрь 2023'!$D$4:$D$1127,$B37,'ноябрь 2023'!$J$4:$J$1127,AE$1)</f>
        <v>0</v>
      </c>
      <c r="AF37" s="207">
        <f>SUMIFS('ноябрь 2023'!$G$4:$G$1127,'ноябрь 2023'!$D$4:$D$1127,$B37,'ноябрь 2023'!$J$4:$J$1127,AF$1)</f>
        <v>0</v>
      </c>
      <c r="AG37" s="207">
        <f>SUMIFS('ноябрь 2023'!$G$4:$G$1127,'ноябрь 2023'!$D$4:$D$1127,$B37,'ноябрь 2023'!$J$4:$J$1127,AG$1)</f>
        <v>0</v>
      </c>
      <c r="AH37" s="207">
        <f>SUMIFS('ноябрь 2023'!$G$4:$G$1127,'ноябрь 2023'!$D$4:$D$1127,$B37,'ноябрь 2023'!$J$4:$J$1127,AH$1)</f>
        <v>0</v>
      </c>
      <c r="AI37" s="170">
        <f t="shared" si="1"/>
        <v>0</v>
      </c>
    </row>
    <row r="38" spans="2:35" ht="15" customHeight="1" x14ac:dyDescent="0.25">
      <c r="B38" s="212" t="s">
        <v>1600</v>
      </c>
      <c r="C38" s="211">
        <v>25</v>
      </c>
      <c r="D38" s="207">
        <f>SUMIFS('ноябрь 2023'!$G$4:$G$1127,'ноябрь 2023'!$D$4:$D$1127,$B38,'ноябрь 2023'!$J$4:$J$1127,D$1)</f>
        <v>0</v>
      </c>
      <c r="E38" s="207">
        <f>SUMIFS('ноябрь 2023'!$G$4:$G$1127,'ноябрь 2023'!$D$4:$D$1127,$B38,'ноябрь 2023'!$J$4:$J$1127,E$1)</f>
        <v>0</v>
      </c>
      <c r="F38" s="207">
        <f>SUMIFS('ноябрь 2023'!$G$4:$G$1127,'ноябрь 2023'!$D$4:$D$1127,$B38,'ноябрь 2023'!$J$4:$J$1127,F$1)</f>
        <v>0</v>
      </c>
      <c r="G38" s="207">
        <f>SUMIFS('ноябрь 2023'!$G$4:$G$1127,'ноябрь 2023'!$D$4:$D$1127,$B38,'ноябрь 2023'!$J$4:$J$1127,G$1)</f>
        <v>0</v>
      </c>
      <c r="H38" s="207">
        <f>SUMIFS('ноябрь 2023'!$G$4:$G$1127,'ноябрь 2023'!$D$4:$D$1127,$B38,'ноябрь 2023'!$J$4:$J$1127,H$1)</f>
        <v>0</v>
      </c>
      <c r="I38" s="207">
        <f>SUMIFS('ноябрь 2023'!$G$4:$G$1127,'ноябрь 2023'!$D$4:$D$1127,$B38,'ноябрь 2023'!$J$4:$J$1127,I$1)</f>
        <v>0</v>
      </c>
      <c r="J38" s="207">
        <f>SUMIFS('ноябрь 2023'!$G$4:$G$1127,'ноябрь 2023'!$D$4:$D$1127,$B38,'ноябрь 2023'!$J$4:$J$1127,J$1)</f>
        <v>0</v>
      </c>
      <c r="K38" s="207">
        <f>SUMIFS('ноябрь 2023'!$G$4:$G$1127,'ноябрь 2023'!$D$4:$D$1127,$B38,'ноябрь 2023'!$J$4:$J$1127,K$1)</f>
        <v>0</v>
      </c>
      <c r="L38" s="207">
        <f>SUMIFS('ноябрь 2023'!$G$4:$G$1127,'ноябрь 2023'!$D$4:$D$1127,$B38,'ноябрь 2023'!$J$4:$J$1127,L$1)</f>
        <v>0</v>
      </c>
      <c r="M38" s="207">
        <f>SUMIFS('ноябрь 2023'!$G$4:$G$1127,'ноябрь 2023'!$D$4:$D$1127,$B38,'ноябрь 2023'!$J$4:$J$1127,M$1)</f>
        <v>0</v>
      </c>
      <c r="N38" s="207">
        <f>SUMIFS('ноябрь 2023'!$G$4:$G$1127,'ноябрь 2023'!$D$4:$D$1127,$B38,'ноябрь 2023'!$J$4:$J$1127,N$1)</f>
        <v>0</v>
      </c>
      <c r="O38" s="207">
        <f>SUMIFS('ноябрь 2023'!$G$4:$G$1127,'ноябрь 2023'!$D$4:$D$1127,$B38,'ноябрь 2023'!$J$4:$J$1127,O$1)</f>
        <v>0</v>
      </c>
      <c r="P38" s="207">
        <f>SUMIFS('ноябрь 2023'!$G$4:$G$1127,'ноябрь 2023'!$D$4:$D$1127,$B38,'ноябрь 2023'!$J$4:$J$1127,P$1)</f>
        <v>0</v>
      </c>
      <c r="Q38" s="207">
        <f>SUMIFS('ноябрь 2023'!$G$4:$G$1127,'ноябрь 2023'!$D$4:$D$1127,$B38,'ноябрь 2023'!$J$4:$J$1127,Q$1)</f>
        <v>0</v>
      </c>
      <c r="R38" s="207">
        <f>SUMIFS('ноябрь 2023'!$G$4:$G$1127,'ноябрь 2023'!$D$4:$D$1127,$B38,'ноябрь 2023'!$J$4:$J$1127,R$1)</f>
        <v>0</v>
      </c>
      <c r="S38" s="207">
        <f>SUMIFS('ноябрь 2023'!$G$4:$G$1127,'ноябрь 2023'!$D$4:$D$1127,$B38,'ноябрь 2023'!$J$4:$J$1127,S$1)</f>
        <v>0</v>
      </c>
      <c r="T38" s="207">
        <f>SUMIFS('ноябрь 2023'!$G$4:$G$1127,'ноябрь 2023'!$D$4:$D$1127,$B38,'ноябрь 2023'!$J$4:$J$1127,T$1)</f>
        <v>0</v>
      </c>
      <c r="U38" s="207">
        <f>SUMIFS('ноябрь 2023'!$G$4:$G$1127,'ноябрь 2023'!$D$4:$D$1127,$B38,'ноябрь 2023'!$J$4:$J$1127,U$1)</f>
        <v>0</v>
      </c>
      <c r="V38" s="207">
        <f>SUMIFS('ноябрь 2023'!$G$4:$G$1127,'ноябрь 2023'!$D$4:$D$1127,$B38,'ноябрь 2023'!$J$4:$J$1127,V$1)</f>
        <v>0</v>
      </c>
      <c r="W38" s="207">
        <f>SUMIFS('ноябрь 2023'!$G$4:$G$1127,'ноябрь 2023'!$D$4:$D$1127,$B38,'ноябрь 2023'!$J$4:$J$1127,W$1)</f>
        <v>0</v>
      </c>
      <c r="X38" s="207">
        <f>SUMIFS('ноябрь 2023'!$G$4:$G$1127,'ноябрь 2023'!$D$4:$D$1127,$B38,'ноябрь 2023'!$J$4:$J$1127,X$1)</f>
        <v>0</v>
      </c>
      <c r="Y38" s="207">
        <f>SUMIFS('ноябрь 2023'!$G$4:$G$1127,'ноябрь 2023'!$D$4:$D$1127,$B38,'ноябрь 2023'!$J$4:$J$1127,Y$1)</f>
        <v>0</v>
      </c>
      <c r="Z38" s="207">
        <f>SUMIFS('ноябрь 2023'!$G$4:$G$1127,'ноябрь 2023'!$D$4:$D$1127,$B38,'ноябрь 2023'!$J$4:$J$1127,Z$1)</f>
        <v>0</v>
      </c>
      <c r="AA38" s="207">
        <f>SUMIFS('ноябрь 2023'!$G$4:$G$1127,'ноябрь 2023'!$D$4:$D$1127,$B38,'ноябрь 2023'!$J$4:$J$1127,AA$1)</f>
        <v>0</v>
      </c>
      <c r="AB38" s="207">
        <f>SUMIFS('ноябрь 2023'!$G$4:$G$1127,'ноябрь 2023'!$D$4:$D$1127,$B38,'ноябрь 2023'!$J$4:$J$1127,AB$1)</f>
        <v>0</v>
      </c>
      <c r="AC38" s="207">
        <f>SUMIFS('ноябрь 2023'!$G$4:$G$1127,'ноябрь 2023'!$D$4:$D$1127,$B38,'ноябрь 2023'!$J$4:$J$1127,AC$1)</f>
        <v>0</v>
      </c>
      <c r="AD38" s="207">
        <f>SUMIFS('ноябрь 2023'!$G$4:$G$1127,'ноябрь 2023'!$D$4:$D$1127,$B38,'ноябрь 2023'!$J$4:$J$1127,AD$1)</f>
        <v>0</v>
      </c>
      <c r="AE38" s="207">
        <f>SUMIFS('ноябрь 2023'!$G$4:$G$1127,'ноябрь 2023'!$D$4:$D$1127,$B38,'ноябрь 2023'!$J$4:$J$1127,AE$1)</f>
        <v>0</v>
      </c>
      <c r="AF38" s="207">
        <f>SUMIFS('ноябрь 2023'!$G$4:$G$1127,'ноябрь 2023'!$D$4:$D$1127,$B38,'ноябрь 2023'!$J$4:$J$1127,AF$1)</f>
        <v>0</v>
      </c>
      <c r="AG38" s="207">
        <f>SUMIFS('ноябрь 2023'!$G$4:$G$1127,'ноябрь 2023'!$D$4:$D$1127,$B38,'ноябрь 2023'!$J$4:$J$1127,AG$1)</f>
        <v>0</v>
      </c>
      <c r="AH38" s="207">
        <f>SUMIFS('ноябрь 2023'!$G$4:$G$1127,'ноябрь 2023'!$D$4:$D$1127,$B38,'ноябрь 2023'!$J$4:$J$1127,AH$1)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SUMIFS('ноябрь 2023'!$G$4:$G$1127,'ноябрь 2023'!$D$4:$D$1127,$B39,'ноябрь 2023'!$J$4:$J$1127,D$1)</f>
        <v>0</v>
      </c>
      <c r="E39" s="207">
        <f>SUMIFS('ноябрь 2023'!$G$4:$G$1127,'ноябрь 2023'!$D$4:$D$1127,$B39,'ноябрь 2023'!$J$4:$J$1127,E$1)</f>
        <v>0</v>
      </c>
      <c r="F39" s="207">
        <f>SUMIFS('ноябрь 2023'!$G$4:$G$1127,'ноябрь 2023'!$D$4:$D$1127,$B39,'ноябрь 2023'!$J$4:$J$1127,F$1)</f>
        <v>0</v>
      </c>
      <c r="G39" s="207">
        <f>SUMIFS('ноябрь 2023'!$G$4:$G$1127,'ноябрь 2023'!$D$4:$D$1127,$B39,'ноябрь 2023'!$J$4:$J$1127,G$1)</f>
        <v>0</v>
      </c>
      <c r="H39" s="207">
        <f>SUMIFS('ноябрь 2023'!$G$4:$G$1127,'ноябрь 2023'!$D$4:$D$1127,$B39,'ноябрь 2023'!$J$4:$J$1127,H$1)</f>
        <v>0</v>
      </c>
      <c r="I39" s="207">
        <f>SUMIFS('ноябрь 2023'!$G$4:$G$1127,'ноябрь 2023'!$D$4:$D$1127,$B39,'ноябрь 2023'!$J$4:$J$1127,I$1)</f>
        <v>0</v>
      </c>
      <c r="J39" s="207">
        <f>SUMIFS('ноябрь 2023'!$G$4:$G$1127,'ноябрь 2023'!$D$4:$D$1127,$B39,'ноябрь 2023'!$J$4:$J$1127,J$1)</f>
        <v>0</v>
      </c>
      <c r="K39" s="207">
        <f>SUMIFS('ноябрь 2023'!$G$4:$G$1127,'ноябрь 2023'!$D$4:$D$1127,$B39,'ноябрь 2023'!$J$4:$J$1127,K$1)</f>
        <v>0</v>
      </c>
      <c r="L39" s="207">
        <f>SUMIFS('ноябрь 2023'!$G$4:$G$1127,'ноябрь 2023'!$D$4:$D$1127,$B39,'ноябрь 2023'!$J$4:$J$1127,L$1)</f>
        <v>0</v>
      </c>
      <c r="M39" s="207">
        <f>SUMIFS('ноябрь 2023'!$G$4:$G$1127,'ноябрь 2023'!$D$4:$D$1127,$B39,'ноябрь 2023'!$J$4:$J$1127,M$1)</f>
        <v>0</v>
      </c>
      <c r="N39" s="207">
        <f>SUMIFS('ноябрь 2023'!$G$4:$G$1127,'ноябрь 2023'!$D$4:$D$1127,$B39,'ноябрь 2023'!$J$4:$J$1127,N$1)</f>
        <v>0</v>
      </c>
      <c r="O39" s="207">
        <f>SUMIFS('ноябрь 2023'!$G$4:$G$1127,'ноябрь 2023'!$D$4:$D$1127,$B39,'ноябрь 2023'!$J$4:$J$1127,O$1)</f>
        <v>0</v>
      </c>
      <c r="P39" s="207">
        <f>SUMIFS('ноябрь 2023'!$G$4:$G$1127,'ноябрь 2023'!$D$4:$D$1127,$B39,'ноябрь 2023'!$J$4:$J$1127,P$1)</f>
        <v>0</v>
      </c>
      <c r="Q39" s="207">
        <f>SUMIFS('ноябрь 2023'!$G$4:$G$1127,'ноябрь 2023'!$D$4:$D$1127,$B39,'ноябрь 2023'!$J$4:$J$1127,Q$1)</f>
        <v>0</v>
      </c>
      <c r="R39" s="207">
        <f>SUMIFS('ноябрь 2023'!$G$4:$G$1127,'ноябрь 2023'!$D$4:$D$1127,$B39,'ноябрь 2023'!$J$4:$J$1127,R$1)</f>
        <v>0</v>
      </c>
      <c r="S39" s="207">
        <f>SUMIFS('ноябрь 2023'!$G$4:$G$1127,'ноябрь 2023'!$D$4:$D$1127,$B39,'ноябрь 2023'!$J$4:$J$1127,S$1)</f>
        <v>0</v>
      </c>
      <c r="T39" s="207">
        <f>SUMIFS('ноябрь 2023'!$G$4:$G$1127,'ноябрь 2023'!$D$4:$D$1127,$B39,'ноябрь 2023'!$J$4:$J$1127,T$1)</f>
        <v>0</v>
      </c>
      <c r="U39" s="207">
        <f>SUMIFS('ноябрь 2023'!$G$4:$G$1127,'ноябрь 2023'!$D$4:$D$1127,$B39,'ноябрь 2023'!$J$4:$J$1127,U$1)</f>
        <v>0</v>
      </c>
      <c r="V39" s="207">
        <f>SUMIFS('ноябрь 2023'!$G$4:$G$1127,'ноябрь 2023'!$D$4:$D$1127,$B39,'ноябрь 2023'!$J$4:$J$1127,V$1)</f>
        <v>0</v>
      </c>
      <c r="W39" s="207">
        <f>SUMIFS('ноябрь 2023'!$G$4:$G$1127,'ноябрь 2023'!$D$4:$D$1127,$B39,'ноябрь 2023'!$J$4:$J$1127,W$1)</f>
        <v>0</v>
      </c>
      <c r="X39" s="207">
        <f>SUMIFS('ноябрь 2023'!$G$4:$G$1127,'ноябрь 2023'!$D$4:$D$1127,$B39,'ноябрь 2023'!$J$4:$J$1127,X$1)</f>
        <v>0</v>
      </c>
      <c r="Y39" s="207">
        <f>SUMIFS('ноябрь 2023'!$G$4:$G$1127,'ноябрь 2023'!$D$4:$D$1127,$B39,'ноябрь 2023'!$J$4:$J$1127,Y$1)</f>
        <v>0</v>
      </c>
      <c r="Z39" s="207">
        <f>SUMIFS('ноябрь 2023'!$G$4:$G$1127,'ноябрь 2023'!$D$4:$D$1127,$B39,'ноябрь 2023'!$J$4:$J$1127,Z$1)</f>
        <v>0</v>
      </c>
      <c r="AA39" s="207">
        <f>SUMIFS('ноябрь 2023'!$G$4:$G$1127,'ноябрь 2023'!$D$4:$D$1127,$B39,'ноябрь 2023'!$J$4:$J$1127,AA$1)</f>
        <v>0</v>
      </c>
      <c r="AB39" s="207">
        <f>SUMIFS('ноябрь 2023'!$G$4:$G$1127,'ноябрь 2023'!$D$4:$D$1127,$B39,'ноябрь 2023'!$J$4:$J$1127,AB$1)</f>
        <v>0</v>
      </c>
      <c r="AC39" s="207">
        <f>SUMIFS('ноябрь 2023'!$G$4:$G$1127,'ноябрь 2023'!$D$4:$D$1127,$B39,'ноябрь 2023'!$J$4:$J$1127,AC$1)</f>
        <v>0</v>
      </c>
      <c r="AD39" s="207">
        <f>SUMIFS('ноябрь 2023'!$G$4:$G$1127,'ноябрь 2023'!$D$4:$D$1127,$B39,'ноябрь 2023'!$J$4:$J$1127,AD$1)</f>
        <v>0</v>
      </c>
      <c r="AE39" s="207">
        <f>SUMIFS('ноябрь 2023'!$G$4:$G$1127,'ноябрь 2023'!$D$4:$D$1127,$B39,'ноябрь 2023'!$J$4:$J$1127,AE$1)</f>
        <v>0</v>
      </c>
      <c r="AF39" s="207">
        <f>SUMIFS('ноябрь 2023'!$G$4:$G$1127,'ноябрь 2023'!$D$4:$D$1127,$B39,'ноябрь 2023'!$J$4:$J$1127,AF$1)</f>
        <v>0</v>
      </c>
      <c r="AG39" s="207">
        <f>SUMIFS('ноябрь 2023'!$G$4:$G$1127,'ноябрь 2023'!$D$4:$D$1127,$B39,'ноябрь 2023'!$J$4:$J$1127,AG$1)</f>
        <v>0</v>
      </c>
      <c r="AH39" s="207">
        <f>SUMIFS('ноябрь 2023'!$G$4:$G$1127,'ноябрь 2023'!$D$4:$D$1127,$B39,'ноябрь 2023'!$J$4:$J$1127,AH$1)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SUMIFS('ноябрь 2023'!$G$4:$G$1127,'ноябрь 2023'!$D$4:$D$1127,$B40,'ноябрь 2023'!$J$4:$J$1127,D$1)</f>
        <v>0</v>
      </c>
      <c r="E40" s="207">
        <f>SUMIFS('ноябрь 2023'!$G$4:$G$1127,'ноябрь 2023'!$D$4:$D$1127,$B40,'ноябрь 2023'!$J$4:$J$1127,E$1)</f>
        <v>0</v>
      </c>
      <c r="F40" s="207">
        <f>SUMIFS('ноябрь 2023'!$G$4:$G$1127,'ноябрь 2023'!$D$4:$D$1127,$B40,'ноябрь 2023'!$J$4:$J$1127,F$1)</f>
        <v>0</v>
      </c>
      <c r="G40" s="207">
        <f>SUMIFS('ноябрь 2023'!$G$4:$G$1127,'ноябрь 2023'!$D$4:$D$1127,$B40,'ноябрь 2023'!$J$4:$J$1127,G$1)</f>
        <v>0</v>
      </c>
      <c r="H40" s="207">
        <f>SUMIFS('ноябрь 2023'!$G$4:$G$1127,'ноябрь 2023'!$D$4:$D$1127,$B40,'ноябрь 2023'!$J$4:$J$1127,H$1)</f>
        <v>0</v>
      </c>
      <c r="I40" s="207">
        <f>SUMIFS('ноябрь 2023'!$G$4:$G$1127,'ноябрь 2023'!$D$4:$D$1127,$B40,'ноябрь 2023'!$J$4:$J$1127,I$1)</f>
        <v>0</v>
      </c>
      <c r="J40" s="207">
        <f>SUMIFS('ноябрь 2023'!$G$4:$G$1127,'ноябрь 2023'!$D$4:$D$1127,$B40,'ноябрь 2023'!$J$4:$J$1127,J$1)</f>
        <v>0</v>
      </c>
      <c r="K40" s="207">
        <f>SUMIFS('ноябрь 2023'!$G$4:$G$1127,'ноябрь 2023'!$D$4:$D$1127,$B40,'ноябрь 2023'!$J$4:$J$1127,K$1)</f>
        <v>0</v>
      </c>
      <c r="L40" s="207">
        <f>SUMIFS('ноябрь 2023'!$G$4:$G$1127,'ноябрь 2023'!$D$4:$D$1127,$B40,'ноябрь 2023'!$J$4:$J$1127,L$1)</f>
        <v>0</v>
      </c>
      <c r="M40" s="207">
        <f>SUMIFS('ноябрь 2023'!$G$4:$G$1127,'ноябрь 2023'!$D$4:$D$1127,$B40,'ноябрь 2023'!$J$4:$J$1127,M$1)</f>
        <v>0</v>
      </c>
      <c r="N40" s="207">
        <f>SUMIFS('ноябрь 2023'!$G$4:$G$1127,'ноябрь 2023'!$D$4:$D$1127,$B40,'ноябрь 2023'!$J$4:$J$1127,N$1)</f>
        <v>0</v>
      </c>
      <c r="O40" s="207">
        <f>SUMIFS('ноябрь 2023'!$G$4:$G$1127,'ноябрь 2023'!$D$4:$D$1127,$B40,'ноябрь 2023'!$J$4:$J$1127,O$1)</f>
        <v>0</v>
      </c>
      <c r="P40" s="207">
        <f>SUMIFS('ноябрь 2023'!$G$4:$G$1127,'ноябрь 2023'!$D$4:$D$1127,$B40,'ноябрь 2023'!$J$4:$J$1127,P$1)</f>
        <v>0</v>
      </c>
      <c r="Q40" s="207">
        <f>SUMIFS('ноябрь 2023'!$G$4:$G$1127,'ноябрь 2023'!$D$4:$D$1127,$B40,'ноябрь 2023'!$J$4:$J$1127,Q$1)</f>
        <v>0</v>
      </c>
      <c r="R40" s="207">
        <f>SUMIFS('ноябрь 2023'!$G$4:$G$1127,'ноябрь 2023'!$D$4:$D$1127,$B40,'ноябрь 2023'!$J$4:$J$1127,R$1)</f>
        <v>0</v>
      </c>
      <c r="S40" s="207">
        <f>SUMIFS('ноябрь 2023'!$G$4:$G$1127,'ноябрь 2023'!$D$4:$D$1127,$B40,'ноябрь 2023'!$J$4:$J$1127,S$1)</f>
        <v>0</v>
      </c>
      <c r="T40" s="207">
        <f>SUMIFS('ноябрь 2023'!$G$4:$G$1127,'ноябрь 2023'!$D$4:$D$1127,$B40,'ноябрь 2023'!$J$4:$J$1127,T$1)</f>
        <v>0</v>
      </c>
      <c r="U40" s="207">
        <f>SUMIFS('ноябрь 2023'!$G$4:$G$1127,'ноябрь 2023'!$D$4:$D$1127,$B40,'ноябрь 2023'!$J$4:$J$1127,U$1)</f>
        <v>0</v>
      </c>
      <c r="V40" s="207">
        <f>SUMIFS('ноябрь 2023'!$G$4:$G$1127,'ноябрь 2023'!$D$4:$D$1127,$B40,'ноябрь 2023'!$J$4:$J$1127,V$1)</f>
        <v>0</v>
      </c>
      <c r="W40" s="207">
        <f>SUMIFS('ноябрь 2023'!$G$4:$G$1127,'ноябрь 2023'!$D$4:$D$1127,$B40,'ноябрь 2023'!$J$4:$J$1127,W$1)</f>
        <v>0</v>
      </c>
      <c r="X40" s="207">
        <f>SUMIFS('ноябрь 2023'!$G$4:$G$1127,'ноябрь 2023'!$D$4:$D$1127,$B40,'ноябрь 2023'!$J$4:$J$1127,X$1)</f>
        <v>0</v>
      </c>
      <c r="Y40" s="207">
        <f>SUMIFS('ноябрь 2023'!$G$4:$G$1127,'ноябрь 2023'!$D$4:$D$1127,$B40,'ноябрь 2023'!$J$4:$J$1127,Y$1)</f>
        <v>0</v>
      </c>
      <c r="Z40" s="207">
        <f>SUMIFS('ноябрь 2023'!$G$4:$G$1127,'ноябрь 2023'!$D$4:$D$1127,$B40,'ноябрь 2023'!$J$4:$J$1127,Z$1)</f>
        <v>0</v>
      </c>
      <c r="AA40" s="207">
        <f>SUMIFS('ноябрь 2023'!$G$4:$G$1127,'ноябрь 2023'!$D$4:$D$1127,$B40,'ноябрь 2023'!$J$4:$J$1127,AA$1)</f>
        <v>0</v>
      </c>
      <c r="AB40" s="207">
        <f>SUMIFS('ноябрь 2023'!$G$4:$G$1127,'ноябрь 2023'!$D$4:$D$1127,$B40,'ноябрь 2023'!$J$4:$J$1127,AB$1)</f>
        <v>0</v>
      </c>
      <c r="AC40" s="207">
        <f>SUMIFS('ноябрь 2023'!$G$4:$G$1127,'ноябрь 2023'!$D$4:$D$1127,$B40,'ноябрь 2023'!$J$4:$J$1127,AC$1)</f>
        <v>0</v>
      </c>
      <c r="AD40" s="207">
        <f>SUMIFS('ноябрь 2023'!$G$4:$G$1127,'ноябрь 2023'!$D$4:$D$1127,$B40,'ноябрь 2023'!$J$4:$J$1127,AD$1)</f>
        <v>0</v>
      </c>
      <c r="AE40" s="207">
        <f>SUMIFS('ноябрь 2023'!$G$4:$G$1127,'ноябрь 2023'!$D$4:$D$1127,$B40,'ноябрь 2023'!$J$4:$J$1127,AE$1)</f>
        <v>0</v>
      </c>
      <c r="AF40" s="207">
        <f>SUMIFS('ноябрь 2023'!$G$4:$G$1127,'ноябрь 2023'!$D$4:$D$1127,$B40,'ноябрь 2023'!$J$4:$J$1127,AF$1)</f>
        <v>0</v>
      </c>
      <c r="AG40" s="207">
        <f>SUMIFS('ноябрь 2023'!$G$4:$G$1127,'ноябрь 2023'!$D$4:$D$1127,$B40,'ноябрь 2023'!$J$4:$J$1127,AG$1)</f>
        <v>0</v>
      </c>
      <c r="AH40" s="207">
        <f>SUMIFS('ноябрь 2023'!$G$4:$G$1127,'ноябрь 2023'!$D$4:$D$1127,$B40,'ноябрь 2023'!$J$4:$J$1127,AH$1)</f>
        <v>0</v>
      </c>
      <c r="AI40" s="170">
        <f t="shared" si="1"/>
        <v>0</v>
      </c>
    </row>
    <row r="41" spans="2:35" ht="15" customHeight="1" x14ac:dyDescent="0.25">
      <c r="B41" s="216" t="s">
        <v>2125</v>
      </c>
      <c r="C41" s="213">
        <v>25</v>
      </c>
      <c r="D41" s="207">
        <f>SUMIFS('ноябрь 2023'!$G$4:$G$1127,'ноябрь 2023'!$D$4:$D$1127,$B41,'ноябрь 2023'!$J$4:$J$1127,D$1)</f>
        <v>0</v>
      </c>
      <c r="E41" s="207">
        <f>SUMIFS('ноябрь 2023'!$G$4:$G$1127,'ноябрь 2023'!$D$4:$D$1127,$B41,'ноябрь 2023'!$J$4:$J$1127,E$1)</f>
        <v>0</v>
      </c>
      <c r="F41" s="207">
        <f>SUMIFS('ноябрь 2023'!$G$4:$G$1127,'ноябрь 2023'!$D$4:$D$1127,$B41,'ноябрь 2023'!$J$4:$J$1127,F$1)</f>
        <v>0</v>
      </c>
      <c r="G41" s="207">
        <f>SUMIFS('ноябрь 2023'!$G$4:$G$1127,'ноябрь 2023'!$D$4:$D$1127,$B41,'ноябрь 2023'!$J$4:$J$1127,G$1)</f>
        <v>0</v>
      </c>
      <c r="H41" s="207">
        <f>SUMIFS('ноябрь 2023'!$G$4:$G$1127,'ноябрь 2023'!$D$4:$D$1127,$B41,'ноябрь 2023'!$J$4:$J$1127,H$1)</f>
        <v>0</v>
      </c>
      <c r="I41" s="207">
        <f>SUMIFS('ноябрь 2023'!$G$4:$G$1127,'ноябрь 2023'!$D$4:$D$1127,$B41,'ноябрь 2023'!$J$4:$J$1127,I$1)</f>
        <v>0</v>
      </c>
      <c r="J41" s="207">
        <f>SUMIFS('ноябрь 2023'!$G$4:$G$1127,'ноябрь 2023'!$D$4:$D$1127,$B41,'ноябрь 2023'!$J$4:$J$1127,J$1)</f>
        <v>0</v>
      </c>
      <c r="K41" s="207">
        <f>SUMIFS('ноябрь 2023'!$G$4:$G$1127,'ноябрь 2023'!$D$4:$D$1127,$B41,'ноябрь 2023'!$J$4:$J$1127,K$1)</f>
        <v>0</v>
      </c>
      <c r="L41" s="207">
        <f>SUMIFS('ноябрь 2023'!$G$4:$G$1127,'ноябрь 2023'!$D$4:$D$1127,$B41,'ноябрь 2023'!$J$4:$J$1127,L$1)</f>
        <v>0</v>
      </c>
      <c r="M41" s="207">
        <f>SUMIFS('ноябрь 2023'!$G$4:$G$1127,'ноябрь 2023'!$D$4:$D$1127,$B41,'ноябрь 2023'!$J$4:$J$1127,M$1)</f>
        <v>0</v>
      </c>
      <c r="N41" s="207">
        <f>SUMIFS('ноябрь 2023'!$G$4:$G$1127,'ноябрь 2023'!$D$4:$D$1127,$B41,'ноябрь 2023'!$J$4:$J$1127,N$1)</f>
        <v>0</v>
      </c>
      <c r="O41" s="207">
        <f>SUMIFS('ноябрь 2023'!$G$4:$G$1127,'ноябрь 2023'!$D$4:$D$1127,$B41,'ноябрь 2023'!$J$4:$J$1127,O$1)</f>
        <v>0</v>
      </c>
      <c r="P41" s="207">
        <f>SUMIFS('ноябрь 2023'!$G$4:$G$1127,'ноябрь 2023'!$D$4:$D$1127,$B41,'ноябрь 2023'!$J$4:$J$1127,P$1)</f>
        <v>0</v>
      </c>
      <c r="Q41" s="207">
        <f>SUMIFS('ноябрь 2023'!$G$4:$G$1127,'ноябрь 2023'!$D$4:$D$1127,$B41,'ноябрь 2023'!$J$4:$J$1127,Q$1)</f>
        <v>0</v>
      </c>
      <c r="R41" s="207">
        <f>SUMIFS('ноябрь 2023'!$G$4:$G$1127,'ноябрь 2023'!$D$4:$D$1127,$B41,'ноябрь 2023'!$J$4:$J$1127,R$1)</f>
        <v>0</v>
      </c>
      <c r="S41" s="207">
        <f>SUMIFS('ноябрь 2023'!$G$4:$G$1127,'ноябрь 2023'!$D$4:$D$1127,$B41,'ноябрь 2023'!$J$4:$J$1127,S$1)</f>
        <v>0</v>
      </c>
      <c r="T41" s="207">
        <f>SUMIFS('ноябрь 2023'!$G$4:$G$1127,'ноябрь 2023'!$D$4:$D$1127,$B41,'ноябрь 2023'!$J$4:$J$1127,T$1)</f>
        <v>0</v>
      </c>
      <c r="U41" s="207">
        <f>SUMIFS('ноябрь 2023'!$G$4:$G$1127,'ноябрь 2023'!$D$4:$D$1127,$B41,'ноябрь 2023'!$J$4:$J$1127,U$1)</f>
        <v>0</v>
      </c>
      <c r="V41" s="207">
        <f>SUMIFS('ноябрь 2023'!$G$4:$G$1127,'ноябрь 2023'!$D$4:$D$1127,$B41,'ноябрь 2023'!$J$4:$J$1127,V$1)</f>
        <v>0</v>
      </c>
      <c r="W41" s="207">
        <f>SUMIFS('ноябрь 2023'!$G$4:$G$1127,'ноябрь 2023'!$D$4:$D$1127,$B41,'ноябрь 2023'!$J$4:$J$1127,W$1)</f>
        <v>0</v>
      </c>
      <c r="X41" s="207">
        <f>SUMIFS('ноябрь 2023'!$G$4:$G$1127,'ноябрь 2023'!$D$4:$D$1127,$B41,'ноябрь 2023'!$J$4:$J$1127,X$1)</f>
        <v>0</v>
      </c>
      <c r="Y41" s="207">
        <f>SUMIFS('ноябрь 2023'!$G$4:$G$1127,'ноябрь 2023'!$D$4:$D$1127,$B41,'ноябрь 2023'!$J$4:$J$1127,Y$1)</f>
        <v>0</v>
      </c>
      <c r="Z41" s="207">
        <f>SUMIFS('ноябрь 2023'!$G$4:$G$1127,'ноябрь 2023'!$D$4:$D$1127,$B41,'ноябрь 2023'!$J$4:$J$1127,Z$1)</f>
        <v>0</v>
      </c>
      <c r="AA41" s="207">
        <f>SUMIFS('ноябрь 2023'!$G$4:$G$1127,'ноябрь 2023'!$D$4:$D$1127,$B41,'ноябрь 2023'!$J$4:$J$1127,AA$1)</f>
        <v>0</v>
      </c>
      <c r="AB41" s="207">
        <f>SUMIFS('ноябрь 2023'!$G$4:$G$1127,'ноябрь 2023'!$D$4:$D$1127,$B41,'ноябрь 2023'!$J$4:$J$1127,AB$1)</f>
        <v>0</v>
      </c>
      <c r="AC41" s="207">
        <f>SUMIFS('ноябрь 2023'!$G$4:$G$1127,'ноябрь 2023'!$D$4:$D$1127,$B41,'ноябрь 2023'!$J$4:$J$1127,AC$1)</f>
        <v>0</v>
      </c>
      <c r="AD41" s="207">
        <f>SUMIFS('ноябрь 2023'!$G$4:$G$1127,'ноябрь 2023'!$D$4:$D$1127,$B41,'ноябрь 2023'!$J$4:$J$1127,AD$1)</f>
        <v>0</v>
      </c>
      <c r="AE41" s="207">
        <f>SUMIFS('ноябрь 2023'!$G$4:$G$1127,'ноябрь 2023'!$D$4:$D$1127,$B41,'ноябрь 2023'!$J$4:$J$1127,AE$1)</f>
        <v>0</v>
      </c>
      <c r="AF41" s="207">
        <f>SUMIFS('ноябрь 2023'!$G$4:$G$1127,'ноябрь 2023'!$D$4:$D$1127,$B41,'ноябрь 2023'!$J$4:$J$1127,AF$1)</f>
        <v>0</v>
      </c>
      <c r="AG41" s="207">
        <f>SUMIFS('ноябрь 2023'!$G$4:$G$1127,'ноябрь 2023'!$D$4:$D$1127,$B41,'ноябрь 2023'!$J$4:$J$1127,AG$1)</f>
        <v>0</v>
      </c>
      <c r="AH41" s="207">
        <f>SUMIFS('ноябрь 2023'!$G$4:$G$1127,'ноябрь 2023'!$D$4:$D$1127,$B41,'ноябрь 2023'!$J$4:$J$1127,AH$1)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SUMIFS('ноябрь 2023'!$G$4:$G$1127,'ноябрь 2023'!$D$4:$D$1127,$B42,'ноябрь 2023'!$J$4:$J$1127,D$1)</f>
        <v>0</v>
      </c>
      <c r="E42" s="207">
        <f>SUMIFS('ноябрь 2023'!$G$4:$G$1127,'ноябрь 2023'!$D$4:$D$1127,$B42,'ноябрь 2023'!$J$4:$J$1127,E$1)</f>
        <v>0</v>
      </c>
      <c r="F42" s="207">
        <f>SUMIFS('ноябрь 2023'!$G$4:$G$1127,'ноябрь 2023'!$D$4:$D$1127,$B42,'ноябрь 2023'!$J$4:$J$1127,F$1)</f>
        <v>0</v>
      </c>
      <c r="G42" s="207">
        <f>SUMIFS('ноябрь 2023'!$G$4:$G$1127,'ноябрь 2023'!$D$4:$D$1127,$B42,'ноябрь 2023'!$J$4:$J$1127,G$1)</f>
        <v>0</v>
      </c>
      <c r="H42" s="207">
        <f>SUMIFS('ноябрь 2023'!$G$4:$G$1127,'ноябрь 2023'!$D$4:$D$1127,$B42,'ноябрь 2023'!$J$4:$J$1127,H$1)</f>
        <v>0</v>
      </c>
      <c r="I42" s="207">
        <f>SUMIFS('ноябрь 2023'!$G$4:$G$1127,'ноябрь 2023'!$D$4:$D$1127,$B42,'ноябрь 2023'!$J$4:$J$1127,I$1)</f>
        <v>0</v>
      </c>
      <c r="J42" s="207">
        <f>SUMIFS('ноябрь 2023'!$G$4:$G$1127,'ноябрь 2023'!$D$4:$D$1127,$B42,'ноябрь 2023'!$J$4:$J$1127,J$1)</f>
        <v>0</v>
      </c>
      <c r="K42" s="207">
        <f>SUMIFS('ноябрь 2023'!$G$4:$G$1127,'ноябрь 2023'!$D$4:$D$1127,$B42,'ноябрь 2023'!$J$4:$J$1127,K$1)</f>
        <v>790</v>
      </c>
      <c r="L42" s="207">
        <f>SUMIFS('ноябрь 2023'!$G$4:$G$1127,'ноябрь 2023'!$D$4:$D$1127,$B42,'ноябрь 2023'!$J$4:$J$1127,L$1)</f>
        <v>0</v>
      </c>
      <c r="M42" s="207">
        <f>SUMIFS('ноябрь 2023'!$G$4:$G$1127,'ноябрь 2023'!$D$4:$D$1127,$B42,'ноябрь 2023'!$J$4:$J$1127,M$1)</f>
        <v>0</v>
      </c>
      <c r="N42" s="207">
        <f>SUMIFS('ноябрь 2023'!$G$4:$G$1127,'ноябрь 2023'!$D$4:$D$1127,$B42,'ноябрь 2023'!$J$4:$J$1127,N$1)</f>
        <v>0</v>
      </c>
      <c r="O42" s="207">
        <f>SUMIFS('ноябрь 2023'!$G$4:$G$1127,'ноябрь 2023'!$D$4:$D$1127,$B42,'ноябрь 2023'!$J$4:$J$1127,O$1)</f>
        <v>0</v>
      </c>
      <c r="P42" s="207">
        <f>SUMIFS('ноябрь 2023'!$G$4:$G$1127,'ноябрь 2023'!$D$4:$D$1127,$B42,'ноябрь 2023'!$J$4:$J$1127,P$1)</f>
        <v>0</v>
      </c>
      <c r="Q42" s="207">
        <f>SUMIFS('ноябрь 2023'!$G$4:$G$1127,'ноябрь 2023'!$D$4:$D$1127,$B42,'ноябрь 2023'!$J$4:$J$1127,Q$1)</f>
        <v>90</v>
      </c>
      <c r="R42" s="207">
        <f>SUMIFS('ноябрь 2023'!$G$4:$G$1127,'ноябрь 2023'!$D$4:$D$1127,$B42,'ноябрь 2023'!$J$4:$J$1127,R$1)</f>
        <v>0</v>
      </c>
      <c r="S42" s="207">
        <f>SUMIFS('ноябрь 2023'!$G$4:$G$1127,'ноябрь 2023'!$D$4:$D$1127,$B42,'ноябрь 2023'!$J$4:$J$1127,S$1)</f>
        <v>0</v>
      </c>
      <c r="T42" s="207">
        <f>SUMIFS('ноябрь 2023'!$G$4:$G$1127,'ноябрь 2023'!$D$4:$D$1127,$B42,'ноябрь 2023'!$J$4:$J$1127,T$1)</f>
        <v>0</v>
      </c>
      <c r="U42" s="207">
        <f>SUMIFS('ноябрь 2023'!$G$4:$G$1127,'ноябрь 2023'!$D$4:$D$1127,$B42,'ноябрь 2023'!$J$4:$J$1127,U$1)</f>
        <v>0</v>
      </c>
      <c r="V42" s="207">
        <f>SUMIFS('ноябрь 2023'!$G$4:$G$1127,'ноябрь 2023'!$D$4:$D$1127,$B42,'ноябрь 2023'!$J$4:$J$1127,V$1)</f>
        <v>0</v>
      </c>
      <c r="W42" s="207">
        <f>SUMIFS('ноябрь 2023'!$G$4:$G$1127,'ноябрь 2023'!$D$4:$D$1127,$B42,'ноябрь 2023'!$J$4:$J$1127,W$1)</f>
        <v>0</v>
      </c>
      <c r="X42" s="207">
        <f>SUMIFS('ноябрь 2023'!$G$4:$G$1127,'ноябрь 2023'!$D$4:$D$1127,$B42,'ноябрь 2023'!$J$4:$J$1127,X$1)</f>
        <v>0</v>
      </c>
      <c r="Y42" s="207">
        <f>SUMIFS('ноябрь 2023'!$G$4:$G$1127,'ноябрь 2023'!$D$4:$D$1127,$B42,'ноябрь 2023'!$J$4:$J$1127,Y$1)</f>
        <v>0</v>
      </c>
      <c r="Z42" s="207">
        <f>SUMIFS('ноябрь 2023'!$G$4:$G$1127,'ноябрь 2023'!$D$4:$D$1127,$B42,'ноябрь 2023'!$J$4:$J$1127,Z$1)</f>
        <v>0</v>
      </c>
      <c r="AA42" s="207">
        <f>SUMIFS('ноябрь 2023'!$G$4:$G$1127,'ноябрь 2023'!$D$4:$D$1127,$B42,'ноябрь 2023'!$J$4:$J$1127,AA$1)</f>
        <v>0</v>
      </c>
      <c r="AB42" s="207">
        <f>SUMIFS('ноябрь 2023'!$G$4:$G$1127,'ноябрь 2023'!$D$4:$D$1127,$B42,'ноябрь 2023'!$J$4:$J$1127,AB$1)</f>
        <v>0</v>
      </c>
      <c r="AC42" s="207">
        <f>SUMIFS('ноябрь 2023'!$G$4:$G$1127,'ноябрь 2023'!$D$4:$D$1127,$B42,'ноябрь 2023'!$J$4:$J$1127,AC$1)</f>
        <v>0</v>
      </c>
      <c r="AD42" s="207">
        <f>SUMIFS('ноябрь 2023'!$G$4:$G$1127,'ноябрь 2023'!$D$4:$D$1127,$B42,'ноябрь 2023'!$J$4:$J$1127,AD$1)</f>
        <v>0</v>
      </c>
      <c r="AE42" s="207">
        <f>SUMIFS('ноябрь 2023'!$G$4:$G$1127,'ноябрь 2023'!$D$4:$D$1127,$B42,'ноябрь 2023'!$J$4:$J$1127,AE$1)</f>
        <v>0</v>
      </c>
      <c r="AF42" s="207">
        <f>SUMIFS('ноябрь 2023'!$G$4:$G$1127,'ноябрь 2023'!$D$4:$D$1127,$B42,'ноябрь 2023'!$J$4:$J$1127,AF$1)</f>
        <v>0</v>
      </c>
      <c r="AG42" s="207">
        <f>SUMIFS('ноябрь 2023'!$G$4:$G$1127,'ноябрь 2023'!$D$4:$D$1127,$B42,'ноябрь 2023'!$J$4:$J$1127,AG$1)</f>
        <v>0</v>
      </c>
      <c r="AH42" s="207">
        <f>SUMIFS('ноябрь 2023'!$G$4:$G$1127,'ноябрь 2023'!$D$4:$D$1127,$B42,'ноябрь 2023'!$J$4:$J$1127,AH$1)</f>
        <v>0</v>
      </c>
      <c r="AI42" s="170">
        <f t="shared" si="1"/>
        <v>880</v>
      </c>
    </row>
    <row r="43" spans="2:35" ht="15" customHeight="1" x14ac:dyDescent="0.25">
      <c r="B43" s="216" t="s">
        <v>684</v>
      </c>
      <c r="C43" s="213">
        <v>20</v>
      </c>
      <c r="D43" s="207">
        <f>SUMIFS('ноябрь 2023'!$G$4:$G$1127,'ноябрь 2023'!$D$4:$D$1127,$B43,'ноябрь 2023'!$J$4:$J$1127,D$1)</f>
        <v>0</v>
      </c>
      <c r="E43" s="207">
        <f>SUMIFS('ноябрь 2023'!$G$4:$G$1127,'ноябрь 2023'!$D$4:$D$1127,$B43,'ноябрь 2023'!$J$4:$J$1127,E$1)</f>
        <v>0</v>
      </c>
      <c r="F43" s="207">
        <f>SUMIFS('ноябрь 2023'!$G$4:$G$1127,'ноябрь 2023'!$D$4:$D$1127,$B43,'ноябрь 2023'!$J$4:$J$1127,F$1)</f>
        <v>0</v>
      </c>
      <c r="G43" s="207">
        <f>SUMIFS('ноябрь 2023'!$G$4:$G$1127,'ноябрь 2023'!$D$4:$D$1127,$B43,'ноябрь 2023'!$J$4:$J$1127,G$1)</f>
        <v>0</v>
      </c>
      <c r="H43" s="207">
        <f>SUMIFS('ноябрь 2023'!$G$4:$G$1127,'ноябрь 2023'!$D$4:$D$1127,$B43,'ноябрь 2023'!$J$4:$J$1127,H$1)</f>
        <v>0</v>
      </c>
      <c r="I43" s="207">
        <f>SUMIFS('ноябрь 2023'!$G$4:$G$1127,'ноябрь 2023'!$D$4:$D$1127,$B43,'ноябрь 2023'!$J$4:$J$1127,I$1)</f>
        <v>0</v>
      </c>
      <c r="J43" s="207">
        <f>SUMIFS('ноябрь 2023'!$G$4:$G$1127,'ноябрь 2023'!$D$4:$D$1127,$B43,'ноябрь 2023'!$J$4:$J$1127,J$1)</f>
        <v>0</v>
      </c>
      <c r="K43" s="207">
        <f>SUMIFS('ноябрь 2023'!$G$4:$G$1127,'ноябрь 2023'!$D$4:$D$1127,$B43,'ноябрь 2023'!$J$4:$J$1127,K$1)</f>
        <v>0</v>
      </c>
      <c r="L43" s="207">
        <f>SUMIFS('ноябрь 2023'!$G$4:$G$1127,'ноябрь 2023'!$D$4:$D$1127,$B43,'ноябрь 2023'!$J$4:$J$1127,L$1)</f>
        <v>0</v>
      </c>
      <c r="M43" s="207">
        <f>SUMIFS('ноябрь 2023'!$G$4:$G$1127,'ноябрь 2023'!$D$4:$D$1127,$B43,'ноябрь 2023'!$J$4:$J$1127,M$1)</f>
        <v>0</v>
      </c>
      <c r="N43" s="207">
        <f>SUMIFS('ноябрь 2023'!$G$4:$G$1127,'ноябрь 2023'!$D$4:$D$1127,$B43,'ноябрь 2023'!$J$4:$J$1127,N$1)</f>
        <v>0</v>
      </c>
      <c r="O43" s="207">
        <f>SUMIFS('ноябрь 2023'!$G$4:$G$1127,'ноябрь 2023'!$D$4:$D$1127,$B43,'ноябрь 2023'!$J$4:$J$1127,O$1)</f>
        <v>0</v>
      </c>
      <c r="P43" s="207">
        <f>SUMIFS('ноябрь 2023'!$G$4:$G$1127,'ноябрь 2023'!$D$4:$D$1127,$B43,'ноябрь 2023'!$J$4:$J$1127,P$1)</f>
        <v>0</v>
      </c>
      <c r="Q43" s="207">
        <f>SUMIFS('ноябрь 2023'!$G$4:$G$1127,'ноябрь 2023'!$D$4:$D$1127,$B43,'ноябрь 2023'!$J$4:$J$1127,Q$1)</f>
        <v>0</v>
      </c>
      <c r="R43" s="207">
        <f>SUMIFS('ноябрь 2023'!$G$4:$G$1127,'ноябрь 2023'!$D$4:$D$1127,$B43,'ноябрь 2023'!$J$4:$J$1127,R$1)</f>
        <v>0</v>
      </c>
      <c r="S43" s="207">
        <f>SUMIFS('ноябрь 2023'!$G$4:$G$1127,'ноябрь 2023'!$D$4:$D$1127,$B43,'ноябрь 2023'!$J$4:$J$1127,S$1)</f>
        <v>0</v>
      </c>
      <c r="T43" s="207">
        <f>SUMIFS('ноябрь 2023'!$G$4:$G$1127,'ноябрь 2023'!$D$4:$D$1127,$B43,'ноябрь 2023'!$J$4:$J$1127,T$1)</f>
        <v>0</v>
      </c>
      <c r="U43" s="207">
        <f>SUMIFS('ноябрь 2023'!$G$4:$G$1127,'ноябрь 2023'!$D$4:$D$1127,$B43,'ноябрь 2023'!$J$4:$J$1127,U$1)</f>
        <v>0</v>
      </c>
      <c r="V43" s="207">
        <f>SUMIFS('ноябрь 2023'!$G$4:$G$1127,'ноябрь 2023'!$D$4:$D$1127,$B43,'ноябрь 2023'!$J$4:$J$1127,V$1)</f>
        <v>0</v>
      </c>
      <c r="W43" s="207">
        <f>SUMIFS('ноябрь 2023'!$G$4:$G$1127,'ноябрь 2023'!$D$4:$D$1127,$B43,'ноябрь 2023'!$J$4:$J$1127,W$1)</f>
        <v>0</v>
      </c>
      <c r="X43" s="207">
        <f>SUMIFS('ноябрь 2023'!$G$4:$G$1127,'ноябрь 2023'!$D$4:$D$1127,$B43,'ноябрь 2023'!$J$4:$J$1127,X$1)</f>
        <v>0</v>
      </c>
      <c r="Y43" s="207">
        <f>SUMIFS('ноябрь 2023'!$G$4:$G$1127,'ноябрь 2023'!$D$4:$D$1127,$B43,'ноябрь 2023'!$J$4:$J$1127,Y$1)</f>
        <v>0</v>
      </c>
      <c r="Z43" s="207">
        <f>SUMIFS('ноябрь 2023'!$G$4:$G$1127,'ноябрь 2023'!$D$4:$D$1127,$B43,'ноябрь 2023'!$J$4:$J$1127,Z$1)</f>
        <v>0</v>
      </c>
      <c r="AA43" s="207">
        <f>SUMIFS('ноябрь 2023'!$G$4:$G$1127,'ноябрь 2023'!$D$4:$D$1127,$B43,'ноябрь 2023'!$J$4:$J$1127,AA$1)</f>
        <v>0</v>
      </c>
      <c r="AB43" s="207">
        <f>SUMIFS('ноябрь 2023'!$G$4:$G$1127,'ноябрь 2023'!$D$4:$D$1127,$B43,'ноябрь 2023'!$J$4:$J$1127,AB$1)</f>
        <v>0</v>
      </c>
      <c r="AC43" s="207">
        <f>SUMIFS('ноябрь 2023'!$G$4:$G$1127,'ноябрь 2023'!$D$4:$D$1127,$B43,'ноябрь 2023'!$J$4:$J$1127,AC$1)</f>
        <v>0</v>
      </c>
      <c r="AD43" s="207">
        <f>SUMIFS('ноябрь 2023'!$G$4:$G$1127,'ноябрь 2023'!$D$4:$D$1127,$B43,'ноябрь 2023'!$J$4:$J$1127,AD$1)</f>
        <v>0</v>
      </c>
      <c r="AE43" s="207">
        <f>SUMIFS('ноябрь 2023'!$G$4:$G$1127,'ноябрь 2023'!$D$4:$D$1127,$B43,'ноябрь 2023'!$J$4:$J$1127,AE$1)</f>
        <v>0</v>
      </c>
      <c r="AF43" s="207">
        <f>SUMIFS('ноябрь 2023'!$G$4:$G$1127,'ноябрь 2023'!$D$4:$D$1127,$B43,'ноябрь 2023'!$J$4:$J$1127,AF$1)</f>
        <v>0</v>
      </c>
      <c r="AG43" s="207">
        <f>SUMIFS('ноябрь 2023'!$G$4:$G$1127,'ноябрь 2023'!$D$4:$D$1127,$B43,'ноябрь 2023'!$J$4:$J$1127,AG$1)</f>
        <v>0</v>
      </c>
      <c r="AH43" s="207">
        <f>SUMIFS('ноябрь 2023'!$G$4:$G$1127,'ноябрь 2023'!$D$4:$D$1127,$B43,'ноябрь 2023'!$J$4:$J$1127,AH$1)</f>
        <v>0</v>
      </c>
      <c r="AI43" s="170">
        <f t="shared" si="1"/>
        <v>0</v>
      </c>
    </row>
    <row r="44" spans="2:35" ht="15" customHeight="1" x14ac:dyDescent="0.25">
      <c r="B44" s="212" t="s">
        <v>1062</v>
      </c>
      <c r="C44" s="215">
        <v>20</v>
      </c>
      <c r="D44" s="207">
        <f>SUMIFS('ноябрь 2023'!$G$4:$G$1127,'ноябрь 2023'!$D$4:$D$1127,$B44,'ноябрь 2023'!$J$4:$J$1127,D$1)</f>
        <v>0</v>
      </c>
      <c r="E44" s="207">
        <f>SUMIFS('ноябрь 2023'!$G$4:$G$1127,'ноябрь 2023'!$D$4:$D$1127,$B44,'ноябрь 2023'!$J$4:$J$1127,E$1)</f>
        <v>0</v>
      </c>
      <c r="F44" s="207">
        <f>SUMIFS('ноябрь 2023'!$G$4:$G$1127,'ноябрь 2023'!$D$4:$D$1127,$B44,'ноябрь 2023'!$J$4:$J$1127,F$1)</f>
        <v>0</v>
      </c>
      <c r="G44" s="207">
        <f>SUMIFS('ноябрь 2023'!$G$4:$G$1127,'ноябрь 2023'!$D$4:$D$1127,$B44,'ноябрь 2023'!$J$4:$J$1127,G$1)</f>
        <v>0</v>
      </c>
      <c r="H44" s="207">
        <f>SUMIFS('ноябрь 2023'!$G$4:$G$1127,'ноябрь 2023'!$D$4:$D$1127,$B44,'ноябрь 2023'!$J$4:$J$1127,H$1)</f>
        <v>0</v>
      </c>
      <c r="I44" s="207">
        <f>SUMIFS('ноябрь 2023'!$G$4:$G$1127,'ноябрь 2023'!$D$4:$D$1127,$B44,'ноябрь 2023'!$J$4:$J$1127,I$1)</f>
        <v>0</v>
      </c>
      <c r="J44" s="207">
        <f>SUMIFS('ноябрь 2023'!$G$4:$G$1127,'ноябрь 2023'!$D$4:$D$1127,$B44,'ноябрь 2023'!$J$4:$J$1127,J$1)</f>
        <v>0</v>
      </c>
      <c r="K44" s="207">
        <f>SUMIFS('ноябрь 2023'!$G$4:$G$1127,'ноябрь 2023'!$D$4:$D$1127,$B44,'ноябрь 2023'!$J$4:$J$1127,K$1)</f>
        <v>0</v>
      </c>
      <c r="L44" s="207">
        <f>SUMIFS('ноябрь 2023'!$G$4:$G$1127,'ноябрь 2023'!$D$4:$D$1127,$B44,'ноябрь 2023'!$J$4:$J$1127,L$1)</f>
        <v>0</v>
      </c>
      <c r="M44" s="207">
        <f>SUMIFS('ноябрь 2023'!$G$4:$G$1127,'ноябрь 2023'!$D$4:$D$1127,$B44,'ноябрь 2023'!$J$4:$J$1127,M$1)</f>
        <v>0</v>
      </c>
      <c r="N44" s="207">
        <f>SUMIFS('ноябрь 2023'!$G$4:$G$1127,'ноябрь 2023'!$D$4:$D$1127,$B44,'ноябрь 2023'!$J$4:$J$1127,N$1)</f>
        <v>0</v>
      </c>
      <c r="O44" s="207">
        <f>SUMIFS('ноябрь 2023'!$G$4:$G$1127,'ноябрь 2023'!$D$4:$D$1127,$B44,'ноябрь 2023'!$J$4:$J$1127,O$1)</f>
        <v>0</v>
      </c>
      <c r="P44" s="207">
        <f>SUMIFS('ноябрь 2023'!$G$4:$G$1127,'ноябрь 2023'!$D$4:$D$1127,$B44,'ноябрь 2023'!$J$4:$J$1127,P$1)</f>
        <v>0</v>
      </c>
      <c r="Q44" s="207">
        <f>SUMIFS('ноябрь 2023'!$G$4:$G$1127,'ноябрь 2023'!$D$4:$D$1127,$B44,'ноябрь 2023'!$J$4:$J$1127,Q$1)</f>
        <v>0</v>
      </c>
      <c r="R44" s="207">
        <f>SUMIFS('ноябрь 2023'!$G$4:$G$1127,'ноябрь 2023'!$D$4:$D$1127,$B44,'ноябрь 2023'!$J$4:$J$1127,R$1)</f>
        <v>0</v>
      </c>
      <c r="S44" s="207">
        <f>SUMIFS('ноябрь 2023'!$G$4:$G$1127,'ноябрь 2023'!$D$4:$D$1127,$B44,'ноябрь 2023'!$J$4:$J$1127,S$1)</f>
        <v>0</v>
      </c>
      <c r="T44" s="207">
        <f>SUMIFS('ноябрь 2023'!$G$4:$G$1127,'ноябрь 2023'!$D$4:$D$1127,$B44,'ноябрь 2023'!$J$4:$J$1127,T$1)</f>
        <v>0</v>
      </c>
      <c r="U44" s="207">
        <f>SUMIFS('ноябрь 2023'!$G$4:$G$1127,'ноябрь 2023'!$D$4:$D$1127,$B44,'ноябрь 2023'!$J$4:$J$1127,U$1)</f>
        <v>0</v>
      </c>
      <c r="V44" s="207">
        <f>SUMIFS('ноябрь 2023'!$G$4:$G$1127,'ноябрь 2023'!$D$4:$D$1127,$B44,'ноябрь 2023'!$J$4:$J$1127,V$1)</f>
        <v>0</v>
      </c>
      <c r="W44" s="207">
        <f>SUMIFS('ноябрь 2023'!$G$4:$G$1127,'ноябрь 2023'!$D$4:$D$1127,$B44,'ноябрь 2023'!$J$4:$J$1127,W$1)</f>
        <v>0</v>
      </c>
      <c r="X44" s="207">
        <f>SUMIFS('ноябрь 2023'!$G$4:$G$1127,'ноябрь 2023'!$D$4:$D$1127,$B44,'ноябрь 2023'!$J$4:$J$1127,X$1)</f>
        <v>0</v>
      </c>
      <c r="Y44" s="207">
        <f>SUMIFS('ноябрь 2023'!$G$4:$G$1127,'ноябрь 2023'!$D$4:$D$1127,$B44,'ноябрь 2023'!$J$4:$J$1127,Y$1)</f>
        <v>0</v>
      </c>
      <c r="Z44" s="207">
        <f>SUMIFS('ноябрь 2023'!$G$4:$G$1127,'ноябрь 2023'!$D$4:$D$1127,$B44,'ноябрь 2023'!$J$4:$J$1127,Z$1)</f>
        <v>0</v>
      </c>
      <c r="AA44" s="207">
        <f>SUMIFS('ноябрь 2023'!$G$4:$G$1127,'ноябрь 2023'!$D$4:$D$1127,$B44,'ноябрь 2023'!$J$4:$J$1127,AA$1)</f>
        <v>0</v>
      </c>
      <c r="AB44" s="207">
        <f>SUMIFS('ноябрь 2023'!$G$4:$G$1127,'ноябрь 2023'!$D$4:$D$1127,$B44,'ноябрь 2023'!$J$4:$J$1127,AB$1)</f>
        <v>0</v>
      </c>
      <c r="AC44" s="207">
        <f>SUMIFS('ноябрь 2023'!$G$4:$G$1127,'ноябрь 2023'!$D$4:$D$1127,$B44,'ноябрь 2023'!$J$4:$J$1127,AC$1)</f>
        <v>0</v>
      </c>
      <c r="AD44" s="207">
        <f>SUMIFS('ноябрь 2023'!$G$4:$G$1127,'ноябрь 2023'!$D$4:$D$1127,$B44,'ноябрь 2023'!$J$4:$J$1127,AD$1)</f>
        <v>0</v>
      </c>
      <c r="AE44" s="207">
        <f>SUMIFS('ноябрь 2023'!$G$4:$G$1127,'ноябрь 2023'!$D$4:$D$1127,$B44,'ноябрь 2023'!$J$4:$J$1127,AE$1)</f>
        <v>0</v>
      </c>
      <c r="AF44" s="207">
        <f>SUMIFS('ноябрь 2023'!$G$4:$G$1127,'ноябрь 2023'!$D$4:$D$1127,$B44,'ноябрь 2023'!$J$4:$J$1127,AF$1)</f>
        <v>0</v>
      </c>
      <c r="AG44" s="207">
        <f>SUMIFS('ноябрь 2023'!$G$4:$G$1127,'ноябрь 2023'!$D$4:$D$1127,$B44,'ноябрь 2023'!$J$4:$J$1127,AG$1)</f>
        <v>0</v>
      </c>
      <c r="AH44" s="207">
        <f>SUMIFS('ноябрь 2023'!$G$4:$G$1127,'ноябрь 2023'!$D$4:$D$1127,$B44,'ноябрь 2023'!$J$4:$J$1127,AH$1)</f>
        <v>0</v>
      </c>
      <c r="AI44" s="170">
        <f t="shared" si="1"/>
        <v>0</v>
      </c>
    </row>
    <row r="45" spans="2:35" ht="15" customHeight="1" x14ac:dyDescent="0.25">
      <c r="B45" s="212" t="s">
        <v>1084</v>
      </c>
      <c r="C45" s="211">
        <v>20</v>
      </c>
      <c r="D45" s="207">
        <f>SUMIFS('ноябрь 2023'!$G$4:$G$1127,'ноябрь 2023'!$D$4:$D$1127,$B45,'ноябрь 2023'!$J$4:$J$1127,D$1)</f>
        <v>0</v>
      </c>
      <c r="E45" s="207">
        <f>SUMIFS('ноябрь 2023'!$G$4:$G$1127,'ноябрь 2023'!$D$4:$D$1127,$B45,'ноябрь 2023'!$J$4:$J$1127,E$1)</f>
        <v>0</v>
      </c>
      <c r="F45" s="207">
        <f>SUMIFS('ноябрь 2023'!$G$4:$G$1127,'ноябрь 2023'!$D$4:$D$1127,$B45,'ноябрь 2023'!$J$4:$J$1127,F$1)</f>
        <v>0</v>
      </c>
      <c r="G45" s="207">
        <f>SUMIFS('ноябрь 2023'!$G$4:$G$1127,'ноябрь 2023'!$D$4:$D$1127,$B45,'ноябрь 2023'!$J$4:$J$1127,G$1)</f>
        <v>0</v>
      </c>
      <c r="H45" s="207">
        <f>SUMIFS('ноябрь 2023'!$G$4:$G$1127,'ноябрь 2023'!$D$4:$D$1127,$B45,'ноябрь 2023'!$J$4:$J$1127,H$1)</f>
        <v>0</v>
      </c>
      <c r="I45" s="207">
        <f>SUMIFS('ноябрь 2023'!$G$4:$G$1127,'ноябрь 2023'!$D$4:$D$1127,$B45,'ноябрь 2023'!$J$4:$J$1127,I$1)</f>
        <v>0</v>
      </c>
      <c r="J45" s="207">
        <f>SUMIFS('ноябрь 2023'!$G$4:$G$1127,'ноябрь 2023'!$D$4:$D$1127,$B45,'ноябрь 2023'!$J$4:$J$1127,J$1)</f>
        <v>0</v>
      </c>
      <c r="K45" s="207">
        <f>SUMIFS('ноябрь 2023'!$G$4:$G$1127,'ноябрь 2023'!$D$4:$D$1127,$B45,'ноябрь 2023'!$J$4:$J$1127,K$1)</f>
        <v>0</v>
      </c>
      <c r="L45" s="207">
        <f>SUMIFS('ноябрь 2023'!$G$4:$G$1127,'ноябрь 2023'!$D$4:$D$1127,$B45,'ноябрь 2023'!$J$4:$J$1127,L$1)</f>
        <v>0</v>
      </c>
      <c r="M45" s="207">
        <f>SUMIFS('ноябрь 2023'!$G$4:$G$1127,'ноябрь 2023'!$D$4:$D$1127,$B45,'ноябрь 2023'!$J$4:$J$1127,M$1)</f>
        <v>0</v>
      </c>
      <c r="N45" s="207">
        <f>SUMIFS('ноябрь 2023'!$G$4:$G$1127,'ноябрь 2023'!$D$4:$D$1127,$B45,'ноябрь 2023'!$J$4:$J$1127,N$1)</f>
        <v>0</v>
      </c>
      <c r="O45" s="207">
        <f>SUMIFS('ноябрь 2023'!$G$4:$G$1127,'ноябрь 2023'!$D$4:$D$1127,$B45,'ноябрь 2023'!$J$4:$J$1127,O$1)</f>
        <v>0</v>
      </c>
      <c r="P45" s="207">
        <f>SUMIFS('ноябрь 2023'!$G$4:$G$1127,'ноябрь 2023'!$D$4:$D$1127,$B45,'ноябрь 2023'!$J$4:$J$1127,P$1)</f>
        <v>0</v>
      </c>
      <c r="Q45" s="207">
        <f>SUMIFS('ноябрь 2023'!$G$4:$G$1127,'ноябрь 2023'!$D$4:$D$1127,$B45,'ноябрь 2023'!$J$4:$J$1127,Q$1)</f>
        <v>0</v>
      </c>
      <c r="R45" s="207">
        <f>SUMIFS('ноябрь 2023'!$G$4:$G$1127,'ноябрь 2023'!$D$4:$D$1127,$B45,'ноябрь 2023'!$J$4:$J$1127,R$1)</f>
        <v>0</v>
      </c>
      <c r="S45" s="207">
        <f>SUMIFS('ноябрь 2023'!$G$4:$G$1127,'ноябрь 2023'!$D$4:$D$1127,$B45,'ноябрь 2023'!$J$4:$J$1127,S$1)</f>
        <v>0</v>
      </c>
      <c r="T45" s="207">
        <f>SUMIFS('ноябрь 2023'!$G$4:$G$1127,'ноябрь 2023'!$D$4:$D$1127,$B45,'ноябрь 2023'!$J$4:$J$1127,T$1)</f>
        <v>0</v>
      </c>
      <c r="U45" s="207">
        <f>SUMIFS('ноябрь 2023'!$G$4:$G$1127,'ноябрь 2023'!$D$4:$D$1127,$B45,'ноябрь 2023'!$J$4:$J$1127,U$1)</f>
        <v>0</v>
      </c>
      <c r="V45" s="207">
        <f>SUMIFS('ноябрь 2023'!$G$4:$G$1127,'ноябрь 2023'!$D$4:$D$1127,$B45,'ноябрь 2023'!$J$4:$J$1127,V$1)</f>
        <v>0</v>
      </c>
      <c r="W45" s="207">
        <f>SUMIFS('ноябрь 2023'!$G$4:$G$1127,'ноябрь 2023'!$D$4:$D$1127,$B45,'ноябрь 2023'!$J$4:$J$1127,W$1)</f>
        <v>0</v>
      </c>
      <c r="X45" s="207">
        <f>SUMIFS('ноябрь 2023'!$G$4:$G$1127,'ноябрь 2023'!$D$4:$D$1127,$B45,'ноябрь 2023'!$J$4:$J$1127,X$1)</f>
        <v>0</v>
      </c>
      <c r="Y45" s="207">
        <f>SUMIFS('ноябрь 2023'!$G$4:$G$1127,'ноябрь 2023'!$D$4:$D$1127,$B45,'ноябрь 2023'!$J$4:$J$1127,Y$1)</f>
        <v>0</v>
      </c>
      <c r="Z45" s="207">
        <f>SUMIFS('ноябрь 2023'!$G$4:$G$1127,'ноябрь 2023'!$D$4:$D$1127,$B45,'ноябрь 2023'!$J$4:$J$1127,Z$1)</f>
        <v>0</v>
      </c>
      <c r="AA45" s="207">
        <f>SUMIFS('ноябрь 2023'!$G$4:$G$1127,'ноябрь 2023'!$D$4:$D$1127,$B45,'ноябрь 2023'!$J$4:$J$1127,AA$1)</f>
        <v>0</v>
      </c>
      <c r="AB45" s="207">
        <f>SUMIFS('ноябрь 2023'!$G$4:$G$1127,'ноябрь 2023'!$D$4:$D$1127,$B45,'ноябрь 2023'!$J$4:$J$1127,AB$1)</f>
        <v>0</v>
      </c>
      <c r="AC45" s="207">
        <f>SUMIFS('ноябрь 2023'!$G$4:$G$1127,'ноябрь 2023'!$D$4:$D$1127,$B45,'ноябрь 2023'!$J$4:$J$1127,AC$1)</f>
        <v>0</v>
      </c>
      <c r="AD45" s="207">
        <f>SUMIFS('ноябрь 2023'!$G$4:$G$1127,'ноябрь 2023'!$D$4:$D$1127,$B45,'ноябрь 2023'!$J$4:$J$1127,AD$1)</f>
        <v>0</v>
      </c>
      <c r="AE45" s="207">
        <f>SUMIFS('ноябрь 2023'!$G$4:$G$1127,'ноябрь 2023'!$D$4:$D$1127,$B45,'ноябрь 2023'!$J$4:$J$1127,AE$1)</f>
        <v>0</v>
      </c>
      <c r="AF45" s="207">
        <f>SUMIFS('ноябрь 2023'!$G$4:$G$1127,'ноябрь 2023'!$D$4:$D$1127,$B45,'ноябрь 2023'!$J$4:$J$1127,AF$1)</f>
        <v>0</v>
      </c>
      <c r="AG45" s="207">
        <f>SUMIFS('ноябрь 2023'!$G$4:$G$1127,'ноябрь 2023'!$D$4:$D$1127,$B45,'ноябрь 2023'!$J$4:$J$1127,AG$1)</f>
        <v>0</v>
      </c>
      <c r="AH45" s="207">
        <f>SUMIFS('ноябрь 2023'!$G$4:$G$1127,'ноябрь 2023'!$D$4:$D$1127,$B45,'ноябрь 2023'!$J$4:$J$1127,AH$1)</f>
        <v>0</v>
      </c>
      <c r="AI45" s="170">
        <f t="shared" si="1"/>
        <v>0</v>
      </c>
    </row>
    <row r="46" spans="2:35" ht="15" customHeight="1" x14ac:dyDescent="0.25">
      <c r="B46" s="212" t="s">
        <v>440</v>
      </c>
      <c r="C46" s="213">
        <v>20</v>
      </c>
      <c r="D46" s="207">
        <f>SUMIFS('ноябрь 2023'!$G$4:$G$1127,'ноябрь 2023'!$D$4:$D$1127,$B46,'ноябрь 2023'!$J$4:$J$1127,D$1)</f>
        <v>0</v>
      </c>
      <c r="E46" s="207">
        <f>SUMIFS('ноябрь 2023'!$G$4:$G$1127,'ноябрь 2023'!$D$4:$D$1127,$B46,'ноябрь 2023'!$J$4:$J$1127,E$1)</f>
        <v>0</v>
      </c>
      <c r="F46" s="207">
        <f>SUMIFS('ноябрь 2023'!$G$4:$G$1127,'ноябрь 2023'!$D$4:$D$1127,$B46,'ноябрь 2023'!$J$4:$J$1127,F$1)</f>
        <v>0</v>
      </c>
      <c r="G46" s="207">
        <f>SUMIFS('ноябрь 2023'!$G$4:$G$1127,'ноябрь 2023'!$D$4:$D$1127,$B46,'ноябрь 2023'!$J$4:$J$1127,G$1)</f>
        <v>0</v>
      </c>
      <c r="H46" s="207">
        <f>SUMIFS('ноябрь 2023'!$G$4:$G$1127,'ноябрь 2023'!$D$4:$D$1127,$B46,'ноябрь 2023'!$J$4:$J$1127,H$1)</f>
        <v>0</v>
      </c>
      <c r="I46" s="207">
        <f>SUMIFS('ноябрь 2023'!$G$4:$G$1127,'ноябрь 2023'!$D$4:$D$1127,$B46,'ноябрь 2023'!$J$4:$J$1127,I$1)</f>
        <v>0</v>
      </c>
      <c r="J46" s="207">
        <f>SUMIFS('ноябрь 2023'!$G$4:$G$1127,'ноябрь 2023'!$D$4:$D$1127,$B46,'ноябрь 2023'!$J$4:$J$1127,J$1)</f>
        <v>0</v>
      </c>
      <c r="K46" s="207">
        <f>SUMIFS('ноябрь 2023'!$G$4:$G$1127,'ноябрь 2023'!$D$4:$D$1127,$B46,'ноябрь 2023'!$J$4:$J$1127,K$1)</f>
        <v>0</v>
      </c>
      <c r="L46" s="207">
        <f>SUMIFS('ноябрь 2023'!$G$4:$G$1127,'ноябрь 2023'!$D$4:$D$1127,$B46,'ноябрь 2023'!$J$4:$J$1127,L$1)</f>
        <v>0</v>
      </c>
      <c r="M46" s="207">
        <f>SUMIFS('ноябрь 2023'!$G$4:$G$1127,'ноябрь 2023'!$D$4:$D$1127,$B46,'ноябрь 2023'!$J$4:$J$1127,M$1)</f>
        <v>0</v>
      </c>
      <c r="N46" s="207">
        <f>SUMIFS('ноябрь 2023'!$G$4:$G$1127,'ноябрь 2023'!$D$4:$D$1127,$B46,'ноябрь 2023'!$J$4:$J$1127,N$1)</f>
        <v>0</v>
      </c>
      <c r="O46" s="207">
        <f>SUMIFS('ноябрь 2023'!$G$4:$G$1127,'ноябрь 2023'!$D$4:$D$1127,$B46,'ноябрь 2023'!$J$4:$J$1127,O$1)</f>
        <v>0</v>
      </c>
      <c r="P46" s="207">
        <f>SUMIFS('ноябрь 2023'!$G$4:$G$1127,'ноябрь 2023'!$D$4:$D$1127,$B46,'ноябрь 2023'!$J$4:$J$1127,P$1)</f>
        <v>0</v>
      </c>
      <c r="Q46" s="207">
        <f>SUMIFS('ноябрь 2023'!$G$4:$G$1127,'ноябрь 2023'!$D$4:$D$1127,$B46,'ноябрь 2023'!$J$4:$J$1127,Q$1)</f>
        <v>0</v>
      </c>
      <c r="R46" s="207">
        <f>SUMIFS('ноябрь 2023'!$G$4:$G$1127,'ноябрь 2023'!$D$4:$D$1127,$B46,'ноябрь 2023'!$J$4:$J$1127,R$1)</f>
        <v>0</v>
      </c>
      <c r="S46" s="207">
        <f>SUMIFS('ноябрь 2023'!$G$4:$G$1127,'ноябрь 2023'!$D$4:$D$1127,$B46,'ноябрь 2023'!$J$4:$J$1127,S$1)</f>
        <v>0</v>
      </c>
      <c r="T46" s="207">
        <f>SUMIFS('ноябрь 2023'!$G$4:$G$1127,'ноябрь 2023'!$D$4:$D$1127,$B46,'ноябрь 2023'!$J$4:$J$1127,T$1)</f>
        <v>0</v>
      </c>
      <c r="U46" s="207">
        <f>SUMIFS('ноябрь 2023'!$G$4:$G$1127,'ноябрь 2023'!$D$4:$D$1127,$B46,'ноябрь 2023'!$J$4:$J$1127,U$1)</f>
        <v>0</v>
      </c>
      <c r="V46" s="207">
        <f>SUMIFS('ноябрь 2023'!$G$4:$G$1127,'ноябрь 2023'!$D$4:$D$1127,$B46,'ноябрь 2023'!$J$4:$J$1127,V$1)</f>
        <v>0</v>
      </c>
      <c r="W46" s="207">
        <f>SUMIFS('ноябрь 2023'!$G$4:$G$1127,'ноябрь 2023'!$D$4:$D$1127,$B46,'ноябрь 2023'!$J$4:$J$1127,W$1)</f>
        <v>0</v>
      </c>
      <c r="X46" s="207">
        <f>SUMIFS('ноябрь 2023'!$G$4:$G$1127,'ноябрь 2023'!$D$4:$D$1127,$B46,'ноябрь 2023'!$J$4:$J$1127,X$1)</f>
        <v>0</v>
      </c>
      <c r="Y46" s="207">
        <f>SUMIFS('ноябрь 2023'!$G$4:$G$1127,'ноябрь 2023'!$D$4:$D$1127,$B46,'ноябрь 2023'!$J$4:$J$1127,Y$1)</f>
        <v>0</v>
      </c>
      <c r="Z46" s="207">
        <f>SUMIFS('ноябрь 2023'!$G$4:$G$1127,'ноябрь 2023'!$D$4:$D$1127,$B46,'ноябрь 2023'!$J$4:$J$1127,Z$1)</f>
        <v>0</v>
      </c>
      <c r="AA46" s="207">
        <f>SUMIFS('ноябрь 2023'!$G$4:$G$1127,'ноябрь 2023'!$D$4:$D$1127,$B46,'ноябрь 2023'!$J$4:$J$1127,AA$1)</f>
        <v>0</v>
      </c>
      <c r="AB46" s="207">
        <f>SUMIFS('ноябрь 2023'!$G$4:$G$1127,'ноябрь 2023'!$D$4:$D$1127,$B46,'ноябрь 2023'!$J$4:$J$1127,AB$1)</f>
        <v>0</v>
      </c>
      <c r="AC46" s="207">
        <f>SUMIFS('ноябрь 2023'!$G$4:$G$1127,'ноябрь 2023'!$D$4:$D$1127,$B46,'ноябрь 2023'!$J$4:$J$1127,AC$1)</f>
        <v>0</v>
      </c>
      <c r="AD46" s="207">
        <f>SUMIFS('ноябрь 2023'!$G$4:$G$1127,'ноябрь 2023'!$D$4:$D$1127,$B46,'ноябрь 2023'!$J$4:$J$1127,AD$1)</f>
        <v>0</v>
      </c>
      <c r="AE46" s="207">
        <f>SUMIFS('ноябрь 2023'!$G$4:$G$1127,'ноябрь 2023'!$D$4:$D$1127,$B46,'ноябрь 2023'!$J$4:$J$1127,AE$1)</f>
        <v>0</v>
      </c>
      <c r="AF46" s="207">
        <f>SUMIFS('ноябрь 2023'!$G$4:$G$1127,'ноябрь 2023'!$D$4:$D$1127,$B46,'ноябрь 2023'!$J$4:$J$1127,AF$1)</f>
        <v>0</v>
      </c>
      <c r="AG46" s="207">
        <f>SUMIFS('ноябрь 2023'!$G$4:$G$1127,'ноябрь 2023'!$D$4:$D$1127,$B46,'ноябрь 2023'!$J$4:$J$1127,AG$1)</f>
        <v>0</v>
      </c>
      <c r="AH46" s="207">
        <f>SUMIFS('ноябрь 2023'!$G$4:$G$1127,'ноябрь 2023'!$D$4:$D$1127,$B46,'ноябрь 2023'!$J$4:$J$1127,AH$1)</f>
        <v>0</v>
      </c>
      <c r="AI46" s="170">
        <f t="shared" si="1"/>
        <v>0</v>
      </c>
    </row>
    <row r="47" spans="2:35" ht="15" customHeight="1" x14ac:dyDescent="0.25">
      <c r="B47" s="212" t="s">
        <v>1573</v>
      </c>
      <c r="C47" s="213">
        <v>50</v>
      </c>
      <c r="D47" s="207">
        <f>SUMIFS('ноябрь 2023'!$G$4:$G$1127,'ноябрь 2023'!$D$4:$D$1127,$B47,'ноябрь 2023'!$J$4:$J$1127,D$1)</f>
        <v>0</v>
      </c>
      <c r="E47" s="207">
        <f>SUMIFS('ноябрь 2023'!$G$4:$G$1127,'ноябрь 2023'!$D$4:$D$1127,$B47,'ноябрь 2023'!$J$4:$J$1127,E$1)</f>
        <v>0</v>
      </c>
      <c r="F47" s="207">
        <f>SUMIFS('ноябрь 2023'!$G$4:$G$1127,'ноябрь 2023'!$D$4:$D$1127,$B47,'ноябрь 2023'!$J$4:$J$1127,F$1)</f>
        <v>0</v>
      </c>
      <c r="G47" s="207">
        <f>SUMIFS('ноябрь 2023'!$G$4:$G$1127,'ноябрь 2023'!$D$4:$D$1127,$B47,'ноябрь 2023'!$J$4:$J$1127,G$1)</f>
        <v>0</v>
      </c>
      <c r="H47" s="207">
        <f>SUMIFS('ноябрь 2023'!$G$4:$G$1127,'ноябрь 2023'!$D$4:$D$1127,$B47,'ноябрь 2023'!$J$4:$J$1127,H$1)</f>
        <v>0</v>
      </c>
      <c r="I47" s="207">
        <f>SUMIFS('ноябрь 2023'!$G$4:$G$1127,'ноябрь 2023'!$D$4:$D$1127,$B47,'ноябрь 2023'!$J$4:$J$1127,I$1)</f>
        <v>0</v>
      </c>
      <c r="J47" s="207">
        <f>SUMIFS('ноябрь 2023'!$G$4:$G$1127,'ноябрь 2023'!$D$4:$D$1127,$B47,'ноябрь 2023'!$J$4:$J$1127,J$1)</f>
        <v>0</v>
      </c>
      <c r="K47" s="207">
        <f>SUMIFS('ноябрь 2023'!$G$4:$G$1127,'ноябрь 2023'!$D$4:$D$1127,$B47,'ноябрь 2023'!$J$4:$J$1127,K$1)</f>
        <v>0</v>
      </c>
      <c r="L47" s="207">
        <f>SUMIFS('ноябрь 2023'!$G$4:$G$1127,'ноябрь 2023'!$D$4:$D$1127,$B47,'ноябрь 2023'!$J$4:$J$1127,L$1)</f>
        <v>0</v>
      </c>
      <c r="M47" s="207">
        <f>SUMIFS('ноябрь 2023'!$G$4:$G$1127,'ноябрь 2023'!$D$4:$D$1127,$B47,'ноябрь 2023'!$J$4:$J$1127,M$1)</f>
        <v>0</v>
      </c>
      <c r="N47" s="207">
        <f>SUMIFS('ноябрь 2023'!$G$4:$G$1127,'ноябрь 2023'!$D$4:$D$1127,$B47,'ноябрь 2023'!$J$4:$J$1127,N$1)</f>
        <v>0</v>
      </c>
      <c r="O47" s="207">
        <f>SUMIFS('ноябрь 2023'!$G$4:$G$1127,'ноябрь 2023'!$D$4:$D$1127,$B47,'ноябрь 2023'!$J$4:$J$1127,O$1)</f>
        <v>0</v>
      </c>
      <c r="P47" s="207">
        <f>SUMIFS('ноябрь 2023'!$G$4:$G$1127,'ноябрь 2023'!$D$4:$D$1127,$B47,'ноябрь 2023'!$J$4:$J$1127,P$1)</f>
        <v>0</v>
      </c>
      <c r="Q47" s="207">
        <f>SUMIFS('ноябрь 2023'!$G$4:$G$1127,'ноябрь 2023'!$D$4:$D$1127,$B47,'ноябрь 2023'!$J$4:$J$1127,Q$1)</f>
        <v>0</v>
      </c>
      <c r="R47" s="207">
        <f>SUMIFS('ноябрь 2023'!$G$4:$G$1127,'ноябрь 2023'!$D$4:$D$1127,$B47,'ноябрь 2023'!$J$4:$J$1127,R$1)</f>
        <v>0</v>
      </c>
      <c r="S47" s="207">
        <f>SUMIFS('ноябрь 2023'!$G$4:$G$1127,'ноябрь 2023'!$D$4:$D$1127,$B47,'ноябрь 2023'!$J$4:$J$1127,S$1)</f>
        <v>0</v>
      </c>
      <c r="T47" s="207">
        <f>SUMIFS('ноябрь 2023'!$G$4:$G$1127,'ноябрь 2023'!$D$4:$D$1127,$B47,'ноябрь 2023'!$J$4:$J$1127,T$1)</f>
        <v>0</v>
      </c>
      <c r="U47" s="207">
        <f>SUMIFS('ноябрь 2023'!$G$4:$G$1127,'ноябрь 2023'!$D$4:$D$1127,$B47,'ноябрь 2023'!$J$4:$J$1127,U$1)</f>
        <v>0</v>
      </c>
      <c r="V47" s="207">
        <f>SUMIFS('ноябрь 2023'!$G$4:$G$1127,'ноябрь 2023'!$D$4:$D$1127,$B47,'ноябрь 2023'!$J$4:$J$1127,V$1)</f>
        <v>0</v>
      </c>
      <c r="W47" s="207">
        <f>SUMIFS('ноябрь 2023'!$G$4:$G$1127,'ноябрь 2023'!$D$4:$D$1127,$B47,'ноябрь 2023'!$J$4:$J$1127,W$1)</f>
        <v>0</v>
      </c>
      <c r="X47" s="207">
        <f>SUMIFS('ноябрь 2023'!$G$4:$G$1127,'ноябрь 2023'!$D$4:$D$1127,$B47,'ноябрь 2023'!$J$4:$J$1127,X$1)</f>
        <v>0</v>
      </c>
      <c r="Y47" s="207">
        <f>SUMIFS('ноябрь 2023'!$G$4:$G$1127,'ноябрь 2023'!$D$4:$D$1127,$B47,'ноябрь 2023'!$J$4:$J$1127,Y$1)</f>
        <v>0</v>
      </c>
      <c r="Z47" s="207">
        <f>SUMIFS('ноябрь 2023'!$G$4:$G$1127,'ноябрь 2023'!$D$4:$D$1127,$B47,'ноябрь 2023'!$J$4:$J$1127,Z$1)</f>
        <v>0</v>
      </c>
      <c r="AA47" s="207">
        <f>SUMIFS('ноябрь 2023'!$G$4:$G$1127,'ноябрь 2023'!$D$4:$D$1127,$B47,'ноябрь 2023'!$J$4:$J$1127,AA$1)</f>
        <v>0</v>
      </c>
      <c r="AB47" s="207">
        <f>SUMIFS('ноябрь 2023'!$G$4:$G$1127,'ноябрь 2023'!$D$4:$D$1127,$B47,'ноябрь 2023'!$J$4:$J$1127,AB$1)</f>
        <v>0</v>
      </c>
      <c r="AC47" s="207">
        <f>SUMIFS('ноябрь 2023'!$G$4:$G$1127,'ноябрь 2023'!$D$4:$D$1127,$B47,'ноябрь 2023'!$J$4:$J$1127,AC$1)</f>
        <v>0</v>
      </c>
      <c r="AD47" s="207">
        <f>SUMIFS('ноябрь 2023'!$G$4:$G$1127,'ноябрь 2023'!$D$4:$D$1127,$B47,'ноябрь 2023'!$J$4:$J$1127,AD$1)</f>
        <v>0</v>
      </c>
      <c r="AE47" s="207">
        <f>SUMIFS('ноябрь 2023'!$G$4:$G$1127,'ноябрь 2023'!$D$4:$D$1127,$B47,'ноябрь 2023'!$J$4:$J$1127,AE$1)</f>
        <v>0</v>
      </c>
      <c r="AF47" s="207">
        <f>SUMIFS('ноябрь 2023'!$G$4:$G$1127,'ноябрь 2023'!$D$4:$D$1127,$B47,'ноябрь 2023'!$J$4:$J$1127,AF$1)</f>
        <v>0</v>
      </c>
      <c r="AG47" s="207">
        <f>SUMIFS('ноябрь 2023'!$G$4:$G$1127,'ноябрь 2023'!$D$4:$D$1127,$B47,'ноябрь 2023'!$J$4:$J$1127,AG$1)</f>
        <v>0</v>
      </c>
      <c r="AH47" s="207">
        <f>SUMIFS('ноябрь 2023'!$G$4:$G$1127,'ноябрь 2023'!$D$4:$D$1127,$B47,'ноябрь 2023'!$J$4:$J$1127,AH$1)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SUMIFS('ноябрь 2023'!$G$4:$G$1127,'ноябрь 2023'!$D$4:$D$1127,$B48,'ноябрь 2023'!$J$4:$J$1127,D$1)</f>
        <v>0</v>
      </c>
      <c r="E48" s="207">
        <f>SUMIFS('ноябрь 2023'!$G$4:$G$1127,'ноябрь 2023'!$D$4:$D$1127,$B48,'ноябрь 2023'!$J$4:$J$1127,E$1)</f>
        <v>0</v>
      </c>
      <c r="F48" s="207">
        <f>SUMIFS('ноябрь 2023'!$G$4:$G$1127,'ноябрь 2023'!$D$4:$D$1127,$B48,'ноябрь 2023'!$J$4:$J$1127,F$1)</f>
        <v>0</v>
      </c>
      <c r="G48" s="207">
        <f>SUMIFS('ноябрь 2023'!$G$4:$G$1127,'ноябрь 2023'!$D$4:$D$1127,$B48,'ноябрь 2023'!$J$4:$J$1127,G$1)</f>
        <v>0</v>
      </c>
      <c r="H48" s="207">
        <f>SUMIFS('ноябрь 2023'!$G$4:$G$1127,'ноябрь 2023'!$D$4:$D$1127,$B48,'ноябрь 2023'!$J$4:$J$1127,H$1)</f>
        <v>0</v>
      </c>
      <c r="I48" s="207">
        <f>SUMIFS('ноябрь 2023'!$G$4:$G$1127,'ноябрь 2023'!$D$4:$D$1127,$B48,'ноябрь 2023'!$J$4:$J$1127,I$1)</f>
        <v>0</v>
      </c>
      <c r="J48" s="207">
        <f>SUMIFS('ноябрь 2023'!$G$4:$G$1127,'ноябрь 2023'!$D$4:$D$1127,$B48,'ноябрь 2023'!$J$4:$J$1127,J$1)</f>
        <v>0</v>
      </c>
      <c r="K48" s="207">
        <f>SUMIFS('ноябрь 2023'!$G$4:$G$1127,'ноябрь 2023'!$D$4:$D$1127,$B48,'ноябрь 2023'!$J$4:$J$1127,K$1)</f>
        <v>0</v>
      </c>
      <c r="L48" s="207">
        <f>SUMIFS('ноябрь 2023'!$G$4:$G$1127,'ноябрь 2023'!$D$4:$D$1127,$B48,'ноябрь 2023'!$J$4:$J$1127,L$1)</f>
        <v>0</v>
      </c>
      <c r="M48" s="207">
        <f>SUMIFS('ноябрь 2023'!$G$4:$G$1127,'ноябрь 2023'!$D$4:$D$1127,$B48,'ноябрь 2023'!$J$4:$J$1127,M$1)</f>
        <v>0</v>
      </c>
      <c r="N48" s="207">
        <f>SUMIFS('ноябрь 2023'!$G$4:$G$1127,'ноябрь 2023'!$D$4:$D$1127,$B48,'ноябрь 2023'!$J$4:$J$1127,N$1)</f>
        <v>0</v>
      </c>
      <c r="O48" s="207">
        <f>SUMIFS('ноябрь 2023'!$G$4:$G$1127,'ноябрь 2023'!$D$4:$D$1127,$B48,'ноябрь 2023'!$J$4:$J$1127,O$1)</f>
        <v>0</v>
      </c>
      <c r="P48" s="207">
        <f>SUMIFS('ноябрь 2023'!$G$4:$G$1127,'ноябрь 2023'!$D$4:$D$1127,$B48,'ноябрь 2023'!$J$4:$J$1127,P$1)</f>
        <v>0</v>
      </c>
      <c r="Q48" s="207">
        <f>SUMIFS('ноябрь 2023'!$G$4:$G$1127,'ноябрь 2023'!$D$4:$D$1127,$B48,'ноябрь 2023'!$J$4:$J$1127,Q$1)</f>
        <v>0</v>
      </c>
      <c r="R48" s="207">
        <f>SUMIFS('ноябрь 2023'!$G$4:$G$1127,'ноябрь 2023'!$D$4:$D$1127,$B48,'ноябрь 2023'!$J$4:$J$1127,R$1)</f>
        <v>0</v>
      </c>
      <c r="S48" s="207">
        <f>SUMIFS('ноябрь 2023'!$G$4:$G$1127,'ноябрь 2023'!$D$4:$D$1127,$B48,'ноябрь 2023'!$J$4:$J$1127,S$1)</f>
        <v>0</v>
      </c>
      <c r="T48" s="207">
        <f>SUMIFS('ноябрь 2023'!$G$4:$G$1127,'ноябрь 2023'!$D$4:$D$1127,$B48,'ноябрь 2023'!$J$4:$J$1127,T$1)</f>
        <v>0</v>
      </c>
      <c r="U48" s="207">
        <f>SUMIFS('ноябрь 2023'!$G$4:$G$1127,'ноябрь 2023'!$D$4:$D$1127,$B48,'ноябрь 2023'!$J$4:$J$1127,U$1)</f>
        <v>0</v>
      </c>
      <c r="V48" s="207">
        <f>SUMIFS('ноябрь 2023'!$G$4:$G$1127,'ноябрь 2023'!$D$4:$D$1127,$B48,'ноябрь 2023'!$J$4:$J$1127,V$1)</f>
        <v>0</v>
      </c>
      <c r="W48" s="207">
        <f>SUMIFS('ноябрь 2023'!$G$4:$G$1127,'ноябрь 2023'!$D$4:$D$1127,$B48,'ноябрь 2023'!$J$4:$J$1127,W$1)</f>
        <v>0</v>
      </c>
      <c r="X48" s="207">
        <f>SUMIFS('ноябрь 2023'!$G$4:$G$1127,'ноябрь 2023'!$D$4:$D$1127,$B48,'ноябрь 2023'!$J$4:$J$1127,X$1)</f>
        <v>0</v>
      </c>
      <c r="Y48" s="207">
        <f>SUMIFS('ноябрь 2023'!$G$4:$G$1127,'ноябрь 2023'!$D$4:$D$1127,$B48,'ноябрь 2023'!$J$4:$J$1127,Y$1)</f>
        <v>0</v>
      </c>
      <c r="Z48" s="207">
        <f>SUMIFS('ноябрь 2023'!$G$4:$G$1127,'ноябрь 2023'!$D$4:$D$1127,$B48,'ноябрь 2023'!$J$4:$J$1127,Z$1)</f>
        <v>0</v>
      </c>
      <c r="AA48" s="207">
        <f>SUMIFS('ноябрь 2023'!$G$4:$G$1127,'ноябрь 2023'!$D$4:$D$1127,$B48,'ноябрь 2023'!$J$4:$J$1127,AA$1)</f>
        <v>0</v>
      </c>
      <c r="AB48" s="207">
        <f>SUMIFS('ноябрь 2023'!$G$4:$G$1127,'ноябрь 2023'!$D$4:$D$1127,$B48,'ноябрь 2023'!$J$4:$J$1127,AB$1)</f>
        <v>0</v>
      </c>
      <c r="AC48" s="207">
        <f>SUMIFS('ноябрь 2023'!$G$4:$G$1127,'ноябрь 2023'!$D$4:$D$1127,$B48,'ноябрь 2023'!$J$4:$J$1127,AC$1)</f>
        <v>0</v>
      </c>
      <c r="AD48" s="207">
        <f>SUMIFS('ноябрь 2023'!$G$4:$G$1127,'ноябрь 2023'!$D$4:$D$1127,$B48,'ноябрь 2023'!$J$4:$J$1127,AD$1)</f>
        <v>0</v>
      </c>
      <c r="AE48" s="207">
        <f>SUMIFS('ноябрь 2023'!$G$4:$G$1127,'ноябрь 2023'!$D$4:$D$1127,$B48,'ноябрь 2023'!$J$4:$J$1127,AE$1)</f>
        <v>0</v>
      </c>
      <c r="AF48" s="207">
        <f>SUMIFS('ноябрь 2023'!$G$4:$G$1127,'ноябрь 2023'!$D$4:$D$1127,$B48,'ноябрь 2023'!$J$4:$J$1127,AF$1)</f>
        <v>0</v>
      </c>
      <c r="AG48" s="207">
        <f>SUMIFS('ноябрь 2023'!$G$4:$G$1127,'ноябрь 2023'!$D$4:$D$1127,$B48,'ноябрь 2023'!$J$4:$J$1127,AG$1)</f>
        <v>0</v>
      </c>
      <c r="AH48" s="207">
        <f>SUMIFS('ноябрь 2023'!$G$4:$G$1127,'ноябрь 2023'!$D$4:$D$1127,$B48,'ноябрь 2023'!$J$4:$J$1127,AH$1)</f>
        <v>0</v>
      </c>
      <c r="AI48" s="170">
        <f t="shared" si="1"/>
        <v>0</v>
      </c>
    </row>
    <row r="49" spans="2:35" ht="15" customHeight="1" x14ac:dyDescent="0.25">
      <c r="B49" s="212" t="s">
        <v>603</v>
      </c>
      <c r="C49" s="213">
        <v>25</v>
      </c>
      <c r="D49" s="207">
        <f>SUMIFS('ноябрь 2023'!$G$4:$G$1127,'ноябрь 2023'!$D$4:$D$1127,$B49,'ноябрь 2023'!$J$4:$J$1127,D$1)</f>
        <v>0</v>
      </c>
      <c r="E49" s="207">
        <f>SUMIFS('ноябрь 2023'!$G$4:$G$1127,'ноябрь 2023'!$D$4:$D$1127,$B49,'ноябрь 2023'!$J$4:$J$1127,E$1)</f>
        <v>0</v>
      </c>
      <c r="F49" s="207">
        <f>SUMIFS('ноябрь 2023'!$G$4:$G$1127,'ноябрь 2023'!$D$4:$D$1127,$B49,'ноябрь 2023'!$J$4:$J$1127,F$1)</f>
        <v>0</v>
      </c>
      <c r="G49" s="207">
        <f>SUMIFS('ноябрь 2023'!$G$4:$G$1127,'ноябрь 2023'!$D$4:$D$1127,$B49,'ноябрь 2023'!$J$4:$J$1127,G$1)</f>
        <v>0</v>
      </c>
      <c r="H49" s="207">
        <f>SUMIFS('ноябрь 2023'!$G$4:$G$1127,'ноябрь 2023'!$D$4:$D$1127,$B49,'ноябрь 2023'!$J$4:$J$1127,H$1)</f>
        <v>0</v>
      </c>
      <c r="I49" s="207">
        <f>SUMIFS('ноябрь 2023'!$G$4:$G$1127,'ноябрь 2023'!$D$4:$D$1127,$B49,'ноябрь 2023'!$J$4:$J$1127,I$1)</f>
        <v>0</v>
      </c>
      <c r="J49" s="207">
        <f>SUMIFS('ноябрь 2023'!$G$4:$G$1127,'ноябрь 2023'!$D$4:$D$1127,$B49,'ноябрь 2023'!$J$4:$J$1127,J$1)</f>
        <v>0</v>
      </c>
      <c r="K49" s="207">
        <f>SUMIFS('ноябрь 2023'!$G$4:$G$1127,'ноябрь 2023'!$D$4:$D$1127,$B49,'ноябрь 2023'!$J$4:$J$1127,K$1)</f>
        <v>0</v>
      </c>
      <c r="L49" s="207">
        <f>SUMIFS('ноябрь 2023'!$G$4:$G$1127,'ноябрь 2023'!$D$4:$D$1127,$B49,'ноябрь 2023'!$J$4:$J$1127,L$1)</f>
        <v>0</v>
      </c>
      <c r="M49" s="207">
        <f>SUMIFS('ноябрь 2023'!$G$4:$G$1127,'ноябрь 2023'!$D$4:$D$1127,$B49,'ноябрь 2023'!$J$4:$J$1127,M$1)</f>
        <v>0</v>
      </c>
      <c r="N49" s="207">
        <f>SUMIFS('ноябрь 2023'!$G$4:$G$1127,'ноябрь 2023'!$D$4:$D$1127,$B49,'ноябрь 2023'!$J$4:$J$1127,N$1)</f>
        <v>0</v>
      </c>
      <c r="O49" s="207">
        <f>SUMIFS('ноябрь 2023'!$G$4:$G$1127,'ноябрь 2023'!$D$4:$D$1127,$B49,'ноябрь 2023'!$J$4:$J$1127,O$1)</f>
        <v>0</v>
      </c>
      <c r="P49" s="207">
        <f>SUMIFS('ноябрь 2023'!$G$4:$G$1127,'ноябрь 2023'!$D$4:$D$1127,$B49,'ноябрь 2023'!$J$4:$J$1127,P$1)</f>
        <v>0</v>
      </c>
      <c r="Q49" s="207">
        <f>SUMIFS('ноябрь 2023'!$G$4:$G$1127,'ноябрь 2023'!$D$4:$D$1127,$B49,'ноябрь 2023'!$J$4:$J$1127,Q$1)</f>
        <v>0</v>
      </c>
      <c r="R49" s="207">
        <f>SUMIFS('ноябрь 2023'!$G$4:$G$1127,'ноябрь 2023'!$D$4:$D$1127,$B49,'ноябрь 2023'!$J$4:$J$1127,R$1)</f>
        <v>0</v>
      </c>
      <c r="S49" s="207">
        <f>SUMIFS('ноябрь 2023'!$G$4:$G$1127,'ноябрь 2023'!$D$4:$D$1127,$B49,'ноябрь 2023'!$J$4:$J$1127,S$1)</f>
        <v>0</v>
      </c>
      <c r="T49" s="207">
        <f>SUMIFS('ноябрь 2023'!$G$4:$G$1127,'ноябрь 2023'!$D$4:$D$1127,$B49,'ноябрь 2023'!$J$4:$J$1127,T$1)</f>
        <v>0</v>
      </c>
      <c r="U49" s="207">
        <f>SUMIFS('ноябрь 2023'!$G$4:$G$1127,'ноябрь 2023'!$D$4:$D$1127,$B49,'ноябрь 2023'!$J$4:$J$1127,U$1)</f>
        <v>0</v>
      </c>
      <c r="V49" s="207">
        <f>SUMIFS('ноябрь 2023'!$G$4:$G$1127,'ноябрь 2023'!$D$4:$D$1127,$B49,'ноябрь 2023'!$J$4:$J$1127,V$1)</f>
        <v>0</v>
      </c>
      <c r="W49" s="207">
        <f>SUMIFS('ноябрь 2023'!$G$4:$G$1127,'ноябрь 2023'!$D$4:$D$1127,$B49,'ноябрь 2023'!$J$4:$J$1127,W$1)</f>
        <v>0</v>
      </c>
      <c r="X49" s="207">
        <f>SUMIFS('ноябрь 2023'!$G$4:$G$1127,'ноябрь 2023'!$D$4:$D$1127,$B49,'ноябрь 2023'!$J$4:$J$1127,X$1)</f>
        <v>0</v>
      </c>
      <c r="Y49" s="207">
        <f>SUMIFS('ноябрь 2023'!$G$4:$G$1127,'ноябрь 2023'!$D$4:$D$1127,$B49,'ноябрь 2023'!$J$4:$J$1127,Y$1)</f>
        <v>0</v>
      </c>
      <c r="Z49" s="207">
        <f>SUMIFS('ноябрь 2023'!$G$4:$G$1127,'ноябрь 2023'!$D$4:$D$1127,$B49,'ноябрь 2023'!$J$4:$J$1127,Z$1)</f>
        <v>0</v>
      </c>
      <c r="AA49" s="207">
        <f>SUMIFS('ноябрь 2023'!$G$4:$G$1127,'ноябрь 2023'!$D$4:$D$1127,$B49,'ноябрь 2023'!$J$4:$J$1127,AA$1)</f>
        <v>0</v>
      </c>
      <c r="AB49" s="207">
        <f>SUMIFS('ноябрь 2023'!$G$4:$G$1127,'ноябрь 2023'!$D$4:$D$1127,$B49,'ноябрь 2023'!$J$4:$J$1127,AB$1)</f>
        <v>0</v>
      </c>
      <c r="AC49" s="207">
        <f>SUMIFS('ноябрь 2023'!$G$4:$G$1127,'ноябрь 2023'!$D$4:$D$1127,$B49,'ноябрь 2023'!$J$4:$J$1127,AC$1)</f>
        <v>0</v>
      </c>
      <c r="AD49" s="207">
        <f>SUMIFS('ноябрь 2023'!$G$4:$G$1127,'ноябрь 2023'!$D$4:$D$1127,$B49,'ноябрь 2023'!$J$4:$J$1127,AD$1)</f>
        <v>0</v>
      </c>
      <c r="AE49" s="207">
        <f>SUMIFS('ноябрь 2023'!$G$4:$G$1127,'ноябрь 2023'!$D$4:$D$1127,$B49,'ноябрь 2023'!$J$4:$J$1127,AE$1)</f>
        <v>0</v>
      </c>
      <c r="AF49" s="207">
        <f>SUMIFS('ноябрь 2023'!$G$4:$G$1127,'ноябрь 2023'!$D$4:$D$1127,$B49,'ноябрь 2023'!$J$4:$J$1127,AF$1)</f>
        <v>0</v>
      </c>
      <c r="AG49" s="207">
        <f>SUMIFS('ноябрь 2023'!$G$4:$G$1127,'ноябрь 2023'!$D$4:$D$1127,$B49,'ноябрь 2023'!$J$4:$J$1127,AG$1)</f>
        <v>0</v>
      </c>
      <c r="AH49" s="207">
        <f>SUMIFS('ноябрь 2023'!$G$4:$G$1127,'ноябрь 2023'!$D$4:$D$1127,$B49,'ноябрь 2023'!$J$4:$J$1127,AH$1)</f>
        <v>0</v>
      </c>
      <c r="AI49" s="170">
        <f t="shared" si="1"/>
        <v>0</v>
      </c>
    </row>
    <row r="50" spans="2:35" ht="15" customHeight="1" x14ac:dyDescent="0.25">
      <c r="B50" s="208" t="s">
        <v>1340</v>
      </c>
      <c r="C50" s="213">
        <v>50</v>
      </c>
      <c r="D50" s="207">
        <f>SUMIFS('ноябрь 2023'!$G$4:$G$1127,'ноябрь 2023'!$D$4:$D$1127,$B50,'ноябрь 2023'!$J$4:$J$1127,D$1)</f>
        <v>0</v>
      </c>
      <c r="E50" s="207">
        <f>SUMIFS('ноябрь 2023'!$G$4:$G$1127,'ноябрь 2023'!$D$4:$D$1127,$B50,'ноябрь 2023'!$J$4:$J$1127,E$1)</f>
        <v>0</v>
      </c>
      <c r="F50" s="207">
        <f>SUMIFS('ноябрь 2023'!$G$4:$G$1127,'ноябрь 2023'!$D$4:$D$1127,$B50,'ноябрь 2023'!$J$4:$J$1127,F$1)</f>
        <v>0</v>
      </c>
      <c r="G50" s="207">
        <f>SUMIFS('ноябрь 2023'!$G$4:$G$1127,'ноябрь 2023'!$D$4:$D$1127,$B50,'ноябрь 2023'!$J$4:$J$1127,G$1)</f>
        <v>0</v>
      </c>
      <c r="H50" s="207">
        <f>SUMIFS('ноябрь 2023'!$G$4:$G$1127,'ноябрь 2023'!$D$4:$D$1127,$B50,'ноябрь 2023'!$J$4:$J$1127,H$1)</f>
        <v>0</v>
      </c>
      <c r="I50" s="207">
        <f>SUMIFS('ноябрь 2023'!$G$4:$G$1127,'ноябрь 2023'!$D$4:$D$1127,$B50,'ноябрь 2023'!$J$4:$J$1127,I$1)</f>
        <v>0</v>
      </c>
      <c r="J50" s="207">
        <f>SUMIFS('ноябрь 2023'!$G$4:$G$1127,'ноябрь 2023'!$D$4:$D$1127,$B50,'ноябрь 2023'!$J$4:$J$1127,J$1)</f>
        <v>0</v>
      </c>
      <c r="K50" s="207">
        <f>SUMIFS('ноябрь 2023'!$G$4:$G$1127,'ноябрь 2023'!$D$4:$D$1127,$B50,'ноябрь 2023'!$J$4:$J$1127,K$1)</f>
        <v>0</v>
      </c>
      <c r="L50" s="207">
        <f>SUMIFS('ноябрь 2023'!$G$4:$G$1127,'ноябрь 2023'!$D$4:$D$1127,$B50,'ноябрь 2023'!$J$4:$J$1127,L$1)</f>
        <v>0</v>
      </c>
      <c r="M50" s="207">
        <f>SUMIFS('ноябрь 2023'!$G$4:$G$1127,'ноябрь 2023'!$D$4:$D$1127,$B50,'ноябрь 2023'!$J$4:$J$1127,M$1)</f>
        <v>0</v>
      </c>
      <c r="N50" s="207">
        <f>SUMIFS('ноябрь 2023'!$G$4:$G$1127,'ноябрь 2023'!$D$4:$D$1127,$B50,'ноябрь 2023'!$J$4:$J$1127,N$1)</f>
        <v>0</v>
      </c>
      <c r="O50" s="207">
        <f>SUMIFS('ноябрь 2023'!$G$4:$G$1127,'ноябрь 2023'!$D$4:$D$1127,$B50,'ноябрь 2023'!$J$4:$J$1127,O$1)</f>
        <v>0</v>
      </c>
      <c r="P50" s="207">
        <f>SUMIFS('ноябрь 2023'!$G$4:$G$1127,'ноябрь 2023'!$D$4:$D$1127,$B50,'ноябрь 2023'!$J$4:$J$1127,P$1)</f>
        <v>0</v>
      </c>
      <c r="Q50" s="207">
        <f>SUMIFS('ноябрь 2023'!$G$4:$G$1127,'ноябрь 2023'!$D$4:$D$1127,$B50,'ноябрь 2023'!$J$4:$J$1127,Q$1)</f>
        <v>0</v>
      </c>
      <c r="R50" s="207">
        <f>SUMIFS('ноябрь 2023'!$G$4:$G$1127,'ноябрь 2023'!$D$4:$D$1127,$B50,'ноябрь 2023'!$J$4:$J$1127,R$1)</f>
        <v>0</v>
      </c>
      <c r="S50" s="207">
        <f>SUMIFS('ноябрь 2023'!$G$4:$G$1127,'ноябрь 2023'!$D$4:$D$1127,$B50,'ноябрь 2023'!$J$4:$J$1127,S$1)</f>
        <v>0</v>
      </c>
      <c r="T50" s="207">
        <f>SUMIFS('ноябрь 2023'!$G$4:$G$1127,'ноябрь 2023'!$D$4:$D$1127,$B50,'ноябрь 2023'!$J$4:$J$1127,T$1)</f>
        <v>0</v>
      </c>
      <c r="U50" s="207">
        <f>SUMIFS('ноябрь 2023'!$G$4:$G$1127,'ноябрь 2023'!$D$4:$D$1127,$B50,'ноябрь 2023'!$J$4:$J$1127,U$1)</f>
        <v>0</v>
      </c>
      <c r="V50" s="207">
        <f>SUMIFS('ноябрь 2023'!$G$4:$G$1127,'ноябрь 2023'!$D$4:$D$1127,$B50,'ноябрь 2023'!$J$4:$J$1127,V$1)</f>
        <v>0</v>
      </c>
      <c r="W50" s="207">
        <f>SUMIFS('ноябрь 2023'!$G$4:$G$1127,'ноябрь 2023'!$D$4:$D$1127,$B50,'ноябрь 2023'!$J$4:$J$1127,W$1)</f>
        <v>0</v>
      </c>
      <c r="X50" s="207">
        <f>SUMIFS('ноябрь 2023'!$G$4:$G$1127,'ноябрь 2023'!$D$4:$D$1127,$B50,'ноябрь 2023'!$J$4:$J$1127,X$1)</f>
        <v>0</v>
      </c>
      <c r="Y50" s="207">
        <f>SUMIFS('ноябрь 2023'!$G$4:$G$1127,'ноябрь 2023'!$D$4:$D$1127,$B50,'ноябрь 2023'!$J$4:$J$1127,Y$1)</f>
        <v>0</v>
      </c>
      <c r="Z50" s="207">
        <f>SUMIFS('ноябрь 2023'!$G$4:$G$1127,'ноябрь 2023'!$D$4:$D$1127,$B50,'ноябрь 2023'!$J$4:$J$1127,Z$1)</f>
        <v>0</v>
      </c>
      <c r="AA50" s="207">
        <f>SUMIFS('ноябрь 2023'!$G$4:$G$1127,'ноябрь 2023'!$D$4:$D$1127,$B50,'ноябрь 2023'!$J$4:$J$1127,AA$1)</f>
        <v>0</v>
      </c>
      <c r="AB50" s="207">
        <f>SUMIFS('ноябрь 2023'!$G$4:$G$1127,'ноябрь 2023'!$D$4:$D$1127,$B50,'ноябрь 2023'!$J$4:$J$1127,AB$1)</f>
        <v>0</v>
      </c>
      <c r="AC50" s="207">
        <f>SUMIFS('ноябрь 2023'!$G$4:$G$1127,'ноябрь 2023'!$D$4:$D$1127,$B50,'ноябрь 2023'!$J$4:$J$1127,AC$1)</f>
        <v>0</v>
      </c>
      <c r="AD50" s="207">
        <f>SUMIFS('ноябрь 2023'!$G$4:$G$1127,'ноябрь 2023'!$D$4:$D$1127,$B50,'ноябрь 2023'!$J$4:$J$1127,AD$1)</f>
        <v>0</v>
      </c>
      <c r="AE50" s="207">
        <f>SUMIFS('ноябрь 2023'!$G$4:$G$1127,'ноябрь 2023'!$D$4:$D$1127,$B50,'ноябрь 2023'!$J$4:$J$1127,AE$1)</f>
        <v>0</v>
      </c>
      <c r="AF50" s="207">
        <f>SUMIFS('ноябрь 2023'!$G$4:$G$1127,'ноябрь 2023'!$D$4:$D$1127,$B50,'ноябрь 2023'!$J$4:$J$1127,AF$1)</f>
        <v>0</v>
      </c>
      <c r="AG50" s="207">
        <f>SUMIFS('ноябрь 2023'!$G$4:$G$1127,'ноябрь 2023'!$D$4:$D$1127,$B50,'ноябрь 2023'!$J$4:$J$1127,AG$1)</f>
        <v>0</v>
      </c>
      <c r="AH50" s="207">
        <f>SUMIFS('ноябрь 2023'!$G$4:$G$1127,'ноябрь 2023'!$D$4:$D$1127,$B50,'ноябрь 2023'!$J$4:$J$1127,AH$1)</f>
        <v>0</v>
      </c>
      <c r="AI50" s="170">
        <f t="shared" si="1"/>
        <v>0</v>
      </c>
    </row>
    <row r="51" spans="2:35" ht="15" customHeight="1" x14ac:dyDescent="0.25">
      <c r="B51" s="212" t="s">
        <v>2141</v>
      </c>
      <c r="C51" s="213">
        <v>200</v>
      </c>
      <c r="D51" s="207">
        <f>SUMIFS('ноябрь 2023'!$G$4:$G$1127,'ноябрь 2023'!$D$4:$D$1127,$B51,'ноябрь 2023'!$J$4:$J$1127,D$1)</f>
        <v>0</v>
      </c>
      <c r="E51" s="207">
        <f>SUMIFS('ноябрь 2023'!$G$4:$G$1127,'ноябрь 2023'!$D$4:$D$1127,$B51,'ноябрь 2023'!$J$4:$J$1127,E$1)</f>
        <v>0</v>
      </c>
      <c r="F51" s="207">
        <f>SUMIFS('ноябрь 2023'!$G$4:$G$1127,'ноябрь 2023'!$D$4:$D$1127,$B51,'ноябрь 2023'!$J$4:$J$1127,F$1)</f>
        <v>0</v>
      </c>
      <c r="G51" s="207">
        <f>SUMIFS('ноябрь 2023'!$G$4:$G$1127,'ноябрь 2023'!$D$4:$D$1127,$B51,'ноябрь 2023'!$J$4:$J$1127,G$1)</f>
        <v>0</v>
      </c>
      <c r="H51" s="207">
        <f>SUMIFS('ноябрь 2023'!$G$4:$G$1127,'ноябрь 2023'!$D$4:$D$1127,$B51,'ноябрь 2023'!$J$4:$J$1127,H$1)</f>
        <v>0</v>
      </c>
      <c r="I51" s="207">
        <f>SUMIFS('ноябрь 2023'!$G$4:$G$1127,'ноябрь 2023'!$D$4:$D$1127,$B51,'ноябрь 2023'!$J$4:$J$1127,I$1)</f>
        <v>0</v>
      </c>
      <c r="J51" s="207">
        <f>SUMIFS('ноябрь 2023'!$G$4:$G$1127,'ноябрь 2023'!$D$4:$D$1127,$B51,'ноябрь 2023'!$J$4:$J$1127,J$1)</f>
        <v>0</v>
      </c>
      <c r="K51" s="207">
        <f>SUMIFS('ноябрь 2023'!$G$4:$G$1127,'ноябрь 2023'!$D$4:$D$1127,$B51,'ноябрь 2023'!$J$4:$J$1127,K$1)</f>
        <v>0</v>
      </c>
      <c r="L51" s="207">
        <f>SUMIFS('ноябрь 2023'!$G$4:$G$1127,'ноябрь 2023'!$D$4:$D$1127,$B51,'ноябрь 2023'!$J$4:$J$1127,L$1)</f>
        <v>0</v>
      </c>
      <c r="M51" s="207">
        <f>SUMIFS('ноябрь 2023'!$G$4:$G$1127,'ноябрь 2023'!$D$4:$D$1127,$B51,'ноябрь 2023'!$J$4:$J$1127,M$1)</f>
        <v>0</v>
      </c>
      <c r="N51" s="207">
        <f>SUMIFS('ноябрь 2023'!$G$4:$G$1127,'ноябрь 2023'!$D$4:$D$1127,$B51,'ноябрь 2023'!$J$4:$J$1127,N$1)</f>
        <v>0</v>
      </c>
      <c r="O51" s="207">
        <f>SUMIFS('ноябрь 2023'!$G$4:$G$1127,'ноябрь 2023'!$D$4:$D$1127,$B51,'ноябрь 2023'!$J$4:$J$1127,O$1)</f>
        <v>0</v>
      </c>
      <c r="P51" s="207">
        <f>SUMIFS('ноябрь 2023'!$G$4:$G$1127,'ноябрь 2023'!$D$4:$D$1127,$B51,'ноябрь 2023'!$J$4:$J$1127,P$1)</f>
        <v>0</v>
      </c>
      <c r="Q51" s="207">
        <f>SUMIFS('ноябрь 2023'!$G$4:$G$1127,'ноябрь 2023'!$D$4:$D$1127,$B51,'ноябрь 2023'!$J$4:$J$1127,Q$1)</f>
        <v>0</v>
      </c>
      <c r="R51" s="207">
        <f>SUMIFS('ноябрь 2023'!$G$4:$G$1127,'ноябрь 2023'!$D$4:$D$1127,$B51,'ноябрь 2023'!$J$4:$J$1127,R$1)</f>
        <v>0</v>
      </c>
      <c r="S51" s="207">
        <f>SUMIFS('ноябрь 2023'!$G$4:$G$1127,'ноябрь 2023'!$D$4:$D$1127,$B51,'ноябрь 2023'!$J$4:$J$1127,S$1)</f>
        <v>0</v>
      </c>
      <c r="T51" s="207">
        <f>SUMIFS('ноябрь 2023'!$G$4:$G$1127,'ноябрь 2023'!$D$4:$D$1127,$B51,'ноябрь 2023'!$J$4:$J$1127,T$1)</f>
        <v>0</v>
      </c>
      <c r="U51" s="207">
        <f>SUMIFS('ноябрь 2023'!$G$4:$G$1127,'ноябрь 2023'!$D$4:$D$1127,$B51,'ноябрь 2023'!$J$4:$J$1127,U$1)</f>
        <v>0</v>
      </c>
      <c r="V51" s="207">
        <f>SUMIFS('ноябрь 2023'!$G$4:$G$1127,'ноябрь 2023'!$D$4:$D$1127,$B51,'ноябрь 2023'!$J$4:$J$1127,V$1)</f>
        <v>0</v>
      </c>
      <c r="W51" s="207">
        <f>SUMIFS('ноябрь 2023'!$G$4:$G$1127,'ноябрь 2023'!$D$4:$D$1127,$B51,'ноябрь 2023'!$J$4:$J$1127,W$1)</f>
        <v>0</v>
      </c>
      <c r="X51" s="207">
        <f>SUMIFS('ноябрь 2023'!$G$4:$G$1127,'ноябрь 2023'!$D$4:$D$1127,$B51,'ноябрь 2023'!$J$4:$J$1127,X$1)</f>
        <v>0</v>
      </c>
      <c r="Y51" s="207">
        <f>SUMIFS('ноябрь 2023'!$G$4:$G$1127,'ноябрь 2023'!$D$4:$D$1127,$B51,'ноябрь 2023'!$J$4:$J$1127,Y$1)</f>
        <v>0</v>
      </c>
      <c r="Z51" s="207">
        <f>SUMIFS('ноябрь 2023'!$G$4:$G$1127,'ноябрь 2023'!$D$4:$D$1127,$B51,'ноябрь 2023'!$J$4:$J$1127,Z$1)</f>
        <v>0</v>
      </c>
      <c r="AA51" s="207">
        <f>SUMIFS('ноябрь 2023'!$G$4:$G$1127,'ноябрь 2023'!$D$4:$D$1127,$B51,'ноябрь 2023'!$J$4:$J$1127,AA$1)</f>
        <v>0</v>
      </c>
      <c r="AB51" s="207">
        <f>SUMIFS('ноябрь 2023'!$G$4:$G$1127,'ноябрь 2023'!$D$4:$D$1127,$B51,'ноябрь 2023'!$J$4:$J$1127,AB$1)</f>
        <v>0</v>
      </c>
      <c r="AC51" s="207">
        <f>SUMIFS('ноябрь 2023'!$G$4:$G$1127,'ноябрь 2023'!$D$4:$D$1127,$B51,'ноябрь 2023'!$J$4:$J$1127,AC$1)</f>
        <v>0</v>
      </c>
      <c r="AD51" s="207">
        <f>SUMIFS('ноябрь 2023'!$G$4:$G$1127,'ноябрь 2023'!$D$4:$D$1127,$B51,'ноябрь 2023'!$J$4:$J$1127,AD$1)</f>
        <v>0</v>
      </c>
      <c r="AE51" s="207">
        <f>SUMIFS('ноябрь 2023'!$G$4:$G$1127,'ноябрь 2023'!$D$4:$D$1127,$B51,'ноябрь 2023'!$J$4:$J$1127,AE$1)</f>
        <v>0</v>
      </c>
      <c r="AF51" s="207">
        <f>SUMIFS('ноябрь 2023'!$G$4:$G$1127,'ноябрь 2023'!$D$4:$D$1127,$B51,'ноябрь 2023'!$J$4:$J$1127,AF$1)</f>
        <v>0</v>
      </c>
      <c r="AG51" s="207">
        <f>SUMIFS('ноябрь 2023'!$G$4:$G$1127,'ноябрь 2023'!$D$4:$D$1127,$B51,'ноябрь 2023'!$J$4:$J$1127,AG$1)</f>
        <v>0</v>
      </c>
      <c r="AH51" s="207">
        <f>SUMIFS('ноябрь 2023'!$G$4:$G$1127,'ноябрь 2023'!$D$4:$D$1127,$B51,'ноябрь 2023'!$J$4:$J$1127,AH$1)</f>
        <v>0</v>
      </c>
      <c r="AI51" s="170">
        <f t="shared" si="1"/>
        <v>0</v>
      </c>
    </row>
    <row r="52" spans="2:35" ht="15" customHeight="1" x14ac:dyDescent="0.25">
      <c r="B52" s="212" t="s">
        <v>110</v>
      </c>
      <c r="C52" s="213">
        <v>200</v>
      </c>
      <c r="D52" s="207">
        <f>SUMIFS('ноябрь 2023'!$G$4:$G$1127,'ноябрь 2023'!$D$4:$D$1127,$B52,'ноябрь 2023'!$J$4:$J$1127,D$1)</f>
        <v>0</v>
      </c>
      <c r="E52" s="207">
        <f>SUMIFS('ноябрь 2023'!$G$4:$G$1127,'ноябрь 2023'!$D$4:$D$1127,$B52,'ноябрь 2023'!$J$4:$J$1127,E$1)</f>
        <v>0</v>
      </c>
      <c r="F52" s="207">
        <f>SUMIFS('ноябрь 2023'!$G$4:$G$1127,'ноябрь 2023'!$D$4:$D$1127,$B52,'ноябрь 2023'!$J$4:$J$1127,F$1)</f>
        <v>0</v>
      </c>
      <c r="G52" s="207">
        <f>SUMIFS('ноябрь 2023'!$G$4:$G$1127,'ноябрь 2023'!$D$4:$D$1127,$B52,'ноябрь 2023'!$J$4:$J$1127,G$1)</f>
        <v>0</v>
      </c>
      <c r="H52" s="207">
        <f>SUMIFS('ноябрь 2023'!$G$4:$G$1127,'ноябрь 2023'!$D$4:$D$1127,$B52,'ноябрь 2023'!$J$4:$J$1127,H$1)</f>
        <v>0</v>
      </c>
      <c r="I52" s="207">
        <f>SUMIFS('ноябрь 2023'!$G$4:$G$1127,'ноябрь 2023'!$D$4:$D$1127,$B52,'ноябрь 2023'!$J$4:$J$1127,I$1)</f>
        <v>0</v>
      </c>
      <c r="J52" s="207">
        <f>SUMIFS('ноябрь 2023'!$G$4:$G$1127,'ноябрь 2023'!$D$4:$D$1127,$B52,'ноябрь 2023'!$J$4:$J$1127,J$1)</f>
        <v>0</v>
      </c>
      <c r="K52" s="207">
        <f>SUMIFS('ноябрь 2023'!$G$4:$G$1127,'ноябрь 2023'!$D$4:$D$1127,$B52,'ноябрь 2023'!$J$4:$J$1127,K$1)</f>
        <v>0</v>
      </c>
      <c r="L52" s="207">
        <f>SUMIFS('ноябрь 2023'!$G$4:$G$1127,'ноябрь 2023'!$D$4:$D$1127,$B52,'ноябрь 2023'!$J$4:$J$1127,L$1)</f>
        <v>0</v>
      </c>
      <c r="M52" s="207">
        <f>SUMIFS('ноябрь 2023'!$G$4:$G$1127,'ноябрь 2023'!$D$4:$D$1127,$B52,'ноябрь 2023'!$J$4:$J$1127,M$1)</f>
        <v>0</v>
      </c>
      <c r="N52" s="207">
        <f>SUMIFS('ноябрь 2023'!$G$4:$G$1127,'ноябрь 2023'!$D$4:$D$1127,$B52,'ноябрь 2023'!$J$4:$J$1127,N$1)</f>
        <v>0</v>
      </c>
      <c r="O52" s="207">
        <f>SUMIFS('ноябрь 2023'!$G$4:$G$1127,'ноябрь 2023'!$D$4:$D$1127,$B52,'ноябрь 2023'!$J$4:$J$1127,O$1)</f>
        <v>0</v>
      </c>
      <c r="P52" s="207">
        <f>SUMIFS('ноябрь 2023'!$G$4:$G$1127,'ноябрь 2023'!$D$4:$D$1127,$B52,'ноябрь 2023'!$J$4:$J$1127,P$1)</f>
        <v>0</v>
      </c>
      <c r="Q52" s="207">
        <f>SUMIFS('ноябрь 2023'!$G$4:$G$1127,'ноябрь 2023'!$D$4:$D$1127,$B52,'ноябрь 2023'!$J$4:$J$1127,Q$1)</f>
        <v>0</v>
      </c>
      <c r="R52" s="207">
        <f>SUMIFS('ноябрь 2023'!$G$4:$G$1127,'ноябрь 2023'!$D$4:$D$1127,$B52,'ноябрь 2023'!$J$4:$J$1127,R$1)</f>
        <v>0</v>
      </c>
      <c r="S52" s="207">
        <f>SUMIFS('ноябрь 2023'!$G$4:$G$1127,'ноябрь 2023'!$D$4:$D$1127,$B52,'ноябрь 2023'!$J$4:$J$1127,S$1)</f>
        <v>0</v>
      </c>
      <c r="T52" s="207">
        <f>SUMIFS('ноябрь 2023'!$G$4:$G$1127,'ноябрь 2023'!$D$4:$D$1127,$B52,'ноябрь 2023'!$J$4:$J$1127,T$1)</f>
        <v>0</v>
      </c>
      <c r="U52" s="207">
        <f>SUMIFS('ноябрь 2023'!$G$4:$G$1127,'ноябрь 2023'!$D$4:$D$1127,$B52,'ноябрь 2023'!$J$4:$J$1127,U$1)</f>
        <v>0</v>
      </c>
      <c r="V52" s="207">
        <f>SUMIFS('ноябрь 2023'!$G$4:$G$1127,'ноябрь 2023'!$D$4:$D$1127,$B52,'ноябрь 2023'!$J$4:$J$1127,V$1)</f>
        <v>0</v>
      </c>
      <c r="W52" s="207">
        <f>SUMIFS('ноябрь 2023'!$G$4:$G$1127,'ноябрь 2023'!$D$4:$D$1127,$B52,'ноябрь 2023'!$J$4:$J$1127,W$1)</f>
        <v>0</v>
      </c>
      <c r="X52" s="207">
        <f>SUMIFS('ноябрь 2023'!$G$4:$G$1127,'ноябрь 2023'!$D$4:$D$1127,$B52,'ноябрь 2023'!$J$4:$J$1127,X$1)</f>
        <v>0</v>
      </c>
      <c r="Y52" s="207">
        <f>SUMIFS('ноябрь 2023'!$G$4:$G$1127,'ноябрь 2023'!$D$4:$D$1127,$B52,'ноябрь 2023'!$J$4:$J$1127,Y$1)</f>
        <v>0</v>
      </c>
      <c r="Z52" s="207">
        <f>SUMIFS('ноябрь 2023'!$G$4:$G$1127,'ноябрь 2023'!$D$4:$D$1127,$B52,'ноябрь 2023'!$J$4:$J$1127,Z$1)</f>
        <v>0</v>
      </c>
      <c r="AA52" s="207">
        <f>SUMIFS('ноябрь 2023'!$G$4:$G$1127,'ноябрь 2023'!$D$4:$D$1127,$B52,'ноябрь 2023'!$J$4:$J$1127,AA$1)</f>
        <v>0</v>
      </c>
      <c r="AB52" s="207">
        <f>SUMIFS('ноябрь 2023'!$G$4:$G$1127,'ноябрь 2023'!$D$4:$D$1127,$B52,'ноябрь 2023'!$J$4:$J$1127,AB$1)</f>
        <v>0</v>
      </c>
      <c r="AC52" s="207">
        <f>SUMIFS('ноябрь 2023'!$G$4:$G$1127,'ноябрь 2023'!$D$4:$D$1127,$B52,'ноябрь 2023'!$J$4:$J$1127,AC$1)</f>
        <v>0</v>
      </c>
      <c r="AD52" s="207">
        <f>SUMIFS('ноябрь 2023'!$G$4:$G$1127,'ноябрь 2023'!$D$4:$D$1127,$B52,'ноябрь 2023'!$J$4:$J$1127,AD$1)</f>
        <v>0</v>
      </c>
      <c r="AE52" s="207">
        <f>SUMIFS('ноябрь 2023'!$G$4:$G$1127,'ноябрь 2023'!$D$4:$D$1127,$B52,'ноябрь 2023'!$J$4:$J$1127,AE$1)</f>
        <v>0</v>
      </c>
      <c r="AF52" s="207">
        <f>SUMIFS('ноябрь 2023'!$G$4:$G$1127,'ноябрь 2023'!$D$4:$D$1127,$B52,'ноябрь 2023'!$J$4:$J$1127,AF$1)</f>
        <v>0</v>
      </c>
      <c r="AG52" s="207">
        <f>SUMIFS('ноябрь 2023'!$G$4:$G$1127,'ноябрь 2023'!$D$4:$D$1127,$B52,'ноябрь 2023'!$J$4:$J$1127,AG$1)</f>
        <v>0</v>
      </c>
      <c r="AH52" s="207">
        <f>SUMIFS('ноябрь 2023'!$G$4:$G$1127,'ноябрь 2023'!$D$4:$D$1127,$B52,'ноябрь 2023'!$J$4:$J$1127,AH$1)</f>
        <v>0</v>
      </c>
      <c r="AI52" s="170">
        <f t="shared" si="1"/>
        <v>0</v>
      </c>
    </row>
    <row r="53" spans="2:35" ht="15" customHeight="1" x14ac:dyDescent="0.25">
      <c r="B53" s="212" t="s">
        <v>1415</v>
      </c>
      <c r="C53" s="213">
        <v>200</v>
      </c>
      <c r="D53" s="207">
        <f>SUMIFS('ноябрь 2023'!$G$4:$G$1127,'ноябрь 2023'!$D$4:$D$1127,$B53,'ноябрь 2023'!$J$4:$J$1127,D$1)</f>
        <v>0</v>
      </c>
      <c r="E53" s="207">
        <f>SUMIFS('ноябрь 2023'!$G$4:$G$1127,'ноябрь 2023'!$D$4:$D$1127,$B53,'ноябрь 2023'!$J$4:$J$1127,E$1)</f>
        <v>0</v>
      </c>
      <c r="F53" s="207">
        <f>SUMIFS('ноябрь 2023'!$G$4:$G$1127,'ноябрь 2023'!$D$4:$D$1127,$B53,'ноябрь 2023'!$J$4:$J$1127,F$1)</f>
        <v>0</v>
      </c>
      <c r="G53" s="207">
        <f>SUMIFS('ноябрь 2023'!$G$4:$G$1127,'ноябрь 2023'!$D$4:$D$1127,$B53,'ноябрь 2023'!$J$4:$J$1127,G$1)</f>
        <v>0</v>
      </c>
      <c r="H53" s="207">
        <f>SUMIFS('ноябрь 2023'!$G$4:$G$1127,'ноябрь 2023'!$D$4:$D$1127,$B53,'ноябрь 2023'!$J$4:$J$1127,H$1)</f>
        <v>0</v>
      </c>
      <c r="I53" s="207">
        <f>SUMIFS('ноябрь 2023'!$G$4:$G$1127,'ноябрь 2023'!$D$4:$D$1127,$B53,'ноябрь 2023'!$J$4:$J$1127,I$1)</f>
        <v>0</v>
      </c>
      <c r="J53" s="207">
        <f>SUMIFS('ноябрь 2023'!$G$4:$G$1127,'ноябрь 2023'!$D$4:$D$1127,$B53,'ноябрь 2023'!$J$4:$J$1127,J$1)</f>
        <v>0</v>
      </c>
      <c r="K53" s="207">
        <f>SUMIFS('ноябрь 2023'!$G$4:$G$1127,'ноябрь 2023'!$D$4:$D$1127,$B53,'ноябрь 2023'!$J$4:$J$1127,K$1)</f>
        <v>0</v>
      </c>
      <c r="L53" s="207">
        <f>SUMIFS('ноябрь 2023'!$G$4:$G$1127,'ноябрь 2023'!$D$4:$D$1127,$B53,'ноябрь 2023'!$J$4:$J$1127,L$1)</f>
        <v>0</v>
      </c>
      <c r="M53" s="207">
        <f>SUMIFS('ноябрь 2023'!$G$4:$G$1127,'ноябрь 2023'!$D$4:$D$1127,$B53,'ноябрь 2023'!$J$4:$J$1127,M$1)</f>
        <v>0</v>
      </c>
      <c r="N53" s="207">
        <f>SUMIFS('ноябрь 2023'!$G$4:$G$1127,'ноябрь 2023'!$D$4:$D$1127,$B53,'ноябрь 2023'!$J$4:$J$1127,N$1)</f>
        <v>0</v>
      </c>
      <c r="O53" s="207">
        <f>SUMIFS('ноябрь 2023'!$G$4:$G$1127,'ноябрь 2023'!$D$4:$D$1127,$B53,'ноябрь 2023'!$J$4:$J$1127,O$1)</f>
        <v>0</v>
      </c>
      <c r="P53" s="207">
        <f>SUMIFS('ноябрь 2023'!$G$4:$G$1127,'ноябрь 2023'!$D$4:$D$1127,$B53,'ноябрь 2023'!$J$4:$J$1127,P$1)</f>
        <v>0</v>
      </c>
      <c r="Q53" s="207">
        <f>SUMIFS('ноябрь 2023'!$G$4:$G$1127,'ноябрь 2023'!$D$4:$D$1127,$B53,'ноябрь 2023'!$J$4:$J$1127,Q$1)</f>
        <v>0</v>
      </c>
      <c r="R53" s="207">
        <f>SUMIFS('ноябрь 2023'!$G$4:$G$1127,'ноябрь 2023'!$D$4:$D$1127,$B53,'ноябрь 2023'!$J$4:$J$1127,R$1)</f>
        <v>0</v>
      </c>
      <c r="S53" s="207">
        <f>SUMIFS('ноябрь 2023'!$G$4:$G$1127,'ноябрь 2023'!$D$4:$D$1127,$B53,'ноябрь 2023'!$J$4:$J$1127,S$1)</f>
        <v>0</v>
      </c>
      <c r="T53" s="207">
        <f>SUMIFS('ноябрь 2023'!$G$4:$G$1127,'ноябрь 2023'!$D$4:$D$1127,$B53,'ноябрь 2023'!$J$4:$J$1127,T$1)</f>
        <v>0</v>
      </c>
      <c r="U53" s="207">
        <f>SUMIFS('ноябрь 2023'!$G$4:$G$1127,'ноябрь 2023'!$D$4:$D$1127,$B53,'ноябрь 2023'!$J$4:$J$1127,U$1)</f>
        <v>0</v>
      </c>
      <c r="V53" s="207">
        <f>SUMIFS('ноябрь 2023'!$G$4:$G$1127,'ноябрь 2023'!$D$4:$D$1127,$B53,'ноябрь 2023'!$J$4:$J$1127,V$1)</f>
        <v>0</v>
      </c>
      <c r="W53" s="207">
        <f>SUMIFS('ноябрь 2023'!$G$4:$G$1127,'ноябрь 2023'!$D$4:$D$1127,$B53,'ноябрь 2023'!$J$4:$J$1127,W$1)</f>
        <v>0</v>
      </c>
      <c r="X53" s="207">
        <f>SUMIFS('ноябрь 2023'!$G$4:$G$1127,'ноябрь 2023'!$D$4:$D$1127,$B53,'ноябрь 2023'!$J$4:$J$1127,X$1)</f>
        <v>0</v>
      </c>
      <c r="Y53" s="207">
        <f>SUMIFS('ноябрь 2023'!$G$4:$G$1127,'ноябрь 2023'!$D$4:$D$1127,$B53,'ноябрь 2023'!$J$4:$J$1127,Y$1)</f>
        <v>0</v>
      </c>
      <c r="Z53" s="207">
        <f>SUMIFS('ноябрь 2023'!$G$4:$G$1127,'ноябрь 2023'!$D$4:$D$1127,$B53,'ноябрь 2023'!$J$4:$J$1127,Z$1)</f>
        <v>0</v>
      </c>
      <c r="AA53" s="207">
        <f>SUMIFS('ноябрь 2023'!$G$4:$G$1127,'ноябрь 2023'!$D$4:$D$1127,$B53,'ноябрь 2023'!$J$4:$J$1127,AA$1)</f>
        <v>0</v>
      </c>
      <c r="AB53" s="207">
        <f>SUMIFS('ноябрь 2023'!$G$4:$G$1127,'ноябрь 2023'!$D$4:$D$1127,$B53,'ноябрь 2023'!$J$4:$J$1127,AB$1)</f>
        <v>0</v>
      </c>
      <c r="AC53" s="207">
        <f>SUMIFS('ноябрь 2023'!$G$4:$G$1127,'ноябрь 2023'!$D$4:$D$1127,$B53,'ноябрь 2023'!$J$4:$J$1127,AC$1)</f>
        <v>0</v>
      </c>
      <c r="AD53" s="207">
        <f>SUMIFS('ноябрь 2023'!$G$4:$G$1127,'ноябрь 2023'!$D$4:$D$1127,$B53,'ноябрь 2023'!$J$4:$J$1127,AD$1)</f>
        <v>0</v>
      </c>
      <c r="AE53" s="207">
        <f>SUMIFS('ноябрь 2023'!$G$4:$G$1127,'ноябрь 2023'!$D$4:$D$1127,$B53,'ноябрь 2023'!$J$4:$J$1127,AE$1)</f>
        <v>0</v>
      </c>
      <c r="AF53" s="207">
        <f>SUMIFS('ноябрь 2023'!$G$4:$G$1127,'ноябрь 2023'!$D$4:$D$1127,$B53,'ноябрь 2023'!$J$4:$J$1127,AF$1)</f>
        <v>0</v>
      </c>
      <c r="AG53" s="207">
        <f>SUMIFS('ноябрь 2023'!$G$4:$G$1127,'ноябрь 2023'!$D$4:$D$1127,$B53,'ноябрь 2023'!$J$4:$J$1127,AG$1)</f>
        <v>0</v>
      </c>
      <c r="AH53" s="207">
        <f>SUMIFS('ноябрь 2023'!$G$4:$G$1127,'ноябрь 2023'!$D$4:$D$1127,$B53,'ноябрь 2023'!$J$4:$J$1127,AH$1)</f>
        <v>0</v>
      </c>
      <c r="AI53" s="170">
        <f t="shared" si="1"/>
        <v>0</v>
      </c>
    </row>
    <row r="54" spans="2:35" ht="15" customHeight="1" x14ac:dyDescent="0.25">
      <c r="B54" s="212" t="s">
        <v>2144</v>
      </c>
      <c r="C54" s="213">
        <v>200</v>
      </c>
      <c r="D54" s="207">
        <f>SUMIFS('ноябрь 2023'!$G$4:$G$1127,'ноябрь 2023'!$D$4:$D$1127,$B54,'ноябрь 2023'!$J$4:$J$1127,D$1)</f>
        <v>0</v>
      </c>
      <c r="E54" s="207">
        <f>SUMIFS('ноябрь 2023'!$G$4:$G$1127,'ноябрь 2023'!$D$4:$D$1127,$B54,'ноябрь 2023'!$J$4:$J$1127,E$1)</f>
        <v>0</v>
      </c>
      <c r="F54" s="207">
        <f>SUMIFS('ноябрь 2023'!$G$4:$G$1127,'ноябрь 2023'!$D$4:$D$1127,$B54,'ноябрь 2023'!$J$4:$J$1127,F$1)</f>
        <v>0</v>
      </c>
      <c r="G54" s="207">
        <f>SUMIFS('ноябрь 2023'!$G$4:$G$1127,'ноябрь 2023'!$D$4:$D$1127,$B54,'ноябрь 2023'!$J$4:$J$1127,G$1)</f>
        <v>0</v>
      </c>
      <c r="H54" s="207">
        <f>SUMIFS('ноябрь 2023'!$G$4:$G$1127,'ноябрь 2023'!$D$4:$D$1127,$B54,'ноябрь 2023'!$J$4:$J$1127,H$1)</f>
        <v>0</v>
      </c>
      <c r="I54" s="207">
        <f>SUMIFS('ноябрь 2023'!$G$4:$G$1127,'ноябрь 2023'!$D$4:$D$1127,$B54,'ноябрь 2023'!$J$4:$J$1127,I$1)</f>
        <v>0</v>
      </c>
      <c r="J54" s="207">
        <f>SUMIFS('ноябрь 2023'!$G$4:$G$1127,'ноябрь 2023'!$D$4:$D$1127,$B54,'ноябрь 2023'!$J$4:$J$1127,J$1)</f>
        <v>0</v>
      </c>
      <c r="K54" s="207">
        <f>SUMIFS('ноябрь 2023'!$G$4:$G$1127,'ноябрь 2023'!$D$4:$D$1127,$B54,'ноябрь 2023'!$J$4:$J$1127,K$1)</f>
        <v>0</v>
      </c>
      <c r="L54" s="207">
        <f>SUMIFS('ноябрь 2023'!$G$4:$G$1127,'ноябрь 2023'!$D$4:$D$1127,$B54,'ноябрь 2023'!$J$4:$J$1127,L$1)</f>
        <v>0</v>
      </c>
      <c r="M54" s="207">
        <f>SUMIFS('ноябрь 2023'!$G$4:$G$1127,'ноябрь 2023'!$D$4:$D$1127,$B54,'ноябрь 2023'!$J$4:$J$1127,M$1)</f>
        <v>0</v>
      </c>
      <c r="N54" s="207">
        <f>SUMIFS('ноябрь 2023'!$G$4:$G$1127,'ноябрь 2023'!$D$4:$D$1127,$B54,'ноябрь 2023'!$J$4:$J$1127,N$1)</f>
        <v>0</v>
      </c>
      <c r="O54" s="207">
        <f>SUMIFS('ноябрь 2023'!$G$4:$G$1127,'ноябрь 2023'!$D$4:$D$1127,$B54,'ноябрь 2023'!$J$4:$J$1127,O$1)</f>
        <v>0</v>
      </c>
      <c r="P54" s="207">
        <f>SUMIFS('ноябрь 2023'!$G$4:$G$1127,'ноябрь 2023'!$D$4:$D$1127,$B54,'ноябрь 2023'!$J$4:$J$1127,P$1)</f>
        <v>0</v>
      </c>
      <c r="Q54" s="207">
        <f>SUMIFS('ноябрь 2023'!$G$4:$G$1127,'ноябрь 2023'!$D$4:$D$1127,$B54,'ноябрь 2023'!$J$4:$J$1127,Q$1)</f>
        <v>0</v>
      </c>
      <c r="R54" s="207">
        <f>SUMIFS('ноябрь 2023'!$G$4:$G$1127,'ноябрь 2023'!$D$4:$D$1127,$B54,'ноябрь 2023'!$J$4:$J$1127,R$1)</f>
        <v>0</v>
      </c>
      <c r="S54" s="207">
        <f>SUMIFS('ноябрь 2023'!$G$4:$G$1127,'ноябрь 2023'!$D$4:$D$1127,$B54,'ноябрь 2023'!$J$4:$J$1127,S$1)</f>
        <v>0</v>
      </c>
      <c r="T54" s="207">
        <f>SUMIFS('ноябрь 2023'!$G$4:$G$1127,'ноябрь 2023'!$D$4:$D$1127,$B54,'ноябрь 2023'!$J$4:$J$1127,T$1)</f>
        <v>0</v>
      </c>
      <c r="U54" s="207">
        <f>SUMIFS('ноябрь 2023'!$G$4:$G$1127,'ноябрь 2023'!$D$4:$D$1127,$B54,'ноябрь 2023'!$J$4:$J$1127,U$1)</f>
        <v>0</v>
      </c>
      <c r="V54" s="207">
        <f>SUMIFS('ноябрь 2023'!$G$4:$G$1127,'ноябрь 2023'!$D$4:$D$1127,$B54,'ноябрь 2023'!$J$4:$J$1127,V$1)</f>
        <v>0</v>
      </c>
      <c r="W54" s="207">
        <f>SUMIFS('ноябрь 2023'!$G$4:$G$1127,'ноябрь 2023'!$D$4:$D$1127,$B54,'ноябрь 2023'!$J$4:$J$1127,W$1)</f>
        <v>0</v>
      </c>
      <c r="X54" s="207">
        <f>SUMIFS('ноябрь 2023'!$G$4:$G$1127,'ноябрь 2023'!$D$4:$D$1127,$B54,'ноябрь 2023'!$J$4:$J$1127,X$1)</f>
        <v>0</v>
      </c>
      <c r="Y54" s="207">
        <f>SUMIFS('ноябрь 2023'!$G$4:$G$1127,'ноябрь 2023'!$D$4:$D$1127,$B54,'ноябрь 2023'!$J$4:$J$1127,Y$1)</f>
        <v>0</v>
      </c>
      <c r="Z54" s="207">
        <f>SUMIFS('ноябрь 2023'!$G$4:$G$1127,'ноябрь 2023'!$D$4:$D$1127,$B54,'ноябрь 2023'!$J$4:$J$1127,Z$1)</f>
        <v>0</v>
      </c>
      <c r="AA54" s="207">
        <f>SUMIFS('ноябрь 2023'!$G$4:$G$1127,'ноябрь 2023'!$D$4:$D$1127,$B54,'ноябрь 2023'!$J$4:$J$1127,AA$1)</f>
        <v>0</v>
      </c>
      <c r="AB54" s="207">
        <f>SUMIFS('ноябрь 2023'!$G$4:$G$1127,'ноябрь 2023'!$D$4:$D$1127,$B54,'ноябрь 2023'!$J$4:$J$1127,AB$1)</f>
        <v>0</v>
      </c>
      <c r="AC54" s="207">
        <f>SUMIFS('ноябрь 2023'!$G$4:$G$1127,'ноябрь 2023'!$D$4:$D$1127,$B54,'ноябрь 2023'!$J$4:$J$1127,AC$1)</f>
        <v>0</v>
      </c>
      <c r="AD54" s="207">
        <f>SUMIFS('ноябрь 2023'!$G$4:$G$1127,'ноябрь 2023'!$D$4:$D$1127,$B54,'ноябрь 2023'!$J$4:$J$1127,AD$1)</f>
        <v>0</v>
      </c>
      <c r="AE54" s="207">
        <f>SUMIFS('ноябрь 2023'!$G$4:$G$1127,'ноябрь 2023'!$D$4:$D$1127,$B54,'ноябрь 2023'!$J$4:$J$1127,AE$1)</f>
        <v>0</v>
      </c>
      <c r="AF54" s="207">
        <f>SUMIFS('ноябрь 2023'!$G$4:$G$1127,'ноябрь 2023'!$D$4:$D$1127,$B54,'ноябрь 2023'!$J$4:$J$1127,AF$1)</f>
        <v>0</v>
      </c>
      <c r="AG54" s="207">
        <f>SUMIFS('ноябрь 2023'!$G$4:$G$1127,'ноябрь 2023'!$D$4:$D$1127,$B54,'ноябрь 2023'!$J$4:$J$1127,AG$1)</f>
        <v>0</v>
      </c>
      <c r="AH54" s="207">
        <f>SUMIFS('ноябрь 2023'!$G$4:$G$1127,'ноябрь 2023'!$D$4:$D$1127,$B54,'ноябрь 2023'!$J$4:$J$1127,AH$1)</f>
        <v>0</v>
      </c>
      <c r="AI54" s="170">
        <f t="shared" si="1"/>
        <v>0</v>
      </c>
    </row>
    <row r="55" spans="2:35" ht="15" customHeight="1" x14ac:dyDescent="0.25">
      <c r="B55" s="217" t="s">
        <v>50</v>
      </c>
      <c r="C55" s="213">
        <v>200</v>
      </c>
      <c r="D55" s="207">
        <f>SUMIFS('ноябрь 2023'!$G$4:$G$1127,'ноябрь 2023'!$D$4:$D$1127,$B55,'ноябрь 2023'!$J$4:$J$1127,D$1)</f>
        <v>0</v>
      </c>
      <c r="E55" s="207">
        <f>SUMIFS('ноябрь 2023'!$G$4:$G$1127,'ноябрь 2023'!$D$4:$D$1127,$B55,'ноябрь 2023'!$J$4:$J$1127,E$1)</f>
        <v>0</v>
      </c>
      <c r="F55" s="207">
        <f>SUMIFS('ноябрь 2023'!$G$4:$G$1127,'ноябрь 2023'!$D$4:$D$1127,$B55,'ноябрь 2023'!$J$4:$J$1127,F$1)</f>
        <v>0</v>
      </c>
      <c r="G55" s="207">
        <f>SUMIFS('ноябрь 2023'!$G$4:$G$1127,'ноябрь 2023'!$D$4:$D$1127,$B55,'ноябрь 2023'!$J$4:$J$1127,G$1)</f>
        <v>0</v>
      </c>
      <c r="H55" s="207">
        <f>SUMIFS('ноябрь 2023'!$G$4:$G$1127,'ноябрь 2023'!$D$4:$D$1127,$B55,'ноябрь 2023'!$J$4:$J$1127,H$1)</f>
        <v>0</v>
      </c>
      <c r="I55" s="207">
        <f>SUMIFS('ноябрь 2023'!$G$4:$G$1127,'ноябрь 2023'!$D$4:$D$1127,$B55,'ноябрь 2023'!$J$4:$J$1127,I$1)</f>
        <v>0</v>
      </c>
      <c r="J55" s="207">
        <f>SUMIFS('ноябрь 2023'!$G$4:$G$1127,'ноябрь 2023'!$D$4:$D$1127,$B55,'ноябрь 2023'!$J$4:$J$1127,J$1)</f>
        <v>0</v>
      </c>
      <c r="K55" s="207">
        <f>SUMIFS('ноябрь 2023'!$G$4:$G$1127,'ноябрь 2023'!$D$4:$D$1127,$B55,'ноябрь 2023'!$J$4:$J$1127,K$1)</f>
        <v>0</v>
      </c>
      <c r="L55" s="207">
        <f>SUMIFS('ноябрь 2023'!$G$4:$G$1127,'ноябрь 2023'!$D$4:$D$1127,$B55,'ноябрь 2023'!$J$4:$J$1127,L$1)</f>
        <v>0</v>
      </c>
      <c r="M55" s="207">
        <f>SUMIFS('ноябрь 2023'!$G$4:$G$1127,'ноябрь 2023'!$D$4:$D$1127,$B55,'ноябрь 2023'!$J$4:$J$1127,M$1)</f>
        <v>0</v>
      </c>
      <c r="N55" s="207">
        <f>SUMIFS('ноябрь 2023'!$G$4:$G$1127,'ноябрь 2023'!$D$4:$D$1127,$B55,'ноябрь 2023'!$J$4:$J$1127,N$1)</f>
        <v>0</v>
      </c>
      <c r="O55" s="207">
        <f>SUMIFS('ноябрь 2023'!$G$4:$G$1127,'ноябрь 2023'!$D$4:$D$1127,$B55,'ноябрь 2023'!$J$4:$J$1127,O$1)</f>
        <v>0</v>
      </c>
      <c r="P55" s="207">
        <f>SUMIFS('ноябрь 2023'!$G$4:$G$1127,'ноябрь 2023'!$D$4:$D$1127,$B55,'ноябрь 2023'!$J$4:$J$1127,P$1)</f>
        <v>0</v>
      </c>
      <c r="Q55" s="207">
        <f>SUMIFS('ноябрь 2023'!$G$4:$G$1127,'ноябрь 2023'!$D$4:$D$1127,$B55,'ноябрь 2023'!$J$4:$J$1127,Q$1)</f>
        <v>0</v>
      </c>
      <c r="R55" s="207">
        <f>SUMIFS('ноябрь 2023'!$G$4:$G$1127,'ноябрь 2023'!$D$4:$D$1127,$B55,'ноябрь 2023'!$J$4:$J$1127,R$1)</f>
        <v>0</v>
      </c>
      <c r="S55" s="207">
        <f>SUMIFS('ноябрь 2023'!$G$4:$G$1127,'ноябрь 2023'!$D$4:$D$1127,$B55,'ноябрь 2023'!$J$4:$J$1127,S$1)</f>
        <v>0</v>
      </c>
      <c r="T55" s="207">
        <f>SUMIFS('ноябрь 2023'!$G$4:$G$1127,'ноябрь 2023'!$D$4:$D$1127,$B55,'ноябрь 2023'!$J$4:$J$1127,T$1)</f>
        <v>0</v>
      </c>
      <c r="U55" s="207">
        <f>SUMIFS('ноябрь 2023'!$G$4:$G$1127,'ноябрь 2023'!$D$4:$D$1127,$B55,'ноябрь 2023'!$J$4:$J$1127,U$1)</f>
        <v>0</v>
      </c>
      <c r="V55" s="207">
        <f>SUMIFS('ноябрь 2023'!$G$4:$G$1127,'ноябрь 2023'!$D$4:$D$1127,$B55,'ноябрь 2023'!$J$4:$J$1127,V$1)</f>
        <v>0</v>
      </c>
      <c r="W55" s="207">
        <f>SUMIFS('ноябрь 2023'!$G$4:$G$1127,'ноябрь 2023'!$D$4:$D$1127,$B55,'ноябрь 2023'!$J$4:$J$1127,W$1)</f>
        <v>0</v>
      </c>
      <c r="X55" s="207">
        <f>SUMIFS('ноябрь 2023'!$G$4:$G$1127,'ноябрь 2023'!$D$4:$D$1127,$B55,'ноябрь 2023'!$J$4:$J$1127,X$1)</f>
        <v>0</v>
      </c>
      <c r="Y55" s="207">
        <f>SUMIFS('ноябрь 2023'!$G$4:$G$1127,'ноябрь 2023'!$D$4:$D$1127,$B55,'ноябрь 2023'!$J$4:$J$1127,Y$1)</f>
        <v>0</v>
      </c>
      <c r="Z55" s="207">
        <f>SUMIFS('ноябрь 2023'!$G$4:$G$1127,'ноябрь 2023'!$D$4:$D$1127,$B55,'ноябрь 2023'!$J$4:$J$1127,Z$1)</f>
        <v>0</v>
      </c>
      <c r="AA55" s="207">
        <f>SUMIFS('ноябрь 2023'!$G$4:$G$1127,'ноябрь 2023'!$D$4:$D$1127,$B55,'ноябрь 2023'!$J$4:$J$1127,AA$1)</f>
        <v>0</v>
      </c>
      <c r="AB55" s="207">
        <f>SUMIFS('ноябрь 2023'!$G$4:$G$1127,'ноябрь 2023'!$D$4:$D$1127,$B55,'ноябрь 2023'!$J$4:$J$1127,AB$1)</f>
        <v>0</v>
      </c>
      <c r="AC55" s="207">
        <f>SUMIFS('ноябрь 2023'!$G$4:$G$1127,'ноябрь 2023'!$D$4:$D$1127,$B55,'ноябрь 2023'!$J$4:$J$1127,AC$1)</f>
        <v>0</v>
      </c>
      <c r="AD55" s="207">
        <f>SUMIFS('ноябрь 2023'!$G$4:$G$1127,'ноябрь 2023'!$D$4:$D$1127,$B55,'ноябрь 2023'!$J$4:$J$1127,AD$1)</f>
        <v>0</v>
      </c>
      <c r="AE55" s="207">
        <f>SUMIFS('ноябрь 2023'!$G$4:$G$1127,'ноябрь 2023'!$D$4:$D$1127,$B55,'ноябрь 2023'!$J$4:$J$1127,AE$1)</f>
        <v>0</v>
      </c>
      <c r="AF55" s="207">
        <f>SUMIFS('ноябрь 2023'!$G$4:$G$1127,'ноябрь 2023'!$D$4:$D$1127,$B55,'ноябрь 2023'!$J$4:$J$1127,AF$1)</f>
        <v>0</v>
      </c>
      <c r="AG55" s="207">
        <f>SUMIFS('ноябрь 2023'!$G$4:$G$1127,'ноябрь 2023'!$D$4:$D$1127,$B55,'ноябрь 2023'!$J$4:$J$1127,AG$1)</f>
        <v>0</v>
      </c>
      <c r="AH55" s="207">
        <f>SUMIFS('ноябрь 2023'!$G$4:$G$1127,'ноябрь 2023'!$D$4:$D$1127,$B55,'ноябрь 2023'!$J$4:$J$1127,AH$1)</f>
        <v>0</v>
      </c>
      <c r="AI55" s="170">
        <f t="shared" si="1"/>
        <v>0</v>
      </c>
    </row>
    <row r="56" spans="2:35" ht="15" customHeight="1" x14ac:dyDescent="0.25">
      <c r="B56" s="217" t="s">
        <v>2148</v>
      </c>
      <c r="C56" s="213">
        <v>190</v>
      </c>
      <c r="D56" s="207">
        <f>SUMIFS('ноябрь 2023'!$G$4:$G$1127,'ноябрь 2023'!$D$4:$D$1127,$B56,'ноябрь 2023'!$J$4:$J$1127,D$1)</f>
        <v>0</v>
      </c>
      <c r="E56" s="207">
        <f>SUMIFS('ноябрь 2023'!$G$4:$G$1127,'ноябрь 2023'!$D$4:$D$1127,$B56,'ноябрь 2023'!$J$4:$J$1127,E$1)</f>
        <v>0</v>
      </c>
      <c r="F56" s="207">
        <f>SUMIFS('ноябрь 2023'!$G$4:$G$1127,'ноябрь 2023'!$D$4:$D$1127,$B56,'ноябрь 2023'!$J$4:$J$1127,F$1)</f>
        <v>0</v>
      </c>
      <c r="G56" s="207">
        <f>SUMIFS('ноябрь 2023'!$G$4:$G$1127,'ноябрь 2023'!$D$4:$D$1127,$B56,'ноябрь 2023'!$J$4:$J$1127,G$1)</f>
        <v>0</v>
      </c>
      <c r="H56" s="207">
        <f>SUMIFS('ноябрь 2023'!$G$4:$G$1127,'ноябрь 2023'!$D$4:$D$1127,$B56,'ноябрь 2023'!$J$4:$J$1127,H$1)</f>
        <v>0</v>
      </c>
      <c r="I56" s="207">
        <f>SUMIFS('ноябрь 2023'!$G$4:$G$1127,'ноябрь 2023'!$D$4:$D$1127,$B56,'ноябрь 2023'!$J$4:$J$1127,I$1)</f>
        <v>0</v>
      </c>
      <c r="J56" s="207">
        <f>SUMIFS('ноябрь 2023'!$G$4:$G$1127,'ноябрь 2023'!$D$4:$D$1127,$B56,'ноябрь 2023'!$J$4:$J$1127,J$1)</f>
        <v>0</v>
      </c>
      <c r="K56" s="207">
        <f>SUMIFS('ноябрь 2023'!$G$4:$G$1127,'ноябрь 2023'!$D$4:$D$1127,$B56,'ноябрь 2023'!$J$4:$J$1127,K$1)</f>
        <v>0</v>
      </c>
      <c r="L56" s="207">
        <f>SUMIFS('ноябрь 2023'!$G$4:$G$1127,'ноябрь 2023'!$D$4:$D$1127,$B56,'ноябрь 2023'!$J$4:$J$1127,L$1)</f>
        <v>0</v>
      </c>
      <c r="M56" s="207">
        <f>SUMIFS('ноябрь 2023'!$G$4:$G$1127,'ноябрь 2023'!$D$4:$D$1127,$B56,'ноябрь 2023'!$J$4:$J$1127,M$1)</f>
        <v>0</v>
      </c>
      <c r="N56" s="207">
        <f>SUMIFS('ноябрь 2023'!$G$4:$G$1127,'ноябрь 2023'!$D$4:$D$1127,$B56,'ноябрь 2023'!$J$4:$J$1127,N$1)</f>
        <v>0</v>
      </c>
      <c r="O56" s="207">
        <f>SUMIFS('ноябрь 2023'!$G$4:$G$1127,'ноябрь 2023'!$D$4:$D$1127,$B56,'ноябрь 2023'!$J$4:$J$1127,O$1)</f>
        <v>0</v>
      </c>
      <c r="P56" s="207">
        <f>SUMIFS('ноябрь 2023'!$G$4:$G$1127,'ноябрь 2023'!$D$4:$D$1127,$B56,'ноябрь 2023'!$J$4:$J$1127,P$1)</f>
        <v>0</v>
      </c>
      <c r="Q56" s="207">
        <f>SUMIFS('ноябрь 2023'!$G$4:$G$1127,'ноябрь 2023'!$D$4:$D$1127,$B56,'ноябрь 2023'!$J$4:$J$1127,Q$1)</f>
        <v>0</v>
      </c>
      <c r="R56" s="207">
        <f>SUMIFS('ноябрь 2023'!$G$4:$G$1127,'ноябрь 2023'!$D$4:$D$1127,$B56,'ноябрь 2023'!$J$4:$J$1127,R$1)</f>
        <v>0</v>
      </c>
      <c r="S56" s="207">
        <f>SUMIFS('ноябрь 2023'!$G$4:$G$1127,'ноябрь 2023'!$D$4:$D$1127,$B56,'ноябрь 2023'!$J$4:$J$1127,S$1)</f>
        <v>0</v>
      </c>
      <c r="T56" s="207">
        <f>SUMIFS('ноябрь 2023'!$G$4:$G$1127,'ноябрь 2023'!$D$4:$D$1127,$B56,'ноябрь 2023'!$J$4:$J$1127,T$1)</f>
        <v>0</v>
      </c>
      <c r="U56" s="207">
        <f>SUMIFS('ноябрь 2023'!$G$4:$G$1127,'ноябрь 2023'!$D$4:$D$1127,$B56,'ноябрь 2023'!$J$4:$J$1127,U$1)</f>
        <v>0</v>
      </c>
      <c r="V56" s="207">
        <f>SUMIFS('ноябрь 2023'!$G$4:$G$1127,'ноябрь 2023'!$D$4:$D$1127,$B56,'ноябрь 2023'!$J$4:$J$1127,V$1)</f>
        <v>0</v>
      </c>
      <c r="W56" s="207">
        <f>SUMIFS('ноябрь 2023'!$G$4:$G$1127,'ноябрь 2023'!$D$4:$D$1127,$B56,'ноябрь 2023'!$J$4:$J$1127,W$1)</f>
        <v>0</v>
      </c>
      <c r="X56" s="207">
        <f>SUMIFS('ноябрь 2023'!$G$4:$G$1127,'ноябрь 2023'!$D$4:$D$1127,$B56,'ноябрь 2023'!$J$4:$J$1127,X$1)</f>
        <v>0</v>
      </c>
      <c r="Y56" s="207">
        <f>SUMIFS('ноябрь 2023'!$G$4:$G$1127,'ноябрь 2023'!$D$4:$D$1127,$B56,'ноябрь 2023'!$J$4:$J$1127,Y$1)</f>
        <v>0</v>
      </c>
      <c r="Z56" s="207">
        <f>SUMIFS('ноябрь 2023'!$G$4:$G$1127,'ноябрь 2023'!$D$4:$D$1127,$B56,'ноябрь 2023'!$J$4:$J$1127,Z$1)</f>
        <v>0</v>
      </c>
      <c r="AA56" s="207">
        <f>SUMIFS('ноябрь 2023'!$G$4:$G$1127,'ноябрь 2023'!$D$4:$D$1127,$B56,'ноябрь 2023'!$J$4:$J$1127,AA$1)</f>
        <v>0</v>
      </c>
      <c r="AB56" s="207">
        <f>SUMIFS('ноябрь 2023'!$G$4:$G$1127,'ноябрь 2023'!$D$4:$D$1127,$B56,'ноябрь 2023'!$J$4:$J$1127,AB$1)</f>
        <v>0</v>
      </c>
      <c r="AC56" s="207">
        <f>SUMIFS('ноябрь 2023'!$G$4:$G$1127,'ноябрь 2023'!$D$4:$D$1127,$B56,'ноябрь 2023'!$J$4:$J$1127,AC$1)</f>
        <v>0</v>
      </c>
      <c r="AD56" s="207">
        <f>SUMIFS('ноябрь 2023'!$G$4:$G$1127,'ноябрь 2023'!$D$4:$D$1127,$B56,'ноябрь 2023'!$J$4:$J$1127,AD$1)</f>
        <v>0</v>
      </c>
      <c r="AE56" s="207">
        <f>SUMIFS('ноябрь 2023'!$G$4:$G$1127,'ноябрь 2023'!$D$4:$D$1127,$B56,'ноябрь 2023'!$J$4:$J$1127,AE$1)</f>
        <v>0</v>
      </c>
      <c r="AF56" s="207">
        <f>SUMIFS('ноябрь 2023'!$G$4:$G$1127,'ноябрь 2023'!$D$4:$D$1127,$B56,'ноябрь 2023'!$J$4:$J$1127,AF$1)</f>
        <v>0</v>
      </c>
      <c r="AG56" s="207">
        <f>SUMIFS('ноябрь 2023'!$G$4:$G$1127,'ноябрь 2023'!$D$4:$D$1127,$B56,'ноябрь 2023'!$J$4:$J$1127,AG$1)</f>
        <v>0</v>
      </c>
      <c r="AH56" s="207">
        <f>SUMIFS('ноябрь 2023'!$G$4:$G$1127,'ноябрь 2023'!$D$4:$D$1127,$B56,'ноябрь 2023'!$J$4:$J$1127,AH$1)</f>
        <v>0</v>
      </c>
      <c r="AI56" s="170">
        <f t="shared" si="1"/>
        <v>0</v>
      </c>
    </row>
    <row r="57" spans="2:35" ht="15" customHeight="1" x14ac:dyDescent="0.25">
      <c r="B57" s="217" t="s">
        <v>421</v>
      </c>
      <c r="C57" s="213">
        <v>200</v>
      </c>
      <c r="D57" s="207">
        <f>SUMIFS('ноябрь 2023'!$G$4:$G$1127,'ноябрь 2023'!$D$4:$D$1127,$B57,'ноябрь 2023'!$J$4:$J$1127,D$1)</f>
        <v>0</v>
      </c>
      <c r="E57" s="207">
        <f>SUMIFS('ноябрь 2023'!$G$4:$G$1127,'ноябрь 2023'!$D$4:$D$1127,$B57,'ноябрь 2023'!$J$4:$J$1127,E$1)</f>
        <v>0</v>
      </c>
      <c r="F57" s="207">
        <f>SUMIFS('ноябрь 2023'!$G$4:$G$1127,'ноябрь 2023'!$D$4:$D$1127,$B57,'ноябрь 2023'!$J$4:$J$1127,F$1)</f>
        <v>0</v>
      </c>
      <c r="G57" s="207">
        <f>SUMIFS('ноябрь 2023'!$G$4:$G$1127,'ноябрь 2023'!$D$4:$D$1127,$B57,'ноябрь 2023'!$J$4:$J$1127,G$1)</f>
        <v>0</v>
      </c>
      <c r="H57" s="207">
        <f>SUMIFS('ноябрь 2023'!$G$4:$G$1127,'ноябрь 2023'!$D$4:$D$1127,$B57,'ноябрь 2023'!$J$4:$J$1127,H$1)</f>
        <v>0</v>
      </c>
      <c r="I57" s="207">
        <f>SUMIFS('ноябрь 2023'!$G$4:$G$1127,'ноябрь 2023'!$D$4:$D$1127,$B57,'ноябрь 2023'!$J$4:$J$1127,I$1)</f>
        <v>0</v>
      </c>
      <c r="J57" s="207">
        <f>SUMIFS('ноябрь 2023'!$G$4:$G$1127,'ноябрь 2023'!$D$4:$D$1127,$B57,'ноябрь 2023'!$J$4:$J$1127,J$1)</f>
        <v>0</v>
      </c>
      <c r="K57" s="207">
        <f>SUMIFS('ноябрь 2023'!$G$4:$G$1127,'ноябрь 2023'!$D$4:$D$1127,$B57,'ноябрь 2023'!$J$4:$J$1127,K$1)</f>
        <v>0</v>
      </c>
      <c r="L57" s="207">
        <f>SUMIFS('ноябрь 2023'!$G$4:$G$1127,'ноябрь 2023'!$D$4:$D$1127,$B57,'ноябрь 2023'!$J$4:$J$1127,L$1)</f>
        <v>0</v>
      </c>
      <c r="M57" s="207">
        <f>SUMIFS('ноябрь 2023'!$G$4:$G$1127,'ноябрь 2023'!$D$4:$D$1127,$B57,'ноябрь 2023'!$J$4:$J$1127,M$1)</f>
        <v>0</v>
      </c>
      <c r="N57" s="207">
        <f>SUMIFS('ноябрь 2023'!$G$4:$G$1127,'ноябрь 2023'!$D$4:$D$1127,$B57,'ноябрь 2023'!$J$4:$J$1127,N$1)</f>
        <v>0</v>
      </c>
      <c r="O57" s="207">
        <f>SUMIFS('ноябрь 2023'!$G$4:$G$1127,'ноябрь 2023'!$D$4:$D$1127,$B57,'ноябрь 2023'!$J$4:$J$1127,O$1)</f>
        <v>0</v>
      </c>
      <c r="P57" s="207">
        <f>SUMIFS('ноябрь 2023'!$G$4:$G$1127,'ноябрь 2023'!$D$4:$D$1127,$B57,'ноябрь 2023'!$J$4:$J$1127,P$1)</f>
        <v>0</v>
      </c>
      <c r="Q57" s="207">
        <f>SUMIFS('ноябрь 2023'!$G$4:$G$1127,'ноябрь 2023'!$D$4:$D$1127,$B57,'ноябрь 2023'!$J$4:$J$1127,Q$1)</f>
        <v>0</v>
      </c>
      <c r="R57" s="207">
        <f>SUMIFS('ноябрь 2023'!$G$4:$G$1127,'ноябрь 2023'!$D$4:$D$1127,$B57,'ноябрь 2023'!$J$4:$J$1127,R$1)</f>
        <v>0</v>
      </c>
      <c r="S57" s="207">
        <f>SUMIFS('ноябрь 2023'!$G$4:$G$1127,'ноябрь 2023'!$D$4:$D$1127,$B57,'ноябрь 2023'!$J$4:$J$1127,S$1)</f>
        <v>0</v>
      </c>
      <c r="T57" s="207">
        <f>SUMIFS('ноябрь 2023'!$G$4:$G$1127,'ноябрь 2023'!$D$4:$D$1127,$B57,'ноябрь 2023'!$J$4:$J$1127,T$1)</f>
        <v>0</v>
      </c>
      <c r="U57" s="207">
        <f>SUMIFS('ноябрь 2023'!$G$4:$G$1127,'ноябрь 2023'!$D$4:$D$1127,$B57,'ноябрь 2023'!$J$4:$J$1127,U$1)</f>
        <v>0</v>
      </c>
      <c r="V57" s="207">
        <f>SUMIFS('ноябрь 2023'!$G$4:$G$1127,'ноябрь 2023'!$D$4:$D$1127,$B57,'ноябрь 2023'!$J$4:$J$1127,V$1)</f>
        <v>0</v>
      </c>
      <c r="W57" s="207">
        <f>SUMIFS('ноябрь 2023'!$G$4:$G$1127,'ноябрь 2023'!$D$4:$D$1127,$B57,'ноябрь 2023'!$J$4:$J$1127,W$1)</f>
        <v>0</v>
      </c>
      <c r="X57" s="207">
        <f>SUMIFS('ноябрь 2023'!$G$4:$G$1127,'ноябрь 2023'!$D$4:$D$1127,$B57,'ноябрь 2023'!$J$4:$J$1127,X$1)</f>
        <v>0</v>
      </c>
      <c r="Y57" s="207">
        <f>SUMIFS('ноябрь 2023'!$G$4:$G$1127,'ноябрь 2023'!$D$4:$D$1127,$B57,'ноябрь 2023'!$J$4:$J$1127,Y$1)</f>
        <v>0</v>
      </c>
      <c r="Z57" s="207">
        <f>SUMIFS('ноябрь 2023'!$G$4:$G$1127,'ноябрь 2023'!$D$4:$D$1127,$B57,'ноябрь 2023'!$J$4:$J$1127,Z$1)</f>
        <v>0</v>
      </c>
      <c r="AA57" s="207">
        <f>SUMIFS('ноябрь 2023'!$G$4:$G$1127,'ноябрь 2023'!$D$4:$D$1127,$B57,'ноябрь 2023'!$J$4:$J$1127,AA$1)</f>
        <v>0</v>
      </c>
      <c r="AB57" s="207">
        <f>SUMIFS('ноябрь 2023'!$G$4:$G$1127,'ноябрь 2023'!$D$4:$D$1127,$B57,'ноябрь 2023'!$J$4:$J$1127,AB$1)</f>
        <v>0</v>
      </c>
      <c r="AC57" s="207">
        <f>SUMIFS('ноябрь 2023'!$G$4:$G$1127,'ноябрь 2023'!$D$4:$D$1127,$B57,'ноябрь 2023'!$J$4:$J$1127,AC$1)</f>
        <v>0</v>
      </c>
      <c r="AD57" s="207">
        <f>SUMIFS('ноябрь 2023'!$G$4:$G$1127,'ноябрь 2023'!$D$4:$D$1127,$B57,'ноябрь 2023'!$J$4:$J$1127,AD$1)</f>
        <v>0</v>
      </c>
      <c r="AE57" s="207">
        <f>SUMIFS('ноябрь 2023'!$G$4:$G$1127,'ноябрь 2023'!$D$4:$D$1127,$B57,'ноябрь 2023'!$J$4:$J$1127,AE$1)</f>
        <v>0</v>
      </c>
      <c r="AF57" s="207">
        <f>SUMIFS('ноябрь 2023'!$G$4:$G$1127,'ноябрь 2023'!$D$4:$D$1127,$B57,'ноябрь 2023'!$J$4:$J$1127,AF$1)</f>
        <v>0</v>
      </c>
      <c r="AG57" s="207">
        <f>SUMIFS('ноябрь 2023'!$G$4:$G$1127,'ноябрь 2023'!$D$4:$D$1127,$B57,'ноябрь 2023'!$J$4:$J$1127,AG$1)</f>
        <v>0</v>
      </c>
      <c r="AH57" s="207">
        <f>SUMIFS('ноябрь 2023'!$G$4:$G$1127,'ноябрь 2023'!$D$4:$D$1127,$B57,'ноябрь 2023'!$J$4:$J$1127,AH$1)</f>
        <v>0</v>
      </c>
      <c r="AI57" s="170">
        <f t="shared" si="1"/>
        <v>0</v>
      </c>
    </row>
    <row r="58" spans="2:35" ht="15" customHeight="1" x14ac:dyDescent="0.25">
      <c r="B58" s="217" t="s">
        <v>602</v>
      </c>
      <c r="C58" s="213">
        <v>25</v>
      </c>
      <c r="D58" s="207">
        <f>SUMIFS('ноябрь 2023'!$G$4:$G$1127,'ноябрь 2023'!$D$4:$D$1127,$B58,'ноябрь 2023'!$J$4:$J$1127,D$1)</f>
        <v>0</v>
      </c>
      <c r="E58" s="207">
        <f>SUMIFS('ноябрь 2023'!$G$4:$G$1127,'ноябрь 2023'!$D$4:$D$1127,$B58,'ноябрь 2023'!$J$4:$J$1127,E$1)</f>
        <v>0</v>
      </c>
      <c r="F58" s="207">
        <f>SUMIFS('ноябрь 2023'!$G$4:$G$1127,'ноябрь 2023'!$D$4:$D$1127,$B58,'ноябрь 2023'!$J$4:$J$1127,F$1)</f>
        <v>0</v>
      </c>
      <c r="G58" s="207">
        <f>SUMIFS('ноябрь 2023'!$G$4:$G$1127,'ноябрь 2023'!$D$4:$D$1127,$B58,'ноябрь 2023'!$J$4:$J$1127,G$1)</f>
        <v>0</v>
      </c>
      <c r="H58" s="207">
        <f>SUMIFS('ноябрь 2023'!$G$4:$G$1127,'ноябрь 2023'!$D$4:$D$1127,$B58,'ноябрь 2023'!$J$4:$J$1127,H$1)</f>
        <v>0</v>
      </c>
      <c r="I58" s="207">
        <f>SUMIFS('ноябрь 2023'!$G$4:$G$1127,'ноябрь 2023'!$D$4:$D$1127,$B58,'ноябрь 2023'!$J$4:$J$1127,I$1)</f>
        <v>0</v>
      </c>
      <c r="J58" s="207">
        <f>SUMIFS('ноябрь 2023'!$G$4:$G$1127,'ноябрь 2023'!$D$4:$D$1127,$B58,'ноябрь 2023'!$J$4:$J$1127,J$1)</f>
        <v>0</v>
      </c>
      <c r="K58" s="207">
        <f>SUMIFS('ноябрь 2023'!$G$4:$G$1127,'ноябрь 2023'!$D$4:$D$1127,$B58,'ноябрь 2023'!$J$4:$J$1127,K$1)</f>
        <v>0</v>
      </c>
      <c r="L58" s="207">
        <f>SUMIFS('ноябрь 2023'!$G$4:$G$1127,'ноябрь 2023'!$D$4:$D$1127,$B58,'ноябрь 2023'!$J$4:$J$1127,L$1)</f>
        <v>0</v>
      </c>
      <c r="M58" s="207">
        <f>SUMIFS('ноябрь 2023'!$G$4:$G$1127,'ноябрь 2023'!$D$4:$D$1127,$B58,'ноябрь 2023'!$J$4:$J$1127,M$1)</f>
        <v>0</v>
      </c>
      <c r="N58" s="207">
        <f>SUMIFS('ноябрь 2023'!$G$4:$G$1127,'ноябрь 2023'!$D$4:$D$1127,$B58,'ноябрь 2023'!$J$4:$J$1127,N$1)</f>
        <v>0</v>
      </c>
      <c r="O58" s="207">
        <f>SUMIFS('ноябрь 2023'!$G$4:$G$1127,'ноябрь 2023'!$D$4:$D$1127,$B58,'ноябрь 2023'!$J$4:$J$1127,O$1)</f>
        <v>0</v>
      </c>
      <c r="P58" s="207">
        <f>SUMIFS('ноябрь 2023'!$G$4:$G$1127,'ноябрь 2023'!$D$4:$D$1127,$B58,'ноябрь 2023'!$J$4:$J$1127,P$1)</f>
        <v>0</v>
      </c>
      <c r="Q58" s="207">
        <f>SUMIFS('ноябрь 2023'!$G$4:$G$1127,'ноябрь 2023'!$D$4:$D$1127,$B58,'ноябрь 2023'!$J$4:$J$1127,Q$1)</f>
        <v>0</v>
      </c>
      <c r="R58" s="207">
        <f>SUMIFS('ноябрь 2023'!$G$4:$G$1127,'ноябрь 2023'!$D$4:$D$1127,$B58,'ноябрь 2023'!$J$4:$J$1127,R$1)</f>
        <v>0</v>
      </c>
      <c r="S58" s="207">
        <f>SUMIFS('ноябрь 2023'!$G$4:$G$1127,'ноябрь 2023'!$D$4:$D$1127,$B58,'ноябрь 2023'!$J$4:$J$1127,S$1)</f>
        <v>0</v>
      </c>
      <c r="T58" s="207">
        <f>SUMIFS('ноябрь 2023'!$G$4:$G$1127,'ноябрь 2023'!$D$4:$D$1127,$B58,'ноябрь 2023'!$J$4:$J$1127,T$1)</f>
        <v>0</v>
      </c>
      <c r="U58" s="207">
        <f>SUMIFS('ноябрь 2023'!$G$4:$G$1127,'ноябрь 2023'!$D$4:$D$1127,$B58,'ноябрь 2023'!$J$4:$J$1127,U$1)</f>
        <v>0</v>
      </c>
      <c r="V58" s="207">
        <f>SUMIFS('ноябрь 2023'!$G$4:$G$1127,'ноябрь 2023'!$D$4:$D$1127,$B58,'ноябрь 2023'!$J$4:$J$1127,V$1)</f>
        <v>0</v>
      </c>
      <c r="W58" s="207">
        <f>SUMIFS('ноябрь 2023'!$G$4:$G$1127,'ноябрь 2023'!$D$4:$D$1127,$B58,'ноябрь 2023'!$J$4:$J$1127,W$1)</f>
        <v>0</v>
      </c>
      <c r="X58" s="207">
        <f>SUMIFS('ноябрь 2023'!$G$4:$G$1127,'ноябрь 2023'!$D$4:$D$1127,$B58,'ноябрь 2023'!$J$4:$J$1127,X$1)</f>
        <v>0</v>
      </c>
      <c r="Y58" s="207">
        <f>SUMIFS('ноябрь 2023'!$G$4:$G$1127,'ноябрь 2023'!$D$4:$D$1127,$B58,'ноябрь 2023'!$J$4:$J$1127,Y$1)</f>
        <v>0</v>
      </c>
      <c r="Z58" s="207">
        <f>SUMIFS('ноябрь 2023'!$G$4:$G$1127,'ноябрь 2023'!$D$4:$D$1127,$B58,'ноябрь 2023'!$J$4:$J$1127,Z$1)</f>
        <v>0</v>
      </c>
      <c r="AA58" s="207">
        <f>SUMIFS('ноябрь 2023'!$G$4:$G$1127,'ноябрь 2023'!$D$4:$D$1127,$B58,'ноябрь 2023'!$J$4:$J$1127,AA$1)</f>
        <v>0</v>
      </c>
      <c r="AB58" s="207">
        <f>SUMIFS('ноябрь 2023'!$G$4:$G$1127,'ноябрь 2023'!$D$4:$D$1127,$B58,'ноябрь 2023'!$J$4:$J$1127,AB$1)</f>
        <v>0</v>
      </c>
      <c r="AC58" s="207">
        <f>SUMIFS('ноябрь 2023'!$G$4:$G$1127,'ноябрь 2023'!$D$4:$D$1127,$B58,'ноябрь 2023'!$J$4:$J$1127,AC$1)</f>
        <v>0</v>
      </c>
      <c r="AD58" s="207">
        <f>SUMIFS('ноябрь 2023'!$G$4:$G$1127,'ноябрь 2023'!$D$4:$D$1127,$B58,'ноябрь 2023'!$J$4:$J$1127,AD$1)</f>
        <v>0</v>
      </c>
      <c r="AE58" s="207">
        <f>SUMIFS('ноябрь 2023'!$G$4:$G$1127,'ноябрь 2023'!$D$4:$D$1127,$B58,'ноябрь 2023'!$J$4:$J$1127,AE$1)</f>
        <v>0</v>
      </c>
      <c r="AF58" s="207">
        <f>SUMIFS('ноябрь 2023'!$G$4:$G$1127,'ноябрь 2023'!$D$4:$D$1127,$B58,'ноябрь 2023'!$J$4:$J$1127,AF$1)</f>
        <v>0</v>
      </c>
      <c r="AG58" s="207">
        <f>SUMIFS('ноябрь 2023'!$G$4:$G$1127,'ноябрь 2023'!$D$4:$D$1127,$B58,'ноябрь 2023'!$J$4:$J$1127,AG$1)</f>
        <v>0</v>
      </c>
      <c r="AH58" s="207">
        <f>SUMIFS('ноябрь 2023'!$G$4:$G$1127,'ноябрь 2023'!$D$4:$D$1127,$B58,'ноябрь 2023'!$J$4:$J$1127,AH$1)</f>
        <v>0</v>
      </c>
      <c r="AI58" s="170">
        <f t="shared" si="1"/>
        <v>0</v>
      </c>
    </row>
    <row r="59" spans="2:35" ht="15" customHeight="1" x14ac:dyDescent="0.25">
      <c r="B59" s="217" t="s">
        <v>222</v>
      </c>
      <c r="C59" s="213">
        <v>50</v>
      </c>
      <c r="D59" s="207">
        <f>SUMIFS('ноябрь 2023'!$G$4:$G$1127,'ноябрь 2023'!$D$4:$D$1127,$B59,'ноябрь 2023'!$J$4:$J$1127,D$1)</f>
        <v>0</v>
      </c>
      <c r="E59" s="207">
        <f>SUMIFS('ноябрь 2023'!$G$4:$G$1127,'ноябрь 2023'!$D$4:$D$1127,$B59,'ноябрь 2023'!$J$4:$J$1127,E$1)</f>
        <v>0</v>
      </c>
      <c r="F59" s="207">
        <f>SUMIFS('ноябрь 2023'!$G$4:$G$1127,'ноябрь 2023'!$D$4:$D$1127,$B59,'ноябрь 2023'!$J$4:$J$1127,F$1)</f>
        <v>0</v>
      </c>
      <c r="G59" s="207">
        <f>SUMIFS('ноябрь 2023'!$G$4:$G$1127,'ноябрь 2023'!$D$4:$D$1127,$B59,'ноябрь 2023'!$J$4:$J$1127,G$1)</f>
        <v>0</v>
      </c>
      <c r="H59" s="207">
        <f>SUMIFS('ноябрь 2023'!$G$4:$G$1127,'ноябрь 2023'!$D$4:$D$1127,$B59,'ноябрь 2023'!$J$4:$J$1127,H$1)</f>
        <v>0</v>
      </c>
      <c r="I59" s="207">
        <f>SUMIFS('ноябрь 2023'!$G$4:$G$1127,'ноябрь 2023'!$D$4:$D$1127,$B59,'ноябрь 2023'!$J$4:$J$1127,I$1)</f>
        <v>0</v>
      </c>
      <c r="J59" s="207">
        <f>SUMIFS('ноябрь 2023'!$G$4:$G$1127,'ноябрь 2023'!$D$4:$D$1127,$B59,'ноябрь 2023'!$J$4:$J$1127,J$1)</f>
        <v>0</v>
      </c>
      <c r="K59" s="207">
        <f>SUMIFS('ноябрь 2023'!$G$4:$G$1127,'ноябрь 2023'!$D$4:$D$1127,$B59,'ноябрь 2023'!$J$4:$J$1127,K$1)</f>
        <v>0</v>
      </c>
      <c r="L59" s="207">
        <f>SUMIFS('ноябрь 2023'!$G$4:$G$1127,'ноябрь 2023'!$D$4:$D$1127,$B59,'ноябрь 2023'!$J$4:$J$1127,L$1)</f>
        <v>0</v>
      </c>
      <c r="M59" s="207">
        <f>SUMIFS('ноябрь 2023'!$G$4:$G$1127,'ноябрь 2023'!$D$4:$D$1127,$B59,'ноябрь 2023'!$J$4:$J$1127,M$1)</f>
        <v>0</v>
      </c>
      <c r="N59" s="207">
        <f>SUMIFS('ноябрь 2023'!$G$4:$G$1127,'ноябрь 2023'!$D$4:$D$1127,$B59,'ноябрь 2023'!$J$4:$J$1127,N$1)</f>
        <v>0</v>
      </c>
      <c r="O59" s="207">
        <f>SUMIFS('ноябрь 2023'!$G$4:$G$1127,'ноябрь 2023'!$D$4:$D$1127,$B59,'ноябрь 2023'!$J$4:$J$1127,O$1)</f>
        <v>0</v>
      </c>
      <c r="P59" s="207">
        <f>SUMIFS('ноябрь 2023'!$G$4:$G$1127,'ноябрь 2023'!$D$4:$D$1127,$B59,'ноябрь 2023'!$J$4:$J$1127,P$1)</f>
        <v>0</v>
      </c>
      <c r="Q59" s="207">
        <f>SUMIFS('ноябрь 2023'!$G$4:$G$1127,'ноябрь 2023'!$D$4:$D$1127,$B59,'ноябрь 2023'!$J$4:$J$1127,Q$1)</f>
        <v>0</v>
      </c>
      <c r="R59" s="207">
        <f>SUMIFS('ноябрь 2023'!$G$4:$G$1127,'ноябрь 2023'!$D$4:$D$1127,$B59,'ноябрь 2023'!$J$4:$J$1127,R$1)</f>
        <v>0</v>
      </c>
      <c r="S59" s="207">
        <f>SUMIFS('ноябрь 2023'!$G$4:$G$1127,'ноябрь 2023'!$D$4:$D$1127,$B59,'ноябрь 2023'!$J$4:$J$1127,S$1)</f>
        <v>0</v>
      </c>
      <c r="T59" s="207">
        <f>SUMIFS('ноябрь 2023'!$G$4:$G$1127,'ноябрь 2023'!$D$4:$D$1127,$B59,'ноябрь 2023'!$J$4:$J$1127,T$1)</f>
        <v>0</v>
      </c>
      <c r="U59" s="207">
        <f>SUMIFS('ноябрь 2023'!$G$4:$G$1127,'ноябрь 2023'!$D$4:$D$1127,$B59,'ноябрь 2023'!$J$4:$J$1127,U$1)</f>
        <v>0</v>
      </c>
      <c r="V59" s="207">
        <f>SUMIFS('ноябрь 2023'!$G$4:$G$1127,'ноябрь 2023'!$D$4:$D$1127,$B59,'ноябрь 2023'!$J$4:$J$1127,V$1)</f>
        <v>0</v>
      </c>
      <c r="W59" s="207">
        <f>SUMIFS('ноябрь 2023'!$G$4:$G$1127,'ноябрь 2023'!$D$4:$D$1127,$B59,'ноябрь 2023'!$J$4:$J$1127,W$1)</f>
        <v>0</v>
      </c>
      <c r="X59" s="207">
        <f>SUMIFS('ноябрь 2023'!$G$4:$G$1127,'ноябрь 2023'!$D$4:$D$1127,$B59,'ноябрь 2023'!$J$4:$J$1127,X$1)</f>
        <v>0</v>
      </c>
      <c r="Y59" s="207">
        <f>SUMIFS('ноябрь 2023'!$G$4:$G$1127,'ноябрь 2023'!$D$4:$D$1127,$B59,'ноябрь 2023'!$J$4:$J$1127,Y$1)</f>
        <v>0</v>
      </c>
      <c r="Z59" s="207">
        <f>SUMIFS('ноябрь 2023'!$G$4:$G$1127,'ноябрь 2023'!$D$4:$D$1127,$B59,'ноябрь 2023'!$J$4:$J$1127,Z$1)</f>
        <v>0</v>
      </c>
      <c r="AA59" s="207">
        <f>SUMIFS('ноябрь 2023'!$G$4:$G$1127,'ноябрь 2023'!$D$4:$D$1127,$B59,'ноябрь 2023'!$J$4:$J$1127,AA$1)</f>
        <v>0</v>
      </c>
      <c r="AB59" s="207">
        <f>SUMIFS('ноябрь 2023'!$G$4:$G$1127,'ноябрь 2023'!$D$4:$D$1127,$B59,'ноябрь 2023'!$J$4:$J$1127,AB$1)</f>
        <v>0</v>
      </c>
      <c r="AC59" s="207">
        <f>SUMIFS('ноябрь 2023'!$G$4:$G$1127,'ноябрь 2023'!$D$4:$D$1127,$B59,'ноябрь 2023'!$J$4:$J$1127,AC$1)</f>
        <v>0</v>
      </c>
      <c r="AD59" s="207">
        <f>SUMIFS('ноябрь 2023'!$G$4:$G$1127,'ноябрь 2023'!$D$4:$D$1127,$B59,'ноябрь 2023'!$J$4:$J$1127,AD$1)</f>
        <v>0</v>
      </c>
      <c r="AE59" s="207">
        <f>SUMIFS('ноябрь 2023'!$G$4:$G$1127,'ноябрь 2023'!$D$4:$D$1127,$B59,'ноябрь 2023'!$J$4:$J$1127,AE$1)</f>
        <v>0</v>
      </c>
      <c r="AF59" s="207">
        <f>SUMIFS('ноябрь 2023'!$G$4:$G$1127,'ноябрь 2023'!$D$4:$D$1127,$B59,'ноябрь 2023'!$J$4:$J$1127,AF$1)</f>
        <v>0</v>
      </c>
      <c r="AG59" s="207">
        <f>SUMIFS('ноябрь 2023'!$G$4:$G$1127,'ноябрь 2023'!$D$4:$D$1127,$B59,'ноябрь 2023'!$J$4:$J$1127,AG$1)</f>
        <v>0</v>
      </c>
      <c r="AH59" s="207">
        <f>SUMIFS('ноябрь 2023'!$G$4:$G$1127,'ноябрь 2023'!$D$4:$D$1127,$B59,'ноябрь 2023'!$J$4:$J$1127,AH$1)</f>
        <v>0</v>
      </c>
      <c r="AI59" s="170">
        <f t="shared" si="1"/>
        <v>0</v>
      </c>
    </row>
    <row r="60" spans="2:35" ht="15" customHeight="1" x14ac:dyDescent="0.25">
      <c r="B60" s="216" t="s">
        <v>66</v>
      </c>
      <c r="C60" s="213">
        <v>200</v>
      </c>
      <c r="D60" s="207">
        <f>SUMIFS('ноябрь 2023'!$G$4:$G$1127,'ноябрь 2023'!$D$4:$D$1127,$B60,'ноябрь 2023'!$J$4:$J$1127,D$1)</f>
        <v>0</v>
      </c>
      <c r="E60" s="207">
        <f>SUMIFS('ноябрь 2023'!$G$4:$G$1127,'ноябрь 2023'!$D$4:$D$1127,$B60,'ноябрь 2023'!$J$4:$J$1127,E$1)</f>
        <v>0</v>
      </c>
      <c r="F60" s="207">
        <f>SUMIFS('ноябрь 2023'!$G$4:$G$1127,'ноябрь 2023'!$D$4:$D$1127,$B60,'ноябрь 2023'!$J$4:$J$1127,F$1)</f>
        <v>0</v>
      </c>
      <c r="G60" s="207">
        <f>SUMIFS('ноябрь 2023'!$G$4:$G$1127,'ноябрь 2023'!$D$4:$D$1127,$B60,'ноябрь 2023'!$J$4:$J$1127,G$1)</f>
        <v>0</v>
      </c>
      <c r="H60" s="207">
        <f>SUMIFS('ноябрь 2023'!$G$4:$G$1127,'ноябрь 2023'!$D$4:$D$1127,$B60,'ноябрь 2023'!$J$4:$J$1127,H$1)</f>
        <v>0</v>
      </c>
      <c r="I60" s="207">
        <f>SUMIFS('ноябрь 2023'!$G$4:$G$1127,'ноябрь 2023'!$D$4:$D$1127,$B60,'ноябрь 2023'!$J$4:$J$1127,I$1)</f>
        <v>0</v>
      </c>
      <c r="J60" s="207">
        <f>SUMIFS('ноябрь 2023'!$G$4:$G$1127,'ноябрь 2023'!$D$4:$D$1127,$B60,'ноябрь 2023'!$J$4:$J$1127,J$1)</f>
        <v>0</v>
      </c>
      <c r="K60" s="207">
        <f>SUMIFS('ноябрь 2023'!$G$4:$G$1127,'ноябрь 2023'!$D$4:$D$1127,$B60,'ноябрь 2023'!$J$4:$J$1127,K$1)</f>
        <v>88</v>
      </c>
      <c r="L60" s="207">
        <f>SUMIFS('ноябрь 2023'!$G$4:$G$1127,'ноябрь 2023'!$D$4:$D$1127,$B60,'ноябрь 2023'!$J$4:$J$1127,L$1)</f>
        <v>0</v>
      </c>
      <c r="M60" s="207">
        <f>SUMIFS('ноябрь 2023'!$G$4:$G$1127,'ноябрь 2023'!$D$4:$D$1127,$B60,'ноябрь 2023'!$J$4:$J$1127,M$1)</f>
        <v>0</v>
      </c>
      <c r="N60" s="207">
        <f>SUMIFS('ноябрь 2023'!$G$4:$G$1127,'ноябрь 2023'!$D$4:$D$1127,$B60,'ноябрь 2023'!$J$4:$J$1127,N$1)</f>
        <v>0</v>
      </c>
      <c r="O60" s="207">
        <f>SUMIFS('ноябрь 2023'!$G$4:$G$1127,'ноябрь 2023'!$D$4:$D$1127,$B60,'ноябрь 2023'!$J$4:$J$1127,O$1)</f>
        <v>0</v>
      </c>
      <c r="P60" s="207">
        <f>SUMIFS('ноябрь 2023'!$G$4:$G$1127,'ноябрь 2023'!$D$4:$D$1127,$B60,'ноябрь 2023'!$J$4:$J$1127,P$1)</f>
        <v>0</v>
      </c>
      <c r="Q60" s="207">
        <f>SUMIFS('ноябрь 2023'!$G$4:$G$1127,'ноябрь 2023'!$D$4:$D$1127,$B60,'ноябрь 2023'!$J$4:$J$1127,Q$1)</f>
        <v>0</v>
      </c>
      <c r="R60" s="207">
        <f>SUMIFS('ноябрь 2023'!$G$4:$G$1127,'ноябрь 2023'!$D$4:$D$1127,$B60,'ноябрь 2023'!$J$4:$J$1127,R$1)</f>
        <v>0</v>
      </c>
      <c r="S60" s="207">
        <f>SUMIFS('ноябрь 2023'!$G$4:$G$1127,'ноябрь 2023'!$D$4:$D$1127,$B60,'ноябрь 2023'!$J$4:$J$1127,S$1)</f>
        <v>0</v>
      </c>
      <c r="T60" s="207">
        <f>SUMIFS('ноябрь 2023'!$G$4:$G$1127,'ноябрь 2023'!$D$4:$D$1127,$B60,'ноябрь 2023'!$J$4:$J$1127,T$1)</f>
        <v>0</v>
      </c>
      <c r="U60" s="207">
        <f>SUMIFS('ноябрь 2023'!$G$4:$G$1127,'ноябрь 2023'!$D$4:$D$1127,$B60,'ноябрь 2023'!$J$4:$J$1127,U$1)</f>
        <v>0</v>
      </c>
      <c r="V60" s="207">
        <f>SUMIFS('ноябрь 2023'!$G$4:$G$1127,'ноябрь 2023'!$D$4:$D$1127,$B60,'ноябрь 2023'!$J$4:$J$1127,V$1)</f>
        <v>0</v>
      </c>
      <c r="W60" s="207">
        <f>SUMIFS('ноябрь 2023'!$G$4:$G$1127,'ноябрь 2023'!$D$4:$D$1127,$B60,'ноябрь 2023'!$J$4:$J$1127,W$1)</f>
        <v>0</v>
      </c>
      <c r="X60" s="207">
        <f>SUMIFS('ноябрь 2023'!$G$4:$G$1127,'ноябрь 2023'!$D$4:$D$1127,$B60,'ноябрь 2023'!$J$4:$J$1127,X$1)</f>
        <v>0</v>
      </c>
      <c r="Y60" s="207">
        <f>SUMIFS('ноябрь 2023'!$G$4:$G$1127,'ноябрь 2023'!$D$4:$D$1127,$B60,'ноябрь 2023'!$J$4:$J$1127,Y$1)</f>
        <v>0</v>
      </c>
      <c r="Z60" s="207">
        <f>SUMIFS('ноябрь 2023'!$G$4:$G$1127,'ноябрь 2023'!$D$4:$D$1127,$B60,'ноябрь 2023'!$J$4:$J$1127,Z$1)</f>
        <v>0</v>
      </c>
      <c r="AA60" s="207">
        <f>SUMIFS('ноябрь 2023'!$G$4:$G$1127,'ноябрь 2023'!$D$4:$D$1127,$B60,'ноябрь 2023'!$J$4:$J$1127,AA$1)</f>
        <v>0</v>
      </c>
      <c r="AB60" s="207">
        <f>SUMIFS('ноябрь 2023'!$G$4:$G$1127,'ноябрь 2023'!$D$4:$D$1127,$B60,'ноябрь 2023'!$J$4:$J$1127,AB$1)</f>
        <v>0</v>
      </c>
      <c r="AC60" s="207">
        <f>SUMIFS('ноябрь 2023'!$G$4:$G$1127,'ноябрь 2023'!$D$4:$D$1127,$B60,'ноябрь 2023'!$J$4:$J$1127,AC$1)</f>
        <v>0</v>
      </c>
      <c r="AD60" s="207">
        <f>SUMIFS('ноябрь 2023'!$G$4:$G$1127,'ноябрь 2023'!$D$4:$D$1127,$B60,'ноябрь 2023'!$J$4:$J$1127,AD$1)</f>
        <v>0</v>
      </c>
      <c r="AE60" s="207">
        <f>SUMIFS('ноябрь 2023'!$G$4:$G$1127,'ноябрь 2023'!$D$4:$D$1127,$B60,'ноябрь 2023'!$J$4:$J$1127,AE$1)</f>
        <v>0</v>
      </c>
      <c r="AF60" s="207">
        <f>SUMIFS('ноябрь 2023'!$G$4:$G$1127,'ноябрь 2023'!$D$4:$D$1127,$B60,'ноябрь 2023'!$J$4:$J$1127,AF$1)</f>
        <v>88</v>
      </c>
      <c r="AG60" s="207">
        <f>SUMIFS('ноябрь 2023'!$G$4:$G$1127,'ноябрь 2023'!$D$4:$D$1127,$B60,'ноябрь 2023'!$J$4:$J$1127,AG$1)</f>
        <v>0</v>
      </c>
      <c r="AH60" s="207">
        <f>SUMIFS('ноябрь 2023'!$G$4:$G$1127,'ноябрь 2023'!$D$4:$D$1127,$B60,'ноябрь 2023'!$J$4:$J$1127,AH$1)</f>
        <v>0</v>
      </c>
      <c r="AI60" s="170">
        <f t="shared" si="1"/>
        <v>176</v>
      </c>
    </row>
    <row r="61" spans="2:35" ht="15" customHeight="1" x14ac:dyDescent="0.25">
      <c r="B61" s="216" t="s">
        <v>38</v>
      </c>
      <c r="C61" s="213">
        <v>200</v>
      </c>
      <c r="D61" s="207">
        <f>SUMIFS('ноябрь 2023'!$G$4:$G$1127,'ноябрь 2023'!$D$4:$D$1127,$B61,'ноябрь 2023'!$J$4:$J$1127,D$1)</f>
        <v>0</v>
      </c>
      <c r="E61" s="207">
        <f>SUMIFS('ноябрь 2023'!$G$4:$G$1127,'ноябрь 2023'!$D$4:$D$1127,$B61,'ноябрь 2023'!$J$4:$J$1127,E$1)</f>
        <v>0</v>
      </c>
      <c r="F61" s="207">
        <f>SUMIFS('ноябрь 2023'!$G$4:$G$1127,'ноябрь 2023'!$D$4:$D$1127,$B61,'ноябрь 2023'!$J$4:$J$1127,F$1)</f>
        <v>0</v>
      </c>
      <c r="G61" s="207">
        <f>SUMIFS('ноябрь 2023'!$G$4:$G$1127,'ноябрь 2023'!$D$4:$D$1127,$B61,'ноябрь 2023'!$J$4:$J$1127,G$1)</f>
        <v>0</v>
      </c>
      <c r="H61" s="207">
        <f>SUMIFS('ноябрь 2023'!$G$4:$G$1127,'ноябрь 2023'!$D$4:$D$1127,$B61,'ноябрь 2023'!$J$4:$J$1127,H$1)</f>
        <v>0</v>
      </c>
      <c r="I61" s="207">
        <f>SUMIFS('ноябрь 2023'!$G$4:$G$1127,'ноябрь 2023'!$D$4:$D$1127,$B61,'ноябрь 2023'!$J$4:$J$1127,I$1)</f>
        <v>0</v>
      </c>
      <c r="J61" s="207">
        <f>SUMIFS('ноябрь 2023'!$G$4:$G$1127,'ноябрь 2023'!$D$4:$D$1127,$B61,'ноябрь 2023'!$J$4:$J$1127,J$1)</f>
        <v>0</v>
      </c>
      <c r="K61" s="207">
        <f>SUMIFS('ноябрь 2023'!$G$4:$G$1127,'ноябрь 2023'!$D$4:$D$1127,$B61,'ноябрь 2023'!$J$4:$J$1127,K$1)</f>
        <v>0</v>
      </c>
      <c r="L61" s="207">
        <f>SUMIFS('ноябрь 2023'!$G$4:$G$1127,'ноябрь 2023'!$D$4:$D$1127,$B61,'ноябрь 2023'!$J$4:$J$1127,L$1)</f>
        <v>88</v>
      </c>
      <c r="M61" s="207">
        <f>SUMIFS('ноябрь 2023'!$G$4:$G$1127,'ноябрь 2023'!$D$4:$D$1127,$B61,'ноябрь 2023'!$J$4:$J$1127,M$1)</f>
        <v>0</v>
      </c>
      <c r="N61" s="207">
        <f>SUMIFS('ноябрь 2023'!$G$4:$G$1127,'ноябрь 2023'!$D$4:$D$1127,$B61,'ноябрь 2023'!$J$4:$J$1127,N$1)</f>
        <v>0</v>
      </c>
      <c r="O61" s="207">
        <f>SUMIFS('ноябрь 2023'!$G$4:$G$1127,'ноябрь 2023'!$D$4:$D$1127,$B61,'ноябрь 2023'!$J$4:$J$1127,O$1)</f>
        <v>0</v>
      </c>
      <c r="P61" s="207">
        <f>SUMIFS('ноябрь 2023'!$G$4:$G$1127,'ноябрь 2023'!$D$4:$D$1127,$B61,'ноябрь 2023'!$J$4:$J$1127,P$1)</f>
        <v>0</v>
      </c>
      <c r="Q61" s="207">
        <f>SUMIFS('ноябрь 2023'!$G$4:$G$1127,'ноябрь 2023'!$D$4:$D$1127,$B61,'ноябрь 2023'!$J$4:$J$1127,Q$1)</f>
        <v>88</v>
      </c>
      <c r="R61" s="207">
        <f>SUMIFS('ноябрь 2023'!$G$4:$G$1127,'ноябрь 2023'!$D$4:$D$1127,$B61,'ноябрь 2023'!$J$4:$J$1127,R$1)</f>
        <v>0</v>
      </c>
      <c r="S61" s="207">
        <f>SUMIFS('ноябрь 2023'!$G$4:$G$1127,'ноябрь 2023'!$D$4:$D$1127,$B61,'ноябрь 2023'!$J$4:$J$1127,S$1)</f>
        <v>0</v>
      </c>
      <c r="T61" s="207">
        <f>SUMIFS('ноябрь 2023'!$G$4:$G$1127,'ноябрь 2023'!$D$4:$D$1127,$B61,'ноябрь 2023'!$J$4:$J$1127,T$1)</f>
        <v>0</v>
      </c>
      <c r="U61" s="207">
        <f>SUMIFS('ноябрь 2023'!$G$4:$G$1127,'ноябрь 2023'!$D$4:$D$1127,$B61,'ноябрь 2023'!$J$4:$J$1127,U$1)</f>
        <v>0</v>
      </c>
      <c r="V61" s="207">
        <f>SUMIFS('ноябрь 2023'!$G$4:$G$1127,'ноябрь 2023'!$D$4:$D$1127,$B61,'ноябрь 2023'!$J$4:$J$1127,V$1)</f>
        <v>0</v>
      </c>
      <c r="W61" s="207">
        <f>SUMIFS('ноябрь 2023'!$G$4:$G$1127,'ноябрь 2023'!$D$4:$D$1127,$B61,'ноябрь 2023'!$J$4:$J$1127,W$1)</f>
        <v>0</v>
      </c>
      <c r="X61" s="207">
        <f>SUMIFS('ноябрь 2023'!$G$4:$G$1127,'ноябрь 2023'!$D$4:$D$1127,$B61,'ноябрь 2023'!$J$4:$J$1127,X$1)</f>
        <v>0</v>
      </c>
      <c r="Y61" s="207">
        <f>SUMIFS('ноябрь 2023'!$G$4:$G$1127,'ноябрь 2023'!$D$4:$D$1127,$B61,'ноябрь 2023'!$J$4:$J$1127,Y$1)</f>
        <v>0</v>
      </c>
      <c r="Z61" s="207">
        <f>SUMIFS('ноябрь 2023'!$G$4:$G$1127,'ноябрь 2023'!$D$4:$D$1127,$B61,'ноябрь 2023'!$J$4:$J$1127,Z$1)</f>
        <v>0</v>
      </c>
      <c r="AA61" s="207">
        <f>SUMIFS('ноябрь 2023'!$G$4:$G$1127,'ноябрь 2023'!$D$4:$D$1127,$B61,'ноябрь 2023'!$J$4:$J$1127,AA$1)</f>
        <v>0</v>
      </c>
      <c r="AB61" s="207">
        <f>SUMIFS('ноябрь 2023'!$G$4:$G$1127,'ноябрь 2023'!$D$4:$D$1127,$B61,'ноябрь 2023'!$J$4:$J$1127,AB$1)</f>
        <v>0</v>
      </c>
      <c r="AC61" s="207">
        <f>SUMIFS('ноябрь 2023'!$G$4:$G$1127,'ноябрь 2023'!$D$4:$D$1127,$B61,'ноябрь 2023'!$J$4:$J$1127,AC$1)</f>
        <v>0</v>
      </c>
      <c r="AD61" s="207">
        <f>SUMIFS('ноябрь 2023'!$G$4:$G$1127,'ноябрь 2023'!$D$4:$D$1127,$B61,'ноябрь 2023'!$J$4:$J$1127,AD$1)</f>
        <v>0</v>
      </c>
      <c r="AE61" s="207">
        <f>SUMIFS('ноябрь 2023'!$G$4:$G$1127,'ноябрь 2023'!$D$4:$D$1127,$B61,'ноябрь 2023'!$J$4:$J$1127,AE$1)</f>
        <v>0</v>
      </c>
      <c r="AF61" s="207">
        <f>SUMIFS('ноябрь 2023'!$G$4:$G$1127,'ноябрь 2023'!$D$4:$D$1127,$B61,'ноябрь 2023'!$J$4:$J$1127,AF$1)</f>
        <v>0</v>
      </c>
      <c r="AG61" s="207">
        <f>SUMIFS('ноябрь 2023'!$G$4:$G$1127,'ноябрь 2023'!$D$4:$D$1127,$B61,'ноябрь 2023'!$J$4:$J$1127,AG$1)</f>
        <v>0</v>
      </c>
      <c r="AH61" s="207">
        <f>SUMIFS('ноябрь 2023'!$G$4:$G$1127,'ноябрь 2023'!$D$4:$D$1127,$B61,'ноябрь 2023'!$J$4:$J$1127,AH$1)</f>
        <v>0</v>
      </c>
      <c r="AI61" s="170">
        <f t="shared" si="1"/>
        <v>176</v>
      </c>
    </row>
    <row r="62" spans="2:35" ht="15" customHeight="1" x14ac:dyDescent="0.25">
      <c r="B62" s="216" t="s">
        <v>878</v>
      </c>
      <c r="C62" s="213">
        <v>25</v>
      </c>
      <c r="D62" s="207">
        <f>SUMIFS('ноябрь 2023'!$G$4:$G$1127,'ноябрь 2023'!$D$4:$D$1127,$B62,'ноябрь 2023'!$J$4:$J$1127,D$1)</f>
        <v>0</v>
      </c>
      <c r="E62" s="207">
        <f>SUMIFS('ноябрь 2023'!$G$4:$G$1127,'ноябрь 2023'!$D$4:$D$1127,$B62,'ноябрь 2023'!$J$4:$J$1127,E$1)</f>
        <v>0</v>
      </c>
      <c r="F62" s="207">
        <f>SUMIFS('ноябрь 2023'!$G$4:$G$1127,'ноябрь 2023'!$D$4:$D$1127,$B62,'ноябрь 2023'!$J$4:$J$1127,F$1)</f>
        <v>0</v>
      </c>
      <c r="G62" s="207">
        <f>SUMIFS('ноябрь 2023'!$G$4:$G$1127,'ноябрь 2023'!$D$4:$D$1127,$B62,'ноябрь 2023'!$J$4:$J$1127,G$1)</f>
        <v>0</v>
      </c>
      <c r="H62" s="207">
        <f>SUMIFS('ноябрь 2023'!$G$4:$G$1127,'ноябрь 2023'!$D$4:$D$1127,$B62,'ноябрь 2023'!$J$4:$J$1127,H$1)</f>
        <v>0</v>
      </c>
      <c r="I62" s="207">
        <f>SUMIFS('ноябрь 2023'!$G$4:$G$1127,'ноябрь 2023'!$D$4:$D$1127,$B62,'ноябрь 2023'!$J$4:$J$1127,I$1)</f>
        <v>0</v>
      </c>
      <c r="J62" s="207">
        <f>SUMIFS('ноябрь 2023'!$G$4:$G$1127,'ноябрь 2023'!$D$4:$D$1127,$B62,'ноябрь 2023'!$J$4:$J$1127,J$1)</f>
        <v>0</v>
      </c>
      <c r="K62" s="207">
        <f>SUMIFS('ноябрь 2023'!$G$4:$G$1127,'ноябрь 2023'!$D$4:$D$1127,$B62,'ноябрь 2023'!$J$4:$J$1127,K$1)</f>
        <v>0</v>
      </c>
      <c r="L62" s="207">
        <f>SUMIFS('ноябрь 2023'!$G$4:$G$1127,'ноябрь 2023'!$D$4:$D$1127,$B62,'ноябрь 2023'!$J$4:$J$1127,L$1)</f>
        <v>0</v>
      </c>
      <c r="M62" s="207">
        <f>SUMIFS('ноябрь 2023'!$G$4:$G$1127,'ноябрь 2023'!$D$4:$D$1127,$B62,'ноябрь 2023'!$J$4:$J$1127,M$1)</f>
        <v>0</v>
      </c>
      <c r="N62" s="207">
        <f>SUMIFS('ноябрь 2023'!$G$4:$G$1127,'ноябрь 2023'!$D$4:$D$1127,$B62,'ноябрь 2023'!$J$4:$J$1127,N$1)</f>
        <v>0</v>
      </c>
      <c r="O62" s="207">
        <f>SUMIFS('ноябрь 2023'!$G$4:$G$1127,'ноябрь 2023'!$D$4:$D$1127,$B62,'ноябрь 2023'!$J$4:$J$1127,O$1)</f>
        <v>0</v>
      </c>
      <c r="P62" s="207">
        <f>SUMIFS('ноябрь 2023'!$G$4:$G$1127,'ноябрь 2023'!$D$4:$D$1127,$B62,'ноябрь 2023'!$J$4:$J$1127,P$1)</f>
        <v>0</v>
      </c>
      <c r="Q62" s="207">
        <f>SUMIFS('ноябрь 2023'!$G$4:$G$1127,'ноябрь 2023'!$D$4:$D$1127,$B62,'ноябрь 2023'!$J$4:$J$1127,Q$1)</f>
        <v>0</v>
      </c>
      <c r="R62" s="207">
        <f>SUMIFS('ноябрь 2023'!$G$4:$G$1127,'ноябрь 2023'!$D$4:$D$1127,$B62,'ноябрь 2023'!$J$4:$J$1127,R$1)</f>
        <v>0</v>
      </c>
      <c r="S62" s="207">
        <f>SUMIFS('ноябрь 2023'!$G$4:$G$1127,'ноябрь 2023'!$D$4:$D$1127,$B62,'ноябрь 2023'!$J$4:$J$1127,S$1)</f>
        <v>0</v>
      </c>
      <c r="T62" s="207">
        <f>SUMIFS('ноябрь 2023'!$G$4:$G$1127,'ноябрь 2023'!$D$4:$D$1127,$B62,'ноябрь 2023'!$J$4:$J$1127,T$1)</f>
        <v>0</v>
      </c>
      <c r="U62" s="207">
        <f>SUMIFS('ноябрь 2023'!$G$4:$G$1127,'ноябрь 2023'!$D$4:$D$1127,$B62,'ноябрь 2023'!$J$4:$J$1127,U$1)</f>
        <v>0</v>
      </c>
      <c r="V62" s="207">
        <f>SUMIFS('ноябрь 2023'!$G$4:$G$1127,'ноябрь 2023'!$D$4:$D$1127,$B62,'ноябрь 2023'!$J$4:$J$1127,V$1)</f>
        <v>0</v>
      </c>
      <c r="W62" s="207">
        <f>SUMIFS('ноябрь 2023'!$G$4:$G$1127,'ноябрь 2023'!$D$4:$D$1127,$B62,'ноябрь 2023'!$J$4:$J$1127,W$1)</f>
        <v>0</v>
      </c>
      <c r="X62" s="207">
        <f>SUMIFS('ноябрь 2023'!$G$4:$G$1127,'ноябрь 2023'!$D$4:$D$1127,$B62,'ноябрь 2023'!$J$4:$J$1127,X$1)</f>
        <v>0</v>
      </c>
      <c r="Y62" s="207">
        <f>SUMIFS('ноябрь 2023'!$G$4:$G$1127,'ноябрь 2023'!$D$4:$D$1127,$B62,'ноябрь 2023'!$J$4:$J$1127,Y$1)</f>
        <v>0</v>
      </c>
      <c r="Z62" s="207">
        <f>SUMIFS('ноябрь 2023'!$G$4:$G$1127,'ноябрь 2023'!$D$4:$D$1127,$B62,'ноябрь 2023'!$J$4:$J$1127,Z$1)</f>
        <v>0</v>
      </c>
      <c r="AA62" s="207">
        <f>SUMIFS('ноябрь 2023'!$G$4:$G$1127,'ноябрь 2023'!$D$4:$D$1127,$B62,'ноябрь 2023'!$J$4:$J$1127,AA$1)</f>
        <v>0</v>
      </c>
      <c r="AB62" s="207">
        <f>SUMIFS('ноябрь 2023'!$G$4:$G$1127,'ноябрь 2023'!$D$4:$D$1127,$B62,'ноябрь 2023'!$J$4:$J$1127,AB$1)</f>
        <v>0</v>
      </c>
      <c r="AC62" s="207">
        <f>SUMIFS('ноябрь 2023'!$G$4:$G$1127,'ноябрь 2023'!$D$4:$D$1127,$B62,'ноябрь 2023'!$J$4:$J$1127,AC$1)</f>
        <v>0</v>
      </c>
      <c r="AD62" s="207">
        <f>SUMIFS('ноябрь 2023'!$G$4:$G$1127,'ноябрь 2023'!$D$4:$D$1127,$B62,'ноябрь 2023'!$J$4:$J$1127,AD$1)</f>
        <v>0</v>
      </c>
      <c r="AE62" s="207">
        <f>SUMIFS('ноябрь 2023'!$G$4:$G$1127,'ноябрь 2023'!$D$4:$D$1127,$B62,'ноябрь 2023'!$J$4:$J$1127,AE$1)</f>
        <v>0</v>
      </c>
      <c r="AF62" s="207">
        <f>SUMIFS('ноябрь 2023'!$G$4:$G$1127,'ноябрь 2023'!$D$4:$D$1127,$B62,'ноябрь 2023'!$J$4:$J$1127,AF$1)</f>
        <v>0</v>
      </c>
      <c r="AG62" s="207">
        <f>SUMIFS('ноябрь 2023'!$G$4:$G$1127,'ноябрь 2023'!$D$4:$D$1127,$B62,'ноябрь 2023'!$J$4:$J$1127,AG$1)</f>
        <v>0</v>
      </c>
      <c r="AH62" s="207">
        <f>SUMIFS('ноябрь 2023'!$G$4:$G$1127,'ноябрь 2023'!$D$4:$D$1127,$B62,'ноябрь 2023'!$J$4:$J$1127,AH$1)</f>
        <v>0</v>
      </c>
      <c r="AI62" s="170">
        <f t="shared" si="1"/>
        <v>0</v>
      </c>
    </row>
    <row r="63" spans="2:35" ht="15.75" x14ac:dyDescent="0.25">
      <c r="B63" s="212" t="s">
        <v>474</v>
      </c>
      <c r="C63" s="211">
        <v>180</v>
      </c>
      <c r="D63" s="207">
        <f>SUMIFS('ноябрь 2023'!$G$4:$G$1127,'ноябрь 2023'!$D$4:$D$1127,$B63,'ноябрь 2023'!$J$4:$J$1127,D$1)</f>
        <v>0</v>
      </c>
      <c r="E63" s="207">
        <f>SUMIFS('ноябрь 2023'!$G$4:$G$1127,'ноябрь 2023'!$D$4:$D$1127,$B63,'ноябрь 2023'!$J$4:$J$1127,E$1)</f>
        <v>0</v>
      </c>
      <c r="F63" s="207">
        <f>SUMIFS('ноябрь 2023'!$G$4:$G$1127,'ноябрь 2023'!$D$4:$D$1127,$B63,'ноябрь 2023'!$J$4:$J$1127,F$1)</f>
        <v>0</v>
      </c>
      <c r="G63" s="207">
        <f>SUMIFS('ноябрь 2023'!$G$4:$G$1127,'ноябрь 2023'!$D$4:$D$1127,$B63,'ноябрь 2023'!$J$4:$J$1127,G$1)</f>
        <v>0</v>
      </c>
      <c r="H63" s="207">
        <f>SUMIFS('ноябрь 2023'!$G$4:$G$1127,'ноябрь 2023'!$D$4:$D$1127,$B63,'ноябрь 2023'!$J$4:$J$1127,H$1)</f>
        <v>0</v>
      </c>
      <c r="I63" s="207">
        <f>SUMIFS('ноябрь 2023'!$G$4:$G$1127,'ноябрь 2023'!$D$4:$D$1127,$B63,'ноябрь 2023'!$J$4:$J$1127,I$1)</f>
        <v>0</v>
      </c>
      <c r="J63" s="207">
        <f>SUMIFS('ноябрь 2023'!$G$4:$G$1127,'ноябрь 2023'!$D$4:$D$1127,$B63,'ноябрь 2023'!$J$4:$J$1127,J$1)</f>
        <v>0</v>
      </c>
      <c r="K63" s="207">
        <f>SUMIFS('ноябрь 2023'!$G$4:$G$1127,'ноябрь 2023'!$D$4:$D$1127,$B63,'ноябрь 2023'!$J$4:$J$1127,K$1)</f>
        <v>0</v>
      </c>
      <c r="L63" s="207">
        <f>SUMIFS('ноябрь 2023'!$G$4:$G$1127,'ноябрь 2023'!$D$4:$D$1127,$B63,'ноябрь 2023'!$J$4:$J$1127,L$1)</f>
        <v>0</v>
      </c>
      <c r="M63" s="207">
        <f>SUMIFS('ноябрь 2023'!$G$4:$G$1127,'ноябрь 2023'!$D$4:$D$1127,$B63,'ноябрь 2023'!$J$4:$J$1127,M$1)</f>
        <v>0</v>
      </c>
      <c r="N63" s="207">
        <f>SUMIFS('ноябрь 2023'!$G$4:$G$1127,'ноябрь 2023'!$D$4:$D$1127,$B63,'ноябрь 2023'!$J$4:$J$1127,N$1)</f>
        <v>0</v>
      </c>
      <c r="O63" s="207">
        <f>SUMIFS('ноябрь 2023'!$G$4:$G$1127,'ноябрь 2023'!$D$4:$D$1127,$B63,'ноябрь 2023'!$J$4:$J$1127,O$1)</f>
        <v>0</v>
      </c>
      <c r="P63" s="207">
        <f>SUMIFS('ноябрь 2023'!$G$4:$G$1127,'ноябрь 2023'!$D$4:$D$1127,$B63,'ноябрь 2023'!$J$4:$J$1127,P$1)</f>
        <v>0</v>
      </c>
      <c r="Q63" s="207">
        <f>SUMIFS('ноябрь 2023'!$G$4:$G$1127,'ноябрь 2023'!$D$4:$D$1127,$B63,'ноябрь 2023'!$J$4:$J$1127,Q$1)</f>
        <v>0</v>
      </c>
      <c r="R63" s="207">
        <f>SUMIFS('ноябрь 2023'!$G$4:$G$1127,'ноябрь 2023'!$D$4:$D$1127,$B63,'ноябрь 2023'!$J$4:$J$1127,R$1)</f>
        <v>0</v>
      </c>
      <c r="S63" s="207">
        <f>SUMIFS('ноябрь 2023'!$G$4:$G$1127,'ноябрь 2023'!$D$4:$D$1127,$B63,'ноябрь 2023'!$J$4:$J$1127,S$1)</f>
        <v>0</v>
      </c>
      <c r="T63" s="207">
        <f>SUMIFS('ноябрь 2023'!$G$4:$G$1127,'ноябрь 2023'!$D$4:$D$1127,$B63,'ноябрь 2023'!$J$4:$J$1127,T$1)</f>
        <v>0</v>
      </c>
      <c r="U63" s="207">
        <f>SUMIFS('ноябрь 2023'!$G$4:$G$1127,'ноябрь 2023'!$D$4:$D$1127,$B63,'ноябрь 2023'!$J$4:$J$1127,U$1)</f>
        <v>0</v>
      </c>
      <c r="V63" s="207">
        <f>SUMIFS('ноябрь 2023'!$G$4:$G$1127,'ноябрь 2023'!$D$4:$D$1127,$B63,'ноябрь 2023'!$J$4:$J$1127,V$1)</f>
        <v>0</v>
      </c>
      <c r="W63" s="207">
        <f>SUMIFS('ноябрь 2023'!$G$4:$G$1127,'ноябрь 2023'!$D$4:$D$1127,$B63,'ноябрь 2023'!$J$4:$J$1127,W$1)</f>
        <v>0</v>
      </c>
      <c r="X63" s="207">
        <f>SUMIFS('ноябрь 2023'!$G$4:$G$1127,'ноябрь 2023'!$D$4:$D$1127,$B63,'ноябрь 2023'!$J$4:$J$1127,X$1)</f>
        <v>0</v>
      </c>
      <c r="Y63" s="207">
        <f>SUMIFS('ноябрь 2023'!$G$4:$G$1127,'ноябрь 2023'!$D$4:$D$1127,$B63,'ноябрь 2023'!$J$4:$J$1127,Y$1)</f>
        <v>0</v>
      </c>
      <c r="Z63" s="207">
        <f>SUMIFS('ноябрь 2023'!$G$4:$G$1127,'ноябрь 2023'!$D$4:$D$1127,$B63,'ноябрь 2023'!$J$4:$J$1127,Z$1)</f>
        <v>0</v>
      </c>
      <c r="AA63" s="207">
        <f>SUMIFS('ноябрь 2023'!$G$4:$G$1127,'ноябрь 2023'!$D$4:$D$1127,$B63,'ноябрь 2023'!$J$4:$J$1127,AA$1)</f>
        <v>0</v>
      </c>
      <c r="AB63" s="207">
        <f>SUMIFS('ноябрь 2023'!$G$4:$G$1127,'ноябрь 2023'!$D$4:$D$1127,$B63,'ноябрь 2023'!$J$4:$J$1127,AB$1)</f>
        <v>0</v>
      </c>
      <c r="AC63" s="207">
        <f>SUMIFS('ноябрь 2023'!$G$4:$G$1127,'ноябрь 2023'!$D$4:$D$1127,$B63,'ноябрь 2023'!$J$4:$J$1127,AC$1)</f>
        <v>0</v>
      </c>
      <c r="AD63" s="207">
        <f>SUMIFS('ноябрь 2023'!$G$4:$G$1127,'ноябрь 2023'!$D$4:$D$1127,$B63,'ноябрь 2023'!$J$4:$J$1127,AD$1)</f>
        <v>0</v>
      </c>
      <c r="AE63" s="207">
        <f>SUMIFS('ноябрь 2023'!$G$4:$G$1127,'ноябрь 2023'!$D$4:$D$1127,$B63,'ноябрь 2023'!$J$4:$J$1127,AE$1)</f>
        <v>0</v>
      </c>
      <c r="AF63" s="207">
        <f>SUMIFS('ноябрь 2023'!$G$4:$G$1127,'ноябрь 2023'!$D$4:$D$1127,$B63,'ноябрь 2023'!$J$4:$J$1127,AF$1)</f>
        <v>0</v>
      </c>
      <c r="AG63" s="207">
        <f>SUMIFS('ноябрь 2023'!$G$4:$G$1127,'ноябрь 2023'!$D$4:$D$1127,$B63,'ноябрь 2023'!$J$4:$J$1127,AG$1)</f>
        <v>0</v>
      </c>
      <c r="AH63" s="207">
        <f>SUMIFS('ноябрь 2023'!$G$4:$G$1127,'ноябрь 2023'!$D$4:$D$1127,$B63,'ноябрь 2023'!$J$4:$J$1127,AH$1)</f>
        <v>0</v>
      </c>
      <c r="AI63" s="170">
        <f t="shared" si="1"/>
        <v>0</v>
      </c>
    </row>
    <row r="64" spans="2:35" ht="15.75" x14ac:dyDescent="0.25">
      <c r="B64" s="216" t="s">
        <v>649</v>
      </c>
      <c r="C64" s="213">
        <v>190</v>
      </c>
      <c r="D64" s="207">
        <f>SUMIFS('ноябрь 2023'!$G$4:$G$1127,'ноябрь 2023'!$D$4:$D$1127,$B64,'ноябрь 2023'!$J$4:$J$1127,D$1)</f>
        <v>0</v>
      </c>
      <c r="E64" s="207">
        <f>SUMIFS('ноябрь 2023'!$G$4:$G$1127,'ноябрь 2023'!$D$4:$D$1127,$B64,'ноябрь 2023'!$J$4:$J$1127,E$1)</f>
        <v>0</v>
      </c>
      <c r="F64" s="207">
        <f>SUMIFS('ноябрь 2023'!$G$4:$G$1127,'ноябрь 2023'!$D$4:$D$1127,$B64,'ноябрь 2023'!$J$4:$J$1127,F$1)</f>
        <v>0</v>
      </c>
      <c r="G64" s="207">
        <f>SUMIFS('ноябрь 2023'!$G$4:$G$1127,'ноябрь 2023'!$D$4:$D$1127,$B64,'ноябрь 2023'!$J$4:$J$1127,G$1)</f>
        <v>0</v>
      </c>
      <c r="H64" s="207">
        <f>SUMIFS('ноябрь 2023'!$G$4:$G$1127,'ноябрь 2023'!$D$4:$D$1127,$B64,'ноябрь 2023'!$J$4:$J$1127,H$1)</f>
        <v>0</v>
      </c>
      <c r="I64" s="207">
        <f>SUMIFS('ноябрь 2023'!$G$4:$G$1127,'ноябрь 2023'!$D$4:$D$1127,$B64,'ноябрь 2023'!$J$4:$J$1127,I$1)</f>
        <v>0</v>
      </c>
      <c r="J64" s="207">
        <f>SUMIFS('ноябрь 2023'!$G$4:$G$1127,'ноябрь 2023'!$D$4:$D$1127,$B64,'ноябрь 2023'!$J$4:$J$1127,J$1)</f>
        <v>0</v>
      </c>
      <c r="K64" s="207">
        <f>SUMIFS('ноябрь 2023'!$G$4:$G$1127,'ноябрь 2023'!$D$4:$D$1127,$B64,'ноябрь 2023'!$J$4:$J$1127,K$1)</f>
        <v>0</v>
      </c>
      <c r="L64" s="207">
        <f>SUMIFS('ноябрь 2023'!$G$4:$G$1127,'ноябрь 2023'!$D$4:$D$1127,$B64,'ноябрь 2023'!$J$4:$J$1127,L$1)</f>
        <v>0</v>
      </c>
      <c r="M64" s="207">
        <f>SUMIFS('ноябрь 2023'!$G$4:$G$1127,'ноябрь 2023'!$D$4:$D$1127,$B64,'ноябрь 2023'!$J$4:$J$1127,M$1)</f>
        <v>0</v>
      </c>
      <c r="N64" s="207">
        <f>SUMIFS('ноябрь 2023'!$G$4:$G$1127,'ноябрь 2023'!$D$4:$D$1127,$B64,'ноябрь 2023'!$J$4:$J$1127,N$1)</f>
        <v>0</v>
      </c>
      <c r="O64" s="207">
        <f>SUMIFS('ноябрь 2023'!$G$4:$G$1127,'ноябрь 2023'!$D$4:$D$1127,$B64,'ноябрь 2023'!$J$4:$J$1127,O$1)</f>
        <v>0</v>
      </c>
      <c r="P64" s="207">
        <f>SUMIFS('ноябрь 2023'!$G$4:$G$1127,'ноябрь 2023'!$D$4:$D$1127,$B64,'ноябрь 2023'!$J$4:$J$1127,P$1)</f>
        <v>0</v>
      </c>
      <c r="Q64" s="207">
        <f>SUMIFS('ноябрь 2023'!$G$4:$G$1127,'ноябрь 2023'!$D$4:$D$1127,$B64,'ноябрь 2023'!$J$4:$J$1127,Q$1)</f>
        <v>0</v>
      </c>
      <c r="R64" s="207">
        <f>SUMIFS('ноябрь 2023'!$G$4:$G$1127,'ноябрь 2023'!$D$4:$D$1127,$B64,'ноябрь 2023'!$J$4:$J$1127,R$1)</f>
        <v>0</v>
      </c>
      <c r="S64" s="207">
        <f>SUMIFS('ноябрь 2023'!$G$4:$G$1127,'ноябрь 2023'!$D$4:$D$1127,$B64,'ноябрь 2023'!$J$4:$J$1127,S$1)</f>
        <v>0</v>
      </c>
      <c r="T64" s="207">
        <f>SUMIFS('ноябрь 2023'!$G$4:$G$1127,'ноябрь 2023'!$D$4:$D$1127,$B64,'ноябрь 2023'!$J$4:$J$1127,T$1)</f>
        <v>0</v>
      </c>
      <c r="U64" s="207">
        <f>SUMIFS('ноябрь 2023'!$G$4:$G$1127,'ноябрь 2023'!$D$4:$D$1127,$B64,'ноябрь 2023'!$J$4:$J$1127,U$1)</f>
        <v>0</v>
      </c>
      <c r="V64" s="207">
        <f>SUMIFS('ноябрь 2023'!$G$4:$G$1127,'ноябрь 2023'!$D$4:$D$1127,$B64,'ноябрь 2023'!$J$4:$J$1127,V$1)</f>
        <v>0</v>
      </c>
      <c r="W64" s="207">
        <f>SUMIFS('ноябрь 2023'!$G$4:$G$1127,'ноябрь 2023'!$D$4:$D$1127,$B64,'ноябрь 2023'!$J$4:$J$1127,W$1)</f>
        <v>0</v>
      </c>
      <c r="X64" s="207">
        <f>SUMIFS('ноябрь 2023'!$G$4:$G$1127,'ноябрь 2023'!$D$4:$D$1127,$B64,'ноябрь 2023'!$J$4:$J$1127,X$1)</f>
        <v>0</v>
      </c>
      <c r="Y64" s="207">
        <f>SUMIFS('ноябрь 2023'!$G$4:$G$1127,'ноябрь 2023'!$D$4:$D$1127,$B64,'ноябрь 2023'!$J$4:$J$1127,Y$1)</f>
        <v>0</v>
      </c>
      <c r="Z64" s="207">
        <f>SUMIFS('ноябрь 2023'!$G$4:$G$1127,'ноябрь 2023'!$D$4:$D$1127,$B64,'ноябрь 2023'!$J$4:$J$1127,Z$1)</f>
        <v>0</v>
      </c>
      <c r="AA64" s="207">
        <f>SUMIFS('ноябрь 2023'!$G$4:$G$1127,'ноябрь 2023'!$D$4:$D$1127,$B64,'ноябрь 2023'!$J$4:$J$1127,AA$1)</f>
        <v>0</v>
      </c>
      <c r="AB64" s="207">
        <f>SUMIFS('ноябрь 2023'!$G$4:$G$1127,'ноябрь 2023'!$D$4:$D$1127,$B64,'ноябрь 2023'!$J$4:$J$1127,AB$1)</f>
        <v>0</v>
      </c>
      <c r="AC64" s="207">
        <f>SUMIFS('ноябрь 2023'!$G$4:$G$1127,'ноябрь 2023'!$D$4:$D$1127,$B64,'ноябрь 2023'!$J$4:$J$1127,AC$1)</f>
        <v>0</v>
      </c>
      <c r="AD64" s="207">
        <f>SUMIFS('ноябрь 2023'!$G$4:$G$1127,'ноябрь 2023'!$D$4:$D$1127,$B64,'ноябрь 2023'!$J$4:$J$1127,AD$1)</f>
        <v>0</v>
      </c>
      <c r="AE64" s="207">
        <f>SUMIFS('ноябрь 2023'!$G$4:$G$1127,'ноябрь 2023'!$D$4:$D$1127,$B64,'ноябрь 2023'!$J$4:$J$1127,AE$1)</f>
        <v>0</v>
      </c>
      <c r="AF64" s="207">
        <f>SUMIFS('ноябрь 2023'!$G$4:$G$1127,'ноябрь 2023'!$D$4:$D$1127,$B64,'ноябрь 2023'!$J$4:$J$1127,AF$1)</f>
        <v>0</v>
      </c>
      <c r="AG64" s="207">
        <f>SUMIFS('ноябрь 2023'!$G$4:$G$1127,'ноябрь 2023'!$D$4:$D$1127,$B64,'ноябрь 2023'!$J$4:$J$1127,AG$1)</f>
        <v>0</v>
      </c>
      <c r="AH64" s="207">
        <f>SUMIFS('ноябрь 2023'!$G$4:$G$1127,'ноябрь 2023'!$D$4:$D$1127,$B64,'ноябрь 2023'!$J$4:$J$1127,AH$1)</f>
        <v>0</v>
      </c>
      <c r="AI64" s="170">
        <f t="shared" si="1"/>
        <v>0</v>
      </c>
    </row>
    <row r="65" spans="2:35" ht="15" customHeight="1" x14ac:dyDescent="0.25">
      <c r="B65" s="216" t="s">
        <v>1449</v>
      </c>
      <c r="C65" s="213">
        <v>190</v>
      </c>
      <c r="D65" s="207">
        <f>SUMIFS('ноябрь 2023'!$G$4:$G$1127,'ноябрь 2023'!$D$4:$D$1127,$B65,'ноябрь 2023'!$J$4:$J$1127,D$1)</f>
        <v>0</v>
      </c>
      <c r="E65" s="207">
        <f>SUMIFS('ноябрь 2023'!$G$4:$G$1127,'ноябрь 2023'!$D$4:$D$1127,$B65,'ноябрь 2023'!$J$4:$J$1127,E$1)</f>
        <v>0</v>
      </c>
      <c r="F65" s="207">
        <f>SUMIFS('ноябрь 2023'!$G$4:$G$1127,'ноябрь 2023'!$D$4:$D$1127,$B65,'ноябрь 2023'!$J$4:$J$1127,F$1)</f>
        <v>0</v>
      </c>
      <c r="G65" s="207">
        <f>SUMIFS('ноябрь 2023'!$G$4:$G$1127,'ноябрь 2023'!$D$4:$D$1127,$B65,'ноябрь 2023'!$J$4:$J$1127,G$1)</f>
        <v>0</v>
      </c>
      <c r="H65" s="207">
        <f>SUMIFS('ноябрь 2023'!$G$4:$G$1127,'ноябрь 2023'!$D$4:$D$1127,$B65,'ноябрь 2023'!$J$4:$J$1127,H$1)</f>
        <v>0</v>
      </c>
      <c r="I65" s="207">
        <f>SUMIFS('ноябрь 2023'!$G$4:$G$1127,'ноябрь 2023'!$D$4:$D$1127,$B65,'ноябрь 2023'!$J$4:$J$1127,I$1)</f>
        <v>0</v>
      </c>
      <c r="J65" s="207">
        <f>SUMIFS('ноябрь 2023'!$G$4:$G$1127,'ноябрь 2023'!$D$4:$D$1127,$B65,'ноябрь 2023'!$J$4:$J$1127,J$1)</f>
        <v>0</v>
      </c>
      <c r="K65" s="207">
        <f>SUMIFS('ноябрь 2023'!$G$4:$G$1127,'ноябрь 2023'!$D$4:$D$1127,$B65,'ноябрь 2023'!$J$4:$J$1127,K$1)</f>
        <v>0</v>
      </c>
      <c r="L65" s="207">
        <f>SUMIFS('ноябрь 2023'!$G$4:$G$1127,'ноябрь 2023'!$D$4:$D$1127,$B65,'ноябрь 2023'!$J$4:$J$1127,L$1)</f>
        <v>0</v>
      </c>
      <c r="M65" s="207">
        <f>SUMIFS('ноябрь 2023'!$G$4:$G$1127,'ноябрь 2023'!$D$4:$D$1127,$B65,'ноябрь 2023'!$J$4:$J$1127,M$1)</f>
        <v>0</v>
      </c>
      <c r="N65" s="207">
        <f>SUMIFS('ноябрь 2023'!$G$4:$G$1127,'ноябрь 2023'!$D$4:$D$1127,$B65,'ноябрь 2023'!$J$4:$J$1127,N$1)</f>
        <v>0</v>
      </c>
      <c r="O65" s="207">
        <f>SUMIFS('ноябрь 2023'!$G$4:$G$1127,'ноябрь 2023'!$D$4:$D$1127,$B65,'ноябрь 2023'!$J$4:$J$1127,O$1)</f>
        <v>0</v>
      </c>
      <c r="P65" s="207">
        <f>SUMIFS('ноябрь 2023'!$G$4:$G$1127,'ноябрь 2023'!$D$4:$D$1127,$B65,'ноябрь 2023'!$J$4:$J$1127,P$1)</f>
        <v>0</v>
      </c>
      <c r="Q65" s="207">
        <f>SUMIFS('ноябрь 2023'!$G$4:$G$1127,'ноябрь 2023'!$D$4:$D$1127,$B65,'ноябрь 2023'!$J$4:$J$1127,Q$1)</f>
        <v>0</v>
      </c>
      <c r="R65" s="207">
        <f>SUMIFS('ноябрь 2023'!$G$4:$G$1127,'ноябрь 2023'!$D$4:$D$1127,$B65,'ноябрь 2023'!$J$4:$J$1127,R$1)</f>
        <v>0</v>
      </c>
      <c r="S65" s="207">
        <f>SUMIFS('ноябрь 2023'!$G$4:$G$1127,'ноябрь 2023'!$D$4:$D$1127,$B65,'ноябрь 2023'!$J$4:$J$1127,S$1)</f>
        <v>0</v>
      </c>
      <c r="T65" s="207">
        <f>SUMIFS('ноябрь 2023'!$G$4:$G$1127,'ноябрь 2023'!$D$4:$D$1127,$B65,'ноябрь 2023'!$J$4:$J$1127,T$1)</f>
        <v>0</v>
      </c>
      <c r="U65" s="207">
        <f>SUMIFS('ноябрь 2023'!$G$4:$G$1127,'ноябрь 2023'!$D$4:$D$1127,$B65,'ноябрь 2023'!$J$4:$J$1127,U$1)</f>
        <v>0</v>
      </c>
      <c r="V65" s="207">
        <f>SUMIFS('ноябрь 2023'!$G$4:$G$1127,'ноябрь 2023'!$D$4:$D$1127,$B65,'ноябрь 2023'!$J$4:$J$1127,V$1)</f>
        <v>0</v>
      </c>
      <c r="W65" s="207">
        <f>SUMIFS('ноябрь 2023'!$G$4:$G$1127,'ноябрь 2023'!$D$4:$D$1127,$B65,'ноябрь 2023'!$J$4:$J$1127,W$1)</f>
        <v>0</v>
      </c>
      <c r="X65" s="207">
        <f>SUMIFS('ноябрь 2023'!$G$4:$G$1127,'ноябрь 2023'!$D$4:$D$1127,$B65,'ноябрь 2023'!$J$4:$J$1127,X$1)</f>
        <v>0</v>
      </c>
      <c r="Y65" s="207">
        <f>SUMIFS('ноябрь 2023'!$G$4:$G$1127,'ноябрь 2023'!$D$4:$D$1127,$B65,'ноябрь 2023'!$J$4:$J$1127,Y$1)</f>
        <v>0</v>
      </c>
      <c r="Z65" s="207">
        <f>SUMIFS('ноябрь 2023'!$G$4:$G$1127,'ноябрь 2023'!$D$4:$D$1127,$B65,'ноябрь 2023'!$J$4:$J$1127,Z$1)</f>
        <v>0</v>
      </c>
      <c r="AA65" s="207">
        <f>SUMIFS('ноябрь 2023'!$G$4:$G$1127,'ноябрь 2023'!$D$4:$D$1127,$B65,'ноябрь 2023'!$J$4:$J$1127,AA$1)</f>
        <v>0</v>
      </c>
      <c r="AB65" s="207">
        <f>SUMIFS('ноябрь 2023'!$G$4:$G$1127,'ноябрь 2023'!$D$4:$D$1127,$B65,'ноябрь 2023'!$J$4:$J$1127,AB$1)</f>
        <v>0</v>
      </c>
      <c r="AC65" s="207">
        <f>SUMIFS('ноябрь 2023'!$G$4:$G$1127,'ноябрь 2023'!$D$4:$D$1127,$B65,'ноябрь 2023'!$J$4:$J$1127,AC$1)</f>
        <v>0</v>
      </c>
      <c r="AD65" s="207">
        <f>SUMIFS('ноябрь 2023'!$G$4:$G$1127,'ноябрь 2023'!$D$4:$D$1127,$B65,'ноябрь 2023'!$J$4:$J$1127,AD$1)</f>
        <v>0</v>
      </c>
      <c r="AE65" s="207">
        <f>SUMIFS('ноябрь 2023'!$G$4:$G$1127,'ноябрь 2023'!$D$4:$D$1127,$B65,'ноябрь 2023'!$J$4:$J$1127,AE$1)</f>
        <v>0</v>
      </c>
      <c r="AF65" s="207">
        <f>SUMIFS('ноябрь 2023'!$G$4:$G$1127,'ноябрь 2023'!$D$4:$D$1127,$B65,'ноябрь 2023'!$J$4:$J$1127,AF$1)</f>
        <v>0</v>
      </c>
      <c r="AG65" s="207">
        <f>SUMIFS('ноябрь 2023'!$G$4:$G$1127,'ноябрь 2023'!$D$4:$D$1127,$B65,'ноябрь 2023'!$J$4:$J$1127,AG$1)</f>
        <v>0</v>
      </c>
      <c r="AH65" s="207">
        <f>SUMIFS('ноябрь 2023'!$G$4:$G$1127,'ноябрь 2023'!$D$4:$D$1127,$B65,'ноябрь 2023'!$J$4:$J$1127,AH$1)</f>
        <v>0</v>
      </c>
      <c r="AI65" s="170">
        <f t="shared" si="1"/>
        <v>0</v>
      </c>
    </row>
    <row r="66" spans="2:35" ht="15" customHeight="1" x14ac:dyDescent="0.25">
      <c r="B66" s="216" t="s">
        <v>702</v>
      </c>
      <c r="C66" s="213">
        <v>900</v>
      </c>
      <c r="D66" s="207">
        <f>SUMIFS('ноябрь 2023'!$G$4:$G$1127,'ноябрь 2023'!$D$4:$D$1127,$B66,'ноябрь 2023'!$J$4:$J$1127,D$1)</f>
        <v>0</v>
      </c>
      <c r="E66" s="207">
        <f>SUMIFS('ноябрь 2023'!$G$4:$G$1127,'ноябрь 2023'!$D$4:$D$1127,$B66,'ноябрь 2023'!$J$4:$J$1127,E$1)</f>
        <v>0</v>
      </c>
      <c r="F66" s="207">
        <f>SUMIFS('ноябрь 2023'!$G$4:$G$1127,'ноябрь 2023'!$D$4:$D$1127,$B66,'ноябрь 2023'!$J$4:$J$1127,F$1)</f>
        <v>0</v>
      </c>
      <c r="G66" s="207">
        <f>SUMIFS('ноябрь 2023'!$G$4:$G$1127,'ноябрь 2023'!$D$4:$D$1127,$B66,'ноябрь 2023'!$J$4:$J$1127,G$1)</f>
        <v>0</v>
      </c>
      <c r="H66" s="207">
        <f>SUMIFS('ноябрь 2023'!$G$4:$G$1127,'ноябрь 2023'!$D$4:$D$1127,$B66,'ноябрь 2023'!$J$4:$J$1127,H$1)</f>
        <v>0</v>
      </c>
      <c r="I66" s="207">
        <f>SUMIFS('ноябрь 2023'!$G$4:$G$1127,'ноябрь 2023'!$D$4:$D$1127,$B66,'ноябрь 2023'!$J$4:$J$1127,I$1)</f>
        <v>0</v>
      </c>
      <c r="J66" s="207">
        <f>SUMIFS('ноябрь 2023'!$G$4:$G$1127,'ноябрь 2023'!$D$4:$D$1127,$B66,'ноябрь 2023'!$J$4:$J$1127,J$1)</f>
        <v>0</v>
      </c>
      <c r="K66" s="207">
        <f>SUMIFS('ноябрь 2023'!$G$4:$G$1127,'ноябрь 2023'!$D$4:$D$1127,$B66,'ноябрь 2023'!$J$4:$J$1127,K$1)</f>
        <v>0</v>
      </c>
      <c r="L66" s="207">
        <f>SUMIFS('ноябрь 2023'!$G$4:$G$1127,'ноябрь 2023'!$D$4:$D$1127,$B66,'ноябрь 2023'!$J$4:$J$1127,L$1)</f>
        <v>0</v>
      </c>
      <c r="M66" s="207">
        <f>SUMIFS('ноябрь 2023'!$G$4:$G$1127,'ноябрь 2023'!$D$4:$D$1127,$B66,'ноябрь 2023'!$J$4:$J$1127,M$1)</f>
        <v>0</v>
      </c>
      <c r="N66" s="207">
        <f>SUMIFS('ноябрь 2023'!$G$4:$G$1127,'ноябрь 2023'!$D$4:$D$1127,$B66,'ноябрь 2023'!$J$4:$J$1127,N$1)</f>
        <v>0</v>
      </c>
      <c r="O66" s="207">
        <f>SUMIFS('ноябрь 2023'!$G$4:$G$1127,'ноябрь 2023'!$D$4:$D$1127,$B66,'ноябрь 2023'!$J$4:$J$1127,O$1)</f>
        <v>0</v>
      </c>
      <c r="P66" s="207">
        <f>SUMIFS('ноябрь 2023'!$G$4:$G$1127,'ноябрь 2023'!$D$4:$D$1127,$B66,'ноябрь 2023'!$J$4:$J$1127,P$1)</f>
        <v>0</v>
      </c>
      <c r="Q66" s="207">
        <f>SUMIFS('ноябрь 2023'!$G$4:$G$1127,'ноябрь 2023'!$D$4:$D$1127,$B66,'ноябрь 2023'!$J$4:$J$1127,Q$1)</f>
        <v>0</v>
      </c>
      <c r="R66" s="207">
        <f>SUMIFS('ноябрь 2023'!$G$4:$G$1127,'ноябрь 2023'!$D$4:$D$1127,$B66,'ноябрь 2023'!$J$4:$J$1127,R$1)</f>
        <v>0</v>
      </c>
      <c r="S66" s="207">
        <f>SUMIFS('ноябрь 2023'!$G$4:$G$1127,'ноябрь 2023'!$D$4:$D$1127,$B66,'ноябрь 2023'!$J$4:$J$1127,S$1)</f>
        <v>0</v>
      </c>
      <c r="T66" s="207">
        <f>SUMIFS('ноябрь 2023'!$G$4:$G$1127,'ноябрь 2023'!$D$4:$D$1127,$B66,'ноябрь 2023'!$J$4:$J$1127,T$1)</f>
        <v>0</v>
      </c>
      <c r="U66" s="207">
        <f>SUMIFS('ноябрь 2023'!$G$4:$G$1127,'ноябрь 2023'!$D$4:$D$1127,$B66,'ноябрь 2023'!$J$4:$J$1127,U$1)</f>
        <v>0</v>
      </c>
      <c r="V66" s="207">
        <f>SUMIFS('ноябрь 2023'!$G$4:$G$1127,'ноябрь 2023'!$D$4:$D$1127,$B66,'ноябрь 2023'!$J$4:$J$1127,V$1)</f>
        <v>0</v>
      </c>
      <c r="W66" s="207">
        <f>SUMIFS('ноябрь 2023'!$G$4:$G$1127,'ноябрь 2023'!$D$4:$D$1127,$B66,'ноябрь 2023'!$J$4:$J$1127,W$1)</f>
        <v>0</v>
      </c>
      <c r="X66" s="207">
        <f>SUMIFS('ноябрь 2023'!$G$4:$G$1127,'ноябрь 2023'!$D$4:$D$1127,$B66,'ноябрь 2023'!$J$4:$J$1127,X$1)</f>
        <v>0</v>
      </c>
      <c r="Y66" s="207">
        <f>SUMIFS('ноябрь 2023'!$G$4:$G$1127,'ноябрь 2023'!$D$4:$D$1127,$B66,'ноябрь 2023'!$J$4:$J$1127,Y$1)</f>
        <v>0</v>
      </c>
      <c r="Z66" s="207">
        <f>SUMIFS('ноябрь 2023'!$G$4:$G$1127,'ноябрь 2023'!$D$4:$D$1127,$B66,'ноябрь 2023'!$J$4:$J$1127,Z$1)</f>
        <v>0</v>
      </c>
      <c r="AA66" s="207">
        <f>SUMIFS('ноябрь 2023'!$G$4:$G$1127,'ноябрь 2023'!$D$4:$D$1127,$B66,'ноябрь 2023'!$J$4:$J$1127,AA$1)</f>
        <v>0</v>
      </c>
      <c r="AB66" s="207">
        <f>SUMIFS('ноябрь 2023'!$G$4:$G$1127,'ноябрь 2023'!$D$4:$D$1127,$B66,'ноябрь 2023'!$J$4:$J$1127,AB$1)</f>
        <v>0</v>
      </c>
      <c r="AC66" s="207">
        <f>SUMIFS('ноябрь 2023'!$G$4:$G$1127,'ноябрь 2023'!$D$4:$D$1127,$B66,'ноябрь 2023'!$J$4:$J$1127,AC$1)</f>
        <v>0</v>
      </c>
      <c r="AD66" s="207">
        <f>SUMIFS('ноябрь 2023'!$G$4:$G$1127,'ноябрь 2023'!$D$4:$D$1127,$B66,'ноябрь 2023'!$J$4:$J$1127,AD$1)</f>
        <v>0</v>
      </c>
      <c r="AE66" s="207">
        <f>SUMIFS('ноябрь 2023'!$G$4:$G$1127,'ноябрь 2023'!$D$4:$D$1127,$B66,'ноябрь 2023'!$J$4:$J$1127,AE$1)</f>
        <v>0</v>
      </c>
      <c r="AF66" s="207">
        <f>SUMIFS('ноябрь 2023'!$G$4:$G$1127,'ноябрь 2023'!$D$4:$D$1127,$B66,'ноябрь 2023'!$J$4:$J$1127,AF$1)</f>
        <v>0</v>
      </c>
      <c r="AG66" s="207">
        <f>SUMIFS('ноябрь 2023'!$G$4:$G$1127,'ноябрь 2023'!$D$4:$D$1127,$B66,'ноябрь 2023'!$J$4:$J$1127,AG$1)</f>
        <v>0</v>
      </c>
      <c r="AH66" s="207">
        <f>SUMIFS('ноябрь 2023'!$G$4:$G$1127,'ноябрь 2023'!$D$4:$D$1127,$B66,'ноябрь 2023'!$J$4:$J$1127,AH$1)</f>
        <v>0</v>
      </c>
      <c r="AI66" s="170">
        <f t="shared" si="1"/>
        <v>0</v>
      </c>
    </row>
    <row r="67" spans="2:35" ht="15" customHeight="1" x14ac:dyDescent="0.25">
      <c r="B67" s="216" t="s">
        <v>282</v>
      </c>
      <c r="C67" s="213">
        <v>190</v>
      </c>
      <c r="D67" s="207">
        <f>SUMIFS('ноябрь 2023'!$G$4:$G$1127,'ноябрь 2023'!$D$4:$D$1127,$B67,'ноябрь 2023'!$J$4:$J$1127,D$1)</f>
        <v>0</v>
      </c>
      <c r="E67" s="207">
        <f>SUMIFS('ноябрь 2023'!$G$4:$G$1127,'ноябрь 2023'!$D$4:$D$1127,$B67,'ноябрь 2023'!$J$4:$J$1127,E$1)</f>
        <v>0</v>
      </c>
      <c r="F67" s="207">
        <f>SUMIFS('ноябрь 2023'!$G$4:$G$1127,'ноябрь 2023'!$D$4:$D$1127,$B67,'ноябрь 2023'!$J$4:$J$1127,F$1)</f>
        <v>0</v>
      </c>
      <c r="G67" s="207">
        <f>SUMIFS('ноябрь 2023'!$G$4:$G$1127,'ноябрь 2023'!$D$4:$D$1127,$B67,'ноябрь 2023'!$J$4:$J$1127,G$1)</f>
        <v>0</v>
      </c>
      <c r="H67" s="207">
        <f>SUMIFS('ноябрь 2023'!$G$4:$G$1127,'ноябрь 2023'!$D$4:$D$1127,$B67,'ноябрь 2023'!$J$4:$J$1127,H$1)</f>
        <v>0</v>
      </c>
      <c r="I67" s="207">
        <f>SUMIFS('ноябрь 2023'!$G$4:$G$1127,'ноябрь 2023'!$D$4:$D$1127,$B67,'ноябрь 2023'!$J$4:$J$1127,I$1)</f>
        <v>0</v>
      </c>
      <c r="J67" s="207">
        <f>SUMIFS('ноябрь 2023'!$G$4:$G$1127,'ноябрь 2023'!$D$4:$D$1127,$B67,'ноябрь 2023'!$J$4:$J$1127,J$1)</f>
        <v>80</v>
      </c>
      <c r="K67" s="207">
        <f>SUMIFS('ноябрь 2023'!$G$4:$G$1127,'ноябрь 2023'!$D$4:$D$1127,$B67,'ноябрь 2023'!$J$4:$J$1127,K$1)</f>
        <v>0</v>
      </c>
      <c r="L67" s="207">
        <f>SUMIFS('ноябрь 2023'!$G$4:$G$1127,'ноябрь 2023'!$D$4:$D$1127,$B67,'ноябрь 2023'!$J$4:$J$1127,L$1)</f>
        <v>0</v>
      </c>
      <c r="M67" s="207">
        <f>SUMIFS('ноябрь 2023'!$G$4:$G$1127,'ноябрь 2023'!$D$4:$D$1127,$B67,'ноябрь 2023'!$J$4:$J$1127,M$1)</f>
        <v>0</v>
      </c>
      <c r="N67" s="207">
        <f>SUMIFS('ноябрь 2023'!$G$4:$G$1127,'ноябрь 2023'!$D$4:$D$1127,$B67,'ноябрь 2023'!$J$4:$J$1127,N$1)</f>
        <v>0</v>
      </c>
      <c r="O67" s="207">
        <f>SUMIFS('ноябрь 2023'!$G$4:$G$1127,'ноябрь 2023'!$D$4:$D$1127,$B67,'ноябрь 2023'!$J$4:$J$1127,O$1)</f>
        <v>0</v>
      </c>
      <c r="P67" s="207">
        <f>SUMIFS('ноябрь 2023'!$G$4:$G$1127,'ноябрь 2023'!$D$4:$D$1127,$B67,'ноябрь 2023'!$J$4:$J$1127,P$1)</f>
        <v>0</v>
      </c>
      <c r="Q67" s="207">
        <f>SUMIFS('ноябрь 2023'!$G$4:$G$1127,'ноябрь 2023'!$D$4:$D$1127,$B67,'ноябрь 2023'!$J$4:$J$1127,Q$1)</f>
        <v>80</v>
      </c>
      <c r="R67" s="207">
        <f>SUMIFS('ноябрь 2023'!$G$4:$G$1127,'ноябрь 2023'!$D$4:$D$1127,$B67,'ноябрь 2023'!$J$4:$J$1127,R$1)</f>
        <v>0</v>
      </c>
      <c r="S67" s="207">
        <f>SUMIFS('ноябрь 2023'!$G$4:$G$1127,'ноябрь 2023'!$D$4:$D$1127,$B67,'ноябрь 2023'!$J$4:$J$1127,S$1)</f>
        <v>0</v>
      </c>
      <c r="T67" s="207">
        <f>SUMIFS('ноябрь 2023'!$G$4:$G$1127,'ноябрь 2023'!$D$4:$D$1127,$B67,'ноябрь 2023'!$J$4:$J$1127,T$1)</f>
        <v>0</v>
      </c>
      <c r="U67" s="207">
        <f>SUMIFS('ноябрь 2023'!$G$4:$G$1127,'ноябрь 2023'!$D$4:$D$1127,$B67,'ноябрь 2023'!$J$4:$J$1127,U$1)</f>
        <v>0</v>
      </c>
      <c r="V67" s="207">
        <f>SUMIFS('ноябрь 2023'!$G$4:$G$1127,'ноябрь 2023'!$D$4:$D$1127,$B67,'ноябрь 2023'!$J$4:$J$1127,V$1)</f>
        <v>0</v>
      </c>
      <c r="W67" s="207">
        <f>SUMIFS('ноябрь 2023'!$G$4:$G$1127,'ноябрь 2023'!$D$4:$D$1127,$B67,'ноябрь 2023'!$J$4:$J$1127,W$1)</f>
        <v>0</v>
      </c>
      <c r="X67" s="207">
        <f>SUMIFS('ноябрь 2023'!$G$4:$G$1127,'ноябрь 2023'!$D$4:$D$1127,$B67,'ноябрь 2023'!$J$4:$J$1127,X$1)</f>
        <v>0</v>
      </c>
      <c r="Y67" s="207">
        <f>SUMIFS('ноябрь 2023'!$G$4:$G$1127,'ноябрь 2023'!$D$4:$D$1127,$B67,'ноябрь 2023'!$J$4:$J$1127,Y$1)</f>
        <v>0</v>
      </c>
      <c r="Z67" s="207">
        <f>SUMIFS('ноябрь 2023'!$G$4:$G$1127,'ноябрь 2023'!$D$4:$D$1127,$B67,'ноябрь 2023'!$J$4:$J$1127,Z$1)</f>
        <v>0</v>
      </c>
      <c r="AA67" s="207">
        <f>SUMIFS('ноябрь 2023'!$G$4:$G$1127,'ноябрь 2023'!$D$4:$D$1127,$B67,'ноябрь 2023'!$J$4:$J$1127,AA$1)</f>
        <v>80</v>
      </c>
      <c r="AB67" s="207">
        <f>SUMIFS('ноябрь 2023'!$G$4:$G$1127,'ноябрь 2023'!$D$4:$D$1127,$B67,'ноябрь 2023'!$J$4:$J$1127,AB$1)</f>
        <v>0</v>
      </c>
      <c r="AC67" s="207">
        <f>SUMIFS('ноябрь 2023'!$G$4:$G$1127,'ноябрь 2023'!$D$4:$D$1127,$B67,'ноябрь 2023'!$J$4:$J$1127,AC$1)</f>
        <v>0</v>
      </c>
      <c r="AD67" s="207">
        <f>SUMIFS('ноябрь 2023'!$G$4:$G$1127,'ноябрь 2023'!$D$4:$D$1127,$B67,'ноябрь 2023'!$J$4:$J$1127,AD$1)</f>
        <v>0</v>
      </c>
      <c r="AE67" s="207">
        <f>SUMIFS('ноябрь 2023'!$G$4:$G$1127,'ноябрь 2023'!$D$4:$D$1127,$B67,'ноябрь 2023'!$J$4:$J$1127,AE$1)</f>
        <v>0</v>
      </c>
      <c r="AF67" s="207">
        <f>SUMIFS('ноябрь 2023'!$G$4:$G$1127,'ноябрь 2023'!$D$4:$D$1127,$B67,'ноябрь 2023'!$J$4:$J$1127,AF$1)</f>
        <v>0</v>
      </c>
      <c r="AG67" s="207">
        <f>SUMIFS('ноябрь 2023'!$G$4:$G$1127,'ноябрь 2023'!$D$4:$D$1127,$B67,'ноябрь 2023'!$J$4:$J$1127,AG$1)</f>
        <v>0</v>
      </c>
      <c r="AH67" s="207">
        <f>SUMIFS('ноябрь 2023'!$G$4:$G$1127,'ноябрь 2023'!$D$4:$D$1127,$B67,'ноябрь 2023'!$J$4:$J$1127,AH$1)</f>
        <v>0</v>
      </c>
      <c r="AI67" s="170">
        <f t="shared" ref="AI67:AI130" si="2">SUM(D67:AH67)</f>
        <v>240</v>
      </c>
    </row>
    <row r="68" spans="2:35" ht="15" customHeight="1" x14ac:dyDescent="0.25">
      <c r="B68" s="216" t="s">
        <v>890</v>
      </c>
      <c r="C68" s="213">
        <v>190</v>
      </c>
      <c r="D68" s="207">
        <f>SUMIFS('ноябрь 2023'!$G$4:$G$1127,'ноябрь 2023'!$D$4:$D$1127,$B68,'ноябрь 2023'!$J$4:$J$1127,D$1)</f>
        <v>0</v>
      </c>
      <c r="E68" s="207">
        <f>SUMIFS('ноябрь 2023'!$G$4:$G$1127,'ноябрь 2023'!$D$4:$D$1127,$B68,'ноябрь 2023'!$J$4:$J$1127,E$1)</f>
        <v>0</v>
      </c>
      <c r="F68" s="207">
        <f>SUMIFS('ноябрь 2023'!$G$4:$G$1127,'ноябрь 2023'!$D$4:$D$1127,$B68,'ноябрь 2023'!$J$4:$J$1127,F$1)</f>
        <v>0</v>
      </c>
      <c r="G68" s="207">
        <f>SUMIFS('ноябрь 2023'!$G$4:$G$1127,'ноябрь 2023'!$D$4:$D$1127,$B68,'ноябрь 2023'!$J$4:$J$1127,G$1)</f>
        <v>0</v>
      </c>
      <c r="H68" s="207">
        <f>SUMIFS('ноябрь 2023'!$G$4:$G$1127,'ноябрь 2023'!$D$4:$D$1127,$B68,'ноябрь 2023'!$J$4:$J$1127,H$1)</f>
        <v>0</v>
      </c>
      <c r="I68" s="207">
        <f>SUMIFS('ноябрь 2023'!$G$4:$G$1127,'ноябрь 2023'!$D$4:$D$1127,$B68,'ноябрь 2023'!$J$4:$J$1127,I$1)</f>
        <v>0</v>
      </c>
      <c r="J68" s="207">
        <f>SUMIFS('ноябрь 2023'!$G$4:$G$1127,'ноябрь 2023'!$D$4:$D$1127,$B68,'ноябрь 2023'!$J$4:$J$1127,J$1)</f>
        <v>0</v>
      </c>
      <c r="K68" s="207">
        <f>SUMIFS('ноябрь 2023'!$G$4:$G$1127,'ноябрь 2023'!$D$4:$D$1127,$B68,'ноябрь 2023'!$J$4:$J$1127,K$1)</f>
        <v>0</v>
      </c>
      <c r="L68" s="207">
        <f>SUMIFS('ноябрь 2023'!$G$4:$G$1127,'ноябрь 2023'!$D$4:$D$1127,$B68,'ноябрь 2023'!$J$4:$J$1127,L$1)</f>
        <v>0</v>
      </c>
      <c r="M68" s="207">
        <f>SUMIFS('ноябрь 2023'!$G$4:$G$1127,'ноябрь 2023'!$D$4:$D$1127,$B68,'ноябрь 2023'!$J$4:$J$1127,M$1)</f>
        <v>0</v>
      </c>
      <c r="N68" s="207">
        <f>SUMIFS('ноябрь 2023'!$G$4:$G$1127,'ноябрь 2023'!$D$4:$D$1127,$B68,'ноябрь 2023'!$J$4:$J$1127,N$1)</f>
        <v>0</v>
      </c>
      <c r="O68" s="207">
        <f>SUMIFS('ноябрь 2023'!$G$4:$G$1127,'ноябрь 2023'!$D$4:$D$1127,$B68,'ноябрь 2023'!$J$4:$J$1127,O$1)</f>
        <v>0</v>
      </c>
      <c r="P68" s="207">
        <f>SUMIFS('ноябрь 2023'!$G$4:$G$1127,'ноябрь 2023'!$D$4:$D$1127,$B68,'ноябрь 2023'!$J$4:$J$1127,P$1)</f>
        <v>0</v>
      </c>
      <c r="Q68" s="207">
        <f>SUMIFS('ноябрь 2023'!$G$4:$G$1127,'ноябрь 2023'!$D$4:$D$1127,$B68,'ноябрь 2023'!$J$4:$J$1127,Q$1)</f>
        <v>0</v>
      </c>
      <c r="R68" s="207">
        <f>SUMIFS('ноябрь 2023'!$G$4:$G$1127,'ноябрь 2023'!$D$4:$D$1127,$B68,'ноябрь 2023'!$J$4:$J$1127,R$1)</f>
        <v>0</v>
      </c>
      <c r="S68" s="207">
        <f>SUMIFS('ноябрь 2023'!$G$4:$G$1127,'ноябрь 2023'!$D$4:$D$1127,$B68,'ноябрь 2023'!$J$4:$J$1127,S$1)</f>
        <v>0</v>
      </c>
      <c r="T68" s="207">
        <f>SUMIFS('ноябрь 2023'!$G$4:$G$1127,'ноябрь 2023'!$D$4:$D$1127,$B68,'ноябрь 2023'!$J$4:$J$1127,T$1)</f>
        <v>0</v>
      </c>
      <c r="U68" s="207">
        <f>SUMIFS('ноябрь 2023'!$G$4:$G$1127,'ноябрь 2023'!$D$4:$D$1127,$B68,'ноябрь 2023'!$J$4:$J$1127,U$1)</f>
        <v>0</v>
      </c>
      <c r="V68" s="207">
        <f>SUMIFS('ноябрь 2023'!$G$4:$G$1127,'ноябрь 2023'!$D$4:$D$1127,$B68,'ноябрь 2023'!$J$4:$J$1127,V$1)</f>
        <v>0</v>
      </c>
      <c r="W68" s="207">
        <f>SUMIFS('ноябрь 2023'!$G$4:$G$1127,'ноябрь 2023'!$D$4:$D$1127,$B68,'ноябрь 2023'!$J$4:$J$1127,W$1)</f>
        <v>0</v>
      </c>
      <c r="X68" s="207">
        <f>SUMIFS('ноябрь 2023'!$G$4:$G$1127,'ноябрь 2023'!$D$4:$D$1127,$B68,'ноябрь 2023'!$J$4:$J$1127,X$1)</f>
        <v>0</v>
      </c>
      <c r="Y68" s="207">
        <f>SUMIFS('ноябрь 2023'!$G$4:$G$1127,'ноябрь 2023'!$D$4:$D$1127,$B68,'ноябрь 2023'!$J$4:$J$1127,Y$1)</f>
        <v>0</v>
      </c>
      <c r="Z68" s="207">
        <f>SUMIFS('ноябрь 2023'!$G$4:$G$1127,'ноябрь 2023'!$D$4:$D$1127,$B68,'ноябрь 2023'!$J$4:$J$1127,Z$1)</f>
        <v>0</v>
      </c>
      <c r="AA68" s="207">
        <f>SUMIFS('ноябрь 2023'!$G$4:$G$1127,'ноябрь 2023'!$D$4:$D$1127,$B68,'ноябрь 2023'!$J$4:$J$1127,AA$1)</f>
        <v>0</v>
      </c>
      <c r="AB68" s="207">
        <f>SUMIFS('ноябрь 2023'!$G$4:$G$1127,'ноябрь 2023'!$D$4:$D$1127,$B68,'ноябрь 2023'!$J$4:$J$1127,AB$1)</f>
        <v>0</v>
      </c>
      <c r="AC68" s="207">
        <f>SUMIFS('ноябрь 2023'!$G$4:$G$1127,'ноябрь 2023'!$D$4:$D$1127,$B68,'ноябрь 2023'!$J$4:$J$1127,AC$1)</f>
        <v>0</v>
      </c>
      <c r="AD68" s="207">
        <f>SUMIFS('ноябрь 2023'!$G$4:$G$1127,'ноябрь 2023'!$D$4:$D$1127,$B68,'ноябрь 2023'!$J$4:$J$1127,AD$1)</f>
        <v>0</v>
      </c>
      <c r="AE68" s="207">
        <f>SUMIFS('ноябрь 2023'!$G$4:$G$1127,'ноябрь 2023'!$D$4:$D$1127,$B68,'ноябрь 2023'!$J$4:$J$1127,AE$1)</f>
        <v>0</v>
      </c>
      <c r="AF68" s="207">
        <f>SUMIFS('ноябрь 2023'!$G$4:$G$1127,'ноябрь 2023'!$D$4:$D$1127,$B68,'ноябрь 2023'!$J$4:$J$1127,AF$1)</f>
        <v>0</v>
      </c>
      <c r="AG68" s="207">
        <f>SUMIFS('ноябрь 2023'!$G$4:$G$1127,'ноябрь 2023'!$D$4:$D$1127,$B68,'ноябрь 2023'!$J$4:$J$1127,AG$1)</f>
        <v>0</v>
      </c>
      <c r="AH68" s="207">
        <f>SUMIFS('ноябрь 2023'!$G$4:$G$1127,'ноябрь 2023'!$D$4:$D$1127,$B68,'ноябрь 2023'!$J$4:$J$1127,AH$1)</f>
        <v>0</v>
      </c>
      <c r="AI68" s="170"/>
    </row>
    <row r="69" spans="2:35" ht="15" customHeight="1" x14ac:dyDescent="0.25">
      <c r="B69" s="216" t="s">
        <v>1498</v>
      </c>
      <c r="C69" s="213">
        <v>190</v>
      </c>
      <c r="D69" s="207">
        <f>SUMIFS('ноябрь 2023'!$G$4:$G$1127,'ноябрь 2023'!$D$4:$D$1127,$B69,'ноябрь 2023'!$J$4:$J$1127,D$1)</f>
        <v>0</v>
      </c>
      <c r="E69" s="207">
        <f>SUMIFS('ноябрь 2023'!$G$4:$G$1127,'ноябрь 2023'!$D$4:$D$1127,$B69,'ноябрь 2023'!$J$4:$J$1127,E$1)</f>
        <v>0</v>
      </c>
      <c r="F69" s="207">
        <f>SUMIFS('ноябрь 2023'!$G$4:$G$1127,'ноябрь 2023'!$D$4:$D$1127,$B69,'ноябрь 2023'!$J$4:$J$1127,F$1)</f>
        <v>0</v>
      </c>
      <c r="G69" s="207">
        <f>SUMIFS('ноябрь 2023'!$G$4:$G$1127,'ноябрь 2023'!$D$4:$D$1127,$B69,'ноябрь 2023'!$J$4:$J$1127,G$1)</f>
        <v>0</v>
      </c>
      <c r="H69" s="207">
        <f>SUMIFS('ноябрь 2023'!$G$4:$G$1127,'ноябрь 2023'!$D$4:$D$1127,$B69,'ноябрь 2023'!$J$4:$J$1127,H$1)</f>
        <v>0</v>
      </c>
      <c r="I69" s="207">
        <f>SUMIFS('ноябрь 2023'!$G$4:$G$1127,'ноябрь 2023'!$D$4:$D$1127,$B69,'ноябрь 2023'!$J$4:$J$1127,I$1)</f>
        <v>0</v>
      </c>
      <c r="J69" s="207">
        <f>SUMIFS('ноябрь 2023'!$G$4:$G$1127,'ноябрь 2023'!$D$4:$D$1127,$B69,'ноябрь 2023'!$J$4:$J$1127,J$1)</f>
        <v>0</v>
      </c>
      <c r="K69" s="207">
        <f>SUMIFS('ноябрь 2023'!$G$4:$G$1127,'ноябрь 2023'!$D$4:$D$1127,$B69,'ноябрь 2023'!$J$4:$J$1127,K$1)</f>
        <v>0</v>
      </c>
      <c r="L69" s="207">
        <f>SUMIFS('ноябрь 2023'!$G$4:$G$1127,'ноябрь 2023'!$D$4:$D$1127,$B69,'ноябрь 2023'!$J$4:$J$1127,L$1)</f>
        <v>0</v>
      </c>
      <c r="M69" s="207">
        <f>SUMIFS('ноябрь 2023'!$G$4:$G$1127,'ноябрь 2023'!$D$4:$D$1127,$B69,'ноябрь 2023'!$J$4:$J$1127,M$1)</f>
        <v>0</v>
      </c>
      <c r="N69" s="207">
        <f>SUMIFS('ноябрь 2023'!$G$4:$G$1127,'ноябрь 2023'!$D$4:$D$1127,$B69,'ноябрь 2023'!$J$4:$J$1127,N$1)</f>
        <v>0</v>
      </c>
      <c r="O69" s="207">
        <f>SUMIFS('ноябрь 2023'!$G$4:$G$1127,'ноябрь 2023'!$D$4:$D$1127,$B69,'ноябрь 2023'!$J$4:$J$1127,O$1)</f>
        <v>0</v>
      </c>
      <c r="P69" s="207">
        <f>SUMIFS('ноябрь 2023'!$G$4:$G$1127,'ноябрь 2023'!$D$4:$D$1127,$B69,'ноябрь 2023'!$J$4:$J$1127,P$1)</f>
        <v>0</v>
      </c>
      <c r="Q69" s="207">
        <f>SUMIFS('ноябрь 2023'!$G$4:$G$1127,'ноябрь 2023'!$D$4:$D$1127,$B69,'ноябрь 2023'!$J$4:$J$1127,Q$1)</f>
        <v>0</v>
      </c>
      <c r="R69" s="207">
        <f>SUMIFS('ноябрь 2023'!$G$4:$G$1127,'ноябрь 2023'!$D$4:$D$1127,$B69,'ноябрь 2023'!$J$4:$J$1127,R$1)</f>
        <v>0</v>
      </c>
      <c r="S69" s="207">
        <f>SUMIFS('ноябрь 2023'!$G$4:$G$1127,'ноябрь 2023'!$D$4:$D$1127,$B69,'ноябрь 2023'!$J$4:$J$1127,S$1)</f>
        <v>0</v>
      </c>
      <c r="T69" s="207">
        <f>SUMIFS('ноябрь 2023'!$G$4:$G$1127,'ноябрь 2023'!$D$4:$D$1127,$B69,'ноябрь 2023'!$J$4:$J$1127,T$1)</f>
        <v>0</v>
      </c>
      <c r="U69" s="207">
        <f>SUMIFS('ноябрь 2023'!$G$4:$G$1127,'ноябрь 2023'!$D$4:$D$1127,$B69,'ноябрь 2023'!$J$4:$J$1127,U$1)</f>
        <v>0</v>
      </c>
      <c r="V69" s="207">
        <f>SUMIFS('ноябрь 2023'!$G$4:$G$1127,'ноябрь 2023'!$D$4:$D$1127,$B69,'ноябрь 2023'!$J$4:$J$1127,V$1)</f>
        <v>0</v>
      </c>
      <c r="W69" s="207">
        <f>SUMIFS('ноябрь 2023'!$G$4:$G$1127,'ноябрь 2023'!$D$4:$D$1127,$B69,'ноябрь 2023'!$J$4:$J$1127,W$1)</f>
        <v>0</v>
      </c>
      <c r="X69" s="207">
        <f>SUMIFS('ноябрь 2023'!$G$4:$G$1127,'ноябрь 2023'!$D$4:$D$1127,$B69,'ноябрь 2023'!$J$4:$J$1127,X$1)</f>
        <v>0</v>
      </c>
      <c r="Y69" s="207">
        <f>SUMIFS('ноябрь 2023'!$G$4:$G$1127,'ноябрь 2023'!$D$4:$D$1127,$B69,'ноябрь 2023'!$J$4:$J$1127,Y$1)</f>
        <v>0</v>
      </c>
      <c r="Z69" s="207">
        <f>SUMIFS('ноябрь 2023'!$G$4:$G$1127,'ноябрь 2023'!$D$4:$D$1127,$B69,'ноябрь 2023'!$J$4:$J$1127,Z$1)</f>
        <v>0</v>
      </c>
      <c r="AA69" s="207">
        <f>SUMIFS('ноябрь 2023'!$G$4:$G$1127,'ноябрь 2023'!$D$4:$D$1127,$B69,'ноябрь 2023'!$J$4:$J$1127,AA$1)</f>
        <v>0</v>
      </c>
      <c r="AB69" s="207">
        <f>SUMIFS('ноябрь 2023'!$G$4:$G$1127,'ноябрь 2023'!$D$4:$D$1127,$B69,'ноябрь 2023'!$J$4:$J$1127,AB$1)</f>
        <v>0</v>
      </c>
      <c r="AC69" s="207">
        <f>SUMIFS('ноябрь 2023'!$G$4:$G$1127,'ноябрь 2023'!$D$4:$D$1127,$B69,'ноябрь 2023'!$J$4:$J$1127,AC$1)</f>
        <v>0</v>
      </c>
      <c r="AD69" s="207">
        <f>SUMIFS('ноябрь 2023'!$G$4:$G$1127,'ноябрь 2023'!$D$4:$D$1127,$B69,'ноябрь 2023'!$J$4:$J$1127,AD$1)</f>
        <v>0</v>
      </c>
      <c r="AE69" s="207">
        <f>SUMIFS('ноябрь 2023'!$G$4:$G$1127,'ноябрь 2023'!$D$4:$D$1127,$B69,'ноябрь 2023'!$J$4:$J$1127,AE$1)</f>
        <v>0</v>
      </c>
      <c r="AF69" s="207">
        <f>SUMIFS('ноябрь 2023'!$G$4:$G$1127,'ноябрь 2023'!$D$4:$D$1127,$B69,'ноябрь 2023'!$J$4:$J$1127,AF$1)</f>
        <v>0</v>
      </c>
      <c r="AG69" s="207">
        <f>SUMIFS('ноябрь 2023'!$G$4:$G$1127,'ноябрь 2023'!$D$4:$D$1127,$B69,'ноябрь 2023'!$J$4:$J$1127,AG$1)</f>
        <v>0</v>
      </c>
      <c r="AH69" s="207">
        <f>SUMIFS('ноябрь 2023'!$G$4:$G$1127,'ноябрь 2023'!$D$4:$D$1127,$B69,'ноябрь 2023'!$J$4:$J$1127,AH$1)</f>
        <v>0</v>
      </c>
      <c r="AI69" s="170">
        <f t="shared" si="2"/>
        <v>0</v>
      </c>
    </row>
    <row r="70" spans="2:35" ht="15" customHeight="1" x14ac:dyDescent="0.25">
      <c r="B70" s="216" t="s">
        <v>1721</v>
      </c>
      <c r="C70" s="213">
        <v>180</v>
      </c>
      <c r="D70" s="207">
        <f>SUMIFS('ноябрь 2023'!$G$4:$G$1127,'ноябрь 2023'!$D$4:$D$1127,$B70,'ноябрь 2023'!$J$4:$J$1127,D$1)</f>
        <v>0</v>
      </c>
      <c r="E70" s="207">
        <f>SUMIFS('ноябрь 2023'!$G$4:$G$1127,'ноябрь 2023'!$D$4:$D$1127,$B70,'ноябрь 2023'!$J$4:$J$1127,E$1)</f>
        <v>0</v>
      </c>
      <c r="F70" s="207">
        <f>SUMIFS('ноябрь 2023'!$G$4:$G$1127,'ноябрь 2023'!$D$4:$D$1127,$B70,'ноябрь 2023'!$J$4:$J$1127,F$1)</f>
        <v>0</v>
      </c>
      <c r="G70" s="207">
        <f>SUMIFS('ноябрь 2023'!$G$4:$G$1127,'ноябрь 2023'!$D$4:$D$1127,$B70,'ноябрь 2023'!$J$4:$J$1127,G$1)</f>
        <v>0</v>
      </c>
      <c r="H70" s="207">
        <f>SUMIFS('ноябрь 2023'!$G$4:$G$1127,'ноябрь 2023'!$D$4:$D$1127,$B70,'ноябрь 2023'!$J$4:$J$1127,H$1)</f>
        <v>0</v>
      </c>
      <c r="I70" s="207">
        <f>SUMIFS('ноябрь 2023'!$G$4:$G$1127,'ноябрь 2023'!$D$4:$D$1127,$B70,'ноябрь 2023'!$J$4:$J$1127,I$1)</f>
        <v>0</v>
      </c>
      <c r="J70" s="207">
        <f>SUMIFS('ноябрь 2023'!$G$4:$G$1127,'ноябрь 2023'!$D$4:$D$1127,$B70,'ноябрь 2023'!$J$4:$J$1127,J$1)</f>
        <v>0</v>
      </c>
      <c r="K70" s="207">
        <f>SUMIFS('ноябрь 2023'!$G$4:$G$1127,'ноябрь 2023'!$D$4:$D$1127,$B70,'ноябрь 2023'!$J$4:$J$1127,K$1)</f>
        <v>0</v>
      </c>
      <c r="L70" s="207">
        <f>SUMIFS('ноябрь 2023'!$G$4:$G$1127,'ноябрь 2023'!$D$4:$D$1127,$B70,'ноябрь 2023'!$J$4:$J$1127,L$1)</f>
        <v>0</v>
      </c>
      <c r="M70" s="207">
        <f>SUMIFS('ноябрь 2023'!$G$4:$G$1127,'ноябрь 2023'!$D$4:$D$1127,$B70,'ноябрь 2023'!$J$4:$J$1127,M$1)</f>
        <v>0</v>
      </c>
      <c r="N70" s="207">
        <f>SUMIFS('ноябрь 2023'!$G$4:$G$1127,'ноябрь 2023'!$D$4:$D$1127,$B70,'ноябрь 2023'!$J$4:$J$1127,N$1)</f>
        <v>0</v>
      </c>
      <c r="O70" s="207">
        <f>SUMIFS('ноябрь 2023'!$G$4:$G$1127,'ноябрь 2023'!$D$4:$D$1127,$B70,'ноябрь 2023'!$J$4:$J$1127,O$1)</f>
        <v>0</v>
      </c>
      <c r="P70" s="207">
        <f>SUMIFS('ноябрь 2023'!$G$4:$G$1127,'ноябрь 2023'!$D$4:$D$1127,$B70,'ноябрь 2023'!$J$4:$J$1127,P$1)</f>
        <v>0</v>
      </c>
      <c r="Q70" s="207">
        <f>SUMIFS('ноябрь 2023'!$G$4:$G$1127,'ноябрь 2023'!$D$4:$D$1127,$B70,'ноябрь 2023'!$J$4:$J$1127,Q$1)</f>
        <v>0</v>
      </c>
      <c r="R70" s="207">
        <f>SUMIFS('ноябрь 2023'!$G$4:$G$1127,'ноябрь 2023'!$D$4:$D$1127,$B70,'ноябрь 2023'!$J$4:$J$1127,R$1)</f>
        <v>0</v>
      </c>
      <c r="S70" s="207">
        <f>SUMIFS('ноябрь 2023'!$G$4:$G$1127,'ноябрь 2023'!$D$4:$D$1127,$B70,'ноябрь 2023'!$J$4:$J$1127,S$1)</f>
        <v>0</v>
      </c>
      <c r="T70" s="207">
        <f>SUMIFS('ноябрь 2023'!$G$4:$G$1127,'ноябрь 2023'!$D$4:$D$1127,$B70,'ноябрь 2023'!$J$4:$J$1127,T$1)</f>
        <v>0</v>
      </c>
      <c r="U70" s="207">
        <f>SUMIFS('ноябрь 2023'!$G$4:$G$1127,'ноябрь 2023'!$D$4:$D$1127,$B70,'ноябрь 2023'!$J$4:$J$1127,U$1)</f>
        <v>0</v>
      </c>
      <c r="V70" s="207">
        <f>SUMIFS('ноябрь 2023'!$G$4:$G$1127,'ноябрь 2023'!$D$4:$D$1127,$B70,'ноябрь 2023'!$J$4:$J$1127,V$1)</f>
        <v>0</v>
      </c>
      <c r="W70" s="207">
        <f>SUMIFS('ноябрь 2023'!$G$4:$G$1127,'ноябрь 2023'!$D$4:$D$1127,$B70,'ноябрь 2023'!$J$4:$J$1127,W$1)</f>
        <v>0</v>
      </c>
      <c r="X70" s="207">
        <f>SUMIFS('ноябрь 2023'!$G$4:$G$1127,'ноябрь 2023'!$D$4:$D$1127,$B70,'ноябрь 2023'!$J$4:$J$1127,X$1)</f>
        <v>0</v>
      </c>
      <c r="Y70" s="207">
        <f>SUMIFS('ноябрь 2023'!$G$4:$G$1127,'ноябрь 2023'!$D$4:$D$1127,$B70,'ноябрь 2023'!$J$4:$J$1127,Y$1)</f>
        <v>0</v>
      </c>
      <c r="Z70" s="207">
        <f>SUMIFS('ноябрь 2023'!$G$4:$G$1127,'ноябрь 2023'!$D$4:$D$1127,$B70,'ноябрь 2023'!$J$4:$J$1127,Z$1)</f>
        <v>0</v>
      </c>
      <c r="AA70" s="207">
        <f>SUMIFS('ноябрь 2023'!$G$4:$G$1127,'ноябрь 2023'!$D$4:$D$1127,$B70,'ноябрь 2023'!$J$4:$J$1127,AA$1)</f>
        <v>0</v>
      </c>
      <c r="AB70" s="207">
        <f>SUMIFS('ноябрь 2023'!$G$4:$G$1127,'ноябрь 2023'!$D$4:$D$1127,$B70,'ноябрь 2023'!$J$4:$J$1127,AB$1)</f>
        <v>0</v>
      </c>
      <c r="AC70" s="207">
        <f>SUMIFS('ноябрь 2023'!$G$4:$G$1127,'ноябрь 2023'!$D$4:$D$1127,$B70,'ноябрь 2023'!$J$4:$J$1127,AC$1)</f>
        <v>0</v>
      </c>
      <c r="AD70" s="207">
        <f>SUMIFS('ноябрь 2023'!$G$4:$G$1127,'ноябрь 2023'!$D$4:$D$1127,$B70,'ноябрь 2023'!$J$4:$J$1127,AD$1)</f>
        <v>0</v>
      </c>
      <c r="AE70" s="207">
        <f>SUMIFS('ноябрь 2023'!$G$4:$G$1127,'ноябрь 2023'!$D$4:$D$1127,$B70,'ноябрь 2023'!$J$4:$J$1127,AE$1)</f>
        <v>0</v>
      </c>
      <c r="AF70" s="207">
        <f>SUMIFS('ноябрь 2023'!$G$4:$G$1127,'ноябрь 2023'!$D$4:$D$1127,$B70,'ноябрь 2023'!$J$4:$J$1127,AF$1)</f>
        <v>0</v>
      </c>
      <c r="AG70" s="207">
        <f>SUMIFS('ноябрь 2023'!$G$4:$G$1127,'ноябрь 2023'!$D$4:$D$1127,$B70,'ноябрь 2023'!$J$4:$J$1127,AG$1)</f>
        <v>0</v>
      </c>
      <c r="AH70" s="207">
        <f>SUMIFS('ноябрь 2023'!$G$4:$G$1127,'ноябрь 2023'!$D$4:$D$1127,$B70,'ноябрь 2023'!$J$4:$J$1127,AH$1)</f>
        <v>0</v>
      </c>
      <c r="AI70" s="170">
        <f t="shared" si="2"/>
        <v>0</v>
      </c>
    </row>
    <row r="71" spans="2:35" ht="15" customHeight="1" x14ac:dyDescent="0.25">
      <c r="B71" s="216" t="s">
        <v>2166</v>
      </c>
      <c r="C71" s="213">
        <v>180</v>
      </c>
      <c r="D71" s="207">
        <f>SUMIFS('ноябрь 2023'!$G$4:$G$1127,'ноябрь 2023'!$D$4:$D$1127,$B71,'ноябрь 2023'!$J$4:$J$1127,D$1)</f>
        <v>0</v>
      </c>
      <c r="E71" s="207">
        <f>SUMIFS('ноябрь 2023'!$G$4:$G$1127,'ноябрь 2023'!$D$4:$D$1127,$B71,'ноябрь 2023'!$J$4:$J$1127,E$1)</f>
        <v>0</v>
      </c>
      <c r="F71" s="207">
        <f>SUMIFS('ноябрь 2023'!$G$4:$G$1127,'ноябрь 2023'!$D$4:$D$1127,$B71,'ноябрь 2023'!$J$4:$J$1127,F$1)</f>
        <v>0</v>
      </c>
      <c r="G71" s="207">
        <f>SUMIFS('ноябрь 2023'!$G$4:$G$1127,'ноябрь 2023'!$D$4:$D$1127,$B71,'ноябрь 2023'!$J$4:$J$1127,G$1)</f>
        <v>0</v>
      </c>
      <c r="H71" s="207">
        <f>SUMIFS('ноябрь 2023'!$G$4:$G$1127,'ноябрь 2023'!$D$4:$D$1127,$B71,'ноябрь 2023'!$J$4:$J$1127,H$1)</f>
        <v>0</v>
      </c>
      <c r="I71" s="207">
        <f>SUMIFS('ноябрь 2023'!$G$4:$G$1127,'ноябрь 2023'!$D$4:$D$1127,$B71,'ноябрь 2023'!$J$4:$J$1127,I$1)</f>
        <v>0</v>
      </c>
      <c r="J71" s="207">
        <f>SUMIFS('ноябрь 2023'!$G$4:$G$1127,'ноябрь 2023'!$D$4:$D$1127,$B71,'ноябрь 2023'!$J$4:$J$1127,J$1)</f>
        <v>0</v>
      </c>
      <c r="K71" s="207">
        <f>SUMIFS('ноябрь 2023'!$G$4:$G$1127,'ноябрь 2023'!$D$4:$D$1127,$B71,'ноябрь 2023'!$J$4:$J$1127,K$1)</f>
        <v>0</v>
      </c>
      <c r="L71" s="207">
        <f>SUMIFS('ноябрь 2023'!$G$4:$G$1127,'ноябрь 2023'!$D$4:$D$1127,$B71,'ноябрь 2023'!$J$4:$J$1127,L$1)</f>
        <v>0</v>
      </c>
      <c r="M71" s="207">
        <f>SUMIFS('ноябрь 2023'!$G$4:$G$1127,'ноябрь 2023'!$D$4:$D$1127,$B71,'ноябрь 2023'!$J$4:$J$1127,M$1)</f>
        <v>0</v>
      </c>
      <c r="N71" s="207">
        <f>SUMIFS('ноябрь 2023'!$G$4:$G$1127,'ноябрь 2023'!$D$4:$D$1127,$B71,'ноябрь 2023'!$J$4:$J$1127,N$1)</f>
        <v>0</v>
      </c>
      <c r="O71" s="207">
        <f>SUMIFS('ноябрь 2023'!$G$4:$G$1127,'ноябрь 2023'!$D$4:$D$1127,$B71,'ноябрь 2023'!$J$4:$J$1127,O$1)</f>
        <v>0</v>
      </c>
      <c r="P71" s="207">
        <f>SUMIFS('ноябрь 2023'!$G$4:$G$1127,'ноябрь 2023'!$D$4:$D$1127,$B71,'ноябрь 2023'!$J$4:$J$1127,P$1)</f>
        <v>0</v>
      </c>
      <c r="Q71" s="207">
        <f>SUMIFS('ноябрь 2023'!$G$4:$G$1127,'ноябрь 2023'!$D$4:$D$1127,$B71,'ноябрь 2023'!$J$4:$J$1127,Q$1)</f>
        <v>0</v>
      </c>
      <c r="R71" s="207">
        <f>SUMIFS('ноябрь 2023'!$G$4:$G$1127,'ноябрь 2023'!$D$4:$D$1127,$B71,'ноябрь 2023'!$J$4:$J$1127,R$1)</f>
        <v>0</v>
      </c>
      <c r="S71" s="207">
        <f>SUMIFS('ноябрь 2023'!$G$4:$G$1127,'ноябрь 2023'!$D$4:$D$1127,$B71,'ноябрь 2023'!$J$4:$J$1127,S$1)</f>
        <v>0</v>
      </c>
      <c r="T71" s="207">
        <f>SUMIFS('ноябрь 2023'!$G$4:$G$1127,'ноябрь 2023'!$D$4:$D$1127,$B71,'ноябрь 2023'!$J$4:$J$1127,T$1)</f>
        <v>0</v>
      </c>
      <c r="U71" s="207">
        <f>SUMIFS('ноябрь 2023'!$G$4:$G$1127,'ноябрь 2023'!$D$4:$D$1127,$B71,'ноябрь 2023'!$J$4:$J$1127,U$1)</f>
        <v>0</v>
      </c>
      <c r="V71" s="207">
        <f>SUMIFS('ноябрь 2023'!$G$4:$G$1127,'ноябрь 2023'!$D$4:$D$1127,$B71,'ноябрь 2023'!$J$4:$J$1127,V$1)</f>
        <v>0</v>
      </c>
      <c r="W71" s="207">
        <f>SUMIFS('ноябрь 2023'!$G$4:$G$1127,'ноябрь 2023'!$D$4:$D$1127,$B71,'ноябрь 2023'!$J$4:$J$1127,W$1)</f>
        <v>0</v>
      </c>
      <c r="X71" s="207">
        <f>SUMIFS('ноябрь 2023'!$G$4:$G$1127,'ноябрь 2023'!$D$4:$D$1127,$B71,'ноябрь 2023'!$J$4:$J$1127,X$1)</f>
        <v>0</v>
      </c>
      <c r="Y71" s="207">
        <f>SUMIFS('ноябрь 2023'!$G$4:$G$1127,'ноябрь 2023'!$D$4:$D$1127,$B71,'ноябрь 2023'!$J$4:$J$1127,Y$1)</f>
        <v>0</v>
      </c>
      <c r="Z71" s="207">
        <f>SUMIFS('ноябрь 2023'!$G$4:$G$1127,'ноябрь 2023'!$D$4:$D$1127,$B71,'ноябрь 2023'!$J$4:$J$1127,Z$1)</f>
        <v>0</v>
      </c>
      <c r="AA71" s="207">
        <f>SUMIFS('ноябрь 2023'!$G$4:$G$1127,'ноябрь 2023'!$D$4:$D$1127,$B71,'ноябрь 2023'!$J$4:$J$1127,AA$1)</f>
        <v>0</v>
      </c>
      <c r="AB71" s="207">
        <f>SUMIFS('ноябрь 2023'!$G$4:$G$1127,'ноябрь 2023'!$D$4:$D$1127,$B71,'ноябрь 2023'!$J$4:$J$1127,AB$1)</f>
        <v>0</v>
      </c>
      <c r="AC71" s="207">
        <f>SUMIFS('ноябрь 2023'!$G$4:$G$1127,'ноябрь 2023'!$D$4:$D$1127,$B71,'ноябрь 2023'!$J$4:$J$1127,AC$1)</f>
        <v>0</v>
      </c>
      <c r="AD71" s="207">
        <f>SUMIFS('ноябрь 2023'!$G$4:$G$1127,'ноябрь 2023'!$D$4:$D$1127,$B71,'ноябрь 2023'!$J$4:$J$1127,AD$1)</f>
        <v>0</v>
      </c>
      <c r="AE71" s="207">
        <f>SUMIFS('ноябрь 2023'!$G$4:$G$1127,'ноябрь 2023'!$D$4:$D$1127,$B71,'ноябрь 2023'!$J$4:$J$1127,AE$1)</f>
        <v>0</v>
      </c>
      <c r="AF71" s="207">
        <f>SUMIFS('ноябрь 2023'!$G$4:$G$1127,'ноябрь 2023'!$D$4:$D$1127,$B71,'ноябрь 2023'!$J$4:$J$1127,AF$1)</f>
        <v>0</v>
      </c>
      <c r="AG71" s="207">
        <f>SUMIFS('ноябрь 2023'!$G$4:$G$1127,'ноябрь 2023'!$D$4:$D$1127,$B71,'ноябрь 2023'!$J$4:$J$1127,AG$1)</f>
        <v>0</v>
      </c>
      <c r="AH71" s="207">
        <f>SUMIFS('ноябрь 2023'!$G$4:$G$1127,'ноябрь 2023'!$D$4:$D$1127,$B71,'ноябрь 2023'!$J$4:$J$1127,AH$1)</f>
        <v>0</v>
      </c>
      <c r="AI71" s="170">
        <f t="shared" si="2"/>
        <v>0</v>
      </c>
    </row>
    <row r="72" spans="2:35" ht="15" customHeight="1" x14ac:dyDescent="0.25">
      <c r="B72" s="216" t="s">
        <v>140</v>
      </c>
      <c r="C72" s="213">
        <v>180</v>
      </c>
      <c r="D72" s="207">
        <f>SUMIFS('ноябрь 2023'!$G$4:$G$1127,'ноябрь 2023'!$D$4:$D$1127,$B72,'ноябрь 2023'!$J$4:$J$1127,D$1)</f>
        <v>0</v>
      </c>
      <c r="E72" s="207">
        <f>SUMIFS('ноябрь 2023'!$G$4:$G$1127,'ноябрь 2023'!$D$4:$D$1127,$B72,'ноябрь 2023'!$J$4:$J$1127,E$1)</f>
        <v>0</v>
      </c>
      <c r="F72" s="207">
        <f>SUMIFS('ноябрь 2023'!$G$4:$G$1127,'ноябрь 2023'!$D$4:$D$1127,$B72,'ноябрь 2023'!$J$4:$J$1127,F$1)</f>
        <v>0</v>
      </c>
      <c r="G72" s="207">
        <f>SUMIFS('ноябрь 2023'!$G$4:$G$1127,'ноябрь 2023'!$D$4:$D$1127,$B72,'ноябрь 2023'!$J$4:$J$1127,G$1)</f>
        <v>0</v>
      </c>
      <c r="H72" s="207">
        <f>SUMIFS('ноябрь 2023'!$G$4:$G$1127,'ноябрь 2023'!$D$4:$D$1127,$B72,'ноябрь 2023'!$J$4:$J$1127,H$1)</f>
        <v>0</v>
      </c>
      <c r="I72" s="207">
        <f>SUMIFS('ноябрь 2023'!$G$4:$G$1127,'ноябрь 2023'!$D$4:$D$1127,$B72,'ноябрь 2023'!$J$4:$J$1127,I$1)</f>
        <v>0</v>
      </c>
      <c r="J72" s="207">
        <f>SUMIFS('ноябрь 2023'!$G$4:$G$1127,'ноябрь 2023'!$D$4:$D$1127,$B72,'ноябрь 2023'!$J$4:$J$1127,J$1)</f>
        <v>0</v>
      </c>
      <c r="K72" s="207">
        <f>SUMIFS('ноябрь 2023'!$G$4:$G$1127,'ноябрь 2023'!$D$4:$D$1127,$B72,'ноябрь 2023'!$J$4:$J$1127,K$1)</f>
        <v>0</v>
      </c>
      <c r="L72" s="207">
        <f>SUMIFS('ноябрь 2023'!$G$4:$G$1127,'ноябрь 2023'!$D$4:$D$1127,$B72,'ноябрь 2023'!$J$4:$J$1127,L$1)</f>
        <v>0</v>
      </c>
      <c r="M72" s="207">
        <f>SUMIFS('ноябрь 2023'!$G$4:$G$1127,'ноябрь 2023'!$D$4:$D$1127,$B72,'ноябрь 2023'!$J$4:$J$1127,M$1)</f>
        <v>0</v>
      </c>
      <c r="N72" s="207">
        <f>SUMIFS('ноябрь 2023'!$G$4:$G$1127,'ноябрь 2023'!$D$4:$D$1127,$B72,'ноябрь 2023'!$J$4:$J$1127,N$1)</f>
        <v>0</v>
      </c>
      <c r="O72" s="207">
        <f>SUMIFS('ноябрь 2023'!$G$4:$G$1127,'ноябрь 2023'!$D$4:$D$1127,$B72,'ноябрь 2023'!$J$4:$J$1127,O$1)</f>
        <v>0</v>
      </c>
      <c r="P72" s="207">
        <f>SUMIFS('ноябрь 2023'!$G$4:$G$1127,'ноябрь 2023'!$D$4:$D$1127,$B72,'ноябрь 2023'!$J$4:$J$1127,P$1)</f>
        <v>0</v>
      </c>
      <c r="Q72" s="207">
        <f>SUMIFS('ноябрь 2023'!$G$4:$G$1127,'ноябрь 2023'!$D$4:$D$1127,$B72,'ноябрь 2023'!$J$4:$J$1127,Q$1)</f>
        <v>12</v>
      </c>
      <c r="R72" s="207">
        <f>SUMIFS('ноябрь 2023'!$G$4:$G$1127,'ноябрь 2023'!$D$4:$D$1127,$B72,'ноябрь 2023'!$J$4:$J$1127,R$1)</f>
        <v>0</v>
      </c>
      <c r="S72" s="207">
        <f>SUMIFS('ноябрь 2023'!$G$4:$G$1127,'ноябрь 2023'!$D$4:$D$1127,$B72,'ноябрь 2023'!$J$4:$J$1127,S$1)</f>
        <v>0</v>
      </c>
      <c r="T72" s="207">
        <f>SUMIFS('ноябрь 2023'!$G$4:$G$1127,'ноябрь 2023'!$D$4:$D$1127,$B72,'ноябрь 2023'!$J$4:$J$1127,T$1)</f>
        <v>0</v>
      </c>
      <c r="U72" s="207">
        <f>SUMIFS('ноябрь 2023'!$G$4:$G$1127,'ноябрь 2023'!$D$4:$D$1127,$B72,'ноябрь 2023'!$J$4:$J$1127,U$1)</f>
        <v>0</v>
      </c>
      <c r="V72" s="207">
        <f>SUMIFS('ноябрь 2023'!$G$4:$G$1127,'ноябрь 2023'!$D$4:$D$1127,$B72,'ноябрь 2023'!$J$4:$J$1127,V$1)</f>
        <v>0</v>
      </c>
      <c r="W72" s="207">
        <f>SUMIFS('ноябрь 2023'!$G$4:$G$1127,'ноябрь 2023'!$D$4:$D$1127,$B72,'ноябрь 2023'!$J$4:$J$1127,W$1)</f>
        <v>40</v>
      </c>
      <c r="X72" s="207">
        <f>SUMIFS('ноябрь 2023'!$G$4:$G$1127,'ноябрь 2023'!$D$4:$D$1127,$B72,'ноябрь 2023'!$J$4:$J$1127,X$1)</f>
        <v>0</v>
      </c>
      <c r="Y72" s="207">
        <f>SUMIFS('ноябрь 2023'!$G$4:$G$1127,'ноябрь 2023'!$D$4:$D$1127,$B72,'ноябрь 2023'!$J$4:$J$1127,Y$1)</f>
        <v>0</v>
      </c>
      <c r="Z72" s="207">
        <f>SUMIFS('ноябрь 2023'!$G$4:$G$1127,'ноябрь 2023'!$D$4:$D$1127,$B72,'ноябрь 2023'!$J$4:$J$1127,Z$1)</f>
        <v>0</v>
      </c>
      <c r="AA72" s="207">
        <f>SUMIFS('ноябрь 2023'!$G$4:$G$1127,'ноябрь 2023'!$D$4:$D$1127,$B72,'ноябрь 2023'!$J$4:$J$1127,AA$1)</f>
        <v>0</v>
      </c>
      <c r="AB72" s="207">
        <f>SUMIFS('ноябрь 2023'!$G$4:$G$1127,'ноябрь 2023'!$D$4:$D$1127,$B72,'ноябрь 2023'!$J$4:$J$1127,AB$1)</f>
        <v>0</v>
      </c>
      <c r="AC72" s="207">
        <f>SUMIFS('ноябрь 2023'!$G$4:$G$1127,'ноябрь 2023'!$D$4:$D$1127,$B72,'ноябрь 2023'!$J$4:$J$1127,AC$1)</f>
        <v>0</v>
      </c>
      <c r="AD72" s="207">
        <f>SUMIFS('ноябрь 2023'!$G$4:$G$1127,'ноябрь 2023'!$D$4:$D$1127,$B72,'ноябрь 2023'!$J$4:$J$1127,AD$1)</f>
        <v>0</v>
      </c>
      <c r="AE72" s="207">
        <f>SUMIFS('ноябрь 2023'!$G$4:$G$1127,'ноябрь 2023'!$D$4:$D$1127,$B72,'ноябрь 2023'!$J$4:$J$1127,AE$1)</f>
        <v>0</v>
      </c>
      <c r="AF72" s="207">
        <f>SUMIFS('ноябрь 2023'!$G$4:$G$1127,'ноябрь 2023'!$D$4:$D$1127,$B72,'ноябрь 2023'!$J$4:$J$1127,AF$1)</f>
        <v>0</v>
      </c>
      <c r="AG72" s="207">
        <f>SUMIFS('ноябрь 2023'!$G$4:$G$1127,'ноябрь 2023'!$D$4:$D$1127,$B72,'ноябрь 2023'!$J$4:$J$1127,AG$1)</f>
        <v>0</v>
      </c>
      <c r="AH72" s="207">
        <f>SUMIFS('ноябрь 2023'!$G$4:$G$1127,'ноябрь 2023'!$D$4:$D$1127,$B72,'ноябрь 2023'!$J$4:$J$1127,AH$1)</f>
        <v>0</v>
      </c>
      <c r="AI72" s="170">
        <f t="shared" si="2"/>
        <v>52</v>
      </c>
    </row>
    <row r="73" spans="2:35" ht="15" customHeight="1" x14ac:dyDescent="0.25">
      <c r="B73" s="216" t="s">
        <v>588</v>
      </c>
      <c r="C73" s="213">
        <v>200</v>
      </c>
      <c r="D73" s="207">
        <f>SUMIFS('ноябрь 2023'!$G$4:$G$1127,'ноябрь 2023'!$D$4:$D$1127,$B73,'ноябрь 2023'!$J$4:$J$1127,D$1)</f>
        <v>0</v>
      </c>
      <c r="E73" s="207">
        <f>SUMIFS('ноябрь 2023'!$G$4:$G$1127,'ноябрь 2023'!$D$4:$D$1127,$B73,'ноябрь 2023'!$J$4:$J$1127,E$1)</f>
        <v>0</v>
      </c>
      <c r="F73" s="207">
        <f>SUMIFS('ноябрь 2023'!$G$4:$G$1127,'ноябрь 2023'!$D$4:$D$1127,$B73,'ноябрь 2023'!$J$4:$J$1127,F$1)</f>
        <v>0</v>
      </c>
      <c r="G73" s="207">
        <f>SUMIFS('ноябрь 2023'!$G$4:$G$1127,'ноябрь 2023'!$D$4:$D$1127,$B73,'ноябрь 2023'!$J$4:$J$1127,G$1)</f>
        <v>0</v>
      </c>
      <c r="H73" s="207">
        <f>SUMIFS('ноябрь 2023'!$G$4:$G$1127,'ноябрь 2023'!$D$4:$D$1127,$B73,'ноябрь 2023'!$J$4:$J$1127,H$1)</f>
        <v>0</v>
      </c>
      <c r="I73" s="207">
        <f>SUMIFS('ноябрь 2023'!$G$4:$G$1127,'ноябрь 2023'!$D$4:$D$1127,$B73,'ноябрь 2023'!$J$4:$J$1127,I$1)</f>
        <v>0</v>
      </c>
      <c r="J73" s="207">
        <f>SUMIFS('ноябрь 2023'!$G$4:$G$1127,'ноябрь 2023'!$D$4:$D$1127,$B73,'ноябрь 2023'!$J$4:$J$1127,J$1)</f>
        <v>0</v>
      </c>
      <c r="K73" s="207">
        <f>SUMIFS('ноябрь 2023'!$G$4:$G$1127,'ноябрь 2023'!$D$4:$D$1127,$B73,'ноябрь 2023'!$J$4:$J$1127,K$1)</f>
        <v>0</v>
      </c>
      <c r="L73" s="207">
        <f>SUMIFS('ноябрь 2023'!$G$4:$G$1127,'ноябрь 2023'!$D$4:$D$1127,$B73,'ноябрь 2023'!$J$4:$J$1127,L$1)</f>
        <v>0</v>
      </c>
      <c r="M73" s="207">
        <f>SUMIFS('ноябрь 2023'!$G$4:$G$1127,'ноябрь 2023'!$D$4:$D$1127,$B73,'ноябрь 2023'!$J$4:$J$1127,M$1)</f>
        <v>0</v>
      </c>
      <c r="N73" s="207">
        <f>SUMIFS('ноябрь 2023'!$G$4:$G$1127,'ноябрь 2023'!$D$4:$D$1127,$B73,'ноябрь 2023'!$J$4:$J$1127,N$1)</f>
        <v>0</v>
      </c>
      <c r="O73" s="207">
        <f>SUMIFS('ноябрь 2023'!$G$4:$G$1127,'ноябрь 2023'!$D$4:$D$1127,$B73,'ноябрь 2023'!$J$4:$J$1127,O$1)</f>
        <v>0</v>
      </c>
      <c r="P73" s="207">
        <f>SUMIFS('ноябрь 2023'!$G$4:$G$1127,'ноябрь 2023'!$D$4:$D$1127,$B73,'ноябрь 2023'!$J$4:$J$1127,P$1)</f>
        <v>0</v>
      </c>
      <c r="Q73" s="207">
        <f>SUMIFS('ноябрь 2023'!$G$4:$G$1127,'ноябрь 2023'!$D$4:$D$1127,$B73,'ноябрь 2023'!$J$4:$J$1127,Q$1)</f>
        <v>0</v>
      </c>
      <c r="R73" s="207">
        <f>SUMIFS('ноябрь 2023'!$G$4:$G$1127,'ноябрь 2023'!$D$4:$D$1127,$B73,'ноябрь 2023'!$J$4:$J$1127,R$1)</f>
        <v>0</v>
      </c>
      <c r="S73" s="207">
        <f>SUMIFS('ноябрь 2023'!$G$4:$G$1127,'ноябрь 2023'!$D$4:$D$1127,$B73,'ноябрь 2023'!$J$4:$J$1127,S$1)</f>
        <v>0</v>
      </c>
      <c r="T73" s="207">
        <f>SUMIFS('ноябрь 2023'!$G$4:$G$1127,'ноябрь 2023'!$D$4:$D$1127,$B73,'ноябрь 2023'!$J$4:$J$1127,T$1)</f>
        <v>0</v>
      </c>
      <c r="U73" s="207">
        <f>SUMIFS('ноябрь 2023'!$G$4:$G$1127,'ноябрь 2023'!$D$4:$D$1127,$B73,'ноябрь 2023'!$J$4:$J$1127,U$1)</f>
        <v>0</v>
      </c>
      <c r="V73" s="207">
        <f>SUMIFS('ноябрь 2023'!$G$4:$G$1127,'ноябрь 2023'!$D$4:$D$1127,$B73,'ноябрь 2023'!$J$4:$J$1127,V$1)</f>
        <v>0</v>
      </c>
      <c r="W73" s="207">
        <f>SUMIFS('ноябрь 2023'!$G$4:$G$1127,'ноябрь 2023'!$D$4:$D$1127,$B73,'ноябрь 2023'!$J$4:$J$1127,W$1)</f>
        <v>0</v>
      </c>
      <c r="X73" s="207">
        <f>SUMIFS('ноябрь 2023'!$G$4:$G$1127,'ноябрь 2023'!$D$4:$D$1127,$B73,'ноябрь 2023'!$J$4:$J$1127,X$1)</f>
        <v>0</v>
      </c>
      <c r="Y73" s="207">
        <f>SUMIFS('ноябрь 2023'!$G$4:$G$1127,'ноябрь 2023'!$D$4:$D$1127,$B73,'ноябрь 2023'!$J$4:$J$1127,Y$1)</f>
        <v>0</v>
      </c>
      <c r="Z73" s="207">
        <f>SUMIFS('ноябрь 2023'!$G$4:$G$1127,'ноябрь 2023'!$D$4:$D$1127,$B73,'ноябрь 2023'!$J$4:$J$1127,Z$1)</f>
        <v>0</v>
      </c>
      <c r="AA73" s="207">
        <f>SUMIFS('ноябрь 2023'!$G$4:$G$1127,'ноябрь 2023'!$D$4:$D$1127,$B73,'ноябрь 2023'!$J$4:$J$1127,AA$1)</f>
        <v>0</v>
      </c>
      <c r="AB73" s="207">
        <f>SUMIFS('ноябрь 2023'!$G$4:$G$1127,'ноябрь 2023'!$D$4:$D$1127,$B73,'ноябрь 2023'!$J$4:$J$1127,AB$1)</f>
        <v>0</v>
      </c>
      <c r="AC73" s="207">
        <f>SUMIFS('ноябрь 2023'!$G$4:$G$1127,'ноябрь 2023'!$D$4:$D$1127,$B73,'ноябрь 2023'!$J$4:$J$1127,AC$1)</f>
        <v>0</v>
      </c>
      <c r="AD73" s="207">
        <f>SUMIFS('ноябрь 2023'!$G$4:$G$1127,'ноябрь 2023'!$D$4:$D$1127,$B73,'ноябрь 2023'!$J$4:$J$1127,AD$1)</f>
        <v>0</v>
      </c>
      <c r="AE73" s="207">
        <f>SUMIFS('ноябрь 2023'!$G$4:$G$1127,'ноябрь 2023'!$D$4:$D$1127,$B73,'ноябрь 2023'!$J$4:$J$1127,AE$1)</f>
        <v>0</v>
      </c>
      <c r="AF73" s="207">
        <f>SUMIFS('ноябрь 2023'!$G$4:$G$1127,'ноябрь 2023'!$D$4:$D$1127,$B73,'ноябрь 2023'!$J$4:$J$1127,AF$1)</f>
        <v>0</v>
      </c>
      <c r="AG73" s="207">
        <f>SUMIFS('ноябрь 2023'!$G$4:$G$1127,'ноябрь 2023'!$D$4:$D$1127,$B73,'ноябрь 2023'!$J$4:$J$1127,AG$1)</f>
        <v>0</v>
      </c>
      <c r="AH73" s="207">
        <f>SUMIFS('ноябрь 2023'!$G$4:$G$1127,'ноябрь 2023'!$D$4:$D$1127,$B73,'ноябрь 2023'!$J$4:$J$1127,AH$1)</f>
        <v>0</v>
      </c>
      <c r="AI73" s="170">
        <f t="shared" si="2"/>
        <v>0</v>
      </c>
    </row>
    <row r="74" spans="2:35" ht="15" customHeight="1" x14ac:dyDescent="0.25">
      <c r="B74" s="216" t="s">
        <v>1779</v>
      </c>
      <c r="C74" s="213">
        <v>180</v>
      </c>
      <c r="D74" s="207">
        <f>SUMIFS('ноябрь 2023'!$G$4:$G$1127,'ноябрь 2023'!$D$4:$D$1127,$B74,'ноябрь 2023'!$J$4:$J$1127,D$1)</f>
        <v>0</v>
      </c>
      <c r="E74" s="207">
        <f>SUMIFS('ноябрь 2023'!$G$4:$G$1127,'ноябрь 2023'!$D$4:$D$1127,$B74,'ноябрь 2023'!$J$4:$J$1127,E$1)</f>
        <v>0</v>
      </c>
      <c r="F74" s="207">
        <f>SUMIFS('ноябрь 2023'!$G$4:$G$1127,'ноябрь 2023'!$D$4:$D$1127,$B74,'ноябрь 2023'!$J$4:$J$1127,F$1)</f>
        <v>0</v>
      </c>
      <c r="G74" s="207">
        <f>SUMIFS('ноябрь 2023'!$G$4:$G$1127,'ноябрь 2023'!$D$4:$D$1127,$B74,'ноябрь 2023'!$J$4:$J$1127,G$1)</f>
        <v>0</v>
      </c>
      <c r="H74" s="207">
        <f>SUMIFS('ноябрь 2023'!$G$4:$G$1127,'ноябрь 2023'!$D$4:$D$1127,$B74,'ноябрь 2023'!$J$4:$J$1127,H$1)</f>
        <v>0</v>
      </c>
      <c r="I74" s="207">
        <f>SUMIFS('ноябрь 2023'!$G$4:$G$1127,'ноябрь 2023'!$D$4:$D$1127,$B74,'ноябрь 2023'!$J$4:$J$1127,I$1)</f>
        <v>0</v>
      </c>
      <c r="J74" s="207">
        <f>SUMIFS('ноябрь 2023'!$G$4:$G$1127,'ноябрь 2023'!$D$4:$D$1127,$B74,'ноябрь 2023'!$J$4:$J$1127,J$1)</f>
        <v>0</v>
      </c>
      <c r="K74" s="207">
        <f>SUMIFS('ноябрь 2023'!$G$4:$G$1127,'ноябрь 2023'!$D$4:$D$1127,$B74,'ноябрь 2023'!$J$4:$J$1127,K$1)</f>
        <v>0</v>
      </c>
      <c r="L74" s="207">
        <f>SUMIFS('ноябрь 2023'!$G$4:$G$1127,'ноябрь 2023'!$D$4:$D$1127,$B74,'ноябрь 2023'!$J$4:$J$1127,L$1)</f>
        <v>0</v>
      </c>
      <c r="M74" s="207">
        <f>SUMIFS('ноябрь 2023'!$G$4:$G$1127,'ноябрь 2023'!$D$4:$D$1127,$B74,'ноябрь 2023'!$J$4:$J$1127,M$1)</f>
        <v>0</v>
      </c>
      <c r="N74" s="207">
        <f>SUMIFS('ноябрь 2023'!$G$4:$G$1127,'ноябрь 2023'!$D$4:$D$1127,$B74,'ноябрь 2023'!$J$4:$J$1127,N$1)</f>
        <v>0</v>
      </c>
      <c r="O74" s="207">
        <f>SUMIFS('ноябрь 2023'!$G$4:$G$1127,'ноябрь 2023'!$D$4:$D$1127,$B74,'ноябрь 2023'!$J$4:$J$1127,O$1)</f>
        <v>0</v>
      </c>
      <c r="P74" s="207">
        <f>SUMIFS('ноябрь 2023'!$G$4:$G$1127,'ноябрь 2023'!$D$4:$D$1127,$B74,'ноябрь 2023'!$J$4:$J$1127,P$1)</f>
        <v>0</v>
      </c>
      <c r="Q74" s="207">
        <f>SUMIFS('ноябрь 2023'!$G$4:$G$1127,'ноябрь 2023'!$D$4:$D$1127,$B74,'ноябрь 2023'!$J$4:$J$1127,Q$1)</f>
        <v>0</v>
      </c>
      <c r="R74" s="207">
        <f>SUMIFS('ноябрь 2023'!$G$4:$G$1127,'ноябрь 2023'!$D$4:$D$1127,$B74,'ноябрь 2023'!$J$4:$J$1127,R$1)</f>
        <v>0</v>
      </c>
      <c r="S74" s="207">
        <f>SUMIFS('ноябрь 2023'!$G$4:$G$1127,'ноябрь 2023'!$D$4:$D$1127,$B74,'ноябрь 2023'!$J$4:$J$1127,S$1)</f>
        <v>0</v>
      </c>
      <c r="T74" s="207">
        <f>SUMIFS('ноябрь 2023'!$G$4:$G$1127,'ноябрь 2023'!$D$4:$D$1127,$B74,'ноябрь 2023'!$J$4:$J$1127,T$1)</f>
        <v>0</v>
      </c>
      <c r="U74" s="207">
        <f>SUMIFS('ноябрь 2023'!$G$4:$G$1127,'ноябрь 2023'!$D$4:$D$1127,$B74,'ноябрь 2023'!$J$4:$J$1127,U$1)</f>
        <v>0</v>
      </c>
      <c r="V74" s="207">
        <f>SUMIFS('ноябрь 2023'!$G$4:$G$1127,'ноябрь 2023'!$D$4:$D$1127,$B74,'ноябрь 2023'!$J$4:$J$1127,V$1)</f>
        <v>0</v>
      </c>
      <c r="W74" s="207">
        <f>SUMIFS('ноябрь 2023'!$G$4:$G$1127,'ноябрь 2023'!$D$4:$D$1127,$B74,'ноябрь 2023'!$J$4:$J$1127,W$1)</f>
        <v>0</v>
      </c>
      <c r="X74" s="207">
        <f>SUMIFS('ноябрь 2023'!$G$4:$G$1127,'ноябрь 2023'!$D$4:$D$1127,$B74,'ноябрь 2023'!$J$4:$J$1127,X$1)</f>
        <v>0</v>
      </c>
      <c r="Y74" s="207">
        <f>SUMIFS('ноябрь 2023'!$G$4:$G$1127,'ноябрь 2023'!$D$4:$D$1127,$B74,'ноябрь 2023'!$J$4:$J$1127,Y$1)</f>
        <v>0</v>
      </c>
      <c r="Z74" s="207">
        <f>SUMIFS('ноябрь 2023'!$G$4:$G$1127,'ноябрь 2023'!$D$4:$D$1127,$B74,'ноябрь 2023'!$J$4:$J$1127,Z$1)</f>
        <v>0</v>
      </c>
      <c r="AA74" s="207">
        <f>SUMIFS('ноябрь 2023'!$G$4:$G$1127,'ноябрь 2023'!$D$4:$D$1127,$B74,'ноябрь 2023'!$J$4:$J$1127,AA$1)</f>
        <v>0</v>
      </c>
      <c r="AB74" s="207">
        <f>SUMIFS('ноябрь 2023'!$G$4:$G$1127,'ноябрь 2023'!$D$4:$D$1127,$B74,'ноябрь 2023'!$J$4:$J$1127,AB$1)</f>
        <v>0</v>
      </c>
      <c r="AC74" s="207">
        <f>SUMIFS('ноябрь 2023'!$G$4:$G$1127,'ноябрь 2023'!$D$4:$D$1127,$B74,'ноябрь 2023'!$J$4:$J$1127,AC$1)</f>
        <v>0</v>
      </c>
      <c r="AD74" s="207">
        <f>SUMIFS('ноябрь 2023'!$G$4:$G$1127,'ноябрь 2023'!$D$4:$D$1127,$B74,'ноябрь 2023'!$J$4:$J$1127,AD$1)</f>
        <v>0</v>
      </c>
      <c r="AE74" s="207">
        <f>SUMIFS('ноябрь 2023'!$G$4:$G$1127,'ноябрь 2023'!$D$4:$D$1127,$B74,'ноябрь 2023'!$J$4:$J$1127,AE$1)</f>
        <v>0</v>
      </c>
      <c r="AF74" s="207">
        <f>SUMIFS('ноябрь 2023'!$G$4:$G$1127,'ноябрь 2023'!$D$4:$D$1127,$B74,'ноябрь 2023'!$J$4:$J$1127,AF$1)</f>
        <v>0</v>
      </c>
      <c r="AG74" s="207">
        <f>SUMIFS('ноябрь 2023'!$G$4:$G$1127,'ноябрь 2023'!$D$4:$D$1127,$B74,'ноябрь 2023'!$J$4:$J$1127,AG$1)</f>
        <v>0</v>
      </c>
      <c r="AH74" s="207">
        <f>SUMIFS('ноябрь 2023'!$G$4:$G$1127,'ноябрь 2023'!$D$4:$D$1127,$B74,'ноябрь 2023'!$J$4:$J$1127,AH$1)</f>
        <v>0</v>
      </c>
      <c r="AI74" s="170">
        <f t="shared" si="2"/>
        <v>0</v>
      </c>
    </row>
    <row r="75" spans="2:35" ht="15" customHeight="1" x14ac:dyDescent="0.25">
      <c r="B75" s="212" t="s">
        <v>634</v>
      </c>
      <c r="C75" s="211">
        <v>200</v>
      </c>
      <c r="D75" s="207">
        <f>SUMIFS('ноябрь 2023'!$G$4:$G$1127,'ноябрь 2023'!$D$4:$D$1127,$B75,'ноябрь 2023'!$J$4:$J$1127,D$1)</f>
        <v>0</v>
      </c>
      <c r="E75" s="207">
        <f>SUMIFS('ноябрь 2023'!$G$4:$G$1127,'ноябрь 2023'!$D$4:$D$1127,$B75,'ноябрь 2023'!$J$4:$J$1127,E$1)</f>
        <v>0</v>
      </c>
      <c r="F75" s="207">
        <f>SUMIFS('ноябрь 2023'!$G$4:$G$1127,'ноябрь 2023'!$D$4:$D$1127,$B75,'ноябрь 2023'!$J$4:$J$1127,F$1)</f>
        <v>0</v>
      </c>
      <c r="G75" s="207">
        <f>SUMIFS('ноябрь 2023'!$G$4:$G$1127,'ноябрь 2023'!$D$4:$D$1127,$B75,'ноябрь 2023'!$J$4:$J$1127,G$1)</f>
        <v>0</v>
      </c>
      <c r="H75" s="207">
        <f>SUMIFS('ноябрь 2023'!$G$4:$G$1127,'ноябрь 2023'!$D$4:$D$1127,$B75,'ноябрь 2023'!$J$4:$J$1127,H$1)</f>
        <v>0</v>
      </c>
      <c r="I75" s="207">
        <f>SUMIFS('ноябрь 2023'!$G$4:$G$1127,'ноябрь 2023'!$D$4:$D$1127,$B75,'ноябрь 2023'!$J$4:$J$1127,I$1)</f>
        <v>0</v>
      </c>
      <c r="J75" s="207">
        <f>SUMIFS('ноябрь 2023'!$G$4:$G$1127,'ноябрь 2023'!$D$4:$D$1127,$B75,'ноябрь 2023'!$J$4:$J$1127,J$1)</f>
        <v>0</v>
      </c>
      <c r="K75" s="207">
        <f>SUMIFS('ноябрь 2023'!$G$4:$G$1127,'ноябрь 2023'!$D$4:$D$1127,$B75,'ноябрь 2023'!$J$4:$J$1127,K$1)</f>
        <v>0</v>
      </c>
      <c r="L75" s="207">
        <f>SUMIFS('ноябрь 2023'!$G$4:$G$1127,'ноябрь 2023'!$D$4:$D$1127,$B75,'ноябрь 2023'!$J$4:$J$1127,L$1)</f>
        <v>0</v>
      </c>
      <c r="M75" s="207">
        <f>SUMIFS('ноябрь 2023'!$G$4:$G$1127,'ноябрь 2023'!$D$4:$D$1127,$B75,'ноябрь 2023'!$J$4:$J$1127,M$1)</f>
        <v>0</v>
      </c>
      <c r="N75" s="207">
        <f>SUMIFS('ноябрь 2023'!$G$4:$G$1127,'ноябрь 2023'!$D$4:$D$1127,$B75,'ноябрь 2023'!$J$4:$J$1127,N$1)</f>
        <v>0</v>
      </c>
      <c r="O75" s="207">
        <f>SUMIFS('ноябрь 2023'!$G$4:$G$1127,'ноябрь 2023'!$D$4:$D$1127,$B75,'ноябрь 2023'!$J$4:$J$1127,O$1)</f>
        <v>0</v>
      </c>
      <c r="P75" s="207">
        <f>SUMIFS('ноябрь 2023'!$G$4:$G$1127,'ноябрь 2023'!$D$4:$D$1127,$B75,'ноябрь 2023'!$J$4:$J$1127,P$1)</f>
        <v>0</v>
      </c>
      <c r="Q75" s="207">
        <f>SUMIFS('ноябрь 2023'!$G$4:$G$1127,'ноябрь 2023'!$D$4:$D$1127,$B75,'ноябрь 2023'!$J$4:$J$1127,Q$1)</f>
        <v>0</v>
      </c>
      <c r="R75" s="207">
        <f>SUMIFS('ноябрь 2023'!$G$4:$G$1127,'ноябрь 2023'!$D$4:$D$1127,$B75,'ноябрь 2023'!$J$4:$J$1127,R$1)</f>
        <v>0</v>
      </c>
      <c r="S75" s="207">
        <f>SUMIFS('ноябрь 2023'!$G$4:$G$1127,'ноябрь 2023'!$D$4:$D$1127,$B75,'ноябрь 2023'!$J$4:$J$1127,S$1)</f>
        <v>0</v>
      </c>
      <c r="T75" s="207">
        <f>SUMIFS('ноябрь 2023'!$G$4:$G$1127,'ноябрь 2023'!$D$4:$D$1127,$B75,'ноябрь 2023'!$J$4:$J$1127,T$1)</f>
        <v>0</v>
      </c>
      <c r="U75" s="207">
        <f>SUMIFS('ноябрь 2023'!$G$4:$G$1127,'ноябрь 2023'!$D$4:$D$1127,$B75,'ноябрь 2023'!$J$4:$J$1127,U$1)</f>
        <v>0</v>
      </c>
      <c r="V75" s="207">
        <f>SUMIFS('ноябрь 2023'!$G$4:$G$1127,'ноябрь 2023'!$D$4:$D$1127,$B75,'ноябрь 2023'!$J$4:$J$1127,V$1)</f>
        <v>0</v>
      </c>
      <c r="W75" s="207">
        <f>SUMIFS('ноябрь 2023'!$G$4:$G$1127,'ноябрь 2023'!$D$4:$D$1127,$B75,'ноябрь 2023'!$J$4:$J$1127,W$1)</f>
        <v>0</v>
      </c>
      <c r="X75" s="207">
        <f>SUMIFS('ноябрь 2023'!$G$4:$G$1127,'ноябрь 2023'!$D$4:$D$1127,$B75,'ноябрь 2023'!$J$4:$J$1127,X$1)</f>
        <v>0</v>
      </c>
      <c r="Y75" s="207">
        <f>SUMIFS('ноябрь 2023'!$G$4:$G$1127,'ноябрь 2023'!$D$4:$D$1127,$B75,'ноябрь 2023'!$J$4:$J$1127,Y$1)</f>
        <v>0</v>
      </c>
      <c r="Z75" s="207">
        <f>SUMIFS('ноябрь 2023'!$G$4:$G$1127,'ноябрь 2023'!$D$4:$D$1127,$B75,'ноябрь 2023'!$J$4:$J$1127,Z$1)</f>
        <v>0</v>
      </c>
      <c r="AA75" s="207">
        <f>SUMIFS('ноябрь 2023'!$G$4:$G$1127,'ноябрь 2023'!$D$4:$D$1127,$B75,'ноябрь 2023'!$J$4:$J$1127,AA$1)</f>
        <v>0</v>
      </c>
      <c r="AB75" s="207">
        <f>SUMIFS('ноябрь 2023'!$G$4:$G$1127,'ноябрь 2023'!$D$4:$D$1127,$B75,'ноябрь 2023'!$J$4:$J$1127,AB$1)</f>
        <v>0</v>
      </c>
      <c r="AC75" s="207">
        <f>SUMIFS('ноябрь 2023'!$G$4:$G$1127,'ноябрь 2023'!$D$4:$D$1127,$B75,'ноябрь 2023'!$J$4:$J$1127,AC$1)</f>
        <v>0</v>
      </c>
      <c r="AD75" s="207">
        <f>SUMIFS('ноябрь 2023'!$G$4:$G$1127,'ноябрь 2023'!$D$4:$D$1127,$B75,'ноябрь 2023'!$J$4:$J$1127,AD$1)</f>
        <v>0</v>
      </c>
      <c r="AE75" s="207">
        <f>SUMIFS('ноябрь 2023'!$G$4:$G$1127,'ноябрь 2023'!$D$4:$D$1127,$B75,'ноябрь 2023'!$J$4:$J$1127,AE$1)</f>
        <v>0</v>
      </c>
      <c r="AF75" s="207">
        <f>SUMIFS('ноябрь 2023'!$G$4:$G$1127,'ноябрь 2023'!$D$4:$D$1127,$B75,'ноябрь 2023'!$J$4:$J$1127,AF$1)</f>
        <v>0</v>
      </c>
      <c r="AG75" s="207">
        <f>SUMIFS('ноябрь 2023'!$G$4:$G$1127,'ноябрь 2023'!$D$4:$D$1127,$B75,'ноябрь 2023'!$J$4:$J$1127,AG$1)</f>
        <v>0</v>
      </c>
      <c r="AH75" s="207">
        <f>SUMIFS('ноябрь 2023'!$G$4:$G$1127,'ноябрь 2023'!$D$4:$D$1127,$B75,'ноябрь 2023'!$J$4:$J$1127,AH$1)</f>
        <v>0</v>
      </c>
      <c r="AI75" s="170">
        <f t="shared" si="2"/>
        <v>0</v>
      </c>
    </row>
    <row r="76" spans="2:35" ht="15" customHeight="1" x14ac:dyDescent="0.25">
      <c r="B76" s="216" t="s">
        <v>498</v>
      </c>
      <c r="C76" s="213">
        <v>185</v>
      </c>
      <c r="D76" s="207">
        <f>SUMIFS('ноябрь 2023'!$G$4:$G$1127,'ноябрь 2023'!$D$4:$D$1127,$B76,'ноябрь 2023'!$J$4:$J$1127,D$1)</f>
        <v>0</v>
      </c>
      <c r="E76" s="207">
        <f>SUMIFS('ноябрь 2023'!$G$4:$G$1127,'ноябрь 2023'!$D$4:$D$1127,$B76,'ноябрь 2023'!$J$4:$J$1127,E$1)</f>
        <v>0</v>
      </c>
      <c r="F76" s="207">
        <f>SUMIFS('ноябрь 2023'!$G$4:$G$1127,'ноябрь 2023'!$D$4:$D$1127,$B76,'ноябрь 2023'!$J$4:$J$1127,F$1)</f>
        <v>0</v>
      </c>
      <c r="G76" s="207">
        <f>SUMIFS('ноябрь 2023'!$G$4:$G$1127,'ноябрь 2023'!$D$4:$D$1127,$B76,'ноябрь 2023'!$J$4:$J$1127,G$1)</f>
        <v>0</v>
      </c>
      <c r="H76" s="207">
        <f>SUMIFS('ноябрь 2023'!$G$4:$G$1127,'ноябрь 2023'!$D$4:$D$1127,$B76,'ноябрь 2023'!$J$4:$J$1127,H$1)</f>
        <v>0</v>
      </c>
      <c r="I76" s="207">
        <f>SUMIFS('ноябрь 2023'!$G$4:$G$1127,'ноябрь 2023'!$D$4:$D$1127,$B76,'ноябрь 2023'!$J$4:$J$1127,I$1)</f>
        <v>0</v>
      </c>
      <c r="J76" s="207">
        <f>SUMIFS('ноябрь 2023'!$G$4:$G$1127,'ноябрь 2023'!$D$4:$D$1127,$B76,'ноябрь 2023'!$J$4:$J$1127,J$1)</f>
        <v>0</v>
      </c>
      <c r="K76" s="207">
        <f>SUMIFS('ноябрь 2023'!$G$4:$G$1127,'ноябрь 2023'!$D$4:$D$1127,$B76,'ноябрь 2023'!$J$4:$J$1127,K$1)</f>
        <v>0</v>
      </c>
      <c r="L76" s="207">
        <f>SUMIFS('ноябрь 2023'!$G$4:$G$1127,'ноябрь 2023'!$D$4:$D$1127,$B76,'ноябрь 2023'!$J$4:$J$1127,L$1)</f>
        <v>0</v>
      </c>
      <c r="M76" s="207">
        <f>SUMIFS('ноябрь 2023'!$G$4:$G$1127,'ноябрь 2023'!$D$4:$D$1127,$B76,'ноябрь 2023'!$J$4:$J$1127,M$1)</f>
        <v>0</v>
      </c>
      <c r="N76" s="207">
        <f>SUMIFS('ноябрь 2023'!$G$4:$G$1127,'ноябрь 2023'!$D$4:$D$1127,$B76,'ноябрь 2023'!$J$4:$J$1127,N$1)</f>
        <v>0</v>
      </c>
      <c r="O76" s="207">
        <f>SUMIFS('ноябрь 2023'!$G$4:$G$1127,'ноябрь 2023'!$D$4:$D$1127,$B76,'ноябрь 2023'!$J$4:$J$1127,O$1)</f>
        <v>0</v>
      </c>
      <c r="P76" s="207">
        <f>SUMIFS('ноябрь 2023'!$G$4:$G$1127,'ноябрь 2023'!$D$4:$D$1127,$B76,'ноябрь 2023'!$J$4:$J$1127,P$1)</f>
        <v>0</v>
      </c>
      <c r="Q76" s="207">
        <f>SUMIFS('ноябрь 2023'!$G$4:$G$1127,'ноябрь 2023'!$D$4:$D$1127,$B76,'ноябрь 2023'!$J$4:$J$1127,Q$1)</f>
        <v>0</v>
      </c>
      <c r="R76" s="207">
        <f>SUMIFS('ноябрь 2023'!$G$4:$G$1127,'ноябрь 2023'!$D$4:$D$1127,$B76,'ноябрь 2023'!$J$4:$J$1127,R$1)</f>
        <v>0</v>
      </c>
      <c r="S76" s="207">
        <f>SUMIFS('ноябрь 2023'!$G$4:$G$1127,'ноябрь 2023'!$D$4:$D$1127,$B76,'ноябрь 2023'!$J$4:$J$1127,S$1)</f>
        <v>0</v>
      </c>
      <c r="T76" s="207">
        <f>SUMIFS('ноябрь 2023'!$G$4:$G$1127,'ноябрь 2023'!$D$4:$D$1127,$B76,'ноябрь 2023'!$J$4:$J$1127,T$1)</f>
        <v>0</v>
      </c>
      <c r="U76" s="207">
        <f>SUMIFS('ноябрь 2023'!$G$4:$G$1127,'ноябрь 2023'!$D$4:$D$1127,$B76,'ноябрь 2023'!$J$4:$J$1127,U$1)</f>
        <v>0</v>
      </c>
      <c r="V76" s="207">
        <f>SUMIFS('ноябрь 2023'!$G$4:$G$1127,'ноябрь 2023'!$D$4:$D$1127,$B76,'ноябрь 2023'!$J$4:$J$1127,V$1)</f>
        <v>0</v>
      </c>
      <c r="W76" s="207">
        <f>SUMIFS('ноябрь 2023'!$G$4:$G$1127,'ноябрь 2023'!$D$4:$D$1127,$B76,'ноябрь 2023'!$J$4:$J$1127,W$1)</f>
        <v>0</v>
      </c>
      <c r="X76" s="207">
        <f>SUMIFS('ноябрь 2023'!$G$4:$G$1127,'ноябрь 2023'!$D$4:$D$1127,$B76,'ноябрь 2023'!$J$4:$J$1127,X$1)</f>
        <v>0</v>
      </c>
      <c r="Y76" s="207">
        <f>SUMIFS('ноябрь 2023'!$G$4:$G$1127,'ноябрь 2023'!$D$4:$D$1127,$B76,'ноябрь 2023'!$J$4:$J$1127,Y$1)</f>
        <v>0</v>
      </c>
      <c r="Z76" s="207">
        <f>SUMIFS('ноябрь 2023'!$G$4:$G$1127,'ноябрь 2023'!$D$4:$D$1127,$B76,'ноябрь 2023'!$J$4:$J$1127,Z$1)</f>
        <v>0</v>
      </c>
      <c r="AA76" s="207">
        <f>SUMIFS('ноябрь 2023'!$G$4:$G$1127,'ноябрь 2023'!$D$4:$D$1127,$B76,'ноябрь 2023'!$J$4:$J$1127,AA$1)</f>
        <v>0</v>
      </c>
      <c r="AB76" s="207">
        <f>SUMIFS('ноябрь 2023'!$G$4:$G$1127,'ноябрь 2023'!$D$4:$D$1127,$B76,'ноябрь 2023'!$J$4:$J$1127,AB$1)</f>
        <v>0</v>
      </c>
      <c r="AC76" s="207">
        <f>SUMIFS('ноябрь 2023'!$G$4:$G$1127,'ноябрь 2023'!$D$4:$D$1127,$B76,'ноябрь 2023'!$J$4:$J$1127,AC$1)</f>
        <v>0</v>
      </c>
      <c r="AD76" s="207">
        <f>SUMIFS('ноябрь 2023'!$G$4:$G$1127,'ноябрь 2023'!$D$4:$D$1127,$B76,'ноябрь 2023'!$J$4:$J$1127,AD$1)</f>
        <v>0</v>
      </c>
      <c r="AE76" s="207">
        <f>SUMIFS('ноябрь 2023'!$G$4:$G$1127,'ноябрь 2023'!$D$4:$D$1127,$B76,'ноябрь 2023'!$J$4:$J$1127,AE$1)</f>
        <v>0</v>
      </c>
      <c r="AF76" s="207">
        <f>SUMIFS('ноябрь 2023'!$G$4:$G$1127,'ноябрь 2023'!$D$4:$D$1127,$B76,'ноябрь 2023'!$J$4:$J$1127,AF$1)</f>
        <v>0</v>
      </c>
      <c r="AG76" s="207">
        <f>SUMIFS('ноябрь 2023'!$G$4:$G$1127,'ноябрь 2023'!$D$4:$D$1127,$B76,'ноябрь 2023'!$J$4:$J$1127,AG$1)</f>
        <v>0</v>
      </c>
      <c r="AH76" s="207">
        <f>SUMIFS('ноябрь 2023'!$G$4:$G$1127,'ноябрь 2023'!$D$4:$D$1127,$B76,'ноябрь 2023'!$J$4:$J$1127,AH$1)</f>
        <v>0</v>
      </c>
      <c r="AI76" s="170">
        <f t="shared" si="2"/>
        <v>0</v>
      </c>
    </row>
    <row r="77" spans="2:35" ht="15" customHeight="1" x14ac:dyDescent="0.25">
      <c r="B77" s="216" t="s">
        <v>155</v>
      </c>
      <c r="C77" s="213">
        <v>185</v>
      </c>
      <c r="D77" s="207">
        <f>SUMIFS('ноябрь 2023'!$G$4:$G$1127,'ноябрь 2023'!$D$4:$D$1127,$B77,'ноябрь 2023'!$J$4:$J$1127,D$1)</f>
        <v>80</v>
      </c>
      <c r="E77" s="207">
        <f>SUMIFS('ноябрь 2023'!$G$4:$G$1127,'ноябрь 2023'!$D$4:$D$1127,$B77,'ноябрь 2023'!$J$4:$J$1127,E$1)</f>
        <v>0</v>
      </c>
      <c r="F77" s="207">
        <f>SUMIFS('ноябрь 2023'!$G$4:$G$1127,'ноябрь 2023'!$D$4:$D$1127,$B77,'ноябрь 2023'!$J$4:$J$1127,F$1)</f>
        <v>80</v>
      </c>
      <c r="G77" s="207">
        <f>SUMIFS('ноябрь 2023'!$G$4:$G$1127,'ноябрь 2023'!$D$4:$D$1127,$B77,'ноябрь 2023'!$J$4:$J$1127,G$1)</f>
        <v>0</v>
      </c>
      <c r="H77" s="207">
        <f>SUMIFS('ноябрь 2023'!$G$4:$G$1127,'ноябрь 2023'!$D$4:$D$1127,$B77,'ноябрь 2023'!$J$4:$J$1127,H$1)</f>
        <v>0</v>
      </c>
      <c r="I77" s="207">
        <f>SUMIFS('ноябрь 2023'!$G$4:$G$1127,'ноябрь 2023'!$D$4:$D$1127,$B77,'ноябрь 2023'!$J$4:$J$1127,I$1)</f>
        <v>0</v>
      </c>
      <c r="J77" s="207">
        <f>SUMIFS('ноябрь 2023'!$G$4:$G$1127,'ноябрь 2023'!$D$4:$D$1127,$B77,'ноябрь 2023'!$J$4:$J$1127,J$1)</f>
        <v>80</v>
      </c>
      <c r="K77" s="207">
        <f>SUMIFS('ноябрь 2023'!$G$4:$G$1127,'ноябрь 2023'!$D$4:$D$1127,$B77,'ноябрь 2023'!$J$4:$J$1127,K$1)</f>
        <v>0</v>
      </c>
      <c r="L77" s="207">
        <f>SUMIFS('ноябрь 2023'!$G$4:$G$1127,'ноябрь 2023'!$D$4:$D$1127,$B77,'ноябрь 2023'!$J$4:$J$1127,L$1)</f>
        <v>0</v>
      </c>
      <c r="M77" s="207">
        <f>SUMIFS('ноябрь 2023'!$G$4:$G$1127,'ноябрь 2023'!$D$4:$D$1127,$B77,'ноябрь 2023'!$J$4:$J$1127,M$1)</f>
        <v>0</v>
      </c>
      <c r="N77" s="207">
        <f>SUMIFS('ноябрь 2023'!$G$4:$G$1127,'ноябрь 2023'!$D$4:$D$1127,$B77,'ноябрь 2023'!$J$4:$J$1127,N$1)</f>
        <v>0</v>
      </c>
      <c r="O77" s="207">
        <f>SUMIFS('ноябрь 2023'!$G$4:$G$1127,'ноябрь 2023'!$D$4:$D$1127,$B77,'ноябрь 2023'!$J$4:$J$1127,O$1)</f>
        <v>0</v>
      </c>
      <c r="P77" s="207">
        <f>SUMIFS('ноябрь 2023'!$G$4:$G$1127,'ноябрь 2023'!$D$4:$D$1127,$B77,'ноябрь 2023'!$J$4:$J$1127,P$1)</f>
        <v>0</v>
      </c>
      <c r="Q77" s="207">
        <f>SUMIFS('ноябрь 2023'!$G$4:$G$1127,'ноябрь 2023'!$D$4:$D$1127,$B77,'ноябрь 2023'!$J$4:$J$1127,Q$1)</f>
        <v>0</v>
      </c>
      <c r="R77" s="207">
        <f>SUMIFS('ноябрь 2023'!$G$4:$G$1127,'ноябрь 2023'!$D$4:$D$1127,$B77,'ноябрь 2023'!$J$4:$J$1127,R$1)</f>
        <v>0</v>
      </c>
      <c r="S77" s="207">
        <f>SUMIFS('ноябрь 2023'!$G$4:$G$1127,'ноябрь 2023'!$D$4:$D$1127,$B77,'ноябрь 2023'!$J$4:$J$1127,S$1)</f>
        <v>0</v>
      </c>
      <c r="T77" s="207">
        <f>SUMIFS('ноябрь 2023'!$G$4:$G$1127,'ноябрь 2023'!$D$4:$D$1127,$B77,'ноябрь 2023'!$J$4:$J$1127,T$1)</f>
        <v>0</v>
      </c>
      <c r="U77" s="207">
        <f>SUMIFS('ноябрь 2023'!$G$4:$G$1127,'ноябрь 2023'!$D$4:$D$1127,$B77,'ноябрь 2023'!$J$4:$J$1127,U$1)</f>
        <v>0</v>
      </c>
      <c r="V77" s="207">
        <f>SUMIFS('ноябрь 2023'!$G$4:$G$1127,'ноябрь 2023'!$D$4:$D$1127,$B77,'ноябрь 2023'!$J$4:$J$1127,V$1)</f>
        <v>0</v>
      </c>
      <c r="W77" s="207">
        <f>SUMIFS('ноябрь 2023'!$G$4:$G$1127,'ноябрь 2023'!$D$4:$D$1127,$B77,'ноябрь 2023'!$J$4:$J$1127,W$1)</f>
        <v>0</v>
      </c>
      <c r="X77" s="207">
        <f>SUMIFS('ноябрь 2023'!$G$4:$G$1127,'ноябрь 2023'!$D$4:$D$1127,$B77,'ноябрь 2023'!$J$4:$J$1127,X$1)</f>
        <v>0</v>
      </c>
      <c r="Y77" s="207">
        <f>SUMIFS('ноябрь 2023'!$G$4:$G$1127,'ноябрь 2023'!$D$4:$D$1127,$B77,'ноябрь 2023'!$J$4:$J$1127,Y$1)</f>
        <v>0</v>
      </c>
      <c r="Z77" s="207">
        <f>SUMIFS('ноябрь 2023'!$G$4:$G$1127,'ноябрь 2023'!$D$4:$D$1127,$B77,'ноябрь 2023'!$J$4:$J$1127,Z$1)</f>
        <v>0</v>
      </c>
      <c r="AA77" s="207">
        <f>SUMIFS('ноябрь 2023'!$G$4:$G$1127,'ноябрь 2023'!$D$4:$D$1127,$B77,'ноябрь 2023'!$J$4:$J$1127,AA$1)</f>
        <v>160</v>
      </c>
      <c r="AB77" s="207">
        <f>SUMIFS('ноябрь 2023'!$G$4:$G$1127,'ноябрь 2023'!$D$4:$D$1127,$B77,'ноябрь 2023'!$J$4:$J$1127,AB$1)</f>
        <v>0</v>
      </c>
      <c r="AC77" s="207">
        <f>SUMIFS('ноябрь 2023'!$G$4:$G$1127,'ноябрь 2023'!$D$4:$D$1127,$B77,'ноябрь 2023'!$J$4:$J$1127,AC$1)</f>
        <v>0</v>
      </c>
      <c r="AD77" s="207">
        <f>SUMIFS('ноябрь 2023'!$G$4:$G$1127,'ноябрь 2023'!$D$4:$D$1127,$B77,'ноябрь 2023'!$J$4:$J$1127,AD$1)</f>
        <v>0</v>
      </c>
      <c r="AE77" s="207">
        <f>SUMIFS('ноябрь 2023'!$G$4:$G$1127,'ноябрь 2023'!$D$4:$D$1127,$B77,'ноябрь 2023'!$J$4:$J$1127,AE$1)</f>
        <v>0</v>
      </c>
      <c r="AF77" s="207">
        <f>SUMIFS('ноябрь 2023'!$G$4:$G$1127,'ноябрь 2023'!$D$4:$D$1127,$B77,'ноябрь 2023'!$J$4:$J$1127,AF$1)</f>
        <v>0</v>
      </c>
      <c r="AG77" s="207">
        <f>SUMIFS('ноябрь 2023'!$G$4:$G$1127,'ноябрь 2023'!$D$4:$D$1127,$B77,'ноябрь 2023'!$J$4:$J$1127,AG$1)</f>
        <v>0</v>
      </c>
      <c r="AH77" s="207">
        <f>SUMIFS('ноябрь 2023'!$G$4:$G$1127,'ноябрь 2023'!$D$4:$D$1127,$B77,'ноябрь 2023'!$J$4:$J$1127,AH$1)</f>
        <v>0</v>
      </c>
      <c r="AI77" s="170">
        <f t="shared" si="2"/>
        <v>400</v>
      </c>
    </row>
    <row r="78" spans="2:35" ht="15" customHeight="1" x14ac:dyDescent="0.25">
      <c r="B78" s="216" t="s">
        <v>2180</v>
      </c>
      <c r="C78" s="213">
        <v>180</v>
      </c>
      <c r="D78" s="207">
        <f>SUMIFS('ноябрь 2023'!$G$4:$G$1127,'ноябрь 2023'!$D$4:$D$1127,$B78,'ноябрь 2023'!$J$4:$J$1127,D$1)</f>
        <v>0</v>
      </c>
      <c r="E78" s="207">
        <f>SUMIFS('ноябрь 2023'!$G$4:$G$1127,'ноябрь 2023'!$D$4:$D$1127,$B78,'ноябрь 2023'!$J$4:$J$1127,E$1)</f>
        <v>0</v>
      </c>
      <c r="F78" s="207">
        <f>SUMIFS('ноябрь 2023'!$G$4:$G$1127,'ноябрь 2023'!$D$4:$D$1127,$B78,'ноябрь 2023'!$J$4:$J$1127,F$1)</f>
        <v>0</v>
      </c>
      <c r="G78" s="207">
        <f>SUMIFS('ноябрь 2023'!$G$4:$G$1127,'ноябрь 2023'!$D$4:$D$1127,$B78,'ноябрь 2023'!$J$4:$J$1127,G$1)</f>
        <v>0</v>
      </c>
      <c r="H78" s="207">
        <f>SUMIFS('ноябрь 2023'!$G$4:$G$1127,'ноябрь 2023'!$D$4:$D$1127,$B78,'ноябрь 2023'!$J$4:$J$1127,H$1)</f>
        <v>0</v>
      </c>
      <c r="I78" s="207">
        <f>SUMIFS('ноябрь 2023'!$G$4:$G$1127,'ноябрь 2023'!$D$4:$D$1127,$B78,'ноябрь 2023'!$J$4:$J$1127,I$1)</f>
        <v>0</v>
      </c>
      <c r="J78" s="207">
        <f>SUMIFS('ноябрь 2023'!$G$4:$G$1127,'ноябрь 2023'!$D$4:$D$1127,$B78,'ноябрь 2023'!$J$4:$J$1127,J$1)</f>
        <v>0</v>
      </c>
      <c r="K78" s="207">
        <f>SUMIFS('ноябрь 2023'!$G$4:$G$1127,'ноябрь 2023'!$D$4:$D$1127,$B78,'ноябрь 2023'!$J$4:$J$1127,K$1)</f>
        <v>0</v>
      </c>
      <c r="L78" s="207">
        <f>SUMIFS('ноябрь 2023'!$G$4:$G$1127,'ноябрь 2023'!$D$4:$D$1127,$B78,'ноябрь 2023'!$J$4:$J$1127,L$1)</f>
        <v>0</v>
      </c>
      <c r="M78" s="207">
        <f>SUMIFS('ноябрь 2023'!$G$4:$G$1127,'ноябрь 2023'!$D$4:$D$1127,$B78,'ноябрь 2023'!$J$4:$J$1127,M$1)</f>
        <v>0</v>
      </c>
      <c r="N78" s="207">
        <f>SUMIFS('ноябрь 2023'!$G$4:$G$1127,'ноябрь 2023'!$D$4:$D$1127,$B78,'ноябрь 2023'!$J$4:$J$1127,N$1)</f>
        <v>0</v>
      </c>
      <c r="O78" s="207">
        <f>SUMIFS('ноябрь 2023'!$G$4:$G$1127,'ноябрь 2023'!$D$4:$D$1127,$B78,'ноябрь 2023'!$J$4:$J$1127,O$1)</f>
        <v>0</v>
      </c>
      <c r="P78" s="207">
        <f>SUMIFS('ноябрь 2023'!$G$4:$G$1127,'ноябрь 2023'!$D$4:$D$1127,$B78,'ноябрь 2023'!$J$4:$J$1127,P$1)</f>
        <v>0</v>
      </c>
      <c r="Q78" s="207">
        <f>SUMIFS('ноябрь 2023'!$G$4:$G$1127,'ноябрь 2023'!$D$4:$D$1127,$B78,'ноябрь 2023'!$J$4:$J$1127,Q$1)</f>
        <v>0</v>
      </c>
      <c r="R78" s="207">
        <f>SUMIFS('ноябрь 2023'!$G$4:$G$1127,'ноябрь 2023'!$D$4:$D$1127,$B78,'ноябрь 2023'!$J$4:$J$1127,R$1)</f>
        <v>0</v>
      </c>
      <c r="S78" s="207">
        <f>SUMIFS('ноябрь 2023'!$G$4:$G$1127,'ноябрь 2023'!$D$4:$D$1127,$B78,'ноябрь 2023'!$J$4:$J$1127,S$1)</f>
        <v>0</v>
      </c>
      <c r="T78" s="207">
        <f>SUMIFS('ноябрь 2023'!$G$4:$G$1127,'ноябрь 2023'!$D$4:$D$1127,$B78,'ноябрь 2023'!$J$4:$J$1127,T$1)</f>
        <v>0</v>
      </c>
      <c r="U78" s="207">
        <f>SUMIFS('ноябрь 2023'!$G$4:$G$1127,'ноябрь 2023'!$D$4:$D$1127,$B78,'ноябрь 2023'!$J$4:$J$1127,U$1)</f>
        <v>0</v>
      </c>
      <c r="V78" s="207">
        <f>SUMIFS('ноябрь 2023'!$G$4:$G$1127,'ноябрь 2023'!$D$4:$D$1127,$B78,'ноябрь 2023'!$J$4:$J$1127,V$1)</f>
        <v>0</v>
      </c>
      <c r="W78" s="207">
        <f>SUMIFS('ноябрь 2023'!$G$4:$G$1127,'ноябрь 2023'!$D$4:$D$1127,$B78,'ноябрь 2023'!$J$4:$J$1127,W$1)</f>
        <v>0</v>
      </c>
      <c r="X78" s="207">
        <f>SUMIFS('ноябрь 2023'!$G$4:$G$1127,'ноябрь 2023'!$D$4:$D$1127,$B78,'ноябрь 2023'!$J$4:$J$1127,X$1)</f>
        <v>0</v>
      </c>
      <c r="Y78" s="207">
        <f>SUMIFS('ноябрь 2023'!$G$4:$G$1127,'ноябрь 2023'!$D$4:$D$1127,$B78,'ноябрь 2023'!$J$4:$J$1127,Y$1)</f>
        <v>0</v>
      </c>
      <c r="Z78" s="207">
        <f>SUMIFS('ноябрь 2023'!$G$4:$G$1127,'ноябрь 2023'!$D$4:$D$1127,$B78,'ноябрь 2023'!$J$4:$J$1127,Z$1)</f>
        <v>0</v>
      </c>
      <c r="AA78" s="207">
        <f>SUMIFS('ноябрь 2023'!$G$4:$G$1127,'ноябрь 2023'!$D$4:$D$1127,$B78,'ноябрь 2023'!$J$4:$J$1127,AA$1)</f>
        <v>0</v>
      </c>
      <c r="AB78" s="207">
        <f>SUMIFS('ноябрь 2023'!$G$4:$G$1127,'ноябрь 2023'!$D$4:$D$1127,$B78,'ноябрь 2023'!$J$4:$J$1127,AB$1)</f>
        <v>0</v>
      </c>
      <c r="AC78" s="207">
        <f>SUMIFS('ноябрь 2023'!$G$4:$G$1127,'ноябрь 2023'!$D$4:$D$1127,$B78,'ноябрь 2023'!$J$4:$J$1127,AC$1)</f>
        <v>0</v>
      </c>
      <c r="AD78" s="207">
        <f>SUMIFS('ноябрь 2023'!$G$4:$G$1127,'ноябрь 2023'!$D$4:$D$1127,$B78,'ноябрь 2023'!$J$4:$J$1127,AD$1)</f>
        <v>0</v>
      </c>
      <c r="AE78" s="207">
        <f>SUMIFS('ноябрь 2023'!$G$4:$G$1127,'ноябрь 2023'!$D$4:$D$1127,$B78,'ноябрь 2023'!$J$4:$J$1127,AE$1)</f>
        <v>0</v>
      </c>
      <c r="AF78" s="207">
        <f>SUMIFS('ноябрь 2023'!$G$4:$G$1127,'ноябрь 2023'!$D$4:$D$1127,$B78,'ноябрь 2023'!$J$4:$J$1127,AF$1)</f>
        <v>0</v>
      </c>
      <c r="AG78" s="207">
        <f>SUMIFS('ноябрь 2023'!$G$4:$G$1127,'ноябрь 2023'!$D$4:$D$1127,$B78,'ноябрь 2023'!$J$4:$J$1127,AG$1)</f>
        <v>0</v>
      </c>
      <c r="AH78" s="207">
        <f>SUMIFS('ноябрь 2023'!$G$4:$G$1127,'ноябрь 2023'!$D$4:$D$1127,$B78,'ноябрь 2023'!$J$4:$J$1127,AH$1)</f>
        <v>0</v>
      </c>
      <c r="AI78" s="170">
        <f t="shared" si="2"/>
        <v>0</v>
      </c>
    </row>
    <row r="79" spans="2:35" ht="15" customHeight="1" x14ac:dyDescent="0.25">
      <c r="B79" s="212" t="s">
        <v>2183</v>
      </c>
      <c r="C79" s="211">
        <v>180</v>
      </c>
      <c r="D79" s="207">
        <f>SUMIFS('ноябрь 2023'!$G$4:$G$1127,'ноябрь 2023'!$D$4:$D$1127,$B79,'ноябрь 2023'!$J$4:$J$1127,D$1)</f>
        <v>0</v>
      </c>
      <c r="E79" s="207">
        <f>SUMIFS('ноябрь 2023'!$G$4:$G$1127,'ноябрь 2023'!$D$4:$D$1127,$B79,'ноябрь 2023'!$J$4:$J$1127,E$1)</f>
        <v>0</v>
      </c>
      <c r="F79" s="207">
        <f>SUMIFS('ноябрь 2023'!$G$4:$G$1127,'ноябрь 2023'!$D$4:$D$1127,$B79,'ноябрь 2023'!$J$4:$J$1127,F$1)</f>
        <v>0</v>
      </c>
      <c r="G79" s="207">
        <f>SUMIFS('ноябрь 2023'!$G$4:$G$1127,'ноябрь 2023'!$D$4:$D$1127,$B79,'ноябрь 2023'!$J$4:$J$1127,G$1)</f>
        <v>0</v>
      </c>
      <c r="H79" s="207">
        <f>SUMIFS('ноябрь 2023'!$G$4:$G$1127,'ноябрь 2023'!$D$4:$D$1127,$B79,'ноябрь 2023'!$J$4:$J$1127,H$1)</f>
        <v>0</v>
      </c>
      <c r="I79" s="207">
        <f>SUMIFS('ноябрь 2023'!$G$4:$G$1127,'ноябрь 2023'!$D$4:$D$1127,$B79,'ноябрь 2023'!$J$4:$J$1127,I$1)</f>
        <v>0</v>
      </c>
      <c r="J79" s="207">
        <f>SUMIFS('ноябрь 2023'!$G$4:$G$1127,'ноябрь 2023'!$D$4:$D$1127,$B79,'ноябрь 2023'!$J$4:$J$1127,J$1)</f>
        <v>0</v>
      </c>
      <c r="K79" s="207">
        <f>SUMIFS('ноябрь 2023'!$G$4:$G$1127,'ноябрь 2023'!$D$4:$D$1127,$B79,'ноябрь 2023'!$J$4:$J$1127,K$1)</f>
        <v>0</v>
      </c>
      <c r="L79" s="207">
        <f>SUMIFS('ноябрь 2023'!$G$4:$G$1127,'ноябрь 2023'!$D$4:$D$1127,$B79,'ноябрь 2023'!$J$4:$J$1127,L$1)</f>
        <v>0</v>
      </c>
      <c r="M79" s="207">
        <f>SUMIFS('ноябрь 2023'!$G$4:$G$1127,'ноябрь 2023'!$D$4:$D$1127,$B79,'ноябрь 2023'!$J$4:$J$1127,M$1)</f>
        <v>0</v>
      </c>
      <c r="N79" s="207">
        <f>SUMIFS('ноябрь 2023'!$G$4:$G$1127,'ноябрь 2023'!$D$4:$D$1127,$B79,'ноябрь 2023'!$J$4:$J$1127,N$1)</f>
        <v>0</v>
      </c>
      <c r="O79" s="207">
        <f>SUMIFS('ноябрь 2023'!$G$4:$G$1127,'ноябрь 2023'!$D$4:$D$1127,$B79,'ноябрь 2023'!$J$4:$J$1127,O$1)</f>
        <v>0</v>
      </c>
      <c r="P79" s="207">
        <f>SUMIFS('ноябрь 2023'!$G$4:$G$1127,'ноябрь 2023'!$D$4:$D$1127,$B79,'ноябрь 2023'!$J$4:$J$1127,P$1)</f>
        <v>0</v>
      </c>
      <c r="Q79" s="207">
        <f>SUMIFS('ноябрь 2023'!$G$4:$G$1127,'ноябрь 2023'!$D$4:$D$1127,$B79,'ноябрь 2023'!$J$4:$J$1127,Q$1)</f>
        <v>0</v>
      </c>
      <c r="R79" s="207">
        <f>SUMIFS('ноябрь 2023'!$G$4:$G$1127,'ноябрь 2023'!$D$4:$D$1127,$B79,'ноябрь 2023'!$J$4:$J$1127,R$1)</f>
        <v>0</v>
      </c>
      <c r="S79" s="207">
        <f>SUMIFS('ноябрь 2023'!$G$4:$G$1127,'ноябрь 2023'!$D$4:$D$1127,$B79,'ноябрь 2023'!$J$4:$J$1127,S$1)</f>
        <v>0</v>
      </c>
      <c r="T79" s="207">
        <f>SUMIFS('ноябрь 2023'!$G$4:$G$1127,'ноябрь 2023'!$D$4:$D$1127,$B79,'ноябрь 2023'!$J$4:$J$1127,T$1)</f>
        <v>0</v>
      </c>
      <c r="U79" s="207">
        <f>SUMIFS('ноябрь 2023'!$G$4:$G$1127,'ноябрь 2023'!$D$4:$D$1127,$B79,'ноябрь 2023'!$J$4:$J$1127,U$1)</f>
        <v>0</v>
      </c>
      <c r="V79" s="207">
        <f>SUMIFS('ноябрь 2023'!$G$4:$G$1127,'ноябрь 2023'!$D$4:$D$1127,$B79,'ноябрь 2023'!$J$4:$J$1127,V$1)</f>
        <v>0</v>
      </c>
      <c r="W79" s="207">
        <f>SUMIFS('ноябрь 2023'!$G$4:$G$1127,'ноябрь 2023'!$D$4:$D$1127,$B79,'ноябрь 2023'!$J$4:$J$1127,W$1)</f>
        <v>0</v>
      </c>
      <c r="X79" s="207">
        <f>SUMIFS('ноябрь 2023'!$G$4:$G$1127,'ноябрь 2023'!$D$4:$D$1127,$B79,'ноябрь 2023'!$J$4:$J$1127,X$1)</f>
        <v>0</v>
      </c>
      <c r="Y79" s="207">
        <f>SUMIFS('ноябрь 2023'!$G$4:$G$1127,'ноябрь 2023'!$D$4:$D$1127,$B79,'ноябрь 2023'!$J$4:$J$1127,Y$1)</f>
        <v>0</v>
      </c>
      <c r="Z79" s="207">
        <f>SUMIFS('ноябрь 2023'!$G$4:$G$1127,'ноябрь 2023'!$D$4:$D$1127,$B79,'ноябрь 2023'!$J$4:$J$1127,Z$1)</f>
        <v>0</v>
      </c>
      <c r="AA79" s="207">
        <f>SUMIFS('ноябрь 2023'!$G$4:$G$1127,'ноябрь 2023'!$D$4:$D$1127,$B79,'ноябрь 2023'!$J$4:$J$1127,AA$1)</f>
        <v>0</v>
      </c>
      <c r="AB79" s="207">
        <f>SUMIFS('ноябрь 2023'!$G$4:$G$1127,'ноябрь 2023'!$D$4:$D$1127,$B79,'ноябрь 2023'!$J$4:$J$1127,AB$1)</f>
        <v>0</v>
      </c>
      <c r="AC79" s="207">
        <f>SUMIFS('ноябрь 2023'!$G$4:$G$1127,'ноябрь 2023'!$D$4:$D$1127,$B79,'ноябрь 2023'!$J$4:$J$1127,AC$1)</f>
        <v>0</v>
      </c>
      <c r="AD79" s="207">
        <f>SUMIFS('ноябрь 2023'!$G$4:$G$1127,'ноябрь 2023'!$D$4:$D$1127,$B79,'ноябрь 2023'!$J$4:$J$1127,AD$1)</f>
        <v>0</v>
      </c>
      <c r="AE79" s="207">
        <f>SUMIFS('ноябрь 2023'!$G$4:$G$1127,'ноябрь 2023'!$D$4:$D$1127,$B79,'ноябрь 2023'!$J$4:$J$1127,AE$1)</f>
        <v>0</v>
      </c>
      <c r="AF79" s="207">
        <f>SUMIFS('ноябрь 2023'!$G$4:$G$1127,'ноябрь 2023'!$D$4:$D$1127,$B79,'ноябрь 2023'!$J$4:$J$1127,AF$1)</f>
        <v>0</v>
      </c>
      <c r="AG79" s="207">
        <f>SUMIFS('ноябрь 2023'!$G$4:$G$1127,'ноябрь 2023'!$D$4:$D$1127,$B79,'ноябрь 2023'!$J$4:$J$1127,AG$1)</f>
        <v>0</v>
      </c>
      <c r="AH79" s="207">
        <f>SUMIFS('ноябрь 2023'!$G$4:$G$1127,'ноябрь 2023'!$D$4:$D$1127,$B79,'ноябрь 2023'!$J$4:$J$1127,AH$1)</f>
        <v>0</v>
      </c>
      <c r="AI79" s="170">
        <f t="shared" si="2"/>
        <v>0</v>
      </c>
    </row>
    <row r="80" spans="2:35" ht="15" customHeight="1" x14ac:dyDescent="0.25">
      <c r="B80" s="212" t="s">
        <v>561</v>
      </c>
      <c r="C80" s="211">
        <v>200</v>
      </c>
      <c r="D80" s="207">
        <f>SUMIFS('ноябрь 2023'!$G$4:$G$1127,'ноябрь 2023'!$D$4:$D$1127,$B80,'ноябрь 2023'!$J$4:$J$1127,D$1)</f>
        <v>0</v>
      </c>
      <c r="E80" s="207">
        <f>SUMIFS('ноябрь 2023'!$G$4:$G$1127,'ноябрь 2023'!$D$4:$D$1127,$B80,'ноябрь 2023'!$J$4:$J$1127,E$1)</f>
        <v>0</v>
      </c>
      <c r="F80" s="207">
        <f>SUMIFS('ноябрь 2023'!$G$4:$G$1127,'ноябрь 2023'!$D$4:$D$1127,$B80,'ноябрь 2023'!$J$4:$J$1127,F$1)</f>
        <v>0</v>
      </c>
      <c r="G80" s="207">
        <f>SUMIFS('ноябрь 2023'!$G$4:$G$1127,'ноябрь 2023'!$D$4:$D$1127,$B80,'ноябрь 2023'!$J$4:$J$1127,G$1)</f>
        <v>0</v>
      </c>
      <c r="H80" s="207">
        <f>SUMIFS('ноябрь 2023'!$G$4:$G$1127,'ноябрь 2023'!$D$4:$D$1127,$B80,'ноябрь 2023'!$J$4:$J$1127,H$1)</f>
        <v>0</v>
      </c>
      <c r="I80" s="207">
        <f>SUMIFS('ноябрь 2023'!$G$4:$G$1127,'ноябрь 2023'!$D$4:$D$1127,$B80,'ноябрь 2023'!$J$4:$J$1127,I$1)</f>
        <v>0</v>
      </c>
      <c r="J80" s="207">
        <f>SUMIFS('ноябрь 2023'!$G$4:$G$1127,'ноябрь 2023'!$D$4:$D$1127,$B80,'ноябрь 2023'!$J$4:$J$1127,J$1)</f>
        <v>0</v>
      </c>
      <c r="K80" s="207">
        <f>SUMIFS('ноябрь 2023'!$G$4:$G$1127,'ноябрь 2023'!$D$4:$D$1127,$B80,'ноябрь 2023'!$J$4:$J$1127,K$1)</f>
        <v>0</v>
      </c>
      <c r="L80" s="207">
        <f>SUMIFS('ноябрь 2023'!$G$4:$G$1127,'ноябрь 2023'!$D$4:$D$1127,$B80,'ноябрь 2023'!$J$4:$J$1127,L$1)</f>
        <v>0</v>
      </c>
      <c r="M80" s="207">
        <f>SUMIFS('ноябрь 2023'!$G$4:$G$1127,'ноябрь 2023'!$D$4:$D$1127,$B80,'ноябрь 2023'!$J$4:$J$1127,M$1)</f>
        <v>0</v>
      </c>
      <c r="N80" s="207">
        <f>SUMIFS('ноябрь 2023'!$G$4:$G$1127,'ноябрь 2023'!$D$4:$D$1127,$B80,'ноябрь 2023'!$J$4:$J$1127,N$1)</f>
        <v>0</v>
      </c>
      <c r="O80" s="207">
        <f>SUMIFS('ноябрь 2023'!$G$4:$G$1127,'ноябрь 2023'!$D$4:$D$1127,$B80,'ноябрь 2023'!$J$4:$J$1127,O$1)</f>
        <v>0</v>
      </c>
      <c r="P80" s="207">
        <f>SUMIFS('ноябрь 2023'!$G$4:$G$1127,'ноябрь 2023'!$D$4:$D$1127,$B80,'ноябрь 2023'!$J$4:$J$1127,P$1)</f>
        <v>0</v>
      </c>
      <c r="Q80" s="207">
        <f>SUMIFS('ноябрь 2023'!$G$4:$G$1127,'ноябрь 2023'!$D$4:$D$1127,$B80,'ноябрь 2023'!$J$4:$J$1127,Q$1)</f>
        <v>0</v>
      </c>
      <c r="R80" s="207">
        <f>SUMIFS('ноябрь 2023'!$G$4:$G$1127,'ноябрь 2023'!$D$4:$D$1127,$B80,'ноябрь 2023'!$J$4:$J$1127,R$1)</f>
        <v>0</v>
      </c>
      <c r="S80" s="207">
        <f>SUMIFS('ноябрь 2023'!$G$4:$G$1127,'ноябрь 2023'!$D$4:$D$1127,$B80,'ноябрь 2023'!$J$4:$J$1127,S$1)</f>
        <v>0</v>
      </c>
      <c r="T80" s="207">
        <f>SUMIFS('ноябрь 2023'!$G$4:$G$1127,'ноябрь 2023'!$D$4:$D$1127,$B80,'ноябрь 2023'!$J$4:$J$1127,T$1)</f>
        <v>0</v>
      </c>
      <c r="U80" s="207">
        <f>SUMIFS('ноябрь 2023'!$G$4:$G$1127,'ноябрь 2023'!$D$4:$D$1127,$B80,'ноябрь 2023'!$J$4:$J$1127,U$1)</f>
        <v>0</v>
      </c>
      <c r="V80" s="207">
        <f>SUMIFS('ноябрь 2023'!$G$4:$G$1127,'ноябрь 2023'!$D$4:$D$1127,$B80,'ноябрь 2023'!$J$4:$J$1127,V$1)</f>
        <v>0</v>
      </c>
      <c r="W80" s="207">
        <f>SUMIFS('ноябрь 2023'!$G$4:$G$1127,'ноябрь 2023'!$D$4:$D$1127,$B80,'ноябрь 2023'!$J$4:$J$1127,W$1)</f>
        <v>0</v>
      </c>
      <c r="X80" s="207">
        <f>SUMIFS('ноябрь 2023'!$G$4:$G$1127,'ноябрь 2023'!$D$4:$D$1127,$B80,'ноябрь 2023'!$J$4:$J$1127,X$1)</f>
        <v>0</v>
      </c>
      <c r="Y80" s="207">
        <f>SUMIFS('ноябрь 2023'!$G$4:$G$1127,'ноябрь 2023'!$D$4:$D$1127,$B80,'ноябрь 2023'!$J$4:$J$1127,Y$1)</f>
        <v>0</v>
      </c>
      <c r="Z80" s="207">
        <f>SUMIFS('ноябрь 2023'!$G$4:$G$1127,'ноябрь 2023'!$D$4:$D$1127,$B80,'ноябрь 2023'!$J$4:$J$1127,Z$1)</f>
        <v>0</v>
      </c>
      <c r="AA80" s="207">
        <f>SUMIFS('ноябрь 2023'!$G$4:$G$1127,'ноябрь 2023'!$D$4:$D$1127,$B80,'ноябрь 2023'!$J$4:$J$1127,AA$1)</f>
        <v>0</v>
      </c>
      <c r="AB80" s="207">
        <f>SUMIFS('ноябрь 2023'!$G$4:$G$1127,'ноябрь 2023'!$D$4:$D$1127,$B80,'ноябрь 2023'!$J$4:$J$1127,AB$1)</f>
        <v>0</v>
      </c>
      <c r="AC80" s="207">
        <f>SUMIFS('ноябрь 2023'!$G$4:$G$1127,'ноябрь 2023'!$D$4:$D$1127,$B80,'ноябрь 2023'!$J$4:$J$1127,AC$1)</f>
        <v>0</v>
      </c>
      <c r="AD80" s="207">
        <f>SUMIFS('ноябрь 2023'!$G$4:$G$1127,'ноябрь 2023'!$D$4:$D$1127,$B80,'ноябрь 2023'!$J$4:$J$1127,AD$1)</f>
        <v>0</v>
      </c>
      <c r="AE80" s="207">
        <f>SUMIFS('ноябрь 2023'!$G$4:$G$1127,'ноябрь 2023'!$D$4:$D$1127,$B80,'ноябрь 2023'!$J$4:$J$1127,AE$1)</f>
        <v>0</v>
      </c>
      <c r="AF80" s="207">
        <f>SUMIFS('ноябрь 2023'!$G$4:$G$1127,'ноябрь 2023'!$D$4:$D$1127,$B80,'ноябрь 2023'!$J$4:$J$1127,AF$1)</f>
        <v>0</v>
      </c>
      <c r="AG80" s="207">
        <f>SUMIFS('ноябрь 2023'!$G$4:$G$1127,'ноябрь 2023'!$D$4:$D$1127,$B80,'ноябрь 2023'!$J$4:$J$1127,AG$1)</f>
        <v>0</v>
      </c>
      <c r="AH80" s="207">
        <f>SUMIFS('ноябрь 2023'!$G$4:$G$1127,'ноябрь 2023'!$D$4:$D$1127,$B80,'ноябрь 2023'!$J$4:$J$1127,AH$1)</f>
        <v>0</v>
      </c>
      <c r="AI80" s="170">
        <f t="shared" si="2"/>
        <v>0</v>
      </c>
    </row>
    <row r="81" spans="2:35" ht="15" customHeight="1" x14ac:dyDescent="0.25">
      <c r="B81" s="216" t="s">
        <v>1372</v>
      </c>
      <c r="C81" s="211">
        <v>180</v>
      </c>
      <c r="D81" s="207">
        <f>SUMIFS('ноябрь 2023'!$G$4:$G$1127,'ноябрь 2023'!$D$4:$D$1127,$B81,'ноябрь 2023'!$J$4:$J$1127,D$1)</f>
        <v>0</v>
      </c>
      <c r="E81" s="207">
        <f>SUMIFS('ноябрь 2023'!$G$4:$G$1127,'ноябрь 2023'!$D$4:$D$1127,$B81,'ноябрь 2023'!$J$4:$J$1127,E$1)</f>
        <v>0</v>
      </c>
      <c r="F81" s="207">
        <f>SUMIFS('ноябрь 2023'!$G$4:$G$1127,'ноябрь 2023'!$D$4:$D$1127,$B81,'ноябрь 2023'!$J$4:$J$1127,F$1)</f>
        <v>0</v>
      </c>
      <c r="G81" s="207">
        <f>SUMIFS('ноябрь 2023'!$G$4:$G$1127,'ноябрь 2023'!$D$4:$D$1127,$B81,'ноябрь 2023'!$J$4:$J$1127,G$1)</f>
        <v>0</v>
      </c>
      <c r="H81" s="207">
        <f>SUMIFS('ноябрь 2023'!$G$4:$G$1127,'ноябрь 2023'!$D$4:$D$1127,$B81,'ноябрь 2023'!$J$4:$J$1127,H$1)</f>
        <v>0</v>
      </c>
      <c r="I81" s="207">
        <f>SUMIFS('ноябрь 2023'!$G$4:$G$1127,'ноябрь 2023'!$D$4:$D$1127,$B81,'ноябрь 2023'!$J$4:$J$1127,I$1)</f>
        <v>0</v>
      </c>
      <c r="J81" s="207">
        <f>SUMIFS('ноябрь 2023'!$G$4:$G$1127,'ноябрь 2023'!$D$4:$D$1127,$B81,'ноябрь 2023'!$J$4:$J$1127,J$1)</f>
        <v>0</v>
      </c>
      <c r="K81" s="207">
        <f>SUMIFS('ноябрь 2023'!$G$4:$G$1127,'ноябрь 2023'!$D$4:$D$1127,$B81,'ноябрь 2023'!$J$4:$J$1127,K$1)</f>
        <v>0</v>
      </c>
      <c r="L81" s="207">
        <f>SUMIFS('ноябрь 2023'!$G$4:$G$1127,'ноябрь 2023'!$D$4:$D$1127,$B81,'ноябрь 2023'!$J$4:$J$1127,L$1)</f>
        <v>0</v>
      </c>
      <c r="M81" s="207">
        <f>SUMIFS('ноябрь 2023'!$G$4:$G$1127,'ноябрь 2023'!$D$4:$D$1127,$B81,'ноябрь 2023'!$J$4:$J$1127,M$1)</f>
        <v>0</v>
      </c>
      <c r="N81" s="207">
        <f>SUMIFS('ноябрь 2023'!$G$4:$G$1127,'ноябрь 2023'!$D$4:$D$1127,$B81,'ноябрь 2023'!$J$4:$J$1127,N$1)</f>
        <v>0</v>
      </c>
      <c r="O81" s="207">
        <f>SUMIFS('ноябрь 2023'!$G$4:$G$1127,'ноябрь 2023'!$D$4:$D$1127,$B81,'ноябрь 2023'!$J$4:$J$1127,O$1)</f>
        <v>0</v>
      </c>
      <c r="P81" s="207">
        <f>SUMIFS('ноябрь 2023'!$G$4:$G$1127,'ноябрь 2023'!$D$4:$D$1127,$B81,'ноябрь 2023'!$J$4:$J$1127,P$1)</f>
        <v>0</v>
      </c>
      <c r="Q81" s="207">
        <f>SUMIFS('ноябрь 2023'!$G$4:$G$1127,'ноябрь 2023'!$D$4:$D$1127,$B81,'ноябрь 2023'!$J$4:$J$1127,Q$1)</f>
        <v>0</v>
      </c>
      <c r="R81" s="207">
        <f>SUMIFS('ноябрь 2023'!$G$4:$G$1127,'ноябрь 2023'!$D$4:$D$1127,$B81,'ноябрь 2023'!$J$4:$J$1127,R$1)</f>
        <v>0</v>
      </c>
      <c r="S81" s="207">
        <f>SUMIFS('ноябрь 2023'!$G$4:$G$1127,'ноябрь 2023'!$D$4:$D$1127,$B81,'ноябрь 2023'!$J$4:$J$1127,S$1)</f>
        <v>0</v>
      </c>
      <c r="T81" s="207">
        <f>SUMIFS('ноябрь 2023'!$G$4:$G$1127,'ноябрь 2023'!$D$4:$D$1127,$B81,'ноябрь 2023'!$J$4:$J$1127,T$1)</f>
        <v>0</v>
      </c>
      <c r="U81" s="207">
        <f>SUMIFS('ноябрь 2023'!$G$4:$G$1127,'ноябрь 2023'!$D$4:$D$1127,$B81,'ноябрь 2023'!$J$4:$J$1127,U$1)</f>
        <v>0</v>
      </c>
      <c r="V81" s="207">
        <f>SUMIFS('ноябрь 2023'!$G$4:$G$1127,'ноябрь 2023'!$D$4:$D$1127,$B81,'ноябрь 2023'!$J$4:$J$1127,V$1)</f>
        <v>0</v>
      </c>
      <c r="W81" s="207">
        <f>SUMIFS('ноябрь 2023'!$G$4:$G$1127,'ноябрь 2023'!$D$4:$D$1127,$B81,'ноябрь 2023'!$J$4:$J$1127,W$1)</f>
        <v>0</v>
      </c>
      <c r="X81" s="207">
        <f>SUMIFS('ноябрь 2023'!$G$4:$G$1127,'ноябрь 2023'!$D$4:$D$1127,$B81,'ноябрь 2023'!$J$4:$J$1127,X$1)</f>
        <v>0</v>
      </c>
      <c r="Y81" s="207">
        <f>SUMIFS('ноябрь 2023'!$G$4:$G$1127,'ноябрь 2023'!$D$4:$D$1127,$B81,'ноябрь 2023'!$J$4:$J$1127,Y$1)</f>
        <v>0</v>
      </c>
      <c r="Z81" s="207">
        <f>SUMIFS('ноябрь 2023'!$G$4:$G$1127,'ноябрь 2023'!$D$4:$D$1127,$B81,'ноябрь 2023'!$J$4:$J$1127,Z$1)</f>
        <v>0</v>
      </c>
      <c r="AA81" s="207">
        <f>SUMIFS('ноябрь 2023'!$G$4:$G$1127,'ноябрь 2023'!$D$4:$D$1127,$B81,'ноябрь 2023'!$J$4:$J$1127,AA$1)</f>
        <v>0</v>
      </c>
      <c r="AB81" s="207">
        <f>SUMIFS('ноябрь 2023'!$G$4:$G$1127,'ноябрь 2023'!$D$4:$D$1127,$B81,'ноябрь 2023'!$J$4:$J$1127,AB$1)</f>
        <v>0</v>
      </c>
      <c r="AC81" s="207">
        <f>SUMIFS('ноябрь 2023'!$G$4:$G$1127,'ноябрь 2023'!$D$4:$D$1127,$B81,'ноябрь 2023'!$J$4:$J$1127,AC$1)</f>
        <v>0</v>
      </c>
      <c r="AD81" s="207">
        <f>SUMIFS('ноябрь 2023'!$G$4:$G$1127,'ноябрь 2023'!$D$4:$D$1127,$B81,'ноябрь 2023'!$J$4:$J$1127,AD$1)</f>
        <v>0</v>
      </c>
      <c r="AE81" s="207">
        <f>SUMIFS('ноябрь 2023'!$G$4:$G$1127,'ноябрь 2023'!$D$4:$D$1127,$B81,'ноябрь 2023'!$J$4:$J$1127,AE$1)</f>
        <v>0</v>
      </c>
      <c r="AF81" s="207">
        <f>SUMIFS('ноябрь 2023'!$G$4:$G$1127,'ноябрь 2023'!$D$4:$D$1127,$B81,'ноябрь 2023'!$J$4:$J$1127,AF$1)</f>
        <v>0</v>
      </c>
      <c r="AG81" s="207">
        <f>SUMIFS('ноябрь 2023'!$G$4:$G$1127,'ноябрь 2023'!$D$4:$D$1127,$B81,'ноябрь 2023'!$J$4:$J$1127,AG$1)</f>
        <v>0</v>
      </c>
      <c r="AH81" s="207">
        <f>SUMIFS('ноябрь 2023'!$G$4:$G$1127,'ноябрь 2023'!$D$4:$D$1127,$B81,'ноябрь 2023'!$J$4:$J$1127,AH$1)</f>
        <v>0</v>
      </c>
      <c r="AI81" s="170">
        <f t="shared" si="2"/>
        <v>0</v>
      </c>
    </row>
    <row r="82" spans="2:35" ht="15" customHeight="1" x14ac:dyDescent="0.25">
      <c r="B82" s="216" t="s">
        <v>604</v>
      </c>
      <c r="C82" s="213">
        <v>25</v>
      </c>
      <c r="D82" s="207">
        <f>SUMIFS('ноябрь 2023'!$G$4:$G$1127,'ноябрь 2023'!$D$4:$D$1127,$B82,'ноябрь 2023'!$J$4:$J$1127,D$1)</f>
        <v>0</v>
      </c>
      <c r="E82" s="207">
        <f>SUMIFS('ноябрь 2023'!$G$4:$G$1127,'ноябрь 2023'!$D$4:$D$1127,$B82,'ноябрь 2023'!$J$4:$J$1127,E$1)</f>
        <v>0</v>
      </c>
      <c r="F82" s="207">
        <f>SUMIFS('ноябрь 2023'!$G$4:$G$1127,'ноябрь 2023'!$D$4:$D$1127,$B82,'ноябрь 2023'!$J$4:$J$1127,F$1)</f>
        <v>0</v>
      </c>
      <c r="G82" s="207">
        <f>SUMIFS('ноябрь 2023'!$G$4:$G$1127,'ноябрь 2023'!$D$4:$D$1127,$B82,'ноябрь 2023'!$J$4:$J$1127,G$1)</f>
        <v>0</v>
      </c>
      <c r="H82" s="207">
        <f>SUMIFS('ноябрь 2023'!$G$4:$G$1127,'ноябрь 2023'!$D$4:$D$1127,$B82,'ноябрь 2023'!$J$4:$J$1127,H$1)</f>
        <v>0</v>
      </c>
      <c r="I82" s="207">
        <f>SUMIFS('ноябрь 2023'!$G$4:$G$1127,'ноябрь 2023'!$D$4:$D$1127,$B82,'ноябрь 2023'!$J$4:$J$1127,I$1)</f>
        <v>0</v>
      </c>
      <c r="J82" s="207">
        <f>SUMIFS('ноябрь 2023'!$G$4:$G$1127,'ноябрь 2023'!$D$4:$D$1127,$B82,'ноябрь 2023'!$J$4:$J$1127,J$1)</f>
        <v>0</v>
      </c>
      <c r="K82" s="207">
        <f>SUMIFS('ноябрь 2023'!$G$4:$G$1127,'ноябрь 2023'!$D$4:$D$1127,$B82,'ноябрь 2023'!$J$4:$J$1127,K$1)</f>
        <v>0</v>
      </c>
      <c r="L82" s="207">
        <f>SUMIFS('ноябрь 2023'!$G$4:$G$1127,'ноябрь 2023'!$D$4:$D$1127,$B82,'ноябрь 2023'!$J$4:$J$1127,L$1)</f>
        <v>0</v>
      </c>
      <c r="M82" s="207">
        <f>SUMIFS('ноябрь 2023'!$G$4:$G$1127,'ноябрь 2023'!$D$4:$D$1127,$B82,'ноябрь 2023'!$J$4:$J$1127,M$1)</f>
        <v>0</v>
      </c>
      <c r="N82" s="207">
        <f>SUMIFS('ноябрь 2023'!$G$4:$G$1127,'ноябрь 2023'!$D$4:$D$1127,$B82,'ноябрь 2023'!$J$4:$J$1127,N$1)</f>
        <v>0</v>
      </c>
      <c r="O82" s="207">
        <f>SUMIFS('ноябрь 2023'!$G$4:$G$1127,'ноябрь 2023'!$D$4:$D$1127,$B82,'ноябрь 2023'!$J$4:$J$1127,O$1)</f>
        <v>0</v>
      </c>
      <c r="P82" s="207">
        <f>SUMIFS('ноябрь 2023'!$G$4:$G$1127,'ноябрь 2023'!$D$4:$D$1127,$B82,'ноябрь 2023'!$J$4:$J$1127,P$1)</f>
        <v>0</v>
      </c>
      <c r="Q82" s="207">
        <f>SUMIFS('ноябрь 2023'!$G$4:$G$1127,'ноябрь 2023'!$D$4:$D$1127,$B82,'ноябрь 2023'!$J$4:$J$1127,Q$1)</f>
        <v>0</v>
      </c>
      <c r="R82" s="207">
        <f>SUMIFS('ноябрь 2023'!$G$4:$G$1127,'ноябрь 2023'!$D$4:$D$1127,$B82,'ноябрь 2023'!$J$4:$J$1127,R$1)</f>
        <v>0</v>
      </c>
      <c r="S82" s="207">
        <f>SUMIFS('ноябрь 2023'!$G$4:$G$1127,'ноябрь 2023'!$D$4:$D$1127,$B82,'ноябрь 2023'!$J$4:$J$1127,S$1)</f>
        <v>0</v>
      </c>
      <c r="T82" s="207">
        <f>SUMIFS('ноябрь 2023'!$G$4:$G$1127,'ноябрь 2023'!$D$4:$D$1127,$B82,'ноябрь 2023'!$J$4:$J$1127,T$1)</f>
        <v>0</v>
      </c>
      <c r="U82" s="207">
        <f>SUMIFS('ноябрь 2023'!$G$4:$G$1127,'ноябрь 2023'!$D$4:$D$1127,$B82,'ноябрь 2023'!$J$4:$J$1127,U$1)</f>
        <v>0</v>
      </c>
      <c r="V82" s="207">
        <f>SUMIFS('ноябрь 2023'!$G$4:$G$1127,'ноябрь 2023'!$D$4:$D$1127,$B82,'ноябрь 2023'!$J$4:$J$1127,V$1)</f>
        <v>0</v>
      </c>
      <c r="W82" s="207">
        <f>SUMIFS('ноябрь 2023'!$G$4:$G$1127,'ноябрь 2023'!$D$4:$D$1127,$B82,'ноябрь 2023'!$J$4:$J$1127,W$1)</f>
        <v>0</v>
      </c>
      <c r="X82" s="207">
        <f>SUMIFS('ноябрь 2023'!$G$4:$G$1127,'ноябрь 2023'!$D$4:$D$1127,$B82,'ноябрь 2023'!$J$4:$J$1127,X$1)</f>
        <v>0</v>
      </c>
      <c r="Y82" s="207">
        <f>SUMIFS('ноябрь 2023'!$G$4:$G$1127,'ноябрь 2023'!$D$4:$D$1127,$B82,'ноябрь 2023'!$J$4:$J$1127,Y$1)</f>
        <v>0</v>
      </c>
      <c r="Z82" s="207">
        <f>SUMIFS('ноябрь 2023'!$G$4:$G$1127,'ноябрь 2023'!$D$4:$D$1127,$B82,'ноябрь 2023'!$J$4:$J$1127,Z$1)</f>
        <v>0</v>
      </c>
      <c r="AA82" s="207">
        <f>SUMIFS('ноябрь 2023'!$G$4:$G$1127,'ноябрь 2023'!$D$4:$D$1127,$B82,'ноябрь 2023'!$J$4:$J$1127,AA$1)</f>
        <v>0</v>
      </c>
      <c r="AB82" s="207">
        <f>SUMIFS('ноябрь 2023'!$G$4:$G$1127,'ноябрь 2023'!$D$4:$D$1127,$B82,'ноябрь 2023'!$J$4:$J$1127,AB$1)</f>
        <v>0</v>
      </c>
      <c r="AC82" s="207">
        <f>SUMIFS('ноябрь 2023'!$G$4:$G$1127,'ноябрь 2023'!$D$4:$D$1127,$B82,'ноябрь 2023'!$J$4:$J$1127,AC$1)</f>
        <v>0</v>
      </c>
      <c r="AD82" s="207">
        <f>SUMIFS('ноябрь 2023'!$G$4:$G$1127,'ноябрь 2023'!$D$4:$D$1127,$B82,'ноябрь 2023'!$J$4:$J$1127,AD$1)</f>
        <v>0</v>
      </c>
      <c r="AE82" s="207">
        <f>SUMIFS('ноябрь 2023'!$G$4:$G$1127,'ноябрь 2023'!$D$4:$D$1127,$B82,'ноябрь 2023'!$J$4:$J$1127,AE$1)</f>
        <v>0</v>
      </c>
      <c r="AF82" s="207">
        <f>SUMIFS('ноябрь 2023'!$G$4:$G$1127,'ноябрь 2023'!$D$4:$D$1127,$B82,'ноябрь 2023'!$J$4:$J$1127,AF$1)</f>
        <v>0</v>
      </c>
      <c r="AG82" s="207">
        <f>SUMIFS('ноябрь 2023'!$G$4:$G$1127,'ноябрь 2023'!$D$4:$D$1127,$B82,'ноябрь 2023'!$J$4:$J$1127,AG$1)</f>
        <v>0</v>
      </c>
      <c r="AH82" s="207">
        <f>SUMIFS('ноябрь 2023'!$G$4:$G$1127,'ноябрь 2023'!$D$4:$D$1127,$B82,'ноябрь 2023'!$J$4:$J$1127,AH$1)</f>
        <v>0</v>
      </c>
      <c r="AI82" s="170">
        <f t="shared" si="2"/>
        <v>0</v>
      </c>
    </row>
    <row r="83" spans="2:35" ht="15" customHeight="1" x14ac:dyDescent="0.25">
      <c r="B83" s="216" t="s">
        <v>1336</v>
      </c>
      <c r="C83" s="213">
        <v>50</v>
      </c>
      <c r="D83" s="207">
        <f>SUMIFS('ноябрь 2023'!$G$4:$G$1127,'ноябрь 2023'!$D$4:$D$1127,$B83,'ноябрь 2023'!$J$4:$J$1127,D$1)</f>
        <v>0</v>
      </c>
      <c r="E83" s="207">
        <f>SUMIFS('ноябрь 2023'!$G$4:$G$1127,'ноябрь 2023'!$D$4:$D$1127,$B83,'ноябрь 2023'!$J$4:$J$1127,E$1)</f>
        <v>0</v>
      </c>
      <c r="F83" s="207">
        <f>SUMIFS('ноябрь 2023'!$G$4:$G$1127,'ноябрь 2023'!$D$4:$D$1127,$B83,'ноябрь 2023'!$J$4:$J$1127,F$1)</f>
        <v>0</v>
      </c>
      <c r="G83" s="207">
        <f>SUMIFS('ноябрь 2023'!$G$4:$G$1127,'ноябрь 2023'!$D$4:$D$1127,$B83,'ноябрь 2023'!$J$4:$J$1127,G$1)</f>
        <v>0</v>
      </c>
      <c r="H83" s="207">
        <f>SUMIFS('ноябрь 2023'!$G$4:$G$1127,'ноябрь 2023'!$D$4:$D$1127,$B83,'ноябрь 2023'!$J$4:$J$1127,H$1)</f>
        <v>0</v>
      </c>
      <c r="I83" s="207">
        <f>SUMIFS('ноябрь 2023'!$G$4:$G$1127,'ноябрь 2023'!$D$4:$D$1127,$B83,'ноябрь 2023'!$J$4:$J$1127,I$1)</f>
        <v>0</v>
      </c>
      <c r="J83" s="207">
        <f>SUMIFS('ноябрь 2023'!$G$4:$G$1127,'ноябрь 2023'!$D$4:$D$1127,$B83,'ноябрь 2023'!$J$4:$J$1127,J$1)</f>
        <v>0</v>
      </c>
      <c r="K83" s="207">
        <f>SUMIFS('ноябрь 2023'!$G$4:$G$1127,'ноябрь 2023'!$D$4:$D$1127,$B83,'ноябрь 2023'!$J$4:$J$1127,K$1)</f>
        <v>0</v>
      </c>
      <c r="L83" s="207">
        <f>SUMIFS('ноябрь 2023'!$G$4:$G$1127,'ноябрь 2023'!$D$4:$D$1127,$B83,'ноябрь 2023'!$J$4:$J$1127,L$1)</f>
        <v>0</v>
      </c>
      <c r="M83" s="207">
        <f>SUMIFS('ноябрь 2023'!$G$4:$G$1127,'ноябрь 2023'!$D$4:$D$1127,$B83,'ноябрь 2023'!$J$4:$J$1127,M$1)</f>
        <v>0</v>
      </c>
      <c r="N83" s="207">
        <f>SUMIFS('ноябрь 2023'!$G$4:$G$1127,'ноябрь 2023'!$D$4:$D$1127,$B83,'ноябрь 2023'!$J$4:$J$1127,N$1)</f>
        <v>0</v>
      </c>
      <c r="O83" s="207">
        <f>SUMIFS('ноябрь 2023'!$G$4:$G$1127,'ноябрь 2023'!$D$4:$D$1127,$B83,'ноябрь 2023'!$J$4:$J$1127,O$1)</f>
        <v>0</v>
      </c>
      <c r="P83" s="207">
        <f>SUMIFS('ноябрь 2023'!$G$4:$G$1127,'ноябрь 2023'!$D$4:$D$1127,$B83,'ноябрь 2023'!$J$4:$J$1127,P$1)</f>
        <v>0</v>
      </c>
      <c r="Q83" s="207">
        <f>SUMIFS('ноябрь 2023'!$G$4:$G$1127,'ноябрь 2023'!$D$4:$D$1127,$B83,'ноябрь 2023'!$J$4:$J$1127,Q$1)</f>
        <v>0</v>
      </c>
      <c r="R83" s="207">
        <f>SUMIFS('ноябрь 2023'!$G$4:$G$1127,'ноябрь 2023'!$D$4:$D$1127,$B83,'ноябрь 2023'!$J$4:$J$1127,R$1)</f>
        <v>0</v>
      </c>
      <c r="S83" s="207">
        <f>SUMIFS('ноябрь 2023'!$G$4:$G$1127,'ноябрь 2023'!$D$4:$D$1127,$B83,'ноябрь 2023'!$J$4:$J$1127,S$1)</f>
        <v>0</v>
      </c>
      <c r="T83" s="207">
        <f>SUMIFS('ноябрь 2023'!$G$4:$G$1127,'ноябрь 2023'!$D$4:$D$1127,$B83,'ноябрь 2023'!$J$4:$J$1127,T$1)</f>
        <v>0</v>
      </c>
      <c r="U83" s="207">
        <f>SUMIFS('ноябрь 2023'!$G$4:$G$1127,'ноябрь 2023'!$D$4:$D$1127,$B83,'ноябрь 2023'!$J$4:$J$1127,U$1)</f>
        <v>0</v>
      </c>
      <c r="V83" s="207">
        <f>SUMIFS('ноябрь 2023'!$G$4:$G$1127,'ноябрь 2023'!$D$4:$D$1127,$B83,'ноябрь 2023'!$J$4:$J$1127,V$1)</f>
        <v>0</v>
      </c>
      <c r="W83" s="207">
        <f>SUMIFS('ноябрь 2023'!$G$4:$G$1127,'ноябрь 2023'!$D$4:$D$1127,$B83,'ноябрь 2023'!$J$4:$J$1127,W$1)</f>
        <v>0</v>
      </c>
      <c r="X83" s="207">
        <f>SUMIFS('ноябрь 2023'!$G$4:$G$1127,'ноябрь 2023'!$D$4:$D$1127,$B83,'ноябрь 2023'!$J$4:$J$1127,X$1)</f>
        <v>0</v>
      </c>
      <c r="Y83" s="207">
        <f>SUMIFS('ноябрь 2023'!$G$4:$G$1127,'ноябрь 2023'!$D$4:$D$1127,$B83,'ноябрь 2023'!$J$4:$J$1127,Y$1)</f>
        <v>0</v>
      </c>
      <c r="Z83" s="207">
        <f>SUMIFS('ноябрь 2023'!$G$4:$G$1127,'ноябрь 2023'!$D$4:$D$1127,$B83,'ноябрь 2023'!$J$4:$J$1127,Z$1)</f>
        <v>0</v>
      </c>
      <c r="AA83" s="207">
        <f>SUMIFS('ноябрь 2023'!$G$4:$G$1127,'ноябрь 2023'!$D$4:$D$1127,$B83,'ноябрь 2023'!$J$4:$J$1127,AA$1)</f>
        <v>0</v>
      </c>
      <c r="AB83" s="207">
        <f>SUMIFS('ноябрь 2023'!$G$4:$G$1127,'ноябрь 2023'!$D$4:$D$1127,$B83,'ноябрь 2023'!$J$4:$J$1127,AB$1)</f>
        <v>0</v>
      </c>
      <c r="AC83" s="207">
        <f>SUMIFS('ноябрь 2023'!$G$4:$G$1127,'ноябрь 2023'!$D$4:$D$1127,$B83,'ноябрь 2023'!$J$4:$J$1127,AC$1)</f>
        <v>0</v>
      </c>
      <c r="AD83" s="207">
        <f>SUMIFS('ноябрь 2023'!$G$4:$G$1127,'ноябрь 2023'!$D$4:$D$1127,$B83,'ноябрь 2023'!$J$4:$J$1127,AD$1)</f>
        <v>0</v>
      </c>
      <c r="AE83" s="207">
        <f>SUMIFS('ноябрь 2023'!$G$4:$G$1127,'ноябрь 2023'!$D$4:$D$1127,$B83,'ноябрь 2023'!$J$4:$J$1127,AE$1)</f>
        <v>0</v>
      </c>
      <c r="AF83" s="207">
        <f>SUMIFS('ноябрь 2023'!$G$4:$G$1127,'ноябрь 2023'!$D$4:$D$1127,$B83,'ноябрь 2023'!$J$4:$J$1127,AF$1)</f>
        <v>0</v>
      </c>
      <c r="AG83" s="207">
        <f>SUMIFS('ноябрь 2023'!$G$4:$G$1127,'ноябрь 2023'!$D$4:$D$1127,$B83,'ноябрь 2023'!$J$4:$J$1127,AG$1)</f>
        <v>0</v>
      </c>
      <c r="AH83" s="207">
        <f>SUMIFS('ноябрь 2023'!$G$4:$G$1127,'ноябрь 2023'!$D$4:$D$1127,$B83,'ноябрь 2023'!$J$4:$J$1127,AH$1)</f>
        <v>0</v>
      </c>
      <c r="AI83" s="170">
        <f t="shared" si="2"/>
        <v>0</v>
      </c>
    </row>
    <row r="84" spans="2:35" ht="15" customHeight="1" x14ac:dyDescent="0.25">
      <c r="B84" s="216" t="s">
        <v>1470</v>
      </c>
      <c r="C84" s="213">
        <v>180</v>
      </c>
      <c r="D84" s="207">
        <f>SUMIFS('ноябрь 2023'!$G$4:$G$1127,'ноябрь 2023'!$D$4:$D$1127,$B84,'ноябрь 2023'!$J$4:$J$1127,D$1)</f>
        <v>0</v>
      </c>
      <c r="E84" s="207">
        <f>SUMIFS('ноябрь 2023'!$G$4:$G$1127,'ноябрь 2023'!$D$4:$D$1127,$B84,'ноябрь 2023'!$J$4:$J$1127,E$1)</f>
        <v>0</v>
      </c>
      <c r="F84" s="207">
        <f>SUMIFS('ноябрь 2023'!$G$4:$G$1127,'ноябрь 2023'!$D$4:$D$1127,$B84,'ноябрь 2023'!$J$4:$J$1127,F$1)</f>
        <v>0</v>
      </c>
      <c r="G84" s="207">
        <f>SUMIFS('ноябрь 2023'!$G$4:$G$1127,'ноябрь 2023'!$D$4:$D$1127,$B84,'ноябрь 2023'!$J$4:$J$1127,G$1)</f>
        <v>0</v>
      </c>
      <c r="H84" s="207">
        <f>SUMIFS('ноябрь 2023'!$G$4:$G$1127,'ноябрь 2023'!$D$4:$D$1127,$B84,'ноябрь 2023'!$J$4:$J$1127,H$1)</f>
        <v>0</v>
      </c>
      <c r="I84" s="207">
        <f>SUMIFS('ноябрь 2023'!$G$4:$G$1127,'ноябрь 2023'!$D$4:$D$1127,$B84,'ноябрь 2023'!$J$4:$J$1127,I$1)</f>
        <v>0</v>
      </c>
      <c r="J84" s="207">
        <f>SUMIFS('ноябрь 2023'!$G$4:$G$1127,'ноябрь 2023'!$D$4:$D$1127,$B84,'ноябрь 2023'!$J$4:$J$1127,J$1)</f>
        <v>0</v>
      </c>
      <c r="K84" s="207">
        <f>SUMIFS('ноябрь 2023'!$G$4:$G$1127,'ноябрь 2023'!$D$4:$D$1127,$B84,'ноябрь 2023'!$J$4:$J$1127,K$1)</f>
        <v>0</v>
      </c>
      <c r="L84" s="207">
        <f>SUMIFS('ноябрь 2023'!$G$4:$G$1127,'ноябрь 2023'!$D$4:$D$1127,$B84,'ноябрь 2023'!$J$4:$J$1127,L$1)</f>
        <v>0</v>
      </c>
      <c r="M84" s="207">
        <f>SUMIFS('ноябрь 2023'!$G$4:$G$1127,'ноябрь 2023'!$D$4:$D$1127,$B84,'ноябрь 2023'!$J$4:$J$1127,M$1)</f>
        <v>0</v>
      </c>
      <c r="N84" s="207">
        <f>SUMIFS('ноябрь 2023'!$G$4:$G$1127,'ноябрь 2023'!$D$4:$D$1127,$B84,'ноябрь 2023'!$J$4:$J$1127,N$1)</f>
        <v>0</v>
      </c>
      <c r="O84" s="207">
        <f>SUMIFS('ноябрь 2023'!$G$4:$G$1127,'ноябрь 2023'!$D$4:$D$1127,$B84,'ноябрь 2023'!$J$4:$J$1127,O$1)</f>
        <v>0</v>
      </c>
      <c r="P84" s="207">
        <f>SUMIFS('ноябрь 2023'!$G$4:$G$1127,'ноябрь 2023'!$D$4:$D$1127,$B84,'ноябрь 2023'!$J$4:$J$1127,P$1)</f>
        <v>0</v>
      </c>
      <c r="Q84" s="207">
        <f>SUMIFS('ноябрь 2023'!$G$4:$G$1127,'ноябрь 2023'!$D$4:$D$1127,$B84,'ноябрь 2023'!$J$4:$J$1127,Q$1)</f>
        <v>0</v>
      </c>
      <c r="R84" s="207">
        <f>SUMIFS('ноябрь 2023'!$G$4:$G$1127,'ноябрь 2023'!$D$4:$D$1127,$B84,'ноябрь 2023'!$J$4:$J$1127,R$1)</f>
        <v>0</v>
      </c>
      <c r="S84" s="207">
        <f>SUMIFS('ноябрь 2023'!$G$4:$G$1127,'ноябрь 2023'!$D$4:$D$1127,$B84,'ноябрь 2023'!$J$4:$J$1127,S$1)</f>
        <v>0</v>
      </c>
      <c r="T84" s="207">
        <f>SUMIFS('ноябрь 2023'!$G$4:$G$1127,'ноябрь 2023'!$D$4:$D$1127,$B84,'ноябрь 2023'!$J$4:$J$1127,T$1)</f>
        <v>0</v>
      </c>
      <c r="U84" s="207">
        <f>SUMIFS('ноябрь 2023'!$G$4:$G$1127,'ноябрь 2023'!$D$4:$D$1127,$B84,'ноябрь 2023'!$J$4:$J$1127,U$1)</f>
        <v>0</v>
      </c>
      <c r="V84" s="207">
        <f>SUMIFS('ноябрь 2023'!$G$4:$G$1127,'ноябрь 2023'!$D$4:$D$1127,$B84,'ноябрь 2023'!$J$4:$J$1127,V$1)</f>
        <v>0</v>
      </c>
      <c r="W84" s="207">
        <f>SUMIFS('ноябрь 2023'!$G$4:$G$1127,'ноябрь 2023'!$D$4:$D$1127,$B84,'ноябрь 2023'!$J$4:$J$1127,W$1)</f>
        <v>0</v>
      </c>
      <c r="X84" s="207">
        <f>SUMIFS('ноябрь 2023'!$G$4:$G$1127,'ноябрь 2023'!$D$4:$D$1127,$B84,'ноябрь 2023'!$J$4:$J$1127,X$1)</f>
        <v>0</v>
      </c>
      <c r="Y84" s="207">
        <f>SUMIFS('ноябрь 2023'!$G$4:$G$1127,'ноябрь 2023'!$D$4:$D$1127,$B84,'ноябрь 2023'!$J$4:$J$1127,Y$1)</f>
        <v>0</v>
      </c>
      <c r="Z84" s="207">
        <f>SUMIFS('ноябрь 2023'!$G$4:$G$1127,'ноябрь 2023'!$D$4:$D$1127,$B84,'ноябрь 2023'!$J$4:$J$1127,Z$1)</f>
        <v>0</v>
      </c>
      <c r="AA84" s="207">
        <f>SUMIFS('ноябрь 2023'!$G$4:$G$1127,'ноябрь 2023'!$D$4:$D$1127,$B84,'ноябрь 2023'!$J$4:$J$1127,AA$1)</f>
        <v>0</v>
      </c>
      <c r="AB84" s="207">
        <f>SUMIFS('ноябрь 2023'!$G$4:$G$1127,'ноябрь 2023'!$D$4:$D$1127,$B84,'ноябрь 2023'!$J$4:$J$1127,AB$1)</f>
        <v>0</v>
      </c>
      <c r="AC84" s="207">
        <f>SUMIFS('ноябрь 2023'!$G$4:$G$1127,'ноябрь 2023'!$D$4:$D$1127,$B84,'ноябрь 2023'!$J$4:$J$1127,AC$1)</f>
        <v>0</v>
      </c>
      <c r="AD84" s="207">
        <f>SUMIFS('ноябрь 2023'!$G$4:$G$1127,'ноябрь 2023'!$D$4:$D$1127,$B84,'ноябрь 2023'!$J$4:$J$1127,AD$1)</f>
        <v>0</v>
      </c>
      <c r="AE84" s="207">
        <f>SUMIFS('ноябрь 2023'!$G$4:$G$1127,'ноябрь 2023'!$D$4:$D$1127,$B84,'ноябрь 2023'!$J$4:$J$1127,AE$1)</f>
        <v>0</v>
      </c>
      <c r="AF84" s="207">
        <f>SUMIFS('ноябрь 2023'!$G$4:$G$1127,'ноябрь 2023'!$D$4:$D$1127,$B84,'ноябрь 2023'!$J$4:$J$1127,AF$1)</f>
        <v>0</v>
      </c>
      <c r="AG84" s="207">
        <f>SUMIFS('ноябрь 2023'!$G$4:$G$1127,'ноябрь 2023'!$D$4:$D$1127,$B84,'ноябрь 2023'!$J$4:$J$1127,AG$1)</f>
        <v>0</v>
      </c>
      <c r="AH84" s="207">
        <f>SUMIFS('ноябрь 2023'!$G$4:$G$1127,'ноябрь 2023'!$D$4:$D$1127,$B84,'ноябрь 2023'!$J$4:$J$1127,AH$1)</f>
        <v>0</v>
      </c>
      <c r="AI84" s="170">
        <f t="shared" si="2"/>
        <v>0</v>
      </c>
    </row>
    <row r="85" spans="2:35" ht="15" customHeight="1" x14ac:dyDescent="0.25">
      <c r="B85" s="216" t="s">
        <v>365</v>
      </c>
      <c r="C85" s="213">
        <v>185</v>
      </c>
      <c r="D85" s="207">
        <f>SUMIFS('ноябрь 2023'!$G$4:$G$1127,'ноябрь 2023'!$D$4:$D$1127,$B85,'ноябрь 2023'!$J$4:$J$1127,D$1)</f>
        <v>0</v>
      </c>
      <c r="E85" s="207">
        <f>SUMIFS('ноябрь 2023'!$G$4:$G$1127,'ноябрь 2023'!$D$4:$D$1127,$B85,'ноябрь 2023'!$J$4:$J$1127,E$1)</f>
        <v>0</v>
      </c>
      <c r="F85" s="207">
        <f>SUMIFS('ноябрь 2023'!$G$4:$G$1127,'ноябрь 2023'!$D$4:$D$1127,$B85,'ноябрь 2023'!$J$4:$J$1127,F$1)</f>
        <v>0</v>
      </c>
      <c r="G85" s="207">
        <f>SUMIFS('ноябрь 2023'!$G$4:$G$1127,'ноябрь 2023'!$D$4:$D$1127,$B85,'ноябрь 2023'!$J$4:$J$1127,G$1)</f>
        <v>0</v>
      </c>
      <c r="H85" s="207">
        <f>SUMIFS('ноябрь 2023'!$G$4:$G$1127,'ноябрь 2023'!$D$4:$D$1127,$B85,'ноябрь 2023'!$J$4:$J$1127,H$1)</f>
        <v>0</v>
      </c>
      <c r="I85" s="207">
        <f>SUMIFS('ноябрь 2023'!$G$4:$G$1127,'ноябрь 2023'!$D$4:$D$1127,$B85,'ноябрь 2023'!$J$4:$J$1127,I$1)</f>
        <v>0</v>
      </c>
      <c r="J85" s="207">
        <f>SUMIFS('ноябрь 2023'!$G$4:$G$1127,'ноябрь 2023'!$D$4:$D$1127,$B85,'ноябрь 2023'!$J$4:$J$1127,J$1)</f>
        <v>0</v>
      </c>
      <c r="K85" s="207">
        <f>SUMIFS('ноябрь 2023'!$G$4:$G$1127,'ноябрь 2023'!$D$4:$D$1127,$B85,'ноябрь 2023'!$J$4:$J$1127,K$1)</f>
        <v>0</v>
      </c>
      <c r="L85" s="207">
        <f>SUMIFS('ноябрь 2023'!$G$4:$G$1127,'ноябрь 2023'!$D$4:$D$1127,$B85,'ноябрь 2023'!$J$4:$J$1127,L$1)</f>
        <v>0</v>
      </c>
      <c r="M85" s="207">
        <f>SUMIFS('ноябрь 2023'!$G$4:$G$1127,'ноябрь 2023'!$D$4:$D$1127,$B85,'ноябрь 2023'!$J$4:$J$1127,M$1)</f>
        <v>0</v>
      </c>
      <c r="N85" s="207">
        <f>SUMIFS('ноябрь 2023'!$G$4:$G$1127,'ноябрь 2023'!$D$4:$D$1127,$B85,'ноябрь 2023'!$J$4:$J$1127,N$1)</f>
        <v>0</v>
      </c>
      <c r="O85" s="207">
        <f>SUMIFS('ноябрь 2023'!$G$4:$G$1127,'ноябрь 2023'!$D$4:$D$1127,$B85,'ноябрь 2023'!$J$4:$J$1127,O$1)</f>
        <v>0</v>
      </c>
      <c r="P85" s="207">
        <f>SUMIFS('ноябрь 2023'!$G$4:$G$1127,'ноябрь 2023'!$D$4:$D$1127,$B85,'ноябрь 2023'!$J$4:$J$1127,P$1)</f>
        <v>0</v>
      </c>
      <c r="Q85" s="207">
        <f>SUMIFS('ноябрь 2023'!$G$4:$G$1127,'ноябрь 2023'!$D$4:$D$1127,$B85,'ноябрь 2023'!$J$4:$J$1127,Q$1)</f>
        <v>0</v>
      </c>
      <c r="R85" s="207">
        <f>SUMIFS('ноябрь 2023'!$G$4:$G$1127,'ноябрь 2023'!$D$4:$D$1127,$B85,'ноябрь 2023'!$J$4:$J$1127,R$1)</f>
        <v>0</v>
      </c>
      <c r="S85" s="207">
        <f>SUMIFS('ноябрь 2023'!$G$4:$G$1127,'ноябрь 2023'!$D$4:$D$1127,$B85,'ноябрь 2023'!$J$4:$J$1127,S$1)</f>
        <v>0</v>
      </c>
      <c r="T85" s="207">
        <f>SUMIFS('ноябрь 2023'!$G$4:$G$1127,'ноябрь 2023'!$D$4:$D$1127,$B85,'ноябрь 2023'!$J$4:$J$1127,T$1)</f>
        <v>16</v>
      </c>
      <c r="U85" s="207">
        <f>SUMIFS('ноябрь 2023'!$G$4:$G$1127,'ноябрь 2023'!$D$4:$D$1127,$B85,'ноябрь 2023'!$J$4:$J$1127,U$1)</f>
        <v>0</v>
      </c>
      <c r="V85" s="207">
        <f>SUMIFS('ноябрь 2023'!$G$4:$G$1127,'ноябрь 2023'!$D$4:$D$1127,$B85,'ноябрь 2023'!$J$4:$J$1127,V$1)</f>
        <v>0</v>
      </c>
      <c r="W85" s="207">
        <f>SUMIFS('ноябрь 2023'!$G$4:$G$1127,'ноябрь 2023'!$D$4:$D$1127,$B85,'ноябрь 2023'!$J$4:$J$1127,W$1)</f>
        <v>0</v>
      </c>
      <c r="X85" s="207">
        <f>SUMIFS('ноябрь 2023'!$G$4:$G$1127,'ноябрь 2023'!$D$4:$D$1127,$B85,'ноябрь 2023'!$J$4:$J$1127,X$1)</f>
        <v>0</v>
      </c>
      <c r="Y85" s="207">
        <f>SUMIFS('ноябрь 2023'!$G$4:$G$1127,'ноябрь 2023'!$D$4:$D$1127,$B85,'ноябрь 2023'!$J$4:$J$1127,Y$1)</f>
        <v>0</v>
      </c>
      <c r="Z85" s="207">
        <f>SUMIFS('ноябрь 2023'!$G$4:$G$1127,'ноябрь 2023'!$D$4:$D$1127,$B85,'ноябрь 2023'!$J$4:$J$1127,Z$1)</f>
        <v>0</v>
      </c>
      <c r="AA85" s="207">
        <f>SUMIFS('ноябрь 2023'!$G$4:$G$1127,'ноябрь 2023'!$D$4:$D$1127,$B85,'ноябрь 2023'!$J$4:$J$1127,AA$1)</f>
        <v>0</v>
      </c>
      <c r="AB85" s="207">
        <f>SUMIFS('ноябрь 2023'!$G$4:$G$1127,'ноябрь 2023'!$D$4:$D$1127,$B85,'ноябрь 2023'!$J$4:$J$1127,AB$1)</f>
        <v>0</v>
      </c>
      <c r="AC85" s="207">
        <f>SUMIFS('ноябрь 2023'!$G$4:$G$1127,'ноябрь 2023'!$D$4:$D$1127,$B85,'ноябрь 2023'!$J$4:$J$1127,AC$1)</f>
        <v>0</v>
      </c>
      <c r="AD85" s="207">
        <f>SUMIFS('ноябрь 2023'!$G$4:$G$1127,'ноябрь 2023'!$D$4:$D$1127,$B85,'ноябрь 2023'!$J$4:$J$1127,AD$1)</f>
        <v>0</v>
      </c>
      <c r="AE85" s="207">
        <f>SUMIFS('ноябрь 2023'!$G$4:$G$1127,'ноябрь 2023'!$D$4:$D$1127,$B85,'ноябрь 2023'!$J$4:$J$1127,AE$1)</f>
        <v>0</v>
      </c>
      <c r="AF85" s="207">
        <f>SUMIFS('ноябрь 2023'!$G$4:$G$1127,'ноябрь 2023'!$D$4:$D$1127,$B85,'ноябрь 2023'!$J$4:$J$1127,AF$1)</f>
        <v>0</v>
      </c>
      <c r="AG85" s="207">
        <f>SUMIFS('ноябрь 2023'!$G$4:$G$1127,'ноябрь 2023'!$D$4:$D$1127,$B85,'ноябрь 2023'!$J$4:$J$1127,AG$1)</f>
        <v>0</v>
      </c>
      <c r="AH85" s="207">
        <f>SUMIFS('ноябрь 2023'!$G$4:$G$1127,'ноябрь 2023'!$D$4:$D$1127,$B85,'ноябрь 2023'!$J$4:$J$1127,AH$1)</f>
        <v>0</v>
      </c>
      <c r="AI85" s="170">
        <f t="shared" si="2"/>
        <v>16</v>
      </c>
    </row>
    <row r="86" spans="2:35" ht="15" customHeight="1" x14ac:dyDescent="0.25">
      <c r="B86" s="212" t="s">
        <v>2189</v>
      </c>
      <c r="C86" s="211">
        <v>180</v>
      </c>
      <c r="D86" s="207">
        <f>SUMIFS('ноябрь 2023'!$G$4:$G$1127,'ноябрь 2023'!$D$4:$D$1127,$B86,'ноябрь 2023'!$J$4:$J$1127,D$1)</f>
        <v>0</v>
      </c>
      <c r="E86" s="207">
        <f>SUMIFS('ноябрь 2023'!$G$4:$G$1127,'ноябрь 2023'!$D$4:$D$1127,$B86,'ноябрь 2023'!$J$4:$J$1127,E$1)</f>
        <v>0</v>
      </c>
      <c r="F86" s="207">
        <f>SUMIFS('ноябрь 2023'!$G$4:$G$1127,'ноябрь 2023'!$D$4:$D$1127,$B86,'ноябрь 2023'!$J$4:$J$1127,F$1)</f>
        <v>0</v>
      </c>
      <c r="G86" s="207">
        <f>SUMIFS('ноябрь 2023'!$G$4:$G$1127,'ноябрь 2023'!$D$4:$D$1127,$B86,'ноябрь 2023'!$J$4:$J$1127,G$1)</f>
        <v>0</v>
      </c>
      <c r="H86" s="207">
        <f>SUMIFS('ноябрь 2023'!$G$4:$G$1127,'ноябрь 2023'!$D$4:$D$1127,$B86,'ноябрь 2023'!$J$4:$J$1127,H$1)</f>
        <v>0</v>
      </c>
      <c r="I86" s="207">
        <f>SUMIFS('ноябрь 2023'!$G$4:$G$1127,'ноябрь 2023'!$D$4:$D$1127,$B86,'ноябрь 2023'!$J$4:$J$1127,I$1)</f>
        <v>0</v>
      </c>
      <c r="J86" s="207">
        <f>SUMIFS('ноябрь 2023'!$G$4:$G$1127,'ноябрь 2023'!$D$4:$D$1127,$B86,'ноябрь 2023'!$J$4:$J$1127,J$1)</f>
        <v>0</v>
      </c>
      <c r="K86" s="207">
        <f>SUMIFS('ноябрь 2023'!$G$4:$G$1127,'ноябрь 2023'!$D$4:$D$1127,$B86,'ноябрь 2023'!$J$4:$J$1127,K$1)</f>
        <v>0</v>
      </c>
      <c r="L86" s="207">
        <f>SUMIFS('ноябрь 2023'!$G$4:$G$1127,'ноябрь 2023'!$D$4:$D$1127,$B86,'ноябрь 2023'!$J$4:$J$1127,L$1)</f>
        <v>0</v>
      </c>
      <c r="M86" s="207">
        <f>SUMIFS('ноябрь 2023'!$G$4:$G$1127,'ноябрь 2023'!$D$4:$D$1127,$B86,'ноябрь 2023'!$J$4:$J$1127,M$1)</f>
        <v>0</v>
      </c>
      <c r="N86" s="207">
        <f>SUMIFS('ноябрь 2023'!$G$4:$G$1127,'ноябрь 2023'!$D$4:$D$1127,$B86,'ноябрь 2023'!$J$4:$J$1127,N$1)</f>
        <v>0</v>
      </c>
      <c r="O86" s="207">
        <f>SUMIFS('ноябрь 2023'!$G$4:$G$1127,'ноябрь 2023'!$D$4:$D$1127,$B86,'ноябрь 2023'!$J$4:$J$1127,O$1)</f>
        <v>0</v>
      </c>
      <c r="P86" s="207">
        <f>SUMIFS('ноябрь 2023'!$G$4:$G$1127,'ноябрь 2023'!$D$4:$D$1127,$B86,'ноябрь 2023'!$J$4:$J$1127,P$1)</f>
        <v>0</v>
      </c>
      <c r="Q86" s="207">
        <f>SUMIFS('ноябрь 2023'!$G$4:$G$1127,'ноябрь 2023'!$D$4:$D$1127,$B86,'ноябрь 2023'!$J$4:$J$1127,Q$1)</f>
        <v>0</v>
      </c>
      <c r="R86" s="207">
        <f>SUMIFS('ноябрь 2023'!$G$4:$G$1127,'ноябрь 2023'!$D$4:$D$1127,$B86,'ноябрь 2023'!$J$4:$J$1127,R$1)</f>
        <v>0</v>
      </c>
      <c r="S86" s="207">
        <f>SUMIFS('ноябрь 2023'!$G$4:$G$1127,'ноябрь 2023'!$D$4:$D$1127,$B86,'ноябрь 2023'!$J$4:$J$1127,S$1)</f>
        <v>0</v>
      </c>
      <c r="T86" s="207">
        <f>SUMIFS('ноябрь 2023'!$G$4:$G$1127,'ноябрь 2023'!$D$4:$D$1127,$B86,'ноябрь 2023'!$J$4:$J$1127,T$1)</f>
        <v>0</v>
      </c>
      <c r="U86" s="207">
        <f>SUMIFS('ноябрь 2023'!$G$4:$G$1127,'ноябрь 2023'!$D$4:$D$1127,$B86,'ноябрь 2023'!$J$4:$J$1127,U$1)</f>
        <v>0</v>
      </c>
      <c r="V86" s="207">
        <f>SUMIFS('ноябрь 2023'!$G$4:$G$1127,'ноябрь 2023'!$D$4:$D$1127,$B86,'ноябрь 2023'!$J$4:$J$1127,V$1)</f>
        <v>0</v>
      </c>
      <c r="W86" s="207">
        <f>SUMIFS('ноябрь 2023'!$G$4:$G$1127,'ноябрь 2023'!$D$4:$D$1127,$B86,'ноябрь 2023'!$J$4:$J$1127,W$1)</f>
        <v>0</v>
      </c>
      <c r="X86" s="207">
        <f>SUMIFS('ноябрь 2023'!$G$4:$G$1127,'ноябрь 2023'!$D$4:$D$1127,$B86,'ноябрь 2023'!$J$4:$J$1127,X$1)</f>
        <v>0</v>
      </c>
      <c r="Y86" s="207">
        <f>SUMIFS('ноябрь 2023'!$G$4:$G$1127,'ноябрь 2023'!$D$4:$D$1127,$B86,'ноябрь 2023'!$J$4:$J$1127,Y$1)</f>
        <v>0</v>
      </c>
      <c r="Z86" s="207">
        <f>SUMIFS('ноябрь 2023'!$G$4:$G$1127,'ноябрь 2023'!$D$4:$D$1127,$B86,'ноябрь 2023'!$J$4:$J$1127,Z$1)</f>
        <v>0</v>
      </c>
      <c r="AA86" s="207">
        <f>SUMIFS('ноябрь 2023'!$G$4:$G$1127,'ноябрь 2023'!$D$4:$D$1127,$B86,'ноябрь 2023'!$J$4:$J$1127,AA$1)</f>
        <v>0</v>
      </c>
      <c r="AB86" s="207">
        <f>SUMIFS('ноябрь 2023'!$G$4:$G$1127,'ноябрь 2023'!$D$4:$D$1127,$B86,'ноябрь 2023'!$J$4:$J$1127,AB$1)</f>
        <v>0</v>
      </c>
      <c r="AC86" s="207">
        <f>SUMIFS('ноябрь 2023'!$G$4:$G$1127,'ноябрь 2023'!$D$4:$D$1127,$B86,'ноябрь 2023'!$J$4:$J$1127,AC$1)</f>
        <v>0</v>
      </c>
      <c r="AD86" s="207">
        <f>SUMIFS('ноябрь 2023'!$G$4:$G$1127,'ноябрь 2023'!$D$4:$D$1127,$B86,'ноябрь 2023'!$J$4:$J$1127,AD$1)</f>
        <v>0</v>
      </c>
      <c r="AE86" s="207">
        <f>SUMIFS('ноябрь 2023'!$G$4:$G$1127,'ноябрь 2023'!$D$4:$D$1127,$B86,'ноябрь 2023'!$J$4:$J$1127,AE$1)</f>
        <v>0</v>
      </c>
      <c r="AF86" s="207">
        <f>SUMIFS('ноябрь 2023'!$G$4:$G$1127,'ноябрь 2023'!$D$4:$D$1127,$B86,'ноябрь 2023'!$J$4:$J$1127,AF$1)</f>
        <v>0</v>
      </c>
      <c r="AG86" s="207">
        <f>SUMIFS('ноябрь 2023'!$G$4:$G$1127,'ноябрь 2023'!$D$4:$D$1127,$B86,'ноябрь 2023'!$J$4:$J$1127,AG$1)</f>
        <v>0</v>
      </c>
      <c r="AH86" s="207">
        <f>SUMIFS('ноябрь 2023'!$G$4:$G$1127,'ноябрь 2023'!$D$4:$D$1127,$B86,'ноябрь 2023'!$J$4:$J$1127,AH$1)</f>
        <v>0</v>
      </c>
      <c r="AI86" s="170">
        <f t="shared" si="2"/>
        <v>0</v>
      </c>
    </row>
    <row r="87" spans="2:35" ht="15" customHeight="1" x14ac:dyDescent="0.25">
      <c r="B87" s="217" t="s">
        <v>857</v>
      </c>
      <c r="C87" s="213">
        <v>185</v>
      </c>
      <c r="D87" s="207">
        <f>SUMIFS('ноябрь 2023'!$G$4:$G$1127,'ноябрь 2023'!$D$4:$D$1127,$B87,'ноябрь 2023'!$J$4:$J$1127,D$1)</f>
        <v>0</v>
      </c>
      <c r="E87" s="207">
        <f>SUMIFS('ноябрь 2023'!$G$4:$G$1127,'ноябрь 2023'!$D$4:$D$1127,$B87,'ноябрь 2023'!$J$4:$J$1127,E$1)</f>
        <v>0</v>
      </c>
      <c r="F87" s="207">
        <f>SUMIFS('ноябрь 2023'!$G$4:$G$1127,'ноябрь 2023'!$D$4:$D$1127,$B87,'ноябрь 2023'!$J$4:$J$1127,F$1)</f>
        <v>0</v>
      </c>
      <c r="G87" s="207">
        <f>SUMIFS('ноябрь 2023'!$G$4:$G$1127,'ноябрь 2023'!$D$4:$D$1127,$B87,'ноябрь 2023'!$J$4:$J$1127,G$1)</f>
        <v>0</v>
      </c>
      <c r="H87" s="207">
        <f>SUMIFS('ноябрь 2023'!$G$4:$G$1127,'ноябрь 2023'!$D$4:$D$1127,$B87,'ноябрь 2023'!$J$4:$J$1127,H$1)</f>
        <v>0</v>
      </c>
      <c r="I87" s="207">
        <f>SUMIFS('ноябрь 2023'!$G$4:$G$1127,'ноябрь 2023'!$D$4:$D$1127,$B87,'ноябрь 2023'!$J$4:$J$1127,I$1)</f>
        <v>0</v>
      </c>
      <c r="J87" s="207">
        <f>SUMIFS('ноябрь 2023'!$G$4:$G$1127,'ноябрь 2023'!$D$4:$D$1127,$B87,'ноябрь 2023'!$J$4:$J$1127,J$1)</f>
        <v>0</v>
      </c>
      <c r="K87" s="207">
        <f>SUMIFS('ноябрь 2023'!$G$4:$G$1127,'ноябрь 2023'!$D$4:$D$1127,$B87,'ноябрь 2023'!$J$4:$J$1127,K$1)</f>
        <v>0</v>
      </c>
      <c r="L87" s="207">
        <f>SUMIFS('ноябрь 2023'!$G$4:$G$1127,'ноябрь 2023'!$D$4:$D$1127,$B87,'ноябрь 2023'!$J$4:$J$1127,L$1)</f>
        <v>0</v>
      </c>
      <c r="M87" s="207">
        <f>SUMIFS('ноябрь 2023'!$G$4:$G$1127,'ноябрь 2023'!$D$4:$D$1127,$B87,'ноябрь 2023'!$J$4:$J$1127,M$1)</f>
        <v>0</v>
      </c>
      <c r="N87" s="207">
        <f>SUMIFS('ноябрь 2023'!$G$4:$G$1127,'ноябрь 2023'!$D$4:$D$1127,$B87,'ноябрь 2023'!$J$4:$J$1127,N$1)</f>
        <v>0</v>
      </c>
      <c r="O87" s="207">
        <f>SUMIFS('ноябрь 2023'!$G$4:$G$1127,'ноябрь 2023'!$D$4:$D$1127,$B87,'ноябрь 2023'!$J$4:$J$1127,O$1)</f>
        <v>0</v>
      </c>
      <c r="P87" s="207">
        <f>SUMIFS('ноябрь 2023'!$G$4:$G$1127,'ноябрь 2023'!$D$4:$D$1127,$B87,'ноябрь 2023'!$J$4:$J$1127,P$1)</f>
        <v>0</v>
      </c>
      <c r="Q87" s="207">
        <f>SUMIFS('ноябрь 2023'!$G$4:$G$1127,'ноябрь 2023'!$D$4:$D$1127,$B87,'ноябрь 2023'!$J$4:$J$1127,Q$1)</f>
        <v>0</v>
      </c>
      <c r="R87" s="207">
        <f>SUMIFS('ноябрь 2023'!$G$4:$G$1127,'ноябрь 2023'!$D$4:$D$1127,$B87,'ноябрь 2023'!$J$4:$J$1127,R$1)</f>
        <v>0</v>
      </c>
      <c r="S87" s="207">
        <f>SUMIFS('ноябрь 2023'!$G$4:$G$1127,'ноябрь 2023'!$D$4:$D$1127,$B87,'ноябрь 2023'!$J$4:$J$1127,S$1)</f>
        <v>0</v>
      </c>
      <c r="T87" s="207">
        <f>SUMIFS('ноябрь 2023'!$G$4:$G$1127,'ноябрь 2023'!$D$4:$D$1127,$B87,'ноябрь 2023'!$J$4:$J$1127,T$1)</f>
        <v>0</v>
      </c>
      <c r="U87" s="207">
        <f>SUMIFS('ноябрь 2023'!$G$4:$G$1127,'ноябрь 2023'!$D$4:$D$1127,$B87,'ноябрь 2023'!$J$4:$J$1127,U$1)</f>
        <v>0</v>
      </c>
      <c r="V87" s="207">
        <f>SUMIFS('ноябрь 2023'!$G$4:$G$1127,'ноябрь 2023'!$D$4:$D$1127,$B87,'ноябрь 2023'!$J$4:$J$1127,V$1)</f>
        <v>0</v>
      </c>
      <c r="W87" s="207">
        <f>SUMIFS('ноябрь 2023'!$G$4:$G$1127,'ноябрь 2023'!$D$4:$D$1127,$B87,'ноябрь 2023'!$J$4:$J$1127,W$1)</f>
        <v>0</v>
      </c>
      <c r="X87" s="207">
        <f>SUMIFS('ноябрь 2023'!$G$4:$G$1127,'ноябрь 2023'!$D$4:$D$1127,$B87,'ноябрь 2023'!$J$4:$J$1127,X$1)</f>
        <v>0</v>
      </c>
      <c r="Y87" s="207">
        <f>SUMIFS('ноябрь 2023'!$G$4:$G$1127,'ноябрь 2023'!$D$4:$D$1127,$B87,'ноябрь 2023'!$J$4:$J$1127,Y$1)</f>
        <v>0</v>
      </c>
      <c r="Z87" s="207">
        <f>SUMIFS('ноябрь 2023'!$G$4:$G$1127,'ноябрь 2023'!$D$4:$D$1127,$B87,'ноябрь 2023'!$J$4:$J$1127,Z$1)</f>
        <v>0</v>
      </c>
      <c r="AA87" s="207">
        <f>SUMIFS('ноябрь 2023'!$G$4:$G$1127,'ноябрь 2023'!$D$4:$D$1127,$B87,'ноябрь 2023'!$J$4:$J$1127,AA$1)</f>
        <v>0</v>
      </c>
      <c r="AB87" s="207">
        <f>SUMIFS('ноябрь 2023'!$G$4:$G$1127,'ноябрь 2023'!$D$4:$D$1127,$B87,'ноябрь 2023'!$J$4:$J$1127,AB$1)</f>
        <v>0</v>
      </c>
      <c r="AC87" s="207">
        <f>SUMIFS('ноябрь 2023'!$G$4:$G$1127,'ноябрь 2023'!$D$4:$D$1127,$B87,'ноябрь 2023'!$J$4:$J$1127,AC$1)</f>
        <v>0</v>
      </c>
      <c r="AD87" s="207">
        <f>SUMIFS('ноябрь 2023'!$G$4:$G$1127,'ноябрь 2023'!$D$4:$D$1127,$B87,'ноябрь 2023'!$J$4:$J$1127,AD$1)</f>
        <v>0</v>
      </c>
      <c r="AE87" s="207">
        <f>SUMIFS('ноябрь 2023'!$G$4:$G$1127,'ноябрь 2023'!$D$4:$D$1127,$B87,'ноябрь 2023'!$J$4:$J$1127,AE$1)</f>
        <v>0</v>
      </c>
      <c r="AF87" s="207">
        <f>SUMIFS('ноябрь 2023'!$G$4:$G$1127,'ноябрь 2023'!$D$4:$D$1127,$B87,'ноябрь 2023'!$J$4:$J$1127,AF$1)</f>
        <v>0</v>
      </c>
      <c r="AG87" s="207">
        <f>SUMIFS('ноябрь 2023'!$G$4:$G$1127,'ноябрь 2023'!$D$4:$D$1127,$B87,'ноябрь 2023'!$J$4:$J$1127,AG$1)</f>
        <v>0</v>
      </c>
      <c r="AH87" s="207">
        <f>SUMIFS('ноябрь 2023'!$G$4:$G$1127,'ноябрь 2023'!$D$4:$D$1127,$B87,'ноябрь 2023'!$J$4:$J$1127,AH$1)</f>
        <v>0</v>
      </c>
      <c r="AI87" s="170">
        <f t="shared" si="2"/>
        <v>0</v>
      </c>
    </row>
    <row r="88" spans="2:35" ht="15" customHeight="1" x14ac:dyDescent="0.25">
      <c r="B88" s="212" t="s">
        <v>2190</v>
      </c>
      <c r="C88" s="213">
        <v>180</v>
      </c>
      <c r="D88" s="207">
        <f>SUMIFS('ноябрь 2023'!$G$4:$G$1127,'ноябрь 2023'!$D$4:$D$1127,$B88,'ноябрь 2023'!$J$4:$J$1127,D$1)</f>
        <v>0</v>
      </c>
      <c r="E88" s="207">
        <f>SUMIFS('ноябрь 2023'!$G$4:$G$1127,'ноябрь 2023'!$D$4:$D$1127,$B88,'ноябрь 2023'!$J$4:$J$1127,E$1)</f>
        <v>0</v>
      </c>
      <c r="F88" s="207">
        <f>SUMIFS('ноябрь 2023'!$G$4:$G$1127,'ноябрь 2023'!$D$4:$D$1127,$B88,'ноябрь 2023'!$J$4:$J$1127,F$1)</f>
        <v>0</v>
      </c>
      <c r="G88" s="207">
        <f>SUMIFS('ноябрь 2023'!$G$4:$G$1127,'ноябрь 2023'!$D$4:$D$1127,$B88,'ноябрь 2023'!$J$4:$J$1127,G$1)</f>
        <v>0</v>
      </c>
      <c r="H88" s="207">
        <f>SUMIFS('ноябрь 2023'!$G$4:$G$1127,'ноябрь 2023'!$D$4:$D$1127,$B88,'ноябрь 2023'!$J$4:$J$1127,H$1)</f>
        <v>0</v>
      </c>
      <c r="I88" s="207">
        <f>SUMIFS('ноябрь 2023'!$G$4:$G$1127,'ноябрь 2023'!$D$4:$D$1127,$B88,'ноябрь 2023'!$J$4:$J$1127,I$1)</f>
        <v>0</v>
      </c>
      <c r="J88" s="207">
        <f>SUMIFS('ноябрь 2023'!$G$4:$G$1127,'ноябрь 2023'!$D$4:$D$1127,$B88,'ноябрь 2023'!$J$4:$J$1127,J$1)</f>
        <v>0</v>
      </c>
      <c r="K88" s="207">
        <f>SUMIFS('ноябрь 2023'!$G$4:$G$1127,'ноябрь 2023'!$D$4:$D$1127,$B88,'ноябрь 2023'!$J$4:$J$1127,K$1)</f>
        <v>0</v>
      </c>
      <c r="L88" s="207">
        <f>SUMIFS('ноябрь 2023'!$G$4:$G$1127,'ноябрь 2023'!$D$4:$D$1127,$B88,'ноябрь 2023'!$J$4:$J$1127,L$1)</f>
        <v>0</v>
      </c>
      <c r="M88" s="207">
        <f>SUMIFS('ноябрь 2023'!$G$4:$G$1127,'ноябрь 2023'!$D$4:$D$1127,$B88,'ноябрь 2023'!$J$4:$J$1127,M$1)</f>
        <v>0</v>
      </c>
      <c r="N88" s="207">
        <f>SUMIFS('ноябрь 2023'!$G$4:$G$1127,'ноябрь 2023'!$D$4:$D$1127,$B88,'ноябрь 2023'!$J$4:$J$1127,N$1)</f>
        <v>0</v>
      </c>
      <c r="O88" s="207">
        <f>SUMIFS('ноябрь 2023'!$G$4:$G$1127,'ноябрь 2023'!$D$4:$D$1127,$B88,'ноябрь 2023'!$J$4:$J$1127,O$1)</f>
        <v>0</v>
      </c>
      <c r="P88" s="207">
        <f>SUMIFS('ноябрь 2023'!$G$4:$G$1127,'ноябрь 2023'!$D$4:$D$1127,$B88,'ноябрь 2023'!$J$4:$J$1127,P$1)</f>
        <v>0</v>
      </c>
      <c r="Q88" s="207">
        <f>SUMIFS('ноябрь 2023'!$G$4:$G$1127,'ноябрь 2023'!$D$4:$D$1127,$B88,'ноябрь 2023'!$J$4:$J$1127,Q$1)</f>
        <v>0</v>
      </c>
      <c r="R88" s="207">
        <f>SUMIFS('ноябрь 2023'!$G$4:$G$1127,'ноябрь 2023'!$D$4:$D$1127,$B88,'ноябрь 2023'!$J$4:$J$1127,R$1)</f>
        <v>0</v>
      </c>
      <c r="S88" s="207">
        <f>SUMIFS('ноябрь 2023'!$G$4:$G$1127,'ноябрь 2023'!$D$4:$D$1127,$B88,'ноябрь 2023'!$J$4:$J$1127,S$1)</f>
        <v>0</v>
      </c>
      <c r="T88" s="207">
        <f>SUMIFS('ноябрь 2023'!$G$4:$G$1127,'ноябрь 2023'!$D$4:$D$1127,$B88,'ноябрь 2023'!$J$4:$J$1127,T$1)</f>
        <v>0</v>
      </c>
      <c r="U88" s="207">
        <f>SUMIFS('ноябрь 2023'!$G$4:$G$1127,'ноябрь 2023'!$D$4:$D$1127,$B88,'ноябрь 2023'!$J$4:$J$1127,U$1)</f>
        <v>0</v>
      </c>
      <c r="V88" s="207">
        <f>SUMIFS('ноябрь 2023'!$G$4:$G$1127,'ноябрь 2023'!$D$4:$D$1127,$B88,'ноябрь 2023'!$J$4:$J$1127,V$1)</f>
        <v>0</v>
      </c>
      <c r="W88" s="207">
        <f>SUMIFS('ноябрь 2023'!$G$4:$G$1127,'ноябрь 2023'!$D$4:$D$1127,$B88,'ноябрь 2023'!$J$4:$J$1127,W$1)</f>
        <v>0</v>
      </c>
      <c r="X88" s="207">
        <f>SUMIFS('ноябрь 2023'!$G$4:$G$1127,'ноябрь 2023'!$D$4:$D$1127,$B88,'ноябрь 2023'!$J$4:$J$1127,X$1)</f>
        <v>0</v>
      </c>
      <c r="Y88" s="207">
        <f>SUMIFS('ноябрь 2023'!$G$4:$G$1127,'ноябрь 2023'!$D$4:$D$1127,$B88,'ноябрь 2023'!$J$4:$J$1127,Y$1)</f>
        <v>0</v>
      </c>
      <c r="Z88" s="207">
        <f>SUMIFS('ноябрь 2023'!$G$4:$G$1127,'ноябрь 2023'!$D$4:$D$1127,$B88,'ноябрь 2023'!$J$4:$J$1127,Z$1)</f>
        <v>0</v>
      </c>
      <c r="AA88" s="207">
        <f>SUMIFS('ноябрь 2023'!$G$4:$G$1127,'ноябрь 2023'!$D$4:$D$1127,$B88,'ноябрь 2023'!$J$4:$J$1127,AA$1)</f>
        <v>0</v>
      </c>
      <c r="AB88" s="207">
        <f>SUMIFS('ноябрь 2023'!$G$4:$G$1127,'ноябрь 2023'!$D$4:$D$1127,$B88,'ноябрь 2023'!$J$4:$J$1127,AB$1)</f>
        <v>0</v>
      </c>
      <c r="AC88" s="207">
        <f>SUMIFS('ноябрь 2023'!$G$4:$G$1127,'ноябрь 2023'!$D$4:$D$1127,$B88,'ноябрь 2023'!$J$4:$J$1127,AC$1)</f>
        <v>0</v>
      </c>
      <c r="AD88" s="207">
        <f>SUMIFS('ноябрь 2023'!$G$4:$G$1127,'ноябрь 2023'!$D$4:$D$1127,$B88,'ноябрь 2023'!$J$4:$J$1127,AD$1)</f>
        <v>0</v>
      </c>
      <c r="AE88" s="207">
        <f>SUMIFS('ноябрь 2023'!$G$4:$G$1127,'ноябрь 2023'!$D$4:$D$1127,$B88,'ноябрь 2023'!$J$4:$J$1127,AE$1)</f>
        <v>0</v>
      </c>
      <c r="AF88" s="207">
        <f>SUMIFS('ноябрь 2023'!$G$4:$G$1127,'ноябрь 2023'!$D$4:$D$1127,$B88,'ноябрь 2023'!$J$4:$J$1127,AF$1)</f>
        <v>0</v>
      </c>
      <c r="AG88" s="207">
        <f>SUMIFS('ноябрь 2023'!$G$4:$G$1127,'ноябрь 2023'!$D$4:$D$1127,$B88,'ноябрь 2023'!$J$4:$J$1127,AG$1)</f>
        <v>0</v>
      </c>
      <c r="AH88" s="207">
        <f>SUMIFS('ноябрь 2023'!$G$4:$G$1127,'ноябрь 2023'!$D$4:$D$1127,$B88,'ноябрь 2023'!$J$4:$J$1127,AH$1)</f>
        <v>0</v>
      </c>
      <c r="AI88" s="170">
        <f t="shared" si="2"/>
        <v>0</v>
      </c>
    </row>
    <row r="89" spans="2:35" ht="15" customHeight="1" x14ac:dyDescent="0.25">
      <c r="B89" s="212" t="s">
        <v>371</v>
      </c>
      <c r="C89" s="211">
        <v>200</v>
      </c>
      <c r="D89" s="207">
        <f>SUMIFS('ноябрь 2023'!$G$4:$G$1127,'ноябрь 2023'!$D$4:$D$1127,$B89,'ноябрь 2023'!$J$4:$J$1127,D$1)</f>
        <v>0</v>
      </c>
      <c r="E89" s="207">
        <f>SUMIFS('ноябрь 2023'!$G$4:$G$1127,'ноябрь 2023'!$D$4:$D$1127,$B89,'ноябрь 2023'!$J$4:$J$1127,E$1)</f>
        <v>0</v>
      </c>
      <c r="F89" s="207">
        <f>SUMIFS('ноябрь 2023'!$G$4:$G$1127,'ноябрь 2023'!$D$4:$D$1127,$B89,'ноябрь 2023'!$J$4:$J$1127,F$1)</f>
        <v>0</v>
      </c>
      <c r="G89" s="207">
        <f>SUMIFS('ноябрь 2023'!$G$4:$G$1127,'ноябрь 2023'!$D$4:$D$1127,$B89,'ноябрь 2023'!$J$4:$J$1127,G$1)</f>
        <v>0</v>
      </c>
      <c r="H89" s="207">
        <f>SUMIFS('ноябрь 2023'!$G$4:$G$1127,'ноябрь 2023'!$D$4:$D$1127,$B89,'ноябрь 2023'!$J$4:$J$1127,H$1)</f>
        <v>0</v>
      </c>
      <c r="I89" s="207">
        <f>SUMIFS('ноябрь 2023'!$G$4:$G$1127,'ноябрь 2023'!$D$4:$D$1127,$B89,'ноябрь 2023'!$J$4:$J$1127,I$1)</f>
        <v>0</v>
      </c>
      <c r="J89" s="207">
        <f>SUMIFS('ноябрь 2023'!$G$4:$G$1127,'ноябрь 2023'!$D$4:$D$1127,$B89,'ноябрь 2023'!$J$4:$J$1127,J$1)</f>
        <v>0</v>
      </c>
      <c r="K89" s="207">
        <f>SUMIFS('ноябрь 2023'!$G$4:$G$1127,'ноябрь 2023'!$D$4:$D$1127,$B89,'ноябрь 2023'!$J$4:$J$1127,K$1)</f>
        <v>0</v>
      </c>
      <c r="L89" s="207">
        <f>SUMIFS('ноябрь 2023'!$G$4:$G$1127,'ноябрь 2023'!$D$4:$D$1127,$B89,'ноябрь 2023'!$J$4:$J$1127,L$1)</f>
        <v>0</v>
      </c>
      <c r="M89" s="207">
        <f>SUMIFS('ноябрь 2023'!$G$4:$G$1127,'ноябрь 2023'!$D$4:$D$1127,$B89,'ноябрь 2023'!$J$4:$J$1127,M$1)</f>
        <v>0</v>
      </c>
      <c r="N89" s="207">
        <f>SUMIFS('ноябрь 2023'!$G$4:$G$1127,'ноябрь 2023'!$D$4:$D$1127,$B89,'ноябрь 2023'!$J$4:$J$1127,N$1)</f>
        <v>0</v>
      </c>
      <c r="O89" s="207">
        <f>SUMIFS('ноябрь 2023'!$G$4:$G$1127,'ноябрь 2023'!$D$4:$D$1127,$B89,'ноябрь 2023'!$J$4:$J$1127,O$1)</f>
        <v>0</v>
      </c>
      <c r="P89" s="207">
        <f>SUMIFS('ноябрь 2023'!$G$4:$G$1127,'ноябрь 2023'!$D$4:$D$1127,$B89,'ноябрь 2023'!$J$4:$J$1127,P$1)</f>
        <v>0</v>
      </c>
      <c r="Q89" s="207">
        <f>SUMIFS('ноябрь 2023'!$G$4:$G$1127,'ноябрь 2023'!$D$4:$D$1127,$B89,'ноябрь 2023'!$J$4:$J$1127,Q$1)</f>
        <v>0</v>
      </c>
      <c r="R89" s="207">
        <f>SUMIFS('ноябрь 2023'!$G$4:$G$1127,'ноябрь 2023'!$D$4:$D$1127,$B89,'ноябрь 2023'!$J$4:$J$1127,R$1)</f>
        <v>0</v>
      </c>
      <c r="S89" s="207">
        <f>SUMIFS('ноябрь 2023'!$G$4:$G$1127,'ноябрь 2023'!$D$4:$D$1127,$B89,'ноябрь 2023'!$J$4:$J$1127,S$1)</f>
        <v>0</v>
      </c>
      <c r="T89" s="207">
        <f>SUMIFS('ноябрь 2023'!$G$4:$G$1127,'ноябрь 2023'!$D$4:$D$1127,$B89,'ноябрь 2023'!$J$4:$J$1127,T$1)</f>
        <v>0</v>
      </c>
      <c r="U89" s="207">
        <f>SUMIFS('ноябрь 2023'!$G$4:$G$1127,'ноябрь 2023'!$D$4:$D$1127,$B89,'ноябрь 2023'!$J$4:$J$1127,U$1)</f>
        <v>0</v>
      </c>
      <c r="V89" s="207">
        <f>SUMIFS('ноябрь 2023'!$G$4:$G$1127,'ноябрь 2023'!$D$4:$D$1127,$B89,'ноябрь 2023'!$J$4:$J$1127,V$1)</f>
        <v>0</v>
      </c>
      <c r="W89" s="207">
        <f>SUMIFS('ноябрь 2023'!$G$4:$G$1127,'ноябрь 2023'!$D$4:$D$1127,$B89,'ноябрь 2023'!$J$4:$J$1127,W$1)</f>
        <v>88</v>
      </c>
      <c r="X89" s="207">
        <f>SUMIFS('ноябрь 2023'!$G$4:$G$1127,'ноябрь 2023'!$D$4:$D$1127,$B89,'ноябрь 2023'!$J$4:$J$1127,X$1)</f>
        <v>88</v>
      </c>
      <c r="Y89" s="207">
        <f>SUMIFS('ноябрь 2023'!$G$4:$G$1127,'ноябрь 2023'!$D$4:$D$1127,$B89,'ноябрь 2023'!$J$4:$J$1127,Y$1)</f>
        <v>0</v>
      </c>
      <c r="Z89" s="207">
        <f>SUMIFS('ноябрь 2023'!$G$4:$G$1127,'ноябрь 2023'!$D$4:$D$1127,$B89,'ноябрь 2023'!$J$4:$J$1127,Z$1)</f>
        <v>0</v>
      </c>
      <c r="AA89" s="207">
        <f>SUMIFS('ноябрь 2023'!$G$4:$G$1127,'ноябрь 2023'!$D$4:$D$1127,$B89,'ноябрь 2023'!$J$4:$J$1127,AA$1)</f>
        <v>0</v>
      </c>
      <c r="AB89" s="207">
        <f>SUMIFS('ноябрь 2023'!$G$4:$G$1127,'ноябрь 2023'!$D$4:$D$1127,$B89,'ноябрь 2023'!$J$4:$J$1127,AB$1)</f>
        <v>0</v>
      </c>
      <c r="AC89" s="207">
        <f>SUMIFS('ноябрь 2023'!$G$4:$G$1127,'ноябрь 2023'!$D$4:$D$1127,$B89,'ноябрь 2023'!$J$4:$J$1127,AC$1)</f>
        <v>0</v>
      </c>
      <c r="AD89" s="207">
        <f>SUMIFS('ноябрь 2023'!$G$4:$G$1127,'ноябрь 2023'!$D$4:$D$1127,$B89,'ноябрь 2023'!$J$4:$J$1127,AD$1)</f>
        <v>0</v>
      </c>
      <c r="AE89" s="207">
        <f>SUMIFS('ноябрь 2023'!$G$4:$G$1127,'ноябрь 2023'!$D$4:$D$1127,$B89,'ноябрь 2023'!$J$4:$J$1127,AE$1)</f>
        <v>0</v>
      </c>
      <c r="AF89" s="207">
        <f>SUMIFS('ноябрь 2023'!$G$4:$G$1127,'ноябрь 2023'!$D$4:$D$1127,$B89,'ноябрь 2023'!$J$4:$J$1127,AF$1)</f>
        <v>0</v>
      </c>
      <c r="AG89" s="207">
        <f>SUMIFS('ноябрь 2023'!$G$4:$G$1127,'ноябрь 2023'!$D$4:$D$1127,$B89,'ноябрь 2023'!$J$4:$J$1127,AG$1)</f>
        <v>0</v>
      </c>
      <c r="AH89" s="207">
        <f>SUMIFS('ноябрь 2023'!$G$4:$G$1127,'ноябрь 2023'!$D$4:$D$1127,$B89,'ноябрь 2023'!$J$4:$J$1127,AH$1)</f>
        <v>0</v>
      </c>
      <c r="AI89" s="170">
        <f t="shared" si="2"/>
        <v>176</v>
      </c>
    </row>
    <row r="90" spans="2:35" ht="15" customHeight="1" x14ac:dyDescent="0.25">
      <c r="B90" s="212" t="s">
        <v>1608</v>
      </c>
      <c r="C90" s="211">
        <v>950</v>
      </c>
      <c r="D90" s="207">
        <f>SUMIFS('ноябрь 2023'!$G$4:$G$1127,'ноябрь 2023'!$D$4:$D$1127,$B90,'ноябрь 2023'!$J$4:$J$1127,D$1)</f>
        <v>0</v>
      </c>
      <c r="E90" s="207">
        <f>SUMIFS('ноябрь 2023'!$G$4:$G$1127,'ноябрь 2023'!$D$4:$D$1127,$B90,'ноябрь 2023'!$J$4:$J$1127,E$1)</f>
        <v>0</v>
      </c>
      <c r="F90" s="207">
        <f>SUMIFS('ноябрь 2023'!$G$4:$G$1127,'ноябрь 2023'!$D$4:$D$1127,$B90,'ноябрь 2023'!$J$4:$J$1127,F$1)</f>
        <v>0</v>
      </c>
      <c r="G90" s="207">
        <f>SUMIFS('ноябрь 2023'!$G$4:$G$1127,'ноябрь 2023'!$D$4:$D$1127,$B90,'ноябрь 2023'!$J$4:$J$1127,G$1)</f>
        <v>0</v>
      </c>
      <c r="H90" s="207">
        <f>SUMIFS('ноябрь 2023'!$G$4:$G$1127,'ноябрь 2023'!$D$4:$D$1127,$B90,'ноябрь 2023'!$J$4:$J$1127,H$1)</f>
        <v>0</v>
      </c>
      <c r="I90" s="207">
        <f>SUMIFS('ноябрь 2023'!$G$4:$G$1127,'ноябрь 2023'!$D$4:$D$1127,$B90,'ноябрь 2023'!$J$4:$J$1127,I$1)</f>
        <v>0</v>
      </c>
      <c r="J90" s="207">
        <f>SUMIFS('ноябрь 2023'!$G$4:$G$1127,'ноябрь 2023'!$D$4:$D$1127,$B90,'ноябрь 2023'!$J$4:$J$1127,J$1)</f>
        <v>0</v>
      </c>
      <c r="K90" s="207">
        <f>SUMIFS('ноябрь 2023'!$G$4:$G$1127,'ноябрь 2023'!$D$4:$D$1127,$B90,'ноябрь 2023'!$J$4:$J$1127,K$1)</f>
        <v>0</v>
      </c>
      <c r="L90" s="207">
        <f>SUMIFS('ноябрь 2023'!$G$4:$G$1127,'ноябрь 2023'!$D$4:$D$1127,$B90,'ноябрь 2023'!$J$4:$J$1127,L$1)</f>
        <v>0</v>
      </c>
      <c r="M90" s="207">
        <f>SUMIFS('ноябрь 2023'!$G$4:$G$1127,'ноябрь 2023'!$D$4:$D$1127,$B90,'ноябрь 2023'!$J$4:$J$1127,M$1)</f>
        <v>0</v>
      </c>
      <c r="N90" s="207">
        <f>SUMIFS('ноябрь 2023'!$G$4:$G$1127,'ноябрь 2023'!$D$4:$D$1127,$B90,'ноябрь 2023'!$J$4:$J$1127,N$1)</f>
        <v>0</v>
      </c>
      <c r="O90" s="207">
        <f>SUMIFS('ноябрь 2023'!$G$4:$G$1127,'ноябрь 2023'!$D$4:$D$1127,$B90,'ноябрь 2023'!$J$4:$J$1127,O$1)</f>
        <v>0</v>
      </c>
      <c r="P90" s="207">
        <f>SUMIFS('ноябрь 2023'!$G$4:$G$1127,'ноябрь 2023'!$D$4:$D$1127,$B90,'ноябрь 2023'!$J$4:$J$1127,P$1)</f>
        <v>0</v>
      </c>
      <c r="Q90" s="207">
        <f>SUMIFS('ноябрь 2023'!$G$4:$G$1127,'ноябрь 2023'!$D$4:$D$1127,$B90,'ноябрь 2023'!$J$4:$J$1127,Q$1)</f>
        <v>0</v>
      </c>
      <c r="R90" s="207">
        <f>SUMIFS('ноябрь 2023'!$G$4:$G$1127,'ноябрь 2023'!$D$4:$D$1127,$B90,'ноябрь 2023'!$J$4:$J$1127,R$1)</f>
        <v>0</v>
      </c>
      <c r="S90" s="207">
        <f>SUMIFS('ноябрь 2023'!$G$4:$G$1127,'ноябрь 2023'!$D$4:$D$1127,$B90,'ноябрь 2023'!$J$4:$J$1127,S$1)</f>
        <v>0</v>
      </c>
      <c r="T90" s="207">
        <f>SUMIFS('ноябрь 2023'!$G$4:$G$1127,'ноябрь 2023'!$D$4:$D$1127,$B90,'ноябрь 2023'!$J$4:$J$1127,T$1)</f>
        <v>0</v>
      </c>
      <c r="U90" s="207">
        <f>SUMIFS('ноябрь 2023'!$G$4:$G$1127,'ноябрь 2023'!$D$4:$D$1127,$B90,'ноябрь 2023'!$J$4:$J$1127,U$1)</f>
        <v>0</v>
      </c>
      <c r="V90" s="207">
        <f>SUMIFS('ноябрь 2023'!$G$4:$G$1127,'ноябрь 2023'!$D$4:$D$1127,$B90,'ноябрь 2023'!$J$4:$J$1127,V$1)</f>
        <v>0</v>
      </c>
      <c r="W90" s="207">
        <f>SUMIFS('ноябрь 2023'!$G$4:$G$1127,'ноябрь 2023'!$D$4:$D$1127,$B90,'ноябрь 2023'!$J$4:$J$1127,W$1)</f>
        <v>0</v>
      </c>
      <c r="X90" s="207">
        <f>SUMIFS('ноябрь 2023'!$G$4:$G$1127,'ноябрь 2023'!$D$4:$D$1127,$B90,'ноябрь 2023'!$J$4:$J$1127,X$1)</f>
        <v>0</v>
      </c>
      <c r="Y90" s="207">
        <f>SUMIFS('ноябрь 2023'!$G$4:$G$1127,'ноябрь 2023'!$D$4:$D$1127,$B90,'ноябрь 2023'!$J$4:$J$1127,Y$1)</f>
        <v>0</v>
      </c>
      <c r="Z90" s="207">
        <f>SUMIFS('ноябрь 2023'!$G$4:$G$1127,'ноябрь 2023'!$D$4:$D$1127,$B90,'ноябрь 2023'!$J$4:$J$1127,Z$1)</f>
        <v>0</v>
      </c>
      <c r="AA90" s="207">
        <f>SUMIFS('ноябрь 2023'!$G$4:$G$1127,'ноябрь 2023'!$D$4:$D$1127,$B90,'ноябрь 2023'!$J$4:$J$1127,AA$1)</f>
        <v>0</v>
      </c>
      <c r="AB90" s="207">
        <f>SUMIFS('ноябрь 2023'!$G$4:$G$1127,'ноябрь 2023'!$D$4:$D$1127,$B90,'ноябрь 2023'!$J$4:$J$1127,AB$1)</f>
        <v>0</v>
      </c>
      <c r="AC90" s="207">
        <f>SUMIFS('ноябрь 2023'!$G$4:$G$1127,'ноябрь 2023'!$D$4:$D$1127,$B90,'ноябрь 2023'!$J$4:$J$1127,AC$1)</f>
        <v>0</v>
      </c>
      <c r="AD90" s="207">
        <f>SUMIFS('ноябрь 2023'!$G$4:$G$1127,'ноябрь 2023'!$D$4:$D$1127,$B90,'ноябрь 2023'!$J$4:$J$1127,AD$1)</f>
        <v>0</v>
      </c>
      <c r="AE90" s="207">
        <f>SUMIFS('ноябрь 2023'!$G$4:$G$1127,'ноябрь 2023'!$D$4:$D$1127,$B90,'ноябрь 2023'!$J$4:$J$1127,AE$1)</f>
        <v>0</v>
      </c>
      <c r="AF90" s="207">
        <f>SUMIFS('ноябрь 2023'!$G$4:$G$1127,'ноябрь 2023'!$D$4:$D$1127,$B90,'ноябрь 2023'!$J$4:$J$1127,AF$1)</f>
        <v>0</v>
      </c>
      <c r="AG90" s="207">
        <f>SUMIFS('ноябрь 2023'!$G$4:$G$1127,'ноябрь 2023'!$D$4:$D$1127,$B90,'ноябрь 2023'!$J$4:$J$1127,AG$1)</f>
        <v>0</v>
      </c>
      <c r="AH90" s="207">
        <f>SUMIFS('ноябрь 2023'!$G$4:$G$1127,'ноябрь 2023'!$D$4:$D$1127,$B90,'ноябрь 2023'!$J$4:$J$1127,AH$1)</f>
        <v>0</v>
      </c>
      <c r="AI90" s="170">
        <f t="shared" si="2"/>
        <v>0</v>
      </c>
    </row>
    <row r="91" spans="2:35" ht="15" customHeight="1" x14ac:dyDescent="0.25">
      <c r="B91" s="212" t="s">
        <v>468</v>
      </c>
      <c r="C91" s="211">
        <v>180</v>
      </c>
      <c r="D91" s="207">
        <f>SUMIFS('ноябрь 2023'!$G$4:$G$1127,'ноябрь 2023'!$D$4:$D$1127,$B91,'ноябрь 2023'!$J$4:$J$1127,D$1)</f>
        <v>0</v>
      </c>
      <c r="E91" s="207">
        <f>SUMIFS('ноябрь 2023'!$G$4:$G$1127,'ноябрь 2023'!$D$4:$D$1127,$B91,'ноябрь 2023'!$J$4:$J$1127,E$1)</f>
        <v>0</v>
      </c>
      <c r="F91" s="207">
        <f>SUMIFS('ноябрь 2023'!$G$4:$G$1127,'ноябрь 2023'!$D$4:$D$1127,$B91,'ноябрь 2023'!$J$4:$J$1127,F$1)</f>
        <v>0</v>
      </c>
      <c r="G91" s="207">
        <f>SUMIFS('ноябрь 2023'!$G$4:$G$1127,'ноябрь 2023'!$D$4:$D$1127,$B91,'ноябрь 2023'!$J$4:$J$1127,G$1)</f>
        <v>0</v>
      </c>
      <c r="H91" s="207">
        <f>SUMIFS('ноябрь 2023'!$G$4:$G$1127,'ноябрь 2023'!$D$4:$D$1127,$B91,'ноябрь 2023'!$J$4:$J$1127,H$1)</f>
        <v>0</v>
      </c>
      <c r="I91" s="207">
        <f>SUMIFS('ноябрь 2023'!$G$4:$G$1127,'ноябрь 2023'!$D$4:$D$1127,$B91,'ноябрь 2023'!$J$4:$J$1127,I$1)</f>
        <v>0</v>
      </c>
      <c r="J91" s="207">
        <f>SUMIFS('ноябрь 2023'!$G$4:$G$1127,'ноябрь 2023'!$D$4:$D$1127,$B91,'ноябрь 2023'!$J$4:$J$1127,J$1)</f>
        <v>0</v>
      </c>
      <c r="K91" s="207">
        <f>SUMIFS('ноябрь 2023'!$G$4:$G$1127,'ноябрь 2023'!$D$4:$D$1127,$B91,'ноябрь 2023'!$J$4:$J$1127,K$1)</f>
        <v>0</v>
      </c>
      <c r="L91" s="207">
        <f>SUMIFS('ноябрь 2023'!$G$4:$G$1127,'ноябрь 2023'!$D$4:$D$1127,$B91,'ноябрь 2023'!$J$4:$J$1127,L$1)</f>
        <v>0</v>
      </c>
      <c r="M91" s="207">
        <f>SUMIFS('ноябрь 2023'!$G$4:$G$1127,'ноябрь 2023'!$D$4:$D$1127,$B91,'ноябрь 2023'!$J$4:$J$1127,M$1)</f>
        <v>0</v>
      </c>
      <c r="N91" s="207">
        <f>SUMIFS('ноябрь 2023'!$G$4:$G$1127,'ноябрь 2023'!$D$4:$D$1127,$B91,'ноябрь 2023'!$J$4:$J$1127,N$1)</f>
        <v>0</v>
      </c>
      <c r="O91" s="207">
        <f>SUMIFS('ноябрь 2023'!$G$4:$G$1127,'ноябрь 2023'!$D$4:$D$1127,$B91,'ноябрь 2023'!$J$4:$J$1127,O$1)</f>
        <v>0</v>
      </c>
      <c r="P91" s="207">
        <f>SUMIFS('ноябрь 2023'!$G$4:$G$1127,'ноябрь 2023'!$D$4:$D$1127,$B91,'ноябрь 2023'!$J$4:$J$1127,P$1)</f>
        <v>0</v>
      </c>
      <c r="Q91" s="207">
        <f>SUMIFS('ноябрь 2023'!$G$4:$G$1127,'ноябрь 2023'!$D$4:$D$1127,$B91,'ноябрь 2023'!$J$4:$J$1127,Q$1)</f>
        <v>0</v>
      </c>
      <c r="R91" s="207">
        <f>SUMIFS('ноябрь 2023'!$G$4:$G$1127,'ноябрь 2023'!$D$4:$D$1127,$B91,'ноябрь 2023'!$J$4:$J$1127,R$1)</f>
        <v>0</v>
      </c>
      <c r="S91" s="207">
        <f>SUMIFS('ноябрь 2023'!$G$4:$G$1127,'ноябрь 2023'!$D$4:$D$1127,$B91,'ноябрь 2023'!$J$4:$J$1127,S$1)</f>
        <v>0</v>
      </c>
      <c r="T91" s="207">
        <f>SUMIFS('ноябрь 2023'!$G$4:$G$1127,'ноябрь 2023'!$D$4:$D$1127,$B91,'ноябрь 2023'!$J$4:$J$1127,T$1)</f>
        <v>0</v>
      </c>
      <c r="U91" s="207">
        <f>SUMIFS('ноябрь 2023'!$G$4:$G$1127,'ноябрь 2023'!$D$4:$D$1127,$B91,'ноябрь 2023'!$J$4:$J$1127,U$1)</f>
        <v>0</v>
      </c>
      <c r="V91" s="207">
        <f>SUMIFS('ноябрь 2023'!$G$4:$G$1127,'ноябрь 2023'!$D$4:$D$1127,$B91,'ноябрь 2023'!$J$4:$J$1127,V$1)</f>
        <v>0</v>
      </c>
      <c r="W91" s="207">
        <f>SUMIFS('ноябрь 2023'!$G$4:$G$1127,'ноябрь 2023'!$D$4:$D$1127,$B91,'ноябрь 2023'!$J$4:$J$1127,W$1)</f>
        <v>0</v>
      </c>
      <c r="X91" s="207">
        <f>SUMIFS('ноябрь 2023'!$G$4:$G$1127,'ноябрь 2023'!$D$4:$D$1127,$B91,'ноябрь 2023'!$J$4:$J$1127,X$1)</f>
        <v>0</v>
      </c>
      <c r="Y91" s="207">
        <f>SUMIFS('ноябрь 2023'!$G$4:$G$1127,'ноябрь 2023'!$D$4:$D$1127,$B91,'ноябрь 2023'!$J$4:$J$1127,Y$1)</f>
        <v>0</v>
      </c>
      <c r="Z91" s="207">
        <f>SUMIFS('ноябрь 2023'!$G$4:$G$1127,'ноябрь 2023'!$D$4:$D$1127,$B91,'ноябрь 2023'!$J$4:$J$1127,Z$1)</f>
        <v>0</v>
      </c>
      <c r="AA91" s="207">
        <f>SUMIFS('ноябрь 2023'!$G$4:$G$1127,'ноябрь 2023'!$D$4:$D$1127,$B91,'ноябрь 2023'!$J$4:$J$1127,AA$1)</f>
        <v>0</v>
      </c>
      <c r="AB91" s="207">
        <f>SUMIFS('ноябрь 2023'!$G$4:$G$1127,'ноябрь 2023'!$D$4:$D$1127,$B91,'ноябрь 2023'!$J$4:$J$1127,AB$1)</f>
        <v>0</v>
      </c>
      <c r="AC91" s="207">
        <f>SUMIFS('ноябрь 2023'!$G$4:$G$1127,'ноябрь 2023'!$D$4:$D$1127,$B91,'ноябрь 2023'!$J$4:$J$1127,AC$1)</f>
        <v>0</v>
      </c>
      <c r="AD91" s="207">
        <f>SUMIFS('ноябрь 2023'!$G$4:$G$1127,'ноябрь 2023'!$D$4:$D$1127,$B91,'ноябрь 2023'!$J$4:$J$1127,AD$1)</f>
        <v>0</v>
      </c>
      <c r="AE91" s="207">
        <f>SUMIFS('ноябрь 2023'!$G$4:$G$1127,'ноябрь 2023'!$D$4:$D$1127,$B91,'ноябрь 2023'!$J$4:$J$1127,AE$1)</f>
        <v>0</v>
      </c>
      <c r="AF91" s="207">
        <f>SUMIFS('ноябрь 2023'!$G$4:$G$1127,'ноябрь 2023'!$D$4:$D$1127,$B91,'ноябрь 2023'!$J$4:$J$1127,AF$1)</f>
        <v>0</v>
      </c>
      <c r="AG91" s="207">
        <f>SUMIFS('ноябрь 2023'!$G$4:$G$1127,'ноябрь 2023'!$D$4:$D$1127,$B91,'ноябрь 2023'!$J$4:$J$1127,AG$1)</f>
        <v>0</v>
      </c>
      <c r="AH91" s="207">
        <f>SUMIFS('ноябрь 2023'!$G$4:$G$1127,'ноябрь 2023'!$D$4:$D$1127,$B91,'ноябрь 2023'!$J$4:$J$1127,AH$1)</f>
        <v>0</v>
      </c>
      <c r="AI91" s="170">
        <f t="shared" si="2"/>
        <v>0</v>
      </c>
    </row>
    <row r="92" spans="2:35" ht="15" customHeight="1" x14ac:dyDescent="0.25">
      <c r="B92" s="216" t="s">
        <v>1755</v>
      </c>
      <c r="C92" s="213">
        <v>200</v>
      </c>
      <c r="D92" s="207">
        <f>SUMIFS('ноябрь 2023'!$G$4:$G$1127,'ноябрь 2023'!$D$4:$D$1127,$B92,'ноябрь 2023'!$J$4:$J$1127,D$1)</f>
        <v>0</v>
      </c>
      <c r="E92" s="207">
        <f>SUMIFS('ноябрь 2023'!$G$4:$G$1127,'ноябрь 2023'!$D$4:$D$1127,$B92,'ноябрь 2023'!$J$4:$J$1127,E$1)</f>
        <v>0</v>
      </c>
      <c r="F92" s="207">
        <f>SUMIFS('ноябрь 2023'!$G$4:$G$1127,'ноябрь 2023'!$D$4:$D$1127,$B92,'ноябрь 2023'!$J$4:$J$1127,F$1)</f>
        <v>0</v>
      </c>
      <c r="G92" s="207">
        <f>SUMIFS('ноябрь 2023'!$G$4:$G$1127,'ноябрь 2023'!$D$4:$D$1127,$B92,'ноябрь 2023'!$J$4:$J$1127,G$1)</f>
        <v>0</v>
      </c>
      <c r="H92" s="207">
        <f>SUMIFS('ноябрь 2023'!$G$4:$G$1127,'ноябрь 2023'!$D$4:$D$1127,$B92,'ноябрь 2023'!$J$4:$J$1127,H$1)</f>
        <v>0</v>
      </c>
      <c r="I92" s="207">
        <f>SUMIFS('ноябрь 2023'!$G$4:$G$1127,'ноябрь 2023'!$D$4:$D$1127,$B92,'ноябрь 2023'!$J$4:$J$1127,I$1)</f>
        <v>0</v>
      </c>
      <c r="J92" s="207">
        <f>SUMIFS('ноябрь 2023'!$G$4:$G$1127,'ноябрь 2023'!$D$4:$D$1127,$B92,'ноябрь 2023'!$J$4:$J$1127,J$1)</f>
        <v>0</v>
      </c>
      <c r="K92" s="207">
        <f>SUMIFS('ноябрь 2023'!$G$4:$G$1127,'ноябрь 2023'!$D$4:$D$1127,$B92,'ноябрь 2023'!$J$4:$J$1127,K$1)</f>
        <v>0</v>
      </c>
      <c r="L92" s="207">
        <f>SUMIFS('ноябрь 2023'!$G$4:$G$1127,'ноябрь 2023'!$D$4:$D$1127,$B92,'ноябрь 2023'!$J$4:$J$1127,L$1)</f>
        <v>0</v>
      </c>
      <c r="M92" s="207">
        <f>SUMIFS('ноябрь 2023'!$G$4:$G$1127,'ноябрь 2023'!$D$4:$D$1127,$B92,'ноябрь 2023'!$J$4:$J$1127,M$1)</f>
        <v>0</v>
      </c>
      <c r="N92" s="207">
        <f>SUMIFS('ноябрь 2023'!$G$4:$G$1127,'ноябрь 2023'!$D$4:$D$1127,$B92,'ноябрь 2023'!$J$4:$J$1127,N$1)</f>
        <v>0</v>
      </c>
      <c r="O92" s="207">
        <f>SUMIFS('ноябрь 2023'!$G$4:$G$1127,'ноябрь 2023'!$D$4:$D$1127,$B92,'ноябрь 2023'!$J$4:$J$1127,O$1)</f>
        <v>0</v>
      </c>
      <c r="P92" s="207">
        <f>SUMIFS('ноябрь 2023'!$G$4:$G$1127,'ноябрь 2023'!$D$4:$D$1127,$B92,'ноябрь 2023'!$J$4:$J$1127,P$1)</f>
        <v>0</v>
      </c>
      <c r="Q92" s="207">
        <f>SUMIFS('ноябрь 2023'!$G$4:$G$1127,'ноябрь 2023'!$D$4:$D$1127,$B92,'ноябрь 2023'!$J$4:$J$1127,Q$1)</f>
        <v>0</v>
      </c>
      <c r="R92" s="207">
        <f>SUMIFS('ноябрь 2023'!$G$4:$G$1127,'ноябрь 2023'!$D$4:$D$1127,$B92,'ноябрь 2023'!$J$4:$J$1127,R$1)</f>
        <v>0</v>
      </c>
      <c r="S92" s="207">
        <f>SUMIFS('ноябрь 2023'!$G$4:$G$1127,'ноябрь 2023'!$D$4:$D$1127,$B92,'ноябрь 2023'!$J$4:$J$1127,S$1)</f>
        <v>0</v>
      </c>
      <c r="T92" s="207">
        <f>SUMIFS('ноябрь 2023'!$G$4:$G$1127,'ноябрь 2023'!$D$4:$D$1127,$B92,'ноябрь 2023'!$J$4:$J$1127,T$1)</f>
        <v>0</v>
      </c>
      <c r="U92" s="207">
        <f>SUMIFS('ноябрь 2023'!$G$4:$G$1127,'ноябрь 2023'!$D$4:$D$1127,$B92,'ноябрь 2023'!$J$4:$J$1127,U$1)</f>
        <v>0</v>
      </c>
      <c r="V92" s="207">
        <f>SUMIFS('ноябрь 2023'!$G$4:$G$1127,'ноябрь 2023'!$D$4:$D$1127,$B92,'ноябрь 2023'!$J$4:$J$1127,V$1)</f>
        <v>0</v>
      </c>
      <c r="W92" s="207">
        <f>SUMIFS('ноябрь 2023'!$G$4:$G$1127,'ноябрь 2023'!$D$4:$D$1127,$B92,'ноябрь 2023'!$J$4:$J$1127,W$1)</f>
        <v>0</v>
      </c>
      <c r="X92" s="207">
        <f>SUMIFS('ноябрь 2023'!$G$4:$G$1127,'ноябрь 2023'!$D$4:$D$1127,$B92,'ноябрь 2023'!$J$4:$J$1127,X$1)</f>
        <v>0</v>
      </c>
      <c r="Y92" s="207">
        <f>SUMIFS('ноябрь 2023'!$G$4:$G$1127,'ноябрь 2023'!$D$4:$D$1127,$B92,'ноябрь 2023'!$J$4:$J$1127,Y$1)</f>
        <v>0</v>
      </c>
      <c r="Z92" s="207">
        <f>SUMIFS('ноябрь 2023'!$G$4:$G$1127,'ноябрь 2023'!$D$4:$D$1127,$B92,'ноябрь 2023'!$J$4:$J$1127,Z$1)</f>
        <v>0</v>
      </c>
      <c r="AA92" s="207">
        <f>SUMIFS('ноябрь 2023'!$G$4:$G$1127,'ноябрь 2023'!$D$4:$D$1127,$B92,'ноябрь 2023'!$J$4:$J$1127,AA$1)</f>
        <v>0</v>
      </c>
      <c r="AB92" s="207">
        <f>SUMIFS('ноябрь 2023'!$G$4:$G$1127,'ноябрь 2023'!$D$4:$D$1127,$B92,'ноябрь 2023'!$J$4:$J$1127,AB$1)</f>
        <v>0</v>
      </c>
      <c r="AC92" s="207">
        <f>SUMIFS('ноябрь 2023'!$G$4:$G$1127,'ноябрь 2023'!$D$4:$D$1127,$B92,'ноябрь 2023'!$J$4:$J$1127,AC$1)</f>
        <v>0</v>
      </c>
      <c r="AD92" s="207">
        <f>SUMIFS('ноябрь 2023'!$G$4:$G$1127,'ноябрь 2023'!$D$4:$D$1127,$B92,'ноябрь 2023'!$J$4:$J$1127,AD$1)</f>
        <v>0</v>
      </c>
      <c r="AE92" s="207">
        <f>SUMIFS('ноябрь 2023'!$G$4:$G$1127,'ноябрь 2023'!$D$4:$D$1127,$B92,'ноябрь 2023'!$J$4:$J$1127,AE$1)</f>
        <v>0</v>
      </c>
      <c r="AF92" s="207">
        <f>SUMIFS('ноябрь 2023'!$G$4:$G$1127,'ноябрь 2023'!$D$4:$D$1127,$B92,'ноябрь 2023'!$J$4:$J$1127,AF$1)</f>
        <v>0</v>
      </c>
      <c r="AG92" s="207">
        <f>SUMIFS('ноябрь 2023'!$G$4:$G$1127,'ноябрь 2023'!$D$4:$D$1127,$B92,'ноябрь 2023'!$J$4:$J$1127,AG$1)</f>
        <v>0</v>
      </c>
      <c r="AH92" s="207">
        <f>SUMIFS('ноябрь 2023'!$G$4:$G$1127,'ноябрь 2023'!$D$4:$D$1127,$B92,'ноябрь 2023'!$J$4:$J$1127,AH$1)</f>
        <v>0</v>
      </c>
      <c r="AI92" s="170">
        <f t="shared" si="2"/>
        <v>0</v>
      </c>
    </row>
    <row r="93" spans="2:35" ht="15" customHeight="1" x14ac:dyDescent="0.25">
      <c r="B93" s="216" t="s">
        <v>2191</v>
      </c>
      <c r="C93" s="213">
        <v>200</v>
      </c>
      <c r="D93" s="207">
        <f>SUMIFS('ноябрь 2023'!$G$4:$G$1127,'ноябрь 2023'!$D$4:$D$1127,$B93,'ноябрь 2023'!$J$4:$J$1127,D$1)</f>
        <v>0</v>
      </c>
      <c r="E93" s="207">
        <f>SUMIFS('ноябрь 2023'!$G$4:$G$1127,'ноябрь 2023'!$D$4:$D$1127,$B93,'ноябрь 2023'!$J$4:$J$1127,E$1)</f>
        <v>0</v>
      </c>
      <c r="F93" s="207">
        <f>SUMIFS('ноябрь 2023'!$G$4:$G$1127,'ноябрь 2023'!$D$4:$D$1127,$B93,'ноябрь 2023'!$J$4:$J$1127,F$1)</f>
        <v>0</v>
      </c>
      <c r="G93" s="207">
        <f>SUMIFS('ноябрь 2023'!$G$4:$G$1127,'ноябрь 2023'!$D$4:$D$1127,$B93,'ноябрь 2023'!$J$4:$J$1127,G$1)</f>
        <v>0</v>
      </c>
      <c r="H93" s="207">
        <f>SUMIFS('ноябрь 2023'!$G$4:$G$1127,'ноябрь 2023'!$D$4:$D$1127,$B93,'ноябрь 2023'!$J$4:$J$1127,H$1)</f>
        <v>0</v>
      </c>
      <c r="I93" s="207">
        <f>SUMIFS('ноябрь 2023'!$G$4:$G$1127,'ноябрь 2023'!$D$4:$D$1127,$B93,'ноябрь 2023'!$J$4:$J$1127,I$1)</f>
        <v>0</v>
      </c>
      <c r="J93" s="207">
        <f>SUMIFS('ноябрь 2023'!$G$4:$G$1127,'ноябрь 2023'!$D$4:$D$1127,$B93,'ноябрь 2023'!$J$4:$J$1127,J$1)</f>
        <v>0</v>
      </c>
      <c r="K93" s="207">
        <f>SUMIFS('ноябрь 2023'!$G$4:$G$1127,'ноябрь 2023'!$D$4:$D$1127,$B93,'ноябрь 2023'!$J$4:$J$1127,K$1)</f>
        <v>0</v>
      </c>
      <c r="L93" s="207">
        <f>SUMIFS('ноябрь 2023'!$G$4:$G$1127,'ноябрь 2023'!$D$4:$D$1127,$B93,'ноябрь 2023'!$J$4:$J$1127,L$1)</f>
        <v>0</v>
      </c>
      <c r="M93" s="207">
        <f>SUMIFS('ноябрь 2023'!$G$4:$G$1127,'ноябрь 2023'!$D$4:$D$1127,$B93,'ноябрь 2023'!$J$4:$J$1127,M$1)</f>
        <v>0</v>
      </c>
      <c r="N93" s="207">
        <f>SUMIFS('ноябрь 2023'!$G$4:$G$1127,'ноябрь 2023'!$D$4:$D$1127,$B93,'ноябрь 2023'!$J$4:$J$1127,N$1)</f>
        <v>0</v>
      </c>
      <c r="O93" s="207">
        <f>SUMIFS('ноябрь 2023'!$G$4:$G$1127,'ноябрь 2023'!$D$4:$D$1127,$B93,'ноябрь 2023'!$J$4:$J$1127,O$1)</f>
        <v>0</v>
      </c>
      <c r="P93" s="207">
        <f>SUMIFS('ноябрь 2023'!$G$4:$G$1127,'ноябрь 2023'!$D$4:$D$1127,$B93,'ноябрь 2023'!$J$4:$J$1127,P$1)</f>
        <v>0</v>
      </c>
      <c r="Q93" s="207">
        <f>SUMIFS('ноябрь 2023'!$G$4:$G$1127,'ноябрь 2023'!$D$4:$D$1127,$B93,'ноябрь 2023'!$J$4:$J$1127,Q$1)</f>
        <v>0</v>
      </c>
      <c r="R93" s="207">
        <f>SUMIFS('ноябрь 2023'!$G$4:$G$1127,'ноябрь 2023'!$D$4:$D$1127,$B93,'ноябрь 2023'!$J$4:$J$1127,R$1)</f>
        <v>0</v>
      </c>
      <c r="S93" s="207">
        <f>SUMIFS('ноябрь 2023'!$G$4:$G$1127,'ноябрь 2023'!$D$4:$D$1127,$B93,'ноябрь 2023'!$J$4:$J$1127,S$1)</f>
        <v>0</v>
      </c>
      <c r="T93" s="207">
        <f>SUMIFS('ноябрь 2023'!$G$4:$G$1127,'ноябрь 2023'!$D$4:$D$1127,$B93,'ноябрь 2023'!$J$4:$J$1127,T$1)</f>
        <v>0</v>
      </c>
      <c r="U93" s="207">
        <f>SUMIFS('ноябрь 2023'!$G$4:$G$1127,'ноябрь 2023'!$D$4:$D$1127,$B93,'ноябрь 2023'!$J$4:$J$1127,U$1)</f>
        <v>0</v>
      </c>
      <c r="V93" s="207">
        <f>SUMIFS('ноябрь 2023'!$G$4:$G$1127,'ноябрь 2023'!$D$4:$D$1127,$B93,'ноябрь 2023'!$J$4:$J$1127,V$1)</f>
        <v>0</v>
      </c>
      <c r="W93" s="207">
        <f>SUMIFS('ноябрь 2023'!$G$4:$G$1127,'ноябрь 2023'!$D$4:$D$1127,$B93,'ноябрь 2023'!$J$4:$J$1127,W$1)</f>
        <v>0</v>
      </c>
      <c r="X93" s="207">
        <f>SUMIFS('ноябрь 2023'!$G$4:$G$1127,'ноябрь 2023'!$D$4:$D$1127,$B93,'ноябрь 2023'!$J$4:$J$1127,X$1)</f>
        <v>0</v>
      </c>
      <c r="Y93" s="207">
        <f>SUMIFS('ноябрь 2023'!$G$4:$G$1127,'ноябрь 2023'!$D$4:$D$1127,$B93,'ноябрь 2023'!$J$4:$J$1127,Y$1)</f>
        <v>0</v>
      </c>
      <c r="Z93" s="207">
        <f>SUMIFS('ноябрь 2023'!$G$4:$G$1127,'ноябрь 2023'!$D$4:$D$1127,$B93,'ноябрь 2023'!$J$4:$J$1127,Z$1)</f>
        <v>0</v>
      </c>
      <c r="AA93" s="207">
        <f>SUMIFS('ноябрь 2023'!$G$4:$G$1127,'ноябрь 2023'!$D$4:$D$1127,$B93,'ноябрь 2023'!$J$4:$J$1127,AA$1)</f>
        <v>0</v>
      </c>
      <c r="AB93" s="207">
        <f>SUMIFS('ноябрь 2023'!$G$4:$G$1127,'ноябрь 2023'!$D$4:$D$1127,$B93,'ноябрь 2023'!$J$4:$J$1127,AB$1)</f>
        <v>0</v>
      </c>
      <c r="AC93" s="207">
        <f>SUMIFS('ноябрь 2023'!$G$4:$G$1127,'ноябрь 2023'!$D$4:$D$1127,$B93,'ноябрь 2023'!$J$4:$J$1127,AC$1)</f>
        <v>0</v>
      </c>
      <c r="AD93" s="207">
        <f>SUMIFS('ноябрь 2023'!$G$4:$G$1127,'ноябрь 2023'!$D$4:$D$1127,$B93,'ноябрь 2023'!$J$4:$J$1127,AD$1)</f>
        <v>0</v>
      </c>
      <c r="AE93" s="207">
        <f>SUMIFS('ноябрь 2023'!$G$4:$G$1127,'ноябрь 2023'!$D$4:$D$1127,$B93,'ноябрь 2023'!$J$4:$J$1127,AE$1)</f>
        <v>0</v>
      </c>
      <c r="AF93" s="207">
        <f>SUMIFS('ноябрь 2023'!$G$4:$G$1127,'ноябрь 2023'!$D$4:$D$1127,$B93,'ноябрь 2023'!$J$4:$J$1127,AF$1)</f>
        <v>0</v>
      </c>
      <c r="AG93" s="207">
        <f>SUMIFS('ноябрь 2023'!$G$4:$G$1127,'ноябрь 2023'!$D$4:$D$1127,$B93,'ноябрь 2023'!$J$4:$J$1127,AG$1)</f>
        <v>0</v>
      </c>
      <c r="AH93" s="207">
        <f>SUMIFS('ноябрь 2023'!$G$4:$G$1127,'ноябрь 2023'!$D$4:$D$1127,$B93,'ноябрь 2023'!$J$4:$J$1127,AH$1)</f>
        <v>0</v>
      </c>
      <c r="AI93" s="170">
        <f t="shared" si="2"/>
        <v>0</v>
      </c>
    </row>
    <row r="94" spans="2:35" ht="15" customHeight="1" x14ac:dyDescent="0.25">
      <c r="B94" s="216" t="s">
        <v>898</v>
      </c>
      <c r="C94" s="213">
        <v>200</v>
      </c>
      <c r="D94" s="207">
        <f>SUMIFS('ноябрь 2023'!$G$4:$G$1127,'ноябрь 2023'!$D$4:$D$1127,$B94,'ноябрь 2023'!$J$4:$J$1127,D$1)</f>
        <v>0</v>
      </c>
      <c r="E94" s="207">
        <f>SUMIFS('ноябрь 2023'!$G$4:$G$1127,'ноябрь 2023'!$D$4:$D$1127,$B94,'ноябрь 2023'!$J$4:$J$1127,E$1)</f>
        <v>0</v>
      </c>
      <c r="F94" s="207">
        <f>SUMIFS('ноябрь 2023'!$G$4:$G$1127,'ноябрь 2023'!$D$4:$D$1127,$B94,'ноябрь 2023'!$J$4:$J$1127,F$1)</f>
        <v>0</v>
      </c>
      <c r="G94" s="207">
        <f>SUMIFS('ноябрь 2023'!$G$4:$G$1127,'ноябрь 2023'!$D$4:$D$1127,$B94,'ноябрь 2023'!$J$4:$J$1127,G$1)</f>
        <v>0</v>
      </c>
      <c r="H94" s="207">
        <f>SUMIFS('ноябрь 2023'!$G$4:$G$1127,'ноябрь 2023'!$D$4:$D$1127,$B94,'ноябрь 2023'!$J$4:$J$1127,H$1)</f>
        <v>0</v>
      </c>
      <c r="I94" s="207">
        <f>SUMIFS('ноябрь 2023'!$G$4:$G$1127,'ноябрь 2023'!$D$4:$D$1127,$B94,'ноябрь 2023'!$J$4:$J$1127,I$1)</f>
        <v>0</v>
      </c>
      <c r="J94" s="207">
        <f>SUMIFS('ноябрь 2023'!$G$4:$G$1127,'ноябрь 2023'!$D$4:$D$1127,$B94,'ноябрь 2023'!$J$4:$J$1127,J$1)</f>
        <v>0</v>
      </c>
      <c r="K94" s="207">
        <f>SUMIFS('ноябрь 2023'!$G$4:$G$1127,'ноябрь 2023'!$D$4:$D$1127,$B94,'ноябрь 2023'!$J$4:$J$1127,K$1)</f>
        <v>0</v>
      </c>
      <c r="L94" s="207">
        <f>SUMIFS('ноябрь 2023'!$G$4:$G$1127,'ноябрь 2023'!$D$4:$D$1127,$B94,'ноябрь 2023'!$J$4:$J$1127,L$1)</f>
        <v>0</v>
      </c>
      <c r="M94" s="207">
        <f>SUMIFS('ноябрь 2023'!$G$4:$G$1127,'ноябрь 2023'!$D$4:$D$1127,$B94,'ноябрь 2023'!$J$4:$J$1127,M$1)</f>
        <v>0</v>
      </c>
      <c r="N94" s="207">
        <f>SUMIFS('ноябрь 2023'!$G$4:$G$1127,'ноябрь 2023'!$D$4:$D$1127,$B94,'ноябрь 2023'!$J$4:$J$1127,N$1)</f>
        <v>0</v>
      </c>
      <c r="O94" s="207">
        <f>SUMIFS('ноябрь 2023'!$G$4:$G$1127,'ноябрь 2023'!$D$4:$D$1127,$B94,'ноябрь 2023'!$J$4:$J$1127,O$1)</f>
        <v>0</v>
      </c>
      <c r="P94" s="207">
        <f>SUMIFS('ноябрь 2023'!$G$4:$G$1127,'ноябрь 2023'!$D$4:$D$1127,$B94,'ноябрь 2023'!$J$4:$J$1127,P$1)</f>
        <v>0</v>
      </c>
      <c r="Q94" s="207">
        <f>SUMIFS('ноябрь 2023'!$G$4:$G$1127,'ноябрь 2023'!$D$4:$D$1127,$B94,'ноябрь 2023'!$J$4:$J$1127,Q$1)</f>
        <v>0</v>
      </c>
      <c r="R94" s="207">
        <f>SUMIFS('ноябрь 2023'!$G$4:$G$1127,'ноябрь 2023'!$D$4:$D$1127,$B94,'ноябрь 2023'!$J$4:$J$1127,R$1)</f>
        <v>0</v>
      </c>
      <c r="S94" s="207">
        <f>SUMIFS('ноябрь 2023'!$G$4:$G$1127,'ноябрь 2023'!$D$4:$D$1127,$B94,'ноябрь 2023'!$J$4:$J$1127,S$1)</f>
        <v>0</v>
      </c>
      <c r="T94" s="207">
        <f>SUMIFS('ноябрь 2023'!$G$4:$G$1127,'ноябрь 2023'!$D$4:$D$1127,$B94,'ноябрь 2023'!$J$4:$J$1127,T$1)</f>
        <v>0</v>
      </c>
      <c r="U94" s="207">
        <f>SUMIFS('ноябрь 2023'!$G$4:$G$1127,'ноябрь 2023'!$D$4:$D$1127,$B94,'ноябрь 2023'!$J$4:$J$1127,U$1)</f>
        <v>0</v>
      </c>
      <c r="V94" s="207">
        <f>SUMIFS('ноябрь 2023'!$G$4:$G$1127,'ноябрь 2023'!$D$4:$D$1127,$B94,'ноябрь 2023'!$J$4:$J$1127,V$1)</f>
        <v>0</v>
      </c>
      <c r="W94" s="207">
        <f>SUMIFS('ноябрь 2023'!$G$4:$G$1127,'ноябрь 2023'!$D$4:$D$1127,$B94,'ноябрь 2023'!$J$4:$J$1127,W$1)</f>
        <v>0</v>
      </c>
      <c r="X94" s="207">
        <f>SUMIFS('ноябрь 2023'!$G$4:$G$1127,'ноябрь 2023'!$D$4:$D$1127,$B94,'ноябрь 2023'!$J$4:$J$1127,X$1)</f>
        <v>0</v>
      </c>
      <c r="Y94" s="207">
        <f>SUMIFS('ноябрь 2023'!$G$4:$G$1127,'ноябрь 2023'!$D$4:$D$1127,$B94,'ноябрь 2023'!$J$4:$J$1127,Y$1)</f>
        <v>0</v>
      </c>
      <c r="Z94" s="207">
        <f>SUMIFS('ноябрь 2023'!$G$4:$G$1127,'ноябрь 2023'!$D$4:$D$1127,$B94,'ноябрь 2023'!$J$4:$J$1127,Z$1)</f>
        <v>0</v>
      </c>
      <c r="AA94" s="207">
        <f>SUMIFS('ноябрь 2023'!$G$4:$G$1127,'ноябрь 2023'!$D$4:$D$1127,$B94,'ноябрь 2023'!$J$4:$J$1127,AA$1)</f>
        <v>0</v>
      </c>
      <c r="AB94" s="207">
        <f>SUMIFS('ноябрь 2023'!$G$4:$G$1127,'ноябрь 2023'!$D$4:$D$1127,$B94,'ноябрь 2023'!$J$4:$J$1127,AB$1)</f>
        <v>0</v>
      </c>
      <c r="AC94" s="207">
        <f>SUMIFS('ноябрь 2023'!$G$4:$G$1127,'ноябрь 2023'!$D$4:$D$1127,$B94,'ноябрь 2023'!$J$4:$J$1127,AC$1)</f>
        <v>0</v>
      </c>
      <c r="AD94" s="207">
        <f>SUMIFS('ноябрь 2023'!$G$4:$G$1127,'ноябрь 2023'!$D$4:$D$1127,$B94,'ноябрь 2023'!$J$4:$J$1127,AD$1)</f>
        <v>0</v>
      </c>
      <c r="AE94" s="207">
        <f>SUMIFS('ноябрь 2023'!$G$4:$G$1127,'ноябрь 2023'!$D$4:$D$1127,$B94,'ноябрь 2023'!$J$4:$J$1127,AE$1)</f>
        <v>0</v>
      </c>
      <c r="AF94" s="207">
        <f>SUMIFS('ноябрь 2023'!$G$4:$G$1127,'ноябрь 2023'!$D$4:$D$1127,$B94,'ноябрь 2023'!$J$4:$J$1127,AF$1)</f>
        <v>0</v>
      </c>
      <c r="AG94" s="207">
        <f>SUMIFS('ноябрь 2023'!$G$4:$G$1127,'ноябрь 2023'!$D$4:$D$1127,$B94,'ноябрь 2023'!$J$4:$J$1127,AG$1)</f>
        <v>0</v>
      </c>
      <c r="AH94" s="207">
        <f>SUMIFS('ноябрь 2023'!$G$4:$G$1127,'ноябрь 2023'!$D$4:$D$1127,$B94,'ноябрь 2023'!$J$4:$J$1127,AH$1)</f>
        <v>0</v>
      </c>
      <c r="AI94" s="170">
        <f t="shared" si="2"/>
        <v>0</v>
      </c>
    </row>
    <row r="95" spans="2:35" ht="15" customHeight="1" x14ac:dyDescent="0.25">
      <c r="B95" s="216" t="s">
        <v>1725</v>
      </c>
      <c r="C95" s="213">
        <v>180</v>
      </c>
      <c r="D95" s="207">
        <f>SUMIFS('ноябрь 2023'!$G$4:$G$1127,'ноябрь 2023'!$D$4:$D$1127,$B95,'ноябрь 2023'!$J$4:$J$1127,D$1)</f>
        <v>0</v>
      </c>
      <c r="E95" s="207">
        <f>SUMIFS('ноябрь 2023'!$G$4:$G$1127,'ноябрь 2023'!$D$4:$D$1127,$B95,'ноябрь 2023'!$J$4:$J$1127,E$1)</f>
        <v>0</v>
      </c>
      <c r="F95" s="207">
        <f>SUMIFS('ноябрь 2023'!$G$4:$G$1127,'ноябрь 2023'!$D$4:$D$1127,$B95,'ноябрь 2023'!$J$4:$J$1127,F$1)</f>
        <v>0</v>
      </c>
      <c r="G95" s="207">
        <f>SUMIFS('ноябрь 2023'!$G$4:$G$1127,'ноябрь 2023'!$D$4:$D$1127,$B95,'ноябрь 2023'!$J$4:$J$1127,G$1)</f>
        <v>0</v>
      </c>
      <c r="H95" s="207">
        <f>SUMIFS('ноябрь 2023'!$G$4:$G$1127,'ноябрь 2023'!$D$4:$D$1127,$B95,'ноябрь 2023'!$J$4:$J$1127,H$1)</f>
        <v>0</v>
      </c>
      <c r="I95" s="207">
        <f>SUMIFS('ноябрь 2023'!$G$4:$G$1127,'ноябрь 2023'!$D$4:$D$1127,$B95,'ноябрь 2023'!$J$4:$J$1127,I$1)</f>
        <v>0</v>
      </c>
      <c r="J95" s="207">
        <f>SUMIFS('ноябрь 2023'!$G$4:$G$1127,'ноябрь 2023'!$D$4:$D$1127,$B95,'ноябрь 2023'!$J$4:$J$1127,J$1)</f>
        <v>0</v>
      </c>
      <c r="K95" s="207">
        <f>SUMIFS('ноябрь 2023'!$G$4:$G$1127,'ноябрь 2023'!$D$4:$D$1127,$B95,'ноябрь 2023'!$J$4:$J$1127,K$1)</f>
        <v>0</v>
      </c>
      <c r="L95" s="207">
        <f>SUMIFS('ноябрь 2023'!$G$4:$G$1127,'ноябрь 2023'!$D$4:$D$1127,$B95,'ноябрь 2023'!$J$4:$J$1127,L$1)</f>
        <v>0</v>
      </c>
      <c r="M95" s="207">
        <f>SUMIFS('ноябрь 2023'!$G$4:$G$1127,'ноябрь 2023'!$D$4:$D$1127,$B95,'ноябрь 2023'!$J$4:$J$1127,M$1)</f>
        <v>0</v>
      </c>
      <c r="N95" s="207">
        <f>SUMIFS('ноябрь 2023'!$G$4:$G$1127,'ноябрь 2023'!$D$4:$D$1127,$B95,'ноябрь 2023'!$J$4:$J$1127,N$1)</f>
        <v>0</v>
      </c>
      <c r="O95" s="207">
        <f>SUMIFS('ноябрь 2023'!$G$4:$G$1127,'ноябрь 2023'!$D$4:$D$1127,$B95,'ноябрь 2023'!$J$4:$J$1127,O$1)</f>
        <v>0</v>
      </c>
      <c r="P95" s="207">
        <f>SUMIFS('ноябрь 2023'!$G$4:$G$1127,'ноябрь 2023'!$D$4:$D$1127,$B95,'ноябрь 2023'!$J$4:$J$1127,P$1)</f>
        <v>0</v>
      </c>
      <c r="Q95" s="207">
        <f>SUMIFS('ноябрь 2023'!$G$4:$G$1127,'ноябрь 2023'!$D$4:$D$1127,$B95,'ноябрь 2023'!$J$4:$J$1127,Q$1)</f>
        <v>0</v>
      </c>
      <c r="R95" s="207">
        <f>SUMIFS('ноябрь 2023'!$G$4:$G$1127,'ноябрь 2023'!$D$4:$D$1127,$B95,'ноябрь 2023'!$J$4:$J$1127,R$1)</f>
        <v>0</v>
      </c>
      <c r="S95" s="207">
        <f>SUMIFS('ноябрь 2023'!$G$4:$G$1127,'ноябрь 2023'!$D$4:$D$1127,$B95,'ноябрь 2023'!$J$4:$J$1127,S$1)</f>
        <v>0</v>
      </c>
      <c r="T95" s="207">
        <f>SUMIFS('ноябрь 2023'!$G$4:$G$1127,'ноябрь 2023'!$D$4:$D$1127,$B95,'ноябрь 2023'!$J$4:$J$1127,T$1)</f>
        <v>0</v>
      </c>
      <c r="U95" s="207">
        <f>SUMIFS('ноябрь 2023'!$G$4:$G$1127,'ноябрь 2023'!$D$4:$D$1127,$B95,'ноябрь 2023'!$J$4:$J$1127,U$1)</f>
        <v>0</v>
      </c>
      <c r="V95" s="207">
        <f>SUMIFS('ноябрь 2023'!$G$4:$G$1127,'ноябрь 2023'!$D$4:$D$1127,$B95,'ноябрь 2023'!$J$4:$J$1127,V$1)</f>
        <v>0</v>
      </c>
      <c r="W95" s="207">
        <f>SUMIFS('ноябрь 2023'!$G$4:$G$1127,'ноябрь 2023'!$D$4:$D$1127,$B95,'ноябрь 2023'!$J$4:$J$1127,W$1)</f>
        <v>0</v>
      </c>
      <c r="X95" s="207">
        <f>SUMIFS('ноябрь 2023'!$G$4:$G$1127,'ноябрь 2023'!$D$4:$D$1127,$B95,'ноябрь 2023'!$J$4:$J$1127,X$1)</f>
        <v>0</v>
      </c>
      <c r="Y95" s="207">
        <f>SUMIFS('ноябрь 2023'!$G$4:$G$1127,'ноябрь 2023'!$D$4:$D$1127,$B95,'ноябрь 2023'!$J$4:$J$1127,Y$1)</f>
        <v>0</v>
      </c>
      <c r="Z95" s="207">
        <f>SUMIFS('ноябрь 2023'!$G$4:$G$1127,'ноябрь 2023'!$D$4:$D$1127,$B95,'ноябрь 2023'!$J$4:$J$1127,Z$1)</f>
        <v>0</v>
      </c>
      <c r="AA95" s="207">
        <f>SUMIFS('ноябрь 2023'!$G$4:$G$1127,'ноябрь 2023'!$D$4:$D$1127,$B95,'ноябрь 2023'!$J$4:$J$1127,AA$1)</f>
        <v>0</v>
      </c>
      <c r="AB95" s="207">
        <f>SUMIFS('ноябрь 2023'!$G$4:$G$1127,'ноябрь 2023'!$D$4:$D$1127,$B95,'ноябрь 2023'!$J$4:$J$1127,AB$1)</f>
        <v>0</v>
      </c>
      <c r="AC95" s="207">
        <f>SUMIFS('ноябрь 2023'!$G$4:$G$1127,'ноябрь 2023'!$D$4:$D$1127,$B95,'ноябрь 2023'!$J$4:$J$1127,AC$1)</f>
        <v>0</v>
      </c>
      <c r="AD95" s="207">
        <f>SUMIFS('ноябрь 2023'!$G$4:$G$1127,'ноябрь 2023'!$D$4:$D$1127,$B95,'ноябрь 2023'!$J$4:$J$1127,AD$1)</f>
        <v>0</v>
      </c>
      <c r="AE95" s="207">
        <f>SUMIFS('ноябрь 2023'!$G$4:$G$1127,'ноябрь 2023'!$D$4:$D$1127,$B95,'ноябрь 2023'!$J$4:$J$1127,AE$1)</f>
        <v>0</v>
      </c>
      <c r="AF95" s="207">
        <f>SUMIFS('ноябрь 2023'!$G$4:$G$1127,'ноябрь 2023'!$D$4:$D$1127,$B95,'ноябрь 2023'!$J$4:$J$1127,AF$1)</f>
        <v>0</v>
      </c>
      <c r="AG95" s="207">
        <f>SUMIFS('ноябрь 2023'!$G$4:$G$1127,'ноябрь 2023'!$D$4:$D$1127,$B95,'ноябрь 2023'!$J$4:$J$1127,AG$1)</f>
        <v>0</v>
      </c>
      <c r="AH95" s="207">
        <f>SUMIFS('ноябрь 2023'!$G$4:$G$1127,'ноябрь 2023'!$D$4:$D$1127,$B95,'ноябрь 2023'!$J$4:$J$1127,AH$1)</f>
        <v>0</v>
      </c>
      <c r="AI95" s="170">
        <f t="shared" si="2"/>
        <v>0</v>
      </c>
    </row>
    <row r="96" spans="2:35" ht="15" customHeight="1" x14ac:dyDescent="0.25">
      <c r="B96" s="212" t="s">
        <v>864</v>
      </c>
      <c r="C96" s="211">
        <v>18</v>
      </c>
      <c r="D96" s="207">
        <f>SUMIFS('ноябрь 2023'!$G$4:$G$1127,'ноябрь 2023'!$D$4:$D$1127,$B96,'ноябрь 2023'!$J$4:$J$1127,D$1)</f>
        <v>0</v>
      </c>
      <c r="E96" s="207">
        <f>SUMIFS('ноябрь 2023'!$G$4:$G$1127,'ноябрь 2023'!$D$4:$D$1127,$B96,'ноябрь 2023'!$J$4:$J$1127,E$1)</f>
        <v>0</v>
      </c>
      <c r="F96" s="207">
        <f>SUMIFS('ноябрь 2023'!$G$4:$G$1127,'ноябрь 2023'!$D$4:$D$1127,$B96,'ноябрь 2023'!$J$4:$J$1127,F$1)</f>
        <v>0</v>
      </c>
      <c r="G96" s="207">
        <f>SUMIFS('ноябрь 2023'!$G$4:$G$1127,'ноябрь 2023'!$D$4:$D$1127,$B96,'ноябрь 2023'!$J$4:$J$1127,G$1)</f>
        <v>0</v>
      </c>
      <c r="H96" s="207">
        <f>SUMIFS('ноябрь 2023'!$G$4:$G$1127,'ноябрь 2023'!$D$4:$D$1127,$B96,'ноябрь 2023'!$J$4:$J$1127,H$1)</f>
        <v>0</v>
      </c>
      <c r="I96" s="207">
        <f>SUMIFS('ноябрь 2023'!$G$4:$G$1127,'ноябрь 2023'!$D$4:$D$1127,$B96,'ноябрь 2023'!$J$4:$J$1127,I$1)</f>
        <v>0</v>
      </c>
      <c r="J96" s="207">
        <f>SUMIFS('ноябрь 2023'!$G$4:$G$1127,'ноябрь 2023'!$D$4:$D$1127,$B96,'ноябрь 2023'!$J$4:$J$1127,J$1)</f>
        <v>0</v>
      </c>
      <c r="K96" s="207">
        <f>SUMIFS('ноябрь 2023'!$G$4:$G$1127,'ноябрь 2023'!$D$4:$D$1127,$B96,'ноябрь 2023'!$J$4:$J$1127,K$1)</f>
        <v>0</v>
      </c>
      <c r="L96" s="207">
        <f>SUMIFS('ноябрь 2023'!$G$4:$G$1127,'ноябрь 2023'!$D$4:$D$1127,$B96,'ноябрь 2023'!$J$4:$J$1127,L$1)</f>
        <v>0</v>
      </c>
      <c r="M96" s="207">
        <f>SUMIFS('ноябрь 2023'!$G$4:$G$1127,'ноябрь 2023'!$D$4:$D$1127,$B96,'ноябрь 2023'!$J$4:$J$1127,M$1)</f>
        <v>0</v>
      </c>
      <c r="N96" s="207">
        <f>SUMIFS('ноябрь 2023'!$G$4:$G$1127,'ноябрь 2023'!$D$4:$D$1127,$B96,'ноябрь 2023'!$J$4:$J$1127,N$1)</f>
        <v>0</v>
      </c>
      <c r="O96" s="207">
        <f>SUMIFS('ноябрь 2023'!$G$4:$G$1127,'ноябрь 2023'!$D$4:$D$1127,$B96,'ноябрь 2023'!$J$4:$J$1127,O$1)</f>
        <v>0</v>
      </c>
      <c r="P96" s="207">
        <f>SUMIFS('ноябрь 2023'!$G$4:$G$1127,'ноябрь 2023'!$D$4:$D$1127,$B96,'ноябрь 2023'!$J$4:$J$1127,P$1)</f>
        <v>0</v>
      </c>
      <c r="Q96" s="207">
        <f>SUMIFS('ноябрь 2023'!$G$4:$G$1127,'ноябрь 2023'!$D$4:$D$1127,$B96,'ноябрь 2023'!$J$4:$J$1127,Q$1)</f>
        <v>0</v>
      </c>
      <c r="R96" s="207">
        <f>SUMIFS('ноябрь 2023'!$G$4:$G$1127,'ноябрь 2023'!$D$4:$D$1127,$B96,'ноябрь 2023'!$J$4:$J$1127,R$1)</f>
        <v>0</v>
      </c>
      <c r="S96" s="207">
        <f>SUMIFS('ноябрь 2023'!$G$4:$G$1127,'ноябрь 2023'!$D$4:$D$1127,$B96,'ноябрь 2023'!$J$4:$J$1127,S$1)</f>
        <v>0</v>
      </c>
      <c r="T96" s="207">
        <f>SUMIFS('ноябрь 2023'!$G$4:$G$1127,'ноябрь 2023'!$D$4:$D$1127,$B96,'ноябрь 2023'!$J$4:$J$1127,T$1)</f>
        <v>0</v>
      </c>
      <c r="U96" s="207">
        <f>SUMIFS('ноябрь 2023'!$G$4:$G$1127,'ноябрь 2023'!$D$4:$D$1127,$B96,'ноябрь 2023'!$J$4:$J$1127,U$1)</f>
        <v>0</v>
      </c>
      <c r="V96" s="207">
        <f>SUMIFS('ноябрь 2023'!$G$4:$G$1127,'ноябрь 2023'!$D$4:$D$1127,$B96,'ноябрь 2023'!$J$4:$J$1127,V$1)</f>
        <v>0</v>
      </c>
      <c r="W96" s="207">
        <f>SUMIFS('ноябрь 2023'!$G$4:$G$1127,'ноябрь 2023'!$D$4:$D$1127,$B96,'ноябрь 2023'!$J$4:$J$1127,W$1)</f>
        <v>0</v>
      </c>
      <c r="X96" s="207">
        <f>SUMIFS('ноябрь 2023'!$G$4:$G$1127,'ноябрь 2023'!$D$4:$D$1127,$B96,'ноябрь 2023'!$J$4:$J$1127,X$1)</f>
        <v>0</v>
      </c>
      <c r="Y96" s="207">
        <f>SUMIFS('ноябрь 2023'!$G$4:$G$1127,'ноябрь 2023'!$D$4:$D$1127,$B96,'ноябрь 2023'!$J$4:$J$1127,Y$1)</f>
        <v>0</v>
      </c>
      <c r="Z96" s="207">
        <f>SUMIFS('ноябрь 2023'!$G$4:$G$1127,'ноябрь 2023'!$D$4:$D$1127,$B96,'ноябрь 2023'!$J$4:$J$1127,Z$1)</f>
        <v>0</v>
      </c>
      <c r="AA96" s="207">
        <f>SUMIFS('ноябрь 2023'!$G$4:$G$1127,'ноябрь 2023'!$D$4:$D$1127,$B96,'ноябрь 2023'!$J$4:$J$1127,AA$1)</f>
        <v>0</v>
      </c>
      <c r="AB96" s="207">
        <f>SUMIFS('ноябрь 2023'!$G$4:$G$1127,'ноябрь 2023'!$D$4:$D$1127,$B96,'ноябрь 2023'!$J$4:$J$1127,AB$1)</f>
        <v>0</v>
      </c>
      <c r="AC96" s="207">
        <f>SUMIFS('ноябрь 2023'!$G$4:$G$1127,'ноябрь 2023'!$D$4:$D$1127,$B96,'ноябрь 2023'!$J$4:$J$1127,AC$1)</f>
        <v>0</v>
      </c>
      <c r="AD96" s="207">
        <f>SUMIFS('ноябрь 2023'!$G$4:$G$1127,'ноябрь 2023'!$D$4:$D$1127,$B96,'ноябрь 2023'!$J$4:$J$1127,AD$1)</f>
        <v>0</v>
      </c>
      <c r="AE96" s="207">
        <f>SUMIFS('ноябрь 2023'!$G$4:$G$1127,'ноябрь 2023'!$D$4:$D$1127,$B96,'ноябрь 2023'!$J$4:$J$1127,AE$1)</f>
        <v>0</v>
      </c>
      <c r="AF96" s="207">
        <f>SUMIFS('ноябрь 2023'!$G$4:$G$1127,'ноябрь 2023'!$D$4:$D$1127,$B96,'ноябрь 2023'!$J$4:$J$1127,AF$1)</f>
        <v>0</v>
      </c>
      <c r="AG96" s="207">
        <f>SUMIFS('ноябрь 2023'!$G$4:$G$1127,'ноябрь 2023'!$D$4:$D$1127,$B96,'ноябрь 2023'!$J$4:$J$1127,AG$1)</f>
        <v>0</v>
      </c>
      <c r="AH96" s="207">
        <f>SUMIFS('ноябрь 2023'!$G$4:$G$1127,'ноябрь 2023'!$D$4:$D$1127,$B96,'ноябрь 2023'!$J$4:$J$1127,AH$1)</f>
        <v>0</v>
      </c>
      <c r="AI96" s="170">
        <f t="shared" si="2"/>
        <v>0</v>
      </c>
    </row>
    <row r="97" spans="2:35" ht="15" customHeight="1" x14ac:dyDescent="0.25">
      <c r="B97" s="216" t="s">
        <v>610</v>
      </c>
      <c r="C97" s="213">
        <v>180</v>
      </c>
      <c r="D97" s="207">
        <f>SUMIFS('ноябрь 2023'!$G$4:$G$1127,'ноябрь 2023'!$D$4:$D$1127,$B97,'ноябрь 2023'!$J$4:$J$1127,D$1)</f>
        <v>0</v>
      </c>
      <c r="E97" s="207">
        <f>SUMIFS('ноябрь 2023'!$G$4:$G$1127,'ноябрь 2023'!$D$4:$D$1127,$B97,'ноябрь 2023'!$J$4:$J$1127,E$1)</f>
        <v>0</v>
      </c>
      <c r="F97" s="207">
        <f>SUMIFS('ноябрь 2023'!$G$4:$G$1127,'ноябрь 2023'!$D$4:$D$1127,$B97,'ноябрь 2023'!$J$4:$J$1127,F$1)</f>
        <v>0</v>
      </c>
      <c r="G97" s="207">
        <f>SUMIFS('ноябрь 2023'!$G$4:$G$1127,'ноябрь 2023'!$D$4:$D$1127,$B97,'ноябрь 2023'!$J$4:$J$1127,G$1)</f>
        <v>0</v>
      </c>
      <c r="H97" s="207">
        <f>SUMIFS('ноябрь 2023'!$G$4:$G$1127,'ноябрь 2023'!$D$4:$D$1127,$B97,'ноябрь 2023'!$J$4:$J$1127,H$1)</f>
        <v>0</v>
      </c>
      <c r="I97" s="207">
        <f>SUMIFS('ноябрь 2023'!$G$4:$G$1127,'ноябрь 2023'!$D$4:$D$1127,$B97,'ноябрь 2023'!$J$4:$J$1127,I$1)</f>
        <v>0</v>
      </c>
      <c r="J97" s="207">
        <f>SUMIFS('ноябрь 2023'!$G$4:$G$1127,'ноябрь 2023'!$D$4:$D$1127,$B97,'ноябрь 2023'!$J$4:$J$1127,J$1)</f>
        <v>0</v>
      </c>
      <c r="K97" s="207">
        <f>SUMIFS('ноябрь 2023'!$G$4:$G$1127,'ноябрь 2023'!$D$4:$D$1127,$B97,'ноябрь 2023'!$J$4:$J$1127,K$1)</f>
        <v>0</v>
      </c>
      <c r="L97" s="207">
        <f>SUMIFS('ноябрь 2023'!$G$4:$G$1127,'ноябрь 2023'!$D$4:$D$1127,$B97,'ноябрь 2023'!$J$4:$J$1127,L$1)</f>
        <v>0</v>
      </c>
      <c r="M97" s="207">
        <f>SUMIFS('ноябрь 2023'!$G$4:$G$1127,'ноябрь 2023'!$D$4:$D$1127,$B97,'ноябрь 2023'!$J$4:$J$1127,M$1)</f>
        <v>0</v>
      </c>
      <c r="N97" s="207">
        <f>SUMIFS('ноябрь 2023'!$G$4:$G$1127,'ноябрь 2023'!$D$4:$D$1127,$B97,'ноябрь 2023'!$J$4:$J$1127,N$1)</f>
        <v>0</v>
      </c>
      <c r="O97" s="207">
        <f>SUMIFS('ноябрь 2023'!$G$4:$G$1127,'ноябрь 2023'!$D$4:$D$1127,$B97,'ноябрь 2023'!$J$4:$J$1127,O$1)</f>
        <v>0</v>
      </c>
      <c r="P97" s="207">
        <f>SUMIFS('ноябрь 2023'!$G$4:$G$1127,'ноябрь 2023'!$D$4:$D$1127,$B97,'ноябрь 2023'!$J$4:$J$1127,P$1)</f>
        <v>0</v>
      </c>
      <c r="Q97" s="207">
        <f>SUMIFS('ноябрь 2023'!$G$4:$G$1127,'ноябрь 2023'!$D$4:$D$1127,$B97,'ноябрь 2023'!$J$4:$J$1127,Q$1)</f>
        <v>0</v>
      </c>
      <c r="R97" s="207">
        <f>SUMIFS('ноябрь 2023'!$G$4:$G$1127,'ноябрь 2023'!$D$4:$D$1127,$B97,'ноябрь 2023'!$J$4:$J$1127,R$1)</f>
        <v>0</v>
      </c>
      <c r="S97" s="207">
        <f>SUMIFS('ноябрь 2023'!$G$4:$G$1127,'ноябрь 2023'!$D$4:$D$1127,$B97,'ноябрь 2023'!$J$4:$J$1127,S$1)</f>
        <v>0</v>
      </c>
      <c r="T97" s="207">
        <f>SUMIFS('ноябрь 2023'!$G$4:$G$1127,'ноябрь 2023'!$D$4:$D$1127,$B97,'ноябрь 2023'!$J$4:$J$1127,T$1)</f>
        <v>0</v>
      </c>
      <c r="U97" s="207">
        <f>SUMIFS('ноябрь 2023'!$G$4:$G$1127,'ноябрь 2023'!$D$4:$D$1127,$B97,'ноябрь 2023'!$J$4:$J$1127,U$1)</f>
        <v>0</v>
      </c>
      <c r="V97" s="207">
        <f>SUMIFS('ноябрь 2023'!$G$4:$G$1127,'ноябрь 2023'!$D$4:$D$1127,$B97,'ноябрь 2023'!$J$4:$J$1127,V$1)</f>
        <v>0</v>
      </c>
      <c r="W97" s="207">
        <f>SUMIFS('ноябрь 2023'!$G$4:$G$1127,'ноябрь 2023'!$D$4:$D$1127,$B97,'ноябрь 2023'!$J$4:$J$1127,W$1)</f>
        <v>0</v>
      </c>
      <c r="X97" s="207">
        <f>SUMIFS('ноябрь 2023'!$G$4:$G$1127,'ноябрь 2023'!$D$4:$D$1127,$B97,'ноябрь 2023'!$J$4:$J$1127,X$1)</f>
        <v>0</v>
      </c>
      <c r="Y97" s="207">
        <f>SUMIFS('ноябрь 2023'!$G$4:$G$1127,'ноябрь 2023'!$D$4:$D$1127,$B97,'ноябрь 2023'!$J$4:$J$1127,Y$1)</f>
        <v>0</v>
      </c>
      <c r="Z97" s="207">
        <f>SUMIFS('ноябрь 2023'!$G$4:$G$1127,'ноябрь 2023'!$D$4:$D$1127,$B97,'ноябрь 2023'!$J$4:$J$1127,Z$1)</f>
        <v>0</v>
      </c>
      <c r="AA97" s="207">
        <f>SUMIFS('ноябрь 2023'!$G$4:$G$1127,'ноябрь 2023'!$D$4:$D$1127,$B97,'ноябрь 2023'!$J$4:$J$1127,AA$1)</f>
        <v>0</v>
      </c>
      <c r="AB97" s="207">
        <f>SUMIFS('ноябрь 2023'!$G$4:$G$1127,'ноябрь 2023'!$D$4:$D$1127,$B97,'ноябрь 2023'!$J$4:$J$1127,AB$1)</f>
        <v>0</v>
      </c>
      <c r="AC97" s="207">
        <f>SUMIFS('ноябрь 2023'!$G$4:$G$1127,'ноябрь 2023'!$D$4:$D$1127,$B97,'ноябрь 2023'!$J$4:$J$1127,AC$1)</f>
        <v>0</v>
      </c>
      <c r="AD97" s="207">
        <f>SUMIFS('ноябрь 2023'!$G$4:$G$1127,'ноябрь 2023'!$D$4:$D$1127,$B97,'ноябрь 2023'!$J$4:$J$1127,AD$1)</f>
        <v>0</v>
      </c>
      <c r="AE97" s="207">
        <f>SUMIFS('ноябрь 2023'!$G$4:$G$1127,'ноябрь 2023'!$D$4:$D$1127,$B97,'ноябрь 2023'!$J$4:$J$1127,AE$1)</f>
        <v>0</v>
      </c>
      <c r="AF97" s="207">
        <f>SUMIFS('ноябрь 2023'!$G$4:$G$1127,'ноябрь 2023'!$D$4:$D$1127,$B97,'ноябрь 2023'!$J$4:$J$1127,AF$1)</f>
        <v>0</v>
      </c>
      <c r="AG97" s="207">
        <f>SUMIFS('ноябрь 2023'!$G$4:$G$1127,'ноябрь 2023'!$D$4:$D$1127,$B97,'ноябрь 2023'!$J$4:$J$1127,AG$1)</f>
        <v>0</v>
      </c>
      <c r="AH97" s="207">
        <f>SUMIFS('ноябрь 2023'!$G$4:$G$1127,'ноябрь 2023'!$D$4:$D$1127,$B97,'ноябрь 2023'!$J$4:$J$1127,AH$1)</f>
        <v>0</v>
      </c>
      <c r="AI97" s="170">
        <f t="shared" si="2"/>
        <v>0</v>
      </c>
    </row>
    <row r="98" spans="2:35" ht="15" customHeight="1" x14ac:dyDescent="0.25">
      <c r="B98" s="216" t="s">
        <v>2192</v>
      </c>
      <c r="C98" s="213">
        <v>200</v>
      </c>
      <c r="D98" s="207">
        <f>SUMIFS('ноябрь 2023'!$G$4:$G$1127,'ноябрь 2023'!$D$4:$D$1127,$B98,'ноябрь 2023'!$J$4:$J$1127,D$1)</f>
        <v>0</v>
      </c>
      <c r="E98" s="207">
        <f>SUMIFS('ноябрь 2023'!$G$4:$G$1127,'ноябрь 2023'!$D$4:$D$1127,$B98,'ноябрь 2023'!$J$4:$J$1127,E$1)</f>
        <v>0</v>
      </c>
      <c r="F98" s="207">
        <f>SUMIFS('ноябрь 2023'!$G$4:$G$1127,'ноябрь 2023'!$D$4:$D$1127,$B98,'ноябрь 2023'!$J$4:$J$1127,F$1)</f>
        <v>0</v>
      </c>
      <c r="G98" s="207">
        <f>SUMIFS('ноябрь 2023'!$G$4:$G$1127,'ноябрь 2023'!$D$4:$D$1127,$B98,'ноябрь 2023'!$J$4:$J$1127,G$1)</f>
        <v>0</v>
      </c>
      <c r="H98" s="207">
        <f>SUMIFS('ноябрь 2023'!$G$4:$G$1127,'ноябрь 2023'!$D$4:$D$1127,$B98,'ноябрь 2023'!$J$4:$J$1127,H$1)</f>
        <v>0</v>
      </c>
      <c r="I98" s="207">
        <f>SUMIFS('ноябрь 2023'!$G$4:$G$1127,'ноябрь 2023'!$D$4:$D$1127,$B98,'ноябрь 2023'!$J$4:$J$1127,I$1)</f>
        <v>0</v>
      </c>
      <c r="J98" s="207">
        <f>SUMIFS('ноябрь 2023'!$G$4:$G$1127,'ноябрь 2023'!$D$4:$D$1127,$B98,'ноябрь 2023'!$J$4:$J$1127,J$1)</f>
        <v>0</v>
      </c>
      <c r="K98" s="207">
        <f>SUMIFS('ноябрь 2023'!$G$4:$G$1127,'ноябрь 2023'!$D$4:$D$1127,$B98,'ноябрь 2023'!$J$4:$J$1127,K$1)</f>
        <v>0</v>
      </c>
      <c r="L98" s="207">
        <f>SUMIFS('ноябрь 2023'!$G$4:$G$1127,'ноябрь 2023'!$D$4:$D$1127,$B98,'ноябрь 2023'!$J$4:$J$1127,L$1)</f>
        <v>0</v>
      </c>
      <c r="M98" s="207">
        <f>SUMIFS('ноябрь 2023'!$G$4:$G$1127,'ноябрь 2023'!$D$4:$D$1127,$B98,'ноябрь 2023'!$J$4:$J$1127,M$1)</f>
        <v>0</v>
      </c>
      <c r="N98" s="207">
        <f>SUMIFS('ноябрь 2023'!$G$4:$G$1127,'ноябрь 2023'!$D$4:$D$1127,$B98,'ноябрь 2023'!$J$4:$J$1127,N$1)</f>
        <v>0</v>
      </c>
      <c r="O98" s="207">
        <f>SUMIFS('ноябрь 2023'!$G$4:$G$1127,'ноябрь 2023'!$D$4:$D$1127,$B98,'ноябрь 2023'!$J$4:$J$1127,O$1)</f>
        <v>0</v>
      </c>
      <c r="P98" s="207">
        <f>SUMIFS('ноябрь 2023'!$G$4:$G$1127,'ноябрь 2023'!$D$4:$D$1127,$B98,'ноябрь 2023'!$J$4:$J$1127,P$1)</f>
        <v>0</v>
      </c>
      <c r="Q98" s="207">
        <f>SUMIFS('ноябрь 2023'!$G$4:$G$1127,'ноябрь 2023'!$D$4:$D$1127,$B98,'ноябрь 2023'!$J$4:$J$1127,Q$1)</f>
        <v>0</v>
      </c>
      <c r="R98" s="207">
        <f>SUMIFS('ноябрь 2023'!$G$4:$G$1127,'ноябрь 2023'!$D$4:$D$1127,$B98,'ноябрь 2023'!$J$4:$J$1127,R$1)</f>
        <v>0</v>
      </c>
      <c r="S98" s="207">
        <f>SUMIFS('ноябрь 2023'!$G$4:$G$1127,'ноябрь 2023'!$D$4:$D$1127,$B98,'ноябрь 2023'!$J$4:$J$1127,S$1)</f>
        <v>0</v>
      </c>
      <c r="T98" s="207">
        <f>SUMIFS('ноябрь 2023'!$G$4:$G$1127,'ноябрь 2023'!$D$4:$D$1127,$B98,'ноябрь 2023'!$J$4:$J$1127,T$1)</f>
        <v>0</v>
      </c>
      <c r="U98" s="207">
        <f>SUMIFS('ноябрь 2023'!$G$4:$G$1127,'ноябрь 2023'!$D$4:$D$1127,$B98,'ноябрь 2023'!$J$4:$J$1127,U$1)</f>
        <v>0</v>
      </c>
      <c r="V98" s="207">
        <f>SUMIFS('ноябрь 2023'!$G$4:$G$1127,'ноябрь 2023'!$D$4:$D$1127,$B98,'ноябрь 2023'!$J$4:$J$1127,V$1)</f>
        <v>0</v>
      </c>
      <c r="W98" s="207">
        <f>SUMIFS('ноябрь 2023'!$G$4:$G$1127,'ноябрь 2023'!$D$4:$D$1127,$B98,'ноябрь 2023'!$J$4:$J$1127,W$1)</f>
        <v>0</v>
      </c>
      <c r="X98" s="207">
        <f>SUMIFS('ноябрь 2023'!$G$4:$G$1127,'ноябрь 2023'!$D$4:$D$1127,$B98,'ноябрь 2023'!$J$4:$J$1127,X$1)</f>
        <v>0</v>
      </c>
      <c r="Y98" s="207">
        <f>SUMIFS('ноябрь 2023'!$G$4:$G$1127,'ноябрь 2023'!$D$4:$D$1127,$B98,'ноябрь 2023'!$J$4:$J$1127,Y$1)</f>
        <v>0</v>
      </c>
      <c r="Z98" s="207">
        <f>SUMIFS('ноябрь 2023'!$G$4:$G$1127,'ноябрь 2023'!$D$4:$D$1127,$B98,'ноябрь 2023'!$J$4:$J$1127,Z$1)</f>
        <v>0</v>
      </c>
      <c r="AA98" s="207">
        <f>SUMIFS('ноябрь 2023'!$G$4:$G$1127,'ноябрь 2023'!$D$4:$D$1127,$B98,'ноябрь 2023'!$J$4:$J$1127,AA$1)</f>
        <v>0</v>
      </c>
      <c r="AB98" s="207">
        <f>SUMIFS('ноябрь 2023'!$G$4:$G$1127,'ноябрь 2023'!$D$4:$D$1127,$B98,'ноябрь 2023'!$J$4:$J$1127,AB$1)</f>
        <v>0</v>
      </c>
      <c r="AC98" s="207">
        <f>SUMIFS('ноябрь 2023'!$G$4:$G$1127,'ноябрь 2023'!$D$4:$D$1127,$B98,'ноябрь 2023'!$J$4:$J$1127,AC$1)</f>
        <v>0</v>
      </c>
      <c r="AD98" s="207">
        <f>SUMIFS('ноябрь 2023'!$G$4:$G$1127,'ноябрь 2023'!$D$4:$D$1127,$B98,'ноябрь 2023'!$J$4:$J$1127,AD$1)</f>
        <v>0</v>
      </c>
      <c r="AE98" s="207">
        <f>SUMIFS('ноябрь 2023'!$G$4:$G$1127,'ноябрь 2023'!$D$4:$D$1127,$B98,'ноябрь 2023'!$J$4:$J$1127,AE$1)</f>
        <v>0</v>
      </c>
      <c r="AF98" s="207">
        <f>SUMIFS('ноябрь 2023'!$G$4:$G$1127,'ноябрь 2023'!$D$4:$D$1127,$B98,'ноябрь 2023'!$J$4:$J$1127,AF$1)</f>
        <v>0</v>
      </c>
      <c r="AG98" s="207">
        <f>SUMIFS('ноябрь 2023'!$G$4:$G$1127,'ноябрь 2023'!$D$4:$D$1127,$B98,'ноябрь 2023'!$J$4:$J$1127,AG$1)</f>
        <v>0</v>
      </c>
      <c r="AH98" s="207">
        <f>SUMIFS('ноябрь 2023'!$G$4:$G$1127,'ноябрь 2023'!$D$4:$D$1127,$B98,'ноябрь 2023'!$J$4:$J$1127,AH$1)</f>
        <v>0</v>
      </c>
      <c r="AI98" s="170">
        <f t="shared" si="2"/>
        <v>0</v>
      </c>
    </row>
    <row r="99" spans="2:35" ht="15" customHeight="1" x14ac:dyDescent="0.25">
      <c r="B99" s="216" t="s">
        <v>308</v>
      </c>
      <c r="C99" s="213">
        <v>180</v>
      </c>
      <c r="D99" s="207">
        <f>SUMIFS('ноябрь 2023'!$G$4:$G$1127,'ноябрь 2023'!$D$4:$D$1127,$B99,'ноябрь 2023'!$J$4:$J$1127,D$1)</f>
        <v>0</v>
      </c>
      <c r="E99" s="207">
        <f>SUMIFS('ноябрь 2023'!$G$4:$G$1127,'ноябрь 2023'!$D$4:$D$1127,$B99,'ноябрь 2023'!$J$4:$J$1127,E$1)</f>
        <v>0</v>
      </c>
      <c r="F99" s="207">
        <f>SUMIFS('ноябрь 2023'!$G$4:$G$1127,'ноябрь 2023'!$D$4:$D$1127,$B99,'ноябрь 2023'!$J$4:$J$1127,F$1)</f>
        <v>0</v>
      </c>
      <c r="G99" s="207">
        <f>SUMIFS('ноябрь 2023'!$G$4:$G$1127,'ноябрь 2023'!$D$4:$D$1127,$B99,'ноябрь 2023'!$J$4:$J$1127,G$1)</f>
        <v>0</v>
      </c>
      <c r="H99" s="207">
        <f>SUMIFS('ноябрь 2023'!$G$4:$G$1127,'ноябрь 2023'!$D$4:$D$1127,$B99,'ноябрь 2023'!$J$4:$J$1127,H$1)</f>
        <v>0</v>
      </c>
      <c r="I99" s="207">
        <f>SUMIFS('ноябрь 2023'!$G$4:$G$1127,'ноябрь 2023'!$D$4:$D$1127,$B99,'ноябрь 2023'!$J$4:$J$1127,I$1)</f>
        <v>0</v>
      </c>
      <c r="J99" s="207">
        <f>SUMIFS('ноябрь 2023'!$G$4:$G$1127,'ноябрь 2023'!$D$4:$D$1127,$B99,'ноябрь 2023'!$J$4:$J$1127,J$1)</f>
        <v>0</v>
      </c>
      <c r="K99" s="207">
        <f>SUMIFS('ноябрь 2023'!$G$4:$G$1127,'ноябрь 2023'!$D$4:$D$1127,$B99,'ноябрь 2023'!$J$4:$J$1127,K$1)</f>
        <v>14</v>
      </c>
      <c r="L99" s="207">
        <f>SUMIFS('ноябрь 2023'!$G$4:$G$1127,'ноябрь 2023'!$D$4:$D$1127,$B99,'ноябрь 2023'!$J$4:$J$1127,L$1)</f>
        <v>0</v>
      </c>
      <c r="M99" s="207">
        <f>SUMIFS('ноябрь 2023'!$G$4:$G$1127,'ноябрь 2023'!$D$4:$D$1127,$B99,'ноябрь 2023'!$J$4:$J$1127,M$1)</f>
        <v>0</v>
      </c>
      <c r="N99" s="207">
        <f>SUMIFS('ноябрь 2023'!$G$4:$G$1127,'ноябрь 2023'!$D$4:$D$1127,$B99,'ноябрь 2023'!$J$4:$J$1127,N$1)</f>
        <v>0</v>
      </c>
      <c r="O99" s="207">
        <f>SUMIFS('ноябрь 2023'!$G$4:$G$1127,'ноябрь 2023'!$D$4:$D$1127,$B99,'ноябрь 2023'!$J$4:$J$1127,O$1)</f>
        <v>0</v>
      </c>
      <c r="P99" s="207">
        <f>SUMIFS('ноябрь 2023'!$G$4:$G$1127,'ноябрь 2023'!$D$4:$D$1127,$B99,'ноябрь 2023'!$J$4:$J$1127,P$1)</f>
        <v>0</v>
      </c>
      <c r="Q99" s="207">
        <f>SUMIFS('ноябрь 2023'!$G$4:$G$1127,'ноябрь 2023'!$D$4:$D$1127,$B99,'ноябрь 2023'!$J$4:$J$1127,Q$1)</f>
        <v>0</v>
      </c>
      <c r="R99" s="207">
        <f>SUMIFS('ноябрь 2023'!$G$4:$G$1127,'ноябрь 2023'!$D$4:$D$1127,$B99,'ноябрь 2023'!$J$4:$J$1127,R$1)</f>
        <v>0</v>
      </c>
      <c r="S99" s="207">
        <f>SUMIFS('ноябрь 2023'!$G$4:$G$1127,'ноябрь 2023'!$D$4:$D$1127,$B99,'ноябрь 2023'!$J$4:$J$1127,S$1)</f>
        <v>0</v>
      </c>
      <c r="T99" s="207">
        <f>SUMIFS('ноябрь 2023'!$G$4:$G$1127,'ноябрь 2023'!$D$4:$D$1127,$B99,'ноябрь 2023'!$J$4:$J$1127,T$1)</f>
        <v>0</v>
      </c>
      <c r="U99" s="207">
        <f>SUMIFS('ноябрь 2023'!$G$4:$G$1127,'ноябрь 2023'!$D$4:$D$1127,$B99,'ноябрь 2023'!$J$4:$J$1127,U$1)</f>
        <v>0</v>
      </c>
      <c r="V99" s="207">
        <f>SUMIFS('ноябрь 2023'!$G$4:$G$1127,'ноябрь 2023'!$D$4:$D$1127,$B99,'ноябрь 2023'!$J$4:$J$1127,V$1)</f>
        <v>0</v>
      </c>
      <c r="W99" s="207">
        <f>SUMIFS('ноябрь 2023'!$G$4:$G$1127,'ноябрь 2023'!$D$4:$D$1127,$B99,'ноябрь 2023'!$J$4:$J$1127,W$1)</f>
        <v>0</v>
      </c>
      <c r="X99" s="207">
        <f>SUMIFS('ноябрь 2023'!$G$4:$G$1127,'ноябрь 2023'!$D$4:$D$1127,$B99,'ноябрь 2023'!$J$4:$J$1127,X$1)</f>
        <v>0</v>
      </c>
      <c r="Y99" s="207">
        <f>SUMIFS('ноябрь 2023'!$G$4:$G$1127,'ноябрь 2023'!$D$4:$D$1127,$B99,'ноябрь 2023'!$J$4:$J$1127,Y$1)</f>
        <v>0</v>
      </c>
      <c r="Z99" s="207">
        <f>SUMIFS('ноябрь 2023'!$G$4:$G$1127,'ноябрь 2023'!$D$4:$D$1127,$B99,'ноябрь 2023'!$J$4:$J$1127,Z$1)</f>
        <v>0</v>
      </c>
      <c r="AA99" s="207">
        <f>SUMIFS('ноябрь 2023'!$G$4:$G$1127,'ноябрь 2023'!$D$4:$D$1127,$B99,'ноябрь 2023'!$J$4:$J$1127,AA$1)</f>
        <v>0</v>
      </c>
      <c r="AB99" s="207">
        <f>SUMIFS('ноябрь 2023'!$G$4:$G$1127,'ноябрь 2023'!$D$4:$D$1127,$B99,'ноябрь 2023'!$J$4:$J$1127,AB$1)</f>
        <v>0</v>
      </c>
      <c r="AC99" s="207">
        <f>SUMIFS('ноябрь 2023'!$G$4:$G$1127,'ноябрь 2023'!$D$4:$D$1127,$B99,'ноябрь 2023'!$J$4:$J$1127,AC$1)</f>
        <v>0</v>
      </c>
      <c r="AD99" s="207">
        <f>SUMIFS('ноябрь 2023'!$G$4:$G$1127,'ноябрь 2023'!$D$4:$D$1127,$B99,'ноябрь 2023'!$J$4:$J$1127,AD$1)</f>
        <v>0</v>
      </c>
      <c r="AE99" s="207">
        <f>SUMIFS('ноябрь 2023'!$G$4:$G$1127,'ноябрь 2023'!$D$4:$D$1127,$B99,'ноябрь 2023'!$J$4:$J$1127,AE$1)</f>
        <v>54</v>
      </c>
      <c r="AF99" s="207">
        <f>SUMIFS('ноябрь 2023'!$G$4:$G$1127,'ноябрь 2023'!$D$4:$D$1127,$B99,'ноябрь 2023'!$J$4:$J$1127,AF$1)</f>
        <v>60</v>
      </c>
      <c r="AG99" s="207">
        <f>SUMIFS('ноябрь 2023'!$G$4:$G$1127,'ноябрь 2023'!$D$4:$D$1127,$B99,'ноябрь 2023'!$J$4:$J$1127,AG$1)</f>
        <v>0</v>
      </c>
      <c r="AH99" s="207">
        <f>SUMIFS('ноябрь 2023'!$G$4:$G$1127,'ноябрь 2023'!$D$4:$D$1127,$B99,'ноябрь 2023'!$J$4:$J$1127,AH$1)</f>
        <v>0</v>
      </c>
      <c r="AI99" s="170">
        <f t="shared" si="2"/>
        <v>128</v>
      </c>
    </row>
    <row r="100" spans="2:35" ht="15" customHeight="1" x14ac:dyDescent="0.25">
      <c r="B100" s="216" t="s">
        <v>770</v>
      </c>
      <c r="C100" s="213">
        <v>190</v>
      </c>
      <c r="D100" s="207">
        <f>SUMIFS('ноябрь 2023'!$G$4:$G$1127,'ноябрь 2023'!$D$4:$D$1127,$B100,'ноябрь 2023'!$J$4:$J$1127,D$1)</f>
        <v>0</v>
      </c>
      <c r="E100" s="207">
        <f>SUMIFS('ноябрь 2023'!$G$4:$G$1127,'ноябрь 2023'!$D$4:$D$1127,$B100,'ноябрь 2023'!$J$4:$J$1127,E$1)</f>
        <v>0</v>
      </c>
      <c r="F100" s="207">
        <f>SUMIFS('ноябрь 2023'!$G$4:$G$1127,'ноябрь 2023'!$D$4:$D$1127,$B100,'ноябрь 2023'!$J$4:$J$1127,F$1)</f>
        <v>0</v>
      </c>
      <c r="G100" s="207">
        <f>SUMIFS('ноябрь 2023'!$G$4:$G$1127,'ноябрь 2023'!$D$4:$D$1127,$B100,'ноябрь 2023'!$J$4:$J$1127,G$1)</f>
        <v>0</v>
      </c>
      <c r="H100" s="207">
        <f>SUMIFS('ноябрь 2023'!$G$4:$G$1127,'ноябрь 2023'!$D$4:$D$1127,$B100,'ноябрь 2023'!$J$4:$J$1127,H$1)</f>
        <v>0</v>
      </c>
      <c r="I100" s="207">
        <f>SUMIFS('ноябрь 2023'!$G$4:$G$1127,'ноябрь 2023'!$D$4:$D$1127,$B100,'ноябрь 2023'!$J$4:$J$1127,I$1)</f>
        <v>0</v>
      </c>
      <c r="J100" s="207">
        <f>SUMIFS('ноябрь 2023'!$G$4:$G$1127,'ноябрь 2023'!$D$4:$D$1127,$B100,'ноябрь 2023'!$J$4:$J$1127,J$1)</f>
        <v>0</v>
      </c>
      <c r="K100" s="207">
        <f>SUMIFS('ноябрь 2023'!$G$4:$G$1127,'ноябрь 2023'!$D$4:$D$1127,$B100,'ноябрь 2023'!$J$4:$J$1127,K$1)</f>
        <v>0</v>
      </c>
      <c r="L100" s="207">
        <f>SUMIFS('ноябрь 2023'!$G$4:$G$1127,'ноябрь 2023'!$D$4:$D$1127,$B100,'ноябрь 2023'!$J$4:$J$1127,L$1)</f>
        <v>0</v>
      </c>
      <c r="M100" s="207">
        <f>SUMIFS('ноябрь 2023'!$G$4:$G$1127,'ноябрь 2023'!$D$4:$D$1127,$B100,'ноябрь 2023'!$J$4:$J$1127,M$1)</f>
        <v>0</v>
      </c>
      <c r="N100" s="207">
        <f>SUMIFS('ноябрь 2023'!$G$4:$G$1127,'ноябрь 2023'!$D$4:$D$1127,$B100,'ноябрь 2023'!$J$4:$J$1127,N$1)</f>
        <v>0</v>
      </c>
      <c r="O100" s="207">
        <f>SUMIFS('ноябрь 2023'!$G$4:$G$1127,'ноябрь 2023'!$D$4:$D$1127,$B100,'ноябрь 2023'!$J$4:$J$1127,O$1)</f>
        <v>0</v>
      </c>
      <c r="P100" s="207">
        <f>SUMIFS('ноябрь 2023'!$G$4:$G$1127,'ноябрь 2023'!$D$4:$D$1127,$B100,'ноябрь 2023'!$J$4:$J$1127,P$1)</f>
        <v>0</v>
      </c>
      <c r="Q100" s="207">
        <f>SUMIFS('ноябрь 2023'!$G$4:$G$1127,'ноябрь 2023'!$D$4:$D$1127,$B100,'ноябрь 2023'!$J$4:$J$1127,Q$1)</f>
        <v>0</v>
      </c>
      <c r="R100" s="207">
        <f>SUMIFS('ноябрь 2023'!$G$4:$G$1127,'ноябрь 2023'!$D$4:$D$1127,$B100,'ноябрь 2023'!$J$4:$J$1127,R$1)</f>
        <v>0</v>
      </c>
      <c r="S100" s="207">
        <f>SUMIFS('ноябрь 2023'!$G$4:$G$1127,'ноябрь 2023'!$D$4:$D$1127,$B100,'ноябрь 2023'!$J$4:$J$1127,S$1)</f>
        <v>0</v>
      </c>
      <c r="T100" s="207">
        <f>SUMIFS('ноябрь 2023'!$G$4:$G$1127,'ноябрь 2023'!$D$4:$D$1127,$B100,'ноябрь 2023'!$J$4:$J$1127,T$1)</f>
        <v>0</v>
      </c>
      <c r="U100" s="207">
        <f>SUMIFS('ноябрь 2023'!$G$4:$G$1127,'ноябрь 2023'!$D$4:$D$1127,$B100,'ноябрь 2023'!$J$4:$J$1127,U$1)</f>
        <v>0</v>
      </c>
      <c r="V100" s="207">
        <f>SUMIFS('ноябрь 2023'!$G$4:$G$1127,'ноябрь 2023'!$D$4:$D$1127,$B100,'ноябрь 2023'!$J$4:$J$1127,V$1)</f>
        <v>0</v>
      </c>
      <c r="W100" s="207">
        <f>SUMIFS('ноябрь 2023'!$G$4:$G$1127,'ноябрь 2023'!$D$4:$D$1127,$B100,'ноябрь 2023'!$J$4:$J$1127,W$1)</f>
        <v>0</v>
      </c>
      <c r="X100" s="207">
        <f>SUMIFS('ноябрь 2023'!$G$4:$G$1127,'ноябрь 2023'!$D$4:$D$1127,$B100,'ноябрь 2023'!$J$4:$J$1127,X$1)</f>
        <v>0</v>
      </c>
      <c r="Y100" s="207">
        <f>SUMIFS('ноябрь 2023'!$G$4:$G$1127,'ноябрь 2023'!$D$4:$D$1127,$B100,'ноябрь 2023'!$J$4:$J$1127,Y$1)</f>
        <v>0</v>
      </c>
      <c r="Z100" s="207">
        <f>SUMIFS('ноябрь 2023'!$G$4:$G$1127,'ноябрь 2023'!$D$4:$D$1127,$B100,'ноябрь 2023'!$J$4:$J$1127,Z$1)</f>
        <v>0</v>
      </c>
      <c r="AA100" s="207">
        <f>SUMIFS('ноябрь 2023'!$G$4:$G$1127,'ноябрь 2023'!$D$4:$D$1127,$B100,'ноябрь 2023'!$J$4:$J$1127,AA$1)</f>
        <v>0</v>
      </c>
      <c r="AB100" s="207">
        <f>SUMIFS('ноябрь 2023'!$G$4:$G$1127,'ноябрь 2023'!$D$4:$D$1127,$B100,'ноябрь 2023'!$J$4:$J$1127,AB$1)</f>
        <v>0</v>
      </c>
      <c r="AC100" s="207">
        <f>SUMIFS('ноябрь 2023'!$G$4:$G$1127,'ноябрь 2023'!$D$4:$D$1127,$B100,'ноябрь 2023'!$J$4:$J$1127,AC$1)</f>
        <v>0</v>
      </c>
      <c r="AD100" s="207">
        <f>SUMIFS('ноябрь 2023'!$G$4:$G$1127,'ноябрь 2023'!$D$4:$D$1127,$B100,'ноябрь 2023'!$J$4:$J$1127,AD$1)</f>
        <v>0</v>
      </c>
      <c r="AE100" s="207">
        <f>SUMIFS('ноябрь 2023'!$G$4:$G$1127,'ноябрь 2023'!$D$4:$D$1127,$B100,'ноябрь 2023'!$J$4:$J$1127,AE$1)</f>
        <v>0</v>
      </c>
      <c r="AF100" s="207">
        <f>SUMIFS('ноябрь 2023'!$G$4:$G$1127,'ноябрь 2023'!$D$4:$D$1127,$B100,'ноябрь 2023'!$J$4:$J$1127,AF$1)</f>
        <v>0</v>
      </c>
      <c r="AG100" s="207">
        <f>SUMIFS('ноябрь 2023'!$G$4:$G$1127,'ноябрь 2023'!$D$4:$D$1127,$B100,'ноябрь 2023'!$J$4:$J$1127,AG$1)</f>
        <v>0</v>
      </c>
      <c r="AH100" s="207">
        <f>SUMIFS('ноябрь 2023'!$G$4:$G$1127,'ноябрь 2023'!$D$4:$D$1127,$B100,'ноябрь 2023'!$J$4:$J$1127,AH$1)</f>
        <v>0</v>
      </c>
      <c r="AI100" s="170">
        <f t="shared" si="2"/>
        <v>0</v>
      </c>
    </row>
    <row r="101" spans="2:35" ht="15" customHeight="1" x14ac:dyDescent="0.25">
      <c r="B101" s="216" t="s">
        <v>2193</v>
      </c>
      <c r="C101" s="213">
        <v>190</v>
      </c>
      <c r="D101" s="207">
        <f>SUMIFS('ноябрь 2023'!$G$4:$G$1127,'ноябрь 2023'!$D$4:$D$1127,$B101,'ноябрь 2023'!$J$4:$J$1127,D$1)</f>
        <v>0</v>
      </c>
      <c r="E101" s="207">
        <f>SUMIFS('ноябрь 2023'!$G$4:$G$1127,'ноябрь 2023'!$D$4:$D$1127,$B101,'ноябрь 2023'!$J$4:$J$1127,E$1)</f>
        <v>0</v>
      </c>
      <c r="F101" s="207">
        <f>SUMIFS('ноябрь 2023'!$G$4:$G$1127,'ноябрь 2023'!$D$4:$D$1127,$B101,'ноябрь 2023'!$J$4:$J$1127,F$1)</f>
        <v>0</v>
      </c>
      <c r="G101" s="207">
        <f>SUMIFS('ноябрь 2023'!$G$4:$G$1127,'ноябрь 2023'!$D$4:$D$1127,$B101,'ноябрь 2023'!$J$4:$J$1127,G$1)</f>
        <v>0</v>
      </c>
      <c r="H101" s="207">
        <f>SUMIFS('ноябрь 2023'!$G$4:$G$1127,'ноябрь 2023'!$D$4:$D$1127,$B101,'ноябрь 2023'!$J$4:$J$1127,H$1)</f>
        <v>0</v>
      </c>
      <c r="I101" s="207">
        <f>SUMIFS('ноябрь 2023'!$G$4:$G$1127,'ноябрь 2023'!$D$4:$D$1127,$B101,'ноябрь 2023'!$J$4:$J$1127,I$1)</f>
        <v>0</v>
      </c>
      <c r="J101" s="207">
        <f>SUMIFS('ноябрь 2023'!$G$4:$G$1127,'ноябрь 2023'!$D$4:$D$1127,$B101,'ноябрь 2023'!$J$4:$J$1127,J$1)</f>
        <v>0</v>
      </c>
      <c r="K101" s="207">
        <f>SUMIFS('ноябрь 2023'!$G$4:$G$1127,'ноябрь 2023'!$D$4:$D$1127,$B101,'ноябрь 2023'!$J$4:$J$1127,K$1)</f>
        <v>0</v>
      </c>
      <c r="L101" s="207">
        <f>SUMIFS('ноябрь 2023'!$G$4:$G$1127,'ноябрь 2023'!$D$4:$D$1127,$B101,'ноябрь 2023'!$J$4:$J$1127,L$1)</f>
        <v>0</v>
      </c>
      <c r="M101" s="207">
        <f>SUMIFS('ноябрь 2023'!$G$4:$G$1127,'ноябрь 2023'!$D$4:$D$1127,$B101,'ноябрь 2023'!$J$4:$J$1127,M$1)</f>
        <v>0</v>
      </c>
      <c r="N101" s="207">
        <f>SUMIFS('ноябрь 2023'!$G$4:$G$1127,'ноябрь 2023'!$D$4:$D$1127,$B101,'ноябрь 2023'!$J$4:$J$1127,N$1)</f>
        <v>0</v>
      </c>
      <c r="O101" s="207">
        <f>SUMIFS('ноябрь 2023'!$G$4:$G$1127,'ноябрь 2023'!$D$4:$D$1127,$B101,'ноябрь 2023'!$J$4:$J$1127,O$1)</f>
        <v>0</v>
      </c>
      <c r="P101" s="207">
        <f>SUMIFS('ноябрь 2023'!$G$4:$G$1127,'ноябрь 2023'!$D$4:$D$1127,$B101,'ноябрь 2023'!$J$4:$J$1127,P$1)</f>
        <v>0</v>
      </c>
      <c r="Q101" s="207">
        <f>SUMIFS('ноябрь 2023'!$G$4:$G$1127,'ноябрь 2023'!$D$4:$D$1127,$B101,'ноябрь 2023'!$J$4:$J$1127,Q$1)</f>
        <v>0</v>
      </c>
      <c r="R101" s="207">
        <f>SUMIFS('ноябрь 2023'!$G$4:$G$1127,'ноябрь 2023'!$D$4:$D$1127,$B101,'ноябрь 2023'!$J$4:$J$1127,R$1)</f>
        <v>0</v>
      </c>
      <c r="S101" s="207">
        <f>SUMIFS('ноябрь 2023'!$G$4:$G$1127,'ноябрь 2023'!$D$4:$D$1127,$B101,'ноябрь 2023'!$J$4:$J$1127,S$1)</f>
        <v>0</v>
      </c>
      <c r="T101" s="207">
        <f>SUMIFS('ноябрь 2023'!$G$4:$G$1127,'ноябрь 2023'!$D$4:$D$1127,$B101,'ноябрь 2023'!$J$4:$J$1127,T$1)</f>
        <v>0</v>
      </c>
      <c r="U101" s="207">
        <f>SUMIFS('ноябрь 2023'!$G$4:$G$1127,'ноябрь 2023'!$D$4:$D$1127,$B101,'ноябрь 2023'!$J$4:$J$1127,U$1)</f>
        <v>0</v>
      </c>
      <c r="V101" s="207">
        <f>SUMIFS('ноябрь 2023'!$G$4:$G$1127,'ноябрь 2023'!$D$4:$D$1127,$B101,'ноябрь 2023'!$J$4:$J$1127,V$1)</f>
        <v>0</v>
      </c>
      <c r="W101" s="207">
        <f>SUMIFS('ноябрь 2023'!$G$4:$G$1127,'ноябрь 2023'!$D$4:$D$1127,$B101,'ноябрь 2023'!$J$4:$J$1127,W$1)</f>
        <v>0</v>
      </c>
      <c r="X101" s="207">
        <f>SUMIFS('ноябрь 2023'!$G$4:$G$1127,'ноябрь 2023'!$D$4:$D$1127,$B101,'ноябрь 2023'!$J$4:$J$1127,X$1)</f>
        <v>0</v>
      </c>
      <c r="Y101" s="207">
        <f>SUMIFS('ноябрь 2023'!$G$4:$G$1127,'ноябрь 2023'!$D$4:$D$1127,$B101,'ноябрь 2023'!$J$4:$J$1127,Y$1)</f>
        <v>0</v>
      </c>
      <c r="Z101" s="207">
        <f>SUMIFS('ноябрь 2023'!$G$4:$G$1127,'ноябрь 2023'!$D$4:$D$1127,$B101,'ноябрь 2023'!$J$4:$J$1127,Z$1)</f>
        <v>0</v>
      </c>
      <c r="AA101" s="207">
        <f>SUMIFS('ноябрь 2023'!$G$4:$G$1127,'ноябрь 2023'!$D$4:$D$1127,$B101,'ноябрь 2023'!$J$4:$J$1127,AA$1)</f>
        <v>0</v>
      </c>
      <c r="AB101" s="207">
        <f>SUMIFS('ноябрь 2023'!$G$4:$G$1127,'ноябрь 2023'!$D$4:$D$1127,$B101,'ноябрь 2023'!$J$4:$J$1127,AB$1)</f>
        <v>0</v>
      </c>
      <c r="AC101" s="207">
        <f>SUMIFS('ноябрь 2023'!$G$4:$G$1127,'ноябрь 2023'!$D$4:$D$1127,$B101,'ноябрь 2023'!$J$4:$J$1127,AC$1)</f>
        <v>0</v>
      </c>
      <c r="AD101" s="207">
        <f>SUMIFS('ноябрь 2023'!$G$4:$G$1127,'ноябрь 2023'!$D$4:$D$1127,$B101,'ноябрь 2023'!$J$4:$J$1127,AD$1)</f>
        <v>0</v>
      </c>
      <c r="AE101" s="207">
        <f>SUMIFS('ноябрь 2023'!$G$4:$G$1127,'ноябрь 2023'!$D$4:$D$1127,$B101,'ноябрь 2023'!$J$4:$J$1127,AE$1)</f>
        <v>0</v>
      </c>
      <c r="AF101" s="207">
        <f>SUMIFS('ноябрь 2023'!$G$4:$G$1127,'ноябрь 2023'!$D$4:$D$1127,$B101,'ноябрь 2023'!$J$4:$J$1127,AF$1)</f>
        <v>0</v>
      </c>
      <c r="AG101" s="207">
        <f>SUMIFS('ноябрь 2023'!$G$4:$G$1127,'ноябрь 2023'!$D$4:$D$1127,$B101,'ноябрь 2023'!$J$4:$J$1127,AG$1)</f>
        <v>0</v>
      </c>
      <c r="AH101" s="207">
        <f>SUMIFS('ноябрь 2023'!$G$4:$G$1127,'ноябрь 2023'!$D$4:$D$1127,$B101,'ноябрь 2023'!$J$4:$J$1127,AH$1)</f>
        <v>0</v>
      </c>
      <c r="AI101" s="170">
        <f t="shared" si="2"/>
        <v>0</v>
      </c>
    </row>
    <row r="102" spans="2:35" ht="15" customHeight="1" x14ac:dyDescent="0.25">
      <c r="B102" s="216" t="s">
        <v>2194</v>
      </c>
      <c r="C102" s="213">
        <v>20</v>
      </c>
      <c r="D102" s="207">
        <f>SUMIFS('ноябрь 2023'!$G$4:$G$1127,'ноябрь 2023'!$D$4:$D$1127,$B102,'ноябрь 2023'!$J$4:$J$1127,D$1)</f>
        <v>0</v>
      </c>
      <c r="E102" s="207">
        <f>SUMIFS('ноябрь 2023'!$G$4:$G$1127,'ноябрь 2023'!$D$4:$D$1127,$B102,'ноябрь 2023'!$J$4:$J$1127,E$1)</f>
        <v>0</v>
      </c>
      <c r="F102" s="207">
        <f>SUMIFS('ноябрь 2023'!$G$4:$G$1127,'ноябрь 2023'!$D$4:$D$1127,$B102,'ноябрь 2023'!$J$4:$J$1127,F$1)</f>
        <v>0</v>
      </c>
      <c r="G102" s="207">
        <f>SUMIFS('ноябрь 2023'!$G$4:$G$1127,'ноябрь 2023'!$D$4:$D$1127,$B102,'ноябрь 2023'!$J$4:$J$1127,G$1)</f>
        <v>0</v>
      </c>
      <c r="H102" s="207">
        <f>SUMIFS('ноябрь 2023'!$G$4:$G$1127,'ноябрь 2023'!$D$4:$D$1127,$B102,'ноябрь 2023'!$J$4:$J$1127,H$1)</f>
        <v>0</v>
      </c>
      <c r="I102" s="207">
        <f>SUMIFS('ноябрь 2023'!$G$4:$G$1127,'ноябрь 2023'!$D$4:$D$1127,$B102,'ноябрь 2023'!$J$4:$J$1127,I$1)</f>
        <v>0</v>
      </c>
      <c r="J102" s="207">
        <f>SUMIFS('ноябрь 2023'!$G$4:$G$1127,'ноябрь 2023'!$D$4:$D$1127,$B102,'ноябрь 2023'!$J$4:$J$1127,J$1)</f>
        <v>0</v>
      </c>
      <c r="K102" s="207">
        <f>SUMIFS('ноябрь 2023'!$G$4:$G$1127,'ноябрь 2023'!$D$4:$D$1127,$B102,'ноябрь 2023'!$J$4:$J$1127,K$1)</f>
        <v>0</v>
      </c>
      <c r="L102" s="207">
        <f>SUMIFS('ноябрь 2023'!$G$4:$G$1127,'ноябрь 2023'!$D$4:$D$1127,$B102,'ноябрь 2023'!$J$4:$J$1127,L$1)</f>
        <v>0</v>
      </c>
      <c r="M102" s="207">
        <f>SUMIFS('ноябрь 2023'!$G$4:$G$1127,'ноябрь 2023'!$D$4:$D$1127,$B102,'ноябрь 2023'!$J$4:$J$1127,M$1)</f>
        <v>0</v>
      </c>
      <c r="N102" s="207">
        <f>SUMIFS('ноябрь 2023'!$G$4:$G$1127,'ноябрь 2023'!$D$4:$D$1127,$B102,'ноябрь 2023'!$J$4:$J$1127,N$1)</f>
        <v>0</v>
      </c>
      <c r="O102" s="207">
        <f>SUMIFS('ноябрь 2023'!$G$4:$G$1127,'ноябрь 2023'!$D$4:$D$1127,$B102,'ноябрь 2023'!$J$4:$J$1127,O$1)</f>
        <v>0</v>
      </c>
      <c r="P102" s="207">
        <f>SUMIFS('ноябрь 2023'!$G$4:$G$1127,'ноябрь 2023'!$D$4:$D$1127,$B102,'ноябрь 2023'!$J$4:$J$1127,P$1)</f>
        <v>0</v>
      </c>
      <c r="Q102" s="207">
        <f>SUMIFS('ноябрь 2023'!$G$4:$G$1127,'ноябрь 2023'!$D$4:$D$1127,$B102,'ноябрь 2023'!$J$4:$J$1127,Q$1)</f>
        <v>0</v>
      </c>
      <c r="R102" s="207">
        <f>SUMIFS('ноябрь 2023'!$G$4:$G$1127,'ноябрь 2023'!$D$4:$D$1127,$B102,'ноябрь 2023'!$J$4:$J$1127,R$1)</f>
        <v>0</v>
      </c>
      <c r="S102" s="207">
        <f>SUMIFS('ноябрь 2023'!$G$4:$G$1127,'ноябрь 2023'!$D$4:$D$1127,$B102,'ноябрь 2023'!$J$4:$J$1127,S$1)</f>
        <v>0</v>
      </c>
      <c r="T102" s="207">
        <f>SUMIFS('ноябрь 2023'!$G$4:$G$1127,'ноябрь 2023'!$D$4:$D$1127,$B102,'ноябрь 2023'!$J$4:$J$1127,T$1)</f>
        <v>0</v>
      </c>
      <c r="U102" s="207">
        <f>SUMIFS('ноябрь 2023'!$G$4:$G$1127,'ноябрь 2023'!$D$4:$D$1127,$B102,'ноябрь 2023'!$J$4:$J$1127,U$1)</f>
        <v>0</v>
      </c>
      <c r="V102" s="207">
        <f>SUMIFS('ноябрь 2023'!$G$4:$G$1127,'ноябрь 2023'!$D$4:$D$1127,$B102,'ноябрь 2023'!$J$4:$J$1127,V$1)</f>
        <v>0</v>
      </c>
      <c r="W102" s="207">
        <f>SUMIFS('ноябрь 2023'!$G$4:$G$1127,'ноябрь 2023'!$D$4:$D$1127,$B102,'ноябрь 2023'!$J$4:$J$1127,W$1)</f>
        <v>0</v>
      </c>
      <c r="X102" s="207">
        <f>SUMIFS('ноябрь 2023'!$G$4:$G$1127,'ноябрь 2023'!$D$4:$D$1127,$B102,'ноябрь 2023'!$J$4:$J$1127,X$1)</f>
        <v>0</v>
      </c>
      <c r="Y102" s="207">
        <f>SUMIFS('ноябрь 2023'!$G$4:$G$1127,'ноябрь 2023'!$D$4:$D$1127,$B102,'ноябрь 2023'!$J$4:$J$1127,Y$1)</f>
        <v>0</v>
      </c>
      <c r="Z102" s="207">
        <f>SUMIFS('ноябрь 2023'!$G$4:$G$1127,'ноябрь 2023'!$D$4:$D$1127,$B102,'ноябрь 2023'!$J$4:$J$1127,Z$1)</f>
        <v>0</v>
      </c>
      <c r="AA102" s="207">
        <f>SUMIFS('ноябрь 2023'!$G$4:$G$1127,'ноябрь 2023'!$D$4:$D$1127,$B102,'ноябрь 2023'!$J$4:$J$1127,AA$1)</f>
        <v>0</v>
      </c>
      <c r="AB102" s="207">
        <f>SUMIFS('ноябрь 2023'!$G$4:$G$1127,'ноябрь 2023'!$D$4:$D$1127,$B102,'ноябрь 2023'!$J$4:$J$1127,AB$1)</f>
        <v>0</v>
      </c>
      <c r="AC102" s="207">
        <f>SUMIFS('ноябрь 2023'!$G$4:$G$1127,'ноябрь 2023'!$D$4:$D$1127,$B102,'ноябрь 2023'!$J$4:$J$1127,AC$1)</f>
        <v>0</v>
      </c>
      <c r="AD102" s="207">
        <f>SUMIFS('ноябрь 2023'!$G$4:$G$1127,'ноябрь 2023'!$D$4:$D$1127,$B102,'ноябрь 2023'!$J$4:$J$1127,AD$1)</f>
        <v>0</v>
      </c>
      <c r="AE102" s="207">
        <f>SUMIFS('ноябрь 2023'!$G$4:$G$1127,'ноябрь 2023'!$D$4:$D$1127,$B102,'ноябрь 2023'!$J$4:$J$1127,AE$1)</f>
        <v>0</v>
      </c>
      <c r="AF102" s="207">
        <f>SUMIFS('ноябрь 2023'!$G$4:$G$1127,'ноябрь 2023'!$D$4:$D$1127,$B102,'ноябрь 2023'!$J$4:$J$1127,AF$1)</f>
        <v>0</v>
      </c>
      <c r="AG102" s="207">
        <f>SUMIFS('ноябрь 2023'!$G$4:$G$1127,'ноябрь 2023'!$D$4:$D$1127,$B102,'ноябрь 2023'!$J$4:$J$1127,AG$1)</f>
        <v>0</v>
      </c>
      <c r="AH102" s="207">
        <f>SUMIFS('ноябрь 2023'!$G$4:$G$1127,'ноябрь 2023'!$D$4:$D$1127,$B102,'ноябрь 2023'!$J$4:$J$1127,AH$1)</f>
        <v>0</v>
      </c>
      <c r="AI102" s="170">
        <f t="shared" si="2"/>
        <v>0</v>
      </c>
    </row>
    <row r="103" spans="2:35" ht="15" customHeight="1" x14ac:dyDescent="0.25">
      <c r="B103" s="212" t="s">
        <v>2195</v>
      </c>
      <c r="C103" s="211">
        <v>20</v>
      </c>
      <c r="D103" s="207">
        <f>SUMIFS('ноябрь 2023'!$G$4:$G$1127,'ноябрь 2023'!$D$4:$D$1127,$B103,'ноябрь 2023'!$J$4:$J$1127,D$1)</f>
        <v>0</v>
      </c>
      <c r="E103" s="207">
        <f>SUMIFS('ноябрь 2023'!$G$4:$G$1127,'ноябрь 2023'!$D$4:$D$1127,$B103,'ноябрь 2023'!$J$4:$J$1127,E$1)</f>
        <v>0</v>
      </c>
      <c r="F103" s="207">
        <f>SUMIFS('ноябрь 2023'!$G$4:$G$1127,'ноябрь 2023'!$D$4:$D$1127,$B103,'ноябрь 2023'!$J$4:$J$1127,F$1)</f>
        <v>0</v>
      </c>
      <c r="G103" s="207">
        <f>SUMIFS('ноябрь 2023'!$G$4:$G$1127,'ноябрь 2023'!$D$4:$D$1127,$B103,'ноябрь 2023'!$J$4:$J$1127,G$1)</f>
        <v>0</v>
      </c>
      <c r="H103" s="207">
        <f>SUMIFS('ноябрь 2023'!$G$4:$G$1127,'ноябрь 2023'!$D$4:$D$1127,$B103,'ноябрь 2023'!$J$4:$J$1127,H$1)</f>
        <v>0</v>
      </c>
      <c r="I103" s="207">
        <f>SUMIFS('ноябрь 2023'!$G$4:$G$1127,'ноябрь 2023'!$D$4:$D$1127,$B103,'ноябрь 2023'!$J$4:$J$1127,I$1)</f>
        <v>0</v>
      </c>
      <c r="J103" s="207">
        <f>SUMIFS('ноябрь 2023'!$G$4:$G$1127,'ноябрь 2023'!$D$4:$D$1127,$B103,'ноябрь 2023'!$J$4:$J$1127,J$1)</f>
        <v>0</v>
      </c>
      <c r="K103" s="207">
        <f>SUMIFS('ноябрь 2023'!$G$4:$G$1127,'ноябрь 2023'!$D$4:$D$1127,$B103,'ноябрь 2023'!$J$4:$J$1127,K$1)</f>
        <v>0</v>
      </c>
      <c r="L103" s="207">
        <f>SUMIFS('ноябрь 2023'!$G$4:$G$1127,'ноябрь 2023'!$D$4:$D$1127,$B103,'ноябрь 2023'!$J$4:$J$1127,L$1)</f>
        <v>0</v>
      </c>
      <c r="M103" s="207">
        <f>SUMIFS('ноябрь 2023'!$G$4:$G$1127,'ноябрь 2023'!$D$4:$D$1127,$B103,'ноябрь 2023'!$J$4:$J$1127,M$1)</f>
        <v>0</v>
      </c>
      <c r="N103" s="207">
        <f>SUMIFS('ноябрь 2023'!$G$4:$G$1127,'ноябрь 2023'!$D$4:$D$1127,$B103,'ноябрь 2023'!$J$4:$J$1127,N$1)</f>
        <v>0</v>
      </c>
      <c r="O103" s="207">
        <f>SUMIFS('ноябрь 2023'!$G$4:$G$1127,'ноябрь 2023'!$D$4:$D$1127,$B103,'ноябрь 2023'!$J$4:$J$1127,O$1)</f>
        <v>0</v>
      </c>
      <c r="P103" s="207">
        <f>SUMIFS('ноябрь 2023'!$G$4:$G$1127,'ноябрь 2023'!$D$4:$D$1127,$B103,'ноябрь 2023'!$J$4:$J$1127,P$1)</f>
        <v>0</v>
      </c>
      <c r="Q103" s="207">
        <f>SUMIFS('ноябрь 2023'!$G$4:$G$1127,'ноябрь 2023'!$D$4:$D$1127,$B103,'ноябрь 2023'!$J$4:$J$1127,Q$1)</f>
        <v>0</v>
      </c>
      <c r="R103" s="207">
        <f>SUMIFS('ноябрь 2023'!$G$4:$G$1127,'ноябрь 2023'!$D$4:$D$1127,$B103,'ноябрь 2023'!$J$4:$J$1127,R$1)</f>
        <v>0</v>
      </c>
      <c r="S103" s="207">
        <f>SUMIFS('ноябрь 2023'!$G$4:$G$1127,'ноябрь 2023'!$D$4:$D$1127,$B103,'ноябрь 2023'!$J$4:$J$1127,S$1)</f>
        <v>0</v>
      </c>
      <c r="T103" s="207">
        <f>SUMIFS('ноябрь 2023'!$G$4:$G$1127,'ноябрь 2023'!$D$4:$D$1127,$B103,'ноябрь 2023'!$J$4:$J$1127,T$1)</f>
        <v>0</v>
      </c>
      <c r="U103" s="207">
        <f>SUMIFS('ноябрь 2023'!$G$4:$G$1127,'ноябрь 2023'!$D$4:$D$1127,$B103,'ноябрь 2023'!$J$4:$J$1127,U$1)</f>
        <v>0</v>
      </c>
      <c r="V103" s="207">
        <f>SUMIFS('ноябрь 2023'!$G$4:$G$1127,'ноябрь 2023'!$D$4:$D$1127,$B103,'ноябрь 2023'!$J$4:$J$1127,V$1)</f>
        <v>0</v>
      </c>
      <c r="W103" s="207">
        <f>SUMIFS('ноябрь 2023'!$G$4:$G$1127,'ноябрь 2023'!$D$4:$D$1127,$B103,'ноябрь 2023'!$J$4:$J$1127,W$1)</f>
        <v>0</v>
      </c>
      <c r="X103" s="207">
        <f>SUMIFS('ноябрь 2023'!$G$4:$G$1127,'ноябрь 2023'!$D$4:$D$1127,$B103,'ноябрь 2023'!$J$4:$J$1127,X$1)</f>
        <v>0</v>
      </c>
      <c r="Y103" s="207">
        <f>SUMIFS('ноябрь 2023'!$G$4:$G$1127,'ноябрь 2023'!$D$4:$D$1127,$B103,'ноябрь 2023'!$J$4:$J$1127,Y$1)</f>
        <v>0</v>
      </c>
      <c r="Z103" s="207">
        <f>SUMIFS('ноябрь 2023'!$G$4:$G$1127,'ноябрь 2023'!$D$4:$D$1127,$B103,'ноябрь 2023'!$J$4:$J$1127,Z$1)</f>
        <v>0</v>
      </c>
      <c r="AA103" s="207">
        <f>SUMIFS('ноябрь 2023'!$G$4:$G$1127,'ноябрь 2023'!$D$4:$D$1127,$B103,'ноябрь 2023'!$J$4:$J$1127,AA$1)</f>
        <v>0</v>
      </c>
      <c r="AB103" s="207">
        <f>SUMIFS('ноябрь 2023'!$G$4:$G$1127,'ноябрь 2023'!$D$4:$D$1127,$B103,'ноябрь 2023'!$J$4:$J$1127,AB$1)</f>
        <v>0</v>
      </c>
      <c r="AC103" s="207">
        <f>SUMIFS('ноябрь 2023'!$G$4:$G$1127,'ноябрь 2023'!$D$4:$D$1127,$B103,'ноябрь 2023'!$J$4:$J$1127,AC$1)</f>
        <v>0</v>
      </c>
      <c r="AD103" s="207">
        <f>SUMIFS('ноябрь 2023'!$G$4:$G$1127,'ноябрь 2023'!$D$4:$D$1127,$B103,'ноябрь 2023'!$J$4:$J$1127,AD$1)</f>
        <v>0</v>
      </c>
      <c r="AE103" s="207">
        <f>SUMIFS('ноябрь 2023'!$G$4:$G$1127,'ноябрь 2023'!$D$4:$D$1127,$B103,'ноябрь 2023'!$J$4:$J$1127,AE$1)</f>
        <v>0</v>
      </c>
      <c r="AF103" s="207">
        <f>SUMIFS('ноябрь 2023'!$G$4:$G$1127,'ноябрь 2023'!$D$4:$D$1127,$B103,'ноябрь 2023'!$J$4:$J$1127,AF$1)</f>
        <v>0</v>
      </c>
      <c r="AG103" s="207">
        <f>SUMIFS('ноябрь 2023'!$G$4:$G$1127,'ноябрь 2023'!$D$4:$D$1127,$B103,'ноябрь 2023'!$J$4:$J$1127,AG$1)</f>
        <v>0</v>
      </c>
      <c r="AH103" s="207">
        <f>SUMIFS('ноябрь 2023'!$G$4:$G$1127,'ноябрь 2023'!$D$4:$D$1127,$B103,'ноябрь 2023'!$J$4:$J$1127,AH$1)</f>
        <v>0</v>
      </c>
      <c r="AI103" s="170">
        <f t="shared" si="2"/>
        <v>0</v>
      </c>
    </row>
    <row r="104" spans="2:35" ht="15" customHeight="1" x14ac:dyDescent="0.25">
      <c r="B104" s="212" t="s">
        <v>2196</v>
      </c>
      <c r="C104" s="211">
        <v>20</v>
      </c>
      <c r="D104" s="207">
        <f>SUMIFS('ноябрь 2023'!$G$4:$G$1127,'ноябрь 2023'!$D$4:$D$1127,$B104,'ноябрь 2023'!$J$4:$J$1127,D$1)</f>
        <v>0</v>
      </c>
      <c r="E104" s="207">
        <f>SUMIFS('ноябрь 2023'!$G$4:$G$1127,'ноябрь 2023'!$D$4:$D$1127,$B104,'ноябрь 2023'!$J$4:$J$1127,E$1)</f>
        <v>0</v>
      </c>
      <c r="F104" s="207">
        <f>SUMIFS('ноябрь 2023'!$G$4:$G$1127,'ноябрь 2023'!$D$4:$D$1127,$B104,'ноябрь 2023'!$J$4:$J$1127,F$1)</f>
        <v>0</v>
      </c>
      <c r="G104" s="207">
        <f>SUMIFS('ноябрь 2023'!$G$4:$G$1127,'ноябрь 2023'!$D$4:$D$1127,$B104,'ноябрь 2023'!$J$4:$J$1127,G$1)</f>
        <v>0</v>
      </c>
      <c r="H104" s="207">
        <f>SUMIFS('ноябрь 2023'!$G$4:$G$1127,'ноябрь 2023'!$D$4:$D$1127,$B104,'ноябрь 2023'!$J$4:$J$1127,H$1)</f>
        <v>0</v>
      </c>
      <c r="I104" s="207">
        <f>SUMIFS('ноябрь 2023'!$G$4:$G$1127,'ноябрь 2023'!$D$4:$D$1127,$B104,'ноябрь 2023'!$J$4:$J$1127,I$1)</f>
        <v>0</v>
      </c>
      <c r="J104" s="207">
        <f>SUMIFS('ноябрь 2023'!$G$4:$G$1127,'ноябрь 2023'!$D$4:$D$1127,$B104,'ноябрь 2023'!$J$4:$J$1127,J$1)</f>
        <v>0</v>
      </c>
      <c r="K104" s="207">
        <f>SUMIFS('ноябрь 2023'!$G$4:$G$1127,'ноябрь 2023'!$D$4:$D$1127,$B104,'ноябрь 2023'!$J$4:$J$1127,K$1)</f>
        <v>0</v>
      </c>
      <c r="L104" s="207">
        <f>SUMIFS('ноябрь 2023'!$G$4:$G$1127,'ноябрь 2023'!$D$4:$D$1127,$B104,'ноябрь 2023'!$J$4:$J$1127,L$1)</f>
        <v>0</v>
      </c>
      <c r="M104" s="207">
        <f>SUMIFS('ноябрь 2023'!$G$4:$G$1127,'ноябрь 2023'!$D$4:$D$1127,$B104,'ноябрь 2023'!$J$4:$J$1127,M$1)</f>
        <v>0</v>
      </c>
      <c r="N104" s="207">
        <f>SUMIFS('ноябрь 2023'!$G$4:$G$1127,'ноябрь 2023'!$D$4:$D$1127,$B104,'ноябрь 2023'!$J$4:$J$1127,N$1)</f>
        <v>0</v>
      </c>
      <c r="O104" s="207">
        <f>SUMIFS('ноябрь 2023'!$G$4:$G$1127,'ноябрь 2023'!$D$4:$D$1127,$B104,'ноябрь 2023'!$J$4:$J$1127,O$1)</f>
        <v>0</v>
      </c>
      <c r="P104" s="207">
        <f>SUMIFS('ноябрь 2023'!$G$4:$G$1127,'ноябрь 2023'!$D$4:$D$1127,$B104,'ноябрь 2023'!$J$4:$J$1127,P$1)</f>
        <v>0</v>
      </c>
      <c r="Q104" s="207">
        <f>SUMIFS('ноябрь 2023'!$G$4:$G$1127,'ноябрь 2023'!$D$4:$D$1127,$B104,'ноябрь 2023'!$J$4:$J$1127,Q$1)</f>
        <v>0</v>
      </c>
      <c r="R104" s="207">
        <f>SUMIFS('ноябрь 2023'!$G$4:$G$1127,'ноябрь 2023'!$D$4:$D$1127,$B104,'ноябрь 2023'!$J$4:$J$1127,R$1)</f>
        <v>0</v>
      </c>
      <c r="S104" s="207">
        <f>SUMIFS('ноябрь 2023'!$G$4:$G$1127,'ноябрь 2023'!$D$4:$D$1127,$B104,'ноябрь 2023'!$J$4:$J$1127,S$1)</f>
        <v>0</v>
      </c>
      <c r="T104" s="207">
        <f>SUMIFS('ноябрь 2023'!$G$4:$G$1127,'ноябрь 2023'!$D$4:$D$1127,$B104,'ноябрь 2023'!$J$4:$J$1127,T$1)</f>
        <v>0</v>
      </c>
      <c r="U104" s="207">
        <f>SUMIFS('ноябрь 2023'!$G$4:$G$1127,'ноябрь 2023'!$D$4:$D$1127,$B104,'ноябрь 2023'!$J$4:$J$1127,U$1)</f>
        <v>0</v>
      </c>
      <c r="V104" s="207">
        <f>SUMIFS('ноябрь 2023'!$G$4:$G$1127,'ноябрь 2023'!$D$4:$D$1127,$B104,'ноябрь 2023'!$J$4:$J$1127,V$1)</f>
        <v>0</v>
      </c>
      <c r="W104" s="207">
        <f>SUMIFS('ноябрь 2023'!$G$4:$G$1127,'ноябрь 2023'!$D$4:$D$1127,$B104,'ноябрь 2023'!$J$4:$J$1127,W$1)</f>
        <v>0</v>
      </c>
      <c r="X104" s="207">
        <f>SUMIFS('ноябрь 2023'!$G$4:$G$1127,'ноябрь 2023'!$D$4:$D$1127,$B104,'ноябрь 2023'!$J$4:$J$1127,X$1)</f>
        <v>0</v>
      </c>
      <c r="Y104" s="207">
        <f>SUMIFS('ноябрь 2023'!$G$4:$G$1127,'ноябрь 2023'!$D$4:$D$1127,$B104,'ноябрь 2023'!$J$4:$J$1127,Y$1)</f>
        <v>0</v>
      </c>
      <c r="Z104" s="207">
        <f>SUMIFS('ноябрь 2023'!$G$4:$G$1127,'ноябрь 2023'!$D$4:$D$1127,$B104,'ноябрь 2023'!$J$4:$J$1127,Z$1)</f>
        <v>0</v>
      </c>
      <c r="AA104" s="207">
        <f>SUMIFS('ноябрь 2023'!$G$4:$G$1127,'ноябрь 2023'!$D$4:$D$1127,$B104,'ноябрь 2023'!$J$4:$J$1127,AA$1)</f>
        <v>0</v>
      </c>
      <c r="AB104" s="207">
        <f>SUMIFS('ноябрь 2023'!$G$4:$G$1127,'ноябрь 2023'!$D$4:$D$1127,$B104,'ноябрь 2023'!$J$4:$J$1127,AB$1)</f>
        <v>0</v>
      </c>
      <c r="AC104" s="207">
        <f>SUMIFS('ноябрь 2023'!$G$4:$G$1127,'ноябрь 2023'!$D$4:$D$1127,$B104,'ноябрь 2023'!$J$4:$J$1127,AC$1)</f>
        <v>0</v>
      </c>
      <c r="AD104" s="207">
        <f>SUMIFS('ноябрь 2023'!$G$4:$G$1127,'ноябрь 2023'!$D$4:$D$1127,$B104,'ноябрь 2023'!$J$4:$J$1127,AD$1)</f>
        <v>0</v>
      </c>
      <c r="AE104" s="207">
        <f>SUMIFS('ноябрь 2023'!$G$4:$G$1127,'ноябрь 2023'!$D$4:$D$1127,$B104,'ноябрь 2023'!$J$4:$J$1127,AE$1)</f>
        <v>0</v>
      </c>
      <c r="AF104" s="207">
        <f>SUMIFS('ноябрь 2023'!$G$4:$G$1127,'ноябрь 2023'!$D$4:$D$1127,$B104,'ноябрь 2023'!$J$4:$J$1127,AF$1)</f>
        <v>0</v>
      </c>
      <c r="AG104" s="207">
        <f>SUMIFS('ноябрь 2023'!$G$4:$G$1127,'ноябрь 2023'!$D$4:$D$1127,$B104,'ноябрь 2023'!$J$4:$J$1127,AG$1)</f>
        <v>0</v>
      </c>
      <c r="AH104" s="207">
        <f>SUMIFS('ноябрь 2023'!$G$4:$G$1127,'ноябрь 2023'!$D$4:$D$1127,$B104,'ноябрь 2023'!$J$4:$J$1127,AH$1)</f>
        <v>0</v>
      </c>
      <c r="AI104" s="170">
        <f t="shared" si="2"/>
        <v>0</v>
      </c>
    </row>
    <row r="105" spans="2:35" ht="15" customHeight="1" x14ac:dyDescent="0.25">
      <c r="B105" s="212" t="s">
        <v>2197</v>
      </c>
      <c r="C105" s="211">
        <v>20</v>
      </c>
      <c r="D105" s="207">
        <f>SUMIFS('ноябрь 2023'!$G$4:$G$1127,'ноябрь 2023'!$D$4:$D$1127,$B105,'ноябрь 2023'!$J$4:$J$1127,D$1)</f>
        <v>0</v>
      </c>
      <c r="E105" s="207">
        <f>SUMIFS('ноябрь 2023'!$G$4:$G$1127,'ноябрь 2023'!$D$4:$D$1127,$B105,'ноябрь 2023'!$J$4:$J$1127,E$1)</f>
        <v>0</v>
      </c>
      <c r="F105" s="207">
        <f>SUMIFS('ноябрь 2023'!$G$4:$G$1127,'ноябрь 2023'!$D$4:$D$1127,$B105,'ноябрь 2023'!$J$4:$J$1127,F$1)</f>
        <v>0</v>
      </c>
      <c r="G105" s="207">
        <f>SUMIFS('ноябрь 2023'!$G$4:$G$1127,'ноябрь 2023'!$D$4:$D$1127,$B105,'ноябрь 2023'!$J$4:$J$1127,G$1)</f>
        <v>0</v>
      </c>
      <c r="H105" s="207">
        <f>SUMIFS('ноябрь 2023'!$G$4:$G$1127,'ноябрь 2023'!$D$4:$D$1127,$B105,'ноябрь 2023'!$J$4:$J$1127,H$1)</f>
        <v>0</v>
      </c>
      <c r="I105" s="207">
        <f>SUMIFS('ноябрь 2023'!$G$4:$G$1127,'ноябрь 2023'!$D$4:$D$1127,$B105,'ноябрь 2023'!$J$4:$J$1127,I$1)</f>
        <v>0</v>
      </c>
      <c r="J105" s="207">
        <f>SUMIFS('ноябрь 2023'!$G$4:$G$1127,'ноябрь 2023'!$D$4:$D$1127,$B105,'ноябрь 2023'!$J$4:$J$1127,J$1)</f>
        <v>0</v>
      </c>
      <c r="K105" s="207">
        <f>SUMIFS('ноябрь 2023'!$G$4:$G$1127,'ноябрь 2023'!$D$4:$D$1127,$B105,'ноябрь 2023'!$J$4:$J$1127,K$1)</f>
        <v>0</v>
      </c>
      <c r="L105" s="207">
        <f>SUMIFS('ноябрь 2023'!$G$4:$G$1127,'ноябрь 2023'!$D$4:$D$1127,$B105,'ноябрь 2023'!$J$4:$J$1127,L$1)</f>
        <v>0</v>
      </c>
      <c r="M105" s="207">
        <f>SUMIFS('ноябрь 2023'!$G$4:$G$1127,'ноябрь 2023'!$D$4:$D$1127,$B105,'ноябрь 2023'!$J$4:$J$1127,M$1)</f>
        <v>0</v>
      </c>
      <c r="N105" s="207">
        <f>SUMIFS('ноябрь 2023'!$G$4:$G$1127,'ноябрь 2023'!$D$4:$D$1127,$B105,'ноябрь 2023'!$J$4:$J$1127,N$1)</f>
        <v>0</v>
      </c>
      <c r="O105" s="207">
        <f>SUMIFS('ноябрь 2023'!$G$4:$G$1127,'ноябрь 2023'!$D$4:$D$1127,$B105,'ноябрь 2023'!$J$4:$J$1127,O$1)</f>
        <v>0</v>
      </c>
      <c r="P105" s="207">
        <f>SUMIFS('ноябрь 2023'!$G$4:$G$1127,'ноябрь 2023'!$D$4:$D$1127,$B105,'ноябрь 2023'!$J$4:$J$1127,P$1)</f>
        <v>0</v>
      </c>
      <c r="Q105" s="207">
        <f>SUMIFS('ноябрь 2023'!$G$4:$G$1127,'ноябрь 2023'!$D$4:$D$1127,$B105,'ноябрь 2023'!$J$4:$J$1127,Q$1)</f>
        <v>0</v>
      </c>
      <c r="R105" s="207">
        <f>SUMIFS('ноябрь 2023'!$G$4:$G$1127,'ноябрь 2023'!$D$4:$D$1127,$B105,'ноябрь 2023'!$J$4:$J$1127,R$1)</f>
        <v>0</v>
      </c>
      <c r="S105" s="207">
        <f>SUMIFS('ноябрь 2023'!$G$4:$G$1127,'ноябрь 2023'!$D$4:$D$1127,$B105,'ноябрь 2023'!$J$4:$J$1127,S$1)</f>
        <v>0</v>
      </c>
      <c r="T105" s="207">
        <f>SUMIFS('ноябрь 2023'!$G$4:$G$1127,'ноябрь 2023'!$D$4:$D$1127,$B105,'ноябрь 2023'!$J$4:$J$1127,T$1)</f>
        <v>0</v>
      </c>
      <c r="U105" s="207">
        <f>SUMIFS('ноябрь 2023'!$G$4:$G$1127,'ноябрь 2023'!$D$4:$D$1127,$B105,'ноябрь 2023'!$J$4:$J$1127,U$1)</f>
        <v>0</v>
      </c>
      <c r="V105" s="207">
        <f>SUMIFS('ноябрь 2023'!$G$4:$G$1127,'ноябрь 2023'!$D$4:$D$1127,$B105,'ноябрь 2023'!$J$4:$J$1127,V$1)</f>
        <v>0</v>
      </c>
      <c r="W105" s="207">
        <f>SUMIFS('ноябрь 2023'!$G$4:$G$1127,'ноябрь 2023'!$D$4:$D$1127,$B105,'ноябрь 2023'!$J$4:$J$1127,W$1)</f>
        <v>0</v>
      </c>
      <c r="X105" s="207">
        <f>SUMIFS('ноябрь 2023'!$G$4:$G$1127,'ноябрь 2023'!$D$4:$D$1127,$B105,'ноябрь 2023'!$J$4:$J$1127,X$1)</f>
        <v>0</v>
      </c>
      <c r="Y105" s="207">
        <f>SUMIFS('ноябрь 2023'!$G$4:$G$1127,'ноябрь 2023'!$D$4:$D$1127,$B105,'ноябрь 2023'!$J$4:$J$1127,Y$1)</f>
        <v>0</v>
      </c>
      <c r="Z105" s="207">
        <f>SUMIFS('ноябрь 2023'!$G$4:$G$1127,'ноябрь 2023'!$D$4:$D$1127,$B105,'ноябрь 2023'!$J$4:$J$1127,Z$1)</f>
        <v>0</v>
      </c>
      <c r="AA105" s="207">
        <f>SUMIFS('ноябрь 2023'!$G$4:$G$1127,'ноябрь 2023'!$D$4:$D$1127,$B105,'ноябрь 2023'!$J$4:$J$1127,AA$1)</f>
        <v>0</v>
      </c>
      <c r="AB105" s="207">
        <f>SUMIFS('ноябрь 2023'!$G$4:$G$1127,'ноябрь 2023'!$D$4:$D$1127,$B105,'ноябрь 2023'!$J$4:$J$1127,AB$1)</f>
        <v>0</v>
      </c>
      <c r="AC105" s="207">
        <f>SUMIFS('ноябрь 2023'!$G$4:$G$1127,'ноябрь 2023'!$D$4:$D$1127,$B105,'ноябрь 2023'!$J$4:$J$1127,AC$1)</f>
        <v>0</v>
      </c>
      <c r="AD105" s="207">
        <f>SUMIFS('ноябрь 2023'!$G$4:$G$1127,'ноябрь 2023'!$D$4:$D$1127,$B105,'ноябрь 2023'!$J$4:$J$1127,AD$1)</f>
        <v>0</v>
      </c>
      <c r="AE105" s="207">
        <f>SUMIFS('ноябрь 2023'!$G$4:$G$1127,'ноябрь 2023'!$D$4:$D$1127,$B105,'ноябрь 2023'!$J$4:$J$1127,AE$1)</f>
        <v>0</v>
      </c>
      <c r="AF105" s="207">
        <f>SUMIFS('ноябрь 2023'!$G$4:$G$1127,'ноябрь 2023'!$D$4:$D$1127,$B105,'ноябрь 2023'!$J$4:$J$1127,AF$1)</f>
        <v>0</v>
      </c>
      <c r="AG105" s="207">
        <f>SUMIFS('ноябрь 2023'!$G$4:$G$1127,'ноябрь 2023'!$D$4:$D$1127,$B105,'ноябрь 2023'!$J$4:$J$1127,AG$1)</f>
        <v>0</v>
      </c>
      <c r="AH105" s="207">
        <f>SUMIFS('ноябрь 2023'!$G$4:$G$1127,'ноябрь 2023'!$D$4:$D$1127,$B105,'ноябрь 2023'!$J$4:$J$1127,AH$1)</f>
        <v>0</v>
      </c>
      <c r="AI105" s="170">
        <f t="shared" si="2"/>
        <v>0</v>
      </c>
    </row>
    <row r="106" spans="2:35" ht="15" customHeight="1" x14ac:dyDescent="0.25">
      <c r="B106" s="212" t="s">
        <v>147</v>
      </c>
      <c r="C106" s="211">
        <v>200</v>
      </c>
      <c r="D106" s="207">
        <f>SUMIFS('ноябрь 2023'!$G$4:$G$1127,'ноябрь 2023'!$D$4:$D$1127,$B106,'ноябрь 2023'!$J$4:$J$1127,D$1)</f>
        <v>0</v>
      </c>
      <c r="E106" s="207">
        <f>SUMIFS('ноябрь 2023'!$G$4:$G$1127,'ноябрь 2023'!$D$4:$D$1127,$B106,'ноябрь 2023'!$J$4:$J$1127,E$1)</f>
        <v>0</v>
      </c>
      <c r="F106" s="207">
        <f>SUMIFS('ноябрь 2023'!$G$4:$G$1127,'ноябрь 2023'!$D$4:$D$1127,$B106,'ноябрь 2023'!$J$4:$J$1127,F$1)</f>
        <v>0</v>
      </c>
      <c r="G106" s="207">
        <f>SUMIFS('ноябрь 2023'!$G$4:$G$1127,'ноябрь 2023'!$D$4:$D$1127,$B106,'ноябрь 2023'!$J$4:$J$1127,G$1)</f>
        <v>0</v>
      </c>
      <c r="H106" s="207">
        <f>SUMIFS('ноябрь 2023'!$G$4:$G$1127,'ноябрь 2023'!$D$4:$D$1127,$B106,'ноябрь 2023'!$J$4:$J$1127,H$1)</f>
        <v>0</v>
      </c>
      <c r="I106" s="207">
        <f>SUMIFS('ноябрь 2023'!$G$4:$G$1127,'ноябрь 2023'!$D$4:$D$1127,$B106,'ноябрь 2023'!$J$4:$J$1127,I$1)</f>
        <v>0</v>
      </c>
      <c r="J106" s="207">
        <f>SUMIFS('ноябрь 2023'!$G$4:$G$1127,'ноябрь 2023'!$D$4:$D$1127,$B106,'ноябрь 2023'!$J$4:$J$1127,J$1)</f>
        <v>0</v>
      </c>
      <c r="K106" s="207">
        <f>SUMIFS('ноябрь 2023'!$G$4:$G$1127,'ноябрь 2023'!$D$4:$D$1127,$B106,'ноябрь 2023'!$J$4:$J$1127,K$1)</f>
        <v>0</v>
      </c>
      <c r="L106" s="207">
        <f>SUMIFS('ноябрь 2023'!$G$4:$G$1127,'ноябрь 2023'!$D$4:$D$1127,$B106,'ноябрь 2023'!$J$4:$J$1127,L$1)</f>
        <v>0</v>
      </c>
      <c r="M106" s="207">
        <f>SUMIFS('ноябрь 2023'!$G$4:$G$1127,'ноябрь 2023'!$D$4:$D$1127,$B106,'ноябрь 2023'!$J$4:$J$1127,M$1)</f>
        <v>0</v>
      </c>
      <c r="N106" s="207">
        <f>SUMIFS('ноябрь 2023'!$G$4:$G$1127,'ноябрь 2023'!$D$4:$D$1127,$B106,'ноябрь 2023'!$J$4:$J$1127,N$1)</f>
        <v>0</v>
      </c>
      <c r="O106" s="207">
        <f>SUMIFS('ноябрь 2023'!$G$4:$G$1127,'ноябрь 2023'!$D$4:$D$1127,$B106,'ноябрь 2023'!$J$4:$J$1127,O$1)</f>
        <v>0</v>
      </c>
      <c r="P106" s="207">
        <f>SUMIFS('ноябрь 2023'!$G$4:$G$1127,'ноябрь 2023'!$D$4:$D$1127,$B106,'ноябрь 2023'!$J$4:$J$1127,P$1)</f>
        <v>0</v>
      </c>
      <c r="Q106" s="207">
        <f>SUMIFS('ноябрь 2023'!$G$4:$G$1127,'ноябрь 2023'!$D$4:$D$1127,$B106,'ноябрь 2023'!$J$4:$J$1127,Q$1)</f>
        <v>0</v>
      </c>
      <c r="R106" s="207">
        <f>SUMIFS('ноябрь 2023'!$G$4:$G$1127,'ноябрь 2023'!$D$4:$D$1127,$B106,'ноябрь 2023'!$J$4:$J$1127,R$1)</f>
        <v>0</v>
      </c>
      <c r="S106" s="207">
        <f>SUMIFS('ноябрь 2023'!$G$4:$G$1127,'ноябрь 2023'!$D$4:$D$1127,$B106,'ноябрь 2023'!$J$4:$J$1127,S$1)</f>
        <v>0</v>
      </c>
      <c r="T106" s="207">
        <f>SUMIFS('ноябрь 2023'!$G$4:$G$1127,'ноябрь 2023'!$D$4:$D$1127,$B106,'ноябрь 2023'!$J$4:$J$1127,T$1)</f>
        <v>32</v>
      </c>
      <c r="U106" s="207">
        <f>SUMIFS('ноябрь 2023'!$G$4:$G$1127,'ноябрь 2023'!$D$4:$D$1127,$B106,'ноябрь 2023'!$J$4:$J$1127,U$1)</f>
        <v>0</v>
      </c>
      <c r="V106" s="207">
        <f>SUMIFS('ноябрь 2023'!$G$4:$G$1127,'ноябрь 2023'!$D$4:$D$1127,$B106,'ноябрь 2023'!$J$4:$J$1127,V$1)</f>
        <v>0</v>
      </c>
      <c r="W106" s="207">
        <f>SUMIFS('ноябрь 2023'!$G$4:$G$1127,'ноябрь 2023'!$D$4:$D$1127,$B106,'ноябрь 2023'!$J$4:$J$1127,W$1)</f>
        <v>0</v>
      </c>
      <c r="X106" s="207">
        <f>SUMIFS('ноябрь 2023'!$G$4:$G$1127,'ноябрь 2023'!$D$4:$D$1127,$B106,'ноябрь 2023'!$J$4:$J$1127,X$1)</f>
        <v>0</v>
      </c>
      <c r="Y106" s="207">
        <f>SUMIFS('ноябрь 2023'!$G$4:$G$1127,'ноябрь 2023'!$D$4:$D$1127,$B106,'ноябрь 2023'!$J$4:$J$1127,Y$1)</f>
        <v>0</v>
      </c>
      <c r="Z106" s="207">
        <f>SUMIFS('ноябрь 2023'!$G$4:$G$1127,'ноябрь 2023'!$D$4:$D$1127,$B106,'ноябрь 2023'!$J$4:$J$1127,Z$1)</f>
        <v>0</v>
      </c>
      <c r="AA106" s="207">
        <f>SUMIFS('ноябрь 2023'!$G$4:$G$1127,'ноябрь 2023'!$D$4:$D$1127,$B106,'ноябрь 2023'!$J$4:$J$1127,AA$1)</f>
        <v>0</v>
      </c>
      <c r="AB106" s="207">
        <f>SUMIFS('ноябрь 2023'!$G$4:$G$1127,'ноябрь 2023'!$D$4:$D$1127,$B106,'ноябрь 2023'!$J$4:$J$1127,AB$1)</f>
        <v>0</v>
      </c>
      <c r="AC106" s="207">
        <f>SUMIFS('ноябрь 2023'!$G$4:$G$1127,'ноябрь 2023'!$D$4:$D$1127,$B106,'ноябрь 2023'!$J$4:$J$1127,AC$1)</f>
        <v>0</v>
      </c>
      <c r="AD106" s="207">
        <f>SUMIFS('ноябрь 2023'!$G$4:$G$1127,'ноябрь 2023'!$D$4:$D$1127,$B106,'ноябрь 2023'!$J$4:$J$1127,AD$1)</f>
        <v>0</v>
      </c>
      <c r="AE106" s="207">
        <f>SUMIFS('ноябрь 2023'!$G$4:$G$1127,'ноябрь 2023'!$D$4:$D$1127,$B106,'ноябрь 2023'!$J$4:$J$1127,AE$1)</f>
        <v>0</v>
      </c>
      <c r="AF106" s="207">
        <f>SUMIFS('ноябрь 2023'!$G$4:$G$1127,'ноябрь 2023'!$D$4:$D$1127,$B106,'ноябрь 2023'!$J$4:$J$1127,AF$1)</f>
        <v>0</v>
      </c>
      <c r="AG106" s="207">
        <f>SUMIFS('ноябрь 2023'!$G$4:$G$1127,'ноябрь 2023'!$D$4:$D$1127,$B106,'ноябрь 2023'!$J$4:$J$1127,AG$1)</f>
        <v>0</v>
      </c>
      <c r="AH106" s="207">
        <f>SUMIFS('ноябрь 2023'!$G$4:$G$1127,'ноябрь 2023'!$D$4:$D$1127,$B106,'ноябрь 2023'!$J$4:$J$1127,AH$1)</f>
        <v>0</v>
      </c>
      <c r="AI106" s="170">
        <f t="shared" si="2"/>
        <v>32</v>
      </c>
    </row>
    <row r="107" spans="2:35" ht="15" customHeight="1" x14ac:dyDescent="0.25">
      <c r="B107" s="212" t="s">
        <v>2198</v>
      </c>
      <c r="C107" s="211">
        <v>200</v>
      </c>
      <c r="D107" s="207">
        <f>SUMIFS('ноябрь 2023'!$G$4:$G$1127,'ноябрь 2023'!$D$4:$D$1127,$B107,'ноябрь 2023'!$J$4:$J$1127,D$1)</f>
        <v>0</v>
      </c>
      <c r="E107" s="207">
        <f>SUMIFS('ноябрь 2023'!$G$4:$G$1127,'ноябрь 2023'!$D$4:$D$1127,$B107,'ноябрь 2023'!$J$4:$J$1127,E$1)</f>
        <v>0</v>
      </c>
      <c r="F107" s="207">
        <f>SUMIFS('ноябрь 2023'!$G$4:$G$1127,'ноябрь 2023'!$D$4:$D$1127,$B107,'ноябрь 2023'!$J$4:$J$1127,F$1)</f>
        <v>0</v>
      </c>
      <c r="G107" s="207">
        <f>SUMIFS('ноябрь 2023'!$G$4:$G$1127,'ноябрь 2023'!$D$4:$D$1127,$B107,'ноябрь 2023'!$J$4:$J$1127,G$1)</f>
        <v>0</v>
      </c>
      <c r="H107" s="207">
        <f>SUMIFS('ноябрь 2023'!$G$4:$G$1127,'ноябрь 2023'!$D$4:$D$1127,$B107,'ноябрь 2023'!$J$4:$J$1127,H$1)</f>
        <v>0</v>
      </c>
      <c r="I107" s="207">
        <f>SUMIFS('ноябрь 2023'!$G$4:$G$1127,'ноябрь 2023'!$D$4:$D$1127,$B107,'ноябрь 2023'!$J$4:$J$1127,I$1)</f>
        <v>0</v>
      </c>
      <c r="J107" s="207">
        <f>SUMIFS('ноябрь 2023'!$G$4:$G$1127,'ноябрь 2023'!$D$4:$D$1127,$B107,'ноябрь 2023'!$J$4:$J$1127,J$1)</f>
        <v>0</v>
      </c>
      <c r="K107" s="207">
        <f>SUMIFS('ноябрь 2023'!$G$4:$G$1127,'ноябрь 2023'!$D$4:$D$1127,$B107,'ноябрь 2023'!$J$4:$J$1127,K$1)</f>
        <v>0</v>
      </c>
      <c r="L107" s="207">
        <f>SUMIFS('ноябрь 2023'!$G$4:$G$1127,'ноябрь 2023'!$D$4:$D$1127,$B107,'ноябрь 2023'!$J$4:$J$1127,L$1)</f>
        <v>0</v>
      </c>
      <c r="M107" s="207">
        <f>SUMIFS('ноябрь 2023'!$G$4:$G$1127,'ноябрь 2023'!$D$4:$D$1127,$B107,'ноябрь 2023'!$J$4:$J$1127,M$1)</f>
        <v>0</v>
      </c>
      <c r="N107" s="207">
        <f>SUMIFS('ноябрь 2023'!$G$4:$G$1127,'ноябрь 2023'!$D$4:$D$1127,$B107,'ноябрь 2023'!$J$4:$J$1127,N$1)</f>
        <v>0</v>
      </c>
      <c r="O107" s="207">
        <f>SUMIFS('ноябрь 2023'!$G$4:$G$1127,'ноябрь 2023'!$D$4:$D$1127,$B107,'ноябрь 2023'!$J$4:$J$1127,O$1)</f>
        <v>0</v>
      </c>
      <c r="P107" s="207">
        <f>SUMIFS('ноябрь 2023'!$G$4:$G$1127,'ноябрь 2023'!$D$4:$D$1127,$B107,'ноябрь 2023'!$J$4:$J$1127,P$1)</f>
        <v>0</v>
      </c>
      <c r="Q107" s="207">
        <f>SUMIFS('ноябрь 2023'!$G$4:$G$1127,'ноябрь 2023'!$D$4:$D$1127,$B107,'ноябрь 2023'!$J$4:$J$1127,Q$1)</f>
        <v>0</v>
      </c>
      <c r="R107" s="207">
        <f>SUMIFS('ноябрь 2023'!$G$4:$G$1127,'ноябрь 2023'!$D$4:$D$1127,$B107,'ноябрь 2023'!$J$4:$J$1127,R$1)</f>
        <v>0</v>
      </c>
      <c r="S107" s="207">
        <f>SUMIFS('ноябрь 2023'!$G$4:$G$1127,'ноябрь 2023'!$D$4:$D$1127,$B107,'ноябрь 2023'!$J$4:$J$1127,S$1)</f>
        <v>0</v>
      </c>
      <c r="T107" s="207">
        <f>SUMIFS('ноябрь 2023'!$G$4:$G$1127,'ноябрь 2023'!$D$4:$D$1127,$B107,'ноябрь 2023'!$J$4:$J$1127,T$1)</f>
        <v>0</v>
      </c>
      <c r="U107" s="207">
        <f>SUMIFS('ноябрь 2023'!$G$4:$G$1127,'ноябрь 2023'!$D$4:$D$1127,$B107,'ноябрь 2023'!$J$4:$J$1127,U$1)</f>
        <v>0</v>
      </c>
      <c r="V107" s="207">
        <f>SUMIFS('ноябрь 2023'!$G$4:$G$1127,'ноябрь 2023'!$D$4:$D$1127,$B107,'ноябрь 2023'!$J$4:$J$1127,V$1)</f>
        <v>0</v>
      </c>
      <c r="W107" s="207">
        <f>SUMIFS('ноябрь 2023'!$G$4:$G$1127,'ноябрь 2023'!$D$4:$D$1127,$B107,'ноябрь 2023'!$J$4:$J$1127,W$1)</f>
        <v>0</v>
      </c>
      <c r="X107" s="207">
        <f>SUMIFS('ноябрь 2023'!$G$4:$G$1127,'ноябрь 2023'!$D$4:$D$1127,$B107,'ноябрь 2023'!$J$4:$J$1127,X$1)</f>
        <v>0</v>
      </c>
      <c r="Y107" s="207">
        <f>SUMIFS('ноябрь 2023'!$G$4:$G$1127,'ноябрь 2023'!$D$4:$D$1127,$B107,'ноябрь 2023'!$J$4:$J$1127,Y$1)</f>
        <v>0</v>
      </c>
      <c r="Z107" s="207">
        <f>SUMIFS('ноябрь 2023'!$G$4:$G$1127,'ноябрь 2023'!$D$4:$D$1127,$B107,'ноябрь 2023'!$J$4:$J$1127,Z$1)</f>
        <v>0</v>
      </c>
      <c r="AA107" s="207">
        <f>SUMIFS('ноябрь 2023'!$G$4:$G$1127,'ноябрь 2023'!$D$4:$D$1127,$B107,'ноябрь 2023'!$J$4:$J$1127,AA$1)</f>
        <v>0</v>
      </c>
      <c r="AB107" s="207">
        <f>SUMIFS('ноябрь 2023'!$G$4:$G$1127,'ноябрь 2023'!$D$4:$D$1127,$B107,'ноябрь 2023'!$J$4:$J$1127,AB$1)</f>
        <v>0</v>
      </c>
      <c r="AC107" s="207">
        <f>SUMIFS('ноябрь 2023'!$G$4:$G$1127,'ноябрь 2023'!$D$4:$D$1127,$B107,'ноябрь 2023'!$J$4:$J$1127,AC$1)</f>
        <v>0</v>
      </c>
      <c r="AD107" s="207">
        <f>SUMIFS('ноябрь 2023'!$G$4:$G$1127,'ноябрь 2023'!$D$4:$D$1127,$B107,'ноябрь 2023'!$J$4:$J$1127,AD$1)</f>
        <v>0</v>
      </c>
      <c r="AE107" s="207">
        <f>SUMIFS('ноябрь 2023'!$G$4:$G$1127,'ноябрь 2023'!$D$4:$D$1127,$B107,'ноябрь 2023'!$J$4:$J$1127,AE$1)</f>
        <v>0</v>
      </c>
      <c r="AF107" s="207">
        <f>SUMIFS('ноябрь 2023'!$G$4:$G$1127,'ноябрь 2023'!$D$4:$D$1127,$B107,'ноябрь 2023'!$J$4:$J$1127,AF$1)</f>
        <v>0</v>
      </c>
      <c r="AG107" s="207">
        <f>SUMIFS('ноябрь 2023'!$G$4:$G$1127,'ноябрь 2023'!$D$4:$D$1127,$B107,'ноябрь 2023'!$J$4:$J$1127,AG$1)</f>
        <v>0</v>
      </c>
      <c r="AH107" s="207">
        <f>SUMIFS('ноябрь 2023'!$G$4:$G$1127,'ноябрь 2023'!$D$4:$D$1127,$B107,'ноябрь 2023'!$J$4:$J$1127,AH$1)</f>
        <v>0</v>
      </c>
      <c r="AI107" s="170">
        <f t="shared" si="2"/>
        <v>0</v>
      </c>
    </row>
    <row r="108" spans="2:35" ht="15" customHeight="1" x14ac:dyDescent="0.25">
      <c r="B108" s="218" t="s">
        <v>352</v>
      </c>
      <c r="C108" s="219">
        <v>200</v>
      </c>
      <c r="D108" s="207">
        <f>SUMIFS('ноябрь 2023'!$G$4:$G$1127,'ноябрь 2023'!$D$4:$D$1127,$B108,'ноябрь 2023'!$J$4:$J$1127,D$1)</f>
        <v>0</v>
      </c>
      <c r="E108" s="207">
        <f>SUMIFS('ноябрь 2023'!$G$4:$G$1127,'ноябрь 2023'!$D$4:$D$1127,$B108,'ноябрь 2023'!$J$4:$J$1127,E$1)</f>
        <v>0</v>
      </c>
      <c r="F108" s="207">
        <f>SUMIFS('ноябрь 2023'!$G$4:$G$1127,'ноябрь 2023'!$D$4:$D$1127,$B108,'ноябрь 2023'!$J$4:$J$1127,F$1)</f>
        <v>0</v>
      </c>
      <c r="G108" s="207">
        <f>SUMIFS('ноябрь 2023'!$G$4:$G$1127,'ноябрь 2023'!$D$4:$D$1127,$B108,'ноябрь 2023'!$J$4:$J$1127,G$1)</f>
        <v>0</v>
      </c>
      <c r="H108" s="207">
        <f>SUMIFS('ноябрь 2023'!$G$4:$G$1127,'ноябрь 2023'!$D$4:$D$1127,$B108,'ноябрь 2023'!$J$4:$J$1127,H$1)</f>
        <v>0</v>
      </c>
      <c r="I108" s="207">
        <f>SUMIFS('ноябрь 2023'!$G$4:$G$1127,'ноябрь 2023'!$D$4:$D$1127,$B108,'ноябрь 2023'!$J$4:$J$1127,I$1)</f>
        <v>0</v>
      </c>
      <c r="J108" s="207">
        <f>SUMIFS('ноябрь 2023'!$G$4:$G$1127,'ноябрь 2023'!$D$4:$D$1127,$B108,'ноябрь 2023'!$J$4:$J$1127,J$1)</f>
        <v>0</v>
      </c>
      <c r="K108" s="207">
        <f>SUMIFS('ноябрь 2023'!$G$4:$G$1127,'ноябрь 2023'!$D$4:$D$1127,$B108,'ноябрь 2023'!$J$4:$J$1127,K$1)</f>
        <v>0</v>
      </c>
      <c r="L108" s="207">
        <f>SUMIFS('ноябрь 2023'!$G$4:$G$1127,'ноябрь 2023'!$D$4:$D$1127,$B108,'ноябрь 2023'!$J$4:$J$1127,L$1)</f>
        <v>0</v>
      </c>
      <c r="M108" s="207">
        <f>SUMIFS('ноябрь 2023'!$G$4:$G$1127,'ноябрь 2023'!$D$4:$D$1127,$B108,'ноябрь 2023'!$J$4:$J$1127,M$1)</f>
        <v>0</v>
      </c>
      <c r="N108" s="207">
        <f>SUMIFS('ноябрь 2023'!$G$4:$G$1127,'ноябрь 2023'!$D$4:$D$1127,$B108,'ноябрь 2023'!$J$4:$J$1127,N$1)</f>
        <v>0</v>
      </c>
      <c r="O108" s="207">
        <f>SUMIFS('ноябрь 2023'!$G$4:$G$1127,'ноябрь 2023'!$D$4:$D$1127,$B108,'ноябрь 2023'!$J$4:$J$1127,O$1)</f>
        <v>0</v>
      </c>
      <c r="P108" s="207">
        <f>SUMIFS('ноябрь 2023'!$G$4:$G$1127,'ноябрь 2023'!$D$4:$D$1127,$B108,'ноябрь 2023'!$J$4:$J$1127,P$1)</f>
        <v>0</v>
      </c>
      <c r="Q108" s="207">
        <f>SUMIFS('ноябрь 2023'!$G$4:$G$1127,'ноябрь 2023'!$D$4:$D$1127,$B108,'ноябрь 2023'!$J$4:$J$1127,Q$1)</f>
        <v>1</v>
      </c>
      <c r="R108" s="207">
        <f>SUMIFS('ноябрь 2023'!$G$4:$G$1127,'ноябрь 2023'!$D$4:$D$1127,$B108,'ноябрь 2023'!$J$4:$J$1127,R$1)</f>
        <v>0</v>
      </c>
      <c r="S108" s="207">
        <f>SUMIFS('ноябрь 2023'!$G$4:$G$1127,'ноябрь 2023'!$D$4:$D$1127,$B108,'ноябрь 2023'!$J$4:$J$1127,S$1)</f>
        <v>0</v>
      </c>
      <c r="T108" s="207">
        <f>SUMIFS('ноябрь 2023'!$G$4:$G$1127,'ноябрь 2023'!$D$4:$D$1127,$B108,'ноябрь 2023'!$J$4:$J$1127,T$1)</f>
        <v>0</v>
      </c>
      <c r="U108" s="207">
        <f>SUMIFS('ноябрь 2023'!$G$4:$G$1127,'ноябрь 2023'!$D$4:$D$1127,$B108,'ноябрь 2023'!$J$4:$J$1127,U$1)</f>
        <v>0</v>
      </c>
      <c r="V108" s="207">
        <f>SUMIFS('ноябрь 2023'!$G$4:$G$1127,'ноябрь 2023'!$D$4:$D$1127,$B108,'ноябрь 2023'!$J$4:$J$1127,V$1)</f>
        <v>0</v>
      </c>
      <c r="W108" s="207">
        <f>SUMIFS('ноябрь 2023'!$G$4:$G$1127,'ноябрь 2023'!$D$4:$D$1127,$B108,'ноябрь 2023'!$J$4:$J$1127,W$1)</f>
        <v>0</v>
      </c>
      <c r="X108" s="207">
        <f>SUMIFS('ноябрь 2023'!$G$4:$G$1127,'ноябрь 2023'!$D$4:$D$1127,$B108,'ноябрь 2023'!$J$4:$J$1127,X$1)</f>
        <v>0</v>
      </c>
      <c r="Y108" s="207">
        <f>SUMIFS('ноябрь 2023'!$G$4:$G$1127,'ноябрь 2023'!$D$4:$D$1127,$B108,'ноябрь 2023'!$J$4:$J$1127,Y$1)</f>
        <v>0</v>
      </c>
      <c r="Z108" s="207">
        <f>SUMIFS('ноябрь 2023'!$G$4:$G$1127,'ноябрь 2023'!$D$4:$D$1127,$B108,'ноябрь 2023'!$J$4:$J$1127,Z$1)</f>
        <v>0</v>
      </c>
      <c r="AA108" s="207">
        <f>SUMIFS('ноябрь 2023'!$G$4:$G$1127,'ноябрь 2023'!$D$4:$D$1127,$B108,'ноябрь 2023'!$J$4:$J$1127,AA$1)</f>
        <v>0</v>
      </c>
      <c r="AB108" s="207">
        <f>SUMIFS('ноябрь 2023'!$G$4:$G$1127,'ноябрь 2023'!$D$4:$D$1127,$B108,'ноябрь 2023'!$J$4:$J$1127,AB$1)</f>
        <v>0</v>
      </c>
      <c r="AC108" s="207">
        <f>SUMIFS('ноябрь 2023'!$G$4:$G$1127,'ноябрь 2023'!$D$4:$D$1127,$B108,'ноябрь 2023'!$J$4:$J$1127,AC$1)</f>
        <v>0</v>
      </c>
      <c r="AD108" s="207">
        <f>SUMIFS('ноябрь 2023'!$G$4:$G$1127,'ноябрь 2023'!$D$4:$D$1127,$B108,'ноябрь 2023'!$J$4:$J$1127,AD$1)</f>
        <v>0</v>
      </c>
      <c r="AE108" s="207">
        <f>SUMIFS('ноябрь 2023'!$G$4:$G$1127,'ноябрь 2023'!$D$4:$D$1127,$B108,'ноябрь 2023'!$J$4:$J$1127,AE$1)</f>
        <v>0</v>
      </c>
      <c r="AF108" s="207">
        <f>SUMIFS('ноябрь 2023'!$G$4:$G$1127,'ноябрь 2023'!$D$4:$D$1127,$B108,'ноябрь 2023'!$J$4:$J$1127,AF$1)</f>
        <v>0</v>
      </c>
      <c r="AG108" s="207">
        <f>SUMIFS('ноябрь 2023'!$G$4:$G$1127,'ноябрь 2023'!$D$4:$D$1127,$B108,'ноябрь 2023'!$J$4:$J$1127,AG$1)</f>
        <v>0</v>
      </c>
      <c r="AH108" s="207">
        <f>SUMIFS('ноябрь 2023'!$G$4:$G$1127,'ноябрь 2023'!$D$4:$D$1127,$B108,'ноябрь 2023'!$J$4:$J$1127,AH$1)</f>
        <v>0</v>
      </c>
      <c r="AI108" s="170">
        <f t="shared" si="2"/>
        <v>1</v>
      </c>
    </row>
    <row r="109" spans="2:35" ht="15" customHeight="1" x14ac:dyDescent="0.25">
      <c r="B109" s="212" t="s">
        <v>276</v>
      </c>
      <c r="C109" s="213">
        <v>200</v>
      </c>
      <c r="D109" s="207">
        <f>SUMIFS('ноябрь 2023'!$G$4:$G$1127,'ноябрь 2023'!$D$4:$D$1127,$B109,'ноябрь 2023'!$J$4:$J$1127,D$1)</f>
        <v>0</v>
      </c>
      <c r="E109" s="207">
        <f>SUMIFS('ноябрь 2023'!$G$4:$G$1127,'ноябрь 2023'!$D$4:$D$1127,$B109,'ноябрь 2023'!$J$4:$J$1127,E$1)</f>
        <v>0</v>
      </c>
      <c r="F109" s="207">
        <f>SUMIFS('ноябрь 2023'!$G$4:$G$1127,'ноябрь 2023'!$D$4:$D$1127,$B109,'ноябрь 2023'!$J$4:$J$1127,F$1)</f>
        <v>40</v>
      </c>
      <c r="G109" s="207">
        <f>SUMIFS('ноябрь 2023'!$G$4:$G$1127,'ноябрь 2023'!$D$4:$D$1127,$B109,'ноябрь 2023'!$J$4:$J$1127,G$1)</f>
        <v>0</v>
      </c>
      <c r="H109" s="207">
        <f>SUMIFS('ноябрь 2023'!$G$4:$G$1127,'ноябрь 2023'!$D$4:$D$1127,$B109,'ноябрь 2023'!$J$4:$J$1127,H$1)</f>
        <v>0</v>
      </c>
      <c r="I109" s="207">
        <f>SUMIFS('ноябрь 2023'!$G$4:$G$1127,'ноябрь 2023'!$D$4:$D$1127,$B109,'ноябрь 2023'!$J$4:$J$1127,I$1)</f>
        <v>0</v>
      </c>
      <c r="J109" s="207">
        <f>SUMIFS('ноябрь 2023'!$G$4:$G$1127,'ноябрь 2023'!$D$4:$D$1127,$B109,'ноябрь 2023'!$J$4:$J$1127,J$1)</f>
        <v>0</v>
      </c>
      <c r="K109" s="207">
        <f>SUMIFS('ноябрь 2023'!$G$4:$G$1127,'ноябрь 2023'!$D$4:$D$1127,$B109,'ноябрь 2023'!$J$4:$J$1127,K$1)</f>
        <v>0</v>
      </c>
      <c r="L109" s="207">
        <f>SUMIFS('ноябрь 2023'!$G$4:$G$1127,'ноябрь 2023'!$D$4:$D$1127,$B109,'ноябрь 2023'!$J$4:$J$1127,L$1)</f>
        <v>0</v>
      </c>
      <c r="M109" s="207">
        <f>SUMIFS('ноябрь 2023'!$G$4:$G$1127,'ноябрь 2023'!$D$4:$D$1127,$B109,'ноябрь 2023'!$J$4:$J$1127,M$1)</f>
        <v>0</v>
      </c>
      <c r="N109" s="207">
        <f>SUMIFS('ноябрь 2023'!$G$4:$G$1127,'ноябрь 2023'!$D$4:$D$1127,$B109,'ноябрь 2023'!$J$4:$J$1127,N$1)</f>
        <v>0</v>
      </c>
      <c r="O109" s="207">
        <f>SUMIFS('ноябрь 2023'!$G$4:$G$1127,'ноябрь 2023'!$D$4:$D$1127,$B109,'ноябрь 2023'!$J$4:$J$1127,O$1)</f>
        <v>0</v>
      </c>
      <c r="P109" s="207">
        <f>SUMIFS('ноябрь 2023'!$G$4:$G$1127,'ноябрь 2023'!$D$4:$D$1127,$B109,'ноябрь 2023'!$J$4:$J$1127,P$1)</f>
        <v>0</v>
      </c>
      <c r="Q109" s="207">
        <f>SUMIFS('ноябрь 2023'!$G$4:$G$1127,'ноябрь 2023'!$D$4:$D$1127,$B109,'ноябрь 2023'!$J$4:$J$1127,Q$1)</f>
        <v>0</v>
      </c>
      <c r="R109" s="207">
        <f>SUMIFS('ноябрь 2023'!$G$4:$G$1127,'ноябрь 2023'!$D$4:$D$1127,$B109,'ноябрь 2023'!$J$4:$J$1127,R$1)</f>
        <v>0</v>
      </c>
      <c r="S109" s="207">
        <f>SUMIFS('ноябрь 2023'!$G$4:$G$1127,'ноябрь 2023'!$D$4:$D$1127,$B109,'ноябрь 2023'!$J$4:$J$1127,S$1)</f>
        <v>0</v>
      </c>
      <c r="T109" s="207">
        <f>SUMIFS('ноябрь 2023'!$G$4:$G$1127,'ноябрь 2023'!$D$4:$D$1127,$B109,'ноябрь 2023'!$J$4:$J$1127,T$1)</f>
        <v>0</v>
      </c>
      <c r="U109" s="207">
        <f>SUMIFS('ноябрь 2023'!$G$4:$G$1127,'ноябрь 2023'!$D$4:$D$1127,$B109,'ноябрь 2023'!$J$4:$J$1127,U$1)</f>
        <v>0</v>
      </c>
      <c r="V109" s="207">
        <f>SUMIFS('ноябрь 2023'!$G$4:$G$1127,'ноябрь 2023'!$D$4:$D$1127,$B109,'ноябрь 2023'!$J$4:$J$1127,V$1)</f>
        <v>0</v>
      </c>
      <c r="W109" s="207">
        <f>SUMIFS('ноябрь 2023'!$G$4:$G$1127,'ноябрь 2023'!$D$4:$D$1127,$B109,'ноябрь 2023'!$J$4:$J$1127,W$1)</f>
        <v>0</v>
      </c>
      <c r="X109" s="207">
        <f>SUMIFS('ноябрь 2023'!$G$4:$G$1127,'ноябрь 2023'!$D$4:$D$1127,$B109,'ноябрь 2023'!$J$4:$J$1127,X$1)</f>
        <v>0</v>
      </c>
      <c r="Y109" s="207">
        <f>SUMIFS('ноябрь 2023'!$G$4:$G$1127,'ноябрь 2023'!$D$4:$D$1127,$B109,'ноябрь 2023'!$J$4:$J$1127,Y$1)</f>
        <v>0</v>
      </c>
      <c r="Z109" s="207">
        <f>SUMIFS('ноябрь 2023'!$G$4:$G$1127,'ноябрь 2023'!$D$4:$D$1127,$B109,'ноябрь 2023'!$J$4:$J$1127,Z$1)</f>
        <v>0</v>
      </c>
      <c r="AA109" s="207">
        <f>SUMIFS('ноябрь 2023'!$G$4:$G$1127,'ноябрь 2023'!$D$4:$D$1127,$B109,'ноябрь 2023'!$J$4:$J$1127,AA$1)</f>
        <v>0</v>
      </c>
      <c r="AB109" s="207">
        <f>SUMIFS('ноябрь 2023'!$G$4:$G$1127,'ноябрь 2023'!$D$4:$D$1127,$B109,'ноябрь 2023'!$J$4:$J$1127,AB$1)</f>
        <v>0</v>
      </c>
      <c r="AC109" s="207">
        <f>SUMIFS('ноябрь 2023'!$G$4:$G$1127,'ноябрь 2023'!$D$4:$D$1127,$B109,'ноябрь 2023'!$J$4:$J$1127,AC$1)</f>
        <v>0</v>
      </c>
      <c r="AD109" s="207">
        <f>SUMIFS('ноябрь 2023'!$G$4:$G$1127,'ноябрь 2023'!$D$4:$D$1127,$B109,'ноябрь 2023'!$J$4:$J$1127,AD$1)</f>
        <v>0</v>
      </c>
      <c r="AE109" s="207">
        <f>SUMIFS('ноябрь 2023'!$G$4:$G$1127,'ноябрь 2023'!$D$4:$D$1127,$B109,'ноябрь 2023'!$J$4:$J$1127,AE$1)</f>
        <v>0</v>
      </c>
      <c r="AF109" s="207">
        <f>SUMIFS('ноябрь 2023'!$G$4:$G$1127,'ноябрь 2023'!$D$4:$D$1127,$B109,'ноябрь 2023'!$J$4:$J$1127,AF$1)</f>
        <v>0</v>
      </c>
      <c r="AG109" s="207">
        <f>SUMIFS('ноябрь 2023'!$G$4:$G$1127,'ноябрь 2023'!$D$4:$D$1127,$B109,'ноябрь 2023'!$J$4:$J$1127,AG$1)</f>
        <v>0</v>
      </c>
      <c r="AH109" s="207">
        <f>SUMIFS('ноябрь 2023'!$G$4:$G$1127,'ноябрь 2023'!$D$4:$D$1127,$B109,'ноябрь 2023'!$J$4:$J$1127,AH$1)</f>
        <v>0</v>
      </c>
      <c r="AI109" s="170">
        <f t="shared" si="2"/>
        <v>40</v>
      </c>
    </row>
    <row r="110" spans="2:35" ht="15" customHeight="1" x14ac:dyDescent="0.25">
      <c r="B110" s="212" t="s">
        <v>1021</v>
      </c>
      <c r="C110" s="213">
        <v>200</v>
      </c>
      <c r="D110" s="207">
        <f>SUMIFS('ноябрь 2023'!$G$4:$G$1127,'ноябрь 2023'!$D$4:$D$1127,$B110,'ноябрь 2023'!$J$4:$J$1127,D$1)</f>
        <v>0</v>
      </c>
      <c r="E110" s="207">
        <f>SUMIFS('ноябрь 2023'!$G$4:$G$1127,'ноябрь 2023'!$D$4:$D$1127,$B110,'ноябрь 2023'!$J$4:$J$1127,E$1)</f>
        <v>0</v>
      </c>
      <c r="F110" s="207">
        <f>SUMIFS('ноябрь 2023'!$G$4:$G$1127,'ноябрь 2023'!$D$4:$D$1127,$B110,'ноябрь 2023'!$J$4:$J$1127,F$1)</f>
        <v>0</v>
      </c>
      <c r="G110" s="207">
        <f>SUMIFS('ноябрь 2023'!$G$4:$G$1127,'ноябрь 2023'!$D$4:$D$1127,$B110,'ноябрь 2023'!$J$4:$J$1127,G$1)</f>
        <v>0</v>
      </c>
      <c r="H110" s="207">
        <f>SUMIFS('ноябрь 2023'!$G$4:$G$1127,'ноябрь 2023'!$D$4:$D$1127,$B110,'ноябрь 2023'!$J$4:$J$1127,H$1)</f>
        <v>0</v>
      </c>
      <c r="I110" s="207">
        <f>SUMIFS('ноябрь 2023'!$G$4:$G$1127,'ноябрь 2023'!$D$4:$D$1127,$B110,'ноябрь 2023'!$J$4:$J$1127,I$1)</f>
        <v>0</v>
      </c>
      <c r="J110" s="207">
        <f>SUMIFS('ноябрь 2023'!$G$4:$G$1127,'ноябрь 2023'!$D$4:$D$1127,$B110,'ноябрь 2023'!$J$4:$J$1127,J$1)</f>
        <v>0</v>
      </c>
      <c r="K110" s="207">
        <f>SUMIFS('ноябрь 2023'!$G$4:$G$1127,'ноябрь 2023'!$D$4:$D$1127,$B110,'ноябрь 2023'!$J$4:$J$1127,K$1)</f>
        <v>0</v>
      </c>
      <c r="L110" s="207">
        <f>SUMIFS('ноябрь 2023'!$G$4:$G$1127,'ноябрь 2023'!$D$4:$D$1127,$B110,'ноябрь 2023'!$J$4:$J$1127,L$1)</f>
        <v>0</v>
      </c>
      <c r="M110" s="207">
        <f>SUMIFS('ноябрь 2023'!$G$4:$G$1127,'ноябрь 2023'!$D$4:$D$1127,$B110,'ноябрь 2023'!$J$4:$J$1127,M$1)</f>
        <v>0</v>
      </c>
      <c r="N110" s="207">
        <f>SUMIFS('ноябрь 2023'!$G$4:$G$1127,'ноябрь 2023'!$D$4:$D$1127,$B110,'ноябрь 2023'!$J$4:$J$1127,N$1)</f>
        <v>0</v>
      </c>
      <c r="O110" s="207">
        <f>SUMIFS('ноябрь 2023'!$G$4:$G$1127,'ноябрь 2023'!$D$4:$D$1127,$B110,'ноябрь 2023'!$J$4:$J$1127,O$1)</f>
        <v>0</v>
      </c>
      <c r="P110" s="207">
        <f>SUMIFS('ноябрь 2023'!$G$4:$G$1127,'ноябрь 2023'!$D$4:$D$1127,$B110,'ноябрь 2023'!$J$4:$J$1127,P$1)</f>
        <v>0</v>
      </c>
      <c r="Q110" s="207">
        <f>SUMIFS('ноябрь 2023'!$G$4:$G$1127,'ноябрь 2023'!$D$4:$D$1127,$B110,'ноябрь 2023'!$J$4:$J$1127,Q$1)</f>
        <v>0</v>
      </c>
      <c r="R110" s="207">
        <f>SUMIFS('ноябрь 2023'!$G$4:$G$1127,'ноябрь 2023'!$D$4:$D$1127,$B110,'ноябрь 2023'!$J$4:$J$1127,R$1)</f>
        <v>0</v>
      </c>
      <c r="S110" s="207">
        <f>SUMIFS('ноябрь 2023'!$G$4:$G$1127,'ноябрь 2023'!$D$4:$D$1127,$B110,'ноябрь 2023'!$J$4:$J$1127,S$1)</f>
        <v>0</v>
      </c>
      <c r="T110" s="207">
        <f>SUMIFS('ноябрь 2023'!$G$4:$G$1127,'ноябрь 2023'!$D$4:$D$1127,$B110,'ноябрь 2023'!$J$4:$J$1127,T$1)</f>
        <v>0</v>
      </c>
      <c r="U110" s="207">
        <f>SUMIFS('ноябрь 2023'!$G$4:$G$1127,'ноябрь 2023'!$D$4:$D$1127,$B110,'ноябрь 2023'!$J$4:$J$1127,U$1)</f>
        <v>0</v>
      </c>
      <c r="V110" s="207">
        <f>SUMIFS('ноябрь 2023'!$G$4:$G$1127,'ноябрь 2023'!$D$4:$D$1127,$B110,'ноябрь 2023'!$J$4:$J$1127,V$1)</f>
        <v>0</v>
      </c>
      <c r="W110" s="207">
        <f>SUMIFS('ноябрь 2023'!$G$4:$G$1127,'ноябрь 2023'!$D$4:$D$1127,$B110,'ноябрь 2023'!$J$4:$J$1127,W$1)</f>
        <v>0</v>
      </c>
      <c r="X110" s="207">
        <f>SUMIFS('ноябрь 2023'!$G$4:$G$1127,'ноябрь 2023'!$D$4:$D$1127,$B110,'ноябрь 2023'!$J$4:$J$1127,X$1)</f>
        <v>0</v>
      </c>
      <c r="Y110" s="207">
        <f>SUMIFS('ноябрь 2023'!$G$4:$G$1127,'ноябрь 2023'!$D$4:$D$1127,$B110,'ноябрь 2023'!$J$4:$J$1127,Y$1)</f>
        <v>0</v>
      </c>
      <c r="Z110" s="207">
        <f>SUMIFS('ноябрь 2023'!$G$4:$G$1127,'ноябрь 2023'!$D$4:$D$1127,$B110,'ноябрь 2023'!$J$4:$J$1127,Z$1)</f>
        <v>0</v>
      </c>
      <c r="AA110" s="207">
        <f>SUMIFS('ноябрь 2023'!$G$4:$G$1127,'ноябрь 2023'!$D$4:$D$1127,$B110,'ноябрь 2023'!$J$4:$J$1127,AA$1)</f>
        <v>0</v>
      </c>
      <c r="AB110" s="207">
        <f>SUMIFS('ноябрь 2023'!$G$4:$G$1127,'ноябрь 2023'!$D$4:$D$1127,$B110,'ноябрь 2023'!$J$4:$J$1127,AB$1)</f>
        <v>0</v>
      </c>
      <c r="AC110" s="207">
        <f>SUMIFS('ноябрь 2023'!$G$4:$G$1127,'ноябрь 2023'!$D$4:$D$1127,$B110,'ноябрь 2023'!$J$4:$J$1127,AC$1)</f>
        <v>0</v>
      </c>
      <c r="AD110" s="207">
        <f>SUMIFS('ноябрь 2023'!$G$4:$G$1127,'ноябрь 2023'!$D$4:$D$1127,$B110,'ноябрь 2023'!$J$4:$J$1127,AD$1)</f>
        <v>0</v>
      </c>
      <c r="AE110" s="207">
        <f>SUMIFS('ноябрь 2023'!$G$4:$G$1127,'ноябрь 2023'!$D$4:$D$1127,$B110,'ноябрь 2023'!$J$4:$J$1127,AE$1)</f>
        <v>0</v>
      </c>
      <c r="AF110" s="207">
        <f>SUMIFS('ноябрь 2023'!$G$4:$G$1127,'ноябрь 2023'!$D$4:$D$1127,$B110,'ноябрь 2023'!$J$4:$J$1127,AF$1)</f>
        <v>0</v>
      </c>
      <c r="AG110" s="207">
        <f>SUMIFS('ноябрь 2023'!$G$4:$G$1127,'ноябрь 2023'!$D$4:$D$1127,$B110,'ноябрь 2023'!$J$4:$J$1127,AG$1)</f>
        <v>0</v>
      </c>
      <c r="AH110" s="207">
        <f>SUMIFS('ноябрь 2023'!$G$4:$G$1127,'ноябрь 2023'!$D$4:$D$1127,$B110,'ноябрь 2023'!$J$4:$J$1127,AH$1)</f>
        <v>0</v>
      </c>
      <c r="AI110" s="170">
        <f t="shared" si="2"/>
        <v>0</v>
      </c>
    </row>
    <row r="111" spans="2:35" ht="15" customHeight="1" x14ac:dyDescent="0.25">
      <c r="B111" s="212" t="s">
        <v>1023</v>
      </c>
      <c r="C111" s="213">
        <v>25</v>
      </c>
      <c r="D111" s="207">
        <f>SUMIFS('ноябрь 2023'!$G$4:$G$1127,'ноябрь 2023'!$D$4:$D$1127,$B111,'ноябрь 2023'!$J$4:$J$1127,D$1)</f>
        <v>0</v>
      </c>
      <c r="E111" s="207">
        <f>SUMIFS('ноябрь 2023'!$G$4:$G$1127,'ноябрь 2023'!$D$4:$D$1127,$B111,'ноябрь 2023'!$J$4:$J$1127,E$1)</f>
        <v>0</v>
      </c>
      <c r="F111" s="207">
        <f>SUMIFS('ноябрь 2023'!$G$4:$G$1127,'ноябрь 2023'!$D$4:$D$1127,$B111,'ноябрь 2023'!$J$4:$J$1127,F$1)</f>
        <v>0</v>
      </c>
      <c r="G111" s="207">
        <f>SUMIFS('ноябрь 2023'!$G$4:$G$1127,'ноябрь 2023'!$D$4:$D$1127,$B111,'ноябрь 2023'!$J$4:$J$1127,G$1)</f>
        <v>0</v>
      </c>
      <c r="H111" s="207">
        <f>SUMIFS('ноябрь 2023'!$G$4:$G$1127,'ноябрь 2023'!$D$4:$D$1127,$B111,'ноябрь 2023'!$J$4:$J$1127,H$1)</f>
        <v>0</v>
      </c>
      <c r="I111" s="207">
        <f>SUMIFS('ноябрь 2023'!$G$4:$G$1127,'ноябрь 2023'!$D$4:$D$1127,$B111,'ноябрь 2023'!$J$4:$J$1127,I$1)</f>
        <v>0</v>
      </c>
      <c r="J111" s="207">
        <f>SUMIFS('ноябрь 2023'!$G$4:$G$1127,'ноябрь 2023'!$D$4:$D$1127,$B111,'ноябрь 2023'!$J$4:$J$1127,J$1)</f>
        <v>0</v>
      </c>
      <c r="K111" s="207">
        <f>SUMIFS('ноябрь 2023'!$G$4:$G$1127,'ноябрь 2023'!$D$4:$D$1127,$B111,'ноябрь 2023'!$J$4:$J$1127,K$1)</f>
        <v>0</v>
      </c>
      <c r="L111" s="207">
        <f>SUMIFS('ноябрь 2023'!$G$4:$G$1127,'ноябрь 2023'!$D$4:$D$1127,$B111,'ноябрь 2023'!$J$4:$J$1127,L$1)</f>
        <v>0</v>
      </c>
      <c r="M111" s="207">
        <f>SUMIFS('ноябрь 2023'!$G$4:$G$1127,'ноябрь 2023'!$D$4:$D$1127,$B111,'ноябрь 2023'!$J$4:$J$1127,M$1)</f>
        <v>0</v>
      </c>
      <c r="N111" s="207">
        <f>SUMIFS('ноябрь 2023'!$G$4:$G$1127,'ноябрь 2023'!$D$4:$D$1127,$B111,'ноябрь 2023'!$J$4:$J$1127,N$1)</f>
        <v>0</v>
      </c>
      <c r="O111" s="207">
        <f>SUMIFS('ноябрь 2023'!$G$4:$G$1127,'ноябрь 2023'!$D$4:$D$1127,$B111,'ноябрь 2023'!$J$4:$J$1127,O$1)</f>
        <v>0</v>
      </c>
      <c r="P111" s="207">
        <f>SUMIFS('ноябрь 2023'!$G$4:$G$1127,'ноябрь 2023'!$D$4:$D$1127,$B111,'ноябрь 2023'!$J$4:$J$1127,P$1)</f>
        <v>0</v>
      </c>
      <c r="Q111" s="207">
        <f>SUMIFS('ноябрь 2023'!$G$4:$G$1127,'ноябрь 2023'!$D$4:$D$1127,$B111,'ноябрь 2023'!$J$4:$J$1127,Q$1)</f>
        <v>0</v>
      </c>
      <c r="R111" s="207">
        <f>SUMIFS('ноябрь 2023'!$G$4:$G$1127,'ноябрь 2023'!$D$4:$D$1127,$B111,'ноябрь 2023'!$J$4:$J$1127,R$1)</f>
        <v>0</v>
      </c>
      <c r="S111" s="207">
        <f>SUMIFS('ноябрь 2023'!$G$4:$G$1127,'ноябрь 2023'!$D$4:$D$1127,$B111,'ноябрь 2023'!$J$4:$J$1127,S$1)</f>
        <v>0</v>
      </c>
      <c r="T111" s="207">
        <f>SUMIFS('ноябрь 2023'!$G$4:$G$1127,'ноябрь 2023'!$D$4:$D$1127,$B111,'ноябрь 2023'!$J$4:$J$1127,T$1)</f>
        <v>0</v>
      </c>
      <c r="U111" s="207">
        <f>SUMIFS('ноябрь 2023'!$G$4:$G$1127,'ноябрь 2023'!$D$4:$D$1127,$B111,'ноябрь 2023'!$J$4:$J$1127,U$1)</f>
        <v>0</v>
      </c>
      <c r="V111" s="207">
        <f>SUMIFS('ноябрь 2023'!$G$4:$G$1127,'ноябрь 2023'!$D$4:$D$1127,$B111,'ноябрь 2023'!$J$4:$J$1127,V$1)</f>
        <v>0</v>
      </c>
      <c r="W111" s="207">
        <f>SUMIFS('ноябрь 2023'!$G$4:$G$1127,'ноябрь 2023'!$D$4:$D$1127,$B111,'ноябрь 2023'!$J$4:$J$1127,W$1)</f>
        <v>0</v>
      </c>
      <c r="X111" s="207">
        <f>SUMIFS('ноябрь 2023'!$G$4:$G$1127,'ноябрь 2023'!$D$4:$D$1127,$B111,'ноябрь 2023'!$J$4:$J$1127,X$1)</f>
        <v>0</v>
      </c>
      <c r="Y111" s="207">
        <f>SUMIFS('ноябрь 2023'!$G$4:$G$1127,'ноябрь 2023'!$D$4:$D$1127,$B111,'ноябрь 2023'!$J$4:$J$1127,Y$1)</f>
        <v>0</v>
      </c>
      <c r="Z111" s="207">
        <f>SUMIFS('ноябрь 2023'!$G$4:$G$1127,'ноябрь 2023'!$D$4:$D$1127,$B111,'ноябрь 2023'!$J$4:$J$1127,Z$1)</f>
        <v>0</v>
      </c>
      <c r="AA111" s="207">
        <f>SUMIFS('ноябрь 2023'!$G$4:$G$1127,'ноябрь 2023'!$D$4:$D$1127,$B111,'ноябрь 2023'!$J$4:$J$1127,AA$1)</f>
        <v>0</v>
      </c>
      <c r="AB111" s="207">
        <f>SUMIFS('ноябрь 2023'!$G$4:$G$1127,'ноябрь 2023'!$D$4:$D$1127,$B111,'ноябрь 2023'!$J$4:$J$1127,AB$1)</f>
        <v>0</v>
      </c>
      <c r="AC111" s="207">
        <f>SUMIFS('ноябрь 2023'!$G$4:$G$1127,'ноябрь 2023'!$D$4:$D$1127,$B111,'ноябрь 2023'!$J$4:$J$1127,AC$1)</f>
        <v>0</v>
      </c>
      <c r="AD111" s="207">
        <f>SUMIFS('ноябрь 2023'!$G$4:$G$1127,'ноябрь 2023'!$D$4:$D$1127,$B111,'ноябрь 2023'!$J$4:$J$1127,AD$1)</f>
        <v>0</v>
      </c>
      <c r="AE111" s="207">
        <f>SUMIFS('ноябрь 2023'!$G$4:$G$1127,'ноябрь 2023'!$D$4:$D$1127,$B111,'ноябрь 2023'!$J$4:$J$1127,AE$1)</f>
        <v>0</v>
      </c>
      <c r="AF111" s="207">
        <f>SUMIFS('ноябрь 2023'!$G$4:$G$1127,'ноябрь 2023'!$D$4:$D$1127,$B111,'ноябрь 2023'!$J$4:$J$1127,AF$1)</f>
        <v>0</v>
      </c>
      <c r="AG111" s="207">
        <f>SUMIFS('ноябрь 2023'!$G$4:$G$1127,'ноябрь 2023'!$D$4:$D$1127,$B111,'ноябрь 2023'!$J$4:$J$1127,AG$1)</f>
        <v>0</v>
      </c>
      <c r="AH111" s="207">
        <f>SUMIFS('ноябрь 2023'!$G$4:$G$1127,'ноябрь 2023'!$D$4:$D$1127,$B111,'ноябрь 2023'!$J$4:$J$1127,AH$1)</f>
        <v>0</v>
      </c>
      <c r="AI111" s="170">
        <f t="shared" si="2"/>
        <v>0</v>
      </c>
    </row>
    <row r="112" spans="2:35" ht="15" customHeight="1" x14ac:dyDescent="0.25">
      <c r="B112" s="216" t="s">
        <v>2199</v>
      </c>
      <c r="C112" s="213">
        <v>200</v>
      </c>
      <c r="D112" s="207">
        <f>SUMIFS('ноябрь 2023'!$G$4:$G$1127,'ноябрь 2023'!$D$4:$D$1127,$B112,'ноябрь 2023'!$J$4:$J$1127,D$1)</f>
        <v>0</v>
      </c>
      <c r="E112" s="207">
        <f>SUMIFS('ноябрь 2023'!$G$4:$G$1127,'ноябрь 2023'!$D$4:$D$1127,$B112,'ноябрь 2023'!$J$4:$J$1127,E$1)</f>
        <v>0</v>
      </c>
      <c r="F112" s="207">
        <f>SUMIFS('ноябрь 2023'!$G$4:$G$1127,'ноябрь 2023'!$D$4:$D$1127,$B112,'ноябрь 2023'!$J$4:$J$1127,F$1)</f>
        <v>0</v>
      </c>
      <c r="G112" s="207">
        <f>SUMIFS('ноябрь 2023'!$G$4:$G$1127,'ноябрь 2023'!$D$4:$D$1127,$B112,'ноябрь 2023'!$J$4:$J$1127,G$1)</f>
        <v>0</v>
      </c>
      <c r="H112" s="207">
        <f>SUMIFS('ноябрь 2023'!$G$4:$G$1127,'ноябрь 2023'!$D$4:$D$1127,$B112,'ноябрь 2023'!$J$4:$J$1127,H$1)</f>
        <v>0</v>
      </c>
      <c r="I112" s="207">
        <f>SUMIFS('ноябрь 2023'!$G$4:$G$1127,'ноябрь 2023'!$D$4:$D$1127,$B112,'ноябрь 2023'!$J$4:$J$1127,I$1)</f>
        <v>0</v>
      </c>
      <c r="J112" s="207">
        <f>SUMIFS('ноябрь 2023'!$G$4:$G$1127,'ноябрь 2023'!$D$4:$D$1127,$B112,'ноябрь 2023'!$J$4:$J$1127,J$1)</f>
        <v>0</v>
      </c>
      <c r="K112" s="207">
        <f>SUMIFS('ноябрь 2023'!$G$4:$G$1127,'ноябрь 2023'!$D$4:$D$1127,$B112,'ноябрь 2023'!$J$4:$J$1127,K$1)</f>
        <v>0</v>
      </c>
      <c r="L112" s="207">
        <f>SUMIFS('ноябрь 2023'!$G$4:$G$1127,'ноябрь 2023'!$D$4:$D$1127,$B112,'ноябрь 2023'!$J$4:$J$1127,L$1)</f>
        <v>0</v>
      </c>
      <c r="M112" s="207">
        <f>SUMIFS('ноябрь 2023'!$G$4:$G$1127,'ноябрь 2023'!$D$4:$D$1127,$B112,'ноябрь 2023'!$J$4:$J$1127,M$1)</f>
        <v>0</v>
      </c>
      <c r="N112" s="207">
        <f>SUMIFS('ноябрь 2023'!$G$4:$G$1127,'ноябрь 2023'!$D$4:$D$1127,$B112,'ноябрь 2023'!$J$4:$J$1127,N$1)</f>
        <v>0</v>
      </c>
      <c r="O112" s="207">
        <f>SUMIFS('ноябрь 2023'!$G$4:$G$1127,'ноябрь 2023'!$D$4:$D$1127,$B112,'ноябрь 2023'!$J$4:$J$1127,O$1)</f>
        <v>0</v>
      </c>
      <c r="P112" s="207">
        <f>SUMIFS('ноябрь 2023'!$G$4:$G$1127,'ноябрь 2023'!$D$4:$D$1127,$B112,'ноябрь 2023'!$J$4:$J$1127,P$1)</f>
        <v>0</v>
      </c>
      <c r="Q112" s="207">
        <f>SUMIFS('ноябрь 2023'!$G$4:$G$1127,'ноябрь 2023'!$D$4:$D$1127,$B112,'ноябрь 2023'!$J$4:$J$1127,Q$1)</f>
        <v>0</v>
      </c>
      <c r="R112" s="207">
        <f>SUMIFS('ноябрь 2023'!$G$4:$G$1127,'ноябрь 2023'!$D$4:$D$1127,$B112,'ноябрь 2023'!$J$4:$J$1127,R$1)</f>
        <v>0</v>
      </c>
      <c r="S112" s="207">
        <f>SUMIFS('ноябрь 2023'!$G$4:$G$1127,'ноябрь 2023'!$D$4:$D$1127,$B112,'ноябрь 2023'!$J$4:$J$1127,S$1)</f>
        <v>0</v>
      </c>
      <c r="T112" s="207">
        <f>SUMIFS('ноябрь 2023'!$G$4:$G$1127,'ноябрь 2023'!$D$4:$D$1127,$B112,'ноябрь 2023'!$J$4:$J$1127,T$1)</f>
        <v>0</v>
      </c>
      <c r="U112" s="207">
        <f>SUMIFS('ноябрь 2023'!$G$4:$G$1127,'ноябрь 2023'!$D$4:$D$1127,$B112,'ноябрь 2023'!$J$4:$J$1127,U$1)</f>
        <v>0</v>
      </c>
      <c r="V112" s="207">
        <f>SUMIFS('ноябрь 2023'!$G$4:$G$1127,'ноябрь 2023'!$D$4:$D$1127,$B112,'ноябрь 2023'!$J$4:$J$1127,V$1)</f>
        <v>0</v>
      </c>
      <c r="W112" s="207">
        <f>SUMIFS('ноябрь 2023'!$G$4:$G$1127,'ноябрь 2023'!$D$4:$D$1127,$B112,'ноябрь 2023'!$J$4:$J$1127,W$1)</f>
        <v>0</v>
      </c>
      <c r="X112" s="207">
        <f>SUMIFS('ноябрь 2023'!$G$4:$G$1127,'ноябрь 2023'!$D$4:$D$1127,$B112,'ноябрь 2023'!$J$4:$J$1127,X$1)</f>
        <v>0</v>
      </c>
      <c r="Y112" s="207">
        <f>SUMIFS('ноябрь 2023'!$G$4:$G$1127,'ноябрь 2023'!$D$4:$D$1127,$B112,'ноябрь 2023'!$J$4:$J$1127,Y$1)</f>
        <v>0</v>
      </c>
      <c r="Z112" s="207">
        <f>SUMIFS('ноябрь 2023'!$G$4:$G$1127,'ноябрь 2023'!$D$4:$D$1127,$B112,'ноябрь 2023'!$J$4:$J$1127,Z$1)</f>
        <v>0</v>
      </c>
      <c r="AA112" s="207">
        <f>SUMIFS('ноябрь 2023'!$G$4:$G$1127,'ноябрь 2023'!$D$4:$D$1127,$B112,'ноябрь 2023'!$J$4:$J$1127,AA$1)</f>
        <v>0</v>
      </c>
      <c r="AB112" s="207">
        <f>SUMIFS('ноябрь 2023'!$G$4:$G$1127,'ноябрь 2023'!$D$4:$D$1127,$B112,'ноябрь 2023'!$J$4:$J$1127,AB$1)</f>
        <v>0</v>
      </c>
      <c r="AC112" s="207">
        <f>SUMIFS('ноябрь 2023'!$G$4:$G$1127,'ноябрь 2023'!$D$4:$D$1127,$B112,'ноябрь 2023'!$J$4:$J$1127,AC$1)</f>
        <v>0</v>
      </c>
      <c r="AD112" s="207">
        <f>SUMIFS('ноябрь 2023'!$G$4:$G$1127,'ноябрь 2023'!$D$4:$D$1127,$B112,'ноябрь 2023'!$J$4:$J$1127,AD$1)</f>
        <v>0</v>
      </c>
      <c r="AE112" s="207">
        <f>SUMIFS('ноябрь 2023'!$G$4:$G$1127,'ноябрь 2023'!$D$4:$D$1127,$B112,'ноябрь 2023'!$J$4:$J$1127,AE$1)</f>
        <v>0</v>
      </c>
      <c r="AF112" s="207">
        <f>SUMIFS('ноябрь 2023'!$G$4:$G$1127,'ноябрь 2023'!$D$4:$D$1127,$B112,'ноябрь 2023'!$J$4:$J$1127,AF$1)</f>
        <v>0</v>
      </c>
      <c r="AG112" s="207">
        <f>SUMIFS('ноябрь 2023'!$G$4:$G$1127,'ноябрь 2023'!$D$4:$D$1127,$B112,'ноябрь 2023'!$J$4:$J$1127,AG$1)</f>
        <v>0</v>
      </c>
      <c r="AH112" s="207">
        <f>SUMIFS('ноябрь 2023'!$G$4:$G$1127,'ноябрь 2023'!$D$4:$D$1127,$B112,'ноябрь 2023'!$J$4:$J$1127,AH$1)</f>
        <v>0</v>
      </c>
      <c r="AI112" s="170">
        <f t="shared" si="2"/>
        <v>0</v>
      </c>
    </row>
    <row r="113" spans="2:35" ht="15" customHeight="1" x14ac:dyDescent="0.25">
      <c r="B113" s="216" t="s">
        <v>775</v>
      </c>
      <c r="C113" s="213">
        <v>200</v>
      </c>
      <c r="D113" s="207">
        <f>SUMIFS('ноябрь 2023'!$G$4:$G$1127,'ноябрь 2023'!$D$4:$D$1127,$B113,'ноябрь 2023'!$J$4:$J$1127,D$1)</f>
        <v>0</v>
      </c>
      <c r="E113" s="207">
        <f>SUMIFS('ноябрь 2023'!$G$4:$G$1127,'ноябрь 2023'!$D$4:$D$1127,$B113,'ноябрь 2023'!$J$4:$J$1127,E$1)</f>
        <v>0</v>
      </c>
      <c r="F113" s="207">
        <f>SUMIFS('ноябрь 2023'!$G$4:$G$1127,'ноябрь 2023'!$D$4:$D$1127,$B113,'ноябрь 2023'!$J$4:$J$1127,F$1)</f>
        <v>0</v>
      </c>
      <c r="G113" s="207">
        <f>SUMIFS('ноябрь 2023'!$G$4:$G$1127,'ноябрь 2023'!$D$4:$D$1127,$B113,'ноябрь 2023'!$J$4:$J$1127,G$1)</f>
        <v>0</v>
      </c>
      <c r="H113" s="207">
        <f>SUMIFS('ноябрь 2023'!$G$4:$G$1127,'ноябрь 2023'!$D$4:$D$1127,$B113,'ноябрь 2023'!$J$4:$J$1127,H$1)</f>
        <v>0</v>
      </c>
      <c r="I113" s="207">
        <f>SUMIFS('ноябрь 2023'!$G$4:$G$1127,'ноябрь 2023'!$D$4:$D$1127,$B113,'ноябрь 2023'!$J$4:$J$1127,I$1)</f>
        <v>0</v>
      </c>
      <c r="J113" s="207">
        <f>SUMIFS('ноябрь 2023'!$G$4:$G$1127,'ноябрь 2023'!$D$4:$D$1127,$B113,'ноябрь 2023'!$J$4:$J$1127,J$1)</f>
        <v>0</v>
      </c>
      <c r="K113" s="207">
        <f>SUMIFS('ноябрь 2023'!$G$4:$G$1127,'ноябрь 2023'!$D$4:$D$1127,$B113,'ноябрь 2023'!$J$4:$J$1127,K$1)</f>
        <v>0</v>
      </c>
      <c r="L113" s="207">
        <f>SUMIFS('ноябрь 2023'!$G$4:$G$1127,'ноябрь 2023'!$D$4:$D$1127,$B113,'ноябрь 2023'!$J$4:$J$1127,L$1)</f>
        <v>0</v>
      </c>
      <c r="M113" s="207">
        <f>SUMIFS('ноябрь 2023'!$G$4:$G$1127,'ноябрь 2023'!$D$4:$D$1127,$B113,'ноябрь 2023'!$J$4:$J$1127,M$1)</f>
        <v>0</v>
      </c>
      <c r="N113" s="207">
        <f>SUMIFS('ноябрь 2023'!$G$4:$G$1127,'ноябрь 2023'!$D$4:$D$1127,$B113,'ноябрь 2023'!$J$4:$J$1127,N$1)</f>
        <v>0</v>
      </c>
      <c r="O113" s="207">
        <f>SUMIFS('ноябрь 2023'!$G$4:$G$1127,'ноябрь 2023'!$D$4:$D$1127,$B113,'ноябрь 2023'!$J$4:$J$1127,O$1)</f>
        <v>0</v>
      </c>
      <c r="P113" s="207">
        <f>SUMIFS('ноябрь 2023'!$G$4:$G$1127,'ноябрь 2023'!$D$4:$D$1127,$B113,'ноябрь 2023'!$J$4:$J$1127,P$1)</f>
        <v>0</v>
      </c>
      <c r="Q113" s="207">
        <f>SUMIFS('ноябрь 2023'!$G$4:$G$1127,'ноябрь 2023'!$D$4:$D$1127,$B113,'ноябрь 2023'!$J$4:$J$1127,Q$1)</f>
        <v>0</v>
      </c>
      <c r="R113" s="207">
        <f>SUMIFS('ноябрь 2023'!$G$4:$G$1127,'ноябрь 2023'!$D$4:$D$1127,$B113,'ноябрь 2023'!$J$4:$J$1127,R$1)</f>
        <v>0</v>
      </c>
      <c r="S113" s="207">
        <f>SUMIFS('ноябрь 2023'!$G$4:$G$1127,'ноябрь 2023'!$D$4:$D$1127,$B113,'ноябрь 2023'!$J$4:$J$1127,S$1)</f>
        <v>0</v>
      </c>
      <c r="T113" s="207">
        <f>SUMIFS('ноябрь 2023'!$G$4:$G$1127,'ноябрь 2023'!$D$4:$D$1127,$B113,'ноябрь 2023'!$J$4:$J$1127,T$1)</f>
        <v>0</v>
      </c>
      <c r="U113" s="207">
        <f>SUMIFS('ноябрь 2023'!$G$4:$G$1127,'ноябрь 2023'!$D$4:$D$1127,$B113,'ноябрь 2023'!$J$4:$J$1127,U$1)</f>
        <v>0</v>
      </c>
      <c r="V113" s="207">
        <f>SUMIFS('ноябрь 2023'!$G$4:$G$1127,'ноябрь 2023'!$D$4:$D$1127,$B113,'ноябрь 2023'!$J$4:$J$1127,V$1)</f>
        <v>0</v>
      </c>
      <c r="W113" s="207">
        <f>SUMIFS('ноябрь 2023'!$G$4:$G$1127,'ноябрь 2023'!$D$4:$D$1127,$B113,'ноябрь 2023'!$J$4:$J$1127,W$1)</f>
        <v>0</v>
      </c>
      <c r="X113" s="207">
        <f>SUMIFS('ноябрь 2023'!$G$4:$G$1127,'ноябрь 2023'!$D$4:$D$1127,$B113,'ноябрь 2023'!$J$4:$J$1127,X$1)</f>
        <v>0</v>
      </c>
      <c r="Y113" s="207">
        <f>SUMIFS('ноябрь 2023'!$G$4:$G$1127,'ноябрь 2023'!$D$4:$D$1127,$B113,'ноябрь 2023'!$J$4:$J$1127,Y$1)</f>
        <v>0</v>
      </c>
      <c r="Z113" s="207">
        <f>SUMIFS('ноябрь 2023'!$G$4:$G$1127,'ноябрь 2023'!$D$4:$D$1127,$B113,'ноябрь 2023'!$J$4:$J$1127,Z$1)</f>
        <v>0</v>
      </c>
      <c r="AA113" s="207">
        <f>SUMIFS('ноябрь 2023'!$G$4:$G$1127,'ноябрь 2023'!$D$4:$D$1127,$B113,'ноябрь 2023'!$J$4:$J$1127,AA$1)</f>
        <v>0</v>
      </c>
      <c r="AB113" s="207">
        <f>SUMIFS('ноябрь 2023'!$G$4:$G$1127,'ноябрь 2023'!$D$4:$D$1127,$B113,'ноябрь 2023'!$J$4:$J$1127,AB$1)</f>
        <v>0</v>
      </c>
      <c r="AC113" s="207">
        <f>SUMIFS('ноябрь 2023'!$G$4:$G$1127,'ноябрь 2023'!$D$4:$D$1127,$B113,'ноябрь 2023'!$J$4:$J$1127,AC$1)</f>
        <v>0</v>
      </c>
      <c r="AD113" s="207">
        <f>SUMIFS('ноябрь 2023'!$G$4:$G$1127,'ноябрь 2023'!$D$4:$D$1127,$B113,'ноябрь 2023'!$J$4:$J$1127,AD$1)</f>
        <v>0</v>
      </c>
      <c r="AE113" s="207">
        <f>SUMIFS('ноябрь 2023'!$G$4:$G$1127,'ноябрь 2023'!$D$4:$D$1127,$B113,'ноябрь 2023'!$J$4:$J$1127,AE$1)</f>
        <v>0</v>
      </c>
      <c r="AF113" s="207">
        <f>SUMIFS('ноябрь 2023'!$G$4:$G$1127,'ноябрь 2023'!$D$4:$D$1127,$B113,'ноябрь 2023'!$J$4:$J$1127,AF$1)</f>
        <v>0</v>
      </c>
      <c r="AG113" s="207">
        <f>SUMIFS('ноябрь 2023'!$G$4:$G$1127,'ноябрь 2023'!$D$4:$D$1127,$B113,'ноябрь 2023'!$J$4:$J$1127,AG$1)</f>
        <v>0</v>
      </c>
      <c r="AH113" s="207">
        <f>SUMIFS('ноябрь 2023'!$G$4:$G$1127,'ноябрь 2023'!$D$4:$D$1127,$B113,'ноябрь 2023'!$J$4:$J$1127,AH$1)</f>
        <v>0</v>
      </c>
      <c r="AI113" s="170">
        <f t="shared" si="2"/>
        <v>0</v>
      </c>
    </row>
    <row r="114" spans="2:35" ht="16.899999999999999" customHeight="1" x14ac:dyDescent="0.25">
      <c r="B114" s="212" t="s">
        <v>1094</v>
      </c>
      <c r="C114" s="211">
        <v>25</v>
      </c>
      <c r="D114" s="207">
        <f>SUMIFS('ноябрь 2023'!$G$4:$G$1127,'ноябрь 2023'!$D$4:$D$1127,$B114,'ноябрь 2023'!$J$4:$J$1127,D$1)</f>
        <v>0</v>
      </c>
      <c r="E114" s="207">
        <f>SUMIFS('ноябрь 2023'!$G$4:$G$1127,'ноябрь 2023'!$D$4:$D$1127,$B114,'ноябрь 2023'!$J$4:$J$1127,E$1)</f>
        <v>0</v>
      </c>
      <c r="F114" s="207">
        <f>SUMIFS('ноябрь 2023'!$G$4:$G$1127,'ноябрь 2023'!$D$4:$D$1127,$B114,'ноябрь 2023'!$J$4:$J$1127,F$1)</f>
        <v>0</v>
      </c>
      <c r="G114" s="207">
        <f>SUMIFS('ноябрь 2023'!$G$4:$G$1127,'ноябрь 2023'!$D$4:$D$1127,$B114,'ноябрь 2023'!$J$4:$J$1127,G$1)</f>
        <v>0</v>
      </c>
      <c r="H114" s="207">
        <f>SUMIFS('ноябрь 2023'!$G$4:$G$1127,'ноябрь 2023'!$D$4:$D$1127,$B114,'ноябрь 2023'!$J$4:$J$1127,H$1)</f>
        <v>0</v>
      </c>
      <c r="I114" s="207">
        <f>SUMIFS('ноябрь 2023'!$G$4:$G$1127,'ноябрь 2023'!$D$4:$D$1127,$B114,'ноябрь 2023'!$J$4:$J$1127,I$1)</f>
        <v>0</v>
      </c>
      <c r="J114" s="207">
        <f>SUMIFS('ноябрь 2023'!$G$4:$G$1127,'ноябрь 2023'!$D$4:$D$1127,$B114,'ноябрь 2023'!$J$4:$J$1127,J$1)</f>
        <v>0</v>
      </c>
      <c r="K114" s="207">
        <f>SUMIFS('ноябрь 2023'!$G$4:$G$1127,'ноябрь 2023'!$D$4:$D$1127,$B114,'ноябрь 2023'!$J$4:$J$1127,K$1)</f>
        <v>0</v>
      </c>
      <c r="L114" s="207">
        <f>SUMIFS('ноябрь 2023'!$G$4:$G$1127,'ноябрь 2023'!$D$4:$D$1127,$B114,'ноябрь 2023'!$J$4:$J$1127,L$1)</f>
        <v>0</v>
      </c>
      <c r="M114" s="207">
        <f>SUMIFS('ноябрь 2023'!$G$4:$G$1127,'ноябрь 2023'!$D$4:$D$1127,$B114,'ноябрь 2023'!$J$4:$J$1127,M$1)</f>
        <v>0</v>
      </c>
      <c r="N114" s="207">
        <f>SUMIFS('ноябрь 2023'!$G$4:$G$1127,'ноябрь 2023'!$D$4:$D$1127,$B114,'ноябрь 2023'!$J$4:$J$1127,N$1)</f>
        <v>0</v>
      </c>
      <c r="O114" s="207">
        <f>SUMIFS('ноябрь 2023'!$G$4:$G$1127,'ноябрь 2023'!$D$4:$D$1127,$B114,'ноябрь 2023'!$J$4:$J$1127,O$1)</f>
        <v>0</v>
      </c>
      <c r="P114" s="207">
        <f>SUMIFS('ноябрь 2023'!$G$4:$G$1127,'ноябрь 2023'!$D$4:$D$1127,$B114,'ноябрь 2023'!$J$4:$J$1127,P$1)</f>
        <v>0</v>
      </c>
      <c r="Q114" s="207">
        <f>SUMIFS('ноябрь 2023'!$G$4:$G$1127,'ноябрь 2023'!$D$4:$D$1127,$B114,'ноябрь 2023'!$J$4:$J$1127,Q$1)</f>
        <v>0</v>
      </c>
      <c r="R114" s="207">
        <f>SUMIFS('ноябрь 2023'!$G$4:$G$1127,'ноябрь 2023'!$D$4:$D$1127,$B114,'ноябрь 2023'!$J$4:$J$1127,R$1)</f>
        <v>0</v>
      </c>
      <c r="S114" s="207">
        <f>SUMIFS('ноябрь 2023'!$G$4:$G$1127,'ноябрь 2023'!$D$4:$D$1127,$B114,'ноябрь 2023'!$J$4:$J$1127,S$1)</f>
        <v>0</v>
      </c>
      <c r="T114" s="207">
        <f>SUMIFS('ноябрь 2023'!$G$4:$G$1127,'ноябрь 2023'!$D$4:$D$1127,$B114,'ноябрь 2023'!$J$4:$J$1127,T$1)</f>
        <v>0</v>
      </c>
      <c r="U114" s="207">
        <f>SUMIFS('ноябрь 2023'!$G$4:$G$1127,'ноябрь 2023'!$D$4:$D$1127,$B114,'ноябрь 2023'!$J$4:$J$1127,U$1)</f>
        <v>0</v>
      </c>
      <c r="V114" s="207">
        <f>SUMIFS('ноябрь 2023'!$G$4:$G$1127,'ноябрь 2023'!$D$4:$D$1127,$B114,'ноябрь 2023'!$J$4:$J$1127,V$1)</f>
        <v>0</v>
      </c>
      <c r="W114" s="207">
        <f>SUMIFS('ноябрь 2023'!$G$4:$G$1127,'ноябрь 2023'!$D$4:$D$1127,$B114,'ноябрь 2023'!$J$4:$J$1127,W$1)</f>
        <v>0</v>
      </c>
      <c r="X114" s="207">
        <f>SUMIFS('ноябрь 2023'!$G$4:$G$1127,'ноябрь 2023'!$D$4:$D$1127,$B114,'ноябрь 2023'!$J$4:$J$1127,X$1)</f>
        <v>0</v>
      </c>
      <c r="Y114" s="207">
        <f>SUMIFS('ноябрь 2023'!$G$4:$G$1127,'ноябрь 2023'!$D$4:$D$1127,$B114,'ноябрь 2023'!$J$4:$J$1127,Y$1)</f>
        <v>0</v>
      </c>
      <c r="Z114" s="207">
        <f>SUMIFS('ноябрь 2023'!$G$4:$G$1127,'ноябрь 2023'!$D$4:$D$1127,$B114,'ноябрь 2023'!$J$4:$J$1127,Z$1)</f>
        <v>0</v>
      </c>
      <c r="AA114" s="207">
        <f>SUMIFS('ноябрь 2023'!$G$4:$G$1127,'ноябрь 2023'!$D$4:$D$1127,$B114,'ноябрь 2023'!$J$4:$J$1127,AA$1)</f>
        <v>0</v>
      </c>
      <c r="AB114" s="207">
        <f>SUMIFS('ноябрь 2023'!$G$4:$G$1127,'ноябрь 2023'!$D$4:$D$1127,$B114,'ноябрь 2023'!$J$4:$J$1127,AB$1)</f>
        <v>0</v>
      </c>
      <c r="AC114" s="207">
        <f>SUMIFS('ноябрь 2023'!$G$4:$G$1127,'ноябрь 2023'!$D$4:$D$1127,$B114,'ноябрь 2023'!$J$4:$J$1127,AC$1)</f>
        <v>0</v>
      </c>
      <c r="AD114" s="207">
        <f>SUMIFS('ноябрь 2023'!$G$4:$G$1127,'ноябрь 2023'!$D$4:$D$1127,$B114,'ноябрь 2023'!$J$4:$J$1127,AD$1)</f>
        <v>0</v>
      </c>
      <c r="AE114" s="207">
        <f>SUMIFS('ноябрь 2023'!$G$4:$G$1127,'ноябрь 2023'!$D$4:$D$1127,$B114,'ноябрь 2023'!$J$4:$J$1127,AE$1)</f>
        <v>0</v>
      </c>
      <c r="AF114" s="207">
        <f>SUMIFS('ноябрь 2023'!$G$4:$G$1127,'ноябрь 2023'!$D$4:$D$1127,$B114,'ноябрь 2023'!$J$4:$J$1127,AF$1)</f>
        <v>0</v>
      </c>
      <c r="AG114" s="207">
        <f>SUMIFS('ноябрь 2023'!$G$4:$G$1127,'ноябрь 2023'!$D$4:$D$1127,$B114,'ноябрь 2023'!$J$4:$J$1127,AG$1)</f>
        <v>0</v>
      </c>
      <c r="AH114" s="207">
        <f>SUMIFS('ноябрь 2023'!$G$4:$G$1127,'ноябрь 2023'!$D$4:$D$1127,$B114,'ноябрь 2023'!$J$4:$J$1127,AH$1)</f>
        <v>0</v>
      </c>
      <c r="AI114" s="170">
        <f t="shared" si="2"/>
        <v>0</v>
      </c>
    </row>
    <row r="115" spans="2:35" ht="15" customHeight="1" x14ac:dyDescent="0.25">
      <c r="B115" s="212" t="s">
        <v>191</v>
      </c>
      <c r="C115" s="211">
        <v>25</v>
      </c>
      <c r="D115" s="207">
        <f>SUMIFS('ноябрь 2023'!$G$4:$G$1127,'ноябрь 2023'!$D$4:$D$1127,$B115,'ноябрь 2023'!$J$4:$J$1127,D$1)</f>
        <v>480</v>
      </c>
      <c r="E115" s="207">
        <f>SUMIFS('ноябрь 2023'!$G$4:$G$1127,'ноябрь 2023'!$D$4:$D$1127,$B115,'ноябрь 2023'!$J$4:$J$1127,E$1)</f>
        <v>0</v>
      </c>
      <c r="F115" s="207">
        <f>SUMIFS('ноябрь 2023'!$G$4:$G$1127,'ноябрь 2023'!$D$4:$D$1127,$B115,'ноябрь 2023'!$J$4:$J$1127,F$1)</f>
        <v>120</v>
      </c>
      <c r="G115" s="207">
        <f>SUMIFS('ноябрь 2023'!$G$4:$G$1127,'ноябрь 2023'!$D$4:$D$1127,$B115,'ноябрь 2023'!$J$4:$J$1127,G$1)</f>
        <v>0</v>
      </c>
      <c r="H115" s="207">
        <f>SUMIFS('ноябрь 2023'!$G$4:$G$1127,'ноябрь 2023'!$D$4:$D$1127,$B115,'ноябрь 2023'!$J$4:$J$1127,H$1)</f>
        <v>0</v>
      </c>
      <c r="I115" s="207">
        <f>SUMIFS('ноябрь 2023'!$G$4:$G$1127,'ноябрь 2023'!$D$4:$D$1127,$B115,'ноябрь 2023'!$J$4:$J$1127,I$1)</f>
        <v>0</v>
      </c>
      <c r="J115" s="207">
        <f>SUMIFS('ноябрь 2023'!$G$4:$G$1127,'ноябрь 2023'!$D$4:$D$1127,$B115,'ноябрь 2023'!$J$4:$J$1127,J$1)</f>
        <v>0</v>
      </c>
      <c r="K115" s="207">
        <f>SUMIFS('ноябрь 2023'!$G$4:$G$1127,'ноябрь 2023'!$D$4:$D$1127,$B115,'ноябрь 2023'!$J$4:$J$1127,K$1)</f>
        <v>0</v>
      </c>
      <c r="L115" s="207">
        <f>SUMIFS('ноябрь 2023'!$G$4:$G$1127,'ноябрь 2023'!$D$4:$D$1127,$B115,'ноябрь 2023'!$J$4:$J$1127,L$1)</f>
        <v>0</v>
      </c>
      <c r="M115" s="207">
        <f>SUMIFS('ноябрь 2023'!$G$4:$G$1127,'ноябрь 2023'!$D$4:$D$1127,$B115,'ноябрь 2023'!$J$4:$J$1127,M$1)</f>
        <v>0</v>
      </c>
      <c r="N115" s="207">
        <f>SUMIFS('ноябрь 2023'!$G$4:$G$1127,'ноябрь 2023'!$D$4:$D$1127,$B115,'ноябрь 2023'!$J$4:$J$1127,N$1)</f>
        <v>0</v>
      </c>
      <c r="O115" s="207">
        <f>SUMIFS('ноябрь 2023'!$G$4:$G$1127,'ноябрь 2023'!$D$4:$D$1127,$B115,'ноябрь 2023'!$J$4:$J$1127,O$1)</f>
        <v>0</v>
      </c>
      <c r="P115" s="207">
        <f>SUMIFS('ноябрь 2023'!$G$4:$G$1127,'ноябрь 2023'!$D$4:$D$1127,$B115,'ноябрь 2023'!$J$4:$J$1127,P$1)</f>
        <v>0</v>
      </c>
      <c r="Q115" s="207">
        <f>SUMIFS('ноябрь 2023'!$G$4:$G$1127,'ноябрь 2023'!$D$4:$D$1127,$B115,'ноябрь 2023'!$J$4:$J$1127,Q$1)</f>
        <v>384</v>
      </c>
      <c r="R115" s="207">
        <f>SUMIFS('ноябрь 2023'!$G$4:$G$1127,'ноябрь 2023'!$D$4:$D$1127,$B115,'ноябрь 2023'!$J$4:$J$1127,R$1)</f>
        <v>0</v>
      </c>
      <c r="S115" s="207">
        <f>SUMIFS('ноябрь 2023'!$G$4:$G$1127,'ноябрь 2023'!$D$4:$D$1127,$B115,'ноябрь 2023'!$J$4:$J$1127,S$1)</f>
        <v>0</v>
      </c>
      <c r="T115" s="207">
        <f>SUMIFS('ноябрь 2023'!$G$4:$G$1127,'ноябрь 2023'!$D$4:$D$1127,$B115,'ноябрь 2023'!$J$4:$J$1127,T$1)</f>
        <v>0</v>
      </c>
      <c r="U115" s="207">
        <f>SUMIFS('ноябрь 2023'!$G$4:$G$1127,'ноябрь 2023'!$D$4:$D$1127,$B115,'ноябрь 2023'!$J$4:$J$1127,U$1)</f>
        <v>0</v>
      </c>
      <c r="V115" s="207">
        <f>SUMIFS('ноябрь 2023'!$G$4:$G$1127,'ноябрь 2023'!$D$4:$D$1127,$B115,'ноябрь 2023'!$J$4:$J$1127,V$1)</f>
        <v>0</v>
      </c>
      <c r="W115" s="207">
        <f>SUMIFS('ноябрь 2023'!$G$4:$G$1127,'ноябрь 2023'!$D$4:$D$1127,$B115,'ноябрь 2023'!$J$4:$J$1127,W$1)</f>
        <v>0</v>
      </c>
      <c r="X115" s="207">
        <f>SUMIFS('ноябрь 2023'!$G$4:$G$1127,'ноябрь 2023'!$D$4:$D$1127,$B115,'ноябрь 2023'!$J$4:$J$1127,X$1)</f>
        <v>0</v>
      </c>
      <c r="Y115" s="207">
        <f>SUMIFS('ноябрь 2023'!$G$4:$G$1127,'ноябрь 2023'!$D$4:$D$1127,$B115,'ноябрь 2023'!$J$4:$J$1127,Y$1)</f>
        <v>0</v>
      </c>
      <c r="Z115" s="207">
        <f>SUMIFS('ноябрь 2023'!$G$4:$G$1127,'ноябрь 2023'!$D$4:$D$1127,$B115,'ноябрь 2023'!$J$4:$J$1127,Z$1)</f>
        <v>0</v>
      </c>
      <c r="AA115" s="207">
        <f>SUMIFS('ноябрь 2023'!$G$4:$G$1127,'ноябрь 2023'!$D$4:$D$1127,$B115,'ноябрь 2023'!$J$4:$J$1127,AA$1)</f>
        <v>0</v>
      </c>
      <c r="AB115" s="207">
        <f>SUMIFS('ноябрь 2023'!$G$4:$G$1127,'ноябрь 2023'!$D$4:$D$1127,$B115,'ноябрь 2023'!$J$4:$J$1127,AB$1)</f>
        <v>0</v>
      </c>
      <c r="AC115" s="207">
        <f>SUMIFS('ноябрь 2023'!$G$4:$G$1127,'ноябрь 2023'!$D$4:$D$1127,$B115,'ноябрь 2023'!$J$4:$J$1127,AC$1)</f>
        <v>0</v>
      </c>
      <c r="AD115" s="207">
        <f>SUMIFS('ноябрь 2023'!$G$4:$G$1127,'ноябрь 2023'!$D$4:$D$1127,$B115,'ноябрь 2023'!$J$4:$J$1127,AD$1)</f>
        <v>0</v>
      </c>
      <c r="AE115" s="207">
        <f>SUMIFS('ноябрь 2023'!$G$4:$G$1127,'ноябрь 2023'!$D$4:$D$1127,$B115,'ноябрь 2023'!$J$4:$J$1127,AE$1)</f>
        <v>0</v>
      </c>
      <c r="AF115" s="207">
        <f>SUMIFS('ноябрь 2023'!$G$4:$G$1127,'ноябрь 2023'!$D$4:$D$1127,$B115,'ноябрь 2023'!$J$4:$J$1127,AF$1)</f>
        <v>0</v>
      </c>
      <c r="AG115" s="207">
        <f>SUMIFS('ноябрь 2023'!$G$4:$G$1127,'ноябрь 2023'!$D$4:$D$1127,$B115,'ноябрь 2023'!$J$4:$J$1127,AG$1)</f>
        <v>0</v>
      </c>
      <c r="AH115" s="207">
        <f>SUMIFS('ноябрь 2023'!$G$4:$G$1127,'ноябрь 2023'!$D$4:$D$1127,$B115,'ноябрь 2023'!$J$4:$J$1127,AH$1)</f>
        <v>0</v>
      </c>
      <c r="AI115" s="170">
        <f t="shared" si="2"/>
        <v>984</v>
      </c>
    </row>
    <row r="116" spans="2:35" ht="15" customHeight="1" x14ac:dyDescent="0.25">
      <c r="B116" s="212" t="s">
        <v>525</v>
      </c>
      <c r="C116" s="211">
        <v>25</v>
      </c>
      <c r="D116" s="207">
        <f>SUMIFS('ноябрь 2023'!$G$4:$G$1127,'ноябрь 2023'!$D$4:$D$1127,$B116,'ноябрь 2023'!$J$4:$J$1127,D$1)</f>
        <v>0</v>
      </c>
      <c r="E116" s="207">
        <f>SUMIFS('ноябрь 2023'!$G$4:$G$1127,'ноябрь 2023'!$D$4:$D$1127,$B116,'ноябрь 2023'!$J$4:$J$1127,E$1)</f>
        <v>0</v>
      </c>
      <c r="F116" s="207">
        <f>SUMIFS('ноябрь 2023'!$G$4:$G$1127,'ноябрь 2023'!$D$4:$D$1127,$B116,'ноябрь 2023'!$J$4:$J$1127,F$1)</f>
        <v>0</v>
      </c>
      <c r="G116" s="207">
        <f>SUMIFS('ноябрь 2023'!$G$4:$G$1127,'ноябрь 2023'!$D$4:$D$1127,$B116,'ноябрь 2023'!$J$4:$J$1127,G$1)</f>
        <v>0</v>
      </c>
      <c r="H116" s="207">
        <f>SUMIFS('ноябрь 2023'!$G$4:$G$1127,'ноябрь 2023'!$D$4:$D$1127,$B116,'ноябрь 2023'!$J$4:$J$1127,H$1)</f>
        <v>0</v>
      </c>
      <c r="I116" s="207">
        <f>SUMIFS('ноябрь 2023'!$G$4:$G$1127,'ноябрь 2023'!$D$4:$D$1127,$B116,'ноябрь 2023'!$J$4:$J$1127,I$1)</f>
        <v>0</v>
      </c>
      <c r="J116" s="207">
        <f>SUMIFS('ноябрь 2023'!$G$4:$G$1127,'ноябрь 2023'!$D$4:$D$1127,$B116,'ноябрь 2023'!$J$4:$J$1127,J$1)</f>
        <v>0</v>
      </c>
      <c r="K116" s="207">
        <f>SUMIFS('ноябрь 2023'!$G$4:$G$1127,'ноябрь 2023'!$D$4:$D$1127,$B116,'ноябрь 2023'!$J$4:$J$1127,K$1)</f>
        <v>0</v>
      </c>
      <c r="L116" s="207">
        <f>SUMIFS('ноябрь 2023'!$G$4:$G$1127,'ноябрь 2023'!$D$4:$D$1127,$B116,'ноябрь 2023'!$J$4:$J$1127,L$1)</f>
        <v>0</v>
      </c>
      <c r="M116" s="207">
        <f>SUMIFS('ноябрь 2023'!$G$4:$G$1127,'ноябрь 2023'!$D$4:$D$1127,$B116,'ноябрь 2023'!$J$4:$J$1127,M$1)</f>
        <v>0</v>
      </c>
      <c r="N116" s="207">
        <f>SUMIFS('ноябрь 2023'!$G$4:$G$1127,'ноябрь 2023'!$D$4:$D$1127,$B116,'ноябрь 2023'!$J$4:$J$1127,N$1)</f>
        <v>0</v>
      </c>
      <c r="O116" s="207">
        <f>SUMIFS('ноябрь 2023'!$G$4:$G$1127,'ноябрь 2023'!$D$4:$D$1127,$B116,'ноябрь 2023'!$J$4:$J$1127,O$1)</f>
        <v>0</v>
      </c>
      <c r="P116" s="207">
        <f>SUMIFS('ноябрь 2023'!$G$4:$G$1127,'ноябрь 2023'!$D$4:$D$1127,$B116,'ноябрь 2023'!$J$4:$J$1127,P$1)</f>
        <v>0</v>
      </c>
      <c r="Q116" s="207">
        <f>SUMIFS('ноябрь 2023'!$G$4:$G$1127,'ноябрь 2023'!$D$4:$D$1127,$B116,'ноябрь 2023'!$J$4:$J$1127,Q$1)</f>
        <v>0</v>
      </c>
      <c r="R116" s="207">
        <f>SUMIFS('ноябрь 2023'!$G$4:$G$1127,'ноябрь 2023'!$D$4:$D$1127,$B116,'ноябрь 2023'!$J$4:$J$1127,R$1)</f>
        <v>0</v>
      </c>
      <c r="S116" s="207">
        <f>SUMIFS('ноябрь 2023'!$G$4:$G$1127,'ноябрь 2023'!$D$4:$D$1127,$B116,'ноябрь 2023'!$J$4:$J$1127,S$1)</f>
        <v>0</v>
      </c>
      <c r="T116" s="207">
        <f>SUMIFS('ноябрь 2023'!$G$4:$G$1127,'ноябрь 2023'!$D$4:$D$1127,$B116,'ноябрь 2023'!$J$4:$J$1127,T$1)</f>
        <v>0</v>
      </c>
      <c r="U116" s="207">
        <f>SUMIFS('ноябрь 2023'!$G$4:$G$1127,'ноябрь 2023'!$D$4:$D$1127,$B116,'ноябрь 2023'!$J$4:$J$1127,U$1)</f>
        <v>0</v>
      </c>
      <c r="V116" s="207">
        <f>SUMIFS('ноябрь 2023'!$G$4:$G$1127,'ноябрь 2023'!$D$4:$D$1127,$B116,'ноябрь 2023'!$J$4:$J$1127,V$1)</f>
        <v>0</v>
      </c>
      <c r="W116" s="207">
        <f>SUMIFS('ноябрь 2023'!$G$4:$G$1127,'ноябрь 2023'!$D$4:$D$1127,$B116,'ноябрь 2023'!$J$4:$J$1127,W$1)</f>
        <v>0</v>
      </c>
      <c r="X116" s="207">
        <f>SUMIFS('ноябрь 2023'!$G$4:$G$1127,'ноябрь 2023'!$D$4:$D$1127,$B116,'ноябрь 2023'!$J$4:$J$1127,X$1)</f>
        <v>0</v>
      </c>
      <c r="Y116" s="207">
        <f>SUMIFS('ноябрь 2023'!$G$4:$G$1127,'ноябрь 2023'!$D$4:$D$1127,$B116,'ноябрь 2023'!$J$4:$J$1127,Y$1)</f>
        <v>0</v>
      </c>
      <c r="Z116" s="207">
        <f>SUMIFS('ноябрь 2023'!$G$4:$G$1127,'ноябрь 2023'!$D$4:$D$1127,$B116,'ноябрь 2023'!$J$4:$J$1127,Z$1)</f>
        <v>0</v>
      </c>
      <c r="AA116" s="207">
        <f>SUMIFS('ноябрь 2023'!$G$4:$G$1127,'ноябрь 2023'!$D$4:$D$1127,$B116,'ноябрь 2023'!$J$4:$J$1127,AA$1)</f>
        <v>0</v>
      </c>
      <c r="AB116" s="207">
        <f>SUMIFS('ноябрь 2023'!$G$4:$G$1127,'ноябрь 2023'!$D$4:$D$1127,$B116,'ноябрь 2023'!$J$4:$J$1127,AB$1)</f>
        <v>0</v>
      </c>
      <c r="AC116" s="207">
        <f>SUMIFS('ноябрь 2023'!$G$4:$G$1127,'ноябрь 2023'!$D$4:$D$1127,$B116,'ноябрь 2023'!$J$4:$J$1127,AC$1)</f>
        <v>0</v>
      </c>
      <c r="AD116" s="207">
        <f>SUMIFS('ноябрь 2023'!$G$4:$G$1127,'ноябрь 2023'!$D$4:$D$1127,$B116,'ноябрь 2023'!$J$4:$J$1127,AD$1)</f>
        <v>0</v>
      </c>
      <c r="AE116" s="207">
        <f>SUMIFS('ноябрь 2023'!$G$4:$G$1127,'ноябрь 2023'!$D$4:$D$1127,$B116,'ноябрь 2023'!$J$4:$J$1127,AE$1)</f>
        <v>0</v>
      </c>
      <c r="AF116" s="207">
        <f>SUMIFS('ноябрь 2023'!$G$4:$G$1127,'ноябрь 2023'!$D$4:$D$1127,$B116,'ноябрь 2023'!$J$4:$J$1127,AF$1)</f>
        <v>0</v>
      </c>
      <c r="AG116" s="207">
        <f>SUMIFS('ноябрь 2023'!$G$4:$G$1127,'ноябрь 2023'!$D$4:$D$1127,$B116,'ноябрь 2023'!$J$4:$J$1127,AG$1)</f>
        <v>0</v>
      </c>
      <c r="AH116" s="207">
        <f>SUMIFS('ноябрь 2023'!$G$4:$G$1127,'ноябрь 2023'!$D$4:$D$1127,$B116,'ноябрь 2023'!$J$4:$J$1127,AH$1)</f>
        <v>0</v>
      </c>
      <c r="AI116" s="170">
        <f t="shared" si="2"/>
        <v>0</v>
      </c>
    </row>
    <row r="117" spans="2:35" ht="15" customHeight="1" x14ac:dyDescent="0.25">
      <c r="B117" s="212" t="s">
        <v>1353</v>
      </c>
      <c r="C117" s="211">
        <v>25</v>
      </c>
      <c r="D117" s="207">
        <f>SUMIFS('ноябрь 2023'!$G$4:$G$1127,'ноябрь 2023'!$D$4:$D$1127,$B117,'ноябрь 2023'!$J$4:$J$1127,D$1)</f>
        <v>0</v>
      </c>
      <c r="E117" s="207">
        <f>SUMIFS('ноябрь 2023'!$G$4:$G$1127,'ноябрь 2023'!$D$4:$D$1127,$B117,'ноябрь 2023'!$J$4:$J$1127,E$1)</f>
        <v>0</v>
      </c>
      <c r="F117" s="207">
        <f>SUMIFS('ноябрь 2023'!$G$4:$G$1127,'ноябрь 2023'!$D$4:$D$1127,$B117,'ноябрь 2023'!$J$4:$J$1127,F$1)</f>
        <v>0</v>
      </c>
      <c r="G117" s="207">
        <f>SUMIFS('ноябрь 2023'!$G$4:$G$1127,'ноябрь 2023'!$D$4:$D$1127,$B117,'ноябрь 2023'!$J$4:$J$1127,G$1)</f>
        <v>0</v>
      </c>
      <c r="H117" s="207">
        <f>SUMIFS('ноябрь 2023'!$G$4:$G$1127,'ноябрь 2023'!$D$4:$D$1127,$B117,'ноябрь 2023'!$J$4:$J$1127,H$1)</f>
        <v>0</v>
      </c>
      <c r="I117" s="207">
        <f>SUMIFS('ноябрь 2023'!$G$4:$G$1127,'ноябрь 2023'!$D$4:$D$1127,$B117,'ноябрь 2023'!$J$4:$J$1127,I$1)</f>
        <v>0</v>
      </c>
      <c r="J117" s="207">
        <f>SUMIFS('ноябрь 2023'!$G$4:$G$1127,'ноябрь 2023'!$D$4:$D$1127,$B117,'ноябрь 2023'!$J$4:$J$1127,J$1)</f>
        <v>0</v>
      </c>
      <c r="K117" s="207">
        <f>SUMIFS('ноябрь 2023'!$G$4:$G$1127,'ноябрь 2023'!$D$4:$D$1127,$B117,'ноябрь 2023'!$J$4:$J$1127,K$1)</f>
        <v>0</v>
      </c>
      <c r="L117" s="207">
        <f>SUMIFS('ноябрь 2023'!$G$4:$G$1127,'ноябрь 2023'!$D$4:$D$1127,$B117,'ноябрь 2023'!$J$4:$J$1127,L$1)</f>
        <v>0</v>
      </c>
      <c r="M117" s="207">
        <f>SUMIFS('ноябрь 2023'!$G$4:$G$1127,'ноябрь 2023'!$D$4:$D$1127,$B117,'ноябрь 2023'!$J$4:$J$1127,M$1)</f>
        <v>0</v>
      </c>
      <c r="N117" s="207">
        <f>SUMIFS('ноябрь 2023'!$G$4:$G$1127,'ноябрь 2023'!$D$4:$D$1127,$B117,'ноябрь 2023'!$J$4:$J$1127,N$1)</f>
        <v>0</v>
      </c>
      <c r="O117" s="207">
        <f>SUMIFS('ноябрь 2023'!$G$4:$G$1127,'ноябрь 2023'!$D$4:$D$1127,$B117,'ноябрь 2023'!$J$4:$J$1127,O$1)</f>
        <v>0</v>
      </c>
      <c r="P117" s="207">
        <f>SUMIFS('ноябрь 2023'!$G$4:$G$1127,'ноябрь 2023'!$D$4:$D$1127,$B117,'ноябрь 2023'!$J$4:$J$1127,P$1)</f>
        <v>0</v>
      </c>
      <c r="Q117" s="207">
        <f>SUMIFS('ноябрь 2023'!$G$4:$G$1127,'ноябрь 2023'!$D$4:$D$1127,$B117,'ноябрь 2023'!$J$4:$J$1127,Q$1)</f>
        <v>0</v>
      </c>
      <c r="R117" s="207">
        <f>SUMIFS('ноябрь 2023'!$G$4:$G$1127,'ноябрь 2023'!$D$4:$D$1127,$B117,'ноябрь 2023'!$J$4:$J$1127,R$1)</f>
        <v>0</v>
      </c>
      <c r="S117" s="207">
        <f>SUMIFS('ноябрь 2023'!$G$4:$G$1127,'ноябрь 2023'!$D$4:$D$1127,$B117,'ноябрь 2023'!$J$4:$J$1127,S$1)</f>
        <v>0</v>
      </c>
      <c r="T117" s="207">
        <f>SUMIFS('ноябрь 2023'!$G$4:$G$1127,'ноябрь 2023'!$D$4:$D$1127,$B117,'ноябрь 2023'!$J$4:$J$1127,T$1)</f>
        <v>0</v>
      </c>
      <c r="U117" s="207">
        <f>SUMIFS('ноябрь 2023'!$G$4:$G$1127,'ноябрь 2023'!$D$4:$D$1127,$B117,'ноябрь 2023'!$J$4:$J$1127,U$1)</f>
        <v>0</v>
      </c>
      <c r="V117" s="207">
        <f>SUMIFS('ноябрь 2023'!$G$4:$G$1127,'ноябрь 2023'!$D$4:$D$1127,$B117,'ноябрь 2023'!$J$4:$J$1127,V$1)</f>
        <v>0</v>
      </c>
      <c r="W117" s="207">
        <f>SUMIFS('ноябрь 2023'!$G$4:$G$1127,'ноябрь 2023'!$D$4:$D$1127,$B117,'ноябрь 2023'!$J$4:$J$1127,W$1)</f>
        <v>0</v>
      </c>
      <c r="X117" s="207">
        <f>SUMIFS('ноябрь 2023'!$G$4:$G$1127,'ноябрь 2023'!$D$4:$D$1127,$B117,'ноябрь 2023'!$J$4:$J$1127,X$1)</f>
        <v>0</v>
      </c>
      <c r="Y117" s="207">
        <f>SUMIFS('ноябрь 2023'!$G$4:$G$1127,'ноябрь 2023'!$D$4:$D$1127,$B117,'ноябрь 2023'!$J$4:$J$1127,Y$1)</f>
        <v>0</v>
      </c>
      <c r="Z117" s="207">
        <f>SUMIFS('ноябрь 2023'!$G$4:$G$1127,'ноябрь 2023'!$D$4:$D$1127,$B117,'ноябрь 2023'!$J$4:$J$1127,Z$1)</f>
        <v>0</v>
      </c>
      <c r="AA117" s="207">
        <f>SUMIFS('ноябрь 2023'!$G$4:$G$1127,'ноябрь 2023'!$D$4:$D$1127,$B117,'ноябрь 2023'!$J$4:$J$1127,AA$1)</f>
        <v>0</v>
      </c>
      <c r="AB117" s="207">
        <f>SUMIFS('ноябрь 2023'!$G$4:$G$1127,'ноябрь 2023'!$D$4:$D$1127,$B117,'ноябрь 2023'!$J$4:$J$1127,AB$1)</f>
        <v>0</v>
      </c>
      <c r="AC117" s="207">
        <f>SUMIFS('ноябрь 2023'!$G$4:$G$1127,'ноябрь 2023'!$D$4:$D$1127,$B117,'ноябрь 2023'!$J$4:$J$1127,AC$1)</f>
        <v>0</v>
      </c>
      <c r="AD117" s="207">
        <f>SUMIFS('ноябрь 2023'!$G$4:$G$1127,'ноябрь 2023'!$D$4:$D$1127,$B117,'ноябрь 2023'!$J$4:$J$1127,AD$1)</f>
        <v>0</v>
      </c>
      <c r="AE117" s="207">
        <f>SUMIFS('ноябрь 2023'!$G$4:$G$1127,'ноябрь 2023'!$D$4:$D$1127,$B117,'ноябрь 2023'!$J$4:$J$1127,AE$1)</f>
        <v>0</v>
      </c>
      <c r="AF117" s="207">
        <f>SUMIFS('ноябрь 2023'!$G$4:$G$1127,'ноябрь 2023'!$D$4:$D$1127,$B117,'ноябрь 2023'!$J$4:$J$1127,AF$1)</f>
        <v>0</v>
      </c>
      <c r="AG117" s="207">
        <f>SUMIFS('ноябрь 2023'!$G$4:$G$1127,'ноябрь 2023'!$D$4:$D$1127,$B117,'ноябрь 2023'!$J$4:$J$1127,AG$1)</f>
        <v>0</v>
      </c>
      <c r="AH117" s="207">
        <f>SUMIFS('ноябрь 2023'!$G$4:$G$1127,'ноябрь 2023'!$D$4:$D$1127,$B117,'ноябрь 2023'!$J$4:$J$1127,AH$1)</f>
        <v>0</v>
      </c>
      <c r="AI117" s="170">
        <f t="shared" si="2"/>
        <v>0</v>
      </c>
    </row>
    <row r="118" spans="2:35" ht="15" customHeight="1" x14ac:dyDescent="0.25">
      <c r="B118" s="212"/>
      <c r="C118" s="211"/>
      <c r="D118" s="207">
        <f>SUMIFS('ноябрь 2023'!$G$76:$G$1127,'ноябрь 2023'!$D$76:$D$1127,$B118,'ноябрь 2023'!$J$76:$J$1127,D$1)</f>
        <v>0</v>
      </c>
      <c r="E118" s="207">
        <f>SUMIFS('ноябрь 2023'!$G$76:$G$1127,'ноябрь 2023'!$D$76:$D$1127,$B118,'ноябрь 2023'!$J$76:$J$1127,E$1)</f>
        <v>0</v>
      </c>
      <c r="F118" s="207">
        <f>SUMIFS('ноябрь 2023'!$G$76:$G$1127,'ноябрь 2023'!$D$76:$D$1127,$B118,'ноябрь 2023'!$J$76:$J$1127,F$1)</f>
        <v>0</v>
      </c>
      <c r="G118" s="207">
        <f>SUMIFS('ноябрь 2023'!$G$76:$G$1127,'ноябрь 2023'!$D$76:$D$1127,$B118,'ноябрь 2023'!$J$76:$J$1127,G$1)</f>
        <v>0</v>
      </c>
      <c r="H118" s="207">
        <f>SUMIFS('ноябрь 2023'!$G$76:$G$1127,'ноябрь 2023'!$D$76:$D$1127,$B118,'ноябрь 2023'!$J$76:$J$1127,H$1)</f>
        <v>0</v>
      </c>
      <c r="I118" s="207">
        <f>SUMIFS('ноябрь 2023'!$G$76:$G$1127,'ноябрь 2023'!$D$76:$D$1127,$B118,'ноябрь 2023'!$J$76:$J$1127,I$1)</f>
        <v>0</v>
      </c>
      <c r="J118" s="207">
        <f>SUMIFS('ноябрь 2023'!$G$76:$G$1127,'ноябрь 2023'!$D$76:$D$1127,$B118,'ноябрь 2023'!$J$76:$J$1127,J$1)</f>
        <v>0</v>
      </c>
      <c r="K118" s="207">
        <f>SUMIFS('ноябрь 2023'!$G$76:$G$1127,'ноябрь 2023'!$D$76:$D$1127,$B118,'ноябрь 2023'!$J$76:$J$1127,K$1)</f>
        <v>0</v>
      </c>
      <c r="L118" s="207">
        <f>SUMIFS('ноябрь 2023'!$G$76:$G$1127,'ноябрь 2023'!$D$76:$D$1127,$B118,'ноябрь 2023'!$J$76:$J$1127,L$1)</f>
        <v>0</v>
      </c>
      <c r="M118" s="207">
        <f>SUMIFS('ноябрь 2023'!$G$76:$G$1127,'ноябрь 2023'!$D$76:$D$1127,$B118,'ноябрь 2023'!$J$76:$J$1127,M$1)</f>
        <v>0</v>
      </c>
      <c r="N118" s="207">
        <f>SUMIFS('ноябрь 2023'!$G$76:$G$1127,'ноябрь 2023'!$D$76:$D$1127,$B118,'ноябрь 2023'!$J$76:$J$1127,N$1)</f>
        <v>0</v>
      </c>
      <c r="O118" s="207">
        <f>SUMIFS('ноябрь 2023'!$G$76:$G$1127,'ноябрь 2023'!$D$76:$D$1127,$B118,'ноябрь 2023'!$J$76:$J$1127,O$1)</f>
        <v>0</v>
      </c>
      <c r="P118" s="207">
        <f>SUMIFS('ноябрь 2023'!$G$76:$G$1127,'ноябрь 2023'!$D$76:$D$1127,$B118,'ноябрь 2023'!$J$76:$J$1127,P$1)</f>
        <v>0</v>
      </c>
      <c r="Q118" s="207">
        <f>SUMIFS('ноябрь 2023'!$G$76:$G$1127,'ноябрь 2023'!$D$76:$D$1127,$B118,'ноябрь 2023'!$J$76:$J$1127,Q$1)</f>
        <v>0</v>
      </c>
      <c r="R118" s="207">
        <f>SUMIFS('ноябрь 2023'!$G$76:$G$1127,'ноябрь 2023'!$D$76:$D$1127,$B118,'ноябрь 2023'!$J$76:$J$1127,R$1)</f>
        <v>0</v>
      </c>
      <c r="S118" s="207">
        <f>SUMIFS('ноябрь 2023'!$G$76:$G$1127,'ноябрь 2023'!$D$76:$D$1127,$B118,'ноябрь 2023'!$J$76:$J$1127,S$1)</f>
        <v>0</v>
      </c>
      <c r="T118" s="207">
        <f>SUMIFS('ноябрь 2023'!$G$76:$G$1127,'ноябрь 2023'!$D$76:$D$1127,$B118,'ноябрь 2023'!$J$76:$J$1127,T$1)</f>
        <v>0</v>
      </c>
      <c r="U118" s="207">
        <f>SUMIFS('ноябрь 2023'!$G$76:$G$1127,'ноябрь 2023'!$D$76:$D$1127,$B118,'ноябрь 2023'!$J$76:$J$1127,U$1)</f>
        <v>0</v>
      </c>
      <c r="V118" s="207">
        <f>SUMIFS('ноябрь 2023'!$G$76:$G$1127,'ноябрь 2023'!$D$76:$D$1127,$B118,'ноябрь 2023'!$J$76:$J$1127,V$1)</f>
        <v>0</v>
      </c>
      <c r="W118" s="207">
        <f>SUMIFS('ноябрь 2023'!$G$76:$G$1127,'ноябрь 2023'!$D$76:$D$1127,$B118,'ноябрь 2023'!$J$76:$J$1127,W$1)</f>
        <v>0</v>
      </c>
      <c r="X118" s="207">
        <f>SUMIFS('ноябрь 2023'!$G$76:$G$1127,'ноябрь 2023'!$D$76:$D$1127,$B118,'ноябрь 2023'!$J$76:$J$1127,X$1)</f>
        <v>0</v>
      </c>
      <c r="Y118" s="207">
        <f>SUMIFS('ноябрь 2023'!$G$76:$G$1127,'ноябрь 2023'!$D$76:$D$1127,$B118,'ноябрь 2023'!$J$76:$J$1127,Y$1)</f>
        <v>0</v>
      </c>
      <c r="Z118" s="207">
        <f>SUMIFS('ноябрь 2023'!$G$76:$G$1127,'ноябрь 2023'!$D$76:$D$1127,$B118,'ноябрь 2023'!$J$76:$J$1127,Z$1)</f>
        <v>0</v>
      </c>
      <c r="AA118" s="207">
        <f>SUMIFS('ноябрь 2023'!$G$76:$G$1127,'ноябрь 2023'!$D$76:$D$1127,$B118,'ноябрь 2023'!$J$76:$J$1127,AA$1)</f>
        <v>0</v>
      </c>
      <c r="AB118" s="207">
        <f>SUMIFS('ноябрь 2023'!$G$76:$G$1127,'ноябрь 2023'!$D$76:$D$1127,$B118,'ноябрь 2023'!$J$76:$J$1127,AB$1)</f>
        <v>0</v>
      </c>
      <c r="AC118" s="207">
        <f>SUMIFS('ноябрь 2023'!$G$76:$G$1127,'ноябрь 2023'!$D$76:$D$1127,$B118,'ноябрь 2023'!$J$76:$J$1127,AC$1)</f>
        <v>0</v>
      </c>
      <c r="AD118" s="207">
        <f>SUMIFS('ноябрь 2023'!$G$76:$G$1127,'ноябрь 2023'!$D$76:$D$1127,$B118,'ноябрь 2023'!$J$76:$J$1127,AD$1)</f>
        <v>0</v>
      </c>
      <c r="AE118" s="207">
        <f>SUMIFS('ноябрь 2023'!$G$76:$G$1127,'ноябрь 2023'!$D$76:$D$1127,$B118,'ноябрь 2023'!$J$76:$J$1127,AE$1)</f>
        <v>0</v>
      </c>
      <c r="AF118" s="207">
        <f>SUMIFS('ноябрь 2023'!$G$76:$G$1127,'ноябрь 2023'!$D$76:$D$1127,$B118,'ноябрь 2023'!$J$76:$J$1127,AF$1)</f>
        <v>0</v>
      </c>
      <c r="AG118" s="207">
        <f>SUMIFS('ноябрь 2023'!$G$76:$G$1127,'ноябрь 2023'!$D$76:$D$1127,$B118,'ноябрь 2023'!$J$76:$J$1127,AG$1)</f>
        <v>0</v>
      </c>
      <c r="AH118" s="207">
        <f>SUMIFS('ноябрь 2023'!$G$76:$G$1127,'ноябрь 2023'!$D$76:$D$1127,$B118,'ноябрь 2023'!$J$76:$J$1127,AH$1)</f>
        <v>0</v>
      </c>
      <c r="AI118" s="170">
        <f t="shared" si="2"/>
        <v>0</v>
      </c>
    </row>
    <row r="119" spans="2:35" ht="15" customHeight="1" x14ac:dyDescent="0.25">
      <c r="B119" s="212"/>
      <c r="C119" s="211"/>
      <c r="D119" s="207">
        <f>SUMIFS('ноябрь 2023'!$G$76:$G$1127,'ноябрь 2023'!$D$76:$D$1127,$B119,'ноябрь 2023'!$J$76:$J$1127,D$1)</f>
        <v>0</v>
      </c>
      <c r="E119" s="207">
        <f>SUMIFS('ноябрь 2023'!$G$76:$G$1127,'ноябрь 2023'!$D$76:$D$1127,$B119,'ноябрь 2023'!$J$76:$J$1127,E$1)</f>
        <v>0</v>
      </c>
      <c r="F119" s="207">
        <f>SUMIFS('ноябрь 2023'!$G$76:$G$1127,'ноябрь 2023'!$D$76:$D$1127,$B119,'ноябрь 2023'!$J$76:$J$1127,F$1)</f>
        <v>0</v>
      </c>
      <c r="G119" s="207">
        <f>SUMIFS('ноябрь 2023'!$G$76:$G$1127,'ноябрь 2023'!$D$76:$D$1127,$B119,'ноябрь 2023'!$J$76:$J$1127,G$1)</f>
        <v>0</v>
      </c>
      <c r="H119" s="207">
        <f>SUMIFS('ноябрь 2023'!$G$76:$G$1127,'ноябрь 2023'!$D$76:$D$1127,$B119,'ноябрь 2023'!$J$76:$J$1127,H$1)</f>
        <v>0</v>
      </c>
      <c r="I119" s="207">
        <f>SUMIFS('ноябрь 2023'!$G$76:$G$1127,'ноябрь 2023'!$D$76:$D$1127,$B119,'ноябрь 2023'!$J$76:$J$1127,I$1)</f>
        <v>0</v>
      </c>
      <c r="J119" s="207">
        <f>SUMIFS('ноябрь 2023'!$G$76:$G$1127,'ноябрь 2023'!$D$76:$D$1127,$B119,'ноябрь 2023'!$J$76:$J$1127,J$1)</f>
        <v>0</v>
      </c>
      <c r="K119" s="207">
        <f>SUMIFS('ноябрь 2023'!$G$76:$G$1127,'ноябрь 2023'!$D$76:$D$1127,$B119,'ноябрь 2023'!$J$76:$J$1127,K$1)</f>
        <v>0</v>
      </c>
      <c r="L119" s="207">
        <f>SUMIFS('ноябрь 2023'!$G$76:$G$1127,'ноябрь 2023'!$D$76:$D$1127,$B119,'ноябрь 2023'!$J$76:$J$1127,L$1)</f>
        <v>0</v>
      </c>
      <c r="M119" s="207">
        <f>SUMIFS('ноябрь 2023'!$G$76:$G$1127,'ноябрь 2023'!$D$76:$D$1127,$B119,'ноябрь 2023'!$J$76:$J$1127,M$1)</f>
        <v>0</v>
      </c>
      <c r="N119" s="207">
        <f>SUMIFS('ноябрь 2023'!$G$76:$G$1127,'ноябрь 2023'!$D$76:$D$1127,$B119,'ноябрь 2023'!$J$76:$J$1127,N$1)</f>
        <v>0</v>
      </c>
      <c r="O119" s="207">
        <f>SUMIFS('ноябрь 2023'!$G$76:$G$1127,'ноябрь 2023'!$D$76:$D$1127,$B119,'ноябрь 2023'!$J$76:$J$1127,O$1)</f>
        <v>0</v>
      </c>
      <c r="P119" s="207">
        <f>SUMIFS('ноябрь 2023'!$G$76:$G$1127,'ноябрь 2023'!$D$76:$D$1127,$B119,'ноябрь 2023'!$J$76:$J$1127,P$1)</f>
        <v>0</v>
      </c>
      <c r="Q119" s="207">
        <f>SUMIFS('ноябрь 2023'!$G$76:$G$1127,'ноябрь 2023'!$D$76:$D$1127,$B119,'ноябрь 2023'!$J$76:$J$1127,Q$1)</f>
        <v>0</v>
      </c>
      <c r="R119" s="207">
        <f>SUMIFS('ноябрь 2023'!$G$76:$G$1127,'ноябрь 2023'!$D$76:$D$1127,$B119,'ноябрь 2023'!$J$76:$J$1127,R$1)</f>
        <v>0</v>
      </c>
      <c r="S119" s="207">
        <f>SUMIFS('ноябрь 2023'!$G$76:$G$1127,'ноябрь 2023'!$D$76:$D$1127,$B119,'ноябрь 2023'!$J$76:$J$1127,S$1)</f>
        <v>0</v>
      </c>
      <c r="T119" s="207">
        <f>SUMIFS('ноябрь 2023'!$G$76:$G$1127,'ноябрь 2023'!$D$76:$D$1127,$B119,'ноябрь 2023'!$J$76:$J$1127,T$1)</f>
        <v>0</v>
      </c>
      <c r="U119" s="207">
        <f>SUMIFS('ноябрь 2023'!$G$76:$G$1127,'ноябрь 2023'!$D$76:$D$1127,$B119,'ноябрь 2023'!$J$76:$J$1127,U$1)</f>
        <v>0</v>
      </c>
      <c r="V119" s="207">
        <f>SUMIFS('ноябрь 2023'!$G$76:$G$1127,'ноябрь 2023'!$D$76:$D$1127,$B119,'ноябрь 2023'!$J$76:$J$1127,V$1)</f>
        <v>0</v>
      </c>
      <c r="W119" s="207">
        <f>SUMIFS('ноябрь 2023'!$G$76:$G$1127,'ноябрь 2023'!$D$76:$D$1127,$B119,'ноябрь 2023'!$J$76:$J$1127,W$1)</f>
        <v>0</v>
      </c>
      <c r="X119" s="207">
        <f>SUMIFS('ноябрь 2023'!$G$76:$G$1127,'ноябрь 2023'!$D$76:$D$1127,$B119,'ноябрь 2023'!$J$76:$J$1127,X$1)</f>
        <v>0</v>
      </c>
      <c r="Y119" s="207">
        <f>SUMIFS('ноябрь 2023'!$G$76:$G$1127,'ноябрь 2023'!$D$76:$D$1127,$B119,'ноябрь 2023'!$J$76:$J$1127,Y$1)</f>
        <v>0</v>
      </c>
      <c r="Z119" s="207">
        <f>SUMIFS('ноябрь 2023'!$G$76:$G$1127,'ноябрь 2023'!$D$76:$D$1127,$B119,'ноябрь 2023'!$J$76:$J$1127,Z$1)</f>
        <v>0</v>
      </c>
      <c r="AA119" s="207">
        <f>SUMIFS('ноябрь 2023'!$G$76:$G$1127,'ноябрь 2023'!$D$76:$D$1127,$B119,'ноябрь 2023'!$J$76:$J$1127,AA$1)</f>
        <v>0</v>
      </c>
      <c r="AB119" s="207">
        <f>SUMIFS('ноябрь 2023'!$G$76:$G$1127,'ноябрь 2023'!$D$76:$D$1127,$B119,'ноябрь 2023'!$J$76:$J$1127,AB$1)</f>
        <v>0</v>
      </c>
      <c r="AC119" s="207">
        <f>SUMIFS('ноябрь 2023'!$G$76:$G$1127,'ноябрь 2023'!$D$76:$D$1127,$B119,'ноябрь 2023'!$J$76:$J$1127,AC$1)</f>
        <v>0</v>
      </c>
      <c r="AD119" s="207">
        <f>SUMIFS('ноябрь 2023'!$G$76:$G$1127,'ноябрь 2023'!$D$76:$D$1127,$B119,'ноябрь 2023'!$J$76:$J$1127,AD$1)</f>
        <v>0</v>
      </c>
      <c r="AE119" s="207">
        <f>SUMIFS('ноябрь 2023'!$G$76:$G$1127,'ноябрь 2023'!$D$76:$D$1127,$B119,'ноябрь 2023'!$J$76:$J$1127,AE$1)</f>
        <v>0</v>
      </c>
      <c r="AF119" s="207">
        <f>SUMIFS('ноябрь 2023'!$G$76:$G$1127,'ноябрь 2023'!$D$76:$D$1127,$B119,'ноябрь 2023'!$J$76:$J$1127,AF$1)</f>
        <v>0</v>
      </c>
      <c r="AG119" s="207">
        <f>SUMIFS('ноябрь 2023'!$G$76:$G$1127,'ноябрь 2023'!$D$76:$D$1127,$B119,'ноябрь 2023'!$J$76:$J$1127,AG$1)</f>
        <v>0</v>
      </c>
      <c r="AH119" s="207">
        <f>SUMIFS('ноябрь 2023'!$G$76:$G$1127,'ноябрь 2023'!$D$76:$D$1127,$B119,'ноябрь 2023'!$J$76:$J$1127,AH$1)</f>
        <v>0</v>
      </c>
      <c r="AI119" s="170">
        <f t="shared" si="2"/>
        <v>0</v>
      </c>
    </row>
    <row r="120" spans="2:35" ht="15" customHeight="1" x14ac:dyDescent="0.25">
      <c r="B120" s="212"/>
      <c r="C120" s="213"/>
      <c r="D120" s="207">
        <f>SUMIFS('ноябрь 2023'!$G$76:$G$1127,'ноябрь 2023'!$D$76:$D$1127,$B120,'ноябрь 2023'!$J$76:$J$1127,D$1)</f>
        <v>0</v>
      </c>
      <c r="E120" s="207">
        <f>SUMIFS('ноябрь 2023'!$G$76:$G$1127,'ноябрь 2023'!$D$76:$D$1127,$B120,'ноябрь 2023'!$J$76:$J$1127,E$1)</f>
        <v>0</v>
      </c>
      <c r="F120" s="207">
        <f>SUMIFS('ноябрь 2023'!$G$76:$G$1127,'ноябрь 2023'!$D$76:$D$1127,$B120,'ноябрь 2023'!$J$76:$J$1127,F$1)</f>
        <v>0</v>
      </c>
      <c r="G120" s="207">
        <f>SUMIFS('ноябрь 2023'!$G$76:$G$1127,'ноябрь 2023'!$D$76:$D$1127,$B120,'ноябрь 2023'!$J$76:$J$1127,G$1)</f>
        <v>0</v>
      </c>
      <c r="H120" s="207">
        <f>SUMIFS('ноябрь 2023'!$G$76:$G$1127,'ноябрь 2023'!$D$76:$D$1127,$B120,'ноябрь 2023'!$J$76:$J$1127,H$1)</f>
        <v>0</v>
      </c>
      <c r="I120" s="207">
        <f>SUMIFS('ноябрь 2023'!$G$76:$G$1127,'ноябрь 2023'!$D$76:$D$1127,$B120,'ноябрь 2023'!$J$76:$J$1127,I$1)</f>
        <v>0</v>
      </c>
      <c r="J120" s="207">
        <f>SUMIFS('ноябрь 2023'!$G$76:$G$1127,'ноябрь 2023'!$D$76:$D$1127,$B120,'ноябрь 2023'!$J$76:$J$1127,J$1)</f>
        <v>0</v>
      </c>
      <c r="K120" s="207">
        <f>SUMIFS('ноябрь 2023'!$G$76:$G$1127,'ноябрь 2023'!$D$76:$D$1127,$B120,'ноябрь 2023'!$J$76:$J$1127,K$1)</f>
        <v>0</v>
      </c>
      <c r="L120" s="207">
        <f>SUMIFS('ноябрь 2023'!$G$76:$G$1127,'ноябрь 2023'!$D$76:$D$1127,$B120,'ноябрь 2023'!$J$76:$J$1127,L$1)</f>
        <v>0</v>
      </c>
      <c r="M120" s="207">
        <f>SUMIFS('ноябрь 2023'!$G$76:$G$1127,'ноябрь 2023'!$D$76:$D$1127,$B120,'ноябрь 2023'!$J$76:$J$1127,M$1)</f>
        <v>0</v>
      </c>
      <c r="N120" s="207">
        <f>SUMIFS('ноябрь 2023'!$G$76:$G$1127,'ноябрь 2023'!$D$76:$D$1127,$B120,'ноябрь 2023'!$J$76:$J$1127,N$1)</f>
        <v>0</v>
      </c>
      <c r="O120" s="207">
        <f>SUMIFS('ноябрь 2023'!$G$76:$G$1127,'ноябрь 2023'!$D$76:$D$1127,$B120,'ноябрь 2023'!$J$76:$J$1127,O$1)</f>
        <v>0</v>
      </c>
      <c r="P120" s="207">
        <f>SUMIFS('ноябрь 2023'!$G$76:$G$1127,'ноябрь 2023'!$D$76:$D$1127,$B120,'ноябрь 2023'!$J$76:$J$1127,P$1)</f>
        <v>0</v>
      </c>
      <c r="Q120" s="207">
        <f>SUMIFS('ноябрь 2023'!$G$76:$G$1127,'ноябрь 2023'!$D$76:$D$1127,$B120,'ноябрь 2023'!$J$76:$J$1127,Q$1)</f>
        <v>0</v>
      </c>
      <c r="R120" s="207">
        <f>SUMIFS('ноябрь 2023'!$G$76:$G$1127,'ноябрь 2023'!$D$76:$D$1127,$B120,'ноябрь 2023'!$J$76:$J$1127,R$1)</f>
        <v>0</v>
      </c>
      <c r="S120" s="207">
        <f>SUMIFS('ноябрь 2023'!$G$76:$G$1127,'ноябрь 2023'!$D$76:$D$1127,$B120,'ноябрь 2023'!$J$76:$J$1127,S$1)</f>
        <v>0</v>
      </c>
      <c r="T120" s="207">
        <f>SUMIFS('ноябрь 2023'!$G$76:$G$1127,'ноябрь 2023'!$D$76:$D$1127,$B120,'ноябрь 2023'!$J$76:$J$1127,T$1)</f>
        <v>0</v>
      </c>
      <c r="U120" s="207">
        <f>SUMIFS('ноябрь 2023'!$G$76:$G$1127,'ноябрь 2023'!$D$76:$D$1127,$B120,'ноябрь 2023'!$J$76:$J$1127,U$1)</f>
        <v>0</v>
      </c>
      <c r="V120" s="207">
        <f>SUMIFS('ноябрь 2023'!$G$76:$G$1127,'ноябрь 2023'!$D$76:$D$1127,$B120,'ноябрь 2023'!$J$76:$J$1127,V$1)</f>
        <v>0</v>
      </c>
      <c r="W120" s="207">
        <f>SUMIFS('ноябрь 2023'!$G$76:$G$1127,'ноябрь 2023'!$D$76:$D$1127,$B120,'ноябрь 2023'!$J$76:$J$1127,W$1)</f>
        <v>0</v>
      </c>
      <c r="X120" s="207">
        <f>SUMIFS('ноябрь 2023'!$G$76:$G$1127,'ноябрь 2023'!$D$76:$D$1127,$B120,'ноябрь 2023'!$J$76:$J$1127,X$1)</f>
        <v>0</v>
      </c>
      <c r="Y120" s="207">
        <f>SUMIFS('ноябрь 2023'!$G$76:$G$1127,'ноябрь 2023'!$D$76:$D$1127,$B120,'ноябрь 2023'!$J$76:$J$1127,Y$1)</f>
        <v>0</v>
      </c>
      <c r="Z120" s="207">
        <f>SUMIFS('ноябрь 2023'!$G$76:$G$1127,'ноябрь 2023'!$D$76:$D$1127,$B120,'ноябрь 2023'!$J$76:$J$1127,Z$1)</f>
        <v>0</v>
      </c>
      <c r="AA120" s="207">
        <f>SUMIFS('ноябрь 2023'!$G$76:$G$1127,'ноябрь 2023'!$D$76:$D$1127,$B120,'ноябрь 2023'!$J$76:$J$1127,AA$1)</f>
        <v>0</v>
      </c>
      <c r="AB120" s="207">
        <f>SUMIFS('ноябрь 2023'!$G$76:$G$1127,'ноябрь 2023'!$D$76:$D$1127,$B120,'ноябрь 2023'!$J$76:$J$1127,AB$1)</f>
        <v>0</v>
      </c>
      <c r="AC120" s="207">
        <f>SUMIFS('ноябрь 2023'!$G$76:$G$1127,'ноябрь 2023'!$D$76:$D$1127,$B120,'ноябрь 2023'!$J$76:$J$1127,AC$1)</f>
        <v>0</v>
      </c>
      <c r="AD120" s="207">
        <f>SUMIFS('ноябрь 2023'!$G$76:$G$1127,'ноябрь 2023'!$D$76:$D$1127,$B120,'ноябрь 2023'!$J$76:$J$1127,AD$1)</f>
        <v>0</v>
      </c>
      <c r="AE120" s="207">
        <f>SUMIFS('ноябрь 2023'!$G$76:$G$1127,'ноябрь 2023'!$D$76:$D$1127,$B120,'ноябрь 2023'!$J$76:$J$1127,AE$1)</f>
        <v>0</v>
      </c>
      <c r="AF120" s="207">
        <f>SUMIFS('ноябрь 2023'!$G$76:$G$1127,'ноябрь 2023'!$D$76:$D$1127,$B120,'ноябрь 2023'!$J$76:$J$1127,AF$1)</f>
        <v>0</v>
      </c>
      <c r="AG120" s="207">
        <f>SUMIFS('ноябрь 2023'!$G$76:$G$1127,'ноябрь 2023'!$D$76:$D$1127,$B120,'ноябрь 2023'!$J$76:$J$1127,AG$1)</f>
        <v>0</v>
      </c>
      <c r="AH120" s="207">
        <f>SUMIFS('ноябрь 2023'!$G$76:$G$1127,'ноябрь 2023'!$D$76:$D$1127,$B120,'ноябрь 2023'!$J$76:$J$1127,AH$1)</f>
        <v>0</v>
      </c>
      <c r="AI120" s="170">
        <f t="shared" si="2"/>
        <v>0</v>
      </c>
    </row>
    <row r="121" spans="2:35" ht="15" customHeight="1" x14ac:dyDescent="0.25">
      <c r="B121" s="216"/>
      <c r="C121" s="213"/>
      <c r="D121" s="207">
        <f>SUMIFS('ноябрь 2023'!$G$76:$G$1127,'ноябрь 2023'!$D$76:$D$1127,$B121,'ноябрь 2023'!$J$76:$J$1127,D$1)</f>
        <v>0</v>
      </c>
      <c r="E121" s="207">
        <f>SUMIFS('ноябрь 2023'!$G$76:$G$1127,'ноябрь 2023'!$D$76:$D$1127,$B121,'ноябрь 2023'!$J$76:$J$1127,E$1)</f>
        <v>0</v>
      </c>
      <c r="F121" s="207">
        <f>SUMIFS('ноябрь 2023'!$G$76:$G$1127,'ноябрь 2023'!$D$76:$D$1127,$B121,'ноябрь 2023'!$J$76:$J$1127,F$1)</f>
        <v>0</v>
      </c>
      <c r="G121" s="207">
        <f>SUMIFS('ноябрь 2023'!$G$76:$G$1127,'ноябрь 2023'!$D$76:$D$1127,$B121,'ноябрь 2023'!$J$76:$J$1127,G$1)</f>
        <v>0</v>
      </c>
      <c r="H121" s="207">
        <f>SUMIFS('ноябрь 2023'!$G$76:$G$1127,'ноябрь 2023'!$D$76:$D$1127,$B121,'ноябрь 2023'!$J$76:$J$1127,H$1)</f>
        <v>0</v>
      </c>
      <c r="I121" s="207">
        <f>SUMIFS('ноябрь 2023'!$G$76:$G$1127,'ноябрь 2023'!$D$76:$D$1127,$B121,'ноябрь 2023'!$J$76:$J$1127,I$1)</f>
        <v>0</v>
      </c>
      <c r="J121" s="207">
        <f>SUMIFS('ноябрь 2023'!$G$76:$G$1127,'ноябрь 2023'!$D$76:$D$1127,$B121,'ноябрь 2023'!$J$76:$J$1127,J$1)</f>
        <v>0</v>
      </c>
      <c r="K121" s="207">
        <f>SUMIFS('ноябрь 2023'!$G$76:$G$1127,'ноябрь 2023'!$D$76:$D$1127,$B121,'ноябрь 2023'!$J$76:$J$1127,K$1)</f>
        <v>0</v>
      </c>
      <c r="L121" s="207">
        <f>SUMIFS('ноябрь 2023'!$G$76:$G$1127,'ноябрь 2023'!$D$76:$D$1127,$B121,'ноябрь 2023'!$J$76:$J$1127,L$1)</f>
        <v>0</v>
      </c>
      <c r="M121" s="207">
        <f>SUMIFS('ноябрь 2023'!$G$76:$G$1127,'ноябрь 2023'!$D$76:$D$1127,$B121,'ноябрь 2023'!$J$76:$J$1127,M$1)</f>
        <v>0</v>
      </c>
      <c r="N121" s="207">
        <f>SUMIFS('ноябрь 2023'!$G$76:$G$1127,'ноябрь 2023'!$D$76:$D$1127,$B121,'ноябрь 2023'!$J$76:$J$1127,N$1)</f>
        <v>0</v>
      </c>
      <c r="O121" s="207">
        <f>SUMIFS('ноябрь 2023'!$G$76:$G$1127,'ноябрь 2023'!$D$76:$D$1127,$B121,'ноябрь 2023'!$J$76:$J$1127,O$1)</f>
        <v>0</v>
      </c>
      <c r="P121" s="207">
        <f>SUMIFS('ноябрь 2023'!$G$76:$G$1127,'ноябрь 2023'!$D$76:$D$1127,$B121,'ноябрь 2023'!$J$76:$J$1127,P$1)</f>
        <v>0</v>
      </c>
      <c r="Q121" s="207">
        <f>SUMIFS('ноябрь 2023'!$G$76:$G$1127,'ноябрь 2023'!$D$76:$D$1127,$B121,'ноябрь 2023'!$J$76:$J$1127,Q$1)</f>
        <v>0</v>
      </c>
      <c r="R121" s="207">
        <f>SUMIFS('ноябрь 2023'!$G$76:$G$1127,'ноябрь 2023'!$D$76:$D$1127,$B121,'ноябрь 2023'!$J$76:$J$1127,R$1)</f>
        <v>0</v>
      </c>
      <c r="S121" s="207">
        <f>SUMIFS('ноябрь 2023'!$G$76:$G$1127,'ноябрь 2023'!$D$76:$D$1127,$B121,'ноябрь 2023'!$J$76:$J$1127,S$1)</f>
        <v>0</v>
      </c>
      <c r="T121" s="207">
        <f>SUMIFS('ноябрь 2023'!$G$76:$G$1127,'ноябрь 2023'!$D$76:$D$1127,$B121,'ноябрь 2023'!$J$76:$J$1127,T$1)</f>
        <v>0</v>
      </c>
      <c r="U121" s="207">
        <f>SUMIFS('ноябрь 2023'!$G$76:$G$1127,'ноябрь 2023'!$D$76:$D$1127,$B121,'ноябрь 2023'!$J$76:$J$1127,U$1)</f>
        <v>0</v>
      </c>
      <c r="V121" s="207">
        <f>SUMIFS('ноябрь 2023'!$G$76:$G$1127,'ноябрь 2023'!$D$76:$D$1127,$B121,'ноябрь 2023'!$J$76:$J$1127,V$1)</f>
        <v>0</v>
      </c>
      <c r="W121" s="207">
        <f>SUMIFS('ноябрь 2023'!$G$76:$G$1127,'ноябрь 2023'!$D$76:$D$1127,$B121,'ноябрь 2023'!$J$76:$J$1127,W$1)</f>
        <v>0</v>
      </c>
      <c r="X121" s="207">
        <f>SUMIFS('ноябрь 2023'!$G$76:$G$1127,'ноябрь 2023'!$D$76:$D$1127,$B121,'ноябрь 2023'!$J$76:$J$1127,X$1)</f>
        <v>0</v>
      </c>
      <c r="Y121" s="207">
        <f>SUMIFS('ноябрь 2023'!$G$76:$G$1127,'ноябрь 2023'!$D$76:$D$1127,$B121,'ноябрь 2023'!$J$76:$J$1127,Y$1)</f>
        <v>0</v>
      </c>
      <c r="Z121" s="207">
        <f>SUMIFS('ноябрь 2023'!$G$76:$G$1127,'ноябрь 2023'!$D$76:$D$1127,$B121,'ноябрь 2023'!$J$76:$J$1127,Z$1)</f>
        <v>0</v>
      </c>
      <c r="AA121" s="207">
        <f>SUMIFS('ноябрь 2023'!$G$76:$G$1127,'ноябрь 2023'!$D$76:$D$1127,$B121,'ноябрь 2023'!$J$76:$J$1127,AA$1)</f>
        <v>0</v>
      </c>
      <c r="AB121" s="207">
        <f>SUMIFS('ноябрь 2023'!$G$76:$G$1127,'ноябрь 2023'!$D$76:$D$1127,$B121,'ноябрь 2023'!$J$76:$J$1127,AB$1)</f>
        <v>0</v>
      </c>
      <c r="AC121" s="207">
        <f>SUMIFS('ноябрь 2023'!$G$76:$G$1127,'ноябрь 2023'!$D$76:$D$1127,$B121,'ноябрь 2023'!$J$76:$J$1127,AC$1)</f>
        <v>0</v>
      </c>
      <c r="AD121" s="207">
        <f>SUMIFS('ноябрь 2023'!$G$76:$G$1127,'ноябрь 2023'!$D$76:$D$1127,$B121,'ноябрь 2023'!$J$76:$J$1127,AD$1)</f>
        <v>0</v>
      </c>
      <c r="AE121" s="207">
        <f>SUMIFS('ноябрь 2023'!$G$76:$G$1127,'ноябрь 2023'!$D$76:$D$1127,$B121,'ноябрь 2023'!$J$76:$J$1127,AE$1)</f>
        <v>0</v>
      </c>
      <c r="AF121" s="207">
        <f>SUMIFS('ноябрь 2023'!$G$76:$G$1127,'ноябрь 2023'!$D$76:$D$1127,$B121,'ноябрь 2023'!$J$76:$J$1127,AF$1)</f>
        <v>0</v>
      </c>
      <c r="AG121" s="207">
        <f>SUMIFS('ноябрь 2023'!$G$76:$G$1127,'ноябрь 2023'!$D$76:$D$1127,$B121,'ноябрь 2023'!$J$76:$J$1127,AG$1)</f>
        <v>0</v>
      </c>
      <c r="AH121" s="207">
        <f>SUMIFS('ноябрь 2023'!$G$76:$G$1127,'ноябрь 2023'!$D$76:$D$1127,$B121,'ноябрь 2023'!$J$76:$J$1127,AH$1)</f>
        <v>0</v>
      </c>
      <c r="AI121" s="170">
        <f t="shared" si="2"/>
        <v>0</v>
      </c>
    </row>
    <row r="122" spans="2:35" ht="15" customHeight="1" x14ac:dyDescent="0.25">
      <c r="B122" s="212"/>
      <c r="C122" s="211"/>
      <c r="D122" s="207">
        <f>SUMIFS('ноябрь 2023'!$G$76:$G$1127,'ноябрь 2023'!$D$76:$D$1127,$B122,'ноябрь 2023'!$J$76:$J$1127,D$1)</f>
        <v>0</v>
      </c>
      <c r="E122" s="207">
        <f>SUMIFS('ноябрь 2023'!$G$76:$G$1127,'ноябрь 2023'!$D$76:$D$1127,$B122,'ноябрь 2023'!$J$76:$J$1127,E$1)</f>
        <v>0</v>
      </c>
      <c r="F122" s="207">
        <f>SUMIFS('ноябрь 2023'!$G$76:$G$1127,'ноябрь 2023'!$D$76:$D$1127,$B122,'ноябрь 2023'!$J$76:$J$1127,F$1)</f>
        <v>0</v>
      </c>
      <c r="G122" s="207">
        <f>SUMIFS('ноябрь 2023'!$G$76:$G$1127,'ноябрь 2023'!$D$76:$D$1127,$B122,'ноябрь 2023'!$J$76:$J$1127,G$1)</f>
        <v>0</v>
      </c>
      <c r="H122" s="207">
        <f>SUMIFS('ноябрь 2023'!$G$76:$G$1127,'ноябрь 2023'!$D$76:$D$1127,$B122,'ноябрь 2023'!$J$76:$J$1127,H$1)</f>
        <v>0</v>
      </c>
      <c r="I122" s="207">
        <f>SUMIFS('ноябрь 2023'!$G$76:$G$1127,'ноябрь 2023'!$D$76:$D$1127,$B122,'ноябрь 2023'!$J$76:$J$1127,I$1)</f>
        <v>0</v>
      </c>
      <c r="J122" s="207">
        <f>SUMIFS('ноябрь 2023'!$G$76:$G$1127,'ноябрь 2023'!$D$76:$D$1127,$B122,'ноябрь 2023'!$J$76:$J$1127,J$1)</f>
        <v>0</v>
      </c>
      <c r="K122" s="207">
        <f>SUMIFS('ноябрь 2023'!$G$76:$G$1127,'ноябрь 2023'!$D$76:$D$1127,$B122,'ноябрь 2023'!$J$76:$J$1127,K$1)</f>
        <v>0</v>
      </c>
      <c r="L122" s="207">
        <f>SUMIFS('ноябрь 2023'!$G$76:$G$1127,'ноябрь 2023'!$D$76:$D$1127,$B122,'ноябрь 2023'!$J$76:$J$1127,L$1)</f>
        <v>0</v>
      </c>
      <c r="M122" s="207">
        <f>SUMIFS('ноябрь 2023'!$G$76:$G$1127,'ноябрь 2023'!$D$76:$D$1127,$B122,'ноябрь 2023'!$J$76:$J$1127,M$1)</f>
        <v>0</v>
      </c>
      <c r="N122" s="207">
        <f>SUMIFS('ноябрь 2023'!$G$76:$G$1127,'ноябрь 2023'!$D$76:$D$1127,$B122,'ноябрь 2023'!$J$76:$J$1127,N$1)</f>
        <v>0</v>
      </c>
      <c r="O122" s="207">
        <f>SUMIFS('ноябрь 2023'!$G$76:$G$1127,'ноябрь 2023'!$D$76:$D$1127,$B122,'ноябрь 2023'!$J$76:$J$1127,O$1)</f>
        <v>0</v>
      </c>
      <c r="P122" s="207">
        <f>SUMIFS('ноябрь 2023'!$G$76:$G$1127,'ноябрь 2023'!$D$76:$D$1127,$B122,'ноябрь 2023'!$J$76:$J$1127,P$1)</f>
        <v>0</v>
      </c>
      <c r="Q122" s="207">
        <f>SUMIFS('ноябрь 2023'!$G$76:$G$1127,'ноябрь 2023'!$D$76:$D$1127,$B122,'ноябрь 2023'!$J$76:$J$1127,Q$1)</f>
        <v>0</v>
      </c>
      <c r="R122" s="207">
        <f>SUMIFS('ноябрь 2023'!$G$76:$G$1127,'ноябрь 2023'!$D$76:$D$1127,$B122,'ноябрь 2023'!$J$76:$J$1127,R$1)</f>
        <v>0</v>
      </c>
      <c r="S122" s="207">
        <f>SUMIFS('ноябрь 2023'!$G$76:$G$1127,'ноябрь 2023'!$D$76:$D$1127,$B122,'ноябрь 2023'!$J$76:$J$1127,S$1)</f>
        <v>0</v>
      </c>
      <c r="T122" s="207">
        <f>SUMIFS('ноябрь 2023'!$G$76:$G$1127,'ноябрь 2023'!$D$76:$D$1127,$B122,'ноябрь 2023'!$J$76:$J$1127,T$1)</f>
        <v>0</v>
      </c>
      <c r="U122" s="207">
        <f>SUMIFS('ноябрь 2023'!$G$76:$G$1127,'ноябрь 2023'!$D$76:$D$1127,$B122,'ноябрь 2023'!$J$76:$J$1127,U$1)</f>
        <v>0</v>
      </c>
      <c r="V122" s="207">
        <f>SUMIFS('ноябрь 2023'!$G$76:$G$1127,'ноябрь 2023'!$D$76:$D$1127,$B122,'ноябрь 2023'!$J$76:$J$1127,V$1)</f>
        <v>0</v>
      </c>
      <c r="W122" s="207">
        <f>SUMIFS('ноябрь 2023'!$G$76:$G$1127,'ноябрь 2023'!$D$76:$D$1127,$B122,'ноябрь 2023'!$J$76:$J$1127,W$1)</f>
        <v>0</v>
      </c>
      <c r="X122" s="207">
        <f>SUMIFS('ноябрь 2023'!$G$76:$G$1127,'ноябрь 2023'!$D$76:$D$1127,$B122,'ноябрь 2023'!$J$76:$J$1127,X$1)</f>
        <v>0</v>
      </c>
      <c r="Y122" s="207">
        <f>SUMIFS('ноябрь 2023'!$G$76:$G$1127,'ноябрь 2023'!$D$76:$D$1127,$B122,'ноябрь 2023'!$J$76:$J$1127,Y$1)</f>
        <v>0</v>
      </c>
      <c r="Z122" s="207">
        <f>SUMIFS('ноябрь 2023'!$G$76:$G$1127,'ноябрь 2023'!$D$76:$D$1127,$B122,'ноябрь 2023'!$J$76:$J$1127,Z$1)</f>
        <v>0</v>
      </c>
      <c r="AA122" s="207">
        <f>SUMIFS('ноябрь 2023'!$G$76:$G$1127,'ноябрь 2023'!$D$76:$D$1127,$B122,'ноябрь 2023'!$J$76:$J$1127,AA$1)</f>
        <v>0</v>
      </c>
      <c r="AB122" s="207">
        <f>SUMIFS('ноябрь 2023'!$G$76:$G$1127,'ноябрь 2023'!$D$76:$D$1127,$B122,'ноябрь 2023'!$J$76:$J$1127,AB$1)</f>
        <v>0</v>
      </c>
      <c r="AC122" s="207">
        <f>SUMIFS('ноябрь 2023'!$G$76:$G$1127,'ноябрь 2023'!$D$76:$D$1127,$B122,'ноябрь 2023'!$J$76:$J$1127,AC$1)</f>
        <v>0</v>
      </c>
      <c r="AD122" s="207">
        <f>SUMIFS('ноябрь 2023'!$G$76:$G$1127,'ноябрь 2023'!$D$76:$D$1127,$B122,'ноябрь 2023'!$J$76:$J$1127,AD$1)</f>
        <v>0</v>
      </c>
      <c r="AE122" s="207">
        <f>SUMIFS('ноябрь 2023'!$G$76:$G$1127,'ноябрь 2023'!$D$76:$D$1127,$B122,'ноябрь 2023'!$J$76:$J$1127,AE$1)</f>
        <v>0</v>
      </c>
      <c r="AF122" s="207">
        <f>SUMIFS('ноябрь 2023'!$G$76:$G$1127,'ноябрь 2023'!$D$76:$D$1127,$B122,'ноябрь 2023'!$J$76:$J$1127,AF$1)</f>
        <v>0</v>
      </c>
      <c r="AG122" s="207">
        <f>SUMIFS('ноябрь 2023'!$G$76:$G$1127,'ноябрь 2023'!$D$76:$D$1127,$B122,'ноябрь 2023'!$J$76:$J$1127,AG$1)</f>
        <v>0</v>
      </c>
      <c r="AH122" s="207">
        <f>SUMIFS('ноябрь 2023'!$G$76:$G$1127,'ноябрь 2023'!$D$76:$D$1127,$B122,'ноябрь 2023'!$J$76:$J$1127,AH$1)</f>
        <v>0</v>
      </c>
      <c r="AI122" s="170">
        <f t="shared" si="2"/>
        <v>0</v>
      </c>
    </row>
    <row r="123" spans="2:35" ht="15" customHeight="1" x14ac:dyDescent="0.25">
      <c r="B123" s="212"/>
      <c r="C123" s="211"/>
      <c r="D123" s="207">
        <f>SUMIFS('ноябрь 2023'!$G$76:$G$1127,'ноябрь 2023'!$D$76:$D$1127,$B123,'ноябрь 2023'!$J$76:$J$1127,D$1)</f>
        <v>0</v>
      </c>
      <c r="E123" s="207">
        <f>SUMIFS('ноябрь 2023'!$G$76:$G$1127,'ноябрь 2023'!$D$76:$D$1127,$B123,'ноябрь 2023'!$J$76:$J$1127,E$1)</f>
        <v>0</v>
      </c>
      <c r="F123" s="207">
        <f>SUMIFS('ноябрь 2023'!$G$76:$G$1127,'ноябрь 2023'!$D$76:$D$1127,$B123,'ноябрь 2023'!$J$76:$J$1127,F$1)</f>
        <v>0</v>
      </c>
      <c r="G123" s="207">
        <f>SUMIFS('ноябрь 2023'!$G$76:$G$1127,'ноябрь 2023'!$D$76:$D$1127,$B123,'ноябрь 2023'!$J$76:$J$1127,G$1)</f>
        <v>0</v>
      </c>
      <c r="H123" s="207">
        <f>SUMIFS('ноябрь 2023'!$G$76:$G$1127,'ноябрь 2023'!$D$76:$D$1127,$B123,'ноябрь 2023'!$J$76:$J$1127,H$1)</f>
        <v>0</v>
      </c>
      <c r="I123" s="207">
        <f>SUMIFS('ноябрь 2023'!$G$76:$G$1127,'ноябрь 2023'!$D$76:$D$1127,$B123,'ноябрь 2023'!$J$76:$J$1127,I$1)</f>
        <v>0</v>
      </c>
      <c r="J123" s="207">
        <f>SUMIFS('ноябрь 2023'!$G$76:$G$1127,'ноябрь 2023'!$D$76:$D$1127,$B123,'ноябрь 2023'!$J$76:$J$1127,J$1)</f>
        <v>0</v>
      </c>
      <c r="K123" s="207">
        <f>SUMIFS('ноябрь 2023'!$G$76:$G$1127,'ноябрь 2023'!$D$76:$D$1127,$B123,'ноябрь 2023'!$J$76:$J$1127,K$1)</f>
        <v>0</v>
      </c>
      <c r="L123" s="207">
        <f>SUMIFS('ноябрь 2023'!$G$76:$G$1127,'ноябрь 2023'!$D$76:$D$1127,$B123,'ноябрь 2023'!$J$76:$J$1127,L$1)</f>
        <v>0</v>
      </c>
      <c r="M123" s="207">
        <f>SUMIFS('ноябрь 2023'!$G$76:$G$1127,'ноябрь 2023'!$D$76:$D$1127,$B123,'ноябрь 2023'!$J$76:$J$1127,M$1)</f>
        <v>0</v>
      </c>
      <c r="N123" s="207">
        <f>SUMIFS('ноябрь 2023'!$G$76:$G$1127,'ноябрь 2023'!$D$76:$D$1127,$B123,'ноябрь 2023'!$J$76:$J$1127,N$1)</f>
        <v>0</v>
      </c>
      <c r="O123" s="207">
        <f>SUMIFS('ноябрь 2023'!$G$76:$G$1127,'ноябрь 2023'!$D$76:$D$1127,$B123,'ноябрь 2023'!$J$76:$J$1127,O$1)</f>
        <v>0</v>
      </c>
      <c r="P123" s="207">
        <f>SUMIFS('ноябрь 2023'!$G$76:$G$1127,'ноябрь 2023'!$D$76:$D$1127,$B123,'ноябрь 2023'!$J$76:$J$1127,P$1)</f>
        <v>0</v>
      </c>
      <c r="Q123" s="207">
        <f>SUMIFS('ноябрь 2023'!$G$76:$G$1127,'ноябрь 2023'!$D$76:$D$1127,$B123,'ноябрь 2023'!$J$76:$J$1127,Q$1)</f>
        <v>0</v>
      </c>
      <c r="R123" s="207">
        <f>SUMIFS('ноябрь 2023'!$G$76:$G$1127,'ноябрь 2023'!$D$76:$D$1127,$B123,'ноябрь 2023'!$J$76:$J$1127,R$1)</f>
        <v>0</v>
      </c>
      <c r="S123" s="207">
        <f>SUMIFS('ноябрь 2023'!$G$76:$G$1127,'ноябрь 2023'!$D$76:$D$1127,$B123,'ноябрь 2023'!$J$76:$J$1127,S$1)</f>
        <v>0</v>
      </c>
      <c r="T123" s="207">
        <f>SUMIFS('ноябрь 2023'!$G$76:$G$1127,'ноябрь 2023'!$D$76:$D$1127,$B123,'ноябрь 2023'!$J$76:$J$1127,T$1)</f>
        <v>0</v>
      </c>
      <c r="U123" s="207">
        <f>SUMIFS('ноябрь 2023'!$G$76:$G$1127,'ноябрь 2023'!$D$76:$D$1127,$B123,'ноябрь 2023'!$J$76:$J$1127,U$1)</f>
        <v>0</v>
      </c>
      <c r="V123" s="207">
        <f>SUMIFS('ноябрь 2023'!$G$76:$G$1127,'ноябрь 2023'!$D$76:$D$1127,$B123,'ноябрь 2023'!$J$76:$J$1127,V$1)</f>
        <v>0</v>
      </c>
      <c r="W123" s="207">
        <f>SUMIFS('ноябрь 2023'!$G$76:$G$1127,'ноябрь 2023'!$D$76:$D$1127,$B123,'ноябрь 2023'!$J$76:$J$1127,W$1)</f>
        <v>0</v>
      </c>
      <c r="X123" s="207">
        <f>SUMIFS('ноябрь 2023'!$G$76:$G$1127,'ноябрь 2023'!$D$76:$D$1127,$B123,'ноябрь 2023'!$J$76:$J$1127,X$1)</f>
        <v>0</v>
      </c>
      <c r="Y123" s="207">
        <f>SUMIFS('ноябрь 2023'!$G$76:$G$1127,'ноябрь 2023'!$D$76:$D$1127,$B123,'ноябрь 2023'!$J$76:$J$1127,Y$1)</f>
        <v>0</v>
      </c>
      <c r="Z123" s="207">
        <f>SUMIFS('ноябрь 2023'!$G$76:$G$1127,'ноябрь 2023'!$D$76:$D$1127,$B123,'ноябрь 2023'!$J$76:$J$1127,Z$1)</f>
        <v>0</v>
      </c>
      <c r="AA123" s="207">
        <f>SUMIFS('ноябрь 2023'!$G$76:$G$1127,'ноябрь 2023'!$D$76:$D$1127,$B123,'ноябрь 2023'!$J$76:$J$1127,AA$1)</f>
        <v>0</v>
      </c>
      <c r="AB123" s="207">
        <f>SUMIFS('ноябрь 2023'!$G$76:$G$1127,'ноябрь 2023'!$D$76:$D$1127,$B123,'ноябрь 2023'!$J$76:$J$1127,AB$1)</f>
        <v>0</v>
      </c>
      <c r="AC123" s="207">
        <f>SUMIFS('ноябрь 2023'!$G$76:$G$1127,'ноябрь 2023'!$D$76:$D$1127,$B123,'ноябрь 2023'!$J$76:$J$1127,AC$1)</f>
        <v>0</v>
      </c>
      <c r="AD123" s="207">
        <f>SUMIFS('ноябрь 2023'!$G$76:$G$1127,'ноябрь 2023'!$D$76:$D$1127,$B123,'ноябрь 2023'!$J$76:$J$1127,AD$1)</f>
        <v>0</v>
      </c>
      <c r="AE123" s="207">
        <f>SUMIFS('ноябрь 2023'!$G$76:$G$1127,'ноябрь 2023'!$D$76:$D$1127,$B123,'ноябрь 2023'!$J$76:$J$1127,AE$1)</f>
        <v>0</v>
      </c>
      <c r="AF123" s="207">
        <f>SUMIFS('ноябрь 2023'!$G$76:$G$1127,'ноябрь 2023'!$D$76:$D$1127,$B123,'ноябрь 2023'!$J$76:$J$1127,AF$1)</f>
        <v>0</v>
      </c>
      <c r="AG123" s="207">
        <f>SUMIFS('ноябрь 2023'!$G$76:$G$1127,'ноябрь 2023'!$D$76:$D$1127,$B123,'ноябрь 2023'!$J$76:$J$1127,AG$1)</f>
        <v>0</v>
      </c>
      <c r="AH123" s="207">
        <f>SUMIFS('ноябрь 2023'!$G$76:$G$1127,'ноябрь 2023'!$D$76:$D$1127,$B123,'ноябрь 2023'!$J$76:$J$1127,AH$1)</f>
        <v>0</v>
      </c>
      <c r="AI123" s="170">
        <f t="shared" si="2"/>
        <v>0</v>
      </c>
    </row>
    <row r="124" spans="2:35" ht="15" customHeight="1" x14ac:dyDescent="0.25">
      <c r="B124" s="212"/>
      <c r="C124" s="211"/>
      <c r="D124" s="207">
        <f>SUMIFS('ноябрь 2023'!$G$76:$G$1127,'ноябрь 2023'!$D$76:$D$1127,$B124,'ноябрь 2023'!$J$76:$J$1127,D$1)</f>
        <v>0</v>
      </c>
      <c r="E124" s="207">
        <f>SUMIFS('ноябрь 2023'!$G$76:$G$1127,'ноябрь 2023'!$D$76:$D$1127,$B124,'ноябрь 2023'!$J$76:$J$1127,E$1)</f>
        <v>0</v>
      </c>
      <c r="F124" s="207">
        <f>SUMIFS('ноябрь 2023'!$G$76:$G$1127,'ноябрь 2023'!$D$76:$D$1127,$B124,'ноябрь 2023'!$J$76:$J$1127,F$1)</f>
        <v>0</v>
      </c>
      <c r="G124" s="207">
        <f>SUMIFS('ноябрь 2023'!$G$76:$G$1127,'ноябрь 2023'!$D$76:$D$1127,$B124,'ноябрь 2023'!$J$76:$J$1127,G$1)</f>
        <v>0</v>
      </c>
      <c r="H124" s="207">
        <f>SUMIFS('ноябрь 2023'!$G$76:$G$1127,'ноябрь 2023'!$D$76:$D$1127,$B124,'ноябрь 2023'!$J$76:$J$1127,H$1)</f>
        <v>0</v>
      </c>
      <c r="I124" s="207">
        <f>SUMIFS('ноябрь 2023'!$G$76:$G$1127,'ноябрь 2023'!$D$76:$D$1127,$B124,'ноябрь 2023'!$J$76:$J$1127,I$1)</f>
        <v>0</v>
      </c>
      <c r="J124" s="207">
        <f>SUMIFS('ноябрь 2023'!$G$76:$G$1127,'ноябрь 2023'!$D$76:$D$1127,$B124,'ноябрь 2023'!$J$76:$J$1127,J$1)</f>
        <v>0</v>
      </c>
      <c r="K124" s="207">
        <f>SUMIFS('ноябрь 2023'!$G$76:$G$1127,'ноябрь 2023'!$D$76:$D$1127,$B124,'ноябрь 2023'!$J$76:$J$1127,K$1)</f>
        <v>0</v>
      </c>
      <c r="L124" s="207">
        <f>SUMIFS('ноябрь 2023'!$G$76:$G$1127,'ноябрь 2023'!$D$76:$D$1127,$B124,'ноябрь 2023'!$J$76:$J$1127,L$1)</f>
        <v>0</v>
      </c>
      <c r="M124" s="207">
        <f>SUMIFS('ноябрь 2023'!$G$76:$G$1127,'ноябрь 2023'!$D$76:$D$1127,$B124,'ноябрь 2023'!$J$76:$J$1127,M$1)</f>
        <v>0</v>
      </c>
      <c r="N124" s="207">
        <f>SUMIFS('ноябрь 2023'!$G$76:$G$1127,'ноябрь 2023'!$D$76:$D$1127,$B124,'ноябрь 2023'!$J$76:$J$1127,N$1)</f>
        <v>0</v>
      </c>
      <c r="O124" s="207">
        <f>SUMIFS('ноябрь 2023'!$G$76:$G$1127,'ноябрь 2023'!$D$76:$D$1127,$B124,'ноябрь 2023'!$J$76:$J$1127,O$1)</f>
        <v>0</v>
      </c>
      <c r="P124" s="207">
        <f>SUMIFS('ноябрь 2023'!$G$76:$G$1127,'ноябрь 2023'!$D$76:$D$1127,$B124,'ноябрь 2023'!$J$76:$J$1127,P$1)</f>
        <v>0</v>
      </c>
      <c r="Q124" s="207">
        <f>SUMIFS('ноябрь 2023'!$G$76:$G$1127,'ноябрь 2023'!$D$76:$D$1127,$B124,'ноябрь 2023'!$J$76:$J$1127,Q$1)</f>
        <v>0</v>
      </c>
      <c r="R124" s="207">
        <f>SUMIFS('ноябрь 2023'!$G$76:$G$1127,'ноябрь 2023'!$D$76:$D$1127,$B124,'ноябрь 2023'!$J$76:$J$1127,R$1)</f>
        <v>0</v>
      </c>
      <c r="S124" s="207">
        <f>SUMIFS('ноябрь 2023'!$G$76:$G$1127,'ноябрь 2023'!$D$76:$D$1127,$B124,'ноябрь 2023'!$J$76:$J$1127,S$1)</f>
        <v>0</v>
      </c>
      <c r="T124" s="207">
        <f>SUMIFS('ноябрь 2023'!$G$76:$G$1127,'ноябрь 2023'!$D$76:$D$1127,$B124,'ноябрь 2023'!$J$76:$J$1127,T$1)</f>
        <v>0</v>
      </c>
      <c r="U124" s="207">
        <f>SUMIFS('ноябрь 2023'!$G$76:$G$1127,'ноябрь 2023'!$D$76:$D$1127,$B124,'ноябрь 2023'!$J$76:$J$1127,U$1)</f>
        <v>0</v>
      </c>
      <c r="V124" s="207">
        <f>SUMIFS('ноябрь 2023'!$G$76:$G$1127,'ноябрь 2023'!$D$76:$D$1127,$B124,'ноябрь 2023'!$J$76:$J$1127,V$1)</f>
        <v>0</v>
      </c>
      <c r="W124" s="207">
        <f>SUMIFS('ноябрь 2023'!$G$76:$G$1127,'ноябрь 2023'!$D$76:$D$1127,$B124,'ноябрь 2023'!$J$76:$J$1127,W$1)</f>
        <v>0</v>
      </c>
      <c r="X124" s="207">
        <f>SUMIFS('ноябрь 2023'!$G$76:$G$1127,'ноябрь 2023'!$D$76:$D$1127,$B124,'ноябрь 2023'!$J$76:$J$1127,X$1)</f>
        <v>0</v>
      </c>
      <c r="Y124" s="207">
        <f>SUMIFS('ноябрь 2023'!$G$76:$G$1127,'ноябрь 2023'!$D$76:$D$1127,$B124,'ноябрь 2023'!$J$76:$J$1127,Y$1)</f>
        <v>0</v>
      </c>
      <c r="Z124" s="207">
        <f>SUMIFS('ноябрь 2023'!$G$76:$G$1127,'ноябрь 2023'!$D$76:$D$1127,$B124,'ноябрь 2023'!$J$76:$J$1127,Z$1)</f>
        <v>0</v>
      </c>
      <c r="AA124" s="207">
        <f>SUMIFS('ноябрь 2023'!$G$76:$G$1127,'ноябрь 2023'!$D$76:$D$1127,$B124,'ноябрь 2023'!$J$76:$J$1127,AA$1)</f>
        <v>0</v>
      </c>
      <c r="AB124" s="207">
        <f>SUMIFS('ноябрь 2023'!$G$76:$G$1127,'ноябрь 2023'!$D$76:$D$1127,$B124,'ноябрь 2023'!$J$76:$J$1127,AB$1)</f>
        <v>0</v>
      </c>
      <c r="AC124" s="207">
        <f>SUMIFS('ноябрь 2023'!$G$76:$G$1127,'ноябрь 2023'!$D$76:$D$1127,$B124,'ноябрь 2023'!$J$76:$J$1127,AC$1)</f>
        <v>0</v>
      </c>
      <c r="AD124" s="207">
        <f>SUMIFS('ноябрь 2023'!$G$76:$G$1127,'ноябрь 2023'!$D$76:$D$1127,$B124,'ноябрь 2023'!$J$76:$J$1127,AD$1)</f>
        <v>0</v>
      </c>
      <c r="AE124" s="207">
        <f>SUMIFS('ноябрь 2023'!$G$76:$G$1127,'ноябрь 2023'!$D$76:$D$1127,$B124,'ноябрь 2023'!$J$76:$J$1127,AE$1)</f>
        <v>0</v>
      </c>
      <c r="AF124" s="207">
        <f>SUMIFS('ноябрь 2023'!$G$76:$G$1127,'ноябрь 2023'!$D$76:$D$1127,$B124,'ноябрь 2023'!$J$76:$J$1127,AF$1)</f>
        <v>0</v>
      </c>
      <c r="AG124" s="207">
        <f>SUMIFS('ноябрь 2023'!$G$76:$G$1127,'ноябрь 2023'!$D$76:$D$1127,$B124,'ноябрь 2023'!$J$76:$J$1127,AG$1)</f>
        <v>0</v>
      </c>
      <c r="AH124" s="207">
        <f>SUMIFS('ноябрь 2023'!$G$76:$G$1127,'ноябрь 2023'!$D$76:$D$1127,$B124,'ноябрь 2023'!$J$76:$J$1127,AH$1)</f>
        <v>0</v>
      </c>
      <c r="AI124" s="170">
        <f t="shared" si="2"/>
        <v>0</v>
      </c>
    </row>
    <row r="125" spans="2:35" ht="15" hidden="1" customHeight="1" x14ac:dyDescent="0.25">
      <c r="B125" s="212"/>
      <c r="C125" s="211"/>
      <c r="D125" s="207">
        <f>SUMIFS('ноябрь 2023'!$G$76:$G$1127,'ноябрь 2023'!$D$76:$D$1127,$B125,'ноябрь 2023'!$J$76:$J$1127,D$1)</f>
        <v>0</v>
      </c>
      <c r="E125" s="207">
        <f>SUMIFS('ноябрь 2023'!$G$76:$G$1127,'ноябрь 2023'!$D$76:$D$1127,$B125,'ноябрь 2023'!$J$76:$J$1127,E$1)</f>
        <v>0</v>
      </c>
      <c r="F125" s="207">
        <f>SUMIFS('ноябрь 2023'!$G$76:$G$1127,'ноябрь 2023'!$D$76:$D$1127,$B125,'ноябрь 2023'!$J$76:$J$1127,F$1)</f>
        <v>0</v>
      </c>
      <c r="G125" s="207">
        <f>SUMIFS('ноябрь 2023'!$G$76:$G$1127,'ноябрь 2023'!$D$76:$D$1127,$B125,'ноябрь 2023'!$J$76:$J$1127,G$1)</f>
        <v>0</v>
      </c>
      <c r="H125" s="207">
        <f>SUMIFS('ноябрь 2023'!$G$76:$G$1127,'ноябрь 2023'!$D$76:$D$1127,$B125,'ноябрь 2023'!$J$76:$J$1127,H$1)</f>
        <v>0</v>
      </c>
      <c r="I125" s="207">
        <f>SUMIFS('ноябрь 2023'!$G$76:$G$1127,'ноябрь 2023'!$D$76:$D$1127,$B125,'ноябрь 2023'!$J$76:$J$1127,I$1)</f>
        <v>0</v>
      </c>
      <c r="J125" s="207">
        <f>SUMIFS('ноябрь 2023'!$G$76:$G$1127,'ноябрь 2023'!$D$76:$D$1127,$B125,'ноябрь 2023'!$J$76:$J$1127,J$1)</f>
        <v>0</v>
      </c>
      <c r="K125" s="207">
        <f>SUMIFS('ноябрь 2023'!$G$76:$G$1127,'ноябрь 2023'!$D$76:$D$1127,$B125,'ноябрь 2023'!$J$76:$J$1127,K$1)</f>
        <v>0</v>
      </c>
      <c r="L125" s="207">
        <f>SUMIFS('ноябрь 2023'!$G$76:$G$1127,'ноябрь 2023'!$D$76:$D$1127,$B125,'ноябрь 2023'!$J$76:$J$1127,L$1)</f>
        <v>0</v>
      </c>
      <c r="M125" s="207">
        <f>SUMIFS('ноябрь 2023'!$G$76:$G$1127,'ноябрь 2023'!$D$76:$D$1127,$B125,'ноябрь 2023'!$J$76:$J$1127,M$1)</f>
        <v>0</v>
      </c>
      <c r="N125" s="207">
        <f>SUMIFS('ноябрь 2023'!$G$76:$G$1127,'ноябрь 2023'!$D$76:$D$1127,$B125,'ноябрь 2023'!$J$76:$J$1127,N$1)</f>
        <v>0</v>
      </c>
      <c r="O125" s="207">
        <f>SUMIFS('ноябрь 2023'!$G$76:$G$1127,'ноябрь 2023'!$D$76:$D$1127,$B125,'ноябрь 2023'!$J$76:$J$1127,O$1)</f>
        <v>0</v>
      </c>
      <c r="P125" s="207">
        <f>SUMIFS('ноябрь 2023'!$G$76:$G$1127,'ноябрь 2023'!$D$76:$D$1127,$B125,'ноябрь 2023'!$J$76:$J$1127,P$1)</f>
        <v>0</v>
      </c>
      <c r="Q125" s="207">
        <f>SUMIFS('ноябрь 2023'!$G$76:$G$1127,'ноябрь 2023'!$D$76:$D$1127,$B125,'ноябрь 2023'!$J$76:$J$1127,Q$1)</f>
        <v>0</v>
      </c>
      <c r="R125" s="207">
        <f>SUMIFS('ноябрь 2023'!$G$76:$G$1127,'ноябрь 2023'!$D$76:$D$1127,$B125,'ноябрь 2023'!$J$76:$J$1127,R$1)</f>
        <v>0</v>
      </c>
      <c r="S125" s="207">
        <f>SUMIFS('ноябрь 2023'!$G$76:$G$1127,'ноябрь 2023'!$D$76:$D$1127,$B125,'ноябрь 2023'!$J$76:$J$1127,S$1)</f>
        <v>0</v>
      </c>
      <c r="T125" s="207">
        <f>SUMIFS('ноябрь 2023'!$G$76:$G$1127,'ноябрь 2023'!$D$76:$D$1127,$B125,'ноябрь 2023'!$J$76:$J$1127,T$1)</f>
        <v>0</v>
      </c>
      <c r="U125" s="207">
        <f>SUMIFS('ноябрь 2023'!$G$76:$G$1127,'ноябрь 2023'!$D$76:$D$1127,$B125,'ноябрь 2023'!$J$76:$J$1127,U$1)</f>
        <v>0</v>
      </c>
      <c r="V125" s="207">
        <f>SUMIFS('ноябрь 2023'!$G$76:$G$1127,'ноябрь 2023'!$D$76:$D$1127,$B125,'ноябрь 2023'!$J$76:$J$1127,V$1)</f>
        <v>0</v>
      </c>
      <c r="W125" s="207">
        <f>SUMIFS('ноябрь 2023'!$G$76:$G$1127,'ноябрь 2023'!$D$76:$D$1127,$B125,'ноябрь 2023'!$J$76:$J$1127,W$1)</f>
        <v>0</v>
      </c>
      <c r="X125" s="207">
        <f>SUMIFS('ноябрь 2023'!$G$76:$G$1127,'ноябрь 2023'!$D$76:$D$1127,$B125,'ноябрь 2023'!$J$76:$J$1127,X$1)</f>
        <v>0</v>
      </c>
      <c r="Y125" s="207">
        <f>SUMIFS('ноябрь 2023'!$G$76:$G$1127,'ноябрь 2023'!$D$76:$D$1127,$B125,'ноябрь 2023'!$J$76:$J$1127,Y$1)</f>
        <v>0</v>
      </c>
      <c r="Z125" s="207">
        <f>SUMIFS('ноябрь 2023'!$G$76:$G$1127,'ноябрь 2023'!$D$76:$D$1127,$B125,'ноябрь 2023'!$J$76:$J$1127,Z$1)</f>
        <v>0</v>
      </c>
      <c r="AA125" s="207">
        <f>SUMIFS('ноябрь 2023'!$G$76:$G$1127,'ноябрь 2023'!$D$76:$D$1127,$B125,'ноябрь 2023'!$J$76:$J$1127,AA$1)</f>
        <v>0</v>
      </c>
      <c r="AB125" s="207">
        <f>SUMIFS('ноябрь 2023'!$G$76:$G$1127,'ноябрь 2023'!$D$76:$D$1127,$B125,'ноябрь 2023'!$J$76:$J$1127,AB$1)</f>
        <v>0</v>
      </c>
      <c r="AC125" s="207">
        <f>SUMIFS('ноябрь 2023'!$G$76:$G$1127,'ноябрь 2023'!$D$76:$D$1127,$B125,'ноябрь 2023'!$J$76:$J$1127,AC$1)</f>
        <v>0</v>
      </c>
      <c r="AD125" s="207">
        <f>SUMIFS('ноябрь 2023'!$G$76:$G$1127,'ноябрь 2023'!$D$76:$D$1127,$B125,'ноябрь 2023'!$J$76:$J$1127,AD$1)</f>
        <v>0</v>
      </c>
      <c r="AE125" s="207">
        <f>SUMIFS('ноябрь 2023'!$G$76:$G$1127,'ноябрь 2023'!$D$76:$D$1127,$B125,'ноябрь 2023'!$J$76:$J$1127,AE$1)</f>
        <v>0</v>
      </c>
      <c r="AF125" s="207">
        <f>SUMIFS('ноябрь 2023'!$G$76:$G$1127,'ноябрь 2023'!$D$76:$D$1127,$B125,'ноябрь 2023'!$J$76:$J$1127,AF$1)</f>
        <v>0</v>
      </c>
      <c r="AG125" s="207">
        <f>SUMIFS('ноябрь 2023'!$G$76:$G$1127,'ноябрь 2023'!$D$76:$D$1127,$B125,'ноябрь 2023'!$J$76:$J$1127,AG$1)</f>
        <v>0</v>
      </c>
      <c r="AH125" s="207">
        <f>SUMIFS('ноябрь 2023'!$G$76:$G$1127,'ноябрь 2023'!$D$76:$D$1127,$B125,'ноябрь 2023'!$J$76:$J$1127,AH$1)</f>
        <v>0</v>
      </c>
      <c r="AI125" s="220">
        <f t="shared" si="2"/>
        <v>0</v>
      </c>
    </row>
    <row r="126" spans="2:35" ht="15" hidden="1" customHeight="1" x14ac:dyDescent="0.25">
      <c r="B126" s="212"/>
      <c r="C126" s="211"/>
      <c r="D126" s="207">
        <f>SUMIFS('ноябрь 2023'!$G$76:$G$1127,'ноябрь 2023'!$D$76:$D$1127,$B126,'ноябрь 2023'!$J$76:$J$1127,D$1)</f>
        <v>0</v>
      </c>
      <c r="E126" s="207">
        <f>SUMIFS('ноябрь 2023'!$G$76:$G$1127,'ноябрь 2023'!$D$76:$D$1127,$B126,'ноябрь 2023'!$J$76:$J$1127,E$1)</f>
        <v>0</v>
      </c>
      <c r="F126" s="207">
        <f>SUMIFS('ноябрь 2023'!$G$76:$G$1127,'ноябрь 2023'!$D$76:$D$1127,$B126,'ноябрь 2023'!$J$76:$J$1127,F$1)</f>
        <v>0</v>
      </c>
      <c r="G126" s="207">
        <f>SUMIFS('ноябрь 2023'!$G$76:$G$1127,'ноябрь 2023'!$D$76:$D$1127,$B126,'ноябрь 2023'!$J$76:$J$1127,G$1)</f>
        <v>0</v>
      </c>
      <c r="H126" s="207">
        <f>SUMIFS('ноябрь 2023'!$G$76:$G$1127,'ноябрь 2023'!$D$76:$D$1127,$B126,'ноябрь 2023'!$J$76:$J$1127,H$1)</f>
        <v>0</v>
      </c>
      <c r="I126" s="207">
        <f>SUMIFS('ноябрь 2023'!$G$76:$G$1127,'ноябрь 2023'!$D$76:$D$1127,$B126,'ноябрь 2023'!$J$76:$J$1127,I$1)</f>
        <v>0</v>
      </c>
      <c r="J126" s="207">
        <f>SUMIFS('ноябрь 2023'!$G$76:$G$1127,'ноябрь 2023'!$D$76:$D$1127,$B126,'ноябрь 2023'!$J$76:$J$1127,J$1)</f>
        <v>0</v>
      </c>
      <c r="K126" s="207">
        <f>SUMIFS('ноябрь 2023'!$G$76:$G$1127,'ноябрь 2023'!$D$76:$D$1127,$B126,'ноябрь 2023'!$J$76:$J$1127,K$1)</f>
        <v>0</v>
      </c>
      <c r="L126" s="207">
        <f>SUMIFS('ноябрь 2023'!$G$76:$G$1127,'ноябрь 2023'!$D$76:$D$1127,$B126,'ноябрь 2023'!$J$76:$J$1127,L$1)</f>
        <v>0</v>
      </c>
      <c r="M126" s="207">
        <f>SUMIFS('ноябрь 2023'!$G$76:$G$1127,'ноябрь 2023'!$D$76:$D$1127,$B126,'ноябрь 2023'!$J$76:$J$1127,M$1)</f>
        <v>0</v>
      </c>
      <c r="N126" s="207">
        <f>SUMIFS('ноябрь 2023'!$G$76:$G$1127,'ноябрь 2023'!$D$76:$D$1127,$B126,'ноябрь 2023'!$J$76:$J$1127,N$1)</f>
        <v>0</v>
      </c>
      <c r="O126" s="207">
        <f>SUMIFS('ноябрь 2023'!$G$76:$G$1127,'ноябрь 2023'!$D$76:$D$1127,$B126,'ноябрь 2023'!$J$76:$J$1127,O$1)</f>
        <v>0</v>
      </c>
      <c r="P126" s="207">
        <f>SUMIFS('ноябрь 2023'!$G$76:$G$1127,'ноябрь 2023'!$D$76:$D$1127,$B126,'ноябрь 2023'!$J$76:$J$1127,P$1)</f>
        <v>0</v>
      </c>
      <c r="Q126" s="207">
        <f>SUMIFS('ноябрь 2023'!$G$76:$G$1127,'ноябрь 2023'!$D$76:$D$1127,$B126,'ноябрь 2023'!$J$76:$J$1127,Q$1)</f>
        <v>0</v>
      </c>
      <c r="R126" s="207">
        <f>SUMIFS('ноябрь 2023'!$G$76:$G$1127,'ноябрь 2023'!$D$76:$D$1127,$B126,'ноябрь 2023'!$J$76:$J$1127,R$1)</f>
        <v>0</v>
      </c>
      <c r="S126" s="207">
        <f>SUMIFS('ноябрь 2023'!$G$76:$G$1127,'ноябрь 2023'!$D$76:$D$1127,$B126,'ноябрь 2023'!$J$76:$J$1127,S$1)</f>
        <v>0</v>
      </c>
      <c r="T126" s="207">
        <f>SUMIFS('ноябрь 2023'!$G$76:$G$1127,'ноябрь 2023'!$D$76:$D$1127,$B126,'ноябрь 2023'!$J$76:$J$1127,T$1)</f>
        <v>0</v>
      </c>
      <c r="U126" s="207">
        <f>SUMIFS('ноябрь 2023'!$G$76:$G$1127,'ноябрь 2023'!$D$76:$D$1127,$B126,'ноябрь 2023'!$J$76:$J$1127,U$1)</f>
        <v>0</v>
      </c>
      <c r="V126" s="207">
        <f>SUMIFS('ноябрь 2023'!$G$76:$G$1127,'ноябрь 2023'!$D$76:$D$1127,$B126,'ноябрь 2023'!$J$76:$J$1127,V$1)</f>
        <v>0</v>
      </c>
      <c r="W126" s="207">
        <f>SUMIFS('ноябрь 2023'!$G$76:$G$1127,'ноябрь 2023'!$D$76:$D$1127,$B126,'ноябрь 2023'!$J$76:$J$1127,W$1)</f>
        <v>0</v>
      </c>
      <c r="X126" s="207">
        <f>SUMIFS('ноябрь 2023'!$G$76:$G$1127,'ноябрь 2023'!$D$76:$D$1127,$B126,'ноябрь 2023'!$J$76:$J$1127,X$1)</f>
        <v>0</v>
      </c>
      <c r="Y126" s="207">
        <f>SUMIFS('ноябрь 2023'!$G$76:$G$1127,'ноябрь 2023'!$D$76:$D$1127,$B126,'ноябрь 2023'!$J$76:$J$1127,Y$1)</f>
        <v>0</v>
      </c>
      <c r="Z126" s="207">
        <f>SUMIFS('ноябрь 2023'!$G$76:$G$1127,'ноябрь 2023'!$D$76:$D$1127,$B126,'ноябрь 2023'!$J$76:$J$1127,Z$1)</f>
        <v>0</v>
      </c>
      <c r="AA126" s="207">
        <f>SUMIFS('ноябрь 2023'!$G$76:$G$1127,'ноябрь 2023'!$D$76:$D$1127,$B126,'ноябрь 2023'!$J$76:$J$1127,AA$1)</f>
        <v>0</v>
      </c>
      <c r="AB126" s="207">
        <f>SUMIFS('ноябрь 2023'!$G$76:$G$1127,'ноябрь 2023'!$D$76:$D$1127,$B126,'ноябрь 2023'!$J$76:$J$1127,AB$1)</f>
        <v>0</v>
      </c>
      <c r="AC126" s="207">
        <f>SUMIFS('ноябрь 2023'!$G$76:$G$1127,'ноябрь 2023'!$D$76:$D$1127,$B126,'ноябрь 2023'!$J$76:$J$1127,AC$1)</f>
        <v>0</v>
      </c>
      <c r="AD126" s="207">
        <f>SUMIFS('ноябрь 2023'!$G$76:$G$1127,'ноябрь 2023'!$D$76:$D$1127,$B126,'ноябрь 2023'!$J$76:$J$1127,AD$1)</f>
        <v>0</v>
      </c>
      <c r="AE126" s="207">
        <f>SUMIFS('ноябрь 2023'!$G$76:$G$1127,'ноябрь 2023'!$D$76:$D$1127,$B126,'ноябрь 2023'!$J$76:$J$1127,AE$1)</f>
        <v>0</v>
      </c>
      <c r="AF126" s="207">
        <f>SUMIFS('ноябрь 2023'!$G$76:$G$1127,'ноябрь 2023'!$D$76:$D$1127,$B126,'ноябрь 2023'!$J$76:$J$1127,AF$1)</f>
        <v>0</v>
      </c>
      <c r="AG126" s="207">
        <f>SUMIFS('ноябрь 2023'!$G$76:$G$1127,'ноябрь 2023'!$D$76:$D$1127,$B126,'ноябрь 2023'!$J$76:$J$1127,AG$1)</f>
        <v>0</v>
      </c>
      <c r="AH126" s="207">
        <f>SUMIFS('ноябрь 2023'!$G$76:$G$1127,'ноябрь 2023'!$D$76:$D$1127,$B126,'ноябрь 2023'!$J$76:$J$1127,AH$1)</f>
        <v>0</v>
      </c>
      <c r="AI126" s="220">
        <f t="shared" si="2"/>
        <v>0</v>
      </c>
    </row>
    <row r="127" spans="2:35" ht="15" hidden="1" customHeight="1" x14ac:dyDescent="0.25">
      <c r="B127" s="212"/>
      <c r="C127" s="211"/>
      <c r="D127" s="207">
        <f>SUMIFS('ноябрь 2023'!$G$76:$G$1127,'ноябрь 2023'!$D$76:$D$1127,$B127,'ноябрь 2023'!$J$76:$J$1127,D$1)</f>
        <v>0</v>
      </c>
      <c r="E127" s="207">
        <f>SUMIFS('ноябрь 2023'!$G$76:$G$1127,'ноябрь 2023'!$D$76:$D$1127,$B127,'ноябрь 2023'!$J$76:$J$1127,E$1)</f>
        <v>0</v>
      </c>
      <c r="F127" s="207">
        <f>SUMIFS('ноябрь 2023'!$G$76:$G$1127,'ноябрь 2023'!$D$76:$D$1127,$B127,'ноябрь 2023'!$J$76:$J$1127,F$1)</f>
        <v>0</v>
      </c>
      <c r="G127" s="207">
        <f>SUMIFS('ноябрь 2023'!$G$76:$G$1127,'ноябрь 2023'!$D$76:$D$1127,$B127,'ноябрь 2023'!$J$76:$J$1127,G$1)</f>
        <v>0</v>
      </c>
      <c r="H127" s="207">
        <f>SUMIFS('ноябрь 2023'!$G$76:$G$1127,'ноябрь 2023'!$D$76:$D$1127,$B127,'ноябрь 2023'!$J$76:$J$1127,H$1)</f>
        <v>0</v>
      </c>
      <c r="I127" s="207">
        <f>SUMIFS('ноябрь 2023'!$G$76:$G$1127,'ноябрь 2023'!$D$76:$D$1127,$B127,'ноябрь 2023'!$J$76:$J$1127,I$1)</f>
        <v>0</v>
      </c>
      <c r="J127" s="207">
        <f>SUMIFS('ноябрь 2023'!$G$76:$G$1127,'ноябрь 2023'!$D$76:$D$1127,$B127,'ноябрь 2023'!$J$76:$J$1127,J$1)</f>
        <v>0</v>
      </c>
      <c r="K127" s="207">
        <f>SUMIFS('ноябрь 2023'!$G$76:$G$1127,'ноябрь 2023'!$D$76:$D$1127,$B127,'ноябрь 2023'!$J$76:$J$1127,K$1)</f>
        <v>0</v>
      </c>
      <c r="L127" s="207">
        <f>SUMIFS('ноябрь 2023'!$G$76:$G$1127,'ноябрь 2023'!$D$76:$D$1127,$B127,'ноябрь 2023'!$J$76:$J$1127,L$1)</f>
        <v>0</v>
      </c>
      <c r="M127" s="207">
        <f>SUMIFS('ноябрь 2023'!$G$76:$G$1127,'ноябрь 2023'!$D$76:$D$1127,$B127,'ноябрь 2023'!$J$76:$J$1127,M$1)</f>
        <v>0</v>
      </c>
      <c r="N127" s="207">
        <f>SUMIFS('ноябрь 2023'!$G$76:$G$1127,'ноябрь 2023'!$D$76:$D$1127,$B127,'ноябрь 2023'!$J$76:$J$1127,N$1)</f>
        <v>0</v>
      </c>
      <c r="O127" s="207">
        <f>SUMIFS('ноябрь 2023'!$G$76:$G$1127,'ноябрь 2023'!$D$76:$D$1127,$B127,'ноябрь 2023'!$J$76:$J$1127,O$1)</f>
        <v>0</v>
      </c>
      <c r="P127" s="207">
        <f>SUMIFS('ноябрь 2023'!$G$76:$G$1127,'ноябрь 2023'!$D$76:$D$1127,$B127,'ноябрь 2023'!$J$76:$J$1127,P$1)</f>
        <v>0</v>
      </c>
      <c r="Q127" s="207">
        <f>SUMIFS('ноябрь 2023'!$G$76:$G$1127,'ноябрь 2023'!$D$76:$D$1127,$B127,'ноябрь 2023'!$J$76:$J$1127,Q$1)</f>
        <v>0</v>
      </c>
      <c r="R127" s="207">
        <f>SUMIFS('ноябрь 2023'!$G$76:$G$1127,'ноябрь 2023'!$D$76:$D$1127,$B127,'ноябрь 2023'!$J$76:$J$1127,R$1)</f>
        <v>0</v>
      </c>
      <c r="S127" s="207">
        <f>SUMIFS('ноябрь 2023'!$G$76:$G$1127,'ноябрь 2023'!$D$76:$D$1127,$B127,'ноябрь 2023'!$J$76:$J$1127,S$1)</f>
        <v>0</v>
      </c>
      <c r="T127" s="207">
        <f>SUMIFS('ноябрь 2023'!$G$76:$G$1127,'ноябрь 2023'!$D$76:$D$1127,$B127,'ноябрь 2023'!$J$76:$J$1127,T$1)</f>
        <v>0</v>
      </c>
      <c r="U127" s="207">
        <f>SUMIFS('ноябрь 2023'!$G$76:$G$1127,'ноябрь 2023'!$D$76:$D$1127,$B127,'ноябрь 2023'!$J$76:$J$1127,U$1)</f>
        <v>0</v>
      </c>
      <c r="V127" s="207">
        <f>SUMIFS('ноябрь 2023'!$G$76:$G$1127,'ноябрь 2023'!$D$76:$D$1127,$B127,'ноябрь 2023'!$J$76:$J$1127,V$1)</f>
        <v>0</v>
      </c>
      <c r="W127" s="207">
        <f>SUMIFS('ноябрь 2023'!$G$76:$G$1127,'ноябрь 2023'!$D$76:$D$1127,$B127,'ноябрь 2023'!$J$76:$J$1127,W$1)</f>
        <v>0</v>
      </c>
      <c r="X127" s="207">
        <f>SUMIFS('ноябрь 2023'!$G$76:$G$1127,'ноябрь 2023'!$D$76:$D$1127,$B127,'ноябрь 2023'!$J$76:$J$1127,X$1)</f>
        <v>0</v>
      </c>
      <c r="Y127" s="207">
        <f>SUMIFS('ноябрь 2023'!$G$76:$G$1127,'ноябрь 2023'!$D$76:$D$1127,$B127,'ноябрь 2023'!$J$76:$J$1127,Y$1)</f>
        <v>0</v>
      </c>
      <c r="Z127" s="207">
        <f>SUMIFS('ноябрь 2023'!$G$76:$G$1127,'ноябрь 2023'!$D$76:$D$1127,$B127,'ноябрь 2023'!$J$76:$J$1127,Z$1)</f>
        <v>0</v>
      </c>
      <c r="AA127" s="207">
        <f>SUMIFS('ноябрь 2023'!$G$76:$G$1127,'ноябрь 2023'!$D$76:$D$1127,$B127,'ноябрь 2023'!$J$76:$J$1127,AA$1)</f>
        <v>0</v>
      </c>
      <c r="AB127" s="207">
        <f>SUMIFS('ноябрь 2023'!$G$76:$G$1127,'ноябрь 2023'!$D$76:$D$1127,$B127,'ноябрь 2023'!$J$76:$J$1127,AB$1)</f>
        <v>0</v>
      </c>
      <c r="AC127" s="207">
        <f>SUMIFS('ноябрь 2023'!$G$76:$G$1127,'ноябрь 2023'!$D$76:$D$1127,$B127,'ноябрь 2023'!$J$76:$J$1127,AC$1)</f>
        <v>0</v>
      </c>
      <c r="AD127" s="207">
        <f>SUMIFS('ноябрь 2023'!$G$76:$G$1127,'ноябрь 2023'!$D$76:$D$1127,$B127,'ноябрь 2023'!$J$76:$J$1127,AD$1)</f>
        <v>0</v>
      </c>
      <c r="AE127" s="207">
        <f>SUMIFS('ноябрь 2023'!$G$76:$G$1127,'ноябрь 2023'!$D$76:$D$1127,$B127,'ноябрь 2023'!$J$76:$J$1127,AE$1)</f>
        <v>0</v>
      </c>
      <c r="AF127" s="207">
        <f>SUMIFS('ноябрь 2023'!$G$76:$G$1127,'ноябрь 2023'!$D$76:$D$1127,$B127,'ноябрь 2023'!$J$76:$J$1127,AF$1)</f>
        <v>0</v>
      </c>
      <c r="AG127" s="207">
        <f>SUMIFS('ноябрь 2023'!$G$76:$G$1127,'ноябрь 2023'!$D$76:$D$1127,$B127,'ноябрь 2023'!$J$76:$J$1127,AG$1)</f>
        <v>0</v>
      </c>
      <c r="AH127" s="207">
        <f>SUMIFS('ноябрь 2023'!$G$76:$G$1127,'ноябрь 2023'!$D$76:$D$1127,$B127,'ноябрь 2023'!$J$76:$J$1127,AH$1)</f>
        <v>0</v>
      </c>
      <c r="AI127" s="220">
        <f t="shared" si="2"/>
        <v>0</v>
      </c>
    </row>
    <row r="128" spans="2:35" ht="15" hidden="1" customHeight="1" x14ac:dyDescent="0.25">
      <c r="B128" s="212"/>
      <c r="C128" s="211"/>
      <c r="D128" s="207">
        <f>SUMIFS('ноябрь 2023'!$G$76:$G$1127,'ноябрь 2023'!$D$76:$D$1127,$B128,'ноябрь 2023'!$J$76:$J$1127,D$1)</f>
        <v>0</v>
      </c>
      <c r="E128" s="207">
        <f>SUMIFS('ноябрь 2023'!$G$76:$G$1127,'ноябрь 2023'!$D$76:$D$1127,$B128,'ноябрь 2023'!$J$76:$J$1127,E$1)</f>
        <v>0</v>
      </c>
      <c r="F128" s="207">
        <f>SUMIFS('ноябрь 2023'!$G$76:$G$1127,'ноябрь 2023'!$D$76:$D$1127,$B128,'ноябрь 2023'!$J$76:$J$1127,F$1)</f>
        <v>0</v>
      </c>
      <c r="G128" s="207">
        <f>SUMIFS('ноябрь 2023'!$G$76:$G$1127,'ноябрь 2023'!$D$76:$D$1127,$B128,'ноябрь 2023'!$J$76:$J$1127,G$1)</f>
        <v>0</v>
      </c>
      <c r="H128" s="207">
        <f>SUMIFS('ноябрь 2023'!$G$76:$G$1127,'ноябрь 2023'!$D$76:$D$1127,$B128,'ноябрь 2023'!$J$76:$J$1127,H$1)</f>
        <v>0</v>
      </c>
      <c r="I128" s="207">
        <f>SUMIFS('ноябрь 2023'!$G$76:$G$1127,'ноябрь 2023'!$D$76:$D$1127,$B128,'ноябрь 2023'!$J$76:$J$1127,I$1)</f>
        <v>0</v>
      </c>
      <c r="J128" s="207">
        <f>SUMIFS('ноябрь 2023'!$G$76:$G$1127,'ноябрь 2023'!$D$76:$D$1127,$B128,'ноябрь 2023'!$J$76:$J$1127,J$1)</f>
        <v>0</v>
      </c>
      <c r="K128" s="207">
        <f>SUMIFS('ноябрь 2023'!$G$76:$G$1127,'ноябрь 2023'!$D$76:$D$1127,$B128,'ноябрь 2023'!$J$76:$J$1127,K$1)</f>
        <v>0</v>
      </c>
      <c r="L128" s="207">
        <f>SUMIFS('ноябрь 2023'!$G$76:$G$1127,'ноябрь 2023'!$D$76:$D$1127,$B128,'ноябрь 2023'!$J$76:$J$1127,L$1)</f>
        <v>0</v>
      </c>
      <c r="M128" s="207">
        <f>SUMIFS('ноябрь 2023'!$G$76:$G$1127,'ноябрь 2023'!$D$76:$D$1127,$B128,'ноябрь 2023'!$J$76:$J$1127,M$1)</f>
        <v>0</v>
      </c>
      <c r="N128" s="207">
        <f>SUMIFS('ноябрь 2023'!$G$76:$G$1127,'ноябрь 2023'!$D$76:$D$1127,$B128,'ноябрь 2023'!$J$76:$J$1127,N$1)</f>
        <v>0</v>
      </c>
      <c r="O128" s="207">
        <f>SUMIFS('ноябрь 2023'!$G$76:$G$1127,'ноябрь 2023'!$D$76:$D$1127,$B128,'ноябрь 2023'!$J$76:$J$1127,O$1)</f>
        <v>0</v>
      </c>
      <c r="P128" s="207">
        <f>SUMIFS('ноябрь 2023'!$G$76:$G$1127,'ноябрь 2023'!$D$76:$D$1127,$B128,'ноябрь 2023'!$J$76:$J$1127,P$1)</f>
        <v>0</v>
      </c>
      <c r="Q128" s="207">
        <f>SUMIFS('ноябрь 2023'!$G$76:$G$1127,'ноябрь 2023'!$D$76:$D$1127,$B128,'ноябрь 2023'!$J$76:$J$1127,Q$1)</f>
        <v>0</v>
      </c>
      <c r="R128" s="207">
        <f>SUMIFS('ноябрь 2023'!$G$76:$G$1127,'ноябрь 2023'!$D$76:$D$1127,$B128,'ноябрь 2023'!$J$76:$J$1127,R$1)</f>
        <v>0</v>
      </c>
      <c r="S128" s="207">
        <f>SUMIFS('ноябрь 2023'!$G$76:$G$1127,'ноябрь 2023'!$D$76:$D$1127,$B128,'ноябрь 2023'!$J$76:$J$1127,S$1)</f>
        <v>0</v>
      </c>
      <c r="T128" s="207">
        <f>SUMIFS('ноябрь 2023'!$G$76:$G$1127,'ноябрь 2023'!$D$76:$D$1127,$B128,'ноябрь 2023'!$J$76:$J$1127,T$1)</f>
        <v>0</v>
      </c>
      <c r="U128" s="207">
        <f>SUMIFS('ноябрь 2023'!$G$76:$G$1127,'ноябрь 2023'!$D$76:$D$1127,$B128,'ноябрь 2023'!$J$76:$J$1127,U$1)</f>
        <v>0</v>
      </c>
      <c r="V128" s="207">
        <f>SUMIFS('ноябрь 2023'!$G$76:$G$1127,'ноябрь 2023'!$D$76:$D$1127,$B128,'ноябрь 2023'!$J$76:$J$1127,V$1)</f>
        <v>0</v>
      </c>
      <c r="W128" s="207">
        <f>SUMIFS('ноябрь 2023'!$G$76:$G$1127,'ноябрь 2023'!$D$76:$D$1127,$B128,'ноябрь 2023'!$J$76:$J$1127,W$1)</f>
        <v>0</v>
      </c>
      <c r="X128" s="207">
        <f>SUMIFS('ноябрь 2023'!$G$76:$G$1127,'ноябрь 2023'!$D$76:$D$1127,$B128,'ноябрь 2023'!$J$76:$J$1127,X$1)</f>
        <v>0</v>
      </c>
      <c r="Y128" s="207">
        <f>SUMIFS('ноябрь 2023'!$G$76:$G$1127,'ноябрь 2023'!$D$76:$D$1127,$B128,'ноябрь 2023'!$J$76:$J$1127,Y$1)</f>
        <v>0</v>
      </c>
      <c r="Z128" s="207">
        <f>SUMIFS('ноябрь 2023'!$G$76:$G$1127,'ноябрь 2023'!$D$76:$D$1127,$B128,'ноябрь 2023'!$J$76:$J$1127,Z$1)</f>
        <v>0</v>
      </c>
      <c r="AA128" s="207">
        <f>SUMIFS('ноябрь 2023'!$G$76:$G$1127,'ноябрь 2023'!$D$76:$D$1127,$B128,'ноябрь 2023'!$J$76:$J$1127,AA$1)</f>
        <v>0</v>
      </c>
      <c r="AB128" s="207">
        <f>SUMIFS('ноябрь 2023'!$G$76:$G$1127,'ноябрь 2023'!$D$76:$D$1127,$B128,'ноябрь 2023'!$J$76:$J$1127,AB$1)</f>
        <v>0</v>
      </c>
      <c r="AC128" s="207">
        <f>SUMIFS('ноябрь 2023'!$G$76:$G$1127,'ноябрь 2023'!$D$76:$D$1127,$B128,'ноябрь 2023'!$J$76:$J$1127,AC$1)</f>
        <v>0</v>
      </c>
      <c r="AD128" s="207">
        <f>SUMIFS('ноябрь 2023'!$G$76:$G$1127,'ноябрь 2023'!$D$76:$D$1127,$B128,'ноябрь 2023'!$J$76:$J$1127,AD$1)</f>
        <v>0</v>
      </c>
      <c r="AE128" s="207">
        <f>SUMIFS('ноябрь 2023'!$G$76:$G$1127,'ноябрь 2023'!$D$76:$D$1127,$B128,'ноябрь 2023'!$J$76:$J$1127,AE$1)</f>
        <v>0</v>
      </c>
      <c r="AF128" s="207">
        <f>SUMIFS('ноябрь 2023'!$G$76:$G$1127,'ноябрь 2023'!$D$76:$D$1127,$B128,'ноябрь 2023'!$J$76:$J$1127,AF$1)</f>
        <v>0</v>
      </c>
      <c r="AG128" s="207">
        <f>SUMIFS('ноябрь 2023'!$G$76:$G$1127,'ноябрь 2023'!$D$76:$D$1127,$B128,'ноябрь 2023'!$J$76:$J$1127,AG$1)</f>
        <v>0</v>
      </c>
      <c r="AH128" s="207">
        <f>SUMIFS('ноябрь 2023'!$G$76:$G$1127,'ноябрь 2023'!$D$76:$D$1127,$B128,'ноябрь 2023'!$J$76:$J$1127,AH$1)</f>
        <v>0</v>
      </c>
      <c r="AI128" s="220"/>
    </row>
    <row r="129" spans="2:35" ht="15" hidden="1" customHeight="1" x14ac:dyDescent="0.25">
      <c r="B129" s="212"/>
      <c r="C129" s="211"/>
      <c r="D129" s="207">
        <f>SUMIFS('ноябрь 2023'!$G$76:$G$1127,'ноябрь 2023'!$D$76:$D$1127,$B129,'ноябрь 2023'!$J$76:$J$1127,D$1)</f>
        <v>0</v>
      </c>
      <c r="E129" s="207">
        <f>SUMIFS('ноябрь 2023'!$G$76:$G$1127,'ноябрь 2023'!$D$76:$D$1127,$B129,'ноябрь 2023'!$J$76:$J$1127,E$1)</f>
        <v>0</v>
      </c>
      <c r="F129" s="207">
        <f>SUMIFS('ноябрь 2023'!$G$76:$G$1127,'ноябрь 2023'!$D$76:$D$1127,$B129,'ноябрь 2023'!$J$76:$J$1127,F$1)</f>
        <v>0</v>
      </c>
      <c r="G129" s="207">
        <f>SUMIFS('ноябрь 2023'!$G$76:$G$1127,'ноябрь 2023'!$D$76:$D$1127,$B129,'ноябрь 2023'!$J$76:$J$1127,G$1)</f>
        <v>0</v>
      </c>
      <c r="H129" s="207">
        <f>SUMIFS('ноябрь 2023'!$G$76:$G$1127,'ноябрь 2023'!$D$76:$D$1127,$B129,'ноябрь 2023'!$J$76:$J$1127,H$1)</f>
        <v>0</v>
      </c>
      <c r="I129" s="207">
        <f>SUMIFS('ноябрь 2023'!$G$76:$G$1127,'ноябрь 2023'!$D$76:$D$1127,$B129,'ноябрь 2023'!$J$76:$J$1127,I$1)</f>
        <v>0</v>
      </c>
      <c r="J129" s="207">
        <f>SUMIFS('ноябрь 2023'!$G$76:$G$1127,'ноябрь 2023'!$D$76:$D$1127,$B129,'ноябрь 2023'!$J$76:$J$1127,J$1)</f>
        <v>0</v>
      </c>
      <c r="K129" s="207">
        <f>SUMIFS('ноябрь 2023'!$G$76:$G$1127,'ноябрь 2023'!$D$76:$D$1127,$B129,'ноябрь 2023'!$J$76:$J$1127,K$1)</f>
        <v>0</v>
      </c>
      <c r="L129" s="207">
        <f>SUMIFS('ноябрь 2023'!$G$76:$G$1127,'ноябрь 2023'!$D$76:$D$1127,$B129,'ноябрь 2023'!$J$76:$J$1127,L$1)</f>
        <v>0</v>
      </c>
      <c r="M129" s="207">
        <f>SUMIFS('ноябрь 2023'!$G$76:$G$1127,'ноябрь 2023'!$D$76:$D$1127,$B129,'ноябрь 2023'!$J$76:$J$1127,M$1)</f>
        <v>0</v>
      </c>
      <c r="N129" s="207">
        <f>SUMIFS('ноябрь 2023'!$G$76:$G$1127,'ноябрь 2023'!$D$76:$D$1127,$B129,'ноябрь 2023'!$J$76:$J$1127,N$1)</f>
        <v>0</v>
      </c>
      <c r="O129" s="207">
        <f>SUMIFS('ноябрь 2023'!$G$76:$G$1127,'ноябрь 2023'!$D$76:$D$1127,$B129,'ноябрь 2023'!$J$76:$J$1127,O$1)</f>
        <v>0</v>
      </c>
      <c r="P129" s="207">
        <f>SUMIFS('ноябрь 2023'!$G$76:$G$1127,'ноябрь 2023'!$D$76:$D$1127,$B129,'ноябрь 2023'!$J$76:$J$1127,P$1)</f>
        <v>0</v>
      </c>
      <c r="Q129" s="207">
        <f>SUMIFS('ноябрь 2023'!$G$76:$G$1127,'ноябрь 2023'!$D$76:$D$1127,$B129,'ноябрь 2023'!$J$76:$J$1127,Q$1)</f>
        <v>0</v>
      </c>
      <c r="R129" s="207">
        <f>SUMIFS('ноябрь 2023'!$G$76:$G$1127,'ноябрь 2023'!$D$76:$D$1127,$B129,'ноябрь 2023'!$J$76:$J$1127,R$1)</f>
        <v>0</v>
      </c>
      <c r="S129" s="207">
        <f>SUMIFS('ноябрь 2023'!$G$76:$G$1127,'ноябрь 2023'!$D$76:$D$1127,$B129,'ноябрь 2023'!$J$76:$J$1127,S$1)</f>
        <v>0</v>
      </c>
      <c r="T129" s="207">
        <f>SUMIFS('ноябрь 2023'!$G$76:$G$1127,'ноябрь 2023'!$D$76:$D$1127,$B129,'ноябрь 2023'!$J$76:$J$1127,T$1)</f>
        <v>0</v>
      </c>
      <c r="U129" s="207">
        <f>SUMIFS('ноябрь 2023'!$G$76:$G$1127,'ноябрь 2023'!$D$76:$D$1127,$B129,'ноябрь 2023'!$J$76:$J$1127,U$1)</f>
        <v>0</v>
      </c>
      <c r="V129" s="207">
        <f>SUMIFS('ноябрь 2023'!$G$76:$G$1127,'ноябрь 2023'!$D$76:$D$1127,$B129,'ноябрь 2023'!$J$76:$J$1127,V$1)</f>
        <v>0</v>
      </c>
      <c r="W129" s="207">
        <f>SUMIFS('ноябрь 2023'!$G$76:$G$1127,'ноябрь 2023'!$D$76:$D$1127,$B129,'ноябрь 2023'!$J$76:$J$1127,W$1)</f>
        <v>0</v>
      </c>
      <c r="X129" s="207">
        <f>SUMIFS('ноябрь 2023'!$G$76:$G$1127,'ноябрь 2023'!$D$76:$D$1127,$B129,'ноябрь 2023'!$J$76:$J$1127,X$1)</f>
        <v>0</v>
      </c>
      <c r="Y129" s="207">
        <f>SUMIFS('ноябрь 2023'!$G$76:$G$1127,'ноябрь 2023'!$D$76:$D$1127,$B129,'ноябрь 2023'!$J$76:$J$1127,Y$1)</f>
        <v>0</v>
      </c>
      <c r="Z129" s="207">
        <f>SUMIFS('ноябрь 2023'!$G$76:$G$1127,'ноябрь 2023'!$D$76:$D$1127,$B129,'ноябрь 2023'!$J$76:$J$1127,Z$1)</f>
        <v>0</v>
      </c>
      <c r="AA129" s="207">
        <f>SUMIFS('ноябрь 2023'!$G$76:$G$1127,'ноябрь 2023'!$D$76:$D$1127,$B129,'ноябрь 2023'!$J$76:$J$1127,AA$1)</f>
        <v>0</v>
      </c>
      <c r="AB129" s="207">
        <f>SUMIFS('ноябрь 2023'!$G$76:$G$1127,'ноябрь 2023'!$D$76:$D$1127,$B129,'ноябрь 2023'!$J$76:$J$1127,AB$1)</f>
        <v>0</v>
      </c>
      <c r="AC129" s="207">
        <f>SUMIFS('ноябрь 2023'!$G$76:$G$1127,'ноябрь 2023'!$D$76:$D$1127,$B129,'ноябрь 2023'!$J$76:$J$1127,AC$1)</f>
        <v>0</v>
      </c>
      <c r="AD129" s="207">
        <f>SUMIFS('ноябрь 2023'!$G$76:$G$1127,'ноябрь 2023'!$D$76:$D$1127,$B129,'ноябрь 2023'!$J$76:$J$1127,AD$1)</f>
        <v>0</v>
      </c>
      <c r="AE129" s="207">
        <f>SUMIFS('ноябрь 2023'!$G$76:$G$1127,'ноябрь 2023'!$D$76:$D$1127,$B129,'ноябрь 2023'!$J$76:$J$1127,AE$1)</f>
        <v>0</v>
      </c>
      <c r="AF129" s="207">
        <f>SUMIFS('ноябрь 2023'!$G$76:$G$1127,'ноябрь 2023'!$D$76:$D$1127,$B129,'ноябрь 2023'!$J$76:$J$1127,AF$1)</f>
        <v>0</v>
      </c>
      <c r="AG129" s="207">
        <f>SUMIFS('ноябрь 2023'!$G$76:$G$1127,'ноябрь 2023'!$D$76:$D$1127,$B129,'ноябрь 2023'!$J$76:$J$1127,AG$1)</f>
        <v>0</v>
      </c>
      <c r="AH129" s="207">
        <f>SUMIFS('ноябрь 2023'!$G$76:$G$1127,'ноябрь 2023'!$D$76:$D$1127,$B129,'ноябрь 2023'!$J$76:$J$1127,AH$1)</f>
        <v>0</v>
      </c>
      <c r="AI129" s="220">
        <f t="shared" si="2"/>
        <v>0</v>
      </c>
    </row>
    <row r="130" spans="2:35" ht="15" hidden="1" customHeight="1" x14ac:dyDescent="0.25">
      <c r="B130" s="212"/>
      <c r="C130" s="211"/>
      <c r="D130" s="207">
        <f>SUMIFS('ноябрь 2023'!$G$76:$G$1127,'ноябрь 2023'!$D$76:$D$1127,$B130,'ноябрь 2023'!$J$76:$J$1127,D$1)</f>
        <v>0</v>
      </c>
      <c r="E130" s="207">
        <f>SUMIFS('ноябрь 2023'!$G$76:$G$1127,'ноябрь 2023'!$D$76:$D$1127,$B130,'ноябрь 2023'!$J$76:$J$1127,E$1)</f>
        <v>0</v>
      </c>
      <c r="F130" s="207">
        <f>SUMIFS('ноябрь 2023'!$G$76:$G$1127,'ноябрь 2023'!$D$76:$D$1127,$B130,'ноябрь 2023'!$J$76:$J$1127,F$1)</f>
        <v>0</v>
      </c>
      <c r="G130" s="207">
        <f>SUMIFS('ноябрь 2023'!$G$76:$G$1127,'ноябрь 2023'!$D$76:$D$1127,$B130,'ноябрь 2023'!$J$76:$J$1127,G$1)</f>
        <v>0</v>
      </c>
      <c r="H130" s="207">
        <f>SUMIFS('ноябрь 2023'!$G$76:$G$1127,'ноябрь 2023'!$D$76:$D$1127,$B130,'ноябрь 2023'!$J$76:$J$1127,H$1)</f>
        <v>0</v>
      </c>
      <c r="I130" s="207">
        <f>SUMIFS('ноябрь 2023'!$G$76:$G$1127,'ноябрь 2023'!$D$76:$D$1127,$B130,'ноябрь 2023'!$J$76:$J$1127,I$1)</f>
        <v>0</v>
      </c>
      <c r="J130" s="207">
        <f>SUMIFS('ноябрь 2023'!$G$76:$G$1127,'ноябрь 2023'!$D$76:$D$1127,$B130,'ноябрь 2023'!$J$76:$J$1127,J$1)</f>
        <v>0</v>
      </c>
      <c r="K130" s="207">
        <f>SUMIFS('ноябрь 2023'!$G$76:$G$1127,'ноябрь 2023'!$D$76:$D$1127,$B130,'ноябрь 2023'!$J$76:$J$1127,K$1)</f>
        <v>0</v>
      </c>
      <c r="L130" s="207">
        <f>SUMIFS('ноябрь 2023'!$G$76:$G$1127,'ноябрь 2023'!$D$76:$D$1127,$B130,'ноябрь 2023'!$J$76:$J$1127,L$1)</f>
        <v>0</v>
      </c>
      <c r="M130" s="207">
        <f>SUMIFS('ноябрь 2023'!$G$76:$G$1127,'ноябрь 2023'!$D$76:$D$1127,$B130,'ноябрь 2023'!$J$76:$J$1127,M$1)</f>
        <v>0</v>
      </c>
      <c r="N130" s="207">
        <f>SUMIFS('ноябрь 2023'!$G$76:$G$1127,'ноябрь 2023'!$D$76:$D$1127,$B130,'ноябрь 2023'!$J$76:$J$1127,N$1)</f>
        <v>0</v>
      </c>
      <c r="O130" s="207">
        <f>SUMIFS('ноябрь 2023'!$G$76:$G$1127,'ноябрь 2023'!$D$76:$D$1127,$B130,'ноябрь 2023'!$J$76:$J$1127,O$1)</f>
        <v>0</v>
      </c>
      <c r="P130" s="207">
        <f>SUMIFS('ноябрь 2023'!$G$76:$G$1127,'ноябрь 2023'!$D$76:$D$1127,$B130,'ноябрь 2023'!$J$76:$J$1127,P$1)</f>
        <v>0</v>
      </c>
      <c r="Q130" s="207">
        <f>SUMIFS('ноябрь 2023'!$G$76:$G$1127,'ноябрь 2023'!$D$76:$D$1127,$B130,'ноябрь 2023'!$J$76:$J$1127,Q$1)</f>
        <v>0</v>
      </c>
      <c r="R130" s="207">
        <f>SUMIFS('ноябрь 2023'!$G$76:$G$1127,'ноябрь 2023'!$D$76:$D$1127,$B130,'ноябрь 2023'!$J$76:$J$1127,R$1)</f>
        <v>0</v>
      </c>
      <c r="S130" s="207">
        <f>SUMIFS('ноябрь 2023'!$G$76:$G$1127,'ноябрь 2023'!$D$76:$D$1127,$B130,'ноябрь 2023'!$J$76:$J$1127,S$1)</f>
        <v>0</v>
      </c>
      <c r="T130" s="207">
        <f>SUMIFS('ноябрь 2023'!$G$76:$G$1127,'ноябрь 2023'!$D$76:$D$1127,$B130,'ноябрь 2023'!$J$76:$J$1127,T$1)</f>
        <v>0</v>
      </c>
      <c r="U130" s="207">
        <f>SUMIFS('ноябрь 2023'!$G$76:$G$1127,'ноябрь 2023'!$D$76:$D$1127,$B130,'ноябрь 2023'!$J$76:$J$1127,U$1)</f>
        <v>0</v>
      </c>
      <c r="V130" s="207">
        <f>SUMIFS('ноябрь 2023'!$G$76:$G$1127,'ноябрь 2023'!$D$76:$D$1127,$B130,'ноябрь 2023'!$J$76:$J$1127,V$1)</f>
        <v>0</v>
      </c>
      <c r="W130" s="207">
        <f>SUMIFS('ноябрь 2023'!$G$76:$G$1127,'ноябрь 2023'!$D$76:$D$1127,$B130,'ноябрь 2023'!$J$76:$J$1127,W$1)</f>
        <v>0</v>
      </c>
      <c r="X130" s="207">
        <f>SUMIFS('ноябрь 2023'!$G$76:$G$1127,'ноябрь 2023'!$D$76:$D$1127,$B130,'ноябрь 2023'!$J$76:$J$1127,X$1)</f>
        <v>0</v>
      </c>
      <c r="Y130" s="207">
        <f>SUMIFS('ноябрь 2023'!$G$76:$G$1127,'ноябрь 2023'!$D$76:$D$1127,$B130,'ноябрь 2023'!$J$76:$J$1127,Y$1)</f>
        <v>0</v>
      </c>
      <c r="Z130" s="207">
        <f>SUMIFS('ноябрь 2023'!$G$76:$G$1127,'ноябрь 2023'!$D$76:$D$1127,$B130,'ноябрь 2023'!$J$76:$J$1127,Z$1)</f>
        <v>0</v>
      </c>
      <c r="AA130" s="207">
        <f>SUMIFS('ноябрь 2023'!$G$76:$G$1127,'ноябрь 2023'!$D$76:$D$1127,$B130,'ноябрь 2023'!$J$76:$J$1127,AA$1)</f>
        <v>0</v>
      </c>
      <c r="AB130" s="207">
        <f>SUMIFS('ноябрь 2023'!$G$76:$G$1127,'ноябрь 2023'!$D$76:$D$1127,$B130,'ноябрь 2023'!$J$76:$J$1127,AB$1)</f>
        <v>0</v>
      </c>
      <c r="AC130" s="207">
        <f>SUMIFS('ноябрь 2023'!$G$76:$G$1127,'ноябрь 2023'!$D$76:$D$1127,$B130,'ноябрь 2023'!$J$76:$J$1127,AC$1)</f>
        <v>0</v>
      </c>
      <c r="AD130" s="207">
        <f>SUMIFS('ноябрь 2023'!$G$76:$G$1127,'ноябрь 2023'!$D$76:$D$1127,$B130,'ноябрь 2023'!$J$76:$J$1127,AD$1)</f>
        <v>0</v>
      </c>
      <c r="AE130" s="207">
        <f>SUMIFS('ноябрь 2023'!$G$76:$G$1127,'ноябрь 2023'!$D$76:$D$1127,$B130,'ноябрь 2023'!$J$76:$J$1127,AE$1)</f>
        <v>0</v>
      </c>
      <c r="AF130" s="207">
        <f>SUMIFS('ноябрь 2023'!$G$76:$G$1127,'ноябрь 2023'!$D$76:$D$1127,$B130,'ноябрь 2023'!$J$76:$J$1127,AF$1)</f>
        <v>0</v>
      </c>
      <c r="AG130" s="207">
        <f>SUMIFS('ноябрь 2023'!$G$76:$G$1127,'ноябрь 2023'!$D$76:$D$1127,$B130,'ноябрь 2023'!$J$76:$J$1127,AG$1)</f>
        <v>0</v>
      </c>
      <c r="AH130" s="207">
        <f>SUMIFS('ноябрь 2023'!$G$76:$G$1127,'ноябрь 2023'!$D$76:$D$1127,$B130,'ноябрь 2023'!$J$76:$J$1127,AH$1)</f>
        <v>0</v>
      </c>
      <c r="AI130" s="220">
        <f t="shared" si="2"/>
        <v>0</v>
      </c>
    </row>
    <row r="131" spans="2:35" ht="15" hidden="1" customHeight="1" x14ac:dyDescent="0.25">
      <c r="B131" s="216"/>
      <c r="C131" s="211"/>
      <c r="D131" s="207">
        <f>SUMIFS('ноябрь 2023'!$G$76:$G$1127,'ноябрь 2023'!$D$76:$D$1127,$B131,'ноябрь 2023'!$J$76:$J$1127,D$1)</f>
        <v>0</v>
      </c>
      <c r="E131" s="207">
        <f>SUMIFS('ноябрь 2023'!$G$76:$G$1127,'ноябрь 2023'!$D$76:$D$1127,$B131,'ноябрь 2023'!$J$76:$J$1127,E$1)</f>
        <v>0</v>
      </c>
      <c r="F131" s="207">
        <f>SUMIFS('ноябрь 2023'!$G$76:$G$1127,'ноябрь 2023'!$D$76:$D$1127,$B131,'ноябрь 2023'!$J$76:$J$1127,F$1)</f>
        <v>0</v>
      </c>
      <c r="G131" s="207">
        <f>SUMIFS('ноябрь 2023'!$G$76:$G$1127,'ноябрь 2023'!$D$76:$D$1127,$B131,'ноябрь 2023'!$J$76:$J$1127,G$1)</f>
        <v>0</v>
      </c>
      <c r="H131" s="207">
        <f>SUMIFS('ноябрь 2023'!$G$76:$G$1127,'ноябрь 2023'!$D$76:$D$1127,$B131,'ноябрь 2023'!$J$76:$J$1127,H$1)</f>
        <v>0</v>
      </c>
      <c r="I131" s="207">
        <f>SUMIFS('ноябрь 2023'!$G$76:$G$1127,'ноябрь 2023'!$D$76:$D$1127,$B131,'ноябрь 2023'!$J$76:$J$1127,I$1)</f>
        <v>0</v>
      </c>
      <c r="J131" s="207">
        <f>SUMIFS('ноябрь 2023'!$G$76:$G$1127,'ноябрь 2023'!$D$76:$D$1127,$B131,'ноябрь 2023'!$J$76:$J$1127,J$1)</f>
        <v>0</v>
      </c>
      <c r="K131" s="207">
        <f>SUMIFS('ноябрь 2023'!$G$76:$G$1127,'ноябрь 2023'!$D$76:$D$1127,$B131,'ноябрь 2023'!$J$76:$J$1127,K$1)</f>
        <v>0</v>
      </c>
      <c r="L131" s="207">
        <f>SUMIFS('ноябрь 2023'!$G$76:$G$1127,'ноябрь 2023'!$D$76:$D$1127,$B131,'ноябрь 2023'!$J$76:$J$1127,L$1)</f>
        <v>0</v>
      </c>
      <c r="M131" s="207">
        <f>SUMIFS('ноябрь 2023'!$G$76:$G$1127,'ноябрь 2023'!$D$76:$D$1127,$B131,'ноябрь 2023'!$J$76:$J$1127,M$1)</f>
        <v>0</v>
      </c>
      <c r="N131" s="207">
        <f>SUMIFS('ноябрь 2023'!$G$76:$G$1127,'ноябрь 2023'!$D$76:$D$1127,$B131,'ноябрь 2023'!$J$76:$J$1127,N$1)</f>
        <v>0</v>
      </c>
      <c r="O131" s="207">
        <f>SUMIFS('ноябрь 2023'!$G$76:$G$1127,'ноябрь 2023'!$D$76:$D$1127,$B131,'ноябрь 2023'!$J$76:$J$1127,O$1)</f>
        <v>0</v>
      </c>
      <c r="P131" s="207">
        <f>SUMIFS('ноябрь 2023'!$G$76:$G$1127,'ноябрь 2023'!$D$76:$D$1127,$B131,'ноябрь 2023'!$J$76:$J$1127,P$1)</f>
        <v>0</v>
      </c>
      <c r="Q131" s="207">
        <f>SUMIFS('ноябрь 2023'!$G$76:$G$1127,'ноябрь 2023'!$D$76:$D$1127,$B131,'ноябрь 2023'!$J$76:$J$1127,Q$1)</f>
        <v>0</v>
      </c>
      <c r="R131" s="207">
        <f>SUMIFS('ноябрь 2023'!$G$76:$G$1127,'ноябрь 2023'!$D$76:$D$1127,$B131,'ноябрь 2023'!$J$76:$J$1127,R$1)</f>
        <v>0</v>
      </c>
      <c r="S131" s="207">
        <f>SUMIFS('ноябрь 2023'!$G$76:$G$1127,'ноябрь 2023'!$D$76:$D$1127,$B131,'ноябрь 2023'!$J$76:$J$1127,S$1)</f>
        <v>0</v>
      </c>
      <c r="T131" s="207">
        <f>SUMIFS('ноябрь 2023'!$G$76:$G$1127,'ноябрь 2023'!$D$76:$D$1127,$B131,'ноябрь 2023'!$J$76:$J$1127,T$1)</f>
        <v>0</v>
      </c>
      <c r="U131" s="207">
        <f>SUMIFS('ноябрь 2023'!$G$76:$G$1127,'ноябрь 2023'!$D$76:$D$1127,$B131,'ноябрь 2023'!$J$76:$J$1127,U$1)</f>
        <v>0</v>
      </c>
      <c r="V131" s="207">
        <f>SUMIFS('ноябрь 2023'!$G$76:$G$1127,'ноябрь 2023'!$D$76:$D$1127,$B131,'ноябрь 2023'!$J$76:$J$1127,V$1)</f>
        <v>0</v>
      </c>
      <c r="W131" s="207">
        <f>SUMIFS('ноябрь 2023'!$G$76:$G$1127,'ноябрь 2023'!$D$76:$D$1127,$B131,'ноябрь 2023'!$J$76:$J$1127,W$1)</f>
        <v>0</v>
      </c>
      <c r="X131" s="207">
        <f>SUMIFS('ноябрь 2023'!$G$76:$G$1127,'ноябрь 2023'!$D$76:$D$1127,$B131,'ноябрь 2023'!$J$76:$J$1127,X$1)</f>
        <v>0</v>
      </c>
      <c r="Y131" s="207">
        <f>SUMIFS('ноябрь 2023'!$G$76:$G$1127,'ноябрь 2023'!$D$76:$D$1127,$B131,'ноябрь 2023'!$J$76:$J$1127,Y$1)</f>
        <v>0</v>
      </c>
      <c r="Z131" s="207">
        <f>SUMIFS('ноябрь 2023'!$G$76:$G$1127,'ноябрь 2023'!$D$76:$D$1127,$B131,'ноябрь 2023'!$J$76:$J$1127,Z$1)</f>
        <v>0</v>
      </c>
      <c r="AA131" s="207">
        <f>SUMIFS('ноябрь 2023'!$G$76:$G$1127,'ноябрь 2023'!$D$76:$D$1127,$B131,'ноябрь 2023'!$J$76:$J$1127,AA$1)</f>
        <v>0</v>
      </c>
      <c r="AB131" s="207">
        <f>SUMIFS('ноябрь 2023'!$G$76:$G$1127,'ноябрь 2023'!$D$76:$D$1127,$B131,'ноябрь 2023'!$J$76:$J$1127,AB$1)</f>
        <v>0</v>
      </c>
      <c r="AC131" s="207">
        <f>SUMIFS('ноябрь 2023'!$G$76:$G$1127,'ноябрь 2023'!$D$76:$D$1127,$B131,'ноябрь 2023'!$J$76:$J$1127,AC$1)</f>
        <v>0</v>
      </c>
      <c r="AD131" s="207">
        <f>SUMIFS('ноябрь 2023'!$G$76:$G$1127,'ноябрь 2023'!$D$76:$D$1127,$B131,'ноябрь 2023'!$J$76:$J$1127,AD$1)</f>
        <v>0</v>
      </c>
      <c r="AE131" s="207">
        <f>SUMIFS('ноябрь 2023'!$G$76:$G$1127,'ноябрь 2023'!$D$76:$D$1127,$B131,'ноябрь 2023'!$J$76:$J$1127,AE$1)</f>
        <v>0</v>
      </c>
      <c r="AF131" s="207">
        <f>SUMIFS('ноябрь 2023'!$G$76:$G$1127,'ноябрь 2023'!$D$76:$D$1127,$B131,'ноябрь 2023'!$J$76:$J$1127,AF$1)</f>
        <v>0</v>
      </c>
      <c r="AG131" s="207">
        <f>SUMIFS('ноябрь 2023'!$G$76:$G$1127,'ноябрь 2023'!$D$76:$D$1127,$B131,'ноябрь 2023'!$J$76:$J$1127,AG$1)</f>
        <v>0</v>
      </c>
      <c r="AH131" s="207">
        <f>SUMIFS('ноябрь 2023'!$G$76:$G$1127,'ноябрь 2023'!$D$76:$D$1127,$B131,'ноябрь 2023'!$J$76:$J$1127,AH$1)</f>
        <v>0</v>
      </c>
      <c r="AI131" s="220">
        <f t="shared" ref="AI131:AI153" si="3">SUM(D131:AH131)</f>
        <v>0</v>
      </c>
    </row>
    <row r="132" spans="2:35" ht="15" hidden="1" customHeight="1" x14ac:dyDescent="0.25">
      <c r="B132" s="216"/>
      <c r="C132" s="213"/>
      <c r="D132" s="207">
        <f>SUMIFS('ноябрь 2023'!$G$76:$G$1127,'ноябрь 2023'!$D$76:$D$1127,$B132,'ноябрь 2023'!$J$76:$J$1127,D$1)</f>
        <v>0</v>
      </c>
      <c r="E132" s="207">
        <f>SUMIFS('ноябрь 2023'!$G$76:$G$1127,'ноябрь 2023'!$D$76:$D$1127,$B132,'ноябрь 2023'!$J$76:$J$1127,E$1)</f>
        <v>0</v>
      </c>
      <c r="F132" s="207">
        <f>SUMIFS('ноябрь 2023'!$G$76:$G$1127,'ноябрь 2023'!$D$76:$D$1127,$B132,'ноябрь 2023'!$J$76:$J$1127,F$1)</f>
        <v>0</v>
      </c>
      <c r="G132" s="207">
        <f>SUMIFS('ноябрь 2023'!$G$76:$G$1127,'ноябрь 2023'!$D$76:$D$1127,$B132,'ноябрь 2023'!$J$76:$J$1127,G$1)</f>
        <v>0</v>
      </c>
      <c r="H132" s="207">
        <f>SUMIFS('ноябрь 2023'!$G$76:$G$1127,'ноябрь 2023'!$D$76:$D$1127,$B132,'ноябрь 2023'!$J$76:$J$1127,H$1)</f>
        <v>0</v>
      </c>
      <c r="I132" s="207">
        <f>SUMIFS('ноябрь 2023'!$G$76:$G$1127,'ноябрь 2023'!$D$76:$D$1127,$B132,'ноябрь 2023'!$J$76:$J$1127,I$1)</f>
        <v>0</v>
      </c>
      <c r="J132" s="207">
        <f>SUMIFS('ноябрь 2023'!$G$76:$G$1127,'ноябрь 2023'!$D$76:$D$1127,$B132,'ноябрь 2023'!$J$76:$J$1127,J$1)</f>
        <v>0</v>
      </c>
      <c r="K132" s="207">
        <f>SUMIFS('ноябрь 2023'!$G$76:$G$1127,'ноябрь 2023'!$D$76:$D$1127,$B132,'ноябрь 2023'!$J$76:$J$1127,K$1)</f>
        <v>0</v>
      </c>
      <c r="L132" s="207">
        <f>SUMIFS('ноябрь 2023'!$G$76:$G$1127,'ноябрь 2023'!$D$76:$D$1127,$B132,'ноябрь 2023'!$J$76:$J$1127,L$1)</f>
        <v>0</v>
      </c>
      <c r="M132" s="207">
        <f>SUMIFS('ноябрь 2023'!$G$76:$G$1127,'ноябрь 2023'!$D$76:$D$1127,$B132,'ноябрь 2023'!$J$76:$J$1127,M$1)</f>
        <v>0</v>
      </c>
      <c r="N132" s="207">
        <f>SUMIFS('ноябрь 2023'!$G$76:$G$1127,'ноябрь 2023'!$D$76:$D$1127,$B132,'ноябрь 2023'!$J$76:$J$1127,N$1)</f>
        <v>0</v>
      </c>
      <c r="O132" s="207">
        <f>SUMIFS('ноябрь 2023'!$G$76:$G$1127,'ноябрь 2023'!$D$76:$D$1127,$B132,'ноябрь 2023'!$J$76:$J$1127,O$1)</f>
        <v>0</v>
      </c>
      <c r="P132" s="207">
        <f>SUMIFS('ноябрь 2023'!$G$76:$G$1127,'ноябрь 2023'!$D$76:$D$1127,$B132,'ноябрь 2023'!$J$76:$J$1127,P$1)</f>
        <v>0</v>
      </c>
      <c r="Q132" s="207">
        <f>SUMIFS('ноябрь 2023'!$G$76:$G$1127,'ноябрь 2023'!$D$76:$D$1127,$B132,'ноябрь 2023'!$J$76:$J$1127,Q$1)</f>
        <v>0</v>
      </c>
      <c r="R132" s="207">
        <f>SUMIFS('ноябрь 2023'!$G$76:$G$1127,'ноябрь 2023'!$D$76:$D$1127,$B132,'ноябрь 2023'!$J$76:$J$1127,R$1)</f>
        <v>0</v>
      </c>
      <c r="S132" s="207">
        <f>SUMIFS('ноябрь 2023'!$G$76:$G$1127,'ноябрь 2023'!$D$76:$D$1127,$B132,'ноябрь 2023'!$J$76:$J$1127,S$1)</f>
        <v>0</v>
      </c>
      <c r="T132" s="207">
        <f>SUMIFS('ноябрь 2023'!$G$76:$G$1127,'ноябрь 2023'!$D$76:$D$1127,$B132,'ноябрь 2023'!$J$76:$J$1127,T$1)</f>
        <v>0</v>
      </c>
      <c r="U132" s="207">
        <f>SUMIFS('ноябрь 2023'!$G$76:$G$1127,'ноябрь 2023'!$D$76:$D$1127,$B132,'ноябрь 2023'!$J$76:$J$1127,U$1)</f>
        <v>0</v>
      </c>
      <c r="V132" s="207">
        <f>SUMIFS('ноябрь 2023'!$G$76:$G$1127,'ноябрь 2023'!$D$76:$D$1127,$B132,'ноябрь 2023'!$J$76:$J$1127,V$1)</f>
        <v>0</v>
      </c>
      <c r="W132" s="207">
        <f>SUMIFS('ноябрь 2023'!$G$76:$G$1127,'ноябрь 2023'!$D$76:$D$1127,$B132,'ноябрь 2023'!$J$76:$J$1127,W$1)</f>
        <v>0</v>
      </c>
      <c r="X132" s="207">
        <f>SUMIFS('ноябрь 2023'!$G$76:$G$1127,'ноябрь 2023'!$D$76:$D$1127,$B132,'ноябрь 2023'!$J$76:$J$1127,X$1)</f>
        <v>0</v>
      </c>
      <c r="Y132" s="207">
        <f>SUMIFS('ноябрь 2023'!$G$76:$G$1127,'ноябрь 2023'!$D$76:$D$1127,$B132,'ноябрь 2023'!$J$76:$J$1127,Y$1)</f>
        <v>0</v>
      </c>
      <c r="Z132" s="207">
        <f>SUMIFS('ноябрь 2023'!$G$76:$G$1127,'ноябрь 2023'!$D$76:$D$1127,$B132,'ноябрь 2023'!$J$76:$J$1127,Z$1)</f>
        <v>0</v>
      </c>
      <c r="AA132" s="207">
        <f>SUMIFS('ноябрь 2023'!$G$76:$G$1127,'ноябрь 2023'!$D$76:$D$1127,$B132,'ноябрь 2023'!$J$76:$J$1127,AA$1)</f>
        <v>0</v>
      </c>
      <c r="AB132" s="207">
        <f>SUMIFS('ноябрь 2023'!$G$76:$G$1127,'ноябрь 2023'!$D$76:$D$1127,$B132,'ноябрь 2023'!$J$76:$J$1127,AB$1)</f>
        <v>0</v>
      </c>
      <c r="AC132" s="207">
        <f>SUMIFS('ноябрь 2023'!$G$76:$G$1127,'ноябрь 2023'!$D$76:$D$1127,$B132,'ноябрь 2023'!$J$76:$J$1127,AC$1)</f>
        <v>0</v>
      </c>
      <c r="AD132" s="207">
        <f>SUMIFS('ноябрь 2023'!$G$76:$G$1127,'ноябрь 2023'!$D$76:$D$1127,$B132,'ноябрь 2023'!$J$76:$J$1127,AD$1)</f>
        <v>0</v>
      </c>
      <c r="AE132" s="207">
        <f>SUMIFS('ноябрь 2023'!$G$76:$G$1127,'ноябрь 2023'!$D$76:$D$1127,$B132,'ноябрь 2023'!$J$76:$J$1127,AE$1)</f>
        <v>0</v>
      </c>
      <c r="AF132" s="207">
        <f>SUMIFS('ноябрь 2023'!$G$76:$G$1127,'ноябрь 2023'!$D$76:$D$1127,$B132,'ноябрь 2023'!$J$76:$J$1127,AF$1)</f>
        <v>0</v>
      </c>
      <c r="AG132" s="207">
        <f>SUMIFS('ноябрь 2023'!$G$76:$G$1127,'ноябрь 2023'!$D$76:$D$1127,$B132,'ноябрь 2023'!$J$76:$J$1127,AG$1)</f>
        <v>0</v>
      </c>
      <c r="AH132" s="207">
        <f>SUMIFS('ноябрь 2023'!$G$76:$G$1127,'ноябрь 2023'!$D$76:$D$1127,$B132,'ноябрь 2023'!$J$76:$J$1127,AH$1)</f>
        <v>0</v>
      </c>
      <c r="AI132" s="220">
        <f t="shared" si="3"/>
        <v>0</v>
      </c>
    </row>
    <row r="133" spans="2:35" ht="15" hidden="1" customHeight="1" x14ac:dyDescent="0.25">
      <c r="B133" s="212"/>
      <c r="C133" s="211"/>
      <c r="D133" s="207">
        <f>SUMIFS('ноябрь 2023'!$G$76:$G$1127,'ноябрь 2023'!$D$76:$D$1127,$B133,'ноябрь 2023'!$J$76:$J$1127,D$1)</f>
        <v>0</v>
      </c>
      <c r="E133" s="207">
        <f>SUMIFS('ноябрь 2023'!$G$76:$G$1127,'ноябрь 2023'!$D$76:$D$1127,$B133,'ноябрь 2023'!$J$76:$J$1127,E$1)</f>
        <v>0</v>
      </c>
      <c r="F133" s="207">
        <f>SUMIFS('ноябрь 2023'!$G$76:$G$1127,'ноябрь 2023'!$D$76:$D$1127,$B133,'ноябрь 2023'!$J$76:$J$1127,F$1)</f>
        <v>0</v>
      </c>
      <c r="G133" s="207">
        <f>SUMIFS('ноябрь 2023'!$G$76:$G$1127,'ноябрь 2023'!$D$76:$D$1127,$B133,'ноябрь 2023'!$J$76:$J$1127,G$1)</f>
        <v>0</v>
      </c>
      <c r="H133" s="207">
        <f>SUMIFS('ноябрь 2023'!$G$76:$G$1127,'ноябрь 2023'!$D$76:$D$1127,$B133,'ноябрь 2023'!$J$76:$J$1127,H$1)</f>
        <v>0</v>
      </c>
      <c r="I133" s="207">
        <f>SUMIFS('ноябрь 2023'!$G$76:$G$1127,'ноябрь 2023'!$D$76:$D$1127,$B133,'ноябрь 2023'!$J$76:$J$1127,I$1)</f>
        <v>0</v>
      </c>
      <c r="J133" s="207">
        <f>SUMIFS('ноябрь 2023'!$G$76:$G$1127,'ноябрь 2023'!$D$76:$D$1127,$B133,'ноябрь 2023'!$J$76:$J$1127,J$1)</f>
        <v>0</v>
      </c>
      <c r="K133" s="207">
        <f>SUMIFS('ноябрь 2023'!$G$76:$G$1127,'ноябрь 2023'!$D$76:$D$1127,$B133,'ноябрь 2023'!$J$76:$J$1127,K$1)</f>
        <v>0</v>
      </c>
      <c r="L133" s="207">
        <f>SUMIFS('ноябрь 2023'!$G$76:$G$1127,'ноябрь 2023'!$D$76:$D$1127,$B133,'ноябрь 2023'!$J$76:$J$1127,L$1)</f>
        <v>0</v>
      </c>
      <c r="M133" s="207">
        <f>SUMIFS('ноябрь 2023'!$G$76:$G$1127,'ноябрь 2023'!$D$76:$D$1127,$B133,'ноябрь 2023'!$J$76:$J$1127,M$1)</f>
        <v>0</v>
      </c>
      <c r="N133" s="207">
        <f>SUMIFS('ноябрь 2023'!$G$76:$G$1127,'ноябрь 2023'!$D$76:$D$1127,$B133,'ноябрь 2023'!$J$76:$J$1127,N$1)</f>
        <v>0</v>
      </c>
      <c r="O133" s="207">
        <f>SUMIFS('ноябрь 2023'!$G$76:$G$1127,'ноябрь 2023'!$D$76:$D$1127,$B133,'ноябрь 2023'!$J$76:$J$1127,O$1)</f>
        <v>0</v>
      </c>
      <c r="P133" s="207">
        <f>SUMIFS('ноябрь 2023'!$G$76:$G$1127,'ноябрь 2023'!$D$76:$D$1127,$B133,'ноябрь 2023'!$J$76:$J$1127,P$1)</f>
        <v>0</v>
      </c>
      <c r="Q133" s="207">
        <f>SUMIFS('ноябрь 2023'!$G$76:$G$1127,'ноябрь 2023'!$D$76:$D$1127,$B133,'ноябрь 2023'!$J$76:$J$1127,Q$1)</f>
        <v>0</v>
      </c>
      <c r="R133" s="207">
        <f>SUMIFS('ноябрь 2023'!$G$76:$G$1127,'ноябрь 2023'!$D$76:$D$1127,$B133,'ноябрь 2023'!$J$76:$J$1127,R$1)</f>
        <v>0</v>
      </c>
      <c r="S133" s="207">
        <f>SUMIFS('ноябрь 2023'!$G$76:$G$1127,'ноябрь 2023'!$D$76:$D$1127,$B133,'ноябрь 2023'!$J$76:$J$1127,S$1)</f>
        <v>0</v>
      </c>
      <c r="T133" s="207">
        <f>SUMIFS('ноябрь 2023'!$G$76:$G$1127,'ноябрь 2023'!$D$76:$D$1127,$B133,'ноябрь 2023'!$J$76:$J$1127,T$1)</f>
        <v>0</v>
      </c>
      <c r="U133" s="207">
        <f>SUMIFS('ноябрь 2023'!$G$76:$G$1127,'ноябрь 2023'!$D$76:$D$1127,$B133,'ноябрь 2023'!$J$76:$J$1127,U$1)</f>
        <v>0</v>
      </c>
      <c r="V133" s="207">
        <f>SUMIFS('ноябрь 2023'!$G$76:$G$1127,'ноябрь 2023'!$D$76:$D$1127,$B133,'ноябрь 2023'!$J$76:$J$1127,V$1)</f>
        <v>0</v>
      </c>
      <c r="W133" s="207">
        <f>SUMIFS('ноябрь 2023'!$G$76:$G$1127,'ноябрь 2023'!$D$76:$D$1127,$B133,'ноябрь 2023'!$J$76:$J$1127,W$1)</f>
        <v>0</v>
      </c>
      <c r="X133" s="207">
        <f>SUMIFS('ноябрь 2023'!$G$76:$G$1127,'ноябрь 2023'!$D$76:$D$1127,$B133,'ноябрь 2023'!$J$76:$J$1127,X$1)</f>
        <v>0</v>
      </c>
      <c r="Y133" s="207">
        <f>SUMIFS('ноябрь 2023'!$G$76:$G$1127,'ноябрь 2023'!$D$76:$D$1127,$B133,'ноябрь 2023'!$J$76:$J$1127,Y$1)</f>
        <v>0</v>
      </c>
      <c r="Z133" s="207">
        <f>SUMIFS('ноябрь 2023'!$G$76:$G$1127,'ноябрь 2023'!$D$76:$D$1127,$B133,'ноябрь 2023'!$J$76:$J$1127,Z$1)</f>
        <v>0</v>
      </c>
      <c r="AA133" s="207">
        <f>SUMIFS('ноябрь 2023'!$G$76:$G$1127,'ноябрь 2023'!$D$76:$D$1127,$B133,'ноябрь 2023'!$J$76:$J$1127,AA$1)</f>
        <v>0</v>
      </c>
      <c r="AB133" s="207">
        <f>SUMIFS('ноябрь 2023'!$G$76:$G$1127,'ноябрь 2023'!$D$76:$D$1127,$B133,'ноябрь 2023'!$J$76:$J$1127,AB$1)</f>
        <v>0</v>
      </c>
      <c r="AC133" s="207">
        <f>SUMIFS('ноябрь 2023'!$G$76:$G$1127,'ноябрь 2023'!$D$76:$D$1127,$B133,'ноябрь 2023'!$J$76:$J$1127,AC$1)</f>
        <v>0</v>
      </c>
      <c r="AD133" s="207">
        <f>SUMIFS('ноябрь 2023'!$G$76:$G$1127,'ноябрь 2023'!$D$76:$D$1127,$B133,'ноябрь 2023'!$J$76:$J$1127,AD$1)</f>
        <v>0</v>
      </c>
      <c r="AE133" s="207">
        <f>SUMIFS('ноябрь 2023'!$G$76:$G$1127,'ноябрь 2023'!$D$76:$D$1127,$B133,'ноябрь 2023'!$J$76:$J$1127,AE$1)</f>
        <v>0</v>
      </c>
      <c r="AF133" s="207">
        <f>SUMIFS('ноябрь 2023'!$G$76:$G$1127,'ноябрь 2023'!$D$76:$D$1127,$B133,'ноябрь 2023'!$J$76:$J$1127,AF$1)</f>
        <v>0</v>
      </c>
      <c r="AG133" s="207">
        <f>SUMIFS('ноябрь 2023'!$G$76:$G$1127,'ноябрь 2023'!$D$76:$D$1127,$B133,'ноябрь 2023'!$J$76:$J$1127,AG$1)</f>
        <v>0</v>
      </c>
      <c r="AH133" s="207">
        <f>SUMIFS('ноябрь 2023'!$G$76:$G$1127,'ноябрь 2023'!$D$76:$D$1127,$B133,'ноябрь 2023'!$J$76:$J$1127,AH$1)</f>
        <v>0</v>
      </c>
      <c r="AI133" s="220"/>
    </row>
    <row r="134" spans="2:35" ht="15" hidden="1" customHeight="1" x14ac:dyDescent="0.25">
      <c r="B134" s="217"/>
      <c r="C134" s="213"/>
      <c r="D134" s="207">
        <f>SUMIFS('ноябрь 2023'!$G$76:$G$1127,'ноябрь 2023'!$D$76:$D$1127,$B134,'ноябрь 2023'!$J$76:$J$1127,D$1)</f>
        <v>0</v>
      </c>
      <c r="E134" s="207">
        <f>SUMIFS('ноябрь 2023'!$G$76:$G$1127,'ноябрь 2023'!$D$76:$D$1127,$B134,'ноябрь 2023'!$J$76:$J$1127,E$1)</f>
        <v>0</v>
      </c>
      <c r="F134" s="207">
        <f>SUMIFS('ноябрь 2023'!$G$76:$G$1127,'ноябрь 2023'!$D$76:$D$1127,$B134,'ноябрь 2023'!$J$76:$J$1127,F$1)</f>
        <v>0</v>
      </c>
      <c r="G134" s="207">
        <f>SUMIFS('ноябрь 2023'!$G$76:$G$1127,'ноябрь 2023'!$D$76:$D$1127,$B134,'ноябрь 2023'!$J$76:$J$1127,G$1)</f>
        <v>0</v>
      </c>
      <c r="H134" s="207">
        <f>SUMIFS('ноябрь 2023'!$G$76:$G$1127,'ноябрь 2023'!$D$76:$D$1127,$B134,'ноябрь 2023'!$J$76:$J$1127,H$1)</f>
        <v>0</v>
      </c>
      <c r="I134" s="207">
        <f>SUMIFS('ноябрь 2023'!$G$76:$G$1127,'ноябрь 2023'!$D$76:$D$1127,$B134,'ноябрь 2023'!$J$76:$J$1127,I$1)</f>
        <v>0</v>
      </c>
      <c r="J134" s="207">
        <f>SUMIFS('ноябрь 2023'!$G$76:$G$1127,'ноябрь 2023'!$D$76:$D$1127,$B134,'ноябрь 2023'!$J$76:$J$1127,J$1)</f>
        <v>0</v>
      </c>
      <c r="K134" s="207">
        <f>SUMIFS('ноябрь 2023'!$G$76:$G$1127,'ноябрь 2023'!$D$76:$D$1127,$B134,'ноябрь 2023'!$J$76:$J$1127,K$1)</f>
        <v>0</v>
      </c>
      <c r="L134" s="207">
        <f>SUMIFS('ноябрь 2023'!$G$76:$G$1127,'ноябрь 2023'!$D$76:$D$1127,$B134,'ноябрь 2023'!$J$76:$J$1127,L$1)</f>
        <v>0</v>
      </c>
      <c r="M134" s="207">
        <f>SUMIFS('ноябрь 2023'!$G$76:$G$1127,'ноябрь 2023'!$D$76:$D$1127,$B134,'ноябрь 2023'!$J$76:$J$1127,M$1)</f>
        <v>0</v>
      </c>
      <c r="N134" s="207">
        <f>SUMIFS('ноябрь 2023'!$G$76:$G$1127,'ноябрь 2023'!$D$76:$D$1127,$B134,'ноябрь 2023'!$J$76:$J$1127,N$1)</f>
        <v>0</v>
      </c>
      <c r="O134" s="207">
        <f>SUMIFS('ноябрь 2023'!$G$76:$G$1127,'ноябрь 2023'!$D$76:$D$1127,$B134,'ноябрь 2023'!$J$76:$J$1127,O$1)</f>
        <v>0</v>
      </c>
      <c r="P134" s="207">
        <f>SUMIFS('ноябрь 2023'!$G$76:$G$1127,'ноябрь 2023'!$D$76:$D$1127,$B134,'ноябрь 2023'!$J$76:$J$1127,P$1)</f>
        <v>0</v>
      </c>
      <c r="Q134" s="207">
        <f>SUMIFS('ноябрь 2023'!$G$76:$G$1127,'ноябрь 2023'!$D$76:$D$1127,$B134,'ноябрь 2023'!$J$76:$J$1127,Q$1)</f>
        <v>0</v>
      </c>
      <c r="R134" s="207">
        <f>SUMIFS('ноябрь 2023'!$G$76:$G$1127,'ноябрь 2023'!$D$76:$D$1127,$B134,'ноябрь 2023'!$J$76:$J$1127,R$1)</f>
        <v>0</v>
      </c>
      <c r="S134" s="207">
        <f>SUMIFS('ноябрь 2023'!$G$76:$G$1127,'ноябрь 2023'!$D$76:$D$1127,$B134,'ноябрь 2023'!$J$76:$J$1127,S$1)</f>
        <v>0</v>
      </c>
      <c r="T134" s="207">
        <f>SUMIFS('ноябрь 2023'!$G$76:$G$1127,'ноябрь 2023'!$D$76:$D$1127,$B134,'ноябрь 2023'!$J$76:$J$1127,T$1)</f>
        <v>0</v>
      </c>
      <c r="U134" s="207">
        <f>SUMIFS('ноябрь 2023'!$G$76:$G$1127,'ноябрь 2023'!$D$76:$D$1127,$B134,'ноябрь 2023'!$J$76:$J$1127,U$1)</f>
        <v>0</v>
      </c>
      <c r="V134" s="207">
        <f>SUMIFS('ноябрь 2023'!$G$76:$G$1127,'ноябрь 2023'!$D$76:$D$1127,$B134,'ноябрь 2023'!$J$76:$J$1127,V$1)</f>
        <v>0</v>
      </c>
      <c r="W134" s="207">
        <f>SUMIFS('ноябрь 2023'!$G$76:$G$1127,'ноябрь 2023'!$D$76:$D$1127,$B134,'ноябрь 2023'!$J$76:$J$1127,W$1)</f>
        <v>0</v>
      </c>
      <c r="X134" s="207">
        <f>SUMIFS('ноябрь 2023'!$G$76:$G$1127,'ноябрь 2023'!$D$76:$D$1127,$B134,'ноябрь 2023'!$J$76:$J$1127,X$1)</f>
        <v>0</v>
      </c>
      <c r="Y134" s="207">
        <f>SUMIFS('ноябрь 2023'!$G$76:$G$1127,'ноябрь 2023'!$D$76:$D$1127,$B134,'ноябрь 2023'!$J$76:$J$1127,Y$1)</f>
        <v>0</v>
      </c>
      <c r="Z134" s="207">
        <f>SUMIFS('ноябрь 2023'!$G$76:$G$1127,'ноябрь 2023'!$D$76:$D$1127,$B134,'ноябрь 2023'!$J$76:$J$1127,Z$1)</f>
        <v>0</v>
      </c>
      <c r="AA134" s="207">
        <f>SUMIFS('ноябрь 2023'!$G$76:$G$1127,'ноябрь 2023'!$D$76:$D$1127,$B134,'ноябрь 2023'!$J$76:$J$1127,AA$1)</f>
        <v>0</v>
      </c>
      <c r="AB134" s="207">
        <f>SUMIFS('ноябрь 2023'!$G$76:$G$1127,'ноябрь 2023'!$D$76:$D$1127,$B134,'ноябрь 2023'!$J$76:$J$1127,AB$1)</f>
        <v>0</v>
      </c>
      <c r="AC134" s="207">
        <f>SUMIFS('ноябрь 2023'!$G$76:$G$1127,'ноябрь 2023'!$D$76:$D$1127,$B134,'ноябрь 2023'!$J$76:$J$1127,AC$1)</f>
        <v>0</v>
      </c>
      <c r="AD134" s="207">
        <f>SUMIFS('ноябрь 2023'!$G$76:$G$1127,'ноябрь 2023'!$D$76:$D$1127,$B134,'ноябрь 2023'!$J$76:$J$1127,AD$1)</f>
        <v>0</v>
      </c>
      <c r="AE134" s="207">
        <f>SUMIFS('ноябрь 2023'!$G$76:$G$1127,'ноябрь 2023'!$D$76:$D$1127,$B134,'ноябрь 2023'!$J$76:$J$1127,AE$1)</f>
        <v>0</v>
      </c>
      <c r="AF134" s="207">
        <f>SUMIFS('ноябрь 2023'!$G$76:$G$1127,'ноябрь 2023'!$D$76:$D$1127,$B134,'ноябрь 2023'!$J$76:$J$1127,AF$1)</f>
        <v>0</v>
      </c>
      <c r="AG134" s="207">
        <f>SUMIFS('ноябрь 2023'!$G$76:$G$1127,'ноябрь 2023'!$D$76:$D$1127,$B134,'ноябрь 2023'!$J$76:$J$1127,AG$1)</f>
        <v>0</v>
      </c>
      <c r="AH134" s="207">
        <f>SUMIFS('ноябрь 2023'!$G$76:$G$1127,'ноябрь 2023'!$D$76:$D$1127,$B134,'ноябрь 2023'!$J$76:$J$1127,AH$1)</f>
        <v>0</v>
      </c>
      <c r="AI134" s="220"/>
    </row>
    <row r="135" spans="2:35" ht="15" hidden="1" customHeight="1" x14ac:dyDescent="0.25">
      <c r="B135" s="212"/>
      <c r="C135" s="213"/>
      <c r="D135" s="207">
        <f>SUMIFS('ноябрь 2023'!$G$76:$G$1127,'ноябрь 2023'!$D$76:$D$1127,$B135,'ноябрь 2023'!$J$76:$J$1127,D$1)</f>
        <v>0</v>
      </c>
      <c r="E135" s="207">
        <f>SUMIFS('ноябрь 2023'!$G$76:$G$1127,'ноябрь 2023'!$D$76:$D$1127,$B135,'ноябрь 2023'!$J$76:$J$1127,E$1)</f>
        <v>0</v>
      </c>
      <c r="F135" s="207">
        <f>SUMIFS('ноябрь 2023'!$G$76:$G$1127,'ноябрь 2023'!$D$76:$D$1127,$B135,'ноябрь 2023'!$J$76:$J$1127,F$1)</f>
        <v>0</v>
      </c>
      <c r="G135" s="207">
        <f>SUMIFS('ноябрь 2023'!$G$76:$G$1127,'ноябрь 2023'!$D$76:$D$1127,$B135,'ноябрь 2023'!$J$76:$J$1127,G$1)</f>
        <v>0</v>
      </c>
      <c r="H135" s="207">
        <f>SUMIFS('ноябрь 2023'!$G$76:$G$1127,'ноябрь 2023'!$D$76:$D$1127,$B135,'ноябрь 2023'!$J$76:$J$1127,H$1)</f>
        <v>0</v>
      </c>
      <c r="I135" s="207">
        <f>SUMIFS('ноябрь 2023'!$G$76:$G$1127,'ноябрь 2023'!$D$76:$D$1127,$B135,'ноябрь 2023'!$J$76:$J$1127,I$1)</f>
        <v>0</v>
      </c>
      <c r="J135" s="207">
        <f>SUMIFS('ноябрь 2023'!$G$76:$G$1127,'ноябрь 2023'!$D$76:$D$1127,$B135,'ноябрь 2023'!$J$76:$J$1127,J$1)</f>
        <v>0</v>
      </c>
      <c r="K135" s="207">
        <f>SUMIFS('ноябрь 2023'!$G$76:$G$1127,'ноябрь 2023'!$D$76:$D$1127,$B135,'ноябрь 2023'!$J$76:$J$1127,K$1)</f>
        <v>0</v>
      </c>
      <c r="L135" s="207">
        <f>SUMIFS('ноябрь 2023'!$G$76:$G$1127,'ноябрь 2023'!$D$76:$D$1127,$B135,'ноябрь 2023'!$J$76:$J$1127,L$1)</f>
        <v>0</v>
      </c>
      <c r="M135" s="207">
        <f>SUMIFS('ноябрь 2023'!$G$76:$G$1127,'ноябрь 2023'!$D$76:$D$1127,$B135,'ноябрь 2023'!$J$76:$J$1127,M$1)</f>
        <v>0</v>
      </c>
      <c r="N135" s="207">
        <f>SUMIFS('ноябрь 2023'!$G$76:$G$1127,'ноябрь 2023'!$D$76:$D$1127,$B135,'ноябрь 2023'!$J$76:$J$1127,N$1)</f>
        <v>0</v>
      </c>
      <c r="O135" s="207">
        <f>SUMIFS('ноябрь 2023'!$G$76:$G$1127,'ноябрь 2023'!$D$76:$D$1127,$B135,'ноябрь 2023'!$J$76:$J$1127,O$1)</f>
        <v>0</v>
      </c>
      <c r="P135" s="207">
        <f>SUMIFS('ноябрь 2023'!$G$76:$G$1127,'ноябрь 2023'!$D$76:$D$1127,$B135,'ноябрь 2023'!$J$76:$J$1127,P$1)</f>
        <v>0</v>
      </c>
      <c r="Q135" s="207">
        <f>SUMIFS('ноябрь 2023'!$G$76:$G$1127,'ноябрь 2023'!$D$76:$D$1127,$B135,'ноябрь 2023'!$J$76:$J$1127,Q$1)</f>
        <v>0</v>
      </c>
      <c r="R135" s="207">
        <f>SUMIFS('ноябрь 2023'!$G$76:$G$1127,'ноябрь 2023'!$D$76:$D$1127,$B135,'ноябрь 2023'!$J$76:$J$1127,R$1)</f>
        <v>0</v>
      </c>
      <c r="S135" s="207">
        <f>SUMIFS('ноябрь 2023'!$G$76:$G$1127,'ноябрь 2023'!$D$76:$D$1127,$B135,'ноябрь 2023'!$J$76:$J$1127,S$1)</f>
        <v>0</v>
      </c>
      <c r="T135" s="207">
        <f>SUMIFS('ноябрь 2023'!$G$76:$G$1127,'ноябрь 2023'!$D$76:$D$1127,$B135,'ноябрь 2023'!$J$76:$J$1127,T$1)</f>
        <v>0</v>
      </c>
      <c r="U135" s="207">
        <f>SUMIFS('ноябрь 2023'!$G$76:$G$1127,'ноябрь 2023'!$D$76:$D$1127,$B135,'ноябрь 2023'!$J$76:$J$1127,U$1)</f>
        <v>0</v>
      </c>
      <c r="V135" s="207">
        <f>SUMIFS('ноябрь 2023'!$G$76:$G$1127,'ноябрь 2023'!$D$76:$D$1127,$B135,'ноябрь 2023'!$J$76:$J$1127,V$1)</f>
        <v>0</v>
      </c>
      <c r="W135" s="207">
        <f>SUMIFS('ноябрь 2023'!$G$76:$G$1127,'ноябрь 2023'!$D$76:$D$1127,$B135,'ноябрь 2023'!$J$76:$J$1127,W$1)</f>
        <v>0</v>
      </c>
      <c r="X135" s="207">
        <f>SUMIFS('ноябрь 2023'!$G$76:$G$1127,'ноябрь 2023'!$D$76:$D$1127,$B135,'ноябрь 2023'!$J$76:$J$1127,X$1)</f>
        <v>0</v>
      </c>
      <c r="Y135" s="207">
        <f>SUMIFS('ноябрь 2023'!$G$76:$G$1127,'ноябрь 2023'!$D$76:$D$1127,$B135,'ноябрь 2023'!$J$76:$J$1127,Y$1)</f>
        <v>0</v>
      </c>
      <c r="Z135" s="207">
        <f>SUMIFS('ноябрь 2023'!$G$76:$G$1127,'ноябрь 2023'!$D$76:$D$1127,$B135,'ноябрь 2023'!$J$76:$J$1127,Z$1)</f>
        <v>0</v>
      </c>
      <c r="AA135" s="207">
        <f>SUMIFS('ноябрь 2023'!$G$76:$G$1127,'ноябрь 2023'!$D$76:$D$1127,$B135,'ноябрь 2023'!$J$76:$J$1127,AA$1)</f>
        <v>0</v>
      </c>
      <c r="AB135" s="207">
        <f>SUMIFS('ноябрь 2023'!$G$76:$G$1127,'ноябрь 2023'!$D$76:$D$1127,$B135,'ноябрь 2023'!$J$76:$J$1127,AB$1)</f>
        <v>0</v>
      </c>
      <c r="AC135" s="207">
        <f>SUMIFS('ноябрь 2023'!$G$76:$G$1127,'ноябрь 2023'!$D$76:$D$1127,$B135,'ноябрь 2023'!$J$76:$J$1127,AC$1)</f>
        <v>0</v>
      </c>
      <c r="AD135" s="207">
        <f>SUMIFS('ноябрь 2023'!$G$76:$G$1127,'ноябрь 2023'!$D$76:$D$1127,$B135,'ноябрь 2023'!$J$76:$J$1127,AD$1)</f>
        <v>0</v>
      </c>
      <c r="AE135" s="207">
        <f>SUMIFS('ноябрь 2023'!$G$76:$G$1127,'ноябрь 2023'!$D$76:$D$1127,$B135,'ноябрь 2023'!$J$76:$J$1127,AE$1)</f>
        <v>0</v>
      </c>
      <c r="AF135" s="207">
        <f>SUMIFS('ноябрь 2023'!$G$76:$G$1127,'ноябрь 2023'!$D$76:$D$1127,$B135,'ноябрь 2023'!$J$76:$J$1127,AF$1)</f>
        <v>0</v>
      </c>
      <c r="AG135" s="207">
        <f>SUMIFS('ноябрь 2023'!$G$76:$G$1127,'ноябрь 2023'!$D$76:$D$1127,$B135,'ноябрь 2023'!$J$76:$J$1127,AG$1)</f>
        <v>0</v>
      </c>
      <c r="AH135" s="207">
        <f>SUMIFS('ноябрь 2023'!$G$76:$G$1127,'ноябрь 2023'!$D$76:$D$1127,$B135,'ноябрь 2023'!$J$76:$J$1127,AH$1)</f>
        <v>0</v>
      </c>
      <c r="AI135" s="220"/>
    </row>
    <row r="136" spans="2:35" ht="15" hidden="1" customHeight="1" x14ac:dyDescent="0.25">
      <c r="B136" s="212"/>
      <c r="C136" s="211"/>
      <c r="D136" s="207">
        <f>SUMIFS('ноябрь 2023'!$G$76:$G$1127,'ноябрь 2023'!$D$76:$D$1127,$B136,'ноябрь 2023'!$J$76:$J$1127,D$1)</f>
        <v>0</v>
      </c>
      <c r="E136" s="207">
        <f>SUMIFS('ноябрь 2023'!$G$76:$G$1127,'ноябрь 2023'!$D$76:$D$1127,$B136,'ноябрь 2023'!$J$76:$J$1127,E$1)</f>
        <v>0</v>
      </c>
      <c r="F136" s="207">
        <f>SUMIFS('ноябрь 2023'!$G$76:$G$1127,'ноябрь 2023'!$D$76:$D$1127,$B136,'ноябрь 2023'!$J$76:$J$1127,F$1)</f>
        <v>0</v>
      </c>
      <c r="G136" s="207">
        <f>SUMIFS('ноябрь 2023'!$G$76:$G$1127,'ноябрь 2023'!$D$76:$D$1127,$B136,'ноябрь 2023'!$J$76:$J$1127,G$1)</f>
        <v>0</v>
      </c>
      <c r="H136" s="207">
        <f>SUMIFS('ноябрь 2023'!$G$76:$G$1127,'ноябрь 2023'!$D$76:$D$1127,$B136,'ноябрь 2023'!$J$76:$J$1127,H$1)</f>
        <v>0</v>
      </c>
      <c r="I136" s="207">
        <f>SUMIFS('ноябрь 2023'!$G$76:$G$1127,'ноябрь 2023'!$D$76:$D$1127,$B136,'ноябрь 2023'!$J$76:$J$1127,I$1)</f>
        <v>0</v>
      </c>
      <c r="J136" s="207">
        <f>SUMIFS('ноябрь 2023'!$G$76:$G$1127,'ноябрь 2023'!$D$76:$D$1127,$B136,'ноябрь 2023'!$J$76:$J$1127,J$1)</f>
        <v>0</v>
      </c>
      <c r="K136" s="207">
        <f>SUMIFS('ноябрь 2023'!$G$76:$G$1127,'ноябрь 2023'!$D$76:$D$1127,$B136,'ноябрь 2023'!$J$76:$J$1127,K$1)</f>
        <v>0</v>
      </c>
      <c r="L136" s="207">
        <f>SUMIFS('ноябрь 2023'!$G$76:$G$1127,'ноябрь 2023'!$D$76:$D$1127,$B136,'ноябрь 2023'!$J$76:$J$1127,L$1)</f>
        <v>0</v>
      </c>
      <c r="M136" s="207">
        <f>SUMIFS('ноябрь 2023'!$G$76:$G$1127,'ноябрь 2023'!$D$76:$D$1127,$B136,'ноябрь 2023'!$J$76:$J$1127,M$1)</f>
        <v>0</v>
      </c>
      <c r="N136" s="207">
        <f>SUMIFS('ноябрь 2023'!$G$76:$G$1127,'ноябрь 2023'!$D$76:$D$1127,$B136,'ноябрь 2023'!$J$76:$J$1127,N$1)</f>
        <v>0</v>
      </c>
      <c r="O136" s="207">
        <f>SUMIFS('ноябрь 2023'!$G$76:$G$1127,'ноябрь 2023'!$D$76:$D$1127,$B136,'ноябрь 2023'!$J$76:$J$1127,O$1)</f>
        <v>0</v>
      </c>
      <c r="P136" s="207">
        <f>SUMIFS('ноябрь 2023'!$G$76:$G$1127,'ноябрь 2023'!$D$76:$D$1127,$B136,'ноябрь 2023'!$J$76:$J$1127,P$1)</f>
        <v>0</v>
      </c>
      <c r="Q136" s="207">
        <f>SUMIFS('ноябрь 2023'!$G$76:$G$1127,'ноябрь 2023'!$D$76:$D$1127,$B136,'ноябрь 2023'!$J$76:$J$1127,Q$1)</f>
        <v>0</v>
      </c>
      <c r="R136" s="207">
        <f>SUMIFS('ноябрь 2023'!$G$76:$G$1127,'ноябрь 2023'!$D$76:$D$1127,$B136,'ноябрь 2023'!$J$76:$J$1127,R$1)</f>
        <v>0</v>
      </c>
      <c r="S136" s="207">
        <f>SUMIFS('ноябрь 2023'!$G$76:$G$1127,'ноябрь 2023'!$D$76:$D$1127,$B136,'ноябрь 2023'!$J$76:$J$1127,S$1)</f>
        <v>0</v>
      </c>
      <c r="T136" s="207">
        <f>SUMIFS('ноябрь 2023'!$G$76:$G$1127,'ноябрь 2023'!$D$76:$D$1127,$B136,'ноябрь 2023'!$J$76:$J$1127,T$1)</f>
        <v>0</v>
      </c>
      <c r="U136" s="207">
        <f>SUMIFS('ноябрь 2023'!$G$76:$G$1127,'ноябрь 2023'!$D$76:$D$1127,$B136,'ноябрь 2023'!$J$76:$J$1127,U$1)</f>
        <v>0</v>
      </c>
      <c r="V136" s="207">
        <f>SUMIFS('ноябрь 2023'!$G$76:$G$1127,'ноябрь 2023'!$D$76:$D$1127,$B136,'ноябрь 2023'!$J$76:$J$1127,V$1)</f>
        <v>0</v>
      </c>
      <c r="W136" s="207">
        <f>SUMIFS('ноябрь 2023'!$G$76:$G$1127,'ноябрь 2023'!$D$76:$D$1127,$B136,'ноябрь 2023'!$J$76:$J$1127,W$1)</f>
        <v>0</v>
      </c>
      <c r="X136" s="207">
        <f>SUMIFS('ноябрь 2023'!$G$76:$G$1127,'ноябрь 2023'!$D$76:$D$1127,$B136,'ноябрь 2023'!$J$76:$J$1127,X$1)</f>
        <v>0</v>
      </c>
      <c r="Y136" s="207">
        <f>SUMIFS('ноябрь 2023'!$G$76:$G$1127,'ноябрь 2023'!$D$76:$D$1127,$B136,'ноябрь 2023'!$J$76:$J$1127,Y$1)</f>
        <v>0</v>
      </c>
      <c r="Z136" s="207">
        <f>SUMIFS('ноябрь 2023'!$G$76:$G$1127,'ноябрь 2023'!$D$76:$D$1127,$B136,'ноябрь 2023'!$J$76:$J$1127,Z$1)</f>
        <v>0</v>
      </c>
      <c r="AA136" s="207">
        <f>SUMIFS('ноябрь 2023'!$G$76:$G$1127,'ноябрь 2023'!$D$76:$D$1127,$B136,'ноябрь 2023'!$J$76:$J$1127,AA$1)</f>
        <v>0</v>
      </c>
      <c r="AB136" s="207">
        <f>SUMIFS('ноябрь 2023'!$G$76:$G$1127,'ноябрь 2023'!$D$76:$D$1127,$B136,'ноябрь 2023'!$J$76:$J$1127,AB$1)</f>
        <v>0</v>
      </c>
      <c r="AC136" s="207">
        <f>SUMIFS('ноябрь 2023'!$G$76:$G$1127,'ноябрь 2023'!$D$76:$D$1127,$B136,'ноябрь 2023'!$J$76:$J$1127,AC$1)</f>
        <v>0</v>
      </c>
      <c r="AD136" s="207">
        <f>SUMIFS('ноябрь 2023'!$G$76:$G$1127,'ноябрь 2023'!$D$76:$D$1127,$B136,'ноябрь 2023'!$J$76:$J$1127,AD$1)</f>
        <v>0</v>
      </c>
      <c r="AE136" s="207">
        <f>SUMIFS('ноябрь 2023'!$G$76:$G$1127,'ноябрь 2023'!$D$76:$D$1127,$B136,'ноябрь 2023'!$J$76:$J$1127,AE$1)</f>
        <v>0</v>
      </c>
      <c r="AF136" s="207">
        <f>SUMIFS('ноябрь 2023'!$G$76:$G$1127,'ноябрь 2023'!$D$76:$D$1127,$B136,'ноябрь 2023'!$J$76:$J$1127,AF$1)</f>
        <v>0</v>
      </c>
      <c r="AG136" s="207">
        <f>SUMIFS('ноябрь 2023'!$G$76:$G$1127,'ноябрь 2023'!$D$76:$D$1127,$B136,'ноябрь 2023'!$J$76:$J$1127,AG$1)</f>
        <v>0</v>
      </c>
      <c r="AH136" s="207">
        <f>SUMIFS('ноябрь 2023'!$G$76:$G$1127,'ноябрь 2023'!$D$76:$D$1127,$B136,'ноябрь 2023'!$J$76:$J$1127,AH$1)</f>
        <v>0</v>
      </c>
      <c r="AI136" s="220"/>
    </row>
    <row r="137" spans="2:35" ht="15" hidden="1" customHeight="1" x14ac:dyDescent="0.25">
      <c r="B137" s="212"/>
      <c r="C137" s="211"/>
      <c r="D137" s="207">
        <f>SUMIFS('ноябрь 2023'!$G$76:$G$1127,'ноябрь 2023'!$D$76:$D$1127,$B137,'ноябрь 2023'!$J$76:$J$1127,D$1)</f>
        <v>0</v>
      </c>
      <c r="E137" s="207">
        <f>SUMIFS('ноябрь 2023'!$G$76:$G$1127,'ноябрь 2023'!$D$76:$D$1127,$B137,'ноябрь 2023'!$J$76:$J$1127,E$1)</f>
        <v>0</v>
      </c>
      <c r="F137" s="207">
        <f>SUMIFS('ноябрь 2023'!$G$76:$G$1127,'ноябрь 2023'!$D$76:$D$1127,$B137,'ноябрь 2023'!$J$76:$J$1127,F$1)</f>
        <v>0</v>
      </c>
      <c r="G137" s="207">
        <f>SUMIFS('ноябрь 2023'!$G$76:$G$1127,'ноябрь 2023'!$D$76:$D$1127,$B137,'ноябрь 2023'!$J$76:$J$1127,G$1)</f>
        <v>0</v>
      </c>
      <c r="H137" s="207">
        <f>SUMIFS('ноябрь 2023'!$G$76:$G$1127,'ноябрь 2023'!$D$76:$D$1127,$B137,'ноябрь 2023'!$J$76:$J$1127,H$1)</f>
        <v>0</v>
      </c>
      <c r="I137" s="207">
        <f>SUMIFS('ноябрь 2023'!$G$76:$G$1127,'ноябрь 2023'!$D$76:$D$1127,$B137,'ноябрь 2023'!$J$76:$J$1127,I$1)</f>
        <v>0</v>
      </c>
      <c r="J137" s="207">
        <f>SUMIFS('ноябрь 2023'!$G$76:$G$1127,'ноябрь 2023'!$D$76:$D$1127,$B137,'ноябрь 2023'!$J$76:$J$1127,J$1)</f>
        <v>0</v>
      </c>
      <c r="K137" s="207">
        <f>SUMIFS('ноябрь 2023'!$G$76:$G$1127,'ноябрь 2023'!$D$76:$D$1127,$B137,'ноябрь 2023'!$J$76:$J$1127,K$1)</f>
        <v>0</v>
      </c>
      <c r="L137" s="207">
        <f>SUMIFS('ноябрь 2023'!$G$76:$G$1127,'ноябрь 2023'!$D$76:$D$1127,$B137,'ноябрь 2023'!$J$76:$J$1127,L$1)</f>
        <v>0</v>
      </c>
      <c r="M137" s="207">
        <f>SUMIFS('ноябрь 2023'!$G$76:$G$1127,'ноябрь 2023'!$D$76:$D$1127,$B137,'ноябрь 2023'!$J$76:$J$1127,M$1)</f>
        <v>0</v>
      </c>
      <c r="N137" s="207">
        <f>SUMIFS('ноябрь 2023'!$G$76:$G$1127,'ноябрь 2023'!$D$76:$D$1127,$B137,'ноябрь 2023'!$J$76:$J$1127,N$1)</f>
        <v>0</v>
      </c>
      <c r="O137" s="207">
        <f>SUMIFS('ноябрь 2023'!$G$76:$G$1127,'ноябрь 2023'!$D$76:$D$1127,$B137,'ноябрь 2023'!$J$76:$J$1127,O$1)</f>
        <v>0</v>
      </c>
      <c r="P137" s="207">
        <f>SUMIFS('ноябрь 2023'!$G$76:$G$1127,'ноябрь 2023'!$D$76:$D$1127,$B137,'ноябрь 2023'!$J$76:$J$1127,P$1)</f>
        <v>0</v>
      </c>
      <c r="Q137" s="207">
        <f>SUMIFS('ноябрь 2023'!$G$76:$G$1127,'ноябрь 2023'!$D$76:$D$1127,$B137,'ноябрь 2023'!$J$76:$J$1127,Q$1)</f>
        <v>0</v>
      </c>
      <c r="R137" s="207">
        <f>SUMIFS('ноябрь 2023'!$G$76:$G$1127,'ноябрь 2023'!$D$76:$D$1127,$B137,'ноябрь 2023'!$J$76:$J$1127,R$1)</f>
        <v>0</v>
      </c>
      <c r="S137" s="207">
        <f>SUMIFS('ноябрь 2023'!$G$76:$G$1127,'ноябрь 2023'!$D$76:$D$1127,$B137,'ноябрь 2023'!$J$76:$J$1127,S$1)</f>
        <v>0</v>
      </c>
      <c r="T137" s="207">
        <f>SUMIFS('ноябрь 2023'!$G$76:$G$1127,'ноябрь 2023'!$D$76:$D$1127,$B137,'ноябрь 2023'!$J$76:$J$1127,T$1)</f>
        <v>0</v>
      </c>
      <c r="U137" s="207">
        <f>SUMIFS('ноябрь 2023'!$G$76:$G$1127,'ноябрь 2023'!$D$76:$D$1127,$B137,'ноябрь 2023'!$J$76:$J$1127,U$1)</f>
        <v>0</v>
      </c>
      <c r="V137" s="207">
        <f>SUMIFS('ноябрь 2023'!$G$76:$G$1127,'ноябрь 2023'!$D$76:$D$1127,$B137,'ноябрь 2023'!$J$76:$J$1127,V$1)</f>
        <v>0</v>
      </c>
      <c r="W137" s="207">
        <f>SUMIFS('ноябрь 2023'!$G$76:$G$1127,'ноябрь 2023'!$D$76:$D$1127,$B137,'ноябрь 2023'!$J$76:$J$1127,W$1)</f>
        <v>0</v>
      </c>
      <c r="X137" s="207">
        <f>SUMIFS('ноябрь 2023'!$G$76:$G$1127,'ноябрь 2023'!$D$76:$D$1127,$B137,'ноябрь 2023'!$J$76:$J$1127,X$1)</f>
        <v>0</v>
      </c>
      <c r="Y137" s="207">
        <f>SUMIFS('ноябрь 2023'!$G$76:$G$1127,'ноябрь 2023'!$D$76:$D$1127,$B137,'ноябрь 2023'!$J$76:$J$1127,Y$1)</f>
        <v>0</v>
      </c>
      <c r="Z137" s="207">
        <f>SUMIFS('ноябрь 2023'!$G$76:$G$1127,'ноябрь 2023'!$D$76:$D$1127,$B137,'ноябрь 2023'!$J$76:$J$1127,Z$1)</f>
        <v>0</v>
      </c>
      <c r="AA137" s="207">
        <f>SUMIFS('ноябрь 2023'!$G$76:$G$1127,'ноябрь 2023'!$D$76:$D$1127,$B137,'ноябрь 2023'!$J$76:$J$1127,AA$1)</f>
        <v>0</v>
      </c>
      <c r="AB137" s="207">
        <f>SUMIFS('ноябрь 2023'!$G$76:$G$1127,'ноябрь 2023'!$D$76:$D$1127,$B137,'ноябрь 2023'!$J$76:$J$1127,AB$1)</f>
        <v>0</v>
      </c>
      <c r="AC137" s="207">
        <f>SUMIFS('ноябрь 2023'!$G$76:$G$1127,'ноябрь 2023'!$D$76:$D$1127,$B137,'ноябрь 2023'!$J$76:$J$1127,AC$1)</f>
        <v>0</v>
      </c>
      <c r="AD137" s="207">
        <f>SUMIFS('ноябрь 2023'!$G$76:$G$1127,'ноябрь 2023'!$D$76:$D$1127,$B137,'ноябрь 2023'!$J$76:$J$1127,AD$1)</f>
        <v>0</v>
      </c>
      <c r="AE137" s="207">
        <f>SUMIFS('ноябрь 2023'!$G$76:$G$1127,'ноябрь 2023'!$D$76:$D$1127,$B137,'ноябрь 2023'!$J$76:$J$1127,AE$1)</f>
        <v>0</v>
      </c>
      <c r="AF137" s="207">
        <f>SUMIFS('ноябрь 2023'!$G$76:$G$1127,'ноябрь 2023'!$D$76:$D$1127,$B137,'ноябрь 2023'!$J$76:$J$1127,AF$1)</f>
        <v>0</v>
      </c>
      <c r="AG137" s="207">
        <f>SUMIFS('ноябрь 2023'!$G$76:$G$1127,'ноябрь 2023'!$D$76:$D$1127,$B137,'ноябрь 2023'!$J$76:$J$1127,AG$1)</f>
        <v>0</v>
      </c>
      <c r="AH137" s="207">
        <f>SUMIFS('ноябрь 2023'!$G$76:$G$1127,'ноябрь 2023'!$D$76:$D$1127,$B137,'ноябрь 2023'!$J$76:$J$1127,AH$1)</f>
        <v>0</v>
      </c>
      <c r="AI137" s="220"/>
    </row>
    <row r="138" spans="2:35" ht="15" hidden="1" customHeight="1" x14ac:dyDescent="0.25">
      <c r="B138" s="212"/>
      <c r="C138" s="211"/>
      <c r="D138" s="207">
        <f>SUMIFS('ноябрь 2023'!$G$76:$G$1127,'ноябрь 2023'!$D$76:$D$1127,$B138,'ноябрь 2023'!$J$76:$J$1127,D$1)</f>
        <v>0</v>
      </c>
      <c r="E138" s="207">
        <f>SUMIFS('ноябрь 2023'!$G$76:$G$1127,'ноябрь 2023'!$D$76:$D$1127,$B138,'ноябрь 2023'!$J$76:$J$1127,E$1)</f>
        <v>0</v>
      </c>
      <c r="F138" s="207">
        <f>SUMIFS('ноябрь 2023'!$G$76:$G$1127,'ноябрь 2023'!$D$76:$D$1127,$B138,'ноябрь 2023'!$J$76:$J$1127,F$1)</f>
        <v>0</v>
      </c>
      <c r="G138" s="207">
        <f>SUMIFS('ноябрь 2023'!$G$76:$G$1127,'ноябрь 2023'!$D$76:$D$1127,$B138,'ноябрь 2023'!$J$76:$J$1127,G$1)</f>
        <v>0</v>
      </c>
      <c r="H138" s="207">
        <f>SUMIFS('ноябрь 2023'!$G$76:$G$1127,'ноябрь 2023'!$D$76:$D$1127,$B138,'ноябрь 2023'!$J$76:$J$1127,H$1)</f>
        <v>0</v>
      </c>
      <c r="I138" s="207">
        <f>SUMIFS('ноябрь 2023'!$G$76:$G$1127,'ноябрь 2023'!$D$76:$D$1127,$B138,'ноябрь 2023'!$J$76:$J$1127,I$1)</f>
        <v>0</v>
      </c>
      <c r="J138" s="207">
        <f>SUMIFS('ноябрь 2023'!$G$76:$G$1127,'ноябрь 2023'!$D$76:$D$1127,$B138,'ноябрь 2023'!$J$76:$J$1127,J$1)</f>
        <v>0</v>
      </c>
      <c r="K138" s="207">
        <f>SUMIFS('ноябрь 2023'!$G$76:$G$1127,'ноябрь 2023'!$D$76:$D$1127,$B138,'ноябрь 2023'!$J$76:$J$1127,K$1)</f>
        <v>0</v>
      </c>
      <c r="L138" s="207">
        <f>SUMIFS('ноябрь 2023'!$G$76:$G$1127,'ноябрь 2023'!$D$76:$D$1127,$B138,'ноябрь 2023'!$J$76:$J$1127,L$1)</f>
        <v>0</v>
      </c>
      <c r="M138" s="207">
        <f>SUMIFS('ноябрь 2023'!$G$76:$G$1127,'ноябрь 2023'!$D$76:$D$1127,$B138,'ноябрь 2023'!$J$76:$J$1127,M$1)</f>
        <v>0</v>
      </c>
      <c r="N138" s="207">
        <f>SUMIFS('ноябрь 2023'!$G$76:$G$1127,'ноябрь 2023'!$D$76:$D$1127,$B138,'ноябрь 2023'!$J$76:$J$1127,N$1)</f>
        <v>0</v>
      </c>
      <c r="O138" s="207">
        <f>SUMIFS('ноябрь 2023'!$G$76:$G$1127,'ноябрь 2023'!$D$76:$D$1127,$B138,'ноябрь 2023'!$J$76:$J$1127,O$1)</f>
        <v>0</v>
      </c>
      <c r="P138" s="207">
        <f>SUMIFS('ноябрь 2023'!$G$76:$G$1127,'ноябрь 2023'!$D$76:$D$1127,$B138,'ноябрь 2023'!$J$76:$J$1127,P$1)</f>
        <v>0</v>
      </c>
      <c r="Q138" s="207">
        <f>SUMIFS('ноябрь 2023'!$G$76:$G$1127,'ноябрь 2023'!$D$76:$D$1127,$B138,'ноябрь 2023'!$J$76:$J$1127,Q$1)</f>
        <v>0</v>
      </c>
      <c r="R138" s="207">
        <f>SUMIFS('ноябрь 2023'!$G$76:$G$1127,'ноябрь 2023'!$D$76:$D$1127,$B138,'ноябрь 2023'!$J$76:$J$1127,R$1)</f>
        <v>0</v>
      </c>
      <c r="S138" s="207">
        <f>SUMIFS('ноябрь 2023'!$G$76:$G$1127,'ноябрь 2023'!$D$76:$D$1127,$B138,'ноябрь 2023'!$J$76:$J$1127,S$1)</f>
        <v>0</v>
      </c>
      <c r="T138" s="207">
        <f>SUMIFS('ноябрь 2023'!$G$76:$G$1127,'ноябрь 2023'!$D$76:$D$1127,$B138,'ноябрь 2023'!$J$76:$J$1127,T$1)</f>
        <v>0</v>
      </c>
      <c r="U138" s="207">
        <f>SUMIFS('ноябрь 2023'!$G$76:$G$1127,'ноябрь 2023'!$D$76:$D$1127,$B138,'ноябрь 2023'!$J$76:$J$1127,U$1)</f>
        <v>0</v>
      </c>
      <c r="V138" s="207">
        <f>SUMIFS('ноябрь 2023'!$G$76:$G$1127,'ноябрь 2023'!$D$76:$D$1127,$B138,'ноябрь 2023'!$J$76:$J$1127,V$1)</f>
        <v>0</v>
      </c>
      <c r="W138" s="207">
        <f>SUMIFS('ноябрь 2023'!$G$76:$G$1127,'ноябрь 2023'!$D$76:$D$1127,$B138,'ноябрь 2023'!$J$76:$J$1127,W$1)</f>
        <v>0</v>
      </c>
      <c r="X138" s="207">
        <f>SUMIFS('ноябрь 2023'!$G$76:$G$1127,'ноябрь 2023'!$D$76:$D$1127,$B138,'ноябрь 2023'!$J$76:$J$1127,X$1)</f>
        <v>0</v>
      </c>
      <c r="Y138" s="207">
        <f>SUMIFS('ноябрь 2023'!$G$76:$G$1127,'ноябрь 2023'!$D$76:$D$1127,$B138,'ноябрь 2023'!$J$76:$J$1127,Y$1)</f>
        <v>0</v>
      </c>
      <c r="Z138" s="207">
        <f>SUMIFS('ноябрь 2023'!$G$76:$G$1127,'ноябрь 2023'!$D$76:$D$1127,$B138,'ноябрь 2023'!$J$76:$J$1127,Z$1)</f>
        <v>0</v>
      </c>
      <c r="AA138" s="207">
        <f>SUMIFS('ноябрь 2023'!$G$76:$G$1127,'ноябрь 2023'!$D$76:$D$1127,$B138,'ноябрь 2023'!$J$76:$J$1127,AA$1)</f>
        <v>0</v>
      </c>
      <c r="AB138" s="207">
        <f>SUMIFS('ноябрь 2023'!$G$76:$G$1127,'ноябрь 2023'!$D$76:$D$1127,$B138,'ноябрь 2023'!$J$76:$J$1127,AB$1)</f>
        <v>0</v>
      </c>
      <c r="AC138" s="207">
        <f>SUMIFS('ноябрь 2023'!$G$76:$G$1127,'ноябрь 2023'!$D$76:$D$1127,$B138,'ноябрь 2023'!$J$76:$J$1127,AC$1)</f>
        <v>0</v>
      </c>
      <c r="AD138" s="207">
        <f>SUMIFS('ноябрь 2023'!$G$76:$G$1127,'ноябрь 2023'!$D$76:$D$1127,$B138,'ноябрь 2023'!$J$76:$J$1127,AD$1)</f>
        <v>0</v>
      </c>
      <c r="AE138" s="207">
        <f>SUMIFS('ноябрь 2023'!$G$76:$G$1127,'ноябрь 2023'!$D$76:$D$1127,$B138,'ноябрь 2023'!$J$76:$J$1127,AE$1)</f>
        <v>0</v>
      </c>
      <c r="AF138" s="207">
        <f>SUMIFS('ноябрь 2023'!$G$76:$G$1127,'ноябрь 2023'!$D$76:$D$1127,$B138,'ноябрь 2023'!$J$76:$J$1127,AF$1)</f>
        <v>0</v>
      </c>
      <c r="AG138" s="207">
        <f>SUMIFS('ноябрь 2023'!$G$76:$G$1127,'ноябрь 2023'!$D$76:$D$1127,$B138,'ноябрь 2023'!$J$76:$J$1127,AG$1)</f>
        <v>0</v>
      </c>
      <c r="AH138" s="207">
        <f>SUMIFS('ноябрь 2023'!$G$76:$G$1127,'ноябрь 2023'!$D$76:$D$1127,$B138,'ноябрь 2023'!$J$76:$J$1127,AH$1)</f>
        <v>0</v>
      </c>
      <c r="AI138" s="220"/>
    </row>
    <row r="139" spans="2:35" ht="15" hidden="1" customHeight="1" x14ac:dyDescent="0.25">
      <c r="B139" s="216"/>
      <c r="C139" s="213"/>
      <c r="D139" s="207">
        <f>SUMIFS('ноябрь 2023'!$G$76:$G$1127,'ноябрь 2023'!$D$76:$D$1127,$B139,'ноябрь 2023'!$J$76:$J$1127,D$1)</f>
        <v>0</v>
      </c>
      <c r="E139" s="207">
        <f>SUMIFS('ноябрь 2023'!$G$76:$G$1127,'ноябрь 2023'!$D$76:$D$1127,$B139,'ноябрь 2023'!$J$76:$J$1127,E$1)</f>
        <v>0</v>
      </c>
      <c r="F139" s="207">
        <f>SUMIFS('ноябрь 2023'!$G$76:$G$1127,'ноябрь 2023'!$D$76:$D$1127,$B139,'ноябрь 2023'!$J$76:$J$1127,F$1)</f>
        <v>0</v>
      </c>
      <c r="G139" s="207">
        <f>SUMIFS('ноябрь 2023'!$G$76:$G$1127,'ноябрь 2023'!$D$76:$D$1127,$B139,'ноябрь 2023'!$J$76:$J$1127,G$1)</f>
        <v>0</v>
      </c>
      <c r="H139" s="207">
        <f>SUMIFS('ноябрь 2023'!$G$76:$G$1127,'ноябрь 2023'!$D$76:$D$1127,$B139,'ноябрь 2023'!$J$76:$J$1127,H$1)</f>
        <v>0</v>
      </c>
      <c r="I139" s="207">
        <f>SUMIFS('ноябрь 2023'!$G$76:$G$1127,'ноябрь 2023'!$D$76:$D$1127,$B139,'ноябрь 2023'!$J$76:$J$1127,I$1)</f>
        <v>0</v>
      </c>
      <c r="J139" s="207">
        <f>SUMIFS('ноябрь 2023'!$G$76:$G$1127,'ноябрь 2023'!$D$76:$D$1127,$B139,'ноябрь 2023'!$J$76:$J$1127,J$1)</f>
        <v>0</v>
      </c>
      <c r="K139" s="207">
        <f>SUMIFS('ноябрь 2023'!$G$76:$G$1127,'ноябрь 2023'!$D$76:$D$1127,$B139,'ноябрь 2023'!$J$76:$J$1127,K$1)</f>
        <v>0</v>
      </c>
      <c r="L139" s="207">
        <f>SUMIFS('ноябрь 2023'!$G$76:$G$1127,'ноябрь 2023'!$D$76:$D$1127,$B139,'ноябрь 2023'!$J$76:$J$1127,L$1)</f>
        <v>0</v>
      </c>
      <c r="M139" s="207">
        <f>SUMIFS('ноябрь 2023'!$G$76:$G$1127,'ноябрь 2023'!$D$76:$D$1127,$B139,'ноябрь 2023'!$J$76:$J$1127,M$1)</f>
        <v>0</v>
      </c>
      <c r="N139" s="207">
        <f>SUMIFS('ноябрь 2023'!$G$76:$G$1127,'ноябрь 2023'!$D$76:$D$1127,$B139,'ноябрь 2023'!$J$76:$J$1127,N$1)</f>
        <v>0</v>
      </c>
      <c r="O139" s="207">
        <f>SUMIFS('ноябрь 2023'!$G$76:$G$1127,'ноябрь 2023'!$D$76:$D$1127,$B139,'ноябрь 2023'!$J$76:$J$1127,O$1)</f>
        <v>0</v>
      </c>
      <c r="P139" s="207">
        <f>SUMIFS('ноябрь 2023'!$G$76:$G$1127,'ноябрь 2023'!$D$76:$D$1127,$B139,'ноябрь 2023'!$J$76:$J$1127,P$1)</f>
        <v>0</v>
      </c>
      <c r="Q139" s="207">
        <f>SUMIFS('ноябрь 2023'!$G$76:$G$1127,'ноябрь 2023'!$D$76:$D$1127,$B139,'ноябрь 2023'!$J$76:$J$1127,Q$1)</f>
        <v>0</v>
      </c>
      <c r="R139" s="207">
        <f>SUMIFS('ноябрь 2023'!$G$76:$G$1127,'ноябрь 2023'!$D$76:$D$1127,$B139,'ноябрь 2023'!$J$76:$J$1127,R$1)</f>
        <v>0</v>
      </c>
      <c r="S139" s="207">
        <f>SUMIFS('ноябрь 2023'!$G$76:$G$1127,'ноябрь 2023'!$D$76:$D$1127,$B139,'ноябрь 2023'!$J$76:$J$1127,S$1)</f>
        <v>0</v>
      </c>
      <c r="T139" s="207">
        <f>SUMIFS('ноябрь 2023'!$G$76:$G$1127,'ноябрь 2023'!$D$76:$D$1127,$B139,'ноябрь 2023'!$J$76:$J$1127,T$1)</f>
        <v>0</v>
      </c>
      <c r="U139" s="207">
        <f>SUMIFS('ноябрь 2023'!$G$76:$G$1127,'ноябрь 2023'!$D$76:$D$1127,$B139,'ноябрь 2023'!$J$76:$J$1127,U$1)</f>
        <v>0</v>
      </c>
      <c r="V139" s="207">
        <f>SUMIFS('ноябрь 2023'!$G$76:$G$1127,'ноябрь 2023'!$D$76:$D$1127,$B139,'ноябрь 2023'!$J$76:$J$1127,V$1)</f>
        <v>0</v>
      </c>
      <c r="W139" s="207">
        <f>SUMIFS('ноябрь 2023'!$G$76:$G$1127,'ноябрь 2023'!$D$76:$D$1127,$B139,'ноябрь 2023'!$J$76:$J$1127,W$1)</f>
        <v>0</v>
      </c>
      <c r="X139" s="207">
        <f>SUMIFS('ноябрь 2023'!$G$76:$G$1127,'ноябрь 2023'!$D$76:$D$1127,$B139,'ноябрь 2023'!$J$76:$J$1127,X$1)</f>
        <v>0</v>
      </c>
      <c r="Y139" s="207">
        <f>SUMIFS('ноябрь 2023'!$G$76:$G$1127,'ноябрь 2023'!$D$76:$D$1127,$B139,'ноябрь 2023'!$J$76:$J$1127,Y$1)</f>
        <v>0</v>
      </c>
      <c r="Z139" s="207">
        <f>SUMIFS('ноябрь 2023'!$G$76:$G$1127,'ноябрь 2023'!$D$76:$D$1127,$B139,'ноябрь 2023'!$J$76:$J$1127,Z$1)</f>
        <v>0</v>
      </c>
      <c r="AA139" s="207">
        <f>SUMIFS('ноябрь 2023'!$G$76:$G$1127,'ноябрь 2023'!$D$76:$D$1127,$B139,'ноябрь 2023'!$J$76:$J$1127,AA$1)</f>
        <v>0</v>
      </c>
      <c r="AB139" s="207">
        <f>SUMIFS('ноябрь 2023'!$G$76:$G$1127,'ноябрь 2023'!$D$76:$D$1127,$B139,'ноябрь 2023'!$J$76:$J$1127,AB$1)</f>
        <v>0</v>
      </c>
      <c r="AC139" s="207">
        <f>SUMIFS('ноябрь 2023'!$G$76:$G$1127,'ноябрь 2023'!$D$76:$D$1127,$B139,'ноябрь 2023'!$J$76:$J$1127,AC$1)</f>
        <v>0</v>
      </c>
      <c r="AD139" s="207">
        <f>SUMIFS('ноябрь 2023'!$G$76:$G$1127,'ноябрь 2023'!$D$76:$D$1127,$B139,'ноябрь 2023'!$J$76:$J$1127,AD$1)</f>
        <v>0</v>
      </c>
      <c r="AE139" s="207">
        <f>SUMIFS('ноябрь 2023'!$G$76:$G$1127,'ноябрь 2023'!$D$76:$D$1127,$B139,'ноябрь 2023'!$J$76:$J$1127,AE$1)</f>
        <v>0</v>
      </c>
      <c r="AF139" s="207">
        <f>SUMIFS('ноябрь 2023'!$G$76:$G$1127,'ноябрь 2023'!$D$76:$D$1127,$B139,'ноябрь 2023'!$J$76:$J$1127,AF$1)</f>
        <v>0</v>
      </c>
      <c r="AG139" s="207">
        <f>SUMIFS('ноябрь 2023'!$G$76:$G$1127,'ноябрь 2023'!$D$76:$D$1127,$B139,'ноябрь 2023'!$J$76:$J$1127,AG$1)</f>
        <v>0</v>
      </c>
      <c r="AH139" s="207">
        <f>SUMIFS('ноябрь 2023'!$G$76:$G$1127,'ноябрь 2023'!$D$76:$D$1127,$B139,'ноябрь 2023'!$J$76:$J$1127,AH$1)</f>
        <v>0</v>
      </c>
      <c r="AI139" s="220">
        <f t="shared" si="3"/>
        <v>0</v>
      </c>
    </row>
    <row r="140" spans="2:35" ht="15" hidden="1" customHeight="1" x14ac:dyDescent="0.25">
      <c r="B140" s="216"/>
      <c r="C140" s="213"/>
      <c r="D140" s="207">
        <f>SUMIFS('ноябрь 2023'!$G$76:$G$1127,'ноябрь 2023'!$D$76:$D$1127,$B140,'ноябрь 2023'!$J$76:$J$1127,D$1)</f>
        <v>0</v>
      </c>
      <c r="E140" s="207">
        <f>SUMIFS('ноябрь 2023'!$G$76:$G$1127,'ноябрь 2023'!$D$76:$D$1127,$B140,'ноябрь 2023'!$J$76:$J$1127,E$1)</f>
        <v>0</v>
      </c>
      <c r="F140" s="207">
        <f>SUMIFS('ноябрь 2023'!$G$76:$G$1127,'ноябрь 2023'!$D$76:$D$1127,$B140,'ноябрь 2023'!$J$76:$J$1127,F$1)</f>
        <v>0</v>
      </c>
      <c r="G140" s="207">
        <f>SUMIFS('ноябрь 2023'!$G$76:$G$1127,'ноябрь 2023'!$D$76:$D$1127,$B140,'ноябрь 2023'!$J$76:$J$1127,G$1)</f>
        <v>0</v>
      </c>
      <c r="H140" s="207">
        <f>SUMIFS('ноябрь 2023'!$G$76:$G$1127,'ноябрь 2023'!$D$76:$D$1127,$B140,'ноябрь 2023'!$J$76:$J$1127,H$1)</f>
        <v>0</v>
      </c>
      <c r="I140" s="207">
        <f>SUMIFS('ноябрь 2023'!$G$76:$G$1127,'ноябрь 2023'!$D$76:$D$1127,$B140,'ноябрь 2023'!$J$76:$J$1127,I$1)</f>
        <v>0</v>
      </c>
      <c r="J140" s="207">
        <f>SUMIFS('ноябрь 2023'!$G$76:$G$1127,'ноябрь 2023'!$D$76:$D$1127,$B140,'ноябрь 2023'!$J$76:$J$1127,J$1)</f>
        <v>0</v>
      </c>
      <c r="K140" s="207">
        <f>SUMIFS('ноябрь 2023'!$G$76:$G$1127,'ноябрь 2023'!$D$76:$D$1127,$B140,'ноябрь 2023'!$J$76:$J$1127,K$1)</f>
        <v>0</v>
      </c>
      <c r="L140" s="207">
        <f>SUMIFS('ноябрь 2023'!$G$76:$G$1127,'ноябрь 2023'!$D$76:$D$1127,$B140,'ноябрь 2023'!$J$76:$J$1127,L$1)</f>
        <v>0</v>
      </c>
      <c r="M140" s="207">
        <f>SUMIFS('ноябрь 2023'!$G$76:$G$1127,'ноябрь 2023'!$D$76:$D$1127,$B140,'ноябрь 2023'!$J$76:$J$1127,M$1)</f>
        <v>0</v>
      </c>
      <c r="N140" s="207">
        <f>SUMIFS('ноябрь 2023'!$G$76:$G$1127,'ноябрь 2023'!$D$76:$D$1127,$B140,'ноябрь 2023'!$J$76:$J$1127,N$1)</f>
        <v>0</v>
      </c>
      <c r="O140" s="207">
        <f>SUMIFS('ноябрь 2023'!$G$76:$G$1127,'ноябрь 2023'!$D$76:$D$1127,$B140,'ноябрь 2023'!$J$76:$J$1127,O$1)</f>
        <v>0</v>
      </c>
      <c r="P140" s="207">
        <f>SUMIFS('ноябрь 2023'!$G$76:$G$1127,'ноябрь 2023'!$D$76:$D$1127,$B140,'ноябрь 2023'!$J$76:$J$1127,P$1)</f>
        <v>0</v>
      </c>
      <c r="Q140" s="207">
        <f>SUMIFS('ноябрь 2023'!$G$76:$G$1127,'ноябрь 2023'!$D$76:$D$1127,$B140,'ноябрь 2023'!$J$76:$J$1127,Q$1)</f>
        <v>0</v>
      </c>
      <c r="R140" s="207">
        <f>SUMIFS('ноябрь 2023'!$G$76:$G$1127,'ноябрь 2023'!$D$76:$D$1127,$B140,'ноябрь 2023'!$J$76:$J$1127,R$1)</f>
        <v>0</v>
      </c>
      <c r="S140" s="207">
        <f>SUMIFS('ноябрь 2023'!$G$76:$G$1127,'ноябрь 2023'!$D$76:$D$1127,$B140,'ноябрь 2023'!$J$76:$J$1127,S$1)</f>
        <v>0</v>
      </c>
      <c r="T140" s="207">
        <f>SUMIFS('ноябрь 2023'!$G$76:$G$1127,'ноябрь 2023'!$D$76:$D$1127,$B140,'ноябрь 2023'!$J$76:$J$1127,T$1)</f>
        <v>0</v>
      </c>
      <c r="U140" s="207">
        <f>SUMIFS('ноябрь 2023'!$G$76:$G$1127,'ноябрь 2023'!$D$76:$D$1127,$B140,'ноябрь 2023'!$J$76:$J$1127,U$1)</f>
        <v>0</v>
      </c>
      <c r="V140" s="207">
        <f>SUMIFS('ноябрь 2023'!$G$76:$G$1127,'ноябрь 2023'!$D$76:$D$1127,$B140,'ноябрь 2023'!$J$76:$J$1127,V$1)</f>
        <v>0</v>
      </c>
      <c r="W140" s="207">
        <f>SUMIFS('ноябрь 2023'!$G$76:$G$1127,'ноябрь 2023'!$D$76:$D$1127,$B140,'ноябрь 2023'!$J$76:$J$1127,W$1)</f>
        <v>0</v>
      </c>
      <c r="X140" s="207">
        <f>SUMIFS('ноябрь 2023'!$G$76:$G$1127,'ноябрь 2023'!$D$76:$D$1127,$B140,'ноябрь 2023'!$J$76:$J$1127,X$1)</f>
        <v>0</v>
      </c>
      <c r="Y140" s="207">
        <f>SUMIFS('ноябрь 2023'!$G$76:$G$1127,'ноябрь 2023'!$D$76:$D$1127,$B140,'ноябрь 2023'!$J$76:$J$1127,Y$1)</f>
        <v>0</v>
      </c>
      <c r="Z140" s="207">
        <f>SUMIFS('ноябрь 2023'!$G$76:$G$1127,'ноябрь 2023'!$D$76:$D$1127,$B140,'ноябрь 2023'!$J$76:$J$1127,Z$1)</f>
        <v>0</v>
      </c>
      <c r="AA140" s="207">
        <f>SUMIFS('ноябрь 2023'!$G$76:$G$1127,'ноябрь 2023'!$D$76:$D$1127,$B140,'ноябрь 2023'!$J$76:$J$1127,AA$1)</f>
        <v>0</v>
      </c>
      <c r="AB140" s="207">
        <f>SUMIFS('ноябрь 2023'!$G$76:$G$1127,'ноябрь 2023'!$D$76:$D$1127,$B140,'ноябрь 2023'!$J$76:$J$1127,AB$1)</f>
        <v>0</v>
      </c>
      <c r="AC140" s="207">
        <f>SUMIFS('ноябрь 2023'!$G$76:$G$1127,'ноябрь 2023'!$D$76:$D$1127,$B140,'ноябрь 2023'!$J$76:$J$1127,AC$1)</f>
        <v>0</v>
      </c>
      <c r="AD140" s="207">
        <f>SUMIFS('ноябрь 2023'!$G$76:$G$1127,'ноябрь 2023'!$D$76:$D$1127,$B140,'ноябрь 2023'!$J$76:$J$1127,AD$1)</f>
        <v>0</v>
      </c>
      <c r="AE140" s="207">
        <f>SUMIFS('ноябрь 2023'!$G$76:$G$1127,'ноябрь 2023'!$D$76:$D$1127,$B140,'ноябрь 2023'!$J$76:$J$1127,AE$1)</f>
        <v>0</v>
      </c>
      <c r="AF140" s="207">
        <f>SUMIFS('ноябрь 2023'!$G$76:$G$1127,'ноябрь 2023'!$D$76:$D$1127,$B140,'ноябрь 2023'!$J$76:$J$1127,AF$1)</f>
        <v>0</v>
      </c>
      <c r="AG140" s="207">
        <f>SUMIFS('ноябрь 2023'!$G$76:$G$1127,'ноябрь 2023'!$D$76:$D$1127,$B140,'ноябрь 2023'!$J$76:$J$1127,AG$1)</f>
        <v>0</v>
      </c>
      <c r="AH140" s="207">
        <f>SUMIFS('ноябрь 2023'!$G$76:$G$1127,'ноябрь 2023'!$D$76:$D$1127,$B140,'ноябрь 2023'!$J$76:$J$1127,AH$1)</f>
        <v>0</v>
      </c>
      <c r="AI140" s="220">
        <f t="shared" si="3"/>
        <v>0</v>
      </c>
    </row>
    <row r="141" spans="2:35" ht="15" hidden="1" customHeight="1" x14ac:dyDescent="0.25">
      <c r="B141" s="216"/>
      <c r="C141" s="213"/>
      <c r="D141" s="207">
        <f>SUMIFS('ноябрь 2023'!$G$76:$G$1127,'ноябрь 2023'!$D$76:$D$1127,$B141,'ноябрь 2023'!$J$76:$J$1127,D$1)</f>
        <v>0</v>
      </c>
      <c r="E141" s="207">
        <f>SUMIFS('ноябрь 2023'!$G$76:$G$1127,'ноябрь 2023'!$D$76:$D$1127,$B141,'ноябрь 2023'!$J$76:$J$1127,E$1)</f>
        <v>0</v>
      </c>
      <c r="F141" s="207">
        <f>SUMIFS('ноябрь 2023'!$G$76:$G$1127,'ноябрь 2023'!$D$76:$D$1127,$B141,'ноябрь 2023'!$J$76:$J$1127,F$1)</f>
        <v>0</v>
      </c>
      <c r="G141" s="207">
        <f>SUMIFS('ноябрь 2023'!$G$76:$G$1127,'ноябрь 2023'!$D$76:$D$1127,$B141,'ноябрь 2023'!$J$76:$J$1127,G$1)</f>
        <v>0</v>
      </c>
      <c r="H141" s="207">
        <f>SUMIFS('ноябрь 2023'!$G$76:$G$1127,'ноябрь 2023'!$D$76:$D$1127,$B141,'ноябрь 2023'!$J$76:$J$1127,H$1)</f>
        <v>0</v>
      </c>
      <c r="I141" s="207">
        <f>SUMIFS('ноябрь 2023'!$G$76:$G$1127,'ноябрь 2023'!$D$76:$D$1127,$B141,'ноябрь 2023'!$J$76:$J$1127,I$1)</f>
        <v>0</v>
      </c>
      <c r="J141" s="207">
        <f>SUMIFS('ноябрь 2023'!$G$76:$G$1127,'ноябрь 2023'!$D$76:$D$1127,$B141,'ноябрь 2023'!$J$76:$J$1127,J$1)</f>
        <v>0</v>
      </c>
      <c r="K141" s="207">
        <f>SUMIFS('ноябрь 2023'!$G$76:$G$1127,'ноябрь 2023'!$D$76:$D$1127,$B141,'ноябрь 2023'!$J$76:$J$1127,K$1)</f>
        <v>0</v>
      </c>
      <c r="L141" s="207">
        <f>SUMIFS('ноябрь 2023'!$G$76:$G$1127,'ноябрь 2023'!$D$76:$D$1127,$B141,'ноябрь 2023'!$J$76:$J$1127,L$1)</f>
        <v>0</v>
      </c>
      <c r="M141" s="207">
        <f>SUMIFS('ноябрь 2023'!$G$76:$G$1127,'ноябрь 2023'!$D$76:$D$1127,$B141,'ноябрь 2023'!$J$76:$J$1127,M$1)</f>
        <v>0</v>
      </c>
      <c r="N141" s="207">
        <f>SUMIFS('ноябрь 2023'!$G$76:$G$1127,'ноябрь 2023'!$D$76:$D$1127,$B141,'ноябрь 2023'!$J$76:$J$1127,N$1)</f>
        <v>0</v>
      </c>
      <c r="O141" s="207">
        <f>SUMIFS('ноябрь 2023'!$G$76:$G$1127,'ноябрь 2023'!$D$76:$D$1127,$B141,'ноябрь 2023'!$J$76:$J$1127,O$1)</f>
        <v>0</v>
      </c>
      <c r="P141" s="207">
        <f>SUMIFS('ноябрь 2023'!$G$76:$G$1127,'ноябрь 2023'!$D$76:$D$1127,$B141,'ноябрь 2023'!$J$76:$J$1127,P$1)</f>
        <v>0</v>
      </c>
      <c r="Q141" s="207">
        <f>SUMIFS('ноябрь 2023'!$G$76:$G$1127,'ноябрь 2023'!$D$76:$D$1127,$B141,'ноябрь 2023'!$J$76:$J$1127,Q$1)</f>
        <v>0</v>
      </c>
      <c r="R141" s="207">
        <f>SUMIFS('ноябрь 2023'!$G$76:$G$1127,'ноябрь 2023'!$D$76:$D$1127,$B141,'ноябрь 2023'!$J$76:$J$1127,R$1)</f>
        <v>0</v>
      </c>
      <c r="S141" s="207">
        <f>SUMIFS('ноябрь 2023'!$G$76:$G$1127,'ноябрь 2023'!$D$76:$D$1127,$B141,'ноябрь 2023'!$J$76:$J$1127,S$1)</f>
        <v>0</v>
      </c>
      <c r="T141" s="207">
        <f>SUMIFS('ноябрь 2023'!$G$76:$G$1127,'ноябрь 2023'!$D$76:$D$1127,$B141,'ноябрь 2023'!$J$76:$J$1127,T$1)</f>
        <v>0</v>
      </c>
      <c r="U141" s="207">
        <f>SUMIFS('ноябрь 2023'!$G$76:$G$1127,'ноябрь 2023'!$D$76:$D$1127,$B141,'ноябрь 2023'!$J$76:$J$1127,U$1)</f>
        <v>0</v>
      </c>
      <c r="V141" s="207">
        <f>SUMIFS('ноябрь 2023'!$G$76:$G$1127,'ноябрь 2023'!$D$76:$D$1127,$B141,'ноябрь 2023'!$J$76:$J$1127,V$1)</f>
        <v>0</v>
      </c>
      <c r="W141" s="207">
        <f>SUMIFS('ноябрь 2023'!$G$76:$G$1127,'ноябрь 2023'!$D$76:$D$1127,$B141,'ноябрь 2023'!$J$76:$J$1127,W$1)</f>
        <v>0</v>
      </c>
      <c r="X141" s="207">
        <f>SUMIFS('ноябрь 2023'!$G$76:$G$1127,'ноябрь 2023'!$D$76:$D$1127,$B141,'ноябрь 2023'!$J$76:$J$1127,X$1)</f>
        <v>0</v>
      </c>
      <c r="Y141" s="207">
        <f>SUMIFS('ноябрь 2023'!$G$76:$G$1127,'ноябрь 2023'!$D$76:$D$1127,$B141,'ноябрь 2023'!$J$76:$J$1127,Y$1)</f>
        <v>0</v>
      </c>
      <c r="Z141" s="207">
        <f>SUMIFS('ноябрь 2023'!$G$76:$G$1127,'ноябрь 2023'!$D$76:$D$1127,$B141,'ноябрь 2023'!$J$76:$J$1127,Z$1)</f>
        <v>0</v>
      </c>
      <c r="AA141" s="207">
        <f>SUMIFS('ноябрь 2023'!$G$76:$G$1127,'ноябрь 2023'!$D$76:$D$1127,$B141,'ноябрь 2023'!$J$76:$J$1127,AA$1)</f>
        <v>0</v>
      </c>
      <c r="AB141" s="207">
        <f>SUMIFS('ноябрь 2023'!$G$76:$G$1127,'ноябрь 2023'!$D$76:$D$1127,$B141,'ноябрь 2023'!$J$76:$J$1127,AB$1)</f>
        <v>0</v>
      </c>
      <c r="AC141" s="207">
        <f>SUMIFS('ноябрь 2023'!$G$76:$G$1127,'ноябрь 2023'!$D$76:$D$1127,$B141,'ноябрь 2023'!$J$76:$J$1127,AC$1)</f>
        <v>0</v>
      </c>
      <c r="AD141" s="207">
        <f>SUMIFS('ноябрь 2023'!$G$76:$G$1127,'ноябрь 2023'!$D$76:$D$1127,$B141,'ноябрь 2023'!$J$76:$J$1127,AD$1)</f>
        <v>0</v>
      </c>
      <c r="AE141" s="207">
        <f>SUMIFS('ноябрь 2023'!$G$76:$G$1127,'ноябрь 2023'!$D$76:$D$1127,$B141,'ноябрь 2023'!$J$76:$J$1127,AE$1)</f>
        <v>0</v>
      </c>
      <c r="AF141" s="207">
        <f>SUMIFS('ноябрь 2023'!$G$76:$G$1127,'ноябрь 2023'!$D$76:$D$1127,$B141,'ноябрь 2023'!$J$76:$J$1127,AF$1)</f>
        <v>0</v>
      </c>
      <c r="AG141" s="207">
        <f>SUMIFS('ноябрь 2023'!$G$76:$G$1127,'ноябрь 2023'!$D$76:$D$1127,$B141,'ноябрь 2023'!$J$76:$J$1127,AG$1)</f>
        <v>0</v>
      </c>
      <c r="AH141" s="207">
        <f>SUMIFS('ноябрь 2023'!$G$76:$G$1127,'ноябрь 2023'!$D$76:$D$1127,$B141,'ноябрь 2023'!$J$76:$J$1127,AH$1)</f>
        <v>0</v>
      </c>
      <c r="AI141" s="220">
        <f t="shared" si="3"/>
        <v>0</v>
      </c>
    </row>
    <row r="142" spans="2:35" ht="15" hidden="1" customHeight="1" x14ac:dyDescent="0.25">
      <c r="B142" s="212"/>
      <c r="C142" s="211"/>
      <c r="D142" s="207">
        <f>SUMIFS('ноябрь 2023'!$G$76:$G$1127,'ноябрь 2023'!$D$76:$D$1127,$B142,'ноябрь 2023'!$J$76:$J$1127,D$1)</f>
        <v>0</v>
      </c>
      <c r="E142" s="207">
        <f>SUMIFS('ноябрь 2023'!$G$76:$G$1127,'ноябрь 2023'!$D$76:$D$1127,$B142,'ноябрь 2023'!$J$76:$J$1127,E$1)</f>
        <v>0</v>
      </c>
      <c r="F142" s="207">
        <f>SUMIFS('ноябрь 2023'!$G$76:$G$1127,'ноябрь 2023'!$D$76:$D$1127,$B142,'ноябрь 2023'!$J$76:$J$1127,F$1)</f>
        <v>0</v>
      </c>
      <c r="G142" s="207">
        <f>SUMIFS('ноябрь 2023'!$G$76:$G$1127,'ноябрь 2023'!$D$76:$D$1127,$B142,'ноябрь 2023'!$J$76:$J$1127,G$1)</f>
        <v>0</v>
      </c>
      <c r="H142" s="207">
        <f>SUMIFS('ноябрь 2023'!$G$76:$G$1127,'ноябрь 2023'!$D$76:$D$1127,$B142,'ноябрь 2023'!$J$76:$J$1127,H$1)</f>
        <v>0</v>
      </c>
      <c r="I142" s="207">
        <f>SUMIFS('ноябрь 2023'!$G$76:$G$1127,'ноябрь 2023'!$D$76:$D$1127,$B142,'ноябрь 2023'!$J$76:$J$1127,I$1)</f>
        <v>0</v>
      </c>
      <c r="J142" s="207">
        <f>SUMIFS('ноябрь 2023'!$G$76:$G$1127,'ноябрь 2023'!$D$76:$D$1127,$B142,'ноябрь 2023'!$J$76:$J$1127,J$1)</f>
        <v>0</v>
      </c>
      <c r="K142" s="207">
        <f>SUMIFS('ноябрь 2023'!$G$76:$G$1127,'ноябрь 2023'!$D$76:$D$1127,$B142,'ноябрь 2023'!$J$76:$J$1127,K$1)</f>
        <v>0</v>
      </c>
      <c r="L142" s="207">
        <f>SUMIFS('ноябрь 2023'!$G$76:$G$1127,'ноябрь 2023'!$D$76:$D$1127,$B142,'ноябрь 2023'!$J$76:$J$1127,L$1)</f>
        <v>0</v>
      </c>
      <c r="M142" s="207">
        <f>SUMIFS('ноябрь 2023'!$G$76:$G$1127,'ноябрь 2023'!$D$76:$D$1127,$B142,'ноябрь 2023'!$J$76:$J$1127,M$1)</f>
        <v>0</v>
      </c>
      <c r="N142" s="207">
        <f>SUMIFS('ноябрь 2023'!$G$76:$G$1127,'ноябрь 2023'!$D$76:$D$1127,$B142,'ноябрь 2023'!$J$76:$J$1127,N$1)</f>
        <v>0</v>
      </c>
      <c r="O142" s="207">
        <f>SUMIFS('ноябрь 2023'!$G$76:$G$1127,'ноябрь 2023'!$D$76:$D$1127,$B142,'ноябрь 2023'!$J$76:$J$1127,O$1)</f>
        <v>0</v>
      </c>
      <c r="P142" s="207">
        <f>SUMIFS('ноябрь 2023'!$G$76:$G$1127,'ноябрь 2023'!$D$76:$D$1127,$B142,'ноябрь 2023'!$J$76:$J$1127,P$1)</f>
        <v>0</v>
      </c>
      <c r="Q142" s="207">
        <f>SUMIFS('ноябрь 2023'!$G$76:$G$1127,'ноябрь 2023'!$D$76:$D$1127,$B142,'ноябрь 2023'!$J$76:$J$1127,Q$1)</f>
        <v>0</v>
      </c>
      <c r="R142" s="207">
        <f>SUMIFS('ноябрь 2023'!$G$76:$G$1127,'ноябрь 2023'!$D$76:$D$1127,$B142,'ноябрь 2023'!$J$76:$J$1127,R$1)</f>
        <v>0</v>
      </c>
      <c r="S142" s="207">
        <f>SUMIFS('ноябрь 2023'!$G$76:$G$1127,'ноябрь 2023'!$D$76:$D$1127,$B142,'ноябрь 2023'!$J$76:$J$1127,S$1)</f>
        <v>0</v>
      </c>
      <c r="T142" s="207">
        <f>SUMIFS('ноябрь 2023'!$G$76:$G$1127,'ноябрь 2023'!$D$76:$D$1127,$B142,'ноябрь 2023'!$J$76:$J$1127,T$1)</f>
        <v>0</v>
      </c>
      <c r="U142" s="207">
        <f>SUMIFS('ноябрь 2023'!$G$76:$G$1127,'ноябрь 2023'!$D$76:$D$1127,$B142,'ноябрь 2023'!$J$76:$J$1127,U$1)</f>
        <v>0</v>
      </c>
      <c r="V142" s="207">
        <f>SUMIFS('ноябрь 2023'!$G$76:$G$1127,'ноябрь 2023'!$D$76:$D$1127,$B142,'ноябрь 2023'!$J$76:$J$1127,V$1)</f>
        <v>0</v>
      </c>
      <c r="W142" s="207">
        <f>SUMIFS('ноябрь 2023'!$G$76:$G$1127,'ноябрь 2023'!$D$76:$D$1127,$B142,'ноябрь 2023'!$J$76:$J$1127,W$1)</f>
        <v>0</v>
      </c>
      <c r="X142" s="207">
        <f>SUMIFS('ноябрь 2023'!$G$76:$G$1127,'ноябрь 2023'!$D$76:$D$1127,$B142,'ноябрь 2023'!$J$76:$J$1127,X$1)</f>
        <v>0</v>
      </c>
      <c r="Y142" s="207">
        <f>SUMIFS('ноябрь 2023'!$G$76:$G$1127,'ноябрь 2023'!$D$76:$D$1127,$B142,'ноябрь 2023'!$J$76:$J$1127,Y$1)</f>
        <v>0</v>
      </c>
      <c r="Z142" s="207">
        <f>SUMIFS('ноябрь 2023'!$G$76:$G$1127,'ноябрь 2023'!$D$76:$D$1127,$B142,'ноябрь 2023'!$J$76:$J$1127,Z$1)</f>
        <v>0</v>
      </c>
      <c r="AA142" s="207">
        <f>SUMIFS('ноябрь 2023'!$G$76:$G$1127,'ноябрь 2023'!$D$76:$D$1127,$B142,'ноябрь 2023'!$J$76:$J$1127,AA$1)</f>
        <v>0</v>
      </c>
      <c r="AB142" s="207">
        <f>SUMIFS('ноябрь 2023'!$G$76:$G$1127,'ноябрь 2023'!$D$76:$D$1127,$B142,'ноябрь 2023'!$J$76:$J$1127,AB$1)</f>
        <v>0</v>
      </c>
      <c r="AC142" s="207">
        <f>SUMIFS('ноябрь 2023'!$G$76:$G$1127,'ноябрь 2023'!$D$76:$D$1127,$B142,'ноябрь 2023'!$J$76:$J$1127,AC$1)</f>
        <v>0</v>
      </c>
      <c r="AD142" s="207">
        <f>SUMIFS('ноябрь 2023'!$G$76:$G$1127,'ноябрь 2023'!$D$76:$D$1127,$B142,'ноябрь 2023'!$J$76:$J$1127,AD$1)</f>
        <v>0</v>
      </c>
      <c r="AE142" s="207">
        <f>SUMIFS('ноябрь 2023'!$G$76:$G$1127,'ноябрь 2023'!$D$76:$D$1127,$B142,'ноябрь 2023'!$J$76:$J$1127,AE$1)</f>
        <v>0</v>
      </c>
      <c r="AF142" s="207">
        <f>SUMIFS('ноябрь 2023'!$G$76:$G$1127,'ноябрь 2023'!$D$76:$D$1127,$B142,'ноябрь 2023'!$J$76:$J$1127,AF$1)</f>
        <v>0</v>
      </c>
      <c r="AG142" s="207">
        <f>SUMIFS('ноябрь 2023'!$G$76:$G$1127,'ноябрь 2023'!$D$76:$D$1127,$B142,'ноябрь 2023'!$J$76:$J$1127,AG$1)</f>
        <v>0</v>
      </c>
      <c r="AH142" s="207">
        <f>SUMIFS('ноябрь 2023'!$G$76:$G$1127,'ноябрь 2023'!$D$76:$D$1127,$B142,'ноябрь 2023'!$J$76:$J$1127,AH$1)</f>
        <v>0</v>
      </c>
      <c r="AI142" s="220"/>
    </row>
    <row r="143" spans="2:35" ht="15" hidden="1" customHeight="1" x14ac:dyDescent="0.25">
      <c r="B143" s="212"/>
      <c r="C143" s="211"/>
      <c r="D143" s="207">
        <f>SUMIFS('ноябрь 2023'!$G$76:$G$1127,'ноябрь 2023'!$D$76:$D$1127,$B143,'ноябрь 2023'!$J$76:$J$1127,D$1)</f>
        <v>0</v>
      </c>
      <c r="E143" s="207">
        <f>SUMIFS('ноябрь 2023'!$G$76:$G$1127,'ноябрь 2023'!$D$76:$D$1127,$B143,'ноябрь 2023'!$J$76:$J$1127,E$1)</f>
        <v>0</v>
      </c>
      <c r="F143" s="207">
        <f>SUMIFS('ноябрь 2023'!$G$76:$G$1127,'ноябрь 2023'!$D$76:$D$1127,$B143,'ноябрь 2023'!$J$76:$J$1127,F$1)</f>
        <v>0</v>
      </c>
      <c r="G143" s="207">
        <f>SUMIFS('ноябрь 2023'!$G$76:$G$1127,'ноябрь 2023'!$D$76:$D$1127,$B143,'ноябрь 2023'!$J$76:$J$1127,G$1)</f>
        <v>0</v>
      </c>
      <c r="H143" s="207">
        <f>SUMIFS('ноябрь 2023'!$G$76:$G$1127,'ноябрь 2023'!$D$76:$D$1127,$B143,'ноябрь 2023'!$J$76:$J$1127,H$1)</f>
        <v>0</v>
      </c>
      <c r="I143" s="207">
        <f>SUMIFS('ноябрь 2023'!$G$76:$G$1127,'ноябрь 2023'!$D$76:$D$1127,$B143,'ноябрь 2023'!$J$76:$J$1127,I$1)</f>
        <v>0</v>
      </c>
      <c r="J143" s="207">
        <f>SUMIFS('ноябрь 2023'!$G$76:$G$1127,'ноябрь 2023'!$D$76:$D$1127,$B143,'ноябрь 2023'!$J$76:$J$1127,J$1)</f>
        <v>0</v>
      </c>
      <c r="K143" s="207">
        <f>SUMIFS('ноябрь 2023'!$G$76:$G$1127,'ноябрь 2023'!$D$76:$D$1127,$B143,'ноябрь 2023'!$J$76:$J$1127,K$1)</f>
        <v>0</v>
      </c>
      <c r="L143" s="207">
        <f>SUMIFS('ноябрь 2023'!$G$76:$G$1127,'ноябрь 2023'!$D$76:$D$1127,$B143,'ноябрь 2023'!$J$76:$J$1127,L$1)</f>
        <v>0</v>
      </c>
      <c r="M143" s="207">
        <f>SUMIFS('ноябрь 2023'!$G$76:$G$1127,'ноябрь 2023'!$D$76:$D$1127,$B143,'ноябрь 2023'!$J$76:$J$1127,M$1)</f>
        <v>0</v>
      </c>
      <c r="N143" s="207">
        <f>SUMIFS('ноябрь 2023'!$G$76:$G$1127,'ноябрь 2023'!$D$76:$D$1127,$B143,'ноябрь 2023'!$J$76:$J$1127,N$1)</f>
        <v>0</v>
      </c>
      <c r="O143" s="207">
        <f>SUMIFS('ноябрь 2023'!$G$76:$G$1127,'ноябрь 2023'!$D$76:$D$1127,$B143,'ноябрь 2023'!$J$76:$J$1127,O$1)</f>
        <v>0</v>
      </c>
      <c r="P143" s="207">
        <f>SUMIFS('ноябрь 2023'!$G$76:$G$1127,'ноябрь 2023'!$D$76:$D$1127,$B143,'ноябрь 2023'!$J$76:$J$1127,P$1)</f>
        <v>0</v>
      </c>
      <c r="Q143" s="207">
        <f>SUMIFS('ноябрь 2023'!$G$76:$G$1127,'ноябрь 2023'!$D$76:$D$1127,$B143,'ноябрь 2023'!$J$76:$J$1127,Q$1)</f>
        <v>0</v>
      </c>
      <c r="R143" s="207">
        <f>SUMIFS('ноябрь 2023'!$G$76:$G$1127,'ноябрь 2023'!$D$76:$D$1127,$B143,'ноябрь 2023'!$J$76:$J$1127,R$1)</f>
        <v>0</v>
      </c>
      <c r="S143" s="207">
        <f>SUMIFS('ноябрь 2023'!$G$76:$G$1127,'ноябрь 2023'!$D$76:$D$1127,$B143,'ноябрь 2023'!$J$76:$J$1127,S$1)</f>
        <v>0</v>
      </c>
      <c r="T143" s="207">
        <f>SUMIFS('ноябрь 2023'!$G$76:$G$1127,'ноябрь 2023'!$D$76:$D$1127,$B143,'ноябрь 2023'!$J$76:$J$1127,T$1)</f>
        <v>0</v>
      </c>
      <c r="U143" s="207">
        <f>SUMIFS('ноябрь 2023'!$G$76:$G$1127,'ноябрь 2023'!$D$76:$D$1127,$B143,'ноябрь 2023'!$J$76:$J$1127,U$1)</f>
        <v>0</v>
      </c>
      <c r="V143" s="207">
        <f>SUMIFS('ноябрь 2023'!$G$76:$G$1127,'ноябрь 2023'!$D$76:$D$1127,$B143,'ноябрь 2023'!$J$76:$J$1127,V$1)</f>
        <v>0</v>
      </c>
      <c r="W143" s="207">
        <f>SUMIFS('ноябрь 2023'!$G$76:$G$1127,'ноябрь 2023'!$D$76:$D$1127,$B143,'ноябрь 2023'!$J$76:$J$1127,W$1)</f>
        <v>0</v>
      </c>
      <c r="X143" s="207">
        <f>SUMIFS('ноябрь 2023'!$G$76:$G$1127,'ноябрь 2023'!$D$76:$D$1127,$B143,'ноябрь 2023'!$J$76:$J$1127,X$1)</f>
        <v>0</v>
      </c>
      <c r="Y143" s="207">
        <f>SUMIFS('ноябрь 2023'!$G$76:$G$1127,'ноябрь 2023'!$D$76:$D$1127,$B143,'ноябрь 2023'!$J$76:$J$1127,Y$1)</f>
        <v>0</v>
      </c>
      <c r="Z143" s="207">
        <f>SUMIFS('ноябрь 2023'!$G$76:$G$1127,'ноябрь 2023'!$D$76:$D$1127,$B143,'ноябрь 2023'!$J$76:$J$1127,Z$1)</f>
        <v>0</v>
      </c>
      <c r="AA143" s="207">
        <f>SUMIFS('ноябрь 2023'!$G$76:$G$1127,'ноябрь 2023'!$D$76:$D$1127,$B143,'ноябрь 2023'!$J$76:$J$1127,AA$1)</f>
        <v>0</v>
      </c>
      <c r="AB143" s="207">
        <f>SUMIFS('ноябрь 2023'!$G$76:$G$1127,'ноябрь 2023'!$D$76:$D$1127,$B143,'ноябрь 2023'!$J$76:$J$1127,AB$1)</f>
        <v>0</v>
      </c>
      <c r="AC143" s="207">
        <f>SUMIFS('ноябрь 2023'!$G$76:$G$1127,'ноябрь 2023'!$D$76:$D$1127,$B143,'ноябрь 2023'!$J$76:$J$1127,AC$1)</f>
        <v>0</v>
      </c>
      <c r="AD143" s="207">
        <f>SUMIFS('ноябрь 2023'!$G$76:$G$1127,'ноябрь 2023'!$D$76:$D$1127,$B143,'ноябрь 2023'!$J$76:$J$1127,AD$1)</f>
        <v>0</v>
      </c>
      <c r="AE143" s="207">
        <f>SUMIFS('ноябрь 2023'!$G$76:$G$1127,'ноябрь 2023'!$D$76:$D$1127,$B143,'ноябрь 2023'!$J$76:$J$1127,AE$1)</f>
        <v>0</v>
      </c>
      <c r="AF143" s="207">
        <f>SUMIFS('ноябрь 2023'!$G$76:$G$1127,'ноябрь 2023'!$D$76:$D$1127,$B143,'ноябрь 2023'!$J$76:$J$1127,AF$1)</f>
        <v>0</v>
      </c>
      <c r="AG143" s="207">
        <f>SUMIFS('ноябрь 2023'!$G$76:$G$1127,'ноябрь 2023'!$D$76:$D$1127,$B143,'ноябрь 2023'!$J$76:$J$1127,AG$1)</f>
        <v>0</v>
      </c>
      <c r="AH143" s="207">
        <f>SUMIFS('ноябрь 2023'!$G$76:$G$1127,'ноябрь 2023'!$D$76:$D$1127,$B143,'ноябрь 2023'!$J$76:$J$1127,AH$1)</f>
        <v>0</v>
      </c>
      <c r="AI143" s="220">
        <f t="shared" si="3"/>
        <v>0</v>
      </c>
    </row>
    <row r="144" spans="2:35" ht="15" hidden="1" customHeight="1" x14ac:dyDescent="0.25">
      <c r="B144" s="212"/>
      <c r="C144" s="211"/>
      <c r="D144" s="207">
        <f>SUMIFS('ноябрь 2023'!$G$76:$G$1127,'ноябрь 2023'!$D$76:$D$1127,$B144,'ноябрь 2023'!$J$76:$J$1127,D$1)</f>
        <v>0</v>
      </c>
      <c r="E144" s="207">
        <f>SUMIFS('ноябрь 2023'!$G$76:$G$1127,'ноябрь 2023'!$D$76:$D$1127,$B144,'ноябрь 2023'!$J$76:$J$1127,E$1)</f>
        <v>0</v>
      </c>
      <c r="F144" s="207">
        <f>SUMIFS('ноябрь 2023'!$G$76:$G$1127,'ноябрь 2023'!$D$76:$D$1127,$B144,'ноябрь 2023'!$J$76:$J$1127,F$1)</f>
        <v>0</v>
      </c>
      <c r="G144" s="207">
        <f>SUMIFS('ноябрь 2023'!$G$76:$G$1127,'ноябрь 2023'!$D$76:$D$1127,$B144,'ноябрь 2023'!$J$76:$J$1127,G$1)</f>
        <v>0</v>
      </c>
      <c r="H144" s="207">
        <f>SUMIFS('ноябрь 2023'!$G$76:$G$1127,'ноябрь 2023'!$D$76:$D$1127,$B144,'ноябрь 2023'!$J$76:$J$1127,H$1)</f>
        <v>0</v>
      </c>
      <c r="I144" s="207">
        <f>SUMIFS('ноябрь 2023'!$G$76:$G$1127,'ноябрь 2023'!$D$76:$D$1127,$B144,'ноябрь 2023'!$J$76:$J$1127,I$1)</f>
        <v>0</v>
      </c>
      <c r="J144" s="207">
        <f>SUMIFS('ноябрь 2023'!$G$76:$G$1127,'ноябрь 2023'!$D$76:$D$1127,$B144,'ноябрь 2023'!$J$76:$J$1127,J$1)</f>
        <v>0</v>
      </c>
      <c r="K144" s="207">
        <f>SUMIFS('ноябрь 2023'!$G$76:$G$1127,'ноябрь 2023'!$D$76:$D$1127,$B144,'ноябрь 2023'!$J$76:$J$1127,K$1)</f>
        <v>0</v>
      </c>
      <c r="L144" s="207">
        <f>SUMIFS('ноябрь 2023'!$G$76:$G$1127,'ноябрь 2023'!$D$76:$D$1127,$B144,'ноябрь 2023'!$J$76:$J$1127,L$1)</f>
        <v>0</v>
      </c>
      <c r="M144" s="207">
        <f>SUMIFS('ноябрь 2023'!$G$76:$G$1127,'ноябрь 2023'!$D$76:$D$1127,$B144,'ноябрь 2023'!$J$76:$J$1127,M$1)</f>
        <v>0</v>
      </c>
      <c r="N144" s="207">
        <f>SUMIFS('ноябрь 2023'!$G$76:$G$1127,'ноябрь 2023'!$D$76:$D$1127,$B144,'ноябрь 2023'!$J$76:$J$1127,N$1)</f>
        <v>0</v>
      </c>
      <c r="O144" s="207">
        <f>SUMIFS('ноябрь 2023'!$G$76:$G$1127,'ноябрь 2023'!$D$76:$D$1127,$B144,'ноябрь 2023'!$J$76:$J$1127,O$1)</f>
        <v>0</v>
      </c>
      <c r="P144" s="207">
        <f>SUMIFS('ноябрь 2023'!$G$76:$G$1127,'ноябрь 2023'!$D$76:$D$1127,$B144,'ноябрь 2023'!$J$76:$J$1127,P$1)</f>
        <v>0</v>
      </c>
      <c r="Q144" s="207">
        <f>SUMIFS('ноябрь 2023'!$G$76:$G$1127,'ноябрь 2023'!$D$76:$D$1127,$B144,'ноябрь 2023'!$J$76:$J$1127,Q$1)</f>
        <v>0</v>
      </c>
      <c r="R144" s="207">
        <f>SUMIFS('ноябрь 2023'!$G$76:$G$1127,'ноябрь 2023'!$D$76:$D$1127,$B144,'ноябрь 2023'!$J$76:$J$1127,R$1)</f>
        <v>0</v>
      </c>
      <c r="S144" s="207">
        <f>SUMIFS('ноябрь 2023'!$G$76:$G$1127,'ноябрь 2023'!$D$76:$D$1127,$B144,'ноябрь 2023'!$J$76:$J$1127,S$1)</f>
        <v>0</v>
      </c>
      <c r="T144" s="207">
        <f>SUMIFS('ноябрь 2023'!$G$76:$G$1127,'ноябрь 2023'!$D$76:$D$1127,$B144,'ноябрь 2023'!$J$76:$J$1127,T$1)</f>
        <v>0</v>
      </c>
      <c r="U144" s="207">
        <f>SUMIFS('ноябрь 2023'!$G$76:$G$1127,'ноябрь 2023'!$D$76:$D$1127,$B144,'ноябрь 2023'!$J$76:$J$1127,U$1)</f>
        <v>0</v>
      </c>
      <c r="V144" s="207">
        <f>SUMIFS('ноябрь 2023'!$G$76:$G$1127,'ноябрь 2023'!$D$76:$D$1127,$B144,'ноябрь 2023'!$J$76:$J$1127,V$1)</f>
        <v>0</v>
      </c>
      <c r="W144" s="207">
        <f>SUMIFS('ноябрь 2023'!$G$76:$G$1127,'ноябрь 2023'!$D$76:$D$1127,$B144,'ноябрь 2023'!$J$76:$J$1127,W$1)</f>
        <v>0</v>
      </c>
      <c r="X144" s="207">
        <f>SUMIFS('ноябрь 2023'!$G$76:$G$1127,'ноябрь 2023'!$D$76:$D$1127,$B144,'ноябрь 2023'!$J$76:$J$1127,X$1)</f>
        <v>0</v>
      </c>
      <c r="Y144" s="207">
        <f>SUMIFS('ноябрь 2023'!$G$76:$G$1127,'ноябрь 2023'!$D$76:$D$1127,$B144,'ноябрь 2023'!$J$76:$J$1127,Y$1)</f>
        <v>0</v>
      </c>
      <c r="Z144" s="207">
        <f>SUMIFS('ноябрь 2023'!$G$76:$G$1127,'ноябрь 2023'!$D$76:$D$1127,$B144,'ноябрь 2023'!$J$76:$J$1127,Z$1)</f>
        <v>0</v>
      </c>
      <c r="AA144" s="207">
        <f>SUMIFS('ноябрь 2023'!$G$76:$G$1127,'ноябрь 2023'!$D$76:$D$1127,$B144,'ноябрь 2023'!$J$76:$J$1127,AA$1)</f>
        <v>0</v>
      </c>
      <c r="AB144" s="207">
        <f>SUMIFS('ноябрь 2023'!$G$76:$G$1127,'ноябрь 2023'!$D$76:$D$1127,$B144,'ноябрь 2023'!$J$76:$J$1127,AB$1)</f>
        <v>0</v>
      </c>
      <c r="AC144" s="207">
        <f>SUMIFS('ноябрь 2023'!$G$76:$G$1127,'ноябрь 2023'!$D$76:$D$1127,$B144,'ноябрь 2023'!$J$76:$J$1127,AC$1)</f>
        <v>0</v>
      </c>
      <c r="AD144" s="207">
        <f>SUMIFS('ноябрь 2023'!$G$76:$G$1127,'ноябрь 2023'!$D$76:$D$1127,$B144,'ноябрь 2023'!$J$76:$J$1127,AD$1)</f>
        <v>0</v>
      </c>
      <c r="AE144" s="207">
        <f>SUMIFS('ноябрь 2023'!$G$76:$G$1127,'ноябрь 2023'!$D$76:$D$1127,$B144,'ноябрь 2023'!$J$76:$J$1127,AE$1)</f>
        <v>0</v>
      </c>
      <c r="AF144" s="207">
        <f>SUMIFS('ноябрь 2023'!$G$76:$G$1127,'ноябрь 2023'!$D$76:$D$1127,$B144,'ноябрь 2023'!$J$76:$J$1127,AF$1)</f>
        <v>0</v>
      </c>
      <c r="AG144" s="207">
        <f>SUMIFS('ноябрь 2023'!$G$76:$G$1127,'ноябрь 2023'!$D$76:$D$1127,$B144,'ноябрь 2023'!$J$76:$J$1127,AG$1)</f>
        <v>0</v>
      </c>
      <c r="AH144" s="207">
        <f>SUMIFS('ноябрь 2023'!$G$76:$G$1127,'ноябрь 2023'!$D$76:$D$1127,$B144,'ноябрь 2023'!$J$76:$J$1127,AH$1)</f>
        <v>0</v>
      </c>
      <c r="AI144" s="220">
        <f t="shared" si="3"/>
        <v>0</v>
      </c>
    </row>
    <row r="145" spans="2:35" ht="15" hidden="1" customHeight="1" x14ac:dyDescent="0.25">
      <c r="B145" s="218"/>
      <c r="C145" s="219"/>
      <c r="D145" s="207">
        <f>SUMIFS('ноябрь 2023'!$G$76:$G$1127,'ноябрь 2023'!$D$76:$D$1127,$B145,'ноябрь 2023'!$J$76:$J$1127,D$1)</f>
        <v>0</v>
      </c>
      <c r="E145" s="207">
        <f>SUMIFS('ноябрь 2023'!$G$76:$G$1127,'ноябрь 2023'!$D$76:$D$1127,$B145,'ноябрь 2023'!$J$76:$J$1127,E$1)</f>
        <v>0</v>
      </c>
      <c r="F145" s="207">
        <f>SUMIFS('ноябрь 2023'!$G$76:$G$1127,'ноябрь 2023'!$D$76:$D$1127,$B145,'ноябрь 2023'!$J$76:$J$1127,F$1)</f>
        <v>0</v>
      </c>
      <c r="G145" s="207">
        <f>SUMIFS('ноябрь 2023'!$G$76:$G$1127,'ноябрь 2023'!$D$76:$D$1127,$B145,'ноябрь 2023'!$J$76:$J$1127,G$1)</f>
        <v>0</v>
      </c>
      <c r="H145" s="207">
        <f>SUMIFS('ноябрь 2023'!$G$76:$G$1127,'ноябрь 2023'!$D$76:$D$1127,$B145,'ноябрь 2023'!$J$76:$J$1127,H$1)</f>
        <v>0</v>
      </c>
      <c r="I145" s="207">
        <f>SUMIFS('ноябрь 2023'!$G$76:$G$1127,'ноябрь 2023'!$D$76:$D$1127,$B145,'ноябрь 2023'!$J$76:$J$1127,I$1)</f>
        <v>0</v>
      </c>
      <c r="J145" s="207">
        <f>SUMIFS('ноябрь 2023'!$G$76:$G$1127,'ноябрь 2023'!$D$76:$D$1127,$B145,'ноябрь 2023'!$J$76:$J$1127,J$1)</f>
        <v>0</v>
      </c>
      <c r="K145" s="207">
        <f>SUMIFS('ноябрь 2023'!$G$76:$G$1127,'ноябрь 2023'!$D$76:$D$1127,$B145,'ноябрь 2023'!$J$76:$J$1127,K$1)</f>
        <v>0</v>
      </c>
      <c r="L145" s="207">
        <f>SUMIFS('ноябрь 2023'!$G$76:$G$1127,'ноябрь 2023'!$D$76:$D$1127,$B145,'ноябрь 2023'!$J$76:$J$1127,L$1)</f>
        <v>0</v>
      </c>
      <c r="M145" s="207">
        <f>SUMIFS('ноябрь 2023'!$G$76:$G$1127,'ноябрь 2023'!$D$76:$D$1127,$B145,'ноябрь 2023'!$J$76:$J$1127,M$1)</f>
        <v>0</v>
      </c>
      <c r="N145" s="207">
        <f>SUMIFS('ноябрь 2023'!$G$76:$G$1127,'ноябрь 2023'!$D$76:$D$1127,$B145,'ноябрь 2023'!$J$76:$J$1127,N$1)</f>
        <v>0</v>
      </c>
      <c r="O145" s="207">
        <f>SUMIFS('ноябрь 2023'!$G$76:$G$1127,'ноябрь 2023'!$D$76:$D$1127,$B145,'ноябрь 2023'!$J$76:$J$1127,O$1)</f>
        <v>0</v>
      </c>
      <c r="P145" s="207">
        <f>SUMIFS('ноябрь 2023'!$G$76:$G$1127,'ноябрь 2023'!$D$76:$D$1127,$B145,'ноябрь 2023'!$J$76:$J$1127,P$1)</f>
        <v>0</v>
      </c>
      <c r="Q145" s="207">
        <f>SUMIFS('ноябрь 2023'!$G$76:$G$1127,'ноябрь 2023'!$D$76:$D$1127,$B145,'ноябрь 2023'!$J$76:$J$1127,Q$1)</f>
        <v>0</v>
      </c>
      <c r="R145" s="207">
        <f>SUMIFS('ноябрь 2023'!$G$76:$G$1127,'ноябрь 2023'!$D$76:$D$1127,$B145,'ноябрь 2023'!$J$76:$J$1127,R$1)</f>
        <v>0</v>
      </c>
      <c r="S145" s="207">
        <f>SUMIFS('ноябрь 2023'!$G$76:$G$1127,'ноябрь 2023'!$D$76:$D$1127,$B145,'ноябрь 2023'!$J$76:$J$1127,S$1)</f>
        <v>0</v>
      </c>
      <c r="T145" s="207">
        <f>SUMIFS('ноябрь 2023'!$G$76:$G$1127,'ноябрь 2023'!$D$76:$D$1127,$B145,'ноябрь 2023'!$J$76:$J$1127,T$1)</f>
        <v>0</v>
      </c>
      <c r="U145" s="207">
        <f>SUMIFS('ноябрь 2023'!$G$76:$G$1127,'ноябрь 2023'!$D$76:$D$1127,$B145,'ноябрь 2023'!$J$76:$J$1127,U$1)</f>
        <v>0</v>
      </c>
      <c r="V145" s="207">
        <f>SUMIFS('ноябрь 2023'!$G$76:$G$1127,'ноябрь 2023'!$D$76:$D$1127,$B145,'ноябрь 2023'!$J$76:$J$1127,V$1)</f>
        <v>0</v>
      </c>
      <c r="W145" s="207">
        <f>SUMIFS('ноябрь 2023'!$G$76:$G$1127,'ноябрь 2023'!$D$76:$D$1127,$B145,'ноябрь 2023'!$J$76:$J$1127,W$1)</f>
        <v>0</v>
      </c>
      <c r="X145" s="207">
        <f>SUMIFS('ноябрь 2023'!$G$76:$G$1127,'ноябрь 2023'!$D$76:$D$1127,$B145,'ноябрь 2023'!$J$76:$J$1127,X$1)</f>
        <v>0</v>
      </c>
      <c r="Y145" s="207">
        <f>SUMIFS('ноябрь 2023'!$G$76:$G$1127,'ноябрь 2023'!$D$76:$D$1127,$B145,'ноябрь 2023'!$J$76:$J$1127,Y$1)</f>
        <v>0</v>
      </c>
      <c r="Z145" s="207">
        <f>SUMIFS('ноябрь 2023'!$G$76:$G$1127,'ноябрь 2023'!$D$76:$D$1127,$B145,'ноябрь 2023'!$J$76:$J$1127,Z$1)</f>
        <v>0</v>
      </c>
      <c r="AA145" s="207">
        <f>SUMIFS('ноябрь 2023'!$G$76:$G$1127,'ноябрь 2023'!$D$76:$D$1127,$B145,'ноябрь 2023'!$J$76:$J$1127,AA$1)</f>
        <v>0</v>
      </c>
      <c r="AB145" s="207">
        <f>SUMIFS('ноябрь 2023'!$G$76:$G$1127,'ноябрь 2023'!$D$76:$D$1127,$B145,'ноябрь 2023'!$J$76:$J$1127,AB$1)</f>
        <v>0</v>
      </c>
      <c r="AC145" s="207">
        <f>SUMIFS('ноябрь 2023'!$G$76:$G$1127,'ноябрь 2023'!$D$76:$D$1127,$B145,'ноябрь 2023'!$J$76:$J$1127,AC$1)</f>
        <v>0</v>
      </c>
      <c r="AD145" s="207">
        <f>SUMIFS('ноябрь 2023'!$G$76:$G$1127,'ноябрь 2023'!$D$76:$D$1127,$B145,'ноябрь 2023'!$J$76:$J$1127,AD$1)</f>
        <v>0</v>
      </c>
      <c r="AE145" s="207">
        <f>SUMIFS('ноябрь 2023'!$G$76:$G$1127,'ноябрь 2023'!$D$76:$D$1127,$B145,'ноябрь 2023'!$J$76:$J$1127,AE$1)</f>
        <v>0</v>
      </c>
      <c r="AF145" s="207">
        <f>SUMIFS('ноябрь 2023'!$G$76:$G$1127,'ноябрь 2023'!$D$76:$D$1127,$B145,'ноябрь 2023'!$J$76:$J$1127,AF$1)</f>
        <v>0</v>
      </c>
      <c r="AG145" s="207">
        <f>SUMIFS('ноябрь 2023'!$G$76:$G$1127,'ноябрь 2023'!$D$76:$D$1127,$B145,'ноябрь 2023'!$J$76:$J$1127,AG$1)</f>
        <v>0</v>
      </c>
      <c r="AH145" s="207">
        <f>SUMIFS('ноябрь 2023'!$G$76:$G$1127,'ноябрь 2023'!$D$76:$D$1127,$B145,'ноябрь 2023'!$J$76:$J$1127,AH$1)</f>
        <v>0</v>
      </c>
      <c r="AI145" s="220">
        <f t="shared" si="3"/>
        <v>0</v>
      </c>
    </row>
    <row r="146" spans="2:35" ht="15" hidden="1" customHeight="1" x14ac:dyDescent="0.25">
      <c r="B146" s="212"/>
      <c r="C146" s="213"/>
      <c r="D146" s="207">
        <f>SUMIFS('ноябрь 2023'!$G$76:$G$1127,'ноябрь 2023'!$D$76:$D$1127,$B146,'ноябрь 2023'!$J$76:$J$1127,D$1)</f>
        <v>0</v>
      </c>
      <c r="E146" s="207">
        <f>SUMIFS('ноябрь 2023'!$G$76:$G$1127,'ноябрь 2023'!$D$76:$D$1127,$B146,'ноябрь 2023'!$J$76:$J$1127,E$1)</f>
        <v>0</v>
      </c>
      <c r="F146" s="207">
        <f>SUMIFS('ноябрь 2023'!$G$76:$G$1127,'ноябрь 2023'!$D$76:$D$1127,$B146,'ноябрь 2023'!$J$76:$J$1127,F$1)</f>
        <v>0</v>
      </c>
      <c r="G146" s="207">
        <f>SUMIFS('ноябрь 2023'!$G$76:$G$1127,'ноябрь 2023'!$D$76:$D$1127,$B146,'ноябрь 2023'!$J$76:$J$1127,G$1)</f>
        <v>0</v>
      </c>
      <c r="H146" s="207">
        <f>SUMIFS('ноябрь 2023'!$G$76:$G$1127,'ноябрь 2023'!$D$76:$D$1127,$B146,'ноябрь 2023'!$J$76:$J$1127,H$1)</f>
        <v>0</v>
      </c>
      <c r="I146" s="207">
        <f>SUMIFS('ноябрь 2023'!$G$76:$G$1127,'ноябрь 2023'!$D$76:$D$1127,$B146,'ноябрь 2023'!$J$76:$J$1127,I$1)</f>
        <v>0</v>
      </c>
      <c r="J146" s="207">
        <f>SUMIFS('ноябрь 2023'!$G$76:$G$1127,'ноябрь 2023'!$D$76:$D$1127,$B146,'ноябрь 2023'!$J$76:$J$1127,J$1)</f>
        <v>0</v>
      </c>
      <c r="K146" s="207">
        <f>SUMIFS('ноябрь 2023'!$G$76:$G$1127,'ноябрь 2023'!$D$76:$D$1127,$B146,'ноябрь 2023'!$J$76:$J$1127,K$1)</f>
        <v>0</v>
      </c>
      <c r="L146" s="207">
        <f>SUMIFS('ноябрь 2023'!$G$76:$G$1127,'ноябрь 2023'!$D$76:$D$1127,$B146,'ноябрь 2023'!$J$76:$J$1127,L$1)</f>
        <v>0</v>
      </c>
      <c r="M146" s="207">
        <f>SUMIFS('ноябрь 2023'!$G$76:$G$1127,'ноябрь 2023'!$D$76:$D$1127,$B146,'ноябрь 2023'!$J$76:$J$1127,M$1)</f>
        <v>0</v>
      </c>
      <c r="N146" s="207">
        <f>SUMIFS('ноябрь 2023'!$G$76:$G$1127,'ноябрь 2023'!$D$76:$D$1127,$B146,'ноябрь 2023'!$J$76:$J$1127,N$1)</f>
        <v>0</v>
      </c>
      <c r="O146" s="207">
        <f>SUMIFS('ноябрь 2023'!$G$76:$G$1127,'ноябрь 2023'!$D$76:$D$1127,$B146,'ноябрь 2023'!$J$76:$J$1127,O$1)</f>
        <v>0</v>
      </c>
      <c r="P146" s="207">
        <f>SUMIFS('ноябрь 2023'!$G$76:$G$1127,'ноябрь 2023'!$D$76:$D$1127,$B146,'ноябрь 2023'!$J$76:$J$1127,P$1)</f>
        <v>0</v>
      </c>
      <c r="Q146" s="207">
        <f>SUMIFS('ноябрь 2023'!$G$76:$G$1127,'ноябрь 2023'!$D$76:$D$1127,$B146,'ноябрь 2023'!$J$76:$J$1127,Q$1)</f>
        <v>0</v>
      </c>
      <c r="R146" s="207">
        <f>SUMIFS('ноябрь 2023'!$G$76:$G$1127,'ноябрь 2023'!$D$76:$D$1127,$B146,'ноябрь 2023'!$J$76:$J$1127,R$1)</f>
        <v>0</v>
      </c>
      <c r="S146" s="207">
        <f>SUMIFS('ноябрь 2023'!$G$76:$G$1127,'ноябрь 2023'!$D$76:$D$1127,$B146,'ноябрь 2023'!$J$76:$J$1127,S$1)</f>
        <v>0</v>
      </c>
      <c r="T146" s="207">
        <f>SUMIFS('ноябрь 2023'!$G$76:$G$1127,'ноябрь 2023'!$D$76:$D$1127,$B146,'ноябрь 2023'!$J$76:$J$1127,T$1)</f>
        <v>0</v>
      </c>
      <c r="U146" s="207">
        <f>SUMIFS('ноябрь 2023'!$G$76:$G$1127,'ноябрь 2023'!$D$76:$D$1127,$B146,'ноябрь 2023'!$J$76:$J$1127,U$1)</f>
        <v>0</v>
      </c>
      <c r="V146" s="207">
        <f>SUMIFS('ноябрь 2023'!$G$76:$G$1127,'ноябрь 2023'!$D$76:$D$1127,$B146,'ноябрь 2023'!$J$76:$J$1127,V$1)</f>
        <v>0</v>
      </c>
      <c r="W146" s="207">
        <f>SUMIFS('ноябрь 2023'!$G$76:$G$1127,'ноябрь 2023'!$D$76:$D$1127,$B146,'ноябрь 2023'!$J$76:$J$1127,W$1)</f>
        <v>0</v>
      </c>
      <c r="X146" s="207">
        <f>SUMIFS('ноябрь 2023'!$G$76:$G$1127,'ноябрь 2023'!$D$76:$D$1127,$B146,'ноябрь 2023'!$J$76:$J$1127,X$1)</f>
        <v>0</v>
      </c>
      <c r="Y146" s="207">
        <f>SUMIFS('ноябрь 2023'!$G$76:$G$1127,'ноябрь 2023'!$D$76:$D$1127,$B146,'ноябрь 2023'!$J$76:$J$1127,Y$1)</f>
        <v>0</v>
      </c>
      <c r="Z146" s="207">
        <f>SUMIFS('ноябрь 2023'!$G$76:$G$1127,'ноябрь 2023'!$D$76:$D$1127,$B146,'ноябрь 2023'!$J$76:$J$1127,Z$1)</f>
        <v>0</v>
      </c>
      <c r="AA146" s="207">
        <f>SUMIFS('ноябрь 2023'!$G$76:$G$1127,'ноябрь 2023'!$D$76:$D$1127,$B146,'ноябрь 2023'!$J$76:$J$1127,AA$1)</f>
        <v>0</v>
      </c>
      <c r="AB146" s="207">
        <f>SUMIFS('ноябрь 2023'!$G$76:$G$1127,'ноябрь 2023'!$D$76:$D$1127,$B146,'ноябрь 2023'!$J$76:$J$1127,AB$1)</f>
        <v>0</v>
      </c>
      <c r="AC146" s="207">
        <f>SUMIFS('ноябрь 2023'!$G$76:$G$1127,'ноябрь 2023'!$D$76:$D$1127,$B146,'ноябрь 2023'!$J$76:$J$1127,AC$1)</f>
        <v>0</v>
      </c>
      <c r="AD146" s="207">
        <f>SUMIFS('ноябрь 2023'!$G$76:$G$1127,'ноябрь 2023'!$D$76:$D$1127,$B146,'ноябрь 2023'!$J$76:$J$1127,AD$1)</f>
        <v>0</v>
      </c>
      <c r="AE146" s="207">
        <f>SUMIFS('ноябрь 2023'!$G$76:$G$1127,'ноябрь 2023'!$D$76:$D$1127,$B146,'ноябрь 2023'!$J$76:$J$1127,AE$1)</f>
        <v>0</v>
      </c>
      <c r="AF146" s="207">
        <f>SUMIFS('ноябрь 2023'!$G$76:$G$1127,'ноябрь 2023'!$D$76:$D$1127,$B146,'ноябрь 2023'!$J$76:$J$1127,AF$1)</f>
        <v>0</v>
      </c>
      <c r="AG146" s="207">
        <f>SUMIFS('ноябрь 2023'!$G$76:$G$1127,'ноябрь 2023'!$D$76:$D$1127,$B146,'ноябрь 2023'!$J$76:$J$1127,AG$1)</f>
        <v>0</v>
      </c>
      <c r="AH146" s="207">
        <f>SUMIFS('ноябрь 2023'!$G$76:$G$1127,'ноябрь 2023'!$D$76:$D$1127,$B146,'ноябрь 2023'!$J$76:$J$1127,AH$1)</f>
        <v>0</v>
      </c>
      <c r="AI146" s="220">
        <f t="shared" si="3"/>
        <v>0</v>
      </c>
    </row>
    <row r="147" spans="2:35" ht="15" hidden="1" customHeight="1" x14ac:dyDescent="0.25">
      <c r="B147" s="212"/>
      <c r="C147" s="211"/>
      <c r="D147" s="207">
        <f>SUMIFS('ноябрь 2023'!$G$76:$G$1127,'ноябрь 2023'!$D$76:$D$1127,$B147,'ноябрь 2023'!$J$76:$J$1127,D$1)</f>
        <v>0</v>
      </c>
      <c r="E147" s="207">
        <f>SUMIFS('ноябрь 2023'!$G$76:$G$1127,'ноябрь 2023'!$D$76:$D$1127,$B147,'ноябрь 2023'!$J$76:$J$1127,E$1)</f>
        <v>0</v>
      </c>
      <c r="F147" s="207">
        <f>SUMIFS('ноябрь 2023'!$G$76:$G$1127,'ноябрь 2023'!$D$76:$D$1127,$B147,'ноябрь 2023'!$J$76:$J$1127,F$1)</f>
        <v>0</v>
      </c>
      <c r="G147" s="207">
        <f>SUMIFS('ноябрь 2023'!$G$76:$G$1127,'ноябрь 2023'!$D$76:$D$1127,$B147,'ноябрь 2023'!$J$76:$J$1127,G$1)</f>
        <v>0</v>
      </c>
      <c r="H147" s="207">
        <f>SUMIFS('ноябрь 2023'!$G$76:$G$1127,'ноябрь 2023'!$D$76:$D$1127,$B147,'ноябрь 2023'!$J$76:$J$1127,H$1)</f>
        <v>0</v>
      </c>
      <c r="I147" s="207">
        <f>SUMIFS('ноябрь 2023'!$G$76:$G$1127,'ноябрь 2023'!$D$76:$D$1127,$B147,'ноябрь 2023'!$J$76:$J$1127,I$1)</f>
        <v>0</v>
      </c>
      <c r="J147" s="207">
        <f>SUMIFS('ноябрь 2023'!$G$76:$G$1127,'ноябрь 2023'!$D$76:$D$1127,$B147,'ноябрь 2023'!$J$76:$J$1127,J$1)</f>
        <v>0</v>
      </c>
      <c r="K147" s="207">
        <f>SUMIFS('ноябрь 2023'!$G$76:$G$1127,'ноябрь 2023'!$D$76:$D$1127,$B147,'ноябрь 2023'!$J$76:$J$1127,K$1)</f>
        <v>0</v>
      </c>
      <c r="L147" s="207">
        <f>SUMIFS('ноябрь 2023'!$G$76:$G$1127,'ноябрь 2023'!$D$76:$D$1127,$B147,'ноябрь 2023'!$J$76:$J$1127,L$1)</f>
        <v>0</v>
      </c>
      <c r="M147" s="207">
        <f>SUMIFS('ноябрь 2023'!$G$76:$G$1127,'ноябрь 2023'!$D$76:$D$1127,$B147,'ноябрь 2023'!$J$76:$J$1127,M$1)</f>
        <v>0</v>
      </c>
      <c r="N147" s="207">
        <f>SUMIFS('ноябрь 2023'!$G$76:$G$1127,'ноябрь 2023'!$D$76:$D$1127,$B147,'ноябрь 2023'!$J$76:$J$1127,N$1)</f>
        <v>0</v>
      </c>
      <c r="O147" s="207">
        <f>SUMIFS('ноябрь 2023'!$G$76:$G$1127,'ноябрь 2023'!$D$76:$D$1127,$B147,'ноябрь 2023'!$J$76:$J$1127,O$1)</f>
        <v>0</v>
      </c>
      <c r="P147" s="207">
        <f>SUMIFS('ноябрь 2023'!$G$76:$G$1127,'ноябрь 2023'!$D$76:$D$1127,$B147,'ноябрь 2023'!$J$76:$J$1127,P$1)</f>
        <v>0</v>
      </c>
      <c r="Q147" s="207">
        <f>SUMIFS('ноябрь 2023'!$G$76:$G$1127,'ноябрь 2023'!$D$76:$D$1127,$B147,'ноябрь 2023'!$J$76:$J$1127,Q$1)</f>
        <v>0</v>
      </c>
      <c r="R147" s="207">
        <f>SUMIFS('ноябрь 2023'!$G$76:$G$1127,'ноябрь 2023'!$D$76:$D$1127,$B147,'ноябрь 2023'!$J$76:$J$1127,R$1)</f>
        <v>0</v>
      </c>
      <c r="S147" s="207">
        <f>SUMIFS('ноябрь 2023'!$G$76:$G$1127,'ноябрь 2023'!$D$76:$D$1127,$B147,'ноябрь 2023'!$J$76:$J$1127,S$1)</f>
        <v>0</v>
      </c>
      <c r="T147" s="207">
        <f>SUMIFS('ноябрь 2023'!$G$76:$G$1127,'ноябрь 2023'!$D$76:$D$1127,$B147,'ноябрь 2023'!$J$76:$J$1127,T$1)</f>
        <v>0</v>
      </c>
      <c r="U147" s="207">
        <f>SUMIFS('ноябрь 2023'!$G$76:$G$1127,'ноябрь 2023'!$D$76:$D$1127,$B147,'ноябрь 2023'!$J$76:$J$1127,U$1)</f>
        <v>0</v>
      </c>
      <c r="V147" s="207">
        <f>SUMIFS('ноябрь 2023'!$G$76:$G$1127,'ноябрь 2023'!$D$76:$D$1127,$B147,'ноябрь 2023'!$J$76:$J$1127,V$1)</f>
        <v>0</v>
      </c>
      <c r="W147" s="207">
        <f>SUMIFS('ноябрь 2023'!$G$76:$G$1127,'ноябрь 2023'!$D$76:$D$1127,$B147,'ноябрь 2023'!$J$76:$J$1127,W$1)</f>
        <v>0</v>
      </c>
      <c r="X147" s="207">
        <f>SUMIFS('ноябрь 2023'!$G$76:$G$1127,'ноябрь 2023'!$D$76:$D$1127,$B147,'ноябрь 2023'!$J$76:$J$1127,X$1)</f>
        <v>0</v>
      </c>
      <c r="Y147" s="207">
        <f>SUMIFS('ноябрь 2023'!$G$76:$G$1127,'ноябрь 2023'!$D$76:$D$1127,$B147,'ноябрь 2023'!$J$76:$J$1127,Y$1)</f>
        <v>0</v>
      </c>
      <c r="Z147" s="207">
        <f>SUMIFS('ноябрь 2023'!$G$76:$G$1127,'ноябрь 2023'!$D$76:$D$1127,$B147,'ноябрь 2023'!$J$76:$J$1127,Z$1)</f>
        <v>0</v>
      </c>
      <c r="AA147" s="207">
        <f>SUMIFS('ноябрь 2023'!$G$76:$G$1127,'ноябрь 2023'!$D$76:$D$1127,$B147,'ноябрь 2023'!$J$76:$J$1127,AA$1)</f>
        <v>0</v>
      </c>
      <c r="AB147" s="207">
        <f>SUMIFS('ноябрь 2023'!$G$76:$G$1127,'ноябрь 2023'!$D$76:$D$1127,$B147,'ноябрь 2023'!$J$76:$J$1127,AB$1)</f>
        <v>0</v>
      </c>
      <c r="AC147" s="207">
        <f>SUMIFS('ноябрь 2023'!$G$76:$G$1127,'ноябрь 2023'!$D$76:$D$1127,$B147,'ноябрь 2023'!$J$76:$J$1127,AC$1)</f>
        <v>0</v>
      </c>
      <c r="AD147" s="207">
        <f>SUMIFS('ноябрь 2023'!$G$76:$G$1127,'ноябрь 2023'!$D$76:$D$1127,$B147,'ноябрь 2023'!$J$76:$J$1127,AD$1)</f>
        <v>0</v>
      </c>
      <c r="AE147" s="207">
        <f>SUMIFS('ноябрь 2023'!$G$76:$G$1127,'ноябрь 2023'!$D$76:$D$1127,$B147,'ноябрь 2023'!$J$76:$J$1127,AE$1)</f>
        <v>0</v>
      </c>
      <c r="AF147" s="207">
        <f>SUMIFS('ноябрь 2023'!$G$76:$G$1127,'ноябрь 2023'!$D$76:$D$1127,$B147,'ноябрь 2023'!$J$76:$J$1127,AF$1)</f>
        <v>0</v>
      </c>
      <c r="AG147" s="207">
        <f>SUMIFS('ноябрь 2023'!$G$76:$G$1127,'ноябрь 2023'!$D$76:$D$1127,$B147,'ноябрь 2023'!$J$76:$J$1127,AG$1)</f>
        <v>0</v>
      </c>
      <c r="AH147" s="207">
        <f>SUMIFS('ноябрь 2023'!$G$76:$G$1127,'ноябрь 2023'!$D$76:$D$1127,$B147,'ноябрь 2023'!$J$76:$J$1127,AH$1)</f>
        <v>0</v>
      </c>
      <c r="AI147" s="220">
        <f t="shared" si="3"/>
        <v>0</v>
      </c>
    </row>
    <row r="148" spans="2:35" ht="15" hidden="1" customHeight="1" x14ac:dyDescent="0.25">
      <c r="B148" s="212"/>
      <c r="C148" s="211"/>
      <c r="D148" s="207">
        <f>SUMIFS('ноябрь 2023'!$G$76:$G$1127,'ноябрь 2023'!$D$76:$D$1127,$B148,'ноябрь 2023'!$J$76:$J$1127,D$1)</f>
        <v>0</v>
      </c>
      <c r="E148" s="207">
        <f>SUMIFS('ноябрь 2023'!$G$76:$G$1127,'ноябрь 2023'!$D$76:$D$1127,$B148,'ноябрь 2023'!$J$76:$J$1127,E$1)</f>
        <v>0</v>
      </c>
      <c r="F148" s="207">
        <f>SUMIFS('ноябрь 2023'!$G$76:$G$1127,'ноябрь 2023'!$D$76:$D$1127,$B148,'ноябрь 2023'!$J$76:$J$1127,F$1)</f>
        <v>0</v>
      </c>
      <c r="G148" s="207">
        <f>SUMIFS('ноябрь 2023'!$G$76:$G$1127,'ноябрь 2023'!$D$76:$D$1127,$B148,'ноябрь 2023'!$J$76:$J$1127,G$1)</f>
        <v>0</v>
      </c>
      <c r="H148" s="207">
        <f>SUMIFS('ноябрь 2023'!$G$76:$G$1127,'ноябрь 2023'!$D$76:$D$1127,$B148,'ноябрь 2023'!$J$76:$J$1127,H$1)</f>
        <v>0</v>
      </c>
      <c r="I148" s="207">
        <f>SUMIFS('ноябрь 2023'!$G$76:$G$1127,'ноябрь 2023'!$D$76:$D$1127,$B148,'ноябрь 2023'!$J$76:$J$1127,I$1)</f>
        <v>0</v>
      </c>
      <c r="J148" s="207">
        <f>SUMIFS('ноябрь 2023'!$G$76:$G$1127,'ноябрь 2023'!$D$76:$D$1127,$B148,'ноябрь 2023'!$J$76:$J$1127,J$1)</f>
        <v>0</v>
      </c>
      <c r="K148" s="207">
        <f>SUMIFS('ноябрь 2023'!$G$76:$G$1127,'ноябрь 2023'!$D$76:$D$1127,$B148,'ноябрь 2023'!$J$76:$J$1127,K$1)</f>
        <v>0</v>
      </c>
      <c r="L148" s="207">
        <f>SUMIFS('ноябрь 2023'!$G$76:$G$1127,'ноябрь 2023'!$D$76:$D$1127,$B148,'ноябрь 2023'!$J$76:$J$1127,L$1)</f>
        <v>0</v>
      </c>
      <c r="M148" s="207">
        <f>SUMIFS('ноябрь 2023'!$G$76:$G$1127,'ноябрь 2023'!$D$76:$D$1127,$B148,'ноябрь 2023'!$J$76:$J$1127,M$1)</f>
        <v>0</v>
      </c>
      <c r="N148" s="207">
        <f>SUMIFS('ноябрь 2023'!$G$76:$G$1127,'ноябрь 2023'!$D$76:$D$1127,$B148,'ноябрь 2023'!$J$76:$J$1127,N$1)</f>
        <v>0</v>
      </c>
      <c r="O148" s="207">
        <f>SUMIFS('ноябрь 2023'!$G$76:$G$1127,'ноябрь 2023'!$D$76:$D$1127,$B148,'ноябрь 2023'!$J$76:$J$1127,O$1)</f>
        <v>0</v>
      </c>
      <c r="P148" s="207">
        <f>SUMIFS('ноябрь 2023'!$G$76:$G$1127,'ноябрь 2023'!$D$76:$D$1127,$B148,'ноябрь 2023'!$J$76:$J$1127,P$1)</f>
        <v>0</v>
      </c>
      <c r="Q148" s="207">
        <f>SUMIFS('ноябрь 2023'!$G$76:$G$1127,'ноябрь 2023'!$D$76:$D$1127,$B148,'ноябрь 2023'!$J$76:$J$1127,Q$1)</f>
        <v>0</v>
      </c>
      <c r="R148" s="207">
        <f>SUMIFS('ноябрь 2023'!$G$76:$G$1127,'ноябрь 2023'!$D$76:$D$1127,$B148,'ноябрь 2023'!$J$76:$J$1127,R$1)</f>
        <v>0</v>
      </c>
      <c r="S148" s="207">
        <f>SUMIFS('ноябрь 2023'!$G$76:$G$1127,'ноябрь 2023'!$D$76:$D$1127,$B148,'ноябрь 2023'!$J$76:$J$1127,S$1)</f>
        <v>0</v>
      </c>
      <c r="T148" s="207">
        <f>SUMIFS('ноябрь 2023'!$G$76:$G$1127,'ноябрь 2023'!$D$76:$D$1127,$B148,'ноябрь 2023'!$J$76:$J$1127,T$1)</f>
        <v>0</v>
      </c>
      <c r="U148" s="207">
        <f>SUMIFS('ноябрь 2023'!$G$76:$G$1127,'ноябрь 2023'!$D$76:$D$1127,$B148,'ноябрь 2023'!$J$76:$J$1127,U$1)</f>
        <v>0</v>
      </c>
      <c r="V148" s="207">
        <f>SUMIFS('ноябрь 2023'!$G$76:$G$1127,'ноябрь 2023'!$D$76:$D$1127,$B148,'ноябрь 2023'!$J$76:$J$1127,V$1)</f>
        <v>0</v>
      </c>
      <c r="W148" s="207">
        <f>SUMIFS('ноябрь 2023'!$G$76:$G$1127,'ноябрь 2023'!$D$76:$D$1127,$B148,'ноябрь 2023'!$J$76:$J$1127,W$1)</f>
        <v>0</v>
      </c>
      <c r="X148" s="207">
        <f>SUMIFS('ноябрь 2023'!$G$76:$G$1127,'ноябрь 2023'!$D$76:$D$1127,$B148,'ноябрь 2023'!$J$76:$J$1127,X$1)</f>
        <v>0</v>
      </c>
      <c r="Y148" s="207">
        <f>SUMIFS('ноябрь 2023'!$G$76:$G$1127,'ноябрь 2023'!$D$76:$D$1127,$B148,'ноябрь 2023'!$J$76:$J$1127,Y$1)</f>
        <v>0</v>
      </c>
      <c r="Z148" s="207">
        <f>SUMIFS('ноябрь 2023'!$G$76:$G$1127,'ноябрь 2023'!$D$76:$D$1127,$B148,'ноябрь 2023'!$J$76:$J$1127,Z$1)</f>
        <v>0</v>
      </c>
      <c r="AA148" s="207">
        <f>SUMIFS('ноябрь 2023'!$G$76:$G$1127,'ноябрь 2023'!$D$76:$D$1127,$B148,'ноябрь 2023'!$J$76:$J$1127,AA$1)</f>
        <v>0</v>
      </c>
      <c r="AB148" s="207">
        <f>SUMIFS('ноябрь 2023'!$G$76:$G$1127,'ноябрь 2023'!$D$76:$D$1127,$B148,'ноябрь 2023'!$J$76:$J$1127,AB$1)</f>
        <v>0</v>
      </c>
      <c r="AC148" s="207">
        <f>SUMIFS('ноябрь 2023'!$G$76:$G$1127,'ноябрь 2023'!$D$76:$D$1127,$B148,'ноябрь 2023'!$J$76:$J$1127,AC$1)</f>
        <v>0</v>
      </c>
      <c r="AD148" s="207">
        <f>SUMIFS('ноябрь 2023'!$G$76:$G$1127,'ноябрь 2023'!$D$76:$D$1127,$B148,'ноябрь 2023'!$J$76:$J$1127,AD$1)</f>
        <v>0</v>
      </c>
      <c r="AE148" s="207">
        <f>SUMIFS('ноябрь 2023'!$G$76:$G$1127,'ноябрь 2023'!$D$76:$D$1127,$B148,'ноябрь 2023'!$J$76:$J$1127,AE$1)</f>
        <v>0</v>
      </c>
      <c r="AF148" s="207">
        <f>SUMIFS('ноябрь 2023'!$G$76:$G$1127,'ноябрь 2023'!$D$76:$D$1127,$B148,'ноябрь 2023'!$J$76:$J$1127,AF$1)</f>
        <v>0</v>
      </c>
      <c r="AG148" s="207">
        <f>SUMIFS('ноябрь 2023'!$G$76:$G$1127,'ноябрь 2023'!$D$76:$D$1127,$B148,'ноябрь 2023'!$J$76:$J$1127,AG$1)</f>
        <v>0</v>
      </c>
      <c r="AH148" s="207">
        <f>SUMIFS('ноябрь 2023'!$G$76:$G$1127,'ноябрь 2023'!$D$76:$D$1127,$B148,'ноябрь 2023'!$J$76:$J$1127,AH$1)</f>
        <v>0</v>
      </c>
      <c r="AI148" s="220">
        <f t="shared" si="3"/>
        <v>0</v>
      </c>
    </row>
    <row r="149" spans="2:35" ht="15" hidden="1" customHeight="1" x14ac:dyDescent="0.25">
      <c r="B149" s="212"/>
      <c r="C149" s="215"/>
      <c r="D149" s="207">
        <f>SUMIFS('ноябрь 2023'!$G$76:$G$1127,'ноябрь 2023'!$D$76:$D$1127,$B149,'ноябрь 2023'!$J$76:$J$1127,D$1)</f>
        <v>0</v>
      </c>
      <c r="E149" s="207">
        <f>SUMIFS('ноябрь 2023'!$G$76:$G$1127,'ноябрь 2023'!$D$76:$D$1127,$B149,'ноябрь 2023'!$J$76:$J$1127,E$1)</f>
        <v>0</v>
      </c>
      <c r="F149" s="207">
        <f>SUMIFS('ноябрь 2023'!$G$76:$G$1127,'ноябрь 2023'!$D$76:$D$1127,$B149,'ноябрь 2023'!$J$76:$J$1127,F$1)</f>
        <v>0</v>
      </c>
      <c r="G149" s="207">
        <f>SUMIFS('ноябрь 2023'!$G$76:$G$1127,'ноябрь 2023'!$D$76:$D$1127,$B149,'ноябрь 2023'!$J$76:$J$1127,G$1)</f>
        <v>0</v>
      </c>
      <c r="H149" s="207">
        <f>SUMIFS('ноябрь 2023'!$G$76:$G$1127,'ноябрь 2023'!$D$76:$D$1127,$B149,'ноябрь 2023'!$J$76:$J$1127,H$1)</f>
        <v>0</v>
      </c>
      <c r="I149" s="207">
        <f>SUMIFS('ноябрь 2023'!$G$76:$G$1127,'ноябрь 2023'!$D$76:$D$1127,$B149,'ноябрь 2023'!$J$76:$J$1127,I$1)</f>
        <v>0</v>
      </c>
      <c r="J149" s="207">
        <f>SUMIFS('ноябрь 2023'!$G$76:$G$1127,'ноябрь 2023'!$D$76:$D$1127,$B149,'ноябрь 2023'!$J$76:$J$1127,J$1)</f>
        <v>0</v>
      </c>
      <c r="K149" s="207">
        <f>SUMIFS('ноябрь 2023'!$G$76:$G$1127,'ноябрь 2023'!$D$76:$D$1127,$B149,'ноябрь 2023'!$J$76:$J$1127,K$1)</f>
        <v>0</v>
      </c>
      <c r="L149" s="207">
        <f>SUMIFS('ноябрь 2023'!$G$76:$G$1127,'ноябрь 2023'!$D$76:$D$1127,$B149,'ноябрь 2023'!$J$76:$J$1127,L$1)</f>
        <v>0</v>
      </c>
      <c r="M149" s="207">
        <f>SUMIFS('ноябрь 2023'!$G$76:$G$1127,'ноябрь 2023'!$D$76:$D$1127,$B149,'ноябрь 2023'!$J$76:$J$1127,M$1)</f>
        <v>0</v>
      </c>
      <c r="N149" s="207">
        <f>SUMIFS('ноябрь 2023'!$G$76:$G$1127,'ноябрь 2023'!$D$76:$D$1127,$B149,'ноябрь 2023'!$J$76:$J$1127,N$1)</f>
        <v>0</v>
      </c>
      <c r="O149" s="207">
        <f>SUMIFS('ноябрь 2023'!$G$76:$G$1127,'ноябрь 2023'!$D$76:$D$1127,$B149,'ноябрь 2023'!$J$76:$J$1127,O$1)</f>
        <v>0</v>
      </c>
      <c r="P149" s="207">
        <f>SUMIFS('ноябрь 2023'!$G$76:$G$1127,'ноябрь 2023'!$D$76:$D$1127,$B149,'ноябрь 2023'!$J$76:$J$1127,P$1)</f>
        <v>0</v>
      </c>
      <c r="Q149" s="207">
        <f>SUMIFS('ноябрь 2023'!$G$76:$G$1127,'ноябрь 2023'!$D$76:$D$1127,$B149,'ноябрь 2023'!$J$76:$J$1127,Q$1)</f>
        <v>0</v>
      </c>
      <c r="R149" s="207">
        <f>SUMIFS('ноябрь 2023'!$G$76:$G$1127,'ноябрь 2023'!$D$76:$D$1127,$B149,'ноябрь 2023'!$J$76:$J$1127,R$1)</f>
        <v>0</v>
      </c>
      <c r="S149" s="207">
        <f>SUMIFS('ноябрь 2023'!$G$76:$G$1127,'ноябрь 2023'!$D$76:$D$1127,$B149,'ноябрь 2023'!$J$76:$J$1127,S$1)</f>
        <v>0</v>
      </c>
      <c r="T149" s="207">
        <f>SUMIFS('ноябрь 2023'!$G$76:$G$1127,'ноябрь 2023'!$D$76:$D$1127,$B149,'ноябрь 2023'!$J$76:$J$1127,T$1)</f>
        <v>0</v>
      </c>
      <c r="U149" s="207">
        <f>SUMIFS('ноябрь 2023'!$G$76:$G$1127,'ноябрь 2023'!$D$76:$D$1127,$B149,'ноябрь 2023'!$J$76:$J$1127,U$1)</f>
        <v>0</v>
      </c>
      <c r="V149" s="207">
        <f>SUMIFS('ноябрь 2023'!$G$76:$G$1127,'ноябрь 2023'!$D$76:$D$1127,$B149,'ноябрь 2023'!$J$76:$J$1127,V$1)</f>
        <v>0</v>
      </c>
      <c r="W149" s="207">
        <f>SUMIFS('ноябрь 2023'!$G$76:$G$1127,'ноябрь 2023'!$D$76:$D$1127,$B149,'ноябрь 2023'!$J$76:$J$1127,W$1)</f>
        <v>0</v>
      </c>
      <c r="X149" s="207">
        <f>SUMIFS('ноябрь 2023'!$G$76:$G$1127,'ноябрь 2023'!$D$76:$D$1127,$B149,'ноябрь 2023'!$J$76:$J$1127,X$1)</f>
        <v>0</v>
      </c>
      <c r="Y149" s="207">
        <f>SUMIFS('ноябрь 2023'!$G$76:$G$1127,'ноябрь 2023'!$D$76:$D$1127,$B149,'ноябрь 2023'!$J$76:$J$1127,Y$1)</f>
        <v>0</v>
      </c>
      <c r="Z149" s="207">
        <f>SUMIFS('ноябрь 2023'!$G$76:$G$1127,'ноябрь 2023'!$D$76:$D$1127,$B149,'ноябрь 2023'!$J$76:$J$1127,Z$1)</f>
        <v>0</v>
      </c>
      <c r="AA149" s="207">
        <f>SUMIFS('ноябрь 2023'!$G$76:$G$1127,'ноябрь 2023'!$D$76:$D$1127,$B149,'ноябрь 2023'!$J$76:$J$1127,AA$1)</f>
        <v>0</v>
      </c>
      <c r="AB149" s="207">
        <f>SUMIFS('ноябрь 2023'!$G$76:$G$1127,'ноябрь 2023'!$D$76:$D$1127,$B149,'ноябрь 2023'!$J$76:$J$1127,AB$1)</f>
        <v>0</v>
      </c>
      <c r="AC149" s="207">
        <f>SUMIFS('ноябрь 2023'!$G$76:$G$1127,'ноябрь 2023'!$D$76:$D$1127,$B149,'ноябрь 2023'!$J$76:$J$1127,AC$1)</f>
        <v>0</v>
      </c>
      <c r="AD149" s="207">
        <f>SUMIFS('ноябрь 2023'!$G$76:$G$1127,'ноябрь 2023'!$D$76:$D$1127,$B149,'ноябрь 2023'!$J$76:$J$1127,AD$1)</f>
        <v>0</v>
      </c>
      <c r="AE149" s="207">
        <f>SUMIFS('ноябрь 2023'!$G$76:$G$1127,'ноябрь 2023'!$D$76:$D$1127,$B149,'ноябрь 2023'!$J$76:$J$1127,AE$1)</f>
        <v>0</v>
      </c>
      <c r="AF149" s="207">
        <f>SUMIFS('ноябрь 2023'!$G$76:$G$1127,'ноябрь 2023'!$D$76:$D$1127,$B149,'ноябрь 2023'!$J$76:$J$1127,AF$1)</f>
        <v>0</v>
      </c>
      <c r="AG149" s="207">
        <f>SUMIFS('ноябрь 2023'!$G$76:$G$1127,'ноябрь 2023'!$D$76:$D$1127,$B149,'ноябрь 2023'!$J$76:$J$1127,AG$1)</f>
        <v>0</v>
      </c>
      <c r="AH149" s="207">
        <f>SUMIFS('ноябрь 2023'!$G$76:$G$1127,'ноябрь 2023'!$D$76:$D$1127,$B149,'ноябрь 2023'!$J$76:$J$1127,AH$1)</f>
        <v>0</v>
      </c>
      <c r="AI149" s="220">
        <f t="shared" si="3"/>
        <v>0</v>
      </c>
    </row>
    <row r="150" spans="2:35" ht="15" hidden="1" customHeight="1" x14ac:dyDescent="0.25">
      <c r="B150" s="212"/>
      <c r="C150" s="213"/>
      <c r="D150" s="207">
        <f>SUMIFS('ноябрь 2023'!$G$76:$G$1127,'ноябрь 2023'!$D$76:$D$1127,$B150,'ноябрь 2023'!$J$76:$J$1127,D$1)</f>
        <v>0</v>
      </c>
      <c r="E150" s="207">
        <f>SUMIFS('ноябрь 2023'!$G$76:$G$1127,'ноябрь 2023'!$D$76:$D$1127,$B150,'ноябрь 2023'!$J$76:$J$1127,E$1)</f>
        <v>0</v>
      </c>
      <c r="F150" s="207">
        <f>SUMIFS('ноябрь 2023'!$G$76:$G$1127,'ноябрь 2023'!$D$76:$D$1127,$B150,'ноябрь 2023'!$J$76:$J$1127,F$1)</f>
        <v>0</v>
      </c>
      <c r="G150" s="207">
        <f>SUMIFS('ноябрь 2023'!$G$76:$G$1127,'ноябрь 2023'!$D$76:$D$1127,$B150,'ноябрь 2023'!$J$76:$J$1127,G$1)</f>
        <v>0</v>
      </c>
      <c r="H150" s="207">
        <f>SUMIFS('ноябрь 2023'!$G$76:$G$1127,'ноябрь 2023'!$D$76:$D$1127,$B150,'ноябрь 2023'!$J$76:$J$1127,H$1)</f>
        <v>0</v>
      </c>
      <c r="I150" s="207">
        <f>SUMIFS('ноябрь 2023'!$G$76:$G$1127,'ноябрь 2023'!$D$76:$D$1127,$B150,'ноябрь 2023'!$J$76:$J$1127,I$1)</f>
        <v>0</v>
      </c>
      <c r="J150" s="207">
        <f>SUMIFS('ноябрь 2023'!$G$76:$G$1127,'ноябрь 2023'!$D$76:$D$1127,$B150,'ноябрь 2023'!$J$76:$J$1127,J$1)</f>
        <v>0</v>
      </c>
      <c r="K150" s="207">
        <f>SUMIFS('ноябрь 2023'!$G$76:$G$1127,'ноябрь 2023'!$D$76:$D$1127,$B150,'ноябрь 2023'!$J$76:$J$1127,K$1)</f>
        <v>0</v>
      </c>
      <c r="L150" s="207">
        <f>SUMIFS('ноябрь 2023'!$G$76:$G$1127,'ноябрь 2023'!$D$76:$D$1127,$B150,'ноябрь 2023'!$J$76:$J$1127,L$1)</f>
        <v>0</v>
      </c>
      <c r="M150" s="207">
        <f>SUMIFS('ноябрь 2023'!$G$76:$G$1127,'ноябрь 2023'!$D$76:$D$1127,$B150,'ноябрь 2023'!$J$76:$J$1127,M$1)</f>
        <v>0</v>
      </c>
      <c r="N150" s="207">
        <f>SUMIFS('ноябрь 2023'!$G$76:$G$1127,'ноябрь 2023'!$D$76:$D$1127,$B150,'ноябрь 2023'!$J$76:$J$1127,N$1)</f>
        <v>0</v>
      </c>
      <c r="O150" s="207">
        <f>SUMIFS('ноябрь 2023'!$G$76:$G$1127,'ноябрь 2023'!$D$76:$D$1127,$B150,'ноябрь 2023'!$J$76:$J$1127,O$1)</f>
        <v>0</v>
      </c>
      <c r="P150" s="207">
        <f>SUMIFS('ноябрь 2023'!$G$76:$G$1127,'ноябрь 2023'!$D$76:$D$1127,$B150,'ноябрь 2023'!$J$76:$J$1127,P$1)</f>
        <v>0</v>
      </c>
      <c r="Q150" s="207">
        <f>SUMIFS('ноябрь 2023'!$G$76:$G$1127,'ноябрь 2023'!$D$76:$D$1127,$B150,'ноябрь 2023'!$J$76:$J$1127,Q$1)</f>
        <v>0</v>
      </c>
      <c r="R150" s="207">
        <f>SUMIFS('ноябрь 2023'!$G$76:$G$1127,'ноябрь 2023'!$D$76:$D$1127,$B150,'ноябрь 2023'!$J$76:$J$1127,R$1)</f>
        <v>0</v>
      </c>
      <c r="S150" s="207">
        <f>SUMIFS('ноябрь 2023'!$G$76:$G$1127,'ноябрь 2023'!$D$76:$D$1127,$B150,'ноябрь 2023'!$J$76:$J$1127,S$1)</f>
        <v>0</v>
      </c>
      <c r="T150" s="207">
        <f>SUMIFS('ноябрь 2023'!$G$76:$G$1127,'ноябрь 2023'!$D$76:$D$1127,$B150,'ноябрь 2023'!$J$76:$J$1127,T$1)</f>
        <v>0</v>
      </c>
      <c r="U150" s="207">
        <f>SUMIFS('ноябрь 2023'!$G$76:$G$1127,'ноябрь 2023'!$D$76:$D$1127,$B150,'ноябрь 2023'!$J$76:$J$1127,U$1)</f>
        <v>0</v>
      </c>
      <c r="V150" s="207">
        <f>SUMIFS('ноябрь 2023'!$G$76:$G$1127,'ноябрь 2023'!$D$76:$D$1127,$B150,'ноябрь 2023'!$J$76:$J$1127,V$1)</f>
        <v>0</v>
      </c>
      <c r="W150" s="207">
        <f>SUMIFS('ноябрь 2023'!$G$76:$G$1127,'ноябрь 2023'!$D$76:$D$1127,$B150,'ноябрь 2023'!$J$76:$J$1127,W$1)</f>
        <v>0</v>
      </c>
      <c r="X150" s="207">
        <f>SUMIFS('ноябрь 2023'!$G$76:$G$1127,'ноябрь 2023'!$D$76:$D$1127,$B150,'ноябрь 2023'!$J$76:$J$1127,X$1)</f>
        <v>0</v>
      </c>
      <c r="Y150" s="207">
        <f>SUMIFS('ноябрь 2023'!$G$76:$G$1127,'ноябрь 2023'!$D$76:$D$1127,$B150,'ноябрь 2023'!$J$76:$J$1127,Y$1)</f>
        <v>0</v>
      </c>
      <c r="Z150" s="207">
        <f>SUMIFS('ноябрь 2023'!$G$76:$G$1127,'ноябрь 2023'!$D$76:$D$1127,$B150,'ноябрь 2023'!$J$76:$J$1127,Z$1)</f>
        <v>0</v>
      </c>
      <c r="AA150" s="207">
        <f>SUMIFS('ноябрь 2023'!$G$76:$G$1127,'ноябрь 2023'!$D$76:$D$1127,$B150,'ноябрь 2023'!$J$76:$J$1127,AA$1)</f>
        <v>0</v>
      </c>
      <c r="AB150" s="207">
        <f>SUMIFS('ноябрь 2023'!$G$76:$G$1127,'ноябрь 2023'!$D$76:$D$1127,$B150,'ноябрь 2023'!$J$76:$J$1127,AB$1)</f>
        <v>0</v>
      </c>
      <c r="AC150" s="207">
        <f>SUMIFS('ноябрь 2023'!$G$76:$G$1127,'ноябрь 2023'!$D$76:$D$1127,$B150,'ноябрь 2023'!$J$76:$J$1127,AC$1)</f>
        <v>0</v>
      </c>
      <c r="AD150" s="207">
        <f>SUMIFS('ноябрь 2023'!$G$76:$G$1127,'ноябрь 2023'!$D$76:$D$1127,$B150,'ноябрь 2023'!$J$76:$J$1127,AD$1)</f>
        <v>0</v>
      </c>
      <c r="AE150" s="207">
        <f>SUMIFS('ноябрь 2023'!$G$76:$G$1127,'ноябрь 2023'!$D$76:$D$1127,$B150,'ноябрь 2023'!$J$76:$J$1127,AE$1)</f>
        <v>0</v>
      </c>
      <c r="AF150" s="207">
        <f>SUMIFS('ноябрь 2023'!$G$76:$G$1127,'ноябрь 2023'!$D$76:$D$1127,$B150,'ноябрь 2023'!$J$76:$J$1127,AF$1)</f>
        <v>0</v>
      </c>
      <c r="AG150" s="207">
        <f>SUMIFS('ноябрь 2023'!$G$76:$G$1127,'ноябрь 2023'!$D$76:$D$1127,$B150,'ноябрь 2023'!$J$76:$J$1127,AG$1)</f>
        <v>0</v>
      </c>
      <c r="AH150" s="207">
        <f>SUMIFS('ноябрь 2023'!$G$76:$G$1127,'ноябрь 2023'!$D$76:$D$1127,$B150,'ноябрь 2023'!$J$76:$J$1127,AH$1)</f>
        <v>0</v>
      </c>
      <c r="AI150" s="220">
        <f t="shared" si="3"/>
        <v>0</v>
      </c>
    </row>
    <row r="151" spans="2:35" ht="15" hidden="1" customHeight="1" x14ac:dyDescent="0.25">
      <c r="B151" s="216"/>
      <c r="C151" s="213"/>
      <c r="D151" s="207">
        <f>SUMIFS('ноябрь 2023'!$G$76:$G$1127,'ноябрь 2023'!$D$76:$D$1127,$B151,'ноябрь 2023'!$J$76:$J$1127,D$1)</f>
        <v>0</v>
      </c>
      <c r="E151" s="207">
        <f>SUMIFS('ноябрь 2023'!$G$76:$G$1127,'ноябрь 2023'!$D$76:$D$1127,$B151,'ноябрь 2023'!$J$76:$J$1127,E$1)</f>
        <v>0</v>
      </c>
      <c r="F151" s="207">
        <f>SUMIFS('ноябрь 2023'!$G$76:$G$1127,'ноябрь 2023'!$D$76:$D$1127,$B151,'ноябрь 2023'!$J$76:$J$1127,F$1)</f>
        <v>0</v>
      </c>
      <c r="G151" s="207">
        <f>SUMIFS('ноябрь 2023'!$G$76:$G$1127,'ноябрь 2023'!$D$76:$D$1127,$B151,'ноябрь 2023'!$J$76:$J$1127,G$1)</f>
        <v>0</v>
      </c>
      <c r="H151" s="207">
        <f>SUMIFS('ноябрь 2023'!$G$76:$G$1127,'ноябрь 2023'!$D$76:$D$1127,$B151,'ноябрь 2023'!$J$76:$J$1127,H$1)</f>
        <v>0</v>
      </c>
      <c r="I151" s="207">
        <f>SUMIFS('ноябрь 2023'!$G$76:$G$1127,'ноябрь 2023'!$D$76:$D$1127,$B151,'ноябрь 2023'!$J$76:$J$1127,I$1)</f>
        <v>0</v>
      </c>
      <c r="J151" s="207">
        <f>SUMIFS('ноябрь 2023'!$G$76:$G$1127,'ноябрь 2023'!$D$76:$D$1127,$B151,'ноябрь 2023'!$J$76:$J$1127,J$1)</f>
        <v>0</v>
      </c>
      <c r="K151" s="207">
        <f>SUMIFS('ноябрь 2023'!$G$76:$G$1127,'ноябрь 2023'!$D$76:$D$1127,$B151,'ноябрь 2023'!$J$76:$J$1127,K$1)</f>
        <v>0</v>
      </c>
      <c r="L151" s="207">
        <f>SUMIFS('ноябрь 2023'!$G$76:$G$1127,'ноябрь 2023'!$D$76:$D$1127,$B151,'ноябрь 2023'!$J$76:$J$1127,L$1)</f>
        <v>0</v>
      </c>
      <c r="M151" s="207">
        <f>SUMIFS('ноябрь 2023'!$G$76:$G$1127,'ноябрь 2023'!$D$76:$D$1127,$B151,'ноябрь 2023'!$J$76:$J$1127,M$1)</f>
        <v>0</v>
      </c>
      <c r="N151" s="207">
        <f>SUMIFS('ноябрь 2023'!$G$76:$G$1127,'ноябрь 2023'!$D$76:$D$1127,$B151,'ноябрь 2023'!$J$76:$J$1127,N$1)</f>
        <v>0</v>
      </c>
      <c r="O151" s="207">
        <f>SUMIFS('ноябрь 2023'!$G$76:$G$1127,'ноябрь 2023'!$D$76:$D$1127,$B151,'ноябрь 2023'!$J$76:$J$1127,O$1)</f>
        <v>0</v>
      </c>
      <c r="P151" s="207">
        <f>SUMIFS('ноябрь 2023'!$G$76:$G$1127,'ноябрь 2023'!$D$76:$D$1127,$B151,'ноябрь 2023'!$J$76:$J$1127,P$1)</f>
        <v>0</v>
      </c>
      <c r="Q151" s="207">
        <f>SUMIFS('ноябрь 2023'!$G$76:$G$1127,'ноябрь 2023'!$D$76:$D$1127,$B151,'ноябрь 2023'!$J$76:$J$1127,Q$1)</f>
        <v>0</v>
      </c>
      <c r="R151" s="207">
        <f>SUMIFS('ноябрь 2023'!$G$76:$G$1127,'ноябрь 2023'!$D$76:$D$1127,$B151,'ноябрь 2023'!$J$76:$J$1127,R$1)</f>
        <v>0</v>
      </c>
      <c r="S151" s="207">
        <f>SUMIFS('ноябрь 2023'!$G$76:$G$1127,'ноябрь 2023'!$D$76:$D$1127,$B151,'ноябрь 2023'!$J$76:$J$1127,S$1)</f>
        <v>0</v>
      </c>
      <c r="T151" s="207">
        <f>SUMIFS('ноябрь 2023'!$G$76:$G$1127,'ноябрь 2023'!$D$76:$D$1127,$B151,'ноябрь 2023'!$J$76:$J$1127,T$1)</f>
        <v>0</v>
      </c>
      <c r="U151" s="207">
        <f>SUMIFS('ноябрь 2023'!$G$76:$G$1127,'ноябрь 2023'!$D$76:$D$1127,$B151,'ноябрь 2023'!$J$76:$J$1127,U$1)</f>
        <v>0</v>
      </c>
      <c r="V151" s="207">
        <f>SUMIFS('ноябрь 2023'!$G$76:$G$1127,'ноябрь 2023'!$D$76:$D$1127,$B151,'ноябрь 2023'!$J$76:$J$1127,V$1)</f>
        <v>0</v>
      </c>
      <c r="W151" s="207">
        <f>SUMIFS('ноябрь 2023'!$G$76:$G$1127,'ноябрь 2023'!$D$76:$D$1127,$B151,'ноябрь 2023'!$J$76:$J$1127,W$1)</f>
        <v>0</v>
      </c>
      <c r="X151" s="207">
        <f>SUMIFS('ноябрь 2023'!$G$76:$G$1127,'ноябрь 2023'!$D$76:$D$1127,$B151,'ноябрь 2023'!$J$76:$J$1127,X$1)</f>
        <v>0</v>
      </c>
      <c r="Y151" s="207">
        <f>SUMIFS('ноябрь 2023'!$G$76:$G$1127,'ноябрь 2023'!$D$76:$D$1127,$B151,'ноябрь 2023'!$J$76:$J$1127,Y$1)</f>
        <v>0</v>
      </c>
      <c r="Z151" s="207">
        <f>SUMIFS('ноябрь 2023'!$G$76:$G$1127,'ноябрь 2023'!$D$76:$D$1127,$B151,'ноябрь 2023'!$J$76:$J$1127,Z$1)</f>
        <v>0</v>
      </c>
      <c r="AA151" s="207">
        <f>SUMIFS('ноябрь 2023'!$G$76:$G$1127,'ноябрь 2023'!$D$76:$D$1127,$B151,'ноябрь 2023'!$J$76:$J$1127,AA$1)</f>
        <v>0</v>
      </c>
      <c r="AB151" s="207">
        <f>SUMIFS('ноябрь 2023'!$G$76:$G$1127,'ноябрь 2023'!$D$76:$D$1127,$B151,'ноябрь 2023'!$J$76:$J$1127,AB$1)</f>
        <v>0</v>
      </c>
      <c r="AC151" s="207">
        <f>SUMIFS('ноябрь 2023'!$G$76:$G$1127,'ноябрь 2023'!$D$76:$D$1127,$B151,'ноябрь 2023'!$J$76:$J$1127,AC$1)</f>
        <v>0</v>
      </c>
      <c r="AD151" s="207">
        <f>SUMIFS('ноябрь 2023'!$G$76:$G$1127,'ноябрь 2023'!$D$76:$D$1127,$B151,'ноябрь 2023'!$J$76:$J$1127,AD$1)</f>
        <v>0</v>
      </c>
      <c r="AE151" s="207">
        <f>SUMIFS('ноябрь 2023'!$G$76:$G$1127,'ноябрь 2023'!$D$76:$D$1127,$B151,'ноябрь 2023'!$J$76:$J$1127,AE$1)</f>
        <v>0</v>
      </c>
      <c r="AF151" s="207">
        <f>SUMIFS('ноябрь 2023'!$G$76:$G$1127,'ноябрь 2023'!$D$76:$D$1127,$B151,'ноябрь 2023'!$J$76:$J$1127,AF$1)</f>
        <v>0</v>
      </c>
      <c r="AG151" s="207">
        <f>SUMIFS('ноябрь 2023'!$G$76:$G$1127,'ноябрь 2023'!$D$76:$D$1127,$B151,'ноябрь 2023'!$J$76:$J$1127,AG$1)</f>
        <v>0</v>
      </c>
      <c r="AH151" s="207">
        <f>SUMIFS('ноябрь 2023'!$G$76:$G$1127,'ноябрь 2023'!$D$76:$D$1127,$B151,'ноябрь 2023'!$J$76:$J$1127,AH$1)</f>
        <v>0</v>
      </c>
      <c r="AI151" s="220">
        <f t="shared" si="3"/>
        <v>0</v>
      </c>
    </row>
    <row r="152" spans="2:35" ht="15" hidden="1" customHeight="1" x14ac:dyDescent="0.25">
      <c r="B152" s="212"/>
      <c r="C152" s="211"/>
      <c r="D152" s="207">
        <f>SUMIFS('ноябрь 2023'!$G$76:$G$1127,'ноябрь 2023'!$D$76:$D$1127,$B152,'ноябрь 2023'!$J$76:$J$1127,D$1)</f>
        <v>0</v>
      </c>
      <c r="E152" s="207">
        <f>SUMIFS('ноябрь 2023'!$G$76:$G$1127,'ноябрь 2023'!$D$76:$D$1127,$B152,'ноябрь 2023'!$J$76:$J$1127,E$1)</f>
        <v>0</v>
      </c>
      <c r="F152" s="207">
        <f>SUMIFS('ноябрь 2023'!$G$76:$G$1127,'ноябрь 2023'!$D$76:$D$1127,$B152,'ноябрь 2023'!$J$76:$J$1127,F$1)</f>
        <v>0</v>
      </c>
      <c r="G152" s="207">
        <f>SUMIFS('ноябрь 2023'!$G$76:$G$1127,'ноябрь 2023'!$D$76:$D$1127,$B152,'ноябрь 2023'!$J$76:$J$1127,G$1)</f>
        <v>0</v>
      </c>
      <c r="H152" s="207">
        <f>SUMIFS('ноябрь 2023'!$G$76:$G$1127,'ноябрь 2023'!$D$76:$D$1127,$B152,'ноябрь 2023'!$J$76:$J$1127,H$1)</f>
        <v>0</v>
      </c>
      <c r="I152" s="207">
        <f>SUMIFS('ноябрь 2023'!$G$76:$G$1127,'ноябрь 2023'!$D$76:$D$1127,$B152,'ноябрь 2023'!$J$76:$J$1127,I$1)</f>
        <v>0</v>
      </c>
      <c r="J152" s="207">
        <f>SUMIFS('ноябрь 2023'!$G$76:$G$1127,'ноябрь 2023'!$D$76:$D$1127,$B152,'ноябрь 2023'!$J$76:$J$1127,J$1)</f>
        <v>0</v>
      </c>
      <c r="K152" s="207">
        <f>SUMIFS('ноябрь 2023'!$G$76:$G$1127,'ноябрь 2023'!$D$76:$D$1127,$B152,'ноябрь 2023'!$J$76:$J$1127,K$1)</f>
        <v>0</v>
      </c>
      <c r="L152" s="207">
        <f>SUMIFS('ноябрь 2023'!$G$76:$G$1127,'ноябрь 2023'!$D$76:$D$1127,$B152,'ноябрь 2023'!$J$76:$J$1127,L$1)</f>
        <v>0</v>
      </c>
      <c r="M152" s="207">
        <f>SUMIFS('ноябрь 2023'!$G$76:$G$1127,'ноябрь 2023'!$D$76:$D$1127,$B152,'ноябрь 2023'!$J$76:$J$1127,M$1)</f>
        <v>0</v>
      </c>
      <c r="N152" s="207">
        <f>SUMIFS('ноябрь 2023'!$G$76:$G$1127,'ноябрь 2023'!$D$76:$D$1127,$B152,'ноябрь 2023'!$J$76:$J$1127,N$1)</f>
        <v>0</v>
      </c>
      <c r="O152" s="207">
        <f>SUMIFS('ноябрь 2023'!$G$76:$G$1127,'ноябрь 2023'!$D$76:$D$1127,$B152,'ноябрь 2023'!$J$76:$J$1127,O$1)</f>
        <v>0</v>
      </c>
      <c r="P152" s="207">
        <f>SUMIFS('ноябрь 2023'!$G$76:$G$1127,'ноябрь 2023'!$D$76:$D$1127,$B152,'ноябрь 2023'!$J$76:$J$1127,P$1)</f>
        <v>0</v>
      </c>
      <c r="Q152" s="207">
        <f>SUMIFS('ноябрь 2023'!$G$76:$G$1127,'ноябрь 2023'!$D$76:$D$1127,$B152,'ноябрь 2023'!$J$76:$J$1127,Q$1)</f>
        <v>0</v>
      </c>
      <c r="R152" s="207">
        <f>SUMIFS('ноябрь 2023'!$G$76:$G$1127,'ноябрь 2023'!$D$76:$D$1127,$B152,'ноябрь 2023'!$J$76:$J$1127,R$1)</f>
        <v>0</v>
      </c>
      <c r="S152" s="207">
        <f>SUMIFS('ноябрь 2023'!$G$76:$G$1127,'ноябрь 2023'!$D$76:$D$1127,$B152,'ноябрь 2023'!$J$76:$J$1127,S$1)</f>
        <v>0</v>
      </c>
      <c r="T152" s="207">
        <f>SUMIFS('ноябрь 2023'!$G$76:$G$1127,'ноябрь 2023'!$D$76:$D$1127,$B152,'ноябрь 2023'!$J$76:$J$1127,T$1)</f>
        <v>0</v>
      </c>
      <c r="U152" s="207">
        <f>SUMIFS('ноябрь 2023'!$G$76:$G$1127,'ноябрь 2023'!$D$76:$D$1127,$B152,'ноябрь 2023'!$J$76:$J$1127,U$1)</f>
        <v>0</v>
      </c>
      <c r="V152" s="207">
        <f>SUMIFS('ноябрь 2023'!$G$76:$G$1127,'ноябрь 2023'!$D$76:$D$1127,$B152,'ноябрь 2023'!$J$76:$J$1127,V$1)</f>
        <v>0</v>
      </c>
      <c r="W152" s="207">
        <f>SUMIFS('ноябрь 2023'!$G$76:$G$1127,'ноябрь 2023'!$D$76:$D$1127,$B152,'ноябрь 2023'!$J$76:$J$1127,W$1)</f>
        <v>0</v>
      </c>
      <c r="X152" s="207">
        <f>SUMIFS('ноябрь 2023'!$G$76:$G$1127,'ноябрь 2023'!$D$76:$D$1127,$B152,'ноябрь 2023'!$J$76:$J$1127,X$1)</f>
        <v>0</v>
      </c>
      <c r="Y152" s="207">
        <f>SUMIFS('ноябрь 2023'!$G$76:$G$1127,'ноябрь 2023'!$D$76:$D$1127,$B152,'ноябрь 2023'!$J$76:$J$1127,Y$1)</f>
        <v>0</v>
      </c>
      <c r="Z152" s="207">
        <f>SUMIFS('ноябрь 2023'!$G$76:$G$1127,'ноябрь 2023'!$D$76:$D$1127,$B152,'ноябрь 2023'!$J$76:$J$1127,Z$1)</f>
        <v>0</v>
      </c>
      <c r="AA152" s="207">
        <f>SUMIFS('ноябрь 2023'!$G$76:$G$1127,'ноябрь 2023'!$D$76:$D$1127,$B152,'ноябрь 2023'!$J$76:$J$1127,AA$1)</f>
        <v>0</v>
      </c>
      <c r="AB152" s="207">
        <f>SUMIFS('ноябрь 2023'!$G$76:$G$1127,'ноябрь 2023'!$D$76:$D$1127,$B152,'ноябрь 2023'!$J$76:$J$1127,AB$1)</f>
        <v>0</v>
      </c>
      <c r="AC152" s="207">
        <f>SUMIFS('ноябрь 2023'!$G$76:$G$1127,'ноябрь 2023'!$D$76:$D$1127,$B152,'ноябрь 2023'!$J$76:$J$1127,AC$1)</f>
        <v>0</v>
      </c>
      <c r="AD152" s="207">
        <f>SUMIFS('ноябрь 2023'!$G$76:$G$1127,'ноябрь 2023'!$D$76:$D$1127,$B152,'ноябрь 2023'!$J$76:$J$1127,AD$1)</f>
        <v>0</v>
      </c>
      <c r="AE152" s="207">
        <f>SUMIFS('ноябрь 2023'!$G$76:$G$1127,'ноябрь 2023'!$D$76:$D$1127,$B152,'ноябрь 2023'!$J$76:$J$1127,AE$1)</f>
        <v>0</v>
      </c>
      <c r="AF152" s="207">
        <f>SUMIFS('ноябрь 2023'!$G$76:$G$1127,'ноябрь 2023'!$D$76:$D$1127,$B152,'ноябрь 2023'!$J$76:$J$1127,AF$1)</f>
        <v>0</v>
      </c>
      <c r="AG152" s="207">
        <f>SUMIFS('ноябрь 2023'!$G$76:$G$1127,'ноябрь 2023'!$D$76:$D$1127,$B152,'ноябрь 2023'!$J$76:$J$1127,AG$1)</f>
        <v>0</v>
      </c>
      <c r="AH152" s="207">
        <f>SUMIFS('ноябрь 2023'!$G$76:$G$1127,'ноябрь 2023'!$D$76:$D$1127,$B152,'ноябрь 2023'!$J$76:$J$1127,AH$1)</f>
        <v>0</v>
      </c>
      <c r="AI152" s="220">
        <f t="shared" si="3"/>
        <v>0</v>
      </c>
    </row>
    <row r="153" spans="2:35" ht="15" hidden="1" customHeight="1" x14ac:dyDescent="0.25">
      <c r="B153" s="212"/>
      <c r="C153" s="213"/>
      <c r="D153" s="207">
        <f>SUMIFS('ноябрь 2023'!$G$76:$G$1127,'ноябрь 2023'!$D$76:$D$1127,$B153,'ноябрь 2023'!$J$76:$J$1127,D$1)</f>
        <v>0</v>
      </c>
      <c r="E153" s="207">
        <f>SUMIFS('ноябрь 2023'!$G$76:$G$1127,'ноябрь 2023'!$D$76:$D$1127,$B153,'ноябрь 2023'!$J$76:$J$1127,E$1)</f>
        <v>0</v>
      </c>
      <c r="F153" s="207">
        <f>SUMIFS('ноябрь 2023'!$G$76:$G$1127,'ноябрь 2023'!$D$76:$D$1127,$B153,'ноябрь 2023'!$J$76:$J$1127,F$1)</f>
        <v>0</v>
      </c>
      <c r="G153" s="207">
        <f>SUMIFS('ноябрь 2023'!$G$76:$G$1127,'ноябрь 2023'!$D$76:$D$1127,$B153,'ноябрь 2023'!$J$76:$J$1127,G$1)</f>
        <v>0</v>
      </c>
      <c r="H153" s="207">
        <f>SUMIFS('ноябрь 2023'!$G$76:$G$1127,'ноябрь 2023'!$D$76:$D$1127,$B153,'ноябрь 2023'!$J$76:$J$1127,H$1)</f>
        <v>0</v>
      </c>
      <c r="I153" s="207">
        <f>SUMIFS('ноябрь 2023'!$G$76:$G$1127,'ноябрь 2023'!$D$76:$D$1127,$B153,'ноябрь 2023'!$J$76:$J$1127,I$1)</f>
        <v>0</v>
      </c>
      <c r="J153" s="207">
        <f>SUMIFS('ноябрь 2023'!$G$76:$G$1127,'ноябрь 2023'!$D$76:$D$1127,$B153,'ноябрь 2023'!$J$76:$J$1127,J$1)</f>
        <v>0</v>
      </c>
      <c r="K153" s="207">
        <f>SUMIFS('ноябрь 2023'!$G$76:$G$1127,'ноябрь 2023'!$D$76:$D$1127,$B153,'ноябрь 2023'!$J$76:$J$1127,K$1)</f>
        <v>0</v>
      </c>
      <c r="L153" s="207">
        <f>SUMIFS('ноябрь 2023'!$G$76:$G$1127,'ноябрь 2023'!$D$76:$D$1127,$B153,'ноябрь 2023'!$J$76:$J$1127,L$1)</f>
        <v>0</v>
      </c>
      <c r="M153" s="207">
        <f>SUMIFS('ноябрь 2023'!$G$76:$G$1127,'ноябрь 2023'!$D$76:$D$1127,$B153,'ноябрь 2023'!$J$76:$J$1127,M$1)</f>
        <v>0</v>
      </c>
      <c r="N153" s="207">
        <f>SUMIFS('ноябрь 2023'!$G$76:$G$1127,'ноябрь 2023'!$D$76:$D$1127,$B153,'ноябрь 2023'!$J$76:$J$1127,N$1)</f>
        <v>0</v>
      </c>
      <c r="O153" s="207">
        <f>SUMIFS('ноябрь 2023'!$G$76:$G$1127,'ноябрь 2023'!$D$76:$D$1127,$B153,'ноябрь 2023'!$J$76:$J$1127,O$1)</f>
        <v>0</v>
      </c>
      <c r="P153" s="207">
        <f>SUMIFS('ноябрь 2023'!$G$76:$G$1127,'ноябрь 2023'!$D$76:$D$1127,$B153,'ноябрь 2023'!$J$76:$J$1127,P$1)</f>
        <v>0</v>
      </c>
      <c r="Q153" s="207">
        <f>SUMIFS('ноябрь 2023'!$G$76:$G$1127,'ноябрь 2023'!$D$76:$D$1127,$B153,'ноябрь 2023'!$J$76:$J$1127,Q$1)</f>
        <v>0</v>
      </c>
      <c r="R153" s="207">
        <f>SUMIFS('ноябрь 2023'!$G$76:$G$1127,'ноябрь 2023'!$D$76:$D$1127,$B153,'ноябрь 2023'!$J$76:$J$1127,R$1)</f>
        <v>0</v>
      </c>
      <c r="S153" s="207">
        <f>SUMIFS('ноябрь 2023'!$G$76:$G$1127,'ноябрь 2023'!$D$76:$D$1127,$B153,'ноябрь 2023'!$J$76:$J$1127,S$1)</f>
        <v>0</v>
      </c>
      <c r="T153" s="207">
        <f>SUMIFS('ноябрь 2023'!$G$76:$G$1127,'ноябрь 2023'!$D$76:$D$1127,$B153,'ноябрь 2023'!$J$76:$J$1127,T$1)</f>
        <v>0</v>
      </c>
      <c r="U153" s="207">
        <f>SUMIFS('ноябрь 2023'!$G$76:$G$1127,'ноябрь 2023'!$D$76:$D$1127,$B153,'ноябрь 2023'!$J$76:$J$1127,U$1)</f>
        <v>0</v>
      </c>
      <c r="V153" s="207">
        <f>SUMIFS('ноябрь 2023'!$G$76:$G$1127,'ноябрь 2023'!$D$76:$D$1127,$B153,'ноябрь 2023'!$J$76:$J$1127,V$1)</f>
        <v>0</v>
      </c>
      <c r="W153" s="207">
        <f>SUMIFS('ноябрь 2023'!$G$76:$G$1127,'ноябрь 2023'!$D$76:$D$1127,$B153,'ноябрь 2023'!$J$76:$J$1127,W$1)</f>
        <v>0</v>
      </c>
      <c r="X153" s="207">
        <f>SUMIFS('ноябрь 2023'!$G$76:$G$1127,'ноябрь 2023'!$D$76:$D$1127,$B153,'ноябрь 2023'!$J$76:$J$1127,X$1)</f>
        <v>0</v>
      </c>
      <c r="Y153" s="207">
        <f>SUMIFS('ноябрь 2023'!$G$76:$G$1127,'ноябрь 2023'!$D$76:$D$1127,$B153,'ноябрь 2023'!$J$76:$J$1127,Y$1)</f>
        <v>0</v>
      </c>
      <c r="Z153" s="207">
        <f>SUMIFS('ноябрь 2023'!$G$76:$G$1127,'ноябрь 2023'!$D$76:$D$1127,$B153,'ноябрь 2023'!$J$76:$J$1127,Z$1)</f>
        <v>0</v>
      </c>
      <c r="AA153" s="207">
        <f>SUMIFS('ноябрь 2023'!$G$76:$G$1127,'ноябрь 2023'!$D$76:$D$1127,$B153,'ноябрь 2023'!$J$76:$J$1127,AA$1)</f>
        <v>0</v>
      </c>
      <c r="AB153" s="207">
        <f>SUMIFS('ноябрь 2023'!$G$76:$G$1127,'ноябрь 2023'!$D$76:$D$1127,$B153,'ноябрь 2023'!$J$76:$J$1127,AB$1)</f>
        <v>0</v>
      </c>
      <c r="AC153" s="207">
        <f>SUMIFS('ноябрь 2023'!$G$76:$G$1127,'ноябрь 2023'!$D$76:$D$1127,$B153,'ноябрь 2023'!$J$76:$J$1127,AC$1)</f>
        <v>0</v>
      </c>
      <c r="AD153" s="207">
        <f>SUMIFS('ноябрь 2023'!$G$76:$G$1127,'ноябрь 2023'!$D$76:$D$1127,$B153,'ноябрь 2023'!$J$76:$J$1127,AD$1)</f>
        <v>0</v>
      </c>
      <c r="AE153" s="207">
        <f>SUMIFS('ноябрь 2023'!$G$76:$G$1127,'ноябрь 2023'!$D$76:$D$1127,$B153,'ноябрь 2023'!$J$76:$J$1127,AE$1)</f>
        <v>0</v>
      </c>
      <c r="AF153" s="207">
        <f>SUMIFS('ноябрь 2023'!$G$76:$G$1127,'ноябрь 2023'!$D$76:$D$1127,$B153,'ноябрь 2023'!$J$76:$J$1127,AF$1)</f>
        <v>0</v>
      </c>
      <c r="AG153" s="207">
        <f>SUMIFS('ноябрь 2023'!$G$76:$G$1127,'ноябрь 2023'!$D$76:$D$1127,$B153,'ноябрь 2023'!$J$76:$J$1127,AG$1)</f>
        <v>0</v>
      </c>
      <c r="AH153" s="207">
        <f>SUMIFS('ноябрь 2023'!$G$76:$G$1127,'ноябрь 2023'!$D$76:$D$1127,$B153,'ноябрь 2023'!$J$76:$J$1127,AH$1)</f>
        <v>0</v>
      </c>
      <c r="AI153" s="220">
        <f t="shared" si="3"/>
        <v>0</v>
      </c>
    </row>
    <row r="154" spans="2:35" ht="15" hidden="1" customHeight="1" x14ac:dyDescent="0.25">
      <c r="B154" s="212"/>
      <c r="C154" s="213"/>
      <c r="D154" s="207">
        <f>SUMIFS('ноябрь 2023'!$G$76:$G$1127,'ноябрь 2023'!$D$76:$D$1127,$B154,'ноябрь 2023'!$J$76:$J$1127,D$1)</f>
        <v>0</v>
      </c>
      <c r="E154" s="207">
        <f>SUMIFS('ноябрь 2023'!$G$76:$G$1127,'ноябрь 2023'!$D$76:$D$1127,$B154,'ноябрь 2023'!$J$76:$J$1127,E$1)</f>
        <v>0</v>
      </c>
      <c r="F154" s="207">
        <f>SUMIFS('ноябрь 2023'!$G$76:$G$1127,'ноябрь 2023'!$D$76:$D$1127,$B154,'ноябрь 2023'!$J$76:$J$1127,F$1)</f>
        <v>0</v>
      </c>
      <c r="G154" s="207">
        <f>SUMIFS('ноябрь 2023'!$G$76:$G$1127,'ноябрь 2023'!$D$76:$D$1127,$B154,'ноябрь 2023'!$J$76:$J$1127,G$1)</f>
        <v>0</v>
      </c>
      <c r="H154" s="207">
        <f>SUMIFS('ноябрь 2023'!$G$76:$G$1127,'ноябрь 2023'!$D$76:$D$1127,$B154,'ноябрь 2023'!$J$76:$J$1127,H$1)</f>
        <v>0</v>
      </c>
      <c r="I154" s="207">
        <f>SUMIFS('ноябрь 2023'!$G$76:$G$1127,'ноябрь 2023'!$D$76:$D$1127,$B154,'ноябрь 2023'!$J$76:$J$1127,I$1)</f>
        <v>0</v>
      </c>
      <c r="J154" s="207">
        <f>SUMIFS('ноябрь 2023'!$G$76:$G$1127,'ноябрь 2023'!$D$76:$D$1127,$B154,'ноябрь 2023'!$J$76:$J$1127,J$1)</f>
        <v>0</v>
      </c>
      <c r="K154" s="207">
        <f>SUMIFS('ноябрь 2023'!$G$76:$G$1127,'ноябрь 2023'!$D$76:$D$1127,$B154,'ноябрь 2023'!$J$76:$J$1127,K$1)</f>
        <v>0</v>
      </c>
      <c r="L154" s="207">
        <f>SUMIFS('ноябрь 2023'!$G$76:$G$1127,'ноябрь 2023'!$D$76:$D$1127,$B154,'ноябрь 2023'!$J$76:$J$1127,L$1)</f>
        <v>0</v>
      </c>
      <c r="M154" s="207">
        <f>SUMIFS('ноябрь 2023'!$G$76:$G$1127,'ноябрь 2023'!$D$76:$D$1127,$B154,'ноябрь 2023'!$J$76:$J$1127,M$1)</f>
        <v>0</v>
      </c>
      <c r="N154" s="207">
        <f>SUMIFS('ноябрь 2023'!$G$76:$G$1127,'ноябрь 2023'!$D$76:$D$1127,$B154,'ноябрь 2023'!$J$76:$J$1127,N$1)</f>
        <v>0</v>
      </c>
      <c r="O154" s="207">
        <f>SUMIFS('ноябрь 2023'!$G$76:$G$1127,'ноябрь 2023'!$D$76:$D$1127,$B154,'ноябрь 2023'!$J$76:$J$1127,O$1)</f>
        <v>0</v>
      </c>
      <c r="P154" s="207">
        <f>SUMIFS('ноябрь 2023'!$G$76:$G$1127,'ноябрь 2023'!$D$76:$D$1127,$B154,'ноябрь 2023'!$J$76:$J$1127,P$1)</f>
        <v>0</v>
      </c>
      <c r="Q154" s="207">
        <f>SUMIFS('ноябрь 2023'!$G$76:$G$1127,'ноябрь 2023'!$D$76:$D$1127,$B154,'ноябрь 2023'!$J$76:$J$1127,Q$1)</f>
        <v>0</v>
      </c>
      <c r="R154" s="207">
        <f>SUMIFS('ноябрь 2023'!$G$76:$G$1127,'ноябрь 2023'!$D$76:$D$1127,$B154,'ноябрь 2023'!$J$76:$J$1127,R$1)</f>
        <v>0</v>
      </c>
      <c r="S154" s="207">
        <f>SUMIFS('ноябрь 2023'!$G$76:$G$1127,'ноябрь 2023'!$D$76:$D$1127,$B154,'ноябрь 2023'!$J$76:$J$1127,S$1)</f>
        <v>0</v>
      </c>
      <c r="T154" s="207">
        <f>SUMIFS('ноябрь 2023'!$G$76:$G$1127,'ноябрь 2023'!$D$76:$D$1127,$B154,'ноябрь 2023'!$J$76:$J$1127,T$1)</f>
        <v>0</v>
      </c>
      <c r="U154" s="207">
        <f>SUMIFS('ноябрь 2023'!$G$76:$G$1127,'ноябрь 2023'!$D$76:$D$1127,$B154,'ноябрь 2023'!$J$76:$J$1127,U$1)</f>
        <v>0</v>
      </c>
      <c r="V154" s="207">
        <f>SUMIFS('ноябрь 2023'!$G$76:$G$1127,'ноябрь 2023'!$D$76:$D$1127,$B154,'ноябрь 2023'!$J$76:$J$1127,V$1)</f>
        <v>0</v>
      </c>
      <c r="W154" s="207">
        <f>SUMIFS('ноябрь 2023'!$G$76:$G$1127,'ноябрь 2023'!$D$76:$D$1127,$B154,'ноябрь 2023'!$J$76:$J$1127,W$1)</f>
        <v>0</v>
      </c>
      <c r="X154" s="207">
        <f>SUMIFS('ноябрь 2023'!$G$76:$G$1127,'ноябрь 2023'!$D$76:$D$1127,$B154,'ноябрь 2023'!$J$76:$J$1127,X$1)</f>
        <v>0</v>
      </c>
      <c r="Y154" s="207">
        <f>SUMIFS('ноябрь 2023'!$G$76:$G$1127,'ноябрь 2023'!$D$76:$D$1127,$B154,'ноябрь 2023'!$J$76:$J$1127,Y$1)</f>
        <v>0</v>
      </c>
      <c r="Z154" s="207">
        <f>SUMIFS('ноябрь 2023'!$G$76:$G$1127,'ноябрь 2023'!$D$76:$D$1127,$B154,'ноябрь 2023'!$J$76:$J$1127,Z$1)</f>
        <v>0</v>
      </c>
      <c r="AA154" s="207">
        <f>SUMIFS('ноябрь 2023'!$G$76:$G$1127,'ноябрь 2023'!$D$76:$D$1127,$B154,'ноябрь 2023'!$J$76:$J$1127,AA$1)</f>
        <v>0</v>
      </c>
      <c r="AB154" s="207">
        <f>SUMIFS('ноябрь 2023'!$G$76:$G$1127,'ноябрь 2023'!$D$76:$D$1127,$B154,'ноябрь 2023'!$J$76:$J$1127,AB$1)</f>
        <v>0</v>
      </c>
      <c r="AC154" s="207">
        <f>SUMIFS('ноябрь 2023'!$G$76:$G$1127,'ноябрь 2023'!$D$76:$D$1127,$B154,'ноябрь 2023'!$J$76:$J$1127,AC$1)</f>
        <v>0</v>
      </c>
      <c r="AD154" s="207">
        <f>SUMIFS('ноябрь 2023'!$G$76:$G$1127,'ноябрь 2023'!$D$76:$D$1127,$B154,'ноябрь 2023'!$J$76:$J$1127,AD$1)</f>
        <v>0</v>
      </c>
      <c r="AE154" s="207">
        <f>SUMIFS('ноябрь 2023'!$G$76:$G$1127,'ноябрь 2023'!$D$76:$D$1127,$B154,'ноябрь 2023'!$J$76:$J$1127,AE$1)</f>
        <v>0</v>
      </c>
      <c r="AF154" s="207">
        <f>SUMIFS('ноябрь 2023'!$G$76:$G$1127,'ноябрь 2023'!$D$76:$D$1127,$B154,'ноябрь 2023'!$J$76:$J$1127,AF$1)</f>
        <v>0</v>
      </c>
      <c r="AG154" s="207">
        <f>SUMIFS('ноябрь 2023'!$G$76:$G$1127,'ноябрь 2023'!$D$76:$D$1127,$B154,'ноябрь 2023'!$J$76:$J$1127,AG$1)</f>
        <v>0</v>
      </c>
      <c r="AH154" s="207">
        <f>SUMIFS('ноябрь 2023'!$G$76:$G$1127,'ноябрь 2023'!$D$76:$D$1127,$B154,'ноябрь 2023'!$J$76:$J$1127,AH$1)</f>
        <v>0</v>
      </c>
      <c r="AI154" s="220">
        <f t="shared" ref="AI154:AI192" si="4">SUM(D154:AH154)</f>
        <v>0</v>
      </c>
    </row>
    <row r="155" spans="2:35" ht="15" hidden="1" customHeight="1" x14ac:dyDescent="0.25">
      <c r="B155" s="212"/>
      <c r="C155" s="213"/>
      <c r="D155" s="207">
        <f>SUMIFS('ноябрь 2023'!$G$76:$G$1127,'ноябрь 2023'!$D$76:$D$1127,$B155,'ноябрь 2023'!$J$76:$J$1127,D$1)</f>
        <v>0</v>
      </c>
      <c r="E155" s="207">
        <f>SUMIFS('ноябрь 2023'!$G$76:$G$1127,'ноябрь 2023'!$D$76:$D$1127,$B155,'ноябрь 2023'!$J$76:$J$1127,E$1)</f>
        <v>0</v>
      </c>
      <c r="F155" s="207">
        <f>SUMIFS('ноябрь 2023'!$G$76:$G$1127,'ноябрь 2023'!$D$76:$D$1127,$B155,'ноябрь 2023'!$J$76:$J$1127,F$1)</f>
        <v>0</v>
      </c>
      <c r="G155" s="207">
        <f>SUMIFS('ноябрь 2023'!$G$76:$G$1127,'ноябрь 2023'!$D$76:$D$1127,$B155,'ноябрь 2023'!$J$76:$J$1127,G$1)</f>
        <v>0</v>
      </c>
      <c r="H155" s="207">
        <f>SUMIFS('ноябрь 2023'!$G$76:$G$1127,'ноябрь 2023'!$D$76:$D$1127,$B155,'ноябрь 2023'!$J$76:$J$1127,H$1)</f>
        <v>0</v>
      </c>
      <c r="I155" s="207">
        <f>SUMIFS('ноябрь 2023'!$G$76:$G$1127,'ноябрь 2023'!$D$76:$D$1127,$B155,'ноябрь 2023'!$J$76:$J$1127,I$1)</f>
        <v>0</v>
      </c>
      <c r="J155" s="207">
        <f>SUMIFS('ноябрь 2023'!$G$76:$G$1127,'ноябрь 2023'!$D$76:$D$1127,$B155,'ноябрь 2023'!$J$76:$J$1127,J$1)</f>
        <v>0</v>
      </c>
      <c r="K155" s="207">
        <f>SUMIFS('ноябрь 2023'!$G$76:$G$1127,'ноябрь 2023'!$D$76:$D$1127,$B155,'ноябрь 2023'!$J$76:$J$1127,K$1)</f>
        <v>0</v>
      </c>
      <c r="L155" s="207">
        <f>SUMIFS('ноябрь 2023'!$G$76:$G$1127,'ноябрь 2023'!$D$76:$D$1127,$B155,'ноябрь 2023'!$J$76:$J$1127,L$1)</f>
        <v>0</v>
      </c>
      <c r="M155" s="207">
        <f>SUMIFS('ноябрь 2023'!$G$76:$G$1127,'ноябрь 2023'!$D$76:$D$1127,$B155,'ноябрь 2023'!$J$76:$J$1127,M$1)</f>
        <v>0</v>
      </c>
      <c r="N155" s="207">
        <f>SUMIFS('ноябрь 2023'!$G$76:$G$1127,'ноябрь 2023'!$D$76:$D$1127,$B155,'ноябрь 2023'!$J$76:$J$1127,N$1)</f>
        <v>0</v>
      </c>
      <c r="O155" s="207">
        <f>SUMIFS('ноябрь 2023'!$G$76:$G$1127,'ноябрь 2023'!$D$76:$D$1127,$B155,'ноябрь 2023'!$J$76:$J$1127,O$1)</f>
        <v>0</v>
      </c>
      <c r="P155" s="207">
        <f>SUMIFS('ноябрь 2023'!$G$76:$G$1127,'ноябрь 2023'!$D$76:$D$1127,$B155,'ноябрь 2023'!$J$76:$J$1127,P$1)</f>
        <v>0</v>
      </c>
      <c r="Q155" s="207">
        <f>SUMIFS('ноябрь 2023'!$G$76:$G$1127,'ноябрь 2023'!$D$76:$D$1127,$B155,'ноябрь 2023'!$J$76:$J$1127,Q$1)</f>
        <v>0</v>
      </c>
      <c r="R155" s="207">
        <f>SUMIFS('ноябрь 2023'!$G$76:$G$1127,'ноябрь 2023'!$D$76:$D$1127,$B155,'ноябрь 2023'!$J$76:$J$1127,R$1)</f>
        <v>0</v>
      </c>
      <c r="S155" s="207">
        <f>SUMIFS('ноябрь 2023'!$G$76:$G$1127,'ноябрь 2023'!$D$76:$D$1127,$B155,'ноябрь 2023'!$J$76:$J$1127,S$1)</f>
        <v>0</v>
      </c>
      <c r="T155" s="207">
        <f>SUMIFS('ноябрь 2023'!$G$76:$G$1127,'ноябрь 2023'!$D$76:$D$1127,$B155,'ноябрь 2023'!$J$76:$J$1127,T$1)</f>
        <v>0</v>
      </c>
      <c r="U155" s="207">
        <f>SUMIFS('ноябрь 2023'!$G$76:$G$1127,'ноябрь 2023'!$D$76:$D$1127,$B155,'ноябрь 2023'!$J$76:$J$1127,U$1)</f>
        <v>0</v>
      </c>
      <c r="V155" s="207">
        <f>SUMIFS('ноябрь 2023'!$G$76:$G$1127,'ноябрь 2023'!$D$76:$D$1127,$B155,'ноябрь 2023'!$J$76:$J$1127,V$1)</f>
        <v>0</v>
      </c>
      <c r="W155" s="207">
        <f>SUMIFS('ноябрь 2023'!$G$76:$G$1127,'ноябрь 2023'!$D$76:$D$1127,$B155,'ноябрь 2023'!$J$76:$J$1127,W$1)</f>
        <v>0</v>
      </c>
      <c r="X155" s="207">
        <f>SUMIFS('ноябрь 2023'!$G$76:$G$1127,'ноябрь 2023'!$D$76:$D$1127,$B155,'ноябрь 2023'!$J$76:$J$1127,X$1)</f>
        <v>0</v>
      </c>
      <c r="Y155" s="207">
        <f>SUMIFS('ноябрь 2023'!$G$76:$G$1127,'ноябрь 2023'!$D$76:$D$1127,$B155,'ноябрь 2023'!$J$76:$J$1127,Y$1)</f>
        <v>0</v>
      </c>
      <c r="Z155" s="207">
        <f>SUMIFS('ноябрь 2023'!$G$76:$G$1127,'ноябрь 2023'!$D$76:$D$1127,$B155,'ноябрь 2023'!$J$76:$J$1127,Z$1)</f>
        <v>0</v>
      </c>
      <c r="AA155" s="207">
        <f>SUMIFS('ноябрь 2023'!$G$76:$G$1127,'ноябрь 2023'!$D$76:$D$1127,$B155,'ноябрь 2023'!$J$76:$J$1127,AA$1)</f>
        <v>0</v>
      </c>
      <c r="AB155" s="207">
        <f>SUMIFS('ноябрь 2023'!$G$76:$G$1127,'ноябрь 2023'!$D$76:$D$1127,$B155,'ноябрь 2023'!$J$76:$J$1127,AB$1)</f>
        <v>0</v>
      </c>
      <c r="AC155" s="207">
        <f>SUMIFS('ноябрь 2023'!$G$76:$G$1127,'ноябрь 2023'!$D$76:$D$1127,$B155,'ноябрь 2023'!$J$76:$J$1127,AC$1)</f>
        <v>0</v>
      </c>
      <c r="AD155" s="207">
        <f>SUMIFS('ноябрь 2023'!$G$76:$G$1127,'ноябрь 2023'!$D$76:$D$1127,$B155,'ноябрь 2023'!$J$76:$J$1127,AD$1)</f>
        <v>0</v>
      </c>
      <c r="AE155" s="207">
        <f>SUMIFS('ноябрь 2023'!$G$76:$G$1127,'ноябрь 2023'!$D$76:$D$1127,$B155,'ноябрь 2023'!$J$76:$J$1127,AE$1)</f>
        <v>0</v>
      </c>
      <c r="AF155" s="207">
        <f>SUMIFS('ноябрь 2023'!$G$76:$G$1127,'ноябрь 2023'!$D$76:$D$1127,$B155,'ноябрь 2023'!$J$76:$J$1127,AF$1)</f>
        <v>0</v>
      </c>
      <c r="AG155" s="207">
        <f>SUMIFS('ноябрь 2023'!$G$76:$G$1127,'ноябрь 2023'!$D$76:$D$1127,$B155,'ноябрь 2023'!$J$76:$J$1127,AG$1)</f>
        <v>0</v>
      </c>
      <c r="AH155" s="207">
        <f>SUMIFS('ноябрь 2023'!$G$76:$G$1127,'ноябрь 2023'!$D$76:$D$1127,$B155,'ноябрь 2023'!$J$76:$J$1127,AH$1)</f>
        <v>0</v>
      </c>
      <c r="AI155" s="220">
        <f t="shared" si="4"/>
        <v>0</v>
      </c>
    </row>
    <row r="156" spans="2:35" ht="15.75" hidden="1" x14ac:dyDescent="0.25">
      <c r="B156" s="212"/>
      <c r="C156" s="213"/>
      <c r="D156" s="207">
        <f>SUMIFS('ноябрь 2023'!$G$76:$G$1127,'ноябрь 2023'!$D$76:$D$1127,$B156,'ноябрь 2023'!$J$76:$J$1127,D$1)</f>
        <v>0</v>
      </c>
      <c r="E156" s="207">
        <f>SUMIFS('ноябрь 2023'!$G$76:$G$1127,'ноябрь 2023'!$D$76:$D$1127,$B156,'ноябрь 2023'!$J$76:$J$1127,E$1)</f>
        <v>0</v>
      </c>
      <c r="F156" s="207">
        <f>SUMIFS('ноябрь 2023'!$G$76:$G$1127,'ноябрь 2023'!$D$76:$D$1127,$B156,'ноябрь 2023'!$J$76:$J$1127,F$1)</f>
        <v>0</v>
      </c>
      <c r="G156" s="207">
        <f>SUMIFS('ноябрь 2023'!$G$76:$G$1127,'ноябрь 2023'!$D$76:$D$1127,$B156,'ноябрь 2023'!$J$76:$J$1127,G$1)</f>
        <v>0</v>
      </c>
      <c r="H156" s="207">
        <f>SUMIFS('ноябрь 2023'!$G$76:$G$1127,'ноябрь 2023'!$D$76:$D$1127,$B156,'ноябрь 2023'!$J$76:$J$1127,H$1)</f>
        <v>0</v>
      </c>
      <c r="I156" s="207">
        <f>SUMIFS('ноябрь 2023'!$G$76:$G$1127,'ноябрь 2023'!$D$76:$D$1127,$B156,'ноябрь 2023'!$J$76:$J$1127,I$1)</f>
        <v>0</v>
      </c>
      <c r="J156" s="207">
        <f>SUMIFS('ноябрь 2023'!$G$76:$G$1127,'ноябрь 2023'!$D$76:$D$1127,$B156,'ноябрь 2023'!$J$76:$J$1127,J$1)</f>
        <v>0</v>
      </c>
      <c r="K156" s="207">
        <f>SUMIFS('ноябрь 2023'!$G$76:$G$1127,'ноябрь 2023'!$D$76:$D$1127,$B156,'ноябрь 2023'!$J$76:$J$1127,K$1)</f>
        <v>0</v>
      </c>
      <c r="L156" s="207">
        <f>SUMIFS('ноябрь 2023'!$G$76:$G$1127,'ноябрь 2023'!$D$76:$D$1127,$B156,'ноябрь 2023'!$J$76:$J$1127,L$1)</f>
        <v>0</v>
      </c>
      <c r="M156" s="207">
        <f>SUMIFS('ноябрь 2023'!$G$76:$G$1127,'ноябрь 2023'!$D$76:$D$1127,$B156,'ноябрь 2023'!$J$76:$J$1127,M$1)</f>
        <v>0</v>
      </c>
      <c r="N156" s="207">
        <f>SUMIFS('ноябрь 2023'!$G$76:$G$1127,'ноябрь 2023'!$D$76:$D$1127,$B156,'ноябрь 2023'!$J$76:$J$1127,N$1)</f>
        <v>0</v>
      </c>
      <c r="O156" s="207">
        <f>SUMIFS('ноябрь 2023'!$G$76:$G$1127,'ноябрь 2023'!$D$76:$D$1127,$B156,'ноябрь 2023'!$J$76:$J$1127,O$1)</f>
        <v>0</v>
      </c>
      <c r="P156" s="207">
        <f>SUMIFS('ноябрь 2023'!$G$76:$G$1127,'ноябрь 2023'!$D$76:$D$1127,$B156,'ноябрь 2023'!$J$76:$J$1127,P$1)</f>
        <v>0</v>
      </c>
      <c r="Q156" s="207">
        <f>SUMIFS('ноябрь 2023'!$G$76:$G$1127,'ноябрь 2023'!$D$76:$D$1127,$B156,'ноябрь 2023'!$J$76:$J$1127,Q$1)</f>
        <v>0</v>
      </c>
      <c r="R156" s="207">
        <f>SUMIFS('ноябрь 2023'!$G$76:$G$1127,'ноябрь 2023'!$D$76:$D$1127,$B156,'ноябрь 2023'!$J$76:$J$1127,R$1)</f>
        <v>0</v>
      </c>
      <c r="S156" s="207">
        <f>SUMIFS('ноябрь 2023'!$G$76:$G$1127,'ноябрь 2023'!$D$76:$D$1127,$B156,'ноябрь 2023'!$J$76:$J$1127,S$1)</f>
        <v>0</v>
      </c>
      <c r="T156" s="207">
        <f>SUMIFS('ноябрь 2023'!$G$76:$G$1127,'ноябрь 2023'!$D$76:$D$1127,$B156,'ноябрь 2023'!$J$76:$J$1127,T$1)</f>
        <v>0</v>
      </c>
      <c r="U156" s="207">
        <f>SUMIFS('ноябрь 2023'!$G$76:$G$1127,'ноябрь 2023'!$D$76:$D$1127,$B156,'ноябрь 2023'!$J$76:$J$1127,U$1)</f>
        <v>0</v>
      </c>
      <c r="V156" s="207">
        <f>SUMIFS('ноябрь 2023'!$G$76:$G$1127,'ноябрь 2023'!$D$76:$D$1127,$B156,'ноябрь 2023'!$J$76:$J$1127,V$1)</f>
        <v>0</v>
      </c>
      <c r="W156" s="207">
        <f>SUMIFS('ноябрь 2023'!$G$76:$G$1127,'ноябрь 2023'!$D$76:$D$1127,$B156,'ноябрь 2023'!$J$76:$J$1127,W$1)</f>
        <v>0</v>
      </c>
      <c r="X156" s="207">
        <f>SUMIFS('ноябрь 2023'!$G$76:$G$1127,'ноябрь 2023'!$D$76:$D$1127,$B156,'ноябрь 2023'!$J$76:$J$1127,X$1)</f>
        <v>0</v>
      </c>
      <c r="Y156" s="207">
        <f>SUMIFS('ноябрь 2023'!$G$76:$G$1127,'ноябрь 2023'!$D$76:$D$1127,$B156,'ноябрь 2023'!$J$76:$J$1127,Y$1)</f>
        <v>0</v>
      </c>
      <c r="Z156" s="207">
        <f>SUMIFS('ноябрь 2023'!$G$76:$G$1127,'ноябрь 2023'!$D$76:$D$1127,$B156,'ноябрь 2023'!$J$76:$J$1127,Z$1)</f>
        <v>0</v>
      </c>
      <c r="AA156" s="207">
        <f>SUMIFS('ноябрь 2023'!$G$76:$G$1127,'ноябрь 2023'!$D$76:$D$1127,$B156,'ноябрь 2023'!$J$76:$J$1127,AA$1)</f>
        <v>0</v>
      </c>
      <c r="AB156" s="207">
        <f>SUMIFS('ноябрь 2023'!$G$76:$G$1127,'ноябрь 2023'!$D$76:$D$1127,$B156,'ноябрь 2023'!$J$76:$J$1127,AB$1)</f>
        <v>0</v>
      </c>
      <c r="AC156" s="207">
        <f>SUMIFS('ноябрь 2023'!$G$76:$G$1127,'ноябрь 2023'!$D$76:$D$1127,$B156,'ноябрь 2023'!$J$76:$J$1127,AC$1)</f>
        <v>0</v>
      </c>
      <c r="AD156" s="207">
        <f>SUMIFS('ноябрь 2023'!$G$76:$G$1127,'ноябрь 2023'!$D$76:$D$1127,$B156,'ноябрь 2023'!$J$76:$J$1127,AD$1)</f>
        <v>0</v>
      </c>
      <c r="AE156" s="207">
        <f>SUMIFS('ноябрь 2023'!$G$76:$G$1127,'ноябрь 2023'!$D$76:$D$1127,$B156,'ноябрь 2023'!$J$76:$J$1127,AE$1)</f>
        <v>0</v>
      </c>
      <c r="AF156" s="207">
        <f>SUMIFS('ноябрь 2023'!$G$76:$G$1127,'ноябрь 2023'!$D$76:$D$1127,$B156,'ноябрь 2023'!$J$76:$J$1127,AF$1)</f>
        <v>0</v>
      </c>
      <c r="AG156" s="207">
        <f>SUMIFS('ноябрь 2023'!$G$76:$G$1127,'ноябрь 2023'!$D$76:$D$1127,$B156,'ноябрь 2023'!$J$76:$J$1127,AG$1)</f>
        <v>0</v>
      </c>
      <c r="AH156" s="207">
        <f>SUMIFS('ноябрь 2023'!$G$76:$G$1127,'ноябрь 2023'!$D$76:$D$1127,$B156,'ноябрь 2023'!$J$76:$J$1127,AH$1)</f>
        <v>0</v>
      </c>
      <c r="AI156" s="220">
        <f t="shared" si="4"/>
        <v>0</v>
      </c>
    </row>
    <row r="157" spans="2:35" ht="15.75" hidden="1" x14ac:dyDescent="0.25">
      <c r="B157" s="212"/>
      <c r="C157" s="213"/>
      <c r="D157" s="207">
        <f>SUMIFS('ноябрь 2023'!$G$76:$G$1127,'ноябрь 2023'!$D$76:$D$1127,$B157,'ноябрь 2023'!$J$76:$J$1127,D$1)</f>
        <v>0</v>
      </c>
      <c r="E157" s="207">
        <f>SUMIFS('ноябрь 2023'!$G$76:$G$1127,'ноябрь 2023'!$D$76:$D$1127,$B157,'ноябрь 2023'!$J$76:$J$1127,E$1)</f>
        <v>0</v>
      </c>
      <c r="F157" s="207">
        <f>SUMIFS('ноябрь 2023'!$G$76:$G$1127,'ноябрь 2023'!$D$76:$D$1127,$B157,'ноябрь 2023'!$J$76:$J$1127,F$1)</f>
        <v>0</v>
      </c>
      <c r="G157" s="207">
        <f>SUMIFS('ноябрь 2023'!$G$76:$G$1127,'ноябрь 2023'!$D$76:$D$1127,$B157,'ноябрь 2023'!$J$76:$J$1127,G$1)</f>
        <v>0</v>
      </c>
      <c r="H157" s="207">
        <f>SUMIFS('ноябрь 2023'!$G$76:$G$1127,'ноябрь 2023'!$D$76:$D$1127,$B157,'ноябрь 2023'!$J$76:$J$1127,H$1)</f>
        <v>0</v>
      </c>
      <c r="I157" s="207">
        <f>SUMIFS('ноябрь 2023'!$G$76:$G$1127,'ноябрь 2023'!$D$76:$D$1127,$B157,'ноябрь 2023'!$J$76:$J$1127,I$1)</f>
        <v>0</v>
      </c>
      <c r="J157" s="207">
        <f>SUMIFS('ноябрь 2023'!$G$76:$G$1127,'ноябрь 2023'!$D$76:$D$1127,$B157,'ноябрь 2023'!$J$76:$J$1127,J$1)</f>
        <v>0</v>
      </c>
      <c r="K157" s="207">
        <f>SUMIFS('ноябрь 2023'!$G$76:$G$1127,'ноябрь 2023'!$D$76:$D$1127,$B157,'ноябрь 2023'!$J$76:$J$1127,K$1)</f>
        <v>0</v>
      </c>
      <c r="L157" s="207">
        <f>SUMIFS('ноябрь 2023'!$G$76:$G$1127,'ноябрь 2023'!$D$76:$D$1127,$B157,'ноябрь 2023'!$J$76:$J$1127,L$1)</f>
        <v>0</v>
      </c>
      <c r="M157" s="207">
        <f>SUMIFS('ноябрь 2023'!$G$76:$G$1127,'ноябрь 2023'!$D$76:$D$1127,$B157,'ноябрь 2023'!$J$76:$J$1127,M$1)</f>
        <v>0</v>
      </c>
      <c r="N157" s="207">
        <f>SUMIFS('ноябрь 2023'!$G$76:$G$1127,'ноябрь 2023'!$D$76:$D$1127,$B157,'ноябрь 2023'!$J$76:$J$1127,N$1)</f>
        <v>0</v>
      </c>
      <c r="O157" s="207">
        <f>SUMIFS('ноябрь 2023'!$G$76:$G$1127,'ноябрь 2023'!$D$76:$D$1127,$B157,'ноябрь 2023'!$J$76:$J$1127,O$1)</f>
        <v>0</v>
      </c>
      <c r="P157" s="207">
        <f>SUMIFS('ноябрь 2023'!$G$76:$G$1127,'ноябрь 2023'!$D$76:$D$1127,$B157,'ноябрь 2023'!$J$76:$J$1127,P$1)</f>
        <v>0</v>
      </c>
      <c r="Q157" s="207">
        <f>SUMIFS('ноябрь 2023'!$G$76:$G$1127,'ноябрь 2023'!$D$76:$D$1127,$B157,'ноябрь 2023'!$J$76:$J$1127,Q$1)</f>
        <v>0</v>
      </c>
      <c r="R157" s="207">
        <f>SUMIFS('ноябрь 2023'!$G$76:$G$1127,'ноябрь 2023'!$D$76:$D$1127,$B157,'ноябрь 2023'!$J$76:$J$1127,R$1)</f>
        <v>0</v>
      </c>
      <c r="S157" s="207">
        <f>SUMIFS('ноябрь 2023'!$G$76:$G$1127,'ноябрь 2023'!$D$76:$D$1127,$B157,'ноябрь 2023'!$J$76:$J$1127,S$1)</f>
        <v>0</v>
      </c>
      <c r="T157" s="207">
        <f>SUMIFS('ноябрь 2023'!$G$76:$G$1127,'ноябрь 2023'!$D$76:$D$1127,$B157,'ноябрь 2023'!$J$76:$J$1127,T$1)</f>
        <v>0</v>
      </c>
      <c r="U157" s="207">
        <f>SUMIFS('ноябрь 2023'!$G$76:$G$1127,'ноябрь 2023'!$D$76:$D$1127,$B157,'ноябрь 2023'!$J$76:$J$1127,U$1)</f>
        <v>0</v>
      </c>
      <c r="V157" s="207">
        <f>SUMIFS('ноябрь 2023'!$G$76:$G$1127,'ноябрь 2023'!$D$76:$D$1127,$B157,'ноябрь 2023'!$J$76:$J$1127,V$1)</f>
        <v>0</v>
      </c>
      <c r="W157" s="207">
        <f>SUMIFS('ноябрь 2023'!$G$76:$G$1127,'ноябрь 2023'!$D$76:$D$1127,$B157,'ноябрь 2023'!$J$76:$J$1127,W$1)</f>
        <v>0</v>
      </c>
      <c r="X157" s="207">
        <f>SUMIFS('ноябрь 2023'!$G$76:$G$1127,'ноябрь 2023'!$D$76:$D$1127,$B157,'ноябрь 2023'!$J$76:$J$1127,X$1)</f>
        <v>0</v>
      </c>
      <c r="Y157" s="207">
        <f>SUMIFS('ноябрь 2023'!$G$76:$G$1127,'ноябрь 2023'!$D$76:$D$1127,$B157,'ноябрь 2023'!$J$76:$J$1127,Y$1)</f>
        <v>0</v>
      </c>
      <c r="Z157" s="207">
        <f>SUMIFS('ноябрь 2023'!$G$76:$G$1127,'ноябрь 2023'!$D$76:$D$1127,$B157,'ноябрь 2023'!$J$76:$J$1127,Z$1)</f>
        <v>0</v>
      </c>
      <c r="AA157" s="207">
        <f>SUMIFS('ноябрь 2023'!$G$76:$G$1127,'ноябрь 2023'!$D$76:$D$1127,$B157,'ноябрь 2023'!$J$76:$J$1127,AA$1)</f>
        <v>0</v>
      </c>
      <c r="AB157" s="207">
        <f>SUMIFS('ноябрь 2023'!$G$76:$G$1127,'ноябрь 2023'!$D$76:$D$1127,$B157,'ноябрь 2023'!$J$76:$J$1127,AB$1)</f>
        <v>0</v>
      </c>
      <c r="AC157" s="207">
        <f>SUMIFS('ноябрь 2023'!$G$76:$G$1127,'ноябрь 2023'!$D$76:$D$1127,$B157,'ноябрь 2023'!$J$76:$J$1127,AC$1)</f>
        <v>0</v>
      </c>
      <c r="AD157" s="207">
        <f>SUMIFS('ноябрь 2023'!$G$76:$G$1127,'ноябрь 2023'!$D$76:$D$1127,$B157,'ноябрь 2023'!$J$76:$J$1127,AD$1)</f>
        <v>0</v>
      </c>
      <c r="AE157" s="207">
        <f>SUMIFS('ноябрь 2023'!$G$76:$G$1127,'ноябрь 2023'!$D$76:$D$1127,$B157,'ноябрь 2023'!$J$76:$J$1127,AE$1)</f>
        <v>0</v>
      </c>
      <c r="AF157" s="207">
        <f>SUMIFS('ноябрь 2023'!$G$76:$G$1127,'ноябрь 2023'!$D$76:$D$1127,$B157,'ноябрь 2023'!$J$76:$J$1127,AF$1)</f>
        <v>0</v>
      </c>
      <c r="AG157" s="207">
        <f>SUMIFS('ноябрь 2023'!$G$76:$G$1127,'ноябрь 2023'!$D$76:$D$1127,$B157,'ноябрь 2023'!$J$76:$J$1127,AG$1)</f>
        <v>0</v>
      </c>
      <c r="AH157" s="207">
        <f>SUMIFS('ноябрь 2023'!$G$76:$G$1127,'ноябрь 2023'!$D$76:$D$1127,$B157,'ноябрь 2023'!$J$76:$J$1127,AH$1)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SUMIFS('ноябрь 2023'!$G$76:$G$1127,'ноябрь 2023'!$D$76:$D$1127,$B158,'ноябрь 2023'!$J$76:$J$1127,D$1)</f>
        <v>0</v>
      </c>
      <c r="E158" s="207">
        <f>SUMIFS('ноябрь 2023'!$G$76:$G$1127,'ноябрь 2023'!$D$76:$D$1127,$B158,'ноябрь 2023'!$J$76:$J$1127,E$1)</f>
        <v>0</v>
      </c>
      <c r="F158" s="207">
        <f>SUMIFS('ноябрь 2023'!$G$76:$G$1127,'ноябрь 2023'!$D$76:$D$1127,$B158,'ноябрь 2023'!$J$76:$J$1127,F$1)</f>
        <v>0</v>
      </c>
      <c r="G158" s="207">
        <f>SUMIFS('ноябрь 2023'!$G$76:$G$1127,'ноябрь 2023'!$D$76:$D$1127,$B158,'ноябрь 2023'!$J$76:$J$1127,G$1)</f>
        <v>0</v>
      </c>
      <c r="H158" s="207">
        <f>SUMIFS('ноябрь 2023'!$G$76:$G$1127,'ноябрь 2023'!$D$76:$D$1127,$B158,'ноябрь 2023'!$J$76:$J$1127,H$1)</f>
        <v>0</v>
      </c>
      <c r="I158" s="207">
        <f>SUMIFS('ноябрь 2023'!$G$76:$G$1127,'ноябрь 2023'!$D$76:$D$1127,$B158,'ноябрь 2023'!$J$76:$J$1127,I$1)</f>
        <v>0</v>
      </c>
      <c r="J158" s="207">
        <f>SUMIFS('ноябрь 2023'!$G$76:$G$1127,'ноябрь 2023'!$D$76:$D$1127,$B158,'ноябрь 2023'!$J$76:$J$1127,J$1)</f>
        <v>0</v>
      </c>
      <c r="K158" s="207">
        <f>SUMIFS('ноябрь 2023'!$G$76:$G$1127,'ноябрь 2023'!$D$76:$D$1127,$B158,'ноябрь 2023'!$J$76:$J$1127,K$1)</f>
        <v>0</v>
      </c>
      <c r="L158" s="207">
        <f>SUMIFS('ноябрь 2023'!$G$76:$G$1127,'ноябрь 2023'!$D$76:$D$1127,$B158,'ноябрь 2023'!$J$76:$J$1127,L$1)</f>
        <v>0</v>
      </c>
      <c r="M158" s="207">
        <f>SUMIFS('ноябрь 2023'!$G$76:$G$1127,'ноябрь 2023'!$D$76:$D$1127,$B158,'ноябрь 2023'!$J$76:$J$1127,M$1)</f>
        <v>0</v>
      </c>
      <c r="N158" s="207">
        <f>SUMIFS('ноябрь 2023'!$G$76:$G$1127,'ноябрь 2023'!$D$76:$D$1127,$B158,'ноябрь 2023'!$J$76:$J$1127,N$1)</f>
        <v>0</v>
      </c>
      <c r="O158" s="207">
        <f>SUMIFS('ноябрь 2023'!$G$76:$G$1127,'ноябрь 2023'!$D$76:$D$1127,$B158,'ноябрь 2023'!$J$76:$J$1127,O$1)</f>
        <v>0</v>
      </c>
      <c r="P158" s="207">
        <f>SUMIFS('ноябрь 2023'!$G$76:$G$1127,'ноябрь 2023'!$D$76:$D$1127,$B158,'ноябрь 2023'!$J$76:$J$1127,P$1)</f>
        <v>0</v>
      </c>
      <c r="Q158" s="207">
        <f>SUMIFS('ноябрь 2023'!$G$76:$G$1127,'ноябрь 2023'!$D$76:$D$1127,$B158,'ноябрь 2023'!$J$76:$J$1127,Q$1)</f>
        <v>0</v>
      </c>
      <c r="R158" s="207">
        <f>SUMIFS('ноябрь 2023'!$G$76:$G$1127,'ноябрь 2023'!$D$76:$D$1127,$B158,'ноябрь 2023'!$J$76:$J$1127,R$1)</f>
        <v>0</v>
      </c>
      <c r="S158" s="207">
        <f>SUMIFS('ноябрь 2023'!$G$76:$G$1127,'ноябрь 2023'!$D$76:$D$1127,$B158,'ноябрь 2023'!$J$76:$J$1127,S$1)</f>
        <v>0</v>
      </c>
      <c r="T158" s="207">
        <f>SUMIFS('ноябрь 2023'!$G$76:$G$1127,'ноябрь 2023'!$D$76:$D$1127,$B158,'ноябрь 2023'!$J$76:$J$1127,T$1)</f>
        <v>0</v>
      </c>
      <c r="U158" s="207">
        <f>SUMIFS('ноябрь 2023'!$G$76:$G$1127,'ноябрь 2023'!$D$76:$D$1127,$B158,'ноябрь 2023'!$J$76:$J$1127,U$1)</f>
        <v>0</v>
      </c>
      <c r="V158" s="207">
        <f>SUMIFS('ноябрь 2023'!$G$76:$G$1127,'ноябрь 2023'!$D$76:$D$1127,$B158,'ноябрь 2023'!$J$76:$J$1127,V$1)</f>
        <v>0</v>
      </c>
      <c r="W158" s="207">
        <f>SUMIFS('ноябрь 2023'!$G$76:$G$1127,'ноябрь 2023'!$D$76:$D$1127,$B158,'ноябрь 2023'!$J$76:$J$1127,W$1)</f>
        <v>0</v>
      </c>
      <c r="X158" s="207">
        <f>SUMIFS('ноябрь 2023'!$G$76:$G$1127,'ноябрь 2023'!$D$76:$D$1127,$B158,'ноябрь 2023'!$J$76:$J$1127,X$1)</f>
        <v>0</v>
      </c>
      <c r="Y158" s="207">
        <f>SUMIFS('ноябрь 2023'!$G$76:$G$1127,'ноябрь 2023'!$D$76:$D$1127,$B158,'ноябрь 2023'!$J$76:$J$1127,Y$1)</f>
        <v>0</v>
      </c>
      <c r="Z158" s="207">
        <f>SUMIFS('ноябрь 2023'!$G$76:$G$1127,'ноябрь 2023'!$D$76:$D$1127,$B158,'ноябрь 2023'!$J$76:$J$1127,Z$1)</f>
        <v>0</v>
      </c>
      <c r="AA158" s="207">
        <f>SUMIFS('ноябрь 2023'!$G$76:$G$1127,'ноябрь 2023'!$D$76:$D$1127,$B158,'ноябрь 2023'!$J$76:$J$1127,AA$1)</f>
        <v>0</v>
      </c>
      <c r="AB158" s="207">
        <f>SUMIFS('ноябрь 2023'!$G$76:$G$1127,'ноябрь 2023'!$D$76:$D$1127,$B158,'ноябрь 2023'!$J$76:$J$1127,AB$1)</f>
        <v>0</v>
      </c>
      <c r="AC158" s="207">
        <f>SUMIFS('ноябрь 2023'!$G$76:$G$1127,'ноябрь 2023'!$D$76:$D$1127,$B158,'ноябрь 2023'!$J$76:$J$1127,AC$1)</f>
        <v>0</v>
      </c>
      <c r="AD158" s="207">
        <f>SUMIFS('ноябрь 2023'!$G$76:$G$1127,'ноябрь 2023'!$D$76:$D$1127,$B158,'ноябрь 2023'!$J$76:$J$1127,AD$1)</f>
        <v>0</v>
      </c>
      <c r="AE158" s="207">
        <f>SUMIFS('ноябрь 2023'!$G$76:$G$1127,'ноябрь 2023'!$D$76:$D$1127,$B158,'ноябрь 2023'!$J$76:$J$1127,AE$1)</f>
        <v>0</v>
      </c>
      <c r="AF158" s="207">
        <f>SUMIFS('ноябрь 2023'!$G$76:$G$1127,'ноябрь 2023'!$D$76:$D$1127,$B158,'ноябрь 2023'!$J$76:$J$1127,AF$1)</f>
        <v>0</v>
      </c>
      <c r="AG158" s="207">
        <f>SUMIFS('ноябрь 2023'!$G$76:$G$1127,'ноябрь 2023'!$D$76:$D$1127,$B158,'ноябрь 2023'!$J$76:$J$1127,AG$1)</f>
        <v>0</v>
      </c>
      <c r="AH158" s="207">
        <f>SUMIFS('ноябрь 2023'!$G$76:$G$1127,'ноябрь 2023'!$D$76:$D$1127,$B158,'ноябрь 2023'!$J$76:$J$1127,AH$1)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SUMIFS('ноябрь 2023'!$G$76:$G$1127,'ноябрь 2023'!$D$76:$D$1127,$B159,'ноябрь 2023'!$J$76:$J$1127,D$1)</f>
        <v>0</v>
      </c>
      <c r="E159" s="207">
        <f>SUMIFS('ноябрь 2023'!$G$76:$G$1127,'ноябрь 2023'!$D$76:$D$1127,$B159,'ноябрь 2023'!$J$76:$J$1127,E$1)</f>
        <v>0</v>
      </c>
      <c r="F159" s="207">
        <f>SUMIFS('ноябрь 2023'!$G$76:$G$1127,'ноябрь 2023'!$D$76:$D$1127,$B159,'ноябрь 2023'!$J$76:$J$1127,F$1)</f>
        <v>0</v>
      </c>
      <c r="G159" s="207">
        <f>SUMIFS('ноябрь 2023'!$G$76:$G$1127,'ноябрь 2023'!$D$76:$D$1127,$B159,'ноябрь 2023'!$J$76:$J$1127,G$1)</f>
        <v>0</v>
      </c>
      <c r="H159" s="207">
        <f>SUMIFS('ноябрь 2023'!$G$76:$G$1127,'ноябрь 2023'!$D$76:$D$1127,$B159,'ноябрь 2023'!$J$76:$J$1127,H$1)</f>
        <v>0</v>
      </c>
      <c r="I159" s="207">
        <f>SUMIFS('ноябрь 2023'!$G$76:$G$1127,'ноябрь 2023'!$D$76:$D$1127,$B159,'ноябрь 2023'!$J$76:$J$1127,I$1)</f>
        <v>0</v>
      </c>
      <c r="J159" s="207">
        <f>SUMIFS('ноябрь 2023'!$G$76:$G$1127,'ноябрь 2023'!$D$76:$D$1127,$B159,'ноябрь 2023'!$J$76:$J$1127,J$1)</f>
        <v>0</v>
      </c>
      <c r="K159" s="207">
        <f>SUMIFS('ноябрь 2023'!$G$76:$G$1127,'ноябрь 2023'!$D$76:$D$1127,$B159,'ноябрь 2023'!$J$76:$J$1127,K$1)</f>
        <v>0</v>
      </c>
      <c r="L159" s="207">
        <f>SUMIFS('ноябрь 2023'!$G$76:$G$1127,'ноябрь 2023'!$D$76:$D$1127,$B159,'ноябрь 2023'!$J$76:$J$1127,L$1)</f>
        <v>0</v>
      </c>
      <c r="M159" s="207">
        <f>SUMIFS('ноябрь 2023'!$G$76:$G$1127,'ноябрь 2023'!$D$76:$D$1127,$B159,'ноябрь 2023'!$J$76:$J$1127,M$1)</f>
        <v>0</v>
      </c>
      <c r="N159" s="207">
        <f>SUMIFS('ноябрь 2023'!$G$76:$G$1127,'ноябрь 2023'!$D$76:$D$1127,$B159,'ноябрь 2023'!$J$76:$J$1127,N$1)</f>
        <v>0</v>
      </c>
      <c r="O159" s="207">
        <f>SUMIFS('ноябрь 2023'!$G$76:$G$1127,'ноябрь 2023'!$D$76:$D$1127,$B159,'ноябрь 2023'!$J$76:$J$1127,O$1)</f>
        <v>0</v>
      </c>
      <c r="P159" s="207">
        <f>SUMIFS('ноябрь 2023'!$G$76:$G$1127,'ноябрь 2023'!$D$76:$D$1127,$B159,'ноябрь 2023'!$J$76:$J$1127,P$1)</f>
        <v>0</v>
      </c>
      <c r="Q159" s="207">
        <f>SUMIFS('ноябрь 2023'!$G$76:$G$1127,'ноябрь 2023'!$D$76:$D$1127,$B159,'ноябрь 2023'!$J$76:$J$1127,Q$1)</f>
        <v>0</v>
      </c>
      <c r="R159" s="207">
        <f>SUMIFS('ноябрь 2023'!$G$76:$G$1127,'ноябрь 2023'!$D$76:$D$1127,$B159,'ноябрь 2023'!$J$76:$J$1127,R$1)</f>
        <v>0</v>
      </c>
      <c r="S159" s="207">
        <f>SUMIFS('ноябрь 2023'!$G$76:$G$1127,'ноябрь 2023'!$D$76:$D$1127,$B159,'ноябрь 2023'!$J$76:$J$1127,S$1)</f>
        <v>0</v>
      </c>
      <c r="T159" s="207">
        <f>SUMIFS('ноябрь 2023'!$G$76:$G$1127,'ноябрь 2023'!$D$76:$D$1127,$B159,'ноябрь 2023'!$J$76:$J$1127,T$1)</f>
        <v>0</v>
      </c>
      <c r="U159" s="207">
        <f>SUMIFS('ноябрь 2023'!$G$76:$G$1127,'ноябрь 2023'!$D$76:$D$1127,$B159,'ноябрь 2023'!$J$76:$J$1127,U$1)</f>
        <v>0</v>
      </c>
      <c r="V159" s="207">
        <f>SUMIFS('ноябрь 2023'!$G$76:$G$1127,'ноябрь 2023'!$D$76:$D$1127,$B159,'ноябрь 2023'!$J$76:$J$1127,V$1)</f>
        <v>0</v>
      </c>
      <c r="W159" s="207">
        <f>SUMIFS('ноябрь 2023'!$G$76:$G$1127,'ноябрь 2023'!$D$76:$D$1127,$B159,'ноябрь 2023'!$J$76:$J$1127,W$1)</f>
        <v>0</v>
      </c>
      <c r="X159" s="207">
        <f>SUMIFS('ноябрь 2023'!$G$76:$G$1127,'ноябрь 2023'!$D$76:$D$1127,$B159,'ноябрь 2023'!$J$76:$J$1127,X$1)</f>
        <v>0</v>
      </c>
      <c r="Y159" s="207">
        <f>SUMIFS('ноябрь 2023'!$G$76:$G$1127,'ноябрь 2023'!$D$76:$D$1127,$B159,'ноябрь 2023'!$J$76:$J$1127,Y$1)</f>
        <v>0</v>
      </c>
      <c r="Z159" s="207">
        <f>SUMIFS('ноябрь 2023'!$G$76:$G$1127,'ноябрь 2023'!$D$76:$D$1127,$B159,'ноябрь 2023'!$J$76:$J$1127,Z$1)</f>
        <v>0</v>
      </c>
      <c r="AA159" s="207">
        <f>SUMIFS('ноябрь 2023'!$G$76:$G$1127,'ноябрь 2023'!$D$76:$D$1127,$B159,'ноябрь 2023'!$J$76:$J$1127,AA$1)</f>
        <v>0</v>
      </c>
      <c r="AB159" s="207">
        <f>SUMIFS('ноябрь 2023'!$G$76:$G$1127,'ноябрь 2023'!$D$76:$D$1127,$B159,'ноябрь 2023'!$J$76:$J$1127,AB$1)</f>
        <v>0</v>
      </c>
      <c r="AC159" s="207">
        <f>SUMIFS('ноябрь 2023'!$G$76:$G$1127,'ноябрь 2023'!$D$76:$D$1127,$B159,'ноябрь 2023'!$J$76:$J$1127,AC$1)</f>
        <v>0</v>
      </c>
      <c r="AD159" s="207">
        <f>SUMIFS('ноябрь 2023'!$G$76:$G$1127,'ноябрь 2023'!$D$76:$D$1127,$B159,'ноябрь 2023'!$J$76:$J$1127,AD$1)</f>
        <v>0</v>
      </c>
      <c r="AE159" s="207">
        <f>SUMIFS('ноябрь 2023'!$G$76:$G$1127,'ноябрь 2023'!$D$76:$D$1127,$B159,'ноябрь 2023'!$J$76:$J$1127,AE$1)</f>
        <v>0</v>
      </c>
      <c r="AF159" s="207">
        <f>SUMIFS('ноябрь 2023'!$G$76:$G$1127,'ноябрь 2023'!$D$76:$D$1127,$B159,'ноябрь 2023'!$J$76:$J$1127,AF$1)</f>
        <v>0</v>
      </c>
      <c r="AG159" s="207">
        <f>SUMIFS('ноябрь 2023'!$G$76:$G$1127,'ноябрь 2023'!$D$76:$D$1127,$B159,'ноябрь 2023'!$J$76:$J$1127,AG$1)</f>
        <v>0</v>
      </c>
      <c r="AH159" s="207">
        <f>SUMIFS('ноябрь 2023'!$G$76:$G$1127,'ноябрь 2023'!$D$76:$D$1127,$B159,'ноябрь 2023'!$J$76:$J$1127,AH$1)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SUMIFS('ноябрь 2023'!$G$76:$G$1127,'ноябрь 2023'!$D$76:$D$1127,$B160,'ноябрь 2023'!$J$76:$J$1127,D$1)</f>
        <v>0</v>
      </c>
      <c r="E160" s="207">
        <f>SUMIFS('ноябрь 2023'!$G$76:$G$1127,'ноябрь 2023'!$D$76:$D$1127,$B160,'ноябрь 2023'!$J$76:$J$1127,E$1)</f>
        <v>0</v>
      </c>
      <c r="F160" s="207">
        <f>SUMIFS('ноябрь 2023'!$G$76:$G$1127,'ноябрь 2023'!$D$76:$D$1127,$B160,'ноябрь 2023'!$J$76:$J$1127,F$1)</f>
        <v>0</v>
      </c>
      <c r="G160" s="207">
        <f>SUMIFS('ноябрь 2023'!$G$76:$G$1127,'ноябрь 2023'!$D$76:$D$1127,$B160,'ноябрь 2023'!$J$76:$J$1127,G$1)</f>
        <v>0</v>
      </c>
      <c r="H160" s="207">
        <f>SUMIFS('ноябрь 2023'!$G$76:$G$1127,'ноябрь 2023'!$D$76:$D$1127,$B160,'ноябрь 2023'!$J$76:$J$1127,H$1)</f>
        <v>0</v>
      </c>
      <c r="I160" s="207">
        <f>SUMIFS('ноябрь 2023'!$G$76:$G$1127,'ноябрь 2023'!$D$76:$D$1127,$B160,'ноябрь 2023'!$J$76:$J$1127,I$1)</f>
        <v>0</v>
      </c>
      <c r="J160" s="207">
        <f>SUMIFS('ноябрь 2023'!$G$76:$G$1127,'ноябрь 2023'!$D$76:$D$1127,$B160,'ноябрь 2023'!$J$76:$J$1127,J$1)</f>
        <v>0</v>
      </c>
      <c r="K160" s="207">
        <f>SUMIFS('ноябрь 2023'!$G$76:$G$1127,'ноябрь 2023'!$D$76:$D$1127,$B160,'ноябрь 2023'!$J$76:$J$1127,K$1)</f>
        <v>0</v>
      </c>
      <c r="L160" s="207">
        <f>SUMIFS('ноябрь 2023'!$G$76:$G$1127,'ноябрь 2023'!$D$76:$D$1127,$B160,'ноябрь 2023'!$J$76:$J$1127,L$1)</f>
        <v>0</v>
      </c>
      <c r="M160" s="207">
        <f>SUMIFS('ноябрь 2023'!$G$76:$G$1127,'ноябрь 2023'!$D$76:$D$1127,$B160,'ноябрь 2023'!$J$76:$J$1127,M$1)</f>
        <v>0</v>
      </c>
      <c r="N160" s="207">
        <f>SUMIFS('ноябрь 2023'!$G$76:$G$1127,'ноябрь 2023'!$D$76:$D$1127,$B160,'ноябрь 2023'!$J$76:$J$1127,N$1)</f>
        <v>0</v>
      </c>
      <c r="O160" s="207">
        <f>SUMIFS('ноябрь 2023'!$G$76:$G$1127,'ноябрь 2023'!$D$76:$D$1127,$B160,'ноябрь 2023'!$J$76:$J$1127,O$1)</f>
        <v>0</v>
      </c>
      <c r="P160" s="207">
        <f>SUMIFS('ноябрь 2023'!$G$76:$G$1127,'ноябрь 2023'!$D$76:$D$1127,$B160,'ноябрь 2023'!$J$76:$J$1127,P$1)</f>
        <v>0</v>
      </c>
      <c r="Q160" s="207">
        <f>SUMIFS('ноябрь 2023'!$G$76:$G$1127,'ноябрь 2023'!$D$76:$D$1127,$B160,'ноябрь 2023'!$J$76:$J$1127,Q$1)</f>
        <v>0</v>
      </c>
      <c r="R160" s="207">
        <f>SUMIFS('ноябрь 2023'!$G$76:$G$1127,'ноябрь 2023'!$D$76:$D$1127,$B160,'ноябрь 2023'!$J$76:$J$1127,R$1)</f>
        <v>0</v>
      </c>
      <c r="S160" s="207">
        <f>SUMIFS('ноябрь 2023'!$G$76:$G$1127,'ноябрь 2023'!$D$76:$D$1127,$B160,'ноябрь 2023'!$J$76:$J$1127,S$1)</f>
        <v>0</v>
      </c>
      <c r="T160" s="207">
        <f>SUMIFS('ноябрь 2023'!$G$76:$G$1127,'ноябрь 2023'!$D$76:$D$1127,$B160,'ноябрь 2023'!$J$76:$J$1127,T$1)</f>
        <v>0</v>
      </c>
      <c r="U160" s="207">
        <f>SUMIFS('ноябрь 2023'!$G$76:$G$1127,'ноябрь 2023'!$D$76:$D$1127,$B160,'ноябрь 2023'!$J$76:$J$1127,U$1)</f>
        <v>0</v>
      </c>
      <c r="V160" s="207">
        <f>SUMIFS('ноябрь 2023'!$G$76:$G$1127,'ноябрь 2023'!$D$76:$D$1127,$B160,'ноябрь 2023'!$J$76:$J$1127,V$1)</f>
        <v>0</v>
      </c>
      <c r="W160" s="207">
        <f>SUMIFS('ноябрь 2023'!$G$76:$G$1127,'ноябрь 2023'!$D$76:$D$1127,$B160,'ноябрь 2023'!$J$76:$J$1127,W$1)</f>
        <v>0</v>
      </c>
      <c r="X160" s="207">
        <f>SUMIFS('ноябрь 2023'!$G$76:$G$1127,'ноябрь 2023'!$D$76:$D$1127,$B160,'ноябрь 2023'!$J$76:$J$1127,X$1)</f>
        <v>0</v>
      </c>
      <c r="Y160" s="207">
        <f>SUMIFS('ноябрь 2023'!$G$76:$G$1127,'ноябрь 2023'!$D$76:$D$1127,$B160,'ноябрь 2023'!$J$76:$J$1127,Y$1)</f>
        <v>0</v>
      </c>
      <c r="Z160" s="207">
        <f>SUMIFS('ноябрь 2023'!$G$76:$G$1127,'ноябрь 2023'!$D$76:$D$1127,$B160,'ноябрь 2023'!$J$76:$J$1127,Z$1)</f>
        <v>0</v>
      </c>
      <c r="AA160" s="207">
        <f>SUMIFS('ноябрь 2023'!$G$76:$G$1127,'ноябрь 2023'!$D$76:$D$1127,$B160,'ноябрь 2023'!$J$76:$J$1127,AA$1)</f>
        <v>0</v>
      </c>
      <c r="AB160" s="207">
        <f>SUMIFS('ноябрь 2023'!$G$76:$G$1127,'ноябрь 2023'!$D$76:$D$1127,$B160,'ноябрь 2023'!$J$76:$J$1127,AB$1)</f>
        <v>0</v>
      </c>
      <c r="AC160" s="207">
        <f>SUMIFS('ноябрь 2023'!$G$76:$G$1127,'ноябрь 2023'!$D$76:$D$1127,$B160,'ноябрь 2023'!$J$76:$J$1127,AC$1)</f>
        <v>0</v>
      </c>
      <c r="AD160" s="207">
        <f>SUMIFS('ноябрь 2023'!$G$76:$G$1127,'ноябрь 2023'!$D$76:$D$1127,$B160,'ноябрь 2023'!$J$76:$J$1127,AD$1)</f>
        <v>0</v>
      </c>
      <c r="AE160" s="207">
        <f>SUMIFS('ноябрь 2023'!$G$76:$G$1127,'ноябрь 2023'!$D$76:$D$1127,$B160,'ноябрь 2023'!$J$76:$J$1127,AE$1)</f>
        <v>0</v>
      </c>
      <c r="AF160" s="207">
        <f>SUMIFS('ноябрь 2023'!$G$76:$G$1127,'ноябрь 2023'!$D$76:$D$1127,$B160,'ноябрь 2023'!$J$76:$J$1127,AF$1)</f>
        <v>0</v>
      </c>
      <c r="AG160" s="207">
        <f>SUMIFS('ноябрь 2023'!$G$76:$G$1127,'ноябрь 2023'!$D$76:$D$1127,$B160,'ноябрь 2023'!$J$76:$J$1127,AG$1)</f>
        <v>0</v>
      </c>
      <c r="AH160" s="207">
        <f>SUMIFS('ноябрь 2023'!$G$76:$G$1127,'ноябрь 2023'!$D$76:$D$1127,$B160,'ноябрь 2023'!$J$76:$J$1127,AH$1)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SUMIFS('ноябрь 2023'!$G$76:$G$1127,'ноябрь 2023'!$D$76:$D$1127,$B161,'ноябрь 2023'!$J$76:$J$1127,D$1)</f>
        <v>0</v>
      </c>
      <c r="E161" s="207">
        <f>SUMIFS('ноябрь 2023'!$G$76:$G$1127,'ноябрь 2023'!$D$76:$D$1127,$B161,'ноябрь 2023'!$J$76:$J$1127,E$1)</f>
        <v>0</v>
      </c>
      <c r="F161" s="207">
        <f>SUMIFS('ноябрь 2023'!$G$76:$G$1127,'ноябрь 2023'!$D$76:$D$1127,$B161,'ноябрь 2023'!$J$76:$J$1127,F$1)</f>
        <v>0</v>
      </c>
      <c r="G161" s="207">
        <f>SUMIFS('ноябрь 2023'!$G$76:$G$1127,'ноябрь 2023'!$D$76:$D$1127,$B161,'ноябрь 2023'!$J$76:$J$1127,G$1)</f>
        <v>0</v>
      </c>
      <c r="H161" s="207">
        <f>SUMIFS('ноябрь 2023'!$G$76:$G$1127,'ноябрь 2023'!$D$76:$D$1127,$B161,'ноябрь 2023'!$J$76:$J$1127,H$1)</f>
        <v>0</v>
      </c>
      <c r="I161" s="207">
        <f>SUMIFS('ноябрь 2023'!$G$76:$G$1127,'ноябрь 2023'!$D$76:$D$1127,$B161,'ноябрь 2023'!$J$76:$J$1127,I$1)</f>
        <v>0</v>
      </c>
      <c r="J161" s="207">
        <f>SUMIFS('ноябрь 2023'!$G$76:$G$1127,'ноябрь 2023'!$D$76:$D$1127,$B161,'ноябрь 2023'!$J$76:$J$1127,J$1)</f>
        <v>0</v>
      </c>
      <c r="K161" s="207">
        <f>SUMIFS('ноябрь 2023'!$G$76:$G$1127,'ноябрь 2023'!$D$76:$D$1127,$B161,'ноябрь 2023'!$J$76:$J$1127,K$1)</f>
        <v>0</v>
      </c>
      <c r="L161" s="207">
        <f>SUMIFS('ноябрь 2023'!$G$76:$G$1127,'ноябрь 2023'!$D$76:$D$1127,$B161,'ноябрь 2023'!$J$76:$J$1127,L$1)</f>
        <v>0</v>
      </c>
      <c r="M161" s="207">
        <f>SUMIFS('ноябрь 2023'!$G$76:$G$1127,'ноябрь 2023'!$D$76:$D$1127,$B161,'ноябрь 2023'!$J$76:$J$1127,M$1)</f>
        <v>0</v>
      </c>
      <c r="N161" s="207">
        <f>SUMIFS('ноябрь 2023'!$G$76:$G$1127,'ноябрь 2023'!$D$76:$D$1127,$B161,'ноябрь 2023'!$J$76:$J$1127,N$1)</f>
        <v>0</v>
      </c>
      <c r="O161" s="207">
        <f>SUMIFS('ноябрь 2023'!$G$76:$G$1127,'ноябрь 2023'!$D$76:$D$1127,$B161,'ноябрь 2023'!$J$76:$J$1127,O$1)</f>
        <v>0</v>
      </c>
      <c r="P161" s="207">
        <f>SUMIFS('ноябрь 2023'!$G$76:$G$1127,'ноябрь 2023'!$D$76:$D$1127,$B161,'ноябрь 2023'!$J$76:$J$1127,P$1)</f>
        <v>0</v>
      </c>
      <c r="Q161" s="207">
        <f>SUMIFS('ноябрь 2023'!$G$76:$G$1127,'ноябрь 2023'!$D$76:$D$1127,$B161,'ноябрь 2023'!$J$76:$J$1127,Q$1)</f>
        <v>0</v>
      </c>
      <c r="R161" s="207">
        <f>SUMIFS('ноябрь 2023'!$G$76:$G$1127,'ноябрь 2023'!$D$76:$D$1127,$B161,'ноябрь 2023'!$J$76:$J$1127,R$1)</f>
        <v>0</v>
      </c>
      <c r="S161" s="207">
        <f>SUMIFS('ноябрь 2023'!$G$76:$G$1127,'ноябрь 2023'!$D$76:$D$1127,$B161,'ноябрь 2023'!$J$76:$J$1127,S$1)</f>
        <v>0</v>
      </c>
      <c r="T161" s="207">
        <f>SUMIFS('ноябрь 2023'!$G$76:$G$1127,'ноябрь 2023'!$D$76:$D$1127,$B161,'ноябрь 2023'!$J$76:$J$1127,T$1)</f>
        <v>0</v>
      </c>
      <c r="U161" s="207">
        <f>SUMIFS('ноябрь 2023'!$G$76:$G$1127,'ноябрь 2023'!$D$76:$D$1127,$B161,'ноябрь 2023'!$J$76:$J$1127,U$1)</f>
        <v>0</v>
      </c>
      <c r="V161" s="207">
        <f>SUMIFS('ноябрь 2023'!$G$76:$G$1127,'ноябрь 2023'!$D$76:$D$1127,$B161,'ноябрь 2023'!$J$76:$J$1127,V$1)</f>
        <v>0</v>
      </c>
      <c r="W161" s="207">
        <f>SUMIFS('ноябрь 2023'!$G$76:$G$1127,'ноябрь 2023'!$D$76:$D$1127,$B161,'ноябрь 2023'!$J$76:$J$1127,W$1)</f>
        <v>0</v>
      </c>
      <c r="X161" s="207">
        <f>SUMIFS('ноябрь 2023'!$G$76:$G$1127,'ноябрь 2023'!$D$76:$D$1127,$B161,'ноябрь 2023'!$J$76:$J$1127,X$1)</f>
        <v>0</v>
      </c>
      <c r="Y161" s="207">
        <f>SUMIFS('ноябрь 2023'!$G$76:$G$1127,'ноябрь 2023'!$D$76:$D$1127,$B161,'ноябрь 2023'!$J$76:$J$1127,Y$1)</f>
        <v>0</v>
      </c>
      <c r="Z161" s="207">
        <f>SUMIFS('ноябрь 2023'!$G$76:$G$1127,'ноябрь 2023'!$D$76:$D$1127,$B161,'ноябрь 2023'!$J$76:$J$1127,Z$1)</f>
        <v>0</v>
      </c>
      <c r="AA161" s="207">
        <f>SUMIFS('ноябрь 2023'!$G$76:$G$1127,'ноябрь 2023'!$D$76:$D$1127,$B161,'ноябрь 2023'!$J$76:$J$1127,AA$1)</f>
        <v>0</v>
      </c>
      <c r="AB161" s="207">
        <f>SUMIFS('ноябрь 2023'!$G$76:$G$1127,'ноябрь 2023'!$D$76:$D$1127,$B161,'ноябрь 2023'!$J$76:$J$1127,AB$1)</f>
        <v>0</v>
      </c>
      <c r="AC161" s="207">
        <f>SUMIFS('ноябрь 2023'!$G$76:$G$1127,'ноябрь 2023'!$D$76:$D$1127,$B161,'ноябрь 2023'!$J$76:$J$1127,AC$1)</f>
        <v>0</v>
      </c>
      <c r="AD161" s="207">
        <f>SUMIFS('ноябрь 2023'!$G$76:$G$1127,'ноябрь 2023'!$D$76:$D$1127,$B161,'ноябрь 2023'!$J$76:$J$1127,AD$1)</f>
        <v>0</v>
      </c>
      <c r="AE161" s="207">
        <f>SUMIFS('ноябрь 2023'!$G$76:$G$1127,'ноябрь 2023'!$D$76:$D$1127,$B161,'ноябрь 2023'!$J$76:$J$1127,AE$1)</f>
        <v>0</v>
      </c>
      <c r="AF161" s="207">
        <f>SUMIFS('ноябрь 2023'!$G$76:$G$1127,'ноябрь 2023'!$D$76:$D$1127,$B161,'ноябрь 2023'!$J$76:$J$1127,AF$1)</f>
        <v>0</v>
      </c>
      <c r="AG161" s="207">
        <f>SUMIFS('ноябрь 2023'!$G$76:$G$1127,'ноябрь 2023'!$D$76:$D$1127,$B161,'ноябрь 2023'!$J$76:$J$1127,AG$1)</f>
        <v>0</v>
      </c>
      <c r="AH161" s="207">
        <f>SUMIFS('ноябрь 2023'!$G$76:$G$1127,'ноябрь 2023'!$D$76:$D$1127,$B161,'ноябрь 2023'!$J$76:$J$1127,AH$1)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SUMIFS('ноябрь 2023'!$G$76:$G$1127,'ноябрь 2023'!$D$76:$D$1127,$B162,'ноябрь 2023'!$J$76:$J$1127,D$1)</f>
        <v>0</v>
      </c>
      <c r="E162" s="207">
        <f>SUMIFS('ноябрь 2023'!$G$76:$G$1127,'ноябрь 2023'!$D$76:$D$1127,$B162,'ноябрь 2023'!$J$76:$J$1127,E$1)</f>
        <v>0</v>
      </c>
      <c r="F162" s="207">
        <f>SUMIFS('ноябрь 2023'!$G$76:$G$1127,'ноябрь 2023'!$D$76:$D$1127,$B162,'ноябрь 2023'!$J$76:$J$1127,F$1)</f>
        <v>0</v>
      </c>
      <c r="G162" s="207">
        <f>SUMIFS('ноябрь 2023'!$G$76:$G$1127,'ноябрь 2023'!$D$76:$D$1127,$B162,'ноябрь 2023'!$J$76:$J$1127,G$1)</f>
        <v>0</v>
      </c>
      <c r="H162" s="207">
        <f>SUMIFS('ноябрь 2023'!$G$76:$G$1127,'ноябрь 2023'!$D$76:$D$1127,$B162,'ноябрь 2023'!$J$76:$J$1127,H$1)</f>
        <v>0</v>
      </c>
      <c r="I162" s="207">
        <f>SUMIFS('ноябрь 2023'!$G$76:$G$1127,'ноябрь 2023'!$D$76:$D$1127,$B162,'ноябрь 2023'!$J$76:$J$1127,I$1)</f>
        <v>0</v>
      </c>
      <c r="J162" s="207">
        <f>SUMIFS('ноябрь 2023'!$G$76:$G$1127,'ноябрь 2023'!$D$76:$D$1127,$B162,'ноябрь 2023'!$J$76:$J$1127,J$1)</f>
        <v>0</v>
      </c>
      <c r="K162" s="207">
        <f>SUMIFS('ноябрь 2023'!$G$76:$G$1127,'ноябрь 2023'!$D$76:$D$1127,$B162,'ноябрь 2023'!$J$76:$J$1127,K$1)</f>
        <v>0</v>
      </c>
      <c r="L162" s="207">
        <f>SUMIFS('ноябрь 2023'!$G$76:$G$1127,'ноябрь 2023'!$D$76:$D$1127,$B162,'ноябрь 2023'!$J$76:$J$1127,L$1)</f>
        <v>0</v>
      </c>
      <c r="M162" s="207">
        <f>SUMIFS('ноябрь 2023'!$G$76:$G$1127,'ноябрь 2023'!$D$76:$D$1127,$B162,'ноябрь 2023'!$J$76:$J$1127,M$1)</f>
        <v>0</v>
      </c>
      <c r="N162" s="207">
        <f>SUMIFS('ноябрь 2023'!$G$76:$G$1127,'ноябрь 2023'!$D$76:$D$1127,$B162,'ноябрь 2023'!$J$76:$J$1127,N$1)</f>
        <v>0</v>
      </c>
      <c r="O162" s="207">
        <f>SUMIFS('ноябрь 2023'!$G$76:$G$1127,'ноябрь 2023'!$D$76:$D$1127,$B162,'ноябрь 2023'!$J$76:$J$1127,O$1)</f>
        <v>0</v>
      </c>
      <c r="P162" s="207">
        <f>SUMIFS('ноябрь 2023'!$G$76:$G$1127,'ноябрь 2023'!$D$76:$D$1127,$B162,'ноябрь 2023'!$J$76:$J$1127,P$1)</f>
        <v>0</v>
      </c>
      <c r="Q162" s="207">
        <f>SUMIFS('ноябрь 2023'!$G$76:$G$1127,'ноябрь 2023'!$D$76:$D$1127,$B162,'ноябрь 2023'!$J$76:$J$1127,Q$1)</f>
        <v>0</v>
      </c>
      <c r="R162" s="207">
        <f>SUMIFS('ноябрь 2023'!$G$76:$G$1127,'ноябрь 2023'!$D$76:$D$1127,$B162,'ноябрь 2023'!$J$76:$J$1127,R$1)</f>
        <v>0</v>
      </c>
      <c r="S162" s="207">
        <f>SUMIFS('ноябрь 2023'!$G$76:$G$1127,'ноябрь 2023'!$D$76:$D$1127,$B162,'ноябрь 2023'!$J$76:$J$1127,S$1)</f>
        <v>0</v>
      </c>
      <c r="T162" s="207">
        <f>SUMIFS('ноябрь 2023'!$G$76:$G$1127,'ноябрь 2023'!$D$76:$D$1127,$B162,'ноябрь 2023'!$J$76:$J$1127,T$1)</f>
        <v>0</v>
      </c>
      <c r="U162" s="207">
        <f>SUMIFS('ноябрь 2023'!$G$76:$G$1127,'ноябрь 2023'!$D$76:$D$1127,$B162,'ноябрь 2023'!$J$76:$J$1127,U$1)</f>
        <v>0</v>
      </c>
      <c r="V162" s="207">
        <f>SUMIFS('ноябрь 2023'!$G$76:$G$1127,'ноябрь 2023'!$D$76:$D$1127,$B162,'ноябрь 2023'!$J$76:$J$1127,V$1)</f>
        <v>0</v>
      </c>
      <c r="W162" s="207">
        <f>SUMIFS('ноябрь 2023'!$G$76:$G$1127,'ноябрь 2023'!$D$76:$D$1127,$B162,'ноябрь 2023'!$J$76:$J$1127,W$1)</f>
        <v>0</v>
      </c>
      <c r="X162" s="207">
        <f>SUMIFS('ноябрь 2023'!$G$76:$G$1127,'ноябрь 2023'!$D$76:$D$1127,$B162,'ноябрь 2023'!$J$76:$J$1127,X$1)</f>
        <v>0</v>
      </c>
      <c r="Y162" s="207">
        <f>SUMIFS('ноябрь 2023'!$G$76:$G$1127,'ноябрь 2023'!$D$76:$D$1127,$B162,'ноябрь 2023'!$J$76:$J$1127,Y$1)</f>
        <v>0</v>
      </c>
      <c r="Z162" s="207">
        <f>SUMIFS('ноябрь 2023'!$G$76:$G$1127,'ноябрь 2023'!$D$76:$D$1127,$B162,'ноябрь 2023'!$J$76:$J$1127,Z$1)</f>
        <v>0</v>
      </c>
      <c r="AA162" s="207">
        <f>SUMIFS('ноябрь 2023'!$G$76:$G$1127,'ноябрь 2023'!$D$76:$D$1127,$B162,'ноябрь 2023'!$J$76:$J$1127,AA$1)</f>
        <v>0</v>
      </c>
      <c r="AB162" s="207">
        <f>SUMIFS('ноябрь 2023'!$G$76:$G$1127,'ноябрь 2023'!$D$76:$D$1127,$B162,'ноябрь 2023'!$J$76:$J$1127,AB$1)</f>
        <v>0</v>
      </c>
      <c r="AC162" s="207">
        <f>SUMIFS('ноябрь 2023'!$G$76:$G$1127,'ноябрь 2023'!$D$76:$D$1127,$B162,'ноябрь 2023'!$J$76:$J$1127,AC$1)</f>
        <v>0</v>
      </c>
      <c r="AD162" s="207">
        <f>SUMIFS('ноябрь 2023'!$G$76:$G$1127,'ноябрь 2023'!$D$76:$D$1127,$B162,'ноябрь 2023'!$J$76:$J$1127,AD$1)</f>
        <v>0</v>
      </c>
      <c r="AE162" s="207">
        <f>SUMIFS('ноябрь 2023'!$G$76:$G$1127,'ноябрь 2023'!$D$76:$D$1127,$B162,'ноябрь 2023'!$J$76:$J$1127,AE$1)</f>
        <v>0</v>
      </c>
      <c r="AF162" s="207">
        <f>SUMIFS('ноябрь 2023'!$G$76:$G$1127,'ноябрь 2023'!$D$76:$D$1127,$B162,'ноябрь 2023'!$J$76:$J$1127,AF$1)</f>
        <v>0</v>
      </c>
      <c r="AG162" s="207">
        <f>SUMIFS('ноябрь 2023'!$G$76:$G$1127,'ноябрь 2023'!$D$76:$D$1127,$B162,'ноябрь 2023'!$J$76:$J$1127,AG$1)</f>
        <v>0</v>
      </c>
      <c r="AH162" s="207">
        <f>SUMIFS('ноябрь 2023'!$G$76:$G$1127,'ноябрь 2023'!$D$76:$D$1127,$B162,'ноябрь 2023'!$J$76:$J$1127,AH$1)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SUMIFS('ноябрь 2023'!$G$76:$G$1127,'ноябрь 2023'!$D$76:$D$1127,$B163,'ноябрь 2023'!$J$76:$J$1127,D$1)</f>
        <v>0</v>
      </c>
      <c r="E163" s="207">
        <f>SUMIFS('ноябрь 2023'!$G$76:$G$1127,'ноябрь 2023'!$D$76:$D$1127,$B163,'ноябрь 2023'!$J$76:$J$1127,E$1)</f>
        <v>0</v>
      </c>
      <c r="F163" s="207">
        <f>SUMIFS('ноябрь 2023'!$G$76:$G$1127,'ноябрь 2023'!$D$76:$D$1127,$B163,'ноябрь 2023'!$J$76:$J$1127,F$1)</f>
        <v>0</v>
      </c>
      <c r="G163" s="207">
        <f>SUMIFS('ноябрь 2023'!$G$76:$G$1127,'ноябрь 2023'!$D$76:$D$1127,$B163,'ноябрь 2023'!$J$76:$J$1127,G$1)</f>
        <v>0</v>
      </c>
      <c r="H163" s="207">
        <f>SUMIFS('ноябрь 2023'!$G$76:$G$1127,'ноябрь 2023'!$D$76:$D$1127,$B163,'ноябрь 2023'!$J$76:$J$1127,H$1)</f>
        <v>0</v>
      </c>
      <c r="I163" s="207">
        <f>SUMIFS('ноябрь 2023'!$G$76:$G$1127,'ноябрь 2023'!$D$76:$D$1127,$B163,'ноябрь 2023'!$J$76:$J$1127,I$1)</f>
        <v>0</v>
      </c>
      <c r="J163" s="207">
        <f>SUMIFS('ноябрь 2023'!$G$76:$G$1127,'ноябрь 2023'!$D$76:$D$1127,$B163,'ноябрь 2023'!$J$76:$J$1127,J$1)</f>
        <v>0</v>
      </c>
      <c r="K163" s="207">
        <f>SUMIFS('ноябрь 2023'!$G$76:$G$1127,'ноябрь 2023'!$D$76:$D$1127,$B163,'ноябрь 2023'!$J$76:$J$1127,K$1)</f>
        <v>0</v>
      </c>
      <c r="L163" s="207">
        <f>SUMIFS('ноябрь 2023'!$G$76:$G$1127,'ноябрь 2023'!$D$76:$D$1127,$B163,'ноябрь 2023'!$J$76:$J$1127,L$1)</f>
        <v>0</v>
      </c>
      <c r="M163" s="207">
        <f>SUMIFS('ноябрь 2023'!$G$76:$G$1127,'ноябрь 2023'!$D$76:$D$1127,$B163,'ноябрь 2023'!$J$76:$J$1127,M$1)</f>
        <v>0</v>
      </c>
      <c r="N163" s="207">
        <f>SUMIFS('ноябрь 2023'!$G$76:$G$1127,'ноябрь 2023'!$D$76:$D$1127,$B163,'ноябрь 2023'!$J$76:$J$1127,N$1)</f>
        <v>0</v>
      </c>
      <c r="O163" s="207">
        <f>SUMIFS('ноябрь 2023'!$G$76:$G$1127,'ноябрь 2023'!$D$76:$D$1127,$B163,'ноябрь 2023'!$J$76:$J$1127,O$1)</f>
        <v>0</v>
      </c>
      <c r="P163" s="207">
        <f>SUMIFS('ноябрь 2023'!$G$76:$G$1127,'ноябрь 2023'!$D$76:$D$1127,$B163,'ноябрь 2023'!$J$76:$J$1127,P$1)</f>
        <v>0</v>
      </c>
      <c r="Q163" s="207">
        <f>SUMIFS('ноябрь 2023'!$G$76:$G$1127,'ноябрь 2023'!$D$76:$D$1127,$B163,'ноябрь 2023'!$J$76:$J$1127,Q$1)</f>
        <v>0</v>
      </c>
      <c r="R163" s="207">
        <f>SUMIFS('ноябрь 2023'!$G$76:$G$1127,'ноябрь 2023'!$D$76:$D$1127,$B163,'ноябрь 2023'!$J$76:$J$1127,R$1)</f>
        <v>0</v>
      </c>
      <c r="S163" s="207">
        <f>SUMIFS('ноябрь 2023'!$G$76:$G$1127,'ноябрь 2023'!$D$76:$D$1127,$B163,'ноябрь 2023'!$J$76:$J$1127,S$1)</f>
        <v>0</v>
      </c>
      <c r="T163" s="207">
        <f>SUMIFS('ноябрь 2023'!$G$76:$G$1127,'ноябрь 2023'!$D$76:$D$1127,$B163,'ноябрь 2023'!$J$76:$J$1127,T$1)</f>
        <v>0</v>
      </c>
      <c r="U163" s="207">
        <f>SUMIFS('ноябрь 2023'!$G$76:$G$1127,'ноябрь 2023'!$D$76:$D$1127,$B163,'ноябрь 2023'!$J$76:$J$1127,U$1)</f>
        <v>0</v>
      </c>
      <c r="V163" s="207">
        <f>SUMIFS('ноябрь 2023'!$G$76:$G$1127,'ноябрь 2023'!$D$76:$D$1127,$B163,'ноябрь 2023'!$J$76:$J$1127,V$1)</f>
        <v>0</v>
      </c>
      <c r="W163" s="207">
        <f>SUMIFS('ноябрь 2023'!$G$76:$G$1127,'ноябрь 2023'!$D$76:$D$1127,$B163,'ноябрь 2023'!$J$76:$J$1127,W$1)</f>
        <v>0</v>
      </c>
      <c r="X163" s="207">
        <f>SUMIFS('ноябрь 2023'!$G$76:$G$1127,'ноябрь 2023'!$D$76:$D$1127,$B163,'ноябрь 2023'!$J$76:$J$1127,X$1)</f>
        <v>0</v>
      </c>
      <c r="Y163" s="207">
        <f>SUMIFS('ноябрь 2023'!$G$76:$G$1127,'ноябрь 2023'!$D$76:$D$1127,$B163,'ноябрь 2023'!$J$76:$J$1127,Y$1)</f>
        <v>0</v>
      </c>
      <c r="Z163" s="207">
        <f>SUMIFS('ноябрь 2023'!$G$76:$G$1127,'ноябрь 2023'!$D$76:$D$1127,$B163,'ноябрь 2023'!$J$76:$J$1127,Z$1)</f>
        <v>0</v>
      </c>
      <c r="AA163" s="207">
        <f>SUMIFS('ноябрь 2023'!$G$76:$G$1127,'ноябрь 2023'!$D$76:$D$1127,$B163,'ноябрь 2023'!$J$76:$J$1127,AA$1)</f>
        <v>0</v>
      </c>
      <c r="AB163" s="207">
        <f>SUMIFS('ноябрь 2023'!$G$76:$G$1127,'ноябрь 2023'!$D$76:$D$1127,$B163,'ноябрь 2023'!$J$76:$J$1127,AB$1)</f>
        <v>0</v>
      </c>
      <c r="AC163" s="207">
        <f>SUMIFS('ноябрь 2023'!$G$76:$G$1127,'ноябрь 2023'!$D$76:$D$1127,$B163,'ноябрь 2023'!$J$76:$J$1127,AC$1)</f>
        <v>0</v>
      </c>
      <c r="AD163" s="207">
        <f>SUMIFS('ноябрь 2023'!$G$76:$G$1127,'ноябрь 2023'!$D$76:$D$1127,$B163,'ноябрь 2023'!$J$76:$J$1127,AD$1)</f>
        <v>0</v>
      </c>
      <c r="AE163" s="207">
        <f>SUMIFS('ноябрь 2023'!$G$76:$G$1127,'ноябрь 2023'!$D$76:$D$1127,$B163,'ноябрь 2023'!$J$76:$J$1127,AE$1)</f>
        <v>0</v>
      </c>
      <c r="AF163" s="207">
        <f>SUMIFS('ноябрь 2023'!$G$76:$G$1127,'ноябрь 2023'!$D$76:$D$1127,$B163,'ноябрь 2023'!$J$76:$J$1127,AF$1)</f>
        <v>0</v>
      </c>
      <c r="AG163" s="207">
        <f>SUMIFS('ноябрь 2023'!$G$76:$G$1127,'ноябрь 2023'!$D$76:$D$1127,$B163,'ноябрь 2023'!$J$76:$J$1127,AG$1)</f>
        <v>0</v>
      </c>
      <c r="AH163" s="207">
        <f>SUMIFS('ноябрь 2023'!$G$76:$G$1127,'ноябрь 2023'!$D$76:$D$1127,$B163,'ноябрь 2023'!$J$76:$J$1127,AH$1)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SUMIFS('ноябрь 2023'!$G$76:$G$1127,'ноябрь 2023'!$D$76:$D$1127,$B164,'ноябрь 2023'!$J$76:$J$1127,D$1)</f>
        <v>0</v>
      </c>
      <c r="E164" s="207">
        <f>SUMIFS('ноябрь 2023'!$G$76:$G$1127,'ноябрь 2023'!$D$76:$D$1127,$B164,'ноябрь 2023'!$J$76:$J$1127,E$1)</f>
        <v>0</v>
      </c>
      <c r="F164" s="207">
        <f>SUMIFS('ноябрь 2023'!$G$76:$G$1127,'ноябрь 2023'!$D$76:$D$1127,$B164,'ноябрь 2023'!$J$76:$J$1127,F$1)</f>
        <v>0</v>
      </c>
      <c r="G164" s="207">
        <f>SUMIFS('ноябрь 2023'!$G$76:$G$1127,'ноябрь 2023'!$D$76:$D$1127,$B164,'ноябрь 2023'!$J$76:$J$1127,G$1)</f>
        <v>0</v>
      </c>
      <c r="H164" s="207">
        <f>SUMIFS('ноябрь 2023'!$G$76:$G$1127,'ноябрь 2023'!$D$76:$D$1127,$B164,'ноябрь 2023'!$J$76:$J$1127,H$1)</f>
        <v>0</v>
      </c>
      <c r="I164" s="207">
        <f>SUMIFS('ноябрь 2023'!$G$76:$G$1127,'ноябрь 2023'!$D$76:$D$1127,$B164,'ноябрь 2023'!$J$76:$J$1127,I$1)</f>
        <v>0</v>
      </c>
      <c r="J164" s="207">
        <f>SUMIFS('ноябрь 2023'!$G$76:$G$1127,'ноябрь 2023'!$D$76:$D$1127,$B164,'ноябрь 2023'!$J$76:$J$1127,J$1)</f>
        <v>0</v>
      </c>
      <c r="K164" s="207">
        <f>SUMIFS('ноябрь 2023'!$G$76:$G$1127,'ноябрь 2023'!$D$76:$D$1127,$B164,'ноябрь 2023'!$J$76:$J$1127,K$1)</f>
        <v>0</v>
      </c>
      <c r="L164" s="207">
        <f>SUMIFS('ноябрь 2023'!$G$76:$G$1127,'ноябрь 2023'!$D$76:$D$1127,$B164,'ноябрь 2023'!$J$76:$J$1127,L$1)</f>
        <v>0</v>
      </c>
      <c r="M164" s="207">
        <f>SUMIFS('ноябрь 2023'!$G$76:$G$1127,'ноябрь 2023'!$D$76:$D$1127,$B164,'ноябрь 2023'!$J$76:$J$1127,M$1)</f>
        <v>0</v>
      </c>
      <c r="N164" s="207">
        <f>SUMIFS('ноябрь 2023'!$G$76:$G$1127,'ноябрь 2023'!$D$76:$D$1127,$B164,'ноябрь 2023'!$J$76:$J$1127,N$1)</f>
        <v>0</v>
      </c>
      <c r="O164" s="207">
        <f>SUMIFS('ноябрь 2023'!$G$76:$G$1127,'ноябрь 2023'!$D$76:$D$1127,$B164,'ноябрь 2023'!$J$76:$J$1127,O$1)</f>
        <v>0</v>
      </c>
      <c r="P164" s="207">
        <f>SUMIFS('ноябрь 2023'!$G$76:$G$1127,'ноябрь 2023'!$D$76:$D$1127,$B164,'ноябрь 2023'!$J$76:$J$1127,P$1)</f>
        <v>0</v>
      </c>
      <c r="Q164" s="207">
        <f>SUMIFS('ноябрь 2023'!$G$76:$G$1127,'ноябрь 2023'!$D$76:$D$1127,$B164,'ноябрь 2023'!$J$76:$J$1127,Q$1)</f>
        <v>0</v>
      </c>
      <c r="R164" s="207">
        <f>SUMIFS('ноябрь 2023'!$G$76:$G$1127,'ноябрь 2023'!$D$76:$D$1127,$B164,'ноябрь 2023'!$J$76:$J$1127,R$1)</f>
        <v>0</v>
      </c>
      <c r="S164" s="207">
        <f>SUMIFS('ноябрь 2023'!$G$76:$G$1127,'ноябрь 2023'!$D$76:$D$1127,$B164,'ноябрь 2023'!$J$76:$J$1127,S$1)</f>
        <v>0</v>
      </c>
      <c r="T164" s="207">
        <f>SUMIFS('ноябрь 2023'!$G$76:$G$1127,'ноябрь 2023'!$D$76:$D$1127,$B164,'ноябрь 2023'!$J$76:$J$1127,T$1)</f>
        <v>0</v>
      </c>
      <c r="U164" s="207">
        <f>SUMIFS('ноябрь 2023'!$G$76:$G$1127,'ноябрь 2023'!$D$76:$D$1127,$B164,'ноябрь 2023'!$J$76:$J$1127,U$1)</f>
        <v>0</v>
      </c>
      <c r="V164" s="207">
        <f>SUMIFS('ноябрь 2023'!$G$76:$G$1127,'ноябрь 2023'!$D$76:$D$1127,$B164,'ноябрь 2023'!$J$76:$J$1127,V$1)</f>
        <v>0</v>
      </c>
      <c r="W164" s="207">
        <f>SUMIFS('ноябрь 2023'!$G$76:$G$1127,'ноябрь 2023'!$D$76:$D$1127,$B164,'ноябрь 2023'!$J$76:$J$1127,W$1)</f>
        <v>0</v>
      </c>
      <c r="X164" s="207">
        <f>SUMIFS('ноябрь 2023'!$G$76:$G$1127,'ноябрь 2023'!$D$76:$D$1127,$B164,'ноябрь 2023'!$J$76:$J$1127,X$1)</f>
        <v>0</v>
      </c>
      <c r="Y164" s="207">
        <f>SUMIFS('ноябрь 2023'!$G$76:$G$1127,'ноябрь 2023'!$D$76:$D$1127,$B164,'ноябрь 2023'!$J$76:$J$1127,Y$1)</f>
        <v>0</v>
      </c>
      <c r="Z164" s="207">
        <f>SUMIFS('ноябрь 2023'!$G$76:$G$1127,'ноябрь 2023'!$D$76:$D$1127,$B164,'ноябрь 2023'!$J$76:$J$1127,Z$1)</f>
        <v>0</v>
      </c>
      <c r="AA164" s="207">
        <f>SUMIFS('ноябрь 2023'!$G$76:$G$1127,'ноябрь 2023'!$D$76:$D$1127,$B164,'ноябрь 2023'!$J$76:$J$1127,AA$1)</f>
        <v>0</v>
      </c>
      <c r="AB164" s="207">
        <f>SUMIFS('ноябрь 2023'!$G$76:$G$1127,'ноябрь 2023'!$D$76:$D$1127,$B164,'ноябрь 2023'!$J$76:$J$1127,AB$1)</f>
        <v>0</v>
      </c>
      <c r="AC164" s="207">
        <f>SUMIFS('ноябрь 2023'!$G$76:$G$1127,'ноябрь 2023'!$D$76:$D$1127,$B164,'ноябрь 2023'!$J$76:$J$1127,AC$1)</f>
        <v>0</v>
      </c>
      <c r="AD164" s="207">
        <f>SUMIFS('ноябрь 2023'!$G$76:$G$1127,'ноябрь 2023'!$D$76:$D$1127,$B164,'ноябрь 2023'!$J$76:$J$1127,AD$1)</f>
        <v>0</v>
      </c>
      <c r="AE164" s="207">
        <f>SUMIFS('ноябрь 2023'!$G$76:$G$1127,'ноябрь 2023'!$D$76:$D$1127,$B164,'ноябрь 2023'!$J$76:$J$1127,AE$1)</f>
        <v>0</v>
      </c>
      <c r="AF164" s="207">
        <f>SUMIFS('ноябрь 2023'!$G$76:$G$1127,'ноябрь 2023'!$D$76:$D$1127,$B164,'ноябрь 2023'!$J$76:$J$1127,AF$1)</f>
        <v>0</v>
      </c>
      <c r="AG164" s="207">
        <f>SUMIFS('ноябрь 2023'!$G$76:$G$1127,'ноябрь 2023'!$D$76:$D$1127,$B164,'ноябрь 2023'!$J$76:$J$1127,AG$1)</f>
        <v>0</v>
      </c>
      <c r="AH164" s="207">
        <f>SUMIFS('ноябрь 2023'!$G$76:$G$1127,'ноябрь 2023'!$D$76:$D$1127,$B164,'ноябрь 2023'!$J$76:$J$1127,AH$1)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SUMIFS('ноябрь 2023'!$G$76:$G$1127,'ноябрь 2023'!$D$76:$D$1127,$B165,'ноябрь 2023'!$J$76:$J$1127,D$1)</f>
        <v>0</v>
      </c>
      <c r="E165" s="207">
        <f>SUMIFS('ноябрь 2023'!$G$76:$G$1127,'ноябрь 2023'!$D$76:$D$1127,$B165,'ноябрь 2023'!$J$76:$J$1127,E$1)</f>
        <v>0</v>
      </c>
      <c r="F165" s="207">
        <f>SUMIFS('ноябрь 2023'!$G$76:$G$1127,'ноябрь 2023'!$D$76:$D$1127,$B165,'ноябрь 2023'!$J$76:$J$1127,F$1)</f>
        <v>0</v>
      </c>
      <c r="G165" s="207">
        <f>SUMIFS('ноябрь 2023'!$G$76:$G$1127,'ноябрь 2023'!$D$76:$D$1127,$B165,'ноябрь 2023'!$J$76:$J$1127,G$1)</f>
        <v>0</v>
      </c>
      <c r="H165" s="207">
        <f>SUMIFS('ноябрь 2023'!$G$76:$G$1127,'ноябрь 2023'!$D$76:$D$1127,$B165,'ноябрь 2023'!$J$76:$J$1127,H$1)</f>
        <v>0</v>
      </c>
      <c r="I165" s="207">
        <f>SUMIFS('ноябрь 2023'!$G$76:$G$1127,'ноябрь 2023'!$D$76:$D$1127,$B165,'ноябрь 2023'!$J$76:$J$1127,I$1)</f>
        <v>0</v>
      </c>
      <c r="J165" s="207">
        <f>SUMIFS('ноябрь 2023'!$G$76:$G$1127,'ноябрь 2023'!$D$76:$D$1127,$B165,'ноябрь 2023'!$J$76:$J$1127,J$1)</f>
        <v>0</v>
      </c>
      <c r="K165" s="207">
        <f>SUMIFS('ноябрь 2023'!$G$76:$G$1127,'ноябрь 2023'!$D$76:$D$1127,$B165,'ноябрь 2023'!$J$76:$J$1127,K$1)</f>
        <v>0</v>
      </c>
      <c r="L165" s="207">
        <f>SUMIFS('ноябрь 2023'!$G$76:$G$1127,'ноябрь 2023'!$D$76:$D$1127,$B165,'ноябрь 2023'!$J$76:$J$1127,L$1)</f>
        <v>0</v>
      </c>
      <c r="M165" s="207">
        <f>SUMIFS('ноябрь 2023'!$G$76:$G$1127,'ноябрь 2023'!$D$76:$D$1127,$B165,'ноябрь 2023'!$J$76:$J$1127,M$1)</f>
        <v>0</v>
      </c>
      <c r="N165" s="207">
        <f>SUMIFS('ноябрь 2023'!$G$76:$G$1127,'ноябрь 2023'!$D$76:$D$1127,$B165,'ноябрь 2023'!$J$76:$J$1127,N$1)</f>
        <v>0</v>
      </c>
      <c r="O165" s="207">
        <f>SUMIFS('ноябрь 2023'!$G$76:$G$1127,'ноябрь 2023'!$D$76:$D$1127,$B165,'ноябрь 2023'!$J$76:$J$1127,O$1)</f>
        <v>0</v>
      </c>
      <c r="P165" s="207">
        <f>SUMIFS('ноябрь 2023'!$G$76:$G$1127,'ноябрь 2023'!$D$76:$D$1127,$B165,'ноябрь 2023'!$J$76:$J$1127,P$1)</f>
        <v>0</v>
      </c>
      <c r="Q165" s="207">
        <f>SUMIFS('ноябрь 2023'!$G$76:$G$1127,'ноябрь 2023'!$D$76:$D$1127,$B165,'ноябрь 2023'!$J$76:$J$1127,Q$1)</f>
        <v>0</v>
      </c>
      <c r="R165" s="207">
        <f>SUMIFS('ноябрь 2023'!$G$76:$G$1127,'ноябрь 2023'!$D$76:$D$1127,$B165,'ноябрь 2023'!$J$76:$J$1127,R$1)</f>
        <v>0</v>
      </c>
      <c r="S165" s="207">
        <f>SUMIFS('ноябрь 2023'!$G$76:$G$1127,'ноябрь 2023'!$D$76:$D$1127,$B165,'ноябрь 2023'!$J$76:$J$1127,S$1)</f>
        <v>0</v>
      </c>
      <c r="T165" s="207">
        <f>SUMIFS('ноябрь 2023'!$G$76:$G$1127,'ноябрь 2023'!$D$76:$D$1127,$B165,'ноябрь 2023'!$J$76:$J$1127,T$1)</f>
        <v>0</v>
      </c>
      <c r="U165" s="207">
        <f>SUMIFS('ноябрь 2023'!$G$76:$G$1127,'ноябрь 2023'!$D$76:$D$1127,$B165,'ноябрь 2023'!$J$76:$J$1127,U$1)</f>
        <v>0</v>
      </c>
      <c r="V165" s="207">
        <f>SUMIFS('ноябрь 2023'!$G$76:$G$1127,'ноябрь 2023'!$D$76:$D$1127,$B165,'ноябрь 2023'!$J$76:$J$1127,V$1)</f>
        <v>0</v>
      </c>
      <c r="W165" s="207">
        <f>SUMIFS('ноябрь 2023'!$G$76:$G$1127,'ноябрь 2023'!$D$76:$D$1127,$B165,'ноябрь 2023'!$J$76:$J$1127,W$1)</f>
        <v>0</v>
      </c>
      <c r="X165" s="207">
        <f>SUMIFS('ноябрь 2023'!$G$76:$G$1127,'ноябрь 2023'!$D$76:$D$1127,$B165,'ноябрь 2023'!$J$76:$J$1127,X$1)</f>
        <v>0</v>
      </c>
      <c r="Y165" s="207">
        <f>SUMIFS('ноябрь 2023'!$G$76:$G$1127,'ноябрь 2023'!$D$76:$D$1127,$B165,'ноябрь 2023'!$J$76:$J$1127,Y$1)</f>
        <v>0</v>
      </c>
      <c r="Z165" s="207">
        <f>SUMIFS('ноябрь 2023'!$G$76:$G$1127,'ноябрь 2023'!$D$76:$D$1127,$B165,'ноябрь 2023'!$J$76:$J$1127,Z$1)</f>
        <v>0</v>
      </c>
      <c r="AA165" s="207">
        <f>SUMIFS('ноябрь 2023'!$G$76:$G$1127,'ноябрь 2023'!$D$76:$D$1127,$B165,'ноябрь 2023'!$J$76:$J$1127,AA$1)</f>
        <v>0</v>
      </c>
      <c r="AB165" s="207">
        <f>SUMIFS('ноябрь 2023'!$G$76:$G$1127,'ноябрь 2023'!$D$76:$D$1127,$B165,'ноябрь 2023'!$J$76:$J$1127,AB$1)</f>
        <v>0</v>
      </c>
      <c r="AC165" s="207">
        <f>SUMIFS('ноябрь 2023'!$G$76:$G$1127,'ноябрь 2023'!$D$76:$D$1127,$B165,'ноябрь 2023'!$J$76:$J$1127,AC$1)</f>
        <v>0</v>
      </c>
      <c r="AD165" s="207">
        <f>SUMIFS('ноябрь 2023'!$G$76:$G$1127,'ноябрь 2023'!$D$76:$D$1127,$B165,'ноябрь 2023'!$J$76:$J$1127,AD$1)</f>
        <v>0</v>
      </c>
      <c r="AE165" s="207">
        <f>SUMIFS('ноябрь 2023'!$G$76:$G$1127,'ноябрь 2023'!$D$76:$D$1127,$B165,'ноябрь 2023'!$J$76:$J$1127,AE$1)</f>
        <v>0</v>
      </c>
      <c r="AF165" s="207">
        <f>SUMIFS('ноябрь 2023'!$G$76:$G$1127,'ноябрь 2023'!$D$76:$D$1127,$B165,'ноябрь 2023'!$J$76:$J$1127,AF$1)</f>
        <v>0</v>
      </c>
      <c r="AG165" s="207">
        <f>SUMIFS('ноябрь 2023'!$G$76:$G$1127,'ноябрь 2023'!$D$76:$D$1127,$B165,'ноябрь 2023'!$J$76:$J$1127,AG$1)</f>
        <v>0</v>
      </c>
      <c r="AH165" s="207">
        <f>SUMIFS('ноябрь 2023'!$G$76:$G$1127,'ноябрь 2023'!$D$76:$D$1127,$B165,'ноябрь 2023'!$J$76:$J$1127,AH$1)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SUMIFS('ноябрь 2023'!$G$76:$G$1127,'ноябрь 2023'!$D$76:$D$1127,$B166,'ноябрь 2023'!$J$76:$J$1127,D$1)</f>
        <v>0</v>
      </c>
      <c r="E166" s="207">
        <f>SUMIFS('ноябрь 2023'!$G$76:$G$1127,'ноябрь 2023'!$D$76:$D$1127,$B166,'ноябрь 2023'!$J$76:$J$1127,E$1)</f>
        <v>0</v>
      </c>
      <c r="F166" s="207">
        <f>SUMIFS('ноябрь 2023'!$G$76:$G$1127,'ноябрь 2023'!$D$76:$D$1127,$B166,'ноябрь 2023'!$J$76:$J$1127,F$1)</f>
        <v>0</v>
      </c>
      <c r="G166" s="207">
        <f>SUMIFS('ноябрь 2023'!$G$76:$G$1127,'ноябрь 2023'!$D$76:$D$1127,$B166,'ноябрь 2023'!$J$76:$J$1127,G$1)</f>
        <v>0</v>
      </c>
      <c r="H166" s="207">
        <f>SUMIFS('ноябрь 2023'!$G$76:$G$1127,'ноябрь 2023'!$D$76:$D$1127,$B166,'ноябрь 2023'!$J$76:$J$1127,H$1)</f>
        <v>0</v>
      </c>
      <c r="I166" s="207">
        <f>SUMIFS('ноябрь 2023'!$G$76:$G$1127,'ноябрь 2023'!$D$76:$D$1127,$B166,'ноябрь 2023'!$J$76:$J$1127,I$1)</f>
        <v>0</v>
      </c>
      <c r="J166" s="207">
        <f>SUMIFS('ноябрь 2023'!$G$76:$G$1127,'ноябрь 2023'!$D$76:$D$1127,$B166,'ноябрь 2023'!$J$76:$J$1127,J$1)</f>
        <v>0</v>
      </c>
      <c r="K166" s="207">
        <f>SUMIFS('ноябрь 2023'!$G$76:$G$1127,'ноябрь 2023'!$D$76:$D$1127,$B166,'ноябрь 2023'!$J$76:$J$1127,K$1)</f>
        <v>0</v>
      </c>
      <c r="L166" s="207">
        <f>SUMIFS('ноябрь 2023'!$G$76:$G$1127,'ноябрь 2023'!$D$76:$D$1127,$B166,'ноябрь 2023'!$J$76:$J$1127,L$1)</f>
        <v>0</v>
      </c>
      <c r="M166" s="207">
        <f>SUMIFS('ноябрь 2023'!$G$76:$G$1127,'ноябрь 2023'!$D$76:$D$1127,$B166,'ноябрь 2023'!$J$76:$J$1127,M$1)</f>
        <v>0</v>
      </c>
      <c r="N166" s="207">
        <f>SUMIFS('ноябрь 2023'!$G$76:$G$1127,'ноябрь 2023'!$D$76:$D$1127,$B166,'ноябрь 2023'!$J$76:$J$1127,N$1)</f>
        <v>0</v>
      </c>
      <c r="O166" s="207">
        <f>SUMIFS('ноябрь 2023'!$G$76:$G$1127,'ноябрь 2023'!$D$76:$D$1127,$B166,'ноябрь 2023'!$J$76:$J$1127,O$1)</f>
        <v>0</v>
      </c>
      <c r="P166" s="207">
        <f>SUMIFS('ноябрь 2023'!$G$76:$G$1127,'ноябрь 2023'!$D$76:$D$1127,$B166,'ноябрь 2023'!$J$76:$J$1127,P$1)</f>
        <v>0</v>
      </c>
      <c r="Q166" s="207">
        <f>SUMIFS('ноябрь 2023'!$G$76:$G$1127,'ноябрь 2023'!$D$76:$D$1127,$B166,'ноябрь 2023'!$J$76:$J$1127,Q$1)</f>
        <v>0</v>
      </c>
      <c r="R166" s="207">
        <f>SUMIFS('ноябрь 2023'!$G$76:$G$1127,'ноябрь 2023'!$D$76:$D$1127,$B166,'ноябрь 2023'!$J$76:$J$1127,R$1)</f>
        <v>0</v>
      </c>
      <c r="S166" s="207">
        <f>SUMIFS('ноябрь 2023'!$G$76:$G$1127,'ноябрь 2023'!$D$76:$D$1127,$B166,'ноябрь 2023'!$J$76:$J$1127,S$1)</f>
        <v>0</v>
      </c>
      <c r="T166" s="207">
        <f>SUMIFS('ноябрь 2023'!$G$76:$G$1127,'ноябрь 2023'!$D$76:$D$1127,$B166,'ноябрь 2023'!$J$76:$J$1127,T$1)</f>
        <v>0</v>
      </c>
      <c r="U166" s="207">
        <f>SUMIFS('ноябрь 2023'!$G$76:$G$1127,'ноябрь 2023'!$D$76:$D$1127,$B166,'ноябрь 2023'!$J$76:$J$1127,U$1)</f>
        <v>0</v>
      </c>
      <c r="V166" s="207">
        <f>SUMIFS('ноябрь 2023'!$G$76:$G$1127,'ноябрь 2023'!$D$76:$D$1127,$B166,'ноябрь 2023'!$J$76:$J$1127,V$1)</f>
        <v>0</v>
      </c>
      <c r="W166" s="207">
        <f>SUMIFS('ноябрь 2023'!$G$76:$G$1127,'ноябрь 2023'!$D$76:$D$1127,$B166,'ноябрь 2023'!$J$76:$J$1127,W$1)</f>
        <v>0</v>
      </c>
      <c r="X166" s="207">
        <f>SUMIFS('ноябрь 2023'!$G$76:$G$1127,'ноябрь 2023'!$D$76:$D$1127,$B166,'ноябрь 2023'!$J$76:$J$1127,X$1)</f>
        <v>0</v>
      </c>
      <c r="Y166" s="207">
        <f>SUMIFS('ноябрь 2023'!$G$76:$G$1127,'ноябрь 2023'!$D$76:$D$1127,$B166,'ноябрь 2023'!$J$76:$J$1127,Y$1)</f>
        <v>0</v>
      </c>
      <c r="Z166" s="207">
        <f>SUMIFS('ноябрь 2023'!$G$76:$G$1127,'ноябрь 2023'!$D$76:$D$1127,$B166,'ноябрь 2023'!$J$76:$J$1127,Z$1)</f>
        <v>0</v>
      </c>
      <c r="AA166" s="207">
        <f>SUMIFS('ноябрь 2023'!$G$76:$G$1127,'ноябрь 2023'!$D$76:$D$1127,$B166,'ноябрь 2023'!$J$76:$J$1127,AA$1)</f>
        <v>0</v>
      </c>
      <c r="AB166" s="207">
        <f>SUMIFS('ноябрь 2023'!$G$76:$G$1127,'ноябрь 2023'!$D$76:$D$1127,$B166,'ноябрь 2023'!$J$76:$J$1127,AB$1)</f>
        <v>0</v>
      </c>
      <c r="AC166" s="207">
        <f>SUMIFS('ноябрь 2023'!$G$76:$G$1127,'ноябрь 2023'!$D$76:$D$1127,$B166,'ноябрь 2023'!$J$76:$J$1127,AC$1)</f>
        <v>0</v>
      </c>
      <c r="AD166" s="207">
        <f>SUMIFS('ноябрь 2023'!$G$76:$G$1127,'ноябрь 2023'!$D$76:$D$1127,$B166,'ноябрь 2023'!$J$76:$J$1127,AD$1)</f>
        <v>0</v>
      </c>
      <c r="AE166" s="207">
        <f>SUMIFS('ноябрь 2023'!$G$76:$G$1127,'ноябрь 2023'!$D$76:$D$1127,$B166,'ноябрь 2023'!$J$76:$J$1127,AE$1)</f>
        <v>0</v>
      </c>
      <c r="AF166" s="207">
        <f>SUMIFS('ноябрь 2023'!$G$76:$G$1127,'ноябрь 2023'!$D$76:$D$1127,$B166,'ноябрь 2023'!$J$76:$J$1127,AF$1)</f>
        <v>0</v>
      </c>
      <c r="AG166" s="207">
        <f>SUMIFS('ноябрь 2023'!$G$76:$G$1127,'ноябрь 2023'!$D$76:$D$1127,$B166,'ноябрь 2023'!$J$76:$J$1127,AG$1)</f>
        <v>0</v>
      </c>
      <c r="AH166" s="207">
        <f>SUMIFS('ноябрь 2023'!$G$76:$G$1127,'ноябрь 2023'!$D$76:$D$1127,$B166,'ноябрь 2023'!$J$76:$J$1127,AH$1)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SUMIFS('ноябрь 2023'!$G$76:$G$1127,'ноябрь 2023'!$D$76:$D$1127,$B167,'ноябрь 2023'!$J$76:$J$1127,D$1)</f>
        <v>0</v>
      </c>
      <c r="E167" s="207">
        <f>SUMIFS('ноябрь 2023'!$G$76:$G$1127,'ноябрь 2023'!$D$76:$D$1127,$B167,'ноябрь 2023'!$J$76:$J$1127,E$1)</f>
        <v>0</v>
      </c>
      <c r="F167" s="207">
        <f>SUMIFS('ноябрь 2023'!$G$76:$G$1127,'ноябрь 2023'!$D$76:$D$1127,$B167,'ноябрь 2023'!$J$76:$J$1127,F$1)</f>
        <v>0</v>
      </c>
      <c r="G167" s="207">
        <f>SUMIFS('ноябрь 2023'!$G$76:$G$1127,'ноябрь 2023'!$D$76:$D$1127,$B167,'ноябрь 2023'!$J$76:$J$1127,G$1)</f>
        <v>0</v>
      </c>
      <c r="H167" s="207">
        <f>SUMIFS('ноябрь 2023'!$G$76:$G$1127,'ноябрь 2023'!$D$76:$D$1127,$B167,'ноябрь 2023'!$J$76:$J$1127,H$1)</f>
        <v>0</v>
      </c>
      <c r="I167" s="207">
        <f>SUMIFS('ноябрь 2023'!$G$76:$G$1127,'ноябрь 2023'!$D$76:$D$1127,$B167,'ноябрь 2023'!$J$76:$J$1127,I$1)</f>
        <v>0</v>
      </c>
      <c r="J167" s="207">
        <f>SUMIFS('ноябрь 2023'!$G$76:$G$1127,'ноябрь 2023'!$D$76:$D$1127,$B167,'ноябрь 2023'!$J$76:$J$1127,J$1)</f>
        <v>0</v>
      </c>
      <c r="K167" s="207">
        <f>SUMIFS('ноябрь 2023'!$G$76:$G$1127,'ноябрь 2023'!$D$76:$D$1127,$B167,'ноябрь 2023'!$J$76:$J$1127,K$1)</f>
        <v>0</v>
      </c>
      <c r="L167" s="207">
        <f>SUMIFS('ноябрь 2023'!$G$76:$G$1127,'ноябрь 2023'!$D$76:$D$1127,$B167,'ноябрь 2023'!$J$76:$J$1127,L$1)</f>
        <v>0</v>
      </c>
      <c r="M167" s="207">
        <f>SUMIFS('ноябрь 2023'!$G$76:$G$1127,'ноябрь 2023'!$D$76:$D$1127,$B167,'ноябрь 2023'!$J$76:$J$1127,M$1)</f>
        <v>0</v>
      </c>
      <c r="N167" s="207">
        <f>SUMIFS('ноябрь 2023'!$G$76:$G$1127,'ноябрь 2023'!$D$76:$D$1127,$B167,'ноябрь 2023'!$J$76:$J$1127,N$1)</f>
        <v>0</v>
      </c>
      <c r="O167" s="207">
        <f>SUMIFS('ноябрь 2023'!$G$76:$G$1127,'ноябрь 2023'!$D$76:$D$1127,$B167,'ноябрь 2023'!$J$76:$J$1127,O$1)</f>
        <v>0</v>
      </c>
      <c r="P167" s="207">
        <f>SUMIFS('ноябрь 2023'!$G$76:$G$1127,'ноябрь 2023'!$D$76:$D$1127,$B167,'ноябрь 2023'!$J$76:$J$1127,P$1)</f>
        <v>0</v>
      </c>
      <c r="Q167" s="207">
        <f>SUMIFS('ноябрь 2023'!$G$76:$G$1127,'ноябрь 2023'!$D$76:$D$1127,$B167,'ноябрь 2023'!$J$76:$J$1127,Q$1)</f>
        <v>0</v>
      </c>
      <c r="R167" s="207">
        <f>SUMIFS('ноябрь 2023'!$G$76:$G$1127,'ноябрь 2023'!$D$76:$D$1127,$B167,'ноябрь 2023'!$J$76:$J$1127,R$1)</f>
        <v>0</v>
      </c>
      <c r="S167" s="207">
        <f>SUMIFS('ноябрь 2023'!$G$76:$G$1127,'ноябрь 2023'!$D$76:$D$1127,$B167,'ноябрь 2023'!$J$76:$J$1127,S$1)</f>
        <v>0</v>
      </c>
      <c r="T167" s="207">
        <f>SUMIFS('ноябрь 2023'!$G$76:$G$1127,'ноябрь 2023'!$D$76:$D$1127,$B167,'ноябрь 2023'!$J$76:$J$1127,T$1)</f>
        <v>0</v>
      </c>
      <c r="U167" s="207">
        <f>SUMIFS('ноябрь 2023'!$G$76:$G$1127,'ноябрь 2023'!$D$76:$D$1127,$B167,'ноябрь 2023'!$J$76:$J$1127,U$1)</f>
        <v>0</v>
      </c>
      <c r="V167" s="207">
        <f>SUMIFS('ноябрь 2023'!$G$76:$G$1127,'ноябрь 2023'!$D$76:$D$1127,$B167,'ноябрь 2023'!$J$76:$J$1127,V$1)</f>
        <v>0</v>
      </c>
      <c r="W167" s="207">
        <f>SUMIFS('ноябрь 2023'!$G$76:$G$1127,'ноябрь 2023'!$D$76:$D$1127,$B167,'ноябрь 2023'!$J$76:$J$1127,W$1)</f>
        <v>0</v>
      </c>
      <c r="X167" s="207">
        <f>SUMIFS('ноябрь 2023'!$G$76:$G$1127,'ноябрь 2023'!$D$76:$D$1127,$B167,'ноябрь 2023'!$J$76:$J$1127,X$1)</f>
        <v>0</v>
      </c>
      <c r="Y167" s="207">
        <f>SUMIFS('ноябрь 2023'!$G$76:$G$1127,'ноябрь 2023'!$D$76:$D$1127,$B167,'ноябрь 2023'!$J$76:$J$1127,Y$1)</f>
        <v>0</v>
      </c>
      <c r="Z167" s="207">
        <f>SUMIFS('ноябрь 2023'!$G$76:$G$1127,'ноябрь 2023'!$D$76:$D$1127,$B167,'ноябрь 2023'!$J$76:$J$1127,Z$1)</f>
        <v>0</v>
      </c>
      <c r="AA167" s="207">
        <f>SUMIFS('ноябрь 2023'!$G$76:$G$1127,'ноябрь 2023'!$D$76:$D$1127,$B167,'ноябрь 2023'!$J$76:$J$1127,AA$1)</f>
        <v>0</v>
      </c>
      <c r="AB167" s="207">
        <f>SUMIFS('ноябрь 2023'!$G$76:$G$1127,'ноябрь 2023'!$D$76:$D$1127,$B167,'ноябрь 2023'!$J$76:$J$1127,AB$1)</f>
        <v>0</v>
      </c>
      <c r="AC167" s="207">
        <f>SUMIFS('ноябрь 2023'!$G$76:$G$1127,'ноябрь 2023'!$D$76:$D$1127,$B167,'ноябрь 2023'!$J$76:$J$1127,AC$1)</f>
        <v>0</v>
      </c>
      <c r="AD167" s="207">
        <f>SUMIFS('ноябрь 2023'!$G$76:$G$1127,'ноябрь 2023'!$D$76:$D$1127,$B167,'ноябрь 2023'!$J$76:$J$1127,AD$1)</f>
        <v>0</v>
      </c>
      <c r="AE167" s="207">
        <f>SUMIFS('ноябрь 2023'!$G$76:$G$1127,'ноябрь 2023'!$D$76:$D$1127,$B167,'ноябрь 2023'!$J$76:$J$1127,AE$1)</f>
        <v>0</v>
      </c>
      <c r="AF167" s="207">
        <f>SUMIFS('ноябрь 2023'!$G$76:$G$1127,'ноябрь 2023'!$D$76:$D$1127,$B167,'ноябрь 2023'!$J$76:$J$1127,AF$1)</f>
        <v>0</v>
      </c>
      <c r="AG167" s="207">
        <f>SUMIFS('ноябрь 2023'!$G$76:$G$1127,'ноябрь 2023'!$D$76:$D$1127,$B167,'ноябрь 2023'!$J$76:$J$1127,AG$1)</f>
        <v>0</v>
      </c>
      <c r="AH167" s="207">
        <f>SUMIFS('ноябрь 2023'!$G$76:$G$1127,'ноябрь 2023'!$D$76:$D$1127,$B167,'ноябрь 2023'!$J$76:$J$1127,AH$1)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SUMIFS('ноябрь 2023'!$G$76:$G$1127,'ноябрь 2023'!$D$76:$D$1127,$B168,'ноябрь 2023'!$J$76:$J$1127,D$1)</f>
        <v>0</v>
      </c>
      <c r="E168" s="207">
        <f>SUMIFS('ноябрь 2023'!$G$76:$G$1127,'ноябрь 2023'!$D$76:$D$1127,$B168,'ноябрь 2023'!$J$76:$J$1127,E$1)</f>
        <v>0</v>
      </c>
      <c r="F168" s="207">
        <f>SUMIFS('ноябрь 2023'!$G$76:$G$1127,'ноябрь 2023'!$D$76:$D$1127,$B168,'ноябрь 2023'!$J$76:$J$1127,F$1)</f>
        <v>0</v>
      </c>
      <c r="G168" s="207">
        <f>SUMIFS('ноябрь 2023'!$G$76:$G$1127,'ноябрь 2023'!$D$76:$D$1127,$B168,'ноябрь 2023'!$J$76:$J$1127,G$1)</f>
        <v>0</v>
      </c>
      <c r="H168" s="207">
        <f>SUMIFS('ноябрь 2023'!$G$76:$G$1127,'ноябрь 2023'!$D$76:$D$1127,$B168,'ноябрь 2023'!$J$76:$J$1127,H$1)</f>
        <v>0</v>
      </c>
      <c r="I168" s="207">
        <f>SUMIFS('ноябрь 2023'!$G$76:$G$1127,'ноябрь 2023'!$D$76:$D$1127,$B168,'ноябрь 2023'!$J$76:$J$1127,I$1)</f>
        <v>0</v>
      </c>
      <c r="J168" s="207">
        <f>SUMIFS('ноябрь 2023'!$G$76:$G$1127,'ноябрь 2023'!$D$76:$D$1127,$B168,'ноябрь 2023'!$J$76:$J$1127,J$1)</f>
        <v>0</v>
      </c>
      <c r="K168" s="207">
        <f>SUMIFS('ноябрь 2023'!$G$76:$G$1127,'ноябрь 2023'!$D$76:$D$1127,$B168,'ноябрь 2023'!$J$76:$J$1127,K$1)</f>
        <v>0</v>
      </c>
      <c r="L168" s="207">
        <f>SUMIFS('ноябрь 2023'!$G$76:$G$1127,'ноябрь 2023'!$D$76:$D$1127,$B168,'ноябрь 2023'!$J$76:$J$1127,L$1)</f>
        <v>0</v>
      </c>
      <c r="M168" s="207">
        <f>SUMIFS('ноябрь 2023'!$G$76:$G$1127,'ноябрь 2023'!$D$76:$D$1127,$B168,'ноябрь 2023'!$J$76:$J$1127,M$1)</f>
        <v>0</v>
      </c>
      <c r="N168" s="207">
        <f>SUMIFS('ноябрь 2023'!$G$76:$G$1127,'ноябрь 2023'!$D$76:$D$1127,$B168,'ноябрь 2023'!$J$76:$J$1127,N$1)</f>
        <v>0</v>
      </c>
      <c r="O168" s="207">
        <f>SUMIFS('ноябрь 2023'!$G$76:$G$1127,'ноябрь 2023'!$D$76:$D$1127,$B168,'ноябрь 2023'!$J$76:$J$1127,O$1)</f>
        <v>0</v>
      </c>
      <c r="P168" s="207">
        <f>SUMIFS('ноябрь 2023'!$G$76:$G$1127,'ноябрь 2023'!$D$76:$D$1127,$B168,'ноябрь 2023'!$J$76:$J$1127,P$1)</f>
        <v>0</v>
      </c>
      <c r="Q168" s="207">
        <f>SUMIFS('ноябрь 2023'!$G$76:$G$1127,'ноябрь 2023'!$D$76:$D$1127,$B168,'ноябрь 2023'!$J$76:$J$1127,Q$1)</f>
        <v>0</v>
      </c>
      <c r="R168" s="207">
        <f>SUMIFS('ноябрь 2023'!$G$76:$G$1127,'ноябрь 2023'!$D$76:$D$1127,$B168,'ноябрь 2023'!$J$76:$J$1127,R$1)</f>
        <v>0</v>
      </c>
      <c r="S168" s="207">
        <f>SUMIFS('ноябрь 2023'!$G$76:$G$1127,'ноябрь 2023'!$D$76:$D$1127,$B168,'ноябрь 2023'!$J$76:$J$1127,S$1)</f>
        <v>0</v>
      </c>
      <c r="T168" s="207">
        <f>SUMIFS('ноябрь 2023'!$G$76:$G$1127,'ноябрь 2023'!$D$76:$D$1127,$B168,'ноябрь 2023'!$J$76:$J$1127,T$1)</f>
        <v>0</v>
      </c>
      <c r="U168" s="207">
        <f>SUMIFS('ноябрь 2023'!$G$76:$G$1127,'ноябрь 2023'!$D$76:$D$1127,$B168,'ноябрь 2023'!$J$76:$J$1127,U$1)</f>
        <v>0</v>
      </c>
      <c r="V168" s="207">
        <f>SUMIFS('ноябрь 2023'!$G$76:$G$1127,'ноябрь 2023'!$D$76:$D$1127,$B168,'ноябрь 2023'!$J$76:$J$1127,V$1)</f>
        <v>0</v>
      </c>
      <c r="W168" s="207">
        <f>SUMIFS('ноябрь 2023'!$G$76:$G$1127,'ноябрь 2023'!$D$76:$D$1127,$B168,'ноябрь 2023'!$J$76:$J$1127,W$1)</f>
        <v>0</v>
      </c>
      <c r="X168" s="207">
        <f>SUMIFS('ноябрь 2023'!$G$76:$G$1127,'ноябрь 2023'!$D$76:$D$1127,$B168,'ноябрь 2023'!$J$76:$J$1127,X$1)</f>
        <v>0</v>
      </c>
      <c r="Y168" s="207">
        <f>SUMIFS('ноябрь 2023'!$G$76:$G$1127,'ноябрь 2023'!$D$76:$D$1127,$B168,'ноябрь 2023'!$J$76:$J$1127,Y$1)</f>
        <v>0</v>
      </c>
      <c r="Z168" s="207">
        <f>SUMIFS('ноябрь 2023'!$G$76:$G$1127,'ноябрь 2023'!$D$76:$D$1127,$B168,'ноябрь 2023'!$J$76:$J$1127,Z$1)</f>
        <v>0</v>
      </c>
      <c r="AA168" s="207">
        <f>SUMIFS('ноябрь 2023'!$G$76:$G$1127,'ноябрь 2023'!$D$76:$D$1127,$B168,'ноябрь 2023'!$J$76:$J$1127,AA$1)</f>
        <v>0</v>
      </c>
      <c r="AB168" s="207">
        <f>SUMIFS('ноябрь 2023'!$G$76:$G$1127,'ноябрь 2023'!$D$76:$D$1127,$B168,'ноябрь 2023'!$J$76:$J$1127,AB$1)</f>
        <v>0</v>
      </c>
      <c r="AC168" s="207">
        <f>SUMIFS('ноябрь 2023'!$G$76:$G$1127,'ноябрь 2023'!$D$76:$D$1127,$B168,'ноябрь 2023'!$J$76:$J$1127,AC$1)</f>
        <v>0</v>
      </c>
      <c r="AD168" s="207">
        <f>SUMIFS('ноябрь 2023'!$G$76:$G$1127,'ноябрь 2023'!$D$76:$D$1127,$B168,'ноябрь 2023'!$J$76:$J$1127,AD$1)</f>
        <v>0</v>
      </c>
      <c r="AE168" s="207">
        <f>SUMIFS('ноябрь 2023'!$G$76:$G$1127,'ноябрь 2023'!$D$76:$D$1127,$B168,'ноябрь 2023'!$J$76:$J$1127,AE$1)</f>
        <v>0</v>
      </c>
      <c r="AF168" s="207">
        <f>SUMIFS('ноябрь 2023'!$G$76:$G$1127,'ноябрь 2023'!$D$76:$D$1127,$B168,'ноябрь 2023'!$J$76:$J$1127,AF$1)</f>
        <v>0</v>
      </c>
      <c r="AG168" s="207">
        <f>SUMIFS('ноябрь 2023'!$G$76:$G$1127,'ноябрь 2023'!$D$76:$D$1127,$B168,'ноябрь 2023'!$J$76:$J$1127,AG$1)</f>
        <v>0</v>
      </c>
      <c r="AH168" s="207">
        <f>SUMIFS('ноябрь 2023'!$G$76:$G$1127,'ноябрь 2023'!$D$76:$D$1127,$B168,'ноябрь 2023'!$J$76:$J$1127,AH$1)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SUMIFS('ноябрь 2023'!$G$76:$G$1127,'ноябрь 2023'!$D$76:$D$1127,$B169,'ноябрь 2023'!$J$76:$J$1127,D$1)</f>
        <v>0</v>
      </c>
      <c r="E169" s="207">
        <f>SUMIFS('ноябрь 2023'!$G$76:$G$1127,'ноябрь 2023'!$D$76:$D$1127,$B169,'ноябрь 2023'!$J$76:$J$1127,E$1)</f>
        <v>0</v>
      </c>
      <c r="F169" s="207">
        <f>SUMIFS('ноябрь 2023'!$G$76:$G$1127,'ноябрь 2023'!$D$76:$D$1127,$B169,'ноябрь 2023'!$J$76:$J$1127,F$1)</f>
        <v>0</v>
      </c>
      <c r="G169" s="207">
        <f>SUMIFS('ноябрь 2023'!$G$76:$G$1127,'ноябрь 2023'!$D$76:$D$1127,$B169,'ноябрь 2023'!$J$76:$J$1127,G$1)</f>
        <v>0</v>
      </c>
      <c r="H169" s="207">
        <f>SUMIFS('ноябрь 2023'!$G$76:$G$1127,'ноябрь 2023'!$D$76:$D$1127,$B169,'ноябрь 2023'!$J$76:$J$1127,H$1)</f>
        <v>0</v>
      </c>
      <c r="I169" s="207">
        <f>SUMIFS('ноябрь 2023'!$G$76:$G$1127,'ноябрь 2023'!$D$76:$D$1127,$B169,'ноябрь 2023'!$J$76:$J$1127,I$1)</f>
        <v>0</v>
      </c>
      <c r="J169" s="207">
        <f>SUMIFS('ноябрь 2023'!$G$76:$G$1127,'ноябрь 2023'!$D$76:$D$1127,$B169,'ноябрь 2023'!$J$76:$J$1127,J$1)</f>
        <v>0</v>
      </c>
      <c r="K169" s="207">
        <f>SUMIFS('ноябрь 2023'!$G$76:$G$1127,'ноябрь 2023'!$D$76:$D$1127,$B169,'ноябрь 2023'!$J$76:$J$1127,K$1)</f>
        <v>0</v>
      </c>
      <c r="L169" s="207">
        <f>SUMIFS('ноябрь 2023'!$G$76:$G$1127,'ноябрь 2023'!$D$76:$D$1127,$B169,'ноябрь 2023'!$J$76:$J$1127,L$1)</f>
        <v>0</v>
      </c>
      <c r="M169" s="207">
        <f>SUMIFS('ноябрь 2023'!$G$76:$G$1127,'ноябрь 2023'!$D$76:$D$1127,$B169,'ноябрь 2023'!$J$76:$J$1127,M$1)</f>
        <v>0</v>
      </c>
      <c r="N169" s="207">
        <f>SUMIFS('ноябрь 2023'!$G$76:$G$1127,'ноябрь 2023'!$D$76:$D$1127,$B169,'ноябрь 2023'!$J$76:$J$1127,N$1)</f>
        <v>0</v>
      </c>
      <c r="O169" s="207">
        <f>SUMIFS('ноябрь 2023'!$G$76:$G$1127,'ноябрь 2023'!$D$76:$D$1127,$B169,'ноябрь 2023'!$J$76:$J$1127,O$1)</f>
        <v>0</v>
      </c>
      <c r="P169" s="207">
        <f>SUMIFS('ноябрь 2023'!$G$76:$G$1127,'ноябрь 2023'!$D$76:$D$1127,$B169,'ноябрь 2023'!$J$76:$J$1127,P$1)</f>
        <v>0</v>
      </c>
      <c r="Q169" s="207">
        <f>SUMIFS('ноябрь 2023'!$G$76:$G$1127,'ноябрь 2023'!$D$76:$D$1127,$B169,'ноябрь 2023'!$J$76:$J$1127,Q$1)</f>
        <v>0</v>
      </c>
      <c r="R169" s="207">
        <f>SUMIFS('ноябрь 2023'!$G$76:$G$1127,'ноябрь 2023'!$D$76:$D$1127,$B169,'ноябрь 2023'!$J$76:$J$1127,R$1)</f>
        <v>0</v>
      </c>
      <c r="S169" s="207">
        <f>SUMIFS('ноябрь 2023'!$G$76:$G$1127,'ноябрь 2023'!$D$76:$D$1127,$B169,'ноябрь 2023'!$J$76:$J$1127,S$1)</f>
        <v>0</v>
      </c>
      <c r="T169" s="207">
        <f>SUMIFS('ноябрь 2023'!$G$76:$G$1127,'ноябрь 2023'!$D$76:$D$1127,$B169,'ноябрь 2023'!$J$76:$J$1127,T$1)</f>
        <v>0</v>
      </c>
      <c r="U169" s="207">
        <f>SUMIFS('ноябрь 2023'!$G$76:$G$1127,'ноябрь 2023'!$D$76:$D$1127,$B169,'ноябрь 2023'!$J$76:$J$1127,U$1)</f>
        <v>0</v>
      </c>
      <c r="V169" s="207">
        <f>SUMIFS('ноябрь 2023'!$G$76:$G$1127,'ноябрь 2023'!$D$76:$D$1127,$B169,'ноябрь 2023'!$J$76:$J$1127,V$1)</f>
        <v>0</v>
      </c>
      <c r="W169" s="207">
        <f>SUMIFS('ноябрь 2023'!$G$76:$G$1127,'ноябрь 2023'!$D$76:$D$1127,$B169,'ноябрь 2023'!$J$76:$J$1127,W$1)</f>
        <v>0</v>
      </c>
      <c r="X169" s="207">
        <f>SUMIFS('ноябрь 2023'!$G$76:$G$1127,'ноябрь 2023'!$D$76:$D$1127,$B169,'ноябрь 2023'!$J$76:$J$1127,X$1)</f>
        <v>0</v>
      </c>
      <c r="Y169" s="207">
        <f>SUMIFS('ноябрь 2023'!$G$76:$G$1127,'ноябрь 2023'!$D$76:$D$1127,$B169,'ноябрь 2023'!$J$76:$J$1127,Y$1)</f>
        <v>0</v>
      </c>
      <c r="Z169" s="207">
        <f>SUMIFS('ноябрь 2023'!$G$76:$G$1127,'ноябрь 2023'!$D$76:$D$1127,$B169,'ноябрь 2023'!$J$76:$J$1127,Z$1)</f>
        <v>0</v>
      </c>
      <c r="AA169" s="207">
        <f>SUMIFS('ноябрь 2023'!$G$76:$G$1127,'ноябрь 2023'!$D$76:$D$1127,$B169,'ноябрь 2023'!$J$76:$J$1127,AA$1)</f>
        <v>0</v>
      </c>
      <c r="AB169" s="207">
        <f>SUMIFS('ноябрь 2023'!$G$76:$G$1127,'ноябрь 2023'!$D$76:$D$1127,$B169,'ноябрь 2023'!$J$76:$J$1127,AB$1)</f>
        <v>0</v>
      </c>
      <c r="AC169" s="207">
        <f>SUMIFS('ноябрь 2023'!$G$76:$G$1127,'ноябрь 2023'!$D$76:$D$1127,$B169,'ноябрь 2023'!$J$76:$J$1127,AC$1)</f>
        <v>0</v>
      </c>
      <c r="AD169" s="207">
        <f>SUMIFS('ноябрь 2023'!$G$76:$G$1127,'ноябрь 2023'!$D$76:$D$1127,$B169,'ноябрь 2023'!$J$76:$J$1127,AD$1)</f>
        <v>0</v>
      </c>
      <c r="AE169" s="207">
        <f>SUMIFS('ноябрь 2023'!$G$76:$G$1127,'ноябрь 2023'!$D$76:$D$1127,$B169,'ноябрь 2023'!$J$76:$J$1127,AE$1)</f>
        <v>0</v>
      </c>
      <c r="AF169" s="207">
        <f>SUMIFS('ноябрь 2023'!$G$76:$G$1127,'ноябрь 2023'!$D$76:$D$1127,$B169,'ноябрь 2023'!$J$76:$J$1127,AF$1)</f>
        <v>0</v>
      </c>
      <c r="AG169" s="207">
        <f>SUMIFS('ноябрь 2023'!$G$76:$G$1127,'ноябрь 2023'!$D$76:$D$1127,$B169,'ноябрь 2023'!$J$76:$J$1127,AG$1)</f>
        <v>0</v>
      </c>
      <c r="AH169" s="207">
        <f>SUMIFS('ноябрь 2023'!$G$76:$G$1127,'ноябрь 2023'!$D$76:$D$1127,$B169,'ноябрь 2023'!$J$76:$J$1127,AH$1)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SUMIFS('ноябрь 2023'!$G$76:$G$1127,'ноябрь 2023'!$D$76:$D$1127,$B170,'ноябрь 2023'!$J$76:$J$1127,D$1)</f>
        <v>0</v>
      </c>
      <c r="E170" s="207">
        <f>SUMIFS('ноябрь 2023'!$G$76:$G$1127,'ноябрь 2023'!$D$76:$D$1127,$B170,'ноябрь 2023'!$J$76:$J$1127,E$1)</f>
        <v>0</v>
      </c>
      <c r="F170" s="207">
        <f>SUMIFS('ноябрь 2023'!$G$76:$G$1127,'ноябрь 2023'!$D$76:$D$1127,$B170,'ноябрь 2023'!$J$76:$J$1127,F$1)</f>
        <v>0</v>
      </c>
      <c r="G170" s="207">
        <f>SUMIFS('ноябрь 2023'!$G$76:$G$1127,'ноябрь 2023'!$D$76:$D$1127,$B170,'ноябрь 2023'!$J$76:$J$1127,G$1)</f>
        <v>0</v>
      </c>
      <c r="H170" s="207">
        <f>SUMIFS('ноябрь 2023'!$G$76:$G$1127,'ноябрь 2023'!$D$76:$D$1127,$B170,'ноябрь 2023'!$J$76:$J$1127,H$1)</f>
        <v>0</v>
      </c>
      <c r="I170" s="207">
        <f>SUMIFS('ноябрь 2023'!$G$76:$G$1127,'ноябрь 2023'!$D$76:$D$1127,$B170,'ноябрь 2023'!$J$76:$J$1127,I$1)</f>
        <v>0</v>
      </c>
      <c r="J170" s="207">
        <f>SUMIFS('ноябрь 2023'!$G$76:$G$1127,'ноябрь 2023'!$D$76:$D$1127,$B170,'ноябрь 2023'!$J$76:$J$1127,J$1)</f>
        <v>0</v>
      </c>
      <c r="K170" s="207">
        <f>SUMIFS('ноябрь 2023'!$G$76:$G$1127,'ноябрь 2023'!$D$76:$D$1127,$B170,'ноябрь 2023'!$J$76:$J$1127,K$1)</f>
        <v>0</v>
      </c>
      <c r="L170" s="207">
        <f>SUMIFS('ноябрь 2023'!$G$76:$G$1127,'ноябрь 2023'!$D$76:$D$1127,$B170,'ноябрь 2023'!$J$76:$J$1127,L$1)</f>
        <v>0</v>
      </c>
      <c r="M170" s="207">
        <f>SUMIFS('ноябрь 2023'!$G$76:$G$1127,'ноябрь 2023'!$D$76:$D$1127,$B170,'ноябрь 2023'!$J$76:$J$1127,M$1)</f>
        <v>0</v>
      </c>
      <c r="N170" s="207">
        <f>SUMIFS('ноябрь 2023'!$G$76:$G$1127,'ноябрь 2023'!$D$76:$D$1127,$B170,'ноябрь 2023'!$J$76:$J$1127,N$1)</f>
        <v>0</v>
      </c>
      <c r="O170" s="207">
        <f>SUMIFS('ноябрь 2023'!$G$76:$G$1127,'ноябрь 2023'!$D$76:$D$1127,$B170,'ноябрь 2023'!$J$76:$J$1127,O$1)</f>
        <v>0</v>
      </c>
      <c r="P170" s="207">
        <f>SUMIFS('ноябрь 2023'!$G$76:$G$1127,'ноябрь 2023'!$D$76:$D$1127,$B170,'ноябрь 2023'!$J$76:$J$1127,P$1)</f>
        <v>0</v>
      </c>
      <c r="Q170" s="207">
        <f>SUMIFS('ноябрь 2023'!$G$76:$G$1127,'ноябрь 2023'!$D$76:$D$1127,$B170,'ноябрь 2023'!$J$76:$J$1127,Q$1)</f>
        <v>0</v>
      </c>
      <c r="R170" s="207">
        <f>SUMIFS('ноябрь 2023'!$G$76:$G$1127,'ноябрь 2023'!$D$76:$D$1127,$B170,'ноябрь 2023'!$J$76:$J$1127,R$1)</f>
        <v>0</v>
      </c>
      <c r="S170" s="207">
        <f>SUMIFS('ноябрь 2023'!$G$76:$G$1127,'ноябрь 2023'!$D$76:$D$1127,$B170,'ноябрь 2023'!$J$76:$J$1127,S$1)</f>
        <v>0</v>
      </c>
      <c r="T170" s="207">
        <f>SUMIFS('ноябрь 2023'!$G$76:$G$1127,'ноябрь 2023'!$D$76:$D$1127,$B170,'ноябрь 2023'!$J$76:$J$1127,T$1)</f>
        <v>0</v>
      </c>
      <c r="U170" s="207">
        <f>SUMIFS('ноябрь 2023'!$G$76:$G$1127,'ноябрь 2023'!$D$76:$D$1127,$B170,'ноябрь 2023'!$J$76:$J$1127,U$1)</f>
        <v>0</v>
      </c>
      <c r="V170" s="207">
        <f>SUMIFS('ноябрь 2023'!$G$76:$G$1127,'ноябрь 2023'!$D$76:$D$1127,$B170,'ноябрь 2023'!$J$76:$J$1127,V$1)</f>
        <v>0</v>
      </c>
      <c r="W170" s="207">
        <f>SUMIFS('ноябрь 2023'!$G$76:$G$1127,'ноябрь 2023'!$D$76:$D$1127,$B170,'ноябрь 2023'!$J$76:$J$1127,W$1)</f>
        <v>0</v>
      </c>
      <c r="X170" s="207">
        <f>SUMIFS('ноябрь 2023'!$G$76:$G$1127,'ноябрь 2023'!$D$76:$D$1127,$B170,'ноябрь 2023'!$J$76:$J$1127,X$1)</f>
        <v>0</v>
      </c>
      <c r="Y170" s="207">
        <f>SUMIFS('ноябрь 2023'!$G$76:$G$1127,'ноябрь 2023'!$D$76:$D$1127,$B170,'ноябрь 2023'!$J$76:$J$1127,Y$1)</f>
        <v>0</v>
      </c>
      <c r="Z170" s="207">
        <f>SUMIFS('ноябрь 2023'!$G$76:$G$1127,'ноябрь 2023'!$D$76:$D$1127,$B170,'ноябрь 2023'!$J$76:$J$1127,Z$1)</f>
        <v>0</v>
      </c>
      <c r="AA170" s="207">
        <f>SUMIFS('ноябрь 2023'!$G$76:$G$1127,'ноябрь 2023'!$D$76:$D$1127,$B170,'ноябрь 2023'!$J$76:$J$1127,AA$1)</f>
        <v>0</v>
      </c>
      <c r="AB170" s="207">
        <f>SUMIFS('ноябрь 2023'!$G$76:$G$1127,'ноябрь 2023'!$D$76:$D$1127,$B170,'ноябрь 2023'!$J$76:$J$1127,AB$1)</f>
        <v>0</v>
      </c>
      <c r="AC170" s="207">
        <f>SUMIFS('ноябрь 2023'!$G$76:$G$1127,'ноябрь 2023'!$D$76:$D$1127,$B170,'ноябрь 2023'!$J$76:$J$1127,AC$1)</f>
        <v>0</v>
      </c>
      <c r="AD170" s="207">
        <f>SUMIFS('ноябрь 2023'!$G$76:$G$1127,'ноябрь 2023'!$D$76:$D$1127,$B170,'ноябрь 2023'!$J$76:$J$1127,AD$1)</f>
        <v>0</v>
      </c>
      <c r="AE170" s="207">
        <f>SUMIFS('ноябрь 2023'!$G$76:$G$1127,'ноябрь 2023'!$D$76:$D$1127,$B170,'ноябрь 2023'!$J$76:$J$1127,AE$1)</f>
        <v>0</v>
      </c>
      <c r="AF170" s="207">
        <f>SUMIFS('ноябрь 2023'!$G$76:$G$1127,'ноябрь 2023'!$D$76:$D$1127,$B170,'ноябрь 2023'!$J$76:$J$1127,AF$1)</f>
        <v>0</v>
      </c>
      <c r="AG170" s="207">
        <f>SUMIFS('ноябрь 2023'!$G$76:$G$1127,'ноябрь 2023'!$D$76:$D$1127,$B170,'ноябрь 2023'!$J$76:$J$1127,AG$1)</f>
        <v>0</v>
      </c>
      <c r="AH170" s="207">
        <f>SUMIFS('ноябрь 2023'!$G$76:$G$1127,'ноябрь 2023'!$D$76:$D$1127,$B170,'ноябрь 2023'!$J$76:$J$1127,AH$1)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SUMIFS('ноябрь 2023'!$G$76:$G$1127,'ноябрь 2023'!$D$76:$D$1127,$B171,'ноябрь 2023'!$J$76:$J$1127,D$1)</f>
        <v>0</v>
      </c>
      <c r="E171" s="207">
        <f>SUMIFS('ноябрь 2023'!$G$76:$G$1127,'ноябрь 2023'!$D$76:$D$1127,$B171,'ноябрь 2023'!$J$76:$J$1127,E$1)</f>
        <v>0</v>
      </c>
      <c r="F171" s="207">
        <f>SUMIFS('ноябрь 2023'!$G$76:$G$1127,'ноябрь 2023'!$D$76:$D$1127,$B171,'ноябрь 2023'!$J$76:$J$1127,F$1)</f>
        <v>0</v>
      </c>
      <c r="G171" s="207">
        <f>SUMIFS('ноябрь 2023'!$G$76:$G$1127,'ноябрь 2023'!$D$76:$D$1127,$B171,'ноябрь 2023'!$J$76:$J$1127,G$1)</f>
        <v>0</v>
      </c>
      <c r="H171" s="207">
        <f>SUMIFS('ноябрь 2023'!$G$76:$G$1127,'ноябрь 2023'!$D$76:$D$1127,$B171,'ноябрь 2023'!$J$76:$J$1127,H$1)</f>
        <v>0</v>
      </c>
      <c r="I171" s="207">
        <f>SUMIFS('ноябрь 2023'!$G$76:$G$1127,'ноябрь 2023'!$D$76:$D$1127,$B171,'ноябрь 2023'!$J$76:$J$1127,I$1)</f>
        <v>0</v>
      </c>
      <c r="J171" s="207">
        <f>SUMIFS('ноябрь 2023'!$G$76:$G$1127,'ноябрь 2023'!$D$76:$D$1127,$B171,'ноябрь 2023'!$J$76:$J$1127,J$1)</f>
        <v>0</v>
      </c>
      <c r="K171" s="207">
        <f>SUMIFS('ноябрь 2023'!$G$76:$G$1127,'ноябрь 2023'!$D$76:$D$1127,$B171,'ноябрь 2023'!$J$76:$J$1127,K$1)</f>
        <v>0</v>
      </c>
      <c r="L171" s="207">
        <f>SUMIFS('ноябрь 2023'!$G$76:$G$1127,'ноябрь 2023'!$D$76:$D$1127,$B171,'ноябрь 2023'!$J$76:$J$1127,L$1)</f>
        <v>0</v>
      </c>
      <c r="M171" s="207">
        <f>SUMIFS('ноябрь 2023'!$G$76:$G$1127,'ноябрь 2023'!$D$76:$D$1127,$B171,'ноябрь 2023'!$J$76:$J$1127,M$1)</f>
        <v>0</v>
      </c>
      <c r="N171" s="207">
        <f>SUMIFS('ноябрь 2023'!$G$76:$G$1127,'ноябрь 2023'!$D$76:$D$1127,$B171,'ноябрь 2023'!$J$76:$J$1127,N$1)</f>
        <v>0</v>
      </c>
      <c r="O171" s="207">
        <f>SUMIFS('ноябрь 2023'!$G$76:$G$1127,'ноябрь 2023'!$D$76:$D$1127,$B171,'ноябрь 2023'!$J$76:$J$1127,O$1)</f>
        <v>0</v>
      </c>
      <c r="P171" s="207">
        <f>SUMIFS('ноябрь 2023'!$G$76:$G$1127,'ноябрь 2023'!$D$76:$D$1127,$B171,'ноябрь 2023'!$J$76:$J$1127,P$1)</f>
        <v>0</v>
      </c>
      <c r="Q171" s="207">
        <f>SUMIFS('ноябрь 2023'!$G$76:$G$1127,'ноябрь 2023'!$D$76:$D$1127,$B171,'ноябрь 2023'!$J$76:$J$1127,Q$1)</f>
        <v>0</v>
      </c>
      <c r="R171" s="207">
        <f>SUMIFS('ноябрь 2023'!$G$76:$G$1127,'ноябрь 2023'!$D$76:$D$1127,$B171,'ноябрь 2023'!$J$76:$J$1127,R$1)</f>
        <v>0</v>
      </c>
      <c r="S171" s="207">
        <f>SUMIFS('ноябрь 2023'!$G$76:$G$1127,'ноябрь 2023'!$D$76:$D$1127,$B171,'ноябрь 2023'!$J$76:$J$1127,S$1)</f>
        <v>0</v>
      </c>
      <c r="T171" s="207">
        <f>SUMIFS('ноябрь 2023'!$G$76:$G$1127,'ноябрь 2023'!$D$76:$D$1127,$B171,'ноябрь 2023'!$J$76:$J$1127,T$1)</f>
        <v>0</v>
      </c>
      <c r="U171" s="207">
        <f>SUMIFS('ноябрь 2023'!$G$76:$G$1127,'ноябрь 2023'!$D$76:$D$1127,$B171,'ноябрь 2023'!$J$76:$J$1127,U$1)</f>
        <v>0</v>
      </c>
      <c r="V171" s="207">
        <f>SUMIFS('ноябрь 2023'!$G$76:$G$1127,'ноябрь 2023'!$D$76:$D$1127,$B171,'ноябрь 2023'!$J$76:$J$1127,V$1)</f>
        <v>0</v>
      </c>
      <c r="W171" s="207">
        <f>SUMIFS('ноябрь 2023'!$G$76:$G$1127,'ноябрь 2023'!$D$76:$D$1127,$B171,'ноябрь 2023'!$J$76:$J$1127,W$1)</f>
        <v>0</v>
      </c>
      <c r="X171" s="207">
        <f>SUMIFS('ноябрь 2023'!$G$76:$G$1127,'ноябрь 2023'!$D$76:$D$1127,$B171,'ноябрь 2023'!$J$76:$J$1127,X$1)</f>
        <v>0</v>
      </c>
      <c r="Y171" s="207">
        <f>SUMIFS('ноябрь 2023'!$G$76:$G$1127,'ноябрь 2023'!$D$76:$D$1127,$B171,'ноябрь 2023'!$J$76:$J$1127,Y$1)</f>
        <v>0</v>
      </c>
      <c r="Z171" s="207">
        <f>SUMIFS('ноябрь 2023'!$G$76:$G$1127,'ноябрь 2023'!$D$76:$D$1127,$B171,'ноябрь 2023'!$J$76:$J$1127,Z$1)</f>
        <v>0</v>
      </c>
      <c r="AA171" s="207">
        <f>SUMIFS('ноябрь 2023'!$G$76:$G$1127,'ноябрь 2023'!$D$76:$D$1127,$B171,'ноябрь 2023'!$J$76:$J$1127,AA$1)</f>
        <v>0</v>
      </c>
      <c r="AB171" s="207">
        <f>SUMIFS('ноябрь 2023'!$G$76:$G$1127,'ноябрь 2023'!$D$76:$D$1127,$B171,'ноябрь 2023'!$J$76:$J$1127,AB$1)</f>
        <v>0</v>
      </c>
      <c r="AC171" s="207">
        <f>SUMIFS('ноябрь 2023'!$G$76:$G$1127,'ноябрь 2023'!$D$76:$D$1127,$B171,'ноябрь 2023'!$J$76:$J$1127,AC$1)</f>
        <v>0</v>
      </c>
      <c r="AD171" s="207">
        <f>SUMIFS('ноябрь 2023'!$G$76:$G$1127,'ноябрь 2023'!$D$76:$D$1127,$B171,'ноябрь 2023'!$J$76:$J$1127,AD$1)</f>
        <v>0</v>
      </c>
      <c r="AE171" s="207">
        <f>SUMIFS('ноябрь 2023'!$G$76:$G$1127,'ноябрь 2023'!$D$76:$D$1127,$B171,'ноябрь 2023'!$J$76:$J$1127,AE$1)</f>
        <v>0</v>
      </c>
      <c r="AF171" s="207">
        <f>SUMIFS('ноябрь 2023'!$G$76:$G$1127,'ноябрь 2023'!$D$76:$D$1127,$B171,'ноябрь 2023'!$J$76:$J$1127,AF$1)</f>
        <v>0</v>
      </c>
      <c r="AG171" s="207">
        <f>SUMIFS('ноябрь 2023'!$G$76:$G$1127,'ноябрь 2023'!$D$76:$D$1127,$B171,'ноябрь 2023'!$J$76:$J$1127,AG$1)</f>
        <v>0</v>
      </c>
      <c r="AH171" s="207">
        <f>SUMIFS('ноябрь 2023'!$G$76:$G$1127,'ноябрь 2023'!$D$76:$D$1127,$B171,'ноябрь 2023'!$J$76:$J$1127,AH$1)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SUMIFS('ноябрь 2023'!$G$76:$G$1127,'ноябрь 2023'!$D$76:$D$1127,$B172,'ноябрь 2023'!$J$76:$J$1127,D$1)</f>
        <v>0</v>
      </c>
      <c r="E172" s="207">
        <f>SUMIFS('ноябрь 2023'!$G$76:$G$1127,'ноябрь 2023'!$D$76:$D$1127,$B172,'ноябрь 2023'!$J$76:$J$1127,E$1)</f>
        <v>0</v>
      </c>
      <c r="F172" s="207">
        <f>SUMIFS('ноябрь 2023'!$G$76:$G$1127,'ноябрь 2023'!$D$76:$D$1127,$B172,'ноябрь 2023'!$J$76:$J$1127,F$1)</f>
        <v>0</v>
      </c>
      <c r="G172" s="207">
        <f>SUMIFS('ноябрь 2023'!$G$76:$G$1127,'ноябрь 2023'!$D$76:$D$1127,$B172,'ноябрь 2023'!$J$76:$J$1127,G$1)</f>
        <v>0</v>
      </c>
      <c r="H172" s="207">
        <f>SUMIFS('ноябрь 2023'!$G$76:$G$1127,'ноябрь 2023'!$D$76:$D$1127,$B172,'ноябрь 2023'!$J$76:$J$1127,H$1)</f>
        <v>0</v>
      </c>
      <c r="I172" s="207">
        <f>SUMIFS('ноябрь 2023'!$G$76:$G$1127,'ноябрь 2023'!$D$76:$D$1127,$B172,'ноябрь 2023'!$J$76:$J$1127,I$1)</f>
        <v>0</v>
      </c>
      <c r="J172" s="207">
        <f>SUMIFS('ноябрь 2023'!$G$76:$G$1127,'ноябрь 2023'!$D$76:$D$1127,$B172,'ноябрь 2023'!$J$76:$J$1127,J$1)</f>
        <v>0</v>
      </c>
      <c r="K172" s="207">
        <f>SUMIFS('ноябрь 2023'!$G$76:$G$1127,'ноябрь 2023'!$D$76:$D$1127,$B172,'ноябрь 2023'!$J$76:$J$1127,K$1)</f>
        <v>0</v>
      </c>
      <c r="L172" s="207">
        <f>SUMIFS('ноябрь 2023'!$G$76:$G$1127,'ноябрь 2023'!$D$76:$D$1127,$B172,'ноябрь 2023'!$J$76:$J$1127,L$1)</f>
        <v>0</v>
      </c>
      <c r="M172" s="207">
        <f>SUMIFS('ноябрь 2023'!$G$76:$G$1127,'ноябрь 2023'!$D$76:$D$1127,$B172,'ноябрь 2023'!$J$76:$J$1127,M$1)</f>
        <v>0</v>
      </c>
      <c r="N172" s="207">
        <f>SUMIFS('ноябрь 2023'!$G$76:$G$1127,'ноябрь 2023'!$D$76:$D$1127,$B172,'ноябрь 2023'!$J$76:$J$1127,N$1)</f>
        <v>0</v>
      </c>
      <c r="O172" s="207">
        <f>SUMIFS('ноябрь 2023'!$G$76:$G$1127,'ноябрь 2023'!$D$76:$D$1127,$B172,'ноябрь 2023'!$J$76:$J$1127,O$1)</f>
        <v>0</v>
      </c>
      <c r="P172" s="207">
        <f>SUMIFS('ноябрь 2023'!$G$76:$G$1127,'ноябрь 2023'!$D$76:$D$1127,$B172,'ноябрь 2023'!$J$76:$J$1127,P$1)</f>
        <v>0</v>
      </c>
      <c r="Q172" s="207">
        <f>SUMIFS('ноябрь 2023'!$G$76:$G$1127,'ноябрь 2023'!$D$76:$D$1127,$B172,'ноябрь 2023'!$J$76:$J$1127,Q$1)</f>
        <v>0</v>
      </c>
      <c r="R172" s="207">
        <f>SUMIFS('ноябрь 2023'!$G$76:$G$1127,'ноябрь 2023'!$D$76:$D$1127,$B172,'ноябрь 2023'!$J$76:$J$1127,R$1)</f>
        <v>0</v>
      </c>
      <c r="S172" s="207">
        <f>SUMIFS('ноябрь 2023'!$G$76:$G$1127,'ноябрь 2023'!$D$76:$D$1127,$B172,'ноябрь 2023'!$J$76:$J$1127,S$1)</f>
        <v>0</v>
      </c>
      <c r="T172" s="207">
        <f>SUMIFS('ноябрь 2023'!$G$76:$G$1127,'ноябрь 2023'!$D$76:$D$1127,$B172,'ноябрь 2023'!$J$76:$J$1127,T$1)</f>
        <v>0</v>
      </c>
      <c r="U172" s="207">
        <f>SUMIFS('ноябрь 2023'!$G$76:$G$1127,'ноябрь 2023'!$D$76:$D$1127,$B172,'ноябрь 2023'!$J$76:$J$1127,U$1)</f>
        <v>0</v>
      </c>
      <c r="V172" s="207">
        <f>SUMIFS('ноябрь 2023'!$G$76:$G$1127,'ноябрь 2023'!$D$76:$D$1127,$B172,'ноябрь 2023'!$J$76:$J$1127,V$1)</f>
        <v>0</v>
      </c>
      <c r="W172" s="207">
        <f>SUMIFS('ноябрь 2023'!$G$76:$G$1127,'ноябрь 2023'!$D$76:$D$1127,$B172,'ноябрь 2023'!$J$76:$J$1127,W$1)</f>
        <v>0</v>
      </c>
      <c r="X172" s="207">
        <f>SUMIFS('ноябрь 2023'!$G$76:$G$1127,'ноябрь 2023'!$D$76:$D$1127,$B172,'ноябрь 2023'!$J$76:$J$1127,X$1)</f>
        <v>0</v>
      </c>
      <c r="Y172" s="207">
        <f>SUMIFS('ноябрь 2023'!$G$76:$G$1127,'ноябрь 2023'!$D$76:$D$1127,$B172,'ноябрь 2023'!$J$76:$J$1127,Y$1)</f>
        <v>0</v>
      </c>
      <c r="Z172" s="207">
        <f>SUMIFS('ноябрь 2023'!$G$76:$G$1127,'ноябрь 2023'!$D$76:$D$1127,$B172,'ноябрь 2023'!$J$76:$J$1127,Z$1)</f>
        <v>0</v>
      </c>
      <c r="AA172" s="207">
        <f>SUMIFS('ноябрь 2023'!$G$76:$G$1127,'ноябрь 2023'!$D$76:$D$1127,$B172,'ноябрь 2023'!$J$76:$J$1127,AA$1)</f>
        <v>0</v>
      </c>
      <c r="AB172" s="207">
        <f>SUMIFS('ноябрь 2023'!$G$76:$G$1127,'ноябрь 2023'!$D$76:$D$1127,$B172,'ноябрь 2023'!$J$76:$J$1127,AB$1)</f>
        <v>0</v>
      </c>
      <c r="AC172" s="207">
        <f>SUMIFS('ноябрь 2023'!$G$76:$G$1127,'ноябрь 2023'!$D$76:$D$1127,$B172,'ноябрь 2023'!$J$76:$J$1127,AC$1)</f>
        <v>0</v>
      </c>
      <c r="AD172" s="207">
        <f>SUMIFS('ноябрь 2023'!$G$76:$G$1127,'ноябрь 2023'!$D$76:$D$1127,$B172,'ноябрь 2023'!$J$76:$J$1127,AD$1)</f>
        <v>0</v>
      </c>
      <c r="AE172" s="207">
        <f>SUMIFS('ноябрь 2023'!$G$76:$G$1127,'ноябрь 2023'!$D$76:$D$1127,$B172,'ноябрь 2023'!$J$76:$J$1127,AE$1)</f>
        <v>0</v>
      </c>
      <c r="AF172" s="207">
        <f>SUMIFS('ноябрь 2023'!$G$76:$G$1127,'ноябрь 2023'!$D$76:$D$1127,$B172,'ноябрь 2023'!$J$76:$J$1127,AF$1)</f>
        <v>0</v>
      </c>
      <c r="AG172" s="207">
        <f>SUMIFS('ноябрь 2023'!$G$76:$G$1127,'ноябрь 2023'!$D$76:$D$1127,$B172,'ноябрь 2023'!$J$76:$J$1127,AG$1)</f>
        <v>0</v>
      </c>
      <c r="AH172" s="207">
        <f>SUMIFS('ноябрь 2023'!$G$76:$G$1127,'ноябрь 2023'!$D$76:$D$1127,$B172,'ноябрь 2023'!$J$76:$J$1127,AH$1)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SUMIFS('ноябрь 2023'!$G$76:$G$1127,'ноябрь 2023'!$D$76:$D$1127,$B173,'ноябрь 2023'!$J$76:$J$1127,D$1)</f>
        <v>0</v>
      </c>
      <c r="E173" s="207">
        <f>SUMIFS('ноябрь 2023'!$G$76:$G$1127,'ноябрь 2023'!$D$76:$D$1127,$B173,'ноябрь 2023'!$J$76:$J$1127,E$1)</f>
        <v>0</v>
      </c>
      <c r="F173" s="207">
        <f>SUMIFS('ноябрь 2023'!$G$76:$G$1127,'ноябрь 2023'!$D$76:$D$1127,$B173,'ноябрь 2023'!$J$76:$J$1127,F$1)</f>
        <v>0</v>
      </c>
      <c r="G173" s="207">
        <f>SUMIFS('ноябрь 2023'!$G$76:$G$1127,'ноябрь 2023'!$D$76:$D$1127,$B173,'ноябрь 2023'!$J$76:$J$1127,G$1)</f>
        <v>0</v>
      </c>
      <c r="H173" s="207">
        <f>SUMIFS('ноябрь 2023'!$G$76:$G$1127,'ноябрь 2023'!$D$76:$D$1127,$B173,'ноябрь 2023'!$J$76:$J$1127,H$1)</f>
        <v>0</v>
      </c>
      <c r="I173" s="207">
        <f>SUMIFS('ноябрь 2023'!$G$76:$G$1127,'ноябрь 2023'!$D$76:$D$1127,$B173,'ноябрь 2023'!$J$76:$J$1127,I$1)</f>
        <v>0</v>
      </c>
      <c r="J173" s="207">
        <f>SUMIFS('ноябрь 2023'!$G$76:$G$1127,'ноябрь 2023'!$D$76:$D$1127,$B173,'ноябрь 2023'!$J$76:$J$1127,J$1)</f>
        <v>0</v>
      </c>
      <c r="K173" s="207">
        <f>SUMIFS('ноябрь 2023'!$G$76:$G$1127,'ноябрь 2023'!$D$76:$D$1127,$B173,'ноябрь 2023'!$J$76:$J$1127,K$1)</f>
        <v>0</v>
      </c>
      <c r="L173" s="207">
        <f>SUMIFS('ноябрь 2023'!$G$76:$G$1127,'ноябрь 2023'!$D$76:$D$1127,$B173,'ноябрь 2023'!$J$76:$J$1127,L$1)</f>
        <v>0</v>
      </c>
      <c r="M173" s="207">
        <f>SUMIFS('ноябрь 2023'!$G$76:$G$1127,'ноябрь 2023'!$D$76:$D$1127,$B173,'ноябрь 2023'!$J$76:$J$1127,M$1)</f>
        <v>0</v>
      </c>
      <c r="N173" s="207">
        <f>SUMIFS('ноябрь 2023'!$G$76:$G$1127,'ноябрь 2023'!$D$76:$D$1127,$B173,'ноябрь 2023'!$J$76:$J$1127,N$1)</f>
        <v>0</v>
      </c>
      <c r="O173" s="207">
        <f>SUMIFS('ноябрь 2023'!$G$76:$G$1127,'ноябрь 2023'!$D$76:$D$1127,$B173,'ноябрь 2023'!$J$76:$J$1127,O$1)</f>
        <v>0</v>
      </c>
      <c r="P173" s="207">
        <f>SUMIFS('ноябрь 2023'!$G$76:$G$1127,'ноябрь 2023'!$D$76:$D$1127,$B173,'ноябрь 2023'!$J$76:$J$1127,P$1)</f>
        <v>0</v>
      </c>
      <c r="Q173" s="207">
        <f>SUMIFS('ноябрь 2023'!$G$76:$G$1127,'ноябрь 2023'!$D$76:$D$1127,$B173,'ноябрь 2023'!$J$76:$J$1127,Q$1)</f>
        <v>0</v>
      </c>
      <c r="R173" s="207">
        <f>SUMIFS('ноябрь 2023'!$G$76:$G$1127,'ноябрь 2023'!$D$76:$D$1127,$B173,'ноябрь 2023'!$J$76:$J$1127,R$1)</f>
        <v>0</v>
      </c>
      <c r="S173" s="207">
        <f>SUMIFS('ноябрь 2023'!$G$76:$G$1127,'ноябрь 2023'!$D$76:$D$1127,$B173,'ноябрь 2023'!$J$76:$J$1127,S$1)</f>
        <v>0</v>
      </c>
      <c r="T173" s="207">
        <f>SUMIFS('ноябрь 2023'!$G$76:$G$1127,'ноябрь 2023'!$D$76:$D$1127,$B173,'ноябрь 2023'!$J$76:$J$1127,T$1)</f>
        <v>0</v>
      </c>
      <c r="U173" s="207">
        <f>SUMIFS('ноябрь 2023'!$G$76:$G$1127,'ноябрь 2023'!$D$76:$D$1127,$B173,'ноябрь 2023'!$J$76:$J$1127,U$1)</f>
        <v>0</v>
      </c>
      <c r="V173" s="207">
        <f>SUMIFS('ноябрь 2023'!$G$76:$G$1127,'ноябрь 2023'!$D$76:$D$1127,$B173,'ноябрь 2023'!$J$76:$J$1127,V$1)</f>
        <v>0</v>
      </c>
      <c r="W173" s="207">
        <f>SUMIFS('ноябрь 2023'!$G$76:$G$1127,'ноябрь 2023'!$D$76:$D$1127,$B173,'ноябрь 2023'!$J$76:$J$1127,W$1)</f>
        <v>0</v>
      </c>
      <c r="X173" s="207">
        <f>SUMIFS('ноябрь 2023'!$G$76:$G$1127,'ноябрь 2023'!$D$76:$D$1127,$B173,'ноябрь 2023'!$J$76:$J$1127,X$1)</f>
        <v>0</v>
      </c>
      <c r="Y173" s="207">
        <f>SUMIFS('ноябрь 2023'!$G$76:$G$1127,'ноябрь 2023'!$D$76:$D$1127,$B173,'ноябрь 2023'!$J$76:$J$1127,Y$1)</f>
        <v>0</v>
      </c>
      <c r="Z173" s="207">
        <f>SUMIFS('ноябрь 2023'!$G$76:$G$1127,'ноябрь 2023'!$D$76:$D$1127,$B173,'ноябрь 2023'!$J$76:$J$1127,Z$1)</f>
        <v>0</v>
      </c>
      <c r="AA173" s="207">
        <f>SUMIFS('ноябрь 2023'!$G$76:$G$1127,'ноябрь 2023'!$D$76:$D$1127,$B173,'ноябрь 2023'!$J$76:$J$1127,AA$1)</f>
        <v>0</v>
      </c>
      <c r="AB173" s="207">
        <f>SUMIFS('ноябрь 2023'!$G$76:$G$1127,'ноябрь 2023'!$D$76:$D$1127,$B173,'ноябрь 2023'!$J$76:$J$1127,AB$1)</f>
        <v>0</v>
      </c>
      <c r="AC173" s="207">
        <f>SUMIFS('ноябрь 2023'!$G$76:$G$1127,'ноябрь 2023'!$D$76:$D$1127,$B173,'ноябрь 2023'!$J$76:$J$1127,AC$1)</f>
        <v>0</v>
      </c>
      <c r="AD173" s="207">
        <f>SUMIFS('ноябрь 2023'!$G$76:$G$1127,'ноябрь 2023'!$D$76:$D$1127,$B173,'ноябрь 2023'!$J$76:$J$1127,AD$1)</f>
        <v>0</v>
      </c>
      <c r="AE173" s="207">
        <f>SUMIFS('ноябрь 2023'!$G$76:$G$1127,'ноябрь 2023'!$D$76:$D$1127,$B173,'ноябрь 2023'!$J$76:$J$1127,AE$1)</f>
        <v>0</v>
      </c>
      <c r="AF173" s="207">
        <f>SUMIFS('ноябрь 2023'!$G$76:$G$1127,'ноябрь 2023'!$D$76:$D$1127,$B173,'ноябрь 2023'!$J$76:$J$1127,AF$1)</f>
        <v>0</v>
      </c>
      <c r="AG173" s="207">
        <f>SUMIFS('ноябрь 2023'!$G$76:$G$1127,'ноябрь 2023'!$D$76:$D$1127,$B173,'ноябрь 2023'!$J$76:$J$1127,AG$1)</f>
        <v>0</v>
      </c>
      <c r="AH173" s="207">
        <f>SUMIFS('ноябрь 2023'!$G$76:$G$1127,'ноябрь 2023'!$D$76:$D$1127,$B173,'ноябрь 2023'!$J$76:$J$1127,AH$1)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SUMIFS('ноябрь 2023'!$G$76:$G$1127,'ноябрь 2023'!$D$76:$D$1127,$B174,'ноябрь 2023'!$J$76:$J$1127,D$1)</f>
        <v>0</v>
      </c>
      <c r="E174" s="207">
        <f>SUMIFS('ноябрь 2023'!$G$76:$G$1127,'ноябрь 2023'!$D$76:$D$1127,$B174,'ноябрь 2023'!$J$76:$J$1127,E$1)</f>
        <v>0</v>
      </c>
      <c r="F174" s="207">
        <f>SUMIFS('ноябрь 2023'!$G$76:$G$1127,'ноябрь 2023'!$D$76:$D$1127,$B174,'ноябрь 2023'!$J$76:$J$1127,F$1)</f>
        <v>0</v>
      </c>
      <c r="G174" s="207">
        <f>SUMIFS('ноябрь 2023'!$G$76:$G$1127,'ноябрь 2023'!$D$76:$D$1127,$B174,'ноябрь 2023'!$J$76:$J$1127,G$1)</f>
        <v>0</v>
      </c>
      <c r="H174" s="207">
        <f>SUMIFS('ноябрь 2023'!$G$76:$G$1127,'ноябрь 2023'!$D$76:$D$1127,$B174,'ноябрь 2023'!$J$76:$J$1127,H$1)</f>
        <v>0</v>
      </c>
      <c r="I174" s="207">
        <f>SUMIFS('ноябрь 2023'!$G$76:$G$1127,'ноябрь 2023'!$D$76:$D$1127,$B174,'ноябрь 2023'!$J$76:$J$1127,I$1)</f>
        <v>0</v>
      </c>
      <c r="J174" s="207">
        <f>SUMIFS('ноябрь 2023'!$G$76:$G$1127,'ноябрь 2023'!$D$76:$D$1127,$B174,'ноябрь 2023'!$J$76:$J$1127,J$1)</f>
        <v>0</v>
      </c>
      <c r="K174" s="207">
        <f>SUMIFS('ноябрь 2023'!$G$76:$G$1127,'ноябрь 2023'!$D$76:$D$1127,$B174,'ноябрь 2023'!$J$76:$J$1127,K$1)</f>
        <v>0</v>
      </c>
      <c r="L174" s="207">
        <f>SUMIFS('ноябрь 2023'!$G$76:$G$1127,'ноябрь 2023'!$D$76:$D$1127,$B174,'ноябрь 2023'!$J$76:$J$1127,L$1)</f>
        <v>0</v>
      </c>
      <c r="M174" s="207">
        <f>SUMIFS('ноябрь 2023'!$G$76:$G$1127,'ноябрь 2023'!$D$76:$D$1127,$B174,'ноябрь 2023'!$J$76:$J$1127,M$1)</f>
        <v>0</v>
      </c>
      <c r="N174" s="207">
        <f>SUMIFS('ноябрь 2023'!$G$76:$G$1127,'ноябрь 2023'!$D$76:$D$1127,$B174,'ноябрь 2023'!$J$76:$J$1127,N$1)</f>
        <v>0</v>
      </c>
      <c r="O174" s="207">
        <f>SUMIFS('ноябрь 2023'!$G$76:$G$1127,'ноябрь 2023'!$D$76:$D$1127,$B174,'ноябрь 2023'!$J$76:$J$1127,O$1)</f>
        <v>0</v>
      </c>
      <c r="P174" s="207">
        <f>SUMIFS('ноябрь 2023'!$G$76:$G$1127,'ноябрь 2023'!$D$76:$D$1127,$B174,'ноябрь 2023'!$J$76:$J$1127,P$1)</f>
        <v>0</v>
      </c>
      <c r="Q174" s="207">
        <f>SUMIFS('ноябрь 2023'!$G$76:$G$1127,'ноябрь 2023'!$D$76:$D$1127,$B174,'ноябрь 2023'!$J$76:$J$1127,Q$1)</f>
        <v>0</v>
      </c>
      <c r="R174" s="207">
        <f>SUMIFS('ноябрь 2023'!$G$76:$G$1127,'ноябрь 2023'!$D$76:$D$1127,$B174,'ноябрь 2023'!$J$76:$J$1127,R$1)</f>
        <v>0</v>
      </c>
      <c r="S174" s="207">
        <f>SUMIFS('ноябрь 2023'!$G$76:$G$1127,'ноябрь 2023'!$D$76:$D$1127,$B174,'ноябрь 2023'!$J$76:$J$1127,S$1)</f>
        <v>0</v>
      </c>
      <c r="T174" s="207">
        <f>SUMIFS('ноябрь 2023'!$G$76:$G$1127,'ноябрь 2023'!$D$76:$D$1127,$B174,'ноябрь 2023'!$J$76:$J$1127,T$1)</f>
        <v>0</v>
      </c>
      <c r="U174" s="207">
        <f>SUMIFS('ноябрь 2023'!$G$76:$G$1127,'ноябрь 2023'!$D$76:$D$1127,$B174,'ноябрь 2023'!$J$76:$J$1127,U$1)</f>
        <v>0</v>
      </c>
      <c r="V174" s="207">
        <f>SUMIFS('ноябрь 2023'!$G$76:$G$1127,'ноябрь 2023'!$D$76:$D$1127,$B174,'ноябрь 2023'!$J$76:$J$1127,V$1)</f>
        <v>0</v>
      </c>
      <c r="W174" s="207">
        <f>SUMIFS('ноябрь 2023'!$G$76:$G$1127,'ноябрь 2023'!$D$76:$D$1127,$B174,'ноябрь 2023'!$J$76:$J$1127,W$1)</f>
        <v>0</v>
      </c>
      <c r="X174" s="207">
        <f>SUMIFS('ноябрь 2023'!$G$76:$G$1127,'ноябрь 2023'!$D$76:$D$1127,$B174,'ноябрь 2023'!$J$76:$J$1127,X$1)</f>
        <v>0</v>
      </c>
      <c r="Y174" s="207">
        <f>SUMIFS('ноябрь 2023'!$G$76:$G$1127,'ноябрь 2023'!$D$76:$D$1127,$B174,'ноябрь 2023'!$J$76:$J$1127,Y$1)</f>
        <v>0</v>
      </c>
      <c r="Z174" s="207">
        <f>SUMIFS('ноябрь 2023'!$G$76:$G$1127,'ноябрь 2023'!$D$76:$D$1127,$B174,'ноябрь 2023'!$J$76:$J$1127,Z$1)</f>
        <v>0</v>
      </c>
      <c r="AA174" s="207">
        <f>SUMIFS('ноябрь 2023'!$G$76:$G$1127,'ноябрь 2023'!$D$76:$D$1127,$B174,'ноябрь 2023'!$J$76:$J$1127,AA$1)</f>
        <v>0</v>
      </c>
      <c r="AB174" s="207">
        <f>SUMIFS('ноябрь 2023'!$G$76:$G$1127,'ноябрь 2023'!$D$76:$D$1127,$B174,'ноябрь 2023'!$J$76:$J$1127,AB$1)</f>
        <v>0</v>
      </c>
      <c r="AC174" s="207">
        <f>SUMIFS('ноябрь 2023'!$G$76:$G$1127,'ноябрь 2023'!$D$76:$D$1127,$B174,'ноябрь 2023'!$J$76:$J$1127,AC$1)</f>
        <v>0</v>
      </c>
      <c r="AD174" s="207">
        <f>SUMIFS('ноябрь 2023'!$G$76:$G$1127,'ноябрь 2023'!$D$76:$D$1127,$B174,'ноябрь 2023'!$J$76:$J$1127,AD$1)</f>
        <v>0</v>
      </c>
      <c r="AE174" s="207">
        <f>SUMIFS('ноябрь 2023'!$G$76:$G$1127,'ноябрь 2023'!$D$76:$D$1127,$B174,'ноябрь 2023'!$J$76:$J$1127,AE$1)</f>
        <v>0</v>
      </c>
      <c r="AF174" s="207">
        <f>SUMIFS('ноябрь 2023'!$G$76:$G$1127,'ноябрь 2023'!$D$76:$D$1127,$B174,'ноябрь 2023'!$J$76:$J$1127,AF$1)</f>
        <v>0</v>
      </c>
      <c r="AG174" s="207">
        <f>SUMIFS('ноябрь 2023'!$G$76:$G$1127,'ноябрь 2023'!$D$76:$D$1127,$B174,'ноябрь 2023'!$J$76:$J$1127,AG$1)</f>
        <v>0</v>
      </c>
      <c r="AH174" s="207">
        <f>SUMIFS('ноябрь 2023'!$G$76:$G$1127,'ноябрь 2023'!$D$76:$D$1127,$B174,'ноябрь 2023'!$J$76:$J$1127,AH$1)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SUMIFS('ноябрь 2023'!$G$76:$G$1127,'ноябрь 2023'!$D$76:$D$1127,$B175,'ноябрь 2023'!$J$76:$J$1127,D$1)</f>
        <v>0</v>
      </c>
      <c r="E175" s="207">
        <f>SUMIFS('ноябрь 2023'!$G$76:$G$1127,'ноябрь 2023'!$D$76:$D$1127,$B175,'ноябрь 2023'!$J$76:$J$1127,E$1)</f>
        <v>0</v>
      </c>
      <c r="F175" s="207">
        <f>SUMIFS('ноябрь 2023'!$G$76:$G$1127,'ноябрь 2023'!$D$76:$D$1127,$B175,'ноябрь 2023'!$J$76:$J$1127,F$1)</f>
        <v>0</v>
      </c>
      <c r="G175" s="207">
        <f>SUMIFS('ноябрь 2023'!$G$76:$G$1127,'ноябрь 2023'!$D$76:$D$1127,$B175,'ноябрь 2023'!$J$76:$J$1127,G$1)</f>
        <v>0</v>
      </c>
      <c r="H175" s="207">
        <f>SUMIFS('ноябрь 2023'!$G$76:$G$1127,'ноябрь 2023'!$D$76:$D$1127,$B175,'ноябрь 2023'!$J$76:$J$1127,H$1)</f>
        <v>0</v>
      </c>
      <c r="I175" s="207">
        <f>SUMIFS('ноябрь 2023'!$G$76:$G$1127,'ноябрь 2023'!$D$76:$D$1127,$B175,'ноябрь 2023'!$J$76:$J$1127,I$1)</f>
        <v>0</v>
      </c>
      <c r="J175" s="207">
        <f>SUMIFS('ноябрь 2023'!$G$76:$G$1127,'ноябрь 2023'!$D$76:$D$1127,$B175,'ноябрь 2023'!$J$76:$J$1127,J$1)</f>
        <v>0</v>
      </c>
      <c r="K175" s="207">
        <f>SUMIFS('ноябрь 2023'!$G$76:$G$1127,'ноябрь 2023'!$D$76:$D$1127,$B175,'ноябрь 2023'!$J$76:$J$1127,K$1)</f>
        <v>0</v>
      </c>
      <c r="L175" s="207">
        <f>SUMIFS('ноябрь 2023'!$G$76:$G$1127,'ноябрь 2023'!$D$76:$D$1127,$B175,'ноябрь 2023'!$J$76:$J$1127,L$1)</f>
        <v>0</v>
      </c>
      <c r="M175" s="207">
        <f>SUMIFS('ноябрь 2023'!$G$76:$G$1127,'ноябрь 2023'!$D$76:$D$1127,$B175,'ноябрь 2023'!$J$76:$J$1127,M$1)</f>
        <v>0</v>
      </c>
      <c r="N175" s="207">
        <f>SUMIFS('ноябрь 2023'!$G$76:$G$1127,'ноябрь 2023'!$D$76:$D$1127,$B175,'ноябрь 2023'!$J$76:$J$1127,N$1)</f>
        <v>0</v>
      </c>
      <c r="O175" s="207">
        <f>SUMIFS('ноябрь 2023'!$G$76:$G$1127,'ноябрь 2023'!$D$76:$D$1127,$B175,'ноябрь 2023'!$J$76:$J$1127,O$1)</f>
        <v>0</v>
      </c>
      <c r="P175" s="207">
        <f>SUMIFS('ноябрь 2023'!$G$76:$G$1127,'ноябрь 2023'!$D$76:$D$1127,$B175,'ноябрь 2023'!$J$76:$J$1127,P$1)</f>
        <v>0</v>
      </c>
      <c r="Q175" s="207">
        <f>SUMIFS('ноябрь 2023'!$G$76:$G$1127,'ноябрь 2023'!$D$76:$D$1127,$B175,'ноябрь 2023'!$J$76:$J$1127,Q$1)</f>
        <v>0</v>
      </c>
      <c r="R175" s="207">
        <f>SUMIFS('ноябрь 2023'!$G$76:$G$1127,'ноябрь 2023'!$D$76:$D$1127,$B175,'ноябрь 2023'!$J$76:$J$1127,R$1)</f>
        <v>0</v>
      </c>
      <c r="S175" s="207">
        <f>SUMIFS('ноябрь 2023'!$G$76:$G$1127,'ноябрь 2023'!$D$76:$D$1127,$B175,'ноябрь 2023'!$J$76:$J$1127,S$1)</f>
        <v>0</v>
      </c>
      <c r="T175" s="207">
        <f>SUMIFS('ноябрь 2023'!$G$76:$G$1127,'ноябрь 2023'!$D$76:$D$1127,$B175,'ноябрь 2023'!$J$76:$J$1127,T$1)</f>
        <v>0</v>
      </c>
      <c r="U175" s="207">
        <f>SUMIFS('ноябрь 2023'!$G$76:$G$1127,'ноябрь 2023'!$D$76:$D$1127,$B175,'ноябрь 2023'!$J$76:$J$1127,U$1)</f>
        <v>0</v>
      </c>
      <c r="V175" s="207">
        <f>SUMIFS('ноябрь 2023'!$G$76:$G$1127,'ноябрь 2023'!$D$76:$D$1127,$B175,'ноябрь 2023'!$J$76:$J$1127,V$1)</f>
        <v>0</v>
      </c>
      <c r="W175" s="207">
        <f>SUMIFS('ноябрь 2023'!$G$76:$G$1127,'ноябрь 2023'!$D$76:$D$1127,$B175,'ноябрь 2023'!$J$76:$J$1127,W$1)</f>
        <v>0</v>
      </c>
      <c r="X175" s="207">
        <f>SUMIFS('ноябрь 2023'!$G$76:$G$1127,'ноябрь 2023'!$D$76:$D$1127,$B175,'ноябрь 2023'!$J$76:$J$1127,X$1)</f>
        <v>0</v>
      </c>
      <c r="Y175" s="207">
        <f>SUMIFS('ноябрь 2023'!$G$76:$G$1127,'ноябрь 2023'!$D$76:$D$1127,$B175,'ноябрь 2023'!$J$76:$J$1127,Y$1)</f>
        <v>0</v>
      </c>
      <c r="Z175" s="207">
        <f>SUMIFS('ноябрь 2023'!$G$76:$G$1127,'ноябрь 2023'!$D$76:$D$1127,$B175,'ноябрь 2023'!$J$76:$J$1127,Z$1)</f>
        <v>0</v>
      </c>
      <c r="AA175" s="207">
        <f>SUMIFS('ноябрь 2023'!$G$76:$G$1127,'ноябрь 2023'!$D$76:$D$1127,$B175,'ноябрь 2023'!$J$76:$J$1127,AA$1)</f>
        <v>0</v>
      </c>
      <c r="AB175" s="207">
        <f>SUMIFS('ноябрь 2023'!$G$76:$G$1127,'ноябрь 2023'!$D$76:$D$1127,$B175,'ноябрь 2023'!$J$76:$J$1127,AB$1)</f>
        <v>0</v>
      </c>
      <c r="AC175" s="207">
        <f>SUMIFS('ноябрь 2023'!$G$76:$G$1127,'ноябрь 2023'!$D$76:$D$1127,$B175,'ноябрь 2023'!$J$76:$J$1127,AC$1)</f>
        <v>0</v>
      </c>
      <c r="AD175" s="207">
        <f>SUMIFS('ноябрь 2023'!$G$76:$G$1127,'ноябрь 2023'!$D$76:$D$1127,$B175,'ноябрь 2023'!$J$76:$J$1127,AD$1)</f>
        <v>0</v>
      </c>
      <c r="AE175" s="207">
        <f>SUMIFS('ноябрь 2023'!$G$76:$G$1127,'ноябрь 2023'!$D$76:$D$1127,$B175,'ноябрь 2023'!$J$76:$J$1127,AE$1)</f>
        <v>0</v>
      </c>
      <c r="AF175" s="207">
        <f>SUMIFS('ноябрь 2023'!$G$76:$G$1127,'ноябрь 2023'!$D$76:$D$1127,$B175,'ноябрь 2023'!$J$76:$J$1127,AF$1)</f>
        <v>0</v>
      </c>
      <c r="AG175" s="207">
        <f>SUMIFS('ноябрь 2023'!$G$76:$G$1127,'ноябрь 2023'!$D$76:$D$1127,$B175,'ноябрь 2023'!$J$76:$J$1127,AG$1)</f>
        <v>0</v>
      </c>
      <c r="AH175" s="207">
        <f>SUMIFS('ноябрь 2023'!$G$76:$G$1127,'ноябрь 2023'!$D$76:$D$1127,$B175,'ноябрь 2023'!$J$76:$J$1127,AH$1)</f>
        <v>0</v>
      </c>
      <c r="AI175" s="220">
        <f t="shared" si="4"/>
        <v>0</v>
      </c>
    </row>
    <row r="176" spans="2:35" ht="15.75" hidden="1" x14ac:dyDescent="0.25">
      <c r="B176" s="212"/>
      <c r="C176" s="211"/>
      <c r="D176" s="207">
        <f>SUMIFS('ноябрь 2023'!$G$76:$G$1127,'ноябрь 2023'!$D$76:$D$1127,$B176,'ноябрь 2023'!$J$76:$J$1127,D$1)</f>
        <v>0</v>
      </c>
      <c r="E176" s="207">
        <f>SUMIFS('ноябрь 2023'!$G$76:$G$1127,'ноябрь 2023'!$D$76:$D$1127,$B176,'ноябрь 2023'!$J$76:$J$1127,E$1)</f>
        <v>0</v>
      </c>
      <c r="F176" s="207">
        <f>SUMIFS('ноябрь 2023'!$G$76:$G$1127,'ноябрь 2023'!$D$76:$D$1127,$B176,'ноябрь 2023'!$J$76:$J$1127,F$1)</f>
        <v>0</v>
      </c>
      <c r="G176" s="207">
        <f>SUMIFS('ноябрь 2023'!$G$76:$G$1127,'ноябрь 2023'!$D$76:$D$1127,$B176,'ноябрь 2023'!$J$76:$J$1127,G$1)</f>
        <v>0</v>
      </c>
      <c r="H176" s="207">
        <f>SUMIFS('ноябрь 2023'!$G$76:$G$1127,'ноябрь 2023'!$D$76:$D$1127,$B176,'ноябрь 2023'!$J$76:$J$1127,H$1)</f>
        <v>0</v>
      </c>
      <c r="I176" s="207">
        <f>SUMIFS('ноябрь 2023'!$G$76:$G$1127,'ноябрь 2023'!$D$76:$D$1127,$B176,'ноябрь 2023'!$J$76:$J$1127,I$1)</f>
        <v>0</v>
      </c>
      <c r="J176" s="207">
        <f>SUMIFS('ноябрь 2023'!$G$76:$G$1127,'ноябрь 2023'!$D$76:$D$1127,$B176,'ноябрь 2023'!$J$76:$J$1127,J$1)</f>
        <v>0</v>
      </c>
      <c r="K176" s="207">
        <f>SUMIFS('ноябрь 2023'!$G$76:$G$1127,'ноябрь 2023'!$D$76:$D$1127,$B176,'ноябрь 2023'!$J$76:$J$1127,K$1)</f>
        <v>0</v>
      </c>
      <c r="L176" s="207">
        <f>SUMIFS('ноябрь 2023'!$G$76:$G$1127,'ноябрь 2023'!$D$76:$D$1127,$B176,'ноябрь 2023'!$J$76:$J$1127,L$1)</f>
        <v>0</v>
      </c>
      <c r="M176" s="207">
        <f>SUMIFS('ноябрь 2023'!$G$76:$G$1127,'ноябрь 2023'!$D$76:$D$1127,$B176,'ноябрь 2023'!$J$76:$J$1127,M$1)</f>
        <v>0</v>
      </c>
      <c r="N176" s="207">
        <f>SUMIFS('ноябрь 2023'!$G$76:$G$1127,'ноябрь 2023'!$D$76:$D$1127,$B176,'ноябрь 2023'!$J$76:$J$1127,N$1)</f>
        <v>0</v>
      </c>
      <c r="O176" s="207">
        <f>SUMIFS('ноябрь 2023'!$G$76:$G$1127,'ноябрь 2023'!$D$76:$D$1127,$B176,'ноябрь 2023'!$J$76:$J$1127,O$1)</f>
        <v>0</v>
      </c>
      <c r="P176" s="207">
        <f>SUMIFS('ноябрь 2023'!$G$76:$G$1127,'ноябрь 2023'!$D$76:$D$1127,$B176,'ноябрь 2023'!$J$76:$J$1127,P$1)</f>
        <v>0</v>
      </c>
      <c r="Q176" s="207">
        <f>SUMIFS('ноябрь 2023'!$G$76:$G$1127,'ноябрь 2023'!$D$76:$D$1127,$B176,'ноябрь 2023'!$J$76:$J$1127,Q$1)</f>
        <v>0</v>
      </c>
      <c r="R176" s="207">
        <f>SUMIFS('ноябрь 2023'!$G$76:$G$1127,'ноябрь 2023'!$D$76:$D$1127,$B176,'ноябрь 2023'!$J$76:$J$1127,R$1)</f>
        <v>0</v>
      </c>
      <c r="S176" s="207">
        <f>SUMIFS('ноябрь 2023'!$G$76:$G$1127,'ноябрь 2023'!$D$76:$D$1127,$B176,'ноябрь 2023'!$J$76:$J$1127,S$1)</f>
        <v>0</v>
      </c>
      <c r="T176" s="207">
        <f>SUMIFS('ноябрь 2023'!$G$76:$G$1127,'ноябрь 2023'!$D$76:$D$1127,$B176,'ноябрь 2023'!$J$76:$J$1127,T$1)</f>
        <v>0</v>
      </c>
      <c r="U176" s="207">
        <f>SUMIFS('ноябрь 2023'!$G$76:$G$1127,'ноябрь 2023'!$D$76:$D$1127,$B176,'ноябрь 2023'!$J$76:$J$1127,U$1)</f>
        <v>0</v>
      </c>
      <c r="V176" s="207">
        <f>SUMIFS('ноябрь 2023'!$G$76:$G$1127,'ноябрь 2023'!$D$76:$D$1127,$B176,'ноябрь 2023'!$J$76:$J$1127,V$1)</f>
        <v>0</v>
      </c>
      <c r="W176" s="207">
        <f>SUMIFS('ноябрь 2023'!$G$76:$G$1127,'ноябрь 2023'!$D$76:$D$1127,$B176,'ноябрь 2023'!$J$76:$J$1127,W$1)</f>
        <v>0</v>
      </c>
      <c r="X176" s="207">
        <f>SUMIFS('ноябрь 2023'!$G$76:$G$1127,'ноябрь 2023'!$D$76:$D$1127,$B176,'ноябрь 2023'!$J$76:$J$1127,X$1)</f>
        <v>0</v>
      </c>
      <c r="Y176" s="207">
        <f>SUMIFS('ноябрь 2023'!$G$76:$G$1127,'ноябрь 2023'!$D$76:$D$1127,$B176,'ноябрь 2023'!$J$76:$J$1127,Y$1)</f>
        <v>0</v>
      </c>
      <c r="Z176" s="207">
        <f>SUMIFS('ноябрь 2023'!$G$76:$G$1127,'ноябрь 2023'!$D$76:$D$1127,$B176,'ноябрь 2023'!$J$76:$J$1127,Z$1)</f>
        <v>0</v>
      </c>
      <c r="AA176" s="207">
        <f>SUMIFS('ноябрь 2023'!$G$76:$G$1127,'ноябрь 2023'!$D$76:$D$1127,$B176,'ноябрь 2023'!$J$76:$J$1127,AA$1)</f>
        <v>0</v>
      </c>
      <c r="AB176" s="207">
        <f>SUMIFS('ноябрь 2023'!$G$76:$G$1127,'ноябрь 2023'!$D$76:$D$1127,$B176,'ноябрь 2023'!$J$76:$J$1127,AB$1)</f>
        <v>0</v>
      </c>
      <c r="AC176" s="207">
        <f>SUMIFS('ноябрь 2023'!$G$76:$G$1127,'ноябрь 2023'!$D$76:$D$1127,$B176,'ноябрь 2023'!$J$76:$J$1127,AC$1)</f>
        <v>0</v>
      </c>
      <c r="AD176" s="207">
        <f>SUMIFS('ноябрь 2023'!$G$76:$G$1127,'ноябрь 2023'!$D$76:$D$1127,$B176,'ноябрь 2023'!$J$76:$J$1127,AD$1)</f>
        <v>0</v>
      </c>
      <c r="AE176" s="207">
        <f>SUMIFS('ноябрь 2023'!$G$76:$G$1127,'ноябрь 2023'!$D$76:$D$1127,$B176,'ноябрь 2023'!$J$76:$J$1127,AE$1)</f>
        <v>0</v>
      </c>
      <c r="AF176" s="207">
        <f>SUMIFS('ноябрь 2023'!$G$76:$G$1127,'ноябрь 2023'!$D$76:$D$1127,$B176,'ноябрь 2023'!$J$76:$J$1127,AF$1)</f>
        <v>0</v>
      </c>
      <c r="AG176" s="207">
        <f>SUMIFS('ноябрь 2023'!$G$76:$G$1127,'ноябрь 2023'!$D$76:$D$1127,$B176,'ноябрь 2023'!$J$76:$J$1127,AG$1)</f>
        <v>0</v>
      </c>
      <c r="AH176" s="207">
        <f>SUMIFS('ноябрь 2023'!$G$76:$G$1127,'ноябрь 2023'!$D$76:$D$1127,$B176,'ноябрь 2023'!$J$76:$J$1127,AH$1)</f>
        <v>0</v>
      </c>
      <c r="AI176" s="220">
        <f t="shared" si="4"/>
        <v>0</v>
      </c>
    </row>
    <row r="177" spans="2:35" ht="15.75" hidden="1" x14ac:dyDescent="0.25">
      <c r="B177" s="212"/>
      <c r="C177" s="211"/>
      <c r="D177" s="207">
        <f>SUMIFS('ноябрь 2023'!$G$76:$G$1127,'ноябрь 2023'!$D$76:$D$1127,$B177,'ноябрь 2023'!$J$76:$J$1127,D$1)</f>
        <v>0</v>
      </c>
      <c r="E177" s="207">
        <f>SUMIFS('ноябрь 2023'!$G$76:$G$1127,'ноябрь 2023'!$D$76:$D$1127,$B177,'ноябрь 2023'!$J$76:$J$1127,E$1)</f>
        <v>0</v>
      </c>
      <c r="F177" s="207">
        <f>SUMIFS('ноябрь 2023'!$G$76:$G$1127,'ноябрь 2023'!$D$76:$D$1127,$B177,'ноябрь 2023'!$J$76:$J$1127,F$1)</f>
        <v>0</v>
      </c>
      <c r="G177" s="207">
        <f>SUMIFS('ноябрь 2023'!$G$76:$G$1127,'ноябрь 2023'!$D$76:$D$1127,$B177,'ноябрь 2023'!$J$76:$J$1127,G$1)</f>
        <v>0</v>
      </c>
      <c r="H177" s="207">
        <f>SUMIFS('ноябрь 2023'!$G$76:$G$1127,'ноябрь 2023'!$D$76:$D$1127,$B177,'ноябрь 2023'!$J$76:$J$1127,H$1)</f>
        <v>0</v>
      </c>
      <c r="I177" s="207">
        <f>SUMIFS('ноябрь 2023'!$G$76:$G$1127,'ноябрь 2023'!$D$76:$D$1127,$B177,'ноябрь 2023'!$J$76:$J$1127,I$1)</f>
        <v>0</v>
      </c>
      <c r="J177" s="207">
        <f>SUMIFS('ноябрь 2023'!$G$76:$G$1127,'ноябрь 2023'!$D$76:$D$1127,$B177,'ноябрь 2023'!$J$76:$J$1127,J$1)</f>
        <v>0</v>
      </c>
      <c r="K177" s="207">
        <f>SUMIFS('ноябрь 2023'!$G$76:$G$1127,'ноябрь 2023'!$D$76:$D$1127,$B177,'ноябрь 2023'!$J$76:$J$1127,K$1)</f>
        <v>0</v>
      </c>
      <c r="L177" s="207">
        <f>SUMIFS('ноябрь 2023'!$G$76:$G$1127,'ноябрь 2023'!$D$76:$D$1127,$B177,'ноябрь 2023'!$J$76:$J$1127,L$1)</f>
        <v>0</v>
      </c>
      <c r="M177" s="207">
        <f>SUMIFS('ноябрь 2023'!$G$76:$G$1127,'ноябрь 2023'!$D$76:$D$1127,$B177,'ноябрь 2023'!$J$76:$J$1127,M$1)</f>
        <v>0</v>
      </c>
      <c r="N177" s="207">
        <f>SUMIFS('ноябрь 2023'!$G$76:$G$1127,'ноябрь 2023'!$D$76:$D$1127,$B177,'ноябрь 2023'!$J$76:$J$1127,N$1)</f>
        <v>0</v>
      </c>
      <c r="O177" s="207">
        <f>SUMIFS('ноябрь 2023'!$G$76:$G$1127,'ноябрь 2023'!$D$76:$D$1127,$B177,'ноябрь 2023'!$J$76:$J$1127,O$1)</f>
        <v>0</v>
      </c>
      <c r="P177" s="207">
        <f>SUMIFS('ноябрь 2023'!$G$76:$G$1127,'ноябрь 2023'!$D$76:$D$1127,$B177,'ноябрь 2023'!$J$76:$J$1127,P$1)</f>
        <v>0</v>
      </c>
      <c r="Q177" s="207">
        <f>SUMIFS('ноябрь 2023'!$G$76:$G$1127,'ноябрь 2023'!$D$76:$D$1127,$B177,'ноябрь 2023'!$J$76:$J$1127,Q$1)</f>
        <v>0</v>
      </c>
      <c r="R177" s="207">
        <f>SUMIFS('ноябрь 2023'!$G$76:$G$1127,'ноябрь 2023'!$D$76:$D$1127,$B177,'ноябрь 2023'!$J$76:$J$1127,R$1)</f>
        <v>0</v>
      </c>
      <c r="S177" s="207">
        <f>SUMIFS('ноябрь 2023'!$G$76:$G$1127,'ноябрь 2023'!$D$76:$D$1127,$B177,'ноябрь 2023'!$J$76:$J$1127,S$1)</f>
        <v>0</v>
      </c>
      <c r="T177" s="207">
        <f>SUMIFS('ноябрь 2023'!$G$76:$G$1127,'ноябрь 2023'!$D$76:$D$1127,$B177,'ноябрь 2023'!$J$76:$J$1127,T$1)</f>
        <v>0</v>
      </c>
      <c r="U177" s="207">
        <f>SUMIFS('ноябрь 2023'!$G$76:$G$1127,'ноябрь 2023'!$D$76:$D$1127,$B177,'ноябрь 2023'!$J$76:$J$1127,U$1)</f>
        <v>0</v>
      </c>
      <c r="V177" s="207">
        <f>SUMIFS('ноябрь 2023'!$G$76:$G$1127,'ноябрь 2023'!$D$76:$D$1127,$B177,'ноябрь 2023'!$J$76:$J$1127,V$1)</f>
        <v>0</v>
      </c>
      <c r="W177" s="207">
        <f>SUMIFS('ноябрь 2023'!$G$76:$G$1127,'ноябрь 2023'!$D$76:$D$1127,$B177,'ноябрь 2023'!$J$76:$J$1127,W$1)</f>
        <v>0</v>
      </c>
      <c r="X177" s="207">
        <f>SUMIFS('ноябрь 2023'!$G$76:$G$1127,'ноябрь 2023'!$D$76:$D$1127,$B177,'ноябрь 2023'!$J$76:$J$1127,X$1)</f>
        <v>0</v>
      </c>
      <c r="Y177" s="207">
        <f>SUMIFS('ноябрь 2023'!$G$76:$G$1127,'ноябрь 2023'!$D$76:$D$1127,$B177,'ноябрь 2023'!$J$76:$J$1127,Y$1)</f>
        <v>0</v>
      </c>
      <c r="Z177" s="207">
        <f>SUMIFS('ноябрь 2023'!$G$76:$G$1127,'ноябрь 2023'!$D$76:$D$1127,$B177,'ноябрь 2023'!$J$76:$J$1127,Z$1)</f>
        <v>0</v>
      </c>
      <c r="AA177" s="207">
        <f>SUMIFS('ноябрь 2023'!$G$76:$G$1127,'ноябрь 2023'!$D$76:$D$1127,$B177,'ноябрь 2023'!$J$76:$J$1127,AA$1)</f>
        <v>0</v>
      </c>
      <c r="AB177" s="207">
        <f>SUMIFS('ноябрь 2023'!$G$76:$G$1127,'ноябрь 2023'!$D$76:$D$1127,$B177,'ноябрь 2023'!$J$76:$J$1127,AB$1)</f>
        <v>0</v>
      </c>
      <c r="AC177" s="207">
        <f>SUMIFS('ноябрь 2023'!$G$76:$G$1127,'ноябрь 2023'!$D$76:$D$1127,$B177,'ноябрь 2023'!$J$76:$J$1127,AC$1)</f>
        <v>0</v>
      </c>
      <c r="AD177" s="207">
        <f>SUMIFS('ноябрь 2023'!$G$76:$G$1127,'ноябрь 2023'!$D$76:$D$1127,$B177,'ноябрь 2023'!$J$76:$J$1127,AD$1)</f>
        <v>0</v>
      </c>
      <c r="AE177" s="207">
        <f>SUMIFS('ноябрь 2023'!$G$76:$G$1127,'ноябрь 2023'!$D$76:$D$1127,$B177,'ноябрь 2023'!$J$76:$J$1127,AE$1)</f>
        <v>0</v>
      </c>
      <c r="AF177" s="207">
        <f>SUMIFS('ноябрь 2023'!$G$76:$G$1127,'ноябрь 2023'!$D$76:$D$1127,$B177,'ноябрь 2023'!$J$76:$J$1127,AF$1)</f>
        <v>0</v>
      </c>
      <c r="AG177" s="207">
        <f>SUMIFS('ноябрь 2023'!$G$76:$G$1127,'ноябрь 2023'!$D$76:$D$1127,$B177,'ноябрь 2023'!$J$76:$J$1127,AG$1)</f>
        <v>0</v>
      </c>
      <c r="AH177" s="207">
        <f>SUMIFS('ноябрь 2023'!$G$76:$G$1127,'ноябрь 2023'!$D$76:$D$1127,$B177,'ноябрь 2023'!$J$76:$J$1127,AH$1)</f>
        <v>0</v>
      </c>
      <c r="AI177" s="220">
        <f t="shared" si="4"/>
        <v>0</v>
      </c>
    </row>
    <row r="178" spans="2:35" ht="15.75" hidden="1" x14ac:dyDescent="0.25">
      <c r="B178" s="212"/>
      <c r="C178" s="211"/>
      <c r="D178" s="207">
        <f>SUMIFS('ноябрь 2023'!$G$76:$G$1127,'ноябрь 2023'!$D$76:$D$1127,$B178,'ноябрь 2023'!$J$76:$J$1127,D$1)</f>
        <v>0</v>
      </c>
      <c r="E178" s="207">
        <f>SUMIFS('ноябрь 2023'!$G$76:$G$1127,'ноябрь 2023'!$D$76:$D$1127,$B178,'ноябрь 2023'!$J$76:$J$1127,E$1)</f>
        <v>0</v>
      </c>
      <c r="F178" s="207">
        <f>SUMIFS('ноябрь 2023'!$G$76:$G$1127,'ноябрь 2023'!$D$76:$D$1127,$B178,'ноябрь 2023'!$J$76:$J$1127,F$1)</f>
        <v>0</v>
      </c>
      <c r="G178" s="207">
        <f>SUMIFS('ноябрь 2023'!$G$76:$G$1127,'ноябрь 2023'!$D$76:$D$1127,$B178,'ноябрь 2023'!$J$76:$J$1127,G$1)</f>
        <v>0</v>
      </c>
      <c r="H178" s="207">
        <f>SUMIFS('ноябрь 2023'!$G$76:$G$1127,'ноябрь 2023'!$D$76:$D$1127,$B178,'ноябрь 2023'!$J$76:$J$1127,H$1)</f>
        <v>0</v>
      </c>
      <c r="I178" s="207">
        <f>SUMIFS('ноябрь 2023'!$G$76:$G$1127,'ноябрь 2023'!$D$76:$D$1127,$B178,'ноябрь 2023'!$J$76:$J$1127,I$1)</f>
        <v>0</v>
      </c>
      <c r="J178" s="207">
        <f>SUMIFS('ноябрь 2023'!$G$76:$G$1127,'ноябрь 2023'!$D$76:$D$1127,$B178,'ноябрь 2023'!$J$76:$J$1127,J$1)</f>
        <v>0</v>
      </c>
      <c r="K178" s="207">
        <f>SUMIFS('ноябрь 2023'!$G$76:$G$1127,'ноябрь 2023'!$D$76:$D$1127,$B178,'ноябрь 2023'!$J$76:$J$1127,K$1)</f>
        <v>0</v>
      </c>
      <c r="L178" s="207">
        <f>SUMIFS('ноябрь 2023'!$G$76:$G$1127,'ноябрь 2023'!$D$76:$D$1127,$B178,'ноябрь 2023'!$J$76:$J$1127,L$1)</f>
        <v>0</v>
      </c>
      <c r="M178" s="207">
        <f>SUMIFS('ноябрь 2023'!$G$76:$G$1127,'ноябрь 2023'!$D$76:$D$1127,$B178,'ноябрь 2023'!$J$76:$J$1127,M$1)</f>
        <v>0</v>
      </c>
      <c r="N178" s="207">
        <f>SUMIFS('ноябрь 2023'!$G$76:$G$1127,'ноябрь 2023'!$D$76:$D$1127,$B178,'ноябрь 2023'!$J$76:$J$1127,N$1)</f>
        <v>0</v>
      </c>
      <c r="O178" s="207">
        <f>SUMIFS('ноябрь 2023'!$G$76:$G$1127,'ноябрь 2023'!$D$76:$D$1127,$B178,'ноябрь 2023'!$J$76:$J$1127,O$1)</f>
        <v>0</v>
      </c>
      <c r="P178" s="207">
        <f>SUMIFS('ноябрь 2023'!$G$76:$G$1127,'ноябрь 2023'!$D$76:$D$1127,$B178,'ноябрь 2023'!$J$76:$J$1127,P$1)</f>
        <v>0</v>
      </c>
      <c r="Q178" s="207">
        <f>SUMIFS('ноябрь 2023'!$G$76:$G$1127,'ноябрь 2023'!$D$76:$D$1127,$B178,'ноябрь 2023'!$J$76:$J$1127,Q$1)</f>
        <v>0</v>
      </c>
      <c r="R178" s="207">
        <f>SUMIFS('ноябрь 2023'!$G$76:$G$1127,'ноябрь 2023'!$D$76:$D$1127,$B178,'ноябрь 2023'!$J$76:$J$1127,R$1)</f>
        <v>0</v>
      </c>
      <c r="S178" s="207">
        <f>SUMIFS('ноябрь 2023'!$G$76:$G$1127,'ноябрь 2023'!$D$76:$D$1127,$B178,'ноябрь 2023'!$J$76:$J$1127,S$1)</f>
        <v>0</v>
      </c>
      <c r="T178" s="207">
        <f>SUMIFS('ноябрь 2023'!$G$76:$G$1127,'ноябрь 2023'!$D$76:$D$1127,$B178,'ноябрь 2023'!$J$76:$J$1127,T$1)</f>
        <v>0</v>
      </c>
      <c r="U178" s="207">
        <f>SUMIFS('ноябрь 2023'!$G$76:$G$1127,'ноябрь 2023'!$D$76:$D$1127,$B178,'ноябрь 2023'!$J$76:$J$1127,U$1)</f>
        <v>0</v>
      </c>
      <c r="V178" s="207">
        <f>SUMIFS('ноябрь 2023'!$G$76:$G$1127,'ноябрь 2023'!$D$76:$D$1127,$B178,'ноябрь 2023'!$J$76:$J$1127,V$1)</f>
        <v>0</v>
      </c>
      <c r="W178" s="207">
        <f>SUMIFS('ноябрь 2023'!$G$76:$G$1127,'ноябрь 2023'!$D$76:$D$1127,$B178,'ноябрь 2023'!$J$76:$J$1127,W$1)</f>
        <v>0</v>
      </c>
      <c r="X178" s="207">
        <f>SUMIFS('ноябрь 2023'!$G$76:$G$1127,'ноябрь 2023'!$D$76:$D$1127,$B178,'ноябрь 2023'!$J$76:$J$1127,X$1)</f>
        <v>0</v>
      </c>
      <c r="Y178" s="207">
        <f>SUMIFS('ноябрь 2023'!$G$76:$G$1127,'ноябрь 2023'!$D$76:$D$1127,$B178,'ноябрь 2023'!$J$76:$J$1127,Y$1)</f>
        <v>0</v>
      </c>
      <c r="Z178" s="207">
        <f>SUMIFS('ноябрь 2023'!$G$76:$G$1127,'ноябрь 2023'!$D$76:$D$1127,$B178,'ноябрь 2023'!$J$76:$J$1127,Z$1)</f>
        <v>0</v>
      </c>
      <c r="AA178" s="207">
        <f>SUMIFS('ноябрь 2023'!$G$76:$G$1127,'ноябрь 2023'!$D$76:$D$1127,$B178,'ноябрь 2023'!$J$76:$J$1127,AA$1)</f>
        <v>0</v>
      </c>
      <c r="AB178" s="207">
        <f>SUMIFS('ноябрь 2023'!$G$76:$G$1127,'ноябрь 2023'!$D$76:$D$1127,$B178,'ноябрь 2023'!$J$76:$J$1127,AB$1)</f>
        <v>0</v>
      </c>
      <c r="AC178" s="207">
        <f>SUMIFS('ноябрь 2023'!$G$76:$G$1127,'ноябрь 2023'!$D$76:$D$1127,$B178,'ноябрь 2023'!$J$76:$J$1127,AC$1)</f>
        <v>0</v>
      </c>
      <c r="AD178" s="207">
        <f>SUMIFS('ноябрь 2023'!$G$76:$G$1127,'ноябрь 2023'!$D$76:$D$1127,$B178,'ноябрь 2023'!$J$76:$J$1127,AD$1)</f>
        <v>0</v>
      </c>
      <c r="AE178" s="207">
        <f>SUMIFS('ноябрь 2023'!$G$76:$G$1127,'ноябрь 2023'!$D$76:$D$1127,$B178,'ноябрь 2023'!$J$76:$J$1127,AE$1)</f>
        <v>0</v>
      </c>
      <c r="AF178" s="207">
        <f>SUMIFS('ноябрь 2023'!$G$76:$G$1127,'ноябрь 2023'!$D$76:$D$1127,$B178,'ноябрь 2023'!$J$76:$J$1127,AF$1)</f>
        <v>0</v>
      </c>
      <c r="AG178" s="207">
        <f>SUMIFS('ноябрь 2023'!$G$76:$G$1127,'ноябрь 2023'!$D$76:$D$1127,$B178,'ноябрь 2023'!$J$76:$J$1127,AG$1)</f>
        <v>0</v>
      </c>
      <c r="AH178" s="207">
        <f>SUMIFS('ноябрь 2023'!$G$76:$G$1127,'ноябрь 2023'!$D$76:$D$1127,$B178,'ноябрь 2023'!$J$76:$J$1127,AH$1)</f>
        <v>0</v>
      </c>
      <c r="AI178" s="220">
        <f t="shared" si="4"/>
        <v>0</v>
      </c>
    </row>
    <row r="179" spans="2:35" ht="15.75" hidden="1" x14ac:dyDescent="0.25">
      <c r="B179" s="212"/>
      <c r="C179" s="211"/>
      <c r="D179" s="207">
        <f>SUMIFS('ноябрь 2023'!$G$76:$G$1127,'ноябрь 2023'!$D$76:$D$1127,$B179,'ноябрь 2023'!$J$76:$J$1127,D$1)</f>
        <v>0</v>
      </c>
      <c r="E179" s="207">
        <f>SUMIFS('ноябрь 2023'!$G$76:$G$1127,'ноябрь 2023'!$D$76:$D$1127,$B179,'ноябрь 2023'!$J$76:$J$1127,E$1)</f>
        <v>0</v>
      </c>
      <c r="F179" s="207">
        <f>SUMIFS('ноябрь 2023'!$G$76:$G$1127,'ноябрь 2023'!$D$76:$D$1127,$B179,'ноябрь 2023'!$J$76:$J$1127,F$1)</f>
        <v>0</v>
      </c>
      <c r="G179" s="207">
        <f>SUMIFS('ноябрь 2023'!$G$76:$G$1127,'ноябрь 2023'!$D$76:$D$1127,$B179,'ноябрь 2023'!$J$76:$J$1127,G$1)</f>
        <v>0</v>
      </c>
      <c r="H179" s="207">
        <f>SUMIFS('ноябрь 2023'!$G$76:$G$1127,'ноябрь 2023'!$D$76:$D$1127,$B179,'ноябрь 2023'!$J$76:$J$1127,H$1)</f>
        <v>0</v>
      </c>
      <c r="I179" s="207">
        <f>SUMIFS('ноябрь 2023'!$G$76:$G$1127,'ноябрь 2023'!$D$76:$D$1127,$B179,'ноябрь 2023'!$J$76:$J$1127,I$1)</f>
        <v>0</v>
      </c>
      <c r="J179" s="207">
        <f>SUMIFS('ноябрь 2023'!$G$76:$G$1127,'ноябрь 2023'!$D$76:$D$1127,$B179,'ноябрь 2023'!$J$76:$J$1127,J$1)</f>
        <v>0</v>
      </c>
      <c r="K179" s="207">
        <f>SUMIFS('ноябрь 2023'!$G$76:$G$1127,'ноябрь 2023'!$D$76:$D$1127,$B179,'ноябрь 2023'!$J$76:$J$1127,K$1)</f>
        <v>0</v>
      </c>
      <c r="L179" s="207">
        <f>SUMIFS('ноябрь 2023'!$G$76:$G$1127,'ноябрь 2023'!$D$76:$D$1127,$B179,'ноябрь 2023'!$J$76:$J$1127,L$1)</f>
        <v>0</v>
      </c>
      <c r="M179" s="207">
        <f>SUMIFS('ноябрь 2023'!$G$76:$G$1127,'ноябрь 2023'!$D$76:$D$1127,$B179,'ноябрь 2023'!$J$76:$J$1127,M$1)</f>
        <v>0</v>
      </c>
      <c r="N179" s="207">
        <f>SUMIFS('ноябрь 2023'!$G$76:$G$1127,'ноябрь 2023'!$D$76:$D$1127,$B179,'ноябрь 2023'!$J$76:$J$1127,N$1)</f>
        <v>0</v>
      </c>
      <c r="O179" s="207">
        <f>SUMIFS('ноябрь 2023'!$G$76:$G$1127,'ноябрь 2023'!$D$76:$D$1127,$B179,'ноябрь 2023'!$J$76:$J$1127,O$1)</f>
        <v>0</v>
      </c>
      <c r="P179" s="207">
        <f>SUMIFS('ноябрь 2023'!$G$76:$G$1127,'ноябрь 2023'!$D$76:$D$1127,$B179,'ноябрь 2023'!$J$76:$J$1127,P$1)</f>
        <v>0</v>
      </c>
      <c r="Q179" s="207">
        <f>SUMIFS('ноябрь 2023'!$G$76:$G$1127,'ноябрь 2023'!$D$76:$D$1127,$B179,'ноябрь 2023'!$J$76:$J$1127,Q$1)</f>
        <v>0</v>
      </c>
      <c r="R179" s="207">
        <f>SUMIFS('ноябрь 2023'!$G$76:$G$1127,'ноябрь 2023'!$D$76:$D$1127,$B179,'ноябрь 2023'!$J$76:$J$1127,R$1)</f>
        <v>0</v>
      </c>
      <c r="S179" s="207">
        <f>SUMIFS('ноябрь 2023'!$G$76:$G$1127,'ноябрь 2023'!$D$76:$D$1127,$B179,'ноябрь 2023'!$J$76:$J$1127,S$1)</f>
        <v>0</v>
      </c>
      <c r="T179" s="207">
        <f>SUMIFS('ноябрь 2023'!$G$76:$G$1127,'ноябрь 2023'!$D$76:$D$1127,$B179,'ноябрь 2023'!$J$76:$J$1127,T$1)</f>
        <v>0</v>
      </c>
      <c r="U179" s="207">
        <f>SUMIFS('ноябрь 2023'!$G$76:$G$1127,'ноябрь 2023'!$D$76:$D$1127,$B179,'ноябрь 2023'!$J$76:$J$1127,U$1)</f>
        <v>0</v>
      </c>
      <c r="V179" s="207">
        <f>SUMIFS('ноябрь 2023'!$G$76:$G$1127,'ноябрь 2023'!$D$76:$D$1127,$B179,'ноябрь 2023'!$J$76:$J$1127,V$1)</f>
        <v>0</v>
      </c>
      <c r="W179" s="207">
        <f>SUMIFS('ноябрь 2023'!$G$76:$G$1127,'ноябрь 2023'!$D$76:$D$1127,$B179,'ноябрь 2023'!$J$76:$J$1127,W$1)</f>
        <v>0</v>
      </c>
      <c r="X179" s="207">
        <f>SUMIFS('ноябрь 2023'!$G$76:$G$1127,'ноябрь 2023'!$D$76:$D$1127,$B179,'ноябрь 2023'!$J$76:$J$1127,X$1)</f>
        <v>0</v>
      </c>
      <c r="Y179" s="207">
        <f>SUMIFS('ноябрь 2023'!$G$76:$G$1127,'ноябрь 2023'!$D$76:$D$1127,$B179,'ноябрь 2023'!$J$76:$J$1127,Y$1)</f>
        <v>0</v>
      </c>
      <c r="Z179" s="207">
        <f>SUMIFS('ноябрь 2023'!$G$76:$G$1127,'ноябрь 2023'!$D$76:$D$1127,$B179,'ноябрь 2023'!$J$76:$J$1127,Z$1)</f>
        <v>0</v>
      </c>
      <c r="AA179" s="207">
        <f>SUMIFS('ноябрь 2023'!$G$76:$G$1127,'ноябрь 2023'!$D$76:$D$1127,$B179,'ноябрь 2023'!$J$76:$J$1127,AA$1)</f>
        <v>0</v>
      </c>
      <c r="AB179" s="207">
        <f>SUMIFS('ноябрь 2023'!$G$76:$G$1127,'ноябрь 2023'!$D$76:$D$1127,$B179,'ноябрь 2023'!$J$76:$J$1127,AB$1)</f>
        <v>0</v>
      </c>
      <c r="AC179" s="207">
        <f>SUMIFS('ноябрь 2023'!$G$76:$G$1127,'ноябрь 2023'!$D$76:$D$1127,$B179,'ноябрь 2023'!$J$76:$J$1127,AC$1)</f>
        <v>0</v>
      </c>
      <c r="AD179" s="207">
        <f>SUMIFS('ноябрь 2023'!$G$76:$G$1127,'ноябрь 2023'!$D$76:$D$1127,$B179,'ноябрь 2023'!$J$76:$J$1127,AD$1)</f>
        <v>0</v>
      </c>
      <c r="AE179" s="207">
        <f>SUMIFS('ноябрь 2023'!$G$76:$G$1127,'ноябрь 2023'!$D$76:$D$1127,$B179,'ноябрь 2023'!$J$76:$J$1127,AE$1)</f>
        <v>0</v>
      </c>
      <c r="AF179" s="207">
        <f>SUMIFS('ноябрь 2023'!$G$76:$G$1127,'ноябрь 2023'!$D$76:$D$1127,$B179,'ноябрь 2023'!$J$76:$J$1127,AF$1)</f>
        <v>0</v>
      </c>
      <c r="AG179" s="207">
        <f>SUMIFS('ноябрь 2023'!$G$76:$G$1127,'ноябрь 2023'!$D$76:$D$1127,$B179,'ноябрь 2023'!$J$76:$J$1127,AG$1)</f>
        <v>0</v>
      </c>
      <c r="AH179" s="207">
        <f>SUMIFS('ноябрь 2023'!$G$76:$G$1127,'ноябрь 2023'!$D$76:$D$1127,$B179,'ноябрь 2023'!$J$76:$J$1127,AH$1)</f>
        <v>0</v>
      </c>
      <c r="AI179" s="220">
        <f t="shared" si="4"/>
        <v>0</v>
      </c>
    </row>
    <row r="180" spans="2:35" ht="15.75" hidden="1" x14ac:dyDescent="0.25">
      <c r="B180" s="212"/>
      <c r="C180" s="211"/>
      <c r="D180" s="207">
        <f>SUMIFS('ноябрь 2023'!$G$76:$G$1127,'ноябрь 2023'!$D$76:$D$1127,$B180,'ноябрь 2023'!$J$76:$J$1127,D$1)</f>
        <v>0</v>
      </c>
      <c r="E180" s="207">
        <f>SUMIFS('ноябрь 2023'!$G$76:$G$1127,'ноябрь 2023'!$D$76:$D$1127,$B180,'ноябрь 2023'!$J$76:$J$1127,E$1)</f>
        <v>0</v>
      </c>
      <c r="F180" s="207">
        <f>SUMIFS('ноябрь 2023'!$G$76:$G$1127,'ноябрь 2023'!$D$76:$D$1127,$B180,'ноябрь 2023'!$J$76:$J$1127,F$1)</f>
        <v>0</v>
      </c>
      <c r="G180" s="207">
        <f>SUMIFS('ноябрь 2023'!$G$76:$G$1127,'ноябрь 2023'!$D$76:$D$1127,$B180,'ноябрь 2023'!$J$76:$J$1127,G$1)</f>
        <v>0</v>
      </c>
      <c r="H180" s="207">
        <f>SUMIFS('ноябрь 2023'!$G$76:$G$1127,'ноябрь 2023'!$D$76:$D$1127,$B180,'ноябрь 2023'!$J$76:$J$1127,H$1)</f>
        <v>0</v>
      </c>
      <c r="I180" s="207">
        <f>SUMIFS('ноябрь 2023'!$G$76:$G$1127,'ноябрь 2023'!$D$76:$D$1127,$B180,'ноябрь 2023'!$J$76:$J$1127,I$1)</f>
        <v>0</v>
      </c>
      <c r="J180" s="207">
        <f>SUMIFS('ноябрь 2023'!$G$76:$G$1127,'ноябрь 2023'!$D$76:$D$1127,$B180,'ноябрь 2023'!$J$76:$J$1127,J$1)</f>
        <v>0</v>
      </c>
      <c r="K180" s="207">
        <f>SUMIFS('ноябрь 2023'!$G$76:$G$1127,'ноябрь 2023'!$D$76:$D$1127,$B180,'ноябрь 2023'!$J$76:$J$1127,K$1)</f>
        <v>0</v>
      </c>
      <c r="L180" s="207">
        <f>SUMIFS('ноябрь 2023'!$G$76:$G$1127,'ноябрь 2023'!$D$76:$D$1127,$B180,'ноябрь 2023'!$J$76:$J$1127,L$1)</f>
        <v>0</v>
      </c>
      <c r="M180" s="207">
        <f>SUMIFS('ноябрь 2023'!$G$76:$G$1127,'ноябрь 2023'!$D$76:$D$1127,$B180,'ноябрь 2023'!$J$76:$J$1127,M$1)</f>
        <v>0</v>
      </c>
      <c r="N180" s="207">
        <f>SUMIFS('ноябрь 2023'!$G$76:$G$1127,'ноябрь 2023'!$D$76:$D$1127,$B180,'ноябрь 2023'!$J$76:$J$1127,N$1)</f>
        <v>0</v>
      </c>
      <c r="O180" s="207">
        <f>SUMIFS('ноябрь 2023'!$G$76:$G$1127,'ноябрь 2023'!$D$76:$D$1127,$B180,'ноябрь 2023'!$J$76:$J$1127,O$1)</f>
        <v>0</v>
      </c>
      <c r="P180" s="207">
        <f>SUMIFS('ноябрь 2023'!$G$76:$G$1127,'ноябрь 2023'!$D$76:$D$1127,$B180,'ноябрь 2023'!$J$76:$J$1127,P$1)</f>
        <v>0</v>
      </c>
      <c r="Q180" s="207">
        <f>SUMIFS('ноябрь 2023'!$G$76:$G$1127,'ноябрь 2023'!$D$76:$D$1127,$B180,'ноябрь 2023'!$J$76:$J$1127,Q$1)</f>
        <v>0</v>
      </c>
      <c r="R180" s="207">
        <f>SUMIFS('ноябрь 2023'!$G$76:$G$1127,'ноябрь 2023'!$D$76:$D$1127,$B180,'ноябрь 2023'!$J$76:$J$1127,R$1)</f>
        <v>0</v>
      </c>
      <c r="S180" s="207">
        <f>SUMIFS('ноябрь 2023'!$G$76:$G$1127,'ноябрь 2023'!$D$76:$D$1127,$B180,'ноябрь 2023'!$J$76:$J$1127,S$1)</f>
        <v>0</v>
      </c>
      <c r="T180" s="207">
        <f>SUMIFS('ноябрь 2023'!$G$76:$G$1127,'ноябрь 2023'!$D$76:$D$1127,$B180,'ноябрь 2023'!$J$76:$J$1127,T$1)</f>
        <v>0</v>
      </c>
      <c r="U180" s="207">
        <f>SUMIFS('ноябрь 2023'!$G$76:$G$1127,'ноябрь 2023'!$D$76:$D$1127,$B180,'ноябрь 2023'!$J$76:$J$1127,U$1)</f>
        <v>0</v>
      </c>
      <c r="V180" s="207">
        <f>SUMIFS('ноябрь 2023'!$G$76:$G$1127,'ноябрь 2023'!$D$76:$D$1127,$B180,'ноябрь 2023'!$J$76:$J$1127,V$1)</f>
        <v>0</v>
      </c>
      <c r="W180" s="207">
        <f>SUMIFS('ноябрь 2023'!$G$76:$G$1127,'ноябрь 2023'!$D$76:$D$1127,$B180,'ноябрь 2023'!$J$76:$J$1127,W$1)</f>
        <v>0</v>
      </c>
      <c r="X180" s="207">
        <f>SUMIFS('ноябрь 2023'!$G$76:$G$1127,'ноябрь 2023'!$D$76:$D$1127,$B180,'ноябрь 2023'!$J$76:$J$1127,X$1)</f>
        <v>0</v>
      </c>
      <c r="Y180" s="207">
        <f>SUMIFS('ноябрь 2023'!$G$76:$G$1127,'ноябрь 2023'!$D$76:$D$1127,$B180,'ноябрь 2023'!$J$76:$J$1127,Y$1)</f>
        <v>0</v>
      </c>
      <c r="Z180" s="207">
        <f>SUMIFS('ноябрь 2023'!$G$76:$G$1127,'ноябрь 2023'!$D$76:$D$1127,$B180,'ноябрь 2023'!$J$76:$J$1127,Z$1)</f>
        <v>0</v>
      </c>
      <c r="AA180" s="207">
        <f>SUMIFS('ноябрь 2023'!$G$76:$G$1127,'ноябрь 2023'!$D$76:$D$1127,$B180,'ноябрь 2023'!$J$76:$J$1127,AA$1)</f>
        <v>0</v>
      </c>
      <c r="AB180" s="207">
        <f>SUMIFS('ноябрь 2023'!$G$76:$G$1127,'ноябрь 2023'!$D$76:$D$1127,$B180,'ноябрь 2023'!$J$76:$J$1127,AB$1)</f>
        <v>0</v>
      </c>
      <c r="AC180" s="207">
        <f>SUMIFS('ноябрь 2023'!$G$76:$G$1127,'ноябрь 2023'!$D$76:$D$1127,$B180,'ноябрь 2023'!$J$76:$J$1127,AC$1)</f>
        <v>0</v>
      </c>
      <c r="AD180" s="207">
        <f>SUMIFS('ноябрь 2023'!$G$76:$G$1127,'ноябрь 2023'!$D$76:$D$1127,$B180,'ноябрь 2023'!$J$76:$J$1127,AD$1)</f>
        <v>0</v>
      </c>
      <c r="AE180" s="207">
        <f>SUMIFS('ноябрь 2023'!$G$76:$G$1127,'ноябрь 2023'!$D$76:$D$1127,$B180,'ноябрь 2023'!$J$76:$J$1127,AE$1)</f>
        <v>0</v>
      </c>
      <c r="AF180" s="207">
        <f>SUMIFS('ноябрь 2023'!$G$76:$G$1127,'ноябрь 2023'!$D$76:$D$1127,$B180,'ноябрь 2023'!$J$76:$J$1127,AF$1)</f>
        <v>0</v>
      </c>
      <c r="AG180" s="207">
        <f>SUMIFS('ноябрь 2023'!$G$76:$G$1127,'ноябрь 2023'!$D$76:$D$1127,$B180,'ноябрь 2023'!$J$76:$J$1127,AG$1)</f>
        <v>0</v>
      </c>
      <c r="AH180" s="207">
        <f>SUMIFS('ноябрь 2023'!$G$76:$G$1127,'ноябрь 2023'!$D$76:$D$1127,$B180,'ноябрь 2023'!$J$76:$J$1127,AH$1)</f>
        <v>0</v>
      </c>
      <c r="AI180" s="220">
        <f t="shared" si="4"/>
        <v>0</v>
      </c>
    </row>
    <row r="181" spans="2:35" ht="15.75" hidden="1" x14ac:dyDescent="0.25">
      <c r="B181" s="212"/>
      <c r="C181" s="211"/>
      <c r="D181" s="207">
        <f>SUMIFS('ноябрь 2023'!$G$76:$G$1127,'ноябрь 2023'!$D$76:$D$1127,$B181,'ноябрь 2023'!$J$76:$J$1127,D$1)</f>
        <v>0</v>
      </c>
      <c r="E181" s="207">
        <f>SUMIFS('ноябрь 2023'!$G$76:$G$1127,'ноябрь 2023'!$D$76:$D$1127,$B181,'ноябрь 2023'!$J$76:$J$1127,E$1)</f>
        <v>0</v>
      </c>
      <c r="F181" s="207">
        <f>SUMIFS('ноябрь 2023'!$G$76:$G$1127,'ноябрь 2023'!$D$76:$D$1127,$B181,'ноябрь 2023'!$J$76:$J$1127,F$1)</f>
        <v>0</v>
      </c>
      <c r="G181" s="207">
        <f>SUMIFS('ноябрь 2023'!$G$76:$G$1127,'ноябрь 2023'!$D$76:$D$1127,$B181,'ноябрь 2023'!$J$76:$J$1127,G$1)</f>
        <v>0</v>
      </c>
      <c r="H181" s="207">
        <f>SUMIFS('ноябрь 2023'!$G$76:$G$1127,'ноябрь 2023'!$D$76:$D$1127,$B181,'ноябрь 2023'!$J$76:$J$1127,H$1)</f>
        <v>0</v>
      </c>
      <c r="I181" s="207">
        <f>SUMIFS('ноябрь 2023'!$G$76:$G$1127,'ноябрь 2023'!$D$76:$D$1127,$B181,'ноябрь 2023'!$J$76:$J$1127,I$1)</f>
        <v>0</v>
      </c>
      <c r="J181" s="207">
        <f>SUMIFS('ноябрь 2023'!$G$76:$G$1127,'ноябрь 2023'!$D$76:$D$1127,$B181,'ноябрь 2023'!$J$76:$J$1127,J$1)</f>
        <v>0</v>
      </c>
      <c r="K181" s="207">
        <f>SUMIFS('ноябрь 2023'!$G$76:$G$1127,'ноябрь 2023'!$D$76:$D$1127,$B181,'ноябрь 2023'!$J$76:$J$1127,K$1)</f>
        <v>0</v>
      </c>
      <c r="L181" s="207">
        <f>SUMIFS('ноябрь 2023'!$G$76:$G$1127,'ноябрь 2023'!$D$76:$D$1127,$B181,'ноябрь 2023'!$J$76:$J$1127,L$1)</f>
        <v>0</v>
      </c>
      <c r="M181" s="207">
        <f>SUMIFS('ноябрь 2023'!$G$76:$G$1127,'ноябрь 2023'!$D$76:$D$1127,$B181,'ноябрь 2023'!$J$76:$J$1127,M$1)</f>
        <v>0</v>
      </c>
      <c r="N181" s="207">
        <f>SUMIFS('ноябрь 2023'!$G$76:$G$1127,'ноябрь 2023'!$D$76:$D$1127,$B181,'ноябрь 2023'!$J$76:$J$1127,N$1)</f>
        <v>0</v>
      </c>
      <c r="O181" s="207">
        <f>SUMIFS('ноябрь 2023'!$G$76:$G$1127,'ноябрь 2023'!$D$76:$D$1127,$B181,'ноябрь 2023'!$J$76:$J$1127,O$1)</f>
        <v>0</v>
      </c>
      <c r="P181" s="207">
        <f>SUMIFS('ноябрь 2023'!$G$76:$G$1127,'ноябрь 2023'!$D$76:$D$1127,$B181,'ноябрь 2023'!$J$76:$J$1127,P$1)</f>
        <v>0</v>
      </c>
      <c r="Q181" s="207">
        <f>SUMIFS('ноябрь 2023'!$G$76:$G$1127,'ноябрь 2023'!$D$76:$D$1127,$B181,'ноябрь 2023'!$J$76:$J$1127,Q$1)</f>
        <v>0</v>
      </c>
      <c r="R181" s="207">
        <f>SUMIFS('ноябрь 2023'!$G$76:$G$1127,'ноябрь 2023'!$D$76:$D$1127,$B181,'ноябрь 2023'!$J$76:$J$1127,R$1)</f>
        <v>0</v>
      </c>
      <c r="S181" s="207">
        <f>SUMIFS('ноябрь 2023'!$G$76:$G$1127,'ноябрь 2023'!$D$76:$D$1127,$B181,'ноябрь 2023'!$J$76:$J$1127,S$1)</f>
        <v>0</v>
      </c>
      <c r="T181" s="207">
        <f>SUMIFS('ноябрь 2023'!$G$76:$G$1127,'ноябрь 2023'!$D$76:$D$1127,$B181,'ноябрь 2023'!$J$76:$J$1127,T$1)</f>
        <v>0</v>
      </c>
      <c r="U181" s="207">
        <f>SUMIFS('ноябрь 2023'!$G$76:$G$1127,'ноябрь 2023'!$D$76:$D$1127,$B181,'ноябрь 2023'!$J$76:$J$1127,U$1)</f>
        <v>0</v>
      </c>
      <c r="V181" s="207">
        <f>SUMIFS('ноябрь 2023'!$G$76:$G$1127,'ноябрь 2023'!$D$76:$D$1127,$B181,'ноябрь 2023'!$J$76:$J$1127,V$1)</f>
        <v>0</v>
      </c>
      <c r="W181" s="207">
        <f>SUMIFS('ноябрь 2023'!$G$76:$G$1127,'ноябрь 2023'!$D$76:$D$1127,$B181,'ноябрь 2023'!$J$76:$J$1127,W$1)</f>
        <v>0</v>
      </c>
      <c r="X181" s="207">
        <f>SUMIFS('ноябрь 2023'!$G$76:$G$1127,'ноябрь 2023'!$D$76:$D$1127,$B181,'ноябрь 2023'!$J$76:$J$1127,X$1)</f>
        <v>0</v>
      </c>
      <c r="Y181" s="207">
        <f>SUMIFS('ноябрь 2023'!$G$76:$G$1127,'ноябрь 2023'!$D$76:$D$1127,$B181,'ноябрь 2023'!$J$76:$J$1127,Y$1)</f>
        <v>0</v>
      </c>
      <c r="Z181" s="207">
        <f>SUMIFS('ноябрь 2023'!$G$76:$G$1127,'ноябрь 2023'!$D$76:$D$1127,$B181,'ноябрь 2023'!$J$76:$J$1127,Z$1)</f>
        <v>0</v>
      </c>
      <c r="AA181" s="207">
        <f>SUMIFS('ноябрь 2023'!$G$76:$G$1127,'ноябрь 2023'!$D$76:$D$1127,$B181,'ноябрь 2023'!$J$76:$J$1127,AA$1)</f>
        <v>0</v>
      </c>
      <c r="AB181" s="207">
        <f>SUMIFS('ноябрь 2023'!$G$76:$G$1127,'ноябрь 2023'!$D$76:$D$1127,$B181,'ноябрь 2023'!$J$76:$J$1127,AB$1)</f>
        <v>0</v>
      </c>
      <c r="AC181" s="207">
        <f>SUMIFS('ноябрь 2023'!$G$76:$G$1127,'ноябрь 2023'!$D$76:$D$1127,$B181,'ноябрь 2023'!$J$76:$J$1127,AC$1)</f>
        <v>0</v>
      </c>
      <c r="AD181" s="207">
        <f>SUMIFS('ноябрь 2023'!$G$76:$G$1127,'ноябрь 2023'!$D$76:$D$1127,$B181,'ноябрь 2023'!$J$76:$J$1127,AD$1)</f>
        <v>0</v>
      </c>
      <c r="AE181" s="207">
        <f>SUMIFS('ноябрь 2023'!$G$76:$G$1127,'ноябрь 2023'!$D$76:$D$1127,$B181,'ноябрь 2023'!$J$76:$J$1127,AE$1)</f>
        <v>0</v>
      </c>
      <c r="AF181" s="207">
        <f>SUMIFS('ноябрь 2023'!$G$76:$G$1127,'ноябрь 2023'!$D$76:$D$1127,$B181,'ноябрь 2023'!$J$76:$J$1127,AF$1)</f>
        <v>0</v>
      </c>
      <c r="AG181" s="207">
        <f>SUMIFS('ноябрь 2023'!$G$76:$G$1127,'ноябрь 2023'!$D$76:$D$1127,$B181,'ноябрь 2023'!$J$76:$J$1127,AG$1)</f>
        <v>0</v>
      </c>
      <c r="AH181" s="207">
        <f>SUMIFS('ноябрь 2023'!$G$76:$G$1127,'ноябрь 2023'!$D$76:$D$1127,$B181,'ноябрь 2023'!$J$76:$J$1127,AH$1)</f>
        <v>0</v>
      </c>
      <c r="AI181" s="220">
        <f t="shared" si="4"/>
        <v>0</v>
      </c>
    </row>
    <row r="182" spans="2:35" ht="15.75" hidden="1" x14ac:dyDescent="0.25">
      <c r="B182" s="212"/>
      <c r="C182" s="211"/>
      <c r="D182" s="207">
        <f>SUMIFS('ноябрь 2023'!$G$76:$G$1127,'ноябрь 2023'!$D$76:$D$1127,$B182,'ноябрь 2023'!$J$76:$J$1127,D$1)</f>
        <v>0</v>
      </c>
      <c r="E182" s="207">
        <f>SUMIFS('ноябрь 2023'!$G$76:$G$1127,'ноябрь 2023'!$D$76:$D$1127,$B182,'ноябрь 2023'!$J$76:$J$1127,E$1)</f>
        <v>0</v>
      </c>
      <c r="F182" s="207">
        <f>SUMIFS('ноябрь 2023'!$G$76:$G$1127,'ноябрь 2023'!$D$76:$D$1127,$B182,'ноябрь 2023'!$J$76:$J$1127,F$1)</f>
        <v>0</v>
      </c>
      <c r="G182" s="207">
        <f>SUMIFS('ноябрь 2023'!$G$76:$G$1127,'ноябрь 2023'!$D$76:$D$1127,$B182,'ноябрь 2023'!$J$76:$J$1127,G$1)</f>
        <v>0</v>
      </c>
      <c r="H182" s="207">
        <f>SUMIFS('ноябрь 2023'!$G$76:$G$1127,'ноябрь 2023'!$D$76:$D$1127,$B182,'ноябрь 2023'!$J$76:$J$1127,H$1)</f>
        <v>0</v>
      </c>
      <c r="I182" s="207">
        <f>SUMIFS('ноябрь 2023'!$G$76:$G$1127,'ноябрь 2023'!$D$76:$D$1127,$B182,'ноябрь 2023'!$J$76:$J$1127,I$1)</f>
        <v>0</v>
      </c>
      <c r="J182" s="207">
        <f>SUMIFS('ноябрь 2023'!$G$76:$G$1127,'ноябрь 2023'!$D$76:$D$1127,$B182,'ноябрь 2023'!$J$76:$J$1127,J$1)</f>
        <v>0</v>
      </c>
      <c r="K182" s="207">
        <f>SUMIFS('ноябрь 2023'!$G$76:$G$1127,'ноябрь 2023'!$D$76:$D$1127,$B182,'ноябрь 2023'!$J$76:$J$1127,K$1)</f>
        <v>0</v>
      </c>
      <c r="L182" s="207">
        <f>SUMIFS('ноябрь 2023'!$G$76:$G$1127,'ноябрь 2023'!$D$76:$D$1127,$B182,'ноябрь 2023'!$J$76:$J$1127,L$1)</f>
        <v>0</v>
      </c>
      <c r="M182" s="207">
        <f>SUMIFS('ноябрь 2023'!$G$76:$G$1127,'ноябрь 2023'!$D$76:$D$1127,$B182,'ноябрь 2023'!$J$76:$J$1127,M$1)</f>
        <v>0</v>
      </c>
      <c r="N182" s="207">
        <f>SUMIFS('ноябрь 2023'!$G$76:$G$1127,'ноябрь 2023'!$D$76:$D$1127,$B182,'ноябрь 2023'!$J$76:$J$1127,N$1)</f>
        <v>0</v>
      </c>
      <c r="O182" s="207">
        <f>SUMIFS('ноябрь 2023'!$G$76:$G$1127,'ноябрь 2023'!$D$76:$D$1127,$B182,'ноябрь 2023'!$J$76:$J$1127,O$1)</f>
        <v>0</v>
      </c>
      <c r="P182" s="207">
        <f>SUMIFS('ноябрь 2023'!$G$76:$G$1127,'ноябрь 2023'!$D$76:$D$1127,$B182,'ноябрь 2023'!$J$76:$J$1127,P$1)</f>
        <v>0</v>
      </c>
      <c r="Q182" s="207">
        <f>SUMIFS('ноябрь 2023'!$G$76:$G$1127,'ноябрь 2023'!$D$76:$D$1127,$B182,'ноябрь 2023'!$J$76:$J$1127,Q$1)</f>
        <v>0</v>
      </c>
      <c r="R182" s="207">
        <f>SUMIFS('ноябрь 2023'!$G$76:$G$1127,'ноябрь 2023'!$D$76:$D$1127,$B182,'ноябрь 2023'!$J$76:$J$1127,R$1)</f>
        <v>0</v>
      </c>
      <c r="S182" s="207">
        <f>SUMIFS('ноябрь 2023'!$G$76:$G$1127,'ноябрь 2023'!$D$76:$D$1127,$B182,'ноябрь 2023'!$J$76:$J$1127,S$1)</f>
        <v>0</v>
      </c>
      <c r="T182" s="207">
        <f>SUMIFS('ноябрь 2023'!$G$76:$G$1127,'ноябрь 2023'!$D$76:$D$1127,$B182,'ноябрь 2023'!$J$76:$J$1127,T$1)</f>
        <v>0</v>
      </c>
      <c r="U182" s="207">
        <f>SUMIFS('ноябрь 2023'!$G$76:$G$1127,'ноябрь 2023'!$D$76:$D$1127,$B182,'ноябрь 2023'!$J$76:$J$1127,U$1)</f>
        <v>0</v>
      </c>
      <c r="V182" s="207">
        <f>SUMIFS('ноябрь 2023'!$G$76:$G$1127,'ноябрь 2023'!$D$76:$D$1127,$B182,'ноябрь 2023'!$J$76:$J$1127,V$1)</f>
        <v>0</v>
      </c>
      <c r="W182" s="207">
        <f>SUMIFS('ноябрь 2023'!$G$76:$G$1127,'ноябрь 2023'!$D$76:$D$1127,$B182,'ноябрь 2023'!$J$76:$J$1127,W$1)</f>
        <v>0</v>
      </c>
      <c r="X182" s="207">
        <f>SUMIFS('ноябрь 2023'!$G$76:$G$1127,'ноябрь 2023'!$D$76:$D$1127,$B182,'ноябрь 2023'!$J$76:$J$1127,X$1)</f>
        <v>0</v>
      </c>
      <c r="Y182" s="207">
        <f>SUMIFS('ноябрь 2023'!$G$76:$G$1127,'ноябрь 2023'!$D$76:$D$1127,$B182,'ноябрь 2023'!$J$76:$J$1127,Y$1)</f>
        <v>0</v>
      </c>
      <c r="Z182" s="207">
        <f>SUMIFS('ноябрь 2023'!$G$76:$G$1127,'ноябрь 2023'!$D$76:$D$1127,$B182,'ноябрь 2023'!$J$76:$J$1127,Z$1)</f>
        <v>0</v>
      </c>
      <c r="AA182" s="207">
        <f>SUMIFS('ноябрь 2023'!$G$76:$G$1127,'ноябрь 2023'!$D$76:$D$1127,$B182,'ноябрь 2023'!$J$76:$J$1127,AA$1)</f>
        <v>0</v>
      </c>
      <c r="AB182" s="207">
        <f>SUMIFS('ноябрь 2023'!$G$76:$G$1127,'ноябрь 2023'!$D$76:$D$1127,$B182,'ноябрь 2023'!$J$76:$J$1127,AB$1)</f>
        <v>0</v>
      </c>
      <c r="AC182" s="207">
        <f>SUMIFS('ноябрь 2023'!$G$76:$G$1127,'ноябрь 2023'!$D$76:$D$1127,$B182,'ноябрь 2023'!$J$76:$J$1127,AC$1)</f>
        <v>0</v>
      </c>
      <c r="AD182" s="207">
        <f>SUMIFS('ноябрь 2023'!$G$76:$G$1127,'ноябрь 2023'!$D$76:$D$1127,$B182,'ноябрь 2023'!$J$76:$J$1127,AD$1)</f>
        <v>0</v>
      </c>
      <c r="AE182" s="207">
        <f>SUMIFS('ноябрь 2023'!$G$76:$G$1127,'ноябрь 2023'!$D$76:$D$1127,$B182,'ноябрь 2023'!$J$76:$J$1127,AE$1)</f>
        <v>0</v>
      </c>
      <c r="AF182" s="207">
        <f>SUMIFS('ноябрь 2023'!$G$76:$G$1127,'ноябрь 2023'!$D$76:$D$1127,$B182,'ноябрь 2023'!$J$76:$J$1127,AF$1)</f>
        <v>0</v>
      </c>
      <c r="AG182" s="207">
        <f>SUMIFS('ноябрь 2023'!$G$76:$G$1127,'ноябрь 2023'!$D$76:$D$1127,$B182,'ноябрь 2023'!$J$76:$J$1127,AG$1)</f>
        <v>0</v>
      </c>
      <c r="AH182" s="207">
        <f>SUMIFS('ноябрь 2023'!$G$76:$G$1127,'ноябрь 2023'!$D$76:$D$1127,$B182,'ноябрь 2023'!$J$76:$J$1127,AH$1)</f>
        <v>0</v>
      </c>
      <c r="AI182" s="220">
        <f t="shared" si="4"/>
        <v>0</v>
      </c>
    </row>
    <row r="183" spans="2:35" ht="15.75" hidden="1" x14ac:dyDescent="0.25">
      <c r="B183" s="212"/>
      <c r="C183" s="211"/>
      <c r="D183" s="207">
        <f>SUMIFS('ноябрь 2023'!$G$76:$G$1127,'ноябрь 2023'!$D$76:$D$1127,$B183,'ноябрь 2023'!$J$76:$J$1127,D$1)</f>
        <v>0</v>
      </c>
      <c r="E183" s="207">
        <f>SUMIFS('ноябрь 2023'!$G$76:$G$1127,'ноябрь 2023'!$D$76:$D$1127,$B183,'ноябрь 2023'!$J$76:$J$1127,E$1)</f>
        <v>0</v>
      </c>
      <c r="F183" s="207">
        <f>SUMIFS('ноябрь 2023'!$G$76:$G$1127,'ноябрь 2023'!$D$76:$D$1127,$B183,'ноябрь 2023'!$J$76:$J$1127,F$1)</f>
        <v>0</v>
      </c>
      <c r="G183" s="207">
        <f>SUMIFS('ноябрь 2023'!$G$76:$G$1127,'ноябрь 2023'!$D$76:$D$1127,$B183,'ноябрь 2023'!$J$76:$J$1127,G$1)</f>
        <v>0</v>
      </c>
      <c r="H183" s="207">
        <f>SUMIFS('ноябрь 2023'!$G$76:$G$1127,'ноябрь 2023'!$D$76:$D$1127,$B183,'ноябрь 2023'!$J$76:$J$1127,H$1)</f>
        <v>0</v>
      </c>
      <c r="I183" s="207">
        <f>SUMIFS('ноябрь 2023'!$G$76:$G$1127,'ноябрь 2023'!$D$76:$D$1127,$B183,'ноябрь 2023'!$J$76:$J$1127,I$1)</f>
        <v>0</v>
      </c>
      <c r="J183" s="207">
        <f>SUMIFS('ноябрь 2023'!$G$76:$G$1127,'ноябрь 2023'!$D$76:$D$1127,$B183,'ноябрь 2023'!$J$76:$J$1127,J$1)</f>
        <v>0</v>
      </c>
      <c r="K183" s="207">
        <f>SUMIFS('ноябрь 2023'!$G$76:$G$1127,'ноябрь 2023'!$D$76:$D$1127,$B183,'ноябрь 2023'!$J$76:$J$1127,K$1)</f>
        <v>0</v>
      </c>
      <c r="L183" s="207">
        <f>SUMIFS('ноябрь 2023'!$G$76:$G$1127,'ноябрь 2023'!$D$76:$D$1127,$B183,'ноябрь 2023'!$J$76:$J$1127,L$1)</f>
        <v>0</v>
      </c>
      <c r="M183" s="207">
        <f>SUMIFS('ноябрь 2023'!$G$76:$G$1127,'ноябрь 2023'!$D$76:$D$1127,$B183,'ноябрь 2023'!$J$76:$J$1127,M$1)</f>
        <v>0</v>
      </c>
      <c r="N183" s="207">
        <f>SUMIFS('ноябрь 2023'!$G$76:$G$1127,'ноябрь 2023'!$D$76:$D$1127,$B183,'ноябрь 2023'!$J$76:$J$1127,N$1)</f>
        <v>0</v>
      </c>
      <c r="O183" s="207">
        <f>SUMIFS('ноябрь 2023'!$G$76:$G$1127,'ноябрь 2023'!$D$76:$D$1127,$B183,'ноябрь 2023'!$J$76:$J$1127,O$1)</f>
        <v>0</v>
      </c>
      <c r="P183" s="207">
        <f>SUMIFS('ноябрь 2023'!$G$76:$G$1127,'ноябрь 2023'!$D$76:$D$1127,$B183,'ноябрь 2023'!$J$76:$J$1127,P$1)</f>
        <v>0</v>
      </c>
      <c r="Q183" s="207">
        <f>SUMIFS('ноябрь 2023'!$G$76:$G$1127,'ноябрь 2023'!$D$76:$D$1127,$B183,'ноябрь 2023'!$J$76:$J$1127,Q$1)</f>
        <v>0</v>
      </c>
      <c r="R183" s="207">
        <f>SUMIFS('ноябрь 2023'!$G$76:$G$1127,'ноябрь 2023'!$D$76:$D$1127,$B183,'ноябрь 2023'!$J$76:$J$1127,R$1)</f>
        <v>0</v>
      </c>
      <c r="S183" s="207">
        <f>SUMIFS('ноябрь 2023'!$G$76:$G$1127,'ноябрь 2023'!$D$76:$D$1127,$B183,'ноябрь 2023'!$J$76:$J$1127,S$1)</f>
        <v>0</v>
      </c>
      <c r="T183" s="207">
        <f>SUMIFS('ноябрь 2023'!$G$76:$G$1127,'ноябрь 2023'!$D$76:$D$1127,$B183,'ноябрь 2023'!$J$76:$J$1127,T$1)</f>
        <v>0</v>
      </c>
      <c r="U183" s="207">
        <f>SUMIFS('ноябрь 2023'!$G$76:$G$1127,'ноябрь 2023'!$D$76:$D$1127,$B183,'ноябрь 2023'!$J$76:$J$1127,U$1)</f>
        <v>0</v>
      </c>
      <c r="V183" s="207">
        <f>SUMIFS('ноябрь 2023'!$G$76:$G$1127,'ноябрь 2023'!$D$76:$D$1127,$B183,'ноябрь 2023'!$J$76:$J$1127,V$1)</f>
        <v>0</v>
      </c>
      <c r="W183" s="207">
        <f>SUMIFS('ноябрь 2023'!$G$76:$G$1127,'ноябрь 2023'!$D$76:$D$1127,$B183,'ноябрь 2023'!$J$76:$J$1127,W$1)</f>
        <v>0</v>
      </c>
      <c r="X183" s="207">
        <f>SUMIFS('ноябрь 2023'!$G$76:$G$1127,'ноябрь 2023'!$D$76:$D$1127,$B183,'ноябрь 2023'!$J$76:$J$1127,X$1)</f>
        <v>0</v>
      </c>
      <c r="Y183" s="207">
        <f>SUMIFS('ноябрь 2023'!$G$76:$G$1127,'ноябрь 2023'!$D$76:$D$1127,$B183,'ноябрь 2023'!$J$76:$J$1127,Y$1)</f>
        <v>0</v>
      </c>
      <c r="Z183" s="207">
        <f>SUMIFS('ноябрь 2023'!$G$76:$G$1127,'ноябрь 2023'!$D$76:$D$1127,$B183,'ноябрь 2023'!$J$76:$J$1127,Z$1)</f>
        <v>0</v>
      </c>
      <c r="AA183" s="207">
        <f>SUMIFS('ноябрь 2023'!$G$76:$G$1127,'ноябрь 2023'!$D$76:$D$1127,$B183,'ноябрь 2023'!$J$76:$J$1127,AA$1)</f>
        <v>0</v>
      </c>
      <c r="AB183" s="207">
        <f>SUMIFS('ноябрь 2023'!$G$76:$G$1127,'ноябрь 2023'!$D$76:$D$1127,$B183,'ноябрь 2023'!$J$76:$J$1127,AB$1)</f>
        <v>0</v>
      </c>
      <c r="AC183" s="207">
        <f>SUMIFS('ноябрь 2023'!$G$76:$G$1127,'ноябрь 2023'!$D$76:$D$1127,$B183,'ноябрь 2023'!$J$76:$J$1127,AC$1)</f>
        <v>0</v>
      </c>
      <c r="AD183" s="207">
        <f>SUMIFS('ноябрь 2023'!$G$76:$G$1127,'ноябрь 2023'!$D$76:$D$1127,$B183,'ноябрь 2023'!$J$76:$J$1127,AD$1)</f>
        <v>0</v>
      </c>
      <c r="AE183" s="207">
        <f>SUMIFS('ноябрь 2023'!$G$76:$G$1127,'ноябрь 2023'!$D$76:$D$1127,$B183,'ноябрь 2023'!$J$76:$J$1127,AE$1)</f>
        <v>0</v>
      </c>
      <c r="AF183" s="207">
        <f>SUMIFS('ноябрь 2023'!$G$76:$G$1127,'ноябрь 2023'!$D$76:$D$1127,$B183,'ноябрь 2023'!$J$76:$J$1127,AF$1)</f>
        <v>0</v>
      </c>
      <c r="AG183" s="207">
        <f>SUMIFS('ноябрь 2023'!$G$76:$G$1127,'ноябрь 2023'!$D$76:$D$1127,$B183,'ноябрь 2023'!$J$76:$J$1127,AG$1)</f>
        <v>0</v>
      </c>
      <c r="AH183" s="207">
        <f>SUMIFS('ноябрь 2023'!$G$76:$G$1127,'ноябрь 2023'!$D$76:$D$1127,$B183,'ноябрь 2023'!$J$76:$J$1127,AH$1)</f>
        <v>0</v>
      </c>
      <c r="AI183" s="220">
        <f t="shared" si="4"/>
        <v>0</v>
      </c>
    </row>
    <row r="184" spans="2:35" ht="15.75" hidden="1" x14ac:dyDescent="0.25">
      <c r="B184" s="212"/>
      <c r="C184" s="211"/>
      <c r="D184" s="207">
        <f>SUMIFS('ноябрь 2023'!$G$76:$G$1127,'ноябрь 2023'!$D$76:$D$1127,$B184,'ноябрь 2023'!$J$76:$J$1127,D$1)</f>
        <v>0</v>
      </c>
      <c r="E184" s="207">
        <f>SUMIFS('ноябрь 2023'!$G$76:$G$1127,'ноябрь 2023'!$D$76:$D$1127,$B184,'ноябрь 2023'!$J$76:$J$1127,E$1)</f>
        <v>0</v>
      </c>
      <c r="F184" s="207">
        <f>SUMIFS('ноябрь 2023'!$G$76:$G$1127,'ноябрь 2023'!$D$76:$D$1127,$B184,'ноябрь 2023'!$J$76:$J$1127,F$1)</f>
        <v>0</v>
      </c>
      <c r="G184" s="207">
        <f>SUMIFS('ноябрь 2023'!$G$76:$G$1127,'ноябрь 2023'!$D$76:$D$1127,$B184,'ноябрь 2023'!$J$76:$J$1127,G$1)</f>
        <v>0</v>
      </c>
      <c r="H184" s="207">
        <f>SUMIFS('ноябрь 2023'!$G$76:$G$1127,'ноябрь 2023'!$D$76:$D$1127,$B184,'ноябрь 2023'!$J$76:$J$1127,H$1)</f>
        <v>0</v>
      </c>
      <c r="I184" s="207">
        <f>SUMIFS('ноябрь 2023'!$G$76:$G$1127,'ноябрь 2023'!$D$76:$D$1127,$B184,'ноябрь 2023'!$J$76:$J$1127,I$1)</f>
        <v>0</v>
      </c>
      <c r="J184" s="207">
        <f>SUMIFS('ноябрь 2023'!$G$76:$G$1127,'ноябрь 2023'!$D$76:$D$1127,$B184,'ноябрь 2023'!$J$76:$J$1127,J$1)</f>
        <v>0</v>
      </c>
      <c r="K184" s="207">
        <f>SUMIFS('ноябрь 2023'!$G$76:$G$1127,'ноябрь 2023'!$D$76:$D$1127,$B184,'ноябрь 2023'!$J$76:$J$1127,K$1)</f>
        <v>0</v>
      </c>
      <c r="L184" s="207">
        <f>SUMIFS('ноябрь 2023'!$G$76:$G$1127,'ноябрь 2023'!$D$76:$D$1127,$B184,'ноябрь 2023'!$J$76:$J$1127,L$1)</f>
        <v>0</v>
      </c>
      <c r="M184" s="207">
        <f>SUMIFS('ноябрь 2023'!$G$76:$G$1127,'ноябрь 2023'!$D$76:$D$1127,$B184,'ноябрь 2023'!$J$76:$J$1127,M$1)</f>
        <v>0</v>
      </c>
      <c r="N184" s="207">
        <f>SUMIFS('ноябрь 2023'!$G$76:$G$1127,'ноябрь 2023'!$D$76:$D$1127,$B184,'ноябрь 2023'!$J$76:$J$1127,N$1)</f>
        <v>0</v>
      </c>
      <c r="O184" s="207">
        <f>SUMIFS('ноябрь 2023'!$G$76:$G$1127,'ноябрь 2023'!$D$76:$D$1127,$B184,'ноябрь 2023'!$J$76:$J$1127,O$1)</f>
        <v>0</v>
      </c>
      <c r="P184" s="207">
        <f>SUMIFS('ноябрь 2023'!$G$76:$G$1127,'ноябрь 2023'!$D$76:$D$1127,$B184,'ноябрь 2023'!$J$76:$J$1127,P$1)</f>
        <v>0</v>
      </c>
      <c r="Q184" s="207">
        <f>SUMIFS('ноябрь 2023'!$G$76:$G$1127,'ноябрь 2023'!$D$76:$D$1127,$B184,'ноябрь 2023'!$J$76:$J$1127,Q$1)</f>
        <v>0</v>
      </c>
      <c r="R184" s="207">
        <f>SUMIFS('ноябрь 2023'!$G$76:$G$1127,'ноябрь 2023'!$D$76:$D$1127,$B184,'ноябрь 2023'!$J$76:$J$1127,R$1)</f>
        <v>0</v>
      </c>
      <c r="S184" s="207">
        <f>SUMIFS('ноябрь 2023'!$G$76:$G$1127,'ноябрь 2023'!$D$76:$D$1127,$B184,'ноябрь 2023'!$J$76:$J$1127,S$1)</f>
        <v>0</v>
      </c>
      <c r="T184" s="207">
        <f>SUMIFS('ноябрь 2023'!$G$76:$G$1127,'ноябрь 2023'!$D$76:$D$1127,$B184,'ноябрь 2023'!$J$76:$J$1127,T$1)</f>
        <v>0</v>
      </c>
      <c r="U184" s="207">
        <f>SUMIFS('ноябрь 2023'!$G$76:$G$1127,'ноябрь 2023'!$D$76:$D$1127,$B184,'ноябрь 2023'!$J$76:$J$1127,U$1)</f>
        <v>0</v>
      </c>
      <c r="V184" s="207">
        <f>SUMIFS('ноябрь 2023'!$G$76:$G$1127,'ноябрь 2023'!$D$76:$D$1127,$B184,'ноябрь 2023'!$J$76:$J$1127,V$1)</f>
        <v>0</v>
      </c>
      <c r="W184" s="207">
        <f>SUMIFS('ноябрь 2023'!$G$76:$G$1127,'ноябрь 2023'!$D$76:$D$1127,$B184,'ноябрь 2023'!$J$76:$J$1127,W$1)</f>
        <v>0</v>
      </c>
      <c r="X184" s="207">
        <f>SUMIFS('ноябрь 2023'!$G$76:$G$1127,'ноябрь 2023'!$D$76:$D$1127,$B184,'ноябрь 2023'!$J$76:$J$1127,X$1)</f>
        <v>0</v>
      </c>
      <c r="Y184" s="207">
        <f>SUMIFS('ноябрь 2023'!$G$76:$G$1127,'ноябрь 2023'!$D$76:$D$1127,$B184,'ноябрь 2023'!$J$76:$J$1127,Y$1)</f>
        <v>0</v>
      </c>
      <c r="Z184" s="207">
        <f>SUMIFS('ноябрь 2023'!$G$76:$G$1127,'ноябрь 2023'!$D$76:$D$1127,$B184,'ноябрь 2023'!$J$76:$J$1127,Z$1)</f>
        <v>0</v>
      </c>
      <c r="AA184" s="207">
        <f>SUMIFS('ноябрь 2023'!$G$76:$G$1127,'ноябрь 2023'!$D$76:$D$1127,$B184,'ноябрь 2023'!$J$76:$J$1127,AA$1)</f>
        <v>0</v>
      </c>
      <c r="AB184" s="207">
        <f>SUMIFS('ноябрь 2023'!$G$76:$G$1127,'ноябрь 2023'!$D$76:$D$1127,$B184,'ноябрь 2023'!$J$76:$J$1127,AB$1)</f>
        <v>0</v>
      </c>
      <c r="AC184" s="207">
        <f>SUMIFS('ноябрь 2023'!$G$76:$G$1127,'ноябрь 2023'!$D$76:$D$1127,$B184,'ноябрь 2023'!$J$76:$J$1127,AC$1)</f>
        <v>0</v>
      </c>
      <c r="AD184" s="207">
        <f>SUMIFS('ноябрь 2023'!$G$76:$G$1127,'ноябрь 2023'!$D$76:$D$1127,$B184,'ноябрь 2023'!$J$76:$J$1127,AD$1)</f>
        <v>0</v>
      </c>
      <c r="AE184" s="207">
        <f>SUMIFS('ноябрь 2023'!$G$76:$G$1127,'ноябрь 2023'!$D$76:$D$1127,$B184,'ноябрь 2023'!$J$76:$J$1127,AE$1)</f>
        <v>0</v>
      </c>
      <c r="AF184" s="207">
        <f>SUMIFS('ноябрь 2023'!$G$76:$G$1127,'ноябрь 2023'!$D$76:$D$1127,$B184,'ноябрь 2023'!$J$76:$J$1127,AF$1)</f>
        <v>0</v>
      </c>
      <c r="AG184" s="207">
        <f>SUMIFS('ноябрь 2023'!$G$76:$G$1127,'ноябрь 2023'!$D$76:$D$1127,$B184,'ноябрь 2023'!$J$76:$J$1127,AG$1)</f>
        <v>0</v>
      </c>
      <c r="AH184" s="207">
        <f>SUMIFS('ноябрь 2023'!$G$76:$G$1127,'ноябрь 2023'!$D$76:$D$1127,$B184,'ноябрь 2023'!$J$76:$J$1127,AH$1)</f>
        <v>0</v>
      </c>
      <c r="AI184" s="220">
        <f t="shared" si="4"/>
        <v>0</v>
      </c>
    </row>
    <row r="185" spans="2:35" ht="15.75" hidden="1" x14ac:dyDescent="0.25">
      <c r="B185" s="212"/>
      <c r="C185" s="211"/>
      <c r="D185" s="207">
        <f>SUMIFS('ноябрь 2023'!$G$76:$G$1127,'ноябрь 2023'!$D$76:$D$1127,$B185,'ноябрь 2023'!$J$76:$J$1127,D$1)</f>
        <v>0</v>
      </c>
      <c r="E185" s="207">
        <f>SUMIFS('ноябрь 2023'!$G$76:$G$1127,'ноябрь 2023'!$D$76:$D$1127,$B185,'ноябрь 2023'!$J$76:$J$1127,E$1)</f>
        <v>0</v>
      </c>
      <c r="F185" s="207">
        <f>SUMIFS('ноябрь 2023'!$G$76:$G$1127,'ноябрь 2023'!$D$76:$D$1127,$B185,'ноябрь 2023'!$J$76:$J$1127,F$1)</f>
        <v>0</v>
      </c>
      <c r="G185" s="207">
        <f>SUMIFS('ноябрь 2023'!$G$76:$G$1127,'ноябрь 2023'!$D$76:$D$1127,$B185,'ноябрь 2023'!$J$76:$J$1127,G$1)</f>
        <v>0</v>
      </c>
      <c r="H185" s="207">
        <f>SUMIFS('ноябрь 2023'!$G$76:$G$1127,'ноябрь 2023'!$D$76:$D$1127,$B185,'ноябрь 2023'!$J$76:$J$1127,H$1)</f>
        <v>0</v>
      </c>
      <c r="I185" s="207">
        <f>SUMIFS('ноябрь 2023'!$G$76:$G$1127,'ноябрь 2023'!$D$76:$D$1127,$B185,'ноябрь 2023'!$J$76:$J$1127,I$1)</f>
        <v>0</v>
      </c>
      <c r="J185" s="207">
        <f>SUMIFS('ноябрь 2023'!$G$76:$G$1127,'ноябрь 2023'!$D$76:$D$1127,$B185,'ноябрь 2023'!$J$76:$J$1127,J$1)</f>
        <v>0</v>
      </c>
      <c r="K185" s="207">
        <f>SUMIFS('ноябрь 2023'!$G$76:$G$1127,'ноябрь 2023'!$D$76:$D$1127,$B185,'ноябрь 2023'!$J$76:$J$1127,K$1)</f>
        <v>0</v>
      </c>
      <c r="L185" s="207">
        <f>SUMIFS('ноябрь 2023'!$G$76:$G$1127,'ноябрь 2023'!$D$76:$D$1127,$B185,'ноябрь 2023'!$J$76:$J$1127,L$1)</f>
        <v>0</v>
      </c>
      <c r="M185" s="207">
        <f>SUMIFS('ноябрь 2023'!$G$76:$G$1127,'ноябрь 2023'!$D$76:$D$1127,$B185,'ноябрь 2023'!$J$76:$J$1127,M$1)</f>
        <v>0</v>
      </c>
      <c r="N185" s="207">
        <f>SUMIFS('ноябрь 2023'!$G$76:$G$1127,'ноябрь 2023'!$D$76:$D$1127,$B185,'ноябрь 2023'!$J$76:$J$1127,N$1)</f>
        <v>0</v>
      </c>
      <c r="O185" s="207">
        <f>SUMIFS('ноябрь 2023'!$G$76:$G$1127,'ноябрь 2023'!$D$76:$D$1127,$B185,'ноябрь 2023'!$J$76:$J$1127,O$1)</f>
        <v>0</v>
      </c>
      <c r="P185" s="207">
        <f>SUMIFS('ноябрь 2023'!$G$76:$G$1127,'ноябрь 2023'!$D$76:$D$1127,$B185,'ноябрь 2023'!$J$76:$J$1127,P$1)</f>
        <v>0</v>
      </c>
      <c r="Q185" s="207">
        <f>SUMIFS('ноябрь 2023'!$G$76:$G$1127,'ноябрь 2023'!$D$76:$D$1127,$B185,'ноябрь 2023'!$J$76:$J$1127,Q$1)</f>
        <v>0</v>
      </c>
      <c r="R185" s="207">
        <f>SUMIFS('ноябрь 2023'!$G$76:$G$1127,'ноябрь 2023'!$D$76:$D$1127,$B185,'ноябрь 2023'!$J$76:$J$1127,R$1)</f>
        <v>0</v>
      </c>
      <c r="S185" s="207">
        <f>SUMIFS('ноябрь 2023'!$G$76:$G$1127,'ноябрь 2023'!$D$76:$D$1127,$B185,'ноябрь 2023'!$J$76:$J$1127,S$1)</f>
        <v>0</v>
      </c>
      <c r="T185" s="207">
        <f>SUMIFS('ноябрь 2023'!$G$76:$G$1127,'ноябрь 2023'!$D$76:$D$1127,$B185,'ноябрь 2023'!$J$76:$J$1127,T$1)</f>
        <v>0</v>
      </c>
      <c r="U185" s="207">
        <f>SUMIFS('ноябрь 2023'!$G$76:$G$1127,'ноябрь 2023'!$D$76:$D$1127,$B185,'ноябрь 2023'!$J$76:$J$1127,U$1)</f>
        <v>0</v>
      </c>
      <c r="V185" s="207">
        <f>SUMIFS('ноябрь 2023'!$G$76:$G$1127,'ноябрь 2023'!$D$76:$D$1127,$B185,'ноябрь 2023'!$J$76:$J$1127,V$1)</f>
        <v>0</v>
      </c>
      <c r="W185" s="207">
        <f>SUMIFS('ноябрь 2023'!$G$76:$G$1127,'ноябрь 2023'!$D$76:$D$1127,$B185,'ноябрь 2023'!$J$76:$J$1127,W$1)</f>
        <v>0</v>
      </c>
      <c r="X185" s="207">
        <f>SUMIFS('ноябрь 2023'!$G$76:$G$1127,'ноябрь 2023'!$D$76:$D$1127,$B185,'ноябрь 2023'!$J$76:$J$1127,X$1)</f>
        <v>0</v>
      </c>
      <c r="Y185" s="207">
        <f>SUMIFS('ноябрь 2023'!$G$76:$G$1127,'ноябрь 2023'!$D$76:$D$1127,$B185,'ноябрь 2023'!$J$76:$J$1127,Y$1)</f>
        <v>0</v>
      </c>
      <c r="Z185" s="207">
        <f>SUMIFS('ноябрь 2023'!$G$76:$G$1127,'ноябрь 2023'!$D$76:$D$1127,$B185,'ноябрь 2023'!$J$76:$J$1127,Z$1)</f>
        <v>0</v>
      </c>
      <c r="AA185" s="207">
        <f>SUMIFS('ноябрь 2023'!$G$76:$G$1127,'ноябрь 2023'!$D$76:$D$1127,$B185,'ноябрь 2023'!$J$76:$J$1127,AA$1)</f>
        <v>0</v>
      </c>
      <c r="AB185" s="207">
        <f>SUMIFS('ноябрь 2023'!$G$76:$G$1127,'ноябрь 2023'!$D$76:$D$1127,$B185,'ноябрь 2023'!$J$76:$J$1127,AB$1)</f>
        <v>0</v>
      </c>
      <c r="AC185" s="207">
        <f>SUMIFS('ноябрь 2023'!$G$76:$G$1127,'ноябрь 2023'!$D$76:$D$1127,$B185,'ноябрь 2023'!$J$76:$J$1127,AC$1)</f>
        <v>0</v>
      </c>
      <c r="AD185" s="207">
        <f>SUMIFS('ноябрь 2023'!$G$76:$G$1127,'ноябрь 2023'!$D$76:$D$1127,$B185,'ноябрь 2023'!$J$76:$J$1127,AD$1)</f>
        <v>0</v>
      </c>
      <c r="AE185" s="207">
        <f>SUMIFS('ноябрь 2023'!$G$76:$G$1127,'ноябрь 2023'!$D$76:$D$1127,$B185,'ноябрь 2023'!$J$76:$J$1127,AE$1)</f>
        <v>0</v>
      </c>
      <c r="AF185" s="207">
        <f>SUMIFS('ноябрь 2023'!$G$76:$G$1127,'ноябрь 2023'!$D$76:$D$1127,$B185,'ноябрь 2023'!$J$76:$J$1127,AF$1)</f>
        <v>0</v>
      </c>
      <c r="AG185" s="207">
        <f>SUMIFS('ноябрь 2023'!$G$76:$G$1127,'ноябрь 2023'!$D$76:$D$1127,$B185,'ноябрь 2023'!$J$76:$J$1127,AG$1)</f>
        <v>0</v>
      </c>
      <c r="AH185" s="207">
        <f>SUMIFS('ноябрь 2023'!$G$76:$G$1127,'ноябрь 2023'!$D$76:$D$1127,$B185,'ноябрь 2023'!$J$76:$J$1127,AH$1)</f>
        <v>0</v>
      </c>
      <c r="AI185" s="220">
        <f t="shared" si="4"/>
        <v>0</v>
      </c>
    </row>
    <row r="186" spans="2:35" ht="15.75" hidden="1" x14ac:dyDescent="0.25">
      <c r="B186" s="212"/>
      <c r="C186" s="211"/>
      <c r="D186" s="207">
        <f>SUMIFS('ноябрь 2023'!$G$76:$G$1127,'ноябрь 2023'!$D$76:$D$1127,$B186,'ноябрь 2023'!$J$76:$J$1127,D$1)</f>
        <v>0</v>
      </c>
      <c r="E186" s="207">
        <f>SUMIFS('ноябрь 2023'!$G$76:$G$1127,'ноябрь 2023'!$D$76:$D$1127,$B186,'ноябрь 2023'!$J$76:$J$1127,E$1)</f>
        <v>0</v>
      </c>
      <c r="F186" s="207">
        <f>SUMIFS('ноябрь 2023'!$G$76:$G$1127,'ноябрь 2023'!$D$76:$D$1127,$B186,'ноябрь 2023'!$J$76:$J$1127,F$1)</f>
        <v>0</v>
      </c>
      <c r="G186" s="207">
        <f>SUMIFS('ноябрь 2023'!$G$76:$G$1127,'ноябрь 2023'!$D$76:$D$1127,$B186,'ноябрь 2023'!$J$76:$J$1127,G$1)</f>
        <v>0</v>
      </c>
      <c r="H186" s="207">
        <f>SUMIFS('ноябрь 2023'!$G$76:$G$1127,'ноябрь 2023'!$D$76:$D$1127,$B186,'ноябрь 2023'!$J$76:$J$1127,H$1)</f>
        <v>0</v>
      </c>
      <c r="I186" s="207">
        <f>SUMIFS('ноябрь 2023'!$G$76:$G$1127,'ноябрь 2023'!$D$76:$D$1127,$B186,'ноябрь 2023'!$J$76:$J$1127,I$1)</f>
        <v>0</v>
      </c>
      <c r="J186" s="207">
        <f>SUMIFS('ноябрь 2023'!$G$76:$G$1127,'ноябрь 2023'!$D$76:$D$1127,$B186,'ноябрь 2023'!$J$76:$J$1127,J$1)</f>
        <v>0</v>
      </c>
      <c r="K186" s="207">
        <f>SUMIFS('ноябрь 2023'!$G$76:$G$1127,'ноябрь 2023'!$D$76:$D$1127,$B186,'ноябрь 2023'!$J$76:$J$1127,K$1)</f>
        <v>0</v>
      </c>
      <c r="L186" s="207">
        <f>SUMIFS('ноябрь 2023'!$G$76:$G$1127,'ноябрь 2023'!$D$76:$D$1127,$B186,'ноябрь 2023'!$J$76:$J$1127,L$1)</f>
        <v>0</v>
      </c>
      <c r="M186" s="207">
        <f>SUMIFS('ноябрь 2023'!$G$76:$G$1127,'ноябрь 2023'!$D$76:$D$1127,$B186,'ноябрь 2023'!$J$76:$J$1127,M$1)</f>
        <v>0</v>
      </c>
      <c r="N186" s="207">
        <f>SUMIFS('ноябрь 2023'!$G$76:$G$1127,'ноябрь 2023'!$D$76:$D$1127,$B186,'ноябрь 2023'!$J$76:$J$1127,N$1)</f>
        <v>0</v>
      </c>
      <c r="O186" s="207">
        <f>SUMIFS('ноябрь 2023'!$G$76:$G$1127,'ноябрь 2023'!$D$76:$D$1127,$B186,'ноябрь 2023'!$J$76:$J$1127,O$1)</f>
        <v>0</v>
      </c>
      <c r="P186" s="207">
        <f>SUMIFS('ноябрь 2023'!$G$76:$G$1127,'ноябрь 2023'!$D$76:$D$1127,$B186,'ноябрь 2023'!$J$76:$J$1127,P$1)</f>
        <v>0</v>
      </c>
      <c r="Q186" s="207">
        <f>SUMIFS('ноябрь 2023'!$G$76:$G$1127,'ноябрь 2023'!$D$76:$D$1127,$B186,'ноябрь 2023'!$J$76:$J$1127,Q$1)</f>
        <v>0</v>
      </c>
      <c r="R186" s="207">
        <f>SUMIFS('ноябрь 2023'!$G$76:$G$1127,'ноябрь 2023'!$D$76:$D$1127,$B186,'ноябрь 2023'!$J$76:$J$1127,R$1)</f>
        <v>0</v>
      </c>
      <c r="S186" s="207">
        <f>SUMIFS('ноябрь 2023'!$G$76:$G$1127,'ноябрь 2023'!$D$76:$D$1127,$B186,'ноябрь 2023'!$J$76:$J$1127,S$1)</f>
        <v>0</v>
      </c>
      <c r="T186" s="207">
        <f>SUMIFS('ноябрь 2023'!$G$76:$G$1127,'ноябрь 2023'!$D$76:$D$1127,$B186,'ноябрь 2023'!$J$76:$J$1127,T$1)</f>
        <v>0</v>
      </c>
      <c r="U186" s="207">
        <f>SUMIFS('ноябрь 2023'!$G$76:$G$1127,'ноябрь 2023'!$D$76:$D$1127,$B186,'ноябрь 2023'!$J$76:$J$1127,U$1)</f>
        <v>0</v>
      </c>
      <c r="V186" s="207">
        <f>SUMIFS('ноябрь 2023'!$G$76:$G$1127,'ноябрь 2023'!$D$76:$D$1127,$B186,'ноябрь 2023'!$J$76:$J$1127,V$1)</f>
        <v>0</v>
      </c>
      <c r="W186" s="207">
        <f>SUMIFS('ноябрь 2023'!$G$76:$G$1127,'ноябрь 2023'!$D$76:$D$1127,$B186,'ноябрь 2023'!$J$76:$J$1127,W$1)</f>
        <v>0</v>
      </c>
      <c r="X186" s="207">
        <f>SUMIFS('ноябрь 2023'!$G$76:$G$1127,'ноябрь 2023'!$D$76:$D$1127,$B186,'ноябрь 2023'!$J$76:$J$1127,X$1)</f>
        <v>0</v>
      </c>
      <c r="Y186" s="207">
        <f>SUMIFS('ноябрь 2023'!$G$76:$G$1127,'ноябрь 2023'!$D$76:$D$1127,$B186,'ноябрь 2023'!$J$76:$J$1127,Y$1)</f>
        <v>0</v>
      </c>
      <c r="Z186" s="207">
        <f>SUMIFS('ноябрь 2023'!$G$76:$G$1127,'ноябрь 2023'!$D$76:$D$1127,$B186,'ноябрь 2023'!$J$76:$J$1127,Z$1)</f>
        <v>0</v>
      </c>
      <c r="AA186" s="207">
        <f>SUMIFS('ноябрь 2023'!$G$76:$G$1127,'ноябрь 2023'!$D$76:$D$1127,$B186,'ноябрь 2023'!$J$76:$J$1127,AA$1)</f>
        <v>0</v>
      </c>
      <c r="AB186" s="207">
        <f>SUMIFS('ноябрь 2023'!$G$76:$G$1127,'ноябрь 2023'!$D$76:$D$1127,$B186,'ноябрь 2023'!$J$76:$J$1127,AB$1)</f>
        <v>0</v>
      </c>
      <c r="AC186" s="207">
        <f>SUMIFS('ноябрь 2023'!$G$76:$G$1127,'ноябрь 2023'!$D$76:$D$1127,$B186,'ноябрь 2023'!$J$76:$J$1127,AC$1)</f>
        <v>0</v>
      </c>
      <c r="AD186" s="207">
        <f>SUMIFS('ноябрь 2023'!$G$76:$G$1127,'ноябрь 2023'!$D$76:$D$1127,$B186,'ноябрь 2023'!$J$76:$J$1127,AD$1)</f>
        <v>0</v>
      </c>
      <c r="AE186" s="207">
        <f>SUMIFS('ноябрь 2023'!$G$76:$G$1127,'ноябрь 2023'!$D$76:$D$1127,$B186,'ноябрь 2023'!$J$76:$J$1127,AE$1)</f>
        <v>0</v>
      </c>
      <c r="AF186" s="207">
        <f>SUMIFS('ноябрь 2023'!$G$76:$G$1127,'ноябрь 2023'!$D$76:$D$1127,$B186,'ноябрь 2023'!$J$76:$J$1127,AF$1)</f>
        <v>0</v>
      </c>
      <c r="AG186" s="207">
        <f>SUMIFS('ноябрь 2023'!$G$76:$G$1127,'ноябрь 2023'!$D$76:$D$1127,$B186,'ноябрь 2023'!$J$76:$J$1127,AG$1)</f>
        <v>0</v>
      </c>
      <c r="AH186" s="207">
        <f>SUMIFS('ноябрь 2023'!$G$76:$G$1127,'ноябрь 2023'!$D$76:$D$1127,$B186,'ноябрь 2023'!$J$76:$J$1127,AH$1)</f>
        <v>0</v>
      </c>
      <c r="AI186" s="220">
        <f t="shared" si="4"/>
        <v>0</v>
      </c>
    </row>
    <row r="187" spans="2:35" ht="15.75" hidden="1" x14ac:dyDescent="0.25">
      <c r="B187" s="212"/>
      <c r="C187" s="211"/>
      <c r="D187" s="207">
        <f>SUMIFS('ноябрь 2023'!$G$76:$G$1127,'ноябрь 2023'!$D$76:$D$1127,$B187,'ноябрь 2023'!$J$76:$J$1127,D$1)</f>
        <v>0</v>
      </c>
      <c r="E187" s="207">
        <f>SUMIFS('ноябрь 2023'!$G$76:$G$1127,'ноябрь 2023'!$D$76:$D$1127,$B187,'ноябрь 2023'!$J$76:$J$1127,E$1)</f>
        <v>0</v>
      </c>
      <c r="F187" s="207">
        <f>SUMIFS('ноябрь 2023'!$G$76:$G$1127,'ноябрь 2023'!$D$76:$D$1127,$B187,'ноябрь 2023'!$J$76:$J$1127,F$1)</f>
        <v>0</v>
      </c>
      <c r="G187" s="207">
        <f>SUMIFS('ноябрь 2023'!$G$76:$G$1127,'ноябрь 2023'!$D$76:$D$1127,$B187,'ноябрь 2023'!$J$76:$J$1127,G$1)</f>
        <v>0</v>
      </c>
      <c r="H187" s="207">
        <f>SUMIFS('ноябрь 2023'!$G$76:$G$1127,'ноябрь 2023'!$D$76:$D$1127,$B187,'ноябрь 2023'!$J$76:$J$1127,H$1)</f>
        <v>0</v>
      </c>
      <c r="I187" s="207">
        <f>SUMIFS('ноябрь 2023'!$G$76:$G$1127,'ноябрь 2023'!$D$76:$D$1127,$B187,'ноябрь 2023'!$J$76:$J$1127,I$1)</f>
        <v>0</v>
      </c>
      <c r="J187" s="207">
        <f>SUMIFS('ноябрь 2023'!$G$76:$G$1127,'ноябрь 2023'!$D$76:$D$1127,$B187,'ноябрь 2023'!$J$76:$J$1127,J$1)</f>
        <v>0</v>
      </c>
      <c r="K187" s="207">
        <f>SUMIFS('ноябрь 2023'!$G$76:$G$1127,'ноябрь 2023'!$D$76:$D$1127,$B187,'ноябрь 2023'!$J$76:$J$1127,K$1)</f>
        <v>0</v>
      </c>
      <c r="L187" s="207">
        <f>SUMIFS('ноябрь 2023'!$G$76:$G$1127,'ноябрь 2023'!$D$76:$D$1127,$B187,'ноябрь 2023'!$J$76:$J$1127,L$1)</f>
        <v>0</v>
      </c>
      <c r="M187" s="207">
        <f>SUMIFS('ноябрь 2023'!$G$76:$G$1127,'ноябрь 2023'!$D$76:$D$1127,$B187,'ноябрь 2023'!$J$76:$J$1127,M$1)</f>
        <v>0</v>
      </c>
      <c r="N187" s="207">
        <f>SUMIFS('ноябрь 2023'!$G$76:$G$1127,'ноябрь 2023'!$D$76:$D$1127,$B187,'ноябрь 2023'!$J$76:$J$1127,N$1)</f>
        <v>0</v>
      </c>
      <c r="O187" s="207">
        <f>SUMIFS('ноябрь 2023'!$G$76:$G$1127,'ноябрь 2023'!$D$76:$D$1127,$B187,'ноябрь 2023'!$J$76:$J$1127,O$1)</f>
        <v>0</v>
      </c>
      <c r="P187" s="207">
        <f>SUMIFS('ноябрь 2023'!$G$76:$G$1127,'ноябрь 2023'!$D$76:$D$1127,$B187,'ноябрь 2023'!$J$76:$J$1127,P$1)</f>
        <v>0</v>
      </c>
      <c r="Q187" s="207">
        <f>SUMIFS('ноябрь 2023'!$G$76:$G$1127,'ноябрь 2023'!$D$76:$D$1127,$B187,'ноябрь 2023'!$J$76:$J$1127,Q$1)</f>
        <v>0</v>
      </c>
      <c r="R187" s="207">
        <f>SUMIFS('ноябрь 2023'!$G$76:$G$1127,'ноябрь 2023'!$D$76:$D$1127,$B187,'ноябрь 2023'!$J$76:$J$1127,R$1)</f>
        <v>0</v>
      </c>
      <c r="S187" s="207">
        <f>SUMIFS('ноябрь 2023'!$G$76:$G$1127,'ноябрь 2023'!$D$76:$D$1127,$B187,'ноябрь 2023'!$J$76:$J$1127,S$1)</f>
        <v>0</v>
      </c>
      <c r="T187" s="207">
        <f>SUMIFS('ноябрь 2023'!$G$76:$G$1127,'ноябрь 2023'!$D$76:$D$1127,$B187,'ноябрь 2023'!$J$76:$J$1127,T$1)</f>
        <v>0</v>
      </c>
      <c r="U187" s="207">
        <f>SUMIFS('ноябрь 2023'!$G$76:$G$1127,'ноябрь 2023'!$D$76:$D$1127,$B187,'ноябрь 2023'!$J$76:$J$1127,U$1)</f>
        <v>0</v>
      </c>
      <c r="V187" s="207">
        <f>SUMIFS('ноябрь 2023'!$G$76:$G$1127,'ноябрь 2023'!$D$76:$D$1127,$B187,'ноябрь 2023'!$J$76:$J$1127,V$1)</f>
        <v>0</v>
      </c>
      <c r="W187" s="207">
        <f>SUMIFS('ноябрь 2023'!$G$76:$G$1127,'ноябрь 2023'!$D$76:$D$1127,$B187,'ноябрь 2023'!$J$76:$J$1127,W$1)</f>
        <v>0</v>
      </c>
      <c r="X187" s="207">
        <f>SUMIFS('ноябрь 2023'!$G$76:$G$1127,'ноябрь 2023'!$D$76:$D$1127,$B187,'ноябрь 2023'!$J$76:$J$1127,X$1)</f>
        <v>0</v>
      </c>
      <c r="Y187" s="207">
        <f>SUMIFS('ноябрь 2023'!$G$76:$G$1127,'ноябрь 2023'!$D$76:$D$1127,$B187,'ноябрь 2023'!$J$76:$J$1127,Y$1)</f>
        <v>0</v>
      </c>
      <c r="Z187" s="207">
        <f>SUMIFS('ноябрь 2023'!$G$76:$G$1127,'ноябрь 2023'!$D$76:$D$1127,$B187,'ноябрь 2023'!$J$76:$J$1127,Z$1)</f>
        <v>0</v>
      </c>
      <c r="AA187" s="207">
        <f>SUMIFS('ноябрь 2023'!$G$76:$G$1127,'ноябрь 2023'!$D$76:$D$1127,$B187,'ноябрь 2023'!$J$76:$J$1127,AA$1)</f>
        <v>0</v>
      </c>
      <c r="AB187" s="207">
        <f>SUMIFS('ноябрь 2023'!$G$76:$G$1127,'ноябрь 2023'!$D$76:$D$1127,$B187,'ноябрь 2023'!$J$76:$J$1127,AB$1)</f>
        <v>0</v>
      </c>
      <c r="AC187" s="207">
        <f>SUMIFS('ноябрь 2023'!$G$76:$G$1127,'ноябрь 2023'!$D$76:$D$1127,$B187,'ноябрь 2023'!$J$76:$J$1127,AC$1)</f>
        <v>0</v>
      </c>
      <c r="AD187" s="207">
        <f>SUMIFS('ноябрь 2023'!$G$76:$G$1127,'ноябрь 2023'!$D$76:$D$1127,$B187,'ноябрь 2023'!$J$76:$J$1127,AD$1)</f>
        <v>0</v>
      </c>
      <c r="AE187" s="207">
        <f>SUMIFS('ноябрь 2023'!$G$76:$G$1127,'ноябрь 2023'!$D$76:$D$1127,$B187,'ноябрь 2023'!$J$76:$J$1127,AE$1)</f>
        <v>0</v>
      </c>
      <c r="AF187" s="207">
        <f>SUMIFS('ноябрь 2023'!$G$76:$G$1127,'ноябрь 2023'!$D$76:$D$1127,$B187,'ноябрь 2023'!$J$76:$J$1127,AF$1)</f>
        <v>0</v>
      </c>
      <c r="AG187" s="207">
        <f>SUMIFS('ноябрь 2023'!$G$76:$G$1127,'ноябрь 2023'!$D$76:$D$1127,$B187,'ноябрь 2023'!$J$76:$J$1127,AG$1)</f>
        <v>0</v>
      </c>
      <c r="AH187" s="207">
        <f>SUMIFS('ноябрь 2023'!$G$76:$G$1127,'ноябрь 2023'!$D$76:$D$1127,$B187,'ноябрь 2023'!$J$76:$J$1127,AH$1)</f>
        <v>0</v>
      </c>
      <c r="AI187" s="220">
        <f t="shared" si="4"/>
        <v>0</v>
      </c>
    </row>
    <row r="188" spans="2:35" ht="15.75" hidden="1" x14ac:dyDescent="0.25">
      <c r="B188" s="212"/>
      <c r="C188" s="211"/>
      <c r="D188" s="207">
        <f>SUMIFS('ноябрь 2023'!$G$76:$G$1127,'ноябрь 2023'!$D$76:$D$1127,$B188,'ноябрь 2023'!$J$76:$J$1127,D$1)</f>
        <v>0</v>
      </c>
      <c r="E188" s="207">
        <f>SUMIFS('ноябрь 2023'!$G$76:$G$1127,'ноябрь 2023'!$D$76:$D$1127,$B188,'ноябрь 2023'!$J$76:$J$1127,E$1)</f>
        <v>0</v>
      </c>
      <c r="F188" s="207">
        <f>SUMIFS('ноябрь 2023'!$G$76:$G$1127,'ноябрь 2023'!$D$76:$D$1127,$B188,'ноябрь 2023'!$J$76:$J$1127,F$1)</f>
        <v>0</v>
      </c>
      <c r="G188" s="207">
        <f>SUMIFS('ноябрь 2023'!$G$76:$G$1127,'ноябрь 2023'!$D$76:$D$1127,$B188,'ноябрь 2023'!$J$76:$J$1127,G$1)</f>
        <v>0</v>
      </c>
      <c r="H188" s="207">
        <f>SUMIFS('ноябрь 2023'!$G$76:$G$1127,'ноябрь 2023'!$D$76:$D$1127,$B188,'ноябрь 2023'!$J$76:$J$1127,H$1)</f>
        <v>0</v>
      </c>
      <c r="I188" s="207">
        <f>SUMIFS('ноябрь 2023'!$G$76:$G$1127,'ноябрь 2023'!$D$76:$D$1127,$B188,'ноябрь 2023'!$J$76:$J$1127,I$1)</f>
        <v>0</v>
      </c>
      <c r="J188" s="207">
        <f>SUMIFS('ноябрь 2023'!$G$76:$G$1127,'ноябрь 2023'!$D$76:$D$1127,$B188,'ноябрь 2023'!$J$76:$J$1127,J$1)</f>
        <v>0</v>
      </c>
      <c r="K188" s="207">
        <f>SUMIFS('ноябрь 2023'!$G$76:$G$1127,'ноябрь 2023'!$D$76:$D$1127,$B188,'ноябрь 2023'!$J$76:$J$1127,K$1)</f>
        <v>0</v>
      </c>
      <c r="L188" s="207">
        <f>SUMIFS('ноябрь 2023'!$G$76:$G$1127,'ноябрь 2023'!$D$76:$D$1127,$B188,'ноябрь 2023'!$J$76:$J$1127,L$1)</f>
        <v>0</v>
      </c>
      <c r="M188" s="207">
        <f>SUMIFS('ноябрь 2023'!$G$76:$G$1127,'ноябрь 2023'!$D$76:$D$1127,$B188,'ноябрь 2023'!$J$76:$J$1127,M$1)</f>
        <v>0</v>
      </c>
      <c r="N188" s="207">
        <f>SUMIFS('ноябрь 2023'!$G$76:$G$1127,'ноябрь 2023'!$D$76:$D$1127,$B188,'ноябрь 2023'!$J$76:$J$1127,N$1)</f>
        <v>0</v>
      </c>
      <c r="O188" s="207">
        <f>SUMIFS('ноябрь 2023'!$G$76:$G$1127,'ноябрь 2023'!$D$76:$D$1127,$B188,'ноябрь 2023'!$J$76:$J$1127,O$1)</f>
        <v>0</v>
      </c>
      <c r="P188" s="207">
        <f>SUMIFS('ноябрь 2023'!$G$76:$G$1127,'ноябрь 2023'!$D$76:$D$1127,$B188,'ноябрь 2023'!$J$76:$J$1127,P$1)</f>
        <v>0</v>
      </c>
      <c r="Q188" s="207">
        <f>SUMIFS('ноябрь 2023'!$G$76:$G$1127,'ноябрь 2023'!$D$76:$D$1127,$B188,'ноябрь 2023'!$J$76:$J$1127,Q$1)</f>
        <v>0</v>
      </c>
      <c r="R188" s="207">
        <f>SUMIFS('ноябрь 2023'!$G$76:$G$1127,'ноябрь 2023'!$D$76:$D$1127,$B188,'ноябрь 2023'!$J$76:$J$1127,R$1)</f>
        <v>0</v>
      </c>
      <c r="S188" s="207">
        <f>SUMIFS('ноябрь 2023'!$G$76:$G$1127,'ноябрь 2023'!$D$76:$D$1127,$B188,'ноябрь 2023'!$J$76:$J$1127,S$1)</f>
        <v>0</v>
      </c>
      <c r="T188" s="207">
        <f>SUMIFS('ноябрь 2023'!$G$76:$G$1127,'ноябрь 2023'!$D$76:$D$1127,$B188,'ноябрь 2023'!$J$76:$J$1127,T$1)</f>
        <v>0</v>
      </c>
      <c r="U188" s="207">
        <f>SUMIFS('ноябрь 2023'!$G$76:$G$1127,'ноябрь 2023'!$D$76:$D$1127,$B188,'ноябрь 2023'!$J$76:$J$1127,U$1)</f>
        <v>0</v>
      </c>
      <c r="V188" s="207">
        <f>SUMIFS('ноябрь 2023'!$G$76:$G$1127,'ноябрь 2023'!$D$76:$D$1127,$B188,'ноябрь 2023'!$J$76:$J$1127,V$1)</f>
        <v>0</v>
      </c>
      <c r="W188" s="207">
        <f>SUMIFS('ноябрь 2023'!$G$76:$G$1127,'ноябрь 2023'!$D$76:$D$1127,$B188,'ноябрь 2023'!$J$76:$J$1127,W$1)</f>
        <v>0</v>
      </c>
      <c r="X188" s="207">
        <f>SUMIFS('ноябрь 2023'!$G$76:$G$1127,'ноябрь 2023'!$D$76:$D$1127,$B188,'ноябрь 2023'!$J$76:$J$1127,X$1)</f>
        <v>0</v>
      </c>
      <c r="Y188" s="207">
        <f>SUMIFS('ноябрь 2023'!$G$76:$G$1127,'ноябрь 2023'!$D$76:$D$1127,$B188,'ноябрь 2023'!$J$76:$J$1127,Y$1)</f>
        <v>0</v>
      </c>
      <c r="Z188" s="207">
        <f>SUMIFS('ноябрь 2023'!$G$76:$G$1127,'ноябрь 2023'!$D$76:$D$1127,$B188,'ноябрь 2023'!$J$76:$J$1127,Z$1)</f>
        <v>0</v>
      </c>
      <c r="AA188" s="207">
        <f>SUMIFS('ноябрь 2023'!$G$76:$G$1127,'ноябрь 2023'!$D$76:$D$1127,$B188,'ноябрь 2023'!$J$76:$J$1127,AA$1)</f>
        <v>0</v>
      </c>
      <c r="AB188" s="207">
        <f>SUMIFS('ноябрь 2023'!$G$76:$G$1127,'ноябрь 2023'!$D$76:$D$1127,$B188,'ноябрь 2023'!$J$76:$J$1127,AB$1)</f>
        <v>0</v>
      </c>
      <c r="AC188" s="207">
        <f>SUMIFS('ноябрь 2023'!$G$76:$G$1127,'ноябрь 2023'!$D$76:$D$1127,$B188,'ноябрь 2023'!$J$76:$J$1127,AC$1)</f>
        <v>0</v>
      </c>
      <c r="AD188" s="207">
        <f>SUMIFS('ноябрь 2023'!$G$76:$G$1127,'ноябрь 2023'!$D$76:$D$1127,$B188,'ноябрь 2023'!$J$76:$J$1127,AD$1)</f>
        <v>0</v>
      </c>
      <c r="AE188" s="207">
        <f>SUMIFS('ноябрь 2023'!$G$76:$G$1127,'ноябрь 2023'!$D$76:$D$1127,$B188,'ноябрь 2023'!$J$76:$J$1127,AE$1)</f>
        <v>0</v>
      </c>
      <c r="AF188" s="207">
        <f>SUMIFS('ноябрь 2023'!$G$76:$G$1127,'ноябрь 2023'!$D$76:$D$1127,$B188,'ноябрь 2023'!$J$76:$J$1127,AF$1)</f>
        <v>0</v>
      </c>
      <c r="AG188" s="207">
        <f>SUMIFS('ноябрь 2023'!$G$76:$G$1127,'ноябрь 2023'!$D$76:$D$1127,$B188,'ноябрь 2023'!$J$76:$J$1127,AG$1)</f>
        <v>0</v>
      </c>
      <c r="AH188" s="207">
        <f>SUMIFS('ноябрь 2023'!$G$76:$G$1127,'ноябрь 2023'!$D$76:$D$1127,$B188,'ноябрь 2023'!$J$76:$J$1127,AH$1)</f>
        <v>0</v>
      </c>
      <c r="AI188" s="220">
        <f t="shared" si="4"/>
        <v>0</v>
      </c>
    </row>
    <row r="189" spans="2:35" ht="15.75" hidden="1" x14ac:dyDescent="0.25">
      <c r="B189" s="212"/>
      <c r="C189" s="211"/>
      <c r="D189" s="207">
        <f>SUMIFS('ноябрь 2023'!$G$76:$G$1127,'ноябрь 2023'!$D$76:$D$1127,$B189,'ноябрь 2023'!$J$76:$J$1127,D$1)</f>
        <v>0</v>
      </c>
      <c r="E189" s="207">
        <f>SUMIFS('ноябрь 2023'!$G$76:$G$1127,'ноябрь 2023'!$D$76:$D$1127,$B189,'ноябрь 2023'!$J$76:$J$1127,E$1)</f>
        <v>0</v>
      </c>
      <c r="F189" s="207">
        <f>SUMIFS('ноябрь 2023'!$G$76:$G$1127,'ноябрь 2023'!$D$76:$D$1127,$B189,'ноябрь 2023'!$J$76:$J$1127,F$1)</f>
        <v>0</v>
      </c>
      <c r="G189" s="207">
        <f>SUMIFS('ноябрь 2023'!$G$76:$G$1127,'ноябрь 2023'!$D$76:$D$1127,$B189,'ноябрь 2023'!$J$76:$J$1127,G$1)</f>
        <v>0</v>
      </c>
      <c r="H189" s="207">
        <f>SUMIFS('ноябрь 2023'!$G$76:$G$1127,'ноябрь 2023'!$D$76:$D$1127,$B189,'ноябрь 2023'!$J$76:$J$1127,H$1)</f>
        <v>0</v>
      </c>
      <c r="I189" s="207">
        <f>SUMIFS('ноябрь 2023'!$G$76:$G$1127,'ноябрь 2023'!$D$76:$D$1127,$B189,'ноябрь 2023'!$J$76:$J$1127,I$1)</f>
        <v>0</v>
      </c>
      <c r="J189" s="207">
        <f>SUMIFS('ноябрь 2023'!$G$76:$G$1127,'ноябрь 2023'!$D$76:$D$1127,$B189,'ноябрь 2023'!$J$76:$J$1127,J$1)</f>
        <v>0</v>
      </c>
      <c r="K189" s="207">
        <f>SUMIFS('ноябрь 2023'!$G$76:$G$1127,'ноябрь 2023'!$D$76:$D$1127,$B189,'ноябрь 2023'!$J$76:$J$1127,K$1)</f>
        <v>0</v>
      </c>
      <c r="L189" s="207">
        <f>SUMIFS('ноябрь 2023'!$G$76:$G$1127,'ноябрь 2023'!$D$76:$D$1127,$B189,'ноябрь 2023'!$J$76:$J$1127,L$1)</f>
        <v>0</v>
      </c>
      <c r="M189" s="207">
        <f>SUMIFS('ноябрь 2023'!$G$76:$G$1127,'ноябрь 2023'!$D$76:$D$1127,$B189,'ноябрь 2023'!$J$76:$J$1127,M$1)</f>
        <v>0</v>
      </c>
      <c r="N189" s="207">
        <f>SUMIFS('ноябрь 2023'!$G$76:$G$1127,'ноябрь 2023'!$D$76:$D$1127,$B189,'ноябрь 2023'!$J$76:$J$1127,N$1)</f>
        <v>0</v>
      </c>
      <c r="O189" s="207">
        <f>SUMIFS('ноябрь 2023'!$G$76:$G$1127,'ноябрь 2023'!$D$76:$D$1127,$B189,'ноябрь 2023'!$J$76:$J$1127,O$1)</f>
        <v>0</v>
      </c>
      <c r="P189" s="207">
        <f>SUMIFS('ноябрь 2023'!$G$76:$G$1127,'ноябрь 2023'!$D$76:$D$1127,$B189,'ноябрь 2023'!$J$76:$J$1127,P$1)</f>
        <v>0</v>
      </c>
      <c r="Q189" s="207">
        <f>SUMIFS('ноябрь 2023'!$G$76:$G$1127,'ноябрь 2023'!$D$76:$D$1127,$B189,'ноябрь 2023'!$J$76:$J$1127,Q$1)</f>
        <v>0</v>
      </c>
      <c r="R189" s="207">
        <f>SUMIFS('ноябрь 2023'!$G$76:$G$1127,'ноябрь 2023'!$D$76:$D$1127,$B189,'ноябрь 2023'!$J$76:$J$1127,R$1)</f>
        <v>0</v>
      </c>
      <c r="S189" s="207">
        <f>SUMIFS('ноябрь 2023'!$G$76:$G$1127,'ноябрь 2023'!$D$76:$D$1127,$B189,'ноябрь 2023'!$J$76:$J$1127,S$1)</f>
        <v>0</v>
      </c>
      <c r="T189" s="207">
        <f>SUMIFS('ноябрь 2023'!$G$76:$G$1127,'ноябрь 2023'!$D$76:$D$1127,$B189,'ноябрь 2023'!$J$76:$J$1127,T$1)</f>
        <v>0</v>
      </c>
      <c r="U189" s="207">
        <f>SUMIFS('ноябрь 2023'!$G$76:$G$1127,'ноябрь 2023'!$D$76:$D$1127,$B189,'ноябрь 2023'!$J$76:$J$1127,U$1)</f>
        <v>0</v>
      </c>
      <c r="V189" s="207">
        <f>SUMIFS('ноябрь 2023'!$G$76:$G$1127,'ноябрь 2023'!$D$76:$D$1127,$B189,'ноябрь 2023'!$J$76:$J$1127,V$1)</f>
        <v>0</v>
      </c>
      <c r="W189" s="207">
        <f>SUMIFS('ноябрь 2023'!$G$76:$G$1127,'ноябрь 2023'!$D$76:$D$1127,$B189,'ноябрь 2023'!$J$76:$J$1127,W$1)</f>
        <v>0</v>
      </c>
      <c r="X189" s="207">
        <f>SUMIFS('ноябрь 2023'!$G$76:$G$1127,'ноябрь 2023'!$D$76:$D$1127,$B189,'ноябрь 2023'!$J$76:$J$1127,X$1)</f>
        <v>0</v>
      </c>
      <c r="Y189" s="207">
        <f>SUMIFS('ноябрь 2023'!$G$76:$G$1127,'ноябрь 2023'!$D$76:$D$1127,$B189,'ноябрь 2023'!$J$76:$J$1127,Y$1)</f>
        <v>0</v>
      </c>
      <c r="Z189" s="207">
        <f>SUMIFS('ноябрь 2023'!$G$76:$G$1127,'ноябрь 2023'!$D$76:$D$1127,$B189,'ноябрь 2023'!$J$76:$J$1127,Z$1)</f>
        <v>0</v>
      </c>
      <c r="AA189" s="207">
        <f>SUMIFS('ноябрь 2023'!$G$76:$G$1127,'ноябрь 2023'!$D$76:$D$1127,$B189,'ноябрь 2023'!$J$76:$J$1127,AA$1)</f>
        <v>0</v>
      </c>
      <c r="AB189" s="207">
        <f>SUMIFS('ноябрь 2023'!$G$76:$G$1127,'ноябрь 2023'!$D$76:$D$1127,$B189,'ноябрь 2023'!$J$76:$J$1127,AB$1)</f>
        <v>0</v>
      </c>
      <c r="AC189" s="207">
        <f>SUMIFS('ноябрь 2023'!$G$76:$G$1127,'ноябрь 2023'!$D$76:$D$1127,$B189,'ноябрь 2023'!$J$76:$J$1127,AC$1)</f>
        <v>0</v>
      </c>
      <c r="AD189" s="207">
        <f>SUMIFS('ноябрь 2023'!$G$76:$G$1127,'ноябрь 2023'!$D$76:$D$1127,$B189,'ноябрь 2023'!$J$76:$J$1127,AD$1)</f>
        <v>0</v>
      </c>
      <c r="AE189" s="207">
        <f>SUMIFS('ноябрь 2023'!$G$76:$G$1127,'ноябрь 2023'!$D$76:$D$1127,$B189,'ноябрь 2023'!$J$76:$J$1127,AE$1)</f>
        <v>0</v>
      </c>
      <c r="AF189" s="207">
        <f>SUMIFS('ноябрь 2023'!$G$76:$G$1127,'ноябрь 2023'!$D$76:$D$1127,$B189,'ноябрь 2023'!$J$76:$J$1127,AF$1)</f>
        <v>0</v>
      </c>
      <c r="AG189" s="207">
        <f>SUMIFS('ноябрь 2023'!$G$76:$G$1127,'ноябрь 2023'!$D$76:$D$1127,$B189,'ноябрь 2023'!$J$76:$J$1127,AG$1)</f>
        <v>0</v>
      </c>
      <c r="AH189" s="207">
        <f>SUMIFS('ноябрь 2023'!$G$76:$G$1127,'ноябрь 2023'!$D$76:$D$1127,$B189,'ноябрь 2023'!$J$76:$J$1127,AH$1)</f>
        <v>0</v>
      </c>
      <c r="AI189" s="220">
        <f t="shared" si="4"/>
        <v>0</v>
      </c>
    </row>
    <row r="190" spans="2:35" ht="15.75" hidden="1" x14ac:dyDescent="0.25">
      <c r="B190" s="212"/>
      <c r="C190" s="211"/>
      <c r="D190" s="207">
        <f>SUMIFS('ноябрь 2023'!$G$76:$G$1127,'ноябрь 2023'!$D$76:$D$1127,$B190,'ноябрь 2023'!$J$76:$J$1127,D$1)</f>
        <v>0</v>
      </c>
      <c r="E190" s="207">
        <f>SUMIFS('ноябрь 2023'!$G$76:$G$1127,'ноябрь 2023'!$D$76:$D$1127,$B190,'ноябрь 2023'!$J$76:$J$1127,E$1)</f>
        <v>0</v>
      </c>
      <c r="F190" s="207">
        <f>SUMIFS('ноябрь 2023'!$G$76:$G$1127,'ноябрь 2023'!$D$76:$D$1127,$B190,'ноябрь 2023'!$J$76:$J$1127,F$1)</f>
        <v>0</v>
      </c>
      <c r="G190" s="207">
        <f>SUMIFS('ноябрь 2023'!$G$76:$G$1127,'ноябрь 2023'!$D$76:$D$1127,$B190,'ноябрь 2023'!$J$76:$J$1127,G$1)</f>
        <v>0</v>
      </c>
      <c r="H190" s="207">
        <f>SUMIFS('ноябрь 2023'!$G$76:$G$1127,'ноябрь 2023'!$D$76:$D$1127,$B190,'ноябрь 2023'!$J$76:$J$1127,H$1)</f>
        <v>0</v>
      </c>
      <c r="I190" s="207">
        <f>SUMIFS('ноябрь 2023'!$G$76:$G$1127,'ноябрь 2023'!$D$76:$D$1127,$B190,'ноябрь 2023'!$J$76:$J$1127,I$1)</f>
        <v>0</v>
      </c>
      <c r="J190" s="207">
        <f>SUMIFS('ноябрь 2023'!$G$76:$G$1127,'ноябрь 2023'!$D$76:$D$1127,$B190,'ноябрь 2023'!$J$76:$J$1127,J$1)</f>
        <v>0</v>
      </c>
      <c r="K190" s="207">
        <f>SUMIFS('ноябрь 2023'!$G$76:$G$1127,'ноябрь 2023'!$D$76:$D$1127,$B190,'ноябрь 2023'!$J$76:$J$1127,K$1)</f>
        <v>0</v>
      </c>
      <c r="L190" s="207">
        <f>SUMIFS('ноябрь 2023'!$G$76:$G$1127,'ноябрь 2023'!$D$76:$D$1127,$B190,'ноябрь 2023'!$J$76:$J$1127,L$1)</f>
        <v>0</v>
      </c>
      <c r="M190" s="207">
        <f>SUMIFS('ноябрь 2023'!$G$76:$G$1127,'ноябрь 2023'!$D$76:$D$1127,$B190,'ноябрь 2023'!$J$76:$J$1127,M$1)</f>
        <v>0</v>
      </c>
      <c r="N190" s="207">
        <f>SUMIFS('ноябрь 2023'!$G$76:$G$1127,'ноябрь 2023'!$D$76:$D$1127,$B190,'ноябрь 2023'!$J$76:$J$1127,N$1)</f>
        <v>0</v>
      </c>
      <c r="O190" s="207">
        <f>SUMIFS('ноябрь 2023'!$G$76:$G$1127,'ноябрь 2023'!$D$76:$D$1127,$B190,'ноябрь 2023'!$J$76:$J$1127,O$1)</f>
        <v>0</v>
      </c>
      <c r="P190" s="207">
        <f>SUMIFS('ноябрь 2023'!$G$76:$G$1127,'ноябрь 2023'!$D$76:$D$1127,$B190,'ноябрь 2023'!$J$76:$J$1127,P$1)</f>
        <v>0</v>
      </c>
      <c r="Q190" s="207">
        <f>SUMIFS('ноябрь 2023'!$G$76:$G$1127,'ноябрь 2023'!$D$76:$D$1127,$B190,'ноябрь 2023'!$J$76:$J$1127,Q$1)</f>
        <v>0</v>
      </c>
      <c r="R190" s="207">
        <f>SUMIFS('ноябрь 2023'!$G$76:$G$1127,'ноябрь 2023'!$D$76:$D$1127,$B190,'ноябрь 2023'!$J$76:$J$1127,R$1)</f>
        <v>0</v>
      </c>
      <c r="S190" s="207">
        <f>SUMIFS('ноябрь 2023'!$G$76:$G$1127,'ноябрь 2023'!$D$76:$D$1127,$B190,'ноябрь 2023'!$J$76:$J$1127,S$1)</f>
        <v>0</v>
      </c>
      <c r="T190" s="207">
        <f>SUMIFS('ноябрь 2023'!$G$76:$G$1127,'ноябрь 2023'!$D$76:$D$1127,$B190,'ноябрь 2023'!$J$76:$J$1127,T$1)</f>
        <v>0</v>
      </c>
      <c r="U190" s="207">
        <f>SUMIFS('ноябрь 2023'!$G$76:$G$1127,'ноябрь 2023'!$D$76:$D$1127,$B190,'ноябрь 2023'!$J$76:$J$1127,U$1)</f>
        <v>0</v>
      </c>
      <c r="V190" s="207">
        <f>SUMIFS('ноябрь 2023'!$G$76:$G$1127,'ноябрь 2023'!$D$76:$D$1127,$B190,'ноябрь 2023'!$J$76:$J$1127,V$1)</f>
        <v>0</v>
      </c>
      <c r="W190" s="207">
        <f>SUMIFS('ноябрь 2023'!$G$76:$G$1127,'ноябрь 2023'!$D$76:$D$1127,$B190,'ноябрь 2023'!$J$76:$J$1127,W$1)</f>
        <v>0</v>
      </c>
      <c r="X190" s="207">
        <f>SUMIFS('ноябрь 2023'!$G$76:$G$1127,'ноябрь 2023'!$D$76:$D$1127,$B190,'ноябрь 2023'!$J$76:$J$1127,X$1)</f>
        <v>0</v>
      </c>
      <c r="Y190" s="207">
        <f>SUMIFS('ноябрь 2023'!$G$76:$G$1127,'ноябрь 2023'!$D$76:$D$1127,$B190,'ноябрь 2023'!$J$76:$J$1127,Y$1)</f>
        <v>0</v>
      </c>
      <c r="Z190" s="207">
        <f>SUMIFS('ноябрь 2023'!$G$76:$G$1127,'ноябрь 2023'!$D$76:$D$1127,$B190,'ноябрь 2023'!$J$76:$J$1127,Z$1)</f>
        <v>0</v>
      </c>
      <c r="AA190" s="207">
        <f>SUMIFS('ноябрь 2023'!$G$76:$G$1127,'ноябрь 2023'!$D$76:$D$1127,$B190,'ноябрь 2023'!$J$76:$J$1127,AA$1)</f>
        <v>0</v>
      </c>
      <c r="AB190" s="207">
        <f>SUMIFS('ноябрь 2023'!$G$76:$G$1127,'ноябрь 2023'!$D$76:$D$1127,$B190,'ноябрь 2023'!$J$76:$J$1127,AB$1)</f>
        <v>0</v>
      </c>
      <c r="AC190" s="207">
        <f>SUMIFS('ноябрь 2023'!$G$76:$G$1127,'ноябрь 2023'!$D$76:$D$1127,$B190,'ноябрь 2023'!$J$76:$J$1127,AC$1)</f>
        <v>0</v>
      </c>
      <c r="AD190" s="207">
        <f>SUMIFS('ноябрь 2023'!$G$76:$G$1127,'ноябрь 2023'!$D$76:$D$1127,$B190,'ноябрь 2023'!$J$76:$J$1127,AD$1)</f>
        <v>0</v>
      </c>
      <c r="AE190" s="207">
        <f>SUMIFS('ноябрь 2023'!$G$76:$G$1127,'ноябрь 2023'!$D$76:$D$1127,$B190,'ноябрь 2023'!$J$76:$J$1127,AE$1)</f>
        <v>0</v>
      </c>
      <c r="AF190" s="207">
        <f>SUMIFS('ноябрь 2023'!$G$76:$G$1127,'ноябрь 2023'!$D$76:$D$1127,$B190,'ноябрь 2023'!$J$76:$J$1127,AF$1)</f>
        <v>0</v>
      </c>
      <c r="AG190" s="207">
        <f>SUMIFS('ноябрь 2023'!$G$76:$G$1127,'ноябрь 2023'!$D$76:$D$1127,$B190,'ноябрь 2023'!$J$76:$J$1127,AG$1)</f>
        <v>0</v>
      </c>
      <c r="AH190" s="207">
        <f>SUMIFS('ноябрь 2023'!$G$76:$G$1127,'ноябрь 2023'!$D$76:$D$1127,$B190,'ноябрь 2023'!$J$76:$J$1127,AH$1)</f>
        <v>0</v>
      </c>
      <c r="AI190" s="220">
        <f t="shared" si="4"/>
        <v>0</v>
      </c>
    </row>
    <row r="191" spans="2:35" ht="15.75" hidden="1" x14ac:dyDescent="0.25">
      <c r="B191" s="212"/>
      <c r="C191" s="211"/>
      <c r="D191" s="207">
        <f>SUMIFS('ноябрь 2023'!$G$76:$G$1127,'ноябрь 2023'!$D$76:$D$1127,$B191,'ноябрь 2023'!$J$76:$J$1127,D$1)</f>
        <v>0</v>
      </c>
      <c r="E191" s="207">
        <f>SUMIFS('ноябрь 2023'!$G$76:$G$1127,'ноябрь 2023'!$D$76:$D$1127,$B191,'ноябрь 2023'!$J$76:$J$1127,E$1)</f>
        <v>0</v>
      </c>
      <c r="F191" s="207">
        <f>SUMIFS('ноябрь 2023'!$G$76:$G$1127,'ноябрь 2023'!$D$76:$D$1127,$B191,'ноябрь 2023'!$J$76:$J$1127,F$1)</f>
        <v>0</v>
      </c>
      <c r="G191" s="207">
        <f>SUMIFS('ноябрь 2023'!$G$76:$G$1127,'ноябрь 2023'!$D$76:$D$1127,$B191,'ноябрь 2023'!$J$76:$J$1127,G$1)</f>
        <v>0</v>
      </c>
      <c r="H191" s="207">
        <f>SUMIFS('ноябрь 2023'!$G$76:$G$1127,'ноябрь 2023'!$D$76:$D$1127,$B191,'ноябрь 2023'!$J$76:$J$1127,H$1)</f>
        <v>0</v>
      </c>
      <c r="I191" s="207">
        <f>SUMIFS('ноябрь 2023'!$G$76:$G$1127,'ноябрь 2023'!$D$76:$D$1127,$B191,'ноябрь 2023'!$J$76:$J$1127,I$1)</f>
        <v>0</v>
      </c>
      <c r="J191" s="207">
        <f>SUMIFS('ноябрь 2023'!$G$76:$G$1127,'ноябрь 2023'!$D$76:$D$1127,$B191,'ноябрь 2023'!$J$76:$J$1127,J$1)</f>
        <v>0</v>
      </c>
      <c r="K191" s="207">
        <f>SUMIFS('ноябрь 2023'!$G$76:$G$1127,'ноябрь 2023'!$D$76:$D$1127,$B191,'ноябрь 2023'!$J$76:$J$1127,K$1)</f>
        <v>0</v>
      </c>
      <c r="L191" s="207">
        <f>SUMIFS('ноябрь 2023'!$G$76:$G$1127,'ноябрь 2023'!$D$76:$D$1127,$B191,'ноябрь 2023'!$J$76:$J$1127,L$1)</f>
        <v>0</v>
      </c>
      <c r="M191" s="207">
        <f>SUMIFS('ноябрь 2023'!$G$76:$G$1127,'ноябрь 2023'!$D$76:$D$1127,$B191,'ноябрь 2023'!$J$76:$J$1127,M$1)</f>
        <v>0</v>
      </c>
      <c r="N191" s="207">
        <f>SUMIFS('ноябрь 2023'!$G$76:$G$1127,'ноябрь 2023'!$D$76:$D$1127,$B191,'ноябрь 2023'!$J$76:$J$1127,N$1)</f>
        <v>0</v>
      </c>
      <c r="O191" s="207">
        <f>SUMIFS('ноябрь 2023'!$G$76:$G$1127,'ноябрь 2023'!$D$76:$D$1127,$B191,'ноябрь 2023'!$J$76:$J$1127,O$1)</f>
        <v>0</v>
      </c>
      <c r="P191" s="207">
        <f>SUMIFS('ноябрь 2023'!$G$76:$G$1127,'ноябрь 2023'!$D$76:$D$1127,$B191,'ноябрь 2023'!$J$76:$J$1127,P$1)</f>
        <v>0</v>
      </c>
      <c r="Q191" s="207">
        <f>SUMIFS('ноябрь 2023'!$G$76:$G$1127,'ноябрь 2023'!$D$76:$D$1127,$B191,'ноябрь 2023'!$J$76:$J$1127,Q$1)</f>
        <v>0</v>
      </c>
      <c r="R191" s="207">
        <f>SUMIFS('ноябрь 2023'!$G$76:$G$1127,'ноябрь 2023'!$D$76:$D$1127,$B191,'ноябрь 2023'!$J$76:$J$1127,R$1)</f>
        <v>0</v>
      </c>
      <c r="S191" s="207">
        <f>SUMIFS('ноябрь 2023'!$G$76:$G$1127,'ноябрь 2023'!$D$76:$D$1127,$B191,'ноябрь 2023'!$J$76:$J$1127,S$1)</f>
        <v>0</v>
      </c>
      <c r="T191" s="207">
        <f>SUMIFS('ноябрь 2023'!$G$76:$G$1127,'ноябрь 2023'!$D$76:$D$1127,$B191,'ноябрь 2023'!$J$76:$J$1127,T$1)</f>
        <v>0</v>
      </c>
      <c r="U191" s="207">
        <f>SUMIFS('ноябрь 2023'!$G$76:$G$1127,'ноябрь 2023'!$D$76:$D$1127,$B191,'ноябрь 2023'!$J$76:$J$1127,U$1)</f>
        <v>0</v>
      </c>
      <c r="V191" s="207">
        <f>SUMIFS('ноябрь 2023'!$G$76:$G$1127,'ноябрь 2023'!$D$76:$D$1127,$B191,'ноябрь 2023'!$J$76:$J$1127,V$1)</f>
        <v>0</v>
      </c>
      <c r="W191" s="207">
        <f>SUMIFS('ноябрь 2023'!$G$76:$G$1127,'ноябрь 2023'!$D$76:$D$1127,$B191,'ноябрь 2023'!$J$76:$J$1127,W$1)</f>
        <v>0</v>
      </c>
      <c r="X191" s="207">
        <f>SUMIFS('ноябрь 2023'!$G$76:$G$1127,'ноябрь 2023'!$D$76:$D$1127,$B191,'ноябрь 2023'!$J$76:$J$1127,X$1)</f>
        <v>0</v>
      </c>
      <c r="Y191" s="207">
        <f>SUMIFS('ноябрь 2023'!$G$76:$G$1127,'ноябрь 2023'!$D$76:$D$1127,$B191,'ноябрь 2023'!$J$76:$J$1127,Y$1)</f>
        <v>0</v>
      </c>
      <c r="Z191" s="207">
        <f>SUMIFS('ноябрь 2023'!$G$76:$G$1127,'ноябрь 2023'!$D$76:$D$1127,$B191,'ноябрь 2023'!$J$76:$J$1127,Z$1)</f>
        <v>0</v>
      </c>
      <c r="AA191" s="207">
        <f>SUMIFS('ноябрь 2023'!$G$76:$G$1127,'ноябрь 2023'!$D$76:$D$1127,$B191,'ноябрь 2023'!$J$76:$J$1127,AA$1)</f>
        <v>0</v>
      </c>
      <c r="AB191" s="207">
        <f>SUMIFS('ноябрь 2023'!$G$76:$G$1127,'ноябрь 2023'!$D$76:$D$1127,$B191,'ноябрь 2023'!$J$76:$J$1127,AB$1)</f>
        <v>0</v>
      </c>
      <c r="AC191" s="207">
        <f>SUMIFS('ноябрь 2023'!$G$76:$G$1127,'ноябрь 2023'!$D$76:$D$1127,$B191,'ноябрь 2023'!$J$76:$J$1127,AC$1)</f>
        <v>0</v>
      </c>
      <c r="AD191" s="207">
        <f>SUMIFS('ноябрь 2023'!$G$76:$G$1127,'ноябрь 2023'!$D$76:$D$1127,$B191,'ноябрь 2023'!$J$76:$J$1127,AD$1)</f>
        <v>0</v>
      </c>
      <c r="AE191" s="207">
        <f>SUMIFS('ноябрь 2023'!$G$76:$G$1127,'ноябрь 2023'!$D$76:$D$1127,$B191,'ноябрь 2023'!$J$76:$J$1127,AE$1)</f>
        <v>0</v>
      </c>
      <c r="AF191" s="207">
        <f>SUMIFS('ноябрь 2023'!$G$76:$G$1127,'ноябрь 2023'!$D$76:$D$1127,$B191,'ноябрь 2023'!$J$76:$J$1127,AF$1)</f>
        <v>0</v>
      </c>
      <c r="AG191" s="207">
        <f>SUMIFS('ноябрь 2023'!$G$76:$G$1127,'ноябрь 2023'!$D$76:$D$1127,$B191,'ноябрь 2023'!$J$76:$J$1127,AG$1)</f>
        <v>0</v>
      </c>
      <c r="AH191" s="207">
        <f>SUMIFS('ноябрь 2023'!$G$76:$G$1127,'ноябрь 2023'!$D$76:$D$1127,$B191,'ноябрь 2023'!$J$76:$J$1127,AH$1)</f>
        <v>0</v>
      </c>
      <c r="AI191" s="220">
        <f t="shared" si="4"/>
        <v>0</v>
      </c>
    </row>
    <row r="192" spans="2:35" ht="15.75" x14ac:dyDescent="0.25">
      <c r="B192" s="212"/>
      <c r="C192" s="221"/>
      <c r="D192" s="207">
        <f>SUMIFS('ноябрь 2023'!$G$76:$G$1127,'ноябрь 2023'!$D$76:$D$1127,$B192,'ноябрь 2023'!$J$76:$J$1127,D$1)</f>
        <v>0</v>
      </c>
      <c r="E192" s="207">
        <f>SUMIFS('ноябрь 2023'!$G$76:$G$1127,'ноябрь 2023'!$D$76:$D$1127,$B192,'ноябрь 2023'!$J$76:$J$1127,E$1)</f>
        <v>0</v>
      </c>
      <c r="F192" s="207">
        <f>SUMIFS('ноябрь 2023'!$G$76:$G$1127,'ноябрь 2023'!$D$76:$D$1127,$B192,'ноябрь 2023'!$J$76:$J$1127,F$1)</f>
        <v>0</v>
      </c>
      <c r="G192" s="207">
        <f>SUMIFS('ноябрь 2023'!$G$76:$G$1127,'ноябрь 2023'!$D$76:$D$1127,$B192,'ноябрь 2023'!$J$76:$J$1127,G$1)</f>
        <v>0</v>
      </c>
      <c r="H192" s="207">
        <f>SUMIFS('ноябрь 2023'!$G$76:$G$1127,'ноябрь 2023'!$D$76:$D$1127,$B192,'ноябрь 2023'!$J$76:$J$1127,H$1)</f>
        <v>0</v>
      </c>
      <c r="I192" s="207">
        <f>SUMIFS('ноябрь 2023'!$G$76:$G$1127,'ноябрь 2023'!$D$76:$D$1127,$B192,'ноябрь 2023'!$J$76:$J$1127,I$1)</f>
        <v>0</v>
      </c>
      <c r="J192" s="207">
        <f>SUMIFS('ноябрь 2023'!$G$76:$G$1127,'ноябрь 2023'!$D$76:$D$1127,$B192,'ноябрь 2023'!$J$76:$J$1127,J$1)</f>
        <v>0</v>
      </c>
      <c r="K192" s="207">
        <f>SUMIFS('ноябрь 2023'!$G$76:$G$1127,'ноябрь 2023'!$D$76:$D$1127,$B192,'ноябрь 2023'!$J$76:$J$1127,K$1)</f>
        <v>0</v>
      </c>
      <c r="L192" s="207">
        <f>SUMIFS('ноябрь 2023'!$G$76:$G$1127,'ноябрь 2023'!$D$76:$D$1127,$B192,'ноябрь 2023'!$J$76:$J$1127,L$1)</f>
        <v>0</v>
      </c>
      <c r="M192" s="207">
        <f>SUMIFS('ноябрь 2023'!$G$76:$G$1127,'ноябрь 2023'!$D$76:$D$1127,$B192,'ноябрь 2023'!$J$76:$J$1127,M$1)</f>
        <v>0</v>
      </c>
      <c r="N192" s="207">
        <f>SUMIFS('ноябрь 2023'!$G$76:$G$1127,'ноябрь 2023'!$D$76:$D$1127,$B192,'ноябрь 2023'!$J$76:$J$1127,N$1)</f>
        <v>0</v>
      </c>
      <c r="O192" s="207">
        <f>SUMIFS('ноябрь 2023'!$G$76:$G$1127,'ноябрь 2023'!$D$76:$D$1127,$B192,'ноябрь 2023'!$J$76:$J$1127,O$1)</f>
        <v>0</v>
      </c>
      <c r="P192" s="207">
        <f>SUMIFS('ноябрь 2023'!$G$76:$G$1127,'ноябрь 2023'!$D$76:$D$1127,$B192,'ноябрь 2023'!$J$76:$J$1127,P$1)</f>
        <v>0</v>
      </c>
      <c r="Q192" s="207">
        <f>SUMIFS('ноябрь 2023'!$G$76:$G$1127,'ноябрь 2023'!$D$76:$D$1127,$B192,'ноябрь 2023'!$J$76:$J$1127,Q$1)</f>
        <v>0</v>
      </c>
      <c r="R192" s="207">
        <f>SUMIFS('ноябрь 2023'!$G$76:$G$1127,'ноябрь 2023'!$D$76:$D$1127,$B192,'ноябрь 2023'!$J$76:$J$1127,R$1)</f>
        <v>0</v>
      </c>
      <c r="S192" s="207">
        <f>SUMIFS('ноябрь 2023'!$G$76:$G$1127,'ноябрь 2023'!$D$76:$D$1127,$B192,'ноябрь 2023'!$J$76:$J$1127,S$1)</f>
        <v>0</v>
      </c>
      <c r="T192" s="207">
        <f>SUMIFS('ноябрь 2023'!$G$76:$G$1127,'ноябрь 2023'!$D$76:$D$1127,$B192,'ноябрь 2023'!$J$76:$J$1127,T$1)</f>
        <v>0</v>
      </c>
      <c r="U192" s="207">
        <f>SUMIFS('ноябрь 2023'!$G$76:$G$1127,'ноябрь 2023'!$D$76:$D$1127,$B192,'ноябрь 2023'!$J$76:$J$1127,U$1)</f>
        <v>0</v>
      </c>
      <c r="V192" s="207">
        <f>SUMIFS('ноябрь 2023'!$G$76:$G$1127,'ноябрь 2023'!$D$76:$D$1127,$B192,'ноябрь 2023'!$J$76:$J$1127,V$1)</f>
        <v>0</v>
      </c>
      <c r="W192" s="207">
        <f>SUMIFS('ноябрь 2023'!$G$76:$G$1127,'ноябрь 2023'!$D$76:$D$1127,$B192,'ноябрь 2023'!$J$76:$J$1127,W$1)</f>
        <v>0</v>
      </c>
      <c r="X192" s="207">
        <f>SUMIFS('ноябрь 2023'!$G$76:$G$1127,'ноябрь 2023'!$D$76:$D$1127,$B192,'ноябрь 2023'!$J$76:$J$1127,X$1)</f>
        <v>0</v>
      </c>
      <c r="Y192" s="207">
        <f>SUMIFS('ноябрь 2023'!$G$76:$G$1127,'ноябрь 2023'!$D$76:$D$1127,$B192,'ноябрь 2023'!$J$76:$J$1127,Y$1)</f>
        <v>0</v>
      </c>
      <c r="Z192" s="207">
        <f>SUMIFS('ноябрь 2023'!$G$76:$G$1127,'ноябрь 2023'!$D$76:$D$1127,$B192,'ноябрь 2023'!$J$76:$J$1127,Z$1)</f>
        <v>0</v>
      </c>
      <c r="AA192" s="207">
        <f>SUMIFS('ноябрь 2023'!$G$76:$G$1127,'ноябрь 2023'!$D$76:$D$1127,$B192,'ноябрь 2023'!$J$76:$J$1127,AA$1)</f>
        <v>0</v>
      </c>
      <c r="AB192" s="207">
        <f>SUMIFS('ноябрь 2023'!$G$76:$G$1127,'ноябрь 2023'!$D$76:$D$1127,$B192,'ноябрь 2023'!$J$76:$J$1127,AB$1)</f>
        <v>0</v>
      </c>
      <c r="AC192" s="207">
        <f>SUMIFS('ноябрь 2023'!$G$76:$G$1127,'ноябрь 2023'!$D$76:$D$1127,$B192,'ноябрь 2023'!$J$76:$J$1127,AC$1)</f>
        <v>0</v>
      </c>
      <c r="AD192" s="207">
        <f>SUMIFS('ноябрь 2023'!$G$76:$G$1127,'ноябрь 2023'!$D$76:$D$1127,$B192,'ноябрь 2023'!$J$76:$J$1127,AD$1)</f>
        <v>0</v>
      </c>
      <c r="AE192" s="207">
        <f>SUMIFS('ноябрь 2023'!$G$76:$G$1127,'ноябрь 2023'!$D$76:$D$1127,$B192,'ноябрь 2023'!$J$76:$J$1127,AE$1)</f>
        <v>0</v>
      </c>
      <c r="AF192" s="207">
        <f>SUMIFS('ноябрь 2023'!$G$76:$G$1127,'ноябрь 2023'!$D$76:$D$1127,$B192,'ноябрь 2023'!$J$76:$J$1127,AF$1)</f>
        <v>0</v>
      </c>
      <c r="AG192" s="207">
        <f>SUMIFS('ноябрь 2023'!$G$76:$G$1127,'ноябрь 2023'!$D$76:$D$1127,$B192,'ноябрь 2023'!$J$76:$J$1127,AG$1)</f>
        <v>0</v>
      </c>
      <c r="AH192" s="207">
        <f>SUMIFS('ноябрь 2023'!$G$76:$G$1127,'ноябрь 2023'!$D$76:$D$1127,$B192,'ноябрь 2023'!$J$76:$J$1127,AH$1)</f>
        <v>0</v>
      </c>
      <c r="AI192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справочник!$E$4:$E$159</xm:f>
          </x14:formula1>
          <xm:sqref>B3:B192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I192"/>
  <sheetViews>
    <sheetView showZeros="0" zoomScale="70" workbookViewId="0">
      <selection activeCell="D3" sqref="D3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45200</v>
      </c>
      <c r="C1" s="192"/>
      <c r="D1" s="157">
        <f>B1</f>
        <v>45200</v>
      </c>
      <c r="E1" s="157">
        <f>D1+1</f>
        <v>45201</v>
      </c>
      <c r="F1" s="157">
        <f t="shared" ref="F1:AH1" si="0">E1+1</f>
        <v>45202</v>
      </c>
      <c r="G1" s="157">
        <f t="shared" si="0"/>
        <v>45203</v>
      </c>
      <c r="H1" s="157">
        <f t="shared" si="0"/>
        <v>45204</v>
      </c>
      <c r="I1" s="157">
        <f t="shared" si="0"/>
        <v>45205</v>
      </c>
      <c r="J1" s="157">
        <f t="shared" si="0"/>
        <v>45206</v>
      </c>
      <c r="K1" s="157">
        <f t="shared" si="0"/>
        <v>45207</v>
      </c>
      <c r="L1" s="157">
        <f t="shared" si="0"/>
        <v>45208</v>
      </c>
      <c r="M1" s="157">
        <f t="shared" si="0"/>
        <v>45209</v>
      </c>
      <c r="N1" s="157">
        <f t="shared" si="0"/>
        <v>45210</v>
      </c>
      <c r="O1" s="157">
        <f t="shared" si="0"/>
        <v>45211</v>
      </c>
      <c r="P1" s="157">
        <f t="shared" si="0"/>
        <v>45212</v>
      </c>
      <c r="Q1" s="157">
        <f t="shared" si="0"/>
        <v>45213</v>
      </c>
      <c r="R1" s="157">
        <f t="shared" si="0"/>
        <v>45214</v>
      </c>
      <c r="S1" s="157">
        <f t="shared" si="0"/>
        <v>45215</v>
      </c>
      <c r="T1" s="157">
        <f t="shared" si="0"/>
        <v>45216</v>
      </c>
      <c r="U1" s="157">
        <f t="shared" si="0"/>
        <v>45217</v>
      </c>
      <c r="V1" s="157">
        <f t="shared" si="0"/>
        <v>45218</v>
      </c>
      <c r="W1" s="157">
        <f t="shared" si="0"/>
        <v>45219</v>
      </c>
      <c r="X1" s="157">
        <f t="shared" si="0"/>
        <v>45220</v>
      </c>
      <c r="Y1" s="157">
        <f t="shared" si="0"/>
        <v>45221</v>
      </c>
      <c r="Z1" s="157">
        <f t="shared" si="0"/>
        <v>45222</v>
      </c>
      <c r="AA1" s="157">
        <f t="shared" si="0"/>
        <v>45223</v>
      </c>
      <c r="AB1" s="157">
        <f t="shared" si="0"/>
        <v>45224</v>
      </c>
      <c r="AC1" s="157">
        <f t="shared" si="0"/>
        <v>45225</v>
      </c>
      <c r="AD1" s="157">
        <f t="shared" si="0"/>
        <v>45226</v>
      </c>
      <c r="AE1" s="157">
        <f t="shared" si="0"/>
        <v>45227</v>
      </c>
      <c r="AF1" s="157">
        <f t="shared" si="0"/>
        <v>45228</v>
      </c>
      <c r="AG1" s="157">
        <f t="shared" si="0"/>
        <v>45229</v>
      </c>
      <c r="AH1" s="157">
        <f t="shared" si="0"/>
        <v>45230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SUMIFS('октябрь 2023'!$G$4:$G$1074,'октябрь 2023'!$D$4:$D$1074,$B3,'октябрь 2023'!$J$4:$J$1074,D$1)</f>
        <v>0</v>
      </c>
      <c r="E3" s="198">
        <f>SUMIFS('октябрь 2023'!$G$4:$G$1074,'октябрь 2023'!$D$4:$D$1074,$B3,'октябрь 2023'!$J$4:$J$1074,E$1)</f>
        <v>0</v>
      </c>
      <c r="F3" s="198">
        <f>SUMIFS('октябрь 2023'!$G$4:$G$1074,'октябрь 2023'!$D$4:$D$1074,$B3,'октябрь 2023'!$J$4:$J$1074,F$1)</f>
        <v>0</v>
      </c>
      <c r="G3" s="198">
        <f>SUMIFS('октябрь 2023'!$G$4:$G$1074,'октябрь 2023'!$D$4:$D$1074,$B3,'октябрь 2023'!$J$4:$J$1074,G$1)</f>
        <v>0</v>
      </c>
      <c r="H3" s="198">
        <f>SUMIFS('октябрь 2023'!$G$4:$G$1074,'октябрь 2023'!$D$4:$D$1074,$B3,'октябрь 2023'!$J$4:$J$1074,H$1)</f>
        <v>0</v>
      </c>
      <c r="I3" s="198">
        <f>SUMIFS('октябрь 2023'!$G$4:$G$1074,'октябрь 2023'!$D$4:$D$1074,$B3,'октябрь 2023'!$J$4:$J$1074,I$1)</f>
        <v>0</v>
      </c>
      <c r="J3" s="198">
        <f>SUMIFS('октябрь 2023'!$G$4:$G$1074,'октябрь 2023'!$D$4:$D$1074,$B3,'октябрь 2023'!$J$4:$J$1074,J$1)</f>
        <v>0</v>
      </c>
      <c r="K3" s="198">
        <f>SUMIFS('октябрь 2023'!$G$4:$G$1074,'октябрь 2023'!$D$4:$D$1074,$B3,'октябрь 2023'!$J$4:$J$1074,K$1)</f>
        <v>0</v>
      </c>
      <c r="L3" s="198">
        <f>SUMIFS('октябрь 2023'!$G$4:$G$1074,'октябрь 2023'!$D$4:$D$1074,$B3,'октябрь 2023'!$J$4:$J$1074,L$1)</f>
        <v>0</v>
      </c>
      <c r="M3" s="198">
        <f>SUMIFS('октябрь 2023'!$G$4:$G$1074,'октябрь 2023'!$D$4:$D$1074,$B3,'октябрь 2023'!$J$4:$J$1074,M$1)</f>
        <v>0</v>
      </c>
      <c r="N3" s="198">
        <f>SUMIFS('октябрь 2023'!$G$4:$G$1074,'октябрь 2023'!$D$4:$D$1074,$B3,'октябрь 2023'!$J$4:$J$1074,N$1)</f>
        <v>0</v>
      </c>
      <c r="O3" s="198">
        <f>SUMIFS('октябрь 2023'!$G$4:$G$1074,'октябрь 2023'!$D$4:$D$1074,$B3,'октябрь 2023'!$J$4:$J$1074,O$1)</f>
        <v>1400</v>
      </c>
      <c r="P3" s="198">
        <f>SUMIFS('октябрь 2023'!$G$4:$G$1074,'октябрь 2023'!$D$4:$D$1074,$B3,'октябрь 2023'!$J$4:$J$1074,P$1)</f>
        <v>0</v>
      </c>
      <c r="Q3" s="198">
        <f>SUMIFS('октябрь 2023'!$G$4:$G$1074,'октябрь 2023'!$D$4:$D$1074,$B3,'октябрь 2023'!$J$4:$J$1074,Q$1)</f>
        <v>0</v>
      </c>
      <c r="R3" s="198">
        <f>SUMIFS('октябрь 2023'!$G$4:$G$1074,'октябрь 2023'!$D$4:$D$1074,$B3,'октябрь 2023'!$J$4:$J$1074,R$1)</f>
        <v>0</v>
      </c>
      <c r="S3" s="198">
        <f>SUMIFS('октябрь 2023'!$G$4:$G$1074,'октябрь 2023'!$D$4:$D$1074,$B3,'октябрь 2023'!$J$4:$J$1074,S$1)</f>
        <v>3150</v>
      </c>
      <c r="T3" s="198">
        <f>SUMIFS('октябрь 2023'!$G$4:$G$1074,'октябрь 2023'!$D$4:$D$1074,$B3,'октябрь 2023'!$J$4:$J$1074,T$1)</f>
        <v>0</v>
      </c>
      <c r="U3" s="198">
        <f>SUMIFS('октябрь 2023'!$G$4:$G$1074,'октябрь 2023'!$D$4:$D$1074,$B3,'октябрь 2023'!$J$4:$J$1074,U$1)</f>
        <v>0</v>
      </c>
      <c r="V3" s="198">
        <f>SUMIFS('октябрь 2023'!$G$4:$G$1074,'октябрь 2023'!$D$4:$D$1074,$B3,'октябрь 2023'!$J$4:$J$1074,V$1)</f>
        <v>700</v>
      </c>
      <c r="W3" s="198">
        <f>SUMIFS('октябрь 2023'!$G$4:$G$1074,'октябрь 2023'!$D$4:$D$1074,$B3,'октябрь 2023'!$J$4:$J$1074,W$1)</f>
        <v>875</v>
      </c>
      <c r="X3" s="198">
        <f>SUMIFS('октябрь 2023'!$G$4:$G$1074,'октябрь 2023'!$D$4:$D$1074,$B3,'октябрь 2023'!$J$4:$J$1074,X$1)</f>
        <v>0</v>
      </c>
      <c r="Y3" s="198">
        <f>SUMIFS('октябрь 2023'!$G$4:$G$1074,'октябрь 2023'!$D$4:$D$1074,$B3,'октябрь 2023'!$J$4:$J$1074,Y$1)</f>
        <v>0</v>
      </c>
      <c r="Z3" s="198">
        <f>SUMIFS('октябрь 2023'!$G$4:$G$1074,'октябрь 2023'!$D$4:$D$1074,$B3,'октябрь 2023'!$J$4:$J$1074,Z$1)</f>
        <v>875</v>
      </c>
      <c r="AA3" s="198">
        <f>SUMIFS('октябрь 2023'!$G$4:$G$1074,'октябрь 2023'!$D$4:$D$1074,$B3,'октябрь 2023'!$J$4:$J$1074,AA$1)</f>
        <v>2275</v>
      </c>
      <c r="AB3" s="198">
        <f>SUMIFS('октябрь 2023'!$G$4:$G$1074,'октябрь 2023'!$D$4:$D$1074,$B3,'октябрь 2023'!$J$4:$J$1074,AB$1)</f>
        <v>1400</v>
      </c>
      <c r="AC3" s="198">
        <f>SUMIFS('октябрь 2023'!$G$4:$G$1074,'октябрь 2023'!$D$4:$D$1074,$B3,'октябрь 2023'!$J$4:$J$1074,AC$1)</f>
        <v>1400</v>
      </c>
      <c r="AD3" s="198">
        <f>SUMIFS('октябрь 2023'!$G$4:$G$1074,'октябрь 2023'!$D$4:$D$1074,$B3,'октябрь 2023'!$J$4:$J$1074,AD$1)</f>
        <v>805</v>
      </c>
      <c r="AE3" s="198">
        <f>SUMIFS('октябрь 2023'!$G$4:$G$1074,'октябрь 2023'!$D$4:$D$1074,$B3,'октябрь 2023'!$J$4:$J$1074,AE$1)</f>
        <v>0</v>
      </c>
      <c r="AF3" s="198">
        <f>SUMIFS('октябрь 2023'!$G$4:$G$1074,'октябрь 2023'!$D$4:$D$1074,$B3,'октябрь 2023'!$J$4:$J$1074,AF$1)</f>
        <v>0</v>
      </c>
      <c r="AG3" s="198">
        <f>SUMIFS('октябрь 2023'!$G$4:$G$1074,'октябрь 2023'!$D$4:$D$1074,$B3,'октябрь 2023'!$J$4:$J$1074,AG$1)</f>
        <v>1400</v>
      </c>
      <c r="AH3" s="198">
        <f>SUMIFS('октябрь 2023'!$G$4:$G$1074,'октябрь 2023'!$D$4:$D$1074,$B3,'октябрь 2023'!$J$4:$J$1074,AH$1)</f>
        <v>875</v>
      </c>
      <c r="AI3" s="166">
        <f t="shared" ref="AI3:AI66" si="1">SUM(D3:AH3)</f>
        <v>15155</v>
      </c>
    </row>
    <row r="4" spans="2:35" ht="15" customHeight="1" x14ac:dyDescent="0.25">
      <c r="B4" s="199" t="s">
        <v>74</v>
      </c>
      <c r="C4" s="200">
        <v>25</v>
      </c>
      <c r="D4" s="198">
        <f>SUMIFS('октябрь 2023'!$G$4:$G$1074,'октябрь 2023'!$D$4:$D$1074,$B4,'октябрь 2023'!$J$4:$J$1074,D$1)</f>
        <v>0</v>
      </c>
      <c r="E4" s="198">
        <f>SUMIFS('октябрь 2023'!$G$4:$G$1074,'октябрь 2023'!$D$4:$D$1074,$B4,'октябрь 2023'!$J$4:$J$1074,E$1)</f>
        <v>0</v>
      </c>
      <c r="F4" s="198">
        <f>SUMIFS('октябрь 2023'!$G$4:$G$1074,'октябрь 2023'!$D$4:$D$1074,$B4,'октябрь 2023'!$J$4:$J$1074,F$1)</f>
        <v>0</v>
      </c>
      <c r="G4" s="198">
        <f>SUMIFS('октябрь 2023'!$G$4:$G$1074,'октябрь 2023'!$D$4:$D$1074,$B4,'октябрь 2023'!$J$4:$J$1074,G$1)</f>
        <v>0</v>
      </c>
      <c r="H4" s="198">
        <f>SUMIFS('октябрь 2023'!$G$4:$G$1074,'октябрь 2023'!$D$4:$D$1074,$B4,'октябрь 2023'!$J$4:$J$1074,H$1)</f>
        <v>0</v>
      </c>
      <c r="I4" s="198">
        <f>SUMIFS('октябрь 2023'!$G$4:$G$1074,'октябрь 2023'!$D$4:$D$1074,$B4,'октябрь 2023'!$J$4:$J$1074,I$1)</f>
        <v>0</v>
      </c>
      <c r="J4" s="198">
        <f>SUMIFS('октябрь 2023'!$G$4:$G$1074,'октябрь 2023'!$D$4:$D$1074,$B4,'октябрь 2023'!$J$4:$J$1074,J$1)</f>
        <v>0</v>
      </c>
      <c r="K4" s="198">
        <f>SUMIFS('октябрь 2023'!$G$4:$G$1074,'октябрь 2023'!$D$4:$D$1074,$B4,'октябрь 2023'!$J$4:$J$1074,K$1)</f>
        <v>0</v>
      </c>
      <c r="L4" s="198">
        <f>SUMIFS('октябрь 2023'!$G$4:$G$1074,'октябрь 2023'!$D$4:$D$1074,$B4,'октябрь 2023'!$J$4:$J$1074,L$1)</f>
        <v>0</v>
      </c>
      <c r="M4" s="198">
        <f>SUMIFS('октябрь 2023'!$G$4:$G$1074,'октябрь 2023'!$D$4:$D$1074,$B4,'октябрь 2023'!$J$4:$J$1074,M$1)</f>
        <v>0</v>
      </c>
      <c r="N4" s="198">
        <f>SUMIFS('октябрь 2023'!$G$4:$G$1074,'октябрь 2023'!$D$4:$D$1074,$B4,'октябрь 2023'!$J$4:$J$1074,N$1)</f>
        <v>0</v>
      </c>
      <c r="O4" s="198">
        <f>SUMIFS('октябрь 2023'!$G$4:$G$1074,'октябрь 2023'!$D$4:$D$1074,$B4,'октябрь 2023'!$J$4:$J$1074,O$1)</f>
        <v>0</v>
      </c>
      <c r="P4" s="198">
        <f>SUMIFS('октябрь 2023'!$G$4:$G$1074,'октябрь 2023'!$D$4:$D$1074,$B4,'октябрь 2023'!$J$4:$J$1074,P$1)</f>
        <v>0</v>
      </c>
      <c r="Q4" s="198">
        <f>SUMIFS('октябрь 2023'!$G$4:$G$1074,'октябрь 2023'!$D$4:$D$1074,$B4,'октябрь 2023'!$J$4:$J$1074,Q$1)</f>
        <v>0</v>
      </c>
      <c r="R4" s="198">
        <f>SUMIFS('октябрь 2023'!$G$4:$G$1074,'октябрь 2023'!$D$4:$D$1074,$B4,'октябрь 2023'!$J$4:$J$1074,R$1)</f>
        <v>0</v>
      </c>
      <c r="S4" s="198">
        <f>SUMIFS('октябрь 2023'!$G$4:$G$1074,'октябрь 2023'!$D$4:$D$1074,$B4,'октябрь 2023'!$J$4:$J$1074,S$1)</f>
        <v>0</v>
      </c>
      <c r="T4" s="198">
        <f>SUMIFS('октябрь 2023'!$G$4:$G$1074,'октябрь 2023'!$D$4:$D$1074,$B4,'октябрь 2023'!$J$4:$J$1074,T$1)</f>
        <v>0</v>
      </c>
      <c r="U4" s="198">
        <f>SUMIFS('октябрь 2023'!$G$4:$G$1074,'октябрь 2023'!$D$4:$D$1074,$B4,'октябрь 2023'!$J$4:$J$1074,U$1)</f>
        <v>0</v>
      </c>
      <c r="V4" s="198">
        <f>SUMIFS('октябрь 2023'!$G$4:$G$1074,'октябрь 2023'!$D$4:$D$1074,$B4,'октябрь 2023'!$J$4:$J$1074,V$1)</f>
        <v>0</v>
      </c>
      <c r="W4" s="198">
        <f>SUMIFS('октябрь 2023'!$G$4:$G$1074,'октябрь 2023'!$D$4:$D$1074,$B4,'октябрь 2023'!$J$4:$J$1074,W$1)</f>
        <v>0</v>
      </c>
      <c r="X4" s="198">
        <f>SUMIFS('октябрь 2023'!$G$4:$G$1074,'октябрь 2023'!$D$4:$D$1074,$B4,'октябрь 2023'!$J$4:$J$1074,X$1)</f>
        <v>0</v>
      </c>
      <c r="Y4" s="198">
        <f>SUMIFS('октябрь 2023'!$G$4:$G$1074,'октябрь 2023'!$D$4:$D$1074,$B4,'октябрь 2023'!$J$4:$J$1074,Y$1)</f>
        <v>0</v>
      </c>
      <c r="Z4" s="198">
        <f>SUMIFS('октябрь 2023'!$G$4:$G$1074,'октябрь 2023'!$D$4:$D$1074,$B4,'октябрь 2023'!$J$4:$J$1074,Z$1)</f>
        <v>400</v>
      </c>
      <c r="AA4" s="198">
        <f>SUMIFS('октябрь 2023'!$G$4:$G$1074,'октябрь 2023'!$D$4:$D$1074,$B4,'октябрь 2023'!$J$4:$J$1074,AA$1)</f>
        <v>0</v>
      </c>
      <c r="AB4" s="198">
        <f>SUMIFS('октябрь 2023'!$G$4:$G$1074,'октябрь 2023'!$D$4:$D$1074,$B4,'октябрь 2023'!$J$4:$J$1074,AB$1)</f>
        <v>0</v>
      </c>
      <c r="AC4" s="198">
        <f>SUMIFS('октябрь 2023'!$G$4:$G$1074,'октябрь 2023'!$D$4:$D$1074,$B4,'октябрь 2023'!$J$4:$J$1074,AC$1)</f>
        <v>0</v>
      </c>
      <c r="AD4" s="198">
        <f>SUMIFS('октябрь 2023'!$G$4:$G$1074,'октябрь 2023'!$D$4:$D$1074,$B4,'октябрь 2023'!$J$4:$J$1074,AD$1)</f>
        <v>0</v>
      </c>
      <c r="AE4" s="198">
        <f>SUMIFS('октябрь 2023'!$G$4:$G$1074,'октябрь 2023'!$D$4:$D$1074,$B4,'октябрь 2023'!$J$4:$J$1074,AE$1)</f>
        <v>0</v>
      </c>
      <c r="AF4" s="198">
        <f>SUMIFS('октябрь 2023'!$G$4:$G$1074,'октябрь 2023'!$D$4:$D$1074,$B4,'октябрь 2023'!$J$4:$J$1074,AF$1)</f>
        <v>0</v>
      </c>
      <c r="AG4" s="198">
        <f>SUMIFS('октябрь 2023'!$G$4:$G$1074,'октябрь 2023'!$D$4:$D$1074,$B4,'октябрь 2023'!$J$4:$J$1074,AG$1)</f>
        <v>0</v>
      </c>
      <c r="AH4" s="198">
        <f>SUMIFS('октябрь 2023'!$G$4:$G$1074,'октябрь 2023'!$D$4:$D$1074,$B4,'октябрь 2023'!$J$4:$J$1074,AH$1)</f>
        <v>0</v>
      </c>
      <c r="AI4" s="170">
        <f t="shared" si="1"/>
        <v>400</v>
      </c>
    </row>
    <row r="5" spans="2:35" ht="15" customHeight="1" x14ac:dyDescent="0.25">
      <c r="B5" s="199" t="s">
        <v>165</v>
      </c>
      <c r="C5" s="200">
        <v>25</v>
      </c>
      <c r="D5" s="198">
        <f>SUMIFS('октябрь 2023'!$G$4:$G$1074,'октябрь 2023'!$D$4:$D$1074,$B5,'октябрь 2023'!$J$4:$J$1074,D$1)</f>
        <v>0</v>
      </c>
      <c r="E5" s="198">
        <f>SUMIFS('октябрь 2023'!$G$4:$G$1074,'октябрь 2023'!$D$4:$D$1074,$B5,'октябрь 2023'!$J$4:$J$1074,E$1)</f>
        <v>0</v>
      </c>
      <c r="F5" s="198">
        <f>SUMIFS('октябрь 2023'!$G$4:$G$1074,'октябрь 2023'!$D$4:$D$1074,$B5,'октябрь 2023'!$J$4:$J$1074,F$1)</f>
        <v>0</v>
      </c>
      <c r="G5" s="198">
        <f>SUMIFS('октябрь 2023'!$G$4:$G$1074,'октябрь 2023'!$D$4:$D$1074,$B5,'октябрь 2023'!$J$4:$J$1074,G$1)</f>
        <v>0</v>
      </c>
      <c r="H5" s="198">
        <f>SUMIFS('октябрь 2023'!$G$4:$G$1074,'октябрь 2023'!$D$4:$D$1074,$B5,'октябрь 2023'!$J$4:$J$1074,H$1)</f>
        <v>0</v>
      </c>
      <c r="I5" s="198">
        <f>SUMIFS('октябрь 2023'!$G$4:$G$1074,'октябрь 2023'!$D$4:$D$1074,$B5,'октябрь 2023'!$J$4:$J$1074,I$1)</f>
        <v>0</v>
      </c>
      <c r="J5" s="198">
        <f>SUMIFS('октябрь 2023'!$G$4:$G$1074,'октябрь 2023'!$D$4:$D$1074,$B5,'октябрь 2023'!$J$4:$J$1074,J$1)</f>
        <v>0</v>
      </c>
      <c r="K5" s="198">
        <f>SUMIFS('октябрь 2023'!$G$4:$G$1074,'октябрь 2023'!$D$4:$D$1074,$B5,'октябрь 2023'!$J$4:$J$1074,K$1)</f>
        <v>0</v>
      </c>
      <c r="L5" s="198">
        <f>SUMIFS('октябрь 2023'!$G$4:$G$1074,'октябрь 2023'!$D$4:$D$1074,$B5,'октябрь 2023'!$J$4:$J$1074,L$1)</f>
        <v>0</v>
      </c>
      <c r="M5" s="198">
        <f>SUMIFS('октябрь 2023'!$G$4:$G$1074,'октябрь 2023'!$D$4:$D$1074,$B5,'октябрь 2023'!$J$4:$J$1074,M$1)</f>
        <v>0</v>
      </c>
      <c r="N5" s="198">
        <f>SUMIFS('октябрь 2023'!$G$4:$G$1074,'октябрь 2023'!$D$4:$D$1074,$B5,'октябрь 2023'!$J$4:$J$1074,N$1)</f>
        <v>0</v>
      </c>
      <c r="O5" s="198">
        <f>SUMIFS('октябрь 2023'!$G$4:$G$1074,'октябрь 2023'!$D$4:$D$1074,$B5,'октябрь 2023'!$J$4:$J$1074,O$1)</f>
        <v>0</v>
      </c>
      <c r="P5" s="198">
        <f>SUMIFS('октябрь 2023'!$G$4:$G$1074,'октябрь 2023'!$D$4:$D$1074,$B5,'октябрь 2023'!$J$4:$J$1074,P$1)</f>
        <v>0</v>
      </c>
      <c r="Q5" s="198">
        <f>SUMIFS('октябрь 2023'!$G$4:$G$1074,'октябрь 2023'!$D$4:$D$1074,$B5,'октябрь 2023'!$J$4:$J$1074,Q$1)</f>
        <v>0</v>
      </c>
      <c r="R5" s="198">
        <f>SUMIFS('октябрь 2023'!$G$4:$G$1074,'октябрь 2023'!$D$4:$D$1074,$B5,'октябрь 2023'!$J$4:$J$1074,R$1)</f>
        <v>0</v>
      </c>
      <c r="S5" s="198">
        <f>SUMIFS('октябрь 2023'!$G$4:$G$1074,'октябрь 2023'!$D$4:$D$1074,$B5,'октябрь 2023'!$J$4:$J$1074,S$1)</f>
        <v>0</v>
      </c>
      <c r="T5" s="198">
        <f>SUMIFS('октябрь 2023'!$G$4:$G$1074,'октябрь 2023'!$D$4:$D$1074,$B5,'октябрь 2023'!$J$4:$J$1074,T$1)</f>
        <v>0</v>
      </c>
      <c r="U5" s="198">
        <f>SUMIFS('октябрь 2023'!$G$4:$G$1074,'октябрь 2023'!$D$4:$D$1074,$B5,'октябрь 2023'!$J$4:$J$1074,U$1)</f>
        <v>1400</v>
      </c>
      <c r="V5" s="198">
        <f>SUMIFS('октябрь 2023'!$G$4:$G$1074,'октябрь 2023'!$D$4:$D$1074,$B5,'октябрь 2023'!$J$4:$J$1074,V$1)</f>
        <v>0</v>
      </c>
      <c r="W5" s="198">
        <f>SUMIFS('октябрь 2023'!$G$4:$G$1074,'октябрь 2023'!$D$4:$D$1074,$B5,'октябрь 2023'!$J$4:$J$1074,W$1)</f>
        <v>0</v>
      </c>
      <c r="X5" s="198">
        <f>SUMIFS('октябрь 2023'!$G$4:$G$1074,'октябрь 2023'!$D$4:$D$1074,$B5,'октябрь 2023'!$J$4:$J$1074,X$1)</f>
        <v>0</v>
      </c>
      <c r="Y5" s="198">
        <f>SUMIFS('октябрь 2023'!$G$4:$G$1074,'октябрь 2023'!$D$4:$D$1074,$B5,'октябрь 2023'!$J$4:$J$1074,Y$1)</f>
        <v>0</v>
      </c>
      <c r="Z5" s="198">
        <f>SUMIFS('октябрь 2023'!$G$4:$G$1074,'октябрь 2023'!$D$4:$D$1074,$B5,'октябрь 2023'!$J$4:$J$1074,Z$1)</f>
        <v>0</v>
      </c>
      <c r="AA5" s="198">
        <f>SUMIFS('октябрь 2023'!$G$4:$G$1074,'октябрь 2023'!$D$4:$D$1074,$B5,'октябрь 2023'!$J$4:$J$1074,AA$1)</f>
        <v>0</v>
      </c>
      <c r="AB5" s="198">
        <f>SUMIFS('октябрь 2023'!$G$4:$G$1074,'октябрь 2023'!$D$4:$D$1074,$B5,'октябрь 2023'!$J$4:$J$1074,AB$1)</f>
        <v>0</v>
      </c>
      <c r="AC5" s="198">
        <f>SUMIFS('октябрь 2023'!$G$4:$G$1074,'октябрь 2023'!$D$4:$D$1074,$B5,'октябрь 2023'!$J$4:$J$1074,AC$1)</f>
        <v>0</v>
      </c>
      <c r="AD5" s="198">
        <f>SUMIFS('октябрь 2023'!$G$4:$G$1074,'октябрь 2023'!$D$4:$D$1074,$B5,'октябрь 2023'!$J$4:$J$1074,AD$1)</f>
        <v>0</v>
      </c>
      <c r="AE5" s="198">
        <f>SUMIFS('октябрь 2023'!$G$4:$G$1074,'октябрь 2023'!$D$4:$D$1074,$B5,'октябрь 2023'!$J$4:$J$1074,AE$1)</f>
        <v>0</v>
      </c>
      <c r="AF5" s="198">
        <f>SUMIFS('октябрь 2023'!$G$4:$G$1074,'октябрь 2023'!$D$4:$D$1074,$B5,'октябрь 2023'!$J$4:$J$1074,AF$1)</f>
        <v>0</v>
      </c>
      <c r="AG5" s="198">
        <f>SUMIFS('октябрь 2023'!$G$4:$G$1074,'октябрь 2023'!$D$4:$D$1074,$B5,'октябрь 2023'!$J$4:$J$1074,AG$1)</f>
        <v>0</v>
      </c>
      <c r="AH5" s="198">
        <f>SUMIFS('октябрь 2023'!$G$4:$G$1074,'октябрь 2023'!$D$4:$D$1074,$B5,'октябрь 2023'!$J$4:$J$1074,AH$1)</f>
        <v>0</v>
      </c>
      <c r="AI5" s="170">
        <f t="shared" si="1"/>
        <v>1400</v>
      </c>
    </row>
    <row r="6" spans="2:35" ht="15" customHeight="1" x14ac:dyDescent="0.25">
      <c r="B6" s="199" t="s">
        <v>2084</v>
      </c>
      <c r="C6" s="200">
        <v>22.7</v>
      </c>
      <c r="D6" s="198">
        <f>SUMIFS('октябрь 2023'!$G$4:$G$1074,'октябрь 2023'!$D$4:$D$1074,$B6,'октябрь 2023'!$J$4:$J$1074,D$1)</f>
        <v>0</v>
      </c>
      <c r="E6" s="198">
        <f>SUMIFS('октябрь 2023'!$G$4:$G$1074,'октябрь 2023'!$D$4:$D$1074,$B6,'октябрь 2023'!$J$4:$J$1074,E$1)</f>
        <v>0</v>
      </c>
      <c r="F6" s="198">
        <f>SUMIFS('октябрь 2023'!$G$4:$G$1074,'октябрь 2023'!$D$4:$D$1074,$B6,'октябрь 2023'!$J$4:$J$1074,F$1)</f>
        <v>0</v>
      </c>
      <c r="G6" s="198">
        <f>SUMIFS('октябрь 2023'!$G$4:$G$1074,'октябрь 2023'!$D$4:$D$1074,$B6,'октябрь 2023'!$J$4:$J$1074,G$1)</f>
        <v>0</v>
      </c>
      <c r="H6" s="198">
        <f>SUMIFS('октябрь 2023'!$G$4:$G$1074,'октябрь 2023'!$D$4:$D$1074,$B6,'октябрь 2023'!$J$4:$J$1074,H$1)</f>
        <v>0</v>
      </c>
      <c r="I6" s="198">
        <f>SUMIFS('октябрь 2023'!$G$4:$G$1074,'октябрь 2023'!$D$4:$D$1074,$B6,'октябрь 2023'!$J$4:$J$1074,I$1)</f>
        <v>0</v>
      </c>
      <c r="J6" s="198">
        <f>SUMIFS('октябрь 2023'!$G$4:$G$1074,'октябрь 2023'!$D$4:$D$1074,$B6,'октябрь 2023'!$J$4:$J$1074,J$1)</f>
        <v>0</v>
      </c>
      <c r="K6" s="198">
        <f>SUMIFS('октябрь 2023'!$G$4:$G$1074,'октябрь 2023'!$D$4:$D$1074,$B6,'октябрь 2023'!$J$4:$J$1074,K$1)</f>
        <v>0</v>
      </c>
      <c r="L6" s="198">
        <f>SUMIFS('октябрь 2023'!$G$4:$G$1074,'октябрь 2023'!$D$4:$D$1074,$B6,'октябрь 2023'!$J$4:$J$1074,L$1)</f>
        <v>0</v>
      </c>
      <c r="M6" s="198">
        <f>SUMIFS('октябрь 2023'!$G$4:$G$1074,'октябрь 2023'!$D$4:$D$1074,$B6,'октябрь 2023'!$J$4:$J$1074,M$1)</f>
        <v>0</v>
      </c>
      <c r="N6" s="198">
        <f>SUMIFS('октябрь 2023'!$G$4:$G$1074,'октябрь 2023'!$D$4:$D$1074,$B6,'октябрь 2023'!$J$4:$J$1074,N$1)</f>
        <v>0</v>
      </c>
      <c r="O6" s="198">
        <f>SUMIFS('октябрь 2023'!$G$4:$G$1074,'октябрь 2023'!$D$4:$D$1074,$B6,'октябрь 2023'!$J$4:$J$1074,O$1)</f>
        <v>0</v>
      </c>
      <c r="P6" s="198">
        <f>SUMIFS('октябрь 2023'!$G$4:$G$1074,'октябрь 2023'!$D$4:$D$1074,$B6,'октябрь 2023'!$J$4:$J$1074,P$1)</f>
        <v>0</v>
      </c>
      <c r="Q6" s="198">
        <f>SUMIFS('октябрь 2023'!$G$4:$G$1074,'октябрь 2023'!$D$4:$D$1074,$B6,'октябрь 2023'!$J$4:$J$1074,Q$1)</f>
        <v>0</v>
      </c>
      <c r="R6" s="198">
        <f>SUMIFS('октябрь 2023'!$G$4:$G$1074,'октябрь 2023'!$D$4:$D$1074,$B6,'октябрь 2023'!$J$4:$J$1074,R$1)</f>
        <v>0</v>
      </c>
      <c r="S6" s="198">
        <f>SUMIFS('октябрь 2023'!$G$4:$G$1074,'октябрь 2023'!$D$4:$D$1074,$B6,'октябрь 2023'!$J$4:$J$1074,S$1)</f>
        <v>0</v>
      </c>
      <c r="T6" s="198">
        <f>SUMIFS('октябрь 2023'!$G$4:$G$1074,'октябрь 2023'!$D$4:$D$1074,$B6,'октябрь 2023'!$J$4:$J$1074,T$1)</f>
        <v>0</v>
      </c>
      <c r="U6" s="198">
        <f>SUMIFS('октябрь 2023'!$G$4:$G$1074,'октябрь 2023'!$D$4:$D$1074,$B6,'октябрь 2023'!$J$4:$J$1074,U$1)</f>
        <v>0</v>
      </c>
      <c r="V6" s="198">
        <f>SUMIFS('октябрь 2023'!$G$4:$G$1074,'октябрь 2023'!$D$4:$D$1074,$B6,'октябрь 2023'!$J$4:$J$1074,V$1)</f>
        <v>0</v>
      </c>
      <c r="W6" s="198">
        <f>SUMIFS('октябрь 2023'!$G$4:$G$1074,'октябрь 2023'!$D$4:$D$1074,$B6,'октябрь 2023'!$J$4:$J$1074,W$1)</f>
        <v>0</v>
      </c>
      <c r="X6" s="198">
        <f>SUMIFS('октябрь 2023'!$G$4:$G$1074,'октябрь 2023'!$D$4:$D$1074,$B6,'октябрь 2023'!$J$4:$J$1074,X$1)</f>
        <v>0</v>
      </c>
      <c r="Y6" s="198">
        <f>SUMIFS('октябрь 2023'!$G$4:$G$1074,'октябрь 2023'!$D$4:$D$1074,$B6,'октябрь 2023'!$J$4:$J$1074,Y$1)</f>
        <v>0</v>
      </c>
      <c r="Z6" s="198">
        <f>SUMIFS('октябрь 2023'!$G$4:$G$1074,'октябрь 2023'!$D$4:$D$1074,$B6,'октябрь 2023'!$J$4:$J$1074,Z$1)</f>
        <v>0</v>
      </c>
      <c r="AA6" s="198">
        <f>SUMIFS('октябрь 2023'!$G$4:$G$1074,'октябрь 2023'!$D$4:$D$1074,$B6,'октябрь 2023'!$J$4:$J$1074,AA$1)</f>
        <v>0</v>
      </c>
      <c r="AB6" s="198">
        <f>SUMIFS('октябрь 2023'!$G$4:$G$1074,'октябрь 2023'!$D$4:$D$1074,$B6,'октябрь 2023'!$J$4:$J$1074,AB$1)</f>
        <v>0</v>
      </c>
      <c r="AC6" s="198">
        <f>SUMIFS('октябрь 2023'!$G$4:$G$1074,'октябрь 2023'!$D$4:$D$1074,$B6,'октябрь 2023'!$J$4:$J$1074,AC$1)</f>
        <v>0</v>
      </c>
      <c r="AD6" s="198">
        <f>SUMIFS('октябрь 2023'!$G$4:$G$1074,'октябрь 2023'!$D$4:$D$1074,$B6,'октябрь 2023'!$J$4:$J$1074,AD$1)</f>
        <v>0</v>
      </c>
      <c r="AE6" s="198">
        <f>SUMIFS('октябрь 2023'!$G$4:$G$1074,'октябрь 2023'!$D$4:$D$1074,$B6,'октябрь 2023'!$J$4:$J$1074,AE$1)</f>
        <v>0</v>
      </c>
      <c r="AF6" s="198">
        <f>SUMIFS('октябрь 2023'!$G$4:$G$1074,'октябрь 2023'!$D$4:$D$1074,$B6,'октябрь 2023'!$J$4:$J$1074,AF$1)</f>
        <v>0</v>
      </c>
      <c r="AG6" s="198">
        <f>SUMIFS('октябрь 2023'!$G$4:$G$1074,'октябрь 2023'!$D$4:$D$1074,$B6,'октябрь 2023'!$J$4:$J$1074,AG$1)</f>
        <v>0</v>
      </c>
      <c r="AH6" s="198">
        <f>SUMIFS('октябрь 2023'!$G$4:$G$1074,'октябрь 2023'!$D$4:$D$1074,$B6,'октябрь 2023'!$J$4:$J$1074,AH$1)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SUMIFS('октябрь 2023'!$G$4:$G$1074,'октябрь 2023'!$D$4:$D$1074,$B7,'октябрь 2023'!$J$4:$J$1074,D$1)</f>
        <v>0</v>
      </c>
      <c r="E7" s="198">
        <f>SUMIFS('октябрь 2023'!$G$4:$G$1074,'октябрь 2023'!$D$4:$D$1074,$B7,'октябрь 2023'!$J$4:$J$1074,E$1)</f>
        <v>0</v>
      </c>
      <c r="F7" s="198">
        <f>SUMIFS('октябрь 2023'!$G$4:$G$1074,'октябрь 2023'!$D$4:$D$1074,$B7,'октябрь 2023'!$J$4:$J$1074,F$1)</f>
        <v>0</v>
      </c>
      <c r="G7" s="198">
        <f>SUMIFS('октябрь 2023'!$G$4:$G$1074,'октябрь 2023'!$D$4:$D$1074,$B7,'октябрь 2023'!$J$4:$J$1074,G$1)</f>
        <v>0</v>
      </c>
      <c r="H7" s="198">
        <f>SUMIFS('октябрь 2023'!$G$4:$G$1074,'октябрь 2023'!$D$4:$D$1074,$B7,'октябрь 2023'!$J$4:$J$1074,H$1)</f>
        <v>0</v>
      </c>
      <c r="I7" s="198">
        <f>SUMIFS('октябрь 2023'!$G$4:$G$1074,'октябрь 2023'!$D$4:$D$1074,$B7,'октябрь 2023'!$J$4:$J$1074,I$1)</f>
        <v>0</v>
      </c>
      <c r="J7" s="198">
        <f>SUMIFS('октябрь 2023'!$G$4:$G$1074,'октябрь 2023'!$D$4:$D$1074,$B7,'октябрь 2023'!$J$4:$J$1074,J$1)</f>
        <v>0</v>
      </c>
      <c r="K7" s="198">
        <f>SUMIFS('октябрь 2023'!$G$4:$G$1074,'октябрь 2023'!$D$4:$D$1074,$B7,'октябрь 2023'!$J$4:$J$1074,K$1)</f>
        <v>0</v>
      </c>
      <c r="L7" s="198">
        <f>SUMIFS('октябрь 2023'!$G$4:$G$1074,'октябрь 2023'!$D$4:$D$1074,$B7,'октябрь 2023'!$J$4:$J$1074,L$1)</f>
        <v>0</v>
      </c>
      <c r="M7" s="198">
        <f>SUMIFS('октябрь 2023'!$G$4:$G$1074,'октябрь 2023'!$D$4:$D$1074,$B7,'октябрь 2023'!$J$4:$J$1074,M$1)</f>
        <v>0</v>
      </c>
      <c r="N7" s="198">
        <f>SUMIFS('октябрь 2023'!$G$4:$G$1074,'октябрь 2023'!$D$4:$D$1074,$B7,'октябрь 2023'!$J$4:$J$1074,N$1)</f>
        <v>0</v>
      </c>
      <c r="O7" s="198">
        <f>SUMIFS('октябрь 2023'!$G$4:$G$1074,'октябрь 2023'!$D$4:$D$1074,$B7,'октябрь 2023'!$J$4:$J$1074,O$1)</f>
        <v>0</v>
      </c>
      <c r="P7" s="198">
        <f>SUMIFS('октябрь 2023'!$G$4:$G$1074,'октябрь 2023'!$D$4:$D$1074,$B7,'октябрь 2023'!$J$4:$J$1074,P$1)</f>
        <v>0</v>
      </c>
      <c r="Q7" s="198">
        <f>SUMIFS('октябрь 2023'!$G$4:$G$1074,'октябрь 2023'!$D$4:$D$1074,$B7,'октябрь 2023'!$J$4:$J$1074,Q$1)</f>
        <v>0</v>
      </c>
      <c r="R7" s="198">
        <f>SUMIFS('октябрь 2023'!$G$4:$G$1074,'октябрь 2023'!$D$4:$D$1074,$B7,'октябрь 2023'!$J$4:$J$1074,R$1)</f>
        <v>0</v>
      </c>
      <c r="S7" s="198">
        <f>SUMIFS('октябрь 2023'!$G$4:$G$1074,'октябрь 2023'!$D$4:$D$1074,$B7,'октябрь 2023'!$J$4:$J$1074,S$1)</f>
        <v>0</v>
      </c>
      <c r="T7" s="198">
        <f>SUMIFS('октябрь 2023'!$G$4:$G$1074,'октябрь 2023'!$D$4:$D$1074,$B7,'октябрь 2023'!$J$4:$J$1074,T$1)</f>
        <v>0</v>
      </c>
      <c r="U7" s="198">
        <f>SUMIFS('октябрь 2023'!$G$4:$G$1074,'октябрь 2023'!$D$4:$D$1074,$B7,'октябрь 2023'!$J$4:$J$1074,U$1)</f>
        <v>0</v>
      </c>
      <c r="V7" s="198">
        <f>SUMIFS('октябрь 2023'!$G$4:$G$1074,'октябрь 2023'!$D$4:$D$1074,$B7,'октябрь 2023'!$J$4:$J$1074,V$1)</f>
        <v>0</v>
      </c>
      <c r="W7" s="198">
        <f>SUMIFS('октябрь 2023'!$G$4:$G$1074,'октябрь 2023'!$D$4:$D$1074,$B7,'октябрь 2023'!$J$4:$J$1074,W$1)</f>
        <v>0</v>
      </c>
      <c r="X7" s="198">
        <f>SUMIFS('октябрь 2023'!$G$4:$G$1074,'октябрь 2023'!$D$4:$D$1074,$B7,'октябрь 2023'!$J$4:$J$1074,X$1)</f>
        <v>0</v>
      </c>
      <c r="Y7" s="198">
        <f>SUMIFS('октябрь 2023'!$G$4:$G$1074,'октябрь 2023'!$D$4:$D$1074,$B7,'октябрь 2023'!$J$4:$J$1074,Y$1)</f>
        <v>0</v>
      </c>
      <c r="Z7" s="198">
        <f>SUMIFS('октябрь 2023'!$G$4:$G$1074,'октябрь 2023'!$D$4:$D$1074,$B7,'октябрь 2023'!$J$4:$J$1074,Z$1)</f>
        <v>0</v>
      </c>
      <c r="AA7" s="198">
        <f>SUMIFS('октябрь 2023'!$G$4:$G$1074,'октябрь 2023'!$D$4:$D$1074,$B7,'октябрь 2023'!$J$4:$J$1074,AA$1)</f>
        <v>0</v>
      </c>
      <c r="AB7" s="198">
        <f>SUMIFS('октябрь 2023'!$G$4:$G$1074,'октябрь 2023'!$D$4:$D$1074,$B7,'октябрь 2023'!$J$4:$J$1074,AB$1)</f>
        <v>0</v>
      </c>
      <c r="AC7" s="198">
        <f>SUMIFS('октябрь 2023'!$G$4:$G$1074,'октябрь 2023'!$D$4:$D$1074,$B7,'октябрь 2023'!$J$4:$J$1074,AC$1)</f>
        <v>0</v>
      </c>
      <c r="AD7" s="198">
        <f>SUMIFS('октябрь 2023'!$G$4:$G$1074,'октябрь 2023'!$D$4:$D$1074,$B7,'октябрь 2023'!$J$4:$J$1074,AD$1)</f>
        <v>0</v>
      </c>
      <c r="AE7" s="198">
        <f>SUMIFS('октябрь 2023'!$G$4:$G$1074,'октябрь 2023'!$D$4:$D$1074,$B7,'октябрь 2023'!$J$4:$J$1074,AE$1)</f>
        <v>0</v>
      </c>
      <c r="AF7" s="198">
        <f>SUMIFS('октябрь 2023'!$G$4:$G$1074,'октябрь 2023'!$D$4:$D$1074,$B7,'октябрь 2023'!$J$4:$J$1074,AF$1)</f>
        <v>0</v>
      </c>
      <c r="AG7" s="198">
        <f>SUMIFS('октябрь 2023'!$G$4:$G$1074,'октябрь 2023'!$D$4:$D$1074,$B7,'октябрь 2023'!$J$4:$J$1074,AG$1)</f>
        <v>0</v>
      </c>
      <c r="AH7" s="198">
        <f>SUMIFS('октябрь 2023'!$G$4:$G$1074,'октябрь 2023'!$D$4:$D$1074,$B7,'октябрь 2023'!$J$4:$J$1074,AH$1)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SUMIFS('октябрь 2023'!$G$4:$G$1074,'октябрь 2023'!$D$4:$D$1074,$B8,'октябрь 2023'!$J$4:$J$1074,D$1)</f>
        <v>0</v>
      </c>
      <c r="E8" s="198">
        <f>SUMIFS('октябрь 2023'!$G$4:$G$1074,'октябрь 2023'!$D$4:$D$1074,$B8,'октябрь 2023'!$J$4:$J$1074,E$1)</f>
        <v>0</v>
      </c>
      <c r="F8" s="198">
        <f>SUMIFS('октябрь 2023'!$G$4:$G$1074,'октябрь 2023'!$D$4:$D$1074,$B8,'октябрь 2023'!$J$4:$J$1074,F$1)</f>
        <v>0</v>
      </c>
      <c r="G8" s="198">
        <f>SUMIFS('октябрь 2023'!$G$4:$G$1074,'октябрь 2023'!$D$4:$D$1074,$B8,'октябрь 2023'!$J$4:$J$1074,G$1)</f>
        <v>0</v>
      </c>
      <c r="H8" s="198">
        <f>SUMIFS('октябрь 2023'!$G$4:$G$1074,'октябрь 2023'!$D$4:$D$1074,$B8,'октябрь 2023'!$J$4:$J$1074,H$1)</f>
        <v>0</v>
      </c>
      <c r="I8" s="198">
        <f>SUMIFS('октябрь 2023'!$G$4:$G$1074,'октябрь 2023'!$D$4:$D$1074,$B8,'октябрь 2023'!$J$4:$J$1074,I$1)</f>
        <v>0</v>
      </c>
      <c r="J8" s="198">
        <f>SUMIFS('октябрь 2023'!$G$4:$G$1074,'октябрь 2023'!$D$4:$D$1074,$B8,'октябрь 2023'!$J$4:$J$1074,J$1)</f>
        <v>700</v>
      </c>
      <c r="K8" s="198">
        <f>SUMIFS('октябрь 2023'!$G$4:$G$1074,'октябрь 2023'!$D$4:$D$1074,$B8,'октябрь 2023'!$J$4:$J$1074,K$1)</f>
        <v>0</v>
      </c>
      <c r="L8" s="198">
        <f>SUMIFS('октябрь 2023'!$G$4:$G$1074,'октябрь 2023'!$D$4:$D$1074,$B8,'октябрь 2023'!$J$4:$J$1074,L$1)</f>
        <v>0</v>
      </c>
      <c r="M8" s="198">
        <f>SUMIFS('октябрь 2023'!$G$4:$G$1074,'октябрь 2023'!$D$4:$D$1074,$B8,'октябрь 2023'!$J$4:$J$1074,M$1)</f>
        <v>0</v>
      </c>
      <c r="N8" s="198">
        <f>SUMIFS('октябрь 2023'!$G$4:$G$1074,'октябрь 2023'!$D$4:$D$1074,$B8,'октябрь 2023'!$J$4:$J$1074,N$1)</f>
        <v>0</v>
      </c>
      <c r="O8" s="198">
        <f>SUMIFS('октябрь 2023'!$G$4:$G$1074,'октябрь 2023'!$D$4:$D$1074,$B8,'октябрь 2023'!$J$4:$J$1074,O$1)</f>
        <v>0</v>
      </c>
      <c r="P8" s="198">
        <f>SUMIFS('октябрь 2023'!$G$4:$G$1074,'октябрь 2023'!$D$4:$D$1074,$B8,'октябрь 2023'!$J$4:$J$1074,P$1)</f>
        <v>0</v>
      </c>
      <c r="Q8" s="198">
        <f>SUMIFS('октябрь 2023'!$G$4:$G$1074,'октябрь 2023'!$D$4:$D$1074,$B8,'октябрь 2023'!$J$4:$J$1074,Q$1)</f>
        <v>0</v>
      </c>
      <c r="R8" s="198">
        <f>SUMIFS('октябрь 2023'!$G$4:$G$1074,'октябрь 2023'!$D$4:$D$1074,$B8,'октябрь 2023'!$J$4:$J$1074,R$1)</f>
        <v>0</v>
      </c>
      <c r="S8" s="198">
        <f>SUMIFS('октябрь 2023'!$G$4:$G$1074,'октябрь 2023'!$D$4:$D$1074,$B8,'октябрь 2023'!$J$4:$J$1074,S$1)</f>
        <v>0</v>
      </c>
      <c r="T8" s="198">
        <f>SUMIFS('октябрь 2023'!$G$4:$G$1074,'октябрь 2023'!$D$4:$D$1074,$B8,'октябрь 2023'!$J$4:$J$1074,T$1)</f>
        <v>0</v>
      </c>
      <c r="U8" s="198">
        <f>SUMIFS('октябрь 2023'!$G$4:$G$1074,'октябрь 2023'!$D$4:$D$1074,$B8,'октябрь 2023'!$J$4:$J$1074,U$1)</f>
        <v>0</v>
      </c>
      <c r="V8" s="198">
        <f>SUMIFS('октябрь 2023'!$G$4:$G$1074,'октябрь 2023'!$D$4:$D$1074,$B8,'октябрь 2023'!$J$4:$J$1074,V$1)</f>
        <v>0</v>
      </c>
      <c r="W8" s="198">
        <f>SUMIFS('октябрь 2023'!$G$4:$G$1074,'октябрь 2023'!$D$4:$D$1074,$B8,'октябрь 2023'!$J$4:$J$1074,W$1)</f>
        <v>875</v>
      </c>
      <c r="X8" s="198">
        <f>SUMIFS('октябрь 2023'!$G$4:$G$1074,'октябрь 2023'!$D$4:$D$1074,$B8,'октябрь 2023'!$J$4:$J$1074,X$1)</f>
        <v>0</v>
      </c>
      <c r="Y8" s="198">
        <f>SUMIFS('октябрь 2023'!$G$4:$G$1074,'октябрь 2023'!$D$4:$D$1074,$B8,'октябрь 2023'!$J$4:$J$1074,Y$1)</f>
        <v>0</v>
      </c>
      <c r="Z8" s="198">
        <f>SUMIFS('октябрь 2023'!$G$4:$G$1074,'октябрь 2023'!$D$4:$D$1074,$B8,'октябрь 2023'!$J$4:$J$1074,Z$1)</f>
        <v>0</v>
      </c>
      <c r="AA8" s="198">
        <f>SUMIFS('октябрь 2023'!$G$4:$G$1074,'октябрь 2023'!$D$4:$D$1074,$B8,'октябрь 2023'!$J$4:$J$1074,AA$1)</f>
        <v>0</v>
      </c>
      <c r="AB8" s="198">
        <f>SUMIFS('октябрь 2023'!$G$4:$G$1074,'октябрь 2023'!$D$4:$D$1074,$B8,'октябрь 2023'!$J$4:$J$1074,AB$1)</f>
        <v>0</v>
      </c>
      <c r="AC8" s="198">
        <f>SUMIFS('октябрь 2023'!$G$4:$G$1074,'октябрь 2023'!$D$4:$D$1074,$B8,'октябрь 2023'!$J$4:$J$1074,AC$1)</f>
        <v>0</v>
      </c>
      <c r="AD8" s="198">
        <f>SUMIFS('октябрь 2023'!$G$4:$G$1074,'октябрь 2023'!$D$4:$D$1074,$B8,'октябрь 2023'!$J$4:$J$1074,AD$1)</f>
        <v>0</v>
      </c>
      <c r="AE8" s="198">
        <f>SUMIFS('октябрь 2023'!$G$4:$G$1074,'октябрь 2023'!$D$4:$D$1074,$B8,'октябрь 2023'!$J$4:$J$1074,AE$1)</f>
        <v>0</v>
      </c>
      <c r="AF8" s="198">
        <f>SUMIFS('октябрь 2023'!$G$4:$G$1074,'октябрь 2023'!$D$4:$D$1074,$B8,'октябрь 2023'!$J$4:$J$1074,AF$1)</f>
        <v>0</v>
      </c>
      <c r="AG8" s="198">
        <f>SUMIFS('октябрь 2023'!$G$4:$G$1074,'октябрь 2023'!$D$4:$D$1074,$B8,'октябрь 2023'!$J$4:$J$1074,AG$1)</f>
        <v>0</v>
      </c>
      <c r="AH8" s="198">
        <f>SUMIFS('октябрь 2023'!$G$4:$G$1074,'октябрь 2023'!$D$4:$D$1074,$B8,'октябрь 2023'!$J$4:$J$1074,AH$1)</f>
        <v>0</v>
      </c>
      <c r="AI8" s="170">
        <f t="shared" si="1"/>
        <v>1575</v>
      </c>
    </row>
    <row r="9" spans="2:35" ht="15" customHeight="1" x14ac:dyDescent="0.25">
      <c r="B9" s="199" t="s">
        <v>2053</v>
      </c>
      <c r="C9" s="200">
        <v>25</v>
      </c>
      <c r="D9" s="198">
        <f>SUMIFS('октябрь 2023'!$G$4:$G$1074,'октябрь 2023'!$D$4:$D$1074,$B9,'октябрь 2023'!$J$4:$J$1074,D$1)</f>
        <v>0</v>
      </c>
      <c r="E9" s="198">
        <f>SUMIFS('октябрь 2023'!$G$4:$G$1074,'октябрь 2023'!$D$4:$D$1074,$B9,'октябрь 2023'!$J$4:$J$1074,E$1)</f>
        <v>0</v>
      </c>
      <c r="F9" s="198">
        <f>SUMIFS('октябрь 2023'!$G$4:$G$1074,'октябрь 2023'!$D$4:$D$1074,$B9,'октябрь 2023'!$J$4:$J$1074,F$1)</f>
        <v>0</v>
      </c>
      <c r="G9" s="198">
        <f>SUMIFS('октябрь 2023'!$G$4:$G$1074,'октябрь 2023'!$D$4:$D$1074,$B9,'октябрь 2023'!$J$4:$J$1074,G$1)</f>
        <v>0</v>
      </c>
      <c r="H9" s="198">
        <f>SUMIFS('октябрь 2023'!$G$4:$G$1074,'октябрь 2023'!$D$4:$D$1074,$B9,'октябрь 2023'!$J$4:$J$1074,H$1)</f>
        <v>0</v>
      </c>
      <c r="I9" s="198">
        <f>SUMIFS('октябрь 2023'!$G$4:$G$1074,'октябрь 2023'!$D$4:$D$1074,$B9,'октябрь 2023'!$J$4:$J$1074,I$1)</f>
        <v>0</v>
      </c>
      <c r="J9" s="198">
        <f>SUMIFS('октябрь 2023'!$G$4:$G$1074,'октябрь 2023'!$D$4:$D$1074,$B9,'октябрь 2023'!$J$4:$J$1074,J$1)</f>
        <v>0</v>
      </c>
      <c r="K9" s="198">
        <f>SUMIFS('октябрь 2023'!$G$4:$G$1074,'октябрь 2023'!$D$4:$D$1074,$B9,'октябрь 2023'!$J$4:$J$1074,K$1)</f>
        <v>0</v>
      </c>
      <c r="L9" s="198">
        <f>SUMIFS('октябрь 2023'!$G$4:$G$1074,'октябрь 2023'!$D$4:$D$1074,$B9,'октябрь 2023'!$J$4:$J$1074,L$1)</f>
        <v>0</v>
      </c>
      <c r="M9" s="198">
        <f>SUMIFS('октябрь 2023'!$G$4:$G$1074,'октябрь 2023'!$D$4:$D$1074,$B9,'октябрь 2023'!$J$4:$J$1074,M$1)</f>
        <v>0</v>
      </c>
      <c r="N9" s="198">
        <f>SUMIFS('октябрь 2023'!$G$4:$G$1074,'октябрь 2023'!$D$4:$D$1074,$B9,'октябрь 2023'!$J$4:$J$1074,N$1)</f>
        <v>0</v>
      </c>
      <c r="O9" s="198">
        <f>SUMIFS('октябрь 2023'!$G$4:$G$1074,'октябрь 2023'!$D$4:$D$1074,$B9,'октябрь 2023'!$J$4:$J$1074,O$1)</f>
        <v>0</v>
      </c>
      <c r="P9" s="198">
        <f>SUMIFS('октябрь 2023'!$G$4:$G$1074,'октябрь 2023'!$D$4:$D$1074,$B9,'октябрь 2023'!$J$4:$J$1074,P$1)</f>
        <v>0</v>
      </c>
      <c r="Q9" s="198">
        <f>SUMIFS('октябрь 2023'!$G$4:$G$1074,'октябрь 2023'!$D$4:$D$1074,$B9,'октябрь 2023'!$J$4:$J$1074,Q$1)</f>
        <v>0</v>
      </c>
      <c r="R9" s="198">
        <f>SUMIFS('октябрь 2023'!$G$4:$G$1074,'октябрь 2023'!$D$4:$D$1074,$B9,'октябрь 2023'!$J$4:$J$1074,R$1)</f>
        <v>0</v>
      </c>
      <c r="S9" s="198">
        <f>SUMIFS('октябрь 2023'!$G$4:$G$1074,'октябрь 2023'!$D$4:$D$1074,$B9,'октябрь 2023'!$J$4:$J$1074,S$1)</f>
        <v>0</v>
      </c>
      <c r="T9" s="198">
        <f>SUMIFS('октябрь 2023'!$G$4:$G$1074,'октябрь 2023'!$D$4:$D$1074,$B9,'октябрь 2023'!$J$4:$J$1074,T$1)</f>
        <v>0</v>
      </c>
      <c r="U9" s="198">
        <f>SUMIFS('октябрь 2023'!$G$4:$G$1074,'октябрь 2023'!$D$4:$D$1074,$B9,'октябрь 2023'!$J$4:$J$1074,U$1)</f>
        <v>0</v>
      </c>
      <c r="V9" s="198">
        <f>SUMIFS('октябрь 2023'!$G$4:$G$1074,'октябрь 2023'!$D$4:$D$1074,$B9,'октябрь 2023'!$J$4:$J$1074,V$1)</f>
        <v>0</v>
      </c>
      <c r="W9" s="198">
        <f>SUMIFS('октябрь 2023'!$G$4:$G$1074,'октябрь 2023'!$D$4:$D$1074,$B9,'октябрь 2023'!$J$4:$J$1074,W$1)</f>
        <v>0</v>
      </c>
      <c r="X9" s="198">
        <f>SUMIFS('октябрь 2023'!$G$4:$G$1074,'октябрь 2023'!$D$4:$D$1074,$B9,'октябрь 2023'!$J$4:$J$1074,X$1)</f>
        <v>0</v>
      </c>
      <c r="Y9" s="198">
        <f>SUMIFS('октябрь 2023'!$G$4:$G$1074,'октябрь 2023'!$D$4:$D$1074,$B9,'октябрь 2023'!$J$4:$J$1074,Y$1)</f>
        <v>0</v>
      </c>
      <c r="Z9" s="198">
        <f>SUMIFS('октябрь 2023'!$G$4:$G$1074,'октябрь 2023'!$D$4:$D$1074,$B9,'октябрь 2023'!$J$4:$J$1074,Z$1)</f>
        <v>0</v>
      </c>
      <c r="AA9" s="198">
        <f>SUMIFS('октябрь 2023'!$G$4:$G$1074,'октябрь 2023'!$D$4:$D$1074,$B9,'октябрь 2023'!$J$4:$J$1074,AA$1)</f>
        <v>0</v>
      </c>
      <c r="AB9" s="198">
        <f>SUMIFS('октябрь 2023'!$G$4:$G$1074,'октябрь 2023'!$D$4:$D$1074,$B9,'октябрь 2023'!$J$4:$J$1074,AB$1)</f>
        <v>0</v>
      </c>
      <c r="AC9" s="198">
        <f>SUMIFS('октябрь 2023'!$G$4:$G$1074,'октябрь 2023'!$D$4:$D$1074,$B9,'октябрь 2023'!$J$4:$J$1074,AC$1)</f>
        <v>0</v>
      </c>
      <c r="AD9" s="198">
        <f>SUMIFS('октябрь 2023'!$G$4:$G$1074,'октябрь 2023'!$D$4:$D$1074,$B9,'октябрь 2023'!$J$4:$J$1074,AD$1)</f>
        <v>0</v>
      </c>
      <c r="AE9" s="198">
        <f>SUMIFS('октябрь 2023'!$G$4:$G$1074,'октябрь 2023'!$D$4:$D$1074,$B9,'октябрь 2023'!$J$4:$J$1074,AE$1)</f>
        <v>0</v>
      </c>
      <c r="AF9" s="198">
        <f>SUMIFS('октябрь 2023'!$G$4:$G$1074,'октябрь 2023'!$D$4:$D$1074,$B9,'октябрь 2023'!$J$4:$J$1074,AF$1)</f>
        <v>0</v>
      </c>
      <c r="AG9" s="198">
        <f>SUMIFS('октябрь 2023'!$G$4:$G$1074,'октябрь 2023'!$D$4:$D$1074,$B9,'октябрь 2023'!$J$4:$J$1074,AG$1)</f>
        <v>0</v>
      </c>
      <c r="AH9" s="198">
        <f>SUMIFS('октябрь 2023'!$G$4:$G$1074,'октябрь 2023'!$D$4:$D$1074,$B9,'октябрь 2023'!$J$4:$J$1074,AH$1)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SUMIFS('октябрь 2023'!$G$4:$G$1074,'октябрь 2023'!$D$4:$D$1074,$B10,'октябрь 2023'!$J$4:$J$1074,D$1)</f>
        <v>0</v>
      </c>
      <c r="E10" s="198">
        <f>SUMIFS('октябрь 2023'!$G$4:$G$1074,'октябрь 2023'!$D$4:$D$1074,$B10,'октябрь 2023'!$J$4:$J$1074,E$1)</f>
        <v>0</v>
      </c>
      <c r="F10" s="198">
        <f>SUMIFS('октябрь 2023'!$G$4:$G$1074,'октябрь 2023'!$D$4:$D$1074,$B10,'октябрь 2023'!$J$4:$J$1074,F$1)</f>
        <v>0</v>
      </c>
      <c r="G10" s="198">
        <f>SUMIFS('октябрь 2023'!$G$4:$G$1074,'октябрь 2023'!$D$4:$D$1074,$B10,'октябрь 2023'!$J$4:$J$1074,G$1)</f>
        <v>0</v>
      </c>
      <c r="H10" s="198">
        <f>SUMIFS('октябрь 2023'!$G$4:$G$1074,'октябрь 2023'!$D$4:$D$1074,$B10,'октябрь 2023'!$J$4:$J$1074,H$1)</f>
        <v>0</v>
      </c>
      <c r="I10" s="198">
        <f>SUMIFS('октябрь 2023'!$G$4:$G$1074,'октябрь 2023'!$D$4:$D$1074,$B10,'октябрь 2023'!$J$4:$J$1074,I$1)</f>
        <v>0</v>
      </c>
      <c r="J10" s="198">
        <f>SUMIFS('октябрь 2023'!$G$4:$G$1074,'октябрь 2023'!$D$4:$D$1074,$B10,'октябрь 2023'!$J$4:$J$1074,J$1)</f>
        <v>0</v>
      </c>
      <c r="K10" s="198">
        <f>SUMIFS('октябрь 2023'!$G$4:$G$1074,'октябрь 2023'!$D$4:$D$1074,$B10,'октябрь 2023'!$J$4:$J$1074,K$1)</f>
        <v>0</v>
      </c>
      <c r="L10" s="198">
        <f>SUMIFS('октябрь 2023'!$G$4:$G$1074,'октябрь 2023'!$D$4:$D$1074,$B10,'октябрь 2023'!$J$4:$J$1074,L$1)</f>
        <v>0</v>
      </c>
      <c r="M10" s="198">
        <f>SUMIFS('октябрь 2023'!$G$4:$G$1074,'октябрь 2023'!$D$4:$D$1074,$B10,'октябрь 2023'!$J$4:$J$1074,M$1)</f>
        <v>0</v>
      </c>
      <c r="N10" s="198">
        <f>SUMIFS('октябрь 2023'!$G$4:$G$1074,'октябрь 2023'!$D$4:$D$1074,$B10,'октябрь 2023'!$J$4:$J$1074,N$1)</f>
        <v>0</v>
      </c>
      <c r="O10" s="198">
        <f>SUMIFS('октябрь 2023'!$G$4:$G$1074,'октябрь 2023'!$D$4:$D$1074,$B10,'октябрь 2023'!$J$4:$J$1074,O$1)</f>
        <v>0</v>
      </c>
      <c r="P10" s="198">
        <f>SUMIFS('октябрь 2023'!$G$4:$G$1074,'октябрь 2023'!$D$4:$D$1074,$B10,'октябрь 2023'!$J$4:$J$1074,P$1)</f>
        <v>0</v>
      </c>
      <c r="Q10" s="198">
        <f>SUMIFS('октябрь 2023'!$G$4:$G$1074,'октябрь 2023'!$D$4:$D$1074,$B10,'октябрь 2023'!$J$4:$J$1074,Q$1)</f>
        <v>0</v>
      </c>
      <c r="R10" s="198">
        <f>SUMIFS('октябрь 2023'!$G$4:$G$1074,'октябрь 2023'!$D$4:$D$1074,$B10,'октябрь 2023'!$J$4:$J$1074,R$1)</f>
        <v>0</v>
      </c>
      <c r="S10" s="198">
        <f>SUMIFS('октябрь 2023'!$G$4:$G$1074,'октябрь 2023'!$D$4:$D$1074,$B10,'октябрь 2023'!$J$4:$J$1074,S$1)</f>
        <v>0</v>
      </c>
      <c r="T10" s="198">
        <f>SUMIFS('октябрь 2023'!$G$4:$G$1074,'октябрь 2023'!$D$4:$D$1074,$B10,'октябрь 2023'!$J$4:$J$1074,T$1)</f>
        <v>0</v>
      </c>
      <c r="U10" s="198">
        <f>SUMIFS('октябрь 2023'!$G$4:$G$1074,'октябрь 2023'!$D$4:$D$1074,$B10,'октябрь 2023'!$J$4:$J$1074,U$1)</f>
        <v>0</v>
      </c>
      <c r="V10" s="198">
        <f>SUMIFS('октябрь 2023'!$G$4:$G$1074,'октябрь 2023'!$D$4:$D$1074,$B10,'октябрь 2023'!$J$4:$J$1074,V$1)</f>
        <v>0</v>
      </c>
      <c r="W10" s="198">
        <f>SUMIFS('октябрь 2023'!$G$4:$G$1074,'октябрь 2023'!$D$4:$D$1074,$B10,'октябрь 2023'!$J$4:$J$1074,W$1)</f>
        <v>0</v>
      </c>
      <c r="X10" s="198">
        <f>SUMIFS('октябрь 2023'!$G$4:$G$1074,'октябрь 2023'!$D$4:$D$1074,$B10,'октябрь 2023'!$J$4:$J$1074,X$1)</f>
        <v>0</v>
      </c>
      <c r="Y10" s="198">
        <f>SUMIFS('октябрь 2023'!$G$4:$G$1074,'октябрь 2023'!$D$4:$D$1074,$B10,'октябрь 2023'!$J$4:$J$1074,Y$1)</f>
        <v>0</v>
      </c>
      <c r="Z10" s="198">
        <f>SUMIFS('октябрь 2023'!$G$4:$G$1074,'октябрь 2023'!$D$4:$D$1074,$B10,'октябрь 2023'!$J$4:$J$1074,Z$1)</f>
        <v>0</v>
      </c>
      <c r="AA10" s="198">
        <f>SUMIFS('октябрь 2023'!$G$4:$G$1074,'октябрь 2023'!$D$4:$D$1074,$B10,'октябрь 2023'!$J$4:$J$1074,AA$1)</f>
        <v>0</v>
      </c>
      <c r="AB10" s="198">
        <f>SUMIFS('октябрь 2023'!$G$4:$G$1074,'октябрь 2023'!$D$4:$D$1074,$B10,'октябрь 2023'!$J$4:$J$1074,AB$1)</f>
        <v>0</v>
      </c>
      <c r="AC10" s="198">
        <f>SUMIFS('октябрь 2023'!$G$4:$G$1074,'октябрь 2023'!$D$4:$D$1074,$B10,'октябрь 2023'!$J$4:$J$1074,AC$1)</f>
        <v>0</v>
      </c>
      <c r="AD10" s="198">
        <f>SUMIFS('октябрь 2023'!$G$4:$G$1074,'октябрь 2023'!$D$4:$D$1074,$B10,'октябрь 2023'!$J$4:$J$1074,AD$1)</f>
        <v>0</v>
      </c>
      <c r="AE10" s="198">
        <f>SUMIFS('октябрь 2023'!$G$4:$G$1074,'октябрь 2023'!$D$4:$D$1074,$B10,'октябрь 2023'!$J$4:$J$1074,AE$1)</f>
        <v>0</v>
      </c>
      <c r="AF10" s="198">
        <f>SUMIFS('октябрь 2023'!$G$4:$G$1074,'октябрь 2023'!$D$4:$D$1074,$B10,'октябрь 2023'!$J$4:$J$1074,AF$1)</f>
        <v>0</v>
      </c>
      <c r="AG10" s="198">
        <f>SUMIFS('октябрь 2023'!$G$4:$G$1074,'октябрь 2023'!$D$4:$D$1074,$B10,'октябрь 2023'!$J$4:$J$1074,AG$1)</f>
        <v>0</v>
      </c>
      <c r="AH10" s="198">
        <f>SUMIFS('октябрь 2023'!$G$4:$G$1074,'октябрь 2023'!$D$4:$D$1074,$B10,'октябрь 2023'!$J$4:$J$1074,AH$1)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SUMIFS('октябрь 2023'!$G$4:$G$1074,'октябрь 2023'!$D$4:$D$1074,$B11,'октябрь 2023'!$J$4:$J$1074,D$1)</f>
        <v>0</v>
      </c>
      <c r="E11" s="198">
        <f>SUMIFS('октябрь 2023'!$G$4:$G$1074,'октябрь 2023'!$D$4:$D$1074,$B11,'октябрь 2023'!$J$4:$J$1074,E$1)</f>
        <v>0</v>
      </c>
      <c r="F11" s="198">
        <f>SUMIFS('октябрь 2023'!$G$4:$G$1074,'октябрь 2023'!$D$4:$D$1074,$B11,'октябрь 2023'!$J$4:$J$1074,F$1)</f>
        <v>0</v>
      </c>
      <c r="G11" s="198">
        <f>SUMIFS('октябрь 2023'!$G$4:$G$1074,'октябрь 2023'!$D$4:$D$1074,$B11,'октябрь 2023'!$J$4:$J$1074,G$1)</f>
        <v>0</v>
      </c>
      <c r="H11" s="198">
        <f>SUMIFS('октябрь 2023'!$G$4:$G$1074,'октябрь 2023'!$D$4:$D$1074,$B11,'октябрь 2023'!$J$4:$J$1074,H$1)</f>
        <v>0</v>
      </c>
      <c r="I11" s="198">
        <f>SUMIFS('октябрь 2023'!$G$4:$G$1074,'октябрь 2023'!$D$4:$D$1074,$B11,'октябрь 2023'!$J$4:$J$1074,I$1)</f>
        <v>0</v>
      </c>
      <c r="J11" s="198">
        <f>SUMIFS('октябрь 2023'!$G$4:$G$1074,'октябрь 2023'!$D$4:$D$1074,$B11,'октябрь 2023'!$J$4:$J$1074,J$1)</f>
        <v>0</v>
      </c>
      <c r="K11" s="198">
        <f>SUMIFS('октябрь 2023'!$G$4:$G$1074,'октябрь 2023'!$D$4:$D$1074,$B11,'октябрь 2023'!$J$4:$J$1074,K$1)</f>
        <v>0</v>
      </c>
      <c r="L11" s="198">
        <f>SUMIFS('октябрь 2023'!$G$4:$G$1074,'октябрь 2023'!$D$4:$D$1074,$B11,'октябрь 2023'!$J$4:$J$1074,L$1)</f>
        <v>0</v>
      </c>
      <c r="M11" s="198">
        <f>SUMIFS('октябрь 2023'!$G$4:$G$1074,'октябрь 2023'!$D$4:$D$1074,$B11,'октябрь 2023'!$J$4:$J$1074,M$1)</f>
        <v>0</v>
      </c>
      <c r="N11" s="198">
        <f>SUMIFS('октябрь 2023'!$G$4:$G$1074,'октябрь 2023'!$D$4:$D$1074,$B11,'октябрь 2023'!$J$4:$J$1074,N$1)</f>
        <v>0</v>
      </c>
      <c r="O11" s="198">
        <f>SUMIFS('октябрь 2023'!$G$4:$G$1074,'октябрь 2023'!$D$4:$D$1074,$B11,'октябрь 2023'!$J$4:$J$1074,O$1)</f>
        <v>0</v>
      </c>
      <c r="P11" s="198">
        <f>SUMIFS('октябрь 2023'!$G$4:$G$1074,'октябрь 2023'!$D$4:$D$1074,$B11,'октябрь 2023'!$J$4:$J$1074,P$1)</f>
        <v>0</v>
      </c>
      <c r="Q11" s="198">
        <f>SUMIFS('октябрь 2023'!$G$4:$G$1074,'октябрь 2023'!$D$4:$D$1074,$B11,'октябрь 2023'!$J$4:$J$1074,Q$1)</f>
        <v>0</v>
      </c>
      <c r="R11" s="198">
        <f>SUMIFS('октябрь 2023'!$G$4:$G$1074,'октябрь 2023'!$D$4:$D$1074,$B11,'октябрь 2023'!$J$4:$J$1074,R$1)</f>
        <v>0</v>
      </c>
      <c r="S11" s="198">
        <f>SUMIFS('октябрь 2023'!$G$4:$G$1074,'октябрь 2023'!$D$4:$D$1074,$B11,'октябрь 2023'!$J$4:$J$1074,S$1)</f>
        <v>0</v>
      </c>
      <c r="T11" s="198">
        <f>SUMIFS('октябрь 2023'!$G$4:$G$1074,'октябрь 2023'!$D$4:$D$1074,$B11,'октябрь 2023'!$J$4:$J$1074,T$1)</f>
        <v>0</v>
      </c>
      <c r="U11" s="198">
        <f>SUMIFS('октябрь 2023'!$G$4:$G$1074,'октябрь 2023'!$D$4:$D$1074,$B11,'октябрь 2023'!$J$4:$J$1074,U$1)</f>
        <v>0</v>
      </c>
      <c r="V11" s="198">
        <f>SUMIFS('октябрь 2023'!$G$4:$G$1074,'октябрь 2023'!$D$4:$D$1074,$B11,'октябрь 2023'!$J$4:$J$1074,V$1)</f>
        <v>0</v>
      </c>
      <c r="W11" s="198">
        <f>SUMIFS('октябрь 2023'!$G$4:$G$1074,'октябрь 2023'!$D$4:$D$1074,$B11,'октябрь 2023'!$J$4:$J$1074,W$1)</f>
        <v>0</v>
      </c>
      <c r="X11" s="198">
        <f>SUMIFS('октябрь 2023'!$G$4:$G$1074,'октябрь 2023'!$D$4:$D$1074,$B11,'октябрь 2023'!$J$4:$J$1074,X$1)</f>
        <v>0</v>
      </c>
      <c r="Y11" s="198">
        <f>SUMIFS('октябрь 2023'!$G$4:$G$1074,'октябрь 2023'!$D$4:$D$1074,$B11,'октябрь 2023'!$J$4:$J$1074,Y$1)</f>
        <v>0</v>
      </c>
      <c r="Z11" s="198">
        <f>SUMIFS('октябрь 2023'!$G$4:$G$1074,'октябрь 2023'!$D$4:$D$1074,$B11,'октябрь 2023'!$J$4:$J$1074,Z$1)</f>
        <v>0</v>
      </c>
      <c r="AA11" s="198">
        <f>SUMIFS('октябрь 2023'!$G$4:$G$1074,'октябрь 2023'!$D$4:$D$1074,$B11,'октябрь 2023'!$J$4:$J$1074,AA$1)</f>
        <v>0</v>
      </c>
      <c r="AB11" s="198">
        <f>SUMIFS('октябрь 2023'!$G$4:$G$1074,'октябрь 2023'!$D$4:$D$1074,$B11,'октябрь 2023'!$J$4:$J$1074,AB$1)</f>
        <v>0</v>
      </c>
      <c r="AC11" s="198">
        <f>SUMIFS('октябрь 2023'!$G$4:$G$1074,'октябрь 2023'!$D$4:$D$1074,$B11,'октябрь 2023'!$J$4:$J$1074,AC$1)</f>
        <v>0</v>
      </c>
      <c r="AD11" s="198">
        <f>SUMIFS('октябрь 2023'!$G$4:$G$1074,'октябрь 2023'!$D$4:$D$1074,$B11,'октябрь 2023'!$J$4:$J$1074,AD$1)</f>
        <v>0</v>
      </c>
      <c r="AE11" s="198">
        <f>SUMIFS('октябрь 2023'!$G$4:$G$1074,'октябрь 2023'!$D$4:$D$1074,$B11,'октябрь 2023'!$J$4:$J$1074,AE$1)</f>
        <v>0</v>
      </c>
      <c r="AF11" s="198">
        <f>SUMIFS('октябрь 2023'!$G$4:$G$1074,'октябрь 2023'!$D$4:$D$1074,$B11,'октябрь 2023'!$J$4:$J$1074,AF$1)</f>
        <v>0</v>
      </c>
      <c r="AG11" s="198">
        <f>SUMIFS('октябрь 2023'!$G$4:$G$1074,'октябрь 2023'!$D$4:$D$1074,$B11,'октябрь 2023'!$J$4:$J$1074,AG$1)</f>
        <v>0</v>
      </c>
      <c r="AH11" s="198">
        <f>SUMIFS('октябрь 2023'!$G$4:$G$1074,'октябрь 2023'!$D$4:$D$1074,$B11,'октябрь 2023'!$J$4:$J$1074,AH$1)</f>
        <v>0</v>
      </c>
      <c r="AI11" s="170">
        <f t="shared" si="1"/>
        <v>0</v>
      </c>
    </row>
    <row r="12" spans="2:35" ht="15" customHeight="1" x14ac:dyDescent="0.25">
      <c r="B12" s="202" t="s">
        <v>127</v>
      </c>
      <c r="C12" s="203">
        <v>25</v>
      </c>
      <c r="D12" s="198">
        <f>SUMIFS('октябрь 2023'!$G$4:$G$1074,'октябрь 2023'!$D$4:$D$1074,$B12,'октябрь 2023'!$J$4:$J$1074,D$1)</f>
        <v>0</v>
      </c>
      <c r="E12" s="198">
        <f>SUMIFS('октябрь 2023'!$G$4:$G$1074,'октябрь 2023'!$D$4:$D$1074,$B12,'октябрь 2023'!$J$4:$J$1074,E$1)</f>
        <v>0</v>
      </c>
      <c r="F12" s="198">
        <f>SUMIFS('октябрь 2023'!$G$4:$G$1074,'октябрь 2023'!$D$4:$D$1074,$B12,'октябрь 2023'!$J$4:$J$1074,F$1)</f>
        <v>800</v>
      </c>
      <c r="G12" s="198">
        <f>SUMIFS('октябрь 2023'!$G$4:$G$1074,'октябрь 2023'!$D$4:$D$1074,$B12,'октябрь 2023'!$J$4:$J$1074,G$1)</f>
        <v>0</v>
      </c>
      <c r="H12" s="198">
        <f>SUMIFS('октябрь 2023'!$G$4:$G$1074,'октябрь 2023'!$D$4:$D$1074,$B12,'октябрь 2023'!$J$4:$J$1074,H$1)</f>
        <v>0</v>
      </c>
      <c r="I12" s="198">
        <f>SUMIFS('октябрь 2023'!$G$4:$G$1074,'октябрь 2023'!$D$4:$D$1074,$B12,'октябрь 2023'!$J$4:$J$1074,I$1)</f>
        <v>0</v>
      </c>
      <c r="J12" s="198">
        <f>SUMIFS('октябрь 2023'!$G$4:$G$1074,'октябрь 2023'!$D$4:$D$1074,$B12,'октябрь 2023'!$J$4:$J$1074,J$1)</f>
        <v>0</v>
      </c>
      <c r="K12" s="198">
        <f>SUMIFS('октябрь 2023'!$G$4:$G$1074,'октябрь 2023'!$D$4:$D$1074,$B12,'октябрь 2023'!$J$4:$J$1074,K$1)</f>
        <v>0</v>
      </c>
      <c r="L12" s="198">
        <f>SUMIFS('октябрь 2023'!$G$4:$G$1074,'октябрь 2023'!$D$4:$D$1074,$B12,'октябрь 2023'!$J$4:$J$1074,L$1)</f>
        <v>0</v>
      </c>
      <c r="M12" s="198">
        <f>SUMIFS('октябрь 2023'!$G$4:$G$1074,'октябрь 2023'!$D$4:$D$1074,$B12,'октябрь 2023'!$J$4:$J$1074,M$1)</f>
        <v>0</v>
      </c>
      <c r="N12" s="198">
        <f>SUMIFS('октябрь 2023'!$G$4:$G$1074,'октябрь 2023'!$D$4:$D$1074,$B12,'октябрь 2023'!$J$4:$J$1074,N$1)</f>
        <v>0</v>
      </c>
      <c r="O12" s="198">
        <f>SUMIFS('октябрь 2023'!$G$4:$G$1074,'октябрь 2023'!$D$4:$D$1074,$B12,'октябрь 2023'!$J$4:$J$1074,O$1)</f>
        <v>0</v>
      </c>
      <c r="P12" s="198">
        <f>SUMIFS('октябрь 2023'!$G$4:$G$1074,'октябрь 2023'!$D$4:$D$1074,$B12,'октябрь 2023'!$J$4:$J$1074,P$1)</f>
        <v>0</v>
      </c>
      <c r="Q12" s="198">
        <f>SUMIFS('октябрь 2023'!$G$4:$G$1074,'октябрь 2023'!$D$4:$D$1074,$B12,'октябрь 2023'!$J$4:$J$1074,Q$1)</f>
        <v>0</v>
      </c>
      <c r="R12" s="198">
        <f>SUMIFS('октябрь 2023'!$G$4:$G$1074,'октябрь 2023'!$D$4:$D$1074,$B12,'октябрь 2023'!$J$4:$J$1074,R$1)</f>
        <v>0</v>
      </c>
      <c r="S12" s="198">
        <f>SUMIFS('октябрь 2023'!$G$4:$G$1074,'октябрь 2023'!$D$4:$D$1074,$B12,'октябрь 2023'!$J$4:$J$1074,S$1)</f>
        <v>0</v>
      </c>
      <c r="T12" s="198">
        <f>SUMIFS('октябрь 2023'!$G$4:$G$1074,'октябрь 2023'!$D$4:$D$1074,$B12,'октябрь 2023'!$J$4:$J$1074,T$1)</f>
        <v>0</v>
      </c>
      <c r="U12" s="198">
        <f>SUMIFS('октябрь 2023'!$G$4:$G$1074,'октябрь 2023'!$D$4:$D$1074,$B12,'октябрь 2023'!$J$4:$J$1074,U$1)</f>
        <v>0</v>
      </c>
      <c r="V12" s="198">
        <f>SUMIFS('октябрь 2023'!$G$4:$G$1074,'октябрь 2023'!$D$4:$D$1074,$B12,'октябрь 2023'!$J$4:$J$1074,V$1)</f>
        <v>0</v>
      </c>
      <c r="W12" s="198">
        <f>SUMIFS('октябрь 2023'!$G$4:$G$1074,'октябрь 2023'!$D$4:$D$1074,$B12,'октябрь 2023'!$J$4:$J$1074,W$1)</f>
        <v>0</v>
      </c>
      <c r="X12" s="198">
        <f>SUMIFS('октябрь 2023'!$G$4:$G$1074,'октябрь 2023'!$D$4:$D$1074,$B12,'октябрь 2023'!$J$4:$J$1074,X$1)</f>
        <v>0</v>
      </c>
      <c r="Y12" s="198">
        <f>SUMIFS('октябрь 2023'!$G$4:$G$1074,'октябрь 2023'!$D$4:$D$1074,$B12,'октябрь 2023'!$J$4:$J$1074,Y$1)</f>
        <v>0</v>
      </c>
      <c r="Z12" s="198">
        <f>SUMIFS('октябрь 2023'!$G$4:$G$1074,'октябрь 2023'!$D$4:$D$1074,$B12,'октябрь 2023'!$J$4:$J$1074,Z$1)</f>
        <v>0</v>
      </c>
      <c r="AA12" s="198">
        <f>SUMIFS('октябрь 2023'!$G$4:$G$1074,'октябрь 2023'!$D$4:$D$1074,$B12,'октябрь 2023'!$J$4:$J$1074,AA$1)</f>
        <v>0</v>
      </c>
      <c r="AB12" s="198">
        <f>SUMIFS('октябрь 2023'!$G$4:$G$1074,'октябрь 2023'!$D$4:$D$1074,$B12,'октябрь 2023'!$J$4:$J$1074,AB$1)</f>
        <v>0</v>
      </c>
      <c r="AC12" s="198">
        <f>SUMIFS('октябрь 2023'!$G$4:$G$1074,'октябрь 2023'!$D$4:$D$1074,$B12,'октябрь 2023'!$J$4:$J$1074,AC$1)</f>
        <v>630</v>
      </c>
      <c r="AD12" s="198">
        <f>SUMIFS('октябрь 2023'!$G$4:$G$1074,'октябрь 2023'!$D$4:$D$1074,$B12,'октябрь 2023'!$J$4:$J$1074,AD$1)</f>
        <v>0</v>
      </c>
      <c r="AE12" s="198">
        <f>SUMIFS('октябрь 2023'!$G$4:$G$1074,'октябрь 2023'!$D$4:$D$1074,$B12,'октябрь 2023'!$J$4:$J$1074,AE$1)</f>
        <v>0</v>
      </c>
      <c r="AF12" s="198">
        <f>SUMIFS('октябрь 2023'!$G$4:$G$1074,'октябрь 2023'!$D$4:$D$1074,$B12,'октябрь 2023'!$J$4:$J$1074,AF$1)</f>
        <v>0</v>
      </c>
      <c r="AG12" s="198">
        <f>SUMIFS('октябрь 2023'!$G$4:$G$1074,'октябрь 2023'!$D$4:$D$1074,$B12,'октябрь 2023'!$J$4:$J$1074,AG$1)</f>
        <v>0</v>
      </c>
      <c r="AH12" s="198">
        <f>SUMIFS('октябрь 2023'!$G$4:$G$1074,'октябрь 2023'!$D$4:$D$1074,$B12,'октябрь 2023'!$J$4:$J$1074,AH$1)</f>
        <v>0</v>
      </c>
      <c r="AI12" s="170">
        <f t="shared" si="1"/>
        <v>1430</v>
      </c>
    </row>
    <row r="13" spans="2:35" ht="15" customHeight="1" x14ac:dyDescent="0.25">
      <c r="B13" s="202" t="s">
        <v>86</v>
      </c>
      <c r="C13" s="203">
        <v>22.7</v>
      </c>
      <c r="D13" s="198">
        <f>SUMIFS('октябрь 2023'!$G$4:$G$1074,'октябрь 2023'!$D$4:$D$1074,$B13,'октябрь 2023'!$J$4:$J$1074,D$1)</f>
        <v>0</v>
      </c>
      <c r="E13" s="198">
        <f>SUMIFS('октябрь 2023'!$G$4:$G$1074,'октябрь 2023'!$D$4:$D$1074,$B13,'октябрь 2023'!$J$4:$J$1074,E$1)</f>
        <v>0</v>
      </c>
      <c r="F13" s="198">
        <f>SUMIFS('октябрь 2023'!$G$4:$G$1074,'октябрь 2023'!$D$4:$D$1074,$B13,'октябрь 2023'!$J$4:$J$1074,F$1)</f>
        <v>0</v>
      </c>
      <c r="G13" s="198">
        <f>SUMIFS('октябрь 2023'!$G$4:$G$1074,'октябрь 2023'!$D$4:$D$1074,$B13,'октябрь 2023'!$J$4:$J$1074,G$1)</f>
        <v>0</v>
      </c>
      <c r="H13" s="198">
        <f>SUMIFS('октябрь 2023'!$G$4:$G$1074,'октябрь 2023'!$D$4:$D$1074,$B13,'октябрь 2023'!$J$4:$J$1074,H$1)</f>
        <v>0</v>
      </c>
      <c r="I13" s="198">
        <f>SUMIFS('октябрь 2023'!$G$4:$G$1074,'октябрь 2023'!$D$4:$D$1074,$B13,'октябрь 2023'!$J$4:$J$1074,I$1)</f>
        <v>0</v>
      </c>
      <c r="J13" s="198">
        <f>SUMIFS('октябрь 2023'!$G$4:$G$1074,'октябрь 2023'!$D$4:$D$1074,$B13,'октябрь 2023'!$J$4:$J$1074,J$1)</f>
        <v>0</v>
      </c>
      <c r="K13" s="198">
        <f>SUMIFS('октябрь 2023'!$G$4:$G$1074,'октябрь 2023'!$D$4:$D$1074,$B13,'октябрь 2023'!$J$4:$J$1074,K$1)</f>
        <v>0</v>
      </c>
      <c r="L13" s="198">
        <f>SUMIFS('октябрь 2023'!$G$4:$G$1074,'октябрь 2023'!$D$4:$D$1074,$B13,'октябрь 2023'!$J$4:$J$1074,L$1)</f>
        <v>0</v>
      </c>
      <c r="M13" s="198">
        <f>SUMIFS('октябрь 2023'!$G$4:$G$1074,'октябрь 2023'!$D$4:$D$1074,$B13,'октябрь 2023'!$J$4:$J$1074,M$1)</f>
        <v>0</v>
      </c>
      <c r="N13" s="198">
        <f>SUMIFS('октябрь 2023'!$G$4:$G$1074,'октябрь 2023'!$D$4:$D$1074,$B13,'октябрь 2023'!$J$4:$J$1074,N$1)</f>
        <v>0</v>
      </c>
      <c r="O13" s="198">
        <f>SUMIFS('октябрь 2023'!$G$4:$G$1074,'октябрь 2023'!$D$4:$D$1074,$B13,'октябрь 2023'!$J$4:$J$1074,O$1)</f>
        <v>0</v>
      </c>
      <c r="P13" s="198">
        <f>SUMIFS('октябрь 2023'!$G$4:$G$1074,'октябрь 2023'!$D$4:$D$1074,$B13,'октябрь 2023'!$J$4:$J$1074,P$1)</f>
        <v>0</v>
      </c>
      <c r="Q13" s="198">
        <f>SUMIFS('октябрь 2023'!$G$4:$G$1074,'октябрь 2023'!$D$4:$D$1074,$B13,'октябрь 2023'!$J$4:$J$1074,Q$1)</f>
        <v>0</v>
      </c>
      <c r="R13" s="198">
        <f>SUMIFS('октябрь 2023'!$G$4:$G$1074,'октябрь 2023'!$D$4:$D$1074,$B13,'октябрь 2023'!$J$4:$J$1074,R$1)</f>
        <v>0</v>
      </c>
      <c r="S13" s="198">
        <f>SUMIFS('октябрь 2023'!$G$4:$G$1074,'октябрь 2023'!$D$4:$D$1074,$B13,'октябрь 2023'!$J$4:$J$1074,S$1)</f>
        <v>0</v>
      </c>
      <c r="T13" s="198">
        <f>SUMIFS('октябрь 2023'!$G$4:$G$1074,'октябрь 2023'!$D$4:$D$1074,$B13,'октябрь 2023'!$J$4:$J$1074,T$1)</f>
        <v>0</v>
      </c>
      <c r="U13" s="198">
        <f>SUMIFS('октябрь 2023'!$G$4:$G$1074,'октябрь 2023'!$D$4:$D$1074,$B13,'октябрь 2023'!$J$4:$J$1074,U$1)</f>
        <v>0</v>
      </c>
      <c r="V13" s="198">
        <f>SUMIFS('октябрь 2023'!$G$4:$G$1074,'октябрь 2023'!$D$4:$D$1074,$B13,'октябрь 2023'!$J$4:$J$1074,V$1)</f>
        <v>0</v>
      </c>
      <c r="W13" s="198">
        <f>SUMIFS('октябрь 2023'!$G$4:$G$1074,'октябрь 2023'!$D$4:$D$1074,$B13,'октябрь 2023'!$J$4:$J$1074,W$1)</f>
        <v>700</v>
      </c>
      <c r="X13" s="198">
        <f>SUMIFS('октябрь 2023'!$G$4:$G$1074,'октябрь 2023'!$D$4:$D$1074,$B13,'октябрь 2023'!$J$4:$J$1074,X$1)</f>
        <v>0</v>
      </c>
      <c r="Y13" s="198">
        <f>SUMIFS('октябрь 2023'!$G$4:$G$1074,'октябрь 2023'!$D$4:$D$1074,$B13,'октябрь 2023'!$J$4:$J$1074,Y$1)</f>
        <v>0</v>
      </c>
      <c r="Z13" s="198">
        <f>SUMIFS('октябрь 2023'!$G$4:$G$1074,'октябрь 2023'!$D$4:$D$1074,$B13,'октябрь 2023'!$J$4:$J$1074,Z$1)</f>
        <v>0</v>
      </c>
      <c r="AA13" s="198">
        <f>SUMIFS('октябрь 2023'!$G$4:$G$1074,'октябрь 2023'!$D$4:$D$1074,$B13,'октябрь 2023'!$J$4:$J$1074,AA$1)</f>
        <v>0</v>
      </c>
      <c r="AB13" s="198">
        <f>SUMIFS('октябрь 2023'!$G$4:$G$1074,'октябрь 2023'!$D$4:$D$1074,$B13,'октябрь 2023'!$J$4:$J$1074,AB$1)</f>
        <v>0</v>
      </c>
      <c r="AC13" s="198">
        <f>SUMIFS('октябрь 2023'!$G$4:$G$1074,'октябрь 2023'!$D$4:$D$1074,$B13,'октябрь 2023'!$J$4:$J$1074,AC$1)</f>
        <v>0</v>
      </c>
      <c r="AD13" s="198">
        <f>SUMIFS('октябрь 2023'!$G$4:$G$1074,'октябрь 2023'!$D$4:$D$1074,$B13,'октябрь 2023'!$J$4:$J$1074,AD$1)</f>
        <v>0</v>
      </c>
      <c r="AE13" s="198">
        <f>SUMIFS('октябрь 2023'!$G$4:$G$1074,'октябрь 2023'!$D$4:$D$1074,$B13,'октябрь 2023'!$J$4:$J$1074,AE$1)</f>
        <v>0</v>
      </c>
      <c r="AF13" s="198">
        <f>SUMIFS('октябрь 2023'!$G$4:$G$1074,'октябрь 2023'!$D$4:$D$1074,$B13,'октябрь 2023'!$J$4:$J$1074,AF$1)</f>
        <v>0</v>
      </c>
      <c r="AG13" s="198">
        <f>SUMIFS('октябрь 2023'!$G$4:$G$1074,'октябрь 2023'!$D$4:$D$1074,$B13,'октябрь 2023'!$J$4:$J$1074,AG$1)</f>
        <v>0</v>
      </c>
      <c r="AH13" s="198">
        <f>SUMIFS('октябрь 2023'!$G$4:$G$1074,'октябрь 2023'!$D$4:$D$1074,$B13,'октябрь 2023'!$J$4:$J$1074,AH$1)</f>
        <v>0</v>
      </c>
      <c r="AI13" s="170">
        <f t="shared" si="1"/>
        <v>700</v>
      </c>
    </row>
    <row r="14" spans="2:35" ht="15" customHeight="1" x14ac:dyDescent="0.25">
      <c r="B14" s="199" t="s">
        <v>2103</v>
      </c>
      <c r="C14" s="200">
        <v>25</v>
      </c>
      <c r="D14" s="198">
        <f>SUMIFS('октябрь 2023'!$G$4:$G$1074,'октябрь 2023'!$D$4:$D$1074,$B14,'октябрь 2023'!$J$4:$J$1074,D$1)</f>
        <v>0</v>
      </c>
      <c r="E14" s="198">
        <f>SUMIFS('октябрь 2023'!$G$4:$G$1074,'октябрь 2023'!$D$4:$D$1074,$B14,'октябрь 2023'!$J$4:$J$1074,E$1)</f>
        <v>0</v>
      </c>
      <c r="F14" s="198">
        <f>SUMIFS('октябрь 2023'!$G$4:$G$1074,'октябрь 2023'!$D$4:$D$1074,$B14,'октябрь 2023'!$J$4:$J$1074,F$1)</f>
        <v>0</v>
      </c>
      <c r="G14" s="198">
        <f>SUMIFS('октябрь 2023'!$G$4:$G$1074,'октябрь 2023'!$D$4:$D$1074,$B14,'октябрь 2023'!$J$4:$J$1074,G$1)</f>
        <v>0</v>
      </c>
      <c r="H14" s="198">
        <f>SUMIFS('октябрь 2023'!$G$4:$G$1074,'октябрь 2023'!$D$4:$D$1074,$B14,'октябрь 2023'!$J$4:$J$1074,H$1)</f>
        <v>0</v>
      </c>
      <c r="I14" s="198">
        <f>SUMIFS('октябрь 2023'!$G$4:$G$1074,'октябрь 2023'!$D$4:$D$1074,$B14,'октябрь 2023'!$J$4:$J$1074,I$1)</f>
        <v>0</v>
      </c>
      <c r="J14" s="198">
        <f>SUMIFS('октябрь 2023'!$G$4:$G$1074,'октябрь 2023'!$D$4:$D$1074,$B14,'октябрь 2023'!$J$4:$J$1074,J$1)</f>
        <v>0</v>
      </c>
      <c r="K14" s="198">
        <f>SUMIFS('октябрь 2023'!$G$4:$G$1074,'октябрь 2023'!$D$4:$D$1074,$B14,'октябрь 2023'!$J$4:$J$1074,K$1)</f>
        <v>0</v>
      </c>
      <c r="L14" s="198">
        <f>SUMIFS('октябрь 2023'!$G$4:$G$1074,'октябрь 2023'!$D$4:$D$1074,$B14,'октябрь 2023'!$J$4:$J$1074,L$1)</f>
        <v>0</v>
      </c>
      <c r="M14" s="198">
        <f>SUMIFS('октябрь 2023'!$G$4:$G$1074,'октябрь 2023'!$D$4:$D$1074,$B14,'октябрь 2023'!$J$4:$J$1074,M$1)</f>
        <v>0</v>
      </c>
      <c r="N14" s="198">
        <f>SUMIFS('октябрь 2023'!$G$4:$G$1074,'октябрь 2023'!$D$4:$D$1074,$B14,'октябрь 2023'!$J$4:$J$1074,N$1)</f>
        <v>0</v>
      </c>
      <c r="O14" s="198">
        <f>SUMIFS('октябрь 2023'!$G$4:$G$1074,'октябрь 2023'!$D$4:$D$1074,$B14,'октябрь 2023'!$J$4:$J$1074,O$1)</f>
        <v>0</v>
      </c>
      <c r="P14" s="198">
        <f>SUMIFS('октябрь 2023'!$G$4:$G$1074,'октябрь 2023'!$D$4:$D$1074,$B14,'октябрь 2023'!$J$4:$J$1074,P$1)</f>
        <v>0</v>
      </c>
      <c r="Q14" s="198">
        <f>SUMIFS('октябрь 2023'!$G$4:$G$1074,'октябрь 2023'!$D$4:$D$1074,$B14,'октябрь 2023'!$J$4:$J$1074,Q$1)</f>
        <v>0</v>
      </c>
      <c r="R14" s="198">
        <f>SUMIFS('октябрь 2023'!$G$4:$G$1074,'октябрь 2023'!$D$4:$D$1074,$B14,'октябрь 2023'!$J$4:$J$1074,R$1)</f>
        <v>0</v>
      </c>
      <c r="S14" s="198">
        <f>SUMIFS('октябрь 2023'!$G$4:$G$1074,'октябрь 2023'!$D$4:$D$1074,$B14,'октябрь 2023'!$J$4:$J$1074,S$1)</f>
        <v>0</v>
      </c>
      <c r="T14" s="198">
        <f>SUMIFS('октябрь 2023'!$G$4:$G$1074,'октябрь 2023'!$D$4:$D$1074,$B14,'октябрь 2023'!$J$4:$J$1074,T$1)</f>
        <v>0</v>
      </c>
      <c r="U14" s="198">
        <f>SUMIFS('октябрь 2023'!$G$4:$G$1074,'октябрь 2023'!$D$4:$D$1074,$B14,'октябрь 2023'!$J$4:$J$1074,U$1)</f>
        <v>0</v>
      </c>
      <c r="V14" s="198">
        <f>SUMIFS('октябрь 2023'!$G$4:$G$1074,'октябрь 2023'!$D$4:$D$1074,$B14,'октябрь 2023'!$J$4:$J$1074,V$1)</f>
        <v>0</v>
      </c>
      <c r="W14" s="198">
        <f>SUMIFS('октябрь 2023'!$G$4:$G$1074,'октябрь 2023'!$D$4:$D$1074,$B14,'октябрь 2023'!$J$4:$J$1074,W$1)</f>
        <v>0</v>
      </c>
      <c r="X14" s="198">
        <f>SUMIFS('октябрь 2023'!$G$4:$G$1074,'октябрь 2023'!$D$4:$D$1074,$B14,'октябрь 2023'!$J$4:$J$1074,X$1)</f>
        <v>0</v>
      </c>
      <c r="Y14" s="198">
        <f>SUMIFS('октябрь 2023'!$G$4:$G$1074,'октябрь 2023'!$D$4:$D$1074,$B14,'октябрь 2023'!$J$4:$J$1074,Y$1)</f>
        <v>0</v>
      </c>
      <c r="Z14" s="198">
        <f>SUMIFS('октябрь 2023'!$G$4:$G$1074,'октябрь 2023'!$D$4:$D$1074,$B14,'октябрь 2023'!$J$4:$J$1074,Z$1)</f>
        <v>0</v>
      </c>
      <c r="AA14" s="198">
        <f>SUMIFS('октябрь 2023'!$G$4:$G$1074,'октябрь 2023'!$D$4:$D$1074,$B14,'октябрь 2023'!$J$4:$J$1074,AA$1)</f>
        <v>0</v>
      </c>
      <c r="AB14" s="198">
        <f>SUMIFS('октябрь 2023'!$G$4:$G$1074,'октябрь 2023'!$D$4:$D$1074,$B14,'октябрь 2023'!$J$4:$J$1074,AB$1)</f>
        <v>0</v>
      </c>
      <c r="AC14" s="198">
        <f>SUMIFS('октябрь 2023'!$G$4:$G$1074,'октябрь 2023'!$D$4:$D$1074,$B14,'октябрь 2023'!$J$4:$J$1074,AC$1)</f>
        <v>0</v>
      </c>
      <c r="AD14" s="198">
        <f>SUMIFS('октябрь 2023'!$G$4:$G$1074,'октябрь 2023'!$D$4:$D$1074,$B14,'октябрь 2023'!$J$4:$J$1074,AD$1)</f>
        <v>0</v>
      </c>
      <c r="AE14" s="198">
        <f>SUMIFS('октябрь 2023'!$G$4:$G$1074,'октябрь 2023'!$D$4:$D$1074,$B14,'октябрь 2023'!$J$4:$J$1074,AE$1)</f>
        <v>0</v>
      </c>
      <c r="AF14" s="198">
        <f>SUMIFS('октябрь 2023'!$G$4:$G$1074,'октябрь 2023'!$D$4:$D$1074,$B14,'октябрь 2023'!$J$4:$J$1074,AF$1)</f>
        <v>0</v>
      </c>
      <c r="AG14" s="198">
        <f>SUMIFS('октябрь 2023'!$G$4:$G$1074,'октябрь 2023'!$D$4:$D$1074,$B14,'октябрь 2023'!$J$4:$J$1074,AG$1)</f>
        <v>0</v>
      </c>
      <c r="AH14" s="198">
        <f>SUMIFS('октябрь 2023'!$G$4:$G$1074,'октябрь 2023'!$D$4:$D$1074,$B14,'октябрь 2023'!$J$4:$J$1074,AH$1)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SUMIFS('октябрь 2023'!$G$4:$G$1074,'октябрь 2023'!$D$4:$D$1074,$B15,'октябрь 2023'!$J$4:$J$1074,D$1)</f>
        <v>0</v>
      </c>
      <c r="E15" s="198">
        <f>SUMIFS('октябрь 2023'!$G$4:$G$1074,'октябрь 2023'!$D$4:$D$1074,$B15,'октябрь 2023'!$J$4:$J$1074,E$1)</f>
        <v>0</v>
      </c>
      <c r="F15" s="198">
        <f>SUMIFS('октябрь 2023'!$G$4:$G$1074,'октябрь 2023'!$D$4:$D$1074,$B15,'октябрь 2023'!$J$4:$J$1074,F$1)</f>
        <v>0</v>
      </c>
      <c r="G15" s="198">
        <f>SUMIFS('октябрь 2023'!$G$4:$G$1074,'октябрь 2023'!$D$4:$D$1074,$B15,'октябрь 2023'!$J$4:$J$1074,G$1)</f>
        <v>0</v>
      </c>
      <c r="H15" s="198">
        <f>SUMIFS('октябрь 2023'!$G$4:$G$1074,'октябрь 2023'!$D$4:$D$1074,$B15,'октябрь 2023'!$J$4:$J$1074,H$1)</f>
        <v>0</v>
      </c>
      <c r="I15" s="198">
        <f>SUMIFS('октябрь 2023'!$G$4:$G$1074,'октябрь 2023'!$D$4:$D$1074,$B15,'октябрь 2023'!$J$4:$J$1074,I$1)</f>
        <v>0</v>
      </c>
      <c r="J15" s="198">
        <f>SUMIFS('октябрь 2023'!$G$4:$G$1074,'октябрь 2023'!$D$4:$D$1074,$B15,'октябрь 2023'!$J$4:$J$1074,J$1)</f>
        <v>0</v>
      </c>
      <c r="K15" s="198">
        <f>SUMIFS('октябрь 2023'!$G$4:$G$1074,'октябрь 2023'!$D$4:$D$1074,$B15,'октябрь 2023'!$J$4:$J$1074,K$1)</f>
        <v>0</v>
      </c>
      <c r="L15" s="198">
        <f>SUMIFS('октябрь 2023'!$G$4:$G$1074,'октябрь 2023'!$D$4:$D$1074,$B15,'октябрь 2023'!$J$4:$J$1074,L$1)</f>
        <v>0</v>
      </c>
      <c r="M15" s="198">
        <f>SUMIFS('октябрь 2023'!$G$4:$G$1074,'октябрь 2023'!$D$4:$D$1074,$B15,'октябрь 2023'!$J$4:$J$1074,M$1)</f>
        <v>0</v>
      </c>
      <c r="N15" s="198">
        <f>SUMIFS('октябрь 2023'!$G$4:$G$1074,'октябрь 2023'!$D$4:$D$1074,$B15,'октябрь 2023'!$J$4:$J$1074,N$1)</f>
        <v>0</v>
      </c>
      <c r="O15" s="198">
        <f>SUMIFS('октябрь 2023'!$G$4:$G$1074,'октябрь 2023'!$D$4:$D$1074,$B15,'октябрь 2023'!$J$4:$J$1074,O$1)</f>
        <v>0</v>
      </c>
      <c r="P15" s="198">
        <f>SUMIFS('октябрь 2023'!$G$4:$G$1074,'октябрь 2023'!$D$4:$D$1074,$B15,'октябрь 2023'!$J$4:$J$1074,P$1)</f>
        <v>0</v>
      </c>
      <c r="Q15" s="198">
        <f>SUMIFS('октябрь 2023'!$G$4:$G$1074,'октябрь 2023'!$D$4:$D$1074,$B15,'октябрь 2023'!$J$4:$J$1074,Q$1)</f>
        <v>0</v>
      </c>
      <c r="R15" s="198">
        <f>SUMIFS('октябрь 2023'!$G$4:$G$1074,'октябрь 2023'!$D$4:$D$1074,$B15,'октябрь 2023'!$J$4:$J$1074,R$1)</f>
        <v>0</v>
      </c>
      <c r="S15" s="198">
        <f>SUMIFS('октябрь 2023'!$G$4:$G$1074,'октябрь 2023'!$D$4:$D$1074,$B15,'октябрь 2023'!$J$4:$J$1074,S$1)</f>
        <v>0</v>
      </c>
      <c r="T15" s="198">
        <f>SUMIFS('октябрь 2023'!$G$4:$G$1074,'октябрь 2023'!$D$4:$D$1074,$B15,'октябрь 2023'!$J$4:$J$1074,T$1)</f>
        <v>0</v>
      </c>
      <c r="U15" s="198">
        <f>SUMIFS('октябрь 2023'!$G$4:$G$1074,'октябрь 2023'!$D$4:$D$1074,$B15,'октябрь 2023'!$J$4:$J$1074,U$1)</f>
        <v>0</v>
      </c>
      <c r="V15" s="198">
        <f>SUMIFS('октябрь 2023'!$G$4:$G$1074,'октябрь 2023'!$D$4:$D$1074,$B15,'октябрь 2023'!$J$4:$J$1074,V$1)</f>
        <v>0</v>
      </c>
      <c r="W15" s="198">
        <f>SUMIFS('октябрь 2023'!$G$4:$G$1074,'октябрь 2023'!$D$4:$D$1074,$B15,'октябрь 2023'!$J$4:$J$1074,W$1)</f>
        <v>0</v>
      </c>
      <c r="X15" s="198">
        <f>SUMIFS('октябрь 2023'!$G$4:$G$1074,'октябрь 2023'!$D$4:$D$1074,$B15,'октябрь 2023'!$J$4:$J$1074,X$1)</f>
        <v>0</v>
      </c>
      <c r="Y15" s="198">
        <f>SUMIFS('октябрь 2023'!$G$4:$G$1074,'октябрь 2023'!$D$4:$D$1074,$B15,'октябрь 2023'!$J$4:$J$1074,Y$1)</f>
        <v>0</v>
      </c>
      <c r="Z15" s="198">
        <f>SUMIFS('октябрь 2023'!$G$4:$G$1074,'октябрь 2023'!$D$4:$D$1074,$B15,'октябрь 2023'!$J$4:$J$1074,Z$1)</f>
        <v>0</v>
      </c>
      <c r="AA15" s="198">
        <f>SUMIFS('октябрь 2023'!$G$4:$G$1074,'октябрь 2023'!$D$4:$D$1074,$B15,'октябрь 2023'!$J$4:$J$1074,AA$1)</f>
        <v>0</v>
      </c>
      <c r="AB15" s="198">
        <f>SUMIFS('октябрь 2023'!$G$4:$G$1074,'октябрь 2023'!$D$4:$D$1074,$B15,'октябрь 2023'!$J$4:$J$1074,AB$1)</f>
        <v>0</v>
      </c>
      <c r="AC15" s="198">
        <f>SUMIFS('октябрь 2023'!$G$4:$G$1074,'октябрь 2023'!$D$4:$D$1074,$B15,'октябрь 2023'!$J$4:$J$1074,AC$1)</f>
        <v>0</v>
      </c>
      <c r="AD15" s="198">
        <f>SUMIFS('октябрь 2023'!$G$4:$G$1074,'октябрь 2023'!$D$4:$D$1074,$B15,'октябрь 2023'!$J$4:$J$1074,AD$1)</f>
        <v>0</v>
      </c>
      <c r="AE15" s="198">
        <f>SUMIFS('октябрь 2023'!$G$4:$G$1074,'октябрь 2023'!$D$4:$D$1074,$B15,'октябрь 2023'!$J$4:$J$1074,AE$1)</f>
        <v>0</v>
      </c>
      <c r="AF15" s="198">
        <f>SUMIFS('октябрь 2023'!$G$4:$G$1074,'октябрь 2023'!$D$4:$D$1074,$B15,'октябрь 2023'!$J$4:$J$1074,AF$1)</f>
        <v>0</v>
      </c>
      <c r="AG15" s="198">
        <f>SUMIFS('октябрь 2023'!$G$4:$G$1074,'октябрь 2023'!$D$4:$D$1074,$B15,'октябрь 2023'!$J$4:$J$1074,AG$1)</f>
        <v>0</v>
      </c>
      <c r="AH15" s="198">
        <f>SUMIFS('октябрь 2023'!$G$4:$G$1074,'октябрь 2023'!$D$4:$D$1074,$B15,'октябрь 2023'!$J$4:$J$1074,AH$1)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SUMIFS('октябрь 2023'!$G$4:$G$1074,'октябрь 2023'!$D$4:$D$1074,$B16,'октябрь 2023'!$J$4:$J$1074,D$1)</f>
        <v>0</v>
      </c>
      <c r="E16" s="198">
        <f>SUMIFS('октябрь 2023'!$G$4:$G$1074,'октябрь 2023'!$D$4:$D$1074,$B16,'октябрь 2023'!$J$4:$J$1074,E$1)</f>
        <v>0</v>
      </c>
      <c r="F16" s="198">
        <f>SUMIFS('октябрь 2023'!$G$4:$G$1074,'октябрь 2023'!$D$4:$D$1074,$B16,'октябрь 2023'!$J$4:$J$1074,F$1)</f>
        <v>0</v>
      </c>
      <c r="G16" s="198">
        <f>SUMIFS('октябрь 2023'!$G$4:$G$1074,'октябрь 2023'!$D$4:$D$1074,$B16,'октябрь 2023'!$J$4:$J$1074,G$1)</f>
        <v>0</v>
      </c>
      <c r="H16" s="198">
        <f>SUMIFS('октябрь 2023'!$G$4:$G$1074,'октябрь 2023'!$D$4:$D$1074,$B16,'октябрь 2023'!$J$4:$J$1074,H$1)</f>
        <v>0</v>
      </c>
      <c r="I16" s="198">
        <f>SUMIFS('октябрь 2023'!$G$4:$G$1074,'октябрь 2023'!$D$4:$D$1074,$B16,'октябрь 2023'!$J$4:$J$1074,I$1)</f>
        <v>0</v>
      </c>
      <c r="J16" s="198">
        <f>SUMIFS('октябрь 2023'!$G$4:$G$1074,'октябрь 2023'!$D$4:$D$1074,$B16,'октябрь 2023'!$J$4:$J$1074,J$1)</f>
        <v>0</v>
      </c>
      <c r="K16" s="198">
        <f>SUMIFS('октябрь 2023'!$G$4:$G$1074,'октябрь 2023'!$D$4:$D$1074,$B16,'октябрь 2023'!$J$4:$J$1074,K$1)</f>
        <v>0</v>
      </c>
      <c r="L16" s="198">
        <f>SUMIFS('октябрь 2023'!$G$4:$G$1074,'октябрь 2023'!$D$4:$D$1074,$B16,'октябрь 2023'!$J$4:$J$1074,L$1)</f>
        <v>0</v>
      </c>
      <c r="M16" s="198">
        <f>SUMIFS('октябрь 2023'!$G$4:$G$1074,'октябрь 2023'!$D$4:$D$1074,$B16,'октябрь 2023'!$J$4:$J$1074,M$1)</f>
        <v>0</v>
      </c>
      <c r="N16" s="198">
        <f>SUMIFS('октябрь 2023'!$G$4:$G$1074,'октябрь 2023'!$D$4:$D$1074,$B16,'октябрь 2023'!$J$4:$J$1074,N$1)</f>
        <v>0</v>
      </c>
      <c r="O16" s="198">
        <f>SUMIFS('октябрь 2023'!$G$4:$G$1074,'октябрь 2023'!$D$4:$D$1074,$B16,'октябрь 2023'!$J$4:$J$1074,O$1)</f>
        <v>0</v>
      </c>
      <c r="P16" s="198">
        <f>SUMIFS('октябрь 2023'!$G$4:$G$1074,'октябрь 2023'!$D$4:$D$1074,$B16,'октябрь 2023'!$J$4:$J$1074,P$1)</f>
        <v>0</v>
      </c>
      <c r="Q16" s="198">
        <f>SUMIFS('октябрь 2023'!$G$4:$G$1074,'октябрь 2023'!$D$4:$D$1074,$B16,'октябрь 2023'!$J$4:$J$1074,Q$1)</f>
        <v>0</v>
      </c>
      <c r="R16" s="198">
        <f>SUMIFS('октябрь 2023'!$G$4:$G$1074,'октябрь 2023'!$D$4:$D$1074,$B16,'октябрь 2023'!$J$4:$J$1074,R$1)</f>
        <v>0</v>
      </c>
      <c r="S16" s="198">
        <f>SUMIFS('октябрь 2023'!$G$4:$G$1074,'октябрь 2023'!$D$4:$D$1074,$B16,'октябрь 2023'!$J$4:$J$1074,S$1)</f>
        <v>0</v>
      </c>
      <c r="T16" s="198">
        <f>SUMIFS('октябрь 2023'!$G$4:$G$1074,'октябрь 2023'!$D$4:$D$1074,$B16,'октябрь 2023'!$J$4:$J$1074,T$1)</f>
        <v>0</v>
      </c>
      <c r="U16" s="198">
        <f>SUMIFS('октябрь 2023'!$G$4:$G$1074,'октябрь 2023'!$D$4:$D$1074,$B16,'октябрь 2023'!$J$4:$J$1074,U$1)</f>
        <v>0</v>
      </c>
      <c r="V16" s="198">
        <f>SUMIFS('октябрь 2023'!$G$4:$G$1074,'октябрь 2023'!$D$4:$D$1074,$B16,'октябрь 2023'!$J$4:$J$1074,V$1)</f>
        <v>0</v>
      </c>
      <c r="W16" s="198">
        <f>SUMIFS('октябрь 2023'!$G$4:$G$1074,'октябрь 2023'!$D$4:$D$1074,$B16,'октябрь 2023'!$J$4:$J$1074,W$1)</f>
        <v>0</v>
      </c>
      <c r="X16" s="198">
        <f>SUMIFS('октябрь 2023'!$G$4:$G$1074,'октябрь 2023'!$D$4:$D$1074,$B16,'октябрь 2023'!$J$4:$J$1074,X$1)</f>
        <v>0</v>
      </c>
      <c r="Y16" s="198">
        <f>SUMIFS('октябрь 2023'!$G$4:$G$1074,'октябрь 2023'!$D$4:$D$1074,$B16,'октябрь 2023'!$J$4:$J$1074,Y$1)</f>
        <v>0</v>
      </c>
      <c r="Z16" s="198">
        <f>SUMIFS('октябрь 2023'!$G$4:$G$1074,'октябрь 2023'!$D$4:$D$1074,$B16,'октябрь 2023'!$J$4:$J$1074,Z$1)</f>
        <v>0</v>
      </c>
      <c r="AA16" s="198">
        <f>SUMIFS('октябрь 2023'!$G$4:$G$1074,'октябрь 2023'!$D$4:$D$1074,$B16,'октябрь 2023'!$J$4:$J$1074,AA$1)</f>
        <v>0</v>
      </c>
      <c r="AB16" s="198">
        <f>SUMIFS('октябрь 2023'!$G$4:$G$1074,'октябрь 2023'!$D$4:$D$1074,$B16,'октябрь 2023'!$J$4:$J$1074,AB$1)</f>
        <v>0</v>
      </c>
      <c r="AC16" s="198">
        <f>SUMIFS('октябрь 2023'!$G$4:$G$1074,'октябрь 2023'!$D$4:$D$1074,$B16,'октябрь 2023'!$J$4:$J$1074,AC$1)</f>
        <v>0</v>
      </c>
      <c r="AD16" s="198">
        <f>SUMIFS('октябрь 2023'!$G$4:$G$1074,'октябрь 2023'!$D$4:$D$1074,$B16,'октябрь 2023'!$J$4:$J$1074,AD$1)</f>
        <v>0</v>
      </c>
      <c r="AE16" s="198">
        <f>SUMIFS('октябрь 2023'!$G$4:$G$1074,'октябрь 2023'!$D$4:$D$1074,$B16,'октябрь 2023'!$J$4:$J$1074,AE$1)</f>
        <v>0</v>
      </c>
      <c r="AF16" s="198">
        <f>SUMIFS('октябрь 2023'!$G$4:$G$1074,'октябрь 2023'!$D$4:$D$1074,$B16,'октябрь 2023'!$J$4:$J$1074,AF$1)</f>
        <v>0</v>
      </c>
      <c r="AG16" s="198">
        <f>SUMIFS('октябрь 2023'!$G$4:$G$1074,'октябрь 2023'!$D$4:$D$1074,$B16,'октябрь 2023'!$J$4:$J$1074,AG$1)</f>
        <v>0</v>
      </c>
      <c r="AH16" s="198">
        <f>SUMIFS('октябрь 2023'!$G$4:$G$1074,'октябрь 2023'!$D$4:$D$1074,$B16,'октябрь 2023'!$J$4:$J$1074,AH$1)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SUMIFS('октябрь 2023'!$G$4:$G$1074,'октябрь 2023'!$D$4:$D$1074,$B17,'октябрь 2023'!$J$4:$J$1074,D$1)</f>
        <v>0</v>
      </c>
      <c r="E17" s="198">
        <f>SUMIFS('октябрь 2023'!$G$4:$G$1074,'октябрь 2023'!$D$4:$D$1074,$B17,'октябрь 2023'!$J$4:$J$1074,E$1)</f>
        <v>0</v>
      </c>
      <c r="F17" s="198">
        <f>SUMIFS('октябрь 2023'!$G$4:$G$1074,'октябрь 2023'!$D$4:$D$1074,$B17,'октябрь 2023'!$J$4:$J$1074,F$1)</f>
        <v>0</v>
      </c>
      <c r="G17" s="198">
        <f>SUMIFS('октябрь 2023'!$G$4:$G$1074,'октябрь 2023'!$D$4:$D$1074,$B17,'октябрь 2023'!$J$4:$J$1074,G$1)</f>
        <v>0</v>
      </c>
      <c r="H17" s="198">
        <f>SUMIFS('октябрь 2023'!$G$4:$G$1074,'октябрь 2023'!$D$4:$D$1074,$B17,'октябрь 2023'!$J$4:$J$1074,H$1)</f>
        <v>0</v>
      </c>
      <c r="I17" s="198">
        <f>SUMIFS('октябрь 2023'!$G$4:$G$1074,'октябрь 2023'!$D$4:$D$1074,$B17,'октябрь 2023'!$J$4:$J$1074,I$1)</f>
        <v>0</v>
      </c>
      <c r="J17" s="198">
        <f>SUMIFS('октябрь 2023'!$G$4:$G$1074,'октябрь 2023'!$D$4:$D$1074,$B17,'октябрь 2023'!$J$4:$J$1074,J$1)</f>
        <v>0</v>
      </c>
      <c r="K17" s="198">
        <f>SUMIFS('октябрь 2023'!$G$4:$G$1074,'октябрь 2023'!$D$4:$D$1074,$B17,'октябрь 2023'!$J$4:$J$1074,K$1)</f>
        <v>0</v>
      </c>
      <c r="L17" s="198">
        <f>SUMIFS('октябрь 2023'!$G$4:$G$1074,'октябрь 2023'!$D$4:$D$1074,$B17,'октябрь 2023'!$J$4:$J$1074,L$1)</f>
        <v>0</v>
      </c>
      <c r="M17" s="198">
        <f>SUMIFS('октябрь 2023'!$G$4:$G$1074,'октябрь 2023'!$D$4:$D$1074,$B17,'октябрь 2023'!$J$4:$J$1074,M$1)</f>
        <v>0</v>
      </c>
      <c r="N17" s="198">
        <f>SUMIFS('октябрь 2023'!$G$4:$G$1074,'октябрь 2023'!$D$4:$D$1074,$B17,'октябрь 2023'!$J$4:$J$1074,N$1)</f>
        <v>0</v>
      </c>
      <c r="O17" s="198">
        <f>SUMIFS('октябрь 2023'!$G$4:$G$1074,'октябрь 2023'!$D$4:$D$1074,$B17,'октябрь 2023'!$J$4:$J$1074,O$1)</f>
        <v>0</v>
      </c>
      <c r="P17" s="198">
        <f>SUMIFS('октябрь 2023'!$G$4:$G$1074,'октябрь 2023'!$D$4:$D$1074,$B17,'октябрь 2023'!$J$4:$J$1074,P$1)</f>
        <v>0</v>
      </c>
      <c r="Q17" s="198">
        <f>SUMIFS('октябрь 2023'!$G$4:$G$1074,'октябрь 2023'!$D$4:$D$1074,$B17,'октябрь 2023'!$J$4:$J$1074,Q$1)</f>
        <v>0</v>
      </c>
      <c r="R17" s="198">
        <f>SUMIFS('октябрь 2023'!$G$4:$G$1074,'октябрь 2023'!$D$4:$D$1074,$B17,'октябрь 2023'!$J$4:$J$1074,R$1)</f>
        <v>0</v>
      </c>
      <c r="S17" s="198">
        <f>SUMIFS('октябрь 2023'!$G$4:$G$1074,'октябрь 2023'!$D$4:$D$1074,$B17,'октябрь 2023'!$J$4:$J$1074,S$1)</f>
        <v>0</v>
      </c>
      <c r="T17" s="198">
        <f>SUMIFS('октябрь 2023'!$G$4:$G$1074,'октябрь 2023'!$D$4:$D$1074,$B17,'октябрь 2023'!$J$4:$J$1074,T$1)</f>
        <v>0</v>
      </c>
      <c r="U17" s="198">
        <f>SUMIFS('октябрь 2023'!$G$4:$G$1074,'октябрь 2023'!$D$4:$D$1074,$B17,'октябрь 2023'!$J$4:$J$1074,U$1)</f>
        <v>0</v>
      </c>
      <c r="V17" s="198">
        <f>SUMIFS('октябрь 2023'!$G$4:$G$1074,'октябрь 2023'!$D$4:$D$1074,$B17,'октябрь 2023'!$J$4:$J$1074,V$1)</f>
        <v>2400</v>
      </c>
      <c r="W17" s="198">
        <f>SUMIFS('октябрь 2023'!$G$4:$G$1074,'октябрь 2023'!$D$4:$D$1074,$B17,'октябрь 2023'!$J$4:$J$1074,W$1)</f>
        <v>760</v>
      </c>
      <c r="X17" s="198">
        <f>SUMIFS('октябрь 2023'!$G$4:$G$1074,'октябрь 2023'!$D$4:$D$1074,$B17,'октябрь 2023'!$J$4:$J$1074,X$1)</f>
        <v>0</v>
      </c>
      <c r="Y17" s="198">
        <f>SUMIFS('октябрь 2023'!$G$4:$G$1074,'октябрь 2023'!$D$4:$D$1074,$B17,'октябрь 2023'!$J$4:$J$1074,Y$1)</f>
        <v>0</v>
      </c>
      <c r="Z17" s="198">
        <f>SUMIFS('октябрь 2023'!$G$4:$G$1074,'октябрь 2023'!$D$4:$D$1074,$B17,'октябрь 2023'!$J$4:$J$1074,Z$1)</f>
        <v>0</v>
      </c>
      <c r="AA17" s="198">
        <f>SUMIFS('октябрь 2023'!$G$4:$G$1074,'октябрь 2023'!$D$4:$D$1074,$B17,'октябрь 2023'!$J$4:$J$1074,AA$1)</f>
        <v>0</v>
      </c>
      <c r="AB17" s="198">
        <f>SUMIFS('октябрь 2023'!$G$4:$G$1074,'октябрь 2023'!$D$4:$D$1074,$B17,'октябрь 2023'!$J$4:$J$1074,AB$1)</f>
        <v>0</v>
      </c>
      <c r="AC17" s="198">
        <f>SUMIFS('октябрь 2023'!$G$4:$G$1074,'октябрь 2023'!$D$4:$D$1074,$B17,'октябрь 2023'!$J$4:$J$1074,AC$1)</f>
        <v>0</v>
      </c>
      <c r="AD17" s="198">
        <f>SUMIFS('октябрь 2023'!$G$4:$G$1074,'октябрь 2023'!$D$4:$D$1074,$B17,'октябрь 2023'!$J$4:$J$1074,AD$1)</f>
        <v>0</v>
      </c>
      <c r="AE17" s="198">
        <f>SUMIFS('октябрь 2023'!$G$4:$G$1074,'октябрь 2023'!$D$4:$D$1074,$B17,'октябрь 2023'!$J$4:$J$1074,AE$1)</f>
        <v>0</v>
      </c>
      <c r="AF17" s="198">
        <f>SUMIFS('октябрь 2023'!$G$4:$G$1074,'октябрь 2023'!$D$4:$D$1074,$B17,'октябрь 2023'!$J$4:$J$1074,AF$1)</f>
        <v>0</v>
      </c>
      <c r="AG17" s="198">
        <f>SUMIFS('октябрь 2023'!$G$4:$G$1074,'октябрь 2023'!$D$4:$D$1074,$B17,'октябрь 2023'!$J$4:$J$1074,AG$1)</f>
        <v>0</v>
      </c>
      <c r="AH17" s="198">
        <f>SUMIFS('октябрь 2023'!$G$4:$G$1074,'октябрь 2023'!$D$4:$D$1074,$B17,'октябрь 2023'!$J$4:$J$1074,AH$1)</f>
        <v>0</v>
      </c>
      <c r="AI17" s="170">
        <f t="shared" si="1"/>
        <v>3160</v>
      </c>
    </row>
    <row r="18" spans="2:35" ht="15" customHeight="1" x14ac:dyDescent="0.25">
      <c r="B18" s="199" t="s">
        <v>2081</v>
      </c>
      <c r="C18" s="200">
        <v>25</v>
      </c>
      <c r="D18" s="198">
        <f>SUMIFS('октябрь 2023'!$G$4:$G$1074,'октябрь 2023'!$D$4:$D$1074,$B18,'октябрь 2023'!$J$4:$J$1074,D$1)</f>
        <v>0</v>
      </c>
      <c r="E18" s="198">
        <f>SUMIFS('октябрь 2023'!$G$4:$G$1074,'октябрь 2023'!$D$4:$D$1074,$B18,'октябрь 2023'!$J$4:$J$1074,E$1)</f>
        <v>0</v>
      </c>
      <c r="F18" s="198">
        <f>SUMIFS('октябрь 2023'!$G$4:$G$1074,'октябрь 2023'!$D$4:$D$1074,$B18,'октябрь 2023'!$J$4:$J$1074,F$1)</f>
        <v>0</v>
      </c>
      <c r="G18" s="198">
        <f>SUMIFS('октябрь 2023'!$G$4:$G$1074,'октябрь 2023'!$D$4:$D$1074,$B18,'октябрь 2023'!$J$4:$J$1074,G$1)</f>
        <v>0</v>
      </c>
      <c r="H18" s="198">
        <f>SUMIFS('октябрь 2023'!$G$4:$G$1074,'октябрь 2023'!$D$4:$D$1074,$B18,'октябрь 2023'!$J$4:$J$1074,H$1)</f>
        <v>0</v>
      </c>
      <c r="I18" s="198">
        <f>SUMIFS('октябрь 2023'!$G$4:$G$1074,'октябрь 2023'!$D$4:$D$1074,$B18,'октябрь 2023'!$J$4:$J$1074,I$1)</f>
        <v>0</v>
      </c>
      <c r="J18" s="198">
        <f>SUMIFS('октябрь 2023'!$G$4:$G$1074,'октябрь 2023'!$D$4:$D$1074,$B18,'октябрь 2023'!$J$4:$J$1074,J$1)</f>
        <v>0</v>
      </c>
      <c r="K18" s="198">
        <f>SUMIFS('октябрь 2023'!$G$4:$G$1074,'октябрь 2023'!$D$4:$D$1074,$B18,'октябрь 2023'!$J$4:$J$1074,K$1)</f>
        <v>0</v>
      </c>
      <c r="L18" s="198">
        <f>SUMIFS('октябрь 2023'!$G$4:$G$1074,'октябрь 2023'!$D$4:$D$1074,$B18,'октябрь 2023'!$J$4:$J$1074,L$1)</f>
        <v>0</v>
      </c>
      <c r="M18" s="198">
        <f>SUMIFS('октябрь 2023'!$G$4:$G$1074,'октябрь 2023'!$D$4:$D$1074,$B18,'октябрь 2023'!$J$4:$J$1074,M$1)</f>
        <v>0</v>
      </c>
      <c r="N18" s="198">
        <f>SUMIFS('октябрь 2023'!$G$4:$G$1074,'октябрь 2023'!$D$4:$D$1074,$B18,'октябрь 2023'!$J$4:$J$1074,N$1)</f>
        <v>0</v>
      </c>
      <c r="O18" s="198">
        <f>SUMIFS('октябрь 2023'!$G$4:$G$1074,'октябрь 2023'!$D$4:$D$1074,$B18,'октябрь 2023'!$J$4:$J$1074,O$1)</f>
        <v>0</v>
      </c>
      <c r="P18" s="198">
        <f>SUMIFS('октябрь 2023'!$G$4:$G$1074,'октябрь 2023'!$D$4:$D$1074,$B18,'октябрь 2023'!$J$4:$J$1074,P$1)</f>
        <v>0</v>
      </c>
      <c r="Q18" s="198">
        <f>SUMIFS('октябрь 2023'!$G$4:$G$1074,'октябрь 2023'!$D$4:$D$1074,$B18,'октябрь 2023'!$J$4:$J$1074,Q$1)</f>
        <v>0</v>
      </c>
      <c r="R18" s="198">
        <f>SUMIFS('октябрь 2023'!$G$4:$G$1074,'октябрь 2023'!$D$4:$D$1074,$B18,'октябрь 2023'!$J$4:$J$1074,R$1)</f>
        <v>0</v>
      </c>
      <c r="S18" s="198">
        <f>SUMIFS('октябрь 2023'!$G$4:$G$1074,'октябрь 2023'!$D$4:$D$1074,$B18,'октябрь 2023'!$J$4:$J$1074,S$1)</f>
        <v>0</v>
      </c>
      <c r="T18" s="198">
        <f>SUMIFS('октябрь 2023'!$G$4:$G$1074,'октябрь 2023'!$D$4:$D$1074,$B18,'октябрь 2023'!$J$4:$J$1074,T$1)</f>
        <v>0</v>
      </c>
      <c r="U18" s="198">
        <f>SUMIFS('октябрь 2023'!$G$4:$G$1074,'октябрь 2023'!$D$4:$D$1074,$B18,'октябрь 2023'!$J$4:$J$1074,U$1)</f>
        <v>0</v>
      </c>
      <c r="V18" s="198">
        <f>SUMIFS('октябрь 2023'!$G$4:$G$1074,'октябрь 2023'!$D$4:$D$1074,$B18,'октябрь 2023'!$J$4:$J$1074,V$1)</f>
        <v>0</v>
      </c>
      <c r="W18" s="198">
        <f>SUMIFS('октябрь 2023'!$G$4:$G$1074,'октябрь 2023'!$D$4:$D$1074,$B18,'октябрь 2023'!$J$4:$J$1074,W$1)</f>
        <v>0</v>
      </c>
      <c r="X18" s="198">
        <f>SUMIFS('октябрь 2023'!$G$4:$G$1074,'октябрь 2023'!$D$4:$D$1074,$B18,'октябрь 2023'!$J$4:$J$1074,X$1)</f>
        <v>0</v>
      </c>
      <c r="Y18" s="198">
        <f>SUMIFS('октябрь 2023'!$G$4:$G$1074,'октябрь 2023'!$D$4:$D$1074,$B18,'октябрь 2023'!$J$4:$J$1074,Y$1)</f>
        <v>0</v>
      </c>
      <c r="Z18" s="198">
        <f>SUMIFS('октябрь 2023'!$G$4:$G$1074,'октябрь 2023'!$D$4:$D$1074,$B18,'октябрь 2023'!$J$4:$J$1074,Z$1)</f>
        <v>0</v>
      </c>
      <c r="AA18" s="198">
        <f>SUMIFS('октябрь 2023'!$G$4:$G$1074,'октябрь 2023'!$D$4:$D$1074,$B18,'октябрь 2023'!$J$4:$J$1074,AA$1)</f>
        <v>0</v>
      </c>
      <c r="AB18" s="198">
        <f>SUMIFS('октябрь 2023'!$G$4:$G$1074,'октябрь 2023'!$D$4:$D$1074,$B18,'октябрь 2023'!$J$4:$J$1074,AB$1)</f>
        <v>0</v>
      </c>
      <c r="AC18" s="198">
        <f>SUMIFS('октябрь 2023'!$G$4:$G$1074,'октябрь 2023'!$D$4:$D$1074,$B18,'октябрь 2023'!$J$4:$J$1074,AC$1)</f>
        <v>0</v>
      </c>
      <c r="AD18" s="198">
        <f>SUMIFS('октябрь 2023'!$G$4:$G$1074,'октябрь 2023'!$D$4:$D$1074,$B18,'октябрь 2023'!$J$4:$J$1074,AD$1)</f>
        <v>0</v>
      </c>
      <c r="AE18" s="198">
        <f>SUMIFS('октябрь 2023'!$G$4:$G$1074,'октябрь 2023'!$D$4:$D$1074,$B18,'октябрь 2023'!$J$4:$J$1074,AE$1)</f>
        <v>0</v>
      </c>
      <c r="AF18" s="198">
        <f>SUMIFS('октябрь 2023'!$G$4:$G$1074,'октябрь 2023'!$D$4:$D$1074,$B18,'октябрь 2023'!$J$4:$J$1074,AF$1)</f>
        <v>0</v>
      </c>
      <c r="AG18" s="198">
        <f>SUMIFS('октябрь 2023'!$G$4:$G$1074,'октябрь 2023'!$D$4:$D$1074,$B18,'октябрь 2023'!$J$4:$J$1074,AG$1)</f>
        <v>0</v>
      </c>
      <c r="AH18" s="198">
        <f>SUMIFS('октябрь 2023'!$G$4:$G$1074,'октябрь 2023'!$D$4:$D$1074,$B18,'октябрь 2023'!$J$4:$J$1074,AH$1)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SUMIFS('октябрь 2023'!$G$4:$G$1074,'октябрь 2023'!$D$4:$D$1074,$B19,'октябрь 2023'!$J$4:$J$1074,D$1)</f>
        <v>0</v>
      </c>
      <c r="E19" s="198">
        <f>SUMIFS('октябрь 2023'!$G$4:$G$1074,'октябрь 2023'!$D$4:$D$1074,$B19,'октябрь 2023'!$J$4:$J$1074,E$1)</f>
        <v>1600</v>
      </c>
      <c r="F19" s="198">
        <f>SUMIFS('октябрь 2023'!$G$4:$G$1074,'октябрь 2023'!$D$4:$D$1074,$B19,'октябрь 2023'!$J$4:$J$1074,F$1)</f>
        <v>800</v>
      </c>
      <c r="G19" s="198">
        <f>SUMIFS('октябрь 2023'!$G$4:$G$1074,'октябрь 2023'!$D$4:$D$1074,$B19,'октябрь 2023'!$J$4:$J$1074,G$1)</f>
        <v>0</v>
      </c>
      <c r="H19" s="198">
        <f>SUMIFS('октябрь 2023'!$G$4:$G$1074,'октябрь 2023'!$D$4:$D$1074,$B19,'октябрь 2023'!$J$4:$J$1074,H$1)</f>
        <v>800</v>
      </c>
      <c r="I19" s="198">
        <f>SUMIFS('октябрь 2023'!$G$4:$G$1074,'октябрь 2023'!$D$4:$D$1074,$B19,'октябрь 2023'!$J$4:$J$1074,I$1)</f>
        <v>0</v>
      </c>
      <c r="J19" s="198">
        <f>SUMIFS('октябрь 2023'!$G$4:$G$1074,'октябрь 2023'!$D$4:$D$1074,$B19,'октябрь 2023'!$J$4:$J$1074,J$1)</f>
        <v>0</v>
      </c>
      <c r="K19" s="198">
        <f>SUMIFS('октябрь 2023'!$G$4:$G$1074,'октябрь 2023'!$D$4:$D$1074,$B19,'октябрь 2023'!$J$4:$J$1074,K$1)</f>
        <v>0</v>
      </c>
      <c r="L19" s="198">
        <f>SUMIFS('октябрь 2023'!$G$4:$G$1074,'октябрь 2023'!$D$4:$D$1074,$B19,'октябрь 2023'!$J$4:$J$1074,L$1)</f>
        <v>0</v>
      </c>
      <c r="M19" s="198">
        <f>SUMIFS('октябрь 2023'!$G$4:$G$1074,'октябрь 2023'!$D$4:$D$1074,$B19,'октябрь 2023'!$J$4:$J$1074,M$1)</f>
        <v>0</v>
      </c>
      <c r="N19" s="198">
        <f>SUMIFS('октябрь 2023'!$G$4:$G$1074,'октябрь 2023'!$D$4:$D$1074,$B19,'октябрь 2023'!$J$4:$J$1074,N$1)</f>
        <v>0</v>
      </c>
      <c r="O19" s="198">
        <f>SUMIFS('октябрь 2023'!$G$4:$G$1074,'октябрь 2023'!$D$4:$D$1074,$B19,'октябрь 2023'!$J$4:$J$1074,O$1)</f>
        <v>0</v>
      </c>
      <c r="P19" s="198">
        <f>SUMIFS('октябрь 2023'!$G$4:$G$1074,'октябрь 2023'!$D$4:$D$1074,$B19,'октябрь 2023'!$J$4:$J$1074,P$1)</f>
        <v>0</v>
      </c>
      <c r="Q19" s="198">
        <f>SUMIFS('октябрь 2023'!$G$4:$G$1074,'октябрь 2023'!$D$4:$D$1074,$B19,'октябрь 2023'!$J$4:$J$1074,Q$1)</f>
        <v>0</v>
      </c>
      <c r="R19" s="198">
        <f>SUMIFS('октябрь 2023'!$G$4:$G$1074,'октябрь 2023'!$D$4:$D$1074,$B19,'октябрь 2023'!$J$4:$J$1074,R$1)</f>
        <v>0</v>
      </c>
      <c r="S19" s="198">
        <f>SUMIFS('октябрь 2023'!$G$4:$G$1074,'октябрь 2023'!$D$4:$D$1074,$B19,'октябрь 2023'!$J$4:$J$1074,S$1)</f>
        <v>480</v>
      </c>
      <c r="T19" s="198">
        <f>SUMIFS('октябрь 2023'!$G$4:$G$1074,'октябрь 2023'!$D$4:$D$1074,$B19,'октябрь 2023'!$J$4:$J$1074,T$1)</f>
        <v>0</v>
      </c>
      <c r="U19" s="198">
        <f>SUMIFS('октябрь 2023'!$G$4:$G$1074,'октябрь 2023'!$D$4:$D$1074,$B19,'октябрь 2023'!$J$4:$J$1074,U$1)</f>
        <v>0</v>
      </c>
      <c r="V19" s="198">
        <f>SUMIFS('октябрь 2023'!$G$4:$G$1074,'октябрь 2023'!$D$4:$D$1074,$B19,'октябрь 2023'!$J$4:$J$1074,V$1)</f>
        <v>0</v>
      </c>
      <c r="W19" s="198">
        <f>SUMIFS('октябрь 2023'!$G$4:$G$1074,'октябрь 2023'!$D$4:$D$1074,$B19,'октябрь 2023'!$J$4:$J$1074,W$1)</f>
        <v>0</v>
      </c>
      <c r="X19" s="198">
        <f>SUMIFS('октябрь 2023'!$G$4:$G$1074,'октябрь 2023'!$D$4:$D$1074,$B19,'октябрь 2023'!$J$4:$J$1074,X$1)</f>
        <v>0</v>
      </c>
      <c r="Y19" s="198">
        <f>SUMIFS('октябрь 2023'!$G$4:$G$1074,'октябрь 2023'!$D$4:$D$1074,$B19,'октябрь 2023'!$J$4:$J$1074,Y$1)</f>
        <v>0</v>
      </c>
      <c r="Z19" s="198">
        <f>SUMIFS('октябрь 2023'!$G$4:$G$1074,'октябрь 2023'!$D$4:$D$1074,$B19,'октябрь 2023'!$J$4:$J$1074,Z$1)</f>
        <v>0</v>
      </c>
      <c r="AA19" s="198">
        <f>SUMIFS('октябрь 2023'!$G$4:$G$1074,'октябрь 2023'!$D$4:$D$1074,$B19,'октябрь 2023'!$J$4:$J$1074,AA$1)</f>
        <v>0</v>
      </c>
      <c r="AB19" s="198">
        <f>SUMIFS('октябрь 2023'!$G$4:$G$1074,'октябрь 2023'!$D$4:$D$1074,$B19,'октябрь 2023'!$J$4:$J$1074,AB$1)</f>
        <v>0</v>
      </c>
      <c r="AC19" s="198">
        <f>SUMIFS('октябрь 2023'!$G$4:$G$1074,'октябрь 2023'!$D$4:$D$1074,$B19,'октябрь 2023'!$J$4:$J$1074,AC$1)</f>
        <v>0</v>
      </c>
      <c r="AD19" s="198">
        <f>SUMIFS('октябрь 2023'!$G$4:$G$1074,'октябрь 2023'!$D$4:$D$1074,$B19,'октябрь 2023'!$J$4:$J$1074,AD$1)</f>
        <v>0</v>
      </c>
      <c r="AE19" s="198">
        <f>SUMIFS('октябрь 2023'!$G$4:$G$1074,'октябрь 2023'!$D$4:$D$1074,$B19,'октябрь 2023'!$J$4:$J$1074,AE$1)</f>
        <v>0</v>
      </c>
      <c r="AF19" s="198">
        <f>SUMIFS('октябрь 2023'!$G$4:$G$1074,'октябрь 2023'!$D$4:$D$1074,$B19,'октябрь 2023'!$J$4:$J$1074,AF$1)</f>
        <v>0</v>
      </c>
      <c r="AG19" s="198">
        <f>SUMIFS('октябрь 2023'!$G$4:$G$1074,'октябрь 2023'!$D$4:$D$1074,$B19,'октябрь 2023'!$J$4:$J$1074,AG$1)</f>
        <v>0</v>
      </c>
      <c r="AH19" s="198">
        <f>SUMIFS('октябрь 2023'!$G$4:$G$1074,'октябрь 2023'!$D$4:$D$1074,$B19,'октябрь 2023'!$J$4:$J$1074,AH$1)</f>
        <v>800</v>
      </c>
      <c r="AI19" s="170">
        <f t="shared" si="1"/>
        <v>4480</v>
      </c>
    </row>
    <row r="20" spans="2:35" ht="15" customHeight="1" x14ac:dyDescent="0.25">
      <c r="B20" s="199" t="s">
        <v>445</v>
      </c>
      <c r="C20" s="200">
        <v>25</v>
      </c>
      <c r="D20" s="198">
        <f>SUMIFS('октябрь 2023'!$G$4:$G$1074,'октябрь 2023'!$D$4:$D$1074,$B20,'октябрь 2023'!$J$4:$J$1074,D$1)</f>
        <v>0</v>
      </c>
      <c r="E20" s="198">
        <f>SUMIFS('октябрь 2023'!$G$4:$G$1074,'октябрь 2023'!$D$4:$D$1074,$B20,'октябрь 2023'!$J$4:$J$1074,E$1)</f>
        <v>0</v>
      </c>
      <c r="F20" s="198">
        <f>SUMIFS('октябрь 2023'!$G$4:$G$1074,'октябрь 2023'!$D$4:$D$1074,$B20,'октябрь 2023'!$J$4:$J$1074,F$1)</f>
        <v>400</v>
      </c>
      <c r="G20" s="198">
        <f>SUMIFS('октябрь 2023'!$G$4:$G$1074,'октябрь 2023'!$D$4:$D$1074,$B20,'октябрь 2023'!$J$4:$J$1074,G$1)</f>
        <v>0</v>
      </c>
      <c r="H20" s="198">
        <f>SUMIFS('октябрь 2023'!$G$4:$G$1074,'октябрь 2023'!$D$4:$D$1074,$B20,'октябрь 2023'!$J$4:$J$1074,H$1)</f>
        <v>0</v>
      </c>
      <c r="I20" s="198">
        <f>SUMIFS('октябрь 2023'!$G$4:$G$1074,'октябрь 2023'!$D$4:$D$1074,$B20,'октябрь 2023'!$J$4:$J$1074,I$1)</f>
        <v>0</v>
      </c>
      <c r="J20" s="198">
        <f>SUMIFS('октябрь 2023'!$G$4:$G$1074,'октябрь 2023'!$D$4:$D$1074,$B20,'октябрь 2023'!$J$4:$J$1074,J$1)</f>
        <v>0</v>
      </c>
      <c r="K20" s="198">
        <f>SUMIFS('октябрь 2023'!$G$4:$G$1074,'октябрь 2023'!$D$4:$D$1074,$B20,'октябрь 2023'!$J$4:$J$1074,K$1)</f>
        <v>0</v>
      </c>
      <c r="L20" s="198">
        <f>SUMIFS('октябрь 2023'!$G$4:$G$1074,'октябрь 2023'!$D$4:$D$1074,$B20,'октябрь 2023'!$J$4:$J$1074,L$1)</f>
        <v>0</v>
      </c>
      <c r="M20" s="198">
        <f>SUMIFS('октябрь 2023'!$G$4:$G$1074,'октябрь 2023'!$D$4:$D$1074,$B20,'октябрь 2023'!$J$4:$J$1074,M$1)</f>
        <v>0</v>
      </c>
      <c r="N20" s="198">
        <f>SUMIFS('октябрь 2023'!$G$4:$G$1074,'октябрь 2023'!$D$4:$D$1074,$B20,'октябрь 2023'!$J$4:$J$1074,N$1)</f>
        <v>0</v>
      </c>
      <c r="O20" s="198">
        <f>SUMIFS('октябрь 2023'!$G$4:$G$1074,'октябрь 2023'!$D$4:$D$1074,$B20,'октябрь 2023'!$J$4:$J$1074,O$1)</f>
        <v>0</v>
      </c>
      <c r="P20" s="198">
        <f>SUMIFS('октябрь 2023'!$G$4:$G$1074,'октябрь 2023'!$D$4:$D$1074,$B20,'октябрь 2023'!$J$4:$J$1074,P$1)</f>
        <v>0</v>
      </c>
      <c r="Q20" s="198">
        <f>SUMIFS('октябрь 2023'!$G$4:$G$1074,'октябрь 2023'!$D$4:$D$1074,$B20,'октябрь 2023'!$J$4:$J$1074,Q$1)</f>
        <v>0</v>
      </c>
      <c r="R20" s="198">
        <f>SUMIFS('октябрь 2023'!$G$4:$G$1074,'октябрь 2023'!$D$4:$D$1074,$B20,'октябрь 2023'!$J$4:$J$1074,R$1)</f>
        <v>0</v>
      </c>
      <c r="S20" s="198">
        <f>SUMIFS('октябрь 2023'!$G$4:$G$1074,'октябрь 2023'!$D$4:$D$1074,$B20,'октябрь 2023'!$J$4:$J$1074,S$1)</f>
        <v>0</v>
      </c>
      <c r="T20" s="198">
        <f>SUMIFS('октябрь 2023'!$G$4:$G$1074,'октябрь 2023'!$D$4:$D$1074,$B20,'октябрь 2023'!$J$4:$J$1074,T$1)</f>
        <v>0</v>
      </c>
      <c r="U20" s="198">
        <f>SUMIFS('октябрь 2023'!$G$4:$G$1074,'октябрь 2023'!$D$4:$D$1074,$B20,'октябрь 2023'!$J$4:$J$1074,U$1)</f>
        <v>0</v>
      </c>
      <c r="V20" s="198">
        <f>SUMIFS('октябрь 2023'!$G$4:$G$1074,'октябрь 2023'!$D$4:$D$1074,$B20,'октябрь 2023'!$J$4:$J$1074,V$1)</f>
        <v>0</v>
      </c>
      <c r="W20" s="198">
        <f>SUMIFS('октябрь 2023'!$G$4:$G$1074,'октябрь 2023'!$D$4:$D$1074,$B20,'октябрь 2023'!$J$4:$J$1074,W$1)</f>
        <v>0</v>
      </c>
      <c r="X20" s="198">
        <f>SUMIFS('октябрь 2023'!$G$4:$G$1074,'октябрь 2023'!$D$4:$D$1074,$B20,'октябрь 2023'!$J$4:$J$1074,X$1)</f>
        <v>0</v>
      </c>
      <c r="Y20" s="198">
        <f>SUMIFS('октябрь 2023'!$G$4:$G$1074,'октябрь 2023'!$D$4:$D$1074,$B20,'октябрь 2023'!$J$4:$J$1074,Y$1)</f>
        <v>0</v>
      </c>
      <c r="Z20" s="198">
        <f>SUMIFS('октябрь 2023'!$G$4:$G$1074,'октябрь 2023'!$D$4:$D$1074,$B20,'октябрь 2023'!$J$4:$J$1074,Z$1)</f>
        <v>0</v>
      </c>
      <c r="AA20" s="198">
        <f>SUMIFS('октябрь 2023'!$G$4:$G$1074,'октябрь 2023'!$D$4:$D$1074,$B20,'октябрь 2023'!$J$4:$J$1074,AA$1)</f>
        <v>0</v>
      </c>
      <c r="AB20" s="198">
        <f>SUMIFS('октябрь 2023'!$G$4:$G$1074,'октябрь 2023'!$D$4:$D$1074,$B20,'октябрь 2023'!$J$4:$J$1074,AB$1)</f>
        <v>0</v>
      </c>
      <c r="AC20" s="198">
        <f>SUMIFS('октябрь 2023'!$G$4:$G$1074,'октябрь 2023'!$D$4:$D$1074,$B20,'октябрь 2023'!$J$4:$J$1074,AC$1)</f>
        <v>0</v>
      </c>
      <c r="AD20" s="198">
        <f>SUMIFS('октябрь 2023'!$G$4:$G$1074,'октябрь 2023'!$D$4:$D$1074,$B20,'октябрь 2023'!$J$4:$J$1074,AD$1)</f>
        <v>0</v>
      </c>
      <c r="AE20" s="198">
        <f>SUMIFS('октябрь 2023'!$G$4:$G$1074,'октябрь 2023'!$D$4:$D$1074,$B20,'октябрь 2023'!$J$4:$J$1074,AE$1)</f>
        <v>0</v>
      </c>
      <c r="AF20" s="198">
        <f>SUMIFS('октябрь 2023'!$G$4:$G$1074,'октябрь 2023'!$D$4:$D$1074,$B20,'октябрь 2023'!$J$4:$J$1074,AF$1)</f>
        <v>0</v>
      </c>
      <c r="AG20" s="198">
        <f>SUMIFS('октябрь 2023'!$G$4:$G$1074,'октябрь 2023'!$D$4:$D$1074,$B20,'октябрь 2023'!$J$4:$J$1074,AG$1)</f>
        <v>0</v>
      </c>
      <c r="AH20" s="198">
        <f>SUMIFS('октябрь 2023'!$G$4:$G$1074,'октябрь 2023'!$D$4:$D$1074,$B20,'октябрь 2023'!$J$4:$J$1074,AH$1)</f>
        <v>0</v>
      </c>
      <c r="AI20" s="170">
        <f t="shared" si="1"/>
        <v>400</v>
      </c>
    </row>
    <row r="21" spans="2:35" ht="15" customHeight="1" x14ac:dyDescent="0.25">
      <c r="B21" s="202" t="s">
        <v>186</v>
      </c>
      <c r="C21" s="204">
        <v>22.68</v>
      </c>
      <c r="D21" s="198">
        <f>SUMIFS('октябрь 2023'!$G$4:$G$1074,'октябрь 2023'!$D$4:$D$1074,$B21,'октябрь 2023'!$J$4:$J$1074,D$1)</f>
        <v>0</v>
      </c>
      <c r="E21" s="198">
        <f>SUMIFS('октябрь 2023'!$G$4:$G$1074,'октябрь 2023'!$D$4:$D$1074,$B21,'октябрь 2023'!$J$4:$J$1074,E$1)</f>
        <v>0</v>
      </c>
      <c r="F21" s="198">
        <f>SUMIFS('октябрь 2023'!$G$4:$G$1074,'октябрь 2023'!$D$4:$D$1074,$B21,'октябрь 2023'!$J$4:$J$1074,F$1)</f>
        <v>0</v>
      </c>
      <c r="G21" s="198">
        <f>SUMIFS('октябрь 2023'!$G$4:$G$1074,'октябрь 2023'!$D$4:$D$1074,$B21,'октябрь 2023'!$J$4:$J$1074,G$1)</f>
        <v>0</v>
      </c>
      <c r="H21" s="198">
        <f>SUMIFS('октябрь 2023'!$G$4:$G$1074,'октябрь 2023'!$D$4:$D$1074,$B21,'октябрь 2023'!$J$4:$J$1074,H$1)</f>
        <v>0</v>
      </c>
      <c r="I21" s="198">
        <f>SUMIFS('октябрь 2023'!$G$4:$G$1074,'октябрь 2023'!$D$4:$D$1074,$B21,'октябрь 2023'!$J$4:$J$1074,I$1)</f>
        <v>0</v>
      </c>
      <c r="J21" s="198">
        <f>SUMIFS('октябрь 2023'!$G$4:$G$1074,'октябрь 2023'!$D$4:$D$1074,$B21,'октябрь 2023'!$J$4:$J$1074,J$1)</f>
        <v>0</v>
      </c>
      <c r="K21" s="198">
        <f>SUMIFS('октябрь 2023'!$G$4:$G$1074,'октябрь 2023'!$D$4:$D$1074,$B21,'октябрь 2023'!$J$4:$J$1074,K$1)</f>
        <v>0</v>
      </c>
      <c r="L21" s="198">
        <f>SUMIFS('октябрь 2023'!$G$4:$G$1074,'октябрь 2023'!$D$4:$D$1074,$B21,'октябрь 2023'!$J$4:$J$1074,L$1)</f>
        <v>0</v>
      </c>
      <c r="M21" s="198">
        <f>SUMIFS('октябрь 2023'!$G$4:$G$1074,'октябрь 2023'!$D$4:$D$1074,$B21,'октябрь 2023'!$J$4:$J$1074,M$1)</f>
        <v>0</v>
      </c>
      <c r="N21" s="198">
        <f>SUMIFS('октябрь 2023'!$G$4:$G$1074,'октябрь 2023'!$D$4:$D$1074,$B21,'октябрь 2023'!$J$4:$J$1074,N$1)</f>
        <v>490</v>
      </c>
      <c r="O21" s="198">
        <f>SUMIFS('октябрь 2023'!$G$4:$G$1074,'октябрь 2023'!$D$4:$D$1074,$B21,'октябрь 2023'!$J$4:$J$1074,O$1)</f>
        <v>0</v>
      </c>
      <c r="P21" s="198">
        <f>SUMIFS('октябрь 2023'!$G$4:$G$1074,'октябрь 2023'!$D$4:$D$1074,$B21,'октябрь 2023'!$J$4:$J$1074,P$1)</f>
        <v>0</v>
      </c>
      <c r="Q21" s="198">
        <f>SUMIFS('октябрь 2023'!$G$4:$G$1074,'октябрь 2023'!$D$4:$D$1074,$B21,'октябрь 2023'!$J$4:$J$1074,Q$1)</f>
        <v>0</v>
      </c>
      <c r="R21" s="198">
        <f>SUMIFS('октябрь 2023'!$G$4:$G$1074,'октябрь 2023'!$D$4:$D$1074,$B21,'октябрь 2023'!$J$4:$J$1074,R$1)</f>
        <v>0</v>
      </c>
      <c r="S21" s="198">
        <f>SUMIFS('октябрь 2023'!$G$4:$G$1074,'октябрь 2023'!$D$4:$D$1074,$B21,'октябрь 2023'!$J$4:$J$1074,S$1)</f>
        <v>0</v>
      </c>
      <c r="T21" s="198">
        <f>SUMIFS('октябрь 2023'!$G$4:$G$1074,'октябрь 2023'!$D$4:$D$1074,$B21,'октябрь 2023'!$J$4:$J$1074,T$1)</f>
        <v>0</v>
      </c>
      <c r="U21" s="198">
        <f>SUMIFS('октябрь 2023'!$G$4:$G$1074,'октябрь 2023'!$D$4:$D$1074,$B21,'октябрь 2023'!$J$4:$J$1074,U$1)</f>
        <v>0</v>
      </c>
      <c r="V21" s="198">
        <f>SUMIFS('октябрь 2023'!$G$4:$G$1074,'октябрь 2023'!$D$4:$D$1074,$B21,'октябрь 2023'!$J$4:$J$1074,V$1)</f>
        <v>0</v>
      </c>
      <c r="W21" s="198">
        <f>SUMIFS('октябрь 2023'!$G$4:$G$1074,'октябрь 2023'!$D$4:$D$1074,$B21,'октябрь 2023'!$J$4:$J$1074,W$1)</f>
        <v>0</v>
      </c>
      <c r="X21" s="198">
        <f>SUMIFS('октябрь 2023'!$G$4:$G$1074,'октябрь 2023'!$D$4:$D$1074,$B21,'октябрь 2023'!$J$4:$J$1074,X$1)</f>
        <v>0</v>
      </c>
      <c r="Y21" s="198">
        <f>SUMIFS('октябрь 2023'!$G$4:$G$1074,'октябрь 2023'!$D$4:$D$1074,$B21,'октябрь 2023'!$J$4:$J$1074,Y$1)</f>
        <v>0</v>
      </c>
      <c r="Z21" s="198">
        <f>SUMIFS('октябрь 2023'!$G$4:$G$1074,'октябрь 2023'!$D$4:$D$1074,$B21,'октябрь 2023'!$J$4:$J$1074,Z$1)</f>
        <v>0</v>
      </c>
      <c r="AA21" s="198">
        <f>SUMIFS('октябрь 2023'!$G$4:$G$1074,'октябрь 2023'!$D$4:$D$1074,$B21,'октябрь 2023'!$J$4:$J$1074,AA$1)</f>
        <v>0</v>
      </c>
      <c r="AB21" s="198">
        <f>SUMIFS('октябрь 2023'!$G$4:$G$1074,'октябрь 2023'!$D$4:$D$1074,$B21,'октябрь 2023'!$J$4:$J$1074,AB$1)</f>
        <v>0</v>
      </c>
      <c r="AC21" s="198">
        <f>SUMIFS('октябрь 2023'!$G$4:$G$1074,'октябрь 2023'!$D$4:$D$1074,$B21,'октябрь 2023'!$J$4:$J$1074,AC$1)</f>
        <v>0</v>
      </c>
      <c r="AD21" s="198">
        <f>SUMIFS('октябрь 2023'!$G$4:$G$1074,'октябрь 2023'!$D$4:$D$1074,$B21,'октябрь 2023'!$J$4:$J$1074,AD$1)</f>
        <v>0</v>
      </c>
      <c r="AE21" s="198">
        <f>SUMIFS('октябрь 2023'!$G$4:$G$1074,'октябрь 2023'!$D$4:$D$1074,$B21,'октябрь 2023'!$J$4:$J$1074,AE$1)</f>
        <v>0</v>
      </c>
      <c r="AF21" s="198">
        <f>SUMIFS('октябрь 2023'!$G$4:$G$1074,'октябрь 2023'!$D$4:$D$1074,$B21,'октябрь 2023'!$J$4:$J$1074,AF$1)</f>
        <v>0</v>
      </c>
      <c r="AG21" s="198">
        <f>SUMIFS('октябрь 2023'!$G$4:$G$1074,'октябрь 2023'!$D$4:$D$1074,$B21,'октябрь 2023'!$J$4:$J$1074,AG$1)</f>
        <v>0</v>
      </c>
      <c r="AH21" s="198">
        <f>SUMIFS('октябрь 2023'!$G$4:$G$1074,'октябрь 2023'!$D$4:$D$1074,$B21,'октябрь 2023'!$J$4:$J$1074,AH$1)</f>
        <v>0</v>
      </c>
      <c r="AI21" s="170">
        <f t="shared" si="1"/>
        <v>490</v>
      </c>
    </row>
    <row r="22" spans="2:35" ht="15" hidden="1" customHeight="1" x14ac:dyDescent="0.25">
      <c r="B22" s="202"/>
      <c r="C22" s="200"/>
      <c r="D22" s="198">
        <f>SUMIFS('октябрь 2023'!$G$4:$G$1074,'октябрь 2023'!$D$4:$D$1074,$B22,'октябрь 2023'!$J$4:$J$1074,D$1)</f>
        <v>0</v>
      </c>
      <c r="E22" s="198">
        <f>SUMIFS('октябрь 2023'!$G$4:$G$1074,'октябрь 2023'!$D$4:$D$1074,$B22,'октябрь 2023'!$J$4:$J$1074,E$1)</f>
        <v>0</v>
      </c>
      <c r="F22" s="198">
        <f>SUMIFS('октябрь 2023'!$G$4:$G$1074,'октябрь 2023'!$D$4:$D$1074,$B22,'октябрь 2023'!$J$4:$J$1074,F$1)</f>
        <v>0</v>
      </c>
      <c r="G22" s="198">
        <f>SUMIFS('октябрь 2023'!$G$4:$G$1074,'октябрь 2023'!$D$4:$D$1074,$B22,'октябрь 2023'!$J$4:$J$1074,G$1)</f>
        <v>0</v>
      </c>
      <c r="H22" s="198">
        <f>SUMIFS('октябрь 2023'!$G$4:$G$1074,'октябрь 2023'!$D$4:$D$1074,$B22,'октябрь 2023'!$J$4:$J$1074,H$1)</f>
        <v>0</v>
      </c>
      <c r="I22" s="198">
        <f>SUMIFS('октябрь 2023'!$G$4:$G$1074,'октябрь 2023'!$D$4:$D$1074,$B22,'октябрь 2023'!$J$4:$J$1074,I$1)</f>
        <v>0</v>
      </c>
      <c r="J22" s="198">
        <f>SUMIFS('октябрь 2023'!$G$4:$G$1074,'октябрь 2023'!$D$4:$D$1074,$B22,'октябрь 2023'!$J$4:$J$1074,J$1)</f>
        <v>0</v>
      </c>
      <c r="K22" s="198">
        <f>SUMIFS('октябрь 2023'!$G$4:$G$1074,'октябрь 2023'!$D$4:$D$1074,$B22,'октябрь 2023'!$J$4:$J$1074,K$1)</f>
        <v>0</v>
      </c>
      <c r="L22" s="198">
        <f>SUMIFS('октябрь 2023'!$G$4:$G$1074,'октябрь 2023'!$D$4:$D$1074,$B22,'октябрь 2023'!$J$4:$J$1074,L$1)</f>
        <v>0</v>
      </c>
      <c r="M22" s="198">
        <f>SUMIFS('октябрь 2023'!$G$4:$G$1074,'октябрь 2023'!$D$4:$D$1074,$B22,'октябрь 2023'!$J$4:$J$1074,M$1)</f>
        <v>0</v>
      </c>
      <c r="N22" s="198">
        <f>SUMIFS('октябрь 2023'!$G$4:$G$1074,'октябрь 2023'!$D$4:$D$1074,$B22,'октябрь 2023'!$J$4:$J$1074,N$1)</f>
        <v>0</v>
      </c>
      <c r="O22" s="198">
        <f>SUMIFS('октябрь 2023'!$G$4:$G$1074,'октябрь 2023'!$D$4:$D$1074,$B22,'октябрь 2023'!$J$4:$J$1074,O$1)</f>
        <v>0</v>
      </c>
      <c r="P22" s="198">
        <f>SUMIFS('октябрь 2023'!$G$4:$G$1074,'октябрь 2023'!$D$4:$D$1074,$B22,'октябрь 2023'!$J$4:$J$1074,P$1)</f>
        <v>0</v>
      </c>
      <c r="Q22" s="198">
        <f>SUMIFS('октябрь 2023'!$G$4:$G$1074,'октябрь 2023'!$D$4:$D$1074,$B22,'октябрь 2023'!$J$4:$J$1074,Q$1)</f>
        <v>0</v>
      </c>
      <c r="R22" s="198">
        <f>SUMIFS('октябрь 2023'!$G$4:$G$1074,'октябрь 2023'!$D$4:$D$1074,$B22,'октябрь 2023'!$J$4:$J$1074,R$1)</f>
        <v>0</v>
      </c>
      <c r="S22" s="198">
        <f>SUMIFS('октябрь 2023'!$G$4:$G$1074,'октябрь 2023'!$D$4:$D$1074,$B22,'октябрь 2023'!$J$4:$J$1074,S$1)</f>
        <v>0</v>
      </c>
      <c r="T22" s="198">
        <f>SUMIFS('октябрь 2023'!$G$4:$G$1074,'октябрь 2023'!$D$4:$D$1074,$B22,'октябрь 2023'!$J$4:$J$1074,T$1)</f>
        <v>0</v>
      </c>
      <c r="U22" s="198">
        <f>SUMIFS('октябрь 2023'!$G$4:$G$1074,'октябрь 2023'!$D$4:$D$1074,$B22,'октябрь 2023'!$J$4:$J$1074,U$1)</f>
        <v>0</v>
      </c>
      <c r="V22" s="198">
        <f>SUMIFS('октябрь 2023'!$G$4:$G$1074,'октябрь 2023'!$D$4:$D$1074,$B22,'октябрь 2023'!$J$4:$J$1074,V$1)</f>
        <v>0</v>
      </c>
      <c r="W22" s="198">
        <f>SUMIFS('октябрь 2023'!$G$4:$G$1074,'октябрь 2023'!$D$4:$D$1074,$B22,'октябрь 2023'!$J$4:$J$1074,W$1)</f>
        <v>0</v>
      </c>
      <c r="X22" s="198">
        <f>SUMIFS('октябрь 2023'!$G$4:$G$1074,'октябрь 2023'!$D$4:$D$1074,$B22,'октябрь 2023'!$J$4:$J$1074,X$1)</f>
        <v>0</v>
      </c>
      <c r="Y22" s="198">
        <f>SUMIFS('октябрь 2023'!$G$4:$G$1074,'октябрь 2023'!$D$4:$D$1074,$B22,'октябрь 2023'!$J$4:$J$1074,Y$1)</f>
        <v>0</v>
      </c>
      <c r="Z22" s="198">
        <f>SUMIFS('октябрь 2023'!$G$4:$G$1074,'октябрь 2023'!$D$4:$D$1074,$B22,'октябрь 2023'!$J$4:$J$1074,Z$1)</f>
        <v>0</v>
      </c>
      <c r="AA22" s="198">
        <f>SUMIFS('октябрь 2023'!$G$4:$G$1074,'октябрь 2023'!$D$4:$D$1074,$B22,'октябрь 2023'!$J$4:$J$1074,AA$1)</f>
        <v>0</v>
      </c>
      <c r="AB22" s="198">
        <f>SUMIFS('октябрь 2023'!$G$4:$G$1074,'октябрь 2023'!$D$4:$D$1074,$B22,'октябрь 2023'!$J$4:$J$1074,AB$1)</f>
        <v>0</v>
      </c>
      <c r="AC22" s="198">
        <f>SUMIFS('октябрь 2023'!$G$4:$G$1074,'октябрь 2023'!$D$4:$D$1074,$B22,'октябрь 2023'!$J$4:$J$1074,AC$1)</f>
        <v>0</v>
      </c>
      <c r="AD22" s="198">
        <f>SUMIFS('октябрь 2023'!$G$4:$G$1074,'октябрь 2023'!$D$4:$D$1074,$B22,'октябрь 2023'!$J$4:$J$1074,AD$1)</f>
        <v>0</v>
      </c>
      <c r="AE22" s="198">
        <f>SUMIFS('октябрь 2023'!$G$4:$G$1074,'октябрь 2023'!$D$4:$D$1074,$B22,'октябрь 2023'!$J$4:$J$1074,AE$1)</f>
        <v>0</v>
      </c>
      <c r="AF22" s="198">
        <f>SUMIFS('октябрь 2023'!$G$4:$G$1074,'октябрь 2023'!$D$4:$D$1074,$B22,'октябрь 2023'!$J$4:$J$1074,AF$1)</f>
        <v>0</v>
      </c>
      <c r="AG22" s="198">
        <f>SUMIFS('октябрь 2023'!$G$4:$G$1074,'октябрь 2023'!$D$4:$D$1074,$B22,'октябрь 2023'!$J$4:$J$1074,AG$1)</f>
        <v>0</v>
      </c>
      <c r="AH22" s="198">
        <f>SUMIFS('октябрь 2023'!$G$4:$G$1074,'октябрь 2023'!$D$4:$D$1074,$B22,'октябрь 2023'!$J$4:$J$1074,AH$1)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SUMIFS('октябрь 2023'!$G$4:$G$1074,'октябрь 2023'!$D$4:$D$1074,$B23,'октябрь 2023'!$J$4:$J$1074,D$1)</f>
        <v>0</v>
      </c>
      <c r="E23" s="198">
        <f>SUMIFS('октябрь 2023'!$G$4:$G$1074,'октябрь 2023'!$D$4:$D$1074,$B23,'октябрь 2023'!$J$4:$J$1074,E$1)</f>
        <v>0</v>
      </c>
      <c r="F23" s="198">
        <f>SUMIFS('октябрь 2023'!$G$4:$G$1074,'октябрь 2023'!$D$4:$D$1074,$B23,'октябрь 2023'!$J$4:$J$1074,F$1)</f>
        <v>0</v>
      </c>
      <c r="G23" s="198">
        <f>SUMIFS('октябрь 2023'!$G$4:$G$1074,'октябрь 2023'!$D$4:$D$1074,$B23,'октябрь 2023'!$J$4:$J$1074,G$1)</f>
        <v>0</v>
      </c>
      <c r="H23" s="198">
        <f>SUMIFS('октябрь 2023'!$G$4:$G$1074,'октябрь 2023'!$D$4:$D$1074,$B23,'октябрь 2023'!$J$4:$J$1074,H$1)</f>
        <v>0</v>
      </c>
      <c r="I23" s="198">
        <f>SUMIFS('октябрь 2023'!$G$4:$G$1074,'октябрь 2023'!$D$4:$D$1074,$B23,'октябрь 2023'!$J$4:$J$1074,I$1)</f>
        <v>0</v>
      </c>
      <c r="J23" s="198">
        <f>SUMIFS('октябрь 2023'!$G$4:$G$1074,'октябрь 2023'!$D$4:$D$1074,$B23,'октябрь 2023'!$J$4:$J$1074,J$1)</f>
        <v>0</v>
      </c>
      <c r="K23" s="198">
        <f>SUMIFS('октябрь 2023'!$G$4:$G$1074,'октябрь 2023'!$D$4:$D$1074,$B23,'октябрь 2023'!$J$4:$J$1074,K$1)</f>
        <v>0</v>
      </c>
      <c r="L23" s="198">
        <f>SUMIFS('октябрь 2023'!$G$4:$G$1074,'октябрь 2023'!$D$4:$D$1074,$B23,'октябрь 2023'!$J$4:$J$1074,L$1)</f>
        <v>0</v>
      </c>
      <c r="M23" s="198">
        <f>SUMIFS('октябрь 2023'!$G$4:$G$1074,'октябрь 2023'!$D$4:$D$1074,$B23,'октябрь 2023'!$J$4:$J$1074,M$1)</f>
        <v>0</v>
      </c>
      <c r="N23" s="198">
        <f>SUMIFS('октябрь 2023'!$G$4:$G$1074,'октябрь 2023'!$D$4:$D$1074,$B23,'октябрь 2023'!$J$4:$J$1074,N$1)</f>
        <v>0</v>
      </c>
      <c r="O23" s="198">
        <f>SUMIFS('октябрь 2023'!$G$4:$G$1074,'октябрь 2023'!$D$4:$D$1074,$B23,'октябрь 2023'!$J$4:$J$1074,O$1)</f>
        <v>0</v>
      </c>
      <c r="P23" s="198">
        <f>SUMIFS('октябрь 2023'!$G$4:$G$1074,'октябрь 2023'!$D$4:$D$1074,$B23,'октябрь 2023'!$J$4:$J$1074,P$1)</f>
        <v>0</v>
      </c>
      <c r="Q23" s="198">
        <f>SUMIFS('октябрь 2023'!$G$4:$G$1074,'октябрь 2023'!$D$4:$D$1074,$B23,'октябрь 2023'!$J$4:$J$1074,Q$1)</f>
        <v>0</v>
      </c>
      <c r="R23" s="198">
        <f>SUMIFS('октябрь 2023'!$G$4:$G$1074,'октябрь 2023'!$D$4:$D$1074,$B23,'октябрь 2023'!$J$4:$J$1074,R$1)</f>
        <v>0</v>
      </c>
      <c r="S23" s="198">
        <f>SUMIFS('октябрь 2023'!$G$4:$G$1074,'октябрь 2023'!$D$4:$D$1074,$B23,'октябрь 2023'!$J$4:$J$1074,S$1)</f>
        <v>0</v>
      </c>
      <c r="T23" s="198">
        <f>SUMIFS('октябрь 2023'!$G$4:$G$1074,'октябрь 2023'!$D$4:$D$1074,$B23,'октябрь 2023'!$J$4:$J$1074,T$1)</f>
        <v>0</v>
      </c>
      <c r="U23" s="198">
        <f>SUMIFS('октябрь 2023'!$G$4:$G$1074,'октябрь 2023'!$D$4:$D$1074,$B23,'октябрь 2023'!$J$4:$J$1074,U$1)</f>
        <v>0</v>
      </c>
      <c r="V23" s="198">
        <f>SUMIFS('октябрь 2023'!$G$4:$G$1074,'октябрь 2023'!$D$4:$D$1074,$B23,'октябрь 2023'!$J$4:$J$1074,V$1)</f>
        <v>0</v>
      </c>
      <c r="W23" s="198">
        <f>SUMIFS('октябрь 2023'!$G$4:$G$1074,'октябрь 2023'!$D$4:$D$1074,$B23,'октябрь 2023'!$J$4:$J$1074,W$1)</f>
        <v>0</v>
      </c>
      <c r="X23" s="198">
        <f>SUMIFS('октябрь 2023'!$G$4:$G$1074,'октябрь 2023'!$D$4:$D$1074,$B23,'октябрь 2023'!$J$4:$J$1074,X$1)</f>
        <v>0</v>
      </c>
      <c r="Y23" s="198">
        <f>SUMIFS('октябрь 2023'!$G$4:$G$1074,'октябрь 2023'!$D$4:$D$1074,$B23,'октябрь 2023'!$J$4:$J$1074,Y$1)</f>
        <v>0</v>
      </c>
      <c r="Z23" s="198">
        <f>SUMIFS('октябрь 2023'!$G$4:$G$1074,'октябрь 2023'!$D$4:$D$1074,$B23,'октябрь 2023'!$J$4:$J$1074,Z$1)</f>
        <v>0</v>
      </c>
      <c r="AA23" s="198">
        <f>SUMIFS('октябрь 2023'!$G$4:$G$1074,'октябрь 2023'!$D$4:$D$1074,$B23,'октябрь 2023'!$J$4:$J$1074,AA$1)</f>
        <v>0</v>
      </c>
      <c r="AB23" s="198">
        <f>SUMIFS('октябрь 2023'!$G$4:$G$1074,'октябрь 2023'!$D$4:$D$1074,$B23,'октябрь 2023'!$J$4:$J$1074,AB$1)</f>
        <v>0</v>
      </c>
      <c r="AC23" s="198">
        <f>SUMIFS('октябрь 2023'!$G$4:$G$1074,'октябрь 2023'!$D$4:$D$1074,$B23,'октябрь 2023'!$J$4:$J$1074,AC$1)</f>
        <v>0</v>
      </c>
      <c r="AD23" s="198">
        <f>SUMIFS('октябрь 2023'!$G$4:$G$1074,'октябрь 2023'!$D$4:$D$1074,$B23,'октябрь 2023'!$J$4:$J$1074,AD$1)</f>
        <v>0</v>
      </c>
      <c r="AE23" s="198">
        <f>SUMIFS('октябрь 2023'!$G$4:$G$1074,'октябрь 2023'!$D$4:$D$1074,$B23,'октябрь 2023'!$J$4:$J$1074,AE$1)</f>
        <v>0</v>
      </c>
      <c r="AF23" s="198">
        <f>SUMIFS('октябрь 2023'!$G$4:$G$1074,'октябрь 2023'!$D$4:$D$1074,$B23,'октябрь 2023'!$J$4:$J$1074,AF$1)</f>
        <v>0</v>
      </c>
      <c r="AG23" s="198">
        <f>SUMIFS('октябрь 2023'!$G$4:$G$1074,'октябрь 2023'!$D$4:$D$1074,$B23,'октябрь 2023'!$J$4:$J$1074,AG$1)</f>
        <v>0</v>
      </c>
      <c r="AH23" s="198">
        <f>SUMIFS('октябрь 2023'!$G$4:$G$1074,'октябрь 2023'!$D$4:$D$1074,$B23,'октябрь 2023'!$J$4:$J$1074,AH$1)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SUMIFS('октябрь 2023'!$G$4:$G$1074,'октябрь 2023'!$D$4:$D$1074,$B24,'октябрь 2023'!$J$4:$J$1074,D$1)</f>
        <v>0</v>
      </c>
      <c r="E24" s="198">
        <f>SUMIFS('октябрь 2023'!$G$4:$G$1074,'октябрь 2023'!$D$4:$D$1074,$B24,'октябрь 2023'!$J$4:$J$1074,E$1)</f>
        <v>0</v>
      </c>
      <c r="F24" s="198">
        <f>SUMIFS('октябрь 2023'!$G$4:$G$1074,'октябрь 2023'!$D$4:$D$1074,$B24,'октябрь 2023'!$J$4:$J$1074,F$1)</f>
        <v>0</v>
      </c>
      <c r="G24" s="198">
        <f>SUMIFS('октябрь 2023'!$G$4:$G$1074,'октябрь 2023'!$D$4:$D$1074,$B24,'октябрь 2023'!$J$4:$J$1074,G$1)</f>
        <v>0</v>
      </c>
      <c r="H24" s="198">
        <f>SUMIFS('октябрь 2023'!$G$4:$G$1074,'октябрь 2023'!$D$4:$D$1074,$B24,'октябрь 2023'!$J$4:$J$1074,H$1)</f>
        <v>0</v>
      </c>
      <c r="I24" s="198">
        <f>SUMIFS('октябрь 2023'!$G$4:$G$1074,'октябрь 2023'!$D$4:$D$1074,$B24,'октябрь 2023'!$J$4:$J$1074,I$1)</f>
        <v>0</v>
      </c>
      <c r="J24" s="198">
        <f>SUMIFS('октябрь 2023'!$G$4:$G$1074,'октябрь 2023'!$D$4:$D$1074,$B24,'октябрь 2023'!$J$4:$J$1074,J$1)</f>
        <v>0</v>
      </c>
      <c r="K24" s="198">
        <f>SUMIFS('октябрь 2023'!$G$4:$G$1074,'октябрь 2023'!$D$4:$D$1074,$B24,'октябрь 2023'!$J$4:$J$1074,K$1)</f>
        <v>0</v>
      </c>
      <c r="L24" s="198">
        <f>SUMIFS('октябрь 2023'!$G$4:$G$1074,'октябрь 2023'!$D$4:$D$1074,$B24,'октябрь 2023'!$J$4:$J$1074,L$1)</f>
        <v>0</v>
      </c>
      <c r="M24" s="198">
        <f>SUMIFS('октябрь 2023'!$G$4:$G$1074,'октябрь 2023'!$D$4:$D$1074,$B24,'октябрь 2023'!$J$4:$J$1074,M$1)</f>
        <v>0</v>
      </c>
      <c r="N24" s="198">
        <f>SUMIFS('октябрь 2023'!$G$4:$G$1074,'октябрь 2023'!$D$4:$D$1074,$B24,'октябрь 2023'!$J$4:$J$1074,N$1)</f>
        <v>0</v>
      </c>
      <c r="O24" s="198">
        <f>SUMIFS('октябрь 2023'!$G$4:$G$1074,'октябрь 2023'!$D$4:$D$1074,$B24,'октябрь 2023'!$J$4:$J$1074,O$1)</f>
        <v>0</v>
      </c>
      <c r="P24" s="198">
        <f>SUMIFS('октябрь 2023'!$G$4:$G$1074,'октябрь 2023'!$D$4:$D$1074,$B24,'октябрь 2023'!$J$4:$J$1074,P$1)</f>
        <v>0</v>
      </c>
      <c r="Q24" s="198">
        <f>SUMIFS('октябрь 2023'!$G$4:$G$1074,'октябрь 2023'!$D$4:$D$1074,$B24,'октябрь 2023'!$J$4:$J$1074,Q$1)</f>
        <v>0</v>
      </c>
      <c r="R24" s="198">
        <f>SUMIFS('октябрь 2023'!$G$4:$G$1074,'октябрь 2023'!$D$4:$D$1074,$B24,'октябрь 2023'!$J$4:$J$1074,R$1)</f>
        <v>0</v>
      </c>
      <c r="S24" s="198">
        <f>SUMIFS('октябрь 2023'!$G$4:$G$1074,'октябрь 2023'!$D$4:$D$1074,$B24,'октябрь 2023'!$J$4:$J$1074,S$1)</f>
        <v>0</v>
      </c>
      <c r="T24" s="198">
        <f>SUMIFS('октябрь 2023'!$G$4:$G$1074,'октябрь 2023'!$D$4:$D$1074,$B24,'октябрь 2023'!$J$4:$J$1074,T$1)</f>
        <v>0</v>
      </c>
      <c r="U24" s="198">
        <f>SUMIFS('октябрь 2023'!$G$4:$G$1074,'октябрь 2023'!$D$4:$D$1074,$B24,'октябрь 2023'!$J$4:$J$1074,U$1)</f>
        <v>0</v>
      </c>
      <c r="V24" s="198">
        <f>SUMIFS('октябрь 2023'!$G$4:$G$1074,'октябрь 2023'!$D$4:$D$1074,$B24,'октябрь 2023'!$J$4:$J$1074,V$1)</f>
        <v>0</v>
      </c>
      <c r="W24" s="198">
        <f>SUMIFS('октябрь 2023'!$G$4:$G$1074,'октябрь 2023'!$D$4:$D$1074,$B24,'октябрь 2023'!$J$4:$J$1074,W$1)</f>
        <v>0</v>
      </c>
      <c r="X24" s="198">
        <f>SUMIFS('октябрь 2023'!$G$4:$G$1074,'октябрь 2023'!$D$4:$D$1074,$B24,'октябрь 2023'!$J$4:$J$1074,X$1)</f>
        <v>0</v>
      </c>
      <c r="Y24" s="198">
        <f>SUMIFS('октябрь 2023'!$G$4:$G$1074,'октябрь 2023'!$D$4:$D$1074,$B24,'октябрь 2023'!$J$4:$J$1074,Y$1)</f>
        <v>0</v>
      </c>
      <c r="Z24" s="198">
        <f>SUMIFS('октябрь 2023'!$G$4:$G$1074,'октябрь 2023'!$D$4:$D$1074,$B24,'октябрь 2023'!$J$4:$J$1074,Z$1)</f>
        <v>0</v>
      </c>
      <c r="AA24" s="198">
        <f>SUMIFS('октябрь 2023'!$G$4:$G$1074,'октябрь 2023'!$D$4:$D$1074,$B24,'октябрь 2023'!$J$4:$J$1074,AA$1)</f>
        <v>0</v>
      </c>
      <c r="AB24" s="198">
        <f>SUMIFS('октябрь 2023'!$G$4:$G$1074,'октябрь 2023'!$D$4:$D$1074,$B24,'октябрь 2023'!$J$4:$J$1074,AB$1)</f>
        <v>0</v>
      </c>
      <c r="AC24" s="198">
        <f>SUMIFS('октябрь 2023'!$G$4:$G$1074,'октябрь 2023'!$D$4:$D$1074,$B24,'октябрь 2023'!$J$4:$J$1074,AC$1)</f>
        <v>0</v>
      </c>
      <c r="AD24" s="198">
        <f>SUMIFS('октябрь 2023'!$G$4:$G$1074,'октябрь 2023'!$D$4:$D$1074,$B24,'октябрь 2023'!$J$4:$J$1074,AD$1)</f>
        <v>0</v>
      </c>
      <c r="AE24" s="198">
        <f>SUMIFS('октябрь 2023'!$G$4:$G$1074,'октябрь 2023'!$D$4:$D$1074,$B24,'октябрь 2023'!$J$4:$J$1074,AE$1)</f>
        <v>0</v>
      </c>
      <c r="AF24" s="198">
        <f>SUMIFS('октябрь 2023'!$G$4:$G$1074,'октябрь 2023'!$D$4:$D$1074,$B24,'октябрь 2023'!$J$4:$J$1074,AF$1)</f>
        <v>0</v>
      </c>
      <c r="AG24" s="198">
        <f>SUMIFS('октябрь 2023'!$G$4:$G$1074,'октябрь 2023'!$D$4:$D$1074,$B24,'октябрь 2023'!$J$4:$J$1074,AG$1)</f>
        <v>0</v>
      </c>
      <c r="AH24" s="198">
        <f>SUMIFS('октябрь 2023'!$G$4:$G$1074,'октябрь 2023'!$D$4:$D$1074,$B24,'октябрь 2023'!$J$4:$J$1074,AH$1)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SUMIFS('октябрь 2023'!$G$4:$G$1074,'октябрь 2023'!$D$4:$D$1074,$B25,'октябрь 2023'!$J$4:$J$1074,D$1)</f>
        <v>0</v>
      </c>
      <c r="E25" s="198">
        <f>SUMIFS('октябрь 2023'!$G$4:$G$1074,'октябрь 2023'!$D$4:$D$1074,$B25,'октябрь 2023'!$J$4:$J$1074,E$1)</f>
        <v>0</v>
      </c>
      <c r="F25" s="198">
        <f>SUMIFS('октябрь 2023'!$G$4:$G$1074,'октябрь 2023'!$D$4:$D$1074,$B25,'октябрь 2023'!$J$4:$J$1074,F$1)</f>
        <v>0</v>
      </c>
      <c r="G25" s="198">
        <f>SUMIFS('октябрь 2023'!$G$4:$G$1074,'октябрь 2023'!$D$4:$D$1074,$B25,'октябрь 2023'!$J$4:$J$1074,G$1)</f>
        <v>0</v>
      </c>
      <c r="H25" s="198">
        <f>SUMIFS('октябрь 2023'!$G$4:$G$1074,'октябрь 2023'!$D$4:$D$1074,$B25,'октябрь 2023'!$J$4:$J$1074,H$1)</f>
        <v>0</v>
      </c>
      <c r="I25" s="198">
        <f>SUMIFS('октябрь 2023'!$G$4:$G$1074,'октябрь 2023'!$D$4:$D$1074,$B25,'октябрь 2023'!$J$4:$J$1074,I$1)</f>
        <v>0</v>
      </c>
      <c r="J25" s="198">
        <f>SUMIFS('октябрь 2023'!$G$4:$G$1074,'октябрь 2023'!$D$4:$D$1074,$B25,'октябрь 2023'!$J$4:$J$1074,J$1)</f>
        <v>0</v>
      </c>
      <c r="K25" s="198">
        <f>SUMIFS('октябрь 2023'!$G$4:$G$1074,'октябрь 2023'!$D$4:$D$1074,$B25,'октябрь 2023'!$J$4:$J$1074,K$1)</f>
        <v>0</v>
      </c>
      <c r="L25" s="198">
        <f>SUMIFS('октябрь 2023'!$G$4:$G$1074,'октябрь 2023'!$D$4:$D$1074,$B25,'октябрь 2023'!$J$4:$J$1074,L$1)</f>
        <v>0</v>
      </c>
      <c r="M25" s="198">
        <f>SUMIFS('октябрь 2023'!$G$4:$G$1074,'октябрь 2023'!$D$4:$D$1074,$B25,'октябрь 2023'!$J$4:$J$1074,M$1)</f>
        <v>0</v>
      </c>
      <c r="N25" s="198">
        <f>SUMIFS('октябрь 2023'!$G$4:$G$1074,'октябрь 2023'!$D$4:$D$1074,$B25,'октябрь 2023'!$J$4:$J$1074,N$1)</f>
        <v>0</v>
      </c>
      <c r="O25" s="198">
        <f>SUMIFS('октябрь 2023'!$G$4:$G$1074,'октябрь 2023'!$D$4:$D$1074,$B25,'октябрь 2023'!$J$4:$J$1074,O$1)</f>
        <v>0</v>
      </c>
      <c r="P25" s="198">
        <f>SUMIFS('октябрь 2023'!$G$4:$G$1074,'октябрь 2023'!$D$4:$D$1074,$B25,'октябрь 2023'!$J$4:$J$1074,P$1)</f>
        <v>0</v>
      </c>
      <c r="Q25" s="198">
        <f>SUMIFS('октябрь 2023'!$G$4:$G$1074,'октябрь 2023'!$D$4:$D$1074,$B25,'октябрь 2023'!$J$4:$J$1074,Q$1)</f>
        <v>0</v>
      </c>
      <c r="R25" s="198">
        <f>SUMIFS('октябрь 2023'!$G$4:$G$1074,'октябрь 2023'!$D$4:$D$1074,$B25,'октябрь 2023'!$J$4:$J$1074,R$1)</f>
        <v>0</v>
      </c>
      <c r="S25" s="198">
        <f>SUMIFS('октябрь 2023'!$G$4:$G$1074,'октябрь 2023'!$D$4:$D$1074,$B25,'октябрь 2023'!$J$4:$J$1074,S$1)</f>
        <v>0</v>
      </c>
      <c r="T25" s="198">
        <f>SUMIFS('октябрь 2023'!$G$4:$G$1074,'октябрь 2023'!$D$4:$D$1074,$B25,'октябрь 2023'!$J$4:$J$1074,T$1)</f>
        <v>0</v>
      </c>
      <c r="U25" s="198">
        <f>SUMIFS('октябрь 2023'!$G$4:$G$1074,'октябрь 2023'!$D$4:$D$1074,$B25,'октябрь 2023'!$J$4:$J$1074,U$1)</f>
        <v>0</v>
      </c>
      <c r="V25" s="198">
        <f>SUMIFS('октябрь 2023'!$G$4:$G$1074,'октябрь 2023'!$D$4:$D$1074,$B25,'октябрь 2023'!$J$4:$J$1074,V$1)</f>
        <v>0</v>
      </c>
      <c r="W25" s="198">
        <f>SUMIFS('октябрь 2023'!$G$4:$G$1074,'октябрь 2023'!$D$4:$D$1074,$B25,'октябрь 2023'!$J$4:$J$1074,W$1)</f>
        <v>0</v>
      </c>
      <c r="X25" s="198">
        <f>SUMIFS('октябрь 2023'!$G$4:$G$1074,'октябрь 2023'!$D$4:$D$1074,$B25,'октябрь 2023'!$J$4:$J$1074,X$1)</f>
        <v>0</v>
      </c>
      <c r="Y25" s="198">
        <f>SUMIFS('октябрь 2023'!$G$4:$G$1074,'октябрь 2023'!$D$4:$D$1074,$B25,'октябрь 2023'!$J$4:$J$1074,Y$1)</f>
        <v>0</v>
      </c>
      <c r="Z25" s="198">
        <f>SUMIFS('октябрь 2023'!$G$4:$G$1074,'октябрь 2023'!$D$4:$D$1074,$B25,'октябрь 2023'!$J$4:$J$1074,Z$1)</f>
        <v>0</v>
      </c>
      <c r="AA25" s="198">
        <f>SUMIFS('октябрь 2023'!$G$4:$G$1074,'октябрь 2023'!$D$4:$D$1074,$B25,'октябрь 2023'!$J$4:$J$1074,AA$1)</f>
        <v>0</v>
      </c>
      <c r="AB25" s="198">
        <f>SUMIFS('октябрь 2023'!$G$4:$G$1074,'октябрь 2023'!$D$4:$D$1074,$B25,'октябрь 2023'!$J$4:$J$1074,AB$1)</f>
        <v>0</v>
      </c>
      <c r="AC25" s="198">
        <f>SUMIFS('октябрь 2023'!$G$4:$G$1074,'октябрь 2023'!$D$4:$D$1074,$B25,'октябрь 2023'!$J$4:$J$1074,AC$1)</f>
        <v>0</v>
      </c>
      <c r="AD25" s="198">
        <f>SUMIFS('октябрь 2023'!$G$4:$G$1074,'октябрь 2023'!$D$4:$D$1074,$B25,'октябрь 2023'!$J$4:$J$1074,AD$1)</f>
        <v>0</v>
      </c>
      <c r="AE25" s="198">
        <f>SUMIFS('октябрь 2023'!$G$4:$G$1074,'октябрь 2023'!$D$4:$D$1074,$B25,'октябрь 2023'!$J$4:$J$1074,AE$1)</f>
        <v>0</v>
      </c>
      <c r="AF25" s="198">
        <f>SUMIFS('октябрь 2023'!$G$4:$G$1074,'октябрь 2023'!$D$4:$D$1074,$B25,'октябрь 2023'!$J$4:$J$1074,AF$1)</f>
        <v>0</v>
      </c>
      <c r="AG25" s="198">
        <f>SUMIFS('октябрь 2023'!$G$4:$G$1074,'октябрь 2023'!$D$4:$D$1074,$B25,'октябрь 2023'!$J$4:$J$1074,AG$1)</f>
        <v>0</v>
      </c>
      <c r="AH25" s="198">
        <f>SUMIFS('октябрь 2023'!$G$4:$G$1074,'октябрь 2023'!$D$4:$D$1074,$B25,'октябрь 2023'!$J$4:$J$1074,AH$1)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SUMIFS('октябрь 2023'!$G$4:$G$1074,'октябрь 2023'!$D$4:$D$1074,$B26,'октябрь 2023'!$J$4:$J$1074,D$1)</f>
        <v>0</v>
      </c>
      <c r="E26" s="198">
        <f>SUMIFS('октябрь 2023'!$G$4:$G$1074,'октябрь 2023'!$D$4:$D$1074,$B26,'октябрь 2023'!$J$4:$J$1074,E$1)</f>
        <v>0</v>
      </c>
      <c r="F26" s="198">
        <f>SUMIFS('октябрь 2023'!$G$4:$G$1074,'октябрь 2023'!$D$4:$D$1074,$B26,'октябрь 2023'!$J$4:$J$1074,F$1)</f>
        <v>0</v>
      </c>
      <c r="G26" s="198">
        <f>SUMIFS('октябрь 2023'!$G$4:$G$1074,'октябрь 2023'!$D$4:$D$1074,$B26,'октябрь 2023'!$J$4:$J$1074,G$1)</f>
        <v>0</v>
      </c>
      <c r="H26" s="198">
        <f>SUMIFS('октябрь 2023'!$G$4:$G$1074,'октябрь 2023'!$D$4:$D$1074,$B26,'октябрь 2023'!$J$4:$J$1074,H$1)</f>
        <v>0</v>
      </c>
      <c r="I26" s="198">
        <f>SUMIFS('октябрь 2023'!$G$4:$G$1074,'октябрь 2023'!$D$4:$D$1074,$B26,'октябрь 2023'!$J$4:$J$1074,I$1)</f>
        <v>0</v>
      </c>
      <c r="J26" s="198">
        <f>SUMIFS('октябрь 2023'!$G$4:$G$1074,'октябрь 2023'!$D$4:$D$1074,$B26,'октябрь 2023'!$J$4:$J$1074,J$1)</f>
        <v>0</v>
      </c>
      <c r="K26" s="198">
        <f>SUMIFS('октябрь 2023'!$G$4:$G$1074,'октябрь 2023'!$D$4:$D$1074,$B26,'октябрь 2023'!$J$4:$J$1074,K$1)</f>
        <v>0</v>
      </c>
      <c r="L26" s="198">
        <f>SUMIFS('октябрь 2023'!$G$4:$G$1074,'октябрь 2023'!$D$4:$D$1074,$B26,'октябрь 2023'!$J$4:$J$1074,L$1)</f>
        <v>0</v>
      </c>
      <c r="M26" s="198">
        <f>SUMIFS('октябрь 2023'!$G$4:$G$1074,'октябрь 2023'!$D$4:$D$1074,$B26,'октябрь 2023'!$J$4:$J$1074,M$1)</f>
        <v>0</v>
      </c>
      <c r="N26" s="198">
        <f>SUMIFS('октябрь 2023'!$G$4:$G$1074,'октябрь 2023'!$D$4:$D$1074,$B26,'октябрь 2023'!$J$4:$J$1074,N$1)</f>
        <v>0</v>
      </c>
      <c r="O26" s="198">
        <f>SUMIFS('октябрь 2023'!$G$4:$G$1074,'октябрь 2023'!$D$4:$D$1074,$B26,'октябрь 2023'!$J$4:$J$1074,O$1)</f>
        <v>0</v>
      </c>
      <c r="P26" s="198">
        <f>SUMIFS('октябрь 2023'!$G$4:$G$1074,'октябрь 2023'!$D$4:$D$1074,$B26,'октябрь 2023'!$J$4:$J$1074,P$1)</f>
        <v>0</v>
      </c>
      <c r="Q26" s="198">
        <f>SUMIFS('октябрь 2023'!$G$4:$G$1074,'октябрь 2023'!$D$4:$D$1074,$B26,'октябрь 2023'!$J$4:$J$1074,Q$1)</f>
        <v>0</v>
      </c>
      <c r="R26" s="198">
        <f>SUMIFS('октябрь 2023'!$G$4:$G$1074,'октябрь 2023'!$D$4:$D$1074,$B26,'октябрь 2023'!$J$4:$J$1074,R$1)</f>
        <v>0</v>
      </c>
      <c r="S26" s="198">
        <f>SUMIFS('октябрь 2023'!$G$4:$G$1074,'октябрь 2023'!$D$4:$D$1074,$B26,'октябрь 2023'!$J$4:$J$1074,S$1)</f>
        <v>0</v>
      </c>
      <c r="T26" s="198">
        <f>SUMIFS('октябрь 2023'!$G$4:$G$1074,'октябрь 2023'!$D$4:$D$1074,$B26,'октябрь 2023'!$J$4:$J$1074,T$1)</f>
        <v>0</v>
      </c>
      <c r="U26" s="198">
        <f>SUMIFS('октябрь 2023'!$G$4:$G$1074,'октябрь 2023'!$D$4:$D$1074,$B26,'октябрь 2023'!$J$4:$J$1074,U$1)</f>
        <v>0</v>
      </c>
      <c r="V26" s="198">
        <f>SUMIFS('октябрь 2023'!$G$4:$G$1074,'октябрь 2023'!$D$4:$D$1074,$B26,'октябрь 2023'!$J$4:$J$1074,V$1)</f>
        <v>0</v>
      </c>
      <c r="W26" s="198">
        <f>SUMIFS('октябрь 2023'!$G$4:$G$1074,'октябрь 2023'!$D$4:$D$1074,$B26,'октябрь 2023'!$J$4:$J$1074,W$1)</f>
        <v>0</v>
      </c>
      <c r="X26" s="198">
        <f>SUMIFS('октябрь 2023'!$G$4:$G$1074,'октябрь 2023'!$D$4:$D$1074,$B26,'октябрь 2023'!$J$4:$J$1074,X$1)</f>
        <v>0</v>
      </c>
      <c r="Y26" s="198">
        <f>SUMIFS('октябрь 2023'!$G$4:$G$1074,'октябрь 2023'!$D$4:$D$1074,$B26,'октябрь 2023'!$J$4:$J$1074,Y$1)</f>
        <v>0</v>
      </c>
      <c r="Z26" s="198">
        <f>SUMIFS('октябрь 2023'!$G$4:$G$1074,'октябрь 2023'!$D$4:$D$1074,$B26,'октябрь 2023'!$J$4:$J$1074,Z$1)</f>
        <v>0</v>
      </c>
      <c r="AA26" s="198">
        <f>SUMIFS('октябрь 2023'!$G$4:$G$1074,'октябрь 2023'!$D$4:$D$1074,$B26,'октябрь 2023'!$J$4:$J$1074,AA$1)</f>
        <v>0</v>
      </c>
      <c r="AB26" s="198">
        <f>SUMIFS('октябрь 2023'!$G$4:$G$1074,'октябрь 2023'!$D$4:$D$1074,$B26,'октябрь 2023'!$J$4:$J$1074,AB$1)</f>
        <v>0</v>
      </c>
      <c r="AC26" s="198">
        <f>SUMIFS('октябрь 2023'!$G$4:$G$1074,'октябрь 2023'!$D$4:$D$1074,$B26,'октябрь 2023'!$J$4:$J$1074,AC$1)</f>
        <v>0</v>
      </c>
      <c r="AD26" s="198">
        <f>SUMIFS('октябрь 2023'!$G$4:$G$1074,'октябрь 2023'!$D$4:$D$1074,$B26,'октябрь 2023'!$J$4:$J$1074,AD$1)</f>
        <v>0</v>
      </c>
      <c r="AE26" s="198">
        <f>SUMIFS('октябрь 2023'!$G$4:$G$1074,'октябрь 2023'!$D$4:$D$1074,$B26,'октябрь 2023'!$J$4:$J$1074,AE$1)</f>
        <v>0</v>
      </c>
      <c r="AF26" s="198">
        <f>SUMIFS('октябрь 2023'!$G$4:$G$1074,'октябрь 2023'!$D$4:$D$1074,$B26,'октябрь 2023'!$J$4:$J$1074,AF$1)</f>
        <v>0</v>
      </c>
      <c r="AG26" s="198">
        <f>SUMIFS('октябрь 2023'!$G$4:$G$1074,'октябрь 2023'!$D$4:$D$1074,$B26,'октябрь 2023'!$J$4:$J$1074,AG$1)</f>
        <v>0</v>
      </c>
      <c r="AH26" s="198">
        <f>SUMIFS('октябрь 2023'!$G$4:$G$1074,'октябрь 2023'!$D$4:$D$1074,$B26,'октябрь 2023'!$J$4:$J$1074,AH$1)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SUMIFS('октябрь 2023'!$G$4:$G$1074,'октябрь 2023'!$D$4:$D$1074,$B27,'октябрь 2023'!$J$4:$J$1074,D$1)</f>
        <v>0</v>
      </c>
      <c r="E27" s="198">
        <f>SUMIFS('октябрь 2023'!$G$4:$G$1074,'октябрь 2023'!$D$4:$D$1074,$B27,'октябрь 2023'!$J$4:$J$1074,E$1)</f>
        <v>0</v>
      </c>
      <c r="F27" s="198">
        <f>SUMIFS('октябрь 2023'!$G$4:$G$1074,'октябрь 2023'!$D$4:$D$1074,$B27,'октябрь 2023'!$J$4:$J$1074,F$1)</f>
        <v>0</v>
      </c>
      <c r="G27" s="198">
        <f>SUMIFS('октябрь 2023'!$G$4:$G$1074,'октябрь 2023'!$D$4:$D$1074,$B27,'октябрь 2023'!$J$4:$J$1074,G$1)</f>
        <v>0</v>
      </c>
      <c r="H27" s="198">
        <f>SUMIFS('октябрь 2023'!$G$4:$G$1074,'октябрь 2023'!$D$4:$D$1074,$B27,'октябрь 2023'!$J$4:$J$1074,H$1)</f>
        <v>0</v>
      </c>
      <c r="I27" s="198">
        <f>SUMIFS('октябрь 2023'!$G$4:$G$1074,'октябрь 2023'!$D$4:$D$1074,$B27,'октябрь 2023'!$J$4:$J$1074,I$1)</f>
        <v>0</v>
      </c>
      <c r="J27" s="198">
        <f>SUMIFS('октябрь 2023'!$G$4:$G$1074,'октябрь 2023'!$D$4:$D$1074,$B27,'октябрь 2023'!$J$4:$J$1074,J$1)</f>
        <v>0</v>
      </c>
      <c r="K27" s="198">
        <f>SUMIFS('октябрь 2023'!$G$4:$G$1074,'октябрь 2023'!$D$4:$D$1074,$B27,'октябрь 2023'!$J$4:$J$1074,K$1)</f>
        <v>0</v>
      </c>
      <c r="L27" s="198">
        <f>SUMIFS('октябрь 2023'!$G$4:$G$1074,'октябрь 2023'!$D$4:$D$1074,$B27,'октябрь 2023'!$J$4:$J$1074,L$1)</f>
        <v>0</v>
      </c>
      <c r="M27" s="198">
        <f>SUMIFS('октябрь 2023'!$G$4:$G$1074,'октябрь 2023'!$D$4:$D$1074,$B27,'октябрь 2023'!$J$4:$J$1074,M$1)</f>
        <v>0</v>
      </c>
      <c r="N27" s="198">
        <f>SUMIFS('октябрь 2023'!$G$4:$G$1074,'октябрь 2023'!$D$4:$D$1074,$B27,'октябрь 2023'!$J$4:$J$1074,N$1)</f>
        <v>0</v>
      </c>
      <c r="O27" s="198">
        <f>SUMIFS('октябрь 2023'!$G$4:$G$1074,'октябрь 2023'!$D$4:$D$1074,$B27,'октябрь 2023'!$J$4:$J$1074,O$1)</f>
        <v>0</v>
      </c>
      <c r="P27" s="198">
        <f>SUMIFS('октябрь 2023'!$G$4:$G$1074,'октябрь 2023'!$D$4:$D$1074,$B27,'октябрь 2023'!$J$4:$J$1074,P$1)</f>
        <v>0</v>
      </c>
      <c r="Q27" s="198">
        <f>SUMIFS('октябрь 2023'!$G$4:$G$1074,'октябрь 2023'!$D$4:$D$1074,$B27,'октябрь 2023'!$J$4:$J$1074,Q$1)</f>
        <v>0</v>
      </c>
      <c r="R27" s="198">
        <f>SUMIFS('октябрь 2023'!$G$4:$G$1074,'октябрь 2023'!$D$4:$D$1074,$B27,'октябрь 2023'!$J$4:$J$1074,R$1)</f>
        <v>0</v>
      </c>
      <c r="S27" s="198">
        <f>SUMIFS('октябрь 2023'!$G$4:$G$1074,'октябрь 2023'!$D$4:$D$1074,$B27,'октябрь 2023'!$J$4:$J$1074,S$1)</f>
        <v>0</v>
      </c>
      <c r="T27" s="198">
        <f>SUMIFS('октябрь 2023'!$G$4:$G$1074,'октябрь 2023'!$D$4:$D$1074,$B27,'октябрь 2023'!$J$4:$J$1074,T$1)</f>
        <v>0</v>
      </c>
      <c r="U27" s="198">
        <f>SUMIFS('октябрь 2023'!$G$4:$G$1074,'октябрь 2023'!$D$4:$D$1074,$B27,'октябрь 2023'!$J$4:$J$1074,U$1)</f>
        <v>0</v>
      </c>
      <c r="V27" s="198">
        <f>SUMIFS('октябрь 2023'!$G$4:$G$1074,'октябрь 2023'!$D$4:$D$1074,$B27,'октябрь 2023'!$J$4:$J$1074,V$1)</f>
        <v>0</v>
      </c>
      <c r="W27" s="198">
        <f>SUMIFS('октябрь 2023'!$G$4:$G$1074,'октябрь 2023'!$D$4:$D$1074,$B27,'октябрь 2023'!$J$4:$J$1074,W$1)</f>
        <v>0</v>
      </c>
      <c r="X27" s="198">
        <f>SUMIFS('октябрь 2023'!$G$4:$G$1074,'октябрь 2023'!$D$4:$D$1074,$B27,'октябрь 2023'!$J$4:$J$1074,X$1)</f>
        <v>0</v>
      </c>
      <c r="Y27" s="198">
        <f>SUMIFS('октябрь 2023'!$G$4:$G$1074,'октябрь 2023'!$D$4:$D$1074,$B27,'октябрь 2023'!$J$4:$J$1074,Y$1)</f>
        <v>0</v>
      </c>
      <c r="Z27" s="198">
        <f>SUMIFS('октябрь 2023'!$G$4:$G$1074,'октябрь 2023'!$D$4:$D$1074,$B27,'октябрь 2023'!$J$4:$J$1074,Z$1)</f>
        <v>0</v>
      </c>
      <c r="AA27" s="198">
        <f>SUMIFS('октябрь 2023'!$G$4:$G$1074,'октябрь 2023'!$D$4:$D$1074,$B27,'октябрь 2023'!$J$4:$J$1074,AA$1)</f>
        <v>0</v>
      </c>
      <c r="AB27" s="198">
        <f>SUMIFS('октябрь 2023'!$G$4:$G$1074,'октябрь 2023'!$D$4:$D$1074,$B27,'октябрь 2023'!$J$4:$J$1074,AB$1)</f>
        <v>0</v>
      </c>
      <c r="AC27" s="198">
        <f>SUMIFS('октябрь 2023'!$G$4:$G$1074,'октябрь 2023'!$D$4:$D$1074,$B27,'октябрь 2023'!$J$4:$J$1074,AC$1)</f>
        <v>0</v>
      </c>
      <c r="AD27" s="198">
        <f>SUMIFS('октябрь 2023'!$G$4:$G$1074,'октябрь 2023'!$D$4:$D$1074,$B27,'октябрь 2023'!$J$4:$J$1074,AD$1)</f>
        <v>0</v>
      </c>
      <c r="AE27" s="198">
        <f>SUMIFS('октябрь 2023'!$G$4:$G$1074,'октябрь 2023'!$D$4:$D$1074,$B27,'октябрь 2023'!$J$4:$J$1074,AE$1)</f>
        <v>0</v>
      </c>
      <c r="AF27" s="198">
        <f>SUMIFS('октябрь 2023'!$G$4:$G$1074,'октябрь 2023'!$D$4:$D$1074,$B27,'октябрь 2023'!$J$4:$J$1074,AF$1)</f>
        <v>0</v>
      </c>
      <c r="AG27" s="198">
        <f>SUMIFS('октябрь 2023'!$G$4:$G$1074,'октябрь 2023'!$D$4:$D$1074,$B27,'октябрь 2023'!$J$4:$J$1074,AG$1)</f>
        <v>0</v>
      </c>
      <c r="AH27" s="198">
        <f>SUMIFS('октябрь 2023'!$G$4:$G$1074,'октябрь 2023'!$D$4:$D$1074,$B27,'октябрь 2023'!$J$4:$J$1074,AH$1)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SUMIFS('октябрь 2023'!$G$4:$G$1074,'октябрь 2023'!$D$4:$D$1074,$B28,'октябрь 2023'!$J$4:$J$1074,D$1)</f>
        <v>0</v>
      </c>
      <c r="E28" s="198">
        <f>SUMIFS('октябрь 2023'!$G$4:$G$1074,'октябрь 2023'!$D$4:$D$1074,$B28,'октябрь 2023'!$J$4:$J$1074,E$1)</f>
        <v>0</v>
      </c>
      <c r="F28" s="198">
        <f>SUMIFS('октябрь 2023'!$G$4:$G$1074,'октябрь 2023'!$D$4:$D$1074,$B28,'октябрь 2023'!$J$4:$J$1074,F$1)</f>
        <v>0</v>
      </c>
      <c r="G28" s="198">
        <f>SUMIFS('октябрь 2023'!$G$4:$G$1074,'октябрь 2023'!$D$4:$D$1074,$B28,'октябрь 2023'!$J$4:$J$1074,G$1)</f>
        <v>0</v>
      </c>
      <c r="H28" s="198">
        <f>SUMIFS('октябрь 2023'!$G$4:$G$1074,'октябрь 2023'!$D$4:$D$1074,$B28,'октябрь 2023'!$J$4:$J$1074,H$1)</f>
        <v>0</v>
      </c>
      <c r="I28" s="198">
        <f>SUMIFS('октябрь 2023'!$G$4:$G$1074,'октябрь 2023'!$D$4:$D$1074,$B28,'октябрь 2023'!$J$4:$J$1074,I$1)</f>
        <v>0</v>
      </c>
      <c r="J28" s="198">
        <f>SUMIFS('октябрь 2023'!$G$4:$G$1074,'октябрь 2023'!$D$4:$D$1074,$B28,'октябрь 2023'!$J$4:$J$1074,J$1)</f>
        <v>0</v>
      </c>
      <c r="K28" s="198">
        <f>SUMIFS('октябрь 2023'!$G$4:$G$1074,'октябрь 2023'!$D$4:$D$1074,$B28,'октябрь 2023'!$J$4:$J$1074,K$1)</f>
        <v>0</v>
      </c>
      <c r="L28" s="198">
        <f>SUMIFS('октябрь 2023'!$G$4:$G$1074,'октябрь 2023'!$D$4:$D$1074,$B28,'октябрь 2023'!$J$4:$J$1074,L$1)</f>
        <v>0</v>
      </c>
      <c r="M28" s="198">
        <f>SUMIFS('октябрь 2023'!$G$4:$G$1074,'октябрь 2023'!$D$4:$D$1074,$B28,'октябрь 2023'!$J$4:$J$1074,M$1)</f>
        <v>0</v>
      </c>
      <c r="N28" s="198">
        <f>SUMIFS('октябрь 2023'!$G$4:$G$1074,'октябрь 2023'!$D$4:$D$1074,$B28,'октябрь 2023'!$J$4:$J$1074,N$1)</f>
        <v>0</v>
      </c>
      <c r="O28" s="198">
        <f>SUMIFS('октябрь 2023'!$G$4:$G$1074,'октябрь 2023'!$D$4:$D$1074,$B28,'октябрь 2023'!$J$4:$J$1074,O$1)</f>
        <v>0</v>
      </c>
      <c r="P28" s="198">
        <f>SUMIFS('октябрь 2023'!$G$4:$G$1074,'октябрь 2023'!$D$4:$D$1074,$B28,'октябрь 2023'!$J$4:$J$1074,P$1)</f>
        <v>0</v>
      </c>
      <c r="Q28" s="198">
        <f>SUMIFS('октябрь 2023'!$G$4:$G$1074,'октябрь 2023'!$D$4:$D$1074,$B28,'октябрь 2023'!$J$4:$J$1074,Q$1)</f>
        <v>0</v>
      </c>
      <c r="R28" s="198">
        <f>SUMIFS('октябрь 2023'!$G$4:$G$1074,'октябрь 2023'!$D$4:$D$1074,$B28,'октябрь 2023'!$J$4:$J$1074,R$1)</f>
        <v>0</v>
      </c>
      <c r="S28" s="198">
        <f>SUMIFS('октябрь 2023'!$G$4:$G$1074,'октябрь 2023'!$D$4:$D$1074,$B28,'октябрь 2023'!$J$4:$J$1074,S$1)</f>
        <v>0</v>
      </c>
      <c r="T28" s="198">
        <f>SUMIFS('октябрь 2023'!$G$4:$G$1074,'октябрь 2023'!$D$4:$D$1074,$B28,'октябрь 2023'!$J$4:$J$1074,T$1)</f>
        <v>0</v>
      </c>
      <c r="U28" s="198">
        <f>SUMIFS('октябрь 2023'!$G$4:$G$1074,'октябрь 2023'!$D$4:$D$1074,$B28,'октябрь 2023'!$J$4:$J$1074,U$1)</f>
        <v>0</v>
      </c>
      <c r="V28" s="198">
        <f>SUMIFS('октябрь 2023'!$G$4:$G$1074,'октябрь 2023'!$D$4:$D$1074,$B28,'октябрь 2023'!$J$4:$J$1074,V$1)</f>
        <v>0</v>
      </c>
      <c r="W28" s="198">
        <f>SUMIFS('октябрь 2023'!$G$4:$G$1074,'октябрь 2023'!$D$4:$D$1074,$B28,'октябрь 2023'!$J$4:$J$1074,W$1)</f>
        <v>0</v>
      </c>
      <c r="X28" s="198">
        <f>SUMIFS('октябрь 2023'!$G$4:$G$1074,'октябрь 2023'!$D$4:$D$1074,$B28,'октябрь 2023'!$J$4:$J$1074,X$1)</f>
        <v>0</v>
      </c>
      <c r="Y28" s="198">
        <f>SUMIFS('октябрь 2023'!$G$4:$G$1074,'октябрь 2023'!$D$4:$D$1074,$B28,'октябрь 2023'!$J$4:$J$1074,Y$1)</f>
        <v>0</v>
      </c>
      <c r="Z28" s="198">
        <f>SUMIFS('октябрь 2023'!$G$4:$G$1074,'октябрь 2023'!$D$4:$D$1074,$B28,'октябрь 2023'!$J$4:$J$1074,Z$1)</f>
        <v>0</v>
      </c>
      <c r="AA28" s="198">
        <f>SUMIFS('октябрь 2023'!$G$4:$G$1074,'октябрь 2023'!$D$4:$D$1074,$B28,'октябрь 2023'!$J$4:$J$1074,AA$1)</f>
        <v>0</v>
      </c>
      <c r="AB28" s="198">
        <f>SUMIFS('октябрь 2023'!$G$4:$G$1074,'октябрь 2023'!$D$4:$D$1074,$B28,'октябрь 2023'!$J$4:$J$1074,AB$1)</f>
        <v>0</v>
      </c>
      <c r="AC28" s="198">
        <f>SUMIFS('октябрь 2023'!$G$4:$G$1074,'октябрь 2023'!$D$4:$D$1074,$B28,'октябрь 2023'!$J$4:$J$1074,AC$1)</f>
        <v>0</v>
      </c>
      <c r="AD28" s="198">
        <f>SUMIFS('октябрь 2023'!$G$4:$G$1074,'октябрь 2023'!$D$4:$D$1074,$B28,'октябрь 2023'!$J$4:$J$1074,AD$1)</f>
        <v>0</v>
      </c>
      <c r="AE28" s="198">
        <f>SUMIFS('октябрь 2023'!$G$4:$G$1074,'октябрь 2023'!$D$4:$D$1074,$B28,'октябрь 2023'!$J$4:$J$1074,AE$1)</f>
        <v>0</v>
      </c>
      <c r="AF28" s="198">
        <f>SUMIFS('октябрь 2023'!$G$4:$G$1074,'октябрь 2023'!$D$4:$D$1074,$B28,'октябрь 2023'!$J$4:$J$1074,AF$1)</f>
        <v>0</v>
      </c>
      <c r="AG28" s="198">
        <f>SUMIFS('октябрь 2023'!$G$4:$G$1074,'октябрь 2023'!$D$4:$D$1074,$B28,'октябрь 2023'!$J$4:$J$1074,AG$1)</f>
        <v>0</v>
      </c>
      <c r="AH28" s="198">
        <f>SUMIFS('октябрь 2023'!$G$4:$G$1074,'октябрь 2023'!$D$4:$D$1074,$B28,'октябрь 2023'!$J$4:$J$1074,AH$1)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SUMIFS('октябрь 2023'!$G$4:$G$1074,'октябрь 2023'!$D$4:$D$1074,$B29,'октябрь 2023'!$J$4:$J$1074,D$1)</f>
        <v>0</v>
      </c>
      <c r="E29" s="198">
        <f>SUMIFS('октябрь 2023'!$G$4:$G$1074,'октябрь 2023'!$D$4:$D$1074,$B29,'октябрь 2023'!$J$4:$J$1074,E$1)</f>
        <v>0</v>
      </c>
      <c r="F29" s="198">
        <f>SUMIFS('октябрь 2023'!$G$4:$G$1074,'октябрь 2023'!$D$4:$D$1074,$B29,'октябрь 2023'!$J$4:$J$1074,F$1)</f>
        <v>0</v>
      </c>
      <c r="G29" s="198">
        <f>SUMIFS('октябрь 2023'!$G$4:$G$1074,'октябрь 2023'!$D$4:$D$1074,$B29,'октябрь 2023'!$J$4:$J$1074,G$1)</f>
        <v>0</v>
      </c>
      <c r="H29" s="198">
        <f>SUMIFS('октябрь 2023'!$G$4:$G$1074,'октябрь 2023'!$D$4:$D$1074,$B29,'октябрь 2023'!$J$4:$J$1074,H$1)</f>
        <v>0</v>
      </c>
      <c r="I29" s="198">
        <f>SUMIFS('октябрь 2023'!$G$4:$G$1074,'октябрь 2023'!$D$4:$D$1074,$B29,'октябрь 2023'!$J$4:$J$1074,I$1)</f>
        <v>0</v>
      </c>
      <c r="J29" s="198">
        <f>SUMIFS('октябрь 2023'!$G$4:$G$1074,'октябрь 2023'!$D$4:$D$1074,$B29,'октябрь 2023'!$J$4:$J$1074,J$1)</f>
        <v>0</v>
      </c>
      <c r="K29" s="198">
        <f>SUMIFS('октябрь 2023'!$G$4:$G$1074,'октябрь 2023'!$D$4:$D$1074,$B29,'октябрь 2023'!$J$4:$J$1074,K$1)</f>
        <v>0</v>
      </c>
      <c r="L29" s="198">
        <f>SUMIFS('октябрь 2023'!$G$4:$G$1074,'октябрь 2023'!$D$4:$D$1074,$B29,'октябрь 2023'!$J$4:$J$1074,L$1)</f>
        <v>0</v>
      </c>
      <c r="M29" s="198">
        <f>SUMIFS('октябрь 2023'!$G$4:$G$1074,'октябрь 2023'!$D$4:$D$1074,$B29,'октябрь 2023'!$J$4:$J$1074,M$1)</f>
        <v>0</v>
      </c>
      <c r="N29" s="198">
        <f>SUMIFS('октябрь 2023'!$G$4:$G$1074,'октябрь 2023'!$D$4:$D$1074,$B29,'октябрь 2023'!$J$4:$J$1074,N$1)</f>
        <v>0</v>
      </c>
      <c r="O29" s="198">
        <f>SUMIFS('октябрь 2023'!$G$4:$G$1074,'октябрь 2023'!$D$4:$D$1074,$B29,'октябрь 2023'!$J$4:$J$1074,O$1)</f>
        <v>0</v>
      </c>
      <c r="P29" s="198">
        <f>SUMIFS('октябрь 2023'!$G$4:$G$1074,'октябрь 2023'!$D$4:$D$1074,$B29,'октябрь 2023'!$J$4:$J$1074,P$1)</f>
        <v>0</v>
      </c>
      <c r="Q29" s="198">
        <f>SUMIFS('октябрь 2023'!$G$4:$G$1074,'октябрь 2023'!$D$4:$D$1074,$B29,'октябрь 2023'!$J$4:$J$1074,Q$1)</f>
        <v>0</v>
      </c>
      <c r="R29" s="198">
        <f>SUMIFS('октябрь 2023'!$G$4:$G$1074,'октябрь 2023'!$D$4:$D$1074,$B29,'октябрь 2023'!$J$4:$J$1074,R$1)</f>
        <v>0</v>
      </c>
      <c r="S29" s="198">
        <f>SUMIFS('октябрь 2023'!$G$4:$G$1074,'октябрь 2023'!$D$4:$D$1074,$B29,'октябрь 2023'!$J$4:$J$1074,S$1)</f>
        <v>0</v>
      </c>
      <c r="T29" s="198">
        <f>SUMIFS('октябрь 2023'!$G$4:$G$1074,'октябрь 2023'!$D$4:$D$1074,$B29,'октябрь 2023'!$J$4:$J$1074,T$1)</f>
        <v>0</v>
      </c>
      <c r="U29" s="198">
        <f>SUMIFS('октябрь 2023'!$G$4:$G$1074,'октябрь 2023'!$D$4:$D$1074,$B29,'октябрь 2023'!$J$4:$J$1074,U$1)</f>
        <v>0</v>
      </c>
      <c r="V29" s="198">
        <f>SUMIFS('октябрь 2023'!$G$4:$G$1074,'октябрь 2023'!$D$4:$D$1074,$B29,'октябрь 2023'!$J$4:$J$1074,V$1)</f>
        <v>0</v>
      </c>
      <c r="W29" s="198">
        <f>SUMIFS('октябрь 2023'!$G$4:$G$1074,'октябрь 2023'!$D$4:$D$1074,$B29,'октябрь 2023'!$J$4:$J$1074,W$1)</f>
        <v>0</v>
      </c>
      <c r="X29" s="198">
        <f>SUMIFS('октябрь 2023'!$G$4:$G$1074,'октябрь 2023'!$D$4:$D$1074,$B29,'октябрь 2023'!$J$4:$J$1074,X$1)</f>
        <v>0</v>
      </c>
      <c r="Y29" s="198">
        <f>SUMIFS('октябрь 2023'!$G$4:$G$1074,'октябрь 2023'!$D$4:$D$1074,$B29,'октябрь 2023'!$J$4:$J$1074,Y$1)</f>
        <v>0</v>
      </c>
      <c r="Z29" s="198">
        <f>SUMIFS('октябрь 2023'!$G$4:$G$1074,'октябрь 2023'!$D$4:$D$1074,$B29,'октябрь 2023'!$J$4:$J$1074,Z$1)</f>
        <v>0</v>
      </c>
      <c r="AA29" s="198">
        <f>SUMIFS('октябрь 2023'!$G$4:$G$1074,'октябрь 2023'!$D$4:$D$1074,$B29,'октябрь 2023'!$J$4:$J$1074,AA$1)</f>
        <v>0</v>
      </c>
      <c r="AB29" s="198">
        <f>SUMIFS('октябрь 2023'!$G$4:$G$1074,'октябрь 2023'!$D$4:$D$1074,$B29,'октябрь 2023'!$J$4:$J$1074,AB$1)</f>
        <v>0</v>
      </c>
      <c r="AC29" s="198">
        <f>SUMIFS('октябрь 2023'!$G$4:$G$1074,'октябрь 2023'!$D$4:$D$1074,$B29,'октябрь 2023'!$J$4:$J$1074,AC$1)</f>
        <v>0</v>
      </c>
      <c r="AD29" s="198">
        <f>SUMIFS('октябрь 2023'!$G$4:$G$1074,'октябрь 2023'!$D$4:$D$1074,$B29,'октябрь 2023'!$J$4:$J$1074,AD$1)</f>
        <v>0</v>
      </c>
      <c r="AE29" s="198">
        <f>SUMIFS('октябрь 2023'!$G$4:$G$1074,'октябрь 2023'!$D$4:$D$1074,$B29,'октябрь 2023'!$J$4:$J$1074,AE$1)</f>
        <v>0</v>
      </c>
      <c r="AF29" s="198">
        <f>SUMIFS('октябрь 2023'!$G$4:$G$1074,'октябрь 2023'!$D$4:$D$1074,$B29,'октябрь 2023'!$J$4:$J$1074,AF$1)</f>
        <v>0</v>
      </c>
      <c r="AG29" s="198">
        <f>SUMIFS('октябрь 2023'!$G$4:$G$1074,'октябрь 2023'!$D$4:$D$1074,$B29,'октябрь 2023'!$J$4:$J$1074,AG$1)</f>
        <v>0</v>
      </c>
      <c r="AH29" s="198">
        <f>SUMIFS('октябрь 2023'!$G$4:$G$1074,'октябрь 2023'!$D$4:$D$1074,$B29,'октябрь 2023'!$J$4:$J$1074,AH$1)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SUMIFS('октябрь 2023'!$G$4:$G$1074,'октябрь 2023'!$D$4:$D$1074,$B30,'октябрь 2023'!$J$4:$J$1074,D$1)</f>
        <v>0</v>
      </c>
      <c r="E30" s="198">
        <f>SUMIFS('октябрь 2023'!$G$4:$G$1074,'октябрь 2023'!$D$4:$D$1074,$B30,'октябрь 2023'!$J$4:$J$1074,E$1)</f>
        <v>0</v>
      </c>
      <c r="F30" s="198">
        <f>SUMIFS('октябрь 2023'!$G$4:$G$1074,'октябрь 2023'!$D$4:$D$1074,$B30,'октябрь 2023'!$J$4:$J$1074,F$1)</f>
        <v>0</v>
      </c>
      <c r="G30" s="198">
        <f>SUMIFS('октябрь 2023'!$G$4:$G$1074,'октябрь 2023'!$D$4:$D$1074,$B30,'октябрь 2023'!$J$4:$J$1074,G$1)</f>
        <v>0</v>
      </c>
      <c r="H30" s="198">
        <f>SUMIFS('октябрь 2023'!$G$4:$G$1074,'октябрь 2023'!$D$4:$D$1074,$B30,'октябрь 2023'!$J$4:$J$1074,H$1)</f>
        <v>0</v>
      </c>
      <c r="I30" s="198">
        <f>SUMIFS('октябрь 2023'!$G$4:$G$1074,'октябрь 2023'!$D$4:$D$1074,$B30,'октябрь 2023'!$J$4:$J$1074,I$1)</f>
        <v>0</v>
      </c>
      <c r="J30" s="198">
        <f>SUMIFS('октябрь 2023'!$G$4:$G$1074,'октябрь 2023'!$D$4:$D$1074,$B30,'октябрь 2023'!$J$4:$J$1074,J$1)</f>
        <v>0</v>
      </c>
      <c r="K30" s="198">
        <f>SUMIFS('октябрь 2023'!$G$4:$G$1074,'октябрь 2023'!$D$4:$D$1074,$B30,'октябрь 2023'!$J$4:$J$1074,K$1)</f>
        <v>0</v>
      </c>
      <c r="L30" s="198">
        <f>SUMIFS('октябрь 2023'!$G$4:$G$1074,'октябрь 2023'!$D$4:$D$1074,$B30,'октябрь 2023'!$J$4:$J$1074,L$1)</f>
        <v>0</v>
      </c>
      <c r="M30" s="198">
        <f>SUMIFS('октябрь 2023'!$G$4:$G$1074,'октябрь 2023'!$D$4:$D$1074,$B30,'октябрь 2023'!$J$4:$J$1074,M$1)</f>
        <v>0</v>
      </c>
      <c r="N30" s="198">
        <f>SUMIFS('октябрь 2023'!$G$4:$G$1074,'октябрь 2023'!$D$4:$D$1074,$B30,'октябрь 2023'!$J$4:$J$1074,N$1)</f>
        <v>0</v>
      </c>
      <c r="O30" s="198">
        <f>SUMIFS('октябрь 2023'!$G$4:$G$1074,'октябрь 2023'!$D$4:$D$1074,$B30,'октябрь 2023'!$J$4:$J$1074,O$1)</f>
        <v>0</v>
      </c>
      <c r="P30" s="198">
        <f>SUMIFS('октябрь 2023'!$G$4:$G$1074,'октябрь 2023'!$D$4:$D$1074,$B30,'октябрь 2023'!$J$4:$J$1074,P$1)</f>
        <v>0</v>
      </c>
      <c r="Q30" s="198">
        <f>SUMIFS('октябрь 2023'!$G$4:$G$1074,'октябрь 2023'!$D$4:$D$1074,$B30,'октябрь 2023'!$J$4:$J$1074,Q$1)</f>
        <v>0</v>
      </c>
      <c r="R30" s="198">
        <f>SUMIFS('октябрь 2023'!$G$4:$G$1074,'октябрь 2023'!$D$4:$D$1074,$B30,'октябрь 2023'!$J$4:$J$1074,R$1)</f>
        <v>0</v>
      </c>
      <c r="S30" s="198">
        <f>SUMIFS('октябрь 2023'!$G$4:$G$1074,'октябрь 2023'!$D$4:$D$1074,$B30,'октябрь 2023'!$J$4:$J$1074,S$1)</f>
        <v>0</v>
      </c>
      <c r="T30" s="198">
        <f>SUMIFS('октябрь 2023'!$G$4:$G$1074,'октябрь 2023'!$D$4:$D$1074,$B30,'октябрь 2023'!$J$4:$J$1074,T$1)</f>
        <v>0</v>
      </c>
      <c r="U30" s="198">
        <f>SUMIFS('октябрь 2023'!$G$4:$G$1074,'октябрь 2023'!$D$4:$D$1074,$B30,'октябрь 2023'!$J$4:$J$1074,U$1)</f>
        <v>0</v>
      </c>
      <c r="V30" s="198">
        <f>SUMIFS('октябрь 2023'!$G$4:$G$1074,'октябрь 2023'!$D$4:$D$1074,$B30,'октябрь 2023'!$J$4:$J$1074,V$1)</f>
        <v>0</v>
      </c>
      <c r="W30" s="198">
        <f>SUMIFS('октябрь 2023'!$G$4:$G$1074,'октябрь 2023'!$D$4:$D$1074,$B30,'октябрь 2023'!$J$4:$J$1074,W$1)</f>
        <v>0</v>
      </c>
      <c r="X30" s="198">
        <f>SUMIFS('октябрь 2023'!$G$4:$G$1074,'октябрь 2023'!$D$4:$D$1074,$B30,'октябрь 2023'!$J$4:$J$1074,X$1)</f>
        <v>0</v>
      </c>
      <c r="Y30" s="198">
        <f>SUMIFS('октябрь 2023'!$G$4:$G$1074,'октябрь 2023'!$D$4:$D$1074,$B30,'октябрь 2023'!$J$4:$J$1074,Y$1)</f>
        <v>0</v>
      </c>
      <c r="Z30" s="198">
        <f>SUMIFS('октябрь 2023'!$G$4:$G$1074,'октябрь 2023'!$D$4:$D$1074,$B30,'октябрь 2023'!$J$4:$J$1074,Z$1)</f>
        <v>0</v>
      </c>
      <c r="AA30" s="198">
        <f>SUMIFS('октябрь 2023'!$G$4:$G$1074,'октябрь 2023'!$D$4:$D$1074,$B30,'октябрь 2023'!$J$4:$J$1074,AA$1)</f>
        <v>0</v>
      </c>
      <c r="AB30" s="198">
        <f>SUMIFS('октябрь 2023'!$G$4:$G$1074,'октябрь 2023'!$D$4:$D$1074,$B30,'октябрь 2023'!$J$4:$J$1074,AB$1)</f>
        <v>0</v>
      </c>
      <c r="AC30" s="198">
        <f>SUMIFS('октябрь 2023'!$G$4:$G$1074,'октябрь 2023'!$D$4:$D$1074,$B30,'октябрь 2023'!$J$4:$J$1074,AC$1)</f>
        <v>0</v>
      </c>
      <c r="AD30" s="198">
        <f>SUMIFS('октябрь 2023'!$G$4:$G$1074,'октябрь 2023'!$D$4:$D$1074,$B30,'октябрь 2023'!$J$4:$J$1074,AD$1)</f>
        <v>0</v>
      </c>
      <c r="AE30" s="198">
        <f>SUMIFS('октябрь 2023'!$G$4:$G$1074,'октябрь 2023'!$D$4:$D$1074,$B30,'октябрь 2023'!$J$4:$J$1074,AE$1)</f>
        <v>0</v>
      </c>
      <c r="AF30" s="198">
        <f>SUMIFS('октябрь 2023'!$G$4:$G$1074,'октябрь 2023'!$D$4:$D$1074,$B30,'октябрь 2023'!$J$4:$J$1074,AF$1)</f>
        <v>0</v>
      </c>
      <c r="AG30" s="198">
        <f>SUMIFS('октябрь 2023'!$G$4:$G$1074,'октябрь 2023'!$D$4:$D$1074,$B30,'октябрь 2023'!$J$4:$J$1074,AG$1)</f>
        <v>0</v>
      </c>
      <c r="AH30" s="198">
        <f>SUMIFS('октябрь 2023'!$G$4:$G$1074,'октябрь 2023'!$D$4:$D$1074,$B30,'октябрь 2023'!$J$4:$J$1074,AH$1)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SUMIFS('октябрь 2023'!$G$4:$G$1074,'октябрь 2023'!$D$4:$D$1074,$B31,'октябрь 2023'!$J$4:$J$1074,D$1)</f>
        <v>0</v>
      </c>
      <c r="E31" s="207">
        <f>SUMIFS('октябрь 2023'!$G$4:$G$1074,'октябрь 2023'!$D$4:$D$1074,$B31,'октябрь 2023'!$J$4:$J$1074,E$1)</f>
        <v>0</v>
      </c>
      <c r="F31" s="207">
        <f>SUMIFS('октябрь 2023'!$G$4:$G$1074,'октябрь 2023'!$D$4:$D$1074,$B31,'октябрь 2023'!$J$4:$J$1074,F$1)</f>
        <v>0</v>
      </c>
      <c r="G31" s="207">
        <f>SUMIFS('октябрь 2023'!$G$4:$G$1074,'октябрь 2023'!$D$4:$D$1074,$B31,'октябрь 2023'!$J$4:$J$1074,G$1)</f>
        <v>0</v>
      </c>
      <c r="H31" s="207">
        <f>SUMIFS('октябрь 2023'!$G$4:$G$1074,'октябрь 2023'!$D$4:$D$1074,$B31,'октябрь 2023'!$J$4:$J$1074,H$1)</f>
        <v>0</v>
      </c>
      <c r="I31" s="207">
        <f>SUMIFS('октябрь 2023'!$G$4:$G$1074,'октябрь 2023'!$D$4:$D$1074,$B31,'октябрь 2023'!$J$4:$J$1074,I$1)</f>
        <v>0</v>
      </c>
      <c r="J31" s="207">
        <f>SUMIFS('октябрь 2023'!$G$4:$G$1074,'октябрь 2023'!$D$4:$D$1074,$B31,'октябрь 2023'!$J$4:$J$1074,J$1)</f>
        <v>0</v>
      </c>
      <c r="K31" s="207">
        <f>SUMIFS('октябрь 2023'!$G$4:$G$1074,'октябрь 2023'!$D$4:$D$1074,$B31,'октябрь 2023'!$J$4:$J$1074,K$1)</f>
        <v>0</v>
      </c>
      <c r="L31" s="207">
        <f>SUMIFS('октябрь 2023'!$G$4:$G$1074,'октябрь 2023'!$D$4:$D$1074,$B31,'октябрь 2023'!$J$4:$J$1074,L$1)</f>
        <v>0</v>
      </c>
      <c r="M31" s="207">
        <f>SUMIFS('октябрь 2023'!$G$4:$G$1074,'октябрь 2023'!$D$4:$D$1074,$B31,'октябрь 2023'!$J$4:$J$1074,M$1)</f>
        <v>0</v>
      </c>
      <c r="N31" s="207">
        <f>SUMIFS('октябрь 2023'!$G$4:$G$1074,'октябрь 2023'!$D$4:$D$1074,$B31,'октябрь 2023'!$J$4:$J$1074,N$1)</f>
        <v>0</v>
      </c>
      <c r="O31" s="207">
        <f>SUMIFS('октябрь 2023'!$G$4:$G$1074,'октябрь 2023'!$D$4:$D$1074,$B31,'октябрь 2023'!$J$4:$J$1074,O$1)</f>
        <v>0</v>
      </c>
      <c r="P31" s="207">
        <f>SUMIFS('октябрь 2023'!$G$4:$G$1074,'октябрь 2023'!$D$4:$D$1074,$B31,'октябрь 2023'!$J$4:$J$1074,P$1)</f>
        <v>0</v>
      </c>
      <c r="Q31" s="207">
        <f>SUMIFS('октябрь 2023'!$G$4:$G$1074,'октябрь 2023'!$D$4:$D$1074,$B31,'октябрь 2023'!$J$4:$J$1074,Q$1)</f>
        <v>0</v>
      </c>
      <c r="R31" s="207">
        <f>SUMIFS('октябрь 2023'!$G$4:$G$1074,'октябрь 2023'!$D$4:$D$1074,$B31,'октябрь 2023'!$J$4:$J$1074,R$1)</f>
        <v>0</v>
      </c>
      <c r="S31" s="207">
        <f>SUMIFS('октябрь 2023'!$G$4:$G$1074,'октябрь 2023'!$D$4:$D$1074,$B31,'октябрь 2023'!$J$4:$J$1074,S$1)</f>
        <v>0</v>
      </c>
      <c r="T31" s="207">
        <f>SUMIFS('октябрь 2023'!$G$4:$G$1074,'октябрь 2023'!$D$4:$D$1074,$B31,'октябрь 2023'!$J$4:$J$1074,T$1)</f>
        <v>0</v>
      </c>
      <c r="U31" s="207">
        <f>SUMIFS('октябрь 2023'!$G$4:$G$1074,'октябрь 2023'!$D$4:$D$1074,$B31,'октябрь 2023'!$J$4:$J$1074,U$1)</f>
        <v>0</v>
      </c>
      <c r="V31" s="207">
        <f>SUMIFS('октябрь 2023'!$G$4:$G$1074,'октябрь 2023'!$D$4:$D$1074,$B31,'октябрь 2023'!$J$4:$J$1074,V$1)</f>
        <v>0</v>
      </c>
      <c r="W31" s="207">
        <f>SUMIFS('октябрь 2023'!$G$4:$G$1074,'октябрь 2023'!$D$4:$D$1074,$B31,'октябрь 2023'!$J$4:$J$1074,W$1)</f>
        <v>0</v>
      </c>
      <c r="X31" s="207">
        <f>SUMIFS('октябрь 2023'!$G$4:$G$1074,'октябрь 2023'!$D$4:$D$1074,$B31,'октябрь 2023'!$J$4:$J$1074,X$1)</f>
        <v>0</v>
      </c>
      <c r="Y31" s="207">
        <f>SUMIFS('октябрь 2023'!$G$4:$G$1074,'октябрь 2023'!$D$4:$D$1074,$B31,'октябрь 2023'!$J$4:$J$1074,Y$1)</f>
        <v>0</v>
      </c>
      <c r="Z31" s="207">
        <f>SUMIFS('октябрь 2023'!$G$4:$G$1074,'октябрь 2023'!$D$4:$D$1074,$B31,'октябрь 2023'!$J$4:$J$1074,Z$1)</f>
        <v>0</v>
      </c>
      <c r="AA31" s="207">
        <f>SUMIFS('октябрь 2023'!$G$4:$G$1074,'октябрь 2023'!$D$4:$D$1074,$B31,'октябрь 2023'!$J$4:$J$1074,AA$1)</f>
        <v>0</v>
      </c>
      <c r="AB31" s="207">
        <f>SUMIFS('октябрь 2023'!$G$4:$G$1074,'октябрь 2023'!$D$4:$D$1074,$B31,'октябрь 2023'!$J$4:$J$1074,AB$1)</f>
        <v>0</v>
      </c>
      <c r="AC31" s="207">
        <f>SUMIFS('октябрь 2023'!$G$4:$G$1074,'октябрь 2023'!$D$4:$D$1074,$B31,'октябрь 2023'!$J$4:$J$1074,AC$1)</f>
        <v>0</v>
      </c>
      <c r="AD31" s="207">
        <f>SUMIFS('октябрь 2023'!$G$4:$G$1074,'октябрь 2023'!$D$4:$D$1074,$B31,'октябрь 2023'!$J$4:$J$1074,AD$1)</f>
        <v>0</v>
      </c>
      <c r="AE31" s="207">
        <f>SUMIFS('октябрь 2023'!$G$4:$G$1074,'октябрь 2023'!$D$4:$D$1074,$B31,'октябрь 2023'!$J$4:$J$1074,AE$1)</f>
        <v>0</v>
      </c>
      <c r="AF31" s="207">
        <f>SUMIFS('октябрь 2023'!$G$4:$G$1074,'октябрь 2023'!$D$4:$D$1074,$B31,'октябрь 2023'!$J$4:$J$1074,AF$1)</f>
        <v>0</v>
      </c>
      <c r="AG31" s="207">
        <f>SUMIFS('октябрь 2023'!$G$4:$G$1074,'октябрь 2023'!$D$4:$D$1074,$B31,'октябрь 2023'!$J$4:$J$1074,AG$1)</f>
        <v>0</v>
      </c>
      <c r="AH31" s="207">
        <f>SUMIFS('октябрь 2023'!$G$4:$G$1074,'октябрь 2023'!$D$4:$D$1074,$B31,'октябрь 2023'!$J$4:$J$1074,AH$1)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SUMIFS('октябрь 2023'!$G$4:$G$1074,'октябрь 2023'!$D$4:$D$1074,$B32,'октябрь 2023'!$J$4:$J$1074,D$1)</f>
        <v>0</v>
      </c>
      <c r="E32" s="207">
        <f>SUMIFS('октябрь 2023'!$G$4:$G$1074,'октябрь 2023'!$D$4:$D$1074,$B32,'октябрь 2023'!$J$4:$J$1074,E$1)</f>
        <v>0</v>
      </c>
      <c r="F32" s="207">
        <f>SUMIFS('октябрь 2023'!$G$4:$G$1074,'октябрь 2023'!$D$4:$D$1074,$B32,'октябрь 2023'!$J$4:$J$1074,F$1)</f>
        <v>0</v>
      </c>
      <c r="G32" s="207">
        <f>SUMIFS('октябрь 2023'!$G$4:$G$1074,'октябрь 2023'!$D$4:$D$1074,$B32,'октябрь 2023'!$J$4:$J$1074,G$1)</f>
        <v>0</v>
      </c>
      <c r="H32" s="207">
        <f>SUMIFS('октябрь 2023'!$G$4:$G$1074,'октябрь 2023'!$D$4:$D$1074,$B32,'октябрь 2023'!$J$4:$J$1074,H$1)</f>
        <v>0</v>
      </c>
      <c r="I32" s="207">
        <f>SUMIFS('октябрь 2023'!$G$4:$G$1074,'октябрь 2023'!$D$4:$D$1074,$B32,'октябрь 2023'!$J$4:$J$1074,I$1)</f>
        <v>0</v>
      </c>
      <c r="J32" s="207">
        <f>SUMIFS('октябрь 2023'!$G$4:$G$1074,'октябрь 2023'!$D$4:$D$1074,$B32,'октябрь 2023'!$J$4:$J$1074,J$1)</f>
        <v>0</v>
      </c>
      <c r="K32" s="207">
        <f>SUMIFS('октябрь 2023'!$G$4:$G$1074,'октябрь 2023'!$D$4:$D$1074,$B32,'октябрь 2023'!$J$4:$J$1074,K$1)</f>
        <v>0</v>
      </c>
      <c r="L32" s="207">
        <f>SUMIFS('октябрь 2023'!$G$4:$G$1074,'октябрь 2023'!$D$4:$D$1074,$B32,'октябрь 2023'!$J$4:$J$1074,L$1)</f>
        <v>0</v>
      </c>
      <c r="M32" s="207">
        <f>SUMIFS('октябрь 2023'!$G$4:$G$1074,'октябрь 2023'!$D$4:$D$1074,$B32,'октябрь 2023'!$J$4:$J$1074,M$1)</f>
        <v>0</v>
      </c>
      <c r="N32" s="207">
        <f>SUMIFS('октябрь 2023'!$G$4:$G$1074,'октябрь 2023'!$D$4:$D$1074,$B32,'октябрь 2023'!$J$4:$J$1074,N$1)</f>
        <v>0</v>
      </c>
      <c r="O32" s="207">
        <f>SUMIFS('октябрь 2023'!$G$4:$G$1074,'октябрь 2023'!$D$4:$D$1074,$B32,'октябрь 2023'!$J$4:$J$1074,O$1)</f>
        <v>0</v>
      </c>
      <c r="P32" s="207">
        <f>SUMIFS('октябрь 2023'!$G$4:$G$1074,'октябрь 2023'!$D$4:$D$1074,$B32,'октябрь 2023'!$J$4:$J$1074,P$1)</f>
        <v>0</v>
      </c>
      <c r="Q32" s="207">
        <f>SUMIFS('октябрь 2023'!$G$4:$G$1074,'октябрь 2023'!$D$4:$D$1074,$B32,'октябрь 2023'!$J$4:$J$1074,Q$1)</f>
        <v>0</v>
      </c>
      <c r="R32" s="207">
        <f>SUMIFS('октябрь 2023'!$G$4:$G$1074,'октябрь 2023'!$D$4:$D$1074,$B32,'октябрь 2023'!$J$4:$J$1074,R$1)</f>
        <v>0</v>
      </c>
      <c r="S32" s="207">
        <f>SUMIFS('октябрь 2023'!$G$4:$G$1074,'октябрь 2023'!$D$4:$D$1074,$B32,'октябрь 2023'!$J$4:$J$1074,S$1)</f>
        <v>0</v>
      </c>
      <c r="T32" s="207">
        <f>SUMIFS('октябрь 2023'!$G$4:$G$1074,'октябрь 2023'!$D$4:$D$1074,$B32,'октябрь 2023'!$J$4:$J$1074,T$1)</f>
        <v>0</v>
      </c>
      <c r="U32" s="207">
        <f>SUMIFS('октябрь 2023'!$G$4:$G$1074,'октябрь 2023'!$D$4:$D$1074,$B32,'октябрь 2023'!$J$4:$J$1074,U$1)</f>
        <v>0</v>
      </c>
      <c r="V32" s="207">
        <f>SUMIFS('октябрь 2023'!$G$4:$G$1074,'октябрь 2023'!$D$4:$D$1074,$B32,'октябрь 2023'!$J$4:$J$1074,V$1)</f>
        <v>0</v>
      </c>
      <c r="W32" s="207">
        <f>SUMIFS('октябрь 2023'!$G$4:$G$1074,'октябрь 2023'!$D$4:$D$1074,$B32,'октябрь 2023'!$J$4:$J$1074,W$1)</f>
        <v>0</v>
      </c>
      <c r="X32" s="207">
        <f>SUMIFS('октябрь 2023'!$G$4:$G$1074,'октябрь 2023'!$D$4:$D$1074,$B32,'октябрь 2023'!$J$4:$J$1074,X$1)</f>
        <v>0</v>
      </c>
      <c r="Y32" s="207">
        <f>SUMIFS('октябрь 2023'!$G$4:$G$1074,'октябрь 2023'!$D$4:$D$1074,$B32,'октябрь 2023'!$J$4:$J$1074,Y$1)</f>
        <v>0</v>
      </c>
      <c r="Z32" s="207">
        <f>SUMIFS('октябрь 2023'!$G$4:$G$1074,'октябрь 2023'!$D$4:$D$1074,$B32,'октябрь 2023'!$J$4:$J$1074,Z$1)</f>
        <v>0</v>
      </c>
      <c r="AA32" s="207">
        <f>SUMIFS('октябрь 2023'!$G$4:$G$1074,'октябрь 2023'!$D$4:$D$1074,$B32,'октябрь 2023'!$J$4:$J$1074,AA$1)</f>
        <v>0</v>
      </c>
      <c r="AB32" s="207">
        <f>SUMIFS('октябрь 2023'!$G$4:$G$1074,'октябрь 2023'!$D$4:$D$1074,$B32,'октябрь 2023'!$J$4:$J$1074,AB$1)</f>
        <v>0</v>
      </c>
      <c r="AC32" s="207">
        <f>SUMIFS('октябрь 2023'!$G$4:$G$1074,'октябрь 2023'!$D$4:$D$1074,$B32,'октябрь 2023'!$J$4:$J$1074,AC$1)</f>
        <v>0</v>
      </c>
      <c r="AD32" s="207">
        <f>SUMIFS('октябрь 2023'!$G$4:$G$1074,'октябрь 2023'!$D$4:$D$1074,$B32,'октябрь 2023'!$J$4:$J$1074,AD$1)</f>
        <v>0</v>
      </c>
      <c r="AE32" s="207">
        <f>SUMIFS('октябрь 2023'!$G$4:$G$1074,'октябрь 2023'!$D$4:$D$1074,$B32,'октябрь 2023'!$J$4:$J$1074,AE$1)</f>
        <v>0</v>
      </c>
      <c r="AF32" s="207">
        <f>SUMIFS('октябрь 2023'!$G$4:$G$1074,'октябрь 2023'!$D$4:$D$1074,$B32,'октябрь 2023'!$J$4:$J$1074,AF$1)</f>
        <v>0</v>
      </c>
      <c r="AG32" s="207">
        <f>SUMIFS('октябрь 2023'!$G$4:$G$1074,'октябрь 2023'!$D$4:$D$1074,$B32,'октябрь 2023'!$J$4:$J$1074,AG$1)</f>
        <v>0</v>
      </c>
      <c r="AH32" s="207">
        <f>SUMIFS('октябрь 2023'!$G$4:$G$1074,'октябрь 2023'!$D$4:$D$1074,$B32,'октябрь 2023'!$J$4:$J$1074,AH$1)</f>
        <v>0</v>
      </c>
      <c r="AI32" s="170">
        <f t="shared" si="1"/>
        <v>0</v>
      </c>
    </row>
    <row r="33" spans="2:35" ht="15" customHeight="1" x14ac:dyDescent="0.25">
      <c r="B33" s="209" t="s">
        <v>1344</v>
      </c>
      <c r="C33" s="206">
        <v>20</v>
      </c>
      <c r="D33" s="207">
        <f>SUMIFS('октябрь 2023'!$G$4:$G$1074,'октябрь 2023'!$D$4:$D$1074,$B33,'октябрь 2023'!$J$4:$J$1074,D$1)</f>
        <v>0</v>
      </c>
      <c r="E33" s="207">
        <f>SUMIFS('октябрь 2023'!$G$4:$G$1074,'октябрь 2023'!$D$4:$D$1074,$B33,'октябрь 2023'!$J$4:$J$1074,E$1)</f>
        <v>0</v>
      </c>
      <c r="F33" s="207">
        <f>SUMIFS('октябрь 2023'!$G$4:$G$1074,'октябрь 2023'!$D$4:$D$1074,$B33,'октябрь 2023'!$J$4:$J$1074,F$1)</f>
        <v>0</v>
      </c>
      <c r="G33" s="207">
        <f>SUMIFS('октябрь 2023'!$G$4:$G$1074,'октябрь 2023'!$D$4:$D$1074,$B33,'октябрь 2023'!$J$4:$J$1074,G$1)</f>
        <v>0</v>
      </c>
      <c r="H33" s="207">
        <f>SUMIFS('октябрь 2023'!$G$4:$G$1074,'октябрь 2023'!$D$4:$D$1074,$B33,'октябрь 2023'!$J$4:$J$1074,H$1)</f>
        <v>0</v>
      </c>
      <c r="I33" s="207">
        <f>SUMIFS('октябрь 2023'!$G$4:$G$1074,'октябрь 2023'!$D$4:$D$1074,$B33,'октябрь 2023'!$J$4:$J$1074,I$1)</f>
        <v>0</v>
      </c>
      <c r="J33" s="207">
        <f>SUMIFS('октябрь 2023'!$G$4:$G$1074,'октябрь 2023'!$D$4:$D$1074,$B33,'октябрь 2023'!$J$4:$J$1074,J$1)</f>
        <v>0</v>
      </c>
      <c r="K33" s="207">
        <f>SUMIFS('октябрь 2023'!$G$4:$G$1074,'октябрь 2023'!$D$4:$D$1074,$B33,'октябрь 2023'!$J$4:$J$1074,K$1)</f>
        <v>0</v>
      </c>
      <c r="L33" s="207">
        <f>SUMIFS('октябрь 2023'!$G$4:$G$1074,'октябрь 2023'!$D$4:$D$1074,$B33,'октябрь 2023'!$J$4:$J$1074,L$1)</f>
        <v>0</v>
      </c>
      <c r="M33" s="207">
        <f>SUMIFS('октябрь 2023'!$G$4:$G$1074,'октябрь 2023'!$D$4:$D$1074,$B33,'октябрь 2023'!$J$4:$J$1074,M$1)</f>
        <v>0</v>
      </c>
      <c r="N33" s="207">
        <f>SUMIFS('октябрь 2023'!$G$4:$G$1074,'октябрь 2023'!$D$4:$D$1074,$B33,'октябрь 2023'!$J$4:$J$1074,N$1)</f>
        <v>0</v>
      </c>
      <c r="O33" s="207">
        <f>SUMIFS('октябрь 2023'!$G$4:$G$1074,'октябрь 2023'!$D$4:$D$1074,$B33,'октябрь 2023'!$J$4:$J$1074,O$1)</f>
        <v>0</v>
      </c>
      <c r="P33" s="207">
        <f>SUMIFS('октябрь 2023'!$G$4:$G$1074,'октябрь 2023'!$D$4:$D$1074,$B33,'октябрь 2023'!$J$4:$J$1074,P$1)</f>
        <v>0</v>
      </c>
      <c r="Q33" s="207">
        <f>SUMIFS('октябрь 2023'!$G$4:$G$1074,'октябрь 2023'!$D$4:$D$1074,$B33,'октябрь 2023'!$J$4:$J$1074,Q$1)</f>
        <v>0</v>
      </c>
      <c r="R33" s="207">
        <f>SUMIFS('октябрь 2023'!$G$4:$G$1074,'октябрь 2023'!$D$4:$D$1074,$B33,'октябрь 2023'!$J$4:$J$1074,R$1)</f>
        <v>0</v>
      </c>
      <c r="S33" s="207">
        <f>SUMIFS('октябрь 2023'!$G$4:$G$1074,'октябрь 2023'!$D$4:$D$1074,$B33,'октябрь 2023'!$J$4:$J$1074,S$1)</f>
        <v>0</v>
      </c>
      <c r="T33" s="207">
        <f>SUMIFS('октябрь 2023'!$G$4:$G$1074,'октябрь 2023'!$D$4:$D$1074,$B33,'октябрь 2023'!$J$4:$J$1074,T$1)</f>
        <v>0</v>
      </c>
      <c r="U33" s="207">
        <f>SUMIFS('октябрь 2023'!$G$4:$G$1074,'октябрь 2023'!$D$4:$D$1074,$B33,'октябрь 2023'!$J$4:$J$1074,U$1)</f>
        <v>0</v>
      </c>
      <c r="V33" s="207">
        <f>SUMIFS('октябрь 2023'!$G$4:$G$1074,'октябрь 2023'!$D$4:$D$1074,$B33,'октябрь 2023'!$J$4:$J$1074,V$1)</f>
        <v>0</v>
      </c>
      <c r="W33" s="207">
        <f>SUMIFS('октябрь 2023'!$G$4:$G$1074,'октябрь 2023'!$D$4:$D$1074,$B33,'октябрь 2023'!$J$4:$J$1074,W$1)</f>
        <v>0</v>
      </c>
      <c r="X33" s="207">
        <f>SUMIFS('октябрь 2023'!$G$4:$G$1074,'октябрь 2023'!$D$4:$D$1074,$B33,'октябрь 2023'!$J$4:$J$1074,X$1)</f>
        <v>0</v>
      </c>
      <c r="Y33" s="207">
        <f>SUMIFS('октябрь 2023'!$G$4:$G$1074,'октябрь 2023'!$D$4:$D$1074,$B33,'октябрь 2023'!$J$4:$J$1074,Y$1)</f>
        <v>0</v>
      </c>
      <c r="Z33" s="207">
        <f>SUMIFS('октябрь 2023'!$G$4:$G$1074,'октябрь 2023'!$D$4:$D$1074,$B33,'октябрь 2023'!$J$4:$J$1074,Z$1)</f>
        <v>0</v>
      </c>
      <c r="AA33" s="207">
        <f>SUMIFS('октябрь 2023'!$G$4:$G$1074,'октябрь 2023'!$D$4:$D$1074,$B33,'октябрь 2023'!$J$4:$J$1074,AA$1)</f>
        <v>0</v>
      </c>
      <c r="AB33" s="207">
        <f>SUMIFS('октябрь 2023'!$G$4:$G$1074,'октябрь 2023'!$D$4:$D$1074,$B33,'октябрь 2023'!$J$4:$J$1074,AB$1)</f>
        <v>0</v>
      </c>
      <c r="AC33" s="207">
        <f>SUMIFS('октябрь 2023'!$G$4:$G$1074,'октябрь 2023'!$D$4:$D$1074,$B33,'октябрь 2023'!$J$4:$J$1074,AC$1)</f>
        <v>0</v>
      </c>
      <c r="AD33" s="207">
        <f>SUMIFS('октябрь 2023'!$G$4:$G$1074,'октябрь 2023'!$D$4:$D$1074,$B33,'октябрь 2023'!$J$4:$J$1074,AD$1)</f>
        <v>0</v>
      </c>
      <c r="AE33" s="207">
        <f>SUMIFS('октябрь 2023'!$G$4:$G$1074,'октябрь 2023'!$D$4:$D$1074,$B33,'октябрь 2023'!$J$4:$J$1074,AE$1)</f>
        <v>0</v>
      </c>
      <c r="AF33" s="207">
        <f>SUMIFS('октябрь 2023'!$G$4:$G$1074,'октябрь 2023'!$D$4:$D$1074,$B33,'октябрь 2023'!$J$4:$J$1074,AF$1)</f>
        <v>0</v>
      </c>
      <c r="AG33" s="207">
        <f>SUMIFS('октябрь 2023'!$G$4:$G$1074,'октябрь 2023'!$D$4:$D$1074,$B33,'октябрь 2023'!$J$4:$J$1074,AG$1)</f>
        <v>0</v>
      </c>
      <c r="AH33" s="207">
        <f>SUMIFS('октябрь 2023'!$G$4:$G$1074,'октябрь 2023'!$D$4:$D$1074,$B33,'октябрь 2023'!$J$4:$J$1074,AH$1)</f>
        <v>0</v>
      </c>
      <c r="AI33" s="170">
        <f t="shared" si="1"/>
        <v>0</v>
      </c>
    </row>
    <row r="34" spans="2:35" ht="15" customHeight="1" x14ac:dyDescent="0.25">
      <c r="B34" s="210" t="s">
        <v>754</v>
      </c>
      <c r="C34" s="211">
        <v>20</v>
      </c>
      <c r="D34" s="207">
        <f>SUMIFS('октябрь 2023'!$G$4:$G$1074,'октябрь 2023'!$D$4:$D$1074,$B34,'октябрь 2023'!$J$4:$J$1074,D$1)</f>
        <v>0</v>
      </c>
      <c r="E34" s="207">
        <f>SUMIFS('октябрь 2023'!$G$4:$G$1074,'октябрь 2023'!$D$4:$D$1074,$B34,'октябрь 2023'!$J$4:$J$1074,E$1)</f>
        <v>0</v>
      </c>
      <c r="F34" s="207">
        <f>SUMIFS('октябрь 2023'!$G$4:$G$1074,'октябрь 2023'!$D$4:$D$1074,$B34,'октябрь 2023'!$J$4:$J$1074,F$1)</f>
        <v>0</v>
      </c>
      <c r="G34" s="207">
        <f>SUMIFS('октябрь 2023'!$G$4:$G$1074,'октябрь 2023'!$D$4:$D$1074,$B34,'октябрь 2023'!$J$4:$J$1074,G$1)</f>
        <v>0</v>
      </c>
      <c r="H34" s="207">
        <f>SUMIFS('октябрь 2023'!$G$4:$G$1074,'октябрь 2023'!$D$4:$D$1074,$B34,'октябрь 2023'!$J$4:$J$1074,H$1)</f>
        <v>0</v>
      </c>
      <c r="I34" s="207">
        <f>SUMIFS('октябрь 2023'!$G$4:$G$1074,'октябрь 2023'!$D$4:$D$1074,$B34,'октябрь 2023'!$J$4:$J$1074,I$1)</f>
        <v>0</v>
      </c>
      <c r="J34" s="207">
        <f>SUMIFS('октябрь 2023'!$G$4:$G$1074,'октябрь 2023'!$D$4:$D$1074,$B34,'октябрь 2023'!$J$4:$J$1074,J$1)</f>
        <v>0</v>
      </c>
      <c r="K34" s="207">
        <f>SUMIFS('октябрь 2023'!$G$4:$G$1074,'октябрь 2023'!$D$4:$D$1074,$B34,'октябрь 2023'!$J$4:$J$1074,K$1)</f>
        <v>0</v>
      </c>
      <c r="L34" s="207">
        <f>SUMIFS('октябрь 2023'!$G$4:$G$1074,'октябрь 2023'!$D$4:$D$1074,$B34,'октябрь 2023'!$J$4:$J$1074,L$1)</f>
        <v>0</v>
      </c>
      <c r="M34" s="207">
        <f>SUMIFS('октябрь 2023'!$G$4:$G$1074,'октябрь 2023'!$D$4:$D$1074,$B34,'октябрь 2023'!$J$4:$J$1074,M$1)</f>
        <v>0</v>
      </c>
      <c r="N34" s="207">
        <f>SUMIFS('октябрь 2023'!$G$4:$G$1074,'октябрь 2023'!$D$4:$D$1074,$B34,'октябрь 2023'!$J$4:$J$1074,N$1)</f>
        <v>0</v>
      </c>
      <c r="O34" s="207">
        <f>SUMIFS('октябрь 2023'!$G$4:$G$1074,'октябрь 2023'!$D$4:$D$1074,$B34,'октябрь 2023'!$J$4:$J$1074,O$1)</f>
        <v>0</v>
      </c>
      <c r="P34" s="207">
        <f>SUMIFS('октябрь 2023'!$G$4:$G$1074,'октябрь 2023'!$D$4:$D$1074,$B34,'октябрь 2023'!$J$4:$J$1074,P$1)</f>
        <v>0</v>
      </c>
      <c r="Q34" s="207">
        <f>SUMIFS('октябрь 2023'!$G$4:$G$1074,'октябрь 2023'!$D$4:$D$1074,$B34,'октябрь 2023'!$J$4:$J$1074,Q$1)</f>
        <v>0</v>
      </c>
      <c r="R34" s="207">
        <f>SUMIFS('октябрь 2023'!$G$4:$G$1074,'октябрь 2023'!$D$4:$D$1074,$B34,'октябрь 2023'!$J$4:$J$1074,R$1)</f>
        <v>0</v>
      </c>
      <c r="S34" s="207">
        <f>SUMIFS('октябрь 2023'!$G$4:$G$1074,'октябрь 2023'!$D$4:$D$1074,$B34,'октябрь 2023'!$J$4:$J$1074,S$1)</f>
        <v>0</v>
      </c>
      <c r="T34" s="207">
        <f>SUMIFS('октябрь 2023'!$G$4:$G$1074,'октябрь 2023'!$D$4:$D$1074,$B34,'октябрь 2023'!$J$4:$J$1074,T$1)</f>
        <v>0</v>
      </c>
      <c r="U34" s="207">
        <f>SUMIFS('октябрь 2023'!$G$4:$G$1074,'октябрь 2023'!$D$4:$D$1074,$B34,'октябрь 2023'!$J$4:$J$1074,U$1)</f>
        <v>0</v>
      </c>
      <c r="V34" s="207">
        <f>SUMIFS('октябрь 2023'!$G$4:$G$1074,'октябрь 2023'!$D$4:$D$1074,$B34,'октябрь 2023'!$J$4:$J$1074,V$1)</f>
        <v>0</v>
      </c>
      <c r="W34" s="207">
        <f>SUMIFS('октябрь 2023'!$G$4:$G$1074,'октябрь 2023'!$D$4:$D$1074,$B34,'октябрь 2023'!$J$4:$J$1074,W$1)</f>
        <v>0</v>
      </c>
      <c r="X34" s="207">
        <f>SUMIFS('октябрь 2023'!$G$4:$G$1074,'октябрь 2023'!$D$4:$D$1074,$B34,'октябрь 2023'!$J$4:$J$1074,X$1)</f>
        <v>0</v>
      </c>
      <c r="Y34" s="207">
        <f>SUMIFS('октябрь 2023'!$G$4:$G$1074,'октябрь 2023'!$D$4:$D$1074,$B34,'октябрь 2023'!$J$4:$J$1074,Y$1)</f>
        <v>0</v>
      </c>
      <c r="Z34" s="207">
        <f>SUMIFS('октябрь 2023'!$G$4:$G$1074,'октябрь 2023'!$D$4:$D$1074,$B34,'октябрь 2023'!$J$4:$J$1074,Z$1)</f>
        <v>0</v>
      </c>
      <c r="AA34" s="207">
        <f>SUMIFS('октябрь 2023'!$G$4:$G$1074,'октябрь 2023'!$D$4:$D$1074,$B34,'октябрь 2023'!$J$4:$J$1074,AA$1)</f>
        <v>0</v>
      </c>
      <c r="AB34" s="207">
        <f>SUMIFS('октябрь 2023'!$G$4:$G$1074,'октябрь 2023'!$D$4:$D$1074,$B34,'октябрь 2023'!$J$4:$J$1074,AB$1)</f>
        <v>0</v>
      </c>
      <c r="AC34" s="207">
        <f>SUMIFS('октябрь 2023'!$G$4:$G$1074,'октябрь 2023'!$D$4:$D$1074,$B34,'октябрь 2023'!$J$4:$J$1074,AC$1)</f>
        <v>0</v>
      </c>
      <c r="AD34" s="207">
        <f>SUMIFS('октябрь 2023'!$G$4:$G$1074,'октябрь 2023'!$D$4:$D$1074,$B34,'октябрь 2023'!$J$4:$J$1074,AD$1)</f>
        <v>0</v>
      </c>
      <c r="AE34" s="207">
        <f>SUMIFS('октябрь 2023'!$G$4:$G$1074,'октябрь 2023'!$D$4:$D$1074,$B34,'октябрь 2023'!$J$4:$J$1074,AE$1)</f>
        <v>0</v>
      </c>
      <c r="AF34" s="207">
        <f>SUMIFS('октябрь 2023'!$G$4:$G$1074,'октябрь 2023'!$D$4:$D$1074,$B34,'октябрь 2023'!$J$4:$J$1074,AF$1)</f>
        <v>0</v>
      </c>
      <c r="AG34" s="207">
        <f>SUMIFS('октябрь 2023'!$G$4:$G$1074,'октябрь 2023'!$D$4:$D$1074,$B34,'октябрь 2023'!$J$4:$J$1074,AG$1)</f>
        <v>0</v>
      </c>
      <c r="AH34" s="207">
        <f>SUMIFS('октябрь 2023'!$G$4:$G$1074,'октябрь 2023'!$D$4:$D$1074,$B34,'октябрь 2023'!$J$4:$J$1074,AH$1)</f>
        <v>0</v>
      </c>
      <c r="AI34" s="170">
        <f t="shared" si="1"/>
        <v>0</v>
      </c>
    </row>
    <row r="35" spans="2:35" ht="15" customHeight="1" x14ac:dyDescent="0.25">
      <c r="B35" s="212" t="s">
        <v>1256</v>
      </c>
      <c r="C35" s="213">
        <v>22.68</v>
      </c>
      <c r="D35" s="207">
        <f>SUMIFS('октябрь 2023'!$G$4:$G$1074,'октябрь 2023'!$D$4:$D$1074,$B35,'октябрь 2023'!$J$4:$J$1074,D$1)</f>
        <v>0</v>
      </c>
      <c r="E35" s="207">
        <f>SUMIFS('октябрь 2023'!$G$4:$G$1074,'октябрь 2023'!$D$4:$D$1074,$B35,'октябрь 2023'!$J$4:$J$1074,E$1)</f>
        <v>0</v>
      </c>
      <c r="F35" s="207">
        <f>SUMIFS('октябрь 2023'!$G$4:$G$1074,'октябрь 2023'!$D$4:$D$1074,$B35,'октябрь 2023'!$J$4:$J$1074,F$1)</f>
        <v>0</v>
      </c>
      <c r="G35" s="207">
        <f>SUMIFS('октябрь 2023'!$G$4:$G$1074,'октябрь 2023'!$D$4:$D$1074,$B35,'октябрь 2023'!$J$4:$J$1074,G$1)</f>
        <v>0</v>
      </c>
      <c r="H35" s="207">
        <f>SUMIFS('октябрь 2023'!$G$4:$G$1074,'октябрь 2023'!$D$4:$D$1074,$B35,'октябрь 2023'!$J$4:$J$1074,H$1)</f>
        <v>0</v>
      </c>
      <c r="I35" s="207">
        <f>SUMIFS('октябрь 2023'!$G$4:$G$1074,'октябрь 2023'!$D$4:$D$1074,$B35,'октябрь 2023'!$J$4:$J$1074,I$1)</f>
        <v>0</v>
      </c>
      <c r="J35" s="207">
        <f>SUMIFS('октябрь 2023'!$G$4:$G$1074,'октябрь 2023'!$D$4:$D$1074,$B35,'октябрь 2023'!$J$4:$J$1074,J$1)</f>
        <v>0</v>
      </c>
      <c r="K35" s="207">
        <f>SUMIFS('октябрь 2023'!$G$4:$G$1074,'октябрь 2023'!$D$4:$D$1074,$B35,'октябрь 2023'!$J$4:$J$1074,K$1)</f>
        <v>0</v>
      </c>
      <c r="L35" s="207">
        <f>SUMIFS('октябрь 2023'!$G$4:$G$1074,'октябрь 2023'!$D$4:$D$1074,$B35,'октябрь 2023'!$J$4:$J$1074,L$1)</f>
        <v>0</v>
      </c>
      <c r="M35" s="207">
        <f>SUMIFS('октябрь 2023'!$G$4:$G$1074,'октябрь 2023'!$D$4:$D$1074,$B35,'октябрь 2023'!$J$4:$J$1074,M$1)</f>
        <v>0</v>
      </c>
      <c r="N35" s="207">
        <f>SUMIFS('октябрь 2023'!$G$4:$G$1074,'октябрь 2023'!$D$4:$D$1074,$B35,'октябрь 2023'!$J$4:$J$1074,N$1)</f>
        <v>0</v>
      </c>
      <c r="O35" s="207">
        <f>SUMIFS('октябрь 2023'!$G$4:$G$1074,'октябрь 2023'!$D$4:$D$1074,$B35,'октябрь 2023'!$J$4:$J$1074,O$1)</f>
        <v>0</v>
      </c>
      <c r="P35" s="207">
        <f>SUMIFS('октябрь 2023'!$G$4:$G$1074,'октябрь 2023'!$D$4:$D$1074,$B35,'октябрь 2023'!$J$4:$J$1074,P$1)</f>
        <v>0</v>
      </c>
      <c r="Q35" s="207">
        <f>SUMIFS('октябрь 2023'!$G$4:$G$1074,'октябрь 2023'!$D$4:$D$1074,$B35,'октябрь 2023'!$J$4:$J$1074,Q$1)</f>
        <v>0</v>
      </c>
      <c r="R35" s="207">
        <f>SUMIFS('октябрь 2023'!$G$4:$G$1074,'октябрь 2023'!$D$4:$D$1074,$B35,'октябрь 2023'!$J$4:$J$1074,R$1)</f>
        <v>0</v>
      </c>
      <c r="S35" s="207">
        <f>SUMIFS('октябрь 2023'!$G$4:$G$1074,'октябрь 2023'!$D$4:$D$1074,$B35,'октябрь 2023'!$J$4:$J$1074,S$1)</f>
        <v>0</v>
      </c>
      <c r="T35" s="207">
        <f>SUMIFS('октябрь 2023'!$G$4:$G$1074,'октябрь 2023'!$D$4:$D$1074,$B35,'октябрь 2023'!$J$4:$J$1074,T$1)</f>
        <v>0</v>
      </c>
      <c r="U35" s="207">
        <f>SUMIFS('октябрь 2023'!$G$4:$G$1074,'октябрь 2023'!$D$4:$D$1074,$B35,'октябрь 2023'!$J$4:$J$1074,U$1)</f>
        <v>0</v>
      </c>
      <c r="V35" s="207">
        <f>SUMIFS('октябрь 2023'!$G$4:$G$1074,'октябрь 2023'!$D$4:$D$1074,$B35,'октябрь 2023'!$J$4:$J$1074,V$1)</f>
        <v>0</v>
      </c>
      <c r="W35" s="207">
        <f>SUMIFS('октябрь 2023'!$G$4:$G$1074,'октябрь 2023'!$D$4:$D$1074,$B35,'октябрь 2023'!$J$4:$J$1074,W$1)</f>
        <v>0</v>
      </c>
      <c r="X35" s="207">
        <f>SUMIFS('октябрь 2023'!$G$4:$G$1074,'октябрь 2023'!$D$4:$D$1074,$B35,'октябрь 2023'!$J$4:$J$1074,X$1)</f>
        <v>0</v>
      </c>
      <c r="Y35" s="207">
        <f>SUMIFS('октябрь 2023'!$G$4:$G$1074,'октябрь 2023'!$D$4:$D$1074,$B35,'октябрь 2023'!$J$4:$J$1074,Y$1)</f>
        <v>0</v>
      </c>
      <c r="Z35" s="207">
        <f>SUMIFS('октябрь 2023'!$G$4:$G$1074,'октябрь 2023'!$D$4:$D$1074,$B35,'октябрь 2023'!$J$4:$J$1074,Z$1)</f>
        <v>0</v>
      </c>
      <c r="AA35" s="207">
        <f>SUMIFS('октябрь 2023'!$G$4:$G$1074,'октябрь 2023'!$D$4:$D$1074,$B35,'октябрь 2023'!$J$4:$J$1074,AA$1)</f>
        <v>0</v>
      </c>
      <c r="AB35" s="207">
        <f>SUMIFS('октябрь 2023'!$G$4:$G$1074,'октябрь 2023'!$D$4:$D$1074,$B35,'октябрь 2023'!$J$4:$J$1074,AB$1)</f>
        <v>0</v>
      </c>
      <c r="AC35" s="207">
        <f>SUMIFS('октябрь 2023'!$G$4:$G$1074,'октябрь 2023'!$D$4:$D$1074,$B35,'октябрь 2023'!$J$4:$J$1074,AC$1)</f>
        <v>0</v>
      </c>
      <c r="AD35" s="207">
        <f>SUMIFS('октябрь 2023'!$G$4:$G$1074,'октябрь 2023'!$D$4:$D$1074,$B35,'октябрь 2023'!$J$4:$J$1074,AD$1)</f>
        <v>0</v>
      </c>
      <c r="AE35" s="207">
        <f>SUMIFS('октябрь 2023'!$G$4:$G$1074,'октябрь 2023'!$D$4:$D$1074,$B35,'октябрь 2023'!$J$4:$J$1074,AE$1)</f>
        <v>0</v>
      </c>
      <c r="AF35" s="207">
        <f>SUMIFS('октябрь 2023'!$G$4:$G$1074,'октябрь 2023'!$D$4:$D$1074,$B35,'октябрь 2023'!$J$4:$J$1074,AF$1)</f>
        <v>0</v>
      </c>
      <c r="AG35" s="207">
        <f>SUMIFS('октябрь 2023'!$G$4:$G$1074,'октябрь 2023'!$D$4:$D$1074,$B35,'октябрь 2023'!$J$4:$J$1074,AG$1)</f>
        <v>0</v>
      </c>
      <c r="AH35" s="207">
        <f>SUMIFS('октябрь 2023'!$G$4:$G$1074,'октябрь 2023'!$D$4:$D$1074,$B35,'октябрь 2023'!$J$4:$J$1074,AH$1)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4">
        <v>22.68</v>
      </c>
      <c r="D36" s="207">
        <f>SUMIFS('октябрь 2023'!$G$4:$G$1074,'октябрь 2023'!$D$4:$D$1074,$B36,'октябрь 2023'!$J$4:$J$1074,D$1)</f>
        <v>0</v>
      </c>
      <c r="E36" s="207">
        <f>SUMIFS('октябрь 2023'!$G$4:$G$1074,'октябрь 2023'!$D$4:$D$1074,$B36,'октябрь 2023'!$J$4:$J$1074,E$1)</f>
        <v>0</v>
      </c>
      <c r="F36" s="207">
        <f>SUMIFS('октябрь 2023'!$G$4:$G$1074,'октябрь 2023'!$D$4:$D$1074,$B36,'октябрь 2023'!$J$4:$J$1074,F$1)</f>
        <v>0</v>
      </c>
      <c r="G36" s="207">
        <f>SUMIFS('октябрь 2023'!$G$4:$G$1074,'октябрь 2023'!$D$4:$D$1074,$B36,'октябрь 2023'!$J$4:$J$1074,G$1)</f>
        <v>0</v>
      </c>
      <c r="H36" s="207">
        <f>SUMIFS('октябрь 2023'!$G$4:$G$1074,'октябрь 2023'!$D$4:$D$1074,$B36,'октябрь 2023'!$J$4:$J$1074,H$1)</f>
        <v>0</v>
      </c>
      <c r="I36" s="207">
        <f>SUMIFS('октябрь 2023'!$G$4:$G$1074,'октябрь 2023'!$D$4:$D$1074,$B36,'октябрь 2023'!$J$4:$J$1074,I$1)</f>
        <v>0</v>
      </c>
      <c r="J36" s="207">
        <f>SUMIFS('октябрь 2023'!$G$4:$G$1074,'октябрь 2023'!$D$4:$D$1074,$B36,'октябрь 2023'!$J$4:$J$1074,J$1)</f>
        <v>0</v>
      </c>
      <c r="K36" s="207">
        <f>SUMIFS('октябрь 2023'!$G$4:$G$1074,'октябрь 2023'!$D$4:$D$1074,$B36,'октябрь 2023'!$J$4:$J$1074,K$1)</f>
        <v>0</v>
      </c>
      <c r="L36" s="207">
        <f>SUMIFS('октябрь 2023'!$G$4:$G$1074,'октябрь 2023'!$D$4:$D$1074,$B36,'октябрь 2023'!$J$4:$J$1074,L$1)</f>
        <v>0</v>
      </c>
      <c r="M36" s="207">
        <f>SUMIFS('октябрь 2023'!$G$4:$G$1074,'октябрь 2023'!$D$4:$D$1074,$B36,'октябрь 2023'!$J$4:$J$1074,M$1)</f>
        <v>0</v>
      </c>
      <c r="N36" s="207">
        <f>SUMIFS('октябрь 2023'!$G$4:$G$1074,'октябрь 2023'!$D$4:$D$1074,$B36,'октябрь 2023'!$J$4:$J$1074,N$1)</f>
        <v>0</v>
      </c>
      <c r="O36" s="207">
        <f>SUMIFS('октябрь 2023'!$G$4:$G$1074,'октябрь 2023'!$D$4:$D$1074,$B36,'октябрь 2023'!$J$4:$J$1074,O$1)</f>
        <v>0</v>
      </c>
      <c r="P36" s="207">
        <f>SUMIFS('октябрь 2023'!$G$4:$G$1074,'октябрь 2023'!$D$4:$D$1074,$B36,'октябрь 2023'!$J$4:$J$1074,P$1)</f>
        <v>0</v>
      </c>
      <c r="Q36" s="207">
        <f>SUMIFS('октябрь 2023'!$G$4:$G$1074,'октябрь 2023'!$D$4:$D$1074,$B36,'октябрь 2023'!$J$4:$J$1074,Q$1)</f>
        <v>0</v>
      </c>
      <c r="R36" s="207">
        <f>SUMIFS('октябрь 2023'!$G$4:$G$1074,'октябрь 2023'!$D$4:$D$1074,$B36,'октябрь 2023'!$J$4:$J$1074,R$1)</f>
        <v>0</v>
      </c>
      <c r="S36" s="207">
        <f>SUMIFS('октябрь 2023'!$G$4:$G$1074,'октябрь 2023'!$D$4:$D$1074,$B36,'октябрь 2023'!$J$4:$J$1074,S$1)</f>
        <v>0</v>
      </c>
      <c r="T36" s="207">
        <f>SUMIFS('октябрь 2023'!$G$4:$G$1074,'октябрь 2023'!$D$4:$D$1074,$B36,'октябрь 2023'!$J$4:$J$1074,T$1)</f>
        <v>0</v>
      </c>
      <c r="U36" s="207">
        <f>SUMIFS('октябрь 2023'!$G$4:$G$1074,'октябрь 2023'!$D$4:$D$1074,$B36,'октябрь 2023'!$J$4:$J$1074,U$1)</f>
        <v>0</v>
      </c>
      <c r="V36" s="207">
        <f>SUMIFS('октябрь 2023'!$G$4:$G$1074,'октябрь 2023'!$D$4:$D$1074,$B36,'октябрь 2023'!$J$4:$J$1074,V$1)</f>
        <v>0</v>
      </c>
      <c r="W36" s="207">
        <f>SUMIFS('октябрь 2023'!$G$4:$G$1074,'октябрь 2023'!$D$4:$D$1074,$B36,'октябрь 2023'!$J$4:$J$1074,W$1)</f>
        <v>0</v>
      </c>
      <c r="X36" s="207">
        <f>SUMIFS('октябрь 2023'!$G$4:$G$1074,'октябрь 2023'!$D$4:$D$1074,$B36,'октябрь 2023'!$J$4:$J$1074,X$1)</f>
        <v>0</v>
      </c>
      <c r="Y36" s="207">
        <f>SUMIFS('октябрь 2023'!$G$4:$G$1074,'октябрь 2023'!$D$4:$D$1074,$B36,'октябрь 2023'!$J$4:$J$1074,Y$1)</f>
        <v>0</v>
      </c>
      <c r="Z36" s="207">
        <f>SUMIFS('октябрь 2023'!$G$4:$G$1074,'октябрь 2023'!$D$4:$D$1074,$B36,'октябрь 2023'!$J$4:$J$1074,Z$1)</f>
        <v>0</v>
      </c>
      <c r="AA36" s="207">
        <f>SUMIFS('октябрь 2023'!$G$4:$G$1074,'октябрь 2023'!$D$4:$D$1074,$B36,'октябрь 2023'!$J$4:$J$1074,AA$1)</f>
        <v>0</v>
      </c>
      <c r="AB36" s="207">
        <f>SUMIFS('октябрь 2023'!$G$4:$G$1074,'октябрь 2023'!$D$4:$D$1074,$B36,'октябрь 2023'!$J$4:$J$1074,AB$1)</f>
        <v>0</v>
      </c>
      <c r="AC36" s="207">
        <f>SUMIFS('октябрь 2023'!$G$4:$G$1074,'октябрь 2023'!$D$4:$D$1074,$B36,'октябрь 2023'!$J$4:$J$1074,AC$1)</f>
        <v>0</v>
      </c>
      <c r="AD36" s="207">
        <f>SUMIFS('октябрь 2023'!$G$4:$G$1074,'октябрь 2023'!$D$4:$D$1074,$B36,'октябрь 2023'!$J$4:$J$1074,AD$1)</f>
        <v>0</v>
      </c>
      <c r="AE36" s="207">
        <f>SUMIFS('октябрь 2023'!$G$4:$G$1074,'октябрь 2023'!$D$4:$D$1074,$B36,'октябрь 2023'!$J$4:$J$1074,AE$1)</f>
        <v>0</v>
      </c>
      <c r="AF36" s="207">
        <f>SUMIFS('октябрь 2023'!$G$4:$G$1074,'октябрь 2023'!$D$4:$D$1074,$B36,'октябрь 2023'!$J$4:$J$1074,AF$1)</f>
        <v>0</v>
      </c>
      <c r="AG36" s="207">
        <f>SUMIFS('октябрь 2023'!$G$4:$G$1074,'октябрь 2023'!$D$4:$D$1074,$B36,'октябрь 2023'!$J$4:$J$1074,AG$1)</f>
        <v>0</v>
      </c>
      <c r="AH36" s="207">
        <f>SUMIFS('октябрь 2023'!$G$4:$G$1074,'октябрь 2023'!$D$4:$D$1074,$B36,'октябрь 2023'!$J$4:$J$1074,AH$1)</f>
        <v>0</v>
      </c>
      <c r="AI36" s="170">
        <f t="shared" si="1"/>
        <v>0</v>
      </c>
    </row>
    <row r="37" spans="2:35" ht="15" customHeight="1" x14ac:dyDescent="0.25">
      <c r="B37" s="212" t="s">
        <v>492</v>
      </c>
      <c r="C37" s="215">
        <v>25</v>
      </c>
      <c r="D37" s="207">
        <f>SUMIFS('октябрь 2023'!$G$4:$G$1074,'октябрь 2023'!$D$4:$D$1074,$B37,'октябрь 2023'!$J$4:$J$1074,D$1)</f>
        <v>0</v>
      </c>
      <c r="E37" s="207">
        <f>SUMIFS('октябрь 2023'!$G$4:$G$1074,'октябрь 2023'!$D$4:$D$1074,$B37,'октябрь 2023'!$J$4:$J$1074,E$1)</f>
        <v>0</v>
      </c>
      <c r="F37" s="207">
        <f>SUMIFS('октябрь 2023'!$G$4:$G$1074,'октябрь 2023'!$D$4:$D$1074,$B37,'октябрь 2023'!$J$4:$J$1074,F$1)</f>
        <v>0</v>
      </c>
      <c r="G37" s="207">
        <f>SUMIFS('октябрь 2023'!$G$4:$G$1074,'октябрь 2023'!$D$4:$D$1074,$B37,'октябрь 2023'!$J$4:$J$1074,G$1)</f>
        <v>0</v>
      </c>
      <c r="H37" s="207">
        <f>SUMIFS('октябрь 2023'!$G$4:$G$1074,'октябрь 2023'!$D$4:$D$1074,$B37,'октябрь 2023'!$J$4:$J$1074,H$1)</f>
        <v>800</v>
      </c>
      <c r="I37" s="207">
        <f>SUMIFS('октябрь 2023'!$G$4:$G$1074,'октябрь 2023'!$D$4:$D$1074,$B37,'октябрь 2023'!$J$4:$J$1074,I$1)</f>
        <v>0</v>
      </c>
      <c r="J37" s="207">
        <f>SUMIFS('октябрь 2023'!$G$4:$G$1074,'октябрь 2023'!$D$4:$D$1074,$B37,'октябрь 2023'!$J$4:$J$1074,J$1)</f>
        <v>0</v>
      </c>
      <c r="K37" s="207">
        <f>SUMIFS('октябрь 2023'!$G$4:$G$1074,'октябрь 2023'!$D$4:$D$1074,$B37,'октябрь 2023'!$J$4:$J$1074,K$1)</f>
        <v>0</v>
      </c>
      <c r="L37" s="207">
        <f>SUMIFS('октябрь 2023'!$G$4:$G$1074,'октябрь 2023'!$D$4:$D$1074,$B37,'октябрь 2023'!$J$4:$J$1074,L$1)</f>
        <v>0</v>
      </c>
      <c r="M37" s="207">
        <f>SUMIFS('октябрь 2023'!$G$4:$G$1074,'октябрь 2023'!$D$4:$D$1074,$B37,'октябрь 2023'!$J$4:$J$1074,M$1)</f>
        <v>0</v>
      </c>
      <c r="N37" s="207">
        <f>SUMIFS('октябрь 2023'!$G$4:$G$1074,'октябрь 2023'!$D$4:$D$1074,$B37,'октябрь 2023'!$J$4:$J$1074,N$1)</f>
        <v>0</v>
      </c>
      <c r="O37" s="207">
        <f>SUMIFS('октябрь 2023'!$G$4:$G$1074,'октябрь 2023'!$D$4:$D$1074,$B37,'октябрь 2023'!$J$4:$J$1074,O$1)</f>
        <v>0</v>
      </c>
      <c r="P37" s="207">
        <f>SUMIFS('октябрь 2023'!$G$4:$G$1074,'октябрь 2023'!$D$4:$D$1074,$B37,'октябрь 2023'!$J$4:$J$1074,P$1)</f>
        <v>0</v>
      </c>
      <c r="Q37" s="207">
        <f>SUMIFS('октябрь 2023'!$G$4:$G$1074,'октябрь 2023'!$D$4:$D$1074,$B37,'октябрь 2023'!$J$4:$J$1074,Q$1)</f>
        <v>0</v>
      </c>
      <c r="R37" s="207">
        <f>SUMIFS('октябрь 2023'!$G$4:$G$1074,'октябрь 2023'!$D$4:$D$1074,$B37,'октябрь 2023'!$J$4:$J$1074,R$1)</f>
        <v>0</v>
      </c>
      <c r="S37" s="207">
        <f>SUMIFS('октябрь 2023'!$G$4:$G$1074,'октябрь 2023'!$D$4:$D$1074,$B37,'октябрь 2023'!$J$4:$J$1074,S$1)</f>
        <v>0</v>
      </c>
      <c r="T37" s="207">
        <f>SUMIFS('октябрь 2023'!$G$4:$G$1074,'октябрь 2023'!$D$4:$D$1074,$B37,'октябрь 2023'!$J$4:$J$1074,T$1)</f>
        <v>0</v>
      </c>
      <c r="U37" s="207">
        <f>SUMIFS('октябрь 2023'!$G$4:$G$1074,'октябрь 2023'!$D$4:$D$1074,$B37,'октябрь 2023'!$J$4:$J$1074,U$1)</f>
        <v>0</v>
      </c>
      <c r="V37" s="207">
        <f>SUMIFS('октябрь 2023'!$G$4:$G$1074,'октябрь 2023'!$D$4:$D$1074,$B37,'октябрь 2023'!$J$4:$J$1074,V$1)</f>
        <v>0</v>
      </c>
      <c r="W37" s="207">
        <f>SUMIFS('октябрь 2023'!$G$4:$G$1074,'октябрь 2023'!$D$4:$D$1074,$B37,'октябрь 2023'!$J$4:$J$1074,W$1)</f>
        <v>0</v>
      </c>
      <c r="X37" s="207">
        <f>SUMIFS('октябрь 2023'!$G$4:$G$1074,'октябрь 2023'!$D$4:$D$1074,$B37,'октябрь 2023'!$J$4:$J$1074,X$1)</f>
        <v>0</v>
      </c>
      <c r="Y37" s="207">
        <f>SUMIFS('октябрь 2023'!$G$4:$G$1074,'октябрь 2023'!$D$4:$D$1074,$B37,'октябрь 2023'!$J$4:$J$1074,Y$1)</f>
        <v>0</v>
      </c>
      <c r="Z37" s="207">
        <f>SUMIFS('октябрь 2023'!$G$4:$G$1074,'октябрь 2023'!$D$4:$D$1074,$B37,'октябрь 2023'!$J$4:$J$1074,Z$1)</f>
        <v>0</v>
      </c>
      <c r="AA37" s="207">
        <f>SUMIFS('октябрь 2023'!$G$4:$G$1074,'октябрь 2023'!$D$4:$D$1074,$B37,'октябрь 2023'!$J$4:$J$1074,AA$1)</f>
        <v>0</v>
      </c>
      <c r="AB37" s="207">
        <f>SUMIFS('октябрь 2023'!$G$4:$G$1074,'октябрь 2023'!$D$4:$D$1074,$B37,'октябрь 2023'!$J$4:$J$1074,AB$1)</f>
        <v>0</v>
      </c>
      <c r="AC37" s="207">
        <f>SUMIFS('октябрь 2023'!$G$4:$G$1074,'октябрь 2023'!$D$4:$D$1074,$B37,'октябрь 2023'!$J$4:$J$1074,AC$1)</f>
        <v>0</v>
      </c>
      <c r="AD37" s="207">
        <f>SUMIFS('октябрь 2023'!$G$4:$G$1074,'октябрь 2023'!$D$4:$D$1074,$B37,'октябрь 2023'!$J$4:$J$1074,AD$1)</f>
        <v>0</v>
      </c>
      <c r="AE37" s="207">
        <f>SUMIFS('октябрь 2023'!$G$4:$G$1074,'октябрь 2023'!$D$4:$D$1074,$B37,'октябрь 2023'!$J$4:$J$1074,AE$1)</f>
        <v>0</v>
      </c>
      <c r="AF37" s="207">
        <f>SUMIFS('октябрь 2023'!$G$4:$G$1074,'октябрь 2023'!$D$4:$D$1074,$B37,'октябрь 2023'!$J$4:$J$1074,AF$1)</f>
        <v>0</v>
      </c>
      <c r="AG37" s="207">
        <f>SUMIFS('октябрь 2023'!$G$4:$G$1074,'октябрь 2023'!$D$4:$D$1074,$B37,'октябрь 2023'!$J$4:$J$1074,AG$1)</f>
        <v>0</v>
      </c>
      <c r="AH37" s="207">
        <f>SUMIFS('октябрь 2023'!$G$4:$G$1074,'октябрь 2023'!$D$4:$D$1074,$B37,'октябрь 2023'!$J$4:$J$1074,AH$1)</f>
        <v>0</v>
      </c>
      <c r="AI37" s="170">
        <f t="shared" si="1"/>
        <v>800</v>
      </c>
    </row>
    <row r="38" spans="2:35" ht="15" customHeight="1" x14ac:dyDescent="0.25">
      <c r="B38" s="212" t="s">
        <v>1600</v>
      </c>
      <c r="C38" s="211">
        <v>25</v>
      </c>
      <c r="D38" s="207">
        <f>SUMIFS('октябрь 2023'!$G$4:$G$1074,'октябрь 2023'!$D$4:$D$1074,$B38,'октябрь 2023'!$J$4:$J$1074,D$1)</f>
        <v>0</v>
      </c>
      <c r="E38" s="207">
        <f>SUMIFS('октябрь 2023'!$G$4:$G$1074,'октябрь 2023'!$D$4:$D$1074,$B38,'октябрь 2023'!$J$4:$J$1074,E$1)</f>
        <v>0</v>
      </c>
      <c r="F38" s="207">
        <f>SUMIFS('октябрь 2023'!$G$4:$G$1074,'октябрь 2023'!$D$4:$D$1074,$B38,'октябрь 2023'!$J$4:$J$1074,F$1)</f>
        <v>0</v>
      </c>
      <c r="G38" s="207">
        <f>SUMIFS('октябрь 2023'!$G$4:$G$1074,'октябрь 2023'!$D$4:$D$1074,$B38,'октябрь 2023'!$J$4:$J$1074,G$1)</f>
        <v>0</v>
      </c>
      <c r="H38" s="207">
        <f>SUMIFS('октябрь 2023'!$G$4:$G$1074,'октябрь 2023'!$D$4:$D$1074,$B38,'октябрь 2023'!$J$4:$J$1074,H$1)</f>
        <v>0</v>
      </c>
      <c r="I38" s="207">
        <f>SUMIFS('октябрь 2023'!$G$4:$G$1074,'октябрь 2023'!$D$4:$D$1074,$B38,'октябрь 2023'!$J$4:$J$1074,I$1)</f>
        <v>0</v>
      </c>
      <c r="J38" s="207">
        <f>SUMIFS('октябрь 2023'!$G$4:$G$1074,'октябрь 2023'!$D$4:$D$1074,$B38,'октябрь 2023'!$J$4:$J$1074,J$1)</f>
        <v>0</v>
      </c>
      <c r="K38" s="207">
        <f>SUMIFS('октябрь 2023'!$G$4:$G$1074,'октябрь 2023'!$D$4:$D$1074,$B38,'октябрь 2023'!$J$4:$J$1074,K$1)</f>
        <v>0</v>
      </c>
      <c r="L38" s="207">
        <f>SUMIFS('октябрь 2023'!$G$4:$G$1074,'октябрь 2023'!$D$4:$D$1074,$B38,'октябрь 2023'!$J$4:$J$1074,L$1)</f>
        <v>0</v>
      </c>
      <c r="M38" s="207">
        <f>SUMIFS('октябрь 2023'!$G$4:$G$1074,'октябрь 2023'!$D$4:$D$1074,$B38,'октябрь 2023'!$J$4:$J$1074,M$1)</f>
        <v>0</v>
      </c>
      <c r="N38" s="207">
        <f>SUMIFS('октябрь 2023'!$G$4:$G$1074,'октябрь 2023'!$D$4:$D$1074,$B38,'октябрь 2023'!$J$4:$J$1074,N$1)</f>
        <v>0</v>
      </c>
      <c r="O38" s="207">
        <f>SUMIFS('октябрь 2023'!$G$4:$G$1074,'октябрь 2023'!$D$4:$D$1074,$B38,'октябрь 2023'!$J$4:$J$1074,O$1)</f>
        <v>0</v>
      </c>
      <c r="P38" s="207">
        <f>SUMIFS('октябрь 2023'!$G$4:$G$1074,'октябрь 2023'!$D$4:$D$1074,$B38,'октябрь 2023'!$J$4:$J$1074,P$1)</f>
        <v>0</v>
      </c>
      <c r="Q38" s="207">
        <f>SUMIFS('октябрь 2023'!$G$4:$G$1074,'октябрь 2023'!$D$4:$D$1074,$B38,'октябрь 2023'!$J$4:$J$1074,Q$1)</f>
        <v>0</v>
      </c>
      <c r="R38" s="207">
        <f>SUMIFS('октябрь 2023'!$G$4:$G$1074,'октябрь 2023'!$D$4:$D$1074,$B38,'октябрь 2023'!$J$4:$J$1074,R$1)</f>
        <v>0</v>
      </c>
      <c r="S38" s="207">
        <f>SUMIFS('октябрь 2023'!$G$4:$G$1074,'октябрь 2023'!$D$4:$D$1074,$B38,'октябрь 2023'!$J$4:$J$1074,S$1)</f>
        <v>0</v>
      </c>
      <c r="T38" s="207">
        <f>SUMIFS('октябрь 2023'!$G$4:$G$1074,'октябрь 2023'!$D$4:$D$1074,$B38,'октябрь 2023'!$J$4:$J$1074,T$1)</f>
        <v>0</v>
      </c>
      <c r="U38" s="207">
        <f>SUMIFS('октябрь 2023'!$G$4:$G$1074,'октябрь 2023'!$D$4:$D$1074,$B38,'октябрь 2023'!$J$4:$J$1074,U$1)</f>
        <v>0</v>
      </c>
      <c r="V38" s="207">
        <f>SUMIFS('октябрь 2023'!$G$4:$G$1074,'октябрь 2023'!$D$4:$D$1074,$B38,'октябрь 2023'!$J$4:$J$1074,V$1)</f>
        <v>0</v>
      </c>
      <c r="W38" s="207">
        <f>SUMIFS('октябрь 2023'!$G$4:$G$1074,'октябрь 2023'!$D$4:$D$1074,$B38,'октябрь 2023'!$J$4:$J$1074,W$1)</f>
        <v>0</v>
      </c>
      <c r="X38" s="207">
        <f>SUMIFS('октябрь 2023'!$G$4:$G$1074,'октябрь 2023'!$D$4:$D$1074,$B38,'октябрь 2023'!$J$4:$J$1074,X$1)</f>
        <v>0</v>
      </c>
      <c r="Y38" s="207">
        <f>SUMIFS('октябрь 2023'!$G$4:$G$1074,'октябрь 2023'!$D$4:$D$1074,$B38,'октябрь 2023'!$J$4:$J$1074,Y$1)</f>
        <v>0</v>
      </c>
      <c r="Z38" s="207">
        <f>SUMIFS('октябрь 2023'!$G$4:$G$1074,'октябрь 2023'!$D$4:$D$1074,$B38,'октябрь 2023'!$J$4:$J$1074,Z$1)</f>
        <v>0</v>
      </c>
      <c r="AA38" s="207">
        <f>SUMIFS('октябрь 2023'!$G$4:$G$1074,'октябрь 2023'!$D$4:$D$1074,$B38,'октябрь 2023'!$J$4:$J$1074,AA$1)</f>
        <v>0</v>
      </c>
      <c r="AB38" s="207">
        <f>SUMIFS('октябрь 2023'!$G$4:$G$1074,'октябрь 2023'!$D$4:$D$1074,$B38,'октябрь 2023'!$J$4:$J$1074,AB$1)</f>
        <v>0</v>
      </c>
      <c r="AC38" s="207">
        <f>SUMIFS('октябрь 2023'!$G$4:$G$1074,'октябрь 2023'!$D$4:$D$1074,$B38,'октябрь 2023'!$J$4:$J$1074,AC$1)</f>
        <v>0</v>
      </c>
      <c r="AD38" s="207">
        <f>SUMIFS('октябрь 2023'!$G$4:$G$1074,'октябрь 2023'!$D$4:$D$1074,$B38,'октябрь 2023'!$J$4:$J$1074,AD$1)</f>
        <v>0</v>
      </c>
      <c r="AE38" s="207">
        <f>SUMIFS('октябрь 2023'!$G$4:$G$1074,'октябрь 2023'!$D$4:$D$1074,$B38,'октябрь 2023'!$J$4:$J$1074,AE$1)</f>
        <v>0</v>
      </c>
      <c r="AF38" s="207">
        <f>SUMIFS('октябрь 2023'!$G$4:$G$1074,'октябрь 2023'!$D$4:$D$1074,$B38,'октябрь 2023'!$J$4:$J$1074,AF$1)</f>
        <v>0</v>
      </c>
      <c r="AG38" s="207">
        <f>SUMIFS('октябрь 2023'!$G$4:$G$1074,'октябрь 2023'!$D$4:$D$1074,$B38,'октябрь 2023'!$J$4:$J$1074,AG$1)</f>
        <v>0</v>
      </c>
      <c r="AH38" s="207">
        <f>SUMIFS('октябрь 2023'!$G$4:$G$1074,'октябрь 2023'!$D$4:$D$1074,$B38,'октябрь 2023'!$J$4:$J$1074,AH$1)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SUMIFS('октябрь 2023'!$G$4:$G$1074,'октябрь 2023'!$D$4:$D$1074,$B39,'октябрь 2023'!$J$4:$J$1074,D$1)</f>
        <v>0</v>
      </c>
      <c r="E39" s="207">
        <f>SUMIFS('октябрь 2023'!$G$4:$G$1074,'октябрь 2023'!$D$4:$D$1074,$B39,'октябрь 2023'!$J$4:$J$1074,E$1)</f>
        <v>0</v>
      </c>
      <c r="F39" s="207">
        <f>SUMIFS('октябрь 2023'!$G$4:$G$1074,'октябрь 2023'!$D$4:$D$1074,$B39,'октябрь 2023'!$J$4:$J$1074,F$1)</f>
        <v>0</v>
      </c>
      <c r="G39" s="207">
        <f>SUMIFS('октябрь 2023'!$G$4:$G$1074,'октябрь 2023'!$D$4:$D$1074,$B39,'октябрь 2023'!$J$4:$J$1074,G$1)</f>
        <v>0</v>
      </c>
      <c r="H39" s="207">
        <f>SUMIFS('октябрь 2023'!$G$4:$G$1074,'октябрь 2023'!$D$4:$D$1074,$B39,'октябрь 2023'!$J$4:$J$1074,H$1)</f>
        <v>0</v>
      </c>
      <c r="I39" s="207">
        <f>SUMIFS('октябрь 2023'!$G$4:$G$1074,'октябрь 2023'!$D$4:$D$1074,$B39,'октябрь 2023'!$J$4:$J$1074,I$1)</f>
        <v>0</v>
      </c>
      <c r="J39" s="207">
        <f>SUMIFS('октябрь 2023'!$G$4:$G$1074,'октябрь 2023'!$D$4:$D$1074,$B39,'октябрь 2023'!$J$4:$J$1074,J$1)</f>
        <v>0</v>
      </c>
      <c r="K39" s="207">
        <f>SUMIFS('октябрь 2023'!$G$4:$G$1074,'октябрь 2023'!$D$4:$D$1074,$B39,'октябрь 2023'!$J$4:$J$1074,K$1)</f>
        <v>0</v>
      </c>
      <c r="L39" s="207">
        <f>SUMIFS('октябрь 2023'!$G$4:$G$1074,'октябрь 2023'!$D$4:$D$1074,$B39,'октябрь 2023'!$J$4:$J$1074,L$1)</f>
        <v>0</v>
      </c>
      <c r="M39" s="207">
        <f>SUMIFS('октябрь 2023'!$G$4:$G$1074,'октябрь 2023'!$D$4:$D$1074,$B39,'октябрь 2023'!$J$4:$J$1074,M$1)</f>
        <v>0</v>
      </c>
      <c r="N39" s="207">
        <f>SUMIFS('октябрь 2023'!$G$4:$G$1074,'октябрь 2023'!$D$4:$D$1074,$B39,'октябрь 2023'!$J$4:$J$1074,N$1)</f>
        <v>0</v>
      </c>
      <c r="O39" s="207">
        <f>SUMIFS('октябрь 2023'!$G$4:$G$1074,'октябрь 2023'!$D$4:$D$1074,$B39,'октябрь 2023'!$J$4:$J$1074,O$1)</f>
        <v>0</v>
      </c>
      <c r="P39" s="207">
        <f>SUMIFS('октябрь 2023'!$G$4:$G$1074,'октябрь 2023'!$D$4:$D$1074,$B39,'октябрь 2023'!$J$4:$J$1074,P$1)</f>
        <v>0</v>
      </c>
      <c r="Q39" s="207">
        <f>SUMIFS('октябрь 2023'!$G$4:$G$1074,'октябрь 2023'!$D$4:$D$1074,$B39,'октябрь 2023'!$J$4:$J$1074,Q$1)</f>
        <v>0</v>
      </c>
      <c r="R39" s="207">
        <f>SUMIFS('октябрь 2023'!$G$4:$G$1074,'октябрь 2023'!$D$4:$D$1074,$B39,'октябрь 2023'!$J$4:$J$1074,R$1)</f>
        <v>0</v>
      </c>
      <c r="S39" s="207">
        <f>SUMIFS('октябрь 2023'!$G$4:$G$1074,'октябрь 2023'!$D$4:$D$1074,$B39,'октябрь 2023'!$J$4:$J$1074,S$1)</f>
        <v>0</v>
      </c>
      <c r="T39" s="207">
        <f>SUMIFS('октябрь 2023'!$G$4:$G$1074,'октябрь 2023'!$D$4:$D$1074,$B39,'октябрь 2023'!$J$4:$J$1074,T$1)</f>
        <v>0</v>
      </c>
      <c r="U39" s="207">
        <f>SUMIFS('октябрь 2023'!$G$4:$G$1074,'октябрь 2023'!$D$4:$D$1074,$B39,'октябрь 2023'!$J$4:$J$1074,U$1)</f>
        <v>0</v>
      </c>
      <c r="V39" s="207">
        <f>SUMIFS('октябрь 2023'!$G$4:$G$1074,'октябрь 2023'!$D$4:$D$1074,$B39,'октябрь 2023'!$J$4:$J$1074,V$1)</f>
        <v>0</v>
      </c>
      <c r="W39" s="207">
        <f>SUMIFS('октябрь 2023'!$G$4:$G$1074,'октябрь 2023'!$D$4:$D$1074,$B39,'октябрь 2023'!$J$4:$J$1074,W$1)</f>
        <v>0</v>
      </c>
      <c r="X39" s="207">
        <f>SUMIFS('октябрь 2023'!$G$4:$G$1074,'октябрь 2023'!$D$4:$D$1074,$B39,'октябрь 2023'!$J$4:$J$1074,X$1)</f>
        <v>0</v>
      </c>
      <c r="Y39" s="207">
        <f>SUMIFS('октябрь 2023'!$G$4:$G$1074,'октябрь 2023'!$D$4:$D$1074,$B39,'октябрь 2023'!$J$4:$J$1074,Y$1)</f>
        <v>0</v>
      </c>
      <c r="Z39" s="207">
        <f>SUMIFS('октябрь 2023'!$G$4:$G$1074,'октябрь 2023'!$D$4:$D$1074,$B39,'октябрь 2023'!$J$4:$J$1074,Z$1)</f>
        <v>0</v>
      </c>
      <c r="AA39" s="207">
        <f>SUMIFS('октябрь 2023'!$G$4:$G$1074,'октябрь 2023'!$D$4:$D$1074,$B39,'октябрь 2023'!$J$4:$J$1074,AA$1)</f>
        <v>0</v>
      </c>
      <c r="AB39" s="207">
        <f>SUMIFS('октябрь 2023'!$G$4:$G$1074,'октябрь 2023'!$D$4:$D$1074,$B39,'октябрь 2023'!$J$4:$J$1074,AB$1)</f>
        <v>0</v>
      </c>
      <c r="AC39" s="207">
        <f>SUMIFS('октябрь 2023'!$G$4:$G$1074,'октябрь 2023'!$D$4:$D$1074,$B39,'октябрь 2023'!$J$4:$J$1074,AC$1)</f>
        <v>0</v>
      </c>
      <c r="AD39" s="207">
        <f>SUMIFS('октябрь 2023'!$G$4:$G$1074,'октябрь 2023'!$D$4:$D$1074,$B39,'октябрь 2023'!$J$4:$J$1074,AD$1)</f>
        <v>0</v>
      </c>
      <c r="AE39" s="207">
        <f>SUMIFS('октябрь 2023'!$G$4:$G$1074,'октябрь 2023'!$D$4:$D$1074,$B39,'октябрь 2023'!$J$4:$J$1074,AE$1)</f>
        <v>0</v>
      </c>
      <c r="AF39" s="207">
        <f>SUMIFS('октябрь 2023'!$G$4:$G$1074,'октябрь 2023'!$D$4:$D$1074,$B39,'октябрь 2023'!$J$4:$J$1074,AF$1)</f>
        <v>0</v>
      </c>
      <c r="AG39" s="207">
        <f>SUMIFS('октябрь 2023'!$G$4:$G$1074,'октябрь 2023'!$D$4:$D$1074,$B39,'октябрь 2023'!$J$4:$J$1074,AG$1)</f>
        <v>0</v>
      </c>
      <c r="AH39" s="207">
        <f>SUMIFS('октябрь 2023'!$G$4:$G$1074,'октябрь 2023'!$D$4:$D$1074,$B39,'октябрь 2023'!$J$4:$J$1074,AH$1)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SUMIFS('октябрь 2023'!$G$4:$G$1074,'октябрь 2023'!$D$4:$D$1074,$B40,'октябрь 2023'!$J$4:$J$1074,D$1)</f>
        <v>0</v>
      </c>
      <c r="E40" s="207">
        <f>SUMIFS('октябрь 2023'!$G$4:$G$1074,'октябрь 2023'!$D$4:$D$1074,$B40,'октябрь 2023'!$J$4:$J$1074,E$1)</f>
        <v>0</v>
      </c>
      <c r="F40" s="207">
        <f>SUMIFS('октябрь 2023'!$G$4:$G$1074,'октябрь 2023'!$D$4:$D$1074,$B40,'октябрь 2023'!$J$4:$J$1074,F$1)</f>
        <v>0</v>
      </c>
      <c r="G40" s="207">
        <f>SUMIFS('октябрь 2023'!$G$4:$G$1074,'октябрь 2023'!$D$4:$D$1074,$B40,'октябрь 2023'!$J$4:$J$1074,G$1)</f>
        <v>0</v>
      </c>
      <c r="H40" s="207">
        <f>SUMIFS('октябрь 2023'!$G$4:$G$1074,'октябрь 2023'!$D$4:$D$1074,$B40,'октябрь 2023'!$J$4:$J$1074,H$1)</f>
        <v>0</v>
      </c>
      <c r="I40" s="207">
        <f>SUMIFS('октябрь 2023'!$G$4:$G$1074,'октябрь 2023'!$D$4:$D$1074,$B40,'октябрь 2023'!$J$4:$J$1074,I$1)</f>
        <v>0</v>
      </c>
      <c r="J40" s="207">
        <f>SUMIFS('октябрь 2023'!$G$4:$G$1074,'октябрь 2023'!$D$4:$D$1074,$B40,'октябрь 2023'!$J$4:$J$1074,J$1)</f>
        <v>0</v>
      </c>
      <c r="K40" s="207">
        <f>SUMIFS('октябрь 2023'!$G$4:$G$1074,'октябрь 2023'!$D$4:$D$1074,$B40,'октябрь 2023'!$J$4:$J$1074,K$1)</f>
        <v>0</v>
      </c>
      <c r="L40" s="207">
        <f>SUMIFS('октябрь 2023'!$G$4:$G$1074,'октябрь 2023'!$D$4:$D$1074,$B40,'октябрь 2023'!$J$4:$J$1074,L$1)</f>
        <v>0</v>
      </c>
      <c r="M40" s="207">
        <f>SUMIFS('октябрь 2023'!$G$4:$G$1074,'октябрь 2023'!$D$4:$D$1074,$B40,'октябрь 2023'!$J$4:$J$1074,M$1)</f>
        <v>0</v>
      </c>
      <c r="N40" s="207">
        <f>SUMIFS('октябрь 2023'!$G$4:$G$1074,'октябрь 2023'!$D$4:$D$1074,$B40,'октябрь 2023'!$J$4:$J$1074,N$1)</f>
        <v>0</v>
      </c>
      <c r="O40" s="207">
        <f>SUMIFS('октябрь 2023'!$G$4:$G$1074,'октябрь 2023'!$D$4:$D$1074,$B40,'октябрь 2023'!$J$4:$J$1074,O$1)</f>
        <v>0</v>
      </c>
      <c r="P40" s="207">
        <f>SUMIFS('октябрь 2023'!$G$4:$G$1074,'октябрь 2023'!$D$4:$D$1074,$B40,'октябрь 2023'!$J$4:$J$1074,P$1)</f>
        <v>0</v>
      </c>
      <c r="Q40" s="207">
        <f>SUMIFS('октябрь 2023'!$G$4:$G$1074,'октябрь 2023'!$D$4:$D$1074,$B40,'октябрь 2023'!$J$4:$J$1074,Q$1)</f>
        <v>0</v>
      </c>
      <c r="R40" s="207">
        <f>SUMIFS('октябрь 2023'!$G$4:$G$1074,'октябрь 2023'!$D$4:$D$1074,$B40,'октябрь 2023'!$J$4:$J$1074,R$1)</f>
        <v>0</v>
      </c>
      <c r="S40" s="207">
        <f>SUMIFS('октябрь 2023'!$G$4:$G$1074,'октябрь 2023'!$D$4:$D$1074,$B40,'октябрь 2023'!$J$4:$J$1074,S$1)</f>
        <v>0</v>
      </c>
      <c r="T40" s="207">
        <f>SUMIFS('октябрь 2023'!$G$4:$G$1074,'октябрь 2023'!$D$4:$D$1074,$B40,'октябрь 2023'!$J$4:$J$1074,T$1)</f>
        <v>0</v>
      </c>
      <c r="U40" s="207">
        <f>SUMIFS('октябрь 2023'!$G$4:$G$1074,'октябрь 2023'!$D$4:$D$1074,$B40,'октябрь 2023'!$J$4:$J$1074,U$1)</f>
        <v>0</v>
      </c>
      <c r="V40" s="207">
        <f>SUMIFS('октябрь 2023'!$G$4:$G$1074,'октябрь 2023'!$D$4:$D$1074,$B40,'октябрь 2023'!$J$4:$J$1074,V$1)</f>
        <v>0</v>
      </c>
      <c r="W40" s="207">
        <f>SUMIFS('октябрь 2023'!$G$4:$G$1074,'октябрь 2023'!$D$4:$D$1074,$B40,'октябрь 2023'!$J$4:$J$1074,W$1)</f>
        <v>0</v>
      </c>
      <c r="X40" s="207">
        <f>SUMIFS('октябрь 2023'!$G$4:$G$1074,'октябрь 2023'!$D$4:$D$1074,$B40,'октябрь 2023'!$J$4:$J$1074,X$1)</f>
        <v>0</v>
      </c>
      <c r="Y40" s="207">
        <f>SUMIFS('октябрь 2023'!$G$4:$G$1074,'октябрь 2023'!$D$4:$D$1074,$B40,'октябрь 2023'!$J$4:$J$1074,Y$1)</f>
        <v>0</v>
      </c>
      <c r="Z40" s="207">
        <f>SUMIFS('октябрь 2023'!$G$4:$G$1074,'октябрь 2023'!$D$4:$D$1074,$B40,'октябрь 2023'!$J$4:$J$1074,Z$1)</f>
        <v>0</v>
      </c>
      <c r="AA40" s="207">
        <f>SUMIFS('октябрь 2023'!$G$4:$G$1074,'октябрь 2023'!$D$4:$D$1074,$B40,'октябрь 2023'!$J$4:$J$1074,AA$1)</f>
        <v>0</v>
      </c>
      <c r="AB40" s="207">
        <f>SUMIFS('октябрь 2023'!$G$4:$G$1074,'октябрь 2023'!$D$4:$D$1074,$B40,'октябрь 2023'!$J$4:$J$1074,AB$1)</f>
        <v>0</v>
      </c>
      <c r="AC40" s="207">
        <f>SUMIFS('октябрь 2023'!$G$4:$G$1074,'октябрь 2023'!$D$4:$D$1074,$B40,'октябрь 2023'!$J$4:$J$1074,AC$1)</f>
        <v>0</v>
      </c>
      <c r="AD40" s="207">
        <f>SUMIFS('октябрь 2023'!$G$4:$G$1074,'октябрь 2023'!$D$4:$D$1074,$B40,'октябрь 2023'!$J$4:$J$1074,AD$1)</f>
        <v>0</v>
      </c>
      <c r="AE40" s="207">
        <f>SUMIFS('октябрь 2023'!$G$4:$G$1074,'октябрь 2023'!$D$4:$D$1074,$B40,'октябрь 2023'!$J$4:$J$1074,AE$1)</f>
        <v>0</v>
      </c>
      <c r="AF40" s="207">
        <f>SUMIFS('октябрь 2023'!$G$4:$G$1074,'октябрь 2023'!$D$4:$D$1074,$B40,'октябрь 2023'!$J$4:$J$1074,AF$1)</f>
        <v>0</v>
      </c>
      <c r="AG40" s="207">
        <f>SUMIFS('октябрь 2023'!$G$4:$G$1074,'октябрь 2023'!$D$4:$D$1074,$B40,'октябрь 2023'!$J$4:$J$1074,AG$1)</f>
        <v>0</v>
      </c>
      <c r="AH40" s="207">
        <f>SUMIFS('октябрь 2023'!$G$4:$G$1074,'октябрь 2023'!$D$4:$D$1074,$B40,'октябрь 2023'!$J$4:$J$1074,AH$1)</f>
        <v>0</v>
      </c>
      <c r="AI40" s="170">
        <f t="shared" si="1"/>
        <v>0</v>
      </c>
    </row>
    <row r="41" spans="2:35" ht="15" customHeight="1" x14ac:dyDescent="0.25">
      <c r="B41" s="216" t="s">
        <v>2125</v>
      </c>
      <c r="C41" s="213">
        <v>25</v>
      </c>
      <c r="D41" s="207">
        <f>SUMIFS('октябрь 2023'!$G$4:$G$1074,'октябрь 2023'!$D$4:$D$1074,$B41,'октябрь 2023'!$J$4:$J$1074,D$1)</f>
        <v>0</v>
      </c>
      <c r="E41" s="207">
        <f>SUMIFS('октябрь 2023'!$G$4:$G$1074,'октябрь 2023'!$D$4:$D$1074,$B41,'октябрь 2023'!$J$4:$J$1074,E$1)</f>
        <v>0</v>
      </c>
      <c r="F41" s="207">
        <f>SUMIFS('октябрь 2023'!$G$4:$G$1074,'октябрь 2023'!$D$4:$D$1074,$B41,'октябрь 2023'!$J$4:$J$1074,F$1)</f>
        <v>0</v>
      </c>
      <c r="G41" s="207">
        <f>SUMIFS('октябрь 2023'!$G$4:$G$1074,'октябрь 2023'!$D$4:$D$1074,$B41,'октябрь 2023'!$J$4:$J$1074,G$1)</f>
        <v>0</v>
      </c>
      <c r="H41" s="207">
        <f>SUMIFS('октябрь 2023'!$G$4:$G$1074,'октябрь 2023'!$D$4:$D$1074,$B41,'октябрь 2023'!$J$4:$J$1074,H$1)</f>
        <v>0</v>
      </c>
      <c r="I41" s="207">
        <f>SUMIFS('октябрь 2023'!$G$4:$G$1074,'октябрь 2023'!$D$4:$D$1074,$B41,'октябрь 2023'!$J$4:$J$1074,I$1)</f>
        <v>0</v>
      </c>
      <c r="J41" s="207">
        <f>SUMIFS('октябрь 2023'!$G$4:$G$1074,'октябрь 2023'!$D$4:$D$1074,$B41,'октябрь 2023'!$J$4:$J$1074,J$1)</f>
        <v>0</v>
      </c>
      <c r="K41" s="207">
        <f>SUMIFS('октябрь 2023'!$G$4:$G$1074,'октябрь 2023'!$D$4:$D$1074,$B41,'октябрь 2023'!$J$4:$J$1074,K$1)</f>
        <v>0</v>
      </c>
      <c r="L41" s="207">
        <f>SUMIFS('октябрь 2023'!$G$4:$G$1074,'октябрь 2023'!$D$4:$D$1074,$B41,'октябрь 2023'!$J$4:$J$1074,L$1)</f>
        <v>0</v>
      </c>
      <c r="M41" s="207">
        <f>SUMIFS('октябрь 2023'!$G$4:$G$1074,'октябрь 2023'!$D$4:$D$1074,$B41,'октябрь 2023'!$J$4:$J$1074,M$1)</f>
        <v>0</v>
      </c>
      <c r="N41" s="207">
        <f>SUMIFS('октябрь 2023'!$G$4:$G$1074,'октябрь 2023'!$D$4:$D$1074,$B41,'октябрь 2023'!$J$4:$J$1074,N$1)</f>
        <v>0</v>
      </c>
      <c r="O41" s="207">
        <f>SUMIFS('октябрь 2023'!$G$4:$G$1074,'октябрь 2023'!$D$4:$D$1074,$B41,'октябрь 2023'!$J$4:$J$1074,O$1)</f>
        <v>0</v>
      </c>
      <c r="P41" s="207">
        <f>SUMIFS('октябрь 2023'!$G$4:$G$1074,'октябрь 2023'!$D$4:$D$1074,$B41,'октябрь 2023'!$J$4:$J$1074,P$1)</f>
        <v>0</v>
      </c>
      <c r="Q41" s="207">
        <f>SUMIFS('октябрь 2023'!$G$4:$G$1074,'октябрь 2023'!$D$4:$D$1074,$B41,'октябрь 2023'!$J$4:$J$1074,Q$1)</f>
        <v>0</v>
      </c>
      <c r="R41" s="207">
        <f>SUMIFS('октябрь 2023'!$G$4:$G$1074,'октябрь 2023'!$D$4:$D$1074,$B41,'октябрь 2023'!$J$4:$J$1074,R$1)</f>
        <v>0</v>
      </c>
      <c r="S41" s="207">
        <f>SUMIFS('октябрь 2023'!$G$4:$G$1074,'октябрь 2023'!$D$4:$D$1074,$B41,'октябрь 2023'!$J$4:$J$1074,S$1)</f>
        <v>0</v>
      </c>
      <c r="T41" s="207">
        <f>SUMIFS('октябрь 2023'!$G$4:$G$1074,'октябрь 2023'!$D$4:$D$1074,$B41,'октябрь 2023'!$J$4:$J$1074,T$1)</f>
        <v>0</v>
      </c>
      <c r="U41" s="207">
        <f>SUMIFS('октябрь 2023'!$G$4:$G$1074,'октябрь 2023'!$D$4:$D$1074,$B41,'октябрь 2023'!$J$4:$J$1074,U$1)</f>
        <v>0</v>
      </c>
      <c r="V41" s="207">
        <f>SUMIFS('октябрь 2023'!$G$4:$G$1074,'октябрь 2023'!$D$4:$D$1074,$B41,'октябрь 2023'!$J$4:$J$1074,V$1)</f>
        <v>0</v>
      </c>
      <c r="W41" s="207">
        <f>SUMIFS('октябрь 2023'!$G$4:$G$1074,'октябрь 2023'!$D$4:$D$1074,$B41,'октябрь 2023'!$J$4:$J$1074,W$1)</f>
        <v>0</v>
      </c>
      <c r="X41" s="207">
        <f>SUMIFS('октябрь 2023'!$G$4:$G$1074,'октябрь 2023'!$D$4:$D$1074,$B41,'октябрь 2023'!$J$4:$J$1074,X$1)</f>
        <v>0</v>
      </c>
      <c r="Y41" s="207">
        <f>SUMIFS('октябрь 2023'!$G$4:$G$1074,'октябрь 2023'!$D$4:$D$1074,$B41,'октябрь 2023'!$J$4:$J$1074,Y$1)</f>
        <v>0</v>
      </c>
      <c r="Z41" s="207">
        <f>SUMIFS('октябрь 2023'!$G$4:$G$1074,'октябрь 2023'!$D$4:$D$1074,$B41,'октябрь 2023'!$J$4:$J$1074,Z$1)</f>
        <v>0</v>
      </c>
      <c r="AA41" s="207">
        <f>SUMIFS('октябрь 2023'!$G$4:$G$1074,'октябрь 2023'!$D$4:$D$1074,$B41,'октябрь 2023'!$J$4:$J$1074,AA$1)</f>
        <v>0</v>
      </c>
      <c r="AB41" s="207">
        <f>SUMIFS('октябрь 2023'!$G$4:$G$1074,'октябрь 2023'!$D$4:$D$1074,$B41,'октябрь 2023'!$J$4:$J$1074,AB$1)</f>
        <v>0</v>
      </c>
      <c r="AC41" s="207">
        <f>SUMIFS('октябрь 2023'!$G$4:$G$1074,'октябрь 2023'!$D$4:$D$1074,$B41,'октябрь 2023'!$J$4:$J$1074,AC$1)</f>
        <v>0</v>
      </c>
      <c r="AD41" s="207">
        <f>SUMIFS('октябрь 2023'!$G$4:$G$1074,'октябрь 2023'!$D$4:$D$1074,$B41,'октябрь 2023'!$J$4:$J$1074,AD$1)</f>
        <v>0</v>
      </c>
      <c r="AE41" s="207">
        <f>SUMIFS('октябрь 2023'!$G$4:$G$1074,'октябрь 2023'!$D$4:$D$1074,$B41,'октябрь 2023'!$J$4:$J$1074,AE$1)</f>
        <v>0</v>
      </c>
      <c r="AF41" s="207">
        <f>SUMIFS('октябрь 2023'!$G$4:$G$1074,'октябрь 2023'!$D$4:$D$1074,$B41,'октябрь 2023'!$J$4:$J$1074,AF$1)</f>
        <v>0</v>
      </c>
      <c r="AG41" s="207">
        <f>SUMIFS('октябрь 2023'!$G$4:$G$1074,'октябрь 2023'!$D$4:$D$1074,$B41,'октябрь 2023'!$J$4:$J$1074,AG$1)</f>
        <v>0</v>
      </c>
      <c r="AH41" s="207">
        <f>SUMIFS('октябрь 2023'!$G$4:$G$1074,'октябрь 2023'!$D$4:$D$1074,$B41,'октябрь 2023'!$J$4:$J$1074,AH$1)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SUMIFS('октябрь 2023'!$G$4:$G$1074,'октябрь 2023'!$D$4:$D$1074,$B42,'октябрь 2023'!$J$4:$J$1074,D$1)</f>
        <v>0</v>
      </c>
      <c r="E42" s="207">
        <f>SUMIFS('октябрь 2023'!$G$4:$G$1074,'октябрь 2023'!$D$4:$D$1074,$B42,'октябрь 2023'!$J$4:$J$1074,E$1)</f>
        <v>0</v>
      </c>
      <c r="F42" s="207">
        <f>SUMIFS('октябрь 2023'!$G$4:$G$1074,'октябрь 2023'!$D$4:$D$1074,$B42,'октябрь 2023'!$J$4:$J$1074,F$1)</f>
        <v>0</v>
      </c>
      <c r="G42" s="207">
        <f>SUMIFS('октябрь 2023'!$G$4:$G$1074,'октябрь 2023'!$D$4:$D$1074,$B42,'октябрь 2023'!$J$4:$J$1074,G$1)</f>
        <v>0</v>
      </c>
      <c r="H42" s="207">
        <f>SUMIFS('октябрь 2023'!$G$4:$G$1074,'октябрь 2023'!$D$4:$D$1074,$B42,'октябрь 2023'!$J$4:$J$1074,H$1)</f>
        <v>0</v>
      </c>
      <c r="I42" s="207">
        <f>SUMIFS('октябрь 2023'!$G$4:$G$1074,'октябрь 2023'!$D$4:$D$1074,$B42,'октябрь 2023'!$J$4:$J$1074,I$1)</f>
        <v>0</v>
      </c>
      <c r="J42" s="207">
        <f>SUMIFS('октябрь 2023'!$G$4:$G$1074,'октябрь 2023'!$D$4:$D$1074,$B42,'октябрь 2023'!$J$4:$J$1074,J$1)</f>
        <v>0</v>
      </c>
      <c r="K42" s="207">
        <f>SUMIFS('октябрь 2023'!$G$4:$G$1074,'октябрь 2023'!$D$4:$D$1074,$B42,'октябрь 2023'!$J$4:$J$1074,K$1)</f>
        <v>0</v>
      </c>
      <c r="L42" s="207">
        <f>SUMIFS('октябрь 2023'!$G$4:$G$1074,'октябрь 2023'!$D$4:$D$1074,$B42,'октябрь 2023'!$J$4:$J$1074,L$1)</f>
        <v>0</v>
      </c>
      <c r="M42" s="207">
        <f>SUMIFS('октябрь 2023'!$G$4:$G$1074,'октябрь 2023'!$D$4:$D$1074,$B42,'октябрь 2023'!$J$4:$J$1074,M$1)</f>
        <v>0</v>
      </c>
      <c r="N42" s="207">
        <f>SUMIFS('октябрь 2023'!$G$4:$G$1074,'октябрь 2023'!$D$4:$D$1074,$B42,'октябрь 2023'!$J$4:$J$1074,N$1)</f>
        <v>0</v>
      </c>
      <c r="O42" s="207">
        <f>SUMIFS('октябрь 2023'!$G$4:$G$1074,'октябрь 2023'!$D$4:$D$1074,$B42,'октябрь 2023'!$J$4:$J$1074,O$1)</f>
        <v>0</v>
      </c>
      <c r="P42" s="207">
        <f>SUMIFS('октябрь 2023'!$G$4:$G$1074,'октябрь 2023'!$D$4:$D$1074,$B42,'октябрь 2023'!$J$4:$J$1074,P$1)</f>
        <v>0</v>
      </c>
      <c r="Q42" s="207">
        <f>SUMIFS('октябрь 2023'!$G$4:$G$1074,'октябрь 2023'!$D$4:$D$1074,$B42,'октябрь 2023'!$J$4:$J$1074,Q$1)</f>
        <v>0</v>
      </c>
      <c r="R42" s="207">
        <f>SUMIFS('октябрь 2023'!$G$4:$G$1074,'октябрь 2023'!$D$4:$D$1074,$B42,'октябрь 2023'!$J$4:$J$1074,R$1)</f>
        <v>0</v>
      </c>
      <c r="S42" s="207">
        <f>SUMIFS('октябрь 2023'!$G$4:$G$1074,'октябрь 2023'!$D$4:$D$1074,$B42,'октябрь 2023'!$J$4:$J$1074,S$1)</f>
        <v>0</v>
      </c>
      <c r="T42" s="207">
        <f>SUMIFS('октябрь 2023'!$G$4:$G$1074,'октябрь 2023'!$D$4:$D$1074,$B42,'октябрь 2023'!$J$4:$J$1074,T$1)</f>
        <v>0</v>
      </c>
      <c r="U42" s="207">
        <f>SUMIFS('октябрь 2023'!$G$4:$G$1074,'октябрь 2023'!$D$4:$D$1074,$B42,'октябрь 2023'!$J$4:$J$1074,U$1)</f>
        <v>0</v>
      </c>
      <c r="V42" s="207">
        <f>SUMIFS('октябрь 2023'!$G$4:$G$1074,'октябрь 2023'!$D$4:$D$1074,$B42,'октябрь 2023'!$J$4:$J$1074,V$1)</f>
        <v>0</v>
      </c>
      <c r="W42" s="207">
        <f>SUMIFS('октябрь 2023'!$G$4:$G$1074,'октябрь 2023'!$D$4:$D$1074,$B42,'октябрь 2023'!$J$4:$J$1074,W$1)</f>
        <v>0</v>
      </c>
      <c r="X42" s="207">
        <f>SUMIFS('октябрь 2023'!$G$4:$G$1074,'октябрь 2023'!$D$4:$D$1074,$B42,'октябрь 2023'!$J$4:$J$1074,X$1)</f>
        <v>0</v>
      </c>
      <c r="Y42" s="207">
        <f>SUMIFS('октябрь 2023'!$G$4:$G$1074,'октябрь 2023'!$D$4:$D$1074,$B42,'октябрь 2023'!$J$4:$J$1074,Y$1)</f>
        <v>0</v>
      </c>
      <c r="Z42" s="207">
        <f>SUMIFS('октябрь 2023'!$G$4:$G$1074,'октябрь 2023'!$D$4:$D$1074,$B42,'октябрь 2023'!$J$4:$J$1074,Z$1)</f>
        <v>0</v>
      </c>
      <c r="AA42" s="207">
        <f>SUMIFS('октябрь 2023'!$G$4:$G$1074,'октябрь 2023'!$D$4:$D$1074,$B42,'октябрь 2023'!$J$4:$J$1074,AA$1)</f>
        <v>0</v>
      </c>
      <c r="AB42" s="207">
        <f>SUMIFS('октябрь 2023'!$G$4:$G$1074,'октябрь 2023'!$D$4:$D$1074,$B42,'октябрь 2023'!$J$4:$J$1074,AB$1)</f>
        <v>0</v>
      </c>
      <c r="AC42" s="207">
        <f>SUMIFS('октябрь 2023'!$G$4:$G$1074,'октябрь 2023'!$D$4:$D$1074,$B42,'октябрь 2023'!$J$4:$J$1074,AC$1)</f>
        <v>0</v>
      </c>
      <c r="AD42" s="207">
        <f>SUMIFS('октябрь 2023'!$G$4:$G$1074,'октябрь 2023'!$D$4:$D$1074,$B42,'октябрь 2023'!$J$4:$J$1074,AD$1)</f>
        <v>0</v>
      </c>
      <c r="AE42" s="207">
        <f>SUMIFS('октябрь 2023'!$G$4:$G$1074,'октябрь 2023'!$D$4:$D$1074,$B42,'октябрь 2023'!$J$4:$J$1074,AE$1)</f>
        <v>0</v>
      </c>
      <c r="AF42" s="207">
        <f>SUMIFS('октябрь 2023'!$G$4:$G$1074,'октябрь 2023'!$D$4:$D$1074,$B42,'октябрь 2023'!$J$4:$J$1074,AF$1)</f>
        <v>0</v>
      </c>
      <c r="AG42" s="207">
        <f>SUMIFS('октябрь 2023'!$G$4:$G$1074,'октябрь 2023'!$D$4:$D$1074,$B42,'октябрь 2023'!$J$4:$J$1074,AG$1)</f>
        <v>0</v>
      </c>
      <c r="AH42" s="207">
        <f>SUMIFS('октябрь 2023'!$G$4:$G$1074,'октябрь 2023'!$D$4:$D$1074,$B42,'октябрь 2023'!$J$4:$J$1074,AH$1)</f>
        <v>310</v>
      </c>
      <c r="AI42" s="170">
        <f t="shared" si="1"/>
        <v>310</v>
      </c>
    </row>
    <row r="43" spans="2:35" ht="15" customHeight="1" x14ac:dyDescent="0.25">
      <c r="B43" s="216" t="s">
        <v>684</v>
      </c>
      <c r="C43" s="213">
        <v>20</v>
      </c>
      <c r="D43" s="207">
        <f>SUMIFS('октябрь 2023'!$G$4:$G$1074,'октябрь 2023'!$D$4:$D$1074,$B43,'октябрь 2023'!$J$4:$J$1074,D$1)</f>
        <v>0</v>
      </c>
      <c r="E43" s="207">
        <f>SUMIFS('октябрь 2023'!$G$4:$G$1074,'октябрь 2023'!$D$4:$D$1074,$B43,'октябрь 2023'!$J$4:$J$1074,E$1)</f>
        <v>0</v>
      </c>
      <c r="F43" s="207">
        <f>SUMIFS('октябрь 2023'!$G$4:$G$1074,'октябрь 2023'!$D$4:$D$1074,$B43,'октябрь 2023'!$J$4:$J$1074,F$1)</f>
        <v>0</v>
      </c>
      <c r="G43" s="207">
        <f>SUMIFS('октябрь 2023'!$G$4:$G$1074,'октябрь 2023'!$D$4:$D$1074,$B43,'октябрь 2023'!$J$4:$J$1074,G$1)</f>
        <v>0</v>
      </c>
      <c r="H43" s="207">
        <f>SUMIFS('октябрь 2023'!$G$4:$G$1074,'октябрь 2023'!$D$4:$D$1074,$B43,'октябрь 2023'!$J$4:$J$1074,H$1)</f>
        <v>0</v>
      </c>
      <c r="I43" s="207">
        <f>SUMIFS('октябрь 2023'!$G$4:$G$1074,'октябрь 2023'!$D$4:$D$1074,$B43,'октябрь 2023'!$J$4:$J$1074,I$1)</f>
        <v>0</v>
      </c>
      <c r="J43" s="207">
        <f>SUMIFS('октябрь 2023'!$G$4:$G$1074,'октябрь 2023'!$D$4:$D$1074,$B43,'октябрь 2023'!$J$4:$J$1074,J$1)</f>
        <v>0</v>
      </c>
      <c r="K43" s="207">
        <f>SUMIFS('октябрь 2023'!$G$4:$G$1074,'октябрь 2023'!$D$4:$D$1074,$B43,'октябрь 2023'!$J$4:$J$1074,K$1)</f>
        <v>0</v>
      </c>
      <c r="L43" s="207">
        <f>SUMIFS('октябрь 2023'!$G$4:$G$1074,'октябрь 2023'!$D$4:$D$1074,$B43,'октябрь 2023'!$J$4:$J$1074,L$1)</f>
        <v>0</v>
      </c>
      <c r="M43" s="207">
        <f>SUMIFS('октябрь 2023'!$G$4:$G$1074,'октябрь 2023'!$D$4:$D$1074,$B43,'октябрь 2023'!$J$4:$J$1074,M$1)</f>
        <v>0</v>
      </c>
      <c r="N43" s="207">
        <f>SUMIFS('октябрь 2023'!$G$4:$G$1074,'октябрь 2023'!$D$4:$D$1074,$B43,'октябрь 2023'!$J$4:$J$1074,N$1)</f>
        <v>0</v>
      </c>
      <c r="O43" s="207">
        <f>SUMIFS('октябрь 2023'!$G$4:$G$1074,'октябрь 2023'!$D$4:$D$1074,$B43,'октябрь 2023'!$J$4:$J$1074,O$1)</f>
        <v>0</v>
      </c>
      <c r="P43" s="207">
        <f>SUMIFS('октябрь 2023'!$G$4:$G$1074,'октябрь 2023'!$D$4:$D$1074,$B43,'октябрь 2023'!$J$4:$J$1074,P$1)</f>
        <v>0</v>
      </c>
      <c r="Q43" s="207">
        <f>SUMIFS('октябрь 2023'!$G$4:$G$1074,'октябрь 2023'!$D$4:$D$1074,$B43,'октябрь 2023'!$J$4:$J$1074,Q$1)</f>
        <v>0</v>
      </c>
      <c r="R43" s="207">
        <f>SUMIFS('октябрь 2023'!$G$4:$G$1074,'октябрь 2023'!$D$4:$D$1074,$B43,'октябрь 2023'!$J$4:$J$1074,R$1)</f>
        <v>0</v>
      </c>
      <c r="S43" s="207">
        <f>SUMIFS('октябрь 2023'!$G$4:$G$1074,'октябрь 2023'!$D$4:$D$1074,$B43,'октябрь 2023'!$J$4:$J$1074,S$1)</f>
        <v>0</v>
      </c>
      <c r="T43" s="207">
        <f>SUMIFS('октябрь 2023'!$G$4:$G$1074,'октябрь 2023'!$D$4:$D$1074,$B43,'октябрь 2023'!$J$4:$J$1074,T$1)</f>
        <v>0</v>
      </c>
      <c r="U43" s="207">
        <f>SUMIFS('октябрь 2023'!$G$4:$G$1074,'октябрь 2023'!$D$4:$D$1074,$B43,'октябрь 2023'!$J$4:$J$1074,U$1)</f>
        <v>0</v>
      </c>
      <c r="V43" s="207">
        <f>SUMIFS('октябрь 2023'!$G$4:$G$1074,'октябрь 2023'!$D$4:$D$1074,$B43,'октябрь 2023'!$J$4:$J$1074,V$1)</f>
        <v>0</v>
      </c>
      <c r="W43" s="207">
        <f>SUMIFS('октябрь 2023'!$G$4:$G$1074,'октябрь 2023'!$D$4:$D$1074,$B43,'октябрь 2023'!$J$4:$J$1074,W$1)</f>
        <v>0</v>
      </c>
      <c r="X43" s="207">
        <f>SUMIFS('октябрь 2023'!$G$4:$G$1074,'октябрь 2023'!$D$4:$D$1074,$B43,'октябрь 2023'!$J$4:$J$1074,X$1)</f>
        <v>0</v>
      </c>
      <c r="Y43" s="207">
        <f>SUMIFS('октябрь 2023'!$G$4:$G$1074,'октябрь 2023'!$D$4:$D$1074,$B43,'октябрь 2023'!$J$4:$J$1074,Y$1)</f>
        <v>0</v>
      </c>
      <c r="Z43" s="207">
        <f>SUMIFS('октябрь 2023'!$G$4:$G$1074,'октябрь 2023'!$D$4:$D$1074,$B43,'октябрь 2023'!$J$4:$J$1074,Z$1)</f>
        <v>0</v>
      </c>
      <c r="AA43" s="207">
        <f>SUMIFS('октябрь 2023'!$G$4:$G$1074,'октябрь 2023'!$D$4:$D$1074,$B43,'октябрь 2023'!$J$4:$J$1074,AA$1)</f>
        <v>0</v>
      </c>
      <c r="AB43" s="207">
        <f>SUMIFS('октябрь 2023'!$G$4:$G$1074,'октябрь 2023'!$D$4:$D$1074,$B43,'октябрь 2023'!$J$4:$J$1074,AB$1)</f>
        <v>0</v>
      </c>
      <c r="AC43" s="207">
        <f>SUMIFS('октябрь 2023'!$G$4:$G$1074,'октябрь 2023'!$D$4:$D$1074,$B43,'октябрь 2023'!$J$4:$J$1074,AC$1)</f>
        <v>0</v>
      </c>
      <c r="AD43" s="207">
        <f>SUMIFS('октябрь 2023'!$G$4:$G$1074,'октябрь 2023'!$D$4:$D$1074,$B43,'октябрь 2023'!$J$4:$J$1074,AD$1)</f>
        <v>0</v>
      </c>
      <c r="AE43" s="207">
        <f>SUMIFS('октябрь 2023'!$G$4:$G$1074,'октябрь 2023'!$D$4:$D$1074,$B43,'октябрь 2023'!$J$4:$J$1074,AE$1)</f>
        <v>0</v>
      </c>
      <c r="AF43" s="207">
        <f>SUMIFS('октябрь 2023'!$G$4:$G$1074,'октябрь 2023'!$D$4:$D$1074,$B43,'октябрь 2023'!$J$4:$J$1074,AF$1)</f>
        <v>0</v>
      </c>
      <c r="AG43" s="207">
        <f>SUMIFS('октябрь 2023'!$G$4:$G$1074,'октябрь 2023'!$D$4:$D$1074,$B43,'октябрь 2023'!$J$4:$J$1074,AG$1)</f>
        <v>0</v>
      </c>
      <c r="AH43" s="207">
        <f>SUMIFS('октябрь 2023'!$G$4:$G$1074,'октябрь 2023'!$D$4:$D$1074,$B43,'октябрь 2023'!$J$4:$J$1074,AH$1)</f>
        <v>0</v>
      </c>
      <c r="AI43" s="170">
        <f t="shared" si="1"/>
        <v>0</v>
      </c>
    </row>
    <row r="44" spans="2:35" ht="15" customHeight="1" x14ac:dyDescent="0.25">
      <c r="B44" s="212" t="s">
        <v>1062</v>
      </c>
      <c r="C44" s="215">
        <v>20</v>
      </c>
      <c r="D44" s="207">
        <f>SUMIFS('октябрь 2023'!$G$4:$G$1074,'октябрь 2023'!$D$4:$D$1074,$B44,'октябрь 2023'!$J$4:$J$1074,D$1)</f>
        <v>0</v>
      </c>
      <c r="E44" s="207">
        <f>SUMIFS('октябрь 2023'!$G$4:$G$1074,'октябрь 2023'!$D$4:$D$1074,$B44,'октябрь 2023'!$J$4:$J$1074,E$1)</f>
        <v>0</v>
      </c>
      <c r="F44" s="207">
        <f>SUMIFS('октябрь 2023'!$G$4:$G$1074,'октябрь 2023'!$D$4:$D$1074,$B44,'октябрь 2023'!$J$4:$J$1074,F$1)</f>
        <v>0</v>
      </c>
      <c r="G44" s="207">
        <f>SUMIFS('октябрь 2023'!$G$4:$G$1074,'октябрь 2023'!$D$4:$D$1074,$B44,'октябрь 2023'!$J$4:$J$1074,G$1)</f>
        <v>0</v>
      </c>
      <c r="H44" s="207">
        <f>SUMIFS('октябрь 2023'!$G$4:$G$1074,'октябрь 2023'!$D$4:$D$1074,$B44,'октябрь 2023'!$J$4:$J$1074,H$1)</f>
        <v>0</v>
      </c>
      <c r="I44" s="207">
        <f>SUMIFS('октябрь 2023'!$G$4:$G$1074,'октябрь 2023'!$D$4:$D$1074,$B44,'октябрь 2023'!$J$4:$J$1074,I$1)</f>
        <v>0</v>
      </c>
      <c r="J44" s="207">
        <f>SUMIFS('октябрь 2023'!$G$4:$G$1074,'октябрь 2023'!$D$4:$D$1074,$B44,'октябрь 2023'!$J$4:$J$1074,J$1)</f>
        <v>0</v>
      </c>
      <c r="K44" s="207">
        <f>SUMIFS('октябрь 2023'!$G$4:$G$1074,'октябрь 2023'!$D$4:$D$1074,$B44,'октябрь 2023'!$J$4:$J$1074,K$1)</f>
        <v>0</v>
      </c>
      <c r="L44" s="207">
        <f>SUMIFS('октябрь 2023'!$G$4:$G$1074,'октябрь 2023'!$D$4:$D$1074,$B44,'октябрь 2023'!$J$4:$J$1074,L$1)</f>
        <v>0</v>
      </c>
      <c r="M44" s="207">
        <f>SUMIFS('октябрь 2023'!$G$4:$G$1074,'октябрь 2023'!$D$4:$D$1074,$B44,'октябрь 2023'!$J$4:$J$1074,M$1)</f>
        <v>0</v>
      </c>
      <c r="N44" s="207">
        <f>SUMIFS('октябрь 2023'!$G$4:$G$1074,'октябрь 2023'!$D$4:$D$1074,$B44,'октябрь 2023'!$J$4:$J$1074,N$1)</f>
        <v>0</v>
      </c>
      <c r="O44" s="207">
        <f>SUMIFS('октябрь 2023'!$G$4:$G$1074,'октябрь 2023'!$D$4:$D$1074,$B44,'октябрь 2023'!$J$4:$J$1074,O$1)</f>
        <v>0</v>
      </c>
      <c r="P44" s="207">
        <f>SUMIFS('октябрь 2023'!$G$4:$G$1074,'октябрь 2023'!$D$4:$D$1074,$B44,'октябрь 2023'!$J$4:$J$1074,P$1)</f>
        <v>0</v>
      </c>
      <c r="Q44" s="207">
        <f>SUMIFS('октябрь 2023'!$G$4:$G$1074,'октябрь 2023'!$D$4:$D$1074,$B44,'октябрь 2023'!$J$4:$J$1074,Q$1)</f>
        <v>0</v>
      </c>
      <c r="R44" s="207">
        <f>SUMIFS('октябрь 2023'!$G$4:$G$1074,'октябрь 2023'!$D$4:$D$1074,$B44,'октябрь 2023'!$J$4:$J$1074,R$1)</f>
        <v>0</v>
      </c>
      <c r="S44" s="207">
        <f>SUMIFS('октябрь 2023'!$G$4:$G$1074,'октябрь 2023'!$D$4:$D$1074,$B44,'октябрь 2023'!$J$4:$J$1074,S$1)</f>
        <v>0</v>
      </c>
      <c r="T44" s="207">
        <f>SUMIFS('октябрь 2023'!$G$4:$G$1074,'октябрь 2023'!$D$4:$D$1074,$B44,'октябрь 2023'!$J$4:$J$1074,T$1)</f>
        <v>0</v>
      </c>
      <c r="U44" s="207">
        <f>SUMIFS('октябрь 2023'!$G$4:$G$1074,'октябрь 2023'!$D$4:$D$1074,$B44,'октябрь 2023'!$J$4:$J$1074,U$1)</f>
        <v>0</v>
      </c>
      <c r="V44" s="207">
        <f>SUMIFS('октябрь 2023'!$G$4:$G$1074,'октябрь 2023'!$D$4:$D$1074,$B44,'октябрь 2023'!$J$4:$J$1074,V$1)</f>
        <v>0</v>
      </c>
      <c r="W44" s="207">
        <f>SUMIFS('октябрь 2023'!$G$4:$G$1074,'октябрь 2023'!$D$4:$D$1074,$B44,'октябрь 2023'!$J$4:$J$1074,W$1)</f>
        <v>0</v>
      </c>
      <c r="X44" s="207">
        <f>SUMIFS('октябрь 2023'!$G$4:$G$1074,'октябрь 2023'!$D$4:$D$1074,$B44,'октябрь 2023'!$J$4:$J$1074,X$1)</f>
        <v>0</v>
      </c>
      <c r="Y44" s="207">
        <f>SUMIFS('октябрь 2023'!$G$4:$G$1074,'октябрь 2023'!$D$4:$D$1074,$B44,'октябрь 2023'!$J$4:$J$1074,Y$1)</f>
        <v>0</v>
      </c>
      <c r="Z44" s="207">
        <f>SUMIFS('октябрь 2023'!$G$4:$G$1074,'октябрь 2023'!$D$4:$D$1074,$B44,'октябрь 2023'!$J$4:$J$1074,Z$1)</f>
        <v>0</v>
      </c>
      <c r="AA44" s="207">
        <f>SUMIFS('октябрь 2023'!$G$4:$G$1074,'октябрь 2023'!$D$4:$D$1074,$B44,'октябрь 2023'!$J$4:$J$1074,AA$1)</f>
        <v>0</v>
      </c>
      <c r="AB44" s="207">
        <f>SUMIFS('октябрь 2023'!$G$4:$G$1074,'октябрь 2023'!$D$4:$D$1074,$B44,'октябрь 2023'!$J$4:$J$1074,AB$1)</f>
        <v>0</v>
      </c>
      <c r="AC44" s="207">
        <f>SUMIFS('октябрь 2023'!$G$4:$G$1074,'октябрь 2023'!$D$4:$D$1074,$B44,'октябрь 2023'!$J$4:$J$1074,AC$1)</f>
        <v>0</v>
      </c>
      <c r="AD44" s="207">
        <f>SUMIFS('октябрь 2023'!$G$4:$G$1074,'октябрь 2023'!$D$4:$D$1074,$B44,'октябрь 2023'!$J$4:$J$1074,AD$1)</f>
        <v>0</v>
      </c>
      <c r="AE44" s="207">
        <f>SUMIFS('октябрь 2023'!$G$4:$G$1074,'октябрь 2023'!$D$4:$D$1074,$B44,'октябрь 2023'!$J$4:$J$1074,AE$1)</f>
        <v>0</v>
      </c>
      <c r="AF44" s="207">
        <f>SUMIFS('октябрь 2023'!$G$4:$G$1074,'октябрь 2023'!$D$4:$D$1074,$B44,'октябрь 2023'!$J$4:$J$1074,AF$1)</f>
        <v>0</v>
      </c>
      <c r="AG44" s="207">
        <f>SUMIFS('октябрь 2023'!$G$4:$G$1074,'октябрь 2023'!$D$4:$D$1074,$B44,'октябрь 2023'!$J$4:$J$1074,AG$1)</f>
        <v>0</v>
      </c>
      <c r="AH44" s="207">
        <f>SUMIFS('октябрь 2023'!$G$4:$G$1074,'октябрь 2023'!$D$4:$D$1074,$B44,'октябрь 2023'!$J$4:$J$1074,AH$1)</f>
        <v>0</v>
      </c>
      <c r="AI44" s="170">
        <f t="shared" si="1"/>
        <v>0</v>
      </c>
    </row>
    <row r="45" spans="2:35" ht="15" customHeight="1" x14ac:dyDescent="0.25">
      <c r="B45" s="212" t="s">
        <v>1084</v>
      </c>
      <c r="C45" s="211">
        <v>20</v>
      </c>
      <c r="D45" s="207">
        <f>SUMIFS('октябрь 2023'!$G$4:$G$1074,'октябрь 2023'!$D$4:$D$1074,$B45,'октябрь 2023'!$J$4:$J$1074,D$1)</f>
        <v>0</v>
      </c>
      <c r="E45" s="207">
        <f>SUMIFS('октябрь 2023'!$G$4:$G$1074,'октябрь 2023'!$D$4:$D$1074,$B45,'октябрь 2023'!$J$4:$J$1074,E$1)</f>
        <v>0</v>
      </c>
      <c r="F45" s="207">
        <f>SUMIFS('октябрь 2023'!$G$4:$G$1074,'октябрь 2023'!$D$4:$D$1074,$B45,'октябрь 2023'!$J$4:$J$1074,F$1)</f>
        <v>0</v>
      </c>
      <c r="G45" s="207">
        <f>SUMIFS('октябрь 2023'!$G$4:$G$1074,'октябрь 2023'!$D$4:$D$1074,$B45,'октябрь 2023'!$J$4:$J$1074,G$1)</f>
        <v>0</v>
      </c>
      <c r="H45" s="207">
        <f>SUMIFS('октябрь 2023'!$G$4:$G$1074,'октябрь 2023'!$D$4:$D$1074,$B45,'октябрь 2023'!$J$4:$J$1074,H$1)</f>
        <v>0</v>
      </c>
      <c r="I45" s="207">
        <f>SUMIFS('октябрь 2023'!$G$4:$G$1074,'октябрь 2023'!$D$4:$D$1074,$B45,'октябрь 2023'!$J$4:$J$1074,I$1)</f>
        <v>0</v>
      </c>
      <c r="J45" s="207">
        <f>SUMIFS('октябрь 2023'!$G$4:$G$1074,'октябрь 2023'!$D$4:$D$1074,$B45,'октябрь 2023'!$J$4:$J$1074,J$1)</f>
        <v>0</v>
      </c>
      <c r="K45" s="207">
        <f>SUMIFS('октябрь 2023'!$G$4:$G$1074,'октябрь 2023'!$D$4:$D$1074,$B45,'октябрь 2023'!$J$4:$J$1074,K$1)</f>
        <v>0</v>
      </c>
      <c r="L45" s="207">
        <f>SUMIFS('октябрь 2023'!$G$4:$G$1074,'октябрь 2023'!$D$4:$D$1074,$B45,'октябрь 2023'!$J$4:$J$1074,L$1)</f>
        <v>0</v>
      </c>
      <c r="M45" s="207">
        <f>SUMIFS('октябрь 2023'!$G$4:$G$1074,'октябрь 2023'!$D$4:$D$1074,$B45,'октябрь 2023'!$J$4:$J$1074,M$1)</f>
        <v>0</v>
      </c>
      <c r="N45" s="207">
        <f>SUMIFS('октябрь 2023'!$G$4:$G$1074,'октябрь 2023'!$D$4:$D$1074,$B45,'октябрь 2023'!$J$4:$J$1074,N$1)</f>
        <v>0</v>
      </c>
      <c r="O45" s="207">
        <f>SUMIFS('октябрь 2023'!$G$4:$G$1074,'октябрь 2023'!$D$4:$D$1074,$B45,'октябрь 2023'!$J$4:$J$1074,O$1)</f>
        <v>0</v>
      </c>
      <c r="P45" s="207">
        <f>SUMIFS('октябрь 2023'!$G$4:$G$1074,'октябрь 2023'!$D$4:$D$1074,$B45,'октябрь 2023'!$J$4:$J$1074,P$1)</f>
        <v>0</v>
      </c>
      <c r="Q45" s="207">
        <f>SUMIFS('октябрь 2023'!$G$4:$G$1074,'октябрь 2023'!$D$4:$D$1074,$B45,'октябрь 2023'!$J$4:$J$1074,Q$1)</f>
        <v>0</v>
      </c>
      <c r="R45" s="207">
        <f>SUMIFS('октябрь 2023'!$G$4:$G$1074,'октябрь 2023'!$D$4:$D$1074,$B45,'октябрь 2023'!$J$4:$J$1074,R$1)</f>
        <v>0</v>
      </c>
      <c r="S45" s="207">
        <f>SUMIFS('октябрь 2023'!$G$4:$G$1074,'октябрь 2023'!$D$4:$D$1074,$B45,'октябрь 2023'!$J$4:$J$1074,S$1)</f>
        <v>0</v>
      </c>
      <c r="T45" s="207">
        <f>SUMIFS('октябрь 2023'!$G$4:$G$1074,'октябрь 2023'!$D$4:$D$1074,$B45,'октябрь 2023'!$J$4:$J$1074,T$1)</f>
        <v>0</v>
      </c>
      <c r="U45" s="207">
        <f>SUMIFS('октябрь 2023'!$G$4:$G$1074,'октябрь 2023'!$D$4:$D$1074,$B45,'октябрь 2023'!$J$4:$J$1074,U$1)</f>
        <v>0</v>
      </c>
      <c r="V45" s="207">
        <f>SUMIFS('октябрь 2023'!$G$4:$G$1074,'октябрь 2023'!$D$4:$D$1074,$B45,'октябрь 2023'!$J$4:$J$1074,V$1)</f>
        <v>0</v>
      </c>
      <c r="W45" s="207">
        <f>SUMIFS('октябрь 2023'!$G$4:$G$1074,'октябрь 2023'!$D$4:$D$1074,$B45,'октябрь 2023'!$J$4:$J$1074,W$1)</f>
        <v>0</v>
      </c>
      <c r="X45" s="207">
        <f>SUMIFS('октябрь 2023'!$G$4:$G$1074,'октябрь 2023'!$D$4:$D$1074,$B45,'октябрь 2023'!$J$4:$J$1074,X$1)</f>
        <v>0</v>
      </c>
      <c r="Y45" s="207">
        <f>SUMIFS('октябрь 2023'!$G$4:$G$1074,'октябрь 2023'!$D$4:$D$1074,$B45,'октябрь 2023'!$J$4:$J$1074,Y$1)</f>
        <v>0</v>
      </c>
      <c r="Z45" s="207">
        <f>SUMIFS('октябрь 2023'!$G$4:$G$1074,'октябрь 2023'!$D$4:$D$1074,$B45,'октябрь 2023'!$J$4:$J$1074,Z$1)</f>
        <v>0</v>
      </c>
      <c r="AA45" s="207">
        <f>SUMIFS('октябрь 2023'!$G$4:$G$1074,'октябрь 2023'!$D$4:$D$1074,$B45,'октябрь 2023'!$J$4:$J$1074,AA$1)</f>
        <v>0</v>
      </c>
      <c r="AB45" s="207">
        <f>SUMIFS('октябрь 2023'!$G$4:$G$1074,'октябрь 2023'!$D$4:$D$1074,$B45,'октябрь 2023'!$J$4:$J$1074,AB$1)</f>
        <v>0</v>
      </c>
      <c r="AC45" s="207">
        <f>SUMIFS('октябрь 2023'!$G$4:$G$1074,'октябрь 2023'!$D$4:$D$1074,$B45,'октябрь 2023'!$J$4:$J$1074,AC$1)</f>
        <v>0</v>
      </c>
      <c r="AD45" s="207">
        <f>SUMIFS('октябрь 2023'!$G$4:$G$1074,'октябрь 2023'!$D$4:$D$1074,$B45,'октябрь 2023'!$J$4:$J$1074,AD$1)</f>
        <v>0</v>
      </c>
      <c r="AE45" s="207">
        <f>SUMIFS('октябрь 2023'!$G$4:$G$1074,'октябрь 2023'!$D$4:$D$1074,$B45,'октябрь 2023'!$J$4:$J$1074,AE$1)</f>
        <v>0</v>
      </c>
      <c r="AF45" s="207">
        <f>SUMIFS('октябрь 2023'!$G$4:$G$1074,'октябрь 2023'!$D$4:$D$1074,$B45,'октябрь 2023'!$J$4:$J$1074,AF$1)</f>
        <v>0</v>
      </c>
      <c r="AG45" s="207">
        <f>SUMIFS('октябрь 2023'!$G$4:$G$1074,'октябрь 2023'!$D$4:$D$1074,$B45,'октябрь 2023'!$J$4:$J$1074,AG$1)</f>
        <v>0</v>
      </c>
      <c r="AH45" s="207">
        <f>SUMIFS('октябрь 2023'!$G$4:$G$1074,'октябрь 2023'!$D$4:$D$1074,$B45,'октябрь 2023'!$J$4:$J$1074,AH$1)</f>
        <v>0</v>
      </c>
      <c r="AI45" s="170">
        <f t="shared" si="1"/>
        <v>0</v>
      </c>
    </row>
    <row r="46" spans="2:35" ht="15" customHeight="1" x14ac:dyDescent="0.25">
      <c r="B46" s="212" t="s">
        <v>440</v>
      </c>
      <c r="C46" s="213">
        <v>20</v>
      </c>
      <c r="D46" s="207">
        <f>SUMIFS('октябрь 2023'!$G$4:$G$1074,'октябрь 2023'!$D$4:$D$1074,$B46,'октябрь 2023'!$J$4:$J$1074,D$1)</f>
        <v>0</v>
      </c>
      <c r="E46" s="207">
        <f>SUMIFS('октябрь 2023'!$G$4:$G$1074,'октябрь 2023'!$D$4:$D$1074,$B46,'октябрь 2023'!$J$4:$J$1074,E$1)</f>
        <v>0</v>
      </c>
      <c r="F46" s="207">
        <f>SUMIFS('октябрь 2023'!$G$4:$G$1074,'октябрь 2023'!$D$4:$D$1074,$B46,'октябрь 2023'!$J$4:$J$1074,F$1)</f>
        <v>500</v>
      </c>
      <c r="G46" s="207">
        <f>SUMIFS('октябрь 2023'!$G$4:$G$1074,'октябрь 2023'!$D$4:$D$1074,$B46,'октябрь 2023'!$J$4:$J$1074,G$1)</f>
        <v>0</v>
      </c>
      <c r="H46" s="207">
        <f>SUMIFS('октябрь 2023'!$G$4:$G$1074,'октябрь 2023'!$D$4:$D$1074,$B46,'октябрь 2023'!$J$4:$J$1074,H$1)</f>
        <v>0</v>
      </c>
      <c r="I46" s="207">
        <f>SUMIFS('октябрь 2023'!$G$4:$G$1074,'октябрь 2023'!$D$4:$D$1074,$B46,'октябрь 2023'!$J$4:$J$1074,I$1)</f>
        <v>0</v>
      </c>
      <c r="J46" s="207">
        <f>SUMIFS('октябрь 2023'!$G$4:$G$1074,'октябрь 2023'!$D$4:$D$1074,$B46,'октябрь 2023'!$J$4:$J$1074,J$1)</f>
        <v>0</v>
      </c>
      <c r="K46" s="207">
        <f>SUMIFS('октябрь 2023'!$G$4:$G$1074,'октябрь 2023'!$D$4:$D$1074,$B46,'октябрь 2023'!$J$4:$J$1074,K$1)</f>
        <v>0</v>
      </c>
      <c r="L46" s="207">
        <f>SUMIFS('октябрь 2023'!$G$4:$G$1074,'октябрь 2023'!$D$4:$D$1074,$B46,'октябрь 2023'!$J$4:$J$1074,L$1)</f>
        <v>0</v>
      </c>
      <c r="M46" s="207">
        <f>SUMIFS('октябрь 2023'!$G$4:$G$1074,'октябрь 2023'!$D$4:$D$1074,$B46,'октябрь 2023'!$J$4:$J$1074,M$1)</f>
        <v>0</v>
      </c>
      <c r="N46" s="207">
        <f>SUMIFS('октябрь 2023'!$G$4:$G$1074,'октябрь 2023'!$D$4:$D$1074,$B46,'октябрь 2023'!$J$4:$J$1074,N$1)</f>
        <v>0</v>
      </c>
      <c r="O46" s="207">
        <f>SUMIFS('октябрь 2023'!$G$4:$G$1074,'октябрь 2023'!$D$4:$D$1074,$B46,'октябрь 2023'!$J$4:$J$1074,O$1)</f>
        <v>0</v>
      </c>
      <c r="P46" s="207">
        <f>SUMIFS('октябрь 2023'!$G$4:$G$1074,'октябрь 2023'!$D$4:$D$1074,$B46,'октябрь 2023'!$J$4:$J$1074,P$1)</f>
        <v>0</v>
      </c>
      <c r="Q46" s="207">
        <f>SUMIFS('октябрь 2023'!$G$4:$G$1074,'октябрь 2023'!$D$4:$D$1074,$B46,'октябрь 2023'!$J$4:$J$1074,Q$1)</f>
        <v>0</v>
      </c>
      <c r="R46" s="207">
        <f>SUMIFS('октябрь 2023'!$G$4:$G$1074,'октябрь 2023'!$D$4:$D$1074,$B46,'октябрь 2023'!$J$4:$J$1074,R$1)</f>
        <v>0</v>
      </c>
      <c r="S46" s="207">
        <f>SUMIFS('октябрь 2023'!$G$4:$G$1074,'октябрь 2023'!$D$4:$D$1074,$B46,'октябрь 2023'!$J$4:$J$1074,S$1)</f>
        <v>0</v>
      </c>
      <c r="T46" s="207">
        <f>SUMIFS('октябрь 2023'!$G$4:$G$1074,'октябрь 2023'!$D$4:$D$1074,$B46,'октябрь 2023'!$J$4:$J$1074,T$1)</f>
        <v>0</v>
      </c>
      <c r="U46" s="207">
        <f>SUMIFS('октябрь 2023'!$G$4:$G$1074,'октябрь 2023'!$D$4:$D$1074,$B46,'октябрь 2023'!$J$4:$J$1074,U$1)</f>
        <v>0</v>
      </c>
      <c r="V46" s="207">
        <f>SUMIFS('октябрь 2023'!$G$4:$G$1074,'октябрь 2023'!$D$4:$D$1074,$B46,'октябрь 2023'!$J$4:$J$1074,V$1)</f>
        <v>0</v>
      </c>
      <c r="W46" s="207">
        <f>SUMIFS('октябрь 2023'!$G$4:$G$1074,'октябрь 2023'!$D$4:$D$1074,$B46,'октябрь 2023'!$J$4:$J$1074,W$1)</f>
        <v>0</v>
      </c>
      <c r="X46" s="207">
        <f>SUMIFS('октябрь 2023'!$G$4:$G$1074,'октябрь 2023'!$D$4:$D$1074,$B46,'октябрь 2023'!$J$4:$J$1074,X$1)</f>
        <v>0</v>
      </c>
      <c r="Y46" s="207">
        <f>SUMIFS('октябрь 2023'!$G$4:$G$1074,'октябрь 2023'!$D$4:$D$1074,$B46,'октябрь 2023'!$J$4:$J$1074,Y$1)</f>
        <v>0</v>
      </c>
      <c r="Z46" s="207">
        <f>SUMIFS('октябрь 2023'!$G$4:$G$1074,'октябрь 2023'!$D$4:$D$1074,$B46,'октябрь 2023'!$J$4:$J$1074,Z$1)</f>
        <v>0</v>
      </c>
      <c r="AA46" s="207">
        <f>SUMIFS('октябрь 2023'!$G$4:$G$1074,'октябрь 2023'!$D$4:$D$1074,$B46,'октябрь 2023'!$J$4:$J$1074,AA$1)</f>
        <v>0</v>
      </c>
      <c r="AB46" s="207">
        <f>SUMIFS('октябрь 2023'!$G$4:$G$1074,'октябрь 2023'!$D$4:$D$1074,$B46,'октябрь 2023'!$J$4:$J$1074,AB$1)</f>
        <v>0</v>
      </c>
      <c r="AC46" s="207">
        <f>SUMIFS('октябрь 2023'!$G$4:$G$1074,'октябрь 2023'!$D$4:$D$1074,$B46,'октябрь 2023'!$J$4:$J$1074,AC$1)</f>
        <v>0</v>
      </c>
      <c r="AD46" s="207">
        <f>SUMIFS('октябрь 2023'!$G$4:$G$1074,'октябрь 2023'!$D$4:$D$1074,$B46,'октябрь 2023'!$J$4:$J$1074,AD$1)</f>
        <v>0</v>
      </c>
      <c r="AE46" s="207">
        <f>SUMIFS('октябрь 2023'!$G$4:$G$1074,'октябрь 2023'!$D$4:$D$1074,$B46,'октябрь 2023'!$J$4:$J$1074,AE$1)</f>
        <v>0</v>
      </c>
      <c r="AF46" s="207">
        <f>SUMIFS('октябрь 2023'!$G$4:$G$1074,'октябрь 2023'!$D$4:$D$1074,$B46,'октябрь 2023'!$J$4:$J$1074,AF$1)</f>
        <v>0</v>
      </c>
      <c r="AG46" s="207">
        <f>SUMIFS('октябрь 2023'!$G$4:$G$1074,'октябрь 2023'!$D$4:$D$1074,$B46,'октябрь 2023'!$J$4:$J$1074,AG$1)</f>
        <v>0</v>
      </c>
      <c r="AH46" s="207">
        <f>SUMIFS('октябрь 2023'!$G$4:$G$1074,'октябрь 2023'!$D$4:$D$1074,$B46,'октябрь 2023'!$J$4:$J$1074,AH$1)</f>
        <v>0</v>
      </c>
      <c r="AI46" s="170">
        <f t="shared" si="1"/>
        <v>500</v>
      </c>
    </row>
    <row r="47" spans="2:35" ht="15" customHeight="1" x14ac:dyDescent="0.25">
      <c r="B47" s="212" t="s">
        <v>1573</v>
      </c>
      <c r="C47" s="213">
        <v>50</v>
      </c>
      <c r="D47" s="207">
        <f>SUMIFS('октябрь 2023'!$G$4:$G$1074,'октябрь 2023'!$D$4:$D$1074,$B47,'октябрь 2023'!$J$4:$J$1074,D$1)</f>
        <v>0</v>
      </c>
      <c r="E47" s="207">
        <f>SUMIFS('октябрь 2023'!$G$4:$G$1074,'октябрь 2023'!$D$4:$D$1074,$B47,'октябрь 2023'!$J$4:$J$1074,E$1)</f>
        <v>0</v>
      </c>
      <c r="F47" s="207">
        <f>SUMIFS('октябрь 2023'!$G$4:$G$1074,'октябрь 2023'!$D$4:$D$1074,$B47,'октябрь 2023'!$J$4:$J$1074,F$1)</f>
        <v>0</v>
      </c>
      <c r="G47" s="207">
        <f>SUMIFS('октябрь 2023'!$G$4:$G$1074,'октябрь 2023'!$D$4:$D$1074,$B47,'октябрь 2023'!$J$4:$J$1074,G$1)</f>
        <v>0</v>
      </c>
      <c r="H47" s="207">
        <f>SUMIFS('октябрь 2023'!$G$4:$G$1074,'октябрь 2023'!$D$4:$D$1074,$B47,'октябрь 2023'!$J$4:$J$1074,H$1)</f>
        <v>0</v>
      </c>
      <c r="I47" s="207">
        <f>SUMIFS('октябрь 2023'!$G$4:$G$1074,'октябрь 2023'!$D$4:$D$1074,$B47,'октябрь 2023'!$J$4:$J$1074,I$1)</f>
        <v>0</v>
      </c>
      <c r="J47" s="207">
        <f>SUMIFS('октябрь 2023'!$G$4:$G$1074,'октябрь 2023'!$D$4:$D$1074,$B47,'октябрь 2023'!$J$4:$J$1074,J$1)</f>
        <v>0</v>
      </c>
      <c r="K47" s="207">
        <f>SUMIFS('октябрь 2023'!$G$4:$G$1074,'октябрь 2023'!$D$4:$D$1074,$B47,'октябрь 2023'!$J$4:$J$1074,K$1)</f>
        <v>0</v>
      </c>
      <c r="L47" s="207">
        <f>SUMIFS('октябрь 2023'!$G$4:$G$1074,'октябрь 2023'!$D$4:$D$1074,$B47,'октябрь 2023'!$J$4:$J$1074,L$1)</f>
        <v>0</v>
      </c>
      <c r="M47" s="207">
        <f>SUMIFS('октябрь 2023'!$G$4:$G$1074,'октябрь 2023'!$D$4:$D$1074,$B47,'октябрь 2023'!$J$4:$J$1074,M$1)</f>
        <v>0</v>
      </c>
      <c r="N47" s="207">
        <f>SUMIFS('октябрь 2023'!$G$4:$G$1074,'октябрь 2023'!$D$4:$D$1074,$B47,'октябрь 2023'!$J$4:$J$1074,N$1)</f>
        <v>0</v>
      </c>
      <c r="O47" s="207">
        <f>SUMIFS('октябрь 2023'!$G$4:$G$1074,'октябрь 2023'!$D$4:$D$1074,$B47,'октябрь 2023'!$J$4:$J$1074,O$1)</f>
        <v>0</v>
      </c>
      <c r="P47" s="207">
        <f>SUMIFS('октябрь 2023'!$G$4:$G$1074,'октябрь 2023'!$D$4:$D$1074,$B47,'октябрь 2023'!$J$4:$J$1074,P$1)</f>
        <v>0</v>
      </c>
      <c r="Q47" s="207">
        <f>SUMIFS('октябрь 2023'!$G$4:$G$1074,'октябрь 2023'!$D$4:$D$1074,$B47,'октябрь 2023'!$J$4:$J$1074,Q$1)</f>
        <v>0</v>
      </c>
      <c r="R47" s="207">
        <f>SUMIFS('октябрь 2023'!$G$4:$G$1074,'октябрь 2023'!$D$4:$D$1074,$B47,'октябрь 2023'!$J$4:$J$1074,R$1)</f>
        <v>0</v>
      </c>
      <c r="S47" s="207">
        <f>SUMIFS('октябрь 2023'!$G$4:$G$1074,'октябрь 2023'!$D$4:$D$1074,$B47,'октябрь 2023'!$J$4:$J$1074,S$1)</f>
        <v>0</v>
      </c>
      <c r="T47" s="207">
        <f>SUMIFS('октябрь 2023'!$G$4:$G$1074,'октябрь 2023'!$D$4:$D$1074,$B47,'октябрь 2023'!$J$4:$J$1074,T$1)</f>
        <v>0</v>
      </c>
      <c r="U47" s="207">
        <f>SUMIFS('октябрь 2023'!$G$4:$G$1074,'октябрь 2023'!$D$4:$D$1074,$B47,'октябрь 2023'!$J$4:$J$1074,U$1)</f>
        <v>0</v>
      </c>
      <c r="V47" s="207">
        <f>SUMIFS('октябрь 2023'!$G$4:$G$1074,'октябрь 2023'!$D$4:$D$1074,$B47,'октябрь 2023'!$J$4:$J$1074,V$1)</f>
        <v>0</v>
      </c>
      <c r="W47" s="207">
        <f>SUMIFS('октябрь 2023'!$G$4:$G$1074,'октябрь 2023'!$D$4:$D$1074,$B47,'октябрь 2023'!$J$4:$J$1074,W$1)</f>
        <v>0</v>
      </c>
      <c r="X47" s="207">
        <f>SUMIFS('октябрь 2023'!$G$4:$G$1074,'октябрь 2023'!$D$4:$D$1074,$B47,'октябрь 2023'!$J$4:$J$1074,X$1)</f>
        <v>0</v>
      </c>
      <c r="Y47" s="207">
        <f>SUMIFS('октябрь 2023'!$G$4:$G$1074,'октябрь 2023'!$D$4:$D$1074,$B47,'октябрь 2023'!$J$4:$J$1074,Y$1)</f>
        <v>0</v>
      </c>
      <c r="Z47" s="207">
        <f>SUMIFS('октябрь 2023'!$G$4:$G$1074,'октябрь 2023'!$D$4:$D$1074,$B47,'октябрь 2023'!$J$4:$J$1074,Z$1)</f>
        <v>0</v>
      </c>
      <c r="AA47" s="207">
        <f>SUMIFS('октябрь 2023'!$G$4:$G$1074,'октябрь 2023'!$D$4:$D$1074,$B47,'октябрь 2023'!$J$4:$J$1074,AA$1)</f>
        <v>0</v>
      </c>
      <c r="AB47" s="207">
        <f>SUMIFS('октябрь 2023'!$G$4:$G$1074,'октябрь 2023'!$D$4:$D$1074,$B47,'октябрь 2023'!$J$4:$J$1074,AB$1)</f>
        <v>0</v>
      </c>
      <c r="AC47" s="207">
        <f>SUMIFS('октябрь 2023'!$G$4:$G$1074,'октябрь 2023'!$D$4:$D$1074,$B47,'октябрь 2023'!$J$4:$J$1074,AC$1)</f>
        <v>0</v>
      </c>
      <c r="AD47" s="207">
        <f>SUMIFS('октябрь 2023'!$G$4:$G$1074,'октябрь 2023'!$D$4:$D$1074,$B47,'октябрь 2023'!$J$4:$J$1074,AD$1)</f>
        <v>0</v>
      </c>
      <c r="AE47" s="207">
        <f>SUMIFS('октябрь 2023'!$G$4:$G$1074,'октябрь 2023'!$D$4:$D$1074,$B47,'октябрь 2023'!$J$4:$J$1074,AE$1)</f>
        <v>0</v>
      </c>
      <c r="AF47" s="207">
        <f>SUMIFS('октябрь 2023'!$G$4:$G$1074,'октябрь 2023'!$D$4:$D$1074,$B47,'октябрь 2023'!$J$4:$J$1074,AF$1)</f>
        <v>0</v>
      </c>
      <c r="AG47" s="207">
        <f>SUMIFS('октябрь 2023'!$G$4:$G$1074,'октябрь 2023'!$D$4:$D$1074,$B47,'октябрь 2023'!$J$4:$J$1074,AG$1)</f>
        <v>0</v>
      </c>
      <c r="AH47" s="207">
        <f>SUMIFS('октябрь 2023'!$G$4:$G$1074,'октябрь 2023'!$D$4:$D$1074,$B47,'октябрь 2023'!$J$4:$J$1074,AH$1)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SUMIFS('октябрь 2023'!$G$4:$G$1074,'октябрь 2023'!$D$4:$D$1074,$B48,'октябрь 2023'!$J$4:$J$1074,D$1)</f>
        <v>0</v>
      </c>
      <c r="E48" s="207">
        <f>SUMIFS('октябрь 2023'!$G$4:$G$1074,'октябрь 2023'!$D$4:$D$1074,$B48,'октябрь 2023'!$J$4:$J$1074,E$1)</f>
        <v>0</v>
      </c>
      <c r="F48" s="207">
        <f>SUMIFS('октябрь 2023'!$G$4:$G$1074,'октябрь 2023'!$D$4:$D$1074,$B48,'октябрь 2023'!$J$4:$J$1074,F$1)</f>
        <v>0</v>
      </c>
      <c r="G48" s="207">
        <f>SUMIFS('октябрь 2023'!$G$4:$G$1074,'октябрь 2023'!$D$4:$D$1074,$B48,'октябрь 2023'!$J$4:$J$1074,G$1)</f>
        <v>0</v>
      </c>
      <c r="H48" s="207">
        <f>SUMIFS('октябрь 2023'!$G$4:$G$1074,'октябрь 2023'!$D$4:$D$1074,$B48,'октябрь 2023'!$J$4:$J$1074,H$1)</f>
        <v>0</v>
      </c>
      <c r="I48" s="207">
        <f>SUMIFS('октябрь 2023'!$G$4:$G$1074,'октябрь 2023'!$D$4:$D$1074,$B48,'октябрь 2023'!$J$4:$J$1074,I$1)</f>
        <v>0</v>
      </c>
      <c r="J48" s="207">
        <f>SUMIFS('октябрь 2023'!$G$4:$G$1074,'октябрь 2023'!$D$4:$D$1074,$B48,'октябрь 2023'!$J$4:$J$1074,J$1)</f>
        <v>0</v>
      </c>
      <c r="K48" s="207">
        <f>SUMIFS('октябрь 2023'!$G$4:$G$1074,'октябрь 2023'!$D$4:$D$1074,$B48,'октябрь 2023'!$J$4:$J$1074,K$1)</f>
        <v>0</v>
      </c>
      <c r="L48" s="207">
        <f>SUMIFS('октябрь 2023'!$G$4:$G$1074,'октябрь 2023'!$D$4:$D$1074,$B48,'октябрь 2023'!$J$4:$J$1074,L$1)</f>
        <v>0</v>
      </c>
      <c r="M48" s="207">
        <f>SUMIFS('октябрь 2023'!$G$4:$G$1074,'октябрь 2023'!$D$4:$D$1074,$B48,'октябрь 2023'!$J$4:$J$1074,M$1)</f>
        <v>0</v>
      </c>
      <c r="N48" s="207">
        <f>SUMIFS('октябрь 2023'!$G$4:$G$1074,'октябрь 2023'!$D$4:$D$1074,$B48,'октябрь 2023'!$J$4:$J$1074,N$1)</f>
        <v>0</v>
      </c>
      <c r="O48" s="207">
        <f>SUMIFS('октябрь 2023'!$G$4:$G$1074,'октябрь 2023'!$D$4:$D$1074,$B48,'октябрь 2023'!$J$4:$J$1074,O$1)</f>
        <v>0</v>
      </c>
      <c r="P48" s="207">
        <f>SUMIFS('октябрь 2023'!$G$4:$G$1074,'октябрь 2023'!$D$4:$D$1074,$B48,'октябрь 2023'!$J$4:$J$1074,P$1)</f>
        <v>0</v>
      </c>
      <c r="Q48" s="207">
        <f>SUMIFS('октябрь 2023'!$G$4:$G$1074,'октябрь 2023'!$D$4:$D$1074,$B48,'октябрь 2023'!$J$4:$J$1074,Q$1)</f>
        <v>0</v>
      </c>
      <c r="R48" s="207">
        <f>SUMIFS('октябрь 2023'!$G$4:$G$1074,'октябрь 2023'!$D$4:$D$1074,$B48,'октябрь 2023'!$J$4:$J$1074,R$1)</f>
        <v>0</v>
      </c>
      <c r="S48" s="207">
        <f>SUMIFS('октябрь 2023'!$G$4:$G$1074,'октябрь 2023'!$D$4:$D$1074,$B48,'октябрь 2023'!$J$4:$J$1074,S$1)</f>
        <v>0</v>
      </c>
      <c r="T48" s="207">
        <f>SUMIFS('октябрь 2023'!$G$4:$G$1074,'октябрь 2023'!$D$4:$D$1074,$B48,'октябрь 2023'!$J$4:$J$1074,T$1)</f>
        <v>0</v>
      </c>
      <c r="U48" s="207">
        <f>SUMIFS('октябрь 2023'!$G$4:$G$1074,'октябрь 2023'!$D$4:$D$1074,$B48,'октябрь 2023'!$J$4:$J$1074,U$1)</f>
        <v>0</v>
      </c>
      <c r="V48" s="207">
        <f>SUMIFS('октябрь 2023'!$G$4:$G$1074,'октябрь 2023'!$D$4:$D$1074,$B48,'октябрь 2023'!$J$4:$J$1074,V$1)</f>
        <v>0</v>
      </c>
      <c r="W48" s="207">
        <f>SUMIFS('октябрь 2023'!$G$4:$G$1074,'октябрь 2023'!$D$4:$D$1074,$B48,'октябрь 2023'!$J$4:$J$1074,W$1)</f>
        <v>0</v>
      </c>
      <c r="X48" s="207">
        <f>SUMIFS('октябрь 2023'!$G$4:$G$1074,'октябрь 2023'!$D$4:$D$1074,$B48,'октябрь 2023'!$J$4:$J$1074,X$1)</f>
        <v>0</v>
      </c>
      <c r="Y48" s="207">
        <f>SUMIFS('октябрь 2023'!$G$4:$G$1074,'октябрь 2023'!$D$4:$D$1074,$B48,'октябрь 2023'!$J$4:$J$1074,Y$1)</f>
        <v>0</v>
      </c>
      <c r="Z48" s="207">
        <f>SUMIFS('октябрь 2023'!$G$4:$G$1074,'октябрь 2023'!$D$4:$D$1074,$B48,'октябрь 2023'!$J$4:$J$1074,Z$1)</f>
        <v>0</v>
      </c>
      <c r="AA48" s="207">
        <f>SUMIFS('октябрь 2023'!$G$4:$G$1074,'октябрь 2023'!$D$4:$D$1074,$B48,'октябрь 2023'!$J$4:$J$1074,AA$1)</f>
        <v>0</v>
      </c>
      <c r="AB48" s="207">
        <f>SUMIFS('октябрь 2023'!$G$4:$G$1074,'октябрь 2023'!$D$4:$D$1074,$B48,'октябрь 2023'!$J$4:$J$1074,AB$1)</f>
        <v>0</v>
      </c>
      <c r="AC48" s="207">
        <f>SUMIFS('октябрь 2023'!$G$4:$G$1074,'октябрь 2023'!$D$4:$D$1074,$B48,'октябрь 2023'!$J$4:$J$1074,AC$1)</f>
        <v>0</v>
      </c>
      <c r="AD48" s="207">
        <f>SUMIFS('октябрь 2023'!$G$4:$G$1074,'октябрь 2023'!$D$4:$D$1074,$B48,'октябрь 2023'!$J$4:$J$1074,AD$1)</f>
        <v>0</v>
      </c>
      <c r="AE48" s="207">
        <f>SUMIFS('октябрь 2023'!$G$4:$G$1074,'октябрь 2023'!$D$4:$D$1074,$B48,'октябрь 2023'!$J$4:$J$1074,AE$1)</f>
        <v>0</v>
      </c>
      <c r="AF48" s="207">
        <f>SUMIFS('октябрь 2023'!$G$4:$G$1074,'октябрь 2023'!$D$4:$D$1074,$B48,'октябрь 2023'!$J$4:$J$1074,AF$1)</f>
        <v>0</v>
      </c>
      <c r="AG48" s="207">
        <f>SUMIFS('октябрь 2023'!$G$4:$G$1074,'октябрь 2023'!$D$4:$D$1074,$B48,'октябрь 2023'!$J$4:$J$1074,AG$1)</f>
        <v>0</v>
      </c>
      <c r="AH48" s="207">
        <f>SUMIFS('октябрь 2023'!$G$4:$G$1074,'октябрь 2023'!$D$4:$D$1074,$B48,'октябрь 2023'!$J$4:$J$1074,AH$1)</f>
        <v>0</v>
      </c>
      <c r="AI48" s="170">
        <f t="shared" si="1"/>
        <v>0</v>
      </c>
    </row>
    <row r="49" spans="2:35" ht="15" customHeight="1" x14ac:dyDescent="0.25">
      <c r="B49" s="212" t="s">
        <v>603</v>
      </c>
      <c r="C49" s="213">
        <v>25</v>
      </c>
      <c r="D49" s="207">
        <f>SUMIFS('октябрь 2023'!$G$4:$G$1074,'октябрь 2023'!$D$4:$D$1074,$B49,'октябрь 2023'!$J$4:$J$1074,D$1)</f>
        <v>0</v>
      </c>
      <c r="E49" s="207">
        <f>SUMIFS('октябрь 2023'!$G$4:$G$1074,'октябрь 2023'!$D$4:$D$1074,$B49,'октябрь 2023'!$J$4:$J$1074,E$1)</f>
        <v>0</v>
      </c>
      <c r="F49" s="207">
        <f>SUMIFS('октябрь 2023'!$G$4:$G$1074,'октябрь 2023'!$D$4:$D$1074,$B49,'октябрь 2023'!$J$4:$J$1074,F$1)</f>
        <v>0</v>
      </c>
      <c r="G49" s="207">
        <f>SUMIFS('октябрь 2023'!$G$4:$G$1074,'октябрь 2023'!$D$4:$D$1074,$B49,'октябрь 2023'!$J$4:$J$1074,G$1)</f>
        <v>0</v>
      </c>
      <c r="H49" s="207">
        <f>SUMIFS('октябрь 2023'!$G$4:$G$1074,'октябрь 2023'!$D$4:$D$1074,$B49,'октябрь 2023'!$J$4:$J$1074,H$1)</f>
        <v>0</v>
      </c>
      <c r="I49" s="207">
        <f>SUMIFS('октябрь 2023'!$G$4:$G$1074,'октябрь 2023'!$D$4:$D$1074,$B49,'октябрь 2023'!$J$4:$J$1074,I$1)</f>
        <v>0</v>
      </c>
      <c r="J49" s="207">
        <f>SUMIFS('октябрь 2023'!$G$4:$G$1074,'октябрь 2023'!$D$4:$D$1074,$B49,'октябрь 2023'!$J$4:$J$1074,J$1)</f>
        <v>0</v>
      </c>
      <c r="K49" s="207">
        <f>SUMIFS('октябрь 2023'!$G$4:$G$1074,'октябрь 2023'!$D$4:$D$1074,$B49,'октябрь 2023'!$J$4:$J$1074,K$1)</f>
        <v>0</v>
      </c>
      <c r="L49" s="207">
        <f>SUMIFS('октябрь 2023'!$G$4:$G$1074,'октябрь 2023'!$D$4:$D$1074,$B49,'октябрь 2023'!$J$4:$J$1074,L$1)</f>
        <v>0</v>
      </c>
      <c r="M49" s="207">
        <f>SUMIFS('октябрь 2023'!$G$4:$G$1074,'октябрь 2023'!$D$4:$D$1074,$B49,'октябрь 2023'!$J$4:$J$1074,M$1)</f>
        <v>0</v>
      </c>
      <c r="N49" s="207">
        <f>SUMIFS('октябрь 2023'!$G$4:$G$1074,'октябрь 2023'!$D$4:$D$1074,$B49,'октябрь 2023'!$J$4:$J$1074,N$1)</f>
        <v>0</v>
      </c>
      <c r="O49" s="207">
        <f>SUMIFS('октябрь 2023'!$G$4:$G$1074,'октябрь 2023'!$D$4:$D$1074,$B49,'октябрь 2023'!$J$4:$J$1074,O$1)</f>
        <v>0</v>
      </c>
      <c r="P49" s="207">
        <f>SUMIFS('октябрь 2023'!$G$4:$G$1074,'октябрь 2023'!$D$4:$D$1074,$B49,'октябрь 2023'!$J$4:$J$1074,P$1)</f>
        <v>0</v>
      </c>
      <c r="Q49" s="207">
        <f>SUMIFS('октябрь 2023'!$G$4:$G$1074,'октябрь 2023'!$D$4:$D$1074,$B49,'октябрь 2023'!$J$4:$J$1074,Q$1)</f>
        <v>0</v>
      </c>
      <c r="R49" s="207">
        <f>SUMIFS('октябрь 2023'!$G$4:$G$1074,'октябрь 2023'!$D$4:$D$1074,$B49,'октябрь 2023'!$J$4:$J$1074,R$1)</f>
        <v>0</v>
      </c>
      <c r="S49" s="207">
        <f>SUMIFS('октябрь 2023'!$G$4:$G$1074,'октябрь 2023'!$D$4:$D$1074,$B49,'октябрь 2023'!$J$4:$J$1074,S$1)</f>
        <v>0</v>
      </c>
      <c r="T49" s="207">
        <f>SUMIFS('октябрь 2023'!$G$4:$G$1074,'октябрь 2023'!$D$4:$D$1074,$B49,'октябрь 2023'!$J$4:$J$1074,T$1)</f>
        <v>0</v>
      </c>
      <c r="U49" s="207">
        <f>SUMIFS('октябрь 2023'!$G$4:$G$1074,'октябрь 2023'!$D$4:$D$1074,$B49,'октябрь 2023'!$J$4:$J$1074,U$1)</f>
        <v>0</v>
      </c>
      <c r="V49" s="207">
        <f>SUMIFS('октябрь 2023'!$G$4:$G$1074,'октябрь 2023'!$D$4:$D$1074,$B49,'октябрь 2023'!$J$4:$J$1074,V$1)</f>
        <v>0</v>
      </c>
      <c r="W49" s="207">
        <f>SUMIFS('октябрь 2023'!$G$4:$G$1074,'октябрь 2023'!$D$4:$D$1074,$B49,'октябрь 2023'!$J$4:$J$1074,W$1)</f>
        <v>0</v>
      </c>
      <c r="X49" s="207">
        <f>SUMIFS('октябрь 2023'!$G$4:$G$1074,'октябрь 2023'!$D$4:$D$1074,$B49,'октябрь 2023'!$J$4:$J$1074,X$1)</f>
        <v>0</v>
      </c>
      <c r="Y49" s="207">
        <f>SUMIFS('октябрь 2023'!$G$4:$G$1074,'октябрь 2023'!$D$4:$D$1074,$B49,'октябрь 2023'!$J$4:$J$1074,Y$1)</f>
        <v>0</v>
      </c>
      <c r="Z49" s="207">
        <f>SUMIFS('октябрь 2023'!$G$4:$G$1074,'октябрь 2023'!$D$4:$D$1074,$B49,'октябрь 2023'!$J$4:$J$1074,Z$1)</f>
        <v>0</v>
      </c>
      <c r="AA49" s="207">
        <f>SUMIFS('октябрь 2023'!$G$4:$G$1074,'октябрь 2023'!$D$4:$D$1074,$B49,'октябрь 2023'!$J$4:$J$1074,AA$1)</f>
        <v>0</v>
      </c>
      <c r="AB49" s="207">
        <f>SUMIFS('октябрь 2023'!$G$4:$G$1074,'октябрь 2023'!$D$4:$D$1074,$B49,'октябрь 2023'!$J$4:$J$1074,AB$1)</f>
        <v>44</v>
      </c>
      <c r="AC49" s="207">
        <f>SUMIFS('октябрь 2023'!$G$4:$G$1074,'октябрь 2023'!$D$4:$D$1074,$B49,'октябрь 2023'!$J$4:$J$1074,AC$1)</f>
        <v>0</v>
      </c>
      <c r="AD49" s="207">
        <f>SUMIFS('октябрь 2023'!$G$4:$G$1074,'октябрь 2023'!$D$4:$D$1074,$B49,'октябрь 2023'!$J$4:$J$1074,AD$1)</f>
        <v>0</v>
      </c>
      <c r="AE49" s="207">
        <f>SUMIFS('октябрь 2023'!$G$4:$G$1074,'октябрь 2023'!$D$4:$D$1074,$B49,'октябрь 2023'!$J$4:$J$1074,AE$1)</f>
        <v>0</v>
      </c>
      <c r="AF49" s="207">
        <f>SUMIFS('октябрь 2023'!$G$4:$G$1074,'октябрь 2023'!$D$4:$D$1074,$B49,'октябрь 2023'!$J$4:$J$1074,AF$1)</f>
        <v>0</v>
      </c>
      <c r="AG49" s="207">
        <f>SUMIFS('октябрь 2023'!$G$4:$G$1074,'октябрь 2023'!$D$4:$D$1074,$B49,'октябрь 2023'!$J$4:$J$1074,AG$1)</f>
        <v>0</v>
      </c>
      <c r="AH49" s="207">
        <f>SUMIFS('октябрь 2023'!$G$4:$G$1074,'октябрь 2023'!$D$4:$D$1074,$B49,'октябрь 2023'!$J$4:$J$1074,AH$1)</f>
        <v>0</v>
      </c>
      <c r="AI49" s="170">
        <f>SUM(D49:AH49)</f>
        <v>44</v>
      </c>
    </row>
    <row r="50" spans="2:35" ht="15" customHeight="1" x14ac:dyDescent="0.25">
      <c r="B50" s="208" t="s">
        <v>1340</v>
      </c>
      <c r="C50" s="213">
        <v>50</v>
      </c>
      <c r="D50" s="207">
        <f>SUMIFS('октябрь 2023'!$G$4:$G$1074,'октябрь 2023'!$D$4:$D$1074,$B50,'октябрь 2023'!$J$4:$J$1074,D$1)</f>
        <v>0</v>
      </c>
      <c r="E50" s="207">
        <f>SUMIFS('октябрь 2023'!$G$4:$G$1074,'октябрь 2023'!$D$4:$D$1074,$B50,'октябрь 2023'!$J$4:$J$1074,E$1)</f>
        <v>0</v>
      </c>
      <c r="F50" s="207">
        <f>SUMIFS('октябрь 2023'!$G$4:$G$1074,'октябрь 2023'!$D$4:$D$1074,$B50,'октябрь 2023'!$J$4:$J$1074,F$1)</f>
        <v>0</v>
      </c>
      <c r="G50" s="207">
        <f>SUMIFS('октябрь 2023'!$G$4:$G$1074,'октябрь 2023'!$D$4:$D$1074,$B50,'октябрь 2023'!$J$4:$J$1074,G$1)</f>
        <v>0</v>
      </c>
      <c r="H50" s="207">
        <f>SUMIFS('октябрь 2023'!$G$4:$G$1074,'октябрь 2023'!$D$4:$D$1074,$B50,'октябрь 2023'!$J$4:$J$1074,H$1)</f>
        <v>0</v>
      </c>
      <c r="I50" s="207">
        <f>SUMIFS('октябрь 2023'!$G$4:$G$1074,'октябрь 2023'!$D$4:$D$1074,$B50,'октябрь 2023'!$J$4:$J$1074,I$1)</f>
        <v>0</v>
      </c>
      <c r="J50" s="207">
        <f>SUMIFS('октябрь 2023'!$G$4:$G$1074,'октябрь 2023'!$D$4:$D$1074,$B50,'октябрь 2023'!$J$4:$J$1074,J$1)</f>
        <v>0</v>
      </c>
      <c r="K50" s="207">
        <f>SUMIFS('октябрь 2023'!$G$4:$G$1074,'октябрь 2023'!$D$4:$D$1074,$B50,'октябрь 2023'!$J$4:$J$1074,K$1)</f>
        <v>0</v>
      </c>
      <c r="L50" s="207">
        <f>SUMIFS('октябрь 2023'!$G$4:$G$1074,'октябрь 2023'!$D$4:$D$1074,$B50,'октябрь 2023'!$J$4:$J$1074,L$1)</f>
        <v>0</v>
      </c>
      <c r="M50" s="207">
        <f>SUMIFS('октябрь 2023'!$G$4:$G$1074,'октябрь 2023'!$D$4:$D$1074,$B50,'октябрь 2023'!$J$4:$J$1074,M$1)</f>
        <v>0</v>
      </c>
      <c r="N50" s="207">
        <f>SUMIFS('октябрь 2023'!$G$4:$G$1074,'октябрь 2023'!$D$4:$D$1074,$B50,'октябрь 2023'!$J$4:$J$1074,N$1)</f>
        <v>0</v>
      </c>
      <c r="O50" s="207">
        <f>SUMIFS('октябрь 2023'!$G$4:$G$1074,'октябрь 2023'!$D$4:$D$1074,$B50,'октябрь 2023'!$J$4:$J$1074,O$1)</f>
        <v>0</v>
      </c>
      <c r="P50" s="207">
        <f>SUMIFS('октябрь 2023'!$G$4:$G$1074,'октябрь 2023'!$D$4:$D$1074,$B50,'октябрь 2023'!$J$4:$J$1074,P$1)</f>
        <v>0</v>
      </c>
      <c r="Q50" s="207">
        <f>SUMIFS('октябрь 2023'!$G$4:$G$1074,'октябрь 2023'!$D$4:$D$1074,$B50,'октябрь 2023'!$J$4:$J$1074,Q$1)</f>
        <v>0</v>
      </c>
      <c r="R50" s="207">
        <f>SUMIFS('октябрь 2023'!$G$4:$G$1074,'октябрь 2023'!$D$4:$D$1074,$B50,'октябрь 2023'!$J$4:$J$1074,R$1)</f>
        <v>0</v>
      </c>
      <c r="S50" s="207">
        <f>SUMIFS('октябрь 2023'!$G$4:$G$1074,'октябрь 2023'!$D$4:$D$1074,$B50,'октябрь 2023'!$J$4:$J$1074,S$1)</f>
        <v>0</v>
      </c>
      <c r="T50" s="207">
        <f>SUMIFS('октябрь 2023'!$G$4:$G$1074,'октябрь 2023'!$D$4:$D$1074,$B50,'октябрь 2023'!$J$4:$J$1074,T$1)</f>
        <v>0</v>
      </c>
      <c r="U50" s="207">
        <f>SUMIFS('октябрь 2023'!$G$4:$G$1074,'октябрь 2023'!$D$4:$D$1074,$B50,'октябрь 2023'!$J$4:$J$1074,U$1)</f>
        <v>0</v>
      </c>
      <c r="V50" s="207">
        <f>SUMIFS('октябрь 2023'!$G$4:$G$1074,'октябрь 2023'!$D$4:$D$1074,$B50,'октябрь 2023'!$J$4:$J$1074,V$1)</f>
        <v>0</v>
      </c>
      <c r="W50" s="207">
        <f>SUMIFS('октябрь 2023'!$G$4:$G$1074,'октябрь 2023'!$D$4:$D$1074,$B50,'октябрь 2023'!$J$4:$J$1074,W$1)</f>
        <v>0</v>
      </c>
      <c r="X50" s="207">
        <f>SUMIFS('октябрь 2023'!$G$4:$G$1074,'октябрь 2023'!$D$4:$D$1074,$B50,'октябрь 2023'!$J$4:$J$1074,X$1)</f>
        <v>0</v>
      </c>
      <c r="Y50" s="207">
        <f>SUMIFS('октябрь 2023'!$G$4:$G$1074,'октябрь 2023'!$D$4:$D$1074,$B50,'октябрь 2023'!$J$4:$J$1074,Y$1)</f>
        <v>0</v>
      </c>
      <c r="Z50" s="207">
        <f>SUMIFS('октябрь 2023'!$G$4:$G$1074,'октябрь 2023'!$D$4:$D$1074,$B50,'октябрь 2023'!$J$4:$J$1074,Z$1)</f>
        <v>0</v>
      </c>
      <c r="AA50" s="207">
        <f>SUMIFS('октябрь 2023'!$G$4:$G$1074,'октябрь 2023'!$D$4:$D$1074,$B50,'октябрь 2023'!$J$4:$J$1074,AA$1)</f>
        <v>0</v>
      </c>
      <c r="AB50" s="207">
        <f>SUMIFS('октябрь 2023'!$G$4:$G$1074,'октябрь 2023'!$D$4:$D$1074,$B50,'октябрь 2023'!$J$4:$J$1074,AB$1)</f>
        <v>0</v>
      </c>
      <c r="AC50" s="207">
        <f>SUMIFS('октябрь 2023'!$G$4:$G$1074,'октябрь 2023'!$D$4:$D$1074,$B50,'октябрь 2023'!$J$4:$J$1074,AC$1)</f>
        <v>0</v>
      </c>
      <c r="AD50" s="207">
        <f>SUMIFS('октябрь 2023'!$G$4:$G$1074,'октябрь 2023'!$D$4:$D$1074,$B50,'октябрь 2023'!$J$4:$J$1074,AD$1)</f>
        <v>0</v>
      </c>
      <c r="AE50" s="207">
        <f>SUMIFS('октябрь 2023'!$G$4:$G$1074,'октябрь 2023'!$D$4:$D$1074,$B50,'октябрь 2023'!$J$4:$J$1074,AE$1)</f>
        <v>0</v>
      </c>
      <c r="AF50" s="207">
        <f>SUMIFS('октябрь 2023'!$G$4:$G$1074,'октябрь 2023'!$D$4:$D$1074,$B50,'октябрь 2023'!$J$4:$J$1074,AF$1)</f>
        <v>0</v>
      </c>
      <c r="AG50" s="207">
        <f>SUMIFS('октябрь 2023'!$G$4:$G$1074,'октябрь 2023'!$D$4:$D$1074,$B50,'октябрь 2023'!$J$4:$J$1074,AG$1)</f>
        <v>0</v>
      </c>
      <c r="AH50" s="207">
        <f>SUMIFS('октябрь 2023'!$G$4:$G$1074,'октябрь 2023'!$D$4:$D$1074,$B50,'октябрь 2023'!$J$4:$J$1074,AH$1)</f>
        <v>0</v>
      </c>
      <c r="AI50" s="170">
        <f t="shared" si="1"/>
        <v>0</v>
      </c>
    </row>
    <row r="51" spans="2:35" ht="15" customHeight="1" x14ac:dyDescent="0.25">
      <c r="B51" s="212" t="s">
        <v>2141</v>
      </c>
      <c r="C51" s="213">
        <v>200</v>
      </c>
      <c r="D51" s="207">
        <f>SUMIFS('октябрь 2023'!$G$4:$G$1074,'октябрь 2023'!$D$4:$D$1074,$B51,'октябрь 2023'!$J$4:$J$1074,D$1)</f>
        <v>0</v>
      </c>
      <c r="E51" s="207">
        <f>SUMIFS('октябрь 2023'!$G$4:$G$1074,'октябрь 2023'!$D$4:$D$1074,$B51,'октябрь 2023'!$J$4:$J$1074,E$1)</f>
        <v>0</v>
      </c>
      <c r="F51" s="207">
        <f>SUMIFS('октябрь 2023'!$G$4:$G$1074,'октябрь 2023'!$D$4:$D$1074,$B51,'октябрь 2023'!$J$4:$J$1074,F$1)</f>
        <v>0</v>
      </c>
      <c r="G51" s="207">
        <f>SUMIFS('октябрь 2023'!$G$4:$G$1074,'октябрь 2023'!$D$4:$D$1074,$B51,'октябрь 2023'!$J$4:$J$1074,G$1)</f>
        <v>0</v>
      </c>
      <c r="H51" s="207">
        <f>SUMIFS('октябрь 2023'!$G$4:$G$1074,'октябрь 2023'!$D$4:$D$1074,$B51,'октябрь 2023'!$J$4:$J$1074,H$1)</f>
        <v>0</v>
      </c>
      <c r="I51" s="207">
        <f>SUMIFS('октябрь 2023'!$G$4:$G$1074,'октябрь 2023'!$D$4:$D$1074,$B51,'октябрь 2023'!$J$4:$J$1074,I$1)</f>
        <v>0</v>
      </c>
      <c r="J51" s="207">
        <f>SUMIFS('октябрь 2023'!$G$4:$G$1074,'октябрь 2023'!$D$4:$D$1074,$B51,'октябрь 2023'!$J$4:$J$1074,J$1)</f>
        <v>0</v>
      </c>
      <c r="K51" s="207">
        <f>SUMIFS('октябрь 2023'!$G$4:$G$1074,'октябрь 2023'!$D$4:$D$1074,$B51,'октябрь 2023'!$J$4:$J$1074,K$1)</f>
        <v>0</v>
      </c>
      <c r="L51" s="207">
        <f>SUMIFS('октябрь 2023'!$G$4:$G$1074,'октябрь 2023'!$D$4:$D$1074,$B51,'октябрь 2023'!$J$4:$J$1074,L$1)</f>
        <v>0</v>
      </c>
      <c r="M51" s="207">
        <f>SUMIFS('октябрь 2023'!$G$4:$G$1074,'октябрь 2023'!$D$4:$D$1074,$B51,'октябрь 2023'!$J$4:$J$1074,M$1)</f>
        <v>0</v>
      </c>
      <c r="N51" s="207">
        <f>SUMIFS('октябрь 2023'!$G$4:$G$1074,'октябрь 2023'!$D$4:$D$1074,$B51,'октябрь 2023'!$J$4:$J$1074,N$1)</f>
        <v>0</v>
      </c>
      <c r="O51" s="207">
        <f>SUMIFS('октябрь 2023'!$G$4:$G$1074,'октябрь 2023'!$D$4:$D$1074,$B51,'октябрь 2023'!$J$4:$J$1074,O$1)</f>
        <v>0</v>
      </c>
      <c r="P51" s="207">
        <f>SUMIFS('октябрь 2023'!$G$4:$G$1074,'октябрь 2023'!$D$4:$D$1074,$B51,'октябрь 2023'!$J$4:$J$1074,P$1)</f>
        <v>0</v>
      </c>
      <c r="Q51" s="207">
        <f>SUMIFS('октябрь 2023'!$G$4:$G$1074,'октябрь 2023'!$D$4:$D$1074,$B51,'октябрь 2023'!$J$4:$J$1074,Q$1)</f>
        <v>0</v>
      </c>
      <c r="R51" s="207">
        <f>SUMIFS('октябрь 2023'!$G$4:$G$1074,'октябрь 2023'!$D$4:$D$1074,$B51,'октябрь 2023'!$J$4:$J$1074,R$1)</f>
        <v>0</v>
      </c>
      <c r="S51" s="207">
        <f>SUMIFS('октябрь 2023'!$G$4:$G$1074,'октябрь 2023'!$D$4:$D$1074,$B51,'октябрь 2023'!$J$4:$J$1074,S$1)</f>
        <v>0</v>
      </c>
      <c r="T51" s="207">
        <f>SUMIFS('октябрь 2023'!$G$4:$G$1074,'октябрь 2023'!$D$4:$D$1074,$B51,'октябрь 2023'!$J$4:$J$1074,T$1)</f>
        <v>0</v>
      </c>
      <c r="U51" s="207">
        <f>SUMIFS('октябрь 2023'!$G$4:$G$1074,'октябрь 2023'!$D$4:$D$1074,$B51,'октябрь 2023'!$J$4:$J$1074,U$1)</f>
        <v>0</v>
      </c>
      <c r="V51" s="207">
        <f>SUMIFS('октябрь 2023'!$G$4:$G$1074,'октябрь 2023'!$D$4:$D$1074,$B51,'октябрь 2023'!$J$4:$J$1074,V$1)</f>
        <v>0</v>
      </c>
      <c r="W51" s="207">
        <f>SUMIFS('октябрь 2023'!$G$4:$G$1074,'октябрь 2023'!$D$4:$D$1074,$B51,'октябрь 2023'!$J$4:$J$1074,W$1)</f>
        <v>0</v>
      </c>
      <c r="X51" s="207">
        <f>SUMIFS('октябрь 2023'!$G$4:$G$1074,'октябрь 2023'!$D$4:$D$1074,$B51,'октябрь 2023'!$J$4:$J$1074,X$1)</f>
        <v>0</v>
      </c>
      <c r="Y51" s="207">
        <f>SUMIFS('октябрь 2023'!$G$4:$G$1074,'октябрь 2023'!$D$4:$D$1074,$B51,'октябрь 2023'!$J$4:$J$1074,Y$1)</f>
        <v>0</v>
      </c>
      <c r="Z51" s="207">
        <f>SUMIFS('октябрь 2023'!$G$4:$G$1074,'октябрь 2023'!$D$4:$D$1074,$B51,'октябрь 2023'!$J$4:$J$1074,Z$1)</f>
        <v>0</v>
      </c>
      <c r="AA51" s="207">
        <f>SUMIFS('октябрь 2023'!$G$4:$G$1074,'октябрь 2023'!$D$4:$D$1074,$B51,'октябрь 2023'!$J$4:$J$1074,AA$1)</f>
        <v>0</v>
      </c>
      <c r="AB51" s="207">
        <f>SUMIFS('октябрь 2023'!$G$4:$G$1074,'октябрь 2023'!$D$4:$D$1074,$B51,'октябрь 2023'!$J$4:$J$1074,AB$1)</f>
        <v>0</v>
      </c>
      <c r="AC51" s="207">
        <f>SUMIFS('октябрь 2023'!$G$4:$G$1074,'октябрь 2023'!$D$4:$D$1074,$B51,'октябрь 2023'!$J$4:$J$1074,AC$1)</f>
        <v>0</v>
      </c>
      <c r="AD51" s="207">
        <f>SUMIFS('октябрь 2023'!$G$4:$G$1074,'октябрь 2023'!$D$4:$D$1074,$B51,'октябрь 2023'!$J$4:$J$1074,AD$1)</f>
        <v>0</v>
      </c>
      <c r="AE51" s="207">
        <f>SUMIFS('октябрь 2023'!$G$4:$G$1074,'октябрь 2023'!$D$4:$D$1074,$B51,'октябрь 2023'!$J$4:$J$1074,AE$1)</f>
        <v>0</v>
      </c>
      <c r="AF51" s="207">
        <f>SUMIFS('октябрь 2023'!$G$4:$G$1074,'октябрь 2023'!$D$4:$D$1074,$B51,'октябрь 2023'!$J$4:$J$1074,AF$1)</f>
        <v>0</v>
      </c>
      <c r="AG51" s="207">
        <f>SUMIFS('октябрь 2023'!$G$4:$G$1074,'октябрь 2023'!$D$4:$D$1074,$B51,'октябрь 2023'!$J$4:$J$1074,AG$1)</f>
        <v>0</v>
      </c>
      <c r="AH51" s="207">
        <f>SUMIFS('октябрь 2023'!$G$4:$G$1074,'октябрь 2023'!$D$4:$D$1074,$B51,'октябрь 2023'!$J$4:$J$1074,AH$1)</f>
        <v>0</v>
      </c>
      <c r="AI51" s="170">
        <f t="shared" si="1"/>
        <v>0</v>
      </c>
    </row>
    <row r="52" spans="2:35" ht="15" customHeight="1" x14ac:dyDescent="0.25">
      <c r="B52" s="212" t="s">
        <v>110</v>
      </c>
      <c r="C52" s="213">
        <v>200</v>
      </c>
      <c r="D52" s="207">
        <f>SUMIFS('октябрь 2023'!$G$4:$G$1074,'октябрь 2023'!$D$4:$D$1074,$B52,'октябрь 2023'!$J$4:$J$1074,D$1)</f>
        <v>0</v>
      </c>
      <c r="E52" s="207">
        <f>SUMIFS('октябрь 2023'!$G$4:$G$1074,'октябрь 2023'!$D$4:$D$1074,$B52,'октябрь 2023'!$J$4:$J$1074,E$1)</f>
        <v>0</v>
      </c>
      <c r="F52" s="207">
        <f>SUMIFS('октябрь 2023'!$G$4:$G$1074,'октябрь 2023'!$D$4:$D$1074,$B52,'октябрь 2023'!$J$4:$J$1074,F$1)</f>
        <v>0</v>
      </c>
      <c r="G52" s="207">
        <f>SUMIFS('октябрь 2023'!$G$4:$G$1074,'октябрь 2023'!$D$4:$D$1074,$B52,'октябрь 2023'!$J$4:$J$1074,G$1)</f>
        <v>88</v>
      </c>
      <c r="H52" s="207">
        <f>SUMIFS('октябрь 2023'!$G$4:$G$1074,'октябрь 2023'!$D$4:$D$1074,$B52,'октябрь 2023'!$J$4:$J$1074,H$1)</f>
        <v>0</v>
      </c>
      <c r="I52" s="207">
        <f>SUMIFS('октябрь 2023'!$G$4:$G$1074,'октябрь 2023'!$D$4:$D$1074,$B52,'октябрь 2023'!$J$4:$J$1074,I$1)</f>
        <v>0</v>
      </c>
      <c r="J52" s="207">
        <f>SUMIFS('октябрь 2023'!$G$4:$G$1074,'октябрь 2023'!$D$4:$D$1074,$B52,'октябрь 2023'!$J$4:$J$1074,J$1)</f>
        <v>0</v>
      </c>
      <c r="K52" s="207">
        <f>SUMIFS('октябрь 2023'!$G$4:$G$1074,'октябрь 2023'!$D$4:$D$1074,$B52,'октябрь 2023'!$J$4:$J$1074,K$1)</f>
        <v>0</v>
      </c>
      <c r="L52" s="207">
        <f>SUMIFS('октябрь 2023'!$G$4:$G$1074,'октябрь 2023'!$D$4:$D$1074,$B52,'октябрь 2023'!$J$4:$J$1074,L$1)</f>
        <v>0</v>
      </c>
      <c r="M52" s="207">
        <f>SUMIFS('октябрь 2023'!$G$4:$G$1074,'октябрь 2023'!$D$4:$D$1074,$B52,'октябрь 2023'!$J$4:$J$1074,M$1)</f>
        <v>0</v>
      </c>
      <c r="N52" s="207">
        <f>SUMIFS('октябрь 2023'!$G$4:$G$1074,'октябрь 2023'!$D$4:$D$1074,$B52,'октябрь 2023'!$J$4:$J$1074,N$1)</f>
        <v>88</v>
      </c>
      <c r="O52" s="207">
        <f>SUMIFS('октябрь 2023'!$G$4:$G$1074,'октябрь 2023'!$D$4:$D$1074,$B52,'октябрь 2023'!$J$4:$J$1074,O$1)</f>
        <v>0</v>
      </c>
      <c r="P52" s="207">
        <f>SUMIFS('октябрь 2023'!$G$4:$G$1074,'октябрь 2023'!$D$4:$D$1074,$B52,'октябрь 2023'!$J$4:$J$1074,P$1)</f>
        <v>0</v>
      </c>
      <c r="Q52" s="207">
        <f>SUMIFS('октябрь 2023'!$G$4:$G$1074,'октябрь 2023'!$D$4:$D$1074,$B52,'октябрь 2023'!$J$4:$J$1074,Q$1)</f>
        <v>0</v>
      </c>
      <c r="R52" s="207">
        <f>SUMIFS('октябрь 2023'!$G$4:$G$1074,'октябрь 2023'!$D$4:$D$1074,$B52,'октябрь 2023'!$J$4:$J$1074,R$1)</f>
        <v>0</v>
      </c>
      <c r="S52" s="207">
        <f>SUMIFS('октябрь 2023'!$G$4:$G$1074,'октябрь 2023'!$D$4:$D$1074,$B52,'октябрь 2023'!$J$4:$J$1074,S$1)</f>
        <v>0</v>
      </c>
      <c r="T52" s="207">
        <f>SUMIFS('октябрь 2023'!$G$4:$G$1074,'октябрь 2023'!$D$4:$D$1074,$B52,'октябрь 2023'!$J$4:$J$1074,T$1)</f>
        <v>0</v>
      </c>
      <c r="U52" s="207">
        <f>SUMIFS('октябрь 2023'!$G$4:$G$1074,'октябрь 2023'!$D$4:$D$1074,$B52,'октябрь 2023'!$J$4:$J$1074,U$1)</f>
        <v>0</v>
      </c>
      <c r="V52" s="207">
        <f>SUMIFS('октябрь 2023'!$G$4:$G$1074,'октябрь 2023'!$D$4:$D$1074,$B52,'октябрь 2023'!$J$4:$J$1074,V$1)</f>
        <v>0</v>
      </c>
      <c r="W52" s="207">
        <f>SUMIFS('октябрь 2023'!$G$4:$G$1074,'октябрь 2023'!$D$4:$D$1074,$B52,'октябрь 2023'!$J$4:$J$1074,W$1)</f>
        <v>0</v>
      </c>
      <c r="X52" s="207">
        <f>SUMIFS('октябрь 2023'!$G$4:$G$1074,'октябрь 2023'!$D$4:$D$1074,$B52,'октябрь 2023'!$J$4:$J$1074,X$1)</f>
        <v>0</v>
      </c>
      <c r="Y52" s="207">
        <f>SUMIFS('октябрь 2023'!$G$4:$G$1074,'октябрь 2023'!$D$4:$D$1074,$B52,'октябрь 2023'!$J$4:$J$1074,Y$1)</f>
        <v>0</v>
      </c>
      <c r="Z52" s="207">
        <f>SUMIFS('октябрь 2023'!$G$4:$G$1074,'октябрь 2023'!$D$4:$D$1074,$B52,'октябрь 2023'!$J$4:$J$1074,Z$1)</f>
        <v>0</v>
      </c>
      <c r="AA52" s="207">
        <f>SUMIFS('октябрь 2023'!$G$4:$G$1074,'октябрь 2023'!$D$4:$D$1074,$B52,'октябрь 2023'!$J$4:$J$1074,AA$1)</f>
        <v>0</v>
      </c>
      <c r="AB52" s="207">
        <f>SUMIFS('октябрь 2023'!$G$4:$G$1074,'октябрь 2023'!$D$4:$D$1074,$B52,'октябрь 2023'!$J$4:$J$1074,AB$1)</f>
        <v>0</v>
      </c>
      <c r="AC52" s="207">
        <f>SUMIFS('октябрь 2023'!$G$4:$G$1074,'октябрь 2023'!$D$4:$D$1074,$B52,'октябрь 2023'!$J$4:$J$1074,AC$1)</f>
        <v>0</v>
      </c>
      <c r="AD52" s="207">
        <f>SUMIFS('октябрь 2023'!$G$4:$G$1074,'октябрь 2023'!$D$4:$D$1074,$B52,'октябрь 2023'!$J$4:$J$1074,AD$1)</f>
        <v>68</v>
      </c>
      <c r="AE52" s="207">
        <f>SUMIFS('октябрь 2023'!$G$4:$G$1074,'октябрь 2023'!$D$4:$D$1074,$B52,'октябрь 2023'!$J$4:$J$1074,AE$1)</f>
        <v>0</v>
      </c>
      <c r="AF52" s="207">
        <f>SUMIFS('октябрь 2023'!$G$4:$G$1074,'октябрь 2023'!$D$4:$D$1074,$B52,'октябрь 2023'!$J$4:$J$1074,AF$1)</f>
        <v>0</v>
      </c>
      <c r="AG52" s="207">
        <f>SUMIFS('октябрь 2023'!$G$4:$G$1074,'октябрь 2023'!$D$4:$D$1074,$B52,'октябрь 2023'!$J$4:$J$1074,AG$1)</f>
        <v>0</v>
      </c>
      <c r="AH52" s="207">
        <f>SUMIFS('октябрь 2023'!$G$4:$G$1074,'октябрь 2023'!$D$4:$D$1074,$B52,'октябрь 2023'!$J$4:$J$1074,AH$1)</f>
        <v>0</v>
      </c>
      <c r="AI52" s="170">
        <f t="shared" si="1"/>
        <v>244</v>
      </c>
    </row>
    <row r="53" spans="2:35" ht="15" customHeight="1" x14ac:dyDescent="0.25">
      <c r="B53" s="212" t="s">
        <v>1415</v>
      </c>
      <c r="C53" s="213">
        <v>200</v>
      </c>
      <c r="D53" s="207">
        <f>SUMIFS('октябрь 2023'!$G$4:$G$1074,'октябрь 2023'!$D$4:$D$1074,$B53,'октябрь 2023'!$J$4:$J$1074,D$1)</f>
        <v>0</v>
      </c>
      <c r="E53" s="207">
        <f>SUMIFS('октябрь 2023'!$G$4:$G$1074,'октябрь 2023'!$D$4:$D$1074,$B53,'октябрь 2023'!$J$4:$J$1074,E$1)</f>
        <v>0</v>
      </c>
      <c r="F53" s="207">
        <f>SUMIFS('октябрь 2023'!$G$4:$G$1074,'октябрь 2023'!$D$4:$D$1074,$B53,'октябрь 2023'!$J$4:$J$1074,F$1)</f>
        <v>0</v>
      </c>
      <c r="G53" s="207">
        <f>SUMIFS('октябрь 2023'!$G$4:$G$1074,'октябрь 2023'!$D$4:$D$1074,$B53,'октябрь 2023'!$J$4:$J$1074,G$1)</f>
        <v>0</v>
      </c>
      <c r="H53" s="207">
        <f>SUMIFS('октябрь 2023'!$G$4:$G$1074,'октябрь 2023'!$D$4:$D$1074,$B53,'октябрь 2023'!$J$4:$J$1074,H$1)</f>
        <v>0</v>
      </c>
      <c r="I53" s="207">
        <f>SUMIFS('октябрь 2023'!$G$4:$G$1074,'октябрь 2023'!$D$4:$D$1074,$B53,'октябрь 2023'!$J$4:$J$1074,I$1)</f>
        <v>0</v>
      </c>
      <c r="J53" s="207">
        <f>SUMIFS('октябрь 2023'!$G$4:$G$1074,'октябрь 2023'!$D$4:$D$1074,$B53,'октябрь 2023'!$J$4:$J$1074,J$1)</f>
        <v>0</v>
      </c>
      <c r="K53" s="207">
        <f>SUMIFS('октябрь 2023'!$G$4:$G$1074,'октябрь 2023'!$D$4:$D$1074,$B53,'октябрь 2023'!$J$4:$J$1074,K$1)</f>
        <v>0</v>
      </c>
      <c r="L53" s="207">
        <f>SUMIFS('октябрь 2023'!$G$4:$G$1074,'октябрь 2023'!$D$4:$D$1074,$B53,'октябрь 2023'!$J$4:$J$1074,L$1)</f>
        <v>0</v>
      </c>
      <c r="M53" s="207">
        <f>SUMIFS('октябрь 2023'!$G$4:$G$1074,'октябрь 2023'!$D$4:$D$1074,$B53,'октябрь 2023'!$J$4:$J$1074,M$1)</f>
        <v>0</v>
      </c>
      <c r="N53" s="207">
        <f>SUMIFS('октябрь 2023'!$G$4:$G$1074,'октябрь 2023'!$D$4:$D$1074,$B53,'октябрь 2023'!$J$4:$J$1074,N$1)</f>
        <v>0</v>
      </c>
      <c r="O53" s="207">
        <f>SUMIFS('октябрь 2023'!$G$4:$G$1074,'октябрь 2023'!$D$4:$D$1074,$B53,'октябрь 2023'!$J$4:$J$1074,O$1)</f>
        <v>0</v>
      </c>
      <c r="P53" s="207">
        <f>SUMIFS('октябрь 2023'!$G$4:$G$1074,'октябрь 2023'!$D$4:$D$1074,$B53,'октябрь 2023'!$J$4:$J$1074,P$1)</f>
        <v>0</v>
      </c>
      <c r="Q53" s="207">
        <f>SUMIFS('октябрь 2023'!$G$4:$G$1074,'октябрь 2023'!$D$4:$D$1074,$B53,'октябрь 2023'!$J$4:$J$1074,Q$1)</f>
        <v>0</v>
      </c>
      <c r="R53" s="207">
        <f>SUMIFS('октябрь 2023'!$G$4:$G$1074,'октябрь 2023'!$D$4:$D$1074,$B53,'октябрь 2023'!$J$4:$J$1074,R$1)</f>
        <v>0</v>
      </c>
      <c r="S53" s="207">
        <f>SUMIFS('октябрь 2023'!$G$4:$G$1074,'октябрь 2023'!$D$4:$D$1074,$B53,'октябрь 2023'!$J$4:$J$1074,S$1)</f>
        <v>0</v>
      </c>
      <c r="T53" s="207">
        <f>SUMIFS('октябрь 2023'!$G$4:$G$1074,'октябрь 2023'!$D$4:$D$1074,$B53,'октябрь 2023'!$J$4:$J$1074,T$1)</f>
        <v>0</v>
      </c>
      <c r="U53" s="207">
        <f>SUMIFS('октябрь 2023'!$G$4:$G$1074,'октябрь 2023'!$D$4:$D$1074,$B53,'октябрь 2023'!$J$4:$J$1074,U$1)</f>
        <v>0</v>
      </c>
      <c r="V53" s="207">
        <f>SUMIFS('октябрь 2023'!$G$4:$G$1074,'октябрь 2023'!$D$4:$D$1074,$B53,'октябрь 2023'!$J$4:$J$1074,V$1)</f>
        <v>0</v>
      </c>
      <c r="W53" s="207">
        <f>SUMIFS('октябрь 2023'!$G$4:$G$1074,'октябрь 2023'!$D$4:$D$1074,$B53,'октябрь 2023'!$J$4:$J$1074,W$1)</f>
        <v>0</v>
      </c>
      <c r="X53" s="207">
        <f>SUMIFS('октябрь 2023'!$G$4:$G$1074,'октябрь 2023'!$D$4:$D$1074,$B53,'октябрь 2023'!$J$4:$J$1074,X$1)</f>
        <v>0</v>
      </c>
      <c r="Y53" s="207">
        <f>SUMIFS('октябрь 2023'!$G$4:$G$1074,'октябрь 2023'!$D$4:$D$1074,$B53,'октябрь 2023'!$J$4:$J$1074,Y$1)</f>
        <v>0</v>
      </c>
      <c r="Z53" s="207">
        <f>SUMIFS('октябрь 2023'!$G$4:$G$1074,'октябрь 2023'!$D$4:$D$1074,$B53,'октябрь 2023'!$J$4:$J$1074,Z$1)</f>
        <v>0</v>
      </c>
      <c r="AA53" s="207">
        <f>SUMIFS('октябрь 2023'!$G$4:$G$1074,'октябрь 2023'!$D$4:$D$1074,$B53,'октябрь 2023'!$J$4:$J$1074,AA$1)</f>
        <v>0</v>
      </c>
      <c r="AB53" s="207">
        <f>SUMIFS('октябрь 2023'!$G$4:$G$1074,'октябрь 2023'!$D$4:$D$1074,$B53,'октябрь 2023'!$J$4:$J$1074,AB$1)</f>
        <v>0</v>
      </c>
      <c r="AC53" s="207">
        <f>SUMIFS('октябрь 2023'!$G$4:$G$1074,'октябрь 2023'!$D$4:$D$1074,$B53,'октябрь 2023'!$J$4:$J$1074,AC$1)</f>
        <v>0</v>
      </c>
      <c r="AD53" s="207">
        <f>SUMIFS('октябрь 2023'!$G$4:$G$1074,'октябрь 2023'!$D$4:$D$1074,$B53,'октябрь 2023'!$J$4:$J$1074,AD$1)</f>
        <v>0</v>
      </c>
      <c r="AE53" s="207">
        <f>SUMIFS('октябрь 2023'!$G$4:$G$1074,'октябрь 2023'!$D$4:$D$1074,$B53,'октябрь 2023'!$J$4:$J$1074,AE$1)</f>
        <v>0</v>
      </c>
      <c r="AF53" s="207">
        <f>SUMIFS('октябрь 2023'!$G$4:$G$1074,'октябрь 2023'!$D$4:$D$1074,$B53,'октябрь 2023'!$J$4:$J$1074,AF$1)</f>
        <v>0</v>
      </c>
      <c r="AG53" s="207">
        <f>SUMIFS('октябрь 2023'!$G$4:$G$1074,'октябрь 2023'!$D$4:$D$1074,$B53,'октябрь 2023'!$J$4:$J$1074,AG$1)</f>
        <v>0</v>
      </c>
      <c r="AH53" s="207">
        <f>SUMIFS('октябрь 2023'!$G$4:$G$1074,'октябрь 2023'!$D$4:$D$1074,$B53,'октябрь 2023'!$J$4:$J$1074,AH$1)</f>
        <v>0</v>
      </c>
      <c r="AI53" s="170">
        <f t="shared" si="1"/>
        <v>0</v>
      </c>
    </row>
    <row r="54" spans="2:35" ht="15" customHeight="1" x14ac:dyDescent="0.25">
      <c r="B54" s="212" t="s">
        <v>2144</v>
      </c>
      <c r="C54" s="213">
        <v>200</v>
      </c>
      <c r="D54" s="207">
        <f>SUMIFS('октябрь 2023'!$G$4:$G$1074,'октябрь 2023'!$D$4:$D$1074,$B54,'октябрь 2023'!$J$4:$J$1074,D$1)</f>
        <v>0</v>
      </c>
      <c r="E54" s="207">
        <f>SUMIFS('октябрь 2023'!$G$4:$G$1074,'октябрь 2023'!$D$4:$D$1074,$B54,'октябрь 2023'!$J$4:$J$1074,E$1)</f>
        <v>0</v>
      </c>
      <c r="F54" s="207">
        <f>SUMIFS('октябрь 2023'!$G$4:$G$1074,'октябрь 2023'!$D$4:$D$1074,$B54,'октябрь 2023'!$J$4:$J$1074,F$1)</f>
        <v>0</v>
      </c>
      <c r="G54" s="207">
        <f>SUMIFS('октябрь 2023'!$G$4:$G$1074,'октябрь 2023'!$D$4:$D$1074,$B54,'октябрь 2023'!$J$4:$J$1074,G$1)</f>
        <v>0</v>
      </c>
      <c r="H54" s="207">
        <f>SUMIFS('октябрь 2023'!$G$4:$G$1074,'октябрь 2023'!$D$4:$D$1074,$B54,'октябрь 2023'!$J$4:$J$1074,H$1)</f>
        <v>0</v>
      </c>
      <c r="I54" s="207">
        <f>SUMIFS('октябрь 2023'!$G$4:$G$1074,'октябрь 2023'!$D$4:$D$1074,$B54,'октябрь 2023'!$J$4:$J$1074,I$1)</f>
        <v>0</v>
      </c>
      <c r="J54" s="207">
        <f>SUMIFS('октябрь 2023'!$G$4:$G$1074,'октябрь 2023'!$D$4:$D$1074,$B54,'октябрь 2023'!$J$4:$J$1074,J$1)</f>
        <v>0</v>
      </c>
      <c r="K54" s="207">
        <f>SUMIFS('октябрь 2023'!$G$4:$G$1074,'октябрь 2023'!$D$4:$D$1074,$B54,'октябрь 2023'!$J$4:$J$1074,K$1)</f>
        <v>0</v>
      </c>
      <c r="L54" s="207">
        <f>SUMIFS('октябрь 2023'!$G$4:$G$1074,'октябрь 2023'!$D$4:$D$1074,$B54,'октябрь 2023'!$J$4:$J$1074,L$1)</f>
        <v>0</v>
      </c>
      <c r="M54" s="207">
        <f>SUMIFS('октябрь 2023'!$G$4:$G$1074,'октябрь 2023'!$D$4:$D$1074,$B54,'октябрь 2023'!$J$4:$J$1074,M$1)</f>
        <v>0</v>
      </c>
      <c r="N54" s="207">
        <f>SUMIFS('октябрь 2023'!$G$4:$G$1074,'октябрь 2023'!$D$4:$D$1074,$B54,'октябрь 2023'!$J$4:$J$1074,N$1)</f>
        <v>0</v>
      </c>
      <c r="O54" s="207">
        <f>SUMIFS('октябрь 2023'!$G$4:$G$1074,'октябрь 2023'!$D$4:$D$1074,$B54,'октябрь 2023'!$J$4:$J$1074,O$1)</f>
        <v>0</v>
      </c>
      <c r="P54" s="207">
        <f>SUMIFS('октябрь 2023'!$G$4:$G$1074,'октябрь 2023'!$D$4:$D$1074,$B54,'октябрь 2023'!$J$4:$J$1074,P$1)</f>
        <v>0</v>
      </c>
      <c r="Q54" s="207">
        <f>SUMIFS('октябрь 2023'!$G$4:$G$1074,'октябрь 2023'!$D$4:$D$1074,$B54,'октябрь 2023'!$J$4:$J$1074,Q$1)</f>
        <v>0</v>
      </c>
      <c r="R54" s="207">
        <f>SUMIFS('октябрь 2023'!$G$4:$G$1074,'октябрь 2023'!$D$4:$D$1074,$B54,'октябрь 2023'!$J$4:$J$1074,R$1)</f>
        <v>0</v>
      </c>
      <c r="S54" s="207">
        <f>SUMIFS('октябрь 2023'!$G$4:$G$1074,'октябрь 2023'!$D$4:$D$1074,$B54,'октябрь 2023'!$J$4:$J$1074,S$1)</f>
        <v>0</v>
      </c>
      <c r="T54" s="207">
        <f>SUMIFS('октябрь 2023'!$G$4:$G$1074,'октябрь 2023'!$D$4:$D$1074,$B54,'октябрь 2023'!$J$4:$J$1074,T$1)</f>
        <v>0</v>
      </c>
      <c r="U54" s="207">
        <f>SUMIFS('октябрь 2023'!$G$4:$G$1074,'октябрь 2023'!$D$4:$D$1074,$B54,'октябрь 2023'!$J$4:$J$1074,U$1)</f>
        <v>0</v>
      </c>
      <c r="V54" s="207">
        <f>SUMIFS('октябрь 2023'!$G$4:$G$1074,'октябрь 2023'!$D$4:$D$1074,$B54,'октябрь 2023'!$J$4:$J$1074,V$1)</f>
        <v>0</v>
      </c>
      <c r="W54" s="207">
        <f>SUMIFS('октябрь 2023'!$G$4:$G$1074,'октябрь 2023'!$D$4:$D$1074,$B54,'октябрь 2023'!$J$4:$J$1074,W$1)</f>
        <v>0</v>
      </c>
      <c r="X54" s="207">
        <f>SUMIFS('октябрь 2023'!$G$4:$G$1074,'октябрь 2023'!$D$4:$D$1074,$B54,'октябрь 2023'!$J$4:$J$1074,X$1)</f>
        <v>0</v>
      </c>
      <c r="Y54" s="207">
        <f>SUMIFS('октябрь 2023'!$G$4:$G$1074,'октябрь 2023'!$D$4:$D$1074,$B54,'октябрь 2023'!$J$4:$J$1074,Y$1)</f>
        <v>0</v>
      </c>
      <c r="Z54" s="207">
        <f>SUMIFS('октябрь 2023'!$G$4:$G$1074,'октябрь 2023'!$D$4:$D$1074,$B54,'октябрь 2023'!$J$4:$J$1074,Z$1)</f>
        <v>0</v>
      </c>
      <c r="AA54" s="207">
        <f>SUMIFS('октябрь 2023'!$G$4:$G$1074,'октябрь 2023'!$D$4:$D$1074,$B54,'октябрь 2023'!$J$4:$J$1074,AA$1)</f>
        <v>0</v>
      </c>
      <c r="AB54" s="207">
        <f>SUMIFS('октябрь 2023'!$G$4:$G$1074,'октябрь 2023'!$D$4:$D$1074,$B54,'октябрь 2023'!$J$4:$J$1074,AB$1)</f>
        <v>0</v>
      </c>
      <c r="AC54" s="207">
        <f>SUMIFS('октябрь 2023'!$G$4:$G$1074,'октябрь 2023'!$D$4:$D$1074,$B54,'октябрь 2023'!$J$4:$J$1074,AC$1)</f>
        <v>0</v>
      </c>
      <c r="AD54" s="207">
        <f>SUMIFS('октябрь 2023'!$G$4:$G$1074,'октябрь 2023'!$D$4:$D$1074,$B54,'октябрь 2023'!$J$4:$J$1074,AD$1)</f>
        <v>0</v>
      </c>
      <c r="AE54" s="207">
        <f>SUMIFS('октябрь 2023'!$G$4:$G$1074,'октябрь 2023'!$D$4:$D$1074,$B54,'октябрь 2023'!$J$4:$J$1074,AE$1)</f>
        <v>0</v>
      </c>
      <c r="AF54" s="207">
        <f>SUMIFS('октябрь 2023'!$G$4:$G$1074,'октябрь 2023'!$D$4:$D$1074,$B54,'октябрь 2023'!$J$4:$J$1074,AF$1)</f>
        <v>0</v>
      </c>
      <c r="AG54" s="207">
        <f>SUMIFS('октябрь 2023'!$G$4:$G$1074,'октябрь 2023'!$D$4:$D$1074,$B54,'октябрь 2023'!$J$4:$J$1074,AG$1)</f>
        <v>0</v>
      </c>
      <c r="AH54" s="207">
        <f>SUMIFS('октябрь 2023'!$G$4:$G$1074,'октябрь 2023'!$D$4:$D$1074,$B54,'октябрь 2023'!$J$4:$J$1074,AH$1)</f>
        <v>0</v>
      </c>
      <c r="AI54" s="170">
        <f t="shared" si="1"/>
        <v>0</v>
      </c>
    </row>
    <row r="55" spans="2:35" ht="15" customHeight="1" x14ac:dyDescent="0.25">
      <c r="B55" s="217" t="s">
        <v>50</v>
      </c>
      <c r="C55" s="213">
        <v>200</v>
      </c>
      <c r="D55" s="207">
        <f>SUMIFS('октябрь 2023'!$G$4:$G$1074,'октябрь 2023'!$D$4:$D$1074,$B55,'октябрь 2023'!$J$4:$J$1074,D$1)</f>
        <v>0</v>
      </c>
      <c r="E55" s="207">
        <f>SUMIFS('октябрь 2023'!$G$4:$G$1074,'октябрь 2023'!$D$4:$D$1074,$B55,'октябрь 2023'!$J$4:$J$1074,E$1)</f>
        <v>0</v>
      </c>
      <c r="F55" s="207">
        <f>SUMIFS('октябрь 2023'!$G$4:$G$1074,'октябрь 2023'!$D$4:$D$1074,$B55,'октябрь 2023'!$J$4:$J$1074,F$1)</f>
        <v>0</v>
      </c>
      <c r="G55" s="207">
        <f>SUMIFS('октябрь 2023'!$G$4:$G$1074,'октябрь 2023'!$D$4:$D$1074,$B55,'октябрь 2023'!$J$4:$J$1074,G$1)</f>
        <v>0</v>
      </c>
      <c r="H55" s="207">
        <f>SUMIFS('октябрь 2023'!$G$4:$G$1074,'октябрь 2023'!$D$4:$D$1074,$B55,'октябрь 2023'!$J$4:$J$1074,H$1)</f>
        <v>0</v>
      </c>
      <c r="I55" s="207">
        <f>SUMIFS('октябрь 2023'!$G$4:$G$1074,'октябрь 2023'!$D$4:$D$1074,$B55,'октябрь 2023'!$J$4:$J$1074,I$1)</f>
        <v>0</v>
      </c>
      <c r="J55" s="207">
        <f>SUMIFS('октябрь 2023'!$G$4:$G$1074,'октябрь 2023'!$D$4:$D$1074,$B55,'октябрь 2023'!$J$4:$J$1074,J$1)</f>
        <v>0</v>
      </c>
      <c r="K55" s="207">
        <f>SUMIFS('октябрь 2023'!$G$4:$G$1074,'октябрь 2023'!$D$4:$D$1074,$B55,'октябрь 2023'!$J$4:$J$1074,K$1)</f>
        <v>0</v>
      </c>
      <c r="L55" s="207">
        <f>SUMIFS('октябрь 2023'!$G$4:$G$1074,'октябрь 2023'!$D$4:$D$1074,$B55,'октябрь 2023'!$J$4:$J$1074,L$1)</f>
        <v>0</v>
      </c>
      <c r="M55" s="207">
        <f>SUMIFS('октябрь 2023'!$G$4:$G$1074,'октябрь 2023'!$D$4:$D$1074,$B55,'октябрь 2023'!$J$4:$J$1074,M$1)</f>
        <v>0</v>
      </c>
      <c r="N55" s="207">
        <f>SUMIFS('октябрь 2023'!$G$4:$G$1074,'октябрь 2023'!$D$4:$D$1074,$B55,'октябрь 2023'!$J$4:$J$1074,N$1)</f>
        <v>0</v>
      </c>
      <c r="O55" s="207">
        <f>SUMIFS('октябрь 2023'!$G$4:$G$1074,'октябрь 2023'!$D$4:$D$1074,$B55,'октябрь 2023'!$J$4:$J$1074,O$1)</f>
        <v>0</v>
      </c>
      <c r="P55" s="207">
        <f>SUMIFS('октябрь 2023'!$G$4:$G$1074,'октябрь 2023'!$D$4:$D$1074,$B55,'октябрь 2023'!$J$4:$J$1074,P$1)</f>
        <v>0</v>
      </c>
      <c r="Q55" s="207">
        <f>SUMIFS('октябрь 2023'!$G$4:$G$1074,'октябрь 2023'!$D$4:$D$1074,$B55,'октябрь 2023'!$J$4:$J$1074,Q$1)</f>
        <v>0</v>
      </c>
      <c r="R55" s="207">
        <f>SUMIFS('октябрь 2023'!$G$4:$G$1074,'октябрь 2023'!$D$4:$D$1074,$B55,'октябрь 2023'!$J$4:$J$1074,R$1)</f>
        <v>0</v>
      </c>
      <c r="S55" s="207">
        <f>SUMIFS('октябрь 2023'!$G$4:$G$1074,'октябрь 2023'!$D$4:$D$1074,$B55,'октябрь 2023'!$J$4:$J$1074,S$1)</f>
        <v>0</v>
      </c>
      <c r="T55" s="207">
        <f>SUMIFS('октябрь 2023'!$G$4:$G$1074,'октябрь 2023'!$D$4:$D$1074,$B55,'октябрь 2023'!$J$4:$J$1074,T$1)</f>
        <v>0</v>
      </c>
      <c r="U55" s="207">
        <f>SUMIFS('октябрь 2023'!$G$4:$G$1074,'октябрь 2023'!$D$4:$D$1074,$B55,'октябрь 2023'!$J$4:$J$1074,U$1)</f>
        <v>0</v>
      </c>
      <c r="V55" s="207">
        <f>SUMIFS('октябрь 2023'!$G$4:$G$1074,'октябрь 2023'!$D$4:$D$1074,$B55,'октябрь 2023'!$J$4:$J$1074,V$1)</f>
        <v>0</v>
      </c>
      <c r="W55" s="207">
        <f>SUMIFS('октябрь 2023'!$G$4:$G$1074,'октябрь 2023'!$D$4:$D$1074,$B55,'октябрь 2023'!$J$4:$J$1074,W$1)</f>
        <v>0</v>
      </c>
      <c r="X55" s="207">
        <f>SUMIFS('октябрь 2023'!$G$4:$G$1074,'октябрь 2023'!$D$4:$D$1074,$B55,'октябрь 2023'!$J$4:$J$1074,X$1)</f>
        <v>0</v>
      </c>
      <c r="Y55" s="207">
        <f>SUMIFS('октябрь 2023'!$G$4:$G$1074,'октябрь 2023'!$D$4:$D$1074,$B55,'октябрь 2023'!$J$4:$J$1074,Y$1)</f>
        <v>0</v>
      </c>
      <c r="Z55" s="207">
        <f>SUMIFS('октябрь 2023'!$G$4:$G$1074,'октябрь 2023'!$D$4:$D$1074,$B55,'октябрь 2023'!$J$4:$J$1074,Z$1)</f>
        <v>0</v>
      </c>
      <c r="AA55" s="207">
        <f>SUMIFS('октябрь 2023'!$G$4:$G$1074,'октябрь 2023'!$D$4:$D$1074,$B55,'октябрь 2023'!$J$4:$J$1074,AA$1)</f>
        <v>0</v>
      </c>
      <c r="AB55" s="207">
        <f>SUMIFS('октябрь 2023'!$G$4:$G$1074,'октябрь 2023'!$D$4:$D$1074,$B55,'октябрь 2023'!$J$4:$J$1074,AB$1)</f>
        <v>0</v>
      </c>
      <c r="AC55" s="207">
        <f>SUMIFS('октябрь 2023'!$G$4:$G$1074,'октябрь 2023'!$D$4:$D$1074,$B55,'октябрь 2023'!$J$4:$J$1074,AC$1)</f>
        <v>0</v>
      </c>
      <c r="AD55" s="207">
        <f>SUMIFS('октябрь 2023'!$G$4:$G$1074,'октябрь 2023'!$D$4:$D$1074,$B55,'октябрь 2023'!$J$4:$J$1074,AD$1)</f>
        <v>0</v>
      </c>
      <c r="AE55" s="207">
        <f>SUMIFS('октябрь 2023'!$G$4:$G$1074,'октябрь 2023'!$D$4:$D$1074,$B55,'октябрь 2023'!$J$4:$J$1074,AE$1)</f>
        <v>0</v>
      </c>
      <c r="AF55" s="207">
        <f>SUMIFS('октябрь 2023'!$G$4:$G$1074,'октябрь 2023'!$D$4:$D$1074,$B55,'октябрь 2023'!$J$4:$J$1074,AF$1)</f>
        <v>0</v>
      </c>
      <c r="AG55" s="207">
        <f>SUMIFS('октябрь 2023'!$G$4:$G$1074,'октябрь 2023'!$D$4:$D$1074,$B55,'октябрь 2023'!$J$4:$J$1074,AG$1)</f>
        <v>0</v>
      </c>
      <c r="AH55" s="207">
        <f>SUMIFS('октябрь 2023'!$G$4:$G$1074,'октябрь 2023'!$D$4:$D$1074,$B55,'октябрь 2023'!$J$4:$J$1074,AH$1)</f>
        <v>0</v>
      </c>
      <c r="AI55" s="170">
        <f t="shared" si="1"/>
        <v>0</v>
      </c>
    </row>
    <row r="56" spans="2:35" ht="15" customHeight="1" x14ac:dyDescent="0.25">
      <c r="B56" s="217" t="s">
        <v>2148</v>
      </c>
      <c r="C56" s="213">
        <v>190</v>
      </c>
      <c r="D56" s="207">
        <f>SUMIFS('октябрь 2023'!$G$4:$G$1074,'октябрь 2023'!$D$4:$D$1074,$B56,'октябрь 2023'!$J$4:$J$1074,D$1)</f>
        <v>0</v>
      </c>
      <c r="E56" s="207">
        <f>SUMIFS('октябрь 2023'!$G$4:$G$1074,'октябрь 2023'!$D$4:$D$1074,$B56,'октябрь 2023'!$J$4:$J$1074,E$1)</f>
        <v>0</v>
      </c>
      <c r="F56" s="207">
        <f>SUMIFS('октябрь 2023'!$G$4:$G$1074,'октябрь 2023'!$D$4:$D$1074,$B56,'октябрь 2023'!$J$4:$J$1074,F$1)</f>
        <v>0</v>
      </c>
      <c r="G56" s="207">
        <f>SUMIFS('октябрь 2023'!$G$4:$G$1074,'октябрь 2023'!$D$4:$D$1074,$B56,'октябрь 2023'!$J$4:$J$1074,G$1)</f>
        <v>0</v>
      </c>
      <c r="H56" s="207">
        <f>SUMIFS('октябрь 2023'!$G$4:$G$1074,'октябрь 2023'!$D$4:$D$1074,$B56,'октябрь 2023'!$J$4:$J$1074,H$1)</f>
        <v>0</v>
      </c>
      <c r="I56" s="207">
        <f>SUMIFS('октябрь 2023'!$G$4:$G$1074,'октябрь 2023'!$D$4:$D$1074,$B56,'октябрь 2023'!$J$4:$J$1074,I$1)</f>
        <v>0</v>
      </c>
      <c r="J56" s="207">
        <f>SUMIFS('октябрь 2023'!$G$4:$G$1074,'октябрь 2023'!$D$4:$D$1074,$B56,'октябрь 2023'!$J$4:$J$1074,J$1)</f>
        <v>0</v>
      </c>
      <c r="K56" s="207">
        <f>SUMIFS('октябрь 2023'!$G$4:$G$1074,'октябрь 2023'!$D$4:$D$1074,$B56,'октябрь 2023'!$J$4:$J$1074,K$1)</f>
        <v>0</v>
      </c>
      <c r="L56" s="207">
        <f>SUMIFS('октябрь 2023'!$G$4:$G$1074,'октябрь 2023'!$D$4:$D$1074,$B56,'октябрь 2023'!$J$4:$J$1074,L$1)</f>
        <v>0</v>
      </c>
      <c r="M56" s="207">
        <f>SUMIFS('октябрь 2023'!$G$4:$G$1074,'октябрь 2023'!$D$4:$D$1074,$B56,'октябрь 2023'!$J$4:$J$1074,M$1)</f>
        <v>0</v>
      </c>
      <c r="N56" s="207">
        <f>SUMIFS('октябрь 2023'!$G$4:$G$1074,'октябрь 2023'!$D$4:$D$1074,$B56,'октябрь 2023'!$J$4:$J$1074,N$1)</f>
        <v>0</v>
      </c>
      <c r="O56" s="207">
        <f>SUMIFS('октябрь 2023'!$G$4:$G$1074,'октябрь 2023'!$D$4:$D$1074,$B56,'октябрь 2023'!$J$4:$J$1074,O$1)</f>
        <v>0</v>
      </c>
      <c r="P56" s="207">
        <f>SUMIFS('октябрь 2023'!$G$4:$G$1074,'октябрь 2023'!$D$4:$D$1074,$B56,'октябрь 2023'!$J$4:$J$1074,P$1)</f>
        <v>0</v>
      </c>
      <c r="Q56" s="207">
        <f>SUMIFS('октябрь 2023'!$G$4:$G$1074,'октябрь 2023'!$D$4:$D$1074,$B56,'октябрь 2023'!$J$4:$J$1074,Q$1)</f>
        <v>0</v>
      </c>
      <c r="R56" s="207">
        <f>SUMIFS('октябрь 2023'!$G$4:$G$1074,'октябрь 2023'!$D$4:$D$1074,$B56,'октябрь 2023'!$J$4:$J$1074,R$1)</f>
        <v>0</v>
      </c>
      <c r="S56" s="207">
        <f>SUMIFS('октябрь 2023'!$G$4:$G$1074,'октябрь 2023'!$D$4:$D$1074,$B56,'октябрь 2023'!$J$4:$J$1074,S$1)</f>
        <v>0</v>
      </c>
      <c r="T56" s="207">
        <f>SUMIFS('октябрь 2023'!$G$4:$G$1074,'октябрь 2023'!$D$4:$D$1074,$B56,'октябрь 2023'!$J$4:$J$1074,T$1)</f>
        <v>0</v>
      </c>
      <c r="U56" s="207">
        <f>SUMIFS('октябрь 2023'!$G$4:$G$1074,'октябрь 2023'!$D$4:$D$1074,$B56,'октябрь 2023'!$J$4:$J$1074,U$1)</f>
        <v>0</v>
      </c>
      <c r="V56" s="207">
        <f>SUMIFS('октябрь 2023'!$G$4:$G$1074,'октябрь 2023'!$D$4:$D$1074,$B56,'октябрь 2023'!$J$4:$J$1074,V$1)</f>
        <v>0</v>
      </c>
      <c r="W56" s="207">
        <f>SUMIFS('октябрь 2023'!$G$4:$G$1074,'октябрь 2023'!$D$4:$D$1074,$B56,'октябрь 2023'!$J$4:$J$1074,W$1)</f>
        <v>0</v>
      </c>
      <c r="X56" s="207">
        <f>SUMIFS('октябрь 2023'!$G$4:$G$1074,'октябрь 2023'!$D$4:$D$1074,$B56,'октябрь 2023'!$J$4:$J$1074,X$1)</f>
        <v>0</v>
      </c>
      <c r="Y56" s="207">
        <f>SUMIFS('октябрь 2023'!$G$4:$G$1074,'октябрь 2023'!$D$4:$D$1074,$B56,'октябрь 2023'!$J$4:$J$1074,Y$1)</f>
        <v>0</v>
      </c>
      <c r="Z56" s="207">
        <f>SUMIFS('октябрь 2023'!$G$4:$G$1074,'октябрь 2023'!$D$4:$D$1074,$B56,'октябрь 2023'!$J$4:$J$1074,Z$1)</f>
        <v>0</v>
      </c>
      <c r="AA56" s="207">
        <f>SUMIFS('октябрь 2023'!$G$4:$G$1074,'октябрь 2023'!$D$4:$D$1074,$B56,'октябрь 2023'!$J$4:$J$1074,AA$1)</f>
        <v>0</v>
      </c>
      <c r="AB56" s="207">
        <f>SUMIFS('октябрь 2023'!$G$4:$G$1074,'октябрь 2023'!$D$4:$D$1074,$B56,'октябрь 2023'!$J$4:$J$1074,AB$1)</f>
        <v>0</v>
      </c>
      <c r="AC56" s="207">
        <f>SUMIFS('октябрь 2023'!$G$4:$G$1074,'октябрь 2023'!$D$4:$D$1074,$B56,'октябрь 2023'!$J$4:$J$1074,AC$1)</f>
        <v>0</v>
      </c>
      <c r="AD56" s="207">
        <f>SUMIFS('октябрь 2023'!$G$4:$G$1074,'октябрь 2023'!$D$4:$D$1074,$B56,'октябрь 2023'!$J$4:$J$1074,AD$1)</f>
        <v>0</v>
      </c>
      <c r="AE56" s="207">
        <f>SUMIFS('октябрь 2023'!$G$4:$G$1074,'октябрь 2023'!$D$4:$D$1074,$B56,'октябрь 2023'!$J$4:$J$1074,AE$1)</f>
        <v>0</v>
      </c>
      <c r="AF56" s="207">
        <f>SUMIFS('октябрь 2023'!$G$4:$G$1074,'октябрь 2023'!$D$4:$D$1074,$B56,'октябрь 2023'!$J$4:$J$1074,AF$1)</f>
        <v>0</v>
      </c>
      <c r="AG56" s="207">
        <f>SUMIFS('октябрь 2023'!$G$4:$G$1074,'октябрь 2023'!$D$4:$D$1074,$B56,'октябрь 2023'!$J$4:$J$1074,AG$1)</f>
        <v>0</v>
      </c>
      <c r="AH56" s="207">
        <f>SUMIFS('октябрь 2023'!$G$4:$G$1074,'октябрь 2023'!$D$4:$D$1074,$B56,'октябрь 2023'!$J$4:$J$1074,AH$1)</f>
        <v>0</v>
      </c>
      <c r="AI56" s="170">
        <f t="shared" si="1"/>
        <v>0</v>
      </c>
    </row>
    <row r="57" spans="2:35" ht="15" customHeight="1" x14ac:dyDescent="0.25">
      <c r="B57" s="217" t="s">
        <v>421</v>
      </c>
      <c r="C57" s="213">
        <v>200</v>
      </c>
      <c r="D57" s="207">
        <f>SUMIFS('октябрь 2023'!$G$4:$G$1074,'октябрь 2023'!$D$4:$D$1074,$B57,'октябрь 2023'!$J$4:$J$1074,D$1)</f>
        <v>0</v>
      </c>
      <c r="E57" s="207">
        <f>SUMIFS('октябрь 2023'!$G$4:$G$1074,'октябрь 2023'!$D$4:$D$1074,$B57,'октябрь 2023'!$J$4:$J$1074,E$1)</f>
        <v>88</v>
      </c>
      <c r="F57" s="207">
        <f>SUMIFS('октябрь 2023'!$G$4:$G$1074,'октябрь 2023'!$D$4:$D$1074,$B57,'октябрь 2023'!$J$4:$J$1074,F$1)</f>
        <v>176</v>
      </c>
      <c r="G57" s="207">
        <f>SUMIFS('октябрь 2023'!$G$4:$G$1074,'октябрь 2023'!$D$4:$D$1074,$B57,'октябрь 2023'!$J$4:$J$1074,G$1)</f>
        <v>0</v>
      </c>
      <c r="H57" s="207">
        <f>SUMIFS('октябрь 2023'!$G$4:$G$1074,'октябрь 2023'!$D$4:$D$1074,$B57,'октябрь 2023'!$J$4:$J$1074,H$1)</f>
        <v>0</v>
      </c>
      <c r="I57" s="207">
        <f>SUMIFS('октябрь 2023'!$G$4:$G$1074,'октябрь 2023'!$D$4:$D$1074,$B57,'октябрь 2023'!$J$4:$J$1074,I$1)</f>
        <v>0</v>
      </c>
      <c r="J57" s="207">
        <f>SUMIFS('октябрь 2023'!$G$4:$G$1074,'октябрь 2023'!$D$4:$D$1074,$B57,'октябрь 2023'!$J$4:$J$1074,J$1)</f>
        <v>0</v>
      </c>
      <c r="K57" s="207">
        <f>SUMIFS('октябрь 2023'!$G$4:$G$1074,'октябрь 2023'!$D$4:$D$1074,$B57,'октябрь 2023'!$J$4:$J$1074,K$1)</f>
        <v>0</v>
      </c>
      <c r="L57" s="207">
        <f>SUMIFS('октябрь 2023'!$G$4:$G$1074,'октябрь 2023'!$D$4:$D$1074,$B57,'октябрь 2023'!$J$4:$J$1074,L$1)</f>
        <v>0</v>
      </c>
      <c r="M57" s="207">
        <f>SUMIFS('октябрь 2023'!$G$4:$G$1074,'октябрь 2023'!$D$4:$D$1074,$B57,'октябрь 2023'!$J$4:$J$1074,M$1)</f>
        <v>0</v>
      </c>
      <c r="N57" s="207">
        <f>SUMIFS('октябрь 2023'!$G$4:$G$1074,'октябрь 2023'!$D$4:$D$1074,$B57,'октябрь 2023'!$J$4:$J$1074,N$1)</f>
        <v>0</v>
      </c>
      <c r="O57" s="207">
        <f>SUMIFS('октябрь 2023'!$G$4:$G$1074,'октябрь 2023'!$D$4:$D$1074,$B57,'октябрь 2023'!$J$4:$J$1074,O$1)</f>
        <v>0</v>
      </c>
      <c r="P57" s="207">
        <f>SUMIFS('октябрь 2023'!$G$4:$G$1074,'октябрь 2023'!$D$4:$D$1074,$B57,'октябрь 2023'!$J$4:$J$1074,P$1)</f>
        <v>0</v>
      </c>
      <c r="Q57" s="207">
        <f>SUMIFS('октябрь 2023'!$G$4:$G$1074,'октябрь 2023'!$D$4:$D$1074,$B57,'октябрь 2023'!$J$4:$J$1074,Q$1)</f>
        <v>0</v>
      </c>
      <c r="R57" s="207">
        <f>SUMIFS('октябрь 2023'!$G$4:$G$1074,'октябрь 2023'!$D$4:$D$1074,$B57,'октябрь 2023'!$J$4:$J$1074,R$1)</f>
        <v>0</v>
      </c>
      <c r="S57" s="207">
        <f>SUMIFS('октябрь 2023'!$G$4:$G$1074,'октябрь 2023'!$D$4:$D$1074,$B57,'октябрь 2023'!$J$4:$J$1074,S$1)</f>
        <v>0</v>
      </c>
      <c r="T57" s="207">
        <f>SUMIFS('октябрь 2023'!$G$4:$G$1074,'октябрь 2023'!$D$4:$D$1074,$B57,'октябрь 2023'!$J$4:$J$1074,T$1)</f>
        <v>0</v>
      </c>
      <c r="U57" s="207">
        <f>SUMIFS('октябрь 2023'!$G$4:$G$1074,'октябрь 2023'!$D$4:$D$1074,$B57,'октябрь 2023'!$J$4:$J$1074,U$1)</f>
        <v>0</v>
      </c>
      <c r="V57" s="207">
        <f>SUMIFS('октябрь 2023'!$G$4:$G$1074,'октябрь 2023'!$D$4:$D$1074,$B57,'октябрь 2023'!$J$4:$J$1074,V$1)</f>
        <v>0</v>
      </c>
      <c r="W57" s="207">
        <f>SUMIFS('октябрь 2023'!$G$4:$G$1074,'октябрь 2023'!$D$4:$D$1074,$B57,'октябрь 2023'!$J$4:$J$1074,W$1)</f>
        <v>0</v>
      </c>
      <c r="X57" s="207">
        <f>SUMIFS('октябрь 2023'!$G$4:$G$1074,'октябрь 2023'!$D$4:$D$1074,$B57,'октябрь 2023'!$J$4:$J$1074,X$1)</f>
        <v>0</v>
      </c>
      <c r="Y57" s="207">
        <f>SUMIFS('октябрь 2023'!$G$4:$G$1074,'октябрь 2023'!$D$4:$D$1074,$B57,'октябрь 2023'!$J$4:$J$1074,Y$1)</f>
        <v>0</v>
      </c>
      <c r="Z57" s="207">
        <f>SUMIFS('октябрь 2023'!$G$4:$G$1074,'октябрь 2023'!$D$4:$D$1074,$B57,'октябрь 2023'!$J$4:$J$1074,Z$1)</f>
        <v>0</v>
      </c>
      <c r="AA57" s="207">
        <f>SUMIFS('октябрь 2023'!$G$4:$G$1074,'октябрь 2023'!$D$4:$D$1074,$B57,'октябрь 2023'!$J$4:$J$1074,AA$1)</f>
        <v>0</v>
      </c>
      <c r="AB57" s="207">
        <f>SUMIFS('октябрь 2023'!$G$4:$G$1074,'октябрь 2023'!$D$4:$D$1074,$B57,'октябрь 2023'!$J$4:$J$1074,AB$1)</f>
        <v>0</v>
      </c>
      <c r="AC57" s="207">
        <f>SUMIFS('октябрь 2023'!$G$4:$G$1074,'октябрь 2023'!$D$4:$D$1074,$B57,'октябрь 2023'!$J$4:$J$1074,AC$1)</f>
        <v>0</v>
      </c>
      <c r="AD57" s="207">
        <f>SUMIFS('октябрь 2023'!$G$4:$G$1074,'октябрь 2023'!$D$4:$D$1074,$B57,'октябрь 2023'!$J$4:$J$1074,AD$1)</f>
        <v>0</v>
      </c>
      <c r="AE57" s="207">
        <f>SUMIFS('октябрь 2023'!$G$4:$G$1074,'октябрь 2023'!$D$4:$D$1074,$B57,'октябрь 2023'!$J$4:$J$1074,AE$1)</f>
        <v>0</v>
      </c>
      <c r="AF57" s="207">
        <f>SUMIFS('октябрь 2023'!$G$4:$G$1074,'октябрь 2023'!$D$4:$D$1074,$B57,'октябрь 2023'!$J$4:$J$1074,AF$1)</f>
        <v>0</v>
      </c>
      <c r="AG57" s="207">
        <f>SUMIFS('октябрь 2023'!$G$4:$G$1074,'октябрь 2023'!$D$4:$D$1074,$B57,'октябрь 2023'!$J$4:$J$1074,AG$1)</f>
        <v>0</v>
      </c>
      <c r="AH57" s="207">
        <f>SUMIFS('октябрь 2023'!$G$4:$G$1074,'октябрь 2023'!$D$4:$D$1074,$B57,'октябрь 2023'!$J$4:$J$1074,AH$1)</f>
        <v>0</v>
      </c>
      <c r="AI57" s="170">
        <f t="shared" si="1"/>
        <v>264</v>
      </c>
    </row>
    <row r="58" spans="2:35" ht="15" customHeight="1" x14ac:dyDescent="0.25">
      <c r="B58" s="217" t="s">
        <v>602</v>
      </c>
      <c r="C58" s="213">
        <v>25</v>
      </c>
      <c r="D58" s="207">
        <f>SUMIFS('октябрь 2023'!$G$4:$G$1074,'октябрь 2023'!$D$4:$D$1074,$B58,'октябрь 2023'!$J$4:$J$1074,D$1)</f>
        <v>0</v>
      </c>
      <c r="E58" s="207">
        <f>SUMIFS('октябрь 2023'!$G$4:$G$1074,'октябрь 2023'!$D$4:$D$1074,$B58,'октябрь 2023'!$J$4:$J$1074,E$1)</f>
        <v>0</v>
      </c>
      <c r="F58" s="207">
        <f>SUMIFS('октябрь 2023'!$G$4:$G$1074,'октябрь 2023'!$D$4:$D$1074,$B58,'октябрь 2023'!$J$4:$J$1074,F$1)</f>
        <v>0</v>
      </c>
      <c r="G58" s="207">
        <f>SUMIFS('октябрь 2023'!$G$4:$G$1074,'октябрь 2023'!$D$4:$D$1074,$B58,'октябрь 2023'!$J$4:$J$1074,G$1)</f>
        <v>0</v>
      </c>
      <c r="H58" s="207">
        <f>SUMIFS('октябрь 2023'!$G$4:$G$1074,'октябрь 2023'!$D$4:$D$1074,$B58,'октябрь 2023'!$J$4:$J$1074,H$1)</f>
        <v>0</v>
      </c>
      <c r="I58" s="207">
        <f>SUMIFS('октябрь 2023'!$G$4:$G$1074,'октябрь 2023'!$D$4:$D$1074,$B58,'октябрь 2023'!$J$4:$J$1074,I$1)</f>
        <v>0</v>
      </c>
      <c r="J58" s="207">
        <f>SUMIFS('октябрь 2023'!$G$4:$G$1074,'октябрь 2023'!$D$4:$D$1074,$B58,'октябрь 2023'!$J$4:$J$1074,J$1)</f>
        <v>0</v>
      </c>
      <c r="K58" s="207">
        <f>SUMIFS('октябрь 2023'!$G$4:$G$1074,'октябрь 2023'!$D$4:$D$1074,$B58,'октябрь 2023'!$J$4:$J$1074,K$1)</f>
        <v>0</v>
      </c>
      <c r="L58" s="207">
        <f>SUMIFS('октябрь 2023'!$G$4:$G$1074,'октябрь 2023'!$D$4:$D$1074,$B58,'октябрь 2023'!$J$4:$J$1074,L$1)</f>
        <v>0</v>
      </c>
      <c r="M58" s="207">
        <f>SUMIFS('октябрь 2023'!$G$4:$G$1074,'октябрь 2023'!$D$4:$D$1074,$B58,'октябрь 2023'!$J$4:$J$1074,M$1)</f>
        <v>0</v>
      </c>
      <c r="N58" s="207">
        <f>SUMIFS('октябрь 2023'!$G$4:$G$1074,'октябрь 2023'!$D$4:$D$1074,$B58,'октябрь 2023'!$J$4:$J$1074,N$1)</f>
        <v>0</v>
      </c>
      <c r="O58" s="207">
        <f>SUMIFS('октябрь 2023'!$G$4:$G$1074,'октябрь 2023'!$D$4:$D$1074,$B58,'октябрь 2023'!$J$4:$J$1074,O$1)</f>
        <v>0</v>
      </c>
      <c r="P58" s="207">
        <f>SUMIFS('октябрь 2023'!$G$4:$G$1074,'октябрь 2023'!$D$4:$D$1074,$B58,'октябрь 2023'!$J$4:$J$1074,P$1)</f>
        <v>0</v>
      </c>
      <c r="Q58" s="207">
        <f>SUMIFS('октябрь 2023'!$G$4:$G$1074,'октябрь 2023'!$D$4:$D$1074,$B58,'октябрь 2023'!$J$4:$J$1074,Q$1)</f>
        <v>0</v>
      </c>
      <c r="R58" s="207">
        <f>SUMIFS('октябрь 2023'!$G$4:$G$1074,'октябрь 2023'!$D$4:$D$1074,$B58,'октябрь 2023'!$J$4:$J$1074,R$1)</f>
        <v>0</v>
      </c>
      <c r="S58" s="207">
        <f>SUMIFS('октябрь 2023'!$G$4:$G$1074,'октябрь 2023'!$D$4:$D$1074,$B58,'октябрь 2023'!$J$4:$J$1074,S$1)</f>
        <v>0</v>
      </c>
      <c r="T58" s="207">
        <f>SUMIFS('октябрь 2023'!$G$4:$G$1074,'октябрь 2023'!$D$4:$D$1074,$B58,'октябрь 2023'!$J$4:$J$1074,T$1)</f>
        <v>0</v>
      </c>
      <c r="U58" s="207">
        <f>SUMIFS('октябрь 2023'!$G$4:$G$1074,'октябрь 2023'!$D$4:$D$1074,$B58,'октябрь 2023'!$J$4:$J$1074,U$1)</f>
        <v>0</v>
      </c>
      <c r="V58" s="207">
        <f>SUMIFS('октябрь 2023'!$G$4:$G$1074,'октябрь 2023'!$D$4:$D$1074,$B58,'октябрь 2023'!$J$4:$J$1074,V$1)</f>
        <v>0</v>
      </c>
      <c r="W58" s="207">
        <f>SUMIFS('октябрь 2023'!$G$4:$G$1074,'октябрь 2023'!$D$4:$D$1074,$B58,'октябрь 2023'!$J$4:$J$1074,W$1)</f>
        <v>0</v>
      </c>
      <c r="X58" s="207">
        <f>SUMIFS('октябрь 2023'!$G$4:$G$1074,'октябрь 2023'!$D$4:$D$1074,$B58,'октябрь 2023'!$J$4:$J$1074,X$1)</f>
        <v>0</v>
      </c>
      <c r="Y58" s="207">
        <f>SUMIFS('октябрь 2023'!$G$4:$G$1074,'октябрь 2023'!$D$4:$D$1074,$B58,'октябрь 2023'!$J$4:$J$1074,Y$1)</f>
        <v>0</v>
      </c>
      <c r="Z58" s="207">
        <f>SUMIFS('октябрь 2023'!$G$4:$G$1074,'октябрь 2023'!$D$4:$D$1074,$B58,'октябрь 2023'!$J$4:$J$1074,Z$1)</f>
        <v>0</v>
      </c>
      <c r="AA58" s="207">
        <f>SUMIFS('октябрь 2023'!$G$4:$G$1074,'октябрь 2023'!$D$4:$D$1074,$B58,'октябрь 2023'!$J$4:$J$1074,AA$1)</f>
        <v>0</v>
      </c>
      <c r="AB58" s="207">
        <f>SUMIFS('октябрь 2023'!$G$4:$G$1074,'октябрь 2023'!$D$4:$D$1074,$B58,'октябрь 2023'!$J$4:$J$1074,AB$1)</f>
        <v>60</v>
      </c>
      <c r="AC58" s="207">
        <f>SUMIFS('октябрь 2023'!$G$4:$G$1074,'октябрь 2023'!$D$4:$D$1074,$B58,'октябрь 2023'!$J$4:$J$1074,AC$1)</f>
        <v>0</v>
      </c>
      <c r="AD58" s="207">
        <f>SUMIFS('октябрь 2023'!$G$4:$G$1074,'октябрь 2023'!$D$4:$D$1074,$B58,'октябрь 2023'!$J$4:$J$1074,AD$1)</f>
        <v>0</v>
      </c>
      <c r="AE58" s="207">
        <f>SUMIFS('октябрь 2023'!$G$4:$G$1074,'октябрь 2023'!$D$4:$D$1074,$B58,'октябрь 2023'!$J$4:$J$1074,AE$1)</f>
        <v>0</v>
      </c>
      <c r="AF58" s="207">
        <f>SUMIFS('октябрь 2023'!$G$4:$G$1074,'октябрь 2023'!$D$4:$D$1074,$B58,'октябрь 2023'!$J$4:$J$1074,AF$1)</f>
        <v>0</v>
      </c>
      <c r="AG58" s="207">
        <f>SUMIFS('октябрь 2023'!$G$4:$G$1074,'октябрь 2023'!$D$4:$D$1074,$B58,'октябрь 2023'!$J$4:$J$1074,AG$1)</f>
        <v>0</v>
      </c>
      <c r="AH58" s="207">
        <f>SUMIFS('октябрь 2023'!$G$4:$G$1074,'октябрь 2023'!$D$4:$D$1074,$B58,'октябрь 2023'!$J$4:$J$1074,AH$1)</f>
        <v>0</v>
      </c>
      <c r="AI58" s="170">
        <f t="shared" si="1"/>
        <v>60</v>
      </c>
    </row>
    <row r="59" spans="2:35" ht="15" customHeight="1" x14ac:dyDescent="0.25">
      <c r="B59" s="217" t="s">
        <v>222</v>
      </c>
      <c r="C59" s="213">
        <v>50</v>
      </c>
      <c r="D59" s="207">
        <f>SUMIFS('октябрь 2023'!$G$4:$G$1074,'октябрь 2023'!$D$4:$D$1074,$B59,'октябрь 2023'!$J$4:$J$1074,D$1)</f>
        <v>0</v>
      </c>
      <c r="E59" s="207">
        <f>SUMIFS('октябрь 2023'!$G$4:$G$1074,'октябрь 2023'!$D$4:$D$1074,$B59,'октябрь 2023'!$J$4:$J$1074,E$1)</f>
        <v>0</v>
      </c>
      <c r="F59" s="207">
        <f>SUMIFS('октябрь 2023'!$G$4:$G$1074,'октябрь 2023'!$D$4:$D$1074,$B59,'октябрь 2023'!$J$4:$J$1074,F$1)</f>
        <v>0</v>
      </c>
      <c r="G59" s="207">
        <f>SUMIFS('октябрь 2023'!$G$4:$G$1074,'октябрь 2023'!$D$4:$D$1074,$B59,'октябрь 2023'!$J$4:$J$1074,G$1)</f>
        <v>0</v>
      </c>
      <c r="H59" s="207">
        <f>SUMIFS('октябрь 2023'!$G$4:$G$1074,'октябрь 2023'!$D$4:$D$1074,$B59,'октябрь 2023'!$J$4:$J$1074,H$1)</f>
        <v>0</v>
      </c>
      <c r="I59" s="207">
        <f>SUMIFS('октябрь 2023'!$G$4:$G$1074,'октябрь 2023'!$D$4:$D$1074,$B59,'октябрь 2023'!$J$4:$J$1074,I$1)</f>
        <v>0</v>
      </c>
      <c r="J59" s="207">
        <f>SUMIFS('октябрь 2023'!$G$4:$G$1074,'октябрь 2023'!$D$4:$D$1074,$B59,'октябрь 2023'!$J$4:$J$1074,J$1)</f>
        <v>0</v>
      </c>
      <c r="K59" s="207">
        <f>SUMIFS('октябрь 2023'!$G$4:$G$1074,'октябрь 2023'!$D$4:$D$1074,$B59,'октябрь 2023'!$J$4:$J$1074,K$1)</f>
        <v>0</v>
      </c>
      <c r="L59" s="207">
        <f>SUMIFS('октябрь 2023'!$G$4:$G$1074,'октябрь 2023'!$D$4:$D$1074,$B59,'октябрь 2023'!$J$4:$J$1074,L$1)</f>
        <v>0</v>
      </c>
      <c r="M59" s="207">
        <f>SUMIFS('октябрь 2023'!$G$4:$G$1074,'октябрь 2023'!$D$4:$D$1074,$B59,'октябрь 2023'!$J$4:$J$1074,M$1)</f>
        <v>0</v>
      </c>
      <c r="N59" s="207">
        <f>SUMIFS('октябрь 2023'!$G$4:$G$1074,'октябрь 2023'!$D$4:$D$1074,$B59,'октябрь 2023'!$J$4:$J$1074,N$1)</f>
        <v>0</v>
      </c>
      <c r="O59" s="207">
        <f>SUMIFS('октябрь 2023'!$G$4:$G$1074,'октябрь 2023'!$D$4:$D$1074,$B59,'октябрь 2023'!$J$4:$J$1074,O$1)</f>
        <v>0</v>
      </c>
      <c r="P59" s="207">
        <f>SUMIFS('октябрь 2023'!$G$4:$G$1074,'октябрь 2023'!$D$4:$D$1074,$B59,'октябрь 2023'!$J$4:$J$1074,P$1)</f>
        <v>0</v>
      </c>
      <c r="Q59" s="207">
        <f>SUMIFS('октябрь 2023'!$G$4:$G$1074,'октябрь 2023'!$D$4:$D$1074,$B59,'октябрь 2023'!$J$4:$J$1074,Q$1)</f>
        <v>0</v>
      </c>
      <c r="R59" s="207">
        <f>SUMIFS('октябрь 2023'!$G$4:$G$1074,'октябрь 2023'!$D$4:$D$1074,$B59,'октябрь 2023'!$J$4:$J$1074,R$1)</f>
        <v>0</v>
      </c>
      <c r="S59" s="207">
        <f>SUMIFS('октябрь 2023'!$G$4:$G$1074,'октябрь 2023'!$D$4:$D$1074,$B59,'октябрь 2023'!$J$4:$J$1074,S$1)</f>
        <v>0</v>
      </c>
      <c r="T59" s="207">
        <f>SUMIFS('октябрь 2023'!$G$4:$G$1074,'октябрь 2023'!$D$4:$D$1074,$B59,'октябрь 2023'!$J$4:$J$1074,T$1)</f>
        <v>0</v>
      </c>
      <c r="U59" s="207">
        <f>SUMIFS('октябрь 2023'!$G$4:$G$1074,'октябрь 2023'!$D$4:$D$1074,$B59,'октябрь 2023'!$J$4:$J$1074,U$1)</f>
        <v>0</v>
      </c>
      <c r="V59" s="207">
        <f>SUMIFS('октябрь 2023'!$G$4:$G$1074,'октябрь 2023'!$D$4:$D$1074,$B59,'октябрь 2023'!$J$4:$J$1074,V$1)</f>
        <v>0</v>
      </c>
      <c r="W59" s="207">
        <f>SUMIFS('октябрь 2023'!$G$4:$G$1074,'октябрь 2023'!$D$4:$D$1074,$B59,'октябрь 2023'!$J$4:$J$1074,W$1)</f>
        <v>0</v>
      </c>
      <c r="X59" s="207">
        <f>SUMIFS('октябрь 2023'!$G$4:$G$1074,'октябрь 2023'!$D$4:$D$1074,$B59,'октябрь 2023'!$J$4:$J$1074,X$1)</f>
        <v>0</v>
      </c>
      <c r="Y59" s="207">
        <f>SUMIFS('октябрь 2023'!$G$4:$G$1074,'октябрь 2023'!$D$4:$D$1074,$B59,'октябрь 2023'!$J$4:$J$1074,Y$1)</f>
        <v>0</v>
      </c>
      <c r="Z59" s="207">
        <f>SUMIFS('октябрь 2023'!$G$4:$G$1074,'октябрь 2023'!$D$4:$D$1074,$B59,'октябрь 2023'!$J$4:$J$1074,Z$1)</f>
        <v>0</v>
      </c>
      <c r="AA59" s="207">
        <f>SUMIFS('октябрь 2023'!$G$4:$G$1074,'октябрь 2023'!$D$4:$D$1074,$B59,'октябрь 2023'!$J$4:$J$1074,AA$1)</f>
        <v>0</v>
      </c>
      <c r="AB59" s="207">
        <f>SUMIFS('октябрь 2023'!$G$4:$G$1074,'октябрь 2023'!$D$4:$D$1074,$B59,'октябрь 2023'!$J$4:$J$1074,AB$1)</f>
        <v>0</v>
      </c>
      <c r="AC59" s="207">
        <f>SUMIFS('октябрь 2023'!$G$4:$G$1074,'октябрь 2023'!$D$4:$D$1074,$B59,'октябрь 2023'!$J$4:$J$1074,AC$1)</f>
        <v>0</v>
      </c>
      <c r="AD59" s="207">
        <f>SUMIFS('октябрь 2023'!$G$4:$G$1074,'октябрь 2023'!$D$4:$D$1074,$B59,'октябрь 2023'!$J$4:$J$1074,AD$1)</f>
        <v>0</v>
      </c>
      <c r="AE59" s="207">
        <f>SUMIFS('октябрь 2023'!$G$4:$G$1074,'октябрь 2023'!$D$4:$D$1074,$B59,'октябрь 2023'!$J$4:$J$1074,AE$1)</f>
        <v>0</v>
      </c>
      <c r="AF59" s="207">
        <f>SUMIFS('октябрь 2023'!$G$4:$G$1074,'октябрь 2023'!$D$4:$D$1074,$B59,'октябрь 2023'!$J$4:$J$1074,AF$1)</f>
        <v>0</v>
      </c>
      <c r="AG59" s="207">
        <f>SUMIFS('октябрь 2023'!$G$4:$G$1074,'октябрь 2023'!$D$4:$D$1074,$B59,'октябрь 2023'!$J$4:$J$1074,AG$1)</f>
        <v>0</v>
      </c>
      <c r="AH59" s="207">
        <f>SUMIFS('октябрь 2023'!$G$4:$G$1074,'октябрь 2023'!$D$4:$D$1074,$B59,'октябрь 2023'!$J$4:$J$1074,AH$1)</f>
        <v>0</v>
      </c>
      <c r="AI59" s="170">
        <f t="shared" si="1"/>
        <v>0</v>
      </c>
    </row>
    <row r="60" spans="2:35" ht="15" customHeight="1" x14ac:dyDescent="0.25">
      <c r="B60" s="216" t="s">
        <v>66</v>
      </c>
      <c r="C60" s="213">
        <v>200</v>
      </c>
      <c r="D60" s="207">
        <f>SUMIFS('октябрь 2023'!$G$4:$G$1074,'октябрь 2023'!$D$4:$D$1074,$B60,'октябрь 2023'!$J$4:$J$1074,D$1)</f>
        <v>0</v>
      </c>
      <c r="E60" s="207">
        <f>SUMIFS('октябрь 2023'!$G$4:$G$1074,'октябрь 2023'!$D$4:$D$1074,$B60,'октябрь 2023'!$J$4:$J$1074,E$1)</f>
        <v>0</v>
      </c>
      <c r="F60" s="207">
        <f>SUMIFS('октябрь 2023'!$G$4:$G$1074,'октябрь 2023'!$D$4:$D$1074,$B60,'октябрь 2023'!$J$4:$J$1074,F$1)</f>
        <v>0</v>
      </c>
      <c r="G60" s="207">
        <f>SUMIFS('октябрь 2023'!$G$4:$G$1074,'октябрь 2023'!$D$4:$D$1074,$B60,'октябрь 2023'!$J$4:$J$1074,G$1)</f>
        <v>0</v>
      </c>
      <c r="H60" s="207">
        <f>SUMIFS('октябрь 2023'!$G$4:$G$1074,'октябрь 2023'!$D$4:$D$1074,$B60,'октябрь 2023'!$J$4:$J$1074,H$1)</f>
        <v>0</v>
      </c>
      <c r="I60" s="207">
        <f>SUMIFS('октябрь 2023'!$G$4:$G$1074,'октябрь 2023'!$D$4:$D$1074,$B60,'октябрь 2023'!$J$4:$J$1074,I$1)</f>
        <v>0</v>
      </c>
      <c r="J60" s="207">
        <f>SUMIFS('октябрь 2023'!$G$4:$G$1074,'октябрь 2023'!$D$4:$D$1074,$B60,'октябрь 2023'!$J$4:$J$1074,J$1)</f>
        <v>0</v>
      </c>
      <c r="K60" s="207">
        <f>SUMIFS('октябрь 2023'!$G$4:$G$1074,'октябрь 2023'!$D$4:$D$1074,$B60,'октябрь 2023'!$J$4:$J$1074,K$1)</f>
        <v>0</v>
      </c>
      <c r="L60" s="207">
        <f>SUMIFS('октябрь 2023'!$G$4:$G$1074,'октябрь 2023'!$D$4:$D$1074,$B60,'октябрь 2023'!$J$4:$J$1074,L$1)</f>
        <v>88</v>
      </c>
      <c r="M60" s="207">
        <f>SUMIFS('октябрь 2023'!$G$4:$G$1074,'октябрь 2023'!$D$4:$D$1074,$B60,'октябрь 2023'!$J$4:$J$1074,M$1)</f>
        <v>0</v>
      </c>
      <c r="N60" s="207">
        <f>SUMIFS('октябрь 2023'!$G$4:$G$1074,'октябрь 2023'!$D$4:$D$1074,$B60,'октябрь 2023'!$J$4:$J$1074,N$1)</f>
        <v>0</v>
      </c>
      <c r="O60" s="207">
        <f>SUMIFS('октябрь 2023'!$G$4:$G$1074,'октябрь 2023'!$D$4:$D$1074,$B60,'октябрь 2023'!$J$4:$J$1074,O$1)</f>
        <v>0</v>
      </c>
      <c r="P60" s="207">
        <f>SUMIFS('октябрь 2023'!$G$4:$G$1074,'октябрь 2023'!$D$4:$D$1074,$B60,'октябрь 2023'!$J$4:$J$1074,P$1)</f>
        <v>0</v>
      </c>
      <c r="Q60" s="207">
        <f>SUMIFS('октябрь 2023'!$G$4:$G$1074,'октябрь 2023'!$D$4:$D$1074,$B60,'октябрь 2023'!$J$4:$J$1074,Q$1)</f>
        <v>0</v>
      </c>
      <c r="R60" s="207">
        <f>SUMIFS('октябрь 2023'!$G$4:$G$1074,'октябрь 2023'!$D$4:$D$1074,$B60,'октябрь 2023'!$J$4:$J$1074,R$1)</f>
        <v>0</v>
      </c>
      <c r="S60" s="207">
        <f>SUMIFS('октябрь 2023'!$G$4:$G$1074,'октябрь 2023'!$D$4:$D$1074,$B60,'октябрь 2023'!$J$4:$J$1074,S$1)</f>
        <v>0</v>
      </c>
      <c r="T60" s="207">
        <f>SUMIFS('октябрь 2023'!$G$4:$G$1074,'октябрь 2023'!$D$4:$D$1074,$B60,'октябрь 2023'!$J$4:$J$1074,T$1)</f>
        <v>0</v>
      </c>
      <c r="U60" s="207">
        <f>SUMIFS('октябрь 2023'!$G$4:$G$1074,'октябрь 2023'!$D$4:$D$1074,$B60,'октябрь 2023'!$J$4:$J$1074,U$1)</f>
        <v>0</v>
      </c>
      <c r="V60" s="207">
        <f>SUMIFS('октябрь 2023'!$G$4:$G$1074,'октябрь 2023'!$D$4:$D$1074,$B60,'октябрь 2023'!$J$4:$J$1074,V$1)</f>
        <v>0</v>
      </c>
      <c r="W60" s="207">
        <f>SUMIFS('октябрь 2023'!$G$4:$G$1074,'октябрь 2023'!$D$4:$D$1074,$B60,'октябрь 2023'!$J$4:$J$1074,W$1)</f>
        <v>0</v>
      </c>
      <c r="X60" s="207">
        <f>SUMIFS('октябрь 2023'!$G$4:$G$1074,'октябрь 2023'!$D$4:$D$1074,$B60,'октябрь 2023'!$J$4:$J$1074,X$1)</f>
        <v>0</v>
      </c>
      <c r="Y60" s="207">
        <f>SUMIFS('октябрь 2023'!$G$4:$G$1074,'октябрь 2023'!$D$4:$D$1074,$B60,'октябрь 2023'!$J$4:$J$1074,Y$1)</f>
        <v>0</v>
      </c>
      <c r="Z60" s="207">
        <f>SUMIFS('октябрь 2023'!$G$4:$G$1074,'октябрь 2023'!$D$4:$D$1074,$B60,'октябрь 2023'!$J$4:$J$1074,Z$1)</f>
        <v>48</v>
      </c>
      <c r="AA60" s="207">
        <f>SUMIFS('октябрь 2023'!$G$4:$G$1074,'октябрь 2023'!$D$4:$D$1074,$B60,'октябрь 2023'!$J$4:$J$1074,AA$1)</f>
        <v>0</v>
      </c>
      <c r="AB60" s="207">
        <f>SUMIFS('октябрь 2023'!$G$4:$G$1074,'октябрь 2023'!$D$4:$D$1074,$B60,'октябрь 2023'!$J$4:$J$1074,AB$1)</f>
        <v>0</v>
      </c>
      <c r="AC60" s="207">
        <f>SUMIFS('октябрь 2023'!$G$4:$G$1074,'октябрь 2023'!$D$4:$D$1074,$B60,'октябрь 2023'!$J$4:$J$1074,AC$1)</f>
        <v>0</v>
      </c>
      <c r="AD60" s="207">
        <f>SUMIFS('октябрь 2023'!$G$4:$G$1074,'октябрь 2023'!$D$4:$D$1074,$B60,'октябрь 2023'!$J$4:$J$1074,AD$1)</f>
        <v>0</v>
      </c>
      <c r="AE60" s="207">
        <f>SUMIFS('октябрь 2023'!$G$4:$G$1074,'октябрь 2023'!$D$4:$D$1074,$B60,'октябрь 2023'!$J$4:$J$1074,AE$1)</f>
        <v>0</v>
      </c>
      <c r="AF60" s="207">
        <f>SUMIFS('октябрь 2023'!$G$4:$G$1074,'октябрь 2023'!$D$4:$D$1074,$B60,'октябрь 2023'!$J$4:$J$1074,AF$1)</f>
        <v>0</v>
      </c>
      <c r="AG60" s="207">
        <f>SUMIFS('октябрь 2023'!$G$4:$G$1074,'октябрь 2023'!$D$4:$D$1074,$B60,'октябрь 2023'!$J$4:$J$1074,AG$1)</f>
        <v>0</v>
      </c>
      <c r="AH60" s="207">
        <f>SUMIFS('октябрь 2023'!$G$4:$G$1074,'октябрь 2023'!$D$4:$D$1074,$B60,'октябрь 2023'!$J$4:$J$1074,AH$1)</f>
        <v>0</v>
      </c>
      <c r="AI60" s="170">
        <f t="shared" si="1"/>
        <v>136</v>
      </c>
    </row>
    <row r="61" spans="2:35" ht="15" customHeight="1" x14ac:dyDescent="0.25">
      <c r="B61" s="216" t="s">
        <v>38</v>
      </c>
      <c r="C61" s="213">
        <v>200</v>
      </c>
      <c r="D61" s="207">
        <f>SUMIFS('октябрь 2023'!$G$4:$G$1074,'октябрь 2023'!$D$4:$D$1074,$B61,'октябрь 2023'!$J$4:$J$1074,D$1)</f>
        <v>0</v>
      </c>
      <c r="E61" s="207">
        <f>SUMIFS('октябрь 2023'!$G$4:$G$1074,'октябрь 2023'!$D$4:$D$1074,$B61,'октябрь 2023'!$J$4:$J$1074,E$1)</f>
        <v>0</v>
      </c>
      <c r="F61" s="207">
        <f>SUMIFS('октябрь 2023'!$G$4:$G$1074,'октябрь 2023'!$D$4:$D$1074,$B61,'октябрь 2023'!$J$4:$J$1074,F$1)</f>
        <v>0</v>
      </c>
      <c r="G61" s="207">
        <f>SUMIFS('октябрь 2023'!$G$4:$G$1074,'октябрь 2023'!$D$4:$D$1074,$B61,'октябрь 2023'!$J$4:$J$1074,G$1)</f>
        <v>0</v>
      </c>
      <c r="H61" s="207">
        <f>SUMIFS('октябрь 2023'!$G$4:$G$1074,'октябрь 2023'!$D$4:$D$1074,$B61,'октябрь 2023'!$J$4:$J$1074,H$1)</f>
        <v>0</v>
      </c>
      <c r="I61" s="207">
        <f>SUMIFS('октябрь 2023'!$G$4:$G$1074,'октябрь 2023'!$D$4:$D$1074,$B61,'октябрь 2023'!$J$4:$J$1074,I$1)</f>
        <v>0</v>
      </c>
      <c r="J61" s="207">
        <f>SUMIFS('октябрь 2023'!$G$4:$G$1074,'октябрь 2023'!$D$4:$D$1074,$B61,'октябрь 2023'!$J$4:$J$1074,J$1)</f>
        <v>0</v>
      </c>
      <c r="K61" s="207">
        <f>SUMIFS('октябрь 2023'!$G$4:$G$1074,'октябрь 2023'!$D$4:$D$1074,$B61,'октябрь 2023'!$J$4:$J$1074,K$1)</f>
        <v>0</v>
      </c>
      <c r="L61" s="207">
        <f>SUMIFS('октябрь 2023'!$G$4:$G$1074,'октябрь 2023'!$D$4:$D$1074,$B61,'октябрь 2023'!$J$4:$J$1074,L$1)</f>
        <v>0</v>
      </c>
      <c r="M61" s="207">
        <f>SUMIFS('октябрь 2023'!$G$4:$G$1074,'октябрь 2023'!$D$4:$D$1074,$B61,'октябрь 2023'!$J$4:$J$1074,M$1)</f>
        <v>0</v>
      </c>
      <c r="N61" s="207">
        <f>SUMIFS('октябрь 2023'!$G$4:$G$1074,'октябрь 2023'!$D$4:$D$1074,$B61,'октябрь 2023'!$J$4:$J$1074,N$1)</f>
        <v>0</v>
      </c>
      <c r="O61" s="207">
        <f>SUMIFS('октябрь 2023'!$G$4:$G$1074,'октябрь 2023'!$D$4:$D$1074,$B61,'октябрь 2023'!$J$4:$J$1074,O$1)</f>
        <v>0</v>
      </c>
      <c r="P61" s="207">
        <f>SUMIFS('октябрь 2023'!$G$4:$G$1074,'октябрь 2023'!$D$4:$D$1074,$B61,'октябрь 2023'!$J$4:$J$1074,P$1)</f>
        <v>0</v>
      </c>
      <c r="Q61" s="207">
        <f>SUMIFS('октябрь 2023'!$G$4:$G$1074,'октябрь 2023'!$D$4:$D$1074,$B61,'октябрь 2023'!$J$4:$J$1074,Q$1)</f>
        <v>0</v>
      </c>
      <c r="R61" s="207">
        <f>SUMIFS('октябрь 2023'!$G$4:$G$1074,'октябрь 2023'!$D$4:$D$1074,$B61,'октябрь 2023'!$J$4:$J$1074,R$1)</f>
        <v>0</v>
      </c>
      <c r="S61" s="207">
        <f>SUMIFS('октябрь 2023'!$G$4:$G$1074,'октябрь 2023'!$D$4:$D$1074,$B61,'октябрь 2023'!$J$4:$J$1074,S$1)</f>
        <v>0</v>
      </c>
      <c r="T61" s="207">
        <f>SUMIFS('октябрь 2023'!$G$4:$G$1074,'октябрь 2023'!$D$4:$D$1074,$B61,'октябрь 2023'!$J$4:$J$1074,T$1)</f>
        <v>0</v>
      </c>
      <c r="U61" s="207">
        <f>SUMIFS('октябрь 2023'!$G$4:$G$1074,'октябрь 2023'!$D$4:$D$1074,$B61,'октябрь 2023'!$J$4:$J$1074,U$1)</f>
        <v>0</v>
      </c>
      <c r="V61" s="207">
        <f>SUMIFS('октябрь 2023'!$G$4:$G$1074,'октябрь 2023'!$D$4:$D$1074,$B61,'октябрь 2023'!$J$4:$J$1074,V$1)</f>
        <v>0</v>
      </c>
      <c r="W61" s="207">
        <f>SUMIFS('октябрь 2023'!$G$4:$G$1074,'октябрь 2023'!$D$4:$D$1074,$B61,'октябрь 2023'!$J$4:$J$1074,W$1)</f>
        <v>0</v>
      </c>
      <c r="X61" s="207">
        <f>SUMIFS('октябрь 2023'!$G$4:$G$1074,'октябрь 2023'!$D$4:$D$1074,$B61,'октябрь 2023'!$J$4:$J$1074,X$1)</f>
        <v>0</v>
      </c>
      <c r="Y61" s="207">
        <f>SUMIFS('октябрь 2023'!$G$4:$G$1074,'октябрь 2023'!$D$4:$D$1074,$B61,'октябрь 2023'!$J$4:$J$1074,Y$1)</f>
        <v>0</v>
      </c>
      <c r="Z61" s="207">
        <f>SUMIFS('октябрь 2023'!$G$4:$G$1074,'октябрь 2023'!$D$4:$D$1074,$B61,'октябрь 2023'!$J$4:$J$1074,Z$1)</f>
        <v>0</v>
      </c>
      <c r="AA61" s="207">
        <f>SUMIFS('октябрь 2023'!$G$4:$G$1074,'октябрь 2023'!$D$4:$D$1074,$B61,'октябрь 2023'!$J$4:$J$1074,AA$1)</f>
        <v>0</v>
      </c>
      <c r="AB61" s="207">
        <f>SUMIFS('октябрь 2023'!$G$4:$G$1074,'октябрь 2023'!$D$4:$D$1074,$B61,'октябрь 2023'!$J$4:$J$1074,AB$1)</f>
        <v>0</v>
      </c>
      <c r="AC61" s="207">
        <f>SUMIFS('октябрь 2023'!$G$4:$G$1074,'октябрь 2023'!$D$4:$D$1074,$B61,'октябрь 2023'!$J$4:$J$1074,AC$1)</f>
        <v>0</v>
      </c>
      <c r="AD61" s="207">
        <f>SUMIFS('октябрь 2023'!$G$4:$G$1074,'октябрь 2023'!$D$4:$D$1074,$B61,'октябрь 2023'!$J$4:$J$1074,AD$1)</f>
        <v>0</v>
      </c>
      <c r="AE61" s="207">
        <f>SUMIFS('октябрь 2023'!$G$4:$G$1074,'октябрь 2023'!$D$4:$D$1074,$B61,'октябрь 2023'!$J$4:$J$1074,AE$1)</f>
        <v>0</v>
      </c>
      <c r="AF61" s="207">
        <f>SUMIFS('октябрь 2023'!$G$4:$G$1074,'октябрь 2023'!$D$4:$D$1074,$B61,'октябрь 2023'!$J$4:$J$1074,AF$1)</f>
        <v>0</v>
      </c>
      <c r="AG61" s="207">
        <f>SUMIFS('октябрь 2023'!$G$4:$G$1074,'октябрь 2023'!$D$4:$D$1074,$B61,'октябрь 2023'!$J$4:$J$1074,AG$1)</f>
        <v>0</v>
      </c>
      <c r="AH61" s="207">
        <f>SUMIFS('октябрь 2023'!$G$4:$G$1074,'октябрь 2023'!$D$4:$D$1074,$B61,'октябрь 2023'!$J$4:$J$1074,AH$1)</f>
        <v>0</v>
      </c>
      <c r="AI61" s="170">
        <f t="shared" si="1"/>
        <v>0</v>
      </c>
    </row>
    <row r="62" spans="2:35" ht="15" customHeight="1" x14ac:dyDescent="0.25">
      <c r="B62" s="216" t="s">
        <v>878</v>
      </c>
      <c r="C62" s="213">
        <v>25</v>
      </c>
      <c r="D62" s="207">
        <f>SUMIFS('октябрь 2023'!$G$4:$G$1074,'октябрь 2023'!$D$4:$D$1074,$B62,'октябрь 2023'!$J$4:$J$1074,D$1)</f>
        <v>0</v>
      </c>
      <c r="E62" s="207">
        <f>SUMIFS('октябрь 2023'!$G$4:$G$1074,'октябрь 2023'!$D$4:$D$1074,$B62,'октябрь 2023'!$J$4:$J$1074,E$1)</f>
        <v>0</v>
      </c>
      <c r="F62" s="207">
        <f>SUMIFS('октябрь 2023'!$G$4:$G$1074,'октябрь 2023'!$D$4:$D$1074,$B62,'октябрь 2023'!$J$4:$J$1074,F$1)</f>
        <v>0</v>
      </c>
      <c r="G62" s="207">
        <f>SUMIFS('октябрь 2023'!$G$4:$G$1074,'октябрь 2023'!$D$4:$D$1074,$B62,'октябрь 2023'!$J$4:$J$1074,G$1)</f>
        <v>0</v>
      </c>
      <c r="H62" s="207">
        <f>SUMIFS('октябрь 2023'!$G$4:$G$1074,'октябрь 2023'!$D$4:$D$1074,$B62,'октябрь 2023'!$J$4:$J$1074,H$1)</f>
        <v>0</v>
      </c>
      <c r="I62" s="207">
        <f>SUMIFS('октябрь 2023'!$G$4:$G$1074,'октябрь 2023'!$D$4:$D$1074,$B62,'октябрь 2023'!$J$4:$J$1074,I$1)</f>
        <v>0</v>
      </c>
      <c r="J62" s="207">
        <f>SUMIFS('октябрь 2023'!$G$4:$G$1074,'октябрь 2023'!$D$4:$D$1074,$B62,'октябрь 2023'!$J$4:$J$1074,J$1)</f>
        <v>0</v>
      </c>
      <c r="K62" s="207">
        <f>SUMIFS('октябрь 2023'!$G$4:$G$1074,'октябрь 2023'!$D$4:$D$1074,$B62,'октябрь 2023'!$J$4:$J$1074,K$1)</f>
        <v>0</v>
      </c>
      <c r="L62" s="207">
        <f>SUMIFS('октябрь 2023'!$G$4:$G$1074,'октябрь 2023'!$D$4:$D$1074,$B62,'октябрь 2023'!$J$4:$J$1074,L$1)</f>
        <v>0</v>
      </c>
      <c r="M62" s="207">
        <f>SUMIFS('октябрь 2023'!$G$4:$G$1074,'октябрь 2023'!$D$4:$D$1074,$B62,'октябрь 2023'!$J$4:$J$1074,M$1)</f>
        <v>0</v>
      </c>
      <c r="N62" s="207">
        <f>SUMIFS('октябрь 2023'!$G$4:$G$1074,'октябрь 2023'!$D$4:$D$1074,$B62,'октябрь 2023'!$J$4:$J$1074,N$1)</f>
        <v>0</v>
      </c>
      <c r="O62" s="207">
        <f>SUMIFS('октябрь 2023'!$G$4:$G$1074,'октябрь 2023'!$D$4:$D$1074,$B62,'октябрь 2023'!$J$4:$J$1074,O$1)</f>
        <v>0</v>
      </c>
      <c r="P62" s="207">
        <f>SUMIFS('октябрь 2023'!$G$4:$G$1074,'октябрь 2023'!$D$4:$D$1074,$B62,'октябрь 2023'!$J$4:$J$1074,P$1)</f>
        <v>0</v>
      </c>
      <c r="Q62" s="207">
        <f>SUMIFS('октябрь 2023'!$G$4:$G$1074,'октябрь 2023'!$D$4:$D$1074,$B62,'октябрь 2023'!$J$4:$J$1074,Q$1)</f>
        <v>0</v>
      </c>
      <c r="R62" s="207">
        <f>SUMIFS('октябрь 2023'!$G$4:$G$1074,'октябрь 2023'!$D$4:$D$1074,$B62,'октябрь 2023'!$J$4:$J$1074,R$1)</f>
        <v>0</v>
      </c>
      <c r="S62" s="207">
        <f>SUMIFS('октябрь 2023'!$G$4:$G$1074,'октябрь 2023'!$D$4:$D$1074,$B62,'октябрь 2023'!$J$4:$J$1074,S$1)</f>
        <v>0</v>
      </c>
      <c r="T62" s="207">
        <f>SUMIFS('октябрь 2023'!$G$4:$G$1074,'октябрь 2023'!$D$4:$D$1074,$B62,'октябрь 2023'!$J$4:$J$1074,T$1)</f>
        <v>0</v>
      </c>
      <c r="U62" s="207">
        <f>SUMIFS('октябрь 2023'!$G$4:$G$1074,'октябрь 2023'!$D$4:$D$1074,$B62,'октябрь 2023'!$J$4:$J$1074,U$1)</f>
        <v>0</v>
      </c>
      <c r="V62" s="207">
        <f>SUMIFS('октябрь 2023'!$G$4:$G$1074,'октябрь 2023'!$D$4:$D$1074,$B62,'октябрь 2023'!$J$4:$J$1074,V$1)</f>
        <v>0</v>
      </c>
      <c r="W62" s="207">
        <f>SUMIFS('октябрь 2023'!$G$4:$G$1074,'октябрь 2023'!$D$4:$D$1074,$B62,'октябрь 2023'!$J$4:$J$1074,W$1)</f>
        <v>0</v>
      </c>
      <c r="X62" s="207">
        <f>SUMIFS('октябрь 2023'!$G$4:$G$1074,'октябрь 2023'!$D$4:$D$1074,$B62,'октябрь 2023'!$J$4:$J$1074,X$1)</f>
        <v>0</v>
      </c>
      <c r="Y62" s="207">
        <f>SUMIFS('октябрь 2023'!$G$4:$G$1074,'октябрь 2023'!$D$4:$D$1074,$B62,'октябрь 2023'!$J$4:$J$1074,Y$1)</f>
        <v>0</v>
      </c>
      <c r="Z62" s="207">
        <f>SUMIFS('октябрь 2023'!$G$4:$G$1074,'октябрь 2023'!$D$4:$D$1074,$B62,'октябрь 2023'!$J$4:$J$1074,Z$1)</f>
        <v>0</v>
      </c>
      <c r="AA62" s="207">
        <f>SUMIFS('октябрь 2023'!$G$4:$G$1074,'октябрь 2023'!$D$4:$D$1074,$B62,'октябрь 2023'!$J$4:$J$1074,AA$1)</f>
        <v>0</v>
      </c>
      <c r="AB62" s="207">
        <f>SUMIFS('октябрь 2023'!$G$4:$G$1074,'октябрь 2023'!$D$4:$D$1074,$B62,'октябрь 2023'!$J$4:$J$1074,AB$1)</f>
        <v>0</v>
      </c>
      <c r="AC62" s="207">
        <f>SUMIFS('октябрь 2023'!$G$4:$G$1074,'октябрь 2023'!$D$4:$D$1074,$B62,'октябрь 2023'!$J$4:$J$1074,AC$1)</f>
        <v>0</v>
      </c>
      <c r="AD62" s="207">
        <f>SUMIFS('октябрь 2023'!$G$4:$G$1074,'октябрь 2023'!$D$4:$D$1074,$B62,'октябрь 2023'!$J$4:$J$1074,AD$1)</f>
        <v>0</v>
      </c>
      <c r="AE62" s="207">
        <f>SUMIFS('октябрь 2023'!$G$4:$G$1074,'октябрь 2023'!$D$4:$D$1074,$B62,'октябрь 2023'!$J$4:$J$1074,AE$1)</f>
        <v>0</v>
      </c>
      <c r="AF62" s="207">
        <f>SUMIFS('октябрь 2023'!$G$4:$G$1074,'октябрь 2023'!$D$4:$D$1074,$B62,'октябрь 2023'!$J$4:$J$1074,AF$1)</f>
        <v>0</v>
      </c>
      <c r="AG62" s="207">
        <f>SUMIFS('октябрь 2023'!$G$4:$G$1074,'октябрь 2023'!$D$4:$D$1074,$B62,'октябрь 2023'!$J$4:$J$1074,AG$1)</f>
        <v>0</v>
      </c>
      <c r="AH62" s="207">
        <f>SUMIFS('октябрь 2023'!$G$4:$G$1074,'октябрь 2023'!$D$4:$D$1074,$B62,'октябрь 2023'!$J$4:$J$1074,AH$1)</f>
        <v>0</v>
      </c>
      <c r="AI62" s="170">
        <f t="shared" si="1"/>
        <v>0</v>
      </c>
    </row>
    <row r="63" spans="2:35" ht="15.75" x14ac:dyDescent="0.25">
      <c r="B63" s="212" t="s">
        <v>474</v>
      </c>
      <c r="C63" s="211">
        <v>180</v>
      </c>
      <c r="D63" s="207">
        <f>SUMIFS('октябрь 2023'!$G$4:$G$1074,'октябрь 2023'!$D$4:$D$1074,$B63,'октябрь 2023'!$J$4:$J$1074,D$1)</f>
        <v>0</v>
      </c>
      <c r="E63" s="207">
        <f>SUMIFS('октябрь 2023'!$G$4:$G$1074,'октябрь 2023'!$D$4:$D$1074,$B63,'октябрь 2023'!$J$4:$J$1074,E$1)</f>
        <v>0</v>
      </c>
      <c r="F63" s="207">
        <f>SUMIFS('октябрь 2023'!$G$4:$G$1074,'октябрь 2023'!$D$4:$D$1074,$B63,'октябрь 2023'!$J$4:$J$1074,F$1)</f>
        <v>76</v>
      </c>
      <c r="G63" s="207">
        <f>SUMIFS('октябрь 2023'!$G$4:$G$1074,'октябрь 2023'!$D$4:$D$1074,$B63,'октябрь 2023'!$J$4:$J$1074,G$1)</f>
        <v>0</v>
      </c>
      <c r="H63" s="207">
        <f>SUMIFS('октябрь 2023'!$G$4:$G$1074,'октябрь 2023'!$D$4:$D$1074,$B63,'октябрь 2023'!$J$4:$J$1074,H$1)</f>
        <v>0</v>
      </c>
      <c r="I63" s="207">
        <f>SUMIFS('октябрь 2023'!$G$4:$G$1074,'октябрь 2023'!$D$4:$D$1074,$B63,'октябрь 2023'!$J$4:$J$1074,I$1)</f>
        <v>0</v>
      </c>
      <c r="J63" s="207">
        <f>SUMIFS('октябрь 2023'!$G$4:$G$1074,'октябрь 2023'!$D$4:$D$1074,$B63,'октябрь 2023'!$J$4:$J$1074,J$1)</f>
        <v>0</v>
      </c>
      <c r="K63" s="207">
        <f>SUMIFS('октябрь 2023'!$G$4:$G$1074,'октябрь 2023'!$D$4:$D$1074,$B63,'октябрь 2023'!$J$4:$J$1074,K$1)</f>
        <v>0</v>
      </c>
      <c r="L63" s="207">
        <f>SUMIFS('октябрь 2023'!$G$4:$G$1074,'октябрь 2023'!$D$4:$D$1074,$B63,'октябрь 2023'!$J$4:$J$1074,L$1)</f>
        <v>160</v>
      </c>
      <c r="M63" s="207">
        <f>SUMIFS('октябрь 2023'!$G$4:$G$1074,'октябрь 2023'!$D$4:$D$1074,$B63,'октябрь 2023'!$J$4:$J$1074,M$1)</f>
        <v>80</v>
      </c>
      <c r="N63" s="207">
        <f>SUMIFS('октябрь 2023'!$G$4:$G$1074,'октябрь 2023'!$D$4:$D$1074,$B63,'октябрь 2023'!$J$4:$J$1074,N$1)</f>
        <v>0</v>
      </c>
      <c r="O63" s="207">
        <f>SUMIFS('октябрь 2023'!$G$4:$G$1074,'октябрь 2023'!$D$4:$D$1074,$B63,'октябрь 2023'!$J$4:$J$1074,O$1)</f>
        <v>0</v>
      </c>
      <c r="P63" s="207">
        <f>SUMIFS('октябрь 2023'!$G$4:$G$1074,'октябрь 2023'!$D$4:$D$1074,$B63,'октябрь 2023'!$J$4:$J$1074,P$1)</f>
        <v>0</v>
      </c>
      <c r="Q63" s="207">
        <f>SUMIFS('октябрь 2023'!$G$4:$G$1074,'октябрь 2023'!$D$4:$D$1074,$B63,'октябрь 2023'!$J$4:$J$1074,Q$1)</f>
        <v>0</v>
      </c>
      <c r="R63" s="207">
        <f>SUMIFS('октябрь 2023'!$G$4:$G$1074,'октябрь 2023'!$D$4:$D$1074,$B63,'октябрь 2023'!$J$4:$J$1074,R$1)</f>
        <v>0</v>
      </c>
      <c r="S63" s="207">
        <f>SUMIFS('октябрь 2023'!$G$4:$G$1074,'октябрь 2023'!$D$4:$D$1074,$B63,'октябрь 2023'!$J$4:$J$1074,S$1)</f>
        <v>0</v>
      </c>
      <c r="T63" s="207">
        <f>SUMIFS('октябрь 2023'!$G$4:$G$1074,'октябрь 2023'!$D$4:$D$1074,$B63,'октябрь 2023'!$J$4:$J$1074,T$1)</f>
        <v>0</v>
      </c>
      <c r="U63" s="207">
        <f>SUMIFS('октябрь 2023'!$G$4:$G$1074,'октябрь 2023'!$D$4:$D$1074,$B63,'октябрь 2023'!$J$4:$J$1074,U$1)</f>
        <v>0</v>
      </c>
      <c r="V63" s="207">
        <f>SUMIFS('октябрь 2023'!$G$4:$G$1074,'октябрь 2023'!$D$4:$D$1074,$B63,'октябрь 2023'!$J$4:$J$1074,V$1)</f>
        <v>0</v>
      </c>
      <c r="W63" s="207">
        <f>SUMIFS('октябрь 2023'!$G$4:$G$1074,'октябрь 2023'!$D$4:$D$1074,$B63,'октябрь 2023'!$J$4:$J$1074,W$1)</f>
        <v>0</v>
      </c>
      <c r="X63" s="207">
        <f>SUMIFS('октябрь 2023'!$G$4:$G$1074,'октябрь 2023'!$D$4:$D$1074,$B63,'октябрь 2023'!$J$4:$J$1074,X$1)</f>
        <v>0</v>
      </c>
      <c r="Y63" s="207">
        <f>SUMIFS('октябрь 2023'!$G$4:$G$1074,'октябрь 2023'!$D$4:$D$1074,$B63,'октябрь 2023'!$J$4:$J$1074,Y$1)</f>
        <v>0</v>
      </c>
      <c r="Z63" s="207">
        <f>SUMIFS('октябрь 2023'!$G$4:$G$1074,'октябрь 2023'!$D$4:$D$1074,$B63,'октябрь 2023'!$J$4:$J$1074,Z$1)</f>
        <v>0</v>
      </c>
      <c r="AA63" s="207">
        <f>SUMIFS('октябрь 2023'!$G$4:$G$1074,'октябрь 2023'!$D$4:$D$1074,$B63,'октябрь 2023'!$J$4:$J$1074,AA$1)</f>
        <v>0</v>
      </c>
      <c r="AB63" s="207">
        <f>SUMIFS('октябрь 2023'!$G$4:$G$1074,'октябрь 2023'!$D$4:$D$1074,$B63,'октябрь 2023'!$J$4:$J$1074,AB$1)</f>
        <v>0</v>
      </c>
      <c r="AC63" s="207">
        <f>SUMIFS('октябрь 2023'!$G$4:$G$1074,'октябрь 2023'!$D$4:$D$1074,$B63,'октябрь 2023'!$J$4:$J$1074,AC$1)</f>
        <v>0</v>
      </c>
      <c r="AD63" s="207">
        <f>SUMIFS('октябрь 2023'!$G$4:$G$1074,'октябрь 2023'!$D$4:$D$1074,$B63,'октябрь 2023'!$J$4:$J$1074,AD$1)</f>
        <v>0</v>
      </c>
      <c r="AE63" s="207">
        <f>SUMIFS('октябрь 2023'!$G$4:$G$1074,'октябрь 2023'!$D$4:$D$1074,$B63,'октябрь 2023'!$J$4:$J$1074,AE$1)</f>
        <v>0</v>
      </c>
      <c r="AF63" s="207">
        <f>SUMIFS('октябрь 2023'!$G$4:$G$1074,'октябрь 2023'!$D$4:$D$1074,$B63,'октябрь 2023'!$J$4:$J$1074,AF$1)</f>
        <v>0</v>
      </c>
      <c r="AG63" s="207">
        <f>SUMIFS('октябрь 2023'!$G$4:$G$1074,'октябрь 2023'!$D$4:$D$1074,$B63,'октябрь 2023'!$J$4:$J$1074,AG$1)</f>
        <v>0</v>
      </c>
      <c r="AH63" s="207">
        <f>SUMIFS('октябрь 2023'!$G$4:$G$1074,'октябрь 2023'!$D$4:$D$1074,$B63,'октябрь 2023'!$J$4:$J$1074,AH$1)</f>
        <v>0</v>
      </c>
      <c r="AI63" s="170">
        <f t="shared" si="1"/>
        <v>316</v>
      </c>
    </row>
    <row r="64" spans="2:35" ht="15.75" x14ac:dyDescent="0.25">
      <c r="B64" s="216" t="s">
        <v>649</v>
      </c>
      <c r="C64" s="213">
        <v>190</v>
      </c>
      <c r="D64" s="207">
        <f>SUMIFS('октябрь 2023'!$G$4:$G$1074,'октябрь 2023'!$D$4:$D$1074,$B64,'октябрь 2023'!$J$4:$J$1074,D$1)</f>
        <v>0</v>
      </c>
      <c r="E64" s="207">
        <f>SUMIFS('октябрь 2023'!$G$4:$G$1074,'октябрь 2023'!$D$4:$D$1074,$B64,'октябрь 2023'!$J$4:$J$1074,E$1)</f>
        <v>0</v>
      </c>
      <c r="F64" s="207">
        <f>SUMIFS('октябрь 2023'!$G$4:$G$1074,'октябрь 2023'!$D$4:$D$1074,$B64,'октябрь 2023'!$J$4:$J$1074,F$1)</f>
        <v>0</v>
      </c>
      <c r="G64" s="207">
        <f>SUMIFS('октябрь 2023'!$G$4:$G$1074,'октябрь 2023'!$D$4:$D$1074,$B64,'октябрь 2023'!$J$4:$J$1074,G$1)</f>
        <v>0</v>
      </c>
      <c r="H64" s="207">
        <f>SUMIFS('октябрь 2023'!$G$4:$G$1074,'октябрь 2023'!$D$4:$D$1074,$B64,'октябрь 2023'!$J$4:$J$1074,H$1)</f>
        <v>0</v>
      </c>
      <c r="I64" s="207">
        <f>SUMIFS('октябрь 2023'!$G$4:$G$1074,'октябрь 2023'!$D$4:$D$1074,$B64,'октябрь 2023'!$J$4:$J$1074,I$1)</f>
        <v>0</v>
      </c>
      <c r="J64" s="207">
        <f>SUMIFS('октябрь 2023'!$G$4:$G$1074,'октябрь 2023'!$D$4:$D$1074,$B64,'октябрь 2023'!$J$4:$J$1074,J$1)</f>
        <v>0</v>
      </c>
      <c r="K64" s="207">
        <f>SUMIFS('октябрь 2023'!$G$4:$G$1074,'октябрь 2023'!$D$4:$D$1074,$B64,'октябрь 2023'!$J$4:$J$1074,K$1)</f>
        <v>0</v>
      </c>
      <c r="L64" s="207">
        <f>SUMIFS('октябрь 2023'!$G$4:$G$1074,'октябрь 2023'!$D$4:$D$1074,$B64,'октябрь 2023'!$J$4:$J$1074,L$1)</f>
        <v>0</v>
      </c>
      <c r="M64" s="207">
        <f>SUMIFS('октябрь 2023'!$G$4:$G$1074,'октябрь 2023'!$D$4:$D$1074,$B64,'октябрь 2023'!$J$4:$J$1074,M$1)</f>
        <v>0</v>
      </c>
      <c r="N64" s="207">
        <f>SUMIFS('октябрь 2023'!$G$4:$G$1074,'октябрь 2023'!$D$4:$D$1074,$B64,'октябрь 2023'!$J$4:$J$1074,N$1)</f>
        <v>0</v>
      </c>
      <c r="O64" s="207">
        <f>SUMIFS('октябрь 2023'!$G$4:$G$1074,'октябрь 2023'!$D$4:$D$1074,$B64,'октябрь 2023'!$J$4:$J$1074,O$1)</f>
        <v>0</v>
      </c>
      <c r="P64" s="207">
        <f>SUMIFS('октябрь 2023'!$G$4:$G$1074,'октябрь 2023'!$D$4:$D$1074,$B64,'октябрь 2023'!$J$4:$J$1074,P$1)</f>
        <v>0</v>
      </c>
      <c r="Q64" s="207">
        <f>SUMIFS('октябрь 2023'!$G$4:$G$1074,'октябрь 2023'!$D$4:$D$1074,$B64,'октябрь 2023'!$J$4:$J$1074,Q$1)</f>
        <v>0</v>
      </c>
      <c r="R64" s="207">
        <f>SUMIFS('октябрь 2023'!$G$4:$G$1074,'октябрь 2023'!$D$4:$D$1074,$B64,'октябрь 2023'!$J$4:$J$1074,R$1)</f>
        <v>0</v>
      </c>
      <c r="S64" s="207">
        <f>SUMIFS('октябрь 2023'!$G$4:$G$1074,'октябрь 2023'!$D$4:$D$1074,$B64,'октябрь 2023'!$J$4:$J$1074,S$1)</f>
        <v>0</v>
      </c>
      <c r="T64" s="207">
        <f>SUMIFS('октябрь 2023'!$G$4:$G$1074,'октябрь 2023'!$D$4:$D$1074,$B64,'октябрь 2023'!$J$4:$J$1074,T$1)</f>
        <v>0</v>
      </c>
      <c r="U64" s="207">
        <f>SUMIFS('октябрь 2023'!$G$4:$G$1074,'октябрь 2023'!$D$4:$D$1074,$B64,'октябрь 2023'!$J$4:$J$1074,U$1)</f>
        <v>0</v>
      </c>
      <c r="V64" s="207">
        <f>SUMIFS('октябрь 2023'!$G$4:$G$1074,'октябрь 2023'!$D$4:$D$1074,$B64,'октябрь 2023'!$J$4:$J$1074,V$1)</f>
        <v>0</v>
      </c>
      <c r="W64" s="207">
        <f>SUMIFS('октябрь 2023'!$G$4:$G$1074,'октябрь 2023'!$D$4:$D$1074,$B64,'октябрь 2023'!$J$4:$J$1074,W$1)</f>
        <v>0</v>
      </c>
      <c r="X64" s="207">
        <f>SUMIFS('октябрь 2023'!$G$4:$G$1074,'октябрь 2023'!$D$4:$D$1074,$B64,'октябрь 2023'!$J$4:$J$1074,X$1)</f>
        <v>0</v>
      </c>
      <c r="Y64" s="207">
        <f>SUMIFS('октябрь 2023'!$G$4:$G$1074,'октябрь 2023'!$D$4:$D$1074,$B64,'октябрь 2023'!$J$4:$J$1074,Y$1)</f>
        <v>0</v>
      </c>
      <c r="Z64" s="207">
        <f>SUMIFS('октябрь 2023'!$G$4:$G$1074,'октябрь 2023'!$D$4:$D$1074,$B64,'октябрь 2023'!$J$4:$J$1074,Z$1)</f>
        <v>0</v>
      </c>
      <c r="AA64" s="207">
        <f>SUMIFS('октябрь 2023'!$G$4:$G$1074,'октябрь 2023'!$D$4:$D$1074,$B64,'октябрь 2023'!$J$4:$J$1074,AA$1)</f>
        <v>0</v>
      </c>
      <c r="AB64" s="207">
        <f>SUMIFS('октябрь 2023'!$G$4:$G$1074,'октябрь 2023'!$D$4:$D$1074,$B64,'октябрь 2023'!$J$4:$J$1074,AB$1)</f>
        <v>0</v>
      </c>
      <c r="AC64" s="207">
        <f>SUMIFS('октябрь 2023'!$G$4:$G$1074,'октябрь 2023'!$D$4:$D$1074,$B64,'октябрь 2023'!$J$4:$J$1074,AC$1)</f>
        <v>0</v>
      </c>
      <c r="AD64" s="207">
        <f>SUMIFS('октябрь 2023'!$G$4:$G$1074,'октябрь 2023'!$D$4:$D$1074,$B64,'октябрь 2023'!$J$4:$J$1074,AD$1)</f>
        <v>0</v>
      </c>
      <c r="AE64" s="207">
        <f>SUMIFS('октябрь 2023'!$G$4:$G$1074,'октябрь 2023'!$D$4:$D$1074,$B64,'октябрь 2023'!$J$4:$J$1074,AE$1)</f>
        <v>0</v>
      </c>
      <c r="AF64" s="207">
        <f>SUMIFS('октябрь 2023'!$G$4:$G$1074,'октябрь 2023'!$D$4:$D$1074,$B64,'октябрь 2023'!$J$4:$J$1074,AF$1)</f>
        <v>0</v>
      </c>
      <c r="AG64" s="207">
        <f>SUMIFS('октябрь 2023'!$G$4:$G$1074,'октябрь 2023'!$D$4:$D$1074,$B64,'октябрь 2023'!$J$4:$J$1074,AG$1)</f>
        <v>0</v>
      </c>
      <c r="AH64" s="207">
        <f>SUMIFS('октябрь 2023'!$G$4:$G$1074,'октябрь 2023'!$D$4:$D$1074,$B64,'октябрь 2023'!$J$4:$J$1074,AH$1)</f>
        <v>0</v>
      </c>
      <c r="AI64" s="170">
        <f t="shared" si="1"/>
        <v>0</v>
      </c>
    </row>
    <row r="65" spans="2:35" ht="15" customHeight="1" x14ac:dyDescent="0.25">
      <c r="B65" s="216" t="s">
        <v>1449</v>
      </c>
      <c r="C65" s="213">
        <v>190</v>
      </c>
      <c r="D65" s="207">
        <f>SUMIFS('октябрь 2023'!$G$4:$G$1074,'октябрь 2023'!$D$4:$D$1074,$B65,'октябрь 2023'!$J$4:$J$1074,D$1)</f>
        <v>0</v>
      </c>
      <c r="E65" s="207">
        <f>SUMIFS('октябрь 2023'!$G$4:$G$1074,'октябрь 2023'!$D$4:$D$1074,$B65,'октябрь 2023'!$J$4:$J$1074,E$1)</f>
        <v>0</v>
      </c>
      <c r="F65" s="207">
        <f>SUMIFS('октябрь 2023'!$G$4:$G$1074,'октябрь 2023'!$D$4:$D$1074,$B65,'октябрь 2023'!$J$4:$J$1074,F$1)</f>
        <v>0</v>
      </c>
      <c r="G65" s="207">
        <f>SUMIFS('октябрь 2023'!$G$4:$G$1074,'октябрь 2023'!$D$4:$D$1074,$B65,'октябрь 2023'!$J$4:$J$1074,G$1)</f>
        <v>0</v>
      </c>
      <c r="H65" s="207">
        <f>SUMIFS('октябрь 2023'!$G$4:$G$1074,'октябрь 2023'!$D$4:$D$1074,$B65,'октябрь 2023'!$J$4:$J$1074,H$1)</f>
        <v>0</v>
      </c>
      <c r="I65" s="207">
        <f>SUMIFS('октябрь 2023'!$G$4:$G$1074,'октябрь 2023'!$D$4:$D$1074,$B65,'октябрь 2023'!$J$4:$J$1074,I$1)</f>
        <v>0</v>
      </c>
      <c r="J65" s="207">
        <f>SUMIFS('октябрь 2023'!$G$4:$G$1074,'октябрь 2023'!$D$4:$D$1074,$B65,'октябрь 2023'!$J$4:$J$1074,J$1)</f>
        <v>0</v>
      </c>
      <c r="K65" s="207">
        <f>SUMIFS('октябрь 2023'!$G$4:$G$1074,'октябрь 2023'!$D$4:$D$1074,$B65,'октябрь 2023'!$J$4:$J$1074,K$1)</f>
        <v>0</v>
      </c>
      <c r="L65" s="207">
        <f>SUMIFS('октябрь 2023'!$G$4:$G$1074,'октябрь 2023'!$D$4:$D$1074,$B65,'октябрь 2023'!$J$4:$J$1074,L$1)</f>
        <v>0</v>
      </c>
      <c r="M65" s="207">
        <f>SUMIFS('октябрь 2023'!$G$4:$G$1074,'октябрь 2023'!$D$4:$D$1074,$B65,'октябрь 2023'!$J$4:$J$1074,M$1)</f>
        <v>0</v>
      </c>
      <c r="N65" s="207">
        <f>SUMIFS('октябрь 2023'!$G$4:$G$1074,'октябрь 2023'!$D$4:$D$1074,$B65,'октябрь 2023'!$J$4:$J$1074,N$1)</f>
        <v>0</v>
      </c>
      <c r="O65" s="207">
        <f>SUMIFS('октябрь 2023'!$G$4:$G$1074,'октябрь 2023'!$D$4:$D$1074,$B65,'октябрь 2023'!$J$4:$J$1074,O$1)</f>
        <v>0</v>
      </c>
      <c r="P65" s="207">
        <f>SUMIFS('октябрь 2023'!$G$4:$G$1074,'октябрь 2023'!$D$4:$D$1074,$B65,'октябрь 2023'!$J$4:$J$1074,P$1)</f>
        <v>0</v>
      </c>
      <c r="Q65" s="207">
        <f>SUMIFS('октябрь 2023'!$G$4:$G$1074,'октябрь 2023'!$D$4:$D$1074,$B65,'октябрь 2023'!$J$4:$J$1074,Q$1)</f>
        <v>0</v>
      </c>
      <c r="R65" s="207">
        <f>SUMIFS('октябрь 2023'!$G$4:$G$1074,'октябрь 2023'!$D$4:$D$1074,$B65,'октябрь 2023'!$J$4:$J$1074,R$1)</f>
        <v>0</v>
      </c>
      <c r="S65" s="207">
        <f>SUMIFS('октябрь 2023'!$G$4:$G$1074,'октябрь 2023'!$D$4:$D$1074,$B65,'октябрь 2023'!$J$4:$J$1074,S$1)</f>
        <v>0</v>
      </c>
      <c r="T65" s="207">
        <f>SUMIFS('октябрь 2023'!$G$4:$G$1074,'октябрь 2023'!$D$4:$D$1074,$B65,'октябрь 2023'!$J$4:$J$1074,T$1)</f>
        <v>0</v>
      </c>
      <c r="U65" s="207">
        <f>SUMIFS('октябрь 2023'!$G$4:$G$1074,'октябрь 2023'!$D$4:$D$1074,$B65,'октябрь 2023'!$J$4:$J$1074,U$1)</f>
        <v>0</v>
      </c>
      <c r="V65" s="207">
        <f>SUMIFS('октябрь 2023'!$G$4:$G$1074,'октябрь 2023'!$D$4:$D$1074,$B65,'октябрь 2023'!$J$4:$J$1074,V$1)</f>
        <v>0</v>
      </c>
      <c r="W65" s="207">
        <f>SUMIFS('октябрь 2023'!$G$4:$G$1074,'октябрь 2023'!$D$4:$D$1074,$B65,'октябрь 2023'!$J$4:$J$1074,W$1)</f>
        <v>0</v>
      </c>
      <c r="X65" s="207">
        <f>SUMIFS('октябрь 2023'!$G$4:$G$1074,'октябрь 2023'!$D$4:$D$1074,$B65,'октябрь 2023'!$J$4:$J$1074,X$1)</f>
        <v>0</v>
      </c>
      <c r="Y65" s="207">
        <f>SUMIFS('октябрь 2023'!$G$4:$G$1074,'октябрь 2023'!$D$4:$D$1074,$B65,'октябрь 2023'!$J$4:$J$1074,Y$1)</f>
        <v>0</v>
      </c>
      <c r="Z65" s="207">
        <f>SUMIFS('октябрь 2023'!$G$4:$G$1074,'октябрь 2023'!$D$4:$D$1074,$B65,'октябрь 2023'!$J$4:$J$1074,Z$1)</f>
        <v>0</v>
      </c>
      <c r="AA65" s="207">
        <f>SUMIFS('октябрь 2023'!$G$4:$G$1074,'октябрь 2023'!$D$4:$D$1074,$B65,'октябрь 2023'!$J$4:$J$1074,AA$1)</f>
        <v>0</v>
      </c>
      <c r="AB65" s="207">
        <f>SUMIFS('октябрь 2023'!$G$4:$G$1074,'октябрь 2023'!$D$4:$D$1074,$B65,'октябрь 2023'!$J$4:$J$1074,AB$1)</f>
        <v>0</v>
      </c>
      <c r="AC65" s="207">
        <f>SUMIFS('октябрь 2023'!$G$4:$G$1074,'октябрь 2023'!$D$4:$D$1074,$B65,'октябрь 2023'!$J$4:$J$1074,AC$1)</f>
        <v>0</v>
      </c>
      <c r="AD65" s="207">
        <f>SUMIFS('октябрь 2023'!$G$4:$G$1074,'октябрь 2023'!$D$4:$D$1074,$B65,'октябрь 2023'!$J$4:$J$1074,AD$1)</f>
        <v>0</v>
      </c>
      <c r="AE65" s="207">
        <f>SUMIFS('октябрь 2023'!$G$4:$G$1074,'октябрь 2023'!$D$4:$D$1074,$B65,'октябрь 2023'!$J$4:$J$1074,AE$1)</f>
        <v>0</v>
      </c>
      <c r="AF65" s="207">
        <f>SUMIFS('октябрь 2023'!$G$4:$G$1074,'октябрь 2023'!$D$4:$D$1074,$B65,'октябрь 2023'!$J$4:$J$1074,AF$1)</f>
        <v>0</v>
      </c>
      <c r="AG65" s="207">
        <f>SUMIFS('октябрь 2023'!$G$4:$G$1074,'октябрь 2023'!$D$4:$D$1074,$B65,'октябрь 2023'!$J$4:$J$1074,AG$1)</f>
        <v>0</v>
      </c>
      <c r="AH65" s="207">
        <f>SUMIFS('октябрь 2023'!$G$4:$G$1074,'октябрь 2023'!$D$4:$D$1074,$B65,'октябрь 2023'!$J$4:$J$1074,AH$1)</f>
        <v>0</v>
      </c>
      <c r="AI65" s="170">
        <f t="shared" si="1"/>
        <v>0</v>
      </c>
    </row>
    <row r="66" spans="2:35" ht="15" customHeight="1" x14ac:dyDescent="0.25">
      <c r="B66" s="216" t="s">
        <v>702</v>
      </c>
      <c r="C66" s="213">
        <v>900</v>
      </c>
      <c r="D66" s="207">
        <f>SUMIFS('октябрь 2023'!$G$4:$G$1074,'октябрь 2023'!$D$4:$D$1074,$B66,'октябрь 2023'!$J$4:$J$1074,D$1)</f>
        <v>0</v>
      </c>
      <c r="E66" s="207">
        <f>SUMIFS('октябрь 2023'!$G$4:$G$1074,'октябрь 2023'!$D$4:$D$1074,$B66,'октябрь 2023'!$J$4:$J$1074,E$1)</f>
        <v>0</v>
      </c>
      <c r="F66" s="207">
        <f>SUMIFS('октябрь 2023'!$G$4:$G$1074,'октябрь 2023'!$D$4:$D$1074,$B66,'октябрь 2023'!$J$4:$J$1074,F$1)</f>
        <v>0</v>
      </c>
      <c r="G66" s="207">
        <f>SUMIFS('октябрь 2023'!$G$4:$G$1074,'октябрь 2023'!$D$4:$D$1074,$B66,'октябрь 2023'!$J$4:$J$1074,G$1)</f>
        <v>0</v>
      </c>
      <c r="H66" s="207">
        <f>SUMIFS('октябрь 2023'!$G$4:$G$1074,'октябрь 2023'!$D$4:$D$1074,$B66,'октябрь 2023'!$J$4:$J$1074,H$1)</f>
        <v>0</v>
      </c>
      <c r="I66" s="207">
        <f>SUMIFS('октябрь 2023'!$G$4:$G$1074,'октябрь 2023'!$D$4:$D$1074,$B66,'октябрь 2023'!$J$4:$J$1074,I$1)</f>
        <v>0</v>
      </c>
      <c r="J66" s="207">
        <f>SUMIFS('октябрь 2023'!$G$4:$G$1074,'октябрь 2023'!$D$4:$D$1074,$B66,'октябрь 2023'!$J$4:$J$1074,J$1)</f>
        <v>0</v>
      </c>
      <c r="K66" s="207">
        <f>SUMIFS('октябрь 2023'!$G$4:$G$1074,'октябрь 2023'!$D$4:$D$1074,$B66,'октябрь 2023'!$J$4:$J$1074,K$1)</f>
        <v>0</v>
      </c>
      <c r="L66" s="207">
        <f>SUMIFS('октябрь 2023'!$G$4:$G$1074,'октябрь 2023'!$D$4:$D$1074,$B66,'октябрь 2023'!$J$4:$J$1074,L$1)</f>
        <v>0</v>
      </c>
      <c r="M66" s="207">
        <f>SUMIFS('октябрь 2023'!$G$4:$G$1074,'октябрь 2023'!$D$4:$D$1074,$B66,'октябрь 2023'!$J$4:$J$1074,M$1)</f>
        <v>0</v>
      </c>
      <c r="N66" s="207">
        <f>SUMIFS('октябрь 2023'!$G$4:$G$1074,'октябрь 2023'!$D$4:$D$1074,$B66,'октябрь 2023'!$J$4:$J$1074,N$1)</f>
        <v>0</v>
      </c>
      <c r="O66" s="207">
        <f>SUMIFS('октябрь 2023'!$G$4:$G$1074,'октябрь 2023'!$D$4:$D$1074,$B66,'октябрь 2023'!$J$4:$J$1074,O$1)</f>
        <v>0</v>
      </c>
      <c r="P66" s="207">
        <f>SUMIFS('октябрь 2023'!$G$4:$G$1074,'октябрь 2023'!$D$4:$D$1074,$B66,'октябрь 2023'!$J$4:$J$1074,P$1)</f>
        <v>0</v>
      </c>
      <c r="Q66" s="207">
        <f>SUMIFS('октябрь 2023'!$G$4:$G$1074,'октябрь 2023'!$D$4:$D$1074,$B66,'октябрь 2023'!$J$4:$J$1074,Q$1)</f>
        <v>0</v>
      </c>
      <c r="R66" s="207">
        <f>SUMIFS('октябрь 2023'!$G$4:$G$1074,'октябрь 2023'!$D$4:$D$1074,$B66,'октябрь 2023'!$J$4:$J$1074,R$1)</f>
        <v>0</v>
      </c>
      <c r="S66" s="207">
        <f>SUMIFS('октябрь 2023'!$G$4:$G$1074,'октябрь 2023'!$D$4:$D$1074,$B66,'октябрь 2023'!$J$4:$J$1074,S$1)</f>
        <v>0</v>
      </c>
      <c r="T66" s="207">
        <f>SUMIFS('октябрь 2023'!$G$4:$G$1074,'октябрь 2023'!$D$4:$D$1074,$B66,'октябрь 2023'!$J$4:$J$1074,T$1)</f>
        <v>0</v>
      </c>
      <c r="U66" s="207">
        <f>SUMIFS('октябрь 2023'!$G$4:$G$1074,'октябрь 2023'!$D$4:$D$1074,$B66,'октябрь 2023'!$J$4:$J$1074,U$1)</f>
        <v>0</v>
      </c>
      <c r="V66" s="207">
        <f>SUMIFS('октябрь 2023'!$G$4:$G$1074,'октябрь 2023'!$D$4:$D$1074,$B66,'октябрь 2023'!$J$4:$J$1074,V$1)</f>
        <v>0</v>
      </c>
      <c r="W66" s="207">
        <f>SUMIFS('октябрь 2023'!$G$4:$G$1074,'октябрь 2023'!$D$4:$D$1074,$B66,'октябрь 2023'!$J$4:$J$1074,W$1)</f>
        <v>0</v>
      </c>
      <c r="X66" s="207">
        <f>SUMIFS('октябрь 2023'!$G$4:$G$1074,'октябрь 2023'!$D$4:$D$1074,$B66,'октябрь 2023'!$J$4:$J$1074,X$1)</f>
        <v>0</v>
      </c>
      <c r="Y66" s="207">
        <f>SUMIFS('октябрь 2023'!$G$4:$G$1074,'октябрь 2023'!$D$4:$D$1074,$B66,'октябрь 2023'!$J$4:$J$1074,Y$1)</f>
        <v>0</v>
      </c>
      <c r="Z66" s="207">
        <f>SUMIFS('октябрь 2023'!$G$4:$G$1074,'октябрь 2023'!$D$4:$D$1074,$B66,'октябрь 2023'!$J$4:$J$1074,Z$1)</f>
        <v>0</v>
      </c>
      <c r="AA66" s="207">
        <f>SUMIFS('октябрь 2023'!$G$4:$G$1074,'октябрь 2023'!$D$4:$D$1074,$B66,'октябрь 2023'!$J$4:$J$1074,AA$1)</f>
        <v>0</v>
      </c>
      <c r="AB66" s="207">
        <f>SUMIFS('октябрь 2023'!$G$4:$G$1074,'октябрь 2023'!$D$4:$D$1074,$B66,'октябрь 2023'!$J$4:$J$1074,AB$1)</f>
        <v>0</v>
      </c>
      <c r="AC66" s="207">
        <f>SUMIFS('октябрь 2023'!$G$4:$G$1074,'октябрь 2023'!$D$4:$D$1074,$B66,'октябрь 2023'!$J$4:$J$1074,AC$1)</f>
        <v>0</v>
      </c>
      <c r="AD66" s="207">
        <f>SUMIFS('октябрь 2023'!$G$4:$G$1074,'октябрь 2023'!$D$4:$D$1074,$B66,'октябрь 2023'!$J$4:$J$1074,AD$1)</f>
        <v>0</v>
      </c>
      <c r="AE66" s="207">
        <f>SUMIFS('октябрь 2023'!$G$4:$G$1074,'октябрь 2023'!$D$4:$D$1074,$B66,'октябрь 2023'!$J$4:$J$1074,AE$1)</f>
        <v>0</v>
      </c>
      <c r="AF66" s="207">
        <f>SUMIFS('октябрь 2023'!$G$4:$G$1074,'октябрь 2023'!$D$4:$D$1074,$B66,'октябрь 2023'!$J$4:$J$1074,AF$1)</f>
        <v>0</v>
      </c>
      <c r="AG66" s="207">
        <f>SUMIFS('октябрь 2023'!$G$4:$G$1074,'октябрь 2023'!$D$4:$D$1074,$B66,'октябрь 2023'!$J$4:$J$1074,AG$1)</f>
        <v>0</v>
      </c>
      <c r="AH66" s="207">
        <f>SUMIFS('октябрь 2023'!$G$4:$G$1074,'октябрь 2023'!$D$4:$D$1074,$B66,'октябрь 2023'!$J$4:$J$1074,AH$1)</f>
        <v>0</v>
      </c>
      <c r="AI66" s="170">
        <f t="shared" si="1"/>
        <v>0</v>
      </c>
    </row>
    <row r="67" spans="2:35" ht="15" customHeight="1" x14ac:dyDescent="0.25">
      <c r="B67" s="216" t="s">
        <v>282</v>
      </c>
      <c r="C67" s="213">
        <v>190</v>
      </c>
      <c r="D67" s="207">
        <f>SUMIFS('октябрь 2023'!$G$4:$G$1074,'октябрь 2023'!$D$4:$D$1074,$B67,'октябрь 2023'!$J$4:$J$1074,D$1)</f>
        <v>0</v>
      </c>
      <c r="E67" s="207">
        <f>SUMIFS('октябрь 2023'!$G$4:$G$1074,'октябрь 2023'!$D$4:$D$1074,$B67,'октябрь 2023'!$J$4:$J$1074,E$1)</f>
        <v>0</v>
      </c>
      <c r="F67" s="207">
        <f>SUMIFS('октябрь 2023'!$G$4:$G$1074,'октябрь 2023'!$D$4:$D$1074,$B67,'октябрь 2023'!$J$4:$J$1074,F$1)</f>
        <v>0</v>
      </c>
      <c r="G67" s="207">
        <f>SUMIFS('октябрь 2023'!$G$4:$G$1074,'октябрь 2023'!$D$4:$D$1074,$B67,'октябрь 2023'!$J$4:$J$1074,G$1)</f>
        <v>0</v>
      </c>
      <c r="H67" s="207">
        <f>SUMIFS('октябрь 2023'!$G$4:$G$1074,'октябрь 2023'!$D$4:$D$1074,$B67,'октябрь 2023'!$J$4:$J$1074,H$1)</f>
        <v>0</v>
      </c>
      <c r="I67" s="207">
        <f>SUMIFS('октябрь 2023'!$G$4:$G$1074,'октябрь 2023'!$D$4:$D$1074,$B67,'октябрь 2023'!$J$4:$J$1074,I$1)</f>
        <v>0</v>
      </c>
      <c r="J67" s="207">
        <f>SUMIFS('октябрь 2023'!$G$4:$G$1074,'октябрь 2023'!$D$4:$D$1074,$B67,'октябрь 2023'!$J$4:$J$1074,J$1)</f>
        <v>0</v>
      </c>
      <c r="K67" s="207">
        <f>SUMIFS('октябрь 2023'!$G$4:$G$1074,'октябрь 2023'!$D$4:$D$1074,$B67,'октябрь 2023'!$J$4:$J$1074,K$1)</f>
        <v>0</v>
      </c>
      <c r="L67" s="207">
        <f>SUMIFS('октябрь 2023'!$G$4:$G$1074,'октябрь 2023'!$D$4:$D$1074,$B67,'октябрь 2023'!$J$4:$J$1074,L$1)</f>
        <v>0</v>
      </c>
      <c r="M67" s="207">
        <f>SUMIFS('октябрь 2023'!$G$4:$G$1074,'октябрь 2023'!$D$4:$D$1074,$B67,'октябрь 2023'!$J$4:$J$1074,M$1)</f>
        <v>0</v>
      </c>
      <c r="N67" s="207">
        <f>SUMIFS('октябрь 2023'!$G$4:$G$1074,'октябрь 2023'!$D$4:$D$1074,$B67,'октябрь 2023'!$J$4:$J$1074,N$1)</f>
        <v>0</v>
      </c>
      <c r="O67" s="207">
        <f>SUMIFS('октябрь 2023'!$G$4:$G$1074,'октябрь 2023'!$D$4:$D$1074,$B67,'октябрь 2023'!$J$4:$J$1074,O$1)</f>
        <v>0</v>
      </c>
      <c r="P67" s="207">
        <f>SUMIFS('октябрь 2023'!$G$4:$G$1074,'октябрь 2023'!$D$4:$D$1074,$B67,'октябрь 2023'!$J$4:$J$1074,P$1)</f>
        <v>0</v>
      </c>
      <c r="Q67" s="207">
        <f>SUMIFS('октябрь 2023'!$G$4:$G$1074,'октябрь 2023'!$D$4:$D$1074,$B67,'октябрь 2023'!$J$4:$J$1074,Q$1)</f>
        <v>0</v>
      </c>
      <c r="R67" s="207">
        <f>SUMIFS('октябрь 2023'!$G$4:$G$1074,'октябрь 2023'!$D$4:$D$1074,$B67,'октябрь 2023'!$J$4:$J$1074,R$1)</f>
        <v>0</v>
      </c>
      <c r="S67" s="207">
        <f>SUMIFS('октябрь 2023'!$G$4:$G$1074,'октябрь 2023'!$D$4:$D$1074,$B67,'октябрь 2023'!$J$4:$J$1074,S$1)</f>
        <v>0</v>
      </c>
      <c r="T67" s="207">
        <f>SUMIFS('октябрь 2023'!$G$4:$G$1074,'октябрь 2023'!$D$4:$D$1074,$B67,'октябрь 2023'!$J$4:$J$1074,T$1)</f>
        <v>0</v>
      </c>
      <c r="U67" s="207">
        <f>SUMIFS('октябрь 2023'!$G$4:$G$1074,'октябрь 2023'!$D$4:$D$1074,$B67,'октябрь 2023'!$J$4:$J$1074,U$1)</f>
        <v>0</v>
      </c>
      <c r="V67" s="207">
        <f>SUMIFS('октябрь 2023'!$G$4:$G$1074,'октябрь 2023'!$D$4:$D$1074,$B67,'октябрь 2023'!$J$4:$J$1074,V$1)</f>
        <v>0</v>
      </c>
      <c r="W67" s="207">
        <f>SUMIFS('октябрь 2023'!$G$4:$G$1074,'октябрь 2023'!$D$4:$D$1074,$B67,'октябрь 2023'!$J$4:$J$1074,W$1)</f>
        <v>0</v>
      </c>
      <c r="X67" s="207">
        <f>SUMIFS('октябрь 2023'!$G$4:$G$1074,'октябрь 2023'!$D$4:$D$1074,$B67,'октябрь 2023'!$J$4:$J$1074,X$1)</f>
        <v>0</v>
      </c>
      <c r="Y67" s="207">
        <f>SUMIFS('октябрь 2023'!$G$4:$G$1074,'октябрь 2023'!$D$4:$D$1074,$B67,'октябрь 2023'!$J$4:$J$1074,Y$1)</f>
        <v>0</v>
      </c>
      <c r="Z67" s="207">
        <f>SUMIFS('октябрь 2023'!$G$4:$G$1074,'октябрь 2023'!$D$4:$D$1074,$B67,'октябрь 2023'!$J$4:$J$1074,Z$1)</f>
        <v>0</v>
      </c>
      <c r="AA67" s="207">
        <f>SUMIFS('октябрь 2023'!$G$4:$G$1074,'октябрь 2023'!$D$4:$D$1074,$B67,'октябрь 2023'!$J$4:$J$1074,AA$1)</f>
        <v>0</v>
      </c>
      <c r="AB67" s="207">
        <f>SUMIFS('октябрь 2023'!$G$4:$G$1074,'октябрь 2023'!$D$4:$D$1074,$B67,'октябрь 2023'!$J$4:$J$1074,AB$1)</f>
        <v>0</v>
      </c>
      <c r="AC67" s="207">
        <f>SUMIFS('октябрь 2023'!$G$4:$G$1074,'октябрь 2023'!$D$4:$D$1074,$B67,'октябрь 2023'!$J$4:$J$1074,AC$1)</f>
        <v>0</v>
      </c>
      <c r="AD67" s="207">
        <f>SUMIFS('октябрь 2023'!$G$4:$G$1074,'октябрь 2023'!$D$4:$D$1074,$B67,'октябрь 2023'!$J$4:$J$1074,AD$1)</f>
        <v>0</v>
      </c>
      <c r="AE67" s="207">
        <f>SUMIFS('октябрь 2023'!$G$4:$G$1074,'октябрь 2023'!$D$4:$D$1074,$B67,'октябрь 2023'!$J$4:$J$1074,AE$1)</f>
        <v>0</v>
      </c>
      <c r="AF67" s="207">
        <f>SUMIFS('октябрь 2023'!$G$4:$G$1074,'октябрь 2023'!$D$4:$D$1074,$B67,'октябрь 2023'!$J$4:$J$1074,AF$1)</f>
        <v>0</v>
      </c>
      <c r="AG67" s="207">
        <f>SUMIFS('октябрь 2023'!$G$4:$G$1074,'октябрь 2023'!$D$4:$D$1074,$B67,'октябрь 2023'!$J$4:$J$1074,AG$1)</f>
        <v>80</v>
      </c>
      <c r="AH67" s="207">
        <f>SUMIFS('октябрь 2023'!$G$4:$G$1074,'октябрь 2023'!$D$4:$D$1074,$B67,'октябрь 2023'!$J$4:$J$1074,AH$1)</f>
        <v>0</v>
      </c>
      <c r="AI67" s="170">
        <f t="shared" ref="AI67:AI130" si="2">SUM(D67:AH67)</f>
        <v>80</v>
      </c>
    </row>
    <row r="68" spans="2:35" ht="15" customHeight="1" x14ac:dyDescent="0.25">
      <c r="B68" s="216" t="s">
        <v>890</v>
      </c>
      <c r="C68" s="213">
        <v>190</v>
      </c>
      <c r="D68" s="207">
        <f>SUMIFS('октябрь 2023'!$G$4:$G$1074,'октябрь 2023'!$D$4:$D$1074,$B68,'октябрь 2023'!$J$4:$J$1074,D$1)</f>
        <v>0</v>
      </c>
      <c r="E68" s="207">
        <f>SUMIFS('октябрь 2023'!$G$4:$G$1074,'октябрь 2023'!$D$4:$D$1074,$B68,'октябрь 2023'!$J$4:$J$1074,E$1)</f>
        <v>0</v>
      </c>
      <c r="F68" s="207">
        <f>SUMIFS('октябрь 2023'!$G$4:$G$1074,'октябрь 2023'!$D$4:$D$1074,$B68,'октябрь 2023'!$J$4:$J$1074,F$1)</f>
        <v>0</v>
      </c>
      <c r="G68" s="207">
        <f>SUMIFS('октябрь 2023'!$G$4:$G$1074,'октябрь 2023'!$D$4:$D$1074,$B68,'октябрь 2023'!$J$4:$J$1074,G$1)</f>
        <v>0</v>
      </c>
      <c r="H68" s="207">
        <f>SUMIFS('октябрь 2023'!$G$4:$G$1074,'октябрь 2023'!$D$4:$D$1074,$B68,'октябрь 2023'!$J$4:$J$1074,H$1)</f>
        <v>0</v>
      </c>
      <c r="I68" s="207">
        <f>SUMIFS('октябрь 2023'!$G$4:$G$1074,'октябрь 2023'!$D$4:$D$1074,$B68,'октябрь 2023'!$J$4:$J$1074,I$1)</f>
        <v>0</v>
      </c>
      <c r="J68" s="207">
        <f>SUMIFS('октябрь 2023'!$G$4:$G$1074,'октябрь 2023'!$D$4:$D$1074,$B68,'октябрь 2023'!$J$4:$J$1074,J$1)</f>
        <v>0</v>
      </c>
      <c r="K68" s="207">
        <f>SUMIFS('октябрь 2023'!$G$4:$G$1074,'октябрь 2023'!$D$4:$D$1074,$B68,'октябрь 2023'!$J$4:$J$1074,K$1)</f>
        <v>0</v>
      </c>
      <c r="L68" s="207">
        <f>SUMIFS('октябрь 2023'!$G$4:$G$1074,'октябрь 2023'!$D$4:$D$1074,$B68,'октябрь 2023'!$J$4:$J$1074,L$1)</f>
        <v>0</v>
      </c>
      <c r="M68" s="207">
        <f>SUMIFS('октябрь 2023'!$G$4:$G$1074,'октябрь 2023'!$D$4:$D$1074,$B68,'октябрь 2023'!$J$4:$J$1074,M$1)</f>
        <v>0</v>
      </c>
      <c r="N68" s="207">
        <f>SUMIFS('октябрь 2023'!$G$4:$G$1074,'октябрь 2023'!$D$4:$D$1074,$B68,'октябрь 2023'!$J$4:$J$1074,N$1)</f>
        <v>0</v>
      </c>
      <c r="O68" s="207">
        <f>SUMIFS('октябрь 2023'!$G$4:$G$1074,'октябрь 2023'!$D$4:$D$1074,$B68,'октябрь 2023'!$J$4:$J$1074,O$1)</f>
        <v>0</v>
      </c>
      <c r="P68" s="207">
        <f>SUMIFS('октябрь 2023'!$G$4:$G$1074,'октябрь 2023'!$D$4:$D$1074,$B68,'октябрь 2023'!$J$4:$J$1074,P$1)</f>
        <v>0</v>
      </c>
      <c r="Q68" s="207">
        <f>SUMIFS('октябрь 2023'!$G$4:$G$1074,'октябрь 2023'!$D$4:$D$1074,$B68,'октябрь 2023'!$J$4:$J$1074,Q$1)</f>
        <v>0</v>
      </c>
      <c r="R68" s="207">
        <f>SUMIFS('октябрь 2023'!$G$4:$G$1074,'октябрь 2023'!$D$4:$D$1074,$B68,'октябрь 2023'!$J$4:$J$1074,R$1)</f>
        <v>0</v>
      </c>
      <c r="S68" s="207">
        <f>SUMIFS('октябрь 2023'!$G$4:$G$1074,'октябрь 2023'!$D$4:$D$1074,$B68,'октябрь 2023'!$J$4:$J$1074,S$1)</f>
        <v>0</v>
      </c>
      <c r="T68" s="207">
        <f>SUMIFS('октябрь 2023'!$G$4:$G$1074,'октябрь 2023'!$D$4:$D$1074,$B68,'октябрь 2023'!$J$4:$J$1074,T$1)</f>
        <v>0</v>
      </c>
      <c r="U68" s="207">
        <f>SUMIFS('октябрь 2023'!$G$4:$G$1074,'октябрь 2023'!$D$4:$D$1074,$B68,'октябрь 2023'!$J$4:$J$1074,U$1)</f>
        <v>0</v>
      </c>
      <c r="V68" s="207">
        <f>SUMIFS('октябрь 2023'!$G$4:$G$1074,'октябрь 2023'!$D$4:$D$1074,$B68,'октябрь 2023'!$J$4:$J$1074,V$1)</f>
        <v>0</v>
      </c>
      <c r="W68" s="207">
        <f>SUMIFS('октябрь 2023'!$G$4:$G$1074,'октябрь 2023'!$D$4:$D$1074,$B68,'октябрь 2023'!$J$4:$J$1074,W$1)</f>
        <v>0</v>
      </c>
      <c r="X68" s="207">
        <f>SUMIFS('октябрь 2023'!$G$4:$G$1074,'октябрь 2023'!$D$4:$D$1074,$B68,'октябрь 2023'!$J$4:$J$1074,X$1)</f>
        <v>0</v>
      </c>
      <c r="Y68" s="207">
        <f>SUMIFS('октябрь 2023'!$G$4:$G$1074,'октябрь 2023'!$D$4:$D$1074,$B68,'октябрь 2023'!$J$4:$J$1074,Y$1)</f>
        <v>0</v>
      </c>
      <c r="Z68" s="207">
        <f>SUMIFS('октябрь 2023'!$G$4:$G$1074,'октябрь 2023'!$D$4:$D$1074,$B68,'октябрь 2023'!$J$4:$J$1074,Z$1)</f>
        <v>0</v>
      </c>
      <c r="AA68" s="207">
        <f>SUMIFS('октябрь 2023'!$G$4:$G$1074,'октябрь 2023'!$D$4:$D$1074,$B68,'октябрь 2023'!$J$4:$J$1074,AA$1)</f>
        <v>0</v>
      </c>
      <c r="AB68" s="207">
        <f>SUMIFS('октябрь 2023'!$G$4:$G$1074,'октябрь 2023'!$D$4:$D$1074,$B68,'октябрь 2023'!$J$4:$J$1074,AB$1)</f>
        <v>0</v>
      </c>
      <c r="AC68" s="207">
        <f>SUMIFS('октябрь 2023'!$G$4:$G$1074,'октябрь 2023'!$D$4:$D$1074,$B68,'октябрь 2023'!$J$4:$J$1074,AC$1)</f>
        <v>0</v>
      </c>
      <c r="AD68" s="207">
        <f>SUMIFS('октябрь 2023'!$G$4:$G$1074,'октябрь 2023'!$D$4:$D$1074,$B68,'октябрь 2023'!$J$4:$J$1074,AD$1)</f>
        <v>0</v>
      </c>
      <c r="AE68" s="207">
        <f>SUMIFS('октябрь 2023'!$G$4:$G$1074,'октябрь 2023'!$D$4:$D$1074,$B68,'октябрь 2023'!$J$4:$J$1074,AE$1)</f>
        <v>0</v>
      </c>
      <c r="AF68" s="207">
        <f>SUMIFS('октябрь 2023'!$G$4:$G$1074,'октябрь 2023'!$D$4:$D$1074,$B68,'октябрь 2023'!$J$4:$J$1074,AF$1)</f>
        <v>0</v>
      </c>
      <c r="AG68" s="207">
        <f>SUMIFS('октябрь 2023'!$G$4:$G$1074,'октябрь 2023'!$D$4:$D$1074,$B68,'октябрь 2023'!$J$4:$J$1074,AG$1)</f>
        <v>0</v>
      </c>
      <c r="AH68" s="207">
        <f>SUMIFS('октябрь 2023'!$G$4:$G$1074,'октябрь 2023'!$D$4:$D$1074,$B68,'октябрь 2023'!$J$4:$J$1074,AH$1)</f>
        <v>0</v>
      </c>
      <c r="AI68" s="170"/>
    </row>
    <row r="69" spans="2:35" ht="15" customHeight="1" x14ac:dyDescent="0.25">
      <c r="B69" s="216" t="s">
        <v>1498</v>
      </c>
      <c r="C69" s="213">
        <v>190</v>
      </c>
      <c r="D69" s="207">
        <f>SUMIFS('октябрь 2023'!$G$4:$G$1074,'октябрь 2023'!$D$4:$D$1074,$B69,'октябрь 2023'!$J$4:$J$1074,D$1)</f>
        <v>0</v>
      </c>
      <c r="E69" s="207">
        <f>SUMIFS('октябрь 2023'!$G$4:$G$1074,'октябрь 2023'!$D$4:$D$1074,$B69,'октябрь 2023'!$J$4:$J$1074,E$1)</f>
        <v>0</v>
      </c>
      <c r="F69" s="207">
        <f>SUMIFS('октябрь 2023'!$G$4:$G$1074,'октябрь 2023'!$D$4:$D$1074,$B69,'октябрь 2023'!$J$4:$J$1074,F$1)</f>
        <v>0</v>
      </c>
      <c r="G69" s="207">
        <f>SUMIFS('октябрь 2023'!$G$4:$G$1074,'октябрь 2023'!$D$4:$D$1074,$B69,'октябрь 2023'!$J$4:$J$1074,G$1)</f>
        <v>0</v>
      </c>
      <c r="H69" s="207">
        <f>SUMIFS('октябрь 2023'!$G$4:$G$1074,'октябрь 2023'!$D$4:$D$1074,$B69,'октябрь 2023'!$J$4:$J$1074,H$1)</f>
        <v>0</v>
      </c>
      <c r="I69" s="207">
        <f>SUMIFS('октябрь 2023'!$G$4:$G$1074,'октябрь 2023'!$D$4:$D$1074,$B69,'октябрь 2023'!$J$4:$J$1074,I$1)</f>
        <v>0</v>
      </c>
      <c r="J69" s="207">
        <f>SUMIFS('октябрь 2023'!$G$4:$G$1074,'октябрь 2023'!$D$4:$D$1074,$B69,'октябрь 2023'!$J$4:$J$1074,J$1)</f>
        <v>0</v>
      </c>
      <c r="K69" s="207">
        <f>SUMIFS('октябрь 2023'!$G$4:$G$1074,'октябрь 2023'!$D$4:$D$1074,$B69,'октябрь 2023'!$J$4:$J$1074,K$1)</f>
        <v>0</v>
      </c>
      <c r="L69" s="207">
        <f>SUMIFS('октябрь 2023'!$G$4:$G$1074,'октябрь 2023'!$D$4:$D$1074,$B69,'октябрь 2023'!$J$4:$J$1074,L$1)</f>
        <v>0</v>
      </c>
      <c r="M69" s="207">
        <f>SUMIFS('октябрь 2023'!$G$4:$G$1074,'октябрь 2023'!$D$4:$D$1074,$B69,'октябрь 2023'!$J$4:$J$1074,M$1)</f>
        <v>0</v>
      </c>
      <c r="N69" s="207">
        <f>SUMIFS('октябрь 2023'!$G$4:$G$1074,'октябрь 2023'!$D$4:$D$1074,$B69,'октябрь 2023'!$J$4:$J$1074,N$1)</f>
        <v>0</v>
      </c>
      <c r="O69" s="207">
        <f>SUMIFS('октябрь 2023'!$G$4:$G$1074,'октябрь 2023'!$D$4:$D$1074,$B69,'октябрь 2023'!$J$4:$J$1074,O$1)</f>
        <v>0</v>
      </c>
      <c r="P69" s="207">
        <f>SUMIFS('октябрь 2023'!$G$4:$G$1074,'октябрь 2023'!$D$4:$D$1074,$B69,'октябрь 2023'!$J$4:$J$1074,P$1)</f>
        <v>0</v>
      </c>
      <c r="Q69" s="207">
        <f>SUMIFS('октябрь 2023'!$G$4:$G$1074,'октябрь 2023'!$D$4:$D$1074,$B69,'октябрь 2023'!$J$4:$J$1074,Q$1)</f>
        <v>0</v>
      </c>
      <c r="R69" s="207">
        <f>SUMIFS('октябрь 2023'!$G$4:$G$1074,'октябрь 2023'!$D$4:$D$1074,$B69,'октябрь 2023'!$J$4:$J$1074,R$1)</f>
        <v>0</v>
      </c>
      <c r="S69" s="207">
        <f>SUMIFS('октябрь 2023'!$G$4:$G$1074,'октябрь 2023'!$D$4:$D$1074,$B69,'октябрь 2023'!$J$4:$J$1074,S$1)</f>
        <v>0</v>
      </c>
      <c r="T69" s="207">
        <f>SUMIFS('октябрь 2023'!$G$4:$G$1074,'октябрь 2023'!$D$4:$D$1074,$B69,'октябрь 2023'!$J$4:$J$1074,T$1)</f>
        <v>0</v>
      </c>
      <c r="U69" s="207">
        <f>SUMIFS('октябрь 2023'!$G$4:$G$1074,'октябрь 2023'!$D$4:$D$1074,$B69,'октябрь 2023'!$J$4:$J$1074,U$1)</f>
        <v>0</v>
      </c>
      <c r="V69" s="207">
        <f>SUMIFS('октябрь 2023'!$G$4:$G$1074,'октябрь 2023'!$D$4:$D$1074,$B69,'октябрь 2023'!$J$4:$J$1074,V$1)</f>
        <v>0</v>
      </c>
      <c r="W69" s="207">
        <f>SUMIFS('октябрь 2023'!$G$4:$G$1074,'октябрь 2023'!$D$4:$D$1074,$B69,'октябрь 2023'!$J$4:$J$1074,W$1)</f>
        <v>0</v>
      </c>
      <c r="X69" s="207">
        <f>SUMIFS('октябрь 2023'!$G$4:$G$1074,'октябрь 2023'!$D$4:$D$1074,$B69,'октябрь 2023'!$J$4:$J$1074,X$1)</f>
        <v>0</v>
      </c>
      <c r="Y69" s="207">
        <f>SUMIFS('октябрь 2023'!$G$4:$G$1074,'октябрь 2023'!$D$4:$D$1074,$B69,'октябрь 2023'!$J$4:$J$1074,Y$1)</f>
        <v>0</v>
      </c>
      <c r="Z69" s="207">
        <f>SUMIFS('октябрь 2023'!$G$4:$G$1074,'октябрь 2023'!$D$4:$D$1074,$B69,'октябрь 2023'!$J$4:$J$1074,Z$1)</f>
        <v>0</v>
      </c>
      <c r="AA69" s="207">
        <f>SUMIFS('октябрь 2023'!$G$4:$G$1074,'октябрь 2023'!$D$4:$D$1074,$B69,'октябрь 2023'!$J$4:$J$1074,AA$1)</f>
        <v>0</v>
      </c>
      <c r="AB69" s="207">
        <f>SUMIFS('октябрь 2023'!$G$4:$G$1074,'октябрь 2023'!$D$4:$D$1074,$B69,'октябрь 2023'!$J$4:$J$1074,AB$1)</f>
        <v>0</v>
      </c>
      <c r="AC69" s="207">
        <f>SUMIFS('октябрь 2023'!$G$4:$G$1074,'октябрь 2023'!$D$4:$D$1074,$B69,'октябрь 2023'!$J$4:$J$1074,AC$1)</f>
        <v>0</v>
      </c>
      <c r="AD69" s="207">
        <f>SUMIFS('октябрь 2023'!$G$4:$G$1074,'октябрь 2023'!$D$4:$D$1074,$B69,'октябрь 2023'!$J$4:$J$1074,AD$1)</f>
        <v>0</v>
      </c>
      <c r="AE69" s="207">
        <f>SUMIFS('октябрь 2023'!$G$4:$G$1074,'октябрь 2023'!$D$4:$D$1074,$B69,'октябрь 2023'!$J$4:$J$1074,AE$1)</f>
        <v>0</v>
      </c>
      <c r="AF69" s="207">
        <f>SUMIFS('октябрь 2023'!$G$4:$G$1074,'октябрь 2023'!$D$4:$D$1074,$B69,'октябрь 2023'!$J$4:$J$1074,AF$1)</f>
        <v>0</v>
      </c>
      <c r="AG69" s="207">
        <f>SUMIFS('октябрь 2023'!$G$4:$G$1074,'октябрь 2023'!$D$4:$D$1074,$B69,'октябрь 2023'!$J$4:$J$1074,AG$1)</f>
        <v>0</v>
      </c>
      <c r="AH69" s="207">
        <f>SUMIFS('октябрь 2023'!$G$4:$G$1074,'октябрь 2023'!$D$4:$D$1074,$B69,'октябрь 2023'!$J$4:$J$1074,AH$1)</f>
        <v>0</v>
      </c>
      <c r="AI69" s="170">
        <f t="shared" si="2"/>
        <v>0</v>
      </c>
    </row>
    <row r="70" spans="2:35" ht="15" customHeight="1" x14ac:dyDescent="0.25">
      <c r="B70" s="216" t="s">
        <v>1721</v>
      </c>
      <c r="C70" s="213">
        <v>180</v>
      </c>
      <c r="D70" s="207">
        <f>SUMIFS('октябрь 2023'!$G$4:$G$1074,'октябрь 2023'!$D$4:$D$1074,$B70,'октябрь 2023'!$J$4:$J$1074,D$1)</f>
        <v>0</v>
      </c>
      <c r="E70" s="207">
        <f>SUMIFS('октябрь 2023'!$G$4:$G$1074,'октябрь 2023'!$D$4:$D$1074,$B70,'октябрь 2023'!$J$4:$J$1074,E$1)</f>
        <v>0</v>
      </c>
      <c r="F70" s="207">
        <f>SUMIFS('октябрь 2023'!$G$4:$G$1074,'октябрь 2023'!$D$4:$D$1074,$B70,'октябрь 2023'!$J$4:$J$1074,F$1)</f>
        <v>0</v>
      </c>
      <c r="G70" s="207">
        <f>SUMIFS('октябрь 2023'!$G$4:$G$1074,'октябрь 2023'!$D$4:$D$1074,$B70,'октябрь 2023'!$J$4:$J$1074,G$1)</f>
        <v>0</v>
      </c>
      <c r="H70" s="207">
        <f>SUMIFS('октябрь 2023'!$G$4:$G$1074,'октябрь 2023'!$D$4:$D$1074,$B70,'октябрь 2023'!$J$4:$J$1074,H$1)</f>
        <v>0</v>
      </c>
      <c r="I70" s="207">
        <f>SUMIFS('октябрь 2023'!$G$4:$G$1074,'октябрь 2023'!$D$4:$D$1074,$B70,'октябрь 2023'!$J$4:$J$1074,I$1)</f>
        <v>0</v>
      </c>
      <c r="J70" s="207">
        <f>SUMIFS('октябрь 2023'!$G$4:$G$1074,'октябрь 2023'!$D$4:$D$1074,$B70,'октябрь 2023'!$J$4:$J$1074,J$1)</f>
        <v>0</v>
      </c>
      <c r="K70" s="207">
        <f>SUMIFS('октябрь 2023'!$G$4:$G$1074,'октябрь 2023'!$D$4:$D$1074,$B70,'октябрь 2023'!$J$4:$J$1074,K$1)</f>
        <v>0</v>
      </c>
      <c r="L70" s="207">
        <f>SUMIFS('октябрь 2023'!$G$4:$G$1074,'октябрь 2023'!$D$4:$D$1074,$B70,'октябрь 2023'!$J$4:$J$1074,L$1)</f>
        <v>0</v>
      </c>
      <c r="M70" s="207">
        <f>SUMIFS('октябрь 2023'!$G$4:$G$1074,'октябрь 2023'!$D$4:$D$1074,$B70,'октябрь 2023'!$J$4:$J$1074,M$1)</f>
        <v>0</v>
      </c>
      <c r="N70" s="207">
        <f>SUMIFS('октябрь 2023'!$G$4:$G$1074,'октябрь 2023'!$D$4:$D$1074,$B70,'октябрь 2023'!$J$4:$J$1074,N$1)</f>
        <v>0</v>
      </c>
      <c r="O70" s="207">
        <f>SUMIFS('октябрь 2023'!$G$4:$G$1074,'октябрь 2023'!$D$4:$D$1074,$B70,'октябрь 2023'!$J$4:$J$1074,O$1)</f>
        <v>0</v>
      </c>
      <c r="P70" s="207">
        <f>SUMIFS('октябрь 2023'!$G$4:$G$1074,'октябрь 2023'!$D$4:$D$1074,$B70,'октябрь 2023'!$J$4:$J$1074,P$1)</f>
        <v>0</v>
      </c>
      <c r="Q70" s="207">
        <f>SUMIFS('октябрь 2023'!$G$4:$G$1074,'октябрь 2023'!$D$4:$D$1074,$B70,'октябрь 2023'!$J$4:$J$1074,Q$1)</f>
        <v>0</v>
      </c>
      <c r="R70" s="207">
        <f>SUMIFS('октябрь 2023'!$G$4:$G$1074,'октябрь 2023'!$D$4:$D$1074,$B70,'октябрь 2023'!$J$4:$J$1074,R$1)</f>
        <v>0</v>
      </c>
      <c r="S70" s="207">
        <f>SUMIFS('октябрь 2023'!$G$4:$G$1074,'октябрь 2023'!$D$4:$D$1074,$B70,'октябрь 2023'!$J$4:$J$1074,S$1)</f>
        <v>0</v>
      </c>
      <c r="T70" s="207">
        <f>SUMIFS('октябрь 2023'!$G$4:$G$1074,'октябрь 2023'!$D$4:$D$1074,$B70,'октябрь 2023'!$J$4:$J$1074,T$1)</f>
        <v>0</v>
      </c>
      <c r="U70" s="207">
        <f>SUMIFS('октябрь 2023'!$G$4:$G$1074,'октябрь 2023'!$D$4:$D$1074,$B70,'октябрь 2023'!$J$4:$J$1074,U$1)</f>
        <v>0</v>
      </c>
      <c r="V70" s="207">
        <f>SUMIFS('октябрь 2023'!$G$4:$G$1074,'октябрь 2023'!$D$4:$D$1074,$B70,'октябрь 2023'!$J$4:$J$1074,V$1)</f>
        <v>0</v>
      </c>
      <c r="W70" s="207">
        <f>SUMIFS('октябрь 2023'!$G$4:$G$1074,'октябрь 2023'!$D$4:$D$1074,$B70,'октябрь 2023'!$J$4:$J$1074,W$1)</f>
        <v>0</v>
      </c>
      <c r="X70" s="207">
        <f>SUMIFS('октябрь 2023'!$G$4:$G$1074,'октябрь 2023'!$D$4:$D$1074,$B70,'октябрь 2023'!$J$4:$J$1074,X$1)</f>
        <v>0</v>
      </c>
      <c r="Y70" s="207">
        <f>SUMIFS('октябрь 2023'!$G$4:$G$1074,'октябрь 2023'!$D$4:$D$1074,$B70,'октябрь 2023'!$J$4:$J$1074,Y$1)</f>
        <v>0</v>
      </c>
      <c r="Z70" s="207">
        <f>SUMIFS('октябрь 2023'!$G$4:$G$1074,'октябрь 2023'!$D$4:$D$1074,$B70,'октябрь 2023'!$J$4:$J$1074,Z$1)</f>
        <v>0</v>
      </c>
      <c r="AA70" s="207">
        <f>SUMIFS('октябрь 2023'!$G$4:$G$1074,'октябрь 2023'!$D$4:$D$1074,$B70,'октябрь 2023'!$J$4:$J$1074,AA$1)</f>
        <v>0</v>
      </c>
      <c r="AB70" s="207">
        <f>SUMIFS('октябрь 2023'!$G$4:$G$1074,'октябрь 2023'!$D$4:$D$1074,$B70,'октябрь 2023'!$J$4:$J$1074,AB$1)</f>
        <v>0</v>
      </c>
      <c r="AC70" s="207">
        <f>SUMIFS('октябрь 2023'!$G$4:$G$1074,'октябрь 2023'!$D$4:$D$1074,$B70,'октябрь 2023'!$J$4:$J$1074,AC$1)</f>
        <v>0</v>
      </c>
      <c r="AD70" s="207">
        <f>SUMIFS('октябрь 2023'!$G$4:$G$1074,'октябрь 2023'!$D$4:$D$1074,$B70,'октябрь 2023'!$J$4:$J$1074,AD$1)</f>
        <v>0</v>
      </c>
      <c r="AE70" s="207">
        <f>SUMIFS('октябрь 2023'!$G$4:$G$1074,'октябрь 2023'!$D$4:$D$1074,$B70,'октябрь 2023'!$J$4:$J$1074,AE$1)</f>
        <v>0</v>
      </c>
      <c r="AF70" s="207">
        <f>SUMIFS('октябрь 2023'!$G$4:$G$1074,'октябрь 2023'!$D$4:$D$1074,$B70,'октябрь 2023'!$J$4:$J$1074,AF$1)</f>
        <v>0</v>
      </c>
      <c r="AG70" s="207">
        <f>SUMIFS('октябрь 2023'!$G$4:$G$1074,'октябрь 2023'!$D$4:$D$1074,$B70,'октябрь 2023'!$J$4:$J$1074,AG$1)</f>
        <v>0</v>
      </c>
      <c r="AH70" s="207">
        <f>SUMIFS('октябрь 2023'!$G$4:$G$1074,'октябрь 2023'!$D$4:$D$1074,$B70,'октябрь 2023'!$J$4:$J$1074,AH$1)</f>
        <v>0</v>
      </c>
      <c r="AI70" s="170">
        <f t="shared" si="2"/>
        <v>0</v>
      </c>
    </row>
    <row r="71" spans="2:35" ht="15" customHeight="1" x14ac:dyDescent="0.25">
      <c r="B71" s="216" t="s">
        <v>2166</v>
      </c>
      <c r="C71" s="213">
        <v>180</v>
      </c>
      <c r="D71" s="207">
        <f>SUMIFS('октябрь 2023'!$G$4:$G$1074,'октябрь 2023'!$D$4:$D$1074,$B71,'октябрь 2023'!$J$4:$J$1074,D$1)</f>
        <v>0</v>
      </c>
      <c r="E71" s="207">
        <f>SUMIFS('октябрь 2023'!$G$4:$G$1074,'октябрь 2023'!$D$4:$D$1074,$B71,'октябрь 2023'!$J$4:$J$1074,E$1)</f>
        <v>0</v>
      </c>
      <c r="F71" s="207">
        <f>SUMIFS('октябрь 2023'!$G$4:$G$1074,'октябрь 2023'!$D$4:$D$1074,$B71,'октябрь 2023'!$J$4:$J$1074,F$1)</f>
        <v>0</v>
      </c>
      <c r="G71" s="207">
        <f>SUMIFS('октябрь 2023'!$G$4:$G$1074,'октябрь 2023'!$D$4:$D$1074,$B71,'октябрь 2023'!$J$4:$J$1074,G$1)</f>
        <v>0</v>
      </c>
      <c r="H71" s="207">
        <f>SUMIFS('октябрь 2023'!$G$4:$G$1074,'октябрь 2023'!$D$4:$D$1074,$B71,'октябрь 2023'!$J$4:$J$1074,H$1)</f>
        <v>0</v>
      </c>
      <c r="I71" s="207">
        <f>SUMIFS('октябрь 2023'!$G$4:$G$1074,'октябрь 2023'!$D$4:$D$1074,$B71,'октябрь 2023'!$J$4:$J$1074,I$1)</f>
        <v>0</v>
      </c>
      <c r="J71" s="207">
        <f>SUMIFS('октябрь 2023'!$G$4:$G$1074,'октябрь 2023'!$D$4:$D$1074,$B71,'октябрь 2023'!$J$4:$J$1074,J$1)</f>
        <v>0</v>
      </c>
      <c r="K71" s="207">
        <f>SUMIFS('октябрь 2023'!$G$4:$G$1074,'октябрь 2023'!$D$4:$D$1074,$B71,'октябрь 2023'!$J$4:$J$1074,K$1)</f>
        <v>0</v>
      </c>
      <c r="L71" s="207">
        <f>SUMIFS('октябрь 2023'!$G$4:$G$1074,'октябрь 2023'!$D$4:$D$1074,$B71,'октябрь 2023'!$J$4:$J$1074,L$1)</f>
        <v>0</v>
      </c>
      <c r="M71" s="207">
        <f>SUMIFS('октябрь 2023'!$G$4:$G$1074,'октябрь 2023'!$D$4:$D$1074,$B71,'октябрь 2023'!$J$4:$J$1074,M$1)</f>
        <v>0</v>
      </c>
      <c r="N71" s="207">
        <f>SUMIFS('октябрь 2023'!$G$4:$G$1074,'октябрь 2023'!$D$4:$D$1074,$B71,'октябрь 2023'!$J$4:$J$1074,N$1)</f>
        <v>0</v>
      </c>
      <c r="O71" s="207">
        <f>SUMIFS('октябрь 2023'!$G$4:$G$1074,'октябрь 2023'!$D$4:$D$1074,$B71,'октябрь 2023'!$J$4:$J$1074,O$1)</f>
        <v>0</v>
      </c>
      <c r="P71" s="207">
        <f>SUMIFS('октябрь 2023'!$G$4:$G$1074,'октябрь 2023'!$D$4:$D$1074,$B71,'октябрь 2023'!$J$4:$J$1074,P$1)</f>
        <v>0</v>
      </c>
      <c r="Q71" s="207">
        <f>SUMIFS('октябрь 2023'!$G$4:$G$1074,'октябрь 2023'!$D$4:$D$1074,$B71,'октябрь 2023'!$J$4:$J$1074,Q$1)</f>
        <v>0</v>
      </c>
      <c r="R71" s="207">
        <f>SUMIFS('октябрь 2023'!$G$4:$G$1074,'октябрь 2023'!$D$4:$D$1074,$B71,'октябрь 2023'!$J$4:$J$1074,R$1)</f>
        <v>0</v>
      </c>
      <c r="S71" s="207">
        <f>SUMIFS('октябрь 2023'!$G$4:$G$1074,'октябрь 2023'!$D$4:$D$1074,$B71,'октябрь 2023'!$J$4:$J$1074,S$1)</f>
        <v>0</v>
      </c>
      <c r="T71" s="207">
        <f>SUMIFS('октябрь 2023'!$G$4:$G$1074,'октябрь 2023'!$D$4:$D$1074,$B71,'октябрь 2023'!$J$4:$J$1074,T$1)</f>
        <v>0</v>
      </c>
      <c r="U71" s="207">
        <f>SUMIFS('октябрь 2023'!$G$4:$G$1074,'октябрь 2023'!$D$4:$D$1074,$B71,'октябрь 2023'!$J$4:$J$1074,U$1)</f>
        <v>0</v>
      </c>
      <c r="V71" s="207">
        <f>SUMIFS('октябрь 2023'!$G$4:$G$1074,'октябрь 2023'!$D$4:$D$1074,$B71,'октябрь 2023'!$J$4:$J$1074,V$1)</f>
        <v>0</v>
      </c>
      <c r="W71" s="207">
        <f>SUMIFS('октябрь 2023'!$G$4:$G$1074,'октябрь 2023'!$D$4:$D$1074,$B71,'октябрь 2023'!$J$4:$J$1074,W$1)</f>
        <v>0</v>
      </c>
      <c r="X71" s="207">
        <f>SUMIFS('октябрь 2023'!$G$4:$G$1074,'октябрь 2023'!$D$4:$D$1074,$B71,'октябрь 2023'!$J$4:$J$1074,X$1)</f>
        <v>0</v>
      </c>
      <c r="Y71" s="207">
        <f>SUMIFS('октябрь 2023'!$G$4:$G$1074,'октябрь 2023'!$D$4:$D$1074,$B71,'октябрь 2023'!$J$4:$J$1074,Y$1)</f>
        <v>0</v>
      </c>
      <c r="Z71" s="207">
        <f>SUMIFS('октябрь 2023'!$G$4:$G$1074,'октябрь 2023'!$D$4:$D$1074,$B71,'октябрь 2023'!$J$4:$J$1074,Z$1)</f>
        <v>0</v>
      </c>
      <c r="AA71" s="207">
        <f>SUMIFS('октябрь 2023'!$G$4:$G$1074,'октябрь 2023'!$D$4:$D$1074,$B71,'октябрь 2023'!$J$4:$J$1074,AA$1)</f>
        <v>0</v>
      </c>
      <c r="AB71" s="207">
        <f>SUMIFS('октябрь 2023'!$G$4:$G$1074,'октябрь 2023'!$D$4:$D$1074,$B71,'октябрь 2023'!$J$4:$J$1074,AB$1)</f>
        <v>0</v>
      </c>
      <c r="AC71" s="207">
        <f>SUMIFS('октябрь 2023'!$G$4:$G$1074,'октябрь 2023'!$D$4:$D$1074,$B71,'октябрь 2023'!$J$4:$J$1074,AC$1)</f>
        <v>0</v>
      </c>
      <c r="AD71" s="207">
        <f>SUMIFS('октябрь 2023'!$G$4:$G$1074,'октябрь 2023'!$D$4:$D$1074,$B71,'октябрь 2023'!$J$4:$J$1074,AD$1)</f>
        <v>0</v>
      </c>
      <c r="AE71" s="207">
        <f>SUMIFS('октябрь 2023'!$G$4:$G$1074,'октябрь 2023'!$D$4:$D$1074,$B71,'октябрь 2023'!$J$4:$J$1074,AE$1)</f>
        <v>0</v>
      </c>
      <c r="AF71" s="207">
        <f>SUMIFS('октябрь 2023'!$G$4:$G$1074,'октябрь 2023'!$D$4:$D$1074,$B71,'октябрь 2023'!$J$4:$J$1074,AF$1)</f>
        <v>0</v>
      </c>
      <c r="AG71" s="207">
        <f>SUMIFS('октябрь 2023'!$G$4:$G$1074,'октябрь 2023'!$D$4:$D$1074,$B71,'октябрь 2023'!$J$4:$J$1074,AG$1)</f>
        <v>0</v>
      </c>
      <c r="AH71" s="207">
        <f>SUMIFS('октябрь 2023'!$G$4:$G$1074,'октябрь 2023'!$D$4:$D$1074,$B71,'октябрь 2023'!$J$4:$J$1074,AH$1)</f>
        <v>0</v>
      </c>
      <c r="AI71" s="170">
        <f t="shared" si="2"/>
        <v>0</v>
      </c>
    </row>
    <row r="72" spans="2:35" ht="15" customHeight="1" x14ac:dyDescent="0.25">
      <c r="B72" s="216" t="s">
        <v>140</v>
      </c>
      <c r="C72" s="213">
        <v>180</v>
      </c>
      <c r="D72" s="207">
        <f>SUMIFS('октябрь 2023'!$G$4:$G$1074,'октябрь 2023'!$D$4:$D$1074,$B72,'октябрь 2023'!$J$4:$J$1074,D$1)</f>
        <v>0</v>
      </c>
      <c r="E72" s="207">
        <f>SUMIFS('октябрь 2023'!$G$4:$G$1074,'октябрь 2023'!$D$4:$D$1074,$B72,'октябрь 2023'!$J$4:$J$1074,E$1)</f>
        <v>28</v>
      </c>
      <c r="F72" s="207">
        <f>SUMIFS('октябрь 2023'!$G$4:$G$1074,'октябрь 2023'!$D$4:$D$1074,$B72,'октябрь 2023'!$J$4:$J$1074,F$1)</f>
        <v>0</v>
      </c>
      <c r="G72" s="207">
        <f>SUMIFS('октябрь 2023'!$G$4:$G$1074,'октябрь 2023'!$D$4:$D$1074,$B72,'октябрь 2023'!$J$4:$J$1074,G$1)</f>
        <v>0</v>
      </c>
      <c r="H72" s="207">
        <f>SUMIFS('октябрь 2023'!$G$4:$G$1074,'октябрь 2023'!$D$4:$D$1074,$B72,'октябрь 2023'!$J$4:$J$1074,H$1)</f>
        <v>0</v>
      </c>
      <c r="I72" s="207">
        <f>SUMIFS('октябрь 2023'!$G$4:$G$1074,'октябрь 2023'!$D$4:$D$1074,$B72,'октябрь 2023'!$J$4:$J$1074,I$1)</f>
        <v>0</v>
      </c>
      <c r="J72" s="207">
        <f>SUMIFS('октябрь 2023'!$G$4:$G$1074,'октябрь 2023'!$D$4:$D$1074,$B72,'октябрь 2023'!$J$4:$J$1074,J$1)</f>
        <v>0</v>
      </c>
      <c r="K72" s="207">
        <f>SUMIFS('октябрь 2023'!$G$4:$G$1074,'октябрь 2023'!$D$4:$D$1074,$B72,'октябрь 2023'!$J$4:$J$1074,K$1)</f>
        <v>0</v>
      </c>
      <c r="L72" s="207">
        <f>SUMIFS('октябрь 2023'!$G$4:$G$1074,'октябрь 2023'!$D$4:$D$1074,$B72,'октябрь 2023'!$J$4:$J$1074,L$1)</f>
        <v>0</v>
      </c>
      <c r="M72" s="207">
        <f>SUMIFS('октябрь 2023'!$G$4:$G$1074,'октябрь 2023'!$D$4:$D$1074,$B72,'октябрь 2023'!$J$4:$J$1074,M$1)</f>
        <v>80</v>
      </c>
      <c r="N72" s="207">
        <f>SUMIFS('октябрь 2023'!$G$4:$G$1074,'октябрь 2023'!$D$4:$D$1074,$B72,'октябрь 2023'!$J$4:$J$1074,N$1)</f>
        <v>0</v>
      </c>
      <c r="O72" s="207">
        <f>SUMIFS('октябрь 2023'!$G$4:$G$1074,'октябрь 2023'!$D$4:$D$1074,$B72,'октябрь 2023'!$J$4:$J$1074,O$1)</f>
        <v>0</v>
      </c>
      <c r="P72" s="207">
        <f>SUMIFS('октябрь 2023'!$G$4:$G$1074,'октябрь 2023'!$D$4:$D$1074,$B72,'октябрь 2023'!$J$4:$J$1074,P$1)</f>
        <v>0</v>
      </c>
      <c r="Q72" s="207">
        <f>SUMIFS('октябрь 2023'!$G$4:$G$1074,'октябрь 2023'!$D$4:$D$1074,$B72,'октябрь 2023'!$J$4:$J$1074,Q$1)</f>
        <v>0</v>
      </c>
      <c r="R72" s="207">
        <f>SUMIFS('октябрь 2023'!$G$4:$G$1074,'октябрь 2023'!$D$4:$D$1074,$B72,'октябрь 2023'!$J$4:$J$1074,R$1)</f>
        <v>0</v>
      </c>
      <c r="S72" s="207">
        <f>SUMIFS('октябрь 2023'!$G$4:$G$1074,'октябрь 2023'!$D$4:$D$1074,$B72,'октябрь 2023'!$J$4:$J$1074,S$1)</f>
        <v>0</v>
      </c>
      <c r="T72" s="207">
        <f>SUMIFS('октябрь 2023'!$G$4:$G$1074,'октябрь 2023'!$D$4:$D$1074,$B72,'октябрь 2023'!$J$4:$J$1074,T$1)</f>
        <v>0</v>
      </c>
      <c r="U72" s="207">
        <f>SUMIFS('октябрь 2023'!$G$4:$G$1074,'октябрь 2023'!$D$4:$D$1074,$B72,'октябрь 2023'!$J$4:$J$1074,U$1)</f>
        <v>0</v>
      </c>
      <c r="V72" s="207">
        <f>SUMIFS('октябрь 2023'!$G$4:$G$1074,'октябрь 2023'!$D$4:$D$1074,$B72,'октябрь 2023'!$J$4:$J$1074,V$1)</f>
        <v>0</v>
      </c>
      <c r="W72" s="207">
        <f>SUMIFS('октябрь 2023'!$G$4:$G$1074,'октябрь 2023'!$D$4:$D$1074,$B72,'октябрь 2023'!$J$4:$J$1074,W$1)</f>
        <v>0</v>
      </c>
      <c r="X72" s="207">
        <f>SUMIFS('октябрь 2023'!$G$4:$G$1074,'октябрь 2023'!$D$4:$D$1074,$B72,'октябрь 2023'!$J$4:$J$1074,X$1)</f>
        <v>0</v>
      </c>
      <c r="Y72" s="207">
        <f>SUMIFS('октябрь 2023'!$G$4:$G$1074,'октябрь 2023'!$D$4:$D$1074,$B72,'октябрь 2023'!$J$4:$J$1074,Y$1)</f>
        <v>0</v>
      </c>
      <c r="Z72" s="207">
        <f>SUMIFS('октябрь 2023'!$G$4:$G$1074,'октябрь 2023'!$D$4:$D$1074,$B72,'октябрь 2023'!$J$4:$J$1074,Z$1)</f>
        <v>0</v>
      </c>
      <c r="AA72" s="207">
        <f>SUMIFS('октябрь 2023'!$G$4:$G$1074,'октябрь 2023'!$D$4:$D$1074,$B72,'октябрь 2023'!$J$4:$J$1074,AA$1)</f>
        <v>0</v>
      </c>
      <c r="AB72" s="207">
        <f>SUMIFS('октябрь 2023'!$G$4:$G$1074,'октябрь 2023'!$D$4:$D$1074,$B72,'октябрь 2023'!$J$4:$J$1074,AB$1)</f>
        <v>0</v>
      </c>
      <c r="AC72" s="207">
        <f>SUMIFS('октябрь 2023'!$G$4:$G$1074,'октябрь 2023'!$D$4:$D$1074,$B72,'октябрь 2023'!$J$4:$J$1074,AC$1)</f>
        <v>0</v>
      </c>
      <c r="AD72" s="207">
        <f>SUMIFS('октябрь 2023'!$G$4:$G$1074,'октябрь 2023'!$D$4:$D$1074,$B72,'октябрь 2023'!$J$4:$J$1074,AD$1)</f>
        <v>0</v>
      </c>
      <c r="AE72" s="207">
        <f>SUMIFS('октябрь 2023'!$G$4:$G$1074,'октябрь 2023'!$D$4:$D$1074,$B72,'октябрь 2023'!$J$4:$J$1074,AE$1)</f>
        <v>0</v>
      </c>
      <c r="AF72" s="207">
        <f>SUMIFS('октябрь 2023'!$G$4:$G$1074,'октябрь 2023'!$D$4:$D$1074,$B72,'октябрь 2023'!$J$4:$J$1074,AF$1)</f>
        <v>0</v>
      </c>
      <c r="AG72" s="207">
        <f>SUMIFS('октябрь 2023'!$G$4:$G$1074,'октябрь 2023'!$D$4:$D$1074,$B72,'октябрь 2023'!$J$4:$J$1074,AG$1)</f>
        <v>0</v>
      </c>
      <c r="AH72" s="207">
        <f>SUMIFS('октябрь 2023'!$G$4:$G$1074,'октябрь 2023'!$D$4:$D$1074,$B72,'октябрь 2023'!$J$4:$J$1074,AH$1)</f>
        <v>0</v>
      </c>
      <c r="AI72" s="170">
        <f t="shared" si="2"/>
        <v>108</v>
      </c>
    </row>
    <row r="73" spans="2:35" ht="15" customHeight="1" x14ac:dyDescent="0.25">
      <c r="B73" s="216" t="s">
        <v>588</v>
      </c>
      <c r="C73" s="213">
        <v>200</v>
      </c>
      <c r="D73" s="207">
        <f>SUMIFS('октябрь 2023'!$G$4:$G$1074,'октябрь 2023'!$D$4:$D$1074,$B73,'октябрь 2023'!$J$4:$J$1074,D$1)</f>
        <v>0</v>
      </c>
      <c r="E73" s="207">
        <f>SUMIFS('октябрь 2023'!$G$4:$G$1074,'октябрь 2023'!$D$4:$D$1074,$B73,'октябрь 2023'!$J$4:$J$1074,E$1)</f>
        <v>0</v>
      </c>
      <c r="F73" s="207">
        <f>SUMIFS('октябрь 2023'!$G$4:$G$1074,'октябрь 2023'!$D$4:$D$1074,$B73,'октябрь 2023'!$J$4:$J$1074,F$1)</f>
        <v>0</v>
      </c>
      <c r="G73" s="207">
        <f>SUMIFS('октябрь 2023'!$G$4:$G$1074,'октябрь 2023'!$D$4:$D$1074,$B73,'октябрь 2023'!$J$4:$J$1074,G$1)</f>
        <v>0</v>
      </c>
      <c r="H73" s="207">
        <f>SUMIFS('октябрь 2023'!$G$4:$G$1074,'октябрь 2023'!$D$4:$D$1074,$B73,'октябрь 2023'!$J$4:$J$1074,H$1)</f>
        <v>0</v>
      </c>
      <c r="I73" s="207">
        <f>SUMIFS('октябрь 2023'!$G$4:$G$1074,'октябрь 2023'!$D$4:$D$1074,$B73,'октябрь 2023'!$J$4:$J$1074,I$1)</f>
        <v>0</v>
      </c>
      <c r="J73" s="207">
        <f>SUMIFS('октябрь 2023'!$G$4:$G$1074,'октябрь 2023'!$D$4:$D$1074,$B73,'октябрь 2023'!$J$4:$J$1074,J$1)</f>
        <v>0</v>
      </c>
      <c r="K73" s="207">
        <f>SUMIFS('октябрь 2023'!$G$4:$G$1074,'октябрь 2023'!$D$4:$D$1074,$B73,'октябрь 2023'!$J$4:$J$1074,K$1)</f>
        <v>0</v>
      </c>
      <c r="L73" s="207">
        <f>SUMIFS('октябрь 2023'!$G$4:$G$1074,'октябрь 2023'!$D$4:$D$1074,$B73,'октябрь 2023'!$J$4:$J$1074,L$1)</f>
        <v>0</v>
      </c>
      <c r="M73" s="207">
        <f>SUMIFS('октябрь 2023'!$G$4:$G$1074,'октябрь 2023'!$D$4:$D$1074,$B73,'октябрь 2023'!$J$4:$J$1074,M$1)</f>
        <v>0</v>
      </c>
      <c r="N73" s="207">
        <f>SUMIFS('октябрь 2023'!$G$4:$G$1074,'октябрь 2023'!$D$4:$D$1074,$B73,'октябрь 2023'!$J$4:$J$1074,N$1)</f>
        <v>0</v>
      </c>
      <c r="O73" s="207">
        <f>SUMIFS('октябрь 2023'!$G$4:$G$1074,'октябрь 2023'!$D$4:$D$1074,$B73,'октябрь 2023'!$J$4:$J$1074,O$1)</f>
        <v>0</v>
      </c>
      <c r="P73" s="207">
        <f>SUMIFS('октябрь 2023'!$G$4:$G$1074,'октябрь 2023'!$D$4:$D$1074,$B73,'октябрь 2023'!$J$4:$J$1074,P$1)</f>
        <v>0</v>
      </c>
      <c r="Q73" s="207">
        <f>SUMIFS('октябрь 2023'!$G$4:$G$1074,'октябрь 2023'!$D$4:$D$1074,$B73,'октябрь 2023'!$J$4:$J$1074,Q$1)</f>
        <v>0</v>
      </c>
      <c r="R73" s="207">
        <f>SUMIFS('октябрь 2023'!$G$4:$G$1074,'октябрь 2023'!$D$4:$D$1074,$B73,'октябрь 2023'!$J$4:$J$1074,R$1)</f>
        <v>0</v>
      </c>
      <c r="S73" s="207">
        <f>SUMIFS('октябрь 2023'!$G$4:$G$1074,'октябрь 2023'!$D$4:$D$1074,$B73,'октябрь 2023'!$J$4:$J$1074,S$1)</f>
        <v>0</v>
      </c>
      <c r="T73" s="207">
        <f>SUMIFS('октябрь 2023'!$G$4:$G$1074,'октябрь 2023'!$D$4:$D$1074,$B73,'октябрь 2023'!$J$4:$J$1074,T$1)</f>
        <v>0</v>
      </c>
      <c r="U73" s="207">
        <f>SUMIFS('октябрь 2023'!$G$4:$G$1074,'октябрь 2023'!$D$4:$D$1074,$B73,'октябрь 2023'!$J$4:$J$1074,U$1)</f>
        <v>0</v>
      </c>
      <c r="V73" s="207">
        <f>SUMIFS('октябрь 2023'!$G$4:$G$1074,'октябрь 2023'!$D$4:$D$1074,$B73,'октябрь 2023'!$J$4:$J$1074,V$1)</f>
        <v>0</v>
      </c>
      <c r="W73" s="207">
        <f>SUMIFS('октябрь 2023'!$G$4:$G$1074,'октябрь 2023'!$D$4:$D$1074,$B73,'октябрь 2023'!$J$4:$J$1074,W$1)</f>
        <v>80</v>
      </c>
      <c r="X73" s="207">
        <f>SUMIFS('октябрь 2023'!$G$4:$G$1074,'октябрь 2023'!$D$4:$D$1074,$B73,'октябрь 2023'!$J$4:$J$1074,X$1)</f>
        <v>0</v>
      </c>
      <c r="Y73" s="207">
        <f>SUMIFS('октябрь 2023'!$G$4:$G$1074,'октябрь 2023'!$D$4:$D$1074,$B73,'октябрь 2023'!$J$4:$J$1074,Y$1)</f>
        <v>0</v>
      </c>
      <c r="Z73" s="207">
        <f>SUMIFS('октябрь 2023'!$G$4:$G$1074,'октябрь 2023'!$D$4:$D$1074,$B73,'октябрь 2023'!$J$4:$J$1074,Z$1)</f>
        <v>0</v>
      </c>
      <c r="AA73" s="207">
        <f>SUMIFS('октябрь 2023'!$G$4:$G$1074,'октябрь 2023'!$D$4:$D$1074,$B73,'октябрь 2023'!$J$4:$J$1074,AA$1)</f>
        <v>0</v>
      </c>
      <c r="AB73" s="207">
        <f>SUMIFS('октябрь 2023'!$G$4:$G$1074,'октябрь 2023'!$D$4:$D$1074,$B73,'октябрь 2023'!$J$4:$J$1074,AB$1)</f>
        <v>0</v>
      </c>
      <c r="AC73" s="207">
        <f>SUMIFS('октябрь 2023'!$G$4:$G$1074,'октябрь 2023'!$D$4:$D$1074,$B73,'октябрь 2023'!$J$4:$J$1074,AC$1)</f>
        <v>0</v>
      </c>
      <c r="AD73" s="207">
        <f>SUMIFS('октябрь 2023'!$G$4:$G$1074,'октябрь 2023'!$D$4:$D$1074,$B73,'октябрь 2023'!$J$4:$J$1074,AD$1)</f>
        <v>0</v>
      </c>
      <c r="AE73" s="207">
        <f>SUMIFS('октябрь 2023'!$G$4:$G$1074,'октябрь 2023'!$D$4:$D$1074,$B73,'октябрь 2023'!$J$4:$J$1074,AE$1)</f>
        <v>0</v>
      </c>
      <c r="AF73" s="207">
        <f>SUMIFS('октябрь 2023'!$G$4:$G$1074,'октябрь 2023'!$D$4:$D$1074,$B73,'октябрь 2023'!$J$4:$J$1074,AF$1)</f>
        <v>0</v>
      </c>
      <c r="AG73" s="207">
        <f>SUMIFS('октябрь 2023'!$G$4:$G$1074,'октябрь 2023'!$D$4:$D$1074,$B73,'октябрь 2023'!$J$4:$J$1074,AG$1)</f>
        <v>0</v>
      </c>
      <c r="AH73" s="207">
        <f>SUMIFS('октябрь 2023'!$G$4:$G$1074,'октябрь 2023'!$D$4:$D$1074,$B73,'октябрь 2023'!$J$4:$J$1074,AH$1)</f>
        <v>0</v>
      </c>
      <c r="AI73" s="170">
        <f t="shared" si="2"/>
        <v>80</v>
      </c>
    </row>
    <row r="74" spans="2:35" ht="15" customHeight="1" x14ac:dyDescent="0.25">
      <c r="B74" s="216" t="s">
        <v>1779</v>
      </c>
      <c r="C74" s="213">
        <v>180</v>
      </c>
      <c r="D74" s="207">
        <f>SUMIFS('октябрь 2023'!$G$4:$G$1074,'октябрь 2023'!$D$4:$D$1074,$B74,'октябрь 2023'!$J$4:$J$1074,D$1)</f>
        <v>0</v>
      </c>
      <c r="E74" s="207">
        <f>SUMIFS('октябрь 2023'!$G$4:$G$1074,'октябрь 2023'!$D$4:$D$1074,$B74,'октябрь 2023'!$J$4:$J$1074,E$1)</f>
        <v>0</v>
      </c>
      <c r="F74" s="207">
        <f>SUMIFS('октябрь 2023'!$G$4:$G$1074,'октябрь 2023'!$D$4:$D$1074,$B74,'октябрь 2023'!$J$4:$J$1074,F$1)</f>
        <v>0</v>
      </c>
      <c r="G74" s="207">
        <f>SUMIFS('октябрь 2023'!$G$4:$G$1074,'октябрь 2023'!$D$4:$D$1074,$B74,'октябрь 2023'!$J$4:$J$1074,G$1)</f>
        <v>0</v>
      </c>
      <c r="H74" s="207">
        <f>SUMIFS('октябрь 2023'!$G$4:$G$1074,'октябрь 2023'!$D$4:$D$1074,$B74,'октябрь 2023'!$J$4:$J$1074,H$1)</f>
        <v>0</v>
      </c>
      <c r="I74" s="207">
        <f>SUMIFS('октябрь 2023'!$G$4:$G$1074,'октябрь 2023'!$D$4:$D$1074,$B74,'октябрь 2023'!$J$4:$J$1074,I$1)</f>
        <v>0</v>
      </c>
      <c r="J74" s="207">
        <f>SUMIFS('октябрь 2023'!$G$4:$G$1074,'октябрь 2023'!$D$4:$D$1074,$B74,'октябрь 2023'!$J$4:$J$1074,J$1)</f>
        <v>0</v>
      </c>
      <c r="K74" s="207">
        <f>SUMIFS('октябрь 2023'!$G$4:$G$1074,'октябрь 2023'!$D$4:$D$1074,$B74,'октябрь 2023'!$J$4:$J$1074,K$1)</f>
        <v>0</v>
      </c>
      <c r="L74" s="207">
        <f>SUMIFS('октябрь 2023'!$G$4:$G$1074,'октябрь 2023'!$D$4:$D$1074,$B74,'октябрь 2023'!$J$4:$J$1074,L$1)</f>
        <v>0</v>
      </c>
      <c r="M74" s="207">
        <f>SUMIFS('октябрь 2023'!$G$4:$G$1074,'октябрь 2023'!$D$4:$D$1074,$B74,'октябрь 2023'!$J$4:$J$1074,M$1)</f>
        <v>0</v>
      </c>
      <c r="N74" s="207">
        <f>SUMIFS('октябрь 2023'!$G$4:$G$1074,'октябрь 2023'!$D$4:$D$1074,$B74,'октябрь 2023'!$J$4:$J$1074,N$1)</f>
        <v>0</v>
      </c>
      <c r="O74" s="207">
        <f>SUMIFS('октябрь 2023'!$G$4:$G$1074,'октябрь 2023'!$D$4:$D$1074,$B74,'октябрь 2023'!$J$4:$J$1074,O$1)</f>
        <v>0</v>
      </c>
      <c r="P74" s="207">
        <f>SUMIFS('октябрь 2023'!$G$4:$G$1074,'октябрь 2023'!$D$4:$D$1074,$B74,'октябрь 2023'!$J$4:$J$1074,P$1)</f>
        <v>0</v>
      </c>
      <c r="Q74" s="207">
        <f>SUMIFS('октябрь 2023'!$G$4:$G$1074,'октябрь 2023'!$D$4:$D$1074,$B74,'октябрь 2023'!$J$4:$J$1074,Q$1)</f>
        <v>0</v>
      </c>
      <c r="R74" s="207">
        <f>SUMIFS('октябрь 2023'!$G$4:$G$1074,'октябрь 2023'!$D$4:$D$1074,$B74,'октябрь 2023'!$J$4:$J$1074,R$1)</f>
        <v>0</v>
      </c>
      <c r="S74" s="207">
        <f>SUMIFS('октябрь 2023'!$G$4:$G$1074,'октябрь 2023'!$D$4:$D$1074,$B74,'октябрь 2023'!$J$4:$J$1074,S$1)</f>
        <v>0</v>
      </c>
      <c r="T74" s="207">
        <f>SUMIFS('октябрь 2023'!$G$4:$G$1074,'октябрь 2023'!$D$4:$D$1074,$B74,'октябрь 2023'!$J$4:$J$1074,T$1)</f>
        <v>0</v>
      </c>
      <c r="U74" s="207">
        <f>SUMIFS('октябрь 2023'!$G$4:$G$1074,'октябрь 2023'!$D$4:$D$1074,$B74,'октябрь 2023'!$J$4:$J$1074,U$1)</f>
        <v>0</v>
      </c>
      <c r="V74" s="207">
        <f>SUMIFS('октябрь 2023'!$G$4:$G$1074,'октябрь 2023'!$D$4:$D$1074,$B74,'октябрь 2023'!$J$4:$J$1074,V$1)</f>
        <v>0</v>
      </c>
      <c r="W74" s="207">
        <f>SUMIFS('октябрь 2023'!$G$4:$G$1074,'октябрь 2023'!$D$4:$D$1074,$B74,'октябрь 2023'!$J$4:$J$1074,W$1)</f>
        <v>0</v>
      </c>
      <c r="X74" s="207">
        <f>SUMIFS('октябрь 2023'!$G$4:$G$1074,'октябрь 2023'!$D$4:$D$1074,$B74,'октябрь 2023'!$J$4:$J$1074,X$1)</f>
        <v>0</v>
      </c>
      <c r="Y74" s="207">
        <f>SUMIFS('октябрь 2023'!$G$4:$G$1074,'октябрь 2023'!$D$4:$D$1074,$B74,'октябрь 2023'!$J$4:$J$1074,Y$1)</f>
        <v>0</v>
      </c>
      <c r="Z74" s="207">
        <f>SUMIFS('октябрь 2023'!$G$4:$G$1074,'октябрь 2023'!$D$4:$D$1074,$B74,'октябрь 2023'!$J$4:$J$1074,Z$1)</f>
        <v>0</v>
      </c>
      <c r="AA74" s="207">
        <f>SUMIFS('октябрь 2023'!$G$4:$G$1074,'октябрь 2023'!$D$4:$D$1074,$B74,'октябрь 2023'!$J$4:$J$1074,AA$1)</f>
        <v>0</v>
      </c>
      <c r="AB74" s="207">
        <f>SUMIFS('октябрь 2023'!$G$4:$G$1074,'октябрь 2023'!$D$4:$D$1074,$B74,'октябрь 2023'!$J$4:$J$1074,AB$1)</f>
        <v>0</v>
      </c>
      <c r="AC74" s="207">
        <f>SUMIFS('октябрь 2023'!$G$4:$G$1074,'октябрь 2023'!$D$4:$D$1074,$B74,'октябрь 2023'!$J$4:$J$1074,AC$1)</f>
        <v>0</v>
      </c>
      <c r="AD74" s="207">
        <f>SUMIFS('октябрь 2023'!$G$4:$G$1074,'октябрь 2023'!$D$4:$D$1074,$B74,'октябрь 2023'!$J$4:$J$1074,AD$1)</f>
        <v>0</v>
      </c>
      <c r="AE74" s="207">
        <f>SUMIFS('октябрь 2023'!$G$4:$G$1074,'октябрь 2023'!$D$4:$D$1074,$B74,'октябрь 2023'!$J$4:$J$1074,AE$1)</f>
        <v>0</v>
      </c>
      <c r="AF74" s="207">
        <f>SUMIFS('октябрь 2023'!$G$4:$G$1074,'октябрь 2023'!$D$4:$D$1074,$B74,'октябрь 2023'!$J$4:$J$1074,AF$1)</f>
        <v>0</v>
      </c>
      <c r="AG74" s="207">
        <f>SUMIFS('октябрь 2023'!$G$4:$G$1074,'октябрь 2023'!$D$4:$D$1074,$B74,'октябрь 2023'!$J$4:$J$1074,AG$1)</f>
        <v>0</v>
      </c>
      <c r="AH74" s="207">
        <f>SUMIFS('октябрь 2023'!$G$4:$G$1074,'октябрь 2023'!$D$4:$D$1074,$B74,'октябрь 2023'!$J$4:$J$1074,AH$1)</f>
        <v>0</v>
      </c>
      <c r="AI74" s="170">
        <f t="shared" si="2"/>
        <v>0</v>
      </c>
    </row>
    <row r="75" spans="2:35" ht="15" customHeight="1" x14ac:dyDescent="0.25">
      <c r="B75" s="212" t="s">
        <v>634</v>
      </c>
      <c r="C75" s="211">
        <v>200</v>
      </c>
      <c r="D75" s="207">
        <f>SUMIFS('октябрь 2023'!$G$4:$G$1074,'октябрь 2023'!$D$4:$D$1074,$B75,'октябрь 2023'!$J$4:$J$1074,D$1)</f>
        <v>0</v>
      </c>
      <c r="E75" s="207">
        <f>SUMIFS('октябрь 2023'!$G$4:$G$1074,'октябрь 2023'!$D$4:$D$1074,$B75,'октябрь 2023'!$J$4:$J$1074,E$1)</f>
        <v>0</v>
      </c>
      <c r="F75" s="207">
        <f>SUMIFS('октябрь 2023'!$G$4:$G$1074,'октябрь 2023'!$D$4:$D$1074,$B75,'октябрь 2023'!$J$4:$J$1074,F$1)</f>
        <v>0</v>
      </c>
      <c r="G75" s="207">
        <f>SUMIFS('октябрь 2023'!$G$4:$G$1074,'октябрь 2023'!$D$4:$D$1074,$B75,'октябрь 2023'!$J$4:$J$1074,G$1)</f>
        <v>0</v>
      </c>
      <c r="H75" s="207">
        <f>SUMIFS('октябрь 2023'!$G$4:$G$1074,'октябрь 2023'!$D$4:$D$1074,$B75,'октябрь 2023'!$J$4:$J$1074,H$1)</f>
        <v>0</v>
      </c>
      <c r="I75" s="207">
        <f>SUMIFS('октябрь 2023'!$G$4:$G$1074,'октябрь 2023'!$D$4:$D$1074,$B75,'октябрь 2023'!$J$4:$J$1074,I$1)</f>
        <v>0</v>
      </c>
      <c r="J75" s="207">
        <f>SUMIFS('октябрь 2023'!$G$4:$G$1074,'октябрь 2023'!$D$4:$D$1074,$B75,'октябрь 2023'!$J$4:$J$1074,J$1)</f>
        <v>0</v>
      </c>
      <c r="K75" s="207">
        <f>SUMIFS('октябрь 2023'!$G$4:$G$1074,'октябрь 2023'!$D$4:$D$1074,$B75,'октябрь 2023'!$J$4:$J$1074,K$1)</f>
        <v>0</v>
      </c>
      <c r="L75" s="207">
        <f>SUMIFS('октябрь 2023'!$G$4:$G$1074,'октябрь 2023'!$D$4:$D$1074,$B75,'октябрь 2023'!$J$4:$J$1074,L$1)</f>
        <v>0</v>
      </c>
      <c r="M75" s="207">
        <f>SUMIFS('октябрь 2023'!$G$4:$G$1074,'октябрь 2023'!$D$4:$D$1074,$B75,'октябрь 2023'!$J$4:$J$1074,M$1)</f>
        <v>0</v>
      </c>
      <c r="N75" s="207">
        <f>SUMIFS('октябрь 2023'!$G$4:$G$1074,'октябрь 2023'!$D$4:$D$1074,$B75,'октябрь 2023'!$J$4:$J$1074,N$1)</f>
        <v>0</v>
      </c>
      <c r="O75" s="207">
        <f>SUMIFS('октябрь 2023'!$G$4:$G$1074,'октябрь 2023'!$D$4:$D$1074,$B75,'октябрь 2023'!$J$4:$J$1074,O$1)</f>
        <v>0</v>
      </c>
      <c r="P75" s="207">
        <f>SUMIFS('октябрь 2023'!$G$4:$G$1074,'октябрь 2023'!$D$4:$D$1074,$B75,'октябрь 2023'!$J$4:$J$1074,P$1)</f>
        <v>0</v>
      </c>
      <c r="Q75" s="207">
        <f>SUMIFS('октябрь 2023'!$G$4:$G$1074,'октябрь 2023'!$D$4:$D$1074,$B75,'октябрь 2023'!$J$4:$J$1074,Q$1)</f>
        <v>0</v>
      </c>
      <c r="R75" s="207">
        <f>SUMIFS('октябрь 2023'!$G$4:$G$1074,'октябрь 2023'!$D$4:$D$1074,$B75,'октябрь 2023'!$J$4:$J$1074,R$1)</f>
        <v>0</v>
      </c>
      <c r="S75" s="207">
        <f>SUMIFS('октябрь 2023'!$G$4:$G$1074,'октябрь 2023'!$D$4:$D$1074,$B75,'октябрь 2023'!$J$4:$J$1074,S$1)</f>
        <v>0</v>
      </c>
      <c r="T75" s="207">
        <f>SUMIFS('октябрь 2023'!$G$4:$G$1074,'октябрь 2023'!$D$4:$D$1074,$B75,'октябрь 2023'!$J$4:$J$1074,T$1)</f>
        <v>0</v>
      </c>
      <c r="U75" s="207">
        <f>SUMIFS('октябрь 2023'!$G$4:$G$1074,'октябрь 2023'!$D$4:$D$1074,$B75,'октябрь 2023'!$J$4:$J$1074,U$1)</f>
        <v>0</v>
      </c>
      <c r="V75" s="207">
        <f>SUMIFS('октябрь 2023'!$G$4:$G$1074,'октябрь 2023'!$D$4:$D$1074,$B75,'октябрь 2023'!$J$4:$J$1074,V$1)</f>
        <v>0</v>
      </c>
      <c r="W75" s="207">
        <f>SUMIFS('октябрь 2023'!$G$4:$G$1074,'октябрь 2023'!$D$4:$D$1074,$B75,'октябрь 2023'!$J$4:$J$1074,W$1)</f>
        <v>0</v>
      </c>
      <c r="X75" s="207">
        <f>SUMIFS('октябрь 2023'!$G$4:$G$1074,'октябрь 2023'!$D$4:$D$1074,$B75,'октябрь 2023'!$J$4:$J$1074,X$1)</f>
        <v>0</v>
      </c>
      <c r="Y75" s="207">
        <f>SUMIFS('октябрь 2023'!$G$4:$G$1074,'октябрь 2023'!$D$4:$D$1074,$B75,'октябрь 2023'!$J$4:$J$1074,Y$1)</f>
        <v>0</v>
      </c>
      <c r="Z75" s="207">
        <f>SUMIFS('октябрь 2023'!$G$4:$G$1074,'октябрь 2023'!$D$4:$D$1074,$B75,'октябрь 2023'!$J$4:$J$1074,Z$1)</f>
        <v>0</v>
      </c>
      <c r="AA75" s="207">
        <f>SUMIFS('октябрь 2023'!$G$4:$G$1074,'октябрь 2023'!$D$4:$D$1074,$B75,'октябрь 2023'!$J$4:$J$1074,AA$1)</f>
        <v>0</v>
      </c>
      <c r="AB75" s="207">
        <f>SUMIFS('октябрь 2023'!$G$4:$G$1074,'октябрь 2023'!$D$4:$D$1074,$B75,'октябрь 2023'!$J$4:$J$1074,AB$1)</f>
        <v>0</v>
      </c>
      <c r="AC75" s="207">
        <f>SUMIFS('октябрь 2023'!$G$4:$G$1074,'октябрь 2023'!$D$4:$D$1074,$B75,'октябрь 2023'!$J$4:$J$1074,AC$1)</f>
        <v>0</v>
      </c>
      <c r="AD75" s="207">
        <f>SUMIFS('октябрь 2023'!$G$4:$G$1074,'октябрь 2023'!$D$4:$D$1074,$B75,'октябрь 2023'!$J$4:$J$1074,AD$1)</f>
        <v>0</v>
      </c>
      <c r="AE75" s="207">
        <f>SUMIFS('октябрь 2023'!$G$4:$G$1074,'октябрь 2023'!$D$4:$D$1074,$B75,'октябрь 2023'!$J$4:$J$1074,AE$1)</f>
        <v>0</v>
      </c>
      <c r="AF75" s="207">
        <f>SUMIFS('октябрь 2023'!$G$4:$G$1074,'октябрь 2023'!$D$4:$D$1074,$B75,'октябрь 2023'!$J$4:$J$1074,AF$1)</f>
        <v>0</v>
      </c>
      <c r="AG75" s="207">
        <f>SUMIFS('октябрь 2023'!$G$4:$G$1074,'октябрь 2023'!$D$4:$D$1074,$B75,'октябрь 2023'!$J$4:$J$1074,AG$1)</f>
        <v>0</v>
      </c>
      <c r="AH75" s="207">
        <f>SUMIFS('октябрь 2023'!$G$4:$G$1074,'октябрь 2023'!$D$4:$D$1074,$B75,'октябрь 2023'!$J$4:$J$1074,AH$1)</f>
        <v>0</v>
      </c>
      <c r="AI75" s="170">
        <f t="shared" si="2"/>
        <v>0</v>
      </c>
    </row>
    <row r="76" spans="2:35" ht="15" customHeight="1" x14ac:dyDescent="0.25">
      <c r="B76" s="216" t="s">
        <v>498</v>
      </c>
      <c r="C76" s="213">
        <v>185</v>
      </c>
      <c r="D76" s="207">
        <f>SUMIFS('октябрь 2023'!$G$4:$G$1074,'октябрь 2023'!$D$4:$D$1074,$B76,'октябрь 2023'!$J$4:$J$1074,D$1)</f>
        <v>0</v>
      </c>
      <c r="E76" s="207">
        <f>SUMIFS('октябрь 2023'!$G$4:$G$1074,'октябрь 2023'!$D$4:$D$1074,$B76,'октябрь 2023'!$J$4:$J$1074,E$1)</f>
        <v>0</v>
      </c>
      <c r="F76" s="207">
        <f>SUMIFS('октябрь 2023'!$G$4:$G$1074,'октябрь 2023'!$D$4:$D$1074,$B76,'октябрь 2023'!$J$4:$J$1074,F$1)</f>
        <v>0</v>
      </c>
      <c r="G76" s="207">
        <f>SUMIFS('октябрь 2023'!$G$4:$G$1074,'октябрь 2023'!$D$4:$D$1074,$B76,'октябрь 2023'!$J$4:$J$1074,G$1)</f>
        <v>0</v>
      </c>
      <c r="H76" s="207">
        <f>SUMIFS('октябрь 2023'!$G$4:$G$1074,'октябрь 2023'!$D$4:$D$1074,$B76,'октябрь 2023'!$J$4:$J$1074,H$1)</f>
        <v>0</v>
      </c>
      <c r="I76" s="207">
        <f>SUMIFS('октябрь 2023'!$G$4:$G$1074,'октябрь 2023'!$D$4:$D$1074,$B76,'октябрь 2023'!$J$4:$J$1074,I$1)</f>
        <v>0</v>
      </c>
      <c r="J76" s="207">
        <f>SUMIFS('октябрь 2023'!$G$4:$G$1074,'октябрь 2023'!$D$4:$D$1074,$B76,'октябрь 2023'!$J$4:$J$1074,J$1)</f>
        <v>0</v>
      </c>
      <c r="K76" s="207">
        <f>SUMIFS('октябрь 2023'!$G$4:$G$1074,'октябрь 2023'!$D$4:$D$1074,$B76,'октябрь 2023'!$J$4:$J$1074,K$1)</f>
        <v>0</v>
      </c>
      <c r="L76" s="207">
        <f>SUMIFS('октябрь 2023'!$G$4:$G$1074,'октябрь 2023'!$D$4:$D$1074,$B76,'октябрь 2023'!$J$4:$J$1074,L$1)</f>
        <v>88</v>
      </c>
      <c r="M76" s="207">
        <f>SUMIFS('октябрь 2023'!$G$4:$G$1074,'октябрь 2023'!$D$4:$D$1074,$B76,'октябрь 2023'!$J$4:$J$1074,M$1)</f>
        <v>0</v>
      </c>
      <c r="N76" s="207">
        <f>SUMIFS('октябрь 2023'!$G$4:$G$1074,'октябрь 2023'!$D$4:$D$1074,$B76,'октябрь 2023'!$J$4:$J$1074,N$1)</f>
        <v>0</v>
      </c>
      <c r="O76" s="207">
        <f>SUMIFS('октябрь 2023'!$G$4:$G$1074,'октябрь 2023'!$D$4:$D$1074,$B76,'октябрь 2023'!$J$4:$J$1074,O$1)</f>
        <v>0</v>
      </c>
      <c r="P76" s="207">
        <f>SUMIFS('октябрь 2023'!$G$4:$G$1074,'октябрь 2023'!$D$4:$D$1074,$B76,'октябрь 2023'!$J$4:$J$1074,P$1)</f>
        <v>0</v>
      </c>
      <c r="Q76" s="207">
        <f>SUMIFS('октябрь 2023'!$G$4:$G$1074,'октябрь 2023'!$D$4:$D$1074,$B76,'октябрь 2023'!$J$4:$J$1074,Q$1)</f>
        <v>0</v>
      </c>
      <c r="R76" s="207">
        <f>SUMIFS('октябрь 2023'!$G$4:$G$1074,'октябрь 2023'!$D$4:$D$1074,$B76,'октябрь 2023'!$J$4:$J$1074,R$1)</f>
        <v>0</v>
      </c>
      <c r="S76" s="207">
        <f>SUMIFS('октябрь 2023'!$G$4:$G$1074,'октябрь 2023'!$D$4:$D$1074,$B76,'октябрь 2023'!$J$4:$J$1074,S$1)</f>
        <v>88</v>
      </c>
      <c r="T76" s="207">
        <f>SUMIFS('октябрь 2023'!$G$4:$G$1074,'октябрь 2023'!$D$4:$D$1074,$B76,'октябрь 2023'!$J$4:$J$1074,T$1)</f>
        <v>0</v>
      </c>
      <c r="U76" s="207">
        <f>SUMIFS('октябрь 2023'!$G$4:$G$1074,'октябрь 2023'!$D$4:$D$1074,$B76,'октябрь 2023'!$J$4:$J$1074,U$1)</f>
        <v>0</v>
      </c>
      <c r="V76" s="207">
        <f>SUMIFS('октябрь 2023'!$G$4:$G$1074,'октябрь 2023'!$D$4:$D$1074,$B76,'октябрь 2023'!$J$4:$J$1074,V$1)</f>
        <v>0</v>
      </c>
      <c r="W76" s="207">
        <f>SUMIFS('октябрь 2023'!$G$4:$G$1074,'октябрь 2023'!$D$4:$D$1074,$B76,'октябрь 2023'!$J$4:$J$1074,W$1)</f>
        <v>0</v>
      </c>
      <c r="X76" s="207">
        <f>SUMIFS('октябрь 2023'!$G$4:$G$1074,'октябрь 2023'!$D$4:$D$1074,$B76,'октябрь 2023'!$J$4:$J$1074,X$1)</f>
        <v>0</v>
      </c>
      <c r="Y76" s="207">
        <f>SUMIFS('октябрь 2023'!$G$4:$G$1074,'октябрь 2023'!$D$4:$D$1074,$B76,'октябрь 2023'!$J$4:$J$1074,Y$1)</f>
        <v>0</v>
      </c>
      <c r="Z76" s="207">
        <f>SUMIFS('октябрь 2023'!$G$4:$G$1074,'октябрь 2023'!$D$4:$D$1074,$B76,'октябрь 2023'!$J$4:$J$1074,Z$1)</f>
        <v>0</v>
      </c>
      <c r="AA76" s="207">
        <f>SUMIFS('октябрь 2023'!$G$4:$G$1074,'октябрь 2023'!$D$4:$D$1074,$B76,'октябрь 2023'!$J$4:$J$1074,AA$1)</f>
        <v>0</v>
      </c>
      <c r="AB76" s="207">
        <f>SUMIFS('октябрь 2023'!$G$4:$G$1074,'октябрь 2023'!$D$4:$D$1074,$B76,'октябрь 2023'!$J$4:$J$1074,AB$1)</f>
        <v>0</v>
      </c>
      <c r="AC76" s="207">
        <f>SUMIFS('октябрь 2023'!$G$4:$G$1074,'октябрь 2023'!$D$4:$D$1074,$B76,'октябрь 2023'!$J$4:$J$1074,AC$1)</f>
        <v>0</v>
      </c>
      <c r="AD76" s="207">
        <f>SUMIFS('октябрь 2023'!$G$4:$G$1074,'октябрь 2023'!$D$4:$D$1074,$B76,'октябрь 2023'!$J$4:$J$1074,AD$1)</f>
        <v>0</v>
      </c>
      <c r="AE76" s="207">
        <f>SUMIFS('октябрь 2023'!$G$4:$G$1074,'октябрь 2023'!$D$4:$D$1074,$B76,'октябрь 2023'!$J$4:$J$1074,AE$1)</f>
        <v>0</v>
      </c>
      <c r="AF76" s="207">
        <f>SUMIFS('октябрь 2023'!$G$4:$G$1074,'октябрь 2023'!$D$4:$D$1074,$B76,'октябрь 2023'!$J$4:$J$1074,AF$1)</f>
        <v>0</v>
      </c>
      <c r="AG76" s="207">
        <f>SUMIFS('октябрь 2023'!$G$4:$G$1074,'октябрь 2023'!$D$4:$D$1074,$B76,'октябрь 2023'!$J$4:$J$1074,AG$1)</f>
        <v>0</v>
      </c>
      <c r="AH76" s="207">
        <f>SUMIFS('октябрь 2023'!$G$4:$G$1074,'октябрь 2023'!$D$4:$D$1074,$B76,'октябрь 2023'!$J$4:$J$1074,AH$1)</f>
        <v>0</v>
      </c>
      <c r="AI76" s="170">
        <f t="shared" si="2"/>
        <v>176</v>
      </c>
    </row>
    <row r="77" spans="2:35" ht="15" customHeight="1" x14ac:dyDescent="0.25">
      <c r="B77" s="216" t="s">
        <v>155</v>
      </c>
      <c r="C77" s="213">
        <v>185</v>
      </c>
      <c r="D77" s="207">
        <f>SUMIFS('октябрь 2023'!$G$4:$G$1074,'октябрь 2023'!$D$4:$D$1074,$B77,'октябрь 2023'!$J$4:$J$1074,D$1)</f>
        <v>0</v>
      </c>
      <c r="E77" s="207">
        <f>SUMIFS('октябрь 2023'!$G$4:$G$1074,'октябрь 2023'!$D$4:$D$1074,$B77,'октябрь 2023'!$J$4:$J$1074,E$1)</f>
        <v>0</v>
      </c>
      <c r="F77" s="207">
        <f>SUMIFS('октябрь 2023'!$G$4:$G$1074,'октябрь 2023'!$D$4:$D$1074,$B77,'октябрь 2023'!$J$4:$J$1074,F$1)</f>
        <v>0</v>
      </c>
      <c r="G77" s="207">
        <f>SUMIFS('октябрь 2023'!$G$4:$G$1074,'октябрь 2023'!$D$4:$D$1074,$B77,'октябрь 2023'!$J$4:$J$1074,G$1)</f>
        <v>0</v>
      </c>
      <c r="H77" s="207">
        <f>SUMIFS('октябрь 2023'!$G$4:$G$1074,'октябрь 2023'!$D$4:$D$1074,$B77,'октябрь 2023'!$J$4:$J$1074,H$1)</f>
        <v>0</v>
      </c>
      <c r="I77" s="207">
        <f>SUMIFS('октябрь 2023'!$G$4:$G$1074,'октябрь 2023'!$D$4:$D$1074,$B77,'октябрь 2023'!$J$4:$J$1074,I$1)</f>
        <v>0</v>
      </c>
      <c r="J77" s="207">
        <f>SUMIFS('октябрь 2023'!$G$4:$G$1074,'октябрь 2023'!$D$4:$D$1074,$B77,'октябрь 2023'!$J$4:$J$1074,J$1)</f>
        <v>0</v>
      </c>
      <c r="K77" s="207">
        <f>SUMIFS('октябрь 2023'!$G$4:$G$1074,'октябрь 2023'!$D$4:$D$1074,$B77,'октябрь 2023'!$J$4:$J$1074,K$1)</f>
        <v>0</v>
      </c>
      <c r="L77" s="207">
        <f>SUMIFS('октябрь 2023'!$G$4:$G$1074,'октябрь 2023'!$D$4:$D$1074,$B77,'октябрь 2023'!$J$4:$J$1074,L$1)</f>
        <v>0</v>
      </c>
      <c r="M77" s="207">
        <f>SUMIFS('октябрь 2023'!$G$4:$G$1074,'октябрь 2023'!$D$4:$D$1074,$B77,'октябрь 2023'!$J$4:$J$1074,M$1)</f>
        <v>0</v>
      </c>
      <c r="N77" s="207">
        <f>SUMIFS('октябрь 2023'!$G$4:$G$1074,'октябрь 2023'!$D$4:$D$1074,$B77,'октябрь 2023'!$J$4:$J$1074,N$1)</f>
        <v>0</v>
      </c>
      <c r="O77" s="207">
        <f>SUMIFS('октябрь 2023'!$G$4:$G$1074,'октябрь 2023'!$D$4:$D$1074,$B77,'октябрь 2023'!$J$4:$J$1074,O$1)</f>
        <v>0</v>
      </c>
      <c r="P77" s="207">
        <f>SUMIFS('октябрь 2023'!$G$4:$G$1074,'октябрь 2023'!$D$4:$D$1074,$B77,'октябрь 2023'!$J$4:$J$1074,P$1)</f>
        <v>0</v>
      </c>
      <c r="Q77" s="207">
        <f>SUMIFS('октябрь 2023'!$G$4:$G$1074,'октябрь 2023'!$D$4:$D$1074,$B77,'октябрь 2023'!$J$4:$J$1074,Q$1)</f>
        <v>0</v>
      </c>
      <c r="R77" s="207">
        <f>SUMIFS('октябрь 2023'!$G$4:$G$1074,'октябрь 2023'!$D$4:$D$1074,$B77,'октябрь 2023'!$J$4:$J$1074,R$1)</f>
        <v>0</v>
      </c>
      <c r="S77" s="207">
        <f>SUMIFS('октябрь 2023'!$G$4:$G$1074,'октябрь 2023'!$D$4:$D$1074,$B77,'октябрь 2023'!$J$4:$J$1074,S$1)</f>
        <v>0</v>
      </c>
      <c r="T77" s="207">
        <f>SUMIFS('октябрь 2023'!$G$4:$G$1074,'октябрь 2023'!$D$4:$D$1074,$B77,'октябрь 2023'!$J$4:$J$1074,T$1)</f>
        <v>240</v>
      </c>
      <c r="U77" s="207">
        <f>SUMIFS('октябрь 2023'!$G$4:$G$1074,'октябрь 2023'!$D$4:$D$1074,$B77,'октябрь 2023'!$J$4:$J$1074,U$1)</f>
        <v>0</v>
      </c>
      <c r="V77" s="207">
        <f>SUMIFS('октябрь 2023'!$G$4:$G$1074,'октябрь 2023'!$D$4:$D$1074,$B77,'октябрь 2023'!$J$4:$J$1074,V$1)</f>
        <v>80</v>
      </c>
      <c r="W77" s="207">
        <f>SUMIFS('октябрь 2023'!$G$4:$G$1074,'октябрь 2023'!$D$4:$D$1074,$B77,'октябрь 2023'!$J$4:$J$1074,W$1)</f>
        <v>0</v>
      </c>
      <c r="X77" s="207">
        <f>SUMIFS('октябрь 2023'!$G$4:$G$1074,'октябрь 2023'!$D$4:$D$1074,$B77,'октябрь 2023'!$J$4:$J$1074,X$1)</f>
        <v>0</v>
      </c>
      <c r="Y77" s="207">
        <f>SUMIFS('октябрь 2023'!$G$4:$G$1074,'октябрь 2023'!$D$4:$D$1074,$B77,'октябрь 2023'!$J$4:$J$1074,Y$1)</f>
        <v>0</v>
      </c>
      <c r="Z77" s="207">
        <f>SUMIFS('октябрь 2023'!$G$4:$G$1074,'октябрь 2023'!$D$4:$D$1074,$B77,'октябрь 2023'!$J$4:$J$1074,Z$1)</f>
        <v>0</v>
      </c>
      <c r="AA77" s="207">
        <f>SUMIFS('октябрь 2023'!$G$4:$G$1074,'октябрь 2023'!$D$4:$D$1074,$B77,'октябрь 2023'!$J$4:$J$1074,AA$1)</f>
        <v>0</v>
      </c>
      <c r="AB77" s="207">
        <f>SUMIFS('октябрь 2023'!$G$4:$G$1074,'октябрь 2023'!$D$4:$D$1074,$B77,'октябрь 2023'!$J$4:$J$1074,AB$1)</f>
        <v>0</v>
      </c>
      <c r="AC77" s="207">
        <f>SUMIFS('октябрь 2023'!$G$4:$G$1074,'октябрь 2023'!$D$4:$D$1074,$B77,'октябрь 2023'!$J$4:$J$1074,AC$1)</f>
        <v>0</v>
      </c>
      <c r="AD77" s="207">
        <f>SUMIFS('октябрь 2023'!$G$4:$G$1074,'октябрь 2023'!$D$4:$D$1074,$B77,'октябрь 2023'!$J$4:$J$1074,AD$1)</f>
        <v>0</v>
      </c>
      <c r="AE77" s="207">
        <f>SUMIFS('октябрь 2023'!$G$4:$G$1074,'октябрь 2023'!$D$4:$D$1074,$B77,'октябрь 2023'!$J$4:$J$1074,AE$1)</f>
        <v>0</v>
      </c>
      <c r="AF77" s="207">
        <f>SUMIFS('октябрь 2023'!$G$4:$G$1074,'октябрь 2023'!$D$4:$D$1074,$B77,'октябрь 2023'!$J$4:$J$1074,AF$1)</f>
        <v>0</v>
      </c>
      <c r="AG77" s="207">
        <f>SUMIFS('октябрь 2023'!$G$4:$G$1074,'октябрь 2023'!$D$4:$D$1074,$B77,'октябрь 2023'!$J$4:$J$1074,AG$1)</f>
        <v>0</v>
      </c>
      <c r="AH77" s="207">
        <f>SUMIFS('октябрь 2023'!$G$4:$G$1074,'октябрь 2023'!$D$4:$D$1074,$B77,'октябрь 2023'!$J$4:$J$1074,AH$1)</f>
        <v>0</v>
      </c>
      <c r="AI77" s="170">
        <f t="shared" si="2"/>
        <v>320</v>
      </c>
    </row>
    <row r="78" spans="2:35" ht="15" customHeight="1" x14ac:dyDescent="0.25">
      <c r="B78" s="216" t="s">
        <v>2180</v>
      </c>
      <c r="C78" s="213">
        <v>180</v>
      </c>
      <c r="D78" s="207">
        <f>SUMIFS('октябрь 2023'!$G$4:$G$1074,'октябрь 2023'!$D$4:$D$1074,$B78,'октябрь 2023'!$J$4:$J$1074,D$1)</f>
        <v>0</v>
      </c>
      <c r="E78" s="207">
        <f>SUMIFS('октябрь 2023'!$G$4:$G$1074,'октябрь 2023'!$D$4:$D$1074,$B78,'октябрь 2023'!$J$4:$J$1074,E$1)</f>
        <v>0</v>
      </c>
      <c r="F78" s="207">
        <f>SUMIFS('октябрь 2023'!$G$4:$G$1074,'октябрь 2023'!$D$4:$D$1074,$B78,'октябрь 2023'!$J$4:$J$1074,F$1)</f>
        <v>0</v>
      </c>
      <c r="G78" s="207">
        <f>SUMIFS('октябрь 2023'!$G$4:$G$1074,'октябрь 2023'!$D$4:$D$1074,$B78,'октябрь 2023'!$J$4:$J$1074,G$1)</f>
        <v>0</v>
      </c>
      <c r="H78" s="207">
        <f>SUMIFS('октябрь 2023'!$G$4:$G$1074,'октябрь 2023'!$D$4:$D$1074,$B78,'октябрь 2023'!$J$4:$J$1074,H$1)</f>
        <v>0</v>
      </c>
      <c r="I78" s="207">
        <f>SUMIFS('октябрь 2023'!$G$4:$G$1074,'октябрь 2023'!$D$4:$D$1074,$B78,'октябрь 2023'!$J$4:$J$1074,I$1)</f>
        <v>0</v>
      </c>
      <c r="J78" s="207">
        <f>SUMIFS('октябрь 2023'!$G$4:$G$1074,'октябрь 2023'!$D$4:$D$1074,$B78,'октябрь 2023'!$J$4:$J$1074,J$1)</f>
        <v>0</v>
      </c>
      <c r="K78" s="207">
        <f>SUMIFS('октябрь 2023'!$G$4:$G$1074,'октябрь 2023'!$D$4:$D$1074,$B78,'октябрь 2023'!$J$4:$J$1074,K$1)</f>
        <v>0</v>
      </c>
      <c r="L78" s="207">
        <f>SUMIFS('октябрь 2023'!$G$4:$G$1074,'октябрь 2023'!$D$4:$D$1074,$B78,'октябрь 2023'!$J$4:$J$1074,L$1)</f>
        <v>0</v>
      </c>
      <c r="M78" s="207">
        <f>SUMIFS('октябрь 2023'!$G$4:$G$1074,'октябрь 2023'!$D$4:$D$1074,$B78,'октябрь 2023'!$J$4:$J$1074,M$1)</f>
        <v>0</v>
      </c>
      <c r="N78" s="207">
        <f>SUMIFS('октябрь 2023'!$G$4:$G$1074,'октябрь 2023'!$D$4:$D$1074,$B78,'октябрь 2023'!$J$4:$J$1074,N$1)</f>
        <v>0</v>
      </c>
      <c r="O78" s="207">
        <f>SUMIFS('октябрь 2023'!$G$4:$G$1074,'октябрь 2023'!$D$4:$D$1074,$B78,'октябрь 2023'!$J$4:$J$1074,O$1)</f>
        <v>0</v>
      </c>
      <c r="P78" s="207">
        <f>SUMIFS('октябрь 2023'!$G$4:$G$1074,'октябрь 2023'!$D$4:$D$1074,$B78,'октябрь 2023'!$J$4:$J$1074,P$1)</f>
        <v>0</v>
      </c>
      <c r="Q78" s="207">
        <f>SUMIFS('октябрь 2023'!$G$4:$G$1074,'октябрь 2023'!$D$4:$D$1074,$B78,'октябрь 2023'!$J$4:$J$1074,Q$1)</f>
        <v>0</v>
      </c>
      <c r="R78" s="207">
        <f>SUMIFS('октябрь 2023'!$G$4:$G$1074,'октябрь 2023'!$D$4:$D$1074,$B78,'октябрь 2023'!$J$4:$J$1074,R$1)</f>
        <v>0</v>
      </c>
      <c r="S78" s="207">
        <f>SUMIFS('октябрь 2023'!$G$4:$G$1074,'октябрь 2023'!$D$4:$D$1074,$B78,'октябрь 2023'!$J$4:$J$1074,S$1)</f>
        <v>0</v>
      </c>
      <c r="T78" s="207">
        <f>SUMIFS('октябрь 2023'!$G$4:$G$1074,'октябрь 2023'!$D$4:$D$1074,$B78,'октябрь 2023'!$J$4:$J$1074,T$1)</f>
        <v>0</v>
      </c>
      <c r="U78" s="207">
        <f>SUMIFS('октябрь 2023'!$G$4:$G$1074,'октябрь 2023'!$D$4:$D$1074,$B78,'октябрь 2023'!$J$4:$J$1074,U$1)</f>
        <v>0</v>
      </c>
      <c r="V78" s="207">
        <f>SUMIFS('октябрь 2023'!$G$4:$G$1074,'октябрь 2023'!$D$4:$D$1074,$B78,'октябрь 2023'!$J$4:$J$1074,V$1)</f>
        <v>0</v>
      </c>
      <c r="W78" s="207">
        <f>SUMIFS('октябрь 2023'!$G$4:$G$1074,'октябрь 2023'!$D$4:$D$1074,$B78,'октябрь 2023'!$J$4:$J$1074,W$1)</f>
        <v>0</v>
      </c>
      <c r="X78" s="207">
        <f>SUMIFS('октябрь 2023'!$G$4:$G$1074,'октябрь 2023'!$D$4:$D$1074,$B78,'октябрь 2023'!$J$4:$J$1074,X$1)</f>
        <v>0</v>
      </c>
      <c r="Y78" s="207">
        <f>SUMIFS('октябрь 2023'!$G$4:$G$1074,'октябрь 2023'!$D$4:$D$1074,$B78,'октябрь 2023'!$J$4:$J$1074,Y$1)</f>
        <v>0</v>
      </c>
      <c r="Z78" s="207">
        <f>SUMIFS('октябрь 2023'!$G$4:$G$1074,'октябрь 2023'!$D$4:$D$1074,$B78,'октябрь 2023'!$J$4:$J$1074,Z$1)</f>
        <v>0</v>
      </c>
      <c r="AA78" s="207">
        <f>SUMIFS('октябрь 2023'!$G$4:$G$1074,'октябрь 2023'!$D$4:$D$1074,$B78,'октябрь 2023'!$J$4:$J$1074,AA$1)</f>
        <v>0</v>
      </c>
      <c r="AB78" s="207">
        <f>SUMIFS('октябрь 2023'!$G$4:$G$1074,'октябрь 2023'!$D$4:$D$1074,$B78,'октябрь 2023'!$J$4:$J$1074,AB$1)</f>
        <v>0</v>
      </c>
      <c r="AC78" s="207">
        <f>SUMIFS('октябрь 2023'!$G$4:$G$1074,'октябрь 2023'!$D$4:$D$1074,$B78,'октябрь 2023'!$J$4:$J$1074,AC$1)</f>
        <v>0</v>
      </c>
      <c r="AD78" s="207">
        <f>SUMIFS('октябрь 2023'!$G$4:$G$1074,'октябрь 2023'!$D$4:$D$1074,$B78,'октябрь 2023'!$J$4:$J$1074,AD$1)</f>
        <v>0</v>
      </c>
      <c r="AE78" s="207">
        <f>SUMIFS('октябрь 2023'!$G$4:$G$1074,'октябрь 2023'!$D$4:$D$1074,$B78,'октябрь 2023'!$J$4:$J$1074,AE$1)</f>
        <v>0</v>
      </c>
      <c r="AF78" s="207">
        <f>SUMIFS('октябрь 2023'!$G$4:$G$1074,'октябрь 2023'!$D$4:$D$1074,$B78,'октябрь 2023'!$J$4:$J$1074,AF$1)</f>
        <v>0</v>
      </c>
      <c r="AG78" s="207">
        <f>SUMIFS('октябрь 2023'!$G$4:$G$1074,'октябрь 2023'!$D$4:$D$1074,$B78,'октябрь 2023'!$J$4:$J$1074,AG$1)</f>
        <v>0</v>
      </c>
      <c r="AH78" s="207">
        <f>SUMIFS('октябрь 2023'!$G$4:$G$1074,'октябрь 2023'!$D$4:$D$1074,$B78,'октябрь 2023'!$J$4:$J$1074,AH$1)</f>
        <v>0</v>
      </c>
      <c r="AI78" s="170">
        <f t="shared" si="2"/>
        <v>0</v>
      </c>
    </row>
    <row r="79" spans="2:35" ht="15" customHeight="1" x14ac:dyDescent="0.25">
      <c r="B79" s="212" t="s">
        <v>2183</v>
      </c>
      <c r="C79" s="211">
        <v>180</v>
      </c>
      <c r="D79" s="207">
        <f>SUMIFS('октябрь 2023'!$G$4:$G$1074,'октябрь 2023'!$D$4:$D$1074,$B79,'октябрь 2023'!$J$4:$J$1074,D$1)</f>
        <v>0</v>
      </c>
      <c r="E79" s="207">
        <f>SUMIFS('октябрь 2023'!$G$4:$G$1074,'октябрь 2023'!$D$4:$D$1074,$B79,'октябрь 2023'!$J$4:$J$1074,E$1)</f>
        <v>0</v>
      </c>
      <c r="F79" s="207">
        <f>SUMIFS('октябрь 2023'!$G$4:$G$1074,'октябрь 2023'!$D$4:$D$1074,$B79,'октябрь 2023'!$J$4:$J$1074,F$1)</f>
        <v>0</v>
      </c>
      <c r="G79" s="207">
        <f>SUMIFS('октябрь 2023'!$G$4:$G$1074,'октябрь 2023'!$D$4:$D$1074,$B79,'октябрь 2023'!$J$4:$J$1074,G$1)</f>
        <v>0</v>
      </c>
      <c r="H79" s="207">
        <f>SUMIFS('октябрь 2023'!$G$4:$G$1074,'октябрь 2023'!$D$4:$D$1074,$B79,'октябрь 2023'!$J$4:$J$1074,H$1)</f>
        <v>0</v>
      </c>
      <c r="I79" s="207">
        <f>SUMIFS('октябрь 2023'!$G$4:$G$1074,'октябрь 2023'!$D$4:$D$1074,$B79,'октябрь 2023'!$J$4:$J$1074,I$1)</f>
        <v>0</v>
      </c>
      <c r="J79" s="207">
        <f>SUMIFS('октябрь 2023'!$G$4:$G$1074,'октябрь 2023'!$D$4:$D$1074,$B79,'октябрь 2023'!$J$4:$J$1074,J$1)</f>
        <v>0</v>
      </c>
      <c r="K79" s="207">
        <f>SUMIFS('октябрь 2023'!$G$4:$G$1074,'октябрь 2023'!$D$4:$D$1074,$B79,'октябрь 2023'!$J$4:$J$1074,K$1)</f>
        <v>0</v>
      </c>
      <c r="L79" s="207">
        <f>SUMIFS('октябрь 2023'!$G$4:$G$1074,'октябрь 2023'!$D$4:$D$1074,$B79,'октябрь 2023'!$J$4:$J$1074,L$1)</f>
        <v>0</v>
      </c>
      <c r="M79" s="207">
        <f>SUMIFS('октябрь 2023'!$G$4:$G$1074,'октябрь 2023'!$D$4:$D$1074,$B79,'октябрь 2023'!$J$4:$J$1074,M$1)</f>
        <v>0</v>
      </c>
      <c r="N79" s="207">
        <f>SUMIFS('октябрь 2023'!$G$4:$G$1074,'октябрь 2023'!$D$4:$D$1074,$B79,'октябрь 2023'!$J$4:$J$1074,N$1)</f>
        <v>0</v>
      </c>
      <c r="O79" s="207">
        <f>SUMIFS('октябрь 2023'!$G$4:$G$1074,'октябрь 2023'!$D$4:$D$1074,$B79,'октябрь 2023'!$J$4:$J$1074,O$1)</f>
        <v>0</v>
      </c>
      <c r="P79" s="207">
        <f>SUMIFS('октябрь 2023'!$G$4:$G$1074,'октябрь 2023'!$D$4:$D$1074,$B79,'октябрь 2023'!$J$4:$J$1074,P$1)</f>
        <v>0</v>
      </c>
      <c r="Q79" s="207">
        <f>SUMIFS('октябрь 2023'!$G$4:$G$1074,'октябрь 2023'!$D$4:$D$1074,$B79,'октябрь 2023'!$J$4:$J$1074,Q$1)</f>
        <v>0</v>
      </c>
      <c r="R79" s="207">
        <f>SUMIFS('октябрь 2023'!$G$4:$G$1074,'октябрь 2023'!$D$4:$D$1074,$B79,'октябрь 2023'!$J$4:$J$1074,R$1)</f>
        <v>0</v>
      </c>
      <c r="S79" s="207">
        <f>SUMIFS('октябрь 2023'!$G$4:$G$1074,'октябрь 2023'!$D$4:$D$1074,$B79,'октябрь 2023'!$J$4:$J$1074,S$1)</f>
        <v>0</v>
      </c>
      <c r="T79" s="207">
        <f>SUMIFS('октябрь 2023'!$G$4:$G$1074,'октябрь 2023'!$D$4:$D$1074,$B79,'октябрь 2023'!$J$4:$J$1074,T$1)</f>
        <v>0</v>
      </c>
      <c r="U79" s="207">
        <f>SUMIFS('октябрь 2023'!$G$4:$G$1074,'октябрь 2023'!$D$4:$D$1074,$B79,'октябрь 2023'!$J$4:$J$1074,U$1)</f>
        <v>0</v>
      </c>
      <c r="V79" s="207">
        <f>SUMIFS('октябрь 2023'!$G$4:$G$1074,'октябрь 2023'!$D$4:$D$1074,$B79,'октябрь 2023'!$J$4:$J$1074,V$1)</f>
        <v>0</v>
      </c>
      <c r="W79" s="207">
        <f>SUMIFS('октябрь 2023'!$G$4:$G$1074,'октябрь 2023'!$D$4:$D$1074,$B79,'октябрь 2023'!$J$4:$J$1074,W$1)</f>
        <v>0</v>
      </c>
      <c r="X79" s="207">
        <f>SUMIFS('октябрь 2023'!$G$4:$G$1074,'октябрь 2023'!$D$4:$D$1074,$B79,'октябрь 2023'!$J$4:$J$1074,X$1)</f>
        <v>0</v>
      </c>
      <c r="Y79" s="207">
        <f>SUMIFS('октябрь 2023'!$G$4:$G$1074,'октябрь 2023'!$D$4:$D$1074,$B79,'октябрь 2023'!$J$4:$J$1074,Y$1)</f>
        <v>0</v>
      </c>
      <c r="Z79" s="207">
        <f>SUMIFS('октябрь 2023'!$G$4:$G$1074,'октябрь 2023'!$D$4:$D$1074,$B79,'октябрь 2023'!$J$4:$J$1074,Z$1)</f>
        <v>0</v>
      </c>
      <c r="AA79" s="207">
        <f>SUMIFS('октябрь 2023'!$G$4:$G$1074,'октябрь 2023'!$D$4:$D$1074,$B79,'октябрь 2023'!$J$4:$J$1074,AA$1)</f>
        <v>0</v>
      </c>
      <c r="AB79" s="207">
        <f>SUMIFS('октябрь 2023'!$G$4:$G$1074,'октябрь 2023'!$D$4:$D$1074,$B79,'октябрь 2023'!$J$4:$J$1074,AB$1)</f>
        <v>0</v>
      </c>
      <c r="AC79" s="207">
        <f>SUMIFS('октябрь 2023'!$G$4:$G$1074,'октябрь 2023'!$D$4:$D$1074,$B79,'октябрь 2023'!$J$4:$J$1074,AC$1)</f>
        <v>0</v>
      </c>
      <c r="AD79" s="207">
        <f>SUMIFS('октябрь 2023'!$G$4:$G$1074,'октябрь 2023'!$D$4:$D$1074,$B79,'октябрь 2023'!$J$4:$J$1074,AD$1)</f>
        <v>0</v>
      </c>
      <c r="AE79" s="207">
        <f>SUMIFS('октябрь 2023'!$G$4:$G$1074,'октябрь 2023'!$D$4:$D$1074,$B79,'октябрь 2023'!$J$4:$J$1074,AE$1)</f>
        <v>0</v>
      </c>
      <c r="AF79" s="207">
        <f>SUMIFS('октябрь 2023'!$G$4:$G$1074,'октябрь 2023'!$D$4:$D$1074,$B79,'октябрь 2023'!$J$4:$J$1074,AF$1)</f>
        <v>0</v>
      </c>
      <c r="AG79" s="207">
        <f>SUMIFS('октябрь 2023'!$G$4:$G$1074,'октябрь 2023'!$D$4:$D$1074,$B79,'октябрь 2023'!$J$4:$J$1074,AG$1)</f>
        <v>0</v>
      </c>
      <c r="AH79" s="207">
        <f>SUMIFS('октябрь 2023'!$G$4:$G$1074,'октябрь 2023'!$D$4:$D$1074,$B79,'октябрь 2023'!$J$4:$J$1074,AH$1)</f>
        <v>0</v>
      </c>
      <c r="AI79" s="170">
        <f t="shared" si="2"/>
        <v>0</v>
      </c>
    </row>
    <row r="80" spans="2:35" ht="15" customHeight="1" x14ac:dyDescent="0.25">
      <c r="B80" s="212" t="s">
        <v>561</v>
      </c>
      <c r="C80" s="211">
        <v>200</v>
      </c>
      <c r="D80" s="207">
        <f>SUMIFS('октябрь 2023'!$G$4:$G$1074,'октябрь 2023'!$D$4:$D$1074,$B80,'октябрь 2023'!$J$4:$J$1074,D$1)</f>
        <v>0</v>
      </c>
      <c r="E80" s="207">
        <f>SUMIFS('октябрь 2023'!$G$4:$G$1074,'октябрь 2023'!$D$4:$D$1074,$B80,'октябрь 2023'!$J$4:$J$1074,E$1)</f>
        <v>0</v>
      </c>
      <c r="F80" s="207">
        <f>SUMIFS('октябрь 2023'!$G$4:$G$1074,'октябрь 2023'!$D$4:$D$1074,$B80,'октябрь 2023'!$J$4:$J$1074,F$1)</f>
        <v>0</v>
      </c>
      <c r="G80" s="207">
        <f>SUMIFS('октябрь 2023'!$G$4:$G$1074,'октябрь 2023'!$D$4:$D$1074,$B80,'октябрь 2023'!$J$4:$J$1074,G$1)</f>
        <v>0</v>
      </c>
      <c r="H80" s="207">
        <f>SUMIFS('октябрь 2023'!$G$4:$G$1074,'октябрь 2023'!$D$4:$D$1074,$B80,'октябрь 2023'!$J$4:$J$1074,H$1)</f>
        <v>0</v>
      </c>
      <c r="I80" s="207">
        <f>SUMIFS('октябрь 2023'!$G$4:$G$1074,'октябрь 2023'!$D$4:$D$1074,$B80,'октябрь 2023'!$J$4:$J$1074,I$1)</f>
        <v>0</v>
      </c>
      <c r="J80" s="207">
        <f>SUMIFS('октябрь 2023'!$G$4:$G$1074,'октябрь 2023'!$D$4:$D$1074,$B80,'октябрь 2023'!$J$4:$J$1074,J$1)</f>
        <v>0</v>
      </c>
      <c r="K80" s="207">
        <f>SUMIFS('октябрь 2023'!$G$4:$G$1074,'октябрь 2023'!$D$4:$D$1074,$B80,'октябрь 2023'!$J$4:$J$1074,K$1)</f>
        <v>0</v>
      </c>
      <c r="L80" s="207">
        <f>SUMIFS('октябрь 2023'!$G$4:$G$1074,'октябрь 2023'!$D$4:$D$1074,$B80,'октябрь 2023'!$J$4:$J$1074,L$1)</f>
        <v>0</v>
      </c>
      <c r="M80" s="207">
        <f>SUMIFS('октябрь 2023'!$G$4:$G$1074,'октябрь 2023'!$D$4:$D$1074,$B80,'октябрь 2023'!$J$4:$J$1074,M$1)</f>
        <v>0</v>
      </c>
      <c r="N80" s="207">
        <f>SUMIFS('октябрь 2023'!$G$4:$G$1074,'октябрь 2023'!$D$4:$D$1074,$B80,'октябрь 2023'!$J$4:$J$1074,N$1)</f>
        <v>0</v>
      </c>
      <c r="O80" s="207">
        <f>SUMIFS('октябрь 2023'!$G$4:$G$1074,'октябрь 2023'!$D$4:$D$1074,$B80,'октябрь 2023'!$J$4:$J$1074,O$1)</f>
        <v>0</v>
      </c>
      <c r="P80" s="207">
        <f>SUMIFS('октябрь 2023'!$G$4:$G$1074,'октябрь 2023'!$D$4:$D$1074,$B80,'октябрь 2023'!$J$4:$J$1074,P$1)</f>
        <v>0</v>
      </c>
      <c r="Q80" s="207">
        <f>SUMIFS('октябрь 2023'!$G$4:$G$1074,'октябрь 2023'!$D$4:$D$1074,$B80,'октябрь 2023'!$J$4:$J$1074,Q$1)</f>
        <v>0</v>
      </c>
      <c r="R80" s="207">
        <f>SUMIFS('октябрь 2023'!$G$4:$G$1074,'октябрь 2023'!$D$4:$D$1074,$B80,'октябрь 2023'!$J$4:$J$1074,R$1)</f>
        <v>0</v>
      </c>
      <c r="S80" s="207">
        <f>SUMIFS('октябрь 2023'!$G$4:$G$1074,'октябрь 2023'!$D$4:$D$1074,$B80,'октябрь 2023'!$J$4:$J$1074,S$1)</f>
        <v>0</v>
      </c>
      <c r="T80" s="207">
        <f>SUMIFS('октябрь 2023'!$G$4:$G$1074,'октябрь 2023'!$D$4:$D$1074,$B80,'октябрь 2023'!$J$4:$J$1074,T$1)</f>
        <v>20</v>
      </c>
      <c r="U80" s="207">
        <f>SUMIFS('октябрь 2023'!$G$4:$G$1074,'октябрь 2023'!$D$4:$D$1074,$B80,'октябрь 2023'!$J$4:$J$1074,U$1)</f>
        <v>0</v>
      </c>
      <c r="V80" s="207">
        <f>SUMIFS('октябрь 2023'!$G$4:$G$1074,'октябрь 2023'!$D$4:$D$1074,$B80,'октябрь 2023'!$J$4:$J$1074,V$1)</f>
        <v>0</v>
      </c>
      <c r="W80" s="207">
        <f>SUMIFS('октябрь 2023'!$G$4:$G$1074,'октябрь 2023'!$D$4:$D$1074,$B80,'октябрь 2023'!$J$4:$J$1074,W$1)</f>
        <v>0</v>
      </c>
      <c r="X80" s="207">
        <f>SUMIFS('октябрь 2023'!$G$4:$G$1074,'октябрь 2023'!$D$4:$D$1074,$B80,'октябрь 2023'!$J$4:$J$1074,X$1)</f>
        <v>0</v>
      </c>
      <c r="Y80" s="207">
        <f>SUMIFS('октябрь 2023'!$G$4:$G$1074,'октябрь 2023'!$D$4:$D$1074,$B80,'октябрь 2023'!$J$4:$J$1074,Y$1)</f>
        <v>0</v>
      </c>
      <c r="Z80" s="207">
        <f>SUMIFS('октябрь 2023'!$G$4:$G$1074,'октябрь 2023'!$D$4:$D$1074,$B80,'октябрь 2023'!$J$4:$J$1074,Z$1)</f>
        <v>0</v>
      </c>
      <c r="AA80" s="207">
        <f>SUMIFS('октябрь 2023'!$G$4:$G$1074,'октябрь 2023'!$D$4:$D$1074,$B80,'октябрь 2023'!$J$4:$J$1074,AA$1)</f>
        <v>0</v>
      </c>
      <c r="AB80" s="207">
        <f>SUMIFS('октябрь 2023'!$G$4:$G$1074,'октябрь 2023'!$D$4:$D$1074,$B80,'октябрь 2023'!$J$4:$J$1074,AB$1)</f>
        <v>0</v>
      </c>
      <c r="AC80" s="207">
        <f>SUMIFS('октябрь 2023'!$G$4:$G$1074,'октябрь 2023'!$D$4:$D$1074,$B80,'октябрь 2023'!$J$4:$J$1074,AC$1)</f>
        <v>0</v>
      </c>
      <c r="AD80" s="207">
        <f>SUMIFS('октябрь 2023'!$G$4:$G$1074,'октябрь 2023'!$D$4:$D$1074,$B80,'октябрь 2023'!$J$4:$J$1074,AD$1)</f>
        <v>0</v>
      </c>
      <c r="AE80" s="207">
        <f>SUMIFS('октябрь 2023'!$G$4:$G$1074,'октябрь 2023'!$D$4:$D$1074,$B80,'октябрь 2023'!$J$4:$J$1074,AE$1)</f>
        <v>0</v>
      </c>
      <c r="AF80" s="207">
        <f>SUMIFS('октябрь 2023'!$G$4:$G$1074,'октябрь 2023'!$D$4:$D$1074,$B80,'октябрь 2023'!$J$4:$J$1074,AF$1)</f>
        <v>0</v>
      </c>
      <c r="AG80" s="207">
        <f>SUMIFS('октябрь 2023'!$G$4:$G$1074,'октябрь 2023'!$D$4:$D$1074,$B80,'октябрь 2023'!$J$4:$J$1074,AG$1)</f>
        <v>0</v>
      </c>
      <c r="AH80" s="207">
        <f>SUMIFS('октябрь 2023'!$G$4:$G$1074,'октябрь 2023'!$D$4:$D$1074,$B80,'октябрь 2023'!$J$4:$J$1074,AH$1)</f>
        <v>0</v>
      </c>
      <c r="AI80" s="170">
        <f t="shared" si="2"/>
        <v>20</v>
      </c>
    </row>
    <row r="81" spans="2:35" ht="15" customHeight="1" x14ac:dyDescent="0.25">
      <c r="B81" s="216" t="s">
        <v>1372</v>
      </c>
      <c r="C81" s="211">
        <v>180</v>
      </c>
      <c r="D81" s="207">
        <f>SUMIFS('октябрь 2023'!$G$4:$G$1074,'октябрь 2023'!$D$4:$D$1074,$B81,'октябрь 2023'!$J$4:$J$1074,D$1)</f>
        <v>0</v>
      </c>
      <c r="E81" s="207">
        <f>SUMIFS('октябрь 2023'!$G$4:$G$1074,'октябрь 2023'!$D$4:$D$1074,$B81,'октябрь 2023'!$J$4:$J$1074,E$1)</f>
        <v>0</v>
      </c>
      <c r="F81" s="207">
        <f>SUMIFS('октябрь 2023'!$G$4:$G$1074,'октябрь 2023'!$D$4:$D$1074,$B81,'октябрь 2023'!$J$4:$J$1074,F$1)</f>
        <v>0</v>
      </c>
      <c r="G81" s="207">
        <f>SUMIFS('октябрь 2023'!$G$4:$G$1074,'октябрь 2023'!$D$4:$D$1074,$B81,'октябрь 2023'!$J$4:$J$1074,G$1)</f>
        <v>0</v>
      </c>
      <c r="H81" s="207">
        <f>SUMIFS('октябрь 2023'!$G$4:$G$1074,'октябрь 2023'!$D$4:$D$1074,$B81,'октябрь 2023'!$J$4:$J$1074,H$1)</f>
        <v>0</v>
      </c>
      <c r="I81" s="207">
        <f>SUMIFS('октябрь 2023'!$G$4:$G$1074,'октябрь 2023'!$D$4:$D$1074,$B81,'октябрь 2023'!$J$4:$J$1074,I$1)</f>
        <v>0</v>
      </c>
      <c r="J81" s="207">
        <f>SUMIFS('октябрь 2023'!$G$4:$G$1074,'октябрь 2023'!$D$4:$D$1074,$B81,'октябрь 2023'!$J$4:$J$1074,J$1)</f>
        <v>0</v>
      </c>
      <c r="K81" s="207">
        <f>SUMIFS('октябрь 2023'!$G$4:$G$1074,'октябрь 2023'!$D$4:$D$1074,$B81,'октябрь 2023'!$J$4:$J$1074,K$1)</f>
        <v>0</v>
      </c>
      <c r="L81" s="207">
        <f>SUMIFS('октябрь 2023'!$G$4:$G$1074,'октябрь 2023'!$D$4:$D$1074,$B81,'октябрь 2023'!$J$4:$J$1074,L$1)</f>
        <v>0</v>
      </c>
      <c r="M81" s="207">
        <f>SUMIFS('октябрь 2023'!$G$4:$G$1074,'октябрь 2023'!$D$4:$D$1074,$B81,'октябрь 2023'!$J$4:$J$1074,M$1)</f>
        <v>0</v>
      </c>
      <c r="N81" s="207">
        <f>SUMIFS('октябрь 2023'!$G$4:$G$1074,'октябрь 2023'!$D$4:$D$1074,$B81,'октябрь 2023'!$J$4:$J$1074,N$1)</f>
        <v>0</v>
      </c>
      <c r="O81" s="207">
        <f>SUMIFS('октябрь 2023'!$G$4:$G$1074,'октябрь 2023'!$D$4:$D$1074,$B81,'октябрь 2023'!$J$4:$J$1074,O$1)</f>
        <v>0</v>
      </c>
      <c r="P81" s="207">
        <f>SUMIFS('октябрь 2023'!$G$4:$G$1074,'октябрь 2023'!$D$4:$D$1074,$B81,'октябрь 2023'!$J$4:$J$1074,P$1)</f>
        <v>0</v>
      </c>
      <c r="Q81" s="207">
        <f>SUMIFS('октябрь 2023'!$G$4:$G$1074,'октябрь 2023'!$D$4:$D$1074,$B81,'октябрь 2023'!$J$4:$J$1074,Q$1)</f>
        <v>0</v>
      </c>
      <c r="R81" s="207">
        <f>SUMIFS('октябрь 2023'!$G$4:$G$1074,'октябрь 2023'!$D$4:$D$1074,$B81,'октябрь 2023'!$J$4:$J$1074,R$1)</f>
        <v>0</v>
      </c>
      <c r="S81" s="207">
        <f>SUMIFS('октябрь 2023'!$G$4:$G$1074,'октябрь 2023'!$D$4:$D$1074,$B81,'октябрь 2023'!$J$4:$J$1074,S$1)</f>
        <v>0</v>
      </c>
      <c r="T81" s="207">
        <f>SUMIFS('октябрь 2023'!$G$4:$G$1074,'октябрь 2023'!$D$4:$D$1074,$B81,'октябрь 2023'!$J$4:$J$1074,T$1)</f>
        <v>0</v>
      </c>
      <c r="U81" s="207">
        <f>SUMIFS('октябрь 2023'!$G$4:$G$1074,'октябрь 2023'!$D$4:$D$1074,$B81,'октябрь 2023'!$J$4:$J$1074,U$1)</f>
        <v>0</v>
      </c>
      <c r="V81" s="207">
        <f>SUMIFS('октябрь 2023'!$G$4:$G$1074,'октябрь 2023'!$D$4:$D$1074,$B81,'октябрь 2023'!$J$4:$J$1074,V$1)</f>
        <v>0</v>
      </c>
      <c r="W81" s="207">
        <f>SUMIFS('октябрь 2023'!$G$4:$G$1074,'октябрь 2023'!$D$4:$D$1074,$B81,'октябрь 2023'!$J$4:$J$1074,W$1)</f>
        <v>0</v>
      </c>
      <c r="X81" s="207">
        <f>SUMIFS('октябрь 2023'!$G$4:$G$1074,'октябрь 2023'!$D$4:$D$1074,$B81,'октябрь 2023'!$J$4:$J$1074,X$1)</f>
        <v>0</v>
      </c>
      <c r="Y81" s="207">
        <f>SUMIFS('октябрь 2023'!$G$4:$G$1074,'октябрь 2023'!$D$4:$D$1074,$B81,'октябрь 2023'!$J$4:$J$1074,Y$1)</f>
        <v>0</v>
      </c>
      <c r="Z81" s="207">
        <f>SUMIFS('октябрь 2023'!$G$4:$G$1074,'октябрь 2023'!$D$4:$D$1074,$B81,'октябрь 2023'!$J$4:$J$1074,Z$1)</f>
        <v>0</v>
      </c>
      <c r="AA81" s="207">
        <f>SUMIFS('октябрь 2023'!$G$4:$G$1074,'октябрь 2023'!$D$4:$D$1074,$B81,'октябрь 2023'!$J$4:$J$1074,AA$1)</f>
        <v>0</v>
      </c>
      <c r="AB81" s="207">
        <f>SUMIFS('октябрь 2023'!$G$4:$G$1074,'октябрь 2023'!$D$4:$D$1074,$B81,'октябрь 2023'!$J$4:$J$1074,AB$1)</f>
        <v>0</v>
      </c>
      <c r="AC81" s="207">
        <f>SUMIFS('октябрь 2023'!$G$4:$G$1074,'октябрь 2023'!$D$4:$D$1074,$B81,'октябрь 2023'!$J$4:$J$1074,AC$1)</f>
        <v>0</v>
      </c>
      <c r="AD81" s="207">
        <f>SUMIFS('октябрь 2023'!$G$4:$G$1074,'октябрь 2023'!$D$4:$D$1074,$B81,'октябрь 2023'!$J$4:$J$1074,AD$1)</f>
        <v>0</v>
      </c>
      <c r="AE81" s="207">
        <f>SUMIFS('октябрь 2023'!$G$4:$G$1074,'октябрь 2023'!$D$4:$D$1074,$B81,'октябрь 2023'!$J$4:$J$1074,AE$1)</f>
        <v>0</v>
      </c>
      <c r="AF81" s="207">
        <f>SUMIFS('октябрь 2023'!$G$4:$G$1074,'октябрь 2023'!$D$4:$D$1074,$B81,'октябрь 2023'!$J$4:$J$1074,AF$1)</f>
        <v>0</v>
      </c>
      <c r="AG81" s="207">
        <f>SUMIFS('октябрь 2023'!$G$4:$G$1074,'октябрь 2023'!$D$4:$D$1074,$B81,'октябрь 2023'!$J$4:$J$1074,AG$1)</f>
        <v>0</v>
      </c>
      <c r="AH81" s="207">
        <f>SUMIFS('октябрь 2023'!$G$4:$G$1074,'октябрь 2023'!$D$4:$D$1074,$B81,'октябрь 2023'!$J$4:$J$1074,AH$1)</f>
        <v>0</v>
      </c>
      <c r="AI81" s="170">
        <f t="shared" si="2"/>
        <v>0</v>
      </c>
    </row>
    <row r="82" spans="2:35" ht="15" customHeight="1" x14ac:dyDescent="0.25">
      <c r="B82" s="216" t="s">
        <v>604</v>
      </c>
      <c r="C82" s="213">
        <v>25</v>
      </c>
      <c r="D82" s="207">
        <f>SUMIFS('октябрь 2023'!$G$4:$G$1074,'октябрь 2023'!$D$4:$D$1074,$B82,'октябрь 2023'!$J$4:$J$1074,D$1)</f>
        <v>0</v>
      </c>
      <c r="E82" s="207">
        <f>SUMIFS('октябрь 2023'!$G$4:$G$1074,'октябрь 2023'!$D$4:$D$1074,$B82,'октябрь 2023'!$J$4:$J$1074,E$1)</f>
        <v>0</v>
      </c>
      <c r="F82" s="207">
        <f>SUMIFS('октябрь 2023'!$G$4:$G$1074,'октябрь 2023'!$D$4:$D$1074,$B82,'октябрь 2023'!$J$4:$J$1074,F$1)</f>
        <v>0</v>
      </c>
      <c r="G82" s="207">
        <f>SUMIFS('октябрь 2023'!$G$4:$G$1074,'октябрь 2023'!$D$4:$D$1074,$B82,'октябрь 2023'!$J$4:$J$1074,G$1)</f>
        <v>0</v>
      </c>
      <c r="H82" s="207">
        <f>SUMIFS('октябрь 2023'!$G$4:$G$1074,'октябрь 2023'!$D$4:$D$1074,$B82,'октябрь 2023'!$J$4:$J$1074,H$1)</f>
        <v>0</v>
      </c>
      <c r="I82" s="207">
        <f>SUMIFS('октябрь 2023'!$G$4:$G$1074,'октябрь 2023'!$D$4:$D$1074,$B82,'октябрь 2023'!$J$4:$J$1074,I$1)</f>
        <v>0</v>
      </c>
      <c r="J82" s="207">
        <f>SUMIFS('октябрь 2023'!$G$4:$G$1074,'октябрь 2023'!$D$4:$D$1074,$B82,'октябрь 2023'!$J$4:$J$1074,J$1)</f>
        <v>0</v>
      </c>
      <c r="K82" s="207">
        <f>SUMIFS('октябрь 2023'!$G$4:$G$1074,'октябрь 2023'!$D$4:$D$1074,$B82,'октябрь 2023'!$J$4:$J$1074,K$1)</f>
        <v>0</v>
      </c>
      <c r="L82" s="207">
        <f>SUMIFS('октябрь 2023'!$G$4:$G$1074,'октябрь 2023'!$D$4:$D$1074,$B82,'октябрь 2023'!$J$4:$J$1074,L$1)</f>
        <v>0</v>
      </c>
      <c r="M82" s="207">
        <f>SUMIFS('октябрь 2023'!$G$4:$G$1074,'октябрь 2023'!$D$4:$D$1074,$B82,'октябрь 2023'!$J$4:$J$1074,M$1)</f>
        <v>0</v>
      </c>
      <c r="N82" s="207">
        <f>SUMIFS('октябрь 2023'!$G$4:$G$1074,'октябрь 2023'!$D$4:$D$1074,$B82,'октябрь 2023'!$J$4:$J$1074,N$1)</f>
        <v>0</v>
      </c>
      <c r="O82" s="207">
        <f>SUMIFS('октябрь 2023'!$G$4:$G$1074,'октябрь 2023'!$D$4:$D$1074,$B82,'октябрь 2023'!$J$4:$J$1074,O$1)</f>
        <v>0</v>
      </c>
      <c r="P82" s="207">
        <f>SUMIFS('октябрь 2023'!$G$4:$G$1074,'октябрь 2023'!$D$4:$D$1074,$B82,'октябрь 2023'!$J$4:$J$1074,P$1)</f>
        <v>0</v>
      </c>
      <c r="Q82" s="207">
        <f>SUMIFS('октябрь 2023'!$G$4:$G$1074,'октябрь 2023'!$D$4:$D$1074,$B82,'октябрь 2023'!$J$4:$J$1074,Q$1)</f>
        <v>0</v>
      </c>
      <c r="R82" s="207">
        <f>SUMIFS('октябрь 2023'!$G$4:$G$1074,'октябрь 2023'!$D$4:$D$1074,$B82,'октябрь 2023'!$J$4:$J$1074,R$1)</f>
        <v>0</v>
      </c>
      <c r="S82" s="207">
        <f>SUMIFS('октябрь 2023'!$G$4:$G$1074,'октябрь 2023'!$D$4:$D$1074,$B82,'октябрь 2023'!$J$4:$J$1074,S$1)</f>
        <v>0</v>
      </c>
      <c r="T82" s="207">
        <f>SUMIFS('октябрь 2023'!$G$4:$G$1074,'октябрь 2023'!$D$4:$D$1074,$B82,'октябрь 2023'!$J$4:$J$1074,T$1)</f>
        <v>0</v>
      </c>
      <c r="U82" s="207">
        <f>SUMIFS('октябрь 2023'!$G$4:$G$1074,'октябрь 2023'!$D$4:$D$1074,$B82,'октябрь 2023'!$J$4:$J$1074,U$1)</f>
        <v>0</v>
      </c>
      <c r="V82" s="207">
        <f>SUMIFS('октябрь 2023'!$G$4:$G$1074,'октябрь 2023'!$D$4:$D$1074,$B82,'октябрь 2023'!$J$4:$J$1074,V$1)</f>
        <v>0</v>
      </c>
      <c r="W82" s="207">
        <f>SUMIFS('октябрь 2023'!$G$4:$G$1074,'октябрь 2023'!$D$4:$D$1074,$B82,'октябрь 2023'!$J$4:$J$1074,W$1)</f>
        <v>0</v>
      </c>
      <c r="X82" s="207">
        <f>SUMIFS('октябрь 2023'!$G$4:$G$1074,'октябрь 2023'!$D$4:$D$1074,$B82,'октябрь 2023'!$J$4:$J$1074,X$1)</f>
        <v>0</v>
      </c>
      <c r="Y82" s="207">
        <f>SUMIFS('октябрь 2023'!$G$4:$G$1074,'октябрь 2023'!$D$4:$D$1074,$B82,'октябрь 2023'!$J$4:$J$1074,Y$1)</f>
        <v>0</v>
      </c>
      <c r="Z82" s="207">
        <f>SUMIFS('октябрь 2023'!$G$4:$G$1074,'октябрь 2023'!$D$4:$D$1074,$B82,'октябрь 2023'!$J$4:$J$1074,Z$1)</f>
        <v>0</v>
      </c>
      <c r="AA82" s="207">
        <f>SUMIFS('октябрь 2023'!$G$4:$G$1074,'октябрь 2023'!$D$4:$D$1074,$B82,'октябрь 2023'!$J$4:$J$1074,AA$1)</f>
        <v>0</v>
      </c>
      <c r="AB82" s="207">
        <f>SUMIFS('октябрь 2023'!$G$4:$G$1074,'октябрь 2023'!$D$4:$D$1074,$B82,'октябрь 2023'!$J$4:$J$1074,AB$1)</f>
        <v>20</v>
      </c>
      <c r="AC82" s="207">
        <f>SUMIFS('октябрь 2023'!$G$4:$G$1074,'октябрь 2023'!$D$4:$D$1074,$B82,'октябрь 2023'!$J$4:$J$1074,AC$1)</f>
        <v>0</v>
      </c>
      <c r="AD82" s="207">
        <f>SUMIFS('октябрь 2023'!$G$4:$G$1074,'октябрь 2023'!$D$4:$D$1074,$B82,'октябрь 2023'!$J$4:$J$1074,AD$1)</f>
        <v>0</v>
      </c>
      <c r="AE82" s="207">
        <f>SUMIFS('октябрь 2023'!$G$4:$G$1074,'октябрь 2023'!$D$4:$D$1074,$B82,'октябрь 2023'!$J$4:$J$1074,AE$1)</f>
        <v>0</v>
      </c>
      <c r="AF82" s="207">
        <f>SUMIFS('октябрь 2023'!$G$4:$G$1074,'октябрь 2023'!$D$4:$D$1074,$B82,'октябрь 2023'!$J$4:$J$1074,AF$1)</f>
        <v>0</v>
      </c>
      <c r="AG82" s="207">
        <f>SUMIFS('октябрь 2023'!$G$4:$G$1074,'октябрь 2023'!$D$4:$D$1074,$B82,'октябрь 2023'!$J$4:$J$1074,AG$1)</f>
        <v>60</v>
      </c>
      <c r="AH82" s="207">
        <f>SUMIFS('октябрь 2023'!$G$4:$G$1074,'октябрь 2023'!$D$4:$D$1074,$B82,'октябрь 2023'!$J$4:$J$1074,AH$1)</f>
        <v>0</v>
      </c>
      <c r="AI82" s="170">
        <f>SUM(D82:AH82)</f>
        <v>80</v>
      </c>
    </row>
    <row r="83" spans="2:35" ht="15" customHeight="1" x14ac:dyDescent="0.25">
      <c r="B83" s="216" t="s">
        <v>1336</v>
      </c>
      <c r="C83" s="213">
        <v>50</v>
      </c>
      <c r="D83" s="207">
        <f>SUMIFS('октябрь 2023'!$G$4:$G$1074,'октябрь 2023'!$D$4:$D$1074,$B83,'октябрь 2023'!$J$4:$J$1074,D$1)</f>
        <v>0</v>
      </c>
      <c r="E83" s="207">
        <f>SUMIFS('октябрь 2023'!$G$4:$G$1074,'октябрь 2023'!$D$4:$D$1074,$B83,'октябрь 2023'!$J$4:$J$1074,E$1)</f>
        <v>0</v>
      </c>
      <c r="F83" s="207">
        <f>SUMIFS('октябрь 2023'!$G$4:$G$1074,'октябрь 2023'!$D$4:$D$1074,$B83,'октябрь 2023'!$J$4:$J$1074,F$1)</f>
        <v>0</v>
      </c>
      <c r="G83" s="207">
        <f>SUMIFS('октябрь 2023'!$G$4:$G$1074,'октябрь 2023'!$D$4:$D$1074,$B83,'октябрь 2023'!$J$4:$J$1074,G$1)</f>
        <v>0</v>
      </c>
      <c r="H83" s="207">
        <f>SUMIFS('октябрь 2023'!$G$4:$G$1074,'октябрь 2023'!$D$4:$D$1074,$B83,'октябрь 2023'!$J$4:$J$1074,H$1)</f>
        <v>0</v>
      </c>
      <c r="I83" s="207">
        <f>SUMIFS('октябрь 2023'!$G$4:$G$1074,'октябрь 2023'!$D$4:$D$1074,$B83,'октябрь 2023'!$J$4:$J$1074,I$1)</f>
        <v>0</v>
      </c>
      <c r="J83" s="207">
        <f>SUMIFS('октябрь 2023'!$G$4:$G$1074,'октябрь 2023'!$D$4:$D$1074,$B83,'октябрь 2023'!$J$4:$J$1074,J$1)</f>
        <v>0</v>
      </c>
      <c r="K83" s="207">
        <f>SUMIFS('октябрь 2023'!$G$4:$G$1074,'октябрь 2023'!$D$4:$D$1074,$B83,'октябрь 2023'!$J$4:$J$1074,K$1)</f>
        <v>0</v>
      </c>
      <c r="L83" s="207">
        <f>SUMIFS('октябрь 2023'!$G$4:$G$1074,'октябрь 2023'!$D$4:$D$1074,$B83,'октябрь 2023'!$J$4:$J$1074,L$1)</f>
        <v>0</v>
      </c>
      <c r="M83" s="207">
        <f>SUMIFS('октябрь 2023'!$G$4:$G$1074,'октябрь 2023'!$D$4:$D$1074,$B83,'октябрь 2023'!$J$4:$J$1074,M$1)</f>
        <v>0</v>
      </c>
      <c r="N83" s="207">
        <f>SUMIFS('октябрь 2023'!$G$4:$G$1074,'октябрь 2023'!$D$4:$D$1074,$B83,'октябрь 2023'!$J$4:$J$1074,N$1)</f>
        <v>0</v>
      </c>
      <c r="O83" s="207">
        <f>SUMIFS('октябрь 2023'!$G$4:$G$1074,'октябрь 2023'!$D$4:$D$1074,$B83,'октябрь 2023'!$J$4:$J$1074,O$1)</f>
        <v>0</v>
      </c>
      <c r="P83" s="207">
        <f>SUMIFS('октябрь 2023'!$G$4:$G$1074,'октябрь 2023'!$D$4:$D$1074,$B83,'октябрь 2023'!$J$4:$J$1074,P$1)</f>
        <v>0</v>
      </c>
      <c r="Q83" s="207">
        <f>SUMIFS('октябрь 2023'!$G$4:$G$1074,'октябрь 2023'!$D$4:$D$1074,$B83,'октябрь 2023'!$J$4:$J$1074,Q$1)</f>
        <v>0</v>
      </c>
      <c r="R83" s="207">
        <f>SUMIFS('октябрь 2023'!$G$4:$G$1074,'октябрь 2023'!$D$4:$D$1074,$B83,'октябрь 2023'!$J$4:$J$1074,R$1)</f>
        <v>0</v>
      </c>
      <c r="S83" s="207">
        <f>SUMIFS('октябрь 2023'!$G$4:$G$1074,'октябрь 2023'!$D$4:$D$1074,$B83,'октябрь 2023'!$J$4:$J$1074,S$1)</f>
        <v>0</v>
      </c>
      <c r="T83" s="207">
        <f>SUMIFS('октябрь 2023'!$G$4:$G$1074,'октябрь 2023'!$D$4:$D$1074,$B83,'октябрь 2023'!$J$4:$J$1074,T$1)</f>
        <v>0</v>
      </c>
      <c r="U83" s="207">
        <f>SUMIFS('октябрь 2023'!$G$4:$G$1074,'октябрь 2023'!$D$4:$D$1074,$B83,'октябрь 2023'!$J$4:$J$1074,U$1)</f>
        <v>0</v>
      </c>
      <c r="V83" s="207">
        <f>SUMIFS('октябрь 2023'!$G$4:$G$1074,'октябрь 2023'!$D$4:$D$1074,$B83,'октябрь 2023'!$J$4:$J$1074,V$1)</f>
        <v>0</v>
      </c>
      <c r="W83" s="207">
        <f>SUMIFS('октябрь 2023'!$G$4:$G$1074,'октябрь 2023'!$D$4:$D$1074,$B83,'октябрь 2023'!$J$4:$J$1074,W$1)</f>
        <v>0</v>
      </c>
      <c r="X83" s="207">
        <f>SUMIFS('октябрь 2023'!$G$4:$G$1074,'октябрь 2023'!$D$4:$D$1074,$B83,'октябрь 2023'!$J$4:$J$1074,X$1)</f>
        <v>0</v>
      </c>
      <c r="Y83" s="207">
        <f>SUMIFS('октябрь 2023'!$G$4:$G$1074,'октябрь 2023'!$D$4:$D$1074,$B83,'октябрь 2023'!$J$4:$J$1074,Y$1)</f>
        <v>0</v>
      </c>
      <c r="Z83" s="207">
        <f>SUMIFS('октябрь 2023'!$G$4:$G$1074,'октябрь 2023'!$D$4:$D$1074,$B83,'октябрь 2023'!$J$4:$J$1074,Z$1)</f>
        <v>0</v>
      </c>
      <c r="AA83" s="207">
        <f>SUMIFS('октябрь 2023'!$G$4:$G$1074,'октябрь 2023'!$D$4:$D$1074,$B83,'октябрь 2023'!$J$4:$J$1074,AA$1)</f>
        <v>0</v>
      </c>
      <c r="AB83" s="207">
        <f>SUMIFS('октябрь 2023'!$G$4:$G$1074,'октябрь 2023'!$D$4:$D$1074,$B83,'октябрь 2023'!$J$4:$J$1074,AB$1)</f>
        <v>0</v>
      </c>
      <c r="AC83" s="207">
        <f>SUMIFS('октябрь 2023'!$G$4:$G$1074,'октябрь 2023'!$D$4:$D$1074,$B83,'октябрь 2023'!$J$4:$J$1074,AC$1)</f>
        <v>0</v>
      </c>
      <c r="AD83" s="207">
        <f>SUMIFS('октябрь 2023'!$G$4:$G$1074,'октябрь 2023'!$D$4:$D$1074,$B83,'октябрь 2023'!$J$4:$J$1074,AD$1)</f>
        <v>0</v>
      </c>
      <c r="AE83" s="207">
        <f>SUMIFS('октябрь 2023'!$G$4:$G$1074,'октябрь 2023'!$D$4:$D$1074,$B83,'октябрь 2023'!$J$4:$J$1074,AE$1)</f>
        <v>0</v>
      </c>
      <c r="AF83" s="207">
        <f>SUMIFS('октябрь 2023'!$G$4:$G$1074,'октябрь 2023'!$D$4:$D$1074,$B83,'октябрь 2023'!$J$4:$J$1074,AF$1)</f>
        <v>0</v>
      </c>
      <c r="AG83" s="207">
        <f>SUMIFS('октябрь 2023'!$G$4:$G$1074,'октябрь 2023'!$D$4:$D$1074,$B83,'октябрь 2023'!$J$4:$J$1074,AG$1)</f>
        <v>0</v>
      </c>
      <c r="AH83" s="207">
        <f>SUMIFS('октябрь 2023'!$G$4:$G$1074,'октябрь 2023'!$D$4:$D$1074,$B83,'октябрь 2023'!$J$4:$J$1074,AH$1)</f>
        <v>0</v>
      </c>
      <c r="AI83" s="170">
        <f t="shared" si="2"/>
        <v>0</v>
      </c>
    </row>
    <row r="84" spans="2:35" ht="15" customHeight="1" x14ac:dyDescent="0.25">
      <c r="B84" s="216" t="s">
        <v>1470</v>
      </c>
      <c r="C84" s="213">
        <v>180</v>
      </c>
      <c r="D84" s="207">
        <f>SUMIFS('октябрь 2023'!$G$4:$G$1074,'октябрь 2023'!$D$4:$D$1074,$B84,'октябрь 2023'!$J$4:$J$1074,D$1)</f>
        <v>0</v>
      </c>
      <c r="E84" s="207">
        <f>SUMIFS('октябрь 2023'!$G$4:$G$1074,'октябрь 2023'!$D$4:$D$1074,$B84,'октябрь 2023'!$J$4:$J$1074,E$1)</f>
        <v>0</v>
      </c>
      <c r="F84" s="207">
        <f>SUMIFS('октябрь 2023'!$G$4:$G$1074,'октябрь 2023'!$D$4:$D$1074,$B84,'октябрь 2023'!$J$4:$J$1074,F$1)</f>
        <v>0</v>
      </c>
      <c r="G84" s="207">
        <f>SUMIFS('октябрь 2023'!$G$4:$G$1074,'октябрь 2023'!$D$4:$D$1074,$B84,'октябрь 2023'!$J$4:$J$1074,G$1)</f>
        <v>0</v>
      </c>
      <c r="H84" s="207">
        <f>SUMIFS('октябрь 2023'!$G$4:$G$1074,'октябрь 2023'!$D$4:$D$1074,$B84,'октябрь 2023'!$J$4:$J$1074,H$1)</f>
        <v>0</v>
      </c>
      <c r="I84" s="207">
        <f>SUMIFS('октябрь 2023'!$G$4:$G$1074,'октябрь 2023'!$D$4:$D$1074,$B84,'октябрь 2023'!$J$4:$J$1074,I$1)</f>
        <v>0</v>
      </c>
      <c r="J84" s="207">
        <f>SUMIFS('октябрь 2023'!$G$4:$G$1074,'октябрь 2023'!$D$4:$D$1074,$B84,'октябрь 2023'!$J$4:$J$1074,J$1)</f>
        <v>0</v>
      </c>
      <c r="K84" s="207">
        <f>SUMIFS('октябрь 2023'!$G$4:$G$1074,'октябрь 2023'!$D$4:$D$1074,$B84,'октябрь 2023'!$J$4:$J$1074,K$1)</f>
        <v>0</v>
      </c>
      <c r="L84" s="207">
        <f>SUMIFS('октябрь 2023'!$G$4:$G$1074,'октябрь 2023'!$D$4:$D$1074,$B84,'октябрь 2023'!$J$4:$J$1074,L$1)</f>
        <v>0</v>
      </c>
      <c r="M84" s="207">
        <f>SUMIFS('октябрь 2023'!$G$4:$G$1074,'октябрь 2023'!$D$4:$D$1074,$B84,'октябрь 2023'!$J$4:$J$1074,M$1)</f>
        <v>0</v>
      </c>
      <c r="N84" s="207">
        <f>SUMIFS('октябрь 2023'!$G$4:$G$1074,'октябрь 2023'!$D$4:$D$1074,$B84,'октябрь 2023'!$J$4:$J$1074,N$1)</f>
        <v>0</v>
      </c>
      <c r="O84" s="207">
        <f>SUMIFS('октябрь 2023'!$G$4:$G$1074,'октябрь 2023'!$D$4:$D$1074,$B84,'октябрь 2023'!$J$4:$J$1074,O$1)</f>
        <v>0</v>
      </c>
      <c r="P84" s="207">
        <f>SUMIFS('октябрь 2023'!$G$4:$G$1074,'октябрь 2023'!$D$4:$D$1074,$B84,'октябрь 2023'!$J$4:$J$1074,P$1)</f>
        <v>0</v>
      </c>
      <c r="Q84" s="207">
        <f>SUMIFS('октябрь 2023'!$G$4:$G$1074,'октябрь 2023'!$D$4:$D$1074,$B84,'октябрь 2023'!$J$4:$J$1074,Q$1)</f>
        <v>0</v>
      </c>
      <c r="R84" s="207">
        <f>SUMIFS('октябрь 2023'!$G$4:$G$1074,'октябрь 2023'!$D$4:$D$1074,$B84,'октябрь 2023'!$J$4:$J$1074,R$1)</f>
        <v>0</v>
      </c>
      <c r="S84" s="207">
        <f>SUMIFS('октябрь 2023'!$G$4:$G$1074,'октябрь 2023'!$D$4:$D$1074,$B84,'октябрь 2023'!$J$4:$J$1074,S$1)</f>
        <v>0</v>
      </c>
      <c r="T84" s="207">
        <f>SUMIFS('октябрь 2023'!$G$4:$G$1074,'октябрь 2023'!$D$4:$D$1074,$B84,'октябрь 2023'!$J$4:$J$1074,T$1)</f>
        <v>0</v>
      </c>
      <c r="U84" s="207">
        <f>SUMIFS('октябрь 2023'!$G$4:$G$1074,'октябрь 2023'!$D$4:$D$1074,$B84,'октябрь 2023'!$J$4:$J$1074,U$1)</f>
        <v>0</v>
      </c>
      <c r="V84" s="207">
        <f>SUMIFS('октябрь 2023'!$G$4:$G$1074,'октябрь 2023'!$D$4:$D$1074,$B84,'октябрь 2023'!$J$4:$J$1074,V$1)</f>
        <v>0</v>
      </c>
      <c r="W84" s="207">
        <f>SUMIFS('октябрь 2023'!$G$4:$G$1074,'октябрь 2023'!$D$4:$D$1074,$B84,'октябрь 2023'!$J$4:$J$1074,W$1)</f>
        <v>0</v>
      </c>
      <c r="X84" s="207">
        <f>SUMIFS('октябрь 2023'!$G$4:$G$1074,'октябрь 2023'!$D$4:$D$1074,$B84,'октябрь 2023'!$J$4:$J$1074,X$1)</f>
        <v>0</v>
      </c>
      <c r="Y84" s="207">
        <f>SUMIFS('октябрь 2023'!$G$4:$G$1074,'октябрь 2023'!$D$4:$D$1074,$B84,'октябрь 2023'!$J$4:$J$1074,Y$1)</f>
        <v>0</v>
      </c>
      <c r="Z84" s="207">
        <f>SUMIFS('октябрь 2023'!$G$4:$G$1074,'октябрь 2023'!$D$4:$D$1074,$B84,'октябрь 2023'!$J$4:$J$1074,Z$1)</f>
        <v>0</v>
      </c>
      <c r="AA84" s="207">
        <f>SUMIFS('октябрь 2023'!$G$4:$G$1074,'октябрь 2023'!$D$4:$D$1074,$B84,'октябрь 2023'!$J$4:$J$1074,AA$1)</f>
        <v>0</v>
      </c>
      <c r="AB84" s="207">
        <f>SUMIFS('октябрь 2023'!$G$4:$G$1074,'октябрь 2023'!$D$4:$D$1074,$B84,'октябрь 2023'!$J$4:$J$1074,AB$1)</f>
        <v>0</v>
      </c>
      <c r="AC84" s="207">
        <f>SUMIFS('октябрь 2023'!$G$4:$G$1074,'октябрь 2023'!$D$4:$D$1074,$B84,'октябрь 2023'!$J$4:$J$1074,AC$1)</f>
        <v>0</v>
      </c>
      <c r="AD84" s="207">
        <f>SUMIFS('октябрь 2023'!$G$4:$G$1074,'октябрь 2023'!$D$4:$D$1074,$B84,'октябрь 2023'!$J$4:$J$1074,AD$1)</f>
        <v>0</v>
      </c>
      <c r="AE84" s="207">
        <f>SUMIFS('октябрь 2023'!$G$4:$G$1074,'октябрь 2023'!$D$4:$D$1074,$B84,'октябрь 2023'!$J$4:$J$1074,AE$1)</f>
        <v>0</v>
      </c>
      <c r="AF84" s="207">
        <f>SUMIFS('октябрь 2023'!$G$4:$G$1074,'октябрь 2023'!$D$4:$D$1074,$B84,'октябрь 2023'!$J$4:$J$1074,AF$1)</f>
        <v>0</v>
      </c>
      <c r="AG84" s="207">
        <f>SUMIFS('октябрь 2023'!$G$4:$G$1074,'октябрь 2023'!$D$4:$D$1074,$B84,'октябрь 2023'!$J$4:$J$1074,AG$1)</f>
        <v>0</v>
      </c>
      <c r="AH84" s="207">
        <f>SUMIFS('октябрь 2023'!$G$4:$G$1074,'октябрь 2023'!$D$4:$D$1074,$B84,'октябрь 2023'!$J$4:$J$1074,AH$1)</f>
        <v>0</v>
      </c>
      <c r="AI84" s="170">
        <f t="shared" si="2"/>
        <v>0</v>
      </c>
    </row>
    <row r="85" spans="2:35" ht="15" customHeight="1" x14ac:dyDescent="0.25">
      <c r="B85" s="216" t="s">
        <v>365</v>
      </c>
      <c r="C85" s="213">
        <v>185</v>
      </c>
      <c r="D85" s="207">
        <f>SUMIFS('октябрь 2023'!$G$4:$G$1074,'октябрь 2023'!$D$4:$D$1074,$B85,'октябрь 2023'!$J$4:$J$1074,D$1)</f>
        <v>0</v>
      </c>
      <c r="E85" s="207">
        <f>SUMIFS('октябрь 2023'!$G$4:$G$1074,'октябрь 2023'!$D$4:$D$1074,$B85,'октябрь 2023'!$J$4:$J$1074,E$1)</f>
        <v>0</v>
      </c>
      <c r="F85" s="207">
        <f>SUMIFS('октябрь 2023'!$G$4:$G$1074,'октябрь 2023'!$D$4:$D$1074,$B85,'октябрь 2023'!$J$4:$J$1074,F$1)</f>
        <v>0</v>
      </c>
      <c r="G85" s="207">
        <f>SUMIFS('октябрь 2023'!$G$4:$G$1074,'октябрь 2023'!$D$4:$D$1074,$B85,'октябрь 2023'!$J$4:$J$1074,G$1)</f>
        <v>0</v>
      </c>
      <c r="H85" s="207">
        <f>SUMIFS('октябрь 2023'!$G$4:$G$1074,'октябрь 2023'!$D$4:$D$1074,$B85,'октябрь 2023'!$J$4:$J$1074,H$1)</f>
        <v>88</v>
      </c>
      <c r="I85" s="207">
        <f>SUMIFS('октябрь 2023'!$G$4:$G$1074,'октябрь 2023'!$D$4:$D$1074,$B85,'октябрь 2023'!$J$4:$J$1074,I$1)</f>
        <v>0</v>
      </c>
      <c r="J85" s="207">
        <f>SUMIFS('октябрь 2023'!$G$4:$G$1074,'октябрь 2023'!$D$4:$D$1074,$B85,'октябрь 2023'!$J$4:$J$1074,J$1)</f>
        <v>0</v>
      </c>
      <c r="K85" s="207">
        <f>SUMIFS('октябрь 2023'!$G$4:$G$1074,'октябрь 2023'!$D$4:$D$1074,$B85,'октябрь 2023'!$J$4:$J$1074,K$1)</f>
        <v>0</v>
      </c>
      <c r="L85" s="207">
        <f>SUMIFS('октябрь 2023'!$G$4:$G$1074,'октябрь 2023'!$D$4:$D$1074,$B85,'октябрь 2023'!$J$4:$J$1074,L$1)</f>
        <v>0</v>
      </c>
      <c r="M85" s="207">
        <f>SUMIFS('октябрь 2023'!$G$4:$G$1074,'октябрь 2023'!$D$4:$D$1074,$B85,'октябрь 2023'!$J$4:$J$1074,M$1)</f>
        <v>0</v>
      </c>
      <c r="N85" s="207">
        <f>SUMIFS('октябрь 2023'!$G$4:$G$1074,'октябрь 2023'!$D$4:$D$1074,$B85,'октябрь 2023'!$J$4:$J$1074,N$1)</f>
        <v>0</v>
      </c>
      <c r="O85" s="207">
        <f>SUMIFS('октябрь 2023'!$G$4:$G$1074,'октябрь 2023'!$D$4:$D$1074,$B85,'октябрь 2023'!$J$4:$J$1074,O$1)</f>
        <v>0</v>
      </c>
      <c r="P85" s="207">
        <f>SUMIFS('октябрь 2023'!$G$4:$G$1074,'октябрь 2023'!$D$4:$D$1074,$B85,'октябрь 2023'!$J$4:$J$1074,P$1)</f>
        <v>0</v>
      </c>
      <c r="Q85" s="207">
        <f>SUMIFS('октябрь 2023'!$G$4:$G$1074,'октябрь 2023'!$D$4:$D$1074,$B85,'октябрь 2023'!$J$4:$J$1074,Q$1)</f>
        <v>0</v>
      </c>
      <c r="R85" s="207">
        <f>SUMIFS('октябрь 2023'!$G$4:$G$1074,'октябрь 2023'!$D$4:$D$1074,$B85,'октябрь 2023'!$J$4:$J$1074,R$1)</f>
        <v>0</v>
      </c>
      <c r="S85" s="207">
        <f>SUMIFS('октябрь 2023'!$G$4:$G$1074,'октябрь 2023'!$D$4:$D$1074,$B85,'октябрь 2023'!$J$4:$J$1074,S$1)</f>
        <v>0</v>
      </c>
      <c r="T85" s="207">
        <f>SUMIFS('октябрь 2023'!$G$4:$G$1074,'октябрь 2023'!$D$4:$D$1074,$B85,'октябрь 2023'!$J$4:$J$1074,T$1)</f>
        <v>0</v>
      </c>
      <c r="U85" s="207">
        <f>SUMIFS('октябрь 2023'!$G$4:$G$1074,'октябрь 2023'!$D$4:$D$1074,$B85,'октябрь 2023'!$J$4:$J$1074,U$1)</f>
        <v>0</v>
      </c>
      <c r="V85" s="207">
        <f>SUMIFS('октябрь 2023'!$G$4:$G$1074,'октябрь 2023'!$D$4:$D$1074,$B85,'октябрь 2023'!$J$4:$J$1074,V$1)</f>
        <v>0</v>
      </c>
      <c r="W85" s="207">
        <f>SUMIFS('октябрь 2023'!$G$4:$G$1074,'октябрь 2023'!$D$4:$D$1074,$B85,'октябрь 2023'!$J$4:$J$1074,W$1)</f>
        <v>0</v>
      </c>
      <c r="X85" s="207">
        <f>SUMIFS('октябрь 2023'!$G$4:$G$1074,'октябрь 2023'!$D$4:$D$1074,$B85,'октябрь 2023'!$J$4:$J$1074,X$1)</f>
        <v>0</v>
      </c>
      <c r="Y85" s="207">
        <f>SUMIFS('октябрь 2023'!$G$4:$G$1074,'октябрь 2023'!$D$4:$D$1074,$B85,'октябрь 2023'!$J$4:$J$1074,Y$1)</f>
        <v>0</v>
      </c>
      <c r="Z85" s="207">
        <f>SUMIFS('октябрь 2023'!$G$4:$G$1074,'октябрь 2023'!$D$4:$D$1074,$B85,'октябрь 2023'!$J$4:$J$1074,Z$1)</f>
        <v>0</v>
      </c>
      <c r="AA85" s="207">
        <f>SUMIFS('октябрь 2023'!$G$4:$G$1074,'октябрь 2023'!$D$4:$D$1074,$B85,'октябрь 2023'!$J$4:$J$1074,AA$1)</f>
        <v>0</v>
      </c>
      <c r="AB85" s="207">
        <f>SUMIFS('октябрь 2023'!$G$4:$G$1074,'октябрь 2023'!$D$4:$D$1074,$B85,'октябрь 2023'!$J$4:$J$1074,AB$1)</f>
        <v>0</v>
      </c>
      <c r="AC85" s="207">
        <f>SUMIFS('октябрь 2023'!$G$4:$G$1074,'октябрь 2023'!$D$4:$D$1074,$B85,'октябрь 2023'!$J$4:$J$1074,AC$1)</f>
        <v>0</v>
      </c>
      <c r="AD85" s="207">
        <f>SUMIFS('октябрь 2023'!$G$4:$G$1074,'октябрь 2023'!$D$4:$D$1074,$B85,'октябрь 2023'!$J$4:$J$1074,AD$1)</f>
        <v>0</v>
      </c>
      <c r="AE85" s="207">
        <f>SUMIFS('октябрь 2023'!$G$4:$G$1074,'октябрь 2023'!$D$4:$D$1074,$B85,'октябрь 2023'!$J$4:$J$1074,AE$1)</f>
        <v>0</v>
      </c>
      <c r="AF85" s="207">
        <f>SUMIFS('октябрь 2023'!$G$4:$G$1074,'октябрь 2023'!$D$4:$D$1074,$B85,'октябрь 2023'!$J$4:$J$1074,AF$1)</f>
        <v>0</v>
      </c>
      <c r="AG85" s="207">
        <f>SUMIFS('октябрь 2023'!$G$4:$G$1074,'октябрь 2023'!$D$4:$D$1074,$B85,'октябрь 2023'!$J$4:$J$1074,AG$1)</f>
        <v>0</v>
      </c>
      <c r="AH85" s="207">
        <f>SUMIFS('октябрь 2023'!$G$4:$G$1074,'октябрь 2023'!$D$4:$D$1074,$B85,'октябрь 2023'!$J$4:$J$1074,AH$1)</f>
        <v>0</v>
      </c>
      <c r="AI85" s="170">
        <f t="shared" si="2"/>
        <v>88</v>
      </c>
    </row>
    <row r="86" spans="2:35" ht="15" customHeight="1" x14ac:dyDescent="0.25">
      <c r="B86" s="212" t="s">
        <v>2189</v>
      </c>
      <c r="C86" s="211">
        <v>180</v>
      </c>
      <c r="D86" s="207">
        <f>SUMIFS('октябрь 2023'!$G$4:$G$1074,'октябрь 2023'!$D$4:$D$1074,$B86,'октябрь 2023'!$J$4:$J$1074,D$1)</f>
        <v>0</v>
      </c>
      <c r="E86" s="207">
        <f>SUMIFS('октябрь 2023'!$G$4:$G$1074,'октябрь 2023'!$D$4:$D$1074,$B86,'октябрь 2023'!$J$4:$J$1074,E$1)</f>
        <v>0</v>
      </c>
      <c r="F86" s="207">
        <f>SUMIFS('октябрь 2023'!$G$4:$G$1074,'октябрь 2023'!$D$4:$D$1074,$B86,'октябрь 2023'!$J$4:$J$1074,F$1)</f>
        <v>0</v>
      </c>
      <c r="G86" s="207">
        <f>SUMIFS('октябрь 2023'!$G$4:$G$1074,'октябрь 2023'!$D$4:$D$1074,$B86,'октябрь 2023'!$J$4:$J$1074,G$1)</f>
        <v>0</v>
      </c>
      <c r="H86" s="207">
        <f>SUMIFS('октябрь 2023'!$G$4:$G$1074,'октябрь 2023'!$D$4:$D$1074,$B86,'октябрь 2023'!$J$4:$J$1074,H$1)</f>
        <v>0</v>
      </c>
      <c r="I86" s="207">
        <f>SUMIFS('октябрь 2023'!$G$4:$G$1074,'октябрь 2023'!$D$4:$D$1074,$B86,'октябрь 2023'!$J$4:$J$1074,I$1)</f>
        <v>0</v>
      </c>
      <c r="J86" s="207">
        <f>SUMIFS('октябрь 2023'!$G$4:$G$1074,'октябрь 2023'!$D$4:$D$1074,$B86,'октябрь 2023'!$J$4:$J$1074,J$1)</f>
        <v>0</v>
      </c>
      <c r="K86" s="207">
        <f>SUMIFS('октябрь 2023'!$G$4:$G$1074,'октябрь 2023'!$D$4:$D$1074,$B86,'октябрь 2023'!$J$4:$J$1074,K$1)</f>
        <v>0</v>
      </c>
      <c r="L86" s="207">
        <f>SUMIFS('октябрь 2023'!$G$4:$G$1074,'октябрь 2023'!$D$4:$D$1074,$B86,'октябрь 2023'!$J$4:$J$1074,L$1)</f>
        <v>0</v>
      </c>
      <c r="M86" s="207">
        <f>SUMIFS('октябрь 2023'!$G$4:$G$1074,'октябрь 2023'!$D$4:$D$1074,$B86,'октябрь 2023'!$J$4:$J$1074,M$1)</f>
        <v>0</v>
      </c>
      <c r="N86" s="207">
        <f>SUMIFS('октябрь 2023'!$G$4:$G$1074,'октябрь 2023'!$D$4:$D$1074,$B86,'октябрь 2023'!$J$4:$J$1074,N$1)</f>
        <v>0</v>
      </c>
      <c r="O86" s="207">
        <f>SUMIFS('октябрь 2023'!$G$4:$G$1074,'октябрь 2023'!$D$4:$D$1074,$B86,'октябрь 2023'!$J$4:$J$1074,O$1)</f>
        <v>0</v>
      </c>
      <c r="P86" s="207">
        <f>SUMIFS('октябрь 2023'!$G$4:$G$1074,'октябрь 2023'!$D$4:$D$1074,$B86,'октябрь 2023'!$J$4:$J$1074,P$1)</f>
        <v>0</v>
      </c>
      <c r="Q86" s="207">
        <f>SUMIFS('октябрь 2023'!$G$4:$G$1074,'октябрь 2023'!$D$4:$D$1074,$B86,'октябрь 2023'!$J$4:$J$1074,Q$1)</f>
        <v>0</v>
      </c>
      <c r="R86" s="207">
        <f>SUMIFS('октябрь 2023'!$G$4:$G$1074,'октябрь 2023'!$D$4:$D$1074,$B86,'октябрь 2023'!$J$4:$J$1074,R$1)</f>
        <v>0</v>
      </c>
      <c r="S86" s="207">
        <f>SUMIFS('октябрь 2023'!$G$4:$G$1074,'октябрь 2023'!$D$4:$D$1074,$B86,'октябрь 2023'!$J$4:$J$1074,S$1)</f>
        <v>0</v>
      </c>
      <c r="T86" s="207">
        <f>SUMIFS('октябрь 2023'!$G$4:$G$1074,'октябрь 2023'!$D$4:$D$1074,$B86,'октябрь 2023'!$J$4:$J$1074,T$1)</f>
        <v>0</v>
      </c>
      <c r="U86" s="207">
        <f>SUMIFS('октябрь 2023'!$G$4:$G$1074,'октябрь 2023'!$D$4:$D$1074,$B86,'октябрь 2023'!$J$4:$J$1074,U$1)</f>
        <v>0</v>
      </c>
      <c r="V86" s="207">
        <f>SUMIFS('октябрь 2023'!$G$4:$G$1074,'октябрь 2023'!$D$4:$D$1074,$B86,'октябрь 2023'!$J$4:$J$1074,V$1)</f>
        <v>0</v>
      </c>
      <c r="W86" s="207">
        <f>SUMIFS('октябрь 2023'!$G$4:$G$1074,'октябрь 2023'!$D$4:$D$1074,$B86,'октябрь 2023'!$J$4:$J$1074,W$1)</f>
        <v>0</v>
      </c>
      <c r="X86" s="207">
        <f>SUMIFS('октябрь 2023'!$G$4:$G$1074,'октябрь 2023'!$D$4:$D$1074,$B86,'октябрь 2023'!$J$4:$J$1074,X$1)</f>
        <v>0</v>
      </c>
      <c r="Y86" s="207">
        <f>SUMIFS('октябрь 2023'!$G$4:$G$1074,'октябрь 2023'!$D$4:$D$1074,$B86,'октябрь 2023'!$J$4:$J$1074,Y$1)</f>
        <v>0</v>
      </c>
      <c r="Z86" s="207">
        <f>SUMIFS('октябрь 2023'!$G$4:$G$1074,'октябрь 2023'!$D$4:$D$1074,$B86,'октябрь 2023'!$J$4:$J$1074,Z$1)</f>
        <v>0</v>
      </c>
      <c r="AA86" s="207">
        <f>SUMIFS('октябрь 2023'!$G$4:$G$1074,'октябрь 2023'!$D$4:$D$1074,$B86,'октябрь 2023'!$J$4:$J$1074,AA$1)</f>
        <v>0</v>
      </c>
      <c r="AB86" s="207">
        <f>SUMIFS('октябрь 2023'!$G$4:$G$1074,'октябрь 2023'!$D$4:$D$1074,$B86,'октябрь 2023'!$J$4:$J$1074,AB$1)</f>
        <v>0</v>
      </c>
      <c r="AC86" s="207">
        <f>SUMIFS('октябрь 2023'!$G$4:$G$1074,'октябрь 2023'!$D$4:$D$1074,$B86,'октябрь 2023'!$J$4:$J$1074,AC$1)</f>
        <v>0</v>
      </c>
      <c r="AD86" s="207">
        <f>SUMIFS('октябрь 2023'!$G$4:$G$1074,'октябрь 2023'!$D$4:$D$1074,$B86,'октябрь 2023'!$J$4:$J$1074,AD$1)</f>
        <v>0</v>
      </c>
      <c r="AE86" s="207">
        <f>SUMIFS('октябрь 2023'!$G$4:$G$1074,'октябрь 2023'!$D$4:$D$1074,$B86,'октябрь 2023'!$J$4:$J$1074,AE$1)</f>
        <v>0</v>
      </c>
      <c r="AF86" s="207">
        <f>SUMIFS('октябрь 2023'!$G$4:$G$1074,'октябрь 2023'!$D$4:$D$1074,$B86,'октябрь 2023'!$J$4:$J$1074,AF$1)</f>
        <v>0</v>
      </c>
      <c r="AG86" s="207">
        <f>SUMIFS('октябрь 2023'!$G$4:$G$1074,'октябрь 2023'!$D$4:$D$1074,$B86,'октябрь 2023'!$J$4:$J$1074,AG$1)</f>
        <v>0</v>
      </c>
      <c r="AH86" s="207">
        <f>SUMIFS('октябрь 2023'!$G$4:$G$1074,'октябрь 2023'!$D$4:$D$1074,$B86,'октябрь 2023'!$J$4:$J$1074,AH$1)</f>
        <v>0</v>
      </c>
      <c r="AI86" s="170">
        <f t="shared" si="2"/>
        <v>0</v>
      </c>
    </row>
    <row r="87" spans="2:35" ht="15" customHeight="1" x14ac:dyDescent="0.25">
      <c r="B87" s="217" t="s">
        <v>857</v>
      </c>
      <c r="C87" s="213">
        <v>185</v>
      </c>
      <c r="D87" s="207">
        <f>SUMIFS('октябрь 2023'!$G$4:$G$1074,'октябрь 2023'!$D$4:$D$1074,$B87,'октябрь 2023'!$J$4:$J$1074,D$1)</f>
        <v>0</v>
      </c>
      <c r="E87" s="207">
        <f>SUMIFS('октябрь 2023'!$G$4:$G$1074,'октябрь 2023'!$D$4:$D$1074,$B87,'октябрь 2023'!$J$4:$J$1074,E$1)</f>
        <v>0</v>
      </c>
      <c r="F87" s="207">
        <f>SUMIFS('октябрь 2023'!$G$4:$G$1074,'октябрь 2023'!$D$4:$D$1074,$B87,'октябрь 2023'!$J$4:$J$1074,F$1)</f>
        <v>0</v>
      </c>
      <c r="G87" s="207">
        <f>SUMIFS('октябрь 2023'!$G$4:$G$1074,'октябрь 2023'!$D$4:$D$1074,$B87,'октябрь 2023'!$J$4:$J$1074,G$1)</f>
        <v>0</v>
      </c>
      <c r="H87" s="207">
        <f>SUMIFS('октябрь 2023'!$G$4:$G$1074,'октябрь 2023'!$D$4:$D$1074,$B87,'октябрь 2023'!$J$4:$J$1074,H$1)</f>
        <v>0</v>
      </c>
      <c r="I87" s="207">
        <f>SUMIFS('октябрь 2023'!$G$4:$G$1074,'октябрь 2023'!$D$4:$D$1074,$B87,'октябрь 2023'!$J$4:$J$1074,I$1)</f>
        <v>0</v>
      </c>
      <c r="J87" s="207">
        <f>SUMIFS('октябрь 2023'!$G$4:$G$1074,'октябрь 2023'!$D$4:$D$1074,$B87,'октябрь 2023'!$J$4:$J$1074,J$1)</f>
        <v>0</v>
      </c>
      <c r="K87" s="207">
        <f>SUMIFS('октябрь 2023'!$G$4:$G$1074,'октябрь 2023'!$D$4:$D$1074,$B87,'октябрь 2023'!$J$4:$J$1074,K$1)</f>
        <v>0</v>
      </c>
      <c r="L87" s="207">
        <f>SUMIFS('октябрь 2023'!$G$4:$G$1074,'октябрь 2023'!$D$4:$D$1074,$B87,'октябрь 2023'!$J$4:$J$1074,L$1)</f>
        <v>0</v>
      </c>
      <c r="M87" s="207">
        <f>SUMIFS('октябрь 2023'!$G$4:$G$1074,'октябрь 2023'!$D$4:$D$1074,$B87,'октябрь 2023'!$J$4:$J$1074,M$1)</f>
        <v>0</v>
      </c>
      <c r="N87" s="207">
        <f>SUMIFS('октябрь 2023'!$G$4:$G$1074,'октябрь 2023'!$D$4:$D$1074,$B87,'октябрь 2023'!$J$4:$J$1074,N$1)</f>
        <v>0</v>
      </c>
      <c r="O87" s="207">
        <f>SUMIFS('октябрь 2023'!$G$4:$G$1074,'октябрь 2023'!$D$4:$D$1074,$B87,'октябрь 2023'!$J$4:$J$1074,O$1)</f>
        <v>0</v>
      </c>
      <c r="P87" s="207">
        <f>SUMIFS('октябрь 2023'!$G$4:$G$1074,'октябрь 2023'!$D$4:$D$1074,$B87,'октябрь 2023'!$J$4:$J$1074,P$1)</f>
        <v>0</v>
      </c>
      <c r="Q87" s="207">
        <f>SUMIFS('октябрь 2023'!$G$4:$G$1074,'октябрь 2023'!$D$4:$D$1074,$B87,'октябрь 2023'!$J$4:$J$1074,Q$1)</f>
        <v>0</v>
      </c>
      <c r="R87" s="207">
        <f>SUMIFS('октябрь 2023'!$G$4:$G$1074,'октябрь 2023'!$D$4:$D$1074,$B87,'октябрь 2023'!$J$4:$J$1074,R$1)</f>
        <v>0</v>
      </c>
      <c r="S87" s="207">
        <f>SUMIFS('октябрь 2023'!$G$4:$G$1074,'октябрь 2023'!$D$4:$D$1074,$B87,'октябрь 2023'!$J$4:$J$1074,S$1)</f>
        <v>0</v>
      </c>
      <c r="T87" s="207">
        <f>SUMIFS('октябрь 2023'!$G$4:$G$1074,'октябрь 2023'!$D$4:$D$1074,$B87,'октябрь 2023'!$J$4:$J$1074,T$1)</f>
        <v>0</v>
      </c>
      <c r="U87" s="207">
        <f>SUMIFS('октябрь 2023'!$G$4:$G$1074,'октябрь 2023'!$D$4:$D$1074,$B87,'октябрь 2023'!$J$4:$J$1074,U$1)</f>
        <v>0</v>
      </c>
      <c r="V87" s="207">
        <f>SUMIFS('октябрь 2023'!$G$4:$G$1074,'октябрь 2023'!$D$4:$D$1074,$B87,'октябрь 2023'!$J$4:$J$1074,V$1)</f>
        <v>0</v>
      </c>
      <c r="W87" s="207">
        <f>SUMIFS('октябрь 2023'!$G$4:$G$1074,'октябрь 2023'!$D$4:$D$1074,$B87,'октябрь 2023'!$J$4:$J$1074,W$1)</f>
        <v>0</v>
      </c>
      <c r="X87" s="207">
        <f>SUMIFS('октябрь 2023'!$G$4:$G$1074,'октябрь 2023'!$D$4:$D$1074,$B87,'октябрь 2023'!$J$4:$J$1074,X$1)</f>
        <v>0</v>
      </c>
      <c r="Y87" s="207">
        <f>SUMIFS('октябрь 2023'!$G$4:$G$1074,'октябрь 2023'!$D$4:$D$1074,$B87,'октябрь 2023'!$J$4:$J$1074,Y$1)</f>
        <v>0</v>
      </c>
      <c r="Z87" s="207">
        <f>SUMIFS('октябрь 2023'!$G$4:$G$1074,'октябрь 2023'!$D$4:$D$1074,$B87,'октябрь 2023'!$J$4:$J$1074,Z$1)</f>
        <v>0</v>
      </c>
      <c r="AA87" s="207">
        <f>SUMIFS('октябрь 2023'!$G$4:$G$1074,'октябрь 2023'!$D$4:$D$1074,$B87,'октябрь 2023'!$J$4:$J$1074,AA$1)</f>
        <v>0</v>
      </c>
      <c r="AB87" s="207">
        <f>SUMIFS('октябрь 2023'!$G$4:$G$1074,'октябрь 2023'!$D$4:$D$1074,$B87,'октябрь 2023'!$J$4:$J$1074,AB$1)</f>
        <v>0</v>
      </c>
      <c r="AC87" s="207">
        <f>SUMIFS('октябрь 2023'!$G$4:$G$1074,'октябрь 2023'!$D$4:$D$1074,$B87,'октябрь 2023'!$J$4:$J$1074,AC$1)</f>
        <v>0</v>
      </c>
      <c r="AD87" s="207">
        <f>SUMIFS('октябрь 2023'!$G$4:$G$1074,'октябрь 2023'!$D$4:$D$1074,$B87,'октябрь 2023'!$J$4:$J$1074,AD$1)</f>
        <v>0</v>
      </c>
      <c r="AE87" s="207">
        <f>SUMIFS('октябрь 2023'!$G$4:$G$1074,'октябрь 2023'!$D$4:$D$1074,$B87,'октябрь 2023'!$J$4:$J$1074,AE$1)</f>
        <v>0</v>
      </c>
      <c r="AF87" s="207">
        <f>SUMIFS('октябрь 2023'!$G$4:$G$1074,'октябрь 2023'!$D$4:$D$1074,$B87,'октябрь 2023'!$J$4:$J$1074,AF$1)</f>
        <v>0</v>
      </c>
      <c r="AG87" s="207">
        <f>SUMIFS('октябрь 2023'!$G$4:$G$1074,'октябрь 2023'!$D$4:$D$1074,$B87,'октябрь 2023'!$J$4:$J$1074,AG$1)</f>
        <v>0</v>
      </c>
      <c r="AH87" s="207">
        <f>SUMIFS('октябрь 2023'!$G$4:$G$1074,'октябрь 2023'!$D$4:$D$1074,$B87,'октябрь 2023'!$J$4:$J$1074,AH$1)</f>
        <v>0</v>
      </c>
      <c r="AI87" s="170">
        <f t="shared" si="2"/>
        <v>0</v>
      </c>
    </row>
    <row r="88" spans="2:35" ht="15" customHeight="1" x14ac:dyDescent="0.25">
      <c r="B88" s="212" t="s">
        <v>2190</v>
      </c>
      <c r="C88" s="213">
        <v>180</v>
      </c>
      <c r="D88" s="207">
        <f>SUMIFS('октябрь 2023'!$G$4:$G$1074,'октябрь 2023'!$D$4:$D$1074,$B88,'октябрь 2023'!$J$4:$J$1074,D$1)</f>
        <v>0</v>
      </c>
      <c r="E88" s="207">
        <f>SUMIFS('октябрь 2023'!$G$4:$G$1074,'октябрь 2023'!$D$4:$D$1074,$B88,'октябрь 2023'!$J$4:$J$1074,E$1)</f>
        <v>0</v>
      </c>
      <c r="F88" s="207">
        <f>SUMIFS('октябрь 2023'!$G$4:$G$1074,'октябрь 2023'!$D$4:$D$1074,$B88,'октябрь 2023'!$J$4:$J$1074,F$1)</f>
        <v>0</v>
      </c>
      <c r="G88" s="207">
        <f>SUMIFS('октябрь 2023'!$G$4:$G$1074,'октябрь 2023'!$D$4:$D$1074,$B88,'октябрь 2023'!$J$4:$J$1074,G$1)</f>
        <v>0</v>
      </c>
      <c r="H88" s="207">
        <f>SUMIFS('октябрь 2023'!$G$4:$G$1074,'октябрь 2023'!$D$4:$D$1074,$B88,'октябрь 2023'!$J$4:$J$1074,H$1)</f>
        <v>0</v>
      </c>
      <c r="I88" s="207">
        <f>SUMIFS('октябрь 2023'!$G$4:$G$1074,'октябрь 2023'!$D$4:$D$1074,$B88,'октябрь 2023'!$J$4:$J$1074,I$1)</f>
        <v>0</v>
      </c>
      <c r="J88" s="207">
        <f>SUMIFS('октябрь 2023'!$G$4:$G$1074,'октябрь 2023'!$D$4:$D$1074,$B88,'октябрь 2023'!$J$4:$J$1074,J$1)</f>
        <v>0</v>
      </c>
      <c r="K88" s="207">
        <f>SUMIFS('октябрь 2023'!$G$4:$G$1074,'октябрь 2023'!$D$4:$D$1074,$B88,'октябрь 2023'!$J$4:$J$1074,K$1)</f>
        <v>0</v>
      </c>
      <c r="L88" s="207">
        <f>SUMIFS('октябрь 2023'!$G$4:$G$1074,'октябрь 2023'!$D$4:$D$1074,$B88,'октябрь 2023'!$J$4:$J$1074,L$1)</f>
        <v>0</v>
      </c>
      <c r="M88" s="207">
        <f>SUMIFS('октябрь 2023'!$G$4:$G$1074,'октябрь 2023'!$D$4:$D$1074,$B88,'октябрь 2023'!$J$4:$J$1074,M$1)</f>
        <v>0</v>
      </c>
      <c r="N88" s="207">
        <f>SUMIFS('октябрь 2023'!$G$4:$G$1074,'октябрь 2023'!$D$4:$D$1074,$B88,'октябрь 2023'!$J$4:$J$1074,N$1)</f>
        <v>0</v>
      </c>
      <c r="O88" s="207">
        <f>SUMIFS('октябрь 2023'!$G$4:$G$1074,'октябрь 2023'!$D$4:$D$1074,$B88,'октябрь 2023'!$J$4:$J$1074,O$1)</f>
        <v>0</v>
      </c>
      <c r="P88" s="207">
        <f>SUMIFS('октябрь 2023'!$G$4:$G$1074,'октябрь 2023'!$D$4:$D$1074,$B88,'октябрь 2023'!$J$4:$J$1074,P$1)</f>
        <v>0</v>
      </c>
      <c r="Q88" s="207">
        <f>SUMIFS('октябрь 2023'!$G$4:$G$1074,'октябрь 2023'!$D$4:$D$1074,$B88,'октябрь 2023'!$J$4:$J$1074,Q$1)</f>
        <v>0</v>
      </c>
      <c r="R88" s="207">
        <f>SUMIFS('октябрь 2023'!$G$4:$G$1074,'октябрь 2023'!$D$4:$D$1074,$B88,'октябрь 2023'!$J$4:$J$1074,R$1)</f>
        <v>0</v>
      </c>
      <c r="S88" s="207">
        <f>SUMIFS('октябрь 2023'!$G$4:$G$1074,'октябрь 2023'!$D$4:$D$1074,$B88,'октябрь 2023'!$J$4:$J$1074,S$1)</f>
        <v>0</v>
      </c>
      <c r="T88" s="207">
        <f>SUMIFS('октябрь 2023'!$G$4:$G$1074,'октябрь 2023'!$D$4:$D$1074,$B88,'октябрь 2023'!$J$4:$J$1074,T$1)</f>
        <v>0</v>
      </c>
      <c r="U88" s="207">
        <f>SUMIFS('октябрь 2023'!$G$4:$G$1074,'октябрь 2023'!$D$4:$D$1074,$B88,'октябрь 2023'!$J$4:$J$1074,U$1)</f>
        <v>0</v>
      </c>
      <c r="V88" s="207">
        <f>SUMIFS('октябрь 2023'!$G$4:$G$1074,'октябрь 2023'!$D$4:$D$1074,$B88,'октябрь 2023'!$J$4:$J$1074,V$1)</f>
        <v>0</v>
      </c>
      <c r="W88" s="207">
        <f>SUMIFS('октябрь 2023'!$G$4:$G$1074,'октябрь 2023'!$D$4:$D$1074,$B88,'октябрь 2023'!$J$4:$J$1074,W$1)</f>
        <v>0</v>
      </c>
      <c r="X88" s="207">
        <f>SUMIFS('октябрь 2023'!$G$4:$G$1074,'октябрь 2023'!$D$4:$D$1074,$B88,'октябрь 2023'!$J$4:$J$1074,X$1)</f>
        <v>0</v>
      </c>
      <c r="Y88" s="207">
        <f>SUMIFS('октябрь 2023'!$G$4:$G$1074,'октябрь 2023'!$D$4:$D$1074,$B88,'октябрь 2023'!$J$4:$J$1074,Y$1)</f>
        <v>0</v>
      </c>
      <c r="Z88" s="207">
        <f>SUMIFS('октябрь 2023'!$G$4:$G$1074,'октябрь 2023'!$D$4:$D$1074,$B88,'октябрь 2023'!$J$4:$J$1074,Z$1)</f>
        <v>0</v>
      </c>
      <c r="AA88" s="207">
        <f>SUMIFS('октябрь 2023'!$G$4:$G$1074,'октябрь 2023'!$D$4:$D$1074,$B88,'октябрь 2023'!$J$4:$J$1074,AA$1)</f>
        <v>0</v>
      </c>
      <c r="AB88" s="207">
        <f>SUMIFS('октябрь 2023'!$G$4:$G$1074,'октябрь 2023'!$D$4:$D$1074,$B88,'октябрь 2023'!$J$4:$J$1074,AB$1)</f>
        <v>0</v>
      </c>
      <c r="AC88" s="207">
        <f>SUMIFS('октябрь 2023'!$G$4:$G$1074,'октябрь 2023'!$D$4:$D$1074,$B88,'октябрь 2023'!$J$4:$J$1074,AC$1)</f>
        <v>0</v>
      </c>
      <c r="AD88" s="207">
        <f>SUMIFS('октябрь 2023'!$G$4:$G$1074,'октябрь 2023'!$D$4:$D$1074,$B88,'октябрь 2023'!$J$4:$J$1074,AD$1)</f>
        <v>0</v>
      </c>
      <c r="AE88" s="207">
        <f>SUMIFS('октябрь 2023'!$G$4:$G$1074,'октябрь 2023'!$D$4:$D$1074,$B88,'октябрь 2023'!$J$4:$J$1074,AE$1)</f>
        <v>0</v>
      </c>
      <c r="AF88" s="207">
        <f>SUMIFS('октябрь 2023'!$G$4:$G$1074,'октябрь 2023'!$D$4:$D$1074,$B88,'октябрь 2023'!$J$4:$J$1074,AF$1)</f>
        <v>0</v>
      </c>
      <c r="AG88" s="207">
        <f>SUMIFS('октябрь 2023'!$G$4:$G$1074,'октябрь 2023'!$D$4:$D$1074,$B88,'октябрь 2023'!$J$4:$J$1074,AG$1)</f>
        <v>0</v>
      </c>
      <c r="AH88" s="207">
        <f>SUMIFS('октябрь 2023'!$G$4:$G$1074,'октябрь 2023'!$D$4:$D$1074,$B88,'октябрь 2023'!$J$4:$J$1074,AH$1)</f>
        <v>0</v>
      </c>
      <c r="AI88" s="170">
        <f t="shared" si="2"/>
        <v>0</v>
      </c>
    </row>
    <row r="89" spans="2:35" ht="15" customHeight="1" x14ac:dyDescent="0.25">
      <c r="B89" s="212" t="s">
        <v>371</v>
      </c>
      <c r="C89" s="211">
        <v>200</v>
      </c>
      <c r="D89" s="207">
        <f>SUMIFS('октябрь 2023'!$G$4:$G$1074,'октябрь 2023'!$D$4:$D$1074,$B89,'октябрь 2023'!$J$4:$J$1074,D$1)</f>
        <v>0</v>
      </c>
      <c r="E89" s="207">
        <f>SUMIFS('октябрь 2023'!$G$4:$G$1074,'октябрь 2023'!$D$4:$D$1074,$B89,'октябрь 2023'!$J$4:$J$1074,E$1)</f>
        <v>0</v>
      </c>
      <c r="F89" s="207">
        <f>SUMIFS('октябрь 2023'!$G$4:$G$1074,'октябрь 2023'!$D$4:$D$1074,$B89,'октябрь 2023'!$J$4:$J$1074,F$1)</f>
        <v>0</v>
      </c>
      <c r="G89" s="207">
        <f>SUMIFS('октябрь 2023'!$G$4:$G$1074,'октябрь 2023'!$D$4:$D$1074,$B89,'октябрь 2023'!$J$4:$J$1074,G$1)</f>
        <v>0</v>
      </c>
      <c r="H89" s="207">
        <f>SUMIFS('октябрь 2023'!$G$4:$G$1074,'октябрь 2023'!$D$4:$D$1074,$B89,'октябрь 2023'!$J$4:$J$1074,H$1)</f>
        <v>0</v>
      </c>
      <c r="I89" s="207">
        <f>SUMIFS('октябрь 2023'!$G$4:$G$1074,'октябрь 2023'!$D$4:$D$1074,$B89,'октябрь 2023'!$J$4:$J$1074,I$1)</f>
        <v>0</v>
      </c>
      <c r="J89" s="207">
        <f>SUMIFS('октябрь 2023'!$G$4:$G$1074,'октябрь 2023'!$D$4:$D$1074,$B89,'октябрь 2023'!$J$4:$J$1074,J$1)</f>
        <v>0</v>
      </c>
      <c r="K89" s="207">
        <f>SUMIFS('октябрь 2023'!$G$4:$G$1074,'октябрь 2023'!$D$4:$D$1074,$B89,'октябрь 2023'!$J$4:$J$1074,K$1)</f>
        <v>0</v>
      </c>
      <c r="L89" s="207">
        <f>SUMIFS('октябрь 2023'!$G$4:$G$1074,'октябрь 2023'!$D$4:$D$1074,$B89,'октябрь 2023'!$J$4:$J$1074,L$1)</f>
        <v>0</v>
      </c>
      <c r="M89" s="207">
        <f>SUMIFS('октябрь 2023'!$G$4:$G$1074,'октябрь 2023'!$D$4:$D$1074,$B89,'октябрь 2023'!$J$4:$J$1074,M$1)</f>
        <v>0</v>
      </c>
      <c r="N89" s="207">
        <f>SUMIFS('октябрь 2023'!$G$4:$G$1074,'октябрь 2023'!$D$4:$D$1074,$B89,'октябрь 2023'!$J$4:$J$1074,N$1)</f>
        <v>0</v>
      </c>
      <c r="O89" s="207">
        <f>SUMIFS('октябрь 2023'!$G$4:$G$1074,'октябрь 2023'!$D$4:$D$1074,$B89,'октябрь 2023'!$J$4:$J$1074,O$1)</f>
        <v>0</v>
      </c>
      <c r="P89" s="207">
        <f>SUMIFS('октябрь 2023'!$G$4:$G$1074,'октябрь 2023'!$D$4:$D$1074,$B89,'октябрь 2023'!$J$4:$J$1074,P$1)</f>
        <v>0</v>
      </c>
      <c r="Q89" s="207">
        <f>SUMIFS('октябрь 2023'!$G$4:$G$1074,'октябрь 2023'!$D$4:$D$1074,$B89,'октябрь 2023'!$J$4:$J$1074,Q$1)</f>
        <v>0</v>
      </c>
      <c r="R89" s="207">
        <f>SUMIFS('октябрь 2023'!$G$4:$G$1074,'октябрь 2023'!$D$4:$D$1074,$B89,'октябрь 2023'!$J$4:$J$1074,R$1)</f>
        <v>0</v>
      </c>
      <c r="S89" s="207">
        <f>SUMIFS('октябрь 2023'!$G$4:$G$1074,'октябрь 2023'!$D$4:$D$1074,$B89,'октябрь 2023'!$J$4:$J$1074,S$1)</f>
        <v>0</v>
      </c>
      <c r="T89" s="207">
        <f>SUMIFS('октябрь 2023'!$G$4:$G$1074,'октябрь 2023'!$D$4:$D$1074,$B89,'октябрь 2023'!$J$4:$J$1074,T$1)</f>
        <v>0</v>
      </c>
      <c r="U89" s="207">
        <f>SUMIFS('октябрь 2023'!$G$4:$G$1074,'октябрь 2023'!$D$4:$D$1074,$B89,'октябрь 2023'!$J$4:$J$1074,U$1)</f>
        <v>0</v>
      </c>
      <c r="V89" s="207">
        <f>SUMIFS('октябрь 2023'!$G$4:$G$1074,'октябрь 2023'!$D$4:$D$1074,$B89,'октябрь 2023'!$J$4:$J$1074,V$1)</f>
        <v>0</v>
      </c>
      <c r="W89" s="207">
        <f>SUMIFS('октябрь 2023'!$G$4:$G$1074,'октябрь 2023'!$D$4:$D$1074,$B89,'октябрь 2023'!$J$4:$J$1074,W$1)</f>
        <v>0</v>
      </c>
      <c r="X89" s="207">
        <f>SUMIFS('октябрь 2023'!$G$4:$G$1074,'октябрь 2023'!$D$4:$D$1074,$B89,'октябрь 2023'!$J$4:$J$1074,X$1)</f>
        <v>0</v>
      </c>
      <c r="Y89" s="207">
        <f>SUMIFS('октябрь 2023'!$G$4:$G$1074,'октябрь 2023'!$D$4:$D$1074,$B89,'октябрь 2023'!$J$4:$J$1074,Y$1)</f>
        <v>0</v>
      </c>
      <c r="Z89" s="207">
        <f>SUMIFS('октябрь 2023'!$G$4:$G$1074,'октябрь 2023'!$D$4:$D$1074,$B89,'октябрь 2023'!$J$4:$J$1074,Z$1)</f>
        <v>0</v>
      </c>
      <c r="AA89" s="207">
        <f>SUMIFS('октябрь 2023'!$G$4:$G$1074,'октябрь 2023'!$D$4:$D$1074,$B89,'октябрь 2023'!$J$4:$J$1074,AA$1)</f>
        <v>0</v>
      </c>
      <c r="AB89" s="207">
        <f>SUMIFS('октябрь 2023'!$G$4:$G$1074,'октябрь 2023'!$D$4:$D$1074,$B89,'октябрь 2023'!$J$4:$J$1074,AB$1)</f>
        <v>0</v>
      </c>
      <c r="AC89" s="207">
        <f>SUMIFS('октябрь 2023'!$G$4:$G$1074,'октябрь 2023'!$D$4:$D$1074,$B89,'октябрь 2023'!$J$4:$J$1074,AC$1)</f>
        <v>0</v>
      </c>
      <c r="AD89" s="207">
        <f>SUMIFS('октябрь 2023'!$G$4:$G$1074,'октябрь 2023'!$D$4:$D$1074,$B89,'октябрь 2023'!$J$4:$J$1074,AD$1)</f>
        <v>0</v>
      </c>
      <c r="AE89" s="207">
        <f>SUMIFS('октябрь 2023'!$G$4:$G$1074,'октябрь 2023'!$D$4:$D$1074,$B89,'октябрь 2023'!$J$4:$J$1074,AE$1)</f>
        <v>0</v>
      </c>
      <c r="AF89" s="207">
        <f>SUMIFS('октябрь 2023'!$G$4:$G$1074,'октябрь 2023'!$D$4:$D$1074,$B89,'октябрь 2023'!$J$4:$J$1074,AF$1)</f>
        <v>0</v>
      </c>
      <c r="AG89" s="207">
        <f>SUMIFS('октябрь 2023'!$G$4:$G$1074,'октябрь 2023'!$D$4:$D$1074,$B89,'октябрь 2023'!$J$4:$J$1074,AG$1)</f>
        <v>0</v>
      </c>
      <c r="AH89" s="207">
        <f>SUMIFS('октябрь 2023'!$G$4:$G$1074,'октябрь 2023'!$D$4:$D$1074,$B89,'октябрь 2023'!$J$4:$J$1074,AH$1)</f>
        <v>0</v>
      </c>
      <c r="AI89" s="170">
        <f t="shared" si="2"/>
        <v>0</v>
      </c>
    </row>
    <row r="90" spans="2:35" ht="15" customHeight="1" x14ac:dyDescent="0.25">
      <c r="B90" s="212" t="s">
        <v>1608</v>
      </c>
      <c r="C90" s="211">
        <v>950</v>
      </c>
      <c r="D90" s="207">
        <f>SUMIFS('октябрь 2023'!$G$4:$G$1074,'октябрь 2023'!$D$4:$D$1074,$B90,'октябрь 2023'!$J$4:$J$1074,D$1)</f>
        <v>0</v>
      </c>
      <c r="E90" s="207">
        <f>SUMIFS('октябрь 2023'!$G$4:$G$1074,'октябрь 2023'!$D$4:$D$1074,$B90,'октябрь 2023'!$J$4:$J$1074,E$1)</f>
        <v>0</v>
      </c>
      <c r="F90" s="207">
        <f>SUMIFS('октябрь 2023'!$G$4:$G$1074,'октябрь 2023'!$D$4:$D$1074,$B90,'октябрь 2023'!$J$4:$J$1074,F$1)</f>
        <v>0</v>
      </c>
      <c r="G90" s="207">
        <f>SUMIFS('октябрь 2023'!$G$4:$G$1074,'октябрь 2023'!$D$4:$D$1074,$B90,'октябрь 2023'!$J$4:$J$1074,G$1)</f>
        <v>0</v>
      </c>
      <c r="H90" s="207">
        <f>SUMIFS('октябрь 2023'!$G$4:$G$1074,'октябрь 2023'!$D$4:$D$1074,$B90,'октябрь 2023'!$J$4:$J$1074,H$1)</f>
        <v>0</v>
      </c>
      <c r="I90" s="207">
        <f>SUMIFS('октябрь 2023'!$G$4:$G$1074,'октябрь 2023'!$D$4:$D$1074,$B90,'октябрь 2023'!$J$4:$J$1074,I$1)</f>
        <v>0</v>
      </c>
      <c r="J90" s="207">
        <f>SUMIFS('октябрь 2023'!$G$4:$G$1074,'октябрь 2023'!$D$4:$D$1074,$B90,'октябрь 2023'!$J$4:$J$1074,J$1)</f>
        <v>0</v>
      </c>
      <c r="K90" s="207">
        <f>SUMIFS('октябрь 2023'!$G$4:$G$1074,'октябрь 2023'!$D$4:$D$1074,$B90,'октябрь 2023'!$J$4:$J$1074,K$1)</f>
        <v>0</v>
      </c>
      <c r="L90" s="207">
        <f>SUMIFS('октябрь 2023'!$G$4:$G$1074,'октябрь 2023'!$D$4:$D$1074,$B90,'октябрь 2023'!$J$4:$J$1074,L$1)</f>
        <v>0</v>
      </c>
      <c r="M90" s="207">
        <f>SUMIFS('октябрь 2023'!$G$4:$G$1074,'октябрь 2023'!$D$4:$D$1074,$B90,'октябрь 2023'!$J$4:$J$1074,M$1)</f>
        <v>0</v>
      </c>
      <c r="N90" s="207">
        <f>SUMIFS('октябрь 2023'!$G$4:$G$1074,'октябрь 2023'!$D$4:$D$1074,$B90,'октябрь 2023'!$J$4:$J$1074,N$1)</f>
        <v>0</v>
      </c>
      <c r="O90" s="207">
        <f>SUMIFS('октябрь 2023'!$G$4:$G$1074,'октябрь 2023'!$D$4:$D$1074,$B90,'октябрь 2023'!$J$4:$J$1074,O$1)</f>
        <v>0</v>
      </c>
      <c r="P90" s="207">
        <f>SUMIFS('октябрь 2023'!$G$4:$G$1074,'октябрь 2023'!$D$4:$D$1074,$B90,'октябрь 2023'!$J$4:$J$1074,P$1)</f>
        <v>0</v>
      </c>
      <c r="Q90" s="207">
        <f>SUMIFS('октябрь 2023'!$G$4:$G$1074,'октябрь 2023'!$D$4:$D$1074,$B90,'октябрь 2023'!$J$4:$J$1074,Q$1)</f>
        <v>0</v>
      </c>
      <c r="R90" s="207">
        <f>SUMIFS('октябрь 2023'!$G$4:$G$1074,'октябрь 2023'!$D$4:$D$1074,$B90,'октябрь 2023'!$J$4:$J$1074,R$1)</f>
        <v>0</v>
      </c>
      <c r="S90" s="207">
        <f>SUMIFS('октябрь 2023'!$G$4:$G$1074,'октябрь 2023'!$D$4:$D$1074,$B90,'октябрь 2023'!$J$4:$J$1074,S$1)</f>
        <v>0</v>
      </c>
      <c r="T90" s="207">
        <f>SUMIFS('октябрь 2023'!$G$4:$G$1074,'октябрь 2023'!$D$4:$D$1074,$B90,'октябрь 2023'!$J$4:$J$1074,T$1)</f>
        <v>0</v>
      </c>
      <c r="U90" s="207">
        <f>SUMIFS('октябрь 2023'!$G$4:$G$1074,'октябрь 2023'!$D$4:$D$1074,$B90,'октябрь 2023'!$J$4:$J$1074,U$1)</f>
        <v>0</v>
      </c>
      <c r="V90" s="207">
        <f>SUMIFS('октябрь 2023'!$G$4:$G$1074,'октябрь 2023'!$D$4:$D$1074,$B90,'октябрь 2023'!$J$4:$J$1074,V$1)</f>
        <v>0</v>
      </c>
      <c r="W90" s="207">
        <f>SUMIFS('октябрь 2023'!$G$4:$G$1074,'октябрь 2023'!$D$4:$D$1074,$B90,'октябрь 2023'!$J$4:$J$1074,W$1)</f>
        <v>0</v>
      </c>
      <c r="X90" s="207">
        <f>SUMIFS('октябрь 2023'!$G$4:$G$1074,'октябрь 2023'!$D$4:$D$1074,$B90,'октябрь 2023'!$J$4:$J$1074,X$1)</f>
        <v>0</v>
      </c>
      <c r="Y90" s="207">
        <f>SUMIFS('октябрь 2023'!$G$4:$G$1074,'октябрь 2023'!$D$4:$D$1074,$B90,'октябрь 2023'!$J$4:$J$1074,Y$1)</f>
        <v>0</v>
      </c>
      <c r="Z90" s="207">
        <f>SUMIFS('октябрь 2023'!$G$4:$G$1074,'октябрь 2023'!$D$4:$D$1074,$B90,'октябрь 2023'!$J$4:$J$1074,Z$1)</f>
        <v>0</v>
      </c>
      <c r="AA90" s="207">
        <f>SUMIFS('октябрь 2023'!$G$4:$G$1074,'октябрь 2023'!$D$4:$D$1074,$B90,'октябрь 2023'!$J$4:$J$1074,AA$1)</f>
        <v>0</v>
      </c>
      <c r="AB90" s="207">
        <f>SUMIFS('октябрь 2023'!$G$4:$G$1074,'октябрь 2023'!$D$4:$D$1074,$B90,'октябрь 2023'!$J$4:$J$1074,AB$1)</f>
        <v>0</v>
      </c>
      <c r="AC90" s="207">
        <f>SUMIFS('октябрь 2023'!$G$4:$G$1074,'октябрь 2023'!$D$4:$D$1074,$B90,'октябрь 2023'!$J$4:$J$1074,AC$1)</f>
        <v>0</v>
      </c>
      <c r="AD90" s="207">
        <f>SUMIFS('октябрь 2023'!$G$4:$G$1074,'октябрь 2023'!$D$4:$D$1074,$B90,'октябрь 2023'!$J$4:$J$1074,AD$1)</f>
        <v>0</v>
      </c>
      <c r="AE90" s="207">
        <f>SUMIFS('октябрь 2023'!$G$4:$G$1074,'октябрь 2023'!$D$4:$D$1074,$B90,'октябрь 2023'!$J$4:$J$1074,AE$1)</f>
        <v>0</v>
      </c>
      <c r="AF90" s="207">
        <f>SUMIFS('октябрь 2023'!$G$4:$G$1074,'октябрь 2023'!$D$4:$D$1074,$B90,'октябрь 2023'!$J$4:$J$1074,AF$1)</f>
        <v>0</v>
      </c>
      <c r="AG90" s="207">
        <f>SUMIFS('октябрь 2023'!$G$4:$G$1074,'октябрь 2023'!$D$4:$D$1074,$B90,'октябрь 2023'!$J$4:$J$1074,AG$1)</f>
        <v>0</v>
      </c>
      <c r="AH90" s="207">
        <f>SUMIFS('октябрь 2023'!$G$4:$G$1074,'октябрь 2023'!$D$4:$D$1074,$B90,'октябрь 2023'!$J$4:$J$1074,AH$1)</f>
        <v>0</v>
      </c>
      <c r="AI90" s="170">
        <f t="shared" si="2"/>
        <v>0</v>
      </c>
    </row>
    <row r="91" spans="2:35" ht="15" customHeight="1" x14ac:dyDescent="0.25">
      <c r="B91" s="212" t="s">
        <v>468</v>
      </c>
      <c r="C91" s="211">
        <v>180</v>
      </c>
      <c r="D91" s="207">
        <f>SUMIFS('октябрь 2023'!$G$4:$G$1074,'октябрь 2023'!$D$4:$D$1074,$B91,'октябрь 2023'!$J$4:$J$1074,D$1)</f>
        <v>0</v>
      </c>
      <c r="E91" s="207">
        <f>SUMIFS('октябрь 2023'!$G$4:$G$1074,'октябрь 2023'!$D$4:$D$1074,$B91,'октябрь 2023'!$J$4:$J$1074,E$1)</f>
        <v>0</v>
      </c>
      <c r="F91" s="207">
        <f>SUMIFS('октябрь 2023'!$G$4:$G$1074,'октябрь 2023'!$D$4:$D$1074,$B91,'октябрь 2023'!$J$4:$J$1074,F$1)</f>
        <v>12</v>
      </c>
      <c r="G91" s="207">
        <f>SUMIFS('октябрь 2023'!$G$4:$G$1074,'октябрь 2023'!$D$4:$D$1074,$B91,'октябрь 2023'!$J$4:$J$1074,G$1)</f>
        <v>0</v>
      </c>
      <c r="H91" s="207">
        <f>SUMIFS('октябрь 2023'!$G$4:$G$1074,'октябрь 2023'!$D$4:$D$1074,$B91,'октябрь 2023'!$J$4:$J$1074,H$1)</f>
        <v>0</v>
      </c>
      <c r="I91" s="207">
        <f>SUMIFS('октябрь 2023'!$G$4:$G$1074,'октябрь 2023'!$D$4:$D$1074,$B91,'октябрь 2023'!$J$4:$J$1074,I$1)</f>
        <v>0</v>
      </c>
      <c r="J91" s="207">
        <f>SUMIFS('октябрь 2023'!$G$4:$G$1074,'октябрь 2023'!$D$4:$D$1074,$B91,'октябрь 2023'!$J$4:$J$1074,J$1)</f>
        <v>0</v>
      </c>
      <c r="K91" s="207">
        <f>SUMIFS('октябрь 2023'!$G$4:$G$1074,'октябрь 2023'!$D$4:$D$1074,$B91,'октябрь 2023'!$J$4:$J$1074,K$1)</f>
        <v>0</v>
      </c>
      <c r="L91" s="207">
        <f>SUMIFS('октябрь 2023'!$G$4:$G$1074,'октябрь 2023'!$D$4:$D$1074,$B91,'октябрь 2023'!$J$4:$J$1074,L$1)</f>
        <v>0</v>
      </c>
      <c r="M91" s="207">
        <f>SUMIFS('октябрь 2023'!$G$4:$G$1074,'октябрь 2023'!$D$4:$D$1074,$B91,'октябрь 2023'!$J$4:$J$1074,M$1)</f>
        <v>0</v>
      </c>
      <c r="N91" s="207">
        <f>SUMIFS('октябрь 2023'!$G$4:$G$1074,'октябрь 2023'!$D$4:$D$1074,$B91,'октябрь 2023'!$J$4:$J$1074,N$1)</f>
        <v>0</v>
      </c>
      <c r="O91" s="207">
        <f>SUMIFS('октябрь 2023'!$G$4:$G$1074,'октябрь 2023'!$D$4:$D$1074,$B91,'октябрь 2023'!$J$4:$J$1074,O$1)</f>
        <v>0</v>
      </c>
      <c r="P91" s="207">
        <f>SUMIFS('октябрь 2023'!$G$4:$G$1074,'октябрь 2023'!$D$4:$D$1074,$B91,'октябрь 2023'!$J$4:$J$1074,P$1)</f>
        <v>0</v>
      </c>
      <c r="Q91" s="207">
        <f>SUMIFS('октябрь 2023'!$G$4:$G$1074,'октябрь 2023'!$D$4:$D$1074,$B91,'октябрь 2023'!$J$4:$J$1074,Q$1)</f>
        <v>0</v>
      </c>
      <c r="R91" s="207">
        <f>SUMIFS('октябрь 2023'!$G$4:$G$1074,'октябрь 2023'!$D$4:$D$1074,$B91,'октябрь 2023'!$J$4:$J$1074,R$1)</f>
        <v>0</v>
      </c>
      <c r="S91" s="207">
        <f>SUMIFS('октябрь 2023'!$G$4:$G$1074,'октябрь 2023'!$D$4:$D$1074,$B91,'октябрь 2023'!$J$4:$J$1074,S$1)</f>
        <v>0</v>
      </c>
      <c r="T91" s="207">
        <f>SUMIFS('октябрь 2023'!$G$4:$G$1074,'октябрь 2023'!$D$4:$D$1074,$B91,'октябрь 2023'!$J$4:$J$1074,T$1)</f>
        <v>0</v>
      </c>
      <c r="U91" s="207">
        <f>SUMIFS('октябрь 2023'!$G$4:$G$1074,'октябрь 2023'!$D$4:$D$1074,$B91,'октябрь 2023'!$J$4:$J$1074,U$1)</f>
        <v>0</v>
      </c>
      <c r="V91" s="207">
        <f>SUMIFS('октябрь 2023'!$G$4:$G$1074,'октябрь 2023'!$D$4:$D$1074,$B91,'октябрь 2023'!$J$4:$J$1074,V$1)</f>
        <v>0</v>
      </c>
      <c r="W91" s="207">
        <f>SUMIFS('октябрь 2023'!$G$4:$G$1074,'октябрь 2023'!$D$4:$D$1074,$B91,'октябрь 2023'!$J$4:$J$1074,W$1)</f>
        <v>0</v>
      </c>
      <c r="X91" s="207">
        <f>SUMIFS('октябрь 2023'!$G$4:$G$1074,'октябрь 2023'!$D$4:$D$1074,$B91,'октябрь 2023'!$J$4:$J$1074,X$1)</f>
        <v>0</v>
      </c>
      <c r="Y91" s="207">
        <f>SUMIFS('октябрь 2023'!$G$4:$G$1074,'октябрь 2023'!$D$4:$D$1074,$B91,'октябрь 2023'!$J$4:$J$1074,Y$1)</f>
        <v>0</v>
      </c>
      <c r="Z91" s="207">
        <f>SUMIFS('октябрь 2023'!$G$4:$G$1074,'октябрь 2023'!$D$4:$D$1074,$B91,'октябрь 2023'!$J$4:$J$1074,Z$1)</f>
        <v>0</v>
      </c>
      <c r="AA91" s="207">
        <f>SUMIFS('октябрь 2023'!$G$4:$G$1074,'октябрь 2023'!$D$4:$D$1074,$B91,'октябрь 2023'!$J$4:$J$1074,AA$1)</f>
        <v>0</v>
      </c>
      <c r="AB91" s="207">
        <f>SUMIFS('октябрь 2023'!$G$4:$G$1074,'октябрь 2023'!$D$4:$D$1074,$B91,'октябрь 2023'!$J$4:$J$1074,AB$1)</f>
        <v>0</v>
      </c>
      <c r="AC91" s="207">
        <f>SUMIFS('октябрь 2023'!$G$4:$G$1074,'октябрь 2023'!$D$4:$D$1074,$B91,'октябрь 2023'!$J$4:$J$1074,AC$1)</f>
        <v>0</v>
      </c>
      <c r="AD91" s="207">
        <f>SUMIFS('октябрь 2023'!$G$4:$G$1074,'октябрь 2023'!$D$4:$D$1074,$B91,'октябрь 2023'!$J$4:$J$1074,AD$1)</f>
        <v>0</v>
      </c>
      <c r="AE91" s="207">
        <f>SUMIFS('октябрь 2023'!$G$4:$G$1074,'октябрь 2023'!$D$4:$D$1074,$B91,'октябрь 2023'!$J$4:$J$1074,AE$1)</f>
        <v>0</v>
      </c>
      <c r="AF91" s="207">
        <f>SUMIFS('октябрь 2023'!$G$4:$G$1074,'октябрь 2023'!$D$4:$D$1074,$B91,'октябрь 2023'!$J$4:$J$1074,AF$1)</f>
        <v>0</v>
      </c>
      <c r="AG91" s="207">
        <f>SUMIFS('октябрь 2023'!$G$4:$G$1074,'октябрь 2023'!$D$4:$D$1074,$B91,'октябрь 2023'!$J$4:$J$1074,AG$1)</f>
        <v>0</v>
      </c>
      <c r="AH91" s="207">
        <f>SUMIFS('октябрь 2023'!$G$4:$G$1074,'октябрь 2023'!$D$4:$D$1074,$B91,'октябрь 2023'!$J$4:$J$1074,AH$1)</f>
        <v>0</v>
      </c>
      <c r="AI91" s="170">
        <f t="shared" si="2"/>
        <v>12</v>
      </c>
    </row>
    <row r="92" spans="2:35" ht="15" customHeight="1" x14ac:dyDescent="0.25">
      <c r="B92" s="216" t="s">
        <v>1755</v>
      </c>
      <c r="C92" s="213">
        <v>200</v>
      </c>
      <c r="D92" s="207">
        <f>SUMIFS('октябрь 2023'!$G$4:$G$1074,'октябрь 2023'!$D$4:$D$1074,$B92,'октябрь 2023'!$J$4:$J$1074,D$1)</f>
        <v>0</v>
      </c>
      <c r="E92" s="207">
        <f>SUMIFS('октябрь 2023'!$G$4:$G$1074,'октябрь 2023'!$D$4:$D$1074,$B92,'октябрь 2023'!$J$4:$J$1074,E$1)</f>
        <v>0</v>
      </c>
      <c r="F92" s="207">
        <f>SUMIFS('октябрь 2023'!$G$4:$G$1074,'октябрь 2023'!$D$4:$D$1074,$B92,'октябрь 2023'!$J$4:$J$1074,F$1)</f>
        <v>0</v>
      </c>
      <c r="G92" s="207">
        <f>SUMIFS('октябрь 2023'!$G$4:$G$1074,'октябрь 2023'!$D$4:$D$1074,$B92,'октябрь 2023'!$J$4:$J$1074,G$1)</f>
        <v>0</v>
      </c>
      <c r="H92" s="207">
        <f>SUMIFS('октябрь 2023'!$G$4:$G$1074,'октябрь 2023'!$D$4:$D$1074,$B92,'октябрь 2023'!$J$4:$J$1074,H$1)</f>
        <v>0</v>
      </c>
      <c r="I92" s="207">
        <f>SUMIFS('октябрь 2023'!$G$4:$G$1074,'октябрь 2023'!$D$4:$D$1074,$B92,'октябрь 2023'!$J$4:$J$1074,I$1)</f>
        <v>0</v>
      </c>
      <c r="J92" s="207">
        <f>SUMIFS('октябрь 2023'!$G$4:$G$1074,'октябрь 2023'!$D$4:$D$1074,$B92,'октябрь 2023'!$J$4:$J$1074,J$1)</f>
        <v>0</v>
      </c>
      <c r="K92" s="207">
        <f>SUMIFS('октябрь 2023'!$G$4:$G$1074,'октябрь 2023'!$D$4:$D$1074,$B92,'октябрь 2023'!$J$4:$J$1074,K$1)</f>
        <v>0</v>
      </c>
      <c r="L92" s="207">
        <f>SUMIFS('октябрь 2023'!$G$4:$G$1074,'октябрь 2023'!$D$4:$D$1074,$B92,'октябрь 2023'!$J$4:$J$1074,L$1)</f>
        <v>0</v>
      </c>
      <c r="M92" s="207">
        <f>SUMIFS('октябрь 2023'!$G$4:$G$1074,'октябрь 2023'!$D$4:$D$1074,$B92,'октябрь 2023'!$J$4:$J$1074,M$1)</f>
        <v>0</v>
      </c>
      <c r="N92" s="207">
        <f>SUMIFS('октябрь 2023'!$G$4:$G$1074,'октябрь 2023'!$D$4:$D$1074,$B92,'октябрь 2023'!$J$4:$J$1074,N$1)</f>
        <v>0</v>
      </c>
      <c r="O92" s="207">
        <f>SUMIFS('октябрь 2023'!$G$4:$G$1074,'октябрь 2023'!$D$4:$D$1074,$B92,'октябрь 2023'!$J$4:$J$1074,O$1)</f>
        <v>0</v>
      </c>
      <c r="P92" s="207">
        <f>SUMIFS('октябрь 2023'!$G$4:$G$1074,'октябрь 2023'!$D$4:$D$1074,$B92,'октябрь 2023'!$J$4:$J$1074,P$1)</f>
        <v>0</v>
      </c>
      <c r="Q92" s="207">
        <f>SUMIFS('октябрь 2023'!$G$4:$G$1074,'октябрь 2023'!$D$4:$D$1074,$B92,'октябрь 2023'!$J$4:$J$1074,Q$1)</f>
        <v>0</v>
      </c>
      <c r="R92" s="207">
        <f>SUMIFS('октябрь 2023'!$G$4:$G$1074,'октябрь 2023'!$D$4:$D$1074,$B92,'октябрь 2023'!$J$4:$J$1074,R$1)</f>
        <v>0</v>
      </c>
      <c r="S92" s="207">
        <f>SUMIFS('октябрь 2023'!$G$4:$G$1074,'октябрь 2023'!$D$4:$D$1074,$B92,'октябрь 2023'!$J$4:$J$1074,S$1)</f>
        <v>0</v>
      </c>
      <c r="T92" s="207">
        <f>SUMIFS('октябрь 2023'!$G$4:$G$1074,'октябрь 2023'!$D$4:$D$1074,$B92,'октябрь 2023'!$J$4:$J$1074,T$1)</f>
        <v>0</v>
      </c>
      <c r="U92" s="207">
        <f>SUMIFS('октябрь 2023'!$G$4:$G$1074,'октябрь 2023'!$D$4:$D$1074,$B92,'октябрь 2023'!$J$4:$J$1074,U$1)</f>
        <v>0</v>
      </c>
      <c r="V92" s="207">
        <f>SUMIFS('октябрь 2023'!$G$4:$G$1074,'октябрь 2023'!$D$4:$D$1074,$B92,'октябрь 2023'!$J$4:$J$1074,V$1)</f>
        <v>0</v>
      </c>
      <c r="W92" s="207">
        <f>SUMIFS('октябрь 2023'!$G$4:$G$1074,'октябрь 2023'!$D$4:$D$1074,$B92,'октябрь 2023'!$J$4:$J$1074,W$1)</f>
        <v>0</v>
      </c>
      <c r="X92" s="207">
        <f>SUMIFS('октябрь 2023'!$G$4:$G$1074,'октябрь 2023'!$D$4:$D$1074,$B92,'октябрь 2023'!$J$4:$J$1074,X$1)</f>
        <v>0</v>
      </c>
      <c r="Y92" s="207">
        <f>SUMIFS('октябрь 2023'!$G$4:$G$1074,'октябрь 2023'!$D$4:$D$1074,$B92,'октябрь 2023'!$J$4:$J$1074,Y$1)</f>
        <v>0</v>
      </c>
      <c r="Z92" s="207">
        <f>SUMIFS('октябрь 2023'!$G$4:$G$1074,'октябрь 2023'!$D$4:$D$1074,$B92,'октябрь 2023'!$J$4:$J$1074,Z$1)</f>
        <v>0</v>
      </c>
      <c r="AA92" s="207">
        <f>SUMIFS('октябрь 2023'!$G$4:$G$1074,'октябрь 2023'!$D$4:$D$1074,$B92,'октябрь 2023'!$J$4:$J$1074,AA$1)</f>
        <v>0</v>
      </c>
      <c r="AB92" s="207">
        <f>SUMIFS('октябрь 2023'!$G$4:$G$1074,'октябрь 2023'!$D$4:$D$1074,$B92,'октябрь 2023'!$J$4:$J$1074,AB$1)</f>
        <v>0</v>
      </c>
      <c r="AC92" s="207">
        <f>SUMIFS('октябрь 2023'!$G$4:$G$1074,'октябрь 2023'!$D$4:$D$1074,$B92,'октябрь 2023'!$J$4:$J$1074,AC$1)</f>
        <v>0</v>
      </c>
      <c r="AD92" s="207">
        <f>SUMIFS('октябрь 2023'!$G$4:$G$1074,'октябрь 2023'!$D$4:$D$1074,$B92,'октябрь 2023'!$J$4:$J$1074,AD$1)</f>
        <v>0</v>
      </c>
      <c r="AE92" s="207">
        <f>SUMIFS('октябрь 2023'!$G$4:$G$1074,'октябрь 2023'!$D$4:$D$1074,$B92,'октябрь 2023'!$J$4:$J$1074,AE$1)</f>
        <v>0</v>
      </c>
      <c r="AF92" s="207">
        <f>SUMIFS('октябрь 2023'!$G$4:$G$1074,'октябрь 2023'!$D$4:$D$1074,$B92,'октябрь 2023'!$J$4:$J$1074,AF$1)</f>
        <v>0</v>
      </c>
      <c r="AG92" s="207">
        <f>SUMIFS('октябрь 2023'!$G$4:$G$1074,'октябрь 2023'!$D$4:$D$1074,$B92,'октябрь 2023'!$J$4:$J$1074,AG$1)</f>
        <v>0</v>
      </c>
      <c r="AH92" s="207">
        <f>SUMIFS('октябрь 2023'!$G$4:$G$1074,'октябрь 2023'!$D$4:$D$1074,$B92,'октябрь 2023'!$J$4:$J$1074,AH$1)</f>
        <v>0</v>
      </c>
      <c r="AI92" s="170">
        <f t="shared" si="2"/>
        <v>0</v>
      </c>
    </row>
    <row r="93" spans="2:35" ht="15" customHeight="1" x14ac:dyDescent="0.25">
      <c r="B93" s="216" t="s">
        <v>2191</v>
      </c>
      <c r="C93" s="213">
        <v>200</v>
      </c>
      <c r="D93" s="207">
        <f>SUMIFS('октябрь 2023'!$G$4:$G$1074,'октябрь 2023'!$D$4:$D$1074,$B93,'октябрь 2023'!$J$4:$J$1074,D$1)</f>
        <v>0</v>
      </c>
      <c r="E93" s="207">
        <f>SUMIFS('октябрь 2023'!$G$4:$G$1074,'октябрь 2023'!$D$4:$D$1074,$B93,'октябрь 2023'!$J$4:$J$1074,E$1)</f>
        <v>0</v>
      </c>
      <c r="F93" s="207">
        <f>SUMIFS('октябрь 2023'!$G$4:$G$1074,'октябрь 2023'!$D$4:$D$1074,$B93,'октябрь 2023'!$J$4:$J$1074,F$1)</f>
        <v>0</v>
      </c>
      <c r="G93" s="207">
        <f>SUMIFS('октябрь 2023'!$G$4:$G$1074,'октябрь 2023'!$D$4:$D$1074,$B93,'октябрь 2023'!$J$4:$J$1074,G$1)</f>
        <v>0</v>
      </c>
      <c r="H93" s="207">
        <f>SUMIFS('октябрь 2023'!$G$4:$G$1074,'октябрь 2023'!$D$4:$D$1074,$B93,'октябрь 2023'!$J$4:$J$1074,H$1)</f>
        <v>0</v>
      </c>
      <c r="I93" s="207">
        <f>SUMIFS('октябрь 2023'!$G$4:$G$1074,'октябрь 2023'!$D$4:$D$1074,$B93,'октябрь 2023'!$J$4:$J$1074,I$1)</f>
        <v>0</v>
      </c>
      <c r="J93" s="207">
        <f>SUMIFS('октябрь 2023'!$G$4:$G$1074,'октябрь 2023'!$D$4:$D$1074,$B93,'октябрь 2023'!$J$4:$J$1074,J$1)</f>
        <v>0</v>
      </c>
      <c r="K93" s="207">
        <f>SUMIFS('октябрь 2023'!$G$4:$G$1074,'октябрь 2023'!$D$4:$D$1074,$B93,'октябрь 2023'!$J$4:$J$1074,K$1)</f>
        <v>0</v>
      </c>
      <c r="L93" s="207">
        <f>SUMIFS('октябрь 2023'!$G$4:$G$1074,'октябрь 2023'!$D$4:$D$1074,$B93,'октябрь 2023'!$J$4:$J$1074,L$1)</f>
        <v>0</v>
      </c>
      <c r="M93" s="207">
        <f>SUMIFS('октябрь 2023'!$G$4:$G$1074,'октябрь 2023'!$D$4:$D$1074,$B93,'октябрь 2023'!$J$4:$J$1074,M$1)</f>
        <v>0</v>
      </c>
      <c r="N93" s="207">
        <f>SUMIFS('октябрь 2023'!$G$4:$G$1074,'октябрь 2023'!$D$4:$D$1074,$B93,'октябрь 2023'!$J$4:$J$1074,N$1)</f>
        <v>0</v>
      </c>
      <c r="O93" s="207">
        <f>SUMIFS('октябрь 2023'!$G$4:$G$1074,'октябрь 2023'!$D$4:$D$1074,$B93,'октябрь 2023'!$J$4:$J$1074,O$1)</f>
        <v>0</v>
      </c>
      <c r="P93" s="207">
        <f>SUMIFS('октябрь 2023'!$G$4:$G$1074,'октябрь 2023'!$D$4:$D$1074,$B93,'октябрь 2023'!$J$4:$J$1074,P$1)</f>
        <v>0</v>
      </c>
      <c r="Q93" s="207">
        <f>SUMIFS('октябрь 2023'!$G$4:$G$1074,'октябрь 2023'!$D$4:$D$1074,$B93,'октябрь 2023'!$J$4:$J$1074,Q$1)</f>
        <v>0</v>
      </c>
      <c r="R93" s="207">
        <f>SUMIFS('октябрь 2023'!$G$4:$G$1074,'октябрь 2023'!$D$4:$D$1074,$B93,'октябрь 2023'!$J$4:$J$1074,R$1)</f>
        <v>0</v>
      </c>
      <c r="S93" s="207">
        <f>SUMIFS('октябрь 2023'!$G$4:$G$1074,'октябрь 2023'!$D$4:$D$1074,$B93,'октябрь 2023'!$J$4:$J$1074,S$1)</f>
        <v>0</v>
      </c>
      <c r="T93" s="207">
        <f>SUMIFS('октябрь 2023'!$G$4:$G$1074,'октябрь 2023'!$D$4:$D$1074,$B93,'октябрь 2023'!$J$4:$J$1074,T$1)</f>
        <v>0</v>
      </c>
      <c r="U93" s="207">
        <f>SUMIFS('октябрь 2023'!$G$4:$G$1074,'октябрь 2023'!$D$4:$D$1074,$B93,'октябрь 2023'!$J$4:$J$1074,U$1)</f>
        <v>0</v>
      </c>
      <c r="V93" s="207">
        <f>SUMIFS('октябрь 2023'!$G$4:$G$1074,'октябрь 2023'!$D$4:$D$1074,$B93,'октябрь 2023'!$J$4:$J$1074,V$1)</f>
        <v>0</v>
      </c>
      <c r="W93" s="207">
        <f>SUMIFS('октябрь 2023'!$G$4:$G$1074,'октябрь 2023'!$D$4:$D$1074,$B93,'октябрь 2023'!$J$4:$J$1074,W$1)</f>
        <v>0</v>
      </c>
      <c r="X93" s="207">
        <f>SUMIFS('октябрь 2023'!$G$4:$G$1074,'октябрь 2023'!$D$4:$D$1074,$B93,'октябрь 2023'!$J$4:$J$1074,X$1)</f>
        <v>0</v>
      </c>
      <c r="Y93" s="207">
        <f>SUMIFS('октябрь 2023'!$G$4:$G$1074,'октябрь 2023'!$D$4:$D$1074,$B93,'октябрь 2023'!$J$4:$J$1074,Y$1)</f>
        <v>0</v>
      </c>
      <c r="Z93" s="207">
        <f>SUMIFS('октябрь 2023'!$G$4:$G$1074,'октябрь 2023'!$D$4:$D$1074,$B93,'октябрь 2023'!$J$4:$J$1074,Z$1)</f>
        <v>0</v>
      </c>
      <c r="AA93" s="207">
        <f>SUMIFS('октябрь 2023'!$G$4:$G$1074,'октябрь 2023'!$D$4:$D$1074,$B93,'октябрь 2023'!$J$4:$J$1074,AA$1)</f>
        <v>0</v>
      </c>
      <c r="AB93" s="207">
        <f>SUMIFS('октябрь 2023'!$G$4:$G$1074,'октябрь 2023'!$D$4:$D$1074,$B93,'октябрь 2023'!$J$4:$J$1074,AB$1)</f>
        <v>0</v>
      </c>
      <c r="AC93" s="207">
        <f>SUMIFS('октябрь 2023'!$G$4:$G$1074,'октябрь 2023'!$D$4:$D$1074,$B93,'октябрь 2023'!$J$4:$J$1074,AC$1)</f>
        <v>0</v>
      </c>
      <c r="AD93" s="207">
        <f>SUMIFS('октябрь 2023'!$G$4:$G$1074,'октябрь 2023'!$D$4:$D$1074,$B93,'октябрь 2023'!$J$4:$J$1074,AD$1)</f>
        <v>0</v>
      </c>
      <c r="AE93" s="207">
        <f>SUMIFS('октябрь 2023'!$G$4:$G$1074,'октябрь 2023'!$D$4:$D$1074,$B93,'октябрь 2023'!$J$4:$J$1074,AE$1)</f>
        <v>0</v>
      </c>
      <c r="AF93" s="207">
        <f>SUMIFS('октябрь 2023'!$G$4:$G$1074,'октябрь 2023'!$D$4:$D$1074,$B93,'октябрь 2023'!$J$4:$J$1074,AF$1)</f>
        <v>0</v>
      </c>
      <c r="AG93" s="207">
        <f>SUMIFS('октябрь 2023'!$G$4:$G$1074,'октябрь 2023'!$D$4:$D$1074,$B93,'октябрь 2023'!$J$4:$J$1074,AG$1)</f>
        <v>0</v>
      </c>
      <c r="AH93" s="207">
        <f>SUMIFS('октябрь 2023'!$G$4:$G$1074,'октябрь 2023'!$D$4:$D$1074,$B93,'октябрь 2023'!$J$4:$J$1074,AH$1)</f>
        <v>0</v>
      </c>
      <c r="AI93" s="170">
        <f t="shared" si="2"/>
        <v>0</v>
      </c>
    </row>
    <row r="94" spans="2:35" ht="15" customHeight="1" x14ac:dyDescent="0.25">
      <c r="B94" s="216" t="s">
        <v>898</v>
      </c>
      <c r="C94" s="213">
        <v>200</v>
      </c>
      <c r="D94" s="207">
        <f>SUMIFS('октябрь 2023'!$G$4:$G$1074,'октябрь 2023'!$D$4:$D$1074,$B94,'октябрь 2023'!$J$4:$J$1074,D$1)</f>
        <v>0</v>
      </c>
      <c r="E94" s="207">
        <f>SUMIFS('октябрь 2023'!$G$4:$G$1074,'октябрь 2023'!$D$4:$D$1074,$B94,'октябрь 2023'!$J$4:$J$1074,E$1)</f>
        <v>0</v>
      </c>
      <c r="F94" s="207">
        <f>SUMIFS('октябрь 2023'!$G$4:$G$1074,'октябрь 2023'!$D$4:$D$1074,$B94,'октябрь 2023'!$J$4:$J$1074,F$1)</f>
        <v>0</v>
      </c>
      <c r="G94" s="207">
        <f>SUMIFS('октябрь 2023'!$G$4:$G$1074,'октябрь 2023'!$D$4:$D$1074,$B94,'октябрь 2023'!$J$4:$J$1074,G$1)</f>
        <v>0</v>
      </c>
      <c r="H94" s="207">
        <f>SUMIFS('октябрь 2023'!$G$4:$G$1074,'октябрь 2023'!$D$4:$D$1074,$B94,'октябрь 2023'!$J$4:$J$1074,H$1)</f>
        <v>0</v>
      </c>
      <c r="I94" s="207">
        <f>SUMIFS('октябрь 2023'!$G$4:$G$1074,'октябрь 2023'!$D$4:$D$1074,$B94,'октябрь 2023'!$J$4:$J$1074,I$1)</f>
        <v>0</v>
      </c>
      <c r="J94" s="207">
        <f>SUMIFS('октябрь 2023'!$G$4:$G$1074,'октябрь 2023'!$D$4:$D$1074,$B94,'октябрь 2023'!$J$4:$J$1074,J$1)</f>
        <v>0</v>
      </c>
      <c r="K94" s="207">
        <f>SUMIFS('октябрь 2023'!$G$4:$G$1074,'октябрь 2023'!$D$4:$D$1074,$B94,'октябрь 2023'!$J$4:$J$1074,K$1)</f>
        <v>0</v>
      </c>
      <c r="L94" s="207">
        <f>SUMIFS('октябрь 2023'!$G$4:$G$1074,'октябрь 2023'!$D$4:$D$1074,$B94,'октябрь 2023'!$J$4:$J$1074,L$1)</f>
        <v>0</v>
      </c>
      <c r="M94" s="207">
        <f>SUMIFS('октябрь 2023'!$G$4:$G$1074,'октябрь 2023'!$D$4:$D$1074,$B94,'октябрь 2023'!$J$4:$J$1074,M$1)</f>
        <v>0</v>
      </c>
      <c r="N94" s="207">
        <f>SUMIFS('октябрь 2023'!$G$4:$G$1074,'октябрь 2023'!$D$4:$D$1074,$B94,'октябрь 2023'!$J$4:$J$1074,N$1)</f>
        <v>0</v>
      </c>
      <c r="O94" s="207">
        <f>SUMIFS('октябрь 2023'!$G$4:$G$1074,'октябрь 2023'!$D$4:$D$1074,$B94,'октябрь 2023'!$J$4:$J$1074,O$1)</f>
        <v>0</v>
      </c>
      <c r="P94" s="207">
        <f>SUMIFS('октябрь 2023'!$G$4:$G$1074,'октябрь 2023'!$D$4:$D$1074,$B94,'октябрь 2023'!$J$4:$J$1074,P$1)</f>
        <v>0</v>
      </c>
      <c r="Q94" s="207">
        <f>SUMIFS('октябрь 2023'!$G$4:$G$1074,'октябрь 2023'!$D$4:$D$1074,$B94,'октябрь 2023'!$J$4:$J$1074,Q$1)</f>
        <v>0</v>
      </c>
      <c r="R94" s="207">
        <f>SUMIFS('октябрь 2023'!$G$4:$G$1074,'октябрь 2023'!$D$4:$D$1074,$B94,'октябрь 2023'!$J$4:$J$1074,R$1)</f>
        <v>0</v>
      </c>
      <c r="S94" s="207">
        <f>SUMIFS('октябрь 2023'!$G$4:$G$1074,'октябрь 2023'!$D$4:$D$1074,$B94,'октябрь 2023'!$J$4:$J$1074,S$1)</f>
        <v>0</v>
      </c>
      <c r="T94" s="207">
        <f>SUMIFS('октябрь 2023'!$G$4:$G$1074,'октябрь 2023'!$D$4:$D$1074,$B94,'октябрь 2023'!$J$4:$J$1074,T$1)</f>
        <v>0</v>
      </c>
      <c r="U94" s="207">
        <f>SUMIFS('октябрь 2023'!$G$4:$G$1074,'октябрь 2023'!$D$4:$D$1074,$B94,'октябрь 2023'!$J$4:$J$1074,U$1)</f>
        <v>0</v>
      </c>
      <c r="V94" s="207">
        <f>SUMIFS('октябрь 2023'!$G$4:$G$1074,'октябрь 2023'!$D$4:$D$1074,$B94,'октябрь 2023'!$J$4:$J$1074,V$1)</f>
        <v>0</v>
      </c>
      <c r="W94" s="207">
        <f>SUMIFS('октябрь 2023'!$G$4:$G$1074,'октябрь 2023'!$D$4:$D$1074,$B94,'октябрь 2023'!$J$4:$J$1074,W$1)</f>
        <v>0</v>
      </c>
      <c r="X94" s="207">
        <f>SUMIFS('октябрь 2023'!$G$4:$G$1074,'октябрь 2023'!$D$4:$D$1074,$B94,'октябрь 2023'!$J$4:$J$1074,X$1)</f>
        <v>0</v>
      </c>
      <c r="Y94" s="207">
        <f>SUMIFS('октябрь 2023'!$G$4:$G$1074,'октябрь 2023'!$D$4:$D$1074,$B94,'октябрь 2023'!$J$4:$J$1074,Y$1)</f>
        <v>0</v>
      </c>
      <c r="Z94" s="207">
        <f>SUMIFS('октябрь 2023'!$G$4:$G$1074,'октябрь 2023'!$D$4:$D$1074,$B94,'октябрь 2023'!$J$4:$J$1074,Z$1)</f>
        <v>0</v>
      </c>
      <c r="AA94" s="207">
        <f>SUMIFS('октябрь 2023'!$G$4:$G$1074,'октябрь 2023'!$D$4:$D$1074,$B94,'октябрь 2023'!$J$4:$J$1074,AA$1)</f>
        <v>0</v>
      </c>
      <c r="AB94" s="207">
        <f>SUMIFS('октябрь 2023'!$G$4:$G$1074,'октябрь 2023'!$D$4:$D$1074,$B94,'октябрь 2023'!$J$4:$J$1074,AB$1)</f>
        <v>0</v>
      </c>
      <c r="AC94" s="207">
        <f>SUMIFS('октябрь 2023'!$G$4:$G$1074,'октябрь 2023'!$D$4:$D$1074,$B94,'октябрь 2023'!$J$4:$J$1074,AC$1)</f>
        <v>0</v>
      </c>
      <c r="AD94" s="207">
        <f>SUMIFS('октябрь 2023'!$G$4:$G$1074,'октябрь 2023'!$D$4:$D$1074,$B94,'октябрь 2023'!$J$4:$J$1074,AD$1)</f>
        <v>0</v>
      </c>
      <c r="AE94" s="207">
        <f>SUMIFS('октябрь 2023'!$G$4:$G$1074,'октябрь 2023'!$D$4:$D$1074,$B94,'октябрь 2023'!$J$4:$J$1074,AE$1)</f>
        <v>0</v>
      </c>
      <c r="AF94" s="207">
        <f>SUMIFS('октябрь 2023'!$G$4:$G$1074,'октябрь 2023'!$D$4:$D$1074,$B94,'октябрь 2023'!$J$4:$J$1074,AF$1)</f>
        <v>0</v>
      </c>
      <c r="AG94" s="207">
        <f>SUMIFS('октябрь 2023'!$G$4:$G$1074,'октябрь 2023'!$D$4:$D$1074,$B94,'октябрь 2023'!$J$4:$J$1074,AG$1)</f>
        <v>0</v>
      </c>
      <c r="AH94" s="207">
        <f>SUMIFS('октябрь 2023'!$G$4:$G$1074,'октябрь 2023'!$D$4:$D$1074,$B94,'октябрь 2023'!$J$4:$J$1074,AH$1)</f>
        <v>0</v>
      </c>
      <c r="AI94" s="170">
        <f t="shared" si="2"/>
        <v>0</v>
      </c>
    </row>
    <row r="95" spans="2:35" ht="15" customHeight="1" x14ac:dyDescent="0.25">
      <c r="B95" s="216" t="s">
        <v>1725</v>
      </c>
      <c r="C95" s="213">
        <v>180</v>
      </c>
      <c r="D95" s="207">
        <f>SUMIFS('октябрь 2023'!$G$4:$G$1074,'октябрь 2023'!$D$4:$D$1074,$B95,'октябрь 2023'!$J$4:$J$1074,D$1)</f>
        <v>0</v>
      </c>
      <c r="E95" s="207">
        <f>SUMIFS('октябрь 2023'!$G$4:$G$1074,'октябрь 2023'!$D$4:$D$1074,$B95,'октябрь 2023'!$J$4:$J$1074,E$1)</f>
        <v>0</v>
      </c>
      <c r="F95" s="207">
        <f>SUMIFS('октябрь 2023'!$G$4:$G$1074,'октябрь 2023'!$D$4:$D$1074,$B95,'октябрь 2023'!$J$4:$J$1074,F$1)</f>
        <v>0</v>
      </c>
      <c r="G95" s="207">
        <f>SUMIFS('октябрь 2023'!$G$4:$G$1074,'октябрь 2023'!$D$4:$D$1074,$B95,'октябрь 2023'!$J$4:$J$1074,G$1)</f>
        <v>0</v>
      </c>
      <c r="H95" s="207">
        <f>SUMIFS('октябрь 2023'!$G$4:$G$1074,'октябрь 2023'!$D$4:$D$1074,$B95,'октябрь 2023'!$J$4:$J$1074,H$1)</f>
        <v>0</v>
      </c>
      <c r="I95" s="207">
        <f>SUMIFS('октябрь 2023'!$G$4:$G$1074,'октябрь 2023'!$D$4:$D$1074,$B95,'октябрь 2023'!$J$4:$J$1074,I$1)</f>
        <v>0</v>
      </c>
      <c r="J95" s="207">
        <f>SUMIFS('октябрь 2023'!$G$4:$G$1074,'октябрь 2023'!$D$4:$D$1074,$B95,'октябрь 2023'!$J$4:$J$1074,J$1)</f>
        <v>0</v>
      </c>
      <c r="K95" s="207">
        <f>SUMIFS('октябрь 2023'!$G$4:$G$1074,'октябрь 2023'!$D$4:$D$1074,$B95,'октябрь 2023'!$J$4:$J$1074,K$1)</f>
        <v>0</v>
      </c>
      <c r="L95" s="207">
        <f>SUMIFS('октябрь 2023'!$G$4:$G$1074,'октябрь 2023'!$D$4:$D$1074,$B95,'октябрь 2023'!$J$4:$J$1074,L$1)</f>
        <v>0</v>
      </c>
      <c r="M95" s="207">
        <f>SUMIFS('октябрь 2023'!$G$4:$G$1074,'октябрь 2023'!$D$4:$D$1074,$B95,'октябрь 2023'!$J$4:$J$1074,M$1)</f>
        <v>0</v>
      </c>
      <c r="N95" s="207">
        <f>SUMIFS('октябрь 2023'!$G$4:$G$1074,'октябрь 2023'!$D$4:$D$1074,$B95,'октябрь 2023'!$J$4:$J$1074,N$1)</f>
        <v>0</v>
      </c>
      <c r="O95" s="207">
        <f>SUMIFS('октябрь 2023'!$G$4:$G$1074,'октябрь 2023'!$D$4:$D$1074,$B95,'октябрь 2023'!$J$4:$J$1074,O$1)</f>
        <v>0</v>
      </c>
      <c r="P95" s="207">
        <f>SUMIFS('октябрь 2023'!$G$4:$G$1074,'октябрь 2023'!$D$4:$D$1074,$B95,'октябрь 2023'!$J$4:$J$1074,P$1)</f>
        <v>0</v>
      </c>
      <c r="Q95" s="207">
        <f>SUMIFS('октябрь 2023'!$G$4:$G$1074,'октябрь 2023'!$D$4:$D$1074,$B95,'октябрь 2023'!$J$4:$J$1074,Q$1)</f>
        <v>0</v>
      </c>
      <c r="R95" s="207">
        <f>SUMIFS('октябрь 2023'!$G$4:$G$1074,'октябрь 2023'!$D$4:$D$1074,$B95,'октябрь 2023'!$J$4:$J$1074,R$1)</f>
        <v>0</v>
      </c>
      <c r="S95" s="207">
        <f>SUMIFS('октябрь 2023'!$G$4:$G$1074,'октябрь 2023'!$D$4:$D$1074,$B95,'октябрь 2023'!$J$4:$J$1074,S$1)</f>
        <v>0</v>
      </c>
      <c r="T95" s="207">
        <f>SUMIFS('октябрь 2023'!$G$4:$G$1074,'октябрь 2023'!$D$4:$D$1074,$B95,'октябрь 2023'!$J$4:$J$1074,T$1)</f>
        <v>0</v>
      </c>
      <c r="U95" s="207">
        <f>SUMIFS('октябрь 2023'!$G$4:$G$1074,'октябрь 2023'!$D$4:$D$1074,$B95,'октябрь 2023'!$J$4:$J$1074,U$1)</f>
        <v>0</v>
      </c>
      <c r="V95" s="207">
        <f>SUMIFS('октябрь 2023'!$G$4:$G$1074,'октябрь 2023'!$D$4:$D$1074,$B95,'октябрь 2023'!$J$4:$J$1074,V$1)</f>
        <v>0</v>
      </c>
      <c r="W95" s="207">
        <f>SUMIFS('октябрь 2023'!$G$4:$G$1074,'октябрь 2023'!$D$4:$D$1074,$B95,'октябрь 2023'!$J$4:$J$1074,W$1)</f>
        <v>0</v>
      </c>
      <c r="X95" s="207">
        <f>SUMIFS('октябрь 2023'!$G$4:$G$1074,'октябрь 2023'!$D$4:$D$1074,$B95,'октябрь 2023'!$J$4:$J$1074,X$1)</f>
        <v>0</v>
      </c>
      <c r="Y95" s="207">
        <f>SUMIFS('октябрь 2023'!$G$4:$G$1074,'октябрь 2023'!$D$4:$D$1074,$B95,'октябрь 2023'!$J$4:$J$1074,Y$1)</f>
        <v>0</v>
      </c>
      <c r="Z95" s="207">
        <f>SUMIFS('октябрь 2023'!$G$4:$G$1074,'октябрь 2023'!$D$4:$D$1074,$B95,'октябрь 2023'!$J$4:$J$1074,Z$1)</f>
        <v>0</v>
      </c>
      <c r="AA95" s="207">
        <f>SUMIFS('октябрь 2023'!$G$4:$G$1074,'октябрь 2023'!$D$4:$D$1074,$B95,'октябрь 2023'!$J$4:$J$1074,AA$1)</f>
        <v>0</v>
      </c>
      <c r="AB95" s="207">
        <f>SUMIFS('октябрь 2023'!$G$4:$G$1074,'октябрь 2023'!$D$4:$D$1074,$B95,'октябрь 2023'!$J$4:$J$1074,AB$1)</f>
        <v>0</v>
      </c>
      <c r="AC95" s="207">
        <f>SUMIFS('октябрь 2023'!$G$4:$G$1074,'октябрь 2023'!$D$4:$D$1074,$B95,'октябрь 2023'!$J$4:$J$1074,AC$1)</f>
        <v>0</v>
      </c>
      <c r="AD95" s="207">
        <f>SUMIFS('октябрь 2023'!$G$4:$G$1074,'октябрь 2023'!$D$4:$D$1074,$B95,'октябрь 2023'!$J$4:$J$1074,AD$1)</f>
        <v>0</v>
      </c>
      <c r="AE95" s="207">
        <f>SUMIFS('октябрь 2023'!$G$4:$G$1074,'октябрь 2023'!$D$4:$D$1074,$B95,'октябрь 2023'!$J$4:$J$1074,AE$1)</f>
        <v>0</v>
      </c>
      <c r="AF95" s="207">
        <f>SUMIFS('октябрь 2023'!$G$4:$G$1074,'октябрь 2023'!$D$4:$D$1074,$B95,'октябрь 2023'!$J$4:$J$1074,AF$1)</f>
        <v>0</v>
      </c>
      <c r="AG95" s="207">
        <f>SUMIFS('октябрь 2023'!$G$4:$G$1074,'октябрь 2023'!$D$4:$D$1074,$B95,'октябрь 2023'!$J$4:$J$1074,AG$1)</f>
        <v>0</v>
      </c>
      <c r="AH95" s="207">
        <f>SUMIFS('октябрь 2023'!$G$4:$G$1074,'октябрь 2023'!$D$4:$D$1074,$B95,'октябрь 2023'!$J$4:$J$1074,AH$1)</f>
        <v>0</v>
      </c>
      <c r="AI95" s="170">
        <f t="shared" si="2"/>
        <v>0</v>
      </c>
    </row>
    <row r="96" spans="2:35" ht="15" customHeight="1" x14ac:dyDescent="0.25">
      <c r="B96" s="212" t="s">
        <v>864</v>
      </c>
      <c r="C96" s="211">
        <v>18</v>
      </c>
      <c r="D96" s="207">
        <f>SUMIFS('октябрь 2023'!$G$4:$G$1074,'октябрь 2023'!$D$4:$D$1074,$B96,'октябрь 2023'!$J$4:$J$1074,D$1)</f>
        <v>0</v>
      </c>
      <c r="E96" s="207">
        <f>SUMIFS('октябрь 2023'!$G$4:$G$1074,'октябрь 2023'!$D$4:$D$1074,$B96,'октябрь 2023'!$J$4:$J$1074,E$1)</f>
        <v>0</v>
      </c>
      <c r="F96" s="207">
        <f>SUMIFS('октябрь 2023'!$G$4:$G$1074,'октябрь 2023'!$D$4:$D$1074,$B96,'октябрь 2023'!$J$4:$J$1074,F$1)</f>
        <v>0</v>
      </c>
      <c r="G96" s="207">
        <f>SUMIFS('октябрь 2023'!$G$4:$G$1074,'октябрь 2023'!$D$4:$D$1074,$B96,'октябрь 2023'!$J$4:$J$1074,G$1)</f>
        <v>0</v>
      </c>
      <c r="H96" s="207">
        <f>SUMIFS('октябрь 2023'!$G$4:$G$1074,'октябрь 2023'!$D$4:$D$1074,$B96,'октябрь 2023'!$J$4:$J$1074,H$1)</f>
        <v>0</v>
      </c>
      <c r="I96" s="207">
        <f>SUMIFS('октябрь 2023'!$G$4:$G$1074,'октябрь 2023'!$D$4:$D$1074,$B96,'октябрь 2023'!$J$4:$J$1074,I$1)</f>
        <v>0</v>
      </c>
      <c r="J96" s="207">
        <f>SUMIFS('октябрь 2023'!$G$4:$G$1074,'октябрь 2023'!$D$4:$D$1074,$B96,'октябрь 2023'!$J$4:$J$1074,J$1)</f>
        <v>0</v>
      </c>
      <c r="K96" s="207">
        <f>SUMIFS('октябрь 2023'!$G$4:$G$1074,'октябрь 2023'!$D$4:$D$1074,$B96,'октябрь 2023'!$J$4:$J$1074,K$1)</f>
        <v>0</v>
      </c>
      <c r="L96" s="207">
        <f>SUMIFS('октябрь 2023'!$G$4:$G$1074,'октябрь 2023'!$D$4:$D$1074,$B96,'октябрь 2023'!$J$4:$J$1074,L$1)</f>
        <v>0</v>
      </c>
      <c r="M96" s="207">
        <f>SUMIFS('октябрь 2023'!$G$4:$G$1074,'октябрь 2023'!$D$4:$D$1074,$B96,'октябрь 2023'!$J$4:$J$1074,M$1)</f>
        <v>0</v>
      </c>
      <c r="N96" s="207">
        <f>SUMIFS('октябрь 2023'!$G$4:$G$1074,'октябрь 2023'!$D$4:$D$1074,$B96,'октябрь 2023'!$J$4:$J$1074,N$1)</f>
        <v>0</v>
      </c>
      <c r="O96" s="207">
        <f>SUMIFS('октябрь 2023'!$G$4:$G$1074,'октябрь 2023'!$D$4:$D$1074,$B96,'октябрь 2023'!$J$4:$J$1074,O$1)</f>
        <v>0</v>
      </c>
      <c r="P96" s="207">
        <f>SUMIFS('октябрь 2023'!$G$4:$G$1074,'октябрь 2023'!$D$4:$D$1074,$B96,'октябрь 2023'!$J$4:$J$1074,P$1)</f>
        <v>0</v>
      </c>
      <c r="Q96" s="207">
        <f>SUMIFS('октябрь 2023'!$G$4:$G$1074,'октябрь 2023'!$D$4:$D$1074,$B96,'октябрь 2023'!$J$4:$J$1074,Q$1)</f>
        <v>0</v>
      </c>
      <c r="R96" s="207">
        <f>SUMIFS('октябрь 2023'!$G$4:$G$1074,'октябрь 2023'!$D$4:$D$1074,$B96,'октябрь 2023'!$J$4:$J$1074,R$1)</f>
        <v>0</v>
      </c>
      <c r="S96" s="207">
        <f>SUMIFS('октябрь 2023'!$G$4:$G$1074,'октябрь 2023'!$D$4:$D$1074,$B96,'октябрь 2023'!$J$4:$J$1074,S$1)</f>
        <v>0</v>
      </c>
      <c r="T96" s="207">
        <f>SUMIFS('октябрь 2023'!$G$4:$G$1074,'октябрь 2023'!$D$4:$D$1074,$B96,'октябрь 2023'!$J$4:$J$1074,T$1)</f>
        <v>0</v>
      </c>
      <c r="U96" s="207">
        <f>SUMIFS('октябрь 2023'!$G$4:$G$1074,'октябрь 2023'!$D$4:$D$1074,$B96,'октябрь 2023'!$J$4:$J$1074,U$1)</f>
        <v>0</v>
      </c>
      <c r="V96" s="207">
        <f>SUMIFS('октябрь 2023'!$G$4:$G$1074,'октябрь 2023'!$D$4:$D$1074,$B96,'октябрь 2023'!$J$4:$J$1074,V$1)</f>
        <v>0</v>
      </c>
      <c r="W96" s="207">
        <f>SUMIFS('октябрь 2023'!$G$4:$G$1074,'октябрь 2023'!$D$4:$D$1074,$B96,'октябрь 2023'!$J$4:$J$1074,W$1)</f>
        <v>0</v>
      </c>
      <c r="X96" s="207">
        <f>SUMIFS('октябрь 2023'!$G$4:$G$1074,'октябрь 2023'!$D$4:$D$1074,$B96,'октябрь 2023'!$J$4:$J$1074,X$1)</f>
        <v>0</v>
      </c>
      <c r="Y96" s="207">
        <f>SUMIFS('октябрь 2023'!$G$4:$G$1074,'октябрь 2023'!$D$4:$D$1074,$B96,'октябрь 2023'!$J$4:$J$1074,Y$1)</f>
        <v>0</v>
      </c>
      <c r="Z96" s="207">
        <f>SUMIFS('октябрь 2023'!$G$4:$G$1074,'октябрь 2023'!$D$4:$D$1074,$B96,'октябрь 2023'!$J$4:$J$1074,Z$1)</f>
        <v>0</v>
      </c>
      <c r="AA96" s="207">
        <f>SUMIFS('октябрь 2023'!$G$4:$G$1074,'октябрь 2023'!$D$4:$D$1074,$B96,'октябрь 2023'!$J$4:$J$1074,AA$1)</f>
        <v>0</v>
      </c>
      <c r="AB96" s="207">
        <f>SUMIFS('октябрь 2023'!$G$4:$G$1074,'октябрь 2023'!$D$4:$D$1074,$B96,'октябрь 2023'!$J$4:$J$1074,AB$1)</f>
        <v>0</v>
      </c>
      <c r="AC96" s="207">
        <f>SUMIFS('октябрь 2023'!$G$4:$G$1074,'октябрь 2023'!$D$4:$D$1074,$B96,'октябрь 2023'!$J$4:$J$1074,AC$1)</f>
        <v>0</v>
      </c>
      <c r="AD96" s="207">
        <f>SUMIFS('октябрь 2023'!$G$4:$G$1074,'октябрь 2023'!$D$4:$D$1074,$B96,'октябрь 2023'!$J$4:$J$1074,AD$1)</f>
        <v>0</v>
      </c>
      <c r="AE96" s="207">
        <f>SUMIFS('октябрь 2023'!$G$4:$G$1074,'октябрь 2023'!$D$4:$D$1074,$B96,'октябрь 2023'!$J$4:$J$1074,AE$1)</f>
        <v>0</v>
      </c>
      <c r="AF96" s="207">
        <f>SUMIFS('октябрь 2023'!$G$4:$G$1074,'октябрь 2023'!$D$4:$D$1074,$B96,'октябрь 2023'!$J$4:$J$1074,AF$1)</f>
        <v>0</v>
      </c>
      <c r="AG96" s="207">
        <f>SUMIFS('октябрь 2023'!$G$4:$G$1074,'октябрь 2023'!$D$4:$D$1074,$B96,'октябрь 2023'!$J$4:$J$1074,AG$1)</f>
        <v>0</v>
      </c>
      <c r="AH96" s="207">
        <f>SUMIFS('октябрь 2023'!$G$4:$G$1074,'октябрь 2023'!$D$4:$D$1074,$B96,'октябрь 2023'!$J$4:$J$1074,AH$1)</f>
        <v>0</v>
      </c>
      <c r="AI96" s="170">
        <f t="shared" si="2"/>
        <v>0</v>
      </c>
    </row>
    <row r="97" spans="2:35" ht="15" customHeight="1" x14ac:dyDescent="0.25">
      <c r="B97" s="216" t="s">
        <v>610</v>
      </c>
      <c r="C97" s="213">
        <v>180</v>
      </c>
      <c r="D97" s="207">
        <f>SUMIFS('октябрь 2023'!$G$4:$G$1074,'октябрь 2023'!$D$4:$D$1074,$B97,'октябрь 2023'!$J$4:$J$1074,D$1)</f>
        <v>0</v>
      </c>
      <c r="E97" s="207">
        <f>SUMIFS('октябрь 2023'!$G$4:$G$1074,'октябрь 2023'!$D$4:$D$1074,$B97,'октябрь 2023'!$J$4:$J$1074,E$1)</f>
        <v>0</v>
      </c>
      <c r="F97" s="207">
        <f>SUMIFS('октябрь 2023'!$G$4:$G$1074,'октябрь 2023'!$D$4:$D$1074,$B97,'октябрь 2023'!$J$4:$J$1074,F$1)</f>
        <v>0</v>
      </c>
      <c r="G97" s="207">
        <f>SUMIFS('октябрь 2023'!$G$4:$G$1074,'октябрь 2023'!$D$4:$D$1074,$B97,'октябрь 2023'!$J$4:$J$1074,G$1)</f>
        <v>0</v>
      </c>
      <c r="H97" s="207">
        <f>SUMIFS('октябрь 2023'!$G$4:$G$1074,'октябрь 2023'!$D$4:$D$1074,$B97,'октябрь 2023'!$J$4:$J$1074,H$1)</f>
        <v>0</v>
      </c>
      <c r="I97" s="207">
        <f>SUMIFS('октябрь 2023'!$G$4:$G$1074,'октябрь 2023'!$D$4:$D$1074,$B97,'октябрь 2023'!$J$4:$J$1074,I$1)</f>
        <v>0</v>
      </c>
      <c r="J97" s="207">
        <f>SUMIFS('октябрь 2023'!$G$4:$G$1074,'октябрь 2023'!$D$4:$D$1074,$B97,'октябрь 2023'!$J$4:$J$1074,J$1)</f>
        <v>0</v>
      </c>
      <c r="K97" s="207">
        <f>SUMIFS('октябрь 2023'!$G$4:$G$1074,'октябрь 2023'!$D$4:$D$1074,$B97,'октябрь 2023'!$J$4:$J$1074,K$1)</f>
        <v>0</v>
      </c>
      <c r="L97" s="207">
        <f>SUMIFS('октябрь 2023'!$G$4:$G$1074,'октябрь 2023'!$D$4:$D$1074,$B97,'октябрь 2023'!$J$4:$J$1074,L$1)</f>
        <v>0</v>
      </c>
      <c r="M97" s="207">
        <f>SUMIFS('октябрь 2023'!$G$4:$G$1074,'октябрь 2023'!$D$4:$D$1074,$B97,'октябрь 2023'!$J$4:$J$1074,M$1)</f>
        <v>0</v>
      </c>
      <c r="N97" s="207">
        <f>SUMIFS('октябрь 2023'!$G$4:$G$1074,'октябрь 2023'!$D$4:$D$1074,$B97,'октябрь 2023'!$J$4:$J$1074,N$1)</f>
        <v>0</v>
      </c>
      <c r="O97" s="207">
        <f>SUMIFS('октябрь 2023'!$G$4:$G$1074,'октябрь 2023'!$D$4:$D$1074,$B97,'октябрь 2023'!$J$4:$J$1074,O$1)</f>
        <v>0</v>
      </c>
      <c r="P97" s="207">
        <f>SUMIFS('октябрь 2023'!$G$4:$G$1074,'октябрь 2023'!$D$4:$D$1074,$B97,'октябрь 2023'!$J$4:$J$1074,P$1)</f>
        <v>0</v>
      </c>
      <c r="Q97" s="207">
        <f>SUMIFS('октябрь 2023'!$G$4:$G$1074,'октябрь 2023'!$D$4:$D$1074,$B97,'октябрь 2023'!$J$4:$J$1074,Q$1)</f>
        <v>0</v>
      </c>
      <c r="R97" s="207">
        <f>SUMIFS('октябрь 2023'!$G$4:$G$1074,'октябрь 2023'!$D$4:$D$1074,$B97,'октябрь 2023'!$J$4:$J$1074,R$1)</f>
        <v>0</v>
      </c>
      <c r="S97" s="207">
        <f>SUMIFS('октябрь 2023'!$G$4:$G$1074,'октябрь 2023'!$D$4:$D$1074,$B97,'октябрь 2023'!$J$4:$J$1074,S$1)</f>
        <v>0</v>
      </c>
      <c r="T97" s="207">
        <f>SUMIFS('октябрь 2023'!$G$4:$G$1074,'октябрь 2023'!$D$4:$D$1074,$B97,'октябрь 2023'!$J$4:$J$1074,T$1)</f>
        <v>0</v>
      </c>
      <c r="U97" s="207">
        <f>SUMIFS('октябрь 2023'!$G$4:$G$1074,'октябрь 2023'!$D$4:$D$1074,$B97,'октябрь 2023'!$J$4:$J$1074,U$1)</f>
        <v>0</v>
      </c>
      <c r="V97" s="207">
        <f>SUMIFS('октябрь 2023'!$G$4:$G$1074,'октябрь 2023'!$D$4:$D$1074,$B97,'октябрь 2023'!$J$4:$J$1074,V$1)</f>
        <v>0</v>
      </c>
      <c r="W97" s="207">
        <f>SUMIFS('октябрь 2023'!$G$4:$G$1074,'октябрь 2023'!$D$4:$D$1074,$B97,'октябрь 2023'!$J$4:$J$1074,W$1)</f>
        <v>0</v>
      </c>
      <c r="X97" s="207">
        <f>SUMIFS('октябрь 2023'!$G$4:$G$1074,'октябрь 2023'!$D$4:$D$1074,$B97,'октябрь 2023'!$J$4:$J$1074,X$1)</f>
        <v>0</v>
      </c>
      <c r="Y97" s="207">
        <f>SUMIFS('октябрь 2023'!$G$4:$G$1074,'октябрь 2023'!$D$4:$D$1074,$B97,'октябрь 2023'!$J$4:$J$1074,Y$1)</f>
        <v>0</v>
      </c>
      <c r="Z97" s="207">
        <f>SUMIFS('октябрь 2023'!$G$4:$G$1074,'октябрь 2023'!$D$4:$D$1074,$B97,'октябрь 2023'!$J$4:$J$1074,Z$1)</f>
        <v>0</v>
      </c>
      <c r="AA97" s="207">
        <f>SUMIFS('октябрь 2023'!$G$4:$G$1074,'октябрь 2023'!$D$4:$D$1074,$B97,'октябрь 2023'!$J$4:$J$1074,AA$1)</f>
        <v>0</v>
      </c>
      <c r="AB97" s="207">
        <f>SUMIFS('октябрь 2023'!$G$4:$G$1074,'октябрь 2023'!$D$4:$D$1074,$B97,'октябрь 2023'!$J$4:$J$1074,AB$1)</f>
        <v>0</v>
      </c>
      <c r="AC97" s="207">
        <f>SUMIFS('октябрь 2023'!$G$4:$G$1074,'октябрь 2023'!$D$4:$D$1074,$B97,'октябрь 2023'!$J$4:$J$1074,AC$1)</f>
        <v>8</v>
      </c>
      <c r="AD97" s="207">
        <f>SUMIFS('октябрь 2023'!$G$4:$G$1074,'октябрь 2023'!$D$4:$D$1074,$B97,'октябрь 2023'!$J$4:$J$1074,AD$1)</f>
        <v>0</v>
      </c>
      <c r="AE97" s="207">
        <f>SUMIFS('октябрь 2023'!$G$4:$G$1074,'октябрь 2023'!$D$4:$D$1074,$B97,'октябрь 2023'!$J$4:$J$1074,AE$1)</f>
        <v>0</v>
      </c>
      <c r="AF97" s="207">
        <f>SUMIFS('октябрь 2023'!$G$4:$G$1074,'октябрь 2023'!$D$4:$D$1074,$B97,'октябрь 2023'!$J$4:$J$1074,AF$1)</f>
        <v>0</v>
      </c>
      <c r="AG97" s="207">
        <f>SUMIFS('октябрь 2023'!$G$4:$G$1074,'октябрь 2023'!$D$4:$D$1074,$B97,'октябрь 2023'!$J$4:$J$1074,AG$1)</f>
        <v>0</v>
      </c>
      <c r="AH97" s="207">
        <f>SUMIFS('октябрь 2023'!$G$4:$G$1074,'октябрь 2023'!$D$4:$D$1074,$B97,'октябрь 2023'!$J$4:$J$1074,AH$1)</f>
        <v>0</v>
      </c>
      <c r="AI97" s="170">
        <f t="shared" si="2"/>
        <v>8</v>
      </c>
    </row>
    <row r="98" spans="2:35" ht="15" customHeight="1" x14ac:dyDescent="0.25">
      <c r="B98" s="216" t="s">
        <v>2192</v>
      </c>
      <c r="C98" s="213">
        <v>200</v>
      </c>
      <c r="D98" s="207">
        <f>SUMIFS('октябрь 2023'!$G$4:$G$1074,'октябрь 2023'!$D$4:$D$1074,$B98,'октябрь 2023'!$J$4:$J$1074,D$1)</f>
        <v>0</v>
      </c>
      <c r="E98" s="207">
        <f>SUMIFS('октябрь 2023'!$G$4:$G$1074,'октябрь 2023'!$D$4:$D$1074,$B98,'октябрь 2023'!$J$4:$J$1074,E$1)</f>
        <v>0</v>
      </c>
      <c r="F98" s="207">
        <f>SUMIFS('октябрь 2023'!$G$4:$G$1074,'октябрь 2023'!$D$4:$D$1074,$B98,'октябрь 2023'!$J$4:$J$1074,F$1)</f>
        <v>0</v>
      </c>
      <c r="G98" s="207">
        <f>SUMIFS('октябрь 2023'!$G$4:$G$1074,'октябрь 2023'!$D$4:$D$1074,$B98,'октябрь 2023'!$J$4:$J$1074,G$1)</f>
        <v>0</v>
      </c>
      <c r="H98" s="207">
        <f>SUMIFS('октябрь 2023'!$G$4:$G$1074,'октябрь 2023'!$D$4:$D$1074,$B98,'октябрь 2023'!$J$4:$J$1074,H$1)</f>
        <v>0</v>
      </c>
      <c r="I98" s="207">
        <f>SUMIFS('октябрь 2023'!$G$4:$G$1074,'октябрь 2023'!$D$4:$D$1074,$B98,'октябрь 2023'!$J$4:$J$1074,I$1)</f>
        <v>0</v>
      </c>
      <c r="J98" s="207">
        <f>SUMIFS('октябрь 2023'!$G$4:$G$1074,'октябрь 2023'!$D$4:$D$1074,$B98,'октябрь 2023'!$J$4:$J$1074,J$1)</f>
        <v>0</v>
      </c>
      <c r="K98" s="207">
        <f>SUMIFS('октябрь 2023'!$G$4:$G$1074,'октябрь 2023'!$D$4:$D$1074,$B98,'октябрь 2023'!$J$4:$J$1074,K$1)</f>
        <v>0</v>
      </c>
      <c r="L98" s="207">
        <f>SUMIFS('октябрь 2023'!$G$4:$G$1074,'октябрь 2023'!$D$4:$D$1074,$B98,'октябрь 2023'!$J$4:$J$1074,L$1)</f>
        <v>0</v>
      </c>
      <c r="M98" s="207">
        <f>SUMIFS('октябрь 2023'!$G$4:$G$1074,'октябрь 2023'!$D$4:$D$1074,$B98,'октябрь 2023'!$J$4:$J$1074,M$1)</f>
        <v>0</v>
      </c>
      <c r="N98" s="207">
        <f>SUMIFS('октябрь 2023'!$G$4:$G$1074,'октябрь 2023'!$D$4:$D$1074,$B98,'октябрь 2023'!$J$4:$J$1074,N$1)</f>
        <v>0</v>
      </c>
      <c r="O98" s="207">
        <f>SUMIFS('октябрь 2023'!$G$4:$G$1074,'октябрь 2023'!$D$4:$D$1074,$B98,'октябрь 2023'!$J$4:$J$1074,O$1)</f>
        <v>0</v>
      </c>
      <c r="P98" s="207">
        <f>SUMIFS('октябрь 2023'!$G$4:$G$1074,'октябрь 2023'!$D$4:$D$1074,$B98,'октябрь 2023'!$J$4:$J$1074,P$1)</f>
        <v>0</v>
      </c>
      <c r="Q98" s="207">
        <f>SUMIFS('октябрь 2023'!$G$4:$G$1074,'октябрь 2023'!$D$4:$D$1074,$B98,'октябрь 2023'!$J$4:$J$1074,Q$1)</f>
        <v>0</v>
      </c>
      <c r="R98" s="207">
        <f>SUMIFS('октябрь 2023'!$G$4:$G$1074,'октябрь 2023'!$D$4:$D$1074,$B98,'октябрь 2023'!$J$4:$J$1074,R$1)</f>
        <v>0</v>
      </c>
      <c r="S98" s="207">
        <f>SUMIFS('октябрь 2023'!$G$4:$G$1074,'октябрь 2023'!$D$4:$D$1074,$B98,'октябрь 2023'!$J$4:$J$1074,S$1)</f>
        <v>0</v>
      </c>
      <c r="T98" s="207">
        <f>SUMIFS('октябрь 2023'!$G$4:$G$1074,'октябрь 2023'!$D$4:$D$1074,$B98,'октябрь 2023'!$J$4:$J$1074,T$1)</f>
        <v>0</v>
      </c>
      <c r="U98" s="207">
        <f>SUMIFS('октябрь 2023'!$G$4:$G$1074,'октябрь 2023'!$D$4:$D$1074,$B98,'октябрь 2023'!$J$4:$J$1074,U$1)</f>
        <v>0</v>
      </c>
      <c r="V98" s="207">
        <f>SUMIFS('октябрь 2023'!$G$4:$G$1074,'октябрь 2023'!$D$4:$D$1074,$B98,'октябрь 2023'!$J$4:$J$1074,V$1)</f>
        <v>0</v>
      </c>
      <c r="W98" s="207">
        <f>SUMIFS('октябрь 2023'!$G$4:$G$1074,'октябрь 2023'!$D$4:$D$1074,$B98,'октябрь 2023'!$J$4:$J$1074,W$1)</f>
        <v>0</v>
      </c>
      <c r="X98" s="207">
        <f>SUMIFS('октябрь 2023'!$G$4:$G$1074,'октябрь 2023'!$D$4:$D$1074,$B98,'октябрь 2023'!$J$4:$J$1074,X$1)</f>
        <v>0</v>
      </c>
      <c r="Y98" s="207">
        <f>SUMIFS('октябрь 2023'!$G$4:$G$1074,'октябрь 2023'!$D$4:$D$1074,$B98,'октябрь 2023'!$J$4:$J$1074,Y$1)</f>
        <v>0</v>
      </c>
      <c r="Z98" s="207">
        <f>SUMIFS('октябрь 2023'!$G$4:$G$1074,'октябрь 2023'!$D$4:$D$1074,$B98,'октябрь 2023'!$J$4:$J$1074,Z$1)</f>
        <v>0</v>
      </c>
      <c r="AA98" s="207">
        <f>SUMIFS('октябрь 2023'!$G$4:$G$1074,'октябрь 2023'!$D$4:$D$1074,$B98,'октябрь 2023'!$J$4:$J$1074,AA$1)</f>
        <v>0</v>
      </c>
      <c r="AB98" s="207">
        <f>SUMIFS('октябрь 2023'!$G$4:$G$1074,'октябрь 2023'!$D$4:$D$1074,$B98,'октябрь 2023'!$J$4:$J$1074,AB$1)</f>
        <v>0</v>
      </c>
      <c r="AC98" s="207">
        <f>SUMIFS('октябрь 2023'!$G$4:$G$1074,'октябрь 2023'!$D$4:$D$1074,$B98,'октябрь 2023'!$J$4:$J$1074,AC$1)</f>
        <v>0</v>
      </c>
      <c r="AD98" s="207">
        <f>SUMIFS('октябрь 2023'!$G$4:$G$1074,'октябрь 2023'!$D$4:$D$1074,$B98,'октябрь 2023'!$J$4:$J$1074,AD$1)</f>
        <v>0</v>
      </c>
      <c r="AE98" s="207">
        <f>SUMIFS('октябрь 2023'!$G$4:$G$1074,'октябрь 2023'!$D$4:$D$1074,$B98,'октябрь 2023'!$J$4:$J$1074,AE$1)</f>
        <v>0</v>
      </c>
      <c r="AF98" s="207">
        <f>SUMIFS('октябрь 2023'!$G$4:$G$1074,'октябрь 2023'!$D$4:$D$1074,$B98,'октябрь 2023'!$J$4:$J$1074,AF$1)</f>
        <v>0</v>
      </c>
      <c r="AG98" s="207">
        <f>SUMIFS('октябрь 2023'!$G$4:$G$1074,'октябрь 2023'!$D$4:$D$1074,$B98,'октябрь 2023'!$J$4:$J$1074,AG$1)</f>
        <v>0</v>
      </c>
      <c r="AH98" s="207">
        <f>SUMIFS('октябрь 2023'!$G$4:$G$1074,'октябрь 2023'!$D$4:$D$1074,$B98,'октябрь 2023'!$J$4:$J$1074,AH$1)</f>
        <v>0</v>
      </c>
      <c r="AI98" s="170">
        <f t="shared" si="2"/>
        <v>0</v>
      </c>
    </row>
    <row r="99" spans="2:35" ht="15" customHeight="1" x14ac:dyDescent="0.25">
      <c r="B99" s="216" t="s">
        <v>308</v>
      </c>
      <c r="C99" s="213">
        <v>180</v>
      </c>
      <c r="D99" s="207">
        <f>SUMIFS('октябрь 2023'!$G$4:$G$1074,'октябрь 2023'!$D$4:$D$1074,$B99,'октябрь 2023'!$J$4:$J$1074,D$1)</f>
        <v>0</v>
      </c>
      <c r="E99" s="207">
        <f>SUMIFS('октябрь 2023'!$G$4:$G$1074,'октябрь 2023'!$D$4:$D$1074,$B99,'октябрь 2023'!$J$4:$J$1074,E$1)</f>
        <v>0</v>
      </c>
      <c r="F99" s="207">
        <f>SUMIFS('октябрь 2023'!$G$4:$G$1074,'октябрь 2023'!$D$4:$D$1074,$B99,'октябрь 2023'!$J$4:$J$1074,F$1)</f>
        <v>0</v>
      </c>
      <c r="G99" s="207">
        <f>SUMIFS('октябрь 2023'!$G$4:$G$1074,'октябрь 2023'!$D$4:$D$1074,$B99,'октябрь 2023'!$J$4:$J$1074,G$1)</f>
        <v>0</v>
      </c>
      <c r="H99" s="207">
        <f>SUMIFS('октябрь 2023'!$G$4:$G$1074,'октябрь 2023'!$D$4:$D$1074,$B99,'октябрь 2023'!$J$4:$J$1074,H$1)</f>
        <v>0</v>
      </c>
      <c r="I99" s="207">
        <f>SUMIFS('октябрь 2023'!$G$4:$G$1074,'октябрь 2023'!$D$4:$D$1074,$B99,'октябрь 2023'!$J$4:$J$1074,I$1)</f>
        <v>0</v>
      </c>
      <c r="J99" s="207">
        <f>SUMIFS('октябрь 2023'!$G$4:$G$1074,'октябрь 2023'!$D$4:$D$1074,$B99,'октябрь 2023'!$J$4:$J$1074,J$1)</f>
        <v>0</v>
      </c>
      <c r="K99" s="207">
        <f>SUMIFS('октябрь 2023'!$G$4:$G$1074,'октябрь 2023'!$D$4:$D$1074,$B99,'октябрь 2023'!$J$4:$J$1074,K$1)</f>
        <v>0</v>
      </c>
      <c r="L99" s="207">
        <f>SUMIFS('октябрь 2023'!$G$4:$G$1074,'октябрь 2023'!$D$4:$D$1074,$B99,'октябрь 2023'!$J$4:$J$1074,L$1)</f>
        <v>0</v>
      </c>
      <c r="M99" s="207">
        <f>SUMIFS('октябрь 2023'!$G$4:$G$1074,'октябрь 2023'!$D$4:$D$1074,$B99,'октябрь 2023'!$J$4:$J$1074,M$1)</f>
        <v>0</v>
      </c>
      <c r="N99" s="207">
        <f>SUMIFS('октябрь 2023'!$G$4:$G$1074,'октябрь 2023'!$D$4:$D$1074,$B99,'октябрь 2023'!$J$4:$J$1074,N$1)</f>
        <v>0</v>
      </c>
      <c r="O99" s="207">
        <f>SUMIFS('октябрь 2023'!$G$4:$G$1074,'октябрь 2023'!$D$4:$D$1074,$B99,'октябрь 2023'!$J$4:$J$1074,O$1)</f>
        <v>0</v>
      </c>
      <c r="P99" s="207">
        <f>SUMIFS('октябрь 2023'!$G$4:$G$1074,'октябрь 2023'!$D$4:$D$1074,$B99,'октябрь 2023'!$J$4:$J$1074,P$1)</f>
        <v>0</v>
      </c>
      <c r="Q99" s="207">
        <f>SUMIFS('октябрь 2023'!$G$4:$G$1074,'октябрь 2023'!$D$4:$D$1074,$B99,'октябрь 2023'!$J$4:$J$1074,Q$1)</f>
        <v>0</v>
      </c>
      <c r="R99" s="207">
        <f>SUMIFS('октябрь 2023'!$G$4:$G$1074,'октябрь 2023'!$D$4:$D$1074,$B99,'октябрь 2023'!$J$4:$J$1074,R$1)</f>
        <v>0</v>
      </c>
      <c r="S99" s="207">
        <f>SUMIFS('октябрь 2023'!$G$4:$G$1074,'октябрь 2023'!$D$4:$D$1074,$B99,'октябрь 2023'!$J$4:$J$1074,S$1)</f>
        <v>40</v>
      </c>
      <c r="T99" s="207">
        <f>SUMIFS('октябрь 2023'!$G$4:$G$1074,'октябрь 2023'!$D$4:$D$1074,$B99,'октябрь 2023'!$J$4:$J$1074,T$1)</f>
        <v>0</v>
      </c>
      <c r="U99" s="207">
        <f>SUMIFS('октябрь 2023'!$G$4:$G$1074,'октябрь 2023'!$D$4:$D$1074,$B99,'октябрь 2023'!$J$4:$J$1074,U$1)</f>
        <v>0</v>
      </c>
      <c r="V99" s="207">
        <f>SUMIFS('октябрь 2023'!$G$4:$G$1074,'октябрь 2023'!$D$4:$D$1074,$B99,'октябрь 2023'!$J$4:$J$1074,V$1)</f>
        <v>0</v>
      </c>
      <c r="W99" s="207">
        <f>SUMIFS('октябрь 2023'!$G$4:$G$1074,'октябрь 2023'!$D$4:$D$1074,$B99,'октябрь 2023'!$J$4:$J$1074,W$1)</f>
        <v>0</v>
      </c>
      <c r="X99" s="207">
        <f>SUMIFS('октябрь 2023'!$G$4:$G$1074,'октябрь 2023'!$D$4:$D$1074,$B99,'октябрь 2023'!$J$4:$J$1074,X$1)</f>
        <v>0</v>
      </c>
      <c r="Y99" s="207">
        <f>SUMIFS('октябрь 2023'!$G$4:$G$1074,'октябрь 2023'!$D$4:$D$1074,$B99,'октябрь 2023'!$J$4:$J$1074,Y$1)</f>
        <v>0</v>
      </c>
      <c r="Z99" s="207">
        <f>SUMIFS('октябрь 2023'!$G$4:$G$1074,'октябрь 2023'!$D$4:$D$1074,$B99,'октябрь 2023'!$J$4:$J$1074,Z$1)</f>
        <v>0</v>
      </c>
      <c r="AA99" s="207">
        <f>SUMIFS('октябрь 2023'!$G$4:$G$1074,'октябрь 2023'!$D$4:$D$1074,$B99,'октябрь 2023'!$J$4:$J$1074,AA$1)</f>
        <v>0</v>
      </c>
      <c r="AB99" s="207">
        <f>SUMIFS('октябрь 2023'!$G$4:$G$1074,'октябрь 2023'!$D$4:$D$1074,$B99,'октябрь 2023'!$J$4:$J$1074,AB$1)</f>
        <v>0</v>
      </c>
      <c r="AC99" s="207">
        <f>SUMIFS('октябрь 2023'!$G$4:$G$1074,'октябрь 2023'!$D$4:$D$1074,$B99,'октябрь 2023'!$J$4:$J$1074,AC$1)</f>
        <v>0</v>
      </c>
      <c r="AD99" s="207">
        <f>SUMIFS('октябрь 2023'!$G$4:$G$1074,'октябрь 2023'!$D$4:$D$1074,$B99,'октябрь 2023'!$J$4:$J$1074,AD$1)</f>
        <v>0</v>
      </c>
      <c r="AE99" s="207">
        <f>SUMIFS('октябрь 2023'!$G$4:$G$1074,'октябрь 2023'!$D$4:$D$1074,$B99,'октябрь 2023'!$J$4:$J$1074,AE$1)</f>
        <v>0</v>
      </c>
      <c r="AF99" s="207">
        <f>SUMIFS('октябрь 2023'!$G$4:$G$1074,'октябрь 2023'!$D$4:$D$1074,$B99,'октябрь 2023'!$J$4:$J$1074,AF$1)</f>
        <v>0</v>
      </c>
      <c r="AG99" s="207">
        <f>SUMIFS('октябрь 2023'!$G$4:$G$1074,'октябрь 2023'!$D$4:$D$1074,$B99,'октябрь 2023'!$J$4:$J$1074,AG$1)</f>
        <v>0</v>
      </c>
      <c r="AH99" s="207">
        <f>SUMIFS('октябрь 2023'!$G$4:$G$1074,'октябрь 2023'!$D$4:$D$1074,$B99,'октябрь 2023'!$J$4:$J$1074,AH$1)</f>
        <v>0</v>
      </c>
      <c r="AI99" s="170">
        <f t="shared" si="2"/>
        <v>40</v>
      </c>
    </row>
    <row r="100" spans="2:35" ht="15" customHeight="1" x14ac:dyDescent="0.25">
      <c r="B100" s="216" t="s">
        <v>770</v>
      </c>
      <c r="C100" s="213">
        <v>190</v>
      </c>
      <c r="D100" s="207">
        <f>SUMIFS('октябрь 2023'!$G$4:$G$1074,'октябрь 2023'!$D$4:$D$1074,$B100,'октябрь 2023'!$J$4:$J$1074,D$1)</f>
        <v>0</v>
      </c>
      <c r="E100" s="207">
        <f>SUMIFS('октябрь 2023'!$G$4:$G$1074,'октябрь 2023'!$D$4:$D$1074,$B100,'октябрь 2023'!$J$4:$J$1074,E$1)</f>
        <v>0</v>
      </c>
      <c r="F100" s="207">
        <f>SUMIFS('октябрь 2023'!$G$4:$G$1074,'октябрь 2023'!$D$4:$D$1074,$B100,'октябрь 2023'!$J$4:$J$1074,F$1)</f>
        <v>0</v>
      </c>
      <c r="G100" s="207">
        <f>SUMIFS('октябрь 2023'!$G$4:$G$1074,'октябрь 2023'!$D$4:$D$1074,$B100,'октябрь 2023'!$J$4:$J$1074,G$1)</f>
        <v>0</v>
      </c>
      <c r="H100" s="207">
        <f>SUMIFS('октябрь 2023'!$G$4:$G$1074,'октябрь 2023'!$D$4:$D$1074,$B100,'октябрь 2023'!$J$4:$J$1074,H$1)</f>
        <v>0</v>
      </c>
      <c r="I100" s="207">
        <f>SUMIFS('октябрь 2023'!$G$4:$G$1074,'октябрь 2023'!$D$4:$D$1074,$B100,'октябрь 2023'!$J$4:$J$1074,I$1)</f>
        <v>0</v>
      </c>
      <c r="J100" s="207">
        <f>SUMIFS('октябрь 2023'!$G$4:$G$1074,'октябрь 2023'!$D$4:$D$1074,$B100,'октябрь 2023'!$J$4:$J$1074,J$1)</f>
        <v>0</v>
      </c>
      <c r="K100" s="207">
        <f>SUMIFS('октябрь 2023'!$G$4:$G$1074,'октябрь 2023'!$D$4:$D$1074,$B100,'октябрь 2023'!$J$4:$J$1074,K$1)</f>
        <v>0</v>
      </c>
      <c r="L100" s="207">
        <f>SUMIFS('октябрь 2023'!$G$4:$G$1074,'октябрь 2023'!$D$4:$D$1074,$B100,'октябрь 2023'!$J$4:$J$1074,L$1)</f>
        <v>0</v>
      </c>
      <c r="M100" s="207">
        <f>SUMIFS('октябрь 2023'!$G$4:$G$1074,'октябрь 2023'!$D$4:$D$1074,$B100,'октябрь 2023'!$J$4:$J$1074,M$1)</f>
        <v>0</v>
      </c>
      <c r="N100" s="207">
        <f>SUMIFS('октябрь 2023'!$G$4:$G$1074,'октябрь 2023'!$D$4:$D$1074,$B100,'октябрь 2023'!$J$4:$J$1074,N$1)</f>
        <v>0</v>
      </c>
      <c r="O100" s="207">
        <f>SUMIFS('октябрь 2023'!$G$4:$G$1074,'октябрь 2023'!$D$4:$D$1074,$B100,'октябрь 2023'!$J$4:$J$1074,O$1)</f>
        <v>0</v>
      </c>
      <c r="P100" s="207">
        <f>SUMIFS('октябрь 2023'!$G$4:$G$1074,'октябрь 2023'!$D$4:$D$1074,$B100,'октябрь 2023'!$J$4:$J$1074,P$1)</f>
        <v>0</v>
      </c>
      <c r="Q100" s="207">
        <f>SUMIFS('октябрь 2023'!$G$4:$G$1074,'октябрь 2023'!$D$4:$D$1074,$B100,'октябрь 2023'!$J$4:$J$1074,Q$1)</f>
        <v>0</v>
      </c>
      <c r="R100" s="207">
        <f>SUMIFS('октябрь 2023'!$G$4:$G$1074,'октябрь 2023'!$D$4:$D$1074,$B100,'октябрь 2023'!$J$4:$J$1074,R$1)</f>
        <v>0</v>
      </c>
      <c r="S100" s="207">
        <f>SUMIFS('октябрь 2023'!$G$4:$G$1074,'октябрь 2023'!$D$4:$D$1074,$B100,'октябрь 2023'!$J$4:$J$1074,S$1)</f>
        <v>0</v>
      </c>
      <c r="T100" s="207">
        <f>SUMIFS('октябрь 2023'!$G$4:$G$1074,'октябрь 2023'!$D$4:$D$1074,$B100,'октябрь 2023'!$J$4:$J$1074,T$1)</f>
        <v>0</v>
      </c>
      <c r="U100" s="207">
        <f>SUMIFS('октябрь 2023'!$G$4:$G$1074,'октябрь 2023'!$D$4:$D$1074,$B100,'октябрь 2023'!$J$4:$J$1074,U$1)</f>
        <v>0</v>
      </c>
      <c r="V100" s="207">
        <f>SUMIFS('октябрь 2023'!$G$4:$G$1074,'октябрь 2023'!$D$4:$D$1074,$B100,'октябрь 2023'!$J$4:$J$1074,V$1)</f>
        <v>0</v>
      </c>
      <c r="W100" s="207">
        <f>SUMIFS('октябрь 2023'!$G$4:$G$1074,'октябрь 2023'!$D$4:$D$1074,$B100,'октябрь 2023'!$J$4:$J$1074,W$1)</f>
        <v>0</v>
      </c>
      <c r="X100" s="207">
        <f>SUMIFS('октябрь 2023'!$G$4:$G$1074,'октябрь 2023'!$D$4:$D$1074,$B100,'октябрь 2023'!$J$4:$J$1074,X$1)</f>
        <v>0</v>
      </c>
      <c r="Y100" s="207">
        <f>SUMIFS('октябрь 2023'!$G$4:$G$1074,'октябрь 2023'!$D$4:$D$1074,$B100,'октябрь 2023'!$J$4:$J$1074,Y$1)</f>
        <v>0</v>
      </c>
      <c r="Z100" s="207">
        <f>SUMIFS('октябрь 2023'!$G$4:$G$1074,'октябрь 2023'!$D$4:$D$1074,$B100,'октябрь 2023'!$J$4:$J$1074,Z$1)</f>
        <v>0</v>
      </c>
      <c r="AA100" s="207">
        <f>SUMIFS('октябрь 2023'!$G$4:$G$1074,'октябрь 2023'!$D$4:$D$1074,$B100,'октябрь 2023'!$J$4:$J$1074,AA$1)</f>
        <v>0</v>
      </c>
      <c r="AB100" s="207">
        <f>SUMIFS('октябрь 2023'!$G$4:$G$1074,'октябрь 2023'!$D$4:$D$1074,$B100,'октябрь 2023'!$J$4:$J$1074,AB$1)</f>
        <v>0</v>
      </c>
      <c r="AC100" s="207">
        <f>SUMIFS('октябрь 2023'!$G$4:$G$1074,'октябрь 2023'!$D$4:$D$1074,$B100,'октябрь 2023'!$J$4:$J$1074,AC$1)</f>
        <v>0</v>
      </c>
      <c r="AD100" s="207">
        <f>SUMIFS('октябрь 2023'!$G$4:$G$1074,'октябрь 2023'!$D$4:$D$1074,$B100,'октябрь 2023'!$J$4:$J$1074,AD$1)</f>
        <v>0</v>
      </c>
      <c r="AE100" s="207">
        <f>SUMIFS('октябрь 2023'!$G$4:$G$1074,'октябрь 2023'!$D$4:$D$1074,$B100,'октябрь 2023'!$J$4:$J$1074,AE$1)</f>
        <v>0</v>
      </c>
      <c r="AF100" s="207">
        <f>SUMIFS('октябрь 2023'!$G$4:$G$1074,'октябрь 2023'!$D$4:$D$1074,$B100,'октябрь 2023'!$J$4:$J$1074,AF$1)</f>
        <v>0</v>
      </c>
      <c r="AG100" s="207">
        <f>SUMIFS('октябрь 2023'!$G$4:$G$1074,'октябрь 2023'!$D$4:$D$1074,$B100,'октябрь 2023'!$J$4:$J$1074,AG$1)</f>
        <v>0</v>
      </c>
      <c r="AH100" s="207">
        <f>SUMIFS('октябрь 2023'!$G$4:$G$1074,'октябрь 2023'!$D$4:$D$1074,$B100,'октябрь 2023'!$J$4:$J$1074,AH$1)</f>
        <v>0</v>
      </c>
      <c r="AI100" s="170">
        <f t="shared" si="2"/>
        <v>0</v>
      </c>
    </row>
    <row r="101" spans="2:35" ht="15" customHeight="1" x14ac:dyDescent="0.25">
      <c r="B101" s="216" t="s">
        <v>2193</v>
      </c>
      <c r="C101" s="213">
        <v>190</v>
      </c>
      <c r="D101" s="207">
        <f>SUMIFS('октябрь 2023'!$G$4:$G$1074,'октябрь 2023'!$D$4:$D$1074,$B101,'октябрь 2023'!$J$4:$J$1074,D$1)</f>
        <v>0</v>
      </c>
      <c r="E101" s="207">
        <f>SUMIFS('октябрь 2023'!$G$4:$G$1074,'октябрь 2023'!$D$4:$D$1074,$B101,'октябрь 2023'!$J$4:$J$1074,E$1)</f>
        <v>0</v>
      </c>
      <c r="F101" s="207">
        <f>SUMIFS('октябрь 2023'!$G$4:$G$1074,'октябрь 2023'!$D$4:$D$1074,$B101,'октябрь 2023'!$J$4:$J$1074,F$1)</f>
        <v>0</v>
      </c>
      <c r="G101" s="207">
        <f>SUMIFS('октябрь 2023'!$G$4:$G$1074,'октябрь 2023'!$D$4:$D$1074,$B101,'октябрь 2023'!$J$4:$J$1074,G$1)</f>
        <v>0</v>
      </c>
      <c r="H101" s="207">
        <f>SUMIFS('октябрь 2023'!$G$4:$G$1074,'октябрь 2023'!$D$4:$D$1074,$B101,'октябрь 2023'!$J$4:$J$1074,H$1)</f>
        <v>0</v>
      </c>
      <c r="I101" s="207">
        <f>SUMIFS('октябрь 2023'!$G$4:$G$1074,'октябрь 2023'!$D$4:$D$1074,$B101,'октябрь 2023'!$J$4:$J$1074,I$1)</f>
        <v>0</v>
      </c>
      <c r="J101" s="207">
        <f>SUMIFS('октябрь 2023'!$G$4:$G$1074,'октябрь 2023'!$D$4:$D$1074,$B101,'октябрь 2023'!$J$4:$J$1074,J$1)</f>
        <v>0</v>
      </c>
      <c r="K101" s="207">
        <f>SUMIFS('октябрь 2023'!$G$4:$G$1074,'октябрь 2023'!$D$4:$D$1074,$B101,'октябрь 2023'!$J$4:$J$1074,K$1)</f>
        <v>0</v>
      </c>
      <c r="L101" s="207">
        <f>SUMIFS('октябрь 2023'!$G$4:$G$1074,'октябрь 2023'!$D$4:$D$1074,$B101,'октябрь 2023'!$J$4:$J$1074,L$1)</f>
        <v>0</v>
      </c>
      <c r="M101" s="207">
        <f>SUMIFS('октябрь 2023'!$G$4:$G$1074,'октябрь 2023'!$D$4:$D$1074,$B101,'октябрь 2023'!$J$4:$J$1074,M$1)</f>
        <v>0</v>
      </c>
      <c r="N101" s="207">
        <f>SUMIFS('октябрь 2023'!$G$4:$G$1074,'октябрь 2023'!$D$4:$D$1074,$B101,'октябрь 2023'!$J$4:$J$1074,N$1)</f>
        <v>0</v>
      </c>
      <c r="O101" s="207">
        <f>SUMIFS('октябрь 2023'!$G$4:$G$1074,'октябрь 2023'!$D$4:$D$1074,$B101,'октябрь 2023'!$J$4:$J$1074,O$1)</f>
        <v>0</v>
      </c>
      <c r="P101" s="207">
        <f>SUMIFS('октябрь 2023'!$G$4:$G$1074,'октябрь 2023'!$D$4:$D$1074,$B101,'октябрь 2023'!$J$4:$J$1074,P$1)</f>
        <v>0</v>
      </c>
      <c r="Q101" s="207">
        <f>SUMIFS('октябрь 2023'!$G$4:$G$1074,'октябрь 2023'!$D$4:$D$1074,$B101,'октябрь 2023'!$J$4:$J$1074,Q$1)</f>
        <v>0</v>
      </c>
      <c r="R101" s="207">
        <f>SUMIFS('октябрь 2023'!$G$4:$G$1074,'октябрь 2023'!$D$4:$D$1074,$B101,'октябрь 2023'!$J$4:$J$1074,R$1)</f>
        <v>0</v>
      </c>
      <c r="S101" s="207">
        <f>SUMIFS('октябрь 2023'!$G$4:$G$1074,'октябрь 2023'!$D$4:$D$1074,$B101,'октябрь 2023'!$J$4:$J$1074,S$1)</f>
        <v>0</v>
      </c>
      <c r="T101" s="207">
        <f>SUMIFS('октябрь 2023'!$G$4:$G$1074,'октябрь 2023'!$D$4:$D$1074,$B101,'октябрь 2023'!$J$4:$J$1074,T$1)</f>
        <v>0</v>
      </c>
      <c r="U101" s="207">
        <f>SUMIFS('октябрь 2023'!$G$4:$G$1074,'октябрь 2023'!$D$4:$D$1074,$B101,'октябрь 2023'!$J$4:$J$1074,U$1)</f>
        <v>0</v>
      </c>
      <c r="V101" s="207">
        <f>SUMIFS('октябрь 2023'!$G$4:$G$1074,'октябрь 2023'!$D$4:$D$1074,$B101,'октябрь 2023'!$J$4:$J$1074,V$1)</f>
        <v>0</v>
      </c>
      <c r="W101" s="207">
        <f>SUMIFS('октябрь 2023'!$G$4:$G$1074,'октябрь 2023'!$D$4:$D$1074,$B101,'октябрь 2023'!$J$4:$J$1074,W$1)</f>
        <v>0</v>
      </c>
      <c r="X101" s="207">
        <f>SUMIFS('октябрь 2023'!$G$4:$G$1074,'октябрь 2023'!$D$4:$D$1074,$B101,'октябрь 2023'!$J$4:$J$1074,X$1)</f>
        <v>0</v>
      </c>
      <c r="Y101" s="207">
        <f>SUMIFS('октябрь 2023'!$G$4:$G$1074,'октябрь 2023'!$D$4:$D$1074,$B101,'октябрь 2023'!$J$4:$J$1074,Y$1)</f>
        <v>0</v>
      </c>
      <c r="Z101" s="207">
        <f>SUMIFS('октябрь 2023'!$G$4:$G$1074,'октябрь 2023'!$D$4:$D$1074,$B101,'октябрь 2023'!$J$4:$J$1074,Z$1)</f>
        <v>0</v>
      </c>
      <c r="AA101" s="207">
        <f>SUMIFS('октябрь 2023'!$G$4:$G$1074,'октябрь 2023'!$D$4:$D$1074,$B101,'октябрь 2023'!$J$4:$J$1074,AA$1)</f>
        <v>0</v>
      </c>
      <c r="AB101" s="207">
        <f>SUMIFS('октябрь 2023'!$G$4:$G$1074,'октябрь 2023'!$D$4:$D$1074,$B101,'октябрь 2023'!$J$4:$J$1074,AB$1)</f>
        <v>0</v>
      </c>
      <c r="AC101" s="207">
        <f>SUMIFS('октябрь 2023'!$G$4:$G$1074,'октябрь 2023'!$D$4:$D$1074,$B101,'октябрь 2023'!$J$4:$J$1074,AC$1)</f>
        <v>0</v>
      </c>
      <c r="AD101" s="207">
        <f>SUMIFS('октябрь 2023'!$G$4:$G$1074,'октябрь 2023'!$D$4:$D$1074,$B101,'октябрь 2023'!$J$4:$J$1074,AD$1)</f>
        <v>0</v>
      </c>
      <c r="AE101" s="207">
        <f>SUMIFS('октябрь 2023'!$G$4:$G$1074,'октябрь 2023'!$D$4:$D$1074,$B101,'октябрь 2023'!$J$4:$J$1074,AE$1)</f>
        <v>0</v>
      </c>
      <c r="AF101" s="207">
        <f>SUMIFS('октябрь 2023'!$G$4:$G$1074,'октябрь 2023'!$D$4:$D$1074,$B101,'октябрь 2023'!$J$4:$J$1074,AF$1)</f>
        <v>0</v>
      </c>
      <c r="AG101" s="207">
        <f>SUMIFS('октябрь 2023'!$G$4:$G$1074,'октябрь 2023'!$D$4:$D$1074,$B101,'октябрь 2023'!$J$4:$J$1074,AG$1)</f>
        <v>0</v>
      </c>
      <c r="AH101" s="207">
        <f>SUMIFS('октябрь 2023'!$G$4:$G$1074,'октябрь 2023'!$D$4:$D$1074,$B101,'октябрь 2023'!$J$4:$J$1074,AH$1)</f>
        <v>0</v>
      </c>
      <c r="AI101" s="170">
        <f t="shared" si="2"/>
        <v>0</v>
      </c>
    </row>
    <row r="102" spans="2:35" ht="15" customHeight="1" x14ac:dyDescent="0.25">
      <c r="B102" s="216" t="s">
        <v>2194</v>
      </c>
      <c r="C102" s="213">
        <v>20</v>
      </c>
      <c r="D102" s="207">
        <f>SUMIFS('октябрь 2023'!$G$4:$G$1074,'октябрь 2023'!$D$4:$D$1074,$B102,'октябрь 2023'!$J$4:$J$1074,D$1)</f>
        <v>0</v>
      </c>
      <c r="E102" s="207">
        <f>SUMIFS('октябрь 2023'!$G$4:$G$1074,'октябрь 2023'!$D$4:$D$1074,$B102,'октябрь 2023'!$J$4:$J$1074,E$1)</f>
        <v>0</v>
      </c>
      <c r="F102" s="207">
        <f>SUMIFS('октябрь 2023'!$G$4:$G$1074,'октябрь 2023'!$D$4:$D$1074,$B102,'октябрь 2023'!$J$4:$J$1074,F$1)</f>
        <v>0</v>
      </c>
      <c r="G102" s="207">
        <f>SUMIFS('октябрь 2023'!$G$4:$G$1074,'октябрь 2023'!$D$4:$D$1074,$B102,'октябрь 2023'!$J$4:$J$1074,G$1)</f>
        <v>0</v>
      </c>
      <c r="H102" s="207">
        <f>SUMIFS('октябрь 2023'!$G$4:$G$1074,'октябрь 2023'!$D$4:$D$1074,$B102,'октябрь 2023'!$J$4:$J$1074,H$1)</f>
        <v>0</v>
      </c>
      <c r="I102" s="207">
        <f>SUMIFS('октябрь 2023'!$G$4:$G$1074,'октябрь 2023'!$D$4:$D$1074,$B102,'октябрь 2023'!$J$4:$J$1074,I$1)</f>
        <v>0</v>
      </c>
      <c r="J102" s="207">
        <f>SUMIFS('октябрь 2023'!$G$4:$G$1074,'октябрь 2023'!$D$4:$D$1074,$B102,'октябрь 2023'!$J$4:$J$1074,J$1)</f>
        <v>0</v>
      </c>
      <c r="K102" s="207">
        <f>SUMIFS('октябрь 2023'!$G$4:$G$1074,'октябрь 2023'!$D$4:$D$1074,$B102,'октябрь 2023'!$J$4:$J$1074,K$1)</f>
        <v>0</v>
      </c>
      <c r="L102" s="207">
        <f>SUMIFS('октябрь 2023'!$G$4:$G$1074,'октябрь 2023'!$D$4:$D$1074,$B102,'октябрь 2023'!$J$4:$J$1074,L$1)</f>
        <v>0</v>
      </c>
      <c r="M102" s="207">
        <f>SUMIFS('октябрь 2023'!$G$4:$G$1074,'октябрь 2023'!$D$4:$D$1074,$B102,'октябрь 2023'!$J$4:$J$1074,M$1)</f>
        <v>0</v>
      </c>
      <c r="N102" s="207">
        <f>SUMIFS('октябрь 2023'!$G$4:$G$1074,'октябрь 2023'!$D$4:$D$1074,$B102,'октябрь 2023'!$J$4:$J$1074,N$1)</f>
        <v>0</v>
      </c>
      <c r="O102" s="207">
        <f>SUMIFS('октябрь 2023'!$G$4:$G$1074,'октябрь 2023'!$D$4:$D$1074,$B102,'октябрь 2023'!$J$4:$J$1074,O$1)</f>
        <v>0</v>
      </c>
      <c r="P102" s="207">
        <f>SUMIFS('октябрь 2023'!$G$4:$G$1074,'октябрь 2023'!$D$4:$D$1074,$B102,'октябрь 2023'!$J$4:$J$1074,P$1)</f>
        <v>0</v>
      </c>
      <c r="Q102" s="207">
        <f>SUMIFS('октябрь 2023'!$G$4:$G$1074,'октябрь 2023'!$D$4:$D$1074,$B102,'октябрь 2023'!$J$4:$J$1074,Q$1)</f>
        <v>0</v>
      </c>
      <c r="R102" s="207">
        <f>SUMIFS('октябрь 2023'!$G$4:$G$1074,'октябрь 2023'!$D$4:$D$1074,$B102,'октябрь 2023'!$J$4:$J$1074,R$1)</f>
        <v>0</v>
      </c>
      <c r="S102" s="207">
        <f>SUMIFS('октябрь 2023'!$G$4:$G$1074,'октябрь 2023'!$D$4:$D$1074,$B102,'октябрь 2023'!$J$4:$J$1074,S$1)</f>
        <v>0</v>
      </c>
      <c r="T102" s="207">
        <f>SUMIFS('октябрь 2023'!$G$4:$G$1074,'октябрь 2023'!$D$4:$D$1074,$B102,'октябрь 2023'!$J$4:$J$1074,T$1)</f>
        <v>0</v>
      </c>
      <c r="U102" s="207">
        <f>SUMIFS('октябрь 2023'!$G$4:$G$1074,'октябрь 2023'!$D$4:$D$1074,$B102,'октябрь 2023'!$J$4:$J$1074,U$1)</f>
        <v>0</v>
      </c>
      <c r="V102" s="207">
        <f>SUMIFS('октябрь 2023'!$G$4:$G$1074,'октябрь 2023'!$D$4:$D$1074,$B102,'октябрь 2023'!$J$4:$J$1074,V$1)</f>
        <v>0</v>
      </c>
      <c r="W102" s="207">
        <f>SUMIFS('октябрь 2023'!$G$4:$G$1074,'октябрь 2023'!$D$4:$D$1074,$B102,'октябрь 2023'!$J$4:$J$1074,W$1)</f>
        <v>0</v>
      </c>
      <c r="X102" s="207">
        <f>SUMIFS('октябрь 2023'!$G$4:$G$1074,'октябрь 2023'!$D$4:$D$1074,$B102,'октябрь 2023'!$J$4:$J$1074,X$1)</f>
        <v>0</v>
      </c>
      <c r="Y102" s="207">
        <f>SUMIFS('октябрь 2023'!$G$4:$G$1074,'октябрь 2023'!$D$4:$D$1074,$B102,'октябрь 2023'!$J$4:$J$1074,Y$1)</f>
        <v>0</v>
      </c>
      <c r="Z102" s="207">
        <f>SUMIFS('октябрь 2023'!$G$4:$G$1074,'октябрь 2023'!$D$4:$D$1074,$B102,'октябрь 2023'!$J$4:$J$1074,Z$1)</f>
        <v>0</v>
      </c>
      <c r="AA102" s="207">
        <f>SUMIFS('октябрь 2023'!$G$4:$G$1074,'октябрь 2023'!$D$4:$D$1074,$B102,'октябрь 2023'!$J$4:$J$1074,AA$1)</f>
        <v>0</v>
      </c>
      <c r="AB102" s="207">
        <f>SUMIFS('октябрь 2023'!$G$4:$G$1074,'октябрь 2023'!$D$4:$D$1074,$B102,'октябрь 2023'!$J$4:$J$1074,AB$1)</f>
        <v>0</v>
      </c>
      <c r="AC102" s="207">
        <f>SUMIFS('октябрь 2023'!$G$4:$G$1074,'октябрь 2023'!$D$4:$D$1074,$B102,'октябрь 2023'!$J$4:$J$1074,AC$1)</f>
        <v>0</v>
      </c>
      <c r="AD102" s="207">
        <f>SUMIFS('октябрь 2023'!$G$4:$G$1074,'октябрь 2023'!$D$4:$D$1074,$B102,'октябрь 2023'!$J$4:$J$1074,AD$1)</f>
        <v>0</v>
      </c>
      <c r="AE102" s="207">
        <f>SUMIFS('октябрь 2023'!$G$4:$G$1074,'октябрь 2023'!$D$4:$D$1074,$B102,'октябрь 2023'!$J$4:$J$1074,AE$1)</f>
        <v>0</v>
      </c>
      <c r="AF102" s="207">
        <f>SUMIFS('октябрь 2023'!$G$4:$G$1074,'октябрь 2023'!$D$4:$D$1074,$B102,'октябрь 2023'!$J$4:$J$1074,AF$1)</f>
        <v>0</v>
      </c>
      <c r="AG102" s="207">
        <f>SUMIFS('октябрь 2023'!$G$4:$G$1074,'октябрь 2023'!$D$4:$D$1074,$B102,'октябрь 2023'!$J$4:$J$1074,AG$1)</f>
        <v>0</v>
      </c>
      <c r="AH102" s="207">
        <f>SUMIFS('октябрь 2023'!$G$4:$G$1074,'октябрь 2023'!$D$4:$D$1074,$B102,'октябрь 2023'!$J$4:$J$1074,AH$1)</f>
        <v>0</v>
      </c>
      <c r="AI102" s="170">
        <f t="shared" si="2"/>
        <v>0</v>
      </c>
    </row>
    <row r="103" spans="2:35" ht="15" customHeight="1" x14ac:dyDescent="0.25">
      <c r="B103" s="212" t="s">
        <v>2195</v>
      </c>
      <c r="C103" s="211">
        <v>20</v>
      </c>
      <c r="D103" s="207">
        <f>SUMIFS('октябрь 2023'!$G$4:$G$1074,'октябрь 2023'!$D$4:$D$1074,$B103,'октябрь 2023'!$J$4:$J$1074,D$1)</f>
        <v>0</v>
      </c>
      <c r="E103" s="207">
        <f>SUMIFS('октябрь 2023'!$G$4:$G$1074,'октябрь 2023'!$D$4:$D$1074,$B103,'октябрь 2023'!$J$4:$J$1074,E$1)</f>
        <v>0</v>
      </c>
      <c r="F103" s="207">
        <f>SUMIFS('октябрь 2023'!$G$4:$G$1074,'октябрь 2023'!$D$4:$D$1074,$B103,'октябрь 2023'!$J$4:$J$1074,F$1)</f>
        <v>0</v>
      </c>
      <c r="G103" s="207">
        <f>SUMIFS('октябрь 2023'!$G$4:$G$1074,'октябрь 2023'!$D$4:$D$1074,$B103,'октябрь 2023'!$J$4:$J$1074,G$1)</f>
        <v>0</v>
      </c>
      <c r="H103" s="207">
        <f>SUMIFS('октябрь 2023'!$G$4:$G$1074,'октябрь 2023'!$D$4:$D$1074,$B103,'октябрь 2023'!$J$4:$J$1074,H$1)</f>
        <v>0</v>
      </c>
      <c r="I103" s="207">
        <f>SUMIFS('октябрь 2023'!$G$4:$G$1074,'октябрь 2023'!$D$4:$D$1074,$B103,'октябрь 2023'!$J$4:$J$1074,I$1)</f>
        <v>0</v>
      </c>
      <c r="J103" s="207">
        <f>SUMIFS('октябрь 2023'!$G$4:$G$1074,'октябрь 2023'!$D$4:$D$1074,$B103,'октябрь 2023'!$J$4:$J$1074,J$1)</f>
        <v>0</v>
      </c>
      <c r="K103" s="207">
        <f>SUMIFS('октябрь 2023'!$G$4:$G$1074,'октябрь 2023'!$D$4:$D$1074,$B103,'октябрь 2023'!$J$4:$J$1074,K$1)</f>
        <v>0</v>
      </c>
      <c r="L103" s="207">
        <f>SUMIFS('октябрь 2023'!$G$4:$G$1074,'октябрь 2023'!$D$4:$D$1074,$B103,'октябрь 2023'!$J$4:$J$1074,L$1)</f>
        <v>0</v>
      </c>
      <c r="M103" s="207">
        <f>SUMIFS('октябрь 2023'!$G$4:$G$1074,'октябрь 2023'!$D$4:$D$1074,$B103,'октябрь 2023'!$J$4:$J$1074,M$1)</f>
        <v>0</v>
      </c>
      <c r="N103" s="207">
        <f>SUMIFS('октябрь 2023'!$G$4:$G$1074,'октябрь 2023'!$D$4:$D$1074,$B103,'октябрь 2023'!$J$4:$J$1074,N$1)</f>
        <v>0</v>
      </c>
      <c r="O103" s="207">
        <f>SUMIFS('октябрь 2023'!$G$4:$G$1074,'октябрь 2023'!$D$4:$D$1074,$B103,'октябрь 2023'!$J$4:$J$1074,O$1)</f>
        <v>0</v>
      </c>
      <c r="P103" s="207">
        <f>SUMIFS('октябрь 2023'!$G$4:$G$1074,'октябрь 2023'!$D$4:$D$1074,$B103,'октябрь 2023'!$J$4:$J$1074,P$1)</f>
        <v>0</v>
      </c>
      <c r="Q103" s="207">
        <f>SUMIFS('октябрь 2023'!$G$4:$G$1074,'октябрь 2023'!$D$4:$D$1074,$B103,'октябрь 2023'!$J$4:$J$1074,Q$1)</f>
        <v>0</v>
      </c>
      <c r="R103" s="207">
        <f>SUMIFS('октябрь 2023'!$G$4:$G$1074,'октябрь 2023'!$D$4:$D$1074,$B103,'октябрь 2023'!$J$4:$J$1074,R$1)</f>
        <v>0</v>
      </c>
      <c r="S103" s="207">
        <f>SUMIFS('октябрь 2023'!$G$4:$G$1074,'октябрь 2023'!$D$4:$D$1074,$B103,'октябрь 2023'!$J$4:$J$1074,S$1)</f>
        <v>0</v>
      </c>
      <c r="T103" s="207">
        <f>SUMIFS('октябрь 2023'!$G$4:$G$1074,'октябрь 2023'!$D$4:$D$1074,$B103,'октябрь 2023'!$J$4:$J$1074,T$1)</f>
        <v>0</v>
      </c>
      <c r="U103" s="207">
        <f>SUMIFS('октябрь 2023'!$G$4:$G$1074,'октябрь 2023'!$D$4:$D$1074,$B103,'октябрь 2023'!$J$4:$J$1074,U$1)</f>
        <v>0</v>
      </c>
      <c r="V103" s="207">
        <f>SUMIFS('октябрь 2023'!$G$4:$G$1074,'октябрь 2023'!$D$4:$D$1074,$B103,'октябрь 2023'!$J$4:$J$1074,V$1)</f>
        <v>0</v>
      </c>
      <c r="W103" s="207">
        <f>SUMIFS('октябрь 2023'!$G$4:$G$1074,'октябрь 2023'!$D$4:$D$1074,$B103,'октябрь 2023'!$J$4:$J$1074,W$1)</f>
        <v>0</v>
      </c>
      <c r="X103" s="207">
        <f>SUMIFS('октябрь 2023'!$G$4:$G$1074,'октябрь 2023'!$D$4:$D$1074,$B103,'октябрь 2023'!$J$4:$J$1074,X$1)</f>
        <v>0</v>
      </c>
      <c r="Y103" s="207">
        <f>SUMIFS('октябрь 2023'!$G$4:$G$1074,'октябрь 2023'!$D$4:$D$1074,$B103,'октябрь 2023'!$J$4:$J$1074,Y$1)</f>
        <v>0</v>
      </c>
      <c r="Z103" s="207">
        <f>SUMIFS('октябрь 2023'!$G$4:$G$1074,'октябрь 2023'!$D$4:$D$1074,$B103,'октябрь 2023'!$J$4:$J$1074,Z$1)</f>
        <v>0</v>
      </c>
      <c r="AA103" s="207">
        <f>SUMIFS('октябрь 2023'!$G$4:$G$1074,'октябрь 2023'!$D$4:$D$1074,$B103,'октябрь 2023'!$J$4:$J$1074,AA$1)</f>
        <v>0</v>
      </c>
      <c r="AB103" s="207">
        <f>SUMIFS('октябрь 2023'!$G$4:$G$1074,'октябрь 2023'!$D$4:$D$1074,$B103,'октябрь 2023'!$J$4:$J$1074,AB$1)</f>
        <v>0</v>
      </c>
      <c r="AC103" s="207">
        <f>SUMIFS('октябрь 2023'!$G$4:$G$1074,'октябрь 2023'!$D$4:$D$1074,$B103,'октябрь 2023'!$J$4:$J$1074,AC$1)</f>
        <v>0</v>
      </c>
      <c r="AD103" s="207">
        <f>SUMIFS('октябрь 2023'!$G$4:$G$1074,'октябрь 2023'!$D$4:$D$1074,$B103,'октябрь 2023'!$J$4:$J$1074,AD$1)</f>
        <v>0</v>
      </c>
      <c r="AE103" s="207">
        <f>SUMIFS('октябрь 2023'!$G$4:$G$1074,'октябрь 2023'!$D$4:$D$1074,$B103,'октябрь 2023'!$J$4:$J$1074,AE$1)</f>
        <v>0</v>
      </c>
      <c r="AF103" s="207">
        <f>SUMIFS('октябрь 2023'!$G$4:$G$1074,'октябрь 2023'!$D$4:$D$1074,$B103,'октябрь 2023'!$J$4:$J$1074,AF$1)</f>
        <v>0</v>
      </c>
      <c r="AG103" s="207">
        <f>SUMIFS('октябрь 2023'!$G$4:$G$1074,'октябрь 2023'!$D$4:$D$1074,$B103,'октябрь 2023'!$J$4:$J$1074,AG$1)</f>
        <v>0</v>
      </c>
      <c r="AH103" s="207">
        <f>SUMIFS('октябрь 2023'!$G$4:$G$1074,'октябрь 2023'!$D$4:$D$1074,$B103,'октябрь 2023'!$J$4:$J$1074,AH$1)</f>
        <v>0</v>
      </c>
      <c r="AI103" s="170">
        <f t="shared" si="2"/>
        <v>0</v>
      </c>
    </row>
    <row r="104" spans="2:35" ht="15" customHeight="1" x14ac:dyDescent="0.25">
      <c r="B104" s="212" t="s">
        <v>2196</v>
      </c>
      <c r="C104" s="211">
        <v>20</v>
      </c>
      <c r="D104" s="207">
        <f>SUMIFS('октябрь 2023'!$G$4:$G$1074,'октябрь 2023'!$D$4:$D$1074,$B104,'октябрь 2023'!$J$4:$J$1074,D$1)</f>
        <v>0</v>
      </c>
      <c r="E104" s="207">
        <f>SUMIFS('октябрь 2023'!$G$4:$G$1074,'октябрь 2023'!$D$4:$D$1074,$B104,'октябрь 2023'!$J$4:$J$1074,E$1)</f>
        <v>0</v>
      </c>
      <c r="F104" s="207">
        <f>SUMIFS('октябрь 2023'!$G$4:$G$1074,'октябрь 2023'!$D$4:$D$1074,$B104,'октябрь 2023'!$J$4:$J$1074,F$1)</f>
        <v>0</v>
      </c>
      <c r="G104" s="207">
        <f>SUMIFS('октябрь 2023'!$G$4:$G$1074,'октябрь 2023'!$D$4:$D$1074,$B104,'октябрь 2023'!$J$4:$J$1074,G$1)</f>
        <v>0</v>
      </c>
      <c r="H104" s="207">
        <f>SUMIFS('октябрь 2023'!$G$4:$G$1074,'октябрь 2023'!$D$4:$D$1074,$B104,'октябрь 2023'!$J$4:$J$1074,H$1)</f>
        <v>0</v>
      </c>
      <c r="I104" s="207">
        <f>SUMIFS('октябрь 2023'!$G$4:$G$1074,'октябрь 2023'!$D$4:$D$1074,$B104,'октябрь 2023'!$J$4:$J$1074,I$1)</f>
        <v>0</v>
      </c>
      <c r="J104" s="207">
        <f>SUMIFS('октябрь 2023'!$G$4:$G$1074,'октябрь 2023'!$D$4:$D$1074,$B104,'октябрь 2023'!$J$4:$J$1074,J$1)</f>
        <v>0</v>
      </c>
      <c r="K104" s="207">
        <f>SUMIFS('октябрь 2023'!$G$4:$G$1074,'октябрь 2023'!$D$4:$D$1074,$B104,'октябрь 2023'!$J$4:$J$1074,K$1)</f>
        <v>0</v>
      </c>
      <c r="L104" s="207">
        <f>SUMIFS('октябрь 2023'!$G$4:$G$1074,'октябрь 2023'!$D$4:$D$1074,$B104,'октябрь 2023'!$J$4:$J$1074,L$1)</f>
        <v>0</v>
      </c>
      <c r="M104" s="207">
        <f>SUMIFS('октябрь 2023'!$G$4:$G$1074,'октябрь 2023'!$D$4:$D$1074,$B104,'октябрь 2023'!$J$4:$J$1074,M$1)</f>
        <v>0</v>
      </c>
      <c r="N104" s="207">
        <f>SUMIFS('октябрь 2023'!$G$4:$G$1074,'октябрь 2023'!$D$4:$D$1074,$B104,'октябрь 2023'!$J$4:$J$1074,N$1)</f>
        <v>0</v>
      </c>
      <c r="O104" s="207">
        <f>SUMIFS('октябрь 2023'!$G$4:$G$1074,'октябрь 2023'!$D$4:$D$1074,$B104,'октябрь 2023'!$J$4:$J$1074,O$1)</f>
        <v>0</v>
      </c>
      <c r="P104" s="207">
        <f>SUMIFS('октябрь 2023'!$G$4:$G$1074,'октябрь 2023'!$D$4:$D$1074,$B104,'октябрь 2023'!$J$4:$J$1074,P$1)</f>
        <v>0</v>
      </c>
      <c r="Q104" s="207">
        <f>SUMIFS('октябрь 2023'!$G$4:$G$1074,'октябрь 2023'!$D$4:$D$1074,$B104,'октябрь 2023'!$J$4:$J$1074,Q$1)</f>
        <v>0</v>
      </c>
      <c r="R104" s="207">
        <f>SUMIFS('октябрь 2023'!$G$4:$G$1074,'октябрь 2023'!$D$4:$D$1074,$B104,'октябрь 2023'!$J$4:$J$1074,R$1)</f>
        <v>0</v>
      </c>
      <c r="S104" s="207">
        <f>SUMIFS('октябрь 2023'!$G$4:$G$1074,'октябрь 2023'!$D$4:$D$1074,$B104,'октябрь 2023'!$J$4:$J$1074,S$1)</f>
        <v>0</v>
      </c>
      <c r="T104" s="207">
        <f>SUMIFS('октябрь 2023'!$G$4:$G$1074,'октябрь 2023'!$D$4:$D$1074,$B104,'октябрь 2023'!$J$4:$J$1074,T$1)</f>
        <v>0</v>
      </c>
      <c r="U104" s="207">
        <f>SUMIFS('октябрь 2023'!$G$4:$G$1074,'октябрь 2023'!$D$4:$D$1074,$B104,'октябрь 2023'!$J$4:$J$1074,U$1)</f>
        <v>0</v>
      </c>
      <c r="V104" s="207">
        <f>SUMIFS('октябрь 2023'!$G$4:$G$1074,'октябрь 2023'!$D$4:$D$1074,$B104,'октябрь 2023'!$J$4:$J$1074,V$1)</f>
        <v>0</v>
      </c>
      <c r="W104" s="207">
        <f>SUMIFS('октябрь 2023'!$G$4:$G$1074,'октябрь 2023'!$D$4:$D$1074,$B104,'октябрь 2023'!$J$4:$J$1074,W$1)</f>
        <v>0</v>
      </c>
      <c r="X104" s="207">
        <f>SUMIFS('октябрь 2023'!$G$4:$G$1074,'октябрь 2023'!$D$4:$D$1074,$B104,'октябрь 2023'!$J$4:$J$1074,X$1)</f>
        <v>0</v>
      </c>
      <c r="Y104" s="207">
        <f>SUMIFS('октябрь 2023'!$G$4:$G$1074,'октябрь 2023'!$D$4:$D$1074,$B104,'октябрь 2023'!$J$4:$J$1074,Y$1)</f>
        <v>0</v>
      </c>
      <c r="Z104" s="207">
        <f>SUMIFS('октябрь 2023'!$G$4:$G$1074,'октябрь 2023'!$D$4:$D$1074,$B104,'октябрь 2023'!$J$4:$J$1074,Z$1)</f>
        <v>0</v>
      </c>
      <c r="AA104" s="207">
        <f>SUMIFS('октябрь 2023'!$G$4:$G$1074,'октябрь 2023'!$D$4:$D$1074,$B104,'октябрь 2023'!$J$4:$J$1074,AA$1)</f>
        <v>0</v>
      </c>
      <c r="AB104" s="207">
        <f>SUMIFS('октябрь 2023'!$G$4:$G$1074,'октябрь 2023'!$D$4:$D$1074,$B104,'октябрь 2023'!$J$4:$J$1074,AB$1)</f>
        <v>0</v>
      </c>
      <c r="AC104" s="207">
        <f>SUMIFS('октябрь 2023'!$G$4:$G$1074,'октябрь 2023'!$D$4:$D$1074,$B104,'октябрь 2023'!$J$4:$J$1074,AC$1)</f>
        <v>0</v>
      </c>
      <c r="AD104" s="207">
        <f>SUMIFS('октябрь 2023'!$G$4:$G$1074,'октябрь 2023'!$D$4:$D$1074,$B104,'октябрь 2023'!$J$4:$J$1074,AD$1)</f>
        <v>0</v>
      </c>
      <c r="AE104" s="207">
        <f>SUMIFS('октябрь 2023'!$G$4:$G$1074,'октябрь 2023'!$D$4:$D$1074,$B104,'октябрь 2023'!$J$4:$J$1074,AE$1)</f>
        <v>0</v>
      </c>
      <c r="AF104" s="207">
        <f>SUMIFS('октябрь 2023'!$G$4:$G$1074,'октябрь 2023'!$D$4:$D$1074,$B104,'октябрь 2023'!$J$4:$J$1074,AF$1)</f>
        <v>0</v>
      </c>
      <c r="AG104" s="207">
        <f>SUMIFS('октябрь 2023'!$G$4:$G$1074,'октябрь 2023'!$D$4:$D$1074,$B104,'октябрь 2023'!$J$4:$J$1074,AG$1)</f>
        <v>0</v>
      </c>
      <c r="AH104" s="207">
        <f>SUMIFS('октябрь 2023'!$G$4:$G$1074,'октябрь 2023'!$D$4:$D$1074,$B104,'октябрь 2023'!$J$4:$J$1074,AH$1)</f>
        <v>0</v>
      </c>
      <c r="AI104" s="170">
        <f t="shared" si="2"/>
        <v>0</v>
      </c>
    </row>
    <row r="105" spans="2:35" ht="15" customHeight="1" x14ac:dyDescent="0.25">
      <c r="B105" s="212" t="s">
        <v>2197</v>
      </c>
      <c r="C105" s="211">
        <v>20</v>
      </c>
      <c r="D105" s="207">
        <f>SUMIFS('октябрь 2023'!$G$4:$G$1074,'октябрь 2023'!$D$4:$D$1074,$B105,'октябрь 2023'!$J$4:$J$1074,D$1)</f>
        <v>0</v>
      </c>
      <c r="E105" s="207">
        <f>SUMIFS('октябрь 2023'!$G$4:$G$1074,'октябрь 2023'!$D$4:$D$1074,$B105,'октябрь 2023'!$J$4:$J$1074,E$1)</f>
        <v>0</v>
      </c>
      <c r="F105" s="207">
        <f>SUMIFS('октябрь 2023'!$G$4:$G$1074,'октябрь 2023'!$D$4:$D$1074,$B105,'октябрь 2023'!$J$4:$J$1074,F$1)</f>
        <v>0</v>
      </c>
      <c r="G105" s="207">
        <f>SUMIFS('октябрь 2023'!$G$4:$G$1074,'октябрь 2023'!$D$4:$D$1074,$B105,'октябрь 2023'!$J$4:$J$1074,G$1)</f>
        <v>0</v>
      </c>
      <c r="H105" s="207">
        <f>SUMIFS('октябрь 2023'!$G$4:$G$1074,'октябрь 2023'!$D$4:$D$1074,$B105,'октябрь 2023'!$J$4:$J$1074,H$1)</f>
        <v>0</v>
      </c>
      <c r="I105" s="207">
        <f>SUMIFS('октябрь 2023'!$G$4:$G$1074,'октябрь 2023'!$D$4:$D$1074,$B105,'октябрь 2023'!$J$4:$J$1074,I$1)</f>
        <v>0</v>
      </c>
      <c r="J105" s="207">
        <f>SUMIFS('октябрь 2023'!$G$4:$G$1074,'октябрь 2023'!$D$4:$D$1074,$B105,'октябрь 2023'!$J$4:$J$1074,J$1)</f>
        <v>0</v>
      </c>
      <c r="K105" s="207">
        <f>SUMIFS('октябрь 2023'!$G$4:$G$1074,'октябрь 2023'!$D$4:$D$1074,$B105,'октябрь 2023'!$J$4:$J$1074,K$1)</f>
        <v>0</v>
      </c>
      <c r="L105" s="207">
        <f>SUMIFS('октябрь 2023'!$G$4:$G$1074,'октябрь 2023'!$D$4:$D$1074,$B105,'октябрь 2023'!$J$4:$J$1074,L$1)</f>
        <v>0</v>
      </c>
      <c r="M105" s="207">
        <f>SUMIFS('октябрь 2023'!$G$4:$G$1074,'октябрь 2023'!$D$4:$D$1074,$B105,'октябрь 2023'!$J$4:$J$1074,M$1)</f>
        <v>0</v>
      </c>
      <c r="N105" s="207">
        <f>SUMIFS('октябрь 2023'!$G$4:$G$1074,'октябрь 2023'!$D$4:$D$1074,$B105,'октябрь 2023'!$J$4:$J$1074,N$1)</f>
        <v>0</v>
      </c>
      <c r="O105" s="207">
        <f>SUMIFS('октябрь 2023'!$G$4:$G$1074,'октябрь 2023'!$D$4:$D$1074,$B105,'октябрь 2023'!$J$4:$J$1074,O$1)</f>
        <v>0</v>
      </c>
      <c r="P105" s="207">
        <f>SUMIFS('октябрь 2023'!$G$4:$G$1074,'октябрь 2023'!$D$4:$D$1074,$B105,'октябрь 2023'!$J$4:$J$1074,P$1)</f>
        <v>0</v>
      </c>
      <c r="Q105" s="207">
        <f>SUMIFS('октябрь 2023'!$G$4:$G$1074,'октябрь 2023'!$D$4:$D$1074,$B105,'октябрь 2023'!$J$4:$J$1074,Q$1)</f>
        <v>0</v>
      </c>
      <c r="R105" s="207">
        <f>SUMIFS('октябрь 2023'!$G$4:$G$1074,'октябрь 2023'!$D$4:$D$1074,$B105,'октябрь 2023'!$J$4:$J$1074,R$1)</f>
        <v>0</v>
      </c>
      <c r="S105" s="207">
        <f>SUMIFS('октябрь 2023'!$G$4:$G$1074,'октябрь 2023'!$D$4:$D$1074,$B105,'октябрь 2023'!$J$4:$J$1074,S$1)</f>
        <v>0</v>
      </c>
      <c r="T105" s="207">
        <f>SUMIFS('октябрь 2023'!$G$4:$G$1074,'октябрь 2023'!$D$4:$D$1074,$B105,'октябрь 2023'!$J$4:$J$1074,T$1)</f>
        <v>0</v>
      </c>
      <c r="U105" s="207">
        <f>SUMIFS('октябрь 2023'!$G$4:$G$1074,'октябрь 2023'!$D$4:$D$1074,$B105,'октябрь 2023'!$J$4:$J$1074,U$1)</f>
        <v>0</v>
      </c>
      <c r="V105" s="207">
        <f>SUMIFS('октябрь 2023'!$G$4:$G$1074,'октябрь 2023'!$D$4:$D$1074,$B105,'октябрь 2023'!$J$4:$J$1074,V$1)</f>
        <v>0</v>
      </c>
      <c r="W105" s="207">
        <f>SUMIFS('октябрь 2023'!$G$4:$G$1074,'октябрь 2023'!$D$4:$D$1074,$B105,'октябрь 2023'!$J$4:$J$1074,W$1)</f>
        <v>0</v>
      </c>
      <c r="X105" s="207">
        <f>SUMIFS('октябрь 2023'!$G$4:$G$1074,'октябрь 2023'!$D$4:$D$1074,$B105,'октябрь 2023'!$J$4:$J$1074,X$1)</f>
        <v>0</v>
      </c>
      <c r="Y105" s="207">
        <f>SUMIFS('октябрь 2023'!$G$4:$G$1074,'октябрь 2023'!$D$4:$D$1074,$B105,'октябрь 2023'!$J$4:$J$1074,Y$1)</f>
        <v>0</v>
      </c>
      <c r="Z105" s="207">
        <f>SUMIFS('октябрь 2023'!$G$4:$G$1074,'октябрь 2023'!$D$4:$D$1074,$B105,'октябрь 2023'!$J$4:$J$1074,Z$1)</f>
        <v>0</v>
      </c>
      <c r="AA105" s="207">
        <f>SUMIFS('октябрь 2023'!$G$4:$G$1074,'октябрь 2023'!$D$4:$D$1074,$B105,'октябрь 2023'!$J$4:$J$1074,AA$1)</f>
        <v>0</v>
      </c>
      <c r="AB105" s="207">
        <f>SUMIFS('октябрь 2023'!$G$4:$G$1074,'октябрь 2023'!$D$4:$D$1074,$B105,'октябрь 2023'!$J$4:$J$1074,AB$1)</f>
        <v>0</v>
      </c>
      <c r="AC105" s="207">
        <f>SUMIFS('октябрь 2023'!$G$4:$G$1074,'октябрь 2023'!$D$4:$D$1074,$B105,'октябрь 2023'!$J$4:$J$1074,AC$1)</f>
        <v>0</v>
      </c>
      <c r="AD105" s="207">
        <f>SUMIFS('октябрь 2023'!$G$4:$G$1074,'октябрь 2023'!$D$4:$D$1074,$B105,'октябрь 2023'!$J$4:$J$1074,AD$1)</f>
        <v>0</v>
      </c>
      <c r="AE105" s="207">
        <f>SUMIFS('октябрь 2023'!$G$4:$G$1074,'октябрь 2023'!$D$4:$D$1074,$B105,'октябрь 2023'!$J$4:$J$1074,AE$1)</f>
        <v>0</v>
      </c>
      <c r="AF105" s="207">
        <f>SUMIFS('октябрь 2023'!$G$4:$G$1074,'октябрь 2023'!$D$4:$D$1074,$B105,'октябрь 2023'!$J$4:$J$1074,AF$1)</f>
        <v>0</v>
      </c>
      <c r="AG105" s="207">
        <f>SUMIFS('октябрь 2023'!$G$4:$G$1074,'октябрь 2023'!$D$4:$D$1074,$B105,'октябрь 2023'!$J$4:$J$1074,AG$1)</f>
        <v>0</v>
      </c>
      <c r="AH105" s="207">
        <f>SUMIFS('октябрь 2023'!$G$4:$G$1074,'октябрь 2023'!$D$4:$D$1074,$B105,'октябрь 2023'!$J$4:$J$1074,AH$1)</f>
        <v>0</v>
      </c>
      <c r="AI105" s="170">
        <f t="shared" si="2"/>
        <v>0</v>
      </c>
    </row>
    <row r="106" spans="2:35" ht="15" customHeight="1" x14ac:dyDescent="0.25">
      <c r="B106" s="212" t="s">
        <v>147</v>
      </c>
      <c r="C106" s="211">
        <v>200</v>
      </c>
      <c r="D106" s="207">
        <f>SUMIFS('октябрь 2023'!$G$4:$G$1074,'октябрь 2023'!$D$4:$D$1074,$B106,'октябрь 2023'!$J$4:$J$1074,D$1)</f>
        <v>0</v>
      </c>
      <c r="E106" s="207">
        <f>SUMIFS('октябрь 2023'!$G$4:$G$1074,'октябрь 2023'!$D$4:$D$1074,$B106,'октябрь 2023'!$J$4:$J$1074,E$1)</f>
        <v>0</v>
      </c>
      <c r="F106" s="207">
        <f>SUMIFS('октябрь 2023'!$G$4:$G$1074,'октябрь 2023'!$D$4:$D$1074,$B106,'октябрь 2023'!$J$4:$J$1074,F$1)</f>
        <v>0</v>
      </c>
      <c r="G106" s="207">
        <f>SUMIFS('октябрь 2023'!$G$4:$G$1074,'октябрь 2023'!$D$4:$D$1074,$B106,'октябрь 2023'!$J$4:$J$1074,G$1)</f>
        <v>0</v>
      </c>
      <c r="H106" s="207">
        <f>SUMIFS('октябрь 2023'!$G$4:$G$1074,'октябрь 2023'!$D$4:$D$1074,$B106,'октябрь 2023'!$J$4:$J$1074,H$1)</f>
        <v>0</v>
      </c>
      <c r="I106" s="207">
        <f>SUMIFS('октябрь 2023'!$G$4:$G$1074,'октябрь 2023'!$D$4:$D$1074,$B106,'октябрь 2023'!$J$4:$J$1074,I$1)</f>
        <v>0</v>
      </c>
      <c r="J106" s="207">
        <f>SUMIFS('октябрь 2023'!$G$4:$G$1074,'октябрь 2023'!$D$4:$D$1074,$B106,'октябрь 2023'!$J$4:$J$1074,J$1)</f>
        <v>0</v>
      </c>
      <c r="K106" s="207">
        <f>SUMIFS('октябрь 2023'!$G$4:$G$1074,'октябрь 2023'!$D$4:$D$1074,$B106,'октябрь 2023'!$J$4:$J$1074,K$1)</f>
        <v>0</v>
      </c>
      <c r="L106" s="207">
        <f>SUMIFS('октябрь 2023'!$G$4:$G$1074,'октябрь 2023'!$D$4:$D$1074,$B106,'октябрь 2023'!$J$4:$J$1074,L$1)</f>
        <v>0</v>
      </c>
      <c r="M106" s="207">
        <f>SUMIFS('октябрь 2023'!$G$4:$G$1074,'октябрь 2023'!$D$4:$D$1074,$B106,'октябрь 2023'!$J$4:$J$1074,M$1)</f>
        <v>0</v>
      </c>
      <c r="N106" s="207">
        <f>SUMIFS('октябрь 2023'!$G$4:$G$1074,'октябрь 2023'!$D$4:$D$1074,$B106,'октябрь 2023'!$J$4:$J$1074,N$1)</f>
        <v>0</v>
      </c>
      <c r="O106" s="207">
        <f>SUMIFS('октябрь 2023'!$G$4:$G$1074,'октябрь 2023'!$D$4:$D$1074,$B106,'октябрь 2023'!$J$4:$J$1074,O$1)</f>
        <v>0</v>
      </c>
      <c r="P106" s="207">
        <f>SUMIFS('октябрь 2023'!$G$4:$G$1074,'октябрь 2023'!$D$4:$D$1074,$B106,'октябрь 2023'!$J$4:$J$1074,P$1)</f>
        <v>0</v>
      </c>
      <c r="Q106" s="207">
        <f>SUMIFS('октябрь 2023'!$G$4:$G$1074,'октябрь 2023'!$D$4:$D$1074,$B106,'октябрь 2023'!$J$4:$J$1074,Q$1)</f>
        <v>0</v>
      </c>
      <c r="R106" s="207">
        <f>SUMIFS('октябрь 2023'!$G$4:$G$1074,'октябрь 2023'!$D$4:$D$1074,$B106,'октябрь 2023'!$J$4:$J$1074,R$1)</f>
        <v>0</v>
      </c>
      <c r="S106" s="207">
        <f>SUMIFS('октябрь 2023'!$G$4:$G$1074,'октябрь 2023'!$D$4:$D$1074,$B106,'октябрь 2023'!$J$4:$J$1074,S$1)</f>
        <v>0</v>
      </c>
      <c r="T106" s="207">
        <f>SUMIFS('октябрь 2023'!$G$4:$G$1074,'октябрь 2023'!$D$4:$D$1074,$B106,'октябрь 2023'!$J$4:$J$1074,T$1)</f>
        <v>0</v>
      </c>
      <c r="U106" s="207">
        <f>SUMIFS('октябрь 2023'!$G$4:$G$1074,'октябрь 2023'!$D$4:$D$1074,$B106,'октябрь 2023'!$J$4:$J$1074,U$1)</f>
        <v>0</v>
      </c>
      <c r="V106" s="207">
        <f>SUMIFS('октябрь 2023'!$G$4:$G$1074,'октябрь 2023'!$D$4:$D$1074,$B106,'октябрь 2023'!$J$4:$J$1074,V$1)</f>
        <v>0</v>
      </c>
      <c r="W106" s="207">
        <f>SUMIFS('октябрь 2023'!$G$4:$G$1074,'октябрь 2023'!$D$4:$D$1074,$B106,'октябрь 2023'!$J$4:$J$1074,W$1)</f>
        <v>0</v>
      </c>
      <c r="X106" s="207">
        <f>SUMIFS('октябрь 2023'!$G$4:$G$1074,'октябрь 2023'!$D$4:$D$1074,$B106,'октябрь 2023'!$J$4:$J$1074,X$1)</f>
        <v>0</v>
      </c>
      <c r="Y106" s="207">
        <f>SUMIFS('октябрь 2023'!$G$4:$G$1074,'октябрь 2023'!$D$4:$D$1074,$B106,'октябрь 2023'!$J$4:$J$1074,Y$1)</f>
        <v>0</v>
      </c>
      <c r="Z106" s="207">
        <f>SUMIFS('октябрь 2023'!$G$4:$G$1074,'октябрь 2023'!$D$4:$D$1074,$B106,'октябрь 2023'!$J$4:$J$1074,Z$1)</f>
        <v>0</v>
      </c>
      <c r="AA106" s="207">
        <f>SUMIFS('октябрь 2023'!$G$4:$G$1074,'октябрь 2023'!$D$4:$D$1074,$B106,'октябрь 2023'!$J$4:$J$1074,AA$1)</f>
        <v>0</v>
      </c>
      <c r="AB106" s="207">
        <f>SUMIFS('октябрь 2023'!$G$4:$G$1074,'октябрь 2023'!$D$4:$D$1074,$B106,'октябрь 2023'!$J$4:$J$1074,AB$1)</f>
        <v>0</v>
      </c>
      <c r="AC106" s="207">
        <f>SUMIFS('октябрь 2023'!$G$4:$G$1074,'октябрь 2023'!$D$4:$D$1074,$B106,'октябрь 2023'!$J$4:$J$1074,AC$1)</f>
        <v>0</v>
      </c>
      <c r="AD106" s="207">
        <f>SUMIFS('октябрь 2023'!$G$4:$G$1074,'октябрь 2023'!$D$4:$D$1074,$B106,'октябрь 2023'!$J$4:$J$1074,AD$1)</f>
        <v>0</v>
      </c>
      <c r="AE106" s="207">
        <f>SUMIFS('октябрь 2023'!$G$4:$G$1074,'октябрь 2023'!$D$4:$D$1074,$B106,'октябрь 2023'!$J$4:$J$1074,AE$1)</f>
        <v>0</v>
      </c>
      <c r="AF106" s="207">
        <f>SUMIFS('октябрь 2023'!$G$4:$G$1074,'октябрь 2023'!$D$4:$D$1074,$B106,'октябрь 2023'!$J$4:$J$1074,AF$1)</f>
        <v>0</v>
      </c>
      <c r="AG106" s="207">
        <f>SUMIFS('октябрь 2023'!$G$4:$G$1074,'октябрь 2023'!$D$4:$D$1074,$B106,'октябрь 2023'!$J$4:$J$1074,AG$1)</f>
        <v>0</v>
      </c>
      <c r="AH106" s="207">
        <f>SUMIFS('октябрь 2023'!$G$4:$G$1074,'октябрь 2023'!$D$4:$D$1074,$B106,'октябрь 2023'!$J$4:$J$1074,AH$1)</f>
        <v>0</v>
      </c>
      <c r="AI106" s="170">
        <f t="shared" si="2"/>
        <v>0</v>
      </c>
    </row>
    <row r="107" spans="2:35" ht="15" customHeight="1" x14ac:dyDescent="0.25">
      <c r="B107" s="212" t="s">
        <v>2198</v>
      </c>
      <c r="C107" s="211">
        <v>200</v>
      </c>
      <c r="D107" s="207">
        <f>SUMIFS('октябрь 2023'!$G$4:$G$1074,'октябрь 2023'!$D$4:$D$1074,$B107,'октябрь 2023'!$J$4:$J$1074,D$1)</f>
        <v>0</v>
      </c>
      <c r="E107" s="207">
        <f>SUMIFS('октябрь 2023'!$G$4:$G$1074,'октябрь 2023'!$D$4:$D$1074,$B107,'октябрь 2023'!$J$4:$J$1074,E$1)</f>
        <v>0</v>
      </c>
      <c r="F107" s="207">
        <f>SUMIFS('октябрь 2023'!$G$4:$G$1074,'октябрь 2023'!$D$4:$D$1074,$B107,'октябрь 2023'!$J$4:$J$1074,F$1)</f>
        <v>0</v>
      </c>
      <c r="G107" s="207">
        <f>SUMIFS('октябрь 2023'!$G$4:$G$1074,'октябрь 2023'!$D$4:$D$1074,$B107,'октябрь 2023'!$J$4:$J$1074,G$1)</f>
        <v>0</v>
      </c>
      <c r="H107" s="207">
        <f>SUMIFS('октябрь 2023'!$G$4:$G$1074,'октябрь 2023'!$D$4:$D$1074,$B107,'октябрь 2023'!$J$4:$J$1074,H$1)</f>
        <v>0</v>
      </c>
      <c r="I107" s="207">
        <f>SUMIFS('октябрь 2023'!$G$4:$G$1074,'октябрь 2023'!$D$4:$D$1074,$B107,'октябрь 2023'!$J$4:$J$1074,I$1)</f>
        <v>0</v>
      </c>
      <c r="J107" s="207">
        <f>SUMIFS('октябрь 2023'!$G$4:$G$1074,'октябрь 2023'!$D$4:$D$1074,$B107,'октябрь 2023'!$J$4:$J$1074,J$1)</f>
        <v>0</v>
      </c>
      <c r="K107" s="207">
        <f>SUMIFS('октябрь 2023'!$G$4:$G$1074,'октябрь 2023'!$D$4:$D$1074,$B107,'октябрь 2023'!$J$4:$J$1074,K$1)</f>
        <v>0</v>
      </c>
      <c r="L107" s="207">
        <f>SUMIFS('октябрь 2023'!$G$4:$G$1074,'октябрь 2023'!$D$4:$D$1074,$B107,'октябрь 2023'!$J$4:$J$1074,L$1)</f>
        <v>0</v>
      </c>
      <c r="M107" s="207">
        <f>SUMIFS('октябрь 2023'!$G$4:$G$1074,'октябрь 2023'!$D$4:$D$1074,$B107,'октябрь 2023'!$J$4:$J$1074,M$1)</f>
        <v>0</v>
      </c>
      <c r="N107" s="207">
        <f>SUMIFS('октябрь 2023'!$G$4:$G$1074,'октябрь 2023'!$D$4:$D$1074,$B107,'октябрь 2023'!$J$4:$J$1074,N$1)</f>
        <v>0</v>
      </c>
      <c r="O107" s="207">
        <f>SUMIFS('октябрь 2023'!$G$4:$G$1074,'октябрь 2023'!$D$4:$D$1074,$B107,'октябрь 2023'!$J$4:$J$1074,O$1)</f>
        <v>0</v>
      </c>
      <c r="P107" s="207">
        <f>SUMIFS('октябрь 2023'!$G$4:$G$1074,'октябрь 2023'!$D$4:$D$1074,$B107,'октябрь 2023'!$J$4:$J$1074,P$1)</f>
        <v>0</v>
      </c>
      <c r="Q107" s="207">
        <f>SUMIFS('октябрь 2023'!$G$4:$G$1074,'октябрь 2023'!$D$4:$D$1074,$B107,'октябрь 2023'!$J$4:$J$1074,Q$1)</f>
        <v>0</v>
      </c>
      <c r="R107" s="207">
        <f>SUMIFS('октябрь 2023'!$G$4:$G$1074,'октябрь 2023'!$D$4:$D$1074,$B107,'октябрь 2023'!$J$4:$J$1074,R$1)</f>
        <v>0</v>
      </c>
      <c r="S107" s="207">
        <f>SUMIFS('октябрь 2023'!$G$4:$G$1074,'октябрь 2023'!$D$4:$D$1074,$B107,'октябрь 2023'!$J$4:$J$1074,S$1)</f>
        <v>0</v>
      </c>
      <c r="T107" s="207">
        <f>SUMIFS('октябрь 2023'!$G$4:$G$1074,'октябрь 2023'!$D$4:$D$1074,$B107,'октябрь 2023'!$J$4:$J$1074,T$1)</f>
        <v>0</v>
      </c>
      <c r="U107" s="207">
        <f>SUMIFS('октябрь 2023'!$G$4:$G$1074,'октябрь 2023'!$D$4:$D$1074,$B107,'октябрь 2023'!$J$4:$J$1074,U$1)</f>
        <v>0</v>
      </c>
      <c r="V107" s="207">
        <f>SUMIFS('октябрь 2023'!$G$4:$G$1074,'октябрь 2023'!$D$4:$D$1074,$B107,'октябрь 2023'!$J$4:$J$1074,V$1)</f>
        <v>0</v>
      </c>
      <c r="W107" s="207">
        <f>SUMIFS('октябрь 2023'!$G$4:$G$1074,'октябрь 2023'!$D$4:$D$1074,$B107,'октябрь 2023'!$J$4:$J$1074,W$1)</f>
        <v>0</v>
      </c>
      <c r="X107" s="207">
        <f>SUMIFS('октябрь 2023'!$G$4:$G$1074,'октябрь 2023'!$D$4:$D$1074,$B107,'октябрь 2023'!$J$4:$J$1074,X$1)</f>
        <v>0</v>
      </c>
      <c r="Y107" s="207">
        <f>SUMIFS('октябрь 2023'!$G$4:$G$1074,'октябрь 2023'!$D$4:$D$1074,$B107,'октябрь 2023'!$J$4:$J$1074,Y$1)</f>
        <v>0</v>
      </c>
      <c r="Z107" s="207">
        <f>SUMIFS('октябрь 2023'!$G$4:$G$1074,'октябрь 2023'!$D$4:$D$1074,$B107,'октябрь 2023'!$J$4:$J$1074,Z$1)</f>
        <v>0</v>
      </c>
      <c r="AA107" s="207">
        <f>SUMIFS('октябрь 2023'!$G$4:$G$1074,'октябрь 2023'!$D$4:$D$1074,$B107,'октябрь 2023'!$J$4:$J$1074,AA$1)</f>
        <v>0</v>
      </c>
      <c r="AB107" s="207">
        <f>SUMIFS('октябрь 2023'!$G$4:$G$1074,'октябрь 2023'!$D$4:$D$1074,$B107,'октябрь 2023'!$J$4:$J$1074,AB$1)</f>
        <v>0</v>
      </c>
      <c r="AC107" s="207">
        <f>SUMIFS('октябрь 2023'!$G$4:$G$1074,'октябрь 2023'!$D$4:$D$1074,$B107,'октябрь 2023'!$J$4:$J$1074,AC$1)</f>
        <v>0</v>
      </c>
      <c r="AD107" s="207">
        <f>SUMIFS('октябрь 2023'!$G$4:$G$1074,'октябрь 2023'!$D$4:$D$1074,$B107,'октябрь 2023'!$J$4:$J$1074,AD$1)</f>
        <v>0</v>
      </c>
      <c r="AE107" s="207">
        <f>SUMIFS('октябрь 2023'!$G$4:$G$1074,'октябрь 2023'!$D$4:$D$1074,$B107,'октябрь 2023'!$J$4:$J$1074,AE$1)</f>
        <v>0</v>
      </c>
      <c r="AF107" s="207">
        <f>SUMIFS('октябрь 2023'!$G$4:$G$1074,'октябрь 2023'!$D$4:$D$1074,$B107,'октябрь 2023'!$J$4:$J$1074,AF$1)</f>
        <v>0</v>
      </c>
      <c r="AG107" s="207">
        <f>SUMIFS('октябрь 2023'!$G$4:$G$1074,'октябрь 2023'!$D$4:$D$1074,$B107,'октябрь 2023'!$J$4:$J$1074,AG$1)</f>
        <v>0</v>
      </c>
      <c r="AH107" s="207">
        <f>SUMIFS('октябрь 2023'!$G$4:$G$1074,'октябрь 2023'!$D$4:$D$1074,$B107,'октябрь 2023'!$J$4:$J$1074,AH$1)</f>
        <v>0</v>
      </c>
      <c r="AI107" s="170">
        <f t="shared" si="2"/>
        <v>0</v>
      </c>
    </row>
    <row r="108" spans="2:35" ht="15" customHeight="1" x14ac:dyDescent="0.25">
      <c r="B108" s="218" t="s">
        <v>352</v>
      </c>
      <c r="C108" s="219">
        <v>200</v>
      </c>
      <c r="D108" s="207">
        <f>SUMIFS('октябрь 2023'!$G$4:$G$1074,'октябрь 2023'!$D$4:$D$1074,$B108,'октябрь 2023'!$J$4:$J$1074,D$1)</f>
        <v>0</v>
      </c>
      <c r="E108" s="207">
        <f>SUMIFS('октябрь 2023'!$G$4:$G$1074,'октябрь 2023'!$D$4:$D$1074,$B108,'октябрь 2023'!$J$4:$J$1074,E$1)</f>
        <v>0</v>
      </c>
      <c r="F108" s="207">
        <f>SUMIFS('октябрь 2023'!$G$4:$G$1074,'октябрь 2023'!$D$4:$D$1074,$B108,'октябрь 2023'!$J$4:$J$1074,F$1)</f>
        <v>0</v>
      </c>
      <c r="G108" s="207">
        <f>SUMIFS('октябрь 2023'!$G$4:$G$1074,'октябрь 2023'!$D$4:$D$1074,$B108,'октябрь 2023'!$J$4:$J$1074,G$1)</f>
        <v>0</v>
      </c>
      <c r="H108" s="207">
        <f>SUMIFS('октябрь 2023'!$G$4:$G$1074,'октябрь 2023'!$D$4:$D$1074,$B108,'октябрь 2023'!$J$4:$J$1074,H$1)</f>
        <v>0</v>
      </c>
      <c r="I108" s="207">
        <f>SUMIFS('октябрь 2023'!$G$4:$G$1074,'октябрь 2023'!$D$4:$D$1074,$B108,'октябрь 2023'!$J$4:$J$1074,I$1)</f>
        <v>0</v>
      </c>
      <c r="J108" s="207">
        <f>SUMIFS('октябрь 2023'!$G$4:$G$1074,'октябрь 2023'!$D$4:$D$1074,$B108,'октябрь 2023'!$J$4:$J$1074,J$1)</f>
        <v>0</v>
      </c>
      <c r="K108" s="207">
        <f>SUMIFS('октябрь 2023'!$G$4:$G$1074,'октябрь 2023'!$D$4:$D$1074,$B108,'октябрь 2023'!$J$4:$J$1074,K$1)</f>
        <v>0</v>
      </c>
      <c r="L108" s="207">
        <f>SUMIFS('октябрь 2023'!$G$4:$G$1074,'октябрь 2023'!$D$4:$D$1074,$B108,'октябрь 2023'!$J$4:$J$1074,L$1)</f>
        <v>0</v>
      </c>
      <c r="M108" s="207">
        <f>SUMIFS('октябрь 2023'!$G$4:$G$1074,'октябрь 2023'!$D$4:$D$1074,$B108,'октябрь 2023'!$J$4:$J$1074,M$1)</f>
        <v>0</v>
      </c>
      <c r="N108" s="207">
        <f>SUMIFS('октябрь 2023'!$G$4:$G$1074,'октябрь 2023'!$D$4:$D$1074,$B108,'октябрь 2023'!$J$4:$J$1074,N$1)</f>
        <v>0</v>
      </c>
      <c r="O108" s="207">
        <f>SUMIFS('октябрь 2023'!$G$4:$G$1074,'октябрь 2023'!$D$4:$D$1074,$B108,'октябрь 2023'!$J$4:$J$1074,O$1)</f>
        <v>0</v>
      </c>
      <c r="P108" s="207">
        <f>SUMIFS('октябрь 2023'!$G$4:$G$1074,'октябрь 2023'!$D$4:$D$1074,$B108,'октябрь 2023'!$J$4:$J$1074,P$1)</f>
        <v>0</v>
      </c>
      <c r="Q108" s="207">
        <f>SUMIFS('октябрь 2023'!$G$4:$G$1074,'октябрь 2023'!$D$4:$D$1074,$B108,'октябрь 2023'!$J$4:$J$1074,Q$1)</f>
        <v>0</v>
      </c>
      <c r="R108" s="207">
        <f>SUMIFS('октябрь 2023'!$G$4:$G$1074,'октябрь 2023'!$D$4:$D$1074,$B108,'октябрь 2023'!$J$4:$J$1074,R$1)</f>
        <v>0</v>
      </c>
      <c r="S108" s="207">
        <f>SUMIFS('октябрь 2023'!$G$4:$G$1074,'октябрь 2023'!$D$4:$D$1074,$B108,'октябрь 2023'!$J$4:$J$1074,S$1)</f>
        <v>0</v>
      </c>
      <c r="T108" s="207">
        <f>SUMIFS('октябрь 2023'!$G$4:$G$1074,'октябрь 2023'!$D$4:$D$1074,$B108,'октябрь 2023'!$J$4:$J$1074,T$1)</f>
        <v>0</v>
      </c>
      <c r="U108" s="207">
        <f>SUMIFS('октябрь 2023'!$G$4:$G$1074,'октябрь 2023'!$D$4:$D$1074,$B108,'октябрь 2023'!$J$4:$J$1074,U$1)</f>
        <v>0</v>
      </c>
      <c r="V108" s="207">
        <f>SUMIFS('октябрь 2023'!$G$4:$G$1074,'октябрь 2023'!$D$4:$D$1074,$B108,'октябрь 2023'!$J$4:$J$1074,V$1)</f>
        <v>0</v>
      </c>
      <c r="W108" s="207">
        <f>SUMIFS('октябрь 2023'!$G$4:$G$1074,'октябрь 2023'!$D$4:$D$1074,$B108,'октябрь 2023'!$J$4:$J$1074,W$1)</f>
        <v>0</v>
      </c>
      <c r="X108" s="207">
        <f>SUMIFS('октябрь 2023'!$G$4:$G$1074,'октябрь 2023'!$D$4:$D$1074,$B108,'октябрь 2023'!$J$4:$J$1074,X$1)</f>
        <v>0</v>
      </c>
      <c r="Y108" s="207">
        <f>SUMIFS('октябрь 2023'!$G$4:$G$1074,'октябрь 2023'!$D$4:$D$1074,$B108,'октябрь 2023'!$J$4:$J$1074,Y$1)</f>
        <v>0</v>
      </c>
      <c r="Z108" s="207">
        <f>SUMIFS('октябрь 2023'!$G$4:$G$1074,'октябрь 2023'!$D$4:$D$1074,$B108,'октябрь 2023'!$J$4:$J$1074,Z$1)</f>
        <v>0</v>
      </c>
      <c r="AA108" s="207">
        <f>SUMIFS('октябрь 2023'!$G$4:$G$1074,'октябрь 2023'!$D$4:$D$1074,$B108,'октябрь 2023'!$J$4:$J$1074,AA$1)</f>
        <v>0</v>
      </c>
      <c r="AB108" s="207">
        <f>SUMIFS('октябрь 2023'!$G$4:$G$1074,'октябрь 2023'!$D$4:$D$1074,$B108,'октябрь 2023'!$J$4:$J$1074,AB$1)</f>
        <v>0</v>
      </c>
      <c r="AC108" s="207">
        <f>SUMIFS('октябрь 2023'!$G$4:$G$1074,'октябрь 2023'!$D$4:$D$1074,$B108,'октябрь 2023'!$J$4:$J$1074,AC$1)</f>
        <v>0</v>
      </c>
      <c r="AD108" s="207">
        <f>SUMIFS('октябрь 2023'!$G$4:$G$1074,'октябрь 2023'!$D$4:$D$1074,$B108,'октябрь 2023'!$J$4:$J$1074,AD$1)</f>
        <v>0</v>
      </c>
      <c r="AE108" s="207">
        <f>SUMIFS('октябрь 2023'!$G$4:$G$1074,'октябрь 2023'!$D$4:$D$1074,$B108,'октябрь 2023'!$J$4:$J$1074,AE$1)</f>
        <v>0</v>
      </c>
      <c r="AF108" s="207">
        <f>SUMIFS('октябрь 2023'!$G$4:$G$1074,'октябрь 2023'!$D$4:$D$1074,$B108,'октябрь 2023'!$J$4:$J$1074,AF$1)</f>
        <v>0</v>
      </c>
      <c r="AG108" s="207">
        <f>SUMIFS('октябрь 2023'!$G$4:$G$1074,'октябрь 2023'!$D$4:$D$1074,$B108,'октябрь 2023'!$J$4:$J$1074,AG$1)</f>
        <v>0</v>
      </c>
      <c r="AH108" s="207">
        <f>SUMIFS('октябрь 2023'!$G$4:$G$1074,'октябрь 2023'!$D$4:$D$1074,$B108,'октябрь 2023'!$J$4:$J$1074,AH$1)</f>
        <v>0</v>
      </c>
      <c r="AI108" s="170">
        <f t="shared" si="2"/>
        <v>0</v>
      </c>
    </row>
    <row r="109" spans="2:35" ht="15" customHeight="1" x14ac:dyDescent="0.25">
      <c r="B109" s="212" t="s">
        <v>276</v>
      </c>
      <c r="C109" s="213">
        <v>200</v>
      </c>
      <c r="D109" s="207">
        <f>SUMIFS('октябрь 2023'!$G$4:$G$1074,'октябрь 2023'!$D$4:$D$1074,$B109,'октябрь 2023'!$J$4:$J$1074,D$1)</f>
        <v>0</v>
      </c>
      <c r="E109" s="207">
        <f>SUMIFS('октябрь 2023'!$G$4:$G$1074,'октябрь 2023'!$D$4:$D$1074,$B109,'октябрь 2023'!$J$4:$J$1074,E$1)</f>
        <v>0</v>
      </c>
      <c r="F109" s="207">
        <f>SUMIFS('октябрь 2023'!$G$4:$G$1074,'октябрь 2023'!$D$4:$D$1074,$B109,'октябрь 2023'!$J$4:$J$1074,F$1)</f>
        <v>0</v>
      </c>
      <c r="G109" s="207">
        <f>SUMIFS('октябрь 2023'!$G$4:$G$1074,'октябрь 2023'!$D$4:$D$1074,$B109,'октябрь 2023'!$J$4:$J$1074,G$1)</f>
        <v>0</v>
      </c>
      <c r="H109" s="207">
        <f>SUMIFS('октябрь 2023'!$G$4:$G$1074,'октябрь 2023'!$D$4:$D$1074,$B109,'октябрь 2023'!$J$4:$J$1074,H$1)</f>
        <v>0</v>
      </c>
      <c r="I109" s="207">
        <f>SUMIFS('октябрь 2023'!$G$4:$G$1074,'октябрь 2023'!$D$4:$D$1074,$B109,'октябрь 2023'!$J$4:$J$1074,I$1)</f>
        <v>0</v>
      </c>
      <c r="J109" s="207">
        <f>SUMIFS('октябрь 2023'!$G$4:$G$1074,'октябрь 2023'!$D$4:$D$1074,$B109,'октябрь 2023'!$J$4:$J$1074,J$1)</f>
        <v>0</v>
      </c>
      <c r="K109" s="207">
        <f>SUMIFS('октябрь 2023'!$G$4:$G$1074,'октябрь 2023'!$D$4:$D$1074,$B109,'октябрь 2023'!$J$4:$J$1074,K$1)</f>
        <v>0</v>
      </c>
      <c r="L109" s="207">
        <f>SUMIFS('октябрь 2023'!$G$4:$G$1074,'октябрь 2023'!$D$4:$D$1074,$B109,'октябрь 2023'!$J$4:$J$1074,L$1)</f>
        <v>0</v>
      </c>
      <c r="M109" s="207">
        <f>SUMIFS('октябрь 2023'!$G$4:$G$1074,'октябрь 2023'!$D$4:$D$1074,$B109,'октябрь 2023'!$J$4:$J$1074,M$1)</f>
        <v>0</v>
      </c>
      <c r="N109" s="207">
        <f>SUMIFS('октябрь 2023'!$G$4:$G$1074,'октябрь 2023'!$D$4:$D$1074,$B109,'октябрь 2023'!$J$4:$J$1074,N$1)</f>
        <v>0</v>
      </c>
      <c r="O109" s="207">
        <f>SUMIFS('октябрь 2023'!$G$4:$G$1074,'октябрь 2023'!$D$4:$D$1074,$B109,'октябрь 2023'!$J$4:$J$1074,O$1)</f>
        <v>0</v>
      </c>
      <c r="P109" s="207">
        <f>SUMIFS('октябрь 2023'!$G$4:$G$1074,'октябрь 2023'!$D$4:$D$1074,$B109,'октябрь 2023'!$J$4:$J$1074,P$1)</f>
        <v>0</v>
      </c>
      <c r="Q109" s="207">
        <f>SUMIFS('октябрь 2023'!$G$4:$G$1074,'октябрь 2023'!$D$4:$D$1074,$B109,'октябрь 2023'!$J$4:$J$1074,Q$1)</f>
        <v>0</v>
      </c>
      <c r="R109" s="207">
        <f>SUMIFS('октябрь 2023'!$G$4:$G$1074,'октябрь 2023'!$D$4:$D$1074,$B109,'октябрь 2023'!$J$4:$J$1074,R$1)</f>
        <v>0</v>
      </c>
      <c r="S109" s="207">
        <f>SUMIFS('октябрь 2023'!$G$4:$G$1074,'октябрь 2023'!$D$4:$D$1074,$B109,'октябрь 2023'!$J$4:$J$1074,S$1)</f>
        <v>0</v>
      </c>
      <c r="T109" s="207">
        <f>SUMIFS('октябрь 2023'!$G$4:$G$1074,'октябрь 2023'!$D$4:$D$1074,$B109,'октябрь 2023'!$J$4:$J$1074,T$1)</f>
        <v>0</v>
      </c>
      <c r="U109" s="207">
        <f>SUMIFS('октябрь 2023'!$G$4:$G$1074,'октябрь 2023'!$D$4:$D$1074,$B109,'октябрь 2023'!$J$4:$J$1074,U$1)</f>
        <v>0</v>
      </c>
      <c r="V109" s="207">
        <f>SUMIFS('октябрь 2023'!$G$4:$G$1074,'октябрь 2023'!$D$4:$D$1074,$B109,'октябрь 2023'!$J$4:$J$1074,V$1)</f>
        <v>0</v>
      </c>
      <c r="W109" s="207">
        <f>SUMIFS('октябрь 2023'!$G$4:$G$1074,'октябрь 2023'!$D$4:$D$1074,$B109,'октябрь 2023'!$J$4:$J$1074,W$1)</f>
        <v>0</v>
      </c>
      <c r="X109" s="207">
        <f>SUMIFS('октябрь 2023'!$G$4:$G$1074,'октябрь 2023'!$D$4:$D$1074,$B109,'октябрь 2023'!$J$4:$J$1074,X$1)</f>
        <v>0</v>
      </c>
      <c r="Y109" s="207">
        <f>SUMIFS('октябрь 2023'!$G$4:$G$1074,'октябрь 2023'!$D$4:$D$1074,$B109,'октябрь 2023'!$J$4:$J$1074,Y$1)</f>
        <v>0</v>
      </c>
      <c r="Z109" s="207">
        <f>SUMIFS('октябрь 2023'!$G$4:$G$1074,'октябрь 2023'!$D$4:$D$1074,$B109,'октябрь 2023'!$J$4:$J$1074,Z$1)</f>
        <v>0</v>
      </c>
      <c r="AA109" s="207">
        <f>SUMIFS('октябрь 2023'!$G$4:$G$1074,'октябрь 2023'!$D$4:$D$1074,$B109,'октябрь 2023'!$J$4:$J$1074,AA$1)</f>
        <v>0</v>
      </c>
      <c r="AB109" s="207">
        <f>SUMIFS('октябрь 2023'!$G$4:$G$1074,'октябрь 2023'!$D$4:$D$1074,$B109,'октябрь 2023'!$J$4:$J$1074,AB$1)</f>
        <v>0</v>
      </c>
      <c r="AC109" s="207">
        <f>SUMIFS('октябрь 2023'!$G$4:$G$1074,'октябрь 2023'!$D$4:$D$1074,$B109,'октябрь 2023'!$J$4:$J$1074,AC$1)</f>
        <v>0</v>
      </c>
      <c r="AD109" s="207">
        <f>SUMIFS('октябрь 2023'!$G$4:$G$1074,'октябрь 2023'!$D$4:$D$1074,$B109,'октябрь 2023'!$J$4:$J$1074,AD$1)</f>
        <v>0</v>
      </c>
      <c r="AE109" s="207">
        <f>SUMIFS('октябрь 2023'!$G$4:$G$1074,'октябрь 2023'!$D$4:$D$1074,$B109,'октябрь 2023'!$J$4:$J$1074,AE$1)</f>
        <v>0</v>
      </c>
      <c r="AF109" s="207">
        <f>SUMIFS('октябрь 2023'!$G$4:$G$1074,'октябрь 2023'!$D$4:$D$1074,$B109,'октябрь 2023'!$J$4:$J$1074,AF$1)</f>
        <v>0</v>
      </c>
      <c r="AG109" s="207">
        <f>SUMIFS('октябрь 2023'!$G$4:$G$1074,'октябрь 2023'!$D$4:$D$1074,$B109,'октябрь 2023'!$J$4:$J$1074,AG$1)</f>
        <v>0</v>
      </c>
      <c r="AH109" s="207">
        <f>SUMIFS('октябрь 2023'!$G$4:$G$1074,'октябрь 2023'!$D$4:$D$1074,$B109,'октябрь 2023'!$J$4:$J$1074,AH$1)</f>
        <v>0</v>
      </c>
      <c r="AI109" s="170">
        <f t="shared" si="2"/>
        <v>0</v>
      </c>
    </row>
    <row r="110" spans="2:35" ht="15" customHeight="1" x14ac:dyDescent="0.25">
      <c r="B110" s="212" t="s">
        <v>1021</v>
      </c>
      <c r="C110" s="213">
        <v>200</v>
      </c>
      <c r="D110" s="207">
        <f>SUMIFS('октябрь 2023'!$G$4:$G$1074,'октябрь 2023'!$D$4:$D$1074,$B110,'октябрь 2023'!$J$4:$J$1074,D$1)</f>
        <v>0</v>
      </c>
      <c r="E110" s="207">
        <f>SUMIFS('октябрь 2023'!$G$4:$G$1074,'октябрь 2023'!$D$4:$D$1074,$B110,'октябрь 2023'!$J$4:$J$1074,E$1)</f>
        <v>0</v>
      </c>
      <c r="F110" s="207">
        <f>SUMIFS('октябрь 2023'!$G$4:$G$1074,'октябрь 2023'!$D$4:$D$1074,$B110,'октябрь 2023'!$J$4:$J$1074,F$1)</f>
        <v>0</v>
      </c>
      <c r="G110" s="207">
        <f>SUMIFS('октябрь 2023'!$G$4:$G$1074,'октябрь 2023'!$D$4:$D$1074,$B110,'октябрь 2023'!$J$4:$J$1074,G$1)</f>
        <v>0</v>
      </c>
      <c r="H110" s="207">
        <f>SUMIFS('октябрь 2023'!$G$4:$G$1074,'октябрь 2023'!$D$4:$D$1074,$B110,'октябрь 2023'!$J$4:$J$1074,H$1)</f>
        <v>0</v>
      </c>
      <c r="I110" s="207">
        <f>SUMIFS('октябрь 2023'!$G$4:$G$1074,'октябрь 2023'!$D$4:$D$1074,$B110,'октябрь 2023'!$J$4:$J$1074,I$1)</f>
        <v>0</v>
      </c>
      <c r="J110" s="207">
        <f>SUMIFS('октябрь 2023'!$G$4:$G$1074,'октябрь 2023'!$D$4:$D$1074,$B110,'октябрь 2023'!$J$4:$J$1074,J$1)</f>
        <v>0</v>
      </c>
      <c r="K110" s="207">
        <f>SUMIFS('октябрь 2023'!$G$4:$G$1074,'октябрь 2023'!$D$4:$D$1074,$B110,'октябрь 2023'!$J$4:$J$1074,K$1)</f>
        <v>0</v>
      </c>
      <c r="L110" s="207">
        <f>SUMIFS('октябрь 2023'!$G$4:$G$1074,'октябрь 2023'!$D$4:$D$1074,$B110,'октябрь 2023'!$J$4:$J$1074,L$1)</f>
        <v>0</v>
      </c>
      <c r="M110" s="207">
        <f>SUMIFS('октябрь 2023'!$G$4:$G$1074,'октябрь 2023'!$D$4:$D$1074,$B110,'октябрь 2023'!$J$4:$J$1074,M$1)</f>
        <v>0</v>
      </c>
      <c r="N110" s="207">
        <f>SUMIFS('октябрь 2023'!$G$4:$G$1074,'октябрь 2023'!$D$4:$D$1074,$B110,'октябрь 2023'!$J$4:$J$1074,N$1)</f>
        <v>0</v>
      </c>
      <c r="O110" s="207">
        <f>SUMIFS('октябрь 2023'!$G$4:$G$1074,'октябрь 2023'!$D$4:$D$1074,$B110,'октябрь 2023'!$J$4:$J$1074,O$1)</f>
        <v>0</v>
      </c>
      <c r="P110" s="207">
        <f>SUMIFS('октябрь 2023'!$G$4:$G$1074,'октябрь 2023'!$D$4:$D$1074,$B110,'октябрь 2023'!$J$4:$J$1074,P$1)</f>
        <v>0</v>
      </c>
      <c r="Q110" s="207">
        <f>SUMIFS('октябрь 2023'!$G$4:$G$1074,'октябрь 2023'!$D$4:$D$1074,$B110,'октябрь 2023'!$J$4:$J$1074,Q$1)</f>
        <v>0</v>
      </c>
      <c r="R110" s="207">
        <f>SUMIFS('октябрь 2023'!$G$4:$G$1074,'октябрь 2023'!$D$4:$D$1074,$B110,'октябрь 2023'!$J$4:$J$1074,R$1)</f>
        <v>0</v>
      </c>
      <c r="S110" s="207">
        <f>SUMIFS('октябрь 2023'!$G$4:$G$1074,'октябрь 2023'!$D$4:$D$1074,$B110,'октябрь 2023'!$J$4:$J$1074,S$1)</f>
        <v>0</v>
      </c>
      <c r="T110" s="207">
        <f>SUMIFS('октябрь 2023'!$G$4:$G$1074,'октябрь 2023'!$D$4:$D$1074,$B110,'октябрь 2023'!$J$4:$J$1074,T$1)</f>
        <v>0</v>
      </c>
      <c r="U110" s="207">
        <f>SUMIFS('октябрь 2023'!$G$4:$G$1074,'октябрь 2023'!$D$4:$D$1074,$B110,'октябрь 2023'!$J$4:$J$1074,U$1)</f>
        <v>0</v>
      </c>
      <c r="V110" s="207">
        <f>SUMIFS('октябрь 2023'!$G$4:$G$1074,'октябрь 2023'!$D$4:$D$1074,$B110,'октябрь 2023'!$J$4:$J$1074,V$1)</f>
        <v>0</v>
      </c>
      <c r="W110" s="207">
        <f>SUMIFS('октябрь 2023'!$G$4:$G$1074,'октябрь 2023'!$D$4:$D$1074,$B110,'октябрь 2023'!$J$4:$J$1074,W$1)</f>
        <v>0</v>
      </c>
      <c r="X110" s="207">
        <f>SUMIFS('октябрь 2023'!$G$4:$G$1074,'октябрь 2023'!$D$4:$D$1074,$B110,'октябрь 2023'!$J$4:$J$1074,X$1)</f>
        <v>0</v>
      </c>
      <c r="Y110" s="207">
        <f>SUMIFS('октябрь 2023'!$G$4:$G$1074,'октябрь 2023'!$D$4:$D$1074,$B110,'октябрь 2023'!$J$4:$J$1074,Y$1)</f>
        <v>0</v>
      </c>
      <c r="Z110" s="207">
        <f>SUMIFS('октябрь 2023'!$G$4:$G$1074,'октябрь 2023'!$D$4:$D$1074,$B110,'октябрь 2023'!$J$4:$J$1074,Z$1)</f>
        <v>0</v>
      </c>
      <c r="AA110" s="207">
        <f>SUMIFS('октябрь 2023'!$G$4:$G$1074,'октябрь 2023'!$D$4:$D$1074,$B110,'октябрь 2023'!$J$4:$J$1074,AA$1)</f>
        <v>0</v>
      </c>
      <c r="AB110" s="207">
        <f>SUMIFS('октябрь 2023'!$G$4:$G$1074,'октябрь 2023'!$D$4:$D$1074,$B110,'октябрь 2023'!$J$4:$J$1074,AB$1)</f>
        <v>0</v>
      </c>
      <c r="AC110" s="207">
        <f>SUMIFS('октябрь 2023'!$G$4:$G$1074,'октябрь 2023'!$D$4:$D$1074,$B110,'октябрь 2023'!$J$4:$J$1074,AC$1)</f>
        <v>0</v>
      </c>
      <c r="AD110" s="207">
        <f>SUMIFS('октябрь 2023'!$G$4:$G$1074,'октябрь 2023'!$D$4:$D$1074,$B110,'октябрь 2023'!$J$4:$J$1074,AD$1)</f>
        <v>0</v>
      </c>
      <c r="AE110" s="207">
        <f>SUMIFS('октябрь 2023'!$G$4:$G$1074,'октябрь 2023'!$D$4:$D$1074,$B110,'октябрь 2023'!$J$4:$J$1074,AE$1)</f>
        <v>0</v>
      </c>
      <c r="AF110" s="207">
        <f>SUMIFS('октябрь 2023'!$G$4:$G$1074,'октябрь 2023'!$D$4:$D$1074,$B110,'октябрь 2023'!$J$4:$J$1074,AF$1)</f>
        <v>0</v>
      </c>
      <c r="AG110" s="207">
        <f>SUMIFS('октябрь 2023'!$G$4:$G$1074,'октябрь 2023'!$D$4:$D$1074,$B110,'октябрь 2023'!$J$4:$J$1074,AG$1)</f>
        <v>0</v>
      </c>
      <c r="AH110" s="207">
        <f>SUMIFS('октябрь 2023'!$G$4:$G$1074,'октябрь 2023'!$D$4:$D$1074,$B110,'октябрь 2023'!$J$4:$J$1074,AH$1)</f>
        <v>0</v>
      </c>
      <c r="AI110" s="170">
        <f t="shared" si="2"/>
        <v>0</v>
      </c>
    </row>
    <row r="111" spans="2:35" ht="15" customHeight="1" x14ac:dyDescent="0.25">
      <c r="B111" s="212" t="s">
        <v>1023</v>
      </c>
      <c r="C111" s="213">
        <v>25</v>
      </c>
      <c r="D111" s="207">
        <f>SUMIFS('октябрь 2023'!$G$4:$G$1074,'октябрь 2023'!$D$4:$D$1074,$B111,'октябрь 2023'!$J$4:$J$1074,D$1)</f>
        <v>0</v>
      </c>
      <c r="E111" s="207">
        <f>SUMIFS('октябрь 2023'!$G$4:$G$1074,'октябрь 2023'!$D$4:$D$1074,$B111,'октябрь 2023'!$J$4:$J$1074,E$1)</f>
        <v>0</v>
      </c>
      <c r="F111" s="207">
        <f>SUMIFS('октябрь 2023'!$G$4:$G$1074,'октябрь 2023'!$D$4:$D$1074,$B111,'октябрь 2023'!$J$4:$J$1074,F$1)</f>
        <v>0</v>
      </c>
      <c r="G111" s="207">
        <f>SUMIFS('октябрь 2023'!$G$4:$G$1074,'октябрь 2023'!$D$4:$D$1074,$B111,'октябрь 2023'!$J$4:$J$1074,G$1)</f>
        <v>0</v>
      </c>
      <c r="H111" s="207">
        <f>SUMIFS('октябрь 2023'!$G$4:$G$1074,'октябрь 2023'!$D$4:$D$1074,$B111,'октябрь 2023'!$J$4:$J$1074,H$1)</f>
        <v>0</v>
      </c>
      <c r="I111" s="207">
        <f>SUMIFS('октябрь 2023'!$G$4:$G$1074,'октябрь 2023'!$D$4:$D$1074,$B111,'октябрь 2023'!$J$4:$J$1074,I$1)</f>
        <v>0</v>
      </c>
      <c r="J111" s="207">
        <f>SUMIFS('октябрь 2023'!$G$4:$G$1074,'октябрь 2023'!$D$4:$D$1074,$B111,'октябрь 2023'!$J$4:$J$1074,J$1)</f>
        <v>0</v>
      </c>
      <c r="K111" s="207">
        <f>SUMIFS('октябрь 2023'!$G$4:$G$1074,'октябрь 2023'!$D$4:$D$1074,$B111,'октябрь 2023'!$J$4:$J$1074,K$1)</f>
        <v>0</v>
      </c>
      <c r="L111" s="207">
        <f>SUMIFS('октябрь 2023'!$G$4:$G$1074,'октябрь 2023'!$D$4:$D$1074,$B111,'октябрь 2023'!$J$4:$J$1074,L$1)</f>
        <v>0</v>
      </c>
      <c r="M111" s="207">
        <f>SUMIFS('октябрь 2023'!$G$4:$G$1074,'октябрь 2023'!$D$4:$D$1074,$B111,'октябрь 2023'!$J$4:$J$1074,M$1)</f>
        <v>0</v>
      </c>
      <c r="N111" s="207">
        <f>SUMIFS('октябрь 2023'!$G$4:$G$1074,'октябрь 2023'!$D$4:$D$1074,$B111,'октябрь 2023'!$J$4:$J$1074,N$1)</f>
        <v>0</v>
      </c>
      <c r="O111" s="207">
        <f>SUMIFS('октябрь 2023'!$G$4:$G$1074,'октябрь 2023'!$D$4:$D$1074,$B111,'октябрь 2023'!$J$4:$J$1074,O$1)</f>
        <v>0</v>
      </c>
      <c r="P111" s="207">
        <f>SUMIFS('октябрь 2023'!$G$4:$G$1074,'октябрь 2023'!$D$4:$D$1074,$B111,'октябрь 2023'!$J$4:$J$1074,P$1)</f>
        <v>0</v>
      </c>
      <c r="Q111" s="207">
        <f>SUMIFS('октябрь 2023'!$G$4:$G$1074,'октябрь 2023'!$D$4:$D$1074,$B111,'октябрь 2023'!$J$4:$J$1074,Q$1)</f>
        <v>0</v>
      </c>
      <c r="R111" s="207">
        <f>SUMIFS('октябрь 2023'!$G$4:$G$1074,'октябрь 2023'!$D$4:$D$1074,$B111,'октябрь 2023'!$J$4:$J$1074,R$1)</f>
        <v>0</v>
      </c>
      <c r="S111" s="207">
        <f>SUMIFS('октябрь 2023'!$G$4:$G$1074,'октябрь 2023'!$D$4:$D$1074,$B111,'октябрь 2023'!$J$4:$J$1074,S$1)</f>
        <v>0</v>
      </c>
      <c r="T111" s="207">
        <f>SUMIFS('октябрь 2023'!$G$4:$G$1074,'октябрь 2023'!$D$4:$D$1074,$B111,'октябрь 2023'!$J$4:$J$1074,T$1)</f>
        <v>0</v>
      </c>
      <c r="U111" s="207">
        <f>SUMIFS('октябрь 2023'!$G$4:$G$1074,'октябрь 2023'!$D$4:$D$1074,$B111,'октябрь 2023'!$J$4:$J$1074,U$1)</f>
        <v>0</v>
      </c>
      <c r="V111" s="207">
        <f>SUMIFS('октябрь 2023'!$G$4:$G$1074,'октябрь 2023'!$D$4:$D$1074,$B111,'октябрь 2023'!$J$4:$J$1074,V$1)</f>
        <v>0</v>
      </c>
      <c r="W111" s="207">
        <f>SUMIFS('октябрь 2023'!$G$4:$G$1074,'октябрь 2023'!$D$4:$D$1074,$B111,'октябрь 2023'!$J$4:$J$1074,W$1)</f>
        <v>0</v>
      </c>
      <c r="X111" s="207">
        <f>SUMIFS('октябрь 2023'!$G$4:$G$1074,'октябрь 2023'!$D$4:$D$1074,$B111,'октябрь 2023'!$J$4:$J$1074,X$1)</f>
        <v>0</v>
      </c>
      <c r="Y111" s="207">
        <f>SUMIFS('октябрь 2023'!$G$4:$G$1074,'октябрь 2023'!$D$4:$D$1074,$B111,'октябрь 2023'!$J$4:$J$1074,Y$1)</f>
        <v>0</v>
      </c>
      <c r="Z111" s="207">
        <f>SUMIFS('октябрь 2023'!$G$4:$G$1074,'октябрь 2023'!$D$4:$D$1074,$B111,'октябрь 2023'!$J$4:$J$1074,Z$1)</f>
        <v>0</v>
      </c>
      <c r="AA111" s="207">
        <f>SUMIFS('октябрь 2023'!$G$4:$G$1074,'октябрь 2023'!$D$4:$D$1074,$B111,'октябрь 2023'!$J$4:$J$1074,AA$1)</f>
        <v>0</v>
      </c>
      <c r="AB111" s="207">
        <f>SUMIFS('октябрь 2023'!$G$4:$G$1074,'октябрь 2023'!$D$4:$D$1074,$B111,'октябрь 2023'!$J$4:$J$1074,AB$1)</f>
        <v>0</v>
      </c>
      <c r="AC111" s="207">
        <f>SUMIFS('октябрь 2023'!$G$4:$G$1074,'октябрь 2023'!$D$4:$D$1074,$B111,'октябрь 2023'!$J$4:$J$1074,AC$1)</f>
        <v>0</v>
      </c>
      <c r="AD111" s="207">
        <f>SUMIFS('октябрь 2023'!$G$4:$G$1074,'октябрь 2023'!$D$4:$D$1074,$B111,'октябрь 2023'!$J$4:$J$1074,AD$1)</f>
        <v>0</v>
      </c>
      <c r="AE111" s="207">
        <f>SUMIFS('октябрь 2023'!$G$4:$G$1074,'октябрь 2023'!$D$4:$D$1074,$B111,'октябрь 2023'!$J$4:$J$1074,AE$1)</f>
        <v>0</v>
      </c>
      <c r="AF111" s="207">
        <f>SUMIFS('октябрь 2023'!$G$4:$G$1074,'октябрь 2023'!$D$4:$D$1074,$B111,'октябрь 2023'!$J$4:$J$1074,AF$1)</f>
        <v>0</v>
      </c>
      <c r="AG111" s="207">
        <f>SUMIFS('октябрь 2023'!$G$4:$G$1074,'октябрь 2023'!$D$4:$D$1074,$B111,'октябрь 2023'!$J$4:$J$1074,AG$1)</f>
        <v>0</v>
      </c>
      <c r="AH111" s="207">
        <f>SUMIFS('октябрь 2023'!$G$4:$G$1074,'октябрь 2023'!$D$4:$D$1074,$B111,'октябрь 2023'!$J$4:$J$1074,AH$1)</f>
        <v>0</v>
      </c>
      <c r="AI111" s="170">
        <f t="shared" si="2"/>
        <v>0</v>
      </c>
    </row>
    <row r="112" spans="2:35" ht="15" customHeight="1" x14ac:dyDescent="0.25">
      <c r="B112" s="216" t="s">
        <v>2199</v>
      </c>
      <c r="C112" s="213">
        <v>200</v>
      </c>
      <c r="D112" s="207">
        <f>SUMIFS('октябрь 2023'!$G$4:$G$1074,'октябрь 2023'!$D$4:$D$1074,$B112,'октябрь 2023'!$J$4:$J$1074,D$1)</f>
        <v>0</v>
      </c>
      <c r="E112" s="207">
        <f>SUMIFS('октябрь 2023'!$G$4:$G$1074,'октябрь 2023'!$D$4:$D$1074,$B112,'октябрь 2023'!$J$4:$J$1074,E$1)</f>
        <v>0</v>
      </c>
      <c r="F112" s="207">
        <f>SUMIFS('октябрь 2023'!$G$4:$G$1074,'октябрь 2023'!$D$4:$D$1074,$B112,'октябрь 2023'!$J$4:$J$1074,F$1)</f>
        <v>0</v>
      </c>
      <c r="G112" s="207">
        <f>SUMIFS('октябрь 2023'!$G$4:$G$1074,'октябрь 2023'!$D$4:$D$1074,$B112,'октябрь 2023'!$J$4:$J$1074,G$1)</f>
        <v>0</v>
      </c>
      <c r="H112" s="207">
        <f>SUMIFS('октябрь 2023'!$G$4:$G$1074,'октябрь 2023'!$D$4:$D$1074,$B112,'октябрь 2023'!$J$4:$J$1074,H$1)</f>
        <v>0</v>
      </c>
      <c r="I112" s="207">
        <f>SUMIFS('октябрь 2023'!$G$4:$G$1074,'октябрь 2023'!$D$4:$D$1074,$B112,'октябрь 2023'!$J$4:$J$1074,I$1)</f>
        <v>0</v>
      </c>
      <c r="J112" s="207">
        <f>SUMIFS('октябрь 2023'!$G$4:$G$1074,'октябрь 2023'!$D$4:$D$1074,$B112,'октябрь 2023'!$J$4:$J$1074,J$1)</f>
        <v>0</v>
      </c>
      <c r="K112" s="207">
        <f>SUMIFS('октябрь 2023'!$G$4:$G$1074,'октябрь 2023'!$D$4:$D$1074,$B112,'октябрь 2023'!$J$4:$J$1074,K$1)</f>
        <v>0</v>
      </c>
      <c r="L112" s="207">
        <f>SUMIFS('октябрь 2023'!$G$4:$G$1074,'октябрь 2023'!$D$4:$D$1074,$B112,'октябрь 2023'!$J$4:$J$1074,L$1)</f>
        <v>0</v>
      </c>
      <c r="M112" s="207">
        <f>SUMIFS('октябрь 2023'!$G$4:$G$1074,'октябрь 2023'!$D$4:$D$1074,$B112,'октябрь 2023'!$J$4:$J$1074,M$1)</f>
        <v>0</v>
      </c>
      <c r="N112" s="207">
        <f>SUMIFS('октябрь 2023'!$G$4:$G$1074,'октябрь 2023'!$D$4:$D$1074,$B112,'октябрь 2023'!$J$4:$J$1074,N$1)</f>
        <v>0</v>
      </c>
      <c r="O112" s="207">
        <f>SUMIFS('октябрь 2023'!$G$4:$G$1074,'октябрь 2023'!$D$4:$D$1074,$B112,'октябрь 2023'!$J$4:$J$1074,O$1)</f>
        <v>0</v>
      </c>
      <c r="P112" s="207">
        <f>SUMIFS('октябрь 2023'!$G$4:$G$1074,'октябрь 2023'!$D$4:$D$1074,$B112,'октябрь 2023'!$J$4:$J$1074,P$1)</f>
        <v>0</v>
      </c>
      <c r="Q112" s="207">
        <f>SUMIFS('октябрь 2023'!$G$4:$G$1074,'октябрь 2023'!$D$4:$D$1074,$B112,'октябрь 2023'!$J$4:$J$1074,Q$1)</f>
        <v>0</v>
      </c>
      <c r="R112" s="207">
        <f>SUMIFS('октябрь 2023'!$G$4:$G$1074,'октябрь 2023'!$D$4:$D$1074,$B112,'октябрь 2023'!$J$4:$J$1074,R$1)</f>
        <v>0</v>
      </c>
      <c r="S112" s="207">
        <f>SUMIFS('октябрь 2023'!$G$4:$G$1074,'октябрь 2023'!$D$4:$D$1074,$B112,'октябрь 2023'!$J$4:$J$1074,S$1)</f>
        <v>0</v>
      </c>
      <c r="T112" s="207">
        <f>SUMIFS('октябрь 2023'!$G$4:$G$1074,'октябрь 2023'!$D$4:$D$1074,$B112,'октябрь 2023'!$J$4:$J$1074,T$1)</f>
        <v>0</v>
      </c>
      <c r="U112" s="207">
        <f>SUMIFS('октябрь 2023'!$G$4:$G$1074,'октябрь 2023'!$D$4:$D$1074,$B112,'октябрь 2023'!$J$4:$J$1074,U$1)</f>
        <v>0</v>
      </c>
      <c r="V112" s="207">
        <f>SUMIFS('октябрь 2023'!$G$4:$G$1074,'октябрь 2023'!$D$4:$D$1074,$B112,'октябрь 2023'!$J$4:$J$1074,V$1)</f>
        <v>0</v>
      </c>
      <c r="W112" s="207">
        <f>SUMIFS('октябрь 2023'!$G$4:$G$1074,'октябрь 2023'!$D$4:$D$1074,$B112,'октябрь 2023'!$J$4:$J$1074,W$1)</f>
        <v>0</v>
      </c>
      <c r="X112" s="207">
        <f>SUMIFS('октябрь 2023'!$G$4:$G$1074,'октябрь 2023'!$D$4:$D$1074,$B112,'октябрь 2023'!$J$4:$J$1074,X$1)</f>
        <v>0</v>
      </c>
      <c r="Y112" s="207">
        <f>SUMIFS('октябрь 2023'!$G$4:$G$1074,'октябрь 2023'!$D$4:$D$1074,$B112,'октябрь 2023'!$J$4:$J$1074,Y$1)</f>
        <v>0</v>
      </c>
      <c r="Z112" s="207">
        <f>SUMIFS('октябрь 2023'!$G$4:$G$1074,'октябрь 2023'!$D$4:$D$1074,$B112,'октябрь 2023'!$J$4:$J$1074,Z$1)</f>
        <v>0</v>
      </c>
      <c r="AA112" s="207">
        <f>SUMIFS('октябрь 2023'!$G$4:$G$1074,'октябрь 2023'!$D$4:$D$1074,$B112,'октябрь 2023'!$J$4:$J$1074,AA$1)</f>
        <v>0</v>
      </c>
      <c r="AB112" s="207">
        <f>SUMIFS('октябрь 2023'!$G$4:$G$1074,'октябрь 2023'!$D$4:$D$1074,$B112,'октябрь 2023'!$J$4:$J$1074,AB$1)</f>
        <v>0</v>
      </c>
      <c r="AC112" s="207">
        <f>SUMIFS('октябрь 2023'!$G$4:$G$1074,'октябрь 2023'!$D$4:$D$1074,$B112,'октябрь 2023'!$J$4:$J$1074,AC$1)</f>
        <v>0</v>
      </c>
      <c r="AD112" s="207">
        <f>SUMIFS('октябрь 2023'!$G$4:$G$1074,'октябрь 2023'!$D$4:$D$1074,$B112,'октябрь 2023'!$J$4:$J$1074,AD$1)</f>
        <v>0</v>
      </c>
      <c r="AE112" s="207">
        <f>SUMIFS('октябрь 2023'!$G$4:$G$1074,'октябрь 2023'!$D$4:$D$1074,$B112,'октябрь 2023'!$J$4:$J$1074,AE$1)</f>
        <v>0</v>
      </c>
      <c r="AF112" s="207">
        <f>SUMIFS('октябрь 2023'!$G$4:$G$1074,'октябрь 2023'!$D$4:$D$1074,$B112,'октябрь 2023'!$J$4:$J$1074,AF$1)</f>
        <v>0</v>
      </c>
      <c r="AG112" s="207">
        <f>SUMIFS('октябрь 2023'!$G$4:$G$1074,'октябрь 2023'!$D$4:$D$1074,$B112,'октябрь 2023'!$J$4:$J$1074,AG$1)</f>
        <v>0</v>
      </c>
      <c r="AH112" s="207">
        <f>SUMIFS('октябрь 2023'!$G$4:$G$1074,'октябрь 2023'!$D$4:$D$1074,$B112,'октябрь 2023'!$J$4:$J$1074,AH$1)</f>
        <v>0</v>
      </c>
      <c r="AI112" s="170">
        <f t="shared" si="2"/>
        <v>0</v>
      </c>
    </row>
    <row r="113" spans="2:35" ht="15" customHeight="1" x14ac:dyDescent="0.25">
      <c r="B113" s="216" t="s">
        <v>775</v>
      </c>
      <c r="C113" s="213">
        <v>200</v>
      </c>
      <c r="D113" s="207">
        <f>SUMIFS('октябрь 2023'!$G$4:$G$1074,'октябрь 2023'!$D$4:$D$1074,$B113,'октябрь 2023'!$J$4:$J$1074,D$1)</f>
        <v>0</v>
      </c>
      <c r="E113" s="207">
        <f>SUMIFS('октябрь 2023'!$G$4:$G$1074,'октябрь 2023'!$D$4:$D$1074,$B113,'октябрь 2023'!$J$4:$J$1074,E$1)</f>
        <v>0</v>
      </c>
      <c r="F113" s="207">
        <f>SUMIFS('октябрь 2023'!$G$4:$G$1074,'октябрь 2023'!$D$4:$D$1074,$B113,'октябрь 2023'!$J$4:$J$1074,F$1)</f>
        <v>0</v>
      </c>
      <c r="G113" s="207">
        <f>SUMIFS('октябрь 2023'!$G$4:$G$1074,'октябрь 2023'!$D$4:$D$1074,$B113,'октябрь 2023'!$J$4:$J$1074,G$1)</f>
        <v>0</v>
      </c>
      <c r="H113" s="207">
        <f>SUMIFS('октябрь 2023'!$G$4:$G$1074,'октябрь 2023'!$D$4:$D$1074,$B113,'октябрь 2023'!$J$4:$J$1074,H$1)</f>
        <v>0</v>
      </c>
      <c r="I113" s="207">
        <f>SUMIFS('октябрь 2023'!$G$4:$G$1074,'октябрь 2023'!$D$4:$D$1074,$B113,'октябрь 2023'!$J$4:$J$1074,I$1)</f>
        <v>0</v>
      </c>
      <c r="J113" s="207">
        <f>SUMIFS('октябрь 2023'!$G$4:$G$1074,'октябрь 2023'!$D$4:$D$1074,$B113,'октябрь 2023'!$J$4:$J$1074,J$1)</f>
        <v>0</v>
      </c>
      <c r="K113" s="207">
        <f>SUMIFS('октябрь 2023'!$G$4:$G$1074,'октябрь 2023'!$D$4:$D$1074,$B113,'октябрь 2023'!$J$4:$J$1074,K$1)</f>
        <v>0</v>
      </c>
      <c r="L113" s="207">
        <f>SUMIFS('октябрь 2023'!$G$4:$G$1074,'октябрь 2023'!$D$4:$D$1074,$B113,'октябрь 2023'!$J$4:$J$1074,L$1)</f>
        <v>0</v>
      </c>
      <c r="M113" s="207">
        <f>SUMIFS('октябрь 2023'!$G$4:$G$1074,'октябрь 2023'!$D$4:$D$1074,$B113,'октябрь 2023'!$J$4:$J$1074,M$1)</f>
        <v>0</v>
      </c>
      <c r="N113" s="207">
        <f>SUMIFS('октябрь 2023'!$G$4:$G$1074,'октябрь 2023'!$D$4:$D$1074,$B113,'октябрь 2023'!$J$4:$J$1074,N$1)</f>
        <v>0</v>
      </c>
      <c r="O113" s="207">
        <f>SUMIFS('октябрь 2023'!$G$4:$G$1074,'октябрь 2023'!$D$4:$D$1074,$B113,'октябрь 2023'!$J$4:$J$1074,O$1)</f>
        <v>0</v>
      </c>
      <c r="P113" s="207">
        <f>SUMIFS('октябрь 2023'!$G$4:$G$1074,'октябрь 2023'!$D$4:$D$1074,$B113,'октябрь 2023'!$J$4:$J$1074,P$1)</f>
        <v>0</v>
      </c>
      <c r="Q113" s="207">
        <f>SUMIFS('октябрь 2023'!$G$4:$G$1074,'октябрь 2023'!$D$4:$D$1074,$B113,'октябрь 2023'!$J$4:$J$1074,Q$1)</f>
        <v>0</v>
      </c>
      <c r="R113" s="207">
        <f>SUMIFS('октябрь 2023'!$G$4:$G$1074,'октябрь 2023'!$D$4:$D$1074,$B113,'октябрь 2023'!$J$4:$J$1074,R$1)</f>
        <v>0</v>
      </c>
      <c r="S113" s="207">
        <f>SUMIFS('октябрь 2023'!$G$4:$G$1074,'октябрь 2023'!$D$4:$D$1074,$B113,'октябрь 2023'!$J$4:$J$1074,S$1)</f>
        <v>0</v>
      </c>
      <c r="T113" s="207">
        <f>SUMIFS('октябрь 2023'!$G$4:$G$1074,'октябрь 2023'!$D$4:$D$1074,$B113,'октябрь 2023'!$J$4:$J$1074,T$1)</f>
        <v>0</v>
      </c>
      <c r="U113" s="207">
        <f>SUMIFS('октябрь 2023'!$G$4:$G$1074,'октябрь 2023'!$D$4:$D$1074,$B113,'октябрь 2023'!$J$4:$J$1074,U$1)</f>
        <v>0</v>
      </c>
      <c r="V113" s="207">
        <f>SUMIFS('октябрь 2023'!$G$4:$G$1074,'октябрь 2023'!$D$4:$D$1074,$B113,'октябрь 2023'!$J$4:$J$1074,V$1)</f>
        <v>0</v>
      </c>
      <c r="W113" s="207">
        <f>SUMIFS('октябрь 2023'!$G$4:$G$1074,'октябрь 2023'!$D$4:$D$1074,$B113,'октябрь 2023'!$J$4:$J$1074,W$1)</f>
        <v>0</v>
      </c>
      <c r="X113" s="207">
        <f>SUMIFS('октябрь 2023'!$G$4:$G$1074,'октябрь 2023'!$D$4:$D$1074,$B113,'октябрь 2023'!$J$4:$J$1074,X$1)</f>
        <v>0</v>
      </c>
      <c r="Y113" s="207">
        <f>SUMIFS('октябрь 2023'!$G$4:$G$1074,'октябрь 2023'!$D$4:$D$1074,$B113,'октябрь 2023'!$J$4:$J$1074,Y$1)</f>
        <v>0</v>
      </c>
      <c r="Z113" s="207">
        <f>SUMIFS('октябрь 2023'!$G$4:$G$1074,'октябрь 2023'!$D$4:$D$1074,$B113,'октябрь 2023'!$J$4:$J$1074,Z$1)</f>
        <v>0</v>
      </c>
      <c r="AA113" s="207">
        <f>SUMIFS('октябрь 2023'!$G$4:$G$1074,'октябрь 2023'!$D$4:$D$1074,$B113,'октябрь 2023'!$J$4:$J$1074,AA$1)</f>
        <v>0</v>
      </c>
      <c r="AB113" s="207">
        <f>SUMIFS('октябрь 2023'!$G$4:$G$1074,'октябрь 2023'!$D$4:$D$1074,$B113,'октябрь 2023'!$J$4:$J$1074,AB$1)</f>
        <v>0</v>
      </c>
      <c r="AC113" s="207">
        <f>SUMIFS('октябрь 2023'!$G$4:$G$1074,'октябрь 2023'!$D$4:$D$1074,$B113,'октябрь 2023'!$J$4:$J$1074,AC$1)</f>
        <v>0</v>
      </c>
      <c r="AD113" s="207">
        <f>SUMIFS('октябрь 2023'!$G$4:$G$1074,'октябрь 2023'!$D$4:$D$1074,$B113,'октябрь 2023'!$J$4:$J$1074,AD$1)</f>
        <v>0</v>
      </c>
      <c r="AE113" s="207">
        <f>SUMIFS('октябрь 2023'!$G$4:$G$1074,'октябрь 2023'!$D$4:$D$1074,$B113,'октябрь 2023'!$J$4:$J$1074,AE$1)</f>
        <v>0</v>
      </c>
      <c r="AF113" s="207">
        <f>SUMIFS('октябрь 2023'!$G$4:$G$1074,'октябрь 2023'!$D$4:$D$1074,$B113,'октябрь 2023'!$J$4:$J$1074,AF$1)</f>
        <v>0</v>
      </c>
      <c r="AG113" s="207">
        <f>SUMIFS('октябрь 2023'!$G$4:$G$1074,'октябрь 2023'!$D$4:$D$1074,$B113,'октябрь 2023'!$J$4:$J$1074,AG$1)</f>
        <v>0</v>
      </c>
      <c r="AH113" s="207">
        <f>SUMIFS('октябрь 2023'!$G$4:$G$1074,'октябрь 2023'!$D$4:$D$1074,$B113,'октябрь 2023'!$J$4:$J$1074,AH$1)</f>
        <v>0</v>
      </c>
      <c r="AI113" s="170">
        <f t="shared" si="2"/>
        <v>0</v>
      </c>
    </row>
    <row r="114" spans="2:35" ht="16.899999999999999" customHeight="1" x14ac:dyDescent="0.25">
      <c r="B114" s="212" t="s">
        <v>1094</v>
      </c>
      <c r="C114" s="211">
        <v>25</v>
      </c>
      <c r="D114" s="207">
        <f>SUMIFS('октябрь 2023'!$G$4:$G$1074,'октябрь 2023'!$D$4:$D$1074,$B114,'октябрь 2023'!$J$4:$J$1074,D$1)</f>
        <v>0</v>
      </c>
      <c r="E114" s="207">
        <f>SUMIFS('октябрь 2023'!$G$4:$G$1074,'октябрь 2023'!$D$4:$D$1074,$B114,'октябрь 2023'!$J$4:$J$1074,E$1)</f>
        <v>0</v>
      </c>
      <c r="F114" s="207">
        <f>SUMIFS('октябрь 2023'!$G$4:$G$1074,'октябрь 2023'!$D$4:$D$1074,$B114,'октябрь 2023'!$J$4:$J$1074,F$1)</f>
        <v>0</v>
      </c>
      <c r="G114" s="207">
        <f>SUMIFS('октябрь 2023'!$G$4:$G$1074,'октябрь 2023'!$D$4:$D$1074,$B114,'октябрь 2023'!$J$4:$J$1074,G$1)</f>
        <v>0</v>
      </c>
      <c r="H114" s="207">
        <f>SUMIFS('октябрь 2023'!$G$4:$G$1074,'октябрь 2023'!$D$4:$D$1074,$B114,'октябрь 2023'!$J$4:$J$1074,H$1)</f>
        <v>0</v>
      </c>
      <c r="I114" s="207">
        <f>SUMIFS('октябрь 2023'!$G$4:$G$1074,'октябрь 2023'!$D$4:$D$1074,$B114,'октябрь 2023'!$J$4:$J$1074,I$1)</f>
        <v>0</v>
      </c>
      <c r="J114" s="207">
        <f>SUMIFS('октябрь 2023'!$G$4:$G$1074,'октябрь 2023'!$D$4:$D$1074,$B114,'октябрь 2023'!$J$4:$J$1074,J$1)</f>
        <v>0</v>
      </c>
      <c r="K114" s="207">
        <f>SUMIFS('октябрь 2023'!$G$4:$G$1074,'октябрь 2023'!$D$4:$D$1074,$B114,'октябрь 2023'!$J$4:$J$1074,K$1)</f>
        <v>0</v>
      </c>
      <c r="L114" s="207">
        <f>SUMIFS('октябрь 2023'!$G$4:$G$1074,'октябрь 2023'!$D$4:$D$1074,$B114,'октябрь 2023'!$J$4:$J$1074,L$1)</f>
        <v>0</v>
      </c>
      <c r="M114" s="207">
        <f>SUMIFS('октябрь 2023'!$G$4:$G$1074,'октябрь 2023'!$D$4:$D$1074,$B114,'октябрь 2023'!$J$4:$J$1074,M$1)</f>
        <v>0</v>
      </c>
      <c r="N114" s="207">
        <f>SUMIFS('октябрь 2023'!$G$4:$G$1074,'октябрь 2023'!$D$4:$D$1074,$B114,'октябрь 2023'!$J$4:$J$1074,N$1)</f>
        <v>0</v>
      </c>
      <c r="O114" s="207">
        <f>SUMIFS('октябрь 2023'!$G$4:$G$1074,'октябрь 2023'!$D$4:$D$1074,$B114,'октябрь 2023'!$J$4:$J$1074,O$1)</f>
        <v>0</v>
      </c>
      <c r="P114" s="207">
        <f>SUMIFS('октябрь 2023'!$G$4:$G$1074,'октябрь 2023'!$D$4:$D$1074,$B114,'октябрь 2023'!$J$4:$J$1074,P$1)</f>
        <v>0</v>
      </c>
      <c r="Q114" s="207">
        <f>SUMIFS('октябрь 2023'!$G$4:$G$1074,'октябрь 2023'!$D$4:$D$1074,$B114,'октябрь 2023'!$J$4:$J$1074,Q$1)</f>
        <v>0</v>
      </c>
      <c r="R114" s="207">
        <f>SUMIFS('октябрь 2023'!$G$4:$G$1074,'октябрь 2023'!$D$4:$D$1074,$B114,'октябрь 2023'!$J$4:$J$1074,R$1)</f>
        <v>0</v>
      </c>
      <c r="S114" s="207">
        <f>SUMIFS('октябрь 2023'!$G$4:$G$1074,'октябрь 2023'!$D$4:$D$1074,$B114,'октябрь 2023'!$J$4:$J$1074,S$1)</f>
        <v>0</v>
      </c>
      <c r="T114" s="207">
        <f>SUMIFS('октябрь 2023'!$G$4:$G$1074,'октябрь 2023'!$D$4:$D$1074,$B114,'октябрь 2023'!$J$4:$J$1074,T$1)</f>
        <v>0</v>
      </c>
      <c r="U114" s="207">
        <f>SUMIFS('октябрь 2023'!$G$4:$G$1074,'октябрь 2023'!$D$4:$D$1074,$B114,'октябрь 2023'!$J$4:$J$1074,U$1)</f>
        <v>0</v>
      </c>
      <c r="V114" s="207">
        <f>SUMIFS('октябрь 2023'!$G$4:$G$1074,'октябрь 2023'!$D$4:$D$1074,$B114,'октябрь 2023'!$J$4:$J$1074,V$1)</f>
        <v>0</v>
      </c>
      <c r="W114" s="207">
        <f>SUMIFS('октябрь 2023'!$G$4:$G$1074,'октябрь 2023'!$D$4:$D$1074,$B114,'октябрь 2023'!$J$4:$J$1074,W$1)</f>
        <v>0</v>
      </c>
      <c r="X114" s="207">
        <f>SUMIFS('октябрь 2023'!$G$4:$G$1074,'октябрь 2023'!$D$4:$D$1074,$B114,'октябрь 2023'!$J$4:$J$1074,X$1)</f>
        <v>0</v>
      </c>
      <c r="Y114" s="207">
        <f>SUMIFS('октябрь 2023'!$G$4:$G$1074,'октябрь 2023'!$D$4:$D$1074,$B114,'октябрь 2023'!$J$4:$J$1074,Y$1)</f>
        <v>0</v>
      </c>
      <c r="Z114" s="207">
        <f>SUMIFS('октябрь 2023'!$G$4:$G$1074,'октябрь 2023'!$D$4:$D$1074,$B114,'октябрь 2023'!$J$4:$J$1074,Z$1)</f>
        <v>0</v>
      </c>
      <c r="AA114" s="207">
        <f>SUMIFS('октябрь 2023'!$G$4:$G$1074,'октябрь 2023'!$D$4:$D$1074,$B114,'октябрь 2023'!$J$4:$J$1074,AA$1)</f>
        <v>0</v>
      </c>
      <c r="AB114" s="207">
        <f>SUMIFS('октябрь 2023'!$G$4:$G$1074,'октябрь 2023'!$D$4:$D$1074,$B114,'октябрь 2023'!$J$4:$J$1074,AB$1)</f>
        <v>0</v>
      </c>
      <c r="AC114" s="207">
        <f>SUMIFS('октябрь 2023'!$G$4:$G$1074,'октябрь 2023'!$D$4:$D$1074,$B114,'октябрь 2023'!$J$4:$J$1074,AC$1)</f>
        <v>0</v>
      </c>
      <c r="AD114" s="207">
        <f>SUMIFS('октябрь 2023'!$G$4:$G$1074,'октябрь 2023'!$D$4:$D$1074,$B114,'октябрь 2023'!$J$4:$J$1074,AD$1)</f>
        <v>0</v>
      </c>
      <c r="AE114" s="207">
        <f>SUMIFS('октябрь 2023'!$G$4:$G$1074,'октябрь 2023'!$D$4:$D$1074,$B114,'октябрь 2023'!$J$4:$J$1074,AE$1)</f>
        <v>0</v>
      </c>
      <c r="AF114" s="207">
        <f>SUMIFS('октябрь 2023'!$G$4:$G$1074,'октябрь 2023'!$D$4:$D$1074,$B114,'октябрь 2023'!$J$4:$J$1074,AF$1)</f>
        <v>0</v>
      </c>
      <c r="AG114" s="207">
        <f>SUMIFS('октябрь 2023'!$G$4:$G$1074,'октябрь 2023'!$D$4:$D$1074,$B114,'октябрь 2023'!$J$4:$J$1074,AG$1)</f>
        <v>0</v>
      </c>
      <c r="AH114" s="207">
        <f>SUMIFS('октябрь 2023'!$G$4:$G$1074,'октябрь 2023'!$D$4:$D$1074,$B114,'октябрь 2023'!$J$4:$J$1074,AH$1)</f>
        <v>0</v>
      </c>
      <c r="AI114" s="170">
        <f t="shared" si="2"/>
        <v>0</v>
      </c>
    </row>
    <row r="115" spans="2:35" ht="15" customHeight="1" x14ac:dyDescent="0.25">
      <c r="B115" s="212" t="s">
        <v>191</v>
      </c>
      <c r="C115" s="211">
        <v>25</v>
      </c>
      <c r="D115" s="207">
        <f>SUMIFS('октябрь 2023'!$G$4:$G$1074,'октябрь 2023'!$D$4:$D$1074,$B115,'октябрь 2023'!$J$4:$J$1074,D$1)</f>
        <v>0</v>
      </c>
      <c r="E115" s="207">
        <f>SUMIFS('октябрь 2023'!$G$4:$G$1074,'октябрь 2023'!$D$4:$D$1074,$B115,'октябрь 2023'!$J$4:$J$1074,E$1)</f>
        <v>0</v>
      </c>
      <c r="F115" s="207">
        <f>SUMIFS('октябрь 2023'!$G$4:$G$1074,'октябрь 2023'!$D$4:$D$1074,$B115,'октябрь 2023'!$J$4:$J$1074,F$1)</f>
        <v>0</v>
      </c>
      <c r="G115" s="207">
        <f>SUMIFS('октябрь 2023'!$G$4:$G$1074,'октябрь 2023'!$D$4:$D$1074,$B115,'октябрь 2023'!$J$4:$J$1074,G$1)</f>
        <v>0</v>
      </c>
      <c r="H115" s="207">
        <f>SUMIFS('октябрь 2023'!$G$4:$G$1074,'октябрь 2023'!$D$4:$D$1074,$B115,'октябрь 2023'!$J$4:$J$1074,H$1)</f>
        <v>0</v>
      </c>
      <c r="I115" s="207">
        <f>SUMIFS('октябрь 2023'!$G$4:$G$1074,'октябрь 2023'!$D$4:$D$1074,$B115,'октябрь 2023'!$J$4:$J$1074,I$1)</f>
        <v>0</v>
      </c>
      <c r="J115" s="207">
        <f>SUMIFS('октябрь 2023'!$G$4:$G$1074,'октябрь 2023'!$D$4:$D$1074,$B115,'октябрь 2023'!$J$4:$J$1074,J$1)</f>
        <v>0</v>
      </c>
      <c r="K115" s="207">
        <f>SUMIFS('октябрь 2023'!$G$4:$G$1074,'октябрь 2023'!$D$4:$D$1074,$B115,'октябрь 2023'!$J$4:$J$1074,K$1)</f>
        <v>0</v>
      </c>
      <c r="L115" s="207">
        <f>SUMIFS('октябрь 2023'!$G$4:$G$1074,'октябрь 2023'!$D$4:$D$1074,$B115,'октябрь 2023'!$J$4:$J$1074,L$1)</f>
        <v>0</v>
      </c>
      <c r="M115" s="207">
        <f>SUMIFS('октябрь 2023'!$G$4:$G$1074,'октябрь 2023'!$D$4:$D$1074,$B115,'октябрь 2023'!$J$4:$J$1074,M$1)</f>
        <v>0</v>
      </c>
      <c r="N115" s="207">
        <f>SUMIFS('октябрь 2023'!$G$4:$G$1074,'октябрь 2023'!$D$4:$D$1074,$B115,'октябрь 2023'!$J$4:$J$1074,N$1)</f>
        <v>0</v>
      </c>
      <c r="O115" s="207">
        <f>SUMIFS('октябрь 2023'!$G$4:$G$1074,'октябрь 2023'!$D$4:$D$1074,$B115,'октябрь 2023'!$J$4:$J$1074,O$1)</f>
        <v>0</v>
      </c>
      <c r="P115" s="207">
        <f>SUMIFS('октябрь 2023'!$G$4:$G$1074,'октябрь 2023'!$D$4:$D$1074,$B115,'октябрь 2023'!$J$4:$J$1074,P$1)</f>
        <v>0</v>
      </c>
      <c r="Q115" s="207">
        <f>SUMIFS('октябрь 2023'!$G$4:$G$1074,'октябрь 2023'!$D$4:$D$1074,$B115,'октябрь 2023'!$J$4:$J$1074,Q$1)</f>
        <v>0</v>
      </c>
      <c r="R115" s="207">
        <f>SUMIFS('октябрь 2023'!$G$4:$G$1074,'октябрь 2023'!$D$4:$D$1074,$B115,'октябрь 2023'!$J$4:$J$1074,R$1)</f>
        <v>0</v>
      </c>
      <c r="S115" s="207">
        <f>SUMIFS('октябрь 2023'!$G$4:$G$1074,'октябрь 2023'!$D$4:$D$1074,$B115,'октябрь 2023'!$J$4:$J$1074,S$1)</f>
        <v>0</v>
      </c>
      <c r="T115" s="207">
        <f>SUMIFS('октябрь 2023'!$G$4:$G$1074,'октябрь 2023'!$D$4:$D$1074,$B115,'октябрь 2023'!$J$4:$J$1074,T$1)</f>
        <v>0</v>
      </c>
      <c r="U115" s="207">
        <f>SUMIFS('октябрь 2023'!$G$4:$G$1074,'октябрь 2023'!$D$4:$D$1074,$B115,'октябрь 2023'!$J$4:$J$1074,U$1)</f>
        <v>0</v>
      </c>
      <c r="V115" s="207">
        <f>SUMIFS('октябрь 2023'!$G$4:$G$1074,'октябрь 2023'!$D$4:$D$1074,$B115,'октябрь 2023'!$J$4:$J$1074,V$1)</f>
        <v>0</v>
      </c>
      <c r="W115" s="207">
        <f>SUMIFS('октябрь 2023'!$G$4:$G$1074,'октябрь 2023'!$D$4:$D$1074,$B115,'октябрь 2023'!$J$4:$J$1074,W$1)</f>
        <v>0</v>
      </c>
      <c r="X115" s="207">
        <f>SUMIFS('октябрь 2023'!$G$4:$G$1074,'октябрь 2023'!$D$4:$D$1074,$B115,'октябрь 2023'!$J$4:$J$1074,X$1)</f>
        <v>0</v>
      </c>
      <c r="Y115" s="207">
        <f>SUMIFS('октябрь 2023'!$G$4:$G$1074,'октябрь 2023'!$D$4:$D$1074,$B115,'октябрь 2023'!$J$4:$J$1074,Y$1)</f>
        <v>0</v>
      </c>
      <c r="Z115" s="207">
        <f>SUMIFS('октябрь 2023'!$G$4:$G$1074,'октябрь 2023'!$D$4:$D$1074,$B115,'октябрь 2023'!$J$4:$J$1074,Z$1)</f>
        <v>0</v>
      </c>
      <c r="AA115" s="207">
        <f>SUMIFS('октябрь 2023'!$G$4:$G$1074,'октябрь 2023'!$D$4:$D$1074,$B115,'октябрь 2023'!$J$4:$J$1074,AA$1)</f>
        <v>0</v>
      </c>
      <c r="AB115" s="207">
        <f>SUMIFS('октябрь 2023'!$G$4:$G$1074,'октябрь 2023'!$D$4:$D$1074,$B115,'октябрь 2023'!$J$4:$J$1074,AB$1)</f>
        <v>0</v>
      </c>
      <c r="AC115" s="207">
        <f>SUMIFS('октябрь 2023'!$G$4:$G$1074,'октябрь 2023'!$D$4:$D$1074,$B115,'октябрь 2023'!$J$4:$J$1074,AC$1)</f>
        <v>0</v>
      </c>
      <c r="AD115" s="207">
        <f>SUMIFS('октябрь 2023'!$G$4:$G$1074,'октябрь 2023'!$D$4:$D$1074,$B115,'октябрь 2023'!$J$4:$J$1074,AD$1)</f>
        <v>0</v>
      </c>
      <c r="AE115" s="207">
        <f>SUMIFS('октябрь 2023'!$G$4:$G$1074,'октябрь 2023'!$D$4:$D$1074,$B115,'октябрь 2023'!$J$4:$J$1074,AE$1)</f>
        <v>0</v>
      </c>
      <c r="AF115" s="207">
        <f>SUMIFS('октябрь 2023'!$G$4:$G$1074,'октябрь 2023'!$D$4:$D$1074,$B115,'октябрь 2023'!$J$4:$J$1074,AF$1)</f>
        <v>0</v>
      </c>
      <c r="AG115" s="207">
        <f>SUMIFS('октябрь 2023'!$G$4:$G$1074,'октябрь 2023'!$D$4:$D$1074,$B115,'октябрь 2023'!$J$4:$J$1074,AG$1)</f>
        <v>0</v>
      </c>
      <c r="AH115" s="207">
        <f>SUMIFS('октябрь 2023'!$G$4:$G$1074,'октябрь 2023'!$D$4:$D$1074,$B115,'октябрь 2023'!$J$4:$J$1074,AH$1)</f>
        <v>96</v>
      </c>
      <c r="AI115" s="170">
        <f t="shared" si="2"/>
        <v>96</v>
      </c>
    </row>
    <row r="116" spans="2:35" ht="15" customHeight="1" x14ac:dyDescent="0.25">
      <c r="B116" s="212" t="s">
        <v>525</v>
      </c>
      <c r="C116" s="211">
        <v>25</v>
      </c>
      <c r="D116" s="207">
        <f>SUMIFS('октябрь 2023'!$G$4:$G$1074,'октябрь 2023'!$D$4:$D$1074,$B116,'октябрь 2023'!$J$4:$J$1074,D$1)</f>
        <v>0</v>
      </c>
      <c r="E116" s="207">
        <f>SUMIFS('октябрь 2023'!$G$4:$G$1074,'октябрь 2023'!$D$4:$D$1074,$B116,'октябрь 2023'!$J$4:$J$1074,E$1)</f>
        <v>0</v>
      </c>
      <c r="F116" s="207">
        <f>SUMIFS('октябрь 2023'!$G$4:$G$1074,'октябрь 2023'!$D$4:$D$1074,$B116,'октябрь 2023'!$J$4:$J$1074,F$1)</f>
        <v>0</v>
      </c>
      <c r="G116" s="207">
        <f>SUMIFS('октябрь 2023'!$G$4:$G$1074,'октябрь 2023'!$D$4:$D$1074,$B116,'октябрь 2023'!$J$4:$J$1074,G$1)</f>
        <v>0</v>
      </c>
      <c r="H116" s="207">
        <f>SUMIFS('октябрь 2023'!$G$4:$G$1074,'октябрь 2023'!$D$4:$D$1074,$B116,'октябрь 2023'!$J$4:$J$1074,H$1)</f>
        <v>0</v>
      </c>
      <c r="I116" s="207">
        <f>SUMIFS('октябрь 2023'!$G$4:$G$1074,'октябрь 2023'!$D$4:$D$1074,$B116,'октябрь 2023'!$J$4:$J$1074,I$1)</f>
        <v>0</v>
      </c>
      <c r="J116" s="207">
        <f>SUMIFS('октябрь 2023'!$G$4:$G$1074,'октябрь 2023'!$D$4:$D$1074,$B116,'октябрь 2023'!$J$4:$J$1074,J$1)</f>
        <v>0</v>
      </c>
      <c r="K116" s="207">
        <f>SUMIFS('октябрь 2023'!$G$4:$G$1074,'октябрь 2023'!$D$4:$D$1074,$B116,'октябрь 2023'!$J$4:$J$1074,K$1)</f>
        <v>0</v>
      </c>
      <c r="L116" s="207">
        <f>SUMIFS('октябрь 2023'!$G$4:$G$1074,'октябрь 2023'!$D$4:$D$1074,$B116,'октябрь 2023'!$J$4:$J$1074,L$1)</f>
        <v>0</v>
      </c>
      <c r="M116" s="207">
        <f>SUMIFS('октябрь 2023'!$G$4:$G$1074,'октябрь 2023'!$D$4:$D$1074,$B116,'октябрь 2023'!$J$4:$J$1074,M$1)</f>
        <v>0</v>
      </c>
      <c r="N116" s="207">
        <f>SUMIFS('октябрь 2023'!$G$4:$G$1074,'октябрь 2023'!$D$4:$D$1074,$B116,'октябрь 2023'!$J$4:$J$1074,N$1)</f>
        <v>144</v>
      </c>
      <c r="O116" s="207">
        <f>SUMIFS('октябрь 2023'!$G$4:$G$1074,'октябрь 2023'!$D$4:$D$1074,$B116,'октябрь 2023'!$J$4:$J$1074,O$1)</f>
        <v>0</v>
      </c>
      <c r="P116" s="207">
        <f>SUMIFS('октябрь 2023'!$G$4:$G$1074,'октябрь 2023'!$D$4:$D$1074,$B116,'октябрь 2023'!$J$4:$J$1074,P$1)</f>
        <v>0</v>
      </c>
      <c r="Q116" s="207">
        <f>SUMIFS('октябрь 2023'!$G$4:$G$1074,'октябрь 2023'!$D$4:$D$1074,$B116,'октябрь 2023'!$J$4:$J$1074,Q$1)</f>
        <v>0</v>
      </c>
      <c r="R116" s="207">
        <f>SUMIFS('октябрь 2023'!$G$4:$G$1074,'октябрь 2023'!$D$4:$D$1074,$B116,'октябрь 2023'!$J$4:$J$1074,R$1)</f>
        <v>0</v>
      </c>
      <c r="S116" s="207">
        <f>SUMIFS('октябрь 2023'!$G$4:$G$1074,'октябрь 2023'!$D$4:$D$1074,$B116,'октябрь 2023'!$J$4:$J$1074,S$1)</f>
        <v>0</v>
      </c>
      <c r="T116" s="207">
        <f>SUMIFS('октябрь 2023'!$G$4:$G$1074,'октябрь 2023'!$D$4:$D$1074,$B116,'октябрь 2023'!$J$4:$J$1074,T$1)</f>
        <v>0</v>
      </c>
      <c r="U116" s="207">
        <f>SUMIFS('октябрь 2023'!$G$4:$G$1074,'октябрь 2023'!$D$4:$D$1074,$B116,'октябрь 2023'!$J$4:$J$1074,U$1)</f>
        <v>0</v>
      </c>
      <c r="V116" s="207">
        <f>SUMIFS('октябрь 2023'!$G$4:$G$1074,'октябрь 2023'!$D$4:$D$1074,$B116,'октябрь 2023'!$J$4:$J$1074,V$1)</f>
        <v>0</v>
      </c>
      <c r="W116" s="207">
        <f>SUMIFS('октябрь 2023'!$G$4:$G$1074,'октябрь 2023'!$D$4:$D$1074,$B116,'октябрь 2023'!$J$4:$J$1074,W$1)</f>
        <v>0</v>
      </c>
      <c r="X116" s="207">
        <f>SUMIFS('октябрь 2023'!$G$4:$G$1074,'октябрь 2023'!$D$4:$D$1074,$B116,'октябрь 2023'!$J$4:$J$1074,X$1)</f>
        <v>0</v>
      </c>
      <c r="Y116" s="207">
        <f>SUMIFS('октябрь 2023'!$G$4:$G$1074,'октябрь 2023'!$D$4:$D$1074,$B116,'октябрь 2023'!$J$4:$J$1074,Y$1)</f>
        <v>0</v>
      </c>
      <c r="Z116" s="207">
        <f>SUMIFS('октябрь 2023'!$G$4:$G$1074,'октябрь 2023'!$D$4:$D$1074,$B116,'октябрь 2023'!$J$4:$J$1074,Z$1)</f>
        <v>0</v>
      </c>
      <c r="AA116" s="207">
        <f>SUMIFS('октябрь 2023'!$G$4:$G$1074,'октябрь 2023'!$D$4:$D$1074,$B116,'октябрь 2023'!$J$4:$J$1074,AA$1)</f>
        <v>0</v>
      </c>
      <c r="AB116" s="207">
        <f>SUMIFS('октябрь 2023'!$G$4:$G$1074,'октябрь 2023'!$D$4:$D$1074,$B116,'октябрь 2023'!$J$4:$J$1074,AB$1)</f>
        <v>0</v>
      </c>
      <c r="AC116" s="207">
        <f>SUMIFS('октябрь 2023'!$G$4:$G$1074,'октябрь 2023'!$D$4:$D$1074,$B116,'октябрь 2023'!$J$4:$J$1074,AC$1)</f>
        <v>0</v>
      </c>
      <c r="AD116" s="207">
        <f>SUMIFS('октябрь 2023'!$G$4:$G$1074,'октябрь 2023'!$D$4:$D$1074,$B116,'октябрь 2023'!$J$4:$J$1074,AD$1)</f>
        <v>0</v>
      </c>
      <c r="AE116" s="207">
        <f>SUMIFS('октябрь 2023'!$G$4:$G$1074,'октябрь 2023'!$D$4:$D$1074,$B116,'октябрь 2023'!$J$4:$J$1074,AE$1)</f>
        <v>0</v>
      </c>
      <c r="AF116" s="207">
        <f>SUMIFS('октябрь 2023'!$G$4:$G$1074,'октябрь 2023'!$D$4:$D$1074,$B116,'октябрь 2023'!$J$4:$J$1074,AF$1)</f>
        <v>0</v>
      </c>
      <c r="AG116" s="207">
        <f>SUMIFS('октябрь 2023'!$G$4:$G$1074,'октябрь 2023'!$D$4:$D$1074,$B116,'октябрь 2023'!$J$4:$J$1074,AG$1)</f>
        <v>0</v>
      </c>
      <c r="AH116" s="207">
        <f>SUMIFS('октябрь 2023'!$G$4:$G$1074,'октябрь 2023'!$D$4:$D$1074,$B116,'октябрь 2023'!$J$4:$J$1074,AH$1)</f>
        <v>0</v>
      </c>
      <c r="AI116" s="170">
        <f t="shared" si="2"/>
        <v>144</v>
      </c>
    </row>
    <row r="117" spans="2:35" ht="15" customHeight="1" x14ac:dyDescent="0.25">
      <c r="B117" s="212" t="s">
        <v>1353</v>
      </c>
      <c r="C117" s="211">
        <v>25</v>
      </c>
      <c r="D117" s="207">
        <f>SUMIFS('октябрь 2023'!$G$4:$G$1074,'октябрь 2023'!$D$4:$D$1074,$B117,'октябрь 2023'!$J$4:$J$1074,D$1)</f>
        <v>0</v>
      </c>
      <c r="E117" s="207">
        <f>SUMIFS('октябрь 2023'!$G$4:$G$1074,'октябрь 2023'!$D$4:$D$1074,$B117,'октябрь 2023'!$J$4:$J$1074,E$1)</f>
        <v>0</v>
      </c>
      <c r="F117" s="207">
        <f>SUMIFS('октябрь 2023'!$G$4:$G$1074,'октябрь 2023'!$D$4:$D$1074,$B117,'октябрь 2023'!$J$4:$J$1074,F$1)</f>
        <v>0</v>
      </c>
      <c r="G117" s="207">
        <f>SUMIFS('октябрь 2023'!$G$4:$G$1074,'октябрь 2023'!$D$4:$D$1074,$B117,'октябрь 2023'!$J$4:$J$1074,G$1)</f>
        <v>0</v>
      </c>
      <c r="H117" s="207">
        <f>SUMIFS('октябрь 2023'!$G$4:$G$1074,'октябрь 2023'!$D$4:$D$1074,$B117,'октябрь 2023'!$J$4:$J$1074,H$1)</f>
        <v>0</v>
      </c>
      <c r="I117" s="207">
        <f>SUMIFS('октябрь 2023'!$G$4:$G$1074,'октябрь 2023'!$D$4:$D$1074,$B117,'октябрь 2023'!$J$4:$J$1074,I$1)</f>
        <v>0</v>
      </c>
      <c r="J117" s="207">
        <f>SUMIFS('октябрь 2023'!$G$4:$G$1074,'октябрь 2023'!$D$4:$D$1074,$B117,'октябрь 2023'!$J$4:$J$1074,J$1)</f>
        <v>0</v>
      </c>
      <c r="K117" s="207">
        <f>SUMIFS('октябрь 2023'!$G$4:$G$1074,'октябрь 2023'!$D$4:$D$1074,$B117,'октябрь 2023'!$J$4:$J$1074,K$1)</f>
        <v>0</v>
      </c>
      <c r="L117" s="207">
        <f>SUMIFS('октябрь 2023'!$G$4:$G$1074,'октябрь 2023'!$D$4:$D$1074,$B117,'октябрь 2023'!$J$4:$J$1074,L$1)</f>
        <v>0</v>
      </c>
      <c r="M117" s="207">
        <f>SUMIFS('октябрь 2023'!$G$4:$G$1074,'октябрь 2023'!$D$4:$D$1074,$B117,'октябрь 2023'!$J$4:$J$1074,M$1)</f>
        <v>0</v>
      </c>
      <c r="N117" s="207">
        <f>SUMIFS('октябрь 2023'!$G$4:$G$1074,'октябрь 2023'!$D$4:$D$1074,$B117,'октябрь 2023'!$J$4:$J$1074,N$1)</f>
        <v>0</v>
      </c>
      <c r="O117" s="207">
        <f>SUMIFS('октябрь 2023'!$G$4:$G$1074,'октябрь 2023'!$D$4:$D$1074,$B117,'октябрь 2023'!$J$4:$J$1074,O$1)</f>
        <v>0</v>
      </c>
      <c r="P117" s="207">
        <f>SUMIFS('октябрь 2023'!$G$4:$G$1074,'октябрь 2023'!$D$4:$D$1074,$B117,'октябрь 2023'!$J$4:$J$1074,P$1)</f>
        <v>0</v>
      </c>
      <c r="Q117" s="207">
        <f>SUMIFS('октябрь 2023'!$G$4:$G$1074,'октябрь 2023'!$D$4:$D$1074,$B117,'октябрь 2023'!$J$4:$J$1074,Q$1)</f>
        <v>0</v>
      </c>
      <c r="R117" s="207">
        <f>SUMIFS('октябрь 2023'!$G$4:$G$1074,'октябрь 2023'!$D$4:$D$1074,$B117,'октябрь 2023'!$J$4:$J$1074,R$1)</f>
        <v>0</v>
      </c>
      <c r="S117" s="207">
        <f>SUMIFS('октябрь 2023'!$G$4:$G$1074,'октябрь 2023'!$D$4:$D$1074,$B117,'октябрь 2023'!$J$4:$J$1074,S$1)</f>
        <v>0</v>
      </c>
      <c r="T117" s="207">
        <f>SUMIFS('октябрь 2023'!$G$4:$G$1074,'октябрь 2023'!$D$4:$D$1074,$B117,'октябрь 2023'!$J$4:$J$1074,T$1)</f>
        <v>0</v>
      </c>
      <c r="U117" s="207">
        <f>SUMIFS('октябрь 2023'!$G$4:$G$1074,'октябрь 2023'!$D$4:$D$1074,$B117,'октябрь 2023'!$J$4:$J$1074,U$1)</f>
        <v>0</v>
      </c>
      <c r="V117" s="207">
        <f>SUMIFS('октябрь 2023'!$G$4:$G$1074,'октябрь 2023'!$D$4:$D$1074,$B117,'октябрь 2023'!$J$4:$J$1074,V$1)</f>
        <v>0</v>
      </c>
      <c r="W117" s="207">
        <f>SUMIFS('октябрь 2023'!$G$4:$G$1074,'октябрь 2023'!$D$4:$D$1074,$B117,'октябрь 2023'!$J$4:$J$1074,W$1)</f>
        <v>0</v>
      </c>
      <c r="X117" s="207">
        <f>SUMIFS('октябрь 2023'!$G$4:$G$1074,'октябрь 2023'!$D$4:$D$1074,$B117,'октябрь 2023'!$J$4:$J$1074,X$1)</f>
        <v>0</v>
      </c>
      <c r="Y117" s="207">
        <f>SUMIFS('октябрь 2023'!$G$4:$G$1074,'октябрь 2023'!$D$4:$D$1074,$B117,'октябрь 2023'!$J$4:$J$1074,Y$1)</f>
        <v>0</v>
      </c>
      <c r="Z117" s="207">
        <f>SUMIFS('октябрь 2023'!$G$4:$G$1074,'октябрь 2023'!$D$4:$D$1074,$B117,'октябрь 2023'!$J$4:$J$1074,Z$1)</f>
        <v>0</v>
      </c>
      <c r="AA117" s="207">
        <f>SUMIFS('октябрь 2023'!$G$4:$G$1074,'октябрь 2023'!$D$4:$D$1074,$B117,'октябрь 2023'!$J$4:$J$1074,AA$1)</f>
        <v>0</v>
      </c>
      <c r="AB117" s="207">
        <f>SUMIFS('октябрь 2023'!$G$4:$G$1074,'октябрь 2023'!$D$4:$D$1074,$B117,'октябрь 2023'!$J$4:$J$1074,AB$1)</f>
        <v>0</v>
      </c>
      <c r="AC117" s="207">
        <f>SUMIFS('октябрь 2023'!$G$4:$G$1074,'октябрь 2023'!$D$4:$D$1074,$B117,'октябрь 2023'!$J$4:$J$1074,AC$1)</f>
        <v>0</v>
      </c>
      <c r="AD117" s="207">
        <f>SUMIFS('октябрь 2023'!$G$4:$G$1074,'октябрь 2023'!$D$4:$D$1074,$B117,'октябрь 2023'!$J$4:$J$1074,AD$1)</f>
        <v>0</v>
      </c>
      <c r="AE117" s="207">
        <f>SUMIFS('октябрь 2023'!$G$4:$G$1074,'октябрь 2023'!$D$4:$D$1074,$B117,'октябрь 2023'!$J$4:$J$1074,AE$1)</f>
        <v>0</v>
      </c>
      <c r="AF117" s="207">
        <f>SUMIFS('октябрь 2023'!$G$4:$G$1074,'октябрь 2023'!$D$4:$D$1074,$B117,'октябрь 2023'!$J$4:$J$1074,AF$1)</f>
        <v>0</v>
      </c>
      <c r="AG117" s="207">
        <f>SUMIFS('октябрь 2023'!$G$4:$G$1074,'октябрь 2023'!$D$4:$D$1074,$B117,'октябрь 2023'!$J$4:$J$1074,AG$1)</f>
        <v>0</v>
      </c>
      <c r="AH117" s="207">
        <f>SUMIFS('октябрь 2023'!$G$4:$G$1074,'октябрь 2023'!$D$4:$D$1074,$B117,'октябрь 2023'!$J$4:$J$1074,AH$1)</f>
        <v>0</v>
      </c>
      <c r="AI117" s="170">
        <f t="shared" si="2"/>
        <v>0</v>
      </c>
    </row>
    <row r="118" spans="2:35" ht="15" customHeight="1" x14ac:dyDescent="0.25">
      <c r="B118" s="212"/>
      <c r="C118" s="211"/>
      <c r="D118" s="207">
        <f>SUMIFS('сентябрь 2023'!$G$4:$G$1053,'сентябрь 2023'!$D$4:$D$1053,$B118,'сентябрь 2023'!$J$4:$J$1053,D$1)</f>
        <v>0</v>
      </c>
      <c r="E118" s="207">
        <f>SUMIFS('сентябрь 2023'!$G$4:$G$1053,'сентябрь 2023'!$D$4:$D$1053,$B118,'сентябрь 2023'!$J$4:$J$1053,E$1)</f>
        <v>0</v>
      </c>
      <c r="F118" s="207">
        <f>SUMIFS('сентябрь 2023'!$G$4:$G$1053,'сентябрь 2023'!$D$4:$D$1053,$B118,'сентябрь 2023'!$J$4:$J$1053,F$1)</f>
        <v>0</v>
      </c>
      <c r="G118" s="207">
        <f>SUMIFS('сентябрь 2023'!$G$4:$G$1053,'сентябрь 2023'!$D$4:$D$1053,$B118,'сентябрь 2023'!$J$4:$J$1053,G$1)</f>
        <v>0</v>
      </c>
      <c r="H118" s="207">
        <f>SUMIFS('сентябрь 2023'!$G$4:$G$1053,'сентябрь 2023'!$D$4:$D$1053,$B118,'сентябрь 2023'!$J$4:$J$1053,H$1)</f>
        <v>0</v>
      </c>
      <c r="I118" s="207">
        <f>SUMIFS('сентябрь 2023'!$G$4:$G$1053,'сентябрь 2023'!$D$4:$D$1053,$B118,'сентябрь 2023'!$J$4:$J$1053,I$1)</f>
        <v>0</v>
      </c>
      <c r="J118" s="207">
        <f>SUMIFS('сентябрь 2023'!$G$4:$G$1053,'сентябрь 2023'!$D$4:$D$1053,$B118,'сентябрь 2023'!$J$4:$J$1053,J$1)</f>
        <v>0</v>
      </c>
      <c r="K118" s="207">
        <f>SUMIFS('сентябрь 2023'!$G$4:$G$1053,'сентябрь 2023'!$D$4:$D$1053,$B118,'сентябрь 2023'!$J$4:$J$1053,K$1)</f>
        <v>0</v>
      </c>
      <c r="L118" s="207">
        <f>SUMIFS('сентябрь 2023'!$G$4:$G$1053,'сентябрь 2023'!$D$4:$D$1053,$B118,'сентябрь 2023'!$J$4:$J$1053,L$1)</f>
        <v>0</v>
      </c>
      <c r="M118" s="207">
        <f>SUMIFS('сентябрь 2023'!$G$4:$G$1053,'сентябрь 2023'!$D$4:$D$1053,$B118,'сентябрь 2023'!$J$4:$J$1053,M$1)</f>
        <v>0</v>
      </c>
      <c r="N118" s="207">
        <f>SUMIFS('сентябрь 2023'!$G$4:$G$1053,'сентябрь 2023'!$D$4:$D$1053,$B118,'сентябрь 2023'!$J$4:$J$1053,N$1)</f>
        <v>0</v>
      </c>
      <c r="O118" s="207">
        <f>SUMIFS('сентябрь 2023'!$G$4:$G$1053,'сентябрь 2023'!$D$4:$D$1053,$B118,'сентябрь 2023'!$J$4:$J$1053,O$1)</f>
        <v>0</v>
      </c>
      <c r="P118" s="207">
        <f>SUMIFS('сентябрь 2023'!$G$4:$G$1053,'сентябрь 2023'!$D$4:$D$1053,$B118,'сентябрь 2023'!$J$4:$J$1053,P$1)</f>
        <v>0</v>
      </c>
      <c r="Q118" s="207">
        <f>SUMIFS('сентябрь 2023'!$G$4:$G$1053,'сентябрь 2023'!$D$4:$D$1053,$B118,'сентябрь 2023'!$J$4:$J$1053,Q$1)</f>
        <v>0</v>
      </c>
      <c r="R118" s="207">
        <f>SUMIFS('сентябрь 2023'!$G$4:$G$1053,'сентябрь 2023'!$D$4:$D$1053,$B118,'сентябрь 2023'!$J$4:$J$1053,R$1)</f>
        <v>0</v>
      </c>
      <c r="S118" s="207">
        <f>SUMIFS('сентябрь 2023'!$G$4:$G$1053,'сентябрь 2023'!$D$4:$D$1053,$B118,'сентябрь 2023'!$J$4:$J$1053,S$1)</f>
        <v>0</v>
      </c>
      <c r="T118" s="207">
        <f>SUMIFS('сентябрь 2023'!$G$4:$G$1053,'сентябрь 2023'!$D$4:$D$1053,$B118,'сентябрь 2023'!$J$4:$J$1053,T$1)</f>
        <v>0</v>
      </c>
      <c r="U118" s="207">
        <f>SUMIFS('сентябрь 2023'!$G$4:$G$1053,'сентябрь 2023'!$D$4:$D$1053,$B118,'сентябрь 2023'!$J$4:$J$1053,U$1)</f>
        <v>0</v>
      </c>
      <c r="V118" s="207">
        <f>SUMIFS('сентябрь 2023'!$G$4:$G$1053,'сентябрь 2023'!$D$4:$D$1053,$B118,'сентябрь 2023'!$J$4:$J$1053,V$1)</f>
        <v>0</v>
      </c>
      <c r="W118" s="207">
        <f>SUMIFS('сентябрь 2023'!$G$4:$G$1053,'сентябрь 2023'!$D$4:$D$1053,$B118,'сентябрь 2023'!$J$4:$J$1053,W$1)</f>
        <v>0</v>
      </c>
      <c r="X118" s="207">
        <f>SUMIFS('сентябрь 2023'!$G$4:$G$1053,'сентябрь 2023'!$D$4:$D$1053,$B118,'сентябрь 2023'!$J$4:$J$1053,X$1)</f>
        <v>0</v>
      </c>
      <c r="Y118" s="207">
        <f>SUMIFS('сентябрь 2023'!$G$4:$G$1053,'сентябрь 2023'!$D$4:$D$1053,$B118,'сентябрь 2023'!$J$4:$J$1053,Y$1)</f>
        <v>0</v>
      </c>
      <c r="Z118" s="207">
        <f>SUMIFS('сентябрь 2023'!$G$4:$G$1053,'сентябрь 2023'!$D$4:$D$1053,$B118,'сентябрь 2023'!$J$4:$J$1053,Z$1)</f>
        <v>0</v>
      </c>
      <c r="AA118" s="207">
        <f>SUMIFS('сентябрь 2023'!$G$4:$G$1053,'сентябрь 2023'!$D$4:$D$1053,$B118,'сентябрь 2023'!$J$4:$J$1053,AA$1)</f>
        <v>0</v>
      </c>
      <c r="AB118" s="207">
        <f>SUMIFS('сентябрь 2023'!$G$4:$G$1053,'сентябрь 2023'!$D$4:$D$1053,$B118,'сентябрь 2023'!$J$4:$J$1053,AB$1)</f>
        <v>0</v>
      </c>
      <c r="AC118" s="207">
        <f>SUMIFS('сентябрь 2023'!$G$4:$G$1053,'сентябрь 2023'!$D$4:$D$1053,$B118,'сентябрь 2023'!$J$4:$J$1053,AC$1)</f>
        <v>0</v>
      </c>
      <c r="AD118" s="207">
        <f>SUMIFS('сентябрь 2023'!$G$4:$G$1053,'сентябрь 2023'!$D$4:$D$1053,$B118,'сентябрь 2023'!$J$4:$J$1053,AD$1)</f>
        <v>0</v>
      </c>
      <c r="AE118" s="207">
        <f>SUMIFS('сентябрь 2023'!$G$4:$G$1053,'сентябрь 2023'!$D$4:$D$1053,$B118,'сентябрь 2023'!$J$4:$J$1053,AE$1)</f>
        <v>0</v>
      </c>
      <c r="AF118" s="207">
        <f>SUMIFS('сентябрь 2023'!$G$4:$G$1053,'сентябрь 2023'!$D$4:$D$1053,$B118,'сентябрь 2023'!$J$4:$J$1053,AF$1)</f>
        <v>0</v>
      </c>
      <c r="AG118" s="207">
        <f>SUMIFS('сентябрь 2023'!$G$4:$G$1053,'сентябрь 2023'!$D$4:$D$1053,$B118,'сентябрь 2023'!$J$4:$J$1053,AG$1)</f>
        <v>0</v>
      </c>
      <c r="AH118" s="207">
        <f>SUMIFS('сентябрь 2023'!$G$4:$G$1053,'сентябрь 2023'!$D$4:$D$1053,$B118,'сентябрь 2023'!$J$4:$J$1053,AH$1)</f>
        <v>0</v>
      </c>
      <c r="AI118" s="170">
        <f t="shared" si="2"/>
        <v>0</v>
      </c>
    </row>
    <row r="119" spans="2:35" ht="15" customHeight="1" x14ac:dyDescent="0.25">
      <c r="B119" s="212"/>
      <c r="C119" s="211"/>
      <c r="D119" s="207">
        <f>SUMIFS('сентябрь 2023'!$G$4:$G$1053,'сентябрь 2023'!$D$4:$D$1053,$B119,'сентябрь 2023'!$J$4:$J$1053,D$1)</f>
        <v>0</v>
      </c>
      <c r="E119" s="207">
        <f>SUMIFS('сентябрь 2023'!$G$4:$G$1053,'сентябрь 2023'!$D$4:$D$1053,$B119,'сентябрь 2023'!$J$4:$J$1053,E$1)</f>
        <v>0</v>
      </c>
      <c r="F119" s="207">
        <f>SUMIFS('сентябрь 2023'!$G$4:$G$1053,'сентябрь 2023'!$D$4:$D$1053,$B119,'сентябрь 2023'!$J$4:$J$1053,F$1)</f>
        <v>0</v>
      </c>
      <c r="G119" s="207">
        <f>SUMIFS('сентябрь 2023'!$G$4:$G$1053,'сентябрь 2023'!$D$4:$D$1053,$B119,'сентябрь 2023'!$J$4:$J$1053,G$1)</f>
        <v>0</v>
      </c>
      <c r="H119" s="207">
        <f>SUMIFS('сентябрь 2023'!$G$4:$G$1053,'сентябрь 2023'!$D$4:$D$1053,$B119,'сентябрь 2023'!$J$4:$J$1053,H$1)</f>
        <v>0</v>
      </c>
      <c r="I119" s="207">
        <f>SUMIFS('сентябрь 2023'!$G$4:$G$1053,'сентябрь 2023'!$D$4:$D$1053,$B119,'сентябрь 2023'!$J$4:$J$1053,I$1)</f>
        <v>0</v>
      </c>
      <c r="J119" s="207">
        <f>SUMIFS('сентябрь 2023'!$G$4:$G$1053,'сентябрь 2023'!$D$4:$D$1053,$B119,'сентябрь 2023'!$J$4:$J$1053,J$1)</f>
        <v>0</v>
      </c>
      <c r="K119" s="207">
        <f>SUMIFS('сентябрь 2023'!$G$4:$G$1053,'сентябрь 2023'!$D$4:$D$1053,$B119,'сентябрь 2023'!$J$4:$J$1053,K$1)</f>
        <v>0</v>
      </c>
      <c r="L119" s="207">
        <f>SUMIFS('сентябрь 2023'!$G$4:$G$1053,'сентябрь 2023'!$D$4:$D$1053,$B119,'сентябрь 2023'!$J$4:$J$1053,L$1)</f>
        <v>0</v>
      </c>
      <c r="M119" s="207">
        <f>SUMIFS('сентябрь 2023'!$G$4:$G$1053,'сентябрь 2023'!$D$4:$D$1053,$B119,'сентябрь 2023'!$J$4:$J$1053,M$1)</f>
        <v>0</v>
      </c>
      <c r="N119" s="207">
        <f>SUMIFS('сентябрь 2023'!$G$4:$G$1053,'сентябрь 2023'!$D$4:$D$1053,$B119,'сентябрь 2023'!$J$4:$J$1053,N$1)</f>
        <v>0</v>
      </c>
      <c r="O119" s="207">
        <f>SUMIFS('сентябрь 2023'!$G$4:$G$1053,'сентябрь 2023'!$D$4:$D$1053,$B119,'сентябрь 2023'!$J$4:$J$1053,O$1)</f>
        <v>0</v>
      </c>
      <c r="P119" s="207">
        <f>SUMIFS('сентябрь 2023'!$G$4:$G$1053,'сентябрь 2023'!$D$4:$D$1053,$B119,'сентябрь 2023'!$J$4:$J$1053,P$1)</f>
        <v>0</v>
      </c>
      <c r="Q119" s="207">
        <f>SUMIFS('сентябрь 2023'!$G$4:$G$1053,'сентябрь 2023'!$D$4:$D$1053,$B119,'сентябрь 2023'!$J$4:$J$1053,Q$1)</f>
        <v>0</v>
      </c>
      <c r="R119" s="207">
        <f>SUMIFS('сентябрь 2023'!$G$4:$G$1053,'сентябрь 2023'!$D$4:$D$1053,$B119,'сентябрь 2023'!$J$4:$J$1053,R$1)</f>
        <v>0</v>
      </c>
      <c r="S119" s="207">
        <f>SUMIFS('сентябрь 2023'!$G$4:$G$1053,'сентябрь 2023'!$D$4:$D$1053,$B119,'сентябрь 2023'!$J$4:$J$1053,S$1)</f>
        <v>0</v>
      </c>
      <c r="T119" s="207">
        <f>SUMIFS('сентябрь 2023'!$G$4:$G$1053,'сентябрь 2023'!$D$4:$D$1053,$B119,'сентябрь 2023'!$J$4:$J$1053,T$1)</f>
        <v>0</v>
      </c>
      <c r="U119" s="207">
        <f>SUMIFS('сентябрь 2023'!$G$4:$G$1053,'сентябрь 2023'!$D$4:$D$1053,$B119,'сентябрь 2023'!$J$4:$J$1053,U$1)</f>
        <v>0</v>
      </c>
      <c r="V119" s="207">
        <f>SUMIFS('сентябрь 2023'!$G$4:$G$1053,'сентябрь 2023'!$D$4:$D$1053,$B119,'сентябрь 2023'!$J$4:$J$1053,V$1)</f>
        <v>0</v>
      </c>
      <c r="W119" s="207">
        <f>SUMIFS('сентябрь 2023'!$G$4:$G$1053,'сентябрь 2023'!$D$4:$D$1053,$B119,'сентябрь 2023'!$J$4:$J$1053,W$1)</f>
        <v>0</v>
      </c>
      <c r="X119" s="207">
        <f>SUMIFS('сентябрь 2023'!$G$4:$G$1053,'сентябрь 2023'!$D$4:$D$1053,$B119,'сентябрь 2023'!$J$4:$J$1053,X$1)</f>
        <v>0</v>
      </c>
      <c r="Y119" s="207">
        <f>SUMIFS('сентябрь 2023'!$G$4:$G$1053,'сентябрь 2023'!$D$4:$D$1053,$B119,'сентябрь 2023'!$J$4:$J$1053,Y$1)</f>
        <v>0</v>
      </c>
      <c r="Z119" s="207">
        <f>SUMIFS('сентябрь 2023'!$G$4:$G$1053,'сентябрь 2023'!$D$4:$D$1053,$B119,'сентябрь 2023'!$J$4:$J$1053,Z$1)</f>
        <v>0</v>
      </c>
      <c r="AA119" s="207">
        <f>SUMIFS('сентябрь 2023'!$G$4:$G$1053,'сентябрь 2023'!$D$4:$D$1053,$B119,'сентябрь 2023'!$J$4:$J$1053,AA$1)</f>
        <v>0</v>
      </c>
      <c r="AB119" s="207">
        <f>SUMIFS('сентябрь 2023'!$G$4:$G$1053,'сентябрь 2023'!$D$4:$D$1053,$B119,'сентябрь 2023'!$J$4:$J$1053,AB$1)</f>
        <v>0</v>
      </c>
      <c r="AC119" s="207">
        <f>SUMIFS('сентябрь 2023'!$G$4:$G$1053,'сентябрь 2023'!$D$4:$D$1053,$B119,'сентябрь 2023'!$J$4:$J$1053,AC$1)</f>
        <v>0</v>
      </c>
      <c r="AD119" s="207">
        <f>SUMIFS('сентябрь 2023'!$G$4:$G$1053,'сентябрь 2023'!$D$4:$D$1053,$B119,'сентябрь 2023'!$J$4:$J$1053,AD$1)</f>
        <v>0</v>
      </c>
      <c r="AE119" s="207">
        <f>SUMIFS('сентябрь 2023'!$G$4:$G$1053,'сентябрь 2023'!$D$4:$D$1053,$B119,'сентябрь 2023'!$J$4:$J$1053,AE$1)</f>
        <v>0</v>
      </c>
      <c r="AF119" s="207">
        <f>SUMIFS('сентябрь 2023'!$G$4:$G$1053,'сентябрь 2023'!$D$4:$D$1053,$B119,'сентябрь 2023'!$J$4:$J$1053,AF$1)</f>
        <v>0</v>
      </c>
      <c r="AG119" s="207">
        <f>SUMIFS('сентябрь 2023'!$G$4:$G$1053,'сентябрь 2023'!$D$4:$D$1053,$B119,'сентябрь 2023'!$J$4:$J$1053,AG$1)</f>
        <v>0</v>
      </c>
      <c r="AH119" s="207">
        <f>SUMIFS('сентябрь 2023'!$G$4:$G$1053,'сентябрь 2023'!$D$4:$D$1053,$B119,'сентябрь 2023'!$J$4:$J$1053,AH$1)</f>
        <v>0</v>
      </c>
      <c r="AI119" s="170">
        <f t="shared" si="2"/>
        <v>0</v>
      </c>
    </row>
    <row r="120" spans="2:35" ht="15" customHeight="1" x14ac:dyDescent="0.25">
      <c r="B120" s="212"/>
      <c r="C120" s="213"/>
      <c r="D120" s="207">
        <f>SUMIFS('сентябрь 2023'!$G$4:$G$1053,'сентябрь 2023'!$D$4:$D$1053,$B120,'сентябрь 2023'!$J$4:$J$1053,D$1)</f>
        <v>0</v>
      </c>
      <c r="E120" s="207">
        <f>SUMIFS('сентябрь 2023'!$G$4:$G$1053,'сентябрь 2023'!$D$4:$D$1053,$B120,'сентябрь 2023'!$J$4:$J$1053,E$1)</f>
        <v>0</v>
      </c>
      <c r="F120" s="207">
        <f>SUMIFS('сентябрь 2023'!$G$4:$G$1053,'сентябрь 2023'!$D$4:$D$1053,$B120,'сентябрь 2023'!$J$4:$J$1053,F$1)</f>
        <v>0</v>
      </c>
      <c r="G120" s="207">
        <f>SUMIFS('сентябрь 2023'!$G$4:$G$1053,'сентябрь 2023'!$D$4:$D$1053,$B120,'сентябрь 2023'!$J$4:$J$1053,G$1)</f>
        <v>0</v>
      </c>
      <c r="H120" s="207">
        <f>SUMIFS('сентябрь 2023'!$G$4:$G$1053,'сентябрь 2023'!$D$4:$D$1053,$B120,'сентябрь 2023'!$J$4:$J$1053,H$1)</f>
        <v>0</v>
      </c>
      <c r="I120" s="207">
        <f>SUMIFS('сентябрь 2023'!$G$4:$G$1053,'сентябрь 2023'!$D$4:$D$1053,$B120,'сентябрь 2023'!$J$4:$J$1053,I$1)</f>
        <v>0</v>
      </c>
      <c r="J120" s="207">
        <f>SUMIFS('сентябрь 2023'!$G$4:$G$1053,'сентябрь 2023'!$D$4:$D$1053,$B120,'сентябрь 2023'!$J$4:$J$1053,J$1)</f>
        <v>0</v>
      </c>
      <c r="K120" s="207">
        <f>SUMIFS('сентябрь 2023'!$G$4:$G$1053,'сентябрь 2023'!$D$4:$D$1053,$B120,'сентябрь 2023'!$J$4:$J$1053,K$1)</f>
        <v>0</v>
      </c>
      <c r="L120" s="207">
        <f>SUMIFS('сентябрь 2023'!$G$4:$G$1053,'сентябрь 2023'!$D$4:$D$1053,$B120,'сентябрь 2023'!$J$4:$J$1053,L$1)</f>
        <v>0</v>
      </c>
      <c r="M120" s="207">
        <f>SUMIFS('сентябрь 2023'!$G$4:$G$1053,'сентябрь 2023'!$D$4:$D$1053,$B120,'сентябрь 2023'!$J$4:$J$1053,M$1)</f>
        <v>0</v>
      </c>
      <c r="N120" s="207">
        <f>SUMIFS('сентябрь 2023'!$G$4:$G$1053,'сентябрь 2023'!$D$4:$D$1053,$B120,'сентябрь 2023'!$J$4:$J$1053,N$1)</f>
        <v>0</v>
      </c>
      <c r="O120" s="207">
        <f>SUMIFS('сентябрь 2023'!$G$4:$G$1053,'сентябрь 2023'!$D$4:$D$1053,$B120,'сентябрь 2023'!$J$4:$J$1053,O$1)</f>
        <v>0</v>
      </c>
      <c r="P120" s="207">
        <f>SUMIFS('сентябрь 2023'!$G$4:$G$1053,'сентябрь 2023'!$D$4:$D$1053,$B120,'сентябрь 2023'!$J$4:$J$1053,P$1)</f>
        <v>0</v>
      </c>
      <c r="Q120" s="207">
        <f>SUMIFS('сентябрь 2023'!$G$4:$G$1053,'сентябрь 2023'!$D$4:$D$1053,$B120,'сентябрь 2023'!$J$4:$J$1053,Q$1)</f>
        <v>0</v>
      </c>
      <c r="R120" s="207">
        <f>SUMIFS('сентябрь 2023'!$G$4:$G$1053,'сентябрь 2023'!$D$4:$D$1053,$B120,'сентябрь 2023'!$J$4:$J$1053,R$1)</f>
        <v>0</v>
      </c>
      <c r="S120" s="207">
        <f>SUMIFS('сентябрь 2023'!$G$4:$G$1053,'сентябрь 2023'!$D$4:$D$1053,$B120,'сентябрь 2023'!$J$4:$J$1053,S$1)</f>
        <v>0</v>
      </c>
      <c r="T120" s="207">
        <f>SUMIFS('сентябрь 2023'!$G$4:$G$1053,'сентябрь 2023'!$D$4:$D$1053,$B120,'сентябрь 2023'!$J$4:$J$1053,T$1)</f>
        <v>0</v>
      </c>
      <c r="U120" s="207">
        <f>SUMIFS('сентябрь 2023'!$G$4:$G$1053,'сентябрь 2023'!$D$4:$D$1053,$B120,'сентябрь 2023'!$J$4:$J$1053,U$1)</f>
        <v>0</v>
      </c>
      <c r="V120" s="207">
        <f>SUMIFS('сентябрь 2023'!$G$4:$G$1053,'сентябрь 2023'!$D$4:$D$1053,$B120,'сентябрь 2023'!$J$4:$J$1053,V$1)</f>
        <v>0</v>
      </c>
      <c r="W120" s="207">
        <f>SUMIFS('сентябрь 2023'!$G$4:$G$1053,'сентябрь 2023'!$D$4:$D$1053,$B120,'сентябрь 2023'!$J$4:$J$1053,W$1)</f>
        <v>0</v>
      </c>
      <c r="X120" s="207">
        <f>SUMIFS('сентябрь 2023'!$G$4:$G$1053,'сентябрь 2023'!$D$4:$D$1053,$B120,'сентябрь 2023'!$J$4:$J$1053,X$1)</f>
        <v>0</v>
      </c>
      <c r="Y120" s="207">
        <f>SUMIFS('сентябрь 2023'!$G$4:$G$1053,'сентябрь 2023'!$D$4:$D$1053,$B120,'сентябрь 2023'!$J$4:$J$1053,Y$1)</f>
        <v>0</v>
      </c>
      <c r="Z120" s="207">
        <f>SUMIFS('сентябрь 2023'!$G$4:$G$1053,'сентябрь 2023'!$D$4:$D$1053,$B120,'сентябрь 2023'!$J$4:$J$1053,Z$1)</f>
        <v>0</v>
      </c>
      <c r="AA120" s="207">
        <f>SUMIFS('сентябрь 2023'!$G$4:$G$1053,'сентябрь 2023'!$D$4:$D$1053,$B120,'сентябрь 2023'!$J$4:$J$1053,AA$1)</f>
        <v>0</v>
      </c>
      <c r="AB120" s="207">
        <f>SUMIFS('сентябрь 2023'!$G$4:$G$1053,'сентябрь 2023'!$D$4:$D$1053,$B120,'сентябрь 2023'!$J$4:$J$1053,AB$1)</f>
        <v>0</v>
      </c>
      <c r="AC120" s="207">
        <f>SUMIFS('сентябрь 2023'!$G$4:$G$1053,'сентябрь 2023'!$D$4:$D$1053,$B120,'сентябрь 2023'!$J$4:$J$1053,AC$1)</f>
        <v>0</v>
      </c>
      <c r="AD120" s="207">
        <f>SUMIFS('сентябрь 2023'!$G$4:$G$1053,'сентябрь 2023'!$D$4:$D$1053,$B120,'сентябрь 2023'!$J$4:$J$1053,AD$1)</f>
        <v>0</v>
      </c>
      <c r="AE120" s="207">
        <f>SUMIFS('сентябрь 2023'!$G$4:$G$1053,'сентябрь 2023'!$D$4:$D$1053,$B120,'сентябрь 2023'!$J$4:$J$1053,AE$1)</f>
        <v>0</v>
      </c>
      <c r="AF120" s="207">
        <f>SUMIFS('сентябрь 2023'!$G$4:$G$1053,'сентябрь 2023'!$D$4:$D$1053,$B120,'сентябрь 2023'!$J$4:$J$1053,AF$1)</f>
        <v>0</v>
      </c>
      <c r="AG120" s="207">
        <f>SUMIFS('сентябрь 2023'!$G$4:$G$1053,'сентябрь 2023'!$D$4:$D$1053,$B120,'сентябрь 2023'!$J$4:$J$1053,AG$1)</f>
        <v>0</v>
      </c>
      <c r="AH120" s="207">
        <f>SUMIFS('сентябрь 2023'!$G$4:$G$1053,'сентябрь 2023'!$D$4:$D$1053,$B120,'сентябрь 2023'!$J$4:$J$1053,AH$1)</f>
        <v>0</v>
      </c>
      <c r="AI120" s="170">
        <f t="shared" si="2"/>
        <v>0</v>
      </c>
    </row>
    <row r="121" spans="2:35" ht="15" customHeight="1" x14ac:dyDescent="0.25">
      <c r="B121" s="216"/>
      <c r="C121" s="213"/>
      <c r="D121" s="207">
        <f>SUMIFS('сентябрь 2023'!$G$4:$G$1053,'сентябрь 2023'!$D$4:$D$1053,$B121,'сентябрь 2023'!$J$4:$J$1053,D$1)</f>
        <v>0</v>
      </c>
      <c r="E121" s="207">
        <f>SUMIFS('сентябрь 2023'!$G$4:$G$1053,'сентябрь 2023'!$D$4:$D$1053,$B121,'сентябрь 2023'!$J$4:$J$1053,E$1)</f>
        <v>0</v>
      </c>
      <c r="F121" s="207">
        <f>SUMIFS('сентябрь 2023'!$G$4:$G$1053,'сентябрь 2023'!$D$4:$D$1053,$B121,'сентябрь 2023'!$J$4:$J$1053,F$1)</f>
        <v>0</v>
      </c>
      <c r="G121" s="207">
        <f>SUMIFS('сентябрь 2023'!$G$4:$G$1053,'сентябрь 2023'!$D$4:$D$1053,$B121,'сентябрь 2023'!$J$4:$J$1053,G$1)</f>
        <v>0</v>
      </c>
      <c r="H121" s="207">
        <f>SUMIFS('сентябрь 2023'!$G$4:$G$1053,'сентябрь 2023'!$D$4:$D$1053,$B121,'сентябрь 2023'!$J$4:$J$1053,H$1)</f>
        <v>0</v>
      </c>
      <c r="I121" s="207">
        <f>SUMIFS('сентябрь 2023'!$G$4:$G$1053,'сентябрь 2023'!$D$4:$D$1053,$B121,'сентябрь 2023'!$J$4:$J$1053,I$1)</f>
        <v>0</v>
      </c>
      <c r="J121" s="207">
        <f>SUMIFS('сентябрь 2023'!$G$4:$G$1053,'сентябрь 2023'!$D$4:$D$1053,$B121,'сентябрь 2023'!$J$4:$J$1053,J$1)</f>
        <v>0</v>
      </c>
      <c r="K121" s="207">
        <f>SUMIFS('сентябрь 2023'!$G$4:$G$1053,'сентябрь 2023'!$D$4:$D$1053,$B121,'сентябрь 2023'!$J$4:$J$1053,K$1)</f>
        <v>0</v>
      </c>
      <c r="L121" s="207">
        <f>SUMIFS('сентябрь 2023'!$G$4:$G$1053,'сентябрь 2023'!$D$4:$D$1053,$B121,'сентябрь 2023'!$J$4:$J$1053,L$1)</f>
        <v>0</v>
      </c>
      <c r="M121" s="207">
        <f>SUMIFS('сентябрь 2023'!$G$4:$G$1053,'сентябрь 2023'!$D$4:$D$1053,$B121,'сентябрь 2023'!$J$4:$J$1053,M$1)</f>
        <v>0</v>
      </c>
      <c r="N121" s="207">
        <f>SUMIFS('сентябрь 2023'!$G$4:$G$1053,'сентябрь 2023'!$D$4:$D$1053,$B121,'сентябрь 2023'!$J$4:$J$1053,N$1)</f>
        <v>0</v>
      </c>
      <c r="O121" s="207">
        <f>SUMIFS('сентябрь 2023'!$G$4:$G$1053,'сентябрь 2023'!$D$4:$D$1053,$B121,'сентябрь 2023'!$J$4:$J$1053,O$1)</f>
        <v>0</v>
      </c>
      <c r="P121" s="207">
        <f>SUMIFS('сентябрь 2023'!$G$4:$G$1053,'сентябрь 2023'!$D$4:$D$1053,$B121,'сентябрь 2023'!$J$4:$J$1053,P$1)</f>
        <v>0</v>
      </c>
      <c r="Q121" s="207">
        <f>SUMIFS('сентябрь 2023'!$G$4:$G$1053,'сентябрь 2023'!$D$4:$D$1053,$B121,'сентябрь 2023'!$J$4:$J$1053,Q$1)</f>
        <v>0</v>
      </c>
      <c r="R121" s="207">
        <f>SUMIFS('сентябрь 2023'!$G$4:$G$1053,'сентябрь 2023'!$D$4:$D$1053,$B121,'сентябрь 2023'!$J$4:$J$1053,R$1)</f>
        <v>0</v>
      </c>
      <c r="S121" s="207">
        <f>SUMIFS('сентябрь 2023'!$G$4:$G$1053,'сентябрь 2023'!$D$4:$D$1053,$B121,'сентябрь 2023'!$J$4:$J$1053,S$1)</f>
        <v>0</v>
      </c>
      <c r="T121" s="207">
        <f>SUMIFS('сентябрь 2023'!$G$4:$G$1053,'сентябрь 2023'!$D$4:$D$1053,$B121,'сентябрь 2023'!$J$4:$J$1053,T$1)</f>
        <v>0</v>
      </c>
      <c r="U121" s="207">
        <f>SUMIFS('сентябрь 2023'!$G$4:$G$1053,'сентябрь 2023'!$D$4:$D$1053,$B121,'сентябрь 2023'!$J$4:$J$1053,U$1)</f>
        <v>0</v>
      </c>
      <c r="V121" s="207">
        <f>SUMIFS('сентябрь 2023'!$G$4:$G$1053,'сентябрь 2023'!$D$4:$D$1053,$B121,'сентябрь 2023'!$J$4:$J$1053,V$1)</f>
        <v>0</v>
      </c>
      <c r="W121" s="207">
        <f>SUMIFS('сентябрь 2023'!$G$4:$G$1053,'сентябрь 2023'!$D$4:$D$1053,$B121,'сентябрь 2023'!$J$4:$J$1053,W$1)</f>
        <v>0</v>
      </c>
      <c r="X121" s="207">
        <f>SUMIFS('сентябрь 2023'!$G$4:$G$1053,'сентябрь 2023'!$D$4:$D$1053,$B121,'сентябрь 2023'!$J$4:$J$1053,X$1)</f>
        <v>0</v>
      </c>
      <c r="Y121" s="207">
        <f>SUMIFS('сентябрь 2023'!$G$4:$G$1053,'сентябрь 2023'!$D$4:$D$1053,$B121,'сентябрь 2023'!$J$4:$J$1053,Y$1)</f>
        <v>0</v>
      </c>
      <c r="Z121" s="207">
        <f>SUMIFS('сентябрь 2023'!$G$4:$G$1053,'сентябрь 2023'!$D$4:$D$1053,$B121,'сентябрь 2023'!$J$4:$J$1053,Z$1)</f>
        <v>0</v>
      </c>
      <c r="AA121" s="207">
        <f>SUMIFS('сентябрь 2023'!$G$4:$G$1053,'сентябрь 2023'!$D$4:$D$1053,$B121,'сентябрь 2023'!$J$4:$J$1053,AA$1)</f>
        <v>0</v>
      </c>
      <c r="AB121" s="207">
        <f>SUMIFS('сентябрь 2023'!$G$4:$G$1053,'сентябрь 2023'!$D$4:$D$1053,$B121,'сентябрь 2023'!$J$4:$J$1053,AB$1)</f>
        <v>0</v>
      </c>
      <c r="AC121" s="207">
        <f>SUMIFS('сентябрь 2023'!$G$4:$G$1053,'сентябрь 2023'!$D$4:$D$1053,$B121,'сентябрь 2023'!$J$4:$J$1053,AC$1)</f>
        <v>0</v>
      </c>
      <c r="AD121" s="207">
        <f>SUMIFS('сентябрь 2023'!$G$4:$G$1053,'сентябрь 2023'!$D$4:$D$1053,$B121,'сентябрь 2023'!$J$4:$J$1053,AD$1)</f>
        <v>0</v>
      </c>
      <c r="AE121" s="207">
        <f>SUMIFS('сентябрь 2023'!$G$4:$G$1053,'сентябрь 2023'!$D$4:$D$1053,$B121,'сентябрь 2023'!$J$4:$J$1053,AE$1)</f>
        <v>0</v>
      </c>
      <c r="AF121" s="207">
        <f>SUMIFS('сентябрь 2023'!$G$4:$G$1053,'сентябрь 2023'!$D$4:$D$1053,$B121,'сентябрь 2023'!$J$4:$J$1053,AF$1)</f>
        <v>0</v>
      </c>
      <c r="AG121" s="207">
        <f>SUMIFS('сентябрь 2023'!$G$4:$G$1053,'сентябрь 2023'!$D$4:$D$1053,$B121,'сентябрь 2023'!$J$4:$J$1053,AG$1)</f>
        <v>0</v>
      </c>
      <c r="AH121" s="207">
        <f>SUMIFS('сентябрь 2023'!$G$4:$G$1053,'сентябрь 2023'!$D$4:$D$1053,$B121,'сентябрь 2023'!$J$4:$J$1053,AH$1)</f>
        <v>0</v>
      </c>
      <c r="AI121" s="170">
        <f t="shared" si="2"/>
        <v>0</v>
      </c>
    </row>
    <row r="122" spans="2:35" ht="15" customHeight="1" x14ac:dyDescent="0.25">
      <c r="B122" s="212"/>
      <c r="C122" s="211"/>
      <c r="D122" s="207">
        <f>SUMIFS('сентябрь 2023'!$G$4:$G$1053,'сентябрь 2023'!$D$4:$D$1053,$B122,'сентябрь 2023'!$J$4:$J$1053,D$1)</f>
        <v>0</v>
      </c>
      <c r="E122" s="207">
        <f>SUMIFS('сентябрь 2023'!$G$4:$G$1053,'сентябрь 2023'!$D$4:$D$1053,$B122,'сентябрь 2023'!$J$4:$J$1053,E$1)</f>
        <v>0</v>
      </c>
      <c r="F122" s="207">
        <f>SUMIFS('сентябрь 2023'!$G$4:$G$1053,'сентябрь 2023'!$D$4:$D$1053,$B122,'сентябрь 2023'!$J$4:$J$1053,F$1)</f>
        <v>0</v>
      </c>
      <c r="G122" s="207">
        <f>SUMIFS('сентябрь 2023'!$G$4:$G$1053,'сентябрь 2023'!$D$4:$D$1053,$B122,'сентябрь 2023'!$J$4:$J$1053,G$1)</f>
        <v>0</v>
      </c>
      <c r="H122" s="207">
        <f>SUMIFS('сентябрь 2023'!$G$4:$G$1053,'сентябрь 2023'!$D$4:$D$1053,$B122,'сентябрь 2023'!$J$4:$J$1053,H$1)</f>
        <v>0</v>
      </c>
      <c r="I122" s="207">
        <f>SUMIFS('сентябрь 2023'!$G$4:$G$1053,'сентябрь 2023'!$D$4:$D$1053,$B122,'сентябрь 2023'!$J$4:$J$1053,I$1)</f>
        <v>0</v>
      </c>
      <c r="J122" s="207">
        <f>SUMIFS('сентябрь 2023'!$G$4:$G$1053,'сентябрь 2023'!$D$4:$D$1053,$B122,'сентябрь 2023'!$J$4:$J$1053,J$1)</f>
        <v>0</v>
      </c>
      <c r="K122" s="207">
        <f>SUMIFS('сентябрь 2023'!$G$4:$G$1053,'сентябрь 2023'!$D$4:$D$1053,$B122,'сентябрь 2023'!$J$4:$J$1053,K$1)</f>
        <v>0</v>
      </c>
      <c r="L122" s="207">
        <f>SUMIFS('сентябрь 2023'!$G$4:$G$1053,'сентябрь 2023'!$D$4:$D$1053,$B122,'сентябрь 2023'!$J$4:$J$1053,L$1)</f>
        <v>0</v>
      </c>
      <c r="M122" s="207">
        <f>SUMIFS('сентябрь 2023'!$G$4:$G$1053,'сентябрь 2023'!$D$4:$D$1053,$B122,'сентябрь 2023'!$J$4:$J$1053,M$1)</f>
        <v>0</v>
      </c>
      <c r="N122" s="207">
        <f>SUMIFS('сентябрь 2023'!$G$4:$G$1053,'сентябрь 2023'!$D$4:$D$1053,$B122,'сентябрь 2023'!$J$4:$J$1053,N$1)</f>
        <v>0</v>
      </c>
      <c r="O122" s="207">
        <f>SUMIFS('сентябрь 2023'!$G$4:$G$1053,'сентябрь 2023'!$D$4:$D$1053,$B122,'сентябрь 2023'!$J$4:$J$1053,O$1)</f>
        <v>0</v>
      </c>
      <c r="P122" s="207">
        <f>SUMIFS('сентябрь 2023'!$G$4:$G$1053,'сентябрь 2023'!$D$4:$D$1053,$B122,'сентябрь 2023'!$J$4:$J$1053,P$1)</f>
        <v>0</v>
      </c>
      <c r="Q122" s="207">
        <f>SUMIFS('сентябрь 2023'!$G$4:$G$1053,'сентябрь 2023'!$D$4:$D$1053,$B122,'сентябрь 2023'!$J$4:$J$1053,Q$1)</f>
        <v>0</v>
      </c>
      <c r="R122" s="207">
        <f>SUMIFS('сентябрь 2023'!$G$4:$G$1053,'сентябрь 2023'!$D$4:$D$1053,$B122,'сентябрь 2023'!$J$4:$J$1053,R$1)</f>
        <v>0</v>
      </c>
      <c r="S122" s="207">
        <f>SUMIFS('сентябрь 2023'!$G$4:$G$1053,'сентябрь 2023'!$D$4:$D$1053,$B122,'сентябрь 2023'!$J$4:$J$1053,S$1)</f>
        <v>0</v>
      </c>
      <c r="T122" s="207">
        <f>SUMIFS('сентябрь 2023'!$G$4:$G$1053,'сентябрь 2023'!$D$4:$D$1053,$B122,'сентябрь 2023'!$J$4:$J$1053,T$1)</f>
        <v>0</v>
      </c>
      <c r="U122" s="207">
        <f>SUMIFS('сентябрь 2023'!$G$4:$G$1053,'сентябрь 2023'!$D$4:$D$1053,$B122,'сентябрь 2023'!$J$4:$J$1053,U$1)</f>
        <v>0</v>
      </c>
      <c r="V122" s="207">
        <f>SUMIFS('сентябрь 2023'!$G$4:$G$1053,'сентябрь 2023'!$D$4:$D$1053,$B122,'сентябрь 2023'!$J$4:$J$1053,V$1)</f>
        <v>0</v>
      </c>
      <c r="W122" s="207">
        <f>SUMIFS('сентябрь 2023'!$G$4:$G$1053,'сентябрь 2023'!$D$4:$D$1053,$B122,'сентябрь 2023'!$J$4:$J$1053,W$1)</f>
        <v>0</v>
      </c>
      <c r="X122" s="207">
        <f>SUMIFS('сентябрь 2023'!$G$4:$G$1053,'сентябрь 2023'!$D$4:$D$1053,$B122,'сентябрь 2023'!$J$4:$J$1053,X$1)</f>
        <v>0</v>
      </c>
      <c r="Y122" s="207">
        <f>SUMIFS('сентябрь 2023'!$G$4:$G$1053,'сентябрь 2023'!$D$4:$D$1053,$B122,'сентябрь 2023'!$J$4:$J$1053,Y$1)</f>
        <v>0</v>
      </c>
      <c r="Z122" s="207">
        <f>SUMIFS('сентябрь 2023'!$G$4:$G$1053,'сентябрь 2023'!$D$4:$D$1053,$B122,'сентябрь 2023'!$J$4:$J$1053,Z$1)</f>
        <v>0</v>
      </c>
      <c r="AA122" s="207">
        <f>SUMIFS('сентябрь 2023'!$G$4:$G$1053,'сентябрь 2023'!$D$4:$D$1053,$B122,'сентябрь 2023'!$J$4:$J$1053,AA$1)</f>
        <v>0</v>
      </c>
      <c r="AB122" s="207">
        <f>SUMIFS('сентябрь 2023'!$G$4:$G$1053,'сентябрь 2023'!$D$4:$D$1053,$B122,'сентябрь 2023'!$J$4:$J$1053,AB$1)</f>
        <v>0</v>
      </c>
      <c r="AC122" s="207">
        <f>SUMIFS('сентябрь 2023'!$G$4:$G$1053,'сентябрь 2023'!$D$4:$D$1053,$B122,'сентябрь 2023'!$J$4:$J$1053,AC$1)</f>
        <v>0</v>
      </c>
      <c r="AD122" s="207">
        <f>SUMIFS('сентябрь 2023'!$G$4:$G$1053,'сентябрь 2023'!$D$4:$D$1053,$B122,'сентябрь 2023'!$J$4:$J$1053,AD$1)</f>
        <v>0</v>
      </c>
      <c r="AE122" s="207">
        <f>SUMIFS('сентябрь 2023'!$G$4:$G$1053,'сентябрь 2023'!$D$4:$D$1053,$B122,'сентябрь 2023'!$J$4:$J$1053,AE$1)</f>
        <v>0</v>
      </c>
      <c r="AF122" s="207">
        <f>SUMIFS('сентябрь 2023'!$G$4:$G$1053,'сентябрь 2023'!$D$4:$D$1053,$B122,'сентябрь 2023'!$J$4:$J$1053,AF$1)</f>
        <v>0</v>
      </c>
      <c r="AG122" s="207">
        <f>SUMIFS('сентябрь 2023'!$G$4:$G$1053,'сентябрь 2023'!$D$4:$D$1053,$B122,'сентябрь 2023'!$J$4:$J$1053,AG$1)</f>
        <v>0</v>
      </c>
      <c r="AH122" s="207">
        <f>SUMIFS('сентябрь 2023'!$G$4:$G$1053,'сентябрь 2023'!$D$4:$D$1053,$B122,'сентябрь 2023'!$J$4:$J$1053,AH$1)</f>
        <v>0</v>
      </c>
      <c r="AI122" s="170">
        <f t="shared" si="2"/>
        <v>0</v>
      </c>
    </row>
    <row r="123" spans="2:35" ht="15" customHeight="1" x14ac:dyDescent="0.25">
      <c r="B123" s="212"/>
      <c r="C123" s="211"/>
      <c r="D123" s="207">
        <f>SUMIFS('сентябрь 2023'!$G$4:$G$1053,'сентябрь 2023'!$D$4:$D$1053,$B123,'сентябрь 2023'!$J$4:$J$1053,D$1)</f>
        <v>0</v>
      </c>
      <c r="E123" s="207">
        <f>SUMIFS('сентябрь 2023'!$G$4:$G$1053,'сентябрь 2023'!$D$4:$D$1053,$B123,'сентябрь 2023'!$J$4:$J$1053,E$1)</f>
        <v>0</v>
      </c>
      <c r="F123" s="207">
        <f>SUMIFS('сентябрь 2023'!$G$4:$G$1053,'сентябрь 2023'!$D$4:$D$1053,$B123,'сентябрь 2023'!$J$4:$J$1053,F$1)</f>
        <v>0</v>
      </c>
      <c r="G123" s="207">
        <f>SUMIFS('сентябрь 2023'!$G$4:$G$1053,'сентябрь 2023'!$D$4:$D$1053,$B123,'сентябрь 2023'!$J$4:$J$1053,G$1)</f>
        <v>0</v>
      </c>
      <c r="H123" s="207">
        <f>SUMIFS('сентябрь 2023'!$G$4:$G$1053,'сентябрь 2023'!$D$4:$D$1053,$B123,'сентябрь 2023'!$J$4:$J$1053,H$1)</f>
        <v>0</v>
      </c>
      <c r="I123" s="207">
        <f>SUMIFS('сентябрь 2023'!$G$4:$G$1053,'сентябрь 2023'!$D$4:$D$1053,$B123,'сентябрь 2023'!$J$4:$J$1053,I$1)</f>
        <v>0</v>
      </c>
      <c r="J123" s="207">
        <f>SUMIFS('сентябрь 2023'!$G$4:$G$1053,'сентябрь 2023'!$D$4:$D$1053,$B123,'сентябрь 2023'!$J$4:$J$1053,J$1)</f>
        <v>0</v>
      </c>
      <c r="K123" s="207">
        <f>SUMIFS('сентябрь 2023'!$G$4:$G$1053,'сентябрь 2023'!$D$4:$D$1053,$B123,'сентябрь 2023'!$J$4:$J$1053,K$1)</f>
        <v>0</v>
      </c>
      <c r="L123" s="207">
        <f>SUMIFS('сентябрь 2023'!$G$4:$G$1053,'сентябрь 2023'!$D$4:$D$1053,$B123,'сентябрь 2023'!$J$4:$J$1053,L$1)</f>
        <v>0</v>
      </c>
      <c r="M123" s="207">
        <f>SUMIFS('сентябрь 2023'!$G$4:$G$1053,'сентябрь 2023'!$D$4:$D$1053,$B123,'сентябрь 2023'!$J$4:$J$1053,M$1)</f>
        <v>0</v>
      </c>
      <c r="N123" s="207">
        <f>SUMIFS('сентябрь 2023'!$G$4:$G$1053,'сентябрь 2023'!$D$4:$D$1053,$B123,'сентябрь 2023'!$J$4:$J$1053,N$1)</f>
        <v>0</v>
      </c>
      <c r="O123" s="207">
        <f>SUMIFS('сентябрь 2023'!$G$4:$G$1053,'сентябрь 2023'!$D$4:$D$1053,$B123,'сентябрь 2023'!$J$4:$J$1053,O$1)</f>
        <v>0</v>
      </c>
      <c r="P123" s="207">
        <f>SUMIFS('сентябрь 2023'!$G$4:$G$1053,'сентябрь 2023'!$D$4:$D$1053,$B123,'сентябрь 2023'!$J$4:$J$1053,P$1)</f>
        <v>0</v>
      </c>
      <c r="Q123" s="207">
        <f>SUMIFS('сентябрь 2023'!$G$4:$G$1053,'сентябрь 2023'!$D$4:$D$1053,$B123,'сентябрь 2023'!$J$4:$J$1053,Q$1)</f>
        <v>0</v>
      </c>
      <c r="R123" s="207">
        <f>SUMIFS('сентябрь 2023'!$G$4:$G$1053,'сентябрь 2023'!$D$4:$D$1053,$B123,'сентябрь 2023'!$J$4:$J$1053,R$1)</f>
        <v>0</v>
      </c>
      <c r="S123" s="207">
        <f>SUMIFS('сентябрь 2023'!$G$4:$G$1053,'сентябрь 2023'!$D$4:$D$1053,$B123,'сентябрь 2023'!$J$4:$J$1053,S$1)</f>
        <v>0</v>
      </c>
      <c r="T123" s="207">
        <f>SUMIFS('сентябрь 2023'!$G$4:$G$1053,'сентябрь 2023'!$D$4:$D$1053,$B123,'сентябрь 2023'!$J$4:$J$1053,T$1)</f>
        <v>0</v>
      </c>
      <c r="U123" s="207">
        <f>SUMIFS('сентябрь 2023'!$G$4:$G$1053,'сентябрь 2023'!$D$4:$D$1053,$B123,'сентябрь 2023'!$J$4:$J$1053,U$1)</f>
        <v>0</v>
      </c>
      <c r="V123" s="207">
        <f>SUMIFS('сентябрь 2023'!$G$4:$G$1053,'сентябрь 2023'!$D$4:$D$1053,$B123,'сентябрь 2023'!$J$4:$J$1053,V$1)</f>
        <v>0</v>
      </c>
      <c r="W123" s="207">
        <f>SUMIFS('сентябрь 2023'!$G$4:$G$1053,'сентябрь 2023'!$D$4:$D$1053,$B123,'сентябрь 2023'!$J$4:$J$1053,W$1)</f>
        <v>0</v>
      </c>
      <c r="X123" s="207">
        <f>SUMIFS('сентябрь 2023'!$G$4:$G$1053,'сентябрь 2023'!$D$4:$D$1053,$B123,'сентябрь 2023'!$J$4:$J$1053,X$1)</f>
        <v>0</v>
      </c>
      <c r="Y123" s="207">
        <f>SUMIFS('сентябрь 2023'!$G$4:$G$1053,'сентябрь 2023'!$D$4:$D$1053,$B123,'сентябрь 2023'!$J$4:$J$1053,Y$1)</f>
        <v>0</v>
      </c>
      <c r="Z123" s="207">
        <f>SUMIFS('сентябрь 2023'!$G$4:$G$1053,'сентябрь 2023'!$D$4:$D$1053,$B123,'сентябрь 2023'!$J$4:$J$1053,Z$1)</f>
        <v>0</v>
      </c>
      <c r="AA123" s="207">
        <f>SUMIFS('сентябрь 2023'!$G$4:$G$1053,'сентябрь 2023'!$D$4:$D$1053,$B123,'сентябрь 2023'!$J$4:$J$1053,AA$1)</f>
        <v>0</v>
      </c>
      <c r="AB123" s="207">
        <f>SUMIFS('сентябрь 2023'!$G$4:$G$1053,'сентябрь 2023'!$D$4:$D$1053,$B123,'сентябрь 2023'!$J$4:$J$1053,AB$1)</f>
        <v>0</v>
      </c>
      <c r="AC123" s="207">
        <f>SUMIFS('сентябрь 2023'!$G$4:$G$1053,'сентябрь 2023'!$D$4:$D$1053,$B123,'сентябрь 2023'!$J$4:$J$1053,AC$1)</f>
        <v>0</v>
      </c>
      <c r="AD123" s="207">
        <f>SUMIFS('сентябрь 2023'!$G$4:$G$1053,'сентябрь 2023'!$D$4:$D$1053,$B123,'сентябрь 2023'!$J$4:$J$1053,AD$1)</f>
        <v>0</v>
      </c>
      <c r="AE123" s="207">
        <f>SUMIFS('сентябрь 2023'!$G$4:$G$1053,'сентябрь 2023'!$D$4:$D$1053,$B123,'сентябрь 2023'!$J$4:$J$1053,AE$1)</f>
        <v>0</v>
      </c>
      <c r="AF123" s="207">
        <f>SUMIFS('сентябрь 2023'!$G$4:$G$1053,'сентябрь 2023'!$D$4:$D$1053,$B123,'сентябрь 2023'!$J$4:$J$1053,AF$1)</f>
        <v>0</v>
      </c>
      <c r="AG123" s="207">
        <f>SUMIFS('сентябрь 2023'!$G$4:$G$1053,'сентябрь 2023'!$D$4:$D$1053,$B123,'сентябрь 2023'!$J$4:$J$1053,AG$1)</f>
        <v>0</v>
      </c>
      <c r="AH123" s="207">
        <f>SUMIFS('сентябрь 2023'!$G$4:$G$1053,'сентябрь 2023'!$D$4:$D$1053,$B123,'сентябрь 2023'!$J$4:$J$1053,AH$1)</f>
        <v>0</v>
      </c>
      <c r="AI123" s="170">
        <f t="shared" si="2"/>
        <v>0</v>
      </c>
    </row>
    <row r="124" spans="2:35" ht="15" customHeight="1" x14ac:dyDescent="0.25">
      <c r="B124" s="212"/>
      <c r="C124" s="211"/>
      <c r="D124" s="207">
        <f>SUMIFS('сентябрь 2023'!$G$4:$G$1053,'сентябрь 2023'!$D$4:$D$1053,$B124,'сентябрь 2023'!$J$4:$J$1053,D$1)</f>
        <v>0</v>
      </c>
      <c r="E124" s="207">
        <f>SUMIFS('сентябрь 2023'!$G$4:$G$1053,'сентябрь 2023'!$D$4:$D$1053,$B124,'сентябрь 2023'!$J$4:$J$1053,E$1)</f>
        <v>0</v>
      </c>
      <c r="F124" s="207">
        <f>SUMIFS('сентябрь 2023'!$G$4:$G$1053,'сентябрь 2023'!$D$4:$D$1053,$B124,'сентябрь 2023'!$J$4:$J$1053,F$1)</f>
        <v>0</v>
      </c>
      <c r="G124" s="207">
        <f>SUMIFS('сентябрь 2023'!$G$4:$G$1053,'сентябрь 2023'!$D$4:$D$1053,$B124,'сентябрь 2023'!$J$4:$J$1053,G$1)</f>
        <v>0</v>
      </c>
      <c r="H124" s="207">
        <f>SUMIFS('сентябрь 2023'!$G$4:$G$1053,'сентябрь 2023'!$D$4:$D$1053,$B124,'сентябрь 2023'!$J$4:$J$1053,H$1)</f>
        <v>0</v>
      </c>
      <c r="I124" s="207">
        <f>SUMIFS('сентябрь 2023'!$G$4:$G$1053,'сентябрь 2023'!$D$4:$D$1053,$B124,'сентябрь 2023'!$J$4:$J$1053,I$1)</f>
        <v>0</v>
      </c>
      <c r="J124" s="207">
        <f>SUMIFS('сентябрь 2023'!$G$4:$G$1053,'сентябрь 2023'!$D$4:$D$1053,$B124,'сентябрь 2023'!$J$4:$J$1053,J$1)</f>
        <v>0</v>
      </c>
      <c r="K124" s="207">
        <f>SUMIFS('сентябрь 2023'!$G$4:$G$1053,'сентябрь 2023'!$D$4:$D$1053,$B124,'сентябрь 2023'!$J$4:$J$1053,K$1)</f>
        <v>0</v>
      </c>
      <c r="L124" s="207">
        <f>SUMIFS('сентябрь 2023'!$G$4:$G$1053,'сентябрь 2023'!$D$4:$D$1053,$B124,'сентябрь 2023'!$J$4:$J$1053,L$1)</f>
        <v>0</v>
      </c>
      <c r="M124" s="207">
        <f>SUMIFS('сентябрь 2023'!$G$4:$G$1053,'сентябрь 2023'!$D$4:$D$1053,$B124,'сентябрь 2023'!$J$4:$J$1053,M$1)</f>
        <v>0</v>
      </c>
      <c r="N124" s="207">
        <f>SUMIFS('сентябрь 2023'!$G$4:$G$1053,'сентябрь 2023'!$D$4:$D$1053,$B124,'сентябрь 2023'!$J$4:$J$1053,N$1)</f>
        <v>0</v>
      </c>
      <c r="O124" s="207">
        <f>SUMIFS('сентябрь 2023'!$G$4:$G$1053,'сентябрь 2023'!$D$4:$D$1053,$B124,'сентябрь 2023'!$J$4:$J$1053,O$1)</f>
        <v>0</v>
      </c>
      <c r="P124" s="207">
        <f>SUMIFS('сентябрь 2023'!$G$4:$G$1053,'сентябрь 2023'!$D$4:$D$1053,$B124,'сентябрь 2023'!$J$4:$J$1053,P$1)</f>
        <v>0</v>
      </c>
      <c r="Q124" s="207">
        <f>SUMIFS('сентябрь 2023'!$G$4:$G$1053,'сентябрь 2023'!$D$4:$D$1053,$B124,'сентябрь 2023'!$J$4:$J$1053,Q$1)</f>
        <v>0</v>
      </c>
      <c r="R124" s="207">
        <f>SUMIFS('сентябрь 2023'!$G$4:$G$1053,'сентябрь 2023'!$D$4:$D$1053,$B124,'сентябрь 2023'!$J$4:$J$1053,R$1)</f>
        <v>0</v>
      </c>
      <c r="S124" s="207">
        <f>SUMIFS('сентябрь 2023'!$G$4:$G$1053,'сентябрь 2023'!$D$4:$D$1053,$B124,'сентябрь 2023'!$J$4:$J$1053,S$1)</f>
        <v>0</v>
      </c>
      <c r="T124" s="207">
        <f>SUMIFS('сентябрь 2023'!$G$4:$G$1053,'сентябрь 2023'!$D$4:$D$1053,$B124,'сентябрь 2023'!$J$4:$J$1053,T$1)</f>
        <v>0</v>
      </c>
      <c r="U124" s="207">
        <f>SUMIFS('сентябрь 2023'!$G$4:$G$1053,'сентябрь 2023'!$D$4:$D$1053,$B124,'сентябрь 2023'!$J$4:$J$1053,U$1)</f>
        <v>0</v>
      </c>
      <c r="V124" s="207">
        <f>SUMIFS('сентябрь 2023'!$G$4:$G$1053,'сентябрь 2023'!$D$4:$D$1053,$B124,'сентябрь 2023'!$J$4:$J$1053,V$1)</f>
        <v>0</v>
      </c>
      <c r="W124" s="207">
        <f>SUMIFS('сентябрь 2023'!$G$4:$G$1053,'сентябрь 2023'!$D$4:$D$1053,$B124,'сентябрь 2023'!$J$4:$J$1053,W$1)</f>
        <v>0</v>
      </c>
      <c r="X124" s="207">
        <f>SUMIFS('сентябрь 2023'!$G$4:$G$1053,'сентябрь 2023'!$D$4:$D$1053,$B124,'сентябрь 2023'!$J$4:$J$1053,X$1)</f>
        <v>0</v>
      </c>
      <c r="Y124" s="207">
        <f>SUMIFS('сентябрь 2023'!$G$4:$G$1053,'сентябрь 2023'!$D$4:$D$1053,$B124,'сентябрь 2023'!$J$4:$J$1053,Y$1)</f>
        <v>0</v>
      </c>
      <c r="Z124" s="207">
        <f>SUMIFS('сентябрь 2023'!$G$4:$G$1053,'сентябрь 2023'!$D$4:$D$1053,$B124,'сентябрь 2023'!$J$4:$J$1053,Z$1)</f>
        <v>0</v>
      </c>
      <c r="AA124" s="207">
        <f>SUMIFS('сентябрь 2023'!$G$4:$G$1053,'сентябрь 2023'!$D$4:$D$1053,$B124,'сентябрь 2023'!$J$4:$J$1053,AA$1)</f>
        <v>0</v>
      </c>
      <c r="AB124" s="207">
        <f>SUMIFS('сентябрь 2023'!$G$4:$G$1053,'сентябрь 2023'!$D$4:$D$1053,$B124,'сентябрь 2023'!$J$4:$J$1053,AB$1)</f>
        <v>0</v>
      </c>
      <c r="AC124" s="207">
        <f>SUMIFS('сентябрь 2023'!$G$4:$G$1053,'сентябрь 2023'!$D$4:$D$1053,$B124,'сентябрь 2023'!$J$4:$J$1053,AC$1)</f>
        <v>0</v>
      </c>
      <c r="AD124" s="207">
        <f>SUMIFS('сентябрь 2023'!$G$4:$G$1053,'сентябрь 2023'!$D$4:$D$1053,$B124,'сентябрь 2023'!$J$4:$J$1053,AD$1)</f>
        <v>0</v>
      </c>
      <c r="AE124" s="207">
        <f>SUMIFS('сентябрь 2023'!$G$4:$G$1053,'сентябрь 2023'!$D$4:$D$1053,$B124,'сентябрь 2023'!$J$4:$J$1053,AE$1)</f>
        <v>0</v>
      </c>
      <c r="AF124" s="207">
        <f>SUMIFS('сентябрь 2023'!$G$4:$G$1053,'сентябрь 2023'!$D$4:$D$1053,$B124,'сентябрь 2023'!$J$4:$J$1053,AF$1)</f>
        <v>0</v>
      </c>
      <c r="AG124" s="207">
        <f>SUMIFS('сентябрь 2023'!$G$4:$G$1053,'сентябрь 2023'!$D$4:$D$1053,$B124,'сентябрь 2023'!$J$4:$J$1053,AG$1)</f>
        <v>0</v>
      </c>
      <c r="AH124" s="207">
        <f>SUMIFS('сентябрь 2023'!$G$4:$G$1053,'сентябрь 2023'!$D$4:$D$1053,$B124,'сентябрь 2023'!$J$4:$J$1053,AH$1)</f>
        <v>0</v>
      </c>
      <c r="AI124" s="170">
        <f t="shared" si="2"/>
        <v>0</v>
      </c>
    </row>
    <row r="125" spans="2:35" ht="15" hidden="1" customHeight="1" x14ac:dyDescent="0.25">
      <c r="B125" s="212"/>
      <c r="C125" s="211"/>
      <c r="D125" s="207">
        <f>SUMIFS('сентябрь 2023'!$G$4:$G$1053,'сентябрь 2023'!$D$4:$D$1053,$B125,'сентябрь 2023'!$J$4:$J$1053,D$1)</f>
        <v>0</v>
      </c>
      <c r="E125" s="207">
        <f>SUMIFS('сентябрь 2023'!$G$4:$G$1053,'сентябрь 2023'!$D$4:$D$1053,$B125,'сентябрь 2023'!$J$4:$J$1053,E$1)</f>
        <v>0</v>
      </c>
      <c r="F125" s="207">
        <f>SUMIFS('сентябрь 2023'!$G$4:$G$1053,'сентябрь 2023'!$D$4:$D$1053,$B125,'сентябрь 2023'!$J$4:$J$1053,F$1)</f>
        <v>0</v>
      </c>
      <c r="G125" s="207">
        <f>SUMIFS('сентябрь 2023'!$G$4:$G$1053,'сентябрь 2023'!$D$4:$D$1053,$B125,'сентябрь 2023'!$J$4:$J$1053,G$1)</f>
        <v>0</v>
      </c>
      <c r="H125" s="207">
        <f>SUMIFS('сентябрь 2023'!$G$4:$G$1053,'сентябрь 2023'!$D$4:$D$1053,$B125,'сентябрь 2023'!$J$4:$J$1053,H$1)</f>
        <v>0</v>
      </c>
      <c r="I125" s="207">
        <f>SUMIFS('сентябрь 2023'!$G$4:$G$1053,'сентябрь 2023'!$D$4:$D$1053,$B125,'сентябрь 2023'!$J$4:$J$1053,I$1)</f>
        <v>0</v>
      </c>
      <c r="J125" s="207">
        <f>SUMIFS('сентябрь 2023'!$G$4:$G$1053,'сентябрь 2023'!$D$4:$D$1053,$B125,'сентябрь 2023'!$J$4:$J$1053,J$1)</f>
        <v>0</v>
      </c>
      <c r="K125" s="207">
        <f>SUMIFS('сентябрь 2023'!$G$4:$G$1053,'сентябрь 2023'!$D$4:$D$1053,$B125,'сентябрь 2023'!$J$4:$J$1053,K$1)</f>
        <v>0</v>
      </c>
      <c r="L125" s="207">
        <f>SUMIFS('сентябрь 2023'!$G$4:$G$1053,'сентябрь 2023'!$D$4:$D$1053,$B125,'сентябрь 2023'!$J$4:$J$1053,L$1)</f>
        <v>0</v>
      </c>
      <c r="M125" s="207">
        <f>SUMIFS('сентябрь 2023'!$G$4:$G$1053,'сентябрь 2023'!$D$4:$D$1053,$B125,'сентябрь 2023'!$J$4:$J$1053,M$1)</f>
        <v>0</v>
      </c>
      <c r="N125" s="207">
        <f>SUMIFS('сентябрь 2023'!$G$4:$G$1053,'сентябрь 2023'!$D$4:$D$1053,$B125,'сентябрь 2023'!$J$4:$J$1053,N$1)</f>
        <v>0</v>
      </c>
      <c r="O125" s="207">
        <f>SUMIFS('сентябрь 2023'!$G$4:$G$1053,'сентябрь 2023'!$D$4:$D$1053,$B125,'сентябрь 2023'!$J$4:$J$1053,O$1)</f>
        <v>0</v>
      </c>
      <c r="P125" s="207">
        <f>SUMIFS('сентябрь 2023'!$G$4:$G$1053,'сентябрь 2023'!$D$4:$D$1053,$B125,'сентябрь 2023'!$J$4:$J$1053,P$1)</f>
        <v>0</v>
      </c>
      <c r="Q125" s="207">
        <f>SUMIFS('сентябрь 2023'!$G$4:$G$1053,'сентябрь 2023'!$D$4:$D$1053,$B125,'сентябрь 2023'!$J$4:$J$1053,Q$1)</f>
        <v>0</v>
      </c>
      <c r="R125" s="207">
        <f>SUMIFS('сентябрь 2023'!$G$4:$G$1053,'сентябрь 2023'!$D$4:$D$1053,$B125,'сентябрь 2023'!$J$4:$J$1053,R$1)</f>
        <v>0</v>
      </c>
      <c r="S125" s="207">
        <f>SUMIFS('сентябрь 2023'!$G$4:$G$1053,'сентябрь 2023'!$D$4:$D$1053,$B125,'сентябрь 2023'!$J$4:$J$1053,S$1)</f>
        <v>0</v>
      </c>
      <c r="T125" s="207">
        <f>SUMIFS('сентябрь 2023'!$G$4:$G$1053,'сентябрь 2023'!$D$4:$D$1053,$B125,'сентябрь 2023'!$J$4:$J$1053,T$1)</f>
        <v>0</v>
      </c>
      <c r="U125" s="207">
        <f>SUMIFS('сентябрь 2023'!$G$4:$G$1053,'сентябрь 2023'!$D$4:$D$1053,$B125,'сентябрь 2023'!$J$4:$J$1053,U$1)</f>
        <v>0</v>
      </c>
      <c r="V125" s="207">
        <f>SUMIFS('сентябрь 2023'!$G$4:$G$1053,'сентябрь 2023'!$D$4:$D$1053,$B125,'сентябрь 2023'!$J$4:$J$1053,V$1)</f>
        <v>0</v>
      </c>
      <c r="W125" s="207">
        <f>SUMIFS('сентябрь 2023'!$G$4:$G$1053,'сентябрь 2023'!$D$4:$D$1053,$B125,'сентябрь 2023'!$J$4:$J$1053,W$1)</f>
        <v>0</v>
      </c>
      <c r="X125" s="207">
        <f>SUMIFS('сентябрь 2023'!$G$4:$G$1053,'сентябрь 2023'!$D$4:$D$1053,$B125,'сентябрь 2023'!$J$4:$J$1053,X$1)</f>
        <v>0</v>
      </c>
      <c r="Y125" s="207">
        <f>SUMIFS('сентябрь 2023'!$G$4:$G$1053,'сентябрь 2023'!$D$4:$D$1053,$B125,'сентябрь 2023'!$J$4:$J$1053,Y$1)</f>
        <v>0</v>
      </c>
      <c r="Z125" s="207">
        <f>SUMIFS('сентябрь 2023'!$G$4:$G$1053,'сентябрь 2023'!$D$4:$D$1053,$B125,'сентябрь 2023'!$J$4:$J$1053,Z$1)</f>
        <v>0</v>
      </c>
      <c r="AA125" s="207">
        <f>SUMIFS('сентябрь 2023'!$G$4:$G$1053,'сентябрь 2023'!$D$4:$D$1053,$B125,'сентябрь 2023'!$J$4:$J$1053,AA$1)</f>
        <v>0</v>
      </c>
      <c r="AB125" s="207">
        <f>SUMIFS('сентябрь 2023'!$G$4:$G$1053,'сентябрь 2023'!$D$4:$D$1053,$B125,'сентябрь 2023'!$J$4:$J$1053,AB$1)</f>
        <v>0</v>
      </c>
      <c r="AC125" s="207">
        <f>SUMIFS('сентябрь 2023'!$G$4:$G$1053,'сентябрь 2023'!$D$4:$D$1053,$B125,'сентябрь 2023'!$J$4:$J$1053,AC$1)</f>
        <v>0</v>
      </c>
      <c r="AD125" s="207">
        <f>SUMIFS('сентябрь 2023'!$G$4:$G$1053,'сентябрь 2023'!$D$4:$D$1053,$B125,'сентябрь 2023'!$J$4:$J$1053,AD$1)</f>
        <v>0</v>
      </c>
      <c r="AE125" s="207">
        <f>SUMIFS('сентябрь 2023'!$G$4:$G$1053,'сентябрь 2023'!$D$4:$D$1053,$B125,'сентябрь 2023'!$J$4:$J$1053,AE$1)</f>
        <v>0</v>
      </c>
      <c r="AF125" s="207">
        <f>SUMIFS('сентябрь 2023'!$G$4:$G$1053,'сентябрь 2023'!$D$4:$D$1053,$B125,'сентябрь 2023'!$J$4:$J$1053,AF$1)</f>
        <v>0</v>
      </c>
      <c r="AG125" s="207">
        <f>SUMIFS('сентябрь 2023'!$G$4:$G$1053,'сентябрь 2023'!$D$4:$D$1053,$B125,'сентябрь 2023'!$J$4:$J$1053,AG$1)</f>
        <v>0</v>
      </c>
      <c r="AH125" s="207">
        <f>SUMIFS('сентябрь 2023'!$G$4:$G$1053,'сентябрь 2023'!$D$4:$D$1053,$B125,'сентябрь 2023'!$J$4:$J$1053,AH$1)</f>
        <v>0</v>
      </c>
      <c r="AI125" s="220">
        <f t="shared" si="2"/>
        <v>0</v>
      </c>
    </row>
    <row r="126" spans="2:35" ht="15" hidden="1" customHeight="1" x14ac:dyDescent="0.25">
      <c r="B126" s="212"/>
      <c r="C126" s="211"/>
      <c r="D126" s="207">
        <f>SUMIFS('сентябрь 2023'!$G$4:$G$1053,'сентябрь 2023'!$D$4:$D$1053,$B126,'сентябрь 2023'!$J$4:$J$1053,D$1)</f>
        <v>0</v>
      </c>
      <c r="E126" s="207">
        <f>SUMIFS('сентябрь 2023'!$G$4:$G$1053,'сентябрь 2023'!$D$4:$D$1053,$B126,'сентябрь 2023'!$J$4:$J$1053,E$1)</f>
        <v>0</v>
      </c>
      <c r="F126" s="207">
        <f>SUMIFS('сентябрь 2023'!$G$4:$G$1053,'сентябрь 2023'!$D$4:$D$1053,$B126,'сентябрь 2023'!$J$4:$J$1053,F$1)</f>
        <v>0</v>
      </c>
      <c r="G126" s="207">
        <f>SUMIFS('сентябрь 2023'!$G$4:$G$1053,'сентябрь 2023'!$D$4:$D$1053,$B126,'сентябрь 2023'!$J$4:$J$1053,G$1)</f>
        <v>0</v>
      </c>
      <c r="H126" s="207">
        <f>SUMIFS('сентябрь 2023'!$G$4:$G$1053,'сентябрь 2023'!$D$4:$D$1053,$B126,'сентябрь 2023'!$J$4:$J$1053,H$1)</f>
        <v>0</v>
      </c>
      <c r="I126" s="207">
        <f>SUMIFS('сентябрь 2023'!$G$4:$G$1053,'сентябрь 2023'!$D$4:$D$1053,$B126,'сентябрь 2023'!$J$4:$J$1053,I$1)</f>
        <v>0</v>
      </c>
      <c r="J126" s="207">
        <f>SUMIFS('сентябрь 2023'!$G$4:$G$1053,'сентябрь 2023'!$D$4:$D$1053,$B126,'сентябрь 2023'!$J$4:$J$1053,J$1)</f>
        <v>0</v>
      </c>
      <c r="K126" s="207">
        <f>SUMIFS('сентябрь 2023'!$G$4:$G$1053,'сентябрь 2023'!$D$4:$D$1053,$B126,'сентябрь 2023'!$J$4:$J$1053,K$1)</f>
        <v>0</v>
      </c>
      <c r="L126" s="207">
        <f>SUMIFS('сентябрь 2023'!$G$4:$G$1053,'сентябрь 2023'!$D$4:$D$1053,$B126,'сентябрь 2023'!$J$4:$J$1053,L$1)</f>
        <v>0</v>
      </c>
      <c r="M126" s="207">
        <f>SUMIFS('сентябрь 2023'!$G$4:$G$1053,'сентябрь 2023'!$D$4:$D$1053,$B126,'сентябрь 2023'!$J$4:$J$1053,M$1)</f>
        <v>0</v>
      </c>
      <c r="N126" s="207">
        <f>SUMIFS('сентябрь 2023'!$G$4:$G$1053,'сентябрь 2023'!$D$4:$D$1053,$B126,'сентябрь 2023'!$J$4:$J$1053,N$1)</f>
        <v>0</v>
      </c>
      <c r="O126" s="207">
        <f>SUMIFS('сентябрь 2023'!$G$4:$G$1053,'сентябрь 2023'!$D$4:$D$1053,$B126,'сентябрь 2023'!$J$4:$J$1053,O$1)</f>
        <v>0</v>
      </c>
      <c r="P126" s="207">
        <f>SUMIFS('сентябрь 2023'!$G$4:$G$1053,'сентябрь 2023'!$D$4:$D$1053,$B126,'сентябрь 2023'!$J$4:$J$1053,P$1)</f>
        <v>0</v>
      </c>
      <c r="Q126" s="207">
        <f>SUMIFS('сентябрь 2023'!$G$4:$G$1053,'сентябрь 2023'!$D$4:$D$1053,$B126,'сентябрь 2023'!$J$4:$J$1053,Q$1)</f>
        <v>0</v>
      </c>
      <c r="R126" s="207">
        <f>SUMIFS('сентябрь 2023'!$G$4:$G$1053,'сентябрь 2023'!$D$4:$D$1053,$B126,'сентябрь 2023'!$J$4:$J$1053,R$1)</f>
        <v>0</v>
      </c>
      <c r="S126" s="207">
        <f>SUMIFS('сентябрь 2023'!$G$4:$G$1053,'сентябрь 2023'!$D$4:$D$1053,$B126,'сентябрь 2023'!$J$4:$J$1053,S$1)</f>
        <v>0</v>
      </c>
      <c r="T126" s="207">
        <f>SUMIFS('сентябрь 2023'!$G$4:$G$1053,'сентябрь 2023'!$D$4:$D$1053,$B126,'сентябрь 2023'!$J$4:$J$1053,T$1)</f>
        <v>0</v>
      </c>
      <c r="U126" s="207">
        <f>SUMIFS('сентябрь 2023'!$G$4:$G$1053,'сентябрь 2023'!$D$4:$D$1053,$B126,'сентябрь 2023'!$J$4:$J$1053,U$1)</f>
        <v>0</v>
      </c>
      <c r="V126" s="207">
        <f>SUMIFS('сентябрь 2023'!$G$4:$G$1053,'сентябрь 2023'!$D$4:$D$1053,$B126,'сентябрь 2023'!$J$4:$J$1053,V$1)</f>
        <v>0</v>
      </c>
      <c r="W126" s="207">
        <f>SUMIFS('сентябрь 2023'!$G$4:$G$1053,'сентябрь 2023'!$D$4:$D$1053,$B126,'сентябрь 2023'!$J$4:$J$1053,W$1)</f>
        <v>0</v>
      </c>
      <c r="X126" s="207">
        <f>SUMIFS('сентябрь 2023'!$G$4:$G$1053,'сентябрь 2023'!$D$4:$D$1053,$B126,'сентябрь 2023'!$J$4:$J$1053,X$1)</f>
        <v>0</v>
      </c>
      <c r="Y126" s="207">
        <f>SUMIFS('сентябрь 2023'!$G$4:$G$1053,'сентябрь 2023'!$D$4:$D$1053,$B126,'сентябрь 2023'!$J$4:$J$1053,Y$1)</f>
        <v>0</v>
      </c>
      <c r="Z126" s="207">
        <f>SUMIFS('сентябрь 2023'!$G$4:$G$1053,'сентябрь 2023'!$D$4:$D$1053,$B126,'сентябрь 2023'!$J$4:$J$1053,Z$1)</f>
        <v>0</v>
      </c>
      <c r="AA126" s="207">
        <f>SUMIFS('сентябрь 2023'!$G$4:$G$1053,'сентябрь 2023'!$D$4:$D$1053,$B126,'сентябрь 2023'!$J$4:$J$1053,AA$1)</f>
        <v>0</v>
      </c>
      <c r="AB126" s="207">
        <f>SUMIFS('сентябрь 2023'!$G$4:$G$1053,'сентябрь 2023'!$D$4:$D$1053,$B126,'сентябрь 2023'!$J$4:$J$1053,AB$1)</f>
        <v>0</v>
      </c>
      <c r="AC126" s="207">
        <f>SUMIFS('сентябрь 2023'!$G$4:$G$1053,'сентябрь 2023'!$D$4:$D$1053,$B126,'сентябрь 2023'!$J$4:$J$1053,AC$1)</f>
        <v>0</v>
      </c>
      <c r="AD126" s="207">
        <f>SUMIFS('сентябрь 2023'!$G$4:$G$1053,'сентябрь 2023'!$D$4:$D$1053,$B126,'сентябрь 2023'!$J$4:$J$1053,AD$1)</f>
        <v>0</v>
      </c>
      <c r="AE126" s="207">
        <f>SUMIFS('сентябрь 2023'!$G$4:$G$1053,'сентябрь 2023'!$D$4:$D$1053,$B126,'сентябрь 2023'!$J$4:$J$1053,AE$1)</f>
        <v>0</v>
      </c>
      <c r="AF126" s="207">
        <f>SUMIFS('сентябрь 2023'!$G$4:$G$1053,'сентябрь 2023'!$D$4:$D$1053,$B126,'сентябрь 2023'!$J$4:$J$1053,AF$1)</f>
        <v>0</v>
      </c>
      <c r="AG126" s="207">
        <f>SUMIFS('сентябрь 2023'!$G$4:$G$1053,'сентябрь 2023'!$D$4:$D$1053,$B126,'сентябрь 2023'!$J$4:$J$1053,AG$1)</f>
        <v>0</v>
      </c>
      <c r="AH126" s="207">
        <f>SUMIFS('сентябрь 2023'!$G$4:$G$1053,'сентябрь 2023'!$D$4:$D$1053,$B126,'сентябрь 2023'!$J$4:$J$1053,AH$1)</f>
        <v>0</v>
      </c>
      <c r="AI126" s="220">
        <f t="shared" si="2"/>
        <v>0</v>
      </c>
    </row>
    <row r="127" spans="2:35" ht="15" hidden="1" customHeight="1" x14ac:dyDescent="0.25">
      <c r="B127" s="212"/>
      <c r="C127" s="211"/>
      <c r="D127" s="207">
        <f>SUMIFS('сентябрь 2023'!$G$4:$G$1053,'сентябрь 2023'!$D$4:$D$1053,$B127,'сентябрь 2023'!$J$4:$J$1053,D$1)</f>
        <v>0</v>
      </c>
      <c r="E127" s="207">
        <f>SUMIFS('сентябрь 2023'!$G$4:$G$1053,'сентябрь 2023'!$D$4:$D$1053,$B127,'сентябрь 2023'!$J$4:$J$1053,E$1)</f>
        <v>0</v>
      </c>
      <c r="F127" s="207">
        <f>SUMIFS('сентябрь 2023'!$G$4:$G$1053,'сентябрь 2023'!$D$4:$D$1053,$B127,'сентябрь 2023'!$J$4:$J$1053,F$1)</f>
        <v>0</v>
      </c>
      <c r="G127" s="207">
        <f>SUMIFS('сентябрь 2023'!$G$4:$G$1053,'сентябрь 2023'!$D$4:$D$1053,$B127,'сентябрь 2023'!$J$4:$J$1053,G$1)</f>
        <v>0</v>
      </c>
      <c r="H127" s="207">
        <f>SUMIFS('сентябрь 2023'!$G$4:$G$1053,'сентябрь 2023'!$D$4:$D$1053,$B127,'сентябрь 2023'!$J$4:$J$1053,H$1)</f>
        <v>0</v>
      </c>
      <c r="I127" s="207">
        <f>SUMIFS('сентябрь 2023'!$G$4:$G$1053,'сентябрь 2023'!$D$4:$D$1053,$B127,'сентябрь 2023'!$J$4:$J$1053,I$1)</f>
        <v>0</v>
      </c>
      <c r="J127" s="207">
        <f>SUMIFS('сентябрь 2023'!$G$4:$G$1053,'сентябрь 2023'!$D$4:$D$1053,$B127,'сентябрь 2023'!$J$4:$J$1053,J$1)</f>
        <v>0</v>
      </c>
      <c r="K127" s="207">
        <f>SUMIFS('сентябрь 2023'!$G$4:$G$1053,'сентябрь 2023'!$D$4:$D$1053,$B127,'сентябрь 2023'!$J$4:$J$1053,K$1)</f>
        <v>0</v>
      </c>
      <c r="L127" s="207">
        <f>SUMIFS('сентябрь 2023'!$G$4:$G$1053,'сентябрь 2023'!$D$4:$D$1053,$B127,'сентябрь 2023'!$J$4:$J$1053,L$1)</f>
        <v>0</v>
      </c>
      <c r="M127" s="207">
        <f>SUMIFS('сентябрь 2023'!$G$4:$G$1053,'сентябрь 2023'!$D$4:$D$1053,$B127,'сентябрь 2023'!$J$4:$J$1053,M$1)</f>
        <v>0</v>
      </c>
      <c r="N127" s="207">
        <f>SUMIFS('сентябрь 2023'!$G$4:$G$1053,'сентябрь 2023'!$D$4:$D$1053,$B127,'сентябрь 2023'!$J$4:$J$1053,N$1)</f>
        <v>0</v>
      </c>
      <c r="O127" s="207">
        <f>SUMIFS('сентябрь 2023'!$G$4:$G$1053,'сентябрь 2023'!$D$4:$D$1053,$B127,'сентябрь 2023'!$J$4:$J$1053,O$1)</f>
        <v>0</v>
      </c>
      <c r="P127" s="207">
        <f>SUMIFS('сентябрь 2023'!$G$4:$G$1053,'сентябрь 2023'!$D$4:$D$1053,$B127,'сентябрь 2023'!$J$4:$J$1053,P$1)</f>
        <v>0</v>
      </c>
      <c r="Q127" s="207">
        <f>SUMIFS('сентябрь 2023'!$G$4:$G$1053,'сентябрь 2023'!$D$4:$D$1053,$B127,'сентябрь 2023'!$J$4:$J$1053,Q$1)</f>
        <v>0</v>
      </c>
      <c r="R127" s="207">
        <f>SUMIFS('сентябрь 2023'!$G$4:$G$1053,'сентябрь 2023'!$D$4:$D$1053,$B127,'сентябрь 2023'!$J$4:$J$1053,R$1)</f>
        <v>0</v>
      </c>
      <c r="S127" s="207">
        <f>SUMIFS('сентябрь 2023'!$G$4:$G$1053,'сентябрь 2023'!$D$4:$D$1053,$B127,'сентябрь 2023'!$J$4:$J$1053,S$1)</f>
        <v>0</v>
      </c>
      <c r="T127" s="207">
        <f>SUMIFS('сентябрь 2023'!$G$4:$G$1053,'сентябрь 2023'!$D$4:$D$1053,$B127,'сентябрь 2023'!$J$4:$J$1053,T$1)</f>
        <v>0</v>
      </c>
      <c r="U127" s="207">
        <f>SUMIFS('сентябрь 2023'!$G$4:$G$1053,'сентябрь 2023'!$D$4:$D$1053,$B127,'сентябрь 2023'!$J$4:$J$1053,U$1)</f>
        <v>0</v>
      </c>
      <c r="V127" s="207">
        <f>SUMIFS('сентябрь 2023'!$G$4:$G$1053,'сентябрь 2023'!$D$4:$D$1053,$B127,'сентябрь 2023'!$J$4:$J$1053,V$1)</f>
        <v>0</v>
      </c>
      <c r="W127" s="207">
        <f>SUMIFS('сентябрь 2023'!$G$4:$G$1053,'сентябрь 2023'!$D$4:$D$1053,$B127,'сентябрь 2023'!$J$4:$J$1053,W$1)</f>
        <v>0</v>
      </c>
      <c r="X127" s="207">
        <f>SUMIFS('сентябрь 2023'!$G$4:$G$1053,'сентябрь 2023'!$D$4:$D$1053,$B127,'сентябрь 2023'!$J$4:$J$1053,X$1)</f>
        <v>0</v>
      </c>
      <c r="Y127" s="207">
        <f>SUMIFS('сентябрь 2023'!$G$4:$G$1053,'сентябрь 2023'!$D$4:$D$1053,$B127,'сентябрь 2023'!$J$4:$J$1053,Y$1)</f>
        <v>0</v>
      </c>
      <c r="Z127" s="207">
        <f>SUMIFS('сентябрь 2023'!$G$4:$G$1053,'сентябрь 2023'!$D$4:$D$1053,$B127,'сентябрь 2023'!$J$4:$J$1053,Z$1)</f>
        <v>0</v>
      </c>
      <c r="AA127" s="207">
        <f>SUMIFS('сентябрь 2023'!$G$4:$G$1053,'сентябрь 2023'!$D$4:$D$1053,$B127,'сентябрь 2023'!$J$4:$J$1053,AA$1)</f>
        <v>0</v>
      </c>
      <c r="AB127" s="207">
        <f>SUMIFS('сентябрь 2023'!$G$4:$G$1053,'сентябрь 2023'!$D$4:$D$1053,$B127,'сентябрь 2023'!$J$4:$J$1053,AB$1)</f>
        <v>0</v>
      </c>
      <c r="AC127" s="207">
        <f>SUMIFS('сентябрь 2023'!$G$4:$G$1053,'сентябрь 2023'!$D$4:$D$1053,$B127,'сентябрь 2023'!$J$4:$J$1053,AC$1)</f>
        <v>0</v>
      </c>
      <c r="AD127" s="207">
        <f>SUMIFS('сентябрь 2023'!$G$4:$G$1053,'сентябрь 2023'!$D$4:$D$1053,$B127,'сентябрь 2023'!$J$4:$J$1053,AD$1)</f>
        <v>0</v>
      </c>
      <c r="AE127" s="207">
        <f>SUMIFS('сентябрь 2023'!$G$4:$G$1053,'сентябрь 2023'!$D$4:$D$1053,$B127,'сентябрь 2023'!$J$4:$J$1053,AE$1)</f>
        <v>0</v>
      </c>
      <c r="AF127" s="207">
        <f>SUMIFS('сентябрь 2023'!$G$4:$G$1053,'сентябрь 2023'!$D$4:$D$1053,$B127,'сентябрь 2023'!$J$4:$J$1053,AF$1)</f>
        <v>0</v>
      </c>
      <c r="AG127" s="207">
        <f>SUMIFS('сентябрь 2023'!$G$4:$G$1053,'сентябрь 2023'!$D$4:$D$1053,$B127,'сентябрь 2023'!$J$4:$J$1053,AG$1)</f>
        <v>0</v>
      </c>
      <c r="AH127" s="207">
        <f>SUMIFS('сентябрь 2023'!$G$4:$G$1053,'сентябрь 2023'!$D$4:$D$1053,$B127,'сентябрь 2023'!$J$4:$J$1053,AH$1)</f>
        <v>0</v>
      </c>
      <c r="AI127" s="220">
        <f t="shared" si="2"/>
        <v>0</v>
      </c>
    </row>
    <row r="128" spans="2:35" ht="15" hidden="1" customHeight="1" x14ac:dyDescent="0.25">
      <c r="B128" s="212"/>
      <c r="C128" s="211"/>
      <c r="D128" s="207">
        <f>SUMIFS('сентябрь 2023'!$G$4:$G$1053,'сентябрь 2023'!$D$4:$D$1053,$B128,'сентябрь 2023'!$J$4:$J$1053,D$1)</f>
        <v>0</v>
      </c>
      <c r="E128" s="207">
        <f>SUMIFS('сентябрь 2023'!$G$4:$G$1053,'сентябрь 2023'!$D$4:$D$1053,$B128,'сентябрь 2023'!$J$4:$J$1053,E$1)</f>
        <v>0</v>
      </c>
      <c r="F128" s="207">
        <f>SUMIFS('сентябрь 2023'!$G$4:$G$1053,'сентябрь 2023'!$D$4:$D$1053,$B128,'сентябрь 2023'!$J$4:$J$1053,F$1)</f>
        <v>0</v>
      </c>
      <c r="G128" s="207">
        <f>SUMIFS('сентябрь 2023'!$G$4:$G$1053,'сентябрь 2023'!$D$4:$D$1053,$B128,'сентябрь 2023'!$J$4:$J$1053,G$1)</f>
        <v>0</v>
      </c>
      <c r="H128" s="207">
        <f>SUMIFS('сентябрь 2023'!$G$4:$G$1053,'сентябрь 2023'!$D$4:$D$1053,$B128,'сентябрь 2023'!$J$4:$J$1053,H$1)</f>
        <v>0</v>
      </c>
      <c r="I128" s="207">
        <f>SUMIFS('сентябрь 2023'!$G$4:$G$1053,'сентябрь 2023'!$D$4:$D$1053,$B128,'сентябрь 2023'!$J$4:$J$1053,I$1)</f>
        <v>0</v>
      </c>
      <c r="J128" s="207">
        <f>SUMIFS('сентябрь 2023'!$G$4:$G$1053,'сентябрь 2023'!$D$4:$D$1053,$B128,'сентябрь 2023'!$J$4:$J$1053,J$1)</f>
        <v>0</v>
      </c>
      <c r="K128" s="207">
        <f>SUMIFS('сентябрь 2023'!$G$4:$G$1053,'сентябрь 2023'!$D$4:$D$1053,$B128,'сентябрь 2023'!$J$4:$J$1053,K$1)</f>
        <v>0</v>
      </c>
      <c r="L128" s="207">
        <f>SUMIFS('сентябрь 2023'!$G$4:$G$1053,'сентябрь 2023'!$D$4:$D$1053,$B128,'сентябрь 2023'!$J$4:$J$1053,L$1)</f>
        <v>0</v>
      </c>
      <c r="M128" s="207">
        <f>SUMIFS('сентябрь 2023'!$G$4:$G$1053,'сентябрь 2023'!$D$4:$D$1053,$B128,'сентябрь 2023'!$J$4:$J$1053,M$1)</f>
        <v>0</v>
      </c>
      <c r="N128" s="207">
        <f>SUMIFS('сентябрь 2023'!$G$4:$G$1053,'сентябрь 2023'!$D$4:$D$1053,$B128,'сентябрь 2023'!$J$4:$J$1053,N$1)</f>
        <v>0</v>
      </c>
      <c r="O128" s="207">
        <f>SUMIFS('сентябрь 2023'!$G$4:$G$1053,'сентябрь 2023'!$D$4:$D$1053,$B128,'сентябрь 2023'!$J$4:$J$1053,O$1)</f>
        <v>0</v>
      </c>
      <c r="P128" s="207">
        <f>SUMIFS('сентябрь 2023'!$G$4:$G$1053,'сентябрь 2023'!$D$4:$D$1053,$B128,'сентябрь 2023'!$J$4:$J$1053,P$1)</f>
        <v>0</v>
      </c>
      <c r="Q128" s="207">
        <f>SUMIFS('сентябрь 2023'!$G$4:$G$1053,'сентябрь 2023'!$D$4:$D$1053,$B128,'сентябрь 2023'!$J$4:$J$1053,Q$1)</f>
        <v>0</v>
      </c>
      <c r="R128" s="207">
        <f>SUMIFS('сентябрь 2023'!$G$4:$G$1053,'сентябрь 2023'!$D$4:$D$1053,$B128,'сентябрь 2023'!$J$4:$J$1053,R$1)</f>
        <v>0</v>
      </c>
      <c r="S128" s="207">
        <f>SUMIFS('сентябрь 2023'!$G$4:$G$1053,'сентябрь 2023'!$D$4:$D$1053,$B128,'сентябрь 2023'!$J$4:$J$1053,S$1)</f>
        <v>0</v>
      </c>
      <c r="T128" s="207">
        <f>SUMIFS('сентябрь 2023'!$G$4:$G$1053,'сентябрь 2023'!$D$4:$D$1053,$B128,'сентябрь 2023'!$J$4:$J$1053,T$1)</f>
        <v>0</v>
      </c>
      <c r="U128" s="207">
        <f>SUMIFS('сентябрь 2023'!$G$4:$G$1053,'сентябрь 2023'!$D$4:$D$1053,$B128,'сентябрь 2023'!$J$4:$J$1053,U$1)</f>
        <v>0</v>
      </c>
      <c r="V128" s="207">
        <f>SUMIFS('сентябрь 2023'!$G$4:$G$1053,'сентябрь 2023'!$D$4:$D$1053,$B128,'сентябрь 2023'!$J$4:$J$1053,V$1)</f>
        <v>0</v>
      </c>
      <c r="W128" s="207">
        <f>SUMIFS('сентябрь 2023'!$G$4:$G$1053,'сентябрь 2023'!$D$4:$D$1053,$B128,'сентябрь 2023'!$J$4:$J$1053,W$1)</f>
        <v>0</v>
      </c>
      <c r="X128" s="207">
        <f>SUMIFS('сентябрь 2023'!$G$4:$G$1053,'сентябрь 2023'!$D$4:$D$1053,$B128,'сентябрь 2023'!$J$4:$J$1053,X$1)</f>
        <v>0</v>
      </c>
      <c r="Y128" s="207">
        <f>SUMIFS('сентябрь 2023'!$G$4:$G$1053,'сентябрь 2023'!$D$4:$D$1053,$B128,'сентябрь 2023'!$J$4:$J$1053,Y$1)</f>
        <v>0</v>
      </c>
      <c r="Z128" s="207">
        <f>SUMIFS('сентябрь 2023'!$G$4:$G$1053,'сентябрь 2023'!$D$4:$D$1053,$B128,'сентябрь 2023'!$J$4:$J$1053,Z$1)</f>
        <v>0</v>
      </c>
      <c r="AA128" s="207">
        <f>SUMIFS('сентябрь 2023'!$G$4:$G$1053,'сентябрь 2023'!$D$4:$D$1053,$B128,'сентябрь 2023'!$J$4:$J$1053,AA$1)</f>
        <v>0</v>
      </c>
      <c r="AB128" s="207">
        <f>SUMIFS('сентябрь 2023'!$G$4:$G$1053,'сентябрь 2023'!$D$4:$D$1053,$B128,'сентябрь 2023'!$J$4:$J$1053,AB$1)</f>
        <v>0</v>
      </c>
      <c r="AC128" s="207">
        <f>SUMIFS('сентябрь 2023'!$G$4:$G$1053,'сентябрь 2023'!$D$4:$D$1053,$B128,'сентябрь 2023'!$J$4:$J$1053,AC$1)</f>
        <v>0</v>
      </c>
      <c r="AD128" s="207">
        <f>SUMIFS('сентябрь 2023'!$G$4:$G$1053,'сентябрь 2023'!$D$4:$D$1053,$B128,'сентябрь 2023'!$J$4:$J$1053,AD$1)</f>
        <v>0</v>
      </c>
      <c r="AE128" s="207">
        <f>SUMIFS('сентябрь 2023'!$G$4:$G$1053,'сентябрь 2023'!$D$4:$D$1053,$B128,'сентябрь 2023'!$J$4:$J$1053,AE$1)</f>
        <v>0</v>
      </c>
      <c r="AF128" s="207">
        <f>SUMIFS('сентябрь 2023'!$G$4:$G$1053,'сентябрь 2023'!$D$4:$D$1053,$B128,'сентябрь 2023'!$J$4:$J$1053,AF$1)</f>
        <v>0</v>
      </c>
      <c r="AG128" s="207">
        <f>SUMIFS('сентябрь 2023'!$G$4:$G$1053,'сентябрь 2023'!$D$4:$D$1053,$B128,'сентябрь 2023'!$J$4:$J$1053,AG$1)</f>
        <v>0</v>
      </c>
      <c r="AH128" s="207">
        <f>SUMIFS('сентябрь 2023'!$G$4:$G$1053,'сентябрь 2023'!$D$4:$D$1053,$B128,'сентябрь 2023'!$J$4:$J$1053,AH$1)</f>
        <v>0</v>
      </c>
      <c r="AI128" s="220"/>
    </row>
    <row r="129" spans="2:35" ht="15" hidden="1" customHeight="1" x14ac:dyDescent="0.25">
      <c r="B129" s="212"/>
      <c r="C129" s="211"/>
      <c r="D129" s="207">
        <f>SUMIFS('сентябрь 2023'!$G$4:$G$1053,'сентябрь 2023'!$D$4:$D$1053,$B129,'сентябрь 2023'!$J$4:$J$1053,D$1)</f>
        <v>0</v>
      </c>
      <c r="E129" s="207">
        <f>SUMIFS('сентябрь 2023'!$G$4:$G$1053,'сентябрь 2023'!$D$4:$D$1053,$B129,'сентябрь 2023'!$J$4:$J$1053,E$1)</f>
        <v>0</v>
      </c>
      <c r="F129" s="207">
        <f>SUMIFS('сентябрь 2023'!$G$4:$G$1053,'сентябрь 2023'!$D$4:$D$1053,$B129,'сентябрь 2023'!$J$4:$J$1053,F$1)</f>
        <v>0</v>
      </c>
      <c r="G129" s="207">
        <f>SUMIFS('сентябрь 2023'!$G$4:$G$1053,'сентябрь 2023'!$D$4:$D$1053,$B129,'сентябрь 2023'!$J$4:$J$1053,G$1)</f>
        <v>0</v>
      </c>
      <c r="H129" s="207">
        <f>SUMIFS('сентябрь 2023'!$G$4:$G$1053,'сентябрь 2023'!$D$4:$D$1053,$B129,'сентябрь 2023'!$J$4:$J$1053,H$1)</f>
        <v>0</v>
      </c>
      <c r="I129" s="207">
        <f>SUMIFS('сентябрь 2023'!$G$4:$G$1053,'сентябрь 2023'!$D$4:$D$1053,$B129,'сентябрь 2023'!$J$4:$J$1053,I$1)</f>
        <v>0</v>
      </c>
      <c r="J129" s="207">
        <f>SUMIFS('сентябрь 2023'!$G$4:$G$1053,'сентябрь 2023'!$D$4:$D$1053,$B129,'сентябрь 2023'!$J$4:$J$1053,J$1)</f>
        <v>0</v>
      </c>
      <c r="K129" s="207">
        <f>SUMIFS('сентябрь 2023'!$G$4:$G$1053,'сентябрь 2023'!$D$4:$D$1053,$B129,'сентябрь 2023'!$J$4:$J$1053,K$1)</f>
        <v>0</v>
      </c>
      <c r="L129" s="207">
        <f>SUMIFS('сентябрь 2023'!$G$4:$G$1053,'сентябрь 2023'!$D$4:$D$1053,$B129,'сентябрь 2023'!$J$4:$J$1053,L$1)</f>
        <v>0</v>
      </c>
      <c r="M129" s="207">
        <f>SUMIFS('сентябрь 2023'!$G$4:$G$1053,'сентябрь 2023'!$D$4:$D$1053,$B129,'сентябрь 2023'!$J$4:$J$1053,M$1)</f>
        <v>0</v>
      </c>
      <c r="N129" s="207">
        <f>SUMIFS('сентябрь 2023'!$G$4:$G$1053,'сентябрь 2023'!$D$4:$D$1053,$B129,'сентябрь 2023'!$J$4:$J$1053,N$1)</f>
        <v>0</v>
      </c>
      <c r="O129" s="207">
        <f>SUMIFS('сентябрь 2023'!$G$4:$G$1053,'сентябрь 2023'!$D$4:$D$1053,$B129,'сентябрь 2023'!$J$4:$J$1053,O$1)</f>
        <v>0</v>
      </c>
      <c r="P129" s="207">
        <f>SUMIFS('сентябрь 2023'!$G$4:$G$1053,'сентябрь 2023'!$D$4:$D$1053,$B129,'сентябрь 2023'!$J$4:$J$1053,P$1)</f>
        <v>0</v>
      </c>
      <c r="Q129" s="207">
        <f>SUMIFS('сентябрь 2023'!$G$4:$G$1053,'сентябрь 2023'!$D$4:$D$1053,$B129,'сентябрь 2023'!$J$4:$J$1053,Q$1)</f>
        <v>0</v>
      </c>
      <c r="R129" s="207">
        <f>SUMIFS('сентябрь 2023'!$G$4:$G$1053,'сентябрь 2023'!$D$4:$D$1053,$B129,'сентябрь 2023'!$J$4:$J$1053,R$1)</f>
        <v>0</v>
      </c>
      <c r="S129" s="207">
        <f>SUMIFS('сентябрь 2023'!$G$4:$G$1053,'сентябрь 2023'!$D$4:$D$1053,$B129,'сентябрь 2023'!$J$4:$J$1053,S$1)</f>
        <v>0</v>
      </c>
      <c r="T129" s="207">
        <f>SUMIFS('сентябрь 2023'!$G$4:$G$1053,'сентябрь 2023'!$D$4:$D$1053,$B129,'сентябрь 2023'!$J$4:$J$1053,T$1)</f>
        <v>0</v>
      </c>
      <c r="U129" s="207">
        <f>SUMIFS('сентябрь 2023'!$G$4:$G$1053,'сентябрь 2023'!$D$4:$D$1053,$B129,'сентябрь 2023'!$J$4:$J$1053,U$1)</f>
        <v>0</v>
      </c>
      <c r="V129" s="207">
        <f>SUMIFS('сентябрь 2023'!$G$4:$G$1053,'сентябрь 2023'!$D$4:$D$1053,$B129,'сентябрь 2023'!$J$4:$J$1053,V$1)</f>
        <v>0</v>
      </c>
      <c r="W129" s="207">
        <f>SUMIFS('сентябрь 2023'!$G$4:$G$1053,'сентябрь 2023'!$D$4:$D$1053,$B129,'сентябрь 2023'!$J$4:$J$1053,W$1)</f>
        <v>0</v>
      </c>
      <c r="X129" s="207">
        <f>SUMIFS('сентябрь 2023'!$G$4:$G$1053,'сентябрь 2023'!$D$4:$D$1053,$B129,'сентябрь 2023'!$J$4:$J$1053,X$1)</f>
        <v>0</v>
      </c>
      <c r="Y129" s="207">
        <f>SUMIFS('сентябрь 2023'!$G$4:$G$1053,'сентябрь 2023'!$D$4:$D$1053,$B129,'сентябрь 2023'!$J$4:$J$1053,Y$1)</f>
        <v>0</v>
      </c>
      <c r="Z129" s="207">
        <f>SUMIFS('сентябрь 2023'!$G$4:$G$1053,'сентябрь 2023'!$D$4:$D$1053,$B129,'сентябрь 2023'!$J$4:$J$1053,Z$1)</f>
        <v>0</v>
      </c>
      <c r="AA129" s="207">
        <f>SUMIFS('сентябрь 2023'!$G$4:$G$1053,'сентябрь 2023'!$D$4:$D$1053,$B129,'сентябрь 2023'!$J$4:$J$1053,AA$1)</f>
        <v>0</v>
      </c>
      <c r="AB129" s="207">
        <f>SUMIFS('сентябрь 2023'!$G$4:$G$1053,'сентябрь 2023'!$D$4:$D$1053,$B129,'сентябрь 2023'!$J$4:$J$1053,AB$1)</f>
        <v>0</v>
      </c>
      <c r="AC129" s="207">
        <f>SUMIFS('сентябрь 2023'!$G$4:$G$1053,'сентябрь 2023'!$D$4:$D$1053,$B129,'сентябрь 2023'!$J$4:$J$1053,AC$1)</f>
        <v>0</v>
      </c>
      <c r="AD129" s="207">
        <f>SUMIFS('сентябрь 2023'!$G$4:$G$1053,'сентябрь 2023'!$D$4:$D$1053,$B129,'сентябрь 2023'!$J$4:$J$1053,AD$1)</f>
        <v>0</v>
      </c>
      <c r="AE129" s="207">
        <f>SUMIFS('сентябрь 2023'!$G$4:$G$1053,'сентябрь 2023'!$D$4:$D$1053,$B129,'сентябрь 2023'!$J$4:$J$1053,AE$1)</f>
        <v>0</v>
      </c>
      <c r="AF129" s="207">
        <f>SUMIFS('сентябрь 2023'!$G$4:$G$1053,'сентябрь 2023'!$D$4:$D$1053,$B129,'сентябрь 2023'!$J$4:$J$1053,AF$1)</f>
        <v>0</v>
      </c>
      <c r="AG129" s="207">
        <f>SUMIFS('сентябрь 2023'!$G$4:$G$1053,'сентябрь 2023'!$D$4:$D$1053,$B129,'сентябрь 2023'!$J$4:$J$1053,AG$1)</f>
        <v>0</v>
      </c>
      <c r="AH129" s="207">
        <f>SUMIFS('сентябрь 2023'!$G$4:$G$1053,'сентябрь 2023'!$D$4:$D$1053,$B129,'сентябрь 2023'!$J$4:$J$1053,AH$1)</f>
        <v>0</v>
      </c>
      <c r="AI129" s="220">
        <f t="shared" si="2"/>
        <v>0</v>
      </c>
    </row>
    <row r="130" spans="2:35" ht="15" hidden="1" customHeight="1" x14ac:dyDescent="0.25">
      <c r="B130" s="212"/>
      <c r="C130" s="211"/>
      <c r="D130" s="207">
        <f>SUMIFS('сентябрь 2023'!$G$4:$G$1053,'сентябрь 2023'!$D$4:$D$1053,$B130,'сентябрь 2023'!$J$4:$J$1053,D$1)</f>
        <v>0</v>
      </c>
      <c r="E130" s="207">
        <f>SUMIFS('сентябрь 2023'!$G$4:$G$1053,'сентябрь 2023'!$D$4:$D$1053,$B130,'сентябрь 2023'!$J$4:$J$1053,E$1)</f>
        <v>0</v>
      </c>
      <c r="F130" s="207">
        <f>SUMIFS('сентябрь 2023'!$G$4:$G$1053,'сентябрь 2023'!$D$4:$D$1053,$B130,'сентябрь 2023'!$J$4:$J$1053,F$1)</f>
        <v>0</v>
      </c>
      <c r="G130" s="207">
        <f>SUMIFS('сентябрь 2023'!$G$4:$G$1053,'сентябрь 2023'!$D$4:$D$1053,$B130,'сентябрь 2023'!$J$4:$J$1053,G$1)</f>
        <v>0</v>
      </c>
      <c r="H130" s="207">
        <f>SUMIFS('сентябрь 2023'!$G$4:$G$1053,'сентябрь 2023'!$D$4:$D$1053,$B130,'сентябрь 2023'!$J$4:$J$1053,H$1)</f>
        <v>0</v>
      </c>
      <c r="I130" s="207">
        <f>SUMIFS('сентябрь 2023'!$G$4:$G$1053,'сентябрь 2023'!$D$4:$D$1053,$B130,'сентябрь 2023'!$J$4:$J$1053,I$1)</f>
        <v>0</v>
      </c>
      <c r="J130" s="207">
        <f>SUMIFS('сентябрь 2023'!$G$4:$G$1053,'сентябрь 2023'!$D$4:$D$1053,$B130,'сентябрь 2023'!$J$4:$J$1053,J$1)</f>
        <v>0</v>
      </c>
      <c r="K130" s="207">
        <f>SUMIFS('сентябрь 2023'!$G$4:$G$1053,'сентябрь 2023'!$D$4:$D$1053,$B130,'сентябрь 2023'!$J$4:$J$1053,K$1)</f>
        <v>0</v>
      </c>
      <c r="L130" s="207">
        <f>SUMIFS('сентябрь 2023'!$G$4:$G$1053,'сентябрь 2023'!$D$4:$D$1053,$B130,'сентябрь 2023'!$J$4:$J$1053,L$1)</f>
        <v>0</v>
      </c>
      <c r="M130" s="207">
        <f>SUMIFS('сентябрь 2023'!$G$4:$G$1053,'сентябрь 2023'!$D$4:$D$1053,$B130,'сентябрь 2023'!$J$4:$J$1053,M$1)</f>
        <v>0</v>
      </c>
      <c r="N130" s="207">
        <f>SUMIFS('сентябрь 2023'!$G$4:$G$1053,'сентябрь 2023'!$D$4:$D$1053,$B130,'сентябрь 2023'!$J$4:$J$1053,N$1)</f>
        <v>0</v>
      </c>
      <c r="O130" s="207">
        <f>SUMIFS('сентябрь 2023'!$G$4:$G$1053,'сентябрь 2023'!$D$4:$D$1053,$B130,'сентябрь 2023'!$J$4:$J$1053,O$1)</f>
        <v>0</v>
      </c>
      <c r="P130" s="207">
        <f>SUMIFS('сентябрь 2023'!$G$4:$G$1053,'сентябрь 2023'!$D$4:$D$1053,$B130,'сентябрь 2023'!$J$4:$J$1053,P$1)</f>
        <v>0</v>
      </c>
      <c r="Q130" s="207">
        <f>SUMIFS('сентябрь 2023'!$G$4:$G$1053,'сентябрь 2023'!$D$4:$D$1053,$B130,'сентябрь 2023'!$J$4:$J$1053,Q$1)</f>
        <v>0</v>
      </c>
      <c r="R130" s="207">
        <f>SUMIFS('сентябрь 2023'!$G$4:$G$1053,'сентябрь 2023'!$D$4:$D$1053,$B130,'сентябрь 2023'!$J$4:$J$1053,R$1)</f>
        <v>0</v>
      </c>
      <c r="S130" s="207">
        <f>SUMIFS('сентябрь 2023'!$G$4:$G$1053,'сентябрь 2023'!$D$4:$D$1053,$B130,'сентябрь 2023'!$J$4:$J$1053,S$1)</f>
        <v>0</v>
      </c>
      <c r="T130" s="207">
        <f>SUMIFS('сентябрь 2023'!$G$4:$G$1053,'сентябрь 2023'!$D$4:$D$1053,$B130,'сентябрь 2023'!$J$4:$J$1053,T$1)</f>
        <v>0</v>
      </c>
      <c r="U130" s="207">
        <f>SUMIFS('сентябрь 2023'!$G$4:$G$1053,'сентябрь 2023'!$D$4:$D$1053,$B130,'сентябрь 2023'!$J$4:$J$1053,U$1)</f>
        <v>0</v>
      </c>
      <c r="V130" s="207">
        <f>SUMIFS('сентябрь 2023'!$G$4:$G$1053,'сентябрь 2023'!$D$4:$D$1053,$B130,'сентябрь 2023'!$J$4:$J$1053,V$1)</f>
        <v>0</v>
      </c>
      <c r="W130" s="207">
        <f>SUMIFS('сентябрь 2023'!$G$4:$G$1053,'сентябрь 2023'!$D$4:$D$1053,$B130,'сентябрь 2023'!$J$4:$J$1053,W$1)</f>
        <v>0</v>
      </c>
      <c r="X130" s="207">
        <f>SUMIFS('сентябрь 2023'!$G$4:$G$1053,'сентябрь 2023'!$D$4:$D$1053,$B130,'сентябрь 2023'!$J$4:$J$1053,X$1)</f>
        <v>0</v>
      </c>
      <c r="Y130" s="207">
        <f>SUMIFS('сентябрь 2023'!$G$4:$G$1053,'сентябрь 2023'!$D$4:$D$1053,$B130,'сентябрь 2023'!$J$4:$J$1053,Y$1)</f>
        <v>0</v>
      </c>
      <c r="Z130" s="207">
        <f>SUMIFS('сентябрь 2023'!$G$4:$G$1053,'сентябрь 2023'!$D$4:$D$1053,$B130,'сентябрь 2023'!$J$4:$J$1053,Z$1)</f>
        <v>0</v>
      </c>
      <c r="AA130" s="207">
        <f>SUMIFS('сентябрь 2023'!$G$4:$G$1053,'сентябрь 2023'!$D$4:$D$1053,$B130,'сентябрь 2023'!$J$4:$J$1053,AA$1)</f>
        <v>0</v>
      </c>
      <c r="AB130" s="207">
        <f>SUMIFS('сентябрь 2023'!$G$4:$G$1053,'сентябрь 2023'!$D$4:$D$1053,$B130,'сентябрь 2023'!$J$4:$J$1053,AB$1)</f>
        <v>0</v>
      </c>
      <c r="AC130" s="207">
        <f>SUMIFS('сентябрь 2023'!$G$4:$G$1053,'сентябрь 2023'!$D$4:$D$1053,$B130,'сентябрь 2023'!$J$4:$J$1053,AC$1)</f>
        <v>0</v>
      </c>
      <c r="AD130" s="207">
        <f>SUMIFS('сентябрь 2023'!$G$4:$G$1053,'сентябрь 2023'!$D$4:$D$1053,$B130,'сентябрь 2023'!$J$4:$J$1053,AD$1)</f>
        <v>0</v>
      </c>
      <c r="AE130" s="207">
        <f>SUMIFS('сентябрь 2023'!$G$4:$G$1053,'сентябрь 2023'!$D$4:$D$1053,$B130,'сентябрь 2023'!$J$4:$J$1053,AE$1)</f>
        <v>0</v>
      </c>
      <c r="AF130" s="207">
        <f>SUMIFS('сентябрь 2023'!$G$4:$G$1053,'сентябрь 2023'!$D$4:$D$1053,$B130,'сентябрь 2023'!$J$4:$J$1053,AF$1)</f>
        <v>0</v>
      </c>
      <c r="AG130" s="207">
        <f>SUMIFS('сентябрь 2023'!$G$4:$G$1053,'сентябрь 2023'!$D$4:$D$1053,$B130,'сентябрь 2023'!$J$4:$J$1053,AG$1)</f>
        <v>0</v>
      </c>
      <c r="AH130" s="207">
        <f>SUMIFS('сентябрь 2023'!$G$4:$G$1053,'сентябрь 2023'!$D$4:$D$1053,$B130,'сентябрь 2023'!$J$4:$J$1053,AH$1)</f>
        <v>0</v>
      </c>
      <c r="AI130" s="220">
        <f t="shared" si="2"/>
        <v>0</v>
      </c>
    </row>
    <row r="131" spans="2:35" ht="15" hidden="1" customHeight="1" x14ac:dyDescent="0.25">
      <c r="B131" s="216"/>
      <c r="C131" s="211"/>
      <c r="D131" s="207">
        <f>SUMIFS('сентябрь 2023'!$G$4:$G$1053,'сентябрь 2023'!$D$4:$D$1053,$B131,'сентябрь 2023'!$J$4:$J$1053,D$1)</f>
        <v>0</v>
      </c>
      <c r="E131" s="207">
        <f>SUMIFS('сентябрь 2023'!$G$4:$G$1053,'сентябрь 2023'!$D$4:$D$1053,$B131,'сентябрь 2023'!$J$4:$J$1053,E$1)</f>
        <v>0</v>
      </c>
      <c r="F131" s="207">
        <f>SUMIFS('сентябрь 2023'!$G$4:$G$1053,'сентябрь 2023'!$D$4:$D$1053,$B131,'сентябрь 2023'!$J$4:$J$1053,F$1)</f>
        <v>0</v>
      </c>
      <c r="G131" s="207">
        <f>SUMIFS('сентябрь 2023'!$G$4:$G$1053,'сентябрь 2023'!$D$4:$D$1053,$B131,'сентябрь 2023'!$J$4:$J$1053,G$1)</f>
        <v>0</v>
      </c>
      <c r="H131" s="207">
        <f>SUMIFS('сентябрь 2023'!$G$4:$G$1053,'сентябрь 2023'!$D$4:$D$1053,$B131,'сентябрь 2023'!$J$4:$J$1053,H$1)</f>
        <v>0</v>
      </c>
      <c r="I131" s="207">
        <f>SUMIFS('сентябрь 2023'!$G$4:$G$1053,'сентябрь 2023'!$D$4:$D$1053,$B131,'сентябрь 2023'!$J$4:$J$1053,I$1)</f>
        <v>0</v>
      </c>
      <c r="J131" s="207">
        <f>SUMIFS('сентябрь 2023'!$G$4:$G$1053,'сентябрь 2023'!$D$4:$D$1053,$B131,'сентябрь 2023'!$J$4:$J$1053,J$1)</f>
        <v>0</v>
      </c>
      <c r="K131" s="207">
        <f>SUMIFS('сентябрь 2023'!$G$4:$G$1053,'сентябрь 2023'!$D$4:$D$1053,$B131,'сентябрь 2023'!$J$4:$J$1053,K$1)</f>
        <v>0</v>
      </c>
      <c r="L131" s="207">
        <f>SUMIFS('сентябрь 2023'!$G$4:$G$1053,'сентябрь 2023'!$D$4:$D$1053,$B131,'сентябрь 2023'!$J$4:$J$1053,L$1)</f>
        <v>0</v>
      </c>
      <c r="M131" s="207">
        <f>SUMIFS('сентябрь 2023'!$G$4:$G$1053,'сентябрь 2023'!$D$4:$D$1053,$B131,'сентябрь 2023'!$J$4:$J$1053,M$1)</f>
        <v>0</v>
      </c>
      <c r="N131" s="207">
        <f>SUMIFS('сентябрь 2023'!$G$4:$G$1053,'сентябрь 2023'!$D$4:$D$1053,$B131,'сентябрь 2023'!$J$4:$J$1053,N$1)</f>
        <v>0</v>
      </c>
      <c r="O131" s="207">
        <f>SUMIFS('сентябрь 2023'!$G$4:$G$1053,'сентябрь 2023'!$D$4:$D$1053,$B131,'сентябрь 2023'!$J$4:$J$1053,O$1)</f>
        <v>0</v>
      </c>
      <c r="P131" s="207">
        <f>SUMIFS('сентябрь 2023'!$G$4:$G$1053,'сентябрь 2023'!$D$4:$D$1053,$B131,'сентябрь 2023'!$J$4:$J$1053,P$1)</f>
        <v>0</v>
      </c>
      <c r="Q131" s="207">
        <f>SUMIFS('сентябрь 2023'!$G$4:$G$1053,'сентябрь 2023'!$D$4:$D$1053,$B131,'сентябрь 2023'!$J$4:$J$1053,Q$1)</f>
        <v>0</v>
      </c>
      <c r="R131" s="207">
        <f>SUMIFS('сентябрь 2023'!$G$4:$G$1053,'сентябрь 2023'!$D$4:$D$1053,$B131,'сентябрь 2023'!$J$4:$J$1053,R$1)</f>
        <v>0</v>
      </c>
      <c r="S131" s="207">
        <f>SUMIFS('сентябрь 2023'!$G$4:$G$1053,'сентябрь 2023'!$D$4:$D$1053,$B131,'сентябрь 2023'!$J$4:$J$1053,S$1)</f>
        <v>0</v>
      </c>
      <c r="T131" s="207">
        <f>SUMIFS('сентябрь 2023'!$G$4:$G$1053,'сентябрь 2023'!$D$4:$D$1053,$B131,'сентябрь 2023'!$J$4:$J$1053,T$1)</f>
        <v>0</v>
      </c>
      <c r="U131" s="207">
        <f>SUMIFS('сентябрь 2023'!$G$4:$G$1053,'сентябрь 2023'!$D$4:$D$1053,$B131,'сентябрь 2023'!$J$4:$J$1053,U$1)</f>
        <v>0</v>
      </c>
      <c r="V131" s="207">
        <f>SUMIFS('сентябрь 2023'!$G$4:$G$1053,'сентябрь 2023'!$D$4:$D$1053,$B131,'сентябрь 2023'!$J$4:$J$1053,V$1)</f>
        <v>0</v>
      </c>
      <c r="W131" s="207">
        <f>SUMIFS('сентябрь 2023'!$G$4:$G$1053,'сентябрь 2023'!$D$4:$D$1053,$B131,'сентябрь 2023'!$J$4:$J$1053,W$1)</f>
        <v>0</v>
      </c>
      <c r="X131" s="207">
        <f>SUMIFS('сентябрь 2023'!$G$4:$G$1053,'сентябрь 2023'!$D$4:$D$1053,$B131,'сентябрь 2023'!$J$4:$J$1053,X$1)</f>
        <v>0</v>
      </c>
      <c r="Y131" s="207">
        <f>SUMIFS('сентябрь 2023'!$G$4:$G$1053,'сентябрь 2023'!$D$4:$D$1053,$B131,'сентябрь 2023'!$J$4:$J$1053,Y$1)</f>
        <v>0</v>
      </c>
      <c r="Z131" s="207">
        <f>SUMIFS('сентябрь 2023'!$G$4:$G$1053,'сентябрь 2023'!$D$4:$D$1053,$B131,'сентябрь 2023'!$J$4:$J$1053,Z$1)</f>
        <v>0</v>
      </c>
      <c r="AA131" s="207">
        <f>SUMIFS('сентябрь 2023'!$G$4:$G$1053,'сентябрь 2023'!$D$4:$D$1053,$B131,'сентябрь 2023'!$J$4:$J$1053,AA$1)</f>
        <v>0</v>
      </c>
      <c r="AB131" s="207">
        <f>SUMIFS('сентябрь 2023'!$G$4:$G$1053,'сентябрь 2023'!$D$4:$D$1053,$B131,'сентябрь 2023'!$J$4:$J$1053,AB$1)</f>
        <v>0</v>
      </c>
      <c r="AC131" s="207">
        <f>SUMIFS('сентябрь 2023'!$G$4:$G$1053,'сентябрь 2023'!$D$4:$D$1053,$B131,'сентябрь 2023'!$J$4:$J$1053,AC$1)</f>
        <v>0</v>
      </c>
      <c r="AD131" s="207">
        <f>SUMIFS('сентябрь 2023'!$G$4:$G$1053,'сентябрь 2023'!$D$4:$D$1053,$B131,'сентябрь 2023'!$J$4:$J$1053,AD$1)</f>
        <v>0</v>
      </c>
      <c r="AE131" s="207">
        <f>SUMIFS('сентябрь 2023'!$G$4:$G$1053,'сентябрь 2023'!$D$4:$D$1053,$B131,'сентябрь 2023'!$J$4:$J$1053,AE$1)</f>
        <v>0</v>
      </c>
      <c r="AF131" s="207">
        <f>SUMIFS('сентябрь 2023'!$G$4:$G$1053,'сентябрь 2023'!$D$4:$D$1053,$B131,'сентябрь 2023'!$J$4:$J$1053,AF$1)</f>
        <v>0</v>
      </c>
      <c r="AG131" s="207">
        <f>SUMIFS('сентябрь 2023'!$G$4:$G$1053,'сентябрь 2023'!$D$4:$D$1053,$B131,'сентябрь 2023'!$J$4:$J$1053,AG$1)</f>
        <v>0</v>
      </c>
      <c r="AH131" s="207">
        <f>SUMIFS('сентябрь 2023'!$G$4:$G$1053,'сентябрь 2023'!$D$4:$D$1053,$B131,'сентябрь 2023'!$J$4:$J$1053,AH$1)</f>
        <v>0</v>
      </c>
      <c r="AI131" s="220">
        <f t="shared" ref="AI131:AI153" si="3">SUM(D131:AH131)</f>
        <v>0</v>
      </c>
    </row>
    <row r="132" spans="2:35" ht="15" hidden="1" customHeight="1" x14ac:dyDescent="0.25">
      <c r="B132" s="216"/>
      <c r="C132" s="213"/>
      <c r="D132" s="207">
        <f>SUMIFS('сентябрь 2023'!$G$4:$G$1053,'сентябрь 2023'!$D$4:$D$1053,$B132,'сентябрь 2023'!$J$4:$J$1053,D$1)</f>
        <v>0</v>
      </c>
      <c r="E132" s="207">
        <f>SUMIFS('сентябрь 2023'!$G$4:$G$1053,'сентябрь 2023'!$D$4:$D$1053,$B132,'сентябрь 2023'!$J$4:$J$1053,E$1)</f>
        <v>0</v>
      </c>
      <c r="F132" s="207">
        <f>SUMIFS('сентябрь 2023'!$G$4:$G$1053,'сентябрь 2023'!$D$4:$D$1053,$B132,'сентябрь 2023'!$J$4:$J$1053,F$1)</f>
        <v>0</v>
      </c>
      <c r="G132" s="207">
        <f>SUMIFS('сентябрь 2023'!$G$4:$G$1053,'сентябрь 2023'!$D$4:$D$1053,$B132,'сентябрь 2023'!$J$4:$J$1053,G$1)</f>
        <v>0</v>
      </c>
      <c r="H132" s="207">
        <f>SUMIFS('сентябрь 2023'!$G$4:$G$1053,'сентябрь 2023'!$D$4:$D$1053,$B132,'сентябрь 2023'!$J$4:$J$1053,H$1)</f>
        <v>0</v>
      </c>
      <c r="I132" s="207">
        <f>SUMIFS('сентябрь 2023'!$G$4:$G$1053,'сентябрь 2023'!$D$4:$D$1053,$B132,'сентябрь 2023'!$J$4:$J$1053,I$1)</f>
        <v>0</v>
      </c>
      <c r="J132" s="207">
        <f>SUMIFS('сентябрь 2023'!$G$4:$G$1053,'сентябрь 2023'!$D$4:$D$1053,$B132,'сентябрь 2023'!$J$4:$J$1053,J$1)</f>
        <v>0</v>
      </c>
      <c r="K132" s="207">
        <f>SUMIFS('сентябрь 2023'!$G$4:$G$1053,'сентябрь 2023'!$D$4:$D$1053,$B132,'сентябрь 2023'!$J$4:$J$1053,K$1)</f>
        <v>0</v>
      </c>
      <c r="L132" s="207">
        <f>SUMIFS('сентябрь 2023'!$G$4:$G$1053,'сентябрь 2023'!$D$4:$D$1053,$B132,'сентябрь 2023'!$J$4:$J$1053,L$1)</f>
        <v>0</v>
      </c>
      <c r="M132" s="207">
        <f>SUMIFS('сентябрь 2023'!$G$4:$G$1053,'сентябрь 2023'!$D$4:$D$1053,$B132,'сентябрь 2023'!$J$4:$J$1053,M$1)</f>
        <v>0</v>
      </c>
      <c r="N132" s="207">
        <f>SUMIFS('сентябрь 2023'!$G$4:$G$1053,'сентябрь 2023'!$D$4:$D$1053,$B132,'сентябрь 2023'!$J$4:$J$1053,N$1)</f>
        <v>0</v>
      </c>
      <c r="O132" s="207">
        <f>SUMIFS('сентябрь 2023'!$G$4:$G$1053,'сентябрь 2023'!$D$4:$D$1053,$B132,'сентябрь 2023'!$J$4:$J$1053,O$1)</f>
        <v>0</v>
      </c>
      <c r="P132" s="207">
        <f>SUMIFS('сентябрь 2023'!$G$4:$G$1053,'сентябрь 2023'!$D$4:$D$1053,$B132,'сентябрь 2023'!$J$4:$J$1053,P$1)</f>
        <v>0</v>
      </c>
      <c r="Q132" s="207">
        <f>SUMIFS('сентябрь 2023'!$G$4:$G$1053,'сентябрь 2023'!$D$4:$D$1053,$B132,'сентябрь 2023'!$J$4:$J$1053,Q$1)</f>
        <v>0</v>
      </c>
      <c r="R132" s="207">
        <f>SUMIFS('сентябрь 2023'!$G$4:$G$1053,'сентябрь 2023'!$D$4:$D$1053,$B132,'сентябрь 2023'!$J$4:$J$1053,R$1)</f>
        <v>0</v>
      </c>
      <c r="S132" s="207">
        <f>SUMIFS('сентябрь 2023'!$G$4:$G$1053,'сентябрь 2023'!$D$4:$D$1053,$B132,'сентябрь 2023'!$J$4:$J$1053,S$1)</f>
        <v>0</v>
      </c>
      <c r="T132" s="207">
        <f>SUMIFS('сентябрь 2023'!$G$4:$G$1053,'сентябрь 2023'!$D$4:$D$1053,$B132,'сентябрь 2023'!$J$4:$J$1053,T$1)</f>
        <v>0</v>
      </c>
      <c r="U132" s="207">
        <f>SUMIFS('сентябрь 2023'!$G$4:$G$1053,'сентябрь 2023'!$D$4:$D$1053,$B132,'сентябрь 2023'!$J$4:$J$1053,U$1)</f>
        <v>0</v>
      </c>
      <c r="V132" s="207">
        <f>SUMIFS('сентябрь 2023'!$G$4:$G$1053,'сентябрь 2023'!$D$4:$D$1053,$B132,'сентябрь 2023'!$J$4:$J$1053,V$1)</f>
        <v>0</v>
      </c>
      <c r="W132" s="207">
        <f>SUMIFS('сентябрь 2023'!$G$4:$G$1053,'сентябрь 2023'!$D$4:$D$1053,$B132,'сентябрь 2023'!$J$4:$J$1053,W$1)</f>
        <v>0</v>
      </c>
      <c r="X132" s="207">
        <f>SUMIFS('сентябрь 2023'!$G$4:$G$1053,'сентябрь 2023'!$D$4:$D$1053,$B132,'сентябрь 2023'!$J$4:$J$1053,X$1)</f>
        <v>0</v>
      </c>
      <c r="Y132" s="207">
        <f>SUMIFS('сентябрь 2023'!$G$4:$G$1053,'сентябрь 2023'!$D$4:$D$1053,$B132,'сентябрь 2023'!$J$4:$J$1053,Y$1)</f>
        <v>0</v>
      </c>
      <c r="Z132" s="207">
        <f>SUMIFS('сентябрь 2023'!$G$4:$G$1053,'сентябрь 2023'!$D$4:$D$1053,$B132,'сентябрь 2023'!$J$4:$J$1053,Z$1)</f>
        <v>0</v>
      </c>
      <c r="AA132" s="207">
        <f>SUMIFS('сентябрь 2023'!$G$4:$G$1053,'сентябрь 2023'!$D$4:$D$1053,$B132,'сентябрь 2023'!$J$4:$J$1053,AA$1)</f>
        <v>0</v>
      </c>
      <c r="AB132" s="207">
        <f>SUMIFS('сентябрь 2023'!$G$4:$G$1053,'сентябрь 2023'!$D$4:$D$1053,$B132,'сентябрь 2023'!$J$4:$J$1053,AB$1)</f>
        <v>0</v>
      </c>
      <c r="AC132" s="207">
        <f>SUMIFS('сентябрь 2023'!$G$4:$G$1053,'сентябрь 2023'!$D$4:$D$1053,$B132,'сентябрь 2023'!$J$4:$J$1053,AC$1)</f>
        <v>0</v>
      </c>
      <c r="AD132" s="207">
        <f>SUMIFS('сентябрь 2023'!$G$4:$G$1053,'сентябрь 2023'!$D$4:$D$1053,$B132,'сентябрь 2023'!$J$4:$J$1053,AD$1)</f>
        <v>0</v>
      </c>
      <c r="AE132" s="207">
        <f>SUMIFS('сентябрь 2023'!$G$4:$G$1053,'сентябрь 2023'!$D$4:$D$1053,$B132,'сентябрь 2023'!$J$4:$J$1053,AE$1)</f>
        <v>0</v>
      </c>
      <c r="AF132" s="207">
        <f>SUMIFS('сентябрь 2023'!$G$4:$G$1053,'сентябрь 2023'!$D$4:$D$1053,$B132,'сентябрь 2023'!$J$4:$J$1053,AF$1)</f>
        <v>0</v>
      </c>
      <c r="AG132" s="207">
        <f>SUMIFS('сентябрь 2023'!$G$4:$G$1053,'сентябрь 2023'!$D$4:$D$1053,$B132,'сентябрь 2023'!$J$4:$J$1053,AG$1)</f>
        <v>0</v>
      </c>
      <c r="AH132" s="207">
        <f>SUMIFS('сентябрь 2023'!$G$4:$G$1053,'сентябрь 2023'!$D$4:$D$1053,$B132,'сентябрь 2023'!$J$4:$J$1053,AH$1)</f>
        <v>0</v>
      </c>
      <c r="AI132" s="220">
        <f t="shared" si="3"/>
        <v>0</v>
      </c>
    </row>
    <row r="133" spans="2:35" ht="15" hidden="1" customHeight="1" x14ac:dyDescent="0.25">
      <c r="B133" s="212"/>
      <c r="C133" s="211"/>
      <c r="D133" s="207">
        <f>SUMIFS('сентябрь 2023'!$G$4:$G$1053,'сентябрь 2023'!$D$4:$D$1053,$B133,'сентябрь 2023'!$J$4:$J$1053,D$1)</f>
        <v>0</v>
      </c>
      <c r="E133" s="207">
        <f>SUMIFS('сентябрь 2023'!$G$4:$G$1053,'сентябрь 2023'!$D$4:$D$1053,$B133,'сентябрь 2023'!$J$4:$J$1053,E$1)</f>
        <v>0</v>
      </c>
      <c r="F133" s="207">
        <f>SUMIFS('сентябрь 2023'!$G$4:$G$1053,'сентябрь 2023'!$D$4:$D$1053,$B133,'сентябрь 2023'!$J$4:$J$1053,F$1)</f>
        <v>0</v>
      </c>
      <c r="G133" s="207">
        <f>SUMIFS('сентябрь 2023'!$G$4:$G$1053,'сентябрь 2023'!$D$4:$D$1053,$B133,'сентябрь 2023'!$J$4:$J$1053,G$1)</f>
        <v>0</v>
      </c>
      <c r="H133" s="207">
        <f>SUMIFS('сентябрь 2023'!$G$4:$G$1053,'сентябрь 2023'!$D$4:$D$1053,$B133,'сентябрь 2023'!$J$4:$J$1053,H$1)</f>
        <v>0</v>
      </c>
      <c r="I133" s="207">
        <f>SUMIFS('сентябрь 2023'!$G$4:$G$1053,'сентябрь 2023'!$D$4:$D$1053,$B133,'сентябрь 2023'!$J$4:$J$1053,I$1)</f>
        <v>0</v>
      </c>
      <c r="J133" s="207">
        <f>SUMIFS('сентябрь 2023'!$G$4:$G$1053,'сентябрь 2023'!$D$4:$D$1053,$B133,'сентябрь 2023'!$J$4:$J$1053,J$1)</f>
        <v>0</v>
      </c>
      <c r="K133" s="207">
        <f>SUMIFS('сентябрь 2023'!$G$4:$G$1053,'сентябрь 2023'!$D$4:$D$1053,$B133,'сентябрь 2023'!$J$4:$J$1053,K$1)</f>
        <v>0</v>
      </c>
      <c r="L133" s="207">
        <f>SUMIFS('сентябрь 2023'!$G$4:$G$1053,'сентябрь 2023'!$D$4:$D$1053,$B133,'сентябрь 2023'!$J$4:$J$1053,L$1)</f>
        <v>0</v>
      </c>
      <c r="M133" s="207">
        <f>SUMIFS('сентябрь 2023'!$G$4:$G$1053,'сентябрь 2023'!$D$4:$D$1053,$B133,'сентябрь 2023'!$J$4:$J$1053,M$1)</f>
        <v>0</v>
      </c>
      <c r="N133" s="207">
        <f>SUMIFS('сентябрь 2023'!$G$4:$G$1053,'сентябрь 2023'!$D$4:$D$1053,$B133,'сентябрь 2023'!$J$4:$J$1053,N$1)</f>
        <v>0</v>
      </c>
      <c r="O133" s="207">
        <f>SUMIFS('сентябрь 2023'!$G$4:$G$1053,'сентябрь 2023'!$D$4:$D$1053,$B133,'сентябрь 2023'!$J$4:$J$1053,O$1)</f>
        <v>0</v>
      </c>
      <c r="P133" s="207">
        <f>SUMIFS('сентябрь 2023'!$G$4:$G$1053,'сентябрь 2023'!$D$4:$D$1053,$B133,'сентябрь 2023'!$J$4:$J$1053,P$1)</f>
        <v>0</v>
      </c>
      <c r="Q133" s="207">
        <f>SUMIFS('сентябрь 2023'!$G$4:$G$1053,'сентябрь 2023'!$D$4:$D$1053,$B133,'сентябрь 2023'!$J$4:$J$1053,Q$1)</f>
        <v>0</v>
      </c>
      <c r="R133" s="207">
        <f>SUMIFS('сентябрь 2023'!$G$4:$G$1053,'сентябрь 2023'!$D$4:$D$1053,$B133,'сентябрь 2023'!$J$4:$J$1053,R$1)</f>
        <v>0</v>
      </c>
      <c r="S133" s="207">
        <f>SUMIFS('сентябрь 2023'!$G$4:$G$1053,'сентябрь 2023'!$D$4:$D$1053,$B133,'сентябрь 2023'!$J$4:$J$1053,S$1)</f>
        <v>0</v>
      </c>
      <c r="T133" s="207">
        <f>SUMIFS('сентябрь 2023'!$G$4:$G$1053,'сентябрь 2023'!$D$4:$D$1053,$B133,'сентябрь 2023'!$J$4:$J$1053,T$1)</f>
        <v>0</v>
      </c>
      <c r="U133" s="207">
        <f>SUMIFS('сентябрь 2023'!$G$4:$G$1053,'сентябрь 2023'!$D$4:$D$1053,$B133,'сентябрь 2023'!$J$4:$J$1053,U$1)</f>
        <v>0</v>
      </c>
      <c r="V133" s="207">
        <f>SUMIFS('сентябрь 2023'!$G$4:$G$1053,'сентябрь 2023'!$D$4:$D$1053,$B133,'сентябрь 2023'!$J$4:$J$1053,V$1)</f>
        <v>0</v>
      </c>
      <c r="W133" s="207">
        <f>SUMIFS('сентябрь 2023'!$G$4:$G$1053,'сентябрь 2023'!$D$4:$D$1053,$B133,'сентябрь 2023'!$J$4:$J$1053,W$1)</f>
        <v>0</v>
      </c>
      <c r="X133" s="207">
        <f>SUMIFS('сентябрь 2023'!$G$4:$G$1053,'сентябрь 2023'!$D$4:$D$1053,$B133,'сентябрь 2023'!$J$4:$J$1053,X$1)</f>
        <v>0</v>
      </c>
      <c r="Y133" s="207">
        <f>SUMIFS('сентябрь 2023'!$G$4:$G$1053,'сентябрь 2023'!$D$4:$D$1053,$B133,'сентябрь 2023'!$J$4:$J$1053,Y$1)</f>
        <v>0</v>
      </c>
      <c r="Z133" s="207">
        <f>SUMIFS('сентябрь 2023'!$G$4:$G$1053,'сентябрь 2023'!$D$4:$D$1053,$B133,'сентябрь 2023'!$J$4:$J$1053,Z$1)</f>
        <v>0</v>
      </c>
      <c r="AA133" s="207">
        <f>SUMIFS('сентябрь 2023'!$G$4:$G$1053,'сентябрь 2023'!$D$4:$D$1053,$B133,'сентябрь 2023'!$J$4:$J$1053,AA$1)</f>
        <v>0</v>
      </c>
      <c r="AB133" s="207">
        <f>SUMIFS('сентябрь 2023'!$G$4:$G$1053,'сентябрь 2023'!$D$4:$D$1053,$B133,'сентябрь 2023'!$J$4:$J$1053,AB$1)</f>
        <v>0</v>
      </c>
      <c r="AC133" s="207">
        <f>SUMIFS('сентябрь 2023'!$G$4:$G$1053,'сентябрь 2023'!$D$4:$D$1053,$B133,'сентябрь 2023'!$J$4:$J$1053,AC$1)</f>
        <v>0</v>
      </c>
      <c r="AD133" s="207">
        <f>SUMIFS('сентябрь 2023'!$G$4:$G$1053,'сентябрь 2023'!$D$4:$D$1053,$B133,'сентябрь 2023'!$J$4:$J$1053,AD$1)</f>
        <v>0</v>
      </c>
      <c r="AE133" s="207">
        <f>SUMIFS('сентябрь 2023'!$G$4:$G$1053,'сентябрь 2023'!$D$4:$D$1053,$B133,'сентябрь 2023'!$J$4:$J$1053,AE$1)</f>
        <v>0</v>
      </c>
      <c r="AF133" s="207">
        <f>SUMIFS('сентябрь 2023'!$G$4:$G$1053,'сентябрь 2023'!$D$4:$D$1053,$B133,'сентябрь 2023'!$J$4:$J$1053,AF$1)</f>
        <v>0</v>
      </c>
      <c r="AG133" s="207">
        <f>SUMIFS('сентябрь 2023'!$G$4:$G$1053,'сентябрь 2023'!$D$4:$D$1053,$B133,'сентябрь 2023'!$J$4:$J$1053,AG$1)</f>
        <v>0</v>
      </c>
      <c r="AH133" s="207">
        <f>SUMIFS('сентябрь 2023'!$G$4:$G$1053,'сентябрь 2023'!$D$4:$D$1053,$B133,'сентябрь 2023'!$J$4:$J$1053,AH$1)</f>
        <v>0</v>
      </c>
      <c r="AI133" s="220"/>
    </row>
    <row r="134" spans="2:35" ht="15" hidden="1" customHeight="1" x14ac:dyDescent="0.25">
      <c r="B134" s="217"/>
      <c r="C134" s="213"/>
      <c r="D134" s="207">
        <f>SUMIFS('сентябрь 2023'!$G$4:$G$1053,'сентябрь 2023'!$D$4:$D$1053,$B134,'сентябрь 2023'!$J$4:$J$1053,D$1)</f>
        <v>0</v>
      </c>
      <c r="E134" s="207">
        <f>SUMIFS('сентябрь 2023'!$G$4:$G$1053,'сентябрь 2023'!$D$4:$D$1053,$B134,'сентябрь 2023'!$J$4:$J$1053,E$1)</f>
        <v>0</v>
      </c>
      <c r="F134" s="207">
        <f>SUMIFS('сентябрь 2023'!$G$4:$G$1053,'сентябрь 2023'!$D$4:$D$1053,$B134,'сентябрь 2023'!$J$4:$J$1053,F$1)</f>
        <v>0</v>
      </c>
      <c r="G134" s="207">
        <f>SUMIFS('сентябрь 2023'!$G$4:$G$1053,'сентябрь 2023'!$D$4:$D$1053,$B134,'сентябрь 2023'!$J$4:$J$1053,G$1)</f>
        <v>0</v>
      </c>
      <c r="H134" s="207">
        <f>SUMIFS('сентябрь 2023'!$G$4:$G$1053,'сентябрь 2023'!$D$4:$D$1053,$B134,'сентябрь 2023'!$J$4:$J$1053,H$1)</f>
        <v>0</v>
      </c>
      <c r="I134" s="207">
        <f>SUMIFS('сентябрь 2023'!$G$4:$G$1053,'сентябрь 2023'!$D$4:$D$1053,$B134,'сентябрь 2023'!$J$4:$J$1053,I$1)</f>
        <v>0</v>
      </c>
      <c r="J134" s="207">
        <f>SUMIFS('сентябрь 2023'!$G$4:$G$1053,'сентябрь 2023'!$D$4:$D$1053,$B134,'сентябрь 2023'!$J$4:$J$1053,J$1)</f>
        <v>0</v>
      </c>
      <c r="K134" s="207">
        <f>SUMIFS('сентябрь 2023'!$G$4:$G$1053,'сентябрь 2023'!$D$4:$D$1053,$B134,'сентябрь 2023'!$J$4:$J$1053,K$1)</f>
        <v>0</v>
      </c>
      <c r="L134" s="207">
        <f>SUMIFS('сентябрь 2023'!$G$4:$G$1053,'сентябрь 2023'!$D$4:$D$1053,$B134,'сентябрь 2023'!$J$4:$J$1053,L$1)</f>
        <v>0</v>
      </c>
      <c r="M134" s="207">
        <f>SUMIFS('сентябрь 2023'!$G$4:$G$1053,'сентябрь 2023'!$D$4:$D$1053,$B134,'сентябрь 2023'!$J$4:$J$1053,M$1)</f>
        <v>0</v>
      </c>
      <c r="N134" s="207">
        <f>SUMIFS('сентябрь 2023'!$G$4:$G$1053,'сентябрь 2023'!$D$4:$D$1053,$B134,'сентябрь 2023'!$J$4:$J$1053,N$1)</f>
        <v>0</v>
      </c>
      <c r="O134" s="207">
        <f>SUMIFS('сентябрь 2023'!$G$4:$G$1053,'сентябрь 2023'!$D$4:$D$1053,$B134,'сентябрь 2023'!$J$4:$J$1053,O$1)</f>
        <v>0</v>
      </c>
      <c r="P134" s="207">
        <f>SUMIFS('сентябрь 2023'!$G$4:$G$1053,'сентябрь 2023'!$D$4:$D$1053,$B134,'сентябрь 2023'!$J$4:$J$1053,P$1)</f>
        <v>0</v>
      </c>
      <c r="Q134" s="207">
        <f>SUMIFS('сентябрь 2023'!$G$4:$G$1053,'сентябрь 2023'!$D$4:$D$1053,$B134,'сентябрь 2023'!$J$4:$J$1053,Q$1)</f>
        <v>0</v>
      </c>
      <c r="R134" s="207">
        <f>SUMIFS('сентябрь 2023'!$G$4:$G$1053,'сентябрь 2023'!$D$4:$D$1053,$B134,'сентябрь 2023'!$J$4:$J$1053,R$1)</f>
        <v>0</v>
      </c>
      <c r="S134" s="207">
        <f>SUMIFS('сентябрь 2023'!$G$4:$G$1053,'сентябрь 2023'!$D$4:$D$1053,$B134,'сентябрь 2023'!$J$4:$J$1053,S$1)</f>
        <v>0</v>
      </c>
      <c r="T134" s="207">
        <f>SUMIFS('сентябрь 2023'!$G$4:$G$1053,'сентябрь 2023'!$D$4:$D$1053,$B134,'сентябрь 2023'!$J$4:$J$1053,T$1)</f>
        <v>0</v>
      </c>
      <c r="U134" s="207">
        <f>SUMIFS('сентябрь 2023'!$G$4:$G$1053,'сентябрь 2023'!$D$4:$D$1053,$B134,'сентябрь 2023'!$J$4:$J$1053,U$1)</f>
        <v>0</v>
      </c>
      <c r="V134" s="207">
        <f>SUMIFS('сентябрь 2023'!$G$4:$G$1053,'сентябрь 2023'!$D$4:$D$1053,$B134,'сентябрь 2023'!$J$4:$J$1053,V$1)</f>
        <v>0</v>
      </c>
      <c r="W134" s="207">
        <f>SUMIFS('сентябрь 2023'!$G$4:$G$1053,'сентябрь 2023'!$D$4:$D$1053,$B134,'сентябрь 2023'!$J$4:$J$1053,W$1)</f>
        <v>0</v>
      </c>
      <c r="X134" s="207">
        <f>SUMIFS('сентябрь 2023'!$G$4:$G$1053,'сентябрь 2023'!$D$4:$D$1053,$B134,'сентябрь 2023'!$J$4:$J$1053,X$1)</f>
        <v>0</v>
      </c>
      <c r="Y134" s="207">
        <f>SUMIFS('сентябрь 2023'!$G$4:$G$1053,'сентябрь 2023'!$D$4:$D$1053,$B134,'сентябрь 2023'!$J$4:$J$1053,Y$1)</f>
        <v>0</v>
      </c>
      <c r="Z134" s="207">
        <f>SUMIFS('сентябрь 2023'!$G$4:$G$1053,'сентябрь 2023'!$D$4:$D$1053,$B134,'сентябрь 2023'!$J$4:$J$1053,Z$1)</f>
        <v>0</v>
      </c>
      <c r="AA134" s="207">
        <f>SUMIFS('сентябрь 2023'!$G$4:$G$1053,'сентябрь 2023'!$D$4:$D$1053,$B134,'сентябрь 2023'!$J$4:$J$1053,AA$1)</f>
        <v>0</v>
      </c>
      <c r="AB134" s="207">
        <f>SUMIFS('сентябрь 2023'!$G$4:$G$1053,'сентябрь 2023'!$D$4:$D$1053,$B134,'сентябрь 2023'!$J$4:$J$1053,AB$1)</f>
        <v>0</v>
      </c>
      <c r="AC134" s="207">
        <f>SUMIFS('сентябрь 2023'!$G$4:$G$1053,'сентябрь 2023'!$D$4:$D$1053,$B134,'сентябрь 2023'!$J$4:$J$1053,AC$1)</f>
        <v>0</v>
      </c>
      <c r="AD134" s="207">
        <f>SUMIFS('сентябрь 2023'!$G$4:$G$1053,'сентябрь 2023'!$D$4:$D$1053,$B134,'сентябрь 2023'!$J$4:$J$1053,AD$1)</f>
        <v>0</v>
      </c>
      <c r="AE134" s="207">
        <f>SUMIFS('сентябрь 2023'!$G$4:$G$1053,'сентябрь 2023'!$D$4:$D$1053,$B134,'сентябрь 2023'!$J$4:$J$1053,AE$1)</f>
        <v>0</v>
      </c>
      <c r="AF134" s="207">
        <f>SUMIFS('сентябрь 2023'!$G$4:$G$1053,'сентябрь 2023'!$D$4:$D$1053,$B134,'сентябрь 2023'!$J$4:$J$1053,AF$1)</f>
        <v>0</v>
      </c>
      <c r="AG134" s="207">
        <f>SUMIFS('сентябрь 2023'!$G$4:$G$1053,'сентябрь 2023'!$D$4:$D$1053,$B134,'сентябрь 2023'!$J$4:$J$1053,AG$1)</f>
        <v>0</v>
      </c>
      <c r="AH134" s="207">
        <f>SUMIFS('сентябрь 2023'!$G$4:$G$1053,'сентябрь 2023'!$D$4:$D$1053,$B134,'сентябрь 2023'!$J$4:$J$1053,AH$1)</f>
        <v>0</v>
      </c>
      <c r="AI134" s="220"/>
    </row>
    <row r="135" spans="2:35" ht="15" hidden="1" customHeight="1" x14ac:dyDescent="0.25">
      <c r="B135" s="212"/>
      <c r="C135" s="213"/>
      <c r="D135" s="207">
        <f>SUMIFS('сентябрь 2023'!$G$4:$G$1053,'сентябрь 2023'!$D$4:$D$1053,$B135,'сентябрь 2023'!$J$4:$J$1053,D$1)</f>
        <v>0</v>
      </c>
      <c r="E135" s="207">
        <f>SUMIFS('сентябрь 2023'!$G$4:$G$1053,'сентябрь 2023'!$D$4:$D$1053,$B135,'сентябрь 2023'!$J$4:$J$1053,E$1)</f>
        <v>0</v>
      </c>
      <c r="F135" s="207">
        <f>SUMIFS('сентябрь 2023'!$G$4:$G$1053,'сентябрь 2023'!$D$4:$D$1053,$B135,'сентябрь 2023'!$J$4:$J$1053,F$1)</f>
        <v>0</v>
      </c>
      <c r="G135" s="207">
        <f>SUMIFS('сентябрь 2023'!$G$4:$G$1053,'сентябрь 2023'!$D$4:$D$1053,$B135,'сентябрь 2023'!$J$4:$J$1053,G$1)</f>
        <v>0</v>
      </c>
      <c r="H135" s="207">
        <f>SUMIFS('сентябрь 2023'!$G$4:$G$1053,'сентябрь 2023'!$D$4:$D$1053,$B135,'сентябрь 2023'!$J$4:$J$1053,H$1)</f>
        <v>0</v>
      </c>
      <c r="I135" s="207">
        <f>SUMIFS('сентябрь 2023'!$G$4:$G$1053,'сентябрь 2023'!$D$4:$D$1053,$B135,'сентябрь 2023'!$J$4:$J$1053,I$1)</f>
        <v>0</v>
      </c>
      <c r="J135" s="207">
        <f>SUMIFS('сентябрь 2023'!$G$4:$G$1053,'сентябрь 2023'!$D$4:$D$1053,$B135,'сентябрь 2023'!$J$4:$J$1053,J$1)</f>
        <v>0</v>
      </c>
      <c r="K135" s="207">
        <f>SUMIFS('сентябрь 2023'!$G$4:$G$1053,'сентябрь 2023'!$D$4:$D$1053,$B135,'сентябрь 2023'!$J$4:$J$1053,K$1)</f>
        <v>0</v>
      </c>
      <c r="L135" s="207">
        <f>SUMIFS('сентябрь 2023'!$G$4:$G$1053,'сентябрь 2023'!$D$4:$D$1053,$B135,'сентябрь 2023'!$J$4:$J$1053,L$1)</f>
        <v>0</v>
      </c>
      <c r="M135" s="207">
        <f>SUMIFS('сентябрь 2023'!$G$4:$G$1053,'сентябрь 2023'!$D$4:$D$1053,$B135,'сентябрь 2023'!$J$4:$J$1053,M$1)</f>
        <v>0</v>
      </c>
      <c r="N135" s="207">
        <f>SUMIFS('сентябрь 2023'!$G$4:$G$1053,'сентябрь 2023'!$D$4:$D$1053,$B135,'сентябрь 2023'!$J$4:$J$1053,N$1)</f>
        <v>0</v>
      </c>
      <c r="O135" s="207">
        <f>SUMIFS('сентябрь 2023'!$G$4:$G$1053,'сентябрь 2023'!$D$4:$D$1053,$B135,'сентябрь 2023'!$J$4:$J$1053,O$1)</f>
        <v>0</v>
      </c>
      <c r="P135" s="207">
        <f>SUMIFS('сентябрь 2023'!$G$4:$G$1053,'сентябрь 2023'!$D$4:$D$1053,$B135,'сентябрь 2023'!$J$4:$J$1053,P$1)</f>
        <v>0</v>
      </c>
      <c r="Q135" s="207">
        <f>SUMIFS('сентябрь 2023'!$G$4:$G$1053,'сентябрь 2023'!$D$4:$D$1053,$B135,'сентябрь 2023'!$J$4:$J$1053,Q$1)</f>
        <v>0</v>
      </c>
      <c r="R135" s="207">
        <f>SUMIFS('сентябрь 2023'!$G$4:$G$1053,'сентябрь 2023'!$D$4:$D$1053,$B135,'сентябрь 2023'!$J$4:$J$1053,R$1)</f>
        <v>0</v>
      </c>
      <c r="S135" s="207">
        <f>SUMIFS('сентябрь 2023'!$G$4:$G$1053,'сентябрь 2023'!$D$4:$D$1053,$B135,'сентябрь 2023'!$J$4:$J$1053,S$1)</f>
        <v>0</v>
      </c>
      <c r="T135" s="207">
        <f>SUMIFS('сентябрь 2023'!$G$4:$G$1053,'сентябрь 2023'!$D$4:$D$1053,$B135,'сентябрь 2023'!$J$4:$J$1053,T$1)</f>
        <v>0</v>
      </c>
      <c r="U135" s="207">
        <f>SUMIFS('сентябрь 2023'!$G$4:$G$1053,'сентябрь 2023'!$D$4:$D$1053,$B135,'сентябрь 2023'!$J$4:$J$1053,U$1)</f>
        <v>0</v>
      </c>
      <c r="V135" s="207">
        <f>SUMIFS('сентябрь 2023'!$G$4:$G$1053,'сентябрь 2023'!$D$4:$D$1053,$B135,'сентябрь 2023'!$J$4:$J$1053,V$1)</f>
        <v>0</v>
      </c>
      <c r="W135" s="207">
        <f>SUMIFS('сентябрь 2023'!$G$4:$G$1053,'сентябрь 2023'!$D$4:$D$1053,$B135,'сентябрь 2023'!$J$4:$J$1053,W$1)</f>
        <v>0</v>
      </c>
      <c r="X135" s="207">
        <f>SUMIFS('сентябрь 2023'!$G$4:$G$1053,'сентябрь 2023'!$D$4:$D$1053,$B135,'сентябрь 2023'!$J$4:$J$1053,X$1)</f>
        <v>0</v>
      </c>
      <c r="Y135" s="207">
        <f>SUMIFS('сентябрь 2023'!$G$4:$G$1053,'сентябрь 2023'!$D$4:$D$1053,$B135,'сентябрь 2023'!$J$4:$J$1053,Y$1)</f>
        <v>0</v>
      </c>
      <c r="Z135" s="207">
        <f>SUMIFS('сентябрь 2023'!$G$4:$G$1053,'сентябрь 2023'!$D$4:$D$1053,$B135,'сентябрь 2023'!$J$4:$J$1053,Z$1)</f>
        <v>0</v>
      </c>
      <c r="AA135" s="207">
        <f>SUMIFS('сентябрь 2023'!$G$4:$G$1053,'сентябрь 2023'!$D$4:$D$1053,$B135,'сентябрь 2023'!$J$4:$J$1053,AA$1)</f>
        <v>0</v>
      </c>
      <c r="AB135" s="207">
        <f>SUMIFS('сентябрь 2023'!$G$4:$G$1053,'сентябрь 2023'!$D$4:$D$1053,$B135,'сентябрь 2023'!$J$4:$J$1053,AB$1)</f>
        <v>0</v>
      </c>
      <c r="AC135" s="207">
        <f>SUMIFS('сентябрь 2023'!$G$4:$G$1053,'сентябрь 2023'!$D$4:$D$1053,$B135,'сентябрь 2023'!$J$4:$J$1053,AC$1)</f>
        <v>0</v>
      </c>
      <c r="AD135" s="207">
        <f>SUMIFS('сентябрь 2023'!$G$4:$G$1053,'сентябрь 2023'!$D$4:$D$1053,$B135,'сентябрь 2023'!$J$4:$J$1053,AD$1)</f>
        <v>0</v>
      </c>
      <c r="AE135" s="207">
        <f>SUMIFS('сентябрь 2023'!$G$4:$G$1053,'сентябрь 2023'!$D$4:$D$1053,$B135,'сентябрь 2023'!$J$4:$J$1053,AE$1)</f>
        <v>0</v>
      </c>
      <c r="AF135" s="207">
        <f>SUMIFS('сентябрь 2023'!$G$4:$G$1053,'сентябрь 2023'!$D$4:$D$1053,$B135,'сентябрь 2023'!$J$4:$J$1053,AF$1)</f>
        <v>0</v>
      </c>
      <c r="AG135" s="207">
        <f>SUMIFS('сентябрь 2023'!$G$4:$G$1053,'сентябрь 2023'!$D$4:$D$1053,$B135,'сентябрь 2023'!$J$4:$J$1053,AG$1)</f>
        <v>0</v>
      </c>
      <c r="AH135" s="207">
        <f>SUMIFS('сентябрь 2023'!$G$4:$G$1053,'сентябрь 2023'!$D$4:$D$1053,$B135,'сентябрь 2023'!$J$4:$J$1053,AH$1)</f>
        <v>0</v>
      </c>
      <c r="AI135" s="220"/>
    </row>
    <row r="136" spans="2:35" ht="15" hidden="1" customHeight="1" x14ac:dyDescent="0.25">
      <c r="B136" s="212"/>
      <c r="C136" s="211"/>
      <c r="D136" s="207">
        <f>SUMIFS('сентябрь 2023'!$G$4:$G$1053,'сентябрь 2023'!$D$4:$D$1053,$B136,'сентябрь 2023'!$J$4:$J$1053,D$1)</f>
        <v>0</v>
      </c>
      <c r="E136" s="207">
        <f>SUMIFS('сентябрь 2023'!$G$4:$G$1053,'сентябрь 2023'!$D$4:$D$1053,$B136,'сентябрь 2023'!$J$4:$J$1053,E$1)</f>
        <v>0</v>
      </c>
      <c r="F136" s="207">
        <f>SUMIFS('сентябрь 2023'!$G$4:$G$1053,'сентябрь 2023'!$D$4:$D$1053,$B136,'сентябрь 2023'!$J$4:$J$1053,F$1)</f>
        <v>0</v>
      </c>
      <c r="G136" s="207">
        <f>SUMIFS('сентябрь 2023'!$G$4:$G$1053,'сентябрь 2023'!$D$4:$D$1053,$B136,'сентябрь 2023'!$J$4:$J$1053,G$1)</f>
        <v>0</v>
      </c>
      <c r="H136" s="207">
        <f>SUMIFS('сентябрь 2023'!$G$4:$G$1053,'сентябрь 2023'!$D$4:$D$1053,$B136,'сентябрь 2023'!$J$4:$J$1053,H$1)</f>
        <v>0</v>
      </c>
      <c r="I136" s="207">
        <f>SUMIFS('сентябрь 2023'!$G$4:$G$1053,'сентябрь 2023'!$D$4:$D$1053,$B136,'сентябрь 2023'!$J$4:$J$1053,I$1)</f>
        <v>0</v>
      </c>
      <c r="J136" s="207">
        <f>SUMIFS('сентябрь 2023'!$G$4:$G$1053,'сентябрь 2023'!$D$4:$D$1053,$B136,'сентябрь 2023'!$J$4:$J$1053,J$1)</f>
        <v>0</v>
      </c>
      <c r="K136" s="207">
        <f>SUMIFS('сентябрь 2023'!$G$4:$G$1053,'сентябрь 2023'!$D$4:$D$1053,$B136,'сентябрь 2023'!$J$4:$J$1053,K$1)</f>
        <v>0</v>
      </c>
      <c r="L136" s="207">
        <f>SUMIFS('сентябрь 2023'!$G$4:$G$1053,'сентябрь 2023'!$D$4:$D$1053,$B136,'сентябрь 2023'!$J$4:$J$1053,L$1)</f>
        <v>0</v>
      </c>
      <c r="M136" s="207">
        <f>SUMIFS('сентябрь 2023'!$G$4:$G$1053,'сентябрь 2023'!$D$4:$D$1053,$B136,'сентябрь 2023'!$J$4:$J$1053,M$1)</f>
        <v>0</v>
      </c>
      <c r="N136" s="207">
        <f>SUMIFS('сентябрь 2023'!$G$4:$G$1053,'сентябрь 2023'!$D$4:$D$1053,$B136,'сентябрь 2023'!$J$4:$J$1053,N$1)</f>
        <v>0</v>
      </c>
      <c r="O136" s="207">
        <f>SUMIFS('сентябрь 2023'!$G$4:$G$1053,'сентябрь 2023'!$D$4:$D$1053,$B136,'сентябрь 2023'!$J$4:$J$1053,O$1)</f>
        <v>0</v>
      </c>
      <c r="P136" s="207">
        <f>SUMIFS('сентябрь 2023'!$G$4:$G$1053,'сентябрь 2023'!$D$4:$D$1053,$B136,'сентябрь 2023'!$J$4:$J$1053,P$1)</f>
        <v>0</v>
      </c>
      <c r="Q136" s="207">
        <f>SUMIFS('сентябрь 2023'!$G$4:$G$1053,'сентябрь 2023'!$D$4:$D$1053,$B136,'сентябрь 2023'!$J$4:$J$1053,Q$1)</f>
        <v>0</v>
      </c>
      <c r="R136" s="207">
        <f>SUMIFS('сентябрь 2023'!$G$4:$G$1053,'сентябрь 2023'!$D$4:$D$1053,$B136,'сентябрь 2023'!$J$4:$J$1053,R$1)</f>
        <v>0</v>
      </c>
      <c r="S136" s="207">
        <f>SUMIFS('сентябрь 2023'!$G$4:$G$1053,'сентябрь 2023'!$D$4:$D$1053,$B136,'сентябрь 2023'!$J$4:$J$1053,S$1)</f>
        <v>0</v>
      </c>
      <c r="T136" s="207">
        <f>SUMIFS('сентябрь 2023'!$G$4:$G$1053,'сентябрь 2023'!$D$4:$D$1053,$B136,'сентябрь 2023'!$J$4:$J$1053,T$1)</f>
        <v>0</v>
      </c>
      <c r="U136" s="207">
        <f>SUMIFS('сентябрь 2023'!$G$4:$G$1053,'сентябрь 2023'!$D$4:$D$1053,$B136,'сентябрь 2023'!$J$4:$J$1053,U$1)</f>
        <v>0</v>
      </c>
      <c r="V136" s="207">
        <f>SUMIFS('сентябрь 2023'!$G$4:$G$1053,'сентябрь 2023'!$D$4:$D$1053,$B136,'сентябрь 2023'!$J$4:$J$1053,V$1)</f>
        <v>0</v>
      </c>
      <c r="W136" s="207">
        <f>SUMIFS('сентябрь 2023'!$G$4:$G$1053,'сентябрь 2023'!$D$4:$D$1053,$B136,'сентябрь 2023'!$J$4:$J$1053,W$1)</f>
        <v>0</v>
      </c>
      <c r="X136" s="207">
        <f>SUMIFS('сентябрь 2023'!$G$4:$G$1053,'сентябрь 2023'!$D$4:$D$1053,$B136,'сентябрь 2023'!$J$4:$J$1053,X$1)</f>
        <v>0</v>
      </c>
      <c r="Y136" s="207">
        <f>SUMIFS('сентябрь 2023'!$G$4:$G$1053,'сентябрь 2023'!$D$4:$D$1053,$B136,'сентябрь 2023'!$J$4:$J$1053,Y$1)</f>
        <v>0</v>
      </c>
      <c r="Z136" s="207">
        <f>SUMIFS('сентябрь 2023'!$G$4:$G$1053,'сентябрь 2023'!$D$4:$D$1053,$B136,'сентябрь 2023'!$J$4:$J$1053,Z$1)</f>
        <v>0</v>
      </c>
      <c r="AA136" s="207">
        <f>SUMIFS('сентябрь 2023'!$G$4:$G$1053,'сентябрь 2023'!$D$4:$D$1053,$B136,'сентябрь 2023'!$J$4:$J$1053,AA$1)</f>
        <v>0</v>
      </c>
      <c r="AB136" s="207">
        <f>SUMIFS('сентябрь 2023'!$G$4:$G$1053,'сентябрь 2023'!$D$4:$D$1053,$B136,'сентябрь 2023'!$J$4:$J$1053,AB$1)</f>
        <v>0</v>
      </c>
      <c r="AC136" s="207">
        <f>SUMIFS('сентябрь 2023'!$G$4:$G$1053,'сентябрь 2023'!$D$4:$D$1053,$B136,'сентябрь 2023'!$J$4:$J$1053,AC$1)</f>
        <v>0</v>
      </c>
      <c r="AD136" s="207">
        <f>SUMIFS('сентябрь 2023'!$G$4:$G$1053,'сентябрь 2023'!$D$4:$D$1053,$B136,'сентябрь 2023'!$J$4:$J$1053,AD$1)</f>
        <v>0</v>
      </c>
      <c r="AE136" s="207">
        <f>SUMIFS('сентябрь 2023'!$G$4:$G$1053,'сентябрь 2023'!$D$4:$D$1053,$B136,'сентябрь 2023'!$J$4:$J$1053,AE$1)</f>
        <v>0</v>
      </c>
      <c r="AF136" s="207">
        <f>SUMIFS('сентябрь 2023'!$G$4:$G$1053,'сентябрь 2023'!$D$4:$D$1053,$B136,'сентябрь 2023'!$J$4:$J$1053,AF$1)</f>
        <v>0</v>
      </c>
      <c r="AG136" s="207">
        <f>SUMIFS('сентябрь 2023'!$G$4:$G$1053,'сентябрь 2023'!$D$4:$D$1053,$B136,'сентябрь 2023'!$J$4:$J$1053,AG$1)</f>
        <v>0</v>
      </c>
      <c r="AH136" s="207">
        <f>SUMIFS('сентябрь 2023'!$G$4:$G$1053,'сентябрь 2023'!$D$4:$D$1053,$B136,'сентябрь 2023'!$J$4:$J$1053,AH$1)</f>
        <v>0</v>
      </c>
      <c r="AI136" s="220"/>
    </row>
    <row r="137" spans="2:35" ht="15" hidden="1" customHeight="1" x14ac:dyDescent="0.25">
      <c r="B137" s="212"/>
      <c r="C137" s="211"/>
      <c r="D137" s="207">
        <f>SUMIFS('сентябрь 2023'!$G$4:$G$1053,'сентябрь 2023'!$D$4:$D$1053,$B137,'сентябрь 2023'!$J$4:$J$1053,D$1)</f>
        <v>0</v>
      </c>
      <c r="E137" s="207">
        <f>SUMIFS('сентябрь 2023'!$G$4:$G$1053,'сентябрь 2023'!$D$4:$D$1053,$B137,'сентябрь 2023'!$J$4:$J$1053,E$1)</f>
        <v>0</v>
      </c>
      <c r="F137" s="207">
        <f>SUMIFS('сентябрь 2023'!$G$4:$G$1053,'сентябрь 2023'!$D$4:$D$1053,$B137,'сентябрь 2023'!$J$4:$J$1053,F$1)</f>
        <v>0</v>
      </c>
      <c r="G137" s="207">
        <f>SUMIFS('сентябрь 2023'!$G$4:$G$1053,'сентябрь 2023'!$D$4:$D$1053,$B137,'сентябрь 2023'!$J$4:$J$1053,G$1)</f>
        <v>0</v>
      </c>
      <c r="H137" s="207">
        <f>SUMIFS('сентябрь 2023'!$G$4:$G$1053,'сентябрь 2023'!$D$4:$D$1053,$B137,'сентябрь 2023'!$J$4:$J$1053,H$1)</f>
        <v>0</v>
      </c>
      <c r="I137" s="207">
        <f>SUMIFS('сентябрь 2023'!$G$4:$G$1053,'сентябрь 2023'!$D$4:$D$1053,$B137,'сентябрь 2023'!$J$4:$J$1053,I$1)</f>
        <v>0</v>
      </c>
      <c r="J137" s="207">
        <f>SUMIFS('сентябрь 2023'!$G$4:$G$1053,'сентябрь 2023'!$D$4:$D$1053,$B137,'сентябрь 2023'!$J$4:$J$1053,J$1)</f>
        <v>0</v>
      </c>
      <c r="K137" s="207">
        <f>SUMIFS('сентябрь 2023'!$G$4:$G$1053,'сентябрь 2023'!$D$4:$D$1053,$B137,'сентябрь 2023'!$J$4:$J$1053,K$1)</f>
        <v>0</v>
      </c>
      <c r="L137" s="207">
        <f>SUMIFS('сентябрь 2023'!$G$4:$G$1053,'сентябрь 2023'!$D$4:$D$1053,$B137,'сентябрь 2023'!$J$4:$J$1053,L$1)</f>
        <v>0</v>
      </c>
      <c r="M137" s="207">
        <f>SUMIFS('сентябрь 2023'!$G$4:$G$1053,'сентябрь 2023'!$D$4:$D$1053,$B137,'сентябрь 2023'!$J$4:$J$1053,M$1)</f>
        <v>0</v>
      </c>
      <c r="N137" s="207">
        <f>SUMIFS('сентябрь 2023'!$G$4:$G$1053,'сентябрь 2023'!$D$4:$D$1053,$B137,'сентябрь 2023'!$J$4:$J$1053,N$1)</f>
        <v>0</v>
      </c>
      <c r="O137" s="207">
        <f>SUMIFS('сентябрь 2023'!$G$4:$G$1053,'сентябрь 2023'!$D$4:$D$1053,$B137,'сентябрь 2023'!$J$4:$J$1053,O$1)</f>
        <v>0</v>
      </c>
      <c r="P137" s="207">
        <f>SUMIFS('сентябрь 2023'!$G$4:$G$1053,'сентябрь 2023'!$D$4:$D$1053,$B137,'сентябрь 2023'!$J$4:$J$1053,P$1)</f>
        <v>0</v>
      </c>
      <c r="Q137" s="207">
        <f>SUMIFS('сентябрь 2023'!$G$4:$G$1053,'сентябрь 2023'!$D$4:$D$1053,$B137,'сентябрь 2023'!$J$4:$J$1053,Q$1)</f>
        <v>0</v>
      </c>
      <c r="R137" s="207">
        <f>SUMIFS('сентябрь 2023'!$G$4:$G$1053,'сентябрь 2023'!$D$4:$D$1053,$B137,'сентябрь 2023'!$J$4:$J$1053,R$1)</f>
        <v>0</v>
      </c>
      <c r="S137" s="207">
        <f>SUMIFS('сентябрь 2023'!$G$4:$G$1053,'сентябрь 2023'!$D$4:$D$1053,$B137,'сентябрь 2023'!$J$4:$J$1053,S$1)</f>
        <v>0</v>
      </c>
      <c r="T137" s="207">
        <f>SUMIFS('сентябрь 2023'!$G$4:$G$1053,'сентябрь 2023'!$D$4:$D$1053,$B137,'сентябрь 2023'!$J$4:$J$1053,T$1)</f>
        <v>0</v>
      </c>
      <c r="U137" s="207">
        <f>SUMIFS('сентябрь 2023'!$G$4:$G$1053,'сентябрь 2023'!$D$4:$D$1053,$B137,'сентябрь 2023'!$J$4:$J$1053,U$1)</f>
        <v>0</v>
      </c>
      <c r="V137" s="207">
        <f>SUMIFS('сентябрь 2023'!$G$4:$G$1053,'сентябрь 2023'!$D$4:$D$1053,$B137,'сентябрь 2023'!$J$4:$J$1053,V$1)</f>
        <v>0</v>
      </c>
      <c r="W137" s="207">
        <f>SUMIFS('сентябрь 2023'!$G$4:$G$1053,'сентябрь 2023'!$D$4:$D$1053,$B137,'сентябрь 2023'!$J$4:$J$1053,W$1)</f>
        <v>0</v>
      </c>
      <c r="X137" s="207">
        <f>SUMIFS('сентябрь 2023'!$G$4:$G$1053,'сентябрь 2023'!$D$4:$D$1053,$B137,'сентябрь 2023'!$J$4:$J$1053,X$1)</f>
        <v>0</v>
      </c>
      <c r="Y137" s="207">
        <f>SUMIFS('сентябрь 2023'!$G$4:$G$1053,'сентябрь 2023'!$D$4:$D$1053,$B137,'сентябрь 2023'!$J$4:$J$1053,Y$1)</f>
        <v>0</v>
      </c>
      <c r="Z137" s="207">
        <f>SUMIFS('сентябрь 2023'!$G$4:$G$1053,'сентябрь 2023'!$D$4:$D$1053,$B137,'сентябрь 2023'!$J$4:$J$1053,Z$1)</f>
        <v>0</v>
      </c>
      <c r="AA137" s="207">
        <f>SUMIFS('сентябрь 2023'!$G$4:$G$1053,'сентябрь 2023'!$D$4:$D$1053,$B137,'сентябрь 2023'!$J$4:$J$1053,AA$1)</f>
        <v>0</v>
      </c>
      <c r="AB137" s="207">
        <f>SUMIFS('сентябрь 2023'!$G$4:$G$1053,'сентябрь 2023'!$D$4:$D$1053,$B137,'сентябрь 2023'!$J$4:$J$1053,AB$1)</f>
        <v>0</v>
      </c>
      <c r="AC137" s="207">
        <f>SUMIFS('сентябрь 2023'!$G$4:$G$1053,'сентябрь 2023'!$D$4:$D$1053,$B137,'сентябрь 2023'!$J$4:$J$1053,AC$1)</f>
        <v>0</v>
      </c>
      <c r="AD137" s="207">
        <f>SUMIFS('сентябрь 2023'!$G$4:$G$1053,'сентябрь 2023'!$D$4:$D$1053,$B137,'сентябрь 2023'!$J$4:$J$1053,AD$1)</f>
        <v>0</v>
      </c>
      <c r="AE137" s="207">
        <f>SUMIFS('сентябрь 2023'!$G$4:$G$1053,'сентябрь 2023'!$D$4:$D$1053,$B137,'сентябрь 2023'!$J$4:$J$1053,AE$1)</f>
        <v>0</v>
      </c>
      <c r="AF137" s="207">
        <f>SUMIFS('сентябрь 2023'!$G$4:$G$1053,'сентябрь 2023'!$D$4:$D$1053,$B137,'сентябрь 2023'!$J$4:$J$1053,AF$1)</f>
        <v>0</v>
      </c>
      <c r="AG137" s="207">
        <f>SUMIFS('сентябрь 2023'!$G$4:$G$1053,'сентябрь 2023'!$D$4:$D$1053,$B137,'сентябрь 2023'!$J$4:$J$1053,AG$1)</f>
        <v>0</v>
      </c>
      <c r="AH137" s="207">
        <f>SUMIFS('сентябрь 2023'!$G$4:$G$1053,'сентябрь 2023'!$D$4:$D$1053,$B137,'сентябрь 2023'!$J$4:$J$1053,AH$1)</f>
        <v>0</v>
      </c>
      <c r="AI137" s="220"/>
    </row>
    <row r="138" spans="2:35" ht="15" hidden="1" customHeight="1" x14ac:dyDescent="0.25">
      <c r="B138" s="212"/>
      <c r="C138" s="211"/>
      <c r="D138" s="207">
        <f>SUMIFS('сентябрь 2023'!$G$4:$G$1053,'сентябрь 2023'!$D$4:$D$1053,$B138,'сентябрь 2023'!$J$4:$J$1053,D$1)</f>
        <v>0</v>
      </c>
      <c r="E138" s="207">
        <f>SUMIFS('сентябрь 2023'!$G$4:$G$1053,'сентябрь 2023'!$D$4:$D$1053,$B138,'сентябрь 2023'!$J$4:$J$1053,E$1)</f>
        <v>0</v>
      </c>
      <c r="F138" s="207">
        <f>SUMIFS('сентябрь 2023'!$G$4:$G$1053,'сентябрь 2023'!$D$4:$D$1053,$B138,'сентябрь 2023'!$J$4:$J$1053,F$1)</f>
        <v>0</v>
      </c>
      <c r="G138" s="207">
        <f>SUMIFS('сентябрь 2023'!$G$4:$G$1053,'сентябрь 2023'!$D$4:$D$1053,$B138,'сентябрь 2023'!$J$4:$J$1053,G$1)</f>
        <v>0</v>
      </c>
      <c r="H138" s="207">
        <f>SUMIFS('сентябрь 2023'!$G$4:$G$1053,'сентябрь 2023'!$D$4:$D$1053,$B138,'сентябрь 2023'!$J$4:$J$1053,H$1)</f>
        <v>0</v>
      </c>
      <c r="I138" s="207">
        <f>SUMIFS('сентябрь 2023'!$G$4:$G$1053,'сентябрь 2023'!$D$4:$D$1053,$B138,'сентябрь 2023'!$J$4:$J$1053,I$1)</f>
        <v>0</v>
      </c>
      <c r="J138" s="207">
        <f>SUMIFS('сентябрь 2023'!$G$4:$G$1053,'сентябрь 2023'!$D$4:$D$1053,$B138,'сентябрь 2023'!$J$4:$J$1053,J$1)</f>
        <v>0</v>
      </c>
      <c r="K138" s="207">
        <f>SUMIFS('сентябрь 2023'!$G$4:$G$1053,'сентябрь 2023'!$D$4:$D$1053,$B138,'сентябрь 2023'!$J$4:$J$1053,K$1)</f>
        <v>0</v>
      </c>
      <c r="L138" s="207">
        <f>SUMIFS('сентябрь 2023'!$G$4:$G$1053,'сентябрь 2023'!$D$4:$D$1053,$B138,'сентябрь 2023'!$J$4:$J$1053,L$1)</f>
        <v>0</v>
      </c>
      <c r="M138" s="207">
        <f>SUMIFS('сентябрь 2023'!$G$4:$G$1053,'сентябрь 2023'!$D$4:$D$1053,$B138,'сентябрь 2023'!$J$4:$J$1053,M$1)</f>
        <v>0</v>
      </c>
      <c r="N138" s="207">
        <f>SUMIFS('сентябрь 2023'!$G$4:$G$1053,'сентябрь 2023'!$D$4:$D$1053,$B138,'сентябрь 2023'!$J$4:$J$1053,N$1)</f>
        <v>0</v>
      </c>
      <c r="O138" s="207">
        <f>SUMIFS('сентябрь 2023'!$G$4:$G$1053,'сентябрь 2023'!$D$4:$D$1053,$B138,'сентябрь 2023'!$J$4:$J$1053,O$1)</f>
        <v>0</v>
      </c>
      <c r="P138" s="207">
        <f>SUMIFS('сентябрь 2023'!$G$4:$G$1053,'сентябрь 2023'!$D$4:$D$1053,$B138,'сентябрь 2023'!$J$4:$J$1053,P$1)</f>
        <v>0</v>
      </c>
      <c r="Q138" s="207">
        <f>SUMIFS('сентябрь 2023'!$G$4:$G$1053,'сентябрь 2023'!$D$4:$D$1053,$B138,'сентябрь 2023'!$J$4:$J$1053,Q$1)</f>
        <v>0</v>
      </c>
      <c r="R138" s="207">
        <f>SUMIFS('сентябрь 2023'!$G$4:$G$1053,'сентябрь 2023'!$D$4:$D$1053,$B138,'сентябрь 2023'!$J$4:$J$1053,R$1)</f>
        <v>0</v>
      </c>
      <c r="S138" s="207">
        <f>SUMIFS('сентябрь 2023'!$G$4:$G$1053,'сентябрь 2023'!$D$4:$D$1053,$B138,'сентябрь 2023'!$J$4:$J$1053,S$1)</f>
        <v>0</v>
      </c>
      <c r="T138" s="207">
        <f>SUMIFS('сентябрь 2023'!$G$4:$G$1053,'сентябрь 2023'!$D$4:$D$1053,$B138,'сентябрь 2023'!$J$4:$J$1053,T$1)</f>
        <v>0</v>
      </c>
      <c r="U138" s="207">
        <f>SUMIFS('сентябрь 2023'!$G$4:$G$1053,'сентябрь 2023'!$D$4:$D$1053,$B138,'сентябрь 2023'!$J$4:$J$1053,U$1)</f>
        <v>0</v>
      </c>
      <c r="V138" s="207">
        <f>SUMIFS('сентябрь 2023'!$G$4:$G$1053,'сентябрь 2023'!$D$4:$D$1053,$B138,'сентябрь 2023'!$J$4:$J$1053,V$1)</f>
        <v>0</v>
      </c>
      <c r="W138" s="207">
        <f>SUMIFS('сентябрь 2023'!$G$4:$G$1053,'сентябрь 2023'!$D$4:$D$1053,$B138,'сентябрь 2023'!$J$4:$J$1053,W$1)</f>
        <v>0</v>
      </c>
      <c r="X138" s="207">
        <f>SUMIFS('сентябрь 2023'!$G$4:$G$1053,'сентябрь 2023'!$D$4:$D$1053,$B138,'сентябрь 2023'!$J$4:$J$1053,X$1)</f>
        <v>0</v>
      </c>
      <c r="Y138" s="207">
        <f>SUMIFS('сентябрь 2023'!$G$4:$G$1053,'сентябрь 2023'!$D$4:$D$1053,$B138,'сентябрь 2023'!$J$4:$J$1053,Y$1)</f>
        <v>0</v>
      </c>
      <c r="Z138" s="207">
        <f>SUMIFS('сентябрь 2023'!$G$4:$G$1053,'сентябрь 2023'!$D$4:$D$1053,$B138,'сентябрь 2023'!$J$4:$J$1053,Z$1)</f>
        <v>0</v>
      </c>
      <c r="AA138" s="207">
        <f>SUMIFS('сентябрь 2023'!$G$4:$G$1053,'сентябрь 2023'!$D$4:$D$1053,$B138,'сентябрь 2023'!$J$4:$J$1053,AA$1)</f>
        <v>0</v>
      </c>
      <c r="AB138" s="207">
        <f>SUMIFS('сентябрь 2023'!$G$4:$G$1053,'сентябрь 2023'!$D$4:$D$1053,$B138,'сентябрь 2023'!$J$4:$J$1053,AB$1)</f>
        <v>0</v>
      </c>
      <c r="AC138" s="207">
        <f>SUMIFS('сентябрь 2023'!$G$4:$G$1053,'сентябрь 2023'!$D$4:$D$1053,$B138,'сентябрь 2023'!$J$4:$J$1053,AC$1)</f>
        <v>0</v>
      </c>
      <c r="AD138" s="207">
        <f>SUMIFS('сентябрь 2023'!$G$4:$G$1053,'сентябрь 2023'!$D$4:$D$1053,$B138,'сентябрь 2023'!$J$4:$J$1053,AD$1)</f>
        <v>0</v>
      </c>
      <c r="AE138" s="207">
        <f>SUMIFS('сентябрь 2023'!$G$4:$G$1053,'сентябрь 2023'!$D$4:$D$1053,$B138,'сентябрь 2023'!$J$4:$J$1053,AE$1)</f>
        <v>0</v>
      </c>
      <c r="AF138" s="207">
        <f>SUMIFS('сентябрь 2023'!$G$4:$G$1053,'сентябрь 2023'!$D$4:$D$1053,$B138,'сентябрь 2023'!$J$4:$J$1053,AF$1)</f>
        <v>0</v>
      </c>
      <c r="AG138" s="207">
        <f>SUMIFS('сентябрь 2023'!$G$4:$G$1053,'сентябрь 2023'!$D$4:$D$1053,$B138,'сентябрь 2023'!$J$4:$J$1053,AG$1)</f>
        <v>0</v>
      </c>
      <c r="AH138" s="207">
        <f>SUMIFS('сентябрь 2023'!$G$4:$G$1053,'сентябрь 2023'!$D$4:$D$1053,$B138,'сентябрь 2023'!$J$4:$J$1053,AH$1)</f>
        <v>0</v>
      </c>
      <c r="AI138" s="220"/>
    </row>
    <row r="139" spans="2:35" ht="15" hidden="1" customHeight="1" x14ac:dyDescent="0.25">
      <c r="B139" s="216"/>
      <c r="C139" s="213"/>
      <c r="D139" s="207">
        <f>SUMIFS('сентябрь 2023'!$G$4:$G$1053,'сентябрь 2023'!$D$4:$D$1053,$B139,'сентябрь 2023'!$J$4:$J$1053,D$1)</f>
        <v>0</v>
      </c>
      <c r="E139" s="207">
        <f>SUMIFS('сентябрь 2023'!$G$4:$G$1053,'сентябрь 2023'!$D$4:$D$1053,$B139,'сентябрь 2023'!$J$4:$J$1053,E$1)</f>
        <v>0</v>
      </c>
      <c r="F139" s="207">
        <f>SUMIFS('сентябрь 2023'!$G$4:$G$1053,'сентябрь 2023'!$D$4:$D$1053,$B139,'сентябрь 2023'!$J$4:$J$1053,F$1)</f>
        <v>0</v>
      </c>
      <c r="G139" s="207">
        <f>SUMIFS('сентябрь 2023'!$G$4:$G$1053,'сентябрь 2023'!$D$4:$D$1053,$B139,'сентябрь 2023'!$J$4:$J$1053,G$1)</f>
        <v>0</v>
      </c>
      <c r="H139" s="207">
        <f>SUMIFS('сентябрь 2023'!$G$4:$G$1053,'сентябрь 2023'!$D$4:$D$1053,$B139,'сентябрь 2023'!$J$4:$J$1053,H$1)</f>
        <v>0</v>
      </c>
      <c r="I139" s="207">
        <f>SUMIFS('сентябрь 2023'!$G$4:$G$1053,'сентябрь 2023'!$D$4:$D$1053,$B139,'сентябрь 2023'!$J$4:$J$1053,I$1)</f>
        <v>0</v>
      </c>
      <c r="J139" s="207">
        <f>SUMIFS('сентябрь 2023'!$G$4:$G$1053,'сентябрь 2023'!$D$4:$D$1053,$B139,'сентябрь 2023'!$J$4:$J$1053,J$1)</f>
        <v>0</v>
      </c>
      <c r="K139" s="207">
        <f>SUMIFS('сентябрь 2023'!$G$4:$G$1053,'сентябрь 2023'!$D$4:$D$1053,$B139,'сентябрь 2023'!$J$4:$J$1053,K$1)</f>
        <v>0</v>
      </c>
      <c r="L139" s="207">
        <f>SUMIFS('сентябрь 2023'!$G$4:$G$1053,'сентябрь 2023'!$D$4:$D$1053,$B139,'сентябрь 2023'!$J$4:$J$1053,L$1)</f>
        <v>0</v>
      </c>
      <c r="M139" s="207">
        <f>SUMIFS('сентябрь 2023'!$G$4:$G$1053,'сентябрь 2023'!$D$4:$D$1053,$B139,'сентябрь 2023'!$J$4:$J$1053,M$1)</f>
        <v>0</v>
      </c>
      <c r="N139" s="207">
        <f>SUMIFS('сентябрь 2023'!$G$4:$G$1053,'сентябрь 2023'!$D$4:$D$1053,$B139,'сентябрь 2023'!$J$4:$J$1053,N$1)</f>
        <v>0</v>
      </c>
      <c r="O139" s="207">
        <f>SUMIFS('сентябрь 2023'!$G$4:$G$1053,'сентябрь 2023'!$D$4:$D$1053,$B139,'сентябрь 2023'!$J$4:$J$1053,O$1)</f>
        <v>0</v>
      </c>
      <c r="P139" s="207">
        <f>SUMIFS('сентябрь 2023'!$G$4:$G$1053,'сентябрь 2023'!$D$4:$D$1053,$B139,'сентябрь 2023'!$J$4:$J$1053,P$1)</f>
        <v>0</v>
      </c>
      <c r="Q139" s="207">
        <f>SUMIFS('сентябрь 2023'!$G$4:$G$1053,'сентябрь 2023'!$D$4:$D$1053,$B139,'сентябрь 2023'!$J$4:$J$1053,Q$1)</f>
        <v>0</v>
      </c>
      <c r="R139" s="207">
        <f>SUMIFS('сентябрь 2023'!$G$4:$G$1053,'сентябрь 2023'!$D$4:$D$1053,$B139,'сентябрь 2023'!$J$4:$J$1053,R$1)</f>
        <v>0</v>
      </c>
      <c r="S139" s="207">
        <f>SUMIFS('сентябрь 2023'!$G$4:$G$1053,'сентябрь 2023'!$D$4:$D$1053,$B139,'сентябрь 2023'!$J$4:$J$1053,S$1)</f>
        <v>0</v>
      </c>
      <c r="T139" s="207">
        <f>SUMIFS('сентябрь 2023'!$G$4:$G$1053,'сентябрь 2023'!$D$4:$D$1053,$B139,'сентябрь 2023'!$J$4:$J$1053,T$1)</f>
        <v>0</v>
      </c>
      <c r="U139" s="207">
        <f>SUMIFS('сентябрь 2023'!$G$4:$G$1053,'сентябрь 2023'!$D$4:$D$1053,$B139,'сентябрь 2023'!$J$4:$J$1053,U$1)</f>
        <v>0</v>
      </c>
      <c r="V139" s="207">
        <f>SUMIFS('сентябрь 2023'!$G$4:$G$1053,'сентябрь 2023'!$D$4:$D$1053,$B139,'сентябрь 2023'!$J$4:$J$1053,V$1)</f>
        <v>0</v>
      </c>
      <c r="W139" s="207">
        <f>SUMIFS('сентябрь 2023'!$G$4:$G$1053,'сентябрь 2023'!$D$4:$D$1053,$B139,'сентябрь 2023'!$J$4:$J$1053,W$1)</f>
        <v>0</v>
      </c>
      <c r="X139" s="207">
        <f>SUMIFS('сентябрь 2023'!$G$4:$G$1053,'сентябрь 2023'!$D$4:$D$1053,$B139,'сентябрь 2023'!$J$4:$J$1053,X$1)</f>
        <v>0</v>
      </c>
      <c r="Y139" s="207">
        <f>SUMIFS('сентябрь 2023'!$G$4:$G$1053,'сентябрь 2023'!$D$4:$D$1053,$B139,'сентябрь 2023'!$J$4:$J$1053,Y$1)</f>
        <v>0</v>
      </c>
      <c r="Z139" s="207">
        <f>SUMIFS('сентябрь 2023'!$G$4:$G$1053,'сентябрь 2023'!$D$4:$D$1053,$B139,'сентябрь 2023'!$J$4:$J$1053,Z$1)</f>
        <v>0</v>
      </c>
      <c r="AA139" s="207">
        <f>SUMIFS('сентябрь 2023'!$G$4:$G$1053,'сентябрь 2023'!$D$4:$D$1053,$B139,'сентябрь 2023'!$J$4:$J$1053,AA$1)</f>
        <v>0</v>
      </c>
      <c r="AB139" s="207">
        <f>SUMIFS('сентябрь 2023'!$G$4:$G$1053,'сентябрь 2023'!$D$4:$D$1053,$B139,'сентябрь 2023'!$J$4:$J$1053,AB$1)</f>
        <v>0</v>
      </c>
      <c r="AC139" s="207">
        <f>SUMIFS('сентябрь 2023'!$G$4:$G$1053,'сентябрь 2023'!$D$4:$D$1053,$B139,'сентябрь 2023'!$J$4:$J$1053,AC$1)</f>
        <v>0</v>
      </c>
      <c r="AD139" s="207">
        <f>SUMIFS('сентябрь 2023'!$G$4:$G$1053,'сентябрь 2023'!$D$4:$D$1053,$B139,'сентябрь 2023'!$J$4:$J$1053,AD$1)</f>
        <v>0</v>
      </c>
      <c r="AE139" s="207">
        <f>SUMIFS('сентябрь 2023'!$G$4:$G$1053,'сентябрь 2023'!$D$4:$D$1053,$B139,'сентябрь 2023'!$J$4:$J$1053,AE$1)</f>
        <v>0</v>
      </c>
      <c r="AF139" s="207">
        <f>SUMIFS('сентябрь 2023'!$G$4:$G$1053,'сентябрь 2023'!$D$4:$D$1053,$B139,'сентябрь 2023'!$J$4:$J$1053,AF$1)</f>
        <v>0</v>
      </c>
      <c r="AG139" s="207">
        <f>SUMIFS('сентябрь 2023'!$G$4:$G$1053,'сентябрь 2023'!$D$4:$D$1053,$B139,'сентябрь 2023'!$J$4:$J$1053,AG$1)</f>
        <v>0</v>
      </c>
      <c r="AH139" s="207">
        <f>SUMIFS('сентябрь 2023'!$G$4:$G$1053,'сентябрь 2023'!$D$4:$D$1053,$B139,'сентябрь 2023'!$J$4:$J$1053,AH$1)</f>
        <v>0</v>
      </c>
      <c r="AI139" s="220">
        <f t="shared" si="3"/>
        <v>0</v>
      </c>
    </row>
    <row r="140" spans="2:35" ht="15" hidden="1" customHeight="1" x14ac:dyDescent="0.25">
      <c r="B140" s="216"/>
      <c r="C140" s="213"/>
      <c r="D140" s="207">
        <f>SUMIFS('сентябрь 2023'!$G$4:$G$1053,'сентябрь 2023'!$D$4:$D$1053,$B140,'сентябрь 2023'!$J$4:$J$1053,D$1)</f>
        <v>0</v>
      </c>
      <c r="E140" s="207">
        <f>SUMIFS('сентябрь 2023'!$G$4:$G$1053,'сентябрь 2023'!$D$4:$D$1053,$B140,'сентябрь 2023'!$J$4:$J$1053,E$1)</f>
        <v>0</v>
      </c>
      <c r="F140" s="207">
        <f>SUMIFS('сентябрь 2023'!$G$4:$G$1053,'сентябрь 2023'!$D$4:$D$1053,$B140,'сентябрь 2023'!$J$4:$J$1053,F$1)</f>
        <v>0</v>
      </c>
      <c r="G140" s="207">
        <f>SUMIFS('сентябрь 2023'!$G$4:$G$1053,'сентябрь 2023'!$D$4:$D$1053,$B140,'сентябрь 2023'!$J$4:$J$1053,G$1)</f>
        <v>0</v>
      </c>
      <c r="H140" s="207">
        <f>SUMIFS('сентябрь 2023'!$G$4:$G$1053,'сентябрь 2023'!$D$4:$D$1053,$B140,'сентябрь 2023'!$J$4:$J$1053,H$1)</f>
        <v>0</v>
      </c>
      <c r="I140" s="207">
        <f>SUMIFS('сентябрь 2023'!$G$4:$G$1053,'сентябрь 2023'!$D$4:$D$1053,$B140,'сентябрь 2023'!$J$4:$J$1053,I$1)</f>
        <v>0</v>
      </c>
      <c r="J140" s="207">
        <f>SUMIFS('сентябрь 2023'!$G$4:$G$1053,'сентябрь 2023'!$D$4:$D$1053,$B140,'сентябрь 2023'!$J$4:$J$1053,J$1)</f>
        <v>0</v>
      </c>
      <c r="K140" s="207">
        <f>SUMIFS('сентябрь 2023'!$G$4:$G$1053,'сентябрь 2023'!$D$4:$D$1053,$B140,'сентябрь 2023'!$J$4:$J$1053,K$1)</f>
        <v>0</v>
      </c>
      <c r="L140" s="207">
        <f>SUMIFS('сентябрь 2023'!$G$4:$G$1053,'сентябрь 2023'!$D$4:$D$1053,$B140,'сентябрь 2023'!$J$4:$J$1053,L$1)</f>
        <v>0</v>
      </c>
      <c r="M140" s="207">
        <f>SUMIFS('сентябрь 2023'!$G$4:$G$1053,'сентябрь 2023'!$D$4:$D$1053,$B140,'сентябрь 2023'!$J$4:$J$1053,M$1)</f>
        <v>0</v>
      </c>
      <c r="N140" s="207">
        <f>SUMIFS('сентябрь 2023'!$G$4:$G$1053,'сентябрь 2023'!$D$4:$D$1053,$B140,'сентябрь 2023'!$J$4:$J$1053,N$1)</f>
        <v>0</v>
      </c>
      <c r="O140" s="207">
        <f>SUMIFS('сентябрь 2023'!$G$4:$G$1053,'сентябрь 2023'!$D$4:$D$1053,$B140,'сентябрь 2023'!$J$4:$J$1053,O$1)</f>
        <v>0</v>
      </c>
      <c r="P140" s="207">
        <f>SUMIFS('сентябрь 2023'!$G$4:$G$1053,'сентябрь 2023'!$D$4:$D$1053,$B140,'сентябрь 2023'!$J$4:$J$1053,P$1)</f>
        <v>0</v>
      </c>
      <c r="Q140" s="207">
        <f>SUMIFS('сентябрь 2023'!$G$4:$G$1053,'сентябрь 2023'!$D$4:$D$1053,$B140,'сентябрь 2023'!$J$4:$J$1053,Q$1)</f>
        <v>0</v>
      </c>
      <c r="R140" s="207">
        <f>SUMIFS('сентябрь 2023'!$G$4:$G$1053,'сентябрь 2023'!$D$4:$D$1053,$B140,'сентябрь 2023'!$J$4:$J$1053,R$1)</f>
        <v>0</v>
      </c>
      <c r="S140" s="207">
        <f>SUMIFS('сентябрь 2023'!$G$4:$G$1053,'сентябрь 2023'!$D$4:$D$1053,$B140,'сентябрь 2023'!$J$4:$J$1053,S$1)</f>
        <v>0</v>
      </c>
      <c r="T140" s="207">
        <f>SUMIFS('сентябрь 2023'!$G$4:$G$1053,'сентябрь 2023'!$D$4:$D$1053,$B140,'сентябрь 2023'!$J$4:$J$1053,T$1)</f>
        <v>0</v>
      </c>
      <c r="U140" s="207">
        <f>SUMIFS('сентябрь 2023'!$G$4:$G$1053,'сентябрь 2023'!$D$4:$D$1053,$B140,'сентябрь 2023'!$J$4:$J$1053,U$1)</f>
        <v>0</v>
      </c>
      <c r="V140" s="207">
        <f>SUMIFS('сентябрь 2023'!$G$4:$G$1053,'сентябрь 2023'!$D$4:$D$1053,$B140,'сентябрь 2023'!$J$4:$J$1053,V$1)</f>
        <v>0</v>
      </c>
      <c r="W140" s="207">
        <f>SUMIFS('сентябрь 2023'!$G$4:$G$1053,'сентябрь 2023'!$D$4:$D$1053,$B140,'сентябрь 2023'!$J$4:$J$1053,W$1)</f>
        <v>0</v>
      </c>
      <c r="X140" s="207">
        <f>SUMIFS('сентябрь 2023'!$G$4:$G$1053,'сентябрь 2023'!$D$4:$D$1053,$B140,'сентябрь 2023'!$J$4:$J$1053,X$1)</f>
        <v>0</v>
      </c>
      <c r="Y140" s="207">
        <f>SUMIFS('сентябрь 2023'!$G$4:$G$1053,'сентябрь 2023'!$D$4:$D$1053,$B140,'сентябрь 2023'!$J$4:$J$1053,Y$1)</f>
        <v>0</v>
      </c>
      <c r="Z140" s="207">
        <f>SUMIFS('сентябрь 2023'!$G$4:$G$1053,'сентябрь 2023'!$D$4:$D$1053,$B140,'сентябрь 2023'!$J$4:$J$1053,Z$1)</f>
        <v>0</v>
      </c>
      <c r="AA140" s="207">
        <f>SUMIFS('сентябрь 2023'!$G$4:$G$1053,'сентябрь 2023'!$D$4:$D$1053,$B140,'сентябрь 2023'!$J$4:$J$1053,AA$1)</f>
        <v>0</v>
      </c>
      <c r="AB140" s="207">
        <f>SUMIFS('сентябрь 2023'!$G$4:$G$1053,'сентябрь 2023'!$D$4:$D$1053,$B140,'сентябрь 2023'!$J$4:$J$1053,AB$1)</f>
        <v>0</v>
      </c>
      <c r="AC140" s="207">
        <f>SUMIFS('сентябрь 2023'!$G$4:$G$1053,'сентябрь 2023'!$D$4:$D$1053,$B140,'сентябрь 2023'!$J$4:$J$1053,AC$1)</f>
        <v>0</v>
      </c>
      <c r="AD140" s="207">
        <f>SUMIFS('сентябрь 2023'!$G$4:$G$1053,'сентябрь 2023'!$D$4:$D$1053,$B140,'сентябрь 2023'!$J$4:$J$1053,AD$1)</f>
        <v>0</v>
      </c>
      <c r="AE140" s="207">
        <f>SUMIFS('сентябрь 2023'!$G$4:$G$1053,'сентябрь 2023'!$D$4:$D$1053,$B140,'сентябрь 2023'!$J$4:$J$1053,AE$1)</f>
        <v>0</v>
      </c>
      <c r="AF140" s="207">
        <f>SUMIFS('сентябрь 2023'!$G$4:$G$1053,'сентябрь 2023'!$D$4:$D$1053,$B140,'сентябрь 2023'!$J$4:$J$1053,AF$1)</f>
        <v>0</v>
      </c>
      <c r="AG140" s="207">
        <f>SUMIFS('сентябрь 2023'!$G$4:$G$1053,'сентябрь 2023'!$D$4:$D$1053,$B140,'сентябрь 2023'!$J$4:$J$1053,AG$1)</f>
        <v>0</v>
      </c>
      <c r="AH140" s="207">
        <f>SUMIFS('сентябрь 2023'!$G$4:$G$1053,'сентябрь 2023'!$D$4:$D$1053,$B140,'сентябрь 2023'!$J$4:$J$1053,AH$1)</f>
        <v>0</v>
      </c>
      <c r="AI140" s="220">
        <f t="shared" si="3"/>
        <v>0</v>
      </c>
    </row>
    <row r="141" spans="2:35" ht="15" hidden="1" customHeight="1" x14ac:dyDescent="0.25">
      <c r="B141" s="216"/>
      <c r="C141" s="213"/>
      <c r="D141" s="207">
        <f>SUMIFS('сентябрь 2023'!$G$4:$G$1053,'сентябрь 2023'!$D$4:$D$1053,$B141,'сентябрь 2023'!$J$4:$J$1053,D$1)</f>
        <v>0</v>
      </c>
      <c r="E141" s="207">
        <f>SUMIFS('сентябрь 2023'!$G$4:$G$1053,'сентябрь 2023'!$D$4:$D$1053,$B141,'сентябрь 2023'!$J$4:$J$1053,E$1)</f>
        <v>0</v>
      </c>
      <c r="F141" s="207">
        <f>SUMIFS('сентябрь 2023'!$G$4:$G$1053,'сентябрь 2023'!$D$4:$D$1053,$B141,'сентябрь 2023'!$J$4:$J$1053,F$1)</f>
        <v>0</v>
      </c>
      <c r="G141" s="207">
        <f>SUMIFS('сентябрь 2023'!$G$4:$G$1053,'сентябрь 2023'!$D$4:$D$1053,$B141,'сентябрь 2023'!$J$4:$J$1053,G$1)</f>
        <v>0</v>
      </c>
      <c r="H141" s="207">
        <f>SUMIFS('сентябрь 2023'!$G$4:$G$1053,'сентябрь 2023'!$D$4:$D$1053,$B141,'сентябрь 2023'!$J$4:$J$1053,H$1)</f>
        <v>0</v>
      </c>
      <c r="I141" s="207">
        <f>SUMIFS('сентябрь 2023'!$G$4:$G$1053,'сентябрь 2023'!$D$4:$D$1053,$B141,'сентябрь 2023'!$J$4:$J$1053,I$1)</f>
        <v>0</v>
      </c>
      <c r="J141" s="207">
        <f>SUMIFS('сентябрь 2023'!$G$4:$G$1053,'сентябрь 2023'!$D$4:$D$1053,$B141,'сентябрь 2023'!$J$4:$J$1053,J$1)</f>
        <v>0</v>
      </c>
      <c r="K141" s="207">
        <f>SUMIFS('сентябрь 2023'!$G$4:$G$1053,'сентябрь 2023'!$D$4:$D$1053,$B141,'сентябрь 2023'!$J$4:$J$1053,K$1)</f>
        <v>0</v>
      </c>
      <c r="L141" s="207">
        <f>SUMIFS('сентябрь 2023'!$G$4:$G$1053,'сентябрь 2023'!$D$4:$D$1053,$B141,'сентябрь 2023'!$J$4:$J$1053,L$1)</f>
        <v>0</v>
      </c>
      <c r="M141" s="207">
        <f>SUMIFS('сентябрь 2023'!$G$4:$G$1053,'сентябрь 2023'!$D$4:$D$1053,$B141,'сентябрь 2023'!$J$4:$J$1053,M$1)</f>
        <v>0</v>
      </c>
      <c r="N141" s="207">
        <f>SUMIFS('сентябрь 2023'!$G$4:$G$1053,'сентябрь 2023'!$D$4:$D$1053,$B141,'сентябрь 2023'!$J$4:$J$1053,N$1)</f>
        <v>0</v>
      </c>
      <c r="O141" s="207">
        <f>SUMIFS('сентябрь 2023'!$G$4:$G$1053,'сентябрь 2023'!$D$4:$D$1053,$B141,'сентябрь 2023'!$J$4:$J$1053,O$1)</f>
        <v>0</v>
      </c>
      <c r="P141" s="207">
        <f>SUMIFS('сентябрь 2023'!$G$4:$G$1053,'сентябрь 2023'!$D$4:$D$1053,$B141,'сентябрь 2023'!$J$4:$J$1053,P$1)</f>
        <v>0</v>
      </c>
      <c r="Q141" s="207">
        <f>SUMIFS('сентябрь 2023'!$G$4:$G$1053,'сентябрь 2023'!$D$4:$D$1053,$B141,'сентябрь 2023'!$J$4:$J$1053,Q$1)</f>
        <v>0</v>
      </c>
      <c r="R141" s="207">
        <f>SUMIFS('сентябрь 2023'!$G$4:$G$1053,'сентябрь 2023'!$D$4:$D$1053,$B141,'сентябрь 2023'!$J$4:$J$1053,R$1)</f>
        <v>0</v>
      </c>
      <c r="S141" s="207">
        <f>SUMIFS('сентябрь 2023'!$G$4:$G$1053,'сентябрь 2023'!$D$4:$D$1053,$B141,'сентябрь 2023'!$J$4:$J$1053,S$1)</f>
        <v>0</v>
      </c>
      <c r="T141" s="207">
        <f>SUMIFS('сентябрь 2023'!$G$4:$G$1053,'сентябрь 2023'!$D$4:$D$1053,$B141,'сентябрь 2023'!$J$4:$J$1053,T$1)</f>
        <v>0</v>
      </c>
      <c r="U141" s="207">
        <f>SUMIFS('сентябрь 2023'!$G$4:$G$1053,'сентябрь 2023'!$D$4:$D$1053,$B141,'сентябрь 2023'!$J$4:$J$1053,U$1)</f>
        <v>0</v>
      </c>
      <c r="V141" s="207">
        <f>SUMIFS('сентябрь 2023'!$G$4:$G$1053,'сентябрь 2023'!$D$4:$D$1053,$B141,'сентябрь 2023'!$J$4:$J$1053,V$1)</f>
        <v>0</v>
      </c>
      <c r="W141" s="207">
        <f>SUMIFS('сентябрь 2023'!$G$4:$G$1053,'сентябрь 2023'!$D$4:$D$1053,$B141,'сентябрь 2023'!$J$4:$J$1053,W$1)</f>
        <v>0</v>
      </c>
      <c r="X141" s="207">
        <f>SUMIFS('сентябрь 2023'!$G$4:$G$1053,'сентябрь 2023'!$D$4:$D$1053,$B141,'сентябрь 2023'!$J$4:$J$1053,X$1)</f>
        <v>0</v>
      </c>
      <c r="Y141" s="207">
        <f>SUMIFS('сентябрь 2023'!$G$4:$G$1053,'сентябрь 2023'!$D$4:$D$1053,$B141,'сентябрь 2023'!$J$4:$J$1053,Y$1)</f>
        <v>0</v>
      </c>
      <c r="Z141" s="207">
        <f>SUMIFS('сентябрь 2023'!$G$4:$G$1053,'сентябрь 2023'!$D$4:$D$1053,$B141,'сентябрь 2023'!$J$4:$J$1053,Z$1)</f>
        <v>0</v>
      </c>
      <c r="AA141" s="207">
        <f>SUMIFS('сентябрь 2023'!$G$4:$G$1053,'сентябрь 2023'!$D$4:$D$1053,$B141,'сентябрь 2023'!$J$4:$J$1053,AA$1)</f>
        <v>0</v>
      </c>
      <c r="AB141" s="207">
        <f>SUMIFS('сентябрь 2023'!$G$4:$G$1053,'сентябрь 2023'!$D$4:$D$1053,$B141,'сентябрь 2023'!$J$4:$J$1053,AB$1)</f>
        <v>0</v>
      </c>
      <c r="AC141" s="207">
        <f>SUMIFS('сентябрь 2023'!$G$4:$G$1053,'сентябрь 2023'!$D$4:$D$1053,$B141,'сентябрь 2023'!$J$4:$J$1053,AC$1)</f>
        <v>0</v>
      </c>
      <c r="AD141" s="207">
        <f>SUMIFS('сентябрь 2023'!$G$4:$G$1053,'сентябрь 2023'!$D$4:$D$1053,$B141,'сентябрь 2023'!$J$4:$J$1053,AD$1)</f>
        <v>0</v>
      </c>
      <c r="AE141" s="207">
        <f>SUMIFS('сентябрь 2023'!$G$4:$G$1053,'сентябрь 2023'!$D$4:$D$1053,$B141,'сентябрь 2023'!$J$4:$J$1053,AE$1)</f>
        <v>0</v>
      </c>
      <c r="AF141" s="207">
        <f>SUMIFS('сентябрь 2023'!$G$4:$G$1053,'сентябрь 2023'!$D$4:$D$1053,$B141,'сентябрь 2023'!$J$4:$J$1053,AF$1)</f>
        <v>0</v>
      </c>
      <c r="AG141" s="207">
        <f>SUMIFS('сентябрь 2023'!$G$4:$G$1053,'сентябрь 2023'!$D$4:$D$1053,$B141,'сентябрь 2023'!$J$4:$J$1053,AG$1)</f>
        <v>0</v>
      </c>
      <c r="AH141" s="207">
        <f>SUMIFS('сентябрь 2023'!$G$4:$G$1053,'сентябрь 2023'!$D$4:$D$1053,$B141,'сентябрь 2023'!$J$4:$J$1053,AH$1)</f>
        <v>0</v>
      </c>
      <c r="AI141" s="220">
        <f t="shared" si="3"/>
        <v>0</v>
      </c>
    </row>
    <row r="142" spans="2:35" ht="15" hidden="1" customHeight="1" x14ac:dyDescent="0.25">
      <c r="B142" s="212"/>
      <c r="C142" s="211"/>
      <c r="D142" s="207">
        <f>SUMIFS('сентябрь 2023'!$G$4:$G$1053,'сентябрь 2023'!$D$4:$D$1053,$B142,'сентябрь 2023'!$J$4:$J$1053,D$1)</f>
        <v>0</v>
      </c>
      <c r="E142" s="207">
        <f>SUMIFS('сентябрь 2023'!$G$4:$G$1053,'сентябрь 2023'!$D$4:$D$1053,$B142,'сентябрь 2023'!$J$4:$J$1053,E$1)</f>
        <v>0</v>
      </c>
      <c r="F142" s="207">
        <f>SUMIFS('сентябрь 2023'!$G$4:$G$1053,'сентябрь 2023'!$D$4:$D$1053,$B142,'сентябрь 2023'!$J$4:$J$1053,F$1)</f>
        <v>0</v>
      </c>
      <c r="G142" s="207">
        <f>SUMIFS('сентябрь 2023'!$G$4:$G$1053,'сентябрь 2023'!$D$4:$D$1053,$B142,'сентябрь 2023'!$J$4:$J$1053,G$1)</f>
        <v>0</v>
      </c>
      <c r="H142" s="207">
        <f>SUMIFS('сентябрь 2023'!$G$4:$G$1053,'сентябрь 2023'!$D$4:$D$1053,$B142,'сентябрь 2023'!$J$4:$J$1053,H$1)</f>
        <v>0</v>
      </c>
      <c r="I142" s="207">
        <f>SUMIFS('сентябрь 2023'!$G$4:$G$1053,'сентябрь 2023'!$D$4:$D$1053,$B142,'сентябрь 2023'!$J$4:$J$1053,I$1)</f>
        <v>0</v>
      </c>
      <c r="J142" s="207">
        <f>SUMIFS('сентябрь 2023'!$G$4:$G$1053,'сентябрь 2023'!$D$4:$D$1053,$B142,'сентябрь 2023'!$J$4:$J$1053,J$1)</f>
        <v>0</v>
      </c>
      <c r="K142" s="207">
        <f>SUMIFS('сентябрь 2023'!$G$4:$G$1053,'сентябрь 2023'!$D$4:$D$1053,$B142,'сентябрь 2023'!$J$4:$J$1053,K$1)</f>
        <v>0</v>
      </c>
      <c r="L142" s="207">
        <f>SUMIFS('сентябрь 2023'!$G$4:$G$1053,'сентябрь 2023'!$D$4:$D$1053,$B142,'сентябрь 2023'!$J$4:$J$1053,L$1)</f>
        <v>0</v>
      </c>
      <c r="M142" s="207">
        <f>SUMIFS('сентябрь 2023'!$G$4:$G$1053,'сентябрь 2023'!$D$4:$D$1053,$B142,'сентябрь 2023'!$J$4:$J$1053,M$1)</f>
        <v>0</v>
      </c>
      <c r="N142" s="207">
        <f>SUMIFS('сентябрь 2023'!$G$4:$G$1053,'сентябрь 2023'!$D$4:$D$1053,$B142,'сентябрь 2023'!$J$4:$J$1053,N$1)</f>
        <v>0</v>
      </c>
      <c r="O142" s="207">
        <f>SUMIFS('сентябрь 2023'!$G$4:$G$1053,'сентябрь 2023'!$D$4:$D$1053,$B142,'сентябрь 2023'!$J$4:$J$1053,O$1)</f>
        <v>0</v>
      </c>
      <c r="P142" s="207">
        <f>SUMIFS('сентябрь 2023'!$G$4:$G$1053,'сентябрь 2023'!$D$4:$D$1053,$B142,'сентябрь 2023'!$J$4:$J$1053,P$1)</f>
        <v>0</v>
      </c>
      <c r="Q142" s="207">
        <f>SUMIFS('сентябрь 2023'!$G$4:$G$1053,'сентябрь 2023'!$D$4:$D$1053,$B142,'сентябрь 2023'!$J$4:$J$1053,Q$1)</f>
        <v>0</v>
      </c>
      <c r="R142" s="207">
        <f>SUMIFS('сентябрь 2023'!$G$4:$G$1053,'сентябрь 2023'!$D$4:$D$1053,$B142,'сентябрь 2023'!$J$4:$J$1053,R$1)</f>
        <v>0</v>
      </c>
      <c r="S142" s="207">
        <f>SUMIFS('сентябрь 2023'!$G$4:$G$1053,'сентябрь 2023'!$D$4:$D$1053,$B142,'сентябрь 2023'!$J$4:$J$1053,S$1)</f>
        <v>0</v>
      </c>
      <c r="T142" s="207">
        <f>SUMIFS('сентябрь 2023'!$G$4:$G$1053,'сентябрь 2023'!$D$4:$D$1053,$B142,'сентябрь 2023'!$J$4:$J$1053,T$1)</f>
        <v>0</v>
      </c>
      <c r="U142" s="207">
        <f>SUMIFS('сентябрь 2023'!$G$4:$G$1053,'сентябрь 2023'!$D$4:$D$1053,$B142,'сентябрь 2023'!$J$4:$J$1053,U$1)</f>
        <v>0</v>
      </c>
      <c r="V142" s="207">
        <f>SUMIFS('сентябрь 2023'!$G$4:$G$1053,'сентябрь 2023'!$D$4:$D$1053,$B142,'сентябрь 2023'!$J$4:$J$1053,V$1)</f>
        <v>0</v>
      </c>
      <c r="W142" s="207">
        <f>SUMIFS('сентябрь 2023'!$G$4:$G$1053,'сентябрь 2023'!$D$4:$D$1053,$B142,'сентябрь 2023'!$J$4:$J$1053,W$1)</f>
        <v>0</v>
      </c>
      <c r="X142" s="207">
        <f>SUMIFS('сентябрь 2023'!$G$4:$G$1053,'сентябрь 2023'!$D$4:$D$1053,$B142,'сентябрь 2023'!$J$4:$J$1053,X$1)</f>
        <v>0</v>
      </c>
      <c r="Y142" s="207">
        <f>SUMIFS('сентябрь 2023'!$G$4:$G$1053,'сентябрь 2023'!$D$4:$D$1053,$B142,'сентябрь 2023'!$J$4:$J$1053,Y$1)</f>
        <v>0</v>
      </c>
      <c r="Z142" s="207">
        <f>SUMIFS('сентябрь 2023'!$G$4:$G$1053,'сентябрь 2023'!$D$4:$D$1053,$B142,'сентябрь 2023'!$J$4:$J$1053,Z$1)</f>
        <v>0</v>
      </c>
      <c r="AA142" s="207">
        <f>SUMIFS('сентябрь 2023'!$G$4:$G$1053,'сентябрь 2023'!$D$4:$D$1053,$B142,'сентябрь 2023'!$J$4:$J$1053,AA$1)</f>
        <v>0</v>
      </c>
      <c r="AB142" s="207">
        <f>SUMIFS('сентябрь 2023'!$G$4:$G$1053,'сентябрь 2023'!$D$4:$D$1053,$B142,'сентябрь 2023'!$J$4:$J$1053,AB$1)</f>
        <v>0</v>
      </c>
      <c r="AC142" s="207">
        <f>SUMIFS('сентябрь 2023'!$G$4:$G$1053,'сентябрь 2023'!$D$4:$D$1053,$B142,'сентябрь 2023'!$J$4:$J$1053,AC$1)</f>
        <v>0</v>
      </c>
      <c r="AD142" s="207">
        <f>SUMIFS('сентябрь 2023'!$G$4:$G$1053,'сентябрь 2023'!$D$4:$D$1053,$B142,'сентябрь 2023'!$J$4:$J$1053,AD$1)</f>
        <v>0</v>
      </c>
      <c r="AE142" s="207">
        <f>SUMIFS('сентябрь 2023'!$G$4:$G$1053,'сентябрь 2023'!$D$4:$D$1053,$B142,'сентябрь 2023'!$J$4:$J$1053,AE$1)</f>
        <v>0</v>
      </c>
      <c r="AF142" s="207">
        <f>SUMIFS('сентябрь 2023'!$G$4:$G$1053,'сентябрь 2023'!$D$4:$D$1053,$B142,'сентябрь 2023'!$J$4:$J$1053,AF$1)</f>
        <v>0</v>
      </c>
      <c r="AG142" s="207">
        <f>SUMIFS('сентябрь 2023'!$G$4:$G$1053,'сентябрь 2023'!$D$4:$D$1053,$B142,'сентябрь 2023'!$J$4:$J$1053,AG$1)</f>
        <v>0</v>
      </c>
      <c r="AH142" s="207">
        <f>SUMIFS('сентябрь 2023'!$G$4:$G$1053,'сентябрь 2023'!$D$4:$D$1053,$B142,'сентябрь 2023'!$J$4:$J$1053,AH$1)</f>
        <v>0</v>
      </c>
      <c r="AI142" s="220"/>
    </row>
    <row r="143" spans="2:35" ht="15" hidden="1" customHeight="1" x14ac:dyDescent="0.25">
      <c r="B143" s="212"/>
      <c r="C143" s="211"/>
      <c r="D143" s="207">
        <f>SUMIFS('сентябрь 2023'!$G$4:$G$1053,'сентябрь 2023'!$D$4:$D$1053,$B143,'сентябрь 2023'!$J$4:$J$1053,D$1)</f>
        <v>0</v>
      </c>
      <c r="E143" s="207">
        <f>SUMIFS('сентябрь 2023'!$G$4:$G$1053,'сентябрь 2023'!$D$4:$D$1053,$B143,'сентябрь 2023'!$J$4:$J$1053,E$1)</f>
        <v>0</v>
      </c>
      <c r="F143" s="207">
        <f>SUMIFS('сентябрь 2023'!$G$4:$G$1053,'сентябрь 2023'!$D$4:$D$1053,$B143,'сентябрь 2023'!$J$4:$J$1053,F$1)</f>
        <v>0</v>
      </c>
      <c r="G143" s="207">
        <f>SUMIFS('сентябрь 2023'!$G$4:$G$1053,'сентябрь 2023'!$D$4:$D$1053,$B143,'сентябрь 2023'!$J$4:$J$1053,G$1)</f>
        <v>0</v>
      </c>
      <c r="H143" s="207">
        <f>SUMIFS('сентябрь 2023'!$G$4:$G$1053,'сентябрь 2023'!$D$4:$D$1053,$B143,'сентябрь 2023'!$J$4:$J$1053,H$1)</f>
        <v>0</v>
      </c>
      <c r="I143" s="207">
        <f>SUMIFS('сентябрь 2023'!$G$4:$G$1053,'сентябрь 2023'!$D$4:$D$1053,$B143,'сентябрь 2023'!$J$4:$J$1053,I$1)</f>
        <v>0</v>
      </c>
      <c r="J143" s="207">
        <f>SUMIFS('сентябрь 2023'!$G$4:$G$1053,'сентябрь 2023'!$D$4:$D$1053,$B143,'сентябрь 2023'!$J$4:$J$1053,J$1)</f>
        <v>0</v>
      </c>
      <c r="K143" s="207">
        <f>SUMIFS('сентябрь 2023'!$G$4:$G$1053,'сентябрь 2023'!$D$4:$D$1053,$B143,'сентябрь 2023'!$J$4:$J$1053,K$1)</f>
        <v>0</v>
      </c>
      <c r="L143" s="207">
        <f>SUMIFS('сентябрь 2023'!$G$4:$G$1053,'сентябрь 2023'!$D$4:$D$1053,$B143,'сентябрь 2023'!$J$4:$J$1053,L$1)</f>
        <v>0</v>
      </c>
      <c r="M143" s="207">
        <f>SUMIFS('сентябрь 2023'!$G$4:$G$1053,'сентябрь 2023'!$D$4:$D$1053,$B143,'сентябрь 2023'!$J$4:$J$1053,M$1)</f>
        <v>0</v>
      </c>
      <c r="N143" s="207">
        <f>SUMIFS('сентябрь 2023'!$G$4:$G$1053,'сентябрь 2023'!$D$4:$D$1053,$B143,'сентябрь 2023'!$J$4:$J$1053,N$1)</f>
        <v>0</v>
      </c>
      <c r="O143" s="207">
        <f>SUMIFS('сентябрь 2023'!$G$4:$G$1053,'сентябрь 2023'!$D$4:$D$1053,$B143,'сентябрь 2023'!$J$4:$J$1053,O$1)</f>
        <v>0</v>
      </c>
      <c r="P143" s="207">
        <f>SUMIFS('сентябрь 2023'!$G$4:$G$1053,'сентябрь 2023'!$D$4:$D$1053,$B143,'сентябрь 2023'!$J$4:$J$1053,P$1)</f>
        <v>0</v>
      </c>
      <c r="Q143" s="207">
        <f>SUMIFS('сентябрь 2023'!$G$4:$G$1053,'сентябрь 2023'!$D$4:$D$1053,$B143,'сентябрь 2023'!$J$4:$J$1053,Q$1)</f>
        <v>0</v>
      </c>
      <c r="R143" s="207">
        <f>SUMIFS('сентябрь 2023'!$G$4:$G$1053,'сентябрь 2023'!$D$4:$D$1053,$B143,'сентябрь 2023'!$J$4:$J$1053,R$1)</f>
        <v>0</v>
      </c>
      <c r="S143" s="207">
        <f>SUMIFS('сентябрь 2023'!$G$4:$G$1053,'сентябрь 2023'!$D$4:$D$1053,$B143,'сентябрь 2023'!$J$4:$J$1053,S$1)</f>
        <v>0</v>
      </c>
      <c r="T143" s="207">
        <f>SUMIFS('сентябрь 2023'!$G$4:$G$1053,'сентябрь 2023'!$D$4:$D$1053,$B143,'сентябрь 2023'!$J$4:$J$1053,T$1)</f>
        <v>0</v>
      </c>
      <c r="U143" s="207">
        <f>SUMIFS('сентябрь 2023'!$G$4:$G$1053,'сентябрь 2023'!$D$4:$D$1053,$B143,'сентябрь 2023'!$J$4:$J$1053,U$1)</f>
        <v>0</v>
      </c>
      <c r="V143" s="207">
        <f>SUMIFS('сентябрь 2023'!$G$4:$G$1053,'сентябрь 2023'!$D$4:$D$1053,$B143,'сентябрь 2023'!$J$4:$J$1053,V$1)</f>
        <v>0</v>
      </c>
      <c r="W143" s="207">
        <f>SUMIFS('сентябрь 2023'!$G$4:$G$1053,'сентябрь 2023'!$D$4:$D$1053,$B143,'сентябрь 2023'!$J$4:$J$1053,W$1)</f>
        <v>0</v>
      </c>
      <c r="X143" s="207">
        <f>SUMIFS('сентябрь 2023'!$G$4:$G$1053,'сентябрь 2023'!$D$4:$D$1053,$B143,'сентябрь 2023'!$J$4:$J$1053,X$1)</f>
        <v>0</v>
      </c>
      <c r="Y143" s="207">
        <f>SUMIFS('сентябрь 2023'!$G$4:$G$1053,'сентябрь 2023'!$D$4:$D$1053,$B143,'сентябрь 2023'!$J$4:$J$1053,Y$1)</f>
        <v>0</v>
      </c>
      <c r="Z143" s="207">
        <f>SUMIFS('сентябрь 2023'!$G$4:$G$1053,'сентябрь 2023'!$D$4:$D$1053,$B143,'сентябрь 2023'!$J$4:$J$1053,Z$1)</f>
        <v>0</v>
      </c>
      <c r="AA143" s="207">
        <f>SUMIFS('сентябрь 2023'!$G$4:$G$1053,'сентябрь 2023'!$D$4:$D$1053,$B143,'сентябрь 2023'!$J$4:$J$1053,AA$1)</f>
        <v>0</v>
      </c>
      <c r="AB143" s="207">
        <f>SUMIFS('сентябрь 2023'!$G$4:$G$1053,'сентябрь 2023'!$D$4:$D$1053,$B143,'сентябрь 2023'!$J$4:$J$1053,AB$1)</f>
        <v>0</v>
      </c>
      <c r="AC143" s="207">
        <f>SUMIFS('сентябрь 2023'!$G$4:$G$1053,'сентябрь 2023'!$D$4:$D$1053,$B143,'сентябрь 2023'!$J$4:$J$1053,AC$1)</f>
        <v>0</v>
      </c>
      <c r="AD143" s="207">
        <f>SUMIFS('сентябрь 2023'!$G$4:$G$1053,'сентябрь 2023'!$D$4:$D$1053,$B143,'сентябрь 2023'!$J$4:$J$1053,AD$1)</f>
        <v>0</v>
      </c>
      <c r="AE143" s="207">
        <f>SUMIFS('сентябрь 2023'!$G$4:$G$1053,'сентябрь 2023'!$D$4:$D$1053,$B143,'сентябрь 2023'!$J$4:$J$1053,AE$1)</f>
        <v>0</v>
      </c>
      <c r="AF143" s="207">
        <f>SUMIFS('сентябрь 2023'!$G$4:$G$1053,'сентябрь 2023'!$D$4:$D$1053,$B143,'сентябрь 2023'!$J$4:$J$1053,AF$1)</f>
        <v>0</v>
      </c>
      <c r="AG143" s="207">
        <f>SUMIFS('сентябрь 2023'!$G$4:$G$1053,'сентябрь 2023'!$D$4:$D$1053,$B143,'сентябрь 2023'!$J$4:$J$1053,AG$1)</f>
        <v>0</v>
      </c>
      <c r="AH143" s="207">
        <f>SUMIFS('сентябрь 2023'!$G$4:$G$1053,'сентябрь 2023'!$D$4:$D$1053,$B143,'сентябрь 2023'!$J$4:$J$1053,AH$1)</f>
        <v>0</v>
      </c>
      <c r="AI143" s="220">
        <f t="shared" si="3"/>
        <v>0</v>
      </c>
    </row>
    <row r="144" spans="2:35" ht="15" hidden="1" customHeight="1" x14ac:dyDescent="0.25">
      <c r="B144" s="212"/>
      <c r="C144" s="211"/>
      <c r="D144" s="207">
        <f>SUMIFS('сентябрь 2023'!$G$4:$G$1053,'сентябрь 2023'!$D$4:$D$1053,$B144,'сентябрь 2023'!$J$4:$J$1053,D$1)</f>
        <v>0</v>
      </c>
      <c r="E144" s="207">
        <f>SUMIFS('сентябрь 2023'!$G$4:$G$1053,'сентябрь 2023'!$D$4:$D$1053,$B144,'сентябрь 2023'!$J$4:$J$1053,E$1)</f>
        <v>0</v>
      </c>
      <c r="F144" s="207">
        <f>SUMIFS('сентябрь 2023'!$G$4:$G$1053,'сентябрь 2023'!$D$4:$D$1053,$B144,'сентябрь 2023'!$J$4:$J$1053,F$1)</f>
        <v>0</v>
      </c>
      <c r="G144" s="207">
        <f>SUMIFS('сентябрь 2023'!$G$4:$G$1053,'сентябрь 2023'!$D$4:$D$1053,$B144,'сентябрь 2023'!$J$4:$J$1053,G$1)</f>
        <v>0</v>
      </c>
      <c r="H144" s="207">
        <f>SUMIFS('сентябрь 2023'!$G$4:$G$1053,'сентябрь 2023'!$D$4:$D$1053,$B144,'сентябрь 2023'!$J$4:$J$1053,H$1)</f>
        <v>0</v>
      </c>
      <c r="I144" s="207">
        <f>SUMIFS('сентябрь 2023'!$G$4:$G$1053,'сентябрь 2023'!$D$4:$D$1053,$B144,'сентябрь 2023'!$J$4:$J$1053,I$1)</f>
        <v>0</v>
      </c>
      <c r="J144" s="207">
        <f>SUMIFS('сентябрь 2023'!$G$4:$G$1053,'сентябрь 2023'!$D$4:$D$1053,$B144,'сентябрь 2023'!$J$4:$J$1053,J$1)</f>
        <v>0</v>
      </c>
      <c r="K144" s="207">
        <f>SUMIFS('сентябрь 2023'!$G$4:$G$1053,'сентябрь 2023'!$D$4:$D$1053,$B144,'сентябрь 2023'!$J$4:$J$1053,K$1)</f>
        <v>0</v>
      </c>
      <c r="L144" s="207">
        <f>SUMIFS('сентябрь 2023'!$G$4:$G$1053,'сентябрь 2023'!$D$4:$D$1053,$B144,'сентябрь 2023'!$J$4:$J$1053,L$1)</f>
        <v>0</v>
      </c>
      <c r="M144" s="207">
        <f>SUMIFS('сентябрь 2023'!$G$4:$G$1053,'сентябрь 2023'!$D$4:$D$1053,$B144,'сентябрь 2023'!$J$4:$J$1053,M$1)</f>
        <v>0</v>
      </c>
      <c r="N144" s="207">
        <f>SUMIFS('сентябрь 2023'!$G$4:$G$1053,'сентябрь 2023'!$D$4:$D$1053,$B144,'сентябрь 2023'!$J$4:$J$1053,N$1)</f>
        <v>0</v>
      </c>
      <c r="O144" s="207">
        <f>SUMIFS('сентябрь 2023'!$G$4:$G$1053,'сентябрь 2023'!$D$4:$D$1053,$B144,'сентябрь 2023'!$J$4:$J$1053,O$1)</f>
        <v>0</v>
      </c>
      <c r="P144" s="207">
        <f>SUMIFS('сентябрь 2023'!$G$4:$G$1053,'сентябрь 2023'!$D$4:$D$1053,$B144,'сентябрь 2023'!$J$4:$J$1053,P$1)</f>
        <v>0</v>
      </c>
      <c r="Q144" s="207">
        <f>SUMIFS('сентябрь 2023'!$G$4:$G$1053,'сентябрь 2023'!$D$4:$D$1053,$B144,'сентябрь 2023'!$J$4:$J$1053,Q$1)</f>
        <v>0</v>
      </c>
      <c r="R144" s="207">
        <f>SUMIFS('сентябрь 2023'!$G$4:$G$1053,'сентябрь 2023'!$D$4:$D$1053,$B144,'сентябрь 2023'!$J$4:$J$1053,R$1)</f>
        <v>0</v>
      </c>
      <c r="S144" s="207">
        <f>SUMIFS('сентябрь 2023'!$G$4:$G$1053,'сентябрь 2023'!$D$4:$D$1053,$B144,'сентябрь 2023'!$J$4:$J$1053,S$1)</f>
        <v>0</v>
      </c>
      <c r="T144" s="207">
        <f>SUMIFS('сентябрь 2023'!$G$4:$G$1053,'сентябрь 2023'!$D$4:$D$1053,$B144,'сентябрь 2023'!$J$4:$J$1053,T$1)</f>
        <v>0</v>
      </c>
      <c r="U144" s="207">
        <f>SUMIFS('сентябрь 2023'!$G$4:$G$1053,'сентябрь 2023'!$D$4:$D$1053,$B144,'сентябрь 2023'!$J$4:$J$1053,U$1)</f>
        <v>0</v>
      </c>
      <c r="V144" s="207">
        <f>SUMIFS('сентябрь 2023'!$G$4:$G$1053,'сентябрь 2023'!$D$4:$D$1053,$B144,'сентябрь 2023'!$J$4:$J$1053,V$1)</f>
        <v>0</v>
      </c>
      <c r="W144" s="207">
        <f>SUMIFS('сентябрь 2023'!$G$4:$G$1053,'сентябрь 2023'!$D$4:$D$1053,$B144,'сентябрь 2023'!$J$4:$J$1053,W$1)</f>
        <v>0</v>
      </c>
      <c r="X144" s="207">
        <f>SUMIFS('сентябрь 2023'!$G$4:$G$1053,'сентябрь 2023'!$D$4:$D$1053,$B144,'сентябрь 2023'!$J$4:$J$1053,X$1)</f>
        <v>0</v>
      </c>
      <c r="Y144" s="207">
        <f>SUMIFS('сентябрь 2023'!$G$4:$G$1053,'сентябрь 2023'!$D$4:$D$1053,$B144,'сентябрь 2023'!$J$4:$J$1053,Y$1)</f>
        <v>0</v>
      </c>
      <c r="Z144" s="207">
        <f>SUMIFS('сентябрь 2023'!$G$4:$G$1053,'сентябрь 2023'!$D$4:$D$1053,$B144,'сентябрь 2023'!$J$4:$J$1053,Z$1)</f>
        <v>0</v>
      </c>
      <c r="AA144" s="207">
        <f>SUMIFS('сентябрь 2023'!$G$4:$G$1053,'сентябрь 2023'!$D$4:$D$1053,$B144,'сентябрь 2023'!$J$4:$J$1053,AA$1)</f>
        <v>0</v>
      </c>
      <c r="AB144" s="207">
        <f>SUMIFS('сентябрь 2023'!$G$4:$G$1053,'сентябрь 2023'!$D$4:$D$1053,$B144,'сентябрь 2023'!$J$4:$J$1053,AB$1)</f>
        <v>0</v>
      </c>
      <c r="AC144" s="207">
        <f>SUMIFS('сентябрь 2023'!$G$4:$G$1053,'сентябрь 2023'!$D$4:$D$1053,$B144,'сентябрь 2023'!$J$4:$J$1053,AC$1)</f>
        <v>0</v>
      </c>
      <c r="AD144" s="207">
        <f>SUMIFS('сентябрь 2023'!$G$4:$G$1053,'сентябрь 2023'!$D$4:$D$1053,$B144,'сентябрь 2023'!$J$4:$J$1053,AD$1)</f>
        <v>0</v>
      </c>
      <c r="AE144" s="207">
        <f>SUMIFS('сентябрь 2023'!$G$4:$G$1053,'сентябрь 2023'!$D$4:$D$1053,$B144,'сентябрь 2023'!$J$4:$J$1053,AE$1)</f>
        <v>0</v>
      </c>
      <c r="AF144" s="207">
        <f>SUMIFS('сентябрь 2023'!$G$4:$G$1053,'сентябрь 2023'!$D$4:$D$1053,$B144,'сентябрь 2023'!$J$4:$J$1053,AF$1)</f>
        <v>0</v>
      </c>
      <c r="AG144" s="207">
        <f>SUMIFS('сентябрь 2023'!$G$4:$G$1053,'сентябрь 2023'!$D$4:$D$1053,$B144,'сентябрь 2023'!$J$4:$J$1053,AG$1)</f>
        <v>0</v>
      </c>
      <c r="AH144" s="207">
        <f>SUMIFS('сентябрь 2023'!$G$4:$G$1053,'сентябрь 2023'!$D$4:$D$1053,$B144,'сентябрь 2023'!$J$4:$J$1053,AH$1)</f>
        <v>0</v>
      </c>
      <c r="AI144" s="220">
        <f t="shared" si="3"/>
        <v>0</v>
      </c>
    </row>
    <row r="145" spans="2:35" ht="15" hidden="1" customHeight="1" x14ac:dyDescent="0.25">
      <c r="B145" s="218"/>
      <c r="C145" s="219"/>
      <c r="D145" s="207">
        <f>SUMIFS('сентябрь 2023'!$G$4:$G$1053,'сентябрь 2023'!$D$4:$D$1053,$B145,'сентябрь 2023'!$J$4:$J$1053,D$1)</f>
        <v>0</v>
      </c>
      <c r="E145" s="207">
        <f>SUMIFS('сентябрь 2023'!$G$4:$G$1053,'сентябрь 2023'!$D$4:$D$1053,$B145,'сентябрь 2023'!$J$4:$J$1053,E$1)</f>
        <v>0</v>
      </c>
      <c r="F145" s="207">
        <f>SUMIFS('сентябрь 2023'!$G$4:$G$1053,'сентябрь 2023'!$D$4:$D$1053,$B145,'сентябрь 2023'!$J$4:$J$1053,F$1)</f>
        <v>0</v>
      </c>
      <c r="G145" s="207">
        <f>SUMIFS('сентябрь 2023'!$G$4:$G$1053,'сентябрь 2023'!$D$4:$D$1053,$B145,'сентябрь 2023'!$J$4:$J$1053,G$1)</f>
        <v>0</v>
      </c>
      <c r="H145" s="207">
        <f>SUMIFS('сентябрь 2023'!$G$4:$G$1053,'сентябрь 2023'!$D$4:$D$1053,$B145,'сентябрь 2023'!$J$4:$J$1053,H$1)</f>
        <v>0</v>
      </c>
      <c r="I145" s="207">
        <f>SUMIFS('сентябрь 2023'!$G$4:$G$1053,'сентябрь 2023'!$D$4:$D$1053,$B145,'сентябрь 2023'!$J$4:$J$1053,I$1)</f>
        <v>0</v>
      </c>
      <c r="J145" s="207">
        <f>SUMIFS('сентябрь 2023'!$G$4:$G$1053,'сентябрь 2023'!$D$4:$D$1053,$B145,'сентябрь 2023'!$J$4:$J$1053,J$1)</f>
        <v>0</v>
      </c>
      <c r="K145" s="207">
        <f>SUMIFS('сентябрь 2023'!$G$4:$G$1053,'сентябрь 2023'!$D$4:$D$1053,$B145,'сентябрь 2023'!$J$4:$J$1053,K$1)</f>
        <v>0</v>
      </c>
      <c r="L145" s="207">
        <f>SUMIFS('сентябрь 2023'!$G$4:$G$1053,'сентябрь 2023'!$D$4:$D$1053,$B145,'сентябрь 2023'!$J$4:$J$1053,L$1)</f>
        <v>0</v>
      </c>
      <c r="M145" s="207">
        <f>SUMIFS('сентябрь 2023'!$G$4:$G$1053,'сентябрь 2023'!$D$4:$D$1053,$B145,'сентябрь 2023'!$J$4:$J$1053,M$1)</f>
        <v>0</v>
      </c>
      <c r="N145" s="207">
        <f>SUMIFS('сентябрь 2023'!$G$4:$G$1053,'сентябрь 2023'!$D$4:$D$1053,$B145,'сентябрь 2023'!$J$4:$J$1053,N$1)</f>
        <v>0</v>
      </c>
      <c r="O145" s="207">
        <f>SUMIFS('сентябрь 2023'!$G$4:$G$1053,'сентябрь 2023'!$D$4:$D$1053,$B145,'сентябрь 2023'!$J$4:$J$1053,O$1)</f>
        <v>0</v>
      </c>
      <c r="P145" s="207">
        <f>SUMIFS('сентябрь 2023'!$G$4:$G$1053,'сентябрь 2023'!$D$4:$D$1053,$B145,'сентябрь 2023'!$J$4:$J$1053,P$1)</f>
        <v>0</v>
      </c>
      <c r="Q145" s="207">
        <f>SUMIFS('сентябрь 2023'!$G$4:$G$1053,'сентябрь 2023'!$D$4:$D$1053,$B145,'сентябрь 2023'!$J$4:$J$1053,Q$1)</f>
        <v>0</v>
      </c>
      <c r="R145" s="207">
        <f>SUMIFS('сентябрь 2023'!$G$4:$G$1053,'сентябрь 2023'!$D$4:$D$1053,$B145,'сентябрь 2023'!$J$4:$J$1053,R$1)</f>
        <v>0</v>
      </c>
      <c r="S145" s="207">
        <f>SUMIFS('сентябрь 2023'!$G$4:$G$1053,'сентябрь 2023'!$D$4:$D$1053,$B145,'сентябрь 2023'!$J$4:$J$1053,S$1)</f>
        <v>0</v>
      </c>
      <c r="T145" s="207">
        <f>SUMIFS('сентябрь 2023'!$G$4:$G$1053,'сентябрь 2023'!$D$4:$D$1053,$B145,'сентябрь 2023'!$J$4:$J$1053,T$1)</f>
        <v>0</v>
      </c>
      <c r="U145" s="207">
        <f>SUMIFS('сентябрь 2023'!$G$4:$G$1053,'сентябрь 2023'!$D$4:$D$1053,$B145,'сентябрь 2023'!$J$4:$J$1053,U$1)</f>
        <v>0</v>
      </c>
      <c r="V145" s="207">
        <f>SUMIFS('сентябрь 2023'!$G$4:$G$1053,'сентябрь 2023'!$D$4:$D$1053,$B145,'сентябрь 2023'!$J$4:$J$1053,V$1)</f>
        <v>0</v>
      </c>
      <c r="W145" s="207">
        <f>SUMIFS('сентябрь 2023'!$G$4:$G$1053,'сентябрь 2023'!$D$4:$D$1053,$B145,'сентябрь 2023'!$J$4:$J$1053,W$1)</f>
        <v>0</v>
      </c>
      <c r="X145" s="207">
        <f>SUMIFS('сентябрь 2023'!$G$4:$G$1053,'сентябрь 2023'!$D$4:$D$1053,$B145,'сентябрь 2023'!$J$4:$J$1053,X$1)</f>
        <v>0</v>
      </c>
      <c r="Y145" s="207">
        <f>SUMIFS('сентябрь 2023'!$G$4:$G$1053,'сентябрь 2023'!$D$4:$D$1053,$B145,'сентябрь 2023'!$J$4:$J$1053,Y$1)</f>
        <v>0</v>
      </c>
      <c r="Z145" s="207">
        <f>SUMIFS('сентябрь 2023'!$G$4:$G$1053,'сентябрь 2023'!$D$4:$D$1053,$B145,'сентябрь 2023'!$J$4:$J$1053,Z$1)</f>
        <v>0</v>
      </c>
      <c r="AA145" s="207">
        <f>SUMIFS('сентябрь 2023'!$G$4:$G$1053,'сентябрь 2023'!$D$4:$D$1053,$B145,'сентябрь 2023'!$J$4:$J$1053,AA$1)</f>
        <v>0</v>
      </c>
      <c r="AB145" s="207">
        <f>SUMIFS('сентябрь 2023'!$G$4:$G$1053,'сентябрь 2023'!$D$4:$D$1053,$B145,'сентябрь 2023'!$J$4:$J$1053,AB$1)</f>
        <v>0</v>
      </c>
      <c r="AC145" s="207">
        <f>SUMIFS('сентябрь 2023'!$G$4:$G$1053,'сентябрь 2023'!$D$4:$D$1053,$B145,'сентябрь 2023'!$J$4:$J$1053,AC$1)</f>
        <v>0</v>
      </c>
      <c r="AD145" s="207">
        <f>SUMIFS('сентябрь 2023'!$G$4:$G$1053,'сентябрь 2023'!$D$4:$D$1053,$B145,'сентябрь 2023'!$J$4:$J$1053,AD$1)</f>
        <v>0</v>
      </c>
      <c r="AE145" s="207">
        <f>SUMIFS('сентябрь 2023'!$G$4:$G$1053,'сентябрь 2023'!$D$4:$D$1053,$B145,'сентябрь 2023'!$J$4:$J$1053,AE$1)</f>
        <v>0</v>
      </c>
      <c r="AF145" s="207">
        <f>SUMIFS('сентябрь 2023'!$G$4:$G$1053,'сентябрь 2023'!$D$4:$D$1053,$B145,'сентябрь 2023'!$J$4:$J$1053,AF$1)</f>
        <v>0</v>
      </c>
      <c r="AG145" s="207">
        <f>SUMIFS('сентябрь 2023'!$G$4:$G$1053,'сентябрь 2023'!$D$4:$D$1053,$B145,'сентябрь 2023'!$J$4:$J$1053,AG$1)</f>
        <v>0</v>
      </c>
      <c r="AH145" s="207">
        <f>SUMIFS('сентябрь 2023'!$G$4:$G$1053,'сентябрь 2023'!$D$4:$D$1053,$B145,'сентябрь 2023'!$J$4:$J$1053,AH$1)</f>
        <v>0</v>
      </c>
      <c r="AI145" s="220">
        <f t="shared" si="3"/>
        <v>0</v>
      </c>
    </row>
    <row r="146" spans="2:35" ht="15" hidden="1" customHeight="1" x14ac:dyDescent="0.25">
      <c r="B146" s="212"/>
      <c r="C146" s="213"/>
      <c r="D146" s="207">
        <f>SUMIFS('сентябрь 2023'!$G$4:$G$1053,'сентябрь 2023'!$D$4:$D$1053,$B146,'сентябрь 2023'!$J$4:$J$1053,D$1)</f>
        <v>0</v>
      </c>
      <c r="E146" s="207">
        <f>SUMIFS('сентябрь 2023'!$G$4:$G$1053,'сентябрь 2023'!$D$4:$D$1053,$B146,'сентябрь 2023'!$J$4:$J$1053,E$1)</f>
        <v>0</v>
      </c>
      <c r="F146" s="207">
        <f>SUMIFS('сентябрь 2023'!$G$4:$G$1053,'сентябрь 2023'!$D$4:$D$1053,$B146,'сентябрь 2023'!$J$4:$J$1053,F$1)</f>
        <v>0</v>
      </c>
      <c r="G146" s="207">
        <f>SUMIFS('сентябрь 2023'!$G$4:$G$1053,'сентябрь 2023'!$D$4:$D$1053,$B146,'сентябрь 2023'!$J$4:$J$1053,G$1)</f>
        <v>0</v>
      </c>
      <c r="H146" s="207">
        <f>SUMIFS('сентябрь 2023'!$G$4:$G$1053,'сентябрь 2023'!$D$4:$D$1053,$B146,'сентябрь 2023'!$J$4:$J$1053,H$1)</f>
        <v>0</v>
      </c>
      <c r="I146" s="207">
        <f>SUMIFS('сентябрь 2023'!$G$4:$G$1053,'сентябрь 2023'!$D$4:$D$1053,$B146,'сентябрь 2023'!$J$4:$J$1053,I$1)</f>
        <v>0</v>
      </c>
      <c r="J146" s="207">
        <f>SUMIFS('сентябрь 2023'!$G$4:$G$1053,'сентябрь 2023'!$D$4:$D$1053,$B146,'сентябрь 2023'!$J$4:$J$1053,J$1)</f>
        <v>0</v>
      </c>
      <c r="K146" s="207">
        <f>SUMIFS('сентябрь 2023'!$G$4:$G$1053,'сентябрь 2023'!$D$4:$D$1053,$B146,'сентябрь 2023'!$J$4:$J$1053,K$1)</f>
        <v>0</v>
      </c>
      <c r="L146" s="207">
        <f>SUMIFS('сентябрь 2023'!$G$4:$G$1053,'сентябрь 2023'!$D$4:$D$1053,$B146,'сентябрь 2023'!$J$4:$J$1053,L$1)</f>
        <v>0</v>
      </c>
      <c r="M146" s="207">
        <f>SUMIFS('сентябрь 2023'!$G$4:$G$1053,'сентябрь 2023'!$D$4:$D$1053,$B146,'сентябрь 2023'!$J$4:$J$1053,M$1)</f>
        <v>0</v>
      </c>
      <c r="N146" s="207">
        <f>SUMIFS('сентябрь 2023'!$G$4:$G$1053,'сентябрь 2023'!$D$4:$D$1053,$B146,'сентябрь 2023'!$J$4:$J$1053,N$1)</f>
        <v>0</v>
      </c>
      <c r="O146" s="207">
        <f>SUMIFS('сентябрь 2023'!$G$4:$G$1053,'сентябрь 2023'!$D$4:$D$1053,$B146,'сентябрь 2023'!$J$4:$J$1053,O$1)</f>
        <v>0</v>
      </c>
      <c r="P146" s="207">
        <f>SUMIFS('сентябрь 2023'!$G$4:$G$1053,'сентябрь 2023'!$D$4:$D$1053,$B146,'сентябрь 2023'!$J$4:$J$1053,P$1)</f>
        <v>0</v>
      </c>
      <c r="Q146" s="207">
        <f>SUMIFS('сентябрь 2023'!$G$4:$G$1053,'сентябрь 2023'!$D$4:$D$1053,$B146,'сентябрь 2023'!$J$4:$J$1053,Q$1)</f>
        <v>0</v>
      </c>
      <c r="R146" s="207">
        <f>SUMIFS('сентябрь 2023'!$G$4:$G$1053,'сентябрь 2023'!$D$4:$D$1053,$B146,'сентябрь 2023'!$J$4:$J$1053,R$1)</f>
        <v>0</v>
      </c>
      <c r="S146" s="207">
        <f>SUMIFS('сентябрь 2023'!$G$4:$G$1053,'сентябрь 2023'!$D$4:$D$1053,$B146,'сентябрь 2023'!$J$4:$J$1053,S$1)</f>
        <v>0</v>
      </c>
      <c r="T146" s="207">
        <f>SUMIFS('сентябрь 2023'!$G$4:$G$1053,'сентябрь 2023'!$D$4:$D$1053,$B146,'сентябрь 2023'!$J$4:$J$1053,T$1)</f>
        <v>0</v>
      </c>
      <c r="U146" s="207">
        <f>SUMIFS('сентябрь 2023'!$G$4:$G$1053,'сентябрь 2023'!$D$4:$D$1053,$B146,'сентябрь 2023'!$J$4:$J$1053,U$1)</f>
        <v>0</v>
      </c>
      <c r="V146" s="207">
        <f>SUMIFS('сентябрь 2023'!$G$4:$G$1053,'сентябрь 2023'!$D$4:$D$1053,$B146,'сентябрь 2023'!$J$4:$J$1053,V$1)</f>
        <v>0</v>
      </c>
      <c r="W146" s="207">
        <f>SUMIFS('сентябрь 2023'!$G$4:$G$1053,'сентябрь 2023'!$D$4:$D$1053,$B146,'сентябрь 2023'!$J$4:$J$1053,W$1)</f>
        <v>0</v>
      </c>
      <c r="X146" s="207">
        <f>SUMIFS('сентябрь 2023'!$G$4:$G$1053,'сентябрь 2023'!$D$4:$D$1053,$B146,'сентябрь 2023'!$J$4:$J$1053,X$1)</f>
        <v>0</v>
      </c>
      <c r="Y146" s="207">
        <f>SUMIFS('сентябрь 2023'!$G$4:$G$1053,'сентябрь 2023'!$D$4:$D$1053,$B146,'сентябрь 2023'!$J$4:$J$1053,Y$1)</f>
        <v>0</v>
      </c>
      <c r="Z146" s="207">
        <f>SUMIFS('сентябрь 2023'!$G$4:$G$1053,'сентябрь 2023'!$D$4:$D$1053,$B146,'сентябрь 2023'!$J$4:$J$1053,Z$1)</f>
        <v>0</v>
      </c>
      <c r="AA146" s="207">
        <f>SUMIFS('сентябрь 2023'!$G$4:$G$1053,'сентябрь 2023'!$D$4:$D$1053,$B146,'сентябрь 2023'!$J$4:$J$1053,AA$1)</f>
        <v>0</v>
      </c>
      <c r="AB146" s="207">
        <f>SUMIFS('сентябрь 2023'!$G$4:$G$1053,'сентябрь 2023'!$D$4:$D$1053,$B146,'сентябрь 2023'!$J$4:$J$1053,AB$1)</f>
        <v>0</v>
      </c>
      <c r="AC146" s="207">
        <f>SUMIFS('сентябрь 2023'!$G$4:$G$1053,'сентябрь 2023'!$D$4:$D$1053,$B146,'сентябрь 2023'!$J$4:$J$1053,AC$1)</f>
        <v>0</v>
      </c>
      <c r="AD146" s="207">
        <f>SUMIFS('сентябрь 2023'!$G$4:$G$1053,'сентябрь 2023'!$D$4:$D$1053,$B146,'сентябрь 2023'!$J$4:$J$1053,AD$1)</f>
        <v>0</v>
      </c>
      <c r="AE146" s="207">
        <f>SUMIFS('сентябрь 2023'!$G$4:$G$1053,'сентябрь 2023'!$D$4:$D$1053,$B146,'сентябрь 2023'!$J$4:$J$1053,AE$1)</f>
        <v>0</v>
      </c>
      <c r="AF146" s="207">
        <f>SUMIFS('сентябрь 2023'!$G$4:$G$1053,'сентябрь 2023'!$D$4:$D$1053,$B146,'сентябрь 2023'!$J$4:$J$1053,AF$1)</f>
        <v>0</v>
      </c>
      <c r="AG146" s="207">
        <f>SUMIFS('сентябрь 2023'!$G$4:$G$1053,'сентябрь 2023'!$D$4:$D$1053,$B146,'сентябрь 2023'!$J$4:$J$1053,AG$1)</f>
        <v>0</v>
      </c>
      <c r="AH146" s="207">
        <f>SUMIFS('сентябрь 2023'!$G$4:$G$1053,'сентябрь 2023'!$D$4:$D$1053,$B146,'сентябрь 2023'!$J$4:$J$1053,AH$1)</f>
        <v>0</v>
      </c>
      <c r="AI146" s="220">
        <f t="shared" si="3"/>
        <v>0</v>
      </c>
    </row>
    <row r="147" spans="2:35" ht="15" hidden="1" customHeight="1" x14ac:dyDescent="0.25">
      <c r="B147" s="212"/>
      <c r="C147" s="211"/>
      <c r="D147" s="207">
        <f>SUMIFS('сентябрь 2023'!$G$4:$G$1053,'сентябрь 2023'!$D$4:$D$1053,$B147,'сентябрь 2023'!$J$4:$J$1053,D$1)</f>
        <v>0</v>
      </c>
      <c r="E147" s="207">
        <f>SUMIFS('сентябрь 2023'!$G$4:$G$1053,'сентябрь 2023'!$D$4:$D$1053,$B147,'сентябрь 2023'!$J$4:$J$1053,E$1)</f>
        <v>0</v>
      </c>
      <c r="F147" s="207">
        <f>SUMIFS('сентябрь 2023'!$G$4:$G$1053,'сентябрь 2023'!$D$4:$D$1053,$B147,'сентябрь 2023'!$J$4:$J$1053,F$1)</f>
        <v>0</v>
      </c>
      <c r="G147" s="207">
        <f>SUMIFS('сентябрь 2023'!$G$4:$G$1053,'сентябрь 2023'!$D$4:$D$1053,$B147,'сентябрь 2023'!$J$4:$J$1053,G$1)</f>
        <v>0</v>
      </c>
      <c r="H147" s="207">
        <f>SUMIFS('сентябрь 2023'!$G$4:$G$1053,'сентябрь 2023'!$D$4:$D$1053,$B147,'сентябрь 2023'!$J$4:$J$1053,H$1)</f>
        <v>0</v>
      </c>
      <c r="I147" s="207">
        <f>SUMIFS('сентябрь 2023'!$G$4:$G$1053,'сентябрь 2023'!$D$4:$D$1053,$B147,'сентябрь 2023'!$J$4:$J$1053,I$1)</f>
        <v>0</v>
      </c>
      <c r="J147" s="207">
        <f>SUMIFS('сентябрь 2023'!$G$4:$G$1053,'сентябрь 2023'!$D$4:$D$1053,$B147,'сентябрь 2023'!$J$4:$J$1053,J$1)</f>
        <v>0</v>
      </c>
      <c r="K147" s="207">
        <f>SUMIFS('сентябрь 2023'!$G$4:$G$1053,'сентябрь 2023'!$D$4:$D$1053,$B147,'сентябрь 2023'!$J$4:$J$1053,K$1)</f>
        <v>0</v>
      </c>
      <c r="L147" s="207">
        <f>SUMIFS('сентябрь 2023'!$G$4:$G$1053,'сентябрь 2023'!$D$4:$D$1053,$B147,'сентябрь 2023'!$J$4:$J$1053,L$1)</f>
        <v>0</v>
      </c>
      <c r="M147" s="207">
        <f>SUMIFS('сентябрь 2023'!$G$4:$G$1053,'сентябрь 2023'!$D$4:$D$1053,$B147,'сентябрь 2023'!$J$4:$J$1053,M$1)</f>
        <v>0</v>
      </c>
      <c r="N147" s="207">
        <f>SUMIFS('сентябрь 2023'!$G$4:$G$1053,'сентябрь 2023'!$D$4:$D$1053,$B147,'сентябрь 2023'!$J$4:$J$1053,N$1)</f>
        <v>0</v>
      </c>
      <c r="O147" s="207">
        <f>SUMIFS('сентябрь 2023'!$G$4:$G$1053,'сентябрь 2023'!$D$4:$D$1053,$B147,'сентябрь 2023'!$J$4:$J$1053,O$1)</f>
        <v>0</v>
      </c>
      <c r="P147" s="207">
        <f>SUMIFS('сентябрь 2023'!$G$4:$G$1053,'сентябрь 2023'!$D$4:$D$1053,$B147,'сентябрь 2023'!$J$4:$J$1053,P$1)</f>
        <v>0</v>
      </c>
      <c r="Q147" s="207">
        <f>SUMIFS('сентябрь 2023'!$G$4:$G$1053,'сентябрь 2023'!$D$4:$D$1053,$B147,'сентябрь 2023'!$J$4:$J$1053,Q$1)</f>
        <v>0</v>
      </c>
      <c r="R147" s="207">
        <f>SUMIFS('сентябрь 2023'!$G$4:$G$1053,'сентябрь 2023'!$D$4:$D$1053,$B147,'сентябрь 2023'!$J$4:$J$1053,R$1)</f>
        <v>0</v>
      </c>
      <c r="S147" s="207">
        <f>SUMIFS('сентябрь 2023'!$G$4:$G$1053,'сентябрь 2023'!$D$4:$D$1053,$B147,'сентябрь 2023'!$J$4:$J$1053,S$1)</f>
        <v>0</v>
      </c>
      <c r="T147" s="207">
        <f>SUMIFS('сентябрь 2023'!$G$4:$G$1053,'сентябрь 2023'!$D$4:$D$1053,$B147,'сентябрь 2023'!$J$4:$J$1053,T$1)</f>
        <v>0</v>
      </c>
      <c r="U147" s="207">
        <f>SUMIFS('сентябрь 2023'!$G$4:$G$1053,'сентябрь 2023'!$D$4:$D$1053,$B147,'сентябрь 2023'!$J$4:$J$1053,U$1)</f>
        <v>0</v>
      </c>
      <c r="V147" s="207">
        <f>SUMIFS('сентябрь 2023'!$G$4:$G$1053,'сентябрь 2023'!$D$4:$D$1053,$B147,'сентябрь 2023'!$J$4:$J$1053,V$1)</f>
        <v>0</v>
      </c>
      <c r="W147" s="207">
        <f>SUMIFS('сентябрь 2023'!$G$4:$G$1053,'сентябрь 2023'!$D$4:$D$1053,$B147,'сентябрь 2023'!$J$4:$J$1053,W$1)</f>
        <v>0</v>
      </c>
      <c r="X147" s="207">
        <f>SUMIFS('сентябрь 2023'!$G$4:$G$1053,'сентябрь 2023'!$D$4:$D$1053,$B147,'сентябрь 2023'!$J$4:$J$1053,X$1)</f>
        <v>0</v>
      </c>
      <c r="Y147" s="207">
        <f>SUMIFS('сентябрь 2023'!$G$4:$G$1053,'сентябрь 2023'!$D$4:$D$1053,$B147,'сентябрь 2023'!$J$4:$J$1053,Y$1)</f>
        <v>0</v>
      </c>
      <c r="Z147" s="207">
        <f>SUMIFS('сентябрь 2023'!$G$4:$G$1053,'сентябрь 2023'!$D$4:$D$1053,$B147,'сентябрь 2023'!$J$4:$J$1053,Z$1)</f>
        <v>0</v>
      </c>
      <c r="AA147" s="207">
        <f>SUMIFS('сентябрь 2023'!$G$4:$G$1053,'сентябрь 2023'!$D$4:$D$1053,$B147,'сентябрь 2023'!$J$4:$J$1053,AA$1)</f>
        <v>0</v>
      </c>
      <c r="AB147" s="207">
        <f>SUMIFS('сентябрь 2023'!$G$4:$G$1053,'сентябрь 2023'!$D$4:$D$1053,$B147,'сентябрь 2023'!$J$4:$J$1053,AB$1)</f>
        <v>0</v>
      </c>
      <c r="AC147" s="207">
        <f>SUMIFS('сентябрь 2023'!$G$4:$G$1053,'сентябрь 2023'!$D$4:$D$1053,$B147,'сентябрь 2023'!$J$4:$J$1053,AC$1)</f>
        <v>0</v>
      </c>
      <c r="AD147" s="207">
        <f>SUMIFS('сентябрь 2023'!$G$4:$G$1053,'сентябрь 2023'!$D$4:$D$1053,$B147,'сентябрь 2023'!$J$4:$J$1053,AD$1)</f>
        <v>0</v>
      </c>
      <c r="AE147" s="207">
        <f>SUMIFS('сентябрь 2023'!$G$4:$G$1053,'сентябрь 2023'!$D$4:$D$1053,$B147,'сентябрь 2023'!$J$4:$J$1053,AE$1)</f>
        <v>0</v>
      </c>
      <c r="AF147" s="207">
        <f>SUMIFS('сентябрь 2023'!$G$4:$G$1053,'сентябрь 2023'!$D$4:$D$1053,$B147,'сентябрь 2023'!$J$4:$J$1053,AF$1)</f>
        <v>0</v>
      </c>
      <c r="AG147" s="207">
        <f>SUMIFS('сентябрь 2023'!$G$4:$G$1053,'сентябрь 2023'!$D$4:$D$1053,$B147,'сентябрь 2023'!$J$4:$J$1053,AG$1)</f>
        <v>0</v>
      </c>
      <c r="AH147" s="207">
        <f>SUMIFS('сентябрь 2023'!$G$4:$G$1053,'сентябрь 2023'!$D$4:$D$1053,$B147,'сентябрь 2023'!$J$4:$J$1053,AH$1)</f>
        <v>0</v>
      </c>
      <c r="AI147" s="220">
        <f t="shared" si="3"/>
        <v>0</v>
      </c>
    </row>
    <row r="148" spans="2:35" ht="15" hidden="1" customHeight="1" x14ac:dyDescent="0.25">
      <c r="B148" s="212"/>
      <c r="C148" s="211"/>
      <c r="D148" s="207">
        <f>SUMIFS('сентябрь 2023'!$G$4:$G$1053,'сентябрь 2023'!$D$4:$D$1053,$B148,'сентябрь 2023'!$J$4:$J$1053,D$1)</f>
        <v>0</v>
      </c>
      <c r="E148" s="207">
        <f>SUMIFS('сентябрь 2023'!$G$4:$G$1053,'сентябрь 2023'!$D$4:$D$1053,$B148,'сентябрь 2023'!$J$4:$J$1053,E$1)</f>
        <v>0</v>
      </c>
      <c r="F148" s="207">
        <f>SUMIFS('сентябрь 2023'!$G$4:$G$1053,'сентябрь 2023'!$D$4:$D$1053,$B148,'сентябрь 2023'!$J$4:$J$1053,F$1)</f>
        <v>0</v>
      </c>
      <c r="G148" s="207">
        <f>SUMIFS('сентябрь 2023'!$G$4:$G$1053,'сентябрь 2023'!$D$4:$D$1053,$B148,'сентябрь 2023'!$J$4:$J$1053,G$1)</f>
        <v>0</v>
      </c>
      <c r="H148" s="207">
        <f>SUMIFS('сентябрь 2023'!$G$4:$G$1053,'сентябрь 2023'!$D$4:$D$1053,$B148,'сентябрь 2023'!$J$4:$J$1053,H$1)</f>
        <v>0</v>
      </c>
      <c r="I148" s="207">
        <f>SUMIFS('сентябрь 2023'!$G$4:$G$1053,'сентябрь 2023'!$D$4:$D$1053,$B148,'сентябрь 2023'!$J$4:$J$1053,I$1)</f>
        <v>0</v>
      </c>
      <c r="J148" s="207">
        <f>SUMIFS('сентябрь 2023'!$G$4:$G$1053,'сентябрь 2023'!$D$4:$D$1053,$B148,'сентябрь 2023'!$J$4:$J$1053,J$1)</f>
        <v>0</v>
      </c>
      <c r="K148" s="207">
        <f>SUMIFS('сентябрь 2023'!$G$4:$G$1053,'сентябрь 2023'!$D$4:$D$1053,$B148,'сентябрь 2023'!$J$4:$J$1053,K$1)</f>
        <v>0</v>
      </c>
      <c r="L148" s="207">
        <f>SUMIFS('сентябрь 2023'!$G$4:$G$1053,'сентябрь 2023'!$D$4:$D$1053,$B148,'сентябрь 2023'!$J$4:$J$1053,L$1)</f>
        <v>0</v>
      </c>
      <c r="M148" s="207">
        <f>SUMIFS('сентябрь 2023'!$G$4:$G$1053,'сентябрь 2023'!$D$4:$D$1053,$B148,'сентябрь 2023'!$J$4:$J$1053,M$1)</f>
        <v>0</v>
      </c>
      <c r="N148" s="207">
        <f>SUMIFS('сентябрь 2023'!$G$4:$G$1053,'сентябрь 2023'!$D$4:$D$1053,$B148,'сентябрь 2023'!$J$4:$J$1053,N$1)</f>
        <v>0</v>
      </c>
      <c r="O148" s="207">
        <f>SUMIFS('сентябрь 2023'!$G$4:$G$1053,'сентябрь 2023'!$D$4:$D$1053,$B148,'сентябрь 2023'!$J$4:$J$1053,O$1)</f>
        <v>0</v>
      </c>
      <c r="P148" s="207">
        <f>SUMIFS('сентябрь 2023'!$G$4:$G$1053,'сентябрь 2023'!$D$4:$D$1053,$B148,'сентябрь 2023'!$J$4:$J$1053,P$1)</f>
        <v>0</v>
      </c>
      <c r="Q148" s="207">
        <f>SUMIFS('сентябрь 2023'!$G$4:$G$1053,'сентябрь 2023'!$D$4:$D$1053,$B148,'сентябрь 2023'!$J$4:$J$1053,Q$1)</f>
        <v>0</v>
      </c>
      <c r="R148" s="207">
        <f>SUMIFS('сентябрь 2023'!$G$4:$G$1053,'сентябрь 2023'!$D$4:$D$1053,$B148,'сентябрь 2023'!$J$4:$J$1053,R$1)</f>
        <v>0</v>
      </c>
      <c r="S148" s="207">
        <f>SUMIFS('сентябрь 2023'!$G$4:$G$1053,'сентябрь 2023'!$D$4:$D$1053,$B148,'сентябрь 2023'!$J$4:$J$1053,S$1)</f>
        <v>0</v>
      </c>
      <c r="T148" s="207">
        <f>SUMIFS('сентябрь 2023'!$G$4:$G$1053,'сентябрь 2023'!$D$4:$D$1053,$B148,'сентябрь 2023'!$J$4:$J$1053,T$1)</f>
        <v>0</v>
      </c>
      <c r="U148" s="207">
        <f>SUMIFS('сентябрь 2023'!$G$4:$G$1053,'сентябрь 2023'!$D$4:$D$1053,$B148,'сентябрь 2023'!$J$4:$J$1053,U$1)</f>
        <v>0</v>
      </c>
      <c r="V148" s="207">
        <f>SUMIFS('сентябрь 2023'!$G$4:$G$1053,'сентябрь 2023'!$D$4:$D$1053,$B148,'сентябрь 2023'!$J$4:$J$1053,V$1)</f>
        <v>0</v>
      </c>
      <c r="W148" s="207">
        <f>SUMIFS('сентябрь 2023'!$G$4:$G$1053,'сентябрь 2023'!$D$4:$D$1053,$B148,'сентябрь 2023'!$J$4:$J$1053,W$1)</f>
        <v>0</v>
      </c>
      <c r="X148" s="207">
        <f>SUMIFS('сентябрь 2023'!$G$4:$G$1053,'сентябрь 2023'!$D$4:$D$1053,$B148,'сентябрь 2023'!$J$4:$J$1053,X$1)</f>
        <v>0</v>
      </c>
      <c r="Y148" s="207">
        <f>SUMIFS('сентябрь 2023'!$G$4:$G$1053,'сентябрь 2023'!$D$4:$D$1053,$B148,'сентябрь 2023'!$J$4:$J$1053,Y$1)</f>
        <v>0</v>
      </c>
      <c r="Z148" s="207">
        <f>SUMIFS('сентябрь 2023'!$G$4:$G$1053,'сентябрь 2023'!$D$4:$D$1053,$B148,'сентябрь 2023'!$J$4:$J$1053,Z$1)</f>
        <v>0</v>
      </c>
      <c r="AA148" s="207">
        <f>SUMIFS('сентябрь 2023'!$G$4:$G$1053,'сентябрь 2023'!$D$4:$D$1053,$B148,'сентябрь 2023'!$J$4:$J$1053,AA$1)</f>
        <v>0</v>
      </c>
      <c r="AB148" s="207">
        <f>SUMIFS('сентябрь 2023'!$G$4:$G$1053,'сентябрь 2023'!$D$4:$D$1053,$B148,'сентябрь 2023'!$J$4:$J$1053,AB$1)</f>
        <v>0</v>
      </c>
      <c r="AC148" s="207">
        <f>SUMIFS('сентябрь 2023'!$G$4:$G$1053,'сентябрь 2023'!$D$4:$D$1053,$B148,'сентябрь 2023'!$J$4:$J$1053,AC$1)</f>
        <v>0</v>
      </c>
      <c r="AD148" s="207">
        <f>SUMIFS('сентябрь 2023'!$G$4:$G$1053,'сентябрь 2023'!$D$4:$D$1053,$B148,'сентябрь 2023'!$J$4:$J$1053,AD$1)</f>
        <v>0</v>
      </c>
      <c r="AE148" s="207">
        <f>SUMIFS('сентябрь 2023'!$G$4:$G$1053,'сентябрь 2023'!$D$4:$D$1053,$B148,'сентябрь 2023'!$J$4:$J$1053,AE$1)</f>
        <v>0</v>
      </c>
      <c r="AF148" s="207">
        <f>SUMIFS('сентябрь 2023'!$G$4:$G$1053,'сентябрь 2023'!$D$4:$D$1053,$B148,'сентябрь 2023'!$J$4:$J$1053,AF$1)</f>
        <v>0</v>
      </c>
      <c r="AG148" s="207">
        <f>SUMIFS('сентябрь 2023'!$G$4:$G$1053,'сентябрь 2023'!$D$4:$D$1053,$B148,'сентябрь 2023'!$J$4:$J$1053,AG$1)</f>
        <v>0</v>
      </c>
      <c r="AH148" s="207">
        <f>SUMIFS('сентябрь 2023'!$G$4:$G$1053,'сентябрь 2023'!$D$4:$D$1053,$B148,'сентябрь 2023'!$J$4:$J$1053,AH$1)</f>
        <v>0</v>
      </c>
      <c r="AI148" s="220">
        <f t="shared" si="3"/>
        <v>0</v>
      </c>
    </row>
    <row r="149" spans="2:35" ht="15" hidden="1" customHeight="1" x14ac:dyDescent="0.25">
      <c r="B149" s="212"/>
      <c r="C149" s="215"/>
      <c r="D149" s="207">
        <f>SUMIFS('сентябрь 2023'!$G$4:$G$1053,'сентябрь 2023'!$D$4:$D$1053,$B149,'сентябрь 2023'!$J$4:$J$1053,D$1)</f>
        <v>0</v>
      </c>
      <c r="E149" s="207">
        <f>SUMIFS('сентябрь 2023'!$G$4:$G$1053,'сентябрь 2023'!$D$4:$D$1053,$B149,'сентябрь 2023'!$J$4:$J$1053,E$1)</f>
        <v>0</v>
      </c>
      <c r="F149" s="207">
        <f>SUMIFS('сентябрь 2023'!$G$4:$G$1053,'сентябрь 2023'!$D$4:$D$1053,$B149,'сентябрь 2023'!$J$4:$J$1053,F$1)</f>
        <v>0</v>
      </c>
      <c r="G149" s="207">
        <f>SUMIFS('сентябрь 2023'!$G$4:$G$1053,'сентябрь 2023'!$D$4:$D$1053,$B149,'сентябрь 2023'!$J$4:$J$1053,G$1)</f>
        <v>0</v>
      </c>
      <c r="H149" s="207">
        <f>SUMIFS('сентябрь 2023'!$G$4:$G$1053,'сентябрь 2023'!$D$4:$D$1053,$B149,'сентябрь 2023'!$J$4:$J$1053,H$1)</f>
        <v>0</v>
      </c>
      <c r="I149" s="207">
        <f>SUMIFS('сентябрь 2023'!$G$4:$G$1053,'сентябрь 2023'!$D$4:$D$1053,$B149,'сентябрь 2023'!$J$4:$J$1053,I$1)</f>
        <v>0</v>
      </c>
      <c r="J149" s="207">
        <f>SUMIFS('сентябрь 2023'!$G$4:$G$1053,'сентябрь 2023'!$D$4:$D$1053,$B149,'сентябрь 2023'!$J$4:$J$1053,J$1)</f>
        <v>0</v>
      </c>
      <c r="K149" s="207">
        <f>SUMIFS('сентябрь 2023'!$G$4:$G$1053,'сентябрь 2023'!$D$4:$D$1053,$B149,'сентябрь 2023'!$J$4:$J$1053,K$1)</f>
        <v>0</v>
      </c>
      <c r="L149" s="207">
        <f>SUMIFS('сентябрь 2023'!$G$4:$G$1053,'сентябрь 2023'!$D$4:$D$1053,$B149,'сентябрь 2023'!$J$4:$J$1053,L$1)</f>
        <v>0</v>
      </c>
      <c r="M149" s="207">
        <f>SUMIFS('сентябрь 2023'!$G$4:$G$1053,'сентябрь 2023'!$D$4:$D$1053,$B149,'сентябрь 2023'!$J$4:$J$1053,M$1)</f>
        <v>0</v>
      </c>
      <c r="N149" s="207">
        <f>SUMIFS('сентябрь 2023'!$G$4:$G$1053,'сентябрь 2023'!$D$4:$D$1053,$B149,'сентябрь 2023'!$J$4:$J$1053,N$1)</f>
        <v>0</v>
      </c>
      <c r="O149" s="207">
        <f>SUMIFS('сентябрь 2023'!$G$4:$G$1053,'сентябрь 2023'!$D$4:$D$1053,$B149,'сентябрь 2023'!$J$4:$J$1053,O$1)</f>
        <v>0</v>
      </c>
      <c r="P149" s="207">
        <f>SUMIFS('сентябрь 2023'!$G$4:$G$1053,'сентябрь 2023'!$D$4:$D$1053,$B149,'сентябрь 2023'!$J$4:$J$1053,P$1)</f>
        <v>0</v>
      </c>
      <c r="Q149" s="207">
        <f>SUMIFS('сентябрь 2023'!$G$4:$G$1053,'сентябрь 2023'!$D$4:$D$1053,$B149,'сентябрь 2023'!$J$4:$J$1053,Q$1)</f>
        <v>0</v>
      </c>
      <c r="R149" s="207">
        <f>SUMIFS('сентябрь 2023'!$G$4:$G$1053,'сентябрь 2023'!$D$4:$D$1053,$B149,'сентябрь 2023'!$J$4:$J$1053,R$1)</f>
        <v>0</v>
      </c>
      <c r="S149" s="207">
        <f>SUMIFS('сентябрь 2023'!$G$4:$G$1053,'сентябрь 2023'!$D$4:$D$1053,$B149,'сентябрь 2023'!$J$4:$J$1053,S$1)</f>
        <v>0</v>
      </c>
      <c r="T149" s="207">
        <f>SUMIFS('сентябрь 2023'!$G$4:$G$1053,'сентябрь 2023'!$D$4:$D$1053,$B149,'сентябрь 2023'!$J$4:$J$1053,T$1)</f>
        <v>0</v>
      </c>
      <c r="U149" s="207">
        <f>SUMIFS('сентябрь 2023'!$G$4:$G$1053,'сентябрь 2023'!$D$4:$D$1053,$B149,'сентябрь 2023'!$J$4:$J$1053,U$1)</f>
        <v>0</v>
      </c>
      <c r="V149" s="207">
        <f>SUMIFS('сентябрь 2023'!$G$4:$G$1053,'сентябрь 2023'!$D$4:$D$1053,$B149,'сентябрь 2023'!$J$4:$J$1053,V$1)</f>
        <v>0</v>
      </c>
      <c r="W149" s="207">
        <f>SUMIFS('сентябрь 2023'!$G$4:$G$1053,'сентябрь 2023'!$D$4:$D$1053,$B149,'сентябрь 2023'!$J$4:$J$1053,W$1)</f>
        <v>0</v>
      </c>
      <c r="X149" s="207">
        <f>SUMIFS('сентябрь 2023'!$G$4:$G$1053,'сентябрь 2023'!$D$4:$D$1053,$B149,'сентябрь 2023'!$J$4:$J$1053,X$1)</f>
        <v>0</v>
      </c>
      <c r="Y149" s="207">
        <f>SUMIFS('сентябрь 2023'!$G$4:$G$1053,'сентябрь 2023'!$D$4:$D$1053,$B149,'сентябрь 2023'!$J$4:$J$1053,Y$1)</f>
        <v>0</v>
      </c>
      <c r="Z149" s="207">
        <f>SUMIFS('сентябрь 2023'!$G$4:$G$1053,'сентябрь 2023'!$D$4:$D$1053,$B149,'сентябрь 2023'!$J$4:$J$1053,Z$1)</f>
        <v>0</v>
      </c>
      <c r="AA149" s="207">
        <f>SUMIFS('сентябрь 2023'!$G$4:$G$1053,'сентябрь 2023'!$D$4:$D$1053,$B149,'сентябрь 2023'!$J$4:$J$1053,AA$1)</f>
        <v>0</v>
      </c>
      <c r="AB149" s="207">
        <f>SUMIFS('сентябрь 2023'!$G$4:$G$1053,'сентябрь 2023'!$D$4:$D$1053,$B149,'сентябрь 2023'!$J$4:$J$1053,AB$1)</f>
        <v>0</v>
      </c>
      <c r="AC149" s="207">
        <f>SUMIFS('сентябрь 2023'!$G$4:$G$1053,'сентябрь 2023'!$D$4:$D$1053,$B149,'сентябрь 2023'!$J$4:$J$1053,AC$1)</f>
        <v>0</v>
      </c>
      <c r="AD149" s="207">
        <f>SUMIFS('сентябрь 2023'!$G$4:$G$1053,'сентябрь 2023'!$D$4:$D$1053,$B149,'сентябрь 2023'!$J$4:$J$1053,AD$1)</f>
        <v>0</v>
      </c>
      <c r="AE149" s="207">
        <f>SUMIFS('сентябрь 2023'!$G$4:$G$1053,'сентябрь 2023'!$D$4:$D$1053,$B149,'сентябрь 2023'!$J$4:$J$1053,AE$1)</f>
        <v>0</v>
      </c>
      <c r="AF149" s="207">
        <f>SUMIFS('сентябрь 2023'!$G$4:$G$1053,'сентябрь 2023'!$D$4:$D$1053,$B149,'сентябрь 2023'!$J$4:$J$1053,AF$1)</f>
        <v>0</v>
      </c>
      <c r="AG149" s="207">
        <f>SUMIFS('сентябрь 2023'!$G$4:$G$1053,'сентябрь 2023'!$D$4:$D$1053,$B149,'сентябрь 2023'!$J$4:$J$1053,AG$1)</f>
        <v>0</v>
      </c>
      <c r="AH149" s="207">
        <f>SUMIFS('сентябрь 2023'!$G$4:$G$1053,'сентябрь 2023'!$D$4:$D$1053,$B149,'сентябрь 2023'!$J$4:$J$1053,AH$1)</f>
        <v>0</v>
      </c>
      <c r="AI149" s="220">
        <f t="shared" si="3"/>
        <v>0</v>
      </c>
    </row>
    <row r="150" spans="2:35" ht="15" hidden="1" customHeight="1" x14ac:dyDescent="0.25">
      <c r="B150" s="212"/>
      <c r="C150" s="213"/>
      <c r="D150" s="207">
        <f>SUMIFS('сентябрь 2023'!$G$4:$G$1053,'сентябрь 2023'!$D$4:$D$1053,$B150,'сентябрь 2023'!$J$4:$J$1053,D$1)</f>
        <v>0</v>
      </c>
      <c r="E150" s="207">
        <f>SUMIFS('сентябрь 2023'!$G$4:$G$1053,'сентябрь 2023'!$D$4:$D$1053,$B150,'сентябрь 2023'!$J$4:$J$1053,E$1)</f>
        <v>0</v>
      </c>
      <c r="F150" s="207">
        <f>SUMIFS('сентябрь 2023'!$G$4:$G$1053,'сентябрь 2023'!$D$4:$D$1053,$B150,'сентябрь 2023'!$J$4:$J$1053,F$1)</f>
        <v>0</v>
      </c>
      <c r="G150" s="207">
        <f>SUMIFS('сентябрь 2023'!$G$4:$G$1053,'сентябрь 2023'!$D$4:$D$1053,$B150,'сентябрь 2023'!$J$4:$J$1053,G$1)</f>
        <v>0</v>
      </c>
      <c r="H150" s="207">
        <f>SUMIFS('сентябрь 2023'!$G$4:$G$1053,'сентябрь 2023'!$D$4:$D$1053,$B150,'сентябрь 2023'!$J$4:$J$1053,H$1)</f>
        <v>0</v>
      </c>
      <c r="I150" s="207">
        <f>SUMIFS('сентябрь 2023'!$G$4:$G$1053,'сентябрь 2023'!$D$4:$D$1053,$B150,'сентябрь 2023'!$J$4:$J$1053,I$1)</f>
        <v>0</v>
      </c>
      <c r="J150" s="207">
        <f>SUMIFS('сентябрь 2023'!$G$4:$G$1053,'сентябрь 2023'!$D$4:$D$1053,$B150,'сентябрь 2023'!$J$4:$J$1053,J$1)</f>
        <v>0</v>
      </c>
      <c r="K150" s="207">
        <f>SUMIFS('сентябрь 2023'!$G$4:$G$1053,'сентябрь 2023'!$D$4:$D$1053,$B150,'сентябрь 2023'!$J$4:$J$1053,K$1)</f>
        <v>0</v>
      </c>
      <c r="L150" s="207">
        <f>SUMIFS('сентябрь 2023'!$G$4:$G$1053,'сентябрь 2023'!$D$4:$D$1053,$B150,'сентябрь 2023'!$J$4:$J$1053,L$1)</f>
        <v>0</v>
      </c>
      <c r="M150" s="207">
        <f>SUMIFS('сентябрь 2023'!$G$4:$G$1053,'сентябрь 2023'!$D$4:$D$1053,$B150,'сентябрь 2023'!$J$4:$J$1053,M$1)</f>
        <v>0</v>
      </c>
      <c r="N150" s="207">
        <f>SUMIFS('сентябрь 2023'!$G$4:$G$1053,'сентябрь 2023'!$D$4:$D$1053,$B150,'сентябрь 2023'!$J$4:$J$1053,N$1)</f>
        <v>0</v>
      </c>
      <c r="O150" s="207">
        <f>SUMIFS('сентябрь 2023'!$G$4:$G$1053,'сентябрь 2023'!$D$4:$D$1053,$B150,'сентябрь 2023'!$J$4:$J$1053,O$1)</f>
        <v>0</v>
      </c>
      <c r="P150" s="207">
        <f>SUMIFS('сентябрь 2023'!$G$4:$G$1053,'сентябрь 2023'!$D$4:$D$1053,$B150,'сентябрь 2023'!$J$4:$J$1053,P$1)</f>
        <v>0</v>
      </c>
      <c r="Q150" s="207">
        <f>SUMIFS('сентябрь 2023'!$G$4:$G$1053,'сентябрь 2023'!$D$4:$D$1053,$B150,'сентябрь 2023'!$J$4:$J$1053,Q$1)</f>
        <v>0</v>
      </c>
      <c r="R150" s="207">
        <f>SUMIFS('сентябрь 2023'!$G$4:$G$1053,'сентябрь 2023'!$D$4:$D$1053,$B150,'сентябрь 2023'!$J$4:$J$1053,R$1)</f>
        <v>0</v>
      </c>
      <c r="S150" s="207">
        <f>SUMIFS('сентябрь 2023'!$G$4:$G$1053,'сентябрь 2023'!$D$4:$D$1053,$B150,'сентябрь 2023'!$J$4:$J$1053,S$1)</f>
        <v>0</v>
      </c>
      <c r="T150" s="207">
        <f>SUMIFS('сентябрь 2023'!$G$4:$G$1053,'сентябрь 2023'!$D$4:$D$1053,$B150,'сентябрь 2023'!$J$4:$J$1053,T$1)</f>
        <v>0</v>
      </c>
      <c r="U150" s="207">
        <f>SUMIFS('сентябрь 2023'!$G$4:$G$1053,'сентябрь 2023'!$D$4:$D$1053,$B150,'сентябрь 2023'!$J$4:$J$1053,U$1)</f>
        <v>0</v>
      </c>
      <c r="V150" s="207">
        <f>SUMIFS('сентябрь 2023'!$G$4:$G$1053,'сентябрь 2023'!$D$4:$D$1053,$B150,'сентябрь 2023'!$J$4:$J$1053,V$1)</f>
        <v>0</v>
      </c>
      <c r="W150" s="207">
        <f>SUMIFS('сентябрь 2023'!$G$4:$G$1053,'сентябрь 2023'!$D$4:$D$1053,$B150,'сентябрь 2023'!$J$4:$J$1053,W$1)</f>
        <v>0</v>
      </c>
      <c r="X150" s="207">
        <f>SUMIFS('сентябрь 2023'!$G$4:$G$1053,'сентябрь 2023'!$D$4:$D$1053,$B150,'сентябрь 2023'!$J$4:$J$1053,X$1)</f>
        <v>0</v>
      </c>
      <c r="Y150" s="207">
        <f>SUMIFS('сентябрь 2023'!$G$4:$G$1053,'сентябрь 2023'!$D$4:$D$1053,$B150,'сентябрь 2023'!$J$4:$J$1053,Y$1)</f>
        <v>0</v>
      </c>
      <c r="Z150" s="207">
        <f>SUMIFS('сентябрь 2023'!$G$4:$G$1053,'сентябрь 2023'!$D$4:$D$1053,$B150,'сентябрь 2023'!$J$4:$J$1053,Z$1)</f>
        <v>0</v>
      </c>
      <c r="AA150" s="207">
        <f>SUMIFS('сентябрь 2023'!$G$4:$G$1053,'сентябрь 2023'!$D$4:$D$1053,$B150,'сентябрь 2023'!$J$4:$J$1053,AA$1)</f>
        <v>0</v>
      </c>
      <c r="AB150" s="207">
        <f>SUMIFS('сентябрь 2023'!$G$4:$G$1053,'сентябрь 2023'!$D$4:$D$1053,$B150,'сентябрь 2023'!$J$4:$J$1053,AB$1)</f>
        <v>0</v>
      </c>
      <c r="AC150" s="207">
        <f>SUMIFS('сентябрь 2023'!$G$4:$G$1053,'сентябрь 2023'!$D$4:$D$1053,$B150,'сентябрь 2023'!$J$4:$J$1053,AC$1)</f>
        <v>0</v>
      </c>
      <c r="AD150" s="207">
        <f>SUMIFS('сентябрь 2023'!$G$4:$G$1053,'сентябрь 2023'!$D$4:$D$1053,$B150,'сентябрь 2023'!$J$4:$J$1053,AD$1)</f>
        <v>0</v>
      </c>
      <c r="AE150" s="207">
        <f>SUMIFS('сентябрь 2023'!$G$4:$G$1053,'сентябрь 2023'!$D$4:$D$1053,$B150,'сентябрь 2023'!$J$4:$J$1053,AE$1)</f>
        <v>0</v>
      </c>
      <c r="AF150" s="207">
        <f>SUMIFS('сентябрь 2023'!$G$4:$G$1053,'сентябрь 2023'!$D$4:$D$1053,$B150,'сентябрь 2023'!$J$4:$J$1053,AF$1)</f>
        <v>0</v>
      </c>
      <c r="AG150" s="207">
        <f>SUMIFS('сентябрь 2023'!$G$4:$G$1053,'сентябрь 2023'!$D$4:$D$1053,$B150,'сентябрь 2023'!$J$4:$J$1053,AG$1)</f>
        <v>0</v>
      </c>
      <c r="AH150" s="207">
        <f>SUMIFS('сентябрь 2023'!$G$4:$G$1053,'сентябрь 2023'!$D$4:$D$1053,$B150,'сентябрь 2023'!$J$4:$J$1053,AH$1)</f>
        <v>0</v>
      </c>
      <c r="AI150" s="220">
        <f t="shared" si="3"/>
        <v>0</v>
      </c>
    </row>
    <row r="151" spans="2:35" ht="15" hidden="1" customHeight="1" x14ac:dyDescent="0.25">
      <c r="B151" s="216"/>
      <c r="C151" s="213"/>
      <c r="D151" s="207">
        <f>SUMIFS('сентябрь 2023'!$G$4:$G$1053,'сентябрь 2023'!$D$4:$D$1053,$B151,'сентябрь 2023'!$J$4:$J$1053,D$1)</f>
        <v>0</v>
      </c>
      <c r="E151" s="207">
        <f>SUMIFS('сентябрь 2023'!$G$4:$G$1053,'сентябрь 2023'!$D$4:$D$1053,$B151,'сентябрь 2023'!$J$4:$J$1053,E$1)</f>
        <v>0</v>
      </c>
      <c r="F151" s="207">
        <f>SUMIFS('сентябрь 2023'!$G$4:$G$1053,'сентябрь 2023'!$D$4:$D$1053,$B151,'сентябрь 2023'!$J$4:$J$1053,F$1)</f>
        <v>0</v>
      </c>
      <c r="G151" s="207">
        <f>SUMIFS('сентябрь 2023'!$G$4:$G$1053,'сентябрь 2023'!$D$4:$D$1053,$B151,'сентябрь 2023'!$J$4:$J$1053,G$1)</f>
        <v>0</v>
      </c>
      <c r="H151" s="207">
        <f>SUMIFS('сентябрь 2023'!$G$4:$G$1053,'сентябрь 2023'!$D$4:$D$1053,$B151,'сентябрь 2023'!$J$4:$J$1053,H$1)</f>
        <v>0</v>
      </c>
      <c r="I151" s="207">
        <f>SUMIFS('сентябрь 2023'!$G$4:$G$1053,'сентябрь 2023'!$D$4:$D$1053,$B151,'сентябрь 2023'!$J$4:$J$1053,I$1)</f>
        <v>0</v>
      </c>
      <c r="J151" s="207">
        <f>SUMIFS('сентябрь 2023'!$G$4:$G$1053,'сентябрь 2023'!$D$4:$D$1053,$B151,'сентябрь 2023'!$J$4:$J$1053,J$1)</f>
        <v>0</v>
      </c>
      <c r="K151" s="207">
        <f>SUMIFS('сентябрь 2023'!$G$4:$G$1053,'сентябрь 2023'!$D$4:$D$1053,$B151,'сентябрь 2023'!$J$4:$J$1053,K$1)</f>
        <v>0</v>
      </c>
      <c r="L151" s="207">
        <f>SUMIFS('сентябрь 2023'!$G$4:$G$1053,'сентябрь 2023'!$D$4:$D$1053,$B151,'сентябрь 2023'!$J$4:$J$1053,L$1)</f>
        <v>0</v>
      </c>
      <c r="M151" s="207">
        <f>SUMIFS('сентябрь 2023'!$G$4:$G$1053,'сентябрь 2023'!$D$4:$D$1053,$B151,'сентябрь 2023'!$J$4:$J$1053,M$1)</f>
        <v>0</v>
      </c>
      <c r="N151" s="207">
        <f>SUMIFS('сентябрь 2023'!$G$4:$G$1053,'сентябрь 2023'!$D$4:$D$1053,$B151,'сентябрь 2023'!$J$4:$J$1053,N$1)</f>
        <v>0</v>
      </c>
      <c r="O151" s="207">
        <f>SUMIFS('сентябрь 2023'!$G$4:$G$1053,'сентябрь 2023'!$D$4:$D$1053,$B151,'сентябрь 2023'!$J$4:$J$1053,O$1)</f>
        <v>0</v>
      </c>
      <c r="P151" s="207">
        <f>SUMIFS('сентябрь 2023'!$G$4:$G$1053,'сентябрь 2023'!$D$4:$D$1053,$B151,'сентябрь 2023'!$J$4:$J$1053,P$1)</f>
        <v>0</v>
      </c>
      <c r="Q151" s="207">
        <f>SUMIFS('сентябрь 2023'!$G$4:$G$1053,'сентябрь 2023'!$D$4:$D$1053,$B151,'сентябрь 2023'!$J$4:$J$1053,Q$1)</f>
        <v>0</v>
      </c>
      <c r="R151" s="207">
        <f>SUMIFS('сентябрь 2023'!$G$4:$G$1053,'сентябрь 2023'!$D$4:$D$1053,$B151,'сентябрь 2023'!$J$4:$J$1053,R$1)</f>
        <v>0</v>
      </c>
      <c r="S151" s="207">
        <f>SUMIFS('сентябрь 2023'!$G$4:$G$1053,'сентябрь 2023'!$D$4:$D$1053,$B151,'сентябрь 2023'!$J$4:$J$1053,S$1)</f>
        <v>0</v>
      </c>
      <c r="T151" s="207">
        <f>SUMIFS('сентябрь 2023'!$G$4:$G$1053,'сентябрь 2023'!$D$4:$D$1053,$B151,'сентябрь 2023'!$J$4:$J$1053,T$1)</f>
        <v>0</v>
      </c>
      <c r="U151" s="207">
        <f>SUMIFS('сентябрь 2023'!$G$4:$G$1053,'сентябрь 2023'!$D$4:$D$1053,$B151,'сентябрь 2023'!$J$4:$J$1053,U$1)</f>
        <v>0</v>
      </c>
      <c r="V151" s="207">
        <f>SUMIFS('сентябрь 2023'!$G$4:$G$1053,'сентябрь 2023'!$D$4:$D$1053,$B151,'сентябрь 2023'!$J$4:$J$1053,V$1)</f>
        <v>0</v>
      </c>
      <c r="W151" s="207">
        <f>SUMIFS('сентябрь 2023'!$G$4:$G$1053,'сентябрь 2023'!$D$4:$D$1053,$B151,'сентябрь 2023'!$J$4:$J$1053,W$1)</f>
        <v>0</v>
      </c>
      <c r="X151" s="207">
        <f>SUMIFS('сентябрь 2023'!$G$4:$G$1053,'сентябрь 2023'!$D$4:$D$1053,$B151,'сентябрь 2023'!$J$4:$J$1053,X$1)</f>
        <v>0</v>
      </c>
      <c r="Y151" s="207">
        <f>SUMIFS('сентябрь 2023'!$G$4:$G$1053,'сентябрь 2023'!$D$4:$D$1053,$B151,'сентябрь 2023'!$J$4:$J$1053,Y$1)</f>
        <v>0</v>
      </c>
      <c r="Z151" s="207">
        <f>SUMIFS('сентябрь 2023'!$G$4:$G$1053,'сентябрь 2023'!$D$4:$D$1053,$B151,'сентябрь 2023'!$J$4:$J$1053,Z$1)</f>
        <v>0</v>
      </c>
      <c r="AA151" s="207">
        <f>SUMIFS('сентябрь 2023'!$G$4:$G$1053,'сентябрь 2023'!$D$4:$D$1053,$B151,'сентябрь 2023'!$J$4:$J$1053,AA$1)</f>
        <v>0</v>
      </c>
      <c r="AB151" s="207">
        <f>SUMIFS('сентябрь 2023'!$G$4:$G$1053,'сентябрь 2023'!$D$4:$D$1053,$B151,'сентябрь 2023'!$J$4:$J$1053,AB$1)</f>
        <v>0</v>
      </c>
      <c r="AC151" s="207">
        <f>SUMIFS('сентябрь 2023'!$G$4:$G$1053,'сентябрь 2023'!$D$4:$D$1053,$B151,'сентябрь 2023'!$J$4:$J$1053,AC$1)</f>
        <v>0</v>
      </c>
      <c r="AD151" s="207">
        <f>SUMIFS('сентябрь 2023'!$G$4:$G$1053,'сентябрь 2023'!$D$4:$D$1053,$B151,'сентябрь 2023'!$J$4:$J$1053,AD$1)</f>
        <v>0</v>
      </c>
      <c r="AE151" s="207">
        <f>SUMIFS('сентябрь 2023'!$G$4:$G$1053,'сентябрь 2023'!$D$4:$D$1053,$B151,'сентябрь 2023'!$J$4:$J$1053,AE$1)</f>
        <v>0</v>
      </c>
      <c r="AF151" s="207">
        <f>SUMIFS('сентябрь 2023'!$G$4:$G$1053,'сентябрь 2023'!$D$4:$D$1053,$B151,'сентябрь 2023'!$J$4:$J$1053,AF$1)</f>
        <v>0</v>
      </c>
      <c r="AG151" s="207">
        <f>SUMIFS('сентябрь 2023'!$G$4:$G$1053,'сентябрь 2023'!$D$4:$D$1053,$B151,'сентябрь 2023'!$J$4:$J$1053,AG$1)</f>
        <v>0</v>
      </c>
      <c r="AH151" s="207">
        <f>SUMIFS('сентябрь 2023'!$G$4:$G$1053,'сентябрь 2023'!$D$4:$D$1053,$B151,'сентябрь 2023'!$J$4:$J$1053,AH$1)</f>
        <v>0</v>
      </c>
      <c r="AI151" s="220">
        <f t="shared" si="3"/>
        <v>0</v>
      </c>
    </row>
    <row r="152" spans="2:35" ht="15" hidden="1" customHeight="1" x14ac:dyDescent="0.25">
      <c r="B152" s="212"/>
      <c r="C152" s="211"/>
      <c r="D152" s="207">
        <f>SUMIFS('сентябрь 2023'!$G$4:$G$1053,'сентябрь 2023'!$D$4:$D$1053,$B152,'сентябрь 2023'!$J$4:$J$1053,D$1)</f>
        <v>0</v>
      </c>
      <c r="E152" s="207">
        <f>SUMIFS('сентябрь 2023'!$G$4:$G$1053,'сентябрь 2023'!$D$4:$D$1053,$B152,'сентябрь 2023'!$J$4:$J$1053,E$1)</f>
        <v>0</v>
      </c>
      <c r="F152" s="207">
        <f>SUMIFS('сентябрь 2023'!$G$4:$G$1053,'сентябрь 2023'!$D$4:$D$1053,$B152,'сентябрь 2023'!$J$4:$J$1053,F$1)</f>
        <v>0</v>
      </c>
      <c r="G152" s="207">
        <f>SUMIFS('сентябрь 2023'!$G$4:$G$1053,'сентябрь 2023'!$D$4:$D$1053,$B152,'сентябрь 2023'!$J$4:$J$1053,G$1)</f>
        <v>0</v>
      </c>
      <c r="H152" s="207">
        <f>SUMIFS('сентябрь 2023'!$G$4:$G$1053,'сентябрь 2023'!$D$4:$D$1053,$B152,'сентябрь 2023'!$J$4:$J$1053,H$1)</f>
        <v>0</v>
      </c>
      <c r="I152" s="207">
        <f>SUMIFS('сентябрь 2023'!$G$4:$G$1053,'сентябрь 2023'!$D$4:$D$1053,$B152,'сентябрь 2023'!$J$4:$J$1053,I$1)</f>
        <v>0</v>
      </c>
      <c r="J152" s="207">
        <f>SUMIFS('сентябрь 2023'!$G$4:$G$1053,'сентябрь 2023'!$D$4:$D$1053,$B152,'сентябрь 2023'!$J$4:$J$1053,J$1)</f>
        <v>0</v>
      </c>
      <c r="K152" s="207">
        <f>SUMIFS('сентябрь 2023'!$G$4:$G$1053,'сентябрь 2023'!$D$4:$D$1053,$B152,'сентябрь 2023'!$J$4:$J$1053,K$1)</f>
        <v>0</v>
      </c>
      <c r="L152" s="207">
        <f>SUMIFS('сентябрь 2023'!$G$4:$G$1053,'сентябрь 2023'!$D$4:$D$1053,$B152,'сентябрь 2023'!$J$4:$J$1053,L$1)</f>
        <v>0</v>
      </c>
      <c r="M152" s="207">
        <f>SUMIFS('сентябрь 2023'!$G$4:$G$1053,'сентябрь 2023'!$D$4:$D$1053,$B152,'сентябрь 2023'!$J$4:$J$1053,M$1)</f>
        <v>0</v>
      </c>
      <c r="N152" s="207">
        <f>SUMIFS('сентябрь 2023'!$G$4:$G$1053,'сентябрь 2023'!$D$4:$D$1053,$B152,'сентябрь 2023'!$J$4:$J$1053,N$1)</f>
        <v>0</v>
      </c>
      <c r="O152" s="207">
        <f>SUMIFS('сентябрь 2023'!$G$4:$G$1053,'сентябрь 2023'!$D$4:$D$1053,$B152,'сентябрь 2023'!$J$4:$J$1053,O$1)</f>
        <v>0</v>
      </c>
      <c r="P152" s="207">
        <f>SUMIFS('сентябрь 2023'!$G$4:$G$1053,'сентябрь 2023'!$D$4:$D$1053,$B152,'сентябрь 2023'!$J$4:$J$1053,P$1)</f>
        <v>0</v>
      </c>
      <c r="Q152" s="207">
        <f>SUMIFS('сентябрь 2023'!$G$4:$G$1053,'сентябрь 2023'!$D$4:$D$1053,$B152,'сентябрь 2023'!$J$4:$J$1053,Q$1)</f>
        <v>0</v>
      </c>
      <c r="R152" s="207">
        <f>SUMIFS('сентябрь 2023'!$G$4:$G$1053,'сентябрь 2023'!$D$4:$D$1053,$B152,'сентябрь 2023'!$J$4:$J$1053,R$1)</f>
        <v>0</v>
      </c>
      <c r="S152" s="207">
        <f>SUMIFS('сентябрь 2023'!$G$4:$G$1053,'сентябрь 2023'!$D$4:$D$1053,$B152,'сентябрь 2023'!$J$4:$J$1053,S$1)</f>
        <v>0</v>
      </c>
      <c r="T152" s="207">
        <f>SUMIFS('сентябрь 2023'!$G$4:$G$1053,'сентябрь 2023'!$D$4:$D$1053,$B152,'сентябрь 2023'!$J$4:$J$1053,T$1)</f>
        <v>0</v>
      </c>
      <c r="U152" s="207">
        <f>SUMIFS('сентябрь 2023'!$G$4:$G$1053,'сентябрь 2023'!$D$4:$D$1053,$B152,'сентябрь 2023'!$J$4:$J$1053,U$1)</f>
        <v>0</v>
      </c>
      <c r="V152" s="207">
        <f>SUMIFS('сентябрь 2023'!$G$4:$G$1053,'сентябрь 2023'!$D$4:$D$1053,$B152,'сентябрь 2023'!$J$4:$J$1053,V$1)</f>
        <v>0</v>
      </c>
      <c r="W152" s="207">
        <f>SUMIFS('сентябрь 2023'!$G$4:$G$1053,'сентябрь 2023'!$D$4:$D$1053,$B152,'сентябрь 2023'!$J$4:$J$1053,W$1)</f>
        <v>0</v>
      </c>
      <c r="X152" s="207">
        <f>SUMIFS('сентябрь 2023'!$G$4:$G$1053,'сентябрь 2023'!$D$4:$D$1053,$B152,'сентябрь 2023'!$J$4:$J$1053,X$1)</f>
        <v>0</v>
      </c>
      <c r="Y152" s="207">
        <f>SUMIFS('сентябрь 2023'!$G$4:$G$1053,'сентябрь 2023'!$D$4:$D$1053,$B152,'сентябрь 2023'!$J$4:$J$1053,Y$1)</f>
        <v>0</v>
      </c>
      <c r="Z152" s="207">
        <f>SUMIFS('сентябрь 2023'!$G$4:$G$1053,'сентябрь 2023'!$D$4:$D$1053,$B152,'сентябрь 2023'!$J$4:$J$1053,Z$1)</f>
        <v>0</v>
      </c>
      <c r="AA152" s="207">
        <f>SUMIFS('сентябрь 2023'!$G$4:$G$1053,'сентябрь 2023'!$D$4:$D$1053,$B152,'сентябрь 2023'!$J$4:$J$1053,AA$1)</f>
        <v>0</v>
      </c>
      <c r="AB152" s="207">
        <f>SUMIFS('сентябрь 2023'!$G$4:$G$1053,'сентябрь 2023'!$D$4:$D$1053,$B152,'сентябрь 2023'!$J$4:$J$1053,AB$1)</f>
        <v>0</v>
      </c>
      <c r="AC152" s="207">
        <f>SUMIFS('сентябрь 2023'!$G$4:$G$1053,'сентябрь 2023'!$D$4:$D$1053,$B152,'сентябрь 2023'!$J$4:$J$1053,AC$1)</f>
        <v>0</v>
      </c>
      <c r="AD152" s="207">
        <f>SUMIFS('сентябрь 2023'!$G$4:$G$1053,'сентябрь 2023'!$D$4:$D$1053,$B152,'сентябрь 2023'!$J$4:$J$1053,AD$1)</f>
        <v>0</v>
      </c>
      <c r="AE152" s="207">
        <f>SUMIFS('сентябрь 2023'!$G$4:$G$1053,'сентябрь 2023'!$D$4:$D$1053,$B152,'сентябрь 2023'!$J$4:$J$1053,AE$1)</f>
        <v>0</v>
      </c>
      <c r="AF152" s="207">
        <f>SUMIFS('сентябрь 2023'!$G$4:$G$1053,'сентябрь 2023'!$D$4:$D$1053,$B152,'сентябрь 2023'!$J$4:$J$1053,AF$1)</f>
        <v>0</v>
      </c>
      <c r="AG152" s="207">
        <f>SUMIFS('сентябрь 2023'!$G$4:$G$1053,'сентябрь 2023'!$D$4:$D$1053,$B152,'сентябрь 2023'!$J$4:$J$1053,AG$1)</f>
        <v>0</v>
      </c>
      <c r="AH152" s="207">
        <f>SUMIFS('сентябрь 2023'!$G$4:$G$1053,'сентябрь 2023'!$D$4:$D$1053,$B152,'сентябрь 2023'!$J$4:$J$1053,AH$1)</f>
        <v>0</v>
      </c>
      <c r="AI152" s="220">
        <f t="shared" si="3"/>
        <v>0</v>
      </c>
    </row>
    <row r="153" spans="2:35" ht="15" hidden="1" customHeight="1" x14ac:dyDescent="0.25">
      <c r="B153" s="212"/>
      <c r="C153" s="213"/>
      <c r="D153" s="207">
        <f>SUMIFS('сентябрь 2023'!$G$4:$G$1053,'сентябрь 2023'!$D$4:$D$1053,$B153,'сентябрь 2023'!$J$4:$J$1053,D$1)</f>
        <v>0</v>
      </c>
      <c r="E153" s="207">
        <f>SUMIFS('сентябрь 2023'!$G$4:$G$1053,'сентябрь 2023'!$D$4:$D$1053,$B153,'сентябрь 2023'!$J$4:$J$1053,E$1)</f>
        <v>0</v>
      </c>
      <c r="F153" s="207">
        <f>SUMIFS('сентябрь 2023'!$G$4:$G$1053,'сентябрь 2023'!$D$4:$D$1053,$B153,'сентябрь 2023'!$J$4:$J$1053,F$1)</f>
        <v>0</v>
      </c>
      <c r="G153" s="207">
        <f>SUMIFS('сентябрь 2023'!$G$4:$G$1053,'сентябрь 2023'!$D$4:$D$1053,$B153,'сентябрь 2023'!$J$4:$J$1053,G$1)</f>
        <v>0</v>
      </c>
      <c r="H153" s="207">
        <f>SUMIFS('сентябрь 2023'!$G$4:$G$1053,'сентябрь 2023'!$D$4:$D$1053,$B153,'сентябрь 2023'!$J$4:$J$1053,H$1)</f>
        <v>0</v>
      </c>
      <c r="I153" s="207">
        <f>SUMIFS('сентябрь 2023'!$G$4:$G$1053,'сентябрь 2023'!$D$4:$D$1053,$B153,'сентябрь 2023'!$J$4:$J$1053,I$1)</f>
        <v>0</v>
      </c>
      <c r="J153" s="207">
        <f>SUMIFS('сентябрь 2023'!$G$4:$G$1053,'сентябрь 2023'!$D$4:$D$1053,$B153,'сентябрь 2023'!$J$4:$J$1053,J$1)</f>
        <v>0</v>
      </c>
      <c r="K153" s="207">
        <f>SUMIFS('сентябрь 2023'!$G$4:$G$1053,'сентябрь 2023'!$D$4:$D$1053,$B153,'сентябрь 2023'!$J$4:$J$1053,K$1)</f>
        <v>0</v>
      </c>
      <c r="L153" s="207">
        <f>SUMIFS('сентябрь 2023'!$G$4:$G$1053,'сентябрь 2023'!$D$4:$D$1053,$B153,'сентябрь 2023'!$J$4:$J$1053,L$1)</f>
        <v>0</v>
      </c>
      <c r="M153" s="207">
        <f>SUMIFS('сентябрь 2023'!$G$4:$G$1053,'сентябрь 2023'!$D$4:$D$1053,$B153,'сентябрь 2023'!$J$4:$J$1053,M$1)</f>
        <v>0</v>
      </c>
      <c r="N153" s="207">
        <f>SUMIFS('сентябрь 2023'!$G$4:$G$1053,'сентябрь 2023'!$D$4:$D$1053,$B153,'сентябрь 2023'!$J$4:$J$1053,N$1)</f>
        <v>0</v>
      </c>
      <c r="O153" s="207">
        <f>SUMIFS('сентябрь 2023'!$G$4:$G$1053,'сентябрь 2023'!$D$4:$D$1053,$B153,'сентябрь 2023'!$J$4:$J$1053,O$1)</f>
        <v>0</v>
      </c>
      <c r="P153" s="207">
        <f>SUMIFS('сентябрь 2023'!$G$4:$G$1053,'сентябрь 2023'!$D$4:$D$1053,$B153,'сентябрь 2023'!$J$4:$J$1053,P$1)</f>
        <v>0</v>
      </c>
      <c r="Q153" s="207">
        <f>SUMIFS('сентябрь 2023'!$G$4:$G$1053,'сентябрь 2023'!$D$4:$D$1053,$B153,'сентябрь 2023'!$J$4:$J$1053,Q$1)</f>
        <v>0</v>
      </c>
      <c r="R153" s="207">
        <f>SUMIFS('сентябрь 2023'!$G$4:$G$1053,'сентябрь 2023'!$D$4:$D$1053,$B153,'сентябрь 2023'!$J$4:$J$1053,R$1)</f>
        <v>0</v>
      </c>
      <c r="S153" s="207">
        <f>SUMIFS('сентябрь 2023'!$G$4:$G$1053,'сентябрь 2023'!$D$4:$D$1053,$B153,'сентябрь 2023'!$J$4:$J$1053,S$1)</f>
        <v>0</v>
      </c>
      <c r="T153" s="207">
        <f>SUMIFS('сентябрь 2023'!$G$4:$G$1053,'сентябрь 2023'!$D$4:$D$1053,$B153,'сентябрь 2023'!$J$4:$J$1053,T$1)</f>
        <v>0</v>
      </c>
      <c r="U153" s="207">
        <f>SUMIFS('сентябрь 2023'!$G$4:$G$1053,'сентябрь 2023'!$D$4:$D$1053,$B153,'сентябрь 2023'!$J$4:$J$1053,U$1)</f>
        <v>0</v>
      </c>
      <c r="V153" s="207">
        <f>SUMIFS('сентябрь 2023'!$G$4:$G$1053,'сентябрь 2023'!$D$4:$D$1053,$B153,'сентябрь 2023'!$J$4:$J$1053,V$1)</f>
        <v>0</v>
      </c>
      <c r="W153" s="207">
        <f>SUMIFS('сентябрь 2023'!$G$4:$G$1053,'сентябрь 2023'!$D$4:$D$1053,$B153,'сентябрь 2023'!$J$4:$J$1053,W$1)</f>
        <v>0</v>
      </c>
      <c r="X153" s="207">
        <f>SUMIFS('сентябрь 2023'!$G$4:$G$1053,'сентябрь 2023'!$D$4:$D$1053,$B153,'сентябрь 2023'!$J$4:$J$1053,X$1)</f>
        <v>0</v>
      </c>
      <c r="Y153" s="207">
        <f>SUMIFS('сентябрь 2023'!$G$4:$G$1053,'сентябрь 2023'!$D$4:$D$1053,$B153,'сентябрь 2023'!$J$4:$J$1053,Y$1)</f>
        <v>0</v>
      </c>
      <c r="Z153" s="207">
        <f>SUMIFS('сентябрь 2023'!$G$4:$G$1053,'сентябрь 2023'!$D$4:$D$1053,$B153,'сентябрь 2023'!$J$4:$J$1053,Z$1)</f>
        <v>0</v>
      </c>
      <c r="AA153" s="207">
        <f>SUMIFS('сентябрь 2023'!$G$4:$G$1053,'сентябрь 2023'!$D$4:$D$1053,$B153,'сентябрь 2023'!$J$4:$J$1053,AA$1)</f>
        <v>0</v>
      </c>
      <c r="AB153" s="207">
        <f>SUMIFS('сентябрь 2023'!$G$4:$G$1053,'сентябрь 2023'!$D$4:$D$1053,$B153,'сентябрь 2023'!$J$4:$J$1053,AB$1)</f>
        <v>0</v>
      </c>
      <c r="AC153" s="207">
        <f>SUMIFS('сентябрь 2023'!$G$4:$G$1053,'сентябрь 2023'!$D$4:$D$1053,$B153,'сентябрь 2023'!$J$4:$J$1053,AC$1)</f>
        <v>0</v>
      </c>
      <c r="AD153" s="207">
        <f>SUMIFS('сентябрь 2023'!$G$4:$G$1053,'сентябрь 2023'!$D$4:$D$1053,$B153,'сентябрь 2023'!$J$4:$J$1053,AD$1)</f>
        <v>0</v>
      </c>
      <c r="AE153" s="207">
        <f>SUMIFS('сентябрь 2023'!$G$4:$G$1053,'сентябрь 2023'!$D$4:$D$1053,$B153,'сентябрь 2023'!$J$4:$J$1053,AE$1)</f>
        <v>0</v>
      </c>
      <c r="AF153" s="207">
        <f>SUMIFS('сентябрь 2023'!$G$4:$G$1053,'сентябрь 2023'!$D$4:$D$1053,$B153,'сентябрь 2023'!$J$4:$J$1053,AF$1)</f>
        <v>0</v>
      </c>
      <c r="AG153" s="207">
        <f>SUMIFS('сентябрь 2023'!$G$4:$G$1053,'сентябрь 2023'!$D$4:$D$1053,$B153,'сентябрь 2023'!$J$4:$J$1053,AG$1)</f>
        <v>0</v>
      </c>
      <c r="AH153" s="207">
        <f>SUMIFS('сентябрь 2023'!$G$4:$G$1053,'сентябрь 2023'!$D$4:$D$1053,$B153,'сентябрь 2023'!$J$4:$J$1053,AH$1)</f>
        <v>0</v>
      </c>
      <c r="AI153" s="220">
        <f t="shared" si="3"/>
        <v>0</v>
      </c>
    </row>
    <row r="154" spans="2:35" ht="15" hidden="1" customHeight="1" x14ac:dyDescent="0.25">
      <c r="B154" s="212"/>
      <c r="C154" s="213"/>
      <c r="D154" s="207">
        <f>SUMIFS('сентябрь 2023'!$G$4:$G$1053,'сентябрь 2023'!$D$4:$D$1053,$B154,'сентябрь 2023'!$J$4:$J$1053,D$1)</f>
        <v>0</v>
      </c>
      <c r="E154" s="207">
        <f>SUMIFS('сентябрь 2023'!$G$4:$G$1053,'сентябрь 2023'!$D$4:$D$1053,$B154,'сентябрь 2023'!$J$4:$J$1053,E$1)</f>
        <v>0</v>
      </c>
      <c r="F154" s="207">
        <f>SUMIFS('сентябрь 2023'!$G$4:$G$1053,'сентябрь 2023'!$D$4:$D$1053,$B154,'сентябрь 2023'!$J$4:$J$1053,F$1)</f>
        <v>0</v>
      </c>
      <c r="G154" s="207">
        <f>SUMIFS('сентябрь 2023'!$G$4:$G$1053,'сентябрь 2023'!$D$4:$D$1053,$B154,'сентябрь 2023'!$J$4:$J$1053,G$1)</f>
        <v>0</v>
      </c>
      <c r="H154" s="207">
        <f>SUMIFS('сентябрь 2023'!$G$4:$G$1053,'сентябрь 2023'!$D$4:$D$1053,$B154,'сентябрь 2023'!$J$4:$J$1053,H$1)</f>
        <v>0</v>
      </c>
      <c r="I154" s="207">
        <f>SUMIFS('сентябрь 2023'!$G$4:$G$1053,'сентябрь 2023'!$D$4:$D$1053,$B154,'сентябрь 2023'!$J$4:$J$1053,I$1)</f>
        <v>0</v>
      </c>
      <c r="J154" s="207">
        <f>SUMIFS('сентябрь 2023'!$G$4:$G$1053,'сентябрь 2023'!$D$4:$D$1053,$B154,'сентябрь 2023'!$J$4:$J$1053,J$1)</f>
        <v>0</v>
      </c>
      <c r="K154" s="207">
        <f>SUMIFS('сентябрь 2023'!$G$4:$G$1053,'сентябрь 2023'!$D$4:$D$1053,$B154,'сентябрь 2023'!$J$4:$J$1053,K$1)</f>
        <v>0</v>
      </c>
      <c r="L154" s="207">
        <f>SUMIFS('сентябрь 2023'!$G$4:$G$1053,'сентябрь 2023'!$D$4:$D$1053,$B154,'сентябрь 2023'!$J$4:$J$1053,L$1)</f>
        <v>0</v>
      </c>
      <c r="M154" s="207">
        <f>SUMIFS('сентябрь 2023'!$G$4:$G$1053,'сентябрь 2023'!$D$4:$D$1053,$B154,'сентябрь 2023'!$J$4:$J$1053,M$1)</f>
        <v>0</v>
      </c>
      <c r="N154" s="207">
        <f>SUMIFS('сентябрь 2023'!$G$4:$G$1053,'сентябрь 2023'!$D$4:$D$1053,$B154,'сентябрь 2023'!$J$4:$J$1053,N$1)</f>
        <v>0</v>
      </c>
      <c r="O154" s="207">
        <f>SUMIFS('сентябрь 2023'!$G$4:$G$1053,'сентябрь 2023'!$D$4:$D$1053,$B154,'сентябрь 2023'!$J$4:$J$1053,O$1)</f>
        <v>0</v>
      </c>
      <c r="P154" s="207">
        <f>SUMIFS('сентябрь 2023'!$G$4:$G$1053,'сентябрь 2023'!$D$4:$D$1053,$B154,'сентябрь 2023'!$J$4:$J$1053,P$1)</f>
        <v>0</v>
      </c>
      <c r="Q154" s="207">
        <f>SUMIFS('сентябрь 2023'!$G$4:$G$1053,'сентябрь 2023'!$D$4:$D$1053,$B154,'сентябрь 2023'!$J$4:$J$1053,Q$1)</f>
        <v>0</v>
      </c>
      <c r="R154" s="207">
        <f>SUMIFS('сентябрь 2023'!$G$4:$G$1053,'сентябрь 2023'!$D$4:$D$1053,$B154,'сентябрь 2023'!$J$4:$J$1053,R$1)</f>
        <v>0</v>
      </c>
      <c r="S154" s="207">
        <f>SUMIFS('сентябрь 2023'!$G$4:$G$1053,'сентябрь 2023'!$D$4:$D$1053,$B154,'сентябрь 2023'!$J$4:$J$1053,S$1)</f>
        <v>0</v>
      </c>
      <c r="T154" s="207">
        <f>SUMIFS('сентябрь 2023'!$G$4:$G$1053,'сентябрь 2023'!$D$4:$D$1053,$B154,'сентябрь 2023'!$J$4:$J$1053,T$1)</f>
        <v>0</v>
      </c>
      <c r="U154" s="207">
        <f>SUMIFS('сентябрь 2023'!$G$4:$G$1053,'сентябрь 2023'!$D$4:$D$1053,$B154,'сентябрь 2023'!$J$4:$J$1053,U$1)</f>
        <v>0</v>
      </c>
      <c r="V154" s="207">
        <f>SUMIFS('сентябрь 2023'!$G$4:$G$1053,'сентябрь 2023'!$D$4:$D$1053,$B154,'сентябрь 2023'!$J$4:$J$1053,V$1)</f>
        <v>0</v>
      </c>
      <c r="W154" s="207">
        <f>SUMIFS('сентябрь 2023'!$G$4:$G$1053,'сентябрь 2023'!$D$4:$D$1053,$B154,'сентябрь 2023'!$J$4:$J$1053,W$1)</f>
        <v>0</v>
      </c>
      <c r="X154" s="207">
        <f>SUMIFS('сентябрь 2023'!$G$4:$G$1053,'сентябрь 2023'!$D$4:$D$1053,$B154,'сентябрь 2023'!$J$4:$J$1053,X$1)</f>
        <v>0</v>
      </c>
      <c r="Y154" s="207">
        <f>SUMIFS('сентябрь 2023'!$G$4:$G$1053,'сентябрь 2023'!$D$4:$D$1053,$B154,'сентябрь 2023'!$J$4:$J$1053,Y$1)</f>
        <v>0</v>
      </c>
      <c r="Z154" s="207">
        <f>SUMIFS('сентябрь 2023'!$G$4:$G$1053,'сентябрь 2023'!$D$4:$D$1053,$B154,'сентябрь 2023'!$J$4:$J$1053,Z$1)</f>
        <v>0</v>
      </c>
      <c r="AA154" s="207">
        <f>SUMIFS('сентябрь 2023'!$G$4:$G$1053,'сентябрь 2023'!$D$4:$D$1053,$B154,'сентябрь 2023'!$J$4:$J$1053,AA$1)</f>
        <v>0</v>
      </c>
      <c r="AB154" s="207">
        <f>SUMIFS('сентябрь 2023'!$G$4:$G$1053,'сентябрь 2023'!$D$4:$D$1053,$B154,'сентябрь 2023'!$J$4:$J$1053,AB$1)</f>
        <v>0</v>
      </c>
      <c r="AC154" s="207">
        <f>SUMIFS('сентябрь 2023'!$G$4:$G$1053,'сентябрь 2023'!$D$4:$D$1053,$B154,'сентябрь 2023'!$J$4:$J$1053,AC$1)</f>
        <v>0</v>
      </c>
      <c r="AD154" s="207">
        <f>SUMIFS('сентябрь 2023'!$G$4:$G$1053,'сентябрь 2023'!$D$4:$D$1053,$B154,'сентябрь 2023'!$J$4:$J$1053,AD$1)</f>
        <v>0</v>
      </c>
      <c r="AE154" s="207">
        <f>SUMIFS('сентябрь 2023'!$G$4:$G$1053,'сентябрь 2023'!$D$4:$D$1053,$B154,'сентябрь 2023'!$J$4:$J$1053,AE$1)</f>
        <v>0</v>
      </c>
      <c r="AF154" s="207">
        <f>SUMIFS('сентябрь 2023'!$G$4:$G$1053,'сентябрь 2023'!$D$4:$D$1053,$B154,'сентябрь 2023'!$J$4:$J$1053,AF$1)</f>
        <v>0</v>
      </c>
      <c r="AG154" s="207">
        <f>SUMIFS('сентябрь 2023'!$G$4:$G$1053,'сентябрь 2023'!$D$4:$D$1053,$B154,'сентябрь 2023'!$J$4:$J$1053,AG$1)</f>
        <v>0</v>
      </c>
      <c r="AH154" s="207">
        <f>SUMIFS('сентябрь 2023'!$G$4:$G$1053,'сентябрь 2023'!$D$4:$D$1053,$B154,'сентябрь 2023'!$J$4:$J$1053,AH$1)</f>
        <v>0</v>
      </c>
      <c r="AI154" s="220">
        <f t="shared" ref="AI154:AI192" si="4">SUM(D154:AH154)</f>
        <v>0</v>
      </c>
    </row>
    <row r="155" spans="2:35" ht="15" hidden="1" customHeight="1" x14ac:dyDescent="0.25">
      <c r="B155" s="212"/>
      <c r="C155" s="213"/>
      <c r="D155" s="207">
        <f>SUMIFS('сентябрь 2023'!$G$4:$G$1053,'сентябрь 2023'!$D$4:$D$1053,$B155,'сентябрь 2023'!$J$4:$J$1053,D$1)</f>
        <v>0</v>
      </c>
      <c r="E155" s="207">
        <f>SUMIFS('сентябрь 2023'!$G$4:$G$1053,'сентябрь 2023'!$D$4:$D$1053,$B155,'сентябрь 2023'!$J$4:$J$1053,E$1)</f>
        <v>0</v>
      </c>
      <c r="F155" s="207">
        <f>SUMIFS('сентябрь 2023'!$G$4:$G$1053,'сентябрь 2023'!$D$4:$D$1053,$B155,'сентябрь 2023'!$J$4:$J$1053,F$1)</f>
        <v>0</v>
      </c>
      <c r="G155" s="207">
        <f>SUMIFS('сентябрь 2023'!$G$4:$G$1053,'сентябрь 2023'!$D$4:$D$1053,$B155,'сентябрь 2023'!$J$4:$J$1053,G$1)</f>
        <v>0</v>
      </c>
      <c r="H155" s="207">
        <f>SUMIFS('сентябрь 2023'!$G$4:$G$1053,'сентябрь 2023'!$D$4:$D$1053,$B155,'сентябрь 2023'!$J$4:$J$1053,H$1)</f>
        <v>0</v>
      </c>
      <c r="I155" s="207">
        <f>SUMIFS('сентябрь 2023'!$G$4:$G$1053,'сентябрь 2023'!$D$4:$D$1053,$B155,'сентябрь 2023'!$J$4:$J$1053,I$1)</f>
        <v>0</v>
      </c>
      <c r="J155" s="207">
        <f>SUMIFS('сентябрь 2023'!$G$4:$G$1053,'сентябрь 2023'!$D$4:$D$1053,$B155,'сентябрь 2023'!$J$4:$J$1053,J$1)</f>
        <v>0</v>
      </c>
      <c r="K155" s="207">
        <f>SUMIFS('сентябрь 2023'!$G$4:$G$1053,'сентябрь 2023'!$D$4:$D$1053,$B155,'сентябрь 2023'!$J$4:$J$1053,K$1)</f>
        <v>0</v>
      </c>
      <c r="L155" s="207">
        <f>SUMIFS('сентябрь 2023'!$G$4:$G$1053,'сентябрь 2023'!$D$4:$D$1053,$B155,'сентябрь 2023'!$J$4:$J$1053,L$1)</f>
        <v>0</v>
      </c>
      <c r="M155" s="207">
        <f>SUMIFS('сентябрь 2023'!$G$4:$G$1053,'сентябрь 2023'!$D$4:$D$1053,$B155,'сентябрь 2023'!$J$4:$J$1053,M$1)</f>
        <v>0</v>
      </c>
      <c r="N155" s="207">
        <f>SUMIFS('сентябрь 2023'!$G$4:$G$1053,'сентябрь 2023'!$D$4:$D$1053,$B155,'сентябрь 2023'!$J$4:$J$1053,N$1)</f>
        <v>0</v>
      </c>
      <c r="O155" s="207">
        <f>SUMIFS('сентябрь 2023'!$G$4:$G$1053,'сентябрь 2023'!$D$4:$D$1053,$B155,'сентябрь 2023'!$J$4:$J$1053,O$1)</f>
        <v>0</v>
      </c>
      <c r="P155" s="207">
        <f>SUMIFS('сентябрь 2023'!$G$4:$G$1053,'сентябрь 2023'!$D$4:$D$1053,$B155,'сентябрь 2023'!$J$4:$J$1053,P$1)</f>
        <v>0</v>
      </c>
      <c r="Q155" s="207">
        <f>SUMIFS('сентябрь 2023'!$G$4:$G$1053,'сентябрь 2023'!$D$4:$D$1053,$B155,'сентябрь 2023'!$J$4:$J$1053,Q$1)</f>
        <v>0</v>
      </c>
      <c r="R155" s="207">
        <f>SUMIFS('сентябрь 2023'!$G$4:$G$1053,'сентябрь 2023'!$D$4:$D$1053,$B155,'сентябрь 2023'!$J$4:$J$1053,R$1)</f>
        <v>0</v>
      </c>
      <c r="S155" s="207">
        <f>SUMIFS('сентябрь 2023'!$G$4:$G$1053,'сентябрь 2023'!$D$4:$D$1053,$B155,'сентябрь 2023'!$J$4:$J$1053,S$1)</f>
        <v>0</v>
      </c>
      <c r="T155" s="207">
        <f>SUMIFS('сентябрь 2023'!$G$4:$G$1053,'сентябрь 2023'!$D$4:$D$1053,$B155,'сентябрь 2023'!$J$4:$J$1053,T$1)</f>
        <v>0</v>
      </c>
      <c r="U155" s="207">
        <f>SUMIFS('сентябрь 2023'!$G$4:$G$1053,'сентябрь 2023'!$D$4:$D$1053,$B155,'сентябрь 2023'!$J$4:$J$1053,U$1)</f>
        <v>0</v>
      </c>
      <c r="V155" s="207">
        <f>SUMIFS('сентябрь 2023'!$G$4:$G$1053,'сентябрь 2023'!$D$4:$D$1053,$B155,'сентябрь 2023'!$J$4:$J$1053,V$1)</f>
        <v>0</v>
      </c>
      <c r="W155" s="207">
        <f>SUMIFS('сентябрь 2023'!$G$4:$G$1053,'сентябрь 2023'!$D$4:$D$1053,$B155,'сентябрь 2023'!$J$4:$J$1053,W$1)</f>
        <v>0</v>
      </c>
      <c r="X155" s="207">
        <f>SUMIFS('сентябрь 2023'!$G$4:$G$1053,'сентябрь 2023'!$D$4:$D$1053,$B155,'сентябрь 2023'!$J$4:$J$1053,X$1)</f>
        <v>0</v>
      </c>
      <c r="Y155" s="207">
        <f>SUMIFS('сентябрь 2023'!$G$4:$G$1053,'сентябрь 2023'!$D$4:$D$1053,$B155,'сентябрь 2023'!$J$4:$J$1053,Y$1)</f>
        <v>0</v>
      </c>
      <c r="Z155" s="207">
        <f>SUMIFS('сентябрь 2023'!$G$4:$G$1053,'сентябрь 2023'!$D$4:$D$1053,$B155,'сентябрь 2023'!$J$4:$J$1053,Z$1)</f>
        <v>0</v>
      </c>
      <c r="AA155" s="207">
        <f>SUMIFS('сентябрь 2023'!$G$4:$G$1053,'сентябрь 2023'!$D$4:$D$1053,$B155,'сентябрь 2023'!$J$4:$J$1053,AA$1)</f>
        <v>0</v>
      </c>
      <c r="AB155" s="207">
        <f>SUMIFS('сентябрь 2023'!$G$4:$G$1053,'сентябрь 2023'!$D$4:$D$1053,$B155,'сентябрь 2023'!$J$4:$J$1053,AB$1)</f>
        <v>0</v>
      </c>
      <c r="AC155" s="207">
        <f>SUMIFS('сентябрь 2023'!$G$4:$G$1053,'сентябрь 2023'!$D$4:$D$1053,$B155,'сентябрь 2023'!$J$4:$J$1053,AC$1)</f>
        <v>0</v>
      </c>
      <c r="AD155" s="207">
        <f>SUMIFS('сентябрь 2023'!$G$4:$G$1053,'сентябрь 2023'!$D$4:$D$1053,$B155,'сентябрь 2023'!$J$4:$J$1053,AD$1)</f>
        <v>0</v>
      </c>
      <c r="AE155" s="207">
        <f>SUMIFS('сентябрь 2023'!$G$4:$G$1053,'сентябрь 2023'!$D$4:$D$1053,$B155,'сентябрь 2023'!$J$4:$J$1053,AE$1)</f>
        <v>0</v>
      </c>
      <c r="AF155" s="207">
        <f>SUMIFS('сентябрь 2023'!$G$4:$G$1053,'сентябрь 2023'!$D$4:$D$1053,$B155,'сентябрь 2023'!$J$4:$J$1053,AF$1)</f>
        <v>0</v>
      </c>
      <c r="AG155" s="207">
        <f>SUMIFS('сентябрь 2023'!$G$4:$G$1053,'сентябрь 2023'!$D$4:$D$1053,$B155,'сентябрь 2023'!$J$4:$J$1053,AG$1)</f>
        <v>0</v>
      </c>
      <c r="AH155" s="207">
        <f>SUMIFS('сентябрь 2023'!$G$4:$G$1053,'сентябрь 2023'!$D$4:$D$1053,$B155,'сентябрь 2023'!$J$4:$J$1053,AH$1)</f>
        <v>0</v>
      </c>
      <c r="AI155" s="220">
        <f t="shared" si="4"/>
        <v>0</v>
      </c>
    </row>
    <row r="156" spans="2:35" ht="15.75" hidden="1" x14ac:dyDescent="0.25">
      <c r="B156" s="212"/>
      <c r="C156" s="213"/>
      <c r="D156" s="207">
        <f>SUMIFS('сентябрь 2023'!$G$4:$G$1053,'сентябрь 2023'!$D$4:$D$1053,$B156,'сентябрь 2023'!$J$4:$J$1053,D$1)</f>
        <v>0</v>
      </c>
      <c r="E156" s="207">
        <f>SUMIFS('сентябрь 2023'!$G$4:$G$1053,'сентябрь 2023'!$D$4:$D$1053,$B156,'сентябрь 2023'!$J$4:$J$1053,E$1)</f>
        <v>0</v>
      </c>
      <c r="F156" s="207">
        <f>SUMIFS('сентябрь 2023'!$G$4:$G$1053,'сентябрь 2023'!$D$4:$D$1053,$B156,'сентябрь 2023'!$J$4:$J$1053,F$1)</f>
        <v>0</v>
      </c>
      <c r="G156" s="207">
        <f>SUMIFS('сентябрь 2023'!$G$4:$G$1053,'сентябрь 2023'!$D$4:$D$1053,$B156,'сентябрь 2023'!$J$4:$J$1053,G$1)</f>
        <v>0</v>
      </c>
      <c r="H156" s="207">
        <f>SUMIFS('сентябрь 2023'!$G$4:$G$1053,'сентябрь 2023'!$D$4:$D$1053,$B156,'сентябрь 2023'!$J$4:$J$1053,H$1)</f>
        <v>0</v>
      </c>
      <c r="I156" s="207">
        <f>SUMIFS('сентябрь 2023'!$G$4:$G$1053,'сентябрь 2023'!$D$4:$D$1053,$B156,'сентябрь 2023'!$J$4:$J$1053,I$1)</f>
        <v>0</v>
      </c>
      <c r="J156" s="207">
        <f>SUMIFS('сентябрь 2023'!$G$4:$G$1053,'сентябрь 2023'!$D$4:$D$1053,$B156,'сентябрь 2023'!$J$4:$J$1053,J$1)</f>
        <v>0</v>
      </c>
      <c r="K156" s="207">
        <f>SUMIFS('сентябрь 2023'!$G$4:$G$1053,'сентябрь 2023'!$D$4:$D$1053,$B156,'сентябрь 2023'!$J$4:$J$1053,K$1)</f>
        <v>0</v>
      </c>
      <c r="L156" s="207">
        <f>SUMIFS('сентябрь 2023'!$G$4:$G$1053,'сентябрь 2023'!$D$4:$D$1053,$B156,'сентябрь 2023'!$J$4:$J$1053,L$1)</f>
        <v>0</v>
      </c>
      <c r="M156" s="207">
        <f>SUMIFS('сентябрь 2023'!$G$4:$G$1053,'сентябрь 2023'!$D$4:$D$1053,$B156,'сентябрь 2023'!$J$4:$J$1053,M$1)</f>
        <v>0</v>
      </c>
      <c r="N156" s="207">
        <f>SUMIFS('сентябрь 2023'!$G$4:$G$1053,'сентябрь 2023'!$D$4:$D$1053,$B156,'сентябрь 2023'!$J$4:$J$1053,N$1)</f>
        <v>0</v>
      </c>
      <c r="O156" s="207">
        <f>SUMIFS('сентябрь 2023'!$G$4:$G$1053,'сентябрь 2023'!$D$4:$D$1053,$B156,'сентябрь 2023'!$J$4:$J$1053,O$1)</f>
        <v>0</v>
      </c>
      <c r="P156" s="207">
        <f>SUMIFS('сентябрь 2023'!$G$4:$G$1053,'сентябрь 2023'!$D$4:$D$1053,$B156,'сентябрь 2023'!$J$4:$J$1053,P$1)</f>
        <v>0</v>
      </c>
      <c r="Q156" s="207">
        <f>SUMIFS('сентябрь 2023'!$G$4:$G$1053,'сентябрь 2023'!$D$4:$D$1053,$B156,'сентябрь 2023'!$J$4:$J$1053,Q$1)</f>
        <v>0</v>
      </c>
      <c r="R156" s="207">
        <f>SUMIFS('сентябрь 2023'!$G$4:$G$1053,'сентябрь 2023'!$D$4:$D$1053,$B156,'сентябрь 2023'!$J$4:$J$1053,R$1)</f>
        <v>0</v>
      </c>
      <c r="S156" s="207">
        <f>SUMIFS('сентябрь 2023'!$G$4:$G$1053,'сентябрь 2023'!$D$4:$D$1053,$B156,'сентябрь 2023'!$J$4:$J$1053,S$1)</f>
        <v>0</v>
      </c>
      <c r="T156" s="207">
        <f>SUMIFS('сентябрь 2023'!$G$4:$G$1053,'сентябрь 2023'!$D$4:$D$1053,$B156,'сентябрь 2023'!$J$4:$J$1053,T$1)</f>
        <v>0</v>
      </c>
      <c r="U156" s="207">
        <f>SUMIFS('сентябрь 2023'!$G$4:$G$1053,'сентябрь 2023'!$D$4:$D$1053,$B156,'сентябрь 2023'!$J$4:$J$1053,U$1)</f>
        <v>0</v>
      </c>
      <c r="V156" s="207">
        <f>SUMIFS('сентябрь 2023'!$G$4:$G$1053,'сентябрь 2023'!$D$4:$D$1053,$B156,'сентябрь 2023'!$J$4:$J$1053,V$1)</f>
        <v>0</v>
      </c>
      <c r="W156" s="207">
        <f>SUMIFS('сентябрь 2023'!$G$4:$G$1053,'сентябрь 2023'!$D$4:$D$1053,$B156,'сентябрь 2023'!$J$4:$J$1053,W$1)</f>
        <v>0</v>
      </c>
      <c r="X156" s="207">
        <f>SUMIFS('сентябрь 2023'!$G$4:$G$1053,'сентябрь 2023'!$D$4:$D$1053,$B156,'сентябрь 2023'!$J$4:$J$1053,X$1)</f>
        <v>0</v>
      </c>
      <c r="Y156" s="207">
        <f>SUMIFS('сентябрь 2023'!$G$4:$G$1053,'сентябрь 2023'!$D$4:$D$1053,$B156,'сентябрь 2023'!$J$4:$J$1053,Y$1)</f>
        <v>0</v>
      </c>
      <c r="Z156" s="207">
        <f>SUMIFS('сентябрь 2023'!$G$4:$G$1053,'сентябрь 2023'!$D$4:$D$1053,$B156,'сентябрь 2023'!$J$4:$J$1053,Z$1)</f>
        <v>0</v>
      </c>
      <c r="AA156" s="207">
        <f>SUMIFS('сентябрь 2023'!$G$4:$G$1053,'сентябрь 2023'!$D$4:$D$1053,$B156,'сентябрь 2023'!$J$4:$J$1053,AA$1)</f>
        <v>0</v>
      </c>
      <c r="AB156" s="207">
        <f>SUMIFS('сентябрь 2023'!$G$4:$G$1053,'сентябрь 2023'!$D$4:$D$1053,$B156,'сентябрь 2023'!$J$4:$J$1053,AB$1)</f>
        <v>0</v>
      </c>
      <c r="AC156" s="207">
        <f>SUMIFS('сентябрь 2023'!$G$4:$G$1053,'сентябрь 2023'!$D$4:$D$1053,$B156,'сентябрь 2023'!$J$4:$J$1053,AC$1)</f>
        <v>0</v>
      </c>
      <c r="AD156" s="207">
        <f>SUMIFS('сентябрь 2023'!$G$4:$G$1053,'сентябрь 2023'!$D$4:$D$1053,$B156,'сентябрь 2023'!$J$4:$J$1053,AD$1)</f>
        <v>0</v>
      </c>
      <c r="AE156" s="207">
        <f>SUMIFS('сентябрь 2023'!$G$4:$G$1053,'сентябрь 2023'!$D$4:$D$1053,$B156,'сентябрь 2023'!$J$4:$J$1053,AE$1)</f>
        <v>0</v>
      </c>
      <c r="AF156" s="207">
        <f>SUMIFS('сентябрь 2023'!$G$4:$G$1053,'сентябрь 2023'!$D$4:$D$1053,$B156,'сентябрь 2023'!$J$4:$J$1053,AF$1)</f>
        <v>0</v>
      </c>
      <c r="AG156" s="207">
        <f>SUMIFS('сентябрь 2023'!$G$4:$G$1053,'сентябрь 2023'!$D$4:$D$1053,$B156,'сентябрь 2023'!$J$4:$J$1053,AG$1)</f>
        <v>0</v>
      </c>
      <c r="AH156" s="207">
        <f>SUMIFS('сентябрь 2023'!$G$4:$G$1053,'сентябрь 2023'!$D$4:$D$1053,$B156,'сентябрь 2023'!$J$4:$J$1053,AH$1)</f>
        <v>0</v>
      </c>
      <c r="AI156" s="220">
        <f t="shared" si="4"/>
        <v>0</v>
      </c>
    </row>
    <row r="157" spans="2:35" ht="15.75" hidden="1" x14ac:dyDescent="0.25">
      <c r="B157" s="212"/>
      <c r="C157" s="213"/>
      <c r="D157" s="207">
        <f>SUMIFS('сентябрь 2023'!$G$4:$G$1053,'сентябрь 2023'!$D$4:$D$1053,$B157,'сентябрь 2023'!$J$4:$J$1053,D$1)</f>
        <v>0</v>
      </c>
      <c r="E157" s="207">
        <f>SUMIFS('сентябрь 2023'!$G$4:$G$1053,'сентябрь 2023'!$D$4:$D$1053,$B157,'сентябрь 2023'!$J$4:$J$1053,E$1)</f>
        <v>0</v>
      </c>
      <c r="F157" s="207">
        <f>SUMIFS('сентябрь 2023'!$G$4:$G$1053,'сентябрь 2023'!$D$4:$D$1053,$B157,'сентябрь 2023'!$J$4:$J$1053,F$1)</f>
        <v>0</v>
      </c>
      <c r="G157" s="207">
        <f>SUMIFS('сентябрь 2023'!$G$4:$G$1053,'сентябрь 2023'!$D$4:$D$1053,$B157,'сентябрь 2023'!$J$4:$J$1053,G$1)</f>
        <v>0</v>
      </c>
      <c r="H157" s="207">
        <f>SUMIFS('сентябрь 2023'!$G$4:$G$1053,'сентябрь 2023'!$D$4:$D$1053,$B157,'сентябрь 2023'!$J$4:$J$1053,H$1)</f>
        <v>0</v>
      </c>
      <c r="I157" s="207">
        <f>SUMIFS('сентябрь 2023'!$G$4:$G$1053,'сентябрь 2023'!$D$4:$D$1053,$B157,'сентябрь 2023'!$J$4:$J$1053,I$1)</f>
        <v>0</v>
      </c>
      <c r="J157" s="207">
        <f>SUMIFS('сентябрь 2023'!$G$4:$G$1053,'сентябрь 2023'!$D$4:$D$1053,$B157,'сентябрь 2023'!$J$4:$J$1053,J$1)</f>
        <v>0</v>
      </c>
      <c r="K157" s="207">
        <f>SUMIFS('сентябрь 2023'!$G$4:$G$1053,'сентябрь 2023'!$D$4:$D$1053,$B157,'сентябрь 2023'!$J$4:$J$1053,K$1)</f>
        <v>0</v>
      </c>
      <c r="L157" s="207">
        <f>SUMIFS('сентябрь 2023'!$G$4:$G$1053,'сентябрь 2023'!$D$4:$D$1053,$B157,'сентябрь 2023'!$J$4:$J$1053,L$1)</f>
        <v>0</v>
      </c>
      <c r="M157" s="207">
        <f>SUMIFS('сентябрь 2023'!$G$4:$G$1053,'сентябрь 2023'!$D$4:$D$1053,$B157,'сентябрь 2023'!$J$4:$J$1053,M$1)</f>
        <v>0</v>
      </c>
      <c r="N157" s="207">
        <f>SUMIFS('сентябрь 2023'!$G$4:$G$1053,'сентябрь 2023'!$D$4:$D$1053,$B157,'сентябрь 2023'!$J$4:$J$1053,N$1)</f>
        <v>0</v>
      </c>
      <c r="O157" s="207">
        <f>SUMIFS('сентябрь 2023'!$G$4:$G$1053,'сентябрь 2023'!$D$4:$D$1053,$B157,'сентябрь 2023'!$J$4:$J$1053,O$1)</f>
        <v>0</v>
      </c>
      <c r="P157" s="207">
        <f>SUMIFS('сентябрь 2023'!$G$4:$G$1053,'сентябрь 2023'!$D$4:$D$1053,$B157,'сентябрь 2023'!$J$4:$J$1053,P$1)</f>
        <v>0</v>
      </c>
      <c r="Q157" s="207">
        <f>SUMIFS('сентябрь 2023'!$G$4:$G$1053,'сентябрь 2023'!$D$4:$D$1053,$B157,'сентябрь 2023'!$J$4:$J$1053,Q$1)</f>
        <v>0</v>
      </c>
      <c r="R157" s="207">
        <f>SUMIFS('сентябрь 2023'!$G$4:$G$1053,'сентябрь 2023'!$D$4:$D$1053,$B157,'сентябрь 2023'!$J$4:$J$1053,R$1)</f>
        <v>0</v>
      </c>
      <c r="S157" s="207">
        <f>SUMIFS('сентябрь 2023'!$G$4:$G$1053,'сентябрь 2023'!$D$4:$D$1053,$B157,'сентябрь 2023'!$J$4:$J$1053,S$1)</f>
        <v>0</v>
      </c>
      <c r="T157" s="207">
        <f>SUMIFS('сентябрь 2023'!$G$4:$G$1053,'сентябрь 2023'!$D$4:$D$1053,$B157,'сентябрь 2023'!$J$4:$J$1053,T$1)</f>
        <v>0</v>
      </c>
      <c r="U157" s="207">
        <f>SUMIFS('сентябрь 2023'!$G$4:$G$1053,'сентябрь 2023'!$D$4:$D$1053,$B157,'сентябрь 2023'!$J$4:$J$1053,U$1)</f>
        <v>0</v>
      </c>
      <c r="V157" s="207">
        <f>SUMIFS('сентябрь 2023'!$G$4:$G$1053,'сентябрь 2023'!$D$4:$D$1053,$B157,'сентябрь 2023'!$J$4:$J$1053,V$1)</f>
        <v>0</v>
      </c>
      <c r="W157" s="207">
        <f>SUMIFS('сентябрь 2023'!$G$4:$G$1053,'сентябрь 2023'!$D$4:$D$1053,$B157,'сентябрь 2023'!$J$4:$J$1053,W$1)</f>
        <v>0</v>
      </c>
      <c r="X157" s="207">
        <f>SUMIFS('сентябрь 2023'!$G$4:$G$1053,'сентябрь 2023'!$D$4:$D$1053,$B157,'сентябрь 2023'!$J$4:$J$1053,X$1)</f>
        <v>0</v>
      </c>
      <c r="Y157" s="207">
        <f>SUMIFS('сентябрь 2023'!$G$4:$G$1053,'сентябрь 2023'!$D$4:$D$1053,$B157,'сентябрь 2023'!$J$4:$J$1053,Y$1)</f>
        <v>0</v>
      </c>
      <c r="Z157" s="207">
        <f>SUMIFS('сентябрь 2023'!$G$4:$G$1053,'сентябрь 2023'!$D$4:$D$1053,$B157,'сентябрь 2023'!$J$4:$J$1053,Z$1)</f>
        <v>0</v>
      </c>
      <c r="AA157" s="207">
        <f>SUMIFS('сентябрь 2023'!$G$4:$G$1053,'сентябрь 2023'!$D$4:$D$1053,$B157,'сентябрь 2023'!$J$4:$J$1053,AA$1)</f>
        <v>0</v>
      </c>
      <c r="AB157" s="207">
        <f>SUMIFS('сентябрь 2023'!$G$4:$G$1053,'сентябрь 2023'!$D$4:$D$1053,$B157,'сентябрь 2023'!$J$4:$J$1053,AB$1)</f>
        <v>0</v>
      </c>
      <c r="AC157" s="207">
        <f>SUMIFS('сентябрь 2023'!$G$4:$G$1053,'сентябрь 2023'!$D$4:$D$1053,$B157,'сентябрь 2023'!$J$4:$J$1053,AC$1)</f>
        <v>0</v>
      </c>
      <c r="AD157" s="207">
        <f>SUMIFS('сентябрь 2023'!$G$4:$G$1053,'сентябрь 2023'!$D$4:$D$1053,$B157,'сентябрь 2023'!$J$4:$J$1053,AD$1)</f>
        <v>0</v>
      </c>
      <c r="AE157" s="207">
        <f>SUMIFS('сентябрь 2023'!$G$4:$G$1053,'сентябрь 2023'!$D$4:$D$1053,$B157,'сентябрь 2023'!$J$4:$J$1053,AE$1)</f>
        <v>0</v>
      </c>
      <c r="AF157" s="207">
        <f>SUMIFS('сентябрь 2023'!$G$4:$G$1053,'сентябрь 2023'!$D$4:$D$1053,$B157,'сентябрь 2023'!$J$4:$J$1053,AF$1)</f>
        <v>0</v>
      </c>
      <c r="AG157" s="207">
        <f>SUMIFS('сентябрь 2023'!$G$4:$G$1053,'сентябрь 2023'!$D$4:$D$1053,$B157,'сентябрь 2023'!$J$4:$J$1053,AG$1)</f>
        <v>0</v>
      </c>
      <c r="AH157" s="207">
        <f>SUMIFS('сентябрь 2023'!$G$4:$G$1053,'сентябрь 2023'!$D$4:$D$1053,$B157,'сентябрь 2023'!$J$4:$J$1053,AH$1)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SUMIFS('сентябрь 2023'!$G$4:$G$1053,'сентябрь 2023'!$D$4:$D$1053,$B158,'сентябрь 2023'!$J$4:$J$1053,D$1)</f>
        <v>0</v>
      </c>
      <c r="E158" s="207">
        <f>SUMIFS('сентябрь 2023'!$G$4:$G$1053,'сентябрь 2023'!$D$4:$D$1053,$B158,'сентябрь 2023'!$J$4:$J$1053,E$1)</f>
        <v>0</v>
      </c>
      <c r="F158" s="207">
        <f>SUMIFS('сентябрь 2023'!$G$4:$G$1053,'сентябрь 2023'!$D$4:$D$1053,$B158,'сентябрь 2023'!$J$4:$J$1053,F$1)</f>
        <v>0</v>
      </c>
      <c r="G158" s="207">
        <f>SUMIFS('сентябрь 2023'!$G$4:$G$1053,'сентябрь 2023'!$D$4:$D$1053,$B158,'сентябрь 2023'!$J$4:$J$1053,G$1)</f>
        <v>0</v>
      </c>
      <c r="H158" s="207">
        <f>SUMIFS('сентябрь 2023'!$G$4:$G$1053,'сентябрь 2023'!$D$4:$D$1053,$B158,'сентябрь 2023'!$J$4:$J$1053,H$1)</f>
        <v>0</v>
      </c>
      <c r="I158" s="207">
        <f>SUMIFS('сентябрь 2023'!$G$4:$G$1053,'сентябрь 2023'!$D$4:$D$1053,$B158,'сентябрь 2023'!$J$4:$J$1053,I$1)</f>
        <v>0</v>
      </c>
      <c r="J158" s="207">
        <f>SUMIFS('сентябрь 2023'!$G$4:$G$1053,'сентябрь 2023'!$D$4:$D$1053,$B158,'сентябрь 2023'!$J$4:$J$1053,J$1)</f>
        <v>0</v>
      </c>
      <c r="K158" s="207">
        <f>SUMIFS('сентябрь 2023'!$G$4:$G$1053,'сентябрь 2023'!$D$4:$D$1053,$B158,'сентябрь 2023'!$J$4:$J$1053,K$1)</f>
        <v>0</v>
      </c>
      <c r="L158" s="207">
        <f>SUMIFS('сентябрь 2023'!$G$4:$G$1053,'сентябрь 2023'!$D$4:$D$1053,$B158,'сентябрь 2023'!$J$4:$J$1053,L$1)</f>
        <v>0</v>
      </c>
      <c r="M158" s="207">
        <f>SUMIFS('сентябрь 2023'!$G$4:$G$1053,'сентябрь 2023'!$D$4:$D$1053,$B158,'сентябрь 2023'!$J$4:$J$1053,M$1)</f>
        <v>0</v>
      </c>
      <c r="N158" s="207">
        <f>SUMIFS('сентябрь 2023'!$G$4:$G$1053,'сентябрь 2023'!$D$4:$D$1053,$B158,'сентябрь 2023'!$J$4:$J$1053,N$1)</f>
        <v>0</v>
      </c>
      <c r="O158" s="207">
        <f>SUMIFS('сентябрь 2023'!$G$4:$G$1053,'сентябрь 2023'!$D$4:$D$1053,$B158,'сентябрь 2023'!$J$4:$J$1053,O$1)</f>
        <v>0</v>
      </c>
      <c r="P158" s="207">
        <f>SUMIFS('сентябрь 2023'!$G$4:$G$1053,'сентябрь 2023'!$D$4:$D$1053,$B158,'сентябрь 2023'!$J$4:$J$1053,P$1)</f>
        <v>0</v>
      </c>
      <c r="Q158" s="207">
        <f>SUMIFS('сентябрь 2023'!$G$4:$G$1053,'сентябрь 2023'!$D$4:$D$1053,$B158,'сентябрь 2023'!$J$4:$J$1053,Q$1)</f>
        <v>0</v>
      </c>
      <c r="R158" s="207">
        <f>SUMIFS('сентябрь 2023'!$G$4:$G$1053,'сентябрь 2023'!$D$4:$D$1053,$B158,'сентябрь 2023'!$J$4:$J$1053,R$1)</f>
        <v>0</v>
      </c>
      <c r="S158" s="207">
        <f>SUMIFS('сентябрь 2023'!$G$4:$G$1053,'сентябрь 2023'!$D$4:$D$1053,$B158,'сентябрь 2023'!$J$4:$J$1053,S$1)</f>
        <v>0</v>
      </c>
      <c r="T158" s="207">
        <f>SUMIFS('сентябрь 2023'!$G$4:$G$1053,'сентябрь 2023'!$D$4:$D$1053,$B158,'сентябрь 2023'!$J$4:$J$1053,T$1)</f>
        <v>0</v>
      </c>
      <c r="U158" s="207">
        <f>SUMIFS('сентябрь 2023'!$G$4:$G$1053,'сентябрь 2023'!$D$4:$D$1053,$B158,'сентябрь 2023'!$J$4:$J$1053,U$1)</f>
        <v>0</v>
      </c>
      <c r="V158" s="207">
        <f>SUMIFS('сентябрь 2023'!$G$4:$G$1053,'сентябрь 2023'!$D$4:$D$1053,$B158,'сентябрь 2023'!$J$4:$J$1053,V$1)</f>
        <v>0</v>
      </c>
      <c r="W158" s="207">
        <f>SUMIFS('сентябрь 2023'!$G$4:$G$1053,'сентябрь 2023'!$D$4:$D$1053,$B158,'сентябрь 2023'!$J$4:$J$1053,W$1)</f>
        <v>0</v>
      </c>
      <c r="X158" s="207">
        <f>SUMIFS('сентябрь 2023'!$G$4:$G$1053,'сентябрь 2023'!$D$4:$D$1053,$B158,'сентябрь 2023'!$J$4:$J$1053,X$1)</f>
        <v>0</v>
      </c>
      <c r="Y158" s="207">
        <f>SUMIFS('сентябрь 2023'!$G$4:$G$1053,'сентябрь 2023'!$D$4:$D$1053,$B158,'сентябрь 2023'!$J$4:$J$1053,Y$1)</f>
        <v>0</v>
      </c>
      <c r="Z158" s="207">
        <f>SUMIFS('сентябрь 2023'!$G$4:$G$1053,'сентябрь 2023'!$D$4:$D$1053,$B158,'сентябрь 2023'!$J$4:$J$1053,Z$1)</f>
        <v>0</v>
      </c>
      <c r="AA158" s="207">
        <f>SUMIFS('сентябрь 2023'!$G$4:$G$1053,'сентябрь 2023'!$D$4:$D$1053,$B158,'сентябрь 2023'!$J$4:$J$1053,AA$1)</f>
        <v>0</v>
      </c>
      <c r="AB158" s="207">
        <f>SUMIFS('сентябрь 2023'!$G$4:$G$1053,'сентябрь 2023'!$D$4:$D$1053,$B158,'сентябрь 2023'!$J$4:$J$1053,AB$1)</f>
        <v>0</v>
      </c>
      <c r="AC158" s="207">
        <f>SUMIFS('сентябрь 2023'!$G$4:$G$1053,'сентябрь 2023'!$D$4:$D$1053,$B158,'сентябрь 2023'!$J$4:$J$1053,AC$1)</f>
        <v>0</v>
      </c>
      <c r="AD158" s="207">
        <f>SUMIFS('сентябрь 2023'!$G$4:$G$1053,'сентябрь 2023'!$D$4:$D$1053,$B158,'сентябрь 2023'!$J$4:$J$1053,AD$1)</f>
        <v>0</v>
      </c>
      <c r="AE158" s="207">
        <f>SUMIFS('сентябрь 2023'!$G$4:$G$1053,'сентябрь 2023'!$D$4:$D$1053,$B158,'сентябрь 2023'!$J$4:$J$1053,AE$1)</f>
        <v>0</v>
      </c>
      <c r="AF158" s="207">
        <f>SUMIFS('сентябрь 2023'!$G$4:$G$1053,'сентябрь 2023'!$D$4:$D$1053,$B158,'сентябрь 2023'!$J$4:$J$1053,AF$1)</f>
        <v>0</v>
      </c>
      <c r="AG158" s="207">
        <f>SUMIFS('сентябрь 2023'!$G$4:$G$1053,'сентябрь 2023'!$D$4:$D$1053,$B158,'сентябрь 2023'!$J$4:$J$1053,AG$1)</f>
        <v>0</v>
      </c>
      <c r="AH158" s="207">
        <f>SUMIFS('сентябрь 2023'!$G$4:$G$1053,'сентябрь 2023'!$D$4:$D$1053,$B158,'сентябрь 2023'!$J$4:$J$1053,AH$1)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SUMIFS('сентябрь 2023'!$G$4:$G$1053,'сентябрь 2023'!$D$4:$D$1053,$B159,'сентябрь 2023'!$J$4:$J$1053,D$1)</f>
        <v>0</v>
      </c>
      <c r="E159" s="207">
        <f>SUMIFS('сентябрь 2023'!$G$4:$G$1053,'сентябрь 2023'!$D$4:$D$1053,$B159,'сентябрь 2023'!$J$4:$J$1053,E$1)</f>
        <v>0</v>
      </c>
      <c r="F159" s="207">
        <f>SUMIFS('сентябрь 2023'!$G$4:$G$1053,'сентябрь 2023'!$D$4:$D$1053,$B159,'сентябрь 2023'!$J$4:$J$1053,F$1)</f>
        <v>0</v>
      </c>
      <c r="G159" s="207">
        <f>SUMIFS('сентябрь 2023'!$G$4:$G$1053,'сентябрь 2023'!$D$4:$D$1053,$B159,'сентябрь 2023'!$J$4:$J$1053,G$1)</f>
        <v>0</v>
      </c>
      <c r="H159" s="207">
        <f>SUMIFS('сентябрь 2023'!$G$4:$G$1053,'сентябрь 2023'!$D$4:$D$1053,$B159,'сентябрь 2023'!$J$4:$J$1053,H$1)</f>
        <v>0</v>
      </c>
      <c r="I159" s="207">
        <f>SUMIFS('сентябрь 2023'!$G$4:$G$1053,'сентябрь 2023'!$D$4:$D$1053,$B159,'сентябрь 2023'!$J$4:$J$1053,I$1)</f>
        <v>0</v>
      </c>
      <c r="J159" s="207">
        <f>SUMIFS('сентябрь 2023'!$G$4:$G$1053,'сентябрь 2023'!$D$4:$D$1053,$B159,'сентябрь 2023'!$J$4:$J$1053,J$1)</f>
        <v>0</v>
      </c>
      <c r="K159" s="207">
        <f>SUMIFS('сентябрь 2023'!$G$4:$G$1053,'сентябрь 2023'!$D$4:$D$1053,$B159,'сентябрь 2023'!$J$4:$J$1053,K$1)</f>
        <v>0</v>
      </c>
      <c r="L159" s="207">
        <f>SUMIFS('сентябрь 2023'!$G$4:$G$1053,'сентябрь 2023'!$D$4:$D$1053,$B159,'сентябрь 2023'!$J$4:$J$1053,L$1)</f>
        <v>0</v>
      </c>
      <c r="M159" s="207">
        <f>SUMIFS('сентябрь 2023'!$G$4:$G$1053,'сентябрь 2023'!$D$4:$D$1053,$B159,'сентябрь 2023'!$J$4:$J$1053,M$1)</f>
        <v>0</v>
      </c>
      <c r="N159" s="207">
        <f>SUMIFS('сентябрь 2023'!$G$4:$G$1053,'сентябрь 2023'!$D$4:$D$1053,$B159,'сентябрь 2023'!$J$4:$J$1053,N$1)</f>
        <v>0</v>
      </c>
      <c r="O159" s="207">
        <f>SUMIFS('сентябрь 2023'!$G$4:$G$1053,'сентябрь 2023'!$D$4:$D$1053,$B159,'сентябрь 2023'!$J$4:$J$1053,O$1)</f>
        <v>0</v>
      </c>
      <c r="P159" s="207">
        <f>SUMIFS('сентябрь 2023'!$G$4:$G$1053,'сентябрь 2023'!$D$4:$D$1053,$B159,'сентябрь 2023'!$J$4:$J$1053,P$1)</f>
        <v>0</v>
      </c>
      <c r="Q159" s="207">
        <f>SUMIFS('сентябрь 2023'!$G$4:$G$1053,'сентябрь 2023'!$D$4:$D$1053,$B159,'сентябрь 2023'!$J$4:$J$1053,Q$1)</f>
        <v>0</v>
      </c>
      <c r="R159" s="207">
        <f>SUMIFS('сентябрь 2023'!$G$4:$G$1053,'сентябрь 2023'!$D$4:$D$1053,$B159,'сентябрь 2023'!$J$4:$J$1053,R$1)</f>
        <v>0</v>
      </c>
      <c r="S159" s="207">
        <f>SUMIFS('сентябрь 2023'!$G$4:$G$1053,'сентябрь 2023'!$D$4:$D$1053,$B159,'сентябрь 2023'!$J$4:$J$1053,S$1)</f>
        <v>0</v>
      </c>
      <c r="T159" s="207">
        <f>SUMIFS('сентябрь 2023'!$G$4:$G$1053,'сентябрь 2023'!$D$4:$D$1053,$B159,'сентябрь 2023'!$J$4:$J$1053,T$1)</f>
        <v>0</v>
      </c>
      <c r="U159" s="207">
        <f>SUMIFS('сентябрь 2023'!$G$4:$G$1053,'сентябрь 2023'!$D$4:$D$1053,$B159,'сентябрь 2023'!$J$4:$J$1053,U$1)</f>
        <v>0</v>
      </c>
      <c r="V159" s="207">
        <f>SUMIFS('сентябрь 2023'!$G$4:$G$1053,'сентябрь 2023'!$D$4:$D$1053,$B159,'сентябрь 2023'!$J$4:$J$1053,V$1)</f>
        <v>0</v>
      </c>
      <c r="W159" s="207">
        <f>SUMIFS('сентябрь 2023'!$G$4:$G$1053,'сентябрь 2023'!$D$4:$D$1053,$B159,'сентябрь 2023'!$J$4:$J$1053,W$1)</f>
        <v>0</v>
      </c>
      <c r="X159" s="207">
        <f>SUMIFS('сентябрь 2023'!$G$4:$G$1053,'сентябрь 2023'!$D$4:$D$1053,$B159,'сентябрь 2023'!$J$4:$J$1053,X$1)</f>
        <v>0</v>
      </c>
      <c r="Y159" s="207">
        <f>SUMIFS('сентябрь 2023'!$G$4:$G$1053,'сентябрь 2023'!$D$4:$D$1053,$B159,'сентябрь 2023'!$J$4:$J$1053,Y$1)</f>
        <v>0</v>
      </c>
      <c r="Z159" s="207">
        <f>SUMIFS('сентябрь 2023'!$G$4:$G$1053,'сентябрь 2023'!$D$4:$D$1053,$B159,'сентябрь 2023'!$J$4:$J$1053,Z$1)</f>
        <v>0</v>
      </c>
      <c r="AA159" s="207">
        <f>SUMIFS('сентябрь 2023'!$G$4:$G$1053,'сентябрь 2023'!$D$4:$D$1053,$B159,'сентябрь 2023'!$J$4:$J$1053,AA$1)</f>
        <v>0</v>
      </c>
      <c r="AB159" s="207">
        <f>SUMIFS('сентябрь 2023'!$G$4:$G$1053,'сентябрь 2023'!$D$4:$D$1053,$B159,'сентябрь 2023'!$J$4:$J$1053,AB$1)</f>
        <v>0</v>
      </c>
      <c r="AC159" s="207">
        <f>SUMIFS('сентябрь 2023'!$G$4:$G$1053,'сентябрь 2023'!$D$4:$D$1053,$B159,'сентябрь 2023'!$J$4:$J$1053,AC$1)</f>
        <v>0</v>
      </c>
      <c r="AD159" s="207">
        <f>SUMIFS('сентябрь 2023'!$G$4:$G$1053,'сентябрь 2023'!$D$4:$D$1053,$B159,'сентябрь 2023'!$J$4:$J$1053,AD$1)</f>
        <v>0</v>
      </c>
      <c r="AE159" s="207">
        <f>SUMIFS('сентябрь 2023'!$G$4:$G$1053,'сентябрь 2023'!$D$4:$D$1053,$B159,'сентябрь 2023'!$J$4:$J$1053,AE$1)</f>
        <v>0</v>
      </c>
      <c r="AF159" s="207">
        <f>SUMIFS('сентябрь 2023'!$G$4:$G$1053,'сентябрь 2023'!$D$4:$D$1053,$B159,'сентябрь 2023'!$J$4:$J$1053,AF$1)</f>
        <v>0</v>
      </c>
      <c r="AG159" s="207">
        <f>SUMIFS('сентябрь 2023'!$G$4:$G$1053,'сентябрь 2023'!$D$4:$D$1053,$B159,'сентябрь 2023'!$J$4:$J$1053,AG$1)</f>
        <v>0</v>
      </c>
      <c r="AH159" s="207">
        <f>SUMIFS('сентябрь 2023'!$G$4:$G$1053,'сентябрь 2023'!$D$4:$D$1053,$B159,'сентябрь 2023'!$J$4:$J$1053,AH$1)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SUMIFS('сентябрь 2023'!$G$4:$G$1053,'сентябрь 2023'!$D$4:$D$1053,$B160,'сентябрь 2023'!$J$4:$J$1053,D$1)</f>
        <v>0</v>
      </c>
      <c r="E160" s="207">
        <f>SUMIFS('сентябрь 2023'!$G$4:$G$1053,'сентябрь 2023'!$D$4:$D$1053,$B160,'сентябрь 2023'!$J$4:$J$1053,E$1)</f>
        <v>0</v>
      </c>
      <c r="F160" s="207">
        <f>SUMIFS('сентябрь 2023'!$G$4:$G$1053,'сентябрь 2023'!$D$4:$D$1053,$B160,'сентябрь 2023'!$J$4:$J$1053,F$1)</f>
        <v>0</v>
      </c>
      <c r="G160" s="207">
        <f>SUMIFS('сентябрь 2023'!$G$4:$G$1053,'сентябрь 2023'!$D$4:$D$1053,$B160,'сентябрь 2023'!$J$4:$J$1053,G$1)</f>
        <v>0</v>
      </c>
      <c r="H160" s="207">
        <f>SUMIFS('сентябрь 2023'!$G$4:$G$1053,'сентябрь 2023'!$D$4:$D$1053,$B160,'сентябрь 2023'!$J$4:$J$1053,H$1)</f>
        <v>0</v>
      </c>
      <c r="I160" s="207">
        <f>SUMIFS('сентябрь 2023'!$G$4:$G$1053,'сентябрь 2023'!$D$4:$D$1053,$B160,'сентябрь 2023'!$J$4:$J$1053,I$1)</f>
        <v>0</v>
      </c>
      <c r="J160" s="207">
        <f>SUMIFS('сентябрь 2023'!$G$4:$G$1053,'сентябрь 2023'!$D$4:$D$1053,$B160,'сентябрь 2023'!$J$4:$J$1053,J$1)</f>
        <v>0</v>
      </c>
      <c r="K160" s="207">
        <f>SUMIFS('сентябрь 2023'!$G$4:$G$1053,'сентябрь 2023'!$D$4:$D$1053,$B160,'сентябрь 2023'!$J$4:$J$1053,K$1)</f>
        <v>0</v>
      </c>
      <c r="L160" s="207">
        <f>SUMIFS('сентябрь 2023'!$G$4:$G$1053,'сентябрь 2023'!$D$4:$D$1053,$B160,'сентябрь 2023'!$J$4:$J$1053,L$1)</f>
        <v>0</v>
      </c>
      <c r="M160" s="207">
        <f>SUMIFS('сентябрь 2023'!$G$4:$G$1053,'сентябрь 2023'!$D$4:$D$1053,$B160,'сентябрь 2023'!$J$4:$J$1053,M$1)</f>
        <v>0</v>
      </c>
      <c r="N160" s="207">
        <f>SUMIFS('сентябрь 2023'!$G$4:$G$1053,'сентябрь 2023'!$D$4:$D$1053,$B160,'сентябрь 2023'!$J$4:$J$1053,N$1)</f>
        <v>0</v>
      </c>
      <c r="O160" s="207">
        <f>SUMIFS('сентябрь 2023'!$G$4:$G$1053,'сентябрь 2023'!$D$4:$D$1053,$B160,'сентябрь 2023'!$J$4:$J$1053,O$1)</f>
        <v>0</v>
      </c>
      <c r="P160" s="207">
        <f>SUMIFS('сентябрь 2023'!$G$4:$G$1053,'сентябрь 2023'!$D$4:$D$1053,$B160,'сентябрь 2023'!$J$4:$J$1053,P$1)</f>
        <v>0</v>
      </c>
      <c r="Q160" s="207">
        <f>SUMIFS('сентябрь 2023'!$G$4:$G$1053,'сентябрь 2023'!$D$4:$D$1053,$B160,'сентябрь 2023'!$J$4:$J$1053,Q$1)</f>
        <v>0</v>
      </c>
      <c r="R160" s="207">
        <f>SUMIFS('сентябрь 2023'!$G$4:$G$1053,'сентябрь 2023'!$D$4:$D$1053,$B160,'сентябрь 2023'!$J$4:$J$1053,R$1)</f>
        <v>0</v>
      </c>
      <c r="S160" s="207">
        <f>SUMIFS('сентябрь 2023'!$G$4:$G$1053,'сентябрь 2023'!$D$4:$D$1053,$B160,'сентябрь 2023'!$J$4:$J$1053,S$1)</f>
        <v>0</v>
      </c>
      <c r="T160" s="207">
        <f>SUMIFS('сентябрь 2023'!$G$4:$G$1053,'сентябрь 2023'!$D$4:$D$1053,$B160,'сентябрь 2023'!$J$4:$J$1053,T$1)</f>
        <v>0</v>
      </c>
      <c r="U160" s="207">
        <f>SUMIFS('сентябрь 2023'!$G$4:$G$1053,'сентябрь 2023'!$D$4:$D$1053,$B160,'сентябрь 2023'!$J$4:$J$1053,U$1)</f>
        <v>0</v>
      </c>
      <c r="V160" s="207">
        <f>SUMIFS('сентябрь 2023'!$G$4:$G$1053,'сентябрь 2023'!$D$4:$D$1053,$B160,'сентябрь 2023'!$J$4:$J$1053,V$1)</f>
        <v>0</v>
      </c>
      <c r="W160" s="207">
        <f>SUMIFS('сентябрь 2023'!$G$4:$G$1053,'сентябрь 2023'!$D$4:$D$1053,$B160,'сентябрь 2023'!$J$4:$J$1053,W$1)</f>
        <v>0</v>
      </c>
      <c r="X160" s="207">
        <f>SUMIFS('сентябрь 2023'!$G$4:$G$1053,'сентябрь 2023'!$D$4:$D$1053,$B160,'сентябрь 2023'!$J$4:$J$1053,X$1)</f>
        <v>0</v>
      </c>
      <c r="Y160" s="207">
        <f>SUMIFS('сентябрь 2023'!$G$4:$G$1053,'сентябрь 2023'!$D$4:$D$1053,$B160,'сентябрь 2023'!$J$4:$J$1053,Y$1)</f>
        <v>0</v>
      </c>
      <c r="Z160" s="207">
        <f>SUMIFS('сентябрь 2023'!$G$4:$G$1053,'сентябрь 2023'!$D$4:$D$1053,$B160,'сентябрь 2023'!$J$4:$J$1053,Z$1)</f>
        <v>0</v>
      </c>
      <c r="AA160" s="207">
        <f>SUMIFS('сентябрь 2023'!$G$4:$G$1053,'сентябрь 2023'!$D$4:$D$1053,$B160,'сентябрь 2023'!$J$4:$J$1053,AA$1)</f>
        <v>0</v>
      </c>
      <c r="AB160" s="207">
        <f>SUMIFS('сентябрь 2023'!$G$4:$G$1053,'сентябрь 2023'!$D$4:$D$1053,$B160,'сентябрь 2023'!$J$4:$J$1053,AB$1)</f>
        <v>0</v>
      </c>
      <c r="AC160" s="207">
        <f>SUMIFS('сентябрь 2023'!$G$4:$G$1053,'сентябрь 2023'!$D$4:$D$1053,$B160,'сентябрь 2023'!$J$4:$J$1053,AC$1)</f>
        <v>0</v>
      </c>
      <c r="AD160" s="207">
        <f>SUMIFS('сентябрь 2023'!$G$4:$G$1053,'сентябрь 2023'!$D$4:$D$1053,$B160,'сентябрь 2023'!$J$4:$J$1053,AD$1)</f>
        <v>0</v>
      </c>
      <c r="AE160" s="207">
        <f>SUMIFS('сентябрь 2023'!$G$4:$G$1053,'сентябрь 2023'!$D$4:$D$1053,$B160,'сентябрь 2023'!$J$4:$J$1053,AE$1)</f>
        <v>0</v>
      </c>
      <c r="AF160" s="207">
        <f>SUMIFS('сентябрь 2023'!$G$4:$G$1053,'сентябрь 2023'!$D$4:$D$1053,$B160,'сентябрь 2023'!$J$4:$J$1053,AF$1)</f>
        <v>0</v>
      </c>
      <c r="AG160" s="207">
        <f>SUMIFS('сентябрь 2023'!$G$4:$G$1053,'сентябрь 2023'!$D$4:$D$1053,$B160,'сентябрь 2023'!$J$4:$J$1053,AG$1)</f>
        <v>0</v>
      </c>
      <c r="AH160" s="207">
        <f>SUMIFS('сентябрь 2023'!$G$4:$G$1053,'сентябрь 2023'!$D$4:$D$1053,$B160,'сентябрь 2023'!$J$4:$J$1053,AH$1)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SUMIFS('сентябрь 2023'!$G$4:$G$1053,'сентябрь 2023'!$D$4:$D$1053,$B161,'сентябрь 2023'!$J$4:$J$1053,D$1)</f>
        <v>0</v>
      </c>
      <c r="E161" s="207">
        <f>SUMIFS('сентябрь 2023'!$G$4:$G$1053,'сентябрь 2023'!$D$4:$D$1053,$B161,'сентябрь 2023'!$J$4:$J$1053,E$1)</f>
        <v>0</v>
      </c>
      <c r="F161" s="207">
        <f>SUMIFS('сентябрь 2023'!$G$4:$G$1053,'сентябрь 2023'!$D$4:$D$1053,$B161,'сентябрь 2023'!$J$4:$J$1053,F$1)</f>
        <v>0</v>
      </c>
      <c r="G161" s="207">
        <f>SUMIFS('сентябрь 2023'!$G$4:$G$1053,'сентябрь 2023'!$D$4:$D$1053,$B161,'сентябрь 2023'!$J$4:$J$1053,G$1)</f>
        <v>0</v>
      </c>
      <c r="H161" s="207">
        <f>SUMIFS('сентябрь 2023'!$G$4:$G$1053,'сентябрь 2023'!$D$4:$D$1053,$B161,'сентябрь 2023'!$J$4:$J$1053,H$1)</f>
        <v>0</v>
      </c>
      <c r="I161" s="207">
        <f>SUMIFS('сентябрь 2023'!$G$4:$G$1053,'сентябрь 2023'!$D$4:$D$1053,$B161,'сентябрь 2023'!$J$4:$J$1053,I$1)</f>
        <v>0</v>
      </c>
      <c r="J161" s="207">
        <f>SUMIFS('сентябрь 2023'!$G$4:$G$1053,'сентябрь 2023'!$D$4:$D$1053,$B161,'сентябрь 2023'!$J$4:$J$1053,J$1)</f>
        <v>0</v>
      </c>
      <c r="K161" s="207">
        <f>SUMIFS('сентябрь 2023'!$G$4:$G$1053,'сентябрь 2023'!$D$4:$D$1053,$B161,'сентябрь 2023'!$J$4:$J$1053,K$1)</f>
        <v>0</v>
      </c>
      <c r="L161" s="207">
        <f>SUMIFS('сентябрь 2023'!$G$4:$G$1053,'сентябрь 2023'!$D$4:$D$1053,$B161,'сентябрь 2023'!$J$4:$J$1053,L$1)</f>
        <v>0</v>
      </c>
      <c r="M161" s="207">
        <f>SUMIFS('сентябрь 2023'!$G$4:$G$1053,'сентябрь 2023'!$D$4:$D$1053,$B161,'сентябрь 2023'!$J$4:$J$1053,M$1)</f>
        <v>0</v>
      </c>
      <c r="N161" s="207">
        <f>SUMIFS('сентябрь 2023'!$G$4:$G$1053,'сентябрь 2023'!$D$4:$D$1053,$B161,'сентябрь 2023'!$J$4:$J$1053,N$1)</f>
        <v>0</v>
      </c>
      <c r="O161" s="207">
        <f>SUMIFS('сентябрь 2023'!$G$4:$G$1053,'сентябрь 2023'!$D$4:$D$1053,$B161,'сентябрь 2023'!$J$4:$J$1053,O$1)</f>
        <v>0</v>
      </c>
      <c r="P161" s="207">
        <f>SUMIFS('сентябрь 2023'!$G$4:$G$1053,'сентябрь 2023'!$D$4:$D$1053,$B161,'сентябрь 2023'!$J$4:$J$1053,P$1)</f>
        <v>0</v>
      </c>
      <c r="Q161" s="207">
        <f>SUMIFS('сентябрь 2023'!$G$4:$G$1053,'сентябрь 2023'!$D$4:$D$1053,$B161,'сентябрь 2023'!$J$4:$J$1053,Q$1)</f>
        <v>0</v>
      </c>
      <c r="R161" s="207">
        <f>SUMIFS('сентябрь 2023'!$G$4:$G$1053,'сентябрь 2023'!$D$4:$D$1053,$B161,'сентябрь 2023'!$J$4:$J$1053,R$1)</f>
        <v>0</v>
      </c>
      <c r="S161" s="207">
        <f>SUMIFS('сентябрь 2023'!$G$4:$G$1053,'сентябрь 2023'!$D$4:$D$1053,$B161,'сентябрь 2023'!$J$4:$J$1053,S$1)</f>
        <v>0</v>
      </c>
      <c r="T161" s="207">
        <f>SUMIFS('сентябрь 2023'!$G$4:$G$1053,'сентябрь 2023'!$D$4:$D$1053,$B161,'сентябрь 2023'!$J$4:$J$1053,T$1)</f>
        <v>0</v>
      </c>
      <c r="U161" s="207">
        <f>SUMIFS('сентябрь 2023'!$G$4:$G$1053,'сентябрь 2023'!$D$4:$D$1053,$B161,'сентябрь 2023'!$J$4:$J$1053,U$1)</f>
        <v>0</v>
      </c>
      <c r="V161" s="207">
        <f>SUMIFS('сентябрь 2023'!$G$4:$G$1053,'сентябрь 2023'!$D$4:$D$1053,$B161,'сентябрь 2023'!$J$4:$J$1053,V$1)</f>
        <v>0</v>
      </c>
      <c r="W161" s="207">
        <f>SUMIFS('сентябрь 2023'!$G$4:$G$1053,'сентябрь 2023'!$D$4:$D$1053,$B161,'сентябрь 2023'!$J$4:$J$1053,W$1)</f>
        <v>0</v>
      </c>
      <c r="X161" s="207">
        <f>SUMIFS('сентябрь 2023'!$G$4:$G$1053,'сентябрь 2023'!$D$4:$D$1053,$B161,'сентябрь 2023'!$J$4:$J$1053,X$1)</f>
        <v>0</v>
      </c>
      <c r="Y161" s="207">
        <f>SUMIFS('сентябрь 2023'!$G$4:$G$1053,'сентябрь 2023'!$D$4:$D$1053,$B161,'сентябрь 2023'!$J$4:$J$1053,Y$1)</f>
        <v>0</v>
      </c>
      <c r="Z161" s="207">
        <f>SUMIFS('сентябрь 2023'!$G$4:$G$1053,'сентябрь 2023'!$D$4:$D$1053,$B161,'сентябрь 2023'!$J$4:$J$1053,Z$1)</f>
        <v>0</v>
      </c>
      <c r="AA161" s="207">
        <f>SUMIFS('сентябрь 2023'!$G$4:$G$1053,'сентябрь 2023'!$D$4:$D$1053,$B161,'сентябрь 2023'!$J$4:$J$1053,AA$1)</f>
        <v>0</v>
      </c>
      <c r="AB161" s="207">
        <f>SUMIFS('сентябрь 2023'!$G$4:$G$1053,'сентябрь 2023'!$D$4:$D$1053,$B161,'сентябрь 2023'!$J$4:$J$1053,AB$1)</f>
        <v>0</v>
      </c>
      <c r="AC161" s="207">
        <f>SUMIFS('сентябрь 2023'!$G$4:$G$1053,'сентябрь 2023'!$D$4:$D$1053,$B161,'сентябрь 2023'!$J$4:$J$1053,AC$1)</f>
        <v>0</v>
      </c>
      <c r="AD161" s="207">
        <f>SUMIFS('сентябрь 2023'!$G$4:$G$1053,'сентябрь 2023'!$D$4:$D$1053,$B161,'сентябрь 2023'!$J$4:$J$1053,AD$1)</f>
        <v>0</v>
      </c>
      <c r="AE161" s="207">
        <f>SUMIFS('сентябрь 2023'!$G$4:$G$1053,'сентябрь 2023'!$D$4:$D$1053,$B161,'сентябрь 2023'!$J$4:$J$1053,AE$1)</f>
        <v>0</v>
      </c>
      <c r="AF161" s="207">
        <f>SUMIFS('сентябрь 2023'!$G$4:$G$1053,'сентябрь 2023'!$D$4:$D$1053,$B161,'сентябрь 2023'!$J$4:$J$1053,AF$1)</f>
        <v>0</v>
      </c>
      <c r="AG161" s="207">
        <f>SUMIFS('сентябрь 2023'!$G$4:$G$1053,'сентябрь 2023'!$D$4:$D$1053,$B161,'сентябрь 2023'!$J$4:$J$1053,AG$1)</f>
        <v>0</v>
      </c>
      <c r="AH161" s="207">
        <f>SUMIFS('сентябрь 2023'!$G$4:$G$1053,'сентябрь 2023'!$D$4:$D$1053,$B161,'сентябрь 2023'!$J$4:$J$1053,AH$1)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SUMIFS('сентябрь 2023'!$G$4:$G$1053,'сентябрь 2023'!$D$4:$D$1053,$B162,'сентябрь 2023'!$J$4:$J$1053,D$1)</f>
        <v>0</v>
      </c>
      <c r="E162" s="207">
        <f>SUMIFS('сентябрь 2023'!$G$4:$G$1053,'сентябрь 2023'!$D$4:$D$1053,$B162,'сентябрь 2023'!$J$4:$J$1053,E$1)</f>
        <v>0</v>
      </c>
      <c r="F162" s="207">
        <f>SUMIFS('сентябрь 2023'!$G$4:$G$1053,'сентябрь 2023'!$D$4:$D$1053,$B162,'сентябрь 2023'!$J$4:$J$1053,F$1)</f>
        <v>0</v>
      </c>
      <c r="G162" s="207">
        <f>SUMIFS('сентябрь 2023'!$G$4:$G$1053,'сентябрь 2023'!$D$4:$D$1053,$B162,'сентябрь 2023'!$J$4:$J$1053,G$1)</f>
        <v>0</v>
      </c>
      <c r="H162" s="207">
        <f>SUMIFS('сентябрь 2023'!$G$4:$G$1053,'сентябрь 2023'!$D$4:$D$1053,$B162,'сентябрь 2023'!$J$4:$J$1053,H$1)</f>
        <v>0</v>
      </c>
      <c r="I162" s="207">
        <f>SUMIFS('сентябрь 2023'!$G$4:$G$1053,'сентябрь 2023'!$D$4:$D$1053,$B162,'сентябрь 2023'!$J$4:$J$1053,I$1)</f>
        <v>0</v>
      </c>
      <c r="J162" s="207">
        <f>SUMIFS('сентябрь 2023'!$G$4:$G$1053,'сентябрь 2023'!$D$4:$D$1053,$B162,'сентябрь 2023'!$J$4:$J$1053,J$1)</f>
        <v>0</v>
      </c>
      <c r="K162" s="207">
        <f>SUMIFS('сентябрь 2023'!$G$4:$G$1053,'сентябрь 2023'!$D$4:$D$1053,$B162,'сентябрь 2023'!$J$4:$J$1053,K$1)</f>
        <v>0</v>
      </c>
      <c r="L162" s="207">
        <f>SUMIFS('сентябрь 2023'!$G$4:$G$1053,'сентябрь 2023'!$D$4:$D$1053,$B162,'сентябрь 2023'!$J$4:$J$1053,L$1)</f>
        <v>0</v>
      </c>
      <c r="M162" s="207">
        <f>SUMIFS('сентябрь 2023'!$G$4:$G$1053,'сентябрь 2023'!$D$4:$D$1053,$B162,'сентябрь 2023'!$J$4:$J$1053,M$1)</f>
        <v>0</v>
      </c>
      <c r="N162" s="207">
        <f>SUMIFS('сентябрь 2023'!$G$4:$G$1053,'сентябрь 2023'!$D$4:$D$1053,$B162,'сентябрь 2023'!$J$4:$J$1053,N$1)</f>
        <v>0</v>
      </c>
      <c r="O162" s="207">
        <f>SUMIFS('сентябрь 2023'!$G$4:$G$1053,'сентябрь 2023'!$D$4:$D$1053,$B162,'сентябрь 2023'!$J$4:$J$1053,O$1)</f>
        <v>0</v>
      </c>
      <c r="P162" s="207">
        <f>SUMIFS('сентябрь 2023'!$G$4:$G$1053,'сентябрь 2023'!$D$4:$D$1053,$B162,'сентябрь 2023'!$J$4:$J$1053,P$1)</f>
        <v>0</v>
      </c>
      <c r="Q162" s="207">
        <f>SUMIFS('сентябрь 2023'!$G$4:$G$1053,'сентябрь 2023'!$D$4:$D$1053,$B162,'сентябрь 2023'!$J$4:$J$1053,Q$1)</f>
        <v>0</v>
      </c>
      <c r="R162" s="207">
        <f>SUMIFS('сентябрь 2023'!$G$4:$G$1053,'сентябрь 2023'!$D$4:$D$1053,$B162,'сентябрь 2023'!$J$4:$J$1053,R$1)</f>
        <v>0</v>
      </c>
      <c r="S162" s="207">
        <f>SUMIFS('сентябрь 2023'!$G$4:$G$1053,'сентябрь 2023'!$D$4:$D$1053,$B162,'сентябрь 2023'!$J$4:$J$1053,S$1)</f>
        <v>0</v>
      </c>
      <c r="T162" s="207">
        <f>SUMIFS('сентябрь 2023'!$G$4:$G$1053,'сентябрь 2023'!$D$4:$D$1053,$B162,'сентябрь 2023'!$J$4:$J$1053,T$1)</f>
        <v>0</v>
      </c>
      <c r="U162" s="207">
        <f>SUMIFS('сентябрь 2023'!$G$4:$G$1053,'сентябрь 2023'!$D$4:$D$1053,$B162,'сентябрь 2023'!$J$4:$J$1053,U$1)</f>
        <v>0</v>
      </c>
      <c r="V162" s="207">
        <f>SUMIFS('сентябрь 2023'!$G$4:$G$1053,'сентябрь 2023'!$D$4:$D$1053,$B162,'сентябрь 2023'!$J$4:$J$1053,V$1)</f>
        <v>0</v>
      </c>
      <c r="W162" s="207">
        <f>SUMIFS('сентябрь 2023'!$G$4:$G$1053,'сентябрь 2023'!$D$4:$D$1053,$B162,'сентябрь 2023'!$J$4:$J$1053,W$1)</f>
        <v>0</v>
      </c>
      <c r="X162" s="207">
        <f>SUMIFS('сентябрь 2023'!$G$4:$G$1053,'сентябрь 2023'!$D$4:$D$1053,$B162,'сентябрь 2023'!$J$4:$J$1053,X$1)</f>
        <v>0</v>
      </c>
      <c r="Y162" s="207">
        <f>SUMIFS('сентябрь 2023'!$G$4:$G$1053,'сентябрь 2023'!$D$4:$D$1053,$B162,'сентябрь 2023'!$J$4:$J$1053,Y$1)</f>
        <v>0</v>
      </c>
      <c r="Z162" s="207">
        <f>SUMIFS('сентябрь 2023'!$G$4:$G$1053,'сентябрь 2023'!$D$4:$D$1053,$B162,'сентябрь 2023'!$J$4:$J$1053,Z$1)</f>
        <v>0</v>
      </c>
      <c r="AA162" s="207">
        <f>SUMIFS('сентябрь 2023'!$G$4:$G$1053,'сентябрь 2023'!$D$4:$D$1053,$B162,'сентябрь 2023'!$J$4:$J$1053,AA$1)</f>
        <v>0</v>
      </c>
      <c r="AB162" s="207">
        <f>SUMIFS('сентябрь 2023'!$G$4:$G$1053,'сентябрь 2023'!$D$4:$D$1053,$B162,'сентябрь 2023'!$J$4:$J$1053,AB$1)</f>
        <v>0</v>
      </c>
      <c r="AC162" s="207">
        <f>SUMIFS('сентябрь 2023'!$G$4:$G$1053,'сентябрь 2023'!$D$4:$D$1053,$B162,'сентябрь 2023'!$J$4:$J$1053,AC$1)</f>
        <v>0</v>
      </c>
      <c r="AD162" s="207">
        <f>SUMIFS('сентябрь 2023'!$G$4:$G$1053,'сентябрь 2023'!$D$4:$D$1053,$B162,'сентябрь 2023'!$J$4:$J$1053,AD$1)</f>
        <v>0</v>
      </c>
      <c r="AE162" s="207">
        <f>SUMIFS('сентябрь 2023'!$G$4:$G$1053,'сентябрь 2023'!$D$4:$D$1053,$B162,'сентябрь 2023'!$J$4:$J$1053,AE$1)</f>
        <v>0</v>
      </c>
      <c r="AF162" s="207">
        <f>SUMIFS('сентябрь 2023'!$G$4:$G$1053,'сентябрь 2023'!$D$4:$D$1053,$B162,'сентябрь 2023'!$J$4:$J$1053,AF$1)</f>
        <v>0</v>
      </c>
      <c r="AG162" s="207">
        <f>SUMIFS('сентябрь 2023'!$G$4:$G$1053,'сентябрь 2023'!$D$4:$D$1053,$B162,'сентябрь 2023'!$J$4:$J$1053,AG$1)</f>
        <v>0</v>
      </c>
      <c r="AH162" s="207">
        <f>SUMIFS('сентябрь 2023'!$G$4:$G$1053,'сентябрь 2023'!$D$4:$D$1053,$B162,'сентябрь 2023'!$J$4:$J$1053,AH$1)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SUMIFS('сентябрь 2023'!$G$4:$G$1053,'сентябрь 2023'!$D$4:$D$1053,$B163,'сентябрь 2023'!$J$4:$J$1053,D$1)</f>
        <v>0</v>
      </c>
      <c r="E163" s="207">
        <f>SUMIFS('сентябрь 2023'!$G$4:$G$1053,'сентябрь 2023'!$D$4:$D$1053,$B163,'сентябрь 2023'!$J$4:$J$1053,E$1)</f>
        <v>0</v>
      </c>
      <c r="F163" s="207">
        <f>SUMIFS('сентябрь 2023'!$G$4:$G$1053,'сентябрь 2023'!$D$4:$D$1053,$B163,'сентябрь 2023'!$J$4:$J$1053,F$1)</f>
        <v>0</v>
      </c>
      <c r="G163" s="207">
        <f>SUMIFS('сентябрь 2023'!$G$4:$G$1053,'сентябрь 2023'!$D$4:$D$1053,$B163,'сентябрь 2023'!$J$4:$J$1053,G$1)</f>
        <v>0</v>
      </c>
      <c r="H163" s="207">
        <f>SUMIFS('сентябрь 2023'!$G$4:$G$1053,'сентябрь 2023'!$D$4:$D$1053,$B163,'сентябрь 2023'!$J$4:$J$1053,H$1)</f>
        <v>0</v>
      </c>
      <c r="I163" s="207">
        <f>SUMIFS('сентябрь 2023'!$G$4:$G$1053,'сентябрь 2023'!$D$4:$D$1053,$B163,'сентябрь 2023'!$J$4:$J$1053,I$1)</f>
        <v>0</v>
      </c>
      <c r="J163" s="207">
        <f>SUMIFS('сентябрь 2023'!$G$4:$G$1053,'сентябрь 2023'!$D$4:$D$1053,$B163,'сентябрь 2023'!$J$4:$J$1053,J$1)</f>
        <v>0</v>
      </c>
      <c r="K163" s="207">
        <f>SUMIFS('сентябрь 2023'!$G$4:$G$1053,'сентябрь 2023'!$D$4:$D$1053,$B163,'сентябрь 2023'!$J$4:$J$1053,K$1)</f>
        <v>0</v>
      </c>
      <c r="L163" s="207">
        <f>SUMIFS('сентябрь 2023'!$G$4:$G$1053,'сентябрь 2023'!$D$4:$D$1053,$B163,'сентябрь 2023'!$J$4:$J$1053,L$1)</f>
        <v>0</v>
      </c>
      <c r="M163" s="207">
        <f>SUMIFS('сентябрь 2023'!$G$4:$G$1053,'сентябрь 2023'!$D$4:$D$1053,$B163,'сентябрь 2023'!$J$4:$J$1053,M$1)</f>
        <v>0</v>
      </c>
      <c r="N163" s="207">
        <f>SUMIFS('сентябрь 2023'!$G$4:$G$1053,'сентябрь 2023'!$D$4:$D$1053,$B163,'сентябрь 2023'!$J$4:$J$1053,N$1)</f>
        <v>0</v>
      </c>
      <c r="O163" s="207">
        <f>SUMIFS('сентябрь 2023'!$G$4:$G$1053,'сентябрь 2023'!$D$4:$D$1053,$B163,'сентябрь 2023'!$J$4:$J$1053,O$1)</f>
        <v>0</v>
      </c>
      <c r="P163" s="207">
        <f>SUMIFS('сентябрь 2023'!$G$4:$G$1053,'сентябрь 2023'!$D$4:$D$1053,$B163,'сентябрь 2023'!$J$4:$J$1053,P$1)</f>
        <v>0</v>
      </c>
      <c r="Q163" s="207">
        <f>SUMIFS('сентябрь 2023'!$G$4:$G$1053,'сентябрь 2023'!$D$4:$D$1053,$B163,'сентябрь 2023'!$J$4:$J$1053,Q$1)</f>
        <v>0</v>
      </c>
      <c r="R163" s="207">
        <f>SUMIFS('сентябрь 2023'!$G$4:$G$1053,'сентябрь 2023'!$D$4:$D$1053,$B163,'сентябрь 2023'!$J$4:$J$1053,R$1)</f>
        <v>0</v>
      </c>
      <c r="S163" s="207">
        <f>SUMIFS('сентябрь 2023'!$G$4:$G$1053,'сентябрь 2023'!$D$4:$D$1053,$B163,'сентябрь 2023'!$J$4:$J$1053,S$1)</f>
        <v>0</v>
      </c>
      <c r="T163" s="207">
        <f>SUMIFS('сентябрь 2023'!$G$4:$G$1053,'сентябрь 2023'!$D$4:$D$1053,$B163,'сентябрь 2023'!$J$4:$J$1053,T$1)</f>
        <v>0</v>
      </c>
      <c r="U163" s="207">
        <f>SUMIFS('сентябрь 2023'!$G$4:$G$1053,'сентябрь 2023'!$D$4:$D$1053,$B163,'сентябрь 2023'!$J$4:$J$1053,U$1)</f>
        <v>0</v>
      </c>
      <c r="V163" s="207">
        <f>SUMIFS('сентябрь 2023'!$G$4:$G$1053,'сентябрь 2023'!$D$4:$D$1053,$B163,'сентябрь 2023'!$J$4:$J$1053,V$1)</f>
        <v>0</v>
      </c>
      <c r="W163" s="207">
        <f>SUMIFS('сентябрь 2023'!$G$4:$G$1053,'сентябрь 2023'!$D$4:$D$1053,$B163,'сентябрь 2023'!$J$4:$J$1053,W$1)</f>
        <v>0</v>
      </c>
      <c r="X163" s="207">
        <f>SUMIFS('сентябрь 2023'!$G$4:$G$1053,'сентябрь 2023'!$D$4:$D$1053,$B163,'сентябрь 2023'!$J$4:$J$1053,X$1)</f>
        <v>0</v>
      </c>
      <c r="Y163" s="207">
        <f>SUMIFS('сентябрь 2023'!$G$4:$G$1053,'сентябрь 2023'!$D$4:$D$1053,$B163,'сентябрь 2023'!$J$4:$J$1053,Y$1)</f>
        <v>0</v>
      </c>
      <c r="Z163" s="207">
        <f>SUMIFS('сентябрь 2023'!$G$4:$G$1053,'сентябрь 2023'!$D$4:$D$1053,$B163,'сентябрь 2023'!$J$4:$J$1053,Z$1)</f>
        <v>0</v>
      </c>
      <c r="AA163" s="207">
        <f>SUMIFS('сентябрь 2023'!$G$4:$G$1053,'сентябрь 2023'!$D$4:$D$1053,$B163,'сентябрь 2023'!$J$4:$J$1053,AA$1)</f>
        <v>0</v>
      </c>
      <c r="AB163" s="207">
        <f>SUMIFS('сентябрь 2023'!$G$4:$G$1053,'сентябрь 2023'!$D$4:$D$1053,$B163,'сентябрь 2023'!$J$4:$J$1053,AB$1)</f>
        <v>0</v>
      </c>
      <c r="AC163" s="207">
        <f>SUMIFS('сентябрь 2023'!$G$4:$G$1053,'сентябрь 2023'!$D$4:$D$1053,$B163,'сентябрь 2023'!$J$4:$J$1053,AC$1)</f>
        <v>0</v>
      </c>
      <c r="AD163" s="207">
        <f>SUMIFS('сентябрь 2023'!$G$4:$G$1053,'сентябрь 2023'!$D$4:$D$1053,$B163,'сентябрь 2023'!$J$4:$J$1053,AD$1)</f>
        <v>0</v>
      </c>
      <c r="AE163" s="207">
        <f>SUMIFS('сентябрь 2023'!$G$4:$G$1053,'сентябрь 2023'!$D$4:$D$1053,$B163,'сентябрь 2023'!$J$4:$J$1053,AE$1)</f>
        <v>0</v>
      </c>
      <c r="AF163" s="207">
        <f>SUMIFS('сентябрь 2023'!$G$4:$G$1053,'сентябрь 2023'!$D$4:$D$1053,$B163,'сентябрь 2023'!$J$4:$J$1053,AF$1)</f>
        <v>0</v>
      </c>
      <c r="AG163" s="207">
        <f>SUMIFS('сентябрь 2023'!$G$4:$G$1053,'сентябрь 2023'!$D$4:$D$1053,$B163,'сентябрь 2023'!$J$4:$J$1053,AG$1)</f>
        <v>0</v>
      </c>
      <c r="AH163" s="207">
        <f>SUMIFS('сентябрь 2023'!$G$4:$G$1053,'сентябрь 2023'!$D$4:$D$1053,$B163,'сентябрь 2023'!$J$4:$J$1053,AH$1)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SUMIFS('сентябрь 2023'!$G$4:$G$1053,'сентябрь 2023'!$D$4:$D$1053,$B164,'сентябрь 2023'!$J$4:$J$1053,D$1)</f>
        <v>0</v>
      </c>
      <c r="E164" s="207">
        <f>SUMIFS('сентябрь 2023'!$G$4:$G$1053,'сентябрь 2023'!$D$4:$D$1053,$B164,'сентябрь 2023'!$J$4:$J$1053,E$1)</f>
        <v>0</v>
      </c>
      <c r="F164" s="207">
        <f>SUMIFS('сентябрь 2023'!$G$4:$G$1053,'сентябрь 2023'!$D$4:$D$1053,$B164,'сентябрь 2023'!$J$4:$J$1053,F$1)</f>
        <v>0</v>
      </c>
      <c r="G164" s="207">
        <f>SUMIFS('сентябрь 2023'!$G$4:$G$1053,'сентябрь 2023'!$D$4:$D$1053,$B164,'сентябрь 2023'!$J$4:$J$1053,G$1)</f>
        <v>0</v>
      </c>
      <c r="H164" s="207">
        <f>SUMIFS('сентябрь 2023'!$G$4:$G$1053,'сентябрь 2023'!$D$4:$D$1053,$B164,'сентябрь 2023'!$J$4:$J$1053,H$1)</f>
        <v>0</v>
      </c>
      <c r="I164" s="207">
        <f>SUMIFS('сентябрь 2023'!$G$4:$G$1053,'сентябрь 2023'!$D$4:$D$1053,$B164,'сентябрь 2023'!$J$4:$J$1053,I$1)</f>
        <v>0</v>
      </c>
      <c r="J164" s="207">
        <f>SUMIFS('сентябрь 2023'!$G$4:$G$1053,'сентябрь 2023'!$D$4:$D$1053,$B164,'сентябрь 2023'!$J$4:$J$1053,J$1)</f>
        <v>0</v>
      </c>
      <c r="K164" s="207">
        <f>SUMIFS('сентябрь 2023'!$G$4:$G$1053,'сентябрь 2023'!$D$4:$D$1053,$B164,'сентябрь 2023'!$J$4:$J$1053,K$1)</f>
        <v>0</v>
      </c>
      <c r="L164" s="207">
        <f>SUMIFS('сентябрь 2023'!$G$4:$G$1053,'сентябрь 2023'!$D$4:$D$1053,$B164,'сентябрь 2023'!$J$4:$J$1053,L$1)</f>
        <v>0</v>
      </c>
      <c r="M164" s="207">
        <f>SUMIFS('сентябрь 2023'!$G$4:$G$1053,'сентябрь 2023'!$D$4:$D$1053,$B164,'сентябрь 2023'!$J$4:$J$1053,M$1)</f>
        <v>0</v>
      </c>
      <c r="N164" s="207">
        <f>SUMIFS('сентябрь 2023'!$G$4:$G$1053,'сентябрь 2023'!$D$4:$D$1053,$B164,'сентябрь 2023'!$J$4:$J$1053,N$1)</f>
        <v>0</v>
      </c>
      <c r="O164" s="207">
        <f>SUMIFS('сентябрь 2023'!$G$4:$G$1053,'сентябрь 2023'!$D$4:$D$1053,$B164,'сентябрь 2023'!$J$4:$J$1053,O$1)</f>
        <v>0</v>
      </c>
      <c r="P164" s="207">
        <f>SUMIFS('сентябрь 2023'!$G$4:$G$1053,'сентябрь 2023'!$D$4:$D$1053,$B164,'сентябрь 2023'!$J$4:$J$1053,P$1)</f>
        <v>0</v>
      </c>
      <c r="Q164" s="207">
        <f>SUMIFS('сентябрь 2023'!$G$4:$G$1053,'сентябрь 2023'!$D$4:$D$1053,$B164,'сентябрь 2023'!$J$4:$J$1053,Q$1)</f>
        <v>0</v>
      </c>
      <c r="R164" s="207">
        <f>SUMIFS('сентябрь 2023'!$G$4:$G$1053,'сентябрь 2023'!$D$4:$D$1053,$B164,'сентябрь 2023'!$J$4:$J$1053,R$1)</f>
        <v>0</v>
      </c>
      <c r="S164" s="207">
        <f>SUMIFS('сентябрь 2023'!$G$4:$G$1053,'сентябрь 2023'!$D$4:$D$1053,$B164,'сентябрь 2023'!$J$4:$J$1053,S$1)</f>
        <v>0</v>
      </c>
      <c r="T164" s="207">
        <f>SUMIFS('сентябрь 2023'!$G$4:$G$1053,'сентябрь 2023'!$D$4:$D$1053,$B164,'сентябрь 2023'!$J$4:$J$1053,T$1)</f>
        <v>0</v>
      </c>
      <c r="U164" s="207">
        <f>SUMIFS('сентябрь 2023'!$G$4:$G$1053,'сентябрь 2023'!$D$4:$D$1053,$B164,'сентябрь 2023'!$J$4:$J$1053,U$1)</f>
        <v>0</v>
      </c>
      <c r="V164" s="207">
        <f>SUMIFS('сентябрь 2023'!$G$4:$G$1053,'сентябрь 2023'!$D$4:$D$1053,$B164,'сентябрь 2023'!$J$4:$J$1053,V$1)</f>
        <v>0</v>
      </c>
      <c r="W164" s="207">
        <f>SUMIFS('сентябрь 2023'!$G$4:$G$1053,'сентябрь 2023'!$D$4:$D$1053,$B164,'сентябрь 2023'!$J$4:$J$1053,W$1)</f>
        <v>0</v>
      </c>
      <c r="X164" s="207">
        <f>SUMIFS('сентябрь 2023'!$G$4:$G$1053,'сентябрь 2023'!$D$4:$D$1053,$B164,'сентябрь 2023'!$J$4:$J$1053,X$1)</f>
        <v>0</v>
      </c>
      <c r="Y164" s="207">
        <f>SUMIFS('сентябрь 2023'!$G$4:$G$1053,'сентябрь 2023'!$D$4:$D$1053,$B164,'сентябрь 2023'!$J$4:$J$1053,Y$1)</f>
        <v>0</v>
      </c>
      <c r="Z164" s="207">
        <f>SUMIFS('сентябрь 2023'!$G$4:$G$1053,'сентябрь 2023'!$D$4:$D$1053,$B164,'сентябрь 2023'!$J$4:$J$1053,Z$1)</f>
        <v>0</v>
      </c>
      <c r="AA164" s="207">
        <f>SUMIFS('сентябрь 2023'!$G$4:$G$1053,'сентябрь 2023'!$D$4:$D$1053,$B164,'сентябрь 2023'!$J$4:$J$1053,AA$1)</f>
        <v>0</v>
      </c>
      <c r="AB164" s="207">
        <f>SUMIFS('сентябрь 2023'!$G$4:$G$1053,'сентябрь 2023'!$D$4:$D$1053,$B164,'сентябрь 2023'!$J$4:$J$1053,AB$1)</f>
        <v>0</v>
      </c>
      <c r="AC164" s="207">
        <f>SUMIFS('сентябрь 2023'!$G$4:$G$1053,'сентябрь 2023'!$D$4:$D$1053,$B164,'сентябрь 2023'!$J$4:$J$1053,AC$1)</f>
        <v>0</v>
      </c>
      <c r="AD164" s="207">
        <f>SUMIFS('сентябрь 2023'!$G$4:$G$1053,'сентябрь 2023'!$D$4:$D$1053,$B164,'сентябрь 2023'!$J$4:$J$1053,AD$1)</f>
        <v>0</v>
      </c>
      <c r="AE164" s="207">
        <f>SUMIFS('сентябрь 2023'!$G$4:$G$1053,'сентябрь 2023'!$D$4:$D$1053,$B164,'сентябрь 2023'!$J$4:$J$1053,AE$1)</f>
        <v>0</v>
      </c>
      <c r="AF164" s="207">
        <f>SUMIFS('сентябрь 2023'!$G$4:$G$1053,'сентябрь 2023'!$D$4:$D$1053,$B164,'сентябрь 2023'!$J$4:$J$1053,AF$1)</f>
        <v>0</v>
      </c>
      <c r="AG164" s="207">
        <f>SUMIFS('сентябрь 2023'!$G$4:$G$1053,'сентябрь 2023'!$D$4:$D$1053,$B164,'сентябрь 2023'!$J$4:$J$1053,AG$1)</f>
        <v>0</v>
      </c>
      <c r="AH164" s="207">
        <f>SUMIFS('сентябрь 2023'!$G$4:$G$1053,'сентябрь 2023'!$D$4:$D$1053,$B164,'сентябрь 2023'!$J$4:$J$1053,AH$1)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SUMIFS('сентябрь 2023'!$G$4:$G$1053,'сентябрь 2023'!$D$4:$D$1053,$B165,'сентябрь 2023'!$J$4:$J$1053,D$1)</f>
        <v>0</v>
      </c>
      <c r="E165" s="207">
        <f>SUMIFS('сентябрь 2023'!$G$4:$G$1053,'сентябрь 2023'!$D$4:$D$1053,$B165,'сентябрь 2023'!$J$4:$J$1053,E$1)</f>
        <v>0</v>
      </c>
      <c r="F165" s="207">
        <f>SUMIFS('сентябрь 2023'!$G$4:$G$1053,'сентябрь 2023'!$D$4:$D$1053,$B165,'сентябрь 2023'!$J$4:$J$1053,F$1)</f>
        <v>0</v>
      </c>
      <c r="G165" s="207">
        <f>SUMIFS('сентябрь 2023'!$G$4:$G$1053,'сентябрь 2023'!$D$4:$D$1053,$B165,'сентябрь 2023'!$J$4:$J$1053,G$1)</f>
        <v>0</v>
      </c>
      <c r="H165" s="207">
        <f>SUMIFS('сентябрь 2023'!$G$4:$G$1053,'сентябрь 2023'!$D$4:$D$1053,$B165,'сентябрь 2023'!$J$4:$J$1053,H$1)</f>
        <v>0</v>
      </c>
      <c r="I165" s="207">
        <f>SUMIFS('сентябрь 2023'!$G$4:$G$1053,'сентябрь 2023'!$D$4:$D$1053,$B165,'сентябрь 2023'!$J$4:$J$1053,I$1)</f>
        <v>0</v>
      </c>
      <c r="J165" s="207">
        <f>SUMIFS('сентябрь 2023'!$G$4:$G$1053,'сентябрь 2023'!$D$4:$D$1053,$B165,'сентябрь 2023'!$J$4:$J$1053,J$1)</f>
        <v>0</v>
      </c>
      <c r="K165" s="207">
        <f>SUMIFS('сентябрь 2023'!$G$4:$G$1053,'сентябрь 2023'!$D$4:$D$1053,$B165,'сентябрь 2023'!$J$4:$J$1053,K$1)</f>
        <v>0</v>
      </c>
      <c r="L165" s="207">
        <f>SUMIFS('сентябрь 2023'!$G$4:$G$1053,'сентябрь 2023'!$D$4:$D$1053,$B165,'сентябрь 2023'!$J$4:$J$1053,L$1)</f>
        <v>0</v>
      </c>
      <c r="M165" s="207">
        <f>SUMIFS('сентябрь 2023'!$G$4:$G$1053,'сентябрь 2023'!$D$4:$D$1053,$B165,'сентябрь 2023'!$J$4:$J$1053,M$1)</f>
        <v>0</v>
      </c>
      <c r="N165" s="207">
        <f>SUMIFS('сентябрь 2023'!$G$4:$G$1053,'сентябрь 2023'!$D$4:$D$1053,$B165,'сентябрь 2023'!$J$4:$J$1053,N$1)</f>
        <v>0</v>
      </c>
      <c r="O165" s="207">
        <f>SUMIFS('сентябрь 2023'!$G$4:$G$1053,'сентябрь 2023'!$D$4:$D$1053,$B165,'сентябрь 2023'!$J$4:$J$1053,O$1)</f>
        <v>0</v>
      </c>
      <c r="P165" s="207">
        <f>SUMIFS('сентябрь 2023'!$G$4:$G$1053,'сентябрь 2023'!$D$4:$D$1053,$B165,'сентябрь 2023'!$J$4:$J$1053,P$1)</f>
        <v>0</v>
      </c>
      <c r="Q165" s="207">
        <f>SUMIFS('сентябрь 2023'!$G$4:$G$1053,'сентябрь 2023'!$D$4:$D$1053,$B165,'сентябрь 2023'!$J$4:$J$1053,Q$1)</f>
        <v>0</v>
      </c>
      <c r="R165" s="207">
        <f>SUMIFS('сентябрь 2023'!$G$4:$G$1053,'сентябрь 2023'!$D$4:$D$1053,$B165,'сентябрь 2023'!$J$4:$J$1053,R$1)</f>
        <v>0</v>
      </c>
      <c r="S165" s="207">
        <f>SUMIFS('сентябрь 2023'!$G$4:$G$1053,'сентябрь 2023'!$D$4:$D$1053,$B165,'сентябрь 2023'!$J$4:$J$1053,S$1)</f>
        <v>0</v>
      </c>
      <c r="T165" s="207">
        <f>SUMIFS('сентябрь 2023'!$G$4:$G$1053,'сентябрь 2023'!$D$4:$D$1053,$B165,'сентябрь 2023'!$J$4:$J$1053,T$1)</f>
        <v>0</v>
      </c>
      <c r="U165" s="207">
        <f>SUMIFS('сентябрь 2023'!$G$4:$G$1053,'сентябрь 2023'!$D$4:$D$1053,$B165,'сентябрь 2023'!$J$4:$J$1053,U$1)</f>
        <v>0</v>
      </c>
      <c r="V165" s="207">
        <f>SUMIFS('сентябрь 2023'!$G$4:$G$1053,'сентябрь 2023'!$D$4:$D$1053,$B165,'сентябрь 2023'!$J$4:$J$1053,V$1)</f>
        <v>0</v>
      </c>
      <c r="W165" s="207">
        <f>SUMIFS('сентябрь 2023'!$G$4:$G$1053,'сентябрь 2023'!$D$4:$D$1053,$B165,'сентябрь 2023'!$J$4:$J$1053,W$1)</f>
        <v>0</v>
      </c>
      <c r="X165" s="207">
        <f>SUMIFS('сентябрь 2023'!$G$4:$G$1053,'сентябрь 2023'!$D$4:$D$1053,$B165,'сентябрь 2023'!$J$4:$J$1053,X$1)</f>
        <v>0</v>
      </c>
      <c r="Y165" s="207">
        <f>SUMIFS('сентябрь 2023'!$G$4:$G$1053,'сентябрь 2023'!$D$4:$D$1053,$B165,'сентябрь 2023'!$J$4:$J$1053,Y$1)</f>
        <v>0</v>
      </c>
      <c r="Z165" s="207">
        <f>SUMIFS('сентябрь 2023'!$G$4:$G$1053,'сентябрь 2023'!$D$4:$D$1053,$B165,'сентябрь 2023'!$J$4:$J$1053,Z$1)</f>
        <v>0</v>
      </c>
      <c r="AA165" s="207">
        <f>SUMIFS('сентябрь 2023'!$G$4:$G$1053,'сентябрь 2023'!$D$4:$D$1053,$B165,'сентябрь 2023'!$J$4:$J$1053,AA$1)</f>
        <v>0</v>
      </c>
      <c r="AB165" s="207">
        <f>SUMIFS('сентябрь 2023'!$G$4:$G$1053,'сентябрь 2023'!$D$4:$D$1053,$B165,'сентябрь 2023'!$J$4:$J$1053,AB$1)</f>
        <v>0</v>
      </c>
      <c r="AC165" s="207">
        <f>SUMIFS('сентябрь 2023'!$G$4:$G$1053,'сентябрь 2023'!$D$4:$D$1053,$B165,'сентябрь 2023'!$J$4:$J$1053,AC$1)</f>
        <v>0</v>
      </c>
      <c r="AD165" s="207">
        <f>SUMIFS('сентябрь 2023'!$G$4:$G$1053,'сентябрь 2023'!$D$4:$D$1053,$B165,'сентябрь 2023'!$J$4:$J$1053,AD$1)</f>
        <v>0</v>
      </c>
      <c r="AE165" s="207">
        <f>SUMIFS('сентябрь 2023'!$G$4:$G$1053,'сентябрь 2023'!$D$4:$D$1053,$B165,'сентябрь 2023'!$J$4:$J$1053,AE$1)</f>
        <v>0</v>
      </c>
      <c r="AF165" s="207">
        <f>SUMIFS('сентябрь 2023'!$G$4:$G$1053,'сентябрь 2023'!$D$4:$D$1053,$B165,'сентябрь 2023'!$J$4:$J$1053,AF$1)</f>
        <v>0</v>
      </c>
      <c r="AG165" s="207">
        <f>SUMIFS('сентябрь 2023'!$G$4:$G$1053,'сентябрь 2023'!$D$4:$D$1053,$B165,'сентябрь 2023'!$J$4:$J$1053,AG$1)</f>
        <v>0</v>
      </c>
      <c r="AH165" s="207">
        <f>SUMIFS('сентябрь 2023'!$G$4:$G$1053,'сентябрь 2023'!$D$4:$D$1053,$B165,'сентябрь 2023'!$J$4:$J$1053,AH$1)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SUMIFS('сентябрь 2023'!$G$4:$G$1053,'сентябрь 2023'!$D$4:$D$1053,$B166,'сентябрь 2023'!$J$4:$J$1053,D$1)</f>
        <v>0</v>
      </c>
      <c r="E166" s="207">
        <f>SUMIFS('сентябрь 2023'!$G$4:$G$1053,'сентябрь 2023'!$D$4:$D$1053,$B166,'сентябрь 2023'!$J$4:$J$1053,E$1)</f>
        <v>0</v>
      </c>
      <c r="F166" s="207">
        <f>SUMIFS('сентябрь 2023'!$G$4:$G$1053,'сентябрь 2023'!$D$4:$D$1053,$B166,'сентябрь 2023'!$J$4:$J$1053,F$1)</f>
        <v>0</v>
      </c>
      <c r="G166" s="207">
        <f>SUMIFS('сентябрь 2023'!$G$4:$G$1053,'сентябрь 2023'!$D$4:$D$1053,$B166,'сентябрь 2023'!$J$4:$J$1053,G$1)</f>
        <v>0</v>
      </c>
      <c r="H166" s="207">
        <f>SUMIFS('сентябрь 2023'!$G$4:$G$1053,'сентябрь 2023'!$D$4:$D$1053,$B166,'сентябрь 2023'!$J$4:$J$1053,H$1)</f>
        <v>0</v>
      </c>
      <c r="I166" s="207">
        <f>SUMIFS('сентябрь 2023'!$G$4:$G$1053,'сентябрь 2023'!$D$4:$D$1053,$B166,'сентябрь 2023'!$J$4:$J$1053,I$1)</f>
        <v>0</v>
      </c>
      <c r="J166" s="207">
        <f>SUMIFS('сентябрь 2023'!$G$4:$G$1053,'сентябрь 2023'!$D$4:$D$1053,$B166,'сентябрь 2023'!$J$4:$J$1053,J$1)</f>
        <v>0</v>
      </c>
      <c r="K166" s="207">
        <f>SUMIFS('сентябрь 2023'!$G$4:$G$1053,'сентябрь 2023'!$D$4:$D$1053,$B166,'сентябрь 2023'!$J$4:$J$1053,K$1)</f>
        <v>0</v>
      </c>
      <c r="L166" s="207">
        <f>SUMIFS('сентябрь 2023'!$G$4:$G$1053,'сентябрь 2023'!$D$4:$D$1053,$B166,'сентябрь 2023'!$J$4:$J$1053,L$1)</f>
        <v>0</v>
      </c>
      <c r="M166" s="207">
        <f>SUMIFS('сентябрь 2023'!$G$4:$G$1053,'сентябрь 2023'!$D$4:$D$1053,$B166,'сентябрь 2023'!$J$4:$J$1053,M$1)</f>
        <v>0</v>
      </c>
      <c r="N166" s="207">
        <f>SUMIFS('сентябрь 2023'!$G$4:$G$1053,'сентябрь 2023'!$D$4:$D$1053,$B166,'сентябрь 2023'!$J$4:$J$1053,N$1)</f>
        <v>0</v>
      </c>
      <c r="O166" s="207">
        <f>SUMIFS('сентябрь 2023'!$G$4:$G$1053,'сентябрь 2023'!$D$4:$D$1053,$B166,'сентябрь 2023'!$J$4:$J$1053,O$1)</f>
        <v>0</v>
      </c>
      <c r="P166" s="207">
        <f>SUMIFS('сентябрь 2023'!$G$4:$G$1053,'сентябрь 2023'!$D$4:$D$1053,$B166,'сентябрь 2023'!$J$4:$J$1053,P$1)</f>
        <v>0</v>
      </c>
      <c r="Q166" s="207">
        <f>SUMIFS('сентябрь 2023'!$G$4:$G$1053,'сентябрь 2023'!$D$4:$D$1053,$B166,'сентябрь 2023'!$J$4:$J$1053,Q$1)</f>
        <v>0</v>
      </c>
      <c r="R166" s="207">
        <f>SUMIFS('сентябрь 2023'!$G$4:$G$1053,'сентябрь 2023'!$D$4:$D$1053,$B166,'сентябрь 2023'!$J$4:$J$1053,R$1)</f>
        <v>0</v>
      </c>
      <c r="S166" s="207">
        <f>SUMIFS('сентябрь 2023'!$G$4:$G$1053,'сентябрь 2023'!$D$4:$D$1053,$B166,'сентябрь 2023'!$J$4:$J$1053,S$1)</f>
        <v>0</v>
      </c>
      <c r="T166" s="207">
        <f>SUMIFS('сентябрь 2023'!$G$4:$G$1053,'сентябрь 2023'!$D$4:$D$1053,$B166,'сентябрь 2023'!$J$4:$J$1053,T$1)</f>
        <v>0</v>
      </c>
      <c r="U166" s="207">
        <f>SUMIFS('сентябрь 2023'!$G$4:$G$1053,'сентябрь 2023'!$D$4:$D$1053,$B166,'сентябрь 2023'!$J$4:$J$1053,U$1)</f>
        <v>0</v>
      </c>
      <c r="V166" s="207">
        <f>SUMIFS('сентябрь 2023'!$G$4:$G$1053,'сентябрь 2023'!$D$4:$D$1053,$B166,'сентябрь 2023'!$J$4:$J$1053,V$1)</f>
        <v>0</v>
      </c>
      <c r="W166" s="207">
        <f>SUMIFS('сентябрь 2023'!$G$4:$G$1053,'сентябрь 2023'!$D$4:$D$1053,$B166,'сентябрь 2023'!$J$4:$J$1053,W$1)</f>
        <v>0</v>
      </c>
      <c r="X166" s="207">
        <f>SUMIFS('сентябрь 2023'!$G$4:$G$1053,'сентябрь 2023'!$D$4:$D$1053,$B166,'сентябрь 2023'!$J$4:$J$1053,X$1)</f>
        <v>0</v>
      </c>
      <c r="Y166" s="207">
        <f>SUMIFS('сентябрь 2023'!$G$4:$G$1053,'сентябрь 2023'!$D$4:$D$1053,$B166,'сентябрь 2023'!$J$4:$J$1053,Y$1)</f>
        <v>0</v>
      </c>
      <c r="Z166" s="207">
        <f>SUMIFS('сентябрь 2023'!$G$4:$G$1053,'сентябрь 2023'!$D$4:$D$1053,$B166,'сентябрь 2023'!$J$4:$J$1053,Z$1)</f>
        <v>0</v>
      </c>
      <c r="AA166" s="207">
        <f>SUMIFS('сентябрь 2023'!$G$4:$G$1053,'сентябрь 2023'!$D$4:$D$1053,$B166,'сентябрь 2023'!$J$4:$J$1053,AA$1)</f>
        <v>0</v>
      </c>
      <c r="AB166" s="207">
        <f>SUMIFS('сентябрь 2023'!$G$4:$G$1053,'сентябрь 2023'!$D$4:$D$1053,$B166,'сентябрь 2023'!$J$4:$J$1053,AB$1)</f>
        <v>0</v>
      </c>
      <c r="AC166" s="207">
        <f>SUMIFS('сентябрь 2023'!$G$4:$G$1053,'сентябрь 2023'!$D$4:$D$1053,$B166,'сентябрь 2023'!$J$4:$J$1053,AC$1)</f>
        <v>0</v>
      </c>
      <c r="AD166" s="207">
        <f>SUMIFS('сентябрь 2023'!$G$4:$G$1053,'сентябрь 2023'!$D$4:$D$1053,$B166,'сентябрь 2023'!$J$4:$J$1053,AD$1)</f>
        <v>0</v>
      </c>
      <c r="AE166" s="207">
        <f>SUMIFS('сентябрь 2023'!$G$4:$G$1053,'сентябрь 2023'!$D$4:$D$1053,$B166,'сентябрь 2023'!$J$4:$J$1053,AE$1)</f>
        <v>0</v>
      </c>
      <c r="AF166" s="207">
        <f>SUMIFS('сентябрь 2023'!$G$4:$G$1053,'сентябрь 2023'!$D$4:$D$1053,$B166,'сентябрь 2023'!$J$4:$J$1053,AF$1)</f>
        <v>0</v>
      </c>
      <c r="AG166" s="207">
        <f>SUMIFS('сентябрь 2023'!$G$4:$G$1053,'сентябрь 2023'!$D$4:$D$1053,$B166,'сентябрь 2023'!$J$4:$J$1053,AG$1)</f>
        <v>0</v>
      </c>
      <c r="AH166" s="207">
        <f>SUMIFS('сентябрь 2023'!$G$4:$G$1053,'сентябрь 2023'!$D$4:$D$1053,$B166,'сентябрь 2023'!$J$4:$J$1053,AH$1)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SUMIFS('сентябрь 2023'!$G$4:$G$1053,'сентябрь 2023'!$D$4:$D$1053,$B167,'сентябрь 2023'!$J$4:$J$1053,D$1)</f>
        <v>0</v>
      </c>
      <c r="E167" s="207">
        <f>SUMIFS('сентябрь 2023'!$G$4:$G$1053,'сентябрь 2023'!$D$4:$D$1053,$B167,'сентябрь 2023'!$J$4:$J$1053,E$1)</f>
        <v>0</v>
      </c>
      <c r="F167" s="207">
        <f>SUMIFS('сентябрь 2023'!$G$4:$G$1053,'сентябрь 2023'!$D$4:$D$1053,$B167,'сентябрь 2023'!$J$4:$J$1053,F$1)</f>
        <v>0</v>
      </c>
      <c r="G167" s="207">
        <f>SUMIFS('сентябрь 2023'!$G$4:$G$1053,'сентябрь 2023'!$D$4:$D$1053,$B167,'сентябрь 2023'!$J$4:$J$1053,G$1)</f>
        <v>0</v>
      </c>
      <c r="H167" s="207">
        <f>SUMIFS('сентябрь 2023'!$G$4:$G$1053,'сентябрь 2023'!$D$4:$D$1053,$B167,'сентябрь 2023'!$J$4:$J$1053,H$1)</f>
        <v>0</v>
      </c>
      <c r="I167" s="207">
        <f>SUMIFS('сентябрь 2023'!$G$4:$G$1053,'сентябрь 2023'!$D$4:$D$1053,$B167,'сентябрь 2023'!$J$4:$J$1053,I$1)</f>
        <v>0</v>
      </c>
      <c r="J167" s="207">
        <f>SUMIFS('сентябрь 2023'!$G$4:$G$1053,'сентябрь 2023'!$D$4:$D$1053,$B167,'сентябрь 2023'!$J$4:$J$1053,J$1)</f>
        <v>0</v>
      </c>
      <c r="K167" s="207">
        <f>SUMIFS('сентябрь 2023'!$G$4:$G$1053,'сентябрь 2023'!$D$4:$D$1053,$B167,'сентябрь 2023'!$J$4:$J$1053,K$1)</f>
        <v>0</v>
      </c>
      <c r="L167" s="207">
        <f>SUMIFS('сентябрь 2023'!$G$4:$G$1053,'сентябрь 2023'!$D$4:$D$1053,$B167,'сентябрь 2023'!$J$4:$J$1053,L$1)</f>
        <v>0</v>
      </c>
      <c r="M167" s="207">
        <f>SUMIFS('сентябрь 2023'!$G$4:$G$1053,'сентябрь 2023'!$D$4:$D$1053,$B167,'сентябрь 2023'!$J$4:$J$1053,M$1)</f>
        <v>0</v>
      </c>
      <c r="N167" s="207">
        <f>SUMIFS('сентябрь 2023'!$G$4:$G$1053,'сентябрь 2023'!$D$4:$D$1053,$B167,'сентябрь 2023'!$J$4:$J$1053,N$1)</f>
        <v>0</v>
      </c>
      <c r="O167" s="207">
        <f>SUMIFS('сентябрь 2023'!$G$4:$G$1053,'сентябрь 2023'!$D$4:$D$1053,$B167,'сентябрь 2023'!$J$4:$J$1053,O$1)</f>
        <v>0</v>
      </c>
      <c r="P167" s="207">
        <f>SUMIFS('сентябрь 2023'!$G$4:$G$1053,'сентябрь 2023'!$D$4:$D$1053,$B167,'сентябрь 2023'!$J$4:$J$1053,P$1)</f>
        <v>0</v>
      </c>
      <c r="Q167" s="207">
        <f>SUMIFS('сентябрь 2023'!$G$4:$G$1053,'сентябрь 2023'!$D$4:$D$1053,$B167,'сентябрь 2023'!$J$4:$J$1053,Q$1)</f>
        <v>0</v>
      </c>
      <c r="R167" s="207">
        <f>SUMIFS('сентябрь 2023'!$G$4:$G$1053,'сентябрь 2023'!$D$4:$D$1053,$B167,'сентябрь 2023'!$J$4:$J$1053,R$1)</f>
        <v>0</v>
      </c>
      <c r="S167" s="207">
        <f>SUMIFS('сентябрь 2023'!$G$4:$G$1053,'сентябрь 2023'!$D$4:$D$1053,$B167,'сентябрь 2023'!$J$4:$J$1053,S$1)</f>
        <v>0</v>
      </c>
      <c r="T167" s="207">
        <f>SUMIFS('сентябрь 2023'!$G$4:$G$1053,'сентябрь 2023'!$D$4:$D$1053,$B167,'сентябрь 2023'!$J$4:$J$1053,T$1)</f>
        <v>0</v>
      </c>
      <c r="U167" s="207">
        <f>SUMIFS('сентябрь 2023'!$G$4:$G$1053,'сентябрь 2023'!$D$4:$D$1053,$B167,'сентябрь 2023'!$J$4:$J$1053,U$1)</f>
        <v>0</v>
      </c>
      <c r="V167" s="207">
        <f>SUMIFS('сентябрь 2023'!$G$4:$G$1053,'сентябрь 2023'!$D$4:$D$1053,$B167,'сентябрь 2023'!$J$4:$J$1053,V$1)</f>
        <v>0</v>
      </c>
      <c r="W167" s="207">
        <f>SUMIFS('сентябрь 2023'!$G$4:$G$1053,'сентябрь 2023'!$D$4:$D$1053,$B167,'сентябрь 2023'!$J$4:$J$1053,W$1)</f>
        <v>0</v>
      </c>
      <c r="X167" s="207">
        <f>SUMIFS('сентябрь 2023'!$G$4:$G$1053,'сентябрь 2023'!$D$4:$D$1053,$B167,'сентябрь 2023'!$J$4:$J$1053,X$1)</f>
        <v>0</v>
      </c>
      <c r="Y167" s="207">
        <f>SUMIFS('сентябрь 2023'!$G$4:$G$1053,'сентябрь 2023'!$D$4:$D$1053,$B167,'сентябрь 2023'!$J$4:$J$1053,Y$1)</f>
        <v>0</v>
      </c>
      <c r="Z167" s="207">
        <f>SUMIFS('сентябрь 2023'!$G$4:$G$1053,'сентябрь 2023'!$D$4:$D$1053,$B167,'сентябрь 2023'!$J$4:$J$1053,Z$1)</f>
        <v>0</v>
      </c>
      <c r="AA167" s="207">
        <f>SUMIFS('сентябрь 2023'!$G$4:$G$1053,'сентябрь 2023'!$D$4:$D$1053,$B167,'сентябрь 2023'!$J$4:$J$1053,AA$1)</f>
        <v>0</v>
      </c>
      <c r="AB167" s="207">
        <f>SUMIFS('сентябрь 2023'!$G$4:$G$1053,'сентябрь 2023'!$D$4:$D$1053,$B167,'сентябрь 2023'!$J$4:$J$1053,AB$1)</f>
        <v>0</v>
      </c>
      <c r="AC167" s="207">
        <f>SUMIFS('сентябрь 2023'!$G$4:$G$1053,'сентябрь 2023'!$D$4:$D$1053,$B167,'сентябрь 2023'!$J$4:$J$1053,AC$1)</f>
        <v>0</v>
      </c>
      <c r="AD167" s="207">
        <f>SUMIFS('сентябрь 2023'!$G$4:$G$1053,'сентябрь 2023'!$D$4:$D$1053,$B167,'сентябрь 2023'!$J$4:$J$1053,AD$1)</f>
        <v>0</v>
      </c>
      <c r="AE167" s="207">
        <f>SUMIFS('сентябрь 2023'!$G$4:$G$1053,'сентябрь 2023'!$D$4:$D$1053,$B167,'сентябрь 2023'!$J$4:$J$1053,AE$1)</f>
        <v>0</v>
      </c>
      <c r="AF167" s="207">
        <f>SUMIFS('сентябрь 2023'!$G$4:$G$1053,'сентябрь 2023'!$D$4:$D$1053,$B167,'сентябрь 2023'!$J$4:$J$1053,AF$1)</f>
        <v>0</v>
      </c>
      <c r="AG167" s="207">
        <f>SUMIFS('сентябрь 2023'!$G$4:$G$1053,'сентябрь 2023'!$D$4:$D$1053,$B167,'сентябрь 2023'!$J$4:$J$1053,AG$1)</f>
        <v>0</v>
      </c>
      <c r="AH167" s="207">
        <f>SUMIFS('сентябрь 2023'!$G$4:$G$1053,'сентябрь 2023'!$D$4:$D$1053,$B167,'сентябрь 2023'!$J$4:$J$1053,AH$1)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SUMIFS('сентябрь 2023'!$G$4:$G$1053,'сентябрь 2023'!$D$4:$D$1053,$B168,'сентябрь 2023'!$J$4:$J$1053,D$1)</f>
        <v>0</v>
      </c>
      <c r="E168" s="207">
        <f>SUMIFS('сентябрь 2023'!$G$4:$G$1053,'сентябрь 2023'!$D$4:$D$1053,$B168,'сентябрь 2023'!$J$4:$J$1053,E$1)</f>
        <v>0</v>
      </c>
      <c r="F168" s="207">
        <f>SUMIFS('сентябрь 2023'!$G$4:$G$1053,'сентябрь 2023'!$D$4:$D$1053,$B168,'сентябрь 2023'!$J$4:$J$1053,F$1)</f>
        <v>0</v>
      </c>
      <c r="G168" s="207">
        <f>SUMIFS('сентябрь 2023'!$G$4:$G$1053,'сентябрь 2023'!$D$4:$D$1053,$B168,'сентябрь 2023'!$J$4:$J$1053,G$1)</f>
        <v>0</v>
      </c>
      <c r="H168" s="207">
        <f>SUMIFS('сентябрь 2023'!$G$4:$G$1053,'сентябрь 2023'!$D$4:$D$1053,$B168,'сентябрь 2023'!$J$4:$J$1053,H$1)</f>
        <v>0</v>
      </c>
      <c r="I168" s="207">
        <f>SUMIFS('сентябрь 2023'!$G$4:$G$1053,'сентябрь 2023'!$D$4:$D$1053,$B168,'сентябрь 2023'!$J$4:$J$1053,I$1)</f>
        <v>0</v>
      </c>
      <c r="J168" s="207">
        <f>SUMIFS('сентябрь 2023'!$G$4:$G$1053,'сентябрь 2023'!$D$4:$D$1053,$B168,'сентябрь 2023'!$J$4:$J$1053,J$1)</f>
        <v>0</v>
      </c>
      <c r="K168" s="207">
        <f>SUMIFS('сентябрь 2023'!$G$4:$G$1053,'сентябрь 2023'!$D$4:$D$1053,$B168,'сентябрь 2023'!$J$4:$J$1053,K$1)</f>
        <v>0</v>
      </c>
      <c r="L168" s="207">
        <f>SUMIFS('сентябрь 2023'!$G$4:$G$1053,'сентябрь 2023'!$D$4:$D$1053,$B168,'сентябрь 2023'!$J$4:$J$1053,L$1)</f>
        <v>0</v>
      </c>
      <c r="M168" s="207">
        <f>SUMIFS('сентябрь 2023'!$G$4:$G$1053,'сентябрь 2023'!$D$4:$D$1053,$B168,'сентябрь 2023'!$J$4:$J$1053,M$1)</f>
        <v>0</v>
      </c>
      <c r="N168" s="207">
        <f>SUMIFS('сентябрь 2023'!$G$4:$G$1053,'сентябрь 2023'!$D$4:$D$1053,$B168,'сентябрь 2023'!$J$4:$J$1053,N$1)</f>
        <v>0</v>
      </c>
      <c r="O168" s="207">
        <f>SUMIFS('сентябрь 2023'!$G$4:$G$1053,'сентябрь 2023'!$D$4:$D$1053,$B168,'сентябрь 2023'!$J$4:$J$1053,O$1)</f>
        <v>0</v>
      </c>
      <c r="P168" s="207">
        <f>SUMIFS('сентябрь 2023'!$G$4:$G$1053,'сентябрь 2023'!$D$4:$D$1053,$B168,'сентябрь 2023'!$J$4:$J$1053,P$1)</f>
        <v>0</v>
      </c>
      <c r="Q168" s="207">
        <f>SUMIFS('сентябрь 2023'!$G$4:$G$1053,'сентябрь 2023'!$D$4:$D$1053,$B168,'сентябрь 2023'!$J$4:$J$1053,Q$1)</f>
        <v>0</v>
      </c>
      <c r="R168" s="207">
        <f>SUMIFS('сентябрь 2023'!$G$4:$G$1053,'сентябрь 2023'!$D$4:$D$1053,$B168,'сентябрь 2023'!$J$4:$J$1053,R$1)</f>
        <v>0</v>
      </c>
      <c r="S168" s="207">
        <f>SUMIFS('сентябрь 2023'!$G$4:$G$1053,'сентябрь 2023'!$D$4:$D$1053,$B168,'сентябрь 2023'!$J$4:$J$1053,S$1)</f>
        <v>0</v>
      </c>
      <c r="T168" s="207">
        <f>SUMIFS('сентябрь 2023'!$G$4:$G$1053,'сентябрь 2023'!$D$4:$D$1053,$B168,'сентябрь 2023'!$J$4:$J$1053,T$1)</f>
        <v>0</v>
      </c>
      <c r="U168" s="207">
        <f>SUMIFS('сентябрь 2023'!$G$4:$G$1053,'сентябрь 2023'!$D$4:$D$1053,$B168,'сентябрь 2023'!$J$4:$J$1053,U$1)</f>
        <v>0</v>
      </c>
      <c r="V168" s="207">
        <f>SUMIFS('сентябрь 2023'!$G$4:$G$1053,'сентябрь 2023'!$D$4:$D$1053,$B168,'сентябрь 2023'!$J$4:$J$1053,V$1)</f>
        <v>0</v>
      </c>
      <c r="W168" s="207">
        <f>SUMIFS('сентябрь 2023'!$G$4:$G$1053,'сентябрь 2023'!$D$4:$D$1053,$B168,'сентябрь 2023'!$J$4:$J$1053,W$1)</f>
        <v>0</v>
      </c>
      <c r="X168" s="207">
        <f>SUMIFS('сентябрь 2023'!$G$4:$G$1053,'сентябрь 2023'!$D$4:$D$1053,$B168,'сентябрь 2023'!$J$4:$J$1053,X$1)</f>
        <v>0</v>
      </c>
      <c r="Y168" s="207">
        <f>SUMIFS('сентябрь 2023'!$G$4:$G$1053,'сентябрь 2023'!$D$4:$D$1053,$B168,'сентябрь 2023'!$J$4:$J$1053,Y$1)</f>
        <v>0</v>
      </c>
      <c r="Z168" s="207">
        <f>SUMIFS('сентябрь 2023'!$G$4:$G$1053,'сентябрь 2023'!$D$4:$D$1053,$B168,'сентябрь 2023'!$J$4:$J$1053,Z$1)</f>
        <v>0</v>
      </c>
      <c r="AA168" s="207">
        <f>SUMIFS('сентябрь 2023'!$G$4:$G$1053,'сентябрь 2023'!$D$4:$D$1053,$B168,'сентябрь 2023'!$J$4:$J$1053,AA$1)</f>
        <v>0</v>
      </c>
      <c r="AB168" s="207">
        <f>SUMIFS('сентябрь 2023'!$G$4:$G$1053,'сентябрь 2023'!$D$4:$D$1053,$B168,'сентябрь 2023'!$J$4:$J$1053,AB$1)</f>
        <v>0</v>
      </c>
      <c r="AC168" s="207">
        <f>SUMIFS('сентябрь 2023'!$G$4:$G$1053,'сентябрь 2023'!$D$4:$D$1053,$B168,'сентябрь 2023'!$J$4:$J$1053,AC$1)</f>
        <v>0</v>
      </c>
      <c r="AD168" s="207">
        <f>SUMIFS('сентябрь 2023'!$G$4:$G$1053,'сентябрь 2023'!$D$4:$D$1053,$B168,'сентябрь 2023'!$J$4:$J$1053,AD$1)</f>
        <v>0</v>
      </c>
      <c r="AE168" s="207">
        <f>SUMIFS('сентябрь 2023'!$G$4:$G$1053,'сентябрь 2023'!$D$4:$D$1053,$B168,'сентябрь 2023'!$J$4:$J$1053,AE$1)</f>
        <v>0</v>
      </c>
      <c r="AF168" s="207">
        <f>SUMIFS('сентябрь 2023'!$G$4:$G$1053,'сентябрь 2023'!$D$4:$D$1053,$B168,'сентябрь 2023'!$J$4:$J$1053,AF$1)</f>
        <v>0</v>
      </c>
      <c r="AG168" s="207">
        <f>SUMIFS('сентябрь 2023'!$G$4:$G$1053,'сентябрь 2023'!$D$4:$D$1053,$B168,'сентябрь 2023'!$J$4:$J$1053,AG$1)</f>
        <v>0</v>
      </c>
      <c r="AH168" s="207">
        <f>SUMIFS('сентябрь 2023'!$G$4:$G$1053,'сентябрь 2023'!$D$4:$D$1053,$B168,'сентябрь 2023'!$J$4:$J$1053,AH$1)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SUMIFS('сентябрь 2023'!$G$4:$G$1053,'сентябрь 2023'!$D$4:$D$1053,$B169,'сентябрь 2023'!$J$4:$J$1053,D$1)</f>
        <v>0</v>
      </c>
      <c r="E169" s="207">
        <f>SUMIFS('сентябрь 2023'!$G$4:$G$1053,'сентябрь 2023'!$D$4:$D$1053,$B169,'сентябрь 2023'!$J$4:$J$1053,E$1)</f>
        <v>0</v>
      </c>
      <c r="F169" s="207">
        <f>SUMIFS('сентябрь 2023'!$G$4:$G$1053,'сентябрь 2023'!$D$4:$D$1053,$B169,'сентябрь 2023'!$J$4:$J$1053,F$1)</f>
        <v>0</v>
      </c>
      <c r="G169" s="207">
        <f>SUMIFS('сентябрь 2023'!$G$4:$G$1053,'сентябрь 2023'!$D$4:$D$1053,$B169,'сентябрь 2023'!$J$4:$J$1053,G$1)</f>
        <v>0</v>
      </c>
      <c r="H169" s="207">
        <f>SUMIFS('сентябрь 2023'!$G$4:$G$1053,'сентябрь 2023'!$D$4:$D$1053,$B169,'сентябрь 2023'!$J$4:$J$1053,H$1)</f>
        <v>0</v>
      </c>
      <c r="I169" s="207">
        <f>SUMIFS('сентябрь 2023'!$G$4:$G$1053,'сентябрь 2023'!$D$4:$D$1053,$B169,'сентябрь 2023'!$J$4:$J$1053,I$1)</f>
        <v>0</v>
      </c>
      <c r="J169" s="207">
        <f>SUMIFS('сентябрь 2023'!$G$4:$G$1053,'сентябрь 2023'!$D$4:$D$1053,$B169,'сентябрь 2023'!$J$4:$J$1053,J$1)</f>
        <v>0</v>
      </c>
      <c r="K169" s="207">
        <f>SUMIFS('сентябрь 2023'!$G$4:$G$1053,'сентябрь 2023'!$D$4:$D$1053,$B169,'сентябрь 2023'!$J$4:$J$1053,K$1)</f>
        <v>0</v>
      </c>
      <c r="L169" s="207">
        <f>SUMIFS('сентябрь 2023'!$G$4:$G$1053,'сентябрь 2023'!$D$4:$D$1053,$B169,'сентябрь 2023'!$J$4:$J$1053,L$1)</f>
        <v>0</v>
      </c>
      <c r="M169" s="207">
        <f>SUMIFS('сентябрь 2023'!$G$4:$G$1053,'сентябрь 2023'!$D$4:$D$1053,$B169,'сентябрь 2023'!$J$4:$J$1053,M$1)</f>
        <v>0</v>
      </c>
      <c r="N169" s="207">
        <f>SUMIFS('сентябрь 2023'!$G$4:$G$1053,'сентябрь 2023'!$D$4:$D$1053,$B169,'сентябрь 2023'!$J$4:$J$1053,N$1)</f>
        <v>0</v>
      </c>
      <c r="O169" s="207">
        <f>SUMIFS('сентябрь 2023'!$G$4:$G$1053,'сентябрь 2023'!$D$4:$D$1053,$B169,'сентябрь 2023'!$J$4:$J$1053,O$1)</f>
        <v>0</v>
      </c>
      <c r="P169" s="207">
        <f>SUMIFS('сентябрь 2023'!$G$4:$G$1053,'сентябрь 2023'!$D$4:$D$1053,$B169,'сентябрь 2023'!$J$4:$J$1053,P$1)</f>
        <v>0</v>
      </c>
      <c r="Q169" s="207">
        <f>SUMIFS('сентябрь 2023'!$G$4:$G$1053,'сентябрь 2023'!$D$4:$D$1053,$B169,'сентябрь 2023'!$J$4:$J$1053,Q$1)</f>
        <v>0</v>
      </c>
      <c r="R169" s="207">
        <f>SUMIFS('сентябрь 2023'!$G$4:$G$1053,'сентябрь 2023'!$D$4:$D$1053,$B169,'сентябрь 2023'!$J$4:$J$1053,R$1)</f>
        <v>0</v>
      </c>
      <c r="S169" s="207">
        <f>SUMIFS('сентябрь 2023'!$G$4:$G$1053,'сентябрь 2023'!$D$4:$D$1053,$B169,'сентябрь 2023'!$J$4:$J$1053,S$1)</f>
        <v>0</v>
      </c>
      <c r="T169" s="207">
        <f>SUMIFS('сентябрь 2023'!$G$4:$G$1053,'сентябрь 2023'!$D$4:$D$1053,$B169,'сентябрь 2023'!$J$4:$J$1053,T$1)</f>
        <v>0</v>
      </c>
      <c r="U169" s="207">
        <f>SUMIFS('сентябрь 2023'!$G$4:$G$1053,'сентябрь 2023'!$D$4:$D$1053,$B169,'сентябрь 2023'!$J$4:$J$1053,U$1)</f>
        <v>0</v>
      </c>
      <c r="V169" s="207">
        <f>SUMIFS('сентябрь 2023'!$G$4:$G$1053,'сентябрь 2023'!$D$4:$D$1053,$B169,'сентябрь 2023'!$J$4:$J$1053,V$1)</f>
        <v>0</v>
      </c>
      <c r="W169" s="207">
        <f>SUMIFS('сентябрь 2023'!$G$4:$G$1053,'сентябрь 2023'!$D$4:$D$1053,$B169,'сентябрь 2023'!$J$4:$J$1053,W$1)</f>
        <v>0</v>
      </c>
      <c r="X169" s="207">
        <f>SUMIFS('сентябрь 2023'!$G$4:$G$1053,'сентябрь 2023'!$D$4:$D$1053,$B169,'сентябрь 2023'!$J$4:$J$1053,X$1)</f>
        <v>0</v>
      </c>
      <c r="Y169" s="207">
        <f>SUMIFS('сентябрь 2023'!$G$4:$G$1053,'сентябрь 2023'!$D$4:$D$1053,$B169,'сентябрь 2023'!$J$4:$J$1053,Y$1)</f>
        <v>0</v>
      </c>
      <c r="Z169" s="207">
        <f>SUMIFS('сентябрь 2023'!$G$4:$G$1053,'сентябрь 2023'!$D$4:$D$1053,$B169,'сентябрь 2023'!$J$4:$J$1053,Z$1)</f>
        <v>0</v>
      </c>
      <c r="AA169" s="207">
        <f>SUMIFS('сентябрь 2023'!$G$4:$G$1053,'сентябрь 2023'!$D$4:$D$1053,$B169,'сентябрь 2023'!$J$4:$J$1053,AA$1)</f>
        <v>0</v>
      </c>
      <c r="AB169" s="207">
        <f>SUMIFS('сентябрь 2023'!$G$4:$G$1053,'сентябрь 2023'!$D$4:$D$1053,$B169,'сентябрь 2023'!$J$4:$J$1053,AB$1)</f>
        <v>0</v>
      </c>
      <c r="AC169" s="207">
        <f>SUMIFS('сентябрь 2023'!$G$4:$G$1053,'сентябрь 2023'!$D$4:$D$1053,$B169,'сентябрь 2023'!$J$4:$J$1053,AC$1)</f>
        <v>0</v>
      </c>
      <c r="AD169" s="207">
        <f>SUMIFS('сентябрь 2023'!$G$4:$G$1053,'сентябрь 2023'!$D$4:$D$1053,$B169,'сентябрь 2023'!$J$4:$J$1053,AD$1)</f>
        <v>0</v>
      </c>
      <c r="AE169" s="207">
        <f>SUMIFS('сентябрь 2023'!$G$4:$G$1053,'сентябрь 2023'!$D$4:$D$1053,$B169,'сентябрь 2023'!$J$4:$J$1053,AE$1)</f>
        <v>0</v>
      </c>
      <c r="AF169" s="207">
        <f>SUMIFS('сентябрь 2023'!$G$4:$G$1053,'сентябрь 2023'!$D$4:$D$1053,$B169,'сентябрь 2023'!$J$4:$J$1053,AF$1)</f>
        <v>0</v>
      </c>
      <c r="AG169" s="207">
        <f>SUMIFS('сентябрь 2023'!$G$4:$G$1053,'сентябрь 2023'!$D$4:$D$1053,$B169,'сентябрь 2023'!$J$4:$J$1053,AG$1)</f>
        <v>0</v>
      </c>
      <c r="AH169" s="207">
        <f>SUMIFS('сентябрь 2023'!$G$4:$G$1053,'сентябрь 2023'!$D$4:$D$1053,$B169,'сентябрь 2023'!$J$4:$J$1053,AH$1)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SUMIFS('сентябрь 2023'!$G$4:$G$1053,'сентябрь 2023'!$D$4:$D$1053,$B170,'сентябрь 2023'!$J$4:$J$1053,D$1)</f>
        <v>0</v>
      </c>
      <c r="E170" s="207">
        <f>SUMIFS('сентябрь 2023'!$G$4:$G$1053,'сентябрь 2023'!$D$4:$D$1053,$B170,'сентябрь 2023'!$J$4:$J$1053,E$1)</f>
        <v>0</v>
      </c>
      <c r="F170" s="207">
        <f>SUMIFS('сентябрь 2023'!$G$4:$G$1053,'сентябрь 2023'!$D$4:$D$1053,$B170,'сентябрь 2023'!$J$4:$J$1053,F$1)</f>
        <v>0</v>
      </c>
      <c r="G170" s="207">
        <f>SUMIFS('сентябрь 2023'!$G$4:$G$1053,'сентябрь 2023'!$D$4:$D$1053,$B170,'сентябрь 2023'!$J$4:$J$1053,G$1)</f>
        <v>0</v>
      </c>
      <c r="H170" s="207">
        <f>SUMIFS('сентябрь 2023'!$G$4:$G$1053,'сентябрь 2023'!$D$4:$D$1053,$B170,'сентябрь 2023'!$J$4:$J$1053,H$1)</f>
        <v>0</v>
      </c>
      <c r="I170" s="207">
        <f>SUMIFS('сентябрь 2023'!$G$4:$G$1053,'сентябрь 2023'!$D$4:$D$1053,$B170,'сентябрь 2023'!$J$4:$J$1053,I$1)</f>
        <v>0</v>
      </c>
      <c r="J170" s="207">
        <f>SUMIFS('сентябрь 2023'!$G$4:$G$1053,'сентябрь 2023'!$D$4:$D$1053,$B170,'сентябрь 2023'!$J$4:$J$1053,J$1)</f>
        <v>0</v>
      </c>
      <c r="K170" s="207">
        <f>SUMIFS('сентябрь 2023'!$G$4:$G$1053,'сентябрь 2023'!$D$4:$D$1053,$B170,'сентябрь 2023'!$J$4:$J$1053,K$1)</f>
        <v>0</v>
      </c>
      <c r="L170" s="207">
        <f>SUMIFS('сентябрь 2023'!$G$4:$G$1053,'сентябрь 2023'!$D$4:$D$1053,$B170,'сентябрь 2023'!$J$4:$J$1053,L$1)</f>
        <v>0</v>
      </c>
      <c r="M170" s="207">
        <f>SUMIFS('сентябрь 2023'!$G$4:$G$1053,'сентябрь 2023'!$D$4:$D$1053,$B170,'сентябрь 2023'!$J$4:$J$1053,M$1)</f>
        <v>0</v>
      </c>
      <c r="N170" s="207">
        <f>SUMIFS('сентябрь 2023'!$G$4:$G$1053,'сентябрь 2023'!$D$4:$D$1053,$B170,'сентябрь 2023'!$J$4:$J$1053,N$1)</f>
        <v>0</v>
      </c>
      <c r="O170" s="207">
        <f>SUMIFS('сентябрь 2023'!$G$4:$G$1053,'сентябрь 2023'!$D$4:$D$1053,$B170,'сентябрь 2023'!$J$4:$J$1053,O$1)</f>
        <v>0</v>
      </c>
      <c r="P170" s="207">
        <f>SUMIFS('сентябрь 2023'!$G$4:$G$1053,'сентябрь 2023'!$D$4:$D$1053,$B170,'сентябрь 2023'!$J$4:$J$1053,P$1)</f>
        <v>0</v>
      </c>
      <c r="Q170" s="207">
        <f>SUMIFS('сентябрь 2023'!$G$4:$G$1053,'сентябрь 2023'!$D$4:$D$1053,$B170,'сентябрь 2023'!$J$4:$J$1053,Q$1)</f>
        <v>0</v>
      </c>
      <c r="R170" s="207">
        <f>SUMIFS('сентябрь 2023'!$G$4:$G$1053,'сентябрь 2023'!$D$4:$D$1053,$B170,'сентябрь 2023'!$J$4:$J$1053,R$1)</f>
        <v>0</v>
      </c>
      <c r="S170" s="207">
        <f>SUMIFS('сентябрь 2023'!$G$4:$G$1053,'сентябрь 2023'!$D$4:$D$1053,$B170,'сентябрь 2023'!$J$4:$J$1053,S$1)</f>
        <v>0</v>
      </c>
      <c r="T170" s="207">
        <f>SUMIFS('сентябрь 2023'!$G$4:$G$1053,'сентябрь 2023'!$D$4:$D$1053,$B170,'сентябрь 2023'!$J$4:$J$1053,T$1)</f>
        <v>0</v>
      </c>
      <c r="U170" s="207">
        <f>SUMIFS('сентябрь 2023'!$G$4:$G$1053,'сентябрь 2023'!$D$4:$D$1053,$B170,'сентябрь 2023'!$J$4:$J$1053,U$1)</f>
        <v>0</v>
      </c>
      <c r="V170" s="207">
        <f>SUMIFS('сентябрь 2023'!$G$4:$G$1053,'сентябрь 2023'!$D$4:$D$1053,$B170,'сентябрь 2023'!$J$4:$J$1053,V$1)</f>
        <v>0</v>
      </c>
      <c r="W170" s="207">
        <f>SUMIFS('сентябрь 2023'!$G$4:$G$1053,'сентябрь 2023'!$D$4:$D$1053,$B170,'сентябрь 2023'!$J$4:$J$1053,W$1)</f>
        <v>0</v>
      </c>
      <c r="X170" s="207">
        <f>SUMIFS('сентябрь 2023'!$G$4:$G$1053,'сентябрь 2023'!$D$4:$D$1053,$B170,'сентябрь 2023'!$J$4:$J$1053,X$1)</f>
        <v>0</v>
      </c>
      <c r="Y170" s="207">
        <f>SUMIFS('сентябрь 2023'!$G$4:$G$1053,'сентябрь 2023'!$D$4:$D$1053,$B170,'сентябрь 2023'!$J$4:$J$1053,Y$1)</f>
        <v>0</v>
      </c>
      <c r="Z170" s="207">
        <f>SUMIFS('сентябрь 2023'!$G$4:$G$1053,'сентябрь 2023'!$D$4:$D$1053,$B170,'сентябрь 2023'!$J$4:$J$1053,Z$1)</f>
        <v>0</v>
      </c>
      <c r="AA170" s="207">
        <f>SUMIFS('сентябрь 2023'!$G$4:$G$1053,'сентябрь 2023'!$D$4:$D$1053,$B170,'сентябрь 2023'!$J$4:$J$1053,AA$1)</f>
        <v>0</v>
      </c>
      <c r="AB170" s="207">
        <f>SUMIFS('сентябрь 2023'!$G$4:$G$1053,'сентябрь 2023'!$D$4:$D$1053,$B170,'сентябрь 2023'!$J$4:$J$1053,AB$1)</f>
        <v>0</v>
      </c>
      <c r="AC170" s="207">
        <f>SUMIFS('сентябрь 2023'!$G$4:$G$1053,'сентябрь 2023'!$D$4:$D$1053,$B170,'сентябрь 2023'!$J$4:$J$1053,AC$1)</f>
        <v>0</v>
      </c>
      <c r="AD170" s="207">
        <f>SUMIFS('сентябрь 2023'!$G$4:$G$1053,'сентябрь 2023'!$D$4:$D$1053,$B170,'сентябрь 2023'!$J$4:$J$1053,AD$1)</f>
        <v>0</v>
      </c>
      <c r="AE170" s="207">
        <f>SUMIFS('сентябрь 2023'!$G$4:$G$1053,'сентябрь 2023'!$D$4:$D$1053,$B170,'сентябрь 2023'!$J$4:$J$1053,AE$1)</f>
        <v>0</v>
      </c>
      <c r="AF170" s="207">
        <f>SUMIFS('сентябрь 2023'!$G$4:$G$1053,'сентябрь 2023'!$D$4:$D$1053,$B170,'сентябрь 2023'!$J$4:$J$1053,AF$1)</f>
        <v>0</v>
      </c>
      <c r="AG170" s="207">
        <f>SUMIFS('сентябрь 2023'!$G$4:$G$1053,'сентябрь 2023'!$D$4:$D$1053,$B170,'сентябрь 2023'!$J$4:$J$1053,AG$1)</f>
        <v>0</v>
      </c>
      <c r="AH170" s="207">
        <f>SUMIFS('сентябрь 2023'!$G$4:$G$1053,'сентябрь 2023'!$D$4:$D$1053,$B170,'сентябрь 2023'!$J$4:$J$1053,AH$1)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SUMIFS('сентябрь 2023'!$G$4:$G$1053,'сентябрь 2023'!$D$4:$D$1053,$B171,'сентябрь 2023'!$J$4:$J$1053,D$1)</f>
        <v>0</v>
      </c>
      <c r="E171" s="207">
        <f>SUMIFS('сентябрь 2023'!$G$4:$G$1053,'сентябрь 2023'!$D$4:$D$1053,$B171,'сентябрь 2023'!$J$4:$J$1053,E$1)</f>
        <v>0</v>
      </c>
      <c r="F171" s="207">
        <f>SUMIFS('сентябрь 2023'!$G$4:$G$1053,'сентябрь 2023'!$D$4:$D$1053,$B171,'сентябрь 2023'!$J$4:$J$1053,F$1)</f>
        <v>0</v>
      </c>
      <c r="G171" s="207">
        <f>SUMIFS('сентябрь 2023'!$G$4:$G$1053,'сентябрь 2023'!$D$4:$D$1053,$B171,'сентябрь 2023'!$J$4:$J$1053,G$1)</f>
        <v>0</v>
      </c>
      <c r="H171" s="207">
        <f>SUMIFS('сентябрь 2023'!$G$4:$G$1053,'сентябрь 2023'!$D$4:$D$1053,$B171,'сентябрь 2023'!$J$4:$J$1053,H$1)</f>
        <v>0</v>
      </c>
      <c r="I171" s="207">
        <f>SUMIFS('сентябрь 2023'!$G$4:$G$1053,'сентябрь 2023'!$D$4:$D$1053,$B171,'сентябрь 2023'!$J$4:$J$1053,I$1)</f>
        <v>0</v>
      </c>
      <c r="J171" s="207">
        <f>SUMIFS('сентябрь 2023'!$G$4:$G$1053,'сентябрь 2023'!$D$4:$D$1053,$B171,'сентябрь 2023'!$J$4:$J$1053,J$1)</f>
        <v>0</v>
      </c>
      <c r="K171" s="207">
        <f>SUMIFS('сентябрь 2023'!$G$4:$G$1053,'сентябрь 2023'!$D$4:$D$1053,$B171,'сентябрь 2023'!$J$4:$J$1053,K$1)</f>
        <v>0</v>
      </c>
      <c r="L171" s="207">
        <f>SUMIFS('сентябрь 2023'!$G$4:$G$1053,'сентябрь 2023'!$D$4:$D$1053,$B171,'сентябрь 2023'!$J$4:$J$1053,L$1)</f>
        <v>0</v>
      </c>
      <c r="M171" s="207">
        <f>SUMIFS('сентябрь 2023'!$G$4:$G$1053,'сентябрь 2023'!$D$4:$D$1053,$B171,'сентябрь 2023'!$J$4:$J$1053,M$1)</f>
        <v>0</v>
      </c>
      <c r="N171" s="207">
        <f>SUMIFS('сентябрь 2023'!$G$4:$G$1053,'сентябрь 2023'!$D$4:$D$1053,$B171,'сентябрь 2023'!$J$4:$J$1053,N$1)</f>
        <v>0</v>
      </c>
      <c r="O171" s="207">
        <f>SUMIFS('сентябрь 2023'!$G$4:$G$1053,'сентябрь 2023'!$D$4:$D$1053,$B171,'сентябрь 2023'!$J$4:$J$1053,O$1)</f>
        <v>0</v>
      </c>
      <c r="P171" s="207">
        <f>SUMIFS('сентябрь 2023'!$G$4:$G$1053,'сентябрь 2023'!$D$4:$D$1053,$B171,'сентябрь 2023'!$J$4:$J$1053,P$1)</f>
        <v>0</v>
      </c>
      <c r="Q171" s="207">
        <f>SUMIFS('сентябрь 2023'!$G$4:$G$1053,'сентябрь 2023'!$D$4:$D$1053,$B171,'сентябрь 2023'!$J$4:$J$1053,Q$1)</f>
        <v>0</v>
      </c>
      <c r="R171" s="207">
        <f>SUMIFS('сентябрь 2023'!$G$4:$G$1053,'сентябрь 2023'!$D$4:$D$1053,$B171,'сентябрь 2023'!$J$4:$J$1053,R$1)</f>
        <v>0</v>
      </c>
      <c r="S171" s="207">
        <f>SUMIFS('сентябрь 2023'!$G$4:$G$1053,'сентябрь 2023'!$D$4:$D$1053,$B171,'сентябрь 2023'!$J$4:$J$1053,S$1)</f>
        <v>0</v>
      </c>
      <c r="T171" s="207">
        <f>SUMIFS('сентябрь 2023'!$G$4:$G$1053,'сентябрь 2023'!$D$4:$D$1053,$B171,'сентябрь 2023'!$J$4:$J$1053,T$1)</f>
        <v>0</v>
      </c>
      <c r="U171" s="207">
        <f>SUMIFS('сентябрь 2023'!$G$4:$G$1053,'сентябрь 2023'!$D$4:$D$1053,$B171,'сентябрь 2023'!$J$4:$J$1053,U$1)</f>
        <v>0</v>
      </c>
      <c r="V171" s="207">
        <f>SUMIFS('сентябрь 2023'!$G$4:$G$1053,'сентябрь 2023'!$D$4:$D$1053,$B171,'сентябрь 2023'!$J$4:$J$1053,V$1)</f>
        <v>0</v>
      </c>
      <c r="W171" s="207">
        <f>SUMIFS('сентябрь 2023'!$G$4:$G$1053,'сентябрь 2023'!$D$4:$D$1053,$B171,'сентябрь 2023'!$J$4:$J$1053,W$1)</f>
        <v>0</v>
      </c>
      <c r="X171" s="207">
        <f>SUMIFS('сентябрь 2023'!$G$4:$G$1053,'сентябрь 2023'!$D$4:$D$1053,$B171,'сентябрь 2023'!$J$4:$J$1053,X$1)</f>
        <v>0</v>
      </c>
      <c r="Y171" s="207">
        <f>SUMIFS('сентябрь 2023'!$G$4:$G$1053,'сентябрь 2023'!$D$4:$D$1053,$B171,'сентябрь 2023'!$J$4:$J$1053,Y$1)</f>
        <v>0</v>
      </c>
      <c r="Z171" s="207">
        <f>SUMIFS('сентябрь 2023'!$G$4:$G$1053,'сентябрь 2023'!$D$4:$D$1053,$B171,'сентябрь 2023'!$J$4:$J$1053,Z$1)</f>
        <v>0</v>
      </c>
      <c r="AA171" s="207">
        <f>SUMIFS('сентябрь 2023'!$G$4:$G$1053,'сентябрь 2023'!$D$4:$D$1053,$B171,'сентябрь 2023'!$J$4:$J$1053,AA$1)</f>
        <v>0</v>
      </c>
      <c r="AB171" s="207">
        <f>SUMIFS('сентябрь 2023'!$G$4:$G$1053,'сентябрь 2023'!$D$4:$D$1053,$B171,'сентябрь 2023'!$J$4:$J$1053,AB$1)</f>
        <v>0</v>
      </c>
      <c r="AC171" s="207">
        <f>SUMIFS('сентябрь 2023'!$G$4:$G$1053,'сентябрь 2023'!$D$4:$D$1053,$B171,'сентябрь 2023'!$J$4:$J$1053,AC$1)</f>
        <v>0</v>
      </c>
      <c r="AD171" s="207">
        <f>SUMIFS('сентябрь 2023'!$G$4:$G$1053,'сентябрь 2023'!$D$4:$D$1053,$B171,'сентябрь 2023'!$J$4:$J$1053,AD$1)</f>
        <v>0</v>
      </c>
      <c r="AE171" s="207">
        <f>SUMIFS('сентябрь 2023'!$G$4:$G$1053,'сентябрь 2023'!$D$4:$D$1053,$B171,'сентябрь 2023'!$J$4:$J$1053,AE$1)</f>
        <v>0</v>
      </c>
      <c r="AF171" s="207">
        <f>SUMIFS('сентябрь 2023'!$G$4:$G$1053,'сентябрь 2023'!$D$4:$D$1053,$B171,'сентябрь 2023'!$J$4:$J$1053,AF$1)</f>
        <v>0</v>
      </c>
      <c r="AG171" s="207">
        <f>SUMIFS('сентябрь 2023'!$G$4:$G$1053,'сентябрь 2023'!$D$4:$D$1053,$B171,'сентябрь 2023'!$J$4:$J$1053,AG$1)</f>
        <v>0</v>
      </c>
      <c r="AH171" s="207">
        <f>SUMIFS('сентябрь 2023'!$G$4:$G$1053,'сентябрь 2023'!$D$4:$D$1053,$B171,'сентябрь 2023'!$J$4:$J$1053,AH$1)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SUMIFS('сентябрь 2023'!$G$4:$G$1053,'сентябрь 2023'!$D$4:$D$1053,$B172,'сентябрь 2023'!$J$4:$J$1053,D$1)</f>
        <v>0</v>
      </c>
      <c r="E172" s="207">
        <f>SUMIFS('сентябрь 2023'!$G$4:$G$1053,'сентябрь 2023'!$D$4:$D$1053,$B172,'сентябрь 2023'!$J$4:$J$1053,E$1)</f>
        <v>0</v>
      </c>
      <c r="F172" s="207">
        <f>SUMIFS('сентябрь 2023'!$G$4:$G$1053,'сентябрь 2023'!$D$4:$D$1053,$B172,'сентябрь 2023'!$J$4:$J$1053,F$1)</f>
        <v>0</v>
      </c>
      <c r="G172" s="207">
        <f>SUMIFS('сентябрь 2023'!$G$4:$G$1053,'сентябрь 2023'!$D$4:$D$1053,$B172,'сентябрь 2023'!$J$4:$J$1053,G$1)</f>
        <v>0</v>
      </c>
      <c r="H172" s="207">
        <f>SUMIFS('сентябрь 2023'!$G$4:$G$1053,'сентябрь 2023'!$D$4:$D$1053,$B172,'сентябрь 2023'!$J$4:$J$1053,H$1)</f>
        <v>0</v>
      </c>
      <c r="I172" s="207">
        <f>SUMIFS('сентябрь 2023'!$G$4:$G$1053,'сентябрь 2023'!$D$4:$D$1053,$B172,'сентябрь 2023'!$J$4:$J$1053,I$1)</f>
        <v>0</v>
      </c>
      <c r="J172" s="207">
        <f>SUMIFS('сентябрь 2023'!$G$4:$G$1053,'сентябрь 2023'!$D$4:$D$1053,$B172,'сентябрь 2023'!$J$4:$J$1053,J$1)</f>
        <v>0</v>
      </c>
      <c r="K172" s="207">
        <f>SUMIFS('сентябрь 2023'!$G$4:$G$1053,'сентябрь 2023'!$D$4:$D$1053,$B172,'сентябрь 2023'!$J$4:$J$1053,K$1)</f>
        <v>0</v>
      </c>
      <c r="L172" s="207">
        <f>SUMIFS('сентябрь 2023'!$G$4:$G$1053,'сентябрь 2023'!$D$4:$D$1053,$B172,'сентябрь 2023'!$J$4:$J$1053,L$1)</f>
        <v>0</v>
      </c>
      <c r="M172" s="207">
        <f>SUMIFS('сентябрь 2023'!$G$4:$G$1053,'сентябрь 2023'!$D$4:$D$1053,$B172,'сентябрь 2023'!$J$4:$J$1053,M$1)</f>
        <v>0</v>
      </c>
      <c r="N172" s="207">
        <f>SUMIFS('сентябрь 2023'!$G$4:$G$1053,'сентябрь 2023'!$D$4:$D$1053,$B172,'сентябрь 2023'!$J$4:$J$1053,N$1)</f>
        <v>0</v>
      </c>
      <c r="O172" s="207">
        <f>SUMIFS('сентябрь 2023'!$G$4:$G$1053,'сентябрь 2023'!$D$4:$D$1053,$B172,'сентябрь 2023'!$J$4:$J$1053,O$1)</f>
        <v>0</v>
      </c>
      <c r="P172" s="207">
        <f>SUMIFS('сентябрь 2023'!$G$4:$G$1053,'сентябрь 2023'!$D$4:$D$1053,$B172,'сентябрь 2023'!$J$4:$J$1053,P$1)</f>
        <v>0</v>
      </c>
      <c r="Q172" s="207">
        <f>SUMIFS('сентябрь 2023'!$G$4:$G$1053,'сентябрь 2023'!$D$4:$D$1053,$B172,'сентябрь 2023'!$J$4:$J$1053,Q$1)</f>
        <v>0</v>
      </c>
      <c r="R172" s="207">
        <f>SUMIFS('сентябрь 2023'!$G$4:$G$1053,'сентябрь 2023'!$D$4:$D$1053,$B172,'сентябрь 2023'!$J$4:$J$1053,R$1)</f>
        <v>0</v>
      </c>
      <c r="S172" s="207">
        <f>SUMIFS('сентябрь 2023'!$G$4:$G$1053,'сентябрь 2023'!$D$4:$D$1053,$B172,'сентябрь 2023'!$J$4:$J$1053,S$1)</f>
        <v>0</v>
      </c>
      <c r="T172" s="207">
        <f>SUMIFS('сентябрь 2023'!$G$4:$G$1053,'сентябрь 2023'!$D$4:$D$1053,$B172,'сентябрь 2023'!$J$4:$J$1053,T$1)</f>
        <v>0</v>
      </c>
      <c r="U172" s="207">
        <f>SUMIFS('сентябрь 2023'!$G$4:$G$1053,'сентябрь 2023'!$D$4:$D$1053,$B172,'сентябрь 2023'!$J$4:$J$1053,U$1)</f>
        <v>0</v>
      </c>
      <c r="V172" s="207">
        <f>SUMIFS('сентябрь 2023'!$G$4:$G$1053,'сентябрь 2023'!$D$4:$D$1053,$B172,'сентябрь 2023'!$J$4:$J$1053,V$1)</f>
        <v>0</v>
      </c>
      <c r="W172" s="207">
        <f>SUMIFS('сентябрь 2023'!$G$4:$G$1053,'сентябрь 2023'!$D$4:$D$1053,$B172,'сентябрь 2023'!$J$4:$J$1053,W$1)</f>
        <v>0</v>
      </c>
      <c r="X172" s="207">
        <f>SUMIFS('сентябрь 2023'!$G$4:$G$1053,'сентябрь 2023'!$D$4:$D$1053,$B172,'сентябрь 2023'!$J$4:$J$1053,X$1)</f>
        <v>0</v>
      </c>
      <c r="Y172" s="207">
        <f>SUMIFS('сентябрь 2023'!$G$4:$G$1053,'сентябрь 2023'!$D$4:$D$1053,$B172,'сентябрь 2023'!$J$4:$J$1053,Y$1)</f>
        <v>0</v>
      </c>
      <c r="Z172" s="207">
        <f>SUMIFS('сентябрь 2023'!$G$4:$G$1053,'сентябрь 2023'!$D$4:$D$1053,$B172,'сентябрь 2023'!$J$4:$J$1053,Z$1)</f>
        <v>0</v>
      </c>
      <c r="AA172" s="207">
        <f>SUMIFS('сентябрь 2023'!$G$4:$G$1053,'сентябрь 2023'!$D$4:$D$1053,$B172,'сентябрь 2023'!$J$4:$J$1053,AA$1)</f>
        <v>0</v>
      </c>
      <c r="AB172" s="207">
        <f>SUMIFS('сентябрь 2023'!$G$4:$G$1053,'сентябрь 2023'!$D$4:$D$1053,$B172,'сентябрь 2023'!$J$4:$J$1053,AB$1)</f>
        <v>0</v>
      </c>
      <c r="AC172" s="207">
        <f>SUMIFS('сентябрь 2023'!$G$4:$G$1053,'сентябрь 2023'!$D$4:$D$1053,$B172,'сентябрь 2023'!$J$4:$J$1053,AC$1)</f>
        <v>0</v>
      </c>
      <c r="AD172" s="207">
        <f>SUMIFS('сентябрь 2023'!$G$4:$G$1053,'сентябрь 2023'!$D$4:$D$1053,$B172,'сентябрь 2023'!$J$4:$J$1053,AD$1)</f>
        <v>0</v>
      </c>
      <c r="AE172" s="207">
        <f>SUMIFS('сентябрь 2023'!$G$4:$G$1053,'сентябрь 2023'!$D$4:$D$1053,$B172,'сентябрь 2023'!$J$4:$J$1053,AE$1)</f>
        <v>0</v>
      </c>
      <c r="AF172" s="207">
        <f>SUMIFS('сентябрь 2023'!$G$4:$G$1053,'сентябрь 2023'!$D$4:$D$1053,$B172,'сентябрь 2023'!$J$4:$J$1053,AF$1)</f>
        <v>0</v>
      </c>
      <c r="AG172" s="207">
        <f>SUMIFS('сентябрь 2023'!$G$4:$G$1053,'сентябрь 2023'!$D$4:$D$1053,$B172,'сентябрь 2023'!$J$4:$J$1053,AG$1)</f>
        <v>0</v>
      </c>
      <c r="AH172" s="207">
        <f>SUMIFS('сентябрь 2023'!$G$4:$G$1053,'сентябрь 2023'!$D$4:$D$1053,$B172,'сентябрь 2023'!$J$4:$J$1053,AH$1)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SUMIFS('сентябрь 2023'!$G$4:$G$1053,'сентябрь 2023'!$D$4:$D$1053,$B173,'сентябрь 2023'!$J$4:$J$1053,D$1)</f>
        <v>0</v>
      </c>
      <c r="E173" s="207">
        <f>SUMIFS('сентябрь 2023'!$G$4:$G$1053,'сентябрь 2023'!$D$4:$D$1053,$B173,'сентябрь 2023'!$J$4:$J$1053,E$1)</f>
        <v>0</v>
      </c>
      <c r="F173" s="207">
        <f>SUMIFS('сентябрь 2023'!$G$4:$G$1053,'сентябрь 2023'!$D$4:$D$1053,$B173,'сентябрь 2023'!$J$4:$J$1053,F$1)</f>
        <v>0</v>
      </c>
      <c r="G173" s="207">
        <f>SUMIFS('сентябрь 2023'!$G$4:$G$1053,'сентябрь 2023'!$D$4:$D$1053,$B173,'сентябрь 2023'!$J$4:$J$1053,G$1)</f>
        <v>0</v>
      </c>
      <c r="H173" s="207">
        <f>SUMIFS('сентябрь 2023'!$G$4:$G$1053,'сентябрь 2023'!$D$4:$D$1053,$B173,'сентябрь 2023'!$J$4:$J$1053,H$1)</f>
        <v>0</v>
      </c>
      <c r="I173" s="207">
        <f>SUMIFS('сентябрь 2023'!$G$4:$G$1053,'сентябрь 2023'!$D$4:$D$1053,$B173,'сентябрь 2023'!$J$4:$J$1053,I$1)</f>
        <v>0</v>
      </c>
      <c r="J173" s="207">
        <f>SUMIFS('сентябрь 2023'!$G$4:$G$1053,'сентябрь 2023'!$D$4:$D$1053,$B173,'сентябрь 2023'!$J$4:$J$1053,J$1)</f>
        <v>0</v>
      </c>
      <c r="K173" s="207">
        <f>SUMIFS('сентябрь 2023'!$G$4:$G$1053,'сентябрь 2023'!$D$4:$D$1053,$B173,'сентябрь 2023'!$J$4:$J$1053,K$1)</f>
        <v>0</v>
      </c>
      <c r="L173" s="207">
        <f>SUMIFS('сентябрь 2023'!$G$4:$G$1053,'сентябрь 2023'!$D$4:$D$1053,$B173,'сентябрь 2023'!$J$4:$J$1053,L$1)</f>
        <v>0</v>
      </c>
      <c r="M173" s="207">
        <f>SUMIFS('сентябрь 2023'!$G$4:$G$1053,'сентябрь 2023'!$D$4:$D$1053,$B173,'сентябрь 2023'!$J$4:$J$1053,M$1)</f>
        <v>0</v>
      </c>
      <c r="N173" s="207">
        <f>SUMIFS('сентябрь 2023'!$G$4:$G$1053,'сентябрь 2023'!$D$4:$D$1053,$B173,'сентябрь 2023'!$J$4:$J$1053,N$1)</f>
        <v>0</v>
      </c>
      <c r="O173" s="207">
        <f>SUMIFS('сентябрь 2023'!$G$4:$G$1053,'сентябрь 2023'!$D$4:$D$1053,$B173,'сентябрь 2023'!$J$4:$J$1053,O$1)</f>
        <v>0</v>
      </c>
      <c r="P173" s="207">
        <f>SUMIFS('сентябрь 2023'!$G$4:$G$1053,'сентябрь 2023'!$D$4:$D$1053,$B173,'сентябрь 2023'!$J$4:$J$1053,P$1)</f>
        <v>0</v>
      </c>
      <c r="Q173" s="207">
        <f>SUMIFS('сентябрь 2023'!$G$4:$G$1053,'сентябрь 2023'!$D$4:$D$1053,$B173,'сентябрь 2023'!$J$4:$J$1053,Q$1)</f>
        <v>0</v>
      </c>
      <c r="R173" s="207">
        <f>SUMIFS('сентябрь 2023'!$G$4:$G$1053,'сентябрь 2023'!$D$4:$D$1053,$B173,'сентябрь 2023'!$J$4:$J$1053,R$1)</f>
        <v>0</v>
      </c>
      <c r="S173" s="207">
        <f>SUMIFS('сентябрь 2023'!$G$4:$G$1053,'сентябрь 2023'!$D$4:$D$1053,$B173,'сентябрь 2023'!$J$4:$J$1053,S$1)</f>
        <v>0</v>
      </c>
      <c r="T173" s="207">
        <f>SUMIFS('сентябрь 2023'!$G$4:$G$1053,'сентябрь 2023'!$D$4:$D$1053,$B173,'сентябрь 2023'!$J$4:$J$1053,T$1)</f>
        <v>0</v>
      </c>
      <c r="U173" s="207">
        <f>SUMIFS('сентябрь 2023'!$G$4:$G$1053,'сентябрь 2023'!$D$4:$D$1053,$B173,'сентябрь 2023'!$J$4:$J$1053,U$1)</f>
        <v>0</v>
      </c>
      <c r="V173" s="207">
        <f>SUMIFS('сентябрь 2023'!$G$4:$G$1053,'сентябрь 2023'!$D$4:$D$1053,$B173,'сентябрь 2023'!$J$4:$J$1053,V$1)</f>
        <v>0</v>
      </c>
      <c r="W173" s="207">
        <f>SUMIFS('сентябрь 2023'!$G$4:$G$1053,'сентябрь 2023'!$D$4:$D$1053,$B173,'сентябрь 2023'!$J$4:$J$1053,W$1)</f>
        <v>0</v>
      </c>
      <c r="X173" s="207">
        <f>SUMIFS('сентябрь 2023'!$G$4:$G$1053,'сентябрь 2023'!$D$4:$D$1053,$B173,'сентябрь 2023'!$J$4:$J$1053,X$1)</f>
        <v>0</v>
      </c>
      <c r="Y173" s="207">
        <f>SUMIFS('сентябрь 2023'!$G$4:$G$1053,'сентябрь 2023'!$D$4:$D$1053,$B173,'сентябрь 2023'!$J$4:$J$1053,Y$1)</f>
        <v>0</v>
      </c>
      <c r="Z173" s="207">
        <f>SUMIFS('сентябрь 2023'!$G$4:$G$1053,'сентябрь 2023'!$D$4:$D$1053,$B173,'сентябрь 2023'!$J$4:$J$1053,Z$1)</f>
        <v>0</v>
      </c>
      <c r="AA173" s="207">
        <f>SUMIFS('сентябрь 2023'!$G$4:$G$1053,'сентябрь 2023'!$D$4:$D$1053,$B173,'сентябрь 2023'!$J$4:$J$1053,AA$1)</f>
        <v>0</v>
      </c>
      <c r="AB173" s="207">
        <f>SUMIFS('сентябрь 2023'!$G$4:$G$1053,'сентябрь 2023'!$D$4:$D$1053,$B173,'сентябрь 2023'!$J$4:$J$1053,AB$1)</f>
        <v>0</v>
      </c>
      <c r="AC173" s="207">
        <f>SUMIFS('сентябрь 2023'!$G$4:$G$1053,'сентябрь 2023'!$D$4:$D$1053,$B173,'сентябрь 2023'!$J$4:$J$1053,AC$1)</f>
        <v>0</v>
      </c>
      <c r="AD173" s="207">
        <f>SUMIFS('сентябрь 2023'!$G$4:$G$1053,'сентябрь 2023'!$D$4:$D$1053,$B173,'сентябрь 2023'!$J$4:$J$1053,AD$1)</f>
        <v>0</v>
      </c>
      <c r="AE173" s="207">
        <f>SUMIFS('сентябрь 2023'!$G$4:$G$1053,'сентябрь 2023'!$D$4:$D$1053,$B173,'сентябрь 2023'!$J$4:$J$1053,AE$1)</f>
        <v>0</v>
      </c>
      <c r="AF173" s="207">
        <f>SUMIFS('сентябрь 2023'!$G$4:$G$1053,'сентябрь 2023'!$D$4:$D$1053,$B173,'сентябрь 2023'!$J$4:$J$1053,AF$1)</f>
        <v>0</v>
      </c>
      <c r="AG173" s="207">
        <f>SUMIFS('сентябрь 2023'!$G$4:$G$1053,'сентябрь 2023'!$D$4:$D$1053,$B173,'сентябрь 2023'!$J$4:$J$1053,AG$1)</f>
        <v>0</v>
      </c>
      <c r="AH173" s="207">
        <f>SUMIFS('сентябрь 2023'!$G$4:$G$1053,'сентябрь 2023'!$D$4:$D$1053,$B173,'сентябрь 2023'!$J$4:$J$1053,AH$1)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SUMIFS('сентябрь 2023'!$G$4:$G$1053,'сентябрь 2023'!$D$4:$D$1053,$B174,'сентябрь 2023'!$J$4:$J$1053,D$1)</f>
        <v>0</v>
      </c>
      <c r="E174" s="207">
        <f>SUMIFS('сентябрь 2023'!$G$4:$G$1053,'сентябрь 2023'!$D$4:$D$1053,$B174,'сентябрь 2023'!$J$4:$J$1053,E$1)</f>
        <v>0</v>
      </c>
      <c r="F174" s="207">
        <f>SUMIFS('сентябрь 2023'!$G$4:$G$1053,'сентябрь 2023'!$D$4:$D$1053,$B174,'сентябрь 2023'!$J$4:$J$1053,F$1)</f>
        <v>0</v>
      </c>
      <c r="G174" s="207">
        <f>SUMIFS('сентябрь 2023'!$G$4:$G$1053,'сентябрь 2023'!$D$4:$D$1053,$B174,'сентябрь 2023'!$J$4:$J$1053,G$1)</f>
        <v>0</v>
      </c>
      <c r="H174" s="207">
        <f>SUMIFS('сентябрь 2023'!$G$4:$G$1053,'сентябрь 2023'!$D$4:$D$1053,$B174,'сентябрь 2023'!$J$4:$J$1053,H$1)</f>
        <v>0</v>
      </c>
      <c r="I174" s="207">
        <f>SUMIFS('сентябрь 2023'!$G$4:$G$1053,'сентябрь 2023'!$D$4:$D$1053,$B174,'сентябрь 2023'!$J$4:$J$1053,I$1)</f>
        <v>0</v>
      </c>
      <c r="J174" s="207">
        <f>SUMIFS('сентябрь 2023'!$G$4:$G$1053,'сентябрь 2023'!$D$4:$D$1053,$B174,'сентябрь 2023'!$J$4:$J$1053,J$1)</f>
        <v>0</v>
      </c>
      <c r="K174" s="207">
        <f>SUMIFS('сентябрь 2023'!$G$4:$G$1053,'сентябрь 2023'!$D$4:$D$1053,$B174,'сентябрь 2023'!$J$4:$J$1053,K$1)</f>
        <v>0</v>
      </c>
      <c r="L174" s="207">
        <f>SUMIFS('сентябрь 2023'!$G$4:$G$1053,'сентябрь 2023'!$D$4:$D$1053,$B174,'сентябрь 2023'!$J$4:$J$1053,L$1)</f>
        <v>0</v>
      </c>
      <c r="M174" s="207">
        <f>SUMIFS('сентябрь 2023'!$G$4:$G$1053,'сентябрь 2023'!$D$4:$D$1053,$B174,'сентябрь 2023'!$J$4:$J$1053,M$1)</f>
        <v>0</v>
      </c>
      <c r="N174" s="207">
        <f>SUMIFS('сентябрь 2023'!$G$4:$G$1053,'сентябрь 2023'!$D$4:$D$1053,$B174,'сентябрь 2023'!$J$4:$J$1053,N$1)</f>
        <v>0</v>
      </c>
      <c r="O174" s="207">
        <f>SUMIFS('сентябрь 2023'!$G$4:$G$1053,'сентябрь 2023'!$D$4:$D$1053,$B174,'сентябрь 2023'!$J$4:$J$1053,O$1)</f>
        <v>0</v>
      </c>
      <c r="P174" s="207">
        <f>SUMIFS('сентябрь 2023'!$G$4:$G$1053,'сентябрь 2023'!$D$4:$D$1053,$B174,'сентябрь 2023'!$J$4:$J$1053,P$1)</f>
        <v>0</v>
      </c>
      <c r="Q174" s="207">
        <f>SUMIFS('сентябрь 2023'!$G$4:$G$1053,'сентябрь 2023'!$D$4:$D$1053,$B174,'сентябрь 2023'!$J$4:$J$1053,Q$1)</f>
        <v>0</v>
      </c>
      <c r="R174" s="207">
        <f>SUMIFS('сентябрь 2023'!$G$4:$G$1053,'сентябрь 2023'!$D$4:$D$1053,$B174,'сентябрь 2023'!$J$4:$J$1053,R$1)</f>
        <v>0</v>
      </c>
      <c r="S174" s="207">
        <f>SUMIFS('сентябрь 2023'!$G$4:$G$1053,'сентябрь 2023'!$D$4:$D$1053,$B174,'сентябрь 2023'!$J$4:$J$1053,S$1)</f>
        <v>0</v>
      </c>
      <c r="T174" s="207">
        <f>SUMIFS('сентябрь 2023'!$G$4:$G$1053,'сентябрь 2023'!$D$4:$D$1053,$B174,'сентябрь 2023'!$J$4:$J$1053,T$1)</f>
        <v>0</v>
      </c>
      <c r="U174" s="207">
        <f>SUMIFS('сентябрь 2023'!$G$4:$G$1053,'сентябрь 2023'!$D$4:$D$1053,$B174,'сентябрь 2023'!$J$4:$J$1053,U$1)</f>
        <v>0</v>
      </c>
      <c r="V174" s="207">
        <f>SUMIFS('сентябрь 2023'!$G$4:$G$1053,'сентябрь 2023'!$D$4:$D$1053,$B174,'сентябрь 2023'!$J$4:$J$1053,V$1)</f>
        <v>0</v>
      </c>
      <c r="W174" s="207">
        <f>SUMIFS('сентябрь 2023'!$G$4:$G$1053,'сентябрь 2023'!$D$4:$D$1053,$B174,'сентябрь 2023'!$J$4:$J$1053,W$1)</f>
        <v>0</v>
      </c>
      <c r="X174" s="207">
        <f>SUMIFS('сентябрь 2023'!$G$4:$G$1053,'сентябрь 2023'!$D$4:$D$1053,$B174,'сентябрь 2023'!$J$4:$J$1053,X$1)</f>
        <v>0</v>
      </c>
      <c r="Y174" s="207">
        <f>SUMIFS('сентябрь 2023'!$G$4:$G$1053,'сентябрь 2023'!$D$4:$D$1053,$B174,'сентябрь 2023'!$J$4:$J$1053,Y$1)</f>
        <v>0</v>
      </c>
      <c r="Z174" s="207">
        <f>SUMIFS('сентябрь 2023'!$G$4:$G$1053,'сентябрь 2023'!$D$4:$D$1053,$B174,'сентябрь 2023'!$J$4:$J$1053,Z$1)</f>
        <v>0</v>
      </c>
      <c r="AA174" s="207">
        <f>SUMIFS('сентябрь 2023'!$G$4:$G$1053,'сентябрь 2023'!$D$4:$D$1053,$B174,'сентябрь 2023'!$J$4:$J$1053,AA$1)</f>
        <v>0</v>
      </c>
      <c r="AB174" s="207">
        <f>SUMIFS('сентябрь 2023'!$G$4:$G$1053,'сентябрь 2023'!$D$4:$D$1053,$B174,'сентябрь 2023'!$J$4:$J$1053,AB$1)</f>
        <v>0</v>
      </c>
      <c r="AC174" s="207">
        <f>SUMIFS('сентябрь 2023'!$G$4:$G$1053,'сентябрь 2023'!$D$4:$D$1053,$B174,'сентябрь 2023'!$J$4:$J$1053,AC$1)</f>
        <v>0</v>
      </c>
      <c r="AD174" s="207">
        <f>SUMIFS('сентябрь 2023'!$G$4:$G$1053,'сентябрь 2023'!$D$4:$D$1053,$B174,'сентябрь 2023'!$J$4:$J$1053,AD$1)</f>
        <v>0</v>
      </c>
      <c r="AE174" s="207">
        <f>SUMIFS('сентябрь 2023'!$G$4:$G$1053,'сентябрь 2023'!$D$4:$D$1053,$B174,'сентябрь 2023'!$J$4:$J$1053,AE$1)</f>
        <v>0</v>
      </c>
      <c r="AF174" s="207">
        <f>SUMIFS('сентябрь 2023'!$G$4:$G$1053,'сентябрь 2023'!$D$4:$D$1053,$B174,'сентябрь 2023'!$J$4:$J$1053,AF$1)</f>
        <v>0</v>
      </c>
      <c r="AG174" s="207">
        <f>SUMIFS('сентябрь 2023'!$G$4:$G$1053,'сентябрь 2023'!$D$4:$D$1053,$B174,'сентябрь 2023'!$J$4:$J$1053,AG$1)</f>
        <v>0</v>
      </c>
      <c r="AH174" s="207">
        <f>SUMIFS('сентябрь 2023'!$G$4:$G$1053,'сентябрь 2023'!$D$4:$D$1053,$B174,'сентябрь 2023'!$J$4:$J$1053,AH$1)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SUMIFS('сентябрь 2023'!$G$4:$G$1053,'сентябрь 2023'!$D$4:$D$1053,$B175,'сентябрь 2023'!$J$4:$J$1053,D$1)</f>
        <v>0</v>
      </c>
      <c r="E175" s="207">
        <f>SUMIFS('сентябрь 2023'!$G$4:$G$1053,'сентябрь 2023'!$D$4:$D$1053,$B175,'сентябрь 2023'!$J$4:$J$1053,E$1)</f>
        <v>0</v>
      </c>
      <c r="F175" s="207">
        <f>SUMIFS('сентябрь 2023'!$G$4:$G$1053,'сентябрь 2023'!$D$4:$D$1053,$B175,'сентябрь 2023'!$J$4:$J$1053,F$1)</f>
        <v>0</v>
      </c>
      <c r="G175" s="207">
        <f>SUMIFS('сентябрь 2023'!$G$4:$G$1053,'сентябрь 2023'!$D$4:$D$1053,$B175,'сентябрь 2023'!$J$4:$J$1053,G$1)</f>
        <v>0</v>
      </c>
      <c r="H175" s="207">
        <f>SUMIFS('сентябрь 2023'!$G$4:$G$1053,'сентябрь 2023'!$D$4:$D$1053,$B175,'сентябрь 2023'!$J$4:$J$1053,H$1)</f>
        <v>0</v>
      </c>
      <c r="I175" s="207">
        <f>SUMIFS('сентябрь 2023'!$G$4:$G$1053,'сентябрь 2023'!$D$4:$D$1053,$B175,'сентябрь 2023'!$J$4:$J$1053,I$1)</f>
        <v>0</v>
      </c>
      <c r="J175" s="207">
        <f>SUMIFS('сентябрь 2023'!$G$4:$G$1053,'сентябрь 2023'!$D$4:$D$1053,$B175,'сентябрь 2023'!$J$4:$J$1053,J$1)</f>
        <v>0</v>
      </c>
      <c r="K175" s="207">
        <f>SUMIFS('сентябрь 2023'!$G$4:$G$1053,'сентябрь 2023'!$D$4:$D$1053,$B175,'сентябрь 2023'!$J$4:$J$1053,K$1)</f>
        <v>0</v>
      </c>
      <c r="L175" s="207">
        <f>SUMIFS('сентябрь 2023'!$G$4:$G$1053,'сентябрь 2023'!$D$4:$D$1053,$B175,'сентябрь 2023'!$J$4:$J$1053,L$1)</f>
        <v>0</v>
      </c>
      <c r="M175" s="207">
        <f>SUMIFS('сентябрь 2023'!$G$4:$G$1053,'сентябрь 2023'!$D$4:$D$1053,$B175,'сентябрь 2023'!$J$4:$J$1053,M$1)</f>
        <v>0</v>
      </c>
      <c r="N175" s="207">
        <f>SUMIFS('сентябрь 2023'!$G$4:$G$1053,'сентябрь 2023'!$D$4:$D$1053,$B175,'сентябрь 2023'!$J$4:$J$1053,N$1)</f>
        <v>0</v>
      </c>
      <c r="O175" s="207">
        <f>SUMIFS('сентябрь 2023'!$G$4:$G$1053,'сентябрь 2023'!$D$4:$D$1053,$B175,'сентябрь 2023'!$J$4:$J$1053,O$1)</f>
        <v>0</v>
      </c>
      <c r="P175" s="207">
        <f>SUMIFS('сентябрь 2023'!$G$4:$G$1053,'сентябрь 2023'!$D$4:$D$1053,$B175,'сентябрь 2023'!$J$4:$J$1053,P$1)</f>
        <v>0</v>
      </c>
      <c r="Q175" s="207">
        <f>SUMIFS('сентябрь 2023'!$G$4:$G$1053,'сентябрь 2023'!$D$4:$D$1053,$B175,'сентябрь 2023'!$J$4:$J$1053,Q$1)</f>
        <v>0</v>
      </c>
      <c r="R175" s="207">
        <f>SUMIFS('сентябрь 2023'!$G$4:$G$1053,'сентябрь 2023'!$D$4:$D$1053,$B175,'сентябрь 2023'!$J$4:$J$1053,R$1)</f>
        <v>0</v>
      </c>
      <c r="S175" s="207">
        <f>SUMIFS('сентябрь 2023'!$G$4:$G$1053,'сентябрь 2023'!$D$4:$D$1053,$B175,'сентябрь 2023'!$J$4:$J$1053,S$1)</f>
        <v>0</v>
      </c>
      <c r="T175" s="207">
        <f>SUMIFS('сентябрь 2023'!$G$4:$G$1053,'сентябрь 2023'!$D$4:$D$1053,$B175,'сентябрь 2023'!$J$4:$J$1053,T$1)</f>
        <v>0</v>
      </c>
      <c r="U175" s="207">
        <f>SUMIFS('сентябрь 2023'!$G$4:$G$1053,'сентябрь 2023'!$D$4:$D$1053,$B175,'сентябрь 2023'!$J$4:$J$1053,U$1)</f>
        <v>0</v>
      </c>
      <c r="V175" s="207">
        <f>SUMIFS('сентябрь 2023'!$G$4:$G$1053,'сентябрь 2023'!$D$4:$D$1053,$B175,'сентябрь 2023'!$J$4:$J$1053,V$1)</f>
        <v>0</v>
      </c>
      <c r="W175" s="207">
        <f>SUMIFS('сентябрь 2023'!$G$4:$G$1053,'сентябрь 2023'!$D$4:$D$1053,$B175,'сентябрь 2023'!$J$4:$J$1053,W$1)</f>
        <v>0</v>
      </c>
      <c r="X175" s="207">
        <f>SUMIFS('сентябрь 2023'!$G$4:$G$1053,'сентябрь 2023'!$D$4:$D$1053,$B175,'сентябрь 2023'!$J$4:$J$1053,X$1)</f>
        <v>0</v>
      </c>
      <c r="Y175" s="207">
        <f>SUMIFS('сентябрь 2023'!$G$4:$G$1053,'сентябрь 2023'!$D$4:$D$1053,$B175,'сентябрь 2023'!$J$4:$J$1053,Y$1)</f>
        <v>0</v>
      </c>
      <c r="Z175" s="207">
        <f>SUMIFS('сентябрь 2023'!$G$4:$G$1053,'сентябрь 2023'!$D$4:$D$1053,$B175,'сентябрь 2023'!$J$4:$J$1053,Z$1)</f>
        <v>0</v>
      </c>
      <c r="AA175" s="207">
        <f>SUMIFS('сентябрь 2023'!$G$4:$G$1053,'сентябрь 2023'!$D$4:$D$1053,$B175,'сентябрь 2023'!$J$4:$J$1053,AA$1)</f>
        <v>0</v>
      </c>
      <c r="AB175" s="207">
        <f>SUMIFS('сентябрь 2023'!$G$4:$G$1053,'сентябрь 2023'!$D$4:$D$1053,$B175,'сентябрь 2023'!$J$4:$J$1053,AB$1)</f>
        <v>0</v>
      </c>
      <c r="AC175" s="207">
        <f>SUMIFS('сентябрь 2023'!$G$4:$G$1053,'сентябрь 2023'!$D$4:$D$1053,$B175,'сентябрь 2023'!$J$4:$J$1053,AC$1)</f>
        <v>0</v>
      </c>
      <c r="AD175" s="207">
        <f>SUMIFS('сентябрь 2023'!$G$4:$G$1053,'сентябрь 2023'!$D$4:$D$1053,$B175,'сентябрь 2023'!$J$4:$J$1053,AD$1)</f>
        <v>0</v>
      </c>
      <c r="AE175" s="207">
        <f>SUMIFS('сентябрь 2023'!$G$4:$G$1053,'сентябрь 2023'!$D$4:$D$1053,$B175,'сентябрь 2023'!$J$4:$J$1053,AE$1)</f>
        <v>0</v>
      </c>
      <c r="AF175" s="207">
        <f>SUMIFS('сентябрь 2023'!$G$4:$G$1053,'сентябрь 2023'!$D$4:$D$1053,$B175,'сентябрь 2023'!$J$4:$J$1053,AF$1)</f>
        <v>0</v>
      </c>
      <c r="AG175" s="207">
        <f>SUMIFS('сентябрь 2023'!$G$4:$G$1053,'сентябрь 2023'!$D$4:$D$1053,$B175,'сентябрь 2023'!$J$4:$J$1053,AG$1)</f>
        <v>0</v>
      </c>
      <c r="AH175" s="207">
        <f>SUMIFS('сентябрь 2023'!$G$4:$G$1053,'сентябрь 2023'!$D$4:$D$1053,$B175,'сентябрь 2023'!$J$4:$J$1053,AH$1)</f>
        <v>0</v>
      </c>
      <c r="AI175" s="220">
        <f t="shared" si="4"/>
        <v>0</v>
      </c>
    </row>
    <row r="176" spans="2:35" ht="15.75" hidden="1" x14ac:dyDescent="0.25">
      <c r="B176" s="212"/>
      <c r="C176" s="211"/>
      <c r="D176" s="207">
        <f>SUMIFS('сентябрь 2023'!$G$4:$G$1053,'сентябрь 2023'!$D$4:$D$1053,$B176,'сентябрь 2023'!$J$4:$J$1053,D$1)</f>
        <v>0</v>
      </c>
      <c r="E176" s="207">
        <f>SUMIFS('сентябрь 2023'!$G$4:$G$1053,'сентябрь 2023'!$D$4:$D$1053,$B176,'сентябрь 2023'!$J$4:$J$1053,E$1)</f>
        <v>0</v>
      </c>
      <c r="F176" s="207">
        <f>SUMIFS('сентябрь 2023'!$G$4:$G$1053,'сентябрь 2023'!$D$4:$D$1053,$B176,'сентябрь 2023'!$J$4:$J$1053,F$1)</f>
        <v>0</v>
      </c>
      <c r="G176" s="207">
        <f>SUMIFS('сентябрь 2023'!$G$4:$G$1053,'сентябрь 2023'!$D$4:$D$1053,$B176,'сентябрь 2023'!$J$4:$J$1053,G$1)</f>
        <v>0</v>
      </c>
      <c r="H176" s="207">
        <f>SUMIFS('сентябрь 2023'!$G$4:$G$1053,'сентябрь 2023'!$D$4:$D$1053,$B176,'сентябрь 2023'!$J$4:$J$1053,H$1)</f>
        <v>0</v>
      </c>
      <c r="I176" s="207">
        <f>SUMIFS('сентябрь 2023'!$G$4:$G$1053,'сентябрь 2023'!$D$4:$D$1053,$B176,'сентябрь 2023'!$J$4:$J$1053,I$1)</f>
        <v>0</v>
      </c>
      <c r="J176" s="207">
        <f>SUMIFS('сентябрь 2023'!$G$4:$G$1053,'сентябрь 2023'!$D$4:$D$1053,$B176,'сентябрь 2023'!$J$4:$J$1053,J$1)</f>
        <v>0</v>
      </c>
      <c r="K176" s="207">
        <f>SUMIFS('сентябрь 2023'!$G$4:$G$1053,'сентябрь 2023'!$D$4:$D$1053,$B176,'сентябрь 2023'!$J$4:$J$1053,K$1)</f>
        <v>0</v>
      </c>
      <c r="L176" s="207">
        <f>SUMIFS('сентябрь 2023'!$G$4:$G$1053,'сентябрь 2023'!$D$4:$D$1053,$B176,'сентябрь 2023'!$J$4:$J$1053,L$1)</f>
        <v>0</v>
      </c>
      <c r="M176" s="207">
        <f>SUMIFS('сентябрь 2023'!$G$4:$G$1053,'сентябрь 2023'!$D$4:$D$1053,$B176,'сентябрь 2023'!$J$4:$J$1053,M$1)</f>
        <v>0</v>
      </c>
      <c r="N176" s="207">
        <f>SUMIFS('сентябрь 2023'!$G$4:$G$1053,'сентябрь 2023'!$D$4:$D$1053,$B176,'сентябрь 2023'!$J$4:$J$1053,N$1)</f>
        <v>0</v>
      </c>
      <c r="O176" s="207">
        <f>SUMIFS('сентябрь 2023'!$G$4:$G$1053,'сентябрь 2023'!$D$4:$D$1053,$B176,'сентябрь 2023'!$J$4:$J$1053,O$1)</f>
        <v>0</v>
      </c>
      <c r="P176" s="207">
        <f>SUMIFS('сентябрь 2023'!$G$4:$G$1053,'сентябрь 2023'!$D$4:$D$1053,$B176,'сентябрь 2023'!$J$4:$J$1053,P$1)</f>
        <v>0</v>
      </c>
      <c r="Q176" s="207">
        <f>SUMIFS('сентябрь 2023'!$G$4:$G$1053,'сентябрь 2023'!$D$4:$D$1053,$B176,'сентябрь 2023'!$J$4:$J$1053,Q$1)</f>
        <v>0</v>
      </c>
      <c r="R176" s="207">
        <f>SUMIFS('сентябрь 2023'!$G$4:$G$1053,'сентябрь 2023'!$D$4:$D$1053,$B176,'сентябрь 2023'!$J$4:$J$1053,R$1)</f>
        <v>0</v>
      </c>
      <c r="S176" s="207">
        <f>SUMIFS('сентябрь 2023'!$G$4:$G$1053,'сентябрь 2023'!$D$4:$D$1053,$B176,'сентябрь 2023'!$J$4:$J$1053,S$1)</f>
        <v>0</v>
      </c>
      <c r="T176" s="207">
        <f>SUMIFS('сентябрь 2023'!$G$4:$G$1053,'сентябрь 2023'!$D$4:$D$1053,$B176,'сентябрь 2023'!$J$4:$J$1053,T$1)</f>
        <v>0</v>
      </c>
      <c r="U176" s="207">
        <f>SUMIFS('сентябрь 2023'!$G$4:$G$1053,'сентябрь 2023'!$D$4:$D$1053,$B176,'сентябрь 2023'!$J$4:$J$1053,U$1)</f>
        <v>0</v>
      </c>
      <c r="V176" s="207">
        <f>SUMIFS('сентябрь 2023'!$G$4:$G$1053,'сентябрь 2023'!$D$4:$D$1053,$B176,'сентябрь 2023'!$J$4:$J$1053,V$1)</f>
        <v>0</v>
      </c>
      <c r="W176" s="207">
        <f>SUMIFS('сентябрь 2023'!$G$4:$G$1053,'сентябрь 2023'!$D$4:$D$1053,$B176,'сентябрь 2023'!$J$4:$J$1053,W$1)</f>
        <v>0</v>
      </c>
      <c r="X176" s="207">
        <f>SUMIFS('сентябрь 2023'!$G$4:$G$1053,'сентябрь 2023'!$D$4:$D$1053,$B176,'сентябрь 2023'!$J$4:$J$1053,X$1)</f>
        <v>0</v>
      </c>
      <c r="Y176" s="207">
        <f>SUMIFS('сентябрь 2023'!$G$4:$G$1053,'сентябрь 2023'!$D$4:$D$1053,$B176,'сентябрь 2023'!$J$4:$J$1053,Y$1)</f>
        <v>0</v>
      </c>
      <c r="Z176" s="207">
        <f>SUMIFS('сентябрь 2023'!$G$4:$G$1053,'сентябрь 2023'!$D$4:$D$1053,$B176,'сентябрь 2023'!$J$4:$J$1053,Z$1)</f>
        <v>0</v>
      </c>
      <c r="AA176" s="207">
        <f>SUMIFS('сентябрь 2023'!$G$4:$G$1053,'сентябрь 2023'!$D$4:$D$1053,$B176,'сентябрь 2023'!$J$4:$J$1053,AA$1)</f>
        <v>0</v>
      </c>
      <c r="AB176" s="207">
        <f>SUMIFS('сентябрь 2023'!$G$4:$G$1053,'сентябрь 2023'!$D$4:$D$1053,$B176,'сентябрь 2023'!$J$4:$J$1053,AB$1)</f>
        <v>0</v>
      </c>
      <c r="AC176" s="207">
        <f>SUMIFS('сентябрь 2023'!$G$4:$G$1053,'сентябрь 2023'!$D$4:$D$1053,$B176,'сентябрь 2023'!$J$4:$J$1053,AC$1)</f>
        <v>0</v>
      </c>
      <c r="AD176" s="207">
        <f>SUMIFS('сентябрь 2023'!$G$4:$G$1053,'сентябрь 2023'!$D$4:$D$1053,$B176,'сентябрь 2023'!$J$4:$J$1053,AD$1)</f>
        <v>0</v>
      </c>
      <c r="AE176" s="207">
        <f>SUMIFS('сентябрь 2023'!$G$4:$G$1053,'сентябрь 2023'!$D$4:$D$1053,$B176,'сентябрь 2023'!$J$4:$J$1053,AE$1)</f>
        <v>0</v>
      </c>
      <c r="AF176" s="207">
        <f>SUMIFS('сентябрь 2023'!$G$4:$G$1053,'сентябрь 2023'!$D$4:$D$1053,$B176,'сентябрь 2023'!$J$4:$J$1053,AF$1)</f>
        <v>0</v>
      </c>
      <c r="AG176" s="207">
        <f>SUMIFS('сентябрь 2023'!$G$4:$G$1053,'сентябрь 2023'!$D$4:$D$1053,$B176,'сентябрь 2023'!$J$4:$J$1053,AG$1)</f>
        <v>0</v>
      </c>
      <c r="AH176" s="207">
        <f>SUMIFS('сентябрь 2023'!$G$4:$G$1053,'сентябрь 2023'!$D$4:$D$1053,$B176,'сентябрь 2023'!$J$4:$J$1053,AH$1)</f>
        <v>0</v>
      </c>
      <c r="AI176" s="220">
        <f t="shared" si="4"/>
        <v>0</v>
      </c>
    </row>
    <row r="177" spans="2:35" ht="15.75" hidden="1" x14ac:dyDescent="0.25">
      <c r="B177" s="212"/>
      <c r="C177" s="211"/>
      <c r="D177" s="207">
        <f>SUMIFS('сентябрь 2023'!$G$4:$G$1053,'сентябрь 2023'!$D$4:$D$1053,$B177,'сентябрь 2023'!$J$4:$J$1053,D$1)</f>
        <v>0</v>
      </c>
      <c r="E177" s="207">
        <f>SUMIFS('сентябрь 2023'!$G$4:$G$1053,'сентябрь 2023'!$D$4:$D$1053,$B177,'сентябрь 2023'!$J$4:$J$1053,E$1)</f>
        <v>0</v>
      </c>
      <c r="F177" s="207">
        <f>SUMIFS('сентябрь 2023'!$G$4:$G$1053,'сентябрь 2023'!$D$4:$D$1053,$B177,'сентябрь 2023'!$J$4:$J$1053,F$1)</f>
        <v>0</v>
      </c>
      <c r="G177" s="207">
        <f>SUMIFS('сентябрь 2023'!$G$4:$G$1053,'сентябрь 2023'!$D$4:$D$1053,$B177,'сентябрь 2023'!$J$4:$J$1053,G$1)</f>
        <v>0</v>
      </c>
      <c r="H177" s="207">
        <f>SUMIFS('сентябрь 2023'!$G$4:$G$1053,'сентябрь 2023'!$D$4:$D$1053,$B177,'сентябрь 2023'!$J$4:$J$1053,H$1)</f>
        <v>0</v>
      </c>
      <c r="I177" s="207">
        <f>SUMIFS('сентябрь 2023'!$G$4:$G$1053,'сентябрь 2023'!$D$4:$D$1053,$B177,'сентябрь 2023'!$J$4:$J$1053,I$1)</f>
        <v>0</v>
      </c>
      <c r="J177" s="207">
        <f>SUMIFS('сентябрь 2023'!$G$4:$G$1053,'сентябрь 2023'!$D$4:$D$1053,$B177,'сентябрь 2023'!$J$4:$J$1053,J$1)</f>
        <v>0</v>
      </c>
      <c r="K177" s="207">
        <f>SUMIFS('сентябрь 2023'!$G$4:$G$1053,'сентябрь 2023'!$D$4:$D$1053,$B177,'сентябрь 2023'!$J$4:$J$1053,K$1)</f>
        <v>0</v>
      </c>
      <c r="L177" s="207">
        <f>SUMIFS('сентябрь 2023'!$G$4:$G$1053,'сентябрь 2023'!$D$4:$D$1053,$B177,'сентябрь 2023'!$J$4:$J$1053,L$1)</f>
        <v>0</v>
      </c>
      <c r="M177" s="207">
        <f>SUMIFS('сентябрь 2023'!$G$4:$G$1053,'сентябрь 2023'!$D$4:$D$1053,$B177,'сентябрь 2023'!$J$4:$J$1053,M$1)</f>
        <v>0</v>
      </c>
      <c r="N177" s="207">
        <f>SUMIFS('сентябрь 2023'!$G$4:$G$1053,'сентябрь 2023'!$D$4:$D$1053,$B177,'сентябрь 2023'!$J$4:$J$1053,N$1)</f>
        <v>0</v>
      </c>
      <c r="O177" s="207">
        <f>SUMIFS('сентябрь 2023'!$G$4:$G$1053,'сентябрь 2023'!$D$4:$D$1053,$B177,'сентябрь 2023'!$J$4:$J$1053,O$1)</f>
        <v>0</v>
      </c>
      <c r="P177" s="207">
        <f>SUMIFS('сентябрь 2023'!$G$4:$G$1053,'сентябрь 2023'!$D$4:$D$1053,$B177,'сентябрь 2023'!$J$4:$J$1053,P$1)</f>
        <v>0</v>
      </c>
      <c r="Q177" s="207">
        <f>SUMIFS('сентябрь 2023'!$G$4:$G$1053,'сентябрь 2023'!$D$4:$D$1053,$B177,'сентябрь 2023'!$J$4:$J$1053,Q$1)</f>
        <v>0</v>
      </c>
      <c r="R177" s="207">
        <f>SUMIFS('сентябрь 2023'!$G$4:$G$1053,'сентябрь 2023'!$D$4:$D$1053,$B177,'сентябрь 2023'!$J$4:$J$1053,R$1)</f>
        <v>0</v>
      </c>
      <c r="S177" s="207">
        <f>SUMIFS('сентябрь 2023'!$G$4:$G$1053,'сентябрь 2023'!$D$4:$D$1053,$B177,'сентябрь 2023'!$J$4:$J$1053,S$1)</f>
        <v>0</v>
      </c>
      <c r="T177" s="207">
        <f>SUMIFS('сентябрь 2023'!$G$4:$G$1053,'сентябрь 2023'!$D$4:$D$1053,$B177,'сентябрь 2023'!$J$4:$J$1053,T$1)</f>
        <v>0</v>
      </c>
      <c r="U177" s="207">
        <f>SUMIFS('сентябрь 2023'!$G$4:$G$1053,'сентябрь 2023'!$D$4:$D$1053,$B177,'сентябрь 2023'!$J$4:$J$1053,U$1)</f>
        <v>0</v>
      </c>
      <c r="V177" s="207">
        <f>SUMIFS('сентябрь 2023'!$G$4:$G$1053,'сентябрь 2023'!$D$4:$D$1053,$B177,'сентябрь 2023'!$J$4:$J$1053,V$1)</f>
        <v>0</v>
      </c>
      <c r="W177" s="207">
        <f>SUMIFS('сентябрь 2023'!$G$4:$G$1053,'сентябрь 2023'!$D$4:$D$1053,$B177,'сентябрь 2023'!$J$4:$J$1053,W$1)</f>
        <v>0</v>
      </c>
      <c r="X177" s="207">
        <f>SUMIFS('сентябрь 2023'!$G$4:$G$1053,'сентябрь 2023'!$D$4:$D$1053,$B177,'сентябрь 2023'!$J$4:$J$1053,X$1)</f>
        <v>0</v>
      </c>
      <c r="Y177" s="207">
        <f>SUMIFS('сентябрь 2023'!$G$4:$G$1053,'сентябрь 2023'!$D$4:$D$1053,$B177,'сентябрь 2023'!$J$4:$J$1053,Y$1)</f>
        <v>0</v>
      </c>
      <c r="Z177" s="207">
        <f>SUMIFS('сентябрь 2023'!$G$4:$G$1053,'сентябрь 2023'!$D$4:$D$1053,$B177,'сентябрь 2023'!$J$4:$J$1053,Z$1)</f>
        <v>0</v>
      </c>
      <c r="AA177" s="207">
        <f>SUMIFS('сентябрь 2023'!$G$4:$G$1053,'сентябрь 2023'!$D$4:$D$1053,$B177,'сентябрь 2023'!$J$4:$J$1053,AA$1)</f>
        <v>0</v>
      </c>
      <c r="AB177" s="207">
        <f>SUMIFS('сентябрь 2023'!$G$4:$G$1053,'сентябрь 2023'!$D$4:$D$1053,$B177,'сентябрь 2023'!$J$4:$J$1053,AB$1)</f>
        <v>0</v>
      </c>
      <c r="AC177" s="207">
        <f>SUMIFS('сентябрь 2023'!$G$4:$G$1053,'сентябрь 2023'!$D$4:$D$1053,$B177,'сентябрь 2023'!$J$4:$J$1053,AC$1)</f>
        <v>0</v>
      </c>
      <c r="AD177" s="207">
        <f>SUMIFS('сентябрь 2023'!$G$4:$G$1053,'сентябрь 2023'!$D$4:$D$1053,$B177,'сентябрь 2023'!$J$4:$J$1053,AD$1)</f>
        <v>0</v>
      </c>
      <c r="AE177" s="207">
        <f>SUMIFS('сентябрь 2023'!$G$4:$G$1053,'сентябрь 2023'!$D$4:$D$1053,$B177,'сентябрь 2023'!$J$4:$J$1053,AE$1)</f>
        <v>0</v>
      </c>
      <c r="AF177" s="207">
        <f>SUMIFS('сентябрь 2023'!$G$4:$G$1053,'сентябрь 2023'!$D$4:$D$1053,$B177,'сентябрь 2023'!$J$4:$J$1053,AF$1)</f>
        <v>0</v>
      </c>
      <c r="AG177" s="207">
        <f>SUMIFS('сентябрь 2023'!$G$4:$G$1053,'сентябрь 2023'!$D$4:$D$1053,$B177,'сентябрь 2023'!$J$4:$J$1053,AG$1)</f>
        <v>0</v>
      </c>
      <c r="AH177" s="207">
        <f>SUMIFS('сентябрь 2023'!$G$4:$G$1053,'сентябрь 2023'!$D$4:$D$1053,$B177,'сентябрь 2023'!$J$4:$J$1053,AH$1)</f>
        <v>0</v>
      </c>
      <c r="AI177" s="220">
        <f t="shared" si="4"/>
        <v>0</v>
      </c>
    </row>
    <row r="178" spans="2:35" ht="15.75" hidden="1" x14ac:dyDescent="0.25">
      <c r="B178" s="212"/>
      <c r="C178" s="211"/>
      <c r="D178" s="207">
        <f>SUMIFS('сентябрь 2023'!$G$4:$G$1053,'сентябрь 2023'!$D$4:$D$1053,$B178,'сентябрь 2023'!$J$4:$J$1053,D$1)</f>
        <v>0</v>
      </c>
      <c r="E178" s="207">
        <f>SUMIFS('сентябрь 2023'!$G$4:$G$1053,'сентябрь 2023'!$D$4:$D$1053,$B178,'сентябрь 2023'!$J$4:$J$1053,E$1)</f>
        <v>0</v>
      </c>
      <c r="F178" s="207">
        <f>SUMIFS('сентябрь 2023'!$G$4:$G$1053,'сентябрь 2023'!$D$4:$D$1053,$B178,'сентябрь 2023'!$J$4:$J$1053,F$1)</f>
        <v>0</v>
      </c>
      <c r="G178" s="207">
        <f>SUMIFS('сентябрь 2023'!$G$4:$G$1053,'сентябрь 2023'!$D$4:$D$1053,$B178,'сентябрь 2023'!$J$4:$J$1053,G$1)</f>
        <v>0</v>
      </c>
      <c r="H178" s="207">
        <f>SUMIFS('сентябрь 2023'!$G$4:$G$1053,'сентябрь 2023'!$D$4:$D$1053,$B178,'сентябрь 2023'!$J$4:$J$1053,H$1)</f>
        <v>0</v>
      </c>
      <c r="I178" s="207">
        <f>SUMIFS('сентябрь 2023'!$G$4:$G$1053,'сентябрь 2023'!$D$4:$D$1053,$B178,'сентябрь 2023'!$J$4:$J$1053,I$1)</f>
        <v>0</v>
      </c>
      <c r="J178" s="207">
        <f>SUMIFS('сентябрь 2023'!$G$4:$G$1053,'сентябрь 2023'!$D$4:$D$1053,$B178,'сентябрь 2023'!$J$4:$J$1053,J$1)</f>
        <v>0</v>
      </c>
      <c r="K178" s="207">
        <f>SUMIFS('сентябрь 2023'!$G$4:$G$1053,'сентябрь 2023'!$D$4:$D$1053,$B178,'сентябрь 2023'!$J$4:$J$1053,K$1)</f>
        <v>0</v>
      </c>
      <c r="L178" s="207">
        <f>SUMIFS('сентябрь 2023'!$G$4:$G$1053,'сентябрь 2023'!$D$4:$D$1053,$B178,'сентябрь 2023'!$J$4:$J$1053,L$1)</f>
        <v>0</v>
      </c>
      <c r="M178" s="207">
        <f>SUMIFS('сентябрь 2023'!$G$4:$G$1053,'сентябрь 2023'!$D$4:$D$1053,$B178,'сентябрь 2023'!$J$4:$J$1053,M$1)</f>
        <v>0</v>
      </c>
      <c r="N178" s="207">
        <f>SUMIFS('сентябрь 2023'!$G$4:$G$1053,'сентябрь 2023'!$D$4:$D$1053,$B178,'сентябрь 2023'!$J$4:$J$1053,N$1)</f>
        <v>0</v>
      </c>
      <c r="O178" s="207">
        <f>SUMIFS('сентябрь 2023'!$G$4:$G$1053,'сентябрь 2023'!$D$4:$D$1053,$B178,'сентябрь 2023'!$J$4:$J$1053,O$1)</f>
        <v>0</v>
      </c>
      <c r="P178" s="207">
        <f>SUMIFS('сентябрь 2023'!$G$4:$G$1053,'сентябрь 2023'!$D$4:$D$1053,$B178,'сентябрь 2023'!$J$4:$J$1053,P$1)</f>
        <v>0</v>
      </c>
      <c r="Q178" s="207">
        <f>SUMIFS('сентябрь 2023'!$G$4:$G$1053,'сентябрь 2023'!$D$4:$D$1053,$B178,'сентябрь 2023'!$J$4:$J$1053,Q$1)</f>
        <v>0</v>
      </c>
      <c r="R178" s="207">
        <f>SUMIFS('сентябрь 2023'!$G$4:$G$1053,'сентябрь 2023'!$D$4:$D$1053,$B178,'сентябрь 2023'!$J$4:$J$1053,R$1)</f>
        <v>0</v>
      </c>
      <c r="S178" s="207">
        <f>SUMIFS('сентябрь 2023'!$G$4:$G$1053,'сентябрь 2023'!$D$4:$D$1053,$B178,'сентябрь 2023'!$J$4:$J$1053,S$1)</f>
        <v>0</v>
      </c>
      <c r="T178" s="207">
        <f>SUMIFS('сентябрь 2023'!$G$4:$G$1053,'сентябрь 2023'!$D$4:$D$1053,$B178,'сентябрь 2023'!$J$4:$J$1053,T$1)</f>
        <v>0</v>
      </c>
      <c r="U178" s="207">
        <f>SUMIFS('сентябрь 2023'!$G$4:$G$1053,'сентябрь 2023'!$D$4:$D$1053,$B178,'сентябрь 2023'!$J$4:$J$1053,U$1)</f>
        <v>0</v>
      </c>
      <c r="V178" s="207">
        <f>SUMIFS('сентябрь 2023'!$G$4:$G$1053,'сентябрь 2023'!$D$4:$D$1053,$B178,'сентябрь 2023'!$J$4:$J$1053,V$1)</f>
        <v>0</v>
      </c>
      <c r="W178" s="207">
        <f>SUMIFS('сентябрь 2023'!$G$4:$G$1053,'сентябрь 2023'!$D$4:$D$1053,$B178,'сентябрь 2023'!$J$4:$J$1053,W$1)</f>
        <v>0</v>
      </c>
      <c r="X178" s="207">
        <f>SUMIFS('сентябрь 2023'!$G$4:$G$1053,'сентябрь 2023'!$D$4:$D$1053,$B178,'сентябрь 2023'!$J$4:$J$1053,X$1)</f>
        <v>0</v>
      </c>
      <c r="Y178" s="207">
        <f>SUMIFS('сентябрь 2023'!$G$4:$G$1053,'сентябрь 2023'!$D$4:$D$1053,$B178,'сентябрь 2023'!$J$4:$J$1053,Y$1)</f>
        <v>0</v>
      </c>
      <c r="Z178" s="207">
        <f>SUMIFS('сентябрь 2023'!$G$4:$G$1053,'сентябрь 2023'!$D$4:$D$1053,$B178,'сентябрь 2023'!$J$4:$J$1053,Z$1)</f>
        <v>0</v>
      </c>
      <c r="AA178" s="207">
        <f>SUMIFS('сентябрь 2023'!$G$4:$G$1053,'сентябрь 2023'!$D$4:$D$1053,$B178,'сентябрь 2023'!$J$4:$J$1053,AA$1)</f>
        <v>0</v>
      </c>
      <c r="AB178" s="207">
        <f>SUMIFS('сентябрь 2023'!$G$4:$G$1053,'сентябрь 2023'!$D$4:$D$1053,$B178,'сентябрь 2023'!$J$4:$J$1053,AB$1)</f>
        <v>0</v>
      </c>
      <c r="AC178" s="207">
        <f>SUMIFS('сентябрь 2023'!$G$4:$G$1053,'сентябрь 2023'!$D$4:$D$1053,$B178,'сентябрь 2023'!$J$4:$J$1053,AC$1)</f>
        <v>0</v>
      </c>
      <c r="AD178" s="207">
        <f>SUMIFS('сентябрь 2023'!$G$4:$G$1053,'сентябрь 2023'!$D$4:$D$1053,$B178,'сентябрь 2023'!$J$4:$J$1053,AD$1)</f>
        <v>0</v>
      </c>
      <c r="AE178" s="207">
        <f>SUMIFS('сентябрь 2023'!$G$4:$G$1053,'сентябрь 2023'!$D$4:$D$1053,$B178,'сентябрь 2023'!$J$4:$J$1053,AE$1)</f>
        <v>0</v>
      </c>
      <c r="AF178" s="207">
        <f>SUMIFS('сентябрь 2023'!$G$4:$G$1053,'сентябрь 2023'!$D$4:$D$1053,$B178,'сентябрь 2023'!$J$4:$J$1053,AF$1)</f>
        <v>0</v>
      </c>
      <c r="AG178" s="207">
        <f>SUMIFS('сентябрь 2023'!$G$4:$G$1053,'сентябрь 2023'!$D$4:$D$1053,$B178,'сентябрь 2023'!$J$4:$J$1053,AG$1)</f>
        <v>0</v>
      </c>
      <c r="AH178" s="207">
        <f>SUMIFS('сентябрь 2023'!$G$4:$G$1053,'сентябрь 2023'!$D$4:$D$1053,$B178,'сентябрь 2023'!$J$4:$J$1053,AH$1)</f>
        <v>0</v>
      </c>
      <c r="AI178" s="220">
        <f t="shared" si="4"/>
        <v>0</v>
      </c>
    </row>
    <row r="179" spans="2:35" ht="15.75" hidden="1" x14ac:dyDescent="0.25">
      <c r="B179" s="212"/>
      <c r="C179" s="211"/>
      <c r="D179" s="207">
        <f>SUMIFS('сентябрь 2023'!$G$4:$G$1053,'сентябрь 2023'!$D$4:$D$1053,$B179,'сентябрь 2023'!$J$4:$J$1053,D$1)</f>
        <v>0</v>
      </c>
      <c r="E179" s="207">
        <f>SUMIFS('сентябрь 2023'!$G$4:$G$1053,'сентябрь 2023'!$D$4:$D$1053,$B179,'сентябрь 2023'!$J$4:$J$1053,E$1)</f>
        <v>0</v>
      </c>
      <c r="F179" s="207">
        <f>SUMIFS('сентябрь 2023'!$G$4:$G$1053,'сентябрь 2023'!$D$4:$D$1053,$B179,'сентябрь 2023'!$J$4:$J$1053,F$1)</f>
        <v>0</v>
      </c>
      <c r="G179" s="207">
        <f>SUMIFS('сентябрь 2023'!$G$4:$G$1053,'сентябрь 2023'!$D$4:$D$1053,$B179,'сентябрь 2023'!$J$4:$J$1053,G$1)</f>
        <v>0</v>
      </c>
      <c r="H179" s="207">
        <f>SUMIFS('сентябрь 2023'!$G$4:$G$1053,'сентябрь 2023'!$D$4:$D$1053,$B179,'сентябрь 2023'!$J$4:$J$1053,H$1)</f>
        <v>0</v>
      </c>
      <c r="I179" s="207">
        <f>SUMIFS('сентябрь 2023'!$G$4:$G$1053,'сентябрь 2023'!$D$4:$D$1053,$B179,'сентябрь 2023'!$J$4:$J$1053,I$1)</f>
        <v>0</v>
      </c>
      <c r="J179" s="207">
        <f>SUMIFS('сентябрь 2023'!$G$4:$G$1053,'сентябрь 2023'!$D$4:$D$1053,$B179,'сентябрь 2023'!$J$4:$J$1053,J$1)</f>
        <v>0</v>
      </c>
      <c r="K179" s="207">
        <f>SUMIFS('сентябрь 2023'!$G$4:$G$1053,'сентябрь 2023'!$D$4:$D$1053,$B179,'сентябрь 2023'!$J$4:$J$1053,K$1)</f>
        <v>0</v>
      </c>
      <c r="L179" s="207">
        <f>SUMIFS('сентябрь 2023'!$G$4:$G$1053,'сентябрь 2023'!$D$4:$D$1053,$B179,'сентябрь 2023'!$J$4:$J$1053,L$1)</f>
        <v>0</v>
      </c>
      <c r="M179" s="207">
        <f>SUMIFS('сентябрь 2023'!$G$4:$G$1053,'сентябрь 2023'!$D$4:$D$1053,$B179,'сентябрь 2023'!$J$4:$J$1053,M$1)</f>
        <v>0</v>
      </c>
      <c r="N179" s="207">
        <f>SUMIFS('сентябрь 2023'!$G$4:$G$1053,'сентябрь 2023'!$D$4:$D$1053,$B179,'сентябрь 2023'!$J$4:$J$1053,N$1)</f>
        <v>0</v>
      </c>
      <c r="O179" s="207">
        <f>SUMIFS('сентябрь 2023'!$G$4:$G$1053,'сентябрь 2023'!$D$4:$D$1053,$B179,'сентябрь 2023'!$J$4:$J$1053,O$1)</f>
        <v>0</v>
      </c>
      <c r="P179" s="207">
        <f>SUMIFS('сентябрь 2023'!$G$4:$G$1053,'сентябрь 2023'!$D$4:$D$1053,$B179,'сентябрь 2023'!$J$4:$J$1053,P$1)</f>
        <v>0</v>
      </c>
      <c r="Q179" s="207">
        <f>SUMIFS('сентябрь 2023'!$G$4:$G$1053,'сентябрь 2023'!$D$4:$D$1053,$B179,'сентябрь 2023'!$J$4:$J$1053,Q$1)</f>
        <v>0</v>
      </c>
      <c r="R179" s="207">
        <f>SUMIFS('сентябрь 2023'!$G$4:$G$1053,'сентябрь 2023'!$D$4:$D$1053,$B179,'сентябрь 2023'!$J$4:$J$1053,R$1)</f>
        <v>0</v>
      </c>
      <c r="S179" s="207">
        <f>SUMIFS('сентябрь 2023'!$G$4:$G$1053,'сентябрь 2023'!$D$4:$D$1053,$B179,'сентябрь 2023'!$J$4:$J$1053,S$1)</f>
        <v>0</v>
      </c>
      <c r="T179" s="207">
        <f>SUMIFS('сентябрь 2023'!$G$4:$G$1053,'сентябрь 2023'!$D$4:$D$1053,$B179,'сентябрь 2023'!$J$4:$J$1053,T$1)</f>
        <v>0</v>
      </c>
      <c r="U179" s="207">
        <f>SUMIFS('сентябрь 2023'!$G$4:$G$1053,'сентябрь 2023'!$D$4:$D$1053,$B179,'сентябрь 2023'!$J$4:$J$1053,U$1)</f>
        <v>0</v>
      </c>
      <c r="V179" s="207">
        <f>SUMIFS('сентябрь 2023'!$G$4:$G$1053,'сентябрь 2023'!$D$4:$D$1053,$B179,'сентябрь 2023'!$J$4:$J$1053,V$1)</f>
        <v>0</v>
      </c>
      <c r="W179" s="207">
        <f>SUMIFS('сентябрь 2023'!$G$4:$G$1053,'сентябрь 2023'!$D$4:$D$1053,$B179,'сентябрь 2023'!$J$4:$J$1053,W$1)</f>
        <v>0</v>
      </c>
      <c r="X179" s="207">
        <f>SUMIFS('сентябрь 2023'!$G$4:$G$1053,'сентябрь 2023'!$D$4:$D$1053,$B179,'сентябрь 2023'!$J$4:$J$1053,X$1)</f>
        <v>0</v>
      </c>
      <c r="Y179" s="207">
        <f>SUMIFS('сентябрь 2023'!$G$4:$G$1053,'сентябрь 2023'!$D$4:$D$1053,$B179,'сентябрь 2023'!$J$4:$J$1053,Y$1)</f>
        <v>0</v>
      </c>
      <c r="Z179" s="207">
        <f>SUMIFS('сентябрь 2023'!$G$4:$G$1053,'сентябрь 2023'!$D$4:$D$1053,$B179,'сентябрь 2023'!$J$4:$J$1053,Z$1)</f>
        <v>0</v>
      </c>
      <c r="AA179" s="207">
        <f>SUMIFS('сентябрь 2023'!$G$4:$G$1053,'сентябрь 2023'!$D$4:$D$1053,$B179,'сентябрь 2023'!$J$4:$J$1053,AA$1)</f>
        <v>0</v>
      </c>
      <c r="AB179" s="207">
        <f>SUMIFS('сентябрь 2023'!$G$4:$G$1053,'сентябрь 2023'!$D$4:$D$1053,$B179,'сентябрь 2023'!$J$4:$J$1053,AB$1)</f>
        <v>0</v>
      </c>
      <c r="AC179" s="207">
        <f>SUMIFS('сентябрь 2023'!$G$4:$G$1053,'сентябрь 2023'!$D$4:$D$1053,$B179,'сентябрь 2023'!$J$4:$J$1053,AC$1)</f>
        <v>0</v>
      </c>
      <c r="AD179" s="207">
        <f>SUMIFS('сентябрь 2023'!$G$4:$G$1053,'сентябрь 2023'!$D$4:$D$1053,$B179,'сентябрь 2023'!$J$4:$J$1053,AD$1)</f>
        <v>0</v>
      </c>
      <c r="AE179" s="207">
        <f>SUMIFS('сентябрь 2023'!$G$4:$G$1053,'сентябрь 2023'!$D$4:$D$1053,$B179,'сентябрь 2023'!$J$4:$J$1053,AE$1)</f>
        <v>0</v>
      </c>
      <c r="AF179" s="207">
        <f>SUMIFS('сентябрь 2023'!$G$4:$G$1053,'сентябрь 2023'!$D$4:$D$1053,$B179,'сентябрь 2023'!$J$4:$J$1053,AF$1)</f>
        <v>0</v>
      </c>
      <c r="AG179" s="207">
        <f>SUMIFS('сентябрь 2023'!$G$4:$G$1053,'сентябрь 2023'!$D$4:$D$1053,$B179,'сентябрь 2023'!$J$4:$J$1053,AG$1)</f>
        <v>0</v>
      </c>
      <c r="AH179" s="207">
        <f>SUMIFS('сентябрь 2023'!$G$4:$G$1053,'сентябрь 2023'!$D$4:$D$1053,$B179,'сентябрь 2023'!$J$4:$J$1053,AH$1)</f>
        <v>0</v>
      </c>
      <c r="AI179" s="220">
        <f t="shared" si="4"/>
        <v>0</v>
      </c>
    </row>
    <row r="180" spans="2:35" ht="15.75" hidden="1" x14ac:dyDescent="0.25">
      <c r="B180" s="212"/>
      <c r="C180" s="211"/>
      <c r="D180" s="207">
        <f>SUMIFS('сентябрь 2023'!$G$4:$G$1053,'сентябрь 2023'!$D$4:$D$1053,$B180,'сентябрь 2023'!$J$4:$J$1053,D$1)</f>
        <v>0</v>
      </c>
      <c r="E180" s="207">
        <f>SUMIFS('сентябрь 2023'!$G$4:$G$1053,'сентябрь 2023'!$D$4:$D$1053,$B180,'сентябрь 2023'!$J$4:$J$1053,E$1)</f>
        <v>0</v>
      </c>
      <c r="F180" s="207">
        <f>SUMIFS('сентябрь 2023'!$G$4:$G$1053,'сентябрь 2023'!$D$4:$D$1053,$B180,'сентябрь 2023'!$J$4:$J$1053,F$1)</f>
        <v>0</v>
      </c>
      <c r="G180" s="207">
        <f>SUMIFS('сентябрь 2023'!$G$4:$G$1053,'сентябрь 2023'!$D$4:$D$1053,$B180,'сентябрь 2023'!$J$4:$J$1053,G$1)</f>
        <v>0</v>
      </c>
      <c r="H180" s="207">
        <f>SUMIFS('сентябрь 2023'!$G$4:$G$1053,'сентябрь 2023'!$D$4:$D$1053,$B180,'сентябрь 2023'!$J$4:$J$1053,H$1)</f>
        <v>0</v>
      </c>
      <c r="I180" s="207">
        <f>SUMIFS('сентябрь 2023'!$G$4:$G$1053,'сентябрь 2023'!$D$4:$D$1053,$B180,'сентябрь 2023'!$J$4:$J$1053,I$1)</f>
        <v>0</v>
      </c>
      <c r="J180" s="207">
        <f>SUMIFS('сентябрь 2023'!$G$4:$G$1053,'сентябрь 2023'!$D$4:$D$1053,$B180,'сентябрь 2023'!$J$4:$J$1053,J$1)</f>
        <v>0</v>
      </c>
      <c r="K180" s="207">
        <f>SUMIFS('сентябрь 2023'!$G$4:$G$1053,'сентябрь 2023'!$D$4:$D$1053,$B180,'сентябрь 2023'!$J$4:$J$1053,K$1)</f>
        <v>0</v>
      </c>
      <c r="L180" s="207">
        <f>SUMIFS('сентябрь 2023'!$G$4:$G$1053,'сентябрь 2023'!$D$4:$D$1053,$B180,'сентябрь 2023'!$J$4:$J$1053,L$1)</f>
        <v>0</v>
      </c>
      <c r="M180" s="207">
        <f>SUMIFS('сентябрь 2023'!$G$4:$G$1053,'сентябрь 2023'!$D$4:$D$1053,$B180,'сентябрь 2023'!$J$4:$J$1053,M$1)</f>
        <v>0</v>
      </c>
      <c r="N180" s="207">
        <f>SUMIFS('сентябрь 2023'!$G$4:$G$1053,'сентябрь 2023'!$D$4:$D$1053,$B180,'сентябрь 2023'!$J$4:$J$1053,N$1)</f>
        <v>0</v>
      </c>
      <c r="O180" s="207">
        <f>SUMIFS('сентябрь 2023'!$G$4:$G$1053,'сентябрь 2023'!$D$4:$D$1053,$B180,'сентябрь 2023'!$J$4:$J$1053,O$1)</f>
        <v>0</v>
      </c>
      <c r="P180" s="207">
        <f>SUMIFS('сентябрь 2023'!$G$4:$G$1053,'сентябрь 2023'!$D$4:$D$1053,$B180,'сентябрь 2023'!$J$4:$J$1053,P$1)</f>
        <v>0</v>
      </c>
      <c r="Q180" s="207">
        <f>SUMIFS('сентябрь 2023'!$G$4:$G$1053,'сентябрь 2023'!$D$4:$D$1053,$B180,'сентябрь 2023'!$J$4:$J$1053,Q$1)</f>
        <v>0</v>
      </c>
      <c r="R180" s="207">
        <f>SUMIFS('сентябрь 2023'!$G$4:$G$1053,'сентябрь 2023'!$D$4:$D$1053,$B180,'сентябрь 2023'!$J$4:$J$1053,R$1)</f>
        <v>0</v>
      </c>
      <c r="S180" s="207">
        <f>SUMIFS('сентябрь 2023'!$G$4:$G$1053,'сентябрь 2023'!$D$4:$D$1053,$B180,'сентябрь 2023'!$J$4:$J$1053,S$1)</f>
        <v>0</v>
      </c>
      <c r="T180" s="207">
        <f>SUMIFS('сентябрь 2023'!$G$4:$G$1053,'сентябрь 2023'!$D$4:$D$1053,$B180,'сентябрь 2023'!$J$4:$J$1053,T$1)</f>
        <v>0</v>
      </c>
      <c r="U180" s="207">
        <f>SUMIFS('сентябрь 2023'!$G$4:$G$1053,'сентябрь 2023'!$D$4:$D$1053,$B180,'сентябрь 2023'!$J$4:$J$1053,U$1)</f>
        <v>0</v>
      </c>
      <c r="V180" s="207">
        <f>SUMIFS('сентябрь 2023'!$G$4:$G$1053,'сентябрь 2023'!$D$4:$D$1053,$B180,'сентябрь 2023'!$J$4:$J$1053,V$1)</f>
        <v>0</v>
      </c>
      <c r="W180" s="207">
        <f>SUMIFS('сентябрь 2023'!$G$4:$G$1053,'сентябрь 2023'!$D$4:$D$1053,$B180,'сентябрь 2023'!$J$4:$J$1053,W$1)</f>
        <v>0</v>
      </c>
      <c r="X180" s="207">
        <f>SUMIFS('сентябрь 2023'!$G$4:$G$1053,'сентябрь 2023'!$D$4:$D$1053,$B180,'сентябрь 2023'!$J$4:$J$1053,X$1)</f>
        <v>0</v>
      </c>
      <c r="Y180" s="207">
        <f>SUMIFS('сентябрь 2023'!$G$4:$G$1053,'сентябрь 2023'!$D$4:$D$1053,$B180,'сентябрь 2023'!$J$4:$J$1053,Y$1)</f>
        <v>0</v>
      </c>
      <c r="Z180" s="207">
        <f>SUMIFS('сентябрь 2023'!$G$4:$G$1053,'сентябрь 2023'!$D$4:$D$1053,$B180,'сентябрь 2023'!$J$4:$J$1053,Z$1)</f>
        <v>0</v>
      </c>
      <c r="AA180" s="207">
        <f>SUMIFS('сентябрь 2023'!$G$4:$G$1053,'сентябрь 2023'!$D$4:$D$1053,$B180,'сентябрь 2023'!$J$4:$J$1053,AA$1)</f>
        <v>0</v>
      </c>
      <c r="AB180" s="207">
        <f>SUMIFS('сентябрь 2023'!$G$4:$G$1053,'сентябрь 2023'!$D$4:$D$1053,$B180,'сентябрь 2023'!$J$4:$J$1053,AB$1)</f>
        <v>0</v>
      </c>
      <c r="AC180" s="207">
        <f>SUMIFS('сентябрь 2023'!$G$4:$G$1053,'сентябрь 2023'!$D$4:$D$1053,$B180,'сентябрь 2023'!$J$4:$J$1053,AC$1)</f>
        <v>0</v>
      </c>
      <c r="AD180" s="207">
        <f>SUMIFS('сентябрь 2023'!$G$4:$G$1053,'сентябрь 2023'!$D$4:$D$1053,$B180,'сентябрь 2023'!$J$4:$J$1053,AD$1)</f>
        <v>0</v>
      </c>
      <c r="AE180" s="207">
        <f>SUMIFS('сентябрь 2023'!$G$4:$G$1053,'сентябрь 2023'!$D$4:$D$1053,$B180,'сентябрь 2023'!$J$4:$J$1053,AE$1)</f>
        <v>0</v>
      </c>
      <c r="AF180" s="207">
        <f>SUMIFS('сентябрь 2023'!$G$4:$G$1053,'сентябрь 2023'!$D$4:$D$1053,$B180,'сентябрь 2023'!$J$4:$J$1053,AF$1)</f>
        <v>0</v>
      </c>
      <c r="AG180" s="207">
        <f>SUMIFS('сентябрь 2023'!$G$4:$G$1053,'сентябрь 2023'!$D$4:$D$1053,$B180,'сентябрь 2023'!$J$4:$J$1053,AG$1)</f>
        <v>0</v>
      </c>
      <c r="AH180" s="207">
        <f>SUMIFS('сентябрь 2023'!$G$4:$G$1053,'сентябрь 2023'!$D$4:$D$1053,$B180,'сентябрь 2023'!$J$4:$J$1053,AH$1)</f>
        <v>0</v>
      </c>
      <c r="AI180" s="220">
        <f t="shared" si="4"/>
        <v>0</v>
      </c>
    </row>
    <row r="181" spans="2:35" ht="15.75" hidden="1" x14ac:dyDescent="0.25">
      <c r="B181" s="212"/>
      <c r="C181" s="211"/>
      <c r="D181" s="207">
        <f>SUMIFS('сентябрь 2023'!$G$4:$G$1053,'сентябрь 2023'!$D$4:$D$1053,$B181,'сентябрь 2023'!$J$4:$J$1053,D$1)</f>
        <v>0</v>
      </c>
      <c r="E181" s="207">
        <f>SUMIFS('сентябрь 2023'!$G$4:$G$1053,'сентябрь 2023'!$D$4:$D$1053,$B181,'сентябрь 2023'!$J$4:$J$1053,E$1)</f>
        <v>0</v>
      </c>
      <c r="F181" s="207">
        <f>SUMIFS('сентябрь 2023'!$G$4:$G$1053,'сентябрь 2023'!$D$4:$D$1053,$B181,'сентябрь 2023'!$J$4:$J$1053,F$1)</f>
        <v>0</v>
      </c>
      <c r="G181" s="207">
        <f>SUMIFS('сентябрь 2023'!$G$4:$G$1053,'сентябрь 2023'!$D$4:$D$1053,$B181,'сентябрь 2023'!$J$4:$J$1053,G$1)</f>
        <v>0</v>
      </c>
      <c r="H181" s="207">
        <f>SUMIFS('сентябрь 2023'!$G$4:$G$1053,'сентябрь 2023'!$D$4:$D$1053,$B181,'сентябрь 2023'!$J$4:$J$1053,H$1)</f>
        <v>0</v>
      </c>
      <c r="I181" s="207">
        <f>SUMIFS('сентябрь 2023'!$G$4:$G$1053,'сентябрь 2023'!$D$4:$D$1053,$B181,'сентябрь 2023'!$J$4:$J$1053,I$1)</f>
        <v>0</v>
      </c>
      <c r="J181" s="207">
        <f>SUMIFS('сентябрь 2023'!$G$4:$G$1053,'сентябрь 2023'!$D$4:$D$1053,$B181,'сентябрь 2023'!$J$4:$J$1053,J$1)</f>
        <v>0</v>
      </c>
      <c r="K181" s="207">
        <f>SUMIFS('сентябрь 2023'!$G$4:$G$1053,'сентябрь 2023'!$D$4:$D$1053,$B181,'сентябрь 2023'!$J$4:$J$1053,K$1)</f>
        <v>0</v>
      </c>
      <c r="L181" s="207">
        <f>SUMIFS('сентябрь 2023'!$G$4:$G$1053,'сентябрь 2023'!$D$4:$D$1053,$B181,'сентябрь 2023'!$J$4:$J$1053,L$1)</f>
        <v>0</v>
      </c>
      <c r="M181" s="207">
        <f>SUMIFS('сентябрь 2023'!$G$4:$G$1053,'сентябрь 2023'!$D$4:$D$1053,$B181,'сентябрь 2023'!$J$4:$J$1053,M$1)</f>
        <v>0</v>
      </c>
      <c r="N181" s="207">
        <f>SUMIFS('сентябрь 2023'!$G$4:$G$1053,'сентябрь 2023'!$D$4:$D$1053,$B181,'сентябрь 2023'!$J$4:$J$1053,N$1)</f>
        <v>0</v>
      </c>
      <c r="O181" s="207">
        <f>SUMIFS('сентябрь 2023'!$G$4:$G$1053,'сентябрь 2023'!$D$4:$D$1053,$B181,'сентябрь 2023'!$J$4:$J$1053,O$1)</f>
        <v>0</v>
      </c>
      <c r="P181" s="207">
        <f>SUMIFS('сентябрь 2023'!$G$4:$G$1053,'сентябрь 2023'!$D$4:$D$1053,$B181,'сентябрь 2023'!$J$4:$J$1053,P$1)</f>
        <v>0</v>
      </c>
      <c r="Q181" s="207">
        <f>SUMIFS('сентябрь 2023'!$G$4:$G$1053,'сентябрь 2023'!$D$4:$D$1053,$B181,'сентябрь 2023'!$J$4:$J$1053,Q$1)</f>
        <v>0</v>
      </c>
      <c r="R181" s="207">
        <f>SUMIFS('сентябрь 2023'!$G$4:$G$1053,'сентябрь 2023'!$D$4:$D$1053,$B181,'сентябрь 2023'!$J$4:$J$1053,R$1)</f>
        <v>0</v>
      </c>
      <c r="S181" s="207">
        <f>SUMIFS('сентябрь 2023'!$G$4:$G$1053,'сентябрь 2023'!$D$4:$D$1053,$B181,'сентябрь 2023'!$J$4:$J$1053,S$1)</f>
        <v>0</v>
      </c>
      <c r="T181" s="207">
        <f>SUMIFS('сентябрь 2023'!$G$4:$G$1053,'сентябрь 2023'!$D$4:$D$1053,$B181,'сентябрь 2023'!$J$4:$J$1053,T$1)</f>
        <v>0</v>
      </c>
      <c r="U181" s="207">
        <f>SUMIFS('сентябрь 2023'!$G$4:$G$1053,'сентябрь 2023'!$D$4:$D$1053,$B181,'сентябрь 2023'!$J$4:$J$1053,U$1)</f>
        <v>0</v>
      </c>
      <c r="V181" s="207">
        <f>SUMIFS('сентябрь 2023'!$G$4:$G$1053,'сентябрь 2023'!$D$4:$D$1053,$B181,'сентябрь 2023'!$J$4:$J$1053,V$1)</f>
        <v>0</v>
      </c>
      <c r="W181" s="207">
        <f>SUMIFS('сентябрь 2023'!$G$4:$G$1053,'сентябрь 2023'!$D$4:$D$1053,$B181,'сентябрь 2023'!$J$4:$J$1053,W$1)</f>
        <v>0</v>
      </c>
      <c r="X181" s="207">
        <f>SUMIFS('сентябрь 2023'!$G$4:$G$1053,'сентябрь 2023'!$D$4:$D$1053,$B181,'сентябрь 2023'!$J$4:$J$1053,X$1)</f>
        <v>0</v>
      </c>
      <c r="Y181" s="207">
        <f>SUMIFS('сентябрь 2023'!$G$4:$G$1053,'сентябрь 2023'!$D$4:$D$1053,$B181,'сентябрь 2023'!$J$4:$J$1053,Y$1)</f>
        <v>0</v>
      </c>
      <c r="Z181" s="207">
        <f>SUMIFS('сентябрь 2023'!$G$4:$G$1053,'сентябрь 2023'!$D$4:$D$1053,$B181,'сентябрь 2023'!$J$4:$J$1053,Z$1)</f>
        <v>0</v>
      </c>
      <c r="AA181" s="207">
        <f>SUMIFS('сентябрь 2023'!$G$4:$G$1053,'сентябрь 2023'!$D$4:$D$1053,$B181,'сентябрь 2023'!$J$4:$J$1053,AA$1)</f>
        <v>0</v>
      </c>
      <c r="AB181" s="207">
        <f>SUMIFS('сентябрь 2023'!$G$4:$G$1053,'сентябрь 2023'!$D$4:$D$1053,$B181,'сентябрь 2023'!$J$4:$J$1053,AB$1)</f>
        <v>0</v>
      </c>
      <c r="AC181" s="207">
        <f>SUMIFS('сентябрь 2023'!$G$4:$G$1053,'сентябрь 2023'!$D$4:$D$1053,$B181,'сентябрь 2023'!$J$4:$J$1053,AC$1)</f>
        <v>0</v>
      </c>
      <c r="AD181" s="207">
        <f>SUMIFS('сентябрь 2023'!$G$4:$G$1053,'сентябрь 2023'!$D$4:$D$1053,$B181,'сентябрь 2023'!$J$4:$J$1053,AD$1)</f>
        <v>0</v>
      </c>
      <c r="AE181" s="207">
        <f>SUMIFS('сентябрь 2023'!$G$4:$G$1053,'сентябрь 2023'!$D$4:$D$1053,$B181,'сентябрь 2023'!$J$4:$J$1053,AE$1)</f>
        <v>0</v>
      </c>
      <c r="AF181" s="207">
        <f>SUMIFS('сентябрь 2023'!$G$4:$G$1053,'сентябрь 2023'!$D$4:$D$1053,$B181,'сентябрь 2023'!$J$4:$J$1053,AF$1)</f>
        <v>0</v>
      </c>
      <c r="AG181" s="207">
        <f>SUMIFS('сентябрь 2023'!$G$4:$G$1053,'сентябрь 2023'!$D$4:$D$1053,$B181,'сентябрь 2023'!$J$4:$J$1053,AG$1)</f>
        <v>0</v>
      </c>
      <c r="AH181" s="207">
        <f>SUMIFS('сентябрь 2023'!$G$4:$G$1053,'сентябрь 2023'!$D$4:$D$1053,$B181,'сентябрь 2023'!$J$4:$J$1053,AH$1)</f>
        <v>0</v>
      </c>
      <c r="AI181" s="220">
        <f t="shared" si="4"/>
        <v>0</v>
      </c>
    </row>
    <row r="182" spans="2:35" ht="15.75" hidden="1" x14ac:dyDescent="0.25">
      <c r="B182" s="212"/>
      <c r="C182" s="211"/>
      <c r="D182" s="207">
        <f>SUMIFS('сентябрь 2023'!$G$4:$G$1053,'сентябрь 2023'!$D$4:$D$1053,$B182,'сентябрь 2023'!$J$4:$J$1053,D$1)</f>
        <v>0</v>
      </c>
      <c r="E182" s="207">
        <f>SUMIFS('сентябрь 2023'!$G$4:$G$1053,'сентябрь 2023'!$D$4:$D$1053,$B182,'сентябрь 2023'!$J$4:$J$1053,E$1)</f>
        <v>0</v>
      </c>
      <c r="F182" s="207">
        <f>SUMIFS('сентябрь 2023'!$G$4:$G$1053,'сентябрь 2023'!$D$4:$D$1053,$B182,'сентябрь 2023'!$J$4:$J$1053,F$1)</f>
        <v>0</v>
      </c>
      <c r="G182" s="207">
        <f>SUMIFS('сентябрь 2023'!$G$4:$G$1053,'сентябрь 2023'!$D$4:$D$1053,$B182,'сентябрь 2023'!$J$4:$J$1053,G$1)</f>
        <v>0</v>
      </c>
      <c r="H182" s="207">
        <f>SUMIFS('сентябрь 2023'!$G$4:$G$1053,'сентябрь 2023'!$D$4:$D$1053,$B182,'сентябрь 2023'!$J$4:$J$1053,H$1)</f>
        <v>0</v>
      </c>
      <c r="I182" s="207">
        <f>SUMIFS('сентябрь 2023'!$G$4:$G$1053,'сентябрь 2023'!$D$4:$D$1053,$B182,'сентябрь 2023'!$J$4:$J$1053,I$1)</f>
        <v>0</v>
      </c>
      <c r="J182" s="207">
        <f>SUMIFS('сентябрь 2023'!$G$4:$G$1053,'сентябрь 2023'!$D$4:$D$1053,$B182,'сентябрь 2023'!$J$4:$J$1053,J$1)</f>
        <v>0</v>
      </c>
      <c r="K182" s="207">
        <f>SUMIFS('сентябрь 2023'!$G$4:$G$1053,'сентябрь 2023'!$D$4:$D$1053,$B182,'сентябрь 2023'!$J$4:$J$1053,K$1)</f>
        <v>0</v>
      </c>
      <c r="L182" s="207">
        <f>SUMIFS('сентябрь 2023'!$G$4:$G$1053,'сентябрь 2023'!$D$4:$D$1053,$B182,'сентябрь 2023'!$J$4:$J$1053,L$1)</f>
        <v>0</v>
      </c>
      <c r="M182" s="207">
        <f>SUMIFS('сентябрь 2023'!$G$4:$G$1053,'сентябрь 2023'!$D$4:$D$1053,$B182,'сентябрь 2023'!$J$4:$J$1053,M$1)</f>
        <v>0</v>
      </c>
      <c r="N182" s="207">
        <f>SUMIFS('сентябрь 2023'!$G$4:$G$1053,'сентябрь 2023'!$D$4:$D$1053,$B182,'сентябрь 2023'!$J$4:$J$1053,N$1)</f>
        <v>0</v>
      </c>
      <c r="O182" s="207">
        <f>SUMIFS('сентябрь 2023'!$G$4:$G$1053,'сентябрь 2023'!$D$4:$D$1053,$B182,'сентябрь 2023'!$J$4:$J$1053,O$1)</f>
        <v>0</v>
      </c>
      <c r="P182" s="207">
        <f>SUMIFS('сентябрь 2023'!$G$4:$G$1053,'сентябрь 2023'!$D$4:$D$1053,$B182,'сентябрь 2023'!$J$4:$J$1053,P$1)</f>
        <v>0</v>
      </c>
      <c r="Q182" s="207">
        <f>SUMIFS('сентябрь 2023'!$G$4:$G$1053,'сентябрь 2023'!$D$4:$D$1053,$B182,'сентябрь 2023'!$J$4:$J$1053,Q$1)</f>
        <v>0</v>
      </c>
      <c r="R182" s="207">
        <f>SUMIFS('сентябрь 2023'!$G$4:$G$1053,'сентябрь 2023'!$D$4:$D$1053,$B182,'сентябрь 2023'!$J$4:$J$1053,R$1)</f>
        <v>0</v>
      </c>
      <c r="S182" s="207">
        <f>SUMIFS('сентябрь 2023'!$G$4:$G$1053,'сентябрь 2023'!$D$4:$D$1053,$B182,'сентябрь 2023'!$J$4:$J$1053,S$1)</f>
        <v>0</v>
      </c>
      <c r="T182" s="207">
        <f>SUMIFS('сентябрь 2023'!$G$4:$G$1053,'сентябрь 2023'!$D$4:$D$1053,$B182,'сентябрь 2023'!$J$4:$J$1053,T$1)</f>
        <v>0</v>
      </c>
      <c r="U182" s="207">
        <f>SUMIFS('сентябрь 2023'!$G$4:$G$1053,'сентябрь 2023'!$D$4:$D$1053,$B182,'сентябрь 2023'!$J$4:$J$1053,U$1)</f>
        <v>0</v>
      </c>
      <c r="V182" s="207">
        <f>SUMIFS('сентябрь 2023'!$G$4:$G$1053,'сентябрь 2023'!$D$4:$D$1053,$B182,'сентябрь 2023'!$J$4:$J$1053,V$1)</f>
        <v>0</v>
      </c>
      <c r="W182" s="207">
        <f>SUMIFS('сентябрь 2023'!$G$4:$G$1053,'сентябрь 2023'!$D$4:$D$1053,$B182,'сентябрь 2023'!$J$4:$J$1053,W$1)</f>
        <v>0</v>
      </c>
      <c r="X182" s="207">
        <f>SUMIFS('сентябрь 2023'!$G$4:$G$1053,'сентябрь 2023'!$D$4:$D$1053,$B182,'сентябрь 2023'!$J$4:$J$1053,X$1)</f>
        <v>0</v>
      </c>
      <c r="Y182" s="207">
        <f>SUMIFS('сентябрь 2023'!$G$4:$G$1053,'сентябрь 2023'!$D$4:$D$1053,$B182,'сентябрь 2023'!$J$4:$J$1053,Y$1)</f>
        <v>0</v>
      </c>
      <c r="Z182" s="207">
        <f>SUMIFS('сентябрь 2023'!$G$4:$G$1053,'сентябрь 2023'!$D$4:$D$1053,$B182,'сентябрь 2023'!$J$4:$J$1053,Z$1)</f>
        <v>0</v>
      </c>
      <c r="AA182" s="207">
        <f>SUMIFS('сентябрь 2023'!$G$4:$G$1053,'сентябрь 2023'!$D$4:$D$1053,$B182,'сентябрь 2023'!$J$4:$J$1053,AA$1)</f>
        <v>0</v>
      </c>
      <c r="AB182" s="207">
        <f>SUMIFS('сентябрь 2023'!$G$4:$G$1053,'сентябрь 2023'!$D$4:$D$1053,$B182,'сентябрь 2023'!$J$4:$J$1053,AB$1)</f>
        <v>0</v>
      </c>
      <c r="AC182" s="207">
        <f>SUMIFS('сентябрь 2023'!$G$4:$G$1053,'сентябрь 2023'!$D$4:$D$1053,$B182,'сентябрь 2023'!$J$4:$J$1053,AC$1)</f>
        <v>0</v>
      </c>
      <c r="AD182" s="207">
        <f>SUMIFS('сентябрь 2023'!$G$4:$G$1053,'сентябрь 2023'!$D$4:$D$1053,$B182,'сентябрь 2023'!$J$4:$J$1053,AD$1)</f>
        <v>0</v>
      </c>
      <c r="AE182" s="207">
        <f>SUMIFS('сентябрь 2023'!$G$4:$G$1053,'сентябрь 2023'!$D$4:$D$1053,$B182,'сентябрь 2023'!$J$4:$J$1053,AE$1)</f>
        <v>0</v>
      </c>
      <c r="AF182" s="207">
        <f>SUMIFS('сентябрь 2023'!$G$4:$G$1053,'сентябрь 2023'!$D$4:$D$1053,$B182,'сентябрь 2023'!$J$4:$J$1053,AF$1)</f>
        <v>0</v>
      </c>
      <c r="AG182" s="207">
        <f>SUMIFS('сентябрь 2023'!$G$4:$G$1053,'сентябрь 2023'!$D$4:$D$1053,$B182,'сентябрь 2023'!$J$4:$J$1053,AG$1)</f>
        <v>0</v>
      </c>
      <c r="AH182" s="207">
        <f>SUMIFS('сентябрь 2023'!$G$4:$G$1053,'сентябрь 2023'!$D$4:$D$1053,$B182,'сентябрь 2023'!$J$4:$J$1053,AH$1)</f>
        <v>0</v>
      </c>
      <c r="AI182" s="220">
        <f t="shared" si="4"/>
        <v>0</v>
      </c>
    </row>
    <row r="183" spans="2:35" ht="15.75" hidden="1" x14ac:dyDescent="0.25">
      <c r="B183" s="212"/>
      <c r="C183" s="211"/>
      <c r="D183" s="207">
        <f>SUMIFS('сентябрь 2023'!$G$4:$G$1053,'сентябрь 2023'!$D$4:$D$1053,$B183,'сентябрь 2023'!$J$4:$J$1053,D$1)</f>
        <v>0</v>
      </c>
      <c r="E183" s="207">
        <f>SUMIFS('сентябрь 2023'!$G$4:$G$1053,'сентябрь 2023'!$D$4:$D$1053,$B183,'сентябрь 2023'!$J$4:$J$1053,E$1)</f>
        <v>0</v>
      </c>
      <c r="F183" s="207">
        <f>SUMIFS('сентябрь 2023'!$G$4:$G$1053,'сентябрь 2023'!$D$4:$D$1053,$B183,'сентябрь 2023'!$J$4:$J$1053,F$1)</f>
        <v>0</v>
      </c>
      <c r="G183" s="207">
        <f>SUMIFS('сентябрь 2023'!$G$4:$G$1053,'сентябрь 2023'!$D$4:$D$1053,$B183,'сентябрь 2023'!$J$4:$J$1053,G$1)</f>
        <v>0</v>
      </c>
      <c r="H183" s="207">
        <f>SUMIFS('сентябрь 2023'!$G$4:$G$1053,'сентябрь 2023'!$D$4:$D$1053,$B183,'сентябрь 2023'!$J$4:$J$1053,H$1)</f>
        <v>0</v>
      </c>
      <c r="I183" s="207">
        <f>SUMIFS('сентябрь 2023'!$G$4:$G$1053,'сентябрь 2023'!$D$4:$D$1053,$B183,'сентябрь 2023'!$J$4:$J$1053,I$1)</f>
        <v>0</v>
      </c>
      <c r="J183" s="207">
        <f>SUMIFS('сентябрь 2023'!$G$4:$G$1053,'сентябрь 2023'!$D$4:$D$1053,$B183,'сентябрь 2023'!$J$4:$J$1053,J$1)</f>
        <v>0</v>
      </c>
      <c r="K183" s="207">
        <f>SUMIFS('сентябрь 2023'!$G$4:$G$1053,'сентябрь 2023'!$D$4:$D$1053,$B183,'сентябрь 2023'!$J$4:$J$1053,K$1)</f>
        <v>0</v>
      </c>
      <c r="L183" s="207">
        <f>SUMIFS('сентябрь 2023'!$G$4:$G$1053,'сентябрь 2023'!$D$4:$D$1053,$B183,'сентябрь 2023'!$J$4:$J$1053,L$1)</f>
        <v>0</v>
      </c>
      <c r="M183" s="207">
        <f>SUMIFS('сентябрь 2023'!$G$4:$G$1053,'сентябрь 2023'!$D$4:$D$1053,$B183,'сентябрь 2023'!$J$4:$J$1053,M$1)</f>
        <v>0</v>
      </c>
      <c r="N183" s="207">
        <f>SUMIFS('сентябрь 2023'!$G$4:$G$1053,'сентябрь 2023'!$D$4:$D$1053,$B183,'сентябрь 2023'!$J$4:$J$1053,N$1)</f>
        <v>0</v>
      </c>
      <c r="O183" s="207">
        <f>SUMIFS('сентябрь 2023'!$G$4:$G$1053,'сентябрь 2023'!$D$4:$D$1053,$B183,'сентябрь 2023'!$J$4:$J$1053,O$1)</f>
        <v>0</v>
      </c>
      <c r="P183" s="207">
        <f>SUMIFS('сентябрь 2023'!$G$4:$G$1053,'сентябрь 2023'!$D$4:$D$1053,$B183,'сентябрь 2023'!$J$4:$J$1053,P$1)</f>
        <v>0</v>
      </c>
      <c r="Q183" s="207">
        <f>SUMIFS('сентябрь 2023'!$G$4:$G$1053,'сентябрь 2023'!$D$4:$D$1053,$B183,'сентябрь 2023'!$J$4:$J$1053,Q$1)</f>
        <v>0</v>
      </c>
      <c r="R183" s="207">
        <f>SUMIFS('сентябрь 2023'!$G$4:$G$1053,'сентябрь 2023'!$D$4:$D$1053,$B183,'сентябрь 2023'!$J$4:$J$1053,R$1)</f>
        <v>0</v>
      </c>
      <c r="S183" s="207">
        <f>SUMIFS('сентябрь 2023'!$G$4:$G$1053,'сентябрь 2023'!$D$4:$D$1053,$B183,'сентябрь 2023'!$J$4:$J$1053,S$1)</f>
        <v>0</v>
      </c>
      <c r="T183" s="207">
        <f>SUMIFS('сентябрь 2023'!$G$4:$G$1053,'сентябрь 2023'!$D$4:$D$1053,$B183,'сентябрь 2023'!$J$4:$J$1053,T$1)</f>
        <v>0</v>
      </c>
      <c r="U183" s="207">
        <f>SUMIFS('сентябрь 2023'!$G$4:$G$1053,'сентябрь 2023'!$D$4:$D$1053,$B183,'сентябрь 2023'!$J$4:$J$1053,U$1)</f>
        <v>0</v>
      </c>
      <c r="V183" s="207">
        <f>SUMIFS('сентябрь 2023'!$G$4:$G$1053,'сентябрь 2023'!$D$4:$D$1053,$B183,'сентябрь 2023'!$J$4:$J$1053,V$1)</f>
        <v>0</v>
      </c>
      <c r="W183" s="207">
        <f>SUMIFS('сентябрь 2023'!$G$4:$G$1053,'сентябрь 2023'!$D$4:$D$1053,$B183,'сентябрь 2023'!$J$4:$J$1053,W$1)</f>
        <v>0</v>
      </c>
      <c r="X183" s="207">
        <f>SUMIFS('сентябрь 2023'!$G$4:$G$1053,'сентябрь 2023'!$D$4:$D$1053,$B183,'сентябрь 2023'!$J$4:$J$1053,X$1)</f>
        <v>0</v>
      </c>
      <c r="Y183" s="207">
        <f>SUMIFS('сентябрь 2023'!$G$4:$G$1053,'сентябрь 2023'!$D$4:$D$1053,$B183,'сентябрь 2023'!$J$4:$J$1053,Y$1)</f>
        <v>0</v>
      </c>
      <c r="Z183" s="207">
        <f>SUMIFS('сентябрь 2023'!$G$4:$G$1053,'сентябрь 2023'!$D$4:$D$1053,$B183,'сентябрь 2023'!$J$4:$J$1053,Z$1)</f>
        <v>0</v>
      </c>
      <c r="AA183" s="207">
        <f>SUMIFS('сентябрь 2023'!$G$4:$G$1053,'сентябрь 2023'!$D$4:$D$1053,$B183,'сентябрь 2023'!$J$4:$J$1053,AA$1)</f>
        <v>0</v>
      </c>
      <c r="AB183" s="207">
        <f>SUMIFS('сентябрь 2023'!$G$4:$G$1053,'сентябрь 2023'!$D$4:$D$1053,$B183,'сентябрь 2023'!$J$4:$J$1053,AB$1)</f>
        <v>0</v>
      </c>
      <c r="AC183" s="207">
        <f>SUMIFS('сентябрь 2023'!$G$4:$G$1053,'сентябрь 2023'!$D$4:$D$1053,$B183,'сентябрь 2023'!$J$4:$J$1053,AC$1)</f>
        <v>0</v>
      </c>
      <c r="AD183" s="207">
        <f>SUMIFS('сентябрь 2023'!$G$4:$G$1053,'сентябрь 2023'!$D$4:$D$1053,$B183,'сентябрь 2023'!$J$4:$J$1053,AD$1)</f>
        <v>0</v>
      </c>
      <c r="AE183" s="207">
        <f>SUMIFS('сентябрь 2023'!$G$4:$G$1053,'сентябрь 2023'!$D$4:$D$1053,$B183,'сентябрь 2023'!$J$4:$J$1053,AE$1)</f>
        <v>0</v>
      </c>
      <c r="AF183" s="207">
        <f>SUMIFS('сентябрь 2023'!$G$4:$G$1053,'сентябрь 2023'!$D$4:$D$1053,$B183,'сентябрь 2023'!$J$4:$J$1053,AF$1)</f>
        <v>0</v>
      </c>
      <c r="AG183" s="207">
        <f>SUMIFS('сентябрь 2023'!$G$4:$G$1053,'сентябрь 2023'!$D$4:$D$1053,$B183,'сентябрь 2023'!$J$4:$J$1053,AG$1)</f>
        <v>0</v>
      </c>
      <c r="AH183" s="207">
        <f>SUMIFS('сентябрь 2023'!$G$4:$G$1053,'сентябрь 2023'!$D$4:$D$1053,$B183,'сентябрь 2023'!$J$4:$J$1053,AH$1)</f>
        <v>0</v>
      </c>
      <c r="AI183" s="220">
        <f t="shared" si="4"/>
        <v>0</v>
      </c>
    </row>
    <row r="184" spans="2:35" ht="15.75" hidden="1" x14ac:dyDescent="0.25">
      <c r="B184" s="212"/>
      <c r="C184" s="211"/>
      <c r="D184" s="207">
        <f>SUMIFS('сентябрь 2023'!$G$4:$G$1053,'сентябрь 2023'!$D$4:$D$1053,$B184,'сентябрь 2023'!$J$4:$J$1053,D$1)</f>
        <v>0</v>
      </c>
      <c r="E184" s="207">
        <f>SUMIFS('сентябрь 2023'!$G$4:$G$1053,'сентябрь 2023'!$D$4:$D$1053,$B184,'сентябрь 2023'!$J$4:$J$1053,E$1)</f>
        <v>0</v>
      </c>
      <c r="F184" s="207">
        <f>SUMIFS('сентябрь 2023'!$G$4:$G$1053,'сентябрь 2023'!$D$4:$D$1053,$B184,'сентябрь 2023'!$J$4:$J$1053,F$1)</f>
        <v>0</v>
      </c>
      <c r="G184" s="207">
        <f>SUMIFS('сентябрь 2023'!$G$4:$G$1053,'сентябрь 2023'!$D$4:$D$1053,$B184,'сентябрь 2023'!$J$4:$J$1053,G$1)</f>
        <v>0</v>
      </c>
      <c r="H184" s="207">
        <f>SUMIFS('сентябрь 2023'!$G$4:$G$1053,'сентябрь 2023'!$D$4:$D$1053,$B184,'сентябрь 2023'!$J$4:$J$1053,H$1)</f>
        <v>0</v>
      </c>
      <c r="I184" s="207">
        <f>SUMIFS('сентябрь 2023'!$G$4:$G$1053,'сентябрь 2023'!$D$4:$D$1053,$B184,'сентябрь 2023'!$J$4:$J$1053,I$1)</f>
        <v>0</v>
      </c>
      <c r="J184" s="207">
        <f>SUMIFS('сентябрь 2023'!$G$4:$G$1053,'сентябрь 2023'!$D$4:$D$1053,$B184,'сентябрь 2023'!$J$4:$J$1053,J$1)</f>
        <v>0</v>
      </c>
      <c r="K184" s="207">
        <f>SUMIFS('сентябрь 2023'!$G$4:$G$1053,'сентябрь 2023'!$D$4:$D$1053,$B184,'сентябрь 2023'!$J$4:$J$1053,K$1)</f>
        <v>0</v>
      </c>
      <c r="L184" s="207">
        <f>SUMIFS('сентябрь 2023'!$G$4:$G$1053,'сентябрь 2023'!$D$4:$D$1053,$B184,'сентябрь 2023'!$J$4:$J$1053,L$1)</f>
        <v>0</v>
      </c>
      <c r="M184" s="207">
        <f>SUMIFS('сентябрь 2023'!$G$4:$G$1053,'сентябрь 2023'!$D$4:$D$1053,$B184,'сентябрь 2023'!$J$4:$J$1053,M$1)</f>
        <v>0</v>
      </c>
      <c r="N184" s="207">
        <f>SUMIFS('сентябрь 2023'!$G$4:$G$1053,'сентябрь 2023'!$D$4:$D$1053,$B184,'сентябрь 2023'!$J$4:$J$1053,N$1)</f>
        <v>0</v>
      </c>
      <c r="O184" s="207">
        <f>SUMIFS('сентябрь 2023'!$G$4:$G$1053,'сентябрь 2023'!$D$4:$D$1053,$B184,'сентябрь 2023'!$J$4:$J$1053,O$1)</f>
        <v>0</v>
      </c>
      <c r="P184" s="207">
        <f>SUMIFS('сентябрь 2023'!$G$4:$G$1053,'сентябрь 2023'!$D$4:$D$1053,$B184,'сентябрь 2023'!$J$4:$J$1053,P$1)</f>
        <v>0</v>
      </c>
      <c r="Q184" s="207">
        <f>SUMIFS('сентябрь 2023'!$G$4:$G$1053,'сентябрь 2023'!$D$4:$D$1053,$B184,'сентябрь 2023'!$J$4:$J$1053,Q$1)</f>
        <v>0</v>
      </c>
      <c r="R184" s="207">
        <f>SUMIFS('сентябрь 2023'!$G$4:$G$1053,'сентябрь 2023'!$D$4:$D$1053,$B184,'сентябрь 2023'!$J$4:$J$1053,R$1)</f>
        <v>0</v>
      </c>
      <c r="S184" s="207">
        <f>SUMIFS('сентябрь 2023'!$G$4:$G$1053,'сентябрь 2023'!$D$4:$D$1053,$B184,'сентябрь 2023'!$J$4:$J$1053,S$1)</f>
        <v>0</v>
      </c>
      <c r="T184" s="207">
        <f>SUMIFS('сентябрь 2023'!$G$4:$G$1053,'сентябрь 2023'!$D$4:$D$1053,$B184,'сентябрь 2023'!$J$4:$J$1053,T$1)</f>
        <v>0</v>
      </c>
      <c r="U184" s="207">
        <f>SUMIFS('сентябрь 2023'!$G$4:$G$1053,'сентябрь 2023'!$D$4:$D$1053,$B184,'сентябрь 2023'!$J$4:$J$1053,U$1)</f>
        <v>0</v>
      </c>
      <c r="V184" s="207">
        <f>SUMIFS('сентябрь 2023'!$G$4:$G$1053,'сентябрь 2023'!$D$4:$D$1053,$B184,'сентябрь 2023'!$J$4:$J$1053,V$1)</f>
        <v>0</v>
      </c>
      <c r="W184" s="207">
        <f>SUMIFS('сентябрь 2023'!$G$4:$G$1053,'сентябрь 2023'!$D$4:$D$1053,$B184,'сентябрь 2023'!$J$4:$J$1053,W$1)</f>
        <v>0</v>
      </c>
      <c r="X184" s="207">
        <f>SUMIFS('сентябрь 2023'!$G$4:$G$1053,'сентябрь 2023'!$D$4:$D$1053,$B184,'сентябрь 2023'!$J$4:$J$1053,X$1)</f>
        <v>0</v>
      </c>
      <c r="Y184" s="207">
        <f>SUMIFS('сентябрь 2023'!$G$4:$G$1053,'сентябрь 2023'!$D$4:$D$1053,$B184,'сентябрь 2023'!$J$4:$J$1053,Y$1)</f>
        <v>0</v>
      </c>
      <c r="Z184" s="207">
        <f>SUMIFS('сентябрь 2023'!$G$4:$G$1053,'сентябрь 2023'!$D$4:$D$1053,$B184,'сентябрь 2023'!$J$4:$J$1053,Z$1)</f>
        <v>0</v>
      </c>
      <c r="AA184" s="207">
        <f>SUMIFS('сентябрь 2023'!$G$4:$G$1053,'сентябрь 2023'!$D$4:$D$1053,$B184,'сентябрь 2023'!$J$4:$J$1053,AA$1)</f>
        <v>0</v>
      </c>
      <c r="AB184" s="207">
        <f>SUMIFS('сентябрь 2023'!$G$4:$G$1053,'сентябрь 2023'!$D$4:$D$1053,$B184,'сентябрь 2023'!$J$4:$J$1053,AB$1)</f>
        <v>0</v>
      </c>
      <c r="AC184" s="207">
        <f>SUMIFS('сентябрь 2023'!$G$4:$G$1053,'сентябрь 2023'!$D$4:$D$1053,$B184,'сентябрь 2023'!$J$4:$J$1053,AC$1)</f>
        <v>0</v>
      </c>
      <c r="AD184" s="207">
        <f>SUMIFS('сентябрь 2023'!$G$4:$G$1053,'сентябрь 2023'!$D$4:$D$1053,$B184,'сентябрь 2023'!$J$4:$J$1053,AD$1)</f>
        <v>0</v>
      </c>
      <c r="AE184" s="207">
        <f>SUMIFS('сентябрь 2023'!$G$4:$G$1053,'сентябрь 2023'!$D$4:$D$1053,$B184,'сентябрь 2023'!$J$4:$J$1053,AE$1)</f>
        <v>0</v>
      </c>
      <c r="AF184" s="207">
        <f>SUMIFS('сентябрь 2023'!$G$4:$G$1053,'сентябрь 2023'!$D$4:$D$1053,$B184,'сентябрь 2023'!$J$4:$J$1053,AF$1)</f>
        <v>0</v>
      </c>
      <c r="AG184" s="207">
        <f>SUMIFS('сентябрь 2023'!$G$4:$G$1053,'сентябрь 2023'!$D$4:$D$1053,$B184,'сентябрь 2023'!$J$4:$J$1053,AG$1)</f>
        <v>0</v>
      </c>
      <c r="AH184" s="207">
        <f>SUMIFS('сентябрь 2023'!$G$4:$G$1053,'сентябрь 2023'!$D$4:$D$1053,$B184,'сентябрь 2023'!$J$4:$J$1053,AH$1)</f>
        <v>0</v>
      </c>
      <c r="AI184" s="220">
        <f t="shared" si="4"/>
        <v>0</v>
      </c>
    </row>
    <row r="185" spans="2:35" ht="15.75" hidden="1" x14ac:dyDescent="0.25">
      <c r="B185" s="212"/>
      <c r="C185" s="211"/>
      <c r="D185" s="207">
        <f>SUMIFS('сентябрь 2023'!$G$4:$G$1053,'сентябрь 2023'!$D$4:$D$1053,$B185,'сентябрь 2023'!$J$4:$J$1053,D$1)</f>
        <v>0</v>
      </c>
      <c r="E185" s="207">
        <f>SUMIFS('сентябрь 2023'!$G$4:$G$1053,'сентябрь 2023'!$D$4:$D$1053,$B185,'сентябрь 2023'!$J$4:$J$1053,E$1)</f>
        <v>0</v>
      </c>
      <c r="F185" s="207">
        <f>SUMIFS('сентябрь 2023'!$G$4:$G$1053,'сентябрь 2023'!$D$4:$D$1053,$B185,'сентябрь 2023'!$J$4:$J$1053,F$1)</f>
        <v>0</v>
      </c>
      <c r="G185" s="207">
        <f>SUMIFS('сентябрь 2023'!$G$4:$G$1053,'сентябрь 2023'!$D$4:$D$1053,$B185,'сентябрь 2023'!$J$4:$J$1053,G$1)</f>
        <v>0</v>
      </c>
      <c r="H185" s="207">
        <f>SUMIFS('сентябрь 2023'!$G$4:$G$1053,'сентябрь 2023'!$D$4:$D$1053,$B185,'сентябрь 2023'!$J$4:$J$1053,H$1)</f>
        <v>0</v>
      </c>
      <c r="I185" s="207">
        <f>SUMIFS('сентябрь 2023'!$G$4:$G$1053,'сентябрь 2023'!$D$4:$D$1053,$B185,'сентябрь 2023'!$J$4:$J$1053,I$1)</f>
        <v>0</v>
      </c>
      <c r="J185" s="207">
        <f>SUMIFS('сентябрь 2023'!$G$4:$G$1053,'сентябрь 2023'!$D$4:$D$1053,$B185,'сентябрь 2023'!$J$4:$J$1053,J$1)</f>
        <v>0</v>
      </c>
      <c r="K185" s="207">
        <f>SUMIFS('сентябрь 2023'!$G$4:$G$1053,'сентябрь 2023'!$D$4:$D$1053,$B185,'сентябрь 2023'!$J$4:$J$1053,K$1)</f>
        <v>0</v>
      </c>
      <c r="L185" s="207">
        <f>SUMIFS('сентябрь 2023'!$G$4:$G$1053,'сентябрь 2023'!$D$4:$D$1053,$B185,'сентябрь 2023'!$J$4:$J$1053,L$1)</f>
        <v>0</v>
      </c>
      <c r="M185" s="207">
        <f>SUMIFS('сентябрь 2023'!$G$4:$G$1053,'сентябрь 2023'!$D$4:$D$1053,$B185,'сентябрь 2023'!$J$4:$J$1053,M$1)</f>
        <v>0</v>
      </c>
      <c r="N185" s="207">
        <f>SUMIFS('сентябрь 2023'!$G$4:$G$1053,'сентябрь 2023'!$D$4:$D$1053,$B185,'сентябрь 2023'!$J$4:$J$1053,N$1)</f>
        <v>0</v>
      </c>
      <c r="O185" s="207">
        <f>SUMIFS('сентябрь 2023'!$G$4:$G$1053,'сентябрь 2023'!$D$4:$D$1053,$B185,'сентябрь 2023'!$J$4:$J$1053,O$1)</f>
        <v>0</v>
      </c>
      <c r="P185" s="207">
        <f>SUMIFS('сентябрь 2023'!$G$4:$G$1053,'сентябрь 2023'!$D$4:$D$1053,$B185,'сентябрь 2023'!$J$4:$J$1053,P$1)</f>
        <v>0</v>
      </c>
      <c r="Q185" s="207">
        <f>SUMIFS('сентябрь 2023'!$G$4:$G$1053,'сентябрь 2023'!$D$4:$D$1053,$B185,'сентябрь 2023'!$J$4:$J$1053,Q$1)</f>
        <v>0</v>
      </c>
      <c r="R185" s="207">
        <f>SUMIFS('сентябрь 2023'!$G$4:$G$1053,'сентябрь 2023'!$D$4:$D$1053,$B185,'сентябрь 2023'!$J$4:$J$1053,R$1)</f>
        <v>0</v>
      </c>
      <c r="S185" s="207">
        <f>SUMIFS('сентябрь 2023'!$G$4:$G$1053,'сентябрь 2023'!$D$4:$D$1053,$B185,'сентябрь 2023'!$J$4:$J$1053,S$1)</f>
        <v>0</v>
      </c>
      <c r="T185" s="207">
        <f>SUMIFS('сентябрь 2023'!$G$4:$G$1053,'сентябрь 2023'!$D$4:$D$1053,$B185,'сентябрь 2023'!$J$4:$J$1053,T$1)</f>
        <v>0</v>
      </c>
      <c r="U185" s="207">
        <f>SUMIFS('сентябрь 2023'!$G$4:$G$1053,'сентябрь 2023'!$D$4:$D$1053,$B185,'сентябрь 2023'!$J$4:$J$1053,U$1)</f>
        <v>0</v>
      </c>
      <c r="V185" s="207">
        <f>SUMIFS('сентябрь 2023'!$G$4:$G$1053,'сентябрь 2023'!$D$4:$D$1053,$B185,'сентябрь 2023'!$J$4:$J$1053,V$1)</f>
        <v>0</v>
      </c>
      <c r="W185" s="207">
        <f>SUMIFS('сентябрь 2023'!$G$4:$G$1053,'сентябрь 2023'!$D$4:$D$1053,$B185,'сентябрь 2023'!$J$4:$J$1053,W$1)</f>
        <v>0</v>
      </c>
      <c r="X185" s="207">
        <f>SUMIFS('сентябрь 2023'!$G$4:$G$1053,'сентябрь 2023'!$D$4:$D$1053,$B185,'сентябрь 2023'!$J$4:$J$1053,X$1)</f>
        <v>0</v>
      </c>
      <c r="Y185" s="207">
        <f>SUMIFS('сентябрь 2023'!$G$4:$G$1053,'сентябрь 2023'!$D$4:$D$1053,$B185,'сентябрь 2023'!$J$4:$J$1053,Y$1)</f>
        <v>0</v>
      </c>
      <c r="Z185" s="207">
        <f>SUMIFS('сентябрь 2023'!$G$4:$G$1053,'сентябрь 2023'!$D$4:$D$1053,$B185,'сентябрь 2023'!$J$4:$J$1053,Z$1)</f>
        <v>0</v>
      </c>
      <c r="AA185" s="207">
        <f>SUMIFS('сентябрь 2023'!$G$4:$G$1053,'сентябрь 2023'!$D$4:$D$1053,$B185,'сентябрь 2023'!$J$4:$J$1053,AA$1)</f>
        <v>0</v>
      </c>
      <c r="AB185" s="207">
        <f>SUMIFS('сентябрь 2023'!$G$4:$G$1053,'сентябрь 2023'!$D$4:$D$1053,$B185,'сентябрь 2023'!$J$4:$J$1053,AB$1)</f>
        <v>0</v>
      </c>
      <c r="AC185" s="207">
        <f>SUMIFS('сентябрь 2023'!$G$4:$G$1053,'сентябрь 2023'!$D$4:$D$1053,$B185,'сентябрь 2023'!$J$4:$J$1053,AC$1)</f>
        <v>0</v>
      </c>
      <c r="AD185" s="207">
        <f>SUMIFS('сентябрь 2023'!$G$4:$G$1053,'сентябрь 2023'!$D$4:$D$1053,$B185,'сентябрь 2023'!$J$4:$J$1053,AD$1)</f>
        <v>0</v>
      </c>
      <c r="AE185" s="207">
        <f>SUMIFS('сентябрь 2023'!$G$4:$G$1053,'сентябрь 2023'!$D$4:$D$1053,$B185,'сентябрь 2023'!$J$4:$J$1053,AE$1)</f>
        <v>0</v>
      </c>
      <c r="AF185" s="207">
        <f>SUMIFS('сентябрь 2023'!$G$4:$G$1053,'сентябрь 2023'!$D$4:$D$1053,$B185,'сентябрь 2023'!$J$4:$J$1053,AF$1)</f>
        <v>0</v>
      </c>
      <c r="AG185" s="207">
        <f>SUMIFS('сентябрь 2023'!$G$4:$G$1053,'сентябрь 2023'!$D$4:$D$1053,$B185,'сентябрь 2023'!$J$4:$J$1053,AG$1)</f>
        <v>0</v>
      </c>
      <c r="AH185" s="207">
        <f>SUMIFS('сентябрь 2023'!$G$4:$G$1053,'сентябрь 2023'!$D$4:$D$1053,$B185,'сентябрь 2023'!$J$4:$J$1053,AH$1)</f>
        <v>0</v>
      </c>
      <c r="AI185" s="220">
        <f t="shared" si="4"/>
        <v>0</v>
      </c>
    </row>
    <row r="186" spans="2:35" ht="15.75" hidden="1" x14ac:dyDescent="0.25">
      <c r="B186" s="212"/>
      <c r="C186" s="211"/>
      <c r="D186" s="207">
        <f>SUMIFS('сентябрь 2023'!$G$4:$G$1053,'сентябрь 2023'!$D$4:$D$1053,$B186,'сентябрь 2023'!$J$4:$J$1053,D$1)</f>
        <v>0</v>
      </c>
      <c r="E186" s="207">
        <f>SUMIFS('сентябрь 2023'!$G$4:$G$1053,'сентябрь 2023'!$D$4:$D$1053,$B186,'сентябрь 2023'!$J$4:$J$1053,E$1)</f>
        <v>0</v>
      </c>
      <c r="F186" s="207">
        <f>SUMIFS('сентябрь 2023'!$G$4:$G$1053,'сентябрь 2023'!$D$4:$D$1053,$B186,'сентябрь 2023'!$J$4:$J$1053,F$1)</f>
        <v>0</v>
      </c>
      <c r="G186" s="207">
        <f>SUMIFS('сентябрь 2023'!$G$4:$G$1053,'сентябрь 2023'!$D$4:$D$1053,$B186,'сентябрь 2023'!$J$4:$J$1053,G$1)</f>
        <v>0</v>
      </c>
      <c r="H186" s="207">
        <f>SUMIFS('сентябрь 2023'!$G$4:$G$1053,'сентябрь 2023'!$D$4:$D$1053,$B186,'сентябрь 2023'!$J$4:$J$1053,H$1)</f>
        <v>0</v>
      </c>
      <c r="I186" s="207">
        <f>SUMIFS('сентябрь 2023'!$G$4:$G$1053,'сентябрь 2023'!$D$4:$D$1053,$B186,'сентябрь 2023'!$J$4:$J$1053,I$1)</f>
        <v>0</v>
      </c>
      <c r="J186" s="207">
        <f>SUMIFS('сентябрь 2023'!$G$4:$G$1053,'сентябрь 2023'!$D$4:$D$1053,$B186,'сентябрь 2023'!$J$4:$J$1053,J$1)</f>
        <v>0</v>
      </c>
      <c r="K186" s="207">
        <f>SUMIFS('сентябрь 2023'!$G$4:$G$1053,'сентябрь 2023'!$D$4:$D$1053,$B186,'сентябрь 2023'!$J$4:$J$1053,K$1)</f>
        <v>0</v>
      </c>
      <c r="L186" s="207">
        <f>SUMIFS('сентябрь 2023'!$G$4:$G$1053,'сентябрь 2023'!$D$4:$D$1053,$B186,'сентябрь 2023'!$J$4:$J$1053,L$1)</f>
        <v>0</v>
      </c>
      <c r="M186" s="207">
        <f>SUMIFS('сентябрь 2023'!$G$4:$G$1053,'сентябрь 2023'!$D$4:$D$1053,$B186,'сентябрь 2023'!$J$4:$J$1053,M$1)</f>
        <v>0</v>
      </c>
      <c r="N186" s="207">
        <f>SUMIFS('сентябрь 2023'!$G$4:$G$1053,'сентябрь 2023'!$D$4:$D$1053,$B186,'сентябрь 2023'!$J$4:$J$1053,N$1)</f>
        <v>0</v>
      </c>
      <c r="O186" s="207">
        <f>SUMIFS('сентябрь 2023'!$G$4:$G$1053,'сентябрь 2023'!$D$4:$D$1053,$B186,'сентябрь 2023'!$J$4:$J$1053,O$1)</f>
        <v>0</v>
      </c>
      <c r="P186" s="207">
        <f>SUMIFS('сентябрь 2023'!$G$4:$G$1053,'сентябрь 2023'!$D$4:$D$1053,$B186,'сентябрь 2023'!$J$4:$J$1053,P$1)</f>
        <v>0</v>
      </c>
      <c r="Q186" s="207">
        <f>SUMIFS('сентябрь 2023'!$G$4:$G$1053,'сентябрь 2023'!$D$4:$D$1053,$B186,'сентябрь 2023'!$J$4:$J$1053,Q$1)</f>
        <v>0</v>
      </c>
      <c r="R186" s="207">
        <f>SUMIFS('сентябрь 2023'!$G$4:$G$1053,'сентябрь 2023'!$D$4:$D$1053,$B186,'сентябрь 2023'!$J$4:$J$1053,R$1)</f>
        <v>0</v>
      </c>
      <c r="S186" s="207">
        <f>SUMIFS('сентябрь 2023'!$G$4:$G$1053,'сентябрь 2023'!$D$4:$D$1053,$B186,'сентябрь 2023'!$J$4:$J$1053,S$1)</f>
        <v>0</v>
      </c>
      <c r="T186" s="207">
        <f>SUMIFS('сентябрь 2023'!$G$4:$G$1053,'сентябрь 2023'!$D$4:$D$1053,$B186,'сентябрь 2023'!$J$4:$J$1053,T$1)</f>
        <v>0</v>
      </c>
      <c r="U186" s="207">
        <f>SUMIFS('сентябрь 2023'!$G$4:$G$1053,'сентябрь 2023'!$D$4:$D$1053,$B186,'сентябрь 2023'!$J$4:$J$1053,U$1)</f>
        <v>0</v>
      </c>
      <c r="V186" s="207">
        <f>SUMIFS('сентябрь 2023'!$G$4:$G$1053,'сентябрь 2023'!$D$4:$D$1053,$B186,'сентябрь 2023'!$J$4:$J$1053,V$1)</f>
        <v>0</v>
      </c>
      <c r="W186" s="207">
        <f>SUMIFS('сентябрь 2023'!$G$4:$G$1053,'сентябрь 2023'!$D$4:$D$1053,$B186,'сентябрь 2023'!$J$4:$J$1053,W$1)</f>
        <v>0</v>
      </c>
      <c r="X186" s="207">
        <f>SUMIFS('сентябрь 2023'!$G$4:$G$1053,'сентябрь 2023'!$D$4:$D$1053,$B186,'сентябрь 2023'!$J$4:$J$1053,X$1)</f>
        <v>0</v>
      </c>
      <c r="Y186" s="207">
        <f>SUMIFS('сентябрь 2023'!$G$4:$G$1053,'сентябрь 2023'!$D$4:$D$1053,$B186,'сентябрь 2023'!$J$4:$J$1053,Y$1)</f>
        <v>0</v>
      </c>
      <c r="Z186" s="207">
        <f>SUMIFS('сентябрь 2023'!$G$4:$G$1053,'сентябрь 2023'!$D$4:$D$1053,$B186,'сентябрь 2023'!$J$4:$J$1053,Z$1)</f>
        <v>0</v>
      </c>
      <c r="AA186" s="207">
        <f>SUMIFS('сентябрь 2023'!$G$4:$G$1053,'сентябрь 2023'!$D$4:$D$1053,$B186,'сентябрь 2023'!$J$4:$J$1053,AA$1)</f>
        <v>0</v>
      </c>
      <c r="AB186" s="207">
        <f>SUMIFS('сентябрь 2023'!$G$4:$G$1053,'сентябрь 2023'!$D$4:$D$1053,$B186,'сентябрь 2023'!$J$4:$J$1053,AB$1)</f>
        <v>0</v>
      </c>
      <c r="AC186" s="207">
        <f>SUMIFS('сентябрь 2023'!$G$4:$G$1053,'сентябрь 2023'!$D$4:$D$1053,$B186,'сентябрь 2023'!$J$4:$J$1053,AC$1)</f>
        <v>0</v>
      </c>
      <c r="AD186" s="207">
        <f>SUMIFS('сентябрь 2023'!$G$4:$G$1053,'сентябрь 2023'!$D$4:$D$1053,$B186,'сентябрь 2023'!$J$4:$J$1053,AD$1)</f>
        <v>0</v>
      </c>
      <c r="AE186" s="207">
        <f>SUMIFS('сентябрь 2023'!$G$4:$G$1053,'сентябрь 2023'!$D$4:$D$1053,$B186,'сентябрь 2023'!$J$4:$J$1053,AE$1)</f>
        <v>0</v>
      </c>
      <c r="AF186" s="207">
        <f>SUMIFS('сентябрь 2023'!$G$4:$G$1053,'сентябрь 2023'!$D$4:$D$1053,$B186,'сентябрь 2023'!$J$4:$J$1053,AF$1)</f>
        <v>0</v>
      </c>
      <c r="AG186" s="207">
        <f>SUMIFS('сентябрь 2023'!$G$4:$G$1053,'сентябрь 2023'!$D$4:$D$1053,$B186,'сентябрь 2023'!$J$4:$J$1053,AG$1)</f>
        <v>0</v>
      </c>
      <c r="AH186" s="207">
        <f>SUMIFS('сентябрь 2023'!$G$4:$G$1053,'сентябрь 2023'!$D$4:$D$1053,$B186,'сентябрь 2023'!$J$4:$J$1053,AH$1)</f>
        <v>0</v>
      </c>
      <c r="AI186" s="220">
        <f t="shared" si="4"/>
        <v>0</v>
      </c>
    </row>
    <row r="187" spans="2:35" ht="15.75" hidden="1" x14ac:dyDescent="0.25">
      <c r="B187" s="212"/>
      <c r="C187" s="211"/>
      <c r="D187" s="207">
        <f>SUMIFS('сентябрь 2023'!$G$4:$G$1053,'сентябрь 2023'!$D$4:$D$1053,$B187,'сентябрь 2023'!$J$4:$J$1053,D$1)</f>
        <v>0</v>
      </c>
      <c r="E187" s="207">
        <f>SUMIFS('сентябрь 2023'!$G$4:$G$1053,'сентябрь 2023'!$D$4:$D$1053,$B187,'сентябрь 2023'!$J$4:$J$1053,E$1)</f>
        <v>0</v>
      </c>
      <c r="F187" s="207">
        <f>SUMIFS('сентябрь 2023'!$G$4:$G$1053,'сентябрь 2023'!$D$4:$D$1053,$B187,'сентябрь 2023'!$J$4:$J$1053,F$1)</f>
        <v>0</v>
      </c>
      <c r="G187" s="207">
        <f>SUMIFS('сентябрь 2023'!$G$4:$G$1053,'сентябрь 2023'!$D$4:$D$1053,$B187,'сентябрь 2023'!$J$4:$J$1053,G$1)</f>
        <v>0</v>
      </c>
      <c r="H187" s="207">
        <f>SUMIFS('сентябрь 2023'!$G$4:$G$1053,'сентябрь 2023'!$D$4:$D$1053,$B187,'сентябрь 2023'!$J$4:$J$1053,H$1)</f>
        <v>0</v>
      </c>
      <c r="I187" s="207">
        <f>SUMIFS('сентябрь 2023'!$G$4:$G$1053,'сентябрь 2023'!$D$4:$D$1053,$B187,'сентябрь 2023'!$J$4:$J$1053,I$1)</f>
        <v>0</v>
      </c>
      <c r="J187" s="207">
        <f>SUMIFS('сентябрь 2023'!$G$4:$G$1053,'сентябрь 2023'!$D$4:$D$1053,$B187,'сентябрь 2023'!$J$4:$J$1053,J$1)</f>
        <v>0</v>
      </c>
      <c r="K187" s="207">
        <f>SUMIFS('сентябрь 2023'!$G$4:$G$1053,'сентябрь 2023'!$D$4:$D$1053,$B187,'сентябрь 2023'!$J$4:$J$1053,K$1)</f>
        <v>0</v>
      </c>
      <c r="L187" s="207">
        <f>SUMIFS('сентябрь 2023'!$G$4:$G$1053,'сентябрь 2023'!$D$4:$D$1053,$B187,'сентябрь 2023'!$J$4:$J$1053,L$1)</f>
        <v>0</v>
      </c>
      <c r="M187" s="207">
        <f>SUMIFS('сентябрь 2023'!$G$4:$G$1053,'сентябрь 2023'!$D$4:$D$1053,$B187,'сентябрь 2023'!$J$4:$J$1053,M$1)</f>
        <v>0</v>
      </c>
      <c r="N187" s="207">
        <f>SUMIFS('сентябрь 2023'!$G$4:$G$1053,'сентябрь 2023'!$D$4:$D$1053,$B187,'сентябрь 2023'!$J$4:$J$1053,N$1)</f>
        <v>0</v>
      </c>
      <c r="O187" s="207">
        <f>SUMIFS('сентябрь 2023'!$G$4:$G$1053,'сентябрь 2023'!$D$4:$D$1053,$B187,'сентябрь 2023'!$J$4:$J$1053,O$1)</f>
        <v>0</v>
      </c>
      <c r="P187" s="207">
        <f>SUMIFS('сентябрь 2023'!$G$4:$G$1053,'сентябрь 2023'!$D$4:$D$1053,$B187,'сентябрь 2023'!$J$4:$J$1053,P$1)</f>
        <v>0</v>
      </c>
      <c r="Q187" s="207">
        <f>SUMIFS('сентябрь 2023'!$G$4:$G$1053,'сентябрь 2023'!$D$4:$D$1053,$B187,'сентябрь 2023'!$J$4:$J$1053,Q$1)</f>
        <v>0</v>
      </c>
      <c r="R187" s="207">
        <f>SUMIFS('сентябрь 2023'!$G$4:$G$1053,'сентябрь 2023'!$D$4:$D$1053,$B187,'сентябрь 2023'!$J$4:$J$1053,R$1)</f>
        <v>0</v>
      </c>
      <c r="S187" s="207">
        <f>SUMIFS('сентябрь 2023'!$G$4:$G$1053,'сентябрь 2023'!$D$4:$D$1053,$B187,'сентябрь 2023'!$J$4:$J$1053,S$1)</f>
        <v>0</v>
      </c>
      <c r="T187" s="207">
        <f>SUMIFS('сентябрь 2023'!$G$4:$G$1053,'сентябрь 2023'!$D$4:$D$1053,$B187,'сентябрь 2023'!$J$4:$J$1053,T$1)</f>
        <v>0</v>
      </c>
      <c r="U187" s="207">
        <f>SUMIFS('сентябрь 2023'!$G$4:$G$1053,'сентябрь 2023'!$D$4:$D$1053,$B187,'сентябрь 2023'!$J$4:$J$1053,U$1)</f>
        <v>0</v>
      </c>
      <c r="V187" s="207">
        <f>SUMIFS('сентябрь 2023'!$G$4:$G$1053,'сентябрь 2023'!$D$4:$D$1053,$B187,'сентябрь 2023'!$J$4:$J$1053,V$1)</f>
        <v>0</v>
      </c>
      <c r="W187" s="207">
        <f>SUMIFS('сентябрь 2023'!$G$4:$G$1053,'сентябрь 2023'!$D$4:$D$1053,$B187,'сентябрь 2023'!$J$4:$J$1053,W$1)</f>
        <v>0</v>
      </c>
      <c r="X187" s="207">
        <f>SUMIFS('сентябрь 2023'!$G$4:$G$1053,'сентябрь 2023'!$D$4:$D$1053,$B187,'сентябрь 2023'!$J$4:$J$1053,X$1)</f>
        <v>0</v>
      </c>
      <c r="Y187" s="207">
        <f>SUMIFS('сентябрь 2023'!$G$4:$G$1053,'сентябрь 2023'!$D$4:$D$1053,$B187,'сентябрь 2023'!$J$4:$J$1053,Y$1)</f>
        <v>0</v>
      </c>
      <c r="Z187" s="207">
        <f>SUMIFS('сентябрь 2023'!$G$4:$G$1053,'сентябрь 2023'!$D$4:$D$1053,$B187,'сентябрь 2023'!$J$4:$J$1053,Z$1)</f>
        <v>0</v>
      </c>
      <c r="AA187" s="207">
        <f>SUMIFS('сентябрь 2023'!$G$4:$G$1053,'сентябрь 2023'!$D$4:$D$1053,$B187,'сентябрь 2023'!$J$4:$J$1053,AA$1)</f>
        <v>0</v>
      </c>
      <c r="AB187" s="207">
        <f>SUMIFS('сентябрь 2023'!$G$4:$G$1053,'сентябрь 2023'!$D$4:$D$1053,$B187,'сентябрь 2023'!$J$4:$J$1053,AB$1)</f>
        <v>0</v>
      </c>
      <c r="AC187" s="207">
        <f>SUMIFS('сентябрь 2023'!$G$4:$G$1053,'сентябрь 2023'!$D$4:$D$1053,$B187,'сентябрь 2023'!$J$4:$J$1053,AC$1)</f>
        <v>0</v>
      </c>
      <c r="AD187" s="207">
        <f>SUMIFS('сентябрь 2023'!$G$4:$G$1053,'сентябрь 2023'!$D$4:$D$1053,$B187,'сентябрь 2023'!$J$4:$J$1053,AD$1)</f>
        <v>0</v>
      </c>
      <c r="AE187" s="207">
        <f>SUMIFS('сентябрь 2023'!$G$4:$G$1053,'сентябрь 2023'!$D$4:$D$1053,$B187,'сентябрь 2023'!$J$4:$J$1053,AE$1)</f>
        <v>0</v>
      </c>
      <c r="AF187" s="207">
        <f>SUMIFS('сентябрь 2023'!$G$4:$G$1053,'сентябрь 2023'!$D$4:$D$1053,$B187,'сентябрь 2023'!$J$4:$J$1053,AF$1)</f>
        <v>0</v>
      </c>
      <c r="AG187" s="207">
        <f>SUMIFS('сентябрь 2023'!$G$4:$G$1053,'сентябрь 2023'!$D$4:$D$1053,$B187,'сентябрь 2023'!$J$4:$J$1053,AG$1)</f>
        <v>0</v>
      </c>
      <c r="AH187" s="207">
        <f>SUMIFS('сентябрь 2023'!$G$4:$G$1053,'сентябрь 2023'!$D$4:$D$1053,$B187,'сентябрь 2023'!$J$4:$J$1053,AH$1)</f>
        <v>0</v>
      </c>
      <c r="AI187" s="220">
        <f t="shared" si="4"/>
        <v>0</v>
      </c>
    </row>
    <row r="188" spans="2:35" ht="15.75" hidden="1" x14ac:dyDescent="0.25">
      <c r="B188" s="212"/>
      <c r="C188" s="211"/>
      <c r="D188" s="207">
        <f>SUMIFS('сентябрь 2023'!$G$4:$G$1053,'сентябрь 2023'!$D$4:$D$1053,$B188,'сентябрь 2023'!$J$4:$J$1053,D$1)</f>
        <v>0</v>
      </c>
      <c r="E188" s="207">
        <f>SUMIFS('сентябрь 2023'!$G$4:$G$1053,'сентябрь 2023'!$D$4:$D$1053,$B188,'сентябрь 2023'!$J$4:$J$1053,E$1)</f>
        <v>0</v>
      </c>
      <c r="F188" s="207">
        <f>SUMIFS('сентябрь 2023'!$G$4:$G$1053,'сентябрь 2023'!$D$4:$D$1053,$B188,'сентябрь 2023'!$J$4:$J$1053,F$1)</f>
        <v>0</v>
      </c>
      <c r="G188" s="207">
        <f>SUMIFS('сентябрь 2023'!$G$4:$G$1053,'сентябрь 2023'!$D$4:$D$1053,$B188,'сентябрь 2023'!$J$4:$J$1053,G$1)</f>
        <v>0</v>
      </c>
      <c r="H188" s="207">
        <f>SUMIFS('сентябрь 2023'!$G$4:$G$1053,'сентябрь 2023'!$D$4:$D$1053,$B188,'сентябрь 2023'!$J$4:$J$1053,H$1)</f>
        <v>0</v>
      </c>
      <c r="I188" s="207">
        <f>SUMIFS('сентябрь 2023'!$G$4:$G$1053,'сентябрь 2023'!$D$4:$D$1053,$B188,'сентябрь 2023'!$J$4:$J$1053,I$1)</f>
        <v>0</v>
      </c>
      <c r="J188" s="207">
        <f>SUMIFS('сентябрь 2023'!$G$4:$G$1053,'сентябрь 2023'!$D$4:$D$1053,$B188,'сентябрь 2023'!$J$4:$J$1053,J$1)</f>
        <v>0</v>
      </c>
      <c r="K188" s="207">
        <f>SUMIFS('сентябрь 2023'!$G$4:$G$1053,'сентябрь 2023'!$D$4:$D$1053,$B188,'сентябрь 2023'!$J$4:$J$1053,K$1)</f>
        <v>0</v>
      </c>
      <c r="L188" s="207">
        <f>SUMIFS('сентябрь 2023'!$G$4:$G$1053,'сентябрь 2023'!$D$4:$D$1053,$B188,'сентябрь 2023'!$J$4:$J$1053,L$1)</f>
        <v>0</v>
      </c>
      <c r="M188" s="207">
        <f>SUMIFS('сентябрь 2023'!$G$4:$G$1053,'сентябрь 2023'!$D$4:$D$1053,$B188,'сентябрь 2023'!$J$4:$J$1053,M$1)</f>
        <v>0</v>
      </c>
      <c r="N188" s="207">
        <f>SUMIFS('сентябрь 2023'!$G$4:$G$1053,'сентябрь 2023'!$D$4:$D$1053,$B188,'сентябрь 2023'!$J$4:$J$1053,N$1)</f>
        <v>0</v>
      </c>
      <c r="O188" s="207">
        <f>SUMIFS('сентябрь 2023'!$G$4:$G$1053,'сентябрь 2023'!$D$4:$D$1053,$B188,'сентябрь 2023'!$J$4:$J$1053,O$1)</f>
        <v>0</v>
      </c>
      <c r="P188" s="207">
        <f>SUMIFS('сентябрь 2023'!$G$4:$G$1053,'сентябрь 2023'!$D$4:$D$1053,$B188,'сентябрь 2023'!$J$4:$J$1053,P$1)</f>
        <v>0</v>
      </c>
      <c r="Q188" s="207">
        <f>SUMIFS('сентябрь 2023'!$G$4:$G$1053,'сентябрь 2023'!$D$4:$D$1053,$B188,'сентябрь 2023'!$J$4:$J$1053,Q$1)</f>
        <v>0</v>
      </c>
      <c r="R188" s="207">
        <f>SUMIFS('сентябрь 2023'!$G$4:$G$1053,'сентябрь 2023'!$D$4:$D$1053,$B188,'сентябрь 2023'!$J$4:$J$1053,R$1)</f>
        <v>0</v>
      </c>
      <c r="S188" s="207">
        <f>SUMIFS('сентябрь 2023'!$G$4:$G$1053,'сентябрь 2023'!$D$4:$D$1053,$B188,'сентябрь 2023'!$J$4:$J$1053,S$1)</f>
        <v>0</v>
      </c>
      <c r="T188" s="207">
        <f>SUMIFS('сентябрь 2023'!$G$4:$G$1053,'сентябрь 2023'!$D$4:$D$1053,$B188,'сентябрь 2023'!$J$4:$J$1053,T$1)</f>
        <v>0</v>
      </c>
      <c r="U188" s="207">
        <f>SUMIFS('сентябрь 2023'!$G$4:$G$1053,'сентябрь 2023'!$D$4:$D$1053,$B188,'сентябрь 2023'!$J$4:$J$1053,U$1)</f>
        <v>0</v>
      </c>
      <c r="V188" s="207">
        <f>SUMIFS('сентябрь 2023'!$G$4:$G$1053,'сентябрь 2023'!$D$4:$D$1053,$B188,'сентябрь 2023'!$J$4:$J$1053,V$1)</f>
        <v>0</v>
      </c>
      <c r="W188" s="207">
        <f>SUMIFS('сентябрь 2023'!$G$4:$G$1053,'сентябрь 2023'!$D$4:$D$1053,$B188,'сентябрь 2023'!$J$4:$J$1053,W$1)</f>
        <v>0</v>
      </c>
      <c r="X188" s="207">
        <f>SUMIFS('сентябрь 2023'!$G$4:$G$1053,'сентябрь 2023'!$D$4:$D$1053,$B188,'сентябрь 2023'!$J$4:$J$1053,X$1)</f>
        <v>0</v>
      </c>
      <c r="Y188" s="207">
        <f>SUMIFS('сентябрь 2023'!$G$4:$G$1053,'сентябрь 2023'!$D$4:$D$1053,$B188,'сентябрь 2023'!$J$4:$J$1053,Y$1)</f>
        <v>0</v>
      </c>
      <c r="Z188" s="207">
        <f>SUMIFS('сентябрь 2023'!$G$4:$G$1053,'сентябрь 2023'!$D$4:$D$1053,$B188,'сентябрь 2023'!$J$4:$J$1053,Z$1)</f>
        <v>0</v>
      </c>
      <c r="AA188" s="207">
        <f>SUMIFS('сентябрь 2023'!$G$4:$G$1053,'сентябрь 2023'!$D$4:$D$1053,$B188,'сентябрь 2023'!$J$4:$J$1053,AA$1)</f>
        <v>0</v>
      </c>
      <c r="AB188" s="207">
        <f>SUMIFS('сентябрь 2023'!$G$4:$G$1053,'сентябрь 2023'!$D$4:$D$1053,$B188,'сентябрь 2023'!$J$4:$J$1053,AB$1)</f>
        <v>0</v>
      </c>
      <c r="AC188" s="207">
        <f>SUMIFS('сентябрь 2023'!$G$4:$G$1053,'сентябрь 2023'!$D$4:$D$1053,$B188,'сентябрь 2023'!$J$4:$J$1053,AC$1)</f>
        <v>0</v>
      </c>
      <c r="AD188" s="207">
        <f>SUMIFS('сентябрь 2023'!$G$4:$G$1053,'сентябрь 2023'!$D$4:$D$1053,$B188,'сентябрь 2023'!$J$4:$J$1053,AD$1)</f>
        <v>0</v>
      </c>
      <c r="AE188" s="207">
        <f>SUMIFS('сентябрь 2023'!$G$4:$G$1053,'сентябрь 2023'!$D$4:$D$1053,$B188,'сентябрь 2023'!$J$4:$J$1053,AE$1)</f>
        <v>0</v>
      </c>
      <c r="AF188" s="207">
        <f>SUMIFS('сентябрь 2023'!$G$4:$G$1053,'сентябрь 2023'!$D$4:$D$1053,$B188,'сентябрь 2023'!$J$4:$J$1053,AF$1)</f>
        <v>0</v>
      </c>
      <c r="AG188" s="207">
        <f>SUMIFS('сентябрь 2023'!$G$4:$G$1053,'сентябрь 2023'!$D$4:$D$1053,$B188,'сентябрь 2023'!$J$4:$J$1053,AG$1)</f>
        <v>0</v>
      </c>
      <c r="AH188" s="207">
        <f>SUMIFS('сентябрь 2023'!$G$4:$G$1053,'сентябрь 2023'!$D$4:$D$1053,$B188,'сентябрь 2023'!$J$4:$J$1053,AH$1)</f>
        <v>0</v>
      </c>
      <c r="AI188" s="220">
        <f t="shared" si="4"/>
        <v>0</v>
      </c>
    </row>
    <row r="189" spans="2:35" ht="15.75" hidden="1" x14ac:dyDescent="0.25">
      <c r="B189" s="212"/>
      <c r="C189" s="211"/>
      <c r="D189" s="207">
        <f>SUMIFS('сентябрь 2023'!$G$4:$G$1053,'сентябрь 2023'!$D$4:$D$1053,$B189,'сентябрь 2023'!$J$4:$J$1053,D$1)</f>
        <v>0</v>
      </c>
      <c r="E189" s="207">
        <f>SUMIFS('сентябрь 2023'!$G$4:$G$1053,'сентябрь 2023'!$D$4:$D$1053,$B189,'сентябрь 2023'!$J$4:$J$1053,E$1)</f>
        <v>0</v>
      </c>
      <c r="F189" s="207">
        <f>SUMIFS('сентябрь 2023'!$G$4:$G$1053,'сентябрь 2023'!$D$4:$D$1053,$B189,'сентябрь 2023'!$J$4:$J$1053,F$1)</f>
        <v>0</v>
      </c>
      <c r="G189" s="207">
        <f>SUMIFS('сентябрь 2023'!$G$4:$G$1053,'сентябрь 2023'!$D$4:$D$1053,$B189,'сентябрь 2023'!$J$4:$J$1053,G$1)</f>
        <v>0</v>
      </c>
      <c r="H189" s="207">
        <f>SUMIFS('сентябрь 2023'!$G$4:$G$1053,'сентябрь 2023'!$D$4:$D$1053,$B189,'сентябрь 2023'!$J$4:$J$1053,H$1)</f>
        <v>0</v>
      </c>
      <c r="I189" s="207">
        <f>SUMIFS('сентябрь 2023'!$G$4:$G$1053,'сентябрь 2023'!$D$4:$D$1053,$B189,'сентябрь 2023'!$J$4:$J$1053,I$1)</f>
        <v>0</v>
      </c>
      <c r="J189" s="207">
        <f>SUMIFS('сентябрь 2023'!$G$4:$G$1053,'сентябрь 2023'!$D$4:$D$1053,$B189,'сентябрь 2023'!$J$4:$J$1053,J$1)</f>
        <v>0</v>
      </c>
      <c r="K189" s="207">
        <f>SUMIFS('сентябрь 2023'!$G$4:$G$1053,'сентябрь 2023'!$D$4:$D$1053,$B189,'сентябрь 2023'!$J$4:$J$1053,K$1)</f>
        <v>0</v>
      </c>
      <c r="L189" s="207">
        <f>SUMIFS('сентябрь 2023'!$G$4:$G$1053,'сентябрь 2023'!$D$4:$D$1053,$B189,'сентябрь 2023'!$J$4:$J$1053,L$1)</f>
        <v>0</v>
      </c>
      <c r="M189" s="207">
        <f>SUMIFS('сентябрь 2023'!$G$4:$G$1053,'сентябрь 2023'!$D$4:$D$1053,$B189,'сентябрь 2023'!$J$4:$J$1053,M$1)</f>
        <v>0</v>
      </c>
      <c r="N189" s="207">
        <f>SUMIFS('сентябрь 2023'!$G$4:$G$1053,'сентябрь 2023'!$D$4:$D$1053,$B189,'сентябрь 2023'!$J$4:$J$1053,N$1)</f>
        <v>0</v>
      </c>
      <c r="O189" s="207">
        <f>SUMIFS('сентябрь 2023'!$G$4:$G$1053,'сентябрь 2023'!$D$4:$D$1053,$B189,'сентябрь 2023'!$J$4:$J$1053,O$1)</f>
        <v>0</v>
      </c>
      <c r="P189" s="207">
        <f>SUMIFS('сентябрь 2023'!$G$4:$G$1053,'сентябрь 2023'!$D$4:$D$1053,$B189,'сентябрь 2023'!$J$4:$J$1053,P$1)</f>
        <v>0</v>
      </c>
      <c r="Q189" s="207">
        <f>SUMIFS('сентябрь 2023'!$G$4:$G$1053,'сентябрь 2023'!$D$4:$D$1053,$B189,'сентябрь 2023'!$J$4:$J$1053,Q$1)</f>
        <v>0</v>
      </c>
      <c r="R189" s="207">
        <f>SUMIFS('сентябрь 2023'!$G$4:$G$1053,'сентябрь 2023'!$D$4:$D$1053,$B189,'сентябрь 2023'!$J$4:$J$1053,R$1)</f>
        <v>0</v>
      </c>
      <c r="S189" s="207">
        <f>SUMIFS('сентябрь 2023'!$G$4:$G$1053,'сентябрь 2023'!$D$4:$D$1053,$B189,'сентябрь 2023'!$J$4:$J$1053,S$1)</f>
        <v>0</v>
      </c>
      <c r="T189" s="207">
        <f>SUMIFS('сентябрь 2023'!$G$4:$G$1053,'сентябрь 2023'!$D$4:$D$1053,$B189,'сентябрь 2023'!$J$4:$J$1053,T$1)</f>
        <v>0</v>
      </c>
      <c r="U189" s="207">
        <f>SUMIFS('сентябрь 2023'!$G$4:$G$1053,'сентябрь 2023'!$D$4:$D$1053,$B189,'сентябрь 2023'!$J$4:$J$1053,U$1)</f>
        <v>0</v>
      </c>
      <c r="V189" s="207">
        <f>SUMIFS('сентябрь 2023'!$G$4:$G$1053,'сентябрь 2023'!$D$4:$D$1053,$B189,'сентябрь 2023'!$J$4:$J$1053,V$1)</f>
        <v>0</v>
      </c>
      <c r="W189" s="207">
        <f>SUMIFS('сентябрь 2023'!$G$4:$G$1053,'сентябрь 2023'!$D$4:$D$1053,$B189,'сентябрь 2023'!$J$4:$J$1053,W$1)</f>
        <v>0</v>
      </c>
      <c r="X189" s="207">
        <f>SUMIFS('сентябрь 2023'!$G$4:$G$1053,'сентябрь 2023'!$D$4:$D$1053,$B189,'сентябрь 2023'!$J$4:$J$1053,X$1)</f>
        <v>0</v>
      </c>
      <c r="Y189" s="207">
        <f>SUMIFS('сентябрь 2023'!$G$4:$G$1053,'сентябрь 2023'!$D$4:$D$1053,$B189,'сентябрь 2023'!$J$4:$J$1053,Y$1)</f>
        <v>0</v>
      </c>
      <c r="Z189" s="207">
        <f>SUMIFS('сентябрь 2023'!$G$4:$G$1053,'сентябрь 2023'!$D$4:$D$1053,$B189,'сентябрь 2023'!$J$4:$J$1053,Z$1)</f>
        <v>0</v>
      </c>
      <c r="AA189" s="207">
        <f>SUMIFS('сентябрь 2023'!$G$4:$G$1053,'сентябрь 2023'!$D$4:$D$1053,$B189,'сентябрь 2023'!$J$4:$J$1053,AA$1)</f>
        <v>0</v>
      </c>
      <c r="AB189" s="207">
        <f>SUMIFS('сентябрь 2023'!$G$4:$G$1053,'сентябрь 2023'!$D$4:$D$1053,$B189,'сентябрь 2023'!$J$4:$J$1053,AB$1)</f>
        <v>0</v>
      </c>
      <c r="AC189" s="207">
        <f>SUMIFS('сентябрь 2023'!$G$4:$G$1053,'сентябрь 2023'!$D$4:$D$1053,$B189,'сентябрь 2023'!$J$4:$J$1053,AC$1)</f>
        <v>0</v>
      </c>
      <c r="AD189" s="207">
        <f>SUMIFS('сентябрь 2023'!$G$4:$G$1053,'сентябрь 2023'!$D$4:$D$1053,$B189,'сентябрь 2023'!$J$4:$J$1053,AD$1)</f>
        <v>0</v>
      </c>
      <c r="AE189" s="207">
        <f>SUMIFS('сентябрь 2023'!$G$4:$G$1053,'сентябрь 2023'!$D$4:$D$1053,$B189,'сентябрь 2023'!$J$4:$J$1053,AE$1)</f>
        <v>0</v>
      </c>
      <c r="AF189" s="207">
        <f>SUMIFS('сентябрь 2023'!$G$4:$G$1053,'сентябрь 2023'!$D$4:$D$1053,$B189,'сентябрь 2023'!$J$4:$J$1053,AF$1)</f>
        <v>0</v>
      </c>
      <c r="AG189" s="207">
        <f>SUMIFS('сентябрь 2023'!$G$4:$G$1053,'сентябрь 2023'!$D$4:$D$1053,$B189,'сентябрь 2023'!$J$4:$J$1053,AG$1)</f>
        <v>0</v>
      </c>
      <c r="AH189" s="207">
        <f>SUMIFS('сентябрь 2023'!$G$4:$G$1053,'сентябрь 2023'!$D$4:$D$1053,$B189,'сентябрь 2023'!$J$4:$J$1053,AH$1)</f>
        <v>0</v>
      </c>
      <c r="AI189" s="220">
        <f t="shared" si="4"/>
        <v>0</v>
      </c>
    </row>
    <row r="190" spans="2:35" ht="15.75" hidden="1" x14ac:dyDescent="0.25">
      <c r="B190" s="212"/>
      <c r="C190" s="211"/>
      <c r="D190" s="207">
        <f>SUMIFS('сентябрь 2023'!$G$4:$G$1053,'сентябрь 2023'!$D$4:$D$1053,$B190,'сентябрь 2023'!$J$4:$J$1053,D$1)</f>
        <v>0</v>
      </c>
      <c r="E190" s="207">
        <f>SUMIFS('сентябрь 2023'!$G$4:$G$1053,'сентябрь 2023'!$D$4:$D$1053,$B190,'сентябрь 2023'!$J$4:$J$1053,E$1)</f>
        <v>0</v>
      </c>
      <c r="F190" s="207">
        <f>SUMIFS('сентябрь 2023'!$G$4:$G$1053,'сентябрь 2023'!$D$4:$D$1053,$B190,'сентябрь 2023'!$J$4:$J$1053,F$1)</f>
        <v>0</v>
      </c>
      <c r="G190" s="207">
        <f>SUMIFS('сентябрь 2023'!$G$4:$G$1053,'сентябрь 2023'!$D$4:$D$1053,$B190,'сентябрь 2023'!$J$4:$J$1053,G$1)</f>
        <v>0</v>
      </c>
      <c r="H190" s="207">
        <f>SUMIFS('сентябрь 2023'!$G$4:$G$1053,'сентябрь 2023'!$D$4:$D$1053,$B190,'сентябрь 2023'!$J$4:$J$1053,H$1)</f>
        <v>0</v>
      </c>
      <c r="I190" s="207">
        <f>SUMIFS('сентябрь 2023'!$G$4:$G$1053,'сентябрь 2023'!$D$4:$D$1053,$B190,'сентябрь 2023'!$J$4:$J$1053,I$1)</f>
        <v>0</v>
      </c>
      <c r="J190" s="207">
        <f>SUMIFS('сентябрь 2023'!$G$4:$G$1053,'сентябрь 2023'!$D$4:$D$1053,$B190,'сентябрь 2023'!$J$4:$J$1053,J$1)</f>
        <v>0</v>
      </c>
      <c r="K190" s="207">
        <f>SUMIFS('сентябрь 2023'!$G$4:$G$1053,'сентябрь 2023'!$D$4:$D$1053,$B190,'сентябрь 2023'!$J$4:$J$1053,K$1)</f>
        <v>0</v>
      </c>
      <c r="L190" s="207">
        <f>SUMIFS('сентябрь 2023'!$G$4:$G$1053,'сентябрь 2023'!$D$4:$D$1053,$B190,'сентябрь 2023'!$J$4:$J$1053,L$1)</f>
        <v>0</v>
      </c>
      <c r="M190" s="207">
        <f>SUMIFS('сентябрь 2023'!$G$4:$G$1053,'сентябрь 2023'!$D$4:$D$1053,$B190,'сентябрь 2023'!$J$4:$J$1053,M$1)</f>
        <v>0</v>
      </c>
      <c r="N190" s="207">
        <f>SUMIFS('сентябрь 2023'!$G$4:$G$1053,'сентябрь 2023'!$D$4:$D$1053,$B190,'сентябрь 2023'!$J$4:$J$1053,N$1)</f>
        <v>0</v>
      </c>
      <c r="O190" s="207">
        <f>SUMIFS('сентябрь 2023'!$G$4:$G$1053,'сентябрь 2023'!$D$4:$D$1053,$B190,'сентябрь 2023'!$J$4:$J$1053,O$1)</f>
        <v>0</v>
      </c>
      <c r="P190" s="207">
        <f>SUMIFS('сентябрь 2023'!$G$4:$G$1053,'сентябрь 2023'!$D$4:$D$1053,$B190,'сентябрь 2023'!$J$4:$J$1053,P$1)</f>
        <v>0</v>
      </c>
      <c r="Q190" s="207">
        <f>SUMIFS('сентябрь 2023'!$G$4:$G$1053,'сентябрь 2023'!$D$4:$D$1053,$B190,'сентябрь 2023'!$J$4:$J$1053,Q$1)</f>
        <v>0</v>
      </c>
      <c r="R190" s="207">
        <f>SUMIFS('сентябрь 2023'!$G$4:$G$1053,'сентябрь 2023'!$D$4:$D$1053,$B190,'сентябрь 2023'!$J$4:$J$1053,R$1)</f>
        <v>0</v>
      </c>
      <c r="S190" s="207">
        <f>SUMIFS('сентябрь 2023'!$G$4:$G$1053,'сентябрь 2023'!$D$4:$D$1053,$B190,'сентябрь 2023'!$J$4:$J$1053,S$1)</f>
        <v>0</v>
      </c>
      <c r="T190" s="207">
        <f>SUMIFS('сентябрь 2023'!$G$4:$G$1053,'сентябрь 2023'!$D$4:$D$1053,$B190,'сентябрь 2023'!$J$4:$J$1053,T$1)</f>
        <v>0</v>
      </c>
      <c r="U190" s="207">
        <f>SUMIFS('сентябрь 2023'!$G$4:$G$1053,'сентябрь 2023'!$D$4:$D$1053,$B190,'сентябрь 2023'!$J$4:$J$1053,U$1)</f>
        <v>0</v>
      </c>
      <c r="V190" s="207">
        <f>SUMIFS('сентябрь 2023'!$G$4:$G$1053,'сентябрь 2023'!$D$4:$D$1053,$B190,'сентябрь 2023'!$J$4:$J$1053,V$1)</f>
        <v>0</v>
      </c>
      <c r="W190" s="207">
        <f>SUMIFS('сентябрь 2023'!$G$4:$G$1053,'сентябрь 2023'!$D$4:$D$1053,$B190,'сентябрь 2023'!$J$4:$J$1053,W$1)</f>
        <v>0</v>
      </c>
      <c r="X190" s="207">
        <f>SUMIFS('сентябрь 2023'!$G$4:$G$1053,'сентябрь 2023'!$D$4:$D$1053,$B190,'сентябрь 2023'!$J$4:$J$1053,X$1)</f>
        <v>0</v>
      </c>
      <c r="Y190" s="207">
        <f>SUMIFS('сентябрь 2023'!$G$4:$G$1053,'сентябрь 2023'!$D$4:$D$1053,$B190,'сентябрь 2023'!$J$4:$J$1053,Y$1)</f>
        <v>0</v>
      </c>
      <c r="Z190" s="207">
        <f>SUMIFS('сентябрь 2023'!$G$4:$G$1053,'сентябрь 2023'!$D$4:$D$1053,$B190,'сентябрь 2023'!$J$4:$J$1053,Z$1)</f>
        <v>0</v>
      </c>
      <c r="AA190" s="207">
        <f>SUMIFS('сентябрь 2023'!$G$4:$G$1053,'сентябрь 2023'!$D$4:$D$1053,$B190,'сентябрь 2023'!$J$4:$J$1053,AA$1)</f>
        <v>0</v>
      </c>
      <c r="AB190" s="207">
        <f>SUMIFS('сентябрь 2023'!$G$4:$G$1053,'сентябрь 2023'!$D$4:$D$1053,$B190,'сентябрь 2023'!$J$4:$J$1053,AB$1)</f>
        <v>0</v>
      </c>
      <c r="AC190" s="207">
        <f>SUMIFS('сентябрь 2023'!$G$4:$G$1053,'сентябрь 2023'!$D$4:$D$1053,$B190,'сентябрь 2023'!$J$4:$J$1053,AC$1)</f>
        <v>0</v>
      </c>
      <c r="AD190" s="207">
        <f>SUMIFS('сентябрь 2023'!$G$4:$G$1053,'сентябрь 2023'!$D$4:$D$1053,$B190,'сентябрь 2023'!$J$4:$J$1053,AD$1)</f>
        <v>0</v>
      </c>
      <c r="AE190" s="207">
        <f>SUMIFS('сентябрь 2023'!$G$4:$G$1053,'сентябрь 2023'!$D$4:$D$1053,$B190,'сентябрь 2023'!$J$4:$J$1053,AE$1)</f>
        <v>0</v>
      </c>
      <c r="AF190" s="207">
        <f>SUMIFS('сентябрь 2023'!$G$4:$G$1053,'сентябрь 2023'!$D$4:$D$1053,$B190,'сентябрь 2023'!$J$4:$J$1053,AF$1)</f>
        <v>0</v>
      </c>
      <c r="AG190" s="207">
        <f>SUMIFS('сентябрь 2023'!$G$4:$G$1053,'сентябрь 2023'!$D$4:$D$1053,$B190,'сентябрь 2023'!$J$4:$J$1053,AG$1)</f>
        <v>0</v>
      </c>
      <c r="AH190" s="207">
        <f>SUMIFS('сентябрь 2023'!$G$4:$G$1053,'сентябрь 2023'!$D$4:$D$1053,$B190,'сентябрь 2023'!$J$4:$J$1053,AH$1)</f>
        <v>0</v>
      </c>
      <c r="AI190" s="220">
        <f t="shared" si="4"/>
        <v>0</v>
      </c>
    </row>
    <row r="191" spans="2:35" ht="15.75" hidden="1" x14ac:dyDescent="0.25">
      <c r="B191" s="212"/>
      <c r="C191" s="211"/>
      <c r="D191" s="207">
        <f>SUMIFS('сентябрь 2023'!$G$4:$G$1053,'сентябрь 2023'!$D$4:$D$1053,$B191,'сентябрь 2023'!$J$4:$J$1053,D$1)</f>
        <v>0</v>
      </c>
      <c r="E191" s="207">
        <f>SUMIFS('сентябрь 2023'!$G$4:$G$1053,'сентябрь 2023'!$D$4:$D$1053,$B191,'сентябрь 2023'!$J$4:$J$1053,E$1)</f>
        <v>0</v>
      </c>
      <c r="F191" s="207">
        <f>SUMIFS('сентябрь 2023'!$G$4:$G$1053,'сентябрь 2023'!$D$4:$D$1053,$B191,'сентябрь 2023'!$J$4:$J$1053,F$1)</f>
        <v>0</v>
      </c>
      <c r="G191" s="207">
        <f>SUMIFS('сентябрь 2023'!$G$4:$G$1053,'сентябрь 2023'!$D$4:$D$1053,$B191,'сентябрь 2023'!$J$4:$J$1053,G$1)</f>
        <v>0</v>
      </c>
      <c r="H191" s="207">
        <f>SUMIFS('сентябрь 2023'!$G$4:$G$1053,'сентябрь 2023'!$D$4:$D$1053,$B191,'сентябрь 2023'!$J$4:$J$1053,H$1)</f>
        <v>0</v>
      </c>
      <c r="I191" s="207">
        <f>SUMIFS('сентябрь 2023'!$G$4:$G$1053,'сентябрь 2023'!$D$4:$D$1053,$B191,'сентябрь 2023'!$J$4:$J$1053,I$1)</f>
        <v>0</v>
      </c>
      <c r="J191" s="207">
        <f>SUMIFS('сентябрь 2023'!$G$4:$G$1053,'сентябрь 2023'!$D$4:$D$1053,$B191,'сентябрь 2023'!$J$4:$J$1053,J$1)</f>
        <v>0</v>
      </c>
      <c r="K191" s="207">
        <f>SUMIFS('сентябрь 2023'!$G$4:$G$1053,'сентябрь 2023'!$D$4:$D$1053,$B191,'сентябрь 2023'!$J$4:$J$1053,K$1)</f>
        <v>0</v>
      </c>
      <c r="L191" s="207">
        <f>SUMIFS('сентябрь 2023'!$G$4:$G$1053,'сентябрь 2023'!$D$4:$D$1053,$B191,'сентябрь 2023'!$J$4:$J$1053,L$1)</f>
        <v>0</v>
      </c>
      <c r="M191" s="207">
        <f>SUMIFS('сентябрь 2023'!$G$4:$G$1053,'сентябрь 2023'!$D$4:$D$1053,$B191,'сентябрь 2023'!$J$4:$J$1053,M$1)</f>
        <v>0</v>
      </c>
      <c r="N191" s="207">
        <f>SUMIFS('сентябрь 2023'!$G$4:$G$1053,'сентябрь 2023'!$D$4:$D$1053,$B191,'сентябрь 2023'!$J$4:$J$1053,N$1)</f>
        <v>0</v>
      </c>
      <c r="O191" s="207">
        <f>SUMIFS('сентябрь 2023'!$G$4:$G$1053,'сентябрь 2023'!$D$4:$D$1053,$B191,'сентябрь 2023'!$J$4:$J$1053,O$1)</f>
        <v>0</v>
      </c>
      <c r="P191" s="207">
        <f>SUMIFS('сентябрь 2023'!$G$4:$G$1053,'сентябрь 2023'!$D$4:$D$1053,$B191,'сентябрь 2023'!$J$4:$J$1053,P$1)</f>
        <v>0</v>
      </c>
      <c r="Q191" s="207">
        <f>SUMIFS('сентябрь 2023'!$G$4:$G$1053,'сентябрь 2023'!$D$4:$D$1053,$B191,'сентябрь 2023'!$J$4:$J$1053,Q$1)</f>
        <v>0</v>
      </c>
      <c r="R191" s="207">
        <f>SUMIFS('сентябрь 2023'!$G$4:$G$1053,'сентябрь 2023'!$D$4:$D$1053,$B191,'сентябрь 2023'!$J$4:$J$1053,R$1)</f>
        <v>0</v>
      </c>
      <c r="S191" s="207">
        <f>SUMIFS('сентябрь 2023'!$G$4:$G$1053,'сентябрь 2023'!$D$4:$D$1053,$B191,'сентябрь 2023'!$J$4:$J$1053,S$1)</f>
        <v>0</v>
      </c>
      <c r="T191" s="207">
        <f>SUMIFS('сентябрь 2023'!$G$4:$G$1053,'сентябрь 2023'!$D$4:$D$1053,$B191,'сентябрь 2023'!$J$4:$J$1053,T$1)</f>
        <v>0</v>
      </c>
      <c r="U191" s="207">
        <f>SUMIFS('сентябрь 2023'!$G$4:$G$1053,'сентябрь 2023'!$D$4:$D$1053,$B191,'сентябрь 2023'!$J$4:$J$1053,U$1)</f>
        <v>0</v>
      </c>
      <c r="V191" s="207">
        <f>SUMIFS('сентябрь 2023'!$G$4:$G$1053,'сентябрь 2023'!$D$4:$D$1053,$B191,'сентябрь 2023'!$J$4:$J$1053,V$1)</f>
        <v>0</v>
      </c>
      <c r="W191" s="207">
        <f>SUMIFS('сентябрь 2023'!$G$4:$G$1053,'сентябрь 2023'!$D$4:$D$1053,$B191,'сентябрь 2023'!$J$4:$J$1053,W$1)</f>
        <v>0</v>
      </c>
      <c r="X191" s="207">
        <f>SUMIFS('сентябрь 2023'!$G$4:$G$1053,'сентябрь 2023'!$D$4:$D$1053,$B191,'сентябрь 2023'!$J$4:$J$1053,X$1)</f>
        <v>0</v>
      </c>
      <c r="Y191" s="207">
        <f>SUMIFS('сентябрь 2023'!$G$4:$G$1053,'сентябрь 2023'!$D$4:$D$1053,$B191,'сентябрь 2023'!$J$4:$J$1053,Y$1)</f>
        <v>0</v>
      </c>
      <c r="Z191" s="207">
        <f>SUMIFS('сентябрь 2023'!$G$4:$G$1053,'сентябрь 2023'!$D$4:$D$1053,$B191,'сентябрь 2023'!$J$4:$J$1053,Z$1)</f>
        <v>0</v>
      </c>
      <c r="AA191" s="207">
        <f>SUMIFS('сентябрь 2023'!$G$4:$G$1053,'сентябрь 2023'!$D$4:$D$1053,$B191,'сентябрь 2023'!$J$4:$J$1053,AA$1)</f>
        <v>0</v>
      </c>
      <c r="AB191" s="207">
        <f>SUMIFS('сентябрь 2023'!$G$4:$G$1053,'сентябрь 2023'!$D$4:$D$1053,$B191,'сентябрь 2023'!$J$4:$J$1053,AB$1)</f>
        <v>0</v>
      </c>
      <c r="AC191" s="207">
        <f>SUMIFS('сентябрь 2023'!$G$4:$G$1053,'сентябрь 2023'!$D$4:$D$1053,$B191,'сентябрь 2023'!$J$4:$J$1053,AC$1)</f>
        <v>0</v>
      </c>
      <c r="AD191" s="207">
        <f>SUMIFS('сентябрь 2023'!$G$4:$G$1053,'сентябрь 2023'!$D$4:$D$1053,$B191,'сентябрь 2023'!$J$4:$J$1053,AD$1)</f>
        <v>0</v>
      </c>
      <c r="AE191" s="207">
        <f>SUMIFS('сентябрь 2023'!$G$4:$G$1053,'сентябрь 2023'!$D$4:$D$1053,$B191,'сентябрь 2023'!$J$4:$J$1053,AE$1)</f>
        <v>0</v>
      </c>
      <c r="AF191" s="207">
        <f>SUMIFS('сентябрь 2023'!$G$4:$G$1053,'сентябрь 2023'!$D$4:$D$1053,$B191,'сентябрь 2023'!$J$4:$J$1053,AF$1)</f>
        <v>0</v>
      </c>
      <c r="AG191" s="207">
        <f>SUMIFS('сентябрь 2023'!$G$4:$G$1053,'сентябрь 2023'!$D$4:$D$1053,$B191,'сентябрь 2023'!$J$4:$J$1053,AG$1)</f>
        <v>0</v>
      </c>
      <c r="AH191" s="207">
        <f>SUMIFS('сентябрь 2023'!$G$4:$G$1053,'сентябрь 2023'!$D$4:$D$1053,$B191,'сентябрь 2023'!$J$4:$J$1053,AH$1)</f>
        <v>0</v>
      </c>
      <c r="AI191" s="220">
        <f t="shared" si="4"/>
        <v>0</v>
      </c>
    </row>
    <row r="192" spans="2:35" ht="15.75" x14ac:dyDescent="0.25">
      <c r="B192" s="212"/>
      <c r="C192" s="221"/>
      <c r="D192" s="207">
        <f>SUMIFS('сентябрь 2023'!$G$4:$G$1053,'сентябрь 2023'!$D$4:$D$1053,$B192,'сентябрь 2023'!$J$4:$J$1053,D$1)</f>
        <v>0</v>
      </c>
      <c r="E192" s="207">
        <f>SUMIFS('сентябрь 2023'!$G$4:$G$1053,'сентябрь 2023'!$D$4:$D$1053,$B192,'сентябрь 2023'!$J$4:$J$1053,E$1)</f>
        <v>0</v>
      </c>
      <c r="F192" s="207">
        <f>SUMIFS('сентябрь 2023'!$G$4:$G$1053,'сентябрь 2023'!$D$4:$D$1053,$B192,'сентябрь 2023'!$J$4:$J$1053,F$1)</f>
        <v>0</v>
      </c>
      <c r="G192" s="207">
        <f>SUMIFS('сентябрь 2023'!$G$4:$G$1053,'сентябрь 2023'!$D$4:$D$1053,$B192,'сентябрь 2023'!$J$4:$J$1053,G$1)</f>
        <v>0</v>
      </c>
      <c r="H192" s="207">
        <f>SUMIFS('сентябрь 2023'!$G$4:$G$1053,'сентябрь 2023'!$D$4:$D$1053,$B192,'сентябрь 2023'!$J$4:$J$1053,H$1)</f>
        <v>0</v>
      </c>
      <c r="I192" s="207">
        <f>SUMIFS('сентябрь 2023'!$G$4:$G$1053,'сентябрь 2023'!$D$4:$D$1053,$B192,'сентябрь 2023'!$J$4:$J$1053,I$1)</f>
        <v>0</v>
      </c>
      <c r="J192" s="207">
        <f>SUMIFS('сентябрь 2023'!$G$4:$G$1053,'сентябрь 2023'!$D$4:$D$1053,$B192,'сентябрь 2023'!$J$4:$J$1053,J$1)</f>
        <v>0</v>
      </c>
      <c r="K192" s="207">
        <f>SUMIFS('сентябрь 2023'!$G$4:$G$1053,'сентябрь 2023'!$D$4:$D$1053,$B192,'сентябрь 2023'!$J$4:$J$1053,K$1)</f>
        <v>0</v>
      </c>
      <c r="L192" s="207">
        <f>SUMIFS('сентябрь 2023'!$G$4:$G$1053,'сентябрь 2023'!$D$4:$D$1053,$B192,'сентябрь 2023'!$J$4:$J$1053,L$1)</f>
        <v>0</v>
      </c>
      <c r="M192" s="207">
        <f>SUMIFS('сентябрь 2023'!$G$4:$G$1053,'сентябрь 2023'!$D$4:$D$1053,$B192,'сентябрь 2023'!$J$4:$J$1053,M$1)</f>
        <v>0</v>
      </c>
      <c r="N192" s="207">
        <f>SUMIFS('сентябрь 2023'!$G$4:$G$1053,'сентябрь 2023'!$D$4:$D$1053,$B192,'сентябрь 2023'!$J$4:$J$1053,N$1)</f>
        <v>0</v>
      </c>
      <c r="O192" s="207">
        <f>SUMIFS('сентябрь 2023'!$G$4:$G$1053,'сентябрь 2023'!$D$4:$D$1053,$B192,'сентябрь 2023'!$J$4:$J$1053,O$1)</f>
        <v>0</v>
      </c>
      <c r="P192" s="207">
        <f>SUMIFS('сентябрь 2023'!$G$4:$G$1053,'сентябрь 2023'!$D$4:$D$1053,$B192,'сентябрь 2023'!$J$4:$J$1053,P$1)</f>
        <v>0</v>
      </c>
      <c r="Q192" s="207">
        <f>SUMIFS('сентябрь 2023'!$G$4:$G$1053,'сентябрь 2023'!$D$4:$D$1053,$B192,'сентябрь 2023'!$J$4:$J$1053,Q$1)</f>
        <v>0</v>
      </c>
      <c r="R192" s="207">
        <f>SUMIFS('сентябрь 2023'!$G$4:$G$1053,'сентябрь 2023'!$D$4:$D$1053,$B192,'сентябрь 2023'!$J$4:$J$1053,R$1)</f>
        <v>0</v>
      </c>
      <c r="S192" s="207">
        <f>SUMIFS('сентябрь 2023'!$G$4:$G$1053,'сентябрь 2023'!$D$4:$D$1053,$B192,'сентябрь 2023'!$J$4:$J$1053,S$1)</f>
        <v>0</v>
      </c>
      <c r="T192" s="207">
        <f>SUMIFS('сентябрь 2023'!$G$4:$G$1053,'сентябрь 2023'!$D$4:$D$1053,$B192,'сентябрь 2023'!$J$4:$J$1053,T$1)</f>
        <v>0</v>
      </c>
      <c r="U192" s="207">
        <f>SUMIFS('сентябрь 2023'!$G$4:$G$1053,'сентябрь 2023'!$D$4:$D$1053,$B192,'сентябрь 2023'!$J$4:$J$1053,U$1)</f>
        <v>0</v>
      </c>
      <c r="V192" s="207">
        <f>SUMIFS('сентябрь 2023'!$G$4:$G$1053,'сентябрь 2023'!$D$4:$D$1053,$B192,'сентябрь 2023'!$J$4:$J$1053,V$1)</f>
        <v>0</v>
      </c>
      <c r="W192" s="207">
        <f>SUMIFS('сентябрь 2023'!$G$4:$G$1053,'сентябрь 2023'!$D$4:$D$1053,$B192,'сентябрь 2023'!$J$4:$J$1053,W$1)</f>
        <v>0</v>
      </c>
      <c r="X192" s="207">
        <f>SUMIFS('сентябрь 2023'!$G$4:$G$1053,'сентябрь 2023'!$D$4:$D$1053,$B192,'сентябрь 2023'!$J$4:$J$1053,X$1)</f>
        <v>0</v>
      </c>
      <c r="Y192" s="207">
        <f>SUMIFS('сентябрь 2023'!$G$4:$G$1053,'сентябрь 2023'!$D$4:$D$1053,$B192,'сентябрь 2023'!$J$4:$J$1053,Y$1)</f>
        <v>0</v>
      </c>
      <c r="Z192" s="207">
        <f>SUMIFS('сентябрь 2023'!$G$4:$G$1053,'сентябрь 2023'!$D$4:$D$1053,$B192,'сентябрь 2023'!$J$4:$J$1053,Z$1)</f>
        <v>0</v>
      </c>
      <c r="AA192" s="207">
        <f>SUMIFS('сентябрь 2023'!$G$4:$G$1053,'сентябрь 2023'!$D$4:$D$1053,$B192,'сентябрь 2023'!$J$4:$J$1053,AA$1)</f>
        <v>0</v>
      </c>
      <c r="AB192" s="207">
        <f>SUMIFS('сентябрь 2023'!$G$4:$G$1053,'сентябрь 2023'!$D$4:$D$1053,$B192,'сентябрь 2023'!$J$4:$J$1053,AB$1)</f>
        <v>0</v>
      </c>
      <c r="AC192" s="207">
        <f>SUMIFS('сентябрь 2023'!$G$4:$G$1053,'сентябрь 2023'!$D$4:$D$1053,$B192,'сентябрь 2023'!$J$4:$J$1053,AC$1)</f>
        <v>0</v>
      </c>
      <c r="AD192" s="207">
        <f>SUMIFS('сентябрь 2023'!$G$4:$G$1053,'сентябрь 2023'!$D$4:$D$1053,$B192,'сентябрь 2023'!$J$4:$J$1053,AD$1)</f>
        <v>0</v>
      </c>
      <c r="AE192" s="207">
        <f>SUMIFS('сентябрь 2023'!$G$4:$G$1053,'сентябрь 2023'!$D$4:$D$1053,$B192,'сентябрь 2023'!$J$4:$J$1053,AE$1)</f>
        <v>0</v>
      </c>
      <c r="AF192" s="207">
        <f>SUMIFS('сентябрь 2023'!$G$4:$G$1053,'сентябрь 2023'!$D$4:$D$1053,$B192,'сентябрь 2023'!$J$4:$J$1053,AF$1)</f>
        <v>0</v>
      </c>
      <c r="AG192" s="207">
        <f>SUMIFS('сентябрь 2023'!$G$4:$G$1053,'сентябрь 2023'!$D$4:$D$1053,$B192,'сентябрь 2023'!$J$4:$J$1053,AG$1)</f>
        <v>0</v>
      </c>
      <c r="AH192" s="207">
        <f>SUMIFS('сентябрь 2023'!$G$4:$G$1053,'сентябрь 2023'!$D$4:$D$1053,$B192,'сентябрь 2023'!$J$4:$J$1053,AH$1)</f>
        <v>0</v>
      </c>
      <c r="AI192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справочник!$E$4:$E$159</xm:f>
          </x14:formula1>
          <xm:sqref>B3:B192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I190"/>
  <sheetViews>
    <sheetView showZeros="0" topLeftCell="A10" zoomScale="90" workbookViewId="0">
      <selection activeCell="D1" sqref="D1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45170</v>
      </c>
      <c r="C1" s="192"/>
      <c r="D1" s="157">
        <f>B1</f>
        <v>45170</v>
      </c>
      <c r="E1" s="157">
        <f>D1+1</f>
        <v>45171</v>
      </c>
      <c r="F1" s="157">
        <f t="shared" ref="F1:AH1" si="0">E1+1</f>
        <v>45172</v>
      </c>
      <c r="G1" s="157">
        <f t="shared" si="0"/>
        <v>45173</v>
      </c>
      <c r="H1" s="157">
        <f t="shared" si="0"/>
        <v>45174</v>
      </c>
      <c r="I1" s="157">
        <f t="shared" si="0"/>
        <v>45175</v>
      </c>
      <c r="J1" s="157">
        <f t="shared" si="0"/>
        <v>45176</v>
      </c>
      <c r="K1" s="157">
        <f t="shared" si="0"/>
        <v>45177</v>
      </c>
      <c r="L1" s="157">
        <f t="shared" si="0"/>
        <v>45178</v>
      </c>
      <c r="M1" s="157">
        <f t="shared" si="0"/>
        <v>45179</v>
      </c>
      <c r="N1" s="157">
        <f t="shared" si="0"/>
        <v>45180</v>
      </c>
      <c r="O1" s="157">
        <f t="shared" si="0"/>
        <v>45181</v>
      </c>
      <c r="P1" s="157">
        <f t="shared" si="0"/>
        <v>45182</v>
      </c>
      <c r="Q1" s="157">
        <f t="shared" si="0"/>
        <v>45183</v>
      </c>
      <c r="R1" s="157">
        <f t="shared" si="0"/>
        <v>45184</v>
      </c>
      <c r="S1" s="157">
        <f t="shared" si="0"/>
        <v>45185</v>
      </c>
      <c r="T1" s="157">
        <f t="shared" si="0"/>
        <v>45186</v>
      </c>
      <c r="U1" s="157">
        <f t="shared" si="0"/>
        <v>45187</v>
      </c>
      <c r="V1" s="157">
        <f t="shared" si="0"/>
        <v>45188</v>
      </c>
      <c r="W1" s="157">
        <f t="shared" si="0"/>
        <v>45189</v>
      </c>
      <c r="X1" s="157">
        <f t="shared" si="0"/>
        <v>45190</v>
      </c>
      <c r="Y1" s="157">
        <f t="shared" si="0"/>
        <v>45191</v>
      </c>
      <c r="Z1" s="157">
        <f t="shared" si="0"/>
        <v>45192</v>
      </c>
      <c r="AA1" s="157">
        <f t="shared" si="0"/>
        <v>45193</v>
      </c>
      <c r="AB1" s="157">
        <f t="shared" si="0"/>
        <v>45194</v>
      </c>
      <c r="AC1" s="157">
        <f t="shared" si="0"/>
        <v>45195</v>
      </c>
      <c r="AD1" s="157">
        <f t="shared" si="0"/>
        <v>45196</v>
      </c>
      <c r="AE1" s="157">
        <f t="shared" si="0"/>
        <v>45197</v>
      </c>
      <c r="AF1" s="157">
        <f t="shared" si="0"/>
        <v>45198</v>
      </c>
      <c r="AG1" s="157">
        <f t="shared" si="0"/>
        <v>45199</v>
      </c>
      <c r="AH1" s="157">
        <f t="shared" si="0"/>
        <v>45200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SUMIFS('сентябрь 2023'!$G$4:$G$1053,'сентябрь 2023'!$D$4:$D$1053,$B3,'сентябрь 2023'!$J$4:$J$1053,D$1)</f>
        <v>0</v>
      </c>
      <c r="E3" s="198">
        <f>SUMIFS('сентябрь 2023'!$G$4:$G$1053,'сентябрь 2023'!$D$4:$D$1053,$B3,'сентябрь 2023'!$J$4:$J$1053,E$1)</f>
        <v>0</v>
      </c>
      <c r="F3" s="198">
        <f>SUMIFS('сентябрь 2023'!$G$4:$G$1053,'сентябрь 2023'!$D$4:$D$1053,$B3,'сентябрь 2023'!$J$4:$J$1053,F$1)</f>
        <v>0</v>
      </c>
      <c r="G3" s="198">
        <f>SUMIFS('сентябрь 2023'!$G$4:$G$1053,'сентябрь 2023'!$D$4:$D$1053,$B3,'сентябрь 2023'!$J$4:$J$1053,G$1)</f>
        <v>0</v>
      </c>
      <c r="H3" s="198">
        <f>SUMIFS('сентябрь 2023'!$G$4:$G$1053,'сентябрь 2023'!$D$4:$D$1053,$B3,'сентябрь 2023'!$J$4:$J$1053,H$1)</f>
        <v>0</v>
      </c>
      <c r="I3" s="198">
        <f>SUMIFS('сентябрь 2023'!$G$4:$G$1053,'сентябрь 2023'!$D$4:$D$1053,$B3,'сентябрь 2023'!$J$4:$J$1053,I$1)</f>
        <v>0</v>
      </c>
      <c r="J3" s="198">
        <f>SUMIFS('сентябрь 2023'!$G$4:$G$1053,'сентябрь 2023'!$D$4:$D$1053,$B3,'сентябрь 2023'!$J$4:$J$1053,J$1)</f>
        <v>0</v>
      </c>
      <c r="K3" s="198">
        <f>SUMIFS('сентябрь 2023'!$G$4:$G$1053,'сентябрь 2023'!$D$4:$D$1053,$B3,'сентябрь 2023'!$J$4:$J$1053,K$1)</f>
        <v>0</v>
      </c>
      <c r="L3" s="198">
        <f>SUMIFS('сентябрь 2023'!$G$4:$G$1053,'сентябрь 2023'!$D$4:$D$1053,$B3,'сентябрь 2023'!$J$4:$J$1053,L$1)</f>
        <v>0</v>
      </c>
      <c r="M3" s="198">
        <f>SUMIFS('сентябрь 2023'!$G$4:$G$1053,'сентябрь 2023'!$D$4:$D$1053,$B3,'сентябрь 2023'!$J$4:$J$1053,M$1)</f>
        <v>0</v>
      </c>
      <c r="N3" s="198">
        <f>SUMIFS('сентябрь 2023'!$G$4:$G$1053,'сентябрь 2023'!$D$4:$D$1053,$B3,'сентябрь 2023'!$J$4:$J$1053,N$1)</f>
        <v>0</v>
      </c>
      <c r="O3" s="198">
        <f>SUMIFS('сентябрь 2023'!$G$4:$G$1053,'сентябрь 2023'!$D$4:$D$1053,$B3,'сентябрь 2023'!$J$4:$J$1053,O$1)</f>
        <v>0</v>
      </c>
      <c r="P3" s="198">
        <f>SUMIFS('сентябрь 2023'!$G$4:$G$1053,'сентябрь 2023'!$D$4:$D$1053,$B3,'сентябрь 2023'!$J$4:$J$1053,P$1)</f>
        <v>0</v>
      </c>
      <c r="Q3" s="198">
        <f>SUMIFS('сентябрь 2023'!$G$4:$G$1053,'сентябрь 2023'!$D$4:$D$1053,$B3,'сентябрь 2023'!$J$4:$J$1053,Q$1)</f>
        <v>0</v>
      </c>
      <c r="R3" s="198">
        <f>SUMIFS('сентябрь 2023'!$G$4:$G$1053,'сентябрь 2023'!$D$4:$D$1053,$B3,'сентябрь 2023'!$J$4:$J$1053,R$1)</f>
        <v>0</v>
      </c>
      <c r="S3" s="198">
        <f>SUMIFS('сентябрь 2023'!$G$4:$G$1053,'сентябрь 2023'!$D$4:$D$1053,$B3,'сентябрь 2023'!$J$4:$J$1053,S$1)</f>
        <v>0</v>
      </c>
      <c r="T3" s="198">
        <f>SUMIFS('сентябрь 2023'!$G$4:$G$1053,'сентябрь 2023'!$D$4:$D$1053,$B3,'сентябрь 2023'!$J$4:$J$1053,T$1)</f>
        <v>0</v>
      </c>
      <c r="U3" s="198">
        <f>SUMIFS('сентябрь 2023'!$G$4:$G$1053,'сентябрь 2023'!$D$4:$D$1053,$B3,'сентябрь 2023'!$J$4:$J$1053,U$1)</f>
        <v>0</v>
      </c>
      <c r="V3" s="198">
        <f>SUMIFS('сентябрь 2023'!$G$4:$G$1053,'сентябрь 2023'!$D$4:$D$1053,$B3,'сентябрь 2023'!$J$4:$J$1053,V$1)</f>
        <v>0</v>
      </c>
      <c r="W3" s="198">
        <f>SUMIFS('сентябрь 2023'!$G$4:$G$1053,'сентябрь 2023'!$D$4:$D$1053,$B3,'сентябрь 2023'!$J$4:$J$1053,W$1)</f>
        <v>875</v>
      </c>
      <c r="X3" s="198">
        <f>SUMIFS('сентябрь 2023'!$G$4:$G$1053,'сентябрь 2023'!$D$4:$D$1053,$B3,'сентябрь 2023'!$J$4:$J$1053,X$1)</f>
        <v>0</v>
      </c>
      <c r="Y3" s="198">
        <f>SUMIFS('сентябрь 2023'!$G$4:$G$1053,'сентябрь 2023'!$D$4:$D$1053,$B3,'сентябрь 2023'!$J$4:$J$1053,Y$1)</f>
        <v>0</v>
      </c>
      <c r="Z3" s="198">
        <f>SUMIFS('сентябрь 2023'!$G$4:$G$1053,'сентябрь 2023'!$D$4:$D$1053,$B3,'сентябрь 2023'!$J$4:$J$1053,Z$1)</f>
        <v>0</v>
      </c>
      <c r="AA3" s="198">
        <f>SUMIFS('сентябрь 2023'!$G$4:$G$1053,'сентябрь 2023'!$D$4:$D$1053,$B3,'сентябрь 2023'!$J$4:$J$1053,AA$1)</f>
        <v>0</v>
      </c>
      <c r="AB3" s="198">
        <f>SUMIFS('сентябрь 2023'!$G$4:$G$1053,'сентябрь 2023'!$D$4:$D$1053,$B3,'сентябрь 2023'!$J$4:$J$1053,AB$1)</f>
        <v>0</v>
      </c>
      <c r="AC3" s="198">
        <f>SUMIFS('сентябрь 2023'!$G$4:$G$1053,'сентябрь 2023'!$D$4:$D$1053,$B3,'сентябрь 2023'!$J$4:$J$1053,AC$1)</f>
        <v>875</v>
      </c>
      <c r="AD3" s="198">
        <f>SUMIFS('сентябрь 2023'!$G$4:$G$1053,'сентябрь 2023'!$D$4:$D$1053,$B3,'сентябрь 2023'!$J$4:$J$1053,AD$1)</f>
        <v>0</v>
      </c>
      <c r="AE3" s="198">
        <f>SUMIFS('сентябрь 2023'!$G$4:$G$1053,'сентябрь 2023'!$D$4:$D$1053,$B3,'сентябрь 2023'!$J$4:$J$1053,AE$1)</f>
        <v>0</v>
      </c>
      <c r="AF3" s="198">
        <f>SUMIFS('сентябрь 2023'!$G$4:$G$1053,'сентябрь 2023'!$D$4:$D$1053,$B3,'сентябрь 2023'!$J$4:$J$1053,AF$1)</f>
        <v>0</v>
      </c>
      <c r="AG3" s="198">
        <f>SUMIFS('сентябрь 2023'!$G$4:$G$1053,'сентябрь 2023'!$D$4:$D$1053,$B3,'сентябрь 2023'!$J$4:$J$1053,AG$1)</f>
        <v>0</v>
      </c>
      <c r="AH3" s="198">
        <f>SUMIFS('сентябрь 2023'!$G$4:$G$1053,'сентябрь 2023'!$D$4:$D$1053,$B3,'сентябрь 2023'!$J$4:$J$1053,AH$1)</f>
        <v>0</v>
      </c>
      <c r="AI3" s="166">
        <f t="shared" ref="AI3:AI66" si="1">SUM(D3:AH3)</f>
        <v>1750</v>
      </c>
    </row>
    <row r="4" spans="2:35" ht="15" customHeight="1" x14ac:dyDescent="0.25">
      <c r="B4" s="199" t="s">
        <v>74</v>
      </c>
      <c r="C4" s="200">
        <v>25</v>
      </c>
      <c r="D4" s="198">
        <f>SUMIFS('сентябрь 2023'!$G$4:$G$1053,'сентябрь 2023'!$D$4:$D$1053,$B4,'сентябрь 2023'!$J$4:$J$1053,D$1)</f>
        <v>0</v>
      </c>
      <c r="E4" s="198">
        <f>SUMIFS('сентябрь 2023'!$G$4:$G$1053,'сентябрь 2023'!$D$4:$D$1053,$B4,'сентябрь 2023'!$J$4:$J$1053,E$1)</f>
        <v>0</v>
      </c>
      <c r="F4" s="198">
        <f>SUMIFS('сентябрь 2023'!$G$4:$G$1053,'сентябрь 2023'!$D$4:$D$1053,$B4,'сентябрь 2023'!$J$4:$J$1053,F$1)</f>
        <v>0</v>
      </c>
      <c r="G4" s="198">
        <f>SUMIFS('сентябрь 2023'!$G$4:$G$1053,'сентябрь 2023'!$D$4:$D$1053,$B4,'сентябрь 2023'!$J$4:$J$1053,G$1)</f>
        <v>0</v>
      </c>
      <c r="H4" s="198">
        <f>SUMIFS('сентябрь 2023'!$G$4:$G$1053,'сентябрь 2023'!$D$4:$D$1053,$B4,'сентябрь 2023'!$J$4:$J$1053,H$1)</f>
        <v>0</v>
      </c>
      <c r="I4" s="198">
        <f>SUMIFS('сентябрь 2023'!$G$4:$G$1053,'сентябрь 2023'!$D$4:$D$1053,$B4,'сентябрь 2023'!$J$4:$J$1053,I$1)</f>
        <v>0</v>
      </c>
      <c r="J4" s="198">
        <f>SUMIFS('сентябрь 2023'!$G$4:$G$1053,'сентябрь 2023'!$D$4:$D$1053,$B4,'сентябрь 2023'!$J$4:$J$1053,J$1)</f>
        <v>0</v>
      </c>
      <c r="K4" s="198">
        <f>SUMIFS('сентябрь 2023'!$G$4:$G$1053,'сентябрь 2023'!$D$4:$D$1053,$B4,'сентябрь 2023'!$J$4:$J$1053,K$1)</f>
        <v>0</v>
      </c>
      <c r="L4" s="198">
        <f>SUMIFS('сентябрь 2023'!$G$4:$G$1053,'сентябрь 2023'!$D$4:$D$1053,$B4,'сентябрь 2023'!$J$4:$J$1053,L$1)</f>
        <v>0</v>
      </c>
      <c r="M4" s="198">
        <f>SUMIFS('сентябрь 2023'!$G$4:$G$1053,'сентябрь 2023'!$D$4:$D$1053,$B4,'сентябрь 2023'!$J$4:$J$1053,M$1)</f>
        <v>0</v>
      </c>
      <c r="N4" s="198">
        <f>SUMIFS('сентябрь 2023'!$G$4:$G$1053,'сентябрь 2023'!$D$4:$D$1053,$B4,'сентябрь 2023'!$J$4:$J$1053,N$1)</f>
        <v>0</v>
      </c>
      <c r="O4" s="198">
        <f>SUMIFS('сентябрь 2023'!$G$4:$G$1053,'сентябрь 2023'!$D$4:$D$1053,$B4,'сентябрь 2023'!$J$4:$J$1053,O$1)</f>
        <v>0</v>
      </c>
      <c r="P4" s="198">
        <f>SUMIFS('сентябрь 2023'!$G$4:$G$1053,'сентябрь 2023'!$D$4:$D$1053,$B4,'сентябрь 2023'!$J$4:$J$1053,P$1)</f>
        <v>0</v>
      </c>
      <c r="Q4" s="198">
        <f>SUMIFS('сентябрь 2023'!$G$4:$G$1053,'сентябрь 2023'!$D$4:$D$1053,$B4,'сентябрь 2023'!$J$4:$J$1053,Q$1)</f>
        <v>0</v>
      </c>
      <c r="R4" s="198">
        <f>SUMIFS('сентябрь 2023'!$G$4:$G$1053,'сентябрь 2023'!$D$4:$D$1053,$B4,'сентябрь 2023'!$J$4:$J$1053,R$1)</f>
        <v>400</v>
      </c>
      <c r="S4" s="198">
        <f>SUMIFS('сентябрь 2023'!$G$4:$G$1053,'сентябрь 2023'!$D$4:$D$1053,$B4,'сентябрь 2023'!$J$4:$J$1053,S$1)</f>
        <v>0</v>
      </c>
      <c r="T4" s="198">
        <f>SUMIFS('сентябрь 2023'!$G$4:$G$1053,'сентябрь 2023'!$D$4:$D$1053,$B4,'сентябрь 2023'!$J$4:$J$1053,T$1)</f>
        <v>0</v>
      </c>
      <c r="U4" s="198">
        <f>SUMIFS('сентябрь 2023'!$G$4:$G$1053,'сентябрь 2023'!$D$4:$D$1053,$B4,'сентябрь 2023'!$J$4:$J$1053,U$1)</f>
        <v>0</v>
      </c>
      <c r="V4" s="198">
        <f>SUMIFS('сентябрь 2023'!$G$4:$G$1053,'сентябрь 2023'!$D$4:$D$1053,$B4,'сентябрь 2023'!$J$4:$J$1053,V$1)</f>
        <v>0</v>
      </c>
      <c r="W4" s="198">
        <f>SUMIFS('сентябрь 2023'!$G$4:$G$1053,'сентябрь 2023'!$D$4:$D$1053,$B4,'сентябрь 2023'!$J$4:$J$1053,W$1)</f>
        <v>0</v>
      </c>
      <c r="X4" s="198">
        <f>SUMIFS('сентябрь 2023'!$G$4:$G$1053,'сентябрь 2023'!$D$4:$D$1053,$B4,'сентябрь 2023'!$J$4:$J$1053,X$1)</f>
        <v>0</v>
      </c>
      <c r="Y4" s="198">
        <f>SUMIFS('сентябрь 2023'!$G$4:$G$1053,'сентябрь 2023'!$D$4:$D$1053,$B4,'сентябрь 2023'!$J$4:$J$1053,Y$1)</f>
        <v>0</v>
      </c>
      <c r="Z4" s="198">
        <f>SUMIFS('сентябрь 2023'!$G$4:$G$1053,'сентябрь 2023'!$D$4:$D$1053,$B4,'сентябрь 2023'!$J$4:$J$1053,Z$1)</f>
        <v>0</v>
      </c>
      <c r="AA4" s="198">
        <f>SUMIFS('сентябрь 2023'!$G$4:$G$1053,'сентябрь 2023'!$D$4:$D$1053,$B4,'сентябрь 2023'!$J$4:$J$1053,AA$1)</f>
        <v>0</v>
      </c>
      <c r="AB4" s="198">
        <f>SUMIFS('сентябрь 2023'!$G$4:$G$1053,'сентябрь 2023'!$D$4:$D$1053,$B4,'сентябрь 2023'!$J$4:$J$1053,AB$1)</f>
        <v>0</v>
      </c>
      <c r="AC4" s="198">
        <f>SUMIFS('сентябрь 2023'!$G$4:$G$1053,'сентябрь 2023'!$D$4:$D$1053,$B4,'сентябрь 2023'!$J$4:$J$1053,AC$1)</f>
        <v>0</v>
      </c>
      <c r="AD4" s="198">
        <f>SUMIFS('сентябрь 2023'!$G$4:$G$1053,'сентябрь 2023'!$D$4:$D$1053,$B4,'сентябрь 2023'!$J$4:$J$1053,AD$1)</f>
        <v>0</v>
      </c>
      <c r="AE4" s="198">
        <f>SUMIFS('сентябрь 2023'!$G$4:$G$1053,'сентябрь 2023'!$D$4:$D$1053,$B4,'сентябрь 2023'!$J$4:$J$1053,AE$1)</f>
        <v>0</v>
      </c>
      <c r="AF4" s="198">
        <f>SUMIFS('сентябрь 2023'!$G$4:$G$1053,'сентябрь 2023'!$D$4:$D$1053,$B4,'сентябрь 2023'!$J$4:$J$1053,AF$1)</f>
        <v>0</v>
      </c>
      <c r="AG4" s="198">
        <f>SUMIFS('сентябрь 2023'!$G$4:$G$1053,'сентябрь 2023'!$D$4:$D$1053,$B4,'сентябрь 2023'!$J$4:$J$1053,AG$1)</f>
        <v>0</v>
      </c>
      <c r="AH4" s="198">
        <f>SUMIFS('сентябрь 2023'!$G$4:$G$1053,'сентябрь 2023'!$D$4:$D$1053,$B4,'сентябрь 2023'!$J$4:$J$1053,AH$1)</f>
        <v>0</v>
      </c>
      <c r="AI4" s="170">
        <f t="shared" si="1"/>
        <v>400</v>
      </c>
    </row>
    <row r="5" spans="2:35" ht="15" customHeight="1" x14ac:dyDescent="0.25">
      <c r="B5" s="199" t="s">
        <v>165</v>
      </c>
      <c r="C5" s="200">
        <v>25</v>
      </c>
      <c r="D5" s="198">
        <f>SUMIFS('сентябрь 2023'!$G$4:$G$1053,'сентябрь 2023'!$D$4:$D$1053,$B5,'сентябрь 2023'!$J$4:$J$1053,D$1)</f>
        <v>0</v>
      </c>
      <c r="E5" s="198">
        <f>SUMIFS('сентябрь 2023'!$G$4:$G$1053,'сентябрь 2023'!$D$4:$D$1053,$B5,'сентябрь 2023'!$J$4:$J$1053,E$1)</f>
        <v>0</v>
      </c>
      <c r="F5" s="198">
        <f>SUMIFS('сентябрь 2023'!$G$4:$G$1053,'сентябрь 2023'!$D$4:$D$1053,$B5,'сентябрь 2023'!$J$4:$J$1053,F$1)</f>
        <v>0</v>
      </c>
      <c r="G5" s="198">
        <f>SUMIFS('сентябрь 2023'!$G$4:$G$1053,'сентябрь 2023'!$D$4:$D$1053,$B5,'сентябрь 2023'!$J$4:$J$1053,G$1)</f>
        <v>0</v>
      </c>
      <c r="H5" s="198">
        <f>SUMIFS('сентябрь 2023'!$G$4:$G$1053,'сентябрь 2023'!$D$4:$D$1053,$B5,'сентябрь 2023'!$J$4:$J$1053,H$1)</f>
        <v>0</v>
      </c>
      <c r="I5" s="198">
        <f>SUMIFS('сентябрь 2023'!$G$4:$G$1053,'сентябрь 2023'!$D$4:$D$1053,$B5,'сентябрь 2023'!$J$4:$J$1053,I$1)</f>
        <v>0</v>
      </c>
      <c r="J5" s="198">
        <f>SUMIFS('сентябрь 2023'!$G$4:$G$1053,'сентябрь 2023'!$D$4:$D$1053,$B5,'сентябрь 2023'!$J$4:$J$1053,J$1)</f>
        <v>0</v>
      </c>
      <c r="K5" s="198">
        <f>SUMIFS('сентябрь 2023'!$G$4:$G$1053,'сентябрь 2023'!$D$4:$D$1053,$B5,'сентябрь 2023'!$J$4:$J$1053,K$1)</f>
        <v>0</v>
      </c>
      <c r="L5" s="198">
        <f>SUMIFS('сентябрь 2023'!$G$4:$G$1053,'сентябрь 2023'!$D$4:$D$1053,$B5,'сентябрь 2023'!$J$4:$J$1053,L$1)</f>
        <v>0</v>
      </c>
      <c r="M5" s="198">
        <f>SUMIFS('сентябрь 2023'!$G$4:$G$1053,'сентябрь 2023'!$D$4:$D$1053,$B5,'сентябрь 2023'!$J$4:$J$1053,M$1)</f>
        <v>0</v>
      </c>
      <c r="N5" s="198">
        <f>SUMIFS('сентябрь 2023'!$G$4:$G$1053,'сентябрь 2023'!$D$4:$D$1053,$B5,'сентябрь 2023'!$J$4:$J$1053,N$1)</f>
        <v>0</v>
      </c>
      <c r="O5" s="198">
        <f>SUMIFS('сентябрь 2023'!$G$4:$G$1053,'сентябрь 2023'!$D$4:$D$1053,$B5,'сентябрь 2023'!$J$4:$J$1053,O$1)</f>
        <v>0</v>
      </c>
      <c r="P5" s="198">
        <f>SUMIFS('сентябрь 2023'!$G$4:$G$1053,'сентябрь 2023'!$D$4:$D$1053,$B5,'сентябрь 2023'!$J$4:$J$1053,P$1)</f>
        <v>0</v>
      </c>
      <c r="Q5" s="198">
        <f>SUMIFS('сентябрь 2023'!$G$4:$G$1053,'сентябрь 2023'!$D$4:$D$1053,$B5,'сентябрь 2023'!$J$4:$J$1053,Q$1)</f>
        <v>0</v>
      </c>
      <c r="R5" s="198">
        <f>SUMIFS('сентябрь 2023'!$G$4:$G$1053,'сентябрь 2023'!$D$4:$D$1053,$B5,'сентябрь 2023'!$J$4:$J$1053,R$1)</f>
        <v>0</v>
      </c>
      <c r="S5" s="198">
        <f>SUMIFS('сентябрь 2023'!$G$4:$G$1053,'сентябрь 2023'!$D$4:$D$1053,$B5,'сентябрь 2023'!$J$4:$J$1053,S$1)</f>
        <v>0</v>
      </c>
      <c r="T5" s="198">
        <f>SUMIFS('сентябрь 2023'!$G$4:$G$1053,'сентябрь 2023'!$D$4:$D$1053,$B5,'сентябрь 2023'!$J$4:$J$1053,T$1)</f>
        <v>0</v>
      </c>
      <c r="U5" s="198">
        <f>SUMIFS('сентябрь 2023'!$G$4:$G$1053,'сентябрь 2023'!$D$4:$D$1053,$B5,'сентябрь 2023'!$J$4:$J$1053,U$1)</f>
        <v>0</v>
      </c>
      <c r="V5" s="198">
        <f>SUMIFS('сентябрь 2023'!$G$4:$G$1053,'сентябрь 2023'!$D$4:$D$1053,$B5,'сентябрь 2023'!$J$4:$J$1053,V$1)</f>
        <v>0</v>
      </c>
      <c r="W5" s="198">
        <f>SUMIFS('сентябрь 2023'!$G$4:$G$1053,'сентябрь 2023'!$D$4:$D$1053,$B5,'сентябрь 2023'!$J$4:$J$1053,W$1)</f>
        <v>0</v>
      </c>
      <c r="X5" s="198">
        <f>SUMIFS('сентябрь 2023'!$G$4:$G$1053,'сентябрь 2023'!$D$4:$D$1053,$B5,'сентябрь 2023'!$J$4:$J$1053,X$1)</f>
        <v>0</v>
      </c>
      <c r="Y5" s="198">
        <f>SUMIFS('сентябрь 2023'!$G$4:$G$1053,'сентябрь 2023'!$D$4:$D$1053,$B5,'сентябрь 2023'!$J$4:$J$1053,Y$1)</f>
        <v>0</v>
      </c>
      <c r="Z5" s="198">
        <f>SUMIFS('сентябрь 2023'!$G$4:$G$1053,'сентябрь 2023'!$D$4:$D$1053,$B5,'сентябрь 2023'!$J$4:$J$1053,Z$1)</f>
        <v>0</v>
      </c>
      <c r="AA5" s="198">
        <f>SUMIFS('сентябрь 2023'!$G$4:$G$1053,'сентябрь 2023'!$D$4:$D$1053,$B5,'сентябрь 2023'!$J$4:$J$1053,AA$1)</f>
        <v>0</v>
      </c>
      <c r="AB5" s="198">
        <f>SUMIFS('сентябрь 2023'!$G$4:$G$1053,'сентябрь 2023'!$D$4:$D$1053,$B5,'сентябрь 2023'!$J$4:$J$1053,AB$1)</f>
        <v>0</v>
      </c>
      <c r="AC5" s="198">
        <f>SUMIFS('сентябрь 2023'!$G$4:$G$1053,'сентябрь 2023'!$D$4:$D$1053,$B5,'сентябрь 2023'!$J$4:$J$1053,AC$1)</f>
        <v>0</v>
      </c>
      <c r="AD5" s="198">
        <f>SUMIFS('сентябрь 2023'!$G$4:$G$1053,'сентябрь 2023'!$D$4:$D$1053,$B5,'сентябрь 2023'!$J$4:$J$1053,AD$1)</f>
        <v>0</v>
      </c>
      <c r="AE5" s="198">
        <f>SUMIFS('сентябрь 2023'!$G$4:$G$1053,'сентябрь 2023'!$D$4:$D$1053,$B5,'сентябрь 2023'!$J$4:$J$1053,AE$1)</f>
        <v>0</v>
      </c>
      <c r="AF5" s="198">
        <f>SUMIFS('сентябрь 2023'!$G$4:$G$1053,'сентябрь 2023'!$D$4:$D$1053,$B5,'сентябрь 2023'!$J$4:$J$1053,AF$1)</f>
        <v>0</v>
      </c>
      <c r="AG5" s="198">
        <f>SUMIFS('сентябрь 2023'!$G$4:$G$1053,'сентябрь 2023'!$D$4:$D$1053,$B5,'сентябрь 2023'!$J$4:$J$1053,AG$1)</f>
        <v>0</v>
      </c>
      <c r="AH5" s="198">
        <f>SUMIFS('сентябрь 2023'!$G$4:$G$1053,'сентябрь 2023'!$D$4:$D$1053,$B5,'сентябрь 2023'!$J$4:$J$1053,AH$1)</f>
        <v>0</v>
      </c>
      <c r="AI5" s="170">
        <f t="shared" si="1"/>
        <v>0</v>
      </c>
    </row>
    <row r="6" spans="2:35" ht="15" customHeight="1" x14ac:dyDescent="0.25">
      <c r="B6" s="199" t="s">
        <v>2084</v>
      </c>
      <c r="C6" s="200">
        <v>22.7</v>
      </c>
      <c r="D6" s="198">
        <f>SUMIFS('сентябрь 2023'!$G$4:$G$1053,'сентябрь 2023'!$D$4:$D$1053,$B6,'сентябрь 2023'!$J$4:$J$1053,D$1)</f>
        <v>0</v>
      </c>
      <c r="E6" s="198">
        <f>SUMIFS('сентябрь 2023'!$G$4:$G$1053,'сентябрь 2023'!$D$4:$D$1053,$B6,'сентябрь 2023'!$J$4:$J$1053,E$1)</f>
        <v>0</v>
      </c>
      <c r="F6" s="198">
        <f>SUMIFS('сентябрь 2023'!$G$4:$G$1053,'сентябрь 2023'!$D$4:$D$1053,$B6,'сентябрь 2023'!$J$4:$J$1053,F$1)</f>
        <v>0</v>
      </c>
      <c r="G6" s="198">
        <f>SUMIFS('сентябрь 2023'!$G$4:$G$1053,'сентябрь 2023'!$D$4:$D$1053,$B6,'сентябрь 2023'!$J$4:$J$1053,G$1)</f>
        <v>0</v>
      </c>
      <c r="H6" s="198">
        <f>SUMIFS('сентябрь 2023'!$G$4:$G$1053,'сентябрь 2023'!$D$4:$D$1053,$B6,'сентябрь 2023'!$J$4:$J$1053,H$1)</f>
        <v>0</v>
      </c>
      <c r="I6" s="198">
        <f>SUMIFS('сентябрь 2023'!$G$4:$G$1053,'сентябрь 2023'!$D$4:$D$1053,$B6,'сентябрь 2023'!$J$4:$J$1053,I$1)</f>
        <v>0</v>
      </c>
      <c r="J6" s="198">
        <f>SUMIFS('сентябрь 2023'!$G$4:$G$1053,'сентябрь 2023'!$D$4:$D$1053,$B6,'сентябрь 2023'!$J$4:$J$1053,J$1)</f>
        <v>0</v>
      </c>
      <c r="K6" s="198">
        <f>SUMIFS('сентябрь 2023'!$G$4:$G$1053,'сентябрь 2023'!$D$4:$D$1053,$B6,'сентябрь 2023'!$J$4:$J$1053,K$1)</f>
        <v>0</v>
      </c>
      <c r="L6" s="198">
        <f>SUMIFS('сентябрь 2023'!$G$4:$G$1053,'сентябрь 2023'!$D$4:$D$1053,$B6,'сентябрь 2023'!$J$4:$J$1053,L$1)</f>
        <v>0</v>
      </c>
      <c r="M6" s="198">
        <f>SUMIFS('сентябрь 2023'!$G$4:$G$1053,'сентябрь 2023'!$D$4:$D$1053,$B6,'сентябрь 2023'!$J$4:$J$1053,M$1)</f>
        <v>0</v>
      </c>
      <c r="N6" s="198">
        <f>SUMIFS('сентябрь 2023'!$G$4:$G$1053,'сентябрь 2023'!$D$4:$D$1053,$B6,'сентябрь 2023'!$J$4:$J$1053,N$1)</f>
        <v>0</v>
      </c>
      <c r="O6" s="198">
        <f>SUMIFS('сентябрь 2023'!$G$4:$G$1053,'сентябрь 2023'!$D$4:$D$1053,$B6,'сентябрь 2023'!$J$4:$J$1053,O$1)</f>
        <v>0</v>
      </c>
      <c r="P6" s="198">
        <f>SUMIFS('сентябрь 2023'!$G$4:$G$1053,'сентябрь 2023'!$D$4:$D$1053,$B6,'сентябрь 2023'!$J$4:$J$1053,P$1)</f>
        <v>0</v>
      </c>
      <c r="Q6" s="198">
        <f>SUMIFS('сентябрь 2023'!$G$4:$G$1053,'сентябрь 2023'!$D$4:$D$1053,$B6,'сентябрь 2023'!$J$4:$J$1053,Q$1)</f>
        <v>0</v>
      </c>
      <c r="R6" s="198">
        <f>SUMIFS('сентябрь 2023'!$G$4:$G$1053,'сентябрь 2023'!$D$4:$D$1053,$B6,'сентябрь 2023'!$J$4:$J$1053,R$1)</f>
        <v>0</v>
      </c>
      <c r="S6" s="198">
        <f>SUMIFS('сентябрь 2023'!$G$4:$G$1053,'сентябрь 2023'!$D$4:$D$1053,$B6,'сентябрь 2023'!$J$4:$J$1053,S$1)</f>
        <v>0</v>
      </c>
      <c r="T6" s="198">
        <f>SUMIFS('сентябрь 2023'!$G$4:$G$1053,'сентябрь 2023'!$D$4:$D$1053,$B6,'сентябрь 2023'!$J$4:$J$1053,T$1)</f>
        <v>0</v>
      </c>
      <c r="U6" s="198">
        <f>SUMIFS('сентябрь 2023'!$G$4:$G$1053,'сентябрь 2023'!$D$4:$D$1053,$B6,'сентябрь 2023'!$J$4:$J$1053,U$1)</f>
        <v>0</v>
      </c>
      <c r="V6" s="198">
        <f>SUMIFS('сентябрь 2023'!$G$4:$G$1053,'сентябрь 2023'!$D$4:$D$1053,$B6,'сентябрь 2023'!$J$4:$J$1053,V$1)</f>
        <v>0</v>
      </c>
      <c r="W6" s="198">
        <f>SUMIFS('сентябрь 2023'!$G$4:$G$1053,'сентябрь 2023'!$D$4:$D$1053,$B6,'сентябрь 2023'!$J$4:$J$1053,W$1)</f>
        <v>0</v>
      </c>
      <c r="X6" s="198">
        <f>SUMIFS('сентябрь 2023'!$G$4:$G$1053,'сентябрь 2023'!$D$4:$D$1053,$B6,'сентябрь 2023'!$J$4:$J$1053,X$1)</f>
        <v>0</v>
      </c>
      <c r="Y6" s="198">
        <f>SUMIFS('сентябрь 2023'!$G$4:$G$1053,'сентябрь 2023'!$D$4:$D$1053,$B6,'сентябрь 2023'!$J$4:$J$1053,Y$1)</f>
        <v>0</v>
      </c>
      <c r="Z6" s="198">
        <f>SUMIFS('сентябрь 2023'!$G$4:$G$1053,'сентябрь 2023'!$D$4:$D$1053,$B6,'сентябрь 2023'!$J$4:$J$1053,Z$1)</f>
        <v>0</v>
      </c>
      <c r="AA6" s="198">
        <f>SUMIFS('сентябрь 2023'!$G$4:$G$1053,'сентябрь 2023'!$D$4:$D$1053,$B6,'сентябрь 2023'!$J$4:$J$1053,AA$1)</f>
        <v>0</v>
      </c>
      <c r="AB6" s="198">
        <f>SUMIFS('сентябрь 2023'!$G$4:$G$1053,'сентябрь 2023'!$D$4:$D$1053,$B6,'сентябрь 2023'!$J$4:$J$1053,AB$1)</f>
        <v>0</v>
      </c>
      <c r="AC6" s="198">
        <f>SUMIFS('сентябрь 2023'!$G$4:$G$1053,'сентябрь 2023'!$D$4:$D$1053,$B6,'сентябрь 2023'!$J$4:$J$1053,AC$1)</f>
        <v>0</v>
      </c>
      <c r="AD6" s="198">
        <f>SUMIFS('сентябрь 2023'!$G$4:$G$1053,'сентябрь 2023'!$D$4:$D$1053,$B6,'сентябрь 2023'!$J$4:$J$1053,AD$1)</f>
        <v>0</v>
      </c>
      <c r="AE6" s="198">
        <f>SUMIFS('сентябрь 2023'!$G$4:$G$1053,'сентябрь 2023'!$D$4:$D$1053,$B6,'сентябрь 2023'!$J$4:$J$1053,AE$1)</f>
        <v>0</v>
      </c>
      <c r="AF6" s="198">
        <f>SUMIFS('сентябрь 2023'!$G$4:$G$1053,'сентябрь 2023'!$D$4:$D$1053,$B6,'сентябрь 2023'!$J$4:$J$1053,AF$1)</f>
        <v>0</v>
      </c>
      <c r="AG6" s="198">
        <f>SUMIFS('сентябрь 2023'!$G$4:$G$1053,'сентябрь 2023'!$D$4:$D$1053,$B6,'сентябрь 2023'!$J$4:$J$1053,AG$1)</f>
        <v>0</v>
      </c>
      <c r="AH6" s="198">
        <f>SUMIFS('сентябрь 2023'!$G$4:$G$1053,'сентябрь 2023'!$D$4:$D$1053,$B6,'сентябрь 2023'!$J$4:$J$1053,AH$1)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SUMIFS('сентябрь 2023'!$G$4:$G$1053,'сентябрь 2023'!$D$4:$D$1053,$B7,'сентябрь 2023'!$J$4:$J$1053,D$1)</f>
        <v>0</v>
      </c>
      <c r="E7" s="198">
        <f>SUMIFS('сентябрь 2023'!$G$4:$G$1053,'сентябрь 2023'!$D$4:$D$1053,$B7,'сентябрь 2023'!$J$4:$J$1053,E$1)</f>
        <v>0</v>
      </c>
      <c r="F7" s="198">
        <f>SUMIFS('сентябрь 2023'!$G$4:$G$1053,'сентябрь 2023'!$D$4:$D$1053,$B7,'сентябрь 2023'!$J$4:$J$1053,F$1)</f>
        <v>0</v>
      </c>
      <c r="G7" s="198">
        <f>SUMIFS('сентябрь 2023'!$G$4:$G$1053,'сентябрь 2023'!$D$4:$D$1053,$B7,'сентябрь 2023'!$J$4:$J$1053,G$1)</f>
        <v>0</v>
      </c>
      <c r="H7" s="198">
        <f>SUMIFS('сентябрь 2023'!$G$4:$G$1053,'сентябрь 2023'!$D$4:$D$1053,$B7,'сентябрь 2023'!$J$4:$J$1053,H$1)</f>
        <v>0</v>
      </c>
      <c r="I7" s="198">
        <f>SUMIFS('сентябрь 2023'!$G$4:$G$1053,'сентябрь 2023'!$D$4:$D$1053,$B7,'сентябрь 2023'!$J$4:$J$1053,I$1)</f>
        <v>0</v>
      </c>
      <c r="J7" s="198">
        <f>SUMIFS('сентябрь 2023'!$G$4:$G$1053,'сентябрь 2023'!$D$4:$D$1053,$B7,'сентябрь 2023'!$J$4:$J$1053,J$1)</f>
        <v>0</v>
      </c>
      <c r="K7" s="198">
        <f>SUMIFS('сентябрь 2023'!$G$4:$G$1053,'сентябрь 2023'!$D$4:$D$1053,$B7,'сентябрь 2023'!$J$4:$J$1053,K$1)</f>
        <v>0</v>
      </c>
      <c r="L7" s="198">
        <f>SUMIFS('сентябрь 2023'!$G$4:$G$1053,'сентябрь 2023'!$D$4:$D$1053,$B7,'сентябрь 2023'!$J$4:$J$1053,L$1)</f>
        <v>0</v>
      </c>
      <c r="M7" s="198">
        <f>SUMIFS('сентябрь 2023'!$G$4:$G$1053,'сентябрь 2023'!$D$4:$D$1053,$B7,'сентябрь 2023'!$J$4:$J$1053,M$1)</f>
        <v>0</v>
      </c>
      <c r="N7" s="198">
        <f>SUMIFS('сентябрь 2023'!$G$4:$G$1053,'сентябрь 2023'!$D$4:$D$1053,$B7,'сентябрь 2023'!$J$4:$J$1053,N$1)</f>
        <v>0</v>
      </c>
      <c r="O7" s="198">
        <f>SUMIFS('сентябрь 2023'!$G$4:$G$1053,'сентябрь 2023'!$D$4:$D$1053,$B7,'сентябрь 2023'!$J$4:$J$1053,O$1)</f>
        <v>0</v>
      </c>
      <c r="P7" s="198">
        <f>SUMIFS('сентябрь 2023'!$G$4:$G$1053,'сентябрь 2023'!$D$4:$D$1053,$B7,'сентябрь 2023'!$J$4:$J$1053,P$1)</f>
        <v>0</v>
      </c>
      <c r="Q7" s="198">
        <f>SUMIFS('сентябрь 2023'!$G$4:$G$1053,'сентябрь 2023'!$D$4:$D$1053,$B7,'сентябрь 2023'!$J$4:$J$1053,Q$1)</f>
        <v>0</v>
      </c>
      <c r="R7" s="198">
        <f>SUMIFS('сентябрь 2023'!$G$4:$G$1053,'сентябрь 2023'!$D$4:$D$1053,$B7,'сентябрь 2023'!$J$4:$J$1053,R$1)</f>
        <v>0</v>
      </c>
      <c r="S7" s="198">
        <f>SUMIFS('сентябрь 2023'!$G$4:$G$1053,'сентябрь 2023'!$D$4:$D$1053,$B7,'сентябрь 2023'!$J$4:$J$1053,S$1)</f>
        <v>0</v>
      </c>
      <c r="T7" s="198">
        <f>SUMIFS('сентябрь 2023'!$G$4:$G$1053,'сентябрь 2023'!$D$4:$D$1053,$B7,'сентябрь 2023'!$J$4:$J$1053,T$1)</f>
        <v>0</v>
      </c>
      <c r="U7" s="198">
        <f>SUMIFS('сентябрь 2023'!$G$4:$G$1053,'сентябрь 2023'!$D$4:$D$1053,$B7,'сентябрь 2023'!$J$4:$J$1053,U$1)</f>
        <v>0</v>
      </c>
      <c r="V7" s="198">
        <f>SUMIFS('сентябрь 2023'!$G$4:$G$1053,'сентябрь 2023'!$D$4:$D$1053,$B7,'сентябрь 2023'!$J$4:$J$1053,V$1)</f>
        <v>0</v>
      </c>
      <c r="W7" s="198">
        <f>SUMIFS('сентябрь 2023'!$G$4:$G$1053,'сентябрь 2023'!$D$4:$D$1053,$B7,'сентябрь 2023'!$J$4:$J$1053,W$1)</f>
        <v>0</v>
      </c>
      <c r="X7" s="198">
        <f>SUMIFS('сентябрь 2023'!$G$4:$G$1053,'сентябрь 2023'!$D$4:$D$1053,$B7,'сентябрь 2023'!$J$4:$J$1053,X$1)</f>
        <v>0</v>
      </c>
      <c r="Y7" s="198">
        <f>SUMIFS('сентябрь 2023'!$G$4:$G$1053,'сентябрь 2023'!$D$4:$D$1053,$B7,'сентябрь 2023'!$J$4:$J$1053,Y$1)</f>
        <v>0</v>
      </c>
      <c r="Z7" s="198">
        <f>SUMIFS('сентябрь 2023'!$G$4:$G$1053,'сентябрь 2023'!$D$4:$D$1053,$B7,'сентябрь 2023'!$J$4:$J$1053,Z$1)</f>
        <v>0</v>
      </c>
      <c r="AA7" s="198">
        <f>SUMIFS('сентябрь 2023'!$G$4:$G$1053,'сентябрь 2023'!$D$4:$D$1053,$B7,'сентябрь 2023'!$J$4:$J$1053,AA$1)</f>
        <v>0</v>
      </c>
      <c r="AB7" s="198">
        <f>SUMIFS('сентябрь 2023'!$G$4:$G$1053,'сентябрь 2023'!$D$4:$D$1053,$B7,'сентябрь 2023'!$J$4:$J$1053,AB$1)</f>
        <v>0</v>
      </c>
      <c r="AC7" s="198">
        <f>SUMIFS('сентябрь 2023'!$G$4:$G$1053,'сентябрь 2023'!$D$4:$D$1053,$B7,'сентябрь 2023'!$J$4:$J$1053,AC$1)</f>
        <v>0</v>
      </c>
      <c r="AD7" s="198">
        <f>SUMIFS('сентябрь 2023'!$G$4:$G$1053,'сентябрь 2023'!$D$4:$D$1053,$B7,'сентябрь 2023'!$J$4:$J$1053,AD$1)</f>
        <v>0</v>
      </c>
      <c r="AE7" s="198">
        <f>SUMIFS('сентябрь 2023'!$G$4:$G$1053,'сентябрь 2023'!$D$4:$D$1053,$B7,'сентябрь 2023'!$J$4:$J$1053,AE$1)</f>
        <v>0</v>
      </c>
      <c r="AF7" s="198">
        <f>SUMIFS('сентябрь 2023'!$G$4:$G$1053,'сентябрь 2023'!$D$4:$D$1053,$B7,'сентябрь 2023'!$J$4:$J$1053,AF$1)</f>
        <v>0</v>
      </c>
      <c r="AG7" s="198">
        <f>SUMIFS('сентябрь 2023'!$G$4:$G$1053,'сентябрь 2023'!$D$4:$D$1053,$B7,'сентябрь 2023'!$J$4:$J$1053,AG$1)</f>
        <v>0</v>
      </c>
      <c r="AH7" s="198">
        <f>SUMIFS('сентябрь 2023'!$G$4:$G$1053,'сентябрь 2023'!$D$4:$D$1053,$B7,'сентябрь 2023'!$J$4:$J$1053,AH$1)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SUMIFS('сентябрь 2023'!$G$4:$G$1053,'сентябрь 2023'!$D$4:$D$1053,$B8,'сентябрь 2023'!$J$4:$J$1053,D$1)</f>
        <v>0</v>
      </c>
      <c r="E8" s="198">
        <f>SUMIFS('сентябрь 2023'!$G$4:$G$1053,'сентябрь 2023'!$D$4:$D$1053,$B8,'сентябрь 2023'!$J$4:$J$1053,E$1)</f>
        <v>0</v>
      </c>
      <c r="F8" s="198">
        <f>SUMIFS('сентябрь 2023'!$G$4:$G$1053,'сентябрь 2023'!$D$4:$D$1053,$B8,'сентябрь 2023'!$J$4:$J$1053,F$1)</f>
        <v>0</v>
      </c>
      <c r="G8" s="198">
        <f>SUMIFS('сентябрь 2023'!$G$4:$G$1053,'сентябрь 2023'!$D$4:$D$1053,$B8,'сентябрь 2023'!$J$4:$J$1053,G$1)</f>
        <v>0</v>
      </c>
      <c r="H8" s="198">
        <f>SUMIFS('сентябрь 2023'!$G$4:$G$1053,'сентябрь 2023'!$D$4:$D$1053,$B8,'сентябрь 2023'!$J$4:$J$1053,H$1)</f>
        <v>0</v>
      </c>
      <c r="I8" s="198">
        <f>SUMIFS('сентябрь 2023'!$G$4:$G$1053,'сентябрь 2023'!$D$4:$D$1053,$B8,'сентябрь 2023'!$J$4:$J$1053,I$1)</f>
        <v>0</v>
      </c>
      <c r="J8" s="198">
        <f>SUMIFS('сентябрь 2023'!$G$4:$G$1053,'сентябрь 2023'!$D$4:$D$1053,$B8,'сентябрь 2023'!$J$4:$J$1053,J$1)</f>
        <v>0</v>
      </c>
      <c r="K8" s="198">
        <f>SUMIFS('сентябрь 2023'!$G$4:$G$1053,'сентябрь 2023'!$D$4:$D$1053,$B8,'сентябрь 2023'!$J$4:$J$1053,K$1)</f>
        <v>0</v>
      </c>
      <c r="L8" s="198">
        <f>SUMIFS('сентябрь 2023'!$G$4:$G$1053,'сентябрь 2023'!$D$4:$D$1053,$B8,'сентябрь 2023'!$J$4:$J$1053,L$1)</f>
        <v>0</v>
      </c>
      <c r="M8" s="198">
        <f>SUMIFS('сентябрь 2023'!$G$4:$G$1053,'сентябрь 2023'!$D$4:$D$1053,$B8,'сентябрь 2023'!$J$4:$J$1053,M$1)</f>
        <v>0</v>
      </c>
      <c r="N8" s="198">
        <f>SUMIFS('сентябрь 2023'!$G$4:$G$1053,'сентябрь 2023'!$D$4:$D$1053,$B8,'сентябрь 2023'!$J$4:$J$1053,N$1)</f>
        <v>0</v>
      </c>
      <c r="O8" s="198">
        <f>SUMIFS('сентябрь 2023'!$G$4:$G$1053,'сентябрь 2023'!$D$4:$D$1053,$B8,'сентябрь 2023'!$J$4:$J$1053,O$1)</f>
        <v>0</v>
      </c>
      <c r="P8" s="198">
        <f>SUMIFS('сентябрь 2023'!$G$4:$G$1053,'сентябрь 2023'!$D$4:$D$1053,$B8,'сентябрь 2023'!$J$4:$J$1053,P$1)</f>
        <v>0</v>
      </c>
      <c r="Q8" s="198">
        <f>SUMIFS('сентябрь 2023'!$G$4:$G$1053,'сентябрь 2023'!$D$4:$D$1053,$B8,'сентябрь 2023'!$J$4:$J$1053,Q$1)</f>
        <v>0</v>
      </c>
      <c r="R8" s="198">
        <f>SUMIFS('сентябрь 2023'!$G$4:$G$1053,'сентябрь 2023'!$D$4:$D$1053,$B8,'сентябрь 2023'!$J$4:$J$1053,R$1)</f>
        <v>0</v>
      </c>
      <c r="S8" s="198">
        <f>SUMIFS('сентябрь 2023'!$G$4:$G$1053,'сентябрь 2023'!$D$4:$D$1053,$B8,'сентябрь 2023'!$J$4:$J$1053,S$1)</f>
        <v>0</v>
      </c>
      <c r="T8" s="198">
        <f>SUMIFS('сентябрь 2023'!$G$4:$G$1053,'сентябрь 2023'!$D$4:$D$1053,$B8,'сентябрь 2023'!$J$4:$J$1053,T$1)</f>
        <v>0</v>
      </c>
      <c r="U8" s="198">
        <f>SUMIFS('сентябрь 2023'!$G$4:$G$1053,'сентябрь 2023'!$D$4:$D$1053,$B8,'сентябрь 2023'!$J$4:$J$1053,U$1)</f>
        <v>0</v>
      </c>
      <c r="V8" s="198">
        <f>SUMIFS('сентябрь 2023'!$G$4:$G$1053,'сентябрь 2023'!$D$4:$D$1053,$B8,'сентябрь 2023'!$J$4:$J$1053,V$1)</f>
        <v>0</v>
      </c>
      <c r="W8" s="198">
        <f>SUMIFS('сентябрь 2023'!$G$4:$G$1053,'сентябрь 2023'!$D$4:$D$1053,$B8,'сентябрь 2023'!$J$4:$J$1053,W$1)</f>
        <v>0</v>
      </c>
      <c r="X8" s="198">
        <f>SUMIFS('сентябрь 2023'!$G$4:$G$1053,'сентябрь 2023'!$D$4:$D$1053,$B8,'сентябрь 2023'!$J$4:$J$1053,X$1)</f>
        <v>0</v>
      </c>
      <c r="Y8" s="198">
        <f>SUMIFS('сентябрь 2023'!$G$4:$G$1053,'сентябрь 2023'!$D$4:$D$1053,$B8,'сентябрь 2023'!$J$4:$J$1053,Y$1)</f>
        <v>0</v>
      </c>
      <c r="Z8" s="198">
        <f>SUMIFS('сентябрь 2023'!$G$4:$G$1053,'сентябрь 2023'!$D$4:$D$1053,$B8,'сентябрь 2023'!$J$4:$J$1053,Z$1)</f>
        <v>0</v>
      </c>
      <c r="AA8" s="198">
        <f>SUMIFS('сентябрь 2023'!$G$4:$G$1053,'сентябрь 2023'!$D$4:$D$1053,$B8,'сентябрь 2023'!$J$4:$J$1053,AA$1)</f>
        <v>0</v>
      </c>
      <c r="AB8" s="198">
        <f>SUMIFS('сентябрь 2023'!$G$4:$G$1053,'сентябрь 2023'!$D$4:$D$1053,$B8,'сентябрь 2023'!$J$4:$J$1053,AB$1)</f>
        <v>0</v>
      </c>
      <c r="AC8" s="198">
        <f>SUMIFS('сентябрь 2023'!$G$4:$G$1053,'сентябрь 2023'!$D$4:$D$1053,$B8,'сентябрь 2023'!$J$4:$J$1053,AC$1)</f>
        <v>0</v>
      </c>
      <c r="AD8" s="198">
        <f>SUMIFS('сентябрь 2023'!$G$4:$G$1053,'сентябрь 2023'!$D$4:$D$1053,$B8,'сентябрь 2023'!$J$4:$J$1053,AD$1)</f>
        <v>0</v>
      </c>
      <c r="AE8" s="198">
        <f>SUMIFS('сентябрь 2023'!$G$4:$G$1053,'сентябрь 2023'!$D$4:$D$1053,$B8,'сентябрь 2023'!$J$4:$J$1053,AE$1)</f>
        <v>0</v>
      </c>
      <c r="AF8" s="198">
        <f>SUMIFS('сентябрь 2023'!$G$4:$G$1053,'сентябрь 2023'!$D$4:$D$1053,$B8,'сентябрь 2023'!$J$4:$J$1053,AF$1)</f>
        <v>0</v>
      </c>
      <c r="AG8" s="198">
        <f>SUMIFS('сентябрь 2023'!$G$4:$G$1053,'сентябрь 2023'!$D$4:$D$1053,$B8,'сентябрь 2023'!$J$4:$J$1053,AG$1)</f>
        <v>0</v>
      </c>
      <c r="AH8" s="198">
        <f>SUMIFS('сентябрь 2023'!$G$4:$G$1053,'сентябрь 2023'!$D$4:$D$1053,$B8,'сентябрь 2023'!$J$4:$J$1053,AH$1)</f>
        <v>0</v>
      </c>
      <c r="AI8" s="170">
        <f t="shared" si="1"/>
        <v>0</v>
      </c>
    </row>
    <row r="9" spans="2:35" ht="15" customHeight="1" x14ac:dyDescent="0.25">
      <c r="B9" s="199" t="s">
        <v>2053</v>
      </c>
      <c r="C9" s="200">
        <v>25</v>
      </c>
      <c r="D9" s="198">
        <f>SUMIFS('сентябрь 2023'!$G$4:$G$1053,'сентябрь 2023'!$D$4:$D$1053,$B9,'сентябрь 2023'!$J$4:$J$1053,D$1)</f>
        <v>0</v>
      </c>
      <c r="E9" s="198">
        <f>SUMIFS('сентябрь 2023'!$G$4:$G$1053,'сентябрь 2023'!$D$4:$D$1053,$B9,'сентябрь 2023'!$J$4:$J$1053,E$1)</f>
        <v>0</v>
      </c>
      <c r="F9" s="198">
        <f>SUMIFS('сентябрь 2023'!$G$4:$G$1053,'сентябрь 2023'!$D$4:$D$1053,$B9,'сентябрь 2023'!$J$4:$J$1053,F$1)</f>
        <v>0</v>
      </c>
      <c r="G9" s="198">
        <f>SUMIFS('сентябрь 2023'!$G$4:$G$1053,'сентябрь 2023'!$D$4:$D$1053,$B9,'сентябрь 2023'!$J$4:$J$1053,G$1)</f>
        <v>0</v>
      </c>
      <c r="H9" s="198">
        <f>SUMIFS('сентябрь 2023'!$G$4:$G$1053,'сентябрь 2023'!$D$4:$D$1053,$B9,'сентябрь 2023'!$J$4:$J$1053,H$1)</f>
        <v>0</v>
      </c>
      <c r="I9" s="198">
        <f>SUMIFS('сентябрь 2023'!$G$4:$G$1053,'сентябрь 2023'!$D$4:$D$1053,$B9,'сентябрь 2023'!$J$4:$J$1053,I$1)</f>
        <v>0</v>
      </c>
      <c r="J9" s="198">
        <f>SUMIFS('сентябрь 2023'!$G$4:$G$1053,'сентябрь 2023'!$D$4:$D$1053,$B9,'сентябрь 2023'!$J$4:$J$1053,J$1)</f>
        <v>0</v>
      </c>
      <c r="K9" s="198">
        <f>SUMIFS('сентябрь 2023'!$G$4:$G$1053,'сентябрь 2023'!$D$4:$D$1053,$B9,'сентябрь 2023'!$J$4:$J$1053,K$1)</f>
        <v>0</v>
      </c>
      <c r="L9" s="198">
        <f>SUMIFS('сентябрь 2023'!$G$4:$G$1053,'сентябрь 2023'!$D$4:$D$1053,$B9,'сентябрь 2023'!$J$4:$J$1053,L$1)</f>
        <v>0</v>
      </c>
      <c r="M9" s="198">
        <f>SUMIFS('сентябрь 2023'!$G$4:$G$1053,'сентябрь 2023'!$D$4:$D$1053,$B9,'сентябрь 2023'!$J$4:$J$1053,M$1)</f>
        <v>0</v>
      </c>
      <c r="N9" s="198">
        <f>SUMIFS('сентябрь 2023'!$G$4:$G$1053,'сентябрь 2023'!$D$4:$D$1053,$B9,'сентябрь 2023'!$J$4:$J$1053,N$1)</f>
        <v>0</v>
      </c>
      <c r="O9" s="198">
        <f>SUMIFS('сентябрь 2023'!$G$4:$G$1053,'сентябрь 2023'!$D$4:$D$1053,$B9,'сентябрь 2023'!$J$4:$J$1053,O$1)</f>
        <v>0</v>
      </c>
      <c r="P9" s="198">
        <f>SUMIFS('сентябрь 2023'!$G$4:$G$1053,'сентябрь 2023'!$D$4:$D$1053,$B9,'сентябрь 2023'!$J$4:$J$1053,P$1)</f>
        <v>0</v>
      </c>
      <c r="Q9" s="198">
        <f>SUMIFS('сентябрь 2023'!$G$4:$G$1053,'сентябрь 2023'!$D$4:$D$1053,$B9,'сентябрь 2023'!$J$4:$J$1053,Q$1)</f>
        <v>0</v>
      </c>
      <c r="R9" s="198">
        <f>SUMIFS('сентябрь 2023'!$G$4:$G$1053,'сентябрь 2023'!$D$4:$D$1053,$B9,'сентябрь 2023'!$J$4:$J$1053,R$1)</f>
        <v>0</v>
      </c>
      <c r="S9" s="198">
        <f>SUMIFS('сентябрь 2023'!$G$4:$G$1053,'сентябрь 2023'!$D$4:$D$1053,$B9,'сентябрь 2023'!$J$4:$J$1053,S$1)</f>
        <v>0</v>
      </c>
      <c r="T9" s="198">
        <f>SUMIFS('сентябрь 2023'!$G$4:$G$1053,'сентябрь 2023'!$D$4:$D$1053,$B9,'сентябрь 2023'!$J$4:$J$1053,T$1)</f>
        <v>0</v>
      </c>
      <c r="U9" s="198">
        <f>SUMIFS('сентябрь 2023'!$G$4:$G$1053,'сентябрь 2023'!$D$4:$D$1053,$B9,'сентябрь 2023'!$J$4:$J$1053,U$1)</f>
        <v>0</v>
      </c>
      <c r="V9" s="198">
        <f>SUMIFS('сентябрь 2023'!$G$4:$G$1053,'сентябрь 2023'!$D$4:$D$1053,$B9,'сентябрь 2023'!$J$4:$J$1053,V$1)</f>
        <v>0</v>
      </c>
      <c r="W9" s="198">
        <f>SUMIFS('сентябрь 2023'!$G$4:$G$1053,'сентябрь 2023'!$D$4:$D$1053,$B9,'сентябрь 2023'!$J$4:$J$1053,W$1)</f>
        <v>0</v>
      </c>
      <c r="X9" s="198">
        <f>SUMIFS('сентябрь 2023'!$G$4:$G$1053,'сентябрь 2023'!$D$4:$D$1053,$B9,'сентябрь 2023'!$J$4:$J$1053,X$1)</f>
        <v>0</v>
      </c>
      <c r="Y9" s="198">
        <f>SUMIFS('сентябрь 2023'!$G$4:$G$1053,'сентябрь 2023'!$D$4:$D$1053,$B9,'сентябрь 2023'!$J$4:$J$1053,Y$1)</f>
        <v>0</v>
      </c>
      <c r="Z9" s="198">
        <f>SUMIFS('сентябрь 2023'!$G$4:$G$1053,'сентябрь 2023'!$D$4:$D$1053,$B9,'сентябрь 2023'!$J$4:$J$1053,Z$1)</f>
        <v>0</v>
      </c>
      <c r="AA9" s="198">
        <f>SUMIFS('сентябрь 2023'!$G$4:$G$1053,'сентябрь 2023'!$D$4:$D$1053,$B9,'сентябрь 2023'!$J$4:$J$1053,AA$1)</f>
        <v>0</v>
      </c>
      <c r="AB9" s="198">
        <f>SUMIFS('сентябрь 2023'!$G$4:$G$1053,'сентябрь 2023'!$D$4:$D$1053,$B9,'сентябрь 2023'!$J$4:$J$1053,AB$1)</f>
        <v>0</v>
      </c>
      <c r="AC9" s="198">
        <f>SUMIFS('сентябрь 2023'!$G$4:$G$1053,'сентябрь 2023'!$D$4:$D$1053,$B9,'сентябрь 2023'!$J$4:$J$1053,AC$1)</f>
        <v>0</v>
      </c>
      <c r="AD9" s="198">
        <f>SUMIFS('сентябрь 2023'!$G$4:$G$1053,'сентябрь 2023'!$D$4:$D$1053,$B9,'сентябрь 2023'!$J$4:$J$1053,AD$1)</f>
        <v>0</v>
      </c>
      <c r="AE9" s="198">
        <f>SUMIFS('сентябрь 2023'!$G$4:$G$1053,'сентябрь 2023'!$D$4:$D$1053,$B9,'сентябрь 2023'!$J$4:$J$1053,AE$1)</f>
        <v>0</v>
      </c>
      <c r="AF9" s="198">
        <f>SUMIFS('сентябрь 2023'!$G$4:$G$1053,'сентябрь 2023'!$D$4:$D$1053,$B9,'сентябрь 2023'!$J$4:$J$1053,AF$1)</f>
        <v>0</v>
      </c>
      <c r="AG9" s="198">
        <f>SUMIFS('сентябрь 2023'!$G$4:$G$1053,'сентябрь 2023'!$D$4:$D$1053,$B9,'сентябрь 2023'!$J$4:$J$1053,AG$1)</f>
        <v>0</v>
      </c>
      <c r="AH9" s="198">
        <f>SUMIFS('сентябрь 2023'!$G$4:$G$1053,'сентябрь 2023'!$D$4:$D$1053,$B9,'сентябрь 2023'!$J$4:$J$1053,AH$1)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SUMIFS('сентябрь 2023'!$G$4:$G$1053,'сентябрь 2023'!$D$4:$D$1053,$B10,'сентябрь 2023'!$J$4:$J$1053,D$1)</f>
        <v>0</v>
      </c>
      <c r="E10" s="198">
        <f>SUMIFS('сентябрь 2023'!$G$4:$G$1053,'сентябрь 2023'!$D$4:$D$1053,$B10,'сентябрь 2023'!$J$4:$J$1053,E$1)</f>
        <v>0</v>
      </c>
      <c r="F10" s="198">
        <f>SUMIFS('сентябрь 2023'!$G$4:$G$1053,'сентябрь 2023'!$D$4:$D$1053,$B10,'сентябрь 2023'!$J$4:$J$1053,F$1)</f>
        <v>0</v>
      </c>
      <c r="G10" s="198">
        <f>SUMIFS('сентябрь 2023'!$G$4:$G$1053,'сентябрь 2023'!$D$4:$D$1053,$B10,'сентябрь 2023'!$J$4:$J$1053,G$1)</f>
        <v>0</v>
      </c>
      <c r="H10" s="198">
        <f>SUMIFS('сентябрь 2023'!$G$4:$G$1053,'сентябрь 2023'!$D$4:$D$1053,$B10,'сентябрь 2023'!$J$4:$J$1053,H$1)</f>
        <v>0</v>
      </c>
      <c r="I10" s="198">
        <f>SUMIFS('сентябрь 2023'!$G$4:$G$1053,'сентябрь 2023'!$D$4:$D$1053,$B10,'сентябрь 2023'!$J$4:$J$1053,I$1)</f>
        <v>0</v>
      </c>
      <c r="J10" s="198">
        <f>SUMIFS('сентябрь 2023'!$G$4:$G$1053,'сентябрь 2023'!$D$4:$D$1053,$B10,'сентябрь 2023'!$J$4:$J$1053,J$1)</f>
        <v>0</v>
      </c>
      <c r="K10" s="198">
        <f>SUMIFS('сентябрь 2023'!$G$4:$G$1053,'сентябрь 2023'!$D$4:$D$1053,$B10,'сентябрь 2023'!$J$4:$J$1053,K$1)</f>
        <v>0</v>
      </c>
      <c r="L10" s="198">
        <f>SUMIFS('сентябрь 2023'!$G$4:$G$1053,'сентябрь 2023'!$D$4:$D$1053,$B10,'сентябрь 2023'!$J$4:$J$1053,L$1)</f>
        <v>0</v>
      </c>
      <c r="M10" s="198">
        <f>SUMIFS('сентябрь 2023'!$G$4:$G$1053,'сентябрь 2023'!$D$4:$D$1053,$B10,'сентябрь 2023'!$J$4:$J$1053,M$1)</f>
        <v>0</v>
      </c>
      <c r="N10" s="198">
        <f>SUMIFS('сентябрь 2023'!$G$4:$G$1053,'сентябрь 2023'!$D$4:$D$1053,$B10,'сентябрь 2023'!$J$4:$J$1053,N$1)</f>
        <v>0</v>
      </c>
      <c r="O10" s="198">
        <f>SUMIFS('сентябрь 2023'!$G$4:$G$1053,'сентябрь 2023'!$D$4:$D$1053,$B10,'сентябрь 2023'!$J$4:$J$1053,O$1)</f>
        <v>0</v>
      </c>
      <c r="P10" s="198">
        <f>SUMIFS('сентябрь 2023'!$G$4:$G$1053,'сентябрь 2023'!$D$4:$D$1053,$B10,'сентябрь 2023'!$J$4:$J$1053,P$1)</f>
        <v>0</v>
      </c>
      <c r="Q10" s="198">
        <f>SUMIFS('сентябрь 2023'!$G$4:$G$1053,'сентябрь 2023'!$D$4:$D$1053,$B10,'сентябрь 2023'!$J$4:$J$1053,Q$1)</f>
        <v>0</v>
      </c>
      <c r="R10" s="198">
        <f>SUMIFS('сентябрь 2023'!$G$4:$G$1053,'сентябрь 2023'!$D$4:$D$1053,$B10,'сентябрь 2023'!$J$4:$J$1053,R$1)</f>
        <v>0</v>
      </c>
      <c r="S10" s="198">
        <f>SUMIFS('сентябрь 2023'!$G$4:$G$1053,'сентябрь 2023'!$D$4:$D$1053,$B10,'сентябрь 2023'!$J$4:$J$1053,S$1)</f>
        <v>0</v>
      </c>
      <c r="T10" s="198">
        <f>SUMIFS('сентябрь 2023'!$G$4:$G$1053,'сентябрь 2023'!$D$4:$D$1053,$B10,'сентябрь 2023'!$J$4:$J$1053,T$1)</f>
        <v>0</v>
      </c>
      <c r="U10" s="198">
        <f>SUMIFS('сентябрь 2023'!$G$4:$G$1053,'сентябрь 2023'!$D$4:$D$1053,$B10,'сентябрь 2023'!$J$4:$J$1053,U$1)</f>
        <v>0</v>
      </c>
      <c r="V10" s="198">
        <f>SUMIFS('сентябрь 2023'!$G$4:$G$1053,'сентябрь 2023'!$D$4:$D$1053,$B10,'сентябрь 2023'!$J$4:$J$1053,V$1)</f>
        <v>0</v>
      </c>
      <c r="W10" s="198">
        <f>SUMIFS('сентябрь 2023'!$G$4:$G$1053,'сентябрь 2023'!$D$4:$D$1053,$B10,'сентябрь 2023'!$J$4:$J$1053,W$1)</f>
        <v>0</v>
      </c>
      <c r="X10" s="198">
        <f>SUMIFS('сентябрь 2023'!$G$4:$G$1053,'сентябрь 2023'!$D$4:$D$1053,$B10,'сентябрь 2023'!$J$4:$J$1053,X$1)</f>
        <v>0</v>
      </c>
      <c r="Y10" s="198">
        <f>SUMIFS('сентябрь 2023'!$G$4:$G$1053,'сентябрь 2023'!$D$4:$D$1053,$B10,'сентябрь 2023'!$J$4:$J$1053,Y$1)</f>
        <v>0</v>
      </c>
      <c r="Z10" s="198">
        <f>SUMIFS('сентябрь 2023'!$G$4:$G$1053,'сентябрь 2023'!$D$4:$D$1053,$B10,'сентябрь 2023'!$J$4:$J$1053,Z$1)</f>
        <v>0</v>
      </c>
      <c r="AA10" s="198">
        <f>SUMIFS('сентябрь 2023'!$G$4:$G$1053,'сентябрь 2023'!$D$4:$D$1053,$B10,'сентябрь 2023'!$J$4:$J$1053,AA$1)</f>
        <v>0</v>
      </c>
      <c r="AB10" s="198">
        <f>SUMIFS('сентябрь 2023'!$G$4:$G$1053,'сентябрь 2023'!$D$4:$D$1053,$B10,'сентябрь 2023'!$J$4:$J$1053,AB$1)</f>
        <v>0</v>
      </c>
      <c r="AC10" s="198">
        <f>SUMIFS('сентябрь 2023'!$G$4:$G$1053,'сентябрь 2023'!$D$4:$D$1053,$B10,'сентябрь 2023'!$J$4:$J$1053,AC$1)</f>
        <v>0</v>
      </c>
      <c r="AD10" s="198">
        <f>SUMIFS('сентябрь 2023'!$G$4:$G$1053,'сентябрь 2023'!$D$4:$D$1053,$B10,'сентябрь 2023'!$J$4:$J$1053,AD$1)</f>
        <v>0</v>
      </c>
      <c r="AE10" s="198">
        <f>SUMIFS('сентябрь 2023'!$G$4:$G$1053,'сентябрь 2023'!$D$4:$D$1053,$B10,'сентябрь 2023'!$J$4:$J$1053,AE$1)</f>
        <v>0</v>
      </c>
      <c r="AF10" s="198">
        <f>SUMIFS('сентябрь 2023'!$G$4:$G$1053,'сентябрь 2023'!$D$4:$D$1053,$B10,'сентябрь 2023'!$J$4:$J$1053,AF$1)</f>
        <v>0</v>
      </c>
      <c r="AG10" s="198">
        <f>SUMIFS('сентябрь 2023'!$G$4:$G$1053,'сентябрь 2023'!$D$4:$D$1053,$B10,'сентябрь 2023'!$J$4:$J$1053,AG$1)</f>
        <v>0</v>
      </c>
      <c r="AH10" s="198">
        <f>SUMIFS('сентябрь 2023'!$G$4:$G$1053,'сентябрь 2023'!$D$4:$D$1053,$B10,'сентябрь 2023'!$J$4:$J$1053,AH$1)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SUMIFS('сентябрь 2023'!$G$4:$G$1053,'сентябрь 2023'!$D$4:$D$1053,$B11,'сентябрь 2023'!$J$4:$J$1053,D$1)</f>
        <v>0</v>
      </c>
      <c r="E11" s="198">
        <f>SUMIFS('сентябрь 2023'!$G$4:$G$1053,'сентябрь 2023'!$D$4:$D$1053,$B11,'сентябрь 2023'!$J$4:$J$1053,E$1)</f>
        <v>0</v>
      </c>
      <c r="F11" s="198">
        <f>SUMIFS('сентябрь 2023'!$G$4:$G$1053,'сентябрь 2023'!$D$4:$D$1053,$B11,'сентябрь 2023'!$J$4:$J$1053,F$1)</f>
        <v>0</v>
      </c>
      <c r="G11" s="198">
        <f>SUMIFS('сентябрь 2023'!$G$4:$G$1053,'сентябрь 2023'!$D$4:$D$1053,$B11,'сентябрь 2023'!$J$4:$J$1053,G$1)</f>
        <v>0</v>
      </c>
      <c r="H11" s="198">
        <f>SUMIFS('сентябрь 2023'!$G$4:$G$1053,'сентябрь 2023'!$D$4:$D$1053,$B11,'сентябрь 2023'!$J$4:$J$1053,H$1)</f>
        <v>0</v>
      </c>
      <c r="I11" s="198">
        <f>SUMIFS('сентябрь 2023'!$G$4:$G$1053,'сентябрь 2023'!$D$4:$D$1053,$B11,'сентябрь 2023'!$J$4:$J$1053,I$1)</f>
        <v>0</v>
      </c>
      <c r="J11" s="198">
        <f>SUMIFS('сентябрь 2023'!$G$4:$G$1053,'сентябрь 2023'!$D$4:$D$1053,$B11,'сентябрь 2023'!$J$4:$J$1053,J$1)</f>
        <v>0</v>
      </c>
      <c r="K11" s="198">
        <f>SUMIFS('сентябрь 2023'!$G$4:$G$1053,'сентябрь 2023'!$D$4:$D$1053,$B11,'сентябрь 2023'!$J$4:$J$1053,K$1)</f>
        <v>0</v>
      </c>
      <c r="L11" s="198">
        <f>SUMIFS('сентябрь 2023'!$G$4:$G$1053,'сентябрь 2023'!$D$4:$D$1053,$B11,'сентябрь 2023'!$J$4:$J$1053,L$1)</f>
        <v>0</v>
      </c>
      <c r="M11" s="198">
        <f>SUMIFS('сентябрь 2023'!$G$4:$G$1053,'сентябрь 2023'!$D$4:$D$1053,$B11,'сентябрь 2023'!$J$4:$J$1053,M$1)</f>
        <v>0</v>
      </c>
      <c r="N11" s="198">
        <f>SUMIFS('сентябрь 2023'!$G$4:$G$1053,'сентябрь 2023'!$D$4:$D$1053,$B11,'сентябрь 2023'!$J$4:$J$1053,N$1)</f>
        <v>0</v>
      </c>
      <c r="O11" s="198">
        <f>SUMIFS('сентябрь 2023'!$G$4:$G$1053,'сентябрь 2023'!$D$4:$D$1053,$B11,'сентябрь 2023'!$J$4:$J$1053,O$1)</f>
        <v>0</v>
      </c>
      <c r="P11" s="198">
        <f>SUMIFS('сентябрь 2023'!$G$4:$G$1053,'сентябрь 2023'!$D$4:$D$1053,$B11,'сентябрь 2023'!$J$4:$J$1053,P$1)</f>
        <v>0</v>
      </c>
      <c r="Q11" s="198">
        <f>SUMIFS('сентябрь 2023'!$G$4:$G$1053,'сентябрь 2023'!$D$4:$D$1053,$B11,'сентябрь 2023'!$J$4:$J$1053,Q$1)</f>
        <v>0</v>
      </c>
      <c r="R11" s="198">
        <f>SUMIFS('сентябрь 2023'!$G$4:$G$1053,'сентябрь 2023'!$D$4:$D$1053,$B11,'сентябрь 2023'!$J$4:$J$1053,R$1)</f>
        <v>0</v>
      </c>
      <c r="S11" s="198">
        <f>SUMIFS('сентябрь 2023'!$G$4:$G$1053,'сентябрь 2023'!$D$4:$D$1053,$B11,'сентябрь 2023'!$J$4:$J$1053,S$1)</f>
        <v>0</v>
      </c>
      <c r="T11" s="198">
        <f>SUMIFS('сентябрь 2023'!$G$4:$G$1053,'сентябрь 2023'!$D$4:$D$1053,$B11,'сентябрь 2023'!$J$4:$J$1053,T$1)</f>
        <v>0</v>
      </c>
      <c r="U11" s="198">
        <f>SUMIFS('сентябрь 2023'!$G$4:$G$1053,'сентябрь 2023'!$D$4:$D$1053,$B11,'сентябрь 2023'!$J$4:$J$1053,U$1)</f>
        <v>0</v>
      </c>
      <c r="V11" s="198">
        <f>SUMIFS('сентябрь 2023'!$G$4:$G$1053,'сентябрь 2023'!$D$4:$D$1053,$B11,'сентябрь 2023'!$J$4:$J$1053,V$1)</f>
        <v>0</v>
      </c>
      <c r="W11" s="198">
        <f>SUMIFS('сентябрь 2023'!$G$4:$G$1053,'сентябрь 2023'!$D$4:$D$1053,$B11,'сентябрь 2023'!$J$4:$J$1053,W$1)</f>
        <v>0</v>
      </c>
      <c r="X11" s="198">
        <f>SUMIFS('сентябрь 2023'!$G$4:$G$1053,'сентябрь 2023'!$D$4:$D$1053,$B11,'сентябрь 2023'!$J$4:$J$1053,X$1)</f>
        <v>0</v>
      </c>
      <c r="Y11" s="198">
        <f>SUMIFS('сентябрь 2023'!$G$4:$G$1053,'сентябрь 2023'!$D$4:$D$1053,$B11,'сентябрь 2023'!$J$4:$J$1053,Y$1)</f>
        <v>0</v>
      </c>
      <c r="Z11" s="198">
        <f>SUMIFS('сентябрь 2023'!$G$4:$G$1053,'сентябрь 2023'!$D$4:$D$1053,$B11,'сентябрь 2023'!$J$4:$J$1053,Z$1)</f>
        <v>0</v>
      </c>
      <c r="AA11" s="198">
        <f>SUMIFS('сентябрь 2023'!$G$4:$G$1053,'сентябрь 2023'!$D$4:$D$1053,$B11,'сентябрь 2023'!$J$4:$J$1053,AA$1)</f>
        <v>0</v>
      </c>
      <c r="AB11" s="198">
        <f>SUMIFS('сентябрь 2023'!$G$4:$G$1053,'сентябрь 2023'!$D$4:$D$1053,$B11,'сентябрь 2023'!$J$4:$J$1053,AB$1)</f>
        <v>0</v>
      </c>
      <c r="AC11" s="198">
        <f>SUMIFS('сентябрь 2023'!$G$4:$G$1053,'сентябрь 2023'!$D$4:$D$1053,$B11,'сентябрь 2023'!$J$4:$J$1053,AC$1)</f>
        <v>0</v>
      </c>
      <c r="AD11" s="198">
        <f>SUMIFS('сентябрь 2023'!$G$4:$G$1053,'сентябрь 2023'!$D$4:$D$1053,$B11,'сентябрь 2023'!$J$4:$J$1053,AD$1)</f>
        <v>0</v>
      </c>
      <c r="AE11" s="198">
        <f>SUMIFS('сентябрь 2023'!$G$4:$G$1053,'сентябрь 2023'!$D$4:$D$1053,$B11,'сентябрь 2023'!$J$4:$J$1053,AE$1)</f>
        <v>0</v>
      </c>
      <c r="AF11" s="198">
        <f>SUMIFS('сентябрь 2023'!$G$4:$G$1053,'сентябрь 2023'!$D$4:$D$1053,$B11,'сентябрь 2023'!$J$4:$J$1053,AF$1)</f>
        <v>0</v>
      </c>
      <c r="AG11" s="198">
        <f>SUMIFS('сентябрь 2023'!$G$4:$G$1053,'сентябрь 2023'!$D$4:$D$1053,$B11,'сентябрь 2023'!$J$4:$J$1053,AG$1)</f>
        <v>0</v>
      </c>
      <c r="AH11" s="198">
        <f>SUMIFS('сентябрь 2023'!$G$4:$G$1053,'сентябрь 2023'!$D$4:$D$1053,$B11,'сентябрь 2023'!$J$4:$J$1053,AH$1)</f>
        <v>0</v>
      </c>
      <c r="AI11" s="170">
        <f t="shared" si="1"/>
        <v>0</v>
      </c>
    </row>
    <row r="12" spans="2:35" ht="15" customHeight="1" x14ac:dyDescent="0.25">
      <c r="B12" s="202" t="s">
        <v>127</v>
      </c>
      <c r="C12" s="203">
        <v>25</v>
      </c>
      <c r="D12" s="198">
        <f>SUMIFS('сентябрь 2023'!$G$4:$G$1053,'сентябрь 2023'!$D$4:$D$1053,$B12,'сентябрь 2023'!$J$4:$J$1053,D$1)</f>
        <v>0</v>
      </c>
      <c r="E12" s="198">
        <f>SUMIFS('сентябрь 2023'!$G$4:$G$1053,'сентябрь 2023'!$D$4:$D$1053,$B12,'сентябрь 2023'!$J$4:$J$1053,E$1)</f>
        <v>0</v>
      </c>
      <c r="F12" s="198">
        <f>SUMIFS('сентябрь 2023'!$G$4:$G$1053,'сентябрь 2023'!$D$4:$D$1053,$B12,'сентябрь 2023'!$J$4:$J$1053,F$1)</f>
        <v>0</v>
      </c>
      <c r="G12" s="198">
        <f>SUMIFS('сентябрь 2023'!$G$4:$G$1053,'сентябрь 2023'!$D$4:$D$1053,$B12,'сентябрь 2023'!$J$4:$J$1053,G$1)</f>
        <v>0</v>
      </c>
      <c r="H12" s="198">
        <f>SUMIFS('сентябрь 2023'!$G$4:$G$1053,'сентябрь 2023'!$D$4:$D$1053,$B12,'сентябрь 2023'!$J$4:$J$1053,H$1)</f>
        <v>0</v>
      </c>
      <c r="I12" s="198">
        <f>SUMIFS('сентябрь 2023'!$G$4:$G$1053,'сентябрь 2023'!$D$4:$D$1053,$B12,'сентябрь 2023'!$J$4:$J$1053,I$1)</f>
        <v>0</v>
      </c>
      <c r="J12" s="198">
        <f>SUMIFS('сентябрь 2023'!$G$4:$G$1053,'сентябрь 2023'!$D$4:$D$1053,$B12,'сентябрь 2023'!$J$4:$J$1053,J$1)</f>
        <v>0</v>
      </c>
      <c r="K12" s="198">
        <f>SUMIFS('сентябрь 2023'!$G$4:$G$1053,'сентябрь 2023'!$D$4:$D$1053,$B12,'сентябрь 2023'!$J$4:$J$1053,K$1)</f>
        <v>0</v>
      </c>
      <c r="L12" s="198">
        <f>SUMIFS('сентябрь 2023'!$G$4:$G$1053,'сентябрь 2023'!$D$4:$D$1053,$B12,'сентябрь 2023'!$J$4:$J$1053,L$1)</f>
        <v>0</v>
      </c>
      <c r="M12" s="198">
        <f>SUMIFS('сентябрь 2023'!$G$4:$G$1053,'сентябрь 2023'!$D$4:$D$1053,$B12,'сентябрь 2023'!$J$4:$J$1053,M$1)</f>
        <v>0</v>
      </c>
      <c r="N12" s="198">
        <f>SUMIFS('сентябрь 2023'!$G$4:$G$1053,'сентябрь 2023'!$D$4:$D$1053,$B12,'сентябрь 2023'!$J$4:$J$1053,N$1)</f>
        <v>0</v>
      </c>
      <c r="O12" s="198">
        <f>SUMIFS('сентябрь 2023'!$G$4:$G$1053,'сентябрь 2023'!$D$4:$D$1053,$B12,'сентябрь 2023'!$J$4:$J$1053,O$1)</f>
        <v>0</v>
      </c>
      <c r="P12" s="198">
        <f>SUMIFS('сентябрь 2023'!$G$4:$G$1053,'сентябрь 2023'!$D$4:$D$1053,$B12,'сентябрь 2023'!$J$4:$J$1053,P$1)</f>
        <v>0</v>
      </c>
      <c r="Q12" s="198">
        <f>SUMIFS('сентябрь 2023'!$G$4:$G$1053,'сентябрь 2023'!$D$4:$D$1053,$B12,'сентябрь 2023'!$J$4:$J$1053,Q$1)</f>
        <v>0</v>
      </c>
      <c r="R12" s="198">
        <f>SUMIFS('сентябрь 2023'!$G$4:$G$1053,'сентябрь 2023'!$D$4:$D$1053,$B12,'сентябрь 2023'!$J$4:$J$1053,R$1)</f>
        <v>0</v>
      </c>
      <c r="S12" s="198">
        <f>SUMIFS('сентябрь 2023'!$G$4:$G$1053,'сентябрь 2023'!$D$4:$D$1053,$B12,'сентябрь 2023'!$J$4:$J$1053,S$1)</f>
        <v>0</v>
      </c>
      <c r="T12" s="198">
        <f>SUMIFS('сентябрь 2023'!$G$4:$G$1053,'сентябрь 2023'!$D$4:$D$1053,$B12,'сентябрь 2023'!$J$4:$J$1053,T$1)</f>
        <v>0</v>
      </c>
      <c r="U12" s="198">
        <f>SUMIFS('сентябрь 2023'!$G$4:$G$1053,'сентябрь 2023'!$D$4:$D$1053,$B12,'сентябрь 2023'!$J$4:$J$1053,U$1)</f>
        <v>0</v>
      </c>
      <c r="V12" s="198">
        <f>SUMIFS('сентябрь 2023'!$G$4:$G$1053,'сентябрь 2023'!$D$4:$D$1053,$B12,'сентябрь 2023'!$J$4:$J$1053,V$1)</f>
        <v>0</v>
      </c>
      <c r="W12" s="198">
        <f>SUMIFS('сентябрь 2023'!$G$4:$G$1053,'сентябрь 2023'!$D$4:$D$1053,$B12,'сентябрь 2023'!$J$4:$J$1053,W$1)</f>
        <v>0</v>
      </c>
      <c r="X12" s="198">
        <f>SUMIFS('сентябрь 2023'!$G$4:$G$1053,'сентябрь 2023'!$D$4:$D$1053,$B12,'сентябрь 2023'!$J$4:$J$1053,X$1)</f>
        <v>0</v>
      </c>
      <c r="Y12" s="198">
        <f>SUMIFS('сентябрь 2023'!$G$4:$G$1053,'сентябрь 2023'!$D$4:$D$1053,$B12,'сентябрь 2023'!$J$4:$J$1053,Y$1)</f>
        <v>0</v>
      </c>
      <c r="Z12" s="198">
        <f>SUMIFS('сентябрь 2023'!$G$4:$G$1053,'сентябрь 2023'!$D$4:$D$1053,$B12,'сентябрь 2023'!$J$4:$J$1053,Z$1)</f>
        <v>0</v>
      </c>
      <c r="AA12" s="198">
        <f>SUMIFS('сентябрь 2023'!$G$4:$G$1053,'сентябрь 2023'!$D$4:$D$1053,$B12,'сентябрь 2023'!$J$4:$J$1053,AA$1)</f>
        <v>0</v>
      </c>
      <c r="AB12" s="198">
        <f>SUMIFS('сентябрь 2023'!$G$4:$G$1053,'сентябрь 2023'!$D$4:$D$1053,$B12,'сентябрь 2023'!$J$4:$J$1053,AB$1)</f>
        <v>0</v>
      </c>
      <c r="AC12" s="198">
        <f>SUMIFS('сентябрь 2023'!$G$4:$G$1053,'сентябрь 2023'!$D$4:$D$1053,$B12,'сентябрь 2023'!$J$4:$J$1053,AC$1)</f>
        <v>0</v>
      </c>
      <c r="AD12" s="198">
        <f>SUMIFS('сентябрь 2023'!$G$4:$G$1053,'сентябрь 2023'!$D$4:$D$1053,$B12,'сентябрь 2023'!$J$4:$J$1053,AD$1)</f>
        <v>0</v>
      </c>
      <c r="AE12" s="198">
        <f>SUMIFS('сентябрь 2023'!$G$4:$G$1053,'сентябрь 2023'!$D$4:$D$1053,$B12,'сентябрь 2023'!$J$4:$J$1053,AE$1)</f>
        <v>0</v>
      </c>
      <c r="AF12" s="198">
        <f>SUMIFS('сентябрь 2023'!$G$4:$G$1053,'сентябрь 2023'!$D$4:$D$1053,$B12,'сентябрь 2023'!$J$4:$J$1053,AF$1)</f>
        <v>0</v>
      </c>
      <c r="AG12" s="198">
        <f>SUMIFS('сентябрь 2023'!$G$4:$G$1053,'сентябрь 2023'!$D$4:$D$1053,$B12,'сентябрь 2023'!$J$4:$J$1053,AG$1)</f>
        <v>0</v>
      </c>
      <c r="AH12" s="198">
        <f>SUMIFS('сентябрь 2023'!$G$4:$G$1053,'сентябрь 2023'!$D$4:$D$1053,$B12,'сентябрь 2023'!$J$4:$J$1053,AH$1)</f>
        <v>0</v>
      </c>
      <c r="AI12" s="170">
        <f t="shared" si="1"/>
        <v>0</v>
      </c>
    </row>
    <row r="13" spans="2:35" ht="15" customHeight="1" x14ac:dyDescent="0.25">
      <c r="B13" s="202" t="s">
        <v>86</v>
      </c>
      <c r="C13" s="203">
        <v>22.7</v>
      </c>
      <c r="D13" s="198">
        <f>SUMIFS('сентябрь 2023'!$G$4:$G$1053,'сентябрь 2023'!$D$4:$D$1053,$B13,'сентябрь 2023'!$J$4:$J$1053,D$1)</f>
        <v>0</v>
      </c>
      <c r="E13" s="198">
        <f>SUMIFS('сентябрь 2023'!$G$4:$G$1053,'сентябрь 2023'!$D$4:$D$1053,$B13,'сентябрь 2023'!$J$4:$J$1053,E$1)</f>
        <v>0</v>
      </c>
      <c r="F13" s="198">
        <f>SUMIFS('сентябрь 2023'!$G$4:$G$1053,'сентябрь 2023'!$D$4:$D$1053,$B13,'сентябрь 2023'!$J$4:$J$1053,F$1)</f>
        <v>0</v>
      </c>
      <c r="G13" s="198">
        <f>SUMIFS('сентябрь 2023'!$G$4:$G$1053,'сентябрь 2023'!$D$4:$D$1053,$B13,'сентябрь 2023'!$J$4:$J$1053,G$1)</f>
        <v>0</v>
      </c>
      <c r="H13" s="198">
        <f>SUMIFS('сентябрь 2023'!$G$4:$G$1053,'сентябрь 2023'!$D$4:$D$1053,$B13,'сентябрь 2023'!$J$4:$J$1053,H$1)</f>
        <v>0</v>
      </c>
      <c r="I13" s="198">
        <f>SUMIFS('сентябрь 2023'!$G$4:$G$1053,'сентябрь 2023'!$D$4:$D$1053,$B13,'сентябрь 2023'!$J$4:$J$1053,I$1)</f>
        <v>0</v>
      </c>
      <c r="J13" s="198">
        <f>SUMIFS('сентябрь 2023'!$G$4:$G$1053,'сентябрь 2023'!$D$4:$D$1053,$B13,'сентябрь 2023'!$J$4:$J$1053,J$1)</f>
        <v>0</v>
      </c>
      <c r="K13" s="198">
        <f>SUMIFS('сентябрь 2023'!$G$4:$G$1053,'сентябрь 2023'!$D$4:$D$1053,$B13,'сентябрь 2023'!$J$4:$J$1053,K$1)</f>
        <v>0</v>
      </c>
      <c r="L13" s="198">
        <f>SUMIFS('сентябрь 2023'!$G$4:$G$1053,'сентябрь 2023'!$D$4:$D$1053,$B13,'сентябрь 2023'!$J$4:$J$1053,L$1)</f>
        <v>0</v>
      </c>
      <c r="M13" s="198">
        <f>SUMIFS('сентябрь 2023'!$G$4:$G$1053,'сентябрь 2023'!$D$4:$D$1053,$B13,'сентябрь 2023'!$J$4:$J$1053,M$1)</f>
        <v>0</v>
      </c>
      <c r="N13" s="198">
        <f>SUMIFS('сентябрь 2023'!$G$4:$G$1053,'сентябрь 2023'!$D$4:$D$1053,$B13,'сентябрь 2023'!$J$4:$J$1053,N$1)</f>
        <v>320</v>
      </c>
      <c r="O13" s="198">
        <f>SUMIFS('сентябрь 2023'!$G$4:$G$1053,'сентябрь 2023'!$D$4:$D$1053,$B13,'сентябрь 2023'!$J$4:$J$1053,O$1)</f>
        <v>0</v>
      </c>
      <c r="P13" s="198">
        <f>SUMIFS('сентябрь 2023'!$G$4:$G$1053,'сентябрь 2023'!$D$4:$D$1053,$B13,'сентябрь 2023'!$J$4:$J$1053,P$1)</f>
        <v>0</v>
      </c>
      <c r="Q13" s="198">
        <f>SUMIFS('сентябрь 2023'!$G$4:$G$1053,'сентябрь 2023'!$D$4:$D$1053,$B13,'сентябрь 2023'!$J$4:$J$1053,Q$1)</f>
        <v>800</v>
      </c>
      <c r="R13" s="198">
        <f>SUMIFS('сентябрь 2023'!$G$4:$G$1053,'сентябрь 2023'!$D$4:$D$1053,$B13,'сентябрь 2023'!$J$4:$J$1053,R$1)</f>
        <v>800</v>
      </c>
      <c r="S13" s="198">
        <f>SUMIFS('сентябрь 2023'!$G$4:$G$1053,'сентябрь 2023'!$D$4:$D$1053,$B13,'сентябрь 2023'!$J$4:$J$1053,S$1)</f>
        <v>0</v>
      </c>
      <c r="T13" s="198">
        <f>SUMIFS('сентябрь 2023'!$G$4:$G$1053,'сентябрь 2023'!$D$4:$D$1053,$B13,'сентябрь 2023'!$J$4:$J$1053,T$1)</f>
        <v>0</v>
      </c>
      <c r="U13" s="198">
        <f>SUMIFS('сентябрь 2023'!$G$4:$G$1053,'сентябрь 2023'!$D$4:$D$1053,$B13,'сентябрь 2023'!$J$4:$J$1053,U$1)</f>
        <v>0</v>
      </c>
      <c r="V13" s="198">
        <f>SUMIFS('сентябрь 2023'!$G$4:$G$1053,'сентябрь 2023'!$D$4:$D$1053,$B13,'сентябрь 2023'!$J$4:$J$1053,V$1)</f>
        <v>800</v>
      </c>
      <c r="W13" s="198">
        <f>SUMIFS('сентябрь 2023'!$G$4:$G$1053,'сентябрь 2023'!$D$4:$D$1053,$B13,'сентябрь 2023'!$J$4:$J$1053,W$1)</f>
        <v>800</v>
      </c>
      <c r="X13" s="198">
        <f>SUMIFS('сентябрь 2023'!$G$4:$G$1053,'сентябрь 2023'!$D$4:$D$1053,$B13,'сентябрь 2023'!$J$4:$J$1053,X$1)</f>
        <v>0</v>
      </c>
      <c r="Y13" s="198">
        <f>SUMIFS('сентябрь 2023'!$G$4:$G$1053,'сентябрь 2023'!$D$4:$D$1053,$B13,'сентябрь 2023'!$J$4:$J$1053,Y$1)</f>
        <v>0</v>
      </c>
      <c r="Z13" s="198">
        <f>SUMIFS('сентябрь 2023'!$G$4:$G$1053,'сентябрь 2023'!$D$4:$D$1053,$B13,'сентябрь 2023'!$J$4:$J$1053,Z$1)</f>
        <v>0</v>
      </c>
      <c r="AA13" s="198">
        <f>SUMIFS('сентябрь 2023'!$G$4:$G$1053,'сентябрь 2023'!$D$4:$D$1053,$B13,'сентябрь 2023'!$J$4:$J$1053,AA$1)</f>
        <v>0</v>
      </c>
      <c r="AB13" s="198">
        <f>SUMIFS('сентябрь 2023'!$G$4:$G$1053,'сентябрь 2023'!$D$4:$D$1053,$B13,'сентябрь 2023'!$J$4:$J$1053,AB$1)</f>
        <v>0</v>
      </c>
      <c r="AC13" s="198">
        <f>SUMIFS('сентябрь 2023'!$G$4:$G$1053,'сентябрь 2023'!$D$4:$D$1053,$B13,'сентябрь 2023'!$J$4:$J$1053,AC$1)</f>
        <v>0</v>
      </c>
      <c r="AD13" s="198">
        <f>SUMIFS('сентябрь 2023'!$G$4:$G$1053,'сентябрь 2023'!$D$4:$D$1053,$B13,'сентябрь 2023'!$J$4:$J$1053,AD$1)</f>
        <v>0</v>
      </c>
      <c r="AE13" s="198">
        <f>SUMIFS('сентябрь 2023'!$G$4:$G$1053,'сентябрь 2023'!$D$4:$D$1053,$B13,'сентябрь 2023'!$J$4:$J$1053,AE$1)</f>
        <v>0</v>
      </c>
      <c r="AF13" s="198">
        <f>SUMIFS('сентябрь 2023'!$G$4:$G$1053,'сентябрь 2023'!$D$4:$D$1053,$B13,'сентябрь 2023'!$J$4:$J$1053,AF$1)</f>
        <v>0</v>
      </c>
      <c r="AG13" s="198">
        <f>SUMIFS('сентябрь 2023'!$G$4:$G$1053,'сентябрь 2023'!$D$4:$D$1053,$B13,'сентябрь 2023'!$J$4:$J$1053,AG$1)</f>
        <v>0</v>
      </c>
      <c r="AH13" s="198">
        <f>SUMIFS('сентябрь 2023'!$G$4:$G$1053,'сентябрь 2023'!$D$4:$D$1053,$B13,'сентябрь 2023'!$J$4:$J$1053,AH$1)</f>
        <v>0</v>
      </c>
      <c r="AI13" s="170">
        <f t="shared" si="1"/>
        <v>3520</v>
      </c>
    </row>
    <row r="14" spans="2:35" ht="15" customHeight="1" x14ac:dyDescent="0.25">
      <c r="B14" s="199" t="s">
        <v>2103</v>
      </c>
      <c r="C14" s="200">
        <v>25</v>
      </c>
      <c r="D14" s="198">
        <f>SUMIFS('сентябрь 2023'!$G$4:$G$1053,'сентябрь 2023'!$D$4:$D$1053,$B14,'сентябрь 2023'!$J$4:$J$1053,D$1)</f>
        <v>0</v>
      </c>
      <c r="E14" s="198">
        <f>SUMIFS('сентябрь 2023'!$G$4:$G$1053,'сентябрь 2023'!$D$4:$D$1053,$B14,'сентябрь 2023'!$J$4:$J$1053,E$1)</f>
        <v>0</v>
      </c>
      <c r="F14" s="198">
        <f>SUMIFS('сентябрь 2023'!$G$4:$G$1053,'сентябрь 2023'!$D$4:$D$1053,$B14,'сентябрь 2023'!$J$4:$J$1053,F$1)</f>
        <v>0</v>
      </c>
      <c r="G14" s="198">
        <f>SUMIFS('сентябрь 2023'!$G$4:$G$1053,'сентябрь 2023'!$D$4:$D$1053,$B14,'сентябрь 2023'!$J$4:$J$1053,G$1)</f>
        <v>0</v>
      </c>
      <c r="H14" s="198">
        <f>SUMIFS('сентябрь 2023'!$G$4:$G$1053,'сентябрь 2023'!$D$4:$D$1053,$B14,'сентябрь 2023'!$J$4:$J$1053,H$1)</f>
        <v>0</v>
      </c>
      <c r="I14" s="198">
        <f>SUMIFS('сентябрь 2023'!$G$4:$G$1053,'сентябрь 2023'!$D$4:$D$1053,$B14,'сентябрь 2023'!$J$4:$J$1053,I$1)</f>
        <v>0</v>
      </c>
      <c r="J14" s="198">
        <f>SUMIFS('сентябрь 2023'!$G$4:$G$1053,'сентябрь 2023'!$D$4:$D$1053,$B14,'сентябрь 2023'!$J$4:$J$1053,J$1)</f>
        <v>0</v>
      </c>
      <c r="K14" s="198">
        <f>SUMIFS('сентябрь 2023'!$G$4:$G$1053,'сентябрь 2023'!$D$4:$D$1053,$B14,'сентябрь 2023'!$J$4:$J$1053,K$1)</f>
        <v>0</v>
      </c>
      <c r="L14" s="198">
        <f>SUMIFS('сентябрь 2023'!$G$4:$G$1053,'сентябрь 2023'!$D$4:$D$1053,$B14,'сентябрь 2023'!$J$4:$J$1053,L$1)</f>
        <v>0</v>
      </c>
      <c r="M14" s="198">
        <f>SUMIFS('сентябрь 2023'!$G$4:$G$1053,'сентябрь 2023'!$D$4:$D$1053,$B14,'сентябрь 2023'!$J$4:$J$1053,M$1)</f>
        <v>0</v>
      </c>
      <c r="N14" s="198">
        <f>SUMIFS('сентябрь 2023'!$G$4:$G$1053,'сентябрь 2023'!$D$4:$D$1053,$B14,'сентябрь 2023'!$J$4:$J$1053,N$1)</f>
        <v>0</v>
      </c>
      <c r="O14" s="198">
        <f>SUMIFS('сентябрь 2023'!$G$4:$G$1053,'сентябрь 2023'!$D$4:$D$1053,$B14,'сентябрь 2023'!$J$4:$J$1053,O$1)</f>
        <v>0</v>
      </c>
      <c r="P14" s="198">
        <f>SUMIFS('сентябрь 2023'!$G$4:$G$1053,'сентябрь 2023'!$D$4:$D$1053,$B14,'сентябрь 2023'!$J$4:$J$1053,P$1)</f>
        <v>0</v>
      </c>
      <c r="Q14" s="198">
        <f>SUMIFS('сентябрь 2023'!$G$4:$G$1053,'сентябрь 2023'!$D$4:$D$1053,$B14,'сентябрь 2023'!$J$4:$J$1053,Q$1)</f>
        <v>0</v>
      </c>
      <c r="R14" s="198">
        <f>SUMIFS('сентябрь 2023'!$G$4:$G$1053,'сентябрь 2023'!$D$4:$D$1053,$B14,'сентябрь 2023'!$J$4:$J$1053,R$1)</f>
        <v>0</v>
      </c>
      <c r="S14" s="198">
        <f>SUMIFS('сентябрь 2023'!$G$4:$G$1053,'сентябрь 2023'!$D$4:$D$1053,$B14,'сентябрь 2023'!$J$4:$J$1053,S$1)</f>
        <v>0</v>
      </c>
      <c r="T14" s="198">
        <f>SUMIFS('сентябрь 2023'!$G$4:$G$1053,'сентябрь 2023'!$D$4:$D$1053,$B14,'сентябрь 2023'!$J$4:$J$1053,T$1)</f>
        <v>0</v>
      </c>
      <c r="U14" s="198">
        <f>SUMIFS('сентябрь 2023'!$G$4:$G$1053,'сентябрь 2023'!$D$4:$D$1053,$B14,'сентябрь 2023'!$J$4:$J$1053,U$1)</f>
        <v>0</v>
      </c>
      <c r="V14" s="198">
        <f>SUMIFS('сентябрь 2023'!$G$4:$G$1053,'сентябрь 2023'!$D$4:$D$1053,$B14,'сентябрь 2023'!$J$4:$J$1053,V$1)</f>
        <v>0</v>
      </c>
      <c r="W14" s="198">
        <f>SUMIFS('сентябрь 2023'!$G$4:$G$1053,'сентябрь 2023'!$D$4:$D$1053,$B14,'сентябрь 2023'!$J$4:$J$1053,W$1)</f>
        <v>0</v>
      </c>
      <c r="X14" s="198">
        <f>SUMIFS('сентябрь 2023'!$G$4:$G$1053,'сентябрь 2023'!$D$4:$D$1053,$B14,'сентябрь 2023'!$J$4:$J$1053,X$1)</f>
        <v>0</v>
      </c>
      <c r="Y14" s="198">
        <f>SUMIFS('сентябрь 2023'!$G$4:$G$1053,'сентябрь 2023'!$D$4:$D$1053,$B14,'сентябрь 2023'!$J$4:$J$1053,Y$1)</f>
        <v>0</v>
      </c>
      <c r="Z14" s="198">
        <f>SUMIFS('сентябрь 2023'!$G$4:$G$1053,'сентябрь 2023'!$D$4:$D$1053,$B14,'сентябрь 2023'!$J$4:$J$1053,Z$1)</f>
        <v>0</v>
      </c>
      <c r="AA14" s="198">
        <f>SUMIFS('сентябрь 2023'!$G$4:$G$1053,'сентябрь 2023'!$D$4:$D$1053,$B14,'сентябрь 2023'!$J$4:$J$1053,AA$1)</f>
        <v>0</v>
      </c>
      <c r="AB14" s="198">
        <f>SUMIFS('сентябрь 2023'!$G$4:$G$1053,'сентябрь 2023'!$D$4:$D$1053,$B14,'сентябрь 2023'!$J$4:$J$1053,AB$1)</f>
        <v>0</v>
      </c>
      <c r="AC14" s="198">
        <f>SUMIFS('сентябрь 2023'!$G$4:$G$1053,'сентябрь 2023'!$D$4:$D$1053,$B14,'сентябрь 2023'!$J$4:$J$1053,AC$1)</f>
        <v>0</v>
      </c>
      <c r="AD14" s="198">
        <f>SUMIFS('сентябрь 2023'!$G$4:$G$1053,'сентябрь 2023'!$D$4:$D$1053,$B14,'сентябрь 2023'!$J$4:$J$1053,AD$1)</f>
        <v>0</v>
      </c>
      <c r="AE14" s="198">
        <f>SUMIFS('сентябрь 2023'!$G$4:$G$1053,'сентябрь 2023'!$D$4:$D$1053,$B14,'сентябрь 2023'!$J$4:$J$1053,AE$1)</f>
        <v>0</v>
      </c>
      <c r="AF14" s="198">
        <f>SUMIFS('сентябрь 2023'!$G$4:$G$1053,'сентябрь 2023'!$D$4:$D$1053,$B14,'сентябрь 2023'!$J$4:$J$1053,AF$1)</f>
        <v>0</v>
      </c>
      <c r="AG14" s="198">
        <f>SUMIFS('сентябрь 2023'!$G$4:$G$1053,'сентябрь 2023'!$D$4:$D$1053,$B14,'сентябрь 2023'!$J$4:$J$1053,AG$1)</f>
        <v>0</v>
      </c>
      <c r="AH14" s="198">
        <f>SUMIFS('сентябрь 2023'!$G$4:$G$1053,'сентябрь 2023'!$D$4:$D$1053,$B14,'сентябрь 2023'!$J$4:$J$1053,AH$1)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SUMIFS('сентябрь 2023'!$G$4:$G$1053,'сентябрь 2023'!$D$4:$D$1053,$B15,'сентябрь 2023'!$J$4:$J$1053,D$1)</f>
        <v>0</v>
      </c>
      <c r="E15" s="198">
        <f>SUMIFS('сентябрь 2023'!$G$4:$G$1053,'сентябрь 2023'!$D$4:$D$1053,$B15,'сентябрь 2023'!$J$4:$J$1053,E$1)</f>
        <v>0</v>
      </c>
      <c r="F15" s="198">
        <f>SUMIFS('сентябрь 2023'!$G$4:$G$1053,'сентябрь 2023'!$D$4:$D$1053,$B15,'сентябрь 2023'!$J$4:$J$1053,F$1)</f>
        <v>0</v>
      </c>
      <c r="G15" s="198">
        <f>SUMIFS('сентябрь 2023'!$G$4:$G$1053,'сентябрь 2023'!$D$4:$D$1053,$B15,'сентябрь 2023'!$J$4:$J$1053,G$1)</f>
        <v>0</v>
      </c>
      <c r="H15" s="198">
        <f>SUMIFS('сентябрь 2023'!$G$4:$G$1053,'сентябрь 2023'!$D$4:$D$1053,$B15,'сентябрь 2023'!$J$4:$J$1053,H$1)</f>
        <v>0</v>
      </c>
      <c r="I15" s="198">
        <f>SUMIFS('сентябрь 2023'!$G$4:$G$1053,'сентябрь 2023'!$D$4:$D$1053,$B15,'сентябрь 2023'!$J$4:$J$1053,I$1)</f>
        <v>0</v>
      </c>
      <c r="J15" s="198">
        <f>SUMIFS('сентябрь 2023'!$G$4:$G$1053,'сентябрь 2023'!$D$4:$D$1053,$B15,'сентябрь 2023'!$J$4:$J$1053,J$1)</f>
        <v>0</v>
      </c>
      <c r="K15" s="198">
        <f>SUMIFS('сентябрь 2023'!$G$4:$G$1053,'сентябрь 2023'!$D$4:$D$1053,$B15,'сентябрь 2023'!$J$4:$J$1053,K$1)</f>
        <v>0</v>
      </c>
      <c r="L15" s="198">
        <f>SUMIFS('сентябрь 2023'!$G$4:$G$1053,'сентябрь 2023'!$D$4:$D$1053,$B15,'сентябрь 2023'!$J$4:$J$1053,L$1)</f>
        <v>0</v>
      </c>
      <c r="M15" s="198">
        <f>SUMIFS('сентябрь 2023'!$G$4:$G$1053,'сентябрь 2023'!$D$4:$D$1053,$B15,'сентябрь 2023'!$J$4:$J$1053,M$1)</f>
        <v>0</v>
      </c>
      <c r="N15" s="198">
        <f>SUMIFS('сентябрь 2023'!$G$4:$G$1053,'сентябрь 2023'!$D$4:$D$1053,$B15,'сентябрь 2023'!$J$4:$J$1053,N$1)</f>
        <v>0</v>
      </c>
      <c r="O15" s="198">
        <f>SUMIFS('сентябрь 2023'!$G$4:$G$1053,'сентябрь 2023'!$D$4:$D$1053,$B15,'сентябрь 2023'!$J$4:$J$1053,O$1)</f>
        <v>0</v>
      </c>
      <c r="P15" s="198">
        <f>SUMIFS('сентябрь 2023'!$G$4:$G$1053,'сентябрь 2023'!$D$4:$D$1053,$B15,'сентябрь 2023'!$J$4:$J$1053,P$1)</f>
        <v>0</v>
      </c>
      <c r="Q15" s="198">
        <f>SUMIFS('сентябрь 2023'!$G$4:$G$1053,'сентябрь 2023'!$D$4:$D$1053,$B15,'сентябрь 2023'!$J$4:$J$1053,Q$1)</f>
        <v>0</v>
      </c>
      <c r="R15" s="198">
        <f>SUMIFS('сентябрь 2023'!$G$4:$G$1053,'сентябрь 2023'!$D$4:$D$1053,$B15,'сентябрь 2023'!$J$4:$J$1053,R$1)</f>
        <v>0</v>
      </c>
      <c r="S15" s="198">
        <f>SUMIFS('сентябрь 2023'!$G$4:$G$1053,'сентябрь 2023'!$D$4:$D$1053,$B15,'сентябрь 2023'!$J$4:$J$1053,S$1)</f>
        <v>0</v>
      </c>
      <c r="T15" s="198">
        <f>SUMIFS('сентябрь 2023'!$G$4:$G$1053,'сентябрь 2023'!$D$4:$D$1053,$B15,'сентябрь 2023'!$J$4:$J$1053,T$1)</f>
        <v>0</v>
      </c>
      <c r="U15" s="198">
        <f>SUMIFS('сентябрь 2023'!$G$4:$G$1053,'сентябрь 2023'!$D$4:$D$1053,$B15,'сентябрь 2023'!$J$4:$J$1053,U$1)</f>
        <v>0</v>
      </c>
      <c r="V15" s="198">
        <f>SUMIFS('сентябрь 2023'!$G$4:$G$1053,'сентябрь 2023'!$D$4:$D$1053,$B15,'сентябрь 2023'!$J$4:$J$1053,V$1)</f>
        <v>0</v>
      </c>
      <c r="W15" s="198">
        <f>SUMIFS('сентябрь 2023'!$G$4:$G$1053,'сентябрь 2023'!$D$4:$D$1053,$B15,'сентябрь 2023'!$J$4:$J$1053,W$1)</f>
        <v>0</v>
      </c>
      <c r="X15" s="198">
        <f>SUMIFS('сентябрь 2023'!$G$4:$G$1053,'сентябрь 2023'!$D$4:$D$1053,$B15,'сентябрь 2023'!$J$4:$J$1053,X$1)</f>
        <v>0</v>
      </c>
      <c r="Y15" s="198">
        <f>SUMIFS('сентябрь 2023'!$G$4:$G$1053,'сентябрь 2023'!$D$4:$D$1053,$B15,'сентябрь 2023'!$J$4:$J$1053,Y$1)</f>
        <v>0</v>
      </c>
      <c r="Z15" s="198">
        <f>SUMIFS('сентябрь 2023'!$G$4:$G$1053,'сентябрь 2023'!$D$4:$D$1053,$B15,'сентябрь 2023'!$J$4:$J$1053,Z$1)</f>
        <v>0</v>
      </c>
      <c r="AA15" s="198">
        <f>SUMIFS('сентябрь 2023'!$G$4:$G$1053,'сентябрь 2023'!$D$4:$D$1053,$B15,'сентябрь 2023'!$J$4:$J$1053,AA$1)</f>
        <v>0</v>
      </c>
      <c r="AB15" s="198">
        <f>SUMIFS('сентябрь 2023'!$G$4:$G$1053,'сентябрь 2023'!$D$4:$D$1053,$B15,'сентябрь 2023'!$J$4:$J$1053,AB$1)</f>
        <v>0</v>
      </c>
      <c r="AC15" s="198">
        <f>SUMIFS('сентябрь 2023'!$G$4:$G$1053,'сентябрь 2023'!$D$4:$D$1053,$B15,'сентябрь 2023'!$J$4:$J$1053,AC$1)</f>
        <v>0</v>
      </c>
      <c r="AD15" s="198">
        <f>SUMIFS('сентябрь 2023'!$G$4:$G$1053,'сентябрь 2023'!$D$4:$D$1053,$B15,'сентябрь 2023'!$J$4:$J$1053,AD$1)</f>
        <v>0</v>
      </c>
      <c r="AE15" s="198">
        <f>SUMIFS('сентябрь 2023'!$G$4:$G$1053,'сентябрь 2023'!$D$4:$D$1053,$B15,'сентябрь 2023'!$J$4:$J$1053,AE$1)</f>
        <v>0</v>
      </c>
      <c r="AF15" s="198">
        <f>SUMIFS('сентябрь 2023'!$G$4:$G$1053,'сентябрь 2023'!$D$4:$D$1053,$B15,'сентябрь 2023'!$J$4:$J$1053,AF$1)</f>
        <v>0</v>
      </c>
      <c r="AG15" s="198">
        <f>SUMIFS('сентябрь 2023'!$G$4:$G$1053,'сентябрь 2023'!$D$4:$D$1053,$B15,'сентябрь 2023'!$J$4:$J$1053,AG$1)</f>
        <v>0</v>
      </c>
      <c r="AH15" s="198">
        <f>SUMIFS('сентябрь 2023'!$G$4:$G$1053,'сентябрь 2023'!$D$4:$D$1053,$B15,'сентябрь 2023'!$J$4:$J$1053,AH$1)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SUMIFS('сентябрь 2023'!$G$4:$G$1053,'сентябрь 2023'!$D$4:$D$1053,$B16,'сентябрь 2023'!$J$4:$J$1053,D$1)</f>
        <v>0</v>
      </c>
      <c r="E16" s="198">
        <f>SUMIFS('сентябрь 2023'!$G$4:$G$1053,'сентябрь 2023'!$D$4:$D$1053,$B16,'сентябрь 2023'!$J$4:$J$1053,E$1)</f>
        <v>0</v>
      </c>
      <c r="F16" s="198">
        <f>SUMIFS('сентябрь 2023'!$G$4:$G$1053,'сентябрь 2023'!$D$4:$D$1053,$B16,'сентябрь 2023'!$J$4:$J$1053,F$1)</f>
        <v>0</v>
      </c>
      <c r="G16" s="198">
        <f>SUMIFS('сентябрь 2023'!$G$4:$G$1053,'сентябрь 2023'!$D$4:$D$1053,$B16,'сентябрь 2023'!$J$4:$J$1053,G$1)</f>
        <v>0</v>
      </c>
      <c r="H16" s="198">
        <f>SUMIFS('сентябрь 2023'!$G$4:$G$1053,'сентябрь 2023'!$D$4:$D$1053,$B16,'сентябрь 2023'!$J$4:$J$1053,H$1)</f>
        <v>0</v>
      </c>
      <c r="I16" s="198">
        <f>SUMIFS('сентябрь 2023'!$G$4:$G$1053,'сентябрь 2023'!$D$4:$D$1053,$B16,'сентябрь 2023'!$J$4:$J$1053,I$1)</f>
        <v>0</v>
      </c>
      <c r="J16" s="198">
        <f>SUMIFS('сентябрь 2023'!$G$4:$G$1053,'сентябрь 2023'!$D$4:$D$1053,$B16,'сентябрь 2023'!$J$4:$J$1053,J$1)</f>
        <v>0</v>
      </c>
      <c r="K16" s="198">
        <f>SUMIFS('сентябрь 2023'!$G$4:$G$1053,'сентябрь 2023'!$D$4:$D$1053,$B16,'сентябрь 2023'!$J$4:$J$1053,K$1)</f>
        <v>0</v>
      </c>
      <c r="L16" s="198">
        <f>SUMIFS('сентябрь 2023'!$G$4:$G$1053,'сентябрь 2023'!$D$4:$D$1053,$B16,'сентябрь 2023'!$J$4:$J$1053,L$1)</f>
        <v>0</v>
      </c>
      <c r="M16" s="198">
        <f>SUMIFS('сентябрь 2023'!$G$4:$G$1053,'сентябрь 2023'!$D$4:$D$1053,$B16,'сентябрь 2023'!$J$4:$J$1053,M$1)</f>
        <v>0</v>
      </c>
      <c r="N16" s="198">
        <f>SUMIFS('сентябрь 2023'!$G$4:$G$1053,'сентябрь 2023'!$D$4:$D$1053,$B16,'сентябрь 2023'!$J$4:$J$1053,N$1)</f>
        <v>0</v>
      </c>
      <c r="O16" s="198">
        <f>SUMIFS('сентябрь 2023'!$G$4:$G$1053,'сентябрь 2023'!$D$4:$D$1053,$B16,'сентябрь 2023'!$J$4:$J$1053,O$1)</f>
        <v>0</v>
      </c>
      <c r="P16" s="198">
        <f>SUMIFS('сентябрь 2023'!$G$4:$G$1053,'сентябрь 2023'!$D$4:$D$1053,$B16,'сентябрь 2023'!$J$4:$J$1053,P$1)</f>
        <v>0</v>
      </c>
      <c r="Q16" s="198">
        <f>SUMIFS('сентябрь 2023'!$G$4:$G$1053,'сентябрь 2023'!$D$4:$D$1053,$B16,'сентябрь 2023'!$J$4:$J$1053,Q$1)</f>
        <v>0</v>
      </c>
      <c r="R16" s="198">
        <f>SUMIFS('сентябрь 2023'!$G$4:$G$1053,'сентябрь 2023'!$D$4:$D$1053,$B16,'сентябрь 2023'!$J$4:$J$1053,R$1)</f>
        <v>0</v>
      </c>
      <c r="S16" s="198">
        <f>SUMIFS('сентябрь 2023'!$G$4:$G$1053,'сентябрь 2023'!$D$4:$D$1053,$B16,'сентябрь 2023'!$J$4:$J$1053,S$1)</f>
        <v>0</v>
      </c>
      <c r="T16" s="198">
        <f>SUMIFS('сентябрь 2023'!$G$4:$G$1053,'сентябрь 2023'!$D$4:$D$1053,$B16,'сентябрь 2023'!$J$4:$J$1053,T$1)</f>
        <v>0</v>
      </c>
      <c r="U16" s="198">
        <f>SUMIFS('сентябрь 2023'!$G$4:$G$1053,'сентябрь 2023'!$D$4:$D$1053,$B16,'сентябрь 2023'!$J$4:$J$1053,U$1)</f>
        <v>0</v>
      </c>
      <c r="V16" s="198">
        <f>SUMIFS('сентябрь 2023'!$G$4:$G$1053,'сентябрь 2023'!$D$4:$D$1053,$B16,'сентябрь 2023'!$J$4:$J$1053,V$1)</f>
        <v>0</v>
      </c>
      <c r="W16" s="198">
        <f>SUMIFS('сентябрь 2023'!$G$4:$G$1053,'сентябрь 2023'!$D$4:$D$1053,$B16,'сентябрь 2023'!$J$4:$J$1053,W$1)</f>
        <v>0</v>
      </c>
      <c r="X16" s="198">
        <f>SUMIFS('сентябрь 2023'!$G$4:$G$1053,'сентябрь 2023'!$D$4:$D$1053,$B16,'сентябрь 2023'!$J$4:$J$1053,X$1)</f>
        <v>0</v>
      </c>
      <c r="Y16" s="198">
        <f>SUMIFS('сентябрь 2023'!$G$4:$G$1053,'сентябрь 2023'!$D$4:$D$1053,$B16,'сентябрь 2023'!$J$4:$J$1053,Y$1)</f>
        <v>0</v>
      </c>
      <c r="Z16" s="198">
        <f>SUMIFS('сентябрь 2023'!$G$4:$G$1053,'сентябрь 2023'!$D$4:$D$1053,$B16,'сентябрь 2023'!$J$4:$J$1053,Z$1)</f>
        <v>0</v>
      </c>
      <c r="AA16" s="198">
        <f>SUMIFS('сентябрь 2023'!$G$4:$G$1053,'сентябрь 2023'!$D$4:$D$1053,$B16,'сентябрь 2023'!$J$4:$J$1053,AA$1)</f>
        <v>0</v>
      </c>
      <c r="AB16" s="198">
        <f>SUMIFS('сентябрь 2023'!$G$4:$G$1053,'сентябрь 2023'!$D$4:$D$1053,$B16,'сентябрь 2023'!$J$4:$J$1053,AB$1)</f>
        <v>0</v>
      </c>
      <c r="AC16" s="198">
        <f>SUMIFS('сентябрь 2023'!$G$4:$G$1053,'сентябрь 2023'!$D$4:$D$1053,$B16,'сентябрь 2023'!$J$4:$J$1053,AC$1)</f>
        <v>0</v>
      </c>
      <c r="AD16" s="198">
        <f>SUMIFS('сентябрь 2023'!$G$4:$G$1053,'сентябрь 2023'!$D$4:$D$1053,$B16,'сентябрь 2023'!$J$4:$J$1053,AD$1)</f>
        <v>0</v>
      </c>
      <c r="AE16" s="198">
        <f>SUMIFS('сентябрь 2023'!$G$4:$G$1053,'сентябрь 2023'!$D$4:$D$1053,$B16,'сентябрь 2023'!$J$4:$J$1053,AE$1)</f>
        <v>0</v>
      </c>
      <c r="AF16" s="198">
        <f>SUMIFS('сентябрь 2023'!$G$4:$G$1053,'сентябрь 2023'!$D$4:$D$1053,$B16,'сентябрь 2023'!$J$4:$J$1053,AF$1)</f>
        <v>0</v>
      </c>
      <c r="AG16" s="198">
        <f>SUMIFS('сентябрь 2023'!$G$4:$G$1053,'сентябрь 2023'!$D$4:$D$1053,$B16,'сентябрь 2023'!$J$4:$J$1053,AG$1)</f>
        <v>0</v>
      </c>
      <c r="AH16" s="198">
        <f>SUMIFS('сентябрь 2023'!$G$4:$G$1053,'сентябрь 2023'!$D$4:$D$1053,$B16,'сентябрь 2023'!$J$4:$J$1053,AH$1)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SUMIFS('сентябрь 2023'!$G$4:$G$1053,'сентябрь 2023'!$D$4:$D$1053,$B17,'сентябрь 2023'!$J$4:$J$1053,D$1)</f>
        <v>0</v>
      </c>
      <c r="E17" s="198">
        <f>SUMIFS('сентябрь 2023'!$G$4:$G$1053,'сентябрь 2023'!$D$4:$D$1053,$B17,'сентябрь 2023'!$J$4:$J$1053,E$1)</f>
        <v>0</v>
      </c>
      <c r="F17" s="198">
        <f>SUMIFS('сентябрь 2023'!$G$4:$G$1053,'сентябрь 2023'!$D$4:$D$1053,$B17,'сентябрь 2023'!$J$4:$J$1053,F$1)</f>
        <v>0</v>
      </c>
      <c r="G17" s="198">
        <f>SUMIFS('сентябрь 2023'!$G$4:$G$1053,'сентябрь 2023'!$D$4:$D$1053,$B17,'сентябрь 2023'!$J$4:$J$1053,G$1)</f>
        <v>0</v>
      </c>
      <c r="H17" s="198">
        <f>SUMIFS('сентябрь 2023'!$G$4:$G$1053,'сентябрь 2023'!$D$4:$D$1053,$B17,'сентябрь 2023'!$J$4:$J$1053,H$1)</f>
        <v>0</v>
      </c>
      <c r="I17" s="198">
        <f>SUMIFS('сентябрь 2023'!$G$4:$G$1053,'сентябрь 2023'!$D$4:$D$1053,$B17,'сентябрь 2023'!$J$4:$J$1053,I$1)</f>
        <v>0</v>
      </c>
      <c r="J17" s="198">
        <f>SUMIFS('сентябрь 2023'!$G$4:$G$1053,'сентябрь 2023'!$D$4:$D$1053,$B17,'сентябрь 2023'!$J$4:$J$1053,J$1)</f>
        <v>0</v>
      </c>
      <c r="K17" s="198">
        <f>SUMIFS('сентябрь 2023'!$G$4:$G$1053,'сентябрь 2023'!$D$4:$D$1053,$B17,'сентябрь 2023'!$J$4:$J$1053,K$1)</f>
        <v>0</v>
      </c>
      <c r="L17" s="198">
        <f>SUMIFS('сентябрь 2023'!$G$4:$G$1053,'сентябрь 2023'!$D$4:$D$1053,$B17,'сентябрь 2023'!$J$4:$J$1053,L$1)</f>
        <v>0</v>
      </c>
      <c r="M17" s="198">
        <f>SUMIFS('сентябрь 2023'!$G$4:$G$1053,'сентябрь 2023'!$D$4:$D$1053,$B17,'сентябрь 2023'!$J$4:$J$1053,M$1)</f>
        <v>0</v>
      </c>
      <c r="N17" s="198">
        <f>SUMIFS('сентябрь 2023'!$G$4:$G$1053,'сентябрь 2023'!$D$4:$D$1053,$B17,'сентябрь 2023'!$J$4:$J$1053,N$1)</f>
        <v>0</v>
      </c>
      <c r="O17" s="198">
        <f>SUMIFS('сентябрь 2023'!$G$4:$G$1053,'сентябрь 2023'!$D$4:$D$1053,$B17,'сентябрь 2023'!$J$4:$J$1053,O$1)</f>
        <v>0</v>
      </c>
      <c r="P17" s="198">
        <f>SUMIFS('сентябрь 2023'!$G$4:$G$1053,'сентябрь 2023'!$D$4:$D$1053,$B17,'сентябрь 2023'!$J$4:$J$1053,P$1)</f>
        <v>0</v>
      </c>
      <c r="Q17" s="198">
        <f>SUMIFS('сентябрь 2023'!$G$4:$G$1053,'сентябрь 2023'!$D$4:$D$1053,$B17,'сентябрь 2023'!$J$4:$J$1053,Q$1)</f>
        <v>0</v>
      </c>
      <c r="R17" s="198">
        <f>SUMIFS('сентябрь 2023'!$G$4:$G$1053,'сентябрь 2023'!$D$4:$D$1053,$B17,'сентябрь 2023'!$J$4:$J$1053,R$1)</f>
        <v>0</v>
      </c>
      <c r="S17" s="198">
        <f>SUMIFS('сентябрь 2023'!$G$4:$G$1053,'сентябрь 2023'!$D$4:$D$1053,$B17,'сентябрь 2023'!$J$4:$J$1053,S$1)</f>
        <v>0</v>
      </c>
      <c r="T17" s="198">
        <f>SUMIFS('сентябрь 2023'!$G$4:$G$1053,'сентябрь 2023'!$D$4:$D$1053,$B17,'сентябрь 2023'!$J$4:$J$1053,T$1)</f>
        <v>0</v>
      </c>
      <c r="U17" s="198">
        <f>SUMIFS('сентябрь 2023'!$G$4:$G$1053,'сентябрь 2023'!$D$4:$D$1053,$B17,'сентябрь 2023'!$J$4:$J$1053,U$1)</f>
        <v>0</v>
      </c>
      <c r="V17" s="198">
        <f>SUMIFS('сентябрь 2023'!$G$4:$G$1053,'сентябрь 2023'!$D$4:$D$1053,$B17,'сентябрь 2023'!$J$4:$J$1053,V$1)</f>
        <v>0</v>
      </c>
      <c r="W17" s="198">
        <f>SUMIFS('сентябрь 2023'!$G$4:$G$1053,'сентябрь 2023'!$D$4:$D$1053,$B17,'сентябрь 2023'!$J$4:$J$1053,W$1)</f>
        <v>0</v>
      </c>
      <c r="X17" s="198">
        <f>SUMIFS('сентябрь 2023'!$G$4:$G$1053,'сентябрь 2023'!$D$4:$D$1053,$B17,'сентябрь 2023'!$J$4:$J$1053,X$1)</f>
        <v>0</v>
      </c>
      <c r="Y17" s="198">
        <f>SUMIFS('сентябрь 2023'!$G$4:$G$1053,'сентябрь 2023'!$D$4:$D$1053,$B17,'сентябрь 2023'!$J$4:$J$1053,Y$1)</f>
        <v>0</v>
      </c>
      <c r="Z17" s="198">
        <f>SUMIFS('сентябрь 2023'!$G$4:$G$1053,'сентябрь 2023'!$D$4:$D$1053,$B17,'сентябрь 2023'!$J$4:$J$1053,Z$1)</f>
        <v>0</v>
      </c>
      <c r="AA17" s="198">
        <f>SUMIFS('сентябрь 2023'!$G$4:$G$1053,'сентябрь 2023'!$D$4:$D$1053,$B17,'сентябрь 2023'!$J$4:$J$1053,AA$1)</f>
        <v>0</v>
      </c>
      <c r="AB17" s="198">
        <f>SUMIFS('сентябрь 2023'!$G$4:$G$1053,'сентябрь 2023'!$D$4:$D$1053,$B17,'сентябрь 2023'!$J$4:$J$1053,AB$1)</f>
        <v>0</v>
      </c>
      <c r="AC17" s="198">
        <f>SUMIFS('сентябрь 2023'!$G$4:$G$1053,'сентябрь 2023'!$D$4:$D$1053,$B17,'сентябрь 2023'!$J$4:$J$1053,AC$1)</f>
        <v>0</v>
      </c>
      <c r="AD17" s="198">
        <f>SUMIFS('сентябрь 2023'!$G$4:$G$1053,'сентябрь 2023'!$D$4:$D$1053,$B17,'сентябрь 2023'!$J$4:$J$1053,AD$1)</f>
        <v>0</v>
      </c>
      <c r="AE17" s="198">
        <f>SUMIFS('сентябрь 2023'!$G$4:$G$1053,'сентябрь 2023'!$D$4:$D$1053,$B17,'сентябрь 2023'!$J$4:$J$1053,AE$1)</f>
        <v>0</v>
      </c>
      <c r="AF17" s="198">
        <f>SUMIFS('сентябрь 2023'!$G$4:$G$1053,'сентябрь 2023'!$D$4:$D$1053,$B17,'сентябрь 2023'!$J$4:$J$1053,AF$1)</f>
        <v>0</v>
      </c>
      <c r="AG17" s="198">
        <f>SUMIFS('сентябрь 2023'!$G$4:$G$1053,'сентябрь 2023'!$D$4:$D$1053,$B17,'сентябрь 2023'!$J$4:$J$1053,AG$1)</f>
        <v>0</v>
      </c>
      <c r="AH17" s="198">
        <f>SUMIFS('сентябрь 2023'!$G$4:$G$1053,'сентябрь 2023'!$D$4:$D$1053,$B17,'сентябрь 2023'!$J$4:$J$1053,AH$1)</f>
        <v>0</v>
      </c>
      <c r="AI17" s="170">
        <f t="shared" si="1"/>
        <v>0</v>
      </c>
    </row>
    <row r="18" spans="2:35" ht="15" customHeight="1" x14ac:dyDescent="0.25">
      <c r="B18" s="199" t="s">
        <v>2081</v>
      </c>
      <c r="C18" s="200">
        <v>25</v>
      </c>
      <c r="D18" s="198">
        <f>SUMIFS('сентябрь 2023'!$G$4:$G$1053,'сентябрь 2023'!$D$4:$D$1053,$B18,'сентябрь 2023'!$J$4:$J$1053,D$1)</f>
        <v>0</v>
      </c>
      <c r="E18" s="198">
        <f>SUMIFS('сентябрь 2023'!$G$4:$G$1053,'сентябрь 2023'!$D$4:$D$1053,$B18,'сентябрь 2023'!$J$4:$J$1053,E$1)</f>
        <v>0</v>
      </c>
      <c r="F18" s="198">
        <f>SUMIFS('сентябрь 2023'!$G$4:$G$1053,'сентябрь 2023'!$D$4:$D$1053,$B18,'сентябрь 2023'!$J$4:$J$1053,F$1)</f>
        <v>0</v>
      </c>
      <c r="G18" s="198">
        <f>SUMIFS('сентябрь 2023'!$G$4:$G$1053,'сентябрь 2023'!$D$4:$D$1053,$B18,'сентябрь 2023'!$J$4:$J$1053,G$1)</f>
        <v>0</v>
      </c>
      <c r="H18" s="198">
        <f>SUMIFS('сентябрь 2023'!$G$4:$G$1053,'сентябрь 2023'!$D$4:$D$1053,$B18,'сентябрь 2023'!$J$4:$J$1053,H$1)</f>
        <v>0</v>
      </c>
      <c r="I18" s="198">
        <f>SUMIFS('сентябрь 2023'!$G$4:$G$1053,'сентябрь 2023'!$D$4:$D$1053,$B18,'сентябрь 2023'!$J$4:$J$1053,I$1)</f>
        <v>0</v>
      </c>
      <c r="J18" s="198">
        <f>SUMIFS('сентябрь 2023'!$G$4:$G$1053,'сентябрь 2023'!$D$4:$D$1053,$B18,'сентябрь 2023'!$J$4:$J$1053,J$1)</f>
        <v>0</v>
      </c>
      <c r="K18" s="198">
        <f>SUMIFS('сентябрь 2023'!$G$4:$G$1053,'сентябрь 2023'!$D$4:$D$1053,$B18,'сентябрь 2023'!$J$4:$J$1053,K$1)</f>
        <v>0</v>
      </c>
      <c r="L18" s="198">
        <f>SUMIFS('сентябрь 2023'!$G$4:$G$1053,'сентябрь 2023'!$D$4:$D$1053,$B18,'сентябрь 2023'!$J$4:$J$1053,L$1)</f>
        <v>0</v>
      </c>
      <c r="M18" s="198">
        <f>SUMIFS('сентябрь 2023'!$G$4:$G$1053,'сентябрь 2023'!$D$4:$D$1053,$B18,'сентябрь 2023'!$J$4:$J$1053,M$1)</f>
        <v>0</v>
      </c>
      <c r="N18" s="198">
        <f>SUMIFS('сентябрь 2023'!$G$4:$G$1053,'сентябрь 2023'!$D$4:$D$1053,$B18,'сентябрь 2023'!$J$4:$J$1053,N$1)</f>
        <v>0</v>
      </c>
      <c r="O18" s="198">
        <f>SUMIFS('сентябрь 2023'!$G$4:$G$1053,'сентябрь 2023'!$D$4:$D$1053,$B18,'сентябрь 2023'!$J$4:$J$1053,O$1)</f>
        <v>0</v>
      </c>
      <c r="P18" s="198">
        <f>SUMIFS('сентябрь 2023'!$G$4:$G$1053,'сентябрь 2023'!$D$4:$D$1053,$B18,'сентябрь 2023'!$J$4:$J$1053,P$1)</f>
        <v>0</v>
      </c>
      <c r="Q18" s="198">
        <f>SUMIFS('сентябрь 2023'!$G$4:$G$1053,'сентябрь 2023'!$D$4:$D$1053,$B18,'сентябрь 2023'!$J$4:$J$1053,Q$1)</f>
        <v>0</v>
      </c>
      <c r="R18" s="198">
        <f>SUMIFS('сентябрь 2023'!$G$4:$G$1053,'сентябрь 2023'!$D$4:$D$1053,$B18,'сентябрь 2023'!$J$4:$J$1053,R$1)</f>
        <v>0</v>
      </c>
      <c r="S18" s="198">
        <f>SUMIFS('сентябрь 2023'!$G$4:$G$1053,'сентябрь 2023'!$D$4:$D$1053,$B18,'сентябрь 2023'!$J$4:$J$1053,S$1)</f>
        <v>0</v>
      </c>
      <c r="T18" s="198">
        <f>SUMIFS('сентябрь 2023'!$G$4:$G$1053,'сентябрь 2023'!$D$4:$D$1053,$B18,'сентябрь 2023'!$J$4:$J$1053,T$1)</f>
        <v>0</v>
      </c>
      <c r="U18" s="198">
        <f>SUMIFS('сентябрь 2023'!$G$4:$G$1053,'сентябрь 2023'!$D$4:$D$1053,$B18,'сентябрь 2023'!$J$4:$J$1053,U$1)</f>
        <v>0</v>
      </c>
      <c r="V18" s="198">
        <f>SUMIFS('сентябрь 2023'!$G$4:$G$1053,'сентябрь 2023'!$D$4:$D$1053,$B18,'сентябрь 2023'!$J$4:$J$1053,V$1)</f>
        <v>0</v>
      </c>
      <c r="W18" s="198">
        <f>SUMIFS('сентябрь 2023'!$G$4:$G$1053,'сентябрь 2023'!$D$4:$D$1053,$B18,'сентябрь 2023'!$J$4:$J$1053,W$1)</f>
        <v>0</v>
      </c>
      <c r="X18" s="198">
        <f>SUMIFS('сентябрь 2023'!$G$4:$G$1053,'сентябрь 2023'!$D$4:$D$1053,$B18,'сентябрь 2023'!$J$4:$J$1053,X$1)</f>
        <v>0</v>
      </c>
      <c r="Y18" s="198">
        <f>SUMIFS('сентябрь 2023'!$G$4:$G$1053,'сентябрь 2023'!$D$4:$D$1053,$B18,'сентябрь 2023'!$J$4:$J$1053,Y$1)</f>
        <v>0</v>
      </c>
      <c r="Z18" s="198">
        <f>SUMIFS('сентябрь 2023'!$G$4:$G$1053,'сентябрь 2023'!$D$4:$D$1053,$B18,'сентябрь 2023'!$J$4:$J$1053,Z$1)</f>
        <v>0</v>
      </c>
      <c r="AA18" s="198">
        <f>SUMIFS('сентябрь 2023'!$G$4:$G$1053,'сентябрь 2023'!$D$4:$D$1053,$B18,'сентябрь 2023'!$J$4:$J$1053,AA$1)</f>
        <v>0</v>
      </c>
      <c r="AB18" s="198">
        <f>SUMIFS('сентябрь 2023'!$G$4:$G$1053,'сентябрь 2023'!$D$4:$D$1053,$B18,'сентябрь 2023'!$J$4:$J$1053,AB$1)</f>
        <v>0</v>
      </c>
      <c r="AC18" s="198">
        <f>SUMIFS('сентябрь 2023'!$G$4:$G$1053,'сентябрь 2023'!$D$4:$D$1053,$B18,'сентябрь 2023'!$J$4:$J$1053,AC$1)</f>
        <v>0</v>
      </c>
      <c r="AD18" s="198">
        <f>SUMIFS('сентябрь 2023'!$G$4:$G$1053,'сентябрь 2023'!$D$4:$D$1053,$B18,'сентябрь 2023'!$J$4:$J$1053,AD$1)</f>
        <v>0</v>
      </c>
      <c r="AE18" s="198">
        <f>SUMIFS('сентябрь 2023'!$G$4:$G$1053,'сентябрь 2023'!$D$4:$D$1053,$B18,'сентябрь 2023'!$J$4:$J$1053,AE$1)</f>
        <v>0</v>
      </c>
      <c r="AF18" s="198">
        <f>SUMIFS('сентябрь 2023'!$G$4:$G$1053,'сентябрь 2023'!$D$4:$D$1053,$B18,'сентябрь 2023'!$J$4:$J$1053,AF$1)</f>
        <v>0</v>
      </c>
      <c r="AG18" s="198">
        <f>SUMIFS('сентябрь 2023'!$G$4:$G$1053,'сентябрь 2023'!$D$4:$D$1053,$B18,'сентябрь 2023'!$J$4:$J$1053,AG$1)</f>
        <v>0</v>
      </c>
      <c r="AH18" s="198">
        <f>SUMIFS('сентябрь 2023'!$G$4:$G$1053,'сентябрь 2023'!$D$4:$D$1053,$B18,'сентябрь 2023'!$J$4:$J$1053,AH$1)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SUMIFS('сентябрь 2023'!$G$4:$G$1053,'сентябрь 2023'!$D$4:$D$1053,$B19,'сентябрь 2023'!$J$4:$J$1053,D$1)</f>
        <v>0</v>
      </c>
      <c r="E19" s="198">
        <f>SUMIFS('сентябрь 2023'!$G$4:$G$1053,'сентябрь 2023'!$D$4:$D$1053,$B19,'сентябрь 2023'!$J$4:$J$1053,E$1)</f>
        <v>0</v>
      </c>
      <c r="F19" s="198">
        <f>SUMIFS('сентябрь 2023'!$G$4:$G$1053,'сентябрь 2023'!$D$4:$D$1053,$B19,'сентябрь 2023'!$J$4:$J$1053,F$1)</f>
        <v>0</v>
      </c>
      <c r="G19" s="198">
        <f>SUMIFS('сентябрь 2023'!$G$4:$G$1053,'сентябрь 2023'!$D$4:$D$1053,$B19,'сентябрь 2023'!$J$4:$J$1053,G$1)</f>
        <v>800</v>
      </c>
      <c r="H19" s="198">
        <f>SUMIFS('сентябрь 2023'!$G$4:$G$1053,'сентябрь 2023'!$D$4:$D$1053,$B19,'сентябрь 2023'!$J$4:$J$1053,H$1)</f>
        <v>0</v>
      </c>
      <c r="I19" s="198">
        <f>SUMIFS('сентябрь 2023'!$G$4:$G$1053,'сентябрь 2023'!$D$4:$D$1053,$B19,'сентябрь 2023'!$J$4:$J$1053,I$1)</f>
        <v>0</v>
      </c>
      <c r="J19" s="198">
        <f>SUMIFS('сентябрь 2023'!$G$4:$G$1053,'сентябрь 2023'!$D$4:$D$1053,$B19,'сентябрь 2023'!$J$4:$J$1053,J$1)</f>
        <v>0</v>
      </c>
      <c r="K19" s="198">
        <f>SUMIFS('сентябрь 2023'!$G$4:$G$1053,'сентябрь 2023'!$D$4:$D$1053,$B19,'сентябрь 2023'!$J$4:$J$1053,K$1)</f>
        <v>0</v>
      </c>
      <c r="L19" s="198">
        <f>SUMIFS('сентябрь 2023'!$G$4:$G$1053,'сентябрь 2023'!$D$4:$D$1053,$B19,'сентябрь 2023'!$J$4:$J$1053,L$1)</f>
        <v>0</v>
      </c>
      <c r="M19" s="198">
        <f>SUMIFS('сентябрь 2023'!$G$4:$G$1053,'сентябрь 2023'!$D$4:$D$1053,$B19,'сентябрь 2023'!$J$4:$J$1053,M$1)</f>
        <v>0</v>
      </c>
      <c r="N19" s="198">
        <f>SUMIFS('сентябрь 2023'!$G$4:$G$1053,'сентябрь 2023'!$D$4:$D$1053,$B19,'сентябрь 2023'!$J$4:$J$1053,N$1)</f>
        <v>0</v>
      </c>
      <c r="O19" s="198">
        <f>SUMIFS('сентябрь 2023'!$G$4:$G$1053,'сентябрь 2023'!$D$4:$D$1053,$B19,'сентябрь 2023'!$J$4:$J$1053,O$1)</f>
        <v>800</v>
      </c>
      <c r="P19" s="198">
        <f>SUMIFS('сентябрь 2023'!$G$4:$G$1053,'сентябрь 2023'!$D$4:$D$1053,$B19,'сентябрь 2023'!$J$4:$J$1053,P$1)</f>
        <v>0</v>
      </c>
      <c r="Q19" s="198">
        <f>SUMIFS('сентябрь 2023'!$G$4:$G$1053,'сентябрь 2023'!$D$4:$D$1053,$B19,'сентябрь 2023'!$J$4:$J$1053,Q$1)</f>
        <v>0</v>
      </c>
      <c r="R19" s="198">
        <f>SUMIFS('сентябрь 2023'!$G$4:$G$1053,'сентябрь 2023'!$D$4:$D$1053,$B19,'сентябрь 2023'!$J$4:$J$1053,R$1)</f>
        <v>0</v>
      </c>
      <c r="S19" s="198">
        <f>SUMIFS('сентябрь 2023'!$G$4:$G$1053,'сентябрь 2023'!$D$4:$D$1053,$B19,'сентябрь 2023'!$J$4:$J$1053,S$1)</f>
        <v>0</v>
      </c>
      <c r="T19" s="198">
        <f>SUMIFS('сентябрь 2023'!$G$4:$G$1053,'сентябрь 2023'!$D$4:$D$1053,$B19,'сентябрь 2023'!$J$4:$J$1053,T$1)</f>
        <v>0</v>
      </c>
      <c r="U19" s="198">
        <f>SUMIFS('сентябрь 2023'!$G$4:$G$1053,'сентябрь 2023'!$D$4:$D$1053,$B19,'сентябрь 2023'!$J$4:$J$1053,U$1)</f>
        <v>0</v>
      </c>
      <c r="V19" s="198">
        <f>SUMIFS('сентябрь 2023'!$G$4:$G$1053,'сентябрь 2023'!$D$4:$D$1053,$B19,'сентябрь 2023'!$J$4:$J$1053,V$1)</f>
        <v>0</v>
      </c>
      <c r="W19" s="198">
        <f>SUMIFS('сентябрь 2023'!$G$4:$G$1053,'сентябрь 2023'!$D$4:$D$1053,$B19,'сентябрь 2023'!$J$4:$J$1053,W$1)</f>
        <v>0</v>
      </c>
      <c r="X19" s="198">
        <f>SUMIFS('сентябрь 2023'!$G$4:$G$1053,'сентябрь 2023'!$D$4:$D$1053,$B19,'сентябрь 2023'!$J$4:$J$1053,X$1)</f>
        <v>0</v>
      </c>
      <c r="Y19" s="198">
        <f>SUMIFS('сентябрь 2023'!$G$4:$G$1053,'сентябрь 2023'!$D$4:$D$1053,$B19,'сентябрь 2023'!$J$4:$J$1053,Y$1)</f>
        <v>0</v>
      </c>
      <c r="Z19" s="198">
        <f>SUMIFS('сентябрь 2023'!$G$4:$G$1053,'сентябрь 2023'!$D$4:$D$1053,$B19,'сентябрь 2023'!$J$4:$J$1053,Z$1)</f>
        <v>0</v>
      </c>
      <c r="AA19" s="198">
        <f>SUMIFS('сентябрь 2023'!$G$4:$G$1053,'сентябрь 2023'!$D$4:$D$1053,$B19,'сентябрь 2023'!$J$4:$J$1053,AA$1)</f>
        <v>0</v>
      </c>
      <c r="AB19" s="198">
        <f>SUMIFS('сентябрь 2023'!$G$4:$G$1053,'сентябрь 2023'!$D$4:$D$1053,$B19,'сентябрь 2023'!$J$4:$J$1053,AB$1)</f>
        <v>0</v>
      </c>
      <c r="AC19" s="198">
        <f>SUMIFS('сентябрь 2023'!$G$4:$G$1053,'сентябрь 2023'!$D$4:$D$1053,$B19,'сентябрь 2023'!$J$4:$J$1053,AC$1)</f>
        <v>0</v>
      </c>
      <c r="AD19" s="198">
        <f>SUMIFS('сентябрь 2023'!$G$4:$G$1053,'сентябрь 2023'!$D$4:$D$1053,$B19,'сентябрь 2023'!$J$4:$J$1053,AD$1)</f>
        <v>0</v>
      </c>
      <c r="AE19" s="198">
        <f>SUMIFS('сентябрь 2023'!$G$4:$G$1053,'сентябрь 2023'!$D$4:$D$1053,$B19,'сентябрь 2023'!$J$4:$J$1053,AE$1)</f>
        <v>0</v>
      </c>
      <c r="AF19" s="198">
        <f>SUMIFS('сентябрь 2023'!$G$4:$G$1053,'сентябрь 2023'!$D$4:$D$1053,$B19,'сентябрь 2023'!$J$4:$J$1053,AF$1)</f>
        <v>0</v>
      </c>
      <c r="AG19" s="198">
        <f>SUMIFS('сентябрь 2023'!$G$4:$G$1053,'сентябрь 2023'!$D$4:$D$1053,$B19,'сентябрь 2023'!$J$4:$J$1053,AG$1)</f>
        <v>0</v>
      </c>
      <c r="AH19" s="198">
        <f>SUMIFS('сентябрь 2023'!$G$4:$G$1053,'сентябрь 2023'!$D$4:$D$1053,$B19,'сентябрь 2023'!$J$4:$J$1053,AH$1)</f>
        <v>0</v>
      </c>
      <c r="AI19" s="170">
        <f t="shared" si="1"/>
        <v>1600</v>
      </c>
    </row>
    <row r="20" spans="2:35" ht="15" customHeight="1" x14ac:dyDescent="0.25">
      <c r="B20" s="199" t="s">
        <v>445</v>
      </c>
      <c r="C20" s="200">
        <v>25</v>
      </c>
      <c r="D20" s="198">
        <f>SUMIFS('сентябрь 2023'!$G$4:$G$1053,'сентябрь 2023'!$D$4:$D$1053,$B20,'сентябрь 2023'!$J$4:$J$1053,D$1)</f>
        <v>0</v>
      </c>
      <c r="E20" s="198">
        <f>SUMIFS('сентябрь 2023'!$G$4:$G$1053,'сентябрь 2023'!$D$4:$D$1053,$B20,'сентябрь 2023'!$J$4:$J$1053,E$1)</f>
        <v>0</v>
      </c>
      <c r="F20" s="198">
        <f>SUMIFS('сентябрь 2023'!$G$4:$G$1053,'сентябрь 2023'!$D$4:$D$1053,$B20,'сентябрь 2023'!$J$4:$J$1053,F$1)</f>
        <v>0</v>
      </c>
      <c r="G20" s="198">
        <f>SUMIFS('сентябрь 2023'!$G$4:$G$1053,'сентябрь 2023'!$D$4:$D$1053,$B20,'сентябрь 2023'!$J$4:$J$1053,G$1)</f>
        <v>0</v>
      </c>
      <c r="H20" s="198">
        <f>SUMIFS('сентябрь 2023'!$G$4:$G$1053,'сентябрь 2023'!$D$4:$D$1053,$B20,'сентябрь 2023'!$J$4:$J$1053,H$1)</f>
        <v>0</v>
      </c>
      <c r="I20" s="198">
        <f>SUMIFS('сентябрь 2023'!$G$4:$G$1053,'сентябрь 2023'!$D$4:$D$1053,$B20,'сентябрь 2023'!$J$4:$J$1053,I$1)</f>
        <v>0</v>
      </c>
      <c r="J20" s="198">
        <f>SUMIFS('сентябрь 2023'!$G$4:$G$1053,'сентябрь 2023'!$D$4:$D$1053,$B20,'сентябрь 2023'!$J$4:$J$1053,J$1)</f>
        <v>0</v>
      </c>
      <c r="K20" s="198">
        <f>SUMIFS('сентябрь 2023'!$G$4:$G$1053,'сентябрь 2023'!$D$4:$D$1053,$B20,'сентябрь 2023'!$J$4:$J$1053,K$1)</f>
        <v>0</v>
      </c>
      <c r="L20" s="198">
        <f>SUMIFS('сентябрь 2023'!$G$4:$G$1053,'сентябрь 2023'!$D$4:$D$1053,$B20,'сентябрь 2023'!$J$4:$J$1053,L$1)</f>
        <v>0</v>
      </c>
      <c r="M20" s="198">
        <f>SUMIFS('сентябрь 2023'!$G$4:$G$1053,'сентябрь 2023'!$D$4:$D$1053,$B20,'сентябрь 2023'!$J$4:$J$1053,M$1)</f>
        <v>0</v>
      </c>
      <c r="N20" s="198">
        <f>SUMIFS('сентябрь 2023'!$G$4:$G$1053,'сентябрь 2023'!$D$4:$D$1053,$B20,'сентябрь 2023'!$J$4:$J$1053,N$1)</f>
        <v>0</v>
      </c>
      <c r="O20" s="198">
        <f>SUMIFS('сентябрь 2023'!$G$4:$G$1053,'сентябрь 2023'!$D$4:$D$1053,$B20,'сентябрь 2023'!$J$4:$J$1053,O$1)</f>
        <v>0</v>
      </c>
      <c r="P20" s="198">
        <f>SUMIFS('сентябрь 2023'!$G$4:$G$1053,'сентябрь 2023'!$D$4:$D$1053,$B20,'сентябрь 2023'!$J$4:$J$1053,P$1)</f>
        <v>0</v>
      </c>
      <c r="Q20" s="198">
        <f>SUMIFS('сентябрь 2023'!$G$4:$G$1053,'сентябрь 2023'!$D$4:$D$1053,$B20,'сентябрь 2023'!$J$4:$J$1053,Q$1)</f>
        <v>0</v>
      </c>
      <c r="R20" s="198">
        <f>SUMIFS('сентябрь 2023'!$G$4:$G$1053,'сентябрь 2023'!$D$4:$D$1053,$B20,'сентябрь 2023'!$J$4:$J$1053,R$1)</f>
        <v>0</v>
      </c>
      <c r="S20" s="198">
        <f>SUMIFS('сентябрь 2023'!$G$4:$G$1053,'сентябрь 2023'!$D$4:$D$1053,$B20,'сентябрь 2023'!$J$4:$J$1053,S$1)</f>
        <v>0</v>
      </c>
      <c r="T20" s="198">
        <f>SUMIFS('сентябрь 2023'!$G$4:$G$1053,'сентябрь 2023'!$D$4:$D$1053,$B20,'сентябрь 2023'!$J$4:$J$1053,T$1)</f>
        <v>0</v>
      </c>
      <c r="U20" s="198">
        <f>SUMIFS('сентябрь 2023'!$G$4:$G$1053,'сентябрь 2023'!$D$4:$D$1053,$B20,'сентябрь 2023'!$J$4:$J$1053,U$1)</f>
        <v>0</v>
      </c>
      <c r="V20" s="198">
        <f>SUMIFS('сентябрь 2023'!$G$4:$G$1053,'сентябрь 2023'!$D$4:$D$1053,$B20,'сентябрь 2023'!$J$4:$J$1053,V$1)</f>
        <v>0</v>
      </c>
      <c r="W20" s="198">
        <f>SUMIFS('сентябрь 2023'!$G$4:$G$1053,'сентябрь 2023'!$D$4:$D$1053,$B20,'сентябрь 2023'!$J$4:$J$1053,W$1)</f>
        <v>0</v>
      </c>
      <c r="X20" s="198">
        <f>SUMIFS('сентябрь 2023'!$G$4:$G$1053,'сентябрь 2023'!$D$4:$D$1053,$B20,'сентябрь 2023'!$J$4:$J$1053,X$1)</f>
        <v>0</v>
      </c>
      <c r="Y20" s="198">
        <f>SUMIFS('сентябрь 2023'!$G$4:$G$1053,'сентябрь 2023'!$D$4:$D$1053,$B20,'сентябрь 2023'!$J$4:$J$1053,Y$1)</f>
        <v>0</v>
      </c>
      <c r="Z20" s="198">
        <f>SUMIFS('сентябрь 2023'!$G$4:$G$1053,'сентябрь 2023'!$D$4:$D$1053,$B20,'сентябрь 2023'!$J$4:$J$1053,Z$1)</f>
        <v>0</v>
      </c>
      <c r="AA20" s="198">
        <f>SUMIFS('сентябрь 2023'!$G$4:$G$1053,'сентябрь 2023'!$D$4:$D$1053,$B20,'сентябрь 2023'!$J$4:$J$1053,AA$1)</f>
        <v>0</v>
      </c>
      <c r="AB20" s="198">
        <f>SUMIFS('сентябрь 2023'!$G$4:$G$1053,'сентябрь 2023'!$D$4:$D$1053,$B20,'сентябрь 2023'!$J$4:$J$1053,AB$1)</f>
        <v>0</v>
      </c>
      <c r="AC20" s="198">
        <f>SUMIFS('сентябрь 2023'!$G$4:$G$1053,'сентябрь 2023'!$D$4:$D$1053,$B20,'сентябрь 2023'!$J$4:$J$1053,AC$1)</f>
        <v>0</v>
      </c>
      <c r="AD20" s="198">
        <f>SUMIFS('сентябрь 2023'!$G$4:$G$1053,'сентябрь 2023'!$D$4:$D$1053,$B20,'сентябрь 2023'!$J$4:$J$1053,AD$1)</f>
        <v>0</v>
      </c>
      <c r="AE20" s="198">
        <f>SUMIFS('сентябрь 2023'!$G$4:$G$1053,'сентябрь 2023'!$D$4:$D$1053,$B20,'сентябрь 2023'!$J$4:$J$1053,AE$1)</f>
        <v>0</v>
      </c>
      <c r="AF20" s="198">
        <f>SUMIFS('сентябрь 2023'!$G$4:$G$1053,'сентябрь 2023'!$D$4:$D$1053,$B20,'сентябрь 2023'!$J$4:$J$1053,AF$1)</f>
        <v>0</v>
      </c>
      <c r="AG20" s="198">
        <f>SUMIFS('сентябрь 2023'!$G$4:$G$1053,'сентябрь 2023'!$D$4:$D$1053,$B20,'сентябрь 2023'!$J$4:$J$1053,AG$1)</f>
        <v>0</v>
      </c>
      <c r="AH20" s="198">
        <f>SUMIFS('сентябрь 2023'!$G$4:$G$1053,'сентябрь 2023'!$D$4:$D$1053,$B20,'сентябрь 2023'!$J$4:$J$1053,AH$1)</f>
        <v>0</v>
      </c>
      <c r="AI20" s="170">
        <f t="shared" si="1"/>
        <v>0</v>
      </c>
    </row>
    <row r="21" spans="2:35" ht="15" customHeight="1" x14ac:dyDescent="0.25">
      <c r="B21" s="202" t="s">
        <v>186</v>
      </c>
      <c r="C21" s="204">
        <v>22.68</v>
      </c>
      <c r="D21" s="198">
        <f>SUMIFS('сентябрь 2023'!$G$4:$G$1053,'сентябрь 2023'!$D$4:$D$1053,$B21,'сентябрь 2023'!$J$4:$J$1053,D$1)</f>
        <v>0</v>
      </c>
      <c r="E21" s="198">
        <f>SUMIFS('сентябрь 2023'!$G$4:$G$1053,'сентябрь 2023'!$D$4:$D$1053,$B21,'сентябрь 2023'!$J$4:$J$1053,E$1)</f>
        <v>0</v>
      </c>
      <c r="F21" s="198">
        <f>SUMIFS('сентябрь 2023'!$G$4:$G$1053,'сентябрь 2023'!$D$4:$D$1053,$B21,'сентябрь 2023'!$J$4:$J$1053,F$1)</f>
        <v>0</v>
      </c>
      <c r="G21" s="198">
        <f>SUMIFS('сентябрь 2023'!$G$4:$G$1053,'сентябрь 2023'!$D$4:$D$1053,$B21,'сентябрь 2023'!$J$4:$J$1053,G$1)</f>
        <v>0</v>
      </c>
      <c r="H21" s="198">
        <f>SUMIFS('сентябрь 2023'!$G$4:$G$1053,'сентябрь 2023'!$D$4:$D$1053,$B21,'сентябрь 2023'!$J$4:$J$1053,H$1)</f>
        <v>0</v>
      </c>
      <c r="I21" s="198">
        <f>SUMIFS('сентябрь 2023'!$G$4:$G$1053,'сентябрь 2023'!$D$4:$D$1053,$B21,'сентябрь 2023'!$J$4:$J$1053,I$1)</f>
        <v>0</v>
      </c>
      <c r="J21" s="198">
        <f>SUMIFS('сентябрь 2023'!$G$4:$G$1053,'сентябрь 2023'!$D$4:$D$1053,$B21,'сентябрь 2023'!$J$4:$J$1053,J$1)</f>
        <v>0</v>
      </c>
      <c r="K21" s="198">
        <f>SUMIFS('сентябрь 2023'!$G$4:$G$1053,'сентябрь 2023'!$D$4:$D$1053,$B21,'сентябрь 2023'!$J$4:$J$1053,K$1)</f>
        <v>700</v>
      </c>
      <c r="L21" s="198">
        <f>SUMIFS('сентябрь 2023'!$G$4:$G$1053,'сентябрь 2023'!$D$4:$D$1053,$B21,'сентябрь 2023'!$J$4:$J$1053,L$1)</f>
        <v>0</v>
      </c>
      <c r="M21" s="198">
        <f>SUMIFS('сентябрь 2023'!$G$4:$G$1053,'сентябрь 2023'!$D$4:$D$1053,$B21,'сентябрь 2023'!$J$4:$J$1053,M$1)</f>
        <v>0</v>
      </c>
      <c r="N21" s="198">
        <f>SUMIFS('сентябрь 2023'!$G$4:$G$1053,'сентябрь 2023'!$D$4:$D$1053,$B21,'сентябрь 2023'!$J$4:$J$1053,N$1)</f>
        <v>0</v>
      </c>
      <c r="O21" s="198">
        <f>SUMIFS('сентябрь 2023'!$G$4:$G$1053,'сентябрь 2023'!$D$4:$D$1053,$B21,'сентябрь 2023'!$J$4:$J$1053,O$1)</f>
        <v>0</v>
      </c>
      <c r="P21" s="198">
        <f>SUMIFS('сентябрь 2023'!$G$4:$G$1053,'сентябрь 2023'!$D$4:$D$1053,$B21,'сентябрь 2023'!$J$4:$J$1053,P$1)</f>
        <v>0</v>
      </c>
      <c r="Q21" s="198">
        <f>SUMIFS('сентябрь 2023'!$G$4:$G$1053,'сентябрь 2023'!$D$4:$D$1053,$B21,'сентябрь 2023'!$J$4:$J$1053,Q$1)</f>
        <v>0</v>
      </c>
      <c r="R21" s="198">
        <f>SUMIFS('сентябрь 2023'!$G$4:$G$1053,'сентябрь 2023'!$D$4:$D$1053,$B21,'сентябрь 2023'!$J$4:$J$1053,R$1)</f>
        <v>0</v>
      </c>
      <c r="S21" s="198">
        <f>SUMIFS('сентябрь 2023'!$G$4:$G$1053,'сентябрь 2023'!$D$4:$D$1053,$B21,'сентябрь 2023'!$J$4:$J$1053,S$1)</f>
        <v>0</v>
      </c>
      <c r="T21" s="198">
        <f>SUMIFS('сентябрь 2023'!$G$4:$G$1053,'сентябрь 2023'!$D$4:$D$1053,$B21,'сентябрь 2023'!$J$4:$J$1053,T$1)</f>
        <v>0</v>
      </c>
      <c r="U21" s="198">
        <f>SUMIFS('сентябрь 2023'!$G$4:$G$1053,'сентябрь 2023'!$D$4:$D$1053,$B21,'сентябрь 2023'!$J$4:$J$1053,U$1)</f>
        <v>0</v>
      </c>
      <c r="V21" s="198">
        <f>SUMIFS('сентябрь 2023'!$G$4:$G$1053,'сентябрь 2023'!$D$4:$D$1053,$B21,'сентябрь 2023'!$J$4:$J$1053,V$1)</f>
        <v>0</v>
      </c>
      <c r="W21" s="198">
        <f>SUMIFS('сентябрь 2023'!$G$4:$G$1053,'сентябрь 2023'!$D$4:$D$1053,$B21,'сентябрь 2023'!$J$4:$J$1053,W$1)</f>
        <v>0</v>
      </c>
      <c r="X21" s="198">
        <f>SUMIFS('сентябрь 2023'!$G$4:$G$1053,'сентябрь 2023'!$D$4:$D$1053,$B21,'сентябрь 2023'!$J$4:$J$1053,X$1)</f>
        <v>0</v>
      </c>
      <c r="Y21" s="198">
        <f>SUMIFS('сентябрь 2023'!$G$4:$G$1053,'сентябрь 2023'!$D$4:$D$1053,$B21,'сентябрь 2023'!$J$4:$J$1053,Y$1)</f>
        <v>0</v>
      </c>
      <c r="Z21" s="198">
        <f>SUMIFS('сентябрь 2023'!$G$4:$G$1053,'сентябрь 2023'!$D$4:$D$1053,$B21,'сентябрь 2023'!$J$4:$J$1053,Z$1)</f>
        <v>0</v>
      </c>
      <c r="AA21" s="198">
        <f>SUMIFS('сентябрь 2023'!$G$4:$G$1053,'сентябрь 2023'!$D$4:$D$1053,$B21,'сентябрь 2023'!$J$4:$J$1053,AA$1)</f>
        <v>0</v>
      </c>
      <c r="AB21" s="198">
        <f>SUMIFS('сентябрь 2023'!$G$4:$G$1053,'сентябрь 2023'!$D$4:$D$1053,$B21,'сентябрь 2023'!$J$4:$J$1053,AB$1)</f>
        <v>0</v>
      </c>
      <c r="AC21" s="198">
        <f>SUMIFS('сентябрь 2023'!$G$4:$G$1053,'сентябрь 2023'!$D$4:$D$1053,$B21,'сентябрь 2023'!$J$4:$J$1053,AC$1)</f>
        <v>0</v>
      </c>
      <c r="AD21" s="198">
        <f>SUMIFS('сентябрь 2023'!$G$4:$G$1053,'сентябрь 2023'!$D$4:$D$1053,$B21,'сентябрь 2023'!$J$4:$J$1053,AD$1)</f>
        <v>0</v>
      </c>
      <c r="AE21" s="198">
        <f>SUMIFS('сентябрь 2023'!$G$4:$G$1053,'сентябрь 2023'!$D$4:$D$1053,$B21,'сентябрь 2023'!$J$4:$J$1053,AE$1)</f>
        <v>0</v>
      </c>
      <c r="AF21" s="198">
        <f>SUMIFS('сентябрь 2023'!$G$4:$G$1053,'сентябрь 2023'!$D$4:$D$1053,$B21,'сентябрь 2023'!$J$4:$J$1053,AF$1)</f>
        <v>0</v>
      </c>
      <c r="AG21" s="198">
        <f>SUMIFS('сентябрь 2023'!$G$4:$G$1053,'сентябрь 2023'!$D$4:$D$1053,$B21,'сентябрь 2023'!$J$4:$J$1053,AG$1)</f>
        <v>0</v>
      </c>
      <c r="AH21" s="198">
        <f>SUMIFS('сентябрь 2023'!$G$4:$G$1053,'сентябрь 2023'!$D$4:$D$1053,$B21,'сентябрь 2023'!$J$4:$J$1053,AH$1)</f>
        <v>0</v>
      </c>
      <c r="AI21" s="170">
        <f t="shared" si="1"/>
        <v>700</v>
      </c>
    </row>
    <row r="22" spans="2:35" ht="15" hidden="1" customHeight="1" x14ac:dyDescent="0.25">
      <c r="B22" s="202"/>
      <c r="C22" s="200"/>
      <c r="D22" s="198">
        <f>SUMIFS('сентябрь 2023'!$G$4:$G$1053,'сентябрь 2023'!$D$4:$D$1053,$B22,'сентябрь 2023'!$J$4:$J$1053,D$1)</f>
        <v>0</v>
      </c>
      <c r="E22" s="198">
        <f>SUMIFS('сентябрь 2023'!$G$4:$G$1053,'сентябрь 2023'!$D$4:$D$1053,$B22,'сентябрь 2023'!$J$4:$J$1053,E$1)</f>
        <v>0</v>
      </c>
      <c r="F22" s="198">
        <f>SUMIFS('сентябрь 2023'!$G$4:$G$1053,'сентябрь 2023'!$D$4:$D$1053,$B22,'сентябрь 2023'!$J$4:$J$1053,F$1)</f>
        <v>0</v>
      </c>
      <c r="G22" s="198">
        <f>SUMIFS('сентябрь 2023'!$G$4:$G$1053,'сентябрь 2023'!$D$4:$D$1053,$B22,'сентябрь 2023'!$J$4:$J$1053,G$1)</f>
        <v>0</v>
      </c>
      <c r="H22" s="198">
        <f>SUMIFS('сентябрь 2023'!$G$4:$G$1053,'сентябрь 2023'!$D$4:$D$1053,$B22,'сентябрь 2023'!$J$4:$J$1053,H$1)</f>
        <v>0</v>
      </c>
      <c r="I22" s="198">
        <f>SUMIFS('сентябрь 2023'!$G$4:$G$1053,'сентябрь 2023'!$D$4:$D$1053,$B22,'сентябрь 2023'!$J$4:$J$1053,I$1)</f>
        <v>0</v>
      </c>
      <c r="J22" s="198">
        <f>SUMIFS('сентябрь 2023'!$G$4:$G$1053,'сентябрь 2023'!$D$4:$D$1053,$B22,'сентябрь 2023'!$J$4:$J$1053,J$1)</f>
        <v>0</v>
      </c>
      <c r="K22" s="198">
        <f>SUMIFS('сентябрь 2023'!$G$4:$G$1053,'сентябрь 2023'!$D$4:$D$1053,$B22,'сентябрь 2023'!$J$4:$J$1053,K$1)</f>
        <v>0</v>
      </c>
      <c r="L22" s="198">
        <f>SUMIFS('сентябрь 2023'!$G$4:$G$1053,'сентябрь 2023'!$D$4:$D$1053,$B22,'сентябрь 2023'!$J$4:$J$1053,L$1)</f>
        <v>0</v>
      </c>
      <c r="M22" s="198">
        <f>SUMIFS('сентябрь 2023'!$G$4:$G$1053,'сентябрь 2023'!$D$4:$D$1053,$B22,'сентябрь 2023'!$J$4:$J$1053,M$1)</f>
        <v>0</v>
      </c>
      <c r="N22" s="198">
        <f>SUMIFS('сентябрь 2023'!$G$4:$G$1053,'сентябрь 2023'!$D$4:$D$1053,$B22,'сентябрь 2023'!$J$4:$J$1053,N$1)</f>
        <v>0</v>
      </c>
      <c r="O22" s="198">
        <f>SUMIFS('сентябрь 2023'!$G$4:$G$1053,'сентябрь 2023'!$D$4:$D$1053,$B22,'сентябрь 2023'!$J$4:$J$1053,O$1)</f>
        <v>0</v>
      </c>
      <c r="P22" s="198">
        <f>SUMIFS('сентябрь 2023'!$G$4:$G$1053,'сентябрь 2023'!$D$4:$D$1053,$B22,'сентябрь 2023'!$J$4:$J$1053,P$1)</f>
        <v>0</v>
      </c>
      <c r="Q22" s="198">
        <f>SUMIFS('сентябрь 2023'!$G$4:$G$1053,'сентябрь 2023'!$D$4:$D$1053,$B22,'сентябрь 2023'!$J$4:$J$1053,Q$1)</f>
        <v>0</v>
      </c>
      <c r="R22" s="198">
        <f>SUMIFS('сентябрь 2023'!$G$4:$G$1053,'сентябрь 2023'!$D$4:$D$1053,$B22,'сентябрь 2023'!$J$4:$J$1053,R$1)</f>
        <v>0</v>
      </c>
      <c r="S22" s="198">
        <f>SUMIFS('сентябрь 2023'!$G$4:$G$1053,'сентябрь 2023'!$D$4:$D$1053,$B22,'сентябрь 2023'!$J$4:$J$1053,S$1)</f>
        <v>0</v>
      </c>
      <c r="T22" s="198">
        <f>SUMIFS('сентябрь 2023'!$G$4:$G$1053,'сентябрь 2023'!$D$4:$D$1053,$B22,'сентябрь 2023'!$J$4:$J$1053,T$1)</f>
        <v>0</v>
      </c>
      <c r="U22" s="198">
        <f>SUMIFS('сентябрь 2023'!$G$4:$G$1053,'сентябрь 2023'!$D$4:$D$1053,$B22,'сентябрь 2023'!$J$4:$J$1053,U$1)</f>
        <v>0</v>
      </c>
      <c r="V22" s="198">
        <f>SUMIFS('сентябрь 2023'!$G$4:$G$1053,'сентябрь 2023'!$D$4:$D$1053,$B22,'сентябрь 2023'!$J$4:$J$1053,V$1)</f>
        <v>0</v>
      </c>
      <c r="W22" s="198">
        <f>SUMIFS('сентябрь 2023'!$G$4:$G$1053,'сентябрь 2023'!$D$4:$D$1053,$B22,'сентябрь 2023'!$J$4:$J$1053,W$1)</f>
        <v>0</v>
      </c>
      <c r="X22" s="198">
        <f>SUMIFS('сентябрь 2023'!$G$4:$G$1053,'сентябрь 2023'!$D$4:$D$1053,$B22,'сентябрь 2023'!$J$4:$J$1053,X$1)</f>
        <v>0</v>
      </c>
      <c r="Y22" s="198">
        <f>SUMIFS('сентябрь 2023'!$G$4:$G$1053,'сентябрь 2023'!$D$4:$D$1053,$B22,'сентябрь 2023'!$J$4:$J$1053,Y$1)</f>
        <v>0</v>
      </c>
      <c r="Z22" s="198">
        <f>SUMIFS('сентябрь 2023'!$G$4:$G$1053,'сентябрь 2023'!$D$4:$D$1053,$B22,'сентябрь 2023'!$J$4:$J$1053,Z$1)</f>
        <v>0</v>
      </c>
      <c r="AA22" s="198">
        <f>SUMIFS('сентябрь 2023'!$G$4:$G$1053,'сентябрь 2023'!$D$4:$D$1053,$B22,'сентябрь 2023'!$J$4:$J$1053,AA$1)</f>
        <v>0</v>
      </c>
      <c r="AB22" s="198">
        <f>SUMIFS('сентябрь 2023'!$G$4:$G$1053,'сентябрь 2023'!$D$4:$D$1053,$B22,'сентябрь 2023'!$J$4:$J$1053,AB$1)</f>
        <v>0</v>
      </c>
      <c r="AC22" s="198">
        <f>SUMIFS('сентябрь 2023'!$G$4:$G$1053,'сентябрь 2023'!$D$4:$D$1053,$B22,'сентябрь 2023'!$J$4:$J$1053,AC$1)</f>
        <v>0</v>
      </c>
      <c r="AD22" s="198">
        <f>SUMIFS('сентябрь 2023'!$G$4:$G$1053,'сентябрь 2023'!$D$4:$D$1053,$B22,'сентябрь 2023'!$J$4:$J$1053,AD$1)</f>
        <v>0</v>
      </c>
      <c r="AE22" s="198">
        <f>SUMIFS('сентябрь 2023'!$G$4:$G$1053,'сентябрь 2023'!$D$4:$D$1053,$B22,'сентябрь 2023'!$J$4:$J$1053,AE$1)</f>
        <v>0</v>
      </c>
      <c r="AF22" s="198">
        <f>SUMIFS('сентябрь 2023'!$G$4:$G$1053,'сентябрь 2023'!$D$4:$D$1053,$B22,'сентябрь 2023'!$J$4:$J$1053,AF$1)</f>
        <v>0</v>
      </c>
      <c r="AG22" s="198">
        <f>SUMIFS('сентябрь 2023'!$G$4:$G$1053,'сентябрь 2023'!$D$4:$D$1053,$B22,'сентябрь 2023'!$J$4:$J$1053,AG$1)</f>
        <v>0</v>
      </c>
      <c r="AH22" s="198">
        <f>SUMIFS('сентябрь 2023'!$G$4:$G$1053,'сентябрь 2023'!$D$4:$D$1053,$B22,'сентябрь 2023'!$J$4:$J$1053,AH$1)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SUMIFS('сентябрь 2023'!$G$4:$G$1053,'сентябрь 2023'!$D$4:$D$1053,$B23,'сентябрь 2023'!$J$4:$J$1053,D$1)</f>
        <v>0</v>
      </c>
      <c r="E23" s="198">
        <f>SUMIFS('сентябрь 2023'!$G$4:$G$1053,'сентябрь 2023'!$D$4:$D$1053,$B23,'сентябрь 2023'!$J$4:$J$1053,E$1)</f>
        <v>0</v>
      </c>
      <c r="F23" s="198">
        <f>SUMIFS('сентябрь 2023'!$G$4:$G$1053,'сентябрь 2023'!$D$4:$D$1053,$B23,'сентябрь 2023'!$J$4:$J$1053,F$1)</f>
        <v>0</v>
      </c>
      <c r="G23" s="198">
        <f>SUMIFS('сентябрь 2023'!$G$4:$G$1053,'сентябрь 2023'!$D$4:$D$1053,$B23,'сентябрь 2023'!$J$4:$J$1053,G$1)</f>
        <v>0</v>
      </c>
      <c r="H23" s="198">
        <f>SUMIFS('сентябрь 2023'!$G$4:$G$1053,'сентябрь 2023'!$D$4:$D$1053,$B23,'сентябрь 2023'!$J$4:$J$1053,H$1)</f>
        <v>0</v>
      </c>
      <c r="I23" s="198">
        <f>SUMIFS('сентябрь 2023'!$G$4:$G$1053,'сентябрь 2023'!$D$4:$D$1053,$B23,'сентябрь 2023'!$J$4:$J$1053,I$1)</f>
        <v>0</v>
      </c>
      <c r="J23" s="198">
        <f>SUMIFS('сентябрь 2023'!$G$4:$G$1053,'сентябрь 2023'!$D$4:$D$1053,$B23,'сентябрь 2023'!$J$4:$J$1053,J$1)</f>
        <v>0</v>
      </c>
      <c r="K23" s="198">
        <f>SUMIFS('сентябрь 2023'!$G$4:$G$1053,'сентябрь 2023'!$D$4:$D$1053,$B23,'сентябрь 2023'!$J$4:$J$1053,K$1)</f>
        <v>0</v>
      </c>
      <c r="L23" s="198">
        <f>SUMIFS('сентябрь 2023'!$G$4:$G$1053,'сентябрь 2023'!$D$4:$D$1053,$B23,'сентябрь 2023'!$J$4:$J$1053,L$1)</f>
        <v>0</v>
      </c>
      <c r="M23" s="198">
        <f>SUMIFS('сентябрь 2023'!$G$4:$G$1053,'сентябрь 2023'!$D$4:$D$1053,$B23,'сентябрь 2023'!$J$4:$J$1053,M$1)</f>
        <v>0</v>
      </c>
      <c r="N23" s="198">
        <f>SUMIFS('сентябрь 2023'!$G$4:$G$1053,'сентябрь 2023'!$D$4:$D$1053,$B23,'сентябрь 2023'!$J$4:$J$1053,N$1)</f>
        <v>0</v>
      </c>
      <c r="O23" s="198">
        <f>SUMIFS('сентябрь 2023'!$G$4:$G$1053,'сентябрь 2023'!$D$4:$D$1053,$B23,'сентябрь 2023'!$J$4:$J$1053,O$1)</f>
        <v>0</v>
      </c>
      <c r="P23" s="198">
        <f>SUMIFS('сентябрь 2023'!$G$4:$G$1053,'сентябрь 2023'!$D$4:$D$1053,$B23,'сентябрь 2023'!$J$4:$J$1053,P$1)</f>
        <v>0</v>
      </c>
      <c r="Q23" s="198">
        <f>SUMIFS('сентябрь 2023'!$G$4:$G$1053,'сентябрь 2023'!$D$4:$D$1053,$B23,'сентябрь 2023'!$J$4:$J$1053,Q$1)</f>
        <v>0</v>
      </c>
      <c r="R23" s="198">
        <f>SUMIFS('сентябрь 2023'!$G$4:$G$1053,'сентябрь 2023'!$D$4:$D$1053,$B23,'сентябрь 2023'!$J$4:$J$1053,R$1)</f>
        <v>0</v>
      </c>
      <c r="S23" s="198">
        <f>SUMIFS('сентябрь 2023'!$G$4:$G$1053,'сентябрь 2023'!$D$4:$D$1053,$B23,'сентябрь 2023'!$J$4:$J$1053,S$1)</f>
        <v>0</v>
      </c>
      <c r="T23" s="198">
        <f>SUMIFS('сентябрь 2023'!$G$4:$G$1053,'сентябрь 2023'!$D$4:$D$1053,$B23,'сентябрь 2023'!$J$4:$J$1053,T$1)</f>
        <v>0</v>
      </c>
      <c r="U23" s="198">
        <f>SUMIFS('сентябрь 2023'!$G$4:$G$1053,'сентябрь 2023'!$D$4:$D$1053,$B23,'сентябрь 2023'!$J$4:$J$1053,U$1)</f>
        <v>0</v>
      </c>
      <c r="V23" s="198">
        <f>SUMIFS('сентябрь 2023'!$G$4:$G$1053,'сентябрь 2023'!$D$4:$D$1053,$B23,'сентябрь 2023'!$J$4:$J$1053,V$1)</f>
        <v>0</v>
      </c>
      <c r="W23" s="198">
        <f>SUMIFS('сентябрь 2023'!$G$4:$G$1053,'сентябрь 2023'!$D$4:$D$1053,$B23,'сентябрь 2023'!$J$4:$J$1053,W$1)</f>
        <v>0</v>
      </c>
      <c r="X23" s="198">
        <f>SUMIFS('сентябрь 2023'!$G$4:$G$1053,'сентябрь 2023'!$D$4:$D$1053,$B23,'сентябрь 2023'!$J$4:$J$1053,X$1)</f>
        <v>0</v>
      </c>
      <c r="Y23" s="198">
        <f>SUMIFS('сентябрь 2023'!$G$4:$G$1053,'сентябрь 2023'!$D$4:$D$1053,$B23,'сентябрь 2023'!$J$4:$J$1053,Y$1)</f>
        <v>0</v>
      </c>
      <c r="Z23" s="198">
        <f>SUMIFS('сентябрь 2023'!$G$4:$G$1053,'сентябрь 2023'!$D$4:$D$1053,$B23,'сентябрь 2023'!$J$4:$J$1053,Z$1)</f>
        <v>0</v>
      </c>
      <c r="AA23" s="198">
        <f>SUMIFS('сентябрь 2023'!$G$4:$G$1053,'сентябрь 2023'!$D$4:$D$1053,$B23,'сентябрь 2023'!$J$4:$J$1053,AA$1)</f>
        <v>0</v>
      </c>
      <c r="AB23" s="198">
        <f>SUMIFS('сентябрь 2023'!$G$4:$G$1053,'сентябрь 2023'!$D$4:$D$1053,$B23,'сентябрь 2023'!$J$4:$J$1053,AB$1)</f>
        <v>0</v>
      </c>
      <c r="AC23" s="198">
        <f>SUMIFS('сентябрь 2023'!$G$4:$G$1053,'сентябрь 2023'!$D$4:$D$1053,$B23,'сентябрь 2023'!$J$4:$J$1053,AC$1)</f>
        <v>0</v>
      </c>
      <c r="AD23" s="198">
        <f>SUMIFS('сентябрь 2023'!$G$4:$G$1053,'сентябрь 2023'!$D$4:$D$1053,$B23,'сентябрь 2023'!$J$4:$J$1053,AD$1)</f>
        <v>0</v>
      </c>
      <c r="AE23" s="198">
        <f>SUMIFS('сентябрь 2023'!$G$4:$G$1053,'сентябрь 2023'!$D$4:$D$1053,$B23,'сентябрь 2023'!$J$4:$J$1053,AE$1)</f>
        <v>0</v>
      </c>
      <c r="AF23" s="198">
        <f>SUMIFS('сентябрь 2023'!$G$4:$G$1053,'сентябрь 2023'!$D$4:$D$1053,$B23,'сентябрь 2023'!$J$4:$J$1053,AF$1)</f>
        <v>0</v>
      </c>
      <c r="AG23" s="198">
        <f>SUMIFS('сентябрь 2023'!$G$4:$G$1053,'сентябрь 2023'!$D$4:$D$1053,$B23,'сентябрь 2023'!$J$4:$J$1053,AG$1)</f>
        <v>0</v>
      </c>
      <c r="AH23" s="198">
        <f>SUMIFS('сентябрь 2023'!$G$4:$G$1053,'сентябрь 2023'!$D$4:$D$1053,$B23,'сентябрь 2023'!$J$4:$J$1053,AH$1)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SUMIFS('сентябрь 2023'!$G$4:$G$1053,'сентябрь 2023'!$D$4:$D$1053,$B24,'сентябрь 2023'!$J$4:$J$1053,D$1)</f>
        <v>0</v>
      </c>
      <c r="E24" s="198">
        <f>SUMIFS('сентябрь 2023'!$G$4:$G$1053,'сентябрь 2023'!$D$4:$D$1053,$B24,'сентябрь 2023'!$J$4:$J$1053,E$1)</f>
        <v>0</v>
      </c>
      <c r="F24" s="198">
        <f>SUMIFS('сентябрь 2023'!$G$4:$G$1053,'сентябрь 2023'!$D$4:$D$1053,$B24,'сентябрь 2023'!$J$4:$J$1053,F$1)</f>
        <v>0</v>
      </c>
      <c r="G24" s="198">
        <f>SUMIFS('сентябрь 2023'!$G$4:$G$1053,'сентябрь 2023'!$D$4:$D$1053,$B24,'сентябрь 2023'!$J$4:$J$1053,G$1)</f>
        <v>0</v>
      </c>
      <c r="H24" s="198">
        <f>SUMIFS('сентябрь 2023'!$G$4:$G$1053,'сентябрь 2023'!$D$4:$D$1053,$B24,'сентябрь 2023'!$J$4:$J$1053,H$1)</f>
        <v>0</v>
      </c>
      <c r="I24" s="198">
        <f>SUMIFS('сентябрь 2023'!$G$4:$G$1053,'сентябрь 2023'!$D$4:$D$1053,$B24,'сентябрь 2023'!$J$4:$J$1053,I$1)</f>
        <v>0</v>
      </c>
      <c r="J24" s="198">
        <f>SUMIFS('сентябрь 2023'!$G$4:$G$1053,'сентябрь 2023'!$D$4:$D$1053,$B24,'сентябрь 2023'!$J$4:$J$1053,J$1)</f>
        <v>0</v>
      </c>
      <c r="K24" s="198">
        <f>SUMIFS('сентябрь 2023'!$G$4:$G$1053,'сентябрь 2023'!$D$4:$D$1053,$B24,'сентябрь 2023'!$J$4:$J$1053,K$1)</f>
        <v>0</v>
      </c>
      <c r="L24" s="198">
        <f>SUMIFS('сентябрь 2023'!$G$4:$G$1053,'сентябрь 2023'!$D$4:$D$1053,$B24,'сентябрь 2023'!$J$4:$J$1053,L$1)</f>
        <v>0</v>
      </c>
      <c r="M24" s="198">
        <f>SUMIFS('сентябрь 2023'!$G$4:$G$1053,'сентябрь 2023'!$D$4:$D$1053,$B24,'сентябрь 2023'!$J$4:$J$1053,M$1)</f>
        <v>0</v>
      </c>
      <c r="N24" s="198">
        <f>SUMIFS('сентябрь 2023'!$G$4:$G$1053,'сентябрь 2023'!$D$4:$D$1053,$B24,'сентябрь 2023'!$J$4:$J$1053,N$1)</f>
        <v>0</v>
      </c>
      <c r="O24" s="198">
        <f>SUMIFS('сентябрь 2023'!$G$4:$G$1053,'сентябрь 2023'!$D$4:$D$1053,$B24,'сентябрь 2023'!$J$4:$J$1053,O$1)</f>
        <v>0</v>
      </c>
      <c r="P24" s="198">
        <f>SUMIFS('сентябрь 2023'!$G$4:$G$1053,'сентябрь 2023'!$D$4:$D$1053,$B24,'сентябрь 2023'!$J$4:$J$1053,P$1)</f>
        <v>0</v>
      </c>
      <c r="Q24" s="198">
        <f>SUMIFS('сентябрь 2023'!$G$4:$G$1053,'сентябрь 2023'!$D$4:$D$1053,$B24,'сентябрь 2023'!$J$4:$J$1053,Q$1)</f>
        <v>0</v>
      </c>
      <c r="R24" s="198">
        <f>SUMIFS('сентябрь 2023'!$G$4:$G$1053,'сентябрь 2023'!$D$4:$D$1053,$B24,'сентябрь 2023'!$J$4:$J$1053,R$1)</f>
        <v>0</v>
      </c>
      <c r="S24" s="198">
        <f>SUMIFS('сентябрь 2023'!$G$4:$G$1053,'сентябрь 2023'!$D$4:$D$1053,$B24,'сентябрь 2023'!$J$4:$J$1053,S$1)</f>
        <v>0</v>
      </c>
      <c r="T24" s="198">
        <f>SUMIFS('сентябрь 2023'!$G$4:$G$1053,'сентябрь 2023'!$D$4:$D$1053,$B24,'сентябрь 2023'!$J$4:$J$1053,T$1)</f>
        <v>0</v>
      </c>
      <c r="U24" s="198">
        <f>SUMIFS('сентябрь 2023'!$G$4:$G$1053,'сентябрь 2023'!$D$4:$D$1053,$B24,'сентябрь 2023'!$J$4:$J$1053,U$1)</f>
        <v>0</v>
      </c>
      <c r="V24" s="198">
        <f>SUMIFS('сентябрь 2023'!$G$4:$G$1053,'сентябрь 2023'!$D$4:$D$1053,$B24,'сентябрь 2023'!$J$4:$J$1053,V$1)</f>
        <v>0</v>
      </c>
      <c r="W24" s="198">
        <f>SUMIFS('сентябрь 2023'!$G$4:$G$1053,'сентябрь 2023'!$D$4:$D$1053,$B24,'сентябрь 2023'!$J$4:$J$1053,W$1)</f>
        <v>0</v>
      </c>
      <c r="X24" s="198">
        <f>SUMIFS('сентябрь 2023'!$G$4:$G$1053,'сентябрь 2023'!$D$4:$D$1053,$B24,'сентябрь 2023'!$J$4:$J$1053,X$1)</f>
        <v>0</v>
      </c>
      <c r="Y24" s="198">
        <f>SUMIFS('сентябрь 2023'!$G$4:$G$1053,'сентябрь 2023'!$D$4:$D$1053,$B24,'сентябрь 2023'!$J$4:$J$1053,Y$1)</f>
        <v>0</v>
      </c>
      <c r="Z24" s="198">
        <f>SUMIFS('сентябрь 2023'!$G$4:$G$1053,'сентябрь 2023'!$D$4:$D$1053,$B24,'сентябрь 2023'!$J$4:$J$1053,Z$1)</f>
        <v>0</v>
      </c>
      <c r="AA24" s="198">
        <f>SUMIFS('сентябрь 2023'!$G$4:$G$1053,'сентябрь 2023'!$D$4:$D$1053,$B24,'сентябрь 2023'!$J$4:$J$1053,AA$1)</f>
        <v>0</v>
      </c>
      <c r="AB24" s="198">
        <f>SUMIFS('сентябрь 2023'!$G$4:$G$1053,'сентябрь 2023'!$D$4:$D$1053,$B24,'сентябрь 2023'!$J$4:$J$1053,AB$1)</f>
        <v>0</v>
      </c>
      <c r="AC24" s="198">
        <f>SUMIFS('сентябрь 2023'!$G$4:$G$1053,'сентябрь 2023'!$D$4:$D$1053,$B24,'сентябрь 2023'!$J$4:$J$1053,AC$1)</f>
        <v>0</v>
      </c>
      <c r="AD24" s="198">
        <f>SUMIFS('сентябрь 2023'!$G$4:$G$1053,'сентябрь 2023'!$D$4:$D$1053,$B24,'сентябрь 2023'!$J$4:$J$1053,AD$1)</f>
        <v>0</v>
      </c>
      <c r="AE24" s="198">
        <f>SUMIFS('сентябрь 2023'!$G$4:$G$1053,'сентябрь 2023'!$D$4:$D$1053,$B24,'сентябрь 2023'!$J$4:$J$1053,AE$1)</f>
        <v>0</v>
      </c>
      <c r="AF24" s="198">
        <f>SUMIFS('сентябрь 2023'!$G$4:$G$1053,'сентябрь 2023'!$D$4:$D$1053,$B24,'сентябрь 2023'!$J$4:$J$1053,AF$1)</f>
        <v>0</v>
      </c>
      <c r="AG24" s="198">
        <f>SUMIFS('сентябрь 2023'!$G$4:$G$1053,'сентябрь 2023'!$D$4:$D$1053,$B24,'сентябрь 2023'!$J$4:$J$1053,AG$1)</f>
        <v>0</v>
      </c>
      <c r="AH24" s="198">
        <f>SUMIFS('сентябрь 2023'!$G$4:$G$1053,'сентябрь 2023'!$D$4:$D$1053,$B24,'сентябрь 2023'!$J$4:$J$1053,AH$1)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SUMIFS('сентябрь 2023'!$G$4:$G$1053,'сентябрь 2023'!$D$4:$D$1053,$B25,'сентябрь 2023'!$J$4:$J$1053,D$1)</f>
        <v>0</v>
      </c>
      <c r="E25" s="198">
        <f>SUMIFS('сентябрь 2023'!$G$4:$G$1053,'сентябрь 2023'!$D$4:$D$1053,$B25,'сентябрь 2023'!$J$4:$J$1053,E$1)</f>
        <v>0</v>
      </c>
      <c r="F25" s="198">
        <f>SUMIFS('сентябрь 2023'!$G$4:$G$1053,'сентябрь 2023'!$D$4:$D$1053,$B25,'сентябрь 2023'!$J$4:$J$1053,F$1)</f>
        <v>0</v>
      </c>
      <c r="G25" s="198">
        <f>SUMIFS('сентябрь 2023'!$G$4:$G$1053,'сентябрь 2023'!$D$4:$D$1053,$B25,'сентябрь 2023'!$J$4:$J$1053,G$1)</f>
        <v>0</v>
      </c>
      <c r="H25" s="198">
        <f>SUMIFS('сентябрь 2023'!$G$4:$G$1053,'сентябрь 2023'!$D$4:$D$1053,$B25,'сентябрь 2023'!$J$4:$J$1053,H$1)</f>
        <v>0</v>
      </c>
      <c r="I25" s="198">
        <f>SUMIFS('сентябрь 2023'!$G$4:$G$1053,'сентябрь 2023'!$D$4:$D$1053,$B25,'сентябрь 2023'!$J$4:$J$1053,I$1)</f>
        <v>0</v>
      </c>
      <c r="J25" s="198">
        <f>SUMIFS('сентябрь 2023'!$G$4:$G$1053,'сентябрь 2023'!$D$4:$D$1053,$B25,'сентябрь 2023'!$J$4:$J$1053,J$1)</f>
        <v>0</v>
      </c>
      <c r="K25" s="198">
        <f>SUMIFS('сентябрь 2023'!$G$4:$G$1053,'сентябрь 2023'!$D$4:$D$1053,$B25,'сентябрь 2023'!$J$4:$J$1053,K$1)</f>
        <v>0</v>
      </c>
      <c r="L25" s="198">
        <f>SUMIFS('сентябрь 2023'!$G$4:$G$1053,'сентябрь 2023'!$D$4:$D$1053,$B25,'сентябрь 2023'!$J$4:$J$1053,L$1)</f>
        <v>0</v>
      </c>
      <c r="M25" s="198">
        <f>SUMIFS('сентябрь 2023'!$G$4:$G$1053,'сентябрь 2023'!$D$4:$D$1053,$B25,'сентябрь 2023'!$J$4:$J$1053,M$1)</f>
        <v>0</v>
      </c>
      <c r="N25" s="198">
        <f>SUMIFS('сентябрь 2023'!$G$4:$G$1053,'сентябрь 2023'!$D$4:$D$1053,$B25,'сентябрь 2023'!$J$4:$J$1053,N$1)</f>
        <v>0</v>
      </c>
      <c r="O25" s="198">
        <f>SUMIFS('сентябрь 2023'!$G$4:$G$1053,'сентябрь 2023'!$D$4:$D$1053,$B25,'сентябрь 2023'!$J$4:$J$1053,O$1)</f>
        <v>0</v>
      </c>
      <c r="P25" s="198">
        <f>SUMIFS('сентябрь 2023'!$G$4:$G$1053,'сентябрь 2023'!$D$4:$D$1053,$B25,'сентябрь 2023'!$J$4:$J$1053,P$1)</f>
        <v>0</v>
      </c>
      <c r="Q25" s="198">
        <f>SUMIFS('сентябрь 2023'!$G$4:$G$1053,'сентябрь 2023'!$D$4:$D$1053,$B25,'сентябрь 2023'!$J$4:$J$1053,Q$1)</f>
        <v>0</v>
      </c>
      <c r="R25" s="198">
        <f>SUMIFS('сентябрь 2023'!$G$4:$G$1053,'сентябрь 2023'!$D$4:$D$1053,$B25,'сентябрь 2023'!$J$4:$J$1053,R$1)</f>
        <v>0</v>
      </c>
      <c r="S25" s="198">
        <f>SUMIFS('сентябрь 2023'!$G$4:$G$1053,'сентябрь 2023'!$D$4:$D$1053,$B25,'сентябрь 2023'!$J$4:$J$1053,S$1)</f>
        <v>0</v>
      </c>
      <c r="T25" s="198">
        <f>SUMIFS('сентябрь 2023'!$G$4:$G$1053,'сентябрь 2023'!$D$4:$D$1053,$B25,'сентябрь 2023'!$J$4:$J$1053,T$1)</f>
        <v>0</v>
      </c>
      <c r="U25" s="198">
        <f>SUMIFS('сентябрь 2023'!$G$4:$G$1053,'сентябрь 2023'!$D$4:$D$1053,$B25,'сентябрь 2023'!$J$4:$J$1053,U$1)</f>
        <v>0</v>
      </c>
      <c r="V25" s="198">
        <f>SUMIFS('сентябрь 2023'!$G$4:$G$1053,'сентябрь 2023'!$D$4:$D$1053,$B25,'сентябрь 2023'!$J$4:$J$1053,V$1)</f>
        <v>0</v>
      </c>
      <c r="W25" s="198">
        <f>SUMIFS('сентябрь 2023'!$G$4:$G$1053,'сентябрь 2023'!$D$4:$D$1053,$B25,'сентябрь 2023'!$J$4:$J$1053,W$1)</f>
        <v>0</v>
      </c>
      <c r="X25" s="198">
        <f>SUMIFS('сентябрь 2023'!$G$4:$G$1053,'сентябрь 2023'!$D$4:$D$1053,$B25,'сентябрь 2023'!$J$4:$J$1053,X$1)</f>
        <v>0</v>
      </c>
      <c r="Y25" s="198">
        <f>SUMIFS('сентябрь 2023'!$G$4:$G$1053,'сентябрь 2023'!$D$4:$D$1053,$B25,'сентябрь 2023'!$J$4:$J$1053,Y$1)</f>
        <v>0</v>
      </c>
      <c r="Z25" s="198">
        <f>SUMIFS('сентябрь 2023'!$G$4:$G$1053,'сентябрь 2023'!$D$4:$D$1053,$B25,'сентябрь 2023'!$J$4:$J$1053,Z$1)</f>
        <v>0</v>
      </c>
      <c r="AA25" s="198">
        <f>SUMIFS('сентябрь 2023'!$G$4:$G$1053,'сентябрь 2023'!$D$4:$D$1053,$B25,'сентябрь 2023'!$J$4:$J$1053,AA$1)</f>
        <v>0</v>
      </c>
      <c r="AB25" s="198">
        <f>SUMIFS('сентябрь 2023'!$G$4:$G$1053,'сентябрь 2023'!$D$4:$D$1053,$B25,'сентябрь 2023'!$J$4:$J$1053,AB$1)</f>
        <v>0</v>
      </c>
      <c r="AC25" s="198">
        <f>SUMIFS('сентябрь 2023'!$G$4:$G$1053,'сентябрь 2023'!$D$4:$D$1053,$B25,'сентябрь 2023'!$J$4:$J$1053,AC$1)</f>
        <v>0</v>
      </c>
      <c r="AD25" s="198">
        <f>SUMIFS('сентябрь 2023'!$G$4:$G$1053,'сентябрь 2023'!$D$4:$D$1053,$B25,'сентябрь 2023'!$J$4:$J$1053,AD$1)</f>
        <v>0</v>
      </c>
      <c r="AE25" s="198">
        <f>SUMIFS('сентябрь 2023'!$G$4:$G$1053,'сентябрь 2023'!$D$4:$D$1053,$B25,'сентябрь 2023'!$J$4:$J$1053,AE$1)</f>
        <v>0</v>
      </c>
      <c r="AF25" s="198">
        <f>SUMIFS('сентябрь 2023'!$G$4:$G$1053,'сентябрь 2023'!$D$4:$D$1053,$B25,'сентябрь 2023'!$J$4:$J$1053,AF$1)</f>
        <v>0</v>
      </c>
      <c r="AG25" s="198">
        <f>SUMIFS('сентябрь 2023'!$G$4:$G$1053,'сентябрь 2023'!$D$4:$D$1053,$B25,'сентябрь 2023'!$J$4:$J$1053,AG$1)</f>
        <v>0</v>
      </c>
      <c r="AH25" s="198">
        <f>SUMIFS('сентябрь 2023'!$G$4:$G$1053,'сентябрь 2023'!$D$4:$D$1053,$B25,'сентябрь 2023'!$J$4:$J$1053,AH$1)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SUMIFS('сентябрь 2023'!$G$4:$G$1053,'сентябрь 2023'!$D$4:$D$1053,$B26,'сентябрь 2023'!$J$4:$J$1053,D$1)</f>
        <v>0</v>
      </c>
      <c r="E26" s="198">
        <f>SUMIFS('сентябрь 2023'!$G$4:$G$1053,'сентябрь 2023'!$D$4:$D$1053,$B26,'сентябрь 2023'!$J$4:$J$1053,E$1)</f>
        <v>0</v>
      </c>
      <c r="F26" s="198">
        <f>SUMIFS('сентябрь 2023'!$G$4:$G$1053,'сентябрь 2023'!$D$4:$D$1053,$B26,'сентябрь 2023'!$J$4:$J$1053,F$1)</f>
        <v>0</v>
      </c>
      <c r="G26" s="198">
        <f>SUMIFS('сентябрь 2023'!$G$4:$G$1053,'сентябрь 2023'!$D$4:$D$1053,$B26,'сентябрь 2023'!$J$4:$J$1053,G$1)</f>
        <v>0</v>
      </c>
      <c r="H26" s="198">
        <f>SUMIFS('сентябрь 2023'!$G$4:$G$1053,'сентябрь 2023'!$D$4:$D$1053,$B26,'сентябрь 2023'!$J$4:$J$1053,H$1)</f>
        <v>0</v>
      </c>
      <c r="I26" s="198">
        <f>SUMIFS('сентябрь 2023'!$G$4:$G$1053,'сентябрь 2023'!$D$4:$D$1053,$B26,'сентябрь 2023'!$J$4:$J$1053,I$1)</f>
        <v>0</v>
      </c>
      <c r="J26" s="198">
        <f>SUMIFS('сентябрь 2023'!$G$4:$G$1053,'сентябрь 2023'!$D$4:$D$1053,$B26,'сентябрь 2023'!$J$4:$J$1053,J$1)</f>
        <v>0</v>
      </c>
      <c r="K26" s="198">
        <f>SUMIFS('сентябрь 2023'!$G$4:$G$1053,'сентябрь 2023'!$D$4:$D$1053,$B26,'сентябрь 2023'!$J$4:$J$1053,K$1)</f>
        <v>0</v>
      </c>
      <c r="L26" s="198">
        <f>SUMIFS('сентябрь 2023'!$G$4:$G$1053,'сентябрь 2023'!$D$4:$D$1053,$B26,'сентябрь 2023'!$J$4:$J$1053,L$1)</f>
        <v>0</v>
      </c>
      <c r="M26" s="198">
        <f>SUMIFS('сентябрь 2023'!$G$4:$G$1053,'сентябрь 2023'!$D$4:$D$1053,$B26,'сентябрь 2023'!$J$4:$J$1053,M$1)</f>
        <v>0</v>
      </c>
      <c r="N26" s="198">
        <f>SUMIFS('сентябрь 2023'!$G$4:$G$1053,'сентябрь 2023'!$D$4:$D$1053,$B26,'сентябрь 2023'!$J$4:$J$1053,N$1)</f>
        <v>0</v>
      </c>
      <c r="O26" s="198">
        <f>SUMIFS('сентябрь 2023'!$G$4:$G$1053,'сентябрь 2023'!$D$4:$D$1053,$B26,'сентябрь 2023'!$J$4:$J$1053,O$1)</f>
        <v>0</v>
      </c>
      <c r="P26" s="198">
        <f>SUMIFS('сентябрь 2023'!$G$4:$G$1053,'сентябрь 2023'!$D$4:$D$1053,$B26,'сентябрь 2023'!$J$4:$J$1053,P$1)</f>
        <v>0</v>
      </c>
      <c r="Q26" s="198">
        <f>SUMIFS('сентябрь 2023'!$G$4:$G$1053,'сентябрь 2023'!$D$4:$D$1053,$B26,'сентябрь 2023'!$J$4:$J$1053,Q$1)</f>
        <v>0</v>
      </c>
      <c r="R26" s="198">
        <f>SUMIFS('сентябрь 2023'!$G$4:$G$1053,'сентябрь 2023'!$D$4:$D$1053,$B26,'сентябрь 2023'!$J$4:$J$1053,R$1)</f>
        <v>0</v>
      </c>
      <c r="S26" s="198">
        <f>SUMIFS('сентябрь 2023'!$G$4:$G$1053,'сентябрь 2023'!$D$4:$D$1053,$B26,'сентябрь 2023'!$J$4:$J$1053,S$1)</f>
        <v>0</v>
      </c>
      <c r="T26" s="198">
        <f>SUMIFS('сентябрь 2023'!$G$4:$G$1053,'сентябрь 2023'!$D$4:$D$1053,$B26,'сентябрь 2023'!$J$4:$J$1053,T$1)</f>
        <v>0</v>
      </c>
      <c r="U26" s="198">
        <f>SUMIFS('сентябрь 2023'!$G$4:$G$1053,'сентябрь 2023'!$D$4:$D$1053,$B26,'сентябрь 2023'!$J$4:$J$1053,U$1)</f>
        <v>0</v>
      </c>
      <c r="V26" s="198">
        <f>SUMIFS('сентябрь 2023'!$G$4:$G$1053,'сентябрь 2023'!$D$4:$D$1053,$B26,'сентябрь 2023'!$J$4:$J$1053,V$1)</f>
        <v>0</v>
      </c>
      <c r="W26" s="198">
        <f>SUMIFS('сентябрь 2023'!$G$4:$G$1053,'сентябрь 2023'!$D$4:$D$1053,$B26,'сентябрь 2023'!$J$4:$J$1053,W$1)</f>
        <v>0</v>
      </c>
      <c r="X26" s="198">
        <f>SUMIFS('сентябрь 2023'!$G$4:$G$1053,'сентябрь 2023'!$D$4:$D$1053,$B26,'сентябрь 2023'!$J$4:$J$1053,X$1)</f>
        <v>0</v>
      </c>
      <c r="Y26" s="198">
        <f>SUMIFS('сентябрь 2023'!$G$4:$G$1053,'сентябрь 2023'!$D$4:$D$1053,$B26,'сентябрь 2023'!$J$4:$J$1053,Y$1)</f>
        <v>0</v>
      </c>
      <c r="Z26" s="198">
        <f>SUMIFS('сентябрь 2023'!$G$4:$G$1053,'сентябрь 2023'!$D$4:$D$1053,$B26,'сентябрь 2023'!$J$4:$J$1053,Z$1)</f>
        <v>0</v>
      </c>
      <c r="AA26" s="198">
        <f>SUMIFS('сентябрь 2023'!$G$4:$G$1053,'сентябрь 2023'!$D$4:$D$1053,$B26,'сентябрь 2023'!$J$4:$J$1053,AA$1)</f>
        <v>0</v>
      </c>
      <c r="AB26" s="198">
        <f>SUMIFS('сентябрь 2023'!$G$4:$G$1053,'сентябрь 2023'!$D$4:$D$1053,$B26,'сентябрь 2023'!$J$4:$J$1053,AB$1)</f>
        <v>0</v>
      </c>
      <c r="AC26" s="198">
        <f>SUMIFS('сентябрь 2023'!$G$4:$G$1053,'сентябрь 2023'!$D$4:$D$1053,$B26,'сентябрь 2023'!$J$4:$J$1053,AC$1)</f>
        <v>0</v>
      </c>
      <c r="AD26" s="198">
        <f>SUMIFS('сентябрь 2023'!$G$4:$G$1053,'сентябрь 2023'!$D$4:$D$1053,$B26,'сентябрь 2023'!$J$4:$J$1053,AD$1)</f>
        <v>0</v>
      </c>
      <c r="AE26" s="198">
        <f>SUMIFS('сентябрь 2023'!$G$4:$G$1053,'сентябрь 2023'!$D$4:$D$1053,$B26,'сентябрь 2023'!$J$4:$J$1053,AE$1)</f>
        <v>0</v>
      </c>
      <c r="AF26" s="198">
        <f>SUMIFS('сентябрь 2023'!$G$4:$G$1053,'сентябрь 2023'!$D$4:$D$1053,$B26,'сентябрь 2023'!$J$4:$J$1053,AF$1)</f>
        <v>0</v>
      </c>
      <c r="AG26" s="198">
        <f>SUMIFS('сентябрь 2023'!$G$4:$G$1053,'сентябрь 2023'!$D$4:$D$1053,$B26,'сентябрь 2023'!$J$4:$J$1053,AG$1)</f>
        <v>0</v>
      </c>
      <c r="AH26" s="198">
        <f>SUMIFS('сентябрь 2023'!$G$4:$G$1053,'сентябрь 2023'!$D$4:$D$1053,$B26,'сентябрь 2023'!$J$4:$J$1053,AH$1)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SUMIFS('сентябрь 2023'!$G$4:$G$1053,'сентябрь 2023'!$D$4:$D$1053,$B27,'сентябрь 2023'!$J$4:$J$1053,D$1)</f>
        <v>0</v>
      </c>
      <c r="E27" s="198">
        <f>SUMIFS('сентябрь 2023'!$G$4:$G$1053,'сентябрь 2023'!$D$4:$D$1053,$B27,'сентябрь 2023'!$J$4:$J$1053,E$1)</f>
        <v>0</v>
      </c>
      <c r="F27" s="198">
        <f>SUMIFS('сентябрь 2023'!$G$4:$G$1053,'сентябрь 2023'!$D$4:$D$1053,$B27,'сентябрь 2023'!$J$4:$J$1053,F$1)</f>
        <v>0</v>
      </c>
      <c r="G27" s="198">
        <f>SUMIFS('сентябрь 2023'!$G$4:$G$1053,'сентябрь 2023'!$D$4:$D$1053,$B27,'сентябрь 2023'!$J$4:$J$1053,G$1)</f>
        <v>0</v>
      </c>
      <c r="H27" s="198">
        <f>SUMIFS('сентябрь 2023'!$G$4:$G$1053,'сентябрь 2023'!$D$4:$D$1053,$B27,'сентябрь 2023'!$J$4:$J$1053,H$1)</f>
        <v>0</v>
      </c>
      <c r="I27" s="198">
        <f>SUMIFS('сентябрь 2023'!$G$4:$G$1053,'сентябрь 2023'!$D$4:$D$1053,$B27,'сентябрь 2023'!$J$4:$J$1053,I$1)</f>
        <v>0</v>
      </c>
      <c r="J27" s="198">
        <f>SUMIFS('сентябрь 2023'!$G$4:$G$1053,'сентябрь 2023'!$D$4:$D$1053,$B27,'сентябрь 2023'!$J$4:$J$1053,J$1)</f>
        <v>0</v>
      </c>
      <c r="K27" s="198">
        <f>SUMIFS('сентябрь 2023'!$G$4:$G$1053,'сентябрь 2023'!$D$4:$D$1053,$B27,'сентябрь 2023'!$J$4:$J$1053,K$1)</f>
        <v>0</v>
      </c>
      <c r="L27" s="198">
        <f>SUMIFS('сентябрь 2023'!$G$4:$G$1053,'сентябрь 2023'!$D$4:$D$1053,$B27,'сентябрь 2023'!$J$4:$J$1053,L$1)</f>
        <v>0</v>
      </c>
      <c r="M27" s="198">
        <f>SUMIFS('сентябрь 2023'!$G$4:$G$1053,'сентябрь 2023'!$D$4:$D$1053,$B27,'сентябрь 2023'!$J$4:$J$1053,M$1)</f>
        <v>0</v>
      </c>
      <c r="N27" s="198">
        <f>SUMIFS('сентябрь 2023'!$G$4:$G$1053,'сентябрь 2023'!$D$4:$D$1053,$B27,'сентябрь 2023'!$J$4:$J$1053,N$1)</f>
        <v>0</v>
      </c>
      <c r="O27" s="198">
        <f>SUMIFS('сентябрь 2023'!$G$4:$G$1053,'сентябрь 2023'!$D$4:$D$1053,$B27,'сентябрь 2023'!$J$4:$J$1053,O$1)</f>
        <v>0</v>
      </c>
      <c r="P27" s="198">
        <f>SUMIFS('сентябрь 2023'!$G$4:$G$1053,'сентябрь 2023'!$D$4:$D$1053,$B27,'сентябрь 2023'!$J$4:$J$1053,P$1)</f>
        <v>0</v>
      </c>
      <c r="Q27" s="198">
        <f>SUMIFS('сентябрь 2023'!$G$4:$G$1053,'сентябрь 2023'!$D$4:$D$1053,$B27,'сентябрь 2023'!$J$4:$J$1053,Q$1)</f>
        <v>0</v>
      </c>
      <c r="R27" s="198">
        <f>SUMIFS('сентябрь 2023'!$G$4:$G$1053,'сентябрь 2023'!$D$4:$D$1053,$B27,'сентябрь 2023'!$J$4:$J$1053,R$1)</f>
        <v>0</v>
      </c>
      <c r="S27" s="198">
        <f>SUMIFS('сентябрь 2023'!$G$4:$G$1053,'сентябрь 2023'!$D$4:$D$1053,$B27,'сентябрь 2023'!$J$4:$J$1053,S$1)</f>
        <v>0</v>
      </c>
      <c r="T27" s="198">
        <f>SUMIFS('сентябрь 2023'!$G$4:$G$1053,'сентябрь 2023'!$D$4:$D$1053,$B27,'сентябрь 2023'!$J$4:$J$1053,T$1)</f>
        <v>0</v>
      </c>
      <c r="U27" s="198">
        <f>SUMIFS('сентябрь 2023'!$G$4:$G$1053,'сентябрь 2023'!$D$4:$D$1053,$B27,'сентябрь 2023'!$J$4:$J$1053,U$1)</f>
        <v>0</v>
      </c>
      <c r="V27" s="198">
        <f>SUMIFS('сентябрь 2023'!$G$4:$G$1053,'сентябрь 2023'!$D$4:$D$1053,$B27,'сентябрь 2023'!$J$4:$J$1053,V$1)</f>
        <v>0</v>
      </c>
      <c r="W27" s="198">
        <f>SUMIFS('сентябрь 2023'!$G$4:$G$1053,'сентябрь 2023'!$D$4:$D$1053,$B27,'сентябрь 2023'!$J$4:$J$1053,W$1)</f>
        <v>0</v>
      </c>
      <c r="X27" s="198">
        <f>SUMIFS('сентябрь 2023'!$G$4:$G$1053,'сентябрь 2023'!$D$4:$D$1053,$B27,'сентябрь 2023'!$J$4:$J$1053,X$1)</f>
        <v>0</v>
      </c>
      <c r="Y27" s="198">
        <f>SUMIFS('сентябрь 2023'!$G$4:$G$1053,'сентябрь 2023'!$D$4:$D$1053,$B27,'сентябрь 2023'!$J$4:$J$1053,Y$1)</f>
        <v>0</v>
      </c>
      <c r="Z27" s="198">
        <f>SUMIFS('сентябрь 2023'!$G$4:$G$1053,'сентябрь 2023'!$D$4:$D$1053,$B27,'сентябрь 2023'!$J$4:$J$1053,Z$1)</f>
        <v>0</v>
      </c>
      <c r="AA27" s="198">
        <f>SUMIFS('сентябрь 2023'!$G$4:$G$1053,'сентябрь 2023'!$D$4:$D$1053,$B27,'сентябрь 2023'!$J$4:$J$1053,AA$1)</f>
        <v>0</v>
      </c>
      <c r="AB27" s="198">
        <f>SUMIFS('сентябрь 2023'!$G$4:$G$1053,'сентябрь 2023'!$D$4:$D$1053,$B27,'сентябрь 2023'!$J$4:$J$1053,AB$1)</f>
        <v>0</v>
      </c>
      <c r="AC27" s="198">
        <f>SUMIFS('сентябрь 2023'!$G$4:$G$1053,'сентябрь 2023'!$D$4:$D$1053,$B27,'сентябрь 2023'!$J$4:$J$1053,AC$1)</f>
        <v>0</v>
      </c>
      <c r="AD27" s="198">
        <f>SUMIFS('сентябрь 2023'!$G$4:$G$1053,'сентябрь 2023'!$D$4:$D$1053,$B27,'сентябрь 2023'!$J$4:$J$1053,AD$1)</f>
        <v>0</v>
      </c>
      <c r="AE27" s="198">
        <f>SUMIFS('сентябрь 2023'!$G$4:$G$1053,'сентябрь 2023'!$D$4:$D$1053,$B27,'сентябрь 2023'!$J$4:$J$1053,AE$1)</f>
        <v>0</v>
      </c>
      <c r="AF27" s="198">
        <f>SUMIFS('сентябрь 2023'!$G$4:$G$1053,'сентябрь 2023'!$D$4:$D$1053,$B27,'сентябрь 2023'!$J$4:$J$1053,AF$1)</f>
        <v>0</v>
      </c>
      <c r="AG27" s="198">
        <f>SUMIFS('сентябрь 2023'!$G$4:$G$1053,'сентябрь 2023'!$D$4:$D$1053,$B27,'сентябрь 2023'!$J$4:$J$1053,AG$1)</f>
        <v>0</v>
      </c>
      <c r="AH27" s="198">
        <f>SUMIFS('сентябрь 2023'!$G$4:$G$1053,'сентябрь 2023'!$D$4:$D$1053,$B27,'сентябрь 2023'!$J$4:$J$1053,AH$1)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SUMIFS('сентябрь 2023'!$G$4:$G$1053,'сентябрь 2023'!$D$4:$D$1053,$B28,'сентябрь 2023'!$J$4:$J$1053,D$1)</f>
        <v>0</v>
      </c>
      <c r="E28" s="198">
        <f>SUMIFS('сентябрь 2023'!$G$4:$G$1053,'сентябрь 2023'!$D$4:$D$1053,$B28,'сентябрь 2023'!$J$4:$J$1053,E$1)</f>
        <v>0</v>
      </c>
      <c r="F28" s="198">
        <f>SUMIFS('сентябрь 2023'!$G$4:$G$1053,'сентябрь 2023'!$D$4:$D$1053,$B28,'сентябрь 2023'!$J$4:$J$1053,F$1)</f>
        <v>0</v>
      </c>
      <c r="G28" s="198">
        <f>SUMIFS('сентябрь 2023'!$G$4:$G$1053,'сентябрь 2023'!$D$4:$D$1053,$B28,'сентябрь 2023'!$J$4:$J$1053,G$1)</f>
        <v>0</v>
      </c>
      <c r="H28" s="198">
        <f>SUMIFS('сентябрь 2023'!$G$4:$G$1053,'сентябрь 2023'!$D$4:$D$1053,$B28,'сентябрь 2023'!$J$4:$J$1053,H$1)</f>
        <v>0</v>
      </c>
      <c r="I28" s="198">
        <f>SUMIFS('сентябрь 2023'!$G$4:$G$1053,'сентябрь 2023'!$D$4:$D$1053,$B28,'сентябрь 2023'!$J$4:$J$1053,I$1)</f>
        <v>0</v>
      </c>
      <c r="J28" s="198">
        <f>SUMIFS('сентябрь 2023'!$G$4:$G$1053,'сентябрь 2023'!$D$4:$D$1053,$B28,'сентябрь 2023'!$J$4:$J$1053,J$1)</f>
        <v>0</v>
      </c>
      <c r="K28" s="198">
        <f>SUMIFS('сентябрь 2023'!$G$4:$G$1053,'сентябрь 2023'!$D$4:$D$1053,$B28,'сентябрь 2023'!$J$4:$J$1053,K$1)</f>
        <v>0</v>
      </c>
      <c r="L28" s="198">
        <f>SUMIFS('сентябрь 2023'!$G$4:$G$1053,'сентябрь 2023'!$D$4:$D$1053,$B28,'сентябрь 2023'!$J$4:$J$1053,L$1)</f>
        <v>0</v>
      </c>
      <c r="M28" s="198">
        <f>SUMIFS('сентябрь 2023'!$G$4:$G$1053,'сентябрь 2023'!$D$4:$D$1053,$B28,'сентябрь 2023'!$J$4:$J$1053,M$1)</f>
        <v>0</v>
      </c>
      <c r="N28" s="198">
        <f>SUMIFS('сентябрь 2023'!$G$4:$G$1053,'сентябрь 2023'!$D$4:$D$1053,$B28,'сентябрь 2023'!$J$4:$J$1053,N$1)</f>
        <v>0</v>
      </c>
      <c r="O28" s="198">
        <f>SUMIFS('сентябрь 2023'!$G$4:$G$1053,'сентябрь 2023'!$D$4:$D$1053,$B28,'сентябрь 2023'!$J$4:$J$1053,O$1)</f>
        <v>0</v>
      </c>
      <c r="P28" s="198">
        <f>SUMIFS('сентябрь 2023'!$G$4:$G$1053,'сентябрь 2023'!$D$4:$D$1053,$B28,'сентябрь 2023'!$J$4:$J$1053,P$1)</f>
        <v>0</v>
      </c>
      <c r="Q28" s="198">
        <f>SUMIFS('сентябрь 2023'!$G$4:$G$1053,'сентябрь 2023'!$D$4:$D$1053,$B28,'сентябрь 2023'!$J$4:$J$1053,Q$1)</f>
        <v>0</v>
      </c>
      <c r="R28" s="198">
        <f>SUMIFS('сентябрь 2023'!$G$4:$G$1053,'сентябрь 2023'!$D$4:$D$1053,$B28,'сентябрь 2023'!$J$4:$J$1053,R$1)</f>
        <v>0</v>
      </c>
      <c r="S28" s="198">
        <f>SUMIFS('сентябрь 2023'!$G$4:$G$1053,'сентябрь 2023'!$D$4:$D$1053,$B28,'сентябрь 2023'!$J$4:$J$1053,S$1)</f>
        <v>0</v>
      </c>
      <c r="T28" s="198">
        <f>SUMIFS('сентябрь 2023'!$G$4:$G$1053,'сентябрь 2023'!$D$4:$D$1053,$B28,'сентябрь 2023'!$J$4:$J$1053,T$1)</f>
        <v>0</v>
      </c>
      <c r="U28" s="198">
        <f>SUMIFS('сентябрь 2023'!$G$4:$G$1053,'сентябрь 2023'!$D$4:$D$1053,$B28,'сентябрь 2023'!$J$4:$J$1053,U$1)</f>
        <v>0</v>
      </c>
      <c r="V28" s="198">
        <f>SUMIFS('сентябрь 2023'!$G$4:$G$1053,'сентябрь 2023'!$D$4:$D$1053,$B28,'сентябрь 2023'!$J$4:$J$1053,V$1)</f>
        <v>0</v>
      </c>
      <c r="W28" s="198">
        <f>SUMIFS('сентябрь 2023'!$G$4:$G$1053,'сентябрь 2023'!$D$4:$D$1053,$B28,'сентябрь 2023'!$J$4:$J$1053,W$1)</f>
        <v>0</v>
      </c>
      <c r="X28" s="198">
        <f>SUMIFS('сентябрь 2023'!$G$4:$G$1053,'сентябрь 2023'!$D$4:$D$1053,$B28,'сентябрь 2023'!$J$4:$J$1053,X$1)</f>
        <v>0</v>
      </c>
      <c r="Y28" s="198">
        <f>SUMIFS('сентябрь 2023'!$G$4:$G$1053,'сентябрь 2023'!$D$4:$D$1053,$B28,'сентябрь 2023'!$J$4:$J$1053,Y$1)</f>
        <v>0</v>
      </c>
      <c r="Z28" s="198">
        <f>SUMIFS('сентябрь 2023'!$G$4:$G$1053,'сентябрь 2023'!$D$4:$D$1053,$B28,'сентябрь 2023'!$J$4:$J$1053,Z$1)</f>
        <v>0</v>
      </c>
      <c r="AA28" s="198">
        <f>SUMIFS('сентябрь 2023'!$G$4:$G$1053,'сентябрь 2023'!$D$4:$D$1053,$B28,'сентябрь 2023'!$J$4:$J$1053,AA$1)</f>
        <v>0</v>
      </c>
      <c r="AB28" s="198">
        <f>SUMIFS('сентябрь 2023'!$G$4:$G$1053,'сентябрь 2023'!$D$4:$D$1053,$B28,'сентябрь 2023'!$J$4:$J$1053,AB$1)</f>
        <v>0</v>
      </c>
      <c r="AC28" s="198">
        <f>SUMIFS('сентябрь 2023'!$G$4:$G$1053,'сентябрь 2023'!$D$4:$D$1053,$B28,'сентябрь 2023'!$J$4:$J$1053,AC$1)</f>
        <v>0</v>
      </c>
      <c r="AD28" s="198">
        <f>SUMIFS('сентябрь 2023'!$G$4:$G$1053,'сентябрь 2023'!$D$4:$D$1053,$B28,'сентябрь 2023'!$J$4:$J$1053,AD$1)</f>
        <v>0</v>
      </c>
      <c r="AE28" s="198">
        <f>SUMIFS('сентябрь 2023'!$G$4:$G$1053,'сентябрь 2023'!$D$4:$D$1053,$B28,'сентябрь 2023'!$J$4:$J$1053,AE$1)</f>
        <v>0</v>
      </c>
      <c r="AF28" s="198">
        <f>SUMIFS('сентябрь 2023'!$G$4:$G$1053,'сентябрь 2023'!$D$4:$D$1053,$B28,'сентябрь 2023'!$J$4:$J$1053,AF$1)</f>
        <v>0</v>
      </c>
      <c r="AG28" s="198">
        <f>SUMIFS('сентябрь 2023'!$G$4:$G$1053,'сентябрь 2023'!$D$4:$D$1053,$B28,'сентябрь 2023'!$J$4:$J$1053,AG$1)</f>
        <v>0</v>
      </c>
      <c r="AH28" s="198">
        <f>SUMIFS('сентябрь 2023'!$G$4:$G$1053,'сентябрь 2023'!$D$4:$D$1053,$B28,'сентябрь 2023'!$J$4:$J$1053,AH$1)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SUMIFS('сентябрь 2023'!$G$4:$G$1053,'сентябрь 2023'!$D$4:$D$1053,$B29,'сентябрь 2023'!$J$4:$J$1053,D$1)</f>
        <v>0</v>
      </c>
      <c r="E29" s="198">
        <f>SUMIFS('сентябрь 2023'!$G$4:$G$1053,'сентябрь 2023'!$D$4:$D$1053,$B29,'сентябрь 2023'!$J$4:$J$1053,E$1)</f>
        <v>0</v>
      </c>
      <c r="F29" s="198">
        <f>SUMIFS('сентябрь 2023'!$G$4:$G$1053,'сентябрь 2023'!$D$4:$D$1053,$B29,'сентябрь 2023'!$J$4:$J$1053,F$1)</f>
        <v>0</v>
      </c>
      <c r="G29" s="198">
        <f>SUMIFS('сентябрь 2023'!$G$4:$G$1053,'сентябрь 2023'!$D$4:$D$1053,$B29,'сентябрь 2023'!$J$4:$J$1053,G$1)</f>
        <v>0</v>
      </c>
      <c r="H29" s="198">
        <f>SUMIFS('сентябрь 2023'!$G$4:$G$1053,'сентябрь 2023'!$D$4:$D$1053,$B29,'сентябрь 2023'!$J$4:$J$1053,H$1)</f>
        <v>0</v>
      </c>
      <c r="I29" s="198">
        <f>SUMIFS('сентябрь 2023'!$G$4:$G$1053,'сентябрь 2023'!$D$4:$D$1053,$B29,'сентябрь 2023'!$J$4:$J$1053,I$1)</f>
        <v>0</v>
      </c>
      <c r="J29" s="198">
        <f>SUMIFS('сентябрь 2023'!$G$4:$G$1053,'сентябрь 2023'!$D$4:$D$1053,$B29,'сентябрь 2023'!$J$4:$J$1053,J$1)</f>
        <v>0</v>
      </c>
      <c r="K29" s="198">
        <f>SUMIFS('сентябрь 2023'!$G$4:$G$1053,'сентябрь 2023'!$D$4:$D$1053,$B29,'сентябрь 2023'!$J$4:$J$1053,K$1)</f>
        <v>0</v>
      </c>
      <c r="L29" s="198">
        <f>SUMIFS('сентябрь 2023'!$G$4:$G$1053,'сентябрь 2023'!$D$4:$D$1053,$B29,'сентябрь 2023'!$J$4:$J$1053,L$1)</f>
        <v>0</v>
      </c>
      <c r="M29" s="198">
        <f>SUMIFS('сентябрь 2023'!$G$4:$G$1053,'сентябрь 2023'!$D$4:$D$1053,$B29,'сентябрь 2023'!$J$4:$J$1053,M$1)</f>
        <v>0</v>
      </c>
      <c r="N29" s="198">
        <f>SUMIFS('сентябрь 2023'!$G$4:$G$1053,'сентябрь 2023'!$D$4:$D$1053,$B29,'сентябрь 2023'!$J$4:$J$1053,N$1)</f>
        <v>0</v>
      </c>
      <c r="O29" s="198">
        <f>SUMIFS('сентябрь 2023'!$G$4:$G$1053,'сентябрь 2023'!$D$4:$D$1053,$B29,'сентябрь 2023'!$J$4:$J$1053,O$1)</f>
        <v>0</v>
      </c>
      <c r="P29" s="198">
        <f>SUMIFS('сентябрь 2023'!$G$4:$G$1053,'сентябрь 2023'!$D$4:$D$1053,$B29,'сентябрь 2023'!$J$4:$J$1053,P$1)</f>
        <v>0</v>
      </c>
      <c r="Q29" s="198">
        <f>SUMIFS('сентябрь 2023'!$G$4:$G$1053,'сентябрь 2023'!$D$4:$D$1053,$B29,'сентябрь 2023'!$J$4:$J$1053,Q$1)</f>
        <v>0</v>
      </c>
      <c r="R29" s="198">
        <f>SUMIFS('сентябрь 2023'!$G$4:$G$1053,'сентябрь 2023'!$D$4:$D$1053,$B29,'сентябрь 2023'!$J$4:$J$1053,R$1)</f>
        <v>0</v>
      </c>
      <c r="S29" s="198">
        <f>SUMIFS('сентябрь 2023'!$G$4:$G$1053,'сентябрь 2023'!$D$4:$D$1053,$B29,'сентябрь 2023'!$J$4:$J$1053,S$1)</f>
        <v>0</v>
      </c>
      <c r="T29" s="198">
        <f>SUMIFS('сентябрь 2023'!$G$4:$G$1053,'сентябрь 2023'!$D$4:$D$1053,$B29,'сентябрь 2023'!$J$4:$J$1053,T$1)</f>
        <v>0</v>
      </c>
      <c r="U29" s="198">
        <f>SUMIFS('сентябрь 2023'!$G$4:$G$1053,'сентябрь 2023'!$D$4:$D$1053,$B29,'сентябрь 2023'!$J$4:$J$1053,U$1)</f>
        <v>0</v>
      </c>
      <c r="V29" s="198">
        <f>SUMIFS('сентябрь 2023'!$G$4:$G$1053,'сентябрь 2023'!$D$4:$D$1053,$B29,'сентябрь 2023'!$J$4:$J$1053,V$1)</f>
        <v>0</v>
      </c>
      <c r="W29" s="198">
        <f>SUMIFS('сентябрь 2023'!$G$4:$G$1053,'сентябрь 2023'!$D$4:$D$1053,$B29,'сентябрь 2023'!$J$4:$J$1053,W$1)</f>
        <v>0</v>
      </c>
      <c r="X29" s="198">
        <f>SUMIFS('сентябрь 2023'!$G$4:$G$1053,'сентябрь 2023'!$D$4:$D$1053,$B29,'сентябрь 2023'!$J$4:$J$1053,X$1)</f>
        <v>0</v>
      </c>
      <c r="Y29" s="198">
        <f>SUMIFS('сентябрь 2023'!$G$4:$G$1053,'сентябрь 2023'!$D$4:$D$1053,$B29,'сентябрь 2023'!$J$4:$J$1053,Y$1)</f>
        <v>0</v>
      </c>
      <c r="Z29" s="198">
        <f>SUMIFS('сентябрь 2023'!$G$4:$G$1053,'сентябрь 2023'!$D$4:$D$1053,$B29,'сентябрь 2023'!$J$4:$J$1053,Z$1)</f>
        <v>0</v>
      </c>
      <c r="AA29" s="198">
        <f>SUMIFS('сентябрь 2023'!$G$4:$G$1053,'сентябрь 2023'!$D$4:$D$1053,$B29,'сентябрь 2023'!$J$4:$J$1053,AA$1)</f>
        <v>0</v>
      </c>
      <c r="AB29" s="198">
        <f>SUMIFS('сентябрь 2023'!$G$4:$G$1053,'сентябрь 2023'!$D$4:$D$1053,$B29,'сентябрь 2023'!$J$4:$J$1053,AB$1)</f>
        <v>0</v>
      </c>
      <c r="AC29" s="198">
        <f>SUMIFS('сентябрь 2023'!$G$4:$G$1053,'сентябрь 2023'!$D$4:$D$1053,$B29,'сентябрь 2023'!$J$4:$J$1053,AC$1)</f>
        <v>0</v>
      </c>
      <c r="AD29" s="198">
        <f>SUMIFS('сентябрь 2023'!$G$4:$G$1053,'сентябрь 2023'!$D$4:$D$1053,$B29,'сентябрь 2023'!$J$4:$J$1053,AD$1)</f>
        <v>0</v>
      </c>
      <c r="AE29" s="198">
        <f>SUMIFS('сентябрь 2023'!$G$4:$G$1053,'сентябрь 2023'!$D$4:$D$1053,$B29,'сентябрь 2023'!$J$4:$J$1053,AE$1)</f>
        <v>0</v>
      </c>
      <c r="AF29" s="198">
        <f>SUMIFS('сентябрь 2023'!$G$4:$G$1053,'сентябрь 2023'!$D$4:$D$1053,$B29,'сентябрь 2023'!$J$4:$J$1053,AF$1)</f>
        <v>0</v>
      </c>
      <c r="AG29" s="198">
        <f>SUMIFS('сентябрь 2023'!$G$4:$G$1053,'сентябрь 2023'!$D$4:$D$1053,$B29,'сентябрь 2023'!$J$4:$J$1053,AG$1)</f>
        <v>0</v>
      </c>
      <c r="AH29" s="198">
        <f>SUMIFS('сентябрь 2023'!$G$4:$G$1053,'сентябрь 2023'!$D$4:$D$1053,$B29,'сентябрь 2023'!$J$4:$J$1053,AH$1)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SUMIFS('сентябрь 2023'!$G$4:$G$1053,'сентябрь 2023'!$D$4:$D$1053,$B30,'сентябрь 2023'!$J$4:$J$1053,D$1)</f>
        <v>0</v>
      </c>
      <c r="E30" s="198">
        <f>SUMIFS('сентябрь 2023'!$G$4:$G$1053,'сентябрь 2023'!$D$4:$D$1053,$B30,'сентябрь 2023'!$J$4:$J$1053,E$1)</f>
        <v>0</v>
      </c>
      <c r="F30" s="198">
        <f>SUMIFS('сентябрь 2023'!$G$4:$G$1053,'сентябрь 2023'!$D$4:$D$1053,$B30,'сентябрь 2023'!$J$4:$J$1053,F$1)</f>
        <v>0</v>
      </c>
      <c r="G30" s="198">
        <f>SUMIFS('сентябрь 2023'!$G$4:$G$1053,'сентябрь 2023'!$D$4:$D$1053,$B30,'сентябрь 2023'!$J$4:$J$1053,G$1)</f>
        <v>0</v>
      </c>
      <c r="H30" s="198">
        <f>SUMIFS('сентябрь 2023'!$G$4:$G$1053,'сентябрь 2023'!$D$4:$D$1053,$B30,'сентябрь 2023'!$J$4:$J$1053,H$1)</f>
        <v>0</v>
      </c>
      <c r="I30" s="198">
        <f>SUMIFS('сентябрь 2023'!$G$4:$G$1053,'сентябрь 2023'!$D$4:$D$1053,$B30,'сентябрь 2023'!$J$4:$J$1053,I$1)</f>
        <v>0</v>
      </c>
      <c r="J30" s="198">
        <f>SUMIFS('сентябрь 2023'!$G$4:$G$1053,'сентябрь 2023'!$D$4:$D$1053,$B30,'сентябрь 2023'!$J$4:$J$1053,J$1)</f>
        <v>0</v>
      </c>
      <c r="K30" s="198">
        <f>SUMIFS('сентябрь 2023'!$G$4:$G$1053,'сентябрь 2023'!$D$4:$D$1053,$B30,'сентябрь 2023'!$J$4:$J$1053,K$1)</f>
        <v>0</v>
      </c>
      <c r="L30" s="198">
        <f>SUMIFS('сентябрь 2023'!$G$4:$G$1053,'сентябрь 2023'!$D$4:$D$1053,$B30,'сентябрь 2023'!$J$4:$J$1053,L$1)</f>
        <v>0</v>
      </c>
      <c r="M30" s="198">
        <f>SUMIFS('сентябрь 2023'!$G$4:$G$1053,'сентябрь 2023'!$D$4:$D$1053,$B30,'сентябрь 2023'!$J$4:$J$1053,M$1)</f>
        <v>0</v>
      </c>
      <c r="N30" s="198">
        <f>SUMIFS('сентябрь 2023'!$G$4:$G$1053,'сентябрь 2023'!$D$4:$D$1053,$B30,'сентябрь 2023'!$J$4:$J$1053,N$1)</f>
        <v>0</v>
      </c>
      <c r="O30" s="198">
        <f>SUMIFS('сентябрь 2023'!$G$4:$G$1053,'сентябрь 2023'!$D$4:$D$1053,$B30,'сентябрь 2023'!$J$4:$J$1053,O$1)</f>
        <v>0</v>
      </c>
      <c r="P30" s="198">
        <f>SUMIFS('сентябрь 2023'!$G$4:$G$1053,'сентябрь 2023'!$D$4:$D$1053,$B30,'сентябрь 2023'!$J$4:$J$1053,P$1)</f>
        <v>0</v>
      </c>
      <c r="Q30" s="198">
        <f>SUMIFS('сентябрь 2023'!$G$4:$G$1053,'сентябрь 2023'!$D$4:$D$1053,$B30,'сентябрь 2023'!$J$4:$J$1053,Q$1)</f>
        <v>0</v>
      </c>
      <c r="R30" s="198">
        <f>SUMIFS('сентябрь 2023'!$G$4:$G$1053,'сентябрь 2023'!$D$4:$D$1053,$B30,'сентябрь 2023'!$J$4:$J$1053,R$1)</f>
        <v>0</v>
      </c>
      <c r="S30" s="198">
        <f>SUMIFS('сентябрь 2023'!$G$4:$G$1053,'сентябрь 2023'!$D$4:$D$1053,$B30,'сентябрь 2023'!$J$4:$J$1053,S$1)</f>
        <v>0</v>
      </c>
      <c r="T30" s="198">
        <f>SUMIFS('сентябрь 2023'!$G$4:$G$1053,'сентябрь 2023'!$D$4:$D$1053,$B30,'сентябрь 2023'!$J$4:$J$1053,T$1)</f>
        <v>0</v>
      </c>
      <c r="U30" s="198">
        <f>SUMIFS('сентябрь 2023'!$G$4:$G$1053,'сентябрь 2023'!$D$4:$D$1053,$B30,'сентябрь 2023'!$J$4:$J$1053,U$1)</f>
        <v>0</v>
      </c>
      <c r="V30" s="198">
        <f>SUMIFS('сентябрь 2023'!$G$4:$G$1053,'сентябрь 2023'!$D$4:$D$1053,$B30,'сентябрь 2023'!$J$4:$J$1053,V$1)</f>
        <v>0</v>
      </c>
      <c r="W30" s="198">
        <f>SUMIFS('сентябрь 2023'!$G$4:$G$1053,'сентябрь 2023'!$D$4:$D$1053,$B30,'сентябрь 2023'!$J$4:$J$1053,W$1)</f>
        <v>0</v>
      </c>
      <c r="X30" s="198">
        <f>SUMIFS('сентябрь 2023'!$G$4:$G$1053,'сентябрь 2023'!$D$4:$D$1053,$B30,'сентябрь 2023'!$J$4:$J$1053,X$1)</f>
        <v>0</v>
      </c>
      <c r="Y30" s="198">
        <f>SUMIFS('сентябрь 2023'!$G$4:$G$1053,'сентябрь 2023'!$D$4:$D$1053,$B30,'сентябрь 2023'!$J$4:$J$1053,Y$1)</f>
        <v>0</v>
      </c>
      <c r="Z30" s="198">
        <f>SUMIFS('сентябрь 2023'!$G$4:$G$1053,'сентябрь 2023'!$D$4:$D$1053,$B30,'сентябрь 2023'!$J$4:$J$1053,Z$1)</f>
        <v>0</v>
      </c>
      <c r="AA30" s="198">
        <f>SUMIFS('сентябрь 2023'!$G$4:$G$1053,'сентябрь 2023'!$D$4:$D$1053,$B30,'сентябрь 2023'!$J$4:$J$1053,AA$1)</f>
        <v>0</v>
      </c>
      <c r="AB30" s="198">
        <f>SUMIFS('сентябрь 2023'!$G$4:$G$1053,'сентябрь 2023'!$D$4:$D$1053,$B30,'сентябрь 2023'!$J$4:$J$1053,AB$1)</f>
        <v>0</v>
      </c>
      <c r="AC30" s="198">
        <f>SUMIFS('сентябрь 2023'!$G$4:$G$1053,'сентябрь 2023'!$D$4:$D$1053,$B30,'сентябрь 2023'!$J$4:$J$1053,AC$1)</f>
        <v>0</v>
      </c>
      <c r="AD30" s="198">
        <f>SUMIFS('сентябрь 2023'!$G$4:$G$1053,'сентябрь 2023'!$D$4:$D$1053,$B30,'сентябрь 2023'!$J$4:$J$1053,AD$1)</f>
        <v>0</v>
      </c>
      <c r="AE30" s="198">
        <f>SUMIFS('сентябрь 2023'!$G$4:$G$1053,'сентябрь 2023'!$D$4:$D$1053,$B30,'сентябрь 2023'!$J$4:$J$1053,AE$1)</f>
        <v>0</v>
      </c>
      <c r="AF30" s="198">
        <f>SUMIFS('сентябрь 2023'!$G$4:$G$1053,'сентябрь 2023'!$D$4:$D$1053,$B30,'сентябрь 2023'!$J$4:$J$1053,AF$1)</f>
        <v>0</v>
      </c>
      <c r="AG30" s="198">
        <f>SUMIFS('сентябрь 2023'!$G$4:$G$1053,'сентябрь 2023'!$D$4:$D$1053,$B30,'сентябрь 2023'!$J$4:$J$1053,AG$1)</f>
        <v>0</v>
      </c>
      <c r="AH30" s="198">
        <f>SUMIFS('сентябрь 2023'!$G$4:$G$1053,'сентябрь 2023'!$D$4:$D$1053,$B30,'сентябрь 2023'!$J$4:$J$1053,AH$1)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SUMIFS('сентябрь 2023'!$G$4:$G$1053,'сентябрь 2023'!$D$4:$D$1053,$B31,'сентябрь 2023'!$J$4:$J$1053,D$1)</f>
        <v>0</v>
      </c>
      <c r="E31" s="207">
        <f>SUMIFS('сентябрь 2023'!$G$4:$G$1053,'сентябрь 2023'!$D$4:$D$1053,$B31,'сентябрь 2023'!$J$4:$J$1053,E$1)</f>
        <v>0</v>
      </c>
      <c r="F31" s="207">
        <f>SUMIFS('сентябрь 2023'!$G$4:$G$1053,'сентябрь 2023'!$D$4:$D$1053,$B31,'сентябрь 2023'!$J$4:$J$1053,F$1)</f>
        <v>0</v>
      </c>
      <c r="G31" s="207">
        <f>SUMIFS('сентябрь 2023'!$G$4:$G$1053,'сентябрь 2023'!$D$4:$D$1053,$B31,'сентябрь 2023'!$J$4:$J$1053,G$1)</f>
        <v>0</v>
      </c>
      <c r="H31" s="207">
        <f>SUMIFS('сентябрь 2023'!$G$4:$G$1053,'сентябрь 2023'!$D$4:$D$1053,$B31,'сентябрь 2023'!$J$4:$J$1053,H$1)</f>
        <v>0</v>
      </c>
      <c r="I31" s="207">
        <f>SUMIFS('сентябрь 2023'!$G$4:$G$1053,'сентябрь 2023'!$D$4:$D$1053,$B31,'сентябрь 2023'!$J$4:$J$1053,I$1)</f>
        <v>0</v>
      </c>
      <c r="J31" s="207">
        <f>SUMIFS('сентябрь 2023'!$G$4:$G$1053,'сентябрь 2023'!$D$4:$D$1053,$B31,'сентябрь 2023'!$J$4:$J$1053,J$1)</f>
        <v>0</v>
      </c>
      <c r="K31" s="207">
        <f>SUMIFS('сентябрь 2023'!$G$4:$G$1053,'сентябрь 2023'!$D$4:$D$1053,$B31,'сентябрь 2023'!$J$4:$J$1053,K$1)</f>
        <v>0</v>
      </c>
      <c r="L31" s="207">
        <f>SUMIFS('сентябрь 2023'!$G$4:$G$1053,'сентябрь 2023'!$D$4:$D$1053,$B31,'сентябрь 2023'!$J$4:$J$1053,L$1)</f>
        <v>0</v>
      </c>
      <c r="M31" s="207">
        <f>SUMIFS('сентябрь 2023'!$G$4:$G$1053,'сентябрь 2023'!$D$4:$D$1053,$B31,'сентябрь 2023'!$J$4:$J$1053,M$1)</f>
        <v>0</v>
      </c>
      <c r="N31" s="207">
        <f>SUMIFS('сентябрь 2023'!$G$4:$G$1053,'сентябрь 2023'!$D$4:$D$1053,$B31,'сентябрь 2023'!$J$4:$J$1053,N$1)</f>
        <v>0</v>
      </c>
      <c r="O31" s="207">
        <f>SUMIFS('сентябрь 2023'!$G$4:$G$1053,'сентябрь 2023'!$D$4:$D$1053,$B31,'сентябрь 2023'!$J$4:$J$1053,O$1)</f>
        <v>0</v>
      </c>
      <c r="P31" s="207">
        <f>SUMIFS('сентябрь 2023'!$G$4:$G$1053,'сентябрь 2023'!$D$4:$D$1053,$B31,'сентябрь 2023'!$J$4:$J$1053,P$1)</f>
        <v>0</v>
      </c>
      <c r="Q31" s="207">
        <f>SUMIFS('сентябрь 2023'!$G$4:$G$1053,'сентябрь 2023'!$D$4:$D$1053,$B31,'сентябрь 2023'!$J$4:$J$1053,Q$1)</f>
        <v>0</v>
      </c>
      <c r="R31" s="207">
        <f>SUMIFS('сентябрь 2023'!$G$4:$G$1053,'сентябрь 2023'!$D$4:$D$1053,$B31,'сентябрь 2023'!$J$4:$J$1053,R$1)</f>
        <v>0</v>
      </c>
      <c r="S31" s="207">
        <f>SUMIFS('сентябрь 2023'!$G$4:$G$1053,'сентябрь 2023'!$D$4:$D$1053,$B31,'сентябрь 2023'!$J$4:$J$1053,S$1)</f>
        <v>0</v>
      </c>
      <c r="T31" s="207">
        <f>SUMIFS('сентябрь 2023'!$G$4:$G$1053,'сентябрь 2023'!$D$4:$D$1053,$B31,'сентябрь 2023'!$J$4:$J$1053,T$1)</f>
        <v>0</v>
      </c>
      <c r="U31" s="207">
        <f>SUMIFS('сентябрь 2023'!$G$4:$G$1053,'сентябрь 2023'!$D$4:$D$1053,$B31,'сентябрь 2023'!$J$4:$J$1053,U$1)</f>
        <v>0</v>
      </c>
      <c r="V31" s="207">
        <f>SUMIFS('сентябрь 2023'!$G$4:$G$1053,'сентябрь 2023'!$D$4:$D$1053,$B31,'сентябрь 2023'!$J$4:$J$1053,V$1)</f>
        <v>0</v>
      </c>
      <c r="W31" s="207">
        <f>SUMIFS('сентябрь 2023'!$G$4:$G$1053,'сентябрь 2023'!$D$4:$D$1053,$B31,'сентябрь 2023'!$J$4:$J$1053,W$1)</f>
        <v>0</v>
      </c>
      <c r="X31" s="207">
        <f>SUMIFS('сентябрь 2023'!$G$4:$G$1053,'сентябрь 2023'!$D$4:$D$1053,$B31,'сентябрь 2023'!$J$4:$J$1053,X$1)</f>
        <v>0</v>
      </c>
      <c r="Y31" s="207">
        <f>SUMIFS('сентябрь 2023'!$G$4:$G$1053,'сентябрь 2023'!$D$4:$D$1053,$B31,'сентябрь 2023'!$J$4:$J$1053,Y$1)</f>
        <v>0</v>
      </c>
      <c r="Z31" s="207">
        <f>SUMIFS('сентябрь 2023'!$G$4:$G$1053,'сентябрь 2023'!$D$4:$D$1053,$B31,'сентябрь 2023'!$J$4:$J$1053,Z$1)</f>
        <v>0</v>
      </c>
      <c r="AA31" s="207">
        <f>SUMIFS('сентябрь 2023'!$G$4:$G$1053,'сентябрь 2023'!$D$4:$D$1053,$B31,'сентябрь 2023'!$J$4:$J$1053,AA$1)</f>
        <v>0</v>
      </c>
      <c r="AB31" s="207">
        <f>SUMIFS('сентябрь 2023'!$G$4:$G$1053,'сентябрь 2023'!$D$4:$D$1053,$B31,'сентябрь 2023'!$J$4:$J$1053,AB$1)</f>
        <v>0</v>
      </c>
      <c r="AC31" s="207">
        <f>SUMIFS('сентябрь 2023'!$G$4:$G$1053,'сентябрь 2023'!$D$4:$D$1053,$B31,'сентябрь 2023'!$J$4:$J$1053,AC$1)</f>
        <v>0</v>
      </c>
      <c r="AD31" s="207">
        <f>SUMIFS('сентябрь 2023'!$G$4:$G$1053,'сентябрь 2023'!$D$4:$D$1053,$B31,'сентябрь 2023'!$J$4:$J$1053,AD$1)</f>
        <v>0</v>
      </c>
      <c r="AE31" s="207">
        <f>SUMIFS('сентябрь 2023'!$G$4:$G$1053,'сентябрь 2023'!$D$4:$D$1053,$B31,'сентябрь 2023'!$J$4:$J$1053,AE$1)</f>
        <v>0</v>
      </c>
      <c r="AF31" s="207">
        <f>SUMIFS('сентябрь 2023'!$G$4:$G$1053,'сентябрь 2023'!$D$4:$D$1053,$B31,'сентябрь 2023'!$J$4:$J$1053,AF$1)</f>
        <v>0</v>
      </c>
      <c r="AG31" s="207">
        <f>SUMIFS('сентябрь 2023'!$G$4:$G$1053,'сентябрь 2023'!$D$4:$D$1053,$B31,'сентябрь 2023'!$J$4:$J$1053,AG$1)</f>
        <v>0</v>
      </c>
      <c r="AH31" s="207">
        <f>SUMIFS('сентябрь 2023'!$G$4:$G$1053,'сентябрь 2023'!$D$4:$D$1053,$B31,'сентябрь 2023'!$J$4:$J$1053,AH$1)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SUMIFS('сентябрь 2023'!$G$4:$G$1053,'сентябрь 2023'!$D$4:$D$1053,$B32,'сентябрь 2023'!$J$4:$J$1053,D$1)</f>
        <v>0</v>
      </c>
      <c r="E32" s="207">
        <f>SUMIFS('сентябрь 2023'!$G$4:$G$1053,'сентябрь 2023'!$D$4:$D$1053,$B32,'сентябрь 2023'!$J$4:$J$1053,E$1)</f>
        <v>0</v>
      </c>
      <c r="F32" s="207">
        <f>SUMIFS('сентябрь 2023'!$G$4:$G$1053,'сентябрь 2023'!$D$4:$D$1053,$B32,'сентябрь 2023'!$J$4:$J$1053,F$1)</f>
        <v>0</v>
      </c>
      <c r="G32" s="207">
        <f>SUMIFS('сентябрь 2023'!$G$4:$G$1053,'сентябрь 2023'!$D$4:$D$1053,$B32,'сентябрь 2023'!$J$4:$J$1053,G$1)</f>
        <v>0</v>
      </c>
      <c r="H32" s="207">
        <f>SUMIFS('сентябрь 2023'!$G$4:$G$1053,'сентябрь 2023'!$D$4:$D$1053,$B32,'сентябрь 2023'!$J$4:$J$1053,H$1)</f>
        <v>0</v>
      </c>
      <c r="I32" s="207">
        <f>SUMIFS('сентябрь 2023'!$G$4:$G$1053,'сентябрь 2023'!$D$4:$D$1053,$B32,'сентябрь 2023'!$J$4:$J$1053,I$1)</f>
        <v>0</v>
      </c>
      <c r="J32" s="207">
        <f>SUMIFS('сентябрь 2023'!$G$4:$G$1053,'сентябрь 2023'!$D$4:$D$1053,$B32,'сентябрь 2023'!$J$4:$J$1053,J$1)</f>
        <v>0</v>
      </c>
      <c r="K32" s="207">
        <f>SUMIFS('сентябрь 2023'!$G$4:$G$1053,'сентябрь 2023'!$D$4:$D$1053,$B32,'сентябрь 2023'!$J$4:$J$1053,K$1)</f>
        <v>0</v>
      </c>
      <c r="L32" s="207">
        <f>SUMIFS('сентябрь 2023'!$G$4:$G$1053,'сентябрь 2023'!$D$4:$D$1053,$B32,'сентябрь 2023'!$J$4:$J$1053,L$1)</f>
        <v>0</v>
      </c>
      <c r="M32" s="207">
        <f>SUMIFS('сентябрь 2023'!$G$4:$G$1053,'сентябрь 2023'!$D$4:$D$1053,$B32,'сентябрь 2023'!$J$4:$J$1053,M$1)</f>
        <v>0</v>
      </c>
      <c r="N32" s="207">
        <f>SUMIFS('сентябрь 2023'!$G$4:$G$1053,'сентябрь 2023'!$D$4:$D$1053,$B32,'сентябрь 2023'!$J$4:$J$1053,N$1)</f>
        <v>0</v>
      </c>
      <c r="O32" s="207">
        <f>SUMIFS('сентябрь 2023'!$G$4:$G$1053,'сентябрь 2023'!$D$4:$D$1053,$B32,'сентябрь 2023'!$J$4:$J$1053,O$1)</f>
        <v>0</v>
      </c>
      <c r="P32" s="207">
        <f>SUMIFS('сентябрь 2023'!$G$4:$G$1053,'сентябрь 2023'!$D$4:$D$1053,$B32,'сентябрь 2023'!$J$4:$J$1053,P$1)</f>
        <v>0</v>
      </c>
      <c r="Q32" s="207">
        <f>SUMIFS('сентябрь 2023'!$G$4:$G$1053,'сентябрь 2023'!$D$4:$D$1053,$B32,'сентябрь 2023'!$J$4:$J$1053,Q$1)</f>
        <v>0</v>
      </c>
      <c r="R32" s="207">
        <f>SUMIFS('сентябрь 2023'!$G$4:$G$1053,'сентябрь 2023'!$D$4:$D$1053,$B32,'сентябрь 2023'!$J$4:$J$1053,R$1)</f>
        <v>0</v>
      </c>
      <c r="S32" s="207">
        <f>SUMIFS('сентябрь 2023'!$G$4:$G$1053,'сентябрь 2023'!$D$4:$D$1053,$B32,'сентябрь 2023'!$J$4:$J$1053,S$1)</f>
        <v>0</v>
      </c>
      <c r="T32" s="207">
        <f>SUMIFS('сентябрь 2023'!$G$4:$G$1053,'сентябрь 2023'!$D$4:$D$1053,$B32,'сентябрь 2023'!$J$4:$J$1053,T$1)</f>
        <v>0</v>
      </c>
      <c r="U32" s="207">
        <f>SUMIFS('сентябрь 2023'!$G$4:$G$1053,'сентябрь 2023'!$D$4:$D$1053,$B32,'сентябрь 2023'!$J$4:$J$1053,U$1)</f>
        <v>0</v>
      </c>
      <c r="V32" s="207">
        <f>SUMIFS('сентябрь 2023'!$G$4:$G$1053,'сентябрь 2023'!$D$4:$D$1053,$B32,'сентябрь 2023'!$J$4:$J$1053,V$1)</f>
        <v>0</v>
      </c>
      <c r="W32" s="207">
        <f>SUMIFS('сентябрь 2023'!$G$4:$G$1053,'сентябрь 2023'!$D$4:$D$1053,$B32,'сентябрь 2023'!$J$4:$J$1053,W$1)</f>
        <v>0</v>
      </c>
      <c r="X32" s="207">
        <f>SUMIFS('сентябрь 2023'!$G$4:$G$1053,'сентябрь 2023'!$D$4:$D$1053,$B32,'сентябрь 2023'!$J$4:$J$1053,X$1)</f>
        <v>0</v>
      </c>
      <c r="Y32" s="207">
        <f>SUMIFS('сентябрь 2023'!$G$4:$G$1053,'сентябрь 2023'!$D$4:$D$1053,$B32,'сентябрь 2023'!$J$4:$J$1053,Y$1)</f>
        <v>0</v>
      </c>
      <c r="Z32" s="207">
        <f>SUMIFS('сентябрь 2023'!$G$4:$G$1053,'сентябрь 2023'!$D$4:$D$1053,$B32,'сентябрь 2023'!$J$4:$J$1053,Z$1)</f>
        <v>0</v>
      </c>
      <c r="AA32" s="207">
        <f>SUMIFS('сентябрь 2023'!$G$4:$G$1053,'сентябрь 2023'!$D$4:$D$1053,$B32,'сентябрь 2023'!$J$4:$J$1053,AA$1)</f>
        <v>0</v>
      </c>
      <c r="AB32" s="207">
        <f>SUMIFS('сентябрь 2023'!$G$4:$G$1053,'сентябрь 2023'!$D$4:$D$1053,$B32,'сентябрь 2023'!$J$4:$J$1053,AB$1)</f>
        <v>0</v>
      </c>
      <c r="AC32" s="207">
        <f>SUMIFS('сентябрь 2023'!$G$4:$G$1053,'сентябрь 2023'!$D$4:$D$1053,$B32,'сентябрь 2023'!$J$4:$J$1053,AC$1)</f>
        <v>0</v>
      </c>
      <c r="AD32" s="207">
        <f>SUMIFS('сентябрь 2023'!$G$4:$G$1053,'сентябрь 2023'!$D$4:$D$1053,$B32,'сентябрь 2023'!$J$4:$J$1053,AD$1)</f>
        <v>0</v>
      </c>
      <c r="AE32" s="207">
        <f>SUMIFS('сентябрь 2023'!$G$4:$G$1053,'сентябрь 2023'!$D$4:$D$1053,$B32,'сентябрь 2023'!$J$4:$J$1053,AE$1)</f>
        <v>0</v>
      </c>
      <c r="AF32" s="207">
        <f>SUMIFS('сентябрь 2023'!$G$4:$G$1053,'сентябрь 2023'!$D$4:$D$1053,$B32,'сентябрь 2023'!$J$4:$J$1053,AF$1)</f>
        <v>0</v>
      </c>
      <c r="AG32" s="207">
        <f>SUMIFS('сентябрь 2023'!$G$4:$G$1053,'сентябрь 2023'!$D$4:$D$1053,$B32,'сентябрь 2023'!$J$4:$J$1053,AG$1)</f>
        <v>0</v>
      </c>
      <c r="AH32" s="207">
        <f>SUMIFS('сентябрь 2023'!$G$4:$G$1053,'сентябрь 2023'!$D$4:$D$1053,$B32,'сентябрь 2023'!$J$4:$J$1053,AH$1)</f>
        <v>0</v>
      </c>
      <c r="AI32" s="170">
        <f t="shared" si="1"/>
        <v>0</v>
      </c>
    </row>
    <row r="33" spans="2:35" ht="15" customHeight="1" x14ac:dyDescent="0.25">
      <c r="B33" s="209" t="s">
        <v>1344</v>
      </c>
      <c r="C33" s="206">
        <v>20</v>
      </c>
      <c r="D33" s="207">
        <f>SUMIFS('сентябрь 2023'!$G$4:$G$1053,'сентябрь 2023'!$D$4:$D$1053,$B33,'сентябрь 2023'!$J$4:$J$1053,D$1)</f>
        <v>0</v>
      </c>
      <c r="E33" s="207">
        <f>SUMIFS('сентябрь 2023'!$G$4:$G$1053,'сентябрь 2023'!$D$4:$D$1053,$B33,'сентябрь 2023'!$J$4:$J$1053,E$1)</f>
        <v>0</v>
      </c>
      <c r="F33" s="207">
        <f>SUMIFS('сентябрь 2023'!$G$4:$G$1053,'сентябрь 2023'!$D$4:$D$1053,$B33,'сентябрь 2023'!$J$4:$J$1053,F$1)</f>
        <v>0</v>
      </c>
      <c r="G33" s="207">
        <f>SUMIFS('сентябрь 2023'!$G$4:$G$1053,'сентябрь 2023'!$D$4:$D$1053,$B33,'сентябрь 2023'!$J$4:$J$1053,G$1)</f>
        <v>0</v>
      </c>
      <c r="H33" s="207">
        <f>SUMIFS('сентябрь 2023'!$G$4:$G$1053,'сентябрь 2023'!$D$4:$D$1053,$B33,'сентябрь 2023'!$J$4:$J$1053,H$1)</f>
        <v>0</v>
      </c>
      <c r="I33" s="207">
        <f>SUMIFS('сентябрь 2023'!$G$4:$G$1053,'сентябрь 2023'!$D$4:$D$1053,$B33,'сентябрь 2023'!$J$4:$J$1053,I$1)</f>
        <v>0</v>
      </c>
      <c r="J33" s="207">
        <f>SUMIFS('сентябрь 2023'!$G$4:$G$1053,'сентябрь 2023'!$D$4:$D$1053,$B33,'сентябрь 2023'!$J$4:$J$1053,J$1)</f>
        <v>0</v>
      </c>
      <c r="K33" s="207">
        <f>SUMIFS('сентябрь 2023'!$G$4:$G$1053,'сентябрь 2023'!$D$4:$D$1053,$B33,'сентябрь 2023'!$J$4:$J$1053,K$1)</f>
        <v>0</v>
      </c>
      <c r="L33" s="207">
        <f>SUMIFS('сентябрь 2023'!$G$4:$G$1053,'сентябрь 2023'!$D$4:$D$1053,$B33,'сентябрь 2023'!$J$4:$J$1053,L$1)</f>
        <v>0</v>
      </c>
      <c r="M33" s="207">
        <f>SUMIFS('сентябрь 2023'!$G$4:$G$1053,'сентябрь 2023'!$D$4:$D$1053,$B33,'сентябрь 2023'!$J$4:$J$1053,M$1)</f>
        <v>0</v>
      </c>
      <c r="N33" s="207">
        <f>SUMIFS('сентябрь 2023'!$G$4:$G$1053,'сентябрь 2023'!$D$4:$D$1053,$B33,'сентябрь 2023'!$J$4:$J$1053,N$1)</f>
        <v>0</v>
      </c>
      <c r="O33" s="207">
        <f>SUMIFS('сентябрь 2023'!$G$4:$G$1053,'сентябрь 2023'!$D$4:$D$1053,$B33,'сентябрь 2023'!$J$4:$J$1053,O$1)</f>
        <v>0</v>
      </c>
      <c r="P33" s="207">
        <f>SUMIFS('сентябрь 2023'!$G$4:$G$1053,'сентябрь 2023'!$D$4:$D$1053,$B33,'сентябрь 2023'!$J$4:$J$1053,P$1)</f>
        <v>0</v>
      </c>
      <c r="Q33" s="207">
        <f>SUMIFS('сентябрь 2023'!$G$4:$G$1053,'сентябрь 2023'!$D$4:$D$1053,$B33,'сентябрь 2023'!$J$4:$J$1053,Q$1)</f>
        <v>0</v>
      </c>
      <c r="R33" s="207">
        <f>SUMIFS('сентябрь 2023'!$G$4:$G$1053,'сентябрь 2023'!$D$4:$D$1053,$B33,'сентябрь 2023'!$J$4:$J$1053,R$1)</f>
        <v>0</v>
      </c>
      <c r="S33" s="207">
        <f>SUMIFS('сентябрь 2023'!$G$4:$G$1053,'сентябрь 2023'!$D$4:$D$1053,$B33,'сентябрь 2023'!$J$4:$J$1053,S$1)</f>
        <v>0</v>
      </c>
      <c r="T33" s="207">
        <f>SUMIFS('сентябрь 2023'!$G$4:$G$1053,'сентябрь 2023'!$D$4:$D$1053,$B33,'сентябрь 2023'!$J$4:$J$1053,T$1)</f>
        <v>0</v>
      </c>
      <c r="U33" s="207">
        <f>SUMIFS('сентябрь 2023'!$G$4:$G$1053,'сентябрь 2023'!$D$4:$D$1053,$B33,'сентябрь 2023'!$J$4:$J$1053,U$1)</f>
        <v>0</v>
      </c>
      <c r="V33" s="207">
        <f>SUMIFS('сентябрь 2023'!$G$4:$G$1053,'сентябрь 2023'!$D$4:$D$1053,$B33,'сентябрь 2023'!$J$4:$J$1053,V$1)</f>
        <v>0</v>
      </c>
      <c r="W33" s="207">
        <f>SUMIFS('сентябрь 2023'!$G$4:$G$1053,'сентябрь 2023'!$D$4:$D$1053,$B33,'сентябрь 2023'!$J$4:$J$1053,W$1)</f>
        <v>0</v>
      </c>
      <c r="X33" s="207">
        <f>SUMIFS('сентябрь 2023'!$G$4:$G$1053,'сентябрь 2023'!$D$4:$D$1053,$B33,'сентябрь 2023'!$J$4:$J$1053,X$1)</f>
        <v>0</v>
      </c>
      <c r="Y33" s="207">
        <f>SUMIFS('сентябрь 2023'!$G$4:$G$1053,'сентябрь 2023'!$D$4:$D$1053,$B33,'сентябрь 2023'!$J$4:$J$1053,Y$1)</f>
        <v>0</v>
      </c>
      <c r="Z33" s="207">
        <f>SUMIFS('сентябрь 2023'!$G$4:$G$1053,'сентябрь 2023'!$D$4:$D$1053,$B33,'сентябрь 2023'!$J$4:$J$1053,Z$1)</f>
        <v>0</v>
      </c>
      <c r="AA33" s="207">
        <f>SUMIFS('сентябрь 2023'!$G$4:$G$1053,'сентябрь 2023'!$D$4:$D$1053,$B33,'сентябрь 2023'!$J$4:$J$1053,AA$1)</f>
        <v>0</v>
      </c>
      <c r="AB33" s="207">
        <f>SUMIFS('сентябрь 2023'!$G$4:$G$1053,'сентябрь 2023'!$D$4:$D$1053,$B33,'сентябрь 2023'!$J$4:$J$1053,AB$1)</f>
        <v>0</v>
      </c>
      <c r="AC33" s="207">
        <f>SUMIFS('сентябрь 2023'!$G$4:$G$1053,'сентябрь 2023'!$D$4:$D$1053,$B33,'сентябрь 2023'!$J$4:$J$1053,AC$1)</f>
        <v>0</v>
      </c>
      <c r="AD33" s="207">
        <f>SUMIFS('сентябрь 2023'!$G$4:$G$1053,'сентябрь 2023'!$D$4:$D$1053,$B33,'сентябрь 2023'!$J$4:$J$1053,AD$1)</f>
        <v>0</v>
      </c>
      <c r="AE33" s="207">
        <f>SUMIFS('сентябрь 2023'!$G$4:$G$1053,'сентябрь 2023'!$D$4:$D$1053,$B33,'сентябрь 2023'!$J$4:$J$1053,AE$1)</f>
        <v>0</v>
      </c>
      <c r="AF33" s="207">
        <f>SUMIFS('сентябрь 2023'!$G$4:$G$1053,'сентябрь 2023'!$D$4:$D$1053,$B33,'сентябрь 2023'!$J$4:$J$1053,AF$1)</f>
        <v>0</v>
      </c>
      <c r="AG33" s="207">
        <f>SUMIFS('сентябрь 2023'!$G$4:$G$1053,'сентябрь 2023'!$D$4:$D$1053,$B33,'сентябрь 2023'!$J$4:$J$1053,AG$1)</f>
        <v>0</v>
      </c>
      <c r="AH33" s="207">
        <f>SUMIFS('сентябрь 2023'!$G$4:$G$1053,'сентябрь 2023'!$D$4:$D$1053,$B33,'сентябрь 2023'!$J$4:$J$1053,AH$1)</f>
        <v>0</v>
      </c>
      <c r="AI33" s="170">
        <f t="shared" si="1"/>
        <v>0</v>
      </c>
    </row>
    <row r="34" spans="2:35" ht="15" customHeight="1" x14ac:dyDescent="0.25">
      <c r="B34" s="210" t="s">
        <v>754</v>
      </c>
      <c r="C34" s="211">
        <v>20</v>
      </c>
      <c r="D34" s="207">
        <f>SUMIFS('сентябрь 2023'!$G$4:$G$1053,'сентябрь 2023'!$D$4:$D$1053,$B34,'сентябрь 2023'!$J$4:$J$1053,D$1)</f>
        <v>0</v>
      </c>
      <c r="E34" s="207">
        <f>SUMIFS('сентябрь 2023'!$G$4:$G$1053,'сентябрь 2023'!$D$4:$D$1053,$B34,'сентябрь 2023'!$J$4:$J$1053,E$1)</f>
        <v>0</v>
      </c>
      <c r="F34" s="207">
        <f>SUMIFS('сентябрь 2023'!$G$4:$G$1053,'сентябрь 2023'!$D$4:$D$1053,$B34,'сентябрь 2023'!$J$4:$J$1053,F$1)</f>
        <v>0</v>
      </c>
      <c r="G34" s="207">
        <f>SUMIFS('сентябрь 2023'!$G$4:$G$1053,'сентябрь 2023'!$D$4:$D$1053,$B34,'сентябрь 2023'!$J$4:$J$1053,G$1)</f>
        <v>0</v>
      </c>
      <c r="H34" s="207">
        <f>SUMIFS('сентябрь 2023'!$G$4:$G$1053,'сентябрь 2023'!$D$4:$D$1053,$B34,'сентябрь 2023'!$J$4:$J$1053,H$1)</f>
        <v>0</v>
      </c>
      <c r="I34" s="207">
        <f>SUMIFS('сентябрь 2023'!$G$4:$G$1053,'сентябрь 2023'!$D$4:$D$1053,$B34,'сентябрь 2023'!$J$4:$J$1053,I$1)</f>
        <v>0</v>
      </c>
      <c r="J34" s="207">
        <f>SUMIFS('сентябрь 2023'!$G$4:$G$1053,'сентябрь 2023'!$D$4:$D$1053,$B34,'сентябрь 2023'!$J$4:$J$1053,J$1)</f>
        <v>0</v>
      </c>
      <c r="K34" s="207">
        <f>SUMIFS('сентябрь 2023'!$G$4:$G$1053,'сентябрь 2023'!$D$4:$D$1053,$B34,'сентябрь 2023'!$J$4:$J$1053,K$1)</f>
        <v>0</v>
      </c>
      <c r="L34" s="207">
        <f>SUMIFS('сентябрь 2023'!$G$4:$G$1053,'сентябрь 2023'!$D$4:$D$1053,$B34,'сентябрь 2023'!$J$4:$J$1053,L$1)</f>
        <v>0</v>
      </c>
      <c r="M34" s="207">
        <f>SUMIFS('сентябрь 2023'!$G$4:$G$1053,'сентябрь 2023'!$D$4:$D$1053,$B34,'сентябрь 2023'!$J$4:$J$1053,M$1)</f>
        <v>0</v>
      </c>
      <c r="N34" s="207">
        <f>SUMIFS('сентябрь 2023'!$G$4:$G$1053,'сентябрь 2023'!$D$4:$D$1053,$B34,'сентябрь 2023'!$J$4:$J$1053,N$1)</f>
        <v>0</v>
      </c>
      <c r="O34" s="207">
        <f>SUMIFS('сентябрь 2023'!$G$4:$G$1053,'сентябрь 2023'!$D$4:$D$1053,$B34,'сентябрь 2023'!$J$4:$J$1053,O$1)</f>
        <v>0</v>
      </c>
      <c r="P34" s="207">
        <f>SUMIFS('сентябрь 2023'!$G$4:$G$1053,'сентябрь 2023'!$D$4:$D$1053,$B34,'сентябрь 2023'!$J$4:$J$1053,P$1)</f>
        <v>0</v>
      </c>
      <c r="Q34" s="207">
        <f>SUMIFS('сентябрь 2023'!$G$4:$G$1053,'сентябрь 2023'!$D$4:$D$1053,$B34,'сентябрь 2023'!$J$4:$J$1053,Q$1)</f>
        <v>0</v>
      </c>
      <c r="R34" s="207">
        <f>SUMIFS('сентябрь 2023'!$G$4:$G$1053,'сентябрь 2023'!$D$4:$D$1053,$B34,'сентябрь 2023'!$J$4:$J$1053,R$1)</f>
        <v>0</v>
      </c>
      <c r="S34" s="207">
        <f>SUMIFS('сентябрь 2023'!$G$4:$G$1053,'сентябрь 2023'!$D$4:$D$1053,$B34,'сентябрь 2023'!$J$4:$J$1053,S$1)</f>
        <v>0</v>
      </c>
      <c r="T34" s="207">
        <f>SUMIFS('сентябрь 2023'!$G$4:$G$1053,'сентябрь 2023'!$D$4:$D$1053,$B34,'сентябрь 2023'!$J$4:$J$1053,T$1)</f>
        <v>0</v>
      </c>
      <c r="U34" s="207">
        <f>SUMIFS('сентябрь 2023'!$G$4:$G$1053,'сентябрь 2023'!$D$4:$D$1053,$B34,'сентябрь 2023'!$J$4:$J$1053,U$1)</f>
        <v>0</v>
      </c>
      <c r="V34" s="207">
        <f>SUMIFS('сентябрь 2023'!$G$4:$G$1053,'сентябрь 2023'!$D$4:$D$1053,$B34,'сентябрь 2023'!$J$4:$J$1053,V$1)</f>
        <v>0</v>
      </c>
      <c r="W34" s="207">
        <f>SUMIFS('сентябрь 2023'!$G$4:$G$1053,'сентябрь 2023'!$D$4:$D$1053,$B34,'сентябрь 2023'!$J$4:$J$1053,W$1)</f>
        <v>0</v>
      </c>
      <c r="X34" s="207">
        <f>SUMIFS('сентябрь 2023'!$G$4:$G$1053,'сентябрь 2023'!$D$4:$D$1053,$B34,'сентябрь 2023'!$J$4:$J$1053,X$1)</f>
        <v>0</v>
      </c>
      <c r="Y34" s="207">
        <f>SUMIFS('сентябрь 2023'!$G$4:$G$1053,'сентябрь 2023'!$D$4:$D$1053,$B34,'сентябрь 2023'!$J$4:$J$1053,Y$1)</f>
        <v>0</v>
      </c>
      <c r="Z34" s="207">
        <f>SUMIFS('сентябрь 2023'!$G$4:$G$1053,'сентябрь 2023'!$D$4:$D$1053,$B34,'сентябрь 2023'!$J$4:$J$1053,Z$1)</f>
        <v>0</v>
      </c>
      <c r="AA34" s="207">
        <f>SUMIFS('сентябрь 2023'!$G$4:$G$1053,'сентябрь 2023'!$D$4:$D$1053,$B34,'сентябрь 2023'!$J$4:$J$1053,AA$1)</f>
        <v>0</v>
      </c>
      <c r="AB34" s="207">
        <f>SUMIFS('сентябрь 2023'!$G$4:$G$1053,'сентябрь 2023'!$D$4:$D$1053,$B34,'сентябрь 2023'!$J$4:$J$1053,AB$1)</f>
        <v>0</v>
      </c>
      <c r="AC34" s="207">
        <f>SUMIFS('сентябрь 2023'!$G$4:$G$1053,'сентябрь 2023'!$D$4:$D$1053,$B34,'сентябрь 2023'!$J$4:$J$1053,AC$1)</f>
        <v>0</v>
      </c>
      <c r="AD34" s="207">
        <f>SUMIFS('сентябрь 2023'!$G$4:$G$1053,'сентябрь 2023'!$D$4:$D$1053,$B34,'сентябрь 2023'!$J$4:$J$1053,AD$1)</f>
        <v>0</v>
      </c>
      <c r="AE34" s="207">
        <f>SUMIFS('сентябрь 2023'!$G$4:$G$1053,'сентябрь 2023'!$D$4:$D$1053,$B34,'сентябрь 2023'!$J$4:$J$1053,AE$1)</f>
        <v>400</v>
      </c>
      <c r="AF34" s="207">
        <f>SUMIFS('сентябрь 2023'!$G$4:$G$1053,'сентябрь 2023'!$D$4:$D$1053,$B34,'сентябрь 2023'!$J$4:$J$1053,AF$1)</f>
        <v>0</v>
      </c>
      <c r="AG34" s="207">
        <f>SUMIFS('сентябрь 2023'!$G$4:$G$1053,'сентябрь 2023'!$D$4:$D$1053,$B34,'сентябрь 2023'!$J$4:$J$1053,AG$1)</f>
        <v>0</v>
      </c>
      <c r="AH34" s="207">
        <f>SUMIFS('сентябрь 2023'!$G$4:$G$1053,'сентябрь 2023'!$D$4:$D$1053,$B34,'сентябрь 2023'!$J$4:$J$1053,AH$1)</f>
        <v>0</v>
      </c>
      <c r="AI34" s="170">
        <f t="shared" si="1"/>
        <v>400</v>
      </c>
    </row>
    <row r="35" spans="2:35" ht="15" customHeight="1" x14ac:dyDescent="0.25">
      <c r="B35" s="212" t="s">
        <v>1256</v>
      </c>
      <c r="C35" s="213">
        <v>22.68</v>
      </c>
      <c r="D35" s="207">
        <f>SUMIFS('сентябрь 2023'!$G$4:$G$1053,'сентябрь 2023'!$D$4:$D$1053,$B35,'сентябрь 2023'!$J$4:$J$1053,D$1)</f>
        <v>0</v>
      </c>
      <c r="E35" s="207">
        <f>SUMIFS('сентябрь 2023'!$G$4:$G$1053,'сентябрь 2023'!$D$4:$D$1053,$B35,'сентябрь 2023'!$J$4:$J$1053,E$1)</f>
        <v>0</v>
      </c>
      <c r="F35" s="207">
        <f>SUMIFS('сентябрь 2023'!$G$4:$G$1053,'сентябрь 2023'!$D$4:$D$1053,$B35,'сентябрь 2023'!$J$4:$J$1053,F$1)</f>
        <v>0</v>
      </c>
      <c r="G35" s="207">
        <f>SUMIFS('сентябрь 2023'!$G$4:$G$1053,'сентябрь 2023'!$D$4:$D$1053,$B35,'сентябрь 2023'!$J$4:$J$1053,G$1)</f>
        <v>0</v>
      </c>
      <c r="H35" s="207">
        <f>SUMIFS('сентябрь 2023'!$G$4:$G$1053,'сентябрь 2023'!$D$4:$D$1053,$B35,'сентябрь 2023'!$J$4:$J$1053,H$1)</f>
        <v>0</v>
      </c>
      <c r="I35" s="207">
        <f>SUMIFS('сентябрь 2023'!$G$4:$G$1053,'сентябрь 2023'!$D$4:$D$1053,$B35,'сентябрь 2023'!$J$4:$J$1053,I$1)</f>
        <v>0</v>
      </c>
      <c r="J35" s="207">
        <f>SUMIFS('сентябрь 2023'!$G$4:$G$1053,'сентябрь 2023'!$D$4:$D$1053,$B35,'сентябрь 2023'!$J$4:$J$1053,J$1)</f>
        <v>0</v>
      </c>
      <c r="K35" s="207">
        <f>SUMIFS('сентябрь 2023'!$G$4:$G$1053,'сентябрь 2023'!$D$4:$D$1053,$B35,'сентябрь 2023'!$J$4:$J$1053,K$1)</f>
        <v>0</v>
      </c>
      <c r="L35" s="207">
        <f>SUMIFS('сентябрь 2023'!$G$4:$G$1053,'сентябрь 2023'!$D$4:$D$1053,$B35,'сентябрь 2023'!$J$4:$J$1053,L$1)</f>
        <v>0</v>
      </c>
      <c r="M35" s="207">
        <f>SUMIFS('сентябрь 2023'!$G$4:$G$1053,'сентябрь 2023'!$D$4:$D$1053,$B35,'сентябрь 2023'!$J$4:$J$1053,M$1)</f>
        <v>0</v>
      </c>
      <c r="N35" s="207">
        <f>SUMIFS('сентябрь 2023'!$G$4:$G$1053,'сентябрь 2023'!$D$4:$D$1053,$B35,'сентябрь 2023'!$J$4:$J$1053,N$1)</f>
        <v>0</v>
      </c>
      <c r="O35" s="207">
        <f>SUMIFS('сентябрь 2023'!$G$4:$G$1053,'сентябрь 2023'!$D$4:$D$1053,$B35,'сентябрь 2023'!$J$4:$J$1053,O$1)</f>
        <v>0</v>
      </c>
      <c r="P35" s="207">
        <f>SUMIFS('сентябрь 2023'!$G$4:$G$1053,'сентябрь 2023'!$D$4:$D$1053,$B35,'сентябрь 2023'!$J$4:$J$1053,P$1)</f>
        <v>0</v>
      </c>
      <c r="Q35" s="207">
        <f>SUMIFS('сентябрь 2023'!$G$4:$G$1053,'сентябрь 2023'!$D$4:$D$1053,$B35,'сентябрь 2023'!$J$4:$J$1053,Q$1)</f>
        <v>0</v>
      </c>
      <c r="R35" s="207">
        <f>SUMIFS('сентябрь 2023'!$G$4:$G$1053,'сентябрь 2023'!$D$4:$D$1053,$B35,'сентябрь 2023'!$J$4:$J$1053,R$1)</f>
        <v>0</v>
      </c>
      <c r="S35" s="207">
        <f>SUMIFS('сентябрь 2023'!$G$4:$G$1053,'сентябрь 2023'!$D$4:$D$1053,$B35,'сентябрь 2023'!$J$4:$J$1053,S$1)</f>
        <v>0</v>
      </c>
      <c r="T35" s="207">
        <f>SUMIFS('сентябрь 2023'!$G$4:$G$1053,'сентябрь 2023'!$D$4:$D$1053,$B35,'сентябрь 2023'!$J$4:$J$1053,T$1)</f>
        <v>0</v>
      </c>
      <c r="U35" s="207">
        <f>SUMIFS('сентябрь 2023'!$G$4:$G$1053,'сентябрь 2023'!$D$4:$D$1053,$B35,'сентябрь 2023'!$J$4:$J$1053,U$1)</f>
        <v>0</v>
      </c>
      <c r="V35" s="207">
        <f>SUMIFS('сентябрь 2023'!$G$4:$G$1053,'сентябрь 2023'!$D$4:$D$1053,$B35,'сентябрь 2023'!$J$4:$J$1053,V$1)</f>
        <v>0</v>
      </c>
      <c r="W35" s="207">
        <f>SUMIFS('сентябрь 2023'!$G$4:$G$1053,'сентябрь 2023'!$D$4:$D$1053,$B35,'сентябрь 2023'!$J$4:$J$1053,W$1)</f>
        <v>0</v>
      </c>
      <c r="X35" s="207">
        <f>SUMIFS('сентябрь 2023'!$G$4:$G$1053,'сентябрь 2023'!$D$4:$D$1053,$B35,'сентябрь 2023'!$J$4:$J$1053,X$1)</f>
        <v>0</v>
      </c>
      <c r="Y35" s="207">
        <f>SUMIFS('сентябрь 2023'!$G$4:$G$1053,'сентябрь 2023'!$D$4:$D$1053,$B35,'сентябрь 2023'!$J$4:$J$1053,Y$1)</f>
        <v>0</v>
      </c>
      <c r="Z35" s="207">
        <f>SUMIFS('сентябрь 2023'!$G$4:$G$1053,'сентябрь 2023'!$D$4:$D$1053,$B35,'сентябрь 2023'!$J$4:$J$1053,Z$1)</f>
        <v>0</v>
      </c>
      <c r="AA35" s="207">
        <f>SUMIFS('сентябрь 2023'!$G$4:$G$1053,'сентябрь 2023'!$D$4:$D$1053,$B35,'сентябрь 2023'!$J$4:$J$1053,AA$1)</f>
        <v>0</v>
      </c>
      <c r="AB35" s="207">
        <f>SUMIFS('сентябрь 2023'!$G$4:$G$1053,'сентябрь 2023'!$D$4:$D$1053,$B35,'сентябрь 2023'!$J$4:$J$1053,AB$1)</f>
        <v>0</v>
      </c>
      <c r="AC35" s="207">
        <f>SUMIFS('сентябрь 2023'!$G$4:$G$1053,'сентябрь 2023'!$D$4:$D$1053,$B35,'сентябрь 2023'!$J$4:$J$1053,AC$1)</f>
        <v>0</v>
      </c>
      <c r="AD35" s="207">
        <f>SUMIFS('сентябрь 2023'!$G$4:$G$1053,'сентябрь 2023'!$D$4:$D$1053,$B35,'сентябрь 2023'!$J$4:$J$1053,AD$1)</f>
        <v>0</v>
      </c>
      <c r="AE35" s="207">
        <f>SUMIFS('сентябрь 2023'!$G$4:$G$1053,'сентябрь 2023'!$D$4:$D$1053,$B35,'сентябрь 2023'!$J$4:$J$1053,AE$1)</f>
        <v>0</v>
      </c>
      <c r="AF35" s="207">
        <f>SUMIFS('сентябрь 2023'!$G$4:$G$1053,'сентябрь 2023'!$D$4:$D$1053,$B35,'сентябрь 2023'!$J$4:$J$1053,AF$1)</f>
        <v>0</v>
      </c>
      <c r="AG35" s="207">
        <f>SUMIFS('сентябрь 2023'!$G$4:$G$1053,'сентябрь 2023'!$D$4:$D$1053,$B35,'сентябрь 2023'!$J$4:$J$1053,AG$1)</f>
        <v>0</v>
      </c>
      <c r="AH35" s="207">
        <f>SUMIFS('сентябрь 2023'!$G$4:$G$1053,'сентябрь 2023'!$D$4:$D$1053,$B35,'сентябрь 2023'!$J$4:$J$1053,AH$1)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4">
        <v>22.68</v>
      </c>
      <c r="D36" s="207">
        <f>SUMIFS('сентябрь 2023'!$G$4:$G$1053,'сентябрь 2023'!$D$4:$D$1053,$B36,'сентябрь 2023'!$J$4:$J$1053,D$1)</f>
        <v>0</v>
      </c>
      <c r="E36" s="207">
        <f>SUMIFS('сентябрь 2023'!$G$4:$G$1053,'сентябрь 2023'!$D$4:$D$1053,$B36,'сентябрь 2023'!$J$4:$J$1053,E$1)</f>
        <v>0</v>
      </c>
      <c r="F36" s="207">
        <f>SUMIFS('сентябрь 2023'!$G$4:$G$1053,'сентябрь 2023'!$D$4:$D$1053,$B36,'сентябрь 2023'!$J$4:$J$1053,F$1)</f>
        <v>0</v>
      </c>
      <c r="G36" s="207">
        <f>SUMIFS('сентябрь 2023'!$G$4:$G$1053,'сентябрь 2023'!$D$4:$D$1053,$B36,'сентябрь 2023'!$J$4:$J$1053,G$1)</f>
        <v>0</v>
      </c>
      <c r="H36" s="207">
        <f>SUMIFS('сентябрь 2023'!$G$4:$G$1053,'сентябрь 2023'!$D$4:$D$1053,$B36,'сентябрь 2023'!$J$4:$J$1053,H$1)</f>
        <v>0</v>
      </c>
      <c r="I36" s="207">
        <f>SUMIFS('сентябрь 2023'!$G$4:$G$1053,'сентябрь 2023'!$D$4:$D$1053,$B36,'сентябрь 2023'!$J$4:$J$1053,I$1)</f>
        <v>0</v>
      </c>
      <c r="J36" s="207">
        <f>SUMIFS('сентябрь 2023'!$G$4:$G$1053,'сентябрь 2023'!$D$4:$D$1053,$B36,'сентябрь 2023'!$J$4:$J$1053,J$1)</f>
        <v>0</v>
      </c>
      <c r="K36" s="207">
        <f>SUMIFS('сентябрь 2023'!$G$4:$G$1053,'сентябрь 2023'!$D$4:$D$1053,$B36,'сентябрь 2023'!$J$4:$J$1053,K$1)</f>
        <v>0</v>
      </c>
      <c r="L36" s="207">
        <f>SUMIFS('сентябрь 2023'!$G$4:$G$1053,'сентябрь 2023'!$D$4:$D$1053,$B36,'сентябрь 2023'!$J$4:$J$1053,L$1)</f>
        <v>0</v>
      </c>
      <c r="M36" s="207">
        <f>SUMIFS('сентябрь 2023'!$G$4:$G$1053,'сентябрь 2023'!$D$4:$D$1053,$B36,'сентябрь 2023'!$J$4:$J$1053,M$1)</f>
        <v>0</v>
      </c>
      <c r="N36" s="207">
        <f>SUMIFS('сентябрь 2023'!$G$4:$G$1053,'сентябрь 2023'!$D$4:$D$1053,$B36,'сентябрь 2023'!$J$4:$J$1053,N$1)</f>
        <v>0</v>
      </c>
      <c r="O36" s="207">
        <f>SUMIFS('сентябрь 2023'!$G$4:$G$1053,'сентябрь 2023'!$D$4:$D$1053,$B36,'сентябрь 2023'!$J$4:$J$1053,O$1)</f>
        <v>0</v>
      </c>
      <c r="P36" s="207">
        <f>SUMIFS('сентябрь 2023'!$G$4:$G$1053,'сентябрь 2023'!$D$4:$D$1053,$B36,'сентябрь 2023'!$J$4:$J$1053,P$1)</f>
        <v>0</v>
      </c>
      <c r="Q36" s="207">
        <f>SUMIFS('сентябрь 2023'!$G$4:$G$1053,'сентябрь 2023'!$D$4:$D$1053,$B36,'сентябрь 2023'!$J$4:$J$1053,Q$1)</f>
        <v>0</v>
      </c>
      <c r="R36" s="207">
        <f>SUMIFS('сентябрь 2023'!$G$4:$G$1053,'сентябрь 2023'!$D$4:$D$1053,$B36,'сентябрь 2023'!$J$4:$J$1053,R$1)</f>
        <v>0</v>
      </c>
      <c r="S36" s="207">
        <f>SUMIFS('сентябрь 2023'!$G$4:$G$1053,'сентябрь 2023'!$D$4:$D$1053,$B36,'сентябрь 2023'!$J$4:$J$1053,S$1)</f>
        <v>0</v>
      </c>
      <c r="T36" s="207">
        <f>SUMIFS('сентябрь 2023'!$G$4:$G$1053,'сентябрь 2023'!$D$4:$D$1053,$B36,'сентябрь 2023'!$J$4:$J$1053,T$1)</f>
        <v>0</v>
      </c>
      <c r="U36" s="207">
        <f>SUMIFS('сентябрь 2023'!$G$4:$G$1053,'сентябрь 2023'!$D$4:$D$1053,$B36,'сентябрь 2023'!$J$4:$J$1053,U$1)</f>
        <v>0</v>
      </c>
      <c r="V36" s="207">
        <f>SUMIFS('сентябрь 2023'!$G$4:$G$1053,'сентябрь 2023'!$D$4:$D$1053,$B36,'сентябрь 2023'!$J$4:$J$1053,V$1)</f>
        <v>0</v>
      </c>
      <c r="W36" s="207">
        <f>SUMIFS('сентябрь 2023'!$G$4:$G$1053,'сентябрь 2023'!$D$4:$D$1053,$B36,'сентябрь 2023'!$J$4:$J$1053,W$1)</f>
        <v>0</v>
      </c>
      <c r="X36" s="207">
        <f>SUMIFS('сентябрь 2023'!$G$4:$G$1053,'сентябрь 2023'!$D$4:$D$1053,$B36,'сентябрь 2023'!$J$4:$J$1053,X$1)</f>
        <v>0</v>
      </c>
      <c r="Y36" s="207">
        <f>SUMIFS('сентябрь 2023'!$G$4:$G$1053,'сентябрь 2023'!$D$4:$D$1053,$B36,'сентябрь 2023'!$J$4:$J$1053,Y$1)</f>
        <v>0</v>
      </c>
      <c r="Z36" s="207">
        <f>SUMIFS('сентябрь 2023'!$G$4:$G$1053,'сентябрь 2023'!$D$4:$D$1053,$B36,'сентябрь 2023'!$J$4:$J$1053,Z$1)</f>
        <v>0</v>
      </c>
      <c r="AA36" s="207">
        <f>SUMIFS('сентябрь 2023'!$G$4:$G$1053,'сентябрь 2023'!$D$4:$D$1053,$B36,'сентябрь 2023'!$J$4:$J$1053,AA$1)</f>
        <v>0</v>
      </c>
      <c r="AB36" s="207">
        <f>SUMIFS('сентябрь 2023'!$G$4:$G$1053,'сентябрь 2023'!$D$4:$D$1053,$B36,'сентябрь 2023'!$J$4:$J$1053,AB$1)</f>
        <v>0</v>
      </c>
      <c r="AC36" s="207">
        <f>SUMIFS('сентябрь 2023'!$G$4:$G$1053,'сентябрь 2023'!$D$4:$D$1053,$B36,'сентябрь 2023'!$J$4:$J$1053,AC$1)</f>
        <v>0</v>
      </c>
      <c r="AD36" s="207">
        <f>SUMIFS('сентябрь 2023'!$G$4:$G$1053,'сентябрь 2023'!$D$4:$D$1053,$B36,'сентябрь 2023'!$J$4:$J$1053,AD$1)</f>
        <v>0</v>
      </c>
      <c r="AE36" s="207">
        <f>SUMIFS('сентябрь 2023'!$G$4:$G$1053,'сентябрь 2023'!$D$4:$D$1053,$B36,'сентябрь 2023'!$J$4:$J$1053,AE$1)</f>
        <v>0</v>
      </c>
      <c r="AF36" s="207">
        <f>SUMIFS('сентябрь 2023'!$G$4:$G$1053,'сентябрь 2023'!$D$4:$D$1053,$B36,'сентябрь 2023'!$J$4:$J$1053,AF$1)</f>
        <v>0</v>
      </c>
      <c r="AG36" s="207">
        <f>SUMIFS('сентябрь 2023'!$G$4:$G$1053,'сентябрь 2023'!$D$4:$D$1053,$B36,'сентябрь 2023'!$J$4:$J$1053,AG$1)</f>
        <v>0</v>
      </c>
      <c r="AH36" s="207">
        <f>SUMIFS('сентябрь 2023'!$G$4:$G$1053,'сентябрь 2023'!$D$4:$D$1053,$B36,'сентябрь 2023'!$J$4:$J$1053,AH$1)</f>
        <v>0</v>
      </c>
      <c r="AI36" s="170">
        <f t="shared" si="1"/>
        <v>0</v>
      </c>
    </row>
    <row r="37" spans="2:35" ht="15" customHeight="1" x14ac:dyDescent="0.25">
      <c r="B37" s="212" t="s">
        <v>492</v>
      </c>
      <c r="C37" s="215">
        <v>25</v>
      </c>
      <c r="D37" s="207">
        <f>SUMIFS('сентябрь 2023'!$G$4:$G$1053,'сентябрь 2023'!$D$4:$D$1053,$B37,'сентябрь 2023'!$J$4:$J$1053,D$1)</f>
        <v>0</v>
      </c>
      <c r="E37" s="207">
        <f>SUMIFS('сентябрь 2023'!$G$4:$G$1053,'сентябрь 2023'!$D$4:$D$1053,$B37,'сентябрь 2023'!$J$4:$J$1053,E$1)</f>
        <v>0</v>
      </c>
      <c r="F37" s="207">
        <f>SUMIFS('сентябрь 2023'!$G$4:$G$1053,'сентябрь 2023'!$D$4:$D$1053,$B37,'сентябрь 2023'!$J$4:$J$1053,F$1)</f>
        <v>0</v>
      </c>
      <c r="G37" s="207">
        <f>SUMIFS('сентябрь 2023'!$G$4:$G$1053,'сентябрь 2023'!$D$4:$D$1053,$B37,'сентябрь 2023'!$J$4:$J$1053,G$1)</f>
        <v>0</v>
      </c>
      <c r="H37" s="207">
        <f>SUMIFS('сентябрь 2023'!$G$4:$G$1053,'сентябрь 2023'!$D$4:$D$1053,$B37,'сентябрь 2023'!$J$4:$J$1053,H$1)</f>
        <v>0</v>
      </c>
      <c r="I37" s="207">
        <f>SUMIFS('сентябрь 2023'!$G$4:$G$1053,'сентябрь 2023'!$D$4:$D$1053,$B37,'сентябрь 2023'!$J$4:$J$1053,I$1)</f>
        <v>0</v>
      </c>
      <c r="J37" s="207">
        <f>SUMIFS('сентябрь 2023'!$G$4:$G$1053,'сентябрь 2023'!$D$4:$D$1053,$B37,'сентябрь 2023'!$J$4:$J$1053,J$1)</f>
        <v>0</v>
      </c>
      <c r="K37" s="207">
        <f>SUMIFS('сентябрь 2023'!$G$4:$G$1053,'сентябрь 2023'!$D$4:$D$1053,$B37,'сентябрь 2023'!$J$4:$J$1053,K$1)</f>
        <v>0</v>
      </c>
      <c r="L37" s="207">
        <f>SUMIFS('сентябрь 2023'!$G$4:$G$1053,'сентябрь 2023'!$D$4:$D$1053,$B37,'сентябрь 2023'!$J$4:$J$1053,L$1)</f>
        <v>0</v>
      </c>
      <c r="M37" s="207">
        <f>SUMIFS('сентябрь 2023'!$G$4:$G$1053,'сентябрь 2023'!$D$4:$D$1053,$B37,'сентябрь 2023'!$J$4:$J$1053,M$1)</f>
        <v>0</v>
      </c>
      <c r="N37" s="207">
        <f>SUMIFS('сентябрь 2023'!$G$4:$G$1053,'сентябрь 2023'!$D$4:$D$1053,$B37,'сентябрь 2023'!$J$4:$J$1053,N$1)</f>
        <v>0</v>
      </c>
      <c r="O37" s="207">
        <f>SUMIFS('сентябрь 2023'!$G$4:$G$1053,'сентябрь 2023'!$D$4:$D$1053,$B37,'сентябрь 2023'!$J$4:$J$1053,O$1)</f>
        <v>0</v>
      </c>
      <c r="P37" s="207">
        <f>SUMIFS('сентябрь 2023'!$G$4:$G$1053,'сентябрь 2023'!$D$4:$D$1053,$B37,'сентябрь 2023'!$J$4:$J$1053,P$1)</f>
        <v>0</v>
      </c>
      <c r="Q37" s="207">
        <f>SUMIFS('сентябрь 2023'!$G$4:$G$1053,'сентябрь 2023'!$D$4:$D$1053,$B37,'сентябрь 2023'!$J$4:$J$1053,Q$1)</f>
        <v>0</v>
      </c>
      <c r="R37" s="207">
        <f>SUMIFS('сентябрь 2023'!$G$4:$G$1053,'сентябрь 2023'!$D$4:$D$1053,$B37,'сентябрь 2023'!$J$4:$J$1053,R$1)</f>
        <v>0</v>
      </c>
      <c r="S37" s="207">
        <f>SUMIFS('сентябрь 2023'!$G$4:$G$1053,'сентябрь 2023'!$D$4:$D$1053,$B37,'сентябрь 2023'!$J$4:$J$1053,S$1)</f>
        <v>0</v>
      </c>
      <c r="T37" s="207">
        <f>SUMIFS('сентябрь 2023'!$G$4:$G$1053,'сентябрь 2023'!$D$4:$D$1053,$B37,'сентябрь 2023'!$J$4:$J$1053,T$1)</f>
        <v>0</v>
      </c>
      <c r="U37" s="207">
        <f>SUMIFS('сентябрь 2023'!$G$4:$G$1053,'сентябрь 2023'!$D$4:$D$1053,$B37,'сентябрь 2023'!$J$4:$J$1053,U$1)</f>
        <v>800</v>
      </c>
      <c r="V37" s="207">
        <f>SUMIFS('сентябрь 2023'!$G$4:$G$1053,'сентябрь 2023'!$D$4:$D$1053,$B37,'сентябрь 2023'!$J$4:$J$1053,V$1)</f>
        <v>0</v>
      </c>
      <c r="W37" s="207">
        <f>SUMIFS('сентябрь 2023'!$G$4:$G$1053,'сентябрь 2023'!$D$4:$D$1053,$B37,'сентябрь 2023'!$J$4:$J$1053,W$1)</f>
        <v>0</v>
      </c>
      <c r="X37" s="207">
        <f>SUMIFS('сентябрь 2023'!$G$4:$G$1053,'сентябрь 2023'!$D$4:$D$1053,$B37,'сентябрь 2023'!$J$4:$J$1053,X$1)</f>
        <v>0</v>
      </c>
      <c r="Y37" s="207">
        <f>SUMIFS('сентябрь 2023'!$G$4:$G$1053,'сентябрь 2023'!$D$4:$D$1053,$B37,'сентябрь 2023'!$J$4:$J$1053,Y$1)</f>
        <v>0</v>
      </c>
      <c r="Z37" s="207">
        <f>SUMIFS('сентябрь 2023'!$G$4:$G$1053,'сентябрь 2023'!$D$4:$D$1053,$B37,'сентябрь 2023'!$J$4:$J$1053,Z$1)</f>
        <v>0</v>
      </c>
      <c r="AA37" s="207">
        <f>SUMIFS('сентябрь 2023'!$G$4:$G$1053,'сентябрь 2023'!$D$4:$D$1053,$B37,'сентябрь 2023'!$J$4:$J$1053,AA$1)</f>
        <v>0</v>
      </c>
      <c r="AB37" s="207">
        <f>SUMIFS('сентябрь 2023'!$G$4:$G$1053,'сентябрь 2023'!$D$4:$D$1053,$B37,'сентябрь 2023'!$J$4:$J$1053,AB$1)</f>
        <v>0</v>
      </c>
      <c r="AC37" s="207">
        <f>SUMIFS('сентябрь 2023'!$G$4:$G$1053,'сентябрь 2023'!$D$4:$D$1053,$B37,'сентябрь 2023'!$J$4:$J$1053,AC$1)</f>
        <v>0</v>
      </c>
      <c r="AD37" s="207">
        <f>SUMIFS('сентябрь 2023'!$G$4:$G$1053,'сентябрь 2023'!$D$4:$D$1053,$B37,'сентябрь 2023'!$J$4:$J$1053,AD$1)</f>
        <v>0</v>
      </c>
      <c r="AE37" s="207">
        <f>SUMIFS('сентябрь 2023'!$G$4:$G$1053,'сентябрь 2023'!$D$4:$D$1053,$B37,'сентябрь 2023'!$J$4:$J$1053,AE$1)</f>
        <v>0</v>
      </c>
      <c r="AF37" s="207">
        <f>SUMIFS('сентябрь 2023'!$G$4:$G$1053,'сентябрь 2023'!$D$4:$D$1053,$B37,'сентябрь 2023'!$J$4:$J$1053,AF$1)</f>
        <v>0</v>
      </c>
      <c r="AG37" s="207">
        <f>SUMIFS('сентябрь 2023'!$G$4:$G$1053,'сентябрь 2023'!$D$4:$D$1053,$B37,'сентябрь 2023'!$J$4:$J$1053,AG$1)</f>
        <v>0</v>
      </c>
      <c r="AH37" s="207">
        <f>SUMIFS('сентябрь 2023'!$G$4:$G$1053,'сентябрь 2023'!$D$4:$D$1053,$B37,'сентябрь 2023'!$J$4:$J$1053,AH$1)</f>
        <v>0</v>
      </c>
      <c r="AI37" s="170">
        <f t="shared" si="1"/>
        <v>800</v>
      </c>
    </row>
    <row r="38" spans="2:35" ht="15" customHeight="1" x14ac:dyDescent="0.25">
      <c r="B38" s="212" t="s">
        <v>1600</v>
      </c>
      <c r="C38" s="211">
        <v>25</v>
      </c>
      <c r="D38" s="207">
        <f>SUMIFS('сентябрь 2023'!$G$4:$G$1053,'сентябрь 2023'!$D$4:$D$1053,$B38,'сентябрь 2023'!$J$4:$J$1053,D$1)</f>
        <v>0</v>
      </c>
      <c r="E38" s="207">
        <f>SUMIFS('сентябрь 2023'!$G$4:$G$1053,'сентябрь 2023'!$D$4:$D$1053,$B38,'сентябрь 2023'!$J$4:$J$1053,E$1)</f>
        <v>0</v>
      </c>
      <c r="F38" s="207">
        <f>SUMIFS('сентябрь 2023'!$G$4:$G$1053,'сентябрь 2023'!$D$4:$D$1053,$B38,'сентябрь 2023'!$J$4:$J$1053,F$1)</f>
        <v>0</v>
      </c>
      <c r="G38" s="207">
        <f>SUMIFS('сентябрь 2023'!$G$4:$G$1053,'сентябрь 2023'!$D$4:$D$1053,$B38,'сентябрь 2023'!$J$4:$J$1053,G$1)</f>
        <v>0</v>
      </c>
      <c r="H38" s="207">
        <f>SUMIFS('сентябрь 2023'!$G$4:$G$1053,'сентябрь 2023'!$D$4:$D$1053,$B38,'сентябрь 2023'!$J$4:$J$1053,H$1)</f>
        <v>0</v>
      </c>
      <c r="I38" s="207">
        <f>SUMIFS('сентябрь 2023'!$G$4:$G$1053,'сентябрь 2023'!$D$4:$D$1053,$B38,'сентябрь 2023'!$J$4:$J$1053,I$1)</f>
        <v>0</v>
      </c>
      <c r="J38" s="207">
        <f>SUMIFS('сентябрь 2023'!$G$4:$G$1053,'сентябрь 2023'!$D$4:$D$1053,$B38,'сентябрь 2023'!$J$4:$J$1053,J$1)</f>
        <v>0</v>
      </c>
      <c r="K38" s="207">
        <f>SUMIFS('сентябрь 2023'!$G$4:$G$1053,'сентябрь 2023'!$D$4:$D$1053,$B38,'сентябрь 2023'!$J$4:$J$1053,K$1)</f>
        <v>0</v>
      </c>
      <c r="L38" s="207">
        <f>SUMIFS('сентябрь 2023'!$G$4:$G$1053,'сентябрь 2023'!$D$4:$D$1053,$B38,'сентябрь 2023'!$J$4:$J$1053,L$1)</f>
        <v>0</v>
      </c>
      <c r="M38" s="207">
        <f>SUMIFS('сентябрь 2023'!$G$4:$G$1053,'сентябрь 2023'!$D$4:$D$1053,$B38,'сентябрь 2023'!$J$4:$J$1053,M$1)</f>
        <v>0</v>
      </c>
      <c r="N38" s="207">
        <f>SUMIFS('сентябрь 2023'!$G$4:$G$1053,'сентябрь 2023'!$D$4:$D$1053,$B38,'сентябрь 2023'!$J$4:$J$1053,N$1)</f>
        <v>0</v>
      </c>
      <c r="O38" s="207">
        <f>SUMIFS('сентябрь 2023'!$G$4:$G$1053,'сентябрь 2023'!$D$4:$D$1053,$B38,'сентябрь 2023'!$J$4:$J$1053,O$1)</f>
        <v>0</v>
      </c>
      <c r="P38" s="207">
        <f>SUMIFS('сентябрь 2023'!$G$4:$G$1053,'сентябрь 2023'!$D$4:$D$1053,$B38,'сентябрь 2023'!$J$4:$J$1053,P$1)</f>
        <v>0</v>
      </c>
      <c r="Q38" s="207">
        <f>SUMIFS('сентябрь 2023'!$G$4:$G$1053,'сентябрь 2023'!$D$4:$D$1053,$B38,'сентябрь 2023'!$J$4:$J$1053,Q$1)</f>
        <v>0</v>
      </c>
      <c r="R38" s="207">
        <f>SUMIFS('сентябрь 2023'!$G$4:$G$1053,'сентябрь 2023'!$D$4:$D$1053,$B38,'сентябрь 2023'!$J$4:$J$1053,R$1)</f>
        <v>0</v>
      </c>
      <c r="S38" s="207">
        <f>SUMIFS('сентябрь 2023'!$G$4:$G$1053,'сентябрь 2023'!$D$4:$D$1053,$B38,'сентябрь 2023'!$J$4:$J$1053,S$1)</f>
        <v>0</v>
      </c>
      <c r="T38" s="207">
        <f>SUMIFS('сентябрь 2023'!$G$4:$G$1053,'сентябрь 2023'!$D$4:$D$1053,$B38,'сентябрь 2023'!$J$4:$J$1053,T$1)</f>
        <v>0</v>
      </c>
      <c r="U38" s="207">
        <f>SUMIFS('сентябрь 2023'!$G$4:$G$1053,'сентябрь 2023'!$D$4:$D$1053,$B38,'сентябрь 2023'!$J$4:$J$1053,U$1)</f>
        <v>0</v>
      </c>
      <c r="V38" s="207">
        <f>SUMIFS('сентябрь 2023'!$G$4:$G$1053,'сентябрь 2023'!$D$4:$D$1053,$B38,'сентябрь 2023'!$J$4:$J$1053,V$1)</f>
        <v>0</v>
      </c>
      <c r="W38" s="207">
        <f>SUMIFS('сентябрь 2023'!$G$4:$G$1053,'сентябрь 2023'!$D$4:$D$1053,$B38,'сентябрь 2023'!$J$4:$J$1053,W$1)</f>
        <v>0</v>
      </c>
      <c r="X38" s="207">
        <f>SUMIFS('сентябрь 2023'!$G$4:$G$1053,'сентябрь 2023'!$D$4:$D$1053,$B38,'сентябрь 2023'!$J$4:$J$1053,X$1)</f>
        <v>0</v>
      </c>
      <c r="Y38" s="207">
        <f>SUMIFS('сентябрь 2023'!$G$4:$G$1053,'сентябрь 2023'!$D$4:$D$1053,$B38,'сентябрь 2023'!$J$4:$J$1053,Y$1)</f>
        <v>0</v>
      </c>
      <c r="Z38" s="207">
        <f>SUMIFS('сентябрь 2023'!$G$4:$G$1053,'сентябрь 2023'!$D$4:$D$1053,$B38,'сентябрь 2023'!$J$4:$J$1053,Z$1)</f>
        <v>0</v>
      </c>
      <c r="AA38" s="207">
        <f>SUMIFS('сентябрь 2023'!$G$4:$G$1053,'сентябрь 2023'!$D$4:$D$1053,$B38,'сентябрь 2023'!$J$4:$J$1053,AA$1)</f>
        <v>0</v>
      </c>
      <c r="AB38" s="207">
        <f>SUMIFS('сентябрь 2023'!$G$4:$G$1053,'сентябрь 2023'!$D$4:$D$1053,$B38,'сентябрь 2023'!$J$4:$J$1053,AB$1)</f>
        <v>0</v>
      </c>
      <c r="AC38" s="207">
        <f>SUMIFS('сентябрь 2023'!$G$4:$G$1053,'сентябрь 2023'!$D$4:$D$1053,$B38,'сентябрь 2023'!$J$4:$J$1053,AC$1)</f>
        <v>0</v>
      </c>
      <c r="AD38" s="207">
        <f>SUMIFS('сентябрь 2023'!$G$4:$G$1053,'сентябрь 2023'!$D$4:$D$1053,$B38,'сентябрь 2023'!$J$4:$J$1053,AD$1)</f>
        <v>0</v>
      </c>
      <c r="AE38" s="207">
        <f>SUMIFS('сентябрь 2023'!$G$4:$G$1053,'сентябрь 2023'!$D$4:$D$1053,$B38,'сентябрь 2023'!$J$4:$J$1053,AE$1)</f>
        <v>0</v>
      </c>
      <c r="AF38" s="207">
        <f>SUMIFS('сентябрь 2023'!$G$4:$G$1053,'сентябрь 2023'!$D$4:$D$1053,$B38,'сентябрь 2023'!$J$4:$J$1053,AF$1)</f>
        <v>0</v>
      </c>
      <c r="AG38" s="207">
        <f>SUMIFS('сентябрь 2023'!$G$4:$G$1053,'сентябрь 2023'!$D$4:$D$1053,$B38,'сентябрь 2023'!$J$4:$J$1053,AG$1)</f>
        <v>0</v>
      </c>
      <c r="AH38" s="207">
        <f>SUMIFS('сентябрь 2023'!$G$4:$G$1053,'сентябрь 2023'!$D$4:$D$1053,$B38,'сентябрь 2023'!$J$4:$J$1053,AH$1)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SUMIFS('сентябрь 2023'!$G$4:$G$1053,'сентябрь 2023'!$D$4:$D$1053,$B39,'сентябрь 2023'!$J$4:$J$1053,D$1)</f>
        <v>0</v>
      </c>
      <c r="E39" s="207">
        <f>SUMIFS('сентябрь 2023'!$G$4:$G$1053,'сентябрь 2023'!$D$4:$D$1053,$B39,'сентябрь 2023'!$J$4:$J$1053,E$1)</f>
        <v>0</v>
      </c>
      <c r="F39" s="207">
        <f>SUMIFS('сентябрь 2023'!$G$4:$G$1053,'сентябрь 2023'!$D$4:$D$1053,$B39,'сентябрь 2023'!$J$4:$J$1053,F$1)</f>
        <v>0</v>
      </c>
      <c r="G39" s="207">
        <f>SUMIFS('сентябрь 2023'!$G$4:$G$1053,'сентябрь 2023'!$D$4:$D$1053,$B39,'сентябрь 2023'!$J$4:$J$1053,G$1)</f>
        <v>0</v>
      </c>
      <c r="H39" s="207">
        <f>SUMIFS('сентябрь 2023'!$G$4:$G$1053,'сентябрь 2023'!$D$4:$D$1053,$B39,'сентябрь 2023'!$J$4:$J$1053,H$1)</f>
        <v>0</v>
      </c>
      <c r="I39" s="207">
        <f>SUMIFS('сентябрь 2023'!$G$4:$G$1053,'сентябрь 2023'!$D$4:$D$1053,$B39,'сентябрь 2023'!$J$4:$J$1053,I$1)</f>
        <v>0</v>
      </c>
      <c r="J39" s="207">
        <f>SUMIFS('сентябрь 2023'!$G$4:$G$1053,'сентябрь 2023'!$D$4:$D$1053,$B39,'сентябрь 2023'!$J$4:$J$1053,J$1)</f>
        <v>0</v>
      </c>
      <c r="K39" s="207">
        <f>SUMIFS('сентябрь 2023'!$G$4:$G$1053,'сентябрь 2023'!$D$4:$D$1053,$B39,'сентябрь 2023'!$J$4:$J$1053,K$1)</f>
        <v>0</v>
      </c>
      <c r="L39" s="207">
        <f>SUMIFS('сентябрь 2023'!$G$4:$G$1053,'сентябрь 2023'!$D$4:$D$1053,$B39,'сентябрь 2023'!$J$4:$J$1053,L$1)</f>
        <v>0</v>
      </c>
      <c r="M39" s="207">
        <f>SUMIFS('сентябрь 2023'!$G$4:$G$1053,'сентябрь 2023'!$D$4:$D$1053,$B39,'сентябрь 2023'!$J$4:$J$1053,M$1)</f>
        <v>0</v>
      </c>
      <c r="N39" s="207">
        <f>SUMIFS('сентябрь 2023'!$G$4:$G$1053,'сентябрь 2023'!$D$4:$D$1053,$B39,'сентябрь 2023'!$J$4:$J$1053,N$1)</f>
        <v>0</v>
      </c>
      <c r="O39" s="207">
        <f>SUMIFS('сентябрь 2023'!$G$4:$G$1053,'сентябрь 2023'!$D$4:$D$1053,$B39,'сентябрь 2023'!$J$4:$J$1053,O$1)</f>
        <v>0</v>
      </c>
      <c r="P39" s="207">
        <f>SUMIFS('сентябрь 2023'!$G$4:$G$1053,'сентябрь 2023'!$D$4:$D$1053,$B39,'сентябрь 2023'!$J$4:$J$1053,P$1)</f>
        <v>0</v>
      </c>
      <c r="Q39" s="207">
        <f>SUMIFS('сентябрь 2023'!$G$4:$G$1053,'сентябрь 2023'!$D$4:$D$1053,$B39,'сентябрь 2023'!$J$4:$J$1053,Q$1)</f>
        <v>0</v>
      </c>
      <c r="R39" s="207">
        <f>SUMIFS('сентябрь 2023'!$G$4:$G$1053,'сентябрь 2023'!$D$4:$D$1053,$B39,'сентябрь 2023'!$J$4:$J$1053,R$1)</f>
        <v>0</v>
      </c>
      <c r="S39" s="207">
        <f>SUMIFS('сентябрь 2023'!$G$4:$G$1053,'сентябрь 2023'!$D$4:$D$1053,$B39,'сентябрь 2023'!$J$4:$J$1053,S$1)</f>
        <v>0</v>
      </c>
      <c r="T39" s="207">
        <f>SUMIFS('сентябрь 2023'!$G$4:$G$1053,'сентябрь 2023'!$D$4:$D$1053,$B39,'сентябрь 2023'!$J$4:$J$1053,T$1)</f>
        <v>0</v>
      </c>
      <c r="U39" s="207">
        <f>SUMIFS('сентябрь 2023'!$G$4:$G$1053,'сентябрь 2023'!$D$4:$D$1053,$B39,'сентябрь 2023'!$J$4:$J$1053,U$1)</f>
        <v>0</v>
      </c>
      <c r="V39" s="207">
        <f>SUMIFS('сентябрь 2023'!$G$4:$G$1053,'сентябрь 2023'!$D$4:$D$1053,$B39,'сентябрь 2023'!$J$4:$J$1053,V$1)</f>
        <v>0</v>
      </c>
      <c r="W39" s="207">
        <f>SUMIFS('сентябрь 2023'!$G$4:$G$1053,'сентябрь 2023'!$D$4:$D$1053,$B39,'сентябрь 2023'!$J$4:$J$1053,W$1)</f>
        <v>0</v>
      </c>
      <c r="X39" s="207">
        <f>SUMIFS('сентябрь 2023'!$G$4:$G$1053,'сентябрь 2023'!$D$4:$D$1053,$B39,'сентябрь 2023'!$J$4:$J$1053,X$1)</f>
        <v>0</v>
      </c>
      <c r="Y39" s="207">
        <f>SUMIFS('сентябрь 2023'!$G$4:$G$1053,'сентябрь 2023'!$D$4:$D$1053,$B39,'сентябрь 2023'!$J$4:$J$1053,Y$1)</f>
        <v>0</v>
      </c>
      <c r="Z39" s="207">
        <f>SUMIFS('сентябрь 2023'!$G$4:$G$1053,'сентябрь 2023'!$D$4:$D$1053,$B39,'сентябрь 2023'!$J$4:$J$1053,Z$1)</f>
        <v>0</v>
      </c>
      <c r="AA39" s="207">
        <f>SUMIFS('сентябрь 2023'!$G$4:$G$1053,'сентябрь 2023'!$D$4:$D$1053,$B39,'сентябрь 2023'!$J$4:$J$1053,AA$1)</f>
        <v>0</v>
      </c>
      <c r="AB39" s="207">
        <f>SUMIFS('сентябрь 2023'!$G$4:$G$1053,'сентябрь 2023'!$D$4:$D$1053,$B39,'сентябрь 2023'!$J$4:$J$1053,AB$1)</f>
        <v>0</v>
      </c>
      <c r="AC39" s="207">
        <f>SUMIFS('сентябрь 2023'!$G$4:$G$1053,'сентябрь 2023'!$D$4:$D$1053,$B39,'сентябрь 2023'!$J$4:$J$1053,AC$1)</f>
        <v>0</v>
      </c>
      <c r="AD39" s="207">
        <f>SUMIFS('сентябрь 2023'!$G$4:$G$1053,'сентябрь 2023'!$D$4:$D$1053,$B39,'сентябрь 2023'!$J$4:$J$1053,AD$1)</f>
        <v>0</v>
      </c>
      <c r="AE39" s="207">
        <f>SUMIFS('сентябрь 2023'!$G$4:$G$1053,'сентябрь 2023'!$D$4:$D$1053,$B39,'сентябрь 2023'!$J$4:$J$1053,AE$1)</f>
        <v>0</v>
      </c>
      <c r="AF39" s="207">
        <f>SUMIFS('сентябрь 2023'!$G$4:$G$1053,'сентябрь 2023'!$D$4:$D$1053,$B39,'сентябрь 2023'!$J$4:$J$1053,AF$1)</f>
        <v>0</v>
      </c>
      <c r="AG39" s="207">
        <f>SUMIFS('сентябрь 2023'!$G$4:$G$1053,'сентябрь 2023'!$D$4:$D$1053,$B39,'сентябрь 2023'!$J$4:$J$1053,AG$1)</f>
        <v>0</v>
      </c>
      <c r="AH39" s="207">
        <f>SUMIFS('сентябрь 2023'!$G$4:$G$1053,'сентябрь 2023'!$D$4:$D$1053,$B39,'сентябрь 2023'!$J$4:$J$1053,AH$1)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SUMIFS('сентябрь 2023'!$G$4:$G$1053,'сентябрь 2023'!$D$4:$D$1053,$B40,'сентябрь 2023'!$J$4:$J$1053,D$1)</f>
        <v>0</v>
      </c>
      <c r="E40" s="207">
        <f>SUMIFS('сентябрь 2023'!$G$4:$G$1053,'сентябрь 2023'!$D$4:$D$1053,$B40,'сентябрь 2023'!$J$4:$J$1053,E$1)</f>
        <v>0</v>
      </c>
      <c r="F40" s="207">
        <f>SUMIFS('сентябрь 2023'!$G$4:$G$1053,'сентябрь 2023'!$D$4:$D$1053,$B40,'сентябрь 2023'!$J$4:$J$1053,F$1)</f>
        <v>0</v>
      </c>
      <c r="G40" s="207">
        <f>SUMIFS('сентябрь 2023'!$G$4:$G$1053,'сентябрь 2023'!$D$4:$D$1053,$B40,'сентябрь 2023'!$J$4:$J$1053,G$1)</f>
        <v>0</v>
      </c>
      <c r="H40" s="207">
        <f>SUMIFS('сентябрь 2023'!$G$4:$G$1053,'сентябрь 2023'!$D$4:$D$1053,$B40,'сентябрь 2023'!$J$4:$J$1053,H$1)</f>
        <v>0</v>
      </c>
      <c r="I40" s="207">
        <f>SUMIFS('сентябрь 2023'!$G$4:$G$1053,'сентябрь 2023'!$D$4:$D$1053,$B40,'сентябрь 2023'!$J$4:$J$1053,I$1)</f>
        <v>0</v>
      </c>
      <c r="J40" s="207">
        <f>SUMIFS('сентябрь 2023'!$G$4:$G$1053,'сентябрь 2023'!$D$4:$D$1053,$B40,'сентябрь 2023'!$J$4:$J$1053,J$1)</f>
        <v>0</v>
      </c>
      <c r="K40" s="207">
        <f>SUMIFS('сентябрь 2023'!$G$4:$G$1053,'сентябрь 2023'!$D$4:$D$1053,$B40,'сентябрь 2023'!$J$4:$J$1053,K$1)</f>
        <v>12</v>
      </c>
      <c r="L40" s="207">
        <f>SUMIFS('сентябрь 2023'!$G$4:$G$1053,'сентябрь 2023'!$D$4:$D$1053,$B40,'сентябрь 2023'!$J$4:$J$1053,L$1)</f>
        <v>0</v>
      </c>
      <c r="M40" s="207">
        <f>SUMIFS('сентябрь 2023'!$G$4:$G$1053,'сентябрь 2023'!$D$4:$D$1053,$B40,'сентябрь 2023'!$J$4:$J$1053,M$1)</f>
        <v>0</v>
      </c>
      <c r="N40" s="207">
        <f>SUMIFS('сентябрь 2023'!$G$4:$G$1053,'сентябрь 2023'!$D$4:$D$1053,$B40,'сентябрь 2023'!$J$4:$J$1053,N$1)</f>
        <v>0</v>
      </c>
      <c r="O40" s="207">
        <f>SUMIFS('сентябрь 2023'!$G$4:$G$1053,'сентябрь 2023'!$D$4:$D$1053,$B40,'сентябрь 2023'!$J$4:$J$1053,O$1)</f>
        <v>0</v>
      </c>
      <c r="P40" s="207">
        <f>SUMIFS('сентябрь 2023'!$G$4:$G$1053,'сентябрь 2023'!$D$4:$D$1053,$B40,'сентябрь 2023'!$J$4:$J$1053,P$1)</f>
        <v>0</v>
      </c>
      <c r="Q40" s="207">
        <f>SUMIFS('сентябрь 2023'!$G$4:$G$1053,'сентябрь 2023'!$D$4:$D$1053,$B40,'сентябрь 2023'!$J$4:$J$1053,Q$1)</f>
        <v>0</v>
      </c>
      <c r="R40" s="207">
        <f>SUMIFS('сентябрь 2023'!$G$4:$G$1053,'сентябрь 2023'!$D$4:$D$1053,$B40,'сентябрь 2023'!$J$4:$J$1053,R$1)</f>
        <v>0</v>
      </c>
      <c r="S40" s="207">
        <f>SUMIFS('сентябрь 2023'!$G$4:$G$1053,'сентябрь 2023'!$D$4:$D$1053,$B40,'сентябрь 2023'!$J$4:$J$1053,S$1)</f>
        <v>0</v>
      </c>
      <c r="T40" s="207">
        <f>SUMIFS('сентябрь 2023'!$G$4:$G$1053,'сентябрь 2023'!$D$4:$D$1053,$B40,'сентябрь 2023'!$J$4:$J$1053,T$1)</f>
        <v>0</v>
      </c>
      <c r="U40" s="207">
        <f>SUMIFS('сентябрь 2023'!$G$4:$G$1053,'сентябрь 2023'!$D$4:$D$1053,$B40,'сентябрь 2023'!$J$4:$J$1053,U$1)</f>
        <v>0</v>
      </c>
      <c r="V40" s="207">
        <f>SUMIFS('сентябрь 2023'!$G$4:$G$1053,'сентябрь 2023'!$D$4:$D$1053,$B40,'сентябрь 2023'!$J$4:$J$1053,V$1)</f>
        <v>0</v>
      </c>
      <c r="W40" s="207">
        <f>SUMIFS('сентябрь 2023'!$G$4:$G$1053,'сентябрь 2023'!$D$4:$D$1053,$B40,'сентябрь 2023'!$J$4:$J$1053,W$1)</f>
        <v>0</v>
      </c>
      <c r="X40" s="207">
        <f>SUMIFS('сентябрь 2023'!$G$4:$G$1053,'сентябрь 2023'!$D$4:$D$1053,$B40,'сентябрь 2023'!$J$4:$J$1053,X$1)</f>
        <v>0</v>
      </c>
      <c r="Y40" s="207">
        <f>SUMIFS('сентябрь 2023'!$G$4:$G$1053,'сентябрь 2023'!$D$4:$D$1053,$B40,'сентябрь 2023'!$J$4:$J$1053,Y$1)</f>
        <v>0</v>
      </c>
      <c r="Z40" s="207">
        <f>SUMIFS('сентябрь 2023'!$G$4:$G$1053,'сентябрь 2023'!$D$4:$D$1053,$B40,'сентябрь 2023'!$J$4:$J$1053,Z$1)</f>
        <v>0</v>
      </c>
      <c r="AA40" s="207">
        <f>SUMIFS('сентябрь 2023'!$G$4:$G$1053,'сентябрь 2023'!$D$4:$D$1053,$B40,'сентябрь 2023'!$J$4:$J$1053,AA$1)</f>
        <v>0</v>
      </c>
      <c r="AB40" s="207">
        <f>SUMIFS('сентябрь 2023'!$G$4:$G$1053,'сентябрь 2023'!$D$4:$D$1053,$B40,'сентябрь 2023'!$J$4:$J$1053,AB$1)</f>
        <v>0</v>
      </c>
      <c r="AC40" s="207">
        <f>SUMIFS('сентябрь 2023'!$G$4:$G$1053,'сентябрь 2023'!$D$4:$D$1053,$B40,'сентябрь 2023'!$J$4:$J$1053,AC$1)</f>
        <v>0</v>
      </c>
      <c r="AD40" s="207">
        <f>SUMIFS('сентябрь 2023'!$G$4:$G$1053,'сентябрь 2023'!$D$4:$D$1053,$B40,'сентябрь 2023'!$J$4:$J$1053,AD$1)</f>
        <v>0</v>
      </c>
      <c r="AE40" s="207">
        <f>SUMIFS('сентябрь 2023'!$G$4:$G$1053,'сентябрь 2023'!$D$4:$D$1053,$B40,'сентябрь 2023'!$J$4:$J$1053,AE$1)</f>
        <v>0</v>
      </c>
      <c r="AF40" s="207">
        <f>SUMIFS('сентябрь 2023'!$G$4:$G$1053,'сентябрь 2023'!$D$4:$D$1053,$B40,'сентябрь 2023'!$J$4:$J$1053,AF$1)</f>
        <v>0</v>
      </c>
      <c r="AG40" s="207">
        <f>SUMIFS('сентябрь 2023'!$G$4:$G$1053,'сентябрь 2023'!$D$4:$D$1053,$B40,'сентябрь 2023'!$J$4:$J$1053,AG$1)</f>
        <v>0</v>
      </c>
      <c r="AH40" s="207">
        <f>SUMIFS('сентябрь 2023'!$G$4:$G$1053,'сентябрь 2023'!$D$4:$D$1053,$B40,'сентябрь 2023'!$J$4:$J$1053,AH$1)</f>
        <v>0</v>
      </c>
      <c r="AI40" s="170">
        <f t="shared" si="1"/>
        <v>12</v>
      </c>
    </row>
    <row r="41" spans="2:35" ht="15" customHeight="1" x14ac:dyDescent="0.25">
      <c r="B41" s="216" t="s">
        <v>2125</v>
      </c>
      <c r="C41" s="213">
        <v>25</v>
      </c>
      <c r="D41" s="207">
        <f>SUMIFS('сентябрь 2023'!$G$4:$G$1053,'сентябрь 2023'!$D$4:$D$1053,$B41,'сентябрь 2023'!$J$4:$J$1053,D$1)</f>
        <v>0</v>
      </c>
      <c r="E41" s="207">
        <f>SUMIFS('сентябрь 2023'!$G$4:$G$1053,'сентябрь 2023'!$D$4:$D$1053,$B41,'сентябрь 2023'!$J$4:$J$1053,E$1)</f>
        <v>0</v>
      </c>
      <c r="F41" s="207">
        <f>SUMIFS('сентябрь 2023'!$G$4:$G$1053,'сентябрь 2023'!$D$4:$D$1053,$B41,'сентябрь 2023'!$J$4:$J$1053,F$1)</f>
        <v>0</v>
      </c>
      <c r="G41" s="207">
        <f>SUMIFS('сентябрь 2023'!$G$4:$G$1053,'сентябрь 2023'!$D$4:$D$1053,$B41,'сентябрь 2023'!$J$4:$J$1053,G$1)</f>
        <v>0</v>
      </c>
      <c r="H41" s="207">
        <f>SUMIFS('сентябрь 2023'!$G$4:$G$1053,'сентябрь 2023'!$D$4:$D$1053,$B41,'сентябрь 2023'!$J$4:$J$1053,H$1)</f>
        <v>0</v>
      </c>
      <c r="I41" s="207">
        <f>SUMIFS('сентябрь 2023'!$G$4:$G$1053,'сентябрь 2023'!$D$4:$D$1053,$B41,'сентябрь 2023'!$J$4:$J$1053,I$1)</f>
        <v>0</v>
      </c>
      <c r="J41" s="207">
        <f>SUMIFS('сентябрь 2023'!$G$4:$G$1053,'сентябрь 2023'!$D$4:$D$1053,$B41,'сентябрь 2023'!$J$4:$J$1053,J$1)</f>
        <v>0</v>
      </c>
      <c r="K41" s="207">
        <f>SUMIFS('сентябрь 2023'!$G$4:$G$1053,'сентябрь 2023'!$D$4:$D$1053,$B41,'сентябрь 2023'!$J$4:$J$1053,K$1)</f>
        <v>0</v>
      </c>
      <c r="L41" s="207">
        <f>SUMIFS('сентябрь 2023'!$G$4:$G$1053,'сентябрь 2023'!$D$4:$D$1053,$B41,'сентябрь 2023'!$J$4:$J$1053,L$1)</f>
        <v>0</v>
      </c>
      <c r="M41" s="207">
        <f>SUMIFS('сентябрь 2023'!$G$4:$G$1053,'сентябрь 2023'!$D$4:$D$1053,$B41,'сентябрь 2023'!$J$4:$J$1053,M$1)</f>
        <v>0</v>
      </c>
      <c r="N41" s="207">
        <f>SUMIFS('сентябрь 2023'!$G$4:$G$1053,'сентябрь 2023'!$D$4:$D$1053,$B41,'сентябрь 2023'!$J$4:$J$1053,N$1)</f>
        <v>0</v>
      </c>
      <c r="O41" s="207">
        <f>SUMIFS('сентябрь 2023'!$G$4:$G$1053,'сентябрь 2023'!$D$4:$D$1053,$B41,'сентябрь 2023'!$J$4:$J$1053,O$1)</f>
        <v>0</v>
      </c>
      <c r="P41" s="207">
        <f>SUMIFS('сентябрь 2023'!$G$4:$G$1053,'сентябрь 2023'!$D$4:$D$1053,$B41,'сентябрь 2023'!$J$4:$J$1053,P$1)</f>
        <v>0</v>
      </c>
      <c r="Q41" s="207">
        <f>SUMIFS('сентябрь 2023'!$G$4:$G$1053,'сентябрь 2023'!$D$4:$D$1053,$B41,'сентябрь 2023'!$J$4:$J$1053,Q$1)</f>
        <v>0</v>
      </c>
      <c r="R41" s="207">
        <f>SUMIFS('сентябрь 2023'!$G$4:$G$1053,'сентябрь 2023'!$D$4:$D$1053,$B41,'сентябрь 2023'!$J$4:$J$1053,R$1)</f>
        <v>0</v>
      </c>
      <c r="S41" s="207">
        <f>SUMIFS('сентябрь 2023'!$G$4:$G$1053,'сентябрь 2023'!$D$4:$D$1053,$B41,'сентябрь 2023'!$J$4:$J$1053,S$1)</f>
        <v>0</v>
      </c>
      <c r="T41" s="207">
        <f>SUMIFS('сентябрь 2023'!$G$4:$G$1053,'сентябрь 2023'!$D$4:$D$1053,$B41,'сентябрь 2023'!$J$4:$J$1053,T$1)</f>
        <v>0</v>
      </c>
      <c r="U41" s="207">
        <f>SUMIFS('сентябрь 2023'!$G$4:$G$1053,'сентябрь 2023'!$D$4:$D$1053,$B41,'сентябрь 2023'!$J$4:$J$1053,U$1)</f>
        <v>0</v>
      </c>
      <c r="V41" s="207">
        <f>SUMIFS('сентябрь 2023'!$G$4:$G$1053,'сентябрь 2023'!$D$4:$D$1053,$B41,'сентябрь 2023'!$J$4:$J$1053,V$1)</f>
        <v>0</v>
      </c>
      <c r="W41" s="207">
        <f>SUMIFS('сентябрь 2023'!$G$4:$G$1053,'сентябрь 2023'!$D$4:$D$1053,$B41,'сентябрь 2023'!$J$4:$J$1053,W$1)</f>
        <v>0</v>
      </c>
      <c r="X41" s="207">
        <f>SUMIFS('сентябрь 2023'!$G$4:$G$1053,'сентябрь 2023'!$D$4:$D$1053,$B41,'сентябрь 2023'!$J$4:$J$1053,X$1)</f>
        <v>0</v>
      </c>
      <c r="Y41" s="207">
        <f>SUMIFS('сентябрь 2023'!$G$4:$G$1053,'сентябрь 2023'!$D$4:$D$1053,$B41,'сентябрь 2023'!$J$4:$J$1053,Y$1)</f>
        <v>0</v>
      </c>
      <c r="Z41" s="207">
        <f>SUMIFS('сентябрь 2023'!$G$4:$G$1053,'сентябрь 2023'!$D$4:$D$1053,$B41,'сентябрь 2023'!$J$4:$J$1053,Z$1)</f>
        <v>0</v>
      </c>
      <c r="AA41" s="207">
        <f>SUMIFS('сентябрь 2023'!$G$4:$G$1053,'сентябрь 2023'!$D$4:$D$1053,$B41,'сентябрь 2023'!$J$4:$J$1053,AA$1)</f>
        <v>0</v>
      </c>
      <c r="AB41" s="207">
        <f>SUMIFS('сентябрь 2023'!$G$4:$G$1053,'сентябрь 2023'!$D$4:$D$1053,$B41,'сентябрь 2023'!$J$4:$J$1053,AB$1)</f>
        <v>0</v>
      </c>
      <c r="AC41" s="207">
        <f>SUMIFS('сентябрь 2023'!$G$4:$G$1053,'сентябрь 2023'!$D$4:$D$1053,$B41,'сентябрь 2023'!$J$4:$J$1053,AC$1)</f>
        <v>0</v>
      </c>
      <c r="AD41" s="207">
        <f>SUMIFS('сентябрь 2023'!$G$4:$G$1053,'сентябрь 2023'!$D$4:$D$1053,$B41,'сентябрь 2023'!$J$4:$J$1053,AD$1)</f>
        <v>0</v>
      </c>
      <c r="AE41" s="207">
        <f>SUMIFS('сентябрь 2023'!$G$4:$G$1053,'сентябрь 2023'!$D$4:$D$1053,$B41,'сентябрь 2023'!$J$4:$J$1053,AE$1)</f>
        <v>0</v>
      </c>
      <c r="AF41" s="207">
        <f>SUMIFS('сентябрь 2023'!$G$4:$G$1053,'сентябрь 2023'!$D$4:$D$1053,$B41,'сентябрь 2023'!$J$4:$J$1053,AF$1)</f>
        <v>0</v>
      </c>
      <c r="AG41" s="207">
        <f>SUMIFS('сентябрь 2023'!$G$4:$G$1053,'сентябрь 2023'!$D$4:$D$1053,$B41,'сентябрь 2023'!$J$4:$J$1053,AG$1)</f>
        <v>0</v>
      </c>
      <c r="AH41" s="207">
        <f>SUMIFS('сентябрь 2023'!$G$4:$G$1053,'сентябрь 2023'!$D$4:$D$1053,$B41,'сентябрь 2023'!$J$4:$J$1053,AH$1)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SUMIFS('сентябрь 2023'!$G$4:$G$1053,'сентябрь 2023'!$D$4:$D$1053,$B42,'сентябрь 2023'!$J$4:$J$1053,D$1)</f>
        <v>0</v>
      </c>
      <c r="E42" s="207">
        <f>SUMIFS('сентябрь 2023'!$G$4:$G$1053,'сентябрь 2023'!$D$4:$D$1053,$B42,'сентябрь 2023'!$J$4:$J$1053,E$1)</f>
        <v>0</v>
      </c>
      <c r="F42" s="207">
        <f>SUMIFS('сентябрь 2023'!$G$4:$G$1053,'сентябрь 2023'!$D$4:$D$1053,$B42,'сентябрь 2023'!$J$4:$J$1053,F$1)</f>
        <v>0</v>
      </c>
      <c r="G42" s="207">
        <f>SUMIFS('сентябрь 2023'!$G$4:$G$1053,'сентябрь 2023'!$D$4:$D$1053,$B42,'сентябрь 2023'!$J$4:$J$1053,G$1)</f>
        <v>0</v>
      </c>
      <c r="H42" s="207">
        <f>SUMIFS('сентябрь 2023'!$G$4:$G$1053,'сентябрь 2023'!$D$4:$D$1053,$B42,'сентябрь 2023'!$J$4:$J$1053,H$1)</f>
        <v>0</v>
      </c>
      <c r="I42" s="207">
        <f>SUMIFS('сентябрь 2023'!$G$4:$G$1053,'сентябрь 2023'!$D$4:$D$1053,$B42,'сентябрь 2023'!$J$4:$J$1053,I$1)</f>
        <v>0</v>
      </c>
      <c r="J42" s="207">
        <f>SUMIFS('сентябрь 2023'!$G$4:$G$1053,'сентябрь 2023'!$D$4:$D$1053,$B42,'сентябрь 2023'!$J$4:$J$1053,J$1)</f>
        <v>0</v>
      </c>
      <c r="K42" s="207">
        <f>SUMIFS('сентябрь 2023'!$G$4:$G$1053,'сентябрь 2023'!$D$4:$D$1053,$B42,'сентябрь 2023'!$J$4:$J$1053,K$1)</f>
        <v>0</v>
      </c>
      <c r="L42" s="207">
        <f>SUMIFS('сентябрь 2023'!$G$4:$G$1053,'сентябрь 2023'!$D$4:$D$1053,$B42,'сентябрь 2023'!$J$4:$J$1053,L$1)</f>
        <v>0</v>
      </c>
      <c r="M42" s="207">
        <f>SUMIFS('сентябрь 2023'!$G$4:$G$1053,'сентябрь 2023'!$D$4:$D$1053,$B42,'сентябрь 2023'!$J$4:$J$1053,M$1)</f>
        <v>0</v>
      </c>
      <c r="N42" s="207">
        <f>SUMIFS('сентябрь 2023'!$G$4:$G$1053,'сентябрь 2023'!$D$4:$D$1053,$B42,'сентябрь 2023'!$J$4:$J$1053,N$1)</f>
        <v>0</v>
      </c>
      <c r="O42" s="207">
        <f>SUMIFS('сентябрь 2023'!$G$4:$G$1053,'сентябрь 2023'!$D$4:$D$1053,$B42,'сентябрь 2023'!$J$4:$J$1053,O$1)</f>
        <v>0</v>
      </c>
      <c r="P42" s="207">
        <f>SUMIFS('сентябрь 2023'!$G$4:$G$1053,'сентябрь 2023'!$D$4:$D$1053,$B42,'сентябрь 2023'!$J$4:$J$1053,P$1)</f>
        <v>0</v>
      </c>
      <c r="Q42" s="207">
        <f>SUMIFS('сентябрь 2023'!$G$4:$G$1053,'сентябрь 2023'!$D$4:$D$1053,$B42,'сентябрь 2023'!$J$4:$J$1053,Q$1)</f>
        <v>0</v>
      </c>
      <c r="R42" s="207">
        <f>SUMIFS('сентябрь 2023'!$G$4:$G$1053,'сентябрь 2023'!$D$4:$D$1053,$B42,'сентябрь 2023'!$J$4:$J$1053,R$1)</f>
        <v>0</v>
      </c>
      <c r="S42" s="207">
        <f>SUMIFS('сентябрь 2023'!$G$4:$G$1053,'сентябрь 2023'!$D$4:$D$1053,$B42,'сентябрь 2023'!$J$4:$J$1053,S$1)</f>
        <v>0</v>
      </c>
      <c r="T42" s="207">
        <f>SUMIFS('сентябрь 2023'!$G$4:$G$1053,'сентябрь 2023'!$D$4:$D$1053,$B42,'сентябрь 2023'!$J$4:$J$1053,T$1)</f>
        <v>0</v>
      </c>
      <c r="U42" s="207">
        <f>SUMIFS('сентябрь 2023'!$G$4:$G$1053,'сентябрь 2023'!$D$4:$D$1053,$B42,'сентябрь 2023'!$J$4:$J$1053,U$1)</f>
        <v>0</v>
      </c>
      <c r="V42" s="207">
        <f>SUMIFS('сентябрь 2023'!$G$4:$G$1053,'сентябрь 2023'!$D$4:$D$1053,$B42,'сентябрь 2023'!$J$4:$J$1053,V$1)</f>
        <v>0</v>
      </c>
      <c r="W42" s="207">
        <f>SUMIFS('сентябрь 2023'!$G$4:$G$1053,'сентябрь 2023'!$D$4:$D$1053,$B42,'сентябрь 2023'!$J$4:$J$1053,W$1)</f>
        <v>0</v>
      </c>
      <c r="X42" s="207">
        <f>SUMIFS('сентябрь 2023'!$G$4:$G$1053,'сентябрь 2023'!$D$4:$D$1053,$B42,'сентябрь 2023'!$J$4:$J$1053,X$1)</f>
        <v>0</v>
      </c>
      <c r="Y42" s="207">
        <f>SUMIFS('сентябрь 2023'!$G$4:$G$1053,'сентябрь 2023'!$D$4:$D$1053,$B42,'сентябрь 2023'!$J$4:$J$1053,Y$1)</f>
        <v>0</v>
      </c>
      <c r="Z42" s="207">
        <f>SUMIFS('сентябрь 2023'!$G$4:$G$1053,'сентябрь 2023'!$D$4:$D$1053,$B42,'сентябрь 2023'!$J$4:$J$1053,Z$1)</f>
        <v>0</v>
      </c>
      <c r="AA42" s="207">
        <f>SUMIFS('сентябрь 2023'!$G$4:$G$1053,'сентябрь 2023'!$D$4:$D$1053,$B42,'сентябрь 2023'!$J$4:$J$1053,AA$1)</f>
        <v>0</v>
      </c>
      <c r="AB42" s="207">
        <f>SUMIFS('сентябрь 2023'!$G$4:$G$1053,'сентябрь 2023'!$D$4:$D$1053,$B42,'сентябрь 2023'!$J$4:$J$1053,AB$1)</f>
        <v>0</v>
      </c>
      <c r="AC42" s="207">
        <f>SUMIFS('сентябрь 2023'!$G$4:$G$1053,'сентябрь 2023'!$D$4:$D$1053,$B42,'сентябрь 2023'!$J$4:$J$1053,AC$1)</f>
        <v>0</v>
      </c>
      <c r="AD42" s="207">
        <f>SUMIFS('сентябрь 2023'!$G$4:$G$1053,'сентябрь 2023'!$D$4:$D$1053,$B42,'сентябрь 2023'!$J$4:$J$1053,AD$1)</f>
        <v>0</v>
      </c>
      <c r="AE42" s="207">
        <f>SUMIFS('сентябрь 2023'!$G$4:$G$1053,'сентябрь 2023'!$D$4:$D$1053,$B42,'сентябрь 2023'!$J$4:$J$1053,AE$1)</f>
        <v>0</v>
      </c>
      <c r="AF42" s="207">
        <f>SUMIFS('сентябрь 2023'!$G$4:$G$1053,'сентябрь 2023'!$D$4:$D$1053,$B42,'сентябрь 2023'!$J$4:$J$1053,AF$1)</f>
        <v>0</v>
      </c>
      <c r="AG42" s="207">
        <f>SUMIFS('сентябрь 2023'!$G$4:$G$1053,'сентябрь 2023'!$D$4:$D$1053,$B42,'сентябрь 2023'!$J$4:$J$1053,AG$1)</f>
        <v>0</v>
      </c>
      <c r="AH42" s="207">
        <f>SUMIFS('сентябрь 2023'!$G$4:$G$1053,'сентябрь 2023'!$D$4:$D$1053,$B42,'сентябрь 2023'!$J$4:$J$1053,AH$1)</f>
        <v>0</v>
      </c>
      <c r="AI42" s="170">
        <f t="shared" si="1"/>
        <v>0</v>
      </c>
    </row>
    <row r="43" spans="2:35" ht="15" customHeight="1" x14ac:dyDescent="0.25">
      <c r="B43" s="216" t="s">
        <v>684</v>
      </c>
      <c r="C43" s="213">
        <v>20</v>
      </c>
      <c r="D43" s="207">
        <f>SUMIFS('сентябрь 2023'!$G$4:$G$1053,'сентябрь 2023'!$D$4:$D$1053,$B43,'сентябрь 2023'!$J$4:$J$1053,D$1)</f>
        <v>0</v>
      </c>
      <c r="E43" s="207">
        <f>SUMIFS('сентябрь 2023'!$G$4:$G$1053,'сентябрь 2023'!$D$4:$D$1053,$B43,'сентябрь 2023'!$J$4:$J$1053,E$1)</f>
        <v>0</v>
      </c>
      <c r="F43" s="207">
        <f>SUMIFS('сентябрь 2023'!$G$4:$G$1053,'сентябрь 2023'!$D$4:$D$1053,$B43,'сентябрь 2023'!$J$4:$J$1053,F$1)</f>
        <v>0</v>
      </c>
      <c r="G43" s="207">
        <f>SUMIFS('сентябрь 2023'!$G$4:$G$1053,'сентябрь 2023'!$D$4:$D$1053,$B43,'сентябрь 2023'!$J$4:$J$1053,G$1)</f>
        <v>0</v>
      </c>
      <c r="H43" s="207">
        <f>SUMIFS('сентябрь 2023'!$G$4:$G$1053,'сентябрь 2023'!$D$4:$D$1053,$B43,'сентябрь 2023'!$J$4:$J$1053,H$1)</f>
        <v>0</v>
      </c>
      <c r="I43" s="207">
        <f>SUMIFS('сентябрь 2023'!$G$4:$G$1053,'сентябрь 2023'!$D$4:$D$1053,$B43,'сентябрь 2023'!$J$4:$J$1053,I$1)</f>
        <v>0</v>
      </c>
      <c r="J43" s="207">
        <f>SUMIFS('сентябрь 2023'!$G$4:$G$1053,'сентябрь 2023'!$D$4:$D$1053,$B43,'сентябрь 2023'!$J$4:$J$1053,J$1)</f>
        <v>0</v>
      </c>
      <c r="K43" s="207">
        <f>SUMIFS('сентябрь 2023'!$G$4:$G$1053,'сентябрь 2023'!$D$4:$D$1053,$B43,'сентябрь 2023'!$J$4:$J$1053,K$1)</f>
        <v>250</v>
      </c>
      <c r="L43" s="207">
        <f>SUMIFS('сентябрь 2023'!$G$4:$G$1053,'сентябрь 2023'!$D$4:$D$1053,$B43,'сентябрь 2023'!$J$4:$J$1053,L$1)</f>
        <v>0</v>
      </c>
      <c r="M43" s="207">
        <f>SUMIFS('сентябрь 2023'!$G$4:$G$1053,'сентябрь 2023'!$D$4:$D$1053,$B43,'сентябрь 2023'!$J$4:$J$1053,M$1)</f>
        <v>0</v>
      </c>
      <c r="N43" s="207">
        <f>SUMIFS('сентябрь 2023'!$G$4:$G$1053,'сентябрь 2023'!$D$4:$D$1053,$B43,'сентябрь 2023'!$J$4:$J$1053,N$1)</f>
        <v>0</v>
      </c>
      <c r="O43" s="207">
        <f>SUMIFS('сентябрь 2023'!$G$4:$G$1053,'сентябрь 2023'!$D$4:$D$1053,$B43,'сентябрь 2023'!$J$4:$J$1053,O$1)</f>
        <v>0</v>
      </c>
      <c r="P43" s="207">
        <f>SUMIFS('сентябрь 2023'!$G$4:$G$1053,'сентябрь 2023'!$D$4:$D$1053,$B43,'сентябрь 2023'!$J$4:$J$1053,P$1)</f>
        <v>0</v>
      </c>
      <c r="Q43" s="207">
        <f>SUMIFS('сентябрь 2023'!$G$4:$G$1053,'сентябрь 2023'!$D$4:$D$1053,$B43,'сентябрь 2023'!$J$4:$J$1053,Q$1)</f>
        <v>0</v>
      </c>
      <c r="R43" s="207">
        <f>SUMIFS('сентябрь 2023'!$G$4:$G$1053,'сентябрь 2023'!$D$4:$D$1053,$B43,'сентябрь 2023'!$J$4:$J$1053,R$1)</f>
        <v>0</v>
      </c>
      <c r="S43" s="207">
        <f>SUMIFS('сентябрь 2023'!$G$4:$G$1053,'сентябрь 2023'!$D$4:$D$1053,$B43,'сентябрь 2023'!$J$4:$J$1053,S$1)</f>
        <v>0</v>
      </c>
      <c r="T43" s="207">
        <f>SUMIFS('сентябрь 2023'!$G$4:$G$1053,'сентябрь 2023'!$D$4:$D$1053,$B43,'сентябрь 2023'!$J$4:$J$1053,T$1)</f>
        <v>0</v>
      </c>
      <c r="U43" s="207">
        <f>SUMIFS('сентябрь 2023'!$G$4:$G$1053,'сентябрь 2023'!$D$4:$D$1053,$B43,'сентябрь 2023'!$J$4:$J$1053,U$1)</f>
        <v>0</v>
      </c>
      <c r="V43" s="207">
        <f>SUMIFS('сентябрь 2023'!$G$4:$G$1053,'сентябрь 2023'!$D$4:$D$1053,$B43,'сентябрь 2023'!$J$4:$J$1053,V$1)</f>
        <v>0</v>
      </c>
      <c r="W43" s="207">
        <f>SUMIFS('сентябрь 2023'!$G$4:$G$1053,'сентябрь 2023'!$D$4:$D$1053,$B43,'сентябрь 2023'!$J$4:$J$1053,W$1)</f>
        <v>0</v>
      </c>
      <c r="X43" s="207">
        <f>SUMIFS('сентябрь 2023'!$G$4:$G$1053,'сентябрь 2023'!$D$4:$D$1053,$B43,'сентябрь 2023'!$J$4:$J$1053,X$1)</f>
        <v>0</v>
      </c>
      <c r="Y43" s="207">
        <f>SUMIFS('сентябрь 2023'!$G$4:$G$1053,'сентябрь 2023'!$D$4:$D$1053,$B43,'сентябрь 2023'!$J$4:$J$1053,Y$1)</f>
        <v>0</v>
      </c>
      <c r="Z43" s="207">
        <f>SUMIFS('сентябрь 2023'!$G$4:$G$1053,'сентябрь 2023'!$D$4:$D$1053,$B43,'сентябрь 2023'!$J$4:$J$1053,Z$1)</f>
        <v>0</v>
      </c>
      <c r="AA43" s="207">
        <f>SUMIFS('сентябрь 2023'!$G$4:$G$1053,'сентябрь 2023'!$D$4:$D$1053,$B43,'сентябрь 2023'!$J$4:$J$1053,AA$1)</f>
        <v>0</v>
      </c>
      <c r="AB43" s="207">
        <f>SUMIFS('сентябрь 2023'!$G$4:$G$1053,'сентябрь 2023'!$D$4:$D$1053,$B43,'сентябрь 2023'!$J$4:$J$1053,AB$1)</f>
        <v>0</v>
      </c>
      <c r="AC43" s="207">
        <f>SUMIFS('сентябрь 2023'!$G$4:$G$1053,'сентябрь 2023'!$D$4:$D$1053,$B43,'сентябрь 2023'!$J$4:$J$1053,AC$1)</f>
        <v>0</v>
      </c>
      <c r="AD43" s="207">
        <f>SUMIFS('сентябрь 2023'!$G$4:$G$1053,'сентябрь 2023'!$D$4:$D$1053,$B43,'сентябрь 2023'!$J$4:$J$1053,AD$1)</f>
        <v>0</v>
      </c>
      <c r="AE43" s="207">
        <f>SUMIFS('сентябрь 2023'!$G$4:$G$1053,'сентябрь 2023'!$D$4:$D$1053,$B43,'сентябрь 2023'!$J$4:$J$1053,AE$1)</f>
        <v>0</v>
      </c>
      <c r="AF43" s="207">
        <f>SUMIFS('сентябрь 2023'!$G$4:$G$1053,'сентябрь 2023'!$D$4:$D$1053,$B43,'сентябрь 2023'!$J$4:$J$1053,AF$1)</f>
        <v>0</v>
      </c>
      <c r="AG43" s="207">
        <f>SUMIFS('сентябрь 2023'!$G$4:$G$1053,'сентябрь 2023'!$D$4:$D$1053,$B43,'сентябрь 2023'!$J$4:$J$1053,AG$1)</f>
        <v>0</v>
      </c>
      <c r="AH43" s="207">
        <f>SUMIFS('сентябрь 2023'!$G$4:$G$1053,'сентябрь 2023'!$D$4:$D$1053,$B43,'сентябрь 2023'!$J$4:$J$1053,AH$1)</f>
        <v>0</v>
      </c>
      <c r="AI43" s="170">
        <f t="shared" si="1"/>
        <v>250</v>
      </c>
    </row>
    <row r="44" spans="2:35" ht="15" customHeight="1" x14ac:dyDescent="0.25">
      <c r="B44" s="212" t="s">
        <v>1062</v>
      </c>
      <c r="C44" s="215">
        <v>20</v>
      </c>
      <c r="D44" s="207">
        <f>SUMIFS('сентябрь 2023'!$G$4:$G$1053,'сентябрь 2023'!$D$4:$D$1053,$B44,'сентябрь 2023'!$J$4:$J$1053,D$1)</f>
        <v>0</v>
      </c>
      <c r="E44" s="207">
        <f>SUMIFS('сентябрь 2023'!$G$4:$G$1053,'сентябрь 2023'!$D$4:$D$1053,$B44,'сентябрь 2023'!$J$4:$J$1053,E$1)</f>
        <v>0</v>
      </c>
      <c r="F44" s="207">
        <f>SUMIFS('сентябрь 2023'!$G$4:$G$1053,'сентябрь 2023'!$D$4:$D$1053,$B44,'сентябрь 2023'!$J$4:$J$1053,F$1)</f>
        <v>0</v>
      </c>
      <c r="G44" s="207">
        <f>SUMIFS('сентябрь 2023'!$G$4:$G$1053,'сентябрь 2023'!$D$4:$D$1053,$B44,'сентябрь 2023'!$J$4:$J$1053,G$1)</f>
        <v>0</v>
      </c>
      <c r="H44" s="207">
        <f>SUMIFS('сентябрь 2023'!$G$4:$G$1053,'сентябрь 2023'!$D$4:$D$1053,$B44,'сентябрь 2023'!$J$4:$J$1053,H$1)</f>
        <v>0</v>
      </c>
      <c r="I44" s="207">
        <f>SUMIFS('сентябрь 2023'!$G$4:$G$1053,'сентябрь 2023'!$D$4:$D$1053,$B44,'сентябрь 2023'!$J$4:$J$1053,I$1)</f>
        <v>0</v>
      </c>
      <c r="J44" s="207">
        <f>SUMIFS('сентябрь 2023'!$G$4:$G$1053,'сентябрь 2023'!$D$4:$D$1053,$B44,'сентябрь 2023'!$J$4:$J$1053,J$1)</f>
        <v>0</v>
      </c>
      <c r="K44" s="207">
        <f>SUMIFS('сентябрь 2023'!$G$4:$G$1053,'сентябрь 2023'!$D$4:$D$1053,$B44,'сентябрь 2023'!$J$4:$J$1053,K$1)</f>
        <v>0</v>
      </c>
      <c r="L44" s="207">
        <f>SUMIFS('сентябрь 2023'!$G$4:$G$1053,'сентябрь 2023'!$D$4:$D$1053,$B44,'сентябрь 2023'!$J$4:$J$1053,L$1)</f>
        <v>0</v>
      </c>
      <c r="M44" s="207">
        <f>SUMIFS('сентябрь 2023'!$G$4:$G$1053,'сентябрь 2023'!$D$4:$D$1053,$B44,'сентябрь 2023'!$J$4:$J$1053,M$1)</f>
        <v>0</v>
      </c>
      <c r="N44" s="207">
        <f>SUMIFS('сентябрь 2023'!$G$4:$G$1053,'сентябрь 2023'!$D$4:$D$1053,$B44,'сентябрь 2023'!$J$4:$J$1053,N$1)</f>
        <v>0</v>
      </c>
      <c r="O44" s="207">
        <f>SUMIFS('сентябрь 2023'!$G$4:$G$1053,'сентябрь 2023'!$D$4:$D$1053,$B44,'сентябрь 2023'!$J$4:$J$1053,O$1)</f>
        <v>0</v>
      </c>
      <c r="P44" s="207">
        <f>SUMIFS('сентябрь 2023'!$G$4:$G$1053,'сентябрь 2023'!$D$4:$D$1053,$B44,'сентябрь 2023'!$J$4:$J$1053,P$1)</f>
        <v>0</v>
      </c>
      <c r="Q44" s="207">
        <f>SUMIFS('сентябрь 2023'!$G$4:$G$1053,'сентябрь 2023'!$D$4:$D$1053,$B44,'сентябрь 2023'!$J$4:$J$1053,Q$1)</f>
        <v>0</v>
      </c>
      <c r="R44" s="207">
        <f>SUMIFS('сентябрь 2023'!$G$4:$G$1053,'сентябрь 2023'!$D$4:$D$1053,$B44,'сентябрь 2023'!$J$4:$J$1053,R$1)</f>
        <v>0</v>
      </c>
      <c r="S44" s="207">
        <f>SUMIFS('сентябрь 2023'!$G$4:$G$1053,'сентябрь 2023'!$D$4:$D$1053,$B44,'сентябрь 2023'!$J$4:$J$1053,S$1)</f>
        <v>0</v>
      </c>
      <c r="T44" s="207">
        <f>SUMIFS('сентябрь 2023'!$G$4:$G$1053,'сентябрь 2023'!$D$4:$D$1053,$B44,'сентябрь 2023'!$J$4:$J$1053,T$1)</f>
        <v>0</v>
      </c>
      <c r="U44" s="207">
        <f>SUMIFS('сентябрь 2023'!$G$4:$G$1053,'сентябрь 2023'!$D$4:$D$1053,$B44,'сентябрь 2023'!$J$4:$J$1053,U$1)</f>
        <v>0</v>
      </c>
      <c r="V44" s="207">
        <f>SUMIFS('сентябрь 2023'!$G$4:$G$1053,'сентябрь 2023'!$D$4:$D$1053,$B44,'сентябрь 2023'!$J$4:$J$1053,V$1)</f>
        <v>0</v>
      </c>
      <c r="W44" s="207">
        <f>SUMIFS('сентябрь 2023'!$G$4:$G$1053,'сентябрь 2023'!$D$4:$D$1053,$B44,'сентябрь 2023'!$J$4:$J$1053,W$1)</f>
        <v>0</v>
      </c>
      <c r="X44" s="207">
        <f>SUMIFS('сентябрь 2023'!$G$4:$G$1053,'сентябрь 2023'!$D$4:$D$1053,$B44,'сентябрь 2023'!$J$4:$J$1053,X$1)</f>
        <v>0</v>
      </c>
      <c r="Y44" s="207">
        <f>SUMIFS('сентябрь 2023'!$G$4:$G$1053,'сентябрь 2023'!$D$4:$D$1053,$B44,'сентябрь 2023'!$J$4:$J$1053,Y$1)</f>
        <v>0</v>
      </c>
      <c r="Z44" s="207">
        <f>SUMIFS('сентябрь 2023'!$G$4:$G$1053,'сентябрь 2023'!$D$4:$D$1053,$B44,'сентябрь 2023'!$J$4:$J$1053,Z$1)</f>
        <v>0</v>
      </c>
      <c r="AA44" s="207">
        <f>SUMIFS('сентябрь 2023'!$G$4:$G$1053,'сентябрь 2023'!$D$4:$D$1053,$B44,'сентябрь 2023'!$J$4:$J$1053,AA$1)</f>
        <v>0</v>
      </c>
      <c r="AB44" s="207">
        <f>SUMIFS('сентябрь 2023'!$G$4:$G$1053,'сентябрь 2023'!$D$4:$D$1053,$B44,'сентябрь 2023'!$J$4:$J$1053,AB$1)</f>
        <v>0</v>
      </c>
      <c r="AC44" s="207">
        <f>SUMIFS('сентябрь 2023'!$G$4:$G$1053,'сентябрь 2023'!$D$4:$D$1053,$B44,'сентябрь 2023'!$J$4:$J$1053,AC$1)</f>
        <v>0</v>
      </c>
      <c r="AD44" s="207">
        <f>SUMIFS('сентябрь 2023'!$G$4:$G$1053,'сентябрь 2023'!$D$4:$D$1053,$B44,'сентябрь 2023'!$J$4:$J$1053,AD$1)</f>
        <v>0</v>
      </c>
      <c r="AE44" s="207">
        <f>SUMIFS('сентябрь 2023'!$G$4:$G$1053,'сентябрь 2023'!$D$4:$D$1053,$B44,'сентябрь 2023'!$J$4:$J$1053,AE$1)</f>
        <v>0</v>
      </c>
      <c r="AF44" s="207">
        <f>SUMIFS('сентябрь 2023'!$G$4:$G$1053,'сентябрь 2023'!$D$4:$D$1053,$B44,'сентябрь 2023'!$J$4:$J$1053,AF$1)</f>
        <v>0</v>
      </c>
      <c r="AG44" s="207">
        <f>SUMIFS('сентябрь 2023'!$G$4:$G$1053,'сентябрь 2023'!$D$4:$D$1053,$B44,'сентябрь 2023'!$J$4:$J$1053,AG$1)</f>
        <v>0</v>
      </c>
      <c r="AH44" s="207">
        <f>SUMIFS('сентябрь 2023'!$G$4:$G$1053,'сентябрь 2023'!$D$4:$D$1053,$B44,'сентябрь 2023'!$J$4:$J$1053,AH$1)</f>
        <v>0</v>
      </c>
      <c r="AI44" s="170">
        <f t="shared" si="1"/>
        <v>0</v>
      </c>
    </row>
    <row r="45" spans="2:35" ht="15" customHeight="1" x14ac:dyDescent="0.25">
      <c r="B45" s="212" t="s">
        <v>1084</v>
      </c>
      <c r="C45" s="211">
        <v>20</v>
      </c>
      <c r="D45" s="207">
        <f>SUMIFS('сентябрь 2023'!$G$4:$G$1053,'сентябрь 2023'!$D$4:$D$1053,$B45,'сентябрь 2023'!$J$4:$J$1053,D$1)</f>
        <v>0</v>
      </c>
      <c r="E45" s="207">
        <f>SUMIFS('сентябрь 2023'!$G$4:$G$1053,'сентябрь 2023'!$D$4:$D$1053,$B45,'сентябрь 2023'!$J$4:$J$1053,E$1)</f>
        <v>0</v>
      </c>
      <c r="F45" s="207">
        <f>SUMIFS('сентябрь 2023'!$G$4:$G$1053,'сентябрь 2023'!$D$4:$D$1053,$B45,'сентябрь 2023'!$J$4:$J$1053,F$1)</f>
        <v>0</v>
      </c>
      <c r="G45" s="207">
        <f>SUMIFS('сентябрь 2023'!$G$4:$G$1053,'сентябрь 2023'!$D$4:$D$1053,$B45,'сентябрь 2023'!$J$4:$J$1053,G$1)</f>
        <v>0</v>
      </c>
      <c r="H45" s="207">
        <f>SUMIFS('сентябрь 2023'!$G$4:$G$1053,'сентябрь 2023'!$D$4:$D$1053,$B45,'сентябрь 2023'!$J$4:$J$1053,H$1)</f>
        <v>0</v>
      </c>
      <c r="I45" s="207">
        <f>SUMIFS('сентябрь 2023'!$G$4:$G$1053,'сентябрь 2023'!$D$4:$D$1053,$B45,'сентябрь 2023'!$J$4:$J$1053,I$1)</f>
        <v>0</v>
      </c>
      <c r="J45" s="207">
        <f>SUMIFS('сентябрь 2023'!$G$4:$G$1053,'сентябрь 2023'!$D$4:$D$1053,$B45,'сентябрь 2023'!$J$4:$J$1053,J$1)</f>
        <v>0</v>
      </c>
      <c r="K45" s="207">
        <f>SUMIFS('сентябрь 2023'!$G$4:$G$1053,'сентябрь 2023'!$D$4:$D$1053,$B45,'сентябрь 2023'!$J$4:$J$1053,K$1)</f>
        <v>0</v>
      </c>
      <c r="L45" s="207">
        <f>SUMIFS('сентябрь 2023'!$G$4:$G$1053,'сентябрь 2023'!$D$4:$D$1053,$B45,'сентябрь 2023'!$J$4:$J$1053,L$1)</f>
        <v>0</v>
      </c>
      <c r="M45" s="207">
        <f>SUMIFS('сентябрь 2023'!$G$4:$G$1053,'сентябрь 2023'!$D$4:$D$1053,$B45,'сентябрь 2023'!$J$4:$J$1053,M$1)</f>
        <v>0</v>
      </c>
      <c r="N45" s="207">
        <f>SUMIFS('сентябрь 2023'!$G$4:$G$1053,'сентябрь 2023'!$D$4:$D$1053,$B45,'сентябрь 2023'!$J$4:$J$1053,N$1)</f>
        <v>0</v>
      </c>
      <c r="O45" s="207">
        <f>SUMIFS('сентябрь 2023'!$G$4:$G$1053,'сентябрь 2023'!$D$4:$D$1053,$B45,'сентябрь 2023'!$J$4:$J$1053,O$1)</f>
        <v>0</v>
      </c>
      <c r="P45" s="207">
        <f>SUMIFS('сентябрь 2023'!$G$4:$G$1053,'сентябрь 2023'!$D$4:$D$1053,$B45,'сентябрь 2023'!$J$4:$J$1053,P$1)</f>
        <v>0</v>
      </c>
      <c r="Q45" s="207">
        <f>SUMIFS('сентябрь 2023'!$G$4:$G$1053,'сентябрь 2023'!$D$4:$D$1053,$B45,'сентябрь 2023'!$J$4:$J$1053,Q$1)</f>
        <v>0</v>
      </c>
      <c r="R45" s="207">
        <f>SUMIFS('сентябрь 2023'!$G$4:$G$1053,'сентябрь 2023'!$D$4:$D$1053,$B45,'сентябрь 2023'!$J$4:$J$1053,R$1)</f>
        <v>0</v>
      </c>
      <c r="S45" s="207">
        <f>SUMIFS('сентябрь 2023'!$G$4:$G$1053,'сентябрь 2023'!$D$4:$D$1053,$B45,'сентябрь 2023'!$J$4:$J$1053,S$1)</f>
        <v>0</v>
      </c>
      <c r="T45" s="207">
        <f>SUMIFS('сентябрь 2023'!$G$4:$G$1053,'сентябрь 2023'!$D$4:$D$1053,$B45,'сентябрь 2023'!$J$4:$J$1053,T$1)</f>
        <v>0</v>
      </c>
      <c r="U45" s="207">
        <f>SUMIFS('сентябрь 2023'!$G$4:$G$1053,'сентябрь 2023'!$D$4:$D$1053,$B45,'сентябрь 2023'!$J$4:$J$1053,U$1)</f>
        <v>0</v>
      </c>
      <c r="V45" s="207">
        <f>SUMIFS('сентябрь 2023'!$G$4:$G$1053,'сентябрь 2023'!$D$4:$D$1053,$B45,'сентябрь 2023'!$J$4:$J$1053,V$1)</f>
        <v>0</v>
      </c>
      <c r="W45" s="207">
        <f>SUMIFS('сентябрь 2023'!$G$4:$G$1053,'сентябрь 2023'!$D$4:$D$1053,$B45,'сентябрь 2023'!$J$4:$J$1053,W$1)</f>
        <v>0</v>
      </c>
      <c r="X45" s="207">
        <f>SUMIFS('сентябрь 2023'!$G$4:$G$1053,'сентябрь 2023'!$D$4:$D$1053,$B45,'сентябрь 2023'!$J$4:$J$1053,X$1)</f>
        <v>0</v>
      </c>
      <c r="Y45" s="207">
        <f>SUMIFS('сентябрь 2023'!$G$4:$G$1053,'сентябрь 2023'!$D$4:$D$1053,$B45,'сентябрь 2023'!$J$4:$J$1053,Y$1)</f>
        <v>0</v>
      </c>
      <c r="Z45" s="207">
        <f>SUMIFS('сентябрь 2023'!$G$4:$G$1053,'сентябрь 2023'!$D$4:$D$1053,$B45,'сентябрь 2023'!$J$4:$J$1053,Z$1)</f>
        <v>0</v>
      </c>
      <c r="AA45" s="207">
        <f>SUMIFS('сентябрь 2023'!$G$4:$G$1053,'сентябрь 2023'!$D$4:$D$1053,$B45,'сентябрь 2023'!$J$4:$J$1053,AA$1)</f>
        <v>0</v>
      </c>
      <c r="AB45" s="207">
        <f>SUMIFS('сентябрь 2023'!$G$4:$G$1053,'сентябрь 2023'!$D$4:$D$1053,$B45,'сентябрь 2023'!$J$4:$J$1053,AB$1)</f>
        <v>0</v>
      </c>
      <c r="AC45" s="207">
        <f>SUMIFS('сентябрь 2023'!$G$4:$G$1053,'сентябрь 2023'!$D$4:$D$1053,$B45,'сентябрь 2023'!$J$4:$J$1053,AC$1)</f>
        <v>0</v>
      </c>
      <c r="AD45" s="207">
        <f>SUMIFS('сентябрь 2023'!$G$4:$G$1053,'сентябрь 2023'!$D$4:$D$1053,$B45,'сентябрь 2023'!$J$4:$J$1053,AD$1)</f>
        <v>0</v>
      </c>
      <c r="AE45" s="207">
        <f>SUMIFS('сентябрь 2023'!$G$4:$G$1053,'сентябрь 2023'!$D$4:$D$1053,$B45,'сентябрь 2023'!$J$4:$J$1053,AE$1)</f>
        <v>0</v>
      </c>
      <c r="AF45" s="207">
        <f>SUMIFS('сентябрь 2023'!$G$4:$G$1053,'сентябрь 2023'!$D$4:$D$1053,$B45,'сентябрь 2023'!$J$4:$J$1053,AF$1)</f>
        <v>0</v>
      </c>
      <c r="AG45" s="207">
        <f>SUMIFS('сентябрь 2023'!$G$4:$G$1053,'сентябрь 2023'!$D$4:$D$1053,$B45,'сентябрь 2023'!$J$4:$J$1053,AG$1)</f>
        <v>0</v>
      </c>
      <c r="AH45" s="207">
        <f>SUMIFS('сентябрь 2023'!$G$4:$G$1053,'сентябрь 2023'!$D$4:$D$1053,$B45,'сентябрь 2023'!$J$4:$J$1053,AH$1)</f>
        <v>0</v>
      </c>
      <c r="AI45" s="170">
        <f t="shared" si="1"/>
        <v>0</v>
      </c>
    </row>
    <row r="46" spans="2:35" ht="15" customHeight="1" x14ac:dyDescent="0.25">
      <c r="B46" s="212" t="s">
        <v>440</v>
      </c>
      <c r="C46" s="213">
        <v>20</v>
      </c>
      <c r="D46" s="207">
        <f>SUMIFS('сентябрь 2023'!$G$4:$G$1053,'сентябрь 2023'!$D$4:$D$1053,$B46,'сентябрь 2023'!$J$4:$J$1053,D$1)</f>
        <v>0</v>
      </c>
      <c r="E46" s="207">
        <f>SUMIFS('сентябрь 2023'!$G$4:$G$1053,'сентябрь 2023'!$D$4:$D$1053,$B46,'сентябрь 2023'!$J$4:$J$1053,E$1)</f>
        <v>0</v>
      </c>
      <c r="F46" s="207">
        <f>SUMIFS('сентябрь 2023'!$G$4:$G$1053,'сентябрь 2023'!$D$4:$D$1053,$B46,'сентябрь 2023'!$J$4:$J$1053,F$1)</f>
        <v>0</v>
      </c>
      <c r="G46" s="207">
        <f>SUMIFS('сентябрь 2023'!$G$4:$G$1053,'сентябрь 2023'!$D$4:$D$1053,$B46,'сентябрь 2023'!$J$4:$J$1053,G$1)</f>
        <v>0</v>
      </c>
      <c r="H46" s="207">
        <f>SUMIFS('сентябрь 2023'!$G$4:$G$1053,'сентябрь 2023'!$D$4:$D$1053,$B46,'сентябрь 2023'!$J$4:$J$1053,H$1)</f>
        <v>0</v>
      </c>
      <c r="I46" s="207">
        <f>SUMIFS('сентябрь 2023'!$G$4:$G$1053,'сентябрь 2023'!$D$4:$D$1053,$B46,'сентябрь 2023'!$J$4:$J$1053,I$1)</f>
        <v>0</v>
      </c>
      <c r="J46" s="207">
        <f>SUMIFS('сентябрь 2023'!$G$4:$G$1053,'сентябрь 2023'!$D$4:$D$1053,$B46,'сентябрь 2023'!$J$4:$J$1053,J$1)</f>
        <v>0</v>
      </c>
      <c r="K46" s="207">
        <f>SUMIFS('сентябрь 2023'!$G$4:$G$1053,'сентябрь 2023'!$D$4:$D$1053,$B46,'сентябрь 2023'!$J$4:$J$1053,K$1)</f>
        <v>0</v>
      </c>
      <c r="L46" s="207">
        <f>SUMIFS('сентябрь 2023'!$G$4:$G$1053,'сентябрь 2023'!$D$4:$D$1053,$B46,'сентябрь 2023'!$J$4:$J$1053,L$1)</f>
        <v>0</v>
      </c>
      <c r="M46" s="207">
        <f>SUMIFS('сентябрь 2023'!$G$4:$G$1053,'сентябрь 2023'!$D$4:$D$1053,$B46,'сентябрь 2023'!$J$4:$J$1053,M$1)</f>
        <v>0</v>
      </c>
      <c r="N46" s="207">
        <f>SUMIFS('сентябрь 2023'!$G$4:$G$1053,'сентябрь 2023'!$D$4:$D$1053,$B46,'сентябрь 2023'!$J$4:$J$1053,N$1)</f>
        <v>0</v>
      </c>
      <c r="O46" s="207">
        <f>SUMIFS('сентябрь 2023'!$G$4:$G$1053,'сентябрь 2023'!$D$4:$D$1053,$B46,'сентябрь 2023'!$J$4:$J$1053,O$1)</f>
        <v>0</v>
      </c>
      <c r="P46" s="207">
        <f>SUMIFS('сентябрь 2023'!$G$4:$G$1053,'сентябрь 2023'!$D$4:$D$1053,$B46,'сентябрь 2023'!$J$4:$J$1053,P$1)</f>
        <v>0</v>
      </c>
      <c r="Q46" s="207">
        <f>SUMIFS('сентябрь 2023'!$G$4:$G$1053,'сентябрь 2023'!$D$4:$D$1053,$B46,'сентябрь 2023'!$J$4:$J$1053,Q$1)</f>
        <v>0</v>
      </c>
      <c r="R46" s="207">
        <f>SUMIFS('сентябрь 2023'!$G$4:$G$1053,'сентябрь 2023'!$D$4:$D$1053,$B46,'сентябрь 2023'!$J$4:$J$1053,R$1)</f>
        <v>0</v>
      </c>
      <c r="S46" s="207">
        <f>SUMIFS('сентябрь 2023'!$G$4:$G$1053,'сентябрь 2023'!$D$4:$D$1053,$B46,'сентябрь 2023'!$J$4:$J$1053,S$1)</f>
        <v>0</v>
      </c>
      <c r="T46" s="207">
        <f>SUMIFS('сентябрь 2023'!$G$4:$G$1053,'сентябрь 2023'!$D$4:$D$1053,$B46,'сентябрь 2023'!$J$4:$J$1053,T$1)</f>
        <v>0</v>
      </c>
      <c r="U46" s="207">
        <f>SUMIFS('сентябрь 2023'!$G$4:$G$1053,'сентябрь 2023'!$D$4:$D$1053,$B46,'сентябрь 2023'!$J$4:$J$1053,U$1)</f>
        <v>0</v>
      </c>
      <c r="V46" s="207">
        <f>SUMIFS('сентябрь 2023'!$G$4:$G$1053,'сентябрь 2023'!$D$4:$D$1053,$B46,'сентябрь 2023'!$J$4:$J$1053,V$1)</f>
        <v>0</v>
      </c>
      <c r="W46" s="207">
        <f>SUMIFS('сентябрь 2023'!$G$4:$G$1053,'сентябрь 2023'!$D$4:$D$1053,$B46,'сентябрь 2023'!$J$4:$J$1053,W$1)</f>
        <v>0</v>
      </c>
      <c r="X46" s="207">
        <f>SUMIFS('сентябрь 2023'!$G$4:$G$1053,'сентябрь 2023'!$D$4:$D$1053,$B46,'сентябрь 2023'!$J$4:$J$1053,X$1)</f>
        <v>0</v>
      </c>
      <c r="Y46" s="207">
        <f>SUMIFS('сентябрь 2023'!$G$4:$G$1053,'сентябрь 2023'!$D$4:$D$1053,$B46,'сентябрь 2023'!$J$4:$J$1053,Y$1)</f>
        <v>0</v>
      </c>
      <c r="Z46" s="207">
        <f>SUMIFS('сентябрь 2023'!$G$4:$G$1053,'сентябрь 2023'!$D$4:$D$1053,$B46,'сентябрь 2023'!$J$4:$J$1053,Z$1)</f>
        <v>0</v>
      </c>
      <c r="AA46" s="207">
        <f>SUMIFS('сентябрь 2023'!$G$4:$G$1053,'сентябрь 2023'!$D$4:$D$1053,$B46,'сентябрь 2023'!$J$4:$J$1053,AA$1)</f>
        <v>0</v>
      </c>
      <c r="AB46" s="207">
        <f>SUMIFS('сентябрь 2023'!$G$4:$G$1053,'сентябрь 2023'!$D$4:$D$1053,$B46,'сентябрь 2023'!$J$4:$J$1053,AB$1)</f>
        <v>0</v>
      </c>
      <c r="AC46" s="207">
        <f>SUMIFS('сентябрь 2023'!$G$4:$G$1053,'сентябрь 2023'!$D$4:$D$1053,$B46,'сентябрь 2023'!$J$4:$J$1053,AC$1)</f>
        <v>0</v>
      </c>
      <c r="AD46" s="207">
        <f>SUMIFS('сентябрь 2023'!$G$4:$G$1053,'сентябрь 2023'!$D$4:$D$1053,$B46,'сентябрь 2023'!$J$4:$J$1053,AD$1)</f>
        <v>0</v>
      </c>
      <c r="AE46" s="207">
        <f>SUMIFS('сентябрь 2023'!$G$4:$G$1053,'сентябрь 2023'!$D$4:$D$1053,$B46,'сентябрь 2023'!$J$4:$J$1053,AE$1)</f>
        <v>0</v>
      </c>
      <c r="AF46" s="207">
        <f>SUMIFS('сентябрь 2023'!$G$4:$G$1053,'сентябрь 2023'!$D$4:$D$1053,$B46,'сентябрь 2023'!$J$4:$J$1053,AF$1)</f>
        <v>0</v>
      </c>
      <c r="AG46" s="207">
        <f>SUMIFS('сентябрь 2023'!$G$4:$G$1053,'сентябрь 2023'!$D$4:$D$1053,$B46,'сентябрь 2023'!$J$4:$J$1053,AG$1)</f>
        <v>0</v>
      </c>
      <c r="AH46" s="207">
        <f>SUMIFS('сентябрь 2023'!$G$4:$G$1053,'сентябрь 2023'!$D$4:$D$1053,$B46,'сентябрь 2023'!$J$4:$J$1053,AH$1)</f>
        <v>0</v>
      </c>
      <c r="AI46" s="170">
        <f t="shared" si="1"/>
        <v>0</v>
      </c>
    </row>
    <row r="47" spans="2:35" ht="15" customHeight="1" x14ac:dyDescent="0.25">
      <c r="B47" s="212" t="s">
        <v>1573</v>
      </c>
      <c r="C47" s="213">
        <v>50</v>
      </c>
      <c r="D47" s="207">
        <f>SUMIFS('сентябрь 2023'!$G$4:$G$1053,'сентябрь 2023'!$D$4:$D$1053,$B47,'сентябрь 2023'!$J$4:$J$1053,D$1)</f>
        <v>0</v>
      </c>
      <c r="E47" s="207">
        <f>SUMIFS('сентябрь 2023'!$G$4:$G$1053,'сентябрь 2023'!$D$4:$D$1053,$B47,'сентябрь 2023'!$J$4:$J$1053,E$1)</f>
        <v>0</v>
      </c>
      <c r="F47" s="207">
        <f>SUMIFS('сентябрь 2023'!$G$4:$G$1053,'сентябрь 2023'!$D$4:$D$1053,$B47,'сентябрь 2023'!$J$4:$J$1053,F$1)</f>
        <v>0</v>
      </c>
      <c r="G47" s="207">
        <f>SUMIFS('сентябрь 2023'!$G$4:$G$1053,'сентябрь 2023'!$D$4:$D$1053,$B47,'сентябрь 2023'!$J$4:$J$1053,G$1)</f>
        <v>0</v>
      </c>
      <c r="H47" s="207">
        <f>SUMIFS('сентябрь 2023'!$G$4:$G$1053,'сентябрь 2023'!$D$4:$D$1053,$B47,'сентябрь 2023'!$J$4:$J$1053,H$1)</f>
        <v>0</v>
      </c>
      <c r="I47" s="207">
        <f>SUMIFS('сентябрь 2023'!$G$4:$G$1053,'сентябрь 2023'!$D$4:$D$1053,$B47,'сентябрь 2023'!$J$4:$J$1053,I$1)</f>
        <v>0</v>
      </c>
      <c r="J47" s="207">
        <f>SUMIFS('сентябрь 2023'!$G$4:$G$1053,'сентябрь 2023'!$D$4:$D$1053,$B47,'сентябрь 2023'!$J$4:$J$1053,J$1)</f>
        <v>0</v>
      </c>
      <c r="K47" s="207">
        <f>SUMIFS('сентябрь 2023'!$G$4:$G$1053,'сентябрь 2023'!$D$4:$D$1053,$B47,'сентябрь 2023'!$J$4:$J$1053,K$1)</f>
        <v>0</v>
      </c>
      <c r="L47" s="207">
        <f>SUMIFS('сентябрь 2023'!$G$4:$G$1053,'сентябрь 2023'!$D$4:$D$1053,$B47,'сентябрь 2023'!$J$4:$J$1053,L$1)</f>
        <v>0</v>
      </c>
      <c r="M47" s="207">
        <f>SUMIFS('сентябрь 2023'!$G$4:$G$1053,'сентябрь 2023'!$D$4:$D$1053,$B47,'сентябрь 2023'!$J$4:$J$1053,M$1)</f>
        <v>0</v>
      </c>
      <c r="N47" s="207">
        <f>SUMIFS('сентябрь 2023'!$G$4:$G$1053,'сентябрь 2023'!$D$4:$D$1053,$B47,'сентябрь 2023'!$J$4:$J$1053,N$1)</f>
        <v>0</v>
      </c>
      <c r="O47" s="207">
        <f>SUMIFS('сентябрь 2023'!$G$4:$G$1053,'сентябрь 2023'!$D$4:$D$1053,$B47,'сентябрь 2023'!$J$4:$J$1053,O$1)</f>
        <v>0</v>
      </c>
      <c r="P47" s="207">
        <f>SUMIFS('сентябрь 2023'!$G$4:$G$1053,'сентябрь 2023'!$D$4:$D$1053,$B47,'сентябрь 2023'!$J$4:$J$1053,P$1)</f>
        <v>0</v>
      </c>
      <c r="Q47" s="207">
        <f>SUMIFS('сентябрь 2023'!$G$4:$G$1053,'сентябрь 2023'!$D$4:$D$1053,$B47,'сентябрь 2023'!$J$4:$J$1053,Q$1)</f>
        <v>0</v>
      </c>
      <c r="R47" s="207">
        <f>SUMIFS('сентябрь 2023'!$G$4:$G$1053,'сентябрь 2023'!$D$4:$D$1053,$B47,'сентябрь 2023'!$J$4:$J$1053,R$1)</f>
        <v>0</v>
      </c>
      <c r="S47" s="207">
        <f>SUMIFS('сентябрь 2023'!$G$4:$G$1053,'сентябрь 2023'!$D$4:$D$1053,$B47,'сентябрь 2023'!$J$4:$J$1053,S$1)</f>
        <v>0</v>
      </c>
      <c r="T47" s="207">
        <f>SUMIFS('сентябрь 2023'!$G$4:$G$1053,'сентябрь 2023'!$D$4:$D$1053,$B47,'сентябрь 2023'!$J$4:$J$1053,T$1)</f>
        <v>0</v>
      </c>
      <c r="U47" s="207">
        <f>SUMIFS('сентябрь 2023'!$G$4:$G$1053,'сентябрь 2023'!$D$4:$D$1053,$B47,'сентябрь 2023'!$J$4:$J$1053,U$1)</f>
        <v>0</v>
      </c>
      <c r="V47" s="207">
        <f>SUMIFS('сентябрь 2023'!$G$4:$G$1053,'сентябрь 2023'!$D$4:$D$1053,$B47,'сентябрь 2023'!$J$4:$J$1053,V$1)</f>
        <v>0</v>
      </c>
      <c r="W47" s="207">
        <f>SUMIFS('сентябрь 2023'!$G$4:$G$1053,'сентябрь 2023'!$D$4:$D$1053,$B47,'сентябрь 2023'!$J$4:$J$1053,W$1)</f>
        <v>0</v>
      </c>
      <c r="X47" s="207">
        <f>SUMIFS('сентябрь 2023'!$G$4:$G$1053,'сентябрь 2023'!$D$4:$D$1053,$B47,'сентябрь 2023'!$J$4:$J$1053,X$1)</f>
        <v>0</v>
      </c>
      <c r="Y47" s="207">
        <f>SUMIFS('сентябрь 2023'!$G$4:$G$1053,'сентябрь 2023'!$D$4:$D$1053,$B47,'сентябрь 2023'!$J$4:$J$1053,Y$1)</f>
        <v>0</v>
      </c>
      <c r="Z47" s="207">
        <f>SUMIFS('сентябрь 2023'!$G$4:$G$1053,'сентябрь 2023'!$D$4:$D$1053,$B47,'сентябрь 2023'!$J$4:$J$1053,Z$1)</f>
        <v>0</v>
      </c>
      <c r="AA47" s="207">
        <f>SUMIFS('сентябрь 2023'!$G$4:$G$1053,'сентябрь 2023'!$D$4:$D$1053,$B47,'сентябрь 2023'!$J$4:$J$1053,AA$1)</f>
        <v>0</v>
      </c>
      <c r="AB47" s="207">
        <f>SUMIFS('сентябрь 2023'!$G$4:$G$1053,'сентябрь 2023'!$D$4:$D$1053,$B47,'сентябрь 2023'!$J$4:$J$1053,AB$1)</f>
        <v>0</v>
      </c>
      <c r="AC47" s="207">
        <f>SUMIFS('сентябрь 2023'!$G$4:$G$1053,'сентябрь 2023'!$D$4:$D$1053,$B47,'сентябрь 2023'!$J$4:$J$1053,AC$1)</f>
        <v>0</v>
      </c>
      <c r="AD47" s="207">
        <f>SUMIFS('сентябрь 2023'!$G$4:$G$1053,'сентябрь 2023'!$D$4:$D$1053,$B47,'сентябрь 2023'!$J$4:$J$1053,AD$1)</f>
        <v>0</v>
      </c>
      <c r="AE47" s="207">
        <f>SUMIFS('сентябрь 2023'!$G$4:$G$1053,'сентябрь 2023'!$D$4:$D$1053,$B47,'сентябрь 2023'!$J$4:$J$1053,AE$1)</f>
        <v>0</v>
      </c>
      <c r="AF47" s="207">
        <f>SUMIFS('сентябрь 2023'!$G$4:$G$1053,'сентябрь 2023'!$D$4:$D$1053,$B47,'сентябрь 2023'!$J$4:$J$1053,AF$1)</f>
        <v>0</v>
      </c>
      <c r="AG47" s="207">
        <f>SUMIFS('сентябрь 2023'!$G$4:$G$1053,'сентябрь 2023'!$D$4:$D$1053,$B47,'сентябрь 2023'!$J$4:$J$1053,AG$1)</f>
        <v>0</v>
      </c>
      <c r="AH47" s="207">
        <f>SUMIFS('сентябрь 2023'!$G$4:$G$1053,'сентябрь 2023'!$D$4:$D$1053,$B47,'сентябрь 2023'!$J$4:$J$1053,AH$1)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SUMIFS('сентябрь 2023'!$G$4:$G$1053,'сентябрь 2023'!$D$4:$D$1053,$B48,'сентябрь 2023'!$J$4:$J$1053,D$1)</f>
        <v>0</v>
      </c>
      <c r="E48" s="207">
        <f>SUMIFS('сентябрь 2023'!$G$4:$G$1053,'сентябрь 2023'!$D$4:$D$1053,$B48,'сентябрь 2023'!$J$4:$J$1053,E$1)</f>
        <v>0</v>
      </c>
      <c r="F48" s="207">
        <f>SUMIFS('сентябрь 2023'!$G$4:$G$1053,'сентябрь 2023'!$D$4:$D$1053,$B48,'сентябрь 2023'!$J$4:$J$1053,F$1)</f>
        <v>0</v>
      </c>
      <c r="G48" s="207">
        <f>SUMIFS('сентябрь 2023'!$G$4:$G$1053,'сентябрь 2023'!$D$4:$D$1053,$B48,'сентябрь 2023'!$J$4:$J$1053,G$1)</f>
        <v>0</v>
      </c>
      <c r="H48" s="207">
        <f>SUMIFS('сентябрь 2023'!$G$4:$G$1053,'сентябрь 2023'!$D$4:$D$1053,$B48,'сентябрь 2023'!$J$4:$J$1053,H$1)</f>
        <v>0</v>
      </c>
      <c r="I48" s="207">
        <f>SUMIFS('сентябрь 2023'!$G$4:$G$1053,'сентябрь 2023'!$D$4:$D$1053,$B48,'сентябрь 2023'!$J$4:$J$1053,I$1)</f>
        <v>0</v>
      </c>
      <c r="J48" s="207">
        <f>SUMIFS('сентябрь 2023'!$G$4:$G$1053,'сентябрь 2023'!$D$4:$D$1053,$B48,'сентябрь 2023'!$J$4:$J$1053,J$1)</f>
        <v>0</v>
      </c>
      <c r="K48" s="207">
        <f>SUMIFS('сентябрь 2023'!$G$4:$G$1053,'сентябрь 2023'!$D$4:$D$1053,$B48,'сентябрь 2023'!$J$4:$J$1053,K$1)</f>
        <v>0</v>
      </c>
      <c r="L48" s="207">
        <f>SUMIFS('сентябрь 2023'!$G$4:$G$1053,'сентябрь 2023'!$D$4:$D$1053,$B48,'сентябрь 2023'!$J$4:$J$1053,L$1)</f>
        <v>0</v>
      </c>
      <c r="M48" s="207">
        <f>SUMIFS('сентябрь 2023'!$G$4:$G$1053,'сентябрь 2023'!$D$4:$D$1053,$B48,'сентябрь 2023'!$J$4:$J$1053,M$1)</f>
        <v>0</v>
      </c>
      <c r="N48" s="207">
        <f>SUMIFS('сентябрь 2023'!$G$4:$G$1053,'сентябрь 2023'!$D$4:$D$1053,$B48,'сентябрь 2023'!$J$4:$J$1053,N$1)</f>
        <v>0</v>
      </c>
      <c r="O48" s="207">
        <f>SUMIFS('сентябрь 2023'!$G$4:$G$1053,'сентябрь 2023'!$D$4:$D$1053,$B48,'сентябрь 2023'!$J$4:$J$1053,O$1)</f>
        <v>0</v>
      </c>
      <c r="P48" s="207">
        <f>SUMIFS('сентябрь 2023'!$G$4:$G$1053,'сентябрь 2023'!$D$4:$D$1053,$B48,'сентябрь 2023'!$J$4:$J$1053,P$1)</f>
        <v>0</v>
      </c>
      <c r="Q48" s="207">
        <f>SUMIFS('сентябрь 2023'!$G$4:$G$1053,'сентябрь 2023'!$D$4:$D$1053,$B48,'сентябрь 2023'!$J$4:$J$1053,Q$1)</f>
        <v>0</v>
      </c>
      <c r="R48" s="207">
        <f>SUMIFS('сентябрь 2023'!$G$4:$G$1053,'сентябрь 2023'!$D$4:$D$1053,$B48,'сентябрь 2023'!$J$4:$J$1053,R$1)</f>
        <v>0</v>
      </c>
      <c r="S48" s="207">
        <f>SUMIFS('сентябрь 2023'!$G$4:$G$1053,'сентябрь 2023'!$D$4:$D$1053,$B48,'сентябрь 2023'!$J$4:$J$1053,S$1)</f>
        <v>0</v>
      </c>
      <c r="T48" s="207">
        <f>SUMIFS('сентябрь 2023'!$G$4:$G$1053,'сентябрь 2023'!$D$4:$D$1053,$B48,'сентябрь 2023'!$J$4:$J$1053,T$1)</f>
        <v>0</v>
      </c>
      <c r="U48" s="207">
        <f>SUMIFS('сентябрь 2023'!$G$4:$G$1053,'сентябрь 2023'!$D$4:$D$1053,$B48,'сентябрь 2023'!$J$4:$J$1053,U$1)</f>
        <v>0</v>
      </c>
      <c r="V48" s="207">
        <f>SUMIFS('сентябрь 2023'!$G$4:$G$1053,'сентябрь 2023'!$D$4:$D$1053,$B48,'сентябрь 2023'!$J$4:$J$1053,V$1)</f>
        <v>0</v>
      </c>
      <c r="W48" s="207">
        <f>SUMIFS('сентябрь 2023'!$G$4:$G$1053,'сентябрь 2023'!$D$4:$D$1053,$B48,'сентябрь 2023'!$J$4:$J$1053,W$1)</f>
        <v>0</v>
      </c>
      <c r="X48" s="207">
        <f>SUMIFS('сентябрь 2023'!$G$4:$G$1053,'сентябрь 2023'!$D$4:$D$1053,$B48,'сентябрь 2023'!$J$4:$J$1053,X$1)</f>
        <v>0</v>
      </c>
      <c r="Y48" s="207">
        <f>SUMIFS('сентябрь 2023'!$G$4:$G$1053,'сентябрь 2023'!$D$4:$D$1053,$B48,'сентябрь 2023'!$J$4:$J$1053,Y$1)</f>
        <v>0</v>
      </c>
      <c r="Z48" s="207">
        <f>SUMIFS('сентябрь 2023'!$G$4:$G$1053,'сентябрь 2023'!$D$4:$D$1053,$B48,'сентябрь 2023'!$J$4:$J$1053,Z$1)</f>
        <v>0</v>
      </c>
      <c r="AA48" s="207">
        <f>SUMIFS('сентябрь 2023'!$G$4:$G$1053,'сентябрь 2023'!$D$4:$D$1053,$B48,'сентябрь 2023'!$J$4:$J$1053,AA$1)</f>
        <v>0</v>
      </c>
      <c r="AB48" s="207">
        <f>SUMIFS('сентябрь 2023'!$G$4:$G$1053,'сентябрь 2023'!$D$4:$D$1053,$B48,'сентябрь 2023'!$J$4:$J$1053,AB$1)</f>
        <v>0</v>
      </c>
      <c r="AC48" s="207">
        <f>SUMIFS('сентябрь 2023'!$G$4:$G$1053,'сентябрь 2023'!$D$4:$D$1053,$B48,'сентябрь 2023'!$J$4:$J$1053,AC$1)</f>
        <v>0</v>
      </c>
      <c r="AD48" s="207">
        <f>SUMIFS('сентябрь 2023'!$G$4:$G$1053,'сентябрь 2023'!$D$4:$D$1053,$B48,'сентябрь 2023'!$J$4:$J$1053,AD$1)</f>
        <v>0</v>
      </c>
      <c r="AE48" s="207">
        <f>SUMIFS('сентябрь 2023'!$G$4:$G$1053,'сентябрь 2023'!$D$4:$D$1053,$B48,'сентябрь 2023'!$J$4:$J$1053,AE$1)</f>
        <v>0</v>
      </c>
      <c r="AF48" s="207">
        <f>SUMIFS('сентябрь 2023'!$G$4:$G$1053,'сентябрь 2023'!$D$4:$D$1053,$B48,'сентябрь 2023'!$J$4:$J$1053,AF$1)</f>
        <v>0</v>
      </c>
      <c r="AG48" s="207">
        <f>SUMIFS('сентябрь 2023'!$G$4:$G$1053,'сентябрь 2023'!$D$4:$D$1053,$B48,'сентябрь 2023'!$J$4:$J$1053,AG$1)</f>
        <v>0</v>
      </c>
      <c r="AH48" s="207">
        <f>SUMIFS('сентябрь 2023'!$G$4:$G$1053,'сентябрь 2023'!$D$4:$D$1053,$B48,'сентябрь 2023'!$J$4:$J$1053,AH$1)</f>
        <v>0</v>
      </c>
      <c r="AI48" s="170">
        <f t="shared" si="1"/>
        <v>0</v>
      </c>
    </row>
    <row r="49" spans="2:35" ht="15" customHeight="1" x14ac:dyDescent="0.25">
      <c r="B49" s="208" t="s">
        <v>1340</v>
      </c>
      <c r="C49" s="213">
        <v>50</v>
      </c>
      <c r="D49" s="207">
        <f>SUMIFS('сентябрь 2023'!$G$4:$G$1053,'сентябрь 2023'!$D$4:$D$1053,$B49,'сентябрь 2023'!$J$4:$J$1053,D$1)</f>
        <v>0</v>
      </c>
      <c r="E49" s="207">
        <f>SUMIFS('сентябрь 2023'!$G$4:$G$1053,'сентябрь 2023'!$D$4:$D$1053,$B49,'сентябрь 2023'!$J$4:$J$1053,E$1)</f>
        <v>0</v>
      </c>
      <c r="F49" s="207">
        <f>SUMIFS('сентябрь 2023'!$G$4:$G$1053,'сентябрь 2023'!$D$4:$D$1053,$B49,'сентябрь 2023'!$J$4:$J$1053,F$1)</f>
        <v>0</v>
      </c>
      <c r="G49" s="207">
        <f>SUMIFS('сентябрь 2023'!$G$4:$G$1053,'сентябрь 2023'!$D$4:$D$1053,$B49,'сентябрь 2023'!$J$4:$J$1053,G$1)</f>
        <v>0</v>
      </c>
      <c r="H49" s="207">
        <f>SUMIFS('сентябрь 2023'!$G$4:$G$1053,'сентябрь 2023'!$D$4:$D$1053,$B49,'сентябрь 2023'!$J$4:$J$1053,H$1)</f>
        <v>0</v>
      </c>
      <c r="I49" s="207">
        <f>SUMIFS('сентябрь 2023'!$G$4:$G$1053,'сентябрь 2023'!$D$4:$D$1053,$B49,'сентябрь 2023'!$J$4:$J$1053,I$1)</f>
        <v>0</v>
      </c>
      <c r="J49" s="207">
        <f>SUMIFS('сентябрь 2023'!$G$4:$G$1053,'сентябрь 2023'!$D$4:$D$1053,$B49,'сентябрь 2023'!$J$4:$J$1053,J$1)</f>
        <v>0</v>
      </c>
      <c r="K49" s="207">
        <f>SUMIFS('сентябрь 2023'!$G$4:$G$1053,'сентябрь 2023'!$D$4:$D$1053,$B49,'сентябрь 2023'!$J$4:$J$1053,K$1)</f>
        <v>0</v>
      </c>
      <c r="L49" s="207">
        <f>SUMIFS('сентябрь 2023'!$G$4:$G$1053,'сентябрь 2023'!$D$4:$D$1053,$B49,'сентябрь 2023'!$J$4:$J$1053,L$1)</f>
        <v>0</v>
      </c>
      <c r="M49" s="207">
        <f>SUMIFS('сентябрь 2023'!$G$4:$G$1053,'сентябрь 2023'!$D$4:$D$1053,$B49,'сентябрь 2023'!$J$4:$J$1053,M$1)</f>
        <v>0</v>
      </c>
      <c r="N49" s="207">
        <f>SUMIFS('сентябрь 2023'!$G$4:$G$1053,'сентябрь 2023'!$D$4:$D$1053,$B49,'сентябрь 2023'!$J$4:$J$1053,N$1)</f>
        <v>0</v>
      </c>
      <c r="O49" s="207">
        <f>SUMIFS('сентябрь 2023'!$G$4:$G$1053,'сентябрь 2023'!$D$4:$D$1053,$B49,'сентябрь 2023'!$J$4:$J$1053,O$1)</f>
        <v>0</v>
      </c>
      <c r="P49" s="207">
        <f>SUMIFS('сентябрь 2023'!$G$4:$G$1053,'сентябрь 2023'!$D$4:$D$1053,$B49,'сентябрь 2023'!$J$4:$J$1053,P$1)</f>
        <v>0</v>
      </c>
      <c r="Q49" s="207">
        <f>SUMIFS('сентябрь 2023'!$G$4:$G$1053,'сентябрь 2023'!$D$4:$D$1053,$B49,'сентябрь 2023'!$J$4:$J$1053,Q$1)</f>
        <v>0</v>
      </c>
      <c r="R49" s="207">
        <f>SUMIFS('сентябрь 2023'!$G$4:$G$1053,'сентябрь 2023'!$D$4:$D$1053,$B49,'сентябрь 2023'!$J$4:$J$1053,R$1)</f>
        <v>0</v>
      </c>
      <c r="S49" s="207">
        <f>SUMIFS('сентябрь 2023'!$G$4:$G$1053,'сентябрь 2023'!$D$4:$D$1053,$B49,'сентябрь 2023'!$J$4:$J$1053,S$1)</f>
        <v>0</v>
      </c>
      <c r="T49" s="207">
        <f>SUMIFS('сентябрь 2023'!$G$4:$G$1053,'сентябрь 2023'!$D$4:$D$1053,$B49,'сентябрь 2023'!$J$4:$J$1053,T$1)</f>
        <v>0</v>
      </c>
      <c r="U49" s="207">
        <f>SUMIFS('сентябрь 2023'!$G$4:$G$1053,'сентябрь 2023'!$D$4:$D$1053,$B49,'сентябрь 2023'!$J$4:$J$1053,U$1)</f>
        <v>0</v>
      </c>
      <c r="V49" s="207">
        <f>SUMIFS('сентябрь 2023'!$G$4:$G$1053,'сентябрь 2023'!$D$4:$D$1053,$B49,'сентябрь 2023'!$J$4:$J$1053,V$1)</f>
        <v>0</v>
      </c>
      <c r="W49" s="207">
        <f>SUMIFS('сентябрь 2023'!$G$4:$G$1053,'сентябрь 2023'!$D$4:$D$1053,$B49,'сентябрь 2023'!$J$4:$J$1053,W$1)</f>
        <v>0</v>
      </c>
      <c r="X49" s="207">
        <f>SUMIFS('сентябрь 2023'!$G$4:$G$1053,'сентябрь 2023'!$D$4:$D$1053,$B49,'сентябрь 2023'!$J$4:$J$1053,X$1)</f>
        <v>0</v>
      </c>
      <c r="Y49" s="207">
        <f>SUMIFS('сентябрь 2023'!$G$4:$G$1053,'сентябрь 2023'!$D$4:$D$1053,$B49,'сентябрь 2023'!$J$4:$J$1053,Y$1)</f>
        <v>0</v>
      </c>
      <c r="Z49" s="207">
        <f>SUMIFS('сентябрь 2023'!$G$4:$G$1053,'сентябрь 2023'!$D$4:$D$1053,$B49,'сентябрь 2023'!$J$4:$J$1053,Z$1)</f>
        <v>0</v>
      </c>
      <c r="AA49" s="207">
        <f>SUMIFS('сентябрь 2023'!$G$4:$G$1053,'сентябрь 2023'!$D$4:$D$1053,$B49,'сентябрь 2023'!$J$4:$J$1053,AA$1)</f>
        <v>0</v>
      </c>
      <c r="AB49" s="207">
        <f>SUMIFS('сентябрь 2023'!$G$4:$G$1053,'сентябрь 2023'!$D$4:$D$1053,$B49,'сентябрь 2023'!$J$4:$J$1053,AB$1)</f>
        <v>0</v>
      </c>
      <c r="AC49" s="207">
        <f>SUMIFS('сентябрь 2023'!$G$4:$G$1053,'сентябрь 2023'!$D$4:$D$1053,$B49,'сентябрь 2023'!$J$4:$J$1053,AC$1)</f>
        <v>0</v>
      </c>
      <c r="AD49" s="207">
        <f>SUMIFS('сентябрь 2023'!$G$4:$G$1053,'сентябрь 2023'!$D$4:$D$1053,$B49,'сентябрь 2023'!$J$4:$J$1053,AD$1)</f>
        <v>0</v>
      </c>
      <c r="AE49" s="207">
        <f>SUMIFS('сентябрь 2023'!$G$4:$G$1053,'сентябрь 2023'!$D$4:$D$1053,$B49,'сентябрь 2023'!$J$4:$J$1053,AE$1)</f>
        <v>0</v>
      </c>
      <c r="AF49" s="207">
        <f>SUMIFS('сентябрь 2023'!$G$4:$G$1053,'сентябрь 2023'!$D$4:$D$1053,$B49,'сентябрь 2023'!$J$4:$J$1053,AF$1)</f>
        <v>0</v>
      </c>
      <c r="AG49" s="207">
        <f>SUMIFS('сентябрь 2023'!$G$4:$G$1053,'сентябрь 2023'!$D$4:$D$1053,$B49,'сентябрь 2023'!$J$4:$J$1053,AG$1)</f>
        <v>0</v>
      </c>
      <c r="AH49" s="207">
        <f>SUMIFS('сентябрь 2023'!$G$4:$G$1053,'сентябрь 2023'!$D$4:$D$1053,$B49,'сентябрь 2023'!$J$4:$J$1053,AH$1)</f>
        <v>0</v>
      </c>
      <c r="AI49" s="170">
        <f t="shared" si="1"/>
        <v>0</v>
      </c>
    </row>
    <row r="50" spans="2:35" ht="15" customHeight="1" x14ac:dyDescent="0.25">
      <c r="B50" s="212" t="s">
        <v>2141</v>
      </c>
      <c r="C50" s="213">
        <v>200</v>
      </c>
      <c r="D50" s="207">
        <f>SUMIFS('сентябрь 2023'!$G$4:$G$1053,'сентябрь 2023'!$D$4:$D$1053,$B50,'сентябрь 2023'!$J$4:$J$1053,D$1)</f>
        <v>0</v>
      </c>
      <c r="E50" s="207">
        <f>SUMIFS('сентябрь 2023'!$G$4:$G$1053,'сентябрь 2023'!$D$4:$D$1053,$B50,'сентябрь 2023'!$J$4:$J$1053,E$1)</f>
        <v>0</v>
      </c>
      <c r="F50" s="207">
        <f>SUMIFS('сентябрь 2023'!$G$4:$G$1053,'сентябрь 2023'!$D$4:$D$1053,$B50,'сентябрь 2023'!$J$4:$J$1053,F$1)</f>
        <v>0</v>
      </c>
      <c r="G50" s="207">
        <f>SUMIFS('сентябрь 2023'!$G$4:$G$1053,'сентябрь 2023'!$D$4:$D$1053,$B50,'сентябрь 2023'!$J$4:$J$1053,G$1)</f>
        <v>0</v>
      </c>
      <c r="H50" s="207">
        <f>SUMIFS('сентябрь 2023'!$G$4:$G$1053,'сентябрь 2023'!$D$4:$D$1053,$B50,'сентябрь 2023'!$J$4:$J$1053,H$1)</f>
        <v>0</v>
      </c>
      <c r="I50" s="207">
        <f>SUMIFS('сентябрь 2023'!$G$4:$G$1053,'сентябрь 2023'!$D$4:$D$1053,$B50,'сентябрь 2023'!$J$4:$J$1053,I$1)</f>
        <v>0</v>
      </c>
      <c r="J50" s="207">
        <f>SUMIFS('сентябрь 2023'!$G$4:$G$1053,'сентябрь 2023'!$D$4:$D$1053,$B50,'сентябрь 2023'!$J$4:$J$1053,J$1)</f>
        <v>0</v>
      </c>
      <c r="K50" s="207">
        <f>SUMIFS('сентябрь 2023'!$G$4:$G$1053,'сентябрь 2023'!$D$4:$D$1053,$B50,'сентябрь 2023'!$J$4:$J$1053,K$1)</f>
        <v>0</v>
      </c>
      <c r="L50" s="207">
        <f>SUMIFS('сентябрь 2023'!$G$4:$G$1053,'сентябрь 2023'!$D$4:$D$1053,$B50,'сентябрь 2023'!$J$4:$J$1053,L$1)</f>
        <v>0</v>
      </c>
      <c r="M50" s="207">
        <f>SUMIFS('сентябрь 2023'!$G$4:$G$1053,'сентябрь 2023'!$D$4:$D$1053,$B50,'сентябрь 2023'!$J$4:$J$1053,M$1)</f>
        <v>0</v>
      </c>
      <c r="N50" s="207">
        <f>SUMIFS('сентябрь 2023'!$G$4:$G$1053,'сентябрь 2023'!$D$4:$D$1053,$B50,'сентябрь 2023'!$J$4:$J$1053,N$1)</f>
        <v>0</v>
      </c>
      <c r="O50" s="207">
        <f>SUMIFS('сентябрь 2023'!$G$4:$G$1053,'сентябрь 2023'!$D$4:$D$1053,$B50,'сентябрь 2023'!$J$4:$J$1053,O$1)</f>
        <v>0</v>
      </c>
      <c r="P50" s="207">
        <f>SUMIFS('сентябрь 2023'!$G$4:$G$1053,'сентябрь 2023'!$D$4:$D$1053,$B50,'сентябрь 2023'!$J$4:$J$1053,P$1)</f>
        <v>0</v>
      </c>
      <c r="Q50" s="207">
        <f>SUMIFS('сентябрь 2023'!$G$4:$G$1053,'сентябрь 2023'!$D$4:$D$1053,$B50,'сентябрь 2023'!$J$4:$J$1053,Q$1)</f>
        <v>0</v>
      </c>
      <c r="R50" s="207">
        <f>SUMIFS('сентябрь 2023'!$G$4:$G$1053,'сентябрь 2023'!$D$4:$D$1053,$B50,'сентябрь 2023'!$J$4:$J$1053,R$1)</f>
        <v>0</v>
      </c>
      <c r="S50" s="207">
        <f>SUMIFS('сентябрь 2023'!$G$4:$G$1053,'сентябрь 2023'!$D$4:$D$1053,$B50,'сентябрь 2023'!$J$4:$J$1053,S$1)</f>
        <v>0</v>
      </c>
      <c r="T50" s="207">
        <f>SUMIFS('сентябрь 2023'!$G$4:$G$1053,'сентябрь 2023'!$D$4:$D$1053,$B50,'сентябрь 2023'!$J$4:$J$1053,T$1)</f>
        <v>0</v>
      </c>
      <c r="U50" s="207">
        <f>SUMIFS('сентябрь 2023'!$G$4:$G$1053,'сентябрь 2023'!$D$4:$D$1053,$B50,'сентябрь 2023'!$J$4:$J$1053,U$1)</f>
        <v>0</v>
      </c>
      <c r="V50" s="207">
        <f>SUMIFS('сентябрь 2023'!$G$4:$G$1053,'сентябрь 2023'!$D$4:$D$1053,$B50,'сентябрь 2023'!$J$4:$J$1053,V$1)</f>
        <v>0</v>
      </c>
      <c r="W50" s="207">
        <f>SUMIFS('сентябрь 2023'!$G$4:$G$1053,'сентябрь 2023'!$D$4:$D$1053,$B50,'сентябрь 2023'!$J$4:$J$1053,W$1)</f>
        <v>0</v>
      </c>
      <c r="X50" s="207">
        <f>SUMIFS('сентябрь 2023'!$G$4:$G$1053,'сентябрь 2023'!$D$4:$D$1053,$B50,'сентябрь 2023'!$J$4:$J$1053,X$1)</f>
        <v>0</v>
      </c>
      <c r="Y50" s="207">
        <f>SUMIFS('сентябрь 2023'!$G$4:$G$1053,'сентябрь 2023'!$D$4:$D$1053,$B50,'сентябрь 2023'!$J$4:$J$1053,Y$1)</f>
        <v>0</v>
      </c>
      <c r="Z50" s="207">
        <f>SUMIFS('сентябрь 2023'!$G$4:$G$1053,'сентябрь 2023'!$D$4:$D$1053,$B50,'сентябрь 2023'!$J$4:$J$1053,Z$1)</f>
        <v>0</v>
      </c>
      <c r="AA50" s="207">
        <f>SUMIFS('сентябрь 2023'!$G$4:$G$1053,'сентябрь 2023'!$D$4:$D$1053,$B50,'сентябрь 2023'!$J$4:$J$1053,AA$1)</f>
        <v>0</v>
      </c>
      <c r="AB50" s="207">
        <f>SUMIFS('сентябрь 2023'!$G$4:$G$1053,'сентябрь 2023'!$D$4:$D$1053,$B50,'сентябрь 2023'!$J$4:$J$1053,AB$1)</f>
        <v>0</v>
      </c>
      <c r="AC50" s="207">
        <f>SUMIFS('сентябрь 2023'!$G$4:$G$1053,'сентябрь 2023'!$D$4:$D$1053,$B50,'сентябрь 2023'!$J$4:$J$1053,AC$1)</f>
        <v>0</v>
      </c>
      <c r="AD50" s="207">
        <f>SUMIFS('сентябрь 2023'!$G$4:$G$1053,'сентябрь 2023'!$D$4:$D$1053,$B50,'сентябрь 2023'!$J$4:$J$1053,AD$1)</f>
        <v>0</v>
      </c>
      <c r="AE50" s="207">
        <f>SUMIFS('сентябрь 2023'!$G$4:$G$1053,'сентябрь 2023'!$D$4:$D$1053,$B50,'сентябрь 2023'!$J$4:$J$1053,AE$1)</f>
        <v>0</v>
      </c>
      <c r="AF50" s="207">
        <f>SUMIFS('сентябрь 2023'!$G$4:$G$1053,'сентябрь 2023'!$D$4:$D$1053,$B50,'сентябрь 2023'!$J$4:$J$1053,AF$1)</f>
        <v>0</v>
      </c>
      <c r="AG50" s="207">
        <f>SUMIFS('сентябрь 2023'!$G$4:$G$1053,'сентябрь 2023'!$D$4:$D$1053,$B50,'сентябрь 2023'!$J$4:$J$1053,AG$1)</f>
        <v>0</v>
      </c>
      <c r="AH50" s="207">
        <f>SUMIFS('сентябрь 2023'!$G$4:$G$1053,'сентябрь 2023'!$D$4:$D$1053,$B50,'сентябрь 2023'!$J$4:$J$1053,AH$1)</f>
        <v>0</v>
      </c>
      <c r="AI50" s="170">
        <f t="shared" si="1"/>
        <v>0</v>
      </c>
    </row>
    <row r="51" spans="2:35" ht="15" customHeight="1" x14ac:dyDescent="0.25">
      <c r="B51" s="212" t="s">
        <v>110</v>
      </c>
      <c r="C51" s="213">
        <v>200</v>
      </c>
      <c r="D51" s="207">
        <f>SUMIFS('сентябрь 2023'!$G$4:$G$1053,'сентябрь 2023'!$D$4:$D$1053,$B51,'сентябрь 2023'!$J$4:$J$1053,D$1)</f>
        <v>0</v>
      </c>
      <c r="E51" s="207">
        <f>SUMIFS('сентябрь 2023'!$G$4:$G$1053,'сентябрь 2023'!$D$4:$D$1053,$B51,'сентябрь 2023'!$J$4:$J$1053,E$1)</f>
        <v>0</v>
      </c>
      <c r="F51" s="207">
        <f>SUMIFS('сентябрь 2023'!$G$4:$G$1053,'сентябрь 2023'!$D$4:$D$1053,$B51,'сентябрь 2023'!$J$4:$J$1053,F$1)</f>
        <v>0</v>
      </c>
      <c r="G51" s="207">
        <f>SUMIFS('сентябрь 2023'!$G$4:$G$1053,'сентябрь 2023'!$D$4:$D$1053,$B51,'сентябрь 2023'!$J$4:$J$1053,G$1)</f>
        <v>0</v>
      </c>
      <c r="H51" s="207">
        <f>SUMIFS('сентябрь 2023'!$G$4:$G$1053,'сентябрь 2023'!$D$4:$D$1053,$B51,'сентябрь 2023'!$J$4:$J$1053,H$1)</f>
        <v>0</v>
      </c>
      <c r="I51" s="207">
        <f>SUMIFS('сентябрь 2023'!$G$4:$G$1053,'сентябрь 2023'!$D$4:$D$1053,$B51,'сентябрь 2023'!$J$4:$J$1053,I$1)</f>
        <v>0</v>
      </c>
      <c r="J51" s="207">
        <f>SUMIFS('сентябрь 2023'!$G$4:$G$1053,'сентябрь 2023'!$D$4:$D$1053,$B51,'сентябрь 2023'!$J$4:$J$1053,J$1)</f>
        <v>0</v>
      </c>
      <c r="K51" s="207">
        <f>SUMIFS('сентябрь 2023'!$G$4:$G$1053,'сентябрь 2023'!$D$4:$D$1053,$B51,'сентябрь 2023'!$J$4:$J$1053,K$1)</f>
        <v>16</v>
      </c>
      <c r="L51" s="207">
        <f>SUMIFS('сентябрь 2023'!$G$4:$G$1053,'сентябрь 2023'!$D$4:$D$1053,$B51,'сентябрь 2023'!$J$4:$J$1053,L$1)</f>
        <v>0</v>
      </c>
      <c r="M51" s="207">
        <f>SUMIFS('сентябрь 2023'!$G$4:$G$1053,'сентябрь 2023'!$D$4:$D$1053,$B51,'сентябрь 2023'!$J$4:$J$1053,M$1)</f>
        <v>0</v>
      </c>
      <c r="N51" s="207">
        <f>SUMIFS('сентябрь 2023'!$G$4:$G$1053,'сентябрь 2023'!$D$4:$D$1053,$B51,'сентябрь 2023'!$J$4:$J$1053,N$1)</f>
        <v>88</v>
      </c>
      <c r="O51" s="207">
        <f>SUMIFS('сентябрь 2023'!$G$4:$G$1053,'сентябрь 2023'!$D$4:$D$1053,$B51,'сентябрь 2023'!$J$4:$J$1053,O$1)</f>
        <v>0</v>
      </c>
      <c r="P51" s="207">
        <f>SUMIFS('сентябрь 2023'!$G$4:$G$1053,'сентябрь 2023'!$D$4:$D$1053,$B51,'сентябрь 2023'!$J$4:$J$1053,P$1)</f>
        <v>1</v>
      </c>
      <c r="Q51" s="207">
        <f>SUMIFS('сентябрь 2023'!$G$4:$G$1053,'сентябрь 2023'!$D$4:$D$1053,$B51,'сентябрь 2023'!$J$4:$J$1053,Q$1)</f>
        <v>0</v>
      </c>
      <c r="R51" s="207">
        <f>SUMIFS('сентябрь 2023'!$G$4:$G$1053,'сентябрь 2023'!$D$4:$D$1053,$B51,'сентябрь 2023'!$J$4:$J$1053,R$1)</f>
        <v>0</v>
      </c>
      <c r="S51" s="207">
        <f>SUMIFS('сентябрь 2023'!$G$4:$G$1053,'сентябрь 2023'!$D$4:$D$1053,$B51,'сентябрь 2023'!$J$4:$J$1053,S$1)</f>
        <v>0</v>
      </c>
      <c r="T51" s="207">
        <f>SUMIFS('сентябрь 2023'!$G$4:$G$1053,'сентябрь 2023'!$D$4:$D$1053,$B51,'сентябрь 2023'!$J$4:$J$1053,T$1)</f>
        <v>0</v>
      </c>
      <c r="U51" s="207">
        <f>SUMIFS('сентябрь 2023'!$G$4:$G$1053,'сентябрь 2023'!$D$4:$D$1053,$B51,'сентябрь 2023'!$J$4:$J$1053,U$1)</f>
        <v>0</v>
      </c>
      <c r="V51" s="207">
        <f>SUMIFS('сентябрь 2023'!$G$4:$G$1053,'сентябрь 2023'!$D$4:$D$1053,$B51,'сентябрь 2023'!$J$4:$J$1053,V$1)</f>
        <v>0</v>
      </c>
      <c r="W51" s="207">
        <f>SUMIFS('сентябрь 2023'!$G$4:$G$1053,'сентябрь 2023'!$D$4:$D$1053,$B51,'сентябрь 2023'!$J$4:$J$1053,W$1)</f>
        <v>0</v>
      </c>
      <c r="X51" s="207">
        <f>SUMIFS('сентябрь 2023'!$G$4:$G$1053,'сентябрь 2023'!$D$4:$D$1053,$B51,'сентябрь 2023'!$J$4:$J$1053,X$1)</f>
        <v>0</v>
      </c>
      <c r="Y51" s="207">
        <f>SUMIFS('сентябрь 2023'!$G$4:$G$1053,'сентябрь 2023'!$D$4:$D$1053,$B51,'сентябрь 2023'!$J$4:$J$1053,Y$1)</f>
        <v>0</v>
      </c>
      <c r="Z51" s="207">
        <f>SUMIFS('сентябрь 2023'!$G$4:$G$1053,'сентябрь 2023'!$D$4:$D$1053,$B51,'сентябрь 2023'!$J$4:$J$1053,Z$1)</f>
        <v>0</v>
      </c>
      <c r="AA51" s="207">
        <f>SUMIFS('сентябрь 2023'!$G$4:$G$1053,'сентябрь 2023'!$D$4:$D$1053,$B51,'сентябрь 2023'!$J$4:$J$1053,AA$1)</f>
        <v>0</v>
      </c>
      <c r="AB51" s="207">
        <f>SUMIFS('сентябрь 2023'!$G$4:$G$1053,'сентябрь 2023'!$D$4:$D$1053,$B51,'сентябрь 2023'!$J$4:$J$1053,AB$1)</f>
        <v>0</v>
      </c>
      <c r="AC51" s="207">
        <f>SUMIFS('сентябрь 2023'!$G$4:$G$1053,'сентябрь 2023'!$D$4:$D$1053,$B51,'сентябрь 2023'!$J$4:$J$1053,AC$1)</f>
        <v>0</v>
      </c>
      <c r="AD51" s="207">
        <f>SUMIFS('сентябрь 2023'!$G$4:$G$1053,'сентябрь 2023'!$D$4:$D$1053,$B51,'сентябрь 2023'!$J$4:$J$1053,AD$1)</f>
        <v>0</v>
      </c>
      <c r="AE51" s="207">
        <f>SUMIFS('сентябрь 2023'!$G$4:$G$1053,'сентябрь 2023'!$D$4:$D$1053,$B51,'сентябрь 2023'!$J$4:$J$1053,AE$1)</f>
        <v>0</v>
      </c>
      <c r="AF51" s="207">
        <f>SUMIFS('сентябрь 2023'!$G$4:$G$1053,'сентябрь 2023'!$D$4:$D$1053,$B51,'сентябрь 2023'!$J$4:$J$1053,AF$1)</f>
        <v>0</v>
      </c>
      <c r="AG51" s="207">
        <f>SUMIFS('сентябрь 2023'!$G$4:$G$1053,'сентябрь 2023'!$D$4:$D$1053,$B51,'сентябрь 2023'!$J$4:$J$1053,AG$1)</f>
        <v>0</v>
      </c>
      <c r="AH51" s="207">
        <f>SUMIFS('сентябрь 2023'!$G$4:$G$1053,'сентябрь 2023'!$D$4:$D$1053,$B51,'сентябрь 2023'!$J$4:$J$1053,AH$1)</f>
        <v>0</v>
      </c>
      <c r="AI51" s="170">
        <f t="shared" si="1"/>
        <v>105</v>
      </c>
    </row>
    <row r="52" spans="2:35" ht="15" customHeight="1" x14ac:dyDescent="0.25">
      <c r="B52" s="212" t="s">
        <v>1415</v>
      </c>
      <c r="C52" s="213">
        <v>200</v>
      </c>
      <c r="D52" s="207">
        <f>SUMIFS('сентябрь 2023'!$G$4:$G$1053,'сентябрь 2023'!$D$4:$D$1053,$B52,'сентябрь 2023'!$J$4:$J$1053,D$1)</f>
        <v>0</v>
      </c>
      <c r="E52" s="207">
        <f>SUMIFS('сентябрь 2023'!$G$4:$G$1053,'сентябрь 2023'!$D$4:$D$1053,$B52,'сентябрь 2023'!$J$4:$J$1053,E$1)</f>
        <v>0</v>
      </c>
      <c r="F52" s="207">
        <f>SUMIFS('сентябрь 2023'!$G$4:$G$1053,'сентябрь 2023'!$D$4:$D$1053,$B52,'сентябрь 2023'!$J$4:$J$1053,F$1)</f>
        <v>0</v>
      </c>
      <c r="G52" s="207">
        <f>SUMIFS('сентябрь 2023'!$G$4:$G$1053,'сентябрь 2023'!$D$4:$D$1053,$B52,'сентябрь 2023'!$J$4:$J$1053,G$1)</f>
        <v>0</v>
      </c>
      <c r="H52" s="207">
        <f>SUMIFS('сентябрь 2023'!$G$4:$G$1053,'сентябрь 2023'!$D$4:$D$1053,$B52,'сентябрь 2023'!$J$4:$J$1053,H$1)</f>
        <v>0</v>
      </c>
      <c r="I52" s="207">
        <f>SUMIFS('сентябрь 2023'!$G$4:$G$1053,'сентябрь 2023'!$D$4:$D$1053,$B52,'сентябрь 2023'!$J$4:$J$1053,I$1)</f>
        <v>0</v>
      </c>
      <c r="J52" s="207">
        <f>SUMIFS('сентябрь 2023'!$G$4:$G$1053,'сентябрь 2023'!$D$4:$D$1053,$B52,'сентябрь 2023'!$J$4:$J$1053,J$1)</f>
        <v>0</v>
      </c>
      <c r="K52" s="207">
        <f>SUMIFS('сентябрь 2023'!$G$4:$G$1053,'сентябрь 2023'!$D$4:$D$1053,$B52,'сентябрь 2023'!$J$4:$J$1053,K$1)</f>
        <v>0</v>
      </c>
      <c r="L52" s="207">
        <f>SUMIFS('сентябрь 2023'!$G$4:$G$1053,'сентябрь 2023'!$D$4:$D$1053,$B52,'сентябрь 2023'!$J$4:$J$1053,L$1)</f>
        <v>0</v>
      </c>
      <c r="M52" s="207">
        <f>SUMIFS('сентябрь 2023'!$G$4:$G$1053,'сентябрь 2023'!$D$4:$D$1053,$B52,'сентябрь 2023'!$J$4:$J$1053,M$1)</f>
        <v>0</v>
      </c>
      <c r="N52" s="207">
        <f>SUMIFS('сентябрь 2023'!$G$4:$G$1053,'сентябрь 2023'!$D$4:$D$1053,$B52,'сентябрь 2023'!$J$4:$J$1053,N$1)</f>
        <v>0</v>
      </c>
      <c r="O52" s="207">
        <f>SUMIFS('сентябрь 2023'!$G$4:$G$1053,'сентябрь 2023'!$D$4:$D$1053,$B52,'сентябрь 2023'!$J$4:$J$1053,O$1)</f>
        <v>0</v>
      </c>
      <c r="P52" s="207">
        <f>SUMIFS('сентябрь 2023'!$G$4:$G$1053,'сентябрь 2023'!$D$4:$D$1053,$B52,'сентябрь 2023'!$J$4:$J$1053,P$1)</f>
        <v>0</v>
      </c>
      <c r="Q52" s="207">
        <f>SUMIFS('сентябрь 2023'!$G$4:$G$1053,'сентябрь 2023'!$D$4:$D$1053,$B52,'сентябрь 2023'!$J$4:$J$1053,Q$1)</f>
        <v>0</v>
      </c>
      <c r="R52" s="207">
        <f>SUMIFS('сентябрь 2023'!$G$4:$G$1053,'сентябрь 2023'!$D$4:$D$1053,$B52,'сентябрь 2023'!$J$4:$J$1053,R$1)</f>
        <v>0</v>
      </c>
      <c r="S52" s="207">
        <f>SUMIFS('сентябрь 2023'!$G$4:$G$1053,'сентябрь 2023'!$D$4:$D$1053,$B52,'сентябрь 2023'!$J$4:$J$1053,S$1)</f>
        <v>0</v>
      </c>
      <c r="T52" s="207">
        <f>SUMIFS('сентябрь 2023'!$G$4:$G$1053,'сентябрь 2023'!$D$4:$D$1053,$B52,'сентябрь 2023'!$J$4:$J$1053,T$1)</f>
        <v>0</v>
      </c>
      <c r="U52" s="207">
        <f>SUMIFS('сентябрь 2023'!$G$4:$G$1053,'сентябрь 2023'!$D$4:$D$1053,$B52,'сентябрь 2023'!$J$4:$J$1053,U$1)</f>
        <v>0</v>
      </c>
      <c r="V52" s="207">
        <f>SUMIFS('сентябрь 2023'!$G$4:$G$1053,'сентябрь 2023'!$D$4:$D$1053,$B52,'сентябрь 2023'!$J$4:$J$1053,V$1)</f>
        <v>0</v>
      </c>
      <c r="W52" s="207">
        <f>SUMIFS('сентябрь 2023'!$G$4:$G$1053,'сентябрь 2023'!$D$4:$D$1053,$B52,'сентябрь 2023'!$J$4:$J$1053,W$1)</f>
        <v>0</v>
      </c>
      <c r="X52" s="207">
        <f>SUMIFS('сентябрь 2023'!$G$4:$G$1053,'сентябрь 2023'!$D$4:$D$1053,$B52,'сентябрь 2023'!$J$4:$J$1053,X$1)</f>
        <v>0</v>
      </c>
      <c r="Y52" s="207">
        <f>SUMIFS('сентябрь 2023'!$G$4:$G$1053,'сентябрь 2023'!$D$4:$D$1053,$B52,'сентябрь 2023'!$J$4:$J$1053,Y$1)</f>
        <v>0</v>
      </c>
      <c r="Z52" s="207">
        <f>SUMIFS('сентябрь 2023'!$G$4:$G$1053,'сентябрь 2023'!$D$4:$D$1053,$B52,'сентябрь 2023'!$J$4:$J$1053,Z$1)</f>
        <v>0</v>
      </c>
      <c r="AA52" s="207">
        <f>SUMIFS('сентябрь 2023'!$G$4:$G$1053,'сентябрь 2023'!$D$4:$D$1053,$B52,'сентябрь 2023'!$J$4:$J$1053,AA$1)</f>
        <v>0</v>
      </c>
      <c r="AB52" s="207">
        <f>SUMIFS('сентябрь 2023'!$G$4:$G$1053,'сентябрь 2023'!$D$4:$D$1053,$B52,'сентябрь 2023'!$J$4:$J$1053,AB$1)</f>
        <v>0</v>
      </c>
      <c r="AC52" s="207">
        <f>SUMIFS('сентябрь 2023'!$G$4:$G$1053,'сентябрь 2023'!$D$4:$D$1053,$B52,'сентябрь 2023'!$J$4:$J$1053,AC$1)</f>
        <v>0</v>
      </c>
      <c r="AD52" s="207">
        <f>SUMIFS('сентябрь 2023'!$G$4:$G$1053,'сентябрь 2023'!$D$4:$D$1053,$B52,'сентябрь 2023'!$J$4:$J$1053,AD$1)</f>
        <v>0</v>
      </c>
      <c r="AE52" s="207">
        <f>SUMIFS('сентябрь 2023'!$G$4:$G$1053,'сентябрь 2023'!$D$4:$D$1053,$B52,'сентябрь 2023'!$J$4:$J$1053,AE$1)</f>
        <v>0</v>
      </c>
      <c r="AF52" s="207">
        <f>SUMIFS('сентябрь 2023'!$G$4:$G$1053,'сентябрь 2023'!$D$4:$D$1053,$B52,'сентябрь 2023'!$J$4:$J$1053,AF$1)</f>
        <v>0</v>
      </c>
      <c r="AG52" s="207">
        <f>SUMIFS('сентябрь 2023'!$G$4:$G$1053,'сентябрь 2023'!$D$4:$D$1053,$B52,'сентябрь 2023'!$J$4:$J$1053,AG$1)</f>
        <v>0</v>
      </c>
      <c r="AH52" s="207">
        <f>SUMIFS('сентябрь 2023'!$G$4:$G$1053,'сентябрь 2023'!$D$4:$D$1053,$B52,'сентябрь 2023'!$J$4:$J$1053,AH$1)</f>
        <v>0</v>
      </c>
      <c r="AI52" s="170">
        <f t="shared" si="1"/>
        <v>0</v>
      </c>
    </row>
    <row r="53" spans="2:35" ht="15" customHeight="1" x14ac:dyDescent="0.25">
      <c r="B53" s="212" t="s">
        <v>2144</v>
      </c>
      <c r="C53" s="213">
        <v>200</v>
      </c>
      <c r="D53" s="207">
        <f>SUMIFS('сентябрь 2023'!$G$4:$G$1053,'сентябрь 2023'!$D$4:$D$1053,$B53,'сентябрь 2023'!$J$4:$J$1053,D$1)</f>
        <v>0</v>
      </c>
      <c r="E53" s="207">
        <f>SUMIFS('сентябрь 2023'!$G$4:$G$1053,'сентябрь 2023'!$D$4:$D$1053,$B53,'сентябрь 2023'!$J$4:$J$1053,E$1)</f>
        <v>0</v>
      </c>
      <c r="F53" s="207">
        <f>SUMIFS('сентябрь 2023'!$G$4:$G$1053,'сентябрь 2023'!$D$4:$D$1053,$B53,'сентябрь 2023'!$J$4:$J$1053,F$1)</f>
        <v>0</v>
      </c>
      <c r="G53" s="207">
        <f>SUMIFS('сентябрь 2023'!$G$4:$G$1053,'сентябрь 2023'!$D$4:$D$1053,$B53,'сентябрь 2023'!$J$4:$J$1053,G$1)</f>
        <v>0</v>
      </c>
      <c r="H53" s="207">
        <f>SUMIFS('сентябрь 2023'!$G$4:$G$1053,'сентябрь 2023'!$D$4:$D$1053,$B53,'сентябрь 2023'!$J$4:$J$1053,H$1)</f>
        <v>0</v>
      </c>
      <c r="I53" s="207">
        <f>SUMIFS('сентябрь 2023'!$G$4:$G$1053,'сентябрь 2023'!$D$4:$D$1053,$B53,'сентябрь 2023'!$J$4:$J$1053,I$1)</f>
        <v>0</v>
      </c>
      <c r="J53" s="207">
        <f>SUMIFS('сентябрь 2023'!$G$4:$G$1053,'сентябрь 2023'!$D$4:$D$1053,$B53,'сентябрь 2023'!$J$4:$J$1053,J$1)</f>
        <v>0</v>
      </c>
      <c r="K53" s="207">
        <f>SUMIFS('сентябрь 2023'!$G$4:$G$1053,'сентябрь 2023'!$D$4:$D$1053,$B53,'сентябрь 2023'!$J$4:$J$1053,K$1)</f>
        <v>0</v>
      </c>
      <c r="L53" s="207">
        <f>SUMIFS('сентябрь 2023'!$G$4:$G$1053,'сентябрь 2023'!$D$4:$D$1053,$B53,'сентябрь 2023'!$J$4:$J$1053,L$1)</f>
        <v>0</v>
      </c>
      <c r="M53" s="207">
        <f>SUMIFS('сентябрь 2023'!$G$4:$G$1053,'сентябрь 2023'!$D$4:$D$1053,$B53,'сентябрь 2023'!$J$4:$J$1053,M$1)</f>
        <v>0</v>
      </c>
      <c r="N53" s="207">
        <f>SUMIFS('сентябрь 2023'!$G$4:$G$1053,'сентябрь 2023'!$D$4:$D$1053,$B53,'сентябрь 2023'!$J$4:$J$1053,N$1)</f>
        <v>0</v>
      </c>
      <c r="O53" s="207">
        <f>SUMIFS('сентябрь 2023'!$G$4:$G$1053,'сентябрь 2023'!$D$4:$D$1053,$B53,'сентябрь 2023'!$J$4:$J$1053,O$1)</f>
        <v>0</v>
      </c>
      <c r="P53" s="207">
        <f>SUMIFS('сентябрь 2023'!$G$4:$G$1053,'сентябрь 2023'!$D$4:$D$1053,$B53,'сентябрь 2023'!$J$4:$J$1053,P$1)</f>
        <v>0</v>
      </c>
      <c r="Q53" s="207">
        <f>SUMIFS('сентябрь 2023'!$G$4:$G$1053,'сентябрь 2023'!$D$4:$D$1053,$B53,'сентябрь 2023'!$J$4:$J$1053,Q$1)</f>
        <v>0</v>
      </c>
      <c r="R53" s="207">
        <f>SUMIFS('сентябрь 2023'!$G$4:$G$1053,'сентябрь 2023'!$D$4:$D$1053,$B53,'сентябрь 2023'!$J$4:$J$1053,R$1)</f>
        <v>0</v>
      </c>
      <c r="S53" s="207">
        <f>SUMIFS('сентябрь 2023'!$G$4:$G$1053,'сентябрь 2023'!$D$4:$D$1053,$B53,'сентябрь 2023'!$J$4:$J$1053,S$1)</f>
        <v>0</v>
      </c>
      <c r="T53" s="207">
        <f>SUMIFS('сентябрь 2023'!$G$4:$G$1053,'сентябрь 2023'!$D$4:$D$1053,$B53,'сентябрь 2023'!$J$4:$J$1053,T$1)</f>
        <v>0</v>
      </c>
      <c r="U53" s="207">
        <f>SUMIFS('сентябрь 2023'!$G$4:$G$1053,'сентябрь 2023'!$D$4:$D$1053,$B53,'сентябрь 2023'!$J$4:$J$1053,U$1)</f>
        <v>0</v>
      </c>
      <c r="V53" s="207">
        <f>SUMIFS('сентябрь 2023'!$G$4:$G$1053,'сентябрь 2023'!$D$4:$D$1053,$B53,'сентябрь 2023'!$J$4:$J$1053,V$1)</f>
        <v>0</v>
      </c>
      <c r="W53" s="207">
        <f>SUMIFS('сентябрь 2023'!$G$4:$G$1053,'сентябрь 2023'!$D$4:$D$1053,$B53,'сентябрь 2023'!$J$4:$J$1053,W$1)</f>
        <v>0</v>
      </c>
      <c r="X53" s="207">
        <f>SUMIFS('сентябрь 2023'!$G$4:$G$1053,'сентябрь 2023'!$D$4:$D$1053,$B53,'сентябрь 2023'!$J$4:$J$1053,X$1)</f>
        <v>0</v>
      </c>
      <c r="Y53" s="207">
        <f>SUMIFS('сентябрь 2023'!$G$4:$G$1053,'сентябрь 2023'!$D$4:$D$1053,$B53,'сентябрь 2023'!$J$4:$J$1053,Y$1)</f>
        <v>0</v>
      </c>
      <c r="Z53" s="207">
        <f>SUMIFS('сентябрь 2023'!$G$4:$G$1053,'сентябрь 2023'!$D$4:$D$1053,$B53,'сентябрь 2023'!$J$4:$J$1053,Z$1)</f>
        <v>0</v>
      </c>
      <c r="AA53" s="207">
        <f>SUMIFS('сентябрь 2023'!$G$4:$G$1053,'сентябрь 2023'!$D$4:$D$1053,$B53,'сентябрь 2023'!$J$4:$J$1053,AA$1)</f>
        <v>0</v>
      </c>
      <c r="AB53" s="207">
        <f>SUMIFS('сентябрь 2023'!$G$4:$G$1053,'сентябрь 2023'!$D$4:$D$1053,$B53,'сентябрь 2023'!$J$4:$J$1053,AB$1)</f>
        <v>0</v>
      </c>
      <c r="AC53" s="207">
        <f>SUMIFS('сентябрь 2023'!$G$4:$G$1053,'сентябрь 2023'!$D$4:$D$1053,$B53,'сентябрь 2023'!$J$4:$J$1053,AC$1)</f>
        <v>0</v>
      </c>
      <c r="AD53" s="207">
        <f>SUMIFS('сентябрь 2023'!$G$4:$G$1053,'сентябрь 2023'!$D$4:$D$1053,$B53,'сентябрь 2023'!$J$4:$J$1053,AD$1)</f>
        <v>0</v>
      </c>
      <c r="AE53" s="207">
        <f>SUMIFS('сентябрь 2023'!$G$4:$G$1053,'сентябрь 2023'!$D$4:$D$1053,$B53,'сентябрь 2023'!$J$4:$J$1053,AE$1)</f>
        <v>0</v>
      </c>
      <c r="AF53" s="207">
        <f>SUMIFS('сентябрь 2023'!$G$4:$G$1053,'сентябрь 2023'!$D$4:$D$1053,$B53,'сентябрь 2023'!$J$4:$J$1053,AF$1)</f>
        <v>0</v>
      </c>
      <c r="AG53" s="207">
        <f>SUMIFS('сентябрь 2023'!$G$4:$G$1053,'сентябрь 2023'!$D$4:$D$1053,$B53,'сентябрь 2023'!$J$4:$J$1053,AG$1)</f>
        <v>0</v>
      </c>
      <c r="AH53" s="207">
        <f>SUMIFS('сентябрь 2023'!$G$4:$G$1053,'сентябрь 2023'!$D$4:$D$1053,$B53,'сентябрь 2023'!$J$4:$J$1053,AH$1)</f>
        <v>0</v>
      </c>
      <c r="AI53" s="170">
        <f t="shared" si="1"/>
        <v>0</v>
      </c>
    </row>
    <row r="54" spans="2:35" ht="15" customHeight="1" x14ac:dyDescent="0.25">
      <c r="B54" s="217" t="s">
        <v>50</v>
      </c>
      <c r="C54" s="213">
        <v>200</v>
      </c>
      <c r="D54" s="207">
        <f>SUMIFS('сентябрь 2023'!$G$4:$G$1053,'сентябрь 2023'!$D$4:$D$1053,$B54,'сентябрь 2023'!$J$4:$J$1053,D$1)</f>
        <v>0</v>
      </c>
      <c r="E54" s="207">
        <f>SUMIFS('сентябрь 2023'!$G$4:$G$1053,'сентябрь 2023'!$D$4:$D$1053,$B54,'сентябрь 2023'!$J$4:$J$1053,E$1)</f>
        <v>0</v>
      </c>
      <c r="F54" s="207">
        <f>SUMIFS('сентябрь 2023'!$G$4:$G$1053,'сентябрь 2023'!$D$4:$D$1053,$B54,'сентябрь 2023'!$J$4:$J$1053,F$1)</f>
        <v>0</v>
      </c>
      <c r="G54" s="207">
        <f>SUMIFS('сентябрь 2023'!$G$4:$G$1053,'сентябрь 2023'!$D$4:$D$1053,$B54,'сентябрь 2023'!$J$4:$J$1053,G$1)</f>
        <v>0</v>
      </c>
      <c r="H54" s="207">
        <f>SUMIFS('сентябрь 2023'!$G$4:$G$1053,'сентябрь 2023'!$D$4:$D$1053,$B54,'сентябрь 2023'!$J$4:$J$1053,H$1)</f>
        <v>12</v>
      </c>
      <c r="I54" s="207">
        <f>SUMIFS('сентябрь 2023'!$G$4:$G$1053,'сентябрь 2023'!$D$4:$D$1053,$B54,'сентябрь 2023'!$J$4:$J$1053,I$1)</f>
        <v>0</v>
      </c>
      <c r="J54" s="207">
        <f>SUMIFS('сентябрь 2023'!$G$4:$G$1053,'сентябрь 2023'!$D$4:$D$1053,$B54,'сентябрь 2023'!$J$4:$J$1053,J$1)</f>
        <v>0</v>
      </c>
      <c r="K54" s="207">
        <f>SUMIFS('сентябрь 2023'!$G$4:$G$1053,'сентябрь 2023'!$D$4:$D$1053,$B54,'сентябрь 2023'!$J$4:$J$1053,K$1)</f>
        <v>0</v>
      </c>
      <c r="L54" s="207">
        <f>SUMIFS('сентябрь 2023'!$G$4:$G$1053,'сентябрь 2023'!$D$4:$D$1053,$B54,'сентябрь 2023'!$J$4:$J$1053,L$1)</f>
        <v>0</v>
      </c>
      <c r="M54" s="207">
        <f>SUMIFS('сентябрь 2023'!$G$4:$G$1053,'сентябрь 2023'!$D$4:$D$1053,$B54,'сентябрь 2023'!$J$4:$J$1053,M$1)</f>
        <v>0</v>
      </c>
      <c r="N54" s="207">
        <f>SUMIFS('сентябрь 2023'!$G$4:$G$1053,'сентябрь 2023'!$D$4:$D$1053,$B54,'сентябрь 2023'!$J$4:$J$1053,N$1)</f>
        <v>0</v>
      </c>
      <c r="O54" s="207">
        <f>SUMIFS('сентябрь 2023'!$G$4:$G$1053,'сентябрь 2023'!$D$4:$D$1053,$B54,'сентябрь 2023'!$J$4:$J$1053,O$1)</f>
        <v>0</v>
      </c>
      <c r="P54" s="207">
        <f>SUMIFS('сентябрь 2023'!$G$4:$G$1053,'сентябрь 2023'!$D$4:$D$1053,$B54,'сентябрь 2023'!$J$4:$J$1053,P$1)</f>
        <v>0</v>
      </c>
      <c r="Q54" s="207">
        <f>SUMIFS('сентябрь 2023'!$G$4:$G$1053,'сентябрь 2023'!$D$4:$D$1053,$B54,'сентябрь 2023'!$J$4:$J$1053,Q$1)</f>
        <v>0</v>
      </c>
      <c r="R54" s="207">
        <f>SUMIFS('сентябрь 2023'!$G$4:$G$1053,'сентябрь 2023'!$D$4:$D$1053,$B54,'сентябрь 2023'!$J$4:$J$1053,R$1)</f>
        <v>0</v>
      </c>
      <c r="S54" s="207">
        <f>SUMIFS('сентябрь 2023'!$G$4:$G$1053,'сентябрь 2023'!$D$4:$D$1053,$B54,'сентябрь 2023'!$J$4:$J$1053,S$1)</f>
        <v>0</v>
      </c>
      <c r="T54" s="207">
        <f>SUMIFS('сентябрь 2023'!$G$4:$G$1053,'сентябрь 2023'!$D$4:$D$1053,$B54,'сентябрь 2023'!$J$4:$J$1053,T$1)</f>
        <v>0</v>
      </c>
      <c r="U54" s="207">
        <f>SUMIFS('сентябрь 2023'!$G$4:$G$1053,'сентябрь 2023'!$D$4:$D$1053,$B54,'сентябрь 2023'!$J$4:$J$1053,U$1)</f>
        <v>0</v>
      </c>
      <c r="V54" s="207">
        <f>SUMIFS('сентябрь 2023'!$G$4:$G$1053,'сентябрь 2023'!$D$4:$D$1053,$B54,'сентябрь 2023'!$J$4:$J$1053,V$1)</f>
        <v>0</v>
      </c>
      <c r="W54" s="207">
        <f>SUMIFS('сентябрь 2023'!$G$4:$G$1053,'сентябрь 2023'!$D$4:$D$1053,$B54,'сентябрь 2023'!$J$4:$J$1053,W$1)</f>
        <v>0</v>
      </c>
      <c r="X54" s="207">
        <f>SUMIFS('сентябрь 2023'!$G$4:$G$1053,'сентябрь 2023'!$D$4:$D$1053,$B54,'сентябрь 2023'!$J$4:$J$1053,X$1)</f>
        <v>0</v>
      </c>
      <c r="Y54" s="207">
        <f>SUMIFS('сентябрь 2023'!$G$4:$G$1053,'сентябрь 2023'!$D$4:$D$1053,$B54,'сентябрь 2023'!$J$4:$J$1053,Y$1)</f>
        <v>0</v>
      </c>
      <c r="Z54" s="207">
        <f>SUMIFS('сентябрь 2023'!$G$4:$G$1053,'сентябрь 2023'!$D$4:$D$1053,$B54,'сентябрь 2023'!$J$4:$J$1053,Z$1)</f>
        <v>0</v>
      </c>
      <c r="AA54" s="207">
        <f>SUMIFS('сентябрь 2023'!$G$4:$G$1053,'сентябрь 2023'!$D$4:$D$1053,$B54,'сентябрь 2023'!$J$4:$J$1053,AA$1)</f>
        <v>0</v>
      </c>
      <c r="AB54" s="207">
        <f>SUMIFS('сентябрь 2023'!$G$4:$G$1053,'сентябрь 2023'!$D$4:$D$1053,$B54,'сентябрь 2023'!$J$4:$J$1053,AB$1)</f>
        <v>0</v>
      </c>
      <c r="AC54" s="207">
        <f>SUMIFS('сентябрь 2023'!$G$4:$G$1053,'сентябрь 2023'!$D$4:$D$1053,$B54,'сентябрь 2023'!$J$4:$J$1053,AC$1)</f>
        <v>0</v>
      </c>
      <c r="AD54" s="207">
        <f>SUMIFS('сентябрь 2023'!$G$4:$G$1053,'сентябрь 2023'!$D$4:$D$1053,$B54,'сентябрь 2023'!$J$4:$J$1053,AD$1)</f>
        <v>0</v>
      </c>
      <c r="AE54" s="207">
        <f>SUMIFS('сентябрь 2023'!$G$4:$G$1053,'сентябрь 2023'!$D$4:$D$1053,$B54,'сентябрь 2023'!$J$4:$J$1053,AE$1)</f>
        <v>0</v>
      </c>
      <c r="AF54" s="207">
        <f>SUMIFS('сентябрь 2023'!$G$4:$G$1053,'сентябрь 2023'!$D$4:$D$1053,$B54,'сентябрь 2023'!$J$4:$J$1053,AF$1)</f>
        <v>0</v>
      </c>
      <c r="AG54" s="207">
        <f>SUMIFS('сентябрь 2023'!$G$4:$G$1053,'сентябрь 2023'!$D$4:$D$1053,$B54,'сентябрь 2023'!$J$4:$J$1053,AG$1)</f>
        <v>0</v>
      </c>
      <c r="AH54" s="207">
        <f>SUMIFS('сентябрь 2023'!$G$4:$G$1053,'сентябрь 2023'!$D$4:$D$1053,$B54,'сентябрь 2023'!$J$4:$J$1053,AH$1)</f>
        <v>0</v>
      </c>
      <c r="AI54" s="170">
        <f t="shared" si="1"/>
        <v>12</v>
      </c>
    </row>
    <row r="55" spans="2:35" ht="15" customHeight="1" x14ac:dyDescent="0.25">
      <c r="B55" s="217" t="s">
        <v>2148</v>
      </c>
      <c r="C55" s="213">
        <v>190</v>
      </c>
      <c r="D55" s="207">
        <f>SUMIFS('сентябрь 2023'!$G$4:$G$1053,'сентябрь 2023'!$D$4:$D$1053,$B55,'сентябрь 2023'!$J$4:$J$1053,D$1)</f>
        <v>0</v>
      </c>
      <c r="E55" s="207">
        <f>SUMIFS('сентябрь 2023'!$G$4:$G$1053,'сентябрь 2023'!$D$4:$D$1053,$B55,'сентябрь 2023'!$J$4:$J$1053,E$1)</f>
        <v>0</v>
      </c>
      <c r="F55" s="207">
        <f>SUMIFS('сентябрь 2023'!$G$4:$G$1053,'сентябрь 2023'!$D$4:$D$1053,$B55,'сентябрь 2023'!$J$4:$J$1053,F$1)</f>
        <v>0</v>
      </c>
      <c r="G55" s="207">
        <f>SUMIFS('сентябрь 2023'!$G$4:$G$1053,'сентябрь 2023'!$D$4:$D$1053,$B55,'сентябрь 2023'!$J$4:$J$1053,G$1)</f>
        <v>0</v>
      </c>
      <c r="H55" s="207">
        <f>SUMIFS('сентябрь 2023'!$G$4:$G$1053,'сентябрь 2023'!$D$4:$D$1053,$B55,'сентябрь 2023'!$J$4:$J$1053,H$1)</f>
        <v>0</v>
      </c>
      <c r="I55" s="207">
        <f>SUMIFS('сентябрь 2023'!$G$4:$G$1053,'сентябрь 2023'!$D$4:$D$1053,$B55,'сентябрь 2023'!$J$4:$J$1053,I$1)</f>
        <v>0</v>
      </c>
      <c r="J55" s="207">
        <f>SUMIFS('сентябрь 2023'!$G$4:$G$1053,'сентябрь 2023'!$D$4:$D$1053,$B55,'сентябрь 2023'!$J$4:$J$1053,J$1)</f>
        <v>0</v>
      </c>
      <c r="K55" s="207">
        <f>SUMIFS('сентябрь 2023'!$G$4:$G$1053,'сентябрь 2023'!$D$4:$D$1053,$B55,'сентябрь 2023'!$J$4:$J$1053,K$1)</f>
        <v>0</v>
      </c>
      <c r="L55" s="207">
        <f>SUMIFS('сентябрь 2023'!$G$4:$G$1053,'сентябрь 2023'!$D$4:$D$1053,$B55,'сентябрь 2023'!$J$4:$J$1053,L$1)</f>
        <v>0</v>
      </c>
      <c r="M55" s="207">
        <f>SUMIFS('сентябрь 2023'!$G$4:$G$1053,'сентябрь 2023'!$D$4:$D$1053,$B55,'сентябрь 2023'!$J$4:$J$1053,M$1)</f>
        <v>0</v>
      </c>
      <c r="N55" s="207">
        <f>SUMIFS('сентябрь 2023'!$G$4:$G$1053,'сентябрь 2023'!$D$4:$D$1053,$B55,'сентябрь 2023'!$J$4:$J$1053,N$1)</f>
        <v>0</v>
      </c>
      <c r="O55" s="207">
        <f>SUMIFS('сентябрь 2023'!$G$4:$G$1053,'сентябрь 2023'!$D$4:$D$1053,$B55,'сентябрь 2023'!$J$4:$J$1053,O$1)</f>
        <v>0</v>
      </c>
      <c r="P55" s="207">
        <f>SUMIFS('сентябрь 2023'!$G$4:$G$1053,'сентябрь 2023'!$D$4:$D$1053,$B55,'сентябрь 2023'!$J$4:$J$1053,P$1)</f>
        <v>0</v>
      </c>
      <c r="Q55" s="207">
        <f>SUMIFS('сентябрь 2023'!$G$4:$G$1053,'сентябрь 2023'!$D$4:$D$1053,$B55,'сентябрь 2023'!$J$4:$J$1053,Q$1)</f>
        <v>0</v>
      </c>
      <c r="R55" s="207">
        <f>SUMIFS('сентябрь 2023'!$G$4:$G$1053,'сентябрь 2023'!$D$4:$D$1053,$B55,'сентябрь 2023'!$J$4:$J$1053,R$1)</f>
        <v>0</v>
      </c>
      <c r="S55" s="207">
        <f>SUMIFS('сентябрь 2023'!$G$4:$G$1053,'сентябрь 2023'!$D$4:$D$1053,$B55,'сентябрь 2023'!$J$4:$J$1053,S$1)</f>
        <v>0</v>
      </c>
      <c r="T55" s="207">
        <f>SUMIFS('сентябрь 2023'!$G$4:$G$1053,'сентябрь 2023'!$D$4:$D$1053,$B55,'сентябрь 2023'!$J$4:$J$1053,T$1)</f>
        <v>0</v>
      </c>
      <c r="U55" s="207">
        <f>SUMIFS('сентябрь 2023'!$G$4:$G$1053,'сентябрь 2023'!$D$4:$D$1053,$B55,'сентябрь 2023'!$J$4:$J$1053,U$1)</f>
        <v>0</v>
      </c>
      <c r="V55" s="207">
        <f>SUMIFS('сентябрь 2023'!$G$4:$G$1053,'сентябрь 2023'!$D$4:$D$1053,$B55,'сентябрь 2023'!$J$4:$J$1053,V$1)</f>
        <v>0</v>
      </c>
      <c r="W55" s="207">
        <f>SUMIFS('сентябрь 2023'!$G$4:$G$1053,'сентябрь 2023'!$D$4:$D$1053,$B55,'сентябрь 2023'!$J$4:$J$1053,W$1)</f>
        <v>0</v>
      </c>
      <c r="X55" s="207">
        <f>SUMIFS('сентябрь 2023'!$G$4:$G$1053,'сентябрь 2023'!$D$4:$D$1053,$B55,'сентябрь 2023'!$J$4:$J$1053,X$1)</f>
        <v>0</v>
      </c>
      <c r="Y55" s="207">
        <f>SUMIFS('сентябрь 2023'!$G$4:$G$1053,'сентябрь 2023'!$D$4:$D$1053,$B55,'сентябрь 2023'!$J$4:$J$1053,Y$1)</f>
        <v>0</v>
      </c>
      <c r="Z55" s="207">
        <f>SUMIFS('сентябрь 2023'!$G$4:$G$1053,'сентябрь 2023'!$D$4:$D$1053,$B55,'сентябрь 2023'!$J$4:$J$1053,Z$1)</f>
        <v>0</v>
      </c>
      <c r="AA55" s="207">
        <f>SUMIFS('сентябрь 2023'!$G$4:$G$1053,'сентябрь 2023'!$D$4:$D$1053,$B55,'сентябрь 2023'!$J$4:$J$1053,AA$1)</f>
        <v>0</v>
      </c>
      <c r="AB55" s="207">
        <f>SUMIFS('сентябрь 2023'!$G$4:$G$1053,'сентябрь 2023'!$D$4:$D$1053,$B55,'сентябрь 2023'!$J$4:$J$1053,AB$1)</f>
        <v>0</v>
      </c>
      <c r="AC55" s="207">
        <f>SUMIFS('сентябрь 2023'!$G$4:$G$1053,'сентябрь 2023'!$D$4:$D$1053,$B55,'сентябрь 2023'!$J$4:$J$1053,AC$1)</f>
        <v>0</v>
      </c>
      <c r="AD55" s="207">
        <f>SUMIFS('сентябрь 2023'!$G$4:$G$1053,'сентябрь 2023'!$D$4:$D$1053,$B55,'сентябрь 2023'!$J$4:$J$1053,AD$1)</f>
        <v>0</v>
      </c>
      <c r="AE55" s="207">
        <f>SUMIFS('сентябрь 2023'!$G$4:$G$1053,'сентябрь 2023'!$D$4:$D$1053,$B55,'сентябрь 2023'!$J$4:$J$1053,AE$1)</f>
        <v>0</v>
      </c>
      <c r="AF55" s="207">
        <f>SUMIFS('сентябрь 2023'!$G$4:$G$1053,'сентябрь 2023'!$D$4:$D$1053,$B55,'сентябрь 2023'!$J$4:$J$1053,AF$1)</f>
        <v>0</v>
      </c>
      <c r="AG55" s="207">
        <f>SUMIFS('сентябрь 2023'!$G$4:$G$1053,'сентябрь 2023'!$D$4:$D$1053,$B55,'сентябрь 2023'!$J$4:$J$1053,AG$1)</f>
        <v>0</v>
      </c>
      <c r="AH55" s="207">
        <f>SUMIFS('сентябрь 2023'!$G$4:$G$1053,'сентябрь 2023'!$D$4:$D$1053,$B55,'сентябрь 2023'!$J$4:$J$1053,AH$1)</f>
        <v>0</v>
      </c>
      <c r="AI55" s="170">
        <f t="shared" si="1"/>
        <v>0</v>
      </c>
    </row>
    <row r="56" spans="2:35" ht="15" customHeight="1" x14ac:dyDescent="0.25">
      <c r="B56" s="217" t="s">
        <v>421</v>
      </c>
      <c r="C56" s="213">
        <v>200</v>
      </c>
      <c r="D56" s="207">
        <f>SUMIFS('сентябрь 2023'!$G$4:$G$1053,'сентябрь 2023'!$D$4:$D$1053,$B56,'сентябрь 2023'!$J$4:$J$1053,D$1)</f>
        <v>0</v>
      </c>
      <c r="E56" s="207">
        <f>SUMIFS('сентябрь 2023'!$G$4:$G$1053,'сентябрь 2023'!$D$4:$D$1053,$B56,'сентябрь 2023'!$J$4:$J$1053,E$1)</f>
        <v>0</v>
      </c>
      <c r="F56" s="207">
        <f>SUMIFS('сентябрь 2023'!$G$4:$G$1053,'сентябрь 2023'!$D$4:$D$1053,$B56,'сентябрь 2023'!$J$4:$J$1053,F$1)</f>
        <v>0</v>
      </c>
      <c r="G56" s="207">
        <f>SUMIFS('сентябрь 2023'!$G$4:$G$1053,'сентябрь 2023'!$D$4:$D$1053,$B56,'сентябрь 2023'!$J$4:$J$1053,G$1)</f>
        <v>0</v>
      </c>
      <c r="H56" s="207">
        <f>SUMIFS('сентябрь 2023'!$G$4:$G$1053,'сентябрь 2023'!$D$4:$D$1053,$B56,'сентябрь 2023'!$J$4:$J$1053,H$1)</f>
        <v>0</v>
      </c>
      <c r="I56" s="207">
        <f>SUMIFS('сентябрь 2023'!$G$4:$G$1053,'сентябрь 2023'!$D$4:$D$1053,$B56,'сентябрь 2023'!$J$4:$J$1053,I$1)</f>
        <v>0</v>
      </c>
      <c r="J56" s="207">
        <f>SUMIFS('сентябрь 2023'!$G$4:$G$1053,'сентябрь 2023'!$D$4:$D$1053,$B56,'сентябрь 2023'!$J$4:$J$1053,J$1)</f>
        <v>0</v>
      </c>
      <c r="K56" s="207">
        <f>SUMIFS('сентябрь 2023'!$G$4:$G$1053,'сентябрь 2023'!$D$4:$D$1053,$B56,'сентябрь 2023'!$J$4:$J$1053,K$1)</f>
        <v>0</v>
      </c>
      <c r="L56" s="207">
        <f>SUMIFS('сентябрь 2023'!$G$4:$G$1053,'сентябрь 2023'!$D$4:$D$1053,$B56,'сентябрь 2023'!$J$4:$J$1053,L$1)</f>
        <v>0</v>
      </c>
      <c r="M56" s="207">
        <f>SUMIFS('сентябрь 2023'!$G$4:$G$1053,'сентябрь 2023'!$D$4:$D$1053,$B56,'сентябрь 2023'!$J$4:$J$1053,M$1)</f>
        <v>0</v>
      </c>
      <c r="N56" s="207">
        <f>SUMIFS('сентябрь 2023'!$G$4:$G$1053,'сентябрь 2023'!$D$4:$D$1053,$B56,'сентябрь 2023'!$J$4:$J$1053,N$1)</f>
        <v>0</v>
      </c>
      <c r="O56" s="207">
        <f>SUMIFS('сентябрь 2023'!$G$4:$G$1053,'сентябрь 2023'!$D$4:$D$1053,$B56,'сентябрь 2023'!$J$4:$J$1053,O$1)</f>
        <v>0</v>
      </c>
      <c r="P56" s="207">
        <f>SUMIFS('сентябрь 2023'!$G$4:$G$1053,'сентябрь 2023'!$D$4:$D$1053,$B56,'сентябрь 2023'!$J$4:$J$1053,P$1)</f>
        <v>0</v>
      </c>
      <c r="Q56" s="207">
        <f>SUMIFS('сентябрь 2023'!$G$4:$G$1053,'сентябрь 2023'!$D$4:$D$1053,$B56,'сентябрь 2023'!$J$4:$J$1053,Q$1)</f>
        <v>0</v>
      </c>
      <c r="R56" s="207">
        <f>SUMIFS('сентябрь 2023'!$G$4:$G$1053,'сентябрь 2023'!$D$4:$D$1053,$B56,'сентябрь 2023'!$J$4:$J$1053,R$1)</f>
        <v>0</v>
      </c>
      <c r="S56" s="207">
        <f>SUMIFS('сентябрь 2023'!$G$4:$G$1053,'сентябрь 2023'!$D$4:$D$1053,$B56,'сентябрь 2023'!$J$4:$J$1053,S$1)</f>
        <v>0</v>
      </c>
      <c r="T56" s="207">
        <f>SUMIFS('сентябрь 2023'!$G$4:$G$1053,'сентябрь 2023'!$D$4:$D$1053,$B56,'сентябрь 2023'!$J$4:$J$1053,T$1)</f>
        <v>0</v>
      </c>
      <c r="U56" s="207">
        <f>SUMIFS('сентябрь 2023'!$G$4:$G$1053,'сентябрь 2023'!$D$4:$D$1053,$B56,'сентябрь 2023'!$J$4:$J$1053,U$1)</f>
        <v>0</v>
      </c>
      <c r="V56" s="207">
        <f>SUMIFS('сентябрь 2023'!$G$4:$G$1053,'сентябрь 2023'!$D$4:$D$1053,$B56,'сентябрь 2023'!$J$4:$J$1053,V$1)</f>
        <v>0</v>
      </c>
      <c r="W56" s="207">
        <f>SUMIFS('сентябрь 2023'!$G$4:$G$1053,'сентябрь 2023'!$D$4:$D$1053,$B56,'сентябрь 2023'!$J$4:$J$1053,W$1)</f>
        <v>0</v>
      </c>
      <c r="X56" s="207">
        <f>SUMIFS('сентябрь 2023'!$G$4:$G$1053,'сентябрь 2023'!$D$4:$D$1053,$B56,'сентябрь 2023'!$J$4:$J$1053,X$1)</f>
        <v>0</v>
      </c>
      <c r="Y56" s="207">
        <f>SUMIFS('сентябрь 2023'!$G$4:$G$1053,'сентябрь 2023'!$D$4:$D$1053,$B56,'сентябрь 2023'!$J$4:$J$1053,Y$1)</f>
        <v>0</v>
      </c>
      <c r="Z56" s="207">
        <f>SUMIFS('сентябрь 2023'!$G$4:$G$1053,'сентябрь 2023'!$D$4:$D$1053,$B56,'сентябрь 2023'!$J$4:$J$1053,Z$1)</f>
        <v>0</v>
      </c>
      <c r="AA56" s="207">
        <f>SUMIFS('сентябрь 2023'!$G$4:$G$1053,'сентябрь 2023'!$D$4:$D$1053,$B56,'сентябрь 2023'!$J$4:$J$1053,AA$1)</f>
        <v>0</v>
      </c>
      <c r="AB56" s="207">
        <f>SUMIFS('сентябрь 2023'!$G$4:$G$1053,'сентябрь 2023'!$D$4:$D$1053,$B56,'сентябрь 2023'!$J$4:$J$1053,AB$1)</f>
        <v>0</v>
      </c>
      <c r="AC56" s="207">
        <f>SUMIFS('сентябрь 2023'!$G$4:$G$1053,'сентябрь 2023'!$D$4:$D$1053,$B56,'сентябрь 2023'!$J$4:$J$1053,AC$1)</f>
        <v>0</v>
      </c>
      <c r="AD56" s="207">
        <f>SUMIFS('сентябрь 2023'!$G$4:$G$1053,'сентябрь 2023'!$D$4:$D$1053,$B56,'сентябрь 2023'!$J$4:$J$1053,AD$1)</f>
        <v>88</v>
      </c>
      <c r="AE56" s="207">
        <f>SUMIFS('сентябрь 2023'!$G$4:$G$1053,'сентябрь 2023'!$D$4:$D$1053,$B56,'сентябрь 2023'!$J$4:$J$1053,AE$1)</f>
        <v>0</v>
      </c>
      <c r="AF56" s="207">
        <f>SUMIFS('сентябрь 2023'!$G$4:$G$1053,'сентябрь 2023'!$D$4:$D$1053,$B56,'сентябрь 2023'!$J$4:$J$1053,AF$1)</f>
        <v>0</v>
      </c>
      <c r="AG56" s="207">
        <f>SUMIFS('сентябрь 2023'!$G$4:$G$1053,'сентябрь 2023'!$D$4:$D$1053,$B56,'сентябрь 2023'!$J$4:$J$1053,AG$1)</f>
        <v>0</v>
      </c>
      <c r="AH56" s="207">
        <f>SUMIFS('сентябрь 2023'!$G$4:$G$1053,'сентябрь 2023'!$D$4:$D$1053,$B56,'сентябрь 2023'!$J$4:$J$1053,AH$1)</f>
        <v>0</v>
      </c>
      <c r="AI56" s="170">
        <f t="shared" si="1"/>
        <v>88</v>
      </c>
    </row>
    <row r="57" spans="2:35" ht="15" customHeight="1" x14ac:dyDescent="0.25">
      <c r="B57" s="217" t="s">
        <v>795</v>
      </c>
      <c r="C57" s="213">
        <v>30</v>
      </c>
      <c r="D57" s="207">
        <f>SUMIFS('сентябрь 2023'!$G$4:$G$1053,'сентябрь 2023'!$D$4:$D$1053,$B57,'сентябрь 2023'!$J$4:$J$1053,D$1)</f>
        <v>0</v>
      </c>
      <c r="E57" s="207">
        <f>SUMIFS('сентябрь 2023'!$G$4:$G$1053,'сентябрь 2023'!$D$4:$D$1053,$B57,'сентябрь 2023'!$J$4:$J$1053,E$1)</f>
        <v>0</v>
      </c>
      <c r="F57" s="207">
        <f>SUMIFS('сентябрь 2023'!$G$4:$G$1053,'сентябрь 2023'!$D$4:$D$1053,$B57,'сентябрь 2023'!$J$4:$J$1053,F$1)</f>
        <v>0</v>
      </c>
      <c r="G57" s="207">
        <f>SUMIFS('сентябрь 2023'!$G$4:$G$1053,'сентябрь 2023'!$D$4:$D$1053,$B57,'сентябрь 2023'!$J$4:$J$1053,G$1)</f>
        <v>0</v>
      </c>
      <c r="H57" s="207">
        <f>SUMIFS('сентябрь 2023'!$G$4:$G$1053,'сентябрь 2023'!$D$4:$D$1053,$B57,'сентябрь 2023'!$J$4:$J$1053,H$1)</f>
        <v>0</v>
      </c>
      <c r="I57" s="207">
        <f>SUMIFS('сентябрь 2023'!$G$4:$G$1053,'сентябрь 2023'!$D$4:$D$1053,$B57,'сентябрь 2023'!$J$4:$J$1053,I$1)</f>
        <v>0</v>
      </c>
      <c r="J57" s="207">
        <f>SUMIFS('сентябрь 2023'!$G$4:$G$1053,'сентябрь 2023'!$D$4:$D$1053,$B57,'сентябрь 2023'!$J$4:$J$1053,J$1)</f>
        <v>0</v>
      </c>
      <c r="K57" s="207">
        <f>SUMIFS('сентябрь 2023'!$G$4:$G$1053,'сентябрь 2023'!$D$4:$D$1053,$B57,'сентябрь 2023'!$J$4:$J$1053,K$1)</f>
        <v>0</v>
      </c>
      <c r="L57" s="207">
        <f>SUMIFS('сентябрь 2023'!$G$4:$G$1053,'сентябрь 2023'!$D$4:$D$1053,$B57,'сентябрь 2023'!$J$4:$J$1053,L$1)</f>
        <v>0</v>
      </c>
      <c r="M57" s="207">
        <f>SUMIFS('сентябрь 2023'!$G$4:$G$1053,'сентябрь 2023'!$D$4:$D$1053,$B57,'сентябрь 2023'!$J$4:$J$1053,M$1)</f>
        <v>0</v>
      </c>
      <c r="N57" s="207">
        <f>SUMIFS('сентябрь 2023'!$G$4:$G$1053,'сентябрь 2023'!$D$4:$D$1053,$B57,'сентябрь 2023'!$J$4:$J$1053,N$1)</f>
        <v>0</v>
      </c>
      <c r="O57" s="207">
        <f>SUMIFS('сентябрь 2023'!$G$4:$G$1053,'сентябрь 2023'!$D$4:$D$1053,$B57,'сентябрь 2023'!$J$4:$J$1053,O$1)</f>
        <v>0</v>
      </c>
      <c r="P57" s="207">
        <f>SUMIFS('сентябрь 2023'!$G$4:$G$1053,'сентябрь 2023'!$D$4:$D$1053,$B57,'сентябрь 2023'!$J$4:$J$1053,P$1)</f>
        <v>0</v>
      </c>
      <c r="Q57" s="207">
        <f>SUMIFS('сентябрь 2023'!$G$4:$G$1053,'сентябрь 2023'!$D$4:$D$1053,$B57,'сентябрь 2023'!$J$4:$J$1053,Q$1)</f>
        <v>0</v>
      </c>
      <c r="R57" s="207">
        <f>SUMIFS('сентябрь 2023'!$G$4:$G$1053,'сентябрь 2023'!$D$4:$D$1053,$B57,'сентябрь 2023'!$J$4:$J$1053,R$1)</f>
        <v>0</v>
      </c>
      <c r="S57" s="207">
        <f>SUMIFS('сентябрь 2023'!$G$4:$G$1053,'сентябрь 2023'!$D$4:$D$1053,$B57,'сентябрь 2023'!$J$4:$J$1053,S$1)</f>
        <v>0</v>
      </c>
      <c r="T57" s="207">
        <f>SUMIFS('сентябрь 2023'!$G$4:$G$1053,'сентябрь 2023'!$D$4:$D$1053,$B57,'сентябрь 2023'!$J$4:$J$1053,T$1)</f>
        <v>0</v>
      </c>
      <c r="U57" s="207">
        <f>SUMIFS('сентябрь 2023'!$G$4:$G$1053,'сентябрь 2023'!$D$4:$D$1053,$B57,'сентябрь 2023'!$J$4:$J$1053,U$1)</f>
        <v>0</v>
      </c>
      <c r="V57" s="207">
        <f>SUMIFS('сентябрь 2023'!$G$4:$G$1053,'сентябрь 2023'!$D$4:$D$1053,$B57,'сентябрь 2023'!$J$4:$J$1053,V$1)</f>
        <v>0</v>
      </c>
      <c r="W57" s="207">
        <f>SUMIFS('сентябрь 2023'!$G$4:$G$1053,'сентябрь 2023'!$D$4:$D$1053,$B57,'сентябрь 2023'!$J$4:$J$1053,W$1)</f>
        <v>0</v>
      </c>
      <c r="X57" s="207">
        <f>SUMIFS('сентябрь 2023'!$G$4:$G$1053,'сентябрь 2023'!$D$4:$D$1053,$B57,'сентябрь 2023'!$J$4:$J$1053,X$1)</f>
        <v>0</v>
      </c>
      <c r="Y57" s="207">
        <f>SUMIFS('сентябрь 2023'!$G$4:$G$1053,'сентябрь 2023'!$D$4:$D$1053,$B57,'сентябрь 2023'!$J$4:$J$1053,Y$1)</f>
        <v>0</v>
      </c>
      <c r="Z57" s="207">
        <f>SUMIFS('сентябрь 2023'!$G$4:$G$1053,'сентябрь 2023'!$D$4:$D$1053,$B57,'сентябрь 2023'!$J$4:$J$1053,Z$1)</f>
        <v>0</v>
      </c>
      <c r="AA57" s="207">
        <f>SUMIFS('сентябрь 2023'!$G$4:$G$1053,'сентябрь 2023'!$D$4:$D$1053,$B57,'сентябрь 2023'!$J$4:$J$1053,AA$1)</f>
        <v>0</v>
      </c>
      <c r="AB57" s="207">
        <f>SUMIFS('сентябрь 2023'!$G$4:$G$1053,'сентябрь 2023'!$D$4:$D$1053,$B57,'сентябрь 2023'!$J$4:$J$1053,AB$1)</f>
        <v>0</v>
      </c>
      <c r="AC57" s="207">
        <f>SUMIFS('сентябрь 2023'!$G$4:$G$1053,'сентябрь 2023'!$D$4:$D$1053,$B57,'сентябрь 2023'!$J$4:$J$1053,AC$1)</f>
        <v>0</v>
      </c>
      <c r="AD57" s="207">
        <f>SUMIFS('сентябрь 2023'!$G$4:$G$1053,'сентябрь 2023'!$D$4:$D$1053,$B57,'сентябрь 2023'!$J$4:$J$1053,AD$1)</f>
        <v>0</v>
      </c>
      <c r="AE57" s="207">
        <f>SUMIFS('сентябрь 2023'!$G$4:$G$1053,'сентябрь 2023'!$D$4:$D$1053,$B57,'сентябрь 2023'!$J$4:$J$1053,AE$1)</f>
        <v>0</v>
      </c>
      <c r="AF57" s="207">
        <f>SUMIFS('сентябрь 2023'!$G$4:$G$1053,'сентябрь 2023'!$D$4:$D$1053,$B57,'сентябрь 2023'!$J$4:$J$1053,AF$1)</f>
        <v>0</v>
      </c>
      <c r="AG57" s="207">
        <f>SUMIFS('сентябрь 2023'!$G$4:$G$1053,'сентябрь 2023'!$D$4:$D$1053,$B57,'сентябрь 2023'!$J$4:$J$1053,AG$1)</f>
        <v>0</v>
      </c>
      <c r="AH57" s="207">
        <f>SUMIFS('сентябрь 2023'!$G$4:$G$1053,'сентябрь 2023'!$D$4:$D$1053,$B57,'сентябрь 2023'!$J$4:$J$1053,AH$1)</f>
        <v>0</v>
      </c>
      <c r="AI57" s="170">
        <f t="shared" si="1"/>
        <v>0</v>
      </c>
    </row>
    <row r="58" spans="2:35" ht="15" customHeight="1" x14ac:dyDescent="0.25">
      <c r="B58" s="217" t="s">
        <v>222</v>
      </c>
      <c r="C58" s="213">
        <v>50</v>
      </c>
      <c r="D58" s="207">
        <f>SUMIFS('сентябрь 2023'!$G$4:$G$1053,'сентябрь 2023'!$D$4:$D$1053,$B58,'сентябрь 2023'!$J$4:$J$1053,D$1)</f>
        <v>0</v>
      </c>
      <c r="E58" s="207">
        <f>SUMIFS('сентябрь 2023'!$G$4:$G$1053,'сентябрь 2023'!$D$4:$D$1053,$B58,'сентябрь 2023'!$J$4:$J$1053,E$1)</f>
        <v>0</v>
      </c>
      <c r="F58" s="207">
        <f>SUMIFS('сентябрь 2023'!$G$4:$G$1053,'сентябрь 2023'!$D$4:$D$1053,$B58,'сентябрь 2023'!$J$4:$J$1053,F$1)</f>
        <v>0</v>
      </c>
      <c r="G58" s="207">
        <f>SUMIFS('сентябрь 2023'!$G$4:$G$1053,'сентябрь 2023'!$D$4:$D$1053,$B58,'сентябрь 2023'!$J$4:$J$1053,G$1)</f>
        <v>0</v>
      </c>
      <c r="H58" s="207">
        <f>SUMIFS('сентябрь 2023'!$G$4:$G$1053,'сентябрь 2023'!$D$4:$D$1053,$B58,'сентябрь 2023'!$J$4:$J$1053,H$1)</f>
        <v>0</v>
      </c>
      <c r="I58" s="207">
        <f>SUMIFS('сентябрь 2023'!$G$4:$G$1053,'сентябрь 2023'!$D$4:$D$1053,$B58,'сентябрь 2023'!$J$4:$J$1053,I$1)</f>
        <v>0</v>
      </c>
      <c r="J58" s="207">
        <f>SUMIFS('сентябрь 2023'!$G$4:$G$1053,'сентябрь 2023'!$D$4:$D$1053,$B58,'сентябрь 2023'!$J$4:$J$1053,J$1)</f>
        <v>0</v>
      </c>
      <c r="K58" s="207">
        <f>SUMIFS('сентябрь 2023'!$G$4:$G$1053,'сентябрь 2023'!$D$4:$D$1053,$B58,'сентябрь 2023'!$J$4:$J$1053,K$1)</f>
        <v>0</v>
      </c>
      <c r="L58" s="207">
        <f>SUMIFS('сентябрь 2023'!$G$4:$G$1053,'сентябрь 2023'!$D$4:$D$1053,$B58,'сентябрь 2023'!$J$4:$J$1053,L$1)</f>
        <v>0</v>
      </c>
      <c r="M58" s="207">
        <f>SUMIFS('сентябрь 2023'!$G$4:$G$1053,'сентябрь 2023'!$D$4:$D$1053,$B58,'сентябрь 2023'!$J$4:$J$1053,M$1)</f>
        <v>0</v>
      </c>
      <c r="N58" s="207">
        <f>SUMIFS('сентябрь 2023'!$G$4:$G$1053,'сентябрь 2023'!$D$4:$D$1053,$B58,'сентябрь 2023'!$J$4:$J$1053,N$1)</f>
        <v>0</v>
      </c>
      <c r="O58" s="207">
        <f>SUMIFS('сентябрь 2023'!$G$4:$G$1053,'сентябрь 2023'!$D$4:$D$1053,$B58,'сентябрь 2023'!$J$4:$J$1053,O$1)</f>
        <v>0</v>
      </c>
      <c r="P58" s="207">
        <f>SUMIFS('сентябрь 2023'!$G$4:$G$1053,'сентябрь 2023'!$D$4:$D$1053,$B58,'сентябрь 2023'!$J$4:$J$1053,P$1)</f>
        <v>0</v>
      </c>
      <c r="Q58" s="207">
        <f>SUMIFS('сентябрь 2023'!$G$4:$G$1053,'сентябрь 2023'!$D$4:$D$1053,$B58,'сентябрь 2023'!$J$4:$J$1053,Q$1)</f>
        <v>0</v>
      </c>
      <c r="R58" s="207">
        <f>SUMIFS('сентябрь 2023'!$G$4:$G$1053,'сентябрь 2023'!$D$4:$D$1053,$B58,'сентябрь 2023'!$J$4:$J$1053,R$1)</f>
        <v>0</v>
      </c>
      <c r="S58" s="207">
        <f>SUMIFS('сентябрь 2023'!$G$4:$G$1053,'сентябрь 2023'!$D$4:$D$1053,$B58,'сентябрь 2023'!$J$4:$J$1053,S$1)</f>
        <v>0</v>
      </c>
      <c r="T58" s="207">
        <f>SUMIFS('сентябрь 2023'!$G$4:$G$1053,'сентябрь 2023'!$D$4:$D$1053,$B58,'сентябрь 2023'!$J$4:$J$1053,T$1)</f>
        <v>0</v>
      </c>
      <c r="U58" s="207">
        <f>SUMIFS('сентябрь 2023'!$G$4:$G$1053,'сентябрь 2023'!$D$4:$D$1053,$B58,'сентябрь 2023'!$J$4:$J$1053,U$1)</f>
        <v>0</v>
      </c>
      <c r="V58" s="207">
        <f>SUMIFS('сентябрь 2023'!$G$4:$G$1053,'сентябрь 2023'!$D$4:$D$1053,$B58,'сентябрь 2023'!$J$4:$J$1053,V$1)</f>
        <v>0</v>
      </c>
      <c r="W58" s="207">
        <f>SUMIFS('сентябрь 2023'!$G$4:$G$1053,'сентябрь 2023'!$D$4:$D$1053,$B58,'сентябрь 2023'!$J$4:$J$1053,W$1)</f>
        <v>0</v>
      </c>
      <c r="X58" s="207">
        <f>SUMIFS('сентябрь 2023'!$G$4:$G$1053,'сентябрь 2023'!$D$4:$D$1053,$B58,'сентябрь 2023'!$J$4:$J$1053,X$1)</f>
        <v>0</v>
      </c>
      <c r="Y58" s="207">
        <f>SUMIFS('сентябрь 2023'!$G$4:$G$1053,'сентябрь 2023'!$D$4:$D$1053,$B58,'сентябрь 2023'!$J$4:$J$1053,Y$1)</f>
        <v>0</v>
      </c>
      <c r="Z58" s="207">
        <f>SUMIFS('сентябрь 2023'!$G$4:$G$1053,'сентябрь 2023'!$D$4:$D$1053,$B58,'сентябрь 2023'!$J$4:$J$1053,Z$1)</f>
        <v>0</v>
      </c>
      <c r="AA58" s="207">
        <f>SUMIFS('сентябрь 2023'!$G$4:$G$1053,'сентябрь 2023'!$D$4:$D$1053,$B58,'сентябрь 2023'!$J$4:$J$1053,AA$1)</f>
        <v>0</v>
      </c>
      <c r="AB58" s="207">
        <f>SUMIFS('сентябрь 2023'!$G$4:$G$1053,'сентябрь 2023'!$D$4:$D$1053,$B58,'сентябрь 2023'!$J$4:$J$1053,AB$1)</f>
        <v>0</v>
      </c>
      <c r="AC58" s="207">
        <f>SUMIFS('сентябрь 2023'!$G$4:$G$1053,'сентябрь 2023'!$D$4:$D$1053,$B58,'сентябрь 2023'!$J$4:$J$1053,AC$1)</f>
        <v>0</v>
      </c>
      <c r="AD58" s="207">
        <f>SUMIFS('сентябрь 2023'!$G$4:$G$1053,'сентябрь 2023'!$D$4:$D$1053,$B58,'сентябрь 2023'!$J$4:$J$1053,AD$1)</f>
        <v>0</v>
      </c>
      <c r="AE58" s="207">
        <f>SUMIFS('сентябрь 2023'!$G$4:$G$1053,'сентябрь 2023'!$D$4:$D$1053,$B58,'сентябрь 2023'!$J$4:$J$1053,AE$1)</f>
        <v>0</v>
      </c>
      <c r="AF58" s="207">
        <f>SUMIFS('сентябрь 2023'!$G$4:$G$1053,'сентябрь 2023'!$D$4:$D$1053,$B58,'сентябрь 2023'!$J$4:$J$1053,AF$1)</f>
        <v>0</v>
      </c>
      <c r="AG58" s="207">
        <f>SUMIFS('сентябрь 2023'!$G$4:$G$1053,'сентябрь 2023'!$D$4:$D$1053,$B58,'сентябрь 2023'!$J$4:$J$1053,AG$1)</f>
        <v>0</v>
      </c>
      <c r="AH58" s="207">
        <f>SUMIFS('сентябрь 2023'!$G$4:$G$1053,'сентябрь 2023'!$D$4:$D$1053,$B58,'сентябрь 2023'!$J$4:$J$1053,AH$1)</f>
        <v>0</v>
      </c>
      <c r="AI58" s="170">
        <f t="shared" si="1"/>
        <v>0</v>
      </c>
    </row>
    <row r="59" spans="2:35" ht="15" customHeight="1" x14ac:dyDescent="0.25">
      <c r="B59" s="216" t="s">
        <v>66</v>
      </c>
      <c r="C59" s="213">
        <v>200</v>
      </c>
      <c r="D59" s="207">
        <f>SUMIFS('сентябрь 2023'!$G$4:$G$1053,'сентябрь 2023'!$D$4:$D$1053,$B59,'сентябрь 2023'!$J$4:$J$1053,D$1)</f>
        <v>0</v>
      </c>
      <c r="E59" s="207">
        <f>SUMIFS('сентябрь 2023'!$G$4:$G$1053,'сентябрь 2023'!$D$4:$D$1053,$B59,'сентябрь 2023'!$J$4:$J$1053,E$1)</f>
        <v>0</v>
      </c>
      <c r="F59" s="207">
        <f>SUMIFS('сентябрь 2023'!$G$4:$G$1053,'сентябрь 2023'!$D$4:$D$1053,$B59,'сентябрь 2023'!$J$4:$J$1053,F$1)</f>
        <v>0</v>
      </c>
      <c r="G59" s="207">
        <f>SUMIFS('сентябрь 2023'!$G$4:$G$1053,'сентябрь 2023'!$D$4:$D$1053,$B59,'сентябрь 2023'!$J$4:$J$1053,G$1)</f>
        <v>0</v>
      </c>
      <c r="H59" s="207">
        <f>SUMIFS('сентябрь 2023'!$G$4:$G$1053,'сентябрь 2023'!$D$4:$D$1053,$B59,'сентябрь 2023'!$J$4:$J$1053,H$1)</f>
        <v>0</v>
      </c>
      <c r="I59" s="207">
        <f>SUMIFS('сентябрь 2023'!$G$4:$G$1053,'сентябрь 2023'!$D$4:$D$1053,$B59,'сентябрь 2023'!$J$4:$J$1053,I$1)</f>
        <v>0</v>
      </c>
      <c r="J59" s="207">
        <f>SUMIFS('сентябрь 2023'!$G$4:$G$1053,'сентябрь 2023'!$D$4:$D$1053,$B59,'сентябрь 2023'!$J$4:$J$1053,J$1)</f>
        <v>0</v>
      </c>
      <c r="K59" s="207">
        <f>SUMIFS('сентябрь 2023'!$G$4:$G$1053,'сентябрь 2023'!$D$4:$D$1053,$B59,'сентябрь 2023'!$J$4:$J$1053,K$1)</f>
        <v>0</v>
      </c>
      <c r="L59" s="207">
        <f>SUMIFS('сентябрь 2023'!$G$4:$G$1053,'сентябрь 2023'!$D$4:$D$1053,$B59,'сентябрь 2023'!$J$4:$J$1053,L$1)</f>
        <v>0</v>
      </c>
      <c r="M59" s="207">
        <f>SUMIFS('сентябрь 2023'!$G$4:$G$1053,'сентябрь 2023'!$D$4:$D$1053,$B59,'сентябрь 2023'!$J$4:$J$1053,M$1)</f>
        <v>0</v>
      </c>
      <c r="N59" s="207">
        <f>SUMIFS('сентябрь 2023'!$G$4:$G$1053,'сентябрь 2023'!$D$4:$D$1053,$B59,'сентябрь 2023'!$J$4:$J$1053,N$1)</f>
        <v>0</v>
      </c>
      <c r="O59" s="207">
        <f>SUMIFS('сентябрь 2023'!$G$4:$G$1053,'сентябрь 2023'!$D$4:$D$1053,$B59,'сентябрь 2023'!$J$4:$J$1053,O$1)</f>
        <v>88</v>
      </c>
      <c r="P59" s="207">
        <f>SUMIFS('сентябрь 2023'!$G$4:$G$1053,'сентябрь 2023'!$D$4:$D$1053,$B59,'сентябрь 2023'!$J$4:$J$1053,P$1)</f>
        <v>1</v>
      </c>
      <c r="Q59" s="207">
        <f>SUMIFS('сентябрь 2023'!$G$4:$G$1053,'сентябрь 2023'!$D$4:$D$1053,$B59,'сентябрь 2023'!$J$4:$J$1053,Q$1)</f>
        <v>0</v>
      </c>
      <c r="R59" s="207">
        <f>SUMIFS('сентябрь 2023'!$G$4:$G$1053,'сентябрь 2023'!$D$4:$D$1053,$B59,'сентябрь 2023'!$J$4:$J$1053,R$1)</f>
        <v>48</v>
      </c>
      <c r="S59" s="207">
        <f>SUMIFS('сентябрь 2023'!$G$4:$G$1053,'сентябрь 2023'!$D$4:$D$1053,$B59,'сентябрь 2023'!$J$4:$J$1053,S$1)</f>
        <v>0</v>
      </c>
      <c r="T59" s="207">
        <f>SUMIFS('сентябрь 2023'!$G$4:$G$1053,'сентябрь 2023'!$D$4:$D$1053,$B59,'сентябрь 2023'!$J$4:$J$1053,T$1)</f>
        <v>0</v>
      </c>
      <c r="U59" s="207">
        <f>SUMIFS('сентябрь 2023'!$G$4:$G$1053,'сентябрь 2023'!$D$4:$D$1053,$B59,'сентябрь 2023'!$J$4:$J$1053,U$1)</f>
        <v>0</v>
      </c>
      <c r="V59" s="207">
        <f>SUMIFS('сентябрь 2023'!$G$4:$G$1053,'сентябрь 2023'!$D$4:$D$1053,$B59,'сентябрь 2023'!$J$4:$J$1053,V$1)</f>
        <v>0</v>
      </c>
      <c r="W59" s="207">
        <f>SUMIFS('сентябрь 2023'!$G$4:$G$1053,'сентябрь 2023'!$D$4:$D$1053,$B59,'сентябрь 2023'!$J$4:$J$1053,W$1)</f>
        <v>0</v>
      </c>
      <c r="X59" s="207">
        <f>SUMIFS('сентябрь 2023'!$G$4:$G$1053,'сентябрь 2023'!$D$4:$D$1053,$B59,'сентябрь 2023'!$J$4:$J$1053,X$1)</f>
        <v>0</v>
      </c>
      <c r="Y59" s="207">
        <f>SUMIFS('сентябрь 2023'!$G$4:$G$1053,'сентябрь 2023'!$D$4:$D$1053,$B59,'сентябрь 2023'!$J$4:$J$1053,Y$1)</f>
        <v>0</v>
      </c>
      <c r="Z59" s="207">
        <f>SUMIFS('сентябрь 2023'!$G$4:$G$1053,'сентябрь 2023'!$D$4:$D$1053,$B59,'сентябрь 2023'!$J$4:$J$1053,Z$1)</f>
        <v>0</v>
      </c>
      <c r="AA59" s="207">
        <f>SUMIFS('сентябрь 2023'!$G$4:$G$1053,'сентябрь 2023'!$D$4:$D$1053,$B59,'сентябрь 2023'!$J$4:$J$1053,AA$1)</f>
        <v>0</v>
      </c>
      <c r="AB59" s="207">
        <f>SUMIFS('сентябрь 2023'!$G$4:$G$1053,'сентябрь 2023'!$D$4:$D$1053,$B59,'сентябрь 2023'!$J$4:$J$1053,AB$1)</f>
        <v>0</v>
      </c>
      <c r="AC59" s="207">
        <f>SUMIFS('сентябрь 2023'!$G$4:$G$1053,'сентябрь 2023'!$D$4:$D$1053,$B59,'сентябрь 2023'!$J$4:$J$1053,AC$1)</f>
        <v>0</v>
      </c>
      <c r="AD59" s="207">
        <f>SUMIFS('сентябрь 2023'!$G$4:$G$1053,'сентябрь 2023'!$D$4:$D$1053,$B59,'сентябрь 2023'!$J$4:$J$1053,AD$1)</f>
        <v>0</v>
      </c>
      <c r="AE59" s="207">
        <f>SUMIFS('сентябрь 2023'!$G$4:$G$1053,'сентябрь 2023'!$D$4:$D$1053,$B59,'сентябрь 2023'!$J$4:$J$1053,AE$1)</f>
        <v>0</v>
      </c>
      <c r="AF59" s="207">
        <f>SUMIFS('сентябрь 2023'!$G$4:$G$1053,'сентябрь 2023'!$D$4:$D$1053,$B59,'сентябрь 2023'!$J$4:$J$1053,AF$1)</f>
        <v>0</v>
      </c>
      <c r="AG59" s="207">
        <f>SUMIFS('сентябрь 2023'!$G$4:$G$1053,'сентябрь 2023'!$D$4:$D$1053,$B59,'сентябрь 2023'!$J$4:$J$1053,AG$1)</f>
        <v>0</v>
      </c>
      <c r="AH59" s="207">
        <f>SUMIFS('сентябрь 2023'!$G$4:$G$1053,'сентябрь 2023'!$D$4:$D$1053,$B59,'сентябрь 2023'!$J$4:$J$1053,AH$1)</f>
        <v>0</v>
      </c>
      <c r="AI59" s="170">
        <f t="shared" si="1"/>
        <v>137</v>
      </c>
    </row>
    <row r="60" spans="2:35" ht="15" customHeight="1" x14ac:dyDescent="0.25">
      <c r="B60" s="216" t="s">
        <v>38</v>
      </c>
      <c r="C60" s="213">
        <v>200</v>
      </c>
      <c r="D60" s="207">
        <f>SUMIFS('сентябрь 2023'!$G$4:$G$1053,'сентябрь 2023'!$D$4:$D$1053,$B60,'сентябрь 2023'!$J$4:$J$1053,D$1)</f>
        <v>0</v>
      </c>
      <c r="E60" s="207">
        <f>SUMIFS('сентябрь 2023'!$G$4:$G$1053,'сентябрь 2023'!$D$4:$D$1053,$B60,'сентябрь 2023'!$J$4:$J$1053,E$1)</f>
        <v>0</v>
      </c>
      <c r="F60" s="207">
        <f>SUMIFS('сентябрь 2023'!$G$4:$G$1053,'сентябрь 2023'!$D$4:$D$1053,$B60,'сентябрь 2023'!$J$4:$J$1053,F$1)</f>
        <v>0</v>
      </c>
      <c r="G60" s="207">
        <f>SUMIFS('сентябрь 2023'!$G$4:$G$1053,'сентябрь 2023'!$D$4:$D$1053,$B60,'сентябрь 2023'!$J$4:$J$1053,G$1)</f>
        <v>0</v>
      </c>
      <c r="H60" s="207">
        <f>SUMIFS('сентябрь 2023'!$G$4:$G$1053,'сентябрь 2023'!$D$4:$D$1053,$B60,'сентябрь 2023'!$J$4:$J$1053,H$1)</f>
        <v>0</v>
      </c>
      <c r="I60" s="207">
        <f>SUMIFS('сентябрь 2023'!$G$4:$G$1053,'сентябрь 2023'!$D$4:$D$1053,$B60,'сентябрь 2023'!$J$4:$J$1053,I$1)</f>
        <v>0</v>
      </c>
      <c r="J60" s="207">
        <f>SUMIFS('сентябрь 2023'!$G$4:$G$1053,'сентябрь 2023'!$D$4:$D$1053,$B60,'сентябрь 2023'!$J$4:$J$1053,J$1)</f>
        <v>0</v>
      </c>
      <c r="K60" s="207">
        <f>SUMIFS('сентябрь 2023'!$G$4:$G$1053,'сентябрь 2023'!$D$4:$D$1053,$B60,'сентябрь 2023'!$J$4:$J$1053,K$1)</f>
        <v>0</v>
      </c>
      <c r="L60" s="207">
        <f>SUMIFS('сентябрь 2023'!$G$4:$G$1053,'сентябрь 2023'!$D$4:$D$1053,$B60,'сентябрь 2023'!$J$4:$J$1053,L$1)</f>
        <v>0</v>
      </c>
      <c r="M60" s="207">
        <f>SUMIFS('сентябрь 2023'!$G$4:$G$1053,'сентябрь 2023'!$D$4:$D$1053,$B60,'сентябрь 2023'!$J$4:$J$1053,M$1)</f>
        <v>0</v>
      </c>
      <c r="N60" s="207">
        <f>SUMIFS('сентябрь 2023'!$G$4:$G$1053,'сентябрь 2023'!$D$4:$D$1053,$B60,'сентябрь 2023'!$J$4:$J$1053,N$1)</f>
        <v>0</v>
      </c>
      <c r="O60" s="207">
        <f>SUMIFS('сентябрь 2023'!$G$4:$G$1053,'сентябрь 2023'!$D$4:$D$1053,$B60,'сентябрь 2023'!$J$4:$J$1053,O$1)</f>
        <v>0</v>
      </c>
      <c r="P60" s="207">
        <f>SUMIFS('сентябрь 2023'!$G$4:$G$1053,'сентябрь 2023'!$D$4:$D$1053,$B60,'сентябрь 2023'!$J$4:$J$1053,P$1)</f>
        <v>0</v>
      </c>
      <c r="Q60" s="207">
        <f>SUMIFS('сентябрь 2023'!$G$4:$G$1053,'сентябрь 2023'!$D$4:$D$1053,$B60,'сентябрь 2023'!$J$4:$J$1053,Q$1)</f>
        <v>0</v>
      </c>
      <c r="R60" s="207">
        <f>SUMIFS('сентябрь 2023'!$G$4:$G$1053,'сентябрь 2023'!$D$4:$D$1053,$B60,'сентябрь 2023'!$J$4:$J$1053,R$1)</f>
        <v>0</v>
      </c>
      <c r="S60" s="207">
        <f>SUMIFS('сентябрь 2023'!$G$4:$G$1053,'сентябрь 2023'!$D$4:$D$1053,$B60,'сентябрь 2023'!$J$4:$J$1053,S$1)</f>
        <v>0</v>
      </c>
      <c r="T60" s="207">
        <f>SUMIFS('сентябрь 2023'!$G$4:$G$1053,'сентябрь 2023'!$D$4:$D$1053,$B60,'сентябрь 2023'!$J$4:$J$1053,T$1)</f>
        <v>0</v>
      </c>
      <c r="U60" s="207">
        <f>SUMIFS('сентябрь 2023'!$G$4:$G$1053,'сентябрь 2023'!$D$4:$D$1053,$B60,'сентябрь 2023'!$J$4:$J$1053,U$1)</f>
        <v>0</v>
      </c>
      <c r="V60" s="207">
        <f>SUMIFS('сентябрь 2023'!$G$4:$G$1053,'сентябрь 2023'!$D$4:$D$1053,$B60,'сентябрь 2023'!$J$4:$J$1053,V$1)</f>
        <v>0</v>
      </c>
      <c r="W60" s="207">
        <f>SUMIFS('сентябрь 2023'!$G$4:$G$1053,'сентябрь 2023'!$D$4:$D$1053,$B60,'сентябрь 2023'!$J$4:$J$1053,W$1)</f>
        <v>0</v>
      </c>
      <c r="X60" s="207">
        <f>SUMIFS('сентябрь 2023'!$G$4:$G$1053,'сентябрь 2023'!$D$4:$D$1053,$B60,'сентябрь 2023'!$J$4:$J$1053,X$1)</f>
        <v>0</v>
      </c>
      <c r="Y60" s="207">
        <f>SUMIFS('сентябрь 2023'!$G$4:$G$1053,'сентябрь 2023'!$D$4:$D$1053,$B60,'сентябрь 2023'!$J$4:$J$1053,Y$1)</f>
        <v>0</v>
      </c>
      <c r="Z60" s="207">
        <f>SUMIFS('сентябрь 2023'!$G$4:$G$1053,'сентябрь 2023'!$D$4:$D$1053,$B60,'сентябрь 2023'!$J$4:$J$1053,Z$1)</f>
        <v>0</v>
      </c>
      <c r="AA60" s="207">
        <f>SUMIFS('сентябрь 2023'!$G$4:$G$1053,'сентябрь 2023'!$D$4:$D$1053,$B60,'сентябрь 2023'!$J$4:$J$1053,AA$1)</f>
        <v>0</v>
      </c>
      <c r="AB60" s="207">
        <f>SUMIFS('сентябрь 2023'!$G$4:$G$1053,'сентябрь 2023'!$D$4:$D$1053,$B60,'сентябрь 2023'!$J$4:$J$1053,AB$1)</f>
        <v>0</v>
      </c>
      <c r="AC60" s="207">
        <f>SUMIFS('сентябрь 2023'!$G$4:$G$1053,'сентябрь 2023'!$D$4:$D$1053,$B60,'сентябрь 2023'!$J$4:$J$1053,AC$1)</f>
        <v>0</v>
      </c>
      <c r="AD60" s="207">
        <f>SUMIFS('сентябрь 2023'!$G$4:$G$1053,'сентябрь 2023'!$D$4:$D$1053,$B60,'сентябрь 2023'!$J$4:$J$1053,AD$1)</f>
        <v>0</v>
      </c>
      <c r="AE60" s="207">
        <f>SUMIFS('сентябрь 2023'!$G$4:$G$1053,'сентябрь 2023'!$D$4:$D$1053,$B60,'сентябрь 2023'!$J$4:$J$1053,AE$1)</f>
        <v>0</v>
      </c>
      <c r="AF60" s="207">
        <f>SUMIFS('сентябрь 2023'!$G$4:$G$1053,'сентябрь 2023'!$D$4:$D$1053,$B60,'сентябрь 2023'!$J$4:$J$1053,AF$1)</f>
        <v>0</v>
      </c>
      <c r="AG60" s="207">
        <f>SUMIFS('сентябрь 2023'!$G$4:$G$1053,'сентябрь 2023'!$D$4:$D$1053,$B60,'сентябрь 2023'!$J$4:$J$1053,AG$1)</f>
        <v>0</v>
      </c>
      <c r="AH60" s="207">
        <f>SUMIFS('сентябрь 2023'!$G$4:$G$1053,'сентябрь 2023'!$D$4:$D$1053,$B60,'сентябрь 2023'!$J$4:$J$1053,AH$1)</f>
        <v>0</v>
      </c>
      <c r="AI60" s="170">
        <f t="shared" si="1"/>
        <v>0</v>
      </c>
    </row>
    <row r="61" spans="2:35" ht="15" customHeight="1" x14ac:dyDescent="0.25">
      <c r="B61" s="216" t="s">
        <v>878</v>
      </c>
      <c r="C61" s="213">
        <v>25</v>
      </c>
      <c r="D61" s="207">
        <f>SUMIFS('сентябрь 2023'!$G$4:$G$1053,'сентябрь 2023'!$D$4:$D$1053,$B61,'сентябрь 2023'!$J$4:$J$1053,D$1)</f>
        <v>0</v>
      </c>
      <c r="E61" s="207">
        <f>SUMIFS('сентябрь 2023'!$G$4:$G$1053,'сентябрь 2023'!$D$4:$D$1053,$B61,'сентябрь 2023'!$J$4:$J$1053,E$1)</f>
        <v>0</v>
      </c>
      <c r="F61" s="207">
        <f>SUMIFS('сентябрь 2023'!$G$4:$G$1053,'сентябрь 2023'!$D$4:$D$1053,$B61,'сентябрь 2023'!$J$4:$J$1053,F$1)</f>
        <v>0</v>
      </c>
      <c r="G61" s="207">
        <f>SUMIFS('сентябрь 2023'!$G$4:$G$1053,'сентябрь 2023'!$D$4:$D$1053,$B61,'сентябрь 2023'!$J$4:$J$1053,G$1)</f>
        <v>0</v>
      </c>
      <c r="H61" s="207">
        <f>SUMIFS('сентябрь 2023'!$G$4:$G$1053,'сентябрь 2023'!$D$4:$D$1053,$B61,'сентябрь 2023'!$J$4:$J$1053,H$1)</f>
        <v>0</v>
      </c>
      <c r="I61" s="207">
        <f>SUMIFS('сентябрь 2023'!$G$4:$G$1053,'сентябрь 2023'!$D$4:$D$1053,$B61,'сентябрь 2023'!$J$4:$J$1053,I$1)</f>
        <v>0</v>
      </c>
      <c r="J61" s="207">
        <f>SUMIFS('сентябрь 2023'!$G$4:$G$1053,'сентябрь 2023'!$D$4:$D$1053,$B61,'сентябрь 2023'!$J$4:$J$1053,J$1)</f>
        <v>0</v>
      </c>
      <c r="K61" s="207">
        <f>SUMIFS('сентябрь 2023'!$G$4:$G$1053,'сентябрь 2023'!$D$4:$D$1053,$B61,'сентябрь 2023'!$J$4:$J$1053,K$1)</f>
        <v>0</v>
      </c>
      <c r="L61" s="207">
        <f>SUMIFS('сентябрь 2023'!$G$4:$G$1053,'сентябрь 2023'!$D$4:$D$1053,$B61,'сентябрь 2023'!$J$4:$J$1053,L$1)</f>
        <v>0</v>
      </c>
      <c r="M61" s="207">
        <f>SUMIFS('сентябрь 2023'!$G$4:$G$1053,'сентябрь 2023'!$D$4:$D$1053,$B61,'сентябрь 2023'!$J$4:$J$1053,M$1)</f>
        <v>0</v>
      </c>
      <c r="N61" s="207">
        <f>SUMIFS('сентябрь 2023'!$G$4:$G$1053,'сентябрь 2023'!$D$4:$D$1053,$B61,'сентябрь 2023'!$J$4:$J$1053,N$1)</f>
        <v>0</v>
      </c>
      <c r="O61" s="207">
        <f>SUMIFS('сентябрь 2023'!$G$4:$G$1053,'сентябрь 2023'!$D$4:$D$1053,$B61,'сентябрь 2023'!$J$4:$J$1053,O$1)</f>
        <v>0</v>
      </c>
      <c r="P61" s="207">
        <f>SUMIFS('сентябрь 2023'!$G$4:$G$1053,'сентябрь 2023'!$D$4:$D$1053,$B61,'сентябрь 2023'!$J$4:$J$1053,P$1)</f>
        <v>0</v>
      </c>
      <c r="Q61" s="207">
        <f>SUMIFS('сентябрь 2023'!$G$4:$G$1053,'сентябрь 2023'!$D$4:$D$1053,$B61,'сентябрь 2023'!$J$4:$J$1053,Q$1)</f>
        <v>0</v>
      </c>
      <c r="R61" s="207">
        <f>SUMIFS('сентябрь 2023'!$G$4:$G$1053,'сентябрь 2023'!$D$4:$D$1053,$B61,'сентябрь 2023'!$J$4:$J$1053,R$1)</f>
        <v>0</v>
      </c>
      <c r="S61" s="207">
        <f>SUMIFS('сентябрь 2023'!$G$4:$G$1053,'сентябрь 2023'!$D$4:$D$1053,$B61,'сентябрь 2023'!$J$4:$J$1053,S$1)</f>
        <v>0</v>
      </c>
      <c r="T61" s="207">
        <f>SUMIFS('сентябрь 2023'!$G$4:$G$1053,'сентябрь 2023'!$D$4:$D$1053,$B61,'сентябрь 2023'!$J$4:$J$1053,T$1)</f>
        <v>0</v>
      </c>
      <c r="U61" s="207">
        <f>SUMIFS('сентябрь 2023'!$G$4:$G$1053,'сентябрь 2023'!$D$4:$D$1053,$B61,'сентябрь 2023'!$J$4:$J$1053,U$1)</f>
        <v>0</v>
      </c>
      <c r="V61" s="207">
        <f>SUMIFS('сентябрь 2023'!$G$4:$G$1053,'сентябрь 2023'!$D$4:$D$1053,$B61,'сентябрь 2023'!$J$4:$J$1053,V$1)</f>
        <v>0</v>
      </c>
      <c r="W61" s="207">
        <f>SUMIFS('сентябрь 2023'!$G$4:$G$1053,'сентябрь 2023'!$D$4:$D$1053,$B61,'сентябрь 2023'!$J$4:$J$1053,W$1)</f>
        <v>0</v>
      </c>
      <c r="X61" s="207">
        <f>SUMIFS('сентябрь 2023'!$G$4:$G$1053,'сентябрь 2023'!$D$4:$D$1053,$B61,'сентябрь 2023'!$J$4:$J$1053,X$1)</f>
        <v>0</v>
      </c>
      <c r="Y61" s="207">
        <f>SUMIFS('сентябрь 2023'!$G$4:$G$1053,'сентябрь 2023'!$D$4:$D$1053,$B61,'сентябрь 2023'!$J$4:$J$1053,Y$1)</f>
        <v>0</v>
      </c>
      <c r="Z61" s="207">
        <f>SUMIFS('сентябрь 2023'!$G$4:$G$1053,'сентябрь 2023'!$D$4:$D$1053,$B61,'сентябрь 2023'!$J$4:$J$1053,Z$1)</f>
        <v>0</v>
      </c>
      <c r="AA61" s="207">
        <f>SUMIFS('сентябрь 2023'!$G$4:$G$1053,'сентябрь 2023'!$D$4:$D$1053,$B61,'сентябрь 2023'!$J$4:$J$1053,AA$1)</f>
        <v>0</v>
      </c>
      <c r="AB61" s="207">
        <f>SUMIFS('сентябрь 2023'!$G$4:$G$1053,'сентябрь 2023'!$D$4:$D$1053,$B61,'сентябрь 2023'!$J$4:$J$1053,AB$1)</f>
        <v>0</v>
      </c>
      <c r="AC61" s="207">
        <f>SUMIFS('сентябрь 2023'!$G$4:$G$1053,'сентябрь 2023'!$D$4:$D$1053,$B61,'сентябрь 2023'!$J$4:$J$1053,AC$1)</f>
        <v>0</v>
      </c>
      <c r="AD61" s="207">
        <f>SUMIFS('сентябрь 2023'!$G$4:$G$1053,'сентябрь 2023'!$D$4:$D$1053,$B61,'сентябрь 2023'!$J$4:$J$1053,AD$1)</f>
        <v>0</v>
      </c>
      <c r="AE61" s="207">
        <f>SUMIFS('сентябрь 2023'!$G$4:$G$1053,'сентябрь 2023'!$D$4:$D$1053,$B61,'сентябрь 2023'!$J$4:$J$1053,AE$1)</f>
        <v>0</v>
      </c>
      <c r="AF61" s="207">
        <f>SUMIFS('сентябрь 2023'!$G$4:$G$1053,'сентябрь 2023'!$D$4:$D$1053,$B61,'сентябрь 2023'!$J$4:$J$1053,AF$1)</f>
        <v>0</v>
      </c>
      <c r="AG61" s="207">
        <f>SUMIFS('сентябрь 2023'!$G$4:$G$1053,'сентябрь 2023'!$D$4:$D$1053,$B61,'сентябрь 2023'!$J$4:$J$1053,AG$1)</f>
        <v>0</v>
      </c>
      <c r="AH61" s="207">
        <f>SUMIFS('сентябрь 2023'!$G$4:$G$1053,'сентябрь 2023'!$D$4:$D$1053,$B61,'сентябрь 2023'!$J$4:$J$1053,AH$1)</f>
        <v>0</v>
      </c>
      <c r="AI61" s="170">
        <f t="shared" ref="AI61:AI65" si="2">SUM(D61:AH61)</f>
        <v>0</v>
      </c>
    </row>
    <row r="62" spans="2:35" ht="15.75" x14ac:dyDescent="0.25">
      <c r="B62" s="212" t="s">
        <v>474</v>
      </c>
      <c r="C62" s="211">
        <v>180</v>
      </c>
      <c r="D62" s="207">
        <f>SUMIFS('сентябрь 2023'!$G$4:$G$1053,'сентябрь 2023'!$D$4:$D$1053,$B62,'сентябрь 2023'!$J$4:$J$1053,D$1)</f>
        <v>0</v>
      </c>
      <c r="E62" s="207">
        <f>SUMIFS('сентябрь 2023'!$G$4:$G$1053,'сентябрь 2023'!$D$4:$D$1053,$B62,'сентябрь 2023'!$J$4:$J$1053,E$1)</f>
        <v>0</v>
      </c>
      <c r="F62" s="207">
        <f>SUMIFS('сентябрь 2023'!$G$4:$G$1053,'сентябрь 2023'!$D$4:$D$1053,$B62,'сентябрь 2023'!$J$4:$J$1053,F$1)</f>
        <v>0</v>
      </c>
      <c r="G62" s="207">
        <f>SUMIFS('сентябрь 2023'!$G$4:$G$1053,'сентябрь 2023'!$D$4:$D$1053,$B62,'сентябрь 2023'!$J$4:$J$1053,G$1)</f>
        <v>80</v>
      </c>
      <c r="H62" s="207">
        <f>SUMIFS('сентябрь 2023'!$G$4:$G$1053,'сентябрь 2023'!$D$4:$D$1053,$B62,'сентябрь 2023'!$J$4:$J$1053,H$1)</f>
        <v>0</v>
      </c>
      <c r="I62" s="207">
        <f>SUMIFS('сентябрь 2023'!$G$4:$G$1053,'сентябрь 2023'!$D$4:$D$1053,$B62,'сентябрь 2023'!$J$4:$J$1053,I$1)</f>
        <v>0</v>
      </c>
      <c r="J62" s="207">
        <f>SUMIFS('сентябрь 2023'!$G$4:$G$1053,'сентябрь 2023'!$D$4:$D$1053,$B62,'сентябрь 2023'!$J$4:$J$1053,J$1)</f>
        <v>0</v>
      </c>
      <c r="K62" s="207">
        <f>SUMIFS('сентябрь 2023'!$G$4:$G$1053,'сентябрь 2023'!$D$4:$D$1053,$B62,'сентябрь 2023'!$J$4:$J$1053,K$1)</f>
        <v>0</v>
      </c>
      <c r="L62" s="207">
        <f>SUMIFS('сентябрь 2023'!$G$4:$G$1053,'сентябрь 2023'!$D$4:$D$1053,$B62,'сентябрь 2023'!$J$4:$J$1053,L$1)</f>
        <v>0</v>
      </c>
      <c r="M62" s="207">
        <f>SUMIFS('сентябрь 2023'!$G$4:$G$1053,'сентябрь 2023'!$D$4:$D$1053,$B62,'сентябрь 2023'!$J$4:$J$1053,M$1)</f>
        <v>0</v>
      </c>
      <c r="N62" s="207">
        <f>SUMIFS('сентябрь 2023'!$G$4:$G$1053,'сентябрь 2023'!$D$4:$D$1053,$B62,'сентябрь 2023'!$J$4:$J$1053,N$1)</f>
        <v>0</v>
      </c>
      <c r="O62" s="207">
        <f>SUMIFS('сентябрь 2023'!$G$4:$G$1053,'сентябрь 2023'!$D$4:$D$1053,$B62,'сентябрь 2023'!$J$4:$J$1053,O$1)</f>
        <v>0</v>
      </c>
      <c r="P62" s="207">
        <f>SUMIFS('сентябрь 2023'!$G$4:$G$1053,'сентябрь 2023'!$D$4:$D$1053,$B62,'сентябрь 2023'!$J$4:$J$1053,P$1)</f>
        <v>0</v>
      </c>
      <c r="Q62" s="207">
        <f>SUMIFS('сентябрь 2023'!$G$4:$G$1053,'сентябрь 2023'!$D$4:$D$1053,$B62,'сентябрь 2023'!$J$4:$J$1053,Q$1)</f>
        <v>0</v>
      </c>
      <c r="R62" s="207">
        <f>SUMIFS('сентябрь 2023'!$G$4:$G$1053,'сентябрь 2023'!$D$4:$D$1053,$B62,'сентябрь 2023'!$J$4:$J$1053,R$1)</f>
        <v>0</v>
      </c>
      <c r="S62" s="207">
        <f>SUMIFS('сентябрь 2023'!$G$4:$G$1053,'сентябрь 2023'!$D$4:$D$1053,$B62,'сентябрь 2023'!$J$4:$J$1053,S$1)</f>
        <v>0</v>
      </c>
      <c r="T62" s="207">
        <f>SUMIFS('сентябрь 2023'!$G$4:$G$1053,'сентябрь 2023'!$D$4:$D$1053,$B62,'сентябрь 2023'!$J$4:$J$1053,T$1)</f>
        <v>0</v>
      </c>
      <c r="U62" s="207">
        <f>SUMIFS('сентябрь 2023'!$G$4:$G$1053,'сентябрь 2023'!$D$4:$D$1053,$B62,'сентябрь 2023'!$J$4:$J$1053,U$1)</f>
        <v>0</v>
      </c>
      <c r="V62" s="207">
        <f>SUMIFS('сентябрь 2023'!$G$4:$G$1053,'сентябрь 2023'!$D$4:$D$1053,$B62,'сентябрь 2023'!$J$4:$J$1053,V$1)</f>
        <v>0</v>
      </c>
      <c r="W62" s="207">
        <f>SUMIFS('сентябрь 2023'!$G$4:$G$1053,'сентябрь 2023'!$D$4:$D$1053,$B62,'сентябрь 2023'!$J$4:$J$1053,W$1)</f>
        <v>0</v>
      </c>
      <c r="X62" s="207">
        <f>SUMIFS('сентябрь 2023'!$G$4:$G$1053,'сентябрь 2023'!$D$4:$D$1053,$B62,'сентябрь 2023'!$J$4:$J$1053,X$1)</f>
        <v>0</v>
      </c>
      <c r="Y62" s="207">
        <f>SUMIFS('сентябрь 2023'!$G$4:$G$1053,'сентябрь 2023'!$D$4:$D$1053,$B62,'сентябрь 2023'!$J$4:$J$1053,Y$1)</f>
        <v>0</v>
      </c>
      <c r="Z62" s="207">
        <f>SUMIFS('сентябрь 2023'!$G$4:$G$1053,'сентябрь 2023'!$D$4:$D$1053,$B62,'сентябрь 2023'!$J$4:$J$1053,Z$1)</f>
        <v>0</v>
      </c>
      <c r="AA62" s="207">
        <f>SUMIFS('сентябрь 2023'!$G$4:$G$1053,'сентябрь 2023'!$D$4:$D$1053,$B62,'сентябрь 2023'!$J$4:$J$1053,AA$1)</f>
        <v>0</v>
      </c>
      <c r="AB62" s="207">
        <f>SUMIFS('сентябрь 2023'!$G$4:$G$1053,'сентябрь 2023'!$D$4:$D$1053,$B62,'сентябрь 2023'!$J$4:$J$1053,AB$1)</f>
        <v>0</v>
      </c>
      <c r="AC62" s="207">
        <f>SUMIFS('сентябрь 2023'!$G$4:$G$1053,'сентябрь 2023'!$D$4:$D$1053,$B62,'сентябрь 2023'!$J$4:$J$1053,AC$1)</f>
        <v>0</v>
      </c>
      <c r="AD62" s="207">
        <f>SUMIFS('сентябрь 2023'!$G$4:$G$1053,'сентябрь 2023'!$D$4:$D$1053,$B62,'сентябрь 2023'!$J$4:$J$1053,AD$1)</f>
        <v>0</v>
      </c>
      <c r="AE62" s="207">
        <f>SUMIFS('сентябрь 2023'!$G$4:$G$1053,'сентябрь 2023'!$D$4:$D$1053,$B62,'сентябрь 2023'!$J$4:$J$1053,AE$1)</f>
        <v>0</v>
      </c>
      <c r="AF62" s="207">
        <f>SUMIFS('сентябрь 2023'!$G$4:$G$1053,'сентябрь 2023'!$D$4:$D$1053,$B62,'сентябрь 2023'!$J$4:$J$1053,AF$1)</f>
        <v>0</v>
      </c>
      <c r="AG62" s="207">
        <f>SUMIFS('сентябрь 2023'!$G$4:$G$1053,'сентябрь 2023'!$D$4:$D$1053,$B62,'сентябрь 2023'!$J$4:$J$1053,AG$1)</f>
        <v>0</v>
      </c>
      <c r="AH62" s="207">
        <f>SUMIFS('сентябрь 2023'!$G$4:$G$1053,'сентябрь 2023'!$D$4:$D$1053,$B62,'сентябрь 2023'!$J$4:$J$1053,AH$1)</f>
        <v>0</v>
      </c>
      <c r="AI62" s="170">
        <f t="shared" si="2"/>
        <v>80</v>
      </c>
    </row>
    <row r="63" spans="2:35" ht="15.75" x14ac:dyDescent="0.25">
      <c r="B63" s="216" t="s">
        <v>649</v>
      </c>
      <c r="C63" s="213">
        <v>190</v>
      </c>
      <c r="D63" s="207">
        <f>SUMIFS('сентябрь 2023'!$G$4:$G$1053,'сентябрь 2023'!$D$4:$D$1053,$B63,'сентябрь 2023'!$J$4:$J$1053,D$1)</f>
        <v>0</v>
      </c>
      <c r="E63" s="207">
        <f>SUMIFS('сентябрь 2023'!$G$4:$G$1053,'сентябрь 2023'!$D$4:$D$1053,$B63,'сентябрь 2023'!$J$4:$J$1053,E$1)</f>
        <v>0</v>
      </c>
      <c r="F63" s="207">
        <f>SUMIFS('сентябрь 2023'!$G$4:$G$1053,'сентябрь 2023'!$D$4:$D$1053,$B63,'сентябрь 2023'!$J$4:$J$1053,F$1)</f>
        <v>0</v>
      </c>
      <c r="G63" s="207">
        <f>SUMIFS('сентябрь 2023'!$G$4:$G$1053,'сентябрь 2023'!$D$4:$D$1053,$B63,'сентябрь 2023'!$J$4:$J$1053,G$1)</f>
        <v>88</v>
      </c>
      <c r="H63" s="207">
        <f>SUMIFS('сентябрь 2023'!$G$4:$G$1053,'сентябрь 2023'!$D$4:$D$1053,$B63,'сентябрь 2023'!$J$4:$J$1053,H$1)</f>
        <v>0</v>
      </c>
      <c r="I63" s="207">
        <f>SUMIFS('сентябрь 2023'!$G$4:$G$1053,'сентябрь 2023'!$D$4:$D$1053,$B63,'сентябрь 2023'!$J$4:$J$1053,I$1)</f>
        <v>0</v>
      </c>
      <c r="J63" s="207">
        <f>SUMIFS('сентябрь 2023'!$G$4:$G$1053,'сентябрь 2023'!$D$4:$D$1053,$B63,'сентябрь 2023'!$J$4:$J$1053,J$1)</f>
        <v>0</v>
      </c>
      <c r="K63" s="207">
        <f>SUMIFS('сентябрь 2023'!$G$4:$G$1053,'сентябрь 2023'!$D$4:$D$1053,$B63,'сентябрь 2023'!$J$4:$J$1053,K$1)</f>
        <v>0</v>
      </c>
      <c r="L63" s="207">
        <f>SUMIFS('сентябрь 2023'!$G$4:$G$1053,'сентябрь 2023'!$D$4:$D$1053,$B63,'сентябрь 2023'!$J$4:$J$1053,L$1)</f>
        <v>0</v>
      </c>
      <c r="M63" s="207">
        <f>SUMIFS('сентябрь 2023'!$G$4:$G$1053,'сентябрь 2023'!$D$4:$D$1053,$B63,'сентябрь 2023'!$J$4:$J$1053,M$1)</f>
        <v>0</v>
      </c>
      <c r="N63" s="207">
        <f>SUMIFS('сентябрь 2023'!$G$4:$G$1053,'сентябрь 2023'!$D$4:$D$1053,$B63,'сентябрь 2023'!$J$4:$J$1053,N$1)</f>
        <v>88</v>
      </c>
      <c r="O63" s="207">
        <f>SUMIFS('сентябрь 2023'!$G$4:$G$1053,'сентябрь 2023'!$D$4:$D$1053,$B63,'сентябрь 2023'!$J$4:$J$1053,O$1)</f>
        <v>0</v>
      </c>
      <c r="P63" s="207">
        <f>SUMIFS('сентябрь 2023'!$G$4:$G$1053,'сентябрь 2023'!$D$4:$D$1053,$B63,'сентябрь 2023'!$J$4:$J$1053,P$1)</f>
        <v>0</v>
      </c>
      <c r="Q63" s="207">
        <f>SUMIFS('сентябрь 2023'!$G$4:$G$1053,'сентябрь 2023'!$D$4:$D$1053,$B63,'сентябрь 2023'!$J$4:$J$1053,Q$1)</f>
        <v>0</v>
      </c>
      <c r="R63" s="207">
        <f>SUMIFS('сентябрь 2023'!$G$4:$G$1053,'сентябрь 2023'!$D$4:$D$1053,$B63,'сентябрь 2023'!$J$4:$J$1053,R$1)</f>
        <v>0</v>
      </c>
      <c r="S63" s="207">
        <f>SUMIFS('сентябрь 2023'!$G$4:$G$1053,'сентябрь 2023'!$D$4:$D$1053,$B63,'сентябрь 2023'!$J$4:$J$1053,S$1)</f>
        <v>0</v>
      </c>
      <c r="T63" s="207">
        <f>SUMIFS('сентябрь 2023'!$G$4:$G$1053,'сентябрь 2023'!$D$4:$D$1053,$B63,'сентябрь 2023'!$J$4:$J$1053,T$1)</f>
        <v>0</v>
      </c>
      <c r="U63" s="207">
        <f>SUMIFS('сентябрь 2023'!$G$4:$G$1053,'сентябрь 2023'!$D$4:$D$1053,$B63,'сентябрь 2023'!$J$4:$J$1053,U$1)</f>
        <v>0</v>
      </c>
      <c r="V63" s="207">
        <f>SUMIFS('сентябрь 2023'!$G$4:$G$1053,'сентябрь 2023'!$D$4:$D$1053,$B63,'сентябрь 2023'!$J$4:$J$1053,V$1)</f>
        <v>0</v>
      </c>
      <c r="W63" s="207">
        <f>SUMIFS('сентябрь 2023'!$G$4:$G$1053,'сентябрь 2023'!$D$4:$D$1053,$B63,'сентябрь 2023'!$J$4:$J$1053,W$1)</f>
        <v>0</v>
      </c>
      <c r="X63" s="207">
        <f>SUMIFS('сентябрь 2023'!$G$4:$G$1053,'сентябрь 2023'!$D$4:$D$1053,$B63,'сентябрь 2023'!$J$4:$J$1053,X$1)</f>
        <v>0</v>
      </c>
      <c r="Y63" s="207">
        <f>SUMIFS('сентябрь 2023'!$G$4:$G$1053,'сентябрь 2023'!$D$4:$D$1053,$B63,'сентябрь 2023'!$J$4:$J$1053,Y$1)</f>
        <v>0</v>
      </c>
      <c r="Z63" s="207">
        <f>SUMIFS('сентябрь 2023'!$G$4:$G$1053,'сентябрь 2023'!$D$4:$D$1053,$B63,'сентябрь 2023'!$J$4:$J$1053,Z$1)</f>
        <v>0</v>
      </c>
      <c r="AA63" s="207">
        <f>SUMIFS('сентябрь 2023'!$G$4:$G$1053,'сентябрь 2023'!$D$4:$D$1053,$B63,'сентябрь 2023'!$J$4:$J$1053,AA$1)</f>
        <v>0</v>
      </c>
      <c r="AB63" s="207">
        <f>SUMIFS('сентябрь 2023'!$G$4:$G$1053,'сентябрь 2023'!$D$4:$D$1053,$B63,'сентябрь 2023'!$J$4:$J$1053,AB$1)</f>
        <v>0</v>
      </c>
      <c r="AC63" s="207">
        <f>SUMIFS('сентябрь 2023'!$G$4:$G$1053,'сентябрь 2023'!$D$4:$D$1053,$B63,'сентябрь 2023'!$J$4:$J$1053,AC$1)</f>
        <v>0</v>
      </c>
      <c r="AD63" s="207">
        <f>SUMIFS('сентябрь 2023'!$G$4:$G$1053,'сентябрь 2023'!$D$4:$D$1053,$B63,'сентябрь 2023'!$J$4:$J$1053,AD$1)</f>
        <v>0</v>
      </c>
      <c r="AE63" s="207">
        <f>SUMIFS('сентябрь 2023'!$G$4:$G$1053,'сентябрь 2023'!$D$4:$D$1053,$B63,'сентябрь 2023'!$J$4:$J$1053,AE$1)</f>
        <v>0</v>
      </c>
      <c r="AF63" s="207">
        <f>SUMIFS('сентябрь 2023'!$G$4:$G$1053,'сентябрь 2023'!$D$4:$D$1053,$B63,'сентябрь 2023'!$J$4:$J$1053,AF$1)</f>
        <v>0</v>
      </c>
      <c r="AG63" s="207">
        <f>SUMIFS('сентябрь 2023'!$G$4:$G$1053,'сентябрь 2023'!$D$4:$D$1053,$B63,'сентябрь 2023'!$J$4:$J$1053,AG$1)</f>
        <v>0</v>
      </c>
      <c r="AH63" s="207">
        <f>SUMIFS('сентябрь 2023'!$G$4:$G$1053,'сентябрь 2023'!$D$4:$D$1053,$B63,'сентябрь 2023'!$J$4:$J$1053,AH$1)</f>
        <v>0</v>
      </c>
      <c r="AI63" s="170">
        <f t="shared" si="2"/>
        <v>176</v>
      </c>
    </row>
    <row r="64" spans="2:35" ht="15" customHeight="1" x14ac:dyDescent="0.25">
      <c r="B64" s="216" t="s">
        <v>1449</v>
      </c>
      <c r="C64" s="213">
        <v>190</v>
      </c>
      <c r="D64" s="207">
        <f>SUMIFS('сентябрь 2023'!$G$4:$G$1053,'сентябрь 2023'!$D$4:$D$1053,$B64,'сентябрь 2023'!$J$4:$J$1053,D$1)</f>
        <v>0</v>
      </c>
      <c r="E64" s="207">
        <f>SUMIFS('сентябрь 2023'!$G$4:$G$1053,'сентябрь 2023'!$D$4:$D$1053,$B64,'сентябрь 2023'!$J$4:$J$1053,E$1)</f>
        <v>0</v>
      </c>
      <c r="F64" s="207">
        <f>SUMIFS('сентябрь 2023'!$G$4:$G$1053,'сентябрь 2023'!$D$4:$D$1053,$B64,'сентябрь 2023'!$J$4:$J$1053,F$1)</f>
        <v>0</v>
      </c>
      <c r="G64" s="207">
        <f>SUMIFS('сентябрь 2023'!$G$4:$G$1053,'сентябрь 2023'!$D$4:$D$1053,$B64,'сентябрь 2023'!$J$4:$J$1053,G$1)</f>
        <v>0</v>
      </c>
      <c r="H64" s="207">
        <f>SUMIFS('сентябрь 2023'!$G$4:$G$1053,'сентябрь 2023'!$D$4:$D$1053,$B64,'сентябрь 2023'!$J$4:$J$1053,H$1)</f>
        <v>0</v>
      </c>
      <c r="I64" s="207">
        <f>SUMIFS('сентябрь 2023'!$G$4:$G$1053,'сентябрь 2023'!$D$4:$D$1053,$B64,'сентябрь 2023'!$J$4:$J$1053,I$1)</f>
        <v>0</v>
      </c>
      <c r="J64" s="207">
        <f>SUMIFS('сентябрь 2023'!$G$4:$G$1053,'сентябрь 2023'!$D$4:$D$1053,$B64,'сентябрь 2023'!$J$4:$J$1053,J$1)</f>
        <v>0</v>
      </c>
      <c r="K64" s="207">
        <f>SUMIFS('сентябрь 2023'!$G$4:$G$1053,'сентябрь 2023'!$D$4:$D$1053,$B64,'сентябрь 2023'!$J$4:$J$1053,K$1)</f>
        <v>0</v>
      </c>
      <c r="L64" s="207">
        <f>SUMIFS('сентябрь 2023'!$G$4:$G$1053,'сентябрь 2023'!$D$4:$D$1053,$B64,'сентябрь 2023'!$J$4:$J$1053,L$1)</f>
        <v>0</v>
      </c>
      <c r="M64" s="207">
        <f>SUMIFS('сентябрь 2023'!$G$4:$G$1053,'сентябрь 2023'!$D$4:$D$1053,$B64,'сентябрь 2023'!$J$4:$J$1053,M$1)</f>
        <v>0</v>
      </c>
      <c r="N64" s="207">
        <f>SUMIFS('сентябрь 2023'!$G$4:$G$1053,'сентябрь 2023'!$D$4:$D$1053,$B64,'сентябрь 2023'!$J$4:$J$1053,N$1)</f>
        <v>0</v>
      </c>
      <c r="O64" s="207">
        <f>SUMIFS('сентябрь 2023'!$G$4:$G$1053,'сентябрь 2023'!$D$4:$D$1053,$B64,'сентябрь 2023'!$J$4:$J$1053,O$1)</f>
        <v>0</v>
      </c>
      <c r="P64" s="207">
        <f>SUMIFS('сентябрь 2023'!$G$4:$G$1053,'сентябрь 2023'!$D$4:$D$1053,$B64,'сентябрь 2023'!$J$4:$J$1053,P$1)</f>
        <v>0</v>
      </c>
      <c r="Q64" s="207">
        <f>SUMIFS('сентябрь 2023'!$G$4:$G$1053,'сентябрь 2023'!$D$4:$D$1053,$B64,'сентябрь 2023'!$J$4:$J$1053,Q$1)</f>
        <v>0</v>
      </c>
      <c r="R64" s="207">
        <f>SUMIFS('сентябрь 2023'!$G$4:$G$1053,'сентябрь 2023'!$D$4:$D$1053,$B64,'сентябрь 2023'!$J$4:$J$1053,R$1)</f>
        <v>0</v>
      </c>
      <c r="S64" s="207">
        <f>SUMIFS('сентябрь 2023'!$G$4:$G$1053,'сентябрь 2023'!$D$4:$D$1053,$B64,'сентябрь 2023'!$J$4:$J$1053,S$1)</f>
        <v>0</v>
      </c>
      <c r="T64" s="207">
        <f>SUMIFS('сентябрь 2023'!$G$4:$G$1053,'сентябрь 2023'!$D$4:$D$1053,$B64,'сентябрь 2023'!$J$4:$J$1053,T$1)</f>
        <v>0</v>
      </c>
      <c r="U64" s="207">
        <f>SUMIFS('сентябрь 2023'!$G$4:$G$1053,'сентябрь 2023'!$D$4:$D$1053,$B64,'сентябрь 2023'!$J$4:$J$1053,U$1)</f>
        <v>0</v>
      </c>
      <c r="V64" s="207">
        <f>SUMIFS('сентябрь 2023'!$G$4:$G$1053,'сентябрь 2023'!$D$4:$D$1053,$B64,'сентябрь 2023'!$J$4:$J$1053,V$1)</f>
        <v>0</v>
      </c>
      <c r="W64" s="207">
        <f>SUMIFS('сентябрь 2023'!$G$4:$G$1053,'сентябрь 2023'!$D$4:$D$1053,$B64,'сентябрь 2023'!$J$4:$J$1053,W$1)</f>
        <v>0</v>
      </c>
      <c r="X64" s="207">
        <f>SUMIFS('сентябрь 2023'!$G$4:$G$1053,'сентябрь 2023'!$D$4:$D$1053,$B64,'сентябрь 2023'!$J$4:$J$1053,X$1)</f>
        <v>0</v>
      </c>
      <c r="Y64" s="207">
        <f>SUMIFS('сентябрь 2023'!$G$4:$G$1053,'сентябрь 2023'!$D$4:$D$1053,$B64,'сентябрь 2023'!$J$4:$J$1053,Y$1)</f>
        <v>0</v>
      </c>
      <c r="Z64" s="207">
        <f>SUMIFS('сентябрь 2023'!$G$4:$G$1053,'сентябрь 2023'!$D$4:$D$1053,$B64,'сентябрь 2023'!$J$4:$J$1053,Z$1)</f>
        <v>0</v>
      </c>
      <c r="AA64" s="207">
        <f>SUMIFS('сентябрь 2023'!$G$4:$G$1053,'сентябрь 2023'!$D$4:$D$1053,$B64,'сентябрь 2023'!$J$4:$J$1053,AA$1)</f>
        <v>0</v>
      </c>
      <c r="AB64" s="207">
        <f>SUMIFS('сентябрь 2023'!$G$4:$G$1053,'сентябрь 2023'!$D$4:$D$1053,$B64,'сентябрь 2023'!$J$4:$J$1053,AB$1)</f>
        <v>0</v>
      </c>
      <c r="AC64" s="207">
        <f>SUMIFS('сентябрь 2023'!$G$4:$G$1053,'сентябрь 2023'!$D$4:$D$1053,$B64,'сентябрь 2023'!$J$4:$J$1053,AC$1)</f>
        <v>0</v>
      </c>
      <c r="AD64" s="207">
        <f>SUMIFS('сентябрь 2023'!$G$4:$G$1053,'сентябрь 2023'!$D$4:$D$1053,$B64,'сентябрь 2023'!$J$4:$J$1053,AD$1)</f>
        <v>0</v>
      </c>
      <c r="AE64" s="207">
        <f>SUMIFS('сентябрь 2023'!$G$4:$G$1053,'сентябрь 2023'!$D$4:$D$1053,$B64,'сентябрь 2023'!$J$4:$J$1053,AE$1)</f>
        <v>0</v>
      </c>
      <c r="AF64" s="207">
        <f>SUMIFS('сентябрь 2023'!$G$4:$G$1053,'сентябрь 2023'!$D$4:$D$1053,$B64,'сентябрь 2023'!$J$4:$J$1053,AF$1)</f>
        <v>0</v>
      </c>
      <c r="AG64" s="207">
        <f>SUMIFS('сентябрь 2023'!$G$4:$G$1053,'сентябрь 2023'!$D$4:$D$1053,$B64,'сентябрь 2023'!$J$4:$J$1053,AG$1)</f>
        <v>0</v>
      </c>
      <c r="AH64" s="207">
        <f>SUMIFS('сентябрь 2023'!$G$4:$G$1053,'сентябрь 2023'!$D$4:$D$1053,$B64,'сентябрь 2023'!$J$4:$J$1053,AH$1)</f>
        <v>0</v>
      </c>
      <c r="AI64" s="170">
        <f t="shared" si="2"/>
        <v>0</v>
      </c>
    </row>
    <row r="65" spans="2:35" ht="15" customHeight="1" x14ac:dyDescent="0.25">
      <c r="B65" s="216" t="s">
        <v>702</v>
      </c>
      <c r="C65" s="213">
        <v>900</v>
      </c>
      <c r="D65" s="207">
        <f>SUMIFS('сентябрь 2023'!$G$4:$G$1053,'сентябрь 2023'!$D$4:$D$1053,$B65,'сентябрь 2023'!$J$4:$J$1053,D$1)</f>
        <v>0</v>
      </c>
      <c r="E65" s="207">
        <f>SUMIFS('сентябрь 2023'!$G$4:$G$1053,'сентябрь 2023'!$D$4:$D$1053,$B65,'сентябрь 2023'!$J$4:$J$1053,E$1)</f>
        <v>0</v>
      </c>
      <c r="F65" s="207">
        <f>SUMIFS('сентябрь 2023'!$G$4:$G$1053,'сентябрь 2023'!$D$4:$D$1053,$B65,'сентябрь 2023'!$J$4:$J$1053,F$1)</f>
        <v>0</v>
      </c>
      <c r="G65" s="207">
        <f>SUMIFS('сентябрь 2023'!$G$4:$G$1053,'сентябрь 2023'!$D$4:$D$1053,$B65,'сентябрь 2023'!$J$4:$J$1053,G$1)</f>
        <v>0</v>
      </c>
      <c r="H65" s="207">
        <f>SUMIFS('сентябрь 2023'!$G$4:$G$1053,'сентябрь 2023'!$D$4:$D$1053,$B65,'сентябрь 2023'!$J$4:$J$1053,H$1)</f>
        <v>0</v>
      </c>
      <c r="I65" s="207">
        <f>SUMIFS('сентябрь 2023'!$G$4:$G$1053,'сентябрь 2023'!$D$4:$D$1053,$B65,'сентябрь 2023'!$J$4:$J$1053,I$1)</f>
        <v>0</v>
      </c>
      <c r="J65" s="207">
        <f>SUMIFS('сентябрь 2023'!$G$4:$G$1053,'сентябрь 2023'!$D$4:$D$1053,$B65,'сентябрь 2023'!$J$4:$J$1053,J$1)</f>
        <v>0</v>
      </c>
      <c r="K65" s="207">
        <f>SUMIFS('сентябрь 2023'!$G$4:$G$1053,'сентябрь 2023'!$D$4:$D$1053,$B65,'сентябрь 2023'!$J$4:$J$1053,K$1)</f>
        <v>0</v>
      </c>
      <c r="L65" s="207">
        <f>SUMIFS('сентябрь 2023'!$G$4:$G$1053,'сентябрь 2023'!$D$4:$D$1053,$B65,'сентябрь 2023'!$J$4:$J$1053,L$1)</f>
        <v>0</v>
      </c>
      <c r="M65" s="207">
        <f>SUMIFS('сентябрь 2023'!$G$4:$G$1053,'сентябрь 2023'!$D$4:$D$1053,$B65,'сентябрь 2023'!$J$4:$J$1053,M$1)</f>
        <v>0</v>
      </c>
      <c r="N65" s="207">
        <f>SUMIFS('сентябрь 2023'!$G$4:$G$1053,'сентябрь 2023'!$D$4:$D$1053,$B65,'сентябрь 2023'!$J$4:$J$1053,N$1)</f>
        <v>18</v>
      </c>
      <c r="O65" s="207">
        <f>SUMIFS('сентябрь 2023'!$G$4:$G$1053,'сентябрь 2023'!$D$4:$D$1053,$B65,'сентябрь 2023'!$J$4:$J$1053,O$1)</f>
        <v>0</v>
      </c>
      <c r="P65" s="207">
        <f>SUMIFS('сентябрь 2023'!$G$4:$G$1053,'сентябрь 2023'!$D$4:$D$1053,$B65,'сентябрь 2023'!$J$4:$J$1053,P$1)</f>
        <v>0</v>
      </c>
      <c r="Q65" s="207">
        <f>SUMIFS('сентябрь 2023'!$G$4:$G$1053,'сентябрь 2023'!$D$4:$D$1053,$B65,'сентябрь 2023'!$J$4:$J$1053,Q$1)</f>
        <v>0</v>
      </c>
      <c r="R65" s="207">
        <f>SUMIFS('сентябрь 2023'!$G$4:$G$1053,'сентябрь 2023'!$D$4:$D$1053,$B65,'сентябрь 2023'!$J$4:$J$1053,R$1)</f>
        <v>0</v>
      </c>
      <c r="S65" s="207">
        <f>SUMIFS('сентябрь 2023'!$G$4:$G$1053,'сентябрь 2023'!$D$4:$D$1053,$B65,'сентябрь 2023'!$J$4:$J$1053,S$1)</f>
        <v>0</v>
      </c>
      <c r="T65" s="207">
        <f>SUMIFS('сентябрь 2023'!$G$4:$G$1053,'сентябрь 2023'!$D$4:$D$1053,$B65,'сентябрь 2023'!$J$4:$J$1053,T$1)</f>
        <v>0</v>
      </c>
      <c r="U65" s="207">
        <f>SUMIFS('сентябрь 2023'!$G$4:$G$1053,'сентябрь 2023'!$D$4:$D$1053,$B65,'сентябрь 2023'!$J$4:$J$1053,U$1)</f>
        <v>0</v>
      </c>
      <c r="V65" s="207">
        <f>SUMIFS('сентябрь 2023'!$G$4:$G$1053,'сентябрь 2023'!$D$4:$D$1053,$B65,'сентябрь 2023'!$J$4:$J$1053,V$1)</f>
        <v>0</v>
      </c>
      <c r="W65" s="207">
        <f>SUMIFS('сентябрь 2023'!$G$4:$G$1053,'сентябрь 2023'!$D$4:$D$1053,$B65,'сентябрь 2023'!$J$4:$J$1053,W$1)</f>
        <v>0</v>
      </c>
      <c r="X65" s="207">
        <f>SUMIFS('сентябрь 2023'!$G$4:$G$1053,'сентябрь 2023'!$D$4:$D$1053,$B65,'сентябрь 2023'!$J$4:$J$1053,X$1)</f>
        <v>0</v>
      </c>
      <c r="Y65" s="207">
        <f>SUMIFS('сентябрь 2023'!$G$4:$G$1053,'сентябрь 2023'!$D$4:$D$1053,$B65,'сентябрь 2023'!$J$4:$J$1053,Y$1)</f>
        <v>0</v>
      </c>
      <c r="Z65" s="207">
        <f>SUMIFS('сентябрь 2023'!$G$4:$G$1053,'сентябрь 2023'!$D$4:$D$1053,$B65,'сентябрь 2023'!$J$4:$J$1053,Z$1)</f>
        <v>0</v>
      </c>
      <c r="AA65" s="207">
        <f>SUMIFS('сентябрь 2023'!$G$4:$G$1053,'сентябрь 2023'!$D$4:$D$1053,$B65,'сентябрь 2023'!$J$4:$J$1053,AA$1)</f>
        <v>0</v>
      </c>
      <c r="AB65" s="207">
        <f>SUMIFS('сентябрь 2023'!$G$4:$G$1053,'сентябрь 2023'!$D$4:$D$1053,$B65,'сентябрь 2023'!$J$4:$J$1053,AB$1)</f>
        <v>0</v>
      </c>
      <c r="AC65" s="207">
        <f>SUMIFS('сентябрь 2023'!$G$4:$G$1053,'сентябрь 2023'!$D$4:$D$1053,$B65,'сентябрь 2023'!$J$4:$J$1053,AC$1)</f>
        <v>0</v>
      </c>
      <c r="AD65" s="207">
        <f>SUMIFS('сентябрь 2023'!$G$4:$G$1053,'сентябрь 2023'!$D$4:$D$1053,$B65,'сентябрь 2023'!$J$4:$J$1053,AD$1)</f>
        <v>0</v>
      </c>
      <c r="AE65" s="207">
        <f>SUMIFS('сентябрь 2023'!$G$4:$G$1053,'сентябрь 2023'!$D$4:$D$1053,$B65,'сентябрь 2023'!$J$4:$J$1053,AE$1)</f>
        <v>0</v>
      </c>
      <c r="AF65" s="207">
        <f>SUMIFS('сентябрь 2023'!$G$4:$G$1053,'сентябрь 2023'!$D$4:$D$1053,$B65,'сентябрь 2023'!$J$4:$J$1053,AF$1)</f>
        <v>0</v>
      </c>
      <c r="AG65" s="207">
        <f>SUMIFS('сентябрь 2023'!$G$4:$G$1053,'сентябрь 2023'!$D$4:$D$1053,$B65,'сентябрь 2023'!$J$4:$J$1053,AG$1)</f>
        <v>0</v>
      </c>
      <c r="AH65" s="207">
        <f>SUMIFS('сентябрь 2023'!$G$4:$G$1053,'сентябрь 2023'!$D$4:$D$1053,$B65,'сентябрь 2023'!$J$4:$J$1053,AH$1)</f>
        <v>0</v>
      </c>
      <c r="AI65" s="170">
        <f t="shared" si="2"/>
        <v>18</v>
      </c>
    </row>
    <row r="66" spans="2:35" ht="15" customHeight="1" x14ac:dyDescent="0.25">
      <c r="B66" s="216" t="s">
        <v>282</v>
      </c>
      <c r="C66" s="213">
        <v>190</v>
      </c>
      <c r="D66" s="207">
        <f>SUMIFS('сентябрь 2023'!$G$4:$G$1053,'сентябрь 2023'!$D$4:$D$1053,$B66,'сентябрь 2023'!$J$4:$J$1053,D$1)</f>
        <v>0</v>
      </c>
      <c r="E66" s="207">
        <f>SUMIFS('сентябрь 2023'!$G$4:$G$1053,'сентябрь 2023'!$D$4:$D$1053,$B66,'сентябрь 2023'!$J$4:$J$1053,E$1)</f>
        <v>0</v>
      </c>
      <c r="F66" s="207">
        <f>SUMIFS('сентябрь 2023'!$G$4:$G$1053,'сентябрь 2023'!$D$4:$D$1053,$B66,'сентябрь 2023'!$J$4:$J$1053,F$1)</f>
        <v>0</v>
      </c>
      <c r="G66" s="207">
        <f>SUMIFS('сентябрь 2023'!$G$4:$G$1053,'сентябрь 2023'!$D$4:$D$1053,$B66,'сентябрь 2023'!$J$4:$J$1053,G$1)</f>
        <v>0</v>
      </c>
      <c r="H66" s="207">
        <f>SUMIFS('сентябрь 2023'!$G$4:$G$1053,'сентябрь 2023'!$D$4:$D$1053,$B66,'сентябрь 2023'!$J$4:$J$1053,H$1)</f>
        <v>0</v>
      </c>
      <c r="I66" s="207">
        <f>SUMIFS('сентябрь 2023'!$G$4:$G$1053,'сентябрь 2023'!$D$4:$D$1053,$B66,'сентябрь 2023'!$J$4:$J$1053,I$1)</f>
        <v>0</v>
      </c>
      <c r="J66" s="207">
        <f>SUMIFS('сентябрь 2023'!$G$4:$G$1053,'сентябрь 2023'!$D$4:$D$1053,$B66,'сентябрь 2023'!$J$4:$J$1053,J$1)</f>
        <v>0</v>
      </c>
      <c r="K66" s="207">
        <f>SUMIFS('сентябрь 2023'!$G$4:$G$1053,'сентябрь 2023'!$D$4:$D$1053,$B66,'сентябрь 2023'!$J$4:$J$1053,K$1)</f>
        <v>80</v>
      </c>
      <c r="L66" s="207">
        <f>SUMIFS('сентябрь 2023'!$G$4:$G$1053,'сентябрь 2023'!$D$4:$D$1053,$B66,'сентябрь 2023'!$J$4:$J$1053,L$1)</f>
        <v>0</v>
      </c>
      <c r="M66" s="207">
        <f>SUMIFS('сентябрь 2023'!$G$4:$G$1053,'сентябрь 2023'!$D$4:$D$1053,$B66,'сентябрь 2023'!$J$4:$J$1053,M$1)</f>
        <v>0</v>
      </c>
      <c r="N66" s="207">
        <f>SUMIFS('сентябрь 2023'!$G$4:$G$1053,'сентябрь 2023'!$D$4:$D$1053,$B66,'сентябрь 2023'!$J$4:$J$1053,N$1)</f>
        <v>0</v>
      </c>
      <c r="O66" s="207">
        <f>SUMIFS('сентябрь 2023'!$G$4:$G$1053,'сентябрь 2023'!$D$4:$D$1053,$B66,'сентябрь 2023'!$J$4:$J$1053,O$1)</f>
        <v>0</v>
      </c>
      <c r="P66" s="207">
        <f>SUMIFS('сентябрь 2023'!$G$4:$G$1053,'сентябрь 2023'!$D$4:$D$1053,$B66,'сентябрь 2023'!$J$4:$J$1053,P$1)</f>
        <v>0</v>
      </c>
      <c r="Q66" s="207">
        <f>SUMIFS('сентябрь 2023'!$G$4:$G$1053,'сентябрь 2023'!$D$4:$D$1053,$B66,'сентябрь 2023'!$J$4:$J$1053,Q$1)</f>
        <v>0</v>
      </c>
      <c r="R66" s="207">
        <f>SUMIFS('сентябрь 2023'!$G$4:$G$1053,'сентябрь 2023'!$D$4:$D$1053,$B66,'сентябрь 2023'!$J$4:$J$1053,R$1)</f>
        <v>0</v>
      </c>
      <c r="S66" s="207">
        <f>SUMIFS('сентябрь 2023'!$G$4:$G$1053,'сентябрь 2023'!$D$4:$D$1053,$B66,'сентябрь 2023'!$J$4:$J$1053,S$1)</f>
        <v>0</v>
      </c>
      <c r="T66" s="207">
        <f>SUMIFS('сентябрь 2023'!$G$4:$G$1053,'сентябрь 2023'!$D$4:$D$1053,$B66,'сентябрь 2023'!$J$4:$J$1053,T$1)</f>
        <v>0</v>
      </c>
      <c r="U66" s="207">
        <f>SUMIFS('сентябрь 2023'!$G$4:$G$1053,'сентябрь 2023'!$D$4:$D$1053,$B66,'сентябрь 2023'!$J$4:$J$1053,U$1)</f>
        <v>0</v>
      </c>
      <c r="V66" s="207">
        <f>SUMIFS('сентябрь 2023'!$G$4:$G$1053,'сентябрь 2023'!$D$4:$D$1053,$B66,'сентябрь 2023'!$J$4:$J$1053,V$1)</f>
        <v>0</v>
      </c>
      <c r="W66" s="207">
        <f>SUMIFS('сентябрь 2023'!$G$4:$G$1053,'сентябрь 2023'!$D$4:$D$1053,$B66,'сентябрь 2023'!$J$4:$J$1053,W$1)</f>
        <v>0</v>
      </c>
      <c r="X66" s="207">
        <f>SUMIFS('сентябрь 2023'!$G$4:$G$1053,'сентябрь 2023'!$D$4:$D$1053,$B66,'сентябрь 2023'!$J$4:$J$1053,X$1)</f>
        <v>0</v>
      </c>
      <c r="Y66" s="207">
        <f>SUMIFS('сентябрь 2023'!$G$4:$G$1053,'сентябрь 2023'!$D$4:$D$1053,$B66,'сентябрь 2023'!$J$4:$J$1053,Y$1)</f>
        <v>0</v>
      </c>
      <c r="Z66" s="207">
        <f>SUMIFS('сентябрь 2023'!$G$4:$G$1053,'сентябрь 2023'!$D$4:$D$1053,$B66,'сентябрь 2023'!$J$4:$J$1053,Z$1)</f>
        <v>0</v>
      </c>
      <c r="AA66" s="207">
        <f>SUMIFS('сентябрь 2023'!$G$4:$G$1053,'сентябрь 2023'!$D$4:$D$1053,$B66,'сентябрь 2023'!$J$4:$J$1053,AA$1)</f>
        <v>0</v>
      </c>
      <c r="AB66" s="207">
        <f>SUMIFS('сентябрь 2023'!$G$4:$G$1053,'сентябрь 2023'!$D$4:$D$1053,$B66,'сентябрь 2023'!$J$4:$J$1053,AB$1)</f>
        <v>0</v>
      </c>
      <c r="AC66" s="207">
        <f>SUMIFS('сентябрь 2023'!$G$4:$G$1053,'сентябрь 2023'!$D$4:$D$1053,$B66,'сентябрь 2023'!$J$4:$J$1053,AC$1)</f>
        <v>0</v>
      </c>
      <c r="AD66" s="207">
        <f>SUMIFS('сентябрь 2023'!$G$4:$G$1053,'сентябрь 2023'!$D$4:$D$1053,$B66,'сентябрь 2023'!$J$4:$J$1053,AD$1)</f>
        <v>0</v>
      </c>
      <c r="AE66" s="207">
        <f>SUMIFS('сентябрь 2023'!$G$4:$G$1053,'сентябрь 2023'!$D$4:$D$1053,$B66,'сентябрь 2023'!$J$4:$J$1053,AE$1)</f>
        <v>0</v>
      </c>
      <c r="AF66" s="207">
        <f>SUMIFS('сентябрь 2023'!$G$4:$G$1053,'сентябрь 2023'!$D$4:$D$1053,$B66,'сентябрь 2023'!$J$4:$J$1053,AF$1)</f>
        <v>0</v>
      </c>
      <c r="AG66" s="207">
        <f>SUMIFS('сентябрь 2023'!$G$4:$G$1053,'сентябрь 2023'!$D$4:$D$1053,$B66,'сентябрь 2023'!$J$4:$J$1053,AG$1)</f>
        <v>0</v>
      </c>
      <c r="AH66" s="207">
        <f>SUMIFS('сентябрь 2023'!$G$4:$G$1053,'сентябрь 2023'!$D$4:$D$1053,$B66,'сентябрь 2023'!$J$4:$J$1053,AH$1)</f>
        <v>0</v>
      </c>
      <c r="AI66" s="170">
        <f t="shared" si="1"/>
        <v>80</v>
      </c>
    </row>
    <row r="67" spans="2:35" ht="15" customHeight="1" x14ac:dyDescent="0.25">
      <c r="B67" s="216" t="s">
        <v>890</v>
      </c>
      <c r="C67" s="213">
        <v>190</v>
      </c>
      <c r="D67" s="207">
        <f>SUMIFS('сентябрь 2023'!$G$4:$G$1053,'сентябрь 2023'!$D$4:$D$1053,$B67,'сентябрь 2023'!$J$4:$J$1053,D$1)</f>
        <v>0</v>
      </c>
      <c r="E67" s="207">
        <f>SUMIFS('сентябрь 2023'!$G$4:$G$1053,'сентябрь 2023'!$D$4:$D$1053,$B67,'сентябрь 2023'!$J$4:$J$1053,E$1)</f>
        <v>0</v>
      </c>
      <c r="F67" s="207">
        <f>SUMIFS('сентябрь 2023'!$G$4:$G$1053,'сентябрь 2023'!$D$4:$D$1053,$B67,'сентябрь 2023'!$J$4:$J$1053,F$1)</f>
        <v>0</v>
      </c>
      <c r="G67" s="207">
        <f>SUMIFS('сентябрь 2023'!$G$4:$G$1053,'сентябрь 2023'!$D$4:$D$1053,$B67,'сентябрь 2023'!$J$4:$J$1053,G$1)</f>
        <v>0</v>
      </c>
      <c r="H67" s="207">
        <f>SUMIFS('сентябрь 2023'!$G$4:$G$1053,'сентябрь 2023'!$D$4:$D$1053,$B67,'сентябрь 2023'!$J$4:$J$1053,H$1)</f>
        <v>0</v>
      </c>
      <c r="I67" s="207">
        <f>SUMIFS('сентябрь 2023'!$G$4:$G$1053,'сентябрь 2023'!$D$4:$D$1053,$B67,'сентябрь 2023'!$J$4:$J$1053,I$1)</f>
        <v>0</v>
      </c>
      <c r="J67" s="207">
        <f>SUMIFS('сентябрь 2023'!$G$4:$G$1053,'сентябрь 2023'!$D$4:$D$1053,$B67,'сентябрь 2023'!$J$4:$J$1053,J$1)</f>
        <v>0</v>
      </c>
      <c r="K67" s="207">
        <f>SUMIFS('сентябрь 2023'!$G$4:$G$1053,'сентябрь 2023'!$D$4:$D$1053,$B67,'сентябрь 2023'!$J$4:$J$1053,K$1)</f>
        <v>0</v>
      </c>
      <c r="L67" s="207">
        <f>SUMIFS('сентябрь 2023'!$G$4:$G$1053,'сентябрь 2023'!$D$4:$D$1053,$B67,'сентябрь 2023'!$J$4:$J$1053,L$1)</f>
        <v>0</v>
      </c>
      <c r="M67" s="207">
        <f>SUMIFS('сентябрь 2023'!$G$4:$G$1053,'сентябрь 2023'!$D$4:$D$1053,$B67,'сентябрь 2023'!$J$4:$J$1053,M$1)</f>
        <v>0</v>
      </c>
      <c r="N67" s="207">
        <f>SUMIFS('сентябрь 2023'!$G$4:$G$1053,'сентябрь 2023'!$D$4:$D$1053,$B67,'сентябрь 2023'!$J$4:$J$1053,N$1)</f>
        <v>0</v>
      </c>
      <c r="O67" s="207">
        <f>SUMIFS('сентябрь 2023'!$G$4:$G$1053,'сентябрь 2023'!$D$4:$D$1053,$B67,'сентябрь 2023'!$J$4:$J$1053,O$1)</f>
        <v>0</v>
      </c>
      <c r="P67" s="207">
        <f>SUMIFS('сентябрь 2023'!$G$4:$G$1053,'сентябрь 2023'!$D$4:$D$1053,$B67,'сентябрь 2023'!$J$4:$J$1053,P$1)</f>
        <v>0</v>
      </c>
      <c r="Q67" s="207">
        <f>SUMIFS('сентябрь 2023'!$G$4:$G$1053,'сентябрь 2023'!$D$4:$D$1053,$B67,'сентябрь 2023'!$J$4:$J$1053,Q$1)</f>
        <v>0</v>
      </c>
      <c r="R67" s="207">
        <f>SUMIFS('сентябрь 2023'!$G$4:$G$1053,'сентябрь 2023'!$D$4:$D$1053,$B67,'сентябрь 2023'!$J$4:$J$1053,R$1)</f>
        <v>0</v>
      </c>
      <c r="S67" s="207">
        <f>SUMIFS('сентябрь 2023'!$G$4:$G$1053,'сентябрь 2023'!$D$4:$D$1053,$B67,'сентябрь 2023'!$J$4:$J$1053,S$1)</f>
        <v>0</v>
      </c>
      <c r="T67" s="207">
        <f>SUMIFS('сентябрь 2023'!$G$4:$G$1053,'сентябрь 2023'!$D$4:$D$1053,$B67,'сентябрь 2023'!$J$4:$J$1053,T$1)</f>
        <v>0</v>
      </c>
      <c r="U67" s="207">
        <f>SUMIFS('сентябрь 2023'!$G$4:$G$1053,'сентябрь 2023'!$D$4:$D$1053,$B67,'сентябрь 2023'!$J$4:$J$1053,U$1)</f>
        <v>0</v>
      </c>
      <c r="V67" s="207">
        <f>SUMIFS('сентябрь 2023'!$G$4:$G$1053,'сентябрь 2023'!$D$4:$D$1053,$B67,'сентябрь 2023'!$J$4:$J$1053,V$1)</f>
        <v>0</v>
      </c>
      <c r="W67" s="207">
        <f>SUMIFS('сентябрь 2023'!$G$4:$G$1053,'сентябрь 2023'!$D$4:$D$1053,$B67,'сентябрь 2023'!$J$4:$J$1053,W$1)</f>
        <v>0</v>
      </c>
      <c r="X67" s="207">
        <f>SUMIFS('сентябрь 2023'!$G$4:$G$1053,'сентябрь 2023'!$D$4:$D$1053,$B67,'сентябрь 2023'!$J$4:$J$1053,X$1)</f>
        <v>0</v>
      </c>
      <c r="Y67" s="207">
        <f>SUMIFS('сентябрь 2023'!$G$4:$G$1053,'сентябрь 2023'!$D$4:$D$1053,$B67,'сентябрь 2023'!$J$4:$J$1053,Y$1)</f>
        <v>0</v>
      </c>
      <c r="Z67" s="207">
        <f>SUMIFS('сентябрь 2023'!$G$4:$G$1053,'сентябрь 2023'!$D$4:$D$1053,$B67,'сентябрь 2023'!$J$4:$J$1053,Z$1)</f>
        <v>0</v>
      </c>
      <c r="AA67" s="207">
        <f>SUMIFS('сентябрь 2023'!$G$4:$G$1053,'сентябрь 2023'!$D$4:$D$1053,$B67,'сентябрь 2023'!$J$4:$J$1053,AA$1)</f>
        <v>0</v>
      </c>
      <c r="AB67" s="207">
        <f>SUMIFS('сентябрь 2023'!$G$4:$G$1053,'сентябрь 2023'!$D$4:$D$1053,$B67,'сентябрь 2023'!$J$4:$J$1053,AB$1)</f>
        <v>0</v>
      </c>
      <c r="AC67" s="207">
        <f>SUMIFS('сентябрь 2023'!$G$4:$G$1053,'сентябрь 2023'!$D$4:$D$1053,$B67,'сентябрь 2023'!$J$4:$J$1053,AC$1)</f>
        <v>0</v>
      </c>
      <c r="AD67" s="207">
        <f>SUMIFS('сентябрь 2023'!$G$4:$G$1053,'сентябрь 2023'!$D$4:$D$1053,$B67,'сентябрь 2023'!$J$4:$J$1053,AD$1)</f>
        <v>0</v>
      </c>
      <c r="AE67" s="207">
        <f>SUMIFS('сентябрь 2023'!$G$4:$G$1053,'сентябрь 2023'!$D$4:$D$1053,$B67,'сентябрь 2023'!$J$4:$J$1053,AE$1)</f>
        <v>0</v>
      </c>
      <c r="AF67" s="207">
        <f>SUMIFS('сентябрь 2023'!$G$4:$G$1053,'сентябрь 2023'!$D$4:$D$1053,$B67,'сентябрь 2023'!$J$4:$J$1053,AF$1)</f>
        <v>0</v>
      </c>
      <c r="AG67" s="207">
        <f>SUMIFS('сентябрь 2023'!$G$4:$G$1053,'сентябрь 2023'!$D$4:$D$1053,$B67,'сентябрь 2023'!$J$4:$J$1053,AG$1)</f>
        <v>0</v>
      </c>
      <c r="AH67" s="207">
        <f>SUMIFS('сентябрь 2023'!$G$4:$G$1053,'сентябрь 2023'!$D$4:$D$1053,$B67,'сентябрь 2023'!$J$4:$J$1053,AH$1)</f>
        <v>0</v>
      </c>
      <c r="AI67" s="170"/>
    </row>
    <row r="68" spans="2:35" ht="15" customHeight="1" x14ac:dyDescent="0.25">
      <c r="B68" s="216" t="s">
        <v>1498</v>
      </c>
      <c r="C68" s="213">
        <v>190</v>
      </c>
      <c r="D68" s="207">
        <f>SUMIFS('сентябрь 2023'!$G$4:$G$1053,'сентябрь 2023'!$D$4:$D$1053,$B68,'сентябрь 2023'!$J$4:$J$1053,D$1)</f>
        <v>0</v>
      </c>
      <c r="E68" s="207">
        <f>SUMIFS('сентябрь 2023'!$G$4:$G$1053,'сентябрь 2023'!$D$4:$D$1053,$B68,'сентябрь 2023'!$J$4:$J$1053,E$1)</f>
        <v>0</v>
      </c>
      <c r="F68" s="207">
        <f>SUMIFS('сентябрь 2023'!$G$4:$G$1053,'сентябрь 2023'!$D$4:$D$1053,$B68,'сентябрь 2023'!$J$4:$J$1053,F$1)</f>
        <v>0</v>
      </c>
      <c r="G68" s="207">
        <f>SUMIFS('сентябрь 2023'!$G$4:$G$1053,'сентябрь 2023'!$D$4:$D$1053,$B68,'сентябрь 2023'!$J$4:$J$1053,G$1)</f>
        <v>0</v>
      </c>
      <c r="H68" s="207">
        <f>SUMIFS('сентябрь 2023'!$G$4:$G$1053,'сентябрь 2023'!$D$4:$D$1053,$B68,'сентябрь 2023'!$J$4:$J$1053,H$1)</f>
        <v>0</v>
      </c>
      <c r="I68" s="207">
        <f>SUMIFS('сентябрь 2023'!$G$4:$G$1053,'сентябрь 2023'!$D$4:$D$1053,$B68,'сентябрь 2023'!$J$4:$J$1053,I$1)</f>
        <v>0</v>
      </c>
      <c r="J68" s="207">
        <f>SUMIFS('сентябрь 2023'!$G$4:$G$1053,'сентябрь 2023'!$D$4:$D$1053,$B68,'сентябрь 2023'!$J$4:$J$1053,J$1)</f>
        <v>0</v>
      </c>
      <c r="K68" s="207">
        <f>SUMIFS('сентябрь 2023'!$G$4:$G$1053,'сентябрь 2023'!$D$4:$D$1053,$B68,'сентябрь 2023'!$J$4:$J$1053,K$1)</f>
        <v>0</v>
      </c>
      <c r="L68" s="207">
        <f>SUMIFS('сентябрь 2023'!$G$4:$G$1053,'сентябрь 2023'!$D$4:$D$1053,$B68,'сентябрь 2023'!$J$4:$J$1053,L$1)</f>
        <v>0</v>
      </c>
      <c r="M68" s="207">
        <f>SUMIFS('сентябрь 2023'!$G$4:$G$1053,'сентябрь 2023'!$D$4:$D$1053,$B68,'сентябрь 2023'!$J$4:$J$1053,M$1)</f>
        <v>0</v>
      </c>
      <c r="N68" s="207">
        <f>SUMIFS('сентябрь 2023'!$G$4:$G$1053,'сентябрь 2023'!$D$4:$D$1053,$B68,'сентябрь 2023'!$J$4:$J$1053,N$1)</f>
        <v>0</v>
      </c>
      <c r="O68" s="207">
        <f>SUMIFS('сентябрь 2023'!$G$4:$G$1053,'сентябрь 2023'!$D$4:$D$1053,$B68,'сентябрь 2023'!$J$4:$J$1053,O$1)</f>
        <v>0</v>
      </c>
      <c r="P68" s="207">
        <f>SUMIFS('сентябрь 2023'!$G$4:$G$1053,'сентябрь 2023'!$D$4:$D$1053,$B68,'сентябрь 2023'!$J$4:$J$1053,P$1)</f>
        <v>0</v>
      </c>
      <c r="Q68" s="207">
        <f>SUMIFS('сентябрь 2023'!$G$4:$G$1053,'сентябрь 2023'!$D$4:$D$1053,$B68,'сентябрь 2023'!$J$4:$J$1053,Q$1)</f>
        <v>0</v>
      </c>
      <c r="R68" s="207">
        <f>SUMIFS('сентябрь 2023'!$G$4:$G$1053,'сентябрь 2023'!$D$4:$D$1053,$B68,'сентябрь 2023'!$J$4:$J$1053,R$1)</f>
        <v>0</v>
      </c>
      <c r="S68" s="207">
        <f>SUMIFS('сентябрь 2023'!$G$4:$G$1053,'сентябрь 2023'!$D$4:$D$1053,$B68,'сентябрь 2023'!$J$4:$J$1053,S$1)</f>
        <v>0</v>
      </c>
      <c r="T68" s="207">
        <f>SUMIFS('сентябрь 2023'!$G$4:$G$1053,'сентябрь 2023'!$D$4:$D$1053,$B68,'сентябрь 2023'!$J$4:$J$1053,T$1)</f>
        <v>0</v>
      </c>
      <c r="U68" s="207">
        <f>SUMIFS('сентябрь 2023'!$G$4:$G$1053,'сентябрь 2023'!$D$4:$D$1053,$B68,'сентябрь 2023'!$J$4:$J$1053,U$1)</f>
        <v>0</v>
      </c>
      <c r="V68" s="207">
        <f>SUMIFS('сентябрь 2023'!$G$4:$G$1053,'сентябрь 2023'!$D$4:$D$1053,$B68,'сентябрь 2023'!$J$4:$J$1053,V$1)</f>
        <v>0</v>
      </c>
      <c r="W68" s="207">
        <f>SUMIFS('сентябрь 2023'!$G$4:$G$1053,'сентябрь 2023'!$D$4:$D$1053,$B68,'сентябрь 2023'!$J$4:$J$1053,W$1)</f>
        <v>0</v>
      </c>
      <c r="X68" s="207">
        <f>SUMIFS('сентябрь 2023'!$G$4:$G$1053,'сентябрь 2023'!$D$4:$D$1053,$B68,'сентябрь 2023'!$J$4:$J$1053,X$1)</f>
        <v>0</v>
      </c>
      <c r="Y68" s="207">
        <f>SUMIFS('сентябрь 2023'!$G$4:$G$1053,'сентябрь 2023'!$D$4:$D$1053,$B68,'сентябрь 2023'!$J$4:$J$1053,Y$1)</f>
        <v>0</v>
      </c>
      <c r="Z68" s="207">
        <f>SUMIFS('сентябрь 2023'!$G$4:$G$1053,'сентябрь 2023'!$D$4:$D$1053,$B68,'сентябрь 2023'!$J$4:$J$1053,Z$1)</f>
        <v>0</v>
      </c>
      <c r="AA68" s="207">
        <f>SUMIFS('сентябрь 2023'!$G$4:$G$1053,'сентябрь 2023'!$D$4:$D$1053,$B68,'сентябрь 2023'!$J$4:$J$1053,AA$1)</f>
        <v>0</v>
      </c>
      <c r="AB68" s="207">
        <f>SUMIFS('сентябрь 2023'!$G$4:$G$1053,'сентябрь 2023'!$D$4:$D$1053,$B68,'сентябрь 2023'!$J$4:$J$1053,AB$1)</f>
        <v>0</v>
      </c>
      <c r="AC68" s="207">
        <f>SUMIFS('сентябрь 2023'!$G$4:$G$1053,'сентябрь 2023'!$D$4:$D$1053,$B68,'сентябрь 2023'!$J$4:$J$1053,AC$1)</f>
        <v>0</v>
      </c>
      <c r="AD68" s="207">
        <f>SUMIFS('сентябрь 2023'!$G$4:$G$1053,'сентябрь 2023'!$D$4:$D$1053,$B68,'сентябрь 2023'!$J$4:$J$1053,AD$1)</f>
        <v>0</v>
      </c>
      <c r="AE68" s="207">
        <f>SUMIFS('сентябрь 2023'!$G$4:$G$1053,'сентябрь 2023'!$D$4:$D$1053,$B68,'сентябрь 2023'!$J$4:$J$1053,AE$1)</f>
        <v>0</v>
      </c>
      <c r="AF68" s="207">
        <f>SUMIFS('сентябрь 2023'!$G$4:$G$1053,'сентябрь 2023'!$D$4:$D$1053,$B68,'сентябрь 2023'!$J$4:$J$1053,AF$1)</f>
        <v>0</v>
      </c>
      <c r="AG68" s="207">
        <f>SUMIFS('сентябрь 2023'!$G$4:$G$1053,'сентябрь 2023'!$D$4:$D$1053,$B68,'сентябрь 2023'!$J$4:$J$1053,AG$1)</f>
        <v>0</v>
      </c>
      <c r="AH68" s="207">
        <f>SUMIFS('сентябрь 2023'!$G$4:$G$1053,'сентябрь 2023'!$D$4:$D$1053,$B68,'сентябрь 2023'!$J$4:$J$1053,AH$1)</f>
        <v>0</v>
      </c>
      <c r="AI68" s="170">
        <f t="shared" ref="AI68:AI130" si="3">SUM(D68:AH68)</f>
        <v>0</v>
      </c>
    </row>
    <row r="69" spans="2:35" ht="15" customHeight="1" x14ac:dyDescent="0.25">
      <c r="B69" s="216" t="s">
        <v>1721</v>
      </c>
      <c r="C69" s="213">
        <v>180</v>
      </c>
      <c r="D69" s="207">
        <f>SUMIFS('сентябрь 2023'!$G$4:$G$1053,'сентябрь 2023'!$D$4:$D$1053,$B69,'сентябрь 2023'!$J$4:$J$1053,D$1)</f>
        <v>0</v>
      </c>
      <c r="E69" s="207">
        <f>SUMIFS('сентябрь 2023'!$G$4:$G$1053,'сентябрь 2023'!$D$4:$D$1053,$B69,'сентябрь 2023'!$J$4:$J$1053,E$1)</f>
        <v>0</v>
      </c>
      <c r="F69" s="207">
        <f>SUMIFS('сентябрь 2023'!$G$4:$G$1053,'сентябрь 2023'!$D$4:$D$1053,$B69,'сентябрь 2023'!$J$4:$J$1053,F$1)</f>
        <v>0</v>
      </c>
      <c r="G69" s="207">
        <f>SUMIFS('сентябрь 2023'!$G$4:$G$1053,'сентябрь 2023'!$D$4:$D$1053,$B69,'сентябрь 2023'!$J$4:$J$1053,G$1)</f>
        <v>0</v>
      </c>
      <c r="H69" s="207">
        <f>SUMIFS('сентябрь 2023'!$G$4:$G$1053,'сентябрь 2023'!$D$4:$D$1053,$B69,'сентябрь 2023'!$J$4:$J$1053,H$1)</f>
        <v>0</v>
      </c>
      <c r="I69" s="207">
        <f>SUMIFS('сентябрь 2023'!$G$4:$G$1053,'сентябрь 2023'!$D$4:$D$1053,$B69,'сентябрь 2023'!$J$4:$J$1053,I$1)</f>
        <v>0</v>
      </c>
      <c r="J69" s="207">
        <f>SUMIFS('сентябрь 2023'!$G$4:$G$1053,'сентябрь 2023'!$D$4:$D$1053,$B69,'сентябрь 2023'!$J$4:$J$1053,J$1)</f>
        <v>0</v>
      </c>
      <c r="K69" s="207">
        <f>SUMIFS('сентябрь 2023'!$G$4:$G$1053,'сентябрь 2023'!$D$4:$D$1053,$B69,'сентябрь 2023'!$J$4:$J$1053,K$1)</f>
        <v>0</v>
      </c>
      <c r="L69" s="207">
        <f>SUMIFS('сентябрь 2023'!$G$4:$G$1053,'сентябрь 2023'!$D$4:$D$1053,$B69,'сентябрь 2023'!$J$4:$J$1053,L$1)</f>
        <v>0</v>
      </c>
      <c r="M69" s="207">
        <f>SUMIFS('сентябрь 2023'!$G$4:$G$1053,'сентябрь 2023'!$D$4:$D$1053,$B69,'сентябрь 2023'!$J$4:$J$1053,M$1)</f>
        <v>0</v>
      </c>
      <c r="N69" s="207">
        <f>SUMIFS('сентябрь 2023'!$G$4:$G$1053,'сентябрь 2023'!$D$4:$D$1053,$B69,'сентябрь 2023'!$J$4:$J$1053,N$1)</f>
        <v>0</v>
      </c>
      <c r="O69" s="207">
        <f>SUMIFS('сентябрь 2023'!$G$4:$G$1053,'сентябрь 2023'!$D$4:$D$1053,$B69,'сентябрь 2023'!$J$4:$J$1053,O$1)</f>
        <v>0</v>
      </c>
      <c r="P69" s="207">
        <f>SUMIFS('сентябрь 2023'!$G$4:$G$1053,'сентябрь 2023'!$D$4:$D$1053,$B69,'сентябрь 2023'!$J$4:$J$1053,P$1)</f>
        <v>0</v>
      </c>
      <c r="Q69" s="207">
        <f>SUMIFS('сентябрь 2023'!$G$4:$G$1053,'сентябрь 2023'!$D$4:$D$1053,$B69,'сентябрь 2023'!$J$4:$J$1053,Q$1)</f>
        <v>0</v>
      </c>
      <c r="R69" s="207">
        <f>SUMIFS('сентябрь 2023'!$G$4:$G$1053,'сентябрь 2023'!$D$4:$D$1053,$B69,'сентябрь 2023'!$J$4:$J$1053,R$1)</f>
        <v>0</v>
      </c>
      <c r="S69" s="207">
        <f>SUMIFS('сентябрь 2023'!$G$4:$G$1053,'сентябрь 2023'!$D$4:$D$1053,$B69,'сентябрь 2023'!$J$4:$J$1053,S$1)</f>
        <v>0</v>
      </c>
      <c r="T69" s="207">
        <f>SUMIFS('сентябрь 2023'!$G$4:$G$1053,'сентябрь 2023'!$D$4:$D$1053,$B69,'сентябрь 2023'!$J$4:$J$1053,T$1)</f>
        <v>0</v>
      </c>
      <c r="U69" s="207">
        <f>SUMIFS('сентябрь 2023'!$G$4:$G$1053,'сентябрь 2023'!$D$4:$D$1053,$B69,'сентябрь 2023'!$J$4:$J$1053,U$1)</f>
        <v>0</v>
      </c>
      <c r="V69" s="207">
        <f>SUMIFS('сентябрь 2023'!$G$4:$G$1053,'сентябрь 2023'!$D$4:$D$1053,$B69,'сентябрь 2023'!$J$4:$J$1053,V$1)</f>
        <v>0</v>
      </c>
      <c r="W69" s="207">
        <f>SUMIFS('сентябрь 2023'!$G$4:$G$1053,'сентябрь 2023'!$D$4:$D$1053,$B69,'сентябрь 2023'!$J$4:$J$1053,W$1)</f>
        <v>0</v>
      </c>
      <c r="X69" s="207">
        <f>SUMIFS('сентябрь 2023'!$G$4:$G$1053,'сентябрь 2023'!$D$4:$D$1053,$B69,'сентябрь 2023'!$J$4:$J$1053,X$1)</f>
        <v>0</v>
      </c>
      <c r="Y69" s="207">
        <f>SUMIFS('сентябрь 2023'!$G$4:$G$1053,'сентябрь 2023'!$D$4:$D$1053,$B69,'сентябрь 2023'!$J$4:$J$1053,Y$1)</f>
        <v>0</v>
      </c>
      <c r="Z69" s="207">
        <f>SUMIFS('сентябрь 2023'!$G$4:$G$1053,'сентябрь 2023'!$D$4:$D$1053,$B69,'сентябрь 2023'!$J$4:$J$1053,Z$1)</f>
        <v>0</v>
      </c>
      <c r="AA69" s="207">
        <f>SUMIFS('сентябрь 2023'!$G$4:$G$1053,'сентябрь 2023'!$D$4:$D$1053,$B69,'сентябрь 2023'!$J$4:$J$1053,AA$1)</f>
        <v>0</v>
      </c>
      <c r="AB69" s="207">
        <f>SUMIFS('сентябрь 2023'!$G$4:$G$1053,'сентябрь 2023'!$D$4:$D$1053,$B69,'сентябрь 2023'!$J$4:$J$1053,AB$1)</f>
        <v>0</v>
      </c>
      <c r="AC69" s="207">
        <f>SUMIFS('сентябрь 2023'!$G$4:$G$1053,'сентябрь 2023'!$D$4:$D$1053,$B69,'сентябрь 2023'!$J$4:$J$1053,AC$1)</f>
        <v>0</v>
      </c>
      <c r="AD69" s="207">
        <f>SUMIFS('сентябрь 2023'!$G$4:$G$1053,'сентябрь 2023'!$D$4:$D$1053,$B69,'сентябрь 2023'!$J$4:$J$1053,AD$1)</f>
        <v>0</v>
      </c>
      <c r="AE69" s="207">
        <f>SUMIFS('сентябрь 2023'!$G$4:$G$1053,'сентябрь 2023'!$D$4:$D$1053,$B69,'сентябрь 2023'!$J$4:$J$1053,AE$1)</f>
        <v>0</v>
      </c>
      <c r="AF69" s="207">
        <f>SUMIFS('сентябрь 2023'!$G$4:$G$1053,'сентябрь 2023'!$D$4:$D$1053,$B69,'сентябрь 2023'!$J$4:$J$1053,AF$1)</f>
        <v>0</v>
      </c>
      <c r="AG69" s="207">
        <f>SUMIFS('сентябрь 2023'!$G$4:$G$1053,'сентябрь 2023'!$D$4:$D$1053,$B69,'сентябрь 2023'!$J$4:$J$1053,AG$1)</f>
        <v>0</v>
      </c>
      <c r="AH69" s="207">
        <f>SUMIFS('сентябрь 2023'!$G$4:$G$1053,'сентябрь 2023'!$D$4:$D$1053,$B69,'сентябрь 2023'!$J$4:$J$1053,AH$1)</f>
        <v>0</v>
      </c>
      <c r="AI69" s="170">
        <f t="shared" si="3"/>
        <v>0</v>
      </c>
    </row>
    <row r="70" spans="2:35" ht="15" customHeight="1" x14ac:dyDescent="0.25">
      <c r="B70" s="216" t="s">
        <v>2166</v>
      </c>
      <c r="C70" s="213">
        <v>180</v>
      </c>
      <c r="D70" s="207">
        <f>SUMIFS('сентябрь 2023'!$G$4:$G$1053,'сентябрь 2023'!$D$4:$D$1053,$B70,'сентябрь 2023'!$J$4:$J$1053,D$1)</f>
        <v>0</v>
      </c>
      <c r="E70" s="207">
        <f>SUMIFS('сентябрь 2023'!$G$4:$G$1053,'сентябрь 2023'!$D$4:$D$1053,$B70,'сентябрь 2023'!$J$4:$J$1053,E$1)</f>
        <v>0</v>
      </c>
      <c r="F70" s="207">
        <f>SUMIFS('сентябрь 2023'!$G$4:$G$1053,'сентябрь 2023'!$D$4:$D$1053,$B70,'сентябрь 2023'!$J$4:$J$1053,F$1)</f>
        <v>0</v>
      </c>
      <c r="G70" s="207">
        <f>SUMIFS('сентябрь 2023'!$G$4:$G$1053,'сентябрь 2023'!$D$4:$D$1053,$B70,'сентябрь 2023'!$J$4:$J$1053,G$1)</f>
        <v>0</v>
      </c>
      <c r="H70" s="207">
        <f>SUMIFS('сентябрь 2023'!$G$4:$G$1053,'сентябрь 2023'!$D$4:$D$1053,$B70,'сентябрь 2023'!$J$4:$J$1053,H$1)</f>
        <v>0</v>
      </c>
      <c r="I70" s="207">
        <f>SUMIFS('сентябрь 2023'!$G$4:$G$1053,'сентябрь 2023'!$D$4:$D$1053,$B70,'сентябрь 2023'!$J$4:$J$1053,I$1)</f>
        <v>0</v>
      </c>
      <c r="J70" s="207">
        <f>SUMIFS('сентябрь 2023'!$G$4:$G$1053,'сентябрь 2023'!$D$4:$D$1053,$B70,'сентябрь 2023'!$J$4:$J$1053,J$1)</f>
        <v>0</v>
      </c>
      <c r="K70" s="207">
        <f>SUMIFS('сентябрь 2023'!$G$4:$G$1053,'сентябрь 2023'!$D$4:$D$1053,$B70,'сентябрь 2023'!$J$4:$J$1053,K$1)</f>
        <v>0</v>
      </c>
      <c r="L70" s="207">
        <f>SUMIFS('сентябрь 2023'!$G$4:$G$1053,'сентябрь 2023'!$D$4:$D$1053,$B70,'сентябрь 2023'!$J$4:$J$1053,L$1)</f>
        <v>0</v>
      </c>
      <c r="M70" s="207">
        <f>SUMIFS('сентябрь 2023'!$G$4:$G$1053,'сентябрь 2023'!$D$4:$D$1053,$B70,'сентябрь 2023'!$J$4:$J$1053,M$1)</f>
        <v>0</v>
      </c>
      <c r="N70" s="207">
        <f>SUMIFS('сентябрь 2023'!$G$4:$G$1053,'сентябрь 2023'!$D$4:$D$1053,$B70,'сентябрь 2023'!$J$4:$J$1053,N$1)</f>
        <v>0</v>
      </c>
      <c r="O70" s="207">
        <f>SUMIFS('сентябрь 2023'!$G$4:$G$1053,'сентябрь 2023'!$D$4:$D$1053,$B70,'сентябрь 2023'!$J$4:$J$1053,O$1)</f>
        <v>0</v>
      </c>
      <c r="P70" s="207">
        <f>SUMIFS('сентябрь 2023'!$G$4:$G$1053,'сентябрь 2023'!$D$4:$D$1053,$B70,'сентябрь 2023'!$J$4:$J$1053,P$1)</f>
        <v>0</v>
      </c>
      <c r="Q70" s="207">
        <f>SUMIFS('сентябрь 2023'!$G$4:$G$1053,'сентябрь 2023'!$D$4:$D$1053,$B70,'сентябрь 2023'!$J$4:$J$1053,Q$1)</f>
        <v>0</v>
      </c>
      <c r="R70" s="207">
        <f>SUMIFS('сентябрь 2023'!$G$4:$G$1053,'сентябрь 2023'!$D$4:$D$1053,$B70,'сентябрь 2023'!$J$4:$J$1053,R$1)</f>
        <v>0</v>
      </c>
      <c r="S70" s="207">
        <f>SUMIFS('сентябрь 2023'!$G$4:$G$1053,'сентябрь 2023'!$D$4:$D$1053,$B70,'сентябрь 2023'!$J$4:$J$1053,S$1)</f>
        <v>0</v>
      </c>
      <c r="T70" s="207">
        <f>SUMIFS('сентябрь 2023'!$G$4:$G$1053,'сентябрь 2023'!$D$4:$D$1053,$B70,'сентябрь 2023'!$J$4:$J$1053,T$1)</f>
        <v>0</v>
      </c>
      <c r="U70" s="207">
        <f>SUMIFS('сентябрь 2023'!$G$4:$G$1053,'сентябрь 2023'!$D$4:$D$1053,$B70,'сентябрь 2023'!$J$4:$J$1053,U$1)</f>
        <v>0</v>
      </c>
      <c r="V70" s="207">
        <f>SUMIFS('сентябрь 2023'!$G$4:$G$1053,'сентябрь 2023'!$D$4:$D$1053,$B70,'сентябрь 2023'!$J$4:$J$1053,V$1)</f>
        <v>0</v>
      </c>
      <c r="W70" s="207">
        <f>SUMIFS('сентябрь 2023'!$G$4:$G$1053,'сентябрь 2023'!$D$4:$D$1053,$B70,'сентябрь 2023'!$J$4:$J$1053,W$1)</f>
        <v>0</v>
      </c>
      <c r="X70" s="207">
        <f>SUMIFS('сентябрь 2023'!$G$4:$G$1053,'сентябрь 2023'!$D$4:$D$1053,$B70,'сентябрь 2023'!$J$4:$J$1053,X$1)</f>
        <v>0</v>
      </c>
      <c r="Y70" s="207">
        <f>SUMIFS('сентябрь 2023'!$G$4:$G$1053,'сентябрь 2023'!$D$4:$D$1053,$B70,'сентябрь 2023'!$J$4:$J$1053,Y$1)</f>
        <v>0</v>
      </c>
      <c r="Z70" s="207">
        <f>SUMIFS('сентябрь 2023'!$G$4:$G$1053,'сентябрь 2023'!$D$4:$D$1053,$B70,'сентябрь 2023'!$J$4:$J$1053,Z$1)</f>
        <v>0</v>
      </c>
      <c r="AA70" s="207">
        <f>SUMIFS('сентябрь 2023'!$G$4:$G$1053,'сентябрь 2023'!$D$4:$D$1053,$B70,'сентябрь 2023'!$J$4:$J$1053,AA$1)</f>
        <v>0</v>
      </c>
      <c r="AB70" s="207">
        <f>SUMIFS('сентябрь 2023'!$G$4:$G$1053,'сентябрь 2023'!$D$4:$D$1053,$B70,'сентябрь 2023'!$J$4:$J$1053,AB$1)</f>
        <v>0</v>
      </c>
      <c r="AC70" s="207">
        <f>SUMIFS('сентябрь 2023'!$G$4:$G$1053,'сентябрь 2023'!$D$4:$D$1053,$B70,'сентябрь 2023'!$J$4:$J$1053,AC$1)</f>
        <v>0</v>
      </c>
      <c r="AD70" s="207">
        <f>SUMIFS('сентябрь 2023'!$G$4:$G$1053,'сентябрь 2023'!$D$4:$D$1053,$B70,'сентябрь 2023'!$J$4:$J$1053,AD$1)</f>
        <v>0</v>
      </c>
      <c r="AE70" s="207">
        <f>SUMIFS('сентябрь 2023'!$G$4:$G$1053,'сентябрь 2023'!$D$4:$D$1053,$B70,'сентябрь 2023'!$J$4:$J$1053,AE$1)</f>
        <v>0</v>
      </c>
      <c r="AF70" s="207">
        <f>SUMIFS('сентябрь 2023'!$G$4:$G$1053,'сентябрь 2023'!$D$4:$D$1053,$B70,'сентябрь 2023'!$J$4:$J$1053,AF$1)</f>
        <v>0</v>
      </c>
      <c r="AG70" s="207">
        <f>SUMIFS('сентябрь 2023'!$G$4:$G$1053,'сентябрь 2023'!$D$4:$D$1053,$B70,'сентябрь 2023'!$J$4:$J$1053,AG$1)</f>
        <v>0</v>
      </c>
      <c r="AH70" s="207">
        <f>SUMIFS('сентябрь 2023'!$G$4:$G$1053,'сентябрь 2023'!$D$4:$D$1053,$B70,'сентябрь 2023'!$J$4:$J$1053,AH$1)</f>
        <v>0</v>
      </c>
      <c r="AI70" s="170">
        <f t="shared" si="3"/>
        <v>0</v>
      </c>
    </row>
    <row r="71" spans="2:35" ht="15" customHeight="1" x14ac:dyDescent="0.25">
      <c r="B71" s="216" t="s">
        <v>140</v>
      </c>
      <c r="C71" s="213">
        <v>180</v>
      </c>
      <c r="D71" s="207">
        <f>SUMIFS('сентябрь 2023'!$G$4:$G$1053,'сентябрь 2023'!$D$4:$D$1053,$B71,'сентябрь 2023'!$J$4:$J$1053,D$1)</f>
        <v>0</v>
      </c>
      <c r="E71" s="207">
        <f>SUMIFS('сентябрь 2023'!$G$4:$G$1053,'сентябрь 2023'!$D$4:$D$1053,$B71,'сентябрь 2023'!$J$4:$J$1053,E$1)</f>
        <v>0</v>
      </c>
      <c r="F71" s="207">
        <f>SUMIFS('сентябрь 2023'!$G$4:$G$1053,'сентябрь 2023'!$D$4:$D$1053,$B71,'сентябрь 2023'!$J$4:$J$1053,F$1)</f>
        <v>0</v>
      </c>
      <c r="G71" s="207">
        <f>SUMIFS('сентябрь 2023'!$G$4:$G$1053,'сентябрь 2023'!$D$4:$D$1053,$B71,'сентябрь 2023'!$J$4:$J$1053,G$1)</f>
        <v>0</v>
      </c>
      <c r="H71" s="207">
        <f>SUMIFS('сентябрь 2023'!$G$4:$G$1053,'сентябрь 2023'!$D$4:$D$1053,$B71,'сентябрь 2023'!$J$4:$J$1053,H$1)</f>
        <v>0</v>
      </c>
      <c r="I71" s="207">
        <f>SUMIFS('сентябрь 2023'!$G$4:$G$1053,'сентябрь 2023'!$D$4:$D$1053,$B71,'сентябрь 2023'!$J$4:$J$1053,I$1)</f>
        <v>0</v>
      </c>
      <c r="J71" s="207">
        <f>SUMIFS('сентябрь 2023'!$G$4:$G$1053,'сентябрь 2023'!$D$4:$D$1053,$B71,'сентябрь 2023'!$J$4:$J$1053,J$1)</f>
        <v>0</v>
      </c>
      <c r="K71" s="207">
        <f>SUMIFS('сентябрь 2023'!$G$4:$G$1053,'сентябрь 2023'!$D$4:$D$1053,$B71,'сентябрь 2023'!$J$4:$J$1053,K$1)</f>
        <v>0</v>
      </c>
      <c r="L71" s="207">
        <f>SUMIFS('сентябрь 2023'!$G$4:$G$1053,'сентябрь 2023'!$D$4:$D$1053,$B71,'сентябрь 2023'!$J$4:$J$1053,L$1)</f>
        <v>0</v>
      </c>
      <c r="M71" s="207">
        <f>SUMIFS('сентябрь 2023'!$G$4:$G$1053,'сентябрь 2023'!$D$4:$D$1053,$B71,'сентябрь 2023'!$J$4:$J$1053,M$1)</f>
        <v>0</v>
      </c>
      <c r="N71" s="207">
        <f>SUMIFS('сентябрь 2023'!$G$4:$G$1053,'сентябрь 2023'!$D$4:$D$1053,$B71,'сентябрь 2023'!$J$4:$J$1053,N$1)</f>
        <v>56</v>
      </c>
      <c r="O71" s="207">
        <f>SUMIFS('сентябрь 2023'!$G$4:$G$1053,'сентябрь 2023'!$D$4:$D$1053,$B71,'сентябрь 2023'!$J$4:$J$1053,O$1)</f>
        <v>0</v>
      </c>
      <c r="P71" s="207">
        <f>SUMIFS('сентябрь 2023'!$G$4:$G$1053,'сентябрь 2023'!$D$4:$D$1053,$B71,'сентябрь 2023'!$J$4:$J$1053,P$1)</f>
        <v>0</v>
      </c>
      <c r="Q71" s="207">
        <f>SUMIFS('сентябрь 2023'!$G$4:$G$1053,'сентябрь 2023'!$D$4:$D$1053,$B71,'сентябрь 2023'!$J$4:$J$1053,Q$1)</f>
        <v>0</v>
      </c>
      <c r="R71" s="207">
        <f>SUMIFS('сентябрь 2023'!$G$4:$G$1053,'сентябрь 2023'!$D$4:$D$1053,$B71,'сентябрь 2023'!$J$4:$J$1053,R$1)</f>
        <v>16</v>
      </c>
      <c r="S71" s="207">
        <f>SUMIFS('сентябрь 2023'!$G$4:$G$1053,'сентябрь 2023'!$D$4:$D$1053,$B71,'сентябрь 2023'!$J$4:$J$1053,S$1)</f>
        <v>0</v>
      </c>
      <c r="T71" s="207">
        <f>SUMIFS('сентябрь 2023'!$G$4:$G$1053,'сентябрь 2023'!$D$4:$D$1053,$B71,'сентябрь 2023'!$J$4:$J$1053,T$1)</f>
        <v>0</v>
      </c>
      <c r="U71" s="207">
        <f>SUMIFS('сентябрь 2023'!$G$4:$G$1053,'сентябрь 2023'!$D$4:$D$1053,$B71,'сентябрь 2023'!$J$4:$J$1053,U$1)</f>
        <v>0</v>
      </c>
      <c r="V71" s="207">
        <f>SUMIFS('сентябрь 2023'!$G$4:$G$1053,'сентябрь 2023'!$D$4:$D$1053,$B71,'сентябрь 2023'!$J$4:$J$1053,V$1)</f>
        <v>0</v>
      </c>
      <c r="W71" s="207">
        <f>SUMIFS('сентябрь 2023'!$G$4:$G$1053,'сентябрь 2023'!$D$4:$D$1053,$B71,'сентябрь 2023'!$J$4:$J$1053,W$1)</f>
        <v>0</v>
      </c>
      <c r="X71" s="207">
        <f>SUMIFS('сентябрь 2023'!$G$4:$G$1053,'сентябрь 2023'!$D$4:$D$1053,$B71,'сентябрь 2023'!$J$4:$J$1053,X$1)</f>
        <v>0</v>
      </c>
      <c r="Y71" s="207">
        <f>SUMIFS('сентябрь 2023'!$G$4:$G$1053,'сентябрь 2023'!$D$4:$D$1053,$B71,'сентябрь 2023'!$J$4:$J$1053,Y$1)</f>
        <v>0</v>
      </c>
      <c r="Z71" s="207">
        <f>SUMIFS('сентябрь 2023'!$G$4:$G$1053,'сентябрь 2023'!$D$4:$D$1053,$B71,'сентябрь 2023'!$J$4:$J$1053,Z$1)</f>
        <v>0</v>
      </c>
      <c r="AA71" s="207">
        <f>SUMIFS('сентябрь 2023'!$G$4:$G$1053,'сентябрь 2023'!$D$4:$D$1053,$B71,'сентябрь 2023'!$J$4:$J$1053,AA$1)</f>
        <v>0</v>
      </c>
      <c r="AB71" s="207">
        <f>SUMIFS('сентябрь 2023'!$G$4:$G$1053,'сентябрь 2023'!$D$4:$D$1053,$B71,'сентябрь 2023'!$J$4:$J$1053,AB$1)</f>
        <v>0</v>
      </c>
      <c r="AC71" s="207">
        <f>SUMIFS('сентябрь 2023'!$G$4:$G$1053,'сентябрь 2023'!$D$4:$D$1053,$B71,'сентябрь 2023'!$J$4:$J$1053,AC$1)</f>
        <v>0</v>
      </c>
      <c r="AD71" s="207">
        <f>SUMIFS('сентябрь 2023'!$G$4:$G$1053,'сентябрь 2023'!$D$4:$D$1053,$B71,'сентябрь 2023'!$J$4:$J$1053,AD$1)</f>
        <v>0</v>
      </c>
      <c r="AE71" s="207">
        <f>SUMIFS('сентябрь 2023'!$G$4:$G$1053,'сентябрь 2023'!$D$4:$D$1053,$B71,'сентябрь 2023'!$J$4:$J$1053,AE$1)</f>
        <v>0</v>
      </c>
      <c r="AF71" s="207">
        <f>SUMIFS('сентябрь 2023'!$G$4:$G$1053,'сентябрь 2023'!$D$4:$D$1053,$B71,'сентябрь 2023'!$J$4:$J$1053,AF$1)</f>
        <v>0</v>
      </c>
      <c r="AG71" s="207">
        <f>SUMIFS('сентябрь 2023'!$G$4:$G$1053,'сентябрь 2023'!$D$4:$D$1053,$B71,'сентябрь 2023'!$J$4:$J$1053,AG$1)</f>
        <v>0</v>
      </c>
      <c r="AH71" s="207">
        <f>SUMIFS('сентябрь 2023'!$G$4:$G$1053,'сентябрь 2023'!$D$4:$D$1053,$B71,'сентябрь 2023'!$J$4:$J$1053,AH$1)</f>
        <v>0</v>
      </c>
      <c r="AI71" s="170">
        <f t="shared" si="3"/>
        <v>72</v>
      </c>
    </row>
    <row r="72" spans="2:35" ht="15" customHeight="1" x14ac:dyDescent="0.25">
      <c r="B72" s="216" t="s">
        <v>588</v>
      </c>
      <c r="C72" s="213">
        <v>200</v>
      </c>
      <c r="D72" s="207">
        <f>SUMIFS('сентябрь 2023'!$G$4:$G$1053,'сентябрь 2023'!$D$4:$D$1053,$B72,'сентябрь 2023'!$J$4:$J$1053,D$1)</f>
        <v>0</v>
      </c>
      <c r="E72" s="207">
        <f>SUMIFS('сентябрь 2023'!$G$4:$G$1053,'сентябрь 2023'!$D$4:$D$1053,$B72,'сентябрь 2023'!$J$4:$J$1053,E$1)</f>
        <v>0</v>
      </c>
      <c r="F72" s="207">
        <f>SUMIFS('сентябрь 2023'!$G$4:$G$1053,'сентябрь 2023'!$D$4:$D$1053,$B72,'сентябрь 2023'!$J$4:$J$1053,F$1)</f>
        <v>0</v>
      </c>
      <c r="G72" s="207">
        <f>SUMIFS('сентябрь 2023'!$G$4:$G$1053,'сентябрь 2023'!$D$4:$D$1053,$B72,'сентябрь 2023'!$J$4:$J$1053,G$1)</f>
        <v>0</v>
      </c>
      <c r="H72" s="207">
        <f>SUMIFS('сентябрь 2023'!$G$4:$G$1053,'сентябрь 2023'!$D$4:$D$1053,$B72,'сентябрь 2023'!$J$4:$J$1053,H$1)</f>
        <v>0</v>
      </c>
      <c r="I72" s="207">
        <f>SUMIFS('сентябрь 2023'!$G$4:$G$1053,'сентябрь 2023'!$D$4:$D$1053,$B72,'сентябрь 2023'!$J$4:$J$1053,I$1)</f>
        <v>0</v>
      </c>
      <c r="J72" s="207">
        <f>SUMIFS('сентябрь 2023'!$G$4:$G$1053,'сентябрь 2023'!$D$4:$D$1053,$B72,'сентябрь 2023'!$J$4:$J$1053,J$1)</f>
        <v>0</v>
      </c>
      <c r="K72" s="207">
        <f>SUMIFS('сентябрь 2023'!$G$4:$G$1053,'сентябрь 2023'!$D$4:$D$1053,$B72,'сентябрь 2023'!$J$4:$J$1053,K$1)</f>
        <v>0</v>
      </c>
      <c r="L72" s="207">
        <f>SUMIFS('сентябрь 2023'!$G$4:$G$1053,'сентябрь 2023'!$D$4:$D$1053,$B72,'сентябрь 2023'!$J$4:$J$1053,L$1)</f>
        <v>0</v>
      </c>
      <c r="M72" s="207">
        <f>SUMIFS('сентябрь 2023'!$G$4:$G$1053,'сентябрь 2023'!$D$4:$D$1053,$B72,'сентябрь 2023'!$J$4:$J$1053,M$1)</f>
        <v>0</v>
      </c>
      <c r="N72" s="207">
        <f>SUMIFS('сентябрь 2023'!$G$4:$G$1053,'сентябрь 2023'!$D$4:$D$1053,$B72,'сентябрь 2023'!$J$4:$J$1053,N$1)</f>
        <v>0</v>
      </c>
      <c r="O72" s="207">
        <f>SUMIFS('сентябрь 2023'!$G$4:$G$1053,'сентябрь 2023'!$D$4:$D$1053,$B72,'сентябрь 2023'!$J$4:$J$1053,O$1)</f>
        <v>0</v>
      </c>
      <c r="P72" s="207">
        <f>SUMIFS('сентябрь 2023'!$G$4:$G$1053,'сентябрь 2023'!$D$4:$D$1053,$B72,'сентябрь 2023'!$J$4:$J$1053,P$1)</f>
        <v>0</v>
      </c>
      <c r="Q72" s="207">
        <f>SUMIFS('сентябрь 2023'!$G$4:$G$1053,'сентябрь 2023'!$D$4:$D$1053,$B72,'сентябрь 2023'!$J$4:$J$1053,Q$1)</f>
        <v>0</v>
      </c>
      <c r="R72" s="207">
        <f>SUMIFS('сентябрь 2023'!$G$4:$G$1053,'сентябрь 2023'!$D$4:$D$1053,$B72,'сентябрь 2023'!$J$4:$J$1053,R$1)</f>
        <v>0</v>
      </c>
      <c r="S72" s="207">
        <f>SUMIFS('сентябрь 2023'!$G$4:$G$1053,'сентябрь 2023'!$D$4:$D$1053,$B72,'сентябрь 2023'!$J$4:$J$1053,S$1)</f>
        <v>0</v>
      </c>
      <c r="T72" s="207">
        <f>SUMIFS('сентябрь 2023'!$G$4:$G$1053,'сентябрь 2023'!$D$4:$D$1053,$B72,'сентябрь 2023'!$J$4:$J$1053,T$1)</f>
        <v>0</v>
      </c>
      <c r="U72" s="207">
        <f>SUMIFS('сентябрь 2023'!$G$4:$G$1053,'сентябрь 2023'!$D$4:$D$1053,$B72,'сентябрь 2023'!$J$4:$J$1053,U$1)</f>
        <v>0</v>
      </c>
      <c r="V72" s="207">
        <f>SUMIFS('сентябрь 2023'!$G$4:$G$1053,'сентябрь 2023'!$D$4:$D$1053,$B72,'сентябрь 2023'!$J$4:$J$1053,V$1)</f>
        <v>0</v>
      </c>
      <c r="W72" s="207">
        <f>SUMIFS('сентябрь 2023'!$G$4:$G$1053,'сентябрь 2023'!$D$4:$D$1053,$B72,'сентябрь 2023'!$J$4:$J$1053,W$1)</f>
        <v>0</v>
      </c>
      <c r="X72" s="207">
        <f>SUMIFS('сентябрь 2023'!$G$4:$G$1053,'сентябрь 2023'!$D$4:$D$1053,$B72,'сентябрь 2023'!$J$4:$J$1053,X$1)</f>
        <v>0</v>
      </c>
      <c r="Y72" s="207">
        <f>SUMIFS('сентябрь 2023'!$G$4:$G$1053,'сентябрь 2023'!$D$4:$D$1053,$B72,'сентябрь 2023'!$J$4:$J$1053,Y$1)</f>
        <v>0</v>
      </c>
      <c r="Z72" s="207">
        <f>SUMIFS('сентябрь 2023'!$G$4:$G$1053,'сентябрь 2023'!$D$4:$D$1053,$B72,'сентябрь 2023'!$J$4:$J$1053,Z$1)</f>
        <v>0</v>
      </c>
      <c r="AA72" s="207">
        <f>SUMIFS('сентябрь 2023'!$G$4:$G$1053,'сентябрь 2023'!$D$4:$D$1053,$B72,'сентябрь 2023'!$J$4:$J$1053,AA$1)</f>
        <v>0</v>
      </c>
      <c r="AB72" s="207">
        <f>SUMIFS('сентябрь 2023'!$G$4:$G$1053,'сентябрь 2023'!$D$4:$D$1053,$B72,'сентябрь 2023'!$J$4:$J$1053,AB$1)</f>
        <v>0</v>
      </c>
      <c r="AC72" s="207">
        <f>SUMIFS('сентябрь 2023'!$G$4:$G$1053,'сентябрь 2023'!$D$4:$D$1053,$B72,'сентябрь 2023'!$J$4:$J$1053,AC$1)</f>
        <v>0</v>
      </c>
      <c r="AD72" s="207">
        <f>SUMIFS('сентябрь 2023'!$G$4:$G$1053,'сентябрь 2023'!$D$4:$D$1053,$B72,'сентябрь 2023'!$J$4:$J$1053,AD$1)</f>
        <v>0</v>
      </c>
      <c r="AE72" s="207">
        <f>SUMIFS('сентябрь 2023'!$G$4:$G$1053,'сентябрь 2023'!$D$4:$D$1053,$B72,'сентябрь 2023'!$J$4:$J$1053,AE$1)</f>
        <v>0</v>
      </c>
      <c r="AF72" s="207">
        <f>SUMIFS('сентябрь 2023'!$G$4:$G$1053,'сентябрь 2023'!$D$4:$D$1053,$B72,'сентябрь 2023'!$J$4:$J$1053,AF$1)</f>
        <v>0</v>
      </c>
      <c r="AG72" s="207">
        <f>SUMIFS('сентябрь 2023'!$G$4:$G$1053,'сентябрь 2023'!$D$4:$D$1053,$B72,'сентябрь 2023'!$J$4:$J$1053,AG$1)</f>
        <v>0</v>
      </c>
      <c r="AH72" s="207">
        <f>SUMIFS('сентябрь 2023'!$G$4:$G$1053,'сентябрь 2023'!$D$4:$D$1053,$B72,'сентябрь 2023'!$J$4:$J$1053,AH$1)</f>
        <v>0</v>
      </c>
      <c r="AI72" s="170">
        <f t="shared" si="3"/>
        <v>0</v>
      </c>
    </row>
    <row r="73" spans="2:35" ht="15" customHeight="1" x14ac:dyDescent="0.25">
      <c r="B73" s="216" t="s">
        <v>1779</v>
      </c>
      <c r="C73" s="213">
        <v>180</v>
      </c>
      <c r="D73" s="207">
        <f>SUMIFS('сентябрь 2023'!$G$4:$G$1053,'сентябрь 2023'!$D$4:$D$1053,$B73,'сентябрь 2023'!$J$4:$J$1053,D$1)</f>
        <v>0</v>
      </c>
      <c r="E73" s="207">
        <f>SUMIFS('сентябрь 2023'!$G$4:$G$1053,'сентябрь 2023'!$D$4:$D$1053,$B73,'сентябрь 2023'!$J$4:$J$1053,E$1)</f>
        <v>0</v>
      </c>
      <c r="F73" s="207">
        <f>SUMIFS('сентябрь 2023'!$G$4:$G$1053,'сентябрь 2023'!$D$4:$D$1053,$B73,'сентябрь 2023'!$J$4:$J$1053,F$1)</f>
        <v>0</v>
      </c>
      <c r="G73" s="207">
        <f>SUMIFS('сентябрь 2023'!$G$4:$G$1053,'сентябрь 2023'!$D$4:$D$1053,$B73,'сентябрь 2023'!$J$4:$J$1053,G$1)</f>
        <v>0</v>
      </c>
      <c r="H73" s="207">
        <f>SUMIFS('сентябрь 2023'!$G$4:$G$1053,'сентябрь 2023'!$D$4:$D$1053,$B73,'сентябрь 2023'!$J$4:$J$1053,H$1)</f>
        <v>0</v>
      </c>
      <c r="I73" s="207">
        <f>SUMIFS('сентябрь 2023'!$G$4:$G$1053,'сентябрь 2023'!$D$4:$D$1053,$B73,'сентябрь 2023'!$J$4:$J$1053,I$1)</f>
        <v>0</v>
      </c>
      <c r="J73" s="207">
        <f>SUMIFS('сентябрь 2023'!$G$4:$G$1053,'сентябрь 2023'!$D$4:$D$1053,$B73,'сентябрь 2023'!$J$4:$J$1053,J$1)</f>
        <v>0</v>
      </c>
      <c r="K73" s="207">
        <f>SUMIFS('сентябрь 2023'!$G$4:$G$1053,'сентябрь 2023'!$D$4:$D$1053,$B73,'сентябрь 2023'!$J$4:$J$1053,K$1)</f>
        <v>0</v>
      </c>
      <c r="L73" s="207">
        <f>SUMIFS('сентябрь 2023'!$G$4:$G$1053,'сентябрь 2023'!$D$4:$D$1053,$B73,'сентябрь 2023'!$J$4:$J$1053,L$1)</f>
        <v>0</v>
      </c>
      <c r="M73" s="207">
        <f>SUMIFS('сентябрь 2023'!$G$4:$G$1053,'сентябрь 2023'!$D$4:$D$1053,$B73,'сентябрь 2023'!$J$4:$J$1053,M$1)</f>
        <v>0</v>
      </c>
      <c r="N73" s="207">
        <f>SUMIFS('сентябрь 2023'!$G$4:$G$1053,'сентябрь 2023'!$D$4:$D$1053,$B73,'сентябрь 2023'!$J$4:$J$1053,N$1)</f>
        <v>0</v>
      </c>
      <c r="O73" s="207">
        <f>SUMIFS('сентябрь 2023'!$G$4:$G$1053,'сентябрь 2023'!$D$4:$D$1053,$B73,'сентябрь 2023'!$J$4:$J$1053,O$1)</f>
        <v>0</v>
      </c>
      <c r="P73" s="207">
        <f>SUMIFS('сентябрь 2023'!$G$4:$G$1053,'сентябрь 2023'!$D$4:$D$1053,$B73,'сентябрь 2023'!$J$4:$J$1053,P$1)</f>
        <v>0</v>
      </c>
      <c r="Q73" s="207">
        <f>SUMIFS('сентябрь 2023'!$G$4:$G$1053,'сентябрь 2023'!$D$4:$D$1053,$B73,'сентябрь 2023'!$J$4:$J$1053,Q$1)</f>
        <v>0</v>
      </c>
      <c r="R73" s="207">
        <f>SUMIFS('сентябрь 2023'!$G$4:$G$1053,'сентябрь 2023'!$D$4:$D$1053,$B73,'сентябрь 2023'!$J$4:$J$1053,R$1)</f>
        <v>0</v>
      </c>
      <c r="S73" s="207">
        <f>SUMIFS('сентябрь 2023'!$G$4:$G$1053,'сентябрь 2023'!$D$4:$D$1053,$B73,'сентябрь 2023'!$J$4:$J$1053,S$1)</f>
        <v>0</v>
      </c>
      <c r="T73" s="207">
        <f>SUMIFS('сентябрь 2023'!$G$4:$G$1053,'сентябрь 2023'!$D$4:$D$1053,$B73,'сентябрь 2023'!$J$4:$J$1053,T$1)</f>
        <v>0</v>
      </c>
      <c r="U73" s="207">
        <f>SUMIFS('сентябрь 2023'!$G$4:$G$1053,'сентябрь 2023'!$D$4:$D$1053,$B73,'сентябрь 2023'!$J$4:$J$1053,U$1)</f>
        <v>0</v>
      </c>
      <c r="V73" s="207">
        <f>SUMIFS('сентябрь 2023'!$G$4:$G$1053,'сентябрь 2023'!$D$4:$D$1053,$B73,'сентябрь 2023'!$J$4:$J$1053,V$1)</f>
        <v>0</v>
      </c>
      <c r="W73" s="207">
        <f>SUMIFS('сентябрь 2023'!$G$4:$G$1053,'сентябрь 2023'!$D$4:$D$1053,$B73,'сентябрь 2023'!$J$4:$J$1053,W$1)</f>
        <v>0</v>
      </c>
      <c r="X73" s="207">
        <f>SUMIFS('сентябрь 2023'!$G$4:$G$1053,'сентябрь 2023'!$D$4:$D$1053,$B73,'сентябрь 2023'!$J$4:$J$1053,X$1)</f>
        <v>0</v>
      </c>
      <c r="Y73" s="207">
        <f>SUMIFS('сентябрь 2023'!$G$4:$G$1053,'сентябрь 2023'!$D$4:$D$1053,$B73,'сентябрь 2023'!$J$4:$J$1053,Y$1)</f>
        <v>0</v>
      </c>
      <c r="Z73" s="207">
        <f>SUMIFS('сентябрь 2023'!$G$4:$G$1053,'сентябрь 2023'!$D$4:$D$1053,$B73,'сентябрь 2023'!$J$4:$J$1053,Z$1)</f>
        <v>0</v>
      </c>
      <c r="AA73" s="207">
        <f>SUMIFS('сентябрь 2023'!$G$4:$G$1053,'сентябрь 2023'!$D$4:$D$1053,$B73,'сентябрь 2023'!$J$4:$J$1053,AA$1)</f>
        <v>0</v>
      </c>
      <c r="AB73" s="207">
        <f>SUMIFS('сентябрь 2023'!$G$4:$G$1053,'сентябрь 2023'!$D$4:$D$1053,$B73,'сентябрь 2023'!$J$4:$J$1053,AB$1)</f>
        <v>0</v>
      </c>
      <c r="AC73" s="207">
        <f>SUMIFS('сентябрь 2023'!$G$4:$G$1053,'сентябрь 2023'!$D$4:$D$1053,$B73,'сентябрь 2023'!$J$4:$J$1053,AC$1)</f>
        <v>0</v>
      </c>
      <c r="AD73" s="207">
        <f>SUMIFS('сентябрь 2023'!$G$4:$G$1053,'сентябрь 2023'!$D$4:$D$1053,$B73,'сентябрь 2023'!$J$4:$J$1053,AD$1)</f>
        <v>0</v>
      </c>
      <c r="AE73" s="207">
        <f>SUMIFS('сентябрь 2023'!$G$4:$G$1053,'сентябрь 2023'!$D$4:$D$1053,$B73,'сентябрь 2023'!$J$4:$J$1053,AE$1)</f>
        <v>0</v>
      </c>
      <c r="AF73" s="207">
        <f>SUMIFS('сентябрь 2023'!$G$4:$G$1053,'сентябрь 2023'!$D$4:$D$1053,$B73,'сентябрь 2023'!$J$4:$J$1053,AF$1)</f>
        <v>0</v>
      </c>
      <c r="AG73" s="207">
        <f>SUMIFS('сентябрь 2023'!$G$4:$G$1053,'сентябрь 2023'!$D$4:$D$1053,$B73,'сентябрь 2023'!$J$4:$J$1053,AG$1)</f>
        <v>0</v>
      </c>
      <c r="AH73" s="207">
        <f>SUMIFS('сентябрь 2023'!$G$4:$G$1053,'сентябрь 2023'!$D$4:$D$1053,$B73,'сентябрь 2023'!$J$4:$J$1053,AH$1)</f>
        <v>0</v>
      </c>
      <c r="AI73" s="170">
        <f t="shared" si="3"/>
        <v>0</v>
      </c>
    </row>
    <row r="74" spans="2:35" ht="15" customHeight="1" x14ac:dyDescent="0.25">
      <c r="B74" s="212" t="s">
        <v>634</v>
      </c>
      <c r="C74" s="211">
        <v>200</v>
      </c>
      <c r="D74" s="207">
        <f>SUMIFS('сентябрь 2023'!$G$4:$G$1053,'сентябрь 2023'!$D$4:$D$1053,$B74,'сентябрь 2023'!$J$4:$J$1053,D$1)</f>
        <v>88</v>
      </c>
      <c r="E74" s="207">
        <f>SUMIFS('сентябрь 2023'!$G$4:$G$1053,'сентябрь 2023'!$D$4:$D$1053,$B74,'сентябрь 2023'!$J$4:$J$1053,E$1)</f>
        <v>0</v>
      </c>
      <c r="F74" s="207">
        <f>SUMIFS('сентябрь 2023'!$G$4:$G$1053,'сентябрь 2023'!$D$4:$D$1053,$B74,'сентябрь 2023'!$J$4:$J$1053,F$1)</f>
        <v>0</v>
      </c>
      <c r="G74" s="207">
        <f>SUMIFS('сентябрь 2023'!$G$4:$G$1053,'сентябрь 2023'!$D$4:$D$1053,$B74,'сентябрь 2023'!$J$4:$J$1053,G$1)</f>
        <v>0</v>
      </c>
      <c r="H74" s="207">
        <f>SUMIFS('сентябрь 2023'!$G$4:$G$1053,'сентябрь 2023'!$D$4:$D$1053,$B74,'сентябрь 2023'!$J$4:$J$1053,H$1)</f>
        <v>0</v>
      </c>
      <c r="I74" s="207">
        <f>SUMIFS('сентябрь 2023'!$G$4:$G$1053,'сентябрь 2023'!$D$4:$D$1053,$B74,'сентябрь 2023'!$J$4:$J$1053,I$1)</f>
        <v>0</v>
      </c>
      <c r="J74" s="207">
        <f>SUMIFS('сентябрь 2023'!$G$4:$G$1053,'сентябрь 2023'!$D$4:$D$1053,$B74,'сентябрь 2023'!$J$4:$J$1053,J$1)</f>
        <v>0</v>
      </c>
      <c r="K74" s="207">
        <f>SUMIFS('сентябрь 2023'!$G$4:$G$1053,'сентябрь 2023'!$D$4:$D$1053,$B74,'сентябрь 2023'!$J$4:$J$1053,K$1)</f>
        <v>0</v>
      </c>
      <c r="L74" s="207">
        <f>SUMIFS('сентябрь 2023'!$G$4:$G$1053,'сентябрь 2023'!$D$4:$D$1053,$B74,'сентябрь 2023'!$J$4:$J$1053,L$1)</f>
        <v>0</v>
      </c>
      <c r="M74" s="207">
        <f>SUMIFS('сентябрь 2023'!$G$4:$G$1053,'сентябрь 2023'!$D$4:$D$1053,$B74,'сентябрь 2023'!$J$4:$J$1053,M$1)</f>
        <v>0</v>
      </c>
      <c r="N74" s="207">
        <f>SUMIFS('сентябрь 2023'!$G$4:$G$1053,'сентябрь 2023'!$D$4:$D$1053,$B74,'сентябрь 2023'!$J$4:$J$1053,N$1)</f>
        <v>0</v>
      </c>
      <c r="O74" s="207">
        <f>SUMIFS('сентябрь 2023'!$G$4:$G$1053,'сентябрь 2023'!$D$4:$D$1053,$B74,'сентябрь 2023'!$J$4:$J$1053,O$1)</f>
        <v>0</v>
      </c>
      <c r="P74" s="207">
        <f>SUMIFS('сентябрь 2023'!$G$4:$G$1053,'сентябрь 2023'!$D$4:$D$1053,$B74,'сентябрь 2023'!$J$4:$J$1053,P$1)</f>
        <v>0</v>
      </c>
      <c r="Q74" s="207">
        <f>SUMIFS('сентябрь 2023'!$G$4:$G$1053,'сентябрь 2023'!$D$4:$D$1053,$B74,'сентябрь 2023'!$J$4:$J$1053,Q$1)</f>
        <v>0</v>
      </c>
      <c r="R74" s="207">
        <f>SUMIFS('сентябрь 2023'!$G$4:$G$1053,'сентябрь 2023'!$D$4:$D$1053,$B74,'сентябрь 2023'!$J$4:$J$1053,R$1)</f>
        <v>0</v>
      </c>
      <c r="S74" s="207">
        <f>SUMIFS('сентябрь 2023'!$G$4:$G$1053,'сентябрь 2023'!$D$4:$D$1053,$B74,'сентябрь 2023'!$J$4:$J$1053,S$1)</f>
        <v>0</v>
      </c>
      <c r="T74" s="207">
        <f>SUMIFS('сентябрь 2023'!$G$4:$G$1053,'сентябрь 2023'!$D$4:$D$1053,$B74,'сентябрь 2023'!$J$4:$J$1053,T$1)</f>
        <v>0</v>
      </c>
      <c r="U74" s="207">
        <f>SUMIFS('сентябрь 2023'!$G$4:$G$1053,'сентябрь 2023'!$D$4:$D$1053,$B74,'сентябрь 2023'!$J$4:$J$1053,U$1)</f>
        <v>0</v>
      </c>
      <c r="V74" s="207">
        <f>SUMIFS('сентябрь 2023'!$G$4:$G$1053,'сентябрь 2023'!$D$4:$D$1053,$B74,'сентябрь 2023'!$J$4:$J$1053,V$1)</f>
        <v>0</v>
      </c>
      <c r="W74" s="207">
        <f>SUMIFS('сентябрь 2023'!$G$4:$G$1053,'сентябрь 2023'!$D$4:$D$1053,$B74,'сентябрь 2023'!$J$4:$J$1053,W$1)</f>
        <v>0</v>
      </c>
      <c r="X74" s="207">
        <f>SUMIFS('сентябрь 2023'!$G$4:$G$1053,'сентябрь 2023'!$D$4:$D$1053,$B74,'сентябрь 2023'!$J$4:$J$1053,X$1)</f>
        <v>0</v>
      </c>
      <c r="Y74" s="207">
        <f>SUMIFS('сентябрь 2023'!$G$4:$G$1053,'сентябрь 2023'!$D$4:$D$1053,$B74,'сентябрь 2023'!$J$4:$J$1053,Y$1)</f>
        <v>0</v>
      </c>
      <c r="Z74" s="207">
        <f>SUMIFS('сентябрь 2023'!$G$4:$G$1053,'сентябрь 2023'!$D$4:$D$1053,$B74,'сентябрь 2023'!$J$4:$J$1053,Z$1)</f>
        <v>0</v>
      </c>
      <c r="AA74" s="207">
        <f>SUMIFS('сентябрь 2023'!$G$4:$G$1053,'сентябрь 2023'!$D$4:$D$1053,$B74,'сентябрь 2023'!$J$4:$J$1053,AA$1)</f>
        <v>0</v>
      </c>
      <c r="AB74" s="207">
        <f>SUMIFS('сентябрь 2023'!$G$4:$G$1053,'сентябрь 2023'!$D$4:$D$1053,$B74,'сентябрь 2023'!$J$4:$J$1053,AB$1)</f>
        <v>0</v>
      </c>
      <c r="AC74" s="207">
        <f>SUMIFS('сентябрь 2023'!$G$4:$G$1053,'сентябрь 2023'!$D$4:$D$1053,$B74,'сентябрь 2023'!$J$4:$J$1053,AC$1)</f>
        <v>0</v>
      </c>
      <c r="AD74" s="207">
        <f>SUMIFS('сентябрь 2023'!$G$4:$G$1053,'сентябрь 2023'!$D$4:$D$1053,$B74,'сентябрь 2023'!$J$4:$J$1053,AD$1)</f>
        <v>0</v>
      </c>
      <c r="AE74" s="207">
        <f>SUMIFS('сентябрь 2023'!$G$4:$G$1053,'сентябрь 2023'!$D$4:$D$1053,$B74,'сентябрь 2023'!$J$4:$J$1053,AE$1)</f>
        <v>0</v>
      </c>
      <c r="AF74" s="207">
        <f>SUMIFS('сентябрь 2023'!$G$4:$G$1053,'сентябрь 2023'!$D$4:$D$1053,$B74,'сентябрь 2023'!$J$4:$J$1053,AF$1)</f>
        <v>0</v>
      </c>
      <c r="AG74" s="207">
        <f>SUMIFS('сентябрь 2023'!$G$4:$G$1053,'сентябрь 2023'!$D$4:$D$1053,$B74,'сентябрь 2023'!$J$4:$J$1053,AG$1)</f>
        <v>0</v>
      </c>
      <c r="AH74" s="207">
        <f>SUMIFS('сентябрь 2023'!$G$4:$G$1053,'сентябрь 2023'!$D$4:$D$1053,$B74,'сентябрь 2023'!$J$4:$J$1053,AH$1)</f>
        <v>0</v>
      </c>
      <c r="AI74" s="170">
        <f t="shared" si="3"/>
        <v>88</v>
      </c>
    </row>
    <row r="75" spans="2:35" ht="15" customHeight="1" x14ac:dyDescent="0.25">
      <c r="B75" s="216" t="s">
        <v>498</v>
      </c>
      <c r="C75" s="213">
        <v>185</v>
      </c>
      <c r="D75" s="207">
        <f>SUMIFS('сентябрь 2023'!$G$4:$G$1053,'сентябрь 2023'!$D$4:$D$1053,$B75,'сентябрь 2023'!$J$4:$J$1053,D$1)</f>
        <v>0</v>
      </c>
      <c r="E75" s="207">
        <f>SUMIFS('сентябрь 2023'!$G$4:$G$1053,'сентябрь 2023'!$D$4:$D$1053,$B75,'сентябрь 2023'!$J$4:$J$1053,E$1)</f>
        <v>0</v>
      </c>
      <c r="F75" s="207">
        <f>SUMIFS('сентябрь 2023'!$G$4:$G$1053,'сентябрь 2023'!$D$4:$D$1053,$B75,'сентябрь 2023'!$J$4:$J$1053,F$1)</f>
        <v>0</v>
      </c>
      <c r="G75" s="207">
        <f>SUMIFS('сентябрь 2023'!$G$4:$G$1053,'сентябрь 2023'!$D$4:$D$1053,$B75,'сентябрь 2023'!$J$4:$J$1053,G$1)</f>
        <v>0</v>
      </c>
      <c r="H75" s="207">
        <f>SUMIFS('сентябрь 2023'!$G$4:$G$1053,'сентябрь 2023'!$D$4:$D$1053,$B75,'сентябрь 2023'!$J$4:$J$1053,H$1)</f>
        <v>0</v>
      </c>
      <c r="I75" s="207">
        <f>SUMIFS('сентябрь 2023'!$G$4:$G$1053,'сентябрь 2023'!$D$4:$D$1053,$B75,'сентябрь 2023'!$J$4:$J$1053,I$1)</f>
        <v>0</v>
      </c>
      <c r="J75" s="207">
        <f>SUMIFS('сентябрь 2023'!$G$4:$G$1053,'сентябрь 2023'!$D$4:$D$1053,$B75,'сентябрь 2023'!$J$4:$J$1053,J$1)</f>
        <v>0</v>
      </c>
      <c r="K75" s="207">
        <f>SUMIFS('сентябрь 2023'!$G$4:$G$1053,'сентябрь 2023'!$D$4:$D$1053,$B75,'сентябрь 2023'!$J$4:$J$1053,K$1)</f>
        <v>0</v>
      </c>
      <c r="L75" s="207">
        <f>SUMIFS('сентябрь 2023'!$G$4:$G$1053,'сентябрь 2023'!$D$4:$D$1053,$B75,'сентябрь 2023'!$J$4:$J$1053,L$1)</f>
        <v>0</v>
      </c>
      <c r="M75" s="207">
        <f>SUMIFS('сентябрь 2023'!$G$4:$G$1053,'сентябрь 2023'!$D$4:$D$1053,$B75,'сентябрь 2023'!$J$4:$J$1053,M$1)</f>
        <v>0</v>
      </c>
      <c r="N75" s="207">
        <f>SUMIFS('сентябрь 2023'!$G$4:$G$1053,'сентябрь 2023'!$D$4:$D$1053,$B75,'сентябрь 2023'!$J$4:$J$1053,N$1)</f>
        <v>0</v>
      </c>
      <c r="O75" s="207">
        <f>SUMIFS('сентябрь 2023'!$G$4:$G$1053,'сентябрь 2023'!$D$4:$D$1053,$B75,'сентябрь 2023'!$J$4:$J$1053,O$1)</f>
        <v>0</v>
      </c>
      <c r="P75" s="207">
        <f>SUMIFS('сентябрь 2023'!$G$4:$G$1053,'сентябрь 2023'!$D$4:$D$1053,$B75,'сентябрь 2023'!$J$4:$J$1053,P$1)</f>
        <v>0</v>
      </c>
      <c r="Q75" s="207">
        <f>SUMIFS('сентябрь 2023'!$G$4:$G$1053,'сентябрь 2023'!$D$4:$D$1053,$B75,'сентябрь 2023'!$J$4:$J$1053,Q$1)</f>
        <v>0</v>
      </c>
      <c r="R75" s="207">
        <f>SUMIFS('сентябрь 2023'!$G$4:$G$1053,'сентябрь 2023'!$D$4:$D$1053,$B75,'сентябрь 2023'!$J$4:$J$1053,R$1)</f>
        <v>0</v>
      </c>
      <c r="S75" s="207">
        <f>SUMIFS('сентябрь 2023'!$G$4:$G$1053,'сентябрь 2023'!$D$4:$D$1053,$B75,'сентябрь 2023'!$J$4:$J$1053,S$1)</f>
        <v>0</v>
      </c>
      <c r="T75" s="207">
        <f>SUMIFS('сентябрь 2023'!$G$4:$G$1053,'сентябрь 2023'!$D$4:$D$1053,$B75,'сентябрь 2023'!$J$4:$J$1053,T$1)</f>
        <v>0</v>
      </c>
      <c r="U75" s="207">
        <f>SUMIFS('сентябрь 2023'!$G$4:$G$1053,'сентябрь 2023'!$D$4:$D$1053,$B75,'сентябрь 2023'!$J$4:$J$1053,U$1)</f>
        <v>0</v>
      </c>
      <c r="V75" s="207">
        <f>SUMIFS('сентябрь 2023'!$G$4:$G$1053,'сентябрь 2023'!$D$4:$D$1053,$B75,'сентябрь 2023'!$J$4:$J$1053,V$1)</f>
        <v>0</v>
      </c>
      <c r="W75" s="207">
        <f>SUMIFS('сентябрь 2023'!$G$4:$G$1053,'сентябрь 2023'!$D$4:$D$1053,$B75,'сентябрь 2023'!$J$4:$J$1053,W$1)</f>
        <v>0</v>
      </c>
      <c r="X75" s="207">
        <f>SUMIFS('сентябрь 2023'!$G$4:$G$1053,'сентябрь 2023'!$D$4:$D$1053,$B75,'сентябрь 2023'!$J$4:$J$1053,X$1)</f>
        <v>0</v>
      </c>
      <c r="Y75" s="207">
        <f>SUMIFS('сентябрь 2023'!$G$4:$G$1053,'сентябрь 2023'!$D$4:$D$1053,$B75,'сентябрь 2023'!$J$4:$J$1053,Y$1)</f>
        <v>0</v>
      </c>
      <c r="Z75" s="207">
        <f>SUMIFS('сентябрь 2023'!$G$4:$G$1053,'сентябрь 2023'!$D$4:$D$1053,$B75,'сентябрь 2023'!$J$4:$J$1053,Z$1)</f>
        <v>0</v>
      </c>
      <c r="AA75" s="207">
        <f>SUMIFS('сентябрь 2023'!$G$4:$G$1053,'сентябрь 2023'!$D$4:$D$1053,$B75,'сентябрь 2023'!$J$4:$J$1053,AA$1)</f>
        <v>0</v>
      </c>
      <c r="AB75" s="207">
        <f>SUMIFS('сентябрь 2023'!$G$4:$G$1053,'сентябрь 2023'!$D$4:$D$1053,$B75,'сентябрь 2023'!$J$4:$J$1053,AB$1)</f>
        <v>0</v>
      </c>
      <c r="AC75" s="207">
        <f>SUMIFS('сентябрь 2023'!$G$4:$G$1053,'сентябрь 2023'!$D$4:$D$1053,$B75,'сентябрь 2023'!$J$4:$J$1053,AC$1)</f>
        <v>0</v>
      </c>
      <c r="AD75" s="207">
        <f>SUMIFS('сентябрь 2023'!$G$4:$G$1053,'сентябрь 2023'!$D$4:$D$1053,$B75,'сентябрь 2023'!$J$4:$J$1053,AD$1)</f>
        <v>0</v>
      </c>
      <c r="AE75" s="207">
        <f>SUMIFS('сентябрь 2023'!$G$4:$G$1053,'сентябрь 2023'!$D$4:$D$1053,$B75,'сентябрь 2023'!$J$4:$J$1053,AE$1)</f>
        <v>0</v>
      </c>
      <c r="AF75" s="207">
        <f>SUMIFS('сентябрь 2023'!$G$4:$G$1053,'сентябрь 2023'!$D$4:$D$1053,$B75,'сентябрь 2023'!$J$4:$J$1053,AF$1)</f>
        <v>0</v>
      </c>
      <c r="AG75" s="207">
        <f>SUMIFS('сентябрь 2023'!$G$4:$G$1053,'сентябрь 2023'!$D$4:$D$1053,$B75,'сентябрь 2023'!$J$4:$J$1053,AG$1)</f>
        <v>0</v>
      </c>
      <c r="AH75" s="207">
        <f>SUMIFS('сентябрь 2023'!$G$4:$G$1053,'сентябрь 2023'!$D$4:$D$1053,$B75,'сентябрь 2023'!$J$4:$J$1053,AH$1)</f>
        <v>0</v>
      </c>
      <c r="AI75" s="170">
        <f t="shared" si="3"/>
        <v>0</v>
      </c>
    </row>
    <row r="76" spans="2:35" ht="15" customHeight="1" x14ac:dyDescent="0.25">
      <c r="B76" s="216" t="s">
        <v>155</v>
      </c>
      <c r="C76" s="213">
        <v>185</v>
      </c>
      <c r="D76" s="207">
        <f>SUMIFS('сентябрь 2023'!$G$4:$G$1053,'сентябрь 2023'!$D$4:$D$1053,$B76,'сентябрь 2023'!$J$4:$J$1053,D$1)</f>
        <v>0</v>
      </c>
      <c r="E76" s="207">
        <f>SUMIFS('сентябрь 2023'!$G$4:$G$1053,'сентябрь 2023'!$D$4:$D$1053,$B76,'сентябрь 2023'!$J$4:$J$1053,E$1)</f>
        <v>0</v>
      </c>
      <c r="F76" s="207">
        <f>SUMIFS('сентябрь 2023'!$G$4:$G$1053,'сентябрь 2023'!$D$4:$D$1053,$B76,'сентябрь 2023'!$J$4:$J$1053,F$1)</f>
        <v>0</v>
      </c>
      <c r="G76" s="207">
        <f>SUMIFS('сентябрь 2023'!$G$4:$G$1053,'сентябрь 2023'!$D$4:$D$1053,$B76,'сентябрь 2023'!$J$4:$J$1053,G$1)</f>
        <v>0</v>
      </c>
      <c r="H76" s="207">
        <f>SUMIFS('сентябрь 2023'!$G$4:$G$1053,'сентябрь 2023'!$D$4:$D$1053,$B76,'сентябрь 2023'!$J$4:$J$1053,H$1)</f>
        <v>0</v>
      </c>
      <c r="I76" s="207">
        <f>SUMIFS('сентябрь 2023'!$G$4:$G$1053,'сентябрь 2023'!$D$4:$D$1053,$B76,'сентябрь 2023'!$J$4:$J$1053,I$1)</f>
        <v>0</v>
      </c>
      <c r="J76" s="207">
        <f>SUMIFS('сентябрь 2023'!$G$4:$G$1053,'сентябрь 2023'!$D$4:$D$1053,$B76,'сентябрь 2023'!$J$4:$J$1053,J$1)</f>
        <v>0</v>
      </c>
      <c r="K76" s="207">
        <f>SUMIFS('сентябрь 2023'!$G$4:$G$1053,'сентябрь 2023'!$D$4:$D$1053,$B76,'сентябрь 2023'!$J$4:$J$1053,K$1)</f>
        <v>0</v>
      </c>
      <c r="L76" s="207">
        <f>SUMIFS('сентябрь 2023'!$G$4:$G$1053,'сентябрь 2023'!$D$4:$D$1053,$B76,'сентябрь 2023'!$J$4:$J$1053,L$1)</f>
        <v>0</v>
      </c>
      <c r="M76" s="207">
        <f>SUMIFS('сентябрь 2023'!$G$4:$G$1053,'сентябрь 2023'!$D$4:$D$1053,$B76,'сентябрь 2023'!$J$4:$J$1053,M$1)</f>
        <v>0</v>
      </c>
      <c r="N76" s="207">
        <f>SUMIFS('сентябрь 2023'!$G$4:$G$1053,'сентябрь 2023'!$D$4:$D$1053,$B76,'сентябрь 2023'!$J$4:$J$1053,N$1)</f>
        <v>0</v>
      </c>
      <c r="O76" s="207">
        <f>SUMIFS('сентябрь 2023'!$G$4:$G$1053,'сентябрь 2023'!$D$4:$D$1053,$B76,'сентябрь 2023'!$J$4:$J$1053,O$1)</f>
        <v>0</v>
      </c>
      <c r="P76" s="207">
        <f>SUMIFS('сентябрь 2023'!$G$4:$G$1053,'сентябрь 2023'!$D$4:$D$1053,$B76,'сентябрь 2023'!$J$4:$J$1053,P$1)</f>
        <v>0</v>
      </c>
      <c r="Q76" s="207">
        <f>SUMIFS('сентябрь 2023'!$G$4:$G$1053,'сентябрь 2023'!$D$4:$D$1053,$B76,'сентябрь 2023'!$J$4:$J$1053,Q$1)</f>
        <v>0</v>
      </c>
      <c r="R76" s="207">
        <f>SUMIFS('сентябрь 2023'!$G$4:$G$1053,'сентябрь 2023'!$D$4:$D$1053,$B76,'сентябрь 2023'!$J$4:$J$1053,R$1)</f>
        <v>0</v>
      </c>
      <c r="S76" s="207">
        <f>SUMIFS('сентябрь 2023'!$G$4:$G$1053,'сентябрь 2023'!$D$4:$D$1053,$B76,'сентябрь 2023'!$J$4:$J$1053,S$1)</f>
        <v>0</v>
      </c>
      <c r="T76" s="207">
        <f>SUMIFS('сентябрь 2023'!$G$4:$G$1053,'сентябрь 2023'!$D$4:$D$1053,$B76,'сентябрь 2023'!$J$4:$J$1053,T$1)</f>
        <v>0</v>
      </c>
      <c r="U76" s="207">
        <f>SUMIFS('сентябрь 2023'!$G$4:$G$1053,'сентябрь 2023'!$D$4:$D$1053,$B76,'сентябрь 2023'!$J$4:$J$1053,U$1)</f>
        <v>0</v>
      </c>
      <c r="V76" s="207">
        <f>SUMIFS('сентябрь 2023'!$G$4:$G$1053,'сентябрь 2023'!$D$4:$D$1053,$B76,'сентябрь 2023'!$J$4:$J$1053,V$1)</f>
        <v>0</v>
      </c>
      <c r="W76" s="207">
        <f>SUMIFS('сентябрь 2023'!$G$4:$G$1053,'сентябрь 2023'!$D$4:$D$1053,$B76,'сентябрь 2023'!$J$4:$J$1053,W$1)</f>
        <v>0</v>
      </c>
      <c r="X76" s="207">
        <f>SUMIFS('сентябрь 2023'!$G$4:$G$1053,'сентябрь 2023'!$D$4:$D$1053,$B76,'сентябрь 2023'!$J$4:$J$1053,X$1)</f>
        <v>0</v>
      </c>
      <c r="Y76" s="207">
        <f>SUMIFS('сентябрь 2023'!$G$4:$G$1053,'сентябрь 2023'!$D$4:$D$1053,$B76,'сентябрь 2023'!$J$4:$J$1053,Y$1)</f>
        <v>0</v>
      </c>
      <c r="Z76" s="207">
        <f>SUMIFS('сентябрь 2023'!$G$4:$G$1053,'сентябрь 2023'!$D$4:$D$1053,$B76,'сентябрь 2023'!$J$4:$J$1053,Z$1)</f>
        <v>0</v>
      </c>
      <c r="AA76" s="207">
        <f>SUMIFS('сентябрь 2023'!$G$4:$G$1053,'сентябрь 2023'!$D$4:$D$1053,$B76,'сентябрь 2023'!$J$4:$J$1053,AA$1)</f>
        <v>0</v>
      </c>
      <c r="AB76" s="207">
        <f>SUMIFS('сентябрь 2023'!$G$4:$G$1053,'сентябрь 2023'!$D$4:$D$1053,$B76,'сентябрь 2023'!$J$4:$J$1053,AB$1)</f>
        <v>0</v>
      </c>
      <c r="AC76" s="207">
        <f>SUMIFS('сентябрь 2023'!$G$4:$G$1053,'сентябрь 2023'!$D$4:$D$1053,$B76,'сентябрь 2023'!$J$4:$J$1053,AC$1)</f>
        <v>0</v>
      </c>
      <c r="AD76" s="207">
        <f>SUMIFS('сентябрь 2023'!$G$4:$G$1053,'сентябрь 2023'!$D$4:$D$1053,$B76,'сентябрь 2023'!$J$4:$J$1053,AD$1)</f>
        <v>0</v>
      </c>
      <c r="AE76" s="207">
        <f>SUMIFS('сентябрь 2023'!$G$4:$G$1053,'сентябрь 2023'!$D$4:$D$1053,$B76,'сентябрь 2023'!$J$4:$J$1053,AE$1)</f>
        <v>0</v>
      </c>
      <c r="AF76" s="207">
        <f>SUMIFS('сентябрь 2023'!$G$4:$G$1053,'сентябрь 2023'!$D$4:$D$1053,$B76,'сентябрь 2023'!$J$4:$J$1053,AF$1)</f>
        <v>0</v>
      </c>
      <c r="AG76" s="207">
        <f>SUMIFS('сентябрь 2023'!$G$4:$G$1053,'сентябрь 2023'!$D$4:$D$1053,$B76,'сентябрь 2023'!$J$4:$J$1053,AG$1)</f>
        <v>0</v>
      </c>
      <c r="AH76" s="207">
        <f>SUMIFS('сентябрь 2023'!$G$4:$G$1053,'сентябрь 2023'!$D$4:$D$1053,$B76,'сентябрь 2023'!$J$4:$J$1053,AH$1)</f>
        <v>0</v>
      </c>
      <c r="AI76" s="170">
        <f t="shared" si="3"/>
        <v>0</v>
      </c>
    </row>
    <row r="77" spans="2:35" ht="15" customHeight="1" x14ac:dyDescent="0.25">
      <c r="B77" s="216" t="s">
        <v>2180</v>
      </c>
      <c r="C77" s="213">
        <v>180</v>
      </c>
      <c r="D77" s="207">
        <f>SUMIFS('сентябрь 2023'!$G$4:$G$1053,'сентябрь 2023'!$D$4:$D$1053,$B77,'сентябрь 2023'!$J$4:$J$1053,D$1)</f>
        <v>0</v>
      </c>
      <c r="E77" s="207">
        <f>SUMIFS('сентябрь 2023'!$G$4:$G$1053,'сентябрь 2023'!$D$4:$D$1053,$B77,'сентябрь 2023'!$J$4:$J$1053,E$1)</f>
        <v>0</v>
      </c>
      <c r="F77" s="207">
        <f>SUMIFS('сентябрь 2023'!$G$4:$G$1053,'сентябрь 2023'!$D$4:$D$1053,$B77,'сентябрь 2023'!$J$4:$J$1053,F$1)</f>
        <v>0</v>
      </c>
      <c r="G77" s="207">
        <f>SUMIFS('сентябрь 2023'!$G$4:$G$1053,'сентябрь 2023'!$D$4:$D$1053,$B77,'сентябрь 2023'!$J$4:$J$1053,G$1)</f>
        <v>0</v>
      </c>
      <c r="H77" s="207">
        <f>SUMIFS('сентябрь 2023'!$G$4:$G$1053,'сентябрь 2023'!$D$4:$D$1053,$B77,'сентябрь 2023'!$J$4:$J$1053,H$1)</f>
        <v>0</v>
      </c>
      <c r="I77" s="207">
        <f>SUMIFS('сентябрь 2023'!$G$4:$G$1053,'сентябрь 2023'!$D$4:$D$1053,$B77,'сентябрь 2023'!$J$4:$J$1053,I$1)</f>
        <v>0</v>
      </c>
      <c r="J77" s="207">
        <f>SUMIFS('сентябрь 2023'!$G$4:$G$1053,'сентябрь 2023'!$D$4:$D$1053,$B77,'сентябрь 2023'!$J$4:$J$1053,J$1)</f>
        <v>0</v>
      </c>
      <c r="K77" s="207">
        <f>SUMIFS('сентябрь 2023'!$G$4:$G$1053,'сентябрь 2023'!$D$4:$D$1053,$B77,'сентябрь 2023'!$J$4:$J$1053,K$1)</f>
        <v>0</v>
      </c>
      <c r="L77" s="207">
        <f>SUMIFS('сентябрь 2023'!$G$4:$G$1053,'сентябрь 2023'!$D$4:$D$1053,$B77,'сентябрь 2023'!$J$4:$J$1053,L$1)</f>
        <v>0</v>
      </c>
      <c r="M77" s="207">
        <f>SUMIFS('сентябрь 2023'!$G$4:$G$1053,'сентябрь 2023'!$D$4:$D$1053,$B77,'сентябрь 2023'!$J$4:$J$1053,M$1)</f>
        <v>0</v>
      </c>
      <c r="N77" s="207">
        <f>SUMIFS('сентябрь 2023'!$G$4:$G$1053,'сентябрь 2023'!$D$4:$D$1053,$B77,'сентябрь 2023'!$J$4:$J$1053,N$1)</f>
        <v>0</v>
      </c>
      <c r="O77" s="207">
        <f>SUMIFS('сентябрь 2023'!$G$4:$G$1053,'сентябрь 2023'!$D$4:$D$1053,$B77,'сентябрь 2023'!$J$4:$J$1053,O$1)</f>
        <v>0</v>
      </c>
      <c r="P77" s="207">
        <f>SUMIFS('сентябрь 2023'!$G$4:$G$1053,'сентябрь 2023'!$D$4:$D$1053,$B77,'сентябрь 2023'!$J$4:$J$1053,P$1)</f>
        <v>0</v>
      </c>
      <c r="Q77" s="207">
        <f>SUMIFS('сентябрь 2023'!$G$4:$G$1053,'сентябрь 2023'!$D$4:$D$1053,$B77,'сентябрь 2023'!$J$4:$J$1053,Q$1)</f>
        <v>0</v>
      </c>
      <c r="R77" s="207">
        <f>SUMIFS('сентябрь 2023'!$G$4:$G$1053,'сентябрь 2023'!$D$4:$D$1053,$B77,'сентябрь 2023'!$J$4:$J$1053,R$1)</f>
        <v>0</v>
      </c>
      <c r="S77" s="207">
        <f>SUMIFS('сентябрь 2023'!$G$4:$G$1053,'сентябрь 2023'!$D$4:$D$1053,$B77,'сентябрь 2023'!$J$4:$J$1053,S$1)</f>
        <v>0</v>
      </c>
      <c r="T77" s="207">
        <f>SUMIFS('сентябрь 2023'!$G$4:$G$1053,'сентябрь 2023'!$D$4:$D$1053,$B77,'сентябрь 2023'!$J$4:$J$1053,T$1)</f>
        <v>0</v>
      </c>
      <c r="U77" s="207">
        <f>SUMIFS('сентябрь 2023'!$G$4:$G$1053,'сентябрь 2023'!$D$4:$D$1053,$B77,'сентябрь 2023'!$J$4:$J$1053,U$1)</f>
        <v>0</v>
      </c>
      <c r="V77" s="207">
        <f>SUMIFS('сентябрь 2023'!$G$4:$G$1053,'сентябрь 2023'!$D$4:$D$1053,$B77,'сентябрь 2023'!$J$4:$J$1053,V$1)</f>
        <v>0</v>
      </c>
      <c r="W77" s="207">
        <f>SUMIFS('сентябрь 2023'!$G$4:$G$1053,'сентябрь 2023'!$D$4:$D$1053,$B77,'сентябрь 2023'!$J$4:$J$1053,W$1)</f>
        <v>0</v>
      </c>
      <c r="X77" s="207">
        <f>SUMIFS('сентябрь 2023'!$G$4:$G$1053,'сентябрь 2023'!$D$4:$D$1053,$B77,'сентябрь 2023'!$J$4:$J$1053,X$1)</f>
        <v>0</v>
      </c>
      <c r="Y77" s="207">
        <f>SUMIFS('сентябрь 2023'!$G$4:$G$1053,'сентябрь 2023'!$D$4:$D$1053,$B77,'сентябрь 2023'!$J$4:$J$1053,Y$1)</f>
        <v>0</v>
      </c>
      <c r="Z77" s="207">
        <f>SUMIFS('сентябрь 2023'!$G$4:$G$1053,'сентябрь 2023'!$D$4:$D$1053,$B77,'сентябрь 2023'!$J$4:$J$1053,Z$1)</f>
        <v>0</v>
      </c>
      <c r="AA77" s="207">
        <f>SUMIFS('сентябрь 2023'!$G$4:$G$1053,'сентябрь 2023'!$D$4:$D$1053,$B77,'сентябрь 2023'!$J$4:$J$1053,AA$1)</f>
        <v>0</v>
      </c>
      <c r="AB77" s="207">
        <f>SUMIFS('сентябрь 2023'!$G$4:$G$1053,'сентябрь 2023'!$D$4:$D$1053,$B77,'сентябрь 2023'!$J$4:$J$1053,AB$1)</f>
        <v>0</v>
      </c>
      <c r="AC77" s="207">
        <f>SUMIFS('сентябрь 2023'!$G$4:$G$1053,'сентябрь 2023'!$D$4:$D$1053,$B77,'сентябрь 2023'!$J$4:$J$1053,AC$1)</f>
        <v>0</v>
      </c>
      <c r="AD77" s="207">
        <f>SUMIFS('сентябрь 2023'!$G$4:$G$1053,'сентябрь 2023'!$D$4:$D$1053,$B77,'сентябрь 2023'!$J$4:$J$1053,AD$1)</f>
        <v>0</v>
      </c>
      <c r="AE77" s="207">
        <f>SUMIFS('сентябрь 2023'!$G$4:$G$1053,'сентябрь 2023'!$D$4:$D$1053,$B77,'сентябрь 2023'!$J$4:$J$1053,AE$1)</f>
        <v>0</v>
      </c>
      <c r="AF77" s="207">
        <f>SUMIFS('сентябрь 2023'!$G$4:$G$1053,'сентябрь 2023'!$D$4:$D$1053,$B77,'сентябрь 2023'!$J$4:$J$1053,AF$1)</f>
        <v>0</v>
      </c>
      <c r="AG77" s="207">
        <f>SUMIFS('сентябрь 2023'!$G$4:$G$1053,'сентябрь 2023'!$D$4:$D$1053,$B77,'сентябрь 2023'!$J$4:$J$1053,AG$1)</f>
        <v>0</v>
      </c>
      <c r="AH77" s="207">
        <f>SUMIFS('сентябрь 2023'!$G$4:$G$1053,'сентябрь 2023'!$D$4:$D$1053,$B77,'сентябрь 2023'!$J$4:$J$1053,AH$1)</f>
        <v>0</v>
      </c>
      <c r="AI77" s="170">
        <f t="shared" si="3"/>
        <v>0</v>
      </c>
    </row>
    <row r="78" spans="2:35" ht="15" customHeight="1" x14ac:dyDescent="0.25">
      <c r="B78" s="212" t="s">
        <v>2183</v>
      </c>
      <c r="C78" s="211">
        <v>180</v>
      </c>
      <c r="D78" s="207">
        <f>SUMIFS('сентябрь 2023'!$G$4:$G$1053,'сентябрь 2023'!$D$4:$D$1053,$B78,'сентябрь 2023'!$J$4:$J$1053,D$1)</f>
        <v>0</v>
      </c>
      <c r="E78" s="207">
        <f>SUMIFS('сентябрь 2023'!$G$4:$G$1053,'сентябрь 2023'!$D$4:$D$1053,$B78,'сентябрь 2023'!$J$4:$J$1053,E$1)</f>
        <v>0</v>
      </c>
      <c r="F78" s="207">
        <f>SUMIFS('сентябрь 2023'!$G$4:$G$1053,'сентябрь 2023'!$D$4:$D$1053,$B78,'сентябрь 2023'!$J$4:$J$1053,F$1)</f>
        <v>0</v>
      </c>
      <c r="G78" s="207">
        <f>SUMIFS('сентябрь 2023'!$G$4:$G$1053,'сентябрь 2023'!$D$4:$D$1053,$B78,'сентябрь 2023'!$J$4:$J$1053,G$1)</f>
        <v>0</v>
      </c>
      <c r="H78" s="207">
        <f>SUMIFS('сентябрь 2023'!$G$4:$G$1053,'сентябрь 2023'!$D$4:$D$1053,$B78,'сентябрь 2023'!$J$4:$J$1053,H$1)</f>
        <v>0</v>
      </c>
      <c r="I78" s="207">
        <f>SUMIFS('сентябрь 2023'!$G$4:$G$1053,'сентябрь 2023'!$D$4:$D$1053,$B78,'сентябрь 2023'!$J$4:$J$1053,I$1)</f>
        <v>0</v>
      </c>
      <c r="J78" s="207">
        <f>SUMIFS('сентябрь 2023'!$G$4:$G$1053,'сентябрь 2023'!$D$4:$D$1053,$B78,'сентябрь 2023'!$J$4:$J$1053,J$1)</f>
        <v>0</v>
      </c>
      <c r="K78" s="207">
        <f>SUMIFS('сентябрь 2023'!$G$4:$G$1053,'сентябрь 2023'!$D$4:$D$1053,$B78,'сентябрь 2023'!$J$4:$J$1053,K$1)</f>
        <v>0</v>
      </c>
      <c r="L78" s="207">
        <f>SUMIFS('сентябрь 2023'!$G$4:$G$1053,'сентябрь 2023'!$D$4:$D$1053,$B78,'сентябрь 2023'!$J$4:$J$1053,L$1)</f>
        <v>0</v>
      </c>
      <c r="M78" s="207">
        <f>SUMIFS('сентябрь 2023'!$G$4:$G$1053,'сентябрь 2023'!$D$4:$D$1053,$B78,'сентябрь 2023'!$J$4:$J$1053,M$1)</f>
        <v>0</v>
      </c>
      <c r="N78" s="207">
        <f>SUMIFS('сентябрь 2023'!$G$4:$G$1053,'сентябрь 2023'!$D$4:$D$1053,$B78,'сентябрь 2023'!$J$4:$J$1053,N$1)</f>
        <v>0</v>
      </c>
      <c r="O78" s="207">
        <f>SUMIFS('сентябрь 2023'!$G$4:$G$1053,'сентябрь 2023'!$D$4:$D$1053,$B78,'сентябрь 2023'!$J$4:$J$1053,O$1)</f>
        <v>0</v>
      </c>
      <c r="P78" s="207">
        <f>SUMIFS('сентябрь 2023'!$G$4:$G$1053,'сентябрь 2023'!$D$4:$D$1053,$B78,'сентябрь 2023'!$J$4:$J$1053,P$1)</f>
        <v>0</v>
      </c>
      <c r="Q78" s="207">
        <f>SUMIFS('сентябрь 2023'!$G$4:$G$1053,'сентябрь 2023'!$D$4:$D$1053,$B78,'сентябрь 2023'!$J$4:$J$1053,Q$1)</f>
        <v>0</v>
      </c>
      <c r="R78" s="207">
        <f>SUMIFS('сентябрь 2023'!$G$4:$G$1053,'сентябрь 2023'!$D$4:$D$1053,$B78,'сентябрь 2023'!$J$4:$J$1053,R$1)</f>
        <v>0</v>
      </c>
      <c r="S78" s="207">
        <f>SUMIFS('сентябрь 2023'!$G$4:$G$1053,'сентябрь 2023'!$D$4:$D$1053,$B78,'сентябрь 2023'!$J$4:$J$1053,S$1)</f>
        <v>0</v>
      </c>
      <c r="T78" s="207">
        <f>SUMIFS('сентябрь 2023'!$G$4:$G$1053,'сентябрь 2023'!$D$4:$D$1053,$B78,'сентябрь 2023'!$J$4:$J$1053,T$1)</f>
        <v>0</v>
      </c>
      <c r="U78" s="207">
        <f>SUMIFS('сентябрь 2023'!$G$4:$G$1053,'сентябрь 2023'!$D$4:$D$1053,$B78,'сентябрь 2023'!$J$4:$J$1053,U$1)</f>
        <v>0</v>
      </c>
      <c r="V78" s="207">
        <f>SUMIFS('сентябрь 2023'!$G$4:$G$1053,'сентябрь 2023'!$D$4:$D$1053,$B78,'сентябрь 2023'!$J$4:$J$1053,V$1)</f>
        <v>0</v>
      </c>
      <c r="W78" s="207">
        <f>SUMIFS('сентябрь 2023'!$G$4:$G$1053,'сентябрь 2023'!$D$4:$D$1053,$B78,'сентябрь 2023'!$J$4:$J$1053,W$1)</f>
        <v>0</v>
      </c>
      <c r="X78" s="207">
        <f>SUMIFS('сентябрь 2023'!$G$4:$G$1053,'сентябрь 2023'!$D$4:$D$1053,$B78,'сентябрь 2023'!$J$4:$J$1053,X$1)</f>
        <v>0</v>
      </c>
      <c r="Y78" s="207">
        <f>SUMIFS('сентябрь 2023'!$G$4:$G$1053,'сентябрь 2023'!$D$4:$D$1053,$B78,'сентябрь 2023'!$J$4:$J$1053,Y$1)</f>
        <v>0</v>
      </c>
      <c r="Z78" s="207">
        <f>SUMIFS('сентябрь 2023'!$G$4:$G$1053,'сентябрь 2023'!$D$4:$D$1053,$B78,'сентябрь 2023'!$J$4:$J$1053,Z$1)</f>
        <v>0</v>
      </c>
      <c r="AA78" s="207">
        <f>SUMIFS('сентябрь 2023'!$G$4:$G$1053,'сентябрь 2023'!$D$4:$D$1053,$B78,'сентябрь 2023'!$J$4:$J$1053,AA$1)</f>
        <v>0</v>
      </c>
      <c r="AB78" s="207">
        <f>SUMIFS('сентябрь 2023'!$G$4:$G$1053,'сентябрь 2023'!$D$4:$D$1053,$B78,'сентябрь 2023'!$J$4:$J$1053,AB$1)</f>
        <v>0</v>
      </c>
      <c r="AC78" s="207">
        <f>SUMIFS('сентябрь 2023'!$G$4:$G$1053,'сентябрь 2023'!$D$4:$D$1053,$B78,'сентябрь 2023'!$J$4:$J$1053,AC$1)</f>
        <v>0</v>
      </c>
      <c r="AD78" s="207">
        <f>SUMIFS('сентябрь 2023'!$G$4:$G$1053,'сентябрь 2023'!$D$4:$D$1053,$B78,'сентябрь 2023'!$J$4:$J$1053,AD$1)</f>
        <v>0</v>
      </c>
      <c r="AE78" s="207">
        <f>SUMIFS('сентябрь 2023'!$G$4:$G$1053,'сентябрь 2023'!$D$4:$D$1053,$B78,'сентябрь 2023'!$J$4:$J$1053,AE$1)</f>
        <v>0</v>
      </c>
      <c r="AF78" s="207">
        <f>SUMIFS('сентябрь 2023'!$G$4:$G$1053,'сентябрь 2023'!$D$4:$D$1053,$B78,'сентябрь 2023'!$J$4:$J$1053,AF$1)</f>
        <v>0</v>
      </c>
      <c r="AG78" s="207">
        <f>SUMIFS('сентябрь 2023'!$G$4:$G$1053,'сентябрь 2023'!$D$4:$D$1053,$B78,'сентябрь 2023'!$J$4:$J$1053,AG$1)</f>
        <v>0</v>
      </c>
      <c r="AH78" s="207">
        <f>SUMIFS('сентябрь 2023'!$G$4:$G$1053,'сентябрь 2023'!$D$4:$D$1053,$B78,'сентябрь 2023'!$J$4:$J$1053,AH$1)</f>
        <v>0</v>
      </c>
      <c r="AI78" s="170">
        <f t="shared" si="3"/>
        <v>0</v>
      </c>
    </row>
    <row r="79" spans="2:35" ht="15" customHeight="1" x14ac:dyDescent="0.25">
      <c r="B79" s="212" t="s">
        <v>561</v>
      </c>
      <c r="C79" s="211">
        <v>200</v>
      </c>
      <c r="D79" s="207">
        <f>SUMIFS('сентябрь 2023'!$G$4:$G$1053,'сентябрь 2023'!$D$4:$D$1053,$B79,'сентябрь 2023'!$J$4:$J$1053,D$1)</f>
        <v>0</v>
      </c>
      <c r="E79" s="207">
        <f>SUMIFS('сентябрь 2023'!$G$4:$G$1053,'сентябрь 2023'!$D$4:$D$1053,$B79,'сентябрь 2023'!$J$4:$J$1053,E$1)</f>
        <v>0</v>
      </c>
      <c r="F79" s="207">
        <f>SUMIFS('сентябрь 2023'!$G$4:$G$1053,'сентябрь 2023'!$D$4:$D$1053,$B79,'сентябрь 2023'!$J$4:$J$1053,F$1)</f>
        <v>0</v>
      </c>
      <c r="G79" s="207">
        <f>SUMIFS('сентябрь 2023'!$G$4:$G$1053,'сентябрь 2023'!$D$4:$D$1053,$B79,'сентябрь 2023'!$J$4:$J$1053,G$1)</f>
        <v>0</v>
      </c>
      <c r="H79" s="207">
        <f>SUMIFS('сентябрь 2023'!$G$4:$G$1053,'сентябрь 2023'!$D$4:$D$1053,$B79,'сентябрь 2023'!$J$4:$J$1053,H$1)</f>
        <v>0</v>
      </c>
      <c r="I79" s="207">
        <f>SUMIFS('сентябрь 2023'!$G$4:$G$1053,'сентябрь 2023'!$D$4:$D$1053,$B79,'сентябрь 2023'!$J$4:$J$1053,I$1)</f>
        <v>0</v>
      </c>
      <c r="J79" s="207">
        <f>SUMIFS('сентябрь 2023'!$G$4:$G$1053,'сентябрь 2023'!$D$4:$D$1053,$B79,'сентябрь 2023'!$J$4:$J$1053,J$1)</f>
        <v>0</v>
      </c>
      <c r="K79" s="207">
        <f>SUMIFS('сентябрь 2023'!$G$4:$G$1053,'сентябрь 2023'!$D$4:$D$1053,$B79,'сентябрь 2023'!$J$4:$J$1053,K$1)</f>
        <v>0</v>
      </c>
      <c r="L79" s="207">
        <f>SUMIFS('сентябрь 2023'!$G$4:$G$1053,'сентябрь 2023'!$D$4:$D$1053,$B79,'сентябрь 2023'!$J$4:$J$1053,L$1)</f>
        <v>0</v>
      </c>
      <c r="M79" s="207">
        <f>SUMIFS('сентябрь 2023'!$G$4:$G$1053,'сентябрь 2023'!$D$4:$D$1053,$B79,'сентябрь 2023'!$J$4:$J$1053,M$1)</f>
        <v>0</v>
      </c>
      <c r="N79" s="207">
        <f>SUMIFS('сентябрь 2023'!$G$4:$G$1053,'сентябрь 2023'!$D$4:$D$1053,$B79,'сентябрь 2023'!$J$4:$J$1053,N$1)</f>
        <v>0</v>
      </c>
      <c r="O79" s="207">
        <f>SUMIFS('сентябрь 2023'!$G$4:$G$1053,'сентябрь 2023'!$D$4:$D$1053,$B79,'сентябрь 2023'!$J$4:$J$1053,O$1)</f>
        <v>0</v>
      </c>
      <c r="P79" s="207">
        <f>SUMIFS('сентябрь 2023'!$G$4:$G$1053,'сентябрь 2023'!$D$4:$D$1053,$B79,'сентябрь 2023'!$J$4:$J$1053,P$1)</f>
        <v>0</v>
      </c>
      <c r="Q79" s="207">
        <f>SUMIFS('сентябрь 2023'!$G$4:$G$1053,'сентябрь 2023'!$D$4:$D$1053,$B79,'сентябрь 2023'!$J$4:$J$1053,Q$1)</f>
        <v>0</v>
      </c>
      <c r="R79" s="207">
        <f>SUMIFS('сентябрь 2023'!$G$4:$G$1053,'сентябрь 2023'!$D$4:$D$1053,$B79,'сентябрь 2023'!$J$4:$J$1053,R$1)</f>
        <v>0</v>
      </c>
      <c r="S79" s="207">
        <f>SUMIFS('сентябрь 2023'!$G$4:$G$1053,'сентябрь 2023'!$D$4:$D$1053,$B79,'сентябрь 2023'!$J$4:$J$1053,S$1)</f>
        <v>0</v>
      </c>
      <c r="T79" s="207">
        <f>SUMIFS('сентябрь 2023'!$G$4:$G$1053,'сентябрь 2023'!$D$4:$D$1053,$B79,'сентябрь 2023'!$J$4:$J$1053,T$1)</f>
        <v>0</v>
      </c>
      <c r="U79" s="207">
        <f>SUMIFS('сентябрь 2023'!$G$4:$G$1053,'сентябрь 2023'!$D$4:$D$1053,$B79,'сентябрь 2023'!$J$4:$J$1053,U$1)</f>
        <v>0</v>
      </c>
      <c r="V79" s="207">
        <f>SUMIFS('сентябрь 2023'!$G$4:$G$1053,'сентябрь 2023'!$D$4:$D$1053,$B79,'сентябрь 2023'!$J$4:$J$1053,V$1)</f>
        <v>0</v>
      </c>
      <c r="W79" s="207">
        <f>SUMIFS('сентябрь 2023'!$G$4:$G$1053,'сентябрь 2023'!$D$4:$D$1053,$B79,'сентябрь 2023'!$J$4:$J$1053,W$1)</f>
        <v>0</v>
      </c>
      <c r="X79" s="207">
        <f>SUMIFS('сентябрь 2023'!$G$4:$G$1053,'сентябрь 2023'!$D$4:$D$1053,$B79,'сентябрь 2023'!$J$4:$J$1053,X$1)</f>
        <v>0</v>
      </c>
      <c r="Y79" s="207">
        <f>SUMIFS('сентябрь 2023'!$G$4:$G$1053,'сентябрь 2023'!$D$4:$D$1053,$B79,'сентябрь 2023'!$J$4:$J$1053,Y$1)</f>
        <v>0</v>
      </c>
      <c r="Z79" s="207">
        <f>SUMIFS('сентябрь 2023'!$G$4:$G$1053,'сентябрь 2023'!$D$4:$D$1053,$B79,'сентябрь 2023'!$J$4:$J$1053,Z$1)</f>
        <v>0</v>
      </c>
      <c r="AA79" s="207">
        <f>SUMIFS('сентябрь 2023'!$G$4:$G$1053,'сентябрь 2023'!$D$4:$D$1053,$B79,'сентябрь 2023'!$J$4:$J$1053,AA$1)</f>
        <v>0</v>
      </c>
      <c r="AB79" s="207">
        <f>SUMIFS('сентябрь 2023'!$G$4:$G$1053,'сентябрь 2023'!$D$4:$D$1053,$B79,'сентябрь 2023'!$J$4:$J$1053,AB$1)</f>
        <v>0</v>
      </c>
      <c r="AC79" s="207">
        <f>SUMIFS('сентябрь 2023'!$G$4:$G$1053,'сентябрь 2023'!$D$4:$D$1053,$B79,'сентябрь 2023'!$J$4:$J$1053,AC$1)</f>
        <v>0</v>
      </c>
      <c r="AD79" s="207">
        <f>SUMIFS('сентябрь 2023'!$G$4:$G$1053,'сентябрь 2023'!$D$4:$D$1053,$B79,'сентябрь 2023'!$J$4:$J$1053,AD$1)</f>
        <v>0</v>
      </c>
      <c r="AE79" s="207">
        <f>SUMIFS('сентябрь 2023'!$G$4:$G$1053,'сентябрь 2023'!$D$4:$D$1053,$B79,'сентябрь 2023'!$J$4:$J$1053,AE$1)</f>
        <v>0</v>
      </c>
      <c r="AF79" s="207">
        <f>SUMIFS('сентябрь 2023'!$G$4:$G$1053,'сентябрь 2023'!$D$4:$D$1053,$B79,'сентябрь 2023'!$J$4:$J$1053,AF$1)</f>
        <v>0</v>
      </c>
      <c r="AG79" s="207">
        <f>SUMIFS('сентябрь 2023'!$G$4:$G$1053,'сентябрь 2023'!$D$4:$D$1053,$B79,'сентябрь 2023'!$J$4:$J$1053,AG$1)</f>
        <v>0</v>
      </c>
      <c r="AH79" s="207">
        <f>SUMIFS('сентябрь 2023'!$G$4:$G$1053,'сентябрь 2023'!$D$4:$D$1053,$B79,'сентябрь 2023'!$J$4:$J$1053,AH$1)</f>
        <v>0</v>
      </c>
      <c r="AI79" s="170">
        <f t="shared" si="3"/>
        <v>0</v>
      </c>
    </row>
    <row r="80" spans="2:35" ht="15" customHeight="1" x14ac:dyDescent="0.25">
      <c r="B80" s="216" t="s">
        <v>1372</v>
      </c>
      <c r="C80" s="211">
        <v>180</v>
      </c>
      <c r="D80" s="207">
        <f>SUMIFS('сентябрь 2023'!$G$4:$G$1053,'сентябрь 2023'!$D$4:$D$1053,$B80,'сентябрь 2023'!$J$4:$J$1053,D$1)</f>
        <v>0</v>
      </c>
      <c r="E80" s="207">
        <f>SUMIFS('сентябрь 2023'!$G$4:$G$1053,'сентябрь 2023'!$D$4:$D$1053,$B80,'сентябрь 2023'!$J$4:$J$1053,E$1)</f>
        <v>0</v>
      </c>
      <c r="F80" s="207">
        <f>SUMIFS('сентябрь 2023'!$G$4:$G$1053,'сентябрь 2023'!$D$4:$D$1053,$B80,'сентябрь 2023'!$J$4:$J$1053,F$1)</f>
        <v>0</v>
      </c>
      <c r="G80" s="207">
        <f>SUMIFS('сентябрь 2023'!$G$4:$G$1053,'сентябрь 2023'!$D$4:$D$1053,$B80,'сентябрь 2023'!$J$4:$J$1053,G$1)</f>
        <v>0</v>
      </c>
      <c r="H80" s="207">
        <f>SUMIFS('сентябрь 2023'!$G$4:$G$1053,'сентябрь 2023'!$D$4:$D$1053,$B80,'сентябрь 2023'!$J$4:$J$1053,H$1)</f>
        <v>0</v>
      </c>
      <c r="I80" s="207">
        <f>SUMIFS('сентябрь 2023'!$G$4:$G$1053,'сентябрь 2023'!$D$4:$D$1053,$B80,'сентябрь 2023'!$J$4:$J$1053,I$1)</f>
        <v>0</v>
      </c>
      <c r="J80" s="207">
        <f>SUMIFS('сентябрь 2023'!$G$4:$G$1053,'сентябрь 2023'!$D$4:$D$1053,$B80,'сентябрь 2023'!$J$4:$J$1053,J$1)</f>
        <v>0</v>
      </c>
      <c r="K80" s="207">
        <f>SUMIFS('сентябрь 2023'!$G$4:$G$1053,'сентябрь 2023'!$D$4:$D$1053,$B80,'сентябрь 2023'!$J$4:$J$1053,K$1)</f>
        <v>0</v>
      </c>
      <c r="L80" s="207">
        <f>SUMIFS('сентябрь 2023'!$G$4:$G$1053,'сентябрь 2023'!$D$4:$D$1053,$B80,'сентябрь 2023'!$J$4:$J$1053,L$1)</f>
        <v>0</v>
      </c>
      <c r="M80" s="207">
        <f>SUMIFS('сентябрь 2023'!$G$4:$G$1053,'сентябрь 2023'!$D$4:$D$1053,$B80,'сентябрь 2023'!$J$4:$J$1053,M$1)</f>
        <v>0</v>
      </c>
      <c r="N80" s="207">
        <f>SUMIFS('сентябрь 2023'!$G$4:$G$1053,'сентябрь 2023'!$D$4:$D$1053,$B80,'сентябрь 2023'!$J$4:$J$1053,N$1)</f>
        <v>0</v>
      </c>
      <c r="O80" s="207">
        <f>SUMIFS('сентябрь 2023'!$G$4:$G$1053,'сентябрь 2023'!$D$4:$D$1053,$B80,'сентябрь 2023'!$J$4:$J$1053,O$1)</f>
        <v>0</v>
      </c>
      <c r="P80" s="207">
        <f>SUMIFS('сентябрь 2023'!$G$4:$G$1053,'сентябрь 2023'!$D$4:$D$1053,$B80,'сентябрь 2023'!$J$4:$J$1053,P$1)</f>
        <v>0</v>
      </c>
      <c r="Q80" s="207">
        <f>SUMIFS('сентябрь 2023'!$G$4:$G$1053,'сентябрь 2023'!$D$4:$D$1053,$B80,'сентябрь 2023'!$J$4:$J$1053,Q$1)</f>
        <v>0</v>
      </c>
      <c r="R80" s="207">
        <f>SUMIFS('сентябрь 2023'!$G$4:$G$1053,'сентябрь 2023'!$D$4:$D$1053,$B80,'сентябрь 2023'!$J$4:$J$1053,R$1)</f>
        <v>0</v>
      </c>
      <c r="S80" s="207">
        <f>SUMIFS('сентябрь 2023'!$G$4:$G$1053,'сентябрь 2023'!$D$4:$D$1053,$B80,'сентябрь 2023'!$J$4:$J$1053,S$1)</f>
        <v>0</v>
      </c>
      <c r="T80" s="207">
        <f>SUMIFS('сентябрь 2023'!$G$4:$G$1053,'сентябрь 2023'!$D$4:$D$1053,$B80,'сентябрь 2023'!$J$4:$J$1053,T$1)</f>
        <v>0</v>
      </c>
      <c r="U80" s="207">
        <f>SUMIFS('сентябрь 2023'!$G$4:$G$1053,'сентябрь 2023'!$D$4:$D$1053,$B80,'сентябрь 2023'!$J$4:$J$1053,U$1)</f>
        <v>0</v>
      </c>
      <c r="V80" s="207">
        <f>SUMIFS('сентябрь 2023'!$G$4:$G$1053,'сентябрь 2023'!$D$4:$D$1053,$B80,'сентябрь 2023'!$J$4:$J$1053,V$1)</f>
        <v>0</v>
      </c>
      <c r="W80" s="207">
        <f>SUMIFS('сентябрь 2023'!$G$4:$G$1053,'сентябрь 2023'!$D$4:$D$1053,$B80,'сентябрь 2023'!$J$4:$J$1053,W$1)</f>
        <v>0</v>
      </c>
      <c r="X80" s="207">
        <f>SUMIFS('сентябрь 2023'!$G$4:$G$1053,'сентябрь 2023'!$D$4:$D$1053,$B80,'сентябрь 2023'!$J$4:$J$1053,X$1)</f>
        <v>0</v>
      </c>
      <c r="Y80" s="207">
        <f>SUMIFS('сентябрь 2023'!$G$4:$G$1053,'сентябрь 2023'!$D$4:$D$1053,$B80,'сентябрь 2023'!$J$4:$J$1053,Y$1)</f>
        <v>0</v>
      </c>
      <c r="Z80" s="207">
        <f>SUMIFS('сентябрь 2023'!$G$4:$G$1053,'сентябрь 2023'!$D$4:$D$1053,$B80,'сентябрь 2023'!$J$4:$J$1053,Z$1)</f>
        <v>0</v>
      </c>
      <c r="AA80" s="207">
        <f>SUMIFS('сентябрь 2023'!$G$4:$G$1053,'сентябрь 2023'!$D$4:$D$1053,$B80,'сентябрь 2023'!$J$4:$J$1053,AA$1)</f>
        <v>0</v>
      </c>
      <c r="AB80" s="207">
        <f>SUMIFS('сентябрь 2023'!$G$4:$G$1053,'сентябрь 2023'!$D$4:$D$1053,$B80,'сентябрь 2023'!$J$4:$J$1053,AB$1)</f>
        <v>0</v>
      </c>
      <c r="AC80" s="207">
        <f>SUMIFS('сентябрь 2023'!$G$4:$G$1053,'сентябрь 2023'!$D$4:$D$1053,$B80,'сентябрь 2023'!$J$4:$J$1053,AC$1)</f>
        <v>0</v>
      </c>
      <c r="AD80" s="207">
        <f>SUMIFS('сентябрь 2023'!$G$4:$G$1053,'сентябрь 2023'!$D$4:$D$1053,$B80,'сентябрь 2023'!$J$4:$J$1053,AD$1)</f>
        <v>0</v>
      </c>
      <c r="AE80" s="207">
        <f>SUMIFS('сентябрь 2023'!$G$4:$G$1053,'сентябрь 2023'!$D$4:$D$1053,$B80,'сентябрь 2023'!$J$4:$J$1053,AE$1)</f>
        <v>0</v>
      </c>
      <c r="AF80" s="207">
        <f>SUMIFS('сентябрь 2023'!$G$4:$G$1053,'сентябрь 2023'!$D$4:$D$1053,$B80,'сентябрь 2023'!$J$4:$J$1053,AF$1)</f>
        <v>0</v>
      </c>
      <c r="AG80" s="207">
        <f>SUMIFS('сентябрь 2023'!$G$4:$G$1053,'сентябрь 2023'!$D$4:$D$1053,$B80,'сентябрь 2023'!$J$4:$J$1053,AG$1)</f>
        <v>0</v>
      </c>
      <c r="AH80" s="207">
        <f>SUMIFS('сентябрь 2023'!$G$4:$G$1053,'сентябрь 2023'!$D$4:$D$1053,$B80,'сентябрь 2023'!$J$4:$J$1053,AH$1)</f>
        <v>0</v>
      </c>
      <c r="AI80" s="170">
        <f t="shared" si="3"/>
        <v>0</v>
      </c>
    </row>
    <row r="81" spans="2:35" ht="15" customHeight="1" x14ac:dyDescent="0.25">
      <c r="B81" s="216" t="s">
        <v>1336</v>
      </c>
      <c r="C81" s="213">
        <v>50</v>
      </c>
      <c r="D81" s="207">
        <f>SUMIFS('сентябрь 2023'!$G$4:$G$1053,'сентябрь 2023'!$D$4:$D$1053,$B81,'сентябрь 2023'!$J$4:$J$1053,D$1)</f>
        <v>0</v>
      </c>
      <c r="E81" s="207">
        <f>SUMIFS('сентябрь 2023'!$G$4:$G$1053,'сентябрь 2023'!$D$4:$D$1053,$B81,'сентябрь 2023'!$J$4:$J$1053,E$1)</f>
        <v>0</v>
      </c>
      <c r="F81" s="207">
        <f>SUMIFS('сентябрь 2023'!$G$4:$G$1053,'сентябрь 2023'!$D$4:$D$1053,$B81,'сентябрь 2023'!$J$4:$J$1053,F$1)</f>
        <v>0</v>
      </c>
      <c r="G81" s="207">
        <f>SUMIFS('сентябрь 2023'!$G$4:$G$1053,'сентябрь 2023'!$D$4:$D$1053,$B81,'сентябрь 2023'!$J$4:$J$1053,G$1)</f>
        <v>0</v>
      </c>
      <c r="H81" s="207">
        <f>SUMIFS('сентябрь 2023'!$G$4:$G$1053,'сентябрь 2023'!$D$4:$D$1053,$B81,'сентябрь 2023'!$J$4:$J$1053,H$1)</f>
        <v>0</v>
      </c>
      <c r="I81" s="207">
        <f>SUMIFS('сентябрь 2023'!$G$4:$G$1053,'сентябрь 2023'!$D$4:$D$1053,$B81,'сентябрь 2023'!$J$4:$J$1053,I$1)</f>
        <v>0</v>
      </c>
      <c r="J81" s="207">
        <f>SUMIFS('сентябрь 2023'!$G$4:$G$1053,'сентябрь 2023'!$D$4:$D$1053,$B81,'сентябрь 2023'!$J$4:$J$1053,J$1)</f>
        <v>0</v>
      </c>
      <c r="K81" s="207">
        <f>SUMIFS('сентябрь 2023'!$G$4:$G$1053,'сентябрь 2023'!$D$4:$D$1053,$B81,'сентябрь 2023'!$J$4:$J$1053,K$1)</f>
        <v>0</v>
      </c>
      <c r="L81" s="207">
        <f>SUMIFS('сентябрь 2023'!$G$4:$G$1053,'сентябрь 2023'!$D$4:$D$1053,$B81,'сентябрь 2023'!$J$4:$J$1053,L$1)</f>
        <v>0</v>
      </c>
      <c r="M81" s="207">
        <f>SUMIFS('сентябрь 2023'!$G$4:$G$1053,'сентябрь 2023'!$D$4:$D$1053,$B81,'сентябрь 2023'!$J$4:$J$1053,M$1)</f>
        <v>0</v>
      </c>
      <c r="N81" s="207">
        <f>SUMIFS('сентябрь 2023'!$G$4:$G$1053,'сентябрь 2023'!$D$4:$D$1053,$B81,'сентябрь 2023'!$J$4:$J$1053,N$1)</f>
        <v>0</v>
      </c>
      <c r="O81" s="207">
        <f>SUMIFS('сентябрь 2023'!$G$4:$G$1053,'сентябрь 2023'!$D$4:$D$1053,$B81,'сентябрь 2023'!$J$4:$J$1053,O$1)</f>
        <v>0</v>
      </c>
      <c r="P81" s="207">
        <f>SUMIFS('сентябрь 2023'!$G$4:$G$1053,'сентябрь 2023'!$D$4:$D$1053,$B81,'сентябрь 2023'!$J$4:$J$1053,P$1)</f>
        <v>0</v>
      </c>
      <c r="Q81" s="207">
        <f>SUMIFS('сентябрь 2023'!$G$4:$G$1053,'сентябрь 2023'!$D$4:$D$1053,$B81,'сентябрь 2023'!$J$4:$J$1053,Q$1)</f>
        <v>0</v>
      </c>
      <c r="R81" s="207">
        <f>SUMIFS('сентябрь 2023'!$G$4:$G$1053,'сентябрь 2023'!$D$4:$D$1053,$B81,'сентябрь 2023'!$J$4:$J$1053,R$1)</f>
        <v>0</v>
      </c>
      <c r="S81" s="207">
        <f>SUMIFS('сентябрь 2023'!$G$4:$G$1053,'сентябрь 2023'!$D$4:$D$1053,$B81,'сентябрь 2023'!$J$4:$J$1053,S$1)</f>
        <v>0</v>
      </c>
      <c r="T81" s="207">
        <f>SUMIFS('сентябрь 2023'!$G$4:$G$1053,'сентябрь 2023'!$D$4:$D$1053,$B81,'сентябрь 2023'!$J$4:$J$1053,T$1)</f>
        <v>0</v>
      </c>
      <c r="U81" s="207">
        <f>SUMIFS('сентябрь 2023'!$G$4:$G$1053,'сентябрь 2023'!$D$4:$D$1053,$B81,'сентябрь 2023'!$J$4:$J$1053,U$1)</f>
        <v>0</v>
      </c>
      <c r="V81" s="207">
        <f>SUMIFS('сентябрь 2023'!$G$4:$G$1053,'сентябрь 2023'!$D$4:$D$1053,$B81,'сентябрь 2023'!$J$4:$J$1053,V$1)</f>
        <v>0</v>
      </c>
      <c r="W81" s="207">
        <f>SUMIFS('сентябрь 2023'!$G$4:$G$1053,'сентябрь 2023'!$D$4:$D$1053,$B81,'сентябрь 2023'!$J$4:$J$1053,W$1)</f>
        <v>0</v>
      </c>
      <c r="X81" s="207">
        <f>SUMIFS('сентябрь 2023'!$G$4:$G$1053,'сентябрь 2023'!$D$4:$D$1053,$B81,'сентябрь 2023'!$J$4:$J$1053,X$1)</f>
        <v>0</v>
      </c>
      <c r="Y81" s="207">
        <f>SUMIFS('сентябрь 2023'!$G$4:$G$1053,'сентябрь 2023'!$D$4:$D$1053,$B81,'сентябрь 2023'!$J$4:$J$1053,Y$1)</f>
        <v>0</v>
      </c>
      <c r="Z81" s="207">
        <f>SUMIFS('сентябрь 2023'!$G$4:$G$1053,'сентябрь 2023'!$D$4:$D$1053,$B81,'сентябрь 2023'!$J$4:$J$1053,Z$1)</f>
        <v>0</v>
      </c>
      <c r="AA81" s="207">
        <f>SUMIFS('сентябрь 2023'!$G$4:$G$1053,'сентябрь 2023'!$D$4:$D$1053,$B81,'сентябрь 2023'!$J$4:$J$1053,AA$1)</f>
        <v>0</v>
      </c>
      <c r="AB81" s="207">
        <f>SUMIFS('сентябрь 2023'!$G$4:$G$1053,'сентябрь 2023'!$D$4:$D$1053,$B81,'сентябрь 2023'!$J$4:$J$1053,AB$1)</f>
        <v>0</v>
      </c>
      <c r="AC81" s="207">
        <f>SUMIFS('сентябрь 2023'!$G$4:$G$1053,'сентябрь 2023'!$D$4:$D$1053,$B81,'сентябрь 2023'!$J$4:$J$1053,AC$1)</f>
        <v>0</v>
      </c>
      <c r="AD81" s="207">
        <f>SUMIFS('сентябрь 2023'!$G$4:$G$1053,'сентябрь 2023'!$D$4:$D$1053,$B81,'сентябрь 2023'!$J$4:$J$1053,AD$1)</f>
        <v>0</v>
      </c>
      <c r="AE81" s="207">
        <f>SUMIFS('сентябрь 2023'!$G$4:$G$1053,'сентябрь 2023'!$D$4:$D$1053,$B81,'сентябрь 2023'!$J$4:$J$1053,AE$1)</f>
        <v>0</v>
      </c>
      <c r="AF81" s="207">
        <f>SUMIFS('сентябрь 2023'!$G$4:$G$1053,'сентябрь 2023'!$D$4:$D$1053,$B81,'сентябрь 2023'!$J$4:$J$1053,AF$1)</f>
        <v>0</v>
      </c>
      <c r="AG81" s="207">
        <f>SUMIFS('сентябрь 2023'!$G$4:$G$1053,'сентябрь 2023'!$D$4:$D$1053,$B81,'сентябрь 2023'!$J$4:$J$1053,AG$1)</f>
        <v>0</v>
      </c>
      <c r="AH81" s="207">
        <f>SUMIFS('сентябрь 2023'!$G$4:$G$1053,'сентябрь 2023'!$D$4:$D$1053,$B81,'сентябрь 2023'!$J$4:$J$1053,AH$1)</f>
        <v>0</v>
      </c>
      <c r="AI81" s="170">
        <f t="shared" si="3"/>
        <v>0</v>
      </c>
    </row>
    <row r="82" spans="2:35" ht="15" customHeight="1" x14ac:dyDescent="0.25">
      <c r="B82" s="216" t="s">
        <v>1470</v>
      </c>
      <c r="C82" s="213">
        <v>180</v>
      </c>
      <c r="D82" s="207">
        <f>SUMIFS('сентябрь 2023'!$G$4:$G$1053,'сентябрь 2023'!$D$4:$D$1053,$B82,'сентябрь 2023'!$J$4:$J$1053,D$1)</f>
        <v>0</v>
      </c>
      <c r="E82" s="207">
        <f>SUMIFS('сентябрь 2023'!$G$4:$G$1053,'сентябрь 2023'!$D$4:$D$1053,$B82,'сентябрь 2023'!$J$4:$J$1053,E$1)</f>
        <v>0</v>
      </c>
      <c r="F82" s="207">
        <f>SUMIFS('сентябрь 2023'!$G$4:$G$1053,'сентябрь 2023'!$D$4:$D$1053,$B82,'сентябрь 2023'!$J$4:$J$1053,F$1)</f>
        <v>0</v>
      </c>
      <c r="G82" s="207">
        <f>SUMIFS('сентябрь 2023'!$G$4:$G$1053,'сентябрь 2023'!$D$4:$D$1053,$B82,'сентябрь 2023'!$J$4:$J$1053,G$1)</f>
        <v>0</v>
      </c>
      <c r="H82" s="207">
        <f>SUMIFS('сентябрь 2023'!$G$4:$G$1053,'сентябрь 2023'!$D$4:$D$1053,$B82,'сентябрь 2023'!$J$4:$J$1053,H$1)</f>
        <v>0</v>
      </c>
      <c r="I82" s="207">
        <f>SUMIFS('сентябрь 2023'!$G$4:$G$1053,'сентябрь 2023'!$D$4:$D$1053,$B82,'сентябрь 2023'!$J$4:$J$1053,I$1)</f>
        <v>0</v>
      </c>
      <c r="J82" s="207">
        <f>SUMIFS('сентябрь 2023'!$G$4:$G$1053,'сентябрь 2023'!$D$4:$D$1053,$B82,'сентябрь 2023'!$J$4:$J$1053,J$1)</f>
        <v>0</v>
      </c>
      <c r="K82" s="207">
        <f>SUMIFS('сентябрь 2023'!$G$4:$G$1053,'сентябрь 2023'!$D$4:$D$1053,$B82,'сентябрь 2023'!$J$4:$J$1053,K$1)</f>
        <v>0</v>
      </c>
      <c r="L82" s="207">
        <f>SUMIFS('сентябрь 2023'!$G$4:$G$1053,'сентябрь 2023'!$D$4:$D$1053,$B82,'сентябрь 2023'!$J$4:$J$1053,L$1)</f>
        <v>0</v>
      </c>
      <c r="M82" s="207">
        <f>SUMIFS('сентябрь 2023'!$G$4:$G$1053,'сентябрь 2023'!$D$4:$D$1053,$B82,'сентябрь 2023'!$J$4:$J$1053,M$1)</f>
        <v>0</v>
      </c>
      <c r="N82" s="207">
        <f>SUMIFS('сентябрь 2023'!$G$4:$G$1053,'сентябрь 2023'!$D$4:$D$1053,$B82,'сентябрь 2023'!$J$4:$J$1053,N$1)</f>
        <v>0</v>
      </c>
      <c r="O82" s="207">
        <f>SUMIFS('сентябрь 2023'!$G$4:$G$1053,'сентябрь 2023'!$D$4:$D$1053,$B82,'сентябрь 2023'!$J$4:$J$1053,O$1)</f>
        <v>0</v>
      </c>
      <c r="P82" s="207">
        <f>SUMIFS('сентябрь 2023'!$G$4:$G$1053,'сентябрь 2023'!$D$4:$D$1053,$B82,'сентябрь 2023'!$J$4:$J$1053,P$1)</f>
        <v>0</v>
      </c>
      <c r="Q82" s="207">
        <f>SUMIFS('сентябрь 2023'!$G$4:$G$1053,'сентябрь 2023'!$D$4:$D$1053,$B82,'сентябрь 2023'!$J$4:$J$1053,Q$1)</f>
        <v>0</v>
      </c>
      <c r="R82" s="207">
        <f>SUMIFS('сентябрь 2023'!$G$4:$G$1053,'сентябрь 2023'!$D$4:$D$1053,$B82,'сентябрь 2023'!$J$4:$J$1053,R$1)</f>
        <v>0</v>
      </c>
      <c r="S82" s="207">
        <f>SUMIFS('сентябрь 2023'!$G$4:$G$1053,'сентябрь 2023'!$D$4:$D$1053,$B82,'сентябрь 2023'!$J$4:$J$1053,S$1)</f>
        <v>0</v>
      </c>
      <c r="T82" s="207">
        <f>SUMIFS('сентябрь 2023'!$G$4:$G$1053,'сентябрь 2023'!$D$4:$D$1053,$B82,'сентябрь 2023'!$J$4:$J$1053,T$1)</f>
        <v>0</v>
      </c>
      <c r="U82" s="207">
        <f>SUMIFS('сентябрь 2023'!$G$4:$G$1053,'сентябрь 2023'!$D$4:$D$1053,$B82,'сентябрь 2023'!$J$4:$J$1053,U$1)</f>
        <v>0</v>
      </c>
      <c r="V82" s="207">
        <f>SUMIFS('сентябрь 2023'!$G$4:$G$1053,'сентябрь 2023'!$D$4:$D$1053,$B82,'сентябрь 2023'!$J$4:$J$1053,V$1)</f>
        <v>0</v>
      </c>
      <c r="W82" s="207">
        <f>SUMIFS('сентябрь 2023'!$G$4:$G$1053,'сентябрь 2023'!$D$4:$D$1053,$B82,'сентябрь 2023'!$J$4:$J$1053,W$1)</f>
        <v>0</v>
      </c>
      <c r="X82" s="207">
        <f>SUMIFS('сентябрь 2023'!$G$4:$G$1053,'сентябрь 2023'!$D$4:$D$1053,$B82,'сентябрь 2023'!$J$4:$J$1053,X$1)</f>
        <v>0</v>
      </c>
      <c r="Y82" s="207">
        <f>SUMIFS('сентябрь 2023'!$G$4:$G$1053,'сентябрь 2023'!$D$4:$D$1053,$B82,'сентябрь 2023'!$J$4:$J$1053,Y$1)</f>
        <v>0</v>
      </c>
      <c r="Z82" s="207">
        <f>SUMIFS('сентябрь 2023'!$G$4:$G$1053,'сентябрь 2023'!$D$4:$D$1053,$B82,'сентябрь 2023'!$J$4:$J$1053,Z$1)</f>
        <v>0</v>
      </c>
      <c r="AA82" s="207">
        <f>SUMIFS('сентябрь 2023'!$G$4:$G$1053,'сентябрь 2023'!$D$4:$D$1053,$B82,'сентябрь 2023'!$J$4:$J$1053,AA$1)</f>
        <v>0</v>
      </c>
      <c r="AB82" s="207">
        <f>SUMIFS('сентябрь 2023'!$G$4:$G$1053,'сентябрь 2023'!$D$4:$D$1053,$B82,'сентябрь 2023'!$J$4:$J$1053,AB$1)</f>
        <v>0</v>
      </c>
      <c r="AC82" s="207">
        <f>SUMIFS('сентябрь 2023'!$G$4:$G$1053,'сентябрь 2023'!$D$4:$D$1053,$B82,'сентябрь 2023'!$J$4:$J$1053,AC$1)</f>
        <v>0</v>
      </c>
      <c r="AD82" s="207">
        <f>SUMIFS('сентябрь 2023'!$G$4:$G$1053,'сентябрь 2023'!$D$4:$D$1053,$B82,'сентябрь 2023'!$J$4:$J$1053,AD$1)</f>
        <v>0</v>
      </c>
      <c r="AE82" s="207">
        <f>SUMIFS('сентябрь 2023'!$G$4:$G$1053,'сентябрь 2023'!$D$4:$D$1053,$B82,'сентябрь 2023'!$J$4:$J$1053,AE$1)</f>
        <v>0</v>
      </c>
      <c r="AF82" s="207">
        <f>SUMIFS('сентябрь 2023'!$G$4:$G$1053,'сентябрь 2023'!$D$4:$D$1053,$B82,'сентябрь 2023'!$J$4:$J$1053,AF$1)</f>
        <v>0</v>
      </c>
      <c r="AG82" s="207">
        <f>SUMIFS('сентябрь 2023'!$G$4:$G$1053,'сентябрь 2023'!$D$4:$D$1053,$B82,'сентябрь 2023'!$J$4:$J$1053,AG$1)</f>
        <v>0</v>
      </c>
      <c r="AH82" s="207">
        <f>SUMIFS('сентябрь 2023'!$G$4:$G$1053,'сентябрь 2023'!$D$4:$D$1053,$B82,'сентябрь 2023'!$J$4:$J$1053,AH$1)</f>
        <v>0</v>
      </c>
      <c r="AI82" s="170">
        <f t="shared" si="3"/>
        <v>0</v>
      </c>
    </row>
    <row r="83" spans="2:35" ht="15" customHeight="1" x14ac:dyDescent="0.25">
      <c r="B83" s="216" t="s">
        <v>365</v>
      </c>
      <c r="C83" s="213">
        <v>185</v>
      </c>
      <c r="D83" s="207">
        <f>SUMIFS('сентябрь 2023'!$G$4:$G$1053,'сентябрь 2023'!$D$4:$D$1053,$B83,'сентябрь 2023'!$J$4:$J$1053,D$1)</f>
        <v>0</v>
      </c>
      <c r="E83" s="207">
        <f>SUMIFS('сентябрь 2023'!$G$4:$G$1053,'сентябрь 2023'!$D$4:$D$1053,$B83,'сентябрь 2023'!$J$4:$J$1053,E$1)</f>
        <v>0</v>
      </c>
      <c r="F83" s="207">
        <f>SUMIFS('сентябрь 2023'!$G$4:$G$1053,'сентябрь 2023'!$D$4:$D$1053,$B83,'сентябрь 2023'!$J$4:$J$1053,F$1)</f>
        <v>0</v>
      </c>
      <c r="G83" s="207">
        <f>SUMIFS('сентябрь 2023'!$G$4:$G$1053,'сентябрь 2023'!$D$4:$D$1053,$B83,'сентябрь 2023'!$J$4:$J$1053,G$1)</f>
        <v>0</v>
      </c>
      <c r="H83" s="207">
        <f>SUMIFS('сентябрь 2023'!$G$4:$G$1053,'сентябрь 2023'!$D$4:$D$1053,$B83,'сентябрь 2023'!$J$4:$J$1053,H$1)</f>
        <v>0</v>
      </c>
      <c r="I83" s="207">
        <f>SUMIFS('сентябрь 2023'!$G$4:$G$1053,'сентябрь 2023'!$D$4:$D$1053,$B83,'сентябрь 2023'!$J$4:$J$1053,I$1)</f>
        <v>0</v>
      </c>
      <c r="J83" s="207">
        <f>SUMIFS('сентябрь 2023'!$G$4:$G$1053,'сентябрь 2023'!$D$4:$D$1053,$B83,'сентябрь 2023'!$J$4:$J$1053,J$1)</f>
        <v>0</v>
      </c>
      <c r="K83" s="207">
        <f>SUMIFS('сентябрь 2023'!$G$4:$G$1053,'сентябрь 2023'!$D$4:$D$1053,$B83,'сентябрь 2023'!$J$4:$J$1053,K$1)</f>
        <v>0</v>
      </c>
      <c r="L83" s="207">
        <f>SUMIFS('сентябрь 2023'!$G$4:$G$1053,'сентябрь 2023'!$D$4:$D$1053,$B83,'сентябрь 2023'!$J$4:$J$1053,L$1)</f>
        <v>0</v>
      </c>
      <c r="M83" s="207">
        <f>SUMIFS('сентябрь 2023'!$G$4:$G$1053,'сентябрь 2023'!$D$4:$D$1053,$B83,'сентябрь 2023'!$J$4:$J$1053,M$1)</f>
        <v>0</v>
      </c>
      <c r="N83" s="207">
        <f>SUMIFS('сентябрь 2023'!$G$4:$G$1053,'сентябрь 2023'!$D$4:$D$1053,$B83,'сентябрь 2023'!$J$4:$J$1053,N$1)</f>
        <v>0</v>
      </c>
      <c r="O83" s="207">
        <f>SUMIFS('сентябрь 2023'!$G$4:$G$1053,'сентябрь 2023'!$D$4:$D$1053,$B83,'сентябрь 2023'!$J$4:$J$1053,O$1)</f>
        <v>0</v>
      </c>
      <c r="P83" s="207">
        <f>SUMIFS('сентябрь 2023'!$G$4:$G$1053,'сентябрь 2023'!$D$4:$D$1053,$B83,'сентябрь 2023'!$J$4:$J$1053,P$1)</f>
        <v>0</v>
      </c>
      <c r="Q83" s="207">
        <f>SUMIFS('сентябрь 2023'!$G$4:$G$1053,'сентябрь 2023'!$D$4:$D$1053,$B83,'сентябрь 2023'!$J$4:$J$1053,Q$1)</f>
        <v>0</v>
      </c>
      <c r="R83" s="207">
        <f>SUMIFS('сентябрь 2023'!$G$4:$G$1053,'сентябрь 2023'!$D$4:$D$1053,$B83,'сентябрь 2023'!$J$4:$J$1053,R$1)</f>
        <v>0</v>
      </c>
      <c r="S83" s="207">
        <f>SUMIFS('сентябрь 2023'!$G$4:$G$1053,'сентябрь 2023'!$D$4:$D$1053,$B83,'сентябрь 2023'!$J$4:$J$1053,S$1)</f>
        <v>0</v>
      </c>
      <c r="T83" s="207">
        <f>SUMIFS('сентябрь 2023'!$G$4:$G$1053,'сентябрь 2023'!$D$4:$D$1053,$B83,'сентябрь 2023'!$J$4:$J$1053,T$1)</f>
        <v>0</v>
      </c>
      <c r="U83" s="207">
        <f>SUMIFS('сентябрь 2023'!$G$4:$G$1053,'сентябрь 2023'!$D$4:$D$1053,$B83,'сентябрь 2023'!$J$4:$J$1053,U$1)</f>
        <v>0</v>
      </c>
      <c r="V83" s="207">
        <f>SUMIFS('сентябрь 2023'!$G$4:$G$1053,'сентябрь 2023'!$D$4:$D$1053,$B83,'сентябрь 2023'!$J$4:$J$1053,V$1)</f>
        <v>0</v>
      </c>
      <c r="W83" s="207">
        <f>SUMIFS('сентябрь 2023'!$G$4:$G$1053,'сентябрь 2023'!$D$4:$D$1053,$B83,'сентябрь 2023'!$J$4:$J$1053,W$1)</f>
        <v>0</v>
      </c>
      <c r="X83" s="207">
        <f>SUMIFS('сентябрь 2023'!$G$4:$G$1053,'сентябрь 2023'!$D$4:$D$1053,$B83,'сентябрь 2023'!$J$4:$J$1053,X$1)</f>
        <v>0</v>
      </c>
      <c r="Y83" s="207">
        <f>SUMIFS('сентябрь 2023'!$G$4:$G$1053,'сентябрь 2023'!$D$4:$D$1053,$B83,'сентябрь 2023'!$J$4:$J$1053,Y$1)</f>
        <v>0</v>
      </c>
      <c r="Z83" s="207">
        <f>SUMIFS('сентябрь 2023'!$G$4:$G$1053,'сентябрь 2023'!$D$4:$D$1053,$B83,'сентябрь 2023'!$J$4:$J$1053,Z$1)</f>
        <v>0</v>
      </c>
      <c r="AA83" s="207">
        <f>SUMIFS('сентябрь 2023'!$G$4:$G$1053,'сентябрь 2023'!$D$4:$D$1053,$B83,'сентябрь 2023'!$J$4:$J$1053,AA$1)</f>
        <v>0</v>
      </c>
      <c r="AB83" s="207">
        <f>SUMIFS('сентябрь 2023'!$G$4:$G$1053,'сентябрь 2023'!$D$4:$D$1053,$B83,'сентябрь 2023'!$J$4:$J$1053,AB$1)</f>
        <v>0</v>
      </c>
      <c r="AC83" s="207">
        <f>SUMIFS('сентябрь 2023'!$G$4:$G$1053,'сентябрь 2023'!$D$4:$D$1053,$B83,'сентябрь 2023'!$J$4:$J$1053,AC$1)</f>
        <v>0</v>
      </c>
      <c r="AD83" s="207">
        <f>SUMIFS('сентябрь 2023'!$G$4:$G$1053,'сентябрь 2023'!$D$4:$D$1053,$B83,'сентябрь 2023'!$J$4:$J$1053,AD$1)</f>
        <v>0</v>
      </c>
      <c r="AE83" s="207">
        <f>SUMIFS('сентябрь 2023'!$G$4:$G$1053,'сентябрь 2023'!$D$4:$D$1053,$B83,'сентябрь 2023'!$J$4:$J$1053,AE$1)</f>
        <v>0</v>
      </c>
      <c r="AF83" s="207">
        <f>SUMIFS('сентябрь 2023'!$G$4:$G$1053,'сентябрь 2023'!$D$4:$D$1053,$B83,'сентябрь 2023'!$J$4:$J$1053,AF$1)</f>
        <v>0</v>
      </c>
      <c r="AG83" s="207">
        <f>SUMIFS('сентябрь 2023'!$G$4:$G$1053,'сентябрь 2023'!$D$4:$D$1053,$B83,'сентябрь 2023'!$J$4:$J$1053,AG$1)</f>
        <v>0</v>
      </c>
      <c r="AH83" s="207">
        <f>SUMIFS('сентябрь 2023'!$G$4:$G$1053,'сентябрь 2023'!$D$4:$D$1053,$B83,'сентябрь 2023'!$J$4:$J$1053,AH$1)</f>
        <v>0</v>
      </c>
      <c r="AI83" s="170">
        <f t="shared" si="3"/>
        <v>0</v>
      </c>
    </row>
    <row r="84" spans="2:35" ht="15" customHeight="1" x14ac:dyDescent="0.25">
      <c r="B84" s="212" t="s">
        <v>2189</v>
      </c>
      <c r="C84" s="211">
        <v>180</v>
      </c>
      <c r="D84" s="207">
        <f>SUMIFS('сентябрь 2023'!$G$4:$G$1053,'сентябрь 2023'!$D$4:$D$1053,$B84,'сентябрь 2023'!$J$4:$J$1053,D$1)</f>
        <v>0</v>
      </c>
      <c r="E84" s="207">
        <f>SUMIFS('сентябрь 2023'!$G$4:$G$1053,'сентябрь 2023'!$D$4:$D$1053,$B84,'сентябрь 2023'!$J$4:$J$1053,E$1)</f>
        <v>0</v>
      </c>
      <c r="F84" s="207">
        <f>SUMIFS('сентябрь 2023'!$G$4:$G$1053,'сентябрь 2023'!$D$4:$D$1053,$B84,'сентябрь 2023'!$J$4:$J$1053,F$1)</f>
        <v>0</v>
      </c>
      <c r="G84" s="207">
        <f>SUMIFS('сентябрь 2023'!$G$4:$G$1053,'сентябрь 2023'!$D$4:$D$1053,$B84,'сентябрь 2023'!$J$4:$J$1053,G$1)</f>
        <v>0</v>
      </c>
      <c r="H84" s="207">
        <f>SUMIFS('сентябрь 2023'!$G$4:$G$1053,'сентябрь 2023'!$D$4:$D$1053,$B84,'сентябрь 2023'!$J$4:$J$1053,H$1)</f>
        <v>0</v>
      </c>
      <c r="I84" s="207">
        <f>SUMIFS('сентябрь 2023'!$G$4:$G$1053,'сентябрь 2023'!$D$4:$D$1053,$B84,'сентябрь 2023'!$J$4:$J$1053,I$1)</f>
        <v>0</v>
      </c>
      <c r="J84" s="207">
        <f>SUMIFS('сентябрь 2023'!$G$4:$G$1053,'сентябрь 2023'!$D$4:$D$1053,$B84,'сентябрь 2023'!$J$4:$J$1053,J$1)</f>
        <v>0</v>
      </c>
      <c r="K84" s="207">
        <f>SUMIFS('сентябрь 2023'!$G$4:$G$1053,'сентябрь 2023'!$D$4:$D$1053,$B84,'сентябрь 2023'!$J$4:$J$1053,K$1)</f>
        <v>0</v>
      </c>
      <c r="L84" s="207">
        <f>SUMIFS('сентябрь 2023'!$G$4:$G$1053,'сентябрь 2023'!$D$4:$D$1053,$B84,'сентябрь 2023'!$J$4:$J$1053,L$1)</f>
        <v>0</v>
      </c>
      <c r="M84" s="207">
        <f>SUMIFS('сентябрь 2023'!$G$4:$G$1053,'сентябрь 2023'!$D$4:$D$1053,$B84,'сентябрь 2023'!$J$4:$J$1053,M$1)</f>
        <v>0</v>
      </c>
      <c r="N84" s="207">
        <f>SUMIFS('сентябрь 2023'!$G$4:$G$1053,'сентябрь 2023'!$D$4:$D$1053,$B84,'сентябрь 2023'!$J$4:$J$1053,N$1)</f>
        <v>0</v>
      </c>
      <c r="O84" s="207">
        <f>SUMIFS('сентябрь 2023'!$G$4:$G$1053,'сентябрь 2023'!$D$4:$D$1053,$B84,'сентябрь 2023'!$J$4:$J$1053,O$1)</f>
        <v>0</v>
      </c>
      <c r="P84" s="207">
        <f>SUMIFS('сентябрь 2023'!$G$4:$G$1053,'сентябрь 2023'!$D$4:$D$1053,$B84,'сентябрь 2023'!$J$4:$J$1053,P$1)</f>
        <v>0</v>
      </c>
      <c r="Q84" s="207">
        <f>SUMIFS('сентябрь 2023'!$G$4:$G$1053,'сентябрь 2023'!$D$4:$D$1053,$B84,'сентябрь 2023'!$J$4:$J$1053,Q$1)</f>
        <v>0</v>
      </c>
      <c r="R84" s="207">
        <f>SUMIFS('сентябрь 2023'!$G$4:$G$1053,'сентябрь 2023'!$D$4:$D$1053,$B84,'сентябрь 2023'!$J$4:$J$1053,R$1)</f>
        <v>0</v>
      </c>
      <c r="S84" s="207">
        <f>SUMIFS('сентябрь 2023'!$G$4:$G$1053,'сентябрь 2023'!$D$4:$D$1053,$B84,'сентябрь 2023'!$J$4:$J$1053,S$1)</f>
        <v>0</v>
      </c>
      <c r="T84" s="207">
        <f>SUMIFS('сентябрь 2023'!$G$4:$G$1053,'сентябрь 2023'!$D$4:$D$1053,$B84,'сентябрь 2023'!$J$4:$J$1053,T$1)</f>
        <v>0</v>
      </c>
      <c r="U84" s="207">
        <f>SUMIFS('сентябрь 2023'!$G$4:$G$1053,'сентябрь 2023'!$D$4:$D$1053,$B84,'сентябрь 2023'!$J$4:$J$1053,U$1)</f>
        <v>0</v>
      </c>
      <c r="V84" s="207">
        <f>SUMIFS('сентябрь 2023'!$G$4:$G$1053,'сентябрь 2023'!$D$4:$D$1053,$B84,'сентябрь 2023'!$J$4:$J$1053,V$1)</f>
        <v>0</v>
      </c>
      <c r="W84" s="207">
        <f>SUMIFS('сентябрь 2023'!$G$4:$G$1053,'сентябрь 2023'!$D$4:$D$1053,$B84,'сентябрь 2023'!$J$4:$J$1053,W$1)</f>
        <v>0</v>
      </c>
      <c r="X84" s="207">
        <f>SUMIFS('сентябрь 2023'!$G$4:$G$1053,'сентябрь 2023'!$D$4:$D$1053,$B84,'сентябрь 2023'!$J$4:$J$1053,X$1)</f>
        <v>0</v>
      </c>
      <c r="Y84" s="207">
        <f>SUMIFS('сентябрь 2023'!$G$4:$G$1053,'сентябрь 2023'!$D$4:$D$1053,$B84,'сентябрь 2023'!$J$4:$J$1053,Y$1)</f>
        <v>0</v>
      </c>
      <c r="Z84" s="207">
        <f>SUMIFS('сентябрь 2023'!$G$4:$G$1053,'сентябрь 2023'!$D$4:$D$1053,$B84,'сентябрь 2023'!$J$4:$J$1053,Z$1)</f>
        <v>0</v>
      </c>
      <c r="AA84" s="207">
        <f>SUMIFS('сентябрь 2023'!$G$4:$G$1053,'сентябрь 2023'!$D$4:$D$1053,$B84,'сентябрь 2023'!$J$4:$J$1053,AA$1)</f>
        <v>0</v>
      </c>
      <c r="AB84" s="207">
        <f>SUMIFS('сентябрь 2023'!$G$4:$G$1053,'сентябрь 2023'!$D$4:$D$1053,$B84,'сентябрь 2023'!$J$4:$J$1053,AB$1)</f>
        <v>0</v>
      </c>
      <c r="AC84" s="207">
        <f>SUMIFS('сентябрь 2023'!$G$4:$G$1053,'сентябрь 2023'!$D$4:$D$1053,$B84,'сентябрь 2023'!$J$4:$J$1053,AC$1)</f>
        <v>0</v>
      </c>
      <c r="AD84" s="207">
        <f>SUMIFS('сентябрь 2023'!$G$4:$G$1053,'сентябрь 2023'!$D$4:$D$1053,$B84,'сентябрь 2023'!$J$4:$J$1053,AD$1)</f>
        <v>0</v>
      </c>
      <c r="AE84" s="207">
        <f>SUMIFS('сентябрь 2023'!$G$4:$G$1053,'сентябрь 2023'!$D$4:$D$1053,$B84,'сентябрь 2023'!$J$4:$J$1053,AE$1)</f>
        <v>0</v>
      </c>
      <c r="AF84" s="207">
        <f>SUMIFS('сентябрь 2023'!$G$4:$G$1053,'сентябрь 2023'!$D$4:$D$1053,$B84,'сентябрь 2023'!$J$4:$J$1053,AF$1)</f>
        <v>0</v>
      </c>
      <c r="AG84" s="207">
        <f>SUMIFS('сентябрь 2023'!$G$4:$G$1053,'сентябрь 2023'!$D$4:$D$1053,$B84,'сентябрь 2023'!$J$4:$J$1053,AG$1)</f>
        <v>0</v>
      </c>
      <c r="AH84" s="207">
        <f>SUMIFS('сентябрь 2023'!$G$4:$G$1053,'сентябрь 2023'!$D$4:$D$1053,$B84,'сентябрь 2023'!$J$4:$J$1053,AH$1)</f>
        <v>0</v>
      </c>
      <c r="AI84" s="170">
        <f t="shared" si="3"/>
        <v>0</v>
      </c>
    </row>
    <row r="85" spans="2:35" ht="15" customHeight="1" x14ac:dyDescent="0.25">
      <c r="B85" s="217" t="s">
        <v>857</v>
      </c>
      <c r="C85" s="213">
        <v>185</v>
      </c>
      <c r="D85" s="207">
        <f>SUMIFS('сентябрь 2023'!$G$4:$G$1053,'сентябрь 2023'!$D$4:$D$1053,$B85,'сентябрь 2023'!$J$4:$J$1053,D$1)</f>
        <v>0</v>
      </c>
      <c r="E85" s="207">
        <f>SUMIFS('сентябрь 2023'!$G$4:$G$1053,'сентябрь 2023'!$D$4:$D$1053,$B85,'сентябрь 2023'!$J$4:$J$1053,E$1)</f>
        <v>0</v>
      </c>
      <c r="F85" s="207">
        <f>SUMIFS('сентябрь 2023'!$G$4:$G$1053,'сентябрь 2023'!$D$4:$D$1053,$B85,'сентябрь 2023'!$J$4:$J$1053,F$1)</f>
        <v>0</v>
      </c>
      <c r="G85" s="207">
        <f>SUMIFS('сентябрь 2023'!$G$4:$G$1053,'сентябрь 2023'!$D$4:$D$1053,$B85,'сентябрь 2023'!$J$4:$J$1053,G$1)</f>
        <v>0</v>
      </c>
      <c r="H85" s="207">
        <f>SUMIFS('сентябрь 2023'!$G$4:$G$1053,'сентябрь 2023'!$D$4:$D$1053,$B85,'сентябрь 2023'!$J$4:$J$1053,H$1)</f>
        <v>0</v>
      </c>
      <c r="I85" s="207">
        <f>SUMIFS('сентябрь 2023'!$G$4:$G$1053,'сентябрь 2023'!$D$4:$D$1053,$B85,'сентябрь 2023'!$J$4:$J$1053,I$1)</f>
        <v>0</v>
      </c>
      <c r="J85" s="207">
        <f>SUMIFS('сентябрь 2023'!$G$4:$G$1053,'сентябрь 2023'!$D$4:$D$1053,$B85,'сентябрь 2023'!$J$4:$J$1053,J$1)</f>
        <v>0</v>
      </c>
      <c r="K85" s="207">
        <f>SUMIFS('сентябрь 2023'!$G$4:$G$1053,'сентябрь 2023'!$D$4:$D$1053,$B85,'сентябрь 2023'!$J$4:$J$1053,K$1)</f>
        <v>0</v>
      </c>
      <c r="L85" s="207">
        <f>SUMIFS('сентябрь 2023'!$G$4:$G$1053,'сентябрь 2023'!$D$4:$D$1053,$B85,'сентябрь 2023'!$J$4:$J$1053,L$1)</f>
        <v>0</v>
      </c>
      <c r="M85" s="207">
        <f>SUMIFS('сентябрь 2023'!$G$4:$G$1053,'сентябрь 2023'!$D$4:$D$1053,$B85,'сентябрь 2023'!$J$4:$J$1053,M$1)</f>
        <v>0</v>
      </c>
      <c r="N85" s="207">
        <f>SUMIFS('сентябрь 2023'!$G$4:$G$1053,'сентябрь 2023'!$D$4:$D$1053,$B85,'сентябрь 2023'!$J$4:$J$1053,N$1)</f>
        <v>0</v>
      </c>
      <c r="O85" s="207">
        <f>SUMIFS('сентябрь 2023'!$G$4:$G$1053,'сентябрь 2023'!$D$4:$D$1053,$B85,'сентябрь 2023'!$J$4:$J$1053,O$1)</f>
        <v>0</v>
      </c>
      <c r="P85" s="207">
        <f>SUMIFS('сентябрь 2023'!$G$4:$G$1053,'сентябрь 2023'!$D$4:$D$1053,$B85,'сентябрь 2023'!$J$4:$J$1053,P$1)</f>
        <v>0</v>
      </c>
      <c r="Q85" s="207">
        <f>SUMIFS('сентябрь 2023'!$G$4:$G$1053,'сентябрь 2023'!$D$4:$D$1053,$B85,'сентябрь 2023'!$J$4:$J$1053,Q$1)</f>
        <v>0</v>
      </c>
      <c r="R85" s="207">
        <f>SUMIFS('сентябрь 2023'!$G$4:$G$1053,'сентябрь 2023'!$D$4:$D$1053,$B85,'сентябрь 2023'!$J$4:$J$1053,R$1)</f>
        <v>0</v>
      </c>
      <c r="S85" s="207">
        <f>SUMIFS('сентябрь 2023'!$G$4:$G$1053,'сентябрь 2023'!$D$4:$D$1053,$B85,'сентябрь 2023'!$J$4:$J$1053,S$1)</f>
        <v>0</v>
      </c>
      <c r="T85" s="207">
        <f>SUMIFS('сентябрь 2023'!$G$4:$G$1053,'сентябрь 2023'!$D$4:$D$1053,$B85,'сентябрь 2023'!$J$4:$J$1053,T$1)</f>
        <v>0</v>
      </c>
      <c r="U85" s="207">
        <f>SUMIFS('сентябрь 2023'!$G$4:$G$1053,'сентябрь 2023'!$D$4:$D$1053,$B85,'сентябрь 2023'!$J$4:$J$1053,U$1)</f>
        <v>0</v>
      </c>
      <c r="V85" s="207">
        <f>SUMIFS('сентябрь 2023'!$G$4:$G$1053,'сентябрь 2023'!$D$4:$D$1053,$B85,'сентябрь 2023'!$J$4:$J$1053,V$1)</f>
        <v>0</v>
      </c>
      <c r="W85" s="207">
        <f>SUMIFS('сентябрь 2023'!$G$4:$G$1053,'сентябрь 2023'!$D$4:$D$1053,$B85,'сентябрь 2023'!$J$4:$J$1053,W$1)</f>
        <v>0</v>
      </c>
      <c r="X85" s="207">
        <f>SUMIFS('сентябрь 2023'!$G$4:$G$1053,'сентябрь 2023'!$D$4:$D$1053,$B85,'сентябрь 2023'!$J$4:$J$1053,X$1)</f>
        <v>0</v>
      </c>
      <c r="Y85" s="207">
        <f>SUMIFS('сентябрь 2023'!$G$4:$G$1053,'сентябрь 2023'!$D$4:$D$1053,$B85,'сентябрь 2023'!$J$4:$J$1053,Y$1)</f>
        <v>0</v>
      </c>
      <c r="Z85" s="207">
        <f>SUMIFS('сентябрь 2023'!$G$4:$G$1053,'сентябрь 2023'!$D$4:$D$1053,$B85,'сентябрь 2023'!$J$4:$J$1053,Z$1)</f>
        <v>0</v>
      </c>
      <c r="AA85" s="207">
        <f>SUMIFS('сентябрь 2023'!$G$4:$G$1053,'сентябрь 2023'!$D$4:$D$1053,$B85,'сентябрь 2023'!$J$4:$J$1053,AA$1)</f>
        <v>0</v>
      </c>
      <c r="AB85" s="207">
        <f>SUMIFS('сентябрь 2023'!$G$4:$G$1053,'сентябрь 2023'!$D$4:$D$1053,$B85,'сентябрь 2023'!$J$4:$J$1053,AB$1)</f>
        <v>0</v>
      </c>
      <c r="AC85" s="207">
        <f>SUMIFS('сентябрь 2023'!$G$4:$G$1053,'сентябрь 2023'!$D$4:$D$1053,$B85,'сентябрь 2023'!$J$4:$J$1053,AC$1)</f>
        <v>0</v>
      </c>
      <c r="AD85" s="207">
        <f>SUMIFS('сентябрь 2023'!$G$4:$G$1053,'сентябрь 2023'!$D$4:$D$1053,$B85,'сентябрь 2023'!$J$4:$J$1053,AD$1)</f>
        <v>0</v>
      </c>
      <c r="AE85" s="207">
        <f>SUMIFS('сентябрь 2023'!$G$4:$G$1053,'сентябрь 2023'!$D$4:$D$1053,$B85,'сентябрь 2023'!$J$4:$J$1053,AE$1)</f>
        <v>0</v>
      </c>
      <c r="AF85" s="207">
        <f>SUMIFS('сентябрь 2023'!$G$4:$G$1053,'сентябрь 2023'!$D$4:$D$1053,$B85,'сентябрь 2023'!$J$4:$J$1053,AF$1)</f>
        <v>0</v>
      </c>
      <c r="AG85" s="207">
        <f>SUMIFS('сентябрь 2023'!$G$4:$G$1053,'сентябрь 2023'!$D$4:$D$1053,$B85,'сентябрь 2023'!$J$4:$J$1053,AG$1)</f>
        <v>0</v>
      </c>
      <c r="AH85" s="207">
        <f>SUMIFS('сентябрь 2023'!$G$4:$G$1053,'сентябрь 2023'!$D$4:$D$1053,$B85,'сентябрь 2023'!$J$4:$J$1053,AH$1)</f>
        <v>0</v>
      </c>
      <c r="AI85" s="170">
        <f t="shared" si="3"/>
        <v>0</v>
      </c>
    </row>
    <row r="86" spans="2:35" ht="15" customHeight="1" x14ac:dyDescent="0.25">
      <c r="B86" s="212" t="s">
        <v>2190</v>
      </c>
      <c r="C86" s="213">
        <v>180</v>
      </c>
      <c r="D86" s="207">
        <f>SUMIFS('сентябрь 2023'!$G$4:$G$1053,'сентябрь 2023'!$D$4:$D$1053,$B86,'сентябрь 2023'!$J$4:$J$1053,D$1)</f>
        <v>0</v>
      </c>
      <c r="E86" s="207">
        <f>SUMIFS('сентябрь 2023'!$G$4:$G$1053,'сентябрь 2023'!$D$4:$D$1053,$B86,'сентябрь 2023'!$J$4:$J$1053,E$1)</f>
        <v>0</v>
      </c>
      <c r="F86" s="207">
        <f>SUMIFS('сентябрь 2023'!$G$4:$G$1053,'сентябрь 2023'!$D$4:$D$1053,$B86,'сентябрь 2023'!$J$4:$J$1053,F$1)</f>
        <v>0</v>
      </c>
      <c r="G86" s="207">
        <f>SUMIFS('сентябрь 2023'!$G$4:$G$1053,'сентябрь 2023'!$D$4:$D$1053,$B86,'сентябрь 2023'!$J$4:$J$1053,G$1)</f>
        <v>0</v>
      </c>
      <c r="H86" s="207">
        <f>SUMIFS('сентябрь 2023'!$G$4:$G$1053,'сентябрь 2023'!$D$4:$D$1053,$B86,'сентябрь 2023'!$J$4:$J$1053,H$1)</f>
        <v>0</v>
      </c>
      <c r="I86" s="207">
        <f>SUMIFS('сентябрь 2023'!$G$4:$G$1053,'сентябрь 2023'!$D$4:$D$1053,$B86,'сентябрь 2023'!$J$4:$J$1053,I$1)</f>
        <v>0</v>
      </c>
      <c r="J86" s="207">
        <f>SUMIFS('сентябрь 2023'!$G$4:$G$1053,'сентябрь 2023'!$D$4:$D$1053,$B86,'сентябрь 2023'!$J$4:$J$1053,J$1)</f>
        <v>0</v>
      </c>
      <c r="K86" s="207">
        <f>SUMIFS('сентябрь 2023'!$G$4:$G$1053,'сентябрь 2023'!$D$4:$D$1053,$B86,'сентябрь 2023'!$J$4:$J$1053,K$1)</f>
        <v>0</v>
      </c>
      <c r="L86" s="207">
        <f>SUMIFS('сентябрь 2023'!$G$4:$G$1053,'сентябрь 2023'!$D$4:$D$1053,$B86,'сентябрь 2023'!$J$4:$J$1053,L$1)</f>
        <v>0</v>
      </c>
      <c r="M86" s="207">
        <f>SUMIFS('сентябрь 2023'!$G$4:$G$1053,'сентябрь 2023'!$D$4:$D$1053,$B86,'сентябрь 2023'!$J$4:$J$1053,M$1)</f>
        <v>0</v>
      </c>
      <c r="N86" s="207">
        <f>SUMIFS('сентябрь 2023'!$G$4:$G$1053,'сентябрь 2023'!$D$4:$D$1053,$B86,'сентябрь 2023'!$J$4:$J$1053,N$1)</f>
        <v>0</v>
      </c>
      <c r="O86" s="207">
        <f>SUMIFS('сентябрь 2023'!$G$4:$G$1053,'сентябрь 2023'!$D$4:$D$1053,$B86,'сентябрь 2023'!$J$4:$J$1053,O$1)</f>
        <v>0</v>
      </c>
      <c r="P86" s="207">
        <f>SUMIFS('сентябрь 2023'!$G$4:$G$1053,'сентябрь 2023'!$D$4:$D$1053,$B86,'сентябрь 2023'!$J$4:$J$1053,P$1)</f>
        <v>0</v>
      </c>
      <c r="Q86" s="207">
        <f>SUMIFS('сентябрь 2023'!$G$4:$G$1053,'сентябрь 2023'!$D$4:$D$1053,$B86,'сентябрь 2023'!$J$4:$J$1053,Q$1)</f>
        <v>0</v>
      </c>
      <c r="R86" s="207">
        <f>SUMIFS('сентябрь 2023'!$G$4:$G$1053,'сентябрь 2023'!$D$4:$D$1053,$B86,'сентябрь 2023'!$J$4:$J$1053,R$1)</f>
        <v>0</v>
      </c>
      <c r="S86" s="207">
        <f>SUMIFS('сентябрь 2023'!$G$4:$G$1053,'сентябрь 2023'!$D$4:$D$1053,$B86,'сентябрь 2023'!$J$4:$J$1053,S$1)</f>
        <v>0</v>
      </c>
      <c r="T86" s="207">
        <f>SUMIFS('сентябрь 2023'!$G$4:$G$1053,'сентябрь 2023'!$D$4:$D$1053,$B86,'сентябрь 2023'!$J$4:$J$1053,T$1)</f>
        <v>0</v>
      </c>
      <c r="U86" s="207">
        <f>SUMIFS('сентябрь 2023'!$G$4:$G$1053,'сентябрь 2023'!$D$4:$D$1053,$B86,'сентябрь 2023'!$J$4:$J$1053,U$1)</f>
        <v>0</v>
      </c>
      <c r="V86" s="207">
        <f>SUMIFS('сентябрь 2023'!$G$4:$G$1053,'сентябрь 2023'!$D$4:$D$1053,$B86,'сентябрь 2023'!$J$4:$J$1053,V$1)</f>
        <v>0</v>
      </c>
      <c r="W86" s="207">
        <f>SUMIFS('сентябрь 2023'!$G$4:$G$1053,'сентябрь 2023'!$D$4:$D$1053,$B86,'сентябрь 2023'!$J$4:$J$1053,W$1)</f>
        <v>0</v>
      </c>
      <c r="X86" s="207">
        <f>SUMIFS('сентябрь 2023'!$G$4:$G$1053,'сентябрь 2023'!$D$4:$D$1053,$B86,'сентябрь 2023'!$J$4:$J$1053,X$1)</f>
        <v>0</v>
      </c>
      <c r="Y86" s="207">
        <f>SUMIFS('сентябрь 2023'!$G$4:$G$1053,'сентябрь 2023'!$D$4:$D$1053,$B86,'сентябрь 2023'!$J$4:$J$1053,Y$1)</f>
        <v>0</v>
      </c>
      <c r="Z86" s="207">
        <f>SUMIFS('сентябрь 2023'!$G$4:$G$1053,'сентябрь 2023'!$D$4:$D$1053,$B86,'сентябрь 2023'!$J$4:$J$1053,Z$1)</f>
        <v>0</v>
      </c>
      <c r="AA86" s="207">
        <f>SUMIFS('сентябрь 2023'!$G$4:$G$1053,'сентябрь 2023'!$D$4:$D$1053,$B86,'сентябрь 2023'!$J$4:$J$1053,AA$1)</f>
        <v>0</v>
      </c>
      <c r="AB86" s="207">
        <f>SUMIFS('сентябрь 2023'!$G$4:$G$1053,'сентябрь 2023'!$D$4:$D$1053,$B86,'сентябрь 2023'!$J$4:$J$1053,AB$1)</f>
        <v>0</v>
      </c>
      <c r="AC86" s="207">
        <f>SUMIFS('сентябрь 2023'!$G$4:$G$1053,'сентябрь 2023'!$D$4:$D$1053,$B86,'сентябрь 2023'!$J$4:$J$1053,AC$1)</f>
        <v>0</v>
      </c>
      <c r="AD86" s="207">
        <f>SUMIFS('сентябрь 2023'!$G$4:$G$1053,'сентябрь 2023'!$D$4:$D$1053,$B86,'сентябрь 2023'!$J$4:$J$1053,AD$1)</f>
        <v>0</v>
      </c>
      <c r="AE86" s="207">
        <f>SUMIFS('сентябрь 2023'!$G$4:$G$1053,'сентябрь 2023'!$D$4:$D$1053,$B86,'сентябрь 2023'!$J$4:$J$1053,AE$1)</f>
        <v>0</v>
      </c>
      <c r="AF86" s="207">
        <f>SUMIFS('сентябрь 2023'!$G$4:$G$1053,'сентябрь 2023'!$D$4:$D$1053,$B86,'сентябрь 2023'!$J$4:$J$1053,AF$1)</f>
        <v>0</v>
      </c>
      <c r="AG86" s="207">
        <f>SUMIFS('сентябрь 2023'!$G$4:$G$1053,'сентябрь 2023'!$D$4:$D$1053,$B86,'сентябрь 2023'!$J$4:$J$1053,AG$1)</f>
        <v>0</v>
      </c>
      <c r="AH86" s="207">
        <f>SUMIFS('сентябрь 2023'!$G$4:$G$1053,'сентябрь 2023'!$D$4:$D$1053,$B86,'сентябрь 2023'!$J$4:$J$1053,AH$1)</f>
        <v>0</v>
      </c>
      <c r="AI86" s="170">
        <f t="shared" si="3"/>
        <v>0</v>
      </c>
    </row>
    <row r="87" spans="2:35" ht="15" customHeight="1" x14ac:dyDescent="0.25">
      <c r="B87" s="212" t="s">
        <v>371</v>
      </c>
      <c r="C87" s="211">
        <v>200</v>
      </c>
      <c r="D87" s="207">
        <f>SUMIFS('сентябрь 2023'!$G$4:$G$1053,'сентябрь 2023'!$D$4:$D$1053,$B87,'сентябрь 2023'!$J$4:$J$1053,D$1)</f>
        <v>0</v>
      </c>
      <c r="E87" s="207">
        <f>SUMIFS('сентябрь 2023'!$G$4:$G$1053,'сентябрь 2023'!$D$4:$D$1053,$B87,'сентябрь 2023'!$J$4:$J$1053,E$1)</f>
        <v>0</v>
      </c>
      <c r="F87" s="207">
        <f>SUMIFS('сентябрь 2023'!$G$4:$G$1053,'сентябрь 2023'!$D$4:$D$1053,$B87,'сентябрь 2023'!$J$4:$J$1053,F$1)</f>
        <v>0</v>
      </c>
      <c r="G87" s="207">
        <f>SUMIFS('сентябрь 2023'!$G$4:$G$1053,'сентябрь 2023'!$D$4:$D$1053,$B87,'сентябрь 2023'!$J$4:$J$1053,G$1)</f>
        <v>0</v>
      </c>
      <c r="H87" s="207">
        <f>SUMIFS('сентябрь 2023'!$G$4:$G$1053,'сентябрь 2023'!$D$4:$D$1053,$B87,'сентябрь 2023'!$J$4:$J$1053,H$1)</f>
        <v>0</v>
      </c>
      <c r="I87" s="207">
        <f>SUMIFS('сентябрь 2023'!$G$4:$G$1053,'сентябрь 2023'!$D$4:$D$1053,$B87,'сентябрь 2023'!$J$4:$J$1053,I$1)</f>
        <v>0</v>
      </c>
      <c r="J87" s="207">
        <f>SUMIFS('сентябрь 2023'!$G$4:$G$1053,'сентябрь 2023'!$D$4:$D$1053,$B87,'сентябрь 2023'!$J$4:$J$1053,J$1)</f>
        <v>0</v>
      </c>
      <c r="K87" s="207">
        <f>SUMIFS('сентябрь 2023'!$G$4:$G$1053,'сентябрь 2023'!$D$4:$D$1053,$B87,'сентябрь 2023'!$J$4:$J$1053,K$1)</f>
        <v>0</v>
      </c>
      <c r="L87" s="207">
        <f>SUMIFS('сентябрь 2023'!$G$4:$G$1053,'сентябрь 2023'!$D$4:$D$1053,$B87,'сентябрь 2023'!$J$4:$J$1053,L$1)</f>
        <v>0</v>
      </c>
      <c r="M87" s="207">
        <f>SUMIFS('сентябрь 2023'!$G$4:$G$1053,'сентябрь 2023'!$D$4:$D$1053,$B87,'сентябрь 2023'!$J$4:$J$1053,M$1)</f>
        <v>0</v>
      </c>
      <c r="N87" s="207">
        <f>SUMIFS('сентябрь 2023'!$G$4:$G$1053,'сентябрь 2023'!$D$4:$D$1053,$B87,'сентябрь 2023'!$J$4:$J$1053,N$1)</f>
        <v>0</v>
      </c>
      <c r="O87" s="207">
        <f>SUMIFS('сентябрь 2023'!$G$4:$G$1053,'сентябрь 2023'!$D$4:$D$1053,$B87,'сентябрь 2023'!$J$4:$J$1053,O$1)</f>
        <v>0</v>
      </c>
      <c r="P87" s="207">
        <f>SUMIFS('сентябрь 2023'!$G$4:$G$1053,'сентябрь 2023'!$D$4:$D$1053,$B87,'сентябрь 2023'!$J$4:$J$1053,P$1)</f>
        <v>0</v>
      </c>
      <c r="Q87" s="207">
        <f>SUMIFS('сентябрь 2023'!$G$4:$G$1053,'сентябрь 2023'!$D$4:$D$1053,$B87,'сентябрь 2023'!$J$4:$J$1053,Q$1)</f>
        <v>0</v>
      </c>
      <c r="R87" s="207">
        <f>SUMIFS('сентябрь 2023'!$G$4:$G$1053,'сентябрь 2023'!$D$4:$D$1053,$B87,'сентябрь 2023'!$J$4:$J$1053,R$1)</f>
        <v>0</v>
      </c>
      <c r="S87" s="207">
        <f>SUMIFS('сентябрь 2023'!$G$4:$G$1053,'сентябрь 2023'!$D$4:$D$1053,$B87,'сентябрь 2023'!$J$4:$J$1053,S$1)</f>
        <v>0</v>
      </c>
      <c r="T87" s="207">
        <f>SUMIFS('сентябрь 2023'!$G$4:$G$1053,'сентябрь 2023'!$D$4:$D$1053,$B87,'сентябрь 2023'!$J$4:$J$1053,T$1)</f>
        <v>0</v>
      </c>
      <c r="U87" s="207">
        <f>SUMIFS('сентябрь 2023'!$G$4:$G$1053,'сентябрь 2023'!$D$4:$D$1053,$B87,'сентябрь 2023'!$J$4:$J$1053,U$1)</f>
        <v>0</v>
      </c>
      <c r="V87" s="207">
        <f>SUMIFS('сентябрь 2023'!$G$4:$G$1053,'сентябрь 2023'!$D$4:$D$1053,$B87,'сентябрь 2023'!$J$4:$J$1053,V$1)</f>
        <v>0</v>
      </c>
      <c r="W87" s="207">
        <f>SUMIFS('сентябрь 2023'!$G$4:$G$1053,'сентябрь 2023'!$D$4:$D$1053,$B87,'сентябрь 2023'!$J$4:$J$1053,W$1)</f>
        <v>0</v>
      </c>
      <c r="X87" s="207">
        <f>SUMIFS('сентябрь 2023'!$G$4:$G$1053,'сентябрь 2023'!$D$4:$D$1053,$B87,'сентябрь 2023'!$J$4:$J$1053,X$1)</f>
        <v>0</v>
      </c>
      <c r="Y87" s="207">
        <f>SUMIFS('сентябрь 2023'!$G$4:$G$1053,'сентябрь 2023'!$D$4:$D$1053,$B87,'сентябрь 2023'!$J$4:$J$1053,Y$1)</f>
        <v>0</v>
      </c>
      <c r="Z87" s="207">
        <f>SUMIFS('сентябрь 2023'!$G$4:$G$1053,'сентябрь 2023'!$D$4:$D$1053,$B87,'сентябрь 2023'!$J$4:$J$1053,Z$1)</f>
        <v>0</v>
      </c>
      <c r="AA87" s="207">
        <f>SUMIFS('сентябрь 2023'!$G$4:$G$1053,'сентябрь 2023'!$D$4:$D$1053,$B87,'сентябрь 2023'!$J$4:$J$1053,AA$1)</f>
        <v>0</v>
      </c>
      <c r="AB87" s="207">
        <f>SUMIFS('сентябрь 2023'!$G$4:$G$1053,'сентябрь 2023'!$D$4:$D$1053,$B87,'сентябрь 2023'!$J$4:$J$1053,AB$1)</f>
        <v>0</v>
      </c>
      <c r="AC87" s="207">
        <f>SUMIFS('сентябрь 2023'!$G$4:$G$1053,'сентябрь 2023'!$D$4:$D$1053,$B87,'сентябрь 2023'!$J$4:$J$1053,AC$1)</f>
        <v>0</v>
      </c>
      <c r="AD87" s="207">
        <f>SUMIFS('сентябрь 2023'!$G$4:$G$1053,'сентябрь 2023'!$D$4:$D$1053,$B87,'сентябрь 2023'!$J$4:$J$1053,AD$1)</f>
        <v>0</v>
      </c>
      <c r="AE87" s="207">
        <f>SUMIFS('сентябрь 2023'!$G$4:$G$1053,'сентябрь 2023'!$D$4:$D$1053,$B87,'сентябрь 2023'!$J$4:$J$1053,AE$1)</f>
        <v>0</v>
      </c>
      <c r="AF87" s="207">
        <f>SUMIFS('сентябрь 2023'!$G$4:$G$1053,'сентябрь 2023'!$D$4:$D$1053,$B87,'сентябрь 2023'!$J$4:$J$1053,AF$1)</f>
        <v>0</v>
      </c>
      <c r="AG87" s="207">
        <f>SUMIFS('сентябрь 2023'!$G$4:$G$1053,'сентябрь 2023'!$D$4:$D$1053,$B87,'сентябрь 2023'!$J$4:$J$1053,AG$1)</f>
        <v>0</v>
      </c>
      <c r="AH87" s="207">
        <f>SUMIFS('сентябрь 2023'!$G$4:$G$1053,'сентябрь 2023'!$D$4:$D$1053,$B87,'сентябрь 2023'!$J$4:$J$1053,AH$1)</f>
        <v>0</v>
      </c>
      <c r="AI87" s="170">
        <f t="shared" si="3"/>
        <v>0</v>
      </c>
    </row>
    <row r="88" spans="2:35" ht="15" customHeight="1" x14ac:dyDescent="0.25">
      <c r="B88" s="212" t="s">
        <v>1608</v>
      </c>
      <c r="C88" s="211">
        <v>950</v>
      </c>
      <c r="D88" s="207">
        <f>SUMIFS('сентябрь 2023'!$G$4:$G$1053,'сентябрь 2023'!$D$4:$D$1053,$B88,'сентябрь 2023'!$J$4:$J$1053,D$1)</f>
        <v>0</v>
      </c>
      <c r="E88" s="207">
        <f>SUMIFS('сентябрь 2023'!$G$4:$G$1053,'сентябрь 2023'!$D$4:$D$1053,$B88,'сентябрь 2023'!$J$4:$J$1053,E$1)</f>
        <v>0</v>
      </c>
      <c r="F88" s="207">
        <f>SUMIFS('сентябрь 2023'!$G$4:$G$1053,'сентябрь 2023'!$D$4:$D$1053,$B88,'сентябрь 2023'!$J$4:$J$1053,F$1)</f>
        <v>0</v>
      </c>
      <c r="G88" s="207">
        <f>SUMIFS('сентябрь 2023'!$G$4:$G$1053,'сентябрь 2023'!$D$4:$D$1053,$B88,'сентябрь 2023'!$J$4:$J$1053,G$1)</f>
        <v>0</v>
      </c>
      <c r="H88" s="207">
        <f>SUMIFS('сентябрь 2023'!$G$4:$G$1053,'сентябрь 2023'!$D$4:$D$1053,$B88,'сентябрь 2023'!$J$4:$J$1053,H$1)</f>
        <v>0</v>
      </c>
      <c r="I88" s="207">
        <f>SUMIFS('сентябрь 2023'!$G$4:$G$1053,'сентябрь 2023'!$D$4:$D$1053,$B88,'сентябрь 2023'!$J$4:$J$1053,I$1)</f>
        <v>0</v>
      </c>
      <c r="J88" s="207">
        <f>SUMIFS('сентябрь 2023'!$G$4:$G$1053,'сентябрь 2023'!$D$4:$D$1053,$B88,'сентябрь 2023'!$J$4:$J$1053,J$1)</f>
        <v>0</v>
      </c>
      <c r="K88" s="207">
        <f>SUMIFS('сентябрь 2023'!$G$4:$G$1053,'сентябрь 2023'!$D$4:$D$1053,$B88,'сентябрь 2023'!$J$4:$J$1053,K$1)</f>
        <v>0</v>
      </c>
      <c r="L88" s="207">
        <f>SUMIFS('сентябрь 2023'!$G$4:$G$1053,'сентябрь 2023'!$D$4:$D$1053,$B88,'сентябрь 2023'!$J$4:$J$1053,L$1)</f>
        <v>0</v>
      </c>
      <c r="M88" s="207">
        <f>SUMIFS('сентябрь 2023'!$G$4:$G$1053,'сентябрь 2023'!$D$4:$D$1053,$B88,'сентябрь 2023'!$J$4:$J$1053,M$1)</f>
        <v>0</v>
      </c>
      <c r="N88" s="207">
        <f>SUMIFS('сентябрь 2023'!$G$4:$G$1053,'сентябрь 2023'!$D$4:$D$1053,$B88,'сентябрь 2023'!$J$4:$J$1053,N$1)</f>
        <v>0</v>
      </c>
      <c r="O88" s="207">
        <f>SUMIFS('сентябрь 2023'!$G$4:$G$1053,'сентябрь 2023'!$D$4:$D$1053,$B88,'сентябрь 2023'!$J$4:$J$1053,O$1)</f>
        <v>0</v>
      </c>
      <c r="P88" s="207">
        <f>SUMIFS('сентябрь 2023'!$G$4:$G$1053,'сентябрь 2023'!$D$4:$D$1053,$B88,'сентябрь 2023'!$J$4:$J$1053,P$1)</f>
        <v>0</v>
      </c>
      <c r="Q88" s="207">
        <f>SUMIFS('сентябрь 2023'!$G$4:$G$1053,'сентябрь 2023'!$D$4:$D$1053,$B88,'сентябрь 2023'!$J$4:$J$1053,Q$1)</f>
        <v>0</v>
      </c>
      <c r="R88" s="207">
        <f>SUMIFS('сентябрь 2023'!$G$4:$G$1053,'сентябрь 2023'!$D$4:$D$1053,$B88,'сентябрь 2023'!$J$4:$J$1053,R$1)</f>
        <v>0</v>
      </c>
      <c r="S88" s="207">
        <f>SUMIFS('сентябрь 2023'!$G$4:$G$1053,'сентябрь 2023'!$D$4:$D$1053,$B88,'сентябрь 2023'!$J$4:$J$1053,S$1)</f>
        <v>0</v>
      </c>
      <c r="T88" s="207">
        <f>SUMIFS('сентябрь 2023'!$G$4:$G$1053,'сентябрь 2023'!$D$4:$D$1053,$B88,'сентябрь 2023'!$J$4:$J$1053,T$1)</f>
        <v>0</v>
      </c>
      <c r="U88" s="207">
        <f>SUMIFS('сентябрь 2023'!$G$4:$G$1053,'сентябрь 2023'!$D$4:$D$1053,$B88,'сентябрь 2023'!$J$4:$J$1053,U$1)</f>
        <v>0</v>
      </c>
      <c r="V88" s="207">
        <f>SUMIFS('сентябрь 2023'!$G$4:$G$1053,'сентябрь 2023'!$D$4:$D$1053,$B88,'сентябрь 2023'!$J$4:$J$1053,V$1)</f>
        <v>0</v>
      </c>
      <c r="W88" s="207">
        <f>SUMIFS('сентябрь 2023'!$G$4:$G$1053,'сентябрь 2023'!$D$4:$D$1053,$B88,'сентябрь 2023'!$J$4:$J$1053,W$1)</f>
        <v>0</v>
      </c>
      <c r="X88" s="207">
        <f>SUMIFS('сентябрь 2023'!$G$4:$G$1053,'сентябрь 2023'!$D$4:$D$1053,$B88,'сентябрь 2023'!$J$4:$J$1053,X$1)</f>
        <v>0</v>
      </c>
      <c r="Y88" s="207">
        <f>SUMIFS('сентябрь 2023'!$G$4:$G$1053,'сентябрь 2023'!$D$4:$D$1053,$B88,'сентябрь 2023'!$J$4:$J$1053,Y$1)</f>
        <v>0</v>
      </c>
      <c r="Z88" s="207">
        <f>SUMIFS('сентябрь 2023'!$G$4:$G$1053,'сентябрь 2023'!$D$4:$D$1053,$B88,'сентябрь 2023'!$J$4:$J$1053,Z$1)</f>
        <v>0</v>
      </c>
      <c r="AA88" s="207">
        <f>SUMIFS('сентябрь 2023'!$G$4:$G$1053,'сентябрь 2023'!$D$4:$D$1053,$B88,'сентябрь 2023'!$J$4:$J$1053,AA$1)</f>
        <v>0</v>
      </c>
      <c r="AB88" s="207">
        <f>SUMIFS('сентябрь 2023'!$G$4:$G$1053,'сентябрь 2023'!$D$4:$D$1053,$B88,'сентябрь 2023'!$J$4:$J$1053,AB$1)</f>
        <v>0</v>
      </c>
      <c r="AC88" s="207">
        <f>SUMIFS('сентябрь 2023'!$G$4:$G$1053,'сентябрь 2023'!$D$4:$D$1053,$B88,'сентябрь 2023'!$J$4:$J$1053,AC$1)</f>
        <v>0</v>
      </c>
      <c r="AD88" s="207">
        <f>SUMIFS('сентябрь 2023'!$G$4:$G$1053,'сентябрь 2023'!$D$4:$D$1053,$B88,'сентябрь 2023'!$J$4:$J$1053,AD$1)</f>
        <v>0</v>
      </c>
      <c r="AE88" s="207">
        <f>SUMIFS('сентябрь 2023'!$G$4:$G$1053,'сентябрь 2023'!$D$4:$D$1053,$B88,'сентябрь 2023'!$J$4:$J$1053,AE$1)</f>
        <v>0</v>
      </c>
      <c r="AF88" s="207">
        <f>SUMIFS('сентябрь 2023'!$G$4:$G$1053,'сентябрь 2023'!$D$4:$D$1053,$B88,'сентябрь 2023'!$J$4:$J$1053,AF$1)</f>
        <v>0</v>
      </c>
      <c r="AG88" s="207">
        <f>SUMIFS('сентябрь 2023'!$G$4:$G$1053,'сентябрь 2023'!$D$4:$D$1053,$B88,'сентябрь 2023'!$J$4:$J$1053,AG$1)</f>
        <v>0</v>
      </c>
      <c r="AH88" s="207">
        <f>SUMIFS('сентябрь 2023'!$G$4:$G$1053,'сентябрь 2023'!$D$4:$D$1053,$B88,'сентябрь 2023'!$J$4:$J$1053,AH$1)</f>
        <v>0</v>
      </c>
      <c r="AI88" s="170">
        <f t="shared" si="3"/>
        <v>0</v>
      </c>
    </row>
    <row r="89" spans="2:35" ht="15" customHeight="1" x14ac:dyDescent="0.25">
      <c r="B89" s="212" t="s">
        <v>468</v>
      </c>
      <c r="C89" s="211">
        <v>180</v>
      </c>
      <c r="D89" s="207">
        <f>SUMIFS('сентябрь 2023'!$G$4:$G$1053,'сентябрь 2023'!$D$4:$D$1053,$B89,'сентябрь 2023'!$J$4:$J$1053,D$1)</f>
        <v>0</v>
      </c>
      <c r="E89" s="207">
        <f>SUMIFS('сентябрь 2023'!$G$4:$G$1053,'сентябрь 2023'!$D$4:$D$1053,$B89,'сентябрь 2023'!$J$4:$J$1053,E$1)</f>
        <v>0</v>
      </c>
      <c r="F89" s="207">
        <f>SUMIFS('сентябрь 2023'!$G$4:$G$1053,'сентябрь 2023'!$D$4:$D$1053,$B89,'сентябрь 2023'!$J$4:$J$1053,F$1)</f>
        <v>0</v>
      </c>
      <c r="G89" s="207">
        <f>SUMIFS('сентябрь 2023'!$G$4:$G$1053,'сентябрь 2023'!$D$4:$D$1053,$B89,'сентябрь 2023'!$J$4:$J$1053,G$1)</f>
        <v>0</v>
      </c>
      <c r="H89" s="207">
        <f>SUMIFS('сентябрь 2023'!$G$4:$G$1053,'сентябрь 2023'!$D$4:$D$1053,$B89,'сентябрь 2023'!$J$4:$J$1053,H$1)</f>
        <v>0</v>
      </c>
      <c r="I89" s="207">
        <f>SUMIFS('сентябрь 2023'!$G$4:$G$1053,'сентябрь 2023'!$D$4:$D$1053,$B89,'сентябрь 2023'!$J$4:$J$1053,I$1)</f>
        <v>80</v>
      </c>
      <c r="J89" s="207">
        <f>SUMIFS('сентябрь 2023'!$G$4:$G$1053,'сентябрь 2023'!$D$4:$D$1053,$B89,'сентябрь 2023'!$J$4:$J$1053,J$1)</f>
        <v>0</v>
      </c>
      <c r="K89" s="207">
        <f>SUMIFS('сентябрь 2023'!$G$4:$G$1053,'сентябрь 2023'!$D$4:$D$1053,$B89,'сентябрь 2023'!$J$4:$J$1053,K$1)</f>
        <v>0</v>
      </c>
      <c r="L89" s="207">
        <f>SUMIFS('сентябрь 2023'!$G$4:$G$1053,'сентябрь 2023'!$D$4:$D$1053,$B89,'сентябрь 2023'!$J$4:$J$1053,L$1)</f>
        <v>0</v>
      </c>
      <c r="M89" s="207">
        <f>SUMIFS('сентябрь 2023'!$G$4:$G$1053,'сентябрь 2023'!$D$4:$D$1053,$B89,'сентябрь 2023'!$J$4:$J$1053,M$1)</f>
        <v>0</v>
      </c>
      <c r="N89" s="207">
        <f>SUMIFS('сентябрь 2023'!$G$4:$G$1053,'сентябрь 2023'!$D$4:$D$1053,$B89,'сентябрь 2023'!$J$4:$J$1053,N$1)</f>
        <v>0</v>
      </c>
      <c r="O89" s="207">
        <f>SUMIFS('сентябрь 2023'!$G$4:$G$1053,'сентябрь 2023'!$D$4:$D$1053,$B89,'сентябрь 2023'!$J$4:$J$1053,O$1)</f>
        <v>0</v>
      </c>
      <c r="P89" s="207">
        <f>SUMIFS('сентябрь 2023'!$G$4:$G$1053,'сентябрь 2023'!$D$4:$D$1053,$B89,'сентябрь 2023'!$J$4:$J$1053,P$1)</f>
        <v>0</v>
      </c>
      <c r="Q89" s="207">
        <f>SUMIFS('сентябрь 2023'!$G$4:$G$1053,'сентябрь 2023'!$D$4:$D$1053,$B89,'сентябрь 2023'!$J$4:$J$1053,Q$1)</f>
        <v>0</v>
      </c>
      <c r="R89" s="207">
        <f>SUMIFS('сентябрь 2023'!$G$4:$G$1053,'сентябрь 2023'!$D$4:$D$1053,$B89,'сентябрь 2023'!$J$4:$J$1053,R$1)</f>
        <v>0</v>
      </c>
      <c r="S89" s="207">
        <f>SUMIFS('сентябрь 2023'!$G$4:$G$1053,'сентябрь 2023'!$D$4:$D$1053,$B89,'сентябрь 2023'!$J$4:$J$1053,S$1)</f>
        <v>0</v>
      </c>
      <c r="T89" s="207">
        <f>SUMIFS('сентябрь 2023'!$G$4:$G$1053,'сентябрь 2023'!$D$4:$D$1053,$B89,'сентябрь 2023'!$J$4:$J$1053,T$1)</f>
        <v>0</v>
      </c>
      <c r="U89" s="207">
        <f>SUMIFS('сентябрь 2023'!$G$4:$G$1053,'сентябрь 2023'!$D$4:$D$1053,$B89,'сентябрь 2023'!$J$4:$J$1053,U$1)</f>
        <v>0</v>
      </c>
      <c r="V89" s="207">
        <f>SUMIFS('сентябрь 2023'!$G$4:$G$1053,'сентябрь 2023'!$D$4:$D$1053,$B89,'сентябрь 2023'!$J$4:$J$1053,V$1)</f>
        <v>0</v>
      </c>
      <c r="W89" s="207">
        <f>SUMIFS('сентябрь 2023'!$G$4:$G$1053,'сентябрь 2023'!$D$4:$D$1053,$B89,'сентябрь 2023'!$J$4:$J$1053,W$1)</f>
        <v>0</v>
      </c>
      <c r="X89" s="207">
        <f>SUMIFS('сентябрь 2023'!$G$4:$G$1053,'сентябрь 2023'!$D$4:$D$1053,$B89,'сентябрь 2023'!$J$4:$J$1053,X$1)</f>
        <v>0</v>
      </c>
      <c r="Y89" s="207">
        <f>SUMIFS('сентябрь 2023'!$G$4:$G$1053,'сентябрь 2023'!$D$4:$D$1053,$B89,'сентябрь 2023'!$J$4:$J$1053,Y$1)</f>
        <v>0</v>
      </c>
      <c r="Z89" s="207">
        <f>SUMIFS('сентябрь 2023'!$G$4:$G$1053,'сентябрь 2023'!$D$4:$D$1053,$B89,'сентябрь 2023'!$J$4:$J$1053,Z$1)</f>
        <v>0</v>
      </c>
      <c r="AA89" s="207">
        <f>SUMIFS('сентябрь 2023'!$G$4:$G$1053,'сентябрь 2023'!$D$4:$D$1053,$B89,'сентябрь 2023'!$J$4:$J$1053,AA$1)</f>
        <v>0</v>
      </c>
      <c r="AB89" s="207">
        <f>SUMIFS('сентябрь 2023'!$G$4:$G$1053,'сентябрь 2023'!$D$4:$D$1053,$B89,'сентябрь 2023'!$J$4:$J$1053,AB$1)</f>
        <v>0</v>
      </c>
      <c r="AC89" s="207">
        <f>SUMIFS('сентябрь 2023'!$G$4:$G$1053,'сентябрь 2023'!$D$4:$D$1053,$B89,'сентябрь 2023'!$J$4:$J$1053,AC$1)</f>
        <v>0</v>
      </c>
      <c r="AD89" s="207">
        <f>SUMIFS('сентябрь 2023'!$G$4:$G$1053,'сентябрь 2023'!$D$4:$D$1053,$B89,'сентябрь 2023'!$J$4:$J$1053,AD$1)</f>
        <v>0</v>
      </c>
      <c r="AE89" s="207">
        <f>SUMIFS('сентябрь 2023'!$G$4:$G$1053,'сентябрь 2023'!$D$4:$D$1053,$B89,'сентябрь 2023'!$J$4:$J$1053,AE$1)</f>
        <v>0</v>
      </c>
      <c r="AF89" s="207">
        <f>SUMIFS('сентябрь 2023'!$G$4:$G$1053,'сентябрь 2023'!$D$4:$D$1053,$B89,'сентябрь 2023'!$J$4:$J$1053,AF$1)</f>
        <v>0</v>
      </c>
      <c r="AG89" s="207">
        <f>SUMIFS('сентябрь 2023'!$G$4:$G$1053,'сентябрь 2023'!$D$4:$D$1053,$B89,'сентябрь 2023'!$J$4:$J$1053,AG$1)</f>
        <v>0</v>
      </c>
      <c r="AH89" s="207">
        <f>SUMIFS('сентябрь 2023'!$G$4:$G$1053,'сентябрь 2023'!$D$4:$D$1053,$B89,'сентябрь 2023'!$J$4:$J$1053,AH$1)</f>
        <v>0</v>
      </c>
      <c r="AI89" s="170">
        <f t="shared" si="3"/>
        <v>80</v>
      </c>
    </row>
    <row r="90" spans="2:35" ht="15" customHeight="1" x14ac:dyDescent="0.25">
      <c r="B90" s="216" t="s">
        <v>1755</v>
      </c>
      <c r="C90" s="213">
        <v>200</v>
      </c>
      <c r="D90" s="207">
        <f>SUMIFS('сентябрь 2023'!$G$4:$G$1053,'сентябрь 2023'!$D$4:$D$1053,$B90,'сентябрь 2023'!$J$4:$J$1053,D$1)</f>
        <v>0</v>
      </c>
      <c r="E90" s="207">
        <f>SUMIFS('сентябрь 2023'!$G$4:$G$1053,'сентябрь 2023'!$D$4:$D$1053,$B90,'сентябрь 2023'!$J$4:$J$1053,E$1)</f>
        <v>0</v>
      </c>
      <c r="F90" s="207">
        <f>SUMIFS('сентябрь 2023'!$G$4:$G$1053,'сентябрь 2023'!$D$4:$D$1053,$B90,'сентябрь 2023'!$J$4:$J$1053,F$1)</f>
        <v>0</v>
      </c>
      <c r="G90" s="207">
        <f>SUMIFS('сентябрь 2023'!$G$4:$G$1053,'сентябрь 2023'!$D$4:$D$1053,$B90,'сентябрь 2023'!$J$4:$J$1053,G$1)</f>
        <v>0</v>
      </c>
      <c r="H90" s="207">
        <f>SUMIFS('сентябрь 2023'!$G$4:$G$1053,'сентябрь 2023'!$D$4:$D$1053,$B90,'сентябрь 2023'!$J$4:$J$1053,H$1)</f>
        <v>0</v>
      </c>
      <c r="I90" s="207">
        <f>SUMIFS('сентябрь 2023'!$G$4:$G$1053,'сентябрь 2023'!$D$4:$D$1053,$B90,'сентябрь 2023'!$J$4:$J$1053,I$1)</f>
        <v>0</v>
      </c>
      <c r="J90" s="207">
        <f>SUMIFS('сентябрь 2023'!$G$4:$G$1053,'сентябрь 2023'!$D$4:$D$1053,$B90,'сентябрь 2023'!$J$4:$J$1053,J$1)</f>
        <v>0</v>
      </c>
      <c r="K90" s="207">
        <f>SUMIFS('сентябрь 2023'!$G$4:$G$1053,'сентябрь 2023'!$D$4:$D$1053,$B90,'сентябрь 2023'!$J$4:$J$1053,K$1)</f>
        <v>0</v>
      </c>
      <c r="L90" s="207">
        <f>SUMIFS('сентябрь 2023'!$G$4:$G$1053,'сентябрь 2023'!$D$4:$D$1053,$B90,'сентябрь 2023'!$J$4:$J$1053,L$1)</f>
        <v>0</v>
      </c>
      <c r="M90" s="207">
        <f>SUMIFS('сентябрь 2023'!$G$4:$G$1053,'сентябрь 2023'!$D$4:$D$1053,$B90,'сентябрь 2023'!$J$4:$J$1053,M$1)</f>
        <v>0</v>
      </c>
      <c r="N90" s="207">
        <f>SUMIFS('сентябрь 2023'!$G$4:$G$1053,'сентябрь 2023'!$D$4:$D$1053,$B90,'сентябрь 2023'!$J$4:$J$1053,N$1)</f>
        <v>0</v>
      </c>
      <c r="O90" s="207">
        <f>SUMIFS('сентябрь 2023'!$G$4:$G$1053,'сентябрь 2023'!$D$4:$D$1053,$B90,'сентябрь 2023'!$J$4:$J$1053,O$1)</f>
        <v>0</v>
      </c>
      <c r="P90" s="207">
        <f>SUMIFS('сентябрь 2023'!$G$4:$G$1053,'сентябрь 2023'!$D$4:$D$1053,$B90,'сентябрь 2023'!$J$4:$J$1053,P$1)</f>
        <v>0</v>
      </c>
      <c r="Q90" s="207">
        <f>SUMIFS('сентябрь 2023'!$G$4:$G$1053,'сентябрь 2023'!$D$4:$D$1053,$B90,'сентябрь 2023'!$J$4:$J$1053,Q$1)</f>
        <v>0</v>
      </c>
      <c r="R90" s="207">
        <f>SUMIFS('сентябрь 2023'!$G$4:$G$1053,'сентябрь 2023'!$D$4:$D$1053,$B90,'сентябрь 2023'!$J$4:$J$1053,R$1)</f>
        <v>0</v>
      </c>
      <c r="S90" s="207">
        <f>SUMIFS('сентябрь 2023'!$G$4:$G$1053,'сентябрь 2023'!$D$4:$D$1053,$B90,'сентябрь 2023'!$J$4:$J$1053,S$1)</f>
        <v>0</v>
      </c>
      <c r="T90" s="207">
        <f>SUMIFS('сентябрь 2023'!$G$4:$G$1053,'сентябрь 2023'!$D$4:$D$1053,$B90,'сентябрь 2023'!$J$4:$J$1053,T$1)</f>
        <v>0</v>
      </c>
      <c r="U90" s="207">
        <f>SUMIFS('сентябрь 2023'!$G$4:$G$1053,'сентябрь 2023'!$D$4:$D$1053,$B90,'сентябрь 2023'!$J$4:$J$1053,U$1)</f>
        <v>0</v>
      </c>
      <c r="V90" s="207">
        <f>SUMIFS('сентябрь 2023'!$G$4:$G$1053,'сентябрь 2023'!$D$4:$D$1053,$B90,'сентябрь 2023'!$J$4:$J$1053,V$1)</f>
        <v>0</v>
      </c>
      <c r="W90" s="207">
        <f>SUMIFS('сентябрь 2023'!$G$4:$G$1053,'сентябрь 2023'!$D$4:$D$1053,$B90,'сентябрь 2023'!$J$4:$J$1053,W$1)</f>
        <v>0</v>
      </c>
      <c r="X90" s="207">
        <f>SUMIFS('сентябрь 2023'!$G$4:$G$1053,'сентябрь 2023'!$D$4:$D$1053,$B90,'сентябрь 2023'!$J$4:$J$1053,X$1)</f>
        <v>0</v>
      </c>
      <c r="Y90" s="207">
        <f>SUMIFS('сентябрь 2023'!$G$4:$G$1053,'сентябрь 2023'!$D$4:$D$1053,$B90,'сентябрь 2023'!$J$4:$J$1053,Y$1)</f>
        <v>0</v>
      </c>
      <c r="Z90" s="207">
        <f>SUMIFS('сентябрь 2023'!$G$4:$G$1053,'сентябрь 2023'!$D$4:$D$1053,$B90,'сентябрь 2023'!$J$4:$J$1053,Z$1)</f>
        <v>0</v>
      </c>
      <c r="AA90" s="207">
        <f>SUMIFS('сентябрь 2023'!$G$4:$G$1053,'сентябрь 2023'!$D$4:$D$1053,$B90,'сентябрь 2023'!$J$4:$J$1053,AA$1)</f>
        <v>0</v>
      </c>
      <c r="AB90" s="207">
        <f>SUMIFS('сентябрь 2023'!$G$4:$G$1053,'сентябрь 2023'!$D$4:$D$1053,$B90,'сентябрь 2023'!$J$4:$J$1053,AB$1)</f>
        <v>0</v>
      </c>
      <c r="AC90" s="207">
        <f>SUMIFS('сентябрь 2023'!$G$4:$G$1053,'сентябрь 2023'!$D$4:$D$1053,$B90,'сентябрь 2023'!$J$4:$J$1053,AC$1)</f>
        <v>0</v>
      </c>
      <c r="AD90" s="207">
        <f>SUMIFS('сентябрь 2023'!$G$4:$G$1053,'сентябрь 2023'!$D$4:$D$1053,$B90,'сентябрь 2023'!$J$4:$J$1053,AD$1)</f>
        <v>0</v>
      </c>
      <c r="AE90" s="207">
        <f>SUMIFS('сентябрь 2023'!$G$4:$G$1053,'сентябрь 2023'!$D$4:$D$1053,$B90,'сентябрь 2023'!$J$4:$J$1053,AE$1)</f>
        <v>0</v>
      </c>
      <c r="AF90" s="207">
        <f>SUMIFS('сентябрь 2023'!$G$4:$G$1053,'сентябрь 2023'!$D$4:$D$1053,$B90,'сентябрь 2023'!$J$4:$J$1053,AF$1)</f>
        <v>0</v>
      </c>
      <c r="AG90" s="207">
        <f>SUMIFS('сентябрь 2023'!$G$4:$G$1053,'сентябрь 2023'!$D$4:$D$1053,$B90,'сентябрь 2023'!$J$4:$J$1053,AG$1)</f>
        <v>0</v>
      </c>
      <c r="AH90" s="207">
        <f>SUMIFS('сентябрь 2023'!$G$4:$G$1053,'сентябрь 2023'!$D$4:$D$1053,$B90,'сентябрь 2023'!$J$4:$J$1053,AH$1)</f>
        <v>0</v>
      </c>
      <c r="AI90" s="170">
        <f t="shared" si="3"/>
        <v>0</v>
      </c>
    </row>
    <row r="91" spans="2:35" ht="15" customHeight="1" x14ac:dyDescent="0.25">
      <c r="B91" s="216" t="s">
        <v>2191</v>
      </c>
      <c r="C91" s="213">
        <v>200</v>
      </c>
      <c r="D91" s="207">
        <f>SUMIFS('сентябрь 2023'!$G$4:$G$1053,'сентябрь 2023'!$D$4:$D$1053,$B91,'сентябрь 2023'!$J$4:$J$1053,D$1)</f>
        <v>0</v>
      </c>
      <c r="E91" s="207">
        <f>SUMIFS('сентябрь 2023'!$G$4:$G$1053,'сентябрь 2023'!$D$4:$D$1053,$B91,'сентябрь 2023'!$J$4:$J$1053,E$1)</f>
        <v>0</v>
      </c>
      <c r="F91" s="207">
        <f>SUMIFS('сентябрь 2023'!$G$4:$G$1053,'сентябрь 2023'!$D$4:$D$1053,$B91,'сентябрь 2023'!$J$4:$J$1053,F$1)</f>
        <v>0</v>
      </c>
      <c r="G91" s="207">
        <f>SUMIFS('сентябрь 2023'!$G$4:$G$1053,'сентябрь 2023'!$D$4:$D$1053,$B91,'сентябрь 2023'!$J$4:$J$1053,G$1)</f>
        <v>0</v>
      </c>
      <c r="H91" s="207">
        <f>SUMIFS('сентябрь 2023'!$G$4:$G$1053,'сентябрь 2023'!$D$4:$D$1053,$B91,'сентябрь 2023'!$J$4:$J$1053,H$1)</f>
        <v>0</v>
      </c>
      <c r="I91" s="207">
        <f>SUMIFS('сентябрь 2023'!$G$4:$G$1053,'сентябрь 2023'!$D$4:$D$1053,$B91,'сентябрь 2023'!$J$4:$J$1053,I$1)</f>
        <v>0</v>
      </c>
      <c r="J91" s="207">
        <f>SUMIFS('сентябрь 2023'!$G$4:$G$1053,'сентябрь 2023'!$D$4:$D$1053,$B91,'сентябрь 2023'!$J$4:$J$1053,J$1)</f>
        <v>0</v>
      </c>
      <c r="K91" s="207">
        <f>SUMIFS('сентябрь 2023'!$G$4:$G$1053,'сентябрь 2023'!$D$4:$D$1053,$B91,'сентябрь 2023'!$J$4:$J$1053,K$1)</f>
        <v>0</v>
      </c>
      <c r="L91" s="207">
        <f>SUMIFS('сентябрь 2023'!$G$4:$G$1053,'сентябрь 2023'!$D$4:$D$1053,$B91,'сентябрь 2023'!$J$4:$J$1053,L$1)</f>
        <v>0</v>
      </c>
      <c r="M91" s="207">
        <f>SUMIFS('сентябрь 2023'!$G$4:$G$1053,'сентябрь 2023'!$D$4:$D$1053,$B91,'сентябрь 2023'!$J$4:$J$1053,M$1)</f>
        <v>0</v>
      </c>
      <c r="N91" s="207">
        <f>SUMIFS('сентябрь 2023'!$G$4:$G$1053,'сентябрь 2023'!$D$4:$D$1053,$B91,'сентябрь 2023'!$J$4:$J$1053,N$1)</f>
        <v>0</v>
      </c>
      <c r="O91" s="207">
        <f>SUMIFS('сентябрь 2023'!$G$4:$G$1053,'сентябрь 2023'!$D$4:$D$1053,$B91,'сентябрь 2023'!$J$4:$J$1053,O$1)</f>
        <v>0</v>
      </c>
      <c r="P91" s="207">
        <f>SUMIFS('сентябрь 2023'!$G$4:$G$1053,'сентябрь 2023'!$D$4:$D$1053,$B91,'сентябрь 2023'!$J$4:$J$1053,P$1)</f>
        <v>0</v>
      </c>
      <c r="Q91" s="207">
        <f>SUMIFS('сентябрь 2023'!$G$4:$G$1053,'сентябрь 2023'!$D$4:$D$1053,$B91,'сентябрь 2023'!$J$4:$J$1053,Q$1)</f>
        <v>0</v>
      </c>
      <c r="R91" s="207">
        <f>SUMIFS('сентябрь 2023'!$G$4:$G$1053,'сентябрь 2023'!$D$4:$D$1053,$B91,'сентябрь 2023'!$J$4:$J$1053,R$1)</f>
        <v>0</v>
      </c>
      <c r="S91" s="207">
        <f>SUMIFS('сентябрь 2023'!$G$4:$G$1053,'сентябрь 2023'!$D$4:$D$1053,$B91,'сентябрь 2023'!$J$4:$J$1053,S$1)</f>
        <v>0</v>
      </c>
      <c r="T91" s="207">
        <f>SUMIFS('сентябрь 2023'!$G$4:$G$1053,'сентябрь 2023'!$D$4:$D$1053,$B91,'сентябрь 2023'!$J$4:$J$1053,T$1)</f>
        <v>0</v>
      </c>
      <c r="U91" s="207">
        <f>SUMIFS('сентябрь 2023'!$G$4:$G$1053,'сентябрь 2023'!$D$4:$D$1053,$B91,'сентябрь 2023'!$J$4:$J$1053,U$1)</f>
        <v>0</v>
      </c>
      <c r="V91" s="207">
        <f>SUMIFS('сентябрь 2023'!$G$4:$G$1053,'сентябрь 2023'!$D$4:$D$1053,$B91,'сентябрь 2023'!$J$4:$J$1053,V$1)</f>
        <v>0</v>
      </c>
      <c r="W91" s="207">
        <f>SUMIFS('сентябрь 2023'!$G$4:$G$1053,'сентябрь 2023'!$D$4:$D$1053,$B91,'сентябрь 2023'!$J$4:$J$1053,W$1)</f>
        <v>0</v>
      </c>
      <c r="X91" s="207">
        <f>SUMIFS('сентябрь 2023'!$G$4:$G$1053,'сентябрь 2023'!$D$4:$D$1053,$B91,'сентябрь 2023'!$J$4:$J$1053,X$1)</f>
        <v>0</v>
      </c>
      <c r="Y91" s="207">
        <f>SUMIFS('сентябрь 2023'!$G$4:$G$1053,'сентябрь 2023'!$D$4:$D$1053,$B91,'сентябрь 2023'!$J$4:$J$1053,Y$1)</f>
        <v>0</v>
      </c>
      <c r="Z91" s="207">
        <f>SUMIFS('сентябрь 2023'!$G$4:$G$1053,'сентябрь 2023'!$D$4:$D$1053,$B91,'сентябрь 2023'!$J$4:$J$1053,Z$1)</f>
        <v>0</v>
      </c>
      <c r="AA91" s="207">
        <f>SUMIFS('сентябрь 2023'!$G$4:$G$1053,'сентябрь 2023'!$D$4:$D$1053,$B91,'сентябрь 2023'!$J$4:$J$1053,AA$1)</f>
        <v>0</v>
      </c>
      <c r="AB91" s="207">
        <f>SUMIFS('сентябрь 2023'!$G$4:$G$1053,'сентябрь 2023'!$D$4:$D$1053,$B91,'сентябрь 2023'!$J$4:$J$1053,AB$1)</f>
        <v>0</v>
      </c>
      <c r="AC91" s="207">
        <f>SUMIFS('сентябрь 2023'!$G$4:$G$1053,'сентябрь 2023'!$D$4:$D$1053,$B91,'сентябрь 2023'!$J$4:$J$1053,AC$1)</f>
        <v>0</v>
      </c>
      <c r="AD91" s="207">
        <f>SUMIFS('сентябрь 2023'!$G$4:$G$1053,'сентябрь 2023'!$D$4:$D$1053,$B91,'сентябрь 2023'!$J$4:$J$1053,AD$1)</f>
        <v>0</v>
      </c>
      <c r="AE91" s="207">
        <f>SUMIFS('сентябрь 2023'!$G$4:$G$1053,'сентябрь 2023'!$D$4:$D$1053,$B91,'сентябрь 2023'!$J$4:$J$1053,AE$1)</f>
        <v>0</v>
      </c>
      <c r="AF91" s="207">
        <f>SUMIFS('сентябрь 2023'!$G$4:$G$1053,'сентябрь 2023'!$D$4:$D$1053,$B91,'сентябрь 2023'!$J$4:$J$1053,AF$1)</f>
        <v>0</v>
      </c>
      <c r="AG91" s="207">
        <f>SUMIFS('сентябрь 2023'!$G$4:$G$1053,'сентябрь 2023'!$D$4:$D$1053,$B91,'сентябрь 2023'!$J$4:$J$1053,AG$1)</f>
        <v>0</v>
      </c>
      <c r="AH91" s="207">
        <f>SUMIFS('сентябрь 2023'!$G$4:$G$1053,'сентябрь 2023'!$D$4:$D$1053,$B91,'сентябрь 2023'!$J$4:$J$1053,AH$1)</f>
        <v>0</v>
      </c>
      <c r="AI91" s="170">
        <f t="shared" si="3"/>
        <v>0</v>
      </c>
    </row>
    <row r="92" spans="2:35" ht="15" customHeight="1" x14ac:dyDescent="0.25">
      <c r="B92" s="216" t="s">
        <v>898</v>
      </c>
      <c r="C92" s="213">
        <v>200</v>
      </c>
      <c r="D92" s="207">
        <f>SUMIFS('сентябрь 2023'!$G$4:$G$1053,'сентябрь 2023'!$D$4:$D$1053,$B92,'сентябрь 2023'!$J$4:$J$1053,D$1)</f>
        <v>0</v>
      </c>
      <c r="E92" s="207">
        <f>SUMIFS('сентябрь 2023'!$G$4:$G$1053,'сентябрь 2023'!$D$4:$D$1053,$B92,'сентябрь 2023'!$J$4:$J$1053,E$1)</f>
        <v>0</v>
      </c>
      <c r="F92" s="207">
        <f>SUMIFS('сентябрь 2023'!$G$4:$G$1053,'сентябрь 2023'!$D$4:$D$1053,$B92,'сентябрь 2023'!$J$4:$J$1053,F$1)</f>
        <v>0</v>
      </c>
      <c r="G92" s="207">
        <f>SUMIFS('сентябрь 2023'!$G$4:$G$1053,'сентябрь 2023'!$D$4:$D$1053,$B92,'сентябрь 2023'!$J$4:$J$1053,G$1)</f>
        <v>0</v>
      </c>
      <c r="H92" s="207">
        <f>SUMIFS('сентябрь 2023'!$G$4:$G$1053,'сентябрь 2023'!$D$4:$D$1053,$B92,'сентябрь 2023'!$J$4:$J$1053,H$1)</f>
        <v>0</v>
      </c>
      <c r="I92" s="207">
        <f>SUMIFS('сентябрь 2023'!$G$4:$G$1053,'сентябрь 2023'!$D$4:$D$1053,$B92,'сентябрь 2023'!$J$4:$J$1053,I$1)</f>
        <v>0</v>
      </c>
      <c r="J92" s="207">
        <f>SUMIFS('сентябрь 2023'!$G$4:$G$1053,'сентябрь 2023'!$D$4:$D$1053,$B92,'сентябрь 2023'!$J$4:$J$1053,J$1)</f>
        <v>0</v>
      </c>
      <c r="K92" s="207">
        <f>SUMIFS('сентябрь 2023'!$G$4:$G$1053,'сентябрь 2023'!$D$4:$D$1053,$B92,'сентябрь 2023'!$J$4:$J$1053,K$1)</f>
        <v>0</v>
      </c>
      <c r="L92" s="207">
        <f>SUMIFS('сентябрь 2023'!$G$4:$G$1053,'сентябрь 2023'!$D$4:$D$1053,$B92,'сентябрь 2023'!$J$4:$J$1053,L$1)</f>
        <v>0</v>
      </c>
      <c r="M92" s="207">
        <f>SUMIFS('сентябрь 2023'!$G$4:$G$1053,'сентябрь 2023'!$D$4:$D$1053,$B92,'сентябрь 2023'!$J$4:$J$1053,M$1)</f>
        <v>0</v>
      </c>
      <c r="N92" s="207">
        <f>SUMIFS('сентябрь 2023'!$G$4:$G$1053,'сентябрь 2023'!$D$4:$D$1053,$B92,'сентябрь 2023'!$J$4:$J$1053,N$1)</f>
        <v>0</v>
      </c>
      <c r="O92" s="207">
        <f>SUMIFS('сентябрь 2023'!$G$4:$G$1053,'сентябрь 2023'!$D$4:$D$1053,$B92,'сентябрь 2023'!$J$4:$J$1053,O$1)</f>
        <v>0</v>
      </c>
      <c r="P92" s="207">
        <f>SUMIFS('сентябрь 2023'!$G$4:$G$1053,'сентябрь 2023'!$D$4:$D$1053,$B92,'сентябрь 2023'!$J$4:$J$1053,P$1)</f>
        <v>0</v>
      </c>
      <c r="Q92" s="207">
        <f>SUMIFS('сентябрь 2023'!$G$4:$G$1053,'сентябрь 2023'!$D$4:$D$1053,$B92,'сентябрь 2023'!$J$4:$J$1053,Q$1)</f>
        <v>0</v>
      </c>
      <c r="R92" s="207">
        <f>SUMIFS('сентябрь 2023'!$G$4:$G$1053,'сентябрь 2023'!$D$4:$D$1053,$B92,'сентябрь 2023'!$J$4:$J$1053,R$1)</f>
        <v>0</v>
      </c>
      <c r="S92" s="207">
        <f>SUMIFS('сентябрь 2023'!$G$4:$G$1053,'сентябрь 2023'!$D$4:$D$1053,$B92,'сентябрь 2023'!$J$4:$J$1053,S$1)</f>
        <v>0</v>
      </c>
      <c r="T92" s="207">
        <f>SUMIFS('сентябрь 2023'!$G$4:$G$1053,'сентябрь 2023'!$D$4:$D$1053,$B92,'сентябрь 2023'!$J$4:$J$1053,T$1)</f>
        <v>0</v>
      </c>
      <c r="U92" s="207">
        <f>SUMIFS('сентябрь 2023'!$G$4:$G$1053,'сентябрь 2023'!$D$4:$D$1053,$B92,'сентябрь 2023'!$J$4:$J$1053,U$1)</f>
        <v>0</v>
      </c>
      <c r="V92" s="207">
        <f>SUMIFS('сентябрь 2023'!$G$4:$G$1053,'сентябрь 2023'!$D$4:$D$1053,$B92,'сентябрь 2023'!$J$4:$J$1053,V$1)</f>
        <v>0</v>
      </c>
      <c r="W92" s="207">
        <f>SUMIFS('сентябрь 2023'!$G$4:$G$1053,'сентябрь 2023'!$D$4:$D$1053,$B92,'сентябрь 2023'!$J$4:$J$1053,W$1)</f>
        <v>0</v>
      </c>
      <c r="X92" s="207">
        <f>SUMIFS('сентябрь 2023'!$G$4:$G$1053,'сентябрь 2023'!$D$4:$D$1053,$B92,'сентябрь 2023'!$J$4:$J$1053,X$1)</f>
        <v>0</v>
      </c>
      <c r="Y92" s="207">
        <f>SUMIFS('сентябрь 2023'!$G$4:$G$1053,'сентябрь 2023'!$D$4:$D$1053,$B92,'сентябрь 2023'!$J$4:$J$1053,Y$1)</f>
        <v>0</v>
      </c>
      <c r="Z92" s="207">
        <f>SUMIFS('сентябрь 2023'!$G$4:$G$1053,'сентябрь 2023'!$D$4:$D$1053,$B92,'сентябрь 2023'!$J$4:$J$1053,Z$1)</f>
        <v>0</v>
      </c>
      <c r="AA92" s="207">
        <f>SUMIFS('сентябрь 2023'!$G$4:$G$1053,'сентябрь 2023'!$D$4:$D$1053,$B92,'сентябрь 2023'!$J$4:$J$1053,AA$1)</f>
        <v>0</v>
      </c>
      <c r="AB92" s="207">
        <f>SUMIFS('сентябрь 2023'!$G$4:$G$1053,'сентябрь 2023'!$D$4:$D$1053,$B92,'сентябрь 2023'!$J$4:$J$1053,AB$1)</f>
        <v>0</v>
      </c>
      <c r="AC92" s="207">
        <f>SUMIFS('сентябрь 2023'!$G$4:$G$1053,'сентябрь 2023'!$D$4:$D$1053,$B92,'сентябрь 2023'!$J$4:$J$1053,AC$1)</f>
        <v>0</v>
      </c>
      <c r="AD92" s="207">
        <f>SUMIFS('сентябрь 2023'!$G$4:$G$1053,'сентябрь 2023'!$D$4:$D$1053,$B92,'сентябрь 2023'!$J$4:$J$1053,AD$1)</f>
        <v>0</v>
      </c>
      <c r="AE92" s="207">
        <f>SUMIFS('сентябрь 2023'!$G$4:$G$1053,'сентябрь 2023'!$D$4:$D$1053,$B92,'сентябрь 2023'!$J$4:$J$1053,AE$1)</f>
        <v>0</v>
      </c>
      <c r="AF92" s="207">
        <f>SUMIFS('сентябрь 2023'!$G$4:$G$1053,'сентябрь 2023'!$D$4:$D$1053,$B92,'сентябрь 2023'!$J$4:$J$1053,AF$1)</f>
        <v>0</v>
      </c>
      <c r="AG92" s="207">
        <f>SUMIFS('сентябрь 2023'!$G$4:$G$1053,'сентябрь 2023'!$D$4:$D$1053,$B92,'сентябрь 2023'!$J$4:$J$1053,AG$1)</f>
        <v>0</v>
      </c>
      <c r="AH92" s="207">
        <f>SUMIFS('сентябрь 2023'!$G$4:$G$1053,'сентябрь 2023'!$D$4:$D$1053,$B92,'сентябрь 2023'!$J$4:$J$1053,AH$1)</f>
        <v>0</v>
      </c>
      <c r="AI92" s="170">
        <f t="shared" si="3"/>
        <v>0</v>
      </c>
    </row>
    <row r="93" spans="2:35" ht="15" customHeight="1" x14ac:dyDescent="0.25">
      <c r="B93" s="216" t="s">
        <v>1725</v>
      </c>
      <c r="C93" s="213">
        <v>180</v>
      </c>
      <c r="D93" s="207">
        <f>SUMIFS('сентябрь 2023'!$G$4:$G$1053,'сентябрь 2023'!$D$4:$D$1053,$B93,'сентябрь 2023'!$J$4:$J$1053,D$1)</f>
        <v>0</v>
      </c>
      <c r="E93" s="207">
        <f>SUMIFS('сентябрь 2023'!$G$4:$G$1053,'сентябрь 2023'!$D$4:$D$1053,$B93,'сентябрь 2023'!$J$4:$J$1053,E$1)</f>
        <v>0</v>
      </c>
      <c r="F93" s="207">
        <f>SUMIFS('сентябрь 2023'!$G$4:$G$1053,'сентябрь 2023'!$D$4:$D$1053,$B93,'сентябрь 2023'!$J$4:$J$1053,F$1)</f>
        <v>0</v>
      </c>
      <c r="G93" s="207">
        <f>SUMIFS('сентябрь 2023'!$G$4:$G$1053,'сентябрь 2023'!$D$4:$D$1053,$B93,'сентябрь 2023'!$J$4:$J$1053,G$1)</f>
        <v>0</v>
      </c>
      <c r="H93" s="207">
        <f>SUMIFS('сентябрь 2023'!$G$4:$G$1053,'сентябрь 2023'!$D$4:$D$1053,$B93,'сентябрь 2023'!$J$4:$J$1053,H$1)</f>
        <v>0</v>
      </c>
      <c r="I93" s="207">
        <f>SUMIFS('сентябрь 2023'!$G$4:$G$1053,'сентябрь 2023'!$D$4:$D$1053,$B93,'сентябрь 2023'!$J$4:$J$1053,I$1)</f>
        <v>0</v>
      </c>
      <c r="J93" s="207">
        <f>SUMIFS('сентябрь 2023'!$G$4:$G$1053,'сентябрь 2023'!$D$4:$D$1053,$B93,'сентябрь 2023'!$J$4:$J$1053,J$1)</f>
        <v>0</v>
      </c>
      <c r="K93" s="207">
        <f>SUMIFS('сентябрь 2023'!$G$4:$G$1053,'сентябрь 2023'!$D$4:$D$1053,$B93,'сентябрь 2023'!$J$4:$J$1053,K$1)</f>
        <v>0</v>
      </c>
      <c r="L93" s="207">
        <f>SUMIFS('сентябрь 2023'!$G$4:$G$1053,'сентябрь 2023'!$D$4:$D$1053,$B93,'сентябрь 2023'!$J$4:$J$1053,L$1)</f>
        <v>0</v>
      </c>
      <c r="M93" s="207">
        <f>SUMIFS('сентябрь 2023'!$G$4:$G$1053,'сентябрь 2023'!$D$4:$D$1053,$B93,'сентябрь 2023'!$J$4:$J$1053,M$1)</f>
        <v>0</v>
      </c>
      <c r="N93" s="207">
        <f>SUMIFS('сентябрь 2023'!$G$4:$G$1053,'сентябрь 2023'!$D$4:$D$1053,$B93,'сентябрь 2023'!$J$4:$J$1053,N$1)</f>
        <v>0</v>
      </c>
      <c r="O93" s="207">
        <f>SUMIFS('сентябрь 2023'!$G$4:$G$1053,'сентябрь 2023'!$D$4:$D$1053,$B93,'сентябрь 2023'!$J$4:$J$1053,O$1)</f>
        <v>0</v>
      </c>
      <c r="P93" s="207">
        <f>SUMIFS('сентябрь 2023'!$G$4:$G$1053,'сентябрь 2023'!$D$4:$D$1053,$B93,'сентябрь 2023'!$J$4:$J$1053,P$1)</f>
        <v>0</v>
      </c>
      <c r="Q93" s="207">
        <f>SUMIFS('сентябрь 2023'!$G$4:$G$1053,'сентябрь 2023'!$D$4:$D$1053,$B93,'сентябрь 2023'!$J$4:$J$1053,Q$1)</f>
        <v>0</v>
      </c>
      <c r="R93" s="207">
        <f>SUMIFS('сентябрь 2023'!$G$4:$G$1053,'сентябрь 2023'!$D$4:$D$1053,$B93,'сентябрь 2023'!$J$4:$J$1053,R$1)</f>
        <v>0</v>
      </c>
      <c r="S93" s="207">
        <f>SUMIFS('сентябрь 2023'!$G$4:$G$1053,'сентябрь 2023'!$D$4:$D$1053,$B93,'сентябрь 2023'!$J$4:$J$1053,S$1)</f>
        <v>0</v>
      </c>
      <c r="T93" s="207">
        <f>SUMIFS('сентябрь 2023'!$G$4:$G$1053,'сентябрь 2023'!$D$4:$D$1053,$B93,'сентябрь 2023'!$J$4:$J$1053,T$1)</f>
        <v>0</v>
      </c>
      <c r="U93" s="207">
        <f>SUMIFS('сентябрь 2023'!$G$4:$G$1053,'сентябрь 2023'!$D$4:$D$1053,$B93,'сентябрь 2023'!$J$4:$J$1053,U$1)</f>
        <v>0</v>
      </c>
      <c r="V93" s="207">
        <f>SUMIFS('сентябрь 2023'!$G$4:$G$1053,'сентябрь 2023'!$D$4:$D$1053,$B93,'сентябрь 2023'!$J$4:$J$1053,V$1)</f>
        <v>0</v>
      </c>
      <c r="W93" s="207">
        <f>SUMIFS('сентябрь 2023'!$G$4:$G$1053,'сентябрь 2023'!$D$4:$D$1053,$B93,'сентябрь 2023'!$J$4:$J$1053,W$1)</f>
        <v>0</v>
      </c>
      <c r="X93" s="207">
        <f>SUMIFS('сентябрь 2023'!$G$4:$G$1053,'сентябрь 2023'!$D$4:$D$1053,$B93,'сентябрь 2023'!$J$4:$J$1053,X$1)</f>
        <v>0</v>
      </c>
      <c r="Y93" s="207">
        <f>SUMIFS('сентябрь 2023'!$G$4:$G$1053,'сентябрь 2023'!$D$4:$D$1053,$B93,'сентябрь 2023'!$J$4:$J$1053,Y$1)</f>
        <v>0</v>
      </c>
      <c r="Z93" s="207">
        <f>SUMIFS('сентябрь 2023'!$G$4:$G$1053,'сентябрь 2023'!$D$4:$D$1053,$B93,'сентябрь 2023'!$J$4:$J$1053,Z$1)</f>
        <v>0</v>
      </c>
      <c r="AA93" s="207">
        <f>SUMIFS('сентябрь 2023'!$G$4:$G$1053,'сентябрь 2023'!$D$4:$D$1053,$B93,'сентябрь 2023'!$J$4:$J$1053,AA$1)</f>
        <v>0</v>
      </c>
      <c r="AB93" s="207">
        <f>SUMIFS('сентябрь 2023'!$G$4:$G$1053,'сентябрь 2023'!$D$4:$D$1053,$B93,'сентябрь 2023'!$J$4:$J$1053,AB$1)</f>
        <v>0</v>
      </c>
      <c r="AC93" s="207">
        <f>SUMIFS('сентябрь 2023'!$G$4:$G$1053,'сентябрь 2023'!$D$4:$D$1053,$B93,'сентябрь 2023'!$J$4:$J$1053,AC$1)</f>
        <v>0</v>
      </c>
      <c r="AD93" s="207">
        <f>SUMIFS('сентябрь 2023'!$G$4:$G$1053,'сентябрь 2023'!$D$4:$D$1053,$B93,'сентябрь 2023'!$J$4:$J$1053,AD$1)</f>
        <v>0</v>
      </c>
      <c r="AE93" s="207">
        <f>SUMIFS('сентябрь 2023'!$G$4:$G$1053,'сентябрь 2023'!$D$4:$D$1053,$B93,'сентябрь 2023'!$J$4:$J$1053,AE$1)</f>
        <v>0</v>
      </c>
      <c r="AF93" s="207">
        <f>SUMIFS('сентябрь 2023'!$G$4:$G$1053,'сентябрь 2023'!$D$4:$D$1053,$B93,'сентябрь 2023'!$J$4:$J$1053,AF$1)</f>
        <v>0</v>
      </c>
      <c r="AG93" s="207">
        <f>SUMIFS('сентябрь 2023'!$G$4:$G$1053,'сентябрь 2023'!$D$4:$D$1053,$B93,'сентябрь 2023'!$J$4:$J$1053,AG$1)</f>
        <v>0</v>
      </c>
      <c r="AH93" s="207">
        <f>SUMIFS('сентябрь 2023'!$G$4:$G$1053,'сентябрь 2023'!$D$4:$D$1053,$B93,'сентябрь 2023'!$J$4:$J$1053,AH$1)</f>
        <v>0</v>
      </c>
      <c r="AI93" s="170">
        <f t="shared" si="3"/>
        <v>0</v>
      </c>
    </row>
    <row r="94" spans="2:35" ht="15" customHeight="1" x14ac:dyDescent="0.25">
      <c r="B94" s="212" t="s">
        <v>864</v>
      </c>
      <c r="C94" s="211">
        <v>18</v>
      </c>
      <c r="D94" s="207">
        <f>SUMIFS('сентябрь 2023'!$G$4:$G$1053,'сентябрь 2023'!$D$4:$D$1053,$B94,'сентябрь 2023'!$J$4:$J$1053,D$1)</f>
        <v>0</v>
      </c>
      <c r="E94" s="207">
        <f>SUMIFS('сентябрь 2023'!$G$4:$G$1053,'сентябрь 2023'!$D$4:$D$1053,$B94,'сентябрь 2023'!$J$4:$J$1053,E$1)</f>
        <v>0</v>
      </c>
      <c r="F94" s="207">
        <f>SUMIFS('сентябрь 2023'!$G$4:$G$1053,'сентябрь 2023'!$D$4:$D$1053,$B94,'сентябрь 2023'!$J$4:$J$1053,F$1)</f>
        <v>0</v>
      </c>
      <c r="G94" s="207">
        <f>SUMIFS('сентябрь 2023'!$G$4:$G$1053,'сентябрь 2023'!$D$4:$D$1053,$B94,'сентябрь 2023'!$J$4:$J$1053,G$1)</f>
        <v>0</v>
      </c>
      <c r="H94" s="207">
        <f>SUMIFS('сентябрь 2023'!$G$4:$G$1053,'сентябрь 2023'!$D$4:$D$1053,$B94,'сентябрь 2023'!$J$4:$J$1053,H$1)</f>
        <v>0</v>
      </c>
      <c r="I94" s="207">
        <f>SUMIFS('сентябрь 2023'!$G$4:$G$1053,'сентябрь 2023'!$D$4:$D$1053,$B94,'сентябрь 2023'!$J$4:$J$1053,I$1)</f>
        <v>0</v>
      </c>
      <c r="J94" s="207">
        <f>SUMIFS('сентябрь 2023'!$G$4:$G$1053,'сентябрь 2023'!$D$4:$D$1053,$B94,'сентябрь 2023'!$J$4:$J$1053,J$1)</f>
        <v>0</v>
      </c>
      <c r="K94" s="207">
        <f>SUMIFS('сентябрь 2023'!$G$4:$G$1053,'сентябрь 2023'!$D$4:$D$1053,$B94,'сентябрь 2023'!$J$4:$J$1053,K$1)</f>
        <v>0</v>
      </c>
      <c r="L94" s="207">
        <f>SUMIFS('сентябрь 2023'!$G$4:$G$1053,'сентябрь 2023'!$D$4:$D$1053,$B94,'сентябрь 2023'!$J$4:$J$1053,L$1)</f>
        <v>0</v>
      </c>
      <c r="M94" s="207">
        <f>SUMIFS('сентябрь 2023'!$G$4:$G$1053,'сентябрь 2023'!$D$4:$D$1053,$B94,'сентябрь 2023'!$J$4:$J$1053,M$1)</f>
        <v>0</v>
      </c>
      <c r="N94" s="207">
        <f>SUMIFS('сентябрь 2023'!$G$4:$G$1053,'сентябрь 2023'!$D$4:$D$1053,$B94,'сентябрь 2023'!$J$4:$J$1053,N$1)</f>
        <v>0</v>
      </c>
      <c r="O94" s="207">
        <f>SUMIFS('сентябрь 2023'!$G$4:$G$1053,'сентябрь 2023'!$D$4:$D$1053,$B94,'сентябрь 2023'!$J$4:$J$1053,O$1)</f>
        <v>0</v>
      </c>
      <c r="P94" s="207">
        <f>SUMIFS('сентябрь 2023'!$G$4:$G$1053,'сентябрь 2023'!$D$4:$D$1053,$B94,'сентябрь 2023'!$J$4:$J$1053,P$1)</f>
        <v>0</v>
      </c>
      <c r="Q94" s="207">
        <f>SUMIFS('сентябрь 2023'!$G$4:$G$1053,'сентябрь 2023'!$D$4:$D$1053,$B94,'сентябрь 2023'!$J$4:$J$1053,Q$1)</f>
        <v>0</v>
      </c>
      <c r="R94" s="207">
        <f>SUMIFS('сентябрь 2023'!$G$4:$G$1053,'сентябрь 2023'!$D$4:$D$1053,$B94,'сентябрь 2023'!$J$4:$J$1053,R$1)</f>
        <v>0</v>
      </c>
      <c r="S94" s="207">
        <f>SUMIFS('сентябрь 2023'!$G$4:$G$1053,'сентябрь 2023'!$D$4:$D$1053,$B94,'сентябрь 2023'!$J$4:$J$1053,S$1)</f>
        <v>0</v>
      </c>
      <c r="T94" s="207">
        <f>SUMIFS('сентябрь 2023'!$G$4:$G$1053,'сентябрь 2023'!$D$4:$D$1053,$B94,'сентябрь 2023'!$J$4:$J$1053,T$1)</f>
        <v>0</v>
      </c>
      <c r="U94" s="207">
        <f>SUMIFS('сентябрь 2023'!$G$4:$G$1053,'сентябрь 2023'!$D$4:$D$1053,$B94,'сентябрь 2023'!$J$4:$J$1053,U$1)</f>
        <v>0</v>
      </c>
      <c r="V94" s="207">
        <f>SUMIFS('сентябрь 2023'!$G$4:$G$1053,'сентябрь 2023'!$D$4:$D$1053,$B94,'сентябрь 2023'!$J$4:$J$1053,V$1)</f>
        <v>0</v>
      </c>
      <c r="W94" s="207">
        <f>SUMIFS('сентябрь 2023'!$G$4:$G$1053,'сентябрь 2023'!$D$4:$D$1053,$B94,'сентябрь 2023'!$J$4:$J$1053,W$1)</f>
        <v>0</v>
      </c>
      <c r="X94" s="207">
        <f>SUMIFS('сентябрь 2023'!$G$4:$G$1053,'сентябрь 2023'!$D$4:$D$1053,$B94,'сентябрь 2023'!$J$4:$J$1053,X$1)</f>
        <v>0</v>
      </c>
      <c r="Y94" s="207">
        <f>SUMIFS('сентябрь 2023'!$G$4:$G$1053,'сентябрь 2023'!$D$4:$D$1053,$B94,'сентябрь 2023'!$J$4:$J$1053,Y$1)</f>
        <v>0</v>
      </c>
      <c r="Z94" s="207">
        <f>SUMIFS('сентябрь 2023'!$G$4:$G$1053,'сентябрь 2023'!$D$4:$D$1053,$B94,'сентябрь 2023'!$J$4:$J$1053,Z$1)</f>
        <v>0</v>
      </c>
      <c r="AA94" s="207">
        <f>SUMIFS('сентябрь 2023'!$G$4:$G$1053,'сентябрь 2023'!$D$4:$D$1053,$B94,'сентябрь 2023'!$J$4:$J$1053,AA$1)</f>
        <v>0</v>
      </c>
      <c r="AB94" s="207">
        <f>SUMIFS('сентябрь 2023'!$G$4:$G$1053,'сентябрь 2023'!$D$4:$D$1053,$B94,'сентябрь 2023'!$J$4:$J$1053,AB$1)</f>
        <v>0</v>
      </c>
      <c r="AC94" s="207">
        <f>SUMIFS('сентябрь 2023'!$G$4:$G$1053,'сентябрь 2023'!$D$4:$D$1053,$B94,'сентябрь 2023'!$J$4:$J$1053,AC$1)</f>
        <v>0</v>
      </c>
      <c r="AD94" s="207">
        <f>SUMIFS('сентябрь 2023'!$G$4:$G$1053,'сентябрь 2023'!$D$4:$D$1053,$B94,'сентябрь 2023'!$J$4:$J$1053,AD$1)</f>
        <v>0</v>
      </c>
      <c r="AE94" s="207">
        <f>SUMIFS('сентябрь 2023'!$G$4:$G$1053,'сентябрь 2023'!$D$4:$D$1053,$B94,'сентябрь 2023'!$J$4:$J$1053,AE$1)</f>
        <v>0</v>
      </c>
      <c r="AF94" s="207">
        <f>SUMIFS('сентябрь 2023'!$G$4:$G$1053,'сентябрь 2023'!$D$4:$D$1053,$B94,'сентябрь 2023'!$J$4:$J$1053,AF$1)</f>
        <v>0</v>
      </c>
      <c r="AG94" s="207">
        <f>SUMIFS('сентябрь 2023'!$G$4:$G$1053,'сентябрь 2023'!$D$4:$D$1053,$B94,'сентябрь 2023'!$J$4:$J$1053,AG$1)</f>
        <v>0</v>
      </c>
      <c r="AH94" s="207">
        <f>SUMIFS('сентябрь 2023'!$G$4:$G$1053,'сентябрь 2023'!$D$4:$D$1053,$B94,'сентябрь 2023'!$J$4:$J$1053,AH$1)</f>
        <v>0</v>
      </c>
      <c r="AI94" s="170">
        <f t="shared" si="3"/>
        <v>0</v>
      </c>
    </row>
    <row r="95" spans="2:35" ht="15" customHeight="1" x14ac:dyDescent="0.25">
      <c r="B95" s="216" t="s">
        <v>610</v>
      </c>
      <c r="C95" s="213">
        <v>180</v>
      </c>
      <c r="D95" s="207">
        <f>SUMIFS('сентябрь 2023'!$G$4:$G$1053,'сентябрь 2023'!$D$4:$D$1053,$B95,'сентябрь 2023'!$J$4:$J$1053,D$1)</f>
        <v>0</v>
      </c>
      <c r="E95" s="207">
        <f>SUMIFS('сентябрь 2023'!$G$4:$G$1053,'сентябрь 2023'!$D$4:$D$1053,$B95,'сентябрь 2023'!$J$4:$J$1053,E$1)</f>
        <v>0</v>
      </c>
      <c r="F95" s="207">
        <f>SUMIFS('сентябрь 2023'!$G$4:$G$1053,'сентябрь 2023'!$D$4:$D$1053,$B95,'сентябрь 2023'!$J$4:$J$1053,F$1)</f>
        <v>0</v>
      </c>
      <c r="G95" s="207">
        <f>SUMIFS('сентябрь 2023'!$G$4:$G$1053,'сентябрь 2023'!$D$4:$D$1053,$B95,'сентябрь 2023'!$J$4:$J$1053,G$1)</f>
        <v>0</v>
      </c>
      <c r="H95" s="207">
        <f>SUMIFS('сентябрь 2023'!$G$4:$G$1053,'сентябрь 2023'!$D$4:$D$1053,$B95,'сентябрь 2023'!$J$4:$J$1053,H$1)</f>
        <v>0</v>
      </c>
      <c r="I95" s="207">
        <f>SUMIFS('сентябрь 2023'!$G$4:$G$1053,'сентябрь 2023'!$D$4:$D$1053,$B95,'сентябрь 2023'!$J$4:$J$1053,I$1)</f>
        <v>0</v>
      </c>
      <c r="J95" s="207">
        <f>SUMIFS('сентябрь 2023'!$G$4:$G$1053,'сентябрь 2023'!$D$4:$D$1053,$B95,'сентябрь 2023'!$J$4:$J$1053,J$1)</f>
        <v>0</v>
      </c>
      <c r="K95" s="207">
        <f>SUMIFS('сентябрь 2023'!$G$4:$G$1053,'сентябрь 2023'!$D$4:$D$1053,$B95,'сентябрь 2023'!$J$4:$J$1053,K$1)</f>
        <v>0</v>
      </c>
      <c r="L95" s="207">
        <f>SUMIFS('сентябрь 2023'!$G$4:$G$1053,'сентябрь 2023'!$D$4:$D$1053,$B95,'сентябрь 2023'!$J$4:$J$1053,L$1)</f>
        <v>0</v>
      </c>
      <c r="M95" s="207">
        <f>SUMIFS('сентябрь 2023'!$G$4:$G$1053,'сентябрь 2023'!$D$4:$D$1053,$B95,'сентябрь 2023'!$J$4:$J$1053,M$1)</f>
        <v>0</v>
      </c>
      <c r="N95" s="207">
        <f>SUMIFS('сентябрь 2023'!$G$4:$G$1053,'сентябрь 2023'!$D$4:$D$1053,$B95,'сентябрь 2023'!$J$4:$J$1053,N$1)</f>
        <v>0</v>
      </c>
      <c r="O95" s="207">
        <f>SUMIFS('сентябрь 2023'!$G$4:$G$1053,'сентябрь 2023'!$D$4:$D$1053,$B95,'сентябрь 2023'!$J$4:$J$1053,O$1)</f>
        <v>0</v>
      </c>
      <c r="P95" s="207">
        <f>SUMIFS('сентябрь 2023'!$G$4:$G$1053,'сентябрь 2023'!$D$4:$D$1053,$B95,'сентябрь 2023'!$J$4:$J$1053,P$1)</f>
        <v>0</v>
      </c>
      <c r="Q95" s="207">
        <f>SUMIFS('сентябрь 2023'!$G$4:$G$1053,'сентябрь 2023'!$D$4:$D$1053,$B95,'сентябрь 2023'!$J$4:$J$1053,Q$1)</f>
        <v>0</v>
      </c>
      <c r="R95" s="207">
        <f>SUMIFS('сентябрь 2023'!$G$4:$G$1053,'сентябрь 2023'!$D$4:$D$1053,$B95,'сентябрь 2023'!$J$4:$J$1053,R$1)</f>
        <v>0</v>
      </c>
      <c r="S95" s="207">
        <f>SUMIFS('сентябрь 2023'!$G$4:$G$1053,'сентябрь 2023'!$D$4:$D$1053,$B95,'сентябрь 2023'!$J$4:$J$1053,S$1)</f>
        <v>0</v>
      </c>
      <c r="T95" s="207">
        <f>SUMIFS('сентябрь 2023'!$G$4:$G$1053,'сентябрь 2023'!$D$4:$D$1053,$B95,'сентябрь 2023'!$J$4:$J$1053,T$1)</f>
        <v>0</v>
      </c>
      <c r="U95" s="207">
        <f>SUMIFS('сентябрь 2023'!$G$4:$G$1053,'сентябрь 2023'!$D$4:$D$1053,$B95,'сентябрь 2023'!$J$4:$J$1053,U$1)</f>
        <v>0</v>
      </c>
      <c r="V95" s="207">
        <f>SUMIFS('сентябрь 2023'!$G$4:$G$1053,'сентябрь 2023'!$D$4:$D$1053,$B95,'сентябрь 2023'!$J$4:$J$1053,V$1)</f>
        <v>0</v>
      </c>
      <c r="W95" s="207">
        <f>SUMIFS('сентябрь 2023'!$G$4:$G$1053,'сентябрь 2023'!$D$4:$D$1053,$B95,'сентябрь 2023'!$J$4:$J$1053,W$1)</f>
        <v>0</v>
      </c>
      <c r="X95" s="207">
        <f>SUMIFS('сентябрь 2023'!$G$4:$G$1053,'сентябрь 2023'!$D$4:$D$1053,$B95,'сентябрь 2023'!$J$4:$J$1053,X$1)</f>
        <v>0</v>
      </c>
      <c r="Y95" s="207">
        <f>SUMIFS('сентябрь 2023'!$G$4:$G$1053,'сентябрь 2023'!$D$4:$D$1053,$B95,'сентябрь 2023'!$J$4:$J$1053,Y$1)</f>
        <v>0</v>
      </c>
      <c r="Z95" s="207">
        <f>SUMIFS('сентябрь 2023'!$G$4:$G$1053,'сентябрь 2023'!$D$4:$D$1053,$B95,'сентябрь 2023'!$J$4:$J$1053,Z$1)</f>
        <v>0</v>
      </c>
      <c r="AA95" s="207">
        <f>SUMIFS('сентябрь 2023'!$G$4:$G$1053,'сентябрь 2023'!$D$4:$D$1053,$B95,'сентябрь 2023'!$J$4:$J$1053,AA$1)</f>
        <v>0</v>
      </c>
      <c r="AB95" s="207">
        <f>SUMIFS('сентябрь 2023'!$G$4:$G$1053,'сентябрь 2023'!$D$4:$D$1053,$B95,'сентябрь 2023'!$J$4:$J$1053,AB$1)</f>
        <v>0</v>
      </c>
      <c r="AC95" s="207">
        <f>SUMIFS('сентябрь 2023'!$G$4:$G$1053,'сентябрь 2023'!$D$4:$D$1053,$B95,'сентябрь 2023'!$J$4:$J$1053,AC$1)</f>
        <v>0</v>
      </c>
      <c r="AD95" s="207">
        <f>SUMIFS('сентябрь 2023'!$G$4:$G$1053,'сентябрь 2023'!$D$4:$D$1053,$B95,'сентябрь 2023'!$J$4:$J$1053,AD$1)</f>
        <v>0</v>
      </c>
      <c r="AE95" s="207">
        <f>SUMIFS('сентябрь 2023'!$G$4:$G$1053,'сентябрь 2023'!$D$4:$D$1053,$B95,'сентябрь 2023'!$J$4:$J$1053,AE$1)</f>
        <v>0</v>
      </c>
      <c r="AF95" s="207">
        <f>SUMIFS('сентябрь 2023'!$G$4:$G$1053,'сентябрь 2023'!$D$4:$D$1053,$B95,'сентябрь 2023'!$J$4:$J$1053,AF$1)</f>
        <v>0</v>
      </c>
      <c r="AG95" s="207">
        <f>SUMIFS('сентябрь 2023'!$G$4:$G$1053,'сентябрь 2023'!$D$4:$D$1053,$B95,'сентябрь 2023'!$J$4:$J$1053,AG$1)</f>
        <v>0</v>
      </c>
      <c r="AH95" s="207">
        <f>SUMIFS('сентябрь 2023'!$G$4:$G$1053,'сентябрь 2023'!$D$4:$D$1053,$B95,'сентябрь 2023'!$J$4:$J$1053,AH$1)</f>
        <v>0</v>
      </c>
      <c r="AI95" s="170">
        <f t="shared" si="3"/>
        <v>0</v>
      </c>
    </row>
    <row r="96" spans="2:35" ht="15" customHeight="1" x14ac:dyDescent="0.25">
      <c r="B96" s="216" t="s">
        <v>2192</v>
      </c>
      <c r="C96" s="213">
        <v>200</v>
      </c>
      <c r="D96" s="207">
        <f>SUMIFS('сентябрь 2023'!$G$4:$G$1053,'сентябрь 2023'!$D$4:$D$1053,$B96,'сентябрь 2023'!$J$4:$J$1053,D$1)</f>
        <v>0</v>
      </c>
      <c r="E96" s="207">
        <f>SUMIFS('сентябрь 2023'!$G$4:$G$1053,'сентябрь 2023'!$D$4:$D$1053,$B96,'сентябрь 2023'!$J$4:$J$1053,E$1)</f>
        <v>0</v>
      </c>
      <c r="F96" s="207">
        <f>SUMIFS('сентябрь 2023'!$G$4:$G$1053,'сентябрь 2023'!$D$4:$D$1053,$B96,'сентябрь 2023'!$J$4:$J$1053,F$1)</f>
        <v>0</v>
      </c>
      <c r="G96" s="207">
        <f>SUMIFS('сентябрь 2023'!$G$4:$G$1053,'сентябрь 2023'!$D$4:$D$1053,$B96,'сентябрь 2023'!$J$4:$J$1053,G$1)</f>
        <v>0</v>
      </c>
      <c r="H96" s="207">
        <f>SUMIFS('сентябрь 2023'!$G$4:$G$1053,'сентябрь 2023'!$D$4:$D$1053,$B96,'сентябрь 2023'!$J$4:$J$1053,H$1)</f>
        <v>0</v>
      </c>
      <c r="I96" s="207">
        <f>SUMIFS('сентябрь 2023'!$G$4:$G$1053,'сентябрь 2023'!$D$4:$D$1053,$B96,'сентябрь 2023'!$J$4:$J$1053,I$1)</f>
        <v>0</v>
      </c>
      <c r="J96" s="207">
        <f>SUMIFS('сентябрь 2023'!$G$4:$G$1053,'сентябрь 2023'!$D$4:$D$1053,$B96,'сентябрь 2023'!$J$4:$J$1053,J$1)</f>
        <v>0</v>
      </c>
      <c r="K96" s="207">
        <f>SUMIFS('сентябрь 2023'!$G$4:$G$1053,'сентябрь 2023'!$D$4:$D$1053,$B96,'сентябрь 2023'!$J$4:$J$1053,K$1)</f>
        <v>0</v>
      </c>
      <c r="L96" s="207">
        <f>SUMIFS('сентябрь 2023'!$G$4:$G$1053,'сентябрь 2023'!$D$4:$D$1053,$B96,'сентябрь 2023'!$J$4:$J$1053,L$1)</f>
        <v>0</v>
      </c>
      <c r="M96" s="207">
        <f>SUMIFS('сентябрь 2023'!$G$4:$G$1053,'сентябрь 2023'!$D$4:$D$1053,$B96,'сентябрь 2023'!$J$4:$J$1053,M$1)</f>
        <v>0</v>
      </c>
      <c r="N96" s="207">
        <f>SUMIFS('сентябрь 2023'!$G$4:$G$1053,'сентябрь 2023'!$D$4:$D$1053,$B96,'сентябрь 2023'!$J$4:$J$1053,N$1)</f>
        <v>0</v>
      </c>
      <c r="O96" s="207">
        <f>SUMIFS('сентябрь 2023'!$G$4:$G$1053,'сентябрь 2023'!$D$4:$D$1053,$B96,'сентябрь 2023'!$J$4:$J$1053,O$1)</f>
        <v>0</v>
      </c>
      <c r="P96" s="207">
        <f>SUMIFS('сентябрь 2023'!$G$4:$G$1053,'сентябрь 2023'!$D$4:$D$1053,$B96,'сентябрь 2023'!$J$4:$J$1053,P$1)</f>
        <v>0</v>
      </c>
      <c r="Q96" s="207">
        <f>SUMIFS('сентябрь 2023'!$G$4:$G$1053,'сентябрь 2023'!$D$4:$D$1053,$B96,'сентябрь 2023'!$J$4:$J$1053,Q$1)</f>
        <v>0</v>
      </c>
      <c r="R96" s="207">
        <f>SUMIFS('сентябрь 2023'!$G$4:$G$1053,'сентябрь 2023'!$D$4:$D$1053,$B96,'сентябрь 2023'!$J$4:$J$1053,R$1)</f>
        <v>0</v>
      </c>
      <c r="S96" s="207">
        <f>SUMIFS('сентябрь 2023'!$G$4:$G$1053,'сентябрь 2023'!$D$4:$D$1053,$B96,'сентябрь 2023'!$J$4:$J$1053,S$1)</f>
        <v>0</v>
      </c>
      <c r="T96" s="207">
        <f>SUMIFS('сентябрь 2023'!$G$4:$G$1053,'сентябрь 2023'!$D$4:$D$1053,$B96,'сентябрь 2023'!$J$4:$J$1053,T$1)</f>
        <v>0</v>
      </c>
      <c r="U96" s="207">
        <f>SUMIFS('сентябрь 2023'!$G$4:$G$1053,'сентябрь 2023'!$D$4:$D$1053,$B96,'сентябрь 2023'!$J$4:$J$1053,U$1)</f>
        <v>0</v>
      </c>
      <c r="V96" s="207">
        <f>SUMIFS('сентябрь 2023'!$G$4:$G$1053,'сентябрь 2023'!$D$4:$D$1053,$B96,'сентябрь 2023'!$J$4:$J$1053,V$1)</f>
        <v>0</v>
      </c>
      <c r="W96" s="207">
        <f>SUMIFS('сентябрь 2023'!$G$4:$G$1053,'сентябрь 2023'!$D$4:$D$1053,$B96,'сентябрь 2023'!$J$4:$J$1053,W$1)</f>
        <v>0</v>
      </c>
      <c r="X96" s="207">
        <f>SUMIFS('сентябрь 2023'!$G$4:$G$1053,'сентябрь 2023'!$D$4:$D$1053,$B96,'сентябрь 2023'!$J$4:$J$1053,X$1)</f>
        <v>0</v>
      </c>
      <c r="Y96" s="207">
        <f>SUMIFS('сентябрь 2023'!$G$4:$G$1053,'сентябрь 2023'!$D$4:$D$1053,$B96,'сентябрь 2023'!$J$4:$J$1053,Y$1)</f>
        <v>0</v>
      </c>
      <c r="Z96" s="207">
        <f>SUMIFS('сентябрь 2023'!$G$4:$G$1053,'сентябрь 2023'!$D$4:$D$1053,$B96,'сентябрь 2023'!$J$4:$J$1053,Z$1)</f>
        <v>0</v>
      </c>
      <c r="AA96" s="207">
        <f>SUMIFS('сентябрь 2023'!$G$4:$G$1053,'сентябрь 2023'!$D$4:$D$1053,$B96,'сентябрь 2023'!$J$4:$J$1053,AA$1)</f>
        <v>0</v>
      </c>
      <c r="AB96" s="207">
        <f>SUMIFS('сентябрь 2023'!$G$4:$G$1053,'сентябрь 2023'!$D$4:$D$1053,$B96,'сентябрь 2023'!$J$4:$J$1053,AB$1)</f>
        <v>0</v>
      </c>
      <c r="AC96" s="207">
        <f>SUMIFS('сентябрь 2023'!$G$4:$G$1053,'сентябрь 2023'!$D$4:$D$1053,$B96,'сентябрь 2023'!$J$4:$J$1053,AC$1)</f>
        <v>0</v>
      </c>
      <c r="AD96" s="207">
        <f>SUMIFS('сентябрь 2023'!$G$4:$G$1053,'сентябрь 2023'!$D$4:$D$1053,$B96,'сентябрь 2023'!$J$4:$J$1053,AD$1)</f>
        <v>0</v>
      </c>
      <c r="AE96" s="207">
        <f>SUMIFS('сентябрь 2023'!$G$4:$G$1053,'сентябрь 2023'!$D$4:$D$1053,$B96,'сентябрь 2023'!$J$4:$J$1053,AE$1)</f>
        <v>0</v>
      </c>
      <c r="AF96" s="207">
        <f>SUMIFS('сентябрь 2023'!$G$4:$G$1053,'сентябрь 2023'!$D$4:$D$1053,$B96,'сентябрь 2023'!$J$4:$J$1053,AF$1)</f>
        <v>0</v>
      </c>
      <c r="AG96" s="207">
        <f>SUMIFS('сентябрь 2023'!$G$4:$G$1053,'сентябрь 2023'!$D$4:$D$1053,$B96,'сентябрь 2023'!$J$4:$J$1053,AG$1)</f>
        <v>0</v>
      </c>
      <c r="AH96" s="207">
        <f>SUMIFS('сентябрь 2023'!$G$4:$G$1053,'сентябрь 2023'!$D$4:$D$1053,$B96,'сентябрь 2023'!$J$4:$J$1053,AH$1)</f>
        <v>0</v>
      </c>
      <c r="AI96" s="170">
        <f t="shared" si="3"/>
        <v>0</v>
      </c>
    </row>
    <row r="97" spans="2:35" ht="15" customHeight="1" x14ac:dyDescent="0.25">
      <c r="B97" s="216" t="s">
        <v>308</v>
      </c>
      <c r="C97" s="213">
        <v>180</v>
      </c>
      <c r="D97" s="207">
        <f>SUMIFS('сентябрь 2023'!$G$4:$G$1053,'сентябрь 2023'!$D$4:$D$1053,$B97,'сентябрь 2023'!$J$4:$J$1053,D$1)</f>
        <v>0</v>
      </c>
      <c r="E97" s="207">
        <f>SUMIFS('сентябрь 2023'!$G$4:$G$1053,'сентябрь 2023'!$D$4:$D$1053,$B97,'сентябрь 2023'!$J$4:$J$1053,E$1)</f>
        <v>0</v>
      </c>
      <c r="F97" s="207">
        <f>SUMIFS('сентябрь 2023'!$G$4:$G$1053,'сентябрь 2023'!$D$4:$D$1053,$B97,'сентябрь 2023'!$J$4:$J$1053,F$1)</f>
        <v>0</v>
      </c>
      <c r="G97" s="207">
        <f>SUMIFS('сентябрь 2023'!$G$4:$G$1053,'сентябрь 2023'!$D$4:$D$1053,$B97,'сентябрь 2023'!$J$4:$J$1053,G$1)</f>
        <v>0</v>
      </c>
      <c r="H97" s="207">
        <f>SUMIFS('сентябрь 2023'!$G$4:$G$1053,'сентябрь 2023'!$D$4:$D$1053,$B97,'сентябрь 2023'!$J$4:$J$1053,H$1)</f>
        <v>0</v>
      </c>
      <c r="I97" s="207">
        <f>SUMIFS('сентябрь 2023'!$G$4:$G$1053,'сентябрь 2023'!$D$4:$D$1053,$B97,'сентябрь 2023'!$J$4:$J$1053,I$1)</f>
        <v>0</v>
      </c>
      <c r="J97" s="207">
        <f>SUMIFS('сентябрь 2023'!$G$4:$G$1053,'сентябрь 2023'!$D$4:$D$1053,$B97,'сентябрь 2023'!$J$4:$J$1053,J$1)</f>
        <v>0</v>
      </c>
      <c r="K97" s="207">
        <f>SUMIFS('сентябрь 2023'!$G$4:$G$1053,'сентябрь 2023'!$D$4:$D$1053,$B97,'сентябрь 2023'!$J$4:$J$1053,K$1)</f>
        <v>0</v>
      </c>
      <c r="L97" s="207">
        <f>SUMIFS('сентябрь 2023'!$G$4:$G$1053,'сентябрь 2023'!$D$4:$D$1053,$B97,'сентябрь 2023'!$J$4:$J$1053,L$1)</f>
        <v>0</v>
      </c>
      <c r="M97" s="207">
        <f>SUMIFS('сентябрь 2023'!$G$4:$G$1053,'сентябрь 2023'!$D$4:$D$1053,$B97,'сентябрь 2023'!$J$4:$J$1053,M$1)</f>
        <v>0</v>
      </c>
      <c r="N97" s="207">
        <f>SUMIFS('сентябрь 2023'!$G$4:$G$1053,'сентябрь 2023'!$D$4:$D$1053,$B97,'сентябрь 2023'!$J$4:$J$1053,N$1)</f>
        <v>0</v>
      </c>
      <c r="O97" s="207">
        <f>SUMIFS('сентябрь 2023'!$G$4:$G$1053,'сентябрь 2023'!$D$4:$D$1053,$B97,'сентябрь 2023'!$J$4:$J$1053,O$1)</f>
        <v>0</v>
      </c>
      <c r="P97" s="207">
        <f>SUMIFS('сентябрь 2023'!$G$4:$G$1053,'сентябрь 2023'!$D$4:$D$1053,$B97,'сентябрь 2023'!$J$4:$J$1053,P$1)</f>
        <v>0</v>
      </c>
      <c r="Q97" s="207">
        <f>SUMIFS('сентябрь 2023'!$G$4:$G$1053,'сентябрь 2023'!$D$4:$D$1053,$B97,'сентябрь 2023'!$J$4:$J$1053,Q$1)</f>
        <v>0</v>
      </c>
      <c r="R97" s="207">
        <f>SUMIFS('сентябрь 2023'!$G$4:$G$1053,'сентябрь 2023'!$D$4:$D$1053,$B97,'сентябрь 2023'!$J$4:$J$1053,R$1)</f>
        <v>0</v>
      </c>
      <c r="S97" s="207">
        <f>SUMIFS('сентябрь 2023'!$G$4:$G$1053,'сентябрь 2023'!$D$4:$D$1053,$B97,'сентябрь 2023'!$J$4:$J$1053,S$1)</f>
        <v>0</v>
      </c>
      <c r="T97" s="207">
        <f>SUMIFS('сентябрь 2023'!$G$4:$G$1053,'сентябрь 2023'!$D$4:$D$1053,$B97,'сентябрь 2023'!$J$4:$J$1053,T$1)</f>
        <v>0</v>
      </c>
      <c r="U97" s="207">
        <f>SUMIFS('сентябрь 2023'!$G$4:$G$1053,'сентябрь 2023'!$D$4:$D$1053,$B97,'сентябрь 2023'!$J$4:$J$1053,U$1)</f>
        <v>0</v>
      </c>
      <c r="V97" s="207">
        <f>SUMIFS('сентябрь 2023'!$G$4:$G$1053,'сентябрь 2023'!$D$4:$D$1053,$B97,'сентябрь 2023'!$J$4:$J$1053,V$1)</f>
        <v>0</v>
      </c>
      <c r="W97" s="207">
        <f>SUMIFS('сентябрь 2023'!$G$4:$G$1053,'сентябрь 2023'!$D$4:$D$1053,$B97,'сентябрь 2023'!$J$4:$J$1053,W$1)</f>
        <v>0</v>
      </c>
      <c r="X97" s="207">
        <f>SUMIFS('сентябрь 2023'!$G$4:$G$1053,'сентябрь 2023'!$D$4:$D$1053,$B97,'сентябрь 2023'!$J$4:$J$1053,X$1)</f>
        <v>0</v>
      </c>
      <c r="Y97" s="207">
        <f>SUMIFS('сентябрь 2023'!$G$4:$G$1053,'сентябрь 2023'!$D$4:$D$1053,$B97,'сентябрь 2023'!$J$4:$J$1053,Y$1)</f>
        <v>0</v>
      </c>
      <c r="Z97" s="207">
        <f>SUMIFS('сентябрь 2023'!$G$4:$G$1053,'сентябрь 2023'!$D$4:$D$1053,$B97,'сентябрь 2023'!$J$4:$J$1053,Z$1)</f>
        <v>0</v>
      </c>
      <c r="AA97" s="207">
        <f>SUMIFS('сентябрь 2023'!$G$4:$G$1053,'сентябрь 2023'!$D$4:$D$1053,$B97,'сентябрь 2023'!$J$4:$J$1053,AA$1)</f>
        <v>0</v>
      </c>
      <c r="AB97" s="207">
        <f>SUMIFS('сентябрь 2023'!$G$4:$G$1053,'сентябрь 2023'!$D$4:$D$1053,$B97,'сентябрь 2023'!$J$4:$J$1053,AB$1)</f>
        <v>0</v>
      </c>
      <c r="AC97" s="207">
        <f>SUMIFS('сентябрь 2023'!$G$4:$G$1053,'сентябрь 2023'!$D$4:$D$1053,$B97,'сентябрь 2023'!$J$4:$J$1053,AC$1)</f>
        <v>0</v>
      </c>
      <c r="AD97" s="207">
        <f>SUMIFS('сентябрь 2023'!$G$4:$G$1053,'сентябрь 2023'!$D$4:$D$1053,$B97,'сентябрь 2023'!$J$4:$J$1053,AD$1)</f>
        <v>0</v>
      </c>
      <c r="AE97" s="207">
        <f>SUMIFS('сентябрь 2023'!$G$4:$G$1053,'сентябрь 2023'!$D$4:$D$1053,$B97,'сентябрь 2023'!$J$4:$J$1053,AE$1)</f>
        <v>0</v>
      </c>
      <c r="AF97" s="207">
        <f>SUMIFS('сентябрь 2023'!$G$4:$G$1053,'сентябрь 2023'!$D$4:$D$1053,$B97,'сентябрь 2023'!$J$4:$J$1053,AF$1)</f>
        <v>0</v>
      </c>
      <c r="AG97" s="207">
        <f>SUMIFS('сентябрь 2023'!$G$4:$G$1053,'сентябрь 2023'!$D$4:$D$1053,$B97,'сентябрь 2023'!$J$4:$J$1053,AG$1)</f>
        <v>0</v>
      </c>
      <c r="AH97" s="207">
        <f>SUMIFS('сентябрь 2023'!$G$4:$G$1053,'сентябрь 2023'!$D$4:$D$1053,$B97,'сентябрь 2023'!$J$4:$J$1053,AH$1)</f>
        <v>0</v>
      </c>
      <c r="AI97" s="170">
        <f t="shared" si="3"/>
        <v>0</v>
      </c>
    </row>
    <row r="98" spans="2:35" ht="15" customHeight="1" x14ac:dyDescent="0.25">
      <c r="B98" s="216" t="s">
        <v>770</v>
      </c>
      <c r="C98" s="213">
        <v>190</v>
      </c>
      <c r="D98" s="207">
        <f>SUMIFS('сентябрь 2023'!$G$4:$G$1053,'сентябрь 2023'!$D$4:$D$1053,$B98,'сентябрь 2023'!$J$4:$J$1053,D$1)</f>
        <v>0</v>
      </c>
      <c r="E98" s="207">
        <f>SUMIFS('сентябрь 2023'!$G$4:$G$1053,'сентябрь 2023'!$D$4:$D$1053,$B98,'сентябрь 2023'!$J$4:$J$1053,E$1)</f>
        <v>0</v>
      </c>
      <c r="F98" s="207">
        <f>SUMIFS('сентябрь 2023'!$G$4:$G$1053,'сентябрь 2023'!$D$4:$D$1053,$B98,'сентябрь 2023'!$J$4:$J$1053,F$1)</f>
        <v>0</v>
      </c>
      <c r="G98" s="207">
        <f>SUMIFS('сентябрь 2023'!$G$4:$G$1053,'сентябрь 2023'!$D$4:$D$1053,$B98,'сентябрь 2023'!$J$4:$J$1053,G$1)</f>
        <v>0</v>
      </c>
      <c r="H98" s="207">
        <f>SUMIFS('сентябрь 2023'!$G$4:$G$1053,'сентябрь 2023'!$D$4:$D$1053,$B98,'сентябрь 2023'!$J$4:$J$1053,H$1)</f>
        <v>0</v>
      </c>
      <c r="I98" s="207">
        <f>SUMIFS('сентябрь 2023'!$G$4:$G$1053,'сентябрь 2023'!$D$4:$D$1053,$B98,'сентябрь 2023'!$J$4:$J$1053,I$1)</f>
        <v>0</v>
      </c>
      <c r="J98" s="207">
        <f>SUMIFS('сентябрь 2023'!$G$4:$G$1053,'сентябрь 2023'!$D$4:$D$1053,$B98,'сентябрь 2023'!$J$4:$J$1053,J$1)</f>
        <v>0</v>
      </c>
      <c r="K98" s="207">
        <f>SUMIFS('сентябрь 2023'!$G$4:$G$1053,'сентябрь 2023'!$D$4:$D$1053,$B98,'сентябрь 2023'!$J$4:$J$1053,K$1)</f>
        <v>0</v>
      </c>
      <c r="L98" s="207">
        <f>SUMIFS('сентябрь 2023'!$G$4:$G$1053,'сентябрь 2023'!$D$4:$D$1053,$B98,'сентябрь 2023'!$J$4:$J$1053,L$1)</f>
        <v>0</v>
      </c>
      <c r="M98" s="207">
        <f>SUMIFS('сентябрь 2023'!$G$4:$G$1053,'сентябрь 2023'!$D$4:$D$1053,$B98,'сентябрь 2023'!$J$4:$J$1053,M$1)</f>
        <v>0</v>
      </c>
      <c r="N98" s="207">
        <f>SUMIFS('сентябрь 2023'!$G$4:$G$1053,'сентябрь 2023'!$D$4:$D$1053,$B98,'сентябрь 2023'!$J$4:$J$1053,N$1)</f>
        <v>0</v>
      </c>
      <c r="O98" s="207">
        <f>SUMIFS('сентябрь 2023'!$G$4:$G$1053,'сентябрь 2023'!$D$4:$D$1053,$B98,'сентябрь 2023'!$J$4:$J$1053,O$1)</f>
        <v>0</v>
      </c>
      <c r="P98" s="207">
        <f>SUMIFS('сентябрь 2023'!$G$4:$G$1053,'сентябрь 2023'!$D$4:$D$1053,$B98,'сентябрь 2023'!$J$4:$J$1053,P$1)</f>
        <v>0</v>
      </c>
      <c r="Q98" s="207">
        <f>SUMIFS('сентябрь 2023'!$G$4:$G$1053,'сентябрь 2023'!$D$4:$D$1053,$B98,'сентябрь 2023'!$J$4:$J$1053,Q$1)</f>
        <v>0</v>
      </c>
      <c r="R98" s="207">
        <f>SUMIFS('сентябрь 2023'!$G$4:$G$1053,'сентябрь 2023'!$D$4:$D$1053,$B98,'сентябрь 2023'!$J$4:$J$1053,R$1)</f>
        <v>0</v>
      </c>
      <c r="S98" s="207">
        <f>SUMIFS('сентябрь 2023'!$G$4:$G$1053,'сентябрь 2023'!$D$4:$D$1053,$B98,'сентябрь 2023'!$J$4:$J$1053,S$1)</f>
        <v>0</v>
      </c>
      <c r="T98" s="207">
        <f>SUMIFS('сентябрь 2023'!$G$4:$G$1053,'сентябрь 2023'!$D$4:$D$1053,$B98,'сентябрь 2023'!$J$4:$J$1053,T$1)</f>
        <v>0</v>
      </c>
      <c r="U98" s="207">
        <f>SUMIFS('сентябрь 2023'!$G$4:$G$1053,'сентябрь 2023'!$D$4:$D$1053,$B98,'сентябрь 2023'!$J$4:$J$1053,U$1)</f>
        <v>0</v>
      </c>
      <c r="V98" s="207">
        <f>SUMIFS('сентябрь 2023'!$G$4:$G$1053,'сентябрь 2023'!$D$4:$D$1053,$B98,'сентябрь 2023'!$J$4:$J$1053,V$1)</f>
        <v>0</v>
      </c>
      <c r="W98" s="207">
        <f>SUMIFS('сентябрь 2023'!$G$4:$G$1053,'сентябрь 2023'!$D$4:$D$1053,$B98,'сентябрь 2023'!$J$4:$J$1053,W$1)</f>
        <v>0</v>
      </c>
      <c r="X98" s="207">
        <f>SUMIFS('сентябрь 2023'!$G$4:$G$1053,'сентябрь 2023'!$D$4:$D$1053,$B98,'сентябрь 2023'!$J$4:$J$1053,X$1)</f>
        <v>0</v>
      </c>
      <c r="Y98" s="207">
        <f>SUMIFS('сентябрь 2023'!$G$4:$G$1053,'сентябрь 2023'!$D$4:$D$1053,$B98,'сентябрь 2023'!$J$4:$J$1053,Y$1)</f>
        <v>0</v>
      </c>
      <c r="Z98" s="207">
        <f>SUMIFS('сентябрь 2023'!$G$4:$G$1053,'сентябрь 2023'!$D$4:$D$1053,$B98,'сентябрь 2023'!$J$4:$J$1053,Z$1)</f>
        <v>0</v>
      </c>
      <c r="AA98" s="207">
        <f>SUMIFS('сентябрь 2023'!$G$4:$G$1053,'сентябрь 2023'!$D$4:$D$1053,$B98,'сентябрь 2023'!$J$4:$J$1053,AA$1)</f>
        <v>0</v>
      </c>
      <c r="AB98" s="207">
        <f>SUMIFS('сентябрь 2023'!$G$4:$G$1053,'сентябрь 2023'!$D$4:$D$1053,$B98,'сентябрь 2023'!$J$4:$J$1053,AB$1)</f>
        <v>0</v>
      </c>
      <c r="AC98" s="207">
        <f>SUMIFS('сентябрь 2023'!$G$4:$G$1053,'сентябрь 2023'!$D$4:$D$1053,$B98,'сентябрь 2023'!$J$4:$J$1053,AC$1)</f>
        <v>0</v>
      </c>
      <c r="AD98" s="207">
        <f>SUMIFS('сентябрь 2023'!$G$4:$G$1053,'сентябрь 2023'!$D$4:$D$1053,$B98,'сентябрь 2023'!$J$4:$J$1053,AD$1)</f>
        <v>0</v>
      </c>
      <c r="AE98" s="207">
        <f>SUMIFS('сентябрь 2023'!$G$4:$G$1053,'сентябрь 2023'!$D$4:$D$1053,$B98,'сентябрь 2023'!$J$4:$J$1053,AE$1)</f>
        <v>0</v>
      </c>
      <c r="AF98" s="207">
        <f>SUMIFS('сентябрь 2023'!$G$4:$G$1053,'сентябрь 2023'!$D$4:$D$1053,$B98,'сентябрь 2023'!$J$4:$J$1053,AF$1)</f>
        <v>0</v>
      </c>
      <c r="AG98" s="207">
        <f>SUMIFS('сентябрь 2023'!$G$4:$G$1053,'сентябрь 2023'!$D$4:$D$1053,$B98,'сентябрь 2023'!$J$4:$J$1053,AG$1)</f>
        <v>0</v>
      </c>
      <c r="AH98" s="207">
        <f>SUMIFS('сентябрь 2023'!$G$4:$G$1053,'сентябрь 2023'!$D$4:$D$1053,$B98,'сентябрь 2023'!$J$4:$J$1053,AH$1)</f>
        <v>0</v>
      </c>
      <c r="AI98" s="170">
        <f t="shared" si="3"/>
        <v>0</v>
      </c>
    </row>
    <row r="99" spans="2:35" ht="15" customHeight="1" x14ac:dyDescent="0.25">
      <c r="B99" s="216" t="s">
        <v>2193</v>
      </c>
      <c r="C99" s="213">
        <v>190</v>
      </c>
      <c r="D99" s="207">
        <f>SUMIFS('сентябрь 2023'!$G$4:$G$1053,'сентябрь 2023'!$D$4:$D$1053,$B99,'сентябрь 2023'!$J$4:$J$1053,D$1)</f>
        <v>0</v>
      </c>
      <c r="E99" s="207">
        <f>SUMIFS('сентябрь 2023'!$G$4:$G$1053,'сентябрь 2023'!$D$4:$D$1053,$B99,'сентябрь 2023'!$J$4:$J$1053,E$1)</f>
        <v>0</v>
      </c>
      <c r="F99" s="207">
        <f>SUMIFS('сентябрь 2023'!$G$4:$G$1053,'сентябрь 2023'!$D$4:$D$1053,$B99,'сентябрь 2023'!$J$4:$J$1053,F$1)</f>
        <v>0</v>
      </c>
      <c r="G99" s="207">
        <f>SUMIFS('сентябрь 2023'!$G$4:$G$1053,'сентябрь 2023'!$D$4:$D$1053,$B99,'сентябрь 2023'!$J$4:$J$1053,G$1)</f>
        <v>0</v>
      </c>
      <c r="H99" s="207">
        <f>SUMIFS('сентябрь 2023'!$G$4:$G$1053,'сентябрь 2023'!$D$4:$D$1053,$B99,'сентябрь 2023'!$J$4:$J$1053,H$1)</f>
        <v>0</v>
      </c>
      <c r="I99" s="207">
        <f>SUMIFS('сентябрь 2023'!$G$4:$G$1053,'сентябрь 2023'!$D$4:$D$1053,$B99,'сентябрь 2023'!$J$4:$J$1053,I$1)</f>
        <v>0</v>
      </c>
      <c r="J99" s="207">
        <f>SUMIFS('сентябрь 2023'!$G$4:$G$1053,'сентябрь 2023'!$D$4:$D$1053,$B99,'сентябрь 2023'!$J$4:$J$1053,J$1)</f>
        <v>0</v>
      </c>
      <c r="K99" s="207">
        <f>SUMIFS('сентябрь 2023'!$G$4:$G$1053,'сентябрь 2023'!$D$4:$D$1053,$B99,'сентябрь 2023'!$J$4:$J$1053,K$1)</f>
        <v>0</v>
      </c>
      <c r="L99" s="207">
        <f>SUMIFS('сентябрь 2023'!$G$4:$G$1053,'сентябрь 2023'!$D$4:$D$1053,$B99,'сентябрь 2023'!$J$4:$J$1053,L$1)</f>
        <v>0</v>
      </c>
      <c r="M99" s="207">
        <f>SUMIFS('сентябрь 2023'!$G$4:$G$1053,'сентябрь 2023'!$D$4:$D$1053,$B99,'сентябрь 2023'!$J$4:$J$1053,M$1)</f>
        <v>0</v>
      </c>
      <c r="N99" s="207">
        <f>SUMIFS('сентябрь 2023'!$G$4:$G$1053,'сентябрь 2023'!$D$4:$D$1053,$B99,'сентябрь 2023'!$J$4:$J$1053,N$1)</f>
        <v>0</v>
      </c>
      <c r="O99" s="207">
        <f>SUMIFS('сентябрь 2023'!$G$4:$G$1053,'сентябрь 2023'!$D$4:$D$1053,$B99,'сентябрь 2023'!$J$4:$J$1053,O$1)</f>
        <v>0</v>
      </c>
      <c r="P99" s="207">
        <f>SUMIFS('сентябрь 2023'!$G$4:$G$1053,'сентябрь 2023'!$D$4:$D$1053,$B99,'сентябрь 2023'!$J$4:$J$1053,P$1)</f>
        <v>0</v>
      </c>
      <c r="Q99" s="207">
        <f>SUMIFS('сентябрь 2023'!$G$4:$G$1053,'сентябрь 2023'!$D$4:$D$1053,$B99,'сентябрь 2023'!$J$4:$J$1053,Q$1)</f>
        <v>0</v>
      </c>
      <c r="R99" s="207">
        <f>SUMIFS('сентябрь 2023'!$G$4:$G$1053,'сентябрь 2023'!$D$4:$D$1053,$B99,'сентябрь 2023'!$J$4:$J$1053,R$1)</f>
        <v>0</v>
      </c>
      <c r="S99" s="207">
        <f>SUMIFS('сентябрь 2023'!$G$4:$G$1053,'сентябрь 2023'!$D$4:$D$1053,$B99,'сентябрь 2023'!$J$4:$J$1053,S$1)</f>
        <v>0</v>
      </c>
      <c r="T99" s="207">
        <f>SUMIFS('сентябрь 2023'!$G$4:$G$1053,'сентябрь 2023'!$D$4:$D$1053,$B99,'сентябрь 2023'!$J$4:$J$1053,T$1)</f>
        <v>0</v>
      </c>
      <c r="U99" s="207">
        <f>SUMIFS('сентябрь 2023'!$G$4:$G$1053,'сентябрь 2023'!$D$4:$D$1053,$B99,'сентябрь 2023'!$J$4:$J$1053,U$1)</f>
        <v>0</v>
      </c>
      <c r="V99" s="207">
        <f>SUMIFS('сентябрь 2023'!$G$4:$G$1053,'сентябрь 2023'!$D$4:$D$1053,$B99,'сентябрь 2023'!$J$4:$J$1053,V$1)</f>
        <v>0</v>
      </c>
      <c r="W99" s="207">
        <f>SUMIFS('сентябрь 2023'!$G$4:$G$1053,'сентябрь 2023'!$D$4:$D$1053,$B99,'сентябрь 2023'!$J$4:$J$1053,W$1)</f>
        <v>0</v>
      </c>
      <c r="X99" s="207">
        <f>SUMIFS('сентябрь 2023'!$G$4:$G$1053,'сентябрь 2023'!$D$4:$D$1053,$B99,'сентябрь 2023'!$J$4:$J$1053,X$1)</f>
        <v>0</v>
      </c>
      <c r="Y99" s="207">
        <f>SUMIFS('сентябрь 2023'!$G$4:$G$1053,'сентябрь 2023'!$D$4:$D$1053,$B99,'сентябрь 2023'!$J$4:$J$1053,Y$1)</f>
        <v>0</v>
      </c>
      <c r="Z99" s="207">
        <f>SUMIFS('сентябрь 2023'!$G$4:$G$1053,'сентябрь 2023'!$D$4:$D$1053,$B99,'сентябрь 2023'!$J$4:$J$1053,Z$1)</f>
        <v>0</v>
      </c>
      <c r="AA99" s="207">
        <f>SUMIFS('сентябрь 2023'!$G$4:$G$1053,'сентябрь 2023'!$D$4:$D$1053,$B99,'сентябрь 2023'!$J$4:$J$1053,AA$1)</f>
        <v>0</v>
      </c>
      <c r="AB99" s="207">
        <f>SUMIFS('сентябрь 2023'!$G$4:$G$1053,'сентябрь 2023'!$D$4:$D$1053,$B99,'сентябрь 2023'!$J$4:$J$1053,AB$1)</f>
        <v>0</v>
      </c>
      <c r="AC99" s="207">
        <f>SUMIFS('сентябрь 2023'!$G$4:$G$1053,'сентябрь 2023'!$D$4:$D$1053,$B99,'сентябрь 2023'!$J$4:$J$1053,AC$1)</f>
        <v>0</v>
      </c>
      <c r="AD99" s="207">
        <f>SUMIFS('сентябрь 2023'!$G$4:$G$1053,'сентябрь 2023'!$D$4:$D$1053,$B99,'сентябрь 2023'!$J$4:$J$1053,AD$1)</f>
        <v>0</v>
      </c>
      <c r="AE99" s="207">
        <f>SUMIFS('сентябрь 2023'!$G$4:$G$1053,'сентябрь 2023'!$D$4:$D$1053,$B99,'сентябрь 2023'!$J$4:$J$1053,AE$1)</f>
        <v>0</v>
      </c>
      <c r="AF99" s="207">
        <f>SUMIFS('сентябрь 2023'!$G$4:$G$1053,'сентябрь 2023'!$D$4:$D$1053,$B99,'сентябрь 2023'!$J$4:$J$1053,AF$1)</f>
        <v>0</v>
      </c>
      <c r="AG99" s="207">
        <f>SUMIFS('сентябрь 2023'!$G$4:$G$1053,'сентябрь 2023'!$D$4:$D$1053,$B99,'сентябрь 2023'!$J$4:$J$1053,AG$1)</f>
        <v>0</v>
      </c>
      <c r="AH99" s="207">
        <f>SUMIFS('сентябрь 2023'!$G$4:$G$1053,'сентябрь 2023'!$D$4:$D$1053,$B99,'сентябрь 2023'!$J$4:$J$1053,AH$1)</f>
        <v>0</v>
      </c>
      <c r="AI99" s="170">
        <f t="shared" si="3"/>
        <v>0</v>
      </c>
    </row>
    <row r="100" spans="2:35" ht="15" customHeight="1" x14ac:dyDescent="0.25">
      <c r="B100" s="216" t="s">
        <v>2194</v>
      </c>
      <c r="C100" s="213">
        <v>20</v>
      </c>
      <c r="D100" s="207">
        <f>SUMIFS('сентябрь 2023'!$G$4:$G$1053,'сентябрь 2023'!$D$4:$D$1053,$B100,'сентябрь 2023'!$J$4:$J$1053,D$1)</f>
        <v>0</v>
      </c>
      <c r="E100" s="207">
        <f>SUMIFS('сентябрь 2023'!$G$4:$G$1053,'сентябрь 2023'!$D$4:$D$1053,$B100,'сентябрь 2023'!$J$4:$J$1053,E$1)</f>
        <v>0</v>
      </c>
      <c r="F100" s="207">
        <f>SUMIFS('сентябрь 2023'!$G$4:$G$1053,'сентябрь 2023'!$D$4:$D$1053,$B100,'сентябрь 2023'!$J$4:$J$1053,F$1)</f>
        <v>0</v>
      </c>
      <c r="G100" s="207">
        <f>SUMIFS('сентябрь 2023'!$G$4:$G$1053,'сентябрь 2023'!$D$4:$D$1053,$B100,'сентябрь 2023'!$J$4:$J$1053,G$1)</f>
        <v>0</v>
      </c>
      <c r="H100" s="207">
        <f>SUMIFS('сентябрь 2023'!$G$4:$G$1053,'сентябрь 2023'!$D$4:$D$1053,$B100,'сентябрь 2023'!$J$4:$J$1053,H$1)</f>
        <v>0</v>
      </c>
      <c r="I100" s="207">
        <f>SUMIFS('сентябрь 2023'!$G$4:$G$1053,'сентябрь 2023'!$D$4:$D$1053,$B100,'сентябрь 2023'!$J$4:$J$1053,I$1)</f>
        <v>0</v>
      </c>
      <c r="J100" s="207">
        <f>SUMIFS('сентябрь 2023'!$G$4:$G$1053,'сентябрь 2023'!$D$4:$D$1053,$B100,'сентябрь 2023'!$J$4:$J$1053,J$1)</f>
        <v>0</v>
      </c>
      <c r="K100" s="207">
        <f>SUMIFS('сентябрь 2023'!$G$4:$G$1053,'сентябрь 2023'!$D$4:$D$1053,$B100,'сентябрь 2023'!$J$4:$J$1053,K$1)</f>
        <v>0</v>
      </c>
      <c r="L100" s="207">
        <f>SUMIFS('сентябрь 2023'!$G$4:$G$1053,'сентябрь 2023'!$D$4:$D$1053,$B100,'сентябрь 2023'!$J$4:$J$1053,L$1)</f>
        <v>0</v>
      </c>
      <c r="M100" s="207">
        <f>SUMIFS('сентябрь 2023'!$G$4:$G$1053,'сентябрь 2023'!$D$4:$D$1053,$B100,'сентябрь 2023'!$J$4:$J$1053,M$1)</f>
        <v>0</v>
      </c>
      <c r="N100" s="207">
        <f>SUMIFS('сентябрь 2023'!$G$4:$G$1053,'сентябрь 2023'!$D$4:$D$1053,$B100,'сентябрь 2023'!$J$4:$J$1053,N$1)</f>
        <v>0</v>
      </c>
      <c r="O100" s="207">
        <f>SUMIFS('сентябрь 2023'!$G$4:$G$1053,'сентябрь 2023'!$D$4:$D$1053,$B100,'сентябрь 2023'!$J$4:$J$1053,O$1)</f>
        <v>0</v>
      </c>
      <c r="P100" s="207">
        <f>SUMIFS('сентябрь 2023'!$G$4:$G$1053,'сентябрь 2023'!$D$4:$D$1053,$B100,'сентябрь 2023'!$J$4:$J$1053,P$1)</f>
        <v>0</v>
      </c>
      <c r="Q100" s="207">
        <f>SUMIFS('сентябрь 2023'!$G$4:$G$1053,'сентябрь 2023'!$D$4:$D$1053,$B100,'сентябрь 2023'!$J$4:$J$1053,Q$1)</f>
        <v>0</v>
      </c>
      <c r="R100" s="207">
        <f>SUMIFS('сентябрь 2023'!$G$4:$G$1053,'сентябрь 2023'!$D$4:$D$1053,$B100,'сентябрь 2023'!$J$4:$J$1053,R$1)</f>
        <v>0</v>
      </c>
      <c r="S100" s="207">
        <f>SUMIFS('сентябрь 2023'!$G$4:$G$1053,'сентябрь 2023'!$D$4:$D$1053,$B100,'сентябрь 2023'!$J$4:$J$1053,S$1)</f>
        <v>0</v>
      </c>
      <c r="T100" s="207">
        <f>SUMIFS('сентябрь 2023'!$G$4:$G$1053,'сентябрь 2023'!$D$4:$D$1053,$B100,'сентябрь 2023'!$J$4:$J$1053,T$1)</f>
        <v>0</v>
      </c>
      <c r="U100" s="207">
        <f>SUMIFS('сентябрь 2023'!$G$4:$G$1053,'сентябрь 2023'!$D$4:$D$1053,$B100,'сентябрь 2023'!$J$4:$J$1053,U$1)</f>
        <v>0</v>
      </c>
      <c r="V100" s="207">
        <f>SUMIFS('сентябрь 2023'!$G$4:$G$1053,'сентябрь 2023'!$D$4:$D$1053,$B100,'сентябрь 2023'!$J$4:$J$1053,V$1)</f>
        <v>0</v>
      </c>
      <c r="W100" s="207">
        <f>SUMIFS('сентябрь 2023'!$G$4:$G$1053,'сентябрь 2023'!$D$4:$D$1053,$B100,'сентябрь 2023'!$J$4:$J$1053,W$1)</f>
        <v>0</v>
      </c>
      <c r="X100" s="207">
        <f>SUMIFS('сентябрь 2023'!$G$4:$G$1053,'сентябрь 2023'!$D$4:$D$1053,$B100,'сентябрь 2023'!$J$4:$J$1053,X$1)</f>
        <v>0</v>
      </c>
      <c r="Y100" s="207">
        <f>SUMIFS('сентябрь 2023'!$G$4:$G$1053,'сентябрь 2023'!$D$4:$D$1053,$B100,'сентябрь 2023'!$J$4:$J$1053,Y$1)</f>
        <v>0</v>
      </c>
      <c r="Z100" s="207">
        <f>SUMIFS('сентябрь 2023'!$G$4:$G$1053,'сентябрь 2023'!$D$4:$D$1053,$B100,'сентябрь 2023'!$J$4:$J$1053,Z$1)</f>
        <v>0</v>
      </c>
      <c r="AA100" s="207">
        <f>SUMIFS('сентябрь 2023'!$G$4:$G$1053,'сентябрь 2023'!$D$4:$D$1053,$B100,'сентябрь 2023'!$J$4:$J$1053,AA$1)</f>
        <v>0</v>
      </c>
      <c r="AB100" s="207">
        <f>SUMIFS('сентябрь 2023'!$G$4:$G$1053,'сентябрь 2023'!$D$4:$D$1053,$B100,'сентябрь 2023'!$J$4:$J$1053,AB$1)</f>
        <v>0</v>
      </c>
      <c r="AC100" s="207">
        <f>SUMIFS('сентябрь 2023'!$G$4:$G$1053,'сентябрь 2023'!$D$4:$D$1053,$B100,'сентябрь 2023'!$J$4:$J$1053,AC$1)</f>
        <v>0</v>
      </c>
      <c r="AD100" s="207">
        <f>SUMIFS('сентябрь 2023'!$G$4:$G$1053,'сентябрь 2023'!$D$4:$D$1053,$B100,'сентябрь 2023'!$J$4:$J$1053,AD$1)</f>
        <v>0</v>
      </c>
      <c r="AE100" s="207">
        <f>SUMIFS('сентябрь 2023'!$G$4:$G$1053,'сентябрь 2023'!$D$4:$D$1053,$B100,'сентябрь 2023'!$J$4:$J$1053,AE$1)</f>
        <v>0</v>
      </c>
      <c r="AF100" s="207">
        <f>SUMIFS('сентябрь 2023'!$G$4:$G$1053,'сентябрь 2023'!$D$4:$D$1053,$B100,'сентябрь 2023'!$J$4:$J$1053,AF$1)</f>
        <v>0</v>
      </c>
      <c r="AG100" s="207">
        <f>SUMIFS('сентябрь 2023'!$G$4:$G$1053,'сентябрь 2023'!$D$4:$D$1053,$B100,'сентябрь 2023'!$J$4:$J$1053,AG$1)</f>
        <v>0</v>
      </c>
      <c r="AH100" s="207">
        <f>SUMIFS('сентябрь 2023'!$G$4:$G$1053,'сентябрь 2023'!$D$4:$D$1053,$B100,'сентябрь 2023'!$J$4:$J$1053,AH$1)</f>
        <v>0</v>
      </c>
      <c r="AI100" s="170">
        <f t="shared" si="3"/>
        <v>0</v>
      </c>
    </row>
    <row r="101" spans="2:35" ht="15" customHeight="1" x14ac:dyDescent="0.25">
      <c r="B101" s="212" t="s">
        <v>2195</v>
      </c>
      <c r="C101" s="211">
        <v>20</v>
      </c>
      <c r="D101" s="207">
        <f>SUMIFS('сентябрь 2023'!$G$4:$G$1053,'сентябрь 2023'!$D$4:$D$1053,$B101,'сентябрь 2023'!$J$4:$J$1053,D$1)</f>
        <v>0</v>
      </c>
      <c r="E101" s="207">
        <f>SUMIFS('сентябрь 2023'!$G$4:$G$1053,'сентябрь 2023'!$D$4:$D$1053,$B101,'сентябрь 2023'!$J$4:$J$1053,E$1)</f>
        <v>0</v>
      </c>
      <c r="F101" s="207">
        <f>SUMIFS('сентябрь 2023'!$G$4:$G$1053,'сентябрь 2023'!$D$4:$D$1053,$B101,'сентябрь 2023'!$J$4:$J$1053,F$1)</f>
        <v>0</v>
      </c>
      <c r="G101" s="207">
        <f>SUMIFS('сентябрь 2023'!$G$4:$G$1053,'сентябрь 2023'!$D$4:$D$1053,$B101,'сентябрь 2023'!$J$4:$J$1053,G$1)</f>
        <v>0</v>
      </c>
      <c r="H101" s="207">
        <f>SUMIFS('сентябрь 2023'!$G$4:$G$1053,'сентябрь 2023'!$D$4:$D$1053,$B101,'сентябрь 2023'!$J$4:$J$1053,H$1)</f>
        <v>0</v>
      </c>
      <c r="I101" s="207">
        <f>SUMIFS('сентябрь 2023'!$G$4:$G$1053,'сентябрь 2023'!$D$4:$D$1053,$B101,'сентябрь 2023'!$J$4:$J$1053,I$1)</f>
        <v>0</v>
      </c>
      <c r="J101" s="207">
        <f>SUMIFS('сентябрь 2023'!$G$4:$G$1053,'сентябрь 2023'!$D$4:$D$1053,$B101,'сентябрь 2023'!$J$4:$J$1053,J$1)</f>
        <v>0</v>
      </c>
      <c r="K101" s="207">
        <f>SUMIFS('сентябрь 2023'!$G$4:$G$1053,'сентябрь 2023'!$D$4:$D$1053,$B101,'сентябрь 2023'!$J$4:$J$1053,K$1)</f>
        <v>0</v>
      </c>
      <c r="L101" s="207">
        <f>SUMIFS('сентябрь 2023'!$G$4:$G$1053,'сентябрь 2023'!$D$4:$D$1053,$B101,'сентябрь 2023'!$J$4:$J$1053,L$1)</f>
        <v>0</v>
      </c>
      <c r="M101" s="207">
        <f>SUMIFS('сентябрь 2023'!$G$4:$G$1053,'сентябрь 2023'!$D$4:$D$1053,$B101,'сентябрь 2023'!$J$4:$J$1053,M$1)</f>
        <v>0</v>
      </c>
      <c r="N101" s="207">
        <f>SUMIFS('сентябрь 2023'!$G$4:$G$1053,'сентябрь 2023'!$D$4:$D$1053,$B101,'сентябрь 2023'!$J$4:$J$1053,N$1)</f>
        <v>0</v>
      </c>
      <c r="O101" s="207">
        <f>SUMIFS('сентябрь 2023'!$G$4:$G$1053,'сентябрь 2023'!$D$4:$D$1053,$B101,'сентябрь 2023'!$J$4:$J$1053,O$1)</f>
        <v>0</v>
      </c>
      <c r="P101" s="207">
        <f>SUMIFS('сентябрь 2023'!$G$4:$G$1053,'сентябрь 2023'!$D$4:$D$1053,$B101,'сентябрь 2023'!$J$4:$J$1053,P$1)</f>
        <v>0</v>
      </c>
      <c r="Q101" s="207">
        <f>SUMIFS('сентябрь 2023'!$G$4:$G$1053,'сентябрь 2023'!$D$4:$D$1053,$B101,'сентябрь 2023'!$J$4:$J$1053,Q$1)</f>
        <v>0</v>
      </c>
      <c r="R101" s="207">
        <f>SUMIFS('сентябрь 2023'!$G$4:$G$1053,'сентябрь 2023'!$D$4:$D$1053,$B101,'сентябрь 2023'!$J$4:$J$1053,R$1)</f>
        <v>0</v>
      </c>
      <c r="S101" s="207">
        <f>SUMIFS('сентябрь 2023'!$G$4:$G$1053,'сентябрь 2023'!$D$4:$D$1053,$B101,'сентябрь 2023'!$J$4:$J$1053,S$1)</f>
        <v>0</v>
      </c>
      <c r="T101" s="207">
        <f>SUMIFS('сентябрь 2023'!$G$4:$G$1053,'сентябрь 2023'!$D$4:$D$1053,$B101,'сентябрь 2023'!$J$4:$J$1053,T$1)</f>
        <v>0</v>
      </c>
      <c r="U101" s="207">
        <f>SUMIFS('сентябрь 2023'!$G$4:$G$1053,'сентябрь 2023'!$D$4:$D$1053,$B101,'сентябрь 2023'!$J$4:$J$1053,U$1)</f>
        <v>0</v>
      </c>
      <c r="V101" s="207">
        <f>SUMIFS('сентябрь 2023'!$G$4:$G$1053,'сентябрь 2023'!$D$4:$D$1053,$B101,'сентябрь 2023'!$J$4:$J$1053,V$1)</f>
        <v>0</v>
      </c>
      <c r="W101" s="207">
        <f>SUMIFS('сентябрь 2023'!$G$4:$G$1053,'сентябрь 2023'!$D$4:$D$1053,$B101,'сентябрь 2023'!$J$4:$J$1053,W$1)</f>
        <v>0</v>
      </c>
      <c r="X101" s="207">
        <f>SUMIFS('сентябрь 2023'!$G$4:$G$1053,'сентябрь 2023'!$D$4:$D$1053,$B101,'сентябрь 2023'!$J$4:$J$1053,X$1)</f>
        <v>0</v>
      </c>
      <c r="Y101" s="207">
        <f>SUMIFS('сентябрь 2023'!$G$4:$G$1053,'сентябрь 2023'!$D$4:$D$1053,$B101,'сентябрь 2023'!$J$4:$J$1053,Y$1)</f>
        <v>0</v>
      </c>
      <c r="Z101" s="207">
        <f>SUMIFS('сентябрь 2023'!$G$4:$G$1053,'сентябрь 2023'!$D$4:$D$1053,$B101,'сентябрь 2023'!$J$4:$J$1053,Z$1)</f>
        <v>0</v>
      </c>
      <c r="AA101" s="207">
        <f>SUMIFS('сентябрь 2023'!$G$4:$G$1053,'сентябрь 2023'!$D$4:$D$1053,$B101,'сентябрь 2023'!$J$4:$J$1053,AA$1)</f>
        <v>0</v>
      </c>
      <c r="AB101" s="207">
        <f>SUMIFS('сентябрь 2023'!$G$4:$G$1053,'сентябрь 2023'!$D$4:$D$1053,$B101,'сентябрь 2023'!$J$4:$J$1053,AB$1)</f>
        <v>0</v>
      </c>
      <c r="AC101" s="207">
        <f>SUMIFS('сентябрь 2023'!$G$4:$G$1053,'сентябрь 2023'!$D$4:$D$1053,$B101,'сентябрь 2023'!$J$4:$J$1053,AC$1)</f>
        <v>0</v>
      </c>
      <c r="AD101" s="207">
        <f>SUMIFS('сентябрь 2023'!$G$4:$G$1053,'сентябрь 2023'!$D$4:$D$1053,$B101,'сентябрь 2023'!$J$4:$J$1053,AD$1)</f>
        <v>0</v>
      </c>
      <c r="AE101" s="207">
        <f>SUMIFS('сентябрь 2023'!$G$4:$G$1053,'сентябрь 2023'!$D$4:$D$1053,$B101,'сентябрь 2023'!$J$4:$J$1053,AE$1)</f>
        <v>0</v>
      </c>
      <c r="AF101" s="207">
        <f>SUMIFS('сентябрь 2023'!$G$4:$G$1053,'сентябрь 2023'!$D$4:$D$1053,$B101,'сентябрь 2023'!$J$4:$J$1053,AF$1)</f>
        <v>0</v>
      </c>
      <c r="AG101" s="207">
        <f>SUMIFS('сентябрь 2023'!$G$4:$G$1053,'сентябрь 2023'!$D$4:$D$1053,$B101,'сентябрь 2023'!$J$4:$J$1053,AG$1)</f>
        <v>0</v>
      </c>
      <c r="AH101" s="207">
        <f>SUMIFS('сентябрь 2023'!$G$4:$G$1053,'сентябрь 2023'!$D$4:$D$1053,$B101,'сентябрь 2023'!$J$4:$J$1053,AH$1)</f>
        <v>0</v>
      </c>
      <c r="AI101" s="170">
        <f t="shared" si="3"/>
        <v>0</v>
      </c>
    </row>
    <row r="102" spans="2:35" ht="15" customHeight="1" x14ac:dyDescent="0.25">
      <c r="B102" s="212" t="s">
        <v>2196</v>
      </c>
      <c r="C102" s="211">
        <v>20</v>
      </c>
      <c r="D102" s="207">
        <f>SUMIFS('сентябрь 2023'!$G$4:$G$1053,'сентябрь 2023'!$D$4:$D$1053,$B102,'сентябрь 2023'!$J$4:$J$1053,D$1)</f>
        <v>0</v>
      </c>
      <c r="E102" s="207">
        <f>SUMIFS('сентябрь 2023'!$G$4:$G$1053,'сентябрь 2023'!$D$4:$D$1053,$B102,'сентябрь 2023'!$J$4:$J$1053,E$1)</f>
        <v>0</v>
      </c>
      <c r="F102" s="207">
        <f>SUMIFS('сентябрь 2023'!$G$4:$G$1053,'сентябрь 2023'!$D$4:$D$1053,$B102,'сентябрь 2023'!$J$4:$J$1053,F$1)</f>
        <v>0</v>
      </c>
      <c r="G102" s="207">
        <f>SUMIFS('сентябрь 2023'!$G$4:$G$1053,'сентябрь 2023'!$D$4:$D$1053,$B102,'сентябрь 2023'!$J$4:$J$1053,G$1)</f>
        <v>0</v>
      </c>
      <c r="H102" s="207">
        <f>SUMIFS('сентябрь 2023'!$G$4:$G$1053,'сентябрь 2023'!$D$4:$D$1053,$B102,'сентябрь 2023'!$J$4:$J$1053,H$1)</f>
        <v>0</v>
      </c>
      <c r="I102" s="207">
        <f>SUMIFS('сентябрь 2023'!$G$4:$G$1053,'сентябрь 2023'!$D$4:$D$1053,$B102,'сентябрь 2023'!$J$4:$J$1053,I$1)</f>
        <v>0</v>
      </c>
      <c r="J102" s="207">
        <f>SUMIFS('сентябрь 2023'!$G$4:$G$1053,'сентябрь 2023'!$D$4:$D$1053,$B102,'сентябрь 2023'!$J$4:$J$1053,J$1)</f>
        <v>0</v>
      </c>
      <c r="K102" s="207">
        <f>SUMIFS('сентябрь 2023'!$G$4:$G$1053,'сентябрь 2023'!$D$4:$D$1053,$B102,'сентябрь 2023'!$J$4:$J$1053,K$1)</f>
        <v>0</v>
      </c>
      <c r="L102" s="207">
        <f>SUMIFS('сентябрь 2023'!$G$4:$G$1053,'сентябрь 2023'!$D$4:$D$1053,$B102,'сентябрь 2023'!$J$4:$J$1053,L$1)</f>
        <v>0</v>
      </c>
      <c r="M102" s="207">
        <f>SUMIFS('сентябрь 2023'!$G$4:$G$1053,'сентябрь 2023'!$D$4:$D$1053,$B102,'сентябрь 2023'!$J$4:$J$1053,M$1)</f>
        <v>0</v>
      </c>
      <c r="N102" s="207">
        <f>SUMIFS('сентябрь 2023'!$G$4:$G$1053,'сентябрь 2023'!$D$4:$D$1053,$B102,'сентябрь 2023'!$J$4:$J$1053,N$1)</f>
        <v>0</v>
      </c>
      <c r="O102" s="207">
        <f>SUMIFS('сентябрь 2023'!$G$4:$G$1053,'сентябрь 2023'!$D$4:$D$1053,$B102,'сентябрь 2023'!$J$4:$J$1053,O$1)</f>
        <v>0</v>
      </c>
      <c r="P102" s="207">
        <f>SUMIFS('сентябрь 2023'!$G$4:$G$1053,'сентябрь 2023'!$D$4:$D$1053,$B102,'сентябрь 2023'!$J$4:$J$1053,P$1)</f>
        <v>0</v>
      </c>
      <c r="Q102" s="207">
        <f>SUMIFS('сентябрь 2023'!$G$4:$G$1053,'сентябрь 2023'!$D$4:$D$1053,$B102,'сентябрь 2023'!$J$4:$J$1053,Q$1)</f>
        <v>0</v>
      </c>
      <c r="R102" s="207">
        <f>SUMIFS('сентябрь 2023'!$G$4:$G$1053,'сентябрь 2023'!$D$4:$D$1053,$B102,'сентябрь 2023'!$J$4:$J$1053,R$1)</f>
        <v>0</v>
      </c>
      <c r="S102" s="207">
        <f>SUMIFS('сентябрь 2023'!$G$4:$G$1053,'сентябрь 2023'!$D$4:$D$1053,$B102,'сентябрь 2023'!$J$4:$J$1053,S$1)</f>
        <v>0</v>
      </c>
      <c r="T102" s="207">
        <f>SUMIFS('сентябрь 2023'!$G$4:$G$1053,'сентябрь 2023'!$D$4:$D$1053,$B102,'сентябрь 2023'!$J$4:$J$1053,T$1)</f>
        <v>0</v>
      </c>
      <c r="U102" s="207">
        <f>SUMIFS('сентябрь 2023'!$G$4:$G$1053,'сентябрь 2023'!$D$4:$D$1053,$B102,'сентябрь 2023'!$J$4:$J$1053,U$1)</f>
        <v>0</v>
      </c>
      <c r="V102" s="207">
        <f>SUMIFS('сентябрь 2023'!$G$4:$G$1053,'сентябрь 2023'!$D$4:$D$1053,$B102,'сентябрь 2023'!$J$4:$J$1053,V$1)</f>
        <v>0</v>
      </c>
      <c r="W102" s="207">
        <f>SUMIFS('сентябрь 2023'!$G$4:$G$1053,'сентябрь 2023'!$D$4:$D$1053,$B102,'сентябрь 2023'!$J$4:$J$1053,W$1)</f>
        <v>0</v>
      </c>
      <c r="X102" s="207">
        <f>SUMIFS('сентябрь 2023'!$G$4:$G$1053,'сентябрь 2023'!$D$4:$D$1053,$B102,'сентябрь 2023'!$J$4:$J$1053,X$1)</f>
        <v>0</v>
      </c>
      <c r="Y102" s="207">
        <f>SUMIFS('сентябрь 2023'!$G$4:$G$1053,'сентябрь 2023'!$D$4:$D$1053,$B102,'сентябрь 2023'!$J$4:$J$1053,Y$1)</f>
        <v>0</v>
      </c>
      <c r="Z102" s="207">
        <f>SUMIFS('сентябрь 2023'!$G$4:$G$1053,'сентябрь 2023'!$D$4:$D$1053,$B102,'сентябрь 2023'!$J$4:$J$1053,Z$1)</f>
        <v>0</v>
      </c>
      <c r="AA102" s="207">
        <f>SUMIFS('сентябрь 2023'!$G$4:$G$1053,'сентябрь 2023'!$D$4:$D$1053,$B102,'сентябрь 2023'!$J$4:$J$1053,AA$1)</f>
        <v>0</v>
      </c>
      <c r="AB102" s="207">
        <f>SUMIFS('сентябрь 2023'!$G$4:$G$1053,'сентябрь 2023'!$D$4:$D$1053,$B102,'сентябрь 2023'!$J$4:$J$1053,AB$1)</f>
        <v>0</v>
      </c>
      <c r="AC102" s="207">
        <f>SUMIFS('сентябрь 2023'!$G$4:$G$1053,'сентябрь 2023'!$D$4:$D$1053,$B102,'сентябрь 2023'!$J$4:$J$1053,AC$1)</f>
        <v>0</v>
      </c>
      <c r="AD102" s="207">
        <f>SUMIFS('сентябрь 2023'!$G$4:$G$1053,'сентябрь 2023'!$D$4:$D$1053,$B102,'сентябрь 2023'!$J$4:$J$1053,AD$1)</f>
        <v>0</v>
      </c>
      <c r="AE102" s="207">
        <f>SUMIFS('сентябрь 2023'!$G$4:$G$1053,'сентябрь 2023'!$D$4:$D$1053,$B102,'сентябрь 2023'!$J$4:$J$1053,AE$1)</f>
        <v>0</v>
      </c>
      <c r="AF102" s="207">
        <f>SUMIFS('сентябрь 2023'!$G$4:$G$1053,'сентябрь 2023'!$D$4:$D$1053,$B102,'сентябрь 2023'!$J$4:$J$1053,AF$1)</f>
        <v>0</v>
      </c>
      <c r="AG102" s="207">
        <f>SUMIFS('сентябрь 2023'!$G$4:$G$1053,'сентябрь 2023'!$D$4:$D$1053,$B102,'сентябрь 2023'!$J$4:$J$1053,AG$1)</f>
        <v>0</v>
      </c>
      <c r="AH102" s="207">
        <f>SUMIFS('сентябрь 2023'!$G$4:$G$1053,'сентябрь 2023'!$D$4:$D$1053,$B102,'сентябрь 2023'!$J$4:$J$1053,AH$1)</f>
        <v>0</v>
      </c>
      <c r="AI102" s="170">
        <f t="shared" si="3"/>
        <v>0</v>
      </c>
    </row>
    <row r="103" spans="2:35" ht="15" customHeight="1" x14ac:dyDescent="0.25">
      <c r="B103" s="212" t="s">
        <v>2197</v>
      </c>
      <c r="C103" s="211">
        <v>20</v>
      </c>
      <c r="D103" s="207">
        <f>SUMIFS('сентябрь 2023'!$G$4:$G$1053,'сентябрь 2023'!$D$4:$D$1053,$B103,'сентябрь 2023'!$J$4:$J$1053,D$1)</f>
        <v>0</v>
      </c>
      <c r="E103" s="207">
        <f>SUMIFS('сентябрь 2023'!$G$4:$G$1053,'сентябрь 2023'!$D$4:$D$1053,$B103,'сентябрь 2023'!$J$4:$J$1053,E$1)</f>
        <v>0</v>
      </c>
      <c r="F103" s="207">
        <f>SUMIFS('сентябрь 2023'!$G$4:$G$1053,'сентябрь 2023'!$D$4:$D$1053,$B103,'сентябрь 2023'!$J$4:$J$1053,F$1)</f>
        <v>0</v>
      </c>
      <c r="G103" s="207">
        <f>SUMIFS('сентябрь 2023'!$G$4:$G$1053,'сентябрь 2023'!$D$4:$D$1053,$B103,'сентябрь 2023'!$J$4:$J$1053,G$1)</f>
        <v>0</v>
      </c>
      <c r="H103" s="207">
        <f>SUMIFS('сентябрь 2023'!$G$4:$G$1053,'сентябрь 2023'!$D$4:$D$1053,$B103,'сентябрь 2023'!$J$4:$J$1053,H$1)</f>
        <v>0</v>
      </c>
      <c r="I103" s="207">
        <f>SUMIFS('сентябрь 2023'!$G$4:$G$1053,'сентябрь 2023'!$D$4:$D$1053,$B103,'сентябрь 2023'!$J$4:$J$1053,I$1)</f>
        <v>0</v>
      </c>
      <c r="J103" s="207">
        <f>SUMIFS('сентябрь 2023'!$G$4:$G$1053,'сентябрь 2023'!$D$4:$D$1053,$B103,'сентябрь 2023'!$J$4:$J$1053,J$1)</f>
        <v>0</v>
      </c>
      <c r="K103" s="207">
        <f>SUMIFS('сентябрь 2023'!$G$4:$G$1053,'сентябрь 2023'!$D$4:$D$1053,$B103,'сентябрь 2023'!$J$4:$J$1053,K$1)</f>
        <v>0</v>
      </c>
      <c r="L103" s="207">
        <f>SUMIFS('сентябрь 2023'!$G$4:$G$1053,'сентябрь 2023'!$D$4:$D$1053,$B103,'сентябрь 2023'!$J$4:$J$1053,L$1)</f>
        <v>0</v>
      </c>
      <c r="M103" s="207">
        <f>SUMIFS('сентябрь 2023'!$G$4:$G$1053,'сентябрь 2023'!$D$4:$D$1053,$B103,'сентябрь 2023'!$J$4:$J$1053,M$1)</f>
        <v>0</v>
      </c>
      <c r="N103" s="207">
        <f>SUMIFS('сентябрь 2023'!$G$4:$G$1053,'сентябрь 2023'!$D$4:$D$1053,$B103,'сентябрь 2023'!$J$4:$J$1053,N$1)</f>
        <v>0</v>
      </c>
      <c r="O103" s="207">
        <f>SUMIFS('сентябрь 2023'!$G$4:$G$1053,'сентябрь 2023'!$D$4:$D$1053,$B103,'сентябрь 2023'!$J$4:$J$1053,O$1)</f>
        <v>0</v>
      </c>
      <c r="P103" s="207">
        <f>SUMIFS('сентябрь 2023'!$G$4:$G$1053,'сентябрь 2023'!$D$4:$D$1053,$B103,'сентябрь 2023'!$J$4:$J$1053,P$1)</f>
        <v>0</v>
      </c>
      <c r="Q103" s="207">
        <f>SUMIFS('сентябрь 2023'!$G$4:$G$1053,'сентябрь 2023'!$D$4:$D$1053,$B103,'сентябрь 2023'!$J$4:$J$1053,Q$1)</f>
        <v>0</v>
      </c>
      <c r="R103" s="207">
        <f>SUMIFS('сентябрь 2023'!$G$4:$G$1053,'сентябрь 2023'!$D$4:$D$1053,$B103,'сентябрь 2023'!$J$4:$J$1053,R$1)</f>
        <v>0</v>
      </c>
      <c r="S103" s="207">
        <f>SUMIFS('сентябрь 2023'!$G$4:$G$1053,'сентябрь 2023'!$D$4:$D$1053,$B103,'сентябрь 2023'!$J$4:$J$1053,S$1)</f>
        <v>0</v>
      </c>
      <c r="T103" s="207">
        <f>SUMIFS('сентябрь 2023'!$G$4:$G$1053,'сентябрь 2023'!$D$4:$D$1053,$B103,'сентябрь 2023'!$J$4:$J$1053,T$1)</f>
        <v>0</v>
      </c>
      <c r="U103" s="207">
        <f>SUMIFS('сентябрь 2023'!$G$4:$G$1053,'сентябрь 2023'!$D$4:$D$1053,$B103,'сентябрь 2023'!$J$4:$J$1053,U$1)</f>
        <v>0</v>
      </c>
      <c r="V103" s="207">
        <f>SUMIFS('сентябрь 2023'!$G$4:$G$1053,'сентябрь 2023'!$D$4:$D$1053,$B103,'сентябрь 2023'!$J$4:$J$1053,V$1)</f>
        <v>0</v>
      </c>
      <c r="W103" s="207">
        <f>SUMIFS('сентябрь 2023'!$G$4:$G$1053,'сентябрь 2023'!$D$4:$D$1053,$B103,'сентябрь 2023'!$J$4:$J$1053,W$1)</f>
        <v>0</v>
      </c>
      <c r="X103" s="207">
        <f>SUMIFS('сентябрь 2023'!$G$4:$G$1053,'сентябрь 2023'!$D$4:$D$1053,$B103,'сентябрь 2023'!$J$4:$J$1053,X$1)</f>
        <v>0</v>
      </c>
      <c r="Y103" s="207">
        <f>SUMIFS('сентябрь 2023'!$G$4:$G$1053,'сентябрь 2023'!$D$4:$D$1053,$B103,'сентябрь 2023'!$J$4:$J$1053,Y$1)</f>
        <v>0</v>
      </c>
      <c r="Z103" s="207">
        <f>SUMIFS('сентябрь 2023'!$G$4:$G$1053,'сентябрь 2023'!$D$4:$D$1053,$B103,'сентябрь 2023'!$J$4:$J$1053,Z$1)</f>
        <v>0</v>
      </c>
      <c r="AA103" s="207">
        <f>SUMIFS('сентябрь 2023'!$G$4:$G$1053,'сентябрь 2023'!$D$4:$D$1053,$B103,'сентябрь 2023'!$J$4:$J$1053,AA$1)</f>
        <v>0</v>
      </c>
      <c r="AB103" s="207">
        <f>SUMIFS('сентябрь 2023'!$G$4:$G$1053,'сентябрь 2023'!$D$4:$D$1053,$B103,'сентябрь 2023'!$J$4:$J$1053,AB$1)</f>
        <v>0</v>
      </c>
      <c r="AC103" s="207">
        <f>SUMIFS('сентябрь 2023'!$G$4:$G$1053,'сентябрь 2023'!$D$4:$D$1053,$B103,'сентябрь 2023'!$J$4:$J$1053,AC$1)</f>
        <v>0</v>
      </c>
      <c r="AD103" s="207">
        <f>SUMIFS('сентябрь 2023'!$G$4:$G$1053,'сентябрь 2023'!$D$4:$D$1053,$B103,'сентябрь 2023'!$J$4:$J$1053,AD$1)</f>
        <v>0</v>
      </c>
      <c r="AE103" s="207">
        <f>SUMIFS('сентябрь 2023'!$G$4:$G$1053,'сентябрь 2023'!$D$4:$D$1053,$B103,'сентябрь 2023'!$J$4:$J$1053,AE$1)</f>
        <v>0</v>
      </c>
      <c r="AF103" s="207">
        <f>SUMIFS('сентябрь 2023'!$G$4:$G$1053,'сентябрь 2023'!$D$4:$D$1053,$B103,'сентябрь 2023'!$J$4:$J$1053,AF$1)</f>
        <v>0</v>
      </c>
      <c r="AG103" s="207">
        <f>SUMIFS('сентябрь 2023'!$G$4:$G$1053,'сентябрь 2023'!$D$4:$D$1053,$B103,'сентябрь 2023'!$J$4:$J$1053,AG$1)</f>
        <v>0</v>
      </c>
      <c r="AH103" s="207">
        <f>SUMIFS('сентябрь 2023'!$G$4:$G$1053,'сентябрь 2023'!$D$4:$D$1053,$B103,'сентябрь 2023'!$J$4:$J$1053,AH$1)</f>
        <v>0</v>
      </c>
      <c r="AI103" s="170">
        <f t="shared" si="3"/>
        <v>0</v>
      </c>
    </row>
    <row r="104" spans="2:35" ht="15" customHeight="1" x14ac:dyDescent="0.25">
      <c r="B104" s="212" t="s">
        <v>147</v>
      </c>
      <c r="C104" s="211">
        <v>200</v>
      </c>
      <c r="D104" s="207">
        <f>SUMIFS('сентябрь 2023'!$G$4:$G$1053,'сентябрь 2023'!$D$4:$D$1053,$B104,'сентябрь 2023'!$J$4:$J$1053,D$1)</f>
        <v>0</v>
      </c>
      <c r="E104" s="207">
        <f>SUMIFS('сентябрь 2023'!$G$4:$G$1053,'сентябрь 2023'!$D$4:$D$1053,$B104,'сентябрь 2023'!$J$4:$J$1053,E$1)</f>
        <v>0</v>
      </c>
      <c r="F104" s="207">
        <f>SUMIFS('сентябрь 2023'!$G$4:$G$1053,'сентябрь 2023'!$D$4:$D$1053,$B104,'сентябрь 2023'!$J$4:$J$1053,F$1)</f>
        <v>0</v>
      </c>
      <c r="G104" s="207">
        <f>SUMIFS('сентябрь 2023'!$G$4:$G$1053,'сентябрь 2023'!$D$4:$D$1053,$B104,'сентябрь 2023'!$J$4:$J$1053,G$1)</f>
        <v>0</v>
      </c>
      <c r="H104" s="207">
        <f>SUMIFS('сентябрь 2023'!$G$4:$G$1053,'сентябрь 2023'!$D$4:$D$1053,$B104,'сентябрь 2023'!$J$4:$J$1053,H$1)</f>
        <v>0</v>
      </c>
      <c r="I104" s="207">
        <f>SUMIFS('сентябрь 2023'!$G$4:$G$1053,'сентябрь 2023'!$D$4:$D$1053,$B104,'сентябрь 2023'!$J$4:$J$1053,I$1)</f>
        <v>0</v>
      </c>
      <c r="J104" s="207">
        <f>SUMIFS('сентябрь 2023'!$G$4:$G$1053,'сентябрь 2023'!$D$4:$D$1053,$B104,'сентябрь 2023'!$J$4:$J$1053,J$1)</f>
        <v>0</v>
      </c>
      <c r="K104" s="207">
        <f>SUMIFS('сентябрь 2023'!$G$4:$G$1053,'сентябрь 2023'!$D$4:$D$1053,$B104,'сентябрь 2023'!$J$4:$J$1053,K$1)</f>
        <v>0</v>
      </c>
      <c r="L104" s="207">
        <f>SUMIFS('сентябрь 2023'!$G$4:$G$1053,'сентябрь 2023'!$D$4:$D$1053,$B104,'сентябрь 2023'!$J$4:$J$1053,L$1)</f>
        <v>0</v>
      </c>
      <c r="M104" s="207">
        <f>SUMIFS('сентябрь 2023'!$G$4:$G$1053,'сентябрь 2023'!$D$4:$D$1053,$B104,'сентябрь 2023'!$J$4:$J$1053,M$1)</f>
        <v>0</v>
      </c>
      <c r="N104" s="207">
        <f>SUMIFS('сентябрь 2023'!$G$4:$G$1053,'сентябрь 2023'!$D$4:$D$1053,$B104,'сентябрь 2023'!$J$4:$J$1053,N$1)</f>
        <v>0</v>
      </c>
      <c r="O104" s="207">
        <f>SUMIFS('сентябрь 2023'!$G$4:$G$1053,'сентябрь 2023'!$D$4:$D$1053,$B104,'сентябрь 2023'!$J$4:$J$1053,O$1)</f>
        <v>0</v>
      </c>
      <c r="P104" s="207">
        <f>SUMIFS('сентябрь 2023'!$G$4:$G$1053,'сентябрь 2023'!$D$4:$D$1053,$B104,'сентябрь 2023'!$J$4:$J$1053,P$1)</f>
        <v>0</v>
      </c>
      <c r="Q104" s="207">
        <f>SUMIFS('сентябрь 2023'!$G$4:$G$1053,'сентябрь 2023'!$D$4:$D$1053,$B104,'сентябрь 2023'!$J$4:$J$1053,Q$1)</f>
        <v>0</v>
      </c>
      <c r="R104" s="207">
        <f>SUMIFS('сентябрь 2023'!$G$4:$G$1053,'сентябрь 2023'!$D$4:$D$1053,$B104,'сентябрь 2023'!$J$4:$J$1053,R$1)</f>
        <v>0</v>
      </c>
      <c r="S104" s="207">
        <f>SUMIFS('сентябрь 2023'!$G$4:$G$1053,'сентябрь 2023'!$D$4:$D$1053,$B104,'сентябрь 2023'!$J$4:$J$1053,S$1)</f>
        <v>0</v>
      </c>
      <c r="T104" s="207">
        <f>SUMIFS('сентябрь 2023'!$G$4:$G$1053,'сентябрь 2023'!$D$4:$D$1053,$B104,'сентябрь 2023'!$J$4:$J$1053,T$1)</f>
        <v>0</v>
      </c>
      <c r="U104" s="207">
        <f>SUMIFS('сентябрь 2023'!$G$4:$G$1053,'сентябрь 2023'!$D$4:$D$1053,$B104,'сентябрь 2023'!$J$4:$J$1053,U$1)</f>
        <v>0</v>
      </c>
      <c r="V104" s="207">
        <f>SUMIFS('сентябрь 2023'!$G$4:$G$1053,'сентябрь 2023'!$D$4:$D$1053,$B104,'сентябрь 2023'!$J$4:$J$1053,V$1)</f>
        <v>0</v>
      </c>
      <c r="W104" s="207">
        <f>SUMIFS('сентябрь 2023'!$G$4:$G$1053,'сентябрь 2023'!$D$4:$D$1053,$B104,'сентябрь 2023'!$J$4:$J$1053,W$1)</f>
        <v>0</v>
      </c>
      <c r="X104" s="207">
        <f>SUMIFS('сентябрь 2023'!$G$4:$G$1053,'сентябрь 2023'!$D$4:$D$1053,$B104,'сентябрь 2023'!$J$4:$J$1053,X$1)</f>
        <v>0</v>
      </c>
      <c r="Y104" s="207">
        <f>SUMIFS('сентябрь 2023'!$G$4:$G$1053,'сентябрь 2023'!$D$4:$D$1053,$B104,'сентябрь 2023'!$J$4:$J$1053,Y$1)</f>
        <v>0</v>
      </c>
      <c r="Z104" s="207">
        <f>SUMIFS('сентябрь 2023'!$G$4:$G$1053,'сентябрь 2023'!$D$4:$D$1053,$B104,'сентябрь 2023'!$J$4:$J$1053,Z$1)</f>
        <v>0</v>
      </c>
      <c r="AA104" s="207">
        <f>SUMIFS('сентябрь 2023'!$G$4:$G$1053,'сентябрь 2023'!$D$4:$D$1053,$B104,'сентябрь 2023'!$J$4:$J$1053,AA$1)</f>
        <v>0</v>
      </c>
      <c r="AB104" s="207">
        <f>SUMIFS('сентябрь 2023'!$G$4:$G$1053,'сентябрь 2023'!$D$4:$D$1053,$B104,'сентябрь 2023'!$J$4:$J$1053,AB$1)</f>
        <v>0</v>
      </c>
      <c r="AC104" s="207">
        <f>SUMIFS('сентябрь 2023'!$G$4:$G$1053,'сентябрь 2023'!$D$4:$D$1053,$B104,'сентябрь 2023'!$J$4:$J$1053,AC$1)</f>
        <v>0</v>
      </c>
      <c r="AD104" s="207">
        <f>SUMIFS('сентябрь 2023'!$G$4:$G$1053,'сентябрь 2023'!$D$4:$D$1053,$B104,'сентябрь 2023'!$J$4:$J$1053,AD$1)</f>
        <v>0</v>
      </c>
      <c r="AE104" s="207">
        <f>SUMIFS('сентябрь 2023'!$G$4:$G$1053,'сентябрь 2023'!$D$4:$D$1053,$B104,'сентябрь 2023'!$J$4:$J$1053,AE$1)</f>
        <v>0</v>
      </c>
      <c r="AF104" s="207">
        <f>SUMIFS('сентябрь 2023'!$G$4:$G$1053,'сентябрь 2023'!$D$4:$D$1053,$B104,'сентябрь 2023'!$J$4:$J$1053,AF$1)</f>
        <v>0</v>
      </c>
      <c r="AG104" s="207">
        <f>SUMIFS('сентябрь 2023'!$G$4:$G$1053,'сентябрь 2023'!$D$4:$D$1053,$B104,'сентябрь 2023'!$J$4:$J$1053,AG$1)</f>
        <v>0</v>
      </c>
      <c r="AH104" s="207">
        <f>SUMIFS('сентябрь 2023'!$G$4:$G$1053,'сентябрь 2023'!$D$4:$D$1053,$B104,'сентябрь 2023'!$J$4:$J$1053,AH$1)</f>
        <v>0</v>
      </c>
      <c r="AI104" s="170">
        <f t="shared" si="3"/>
        <v>0</v>
      </c>
    </row>
    <row r="105" spans="2:35" ht="15" customHeight="1" x14ac:dyDescent="0.25">
      <c r="B105" s="212" t="s">
        <v>2198</v>
      </c>
      <c r="C105" s="211">
        <v>200</v>
      </c>
      <c r="D105" s="207">
        <f>SUMIFS('сентябрь 2023'!$G$4:$G$1053,'сентябрь 2023'!$D$4:$D$1053,$B105,'сентябрь 2023'!$J$4:$J$1053,D$1)</f>
        <v>0</v>
      </c>
      <c r="E105" s="207">
        <f>SUMIFS('сентябрь 2023'!$G$4:$G$1053,'сентябрь 2023'!$D$4:$D$1053,$B105,'сентябрь 2023'!$J$4:$J$1053,E$1)</f>
        <v>0</v>
      </c>
      <c r="F105" s="207">
        <f>SUMIFS('сентябрь 2023'!$G$4:$G$1053,'сентябрь 2023'!$D$4:$D$1053,$B105,'сентябрь 2023'!$J$4:$J$1053,F$1)</f>
        <v>0</v>
      </c>
      <c r="G105" s="207">
        <f>SUMIFS('сентябрь 2023'!$G$4:$G$1053,'сентябрь 2023'!$D$4:$D$1053,$B105,'сентябрь 2023'!$J$4:$J$1053,G$1)</f>
        <v>0</v>
      </c>
      <c r="H105" s="207">
        <f>SUMIFS('сентябрь 2023'!$G$4:$G$1053,'сентябрь 2023'!$D$4:$D$1053,$B105,'сентябрь 2023'!$J$4:$J$1053,H$1)</f>
        <v>0</v>
      </c>
      <c r="I105" s="207">
        <f>SUMIFS('сентябрь 2023'!$G$4:$G$1053,'сентябрь 2023'!$D$4:$D$1053,$B105,'сентябрь 2023'!$J$4:$J$1053,I$1)</f>
        <v>0</v>
      </c>
      <c r="J105" s="207">
        <f>SUMIFS('сентябрь 2023'!$G$4:$G$1053,'сентябрь 2023'!$D$4:$D$1053,$B105,'сентябрь 2023'!$J$4:$J$1053,J$1)</f>
        <v>0</v>
      </c>
      <c r="K105" s="207">
        <f>SUMIFS('сентябрь 2023'!$G$4:$G$1053,'сентябрь 2023'!$D$4:$D$1053,$B105,'сентябрь 2023'!$J$4:$J$1053,K$1)</f>
        <v>0</v>
      </c>
      <c r="L105" s="207">
        <f>SUMIFS('сентябрь 2023'!$G$4:$G$1053,'сентябрь 2023'!$D$4:$D$1053,$B105,'сентябрь 2023'!$J$4:$J$1053,L$1)</f>
        <v>0</v>
      </c>
      <c r="M105" s="207">
        <f>SUMIFS('сентябрь 2023'!$G$4:$G$1053,'сентябрь 2023'!$D$4:$D$1053,$B105,'сентябрь 2023'!$J$4:$J$1053,M$1)</f>
        <v>0</v>
      </c>
      <c r="N105" s="207">
        <f>SUMIFS('сентябрь 2023'!$G$4:$G$1053,'сентябрь 2023'!$D$4:$D$1053,$B105,'сентябрь 2023'!$J$4:$J$1053,N$1)</f>
        <v>0</v>
      </c>
      <c r="O105" s="207">
        <f>SUMIFS('сентябрь 2023'!$G$4:$G$1053,'сентябрь 2023'!$D$4:$D$1053,$B105,'сентябрь 2023'!$J$4:$J$1053,O$1)</f>
        <v>0</v>
      </c>
      <c r="P105" s="207">
        <f>SUMIFS('сентябрь 2023'!$G$4:$G$1053,'сентябрь 2023'!$D$4:$D$1053,$B105,'сентябрь 2023'!$J$4:$J$1053,P$1)</f>
        <v>0</v>
      </c>
      <c r="Q105" s="207">
        <f>SUMIFS('сентябрь 2023'!$G$4:$G$1053,'сентябрь 2023'!$D$4:$D$1053,$B105,'сентябрь 2023'!$J$4:$J$1053,Q$1)</f>
        <v>0</v>
      </c>
      <c r="R105" s="207">
        <f>SUMIFS('сентябрь 2023'!$G$4:$G$1053,'сентябрь 2023'!$D$4:$D$1053,$B105,'сентябрь 2023'!$J$4:$J$1053,R$1)</f>
        <v>0</v>
      </c>
      <c r="S105" s="207">
        <f>SUMIFS('сентябрь 2023'!$G$4:$G$1053,'сентябрь 2023'!$D$4:$D$1053,$B105,'сентябрь 2023'!$J$4:$J$1053,S$1)</f>
        <v>0</v>
      </c>
      <c r="T105" s="207">
        <f>SUMIFS('сентябрь 2023'!$G$4:$G$1053,'сентябрь 2023'!$D$4:$D$1053,$B105,'сентябрь 2023'!$J$4:$J$1053,T$1)</f>
        <v>0</v>
      </c>
      <c r="U105" s="207">
        <f>SUMIFS('сентябрь 2023'!$G$4:$G$1053,'сентябрь 2023'!$D$4:$D$1053,$B105,'сентябрь 2023'!$J$4:$J$1053,U$1)</f>
        <v>0</v>
      </c>
      <c r="V105" s="207">
        <f>SUMIFS('сентябрь 2023'!$G$4:$G$1053,'сентябрь 2023'!$D$4:$D$1053,$B105,'сентябрь 2023'!$J$4:$J$1053,V$1)</f>
        <v>0</v>
      </c>
      <c r="W105" s="207">
        <f>SUMIFS('сентябрь 2023'!$G$4:$G$1053,'сентябрь 2023'!$D$4:$D$1053,$B105,'сентябрь 2023'!$J$4:$J$1053,W$1)</f>
        <v>0</v>
      </c>
      <c r="X105" s="207">
        <f>SUMIFS('сентябрь 2023'!$G$4:$G$1053,'сентябрь 2023'!$D$4:$D$1053,$B105,'сентябрь 2023'!$J$4:$J$1053,X$1)</f>
        <v>0</v>
      </c>
      <c r="Y105" s="207">
        <f>SUMIFS('сентябрь 2023'!$G$4:$G$1053,'сентябрь 2023'!$D$4:$D$1053,$B105,'сентябрь 2023'!$J$4:$J$1053,Y$1)</f>
        <v>0</v>
      </c>
      <c r="Z105" s="207">
        <f>SUMIFS('сентябрь 2023'!$G$4:$G$1053,'сентябрь 2023'!$D$4:$D$1053,$B105,'сентябрь 2023'!$J$4:$J$1053,Z$1)</f>
        <v>0</v>
      </c>
      <c r="AA105" s="207">
        <f>SUMIFS('сентябрь 2023'!$G$4:$G$1053,'сентябрь 2023'!$D$4:$D$1053,$B105,'сентябрь 2023'!$J$4:$J$1053,AA$1)</f>
        <v>0</v>
      </c>
      <c r="AB105" s="207">
        <f>SUMIFS('сентябрь 2023'!$G$4:$G$1053,'сентябрь 2023'!$D$4:$D$1053,$B105,'сентябрь 2023'!$J$4:$J$1053,AB$1)</f>
        <v>0</v>
      </c>
      <c r="AC105" s="207">
        <f>SUMIFS('сентябрь 2023'!$G$4:$G$1053,'сентябрь 2023'!$D$4:$D$1053,$B105,'сентябрь 2023'!$J$4:$J$1053,AC$1)</f>
        <v>0</v>
      </c>
      <c r="AD105" s="207">
        <f>SUMIFS('сентябрь 2023'!$G$4:$G$1053,'сентябрь 2023'!$D$4:$D$1053,$B105,'сентябрь 2023'!$J$4:$J$1053,AD$1)</f>
        <v>0</v>
      </c>
      <c r="AE105" s="207">
        <f>SUMIFS('сентябрь 2023'!$G$4:$G$1053,'сентябрь 2023'!$D$4:$D$1053,$B105,'сентябрь 2023'!$J$4:$J$1053,AE$1)</f>
        <v>0</v>
      </c>
      <c r="AF105" s="207">
        <f>SUMIFS('сентябрь 2023'!$G$4:$G$1053,'сентябрь 2023'!$D$4:$D$1053,$B105,'сентябрь 2023'!$J$4:$J$1053,AF$1)</f>
        <v>0</v>
      </c>
      <c r="AG105" s="207">
        <f>SUMIFS('сентябрь 2023'!$G$4:$G$1053,'сентябрь 2023'!$D$4:$D$1053,$B105,'сентябрь 2023'!$J$4:$J$1053,AG$1)</f>
        <v>0</v>
      </c>
      <c r="AH105" s="207">
        <f>SUMIFS('сентябрь 2023'!$G$4:$G$1053,'сентябрь 2023'!$D$4:$D$1053,$B105,'сентябрь 2023'!$J$4:$J$1053,AH$1)</f>
        <v>0</v>
      </c>
      <c r="AI105" s="170">
        <f t="shared" si="3"/>
        <v>0</v>
      </c>
    </row>
    <row r="106" spans="2:35" ht="15" customHeight="1" x14ac:dyDescent="0.25">
      <c r="B106" s="218" t="s">
        <v>352</v>
      </c>
      <c r="C106" s="219">
        <v>200</v>
      </c>
      <c r="D106" s="207">
        <f>SUMIFS('сентябрь 2023'!$G$4:$G$1053,'сентябрь 2023'!$D$4:$D$1053,$B106,'сентябрь 2023'!$J$4:$J$1053,D$1)</f>
        <v>0</v>
      </c>
      <c r="E106" s="207">
        <f>SUMIFS('сентябрь 2023'!$G$4:$G$1053,'сентябрь 2023'!$D$4:$D$1053,$B106,'сентябрь 2023'!$J$4:$J$1053,E$1)</f>
        <v>0</v>
      </c>
      <c r="F106" s="207">
        <f>SUMIFS('сентябрь 2023'!$G$4:$G$1053,'сентябрь 2023'!$D$4:$D$1053,$B106,'сентябрь 2023'!$J$4:$J$1053,F$1)</f>
        <v>0</v>
      </c>
      <c r="G106" s="207">
        <f>SUMIFS('сентябрь 2023'!$G$4:$G$1053,'сентябрь 2023'!$D$4:$D$1053,$B106,'сентябрь 2023'!$J$4:$J$1053,G$1)</f>
        <v>0</v>
      </c>
      <c r="H106" s="207">
        <f>SUMIFS('сентябрь 2023'!$G$4:$G$1053,'сентябрь 2023'!$D$4:$D$1053,$B106,'сентябрь 2023'!$J$4:$J$1053,H$1)</f>
        <v>0</v>
      </c>
      <c r="I106" s="207">
        <f>SUMIFS('сентябрь 2023'!$G$4:$G$1053,'сентябрь 2023'!$D$4:$D$1053,$B106,'сентябрь 2023'!$J$4:$J$1053,I$1)</f>
        <v>0</v>
      </c>
      <c r="J106" s="207">
        <f>SUMIFS('сентябрь 2023'!$G$4:$G$1053,'сентябрь 2023'!$D$4:$D$1053,$B106,'сентябрь 2023'!$J$4:$J$1053,J$1)</f>
        <v>0</v>
      </c>
      <c r="K106" s="207">
        <f>SUMIFS('сентябрь 2023'!$G$4:$G$1053,'сентябрь 2023'!$D$4:$D$1053,$B106,'сентябрь 2023'!$J$4:$J$1053,K$1)</f>
        <v>0</v>
      </c>
      <c r="L106" s="207">
        <f>SUMIFS('сентябрь 2023'!$G$4:$G$1053,'сентябрь 2023'!$D$4:$D$1053,$B106,'сентябрь 2023'!$J$4:$J$1053,L$1)</f>
        <v>0</v>
      </c>
      <c r="M106" s="207">
        <f>SUMIFS('сентябрь 2023'!$G$4:$G$1053,'сентябрь 2023'!$D$4:$D$1053,$B106,'сентябрь 2023'!$J$4:$J$1053,M$1)</f>
        <v>0</v>
      </c>
      <c r="N106" s="207">
        <f>SUMIFS('сентябрь 2023'!$G$4:$G$1053,'сентябрь 2023'!$D$4:$D$1053,$B106,'сентябрь 2023'!$J$4:$J$1053,N$1)</f>
        <v>0</v>
      </c>
      <c r="O106" s="207">
        <f>SUMIFS('сентябрь 2023'!$G$4:$G$1053,'сентябрь 2023'!$D$4:$D$1053,$B106,'сентябрь 2023'!$J$4:$J$1053,O$1)</f>
        <v>0</v>
      </c>
      <c r="P106" s="207">
        <f>SUMIFS('сентябрь 2023'!$G$4:$G$1053,'сентябрь 2023'!$D$4:$D$1053,$B106,'сентябрь 2023'!$J$4:$J$1053,P$1)</f>
        <v>0</v>
      </c>
      <c r="Q106" s="207">
        <f>SUMIFS('сентябрь 2023'!$G$4:$G$1053,'сентябрь 2023'!$D$4:$D$1053,$B106,'сентябрь 2023'!$J$4:$J$1053,Q$1)</f>
        <v>0</v>
      </c>
      <c r="R106" s="207">
        <f>SUMIFS('сентябрь 2023'!$G$4:$G$1053,'сентябрь 2023'!$D$4:$D$1053,$B106,'сентябрь 2023'!$J$4:$J$1053,R$1)</f>
        <v>0</v>
      </c>
      <c r="S106" s="207">
        <f>SUMIFS('сентябрь 2023'!$G$4:$G$1053,'сентябрь 2023'!$D$4:$D$1053,$B106,'сентябрь 2023'!$J$4:$J$1053,S$1)</f>
        <v>0</v>
      </c>
      <c r="T106" s="207">
        <f>SUMIFS('сентябрь 2023'!$G$4:$G$1053,'сентябрь 2023'!$D$4:$D$1053,$B106,'сентябрь 2023'!$J$4:$J$1053,T$1)</f>
        <v>0</v>
      </c>
      <c r="U106" s="207">
        <f>SUMIFS('сентябрь 2023'!$G$4:$G$1053,'сентябрь 2023'!$D$4:$D$1053,$B106,'сентябрь 2023'!$J$4:$J$1053,U$1)</f>
        <v>0</v>
      </c>
      <c r="V106" s="207">
        <f>SUMIFS('сентябрь 2023'!$G$4:$G$1053,'сентябрь 2023'!$D$4:$D$1053,$B106,'сентябрь 2023'!$J$4:$J$1053,V$1)</f>
        <v>0</v>
      </c>
      <c r="W106" s="207">
        <f>SUMIFS('сентябрь 2023'!$G$4:$G$1053,'сентябрь 2023'!$D$4:$D$1053,$B106,'сентябрь 2023'!$J$4:$J$1053,W$1)</f>
        <v>0</v>
      </c>
      <c r="X106" s="207">
        <f>SUMIFS('сентябрь 2023'!$G$4:$G$1053,'сентябрь 2023'!$D$4:$D$1053,$B106,'сентябрь 2023'!$J$4:$J$1053,X$1)</f>
        <v>0</v>
      </c>
      <c r="Y106" s="207">
        <f>SUMIFS('сентябрь 2023'!$G$4:$G$1053,'сентябрь 2023'!$D$4:$D$1053,$B106,'сентябрь 2023'!$J$4:$J$1053,Y$1)</f>
        <v>0</v>
      </c>
      <c r="Z106" s="207">
        <f>SUMIFS('сентябрь 2023'!$G$4:$G$1053,'сентябрь 2023'!$D$4:$D$1053,$B106,'сентябрь 2023'!$J$4:$J$1053,Z$1)</f>
        <v>0</v>
      </c>
      <c r="AA106" s="207">
        <f>SUMIFS('сентябрь 2023'!$G$4:$G$1053,'сентябрь 2023'!$D$4:$D$1053,$B106,'сентябрь 2023'!$J$4:$J$1053,AA$1)</f>
        <v>0</v>
      </c>
      <c r="AB106" s="207">
        <f>SUMIFS('сентябрь 2023'!$G$4:$G$1053,'сентябрь 2023'!$D$4:$D$1053,$B106,'сентябрь 2023'!$J$4:$J$1053,AB$1)</f>
        <v>0</v>
      </c>
      <c r="AC106" s="207">
        <f>SUMIFS('сентябрь 2023'!$G$4:$G$1053,'сентябрь 2023'!$D$4:$D$1053,$B106,'сентябрь 2023'!$J$4:$J$1053,AC$1)</f>
        <v>0</v>
      </c>
      <c r="AD106" s="207">
        <f>SUMIFS('сентябрь 2023'!$G$4:$G$1053,'сентябрь 2023'!$D$4:$D$1053,$B106,'сентябрь 2023'!$J$4:$J$1053,AD$1)</f>
        <v>0</v>
      </c>
      <c r="AE106" s="207">
        <f>SUMIFS('сентябрь 2023'!$G$4:$G$1053,'сентябрь 2023'!$D$4:$D$1053,$B106,'сентябрь 2023'!$J$4:$J$1053,AE$1)</f>
        <v>0</v>
      </c>
      <c r="AF106" s="207">
        <f>SUMIFS('сентябрь 2023'!$G$4:$G$1053,'сентябрь 2023'!$D$4:$D$1053,$B106,'сентябрь 2023'!$J$4:$J$1053,AF$1)</f>
        <v>0</v>
      </c>
      <c r="AG106" s="207">
        <f>SUMIFS('сентябрь 2023'!$G$4:$G$1053,'сентябрь 2023'!$D$4:$D$1053,$B106,'сентябрь 2023'!$J$4:$J$1053,AG$1)</f>
        <v>0</v>
      </c>
      <c r="AH106" s="207">
        <f>SUMIFS('сентябрь 2023'!$G$4:$G$1053,'сентябрь 2023'!$D$4:$D$1053,$B106,'сентябрь 2023'!$J$4:$J$1053,AH$1)</f>
        <v>0</v>
      </c>
      <c r="AI106" s="170">
        <f t="shared" si="3"/>
        <v>0</v>
      </c>
    </row>
    <row r="107" spans="2:35" ht="15" customHeight="1" x14ac:dyDescent="0.25">
      <c r="B107" s="212" t="s">
        <v>276</v>
      </c>
      <c r="C107" s="213">
        <v>200</v>
      </c>
      <c r="D107" s="207">
        <f>SUMIFS('сентябрь 2023'!$G$4:$G$1053,'сентябрь 2023'!$D$4:$D$1053,$B107,'сентябрь 2023'!$J$4:$J$1053,D$1)</f>
        <v>0</v>
      </c>
      <c r="E107" s="207">
        <f>SUMIFS('сентябрь 2023'!$G$4:$G$1053,'сентябрь 2023'!$D$4:$D$1053,$B107,'сентябрь 2023'!$J$4:$J$1053,E$1)</f>
        <v>0</v>
      </c>
      <c r="F107" s="207">
        <f>SUMIFS('сентябрь 2023'!$G$4:$G$1053,'сентябрь 2023'!$D$4:$D$1053,$B107,'сентябрь 2023'!$J$4:$J$1053,F$1)</f>
        <v>0</v>
      </c>
      <c r="G107" s="207">
        <f>SUMIFS('сентябрь 2023'!$G$4:$G$1053,'сентябрь 2023'!$D$4:$D$1053,$B107,'сентябрь 2023'!$J$4:$J$1053,G$1)</f>
        <v>0</v>
      </c>
      <c r="H107" s="207">
        <f>SUMIFS('сентябрь 2023'!$G$4:$G$1053,'сентябрь 2023'!$D$4:$D$1053,$B107,'сентябрь 2023'!$J$4:$J$1053,H$1)</f>
        <v>0</v>
      </c>
      <c r="I107" s="207">
        <f>SUMIFS('сентябрь 2023'!$G$4:$G$1053,'сентябрь 2023'!$D$4:$D$1053,$B107,'сентябрь 2023'!$J$4:$J$1053,I$1)</f>
        <v>0</v>
      </c>
      <c r="J107" s="207">
        <f>SUMIFS('сентябрь 2023'!$G$4:$G$1053,'сентябрь 2023'!$D$4:$D$1053,$B107,'сентябрь 2023'!$J$4:$J$1053,J$1)</f>
        <v>0</v>
      </c>
      <c r="K107" s="207">
        <f>SUMIFS('сентябрь 2023'!$G$4:$G$1053,'сентябрь 2023'!$D$4:$D$1053,$B107,'сентябрь 2023'!$J$4:$J$1053,K$1)</f>
        <v>0</v>
      </c>
      <c r="L107" s="207">
        <f>SUMIFS('сентябрь 2023'!$G$4:$G$1053,'сентябрь 2023'!$D$4:$D$1053,$B107,'сентябрь 2023'!$J$4:$J$1053,L$1)</f>
        <v>0</v>
      </c>
      <c r="M107" s="207">
        <f>SUMIFS('сентябрь 2023'!$G$4:$G$1053,'сентябрь 2023'!$D$4:$D$1053,$B107,'сентябрь 2023'!$J$4:$J$1053,M$1)</f>
        <v>0</v>
      </c>
      <c r="N107" s="207">
        <f>SUMIFS('сентябрь 2023'!$G$4:$G$1053,'сентябрь 2023'!$D$4:$D$1053,$B107,'сентябрь 2023'!$J$4:$J$1053,N$1)</f>
        <v>0</v>
      </c>
      <c r="O107" s="207">
        <f>SUMIFS('сентябрь 2023'!$G$4:$G$1053,'сентябрь 2023'!$D$4:$D$1053,$B107,'сентябрь 2023'!$J$4:$J$1053,O$1)</f>
        <v>0</v>
      </c>
      <c r="P107" s="207">
        <f>SUMIFS('сентябрь 2023'!$G$4:$G$1053,'сентябрь 2023'!$D$4:$D$1053,$B107,'сентябрь 2023'!$J$4:$J$1053,P$1)</f>
        <v>0</v>
      </c>
      <c r="Q107" s="207">
        <f>SUMIFS('сентябрь 2023'!$G$4:$G$1053,'сентябрь 2023'!$D$4:$D$1053,$B107,'сентябрь 2023'!$J$4:$J$1053,Q$1)</f>
        <v>0</v>
      </c>
      <c r="R107" s="207">
        <f>SUMIFS('сентябрь 2023'!$G$4:$G$1053,'сентябрь 2023'!$D$4:$D$1053,$B107,'сентябрь 2023'!$J$4:$J$1053,R$1)</f>
        <v>0</v>
      </c>
      <c r="S107" s="207">
        <f>SUMIFS('сентябрь 2023'!$G$4:$G$1053,'сентябрь 2023'!$D$4:$D$1053,$B107,'сентябрь 2023'!$J$4:$J$1053,S$1)</f>
        <v>0</v>
      </c>
      <c r="T107" s="207">
        <f>SUMIFS('сентябрь 2023'!$G$4:$G$1053,'сентябрь 2023'!$D$4:$D$1053,$B107,'сентябрь 2023'!$J$4:$J$1053,T$1)</f>
        <v>0</v>
      </c>
      <c r="U107" s="207">
        <f>SUMIFS('сентябрь 2023'!$G$4:$G$1053,'сентябрь 2023'!$D$4:$D$1053,$B107,'сентябрь 2023'!$J$4:$J$1053,U$1)</f>
        <v>0</v>
      </c>
      <c r="V107" s="207">
        <f>SUMIFS('сентябрь 2023'!$G$4:$G$1053,'сентябрь 2023'!$D$4:$D$1053,$B107,'сентябрь 2023'!$J$4:$J$1053,V$1)</f>
        <v>0</v>
      </c>
      <c r="W107" s="207">
        <f>SUMIFS('сентябрь 2023'!$G$4:$G$1053,'сентябрь 2023'!$D$4:$D$1053,$B107,'сентябрь 2023'!$J$4:$J$1053,W$1)</f>
        <v>0</v>
      </c>
      <c r="X107" s="207">
        <f>SUMIFS('сентябрь 2023'!$G$4:$G$1053,'сентябрь 2023'!$D$4:$D$1053,$B107,'сентябрь 2023'!$J$4:$J$1053,X$1)</f>
        <v>0</v>
      </c>
      <c r="Y107" s="207">
        <f>SUMIFS('сентябрь 2023'!$G$4:$G$1053,'сентябрь 2023'!$D$4:$D$1053,$B107,'сентябрь 2023'!$J$4:$J$1053,Y$1)</f>
        <v>0</v>
      </c>
      <c r="Z107" s="207">
        <f>SUMIFS('сентябрь 2023'!$G$4:$G$1053,'сентябрь 2023'!$D$4:$D$1053,$B107,'сентябрь 2023'!$J$4:$J$1053,Z$1)</f>
        <v>0</v>
      </c>
      <c r="AA107" s="207">
        <f>SUMIFS('сентябрь 2023'!$G$4:$G$1053,'сентябрь 2023'!$D$4:$D$1053,$B107,'сентябрь 2023'!$J$4:$J$1053,AA$1)</f>
        <v>0</v>
      </c>
      <c r="AB107" s="207">
        <f>SUMIFS('сентябрь 2023'!$G$4:$G$1053,'сентябрь 2023'!$D$4:$D$1053,$B107,'сентябрь 2023'!$J$4:$J$1053,AB$1)</f>
        <v>0</v>
      </c>
      <c r="AC107" s="207">
        <f>SUMIFS('сентябрь 2023'!$G$4:$G$1053,'сентябрь 2023'!$D$4:$D$1053,$B107,'сентябрь 2023'!$J$4:$J$1053,AC$1)</f>
        <v>0</v>
      </c>
      <c r="AD107" s="207">
        <f>SUMIFS('сентябрь 2023'!$G$4:$G$1053,'сентябрь 2023'!$D$4:$D$1053,$B107,'сентябрь 2023'!$J$4:$J$1053,AD$1)</f>
        <v>0</v>
      </c>
      <c r="AE107" s="207">
        <f>SUMIFS('сентябрь 2023'!$G$4:$G$1053,'сентябрь 2023'!$D$4:$D$1053,$B107,'сентябрь 2023'!$J$4:$J$1053,AE$1)</f>
        <v>20</v>
      </c>
      <c r="AF107" s="207">
        <f>SUMIFS('сентябрь 2023'!$G$4:$G$1053,'сентябрь 2023'!$D$4:$D$1053,$B107,'сентябрь 2023'!$J$4:$J$1053,AF$1)</f>
        <v>0</v>
      </c>
      <c r="AG107" s="207">
        <f>SUMIFS('сентябрь 2023'!$G$4:$G$1053,'сентябрь 2023'!$D$4:$D$1053,$B107,'сентябрь 2023'!$J$4:$J$1053,AG$1)</f>
        <v>0</v>
      </c>
      <c r="AH107" s="207">
        <f>SUMIFS('сентябрь 2023'!$G$4:$G$1053,'сентябрь 2023'!$D$4:$D$1053,$B107,'сентябрь 2023'!$J$4:$J$1053,AH$1)</f>
        <v>0</v>
      </c>
      <c r="AI107" s="170">
        <f t="shared" si="3"/>
        <v>20</v>
      </c>
    </row>
    <row r="108" spans="2:35" ht="15" customHeight="1" x14ac:dyDescent="0.25">
      <c r="B108" s="212" t="s">
        <v>1021</v>
      </c>
      <c r="C108" s="213">
        <v>200</v>
      </c>
      <c r="D108" s="207">
        <f>SUMIFS('сентябрь 2023'!$G$4:$G$1053,'сентябрь 2023'!$D$4:$D$1053,$B108,'сентябрь 2023'!$J$4:$J$1053,D$1)</f>
        <v>0</v>
      </c>
      <c r="E108" s="207">
        <f>SUMIFS('сентябрь 2023'!$G$4:$G$1053,'сентябрь 2023'!$D$4:$D$1053,$B108,'сентябрь 2023'!$J$4:$J$1053,E$1)</f>
        <v>0</v>
      </c>
      <c r="F108" s="207">
        <f>SUMIFS('сентябрь 2023'!$G$4:$G$1053,'сентябрь 2023'!$D$4:$D$1053,$B108,'сентябрь 2023'!$J$4:$J$1053,F$1)</f>
        <v>0</v>
      </c>
      <c r="G108" s="207">
        <f>SUMIFS('сентябрь 2023'!$G$4:$G$1053,'сентябрь 2023'!$D$4:$D$1053,$B108,'сентябрь 2023'!$J$4:$J$1053,G$1)</f>
        <v>0</v>
      </c>
      <c r="H108" s="207">
        <f>SUMIFS('сентябрь 2023'!$G$4:$G$1053,'сентябрь 2023'!$D$4:$D$1053,$B108,'сентябрь 2023'!$J$4:$J$1053,H$1)</f>
        <v>0</v>
      </c>
      <c r="I108" s="207">
        <f>SUMIFS('сентябрь 2023'!$G$4:$G$1053,'сентябрь 2023'!$D$4:$D$1053,$B108,'сентябрь 2023'!$J$4:$J$1053,I$1)</f>
        <v>0</v>
      </c>
      <c r="J108" s="207">
        <f>SUMIFS('сентябрь 2023'!$G$4:$G$1053,'сентябрь 2023'!$D$4:$D$1053,$B108,'сентябрь 2023'!$J$4:$J$1053,J$1)</f>
        <v>0</v>
      </c>
      <c r="K108" s="207">
        <f>SUMIFS('сентябрь 2023'!$G$4:$G$1053,'сентябрь 2023'!$D$4:$D$1053,$B108,'сентябрь 2023'!$J$4:$J$1053,K$1)</f>
        <v>0</v>
      </c>
      <c r="L108" s="207">
        <f>SUMIFS('сентябрь 2023'!$G$4:$G$1053,'сентябрь 2023'!$D$4:$D$1053,$B108,'сентябрь 2023'!$J$4:$J$1053,L$1)</f>
        <v>0</v>
      </c>
      <c r="M108" s="207">
        <f>SUMIFS('сентябрь 2023'!$G$4:$G$1053,'сентябрь 2023'!$D$4:$D$1053,$B108,'сентябрь 2023'!$J$4:$J$1053,M$1)</f>
        <v>0</v>
      </c>
      <c r="N108" s="207">
        <f>SUMIFS('сентябрь 2023'!$G$4:$G$1053,'сентябрь 2023'!$D$4:$D$1053,$B108,'сентябрь 2023'!$J$4:$J$1053,N$1)</f>
        <v>0</v>
      </c>
      <c r="O108" s="207">
        <f>SUMIFS('сентябрь 2023'!$G$4:$G$1053,'сентябрь 2023'!$D$4:$D$1053,$B108,'сентябрь 2023'!$J$4:$J$1053,O$1)</f>
        <v>0</v>
      </c>
      <c r="P108" s="207">
        <f>SUMIFS('сентябрь 2023'!$G$4:$G$1053,'сентябрь 2023'!$D$4:$D$1053,$B108,'сентябрь 2023'!$J$4:$J$1053,P$1)</f>
        <v>0</v>
      </c>
      <c r="Q108" s="207">
        <f>SUMIFS('сентябрь 2023'!$G$4:$G$1053,'сентябрь 2023'!$D$4:$D$1053,$B108,'сентябрь 2023'!$J$4:$J$1053,Q$1)</f>
        <v>0</v>
      </c>
      <c r="R108" s="207">
        <f>SUMIFS('сентябрь 2023'!$G$4:$G$1053,'сентябрь 2023'!$D$4:$D$1053,$B108,'сентябрь 2023'!$J$4:$J$1053,R$1)</f>
        <v>0</v>
      </c>
      <c r="S108" s="207">
        <f>SUMIFS('сентябрь 2023'!$G$4:$G$1053,'сентябрь 2023'!$D$4:$D$1053,$B108,'сентябрь 2023'!$J$4:$J$1053,S$1)</f>
        <v>0</v>
      </c>
      <c r="T108" s="207">
        <f>SUMIFS('сентябрь 2023'!$G$4:$G$1053,'сентябрь 2023'!$D$4:$D$1053,$B108,'сентябрь 2023'!$J$4:$J$1053,T$1)</f>
        <v>0</v>
      </c>
      <c r="U108" s="207">
        <f>SUMIFS('сентябрь 2023'!$G$4:$G$1053,'сентябрь 2023'!$D$4:$D$1053,$B108,'сентябрь 2023'!$J$4:$J$1053,U$1)</f>
        <v>0</v>
      </c>
      <c r="V108" s="207">
        <f>SUMIFS('сентябрь 2023'!$G$4:$G$1053,'сентябрь 2023'!$D$4:$D$1053,$B108,'сентябрь 2023'!$J$4:$J$1053,V$1)</f>
        <v>0</v>
      </c>
      <c r="W108" s="207">
        <f>SUMIFS('сентябрь 2023'!$G$4:$G$1053,'сентябрь 2023'!$D$4:$D$1053,$B108,'сентябрь 2023'!$J$4:$J$1053,W$1)</f>
        <v>0</v>
      </c>
      <c r="X108" s="207">
        <f>SUMIFS('сентябрь 2023'!$G$4:$G$1053,'сентябрь 2023'!$D$4:$D$1053,$B108,'сентябрь 2023'!$J$4:$J$1053,X$1)</f>
        <v>0</v>
      </c>
      <c r="Y108" s="207">
        <f>SUMIFS('сентябрь 2023'!$G$4:$G$1053,'сентябрь 2023'!$D$4:$D$1053,$B108,'сентябрь 2023'!$J$4:$J$1053,Y$1)</f>
        <v>0</v>
      </c>
      <c r="Z108" s="207">
        <f>SUMIFS('сентябрь 2023'!$G$4:$G$1053,'сентябрь 2023'!$D$4:$D$1053,$B108,'сентябрь 2023'!$J$4:$J$1053,Z$1)</f>
        <v>0</v>
      </c>
      <c r="AA108" s="207">
        <f>SUMIFS('сентябрь 2023'!$G$4:$G$1053,'сентябрь 2023'!$D$4:$D$1053,$B108,'сентябрь 2023'!$J$4:$J$1053,AA$1)</f>
        <v>0</v>
      </c>
      <c r="AB108" s="207">
        <f>SUMIFS('сентябрь 2023'!$G$4:$G$1053,'сентябрь 2023'!$D$4:$D$1053,$B108,'сентябрь 2023'!$J$4:$J$1053,AB$1)</f>
        <v>0</v>
      </c>
      <c r="AC108" s="207">
        <f>SUMIFS('сентябрь 2023'!$G$4:$G$1053,'сентябрь 2023'!$D$4:$D$1053,$B108,'сентябрь 2023'!$J$4:$J$1053,AC$1)</f>
        <v>0</v>
      </c>
      <c r="AD108" s="207">
        <f>SUMIFS('сентябрь 2023'!$G$4:$G$1053,'сентябрь 2023'!$D$4:$D$1053,$B108,'сентябрь 2023'!$J$4:$J$1053,AD$1)</f>
        <v>0</v>
      </c>
      <c r="AE108" s="207">
        <f>SUMIFS('сентябрь 2023'!$G$4:$G$1053,'сентябрь 2023'!$D$4:$D$1053,$B108,'сентябрь 2023'!$J$4:$J$1053,AE$1)</f>
        <v>0</v>
      </c>
      <c r="AF108" s="207">
        <f>SUMIFS('сентябрь 2023'!$G$4:$G$1053,'сентябрь 2023'!$D$4:$D$1053,$B108,'сентябрь 2023'!$J$4:$J$1053,AF$1)</f>
        <v>0</v>
      </c>
      <c r="AG108" s="207">
        <f>SUMIFS('сентябрь 2023'!$G$4:$G$1053,'сентябрь 2023'!$D$4:$D$1053,$B108,'сентябрь 2023'!$J$4:$J$1053,AG$1)</f>
        <v>0</v>
      </c>
      <c r="AH108" s="207">
        <f>SUMIFS('сентябрь 2023'!$G$4:$G$1053,'сентябрь 2023'!$D$4:$D$1053,$B108,'сентябрь 2023'!$J$4:$J$1053,AH$1)</f>
        <v>0</v>
      </c>
      <c r="AI108" s="170">
        <f t="shared" si="3"/>
        <v>0</v>
      </c>
    </row>
    <row r="109" spans="2:35" ht="15" customHeight="1" x14ac:dyDescent="0.25">
      <c r="B109" s="212" t="s">
        <v>1023</v>
      </c>
      <c r="C109" s="213">
        <v>25</v>
      </c>
      <c r="D109" s="207">
        <f>SUMIFS('сентябрь 2023'!$G$4:$G$1053,'сентябрь 2023'!$D$4:$D$1053,$B109,'сентябрь 2023'!$J$4:$J$1053,D$1)</f>
        <v>0</v>
      </c>
      <c r="E109" s="207">
        <f>SUMIFS('сентябрь 2023'!$G$4:$G$1053,'сентябрь 2023'!$D$4:$D$1053,$B109,'сентябрь 2023'!$J$4:$J$1053,E$1)</f>
        <v>0</v>
      </c>
      <c r="F109" s="207">
        <f>SUMIFS('сентябрь 2023'!$G$4:$G$1053,'сентябрь 2023'!$D$4:$D$1053,$B109,'сентябрь 2023'!$J$4:$J$1053,F$1)</f>
        <v>0</v>
      </c>
      <c r="G109" s="207">
        <f>SUMIFS('сентябрь 2023'!$G$4:$G$1053,'сентябрь 2023'!$D$4:$D$1053,$B109,'сентябрь 2023'!$J$4:$J$1053,G$1)</f>
        <v>0</v>
      </c>
      <c r="H109" s="207">
        <f>SUMIFS('сентябрь 2023'!$G$4:$G$1053,'сентябрь 2023'!$D$4:$D$1053,$B109,'сентябрь 2023'!$J$4:$J$1053,H$1)</f>
        <v>0</v>
      </c>
      <c r="I109" s="207">
        <f>SUMIFS('сентябрь 2023'!$G$4:$G$1053,'сентябрь 2023'!$D$4:$D$1053,$B109,'сентябрь 2023'!$J$4:$J$1053,I$1)</f>
        <v>0</v>
      </c>
      <c r="J109" s="207">
        <f>SUMIFS('сентябрь 2023'!$G$4:$G$1053,'сентябрь 2023'!$D$4:$D$1053,$B109,'сентябрь 2023'!$J$4:$J$1053,J$1)</f>
        <v>0</v>
      </c>
      <c r="K109" s="207">
        <f>SUMIFS('сентябрь 2023'!$G$4:$G$1053,'сентябрь 2023'!$D$4:$D$1053,$B109,'сентябрь 2023'!$J$4:$J$1053,K$1)</f>
        <v>0</v>
      </c>
      <c r="L109" s="207">
        <f>SUMIFS('сентябрь 2023'!$G$4:$G$1053,'сентябрь 2023'!$D$4:$D$1053,$B109,'сентябрь 2023'!$J$4:$J$1053,L$1)</f>
        <v>0</v>
      </c>
      <c r="M109" s="207">
        <f>SUMIFS('сентябрь 2023'!$G$4:$G$1053,'сентябрь 2023'!$D$4:$D$1053,$B109,'сентябрь 2023'!$J$4:$J$1053,M$1)</f>
        <v>0</v>
      </c>
      <c r="N109" s="207">
        <f>SUMIFS('сентябрь 2023'!$G$4:$G$1053,'сентябрь 2023'!$D$4:$D$1053,$B109,'сентябрь 2023'!$J$4:$J$1053,N$1)</f>
        <v>0</v>
      </c>
      <c r="O109" s="207">
        <f>SUMIFS('сентябрь 2023'!$G$4:$G$1053,'сентябрь 2023'!$D$4:$D$1053,$B109,'сентябрь 2023'!$J$4:$J$1053,O$1)</f>
        <v>0</v>
      </c>
      <c r="P109" s="207">
        <f>SUMIFS('сентябрь 2023'!$G$4:$G$1053,'сентябрь 2023'!$D$4:$D$1053,$B109,'сентябрь 2023'!$J$4:$J$1053,P$1)</f>
        <v>0</v>
      </c>
      <c r="Q109" s="207">
        <f>SUMIFS('сентябрь 2023'!$G$4:$G$1053,'сентябрь 2023'!$D$4:$D$1053,$B109,'сентябрь 2023'!$J$4:$J$1053,Q$1)</f>
        <v>0</v>
      </c>
      <c r="R109" s="207">
        <f>SUMIFS('сентябрь 2023'!$G$4:$G$1053,'сентябрь 2023'!$D$4:$D$1053,$B109,'сентябрь 2023'!$J$4:$J$1053,R$1)</f>
        <v>0</v>
      </c>
      <c r="S109" s="207">
        <f>SUMIFS('сентябрь 2023'!$G$4:$G$1053,'сентябрь 2023'!$D$4:$D$1053,$B109,'сентябрь 2023'!$J$4:$J$1053,S$1)</f>
        <v>0</v>
      </c>
      <c r="T109" s="207">
        <f>SUMIFS('сентябрь 2023'!$G$4:$G$1053,'сентябрь 2023'!$D$4:$D$1053,$B109,'сентябрь 2023'!$J$4:$J$1053,T$1)</f>
        <v>0</v>
      </c>
      <c r="U109" s="207">
        <f>SUMIFS('сентябрь 2023'!$G$4:$G$1053,'сентябрь 2023'!$D$4:$D$1053,$B109,'сентябрь 2023'!$J$4:$J$1053,U$1)</f>
        <v>0</v>
      </c>
      <c r="V109" s="207">
        <f>SUMIFS('сентябрь 2023'!$G$4:$G$1053,'сентябрь 2023'!$D$4:$D$1053,$B109,'сентябрь 2023'!$J$4:$J$1053,V$1)</f>
        <v>0</v>
      </c>
      <c r="W109" s="207">
        <f>SUMIFS('сентябрь 2023'!$G$4:$G$1053,'сентябрь 2023'!$D$4:$D$1053,$B109,'сентябрь 2023'!$J$4:$J$1053,W$1)</f>
        <v>0</v>
      </c>
      <c r="X109" s="207">
        <f>SUMIFS('сентябрь 2023'!$G$4:$G$1053,'сентябрь 2023'!$D$4:$D$1053,$B109,'сентябрь 2023'!$J$4:$J$1053,X$1)</f>
        <v>0</v>
      </c>
      <c r="Y109" s="207">
        <f>SUMIFS('сентябрь 2023'!$G$4:$G$1053,'сентябрь 2023'!$D$4:$D$1053,$B109,'сентябрь 2023'!$J$4:$J$1053,Y$1)</f>
        <v>0</v>
      </c>
      <c r="Z109" s="207">
        <f>SUMIFS('сентябрь 2023'!$G$4:$G$1053,'сентябрь 2023'!$D$4:$D$1053,$B109,'сентябрь 2023'!$J$4:$J$1053,Z$1)</f>
        <v>0</v>
      </c>
      <c r="AA109" s="207">
        <f>SUMIFS('сентябрь 2023'!$G$4:$G$1053,'сентябрь 2023'!$D$4:$D$1053,$B109,'сентябрь 2023'!$J$4:$J$1053,AA$1)</f>
        <v>0</v>
      </c>
      <c r="AB109" s="207">
        <f>SUMIFS('сентябрь 2023'!$G$4:$G$1053,'сентябрь 2023'!$D$4:$D$1053,$B109,'сентябрь 2023'!$J$4:$J$1053,AB$1)</f>
        <v>0</v>
      </c>
      <c r="AC109" s="207">
        <f>SUMIFS('сентябрь 2023'!$G$4:$G$1053,'сентябрь 2023'!$D$4:$D$1053,$B109,'сентябрь 2023'!$J$4:$J$1053,AC$1)</f>
        <v>0</v>
      </c>
      <c r="AD109" s="207">
        <f>SUMIFS('сентябрь 2023'!$G$4:$G$1053,'сентябрь 2023'!$D$4:$D$1053,$B109,'сентябрь 2023'!$J$4:$J$1053,AD$1)</f>
        <v>0</v>
      </c>
      <c r="AE109" s="207">
        <f>SUMIFS('сентябрь 2023'!$G$4:$G$1053,'сентябрь 2023'!$D$4:$D$1053,$B109,'сентябрь 2023'!$J$4:$J$1053,AE$1)</f>
        <v>0</v>
      </c>
      <c r="AF109" s="207">
        <f>SUMIFS('сентябрь 2023'!$G$4:$G$1053,'сентябрь 2023'!$D$4:$D$1053,$B109,'сентябрь 2023'!$J$4:$J$1053,AF$1)</f>
        <v>0</v>
      </c>
      <c r="AG109" s="207">
        <f>SUMIFS('сентябрь 2023'!$G$4:$G$1053,'сентябрь 2023'!$D$4:$D$1053,$B109,'сентябрь 2023'!$J$4:$J$1053,AG$1)</f>
        <v>0</v>
      </c>
      <c r="AH109" s="207">
        <f>SUMIFS('сентябрь 2023'!$G$4:$G$1053,'сентябрь 2023'!$D$4:$D$1053,$B109,'сентябрь 2023'!$J$4:$J$1053,AH$1)</f>
        <v>0</v>
      </c>
      <c r="AI109" s="170">
        <f t="shared" si="3"/>
        <v>0</v>
      </c>
    </row>
    <row r="110" spans="2:35" ht="15" customHeight="1" x14ac:dyDescent="0.25">
      <c r="B110" s="216" t="s">
        <v>2199</v>
      </c>
      <c r="C110" s="213">
        <v>200</v>
      </c>
      <c r="D110" s="207">
        <f>SUMIFS('сентябрь 2023'!$G$4:$G$1053,'сентябрь 2023'!$D$4:$D$1053,$B110,'сентябрь 2023'!$J$4:$J$1053,D$1)</f>
        <v>0</v>
      </c>
      <c r="E110" s="207">
        <f>SUMIFS('сентябрь 2023'!$G$4:$G$1053,'сентябрь 2023'!$D$4:$D$1053,$B110,'сентябрь 2023'!$J$4:$J$1053,E$1)</f>
        <v>0</v>
      </c>
      <c r="F110" s="207">
        <f>SUMIFS('сентябрь 2023'!$G$4:$G$1053,'сентябрь 2023'!$D$4:$D$1053,$B110,'сентябрь 2023'!$J$4:$J$1053,F$1)</f>
        <v>0</v>
      </c>
      <c r="G110" s="207">
        <f>SUMIFS('сентябрь 2023'!$G$4:$G$1053,'сентябрь 2023'!$D$4:$D$1053,$B110,'сентябрь 2023'!$J$4:$J$1053,G$1)</f>
        <v>0</v>
      </c>
      <c r="H110" s="207">
        <f>SUMIFS('сентябрь 2023'!$G$4:$G$1053,'сентябрь 2023'!$D$4:$D$1053,$B110,'сентябрь 2023'!$J$4:$J$1053,H$1)</f>
        <v>0</v>
      </c>
      <c r="I110" s="207">
        <f>SUMIFS('сентябрь 2023'!$G$4:$G$1053,'сентябрь 2023'!$D$4:$D$1053,$B110,'сентябрь 2023'!$J$4:$J$1053,I$1)</f>
        <v>0</v>
      </c>
      <c r="J110" s="207">
        <f>SUMIFS('сентябрь 2023'!$G$4:$G$1053,'сентябрь 2023'!$D$4:$D$1053,$B110,'сентябрь 2023'!$J$4:$J$1053,J$1)</f>
        <v>0</v>
      </c>
      <c r="K110" s="207">
        <f>SUMIFS('сентябрь 2023'!$G$4:$G$1053,'сентябрь 2023'!$D$4:$D$1053,$B110,'сентябрь 2023'!$J$4:$J$1053,K$1)</f>
        <v>0</v>
      </c>
      <c r="L110" s="207">
        <f>SUMIFS('сентябрь 2023'!$G$4:$G$1053,'сентябрь 2023'!$D$4:$D$1053,$B110,'сентябрь 2023'!$J$4:$J$1053,L$1)</f>
        <v>0</v>
      </c>
      <c r="M110" s="207">
        <f>SUMIFS('сентябрь 2023'!$G$4:$G$1053,'сентябрь 2023'!$D$4:$D$1053,$B110,'сентябрь 2023'!$J$4:$J$1053,M$1)</f>
        <v>0</v>
      </c>
      <c r="N110" s="207">
        <f>SUMIFS('сентябрь 2023'!$G$4:$G$1053,'сентябрь 2023'!$D$4:$D$1053,$B110,'сентябрь 2023'!$J$4:$J$1053,N$1)</f>
        <v>0</v>
      </c>
      <c r="O110" s="207">
        <f>SUMIFS('сентябрь 2023'!$G$4:$G$1053,'сентябрь 2023'!$D$4:$D$1053,$B110,'сентябрь 2023'!$J$4:$J$1053,O$1)</f>
        <v>0</v>
      </c>
      <c r="P110" s="207">
        <f>SUMIFS('сентябрь 2023'!$G$4:$G$1053,'сентябрь 2023'!$D$4:$D$1053,$B110,'сентябрь 2023'!$J$4:$J$1053,P$1)</f>
        <v>0</v>
      </c>
      <c r="Q110" s="207">
        <f>SUMIFS('сентябрь 2023'!$G$4:$G$1053,'сентябрь 2023'!$D$4:$D$1053,$B110,'сентябрь 2023'!$J$4:$J$1053,Q$1)</f>
        <v>0</v>
      </c>
      <c r="R110" s="207">
        <f>SUMIFS('сентябрь 2023'!$G$4:$G$1053,'сентябрь 2023'!$D$4:$D$1053,$B110,'сентябрь 2023'!$J$4:$J$1053,R$1)</f>
        <v>0</v>
      </c>
      <c r="S110" s="207">
        <f>SUMIFS('сентябрь 2023'!$G$4:$G$1053,'сентябрь 2023'!$D$4:$D$1053,$B110,'сентябрь 2023'!$J$4:$J$1053,S$1)</f>
        <v>0</v>
      </c>
      <c r="T110" s="207">
        <f>SUMIFS('сентябрь 2023'!$G$4:$G$1053,'сентябрь 2023'!$D$4:$D$1053,$B110,'сентябрь 2023'!$J$4:$J$1053,T$1)</f>
        <v>0</v>
      </c>
      <c r="U110" s="207">
        <f>SUMIFS('сентябрь 2023'!$G$4:$G$1053,'сентябрь 2023'!$D$4:$D$1053,$B110,'сентябрь 2023'!$J$4:$J$1053,U$1)</f>
        <v>0</v>
      </c>
      <c r="V110" s="207">
        <f>SUMIFS('сентябрь 2023'!$G$4:$G$1053,'сентябрь 2023'!$D$4:$D$1053,$B110,'сентябрь 2023'!$J$4:$J$1053,V$1)</f>
        <v>0</v>
      </c>
      <c r="W110" s="207">
        <f>SUMIFS('сентябрь 2023'!$G$4:$G$1053,'сентябрь 2023'!$D$4:$D$1053,$B110,'сентябрь 2023'!$J$4:$J$1053,W$1)</f>
        <v>0</v>
      </c>
      <c r="X110" s="207">
        <f>SUMIFS('сентябрь 2023'!$G$4:$G$1053,'сентябрь 2023'!$D$4:$D$1053,$B110,'сентябрь 2023'!$J$4:$J$1053,X$1)</f>
        <v>0</v>
      </c>
      <c r="Y110" s="207">
        <f>SUMIFS('сентябрь 2023'!$G$4:$G$1053,'сентябрь 2023'!$D$4:$D$1053,$B110,'сентябрь 2023'!$J$4:$J$1053,Y$1)</f>
        <v>0</v>
      </c>
      <c r="Z110" s="207">
        <f>SUMIFS('сентябрь 2023'!$G$4:$G$1053,'сентябрь 2023'!$D$4:$D$1053,$B110,'сентябрь 2023'!$J$4:$J$1053,Z$1)</f>
        <v>0</v>
      </c>
      <c r="AA110" s="207">
        <f>SUMIFS('сентябрь 2023'!$G$4:$G$1053,'сентябрь 2023'!$D$4:$D$1053,$B110,'сентябрь 2023'!$J$4:$J$1053,AA$1)</f>
        <v>0</v>
      </c>
      <c r="AB110" s="207">
        <f>SUMIFS('сентябрь 2023'!$G$4:$G$1053,'сентябрь 2023'!$D$4:$D$1053,$B110,'сентябрь 2023'!$J$4:$J$1053,AB$1)</f>
        <v>0</v>
      </c>
      <c r="AC110" s="207">
        <f>SUMIFS('сентябрь 2023'!$G$4:$G$1053,'сентябрь 2023'!$D$4:$D$1053,$B110,'сентябрь 2023'!$J$4:$J$1053,AC$1)</f>
        <v>0</v>
      </c>
      <c r="AD110" s="207">
        <f>SUMIFS('сентябрь 2023'!$G$4:$G$1053,'сентябрь 2023'!$D$4:$D$1053,$B110,'сентябрь 2023'!$J$4:$J$1053,AD$1)</f>
        <v>0</v>
      </c>
      <c r="AE110" s="207">
        <f>SUMIFS('сентябрь 2023'!$G$4:$G$1053,'сентябрь 2023'!$D$4:$D$1053,$B110,'сентябрь 2023'!$J$4:$J$1053,AE$1)</f>
        <v>0</v>
      </c>
      <c r="AF110" s="207">
        <f>SUMIFS('сентябрь 2023'!$G$4:$G$1053,'сентябрь 2023'!$D$4:$D$1053,$B110,'сентябрь 2023'!$J$4:$J$1053,AF$1)</f>
        <v>0</v>
      </c>
      <c r="AG110" s="207">
        <f>SUMIFS('сентябрь 2023'!$G$4:$G$1053,'сентябрь 2023'!$D$4:$D$1053,$B110,'сентябрь 2023'!$J$4:$J$1053,AG$1)</f>
        <v>0</v>
      </c>
      <c r="AH110" s="207">
        <f>SUMIFS('сентябрь 2023'!$G$4:$G$1053,'сентябрь 2023'!$D$4:$D$1053,$B110,'сентябрь 2023'!$J$4:$J$1053,AH$1)</f>
        <v>0</v>
      </c>
      <c r="AI110" s="170">
        <f t="shared" si="3"/>
        <v>0</v>
      </c>
    </row>
    <row r="111" spans="2:35" ht="15" customHeight="1" x14ac:dyDescent="0.25">
      <c r="B111" s="216" t="s">
        <v>775</v>
      </c>
      <c r="C111" s="213">
        <v>200</v>
      </c>
      <c r="D111" s="207">
        <f>SUMIFS('сентябрь 2023'!$G$4:$G$1053,'сентябрь 2023'!$D$4:$D$1053,$B111,'сентябрь 2023'!$J$4:$J$1053,D$1)</f>
        <v>0</v>
      </c>
      <c r="E111" s="207">
        <f>SUMIFS('сентябрь 2023'!$G$4:$G$1053,'сентябрь 2023'!$D$4:$D$1053,$B111,'сентябрь 2023'!$J$4:$J$1053,E$1)</f>
        <v>0</v>
      </c>
      <c r="F111" s="207">
        <f>SUMIFS('сентябрь 2023'!$G$4:$G$1053,'сентябрь 2023'!$D$4:$D$1053,$B111,'сентябрь 2023'!$J$4:$J$1053,F$1)</f>
        <v>0</v>
      </c>
      <c r="G111" s="207">
        <f>SUMIFS('сентябрь 2023'!$G$4:$G$1053,'сентябрь 2023'!$D$4:$D$1053,$B111,'сентябрь 2023'!$J$4:$J$1053,G$1)</f>
        <v>0</v>
      </c>
      <c r="H111" s="207">
        <f>SUMIFS('сентябрь 2023'!$G$4:$G$1053,'сентябрь 2023'!$D$4:$D$1053,$B111,'сентябрь 2023'!$J$4:$J$1053,H$1)</f>
        <v>0</v>
      </c>
      <c r="I111" s="207">
        <f>SUMIFS('сентябрь 2023'!$G$4:$G$1053,'сентябрь 2023'!$D$4:$D$1053,$B111,'сентябрь 2023'!$J$4:$J$1053,I$1)</f>
        <v>0</v>
      </c>
      <c r="J111" s="207">
        <f>SUMIFS('сентябрь 2023'!$G$4:$G$1053,'сентябрь 2023'!$D$4:$D$1053,$B111,'сентябрь 2023'!$J$4:$J$1053,J$1)</f>
        <v>0</v>
      </c>
      <c r="K111" s="207">
        <f>SUMIFS('сентябрь 2023'!$G$4:$G$1053,'сентябрь 2023'!$D$4:$D$1053,$B111,'сентябрь 2023'!$J$4:$J$1053,K$1)</f>
        <v>0</v>
      </c>
      <c r="L111" s="207">
        <f>SUMIFS('сентябрь 2023'!$G$4:$G$1053,'сентябрь 2023'!$D$4:$D$1053,$B111,'сентябрь 2023'!$J$4:$J$1053,L$1)</f>
        <v>0</v>
      </c>
      <c r="M111" s="207">
        <f>SUMIFS('сентябрь 2023'!$G$4:$G$1053,'сентябрь 2023'!$D$4:$D$1053,$B111,'сентябрь 2023'!$J$4:$J$1053,M$1)</f>
        <v>0</v>
      </c>
      <c r="N111" s="207">
        <f>SUMIFS('сентябрь 2023'!$G$4:$G$1053,'сентябрь 2023'!$D$4:$D$1053,$B111,'сентябрь 2023'!$J$4:$J$1053,N$1)</f>
        <v>0</v>
      </c>
      <c r="O111" s="207">
        <f>SUMIFS('сентябрь 2023'!$G$4:$G$1053,'сентябрь 2023'!$D$4:$D$1053,$B111,'сентябрь 2023'!$J$4:$J$1053,O$1)</f>
        <v>0</v>
      </c>
      <c r="P111" s="207">
        <f>SUMIFS('сентябрь 2023'!$G$4:$G$1053,'сентябрь 2023'!$D$4:$D$1053,$B111,'сентябрь 2023'!$J$4:$J$1053,P$1)</f>
        <v>0</v>
      </c>
      <c r="Q111" s="207">
        <f>SUMIFS('сентябрь 2023'!$G$4:$G$1053,'сентябрь 2023'!$D$4:$D$1053,$B111,'сентябрь 2023'!$J$4:$J$1053,Q$1)</f>
        <v>0</v>
      </c>
      <c r="R111" s="207">
        <f>SUMIFS('сентябрь 2023'!$G$4:$G$1053,'сентябрь 2023'!$D$4:$D$1053,$B111,'сентябрь 2023'!$J$4:$J$1053,R$1)</f>
        <v>0</v>
      </c>
      <c r="S111" s="207">
        <f>SUMIFS('сентябрь 2023'!$G$4:$G$1053,'сентябрь 2023'!$D$4:$D$1053,$B111,'сентябрь 2023'!$J$4:$J$1053,S$1)</f>
        <v>0</v>
      </c>
      <c r="T111" s="207">
        <f>SUMIFS('сентябрь 2023'!$G$4:$G$1053,'сентябрь 2023'!$D$4:$D$1053,$B111,'сентябрь 2023'!$J$4:$J$1053,T$1)</f>
        <v>0</v>
      </c>
      <c r="U111" s="207">
        <f>SUMIFS('сентябрь 2023'!$G$4:$G$1053,'сентябрь 2023'!$D$4:$D$1053,$B111,'сентябрь 2023'!$J$4:$J$1053,U$1)</f>
        <v>0</v>
      </c>
      <c r="V111" s="207">
        <f>SUMIFS('сентябрь 2023'!$G$4:$G$1053,'сентябрь 2023'!$D$4:$D$1053,$B111,'сентябрь 2023'!$J$4:$J$1053,V$1)</f>
        <v>0</v>
      </c>
      <c r="W111" s="207">
        <f>SUMIFS('сентябрь 2023'!$G$4:$G$1053,'сентябрь 2023'!$D$4:$D$1053,$B111,'сентябрь 2023'!$J$4:$J$1053,W$1)</f>
        <v>0</v>
      </c>
      <c r="X111" s="207">
        <f>SUMIFS('сентябрь 2023'!$G$4:$G$1053,'сентябрь 2023'!$D$4:$D$1053,$B111,'сентябрь 2023'!$J$4:$J$1053,X$1)</f>
        <v>0</v>
      </c>
      <c r="Y111" s="207">
        <f>SUMIFS('сентябрь 2023'!$G$4:$G$1053,'сентябрь 2023'!$D$4:$D$1053,$B111,'сентябрь 2023'!$J$4:$J$1053,Y$1)</f>
        <v>0</v>
      </c>
      <c r="Z111" s="207">
        <f>SUMIFS('сентябрь 2023'!$G$4:$G$1053,'сентябрь 2023'!$D$4:$D$1053,$B111,'сентябрь 2023'!$J$4:$J$1053,Z$1)</f>
        <v>0</v>
      </c>
      <c r="AA111" s="207">
        <f>SUMIFS('сентябрь 2023'!$G$4:$G$1053,'сентябрь 2023'!$D$4:$D$1053,$B111,'сентябрь 2023'!$J$4:$J$1053,AA$1)</f>
        <v>0</v>
      </c>
      <c r="AB111" s="207">
        <f>SUMIFS('сентябрь 2023'!$G$4:$G$1053,'сентябрь 2023'!$D$4:$D$1053,$B111,'сентябрь 2023'!$J$4:$J$1053,AB$1)</f>
        <v>0</v>
      </c>
      <c r="AC111" s="207">
        <f>SUMIFS('сентябрь 2023'!$G$4:$G$1053,'сентябрь 2023'!$D$4:$D$1053,$B111,'сентябрь 2023'!$J$4:$J$1053,AC$1)</f>
        <v>0</v>
      </c>
      <c r="AD111" s="207">
        <f>SUMIFS('сентябрь 2023'!$G$4:$G$1053,'сентябрь 2023'!$D$4:$D$1053,$B111,'сентябрь 2023'!$J$4:$J$1053,AD$1)</f>
        <v>0</v>
      </c>
      <c r="AE111" s="207">
        <f>SUMIFS('сентябрь 2023'!$G$4:$G$1053,'сентябрь 2023'!$D$4:$D$1053,$B111,'сентябрь 2023'!$J$4:$J$1053,AE$1)</f>
        <v>0</v>
      </c>
      <c r="AF111" s="207">
        <f>SUMIFS('сентябрь 2023'!$G$4:$G$1053,'сентябрь 2023'!$D$4:$D$1053,$B111,'сентябрь 2023'!$J$4:$J$1053,AF$1)</f>
        <v>0</v>
      </c>
      <c r="AG111" s="207">
        <f>SUMIFS('сентябрь 2023'!$G$4:$G$1053,'сентябрь 2023'!$D$4:$D$1053,$B111,'сентябрь 2023'!$J$4:$J$1053,AG$1)</f>
        <v>0</v>
      </c>
      <c r="AH111" s="207">
        <f>SUMIFS('сентябрь 2023'!$G$4:$G$1053,'сентябрь 2023'!$D$4:$D$1053,$B111,'сентябрь 2023'!$J$4:$J$1053,AH$1)</f>
        <v>0</v>
      </c>
      <c r="AI111" s="170">
        <f t="shared" si="3"/>
        <v>0</v>
      </c>
    </row>
    <row r="112" spans="2:35" ht="16.899999999999999" customHeight="1" x14ac:dyDescent="0.25">
      <c r="B112" s="212" t="s">
        <v>1094</v>
      </c>
      <c r="C112" s="211">
        <v>25</v>
      </c>
      <c r="D112" s="207">
        <f>SUMIFS('сентябрь 2023'!$G$4:$G$1053,'сентябрь 2023'!$D$4:$D$1053,$B112,'сентябрь 2023'!$J$4:$J$1053,D$1)</f>
        <v>0</v>
      </c>
      <c r="E112" s="207">
        <f>SUMIFS('сентябрь 2023'!$G$4:$G$1053,'сентябрь 2023'!$D$4:$D$1053,$B112,'сентябрь 2023'!$J$4:$J$1053,E$1)</f>
        <v>0</v>
      </c>
      <c r="F112" s="207">
        <f>SUMIFS('сентябрь 2023'!$G$4:$G$1053,'сентябрь 2023'!$D$4:$D$1053,$B112,'сентябрь 2023'!$J$4:$J$1053,F$1)</f>
        <v>0</v>
      </c>
      <c r="G112" s="207">
        <f>SUMIFS('сентябрь 2023'!$G$4:$G$1053,'сентябрь 2023'!$D$4:$D$1053,$B112,'сентябрь 2023'!$J$4:$J$1053,G$1)</f>
        <v>0</v>
      </c>
      <c r="H112" s="207">
        <f>SUMIFS('сентябрь 2023'!$G$4:$G$1053,'сентябрь 2023'!$D$4:$D$1053,$B112,'сентябрь 2023'!$J$4:$J$1053,H$1)</f>
        <v>0</v>
      </c>
      <c r="I112" s="207">
        <f>SUMIFS('сентябрь 2023'!$G$4:$G$1053,'сентябрь 2023'!$D$4:$D$1053,$B112,'сентябрь 2023'!$J$4:$J$1053,I$1)</f>
        <v>0</v>
      </c>
      <c r="J112" s="207">
        <f>SUMIFS('сентябрь 2023'!$G$4:$G$1053,'сентябрь 2023'!$D$4:$D$1053,$B112,'сентябрь 2023'!$J$4:$J$1053,J$1)</f>
        <v>0</v>
      </c>
      <c r="K112" s="207">
        <f>SUMIFS('сентябрь 2023'!$G$4:$G$1053,'сентябрь 2023'!$D$4:$D$1053,$B112,'сентябрь 2023'!$J$4:$J$1053,K$1)</f>
        <v>0</v>
      </c>
      <c r="L112" s="207">
        <f>SUMIFS('сентябрь 2023'!$G$4:$G$1053,'сентябрь 2023'!$D$4:$D$1053,$B112,'сентябрь 2023'!$J$4:$J$1053,L$1)</f>
        <v>0</v>
      </c>
      <c r="M112" s="207">
        <f>SUMIFS('сентябрь 2023'!$G$4:$G$1053,'сентябрь 2023'!$D$4:$D$1053,$B112,'сентябрь 2023'!$J$4:$J$1053,M$1)</f>
        <v>0</v>
      </c>
      <c r="N112" s="207">
        <f>SUMIFS('сентябрь 2023'!$G$4:$G$1053,'сентябрь 2023'!$D$4:$D$1053,$B112,'сентябрь 2023'!$J$4:$J$1053,N$1)</f>
        <v>0</v>
      </c>
      <c r="O112" s="207">
        <f>SUMIFS('сентябрь 2023'!$G$4:$G$1053,'сентябрь 2023'!$D$4:$D$1053,$B112,'сентябрь 2023'!$J$4:$J$1053,O$1)</f>
        <v>0</v>
      </c>
      <c r="P112" s="207">
        <f>SUMIFS('сентябрь 2023'!$G$4:$G$1053,'сентябрь 2023'!$D$4:$D$1053,$B112,'сентябрь 2023'!$J$4:$J$1053,P$1)</f>
        <v>0</v>
      </c>
      <c r="Q112" s="207">
        <f>SUMIFS('сентябрь 2023'!$G$4:$G$1053,'сентябрь 2023'!$D$4:$D$1053,$B112,'сентябрь 2023'!$J$4:$J$1053,Q$1)</f>
        <v>0</v>
      </c>
      <c r="R112" s="207">
        <f>SUMIFS('сентябрь 2023'!$G$4:$G$1053,'сентябрь 2023'!$D$4:$D$1053,$B112,'сентябрь 2023'!$J$4:$J$1053,R$1)</f>
        <v>0</v>
      </c>
      <c r="S112" s="207">
        <f>SUMIFS('сентябрь 2023'!$G$4:$G$1053,'сентябрь 2023'!$D$4:$D$1053,$B112,'сентябрь 2023'!$J$4:$J$1053,S$1)</f>
        <v>0</v>
      </c>
      <c r="T112" s="207">
        <f>SUMIFS('сентябрь 2023'!$G$4:$G$1053,'сентябрь 2023'!$D$4:$D$1053,$B112,'сентябрь 2023'!$J$4:$J$1053,T$1)</f>
        <v>0</v>
      </c>
      <c r="U112" s="207">
        <f>SUMIFS('сентябрь 2023'!$G$4:$G$1053,'сентябрь 2023'!$D$4:$D$1053,$B112,'сентябрь 2023'!$J$4:$J$1053,U$1)</f>
        <v>0</v>
      </c>
      <c r="V112" s="207">
        <f>SUMIFS('сентябрь 2023'!$G$4:$G$1053,'сентябрь 2023'!$D$4:$D$1053,$B112,'сентябрь 2023'!$J$4:$J$1053,V$1)</f>
        <v>0</v>
      </c>
      <c r="W112" s="207">
        <f>SUMIFS('сентябрь 2023'!$G$4:$G$1053,'сентябрь 2023'!$D$4:$D$1053,$B112,'сентябрь 2023'!$J$4:$J$1053,W$1)</f>
        <v>0</v>
      </c>
      <c r="X112" s="207">
        <f>SUMIFS('сентябрь 2023'!$G$4:$G$1053,'сентябрь 2023'!$D$4:$D$1053,$B112,'сентябрь 2023'!$J$4:$J$1053,X$1)</f>
        <v>0</v>
      </c>
      <c r="Y112" s="207">
        <f>SUMIFS('сентябрь 2023'!$G$4:$G$1053,'сентябрь 2023'!$D$4:$D$1053,$B112,'сентябрь 2023'!$J$4:$J$1053,Y$1)</f>
        <v>0</v>
      </c>
      <c r="Z112" s="207">
        <f>SUMIFS('сентябрь 2023'!$G$4:$G$1053,'сентябрь 2023'!$D$4:$D$1053,$B112,'сентябрь 2023'!$J$4:$J$1053,Z$1)</f>
        <v>0</v>
      </c>
      <c r="AA112" s="207">
        <f>SUMIFS('сентябрь 2023'!$G$4:$G$1053,'сентябрь 2023'!$D$4:$D$1053,$B112,'сентябрь 2023'!$J$4:$J$1053,AA$1)</f>
        <v>0</v>
      </c>
      <c r="AB112" s="207">
        <f>SUMIFS('сентябрь 2023'!$G$4:$G$1053,'сентябрь 2023'!$D$4:$D$1053,$B112,'сентябрь 2023'!$J$4:$J$1053,AB$1)</f>
        <v>0</v>
      </c>
      <c r="AC112" s="207">
        <f>SUMIFS('сентябрь 2023'!$G$4:$G$1053,'сентябрь 2023'!$D$4:$D$1053,$B112,'сентябрь 2023'!$J$4:$J$1053,AC$1)</f>
        <v>0</v>
      </c>
      <c r="AD112" s="207">
        <f>SUMIFS('сентябрь 2023'!$G$4:$G$1053,'сентябрь 2023'!$D$4:$D$1053,$B112,'сентябрь 2023'!$J$4:$J$1053,AD$1)</f>
        <v>0</v>
      </c>
      <c r="AE112" s="207">
        <f>SUMIFS('сентябрь 2023'!$G$4:$G$1053,'сентябрь 2023'!$D$4:$D$1053,$B112,'сентябрь 2023'!$J$4:$J$1053,AE$1)</f>
        <v>0</v>
      </c>
      <c r="AF112" s="207">
        <f>SUMIFS('сентябрь 2023'!$G$4:$G$1053,'сентябрь 2023'!$D$4:$D$1053,$B112,'сентябрь 2023'!$J$4:$J$1053,AF$1)</f>
        <v>0</v>
      </c>
      <c r="AG112" s="207">
        <f>SUMIFS('сентябрь 2023'!$G$4:$G$1053,'сентябрь 2023'!$D$4:$D$1053,$B112,'сентябрь 2023'!$J$4:$J$1053,AG$1)</f>
        <v>0</v>
      </c>
      <c r="AH112" s="207">
        <f>SUMIFS('сентябрь 2023'!$G$4:$G$1053,'сентябрь 2023'!$D$4:$D$1053,$B112,'сентябрь 2023'!$J$4:$J$1053,AH$1)</f>
        <v>0</v>
      </c>
      <c r="AI112" s="170">
        <f t="shared" si="3"/>
        <v>0</v>
      </c>
    </row>
    <row r="113" spans="2:35" ht="15" customHeight="1" x14ac:dyDescent="0.25">
      <c r="B113" s="212" t="s">
        <v>191</v>
      </c>
      <c r="C113" s="211">
        <v>25</v>
      </c>
      <c r="D113" s="207">
        <f>SUMIFS('сентябрь 2023'!$G$4:$G$1053,'сентябрь 2023'!$D$4:$D$1053,$B113,'сентябрь 2023'!$J$4:$J$1053,D$1)</f>
        <v>0</v>
      </c>
      <c r="E113" s="207">
        <f>SUMIFS('сентябрь 2023'!$G$4:$G$1053,'сентябрь 2023'!$D$4:$D$1053,$B113,'сентябрь 2023'!$J$4:$J$1053,E$1)</f>
        <v>0</v>
      </c>
      <c r="F113" s="207">
        <f>SUMIFS('сентябрь 2023'!$G$4:$G$1053,'сентябрь 2023'!$D$4:$D$1053,$B113,'сентябрь 2023'!$J$4:$J$1053,F$1)</f>
        <v>0</v>
      </c>
      <c r="G113" s="207">
        <f>SUMIFS('сентябрь 2023'!$G$4:$G$1053,'сентябрь 2023'!$D$4:$D$1053,$B113,'сентябрь 2023'!$J$4:$J$1053,G$1)</f>
        <v>0</v>
      </c>
      <c r="H113" s="207">
        <f>SUMIFS('сентябрь 2023'!$G$4:$G$1053,'сентябрь 2023'!$D$4:$D$1053,$B113,'сентябрь 2023'!$J$4:$J$1053,H$1)</f>
        <v>0</v>
      </c>
      <c r="I113" s="207">
        <f>SUMIFS('сентябрь 2023'!$G$4:$G$1053,'сентябрь 2023'!$D$4:$D$1053,$B113,'сентябрь 2023'!$J$4:$J$1053,I$1)</f>
        <v>0</v>
      </c>
      <c r="J113" s="207">
        <f>SUMIFS('сентябрь 2023'!$G$4:$G$1053,'сентябрь 2023'!$D$4:$D$1053,$B113,'сентябрь 2023'!$J$4:$J$1053,J$1)</f>
        <v>0</v>
      </c>
      <c r="K113" s="207">
        <f>SUMIFS('сентябрь 2023'!$G$4:$G$1053,'сентябрь 2023'!$D$4:$D$1053,$B113,'сентябрь 2023'!$J$4:$J$1053,K$1)</f>
        <v>480</v>
      </c>
      <c r="L113" s="207">
        <f>SUMIFS('сентябрь 2023'!$G$4:$G$1053,'сентябрь 2023'!$D$4:$D$1053,$B113,'сентябрь 2023'!$J$4:$J$1053,L$1)</f>
        <v>0</v>
      </c>
      <c r="M113" s="207">
        <f>SUMIFS('сентябрь 2023'!$G$4:$G$1053,'сентябрь 2023'!$D$4:$D$1053,$B113,'сентябрь 2023'!$J$4:$J$1053,M$1)</f>
        <v>0</v>
      </c>
      <c r="N113" s="207">
        <f>SUMIFS('сентябрь 2023'!$G$4:$G$1053,'сентябрь 2023'!$D$4:$D$1053,$B113,'сентябрь 2023'!$J$4:$J$1053,N$1)</f>
        <v>0</v>
      </c>
      <c r="O113" s="207">
        <f>SUMIFS('сентябрь 2023'!$G$4:$G$1053,'сентябрь 2023'!$D$4:$D$1053,$B113,'сентябрь 2023'!$J$4:$J$1053,O$1)</f>
        <v>0</v>
      </c>
      <c r="P113" s="207">
        <f>SUMIFS('сентябрь 2023'!$G$4:$G$1053,'сентябрь 2023'!$D$4:$D$1053,$B113,'сентябрь 2023'!$J$4:$J$1053,P$1)</f>
        <v>0</v>
      </c>
      <c r="Q113" s="207">
        <f>SUMIFS('сентябрь 2023'!$G$4:$G$1053,'сентябрь 2023'!$D$4:$D$1053,$B113,'сентябрь 2023'!$J$4:$J$1053,Q$1)</f>
        <v>0</v>
      </c>
      <c r="R113" s="207">
        <f>SUMIFS('сентябрь 2023'!$G$4:$G$1053,'сентябрь 2023'!$D$4:$D$1053,$B113,'сентябрь 2023'!$J$4:$J$1053,R$1)</f>
        <v>0</v>
      </c>
      <c r="S113" s="207">
        <f>SUMIFS('сентябрь 2023'!$G$4:$G$1053,'сентябрь 2023'!$D$4:$D$1053,$B113,'сентябрь 2023'!$J$4:$J$1053,S$1)</f>
        <v>0</v>
      </c>
      <c r="T113" s="207">
        <f>SUMIFS('сентябрь 2023'!$G$4:$G$1053,'сентябрь 2023'!$D$4:$D$1053,$B113,'сентябрь 2023'!$J$4:$J$1053,T$1)</f>
        <v>0</v>
      </c>
      <c r="U113" s="207">
        <f>SUMIFS('сентябрь 2023'!$G$4:$G$1053,'сентябрь 2023'!$D$4:$D$1053,$B113,'сентябрь 2023'!$J$4:$J$1053,U$1)</f>
        <v>0</v>
      </c>
      <c r="V113" s="207">
        <f>SUMIFS('сентябрь 2023'!$G$4:$G$1053,'сентябрь 2023'!$D$4:$D$1053,$B113,'сентябрь 2023'!$J$4:$J$1053,V$1)</f>
        <v>0</v>
      </c>
      <c r="W113" s="207">
        <f>SUMIFS('сентябрь 2023'!$G$4:$G$1053,'сентябрь 2023'!$D$4:$D$1053,$B113,'сентябрь 2023'!$J$4:$J$1053,W$1)</f>
        <v>0</v>
      </c>
      <c r="X113" s="207">
        <f>SUMIFS('сентябрь 2023'!$G$4:$G$1053,'сентябрь 2023'!$D$4:$D$1053,$B113,'сентябрь 2023'!$J$4:$J$1053,X$1)</f>
        <v>0</v>
      </c>
      <c r="Y113" s="207">
        <f>SUMIFS('сентябрь 2023'!$G$4:$G$1053,'сентябрь 2023'!$D$4:$D$1053,$B113,'сентябрь 2023'!$J$4:$J$1053,Y$1)</f>
        <v>0</v>
      </c>
      <c r="Z113" s="207">
        <f>SUMIFS('сентябрь 2023'!$G$4:$G$1053,'сентябрь 2023'!$D$4:$D$1053,$B113,'сентябрь 2023'!$J$4:$J$1053,Z$1)</f>
        <v>0</v>
      </c>
      <c r="AA113" s="207">
        <f>SUMIFS('сентябрь 2023'!$G$4:$G$1053,'сентябрь 2023'!$D$4:$D$1053,$B113,'сентябрь 2023'!$J$4:$J$1053,AA$1)</f>
        <v>0</v>
      </c>
      <c r="AB113" s="207">
        <f>SUMIFS('сентябрь 2023'!$G$4:$G$1053,'сентябрь 2023'!$D$4:$D$1053,$B113,'сентябрь 2023'!$J$4:$J$1053,AB$1)</f>
        <v>0</v>
      </c>
      <c r="AC113" s="207">
        <f>SUMIFS('сентябрь 2023'!$G$4:$G$1053,'сентябрь 2023'!$D$4:$D$1053,$B113,'сентябрь 2023'!$J$4:$J$1053,AC$1)</f>
        <v>0</v>
      </c>
      <c r="AD113" s="207">
        <f>SUMIFS('сентябрь 2023'!$G$4:$G$1053,'сентябрь 2023'!$D$4:$D$1053,$B113,'сентябрь 2023'!$J$4:$J$1053,AD$1)</f>
        <v>0</v>
      </c>
      <c r="AE113" s="207">
        <f>SUMIFS('сентябрь 2023'!$G$4:$G$1053,'сентябрь 2023'!$D$4:$D$1053,$B113,'сентябрь 2023'!$J$4:$J$1053,AE$1)</f>
        <v>0</v>
      </c>
      <c r="AF113" s="207">
        <f>SUMIFS('сентябрь 2023'!$G$4:$G$1053,'сентябрь 2023'!$D$4:$D$1053,$B113,'сентябрь 2023'!$J$4:$J$1053,AF$1)</f>
        <v>0</v>
      </c>
      <c r="AG113" s="207">
        <f>SUMIFS('сентябрь 2023'!$G$4:$G$1053,'сентябрь 2023'!$D$4:$D$1053,$B113,'сентябрь 2023'!$J$4:$J$1053,AG$1)</f>
        <v>0</v>
      </c>
      <c r="AH113" s="207">
        <f>SUMIFS('сентябрь 2023'!$G$4:$G$1053,'сентябрь 2023'!$D$4:$D$1053,$B113,'сентябрь 2023'!$J$4:$J$1053,AH$1)</f>
        <v>0</v>
      </c>
      <c r="AI113" s="170">
        <f t="shared" si="3"/>
        <v>480</v>
      </c>
    </row>
    <row r="114" spans="2:35" ht="15" customHeight="1" x14ac:dyDescent="0.25">
      <c r="B114" s="212" t="s">
        <v>525</v>
      </c>
      <c r="C114" s="211">
        <v>25</v>
      </c>
      <c r="D114" s="207">
        <f>SUMIFS('сентябрь 2023'!$G$4:$G$1053,'сентябрь 2023'!$D$4:$D$1053,$B114,'сентябрь 2023'!$J$4:$J$1053,D$1)</f>
        <v>0</v>
      </c>
      <c r="E114" s="207">
        <f>SUMIFS('сентябрь 2023'!$G$4:$G$1053,'сентябрь 2023'!$D$4:$D$1053,$B114,'сентябрь 2023'!$J$4:$J$1053,E$1)</f>
        <v>0</v>
      </c>
      <c r="F114" s="207">
        <f>SUMIFS('сентябрь 2023'!$G$4:$G$1053,'сентябрь 2023'!$D$4:$D$1053,$B114,'сентябрь 2023'!$J$4:$J$1053,F$1)</f>
        <v>0</v>
      </c>
      <c r="G114" s="207">
        <f>SUMIFS('сентябрь 2023'!$G$4:$G$1053,'сентябрь 2023'!$D$4:$D$1053,$B114,'сентябрь 2023'!$J$4:$J$1053,G$1)</f>
        <v>0</v>
      </c>
      <c r="H114" s="207">
        <f>SUMIFS('сентябрь 2023'!$G$4:$G$1053,'сентябрь 2023'!$D$4:$D$1053,$B114,'сентябрь 2023'!$J$4:$J$1053,H$1)</f>
        <v>0</v>
      </c>
      <c r="I114" s="207">
        <f>SUMIFS('сентябрь 2023'!$G$4:$G$1053,'сентябрь 2023'!$D$4:$D$1053,$B114,'сентябрь 2023'!$J$4:$J$1053,I$1)</f>
        <v>0</v>
      </c>
      <c r="J114" s="207">
        <f>SUMIFS('сентябрь 2023'!$G$4:$G$1053,'сентябрь 2023'!$D$4:$D$1053,$B114,'сентябрь 2023'!$J$4:$J$1053,J$1)</f>
        <v>0</v>
      </c>
      <c r="K114" s="207">
        <f>SUMIFS('сентябрь 2023'!$G$4:$G$1053,'сентябрь 2023'!$D$4:$D$1053,$B114,'сентябрь 2023'!$J$4:$J$1053,K$1)</f>
        <v>0</v>
      </c>
      <c r="L114" s="207">
        <f>SUMIFS('сентябрь 2023'!$G$4:$G$1053,'сентябрь 2023'!$D$4:$D$1053,$B114,'сентябрь 2023'!$J$4:$J$1053,L$1)</f>
        <v>0</v>
      </c>
      <c r="M114" s="207">
        <f>SUMIFS('сентябрь 2023'!$G$4:$G$1053,'сентябрь 2023'!$D$4:$D$1053,$B114,'сентябрь 2023'!$J$4:$J$1053,M$1)</f>
        <v>0</v>
      </c>
      <c r="N114" s="207">
        <f>SUMIFS('сентябрь 2023'!$G$4:$G$1053,'сентябрь 2023'!$D$4:$D$1053,$B114,'сентябрь 2023'!$J$4:$J$1053,N$1)</f>
        <v>0</v>
      </c>
      <c r="O114" s="207">
        <f>SUMIFS('сентябрь 2023'!$G$4:$G$1053,'сентябрь 2023'!$D$4:$D$1053,$B114,'сентябрь 2023'!$J$4:$J$1053,O$1)</f>
        <v>0</v>
      </c>
      <c r="P114" s="207">
        <f>SUMIFS('сентябрь 2023'!$G$4:$G$1053,'сентябрь 2023'!$D$4:$D$1053,$B114,'сентябрь 2023'!$J$4:$J$1053,P$1)</f>
        <v>0</v>
      </c>
      <c r="Q114" s="207">
        <f>SUMIFS('сентябрь 2023'!$G$4:$G$1053,'сентябрь 2023'!$D$4:$D$1053,$B114,'сентябрь 2023'!$J$4:$J$1053,Q$1)</f>
        <v>0</v>
      </c>
      <c r="R114" s="207">
        <f>SUMIFS('сентябрь 2023'!$G$4:$G$1053,'сентябрь 2023'!$D$4:$D$1053,$B114,'сентябрь 2023'!$J$4:$J$1053,R$1)</f>
        <v>0</v>
      </c>
      <c r="S114" s="207">
        <f>SUMIFS('сентябрь 2023'!$G$4:$G$1053,'сентябрь 2023'!$D$4:$D$1053,$B114,'сентябрь 2023'!$J$4:$J$1053,S$1)</f>
        <v>0</v>
      </c>
      <c r="T114" s="207">
        <f>SUMIFS('сентябрь 2023'!$G$4:$G$1053,'сентябрь 2023'!$D$4:$D$1053,$B114,'сентябрь 2023'!$J$4:$J$1053,T$1)</f>
        <v>0</v>
      </c>
      <c r="U114" s="207">
        <f>SUMIFS('сентябрь 2023'!$G$4:$G$1053,'сентябрь 2023'!$D$4:$D$1053,$B114,'сентябрь 2023'!$J$4:$J$1053,U$1)</f>
        <v>0</v>
      </c>
      <c r="V114" s="207">
        <f>SUMIFS('сентябрь 2023'!$G$4:$G$1053,'сентябрь 2023'!$D$4:$D$1053,$B114,'сентябрь 2023'!$J$4:$J$1053,V$1)</f>
        <v>0</v>
      </c>
      <c r="W114" s="207">
        <f>SUMIFS('сентябрь 2023'!$G$4:$G$1053,'сентябрь 2023'!$D$4:$D$1053,$B114,'сентябрь 2023'!$J$4:$J$1053,W$1)</f>
        <v>0</v>
      </c>
      <c r="X114" s="207">
        <f>SUMIFS('сентябрь 2023'!$G$4:$G$1053,'сентябрь 2023'!$D$4:$D$1053,$B114,'сентябрь 2023'!$J$4:$J$1053,X$1)</f>
        <v>0</v>
      </c>
      <c r="Y114" s="207">
        <f>SUMIFS('сентябрь 2023'!$G$4:$G$1053,'сентябрь 2023'!$D$4:$D$1053,$B114,'сентябрь 2023'!$J$4:$J$1053,Y$1)</f>
        <v>0</v>
      </c>
      <c r="Z114" s="207">
        <f>SUMIFS('сентябрь 2023'!$G$4:$G$1053,'сентябрь 2023'!$D$4:$D$1053,$B114,'сентябрь 2023'!$J$4:$J$1053,Z$1)</f>
        <v>0</v>
      </c>
      <c r="AA114" s="207">
        <f>SUMIFS('сентябрь 2023'!$G$4:$G$1053,'сентябрь 2023'!$D$4:$D$1053,$B114,'сентябрь 2023'!$J$4:$J$1053,AA$1)</f>
        <v>0</v>
      </c>
      <c r="AB114" s="207">
        <f>SUMIFS('сентябрь 2023'!$G$4:$G$1053,'сентябрь 2023'!$D$4:$D$1053,$B114,'сентябрь 2023'!$J$4:$J$1053,AB$1)</f>
        <v>0</v>
      </c>
      <c r="AC114" s="207">
        <f>SUMIFS('сентябрь 2023'!$G$4:$G$1053,'сентябрь 2023'!$D$4:$D$1053,$B114,'сентябрь 2023'!$J$4:$J$1053,AC$1)</f>
        <v>0</v>
      </c>
      <c r="AD114" s="207">
        <f>SUMIFS('сентябрь 2023'!$G$4:$G$1053,'сентябрь 2023'!$D$4:$D$1053,$B114,'сентябрь 2023'!$J$4:$J$1053,AD$1)</f>
        <v>0</v>
      </c>
      <c r="AE114" s="207">
        <f>SUMIFS('сентябрь 2023'!$G$4:$G$1053,'сентябрь 2023'!$D$4:$D$1053,$B114,'сентябрь 2023'!$J$4:$J$1053,AE$1)</f>
        <v>0</v>
      </c>
      <c r="AF114" s="207">
        <f>SUMIFS('сентябрь 2023'!$G$4:$G$1053,'сентябрь 2023'!$D$4:$D$1053,$B114,'сентябрь 2023'!$J$4:$J$1053,AF$1)</f>
        <v>0</v>
      </c>
      <c r="AG114" s="207">
        <f>SUMIFS('сентябрь 2023'!$G$4:$G$1053,'сентябрь 2023'!$D$4:$D$1053,$B114,'сентябрь 2023'!$J$4:$J$1053,AG$1)</f>
        <v>0</v>
      </c>
      <c r="AH114" s="207">
        <f>SUMIFS('сентябрь 2023'!$G$4:$G$1053,'сентябрь 2023'!$D$4:$D$1053,$B114,'сентябрь 2023'!$J$4:$J$1053,AH$1)</f>
        <v>0</v>
      </c>
      <c r="AI114" s="170">
        <f t="shared" si="3"/>
        <v>0</v>
      </c>
    </row>
    <row r="115" spans="2:35" ht="15" customHeight="1" x14ac:dyDescent="0.25">
      <c r="B115" s="212" t="s">
        <v>1353</v>
      </c>
      <c r="C115" s="211">
        <v>25</v>
      </c>
      <c r="D115" s="207">
        <f>SUMIFS('сентябрь 2023'!$G$4:$G$1053,'сентябрь 2023'!$D$4:$D$1053,$B115,'сентябрь 2023'!$J$4:$J$1053,D$1)</f>
        <v>0</v>
      </c>
      <c r="E115" s="207">
        <f>SUMIFS('сентябрь 2023'!$G$4:$G$1053,'сентябрь 2023'!$D$4:$D$1053,$B115,'сентябрь 2023'!$J$4:$J$1053,E$1)</f>
        <v>0</v>
      </c>
      <c r="F115" s="207">
        <f>SUMIFS('сентябрь 2023'!$G$4:$G$1053,'сентябрь 2023'!$D$4:$D$1053,$B115,'сентябрь 2023'!$J$4:$J$1053,F$1)</f>
        <v>0</v>
      </c>
      <c r="G115" s="207">
        <f>SUMIFS('сентябрь 2023'!$G$4:$G$1053,'сентябрь 2023'!$D$4:$D$1053,$B115,'сентябрь 2023'!$J$4:$J$1053,G$1)</f>
        <v>0</v>
      </c>
      <c r="H115" s="207">
        <f>SUMIFS('сентябрь 2023'!$G$4:$G$1053,'сентябрь 2023'!$D$4:$D$1053,$B115,'сентябрь 2023'!$J$4:$J$1053,H$1)</f>
        <v>0</v>
      </c>
      <c r="I115" s="207">
        <f>SUMIFS('сентябрь 2023'!$G$4:$G$1053,'сентябрь 2023'!$D$4:$D$1053,$B115,'сентябрь 2023'!$J$4:$J$1053,I$1)</f>
        <v>0</v>
      </c>
      <c r="J115" s="207">
        <f>SUMIFS('сентябрь 2023'!$G$4:$G$1053,'сентябрь 2023'!$D$4:$D$1053,$B115,'сентябрь 2023'!$J$4:$J$1053,J$1)</f>
        <v>0</v>
      </c>
      <c r="K115" s="207">
        <f>SUMIFS('сентябрь 2023'!$G$4:$G$1053,'сентябрь 2023'!$D$4:$D$1053,$B115,'сентябрь 2023'!$J$4:$J$1053,K$1)</f>
        <v>0</v>
      </c>
      <c r="L115" s="207">
        <f>SUMIFS('сентябрь 2023'!$G$4:$G$1053,'сентябрь 2023'!$D$4:$D$1053,$B115,'сентябрь 2023'!$J$4:$J$1053,L$1)</f>
        <v>0</v>
      </c>
      <c r="M115" s="207">
        <f>SUMIFS('сентябрь 2023'!$G$4:$G$1053,'сентябрь 2023'!$D$4:$D$1053,$B115,'сентябрь 2023'!$J$4:$J$1053,M$1)</f>
        <v>0</v>
      </c>
      <c r="N115" s="207">
        <f>SUMIFS('сентябрь 2023'!$G$4:$G$1053,'сентябрь 2023'!$D$4:$D$1053,$B115,'сентябрь 2023'!$J$4:$J$1053,N$1)</f>
        <v>0</v>
      </c>
      <c r="O115" s="207">
        <f>SUMIFS('сентябрь 2023'!$G$4:$G$1053,'сентябрь 2023'!$D$4:$D$1053,$B115,'сентябрь 2023'!$J$4:$J$1053,O$1)</f>
        <v>0</v>
      </c>
      <c r="P115" s="207">
        <f>SUMIFS('сентябрь 2023'!$G$4:$G$1053,'сентябрь 2023'!$D$4:$D$1053,$B115,'сентябрь 2023'!$J$4:$J$1053,P$1)</f>
        <v>0</v>
      </c>
      <c r="Q115" s="207">
        <f>SUMIFS('сентябрь 2023'!$G$4:$G$1053,'сентябрь 2023'!$D$4:$D$1053,$B115,'сентябрь 2023'!$J$4:$J$1053,Q$1)</f>
        <v>0</v>
      </c>
      <c r="R115" s="207">
        <f>SUMIFS('сентябрь 2023'!$G$4:$G$1053,'сентябрь 2023'!$D$4:$D$1053,$B115,'сентябрь 2023'!$J$4:$J$1053,R$1)</f>
        <v>0</v>
      </c>
      <c r="S115" s="207">
        <f>SUMIFS('сентябрь 2023'!$G$4:$G$1053,'сентябрь 2023'!$D$4:$D$1053,$B115,'сентябрь 2023'!$J$4:$J$1053,S$1)</f>
        <v>0</v>
      </c>
      <c r="T115" s="207">
        <f>SUMIFS('сентябрь 2023'!$G$4:$G$1053,'сентябрь 2023'!$D$4:$D$1053,$B115,'сентябрь 2023'!$J$4:$J$1053,T$1)</f>
        <v>0</v>
      </c>
      <c r="U115" s="207">
        <f>SUMIFS('сентябрь 2023'!$G$4:$G$1053,'сентябрь 2023'!$D$4:$D$1053,$B115,'сентябрь 2023'!$J$4:$J$1053,U$1)</f>
        <v>0</v>
      </c>
      <c r="V115" s="207">
        <f>SUMIFS('сентябрь 2023'!$G$4:$G$1053,'сентябрь 2023'!$D$4:$D$1053,$B115,'сентябрь 2023'!$J$4:$J$1053,V$1)</f>
        <v>0</v>
      </c>
      <c r="W115" s="207">
        <f>SUMIFS('сентябрь 2023'!$G$4:$G$1053,'сентябрь 2023'!$D$4:$D$1053,$B115,'сентябрь 2023'!$J$4:$J$1053,W$1)</f>
        <v>0</v>
      </c>
      <c r="X115" s="207">
        <f>SUMIFS('сентябрь 2023'!$G$4:$G$1053,'сентябрь 2023'!$D$4:$D$1053,$B115,'сентябрь 2023'!$J$4:$J$1053,X$1)</f>
        <v>0</v>
      </c>
      <c r="Y115" s="207">
        <f>SUMIFS('сентябрь 2023'!$G$4:$G$1053,'сентябрь 2023'!$D$4:$D$1053,$B115,'сентябрь 2023'!$J$4:$J$1053,Y$1)</f>
        <v>0</v>
      </c>
      <c r="Z115" s="207">
        <f>SUMIFS('сентябрь 2023'!$G$4:$G$1053,'сентябрь 2023'!$D$4:$D$1053,$B115,'сентябрь 2023'!$J$4:$J$1053,Z$1)</f>
        <v>0</v>
      </c>
      <c r="AA115" s="207">
        <f>SUMIFS('сентябрь 2023'!$G$4:$G$1053,'сентябрь 2023'!$D$4:$D$1053,$B115,'сентябрь 2023'!$J$4:$J$1053,AA$1)</f>
        <v>0</v>
      </c>
      <c r="AB115" s="207">
        <f>SUMIFS('сентябрь 2023'!$G$4:$G$1053,'сентябрь 2023'!$D$4:$D$1053,$B115,'сентябрь 2023'!$J$4:$J$1053,AB$1)</f>
        <v>0</v>
      </c>
      <c r="AC115" s="207">
        <f>SUMIFS('сентябрь 2023'!$G$4:$G$1053,'сентябрь 2023'!$D$4:$D$1053,$B115,'сентябрь 2023'!$J$4:$J$1053,AC$1)</f>
        <v>0</v>
      </c>
      <c r="AD115" s="207">
        <f>SUMIFS('сентябрь 2023'!$G$4:$G$1053,'сентябрь 2023'!$D$4:$D$1053,$B115,'сентябрь 2023'!$J$4:$J$1053,AD$1)</f>
        <v>0</v>
      </c>
      <c r="AE115" s="207">
        <f>SUMIFS('сентябрь 2023'!$G$4:$G$1053,'сентябрь 2023'!$D$4:$D$1053,$B115,'сентябрь 2023'!$J$4:$J$1053,AE$1)</f>
        <v>0</v>
      </c>
      <c r="AF115" s="207">
        <f>SUMIFS('сентябрь 2023'!$G$4:$G$1053,'сентябрь 2023'!$D$4:$D$1053,$B115,'сентябрь 2023'!$J$4:$J$1053,AF$1)</f>
        <v>0</v>
      </c>
      <c r="AG115" s="207">
        <f>SUMIFS('сентябрь 2023'!$G$4:$G$1053,'сентябрь 2023'!$D$4:$D$1053,$B115,'сентябрь 2023'!$J$4:$J$1053,AG$1)</f>
        <v>0</v>
      </c>
      <c r="AH115" s="207">
        <f>SUMIFS('сентябрь 2023'!$G$4:$G$1053,'сентябрь 2023'!$D$4:$D$1053,$B115,'сентябрь 2023'!$J$4:$J$1053,AH$1)</f>
        <v>0</v>
      </c>
      <c r="AI115" s="170">
        <f t="shared" si="3"/>
        <v>0</v>
      </c>
    </row>
    <row r="116" spans="2:35" ht="15" customHeight="1" x14ac:dyDescent="0.25">
      <c r="B116" s="212"/>
      <c r="C116" s="211"/>
      <c r="D116" s="207">
        <f>SUMIFS('сентябрь 2023'!$G$4:$G$1053,'сентябрь 2023'!$D$4:$D$1053,$B116,'сентябрь 2023'!$J$4:$J$1053,D$1)</f>
        <v>0</v>
      </c>
      <c r="E116" s="207">
        <f>SUMIFS('сентябрь 2023'!$G$4:$G$1053,'сентябрь 2023'!$D$4:$D$1053,$B116,'сентябрь 2023'!$J$4:$J$1053,E$1)</f>
        <v>0</v>
      </c>
      <c r="F116" s="207">
        <f>SUMIFS('сентябрь 2023'!$G$4:$G$1053,'сентябрь 2023'!$D$4:$D$1053,$B116,'сентябрь 2023'!$J$4:$J$1053,F$1)</f>
        <v>0</v>
      </c>
      <c r="G116" s="207">
        <f>SUMIFS('сентябрь 2023'!$G$4:$G$1053,'сентябрь 2023'!$D$4:$D$1053,$B116,'сентябрь 2023'!$J$4:$J$1053,G$1)</f>
        <v>0</v>
      </c>
      <c r="H116" s="207">
        <f>SUMIFS('сентябрь 2023'!$G$4:$G$1053,'сентябрь 2023'!$D$4:$D$1053,$B116,'сентябрь 2023'!$J$4:$J$1053,H$1)</f>
        <v>0</v>
      </c>
      <c r="I116" s="207">
        <f>SUMIFS('сентябрь 2023'!$G$4:$G$1053,'сентябрь 2023'!$D$4:$D$1053,$B116,'сентябрь 2023'!$J$4:$J$1053,I$1)</f>
        <v>0</v>
      </c>
      <c r="J116" s="207">
        <f>SUMIFS('сентябрь 2023'!$G$4:$G$1053,'сентябрь 2023'!$D$4:$D$1053,$B116,'сентябрь 2023'!$J$4:$J$1053,J$1)</f>
        <v>0</v>
      </c>
      <c r="K116" s="207">
        <f>SUMIFS('сентябрь 2023'!$G$4:$G$1053,'сентябрь 2023'!$D$4:$D$1053,$B116,'сентябрь 2023'!$J$4:$J$1053,K$1)</f>
        <v>0</v>
      </c>
      <c r="L116" s="207">
        <f>SUMIFS('сентябрь 2023'!$G$4:$G$1053,'сентябрь 2023'!$D$4:$D$1053,$B116,'сентябрь 2023'!$J$4:$J$1053,L$1)</f>
        <v>0</v>
      </c>
      <c r="M116" s="207">
        <f>SUMIFS('сентябрь 2023'!$G$4:$G$1053,'сентябрь 2023'!$D$4:$D$1053,$B116,'сентябрь 2023'!$J$4:$J$1053,M$1)</f>
        <v>0</v>
      </c>
      <c r="N116" s="207">
        <f>SUMIFS('сентябрь 2023'!$G$4:$G$1053,'сентябрь 2023'!$D$4:$D$1053,$B116,'сентябрь 2023'!$J$4:$J$1053,N$1)</f>
        <v>0</v>
      </c>
      <c r="O116" s="207">
        <f>SUMIFS('сентябрь 2023'!$G$4:$G$1053,'сентябрь 2023'!$D$4:$D$1053,$B116,'сентябрь 2023'!$J$4:$J$1053,O$1)</f>
        <v>0</v>
      </c>
      <c r="P116" s="207">
        <f>SUMIFS('сентябрь 2023'!$G$4:$G$1053,'сентябрь 2023'!$D$4:$D$1053,$B116,'сентябрь 2023'!$J$4:$J$1053,P$1)</f>
        <v>0</v>
      </c>
      <c r="Q116" s="207">
        <f>SUMIFS('сентябрь 2023'!$G$4:$G$1053,'сентябрь 2023'!$D$4:$D$1053,$B116,'сентябрь 2023'!$J$4:$J$1053,Q$1)</f>
        <v>0</v>
      </c>
      <c r="R116" s="207">
        <f>SUMIFS('сентябрь 2023'!$G$4:$G$1053,'сентябрь 2023'!$D$4:$D$1053,$B116,'сентябрь 2023'!$J$4:$J$1053,R$1)</f>
        <v>0</v>
      </c>
      <c r="S116" s="207">
        <f>SUMIFS('сентябрь 2023'!$G$4:$G$1053,'сентябрь 2023'!$D$4:$D$1053,$B116,'сентябрь 2023'!$J$4:$J$1053,S$1)</f>
        <v>0</v>
      </c>
      <c r="T116" s="207">
        <f>SUMIFS('сентябрь 2023'!$G$4:$G$1053,'сентябрь 2023'!$D$4:$D$1053,$B116,'сентябрь 2023'!$J$4:$J$1053,T$1)</f>
        <v>0</v>
      </c>
      <c r="U116" s="207">
        <f>SUMIFS('сентябрь 2023'!$G$4:$G$1053,'сентябрь 2023'!$D$4:$D$1053,$B116,'сентябрь 2023'!$J$4:$J$1053,U$1)</f>
        <v>0</v>
      </c>
      <c r="V116" s="207">
        <f>SUMIFS('сентябрь 2023'!$G$4:$G$1053,'сентябрь 2023'!$D$4:$D$1053,$B116,'сентябрь 2023'!$J$4:$J$1053,V$1)</f>
        <v>0</v>
      </c>
      <c r="W116" s="207">
        <f>SUMIFS('сентябрь 2023'!$G$4:$G$1053,'сентябрь 2023'!$D$4:$D$1053,$B116,'сентябрь 2023'!$J$4:$J$1053,W$1)</f>
        <v>0</v>
      </c>
      <c r="X116" s="207">
        <f>SUMIFS('сентябрь 2023'!$G$4:$G$1053,'сентябрь 2023'!$D$4:$D$1053,$B116,'сентябрь 2023'!$J$4:$J$1053,X$1)</f>
        <v>0</v>
      </c>
      <c r="Y116" s="207">
        <f>SUMIFS('сентябрь 2023'!$G$4:$G$1053,'сентябрь 2023'!$D$4:$D$1053,$B116,'сентябрь 2023'!$J$4:$J$1053,Y$1)</f>
        <v>0</v>
      </c>
      <c r="Z116" s="207">
        <f>SUMIFS('сентябрь 2023'!$G$4:$G$1053,'сентябрь 2023'!$D$4:$D$1053,$B116,'сентябрь 2023'!$J$4:$J$1053,Z$1)</f>
        <v>0</v>
      </c>
      <c r="AA116" s="207">
        <f>SUMIFS('сентябрь 2023'!$G$4:$G$1053,'сентябрь 2023'!$D$4:$D$1053,$B116,'сентябрь 2023'!$J$4:$J$1053,AA$1)</f>
        <v>0</v>
      </c>
      <c r="AB116" s="207">
        <f>SUMIFS('сентябрь 2023'!$G$4:$G$1053,'сентябрь 2023'!$D$4:$D$1053,$B116,'сентябрь 2023'!$J$4:$J$1053,AB$1)</f>
        <v>0</v>
      </c>
      <c r="AC116" s="207">
        <f>SUMIFS('сентябрь 2023'!$G$4:$G$1053,'сентябрь 2023'!$D$4:$D$1053,$B116,'сентябрь 2023'!$J$4:$J$1053,AC$1)</f>
        <v>0</v>
      </c>
      <c r="AD116" s="207">
        <f>SUMIFS('сентябрь 2023'!$G$4:$G$1053,'сентябрь 2023'!$D$4:$D$1053,$B116,'сентябрь 2023'!$J$4:$J$1053,AD$1)</f>
        <v>0</v>
      </c>
      <c r="AE116" s="207">
        <f>SUMIFS('сентябрь 2023'!$G$4:$G$1053,'сентябрь 2023'!$D$4:$D$1053,$B116,'сентябрь 2023'!$J$4:$J$1053,AE$1)</f>
        <v>0</v>
      </c>
      <c r="AF116" s="207">
        <f>SUMIFS('сентябрь 2023'!$G$4:$G$1053,'сентябрь 2023'!$D$4:$D$1053,$B116,'сентябрь 2023'!$J$4:$J$1053,AF$1)</f>
        <v>0</v>
      </c>
      <c r="AG116" s="207">
        <f>SUMIFS('сентябрь 2023'!$G$4:$G$1053,'сентябрь 2023'!$D$4:$D$1053,$B116,'сентябрь 2023'!$J$4:$J$1053,AG$1)</f>
        <v>0</v>
      </c>
      <c r="AH116" s="207">
        <f>SUMIFS('сентябрь 2023'!$G$4:$G$1053,'сентябрь 2023'!$D$4:$D$1053,$B116,'сентябрь 2023'!$J$4:$J$1053,AH$1)</f>
        <v>0</v>
      </c>
      <c r="AI116" s="170">
        <f t="shared" si="3"/>
        <v>0</v>
      </c>
    </row>
    <row r="117" spans="2:35" ht="15" customHeight="1" x14ac:dyDescent="0.25">
      <c r="B117" s="212"/>
      <c r="C117" s="211"/>
      <c r="D117" s="207">
        <f>SUMIFS('сентябрь 2023'!$G$4:$G$1053,'сентябрь 2023'!$D$4:$D$1053,$B117,'сентябрь 2023'!$J$4:$J$1053,D$1)</f>
        <v>0</v>
      </c>
      <c r="E117" s="207">
        <f>SUMIFS('сентябрь 2023'!$G$4:$G$1053,'сентябрь 2023'!$D$4:$D$1053,$B117,'сентябрь 2023'!$J$4:$J$1053,E$1)</f>
        <v>0</v>
      </c>
      <c r="F117" s="207">
        <f>SUMIFS('сентябрь 2023'!$G$4:$G$1053,'сентябрь 2023'!$D$4:$D$1053,$B117,'сентябрь 2023'!$J$4:$J$1053,F$1)</f>
        <v>0</v>
      </c>
      <c r="G117" s="207">
        <f>SUMIFS('сентябрь 2023'!$G$4:$G$1053,'сентябрь 2023'!$D$4:$D$1053,$B117,'сентябрь 2023'!$J$4:$J$1053,G$1)</f>
        <v>0</v>
      </c>
      <c r="H117" s="207">
        <f>SUMIFS('сентябрь 2023'!$G$4:$G$1053,'сентябрь 2023'!$D$4:$D$1053,$B117,'сентябрь 2023'!$J$4:$J$1053,H$1)</f>
        <v>0</v>
      </c>
      <c r="I117" s="207">
        <f>SUMIFS('сентябрь 2023'!$G$4:$G$1053,'сентябрь 2023'!$D$4:$D$1053,$B117,'сентябрь 2023'!$J$4:$J$1053,I$1)</f>
        <v>0</v>
      </c>
      <c r="J117" s="207">
        <f>SUMIFS('сентябрь 2023'!$G$4:$G$1053,'сентябрь 2023'!$D$4:$D$1053,$B117,'сентябрь 2023'!$J$4:$J$1053,J$1)</f>
        <v>0</v>
      </c>
      <c r="K117" s="207">
        <f>SUMIFS('сентябрь 2023'!$G$4:$G$1053,'сентябрь 2023'!$D$4:$D$1053,$B117,'сентябрь 2023'!$J$4:$J$1053,K$1)</f>
        <v>0</v>
      </c>
      <c r="L117" s="207">
        <f>SUMIFS('сентябрь 2023'!$G$4:$G$1053,'сентябрь 2023'!$D$4:$D$1053,$B117,'сентябрь 2023'!$J$4:$J$1053,L$1)</f>
        <v>0</v>
      </c>
      <c r="M117" s="207">
        <f>SUMIFS('сентябрь 2023'!$G$4:$G$1053,'сентябрь 2023'!$D$4:$D$1053,$B117,'сентябрь 2023'!$J$4:$J$1053,M$1)</f>
        <v>0</v>
      </c>
      <c r="N117" s="207">
        <f>SUMIFS('сентябрь 2023'!$G$4:$G$1053,'сентябрь 2023'!$D$4:$D$1053,$B117,'сентябрь 2023'!$J$4:$J$1053,N$1)</f>
        <v>0</v>
      </c>
      <c r="O117" s="207">
        <f>SUMIFS('сентябрь 2023'!$G$4:$G$1053,'сентябрь 2023'!$D$4:$D$1053,$B117,'сентябрь 2023'!$J$4:$J$1053,O$1)</f>
        <v>0</v>
      </c>
      <c r="P117" s="207">
        <f>SUMIFS('сентябрь 2023'!$G$4:$G$1053,'сентябрь 2023'!$D$4:$D$1053,$B117,'сентябрь 2023'!$J$4:$J$1053,P$1)</f>
        <v>0</v>
      </c>
      <c r="Q117" s="207">
        <f>SUMIFS('сентябрь 2023'!$G$4:$G$1053,'сентябрь 2023'!$D$4:$D$1053,$B117,'сентябрь 2023'!$J$4:$J$1053,Q$1)</f>
        <v>0</v>
      </c>
      <c r="R117" s="207">
        <f>SUMIFS('сентябрь 2023'!$G$4:$G$1053,'сентябрь 2023'!$D$4:$D$1053,$B117,'сентябрь 2023'!$J$4:$J$1053,R$1)</f>
        <v>0</v>
      </c>
      <c r="S117" s="207">
        <f>SUMIFS('сентябрь 2023'!$G$4:$G$1053,'сентябрь 2023'!$D$4:$D$1053,$B117,'сентябрь 2023'!$J$4:$J$1053,S$1)</f>
        <v>0</v>
      </c>
      <c r="T117" s="207">
        <f>SUMIFS('сентябрь 2023'!$G$4:$G$1053,'сентябрь 2023'!$D$4:$D$1053,$B117,'сентябрь 2023'!$J$4:$J$1053,T$1)</f>
        <v>0</v>
      </c>
      <c r="U117" s="207">
        <f>SUMIFS('сентябрь 2023'!$G$4:$G$1053,'сентябрь 2023'!$D$4:$D$1053,$B117,'сентябрь 2023'!$J$4:$J$1053,U$1)</f>
        <v>0</v>
      </c>
      <c r="V117" s="207">
        <f>SUMIFS('сентябрь 2023'!$G$4:$G$1053,'сентябрь 2023'!$D$4:$D$1053,$B117,'сентябрь 2023'!$J$4:$J$1053,V$1)</f>
        <v>0</v>
      </c>
      <c r="W117" s="207">
        <f>SUMIFS('сентябрь 2023'!$G$4:$G$1053,'сентябрь 2023'!$D$4:$D$1053,$B117,'сентябрь 2023'!$J$4:$J$1053,W$1)</f>
        <v>0</v>
      </c>
      <c r="X117" s="207">
        <f>SUMIFS('сентябрь 2023'!$G$4:$G$1053,'сентябрь 2023'!$D$4:$D$1053,$B117,'сентябрь 2023'!$J$4:$J$1053,X$1)</f>
        <v>0</v>
      </c>
      <c r="Y117" s="207">
        <f>SUMIFS('сентябрь 2023'!$G$4:$G$1053,'сентябрь 2023'!$D$4:$D$1053,$B117,'сентябрь 2023'!$J$4:$J$1053,Y$1)</f>
        <v>0</v>
      </c>
      <c r="Z117" s="207">
        <f>SUMIFS('сентябрь 2023'!$G$4:$G$1053,'сентябрь 2023'!$D$4:$D$1053,$B117,'сентябрь 2023'!$J$4:$J$1053,Z$1)</f>
        <v>0</v>
      </c>
      <c r="AA117" s="207">
        <f>SUMIFS('сентябрь 2023'!$G$4:$G$1053,'сентябрь 2023'!$D$4:$D$1053,$B117,'сентябрь 2023'!$J$4:$J$1053,AA$1)</f>
        <v>0</v>
      </c>
      <c r="AB117" s="207">
        <f>SUMIFS('сентябрь 2023'!$G$4:$G$1053,'сентябрь 2023'!$D$4:$D$1053,$B117,'сентябрь 2023'!$J$4:$J$1053,AB$1)</f>
        <v>0</v>
      </c>
      <c r="AC117" s="207">
        <f>SUMIFS('сентябрь 2023'!$G$4:$G$1053,'сентябрь 2023'!$D$4:$D$1053,$B117,'сентябрь 2023'!$J$4:$J$1053,AC$1)</f>
        <v>0</v>
      </c>
      <c r="AD117" s="207">
        <f>SUMIFS('сентябрь 2023'!$G$4:$G$1053,'сентябрь 2023'!$D$4:$D$1053,$B117,'сентябрь 2023'!$J$4:$J$1053,AD$1)</f>
        <v>0</v>
      </c>
      <c r="AE117" s="207">
        <f>SUMIFS('сентябрь 2023'!$G$4:$G$1053,'сентябрь 2023'!$D$4:$D$1053,$B117,'сентябрь 2023'!$J$4:$J$1053,AE$1)</f>
        <v>0</v>
      </c>
      <c r="AF117" s="207">
        <f>SUMIFS('сентябрь 2023'!$G$4:$G$1053,'сентябрь 2023'!$D$4:$D$1053,$B117,'сентябрь 2023'!$J$4:$J$1053,AF$1)</f>
        <v>0</v>
      </c>
      <c r="AG117" s="207">
        <f>SUMIFS('сентябрь 2023'!$G$4:$G$1053,'сентябрь 2023'!$D$4:$D$1053,$B117,'сентябрь 2023'!$J$4:$J$1053,AG$1)</f>
        <v>0</v>
      </c>
      <c r="AH117" s="207">
        <f>SUMIFS('сентябрь 2023'!$G$4:$G$1053,'сентябрь 2023'!$D$4:$D$1053,$B117,'сентябрь 2023'!$J$4:$J$1053,AH$1)</f>
        <v>0</v>
      </c>
      <c r="AI117" s="170">
        <f t="shared" si="3"/>
        <v>0</v>
      </c>
    </row>
    <row r="118" spans="2:35" ht="15" customHeight="1" x14ac:dyDescent="0.25">
      <c r="B118" s="212"/>
      <c r="C118" s="213"/>
      <c r="D118" s="207">
        <f>SUMIFS('сентябрь 2023'!$G$4:$G$1053,'сентябрь 2023'!$D$4:$D$1053,$B118,'сентябрь 2023'!$J$4:$J$1053,D$1)</f>
        <v>0</v>
      </c>
      <c r="E118" s="207">
        <f>SUMIFS('сентябрь 2023'!$G$4:$G$1053,'сентябрь 2023'!$D$4:$D$1053,$B118,'сентябрь 2023'!$J$4:$J$1053,E$1)</f>
        <v>0</v>
      </c>
      <c r="F118" s="207">
        <f>SUMIFS('сентябрь 2023'!$G$4:$G$1053,'сентябрь 2023'!$D$4:$D$1053,$B118,'сентябрь 2023'!$J$4:$J$1053,F$1)</f>
        <v>0</v>
      </c>
      <c r="G118" s="207">
        <f>SUMIFS('сентябрь 2023'!$G$4:$G$1053,'сентябрь 2023'!$D$4:$D$1053,$B118,'сентябрь 2023'!$J$4:$J$1053,G$1)</f>
        <v>0</v>
      </c>
      <c r="H118" s="207">
        <f>SUMIFS('сентябрь 2023'!$G$4:$G$1053,'сентябрь 2023'!$D$4:$D$1053,$B118,'сентябрь 2023'!$J$4:$J$1053,H$1)</f>
        <v>0</v>
      </c>
      <c r="I118" s="207">
        <f>SUMIFS('сентябрь 2023'!$G$4:$G$1053,'сентябрь 2023'!$D$4:$D$1053,$B118,'сентябрь 2023'!$J$4:$J$1053,I$1)</f>
        <v>0</v>
      </c>
      <c r="J118" s="207">
        <f>SUMIFS('сентябрь 2023'!$G$4:$G$1053,'сентябрь 2023'!$D$4:$D$1053,$B118,'сентябрь 2023'!$J$4:$J$1053,J$1)</f>
        <v>0</v>
      </c>
      <c r="K118" s="207">
        <f>SUMIFS('сентябрь 2023'!$G$4:$G$1053,'сентябрь 2023'!$D$4:$D$1053,$B118,'сентябрь 2023'!$J$4:$J$1053,K$1)</f>
        <v>0</v>
      </c>
      <c r="L118" s="207">
        <f>SUMIFS('сентябрь 2023'!$G$4:$G$1053,'сентябрь 2023'!$D$4:$D$1053,$B118,'сентябрь 2023'!$J$4:$J$1053,L$1)</f>
        <v>0</v>
      </c>
      <c r="M118" s="207">
        <f>SUMIFS('сентябрь 2023'!$G$4:$G$1053,'сентябрь 2023'!$D$4:$D$1053,$B118,'сентябрь 2023'!$J$4:$J$1053,M$1)</f>
        <v>0</v>
      </c>
      <c r="N118" s="207">
        <f>SUMIFS('сентябрь 2023'!$G$4:$G$1053,'сентябрь 2023'!$D$4:$D$1053,$B118,'сентябрь 2023'!$J$4:$J$1053,N$1)</f>
        <v>0</v>
      </c>
      <c r="O118" s="207">
        <f>SUMIFS('сентябрь 2023'!$G$4:$G$1053,'сентябрь 2023'!$D$4:$D$1053,$B118,'сентябрь 2023'!$J$4:$J$1053,O$1)</f>
        <v>0</v>
      </c>
      <c r="P118" s="207">
        <f>SUMIFS('сентябрь 2023'!$G$4:$G$1053,'сентябрь 2023'!$D$4:$D$1053,$B118,'сентябрь 2023'!$J$4:$J$1053,P$1)</f>
        <v>0</v>
      </c>
      <c r="Q118" s="207">
        <f>SUMIFS('сентябрь 2023'!$G$4:$G$1053,'сентябрь 2023'!$D$4:$D$1053,$B118,'сентябрь 2023'!$J$4:$J$1053,Q$1)</f>
        <v>0</v>
      </c>
      <c r="R118" s="207">
        <f>SUMIFS('сентябрь 2023'!$G$4:$G$1053,'сентябрь 2023'!$D$4:$D$1053,$B118,'сентябрь 2023'!$J$4:$J$1053,R$1)</f>
        <v>0</v>
      </c>
      <c r="S118" s="207">
        <f>SUMIFS('сентябрь 2023'!$G$4:$G$1053,'сентябрь 2023'!$D$4:$D$1053,$B118,'сентябрь 2023'!$J$4:$J$1053,S$1)</f>
        <v>0</v>
      </c>
      <c r="T118" s="207">
        <f>SUMIFS('сентябрь 2023'!$G$4:$G$1053,'сентябрь 2023'!$D$4:$D$1053,$B118,'сентябрь 2023'!$J$4:$J$1053,T$1)</f>
        <v>0</v>
      </c>
      <c r="U118" s="207">
        <f>SUMIFS('сентябрь 2023'!$G$4:$G$1053,'сентябрь 2023'!$D$4:$D$1053,$B118,'сентябрь 2023'!$J$4:$J$1053,U$1)</f>
        <v>0</v>
      </c>
      <c r="V118" s="207">
        <f>SUMIFS('сентябрь 2023'!$G$4:$G$1053,'сентябрь 2023'!$D$4:$D$1053,$B118,'сентябрь 2023'!$J$4:$J$1053,V$1)</f>
        <v>0</v>
      </c>
      <c r="W118" s="207">
        <f>SUMIFS('сентябрь 2023'!$G$4:$G$1053,'сентябрь 2023'!$D$4:$D$1053,$B118,'сентябрь 2023'!$J$4:$J$1053,W$1)</f>
        <v>0</v>
      </c>
      <c r="X118" s="207">
        <f>SUMIFS('сентябрь 2023'!$G$4:$G$1053,'сентябрь 2023'!$D$4:$D$1053,$B118,'сентябрь 2023'!$J$4:$J$1053,X$1)</f>
        <v>0</v>
      </c>
      <c r="Y118" s="207">
        <f>SUMIFS('сентябрь 2023'!$G$4:$G$1053,'сентябрь 2023'!$D$4:$D$1053,$B118,'сентябрь 2023'!$J$4:$J$1053,Y$1)</f>
        <v>0</v>
      </c>
      <c r="Z118" s="207">
        <f>SUMIFS('сентябрь 2023'!$G$4:$G$1053,'сентябрь 2023'!$D$4:$D$1053,$B118,'сентябрь 2023'!$J$4:$J$1053,Z$1)</f>
        <v>0</v>
      </c>
      <c r="AA118" s="207">
        <f>SUMIFS('сентябрь 2023'!$G$4:$G$1053,'сентябрь 2023'!$D$4:$D$1053,$B118,'сентябрь 2023'!$J$4:$J$1053,AA$1)</f>
        <v>0</v>
      </c>
      <c r="AB118" s="207">
        <f>SUMIFS('сентябрь 2023'!$G$4:$G$1053,'сентябрь 2023'!$D$4:$D$1053,$B118,'сентябрь 2023'!$J$4:$J$1053,AB$1)</f>
        <v>0</v>
      </c>
      <c r="AC118" s="207">
        <f>SUMIFS('сентябрь 2023'!$G$4:$G$1053,'сентябрь 2023'!$D$4:$D$1053,$B118,'сентябрь 2023'!$J$4:$J$1053,AC$1)</f>
        <v>0</v>
      </c>
      <c r="AD118" s="207">
        <f>SUMIFS('сентябрь 2023'!$G$4:$G$1053,'сентябрь 2023'!$D$4:$D$1053,$B118,'сентябрь 2023'!$J$4:$J$1053,AD$1)</f>
        <v>0</v>
      </c>
      <c r="AE118" s="207">
        <f>SUMIFS('сентябрь 2023'!$G$4:$G$1053,'сентябрь 2023'!$D$4:$D$1053,$B118,'сентябрь 2023'!$J$4:$J$1053,AE$1)</f>
        <v>0</v>
      </c>
      <c r="AF118" s="207">
        <f>SUMIFS('сентябрь 2023'!$G$4:$G$1053,'сентябрь 2023'!$D$4:$D$1053,$B118,'сентябрь 2023'!$J$4:$J$1053,AF$1)</f>
        <v>0</v>
      </c>
      <c r="AG118" s="207">
        <f>SUMIFS('сентябрь 2023'!$G$4:$G$1053,'сентябрь 2023'!$D$4:$D$1053,$B118,'сентябрь 2023'!$J$4:$J$1053,AG$1)</f>
        <v>0</v>
      </c>
      <c r="AH118" s="207">
        <f>SUMIFS('сентябрь 2023'!$G$4:$G$1053,'сентябрь 2023'!$D$4:$D$1053,$B118,'сентябрь 2023'!$J$4:$J$1053,AH$1)</f>
        <v>0</v>
      </c>
      <c r="AI118" s="170">
        <f t="shared" si="3"/>
        <v>0</v>
      </c>
    </row>
    <row r="119" spans="2:35" ht="15" customHeight="1" x14ac:dyDescent="0.25">
      <c r="B119" s="216"/>
      <c r="C119" s="213"/>
      <c r="D119" s="207">
        <f>SUMIFS('сентябрь 2023'!$G$4:$G$1053,'сентябрь 2023'!$D$4:$D$1053,$B119,'сентябрь 2023'!$J$4:$J$1053,D$1)</f>
        <v>0</v>
      </c>
      <c r="E119" s="207">
        <f>SUMIFS('сентябрь 2023'!$G$4:$G$1053,'сентябрь 2023'!$D$4:$D$1053,$B119,'сентябрь 2023'!$J$4:$J$1053,E$1)</f>
        <v>0</v>
      </c>
      <c r="F119" s="207">
        <f>SUMIFS('сентябрь 2023'!$G$4:$G$1053,'сентябрь 2023'!$D$4:$D$1053,$B119,'сентябрь 2023'!$J$4:$J$1053,F$1)</f>
        <v>0</v>
      </c>
      <c r="G119" s="207">
        <f>SUMIFS('сентябрь 2023'!$G$4:$G$1053,'сентябрь 2023'!$D$4:$D$1053,$B119,'сентябрь 2023'!$J$4:$J$1053,G$1)</f>
        <v>0</v>
      </c>
      <c r="H119" s="207">
        <f>SUMIFS('сентябрь 2023'!$G$4:$G$1053,'сентябрь 2023'!$D$4:$D$1053,$B119,'сентябрь 2023'!$J$4:$J$1053,H$1)</f>
        <v>0</v>
      </c>
      <c r="I119" s="207">
        <f>SUMIFS('сентябрь 2023'!$G$4:$G$1053,'сентябрь 2023'!$D$4:$D$1053,$B119,'сентябрь 2023'!$J$4:$J$1053,I$1)</f>
        <v>0</v>
      </c>
      <c r="J119" s="207">
        <f>SUMIFS('сентябрь 2023'!$G$4:$G$1053,'сентябрь 2023'!$D$4:$D$1053,$B119,'сентябрь 2023'!$J$4:$J$1053,J$1)</f>
        <v>0</v>
      </c>
      <c r="K119" s="207">
        <f>SUMIFS('сентябрь 2023'!$G$4:$G$1053,'сентябрь 2023'!$D$4:$D$1053,$B119,'сентябрь 2023'!$J$4:$J$1053,K$1)</f>
        <v>0</v>
      </c>
      <c r="L119" s="207">
        <f>SUMIFS('сентябрь 2023'!$G$4:$G$1053,'сентябрь 2023'!$D$4:$D$1053,$B119,'сентябрь 2023'!$J$4:$J$1053,L$1)</f>
        <v>0</v>
      </c>
      <c r="M119" s="207">
        <f>SUMIFS('сентябрь 2023'!$G$4:$G$1053,'сентябрь 2023'!$D$4:$D$1053,$B119,'сентябрь 2023'!$J$4:$J$1053,M$1)</f>
        <v>0</v>
      </c>
      <c r="N119" s="207">
        <f>SUMIFS('сентябрь 2023'!$G$4:$G$1053,'сентябрь 2023'!$D$4:$D$1053,$B119,'сентябрь 2023'!$J$4:$J$1053,N$1)</f>
        <v>0</v>
      </c>
      <c r="O119" s="207">
        <f>SUMIFS('сентябрь 2023'!$G$4:$G$1053,'сентябрь 2023'!$D$4:$D$1053,$B119,'сентябрь 2023'!$J$4:$J$1053,O$1)</f>
        <v>0</v>
      </c>
      <c r="P119" s="207">
        <f>SUMIFS('сентябрь 2023'!$G$4:$G$1053,'сентябрь 2023'!$D$4:$D$1053,$B119,'сентябрь 2023'!$J$4:$J$1053,P$1)</f>
        <v>0</v>
      </c>
      <c r="Q119" s="207">
        <f>SUMIFS('сентябрь 2023'!$G$4:$G$1053,'сентябрь 2023'!$D$4:$D$1053,$B119,'сентябрь 2023'!$J$4:$J$1053,Q$1)</f>
        <v>0</v>
      </c>
      <c r="R119" s="207">
        <f>SUMIFS('сентябрь 2023'!$G$4:$G$1053,'сентябрь 2023'!$D$4:$D$1053,$B119,'сентябрь 2023'!$J$4:$J$1053,R$1)</f>
        <v>0</v>
      </c>
      <c r="S119" s="207">
        <f>SUMIFS('сентябрь 2023'!$G$4:$G$1053,'сентябрь 2023'!$D$4:$D$1053,$B119,'сентябрь 2023'!$J$4:$J$1053,S$1)</f>
        <v>0</v>
      </c>
      <c r="T119" s="207">
        <f>SUMIFS('сентябрь 2023'!$G$4:$G$1053,'сентябрь 2023'!$D$4:$D$1053,$B119,'сентябрь 2023'!$J$4:$J$1053,T$1)</f>
        <v>0</v>
      </c>
      <c r="U119" s="207">
        <f>SUMIFS('сентябрь 2023'!$G$4:$G$1053,'сентябрь 2023'!$D$4:$D$1053,$B119,'сентябрь 2023'!$J$4:$J$1053,U$1)</f>
        <v>0</v>
      </c>
      <c r="V119" s="207">
        <f>SUMIFS('сентябрь 2023'!$G$4:$G$1053,'сентябрь 2023'!$D$4:$D$1053,$B119,'сентябрь 2023'!$J$4:$J$1053,V$1)</f>
        <v>0</v>
      </c>
      <c r="W119" s="207">
        <f>SUMIFS('сентябрь 2023'!$G$4:$G$1053,'сентябрь 2023'!$D$4:$D$1053,$B119,'сентябрь 2023'!$J$4:$J$1053,W$1)</f>
        <v>0</v>
      </c>
      <c r="X119" s="207">
        <f>SUMIFS('сентябрь 2023'!$G$4:$G$1053,'сентябрь 2023'!$D$4:$D$1053,$B119,'сентябрь 2023'!$J$4:$J$1053,X$1)</f>
        <v>0</v>
      </c>
      <c r="Y119" s="207">
        <f>SUMIFS('сентябрь 2023'!$G$4:$G$1053,'сентябрь 2023'!$D$4:$D$1053,$B119,'сентябрь 2023'!$J$4:$J$1053,Y$1)</f>
        <v>0</v>
      </c>
      <c r="Z119" s="207">
        <f>SUMIFS('сентябрь 2023'!$G$4:$G$1053,'сентябрь 2023'!$D$4:$D$1053,$B119,'сентябрь 2023'!$J$4:$J$1053,Z$1)</f>
        <v>0</v>
      </c>
      <c r="AA119" s="207">
        <f>SUMIFS('сентябрь 2023'!$G$4:$G$1053,'сентябрь 2023'!$D$4:$D$1053,$B119,'сентябрь 2023'!$J$4:$J$1053,AA$1)</f>
        <v>0</v>
      </c>
      <c r="AB119" s="207">
        <f>SUMIFS('сентябрь 2023'!$G$4:$G$1053,'сентябрь 2023'!$D$4:$D$1053,$B119,'сентябрь 2023'!$J$4:$J$1053,AB$1)</f>
        <v>0</v>
      </c>
      <c r="AC119" s="207">
        <f>SUMIFS('сентябрь 2023'!$G$4:$G$1053,'сентябрь 2023'!$D$4:$D$1053,$B119,'сентябрь 2023'!$J$4:$J$1053,AC$1)</f>
        <v>0</v>
      </c>
      <c r="AD119" s="207">
        <f>SUMIFS('сентябрь 2023'!$G$4:$G$1053,'сентябрь 2023'!$D$4:$D$1053,$B119,'сентябрь 2023'!$J$4:$J$1053,AD$1)</f>
        <v>0</v>
      </c>
      <c r="AE119" s="207">
        <f>SUMIFS('сентябрь 2023'!$G$4:$G$1053,'сентябрь 2023'!$D$4:$D$1053,$B119,'сентябрь 2023'!$J$4:$J$1053,AE$1)</f>
        <v>0</v>
      </c>
      <c r="AF119" s="207">
        <f>SUMIFS('сентябрь 2023'!$G$4:$G$1053,'сентябрь 2023'!$D$4:$D$1053,$B119,'сентябрь 2023'!$J$4:$J$1053,AF$1)</f>
        <v>0</v>
      </c>
      <c r="AG119" s="207">
        <f>SUMIFS('сентябрь 2023'!$G$4:$G$1053,'сентябрь 2023'!$D$4:$D$1053,$B119,'сентябрь 2023'!$J$4:$J$1053,AG$1)</f>
        <v>0</v>
      </c>
      <c r="AH119" s="207">
        <f>SUMIFS('сентябрь 2023'!$G$4:$G$1053,'сентябрь 2023'!$D$4:$D$1053,$B119,'сентябрь 2023'!$J$4:$J$1053,AH$1)</f>
        <v>0</v>
      </c>
      <c r="AI119" s="170">
        <f t="shared" si="3"/>
        <v>0</v>
      </c>
    </row>
    <row r="120" spans="2:35" ht="15" customHeight="1" x14ac:dyDescent="0.25">
      <c r="B120" s="212"/>
      <c r="C120" s="211"/>
      <c r="D120" s="207">
        <f>SUMIFS('сентябрь 2023'!$G$4:$G$1053,'сентябрь 2023'!$D$4:$D$1053,$B120,'сентябрь 2023'!$J$4:$J$1053,D$1)</f>
        <v>0</v>
      </c>
      <c r="E120" s="207">
        <f>SUMIFS('сентябрь 2023'!$G$4:$G$1053,'сентябрь 2023'!$D$4:$D$1053,$B120,'сентябрь 2023'!$J$4:$J$1053,E$1)</f>
        <v>0</v>
      </c>
      <c r="F120" s="207">
        <f>SUMIFS('сентябрь 2023'!$G$4:$G$1053,'сентябрь 2023'!$D$4:$D$1053,$B120,'сентябрь 2023'!$J$4:$J$1053,F$1)</f>
        <v>0</v>
      </c>
      <c r="G120" s="207">
        <f>SUMIFS('сентябрь 2023'!$G$4:$G$1053,'сентябрь 2023'!$D$4:$D$1053,$B120,'сентябрь 2023'!$J$4:$J$1053,G$1)</f>
        <v>0</v>
      </c>
      <c r="H120" s="207">
        <f>SUMIFS('сентябрь 2023'!$G$4:$G$1053,'сентябрь 2023'!$D$4:$D$1053,$B120,'сентябрь 2023'!$J$4:$J$1053,H$1)</f>
        <v>0</v>
      </c>
      <c r="I120" s="207">
        <f>SUMIFS('сентябрь 2023'!$G$4:$G$1053,'сентябрь 2023'!$D$4:$D$1053,$B120,'сентябрь 2023'!$J$4:$J$1053,I$1)</f>
        <v>0</v>
      </c>
      <c r="J120" s="207">
        <f>SUMIFS('сентябрь 2023'!$G$4:$G$1053,'сентябрь 2023'!$D$4:$D$1053,$B120,'сентябрь 2023'!$J$4:$J$1053,J$1)</f>
        <v>0</v>
      </c>
      <c r="K120" s="207">
        <f>SUMIFS('сентябрь 2023'!$G$4:$G$1053,'сентябрь 2023'!$D$4:$D$1053,$B120,'сентябрь 2023'!$J$4:$J$1053,K$1)</f>
        <v>0</v>
      </c>
      <c r="L120" s="207">
        <f>SUMIFS('сентябрь 2023'!$G$4:$G$1053,'сентябрь 2023'!$D$4:$D$1053,$B120,'сентябрь 2023'!$J$4:$J$1053,L$1)</f>
        <v>0</v>
      </c>
      <c r="M120" s="207">
        <f>SUMIFS('сентябрь 2023'!$G$4:$G$1053,'сентябрь 2023'!$D$4:$D$1053,$B120,'сентябрь 2023'!$J$4:$J$1053,M$1)</f>
        <v>0</v>
      </c>
      <c r="N120" s="207">
        <f>SUMIFS('сентябрь 2023'!$G$4:$G$1053,'сентябрь 2023'!$D$4:$D$1053,$B120,'сентябрь 2023'!$J$4:$J$1053,N$1)</f>
        <v>0</v>
      </c>
      <c r="O120" s="207">
        <f>SUMIFS('сентябрь 2023'!$G$4:$G$1053,'сентябрь 2023'!$D$4:$D$1053,$B120,'сентябрь 2023'!$J$4:$J$1053,O$1)</f>
        <v>0</v>
      </c>
      <c r="P120" s="207">
        <f>SUMIFS('сентябрь 2023'!$G$4:$G$1053,'сентябрь 2023'!$D$4:$D$1053,$B120,'сентябрь 2023'!$J$4:$J$1053,P$1)</f>
        <v>0</v>
      </c>
      <c r="Q120" s="207">
        <f>SUMIFS('сентябрь 2023'!$G$4:$G$1053,'сентябрь 2023'!$D$4:$D$1053,$B120,'сентябрь 2023'!$J$4:$J$1053,Q$1)</f>
        <v>0</v>
      </c>
      <c r="R120" s="207">
        <f>SUMIFS('сентябрь 2023'!$G$4:$G$1053,'сентябрь 2023'!$D$4:$D$1053,$B120,'сентябрь 2023'!$J$4:$J$1053,R$1)</f>
        <v>0</v>
      </c>
      <c r="S120" s="207">
        <f>SUMIFS('сентябрь 2023'!$G$4:$G$1053,'сентябрь 2023'!$D$4:$D$1053,$B120,'сентябрь 2023'!$J$4:$J$1053,S$1)</f>
        <v>0</v>
      </c>
      <c r="T120" s="207">
        <f>SUMIFS('сентябрь 2023'!$G$4:$G$1053,'сентябрь 2023'!$D$4:$D$1053,$B120,'сентябрь 2023'!$J$4:$J$1053,T$1)</f>
        <v>0</v>
      </c>
      <c r="U120" s="207">
        <f>SUMIFS('сентябрь 2023'!$G$4:$G$1053,'сентябрь 2023'!$D$4:$D$1053,$B120,'сентябрь 2023'!$J$4:$J$1053,U$1)</f>
        <v>0</v>
      </c>
      <c r="V120" s="207">
        <f>SUMIFS('сентябрь 2023'!$G$4:$G$1053,'сентябрь 2023'!$D$4:$D$1053,$B120,'сентябрь 2023'!$J$4:$J$1053,V$1)</f>
        <v>0</v>
      </c>
      <c r="W120" s="207">
        <f>SUMIFS('сентябрь 2023'!$G$4:$G$1053,'сентябрь 2023'!$D$4:$D$1053,$B120,'сентябрь 2023'!$J$4:$J$1053,W$1)</f>
        <v>0</v>
      </c>
      <c r="X120" s="207">
        <f>SUMIFS('сентябрь 2023'!$G$4:$G$1053,'сентябрь 2023'!$D$4:$D$1053,$B120,'сентябрь 2023'!$J$4:$J$1053,X$1)</f>
        <v>0</v>
      </c>
      <c r="Y120" s="207">
        <f>SUMIFS('сентябрь 2023'!$G$4:$G$1053,'сентябрь 2023'!$D$4:$D$1053,$B120,'сентябрь 2023'!$J$4:$J$1053,Y$1)</f>
        <v>0</v>
      </c>
      <c r="Z120" s="207">
        <f>SUMIFS('сентябрь 2023'!$G$4:$G$1053,'сентябрь 2023'!$D$4:$D$1053,$B120,'сентябрь 2023'!$J$4:$J$1053,Z$1)</f>
        <v>0</v>
      </c>
      <c r="AA120" s="207">
        <f>SUMIFS('сентябрь 2023'!$G$4:$G$1053,'сентябрь 2023'!$D$4:$D$1053,$B120,'сентябрь 2023'!$J$4:$J$1053,AA$1)</f>
        <v>0</v>
      </c>
      <c r="AB120" s="207">
        <f>SUMIFS('сентябрь 2023'!$G$4:$G$1053,'сентябрь 2023'!$D$4:$D$1053,$B120,'сентябрь 2023'!$J$4:$J$1053,AB$1)</f>
        <v>0</v>
      </c>
      <c r="AC120" s="207">
        <f>SUMIFS('сентябрь 2023'!$G$4:$G$1053,'сентябрь 2023'!$D$4:$D$1053,$B120,'сентябрь 2023'!$J$4:$J$1053,AC$1)</f>
        <v>0</v>
      </c>
      <c r="AD120" s="207">
        <f>SUMIFS('сентябрь 2023'!$G$4:$G$1053,'сентябрь 2023'!$D$4:$D$1053,$B120,'сентябрь 2023'!$J$4:$J$1053,AD$1)</f>
        <v>0</v>
      </c>
      <c r="AE120" s="207">
        <f>SUMIFS('сентябрь 2023'!$G$4:$G$1053,'сентябрь 2023'!$D$4:$D$1053,$B120,'сентябрь 2023'!$J$4:$J$1053,AE$1)</f>
        <v>0</v>
      </c>
      <c r="AF120" s="207">
        <f>SUMIFS('сентябрь 2023'!$G$4:$G$1053,'сентябрь 2023'!$D$4:$D$1053,$B120,'сентябрь 2023'!$J$4:$J$1053,AF$1)</f>
        <v>0</v>
      </c>
      <c r="AG120" s="207">
        <f>SUMIFS('сентябрь 2023'!$G$4:$G$1053,'сентябрь 2023'!$D$4:$D$1053,$B120,'сентябрь 2023'!$J$4:$J$1053,AG$1)</f>
        <v>0</v>
      </c>
      <c r="AH120" s="207">
        <f>SUMIFS('сентябрь 2023'!$G$4:$G$1053,'сентябрь 2023'!$D$4:$D$1053,$B120,'сентябрь 2023'!$J$4:$J$1053,AH$1)</f>
        <v>0</v>
      </c>
      <c r="AI120" s="170">
        <f t="shared" si="3"/>
        <v>0</v>
      </c>
    </row>
    <row r="121" spans="2:35" ht="15" customHeight="1" x14ac:dyDescent="0.25">
      <c r="B121" s="212"/>
      <c r="C121" s="211"/>
      <c r="D121" s="207">
        <f>SUMIFS('сентябрь 2023'!$G$4:$G$1053,'сентябрь 2023'!$D$4:$D$1053,$B121,'сентябрь 2023'!$J$4:$J$1053,D$1)</f>
        <v>0</v>
      </c>
      <c r="E121" s="207">
        <f>SUMIFS('сентябрь 2023'!$G$4:$G$1053,'сентябрь 2023'!$D$4:$D$1053,$B121,'сентябрь 2023'!$J$4:$J$1053,E$1)</f>
        <v>0</v>
      </c>
      <c r="F121" s="207">
        <f>SUMIFS('сентябрь 2023'!$G$4:$G$1053,'сентябрь 2023'!$D$4:$D$1053,$B121,'сентябрь 2023'!$J$4:$J$1053,F$1)</f>
        <v>0</v>
      </c>
      <c r="G121" s="207">
        <f>SUMIFS('сентябрь 2023'!$G$4:$G$1053,'сентябрь 2023'!$D$4:$D$1053,$B121,'сентябрь 2023'!$J$4:$J$1053,G$1)</f>
        <v>0</v>
      </c>
      <c r="H121" s="207">
        <f>SUMIFS('сентябрь 2023'!$G$4:$G$1053,'сентябрь 2023'!$D$4:$D$1053,$B121,'сентябрь 2023'!$J$4:$J$1053,H$1)</f>
        <v>0</v>
      </c>
      <c r="I121" s="207">
        <f>SUMIFS('сентябрь 2023'!$G$4:$G$1053,'сентябрь 2023'!$D$4:$D$1053,$B121,'сентябрь 2023'!$J$4:$J$1053,I$1)</f>
        <v>0</v>
      </c>
      <c r="J121" s="207">
        <f>SUMIFS('сентябрь 2023'!$G$4:$G$1053,'сентябрь 2023'!$D$4:$D$1053,$B121,'сентябрь 2023'!$J$4:$J$1053,J$1)</f>
        <v>0</v>
      </c>
      <c r="K121" s="207">
        <f>SUMIFS('сентябрь 2023'!$G$4:$G$1053,'сентябрь 2023'!$D$4:$D$1053,$B121,'сентябрь 2023'!$J$4:$J$1053,K$1)</f>
        <v>0</v>
      </c>
      <c r="L121" s="207">
        <f>SUMIFS('сентябрь 2023'!$G$4:$G$1053,'сентябрь 2023'!$D$4:$D$1053,$B121,'сентябрь 2023'!$J$4:$J$1053,L$1)</f>
        <v>0</v>
      </c>
      <c r="M121" s="207">
        <f>SUMIFS('сентябрь 2023'!$G$4:$G$1053,'сентябрь 2023'!$D$4:$D$1053,$B121,'сентябрь 2023'!$J$4:$J$1053,M$1)</f>
        <v>0</v>
      </c>
      <c r="N121" s="207">
        <f>SUMIFS('сентябрь 2023'!$G$4:$G$1053,'сентябрь 2023'!$D$4:$D$1053,$B121,'сентябрь 2023'!$J$4:$J$1053,N$1)</f>
        <v>0</v>
      </c>
      <c r="O121" s="207">
        <f>SUMIFS('сентябрь 2023'!$G$4:$G$1053,'сентябрь 2023'!$D$4:$D$1053,$B121,'сентябрь 2023'!$J$4:$J$1053,O$1)</f>
        <v>0</v>
      </c>
      <c r="P121" s="207">
        <f>SUMIFS('сентябрь 2023'!$G$4:$G$1053,'сентябрь 2023'!$D$4:$D$1053,$B121,'сентябрь 2023'!$J$4:$J$1053,P$1)</f>
        <v>0</v>
      </c>
      <c r="Q121" s="207">
        <f>SUMIFS('сентябрь 2023'!$G$4:$G$1053,'сентябрь 2023'!$D$4:$D$1053,$B121,'сентябрь 2023'!$J$4:$J$1053,Q$1)</f>
        <v>0</v>
      </c>
      <c r="R121" s="207">
        <f>SUMIFS('сентябрь 2023'!$G$4:$G$1053,'сентябрь 2023'!$D$4:$D$1053,$B121,'сентябрь 2023'!$J$4:$J$1053,R$1)</f>
        <v>0</v>
      </c>
      <c r="S121" s="207">
        <f>SUMIFS('сентябрь 2023'!$G$4:$G$1053,'сентябрь 2023'!$D$4:$D$1053,$B121,'сентябрь 2023'!$J$4:$J$1053,S$1)</f>
        <v>0</v>
      </c>
      <c r="T121" s="207">
        <f>SUMIFS('сентябрь 2023'!$G$4:$G$1053,'сентябрь 2023'!$D$4:$D$1053,$B121,'сентябрь 2023'!$J$4:$J$1053,T$1)</f>
        <v>0</v>
      </c>
      <c r="U121" s="207">
        <f>SUMIFS('сентябрь 2023'!$G$4:$G$1053,'сентябрь 2023'!$D$4:$D$1053,$B121,'сентябрь 2023'!$J$4:$J$1053,U$1)</f>
        <v>0</v>
      </c>
      <c r="V121" s="207">
        <f>SUMIFS('сентябрь 2023'!$G$4:$G$1053,'сентябрь 2023'!$D$4:$D$1053,$B121,'сентябрь 2023'!$J$4:$J$1053,V$1)</f>
        <v>0</v>
      </c>
      <c r="W121" s="207">
        <f>SUMIFS('сентябрь 2023'!$G$4:$G$1053,'сентябрь 2023'!$D$4:$D$1053,$B121,'сентябрь 2023'!$J$4:$J$1053,W$1)</f>
        <v>0</v>
      </c>
      <c r="X121" s="207">
        <f>SUMIFS('сентябрь 2023'!$G$4:$G$1053,'сентябрь 2023'!$D$4:$D$1053,$B121,'сентябрь 2023'!$J$4:$J$1053,X$1)</f>
        <v>0</v>
      </c>
      <c r="Y121" s="207">
        <f>SUMIFS('сентябрь 2023'!$G$4:$G$1053,'сентябрь 2023'!$D$4:$D$1053,$B121,'сентябрь 2023'!$J$4:$J$1053,Y$1)</f>
        <v>0</v>
      </c>
      <c r="Z121" s="207">
        <f>SUMIFS('сентябрь 2023'!$G$4:$G$1053,'сентябрь 2023'!$D$4:$D$1053,$B121,'сентябрь 2023'!$J$4:$J$1053,Z$1)</f>
        <v>0</v>
      </c>
      <c r="AA121" s="207">
        <f>SUMIFS('сентябрь 2023'!$G$4:$G$1053,'сентябрь 2023'!$D$4:$D$1053,$B121,'сентябрь 2023'!$J$4:$J$1053,AA$1)</f>
        <v>0</v>
      </c>
      <c r="AB121" s="207">
        <f>SUMIFS('сентябрь 2023'!$G$4:$G$1053,'сентябрь 2023'!$D$4:$D$1053,$B121,'сентябрь 2023'!$J$4:$J$1053,AB$1)</f>
        <v>0</v>
      </c>
      <c r="AC121" s="207">
        <f>SUMIFS('сентябрь 2023'!$G$4:$G$1053,'сентябрь 2023'!$D$4:$D$1053,$B121,'сентябрь 2023'!$J$4:$J$1053,AC$1)</f>
        <v>0</v>
      </c>
      <c r="AD121" s="207">
        <f>SUMIFS('сентябрь 2023'!$G$4:$G$1053,'сентябрь 2023'!$D$4:$D$1053,$B121,'сентябрь 2023'!$J$4:$J$1053,AD$1)</f>
        <v>0</v>
      </c>
      <c r="AE121" s="207">
        <f>SUMIFS('сентябрь 2023'!$G$4:$G$1053,'сентябрь 2023'!$D$4:$D$1053,$B121,'сентябрь 2023'!$J$4:$J$1053,AE$1)</f>
        <v>0</v>
      </c>
      <c r="AF121" s="207">
        <f>SUMIFS('сентябрь 2023'!$G$4:$G$1053,'сентябрь 2023'!$D$4:$D$1053,$B121,'сентябрь 2023'!$J$4:$J$1053,AF$1)</f>
        <v>0</v>
      </c>
      <c r="AG121" s="207">
        <f>SUMIFS('сентябрь 2023'!$G$4:$G$1053,'сентябрь 2023'!$D$4:$D$1053,$B121,'сентябрь 2023'!$J$4:$J$1053,AG$1)</f>
        <v>0</v>
      </c>
      <c r="AH121" s="207">
        <f>SUMIFS('сентябрь 2023'!$G$4:$G$1053,'сентябрь 2023'!$D$4:$D$1053,$B121,'сентябрь 2023'!$J$4:$J$1053,AH$1)</f>
        <v>0</v>
      </c>
      <c r="AI121" s="170">
        <f t="shared" si="3"/>
        <v>0</v>
      </c>
    </row>
    <row r="122" spans="2:35" ht="15" customHeight="1" x14ac:dyDescent="0.25">
      <c r="B122" s="212"/>
      <c r="C122" s="211"/>
      <c r="D122" s="207">
        <f>SUMIFS('сентябрь 2023'!$G$4:$G$1053,'сентябрь 2023'!$D$4:$D$1053,$B122,'сентябрь 2023'!$J$4:$J$1053,D$1)</f>
        <v>0</v>
      </c>
      <c r="E122" s="207">
        <f>SUMIFS('сентябрь 2023'!$G$4:$G$1053,'сентябрь 2023'!$D$4:$D$1053,$B122,'сентябрь 2023'!$J$4:$J$1053,E$1)</f>
        <v>0</v>
      </c>
      <c r="F122" s="207">
        <f>SUMIFS('сентябрь 2023'!$G$4:$G$1053,'сентябрь 2023'!$D$4:$D$1053,$B122,'сентябрь 2023'!$J$4:$J$1053,F$1)</f>
        <v>0</v>
      </c>
      <c r="G122" s="207">
        <f>SUMIFS('сентябрь 2023'!$G$4:$G$1053,'сентябрь 2023'!$D$4:$D$1053,$B122,'сентябрь 2023'!$J$4:$J$1053,G$1)</f>
        <v>0</v>
      </c>
      <c r="H122" s="207">
        <f>SUMIFS('сентябрь 2023'!$G$4:$G$1053,'сентябрь 2023'!$D$4:$D$1053,$B122,'сентябрь 2023'!$J$4:$J$1053,H$1)</f>
        <v>0</v>
      </c>
      <c r="I122" s="207">
        <f>SUMIFS('сентябрь 2023'!$G$4:$G$1053,'сентябрь 2023'!$D$4:$D$1053,$B122,'сентябрь 2023'!$J$4:$J$1053,I$1)</f>
        <v>0</v>
      </c>
      <c r="J122" s="207">
        <f>SUMIFS('сентябрь 2023'!$G$4:$G$1053,'сентябрь 2023'!$D$4:$D$1053,$B122,'сентябрь 2023'!$J$4:$J$1053,J$1)</f>
        <v>0</v>
      </c>
      <c r="K122" s="207">
        <f>SUMIFS('сентябрь 2023'!$G$4:$G$1053,'сентябрь 2023'!$D$4:$D$1053,$B122,'сентябрь 2023'!$J$4:$J$1053,K$1)</f>
        <v>0</v>
      </c>
      <c r="L122" s="207">
        <f>SUMIFS('сентябрь 2023'!$G$4:$G$1053,'сентябрь 2023'!$D$4:$D$1053,$B122,'сентябрь 2023'!$J$4:$J$1053,L$1)</f>
        <v>0</v>
      </c>
      <c r="M122" s="207">
        <f>SUMIFS('сентябрь 2023'!$G$4:$G$1053,'сентябрь 2023'!$D$4:$D$1053,$B122,'сентябрь 2023'!$J$4:$J$1053,M$1)</f>
        <v>0</v>
      </c>
      <c r="N122" s="207">
        <f>SUMIFS('сентябрь 2023'!$G$4:$G$1053,'сентябрь 2023'!$D$4:$D$1053,$B122,'сентябрь 2023'!$J$4:$J$1053,N$1)</f>
        <v>0</v>
      </c>
      <c r="O122" s="207">
        <f>SUMIFS('сентябрь 2023'!$G$4:$G$1053,'сентябрь 2023'!$D$4:$D$1053,$B122,'сентябрь 2023'!$J$4:$J$1053,O$1)</f>
        <v>0</v>
      </c>
      <c r="P122" s="207">
        <f>SUMIFS('сентябрь 2023'!$G$4:$G$1053,'сентябрь 2023'!$D$4:$D$1053,$B122,'сентябрь 2023'!$J$4:$J$1053,P$1)</f>
        <v>0</v>
      </c>
      <c r="Q122" s="207">
        <f>SUMIFS('сентябрь 2023'!$G$4:$G$1053,'сентябрь 2023'!$D$4:$D$1053,$B122,'сентябрь 2023'!$J$4:$J$1053,Q$1)</f>
        <v>0</v>
      </c>
      <c r="R122" s="207">
        <f>SUMIFS('сентябрь 2023'!$G$4:$G$1053,'сентябрь 2023'!$D$4:$D$1053,$B122,'сентябрь 2023'!$J$4:$J$1053,R$1)</f>
        <v>0</v>
      </c>
      <c r="S122" s="207">
        <f>SUMIFS('сентябрь 2023'!$G$4:$G$1053,'сентябрь 2023'!$D$4:$D$1053,$B122,'сентябрь 2023'!$J$4:$J$1053,S$1)</f>
        <v>0</v>
      </c>
      <c r="T122" s="207">
        <f>SUMIFS('сентябрь 2023'!$G$4:$G$1053,'сентябрь 2023'!$D$4:$D$1053,$B122,'сентябрь 2023'!$J$4:$J$1053,T$1)</f>
        <v>0</v>
      </c>
      <c r="U122" s="207">
        <f>SUMIFS('сентябрь 2023'!$G$4:$G$1053,'сентябрь 2023'!$D$4:$D$1053,$B122,'сентябрь 2023'!$J$4:$J$1053,U$1)</f>
        <v>0</v>
      </c>
      <c r="V122" s="207">
        <f>SUMIFS('сентябрь 2023'!$G$4:$G$1053,'сентябрь 2023'!$D$4:$D$1053,$B122,'сентябрь 2023'!$J$4:$J$1053,V$1)</f>
        <v>0</v>
      </c>
      <c r="W122" s="207">
        <f>SUMIFS('сентябрь 2023'!$G$4:$G$1053,'сентябрь 2023'!$D$4:$D$1053,$B122,'сентябрь 2023'!$J$4:$J$1053,W$1)</f>
        <v>0</v>
      </c>
      <c r="X122" s="207">
        <f>SUMIFS('сентябрь 2023'!$G$4:$G$1053,'сентябрь 2023'!$D$4:$D$1053,$B122,'сентябрь 2023'!$J$4:$J$1053,X$1)</f>
        <v>0</v>
      </c>
      <c r="Y122" s="207">
        <f>SUMIFS('сентябрь 2023'!$G$4:$G$1053,'сентябрь 2023'!$D$4:$D$1053,$B122,'сентябрь 2023'!$J$4:$J$1053,Y$1)</f>
        <v>0</v>
      </c>
      <c r="Z122" s="207">
        <f>SUMIFS('сентябрь 2023'!$G$4:$G$1053,'сентябрь 2023'!$D$4:$D$1053,$B122,'сентябрь 2023'!$J$4:$J$1053,Z$1)</f>
        <v>0</v>
      </c>
      <c r="AA122" s="207">
        <f>SUMIFS('сентябрь 2023'!$G$4:$G$1053,'сентябрь 2023'!$D$4:$D$1053,$B122,'сентябрь 2023'!$J$4:$J$1053,AA$1)</f>
        <v>0</v>
      </c>
      <c r="AB122" s="207">
        <f>SUMIFS('сентябрь 2023'!$G$4:$G$1053,'сентябрь 2023'!$D$4:$D$1053,$B122,'сентябрь 2023'!$J$4:$J$1053,AB$1)</f>
        <v>0</v>
      </c>
      <c r="AC122" s="207">
        <f>SUMIFS('сентябрь 2023'!$G$4:$G$1053,'сентябрь 2023'!$D$4:$D$1053,$B122,'сентябрь 2023'!$J$4:$J$1053,AC$1)</f>
        <v>0</v>
      </c>
      <c r="AD122" s="207">
        <f>SUMIFS('сентябрь 2023'!$G$4:$G$1053,'сентябрь 2023'!$D$4:$D$1053,$B122,'сентябрь 2023'!$J$4:$J$1053,AD$1)</f>
        <v>0</v>
      </c>
      <c r="AE122" s="207">
        <f>SUMIFS('сентябрь 2023'!$G$4:$G$1053,'сентябрь 2023'!$D$4:$D$1053,$B122,'сентябрь 2023'!$J$4:$J$1053,AE$1)</f>
        <v>0</v>
      </c>
      <c r="AF122" s="207">
        <f>SUMIFS('сентябрь 2023'!$G$4:$G$1053,'сентябрь 2023'!$D$4:$D$1053,$B122,'сентябрь 2023'!$J$4:$J$1053,AF$1)</f>
        <v>0</v>
      </c>
      <c r="AG122" s="207">
        <f>SUMIFS('сентябрь 2023'!$G$4:$G$1053,'сентябрь 2023'!$D$4:$D$1053,$B122,'сентябрь 2023'!$J$4:$J$1053,AG$1)</f>
        <v>0</v>
      </c>
      <c r="AH122" s="207">
        <f>SUMIFS('сентябрь 2023'!$G$4:$G$1053,'сентябрь 2023'!$D$4:$D$1053,$B122,'сентябрь 2023'!$J$4:$J$1053,AH$1)</f>
        <v>0</v>
      </c>
      <c r="AI122" s="170">
        <f t="shared" si="3"/>
        <v>0</v>
      </c>
    </row>
    <row r="123" spans="2:35" ht="15" hidden="1" customHeight="1" x14ac:dyDescent="0.25">
      <c r="B123" s="212"/>
      <c r="C123" s="211"/>
      <c r="D123" s="207">
        <f>SUMIFS('сентябрь 2023'!$G$4:$G$1053,'сентябрь 2023'!$D$4:$D$1053,$B123,'сентябрь 2023'!$J$4:$J$1053,D$1)</f>
        <v>0</v>
      </c>
      <c r="E123" s="207">
        <f>SUMIFS('сентябрь 2023'!$G$4:$G$1053,'сентябрь 2023'!$D$4:$D$1053,$B123,'сентябрь 2023'!$J$4:$J$1053,E$1)</f>
        <v>0</v>
      </c>
      <c r="F123" s="207">
        <f>SUMIFS('сентябрь 2023'!$G$4:$G$1053,'сентябрь 2023'!$D$4:$D$1053,$B123,'сентябрь 2023'!$J$4:$J$1053,F$1)</f>
        <v>0</v>
      </c>
      <c r="G123" s="207">
        <f>SUMIFS('сентябрь 2023'!$G$4:$G$1053,'сентябрь 2023'!$D$4:$D$1053,$B123,'сентябрь 2023'!$J$4:$J$1053,G$1)</f>
        <v>0</v>
      </c>
      <c r="H123" s="207">
        <f>SUMIFS('сентябрь 2023'!$G$4:$G$1053,'сентябрь 2023'!$D$4:$D$1053,$B123,'сентябрь 2023'!$J$4:$J$1053,H$1)</f>
        <v>0</v>
      </c>
      <c r="I123" s="207">
        <f>SUMIFS('сентябрь 2023'!$G$4:$G$1053,'сентябрь 2023'!$D$4:$D$1053,$B123,'сентябрь 2023'!$J$4:$J$1053,I$1)</f>
        <v>0</v>
      </c>
      <c r="J123" s="207">
        <f>SUMIFS('сентябрь 2023'!$G$4:$G$1053,'сентябрь 2023'!$D$4:$D$1053,$B123,'сентябрь 2023'!$J$4:$J$1053,J$1)</f>
        <v>0</v>
      </c>
      <c r="K123" s="207">
        <f>SUMIFS('сентябрь 2023'!$G$4:$G$1053,'сентябрь 2023'!$D$4:$D$1053,$B123,'сентябрь 2023'!$J$4:$J$1053,K$1)</f>
        <v>0</v>
      </c>
      <c r="L123" s="207">
        <f>SUMIFS('сентябрь 2023'!$G$4:$G$1053,'сентябрь 2023'!$D$4:$D$1053,$B123,'сентябрь 2023'!$J$4:$J$1053,L$1)</f>
        <v>0</v>
      </c>
      <c r="M123" s="207">
        <f>SUMIFS('сентябрь 2023'!$G$4:$G$1053,'сентябрь 2023'!$D$4:$D$1053,$B123,'сентябрь 2023'!$J$4:$J$1053,M$1)</f>
        <v>0</v>
      </c>
      <c r="N123" s="207">
        <f>SUMIFS('сентябрь 2023'!$G$4:$G$1053,'сентябрь 2023'!$D$4:$D$1053,$B123,'сентябрь 2023'!$J$4:$J$1053,N$1)</f>
        <v>0</v>
      </c>
      <c r="O123" s="207">
        <f>SUMIFS('сентябрь 2023'!$G$4:$G$1053,'сентябрь 2023'!$D$4:$D$1053,$B123,'сентябрь 2023'!$J$4:$J$1053,O$1)</f>
        <v>0</v>
      </c>
      <c r="P123" s="207">
        <f>SUMIFS('сентябрь 2023'!$G$4:$G$1053,'сентябрь 2023'!$D$4:$D$1053,$B123,'сентябрь 2023'!$J$4:$J$1053,P$1)</f>
        <v>0</v>
      </c>
      <c r="Q123" s="207">
        <f>SUMIFS('сентябрь 2023'!$G$4:$G$1053,'сентябрь 2023'!$D$4:$D$1053,$B123,'сентябрь 2023'!$J$4:$J$1053,Q$1)</f>
        <v>0</v>
      </c>
      <c r="R123" s="207">
        <f>SUMIFS('сентябрь 2023'!$G$4:$G$1053,'сентябрь 2023'!$D$4:$D$1053,$B123,'сентябрь 2023'!$J$4:$J$1053,R$1)</f>
        <v>0</v>
      </c>
      <c r="S123" s="207">
        <f>SUMIFS('сентябрь 2023'!$G$4:$G$1053,'сентябрь 2023'!$D$4:$D$1053,$B123,'сентябрь 2023'!$J$4:$J$1053,S$1)</f>
        <v>0</v>
      </c>
      <c r="T123" s="207">
        <f>SUMIFS('сентябрь 2023'!$G$4:$G$1053,'сентябрь 2023'!$D$4:$D$1053,$B123,'сентябрь 2023'!$J$4:$J$1053,T$1)</f>
        <v>0</v>
      </c>
      <c r="U123" s="207">
        <f>SUMIFS('сентябрь 2023'!$G$4:$G$1053,'сентябрь 2023'!$D$4:$D$1053,$B123,'сентябрь 2023'!$J$4:$J$1053,U$1)</f>
        <v>0</v>
      </c>
      <c r="V123" s="207">
        <f>SUMIFS('сентябрь 2023'!$G$4:$G$1053,'сентябрь 2023'!$D$4:$D$1053,$B123,'сентябрь 2023'!$J$4:$J$1053,V$1)</f>
        <v>0</v>
      </c>
      <c r="W123" s="207">
        <f>SUMIFS('сентябрь 2023'!$G$4:$G$1053,'сентябрь 2023'!$D$4:$D$1053,$B123,'сентябрь 2023'!$J$4:$J$1053,W$1)</f>
        <v>0</v>
      </c>
      <c r="X123" s="207">
        <f>SUMIFS('сентябрь 2023'!$G$4:$G$1053,'сентябрь 2023'!$D$4:$D$1053,$B123,'сентябрь 2023'!$J$4:$J$1053,X$1)</f>
        <v>0</v>
      </c>
      <c r="Y123" s="207">
        <f>SUMIFS('сентябрь 2023'!$G$4:$G$1053,'сентябрь 2023'!$D$4:$D$1053,$B123,'сентябрь 2023'!$J$4:$J$1053,Y$1)</f>
        <v>0</v>
      </c>
      <c r="Z123" s="207">
        <f>SUMIFS('сентябрь 2023'!$G$4:$G$1053,'сентябрь 2023'!$D$4:$D$1053,$B123,'сентябрь 2023'!$J$4:$J$1053,Z$1)</f>
        <v>0</v>
      </c>
      <c r="AA123" s="207">
        <f>SUMIFS('сентябрь 2023'!$G$4:$G$1053,'сентябрь 2023'!$D$4:$D$1053,$B123,'сентябрь 2023'!$J$4:$J$1053,AA$1)</f>
        <v>0</v>
      </c>
      <c r="AB123" s="207">
        <f>SUMIFS('сентябрь 2023'!$G$4:$G$1053,'сентябрь 2023'!$D$4:$D$1053,$B123,'сентябрь 2023'!$J$4:$J$1053,AB$1)</f>
        <v>0</v>
      </c>
      <c r="AC123" s="207">
        <f>SUMIFS('сентябрь 2023'!$G$4:$G$1053,'сентябрь 2023'!$D$4:$D$1053,$B123,'сентябрь 2023'!$J$4:$J$1053,AC$1)</f>
        <v>0</v>
      </c>
      <c r="AD123" s="207">
        <f>SUMIFS('сентябрь 2023'!$G$4:$G$1053,'сентябрь 2023'!$D$4:$D$1053,$B123,'сентябрь 2023'!$J$4:$J$1053,AD$1)</f>
        <v>0</v>
      </c>
      <c r="AE123" s="207">
        <f>SUMIFS('сентябрь 2023'!$G$4:$G$1053,'сентябрь 2023'!$D$4:$D$1053,$B123,'сентябрь 2023'!$J$4:$J$1053,AE$1)</f>
        <v>0</v>
      </c>
      <c r="AF123" s="207">
        <f>SUMIFS('сентябрь 2023'!$G$4:$G$1053,'сентябрь 2023'!$D$4:$D$1053,$B123,'сентябрь 2023'!$J$4:$J$1053,AF$1)</f>
        <v>0</v>
      </c>
      <c r="AG123" s="207">
        <f>SUMIFS('сентябрь 2023'!$G$4:$G$1053,'сентябрь 2023'!$D$4:$D$1053,$B123,'сентябрь 2023'!$J$4:$J$1053,AG$1)</f>
        <v>0</v>
      </c>
      <c r="AH123" s="207">
        <f>SUMIFS('сентябрь 2023'!$G$4:$G$1053,'сентябрь 2023'!$D$4:$D$1053,$B123,'сентябрь 2023'!$J$4:$J$1053,AH$1)</f>
        <v>0</v>
      </c>
      <c r="AI123" s="220">
        <f t="shared" si="3"/>
        <v>0</v>
      </c>
    </row>
    <row r="124" spans="2:35" ht="15" hidden="1" customHeight="1" x14ac:dyDescent="0.25">
      <c r="B124" s="212"/>
      <c r="C124" s="211"/>
      <c r="D124" s="207">
        <f>SUMIFS('сентябрь 2023'!$G$4:$G$1053,'сентябрь 2023'!$D$4:$D$1053,$B124,'сентябрь 2023'!$J$4:$J$1053,D$1)</f>
        <v>0</v>
      </c>
      <c r="E124" s="207">
        <f>SUMIFS('сентябрь 2023'!$G$4:$G$1053,'сентябрь 2023'!$D$4:$D$1053,$B124,'сентябрь 2023'!$J$4:$J$1053,E$1)</f>
        <v>0</v>
      </c>
      <c r="F124" s="207">
        <f>SUMIFS('сентябрь 2023'!$G$4:$G$1053,'сентябрь 2023'!$D$4:$D$1053,$B124,'сентябрь 2023'!$J$4:$J$1053,F$1)</f>
        <v>0</v>
      </c>
      <c r="G124" s="207">
        <f>SUMIFS('сентябрь 2023'!$G$4:$G$1053,'сентябрь 2023'!$D$4:$D$1053,$B124,'сентябрь 2023'!$J$4:$J$1053,G$1)</f>
        <v>0</v>
      </c>
      <c r="H124" s="207">
        <f>SUMIFS('сентябрь 2023'!$G$4:$G$1053,'сентябрь 2023'!$D$4:$D$1053,$B124,'сентябрь 2023'!$J$4:$J$1053,H$1)</f>
        <v>0</v>
      </c>
      <c r="I124" s="207">
        <f>SUMIFS('сентябрь 2023'!$G$4:$G$1053,'сентябрь 2023'!$D$4:$D$1053,$B124,'сентябрь 2023'!$J$4:$J$1053,I$1)</f>
        <v>0</v>
      </c>
      <c r="J124" s="207">
        <f>SUMIFS('сентябрь 2023'!$G$4:$G$1053,'сентябрь 2023'!$D$4:$D$1053,$B124,'сентябрь 2023'!$J$4:$J$1053,J$1)</f>
        <v>0</v>
      </c>
      <c r="K124" s="207">
        <f>SUMIFS('сентябрь 2023'!$G$4:$G$1053,'сентябрь 2023'!$D$4:$D$1053,$B124,'сентябрь 2023'!$J$4:$J$1053,K$1)</f>
        <v>0</v>
      </c>
      <c r="L124" s="207">
        <f>SUMIFS('сентябрь 2023'!$G$4:$G$1053,'сентябрь 2023'!$D$4:$D$1053,$B124,'сентябрь 2023'!$J$4:$J$1053,L$1)</f>
        <v>0</v>
      </c>
      <c r="M124" s="207">
        <f>SUMIFS('сентябрь 2023'!$G$4:$G$1053,'сентябрь 2023'!$D$4:$D$1053,$B124,'сентябрь 2023'!$J$4:$J$1053,M$1)</f>
        <v>0</v>
      </c>
      <c r="N124" s="207">
        <f>SUMIFS('сентябрь 2023'!$G$4:$G$1053,'сентябрь 2023'!$D$4:$D$1053,$B124,'сентябрь 2023'!$J$4:$J$1053,N$1)</f>
        <v>0</v>
      </c>
      <c r="O124" s="207">
        <f>SUMIFS('сентябрь 2023'!$G$4:$G$1053,'сентябрь 2023'!$D$4:$D$1053,$B124,'сентябрь 2023'!$J$4:$J$1053,O$1)</f>
        <v>0</v>
      </c>
      <c r="P124" s="207">
        <f>SUMIFS('сентябрь 2023'!$G$4:$G$1053,'сентябрь 2023'!$D$4:$D$1053,$B124,'сентябрь 2023'!$J$4:$J$1053,P$1)</f>
        <v>0</v>
      </c>
      <c r="Q124" s="207">
        <f>SUMIFS('сентябрь 2023'!$G$4:$G$1053,'сентябрь 2023'!$D$4:$D$1053,$B124,'сентябрь 2023'!$J$4:$J$1053,Q$1)</f>
        <v>0</v>
      </c>
      <c r="R124" s="207">
        <f>SUMIFS('сентябрь 2023'!$G$4:$G$1053,'сентябрь 2023'!$D$4:$D$1053,$B124,'сентябрь 2023'!$J$4:$J$1053,R$1)</f>
        <v>0</v>
      </c>
      <c r="S124" s="207">
        <f>SUMIFS('сентябрь 2023'!$G$4:$G$1053,'сентябрь 2023'!$D$4:$D$1053,$B124,'сентябрь 2023'!$J$4:$J$1053,S$1)</f>
        <v>0</v>
      </c>
      <c r="T124" s="207">
        <f>SUMIFS('сентябрь 2023'!$G$4:$G$1053,'сентябрь 2023'!$D$4:$D$1053,$B124,'сентябрь 2023'!$J$4:$J$1053,T$1)</f>
        <v>0</v>
      </c>
      <c r="U124" s="207">
        <f>SUMIFS('сентябрь 2023'!$G$4:$G$1053,'сентябрь 2023'!$D$4:$D$1053,$B124,'сентябрь 2023'!$J$4:$J$1053,U$1)</f>
        <v>0</v>
      </c>
      <c r="V124" s="207">
        <f>SUMIFS('сентябрь 2023'!$G$4:$G$1053,'сентябрь 2023'!$D$4:$D$1053,$B124,'сентябрь 2023'!$J$4:$J$1053,V$1)</f>
        <v>0</v>
      </c>
      <c r="W124" s="207">
        <f>SUMIFS('сентябрь 2023'!$G$4:$G$1053,'сентябрь 2023'!$D$4:$D$1053,$B124,'сентябрь 2023'!$J$4:$J$1053,W$1)</f>
        <v>0</v>
      </c>
      <c r="X124" s="207">
        <f>SUMIFS('сентябрь 2023'!$G$4:$G$1053,'сентябрь 2023'!$D$4:$D$1053,$B124,'сентябрь 2023'!$J$4:$J$1053,X$1)</f>
        <v>0</v>
      </c>
      <c r="Y124" s="207">
        <f>SUMIFS('сентябрь 2023'!$G$4:$G$1053,'сентябрь 2023'!$D$4:$D$1053,$B124,'сентябрь 2023'!$J$4:$J$1053,Y$1)</f>
        <v>0</v>
      </c>
      <c r="Z124" s="207">
        <f>SUMIFS('сентябрь 2023'!$G$4:$G$1053,'сентябрь 2023'!$D$4:$D$1053,$B124,'сентябрь 2023'!$J$4:$J$1053,Z$1)</f>
        <v>0</v>
      </c>
      <c r="AA124" s="207">
        <f>SUMIFS('сентябрь 2023'!$G$4:$G$1053,'сентябрь 2023'!$D$4:$D$1053,$B124,'сентябрь 2023'!$J$4:$J$1053,AA$1)</f>
        <v>0</v>
      </c>
      <c r="AB124" s="207">
        <f>SUMIFS('сентябрь 2023'!$G$4:$G$1053,'сентябрь 2023'!$D$4:$D$1053,$B124,'сентябрь 2023'!$J$4:$J$1053,AB$1)</f>
        <v>0</v>
      </c>
      <c r="AC124" s="207">
        <f>SUMIFS('сентябрь 2023'!$G$4:$G$1053,'сентябрь 2023'!$D$4:$D$1053,$B124,'сентябрь 2023'!$J$4:$J$1053,AC$1)</f>
        <v>0</v>
      </c>
      <c r="AD124" s="207">
        <f>SUMIFS('сентябрь 2023'!$G$4:$G$1053,'сентябрь 2023'!$D$4:$D$1053,$B124,'сентябрь 2023'!$J$4:$J$1053,AD$1)</f>
        <v>0</v>
      </c>
      <c r="AE124" s="207">
        <f>SUMIFS('сентябрь 2023'!$G$4:$G$1053,'сентябрь 2023'!$D$4:$D$1053,$B124,'сентябрь 2023'!$J$4:$J$1053,AE$1)</f>
        <v>0</v>
      </c>
      <c r="AF124" s="207">
        <f>SUMIFS('сентябрь 2023'!$G$4:$G$1053,'сентябрь 2023'!$D$4:$D$1053,$B124,'сентябрь 2023'!$J$4:$J$1053,AF$1)</f>
        <v>0</v>
      </c>
      <c r="AG124" s="207">
        <f>SUMIFS('сентябрь 2023'!$G$4:$G$1053,'сентябрь 2023'!$D$4:$D$1053,$B124,'сентябрь 2023'!$J$4:$J$1053,AG$1)</f>
        <v>0</v>
      </c>
      <c r="AH124" s="207">
        <f>SUMIFS('сентябрь 2023'!$G$4:$G$1053,'сентябрь 2023'!$D$4:$D$1053,$B124,'сентябрь 2023'!$J$4:$J$1053,AH$1)</f>
        <v>0</v>
      </c>
      <c r="AI124" s="220">
        <f t="shared" si="3"/>
        <v>0</v>
      </c>
    </row>
    <row r="125" spans="2:35" ht="15" hidden="1" customHeight="1" x14ac:dyDescent="0.25">
      <c r="B125" s="212"/>
      <c r="C125" s="211"/>
      <c r="D125" s="207">
        <f>SUMIFS('сентябрь 2023'!$G$4:$G$1053,'сентябрь 2023'!$D$4:$D$1053,$B125,'сентябрь 2023'!$J$4:$J$1053,D$1)</f>
        <v>0</v>
      </c>
      <c r="E125" s="207">
        <f>SUMIFS('сентябрь 2023'!$G$4:$G$1053,'сентябрь 2023'!$D$4:$D$1053,$B125,'сентябрь 2023'!$J$4:$J$1053,E$1)</f>
        <v>0</v>
      </c>
      <c r="F125" s="207">
        <f>SUMIFS('сентябрь 2023'!$G$4:$G$1053,'сентябрь 2023'!$D$4:$D$1053,$B125,'сентябрь 2023'!$J$4:$J$1053,F$1)</f>
        <v>0</v>
      </c>
      <c r="G125" s="207">
        <f>SUMIFS('сентябрь 2023'!$G$4:$G$1053,'сентябрь 2023'!$D$4:$D$1053,$B125,'сентябрь 2023'!$J$4:$J$1053,G$1)</f>
        <v>0</v>
      </c>
      <c r="H125" s="207">
        <f>SUMIFS('сентябрь 2023'!$G$4:$G$1053,'сентябрь 2023'!$D$4:$D$1053,$B125,'сентябрь 2023'!$J$4:$J$1053,H$1)</f>
        <v>0</v>
      </c>
      <c r="I125" s="207">
        <f>SUMIFS('сентябрь 2023'!$G$4:$G$1053,'сентябрь 2023'!$D$4:$D$1053,$B125,'сентябрь 2023'!$J$4:$J$1053,I$1)</f>
        <v>0</v>
      </c>
      <c r="J125" s="207">
        <f>SUMIFS('сентябрь 2023'!$G$4:$G$1053,'сентябрь 2023'!$D$4:$D$1053,$B125,'сентябрь 2023'!$J$4:$J$1053,J$1)</f>
        <v>0</v>
      </c>
      <c r="K125" s="207">
        <f>SUMIFS('сентябрь 2023'!$G$4:$G$1053,'сентябрь 2023'!$D$4:$D$1053,$B125,'сентябрь 2023'!$J$4:$J$1053,K$1)</f>
        <v>0</v>
      </c>
      <c r="L125" s="207">
        <f>SUMIFS('сентябрь 2023'!$G$4:$G$1053,'сентябрь 2023'!$D$4:$D$1053,$B125,'сентябрь 2023'!$J$4:$J$1053,L$1)</f>
        <v>0</v>
      </c>
      <c r="M125" s="207">
        <f>SUMIFS('сентябрь 2023'!$G$4:$G$1053,'сентябрь 2023'!$D$4:$D$1053,$B125,'сентябрь 2023'!$J$4:$J$1053,M$1)</f>
        <v>0</v>
      </c>
      <c r="N125" s="207">
        <f>SUMIFS('сентябрь 2023'!$G$4:$G$1053,'сентябрь 2023'!$D$4:$D$1053,$B125,'сентябрь 2023'!$J$4:$J$1053,N$1)</f>
        <v>0</v>
      </c>
      <c r="O125" s="207">
        <f>SUMIFS('сентябрь 2023'!$G$4:$G$1053,'сентябрь 2023'!$D$4:$D$1053,$B125,'сентябрь 2023'!$J$4:$J$1053,O$1)</f>
        <v>0</v>
      </c>
      <c r="P125" s="207">
        <f>SUMIFS('сентябрь 2023'!$G$4:$G$1053,'сентябрь 2023'!$D$4:$D$1053,$B125,'сентябрь 2023'!$J$4:$J$1053,P$1)</f>
        <v>0</v>
      </c>
      <c r="Q125" s="207">
        <f>SUMIFS('сентябрь 2023'!$G$4:$G$1053,'сентябрь 2023'!$D$4:$D$1053,$B125,'сентябрь 2023'!$J$4:$J$1053,Q$1)</f>
        <v>0</v>
      </c>
      <c r="R125" s="207">
        <f>SUMIFS('сентябрь 2023'!$G$4:$G$1053,'сентябрь 2023'!$D$4:$D$1053,$B125,'сентябрь 2023'!$J$4:$J$1053,R$1)</f>
        <v>0</v>
      </c>
      <c r="S125" s="207">
        <f>SUMIFS('сентябрь 2023'!$G$4:$G$1053,'сентябрь 2023'!$D$4:$D$1053,$B125,'сентябрь 2023'!$J$4:$J$1053,S$1)</f>
        <v>0</v>
      </c>
      <c r="T125" s="207">
        <f>SUMIFS('сентябрь 2023'!$G$4:$G$1053,'сентябрь 2023'!$D$4:$D$1053,$B125,'сентябрь 2023'!$J$4:$J$1053,T$1)</f>
        <v>0</v>
      </c>
      <c r="U125" s="207">
        <f>SUMIFS('сентябрь 2023'!$G$4:$G$1053,'сентябрь 2023'!$D$4:$D$1053,$B125,'сентябрь 2023'!$J$4:$J$1053,U$1)</f>
        <v>0</v>
      </c>
      <c r="V125" s="207">
        <f>SUMIFS('сентябрь 2023'!$G$4:$G$1053,'сентябрь 2023'!$D$4:$D$1053,$B125,'сентябрь 2023'!$J$4:$J$1053,V$1)</f>
        <v>0</v>
      </c>
      <c r="W125" s="207">
        <f>SUMIFS('сентябрь 2023'!$G$4:$G$1053,'сентябрь 2023'!$D$4:$D$1053,$B125,'сентябрь 2023'!$J$4:$J$1053,W$1)</f>
        <v>0</v>
      </c>
      <c r="X125" s="207">
        <f>SUMIFS('сентябрь 2023'!$G$4:$G$1053,'сентябрь 2023'!$D$4:$D$1053,$B125,'сентябрь 2023'!$J$4:$J$1053,X$1)</f>
        <v>0</v>
      </c>
      <c r="Y125" s="207">
        <f>SUMIFS('сентябрь 2023'!$G$4:$G$1053,'сентябрь 2023'!$D$4:$D$1053,$B125,'сентябрь 2023'!$J$4:$J$1053,Y$1)</f>
        <v>0</v>
      </c>
      <c r="Z125" s="207">
        <f>SUMIFS('сентябрь 2023'!$G$4:$G$1053,'сентябрь 2023'!$D$4:$D$1053,$B125,'сентябрь 2023'!$J$4:$J$1053,Z$1)</f>
        <v>0</v>
      </c>
      <c r="AA125" s="207">
        <f>SUMIFS('сентябрь 2023'!$G$4:$G$1053,'сентябрь 2023'!$D$4:$D$1053,$B125,'сентябрь 2023'!$J$4:$J$1053,AA$1)</f>
        <v>0</v>
      </c>
      <c r="AB125" s="207">
        <f>SUMIFS('сентябрь 2023'!$G$4:$G$1053,'сентябрь 2023'!$D$4:$D$1053,$B125,'сентябрь 2023'!$J$4:$J$1053,AB$1)</f>
        <v>0</v>
      </c>
      <c r="AC125" s="207">
        <f>SUMIFS('сентябрь 2023'!$G$4:$G$1053,'сентябрь 2023'!$D$4:$D$1053,$B125,'сентябрь 2023'!$J$4:$J$1053,AC$1)</f>
        <v>0</v>
      </c>
      <c r="AD125" s="207">
        <f>SUMIFS('сентябрь 2023'!$G$4:$G$1053,'сентябрь 2023'!$D$4:$D$1053,$B125,'сентябрь 2023'!$J$4:$J$1053,AD$1)</f>
        <v>0</v>
      </c>
      <c r="AE125" s="207">
        <f>SUMIFS('сентябрь 2023'!$G$4:$G$1053,'сентябрь 2023'!$D$4:$D$1053,$B125,'сентябрь 2023'!$J$4:$J$1053,AE$1)</f>
        <v>0</v>
      </c>
      <c r="AF125" s="207">
        <f>SUMIFS('сентябрь 2023'!$G$4:$G$1053,'сентябрь 2023'!$D$4:$D$1053,$B125,'сентябрь 2023'!$J$4:$J$1053,AF$1)</f>
        <v>0</v>
      </c>
      <c r="AG125" s="207">
        <f>SUMIFS('сентябрь 2023'!$G$4:$G$1053,'сентябрь 2023'!$D$4:$D$1053,$B125,'сентябрь 2023'!$J$4:$J$1053,AG$1)</f>
        <v>0</v>
      </c>
      <c r="AH125" s="207">
        <f>SUMIFS('сентябрь 2023'!$G$4:$G$1053,'сентябрь 2023'!$D$4:$D$1053,$B125,'сентябрь 2023'!$J$4:$J$1053,AH$1)</f>
        <v>0</v>
      </c>
      <c r="AI125" s="220">
        <f t="shared" si="3"/>
        <v>0</v>
      </c>
    </row>
    <row r="126" spans="2:35" ht="15" hidden="1" customHeight="1" x14ac:dyDescent="0.25">
      <c r="B126" s="212"/>
      <c r="C126" s="211"/>
      <c r="D126" s="207">
        <f>SUMIFS('сентябрь 2023'!$G$4:$G$1053,'сентябрь 2023'!$D$4:$D$1053,$B126,'сентябрь 2023'!$J$4:$J$1053,D$1)</f>
        <v>0</v>
      </c>
      <c r="E126" s="207">
        <f>SUMIFS('сентябрь 2023'!$G$4:$G$1053,'сентябрь 2023'!$D$4:$D$1053,$B126,'сентябрь 2023'!$J$4:$J$1053,E$1)</f>
        <v>0</v>
      </c>
      <c r="F126" s="207">
        <f>SUMIFS('сентябрь 2023'!$G$4:$G$1053,'сентябрь 2023'!$D$4:$D$1053,$B126,'сентябрь 2023'!$J$4:$J$1053,F$1)</f>
        <v>0</v>
      </c>
      <c r="G126" s="207">
        <f>SUMIFS('сентябрь 2023'!$G$4:$G$1053,'сентябрь 2023'!$D$4:$D$1053,$B126,'сентябрь 2023'!$J$4:$J$1053,G$1)</f>
        <v>0</v>
      </c>
      <c r="H126" s="207">
        <f>SUMIFS('сентябрь 2023'!$G$4:$G$1053,'сентябрь 2023'!$D$4:$D$1053,$B126,'сентябрь 2023'!$J$4:$J$1053,H$1)</f>
        <v>0</v>
      </c>
      <c r="I126" s="207">
        <f>SUMIFS('сентябрь 2023'!$G$4:$G$1053,'сентябрь 2023'!$D$4:$D$1053,$B126,'сентябрь 2023'!$J$4:$J$1053,I$1)</f>
        <v>0</v>
      </c>
      <c r="J126" s="207">
        <f>SUMIFS('сентябрь 2023'!$G$4:$G$1053,'сентябрь 2023'!$D$4:$D$1053,$B126,'сентябрь 2023'!$J$4:$J$1053,J$1)</f>
        <v>0</v>
      </c>
      <c r="K126" s="207">
        <f>SUMIFS('сентябрь 2023'!$G$4:$G$1053,'сентябрь 2023'!$D$4:$D$1053,$B126,'сентябрь 2023'!$J$4:$J$1053,K$1)</f>
        <v>0</v>
      </c>
      <c r="L126" s="207">
        <f>SUMIFS('сентябрь 2023'!$G$4:$G$1053,'сентябрь 2023'!$D$4:$D$1053,$B126,'сентябрь 2023'!$J$4:$J$1053,L$1)</f>
        <v>0</v>
      </c>
      <c r="M126" s="207">
        <f>SUMIFS('сентябрь 2023'!$G$4:$G$1053,'сентябрь 2023'!$D$4:$D$1053,$B126,'сентябрь 2023'!$J$4:$J$1053,M$1)</f>
        <v>0</v>
      </c>
      <c r="N126" s="207">
        <f>SUMIFS('сентябрь 2023'!$G$4:$G$1053,'сентябрь 2023'!$D$4:$D$1053,$B126,'сентябрь 2023'!$J$4:$J$1053,N$1)</f>
        <v>0</v>
      </c>
      <c r="O126" s="207">
        <f>SUMIFS('сентябрь 2023'!$G$4:$G$1053,'сентябрь 2023'!$D$4:$D$1053,$B126,'сентябрь 2023'!$J$4:$J$1053,O$1)</f>
        <v>0</v>
      </c>
      <c r="P126" s="207">
        <f>SUMIFS('сентябрь 2023'!$G$4:$G$1053,'сентябрь 2023'!$D$4:$D$1053,$B126,'сентябрь 2023'!$J$4:$J$1053,P$1)</f>
        <v>0</v>
      </c>
      <c r="Q126" s="207">
        <f>SUMIFS('сентябрь 2023'!$G$4:$G$1053,'сентябрь 2023'!$D$4:$D$1053,$B126,'сентябрь 2023'!$J$4:$J$1053,Q$1)</f>
        <v>0</v>
      </c>
      <c r="R126" s="207">
        <f>SUMIFS('сентябрь 2023'!$G$4:$G$1053,'сентябрь 2023'!$D$4:$D$1053,$B126,'сентябрь 2023'!$J$4:$J$1053,R$1)</f>
        <v>0</v>
      </c>
      <c r="S126" s="207">
        <f>SUMIFS('сентябрь 2023'!$G$4:$G$1053,'сентябрь 2023'!$D$4:$D$1053,$B126,'сентябрь 2023'!$J$4:$J$1053,S$1)</f>
        <v>0</v>
      </c>
      <c r="T126" s="207">
        <f>SUMIFS('сентябрь 2023'!$G$4:$G$1053,'сентябрь 2023'!$D$4:$D$1053,$B126,'сентябрь 2023'!$J$4:$J$1053,T$1)</f>
        <v>0</v>
      </c>
      <c r="U126" s="207">
        <f>SUMIFS('сентябрь 2023'!$G$4:$G$1053,'сентябрь 2023'!$D$4:$D$1053,$B126,'сентябрь 2023'!$J$4:$J$1053,U$1)</f>
        <v>0</v>
      </c>
      <c r="V126" s="207">
        <f>SUMIFS('сентябрь 2023'!$G$4:$G$1053,'сентябрь 2023'!$D$4:$D$1053,$B126,'сентябрь 2023'!$J$4:$J$1053,V$1)</f>
        <v>0</v>
      </c>
      <c r="W126" s="207">
        <f>SUMIFS('сентябрь 2023'!$G$4:$G$1053,'сентябрь 2023'!$D$4:$D$1053,$B126,'сентябрь 2023'!$J$4:$J$1053,W$1)</f>
        <v>0</v>
      </c>
      <c r="X126" s="207">
        <f>SUMIFS('сентябрь 2023'!$G$4:$G$1053,'сентябрь 2023'!$D$4:$D$1053,$B126,'сентябрь 2023'!$J$4:$J$1053,X$1)</f>
        <v>0</v>
      </c>
      <c r="Y126" s="207">
        <f>SUMIFS('сентябрь 2023'!$G$4:$G$1053,'сентябрь 2023'!$D$4:$D$1053,$B126,'сентябрь 2023'!$J$4:$J$1053,Y$1)</f>
        <v>0</v>
      </c>
      <c r="Z126" s="207">
        <f>SUMIFS('сентябрь 2023'!$G$4:$G$1053,'сентябрь 2023'!$D$4:$D$1053,$B126,'сентябрь 2023'!$J$4:$J$1053,Z$1)</f>
        <v>0</v>
      </c>
      <c r="AA126" s="207">
        <f>SUMIFS('сентябрь 2023'!$G$4:$G$1053,'сентябрь 2023'!$D$4:$D$1053,$B126,'сентябрь 2023'!$J$4:$J$1053,AA$1)</f>
        <v>0</v>
      </c>
      <c r="AB126" s="207">
        <f>SUMIFS('сентябрь 2023'!$G$4:$G$1053,'сентябрь 2023'!$D$4:$D$1053,$B126,'сентябрь 2023'!$J$4:$J$1053,AB$1)</f>
        <v>0</v>
      </c>
      <c r="AC126" s="207">
        <f>SUMIFS('сентябрь 2023'!$G$4:$G$1053,'сентябрь 2023'!$D$4:$D$1053,$B126,'сентябрь 2023'!$J$4:$J$1053,AC$1)</f>
        <v>0</v>
      </c>
      <c r="AD126" s="207">
        <f>SUMIFS('сентябрь 2023'!$G$4:$G$1053,'сентябрь 2023'!$D$4:$D$1053,$B126,'сентябрь 2023'!$J$4:$J$1053,AD$1)</f>
        <v>0</v>
      </c>
      <c r="AE126" s="207">
        <f>SUMIFS('сентябрь 2023'!$G$4:$G$1053,'сентябрь 2023'!$D$4:$D$1053,$B126,'сентябрь 2023'!$J$4:$J$1053,AE$1)</f>
        <v>0</v>
      </c>
      <c r="AF126" s="207">
        <f>SUMIFS('сентябрь 2023'!$G$4:$G$1053,'сентябрь 2023'!$D$4:$D$1053,$B126,'сентябрь 2023'!$J$4:$J$1053,AF$1)</f>
        <v>0</v>
      </c>
      <c r="AG126" s="207">
        <f>SUMIFS('сентябрь 2023'!$G$4:$G$1053,'сентябрь 2023'!$D$4:$D$1053,$B126,'сентябрь 2023'!$J$4:$J$1053,AG$1)</f>
        <v>0</v>
      </c>
      <c r="AH126" s="207">
        <f>SUMIFS('сентябрь 2023'!$G$4:$G$1053,'сентябрь 2023'!$D$4:$D$1053,$B126,'сентябрь 2023'!$J$4:$J$1053,AH$1)</f>
        <v>0</v>
      </c>
      <c r="AI126" s="220"/>
    </row>
    <row r="127" spans="2:35" ht="15" hidden="1" customHeight="1" x14ac:dyDescent="0.25">
      <c r="B127" s="212"/>
      <c r="C127" s="211"/>
      <c r="D127" s="207">
        <f>SUMIFS('сентябрь 2023'!$G$4:$G$1053,'сентябрь 2023'!$D$4:$D$1053,$B127,'сентябрь 2023'!$J$4:$J$1053,D$1)</f>
        <v>0</v>
      </c>
      <c r="E127" s="207">
        <f>SUMIFS('сентябрь 2023'!$G$4:$G$1053,'сентябрь 2023'!$D$4:$D$1053,$B127,'сентябрь 2023'!$J$4:$J$1053,E$1)</f>
        <v>0</v>
      </c>
      <c r="F127" s="207">
        <f>SUMIFS('сентябрь 2023'!$G$4:$G$1053,'сентябрь 2023'!$D$4:$D$1053,$B127,'сентябрь 2023'!$J$4:$J$1053,F$1)</f>
        <v>0</v>
      </c>
      <c r="G127" s="207">
        <f>SUMIFS('сентябрь 2023'!$G$4:$G$1053,'сентябрь 2023'!$D$4:$D$1053,$B127,'сентябрь 2023'!$J$4:$J$1053,G$1)</f>
        <v>0</v>
      </c>
      <c r="H127" s="207">
        <f>SUMIFS('сентябрь 2023'!$G$4:$G$1053,'сентябрь 2023'!$D$4:$D$1053,$B127,'сентябрь 2023'!$J$4:$J$1053,H$1)</f>
        <v>0</v>
      </c>
      <c r="I127" s="207">
        <f>SUMIFS('сентябрь 2023'!$G$4:$G$1053,'сентябрь 2023'!$D$4:$D$1053,$B127,'сентябрь 2023'!$J$4:$J$1053,I$1)</f>
        <v>0</v>
      </c>
      <c r="J127" s="207">
        <f>SUMIFS('сентябрь 2023'!$G$4:$G$1053,'сентябрь 2023'!$D$4:$D$1053,$B127,'сентябрь 2023'!$J$4:$J$1053,J$1)</f>
        <v>0</v>
      </c>
      <c r="K127" s="207">
        <f>SUMIFS('сентябрь 2023'!$G$4:$G$1053,'сентябрь 2023'!$D$4:$D$1053,$B127,'сентябрь 2023'!$J$4:$J$1053,K$1)</f>
        <v>0</v>
      </c>
      <c r="L127" s="207">
        <f>SUMIFS('сентябрь 2023'!$G$4:$G$1053,'сентябрь 2023'!$D$4:$D$1053,$B127,'сентябрь 2023'!$J$4:$J$1053,L$1)</f>
        <v>0</v>
      </c>
      <c r="M127" s="207">
        <f>SUMIFS('сентябрь 2023'!$G$4:$G$1053,'сентябрь 2023'!$D$4:$D$1053,$B127,'сентябрь 2023'!$J$4:$J$1053,M$1)</f>
        <v>0</v>
      </c>
      <c r="N127" s="207">
        <f>SUMIFS('сентябрь 2023'!$G$4:$G$1053,'сентябрь 2023'!$D$4:$D$1053,$B127,'сентябрь 2023'!$J$4:$J$1053,N$1)</f>
        <v>0</v>
      </c>
      <c r="O127" s="207">
        <f>SUMIFS('сентябрь 2023'!$G$4:$G$1053,'сентябрь 2023'!$D$4:$D$1053,$B127,'сентябрь 2023'!$J$4:$J$1053,O$1)</f>
        <v>0</v>
      </c>
      <c r="P127" s="207">
        <f>SUMIFS('сентябрь 2023'!$G$4:$G$1053,'сентябрь 2023'!$D$4:$D$1053,$B127,'сентябрь 2023'!$J$4:$J$1053,P$1)</f>
        <v>0</v>
      </c>
      <c r="Q127" s="207">
        <f>SUMIFS('сентябрь 2023'!$G$4:$G$1053,'сентябрь 2023'!$D$4:$D$1053,$B127,'сентябрь 2023'!$J$4:$J$1053,Q$1)</f>
        <v>0</v>
      </c>
      <c r="R127" s="207">
        <f>SUMIFS('сентябрь 2023'!$G$4:$G$1053,'сентябрь 2023'!$D$4:$D$1053,$B127,'сентябрь 2023'!$J$4:$J$1053,R$1)</f>
        <v>0</v>
      </c>
      <c r="S127" s="207">
        <f>SUMIFS('сентябрь 2023'!$G$4:$G$1053,'сентябрь 2023'!$D$4:$D$1053,$B127,'сентябрь 2023'!$J$4:$J$1053,S$1)</f>
        <v>0</v>
      </c>
      <c r="T127" s="207">
        <f>SUMIFS('сентябрь 2023'!$G$4:$G$1053,'сентябрь 2023'!$D$4:$D$1053,$B127,'сентябрь 2023'!$J$4:$J$1053,T$1)</f>
        <v>0</v>
      </c>
      <c r="U127" s="207">
        <f>SUMIFS('сентябрь 2023'!$G$4:$G$1053,'сентябрь 2023'!$D$4:$D$1053,$B127,'сентябрь 2023'!$J$4:$J$1053,U$1)</f>
        <v>0</v>
      </c>
      <c r="V127" s="207">
        <f>SUMIFS('сентябрь 2023'!$G$4:$G$1053,'сентябрь 2023'!$D$4:$D$1053,$B127,'сентябрь 2023'!$J$4:$J$1053,V$1)</f>
        <v>0</v>
      </c>
      <c r="W127" s="207">
        <f>SUMIFS('сентябрь 2023'!$G$4:$G$1053,'сентябрь 2023'!$D$4:$D$1053,$B127,'сентябрь 2023'!$J$4:$J$1053,W$1)</f>
        <v>0</v>
      </c>
      <c r="X127" s="207">
        <f>SUMIFS('сентябрь 2023'!$G$4:$G$1053,'сентябрь 2023'!$D$4:$D$1053,$B127,'сентябрь 2023'!$J$4:$J$1053,X$1)</f>
        <v>0</v>
      </c>
      <c r="Y127" s="207">
        <f>SUMIFS('сентябрь 2023'!$G$4:$G$1053,'сентябрь 2023'!$D$4:$D$1053,$B127,'сентябрь 2023'!$J$4:$J$1053,Y$1)</f>
        <v>0</v>
      </c>
      <c r="Z127" s="207">
        <f>SUMIFS('сентябрь 2023'!$G$4:$G$1053,'сентябрь 2023'!$D$4:$D$1053,$B127,'сентябрь 2023'!$J$4:$J$1053,Z$1)</f>
        <v>0</v>
      </c>
      <c r="AA127" s="207">
        <f>SUMIFS('сентябрь 2023'!$G$4:$G$1053,'сентябрь 2023'!$D$4:$D$1053,$B127,'сентябрь 2023'!$J$4:$J$1053,AA$1)</f>
        <v>0</v>
      </c>
      <c r="AB127" s="207">
        <f>SUMIFS('сентябрь 2023'!$G$4:$G$1053,'сентябрь 2023'!$D$4:$D$1053,$B127,'сентябрь 2023'!$J$4:$J$1053,AB$1)</f>
        <v>0</v>
      </c>
      <c r="AC127" s="207">
        <f>SUMIFS('сентябрь 2023'!$G$4:$G$1053,'сентябрь 2023'!$D$4:$D$1053,$B127,'сентябрь 2023'!$J$4:$J$1053,AC$1)</f>
        <v>0</v>
      </c>
      <c r="AD127" s="207">
        <f>SUMIFS('сентябрь 2023'!$G$4:$G$1053,'сентябрь 2023'!$D$4:$D$1053,$B127,'сентябрь 2023'!$J$4:$J$1053,AD$1)</f>
        <v>0</v>
      </c>
      <c r="AE127" s="207">
        <f>SUMIFS('сентябрь 2023'!$G$4:$G$1053,'сентябрь 2023'!$D$4:$D$1053,$B127,'сентябрь 2023'!$J$4:$J$1053,AE$1)</f>
        <v>0</v>
      </c>
      <c r="AF127" s="207">
        <f>SUMIFS('сентябрь 2023'!$G$4:$G$1053,'сентябрь 2023'!$D$4:$D$1053,$B127,'сентябрь 2023'!$J$4:$J$1053,AF$1)</f>
        <v>0</v>
      </c>
      <c r="AG127" s="207">
        <f>SUMIFS('сентябрь 2023'!$G$4:$G$1053,'сентябрь 2023'!$D$4:$D$1053,$B127,'сентябрь 2023'!$J$4:$J$1053,AG$1)</f>
        <v>0</v>
      </c>
      <c r="AH127" s="207">
        <f>SUMIFS('сентябрь 2023'!$G$4:$G$1053,'сентябрь 2023'!$D$4:$D$1053,$B127,'сентябрь 2023'!$J$4:$J$1053,AH$1)</f>
        <v>0</v>
      </c>
      <c r="AI127" s="220">
        <f t="shared" si="3"/>
        <v>0</v>
      </c>
    </row>
    <row r="128" spans="2:35" ht="15" hidden="1" customHeight="1" x14ac:dyDescent="0.25">
      <c r="B128" s="212"/>
      <c r="C128" s="211"/>
      <c r="D128" s="207">
        <f>SUMIFS('сентябрь 2023'!$G$4:$G$1053,'сентябрь 2023'!$D$4:$D$1053,$B128,'сентябрь 2023'!$J$4:$J$1053,D$1)</f>
        <v>0</v>
      </c>
      <c r="E128" s="207">
        <f>SUMIFS('сентябрь 2023'!$G$4:$G$1053,'сентябрь 2023'!$D$4:$D$1053,$B128,'сентябрь 2023'!$J$4:$J$1053,E$1)</f>
        <v>0</v>
      </c>
      <c r="F128" s="207">
        <f>SUMIFS('сентябрь 2023'!$G$4:$G$1053,'сентябрь 2023'!$D$4:$D$1053,$B128,'сентябрь 2023'!$J$4:$J$1053,F$1)</f>
        <v>0</v>
      </c>
      <c r="G128" s="207">
        <f>SUMIFS('сентябрь 2023'!$G$4:$G$1053,'сентябрь 2023'!$D$4:$D$1053,$B128,'сентябрь 2023'!$J$4:$J$1053,G$1)</f>
        <v>0</v>
      </c>
      <c r="H128" s="207">
        <f>SUMIFS('сентябрь 2023'!$G$4:$G$1053,'сентябрь 2023'!$D$4:$D$1053,$B128,'сентябрь 2023'!$J$4:$J$1053,H$1)</f>
        <v>0</v>
      </c>
      <c r="I128" s="207">
        <f>SUMIFS('сентябрь 2023'!$G$4:$G$1053,'сентябрь 2023'!$D$4:$D$1053,$B128,'сентябрь 2023'!$J$4:$J$1053,I$1)</f>
        <v>0</v>
      </c>
      <c r="J128" s="207">
        <f>SUMIFS('сентябрь 2023'!$G$4:$G$1053,'сентябрь 2023'!$D$4:$D$1053,$B128,'сентябрь 2023'!$J$4:$J$1053,J$1)</f>
        <v>0</v>
      </c>
      <c r="K128" s="207">
        <f>SUMIFS('сентябрь 2023'!$G$4:$G$1053,'сентябрь 2023'!$D$4:$D$1053,$B128,'сентябрь 2023'!$J$4:$J$1053,K$1)</f>
        <v>0</v>
      </c>
      <c r="L128" s="207">
        <f>SUMIFS('сентябрь 2023'!$G$4:$G$1053,'сентябрь 2023'!$D$4:$D$1053,$B128,'сентябрь 2023'!$J$4:$J$1053,L$1)</f>
        <v>0</v>
      </c>
      <c r="M128" s="207">
        <f>SUMIFS('сентябрь 2023'!$G$4:$G$1053,'сентябрь 2023'!$D$4:$D$1053,$B128,'сентябрь 2023'!$J$4:$J$1053,M$1)</f>
        <v>0</v>
      </c>
      <c r="N128" s="207">
        <f>SUMIFS('сентябрь 2023'!$G$4:$G$1053,'сентябрь 2023'!$D$4:$D$1053,$B128,'сентябрь 2023'!$J$4:$J$1053,N$1)</f>
        <v>0</v>
      </c>
      <c r="O128" s="207">
        <f>SUMIFS('сентябрь 2023'!$G$4:$G$1053,'сентябрь 2023'!$D$4:$D$1053,$B128,'сентябрь 2023'!$J$4:$J$1053,O$1)</f>
        <v>0</v>
      </c>
      <c r="P128" s="207">
        <f>SUMIFS('сентябрь 2023'!$G$4:$G$1053,'сентябрь 2023'!$D$4:$D$1053,$B128,'сентябрь 2023'!$J$4:$J$1053,P$1)</f>
        <v>0</v>
      </c>
      <c r="Q128" s="207">
        <f>SUMIFS('сентябрь 2023'!$G$4:$G$1053,'сентябрь 2023'!$D$4:$D$1053,$B128,'сентябрь 2023'!$J$4:$J$1053,Q$1)</f>
        <v>0</v>
      </c>
      <c r="R128" s="207">
        <f>SUMIFS('сентябрь 2023'!$G$4:$G$1053,'сентябрь 2023'!$D$4:$D$1053,$B128,'сентябрь 2023'!$J$4:$J$1053,R$1)</f>
        <v>0</v>
      </c>
      <c r="S128" s="207">
        <f>SUMIFS('сентябрь 2023'!$G$4:$G$1053,'сентябрь 2023'!$D$4:$D$1053,$B128,'сентябрь 2023'!$J$4:$J$1053,S$1)</f>
        <v>0</v>
      </c>
      <c r="T128" s="207">
        <f>SUMIFS('сентябрь 2023'!$G$4:$G$1053,'сентябрь 2023'!$D$4:$D$1053,$B128,'сентябрь 2023'!$J$4:$J$1053,T$1)</f>
        <v>0</v>
      </c>
      <c r="U128" s="207">
        <f>SUMIFS('сентябрь 2023'!$G$4:$G$1053,'сентябрь 2023'!$D$4:$D$1053,$B128,'сентябрь 2023'!$J$4:$J$1053,U$1)</f>
        <v>0</v>
      </c>
      <c r="V128" s="207">
        <f>SUMIFS('сентябрь 2023'!$G$4:$G$1053,'сентябрь 2023'!$D$4:$D$1053,$B128,'сентябрь 2023'!$J$4:$J$1053,V$1)</f>
        <v>0</v>
      </c>
      <c r="W128" s="207">
        <f>SUMIFS('сентябрь 2023'!$G$4:$G$1053,'сентябрь 2023'!$D$4:$D$1053,$B128,'сентябрь 2023'!$J$4:$J$1053,W$1)</f>
        <v>0</v>
      </c>
      <c r="X128" s="207">
        <f>SUMIFS('сентябрь 2023'!$G$4:$G$1053,'сентябрь 2023'!$D$4:$D$1053,$B128,'сентябрь 2023'!$J$4:$J$1053,X$1)</f>
        <v>0</v>
      </c>
      <c r="Y128" s="207">
        <f>SUMIFS('сентябрь 2023'!$G$4:$G$1053,'сентябрь 2023'!$D$4:$D$1053,$B128,'сентябрь 2023'!$J$4:$J$1053,Y$1)</f>
        <v>0</v>
      </c>
      <c r="Z128" s="207">
        <f>SUMIFS('сентябрь 2023'!$G$4:$G$1053,'сентябрь 2023'!$D$4:$D$1053,$B128,'сентябрь 2023'!$J$4:$J$1053,Z$1)</f>
        <v>0</v>
      </c>
      <c r="AA128" s="207">
        <f>SUMIFS('сентябрь 2023'!$G$4:$G$1053,'сентябрь 2023'!$D$4:$D$1053,$B128,'сентябрь 2023'!$J$4:$J$1053,AA$1)</f>
        <v>0</v>
      </c>
      <c r="AB128" s="207">
        <f>SUMIFS('сентябрь 2023'!$G$4:$G$1053,'сентябрь 2023'!$D$4:$D$1053,$B128,'сентябрь 2023'!$J$4:$J$1053,AB$1)</f>
        <v>0</v>
      </c>
      <c r="AC128" s="207">
        <f>SUMIFS('сентябрь 2023'!$G$4:$G$1053,'сентябрь 2023'!$D$4:$D$1053,$B128,'сентябрь 2023'!$J$4:$J$1053,AC$1)</f>
        <v>0</v>
      </c>
      <c r="AD128" s="207">
        <f>SUMIFS('сентябрь 2023'!$G$4:$G$1053,'сентябрь 2023'!$D$4:$D$1053,$B128,'сентябрь 2023'!$J$4:$J$1053,AD$1)</f>
        <v>0</v>
      </c>
      <c r="AE128" s="207">
        <f>SUMIFS('сентябрь 2023'!$G$4:$G$1053,'сентябрь 2023'!$D$4:$D$1053,$B128,'сентябрь 2023'!$J$4:$J$1053,AE$1)</f>
        <v>0</v>
      </c>
      <c r="AF128" s="207">
        <f>SUMIFS('сентябрь 2023'!$G$4:$G$1053,'сентябрь 2023'!$D$4:$D$1053,$B128,'сентябрь 2023'!$J$4:$J$1053,AF$1)</f>
        <v>0</v>
      </c>
      <c r="AG128" s="207">
        <f>SUMIFS('сентябрь 2023'!$G$4:$G$1053,'сентябрь 2023'!$D$4:$D$1053,$B128,'сентябрь 2023'!$J$4:$J$1053,AG$1)</f>
        <v>0</v>
      </c>
      <c r="AH128" s="207">
        <f>SUMIFS('сентябрь 2023'!$G$4:$G$1053,'сентябрь 2023'!$D$4:$D$1053,$B128,'сентябрь 2023'!$J$4:$J$1053,AH$1)</f>
        <v>0</v>
      </c>
      <c r="AI128" s="220">
        <f t="shared" si="3"/>
        <v>0</v>
      </c>
    </row>
    <row r="129" spans="2:35" ht="15" hidden="1" customHeight="1" x14ac:dyDescent="0.25">
      <c r="B129" s="216"/>
      <c r="C129" s="211"/>
      <c r="D129" s="207">
        <f>SUMIFS('сентябрь 2023'!$G$4:$G$1053,'сентябрь 2023'!$D$4:$D$1053,$B129,'сентябрь 2023'!$J$4:$J$1053,D$1)</f>
        <v>0</v>
      </c>
      <c r="E129" s="207">
        <f>SUMIFS('сентябрь 2023'!$G$4:$G$1053,'сентябрь 2023'!$D$4:$D$1053,$B129,'сентябрь 2023'!$J$4:$J$1053,E$1)</f>
        <v>0</v>
      </c>
      <c r="F129" s="207">
        <f>SUMIFS('сентябрь 2023'!$G$4:$G$1053,'сентябрь 2023'!$D$4:$D$1053,$B129,'сентябрь 2023'!$J$4:$J$1053,F$1)</f>
        <v>0</v>
      </c>
      <c r="G129" s="207">
        <f>SUMIFS('сентябрь 2023'!$G$4:$G$1053,'сентябрь 2023'!$D$4:$D$1053,$B129,'сентябрь 2023'!$J$4:$J$1053,G$1)</f>
        <v>0</v>
      </c>
      <c r="H129" s="207">
        <f>SUMIFS('сентябрь 2023'!$G$4:$G$1053,'сентябрь 2023'!$D$4:$D$1053,$B129,'сентябрь 2023'!$J$4:$J$1053,H$1)</f>
        <v>0</v>
      </c>
      <c r="I129" s="207">
        <f>SUMIFS('сентябрь 2023'!$G$4:$G$1053,'сентябрь 2023'!$D$4:$D$1053,$B129,'сентябрь 2023'!$J$4:$J$1053,I$1)</f>
        <v>0</v>
      </c>
      <c r="J129" s="207">
        <f>SUMIFS('сентябрь 2023'!$G$4:$G$1053,'сентябрь 2023'!$D$4:$D$1053,$B129,'сентябрь 2023'!$J$4:$J$1053,J$1)</f>
        <v>0</v>
      </c>
      <c r="K129" s="207">
        <f>SUMIFS('сентябрь 2023'!$G$4:$G$1053,'сентябрь 2023'!$D$4:$D$1053,$B129,'сентябрь 2023'!$J$4:$J$1053,K$1)</f>
        <v>0</v>
      </c>
      <c r="L129" s="207">
        <f>SUMIFS('сентябрь 2023'!$G$4:$G$1053,'сентябрь 2023'!$D$4:$D$1053,$B129,'сентябрь 2023'!$J$4:$J$1053,L$1)</f>
        <v>0</v>
      </c>
      <c r="M129" s="207">
        <f>SUMIFS('сентябрь 2023'!$G$4:$G$1053,'сентябрь 2023'!$D$4:$D$1053,$B129,'сентябрь 2023'!$J$4:$J$1053,M$1)</f>
        <v>0</v>
      </c>
      <c r="N129" s="207">
        <f>SUMIFS('сентябрь 2023'!$G$4:$G$1053,'сентябрь 2023'!$D$4:$D$1053,$B129,'сентябрь 2023'!$J$4:$J$1053,N$1)</f>
        <v>0</v>
      </c>
      <c r="O129" s="207">
        <f>SUMIFS('сентябрь 2023'!$G$4:$G$1053,'сентябрь 2023'!$D$4:$D$1053,$B129,'сентябрь 2023'!$J$4:$J$1053,O$1)</f>
        <v>0</v>
      </c>
      <c r="P129" s="207">
        <f>SUMIFS('сентябрь 2023'!$G$4:$G$1053,'сентябрь 2023'!$D$4:$D$1053,$B129,'сентябрь 2023'!$J$4:$J$1053,P$1)</f>
        <v>0</v>
      </c>
      <c r="Q129" s="207">
        <f>SUMIFS('сентябрь 2023'!$G$4:$G$1053,'сентябрь 2023'!$D$4:$D$1053,$B129,'сентябрь 2023'!$J$4:$J$1053,Q$1)</f>
        <v>0</v>
      </c>
      <c r="R129" s="207">
        <f>SUMIFS('сентябрь 2023'!$G$4:$G$1053,'сентябрь 2023'!$D$4:$D$1053,$B129,'сентябрь 2023'!$J$4:$J$1053,R$1)</f>
        <v>0</v>
      </c>
      <c r="S129" s="207">
        <f>SUMIFS('сентябрь 2023'!$G$4:$G$1053,'сентябрь 2023'!$D$4:$D$1053,$B129,'сентябрь 2023'!$J$4:$J$1053,S$1)</f>
        <v>0</v>
      </c>
      <c r="T129" s="207">
        <f>SUMIFS('сентябрь 2023'!$G$4:$G$1053,'сентябрь 2023'!$D$4:$D$1053,$B129,'сентябрь 2023'!$J$4:$J$1053,T$1)</f>
        <v>0</v>
      </c>
      <c r="U129" s="207">
        <f>SUMIFS('сентябрь 2023'!$G$4:$G$1053,'сентябрь 2023'!$D$4:$D$1053,$B129,'сентябрь 2023'!$J$4:$J$1053,U$1)</f>
        <v>0</v>
      </c>
      <c r="V129" s="207">
        <f>SUMIFS('сентябрь 2023'!$G$4:$G$1053,'сентябрь 2023'!$D$4:$D$1053,$B129,'сентябрь 2023'!$J$4:$J$1053,V$1)</f>
        <v>0</v>
      </c>
      <c r="W129" s="207">
        <f>SUMIFS('сентябрь 2023'!$G$4:$G$1053,'сентябрь 2023'!$D$4:$D$1053,$B129,'сентябрь 2023'!$J$4:$J$1053,W$1)</f>
        <v>0</v>
      </c>
      <c r="X129" s="207">
        <f>SUMIFS('сентябрь 2023'!$G$4:$G$1053,'сентябрь 2023'!$D$4:$D$1053,$B129,'сентябрь 2023'!$J$4:$J$1053,X$1)</f>
        <v>0</v>
      </c>
      <c r="Y129" s="207">
        <f>SUMIFS('сентябрь 2023'!$G$4:$G$1053,'сентябрь 2023'!$D$4:$D$1053,$B129,'сентябрь 2023'!$J$4:$J$1053,Y$1)</f>
        <v>0</v>
      </c>
      <c r="Z129" s="207">
        <f>SUMIFS('сентябрь 2023'!$G$4:$G$1053,'сентябрь 2023'!$D$4:$D$1053,$B129,'сентябрь 2023'!$J$4:$J$1053,Z$1)</f>
        <v>0</v>
      </c>
      <c r="AA129" s="207">
        <f>SUMIFS('сентябрь 2023'!$G$4:$G$1053,'сентябрь 2023'!$D$4:$D$1053,$B129,'сентябрь 2023'!$J$4:$J$1053,AA$1)</f>
        <v>0</v>
      </c>
      <c r="AB129" s="207">
        <f>SUMIFS('сентябрь 2023'!$G$4:$G$1053,'сентябрь 2023'!$D$4:$D$1053,$B129,'сентябрь 2023'!$J$4:$J$1053,AB$1)</f>
        <v>0</v>
      </c>
      <c r="AC129" s="207">
        <f>SUMIFS('сентябрь 2023'!$G$4:$G$1053,'сентябрь 2023'!$D$4:$D$1053,$B129,'сентябрь 2023'!$J$4:$J$1053,AC$1)</f>
        <v>0</v>
      </c>
      <c r="AD129" s="207">
        <f>SUMIFS('сентябрь 2023'!$G$4:$G$1053,'сентябрь 2023'!$D$4:$D$1053,$B129,'сентябрь 2023'!$J$4:$J$1053,AD$1)</f>
        <v>0</v>
      </c>
      <c r="AE129" s="207">
        <f>SUMIFS('сентябрь 2023'!$G$4:$G$1053,'сентябрь 2023'!$D$4:$D$1053,$B129,'сентябрь 2023'!$J$4:$J$1053,AE$1)</f>
        <v>0</v>
      </c>
      <c r="AF129" s="207">
        <f>SUMIFS('сентябрь 2023'!$G$4:$G$1053,'сентябрь 2023'!$D$4:$D$1053,$B129,'сентябрь 2023'!$J$4:$J$1053,AF$1)</f>
        <v>0</v>
      </c>
      <c r="AG129" s="207">
        <f>SUMIFS('сентябрь 2023'!$G$4:$G$1053,'сентябрь 2023'!$D$4:$D$1053,$B129,'сентябрь 2023'!$J$4:$J$1053,AG$1)</f>
        <v>0</v>
      </c>
      <c r="AH129" s="207">
        <f>SUMIFS('сентябрь 2023'!$G$4:$G$1053,'сентябрь 2023'!$D$4:$D$1053,$B129,'сентябрь 2023'!$J$4:$J$1053,AH$1)</f>
        <v>0</v>
      </c>
      <c r="AI129" s="220">
        <f t="shared" si="3"/>
        <v>0</v>
      </c>
    </row>
    <row r="130" spans="2:35" ht="15" hidden="1" customHeight="1" x14ac:dyDescent="0.25">
      <c r="B130" s="216"/>
      <c r="C130" s="213"/>
      <c r="D130" s="207">
        <f>SUMIFS('сентябрь 2023'!$G$4:$G$1053,'сентябрь 2023'!$D$4:$D$1053,$B130,'сентябрь 2023'!$J$4:$J$1053,D$1)</f>
        <v>0</v>
      </c>
      <c r="E130" s="207">
        <f>SUMIFS('сентябрь 2023'!$G$4:$G$1053,'сентябрь 2023'!$D$4:$D$1053,$B130,'сентябрь 2023'!$J$4:$J$1053,E$1)</f>
        <v>0</v>
      </c>
      <c r="F130" s="207">
        <f>SUMIFS('сентябрь 2023'!$G$4:$G$1053,'сентябрь 2023'!$D$4:$D$1053,$B130,'сентябрь 2023'!$J$4:$J$1053,F$1)</f>
        <v>0</v>
      </c>
      <c r="G130" s="207">
        <f>SUMIFS('сентябрь 2023'!$G$4:$G$1053,'сентябрь 2023'!$D$4:$D$1053,$B130,'сентябрь 2023'!$J$4:$J$1053,G$1)</f>
        <v>0</v>
      </c>
      <c r="H130" s="207">
        <f>SUMIFS('сентябрь 2023'!$G$4:$G$1053,'сентябрь 2023'!$D$4:$D$1053,$B130,'сентябрь 2023'!$J$4:$J$1053,H$1)</f>
        <v>0</v>
      </c>
      <c r="I130" s="207">
        <f>SUMIFS('сентябрь 2023'!$G$4:$G$1053,'сентябрь 2023'!$D$4:$D$1053,$B130,'сентябрь 2023'!$J$4:$J$1053,I$1)</f>
        <v>0</v>
      </c>
      <c r="J130" s="207">
        <f>SUMIFS('сентябрь 2023'!$G$4:$G$1053,'сентябрь 2023'!$D$4:$D$1053,$B130,'сентябрь 2023'!$J$4:$J$1053,J$1)</f>
        <v>0</v>
      </c>
      <c r="K130" s="207">
        <f>SUMIFS('сентябрь 2023'!$G$4:$G$1053,'сентябрь 2023'!$D$4:$D$1053,$B130,'сентябрь 2023'!$J$4:$J$1053,K$1)</f>
        <v>0</v>
      </c>
      <c r="L130" s="207">
        <f>SUMIFS('сентябрь 2023'!$G$4:$G$1053,'сентябрь 2023'!$D$4:$D$1053,$B130,'сентябрь 2023'!$J$4:$J$1053,L$1)</f>
        <v>0</v>
      </c>
      <c r="M130" s="207">
        <f>SUMIFS('сентябрь 2023'!$G$4:$G$1053,'сентябрь 2023'!$D$4:$D$1053,$B130,'сентябрь 2023'!$J$4:$J$1053,M$1)</f>
        <v>0</v>
      </c>
      <c r="N130" s="207">
        <f>SUMIFS('сентябрь 2023'!$G$4:$G$1053,'сентябрь 2023'!$D$4:$D$1053,$B130,'сентябрь 2023'!$J$4:$J$1053,N$1)</f>
        <v>0</v>
      </c>
      <c r="O130" s="207">
        <f>SUMIFS('сентябрь 2023'!$G$4:$G$1053,'сентябрь 2023'!$D$4:$D$1053,$B130,'сентябрь 2023'!$J$4:$J$1053,O$1)</f>
        <v>0</v>
      </c>
      <c r="P130" s="207">
        <f>SUMIFS('сентябрь 2023'!$G$4:$G$1053,'сентябрь 2023'!$D$4:$D$1053,$B130,'сентябрь 2023'!$J$4:$J$1053,P$1)</f>
        <v>0</v>
      </c>
      <c r="Q130" s="207">
        <f>SUMIFS('сентябрь 2023'!$G$4:$G$1053,'сентябрь 2023'!$D$4:$D$1053,$B130,'сентябрь 2023'!$J$4:$J$1053,Q$1)</f>
        <v>0</v>
      </c>
      <c r="R130" s="207">
        <f>SUMIFS('сентябрь 2023'!$G$4:$G$1053,'сентябрь 2023'!$D$4:$D$1053,$B130,'сентябрь 2023'!$J$4:$J$1053,R$1)</f>
        <v>0</v>
      </c>
      <c r="S130" s="207">
        <f>SUMIFS('сентябрь 2023'!$G$4:$G$1053,'сентябрь 2023'!$D$4:$D$1053,$B130,'сентябрь 2023'!$J$4:$J$1053,S$1)</f>
        <v>0</v>
      </c>
      <c r="T130" s="207">
        <f>SUMIFS('сентябрь 2023'!$G$4:$G$1053,'сентябрь 2023'!$D$4:$D$1053,$B130,'сентябрь 2023'!$J$4:$J$1053,T$1)</f>
        <v>0</v>
      </c>
      <c r="U130" s="207">
        <f>SUMIFS('сентябрь 2023'!$G$4:$G$1053,'сентябрь 2023'!$D$4:$D$1053,$B130,'сентябрь 2023'!$J$4:$J$1053,U$1)</f>
        <v>0</v>
      </c>
      <c r="V130" s="207">
        <f>SUMIFS('сентябрь 2023'!$G$4:$G$1053,'сентябрь 2023'!$D$4:$D$1053,$B130,'сентябрь 2023'!$J$4:$J$1053,V$1)</f>
        <v>0</v>
      </c>
      <c r="W130" s="207">
        <f>SUMIFS('сентябрь 2023'!$G$4:$G$1053,'сентябрь 2023'!$D$4:$D$1053,$B130,'сентябрь 2023'!$J$4:$J$1053,W$1)</f>
        <v>0</v>
      </c>
      <c r="X130" s="207">
        <f>SUMIFS('сентябрь 2023'!$G$4:$G$1053,'сентябрь 2023'!$D$4:$D$1053,$B130,'сентябрь 2023'!$J$4:$J$1053,X$1)</f>
        <v>0</v>
      </c>
      <c r="Y130" s="207">
        <f>SUMIFS('сентябрь 2023'!$G$4:$G$1053,'сентябрь 2023'!$D$4:$D$1053,$B130,'сентябрь 2023'!$J$4:$J$1053,Y$1)</f>
        <v>0</v>
      </c>
      <c r="Z130" s="207">
        <f>SUMIFS('сентябрь 2023'!$G$4:$G$1053,'сентябрь 2023'!$D$4:$D$1053,$B130,'сентябрь 2023'!$J$4:$J$1053,Z$1)</f>
        <v>0</v>
      </c>
      <c r="AA130" s="207">
        <f>SUMIFS('сентябрь 2023'!$G$4:$G$1053,'сентябрь 2023'!$D$4:$D$1053,$B130,'сентябрь 2023'!$J$4:$J$1053,AA$1)</f>
        <v>0</v>
      </c>
      <c r="AB130" s="207">
        <f>SUMIFS('сентябрь 2023'!$G$4:$G$1053,'сентябрь 2023'!$D$4:$D$1053,$B130,'сентябрь 2023'!$J$4:$J$1053,AB$1)</f>
        <v>0</v>
      </c>
      <c r="AC130" s="207">
        <f>SUMIFS('сентябрь 2023'!$G$4:$G$1053,'сентябрь 2023'!$D$4:$D$1053,$B130,'сентябрь 2023'!$J$4:$J$1053,AC$1)</f>
        <v>0</v>
      </c>
      <c r="AD130" s="207">
        <f>SUMIFS('сентябрь 2023'!$G$4:$G$1053,'сентябрь 2023'!$D$4:$D$1053,$B130,'сентябрь 2023'!$J$4:$J$1053,AD$1)</f>
        <v>0</v>
      </c>
      <c r="AE130" s="207">
        <f>SUMIFS('сентябрь 2023'!$G$4:$G$1053,'сентябрь 2023'!$D$4:$D$1053,$B130,'сентябрь 2023'!$J$4:$J$1053,AE$1)</f>
        <v>0</v>
      </c>
      <c r="AF130" s="207">
        <f>SUMIFS('сентябрь 2023'!$G$4:$G$1053,'сентябрь 2023'!$D$4:$D$1053,$B130,'сентябрь 2023'!$J$4:$J$1053,AF$1)</f>
        <v>0</v>
      </c>
      <c r="AG130" s="207">
        <f>SUMIFS('сентябрь 2023'!$G$4:$G$1053,'сентябрь 2023'!$D$4:$D$1053,$B130,'сентябрь 2023'!$J$4:$J$1053,AG$1)</f>
        <v>0</v>
      </c>
      <c r="AH130" s="207">
        <f>SUMIFS('сентябрь 2023'!$G$4:$G$1053,'сентябрь 2023'!$D$4:$D$1053,$B130,'сентябрь 2023'!$J$4:$J$1053,AH$1)</f>
        <v>0</v>
      </c>
      <c r="AI130" s="220">
        <f t="shared" si="3"/>
        <v>0</v>
      </c>
    </row>
    <row r="131" spans="2:35" ht="15" hidden="1" customHeight="1" x14ac:dyDescent="0.25">
      <c r="B131" s="212"/>
      <c r="C131" s="211"/>
      <c r="D131" s="207">
        <f>SUMIFS('сентябрь 2023'!$G$4:$G$1053,'сентябрь 2023'!$D$4:$D$1053,$B131,'сентябрь 2023'!$J$4:$J$1053,D$1)</f>
        <v>0</v>
      </c>
      <c r="E131" s="207">
        <f>SUMIFS('сентябрь 2023'!$G$4:$G$1053,'сентябрь 2023'!$D$4:$D$1053,$B131,'сентябрь 2023'!$J$4:$J$1053,E$1)</f>
        <v>0</v>
      </c>
      <c r="F131" s="207">
        <f>SUMIFS('сентябрь 2023'!$G$4:$G$1053,'сентябрь 2023'!$D$4:$D$1053,$B131,'сентябрь 2023'!$J$4:$J$1053,F$1)</f>
        <v>0</v>
      </c>
      <c r="G131" s="207">
        <f>SUMIFS('сентябрь 2023'!$G$4:$G$1053,'сентябрь 2023'!$D$4:$D$1053,$B131,'сентябрь 2023'!$J$4:$J$1053,G$1)</f>
        <v>0</v>
      </c>
      <c r="H131" s="207">
        <f>SUMIFS('сентябрь 2023'!$G$4:$G$1053,'сентябрь 2023'!$D$4:$D$1053,$B131,'сентябрь 2023'!$J$4:$J$1053,H$1)</f>
        <v>0</v>
      </c>
      <c r="I131" s="207">
        <f>SUMIFS('сентябрь 2023'!$G$4:$G$1053,'сентябрь 2023'!$D$4:$D$1053,$B131,'сентябрь 2023'!$J$4:$J$1053,I$1)</f>
        <v>0</v>
      </c>
      <c r="J131" s="207">
        <f>SUMIFS('сентябрь 2023'!$G$4:$G$1053,'сентябрь 2023'!$D$4:$D$1053,$B131,'сентябрь 2023'!$J$4:$J$1053,J$1)</f>
        <v>0</v>
      </c>
      <c r="K131" s="207">
        <f>SUMIFS('сентябрь 2023'!$G$4:$G$1053,'сентябрь 2023'!$D$4:$D$1053,$B131,'сентябрь 2023'!$J$4:$J$1053,K$1)</f>
        <v>0</v>
      </c>
      <c r="L131" s="207">
        <f>SUMIFS('сентябрь 2023'!$G$4:$G$1053,'сентябрь 2023'!$D$4:$D$1053,$B131,'сентябрь 2023'!$J$4:$J$1053,L$1)</f>
        <v>0</v>
      </c>
      <c r="M131" s="207">
        <f>SUMIFS('сентябрь 2023'!$G$4:$G$1053,'сентябрь 2023'!$D$4:$D$1053,$B131,'сентябрь 2023'!$J$4:$J$1053,M$1)</f>
        <v>0</v>
      </c>
      <c r="N131" s="207">
        <f>SUMIFS('сентябрь 2023'!$G$4:$G$1053,'сентябрь 2023'!$D$4:$D$1053,$B131,'сентябрь 2023'!$J$4:$J$1053,N$1)</f>
        <v>0</v>
      </c>
      <c r="O131" s="207">
        <f>SUMIFS('сентябрь 2023'!$G$4:$G$1053,'сентябрь 2023'!$D$4:$D$1053,$B131,'сентябрь 2023'!$J$4:$J$1053,O$1)</f>
        <v>0</v>
      </c>
      <c r="P131" s="207">
        <f>SUMIFS('сентябрь 2023'!$G$4:$G$1053,'сентябрь 2023'!$D$4:$D$1053,$B131,'сентябрь 2023'!$J$4:$J$1053,P$1)</f>
        <v>0</v>
      </c>
      <c r="Q131" s="207">
        <f>SUMIFS('сентябрь 2023'!$G$4:$G$1053,'сентябрь 2023'!$D$4:$D$1053,$B131,'сентябрь 2023'!$J$4:$J$1053,Q$1)</f>
        <v>0</v>
      </c>
      <c r="R131" s="207">
        <f>SUMIFS('сентябрь 2023'!$G$4:$G$1053,'сентябрь 2023'!$D$4:$D$1053,$B131,'сентябрь 2023'!$J$4:$J$1053,R$1)</f>
        <v>0</v>
      </c>
      <c r="S131" s="207">
        <f>SUMIFS('сентябрь 2023'!$G$4:$G$1053,'сентябрь 2023'!$D$4:$D$1053,$B131,'сентябрь 2023'!$J$4:$J$1053,S$1)</f>
        <v>0</v>
      </c>
      <c r="T131" s="207">
        <f>SUMIFS('сентябрь 2023'!$G$4:$G$1053,'сентябрь 2023'!$D$4:$D$1053,$B131,'сентябрь 2023'!$J$4:$J$1053,T$1)</f>
        <v>0</v>
      </c>
      <c r="U131" s="207">
        <f>SUMIFS('сентябрь 2023'!$G$4:$G$1053,'сентябрь 2023'!$D$4:$D$1053,$B131,'сентябрь 2023'!$J$4:$J$1053,U$1)</f>
        <v>0</v>
      </c>
      <c r="V131" s="207">
        <f>SUMIFS('сентябрь 2023'!$G$4:$G$1053,'сентябрь 2023'!$D$4:$D$1053,$B131,'сентябрь 2023'!$J$4:$J$1053,V$1)</f>
        <v>0</v>
      </c>
      <c r="W131" s="207">
        <f>SUMIFS('сентябрь 2023'!$G$4:$G$1053,'сентябрь 2023'!$D$4:$D$1053,$B131,'сентябрь 2023'!$J$4:$J$1053,W$1)</f>
        <v>0</v>
      </c>
      <c r="X131" s="207">
        <f>SUMIFS('сентябрь 2023'!$G$4:$G$1053,'сентябрь 2023'!$D$4:$D$1053,$B131,'сентябрь 2023'!$J$4:$J$1053,X$1)</f>
        <v>0</v>
      </c>
      <c r="Y131" s="207">
        <f>SUMIFS('сентябрь 2023'!$G$4:$G$1053,'сентябрь 2023'!$D$4:$D$1053,$B131,'сентябрь 2023'!$J$4:$J$1053,Y$1)</f>
        <v>0</v>
      </c>
      <c r="Z131" s="207">
        <f>SUMIFS('сентябрь 2023'!$G$4:$G$1053,'сентябрь 2023'!$D$4:$D$1053,$B131,'сентябрь 2023'!$J$4:$J$1053,Z$1)</f>
        <v>0</v>
      </c>
      <c r="AA131" s="207">
        <f>SUMIFS('сентябрь 2023'!$G$4:$G$1053,'сентябрь 2023'!$D$4:$D$1053,$B131,'сентябрь 2023'!$J$4:$J$1053,AA$1)</f>
        <v>0</v>
      </c>
      <c r="AB131" s="207">
        <f>SUMIFS('сентябрь 2023'!$G$4:$G$1053,'сентябрь 2023'!$D$4:$D$1053,$B131,'сентябрь 2023'!$J$4:$J$1053,AB$1)</f>
        <v>0</v>
      </c>
      <c r="AC131" s="207">
        <f>SUMIFS('сентябрь 2023'!$G$4:$G$1053,'сентябрь 2023'!$D$4:$D$1053,$B131,'сентябрь 2023'!$J$4:$J$1053,AC$1)</f>
        <v>0</v>
      </c>
      <c r="AD131" s="207">
        <f>SUMIFS('сентябрь 2023'!$G$4:$G$1053,'сентябрь 2023'!$D$4:$D$1053,$B131,'сентябрь 2023'!$J$4:$J$1053,AD$1)</f>
        <v>0</v>
      </c>
      <c r="AE131" s="207">
        <f>SUMIFS('сентябрь 2023'!$G$4:$G$1053,'сентябрь 2023'!$D$4:$D$1053,$B131,'сентябрь 2023'!$J$4:$J$1053,AE$1)</f>
        <v>0</v>
      </c>
      <c r="AF131" s="207">
        <f>SUMIFS('сентябрь 2023'!$G$4:$G$1053,'сентябрь 2023'!$D$4:$D$1053,$B131,'сентябрь 2023'!$J$4:$J$1053,AF$1)</f>
        <v>0</v>
      </c>
      <c r="AG131" s="207">
        <f>SUMIFS('сентябрь 2023'!$G$4:$G$1053,'сентябрь 2023'!$D$4:$D$1053,$B131,'сентябрь 2023'!$J$4:$J$1053,AG$1)</f>
        <v>0</v>
      </c>
      <c r="AH131" s="207">
        <f>SUMIFS('сентябрь 2023'!$G$4:$G$1053,'сентябрь 2023'!$D$4:$D$1053,$B131,'сентябрь 2023'!$J$4:$J$1053,AH$1)</f>
        <v>0</v>
      </c>
      <c r="AI131" s="220"/>
    </row>
    <row r="132" spans="2:35" ht="15" hidden="1" customHeight="1" x14ac:dyDescent="0.25">
      <c r="B132" s="217"/>
      <c r="C132" s="213"/>
      <c r="D132" s="207">
        <f>SUMIFS('сентябрь 2023'!$G$4:$G$1053,'сентябрь 2023'!$D$4:$D$1053,$B132,'сентябрь 2023'!$J$4:$J$1053,D$1)</f>
        <v>0</v>
      </c>
      <c r="E132" s="207">
        <f>SUMIFS('сентябрь 2023'!$G$4:$G$1053,'сентябрь 2023'!$D$4:$D$1053,$B132,'сентябрь 2023'!$J$4:$J$1053,E$1)</f>
        <v>0</v>
      </c>
      <c r="F132" s="207">
        <f>SUMIFS('сентябрь 2023'!$G$4:$G$1053,'сентябрь 2023'!$D$4:$D$1053,$B132,'сентябрь 2023'!$J$4:$J$1053,F$1)</f>
        <v>0</v>
      </c>
      <c r="G132" s="207">
        <f>SUMIFS('сентябрь 2023'!$G$4:$G$1053,'сентябрь 2023'!$D$4:$D$1053,$B132,'сентябрь 2023'!$J$4:$J$1053,G$1)</f>
        <v>0</v>
      </c>
      <c r="H132" s="207">
        <f>SUMIFS('сентябрь 2023'!$G$4:$G$1053,'сентябрь 2023'!$D$4:$D$1053,$B132,'сентябрь 2023'!$J$4:$J$1053,H$1)</f>
        <v>0</v>
      </c>
      <c r="I132" s="207">
        <f>SUMIFS('сентябрь 2023'!$G$4:$G$1053,'сентябрь 2023'!$D$4:$D$1053,$B132,'сентябрь 2023'!$J$4:$J$1053,I$1)</f>
        <v>0</v>
      </c>
      <c r="J132" s="207">
        <f>SUMIFS('сентябрь 2023'!$G$4:$G$1053,'сентябрь 2023'!$D$4:$D$1053,$B132,'сентябрь 2023'!$J$4:$J$1053,J$1)</f>
        <v>0</v>
      </c>
      <c r="K132" s="207">
        <f>SUMIFS('сентябрь 2023'!$G$4:$G$1053,'сентябрь 2023'!$D$4:$D$1053,$B132,'сентябрь 2023'!$J$4:$J$1053,K$1)</f>
        <v>0</v>
      </c>
      <c r="L132" s="207">
        <f>SUMIFS('сентябрь 2023'!$G$4:$G$1053,'сентябрь 2023'!$D$4:$D$1053,$B132,'сентябрь 2023'!$J$4:$J$1053,L$1)</f>
        <v>0</v>
      </c>
      <c r="M132" s="207">
        <f>SUMIFS('сентябрь 2023'!$G$4:$G$1053,'сентябрь 2023'!$D$4:$D$1053,$B132,'сентябрь 2023'!$J$4:$J$1053,M$1)</f>
        <v>0</v>
      </c>
      <c r="N132" s="207">
        <f>SUMIFS('сентябрь 2023'!$G$4:$G$1053,'сентябрь 2023'!$D$4:$D$1053,$B132,'сентябрь 2023'!$J$4:$J$1053,N$1)</f>
        <v>0</v>
      </c>
      <c r="O132" s="207">
        <f>SUMIFS('сентябрь 2023'!$G$4:$G$1053,'сентябрь 2023'!$D$4:$D$1053,$B132,'сентябрь 2023'!$J$4:$J$1053,O$1)</f>
        <v>0</v>
      </c>
      <c r="P132" s="207">
        <f>SUMIFS('сентябрь 2023'!$G$4:$G$1053,'сентябрь 2023'!$D$4:$D$1053,$B132,'сентябрь 2023'!$J$4:$J$1053,P$1)</f>
        <v>0</v>
      </c>
      <c r="Q132" s="207">
        <f>SUMIFS('сентябрь 2023'!$G$4:$G$1053,'сентябрь 2023'!$D$4:$D$1053,$B132,'сентябрь 2023'!$J$4:$J$1053,Q$1)</f>
        <v>0</v>
      </c>
      <c r="R132" s="207">
        <f>SUMIFS('сентябрь 2023'!$G$4:$G$1053,'сентябрь 2023'!$D$4:$D$1053,$B132,'сентябрь 2023'!$J$4:$J$1053,R$1)</f>
        <v>0</v>
      </c>
      <c r="S132" s="207">
        <f>SUMIFS('сентябрь 2023'!$G$4:$G$1053,'сентябрь 2023'!$D$4:$D$1053,$B132,'сентябрь 2023'!$J$4:$J$1053,S$1)</f>
        <v>0</v>
      </c>
      <c r="T132" s="207">
        <f>SUMIFS('сентябрь 2023'!$G$4:$G$1053,'сентябрь 2023'!$D$4:$D$1053,$B132,'сентябрь 2023'!$J$4:$J$1053,T$1)</f>
        <v>0</v>
      </c>
      <c r="U132" s="207">
        <f>SUMIFS('сентябрь 2023'!$G$4:$G$1053,'сентябрь 2023'!$D$4:$D$1053,$B132,'сентябрь 2023'!$J$4:$J$1053,U$1)</f>
        <v>0</v>
      </c>
      <c r="V132" s="207">
        <f>SUMIFS('сентябрь 2023'!$G$4:$G$1053,'сентябрь 2023'!$D$4:$D$1053,$B132,'сентябрь 2023'!$J$4:$J$1053,V$1)</f>
        <v>0</v>
      </c>
      <c r="W132" s="207">
        <f>SUMIFS('сентябрь 2023'!$G$4:$G$1053,'сентябрь 2023'!$D$4:$D$1053,$B132,'сентябрь 2023'!$J$4:$J$1053,W$1)</f>
        <v>0</v>
      </c>
      <c r="X132" s="207">
        <f>SUMIFS('сентябрь 2023'!$G$4:$G$1053,'сентябрь 2023'!$D$4:$D$1053,$B132,'сентябрь 2023'!$J$4:$J$1053,X$1)</f>
        <v>0</v>
      </c>
      <c r="Y132" s="207">
        <f>SUMIFS('сентябрь 2023'!$G$4:$G$1053,'сентябрь 2023'!$D$4:$D$1053,$B132,'сентябрь 2023'!$J$4:$J$1053,Y$1)</f>
        <v>0</v>
      </c>
      <c r="Z132" s="207">
        <f>SUMIFS('сентябрь 2023'!$G$4:$G$1053,'сентябрь 2023'!$D$4:$D$1053,$B132,'сентябрь 2023'!$J$4:$J$1053,Z$1)</f>
        <v>0</v>
      </c>
      <c r="AA132" s="207">
        <f>SUMIFS('сентябрь 2023'!$G$4:$G$1053,'сентябрь 2023'!$D$4:$D$1053,$B132,'сентябрь 2023'!$J$4:$J$1053,AA$1)</f>
        <v>0</v>
      </c>
      <c r="AB132" s="207">
        <f>SUMIFS('сентябрь 2023'!$G$4:$G$1053,'сентябрь 2023'!$D$4:$D$1053,$B132,'сентябрь 2023'!$J$4:$J$1053,AB$1)</f>
        <v>0</v>
      </c>
      <c r="AC132" s="207">
        <f>SUMIFS('сентябрь 2023'!$G$4:$G$1053,'сентябрь 2023'!$D$4:$D$1053,$B132,'сентябрь 2023'!$J$4:$J$1053,AC$1)</f>
        <v>0</v>
      </c>
      <c r="AD132" s="207">
        <f>SUMIFS('сентябрь 2023'!$G$4:$G$1053,'сентябрь 2023'!$D$4:$D$1053,$B132,'сентябрь 2023'!$J$4:$J$1053,AD$1)</f>
        <v>0</v>
      </c>
      <c r="AE132" s="207">
        <f>SUMIFS('сентябрь 2023'!$G$4:$G$1053,'сентябрь 2023'!$D$4:$D$1053,$B132,'сентябрь 2023'!$J$4:$J$1053,AE$1)</f>
        <v>0</v>
      </c>
      <c r="AF132" s="207">
        <f>SUMIFS('сентябрь 2023'!$G$4:$G$1053,'сентябрь 2023'!$D$4:$D$1053,$B132,'сентябрь 2023'!$J$4:$J$1053,AF$1)</f>
        <v>0</v>
      </c>
      <c r="AG132" s="207">
        <f>SUMIFS('сентябрь 2023'!$G$4:$G$1053,'сентябрь 2023'!$D$4:$D$1053,$B132,'сентябрь 2023'!$J$4:$J$1053,AG$1)</f>
        <v>0</v>
      </c>
      <c r="AH132" s="207">
        <f>SUMIFS('сентябрь 2023'!$G$4:$G$1053,'сентябрь 2023'!$D$4:$D$1053,$B132,'сентябрь 2023'!$J$4:$J$1053,AH$1)</f>
        <v>0</v>
      </c>
      <c r="AI132" s="220"/>
    </row>
    <row r="133" spans="2:35" ht="15" hidden="1" customHeight="1" x14ac:dyDescent="0.25">
      <c r="B133" s="212"/>
      <c r="C133" s="213"/>
      <c r="D133" s="207">
        <f>SUMIFS('сентябрь 2023'!$G$4:$G$1053,'сентябрь 2023'!$D$4:$D$1053,$B133,'сентябрь 2023'!$J$4:$J$1053,D$1)</f>
        <v>0</v>
      </c>
      <c r="E133" s="207">
        <f>SUMIFS('сентябрь 2023'!$G$4:$G$1053,'сентябрь 2023'!$D$4:$D$1053,$B133,'сентябрь 2023'!$J$4:$J$1053,E$1)</f>
        <v>0</v>
      </c>
      <c r="F133" s="207">
        <f>SUMIFS('сентябрь 2023'!$G$4:$G$1053,'сентябрь 2023'!$D$4:$D$1053,$B133,'сентябрь 2023'!$J$4:$J$1053,F$1)</f>
        <v>0</v>
      </c>
      <c r="G133" s="207">
        <f>SUMIFS('сентябрь 2023'!$G$4:$G$1053,'сентябрь 2023'!$D$4:$D$1053,$B133,'сентябрь 2023'!$J$4:$J$1053,G$1)</f>
        <v>0</v>
      </c>
      <c r="H133" s="207">
        <f>SUMIFS('сентябрь 2023'!$G$4:$G$1053,'сентябрь 2023'!$D$4:$D$1053,$B133,'сентябрь 2023'!$J$4:$J$1053,H$1)</f>
        <v>0</v>
      </c>
      <c r="I133" s="207">
        <f>SUMIFS('сентябрь 2023'!$G$4:$G$1053,'сентябрь 2023'!$D$4:$D$1053,$B133,'сентябрь 2023'!$J$4:$J$1053,I$1)</f>
        <v>0</v>
      </c>
      <c r="J133" s="207">
        <f>SUMIFS('сентябрь 2023'!$G$4:$G$1053,'сентябрь 2023'!$D$4:$D$1053,$B133,'сентябрь 2023'!$J$4:$J$1053,J$1)</f>
        <v>0</v>
      </c>
      <c r="K133" s="207">
        <f>SUMIFS('сентябрь 2023'!$G$4:$G$1053,'сентябрь 2023'!$D$4:$D$1053,$B133,'сентябрь 2023'!$J$4:$J$1053,K$1)</f>
        <v>0</v>
      </c>
      <c r="L133" s="207">
        <f>SUMIFS('сентябрь 2023'!$G$4:$G$1053,'сентябрь 2023'!$D$4:$D$1053,$B133,'сентябрь 2023'!$J$4:$J$1053,L$1)</f>
        <v>0</v>
      </c>
      <c r="M133" s="207">
        <f>SUMIFS('сентябрь 2023'!$G$4:$G$1053,'сентябрь 2023'!$D$4:$D$1053,$B133,'сентябрь 2023'!$J$4:$J$1053,M$1)</f>
        <v>0</v>
      </c>
      <c r="N133" s="207">
        <f>SUMIFS('сентябрь 2023'!$G$4:$G$1053,'сентябрь 2023'!$D$4:$D$1053,$B133,'сентябрь 2023'!$J$4:$J$1053,N$1)</f>
        <v>0</v>
      </c>
      <c r="O133" s="207">
        <f>SUMIFS('сентябрь 2023'!$G$4:$G$1053,'сентябрь 2023'!$D$4:$D$1053,$B133,'сентябрь 2023'!$J$4:$J$1053,O$1)</f>
        <v>0</v>
      </c>
      <c r="P133" s="207">
        <f>SUMIFS('сентябрь 2023'!$G$4:$G$1053,'сентябрь 2023'!$D$4:$D$1053,$B133,'сентябрь 2023'!$J$4:$J$1053,P$1)</f>
        <v>0</v>
      </c>
      <c r="Q133" s="207">
        <f>SUMIFS('сентябрь 2023'!$G$4:$G$1053,'сентябрь 2023'!$D$4:$D$1053,$B133,'сентябрь 2023'!$J$4:$J$1053,Q$1)</f>
        <v>0</v>
      </c>
      <c r="R133" s="207">
        <f>SUMIFS('сентябрь 2023'!$G$4:$G$1053,'сентябрь 2023'!$D$4:$D$1053,$B133,'сентябрь 2023'!$J$4:$J$1053,R$1)</f>
        <v>0</v>
      </c>
      <c r="S133" s="207">
        <f>SUMIFS('сентябрь 2023'!$G$4:$G$1053,'сентябрь 2023'!$D$4:$D$1053,$B133,'сентябрь 2023'!$J$4:$J$1053,S$1)</f>
        <v>0</v>
      </c>
      <c r="T133" s="207">
        <f>SUMIFS('сентябрь 2023'!$G$4:$G$1053,'сентябрь 2023'!$D$4:$D$1053,$B133,'сентябрь 2023'!$J$4:$J$1053,T$1)</f>
        <v>0</v>
      </c>
      <c r="U133" s="207">
        <f>SUMIFS('сентябрь 2023'!$G$4:$G$1053,'сентябрь 2023'!$D$4:$D$1053,$B133,'сентябрь 2023'!$J$4:$J$1053,U$1)</f>
        <v>0</v>
      </c>
      <c r="V133" s="207">
        <f>SUMIFS('сентябрь 2023'!$G$4:$G$1053,'сентябрь 2023'!$D$4:$D$1053,$B133,'сентябрь 2023'!$J$4:$J$1053,V$1)</f>
        <v>0</v>
      </c>
      <c r="W133" s="207">
        <f>SUMIFS('сентябрь 2023'!$G$4:$G$1053,'сентябрь 2023'!$D$4:$D$1053,$B133,'сентябрь 2023'!$J$4:$J$1053,W$1)</f>
        <v>0</v>
      </c>
      <c r="X133" s="207">
        <f>SUMIFS('сентябрь 2023'!$G$4:$G$1053,'сентябрь 2023'!$D$4:$D$1053,$B133,'сентябрь 2023'!$J$4:$J$1053,X$1)</f>
        <v>0</v>
      </c>
      <c r="Y133" s="207">
        <f>SUMIFS('сентябрь 2023'!$G$4:$G$1053,'сентябрь 2023'!$D$4:$D$1053,$B133,'сентябрь 2023'!$J$4:$J$1053,Y$1)</f>
        <v>0</v>
      </c>
      <c r="Z133" s="207">
        <f>SUMIFS('сентябрь 2023'!$G$4:$G$1053,'сентябрь 2023'!$D$4:$D$1053,$B133,'сентябрь 2023'!$J$4:$J$1053,Z$1)</f>
        <v>0</v>
      </c>
      <c r="AA133" s="207">
        <f>SUMIFS('сентябрь 2023'!$G$4:$G$1053,'сентябрь 2023'!$D$4:$D$1053,$B133,'сентябрь 2023'!$J$4:$J$1053,AA$1)</f>
        <v>0</v>
      </c>
      <c r="AB133" s="207">
        <f>SUMIFS('сентябрь 2023'!$G$4:$G$1053,'сентябрь 2023'!$D$4:$D$1053,$B133,'сентябрь 2023'!$J$4:$J$1053,AB$1)</f>
        <v>0</v>
      </c>
      <c r="AC133" s="207">
        <f>SUMIFS('сентябрь 2023'!$G$4:$G$1053,'сентябрь 2023'!$D$4:$D$1053,$B133,'сентябрь 2023'!$J$4:$J$1053,AC$1)</f>
        <v>0</v>
      </c>
      <c r="AD133" s="207">
        <f>SUMIFS('сентябрь 2023'!$G$4:$G$1053,'сентябрь 2023'!$D$4:$D$1053,$B133,'сентябрь 2023'!$J$4:$J$1053,AD$1)</f>
        <v>0</v>
      </c>
      <c r="AE133" s="207">
        <f>SUMIFS('сентябрь 2023'!$G$4:$G$1053,'сентябрь 2023'!$D$4:$D$1053,$B133,'сентябрь 2023'!$J$4:$J$1053,AE$1)</f>
        <v>0</v>
      </c>
      <c r="AF133" s="207">
        <f>SUMIFS('сентябрь 2023'!$G$4:$G$1053,'сентябрь 2023'!$D$4:$D$1053,$B133,'сентябрь 2023'!$J$4:$J$1053,AF$1)</f>
        <v>0</v>
      </c>
      <c r="AG133" s="207">
        <f>SUMIFS('сентябрь 2023'!$G$4:$G$1053,'сентябрь 2023'!$D$4:$D$1053,$B133,'сентябрь 2023'!$J$4:$J$1053,AG$1)</f>
        <v>0</v>
      </c>
      <c r="AH133" s="207">
        <f>SUMIFS('сентябрь 2023'!$G$4:$G$1053,'сентябрь 2023'!$D$4:$D$1053,$B133,'сентябрь 2023'!$J$4:$J$1053,AH$1)</f>
        <v>0</v>
      </c>
      <c r="AI133" s="220"/>
    </row>
    <row r="134" spans="2:35" ht="15" hidden="1" customHeight="1" x14ac:dyDescent="0.25">
      <c r="B134" s="212"/>
      <c r="C134" s="211"/>
      <c r="D134" s="207">
        <f>SUMIFS('сентябрь 2023'!$G$4:$G$1053,'сентябрь 2023'!$D$4:$D$1053,$B134,'сентябрь 2023'!$J$4:$J$1053,D$1)</f>
        <v>0</v>
      </c>
      <c r="E134" s="207">
        <f>SUMIFS('сентябрь 2023'!$G$4:$G$1053,'сентябрь 2023'!$D$4:$D$1053,$B134,'сентябрь 2023'!$J$4:$J$1053,E$1)</f>
        <v>0</v>
      </c>
      <c r="F134" s="207">
        <f>SUMIFS('сентябрь 2023'!$G$4:$G$1053,'сентябрь 2023'!$D$4:$D$1053,$B134,'сентябрь 2023'!$J$4:$J$1053,F$1)</f>
        <v>0</v>
      </c>
      <c r="G134" s="207">
        <f>SUMIFS('сентябрь 2023'!$G$4:$G$1053,'сентябрь 2023'!$D$4:$D$1053,$B134,'сентябрь 2023'!$J$4:$J$1053,G$1)</f>
        <v>0</v>
      </c>
      <c r="H134" s="207">
        <f>SUMIFS('сентябрь 2023'!$G$4:$G$1053,'сентябрь 2023'!$D$4:$D$1053,$B134,'сентябрь 2023'!$J$4:$J$1053,H$1)</f>
        <v>0</v>
      </c>
      <c r="I134" s="207">
        <f>SUMIFS('сентябрь 2023'!$G$4:$G$1053,'сентябрь 2023'!$D$4:$D$1053,$B134,'сентябрь 2023'!$J$4:$J$1053,I$1)</f>
        <v>0</v>
      </c>
      <c r="J134" s="207">
        <f>SUMIFS('сентябрь 2023'!$G$4:$G$1053,'сентябрь 2023'!$D$4:$D$1053,$B134,'сентябрь 2023'!$J$4:$J$1053,J$1)</f>
        <v>0</v>
      </c>
      <c r="K134" s="207">
        <f>SUMIFS('сентябрь 2023'!$G$4:$G$1053,'сентябрь 2023'!$D$4:$D$1053,$B134,'сентябрь 2023'!$J$4:$J$1053,K$1)</f>
        <v>0</v>
      </c>
      <c r="L134" s="207">
        <f>SUMIFS('сентябрь 2023'!$G$4:$G$1053,'сентябрь 2023'!$D$4:$D$1053,$B134,'сентябрь 2023'!$J$4:$J$1053,L$1)</f>
        <v>0</v>
      </c>
      <c r="M134" s="207">
        <f>SUMIFS('сентябрь 2023'!$G$4:$G$1053,'сентябрь 2023'!$D$4:$D$1053,$B134,'сентябрь 2023'!$J$4:$J$1053,M$1)</f>
        <v>0</v>
      </c>
      <c r="N134" s="207">
        <f>SUMIFS('сентябрь 2023'!$G$4:$G$1053,'сентябрь 2023'!$D$4:$D$1053,$B134,'сентябрь 2023'!$J$4:$J$1053,N$1)</f>
        <v>0</v>
      </c>
      <c r="O134" s="207">
        <f>SUMIFS('сентябрь 2023'!$G$4:$G$1053,'сентябрь 2023'!$D$4:$D$1053,$B134,'сентябрь 2023'!$J$4:$J$1053,O$1)</f>
        <v>0</v>
      </c>
      <c r="P134" s="207">
        <f>SUMIFS('сентябрь 2023'!$G$4:$G$1053,'сентябрь 2023'!$D$4:$D$1053,$B134,'сентябрь 2023'!$J$4:$J$1053,P$1)</f>
        <v>0</v>
      </c>
      <c r="Q134" s="207">
        <f>SUMIFS('сентябрь 2023'!$G$4:$G$1053,'сентябрь 2023'!$D$4:$D$1053,$B134,'сентябрь 2023'!$J$4:$J$1053,Q$1)</f>
        <v>0</v>
      </c>
      <c r="R134" s="207">
        <f>SUMIFS('сентябрь 2023'!$G$4:$G$1053,'сентябрь 2023'!$D$4:$D$1053,$B134,'сентябрь 2023'!$J$4:$J$1053,R$1)</f>
        <v>0</v>
      </c>
      <c r="S134" s="207">
        <f>SUMIFS('сентябрь 2023'!$G$4:$G$1053,'сентябрь 2023'!$D$4:$D$1053,$B134,'сентябрь 2023'!$J$4:$J$1053,S$1)</f>
        <v>0</v>
      </c>
      <c r="T134" s="207">
        <f>SUMIFS('сентябрь 2023'!$G$4:$G$1053,'сентябрь 2023'!$D$4:$D$1053,$B134,'сентябрь 2023'!$J$4:$J$1053,T$1)</f>
        <v>0</v>
      </c>
      <c r="U134" s="207">
        <f>SUMIFS('сентябрь 2023'!$G$4:$G$1053,'сентябрь 2023'!$D$4:$D$1053,$B134,'сентябрь 2023'!$J$4:$J$1053,U$1)</f>
        <v>0</v>
      </c>
      <c r="V134" s="207">
        <f>SUMIFS('сентябрь 2023'!$G$4:$G$1053,'сентябрь 2023'!$D$4:$D$1053,$B134,'сентябрь 2023'!$J$4:$J$1053,V$1)</f>
        <v>0</v>
      </c>
      <c r="W134" s="207">
        <f>SUMIFS('сентябрь 2023'!$G$4:$G$1053,'сентябрь 2023'!$D$4:$D$1053,$B134,'сентябрь 2023'!$J$4:$J$1053,W$1)</f>
        <v>0</v>
      </c>
      <c r="X134" s="207">
        <f>SUMIFS('сентябрь 2023'!$G$4:$G$1053,'сентябрь 2023'!$D$4:$D$1053,$B134,'сентябрь 2023'!$J$4:$J$1053,X$1)</f>
        <v>0</v>
      </c>
      <c r="Y134" s="207">
        <f>SUMIFS('сентябрь 2023'!$G$4:$G$1053,'сентябрь 2023'!$D$4:$D$1053,$B134,'сентябрь 2023'!$J$4:$J$1053,Y$1)</f>
        <v>0</v>
      </c>
      <c r="Z134" s="207">
        <f>SUMIFS('сентябрь 2023'!$G$4:$G$1053,'сентябрь 2023'!$D$4:$D$1053,$B134,'сентябрь 2023'!$J$4:$J$1053,Z$1)</f>
        <v>0</v>
      </c>
      <c r="AA134" s="207">
        <f>SUMIFS('сентябрь 2023'!$G$4:$G$1053,'сентябрь 2023'!$D$4:$D$1053,$B134,'сентябрь 2023'!$J$4:$J$1053,AA$1)</f>
        <v>0</v>
      </c>
      <c r="AB134" s="207">
        <f>SUMIFS('сентябрь 2023'!$G$4:$G$1053,'сентябрь 2023'!$D$4:$D$1053,$B134,'сентябрь 2023'!$J$4:$J$1053,AB$1)</f>
        <v>0</v>
      </c>
      <c r="AC134" s="207">
        <f>SUMIFS('сентябрь 2023'!$G$4:$G$1053,'сентябрь 2023'!$D$4:$D$1053,$B134,'сентябрь 2023'!$J$4:$J$1053,AC$1)</f>
        <v>0</v>
      </c>
      <c r="AD134" s="207">
        <f>SUMIFS('сентябрь 2023'!$G$4:$G$1053,'сентябрь 2023'!$D$4:$D$1053,$B134,'сентябрь 2023'!$J$4:$J$1053,AD$1)</f>
        <v>0</v>
      </c>
      <c r="AE134" s="207">
        <f>SUMIFS('сентябрь 2023'!$G$4:$G$1053,'сентябрь 2023'!$D$4:$D$1053,$B134,'сентябрь 2023'!$J$4:$J$1053,AE$1)</f>
        <v>0</v>
      </c>
      <c r="AF134" s="207">
        <f>SUMIFS('сентябрь 2023'!$G$4:$G$1053,'сентябрь 2023'!$D$4:$D$1053,$B134,'сентябрь 2023'!$J$4:$J$1053,AF$1)</f>
        <v>0</v>
      </c>
      <c r="AG134" s="207">
        <f>SUMIFS('сентябрь 2023'!$G$4:$G$1053,'сентябрь 2023'!$D$4:$D$1053,$B134,'сентябрь 2023'!$J$4:$J$1053,AG$1)</f>
        <v>0</v>
      </c>
      <c r="AH134" s="207">
        <f>SUMIFS('сентябрь 2023'!$G$4:$G$1053,'сентябрь 2023'!$D$4:$D$1053,$B134,'сентябрь 2023'!$J$4:$J$1053,AH$1)</f>
        <v>0</v>
      </c>
      <c r="AI134" s="220"/>
    </row>
    <row r="135" spans="2:35" ht="15" hidden="1" customHeight="1" x14ac:dyDescent="0.25">
      <c r="B135" s="212"/>
      <c r="C135" s="211"/>
      <c r="D135" s="207">
        <f>SUMIFS('сентябрь 2023'!$G$4:$G$1053,'сентябрь 2023'!$D$4:$D$1053,$B135,'сентябрь 2023'!$J$4:$J$1053,D$1)</f>
        <v>0</v>
      </c>
      <c r="E135" s="207">
        <f>SUMIFS('сентябрь 2023'!$G$4:$G$1053,'сентябрь 2023'!$D$4:$D$1053,$B135,'сентябрь 2023'!$J$4:$J$1053,E$1)</f>
        <v>0</v>
      </c>
      <c r="F135" s="207">
        <f>SUMIFS('сентябрь 2023'!$G$4:$G$1053,'сентябрь 2023'!$D$4:$D$1053,$B135,'сентябрь 2023'!$J$4:$J$1053,F$1)</f>
        <v>0</v>
      </c>
      <c r="G135" s="207">
        <f>SUMIFS('сентябрь 2023'!$G$4:$G$1053,'сентябрь 2023'!$D$4:$D$1053,$B135,'сентябрь 2023'!$J$4:$J$1053,G$1)</f>
        <v>0</v>
      </c>
      <c r="H135" s="207">
        <f>SUMIFS('сентябрь 2023'!$G$4:$G$1053,'сентябрь 2023'!$D$4:$D$1053,$B135,'сентябрь 2023'!$J$4:$J$1053,H$1)</f>
        <v>0</v>
      </c>
      <c r="I135" s="207">
        <f>SUMIFS('сентябрь 2023'!$G$4:$G$1053,'сентябрь 2023'!$D$4:$D$1053,$B135,'сентябрь 2023'!$J$4:$J$1053,I$1)</f>
        <v>0</v>
      </c>
      <c r="J135" s="207">
        <f>SUMIFS('сентябрь 2023'!$G$4:$G$1053,'сентябрь 2023'!$D$4:$D$1053,$B135,'сентябрь 2023'!$J$4:$J$1053,J$1)</f>
        <v>0</v>
      </c>
      <c r="K135" s="207">
        <f>SUMIFS('сентябрь 2023'!$G$4:$G$1053,'сентябрь 2023'!$D$4:$D$1053,$B135,'сентябрь 2023'!$J$4:$J$1053,K$1)</f>
        <v>0</v>
      </c>
      <c r="L135" s="207">
        <f>SUMIFS('сентябрь 2023'!$G$4:$G$1053,'сентябрь 2023'!$D$4:$D$1053,$B135,'сентябрь 2023'!$J$4:$J$1053,L$1)</f>
        <v>0</v>
      </c>
      <c r="M135" s="207">
        <f>SUMIFS('сентябрь 2023'!$G$4:$G$1053,'сентябрь 2023'!$D$4:$D$1053,$B135,'сентябрь 2023'!$J$4:$J$1053,M$1)</f>
        <v>0</v>
      </c>
      <c r="N135" s="207">
        <f>SUMIFS('сентябрь 2023'!$G$4:$G$1053,'сентябрь 2023'!$D$4:$D$1053,$B135,'сентябрь 2023'!$J$4:$J$1053,N$1)</f>
        <v>0</v>
      </c>
      <c r="O135" s="207">
        <f>SUMIFS('сентябрь 2023'!$G$4:$G$1053,'сентябрь 2023'!$D$4:$D$1053,$B135,'сентябрь 2023'!$J$4:$J$1053,O$1)</f>
        <v>0</v>
      </c>
      <c r="P135" s="207">
        <f>SUMIFS('сентябрь 2023'!$G$4:$G$1053,'сентябрь 2023'!$D$4:$D$1053,$B135,'сентябрь 2023'!$J$4:$J$1053,P$1)</f>
        <v>0</v>
      </c>
      <c r="Q135" s="207">
        <f>SUMIFS('сентябрь 2023'!$G$4:$G$1053,'сентябрь 2023'!$D$4:$D$1053,$B135,'сентябрь 2023'!$J$4:$J$1053,Q$1)</f>
        <v>0</v>
      </c>
      <c r="R135" s="207">
        <f>SUMIFS('сентябрь 2023'!$G$4:$G$1053,'сентябрь 2023'!$D$4:$D$1053,$B135,'сентябрь 2023'!$J$4:$J$1053,R$1)</f>
        <v>0</v>
      </c>
      <c r="S135" s="207">
        <f>SUMIFS('сентябрь 2023'!$G$4:$G$1053,'сентябрь 2023'!$D$4:$D$1053,$B135,'сентябрь 2023'!$J$4:$J$1053,S$1)</f>
        <v>0</v>
      </c>
      <c r="T135" s="207">
        <f>SUMIFS('сентябрь 2023'!$G$4:$G$1053,'сентябрь 2023'!$D$4:$D$1053,$B135,'сентябрь 2023'!$J$4:$J$1053,T$1)</f>
        <v>0</v>
      </c>
      <c r="U135" s="207">
        <f>SUMIFS('сентябрь 2023'!$G$4:$G$1053,'сентябрь 2023'!$D$4:$D$1053,$B135,'сентябрь 2023'!$J$4:$J$1053,U$1)</f>
        <v>0</v>
      </c>
      <c r="V135" s="207">
        <f>SUMIFS('сентябрь 2023'!$G$4:$G$1053,'сентябрь 2023'!$D$4:$D$1053,$B135,'сентябрь 2023'!$J$4:$J$1053,V$1)</f>
        <v>0</v>
      </c>
      <c r="W135" s="207">
        <f>SUMIFS('сентябрь 2023'!$G$4:$G$1053,'сентябрь 2023'!$D$4:$D$1053,$B135,'сентябрь 2023'!$J$4:$J$1053,W$1)</f>
        <v>0</v>
      </c>
      <c r="X135" s="207">
        <f>SUMIFS('сентябрь 2023'!$G$4:$G$1053,'сентябрь 2023'!$D$4:$D$1053,$B135,'сентябрь 2023'!$J$4:$J$1053,X$1)</f>
        <v>0</v>
      </c>
      <c r="Y135" s="207">
        <f>SUMIFS('сентябрь 2023'!$G$4:$G$1053,'сентябрь 2023'!$D$4:$D$1053,$B135,'сентябрь 2023'!$J$4:$J$1053,Y$1)</f>
        <v>0</v>
      </c>
      <c r="Z135" s="207">
        <f>SUMIFS('сентябрь 2023'!$G$4:$G$1053,'сентябрь 2023'!$D$4:$D$1053,$B135,'сентябрь 2023'!$J$4:$J$1053,Z$1)</f>
        <v>0</v>
      </c>
      <c r="AA135" s="207">
        <f>SUMIFS('сентябрь 2023'!$G$4:$G$1053,'сентябрь 2023'!$D$4:$D$1053,$B135,'сентябрь 2023'!$J$4:$J$1053,AA$1)</f>
        <v>0</v>
      </c>
      <c r="AB135" s="207">
        <f>SUMIFS('сентябрь 2023'!$G$4:$G$1053,'сентябрь 2023'!$D$4:$D$1053,$B135,'сентябрь 2023'!$J$4:$J$1053,AB$1)</f>
        <v>0</v>
      </c>
      <c r="AC135" s="207">
        <f>SUMIFS('сентябрь 2023'!$G$4:$G$1053,'сентябрь 2023'!$D$4:$D$1053,$B135,'сентябрь 2023'!$J$4:$J$1053,AC$1)</f>
        <v>0</v>
      </c>
      <c r="AD135" s="207">
        <f>SUMIFS('сентябрь 2023'!$G$4:$G$1053,'сентябрь 2023'!$D$4:$D$1053,$B135,'сентябрь 2023'!$J$4:$J$1053,AD$1)</f>
        <v>0</v>
      </c>
      <c r="AE135" s="207">
        <f>SUMIFS('сентябрь 2023'!$G$4:$G$1053,'сентябрь 2023'!$D$4:$D$1053,$B135,'сентябрь 2023'!$J$4:$J$1053,AE$1)</f>
        <v>0</v>
      </c>
      <c r="AF135" s="207">
        <f>SUMIFS('сентябрь 2023'!$G$4:$G$1053,'сентябрь 2023'!$D$4:$D$1053,$B135,'сентябрь 2023'!$J$4:$J$1053,AF$1)</f>
        <v>0</v>
      </c>
      <c r="AG135" s="207">
        <f>SUMIFS('сентябрь 2023'!$G$4:$G$1053,'сентябрь 2023'!$D$4:$D$1053,$B135,'сентябрь 2023'!$J$4:$J$1053,AG$1)</f>
        <v>0</v>
      </c>
      <c r="AH135" s="207">
        <f>SUMIFS('сентябрь 2023'!$G$4:$G$1053,'сентябрь 2023'!$D$4:$D$1053,$B135,'сентябрь 2023'!$J$4:$J$1053,AH$1)</f>
        <v>0</v>
      </c>
      <c r="AI135" s="220"/>
    </row>
    <row r="136" spans="2:35" ht="15" hidden="1" customHeight="1" x14ac:dyDescent="0.25">
      <c r="B136" s="212"/>
      <c r="C136" s="211"/>
      <c r="D136" s="207">
        <f>SUMIFS('сентябрь 2023'!$G$4:$G$1053,'сентябрь 2023'!$D$4:$D$1053,$B136,'сентябрь 2023'!$J$4:$J$1053,D$1)</f>
        <v>0</v>
      </c>
      <c r="E136" s="207">
        <f>SUMIFS('сентябрь 2023'!$G$4:$G$1053,'сентябрь 2023'!$D$4:$D$1053,$B136,'сентябрь 2023'!$J$4:$J$1053,E$1)</f>
        <v>0</v>
      </c>
      <c r="F136" s="207">
        <f>SUMIFS('сентябрь 2023'!$G$4:$G$1053,'сентябрь 2023'!$D$4:$D$1053,$B136,'сентябрь 2023'!$J$4:$J$1053,F$1)</f>
        <v>0</v>
      </c>
      <c r="G136" s="207">
        <f>SUMIFS('сентябрь 2023'!$G$4:$G$1053,'сентябрь 2023'!$D$4:$D$1053,$B136,'сентябрь 2023'!$J$4:$J$1053,G$1)</f>
        <v>0</v>
      </c>
      <c r="H136" s="207">
        <f>SUMIFS('сентябрь 2023'!$G$4:$G$1053,'сентябрь 2023'!$D$4:$D$1053,$B136,'сентябрь 2023'!$J$4:$J$1053,H$1)</f>
        <v>0</v>
      </c>
      <c r="I136" s="207">
        <f>SUMIFS('сентябрь 2023'!$G$4:$G$1053,'сентябрь 2023'!$D$4:$D$1053,$B136,'сентябрь 2023'!$J$4:$J$1053,I$1)</f>
        <v>0</v>
      </c>
      <c r="J136" s="207">
        <f>SUMIFS('сентябрь 2023'!$G$4:$G$1053,'сентябрь 2023'!$D$4:$D$1053,$B136,'сентябрь 2023'!$J$4:$J$1053,J$1)</f>
        <v>0</v>
      </c>
      <c r="K136" s="207">
        <f>SUMIFS('сентябрь 2023'!$G$4:$G$1053,'сентябрь 2023'!$D$4:$D$1053,$B136,'сентябрь 2023'!$J$4:$J$1053,K$1)</f>
        <v>0</v>
      </c>
      <c r="L136" s="207">
        <f>SUMIFS('сентябрь 2023'!$G$4:$G$1053,'сентябрь 2023'!$D$4:$D$1053,$B136,'сентябрь 2023'!$J$4:$J$1053,L$1)</f>
        <v>0</v>
      </c>
      <c r="M136" s="207">
        <f>SUMIFS('сентябрь 2023'!$G$4:$G$1053,'сентябрь 2023'!$D$4:$D$1053,$B136,'сентябрь 2023'!$J$4:$J$1053,M$1)</f>
        <v>0</v>
      </c>
      <c r="N136" s="207">
        <f>SUMIFS('сентябрь 2023'!$G$4:$G$1053,'сентябрь 2023'!$D$4:$D$1053,$B136,'сентябрь 2023'!$J$4:$J$1053,N$1)</f>
        <v>0</v>
      </c>
      <c r="O136" s="207">
        <f>SUMIFS('сентябрь 2023'!$G$4:$G$1053,'сентябрь 2023'!$D$4:$D$1053,$B136,'сентябрь 2023'!$J$4:$J$1053,O$1)</f>
        <v>0</v>
      </c>
      <c r="P136" s="207">
        <f>SUMIFS('сентябрь 2023'!$G$4:$G$1053,'сентябрь 2023'!$D$4:$D$1053,$B136,'сентябрь 2023'!$J$4:$J$1053,P$1)</f>
        <v>0</v>
      </c>
      <c r="Q136" s="207">
        <f>SUMIFS('сентябрь 2023'!$G$4:$G$1053,'сентябрь 2023'!$D$4:$D$1053,$B136,'сентябрь 2023'!$J$4:$J$1053,Q$1)</f>
        <v>0</v>
      </c>
      <c r="R136" s="207">
        <f>SUMIFS('сентябрь 2023'!$G$4:$G$1053,'сентябрь 2023'!$D$4:$D$1053,$B136,'сентябрь 2023'!$J$4:$J$1053,R$1)</f>
        <v>0</v>
      </c>
      <c r="S136" s="207">
        <f>SUMIFS('сентябрь 2023'!$G$4:$G$1053,'сентябрь 2023'!$D$4:$D$1053,$B136,'сентябрь 2023'!$J$4:$J$1053,S$1)</f>
        <v>0</v>
      </c>
      <c r="T136" s="207">
        <f>SUMIFS('сентябрь 2023'!$G$4:$G$1053,'сентябрь 2023'!$D$4:$D$1053,$B136,'сентябрь 2023'!$J$4:$J$1053,T$1)</f>
        <v>0</v>
      </c>
      <c r="U136" s="207">
        <f>SUMIFS('сентябрь 2023'!$G$4:$G$1053,'сентябрь 2023'!$D$4:$D$1053,$B136,'сентябрь 2023'!$J$4:$J$1053,U$1)</f>
        <v>0</v>
      </c>
      <c r="V136" s="207">
        <f>SUMIFS('сентябрь 2023'!$G$4:$G$1053,'сентябрь 2023'!$D$4:$D$1053,$B136,'сентябрь 2023'!$J$4:$J$1053,V$1)</f>
        <v>0</v>
      </c>
      <c r="W136" s="207">
        <f>SUMIFS('сентябрь 2023'!$G$4:$G$1053,'сентябрь 2023'!$D$4:$D$1053,$B136,'сентябрь 2023'!$J$4:$J$1053,W$1)</f>
        <v>0</v>
      </c>
      <c r="X136" s="207">
        <f>SUMIFS('сентябрь 2023'!$G$4:$G$1053,'сентябрь 2023'!$D$4:$D$1053,$B136,'сентябрь 2023'!$J$4:$J$1053,X$1)</f>
        <v>0</v>
      </c>
      <c r="Y136" s="207">
        <f>SUMIFS('сентябрь 2023'!$G$4:$G$1053,'сентябрь 2023'!$D$4:$D$1053,$B136,'сентябрь 2023'!$J$4:$J$1053,Y$1)</f>
        <v>0</v>
      </c>
      <c r="Z136" s="207">
        <f>SUMIFS('сентябрь 2023'!$G$4:$G$1053,'сентябрь 2023'!$D$4:$D$1053,$B136,'сентябрь 2023'!$J$4:$J$1053,Z$1)</f>
        <v>0</v>
      </c>
      <c r="AA136" s="207">
        <f>SUMIFS('сентябрь 2023'!$G$4:$G$1053,'сентябрь 2023'!$D$4:$D$1053,$B136,'сентябрь 2023'!$J$4:$J$1053,AA$1)</f>
        <v>0</v>
      </c>
      <c r="AB136" s="207">
        <f>SUMIFS('сентябрь 2023'!$G$4:$G$1053,'сентябрь 2023'!$D$4:$D$1053,$B136,'сентябрь 2023'!$J$4:$J$1053,AB$1)</f>
        <v>0</v>
      </c>
      <c r="AC136" s="207">
        <f>SUMIFS('сентябрь 2023'!$G$4:$G$1053,'сентябрь 2023'!$D$4:$D$1053,$B136,'сентябрь 2023'!$J$4:$J$1053,AC$1)</f>
        <v>0</v>
      </c>
      <c r="AD136" s="207">
        <f>SUMIFS('сентябрь 2023'!$G$4:$G$1053,'сентябрь 2023'!$D$4:$D$1053,$B136,'сентябрь 2023'!$J$4:$J$1053,AD$1)</f>
        <v>0</v>
      </c>
      <c r="AE136" s="207">
        <f>SUMIFS('сентябрь 2023'!$G$4:$G$1053,'сентябрь 2023'!$D$4:$D$1053,$B136,'сентябрь 2023'!$J$4:$J$1053,AE$1)</f>
        <v>0</v>
      </c>
      <c r="AF136" s="207">
        <f>SUMIFS('сентябрь 2023'!$G$4:$G$1053,'сентябрь 2023'!$D$4:$D$1053,$B136,'сентябрь 2023'!$J$4:$J$1053,AF$1)</f>
        <v>0</v>
      </c>
      <c r="AG136" s="207">
        <f>SUMIFS('сентябрь 2023'!$G$4:$G$1053,'сентябрь 2023'!$D$4:$D$1053,$B136,'сентябрь 2023'!$J$4:$J$1053,AG$1)</f>
        <v>0</v>
      </c>
      <c r="AH136" s="207">
        <f>SUMIFS('сентябрь 2023'!$G$4:$G$1053,'сентябрь 2023'!$D$4:$D$1053,$B136,'сентябрь 2023'!$J$4:$J$1053,AH$1)</f>
        <v>0</v>
      </c>
      <c r="AI136" s="220"/>
    </row>
    <row r="137" spans="2:35" ht="15" hidden="1" customHeight="1" x14ac:dyDescent="0.25">
      <c r="B137" s="216"/>
      <c r="C137" s="213"/>
      <c r="D137" s="207">
        <f>SUMIFS('сентябрь 2023'!$G$4:$G$1053,'сентябрь 2023'!$D$4:$D$1053,$B137,'сентябрь 2023'!$J$4:$J$1053,D$1)</f>
        <v>0</v>
      </c>
      <c r="E137" s="207">
        <f>SUMIFS('сентябрь 2023'!$G$4:$G$1053,'сентябрь 2023'!$D$4:$D$1053,$B137,'сентябрь 2023'!$J$4:$J$1053,E$1)</f>
        <v>0</v>
      </c>
      <c r="F137" s="207">
        <f>SUMIFS('сентябрь 2023'!$G$4:$G$1053,'сентябрь 2023'!$D$4:$D$1053,$B137,'сентябрь 2023'!$J$4:$J$1053,F$1)</f>
        <v>0</v>
      </c>
      <c r="G137" s="207">
        <f>SUMIFS('сентябрь 2023'!$G$4:$G$1053,'сентябрь 2023'!$D$4:$D$1053,$B137,'сентябрь 2023'!$J$4:$J$1053,G$1)</f>
        <v>0</v>
      </c>
      <c r="H137" s="207">
        <f>SUMIFS('сентябрь 2023'!$G$4:$G$1053,'сентябрь 2023'!$D$4:$D$1053,$B137,'сентябрь 2023'!$J$4:$J$1053,H$1)</f>
        <v>0</v>
      </c>
      <c r="I137" s="207">
        <f>SUMIFS('сентябрь 2023'!$G$4:$G$1053,'сентябрь 2023'!$D$4:$D$1053,$B137,'сентябрь 2023'!$J$4:$J$1053,I$1)</f>
        <v>0</v>
      </c>
      <c r="J137" s="207">
        <f>SUMIFS('сентябрь 2023'!$G$4:$G$1053,'сентябрь 2023'!$D$4:$D$1053,$B137,'сентябрь 2023'!$J$4:$J$1053,J$1)</f>
        <v>0</v>
      </c>
      <c r="K137" s="207">
        <f>SUMIFS('сентябрь 2023'!$G$4:$G$1053,'сентябрь 2023'!$D$4:$D$1053,$B137,'сентябрь 2023'!$J$4:$J$1053,K$1)</f>
        <v>0</v>
      </c>
      <c r="L137" s="207">
        <f>SUMIFS('сентябрь 2023'!$G$4:$G$1053,'сентябрь 2023'!$D$4:$D$1053,$B137,'сентябрь 2023'!$J$4:$J$1053,L$1)</f>
        <v>0</v>
      </c>
      <c r="M137" s="207">
        <f>SUMIFS('сентябрь 2023'!$G$4:$G$1053,'сентябрь 2023'!$D$4:$D$1053,$B137,'сентябрь 2023'!$J$4:$J$1053,M$1)</f>
        <v>0</v>
      </c>
      <c r="N137" s="207">
        <f>SUMIFS('сентябрь 2023'!$G$4:$G$1053,'сентябрь 2023'!$D$4:$D$1053,$B137,'сентябрь 2023'!$J$4:$J$1053,N$1)</f>
        <v>0</v>
      </c>
      <c r="O137" s="207">
        <f>SUMIFS('сентябрь 2023'!$G$4:$G$1053,'сентябрь 2023'!$D$4:$D$1053,$B137,'сентябрь 2023'!$J$4:$J$1053,O$1)</f>
        <v>0</v>
      </c>
      <c r="P137" s="207">
        <f>SUMIFS('сентябрь 2023'!$G$4:$G$1053,'сентябрь 2023'!$D$4:$D$1053,$B137,'сентябрь 2023'!$J$4:$J$1053,P$1)</f>
        <v>0</v>
      </c>
      <c r="Q137" s="207">
        <f>SUMIFS('сентябрь 2023'!$G$4:$G$1053,'сентябрь 2023'!$D$4:$D$1053,$B137,'сентябрь 2023'!$J$4:$J$1053,Q$1)</f>
        <v>0</v>
      </c>
      <c r="R137" s="207">
        <f>SUMIFS('сентябрь 2023'!$G$4:$G$1053,'сентябрь 2023'!$D$4:$D$1053,$B137,'сентябрь 2023'!$J$4:$J$1053,R$1)</f>
        <v>0</v>
      </c>
      <c r="S137" s="207">
        <f>SUMIFS('сентябрь 2023'!$G$4:$G$1053,'сентябрь 2023'!$D$4:$D$1053,$B137,'сентябрь 2023'!$J$4:$J$1053,S$1)</f>
        <v>0</v>
      </c>
      <c r="T137" s="207">
        <f>SUMIFS('сентябрь 2023'!$G$4:$G$1053,'сентябрь 2023'!$D$4:$D$1053,$B137,'сентябрь 2023'!$J$4:$J$1053,T$1)</f>
        <v>0</v>
      </c>
      <c r="U137" s="207">
        <f>SUMIFS('сентябрь 2023'!$G$4:$G$1053,'сентябрь 2023'!$D$4:$D$1053,$B137,'сентябрь 2023'!$J$4:$J$1053,U$1)</f>
        <v>0</v>
      </c>
      <c r="V137" s="207">
        <f>SUMIFS('сентябрь 2023'!$G$4:$G$1053,'сентябрь 2023'!$D$4:$D$1053,$B137,'сентябрь 2023'!$J$4:$J$1053,V$1)</f>
        <v>0</v>
      </c>
      <c r="W137" s="207">
        <f>SUMIFS('сентябрь 2023'!$G$4:$G$1053,'сентябрь 2023'!$D$4:$D$1053,$B137,'сентябрь 2023'!$J$4:$J$1053,W$1)</f>
        <v>0</v>
      </c>
      <c r="X137" s="207">
        <f>SUMIFS('сентябрь 2023'!$G$4:$G$1053,'сентябрь 2023'!$D$4:$D$1053,$B137,'сентябрь 2023'!$J$4:$J$1053,X$1)</f>
        <v>0</v>
      </c>
      <c r="Y137" s="207">
        <f>SUMIFS('сентябрь 2023'!$G$4:$G$1053,'сентябрь 2023'!$D$4:$D$1053,$B137,'сентябрь 2023'!$J$4:$J$1053,Y$1)</f>
        <v>0</v>
      </c>
      <c r="Z137" s="207">
        <f>SUMIFS('сентябрь 2023'!$G$4:$G$1053,'сентябрь 2023'!$D$4:$D$1053,$B137,'сентябрь 2023'!$J$4:$J$1053,Z$1)</f>
        <v>0</v>
      </c>
      <c r="AA137" s="207">
        <f>SUMIFS('сентябрь 2023'!$G$4:$G$1053,'сентябрь 2023'!$D$4:$D$1053,$B137,'сентябрь 2023'!$J$4:$J$1053,AA$1)</f>
        <v>0</v>
      </c>
      <c r="AB137" s="207">
        <f>SUMIFS('сентябрь 2023'!$G$4:$G$1053,'сентябрь 2023'!$D$4:$D$1053,$B137,'сентябрь 2023'!$J$4:$J$1053,AB$1)</f>
        <v>0</v>
      </c>
      <c r="AC137" s="207">
        <f>SUMIFS('сентябрь 2023'!$G$4:$G$1053,'сентябрь 2023'!$D$4:$D$1053,$B137,'сентябрь 2023'!$J$4:$J$1053,AC$1)</f>
        <v>0</v>
      </c>
      <c r="AD137" s="207">
        <f>SUMIFS('сентябрь 2023'!$G$4:$G$1053,'сентябрь 2023'!$D$4:$D$1053,$B137,'сентябрь 2023'!$J$4:$J$1053,AD$1)</f>
        <v>0</v>
      </c>
      <c r="AE137" s="207">
        <f>SUMIFS('сентябрь 2023'!$G$4:$G$1053,'сентябрь 2023'!$D$4:$D$1053,$B137,'сентябрь 2023'!$J$4:$J$1053,AE$1)</f>
        <v>0</v>
      </c>
      <c r="AF137" s="207">
        <f>SUMIFS('сентябрь 2023'!$G$4:$G$1053,'сентябрь 2023'!$D$4:$D$1053,$B137,'сентябрь 2023'!$J$4:$J$1053,AF$1)</f>
        <v>0</v>
      </c>
      <c r="AG137" s="207">
        <f>SUMIFS('сентябрь 2023'!$G$4:$G$1053,'сентябрь 2023'!$D$4:$D$1053,$B137,'сентябрь 2023'!$J$4:$J$1053,AG$1)</f>
        <v>0</v>
      </c>
      <c r="AH137" s="207">
        <f>SUMIFS('сентябрь 2023'!$G$4:$G$1053,'сентябрь 2023'!$D$4:$D$1053,$B137,'сентябрь 2023'!$J$4:$J$1053,AH$1)</f>
        <v>0</v>
      </c>
      <c r="AI137" s="220">
        <f t="shared" ref="AI137:AI151" si="4">SUM(D137:AH137)</f>
        <v>0</v>
      </c>
    </row>
    <row r="138" spans="2:35" ht="15" hidden="1" customHeight="1" x14ac:dyDescent="0.25">
      <c r="B138" s="216"/>
      <c r="C138" s="213"/>
      <c r="D138" s="207">
        <f>SUMIFS('сентябрь 2023'!$G$4:$G$1053,'сентябрь 2023'!$D$4:$D$1053,$B138,'сентябрь 2023'!$J$4:$J$1053,D$1)</f>
        <v>0</v>
      </c>
      <c r="E138" s="207">
        <f>SUMIFS('сентябрь 2023'!$G$4:$G$1053,'сентябрь 2023'!$D$4:$D$1053,$B138,'сентябрь 2023'!$J$4:$J$1053,E$1)</f>
        <v>0</v>
      </c>
      <c r="F138" s="207">
        <f>SUMIFS('сентябрь 2023'!$G$4:$G$1053,'сентябрь 2023'!$D$4:$D$1053,$B138,'сентябрь 2023'!$J$4:$J$1053,F$1)</f>
        <v>0</v>
      </c>
      <c r="G138" s="207">
        <f>SUMIFS('сентябрь 2023'!$G$4:$G$1053,'сентябрь 2023'!$D$4:$D$1053,$B138,'сентябрь 2023'!$J$4:$J$1053,G$1)</f>
        <v>0</v>
      </c>
      <c r="H138" s="207">
        <f>SUMIFS('сентябрь 2023'!$G$4:$G$1053,'сентябрь 2023'!$D$4:$D$1053,$B138,'сентябрь 2023'!$J$4:$J$1053,H$1)</f>
        <v>0</v>
      </c>
      <c r="I138" s="207">
        <f>SUMIFS('сентябрь 2023'!$G$4:$G$1053,'сентябрь 2023'!$D$4:$D$1053,$B138,'сентябрь 2023'!$J$4:$J$1053,I$1)</f>
        <v>0</v>
      </c>
      <c r="J138" s="207">
        <f>SUMIFS('сентябрь 2023'!$G$4:$G$1053,'сентябрь 2023'!$D$4:$D$1053,$B138,'сентябрь 2023'!$J$4:$J$1053,J$1)</f>
        <v>0</v>
      </c>
      <c r="K138" s="207">
        <f>SUMIFS('сентябрь 2023'!$G$4:$G$1053,'сентябрь 2023'!$D$4:$D$1053,$B138,'сентябрь 2023'!$J$4:$J$1053,K$1)</f>
        <v>0</v>
      </c>
      <c r="L138" s="207">
        <f>SUMIFS('сентябрь 2023'!$G$4:$G$1053,'сентябрь 2023'!$D$4:$D$1053,$B138,'сентябрь 2023'!$J$4:$J$1053,L$1)</f>
        <v>0</v>
      </c>
      <c r="M138" s="207">
        <f>SUMIFS('сентябрь 2023'!$G$4:$G$1053,'сентябрь 2023'!$D$4:$D$1053,$B138,'сентябрь 2023'!$J$4:$J$1053,M$1)</f>
        <v>0</v>
      </c>
      <c r="N138" s="207">
        <f>SUMIFS('сентябрь 2023'!$G$4:$G$1053,'сентябрь 2023'!$D$4:$D$1053,$B138,'сентябрь 2023'!$J$4:$J$1053,N$1)</f>
        <v>0</v>
      </c>
      <c r="O138" s="207">
        <f>SUMIFS('сентябрь 2023'!$G$4:$G$1053,'сентябрь 2023'!$D$4:$D$1053,$B138,'сентябрь 2023'!$J$4:$J$1053,O$1)</f>
        <v>0</v>
      </c>
      <c r="P138" s="207">
        <f>SUMIFS('сентябрь 2023'!$G$4:$G$1053,'сентябрь 2023'!$D$4:$D$1053,$B138,'сентябрь 2023'!$J$4:$J$1053,P$1)</f>
        <v>0</v>
      </c>
      <c r="Q138" s="207">
        <f>SUMIFS('сентябрь 2023'!$G$4:$G$1053,'сентябрь 2023'!$D$4:$D$1053,$B138,'сентябрь 2023'!$J$4:$J$1053,Q$1)</f>
        <v>0</v>
      </c>
      <c r="R138" s="207">
        <f>SUMIFS('сентябрь 2023'!$G$4:$G$1053,'сентябрь 2023'!$D$4:$D$1053,$B138,'сентябрь 2023'!$J$4:$J$1053,R$1)</f>
        <v>0</v>
      </c>
      <c r="S138" s="207">
        <f>SUMIFS('сентябрь 2023'!$G$4:$G$1053,'сентябрь 2023'!$D$4:$D$1053,$B138,'сентябрь 2023'!$J$4:$J$1053,S$1)</f>
        <v>0</v>
      </c>
      <c r="T138" s="207">
        <f>SUMIFS('сентябрь 2023'!$G$4:$G$1053,'сентябрь 2023'!$D$4:$D$1053,$B138,'сентябрь 2023'!$J$4:$J$1053,T$1)</f>
        <v>0</v>
      </c>
      <c r="U138" s="207">
        <f>SUMIFS('сентябрь 2023'!$G$4:$G$1053,'сентябрь 2023'!$D$4:$D$1053,$B138,'сентябрь 2023'!$J$4:$J$1053,U$1)</f>
        <v>0</v>
      </c>
      <c r="V138" s="207">
        <f>SUMIFS('сентябрь 2023'!$G$4:$G$1053,'сентябрь 2023'!$D$4:$D$1053,$B138,'сентябрь 2023'!$J$4:$J$1053,V$1)</f>
        <v>0</v>
      </c>
      <c r="W138" s="207">
        <f>SUMIFS('сентябрь 2023'!$G$4:$G$1053,'сентябрь 2023'!$D$4:$D$1053,$B138,'сентябрь 2023'!$J$4:$J$1053,W$1)</f>
        <v>0</v>
      </c>
      <c r="X138" s="207">
        <f>SUMIFS('сентябрь 2023'!$G$4:$G$1053,'сентябрь 2023'!$D$4:$D$1053,$B138,'сентябрь 2023'!$J$4:$J$1053,X$1)</f>
        <v>0</v>
      </c>
      <c r="Y138" s="207">
        <f>SUMIFS('сентябрь 2023'!$G$4:$G$1053,'сентябрь 2023'!$D$4:$D$1053,$B138,'сентябрь 2023'!$J$4:$J$1053,Y$1)</f>
        <v>0</v>
      </c>
      <c r="Z138" s="207">
        <f>SUMIFS('сентябрь 2023'!$G$4:$G$1053,'сентябрь 2023'!$D$4:$D$1053,$B138,'сентябрь 2023'!$J$4:$J$1053,Z$1)</f>
        <v>0</v>
      </c>
      <c r="AA138" s="207">
        <f>SUMIFS('сентябрь 2023'!$G$4:$G$1053,'сентябрь 2023'!$D$4:$D$1053,$B138,'сентябрь 2023'!$J$4:$J$1053,AA$1)</f>
        <v>0</v>
      </c>
      <c r="AB138" s="207">
        <f>SUMIFS('сентябрь 2023'!$G$4:$G$1053,'сентябрь 2023'!$D$4:$D$1053,$B138,'сентябрь 2023'!$J$4:$J$1053,AB$1)</f>
        <v>0</v>
      </c>
      <c r="AC138" s="207">
        <f>SUMIFS('сентябрь 2023'!$G$4:$G$1053,'сентябрь 2023'!$D$4:$D$1053,$B138,'сентябрь 2023'!$J$4:$J$1053,AC$1)</f>
        <v>0</v>
      </c>
      <c r="AD138" s="207">
        <f>SUMIFS('сентябрь 2023'!$G$4:$G$1053,'сентябрь 2023'!$D$4:$D$1053,$B138,'сентябрь 2023'!$J$4:$J$1053,AD$1)</f>
        <v>0</v>
      </c>
      <c r="AE138" s="207">
        <f>SUMIFS('сентябрь 2023'!$G$4:$G$1053,'сентябрь 2023'!$D$4:$D$1053,$B138,'сентябрь 2023'!$J$4:$J$1053,AE$1)</f>
        <v>0</v>
      </c>
      <c r="AF138" s="207">
        <f>SUMIFS('сентябрь 2023'!$G$4:$G$1053,'сентябрь 2023'!$D$4:$D$1053,$B138,'сентябрь 2023'!$J$4:$J$1053,AF$1)</f>
        <v>0</v>
      </c>
      <c r="AG138" s="207">
        <f>SUMIFS('сентябрь 2023'!$G$4:$G$1053,'сентябрь 2023'!$D$4:$D$1053,$B138,'сентябрь 2023'!$J$4:$J$1053,AG$1)</f>
        <v>0</v>
      </c>
      <c r="AH138" s="207">
        <f>SUMIFS('сентябрь 2023'!$G$4:$G$1053,'сентябрь 2023'!$D$4:$D$1053,$B138,'сентябрь 2023'!$J$4:$J$1053,AH$1)</f>
        <v>0</v>
      </c>
      <c r="AI138" s="220">
        <f t="shared" si="4"/>
        <v>0</v>
      </c>
    </row>
    <row r="139" spans="2:35" ht="15" hidden="1" customHeight="1" x14ac:dyDescent="0.25">
      <c r="B139" s="216"/>
      <c r="C139" s="213"/>
      <c r="D139" s="207">
        <f>SUMIFS('сентябрь 2023'!$G$4:$G$1053,'сентябрь 2023'!$D$4:$D$1053,$B139,'сентябрь 2023'!$J$4:$J$1053,D$1)</f>
        <v>0</v>
      </c>
      <c r="E139" s="207">
        <f>SUMIFS('сентябрь 2023'!$G$4:$G$1053,'сентябрь 2023'!$D$4:$D$1053,$B139,'сентябрь 2023'!$J$4:$J$1053,E$1)</f>
        <v>0</v>
      </c>
      <c r="F139" s="207">
        <f>SUMIFS('сентябрь 2023'!$G$4:$G$1053,'сентябрь 2023'!$D$4:$D$1053,$B139,'сентябрь 2023'!$J$4:$J$1053,F$1)</f>
        <v>0</v>
      </c>
      <c r="G139" s="207">
        <f>SUMIFS('сентябрь 2023'!$G$4:$G$1053,'сентябрь 2023'!$D$4:$D$1053,$B139,'сентябрь 2023'!$J$4:$J$1053,G$1)</f>
        <v>0</v>
      </c>
      <c r="H139" s="207">
        <f>SUMIFS('сентябрь 2023'!$G$4:$G$1053,'сентябрь 2023'!$D$4:$D$1053,$B139,'сентябрь 2023'!$J$4:$J$1053,H$1)</f>
        <v>0</v>
      </c>
      <c r="I139" s="207">
        <f>SUMIFS('сентябрь 2023'!$G$4:$G$1053,'сентябрь 2023'!$D$4:$D$1053,$B139,'сентябрь 2023'!$J$4:$J$1053,I$1)</f>
        <v>0</v>
      </c>
      <c r="J139" s="207">
        <f>SUMIFS('сентябрь 2023'!$G$4:$G$1053,'сентябрь 2023'!$D$4:$D$1053,$B139,'сентябрь 2023'!$J$4:$J$1053,J$1)</f>
        <v>0</v>
      </c>
      <c r="K139" s="207">
        <f>SUMIFS('сентябрь 2023'!$G$4:$G$1053,'сентябрь 2023'!$D$4:$D$1053,$B139,'сентябрь 2023'!$J$4:$J$1053,K$1)</f>
        <v>0</v>
      </c>
      <c r="L139" s="207">
        <f>SUMIFS('сентябрь 2023'!$G$4:$G$1053,'сентябрь 2023'!$D$4:$D$1053,$B139,'сентябрь 2023'!$J$4:$J$1053,L$1)</f>
        <v>0</v>
      </c>
      <c r="M139" s="207">
        <f>SUMIFS('сентябрь 2023'!$G$4:$G$1053,'сентябрь 2023'!$D$4:$D$1053,$B139,'сентябрь 2023'!$J$4:$J$1053,M$1)</f>
        <v>0</v>
      </c>
      <c r="N139" s="207">
        <f>SUMIFS('сентябрь 2023'!$G$4:$G$1053,'сентябрь 2023'!$D$4:$D$1053,$B139,'сентябрь 2023'!$J$4:$J$1053,N$1)</f>
        <v>0</v>
      </c>
      <c r="O139" s="207">
        <f>SUMIFS('сентябрь 2023'!$G$4:$G$1053,'сентябрь 2023'!$D$4:$D$1053,$B139,'сентябрь 2023'!$J$4:$J$1053,O$1)</f>
        <v>0</v>
      </c>
      <c r="P139" s="207">
        <f>SUMIFS('сентябрь 2023'!$G$4:$G$1053,'сентябрь 2023'!$D$4:$D$1053,$B139,'сентябрь 2023'!$J$4:$J$1053,P$1)</f>
        <v>0</v>
      </c>
      <c r="Q139" s="207">
        <f>SUMIFS('сентябрь 2023'!$G$4:$G$1053,'сентябрь 2023'!$D$4:$D$1053,$B139,'сентябрь 2023'!$J$4:$J$1053,Q$1)</f>
        <v>0</v>
      </c>
      <c r="R139" s="207">
        <f>SUMIFS('сентябрь 2023'!$G$4:$G$1053,'сентябрь 2023'!$D$4:$D$1053,$B139,'сентябрь 2023'!$J$4:$J$1053,R$1)</f>
        <v>0</v>
      </c>
      <c r="S139" s="207">
        <f>SUMIFS('сентябрь 2023'!$G$4:$G$1053,'сентябрь 2023'!$D$4:$D$1053,$B139,'сентябрь 2023'!$J$4:$J$1053,S$1)</f>
        <v>0</v>
      </c>
      <c r="T139" s="207">
        <f>SUMIFS('сентябрь 2023'!$G$4:$G$1053,'сентябрь 2023'!$D$4:$D$1053,$B139,'сентябрь 2023'!$J$4:$J$1053,T$1)</f>
        <v>0</v>
      </c>
      <c r="U139" s="207">
        <f>SUMIFS('сентябрь 2023'!$G$4:$G$1053,'сентябрь 2023'!$D$4:$D$1053,$B139,'сентябрь 2023'!$J$4:$J$1053,U$1)</f>
        <v>0</v>
      </c>
      <c r="V139" s="207">
        <f>SUMIFS('сентябрь 2023'!$G$4:$G$1053,'сентябрь 2023'!$D$4:$D$1053,$B139,'сентябрь 2023'!$J$4:$J$1053,V$1)</f>
        <v>0</v>
      </c>
      <c r="W139" s="207">
        <f>SUMIFS('сентябрь 2023'!$G$4:$G$1053,'сентябрь 2023'!$D$4:$D$1053,$B139,'сентябрь 2023'!$J$4:$J$1053,W$1)</f>
        <v>0</v>
      </c>
      <c r="X139" s="207">
        <f>SUMIFS('сентябрь 2023'!$G$4:$G$1053,'сентябрь 2023'!$D$4:$D$1053,$B139,'сентябрь 2023'!$J$4:$J$1053,X$1)</f>
        <v>0</v>
      </c>
      <c r="Y139" s="207">
        <f>SUMIFS('сентябрь 2023'!$G$4:$G$1053,'сентябрь 2023'!$D$4:$D$1053,$B139,'сентябрь 2023'!$J$4:$J$1053,Y$1)</f>
        <v>0</v>
      </c>
      <c r="Z139" s="207">
        <f>SUMIFS('сентябрь 2023'!$G$4:$G$1053,'сентябрь 2023'!$D$4:$D$1053,$B139,'сентябрь 2023'!$J$4:$J$1053,Z$1)</f>
        <v>0</v>
      </c>
      <c r="AA139" s="207">
        <f>SUMIFS('сентябрь 2023'!$G$4:$G$1053,'сентябрь 2023'!$D$4:$D$1053,$B139,'сентябрь 2023'!$J$4:$J$1053,AA$1)</f>
        <v>0</v>
      </c>
      <c r="AB139" s="207">
        <f>SUMIFS('сентябрь 2023'!$G$4:$G$1053,'сентябрь 2023'!$D$4:$D$1053,$B139,'сентябрь 2023'!$J$4:$J$1053,AB$1)</f>
        <v>0</v>
      </c>
      <c r="AC139" s="207">
        <f>SUMIFS('сентябрь 2023'!$G$4:$G$1053,'сентябрь 2023'!$D$4:$D$1053,$B139,'сентябрь 2023'!$J$4:$J$1053,AC$1)</f>
        <v>0</v>
      </c>
      <c r="AD139" s="207">
        <f>SUMIFS('сентябрь 2023'!$G$4:$G$1053,'сентябрь 2023'!$D$4:$D$1053,$B139,'сентябрь 2023'!$J$4:$J$1053,AD$1)</f>
        <v>0</v>
      </c>
      <c r="AE139" s="207">
        <f>SUMIFS('сентябрь 2023'!$G$4:$G$1053,'сентябрь 2023'!$D$4:$D$1053,$B139,'сентябрь 2023'!$J$4:$J$1053,AE$1)</f>
        <v>0</v>
      </c>
      <c r="AF139" s="207">
        <f>SUMIFS('сентябрь 2023'!$G$4:$G$1053,'сентябрь 2023'!$D$4:$D$1053,$B139,'сентябрь 2023'!$J$4:$J$1053,AF$1)</f>
        <v>0</v>
      </c>
      <c r="AG139" s="207">
        <f>SUMIFS('сентябрь 2023'!$G$4:$G$1053,'сентябрь 2023'!$D$4:$D$1053,$B139,'сентябрь 2023'!$J$4:$J$1053,AG$1)</f>
        <v>0</v>
      </c>
      <c r="AH139" s="207">
        <f>SUMIFS('сентябрь 2023'!$G$4:$G$1053,'сентябрь 2023'!$D$4:$D$1053,$B139,'сентябрь 2023'!$J$4:$J$1053,AH$1)</f>
        <v>0</v>
      </c>
      <c r="AI139" s="220">
        <f t="shared" si="4"/>
        <v>0</v>
      </c>
    </row>
    <row r="140" spans="2:35" ht="15" hidden="1" customHeight="1" x14ac:dyDescent="0.25">
      <c r="B140" s="212"/>
      <c r="C140" s="211"/>
      <c r="D140" s="207">
        <f>SUMIFS('сентябрь 2023'!$G$4:$G$1053,'сентябрь 2023'!$D$4:$D$1053,$B140,'сентябрь 2023'!$J$4:$J$1053,D$1)</f>
        <v>0</v>
      </c>
      <c r="E140" s="207">
        <f>SUMIFS('сентябрь 2023'!$G$4:$G$1053,'сентябрь 2023'!$D$4:$D$1053,$B140,'сентябрь 2023'!$J$4:$J$1053,E$1)</f>
        <v>0</v>
      </c>
      <c r="F140" s="207">
        <f>SUMIFS('сентябрь 2023'!$G$4:$G$1053,'сентябрь 2023'!$D$4:$D$1053,$B140,'сентябрь 2023'!$J$4:$J$1053,F$1)</f>
        <v>0</v>
      </c>
      <c r="G140" s="207">
        <f>SUMIFS('сентябрь 2023'!$G$4:$G$1053,'сентябрь 2023'!$D$4:$D$1053,$B140,'сентябрь 2023'!$J$4:$J$1053,G$1)</f>
        <v>0</v>
      </c>
      <c r="H140" s="207">
        <f>SUMIFS('сентябрь 2023'!$G$4:$G$1053,'сентябрь 2023'!$D$4:$D$1053,$B140,'сентябрь 2023'!$J$4:$J$1053,H$1)</f>
        <v>0</v>
      </c>
      <c r="I140" s="207">
        <f>SUMIFS('сентябрь 2023'!$G$4:$G$1053,'сентябрь 2023'!$D$4:$D$1053,$B140,'сентябрь 2023'!$J$4:$J$1053,I$1)</f>
        <v>0</v>
      </c>
      <c r="J140" s="207">
        <f>SUMIFS('сентябрь 2023'!$G$4:$G$1053,'сентябрь 2023'!$D$4:$D$1053,$B140,'сентябрь 2023'!$J$4:$J$1053,J$1)</f>
        <v>0</v>
      </c>
      <c r="K140" s="207">
        <f>SUMIFS('сентябрь 2023'!$G$4:$G$1053,'сентябрь 2023'!$D$4:$D$1053,$B140,'сентябрь 2023'!$J$4:$J$1053,K$1)</f>
        <v>0</v>
      </c>
      <c r="L140" s="207">
        <f>SUMIFS('сентябрь 2023'!$G$4:$G$1053,'сентябрь 2023'!$D$4:$D$1053,$B140,'сентябрь 2023'!$J$4:$J$1053,L$1)</f>
        <v>0</v>
      </c>
      <c r="M140" s="207">
        <f>SUMIFS('сентябрь 2023'!$G$4:$G$1053,'сентябрь 2023'!$D$4:$D$1053,$B140,'сентябрь 2023'!$J$4:$J$1053,M$1)</f>
        <v>0</v>
      </c>
      <c r="N140" s="207">
        <f>SUMIFS('сентябрь 2023'!$G$4:$G$1053,'сентябрь 2023'!$D$4:$D$1053,$B140,'сентябрь 2023'!$J$4:$J$1053,N$1)</f>
        <v>0</v>
      </c>
      <c r="O140" s="207">
        <f>SUMIFS('сентябрь 2023'!$G$4:$G$1053,'сентябрь 2023'!$D$4:$D$1053,$B140,'сентябрь 2023'!$J$4:$J$1053,O$1)</f>
        <v>0</v>
      </c>
      <c r="P140" s="207">
        <f>SUMIFS('сентябрь 2023'!$G$4:$G$1053,'сентябрь 2023'!$D$4:$D$1053,$B140,'сентябрь 2023'!$J$4:$J$1053,P$1)</f>
        <v>0</v>
      </c>
      <c r="Q140" s="207">
        <f>SUMIFS('сентябрь 2023'!$G$4:$G$1053,'сентябрь 2023'!$D$4:$D$1053,$B140,'сентябрь 2023'!$J$4:$J$1053,Q$1)</f>
        <v>0</v>
      </c>
      <c r="R140" s="207">
        <f>SUMIFS('сентябрь 2023'!$G$4:$G$1053,'сентябрь 2023'!$D$4:$D$1053,$B140,'сентябрь 2023'!$J$4:$J$1053,R$1)</f>
        <v>0</v>
      </c>
      <c r="S140" s="207">
        <f>SUMIFS('сентябрь 2023'!$G$4:$G$1053,'сентябрь 2023'!$D$4:$D$1053,$B140,'сентябрь 2023'!$J$4:$J$1053,S$1)</f>
        <v>0</v>
      </c>
      <c r="T140" s="207">
        <f>SUMIFS('сентябрь 2023'!$G$4:$G$1053,'сентябрь 2023'!$D$4:$D$1053,$B140,'сентябрь 2023'!$J$4:$J$1053,T$1)</f>
        <v>0</v>
      </c>
      <c r="U140" s="207">
        <f>SUMIFS('сентябрь 2023'!$G$4:$G$1053,'сентябрь 2023'!$D$4:$D$1053,$B140,'сентябрь 2023'!$J$4:$J$1053,U$1)</f>
        <v>0</v>
      </c>
      <c r="V140" s="207">
        <f>SUMIFS('сентябрь 2023'!$G$4:$G$1053,'сентябрь 2023'!$D$4:$D$1053,$B140,'сентябрь 2023'!$J$4:$J$1053,V$1)</f>
        <v>0</v>
      </c>
      <c r="W140" s="207">
        <f>SUMIFS('сентябрь 2023'!$G$4:$G$1053,'сентябрь 2023'!$D$4:$D$1053,$B140,'сентябрь 2023'!$J$4:$J$1053,W$1)</f>
        <v>0</v>
      </c>
      <c r="X140" s="207">
        <f>SUMIFS('сентябрь 2023'!$G$4:$G$1053,'сентябрь 2023'!$D$4:$D$1053,$B140,'сентябрь 2023'!$J$4:$J$1053,X$1)</f>
        <v>0</v>
      </c>
      <c r="Y140" s="207">
        <f>SUMIFS('сентябрь 2023'!$G$4:$G$1053,'сентябрь 2023'!$D$4:$D$1053,$B140,'сентябрь 2023'!$J$4:$J$1053,Y$1)</f>
        <v>0</v>
      </c>
      <c r="Z140" s="207">
        <f>SUMIFS('сентябрь 2023'!$G$4:$G$1053,'сентябрь 2023'!$D$4:$D$1053,$B140,'сентябрь 2023'!$J$4:$J$1053,Z$1)</f>
        <v>0</v>
      </c>
      <c r="AA140" s="207">
        <f>SUMIFS('сентябрь 2023'!$G$4:$G$1053,'сентябрь 2023'!$D$4:$D$1053,$B140,'сентябрь 2023'!$J$4:$J$1053,AA$1)</f>
        <v>0</v>
      </c>
      <c r="AB140" s="207">
        <f>SUMIFS('сентябрь 2023'!$G$4:$G$1053,'сентябрь 2023'!$D$4:$D$1053,$B140,'сентябрь 2023'!$J$4:$J$1053,AB$1)</f>
        <v>0</v>
      </c>
      <c r="AC140" s="207">
        <f>SUMIFS('сентябрь 2023'!$G$4:$G$1053,'сентябрь 2023'!$D$4:$D$1053,$B140,'сентябрь 2023'!$J$4:$J$1053,AC$1)</f>
        <v>0</v>
      </c>
      <c r="AD140" s="207">
        <f>SUMIFS('сентябрь 2023'!$G$4:$G$1053,'сентябрь 2023'!$D$4:$D$1053,$B140,'сентябрь 2023'!$J$4:$J$1053,AD$1)</f>
        <v>0</v>
      </c>
      <c r="AE140" s="207">
        <f>SUMIFS('сентябрь 2023'!$G$4:$G$1053,'сентябрь 2023'!$D$4:$D$1053,$B140,'сентябрь 2023'!$J$4:$J$1053,AE$1)</f>
        <v>0</v>
      </c>
      <c r="AF140" s="207">
        <f>SUMIFS('сентябрь 2023'!$G$4:$G$1053,'сентябрь 2023'!$D$4:$D$1053,$B140,'сентябрь 2023'!$J$4:$J$1053,AF$1)</f>
        <v>0</v>
      </c>
      <c r="AG140" s="207">
        <f>SUMIFS('сентябрь 2023'!$G$4:$G$1053,'сентябрь 2023'!$D$4:$D$1053,$B140,'сентябрь 2023'!$J$4:$J$1053,AG$1)</f>
        <v>0</v>
      </c>
      <c r="AH140" s="207">
        <f>SUMIFS('сентябрь 2023'!$G$4:$G$1053,'сентябрь 2023'!$D$4:$D$1053,$B140,'сентябрь 2023'!$J$4:$J$1053,AH$1)</f>
        <v>0</v>
      </c>
      <c r="AI140" s="220"/>
    </row>
    <row r="141" spans="2:35" ht="15" hidden="1" customHeight="1" x14ac:dyDescent="0.25">
      <c r="B141" s="212"/>
      <c r="C141" s="211"/>
      <c r="D141" s="207">
        <f>SUMIFS('сентябрь 2023'!$G$4:$G$1053,'сентябрь 2023'!$D$4:$D$1053,$B141,'сентябрь 2023'!$J$4:$J$1053,D$1)</f>
        <v>0</v>
      </c>
      <c r="E141" s="207">
        <f>SUMIFS('сентябрь 2023'!$G$4:$G$1053,'сентябрь 2023'!$D$4:$D$1053,$B141,'сентябрь 2023'!$J$4:$J$1053,E$1)</f>
        <v>0</v>
      </c>
      <c r="F141" s="207">
        <f>SUMIFS('сентябрь 2023'!$G$4:$G$1053,'сентябрь 2023'!$D$4:$D$1053,$B141,'сентябрь 2023'!$J$4:$J$1053,F$1)</f>
        <v>0</v>
      </c>
      <c r="G141" s="207">
        <f>SUMIFS('сентябрь 2023'!$G$4:$G$1053,'сентябрь 2023'!$D$4:$D$1053,$B141,'сентябрь 2023'!$J$4:$J$1053,G$1)</f>
        <v>0</v>
      </c>
      <c r="H141" s="207">
        <f>SUMIFS('сентябрь 2023'!$G$4:$G$1053,'сентябрь 2023'!$D$4:$D$1053,$B141,'сентябрь 2023'!$J$4:$J$1053,H$1)</f>
        <v>0</v>
      </c>
      <c r="I141" s="207">
        <f>SUMIFS('сентябрь 2023'!$G$4:$G$1053,'сентябрь 2023'!$D$4:$D$1053,$B141,'сентябрь 2023'!$J$4:$J$1053,I$1)</f>
        <v>0</v>
      </c>
      <c r="J141" s="207">
        <f>SUMIFS('сентябрь 2023'!$G$4:$G$1053,'сентябрь 2023'!$D$4:$D$1053,$B141,'сентябрь 2023'!$J$4:$J$1053,J$1)</f>
        <v>0</v>
      </c>
      <c r="K141" s="207">
        <f>SUMIFS('сентябрь 2023'!$G$4:$G$1053,'сентябрь 2023'!$D$4:$D$1053,$B141,'сентябрь 2023'!$J$4:$J$1053,K$1)</f>
        <v>0</v>
      </c>
      <c r="L141" s="207">
        <f>SUMIFS('сентябрь 2023'!$G$4:$G$1053,'сентябрь 2023'!$D$4:$D$1053,$B141,'сентябрь 2023'!$J$4:$J$1053,L$1)</f>
        <v>0</v>
      </c>
      <c r="M141" s="207">
        <f>SUMIFS('сентябрь 2023'!$G$4:$G$1053,'сентябрь 2023'!$D$4:$D$1053,$B141,'сентябрь 2023'!$J$4:$J$1053,M$1)</f>
        <v>0</v>
      </c>
      <c r="N141" s="207">
        <f>SUMIFS('сентябрь 2023'!$G$4:$G$1053,'сентябрь 2023'!$D$4:$D$1053,$B141,'сентябрь 2023'!$J$4:$J$1053,N$1)</f>
        <v>0</v>
      </c>
      <c r="O141" s="207">
        <f>SUMIFS('сентябрь 2023'!$G$4:$G$1053,'сентябрь 2023'!$D$4:$D$1053,$B141,'сентябрь 2023'!$J$4:$J$1053,O$1)</f>
        <v>0</v>
      </c>
      <c r="P141" s="207">
        <f>SUMIFS('сентябрь 2023'!$G$4:$G$1053,'сентябрь 2023'!$D$4:$D$1053,$B141,'сентябрь 2023'!$J$4:$J$1053,P$1)</f>
        <v>0</v>
      </c>
      <c r="Q141" s="207">
        <f>SUMIFS('сентябрь 2023'!$G$4:$G$1053,'сентябрь 2023'!$D$4:$D$1053,$B141,'сентябрь 2023'!$J$4:$J$1053,Q$1)</f>
        <v>0</v>
      </c>
      <c r="R141" s="207">
        <f>SUMIFS('сентябрь 2023'!$G$4:$G$1053,'сентябрь 2023'!$D$4:$D$1053,$B141,'сентябрь 2023'!$J$4:$J$1053,R$1)</f>
        <v>0</v>
      </c>
      <c r="S141" s="207">
        <f>SUMIFS('сентябрь 2023'!$G$4:$G$1053,'сентябрь 2023'!$D$4:$D$1053,$B141,'сентябрь 2023'!$J$4:$J$1053,S$1)</f>
        <v>0</v>
      </c>
      <c r="T141" s="207">
        <f>SUMIFS('сентябрь 2023'!$G$4:$G$1053,'сентябрь 2023'!$D$4:$D$1053,$B141,'сентябрь 2023'!$J$4:$J$1053,T$1)</f>
        <v>0</v>
      </c>
      <c r="U141" s="207">
        <f>SUMIFS('сентябрь 2023'!$G$4:$G$1053,'сентябрь 2023'!$D$4:$D$1053,$B141,'сентябрь 2023'!$J$4:$J$1053,U$1)</f>
        <v>0</v>
      </c>
      <c r="V141" s="207">
        <f>SUMIFS('сентябрь 2023'!$G$4:$G$1053,'сентябрь 2023'!$D$4:$D$1053,$B141,'сентябрь 2023'!$J$4:$J$1053,V$1)</f>
        <v>0</v>
      </c>
      <c r="W141" s="207">
        <f>SUMIFS('сентябрь 2023'!$G$4:$G$1053,'сентябрь 2023'!$D$4:$D$1053,$B141,'сентябрь 2023'!$J$4:$J$1053,W$1)</f>
        <v>0</v>
      </c>
      <c r="X141" s="207">
        <f>SUMIFS('сентябрь 2023'!$G$4:$G$1053,'сентябрь 2023'!$D$4:$D$1053,$B141,'сентябрь 2023'!$J$4:$J$1053,X$1)</f>
        <v>0</v>
      </c>
      <c r="Y141" s="207">
        <f>SUMIFS('сентябрь 2023'!$G$4:$G$1053,'сентябрь 2023'!$D$4:$D$1053,$B141,'сентябрь 2023'!$J$4:$J$1053,Y$1)</f>
        <v>0</v>
      </c>
      <c r="Z141" s="207">
        <f>SUMIFS('сентябрь 2023'!$G$4:$G$1053,'сентябрь 2023'!$D$4:$D$1053,$B141,'сентябрь 2023'!$J$4:$J$1053,Z$1)</f>
        <v>0</v>
      </c>
      <c r="AA141" s="207">
        <f>SUMIFS('сентябрь 2023'!$G$4:$G$1053,'сентябрь 2023'!$D$4:$D$1053,$B141,'сентябрь 2023'!$J$4:$J$1053,AA$1)</f>
        <v>0</v>
      </c>
      <c r="AB141" s="207">
        <f>SUMIFS('сентябрь 2023'!$G$4:$G$1053,'сентябрь 2023'!$D$4:$D$1053,$B141,'сентябрь 2023'!$J$4:$J$1053,AB$1)</f>
        <v>0</v>
      </c>
      <c r="AC141" s="207">
        <f>SUMIFS('сентябрь 2023'!$G$4:$G$1053,'сентябрь 2023'!$D$4:$D$1053,$B141,'сентябрь 2023'!$J$4:$J$1053,AC$1)</f>
        <v>0</v>
      </c>
      <c r="AD141" s="207">
        <f>SUMIFS('сентябрь 2023'!$G$4:$G$1053,'сентябрь 2023'!$D$4:$D$1053,$B141,'сентябрь 2023'!$J$4:$J$1053,AD$1)</f>
        <v>0</v>
      </c>
      <c r="AE141" s="207">
        <f>SUMIFS('сентябрь 2023'!$G$4:$G$1053,'сентябрь 2023'!$D$4:$D$1053,$B141,'сентябрь 2023'!$J$4:$J$1053,AE$1)</f>
        <v>0</v>
      </c>
      <c r="AF141" s="207">
        <f>SUMIFS('сентябрь 2023'!$G$4:$G$1053,'сентябрь 2023'!$D$4:$D$1053,$B141,'сентябрь 2023'!$J$4:$J$1053,AF$1)</f>
        <v>0</v>
      </c>
      <c r="AG141" s="207">
        <f>SUMIFS('сентябрь 2023'!$G$4:$G$1053,'сентябрь 2023'!$D$4:$D$1053,$B141,'сентябрь 2023'!$J$4:$J$1053,AG$1)</f>
        <v>0</v>
      </c>
      <c r="AH141" s="207">
        <f>SUMIFS('сентябрь 2023'!$G$4:$G$1053,'сентябрь 2023'!$D$4:$D$1053,$B141,'сентябрь 2023'!$J$4:$J$1053,AH$1)</f>
        <v>0</v>
      </c>
      <c r="AI141" s="220">
        <f t="shared" si="4"/>
        <v>0</v>
      </c>
    </row>
    <row r="142" spans="2:35" ht="15" hidden="1" customHeight="1" x14ac:dyDescent="0.25">
      <c r="B142" s="212"/>
      <c r="C142" s="211"/>
      <c r="D142" s="207">
        <f>SUMIFS('сентябрь 2023'!$G$4:$G$1053,'сентябрь 2023'!$D$4:$D$1053,$B142,'сентябрь 2023'!$J$4:$J$1053,D$1)</f>
        <v>0</v>
      </c>
      <c r="E142" s="207">
        <f>SUMIFS('сентябрь 2023'!$G$4:$G$1053,'сентябрь 2023'!$D$4:$D$1053,$B142,'сентябрь 2023'!$J$4:$J$1053,E$1)</f>
        <v>0</v>
      </c>
      <c r="F142" s="207">
        <f>SUMIFS('сентябрь 2023'!$G$4:$G$1053,'сентябрь 2023'!$D$4:$D$1053,$B142,'сентябрь 2023'!$J$4:$J$1053,F$1)</f>
        <v>0</v>
      </c>
      <c r="G142" s="207">
        <f>SUMIFS('сентябрь 2023'!$G$4:$G$1053,'сентябрь 2023'!$D$4:$D$1053,$B142,'сентябрь 2023'!$J$4:$J$1053,G$1)</f>
        <v>0</v>
      </c>
      <c r="H142" s="207">
        <f>SUMIFS('сентябрь 2023'!$G$4:$G$1053,'сентябрь 2023'!$D$4:$D$1053,$B142,'сентябрь 2023'!$J$4:$J$1053,H$1)</f>
        <v>0</v>
      </c>
      <c r="I142" s="207">
        <f>SUMIFS('сентябрь 2023'!$G$4:$G$1053,'сентябрь 2023'!$D$4:$D$1053,$B142,'сентябрь 2023'!$J$4:$J$1053,I$1)</f>
        <v>0</v>
      </c>
      <c r="J142" s="207">
        <f>SUMIFS('сентябрь 2023'!$G$4:$G$1053,'сентябрь 2023'!$D$4:$D$1053,$B142,'сентябрь 2023'!$J$4:$J$1053,J$1)</f>
        <v>0</v>
      </c>
      <c r="K142" s="207">
        <f>SUMIFS('сентябрь 2023'!$G$4:$G$1053,'сентябрь 2023'!$D$4:$D$1053,$B142,'сентябрь 2023'!$J$4:$J$1053,K$1)</f>
        <v>0</v>
      </c>
      <c r="L142" s="207">
        <f>SUMIFS('сентябрь 2023'!$G$4:$G$1053,'сентябрь 2023'!$D$4:$D$1053,$B142,'сентябрь 2023'!$J$4:$J$1053,L$1)</f>
        <v>0</v>
      </c>
      <c r="M142" s="207">
        <f>SUMIFS('сентябрь 2023'!$G$4:$G$1053,'сентябрь 2023'!$D$4:$D$1053,$B142,'сентябрь 2023'!$J$4:$J$1053,M$1)</f>
        <v>0</v>
      </c>
      <c r="N142" s="207">
        <f>SUMIFS('сентябрь 2023'!$G$4:$G$1053,'сентябрь 2023'!$D$4:$D$1053,$B142,'сентябрь 2023'!$J$4:$J$1053,N$1)</f>
        <v>0</v>
      </c>
      <c r="O142" s="207">
        <f>SUMIFS('сентябрь 2023'!$G$4:$G$1053,'сентябрь 2023'!$D$4:$D$1053,$B142,'сентябрь 2023'!$J$4:$J$1053,O$1)</f>
        <v>0</v>
      </c>
      <c r="P142" s="207">
        <f>SUMIFS('сентябрь 2023'!$G$4:$G$1053,'сентябрь 2023'!$D$4:$D$1053,$B142,'сентябрь 2023'!$J$4:$J$1053,P$1)</f>
        <v>0</v>
      </c>
      <c r="Q142" s="207">
        <f>SUMIFS('сентябрь 2023'!$G$4:$G$1053,'сентябрь 2023'!$D$4:$D$1053,$B142,'сентябрь 2023'!$J$4:$J$1053,Q$1)</f>
        <v>0</v>
      </c>
      <c r="R142" s="207">
        <f>SUMIFS('сентябрь 2023'!$G$4:$G$1053,'сентябрь 2023'!$D$4:$D$1053,$B142,'сентябрь 2023'!$J$4:$J$1053,R$1)</f>
        <v>0</v>
      </c>
      <c r="S142" s="207">
        <f>SUMIFS('сентябрь 2023'!$G$4:$G$1053,'сентябрь 2023'!$D$4:$D$1053,$B142,'сентябрь 2023'!$J$4:$J$1053,S$1)</f>
        <v>0</v>
      </c>
      <c r="T142" s="207">
        <f>SUMIFS('сентябрь 2023'!$G$4:$G$1053,'сентябрь 2023'!$D$4:$D$1053,$B142,'сентябрь 2023'!$J$4:$J$1053,T$1)</f>
        <v>0</v>
      </c>
      <c r="U142" s="207">
        <f>SUMIFS('сентябрь 2023'!$G$4:$G$1053,'сентябрь 2023'!$D$4:$D$1053,$B142,'сентябрь 2023'!$J$4:$J$1053,U$1)</f>
        <v>0</v>
      </c>
      <c r="V142" s="207">
        <f>SUMIFS('сентябрь 2023'!$G$4:$G$1053,'сентябрь 2023'!$D$4:$D$1053,$B142,'сентябрь 2023'!$J$4:$J$1053,V$1)</f>
        <v>0</v>
      </c>
      <c r="W142" s="207">
        <f>SUMIFS('сентябрь 2023'!$G$4:$G$1053,'сентябрь 2023'!$D$4:$D$1053,$B142,'сентябрь 2023'!$J$4:$J$1053,W$1)</f>
        <v>0</v>
      </c>
      <c r="X142" s="207">
        <f>SUMIFS('сентябрь 2023'!$G$4:$G$1053,'сентябрь 2023'!$D$4:$D$1053,$B142,'сентябрь 2023'!$J$4:$J$1053,X$1)</f>
        <v>0</v>
      </c>
      <c r="Y142" s="207">
        <f>SUMIFS('сентябрь 2023'!$G$4:$G$1053,'сентябрь 2023'!$D$4:$D$1053,$B142,'сентябрь 2023'!$J$4:$J$1053,Y$1)</f>
        <v>0</v>
      </c>
      <c r="Z142" s="207">
        <f>SUMIFS('сентябрь 2023'!$G$4:$G$1053,'сентябрь 2023'!$D$4:$D$1053,$B142,'сентябрь 2023'!$J$4:$J$1053,Z$1)</f>
        <v>0</v>
      </c>
      <c r="AA142" s="207">
        <f>SUMIFS('сентябрь 2023'!$G$4:$G$1053,'сентябрь 2023'!$D$4:$D$1053,$B142,'сентябрь 2023'!$J$4:$J$1053,AA$1)</f>
        <v>0</v>
      </c>
      <c r="AB142" s="207">
        <f>SUMIFS('сентябрь 2023'!$G$4:$G$1053,'сентябрь 2023'!$D$4:$D$1053,$B142,'сентябрь 2023'!$J$4:$J$1053,AB$1)</f>
        <v>0</v>
      </c>
      <c r="AC142" s="207">
        <f>SUMIFS('сентябрь 2023'!$G$4:$G$1053,'сентябрь 2023'!$D$4:$D$1053,$B142,'сентябрь 2023'!$J$4:$J$1053,AC$1)</f>
        <v>0</v>
      </c>
      <c r="AD142" s="207">
        <f>SUMIFS('сентябрь 2023'!$G$4:$G$1053,'сентябрь 2023'!$D$4:$D$1053,$B142,'сентябрь 2023'!$J$4:$J$1053,AD$1)</f>
        <v>0</v>
      </c>
      <c r="AE142" s="207">
        <f>SUMIFS('сентябрь 2023'!$G$4:$G$1053,'сентябрь 2023'!$D$4:$D$1053,$B142,'сентябрь 2023'!$J$4:$J$1053,AE$1)</f>
        <v>0</v>
      </c>
      <c r="AF142" s="207">
        <f>SUMIFS('сентябрь 2023'!$G$4:$G$1053,'сентябрь 2023'!$D$4:$D$1053,$B142,'сентябрь 2023'!$J$4:$J$1053,AF$1)</f>
        <v>0</v>
      </c>
      <c r="AG142" s="207">
        <f>SUMIFS('сентябрь 2023'!$G$4:$G$1053,'сентябрь 2023'!$D$4:$D$1053,$B142,'сентябрь 2023'!$J$4:$J$1053,AG$1)</f>
        <v>0</v>
      </c>
      <c r="AH142" s="207">
        <f>SUMIFS('сентябрь 2023'!$G$4:$G$1053,'сентябрь 2023'!$D$4:$D$1053,$B142,'сентябрь 2023'!$J$4:$J$1053,AH$1)</f>
        <v>0</v>
      </c>
      <c r="AI142" s="220">
        <f t="shared" si="4"/>
        <v>0</v>
      </c>
    </row>
    <row r="143" spans="2:35" ht="15" hidden="1" customHeight="1" x14ac:dyDescent="0.25">
      <c r="B143" s="218"/>
      <c r="C143" s="219"/>
      <c r="D143" s="207">
        <f>SUMIFS('сентябрь 2023'!$G$4:$G$1053,'сентябрь 2023'!$D$4:$D$1053,$B143,'сентябрь 2023'!$J$4:$J$1053,D$1)</f>
        <v>0</v>
      </c>
      <c r="E143" s="207">
        <f>SUMIFS('сентябрь 2023'!$G$4:$G$1053,'сентябрь 2023'!$D$4:$D$1053,$B143,'сентябрь 2023'!$J$4:$J$1053,E$1)</f>
        <v>0</v>
      </c>
      <c r="F143" s="207">
        <f>SUMIFS('сентябрь 2023'!$G$4:$G$1053,'сентябрь 2023'!$D$4:$D$1053,$B143,'сентябрь 2023'!$J$4:$J$1053,F$1)</f>
        <v>0</v>
      </c>
      <c r="G143" s="207">
        <f>SUMIFS('сентябрь 2023'!$G$4:$G$1053,'сентябрь 2023'!$D$4:$D$1053,$B143,'сентябрь 2023'!$J$4:$J$1053,G$1)</f>
        <v>0</v>
      </c>
      <c r="H143" s="207">
        <f>SUMIFS('сентябрь 2023'!$G$4:$G$1053,'сентябрь 2023'!$D$4:$D$1053,$B143,'сентябрь 2023'!$J$4:$J$1053,H$1)</f>
        <v>0</v>
      </c>
      <c r="I143" s="207">
        <f>SUMIFS('сентябрь 2023'!$G$4:$G$1053,'сентябрь 2023'!$D$4:$D$1053,$B143,'сентябрь 2023'!$J$4:$J$1053,I$1)</f>
        <v>0</v>
      </c>
      <c r="J143" s="207">
        <f>SUMIFS('сентябрь 2023'!$G$4:$G$1053,'сентябрь 2023'!$D$4:$D$1053,$B143,'сентябрь 2023'!$J$4:$J$1053,J$1)</f>
        <v>0</v>
      </c>
      <c r="K143" s="207">
        <f>SUMIFS('сентябрь 2023'!$G$4:$G$1053,'сентябрь 2023'!$D$4:$D$1053,$B143,'сентябрь 2023'!$J$4:$J$1053,K$1)</f>
        <v>0</v>
      </c>
      <c r="L143" s="207">
        <f>SUMIFS('сентябрь 2023'!$G$4:$G$1053,'сентябрь 2023'!$D$4:$D$1053,$B143,'сентябрь 2023'!$J$4:$J$1053,L$1)</f>
        <v>0</v>
      </c>
      <c r="M143" s="207">
        <f>SUMIFS('сентябрь 2023'!$G$4:$G$1053,'сентябрь 2023'!$D$4:$D$1053,$B143,'сентябрь 2023'!$J$4:$J$1053,M$1)</f>
        <v>0</v>
      </c>
      <c r="N143" s="207">
        <f>SUMIFS('сентябрь 2023'!$G$4:$G$1053,'сентябрь 2023'!$D$4:$D$1053,$B143,'сентябрь 2023'!$J$4:$J$1053,N$1)</f>
        <v>0</v>
      </c>
      <c r="O143" s="207">
        <f>SUMIFS('сентябрь 2023'!$G$4:$G$1053,'сентябрь 2023'!$D$4:$D$1053,$B143,'сентябрь 2023'!$J$4:$J$1053,O$1)</f>
        <v>0</v>
      </c>
      <c r="P143" s="207">
        <f>SUMIFS('сентябрь 2023'!$G$4:$G$1053,'сентябрь 2023'!$D$4:$D$1053,$B143,'сентябрь 2023'!$J$4:$J$1053,P$1)</f>
        <v>0</v>
      </c>
      <c r="Q143" s="207">
        <f>SUMIFS('сентябрь 2023'!$G$4:$G$1053,'сентябрь 2023'!$D$4:$D$1053,$B143,'сентябрь 2023'!$J$4:$J$1053,Q$1)</f>
        <v>0</v>
      </c>
      <c r="R143" s="207">
        <f>SUMIFS('сентябрь 2023'!$G$4:$G$1053,'сентябрь 2023'!$D$4:$D$1053,$B143,'сентябрь 2023'!$J$4:$J$1053,R$1)</f>
        <v>0</v>
      </c>
      <c r="S143" s="207">
        <f>SUMIFS('сентябрь 2023'!$G$4:$G$1053,'сентябрь 2023'!$D$4:$D$1053,$B143,'сентябрь 2023'!$J$4:$J$1053,S$1)</f>
        <v>0</v>
      </c>
      <c r="T143" s="207">
        <f>SUMIFS('сентябрь 2023'!$G$4:$G$1053,'сентябрь 2023'!$D$4:$D$1053,$B143,'сентябрь 2023'!$J$4:$J$1053,T$1)</f>
        <v>0</v>
      </c>
      <c r="U143" s="207">
        <f>SUMIFS('сентябрь 2023'!$G$4:$G$1053,'сентябрь 2023'!$D$4:$D$1053,$B143,'сентябрь 2023'!$J$4:$J$1053,U$1)</f>
        <v>0</v>
      </c>
      <c r="V143" s="207">
        <f>SUMIFS('сентябрь 2023'!$G$4:$G$1053,'сентябрь 2023'!$D$4:$D$1053,$B143,'сентябрь 2023'!$J$4:$J$1053,V$1)</f>
        <v>0</v>
      </c>
      <c r="W143" s="207">
        <f>SUMIFS('сентябрь 2023'!$G$4:$G$1053,'сентябрь 2023'!$D$4:$D$1053,$B143,'сентябрь 2023'!$J$4:$J$1053,W$1)</f>
        <v>0</v>
      </c>
      <c r="X143" s="207">
        <f>SUMIFS('сентябрь 2023'!$G$4:$G$1053,'сентябрь 2023'!$D$4:$D$1053,$B143,'сентябрь 2023'!$J$4:$J$1053,X$1)</f>
        <v>0</v>
      </c>
      <c r="Y143" s="207">
        <f>SUMIFS('сентябрь 2023'!$G$4:$G$1053,'сентябрь 2023'!$D$4:$D$1053,$B143,'сентябрь 2023'!$J$4:$J$1053,Y$1)</f>
        <v>0</v>
      </c>
      <c r="Z143" s="207">
        <f>SUMIFS('сентябрь 2023'!$G$4:$G$1053,'сентябрь 2023'!$D$4:$D$1053,$B143,'сентябрь 2023'!$J$4:$J$1053,Z$1)</f>
        <v>0</v>
      </c>
      <c r="AA143" s="207">
        <f>SUMIFS('сентябрь 2023'!$G$4:$G$1053,'сентябрь 2023'!$D$4:$D$1053,$B143,'сентябрь 2023'!$J$4:$J$1053,AA$1)</f>
        <v>0</v>
      </c>
      <c r="AB143" s="207">
        <f>SUMIFS('сентябрь 2023'!$G$4:$G$1053,'сентябрь 2023'!$D$4:$D$1053,$B143,'сентябрь 2023'!$J$4:$J$1053,AB$1)</f>
        <v>0</v>
      </c>
      <c r="AC143" s="207">
        <f>SUMIFS('сентябрь 2023'!$G$4:$G$1053,'сентябрь 2023'!$D$4:$D$1053,$B143,'сентябрь 2023'!$J$4:$J$1053,AC$1)</f>
        <v>0</v>
      </c>
      <c r="AD143" s="207">
        <f>SUMIFS('сентябрь 2023'!$G$4:$G$1053,'сентябрь 2023'!$D$4:$D$1053,$B143,'сентябрь 2023'!$J$4:$J$1053,AD$1)</f>
        <v>0</v>
      </c>
      <c r="AE143" s="207">
        <f>SUMIFS('сентябрь 2023'!$G$4:$G$1053,'сентябрь 2023'!$D$4:$D$1053,$B143,'сентябрь 2023'!$J$4:$J$1053,AE$1)</f>
        <v>0</v>
      </c>
      <c r="AF143" s="207">
        <f>SUMIFS('сентябрь 2023'!$G$4:$G$1053,'сентябрь 2023'!$D$4:$D$1053,$B143,'сентябрь 2023'!$J$4:$J$1053,AF$1)</f>
        <v>0</v>
      </c>
      <c r="AG143" s="207">
        <f>SUMIFS('сентябрь 2023'!$G$4:$G$1053,'сентябрь 2023'!$D$4:$D$1053,$B143,'сентябрь 2023'!$J$4:$J$1053,AG$1)</f>
        <v>0</v>
      </c>
      <c r="AH143" s="207">
        <f>SUMIFS('сентябрь 2023'!$G$4:$G$1053,'сентябрь 2023'!$D$4:$D$1053,$B143,'сентябрь 2023'!$J$4:$J$1053,AH$1)</f>
        <v>0</v>
      </c>
      <c r="AI143" s="220">
        <f t="shared" si="4"/>
        <v>0</v>
      </c>
    </row>
    <row r="144" spans="2:35" ht="15" hidden="1" customHeight="1" x14ac:dyDescent="0.25">
      <c r="B144" s="212"/>
      <c r="C144" s="213"/>
      <c r="D144" s="207">
        <f>SUMIFS('сентябрь 2023'!$G$4:$G$1053,'сентябрь 2023'!$D$4:$D$1053,$B144,'сентябрь 2023'!$J$4:$J$1053,D$1)</f>
        <v>0</v>
      </c>
      <c r="E144" s="207">
        <f>SUMIFS('сентябрь 2023'!$G$4:$G$1053,'сентябрь 2023'!$D$4:$D$1053,$B144,'сентябрь 2023'!$J$4:$J$1053,E$1)</f>
        <v>0</v>
      </c>
      <c r="F144" s="207">
        <f>SUMIFS('сентябрь 2023'!$G$4:$G$1053,'сентябрь 2023'!$D$4:$D$1053,$B144,'сентябрь 2023'!$J$4:$J$1053,F$1)</f>
        <v>0</v>
      </c>
      <c r="G144" s="207">
        <f>SUMIFS('сентябрь 2023'!$G$4:$G$1053,'сентябрь 2023'!$D$4:$D$1053,$B144,'сентябрь 2023'!$J$4:$J$1053,G$1)</f>
        <v>0</v>
      </c>
      <c r="H144" s="207">
        <f>SUMIFS('сентябрь 2023'!$G$4:$G$1053,'сентябрь 2023'!$D$4:$D$1053,$B144,'сентябрь 2023'!$J$4:$J$1053,H$1)</f>
        <v>0</v>
      </c>
      <c r="I144" s="207">
        <f>SUMIFS('сентябрь 2023'!$G$4:$G$1053,'сентябрь 2023'!$D$4:$D$1053,$B144,'сентябрь 2023'!$J$4:$J$1053,I$1)</f>
        <v>0</v>
      </c>
      <c r="J144" s="207">
        <f>SUMIFS('сентябрь 2023'!$G$4:$G$1053,'сентябрь 2023'!$D$4:$D$1053,$B144,'сентябрь 2023'!$J$4:$J$1053,J$1)</f>
        <v>0</v>
      </c>
      <c r="K144" s="207">
        <f>SUMIFS('сентябрь 2023'!$G$4:$G$1053,'сентябрь 2023'!$D$4:$D$1053,$B144,'сентябрь 2023'!$J$4:$J$1053,K$1)</f>
        <v>0</v>
      </c>
      <c r="L144" s="207">
        <f>SUMIFS('сентябрь 2023'!$G$4:$G$1053,'сентябрь 2023'!$D$4:$D$1053,$B144,'сентябрь 2023'!$J$4:$J$1053,L$1)</f>
        <v>0</v>
      </c>
      <c r="M144" s="207">
        <f>SUMIFS('сентябрь 2023'!$G$4:$G$1053,'сентябрь 2023'!$D$4:$D$1053,$B144,'сентябрь 2023'!$J$4:$J$1053,M$1)</f>
        <v>0</v>
      </c>
      <c r="N144" s="207">
        <f>SUMIFS('сентябрь 2023'!$G$4:$G$1053,'сентябрь 2023'!$D$4:$D$1053,$B144,'сентябрь 2023'!$J$4:$J$1053,N$1)</f>
        <v>0</v>
      </c>
      <c r="O144" s="207">
        <f>SUMIFS('сентябрь 2023'!$G$4:$G$1053,'сентябрь 2023'!$D$4:$D$1053,$B144,'сентябрь 2023'!$J$4:$J$1053,O$1)</f>
        <v>0</v>
      </c>
      <c r="P144" s="207">
        <f>SUMIFS('сентябрь 2023'!$G$4:$G$1053,'сентябрь 2023'!$D$4:$D$1053,$B144,'сентябрь 2023'!$J$4:$J$1053,P$1)</f>
        <v>0</v>
      </c>
      <c r="Q144" s="207">
        <f>SUMIFS('сентябрь 2023'!$G$4:$G$1053,'сентябрь 2023'!$D$4:$D$1053,$B144,'сентябрь 2023'!$J$4:$J$1053,Q$1)</f>
        <v>0</v>
      </c>
      <c r="R144" s="207">
        <f>SUMIFS('сентябрь 2023'!$G$4:$G$1053,'сентябрь 2023'!$D$4:$D$1053,$B144,'сентябрь 2023'!$J$4:$J$1053,R$1)</f>
        <v>0</v>
      </c>
      <c r="S144" s="207">
        <f>SUMIFS('сентябрь 2023'!$G$4:$G$1053,'сентябрь 2023'!$D$4:$D$1053,$B144,'сентябрь 2023'!$J$4:$J$1053,S$1)</f>
        <v>0</v>
      </c>
      <c r="T144" s="207">
        <f>SUMIFS('сентябрь 2023'!$G$4:$G$1053,'сентябрь 2023'!$D$4:$D$1053,$B144,'сентябрь 2023'!$J$4:$J$1053,T$1)</f>
        <v>0</v>
      </c>
      <c r="U144" s="207">
        <f>SUMIFS('сентябрь 2023'!$G$4:$G$1053,'сентябрь 2023'!$D$4:$D$1053,$B144,'сентябрь 2023'!$J$4:$J$1053,U$1)</f>
        <v>0</v>
      </c>
      <c r="V144" s="207">
        <f>SUMIFS('сентябрь 2023'!$G$4:$G$1053,'сентябрь 2023'!$D$4:$D$1053,$B144,'сентябрь 2023'!$J$4:$J$1053,V$1)</f>
        <v>0</v>
      </c>
      <c r="W144" s="207">
        <f>SUMIFS('сентябрь 2023'!$G$4:$G$1053,'сентябрь 2023'!$D$4:$D$1053,$B144,'сентябрь 2023'!$J$4:$J$1053,W$1)</f>
        <v>0</v>
      </c>
      <c r="X144" s="207">
        <f>SUMIFS('сентябрь 2023'!$G$4:$G$1053,'сентябрь 2023'!$D$4:$D$1053,$B144,'сентябрь 2023'!$J$4:$J$1053,X$1)</f>
        <v>0</v>
      </c>
      <c r="Y144" s="207">
        <f>SUMIFS('сентябрь 2023'!$G$4:$G$1053,'сентябрь 2023'!$D$4:$D$1053,$B144,'сентябрь 2023'!$J$4:$J$1053,Y$1)</f>
        <v>0</v>
      </c>
      <c r="Z144" s="207">
        <f>SUMIFS('сентябрь 2023'!$G$4:$G$1053,'сентябрь 2023'!$D$4:$D$1053,$B144,'сентябрь 2023'!$J$4:$J$1053,Z$1)</f>
        <v>0</v>
      </c>
      <c r="AA144" s="207">
        <f>SUMIFS('сентябрь 2023'!$G$4:$G$1053,'сентябрь 2023'!$D$4:$D$1053,$B144,'сентябрь 2023'!$J$4:$J$1053,AA$1)</f>
        <v>0</v>
      </c>
      <c r="AB144" s="207">
        <f>SUMIFS('сентябрь 2023'!$G$4:$G$1053,'сентябрь 2023'!$D$4:$D$1053,$B144,'сентябрь 2023'!$J$4:$J$1053,AB$1)</f>
        <v>0</v>
      </c>
      <c r="AC144" s="207">
        <f>SUMIFS('сентябрь 2023'!$G$4:$G$1053,'сентябрь 2023'!$D$4:$D$1053,$B144,'сентябрь 2023'!$J$4:$J$1053,AC$1)</f>
        <v>0</v>
      </c>
      <c r="AD144" s="207">
        <f>SUMIFS('сентябрь 2023'!$G$4:$G$1053,'сентябрь 2023'!$D$4:$D$1053,$B144,'сентябрь 2023'!$J$4:$J$1053,AD$1)</f>
        <v>0</v>
      </c>
      <c r="AE144" s="207">
        <f>SUMIFS('сентябрь 2023'!$G$4:$G$1053,'сентябрь 2023'!$D$4:$D$1053,$B144,'сентябрь 2023'!$J$4:$J$1053,AE$1)</f>
        <v>0</v>
      </c>
      <c r="AF144" s="207">
        <f>SUMIFS('сентябрь 2023'!$G$4:$G$1053,'сентябрь 2023'!$D$4:$D$1053,$B144,'сентябрь 2023'!$J$4:$J$1053,AF$1)</f>
        <v>0</v>
      </c>
      <c r="AG144" s="207">
        <f>SUMIFS('сентябрь 2023'!$G$4:$G$1053,'сентябрь 2023'!$D$4:$D$1053,$B144,'сентябрь 2023'!$J$4:$J$1053,AG$1)</f>
        <v>0</v>
      </c>
      <c r="AH144" s="207">
        <f>SUMIFS('сентябрь 2023'!$G$4:$G$1053,'сентябрь 2023'!$D$4:$D$1053,$B144,'сентябрь 2023'!$J$4:$J$1053,AH$1)</f>
        <v>0</v>
      </c>
      <c r="AI144" s="220">
        <f t="shared" si="4"/>
        <v>0</v>
      </c>
    </row>
    <row r="145" spans="2:35" ht="15" hidden="1" customHeight="1" x14ac:dyDescent="0.25">
      <c r="B145" s="212"/>
      <c r="C145" s="211"/>
      <c r="D145" s="207">
        <f>SUMIFS('сентябрь 2023'!$G$4:$G$1053,'сентябрь 2023'!$D$4:$D$1053,$B145,'сентябрь 2023'!$J$4:$J$1053,D$1)</f>
        <v>0</v>
      </c>
      <c r="E145" s="207">
        <f>SUMIFS('сентябрь 2023'!$G$4:$G$1053,'сентябрь 2023'!$D$4:$D$1053,$B145,'сентябрь 2023'!$J$4:$J$1053,E$1)</f>
        <v>0</v>
      </c>
      <c r="F145" s="207">
        <f>SUMIFS('сентябрь 2023'!$G$4:$G$1053,'сентябрь 2023'!$D$4:$D$1053,$B145,'сентябрь 2023'!$J$4:$J$1053,F$1)</f>
        <v>0</v>
      </c>
      <c r="G145" s="207">
        <f>SUMIFS('сентябрь 2023'!$G$4:$G$1053,'сентябрь 2023'!$D$4:$D$1053,$B145,'сентябрь 2023'!$J$4:$J$1053,G$1)</f>
        <v>0</v>
      </c>
      <c r="H145" s="207">
        <f>SUMIFS('сентябрь 2023'!$G$4:$G$1053,'сентябрь 2023'!$D$4:$D$1053,$B145,'сентябрь 2023'!$J$4:$J$1053,H$1)</f>
        <v>0</v>
      </c>
      <c r="I145" s="207">
        <f>SUMIFS('сентябрь 2023'!$G$4:$G$1053,'сентябрь 2023'!$D$4:$D$1053,$B145,'сентябрь 2023'!$J$4:$J$1053,I$1)</f>
        <v>0</v>
      </c>
      <c r="J145" s="207">
        <f>SUMIFS('сентябрь 2023'!$G$4:$G$1053,'сентябрь 2023'!$D$4:$D$1053,$B145,'сентябрь 2023'!$J$4:$J$1053,J$1)</f>
        <v>0</v>
      </c>
      <c r="K145" s="207">
        <f>SUMIFS('сентябрь 2023'!$G$4:$G$1053,'сентябрь 2023'!$D$4:$D$1053,$B145,'сентябрь 2023'!$J$4:$J$1053,K$1)</f>
        <v>0</v>
      </c>
      <c r="L145" s="207">
        <f>SUMIFS('сентябрь 2023'!$G$4:$G$1053,'сентябрь 2023'!$D$4:$D$1053,$B145,'сентябрь 2023'!$J$4:$J$1053,L$1)</f>
        <v>0</v>
      </c>
      <c r="M145" s="207">
        <f>SUMIFS('сентябрь 2023'!$G$4:$G$1053,'сентябрь 2023'!$D$4:$D$1053,$B145,'сентябрь 2023'!$J$4:$J$1053,M$1)</f>
        <v>0</v>
      </c>
      <c r="N145" s="207">
        <f>SUMIFS('сентябрь 2023'!$G$4:$G$1053,'сентябрь 2023'!$D$4:$D$1053,$B145,'сентябрь 2023'!$J$4:$J$1053,N$1)</f>
        <v>0</v>
      </c>
      <c r="O145" s="207">
        <f>SUMIFS('сентябрь 2023'!$G$4:$G$1053,'сентябрь 2023'!$D$4:$D$1053,$B145,'сентябрь 2023'!$J$4:$J$1053,O$1)</f>
        <v>0</v>
      </c>
      <c r="P145" s="207">
        <f>SUMIFS('сентябрь 2023'!$G$4:$G$1053,'сентябрь 2023'!$D$4:$D$1053,$B145,'сентябрь 2023'!$J$4:$J$1053,P$1)</f>
        <v>0</v>
      </c>
      <c r="Q145" s="207">
        <f>SUMIFS('сентябрь 2023'!$G$4:$G$1053,'сентябрь 2023'!$D$4:$D$1053,$B145,'сентябрь 2023'!$J$4:$J$1053,Q$1)</f>
        <v>0</v>
      </c>
      <c r="R145" s="207">
        <f>SUMIFS('сентябрь 2023'!$G$4:$G$1053,'сентябрь 2023'!$D$4:$D$1053,$B145,'сентябрь 2023'!$J$4:$J$1053,R$1)</f>
        <v>0</v>
      </c>
      <c r="S145" s="207">
        <f>SUMIFS('сентябрь 2023'!$G$4:$G$1053,'сентябрь 2023'!$D$4:$D$1053,$B145,'сентябрь 2023'!$J$4:$J$1053,S$1)</f>
        <v>0</v>
      </c>
      <c r="T145" s="207">
        <f>SUMIFS('сентябрь 2023'!$G$4:$G$1053,'сентябрь 2023'!$D$4:$D$1053,$B145,'сентябрь 2023'!$J$4:$J$1053,T$1)</f>
        <v>0</v>
      </c>
      <c r="U145" s="207">
        <f>SUMIFS('сентябрь 2023'!$G$4:$G$1053,'сентябрь 2023'!$D$4:$D$1053,$B145,'сентябрь 2023'!$J$4:$J$1053,U$1)</f>
        <v>0</v>
      </c>
      <c r="V145" s="207">
        <f>SUMIFS('сентябрь 2023'!$G$4:$G$1053,'сентябрь 2023'!$D$4:$D$1053,$B145,'сентябрь 2023'!$J$4:$J$1053,V$1)</f>
        <v>0</v>
      </c>
      <c r="W145" s="207">
        <f>SUMIFS('сентябрь 2023'!$G$4:$G$1053,'сентябрь 2023'!$D$4:$D$1053,$B145,'сентябрь 2023'!$J$4:$J$1053,W$1)</f>
        <v>0</v>
      </c>
      <c r="X145" s="207">
        <f>SUMIFS('сентябрь 2023'!$G$4:$G$1053,'сентябрь 2023'!$D$4:$D$1053,$B145,'сентябрь 2023'!$J$4:$J$1053,X$1)</f>
        <v>0</v>
      </c>
      <c r="Y145" s="207">
        <f>SUMIFS('сентябрь 2023'!$G$4:$G$1053,'сентябрь 2023'!$D$4:$D$1053,$B145,'сентябрь 2023'!$J$4:$J$1053,Y$1)</f>
        <v>0</v>
      </c>
      <c r="Z145" s="207">
        <f>SUMIFS('сентябрь 2023'!$G$4:$G$1053,'сентябрь 2023'!$D$4:$D$1053,$B145,'сентябрь 2023'!$J$4:$J$1053,Z$1)</f>
        <v>0</v>
      </c>
      <c r="AA145" s="207">
        <f>SUMIFS('сентябрь 2023'!$G$4:$G$1053,'сентябрь 2023'!$D$4:$D$1053,$B145,'сентябрь 2023'!$J$4:$J$1053,AA$1)</f>
        <v>0</v>
      </c>
      <c r="AB145" s="207">
        <f>SUMIFS('сентябрь 2023'!$G$4:$G$1053,'сентябрь 2023'!$D$4:$D$1053,$B145,'сентябрь 2023'!$J$4:$J$1053,AB$1)</f>
        <v>0</v>
      </c>
      <c r="AC145" s="207">
        <f>SUMIFS('сентябрь 2023'!$G$4:$G$1053,'сентябрь 2023'!$D$4:$D$1053,$B145,'сентябрь 2023'!$J$4:$J$1053,AC$1)</f>
        <v>0</v>
      </c>
      <c r="AD145" s="207">
        <f>SUMIFS('сентябрь 2023'!$G$4:$G$1053,'сентябрь 2023'!$D$4:$D$1053,$B145,'сентябрь 2023'!$J$4:$J$1053,AD$1)</f>
        <v>0</v>
      </c>
      <c r="AE145" s="207">
        <f>SUMIFS('сентябрь 2023'!$G$4:$G$1053,'сентябрь 2023'!$D$4:$D$1053,$B145,'сентябрь 2023'!$J$4:$J$1053,AE$1)</f>
        <v>0</v>
      </c>
      <c r="AF145" s="207">
        <f>SUMIFS('сентябрь 2023'!$G$4:$G$1053,'сентябрь 2023'!$D$4:$D$1053,$B145,'сентябрь 2023'!$J$4:$J$1053,AF$1)</f>
        <v>0</v>
      </c>
      <c r="AG145" s="207">
        <f>SUMIFS('сентябрь 2023'!$G$4:$G$1053,'сентябрь 2023'!$D$4:$D$1053,$B145,'сентябрь 2023'!$J$4:$J$1053,AG$1)</f>
        <v>0</v>
      </c>
      <c r="AH145" s="207">
        <f>SUMIFS('сентябрь 2023'!$G$4:$G$1053,'сентябрь 2023'!$D$4:$D$1053,$B145,'сентябрь 2023'!$J$4:$J$1053,AH$1)</f>
        <v>0</v>
      </c>
      <c r="AI145" s="220">
        <f t="shared" si="4"/>
        <v>0</v>
      </c>
    </row>
    <row r="146" spans="2:35" ht="15" hidden="1" customHeight="1" x14ac:dyDescent="0.25">
      <c r="B146" s="212"/>
      <c r="C146" s="211"/>
      <c r="D146" s="207">
        <f>SUMIFS('сентябрь 2023'!$G$4:$G$1053,'сентябрь 2023'!$D$4:$D$1053,$B146,'сентябрь 2023'!$J$4:$J$1053,D$1)</f>
        <v>0</v>
      </c>
      <c r="E146" s="207">
        <f>SUMIFS('сентябрь 2023'!$G$4:$G$1053,'сентябрь 2023'!$D$4:$D$1053,$B146,'сентябрь 2023'!$J$4:$J$1053,E$1)</f>
        <v>0</v>
      </c>
      <c r="F146" s="207">
        <f>SUMIFS('сентябрь 2023'!$G$4:$G$1053,'сентябрь 2023'!$D$4:$D$1053,$B146,'сентябрь 2023'!$J$4:$J$1053,F$1)</f>
        <v>0</v>
      </c>
      <c r="G146" s="207">
        <f>SUMIFS('сентябрь 2023'!$G$4:$G$1053,'сентябрь 2023'!$D$4:$D$1053,$B146,'сентябрь 2023'!$J$4:$J$1053,G$1)</f>
        <v>0</v>
      </c>
      <c r="H146" s="207">
        <f>SUMIFS('сентябрь 2023'!$G$4:$G$1053,'сентябрь 2023'!$D$4:$D$1053,$B146,'сентябрь 2023'!$J$4:$J$1053,H$1)</f>
        <v>0</v>
      </c>
      <c r="I146" s="207">
        <f>SUMIFS('сентябрь 2023'!$G$4:$G$1053,'сентябрь 2023'!$D$4:$D$1053,$B146,'сентябрь 2023'!$J$4:$J$1053,I$1)</f>
        <v>0</v>
      </c>
      <c r="J146" s="207">
        <f>SUMIFS('сентябрь 2023'!$G$4:$G$1053,'сентябрь 2023'!$D$4:$D$1053,$B146,'сентябрь 2023'!$J$4:$J$1053,J$1)</f>
        <v>0</v>
      </c>
      <c r="K146" s="207">
        <f>SUMIFS('сентябрь 2023'!$G$4:$G$1053,'сентябрь 2023'!$D$4:$D$1053,$B146,'сентябрь 2023'!$J$4:$J$1053,K$1)</f>
        <v>0</v>
      </c>
      <c r="L146" s="207">
        <f>SUMIFS('сентябрь 2023'!$G$4:$G$1053,'сентябрь 2023'!$D$4:$D$1053,$B146,'сентябрь 2023'!$J$4:$J$1053,L$1)</f>
        <v>0</v>
      </c>
      <c r="M146" s="207">
        <f>SUMIFS('сентябрь 2023'!$G$4:$G$1053,'сентябрь 2023'!$D$4:$D$1053,$B146,'сентябрь 2023'!$J$4:$J$1053,M$1)</f>
        <v>0</v>
      </c>
      <c r="N146" s="207">
        <f>SUMIFS('сентябрь 2023'!$G$4:$G$1053,'сентябрь 2023'!$D$4:$D$1053,$B146,'сентябрь 2023'!$J$4:$J$1053,N$1)</f>
        <v>0</v>
      </c>
      <c r="O146" s="207">
        <f>SUMIFS('сентябрь 2023'!$G$4:$G$1053,'сентябрь 2023'!$D$4:$D$1053,$B146,'сентябрь 2023'!$J$4:$J$1053,O$1)</f>
        <v>0</v>
      </c>
      <c r="P146" s="207">
        <f>SUMIFS('сентябрь 2023'!$G$4:$G$1053,'сентябрь 2023'!$D$4:$D$1053,$B146,'сентябрь 2023'!$J$4:$J$1053,P$1)</f>
        <v>0</v>
      </c>
      <c r="Q146" s="207">
        <f>SUMIFS('сентябрь 2023'!$G$4:$G$1053,'сентябрь 2023'!$D$4:$D$1053,$B146,'сентябрь 2023'!$J$4:$J$1053,Q$1)</f>
        <v>0</v>
      </c>
      <c r="R146" s="207">
        <f>SUMIFS('сентябрь 2023'!$G$4:$G$1053,'сентябрь 2023'!$D$4:$D$1053,$B146,'сентябрь 2023'!$J$4:$J$1053,R$1)</f>
        <v>0</v>
      </c>
      <c r="S146" s="207">
        <f>SUMIFS('сентябрь 2023'!$G$4:$G$1053,'сентябрь 2023'!$D$4:$D$1053,$B146,'сентябрь 2023'!$J$4:$J$1053,S$1)</f>
        <v>0</v>
      </c>
      <c r="T146" s="207">
        <f>SUMIFS('сентябрь 2023'!$G$4:$G$1053,'сентябрь 2023'!$D$4:$D$1053,$B146,'сентябрь 2023'!$J$4:$J$1053,T$1)</f>
        <v>0</v>
      </c>
      <c r="U146" s="207">
        <f>SUMIFS('сентябрь 2023'!$G$4:$G$1053,'сентябрь 2023'!$D$4:$D$1053,$B146,'сентябрь 2023'!$J$4:$J$1053,U$1)</f>
        <v>0</v>
      </c>
      <c r="V146" s="207">
        <f>SUMIFS('сентябрь 2023'!$G$4:$G$1053,'сентябрь 2023'!$D$4:$D$1053,$B146,'сентябрь 2023'!$J$4:$J$1053,V$1)</f>
        <v>0</v>
      </c>
      <c r="W146" s="207">
        <f>SUMIFS('сентябрь 2023'!$G$4:$G$1053,'сентябрь 2023'!$D$4:$D$1053,$B146,'сентябрь 2023'!$J$4:$J$1053,W$1)</f>
        <v>0</v>
      </c>
      <c r="X146" s="207">
        <f>SUMIFS('сентябрь 2023'!$G$4:$G$1053,'сентябрь 2023'!$D$4:$D$1053,$B146,'сентябрь 2023'!$J$4:$J$1053,X$1)</f>
        <v>0</v>
      </c>
      <c r="Y146" s="207">
        <f>SUMIFS('сентябрь 2023'!$G$4:$G$1053,'сентябрь 2023'!$D$4:$D$1053,$B146,'сентябрь 2023'!$J$4:$J$1053,Y$1)</f>
        <v>0</v>
      </c>
      <c r="Z146" s="207">
        <f>SUMIFS('сентябрь 2023'!$G$4:$G$1053,'сентябрь 2023'!$D$4:$D$1053,$B146,'сентябрь 2023'!$J$4:$J$1053,Z$1)</f>
        <v>0</v>
      </c>
      <c r="AA146" s="207">
        <f>SUMIFS('сентябрь 2023'!$G$4:$G$1053,'сентябрь 2023'!$D$4:$D$1053,$B146,'сентябрь 2023'!$J$4:$J$1053,AA$1)</f>
        <v>0</v>
      </c>
      <c r="AB146" s="207">
        <f>SUMIFS('сентябрь 2023'!$G$4:$G$1053,'сентябрь 2023'!$D$4:$D$1053,$B146,'сентябрь 2023'!$J$4:$J$1053,AB$1)</f>
        <v>0</v>
      </c>
      <c r="AC146" s="207">
        <f>SUMIFS('сентябрь 2023'!$G$4:$G$1053,'сентябрь 2023'!$D$4:$D$1053,$B146,'сентябрь 2023'!$J$4:$J$1053,AC$1)</f>
        <v>0</v>
      </c>
      <c r="AD146" s="207">
        <f>SUMIFS('сентябрь 2023'!$G$4:$G$1053,'сентябрь 2023'!$D$4:$D$1053,$B146,'сентябрь 2023'!$J$4:$J$1053,AD$1)</f>
        <v>0</v>
      </c>
      <c r="AE146" s="207">
        <f>SUMIFS('сентябрь 2023'!$G$4:$G$1053,'сентябрь 2023'!$D$4:$D$1053,$B146,'сентябрь 2023'!$J$4:$J$1053,AE$1)</f>
        <v>0</v>
      </c>
      <c r="AF146" s="207">
        <f>SUMIFS('сентябрь 2023'!$G$4:$G$1053,'сентябрь 2023'!$D$4:$D$1053,$B146,'сентябрь 2023'!$J$4:$J$1053,AF$1)</f>
        <v>0</v>
      </c>
      <c r="AG146" s="207">
        <f>SUMIFS('сентябрь 2023'!$G$4:$G$1053,'сентябрь 2023'!$D$4:$D$1053,$B146,'сентябрь 2023'!$J$4:$J$1053,AG$1)</f>
        <v>0</v>
      </c>
      <c r="AH146" s="207">
        <f>SUMIFS('сентябрь 2023'!$G$4:$G$1053,'сентябрь 2023'!$D$4:$D$1053,$B146,'сентябрь 2023'!$J$4:$J$1053,AH$1)</f>
        <v>0</v>
      </c>
      <c r="AI146" s="220">
        <f t="shared" si="4"/>
        <v>0</v>
      </c>
    </row>
    <row r="147" spans="2:35" ht="15" hidden="1" customHeight="1" x14ac:dyDescent="0.25">
      <c r="B147" s="212"/>
      <c r="C147" s="215"/>
      <c r="D147" s="207">
        <f>SUMIFS('сентябрь 2023'!$G$4:$G$1053,'сентябрь 2023'!$D$4:$D$1053,$B147,'сентябрь 2023'!$J$4:$J$1053,D$1)</f>
        <v>0</v>
      </c>
      <c r="E147" s="207">
        <f>SUMIFS('сентябрь 2023'!$G$4:$G$1053,'сентябрь 2023'!$D$4:$D$1053,$B147,'сентябрь 2023'!$J$4:$J$1053,E$1)</f>
        <v>0</v>
      </c>
      <c r="F147" s="207">
        <f>SUMIFS('сентябрь 2023'!$G$4:$G$1053,'сентябрь 2023'!$D$4:$D$1053,$B147,'сентябрь 2023'!$J$4:$J$1053,F$1)</f>
        <v>0</v>
      </c>
      <c r="G147" s="207">
        <f>SUMIFS('сентябрь 2023'!$G$4:$G$1053,'сентябрь 2023'!$D$4:$D$1053,$B147,'сентябрь 2023'!$J$4:$J$1053,G$1)</f>
        <v>0</v>
      </c>
      <c r="H147" s="207">
        <f>SUMIFS('сентябрь 2023'!$G$4:$G$1053,'сентябрь 2023'!$D$4:$D$1053,$B147,'сентябрь 2023'!$J$4:$J$1053,H$1)</f>
        <v>0</v>
      </c>
      <c r="I147" s="207">
        <f>SUMIFS('сентябрь 2023'!$G$4:$G$1053,'сентябрь 2023'!$D$4:$D$1053,$B147,'сентябрь 2023'!$J$4:$J$1053,I$1)</f>
        <v>0</v>
      </c>
      <c r="J147" s="207">
        <f>SUMIFS('сентябрь 2023'!$G$4:$G$1053,'сентябрь 2023'!$D$4:$D$1053,$B147,'сентябрь 2023'!$J$4:$J$1053,J$1)</f>
        <v>0</v>
      </c>
      <c r="K147" s="207">
        <f>SUMIFS('сентябрь 2023'!$G$4:$G$1053,'сентябрь 2023'!$D$4:$D$1053,$B147,'сентябрь 2023'!$J$4:$J$1053,K$1)</f>
        <v>0</v>
      </c>
      <c r="L147" s="207">
        <f>SUMIFS('сентябрь 2023'!$G$4:$G$1053,'сентябрь 2023'!$D$4:$D$1053,$B147,'сентябрь 2023'!$J$4:$J$1053,L$1)</f>
        <v>0</v>
      </c>
      <c r="M147" s="207">
        <f>SUMIFS('сентябрь 2023'!$G$4:$G$1053,'сентябрь 2023'!$D$4:$D$1053,$B147,'сентябрь 2023'!$J$4:$J$1053,M$1)</f>
        <v>0</v>
      </c>
      <c r="N147" s="207">
        <f>SUMIFS('сентябрь 2023'!$G$4:$G$1053,'сентябрь 2023'!$D$4:$D$1053,$B147,'сентябрь 2023'!$J$4:$J$1053,N$1)</f>
        <v>0</v>
      </c>
      <c r="O147" s="207">
        <f>SUMIFS('сентябрь 2023'!$G$4:$G$1053,'сентябрь 2023'!$D$4:$D$1053,$B147,'сентябрь 2023'!$J$4:$J$1053,O$1)</f>
        <v>0</v>
      </c>
      <c r="P147" s="207">
        <f>SUMIFS('сентябрь 2023'!$G$4:$G$1053,'сентябрь 2023'!$D$4:$D$1053,$B147,'сентябрь 2023'!$J$4:$J$1053,P$1)</f>
        <v>0</v>
      </c>
      <c r="Q147" s="207">
        <f>SUMIFS('сентябрь 2023'!$G$4:$G$1053,'сентябрь 2023'!$D$4:$D$1053,$B147,'сентябрь 2023'!$J$4:$J$1053,Q$1)</f>
        <v>0</v>
      </c>
      <c r="R147" s="207">
        <f>SUMIFS('сентябрь 2023'!$G$4:$G$1053,'сентябрь 2023'!$D$4:$D$1053,$B147,'сентябрь 2023'!$J$4:$J$1053,R$1)</f>
        <v>0</v>
      </c>
      <c r="S147" s="207">
        <f>SUMIFS('сентябрь 2023'!$G$4:$G$1053,'сентябрь 2023'!$D$4:$D$1053,$B147,'сентябрь 2023'!$J$4:$J$1053,S$1)</f>
        <v>0</v>
      </c>
      <c r="T147" s="207">
        <f>SUMIFS('сентябрь 2023'!$G$4:$G$1053,'сентябрь 2023'!$D$4:$D$1053,$B147,'сентябрь 2023'!$J$4:$J$1053,T$1)</f>
        <v>0</v>
      </c>
      <c r="U147" s="207">
        <f>SUMIFS('сентябрь 2023'!$G$4:$G$1053,'сентябрь 2023'!$D$4:$D$1053,$B147,'сентябрь 2023'!$J$4:$J$1053,U$1)</f>
        <v>0</v>
      </c>
      <c r="V147" s="207">
        <f>SUMIFS('сентябрь 2023'!$G$4:$G$1053,'сентябрь 2023'!$D$4:$D$1053,$B147,'сентябрь 2023'!$J$4:$J$1053,V$1)</f>
        <v>0</v>
      </c>
      <c r="W147" s="207">
        <f>SUMIFS('сентябрь 2023'!$G$4:$G$1053,'сентябрь 2023'!$D$4:$D$1053,$B147,'сентябрь 2023'!$J$4:$J$1053,W$1)</f>
        <v>0</v>
      </c>
      <c r="X147" s="207">
        <f>SUMIFS('сентябрь 2023'!$G$4:$G$1053,'сентябрь 2023'!$D$4:$D$1053,$B147,'сентябрь 2023'!$J$4:$J$1053,X$1)</f>
        <v>0</v>
      </c>
      <c r="Y147" s="207">
        <f>SUMIFS('сентябрь 2023'!$G$4:$G$1053,'сентябрь 2023'!$D$4:$D$1053,$B147,'сентябрь 2023'!$J$4:$J$1053,Y$1)</f>
        <v>0</v>
      </c>
      <c r="Z147" s="207">
        <f>SUMIFS('сентябрь 2023'!$G$4:$G$1053,'сентябрь 2023'!$D$4:$D$1053,$B147,'сентябрь 2023'!$J$4:$J$1053,Z$1)</f>
        <v>0</v>
      </c>
      <c r="AA147" s="207">
        <f>SUMIFS('сентябрь 2023'!$G$4:$G$1053,'сентябрь 2023'!$D$4:$D$1053,$B147,'сентябрь 2023'!$J$4:$J$1053,AA$1)</f>
        <v>0</v>
      </c>
      <c r="AB147" s="207">
        <f>SUMIFS('сентябрь 2023'!$G$4:$G$1053,'сентябрь 2023'!$D$4:$D$1053,$B147,'сентябрь 2023'!$J$4:$J$1053,AB$1)</f>
        <v>0</v>
      </c>
      <c r="AC147" s="207">
        <f>SUMIFS('сентябрь 2023'!$G$4:$G$1053,'сентябрь 2023'!$D$4:$D$1053,$B147,'сентябрь 2023'!$J$4:$J$1053,AC$1)</f>
        <v>0</v>
      </c>
      <c r="AD147" s="207">
        <f>SUMIFS('сентябрь 2023'!$G$4:$G$1053,'сентябрь 2023'!$D$4:$D$1053,$B147,'сентябрь 2023'!$J$4:$J$1053,AD$1)</f>
        <v>0</v>
      </c>
      <c r="AE147" s="207">
        <f>SUMIFS('сентябрь 2023'!$G$4:$G$1053,'сентябрь 2023'!$D$4:$D$1053,$B147,'сентябрь 2023'!$J$4:$J$1053,AE$1)</f>
        <v>0</v>
      </c>
      <c r="AF147" s="207">
        <f>SUMIFS('сентябрь 2023'!$G$4:$G$1053,'сентябрь 2023'!$D$4:$D$1053,$B147,'сентябрь 2023'!$J$4:$J$1053,AF$1)</f>
        <v>0</v>
      </c>
      <c r="AG147" s="207">
        <f>SUMIFS('сентябрь 2023'!$G$4:$G$1053,'сентябрь 2023'!$D$4:$D$1053,$B147,'сентябрь 2023'!$J$4:$J$1053,AG$1)</f>
        <v>0</v>
      </c>
      <c r="AH147" s="207">
        <f>SUMIFS('сентябрь 2023'!$G$4:$G$1053,'сентябрь 2023'!$D$4:$D$1053,$B147,'сентябрь 2023'!$J$4:$J$1053,AH$1)</f>
        <v>0</v>
      </c>
      <c r="AI147" s="220">
        <f t="shared" si="4"/>
        <v>0</v>
      </c>
    </row>
    <row r="148" spans="2:35" ht="15" hidden="1" customHeight="1" x14ac:dyDescent="0.25">
      <c r="B148" s="212"/>
      <c r="C148" s="213"/>
      <c r="D148" s="207">
        <f>SUMIFS('сентябрь 2023'!$G$4:$G$1053,'сентябрь 2023'!$D$4:$D$1053,$B148,'сентябрь 2023'!$J$4:$J$1053,D$1)</f>
        <v>0</v>
      </c>
      <c r="E148" s="207">
        <f>SUMIFS('сентябрь 2023'!$G$4:$G$1053,'сентябрь 2023'!$D$4:$D$1053,$B148,'сентябрь 2023'!$J$4:$J$1053,E$1)</f>
        <v>0</v>
      </c>
      <c r="F148" s="207">
        <f>SUMIFS('сентябрь 2023'!$G$4:$G$1053,'сентябрь 2023'!$D$4:$D$1053,$B148,'сентябрь 2023'!$J$4:$J$1053,F$1)</f>
        <v>0</v>
      </c>
      <c r="G148" s="207">
        <f>SUMIFS('сентябрь 2023'!$G$4:$G$1053,'сентябрь 2023'!$D$4:$D$1053,$B148,'сентябрь 2023'!$J$4:$J$1053,G$1)</f>
        <v>0</v>
      </c>
      <c r="H148" s="207">
        <f>SUMIFS('сентябрь 2023'!$G$4:$G$1053,'сентябрь 2023'!$D$4:$D$1053,$B148,'сентябрь 2023'!$J$4:$J$1053,H$1)</f>
        <v>0</v>
      </c>
      <c r="I148" s="207">
        <f>SUMIFS('сентябрь 2023'!$G$4:$G$1053,'сентябрь 2023'!$D$4:$D$1053,$B148,'сентябрь 2023'!$J$4:$J$1053,I$1)</f>
        <v>0</v>
      </c>
      <c r="J148" s="207">
        <f>SUMIFS('сентябрь 2023'!$G$4:$G$1053,'сентябрь 2023'!$D$4:$D$1053,$B148,'сентябрь 2023'!$J$4:$J$1053,J$1)</f>
        <v>0</v>
      </c>
      <c r="K148" s="207">
        <f>SUMIFS('сентябрь 2023'!$G$4:$G$1053,'сентябрь 2023'!$D$4:$D$1053,$B148,'сентябрь 2023'!$J$4:$J$1053,K$1)</f>
        <v>0</v>
      </c>
      <c r="L148" s="207">
        <f>SUMIFS('сентябрь 2023'!$G$4:$G$1053,'сентябрь 2023'!$D$4:$D$1053,$B148,'сентябрь 2023'!$J$4:$J$1053,L$1)</f>
        <v>0</v>
      </c>
      <c r="M148" s="207">
        <f>SUMIFS('сентябрь 2023'!$G$4:$G$1053,'сентябрь 2023'!$D$4:$D$1053,$B148,'сентябрь 2023'!$J$4:$J$1053,M$1)</f>
        <v>0</v>
      </c>
      <c r="N148" s="207">
        <f>SUMIFS('сентябрь 2023'!$G$4:$G$1053,'сентябрь 2023'!$D$4:$D$1053,$B148,'сентябрь 2023'!$J$4:$J$1053,N$1)</f>
        <v>0</v>
      </c>
      <c r="O148" s="207">
        <f>SUMIFS('сентябрь 2023'!$G$4:$G$1053,'сентябрь 2023'!$D$4:$D$1053,$B148,'сентябрь 2023'!$J$4:$J$1053,O$1)</f>
        <v>0</v>
      </c>
      <c r="P148" s="207">
        <f>SUMIFS('сентябрь 2023'!$G$4:$G$1053,'сентябрь 2023'!$D$4:$D$1053,$B148,'сентябрь 2023'!$J$4:$J$1053,P$1)</f>
        <v>0</v>
      </c>
      <c r="Q148" s="207">
        <f>SUMIFS('сентябрь 2023'!$G$4:$G$1053,'сентябрь 2023'!$D$4:$D$1053,$B148,'сентябрь 2023'!$J$4:$J$1053,Q$1)</f>
        <v>0</v>
      </c>
      <c r="R148" s="207">
        <f>SUMIFS('сентябрь 2023'!$G$4:$G$1053,'сентябрь 2023'!$D$4:$D$1053,$B148,'сентябрь 2023'!$J$4:$J$1053,R$1)</f>
        <v>0</v>
      </c>
      <c r="S148" s="207">
        <f>SUMIFS('сентябрь 2023'!$G$4:$G$1053,'сентябрь 2023'!$D$4:$D$1053,$B148,'сентябрь 2023'!$J$4:$J$1053,S$1)</f>
        <v>0</v>
      </c>
      <c r="T148" s="207">
        <f>SUMIFS('сентябрь 2023'!$G$4:$G$1053,'сентябрь 2023'!$D$4:$D$1053,$B148,'сентябрь 2023'!$J$4:$J$1053,T$1)</f>
        <v>0</v>
      </c>
      <c r="U148" s="207">
        <f>SUMIFS('сентябрь 2023'!$G$4:$G$1053,'сентябрь 2023'!$D$4:$D$1053,$B148,'сентябрь 2023'!$J$4:$J$1053,U$1)</f>
        <v>0</v>
      </c>
      <c r="V148" s="207">
        <f>SUMIFS('сентябрь 2023'!$G$4:$G$1053,'сентябрь 2023'!$D$4:$D$1053,$B148,'сентябрь 2023'!$J$4:$J$1053,V$1)</f>
        <v>0</v>
      </c>
      <c r="W148" s="207">
        <f>SUMIFS('сентябрь 2023'!$G$4:$G$1053,'сентябрь 2023'!$D$4:$D$1053,$B148,'сентябрь 2023'!$J$4:$J$1053,W$1)</f>
        <v>0</v>
      </c>
      <c r="X148" s="207">
        <f>SUMIFS('сентябрь 2023'!$G$4:$G$1053,'сентябрь 2023'!$D$4:$D$1053,$B148,'сентябрь 2023'!$J$4:$J$1053,X$1)</f>
        <v>0</v>
      </c>
      <c r="Y148" s="207">
        <f>SUMIFS('сентябрь 2023'!$G$4:$G$1053,'сентябрь 2023'!$D$4:$D$1053,$B148,'сентябрь 2023'!$J$4:$J$1053,Y$1)</f>
        <v>0</v>
      </c>
      <c r="Z148" s="207">
        <f>SUMIFS('сентябрь 2023'!$G$4:$G$1053,'сентябрь 2023'!$D$4:$D$1053,$B148,'сентябрь 2023'!$J$4:$J$1053,Z$1)</f>
        <v>0</v>
      </c>
      <c r="AA148" s="207">
        <f>SUMIFS('сентябрь 2023'!$G$4:$G$1053,'сентябрь 2023'!$D$4:$D$1053,$B148,'сентябрь 2023'!$J$4:$J$1053,AA$1)</f>
        <v>0</v>
      </c>
      <c r="AB148" s="207">
        <f>SUMIFS('сентябрь 2023'!$G$4:$G$1053,'сентябрь 2023'!$D$4:$D$1053,$B148,'сентябрь 2023'!$J$4:$J$1053,AB$1)</f>
        <v>0</v>
      </c>
      <c r="AC148" s="207">
        <f>SUMIFS('сентябрь 2023'!$G$4:$G$1053,'сентябрь 2023'!$D$4:$D$1053,$B148,'сентябрь 2023'!$J$4:$J$1053,AC$1)</f>
        <v>0</v>
      </c>
      <c r="AD148" s="207">
        <f>SUMIFS('сентябрь 2023'!$G$4:$G$1053,'сентябрь 2023'!$D$4:$D$1053,$B148,'сентябрь 2023'!$J$4:$J$1053,AD$1)</f>
        <v>0</v>
      </c>
      <c r="AE148" s="207">
        <f>SUMIFS('сентябрь 2023'!$G$4:$G$1053,'сентябрь 2023'!$D$4:$D$1053,$B148,'сентябрь 2023'!$J$4:$J$1053,AE$1)</f>
        <v>0</v>
      </c>
      <c r="AF148" s="207">
        <f>SUMIFS('сентябрь 2023'!$G$4:$G$1053,'сентябрь 2023'!$D$4:$D$1053,$B148,'сентябрь 2023'!$J$4:$J$1053,AF$1)</f>
        <v>0</v>
      </c>
      <c r="AG148" s="207">
        <f>SUMIFS('сентябрь 2023'!$G$4:$G$1053,'сентябрь 2023'!$D$4:$D$1053,$B148,'сентябрь 2023'!$J$4:$J$1053,AG$1)</f>
        <v>0</v>
      </c>
      <c r="AH148" s="207">
        <f>SUMIFS('сентябрь 2023'!$G$4:$G$1053,'сентябрь 2023'!$D$4:$D$1053,$B148,'сентябрь 2023'!$J$4:$J$1053,AH$1)</f>
        <v>0</v>
      </c>
      <c r="AI148" s="220">
        <f t="shared" si="4"/>
        <v>0</v>
      </c>
    </row>
    <row r="149" spans="2:35" ht="15" hidden="1" customHeight="1" x14ac:dyDescent="0.25">
      <c r="B149" s="216"/>
      <c r="C149" s="213"/>
      <c r="D149" s="207">
        <f>SUMIFS('сентябрь 2023'!$G$4:$G$1053,'сентябрь 2023'!$D$4:$D$1053,$B149,'сентябрь 2023'!$J$4:$J$1053,D$1)</f>
        <v>0</v>
      </c>
      <c r="E149" s="207">
        <f>SUMIFS('сентябрь 2023'!$G$4:$G$1053,'сентябрь 2023'!$D$4:$D$1053,$B149,'сентябрь 2023'!$J$4:$J$1053,E$1)</f>
        <v>0</v>
      </c>
      <c r="F149" s="207">
        <f>SUMIFS('сентябрь 2023'!$G$4:$G$1053,'сентябрь 2023'!$D$4:$D$1053,$B149,'сентябрь 2023'!$J$4:$J$1053,F$1)</f>
        <v>0</v>
      </c>
      <c r="G149" s="207">
        <f>SUMIFS('сентябрь 2023'!$G$4:$G$1053,'сентябрь 2023'!$D$4:$D$1053,$B149,'сентябрь 2023'!$J$4:$J$1053,G$1)</f>
        <v>0</v>
      </c>
      <c r="H149" s="207">
        <f>SUMIFS('сентябрь 2023'!$G$4:$G$1053,'сентябрь 2023'!$D$4:$D$1053,$B149,'сентябрь 2023'!$J$4:$J$1053,H$1)</f>
        <v>0</v>
      </c>
      <c r="I149" s="207">
        <f>SUMIFS('сентябрь 2023'!$G$4:$G$1053,'сентябрь 2023'!$D$4:$D$1053,$B149,'сентябрь 2023'!$J$4:$J$1053,I$1)</f>
        <v>0</v>
      </c>
      <c r="J149" s="207">
        <f>SUMIFS('сентябрь 2023'!$G$4:$G$1053,'сентябрь 2023'!$D$4:$D$1053,$B149,'сентябрь 2023'!$J$4:$J$1053,J$1)</f>
        <v>0</v>
      </c>
      <c r="K149" s="207">
        <f>SUMIFS('сентябрь 2023'!$G$4:$G$1053,'сентябрь 2023'!$D$4:$D$1053,$B149,'сентябрь 2023'!$J$4:$J$1053,K$1)</f>
        <v>0</v>
      </c>
      <c r="L149" s="207">
        <f>SUMIFS('сентябрь 2023'!$G$4:$G$1053,'сентябрь 2023'!$D$4:$D$1053,$B149,'сентябрь 2023'!$J$4:$J$1053,L$1)</f>
        <v>0</v>
      </c>
      <c r="M149" s="207">
        <f>SUMIFS('сентябрь 2023'!$G$4:$G$1053,'сентябрь 2023'!$D$4:$D$1053,$B149,'сентябрь 2023'!$J$4:$J$1053,M$1)</f>
        <v>0</v>
      </c>
      <c r="N149" s="207">
        <f>SUMIFS('сентябрь 2023'!$G$4:$G$1053,'сентябрь 2023'!$D$4:$D$1053,$B149,'сентябрь 2023'!$J$4:$J$1053,N$1)</f>
        <v>0</v>
      </c>
      <c r="O149" s="207">
        <f>SUMIFS('сентябрь 2023'!$G$4:$G$1053,'сентябрь 2023'!$D$4:$D$1053,$B149,'сентябрь 2023'!$J$4:$J$1053,O$1)</f>
        <v>0</v>
      </c>
      <c r="P149" s="207">
        <f>SUMIFS('сентябрь 2023'!$G$4:$G$1053,'сентябрь 2023'!$D$4:$D$1053,$B149,'сентябрь 2023'!$J$4:$J$1053,P$1)</f>
        <v>0</v>
      </c>
      <c r="Q149" s="207">
        <f>SUMIFS('сентябрь 2023'!$G$4:$G$1053,'сентябрь 2023'!$D$4:$D$1053,$B149,'сентябрь 2023'!$J$4:$J$1053,Q$1)</f>
        <v>0</v>
      </c>
      <c r="R149" s="207">
        <f>SUMIFS('сентябрь 2023'!$G$4:$G$1053,'сентябрь 2023'!$D$4:$D$1053,$B149,'сентябрь 2023'!$J$4:$J$1053,R$1)</f>
        <v>0</v>
      </c>
      <c r="S149" s="207">
        <f>SUMIFS('сентябрь 2023'!$G$4:$G$1053,'сентябрь 2023'!$D$4:$D$1053,$B149,'сентябрь 2023'!$J$4:$J$1053,S$1)</f>
        <v>0</v>
      </c>
      <c r="T149" s="207">
        <f>SUMIFS('сентябрь 2023'!$G$4:$G$1053,'сентябрь 2023'!$D$4:$D$1053,$B149,'сентябрь 2023'!$J$4:$J$1053,T$1)</f>
        <v>0</v>
      </c>
      <c r="U149" s="207">
        <f>SUMIFS('сентябрь 2023'!$G$4:$G$1053,'сентябрь 2023'!$D$4:$D$1053,$B149,'сентябрь 2023'!$J$4:$J$1053,U$1)</f>
        <v>0</v>
      </c>
      <c r="V149" s="207">
        <f>SUMIFS('сентябрь 2023'!$G$4:$G$1053,'сентябрь 2023'!$D$4:$D$1053,$B149,'сентябрь 2023'!$J$4:$J$1053,V$1)</f>
        <v>0</v>
      </c>
      <c r="W149" s="207">
        <f>SUMIFS('сентябрь 2023'!$G$4:$G$1053,'сентябрь 2023'!$D$4:$D$1053,$B149,'сентябрь 2023'!$J$4:$J$1053,W$1)</f>
        <v>0</v>
      </c>
      <c r="X149" s="207">
        <f>SUMIFS('сентябрь 2023'!$G$4:$G$1053,'сентябрь 2023'!$D$4:$D$1053,$B149,'сентябрь 2023'!$J$4:$J$1053,X$1)</f>
        <v>0</v>
      </c>
      <c r="Y149" s="207">
        <f>SUMIFS('сентябрь 2023'!$G$4:$G$1053,'сентябрь 2023'!$D$4:$D$1053,$B149,'сентябрь 2023'!$J$4:$J$1053,Y$1)</f>
        <v>0</v>
      </c>
      <c r="Z149" s="207">
        <f>SUMIFS('сентябрь 2023'!$G$4:$G$1053,'сентябрь 2023'!$D$4:$D$1053,$B149,'сентябрь 2023'!$J$4:$J$1053,Z$1)</f>
        <v>0</v>
      </c>
      <c r="AA149" s="207">
        <f>SUMIFS('сентябрь 2023'!$G$4:$G$1053,'сентябрь 2023'!$D$4:$D$1053,$B149,'сентябрь 2023'!$J$4:$J$1053,AA$1)</f>
        <v>0</v>
      </c>
      <c r="AB149" s="207">
        <f>SUMIFS('сентябрь 2023'!$G$4:$G$1053,'сентябрь 2023'!$D$4:$D$1053,$B149,'сентябрь 2023'!$J$4:$J$1053,AB$1)</f>
        <v>0</v>
      </c>
      <c r="AC149" s="207">
        <f>SUMIFS('сентябрь 2023'!$G$4:$G$1053,'сентябрь 2023'!$D$4:$D$1053,$B149,'сентябрь 2023'!$J$4:$J$1053,AC$1)</f>
        <v>0</v>
      </c>
      <c r="AD149" s="207">
        <f>SUMIFS('сентябрь 2023'!$G$4:$G$1053,'сентябрь 2023'!$D$4:$D$1053,$B149,'сентябрь 2023'!$J$4:$J$1053,AD$1)</f>
        <v>0</v>
      </c>
      <c r="AE149" s="207">
        <f>SUMIFS('сентябрь 2023'!$G$4:$G$1053,'сентябрь 2023'!$D$4:$D$1053,$B149,'сентябрь 2023'!$J$4:$J$1053,AE$1)</f>
        <v>0</v>
      </c>
      <c r="AF149" s="207">
        <f>SUMIFS('сентябрь 2023'!$G$4:$G$1053,'сентябрь 2023'!$D$4:$D$1053,$B149,'сентябрь 2023'!$J$4:$J$1053,AF$1)</f>
        <v>0</v>
      </c>
      <c r="AG149" s="207">
        <f>SUMIFS('сентябрь 2023'!$G$4:$G$1053,'сентябрь 2023'!$D$4:$D$1053,$B149,'сентябрь 2023'!$J$4:$J$1053,AG$1)</f>
        <v>0</v>
      </c>
      <c r="AH149" s="207">
        <f>SUMIFS('сентябрь 2023'!$G$4:$G$1053,'сентябрь 2023'!$D$4:$D$1053,$B149,'сентябрь 2023'!$J$4:$J$1053,AH$1)</f>
        <v>0</v>
      </c>
      <c r="AI149" s="220">
        <f t="shared" si="4"/>
        <v>0</v>
      </c>
    </row>
    <row r="150" spans="2:35" ht="15" hidden="1" customHeight="1" x14ac:dyDescent="0.25">
      <c r="B150" s="212"/>
      <c r="C150" s="211"/>
      <c r="D150" s="207">
        <f>SUMIFS('сентябрь 2023'!$G$4:$G$1053,'сентябрь 2023'!$D$4:$D$1053,$B150,'сентябрь 2023'!$J$4:$J$1053,D$1)</f>
        <v>0</v>
      </c>
      <c r="E150" s="207">
        <f>SUMIFS('сентябрь 2023'!$G$4:$G$1053,'сентябрь 2023'!$D$4:$D$1053,$B150,'сентябрь 2023'!$J$4:$J$1053,E$1)</f>
        <v>0</v>
      </c>
      <c r="F150" s="207">
        <f>SUMIFS('сентябрь 2023'!$G$4:$G$1053,'сентябрь 2023'!$D$4:$D$1053,$B150,'сентябрь 2023'!$J$4:$J$1053,F$1)</f>
        <v>0</v>
      </c>
      <c r="G150" s="207">
        <f>SUMIFS('сентябрь 2023'!$G$4:$G$1053,'сентябрь 2023'!$D$4:$D$1053,$B150,'сентябрь 2023'!$J$4:$J$1053,G$1)</f>
        <v>0</v>
      </c>
      <c r="H150" s="207">
        <f>SUMIFS('сентябрь 2023'!$G$4:$G$1053,'сентябрь 2023'!$D$4:$D$1053,$B150,'сентябрь 2023'!$J$4:$J$1053,H$1)</f>
        <v>0</v>
      </c>
      <c r="I150" s="207">
        <f>SUMIFS('сентябрь 2023'!$G$4:$G$1053,'сентябрь 2023'!$D$4:$D$1053,$B150,'сентябрь 2023'!$J$4:$J$1053,I$1)</f>
        <v>0</v>
      </c>
      <c r="J150" s="207">
        <f>SUMIFS('сентябрь 2023'!$G$4:$G$1053,'сентябрь 2023'!$D$4:$D$1053,$B150,'сентябрь 2023'!$J$4:$J$1053,J$1)</f>
        <v>0</v>
      </c>
      <c r="K150" s="207">
        <f>SUMIFS('сентябрь 2023'!$G$4:$G$1053,'сентябрь 2023'!$D$4:$D$1053,$B150,'сентябрь 2023'!$J$4:$J$1053,K$1)</f>
        <v>0</v>
      </c>
      <c r="L150" s="207">
        <f>SUMIFS('сентябрь 2023'!$G$4:$G$1053,'сентябрь 2023'!$D$4:$D$1053,$B150,'сентябрь 2023'!$J$4:$J$1053,L$1)</f>
        <v>0</v>
      </c>
      <c r="M150" s="207">
        <f>SUMIFS('сентябрь 2023'!$G$4:$G$1053,'сентябрь 2023'!$D$4:$D$1053,$B150,'сентябрь 2023'!$J$4:$J$1053,M$1)</f>
        <v>0</v>
      </c>
      <c r="N150" s="207">
        <f>SUMIFS('сентябрь 2023'!$G$4:$G$1053,'сентябрь 2023'!$D$4:$D$1053,$B150,'сентябрь 2023'!$J$4:$J$1053,N$1)</f>
        <v>0</v>
      </c>
      <c r="O150" s="207">
        <f>SUMIFS('сентябрь 2023'!$G$4:$G$1053,'сентябрь 2023'!$D$4:$D$1053,$B150,'сентябрь 2023'!$J$4:$J$1053,O$1)</f>
        <v>0</v>
      </c>
      <c r="P150" s="207">
        <f>SUMIFS('сентябрь 2023'!$G$4:$G$1053,'сентябрь 2023'!$D$4:$D$1053,$B150,'сентябрь 2023'!$J$4:$J$1053,P$1)</f>
        <v>0</v>
      </c>
      <c r="Q150" s="207">
        <f>SUMIFS('сентябрь 2023'!$G$4:$G$1053,'сентябрь 2023'!$D$4:$D$1053,$B150,'сентябрь 2023'!$J$4:$J$1053,Q$1)</f>
        <v>0</v>
      </c>
      <c r="R150" s="207">
        <f>SUMIFS('сентябрь 2023'!$G$4:$G$1053,'сентябрь 2023'!$D$4:$D$1053,$B150,'сентябрь 2023'!$J$4:$J$1053,R$1)</f>
        <v>0</v>
      </c>
      <c r="S150" s="207">
        <f>SUMIFS('сентябрь 2023'!$G$4:$G$1053,'сентябрь 2023'!$D$4:$D$1053,$B150,'сентябрь 2023'!$J$4:$J$1053,S$1)</f>
        <v>0</v>
      </c>
      <c r="T150" s="207">
        <f>SUMIFS('сентябрь 2023'!$G$4:$G$1053,'сентябрь 2023'!$D$4:$D$1053,$B150,'сентябрь 2023'!$J$4:$J$1053,T$1)</f>
        <v>0</v>
      </c>
      <c r="U150" s="207">
        <f>SUMIFS('сентябрь 2023'!$G$4:$G$1053,'сентябрь 2023'!$D$4:$D$1053,$B150,'сентябрь 2023'!$J$4:$J$1053,U$1)</f>
        <v>0</v>
      </c>
      <c r="V150" s="207">
        <f>SUMIFS('сентябрь 2023'!$G$4:$G$1053,'сентябрь 2023'!$D$4:$D$1053,$B150,'сентябрь 2023'!$J$4:$J$1053,V$1)</f>
        <v>0</v>
      </c>
      <c r="W150" s="207">
        <f>SUMIFS('сентябрь 2023'!$G$4:$G$1053,'сентябрь 2023'!$D$4:$D$1053,$B150,'сентябрь 2023'!$J$4:$J$1053,W$1)</f>
        <v>0</v>
      </c>
      <c r="X150" s="207">
        <f>SUMIFS('сентябрь 2023'!$G$4:$G$1053,'сентябрь 2023'!$D$4:$D$1053,$B150,'сентябрь 2023'!$J$4:$J$1053,X$1)</f>
        <v>0</v>
      </c>
      <c r="Y150" s="207">
        <f>SUMIFS('сентябрь 2023'!$G$4:$G$1053,'сентябрь 2023'!$D$4:$D$1053,$B150,'сентябрь 2023'!$J$4:$J$1053,Y$1)</f>
        <v>0</v>
      </c>
      <c r="Z150" s="207">
        <f>SUMIFS('сентябрь 2023'!$G$4:$G$1053,'сентябрь 2023'!$D$4:$D$1053,$B150,'сентябрь 2023'!$J$4:$J$1053,Z$1)</f>
        <v>0</v>
      </c>
      <c r="AA150" s="207">
        <f>SUMIFS('сентябрь 2023'!$G$4:$G$1053,'сентябрь 2023'!$D$4:$D$1053,$B150,'сентябрь 2023'!$J$4:$J$1053,AA$1)</f>
        <v>0</v>
      </c>
      <c r="AB150" s="207">
        <f>SUMIFS('сентябрь 2023'!$G$4:$G$1053,'сентябрь 2023'!$D$4:$D$1053,$B150,'сентябрь 2023'!$J$4:$J$1053,AB$1)</f>
        <v>0</v>
      </c>
      <c r="AC150" s="207">
        <f>SUMIFS('сентябрь 2023'!$G$4:$G$1053,'сентябрь 2023'!$D$4:$D$1053,$B150,'сентябрь 2023'!$J$4:$J$1053,AC$1)</f>
        <v>0</v>
      </c>
      <c r="AD150" s="207">
        <f>SUMIFS('сентябрь 2023'!$G$4:$G$1053,'сентябрь 2023'!$D$4:$D$1053,$B150,'сентябрь 2023'!$J$4:$J$1053,AD$1)</f>
        <v>0</v>
      </c>
      <c r="AE150" s="207">
        <f>SUMIFS('сентябрь 2023'!$G$4:$G$1053,'сентябрь 2023'!$D$4:$D$1053,$B150,'сентябрь 2023'!$J$4:$J$1053,AE$1)</f>
        <v>0</v>
      </c>
      <c r="AF150" s="207">
        <f>SUMIFS('сентябрь 2023'!$G$4:$G$1053,'сентябрь 2023'!$D$4:$D$1053,$B150,'сентябрь 2023'!$J$4:$J$1053,AF$1)</f>
        <v>0</v>
      </c>
      <c r="AG150" s="207">
        <f>SUMIFS('сентябрь 2023'!$G$4:$G$1053,'сентябрь 2023'!$D$4:$D$1053,$B150,'сентябрь 2023'!$J$4:$J$1053,AG$1)</f>
        <v>0</v>
      </c>
      <c r="AH150" s="207">
        <f>SUMIFS('сентябрь 2023'!$G$4:$G$1053,'сентябрь 2023'!$D$4:$D$1053,$B150,'сентябрь 2023'!$J$4:$J$1053,AH$1)</f>
        <v>0</v>
      </c>
      <c r="AI150" s="220">
        <f t="shared" si="4"/>
        <v>0</v>
      </c>
    </row>
    <row r="151" spans="2:35" ht="15" hidden="1" customHeight="1" x14ac:dyDescent="0.25">
      <c r="B151" s="212"/>
      <c r="C151" s="213"/>
      <c r="D151" s="207">
        <f>SUMIFS('сентябрь 2023'!$G$4:$G$1053,'сентябрь 2023'!$D$4:$D$1053,$B151,'сентябрь 2023'!$J$4:$J$1053,D$1)</f>
        <v>0</v>
      </c>
      <c r="E151" s="207">
        <f>SUMIFS('сентябрь 2023'!$G$4:$G$1053,'сентябрь 2023'!$D$4:$D$1053,$B151,'сентябрь 2023'!$J$4:$J$1053,E$1)</f>
        <v>0</v>
      </c>
      <c r="F151" s="207">
        <f>SUMIFS('сентябрь 2023'!$G$4:$G$1053,'сентябрь 2023'!$D$4:$D$1053,$B151,'сентябрь 2023'!$J$4:$J$1053,F$1)</f>
        <v>0</v>
      </c>
      <c r="G151" s="207">
        <f>SUMIFS('сентябрь 2023'!$G$4:$G$1053,'сентябрь 2023'!$D$4:$D$1053,$B151,'сентябрь 2023'!$J$4:$J$1053,G$1)</f>
        <v>0</v>
      </c>
      <c r="H151" s="207">
        <f>SUMIFS('сентябрь 2023'!$G$4:$G$1053,'сентябрь 2023'!$D$4:$D$1053,$B151,'сентябрь 2023'!$J$4:$J$1053,H$1)</f>
        <v>0</v>
      </c>
      <c r="I151" s="207">
        <f>SUMIFS('сентябрь 2023'!$G$4:$G$1053,'сентябрь 2023'!$D$4:$D$1053,$B151,'сентябрь 2023'!$J$4:$J$1053,I$1)</f>
        <v>0</v>
      </c>
      <c r="J151" s="207">
        <f>SUMIFS('сентябрь 2023'!$G$4:$G$1053,'сентябрь 2023'!$D$4:$D$1053,$B151,'сентябрь 2023'!$J$4:$J$1053,J$1)</f>
        <v>0</v>
      </c>
      <c r="K151" s="207">
        <f>SUMIFS('сентябрь 2023'!$G$4:$G$1053,'сентябрь 2023'!$D$4:$D$1053,$B151,'сентябрь 2023'!$J$4:$J$1053,K$1)</f>
        <v>0</v>
      </c>
      <c r="L151" s="207">
        <f>SUMIFS('сентябрь 2023'!$G$4:$G$1053,'сентябрь 2023'!$D$4:$D$1053,$B151,'сентябрь 2023'!$J$4:$J$1053,L$1)</f>
        <v>0</v>
      </c>
      <c r="M151" s="207">
        <f>SUMIFS('сентябрь 2023'!$G$4:$G$1053,'сентябрь 2023'!$D$4:$D$1053,$B151,'сентябрь 2023'!$J$4:$J$1053,M$1)</f>
        <v>0</v>
      </c>
      <c r="N151" s="207">
        <f>SUMIFS('сентябрь 2023'!$G$4:$G$1053,'сентябрь 2023'!$D$4:$D$1053,$B151,'сентябрь 2023'!$J$4:$J$1053,N$1)</f>
        <v>0</v>
      </c>
      <c r="O151" s="207">
        <f>SUMIFS('сентябрь 2023'!$G$4:$G$1053,'сентябрь 2023'!$D$4:$D$1053,$B151,'сентябрь 2023'!$J$4:$J$1053,O$1)</f>
        <v>0</v>
      </c>
      <c r="P151" s="207">
        <f>SUMIFS('сентябрь 2023'!$G$4:$G$1053,'сентябрь 2023'!$D$4:$D$1053,$B151,'сентябрь 2023'!$J$4:$J$1053,P$1)</f>
        <v>0</v>
      </c>
      <c r="Q151" s="207">
        <f>SUMIFS('сентябрь 2023'!$G$4:$G$1053,'сентябрь 2023'!$D$4:$D$1053,$B151,'сентябрь 2023'!$J$4:$J$1053,Q$1)</f>
        <v>0</v>
      </c>
      <c r="R151" s="207">
        <f>SUMIFS('сентябрь 2023'!$G$4:$G$1053,'сентябрь 2023'!$D$4:$D$1053,$B151,'сентябрь 2023'!$J$4:$J$1053,R$1)</f>
        <v>0</v>
      </c>
      <c r="S151" s="207">
        <f>SUMIFS('сентябрь 2023'!$G$4:$G$1053,'сентябрь 2023'!$D$4:$D$1053,$B151,'сентябрь 2023'!$J$4:$J$1053,S$1)</f>
        <v>0</v>
      </c>
      <c r="T151" s="207">
        <f>SUMIFS('сентябрь 2023'!$G$4:$G$1053,'сентябрь 2023'!$D$4:$D$1053,$B151,'сентябрь 2023'!$J$4:$J$1053,T$1)</f>
        <v>0</v>
      </c>
      <c r="U151" s="207">
        <f>SUMIFS('сентябрь 2023'!$G$4:$G$1053,'сентябрь 2023'!$D$4:$D$1053,$B151,'сентябрь 2023'!$J$4:$J$1053,U$1)</f>
        <v>0</v>
      </c>
      <c r="V151" s="207">
        <f>SUMIFS('сентябрь 2023'!$G$4:$G$1053,'сентябрь 2023'!$D$4:$D$1053,$B151,'сентябрь 2023'!$J$4:$J$1053,V$1)</f>
        <v>0</v>
      </c>
      <c r="W151" s="207">
        <f>SUMIFS('сентябрь 2023'!$G$4:$G$1053,'сентябрь 2023'!$D$4:$D$1053,$B151,'сентябрь 2023'!$J$4:$J$1053,W$1)</f>
        <v>0</v>
      </c>
      <c r="X151" s="207">
        <f>SUMIFS('сентябрь 2023'!$G$4:$G$1053,'сентябрь 2023'!$D$4:$D$1053,$B151,'сентябрь 2023'!$J$4:$J$1053,X$1)</f>
        <v>0</v>
      </c>
      <c r="Y151" s="207">
        <f>SUMIFS('сентябрь 2023'!$G$4:$G$1053,'сентябрь 2023'!$D$4:$D$1053,$B151,'сентябрь 2023'!$J$4:$J$1053,Y$1)</f>
        <v>0</v>
      </c>
      <c r="Z151" s="207">
        <f>SUMIFS('сентябрь 2023'!$G$4:$G$1053,'сентябрь 2023'!$D$4:$D$1053,$B151,'сентябрь 2023'!$J$4:$J$1053,Z$1)</f>
        <v>0</v>
      </c>
      <c r="AA151" s="207">
        <f>SUMIFS('сентябрь 2023'!$G$4:$G$1053,'сентябрь 2023'!$D$4:$D$1053,$B151,'сентябрь 2023'!$J$4:$J$1053,AA$1)</f>
        <v>0</v>
      </c>
      <c r="AB151" s="207">
        <f>SUMIFS('сентябрь 2023'!$G$4:$G$1053,'сентябрь 2023'!$D$4:$D$1053,$B151,'сентябрь 2023'!$J$4:$J$1053,AB$1)</f>
        <v>0</v>
      </c>
      <c r="AC151" s="207">
        <f>SUMIFS('сентябрь 2023'!$G$4:$G$1053,'сентябрь 2023'!$D$4:$D$1053,$B151,'сентябрь 2023'!$J$4:$J$1053,AC$1)</f>
        <v>0</v>
      </c>
      <c r="AD151" s="207">
        <f>SUMIFS('сентябрь 2023'!$G$4:$G$1053,'сентябрь 2023'!$D$4:$D$1053,$B151,'сентябрь 2023'!$J$4:$J$1053,AD$1)</f>
        <v>0</v>
      </c>
      <c r="AE151" s="207">
        <f>SUMIFS('сентябрь 2023'!$G$4:$G$1053,'сентябрь 2023'!$D$4:$D$1053,$B151,'сентябрь 2023'!$J$4:$J$1053,AE$1)</f>
        <v>0</v>
      </c>
      <c r="AF151" s="207">
        <f>SUMIFS('сентябрь 2023'!$G$4:$G$1053,'сентябрь 2023'!$D$4:$D$1053,$B151,'сентябрь 2023'!$J$4:$J$1053,AF$1)</f>
        <v>0</v>
      </c>
      <c r="AG151" s="207">
        <f>SUMIFS('сентябрь 2023'!$G$4:$G$1053,'сентябрь 2023'!$D$4:$D$1053,$B151,'сентябрь 2023'!$J$4:$J$1053,AG$1)</f>
        <v>0</v>
      </c>
      <c r="AH151" s="207">
        <f>SUMIFS('сентябрь 2023'!$G$4:$G$1053,'сентябрь 2023'!$D$4:$D$1053,$B151,'сентябрь 2023'!$J$4:$J$1053,AH$1)</f>
        <v>0</v>
      </c>
      <c r="AI151" s="220">
        <f t="shared" si="4"/>
        <v>0</v>
      </c>
    </row>
    <row r="152" spans="2:35" ht="15" hidden="1" customHeight="1" x14ac:dyDescent="0.25">
      <c r="B152" s="212"/>
      <c r="C152" s="213"/>
      <c r="D152" s="207">
        <f>SUMIFS('сентябрь 2023'!$G$4:$G$1053,'сентябрь 2023'!$D$4:$D$1053,$B152,'сентябрь 2023'!$J$4:$J$1053,D$1)</f>
        <v>0</v>
      </c>
      <c r="E152" s="207">
        <f>SUMIFS('сентябрь 2023'!$G$4:$G$1053,'сентябрь 2023'!$D$4:$D$1053,$B152,'сентябрь 2023'!$J$4:$J$1053,E$1)</f>
        <v>0</v>
      </c>
      <c r="F152" s="207">
        <f>SUMIFS('сентябрь 2023'!$G$4:$G$1053,'сентябрь 2023'!$D$4:$D$1053,$B152,'сентябрь 2023'!$J$4:$J$1053,F$1)</f>
        <v>0</v>
      </c>
      <c r="G152" s="207">
        <f>SUMIFS('сентябрь 2023'!$G$4:$G$1053,'сентябрь 2023'!$D$4:$D$1053,$B152,'сентябрь 2023'!$J$4:$J$1053,G$1)</f>
        <v>0</v>
      </c>
      <c r="H152" s="207">
        <f>SUMIFS('сентябрь 2023'!$G$4:$G$1053,'сентябрь 2023'!$D$4:$D$1053,$B152,'сентябрь 2023'!$J$4:$J$1053,H$1)</f>
        <v>0</v>
      </c>
      <c r="I152" s="207">
        <f>SUMIFS('сентябрь 2023'!$G$4:$G$1053,'сентябрь 2023'!$D$4:$D$1053,$B152,'сентябрь 2023'!$J$4:$J$1053,I$1)</f>
        <v>0</v>
      </c>
      <c r="J152" s="207">
        <f>SUMIFS('сентябрь 2023'!$G$4:$G$1053,'сентябрь 2023'!$D$4:$D$1053,$B152,'сентябрь 2023'!$J$4:$J$1053,J$1)</f>
        <v>0</v>
      </c>
      <c r="K152" s="207">
        <f>SUMIFS('сентябрь 2023'!$G$4:$G$1053,'сентябрь 2023'!$D$4:$D$1053,$B152,'сентябрь 2023'!$J$4:$J$1053,K$1)</f>
        <v>0</v>
      </c>
      <c r="L152" s="207">
        <f>SUMIFS('сентябрь 2023'!$G$4:$G$1053,'сентябрь 2023'!$D$4:$D$1053,$B152,'сентябрь 2023'!$J$4:$J$1053,L$1)</f>
        <v>0</v>
      </c>
      <c r="M152" s="207">
        <f>SUMIFS('сентябрь 2023'!$G$4:$G$1053,'сентябрь 2023'!$D$4:$D$1053,$B152,'сентябрь 2023'!$J$4:$J$1053,M$1)</f>
        <v>0</v>
      </c>
      <c r="N152" s="207">
        <f>SUMIFS('сентябрь 2023'!$G$4:$G$1053,'сентябрь 2023'!$D$4:$D$1053,$B152,'сентябрь 2023'!$J$4:$J$1053,N$1)</f>
        <v>0</v>
      </c>
      <c r="O152" s="207">
        <f>SUMIFS('сентябрь 2023'!$G$4:$G$1053,'сентябрь 2023'!$D$4:$D$1053,$B152,'сентябрь 2023'!$J$4:$J$1053,O$1)</f>
        <v>0</v>
      </c>
      <c r="P152" s="207">
        <f>SUMIFS('сентябрь 2023'!$G$4:$G$1053,'сентябрь 2023'!$D$4:$D$1053,$B152,'сентябрь 2023'!$J$4:$J$1053,P$1)</f>
        <v>0</v>
      </c>
      <c r="Q152" s="207">
        <f>SUMIFS('сентябрь 2023'!$G$4:$G$1053,'сентябрь 2023'!$D$4:$D$1053,$B152,'сентябрь 2023'!$J$4:$J$1053,Q$1)</f>
        <v>0</v>
      </c>
      <c r="R152" s="207">
        <f>SUMIFS('сентябрь 2023'!$G$4:$G$1053,'сентябрь 2023'!$D$4:$D$1053,$B152,'сентябрь 2023'!$J$4:$J$1053,R$1)</f>
        <v>0</v>
      </c>
      <c r="S152" s="207">
        <f>SUMIFS('сентябрь 2023'!$G$4:$G$1053,'сентябрь 2023'!$D$4:$D$1053,$B152,'сентябрь 2023'!$J$4:$J$1053,S$1)</f>
        <v>0</v>
      </c>
      <c r="T152" s="207">
        <f>SUMIFS('сентябрь 2023'!$G$4:$G$1053,'сентябрь 2023'!$D$4:$D$1053,$B152,'сентябрь 2023'!$J$4:$J$1053,T$1)</f>
        <v>0</v>
      </c>
      <c r="U152" s="207">
        <f>SUMIFS('сентябрь 2023'!$G$4:$G$1053,'сентябрь 2023'!$D$4:$D$1053,$B152,'сентябрь 2023'!$J$4:$J$1053,U$1)</f>
        <v>0</v>
      </c>
      <c r="V152" s="207">
        <f>SUMIFS('сентябрь 2023'!$G$4:$G$1053,'сентябрь 2023'!$D$4:$D$1053,$B152,'сентябрь 2023'!$J$4:$J$1053,V$1)</f>
        <v>0</v>
      </c>
      <c r="W152" s="207">
        <f>SUMIFS('сентябрь 2023'!$G$4:$G$1053,'сентябрь 2023'!$D$4:$D$1053,$B152,'сентябрь 2023'!$J$4:$J$1053,W$1)</f>
        <v>0</v>
      </c>
      <c r="X152" s="207">
        <f>SUMIFS('сентябрь 2023'!$G$4:$G$1053,'сентябрь 2023'!$D$4:$D$1053,$B152,'сентябрь 2023'!$J$4:$J$1053,X$1)</f>
        <v>0</v>
      </c>
      <c r="Y152" s="207">
        <f>SUMIFS('сентябрь 2023'!$G$4:$G$1053,'сентябрь 2023'!$D$4:$D$1053,$B152,'сентябрь 2023'!$J$4:$J$1053,Y$1)</f>
        <v>0</v>
      </c>
      <c r="Z152" s="207">
        <f>SUMIFS('сентябрь 2023'!$G$4:$G$1053,'сентябрь 2023'!$D$4:$D$1053,$B152,'сентябрь 2023'!$J$4:$J$1053,Z$1)</f>
        <v>0</v>
      </c>
      <c r="AA152" s="207">
        <f>SUMIFS('сентябрь 2023'!$G$4:$G$1053,'сентябрь 2023'!$D$4:$D$1053,$B152,'сентябрь 2023'!$J$4:$J$1053,AA$1)</f>
        <v>0</v>
      </c>
      <c r="AB152" s="207">
        <f>SUMIFS('сентябрь 2023'!$G$4:$G$1053,'сентябрь 2023'!$D$4:$D$1053,$B152,'сентябрь 2023'!$J$4:$J$1053,AB$1)</f>
        <v>0</v>
      </c>
      <c r="AC152" s="207">
        <f>SUMIFS('сентябрь 2023'!$G$4:$G$1053,'сентябрь 2023'!$D$4:$D$1053,$B152,'сентябрь 2023'!$J$4:$J$1053,AC$1)</f>
        <v>0</v>
      </c>
      <c r="AD152" s="207">
        <f>SUMIFS('сентябрь 2023'!$G$4:$G$1053,'сентябрь 2023'!$D$4:$D$1053,$B152,'сентябрь 2023'!$J$4:$J$1053,AD$1)</f>
        <v>0</v>
      </c>
      <c r="AE152" s="207">
        <f>SUMIFS('сентябрь 2023'!$G$4:$G$1053,'сентябрь 2023'!$D$4:$D$1053,$B152,'сентябрь 2023'!$J$4:$J$1053,AE$1)</f>
        <v>0</v>
      </c>
      <c r="AF152" s="207">
        <f>SUMIFS('сентябрь 2023'!$G$4:$G$1053,'сентябрь 2023'!$D$4:$D$1053,$B152,'сентябрь 2023'!$J$4:$J$1053,AF$1)</f>
        <v>0</v>
      </c>
      <c r="AG152" s="207">
        <f>SUMIFS('сентябрь 2023'!$G$4:$G$1053,'сентябрь 2023'!$D$4:$D$1053,$B152,'сентябрь 2023'!$J$4:$J$1053,AG$1)</f>
        <v>0</v>
      </c>
      <c r="AH152" s="207">
        <f>SUMIFS('сентябрь 2023'!$G$4:$G$1053,'сентябрь 2023'!$D$4:$D$1053,$B152,'сентябрь 2023'!$J$4:$J$1053,AH$1)</f>
        <v>0</v>
      </c>
      <c r="AI152" s="220">
        <f t="shared" ref="AI152:AI190" si="5">SUM(D152:AH152)</f>
        <v>0</v>
      </c>
    </row>
    <row r="153" spans="2:35" ht="15" hidden="1" customHeight="1" x14ac:dyDescent="0.25">
      <c r="B153" s="212"/>
      <c r="C153" s="213"/>
      <c r="D153" s="207">
        <f>SUMIFS('сентябрь 2023'!$G$4:$G$1053,'сентябрь 2023'!$D$4:$D$1053,$B153,'сентябрь 2023'!$J$4:$J$1053,D$1)</f>
        <v>0</v>
      </c>
      <c r="E153" s="207">
        <f>SUMIFS('сентябрь 2023'!$G$4:$G$1053,'сентябрь 2023'!$D$4:$D$1053,$B153,'сентябрь 2023'!$J$4:$J$1053,E$1)</f>
        <v>0</v>
      </c>
      <c r="F153" s="207">
        <f>SUMIFS('сентябрь 2023'!$G$4:$G$1053,'сентябрь 2023'!$D$4:$D$1053,$B153,'сентябрь 2023'!$J$4:$J$1053,F$1)</f>
        <v>0</v>
      </c>
      <c r="G153" s="207">
        <f>SUMIFS('сентябрь 2023'!$G$4:$G$1053,'сентябрь 2023'!$D$4:$D$1053,$B153,'сентябрь 2023'!$J$4:$J$1053,G$1)</f>
        <v>0</v>
      </c>
      <c r="H153" s="207">
        <f>SUMIFS('сентябрь 2023'!$G$4:$G$1053,'сентябрь 2023'!$D$4:$D$1053,$B153,'сентябрь 2023'!$J$4:$J$1053,H$1)</f>
        <v>0</v>
      </c>
      <c r="I153" s="207">
        <f>SUMIFS('сентябрь 2023'!$G$4:$G$1053,'сентябрь 2023'!$D$4:$D$1053,$B153,'сентябрь 2023'!$J$4:$J$1053,I$1)</f>
        <v>0</v>
      </c>
      <c r="J153" s="207">
        <f>SUMIFS('сентябрь 2023'!$G$4:$G$1053,'сентябрь 2023'!$D$4:$D$1053,$B153,'сентябрь 2023'!$J$4:$J$1053,J$1)</f>
        <v>0</v>
      </c>
      <c r="K153" s="207">
        <f>SUMIFS('сентябрь 2023'!$G$4:$G$1053,'сентябрь 2023'!$D$4:$D$1053,$B153,'сентябрь 2023'!$J$4:$J$1053,K$1)</f>
        <v>0</v>
      </c>
      <c r="L153" s="207">
        <f>SUMIFS('сентябрь 2023'!$G$4:$G$1053,'сентябрь 2023'!$D$4:$D$1053,$B153,'сентябрь 2023'!$J$4:$J$1053,L$1)</f>
        <v>0</v>
      </c>
      <c r="M153" s="207">
        <f>SUMIFS('сентябрь 2023'!$G$4:$G$1053,'сентябрь 2023'!$D$4:$D$1053,$B153,'сентябрь 2023'!$J$4:$J$1053,M$1)</f>
        <v>0</v>
      </c>
      <c r="N153" s="207">
        <f>SUMIFS('сентябрь 2023'!$G$4:$G$1053,'сентябрь 2023'!$D$4:$D$1053,$B153,'сентябрь 2023'!$J$4:$J$1053,N$1)</f>
        <v>0</v>
      </c>
      <c r="O153" s="207">
        <f>SUMIFS('сентябрь 2023'!$G$4:$G$1053,'сентябрь 2023'!$D$4:$D$1053,$B153,'сентябрь 2023'!$J$4:$J$1053,O$1)</f>
        <v>0</v>
      </c>
      <c r="P153" s="207">
        <f>SUMIFS('сентябрь 2023'!$G$4:$G$1053,'сентябрь 2023'!$D$4:$D$1053,$B153,'сентябрь 2023'!$J$4:$J$1053,P$1)</f>
        <v>0</v>
      </c>
      <c r="Q153" s="207">
        <f>SUMIFS('сентябрь 2023'!$G$4:$G$1053,'сентябрь 2023'!$D$4:$D$1053,$B153,'сентябрь 2023'!$J$4:$J$1053,Q$1)</f>
        <v>0</v>
      </c>
      <c r="R153" s="207">
        <f>SUMIFS('сентябрь 2023'!$G$4:$G$1053,'сентябрь 2023'!$D$4:$D$1053,$B153,'сентябрь 2023'!$J$4:$J$1053,R$1)</f>
        <v>0</v>
      </c>
      <c r="S153" s="207">
        <f>SUMIFS('сентябрь 2023'!$G$4:$G$1053,'сентябрь 2023'!$D$4:$D$1053,$B153,'сентябрь 2023'!$J$4:$J$1053,S$1)</f>
        <v>0</v>
      </c>
      <c r="T153" s="207">
        <f>SUMIFS('сентябрь 2023'!$G$4:$G$1053,'сентябрь 2023'!$D$4:$D$1053,$B153,'сентябрь 2023'!$J$4:$J$1053,T$1)</f>
        <v>0</v>
      </c>
      <c r="U153" s="207">
        <f>SUMIFS('сентябрь 2023'!$G$4:$G$1053,'сентябрь 2023'!$D$4:$D$1053,$B153,'сентябрь 2023'!$J$4:$J$1053,U$1)</f>
        <v>0</v>
      </c>
      <c r="V153" s="207">
        <f>SUMIFS('сентябрь 2023'!$G$4:$G$1053,'сентябрь 2023'!$D$4:$D$1053,$B153,'сентябрь 2023'!$J$4:$J$1053,V$1)</f>
        <v>0</v>
      </c>
      <c r="W153" s="207">
        <f>SUMIFS('сентябрь 2023'!$G$4:$G$1053,'сентябрь 2023'!$D$4:$D$1053,$B153,'сентябрь 2023'!$J$4:$J$1053,W$1)</f>
        <v>0</v>
      </c>
      <c r="X153" s="207">
        <f>SUMIFS('сентябрь 2023'!$G$4:$G$1053,'сентябрь 2023'!$D$4:$D$1053,$B153,'сентябрь 2023'!$J$4:$J$1053,X$1)</f>
        <v>0</v>
      </c>
      <c r="Y153" s="207">
        <f>SUMIFS('сентябрь 2023'!$G$4:$G$1053,'сентябрь 2023'!$D$4:$D$1053,$B153,'сентябрь 2023'!$J$4:$J$1053,Y$1)</f>
        <v>0</v>
      </c>
      <c r="Z153" s="207">
        <f>SUMIFS('сентябрь 2023'!$G$4:$G$1053,'сентябрь 2023'!$D$4:$D$1053,$B153,'сентябрь 2023'!$J$4:$J$1053,Z$1)</f>
        <v>0</v>
      </c>
      <c r="AA153" s="207">
        <f>SUMIFS('сентябрь 2023'!$G$4:$G$1053,'сентябрь 2023'!$D$4:$D$1053,$B153,'сентябрь 2023'!$J$4:$J$1053,AA$1)</f>
        <v>0</v>
      </c>
      <c r="AB153" s="207">
        <f>SUMIFS('сентябрь 2023'!$G$4:$G$1053,'сентябрь 2023'!$D$4:$D$1053,$B153,'сентябрь 2023'!$J$4:$J$1053,AB$1)</f>
        <v>0</v>
      </c>
      <c r="AC153" s="207">
        <f>SUMIFS('сентябрь 2023'!$G$4:$G$1053,'сентябрь 2023'!$D$4:$D$1053,$B153,'сентябрь 2023'!$J$4:$J$1053,AC$1)</f>
        <v>0</v>
      </c>
      <c r="AD153" s="207">
        <f>SUMIFS('сентябрь 2023'!$G$4:$G$1053,'сентябрь 2023'!$D$4:$D$1053,$B153,'сентябрь 2023'!$J$4:$J$1053,AD$1)</f>
        <v>0</v>
      </c>
      <c r="AE153" s="207">
        <f>SUMIFS('сентябрь 2023'!$G$4:$G$1053,'сентябрь 2023'!$D$4:$D$1053,$B153,'сентябрь 2023'!$J$4:$J$1053,AE$1)</f>
        <v>0</v>
      </c>
      <c r="AF153" s="207">
        <f>SUMIFS('сентябрь 2023'!$G$4:$G$1053,'сентябрь 2023'!$D$4:$D$1053,$B153,'сентябрь 2023'!$J$4:$J$1053,AF$1)</f>
        <v>0</v>
      </c>
      <c r="AG153" s="207">
        <f>SUMIFS('сентябрь 2023'!$G$4:$G$1053,'сентябрь 2023'!$D$4:$D$1053,$B153,'сентябрь 2023'!$J$4:$J$1053,AG$1)</f>
        <v>0</v>
      </c>
      <c r="AH153" s="207">
        <f>SUMIFS('сентябрь 2023'!$G$4:$G$1053,'сентябрь 2023'!$D$4:$D$1053,$B153,'сентябрь 2023'!$J$4:$J$1053,AH$1)</f>
        <v>0</v>
      </c>
      <c r="AI153" s="220">
        <f t="shared" si="5"/>
        <v>0</v>
      </c>
    </row>
    <row r="154" spans="2:35" ht="15.75" hidden="1" x14ac:dyDescent="0.25">
      <c r="B154" s="212"/>
      <c r="C154" s="213"/>
      <c r="D154" s="207">
        <f>SUMIFS('сентябрь 2023'!$G$4:$G$1053,'сентябрь 2023'!$D$4:$D$1053,$B154,'сентябрь 2023'!$J$4:$J$1053,D$1)</f>
        <v>0</v>
      </c>
      <c r="E154" s="207">
        <f>SUMIFS('сентябрь 2023'!$G$4:$G$1053,'сентябрь 2023'!$D$4:$D$1053,$B154,'сентябрь 2023'!$J$4:$J$1053,E$1)</f>
        <v>0</v>
      </c>
      <c r="F154" s="207">
        <f>SUMIFS('сентябрь 2023'!$G$4:$G$1053,'сентябрь 2023'!$D$4:$D$1053,$B154,'сентябрь 2023'!$J$4:$J$1053,F$1)</f>
        <v>0</v>
      </c>
      <c r="G154" s="207">
        <f>SUMIFS('сентябрь 2023'!$G$4:$G$1053,'сентябрь 2023'!$D$4:$D$1053,$B154,'сентябрь 2023'!$J$4:$J$1053,G$1)</f>
        <v>0</v>
      </c>
      <c r="H154" s="207">
        <f>SUMIFS('сентябрь 2023'!$G$4:$G$1053,'сентябрь 2023'!$D$4:$D$1053,$B154,'сентябрь 2023'!$J$4:$J$1053,H$1)</f>
        <v>0</v>
      </c>
      <c r="I154" s="207">
        <f>SUMIFS('сентябрь 2023'!$G$4:$G$1053,'сентябрь 2023'!$D$4:$D$1053,$B154,'сентябрь 2023'!$J$4:$J$1053,I$1)</f>
        <v>0</v>
      </c>
      <c r="J154" s="207">
        <f>SUMIFS('сентябрь 2023'!$G$4:$G$1053,'сентябрь 2023'!$D$4:$D$1053,$B154,'сентябрь 2023'!$J$4:$J$1053,J$1)</f>
        <v>0</v>
      </c>
      <c r="K154" s="207">
        <f>SUMIFS('сентябрь 2023'!$G$4:$G$1053,'сентябрь 2023'!$D$4:$D$1053,$B154,'сентябрь 2023'!$J$4:$J$1053,K$1)</f>
        <v>0</v>
      </c>
      <c r="L154" s="207">
        <f>SUMIFS('сентябрь 2023'!$G$4:$G$1053,'сентябрь 2023'!$D$4:$D$1053,$B154,'сентябрь 2023'!$J$4:$J$1053,L$1)</f>
        <v>0</v>
      </c>
      <c r="M154" s="207">
        <f>SUMIFS('сентябрь 2023'!$G$4:$G$1053,'сентябрь 2023'!$D$4:$D$1053,$B154,'сентябрь 2023'!$J$4:$J$1053,M$1)</f>
        <v>0</v>
      </c>
      <c r="N154" s="207">
        <f>SUMIFS('сентябрь 2023'!$G$4:$G$1053,'сентябрь 2023'!$D$4:$D$1053,$B154,'сентябрь 2023'!$J$4:$J$1053,N$1)</f>
        <v>0</v>
      </c>
      <c r="O154" s="207">
        <f>SUMIFS('сентябрь 2023'!$G$4:$G$1053,'сентябрь 2023'!$D$4:$D$1053,$B154,'сентябрь 2023'!$J$4:$J$1053,O$1)</f>
        <v>0</v>
      </c>
      <c r="P154" s="207">
        <f>SUMIFS('сентябрь 2023'!$G$4:$G$1053,'сентябрь 2023'!$D$4:$D$1053,$B154,'сентябрь 2023'!$J$4:$J$1053,P$1)</f>
        <v>0</v>
      </c>
      <c r="Q154" s="207">
        <f>SUMIFS('сентябрь 2023'!$G$4:$G$1053,'сентябрь 2023'!$D$4:$D$1053,$B154,'сентябрь 2023'!$J$4:$J$1053,Q$1)</f>
        <v>0</v>
      </c>
      <c r="R154" s="207">
        <f>SUMIFS('сентябрь 2023'!$G$4:$G$1053,'сентябрь 2023'!$D$4:$D$1053,$B154,'сентябрь 2023'!$J$4:$J$1053,R$1)</f>
        <v>0</v>
      </c>
      <c r="S154" s="207">
        <f>SUMIFS('сентябрь 2023'!$G$4:$G$1053,'сентябрь 2023'!$D$4:$D$1053,$B154,'сентябрь 2023'!$J$4:$J$1053,S$1)</f>
        <v>0</v>
      </c>
      <c r="T154" s="207">
        <f>SUMIFS('сентябрь 2023'!$G$4:$G$1053,'сентябрь 2023'!$D$4:$D$1053,$B154,'сентябрь 2023'!$J$4:$J$1053,T$1)</f>
        <v>0</v>
      </c>
      <c r="U154" s="207">
        <f>SUMIFS('сентябрь 2023'!$G$4:$G$1053,'сентябрь 2023'!$D$4:$D$1053,$B154,'сентябрь 2023'!$J$4:$J$1053,U$1)</f>
        <v>0</v>
      </c>
      <c r="V154" s="207">
        <f>SUMIFS('сентябрь 2023'!$G$4:$G$1053,'сентябрь 2023'!$D$4:$D$1053,$B154,'сентябрь 2023'!$J$4:$J$1053,V$1)</f>
        <v>0</v>
      </c>
      <c r="W154" s="207">
        <f>SUMIFS('сентябрь 2023'!$G$4:$G$1053,'сентябрь 2023'!$D$4:$D$1053,$B154,'сентябрь 2023'!$J$4:$J$1053,W$1)</f>
        <v>0</v>
      </c>
      <c r="X154" s="207">
        <f>SUMIFS('сентябрь 2023'!$G$4:$G$1053,'сентябрь 2023'!$D$4:$D$1053,$B154,'сентябрь 2023'!$J$4:$J$1053,X$1)</f>
        <v>0</v>
      </c>
      <c r="Y154" s="207">
        <f>SUMIFS('сентябрь 2023'!$G$4:$G$1053,'сентябрь 2023'!$D$4:$D$1053,$B154,'сентябрь 2023'!$J$4:$J$1053,Y$1)</f>
        <v>0</v>
      </c>
      <c r="Z154" s="207">
        <f>SUMIFS('сентябрь 2023'!$G$4:$G$1053,'сентябрь 2023'!$D$4:$D$1053,$B154,'сентябрь 2023'!$J$4:$J$1053,Z$1)</f>
        <v>0</v>
      </c>
      <c r="AA154" s="207">
        <f>SUMIFS('сентябрь 2023'!$G$4:$G$1053,'сентябрь 2023'!$D$4:$D$1053,$B154,'сентябрь 2023'!$J$4:$J$1053,AA$1)</f>
        <v>0</v>
      </c>
      <c r="AB154" s="207">
        <f>SUMIFS('сентябрь 2023'!$G$4:$G$1053,'сентябрь 2023'!$D$4:$D$1053,$B154,'сентябрь 2023'!$J$4:$J$1053,AB$1)</f>
        <v>0</v>
      </c>
      <c r="AC154" s="207">
        <f>SUMIFS('сентябрь 2023'!$G$4:$G$1053,'сентябрь 2023'!$D$4:$D$1053,$B154,'сентябрь 2023'!$J$4:$J$1053,AC$1)</f>
        <v>0</v>
      </c>
      <c r="AD154" s="207">
        <f>SUMIFS('сентябрь 2023'!$G$4:$G$1053,'сентябрь 2023'!$D$4:$D$1053,$B154,'сентябрь 2023'!$J$4:$J$1053,AD$1)</f>
        <v>0</v>
      </c>
      <c r="AE154" s="207">
        <f>SUMIFS('сентябрь 2023'!$G$4:$G$1053,'сентябрь 2023'!$D$4:$D$1053,$B154,'сентябрь 2023'!$J$4:$J$1053,AE$1)</f>
        <v>0</v>
      </c>
      <c r="AF154" s="207">
        <f>SUMIFS('сентябрь 2023'!$G$4:$G$1053,'сентябрь 2023'!$D$4:$D$1053,$B154,'сентябрь 2023'!$J$4:$J$1053,AF$1)</f>
        <v>0</v>
      </c>
      <c r="AG154" s="207">
        <f>SUMIFS('сентябрь 2023'!$G$4:$G$1053,'сентябрь 2023'!$D$4:$D$1053,$B154,'сентябрь 2023'!$J$4:$J$1053,AG$1)</f>
        <v>0</v>
      </c>
      <c r="AH154" s="207">
        <f>SUMIFS('сентябрь 2023'!$G$4:$G$1053,'сентябрь 2023'!$D$4:$D$1053,$B154,'сентябрь 2023'!$J$4:$J$1053,AH$1)</f>
        <v>0</v>
      </c>
      <c r="AI154" s="220">
        <f t="shared" si="5"/>
        <v>0</v>
      </c>
    </row>
    <row r="155" spans="2:35" ht="15.75" hidden="1" x14ac:dyDescent="0.25">
      <c r="B155" s="212"/>
      <c r="C155" s="213"/>
      <c r="D155" s="207">
        <f>SUMIFS('сентябрь 2023'!$G$4:$G$1053,'сентябрь 2023'!$D$4:$D$1053,$B155,'сентябрь 2023'!$J$4:$J$1053,D$1)</f>
        <v>0</v>
      </c>
      <c r="E155" s="207">
        <f>SUMIFS('сентябрь 2023'!$G$4:$G$1053,'сентябрь 2023'!$D$4:$D$1053,$B155,'сентябрь 2023'!$J$4:$J$1053,E$1)</f>
        <v>0</v>
      </c>
      <c r="F155" s="207">
        <f>SUMIFS('сентябрь 2023'!$G$4:$G$1053,'сентябрь 2023'!$D$4:$D$1053,$B155,'сентябрь 2023'!$J$4:$J$1053,F$1)</f>
        <v>0</v>
      </c>
      <c r="G155" s="207">
        <f>SUMIFS('сентябрь 2023'!$G$4:$G$1053,'сентябрь 2023'!$D$4:$D$1053,$B155,'сентябрь 2023'!$J$4:$J$1053,G$1)</f>
        <v>0</v>
      </c>
      <c r="H155" s="207">
        <f>SUMIFS('сентябрь 2023'!$G$4:$G$1053,'сентябрь 2023'!$D$4:$D$1053,$B155,'сентябрь 2023'!$J$4:$J$1053,H$1)</f>
        <v>0</v>
      </c>
      <c r="I155" s="207">
        <f>SUMIFS('сентябрь 2023'!$G$4:$G$1053,'сентябрь 2023'!$D$4:$D$1053,$B155,'сентябрь 2023'!$J$4:$J$1053,I$1)</f>
        <v>0</v>
      </c>
      <c r="J155" s="207">
        <f>SUMIFS('сентябрь 2023'!$G$4:$G$1053,'сентябрь 2023'!$D$4:$D$1053,$B155,'сентябрь 2023'!$J$4:$J$1053,J$1)</f>
        <v>0</v>
      </c>
      <c r="K155" s="207">
        <f>SUMIFS('сентябрь 2023'!$G$4:$G$1053,'сентябрь 2023'!$D$4:$D$1053,$B155,'сентябрь 2023'!$J$4:$J$1053,K$1)</f>
        <v>0</v>
      </c>
      <c r="L155" s="207">
        <f>SUMIFS('сентябрь 2023'!$G$4:$G$1053,'сентябрь 2023'!$D$4:$D$1053,$B155,'сентябрь 2023'!$J$4:$J$1053,L$1)</f>
        <v>0</v>
      </c>
      <c r="M155" s="207">
        <f>SUMIFS('сентябрь 2023'!$G$4:$G$1053,'сентябрь 2023'!$D$4:$D$1053,$B155,'сентябрь 2023'!$J$4:$J$1053,M$1)</f>
        <v>0</v>
      </c>
      <c r="N155" s="207">
        <f>SUMIFS('сентябрь 2023'!$G$4:$G$1053,'сентябрь 2023'!$D$4:$D$1053,$B155,'сентябрь 2023'!$J$4:$J$1053,N$1)</f>
        <v>0</v>
      </c>
      <c r="O155" s="207">
        <f>SUMIFS('сентябрь 2023'!$G$4:$G$1053,'сентябрь 2023'!$D$4:$D$1053,$B155,'сентябрь 2023'!$J$4:$J$1053,O$1)</f>
        <v>0</v>
      </c>
      <c r="P155" s="207">
        <f>SUMIFS('сентябрь 2023'!$G$4:$G$1053,'сентябрь 2023'!$D$4:$D$1053,$B155,'сентябрь 2023'!$J$4:$J$1053,P$1)</f>
        <v>0</v>
      </c>
      <c r="Q155" s="207">
        <f>SUMIFS('сентябрь 2023'!$G$4:$G$1053,'сентябрь 2023'!$D$4:$D$1053,$B155,'сентябрь 2023'!$J$4:$J$1053,Q$1)</f>
        <v>0</v>
      </c>
      <c r="R155" s="207">
        <f>SUMIFS('сентябрь 2023'!$G$4:$G$1053,'сентябрь 2023'!$D$4:$D$1053,$B155,'сентябрь 2023'!$J$4:$J$1053,R$1)</f>
        <v>0</v>
      </c>
      <c r="S155" s="207">
        <f>SUMIFS('сентябрь 2023'!$G$4:$G$1053,'сентябрь 2023'!$D$4:$D$1053,$B155,'сентябрь 2023'!$J$4:$J$1053,S$1)</f>
        <v>0</v>
      </c>
      <c r="T155" s="207">
        <f>SUMIFS('сентябрь 2023'!$G$4:$G$1053,'сентябрь 2023'!$D$4:$D$1053,$B155,'сентябрь 2023'!$J$4:$J$1053,T$1)</f>
        <v>0</v>
      </c>
      <c r="U155" s="207">
        <f>SUMIFS('сентябрь 2023'!$G$4:$G$1053,'сентябрь 2023'!$D$4:$D$1053,$B155,'сентябрь 2023'!$J$4:$J$1053,U$1)</f>
        <v>0</v>
      </c>
      <c r="V155" s="207">
        <f>SUMIFS('сентябрь 2023'!$G$4:$G$1053,'сентябрь 2023'!$D$4:$D$1053,$B155,'сентябрь 2023'!$J$4:$J$1053,V$1)</f>
        <v>0</v>
      </c>
      <c r="W155" s="207">
        <f>SUMIFS('сентябрь 2023'!$G$4:$G$1053,'сентябрь 2023'!$D$4:$D$1053,$B155,'сентябрь 2023'!$J$4:$J$1053,W$1)</f>
        <v>0</v>
      </c>
      <c r="X155" s="207">
        <f>SUMIFS('сентябрь 2023'!$G$4:$G$1053,'сентябрь 2023'!$D$4:$D$1053,$B155,'сентябрь 2023'!$J$4:$J$1053,X$1)</f>
        <v>0</v>
      </c>
      <c r="Y155" s="207">
        <f>SUMIFS('сентябрь 2023'!$G$4:$G$1053,'сентябрь 2023'!$D$4:$D$1053,$B155,'сентябрь 2023'!$J$4:$J$1053,Y$1)</f>
        <v>0</v>
      </c>
      <c r="Z155" s="207">
        <f>SUMIFS('сентябрь 2023'!$G$4:$G$1053,'сентябрь 2023'!$D$4:$D$1053,$B155,'сентябрь 2023'!$J$4:$J$1053,Z$1)</f>
        <v>0</v>
      </c>
      <c r="AA155" s="207">
        <f>SUMIFS('сентябрь 2023'!$G$4:$G$1053,'сентябрь 2023'!$D$4:$D$1053,$B155,'сентябрь 2023'!$J$4:$J$1053,AA$1)</f>
        <v>0</v>
      </c>
      <c r="AB155" s="207">
        <f>SUMIFS('сентябрь 2023'!$G$4:$G$1053,'сентябрь 2023'!$D$4:$D$1053,$B155,'сентябрь 2023'!$J$4:$J$1053,AB$1)</f>
        <v>0</v>
      </c>
      <c r="AC155" s="207">
        <f>SUMIFS('сентябрь 2023'!$G$4:$G$1053,'сентябрь 2023'!$D$4:$D$1053,$B155,'сентябрь 2023'!$J$4:$J$1053,AC$1)</f>
        <v>0</v>
      </c>
      <c r="AD155" s="207">
        <f>SUMIFS('сентябрь 2023'!$G$4:$G$1053,'сентябрь 2023'!$D$4:$D$1053,$B155,'сентябрь 2023'!$J$4:$J$1053,AD$1)</f>
        <v>0</v>
      </c>
      <c r="AE155" s="207">
        <f>SUMIFS('сентябрь 2023'!$G$4:$G$1053,'сентябрь 2023'!$D$4:$D$1053,$B155,'сентябрь 2023'!$J$4:$J$1053,AE$1)</f>
        <v>0</v>
      </c>
      <c r="AF155" s="207">
        <f>SUMIFS('сентябрь 2023'!$G$4:$G$1053,'сентябрь 2023'!$D$4:$D$1053,$B155,'сентябрь 2023'!$J$4:$J$1053,AF$1)</f>
        <v>0</v>
      </c>
      <c r="AG155" s="207">
        <f>SUMIFS('сентябрь 2023'!$G$4:$G$1053,'сентябрь 2023'!$D$4:$D$1053,$B155,'сентябрь 2023'!$J$4:$J$1053,AG$1)</f>
        <v>0</v>
      </c>
      <c r="AH155" s="207">
        <f>SUMIFS('сентябрь 2023'!$G$4:$G$1053,'сентябрь 2023'!$D$4:$D$1053,$B155,'сентябрь 2023'!$J$4:$J$1053,AH$1)</f>
        <v>0</v>
      </c>
      <c r="AI155" s="220">
        <f t="shared" si="5"/>
        <v>0</v>
      </c>
    </row>
    <row r="156" spans="2:35" ht="15.75" hidden="1" x14ac:dyDescent="0.25">
      <c r="B156" s="212"/>
      <c r="C156" s="211"/>
      <c r="D156" s="207">
        <f>SUMIFS('сентябрь 2023'!$G$4:$G$1053,'сентябрь 2023'!$D$4:$D$1053,$B156,'сентябрь 2023'!$J$4:$J$1053,D$1)</f>
        <v>0</v>
      </c>
      <c r="E156" s="207">
        <f>SUMIFS('сентябрь 2023'!$G$4:$G$1053,'сентябрь 2023'!$D$4:$D$1053,$B156,'сентябрь 2023'!$J$4:$J$1053,E$1)</f>
        <v>0</v>
      </c>
      <c r="F156" s="207">
        <f>SUMIFS('сентябрь 2023'!$G$4:$G$1053,'сентябрь 2023'!$D$4:$D$1053,$B156,'сентябрь 2023'!$J$4:$J$1053,F$1)</f>
        <v>0</v>
      </c>
      <c r="G156" s="207">
        <f>SUMIFS('сентябрь 2023'!$G$4:$G$1053,'сентябрь 2023'!$D$4:$D$1053,$B156,'сентябрь 2023'!$J$4:$J$1053,G$1)</f>
        <v>0</v>
      </c>
      <c r="H156" s="207">
        <f>SUMIFS('сентябрь 2023'!$G$4:$G$1053,'сентябрь 2023'!$D$4:$D$1053,$B156,'сентябрь 2023'!$J$4:$J$1053,H$1)</f>
        <v>0</v>
      </c>
      <c r="I156" s="207">
        <f>SUMIFS('сентябрь 2023'!$G$4:$G$1053,'сентябрь 2023'!$D$4:$D$1053,$B156,'сентябрь 2023'!$J$4:$J$1053,I$1)</f>
        <v>0</v>
      </c>
      <c r="J156" s="207">
        <f>SUMIFS('сентябрь 2023'!$G$4:$G$1053,'сентябрь 2023'!$D$4:$D$1053,$B156,'сентябрь 2023'!$J$4:$J$1053,J$1)</f>
        <v>0</v>
      </c>
      <c r="K156" s="207">
        <f>SUMIFS('сентябрь 2023'!$G$4:$G$1053,'сентябрь 2023'!$D$4:$D$1053,$B156,'сентябрь 2023'!$J$4:$J$1053,K$1)</f>
        <v>0</v>
      </c>
      <c r="L156" s="207">
        <f>SUMIFS('сентябрь 2023'!$G$4:$G$1053,'сентябрь 2023'!$D$4:$D$1053,$B156,'сентябрь 2023'!$J$4:$J$1053,L$1)</f>
        <v>0</v>
      </c>
      <c r="M156" s="207">
        <f>SUMIFS('сентябрь 2023'!$G$4:$G$1053,'сентябрь 2023'!$D$4:$D$1053,$B156,'сентябрь 2023'!$J$4:$J$1053,M$1)</f>
        <v>0</v>
      </c>
      <c r="N156" s="207">
        <f>SUMIFS('сентябрь 2023'!$G$4:$G$1053,'сентябрь 2023'!$D$4:$D$1053,$B156,'сентябрь 2023'!$J$4:$J$1053,N$1)</f>
        <v>0</v>
      </c>
      <c r="O156" s="207">
        <f>SUMIFS('сентябрь 2023'!$G$4:$G$1053,'сентябрь 2023'!$D$4:$D$1053,$B156,'сентябрь 2023'!$J$4:$J$1053,O$1)</f>
        <v>0</v>
      </c>
      <c r="P156" s="207">
        <f>SUMIFS('сентябрь 2023'!$G$4:$G$1053,'сентябрь 2023'!$D$4:$D$1053,$B156,'сентябрь 2023'!$J$4:$J$1053,P$1)</f>
        <v>0</v>
      </c>
      <c r="Q156" s="207">
        <f>SUMIFS('сентябрь 2023'!$G$4:$G$1053,'сентябрь 2023'!$D$4:$D$1053,$B156,'сентябрь 2023'!$J$4:$J$1053,Q$1)</f>
        <v>0</v>
      </c>
      <c r="R156" s="207">
        <f>SUMIFS('сентябрь 2023'!$G$4:$G$1053,'сентябрь 2023'!$D$4:$D$1053,$B156,'сентябрь 2023'!$J$4:$J$1053,R$1)</f>
        <v>0</v>
      </c>
      <c r="S156" s="207">
        <f>SUMIFS('сентябрь 2023'!$G$4:$G$1053,'сентябрь 2023'!$D$4:$D$1053,$B156,'сентябрь 2023'!$J$4:$J$1053,S$1)</f>
        <v>0</v>
      </c>
      <c r="T156" s="207">
        <f>SUMIFS('сентябрь 2023'!$G$4:$G$1053,'сентябрь 2023'!$D$4:$D$1053,$B156,'сентябрь 2023'!$J$4:$J$1053,T$1)</f>
        <v>0</v>
      </c>
      <c r="U156" s="207">
        <f>SUMIFS('сентябрь 2023'!$G$4:$G$1053,'сентябрь 2023'!$D$4:$D$1053,$B156,'сентябрь 2023'!$J$4:$J$1053,U$1)</f>
        <v>0</v>
      </c>
      <c r="V156" s="207">
        <f>SUMIFS('сентябрь 2023'!$G$4:$G$1053,'сентябрь 2023'!$D$4:$D$1053,$B156,'сентябрь 2023'!$J$4:$J$1053,V$1)</f>
        <v>0</v>
      </c>
      <c r="W156" s="207">
        <f>SUMIFS('сентябрь 2023'!$G$4:$G$1053,'сентябрь 2023'!$D$4:$D$1053,$B156,'сентябрь 2023'!$J$4:$J$1053,W$1)</f>
        <v>0</v>
      </c>
      <c r="X156" s="207">
        <f>SUMIFS('сентябрь 2023'!$G$4:$G$1053,'сентябрь 2023'!$D$4:$D$1053,$B156,'сентябрь 2023'!$J$4:$J$1053,X$1)</f>
        <v>0</v>
      </c>
      <c r="Y156" s="207">
        <f>SUMIFS('сентябрь 2023'!$G$4:$G$1053,'сентябрь 2023'!$D$4:$D$1053,$B156,'сентябрь 2023'!$J$4:$J$1053,Y$1)</f>
        <v>0</v>
      </c>
      <c r="Z156" s="207">
        <f>SUMIFS('сентябрь 2023'!$G$4:$G$1053,'сентябрь 2023'!$D$4:$D$1053,$B156,'сентябрь 2023'!$J$4:$J$1053,Z$1)</f>
        <v>0</v>
      </c>
      <c r="AA156" s="207">
        <f>SUMIFS('сентябрь 2023'!$G$4:$G$1053,'сентябрь 2023'!$D$4:$D$1053,$B156,'сентябрь 2023'!$J$4:$J$1053,AA$1)</f>
        <v>0</v>
      </c>
      <c r="AB156" s="207">
        <f>SUMIFS('сентябрь 2023'!$G$4:$G$1053,'сентябрь 2023'!$D$4:$D$1053,$B156,'сентябрь 2023'!$J$4:$J$1053,AB$1)</f>
        <v>0</v>
      </c>
      <c r="AC156" s="207">
        <f>SUMIFS('сентябрь 2023'!$G$4:$G$1053,'сентябрь 2023'!$D$4:$D$1053,$B156,'сентябрь 2023'!$J$4:$J$1053,AC$1)</f>
        <v>0</v>
      </c>
      <c r="AD156" s="207">
        <f>SUMIFS('сентябрь 2023'!$G$4:$G$1053,'сентябрь 2023'!$D$4:$D$1053,$B156,'сентябрь 2023'!$J$4:$J$1053,AD$1)</f>
        <v>0</v>
      </c>
      <c r="AE156" s="207">
        <f>SUMIFS('сентябрь 2023'!$G$4:$G$1053,'сентябрь 2023'!$D$4:$D$1053,$B156,'сентябрь 2023'!$J$4:$J$1053,AE$1)</f>
        <v>0</v>
      </c>
      <c r="AF156" s="207">
        <f>SUMIFS('сентябрь 2023'!$G$4:$G$1053,'сентябрь 2023'!$D$4:$D$1053,$B156,'сентябрь 2023'!$J$4:$J$1053,AF$1)</f>
        <v>0</v>
      </c>
      <c r="AG156" s="207">
        <f>SUMIFS('сентябрь 2023'!$G$4:$G$1053,'сентябрь 2023'!$D$4:$D$1053,$B156,'сентябрь 2023'!$J$4:$J$1053,AG$1)</f>
        <v>0</v>
      </c>
      <c r="AH156" s="207">
        <f>SUMIFS('сентябрь 2023'!$G$4:$G$1053,'сентябрь 2023'!$D$4:$D$1053,$B156,'сентябрь 2023'!$J$4:$J$1053,AH$1)</f>
        <v>0</v>
      </c>
      <c r="AI156" s="220">
        <f t="shared" si="5"/>
        <v>0</v>
      </c>
    </row>
    <row r="157" spans="2:35" ht="15.75" hidden="1" x14ac:dyDescent="0.25">
      <c r="B157" s="212"/>
      <c r="C157" s="211"/>
      <c r="D157" s="207">
        <f>SUMIFS('сентябрь 2023'!$G$4:$G$1053,'сентябрь 2023'!$D$4:$D$1053,$B157,'сентябрь 2023'!$J$4:$J$1053,D$1)</f>
        <v>0</v>
      </c>
      <c r="E157" s="207">
        <f>SUMIFS('сентябрь 2023'!$G$4:$G$1053,'сентябрь 2023'!$D$4:$D$1053,$B157,'сентябрь 2023'!$J$4:$J$1053,E$1)</f>
        <v>0</v>
      </c>
      <c r="F157" s="207">
        <f>SUMIFS('сентябрь 2023'!$G$4:$G$1053,'сентябрь 2023'!$D$4:$D$1053,$B157,'сентябрь 2023'!$J$4:$J$1053,F$1)</f>
        <v>0</v>
      </c>
      <c r="G157" s="207">
        <f>SUMIFS('сентябрь 2023'!$G$4:$G$1053,'сентябрь 2023'!$D$4:$D$1053,$B157,'сентябрь 2023'!$J$4:$J$1053,G$1)</f>
        <v>0</v>
      </c>
      <c r="H157" s="207">
        <f>SUMIFS('сентябрь 2023'!$G$4:$G$1053,'сентябрь 2023'!$D$4:$D$1053,$B157,'сентябрь 2023'!$J$4:$J$1053,H$1)</f>
        <v>0</v>
      </c>
      <c r="I157" s="207">
        <f>SUMIFS('сентябрь 2023'!$G$4:$G$1053,'сентябрь 2023'!$D$4:$D$1053,$B157,'сентябрь 2023'!$J$4:$J$1053,I$1)</f>
        <v>0</v>
      </c>
      <c r="J157" s="207">
        <f>SUMIFS('сентябрь 2023'!$G$4:$G$1053,'сентябрь 2023'!$D$4:$D$1053,$B157,'сентябрь 2023'!$J$4:$J$1053,J$1)</f>
        <v>0</v>
      </c>
      <c r="K157" s="207">
        <f>SUMIFS('сентябрь 2023'!$G$4:$G$1053,'сентябрь 2023'!$D$4:$D$1053,$B157,'сентябрь 2023'!$J$4:$J$1053,K$1)</f>
        <v>0</v>
      </c>
      <c r="L157" s="207">
        <f>SUMIFS('сентябрь 2023'!$G$4:$G$1053,'сентябрь 2023'!$D$4:$D$1053,$B157,'сентябрь 2023'!$J$4:$J$1053,L$1)</f>
        <v>0</v>
      </c>
      <c r="M157" s="207">
        <f>SUMIFS('сентябрь 2023'!$G$4:$G$1053,'сентябрь 2023'!$D$4:$D$1053,$B157,'сентябрь 2023'!$J$4:$J$1053,M$1)</f>
        <v>0</v>
      </c>
      <c r="N157" s="207">
        <f>SUMIFS('сентябрь 2023'!$G$4:$G$1053,'сентябрь 2023'!$D$4:$D$1053,$B157,'сентябрь 2023'!$J$4:$J$1053,N$1)</f>
        <v>0</v>
      </c>
      <c r="O157" s="207">
        <f>SUMIFS('сентябрь 2023'!$G$4:$G$1053,'сентябрь 2023'!$D$4:$D$1053,$B157,'сентябрь 2023'!$J$4:$J$1053,O$1)</f>
        <v>0</v>
      </c>
      <c r="P157" s="207">
        <f>SUMIFS('сентябрь 2023'!$G$4:$G$1053,'сентябрь 2023'!$D$4:$D$1053,$B157,'сентябрь 2023'!$J$4:$J$1053,P$1)</f>
        <v>0</v>
      </c>
      <c r="Q157" s="207">
        <f>SUMIFS('сентябрь 2023'!$G$4:$G$1053,'сентябрь 2023'!$D$4:$D$1053,$B157,'сентябрь 2023'!$J$4:$J$1053,Q$1)</f>
        <v>0</v>
      </c>
      <c r="R157" s="207">
        <f>SUMIFS('сентябрь 2023'!$G$4:$G$1053,'сентябрь 2023'!$D$4:$D$1053,$B157,'сентябрь 2023'!$J$4:$J$1053,R$1)</f>
        <v>0</v>
      </c>
      <c r="S157" s="207">
        <f>SUMIFS('сентябрь 2023'!$G$4:$G$1053,'сентябрь 2023'!$D$4:$D$1053,$B157,'сентябрь 2023'!$J$4:$J$1053,S$1)</f>
        <v>0</v>
      </c>
      <c r="T157" s="207">
        <f>SUMIFS('сентябрь 2023'!$G$4:$G$1053,'сентябрь 2023'!$D$4:$D$1053,$B157,'сентябрь 2023'!$J$4:$J$1053,T$1)</f>
        <v>0</v>
      </c>
      <c r="U157" s="207">
        <f>SUMIFS('сентябрь 2023'!$G$4:$G$1053,'сентябрь 2023'!$D$4:$D$1053,$B157,'сентябрь 2023'!$J$4:$J$1053,U$1)</f>
        <v>0</v>
      </c>
      <c r="V157" s="207">
        <f>SUMIFS('сентябрь 2023'!$G$4:$G$1053,'сентябрь 2023'!$D$4:$D$1053,$B157,'сентябрь 2023'!$J$4:$J$1053,V$1)</f>
        <v>0</v>
      </c>
      <c r="W157" s="207">
        <f>SUMIFS('сентябрь 2023'!$G$4:$G$1053,'сентябрь 2023'!$D$4:$D$1053,$B157,'сентябрь 2023'!$J$4:$J$1053,W$1)</f>
        <v>0</v>
      </c>
      <c r="X157" s="207">
        <f>SUMIFS('сентябрь 2023'!$G$4:$G$1053,'сентябрь 2023'!$D$4:$D$1053,$B157,'сентябрь 2023'!$J$4:$J$1053,X$1)</f>
        <v>0</v>
      </c>
      <c r="Y157" s="207">
        <f>SUMIFS('сентябрь 2023'!$G$4:$G$1053,'сентябрь 2023'!$D$4:$D$1053,$B157,'сентябрь 2023'!$J$4:$J$1053,Y$1)</f>
        <v>0</v>
      </c>
      <c r="Z157" s="207">
        <f>SUMIFS('сентябрь 2023'!$G$4:$G$1053,'сентябрь 2023'!$D$4:$D$1053,$B157,'сентябрь 2023'!$J$4:$J$1053,Z$1)</f>
        <v>0</v>
      </c>
      <c r="AA157" s="207">
        <f>SUMIFS('сентябрь 2023'!$G$4:$G$1053,'сентябрь 2023'!$D$4:$D$1053,$B157,'сентябрь 2023'!$J$4:$J$1053,AA$1)</f>
        <v>0</v>
      </c>
      <c r="AB157" s="207">
        <f>SUMIFS('сентябрь 2023'!$G$4:$G$1053,'сентябрь 2023'!$D$4:$D$1053,$B157,'сентябрь 2023'!$J$4:$J$1053,AB$1)</f>
        <v>0</v>
      </c>
      <c r="AC157" s="207">
        <f>SUMIFS('сентябрь 2023'!$G$4:$G$1053,'сентябрь 2023'!$D$4:$D$1053,$B157,'сентябрь 2023'!$J$4:$J$1053,AC$1)</f>
        <v>0</v>
      </c>
      <c r="AD157" s="207">
        <f>SUMIFS('сентябрь 2023'!$G$4:$G$1053,'сентябрь 2023'!$D$4:$D$1053,$B157,'сентябрь 2023'!$J$4:$J$1053,AD$1)</f>
        <v>0</v>
      </c>
      <c r="AE157" s="207">
        <f>SUMIFS('сентябрь 2023'!$G$4:$G$1053,'сентябрь 2023'!$D$4:$D$1053,$B157,'сентябрь 2023'!$J$4:$J$1053,AE$1)</f>
        <v>0</v>
      </c>
      <c r="AF157" s="207">
        <f>SUMIFS('сентябрь 2023'!$G$4:$G$1053,'сентябрь 2023'!$D$4:$D$1053,$B157,'сентябрь 2023'!$J$4:$J$1053,AF$1)</f>
        <v>0</v>
      </c>
      <c r="AG157" s="207">
        <f>SUMIFS('сентябрь 2023'!$G$4:$G$1053,'сентябрь 2023'!$D$4:$D$1053,$B157,'сентябрь 2023'!$J$4:$J$1053,AG$1)</f>
        <v>0</v>
      </c>
      <c r="AH157" s="207">
        <f>SUMIFS('сентябрь 2023'!$G$4:$G$1053,'сентябрь 2023'!$D$4:$D$1053,$B157,'сентябрь 2023'!$J$4:$J$1053,AH$1)</f>
        <v>0</v>
      </c>
      <c r="AI157" s="220">
        <f t="shared" si="5"/>
        <v>0</v>
      </c>
    </row>
    <row r="158" spans="2:35" ht="15.75" hidden="1" x14ac:dyDescent="0.25">
      <c r="B158" s="212"/>
      <c r="C158" s="211"/>
      <c r="D158" s="207">
        <f>SUMIFS('сентябрь 2023'!$G$4:$G$1053,'сентябрь 2023'!$D$4:$D$1053,$B158,'сентябрь 2023'!$J$4:$J$1053,D$1)</f>
        <v>0</v>
      </c>
      <c r="E158" s="207">
        <f>SUMIFS('сентябрь 2023'!$G$4:$G$1053,'сентябрь 2023'!$D$4:$D$1053,$B158,'сентябрь 2023'!$J$4:$J$1053,E$1)</f>
        <v>0</v>
      </c>
      <c r="F158" s="207">
        <f>SUMIFS('сентябрь 2023'!$G$4:$G$1053,'сентябрь 2023'!$D$4:$D$1053,$B158,'сентябрь 2023'!$J$4:$J$1053,F$1)</f>
        <v>0</v>
      </c>
      <c r="G158" s="207">
        <f>SUMIFS('сентябрь 2023'!$G$4:$G$1053,'сентябрь 2023'!$D$4:$D$1053,$B158,'сентябрь 2023'!$J$4:$J$1053,G$1)</f>
        <v>0</v>
      </c>
      <c r="H158" s="207">
        <f>SUMIFS('сентябрь 2023'!$G$4:$G$1053,'сентябрь 2023'!$D$4:$D$1053,$B158,'сентябрь 2023'!$J$4:$J$1053,H$1)</f>
        <v>0</v>
      </c>
      <c r="I158" s="207">
        <f>SUMIFS('сентябрь 2023'!$G$4:$G$1053,'сентябрь 2023'!$D$4:$D$1053,$B158,'сентябрь 2023'!$J$4:$J$1053,I$1)</f>
        <v>0</v>
      </c>
      <c r="J158" s="207">
        <f>SUMIFS('сентябрь 2023'!$G$4:$G$1053,'сентябрь 2023'!$D$4:$D$1053,$B158,'сентябрь 2023'!$J$4:$J$1053,J$1)</f>
        <v>0</v>
      </c>
      <c r="K158" s="207">
        <f>SUMIFS('сентябрь 2023'!$G$4:$G$1053,'сентябрь 2023'!$D$4:$D$1053,$B158,'сентябрь 2023'!$J$4:$J$1053,K$1)</f>
        <v>0</v>
      </c>
      <c r="L158" s="207">
        <f>SUMIFS('сентябрь 2023'!$G$4:$G$1053,'сентябрь 2023'!$D$4:$D$1053,$B158,'сентябрь 2023'!$J$4:$J$1053,L$1)</f>
        <v>0</v>
      </c>
      <c r="M158" s="207">
        <f>SUMIFS('сентябрь 2023'!$G$4:$G$1053,'сентябрь 2023'!$D$4:$D$1053,$B158,'сентябрь 2023'!$J$4:$J$1053,M$1)</f>
        <v>0</v>
      </c>
      <c r="N158" s="207">
        <f>SUMIFS('сентябрь 2023'!$G$4:$G$1053,'сентябрь 2023'!$D$4:$D$1053,$B158,'сентябрь 2023'!$J$4:$J$1053,N$1)</f>
        <v>0</v>
      </c>
      <c r="O158" s="207">
        <f>SUMIFS('сентябрь 2023'!$G$4:$G$1053,'сентябрь 2023'!$D$4:$D$1053,$B158,'сентябрь 2023'!$J$4:$J$1053,O$1)</f>
        <v>0</v>
      </c>
      <c r="P158" s="207">
        <f>SUMIFS('сентябрь 2023'!$G$4:$G$1053,'сентябрь 2023'!$D$4:$D$1053,$B158,'сентябрь 2023'!$J$4:$J$1053,P$1)</f>
        <v>0</v>
      </c>
      <c r="Q158" s="207">
        <f>SUMIFS('сентябрь 2023'!$G$4:$G$1053,'сентябрь 2023'!$D$4:$D$1053,$B158,'сентябрь 2023'!$J$4:$J$1053,Q$1)</f>
        <v>0</v>
      </c>
      <c r="R158" s="207">
        <f>SUMIFS('сентябрь 2023'!$G$4:$G$1053,'сентябрь 2023'!$D$4:$D$1053,$B158,'сентябрь 2023'!$J$4:$J$1053,R$1)</f>
        <v>0</v>
      </c>
      <c r="S158" s="207">
        <f>SUMIFS('сентябрь 2023'!$G$4:$G$1053,'сентябрь 2023'!$D$4:$D$1053,$B158,'сентябрь 2023'!$J$4:$J$1053,S$1)</f>
        <v>0</v>
      </c>
      <c r="T158" s="207">
        <f>SUMIFS('сентябрь 2023'!$G$4:$G$1053,'сентябрь 2023'!$D$4:$D$1053,$B158,'сентябрь 2023'!$J$4:$J$1053,T$1)</f>
        <v>0</v>
      </c>
      <c r="U158" s="207">
        <f>SUMIFS('сентябрь 2023'!$G$4:$G$1053,'сентябрь 2023'!$D$4:$D$1053,$B158,'сентябрь 2023'!$J$4:$J$1053,U$1)</f>
        <v>0</v>
      </c>
      <c r="V158" s="207">
        <f>SUMIFS('сентябрь 2023'!$G$4:$G$1053,'сентябрь 2023'!$D$4:$D$1053,$B158,'сентябрь 2023'!$J$4:$J$1053,V$1)</f>
        <v>0</v>
      </c>
      <c r="W158" s="207">
        <f>SUMIFS('сентябрь 2023'!$G$4:$G$1053,'сентябрь 2023'!$D$4:$D$1053,$B158,'сентябрь 2023'!$J$4:$J$1053,W$1)</f>
        <v>0</v>
      </c>
      <c r="X158" s="207">
        <f>SUMIFS('сентябрь 2023'!$G$4:$G$1053,'сентябрь 2023'!$D$4:$D$1053,$B158,'сентябрь 2023'!$J$4:$J$1053,X$1)</f>
        <v>0</v>
      </c>
      <c r="Y158" s="207">
        <f>SUMIFS('сентябрь 2023'!$G$4:$G$1053,'сентябрь 2023'!$D$4:$D$1053,$B158,'сентябрь 2023'!$J$4:$J$1053,Y$1)</f>
        <v>0</v>
      </c>
      <c r="Z158" s="207">
        <f>SUMIFS('сентябрь 2023'!$G$4:$G$1053,'сентябрь 2023'!$D$4:$D$1053,$B158,'сентябрь 2023'!$J$4:$J$1053,Z$1)</f>
        <v>0</v>
      </c>
      <c r="AA158" s="207">
        <f>SUMIFS('сентябрь 2023'!$G$4:$G$1053,'сентябрь 2023'!$D$4:$D$1053,$B158,'сентябрь 2023'!$J$4:$J$1053,AA$1)</f>
        <v>0</v>
      </c>
      <c r="AB158" s="207">
        <f>SUMIFS('сентябрь 2023'!$G$4:$G$1053,'сентябрь 2023'!$D$4:$D$1053,$B158,'сентябрь 2023'!$J$4:$J$1053,AB$1)</f>
        <v>0</v>
      </c>
      <c r="AC158" s="207">
        <f>SUMIFS('сентябрь 2023'!$G$4:$G$1053,'сентябрь 2023'!$D$4:$D$1053,$B158,'сентябрь 2023'!$J$4:$J$1053,AC$1)</f>
        <v>0</v>
      </c>
      <c r="AD158" s="207">
        <f>SUMIFS('сентябрь 2023'!$G$4:$G$1053,'сентябрь 2023'!$D$4:$D$1053,$B158,'сентябрь 2023'!$J$4:$J$1053,AD$1)</f>
        <v>0</v>
      </c>
      <c r="AE158" s="207">
        <f>SUMIFS('сентябрь 2023'!$G$4:$G$1053,'сентябрь 2023'!$D$4:$D$1053,$B158,'сентябрь 2023'!$J$4:$J$1053,AE$1)</f>
        <v>0</v>
      </c>
      <c r="AF158" s="207">
        <f>SUMIFS('сентябрь 2023'!$G$4:$G$1053,'сентябрь 2023'!$D$4:$D$1053,$B158,'сентябрь 2023'!$J$4:$J$1053,AF$1)</f>
        <v>0</v>
      </c>
      <c r="AG158" s="207">
        <f>SUMIFS('сентябрь 2023'!$G$4:$G$1053,'сентябрь 2023'!$D$4:$D$1053,$B158,'сентябрь 2023'!$J$4:$J$1053,AG$1)</f>
        <v>0</v>
      </c>
      <c r="AH158" s="207">
        <f>SUMIFS('сентябрь 2023'!$G$4:$G$1053,'сентябрь 2023'!$D$4:$D$1053,$B158,'сентябрь 2023'!$J$4:$J$1053,AH$1)</f>
        <v>0</v>
      </c>
      <c r="AI158" s="220">
        <f t="shared" si="5"/>
        <v>0</v>
      </c>
    </row>
    <row r="159" spans="2:35" ht="15.75" hidden="1" x14ac:dyDescent="0.25">
      <c r="B159" s="212"/>
      <c r="C159" s="211"/>
      <c r="D159" s="207">
        <f>SUMIFS('сентябрь 2023'!$G$4:$G$1053,'сентябрь 2023'!$D$4:$D$1053,$B159,'сентябрь 2023'!$J$4:$J$1053,D$1)</f>
        <v>0</v>
      </c>
      <c r="E159" s="207">
        <f>SUMIFS('сентябрь 2023'!$G$4:$G$1053,'сентябрь 2023'!$D$4:$D$1053,$B159,'сентябрь 2023'!$J$4:$J$1053,E$1)</f>
        <v>0</v>
      </c>
      <c r="F159" s="207">
        <f>SUMIFS('сентябрь 2023'!$G$4:$G$1053,'сентябрь 2023'!$D$4:$D$1053,$B159,'сентябрь 2023'!$J$4:$J$1053,F$1)</f>
        <v>0</v>
      </c>
      <c r="G159" s="207">
        <f>SUMIFS('сентябрь 2023'!$G$4:$G$1053,'сентябрь 2023'!$D$4:$D$1053,$B159,'сентябрь 2023'!$J$4:$J$1053,G$1)</f>
        <v>0</v>
      </c>
      <c r="H159" s="207">
        <f>SUMIFS('сентябрь 2023'!$G$4:$G$1053,'сентябрь 2023'!$D$4:$D$1053,$B159,'сентябрь 2023'!$J$4:$J$1053,H$1)</f>
        <v>0</v>
      </c>
      <c r="I159" s="207">
        <f>SUMIFS('сентябрь 2023'!$G$4:$G$1053,'сентябрь 2023'!$D$4:$D$1053,$B159,'сентябрь 2023'!$J$4:$J$1053,I$1)</f>
        <v>0</v>
      </c>
      <c r="J159" s="207">
        <f>SUMIFS('сентябрь 2023'!$G$4:$G$1053,'сентябрь 2023'!$D$4:$D$1053,$B159,'сентябрь 2023'!$J$4:$J$1053,J$1)</f>
        <v>0</v>
      </c>
      <c r="K159" s="207">
        <f>SUMIFS('сентябрь 2023'!$G$4:$G$1053,'сентябрь 2023'!$D$4:$D$1053,$B159,'сентябрь 2023'!$J$4:$J$1053,K$1)</f>
        <v>0</v>
      </c>
      <c r="L159" s="207">
        <f>SUMIFS('сентябрь 2023'!$G$4:$G$1053,'сентябрь 2023'!$D$4:$D$1053,$B159,'сентябрь 2023'!$J$4:$J$1053,L$1)</f>
        <v>0</v>
      </c>
      <c r="M159" s="207">
        <f>SUMIFS('сентябрь 2023'!$G$4:$G$1053,'сентябрь 2023'!$D$4:$D$1053,$B159,'сентябрь 2023'!$J$4:$J$1053,M$1)</f>
        <v>0</v>
      </c>
      <c r="N159" s="207">
        <f>SUMIFS('сентябрь 2023'!$G$4:$G$1053,'сентябрь 2023'!$D$4:$D$1053,$B159,'сентябрь 2023'!$J$4:$J$1053,N$1)</f>
        <v>0</v>
      </c>
      <c r="O159" s="207">
        <f>SUMIFS('сентябрь 2023'!$G$4:$G$1053,'сентябрь 2023'!$D$4:$D$1053,$B159,'сентябрь 2023'!$J$4:$J$1053,O$1)</f>
        <v>0</v>
      </c>
      <c r="P159" s="207">
        <f>SUMIFS('сентябрь 2023'!$G$4:$G$1053,'сентябрь 2023'!$D$4:$D$1053,$B159,'сентябрь 2023'!$J$4:$J$1053,P$1)</f>
        <v>0</v>
      </c>
      <c r="Q159" s="207">
        <f>SUMIFS('сентябрь 2023'!$G$4:$G$1053,'сентябрь 2023'!$D$4:$D$1053,$B159,'сентябрь 2023'!$J$4:$J$1053,Q$1)</f>
        <v>0</v>
      </c>
      <c r="R159" s="207">
        <f>SUMIFS('сентябрь 2023'!$G$4:$G$1053,'сентябрь 2023'!$D$4:$D$1053,$B159,'сентябрь 2023'!$J$4:$J$1053,R$1)</f>
        <v>0</v>
      </c>
      <c r="S159" s="207">
        <f>SUMIFS('сентябрь 2023'!$G$4:$G$1053,'сентябрь 2023'!$D$4:$D$1053,$B159,'сентябрь 2023'!$J$4:$J$1053,S$1)</f>
        <v>0</v>
      </c>
      <c r="T159" s="207">
        <f>SUMIFS('сентябрь 2023'!$G$4:$G$1053,'сентябрь 2023'!$D$4:$D$1053,$B159,'сентябрь 2023'!$J$4:$J$1053,T$1)</f>
        <v>0</v>
      </c>
      <c r="U159" s="207">
        <f>SUMIFS('сентябрь 2023'!$G$4:$G$1053,'сентябрь 2023'!$D$4:$D$1053,$B159,'сентябрь 2023'!$J$4:$J$1053,U$1)</f>
        <v>0</v>
      </c>
      <c r="V159" s="207">
        <f>SUMIFS('сентябрь 2023'!$G$4:$G$1053,'сентябрь 2023'!$D$4:$D$1053,$B159,'сентябрь 2023'!$J$4:$J$1053,V$1)</f>
        <v>0</v>
      </c>
      <c r="W159" s="207">
        <f>SUMIFS('сентябрь 2023'!$G$4:$G$1053,'сентябрь 2023'!$D$4:$D$1053,$B159,'сентябрь 2023'!$J$4:$J$1053,W$1)</f>
        <v>0</v>
      </c>
      <c r="X159" s="207">
        <f>SUMIFS('сентябрь 2023'!$G$4:$G$1053,'сентябрь 2023'!$D$4:$D$1053,$B159,'сентябрь 2023'!$J$4:$J$1053,X$1)</f>
        <v>0</v>
      </c>
      <c r="Y159" s="207">
        <f>SUMIFS('сентябрь 2023'!$G$4:$G$1053,'сентябрь 2023'!$D$4:$D$1053,$B159,'сентябрь 2023'!$J$4:$J$1053,Y$1)</f>
        <v>0</v>
      </c>
      <c r="Z159" s="207">
        <f>SUMIFS('сентябрь 2023'!$G$4:$G$1053,'сентябрь 2023'!$D$4:$D$1053,$B159,'сентябрь 2023'!$J$4:$J$1053,Z$1)</f>
        <v>0</v>
      </c>
      <c r="AA159" s="207">
        <f>SUMIFS('сентябрь 2023'!$G$4:$G$1053,'сентябрь 2023'!$D$4:$D$1053,$B159,'сентябрь 2023'!$J$4:$J$1053,AA$1)</f>
        <v>0</v>
      </c>
      <c r="AB159" s="207">
        <f>SUMIFS('сентябрь 2023'!$G$4:$G$1053,'сентябрь 2023'!$D$4:$D$1053,$B159,'сентябрь 2023'!$J$4:$J$1053,AB$1)</f>
        <v>0</v>
      </c>
      <c r="AC159" s="207">
        <f>SUMIFS('сентябрь 2023'!$G$4:$G$1053,'сентябрь 2023'!$D$4:$D$1053,$B159,'сентябрь 2023'!$J$4:$J$1053,AC$1)</f>
        <v>0</v>
      </c>
      <c r="AD159" s="207">
        <f>SUMIFS('сентябрь 2023'!$G$4:$G$1053,'сентябрь 2023'!$D$4:$D$1053,$B159,'сентябрь 2023'!$J$4:$J$1053,AD$1)</f>
        <v>0</v>
      </c>
      <c r="AE159" s="207">
        <f>SUMIFS('сентябрь 2023'!$G$4:$G$1053,'сентябрь 2023'!$D$4:$D$1053,$B159,'сентябрь 2023'!$J$4:$J$1053,AE$1)</f>
        <v>0</v>
      </c>
      <c r="AF159" s="207">
        <f>SUMIFS('сентябрь 2023'!$G$4:$G$1053,'сентябрь 2023'!$D$4:$D$1053,$B159,'сентябрь 2023'!$J$4:$J$1053,AF$1)</f>
        <v>0</v>
      </c>
      <c r="AG159" s="207">
        <f>SUMIFS('сентябрь 2023'!$G$4:$G$1053,'сентябрь 2023'!$D$4:$D$1053,$B159,'сентябрь 2023'!$J$4:$J$1053,AG$1)</f>
        <v>0</v>
      </c>
      <c r="AH159" s="207">
        <f>SUMIFS('сентябрь 2023'!$G$4:$G$1053,'сентябрь 2023'!$D$4:$D$1053,$B159,'сентябрь 2023'!$J$4:$J$1053,AH$1)</f>
        <v>0</v>
      </c>
      <c r="AI159" s="220">
        <f t="shared" si="5"/>
        <v>0</v>
      </c>
    </row>
    <row r="160" spans="2:35" ht="15.75" hidden="1" x14ac:dyDescent="0.25">
      <c r="B160" s="212"/>
      <c r="C160" s="211"/>
      <c r="D160" s="207">
        <f>SUMIFS('сентябрь 2023'!$G$4:$G$1053,'сентябрь 2023'!$D$4:$D$1053,$B160,'сентябрь 2023'!$J$4:$J$1053,D$1)</f>
        <v>0</v>
      </c>
      <c r="E160" s="207">
        <f>SUMIFS('сентябрь 2023'!$G$4:$G$1053,'сентябрь 2023'!$D$4:$D$1053,$B160,'сентябрь 2023'!$J$4:$J$1053,E$1)</f>
        <v>0</v>
      </c>
      <c r="F160" s="207">
        <f>SUMIFS('сентябрь 2023'!$G$4:$G$1053,'сентябрь 2023'!$D$4:$D$1053,$B160,'сентябрь 2023'!$J$4:$J$1053,F$1)</f>
        <v>0</v>
      </c>
      <c r="G160" s="207">
        <f>SUMIFS('сентябрь 2023'!$G$4:$G$1053,'сентябрь 2023'!$D$4:$D$1053,$B160,'сентябрь 2023'!$J$4:$J$1053,G$1)</f>
        <v>0</v>
      </c>
      <c r="H160" s="207">
        <f>SUMIFS('сентябрь 2023'!$G$4:$G$1053,'сентябрь 2023'!$D$4:$D$1053,$B160,'сентябрь 2023'!$J$4:$J$1053,H$1)</f>
        <v>0</v>
      </c>
      <c r="I160" s="207">
        <f>SUMIFS('сентябрь 2023'!$G$4:$G$1053,'сентябрь 2023'!$D$4:$D$1053,$B160,'сентябрь 2023'!$J$4:$J$1053,I$1)</f>
        <v>0</v>
      </c>
      <c r="J160" s="207">
        <f>SUMIFS('сентябрь 2023'!$G$4:$G$1053,'сентябрь 2023'!$D$4:$D$1053,$B160,'сентябрь 2023'!$J$4:$J$1053,J$1)</f>
        <v>0</v>
      </c>
      <c r="K160" s="207">
        <f>SUMIFS('сентябрь 2023'!$G$4:$G$1053,'сентябрь 2023'!$D$4:$D$1053,$B160,'сентябрь 2023'!$J$4:$J$1053,K$1)</f>
        <v>0</v>
      </c>
      <c r="L160" s="207">
        <f>SUMIFS('сентябрь 2023'!$G$4:$G$1053,'сентябрь 2023'!$D$4:$D$1053,$B160,'сентябрь 2023'!$J$4:$J$1053,L$1)</f>
        <v>0</v>
      </c>
      <c r="M160" s="207">
        <f>SUMIFS('сентябрь 2023'!$G$4:$G$1053,'сентябрь 2023'!$D$4:$D$1053,$B160,'сентябрь 2023'!$J$4:$J$1053,M$1)</f>
        <v>0</v>
      </c>
      <c r="N160" s="207">
        <f>SUMIFS('сентябрь 2023'!$G$4:$G$1053,'сентябрь 2023'!$D$4:$D$1053,$B160,'сентябрь 2023'!$J$4:$J$1053,N$1)</f>
        <v>0</v>
      </c>
      <c r="O160" s="207">
        <f>SUMIFS('сентябрь 2023'!$G$4:$G$1053,'сентябрь 2023'!$D$4:$D$1053,$B160,'сентябрь 2023'!$J$4:$J$1053,O$1)</f>
        <v>0</v>
      </c>
      <c r="P160" s="207">
        <f>SUMIFS('сентябрь 2023'!$G$4:$G$1053,'сентябрь 2023'!$D$4:$D$1053,$B160,'сентябрь 2023'!$J$4:$J$1053,P$1)</f>
        <v>0</v>
      </c>
      <c r="Q160" s="207">
        <f>SUMIFS('сентябрь 2023'!$G$4:$G$1053,'сентябрь 2023'!$D$4:$D$1053,$B160,'сентябрь 2023'!$J$4:$J$1053,Q$1)</f>
        <v>0</v>
      </c>
      <c r="R160" s="207">
        <f>SUMIFS('сентябрь 2023'!$G$4:$G$1053,'сентябрь 2023'!$D$4:$D$1053,$B160,'сентябрь 2023'!$J$4:$J$1053,R$1)</f>
        <v>0</v>
      </c>
      <c r="S160" s="207">
        <f>SUMIFS('сентябрь 2023'!$G$4:$G$1053,'сентябрь 2023'!$D$4:$D$1053,$B160,'сентябрь 2023'!$J$4:$J$1053,S$1)</f>
        <v>0</v>
      </c>
      <c r="T160" s="207">
        <f>SUMIFS('сентябрь 2023'!$G$4:$G$1053,'сентябрь 2023'!$D$4:$D$1053,$B160,'сентябрь 2023'!$J$4:$J$1053,T$1)</f>
        <v>0</v>
      </c>
      <c r="U160" s="207">
        <f>SUMIFS('сентябрь 2023'!$G$4:$G$1053,'сентябрь 2023'!$D$4:$D$1053,$B160,'сентябрь 2023'!$J$4:$J$1053,U$1)</f>
        <v>0</v>
      </c>
      <c r="V160" s="207">
        <f>SUMIFS('сентябрь 2023'!$G$4:$G$1053,'сентябрь 2023'!$D$4:$D$1053,$B160,'сентябрь 2023'!$J$4:$J$1053,V$1)</f>
        <v>0</v>
      </c>
      <c r="W160" s="207">
        <f>SUMIFS('сентябрь 2023'!$G$4:$G$1053,'сентябрь 2023'!$D$4:$D$1053,$B160,'сентябрь 2023'!$J$4:$J$1053,W$1)</f>
        <v>0</v>
      </c>
      <c r="X160" s="207">
        <f>SUMIFS('сентябрь 2023'!$G$4:$G$1053,'сентябрь 2023'!$D$4:$D$1053,$B160,'сентябрь 2023'!$J$4:$J$1053,X$1)</f>
        <v>0</v>
      </c>
      <c r="Y160" s="207">
        <f>SUMIFS('сентябрь 2023'!$G$4:$G$1053,'сентябрь 2023'!$D$4:$D$1053,$B160,'сентябрь 2023'!$J$4:$J$1053,Y$1)</f>
        <v>0</v>
      </c>
      <c r="Z160" s="207">
        <f>SUMIFS('сентябрь 2023'!$G$4:$G$1053,'сентябрь 2023'!$D$4:$D$1053,$B160,'сентябрь 2023'!$J$4:$J$1053,Z$1)</f>
        <v>0</v>
      </c>
      <c r="AA160" s="207">
        <f>SUMIFS('сентябрь 2023'!$G$4:$G$1053,'сентябрь 2023'!$D$4:$D$1053,$B160,'сентябрь 2023'!$J$4:$J$1053,AA$1)</f>
        <v>0</v>
      </c>
      <c r="AB160" s="207">
        <f>SUMIFS('сентябрь 2023'!$G$4:$G$1053,'сентябрь 2023'!$D$4:$D$1053,$B160,'сентябрь 2023'!$J$4:$J$1053,AB$1)</f>
        <v>0</v>
      </c>
      <c r="AC160" s="207">
        <f>SUMIFS('сентябрь 2023'!$G$4:$G$1053,'сентябрь 2023'!$D$4:$D$1053,$B160,'сентябрь 2023'!$J$4:$J$1053,AC$1)</f>
        <v>0</v>
      </c>
      <c r="AD160" s="207">
        <f>SUMIFS('сентябрь 2023'!$G$4:$G$1053,'сентябрь 2023'!$D$4:$D$1053,$B160,'сентябрь 2023'!$J$4:$J$1053,AD$1)</f>
        <v>0</v>
      </c>
      <c r="AE160" s="207">
        <f>SUMIFS('сентябрь 2023'!$G$4:$G$1053,'сентябрь 2023'!$D$4:$D$1053,$B160,'сентябрь 2023'!$J$4:$J$1053,AE$1)</f>
        <v>0</v>
      </c>
      <c r="AF160" s="207">
        <f>SUMIFS('сентябрь 2023'!$G$4:$G$1053,'сентябрь 2023'!$D$4:$D$1053,$B160,'сентябрь 2023'!$J$4:$J$1053,AF$1)</f>
        <v>0</v>
      </c>
      <c r="AG160" s="207">
        <f>SUMIFS('сентябрь 2023'!$G$4:$G$1053,'сентябрь 2023'!$D$4:$D$1053,$B160,'сентябрь 2023'!$J$4:$J$1053,AG$1)</f>
        <v>0</v>
      </c>
      <c r="AH160" s="207">
        <f>SUMIFS('сентябрь 2023'!$G$4:$G$1053,'сентябрь 2023'!$D$4:$D$1053,$B160,'сентябрь 2023'!$J$4:$J$1053,AH$1)</f>
        <v>0</v>
      </c>
      <c r="AI160" s="220">
        <f t="shared" si="5"/>
        <v>0</v>
      </c>
    </row>
    <row r="161" spans="2:35" ht="15.75" hidden="1" x14ac:dyDescent="0.25">
      <c r="B161" s="212"/>
      <c r="C161" s="211"/>
      <c r="D161" s="207">
        <f>SUMIFS('сентябрь 2023'!$G$4:$G$1053,'сентябрь 2023'!$D$4:$D$1053,$B161,'сентябрь 2023'!$J$4:$J$1053,D$1)</f>
        <v>0</v>
      </c>
      <c r="E161" s="207">
        <f>SUMIFS('сентябрь 2023'!$G$4:$G$1053,'сентябрь 2023'!$D$4:$D$1053,$B161,'сентябрь 2023'!$J$4:$J$1053,E$1)</f>
        <v>0</v>
      </c>
      <c r="F161" s="207">
        <f>SUMIFS('сентябрь 2023'!$G$4:$G$1053,'сентябрь 2023'!$D$4:$D$1053,$B161,'сентябрь 2023'!$J$4:$J$1053,F$1)</f>
        <v>0</v>
      </c>
      <c r="G161" s="207">
        <f>SUMIFS('сентябрь 2023'!$G$4:$G$1053,'сентябрь 2023'!$D$4:$D$1053,$B161,'сентябрь 2023'!$J$4:$J$1053,G$1)</f>
        <v>0</v>
      </c>
      <c r="H161" s="207">
        <f>SUMIFS('сентябрь 2023'!$G$4:$G$1053,'сентябрь 2023'!$D$4:$D$1053,$B161,'сентябрь 2023'!$J$4:$J$1053,H$1)</f>
        <v>0</v>
      </c>
      <c r="I161" s="207">
        <f>SUMIFS('сентябрь 2023'!$G$4:$G$1053,'сентябрь 2023'!$D$4:$D$1053,$B161,'сентябрь 2023'!$J$4:$J$1053,I$1)</f>
        <v>0</v>
      </c>
      <c r="J161" s="207">
        <f>SUMIFS('сентябрь 2023'!$G$4:$G$1053,'сентябрь 2023'!$D$4:$D$1053,$B161,'сентябрь 2023'!$J$4:$J$1053,J$1)</f>
        <v>0</v>
      </c>
      <c r="K161" s="207">
        <f>SUMIFS('сентябрь 2023'!$G$4:$G$1053,'сентябрь 2023'!$D$4:$D$1053,$B161,'сентябрь 2023'!$J$4:$J$1053,K$1)</f>
        <v>0</v>
      </c>
      <c r="L161" s="207">
        <f>SUMIFS('сентябрь 2023'!$G$4:$G$1053,'сентябрь 2023'!$D$4:$D$1053,$B161,'сентябрь 2023'!$J$4:$J$1053,L$1)</f>
        <v>0</v>
      </c>
      <c r="M161" s="207">
        <f>SUMIFS('сентябрь 2023'!$G$4:$G$1053,'сентябрь 2023'!$D$4:$D$1053,$B161,'сентябрь 2023'!$J$4:$J$1053,M$1)</f>
        <v>0</v>
      </c>
      <c r="N161" s="207">
        <f>SUMIFS('сентябрь 2023'!$G$4:$G$1053,'сентябрь 2023'!$D$4:$D$1053,$B161,'сентябрь 2023'!$J$4:$J$1053,N$1)</f>
        <v>0</v>
      </c>
      <c r="O161" s="207">
        <f>SUMIFS('сентябрь 2023'!$G$4:$G$1053,'сентябрь 2023'!$D$4:$D$1053,$B161,'сентябрь 2023'!$J$4:$J$1053,O$1)</f>
        <v>0</v>
      </c>
      <c r="P161" s="207">
        <f>SUMIFS('сентябрь 2023'!$G$4:$G$1053,'сентябрь 2023'!$D$4:$D$1053,$B161,'сентябрь 2023'!$J$4:$J$1053,P$1)</f>
        <v>0</v>
      </c>
      <c r="Q161" s="207">
        <f>SUMIFS('сентябрь 2023'!$G$4:$G$1053,'сентябрь 2023'!$D$4:$D$1053,$B161,'сентябрь 2023'!$J$4:$J$1053,Q$1)</f>
        <v>0</v>
      </c>
      <c r="R161" s="207">
        <f>SUMIFS('сентябрь 2023'!$G$4:$G$1053,'сентябрь 2023'!$D$4:$D$1053,$B161,'сентябрь 2023'!$J$4:$J$1053,R$1)</f>
        <v>0</v>
      </c>
      <c r="S161" s="207">
        <f>SUMIFS('сентябрь 2023'!$G$4:$G$1053,'сентябрь 2023'!$D$4:$D$1053,$B161,'сентябрь 2023'!$J$4:$J$1053,S$1)</f>
        <v>0</v>
      </c>
      <c r="T161" s="207">
        <f>SUMIFS('сентябрь 2023'!$G$4:$G$1053,'сентябрь 2023'!$D$4:$D$1053,$B161,'сентябрь 2023'!$J$4:$J$1053,T$1)</f>
        <v>0</v>
      </c>
      <c r="U161" s="207">
        <f>SUMIFS('сентябрь 2023'!$G$4:$G$1053,'сентябрь 2023'!$D$4:$D$1053,$B161,'сентябрь 2023'!$J$4:$J$1053,U$1)</f>
        <v>0</v>
      </c>
      <c r="V161" s="207">
        <f>SUMIFS('сентябрь 2023'!$G$4:$G$1053,'сентябрь 2023'!$D$4:$D$1053,$B161,'сентябрь 2023'!$J$4:$J$1053,V$1)</f>
        <v>0</v>
      </c>
      <c r="W161" s="207">
        <f>SUMIFS('сентябрь 2023'!$G$4:$G$1053,'сентябрь 2023'!$D$4:$D$1053,$B161,'сентябрь 2023'!$J$4:$J$1053,W$1)</f>
        <v>0</v>
      </c>
      <c r="X161" s="207">
        <f>SUMIFS('сентябрь 2023'!$G$4:$G$1053,'сентябрь 2023'!$D$4:$D$1053,$B161,'сентябрь 2023'!$J$4:$J$1053,X$1)</f>
        <v>0</v>
      </c>
      <c r="Y161" s="207">
        <f>SUMIFS('сентябрь 2023'!$G$4:$G$1053,'сентябрь 2023'!$D$4:$D$1053,$B161,'сентябрь 2023'!$J$4:$J$1053,Y$1)</f>
        <v>0</v>
      </c>
      <c r="Z161" s="207">
        <f>SUMIFS('сентябрь 2023'!$G$4:$G$1053,'сентябрь 2023'!$D$4:$D$1053,$B161,'сентябрь 2023'!$J$4:$J$1053,Z$1)</f>
        <v>0</v>
      </c>
      <c r="AA161" s="207">
        <f>SUMIFS('сентябрь 2023'!$G$4:$G$1053,'сентябрь 2023'!$D$4:$D$1053,$B161,'сентябрь 2023'!$J$4:$J$1053,AA$1)</f>
        <v>0</v>
      </c>
      <c r="AB161" s="207">
        <f>SUMIFS('сентябрь 2023'!$G$4:$G$1053,'сентябрь 2023'!$D$4:$D$1053,$B161,'сентябрь 2023'!$J$4:$J$1053,AB$1)</f>
        <v>0</v>
      </c>
      <c r="AC161" s="207">
        <f>SUMIFS('сентябрь 2023'!$G$4:$G$1053,'сентябрь 2023'!$D$4:$D$1053,$B161,'сентябрь 2023'!$J$4:$J$1053,AC$1)</f>
        <v>0</v>
      </c>
      <c r="AD161" s="207">
        <f>SUMIFS('сентябрь 2023'!$G$4:$G$1053,'сентябрь 2023'!$D$4:$D$1053,$B161,'сентябрь 2023'!$J$4:$J$1053,AD$1)</f>
        <v>0</v>
      </c>
      <c r="AE161" s="207">
        <f>SUMIFS('сентябрь 2023'!$G$4:$G$1053,'сентябрь 2023'!$D$4:$D$1053,$B161,'сентябрь 2023'!$J$4:$J$1053,AE$1)</f>
        <v>0</v>
      </c>
      <c r="AF161" s="207">
        <f>SUMIFS('сентябрь 2023'!$G$4:$G$1053,'сентябрь 2023'!$D$4:$D$1053,$B161,'сентябрь 2023'!$J$4:$J$1053,AF$1)</f>
        <v>0</v>
      </c>
      <c r="AG161" s="207">
        <f>SUMIFS('сентябрь 2023'!$G$4:$G$1053,'сентябрь 2023'!$D$4:$D$1053,$B161,'сентябрь 2023'!$J$4:$J$1053,AG$1)</f>
        <v>0</v>
      </c>
      <c r="AH161" s="207">
        <f>SUMIFS('сентябрь 2023'!$G$4:$G$1053,'сентябрь 2023'!$D$4:$D$1053,$B161,'сентябрь 2023'!$J$4:$J$1053,AH$1)</f>
        <v>0</v>
      </c>
      <c r="AI161" s="220">
        <f t="shared" si="5"/>
        <v>0</v>
      </c>
    </row>
    <row r="162" spans="2:35" ht="15.75" hidden="1" x14ac:dyDescent="0.25">
      <c r="B162" s="212"/>
      <c r="C162" s="211"/>
      <c r="D162" s="207">
        <f>SUMIFS('сентябрь 2023'!$G$4:$G$1053,'сентябрь 2023'!$D$4:$D$1053,$B162,'сентябрь 2023'!$J$4:$J$1053,D$1)</f>
        <v>0</v>
      </c>
      <c r="E162" s="207">
        <f>SUMIFS('сентябрь 2023'!$G$4:$G$1053,'сентябрь 2023'!$D$4:$D$1053,$B162,'сентябрь 2023'!$J$4:$J$1053,E$1)</f>
        <v>0</v>
      </c>
      <c r="F162" s="207">
        <f>SUMIFS('сентябрь 2023'!$G$4:$G$1053,'сентябрь 2023'!$D$4:$D$1053,$B162,'сентябрь 2023'!$J$4:$J$1053,F$1)</f>
        <v>0</v>
      </c>
      <c r="G162" s="207">
        <f>SUMIFS('сентябрь 2023'!$G$4:$G$1053,'сентябрь 2023'!$D$4:$D$1053,$B162,'сентябрь 2023'!$J$4:$J$1053,G$1)</f>
        <v>0</v>
      </c>
      <c r="H162" s="207">
        <f>SUMIFS('сентябрь 2023'!$G$4:$G$1053,'сентябрь 2023'!$D$4:$D$1053,$B162,'сентябрь 2023'!$J$4:$J$1053,H$1)</f>
        <v>0</v>
      </c>
      <c r="I162" s="207">
        <f>SUMIFS('сентябрь 2023'!$G$4:$G$1053,'сентябрь 2023'!$D$4:$D$1053,$B162,'сентябрь 2023'!$J$4:$J$1053,I$1)</f>
        <v>0</v>
      </c>
      <c r="J162" s="207">
        <f>SUMIFS('сентябрь 2023'!$G$4:$G$1053,'сентябрь 2023'!$D$4:$D$1053,$B162,'сентябрь 2023'!$J$4:$J$1053,J$1)</f>
        <v>0</v>
      </c>
      <c r="K162" s="207">
        <f>SUMIFS('сентябрь 2023'!$G$4:$G$1053,'сентябрь 2023'!$D$4:$D$1053,$B162,'сентябрь 2023'!$J$4:$J$1053,K$1)</f>
        <v>0</v>
      </c>
      <c r="L162" s="207">
        <f>SUMIFS('сентябрь 2023'!$G$4:$G$1053,'сентябрь 2023'!$D$4:$D$1053,$B162,'сентябрь 2023'!$J$4:$J$1053,L$1)</f>
        <v>0</v>
      </c>
      <c r="M162" s="207">
        <f>SUMIFS('сентябрь 2023'!$G$4:$G$1053,'сентябрь 2023'!$D$4:$D$1053,$B162,'сентябрь 2023'!$J$4:$J$1053,M$1)</f>
        <v>0</v>
      </c>
      <c r="N162" s="207">
        <f>SUMIFS('сентябрь 2023'!$G$4:$G$1053,'сентябрь 2023'!$D$4:$D$1053,$B162,'сентябрь 2023'!$J$4:$J$1053,N$1)</f>
        <v>0</v>
      </c>
      <c r="O162" s="207">
        <f>SUMIFS('сентябрь 2023'!$G$4:$G$1053,'сентябрь 2023'!$D$4:$D$1053,$B162,'сентябрь 2023'!$J$4:$J$1053,O$1)</f>
        <v>0</v>
      </c>
      <c r="P162" s="207">
        <f>SUMIFS('сентябрь 2023'!$G$4:$G$1053,'сентябрь 2023'!$D$4:$D$1053,$B162,'сентябрь 2023'!$J$4:$J$1053,P$1)</f>
        <v>0</v>
      </c>
      <c r="Q162" s="207">
        <f>SUMIFS('сентябрь 2023'!$G$4:$G$1053,'сентябрь 2023'!$D$4:$D$1053,$B162,'сентябрь 2023'!$J$4:$J$1053,Q$1)</f>
        <v>0</v>
      </c>
      <c r="R162" s="207">
        <f>SUMIFS('сентябрь 2023'!$G$4:$G$1053,'сентябрь 2023'!$D$4:$D$1053,$B162,'сентябрь 2023'!$J$4:$J$1053,R$1)</f>
        <v>0</v>
      </c>
      <c r="S162" s="207">
        <f>SUMIFS('сентябрь 2023'!$G$4:$G$1053,'сентябрь 2023'!$D$4:$D$1053,$B162,'сентябрь 2023'!$J$4:$J$1053,S$1)</f>
        <v>0</v>
      </c>
      <c r="T162" s="207">
        <f>SUMIFS('сентябрь 2023'!$G$4:$G$1053,'сентябрь 2023'!$D$4:$D$1053,$B162,'сентябрь 2023'!$J$4:$J$1053,T$1)</f>
        <v>0</v>
      </c>
      <c r="U162" s="207">
        <f>SUMIFS('сентябрь 2023'!$G$4:$G$1053,'сентябрь 2023'!$D$4:$D$1053,$B162,'сентябрь 2023'!$J$4:$J$1053,U$1)</f>
        <v>0</v>
      </c>
      <c r="V162" s="207">
        <f>SUMIFS('сентябрь 2023'!$G$4:$G$1053,'сентябрь 2023'!$D$4:$D$1053,$B162,'сентябрь 2023'!$J$4:$J$1053,V$1)</f>
        <v>0</v>
      </c>
      <c r="W162" s="207">
        <f>SUMIFS('сентябрь 2023'!$G$4:$G$1053,'сентябрь 2023'!$D$4:$D$1053,$B162,'сентябрь 2023'!$J$4:$J$1053,W$1)</f>
        <v>0</v>
      </c>
      <c r="X162" s="207">
        <f>SUMIFS('сентябрь 2023'!$G$4:$G$1053,'сентябрь 2023'!$D$4:$D$1053,$B162,'сентябрь 2023'!$J$4:$J$1053,X$1)</f>
        <v>0</v>
      </c>
      <c r="Y162" s="207">
        <f>SUMIFS('сентябрь 2023'!$G$4:$G$1053,'сентябрь 2023'!$D$4:$D$1053,$B162,'сентябрь 2023'!$J$4:$J$1053,Y$1)</f>
        <v>0</v>
      </c>
      <c r="Z162" s="207">
        <f>SUMIFS('сентябрь 2023'!$G$4:$G$1053,'сентябрь 2023'!$D$4:$D$1053,$B162,'сентябрь 2023'!$J$4:$J$1053,Z$1)</f>
        <v>0</v>
      </c>
      <c r="AA162" s="207">
        <f>SUMIFS('сентябрь 2023'!$G$4:$G$1053,'сентябрь 2023'!$D$4:$D$1053,$B162,'сентябрь 2023'!$J$4:$J$1053,AA$1)</f>
        <v>0</v>
      </c>
      <c r="AB162" s="207">
        <f>SUMIFS('сентябрь 2023'!$G$4:$G$1053,'сентябрь 2023'!$D$4:$D$1053,$B162,'сентябрь 2023'!$J$4:$J$1053,AB$1)</f>
        <v>0</v>
      </c>
      <c r="AC162" s="207">
        <f>SUMIFS('сентябрь 2023'!$G$4:$G$1053,'сентябрь 2023'!$D$4:$D$1053,$B162,'сентябрь 2023'!$J$4:$J$1053,AC$1)</f>
        <v>0</v>
      </c>
      <c r="AD162" s="207">
        <f>SUMIFS('сентябрь 2023'!$G$4:$G$1053,'сентябрь 2023'!$D$4:$D$1053,$B162,'сентябрь 2023'!$J$4:$J$1053,AD$1)</f>
        <v>0</v>
      </c>
      <c r="AE162" s="207">
        <f>SUMIFS('сентябрь 2023'!$G$4:$G$1053,'сентябрь 2023'!$D$4:$D$1053,$B162,'сентябрь 2023'!$J$4:$J$1053,AE$1)</f>
        <v>0</v>
      </c>
      <c r="AF162" s="207">
        <f>SUMIFS('сентябрь 2023'!$G$4:$G$1053,'сентябрь 2023'!$D$4:$D$1053,$B162,'сентябрь 2023'!$J$4:$J$1053,AF$1)</f>
        <v>0</v>
      </c>
      <c r="AG162" s="207">
        <f>SUMIFS('сентябрь 2023'!$G$4:$G$1053,'сентябрь 2023'!$D$4:$D$1053,$B162,'сентябрь 2023'!$J$4:$J$1053,AG$1)</f>
        <v>0</v>
      </c>
      <c r="AH162" s="207">
        <f>SUMIFS('сентябрь 2023'!$G$4:$G$1053,'сентябрь 2023'!$D$4:$D$1053,$B162,'сентябрь 2023'!$J$4:$J$1053,AH$1)</f>
        <v>0</v>
      </c>
      <c r="AI162" s="220">
        <f t="shared" si="5"/>
        <v>0</v>
      </c>
    </row>
    <row r="163" spans="2:35" ht="15.75" hidden="1" x14ac:dyDescent="0.25">
      <c r="B163" s="212"/>
      <c r="C163" s="211"/>
      <c r="D163" s="207">
        <f>SUMIFS('сентябрь 2023'!$G$4:$G$1053,'сентябрь 2023'!$D$4:$D$1053,$B163,'сентябрь 2023'!$J$4:$J$1053,D$1)</f>
        <v>0</v>
      </c>
      <c r="E163" s="207">
        <f>SUMIFS('сентябрь 2023'!$G$4:$G$1053,'сентябрь 2023'!$D$4:$D$1053,$B163,'сентябрь 2023'!$J$4:$J$1053,E$1)</f>
        <v>0</v>
      </c>
      <c r="F163" s="207">
        <f>SUMIFS('сентябрь 2023'!$G$4:$G$1053,'сентябрь 2023'!$D$4:$D$1053,$B163,'сентябрь 2023'!$J$4:$J$1053,F$1)</f>
        <v>0</v>
      </c>
      <c r="G163" s="207">
        <f>SUMIFS('сентябрь 2023'!$G$4:$G$1053,'сентябрь 2023'!$D$4:$D$1053,$B163,'сентябрь 2023'!$J$4:$J$1053,G$1)</f>
        <v>0</v>
      </c>
      <c r="H163" s="207">
        <f>SUMIFS('сентябрь 2023'!$G$4:$G$1053,'сентябрь 2023'!$D$4:$D$1053,$B163,'сентябрь 2023'!$J$4:$J$1053,H$1)</f>
        <v>0</v>
      </c>
      <c r="I163" s="207">
        <f>SUMIFS('сентябрь 2023'!$G$4:$G$1053,'сентябрь 2023'!$D$4:$D$1053,$B163,'сентябрь 2023'!$J$4:$J$1053,I$1)</f>
        <v>0</v>
      </c>
      <c r="J163" s="207">
        <f>SUMIFS('сентябрь 2023'!$G$4:$G$1053,'сентябрь 2023'!$D$4:$D$1053,$B163,'сентябрь 2023'!$J$4:$J$1053,J$1)</f>
        <v>0</v>
      </c>
      <c r="K163" s="207">
        <f>SUMIFS('сентябрь 2023'!$G$4:$G$1053,'сентябрь 2023'!$D$4:$D$1053,$B163,'сентябрь 2023'!$J$4:$J$1053,K$1)</f>
        <v>0</v>
      </c>
      <c r="L163" s="207">
        <f>SUMIFS('сентябрь 2023'!$G$4:$G$1053,'сентябрь 2023'!$D$4:$D$1053,$B163,'сентябрь 2023'!$J$4:$J$1053,L$1)</f>
        <v>0</v>
      </c>
      <c r="M163" s="207">
        <f>SUMIFS('сентябрь 2023'!$G$4:$G$1053,'сентябрь 2023'!$D$4:$D$1053,$B163,'сентябрь 2023'!$J$4:$J$1053,M$1)</f>
        <v>0</v>
      </c>
      <c r="N163" s="207">
        <f>SUMIFS('сентябрь 2023'!$G$4:$G$1053,'сентябрь 2023'!$D$4:$D$1053,$B163,'сентябрь 2023'!$J$4:$J$1053,N$1)</f>
        <v>0</v>
      </c>
      <c r="O163" s="207">
        <f>SUMIFS('сентябрь 2023'!$G$4:$G$1053,'сентябрь 2023'!$D$4:$D$1053,$B163,'сентябрь 2023'!$J$4:$J$1053,O$1)</f>
        <v>0</v>
      </c>
      <c r="P163" s="207">
        <f>SUMIFS('сентябрь 2023'!$G$4:$G$1053,'сентябрь 2023'!$D$4:$D$1053,$B163,'сентябрь 2023'!$J$4:$J$1053,P$1)</f>
        <v>0</v>
      </c>
      <c r="Q163" s="207">
        <f>SUMIFS('сентябрь 2023'!$G$4:$G$1053,'сентябрь 2023'!$D$4:$D$1053,$B163,'сентябрь 2023'!$J$4:$J$1053,Q$1)</f>
        <v>0</v>
      </c>
      <c r="R163" s="207">
        <f>SUMIFS('сентябрь 2023'!$G$4:$G$1053,'сентябрь 2023'!$D$4:$D$1053,$B163,'сентябрь 2023'!$J$4:$J$1053,R$1)</f>
        <v>0</v>
      </c>
      <c r="S163" s="207">
        <f>SUMIFS('сентябрь 2023'!$G$4:$G$1053,'сентябрь 2023'!$D$4:$D$1053,$B163,'сентябрь 2023'!$J$4:$J$1053,S$1)</f>
        <v>0</v>
      </c>
      <c r="T163" s="207">
        <f>SUMIFS('сентябрь 2023'!$G$4:$G$1053,'сентябрь 2023'!$D$4:$D$1053,$B163,'сентябрь 2023'!$J$4:$J$1053,T$1)</f>
        <v>0</v>
      </c>
      <c r="U163" s="207">
        <f>SUMIFS('сентябрь 2023'!$G$4:$G$1053,'сентябрь 2023'!$D$4:$D$1053,$B163,'сентябрь 2023'!$J$4:$J$1053,U$1)</f>
        <v>0</v>
      </c>
      <c r="V163" s="207">
        <f>SUMIFS('сентябрь 2023'!$G$4:$G$1053,'сентябрь 2023'!$D$4:$D$1053,$B163,'сентябрь 2023'!$J$4:$J$1053,V$1)</f>
        <v>0</v>
      </c>
      <c r="W163" s="207">
        <f>SUMIFS('сентябрь 2023'!$G$4:$G$1053,'сентябрь 2023'!$D$4:$D$1053,$B163,'сентябрь 2023'!$J$4:$J$1053,W$1)</f>
        <v>0</v>
      </c>
      <c r="X163" s="207">
        <f>SUMIFS('сентябрь 2023'!$G$4:$G$1053,'сентябрь 2023'!$D$4:$D$1053,$B163,'сентябрь 2023'!$J$4:$J$1053,X$1)</f>
        <v>0</v>
      </c>
      <c r="Y163" s="207">
        <f>SUMIFS('сентябрь 2023'!$G$4:$G$1053,'сентябрь 2023'!$D$4:$D$1053,$B163,'сентябрь 2023'!$J$4:$J$1053,Y$1)</f>
        <v>0</v>
      </c>
      <c r="Z163" s="207">
        <f>SUMIFS('сентябрь 2023'!$G$4:$G$1053,'сентябрь 2023'!$D$4:$D$1053,$B163,'сентябрь 2023'!$J$4:$J$1053,Z$1)</f>
        <v>0</v>
      </c>
      <c r="AA163" s="207">
        <f>SUMIFS('сентябрь 2023'!$G$4:$G$1053,'сентябрь 2023'!$D$4:$D$1053,$B163,'сентябрь 2023'!$J$4:$J$1053,AA$1)</f>
        <v>0</v>
      </c>
      <c r="AB163" s="207">
        <f>SUMIFS('сентябрь 2023'!$G$4:$G$1053,'сентябрь 2023'!$D$4:$D$1053,$B163,'сентябрь 2023'!$J$4:$J$1053,AB$1)</f>
        <v>0</v>
      </c>
      <c r="AC163" s="207">
        <f>SUMIFS('сентябрь 2023'!$G$4:$G$1053,'сентябрь 2023'!$D$4:$D$1053,$B163,'сентябрь 2023'!$J$4:$J$1053,AC$1)</f>
        <v>0</v>
      </c>
      <c r="AD163" s="207">
        <f>SUMIFS('сентябрь 2023'!$G$4:$G$1053,'сентябрь 2023'!$D$4:$D$1053,$B163,'сентябрь 2023'!$J$4:$J$1053,AD$1)</f>
        <v>0</v>
      </c>
      <c r="AE163" s="207">
        <f>SUMIFS('сентябрь 2023'!$G$4:$G$1053,'сентябрь 2023'!$D$4:$D$1053,$B163,'сентябрь 2023'!$J$4:$J$1053,AE$1)</f>
        <v>0</v>
      </c>
      <c r="AF163" s="207">
        <f>SUMIFS('сентябрь 2023'!$G$4:$G$1053,'сентябрь 2023'!$D$4:$D$1053,$B163,'сентябрь 2023'!$J$4:$J$1053,AF$1)</f>
        <v>0</v>
      </c>
      <c r="AG163" s="207">
        <f>SUMIFS('сентябрь 2023'!$G$4:$G$1053,'сентябрь 2023'!$D$4:$D$1053,$B163,'сентябрь 2023'!$J$4:$J$1053,AG$1)</f>
        <v>0</v>
      </c>
      <c r="AH163" s="207">
        <f>SUMIFS('сентябрь 2023'!$G$4:$G$1053,'сентябрь 2023'!$D$4:$D$1053,$B163,'сентябрь 2023'!$J$4:$J$1053,AH$1)</f>
        <v>0</v>
      </c>
      <c r="AI163" s="220">
        <f t="shared" si="5"/>
        <v>0</v>
      </c>
    </row>
    <row r="164" spans="2:35" ht="15.75" hidden="1" x14ac:dyDescent="0.25">
      <c r="B164" s="212"/>
      <c r="C164" s="211"/>
      <c r="D164" s="207">
        <f>SUMIFS('сентябрь 2023'!$G$4:$G$1053,'сентябрь 2023'!$D$4:$D$1053,$B164,'сентябрь 2023'!$J$4:$J$1053,D$1)</f>
        <v>0</v>
      </c>
      <c r="E164" s="207">
        <f>SUMIFS('сентябрь 2023'!$G$4:$G$1053,'сентябрь 2023'!$D$4:$D$1053,$B164,'сентябрь 2023'!$J$4:$J$1053,E$1)</f>
        <v>0</v>
      </c>
      <c r="F164" s="207">
        <f>SUMIFS('сентябрь 2023'!$G$4:$G$1053,'сентябрь 2023'!$D$4:$D$1053,$B164,'сентябрь 2023'!$J$4:$J$1053,F$1)</f>
        <v>0</v>
      </c>
      <c r="G164" s="207">
        <f>SUMIFS('сентябрь 2023'!$G$4:$G$1053,'сентябрь 2023'!$D$4:$D$1053,$B164,'сентябрь 2023'!$J$4:$J$1053,G$1)</f>
        <v>0</v>
      </c>
      <c r="H164" s="207">
        <f>SUMIFS('сентябрь 2023'!$G$4:$G$1053,'сентябрь 2023'!$D$4:$D$1053,$B164,'сентябрь 2023'!$J$4:$J$1053,H$1)</f>
        <v>0</v>
      </c>
      <c r="I164" s="207">
        <f>SUMIFS('сентябрь 2023'!$G$4:$G$1053,'сентябрь 2023'!$D$4:$D$1053,$B164,'сентябрь 2023'!$J$4:$J$1053,I$1)</f>
        <v>0</v>
      </c>
      <c r="J164" s="207">
        <f>SUMIFS('сентябрь 2023'!$G$4:$G$1053,'сентябрь 2023'!$D$4:$D$1053,$B164,'сентябрь 2023'!$J$4:$J$1053,J$1)</f>
        <v>0</v>
      </c>
      <c r="K164" s="207">
        <f>SUMIFS('сентябрь 2023'!$G$4:$G$1053,'сентябрь 2023'!$D$4:$D$1053,$B164,'сентябрь 2023'!$J$4:$J$1053,K$1)</f>
        <v>0</v>
      </c>
      <c r="L164" s="207">
        <f>SUMIFS('сентябрь 2023'!$G$4:$G$1053,'сентябрь 2023'!$D$4:$D$1053,$B164,'сентябрь 2023'!$J$4:$J$1053,L$1)</f>
        <v>0</v>
      </c>
      <c r="M164" s="207">
        <f>SUMIFS('сентябрь 2023'!$G$4:$G$1053,'сентябрь 2023'!$D$4:$D$1053,$B164,'сентябрь 2023'!$J$4:$J$1053,M$1)</f>
        <v>0</v>
      </c>
      <c r="N164" s="207">
        <f>SUMIFS('сентябрь 2023'!$G$4:$G$1053,'сентябрь 2023'!$D$4:$D$1053,$B164,'сентябрь 2023'!$J$4:$J$1053,N$1)</f>
        <v>0</v>
      </c>
      <c r="O164" s="207">
        <f>SUMIFS('сентябрь 2023'!$G$4:$G$1053,'сентябрь 2023'!$D$4:$D$1053,$B164,'сентябрь 2023'!$J$4:$J$1053,O$1)</f>
        <v>0</v>
      </c>
      <c r="P164" s="207">
        <f>SUMIFS('сентябрь 2023'!$G$4:$G$1053,'сентябрь 2023'!$D$4:$D$1053,$B164,'сентябрь 2023'!$J$4:$J$1053,P$1)</f>
        <v>0</v>
      </c>
      <c r="Q164" s="207">
        <f>SUMIFS('сентябрь 2023'!$G$4:$G$1053,'сентябрь 2023'!$D$4:$D$1053,$B164,'сентябрь 2023'!$J$4:$J$1053,Q$1)</f>
        <v>0</v>
      </c>
      <c r="R164" s="207">
        <f>SUMIFS('сентябрь 2023'!$G$4:$G$1053,'сентябрь 2023'!$D$4:$D$1053,$B164,'сентябрь 2023'!$J$4:$J$1053,R$1)</f>
        <v>0</v>
      </c>
      <c r="S164" s="207">
        <f>SUMIFS('сентябрь 2023'!$G$4:$G$1053,'сентябрь 2023'!$D$4:$D$1053,$B164,'сентябрь 2023'!$J$4:$J$1053,S$1)</f>
        <v>0</v>
      </c>
      <c r="T164" s="207">
        <f>SUMIFS('сентябрь 2023'!$G$4:$G$1053,'сентябрь 2023'!$D$4:$D$1053,$B164,'сентябрь 2023'!$J$4:$J$1053,T$1)</f>
        <v>0</v>
      </c>
      <c r="U164" s="207">
        <f>SUMIFS('сентябрь 2023'!$G$4:$G$1053,'сентябрь 2023'!$D$4:$D$1053,$B164,'сентябрь 2023'!$J$4:$J$1053,U$1)</f>
        <v>0</v>
      </c>
      <c r="V164" s="207">
        <f>SUMIFS('сентябрь 2023'!$G$4:$G$1053,'сентябрь 2023'!$D$4:$D$1053,$B164,'сентябрь 2023'!$J$4:$J$1053,V$1)</f>
        <v>0</v>
      </c>
      <c r="W164" s="207">
        <f>SUMIFS('сентябрь 2023'!$G$4:$G$1053,'сентябрь 2023'!$D$4:$D$1053,$B164,'сентябрь 2023'!$J$4:$J$1053,W$1)</f>
        <v>0</v>
      </c>
      <c r="X164" s="207">
        <f>SUMIFS('сентябрь 2023'!$G$4:$G$1053,'сентябрь 2023'!$D$4:$D$1053,$B164,'сентябрь 2023'!$J$4:$J$1053,X$1)</f>
        <v>0</v>
      </c>
      <c r="Y164" s="207">
        <f>SUMIFS('сентябрь 2023'!$G$4:$G$1053,'сентябрь 2023'!$D$4:$D$1053,$B164,'сентябрь 2023'!$J$4:$J$1053,Y$1)</f>
        <v>0</v>
      </c>
      <c r="Z164" s="207">
        <f>SUMIFS('сентябрь 2023'!$G$4:$G$1053,'сентябрь 2023'!$D$4:$D$1053,$B164,'сентябрь 2023'!$J$4:$J$1053,Z$1)</f>
        <v>0</v>
      </c>
      <c r="AA164" s="207">
        <f>SUMIFS('сентябрь 2023'!$G$4:$G$1053,'сентябрь 2023'!$D$4:$D$1053,$B164,'сентябрь 2023'!$J$4:$J$1053,AA$1)</f>
        <v>0</v>
      </c>
      <c r="AB164" s="207">
        <f>SUMIFS('сентябрь 2023'!$G$4:$G$1053,'сентябрь 2023'!$D$4:$D$1053,$B164,'сентябрь 2023'!$J$4:$J$1053,AB$1)</f>
        <v>0</v>
      </c>
      <c r="AC164" s="207">
        <f>SUMIFS('сентябрь 2023'!$G$4:$G$1053,'сентябрь 2023'!$D$4:$D$1053,$B164,'сентябрь 2023'!$J$4:$J$1053,AC$1)</f>
        <v>0</v>
      </c>
      <c r="AD164" s="207">
        <f>SUMIFS('сентябрь 2023'!$G$4:$G$1053,'сентябрь 2023'!$D$4:$D$1053,$B164,'сентябрь 2023'!$J$4:$J$1053,AD$1)</f>
        <v>0</v>
      </c>
      <c r="AE164" s="207">
        <f>SUMIFS('сентябрь 2023'!$G$4:$G$1053,'сентябрь 2023'!$D$4:$D$1053,$B164,'сентябрь 2023'!$J$4:$J$1053,AE$1)</f>
        <v>0</v>
      </c>
      <c r="AF164" s="207">
        <f>SUMIFS('сентябрь 2023'!$G$4:$G$1053,'сентябрь 2023'!$D$4:$D$1053,$B164,'сентябрь 2023'!$J$4:$J$1053,AF$1)</f>
        <v>0</v>
      </c>
      <c r="AG164" s="207">
        <f>SUMIFS('сентябрь 2023'!$G$4:$G$1053,'сентябрь 2023'!$D$4:$D$1053,$B164,'сентябрь 2023'!$J$4:$J$1053,AG$1)</f>
        <v>0</v>
      </c>
      <c r="AH164" s="207">
        <f>SUMIFS('сентябрь 2023'!$G$4:$G$1053,'сентябрь 2023'!$D$4:$D$1053,$B164,'сентябрь 2023'!$J$4:$J$1053,AH$1)</f>
        <v>0</v>
      </c>
      <c r="AI164" s="220">
        <f t="shared" si="5"/>
        <v>0</v>
      </c>
    </row>
    <row r="165" spans="2:35" ht="15.75" hidden="1" x14ac:dyDescent="0.25">
      <c r="B165" s="212"/>
      <c r="C165" s="211"/>
      <c r="D165" s="207">
        <f>SUMIFS('сентябрь 2023'!$G$4:$G$1053,'сентябрь 2023'!$D$4:$D$1053,$B165,'сентябрь 2023'!$J$4:$J$1053,D$1)</f>
        <v>0</v>
      </c>
      <c r="E165" s="207">
        <f>SUMIFS('сентябрь 2023'!$G$4:$G$1053,'сентябрь 2023'!$D$4:$D$1053,$B165,'сентябрь 2023'!$J$4:$J$1053,E$1)</f>
        <v>0</v>
      </c>
      <c r="F165" s="207">
        <f>SUMIFS('сентябрь 2023'!$G$4:$G$1053,'сентябрь 2023'!$D$4:$D$1053,$B165,'сентябрь 2023'!$J$4:$J$1053,F$1)</f>
        <v>0</v>
      </c>
      <c r="G165" s="207">
        <f>SUMIFS('сентябрь 2023'!$G$4:$G$1053,'сентябрь 2023'!$D$4:$D$1053,$B165,'сентябрь 2023'!$J$4:$J$1053,G$1)</f>
        <v>0</v>
      </c>
      <c r="H165" s="207">
        <f>SUMIFS('сентябрь 2023'!$G$4:$G$1053,'сентябрь 2023'!$D$4:$D$1053,$B165,'сентябрь 2023'!$J$4:$J$1053,H$1)</f>
        <v>0</v>
      </c>
      <c r="I165" s="207">
        <f>SUMIFS('сентябрь 2023'!$G$4:$G$1053,'сентябрь 2023'!$D$4:$D$1053,$B165,'сентябрь 2023'!$J$4:$J$1053,I$1)</f>
        <v>0</v>
      </c>
      <c r="J165" s="207">
        <f>SUMIFS('сентябрь 2023'!$G$4:$G$1053,'сентябрь 2023'!$D$4:$D$1053,$B165,'сентябрь 2023'!$J$4:$J$1053,J$1)</f>
        <v>0</v>
      </c>
      <c r="K165" s="207">
        <f>SUMIFS('сентябрь 2023'!$G$4:$G$1053,'сентябрь 2023'!$D$4:$D$1053,$B165,'сентябрь 2023'!$J$4:$J$1053,K$1)</f>
        <v>0</v>
      </c>
      <c r="L165" s="207">
        <f>SUMIFS('сентябрь 2023'!$G$4:$G$1053,'сентябрь 2023'!$D$4:$D$1053,$B165,'сентябрь 2023'!$J$4:$J$1053,L$1)</f>
        <v>0</v>
      </c>
      <c r="M165" s="207">
        <f>SUMIFS('сентябрь 2023'!$G$4:$G$1053,'сентябрь 2023'!$D$4:$D$1053,$B165,'сентябрь 2023'!$J$4:$J$1053,M$1)</f>
        <v>0</v>
      </c>
      <c r="N165" s="207">
        <f>SUMIFS('сентябрь 2023'!$G$4:$G$1053,'сентябрь 2023'!$D$4:$D$1053,$B165,'сентябрь 2023'!$J$4:$J$1053,N$1)</f>
        <v>0</v>
      </c>
      <c r="O165" s="207">
        <f>SUMIFS('сентябрь 2023'!$G$4:$G$1053,'сентябрь 2023'!$D$4:$D$1053,$B165,'сентябрь 2023'!$J$4:$J$1053,O$1)</f>
        <v>0</v>
      </c>
      <c r="P165" s="207">
        <f>SUMIFS('сентябрь 2023'!$G$4:$G$1053,'сентябрь 2023'!$D$4:$D$1053,$B165,'сентябрь 2023'!$J$4:$J$1053,P$1)</f>
        <v>0</v>
      </c>
      <c r="Q165" s="207">
        <f>SUMIFS('сентябрь 2023'!$G$4:$G$1053,'сентябрь 2023'!$D$4:$D$1053,$B165,'сентябрь 2023'!$J$4:$J$1053,Q$1)</f>
        <v>0</v>
      </c>
      <c r="R165" s="207">
        <f>SUMIFS('сентябрь 2023'!$G$4:$G$1053,'сентябрь 2023'!$D$4:$D$1053,$B165,'сентябрь 2023'!$J$4:$J$1053,R$1)</f>
        <v>0</v>
      </c>
      <c r="S165" s="207">
        <f>SUMIFS('сентябрь 2023'!$G$4:$G$1053,'сентябрь 2023'!$D$4:$D$1053,$B165,'сентябрь 2023'!$J$4:$J$1053,S$1)</f>
        <v>0</v>
      </c>
      <c r="T165" s="207">
        <f>SUMIFS('сентябрь 2023'!$G$4:$G$1053,'сентябрь 2023'!$D$4:$D$1053,$B165,'сентябрь 2023'!$J$4:$J$1053,T$1)</f>
        <v>0</v>
      </c>
      <c r="U165" s="207">
        <f>SUMIFS('сентябрь 2023'!$G$4:$G$1053,'сентябрь 2023'!$D$4:$D$1053,$B165,'сентябрь 2023'!$J$4:$J$1053,U$1)</f>
        <v>0</v>
      </c>
      <c r="V165" s="207">
        <f>SUMIFS('сентябрь 2023'!$G$4:$G$1053,'сентябрь 2023'!$D$4:$D$1053,$B165,'сентябрь 2023'!$J$4:$J$1053,V$1)</f>
        <v>0</v>
      </c>
      <c r="W165" s="207">
        <f>SUMIFS('сентябрь 2023'!$G$4:$G$1053,'сентябрь 2023'!$D$4:$D$1053,$B165,'сентябрь 2023'!$J$4:$J$1053,W$1)</f>
        <v>0</v>
      </c>
      <c r="X165" s="207">
        <f>SUMIFS('сентябрь 2023'!$G$4:$G$1053,'сентябрь 2023'!$D$4:$D$1053,$B165,'сентябрь 2023'!$J$4:$J$1053,X$1)</f>
        <v>0</v>
      </c>
      <c r="Y165" s="207">
        <f>SUMIFS('сентябрь 2023'!$G$4:$G$1053,'сентябрь 2023'!$D$4:$D$1053,$B165,'сентябрь 2023'!$J$4:$J$1053,Y$1)</f>
        <v>0</v>
      </c>
      <c r="Z165" s="207">
        <f>SUMIFS('сентябрь 2023'!$G$4:$G$1053,'сентябрь 2023'!$D$4:$D$1053,$B165,'сентябрь 2023'!$J$4:$J$1053,Z$1)</f>
        <v>0</v>
      </c>
      <c r="AA165" s="207">
        <f>SUMIFS('сентябрь 2023'!$G$4:$G$1053,'сентябрь 2023'!$D$4:$D$1053,$B165,'сентябрь 2023'!$J$4:$J$1053,AA$1)</f>
        <v>0</v>
      </c>
      <c r="AB165" s="207">
        <f>SUMIFS('сентябрь 2023'!$G$4:$G$1053,'сентябрь 2023'!$D$4:$D$1053,$B165,'сентябрь 2023'!$J$4:$J$1053,AB$1)</f>
        <v>0</v>
      </c>
      <c r="AC165" s="207">
        <f>SUMIFS('сентябрь 2023'!$G$4:$G$1053,'сентябрь 2023'!$D$4:$D$1053,$B165,'сентябрь 2023'!$J$4:$J$1053,AC$1)</f>
        <v>0</v>
      </c>
      <c r="AD165" s="207">
        <f>SUMIFS('сентябрь 2023'!$G$4:$G$1053,'сентябрь 2023'!$D$4:$D$1053,$B165,'сентябрь 2023'!$J$4:$J$1053,AD$1)</f>
        <v>0</v>
      </c>
      <c r="AE165" s="207">
        <f>SUMIFS('сентябрь 2023'!$G$4:$G$1053,'сентябрь 2023'!$D$4:$D$1053,$B165,'сентябрь 2023'!$J$4:$J$1053,AE$1)</f>
        <v>0</v>
      </c>
      <c r="AF165" s="207">
        <f>SUMIFS('сентябрь 2023'!$G$4:$G$1053,'сентябрь 2023'!$D$4:$D$1053,$B165,'сентябрь 2023'!$J$4:$J$1053,AF$1)</f>
        <v>0</v>
      </c>
      <c r="AG165" s="207">
        <f>SUMIFS('сентябрь 2023'!$G$4:$G$1053,'сентябрь 2023'!$D$4:$D$1053,$B165,'сентябрь 2023'!$J$4:$J$1053,AG$1)</f>
        <v>0</v>
      </c>
      <c r="AH165" s="207">
        <f>SUMIFS('сентябрь 2023'!$G$4:$G$1053,'сентябрь 2023'!$D$4:$D$1053,$B165,'сентябрь 2023'!$J$4:$J$1053,AH$1)</f>
        <v>0</v>
      </c>
      <c r="AI165" s="220">
        <f t="shared" si="5"/>
        <v>0</v>
      </c>
    </row>
    <row r="166" spans="2:35" ht="15.75" hidden="1" x14ac:dyDescent="0.25">
      <c r="B166" s="212"/>
      <c r="C166" s="211"/>
      <c r="D166" s="207">
        <f>SUMIFS('сентябрь 2023'!$G$4:$G$1053,'сентябрь 2023'!$D$4:$D$1053,$B166,'сентябрь 2023'!$J$4:$J$1053,D$1)</f>
        <v>0</v>
      </c>
      <c r="E166" s="207">
        <f>SUMIFS('сентябрь 2023'!$G$4:$G$1053,'сентябрь 2023'!$D$4:$D$1053,$B166,'сентябрь 2023'!$J$4:$J$1053,E$1)</f>
        <v>0</v>
      </c>
      <c r="F166" s="207">
        <f>SUMIFS('сентябрь 2023'!$G$4:$G$1053,'сентябрь 2023'!$D$4:$D$1053,$B166,'сентябрь 2023'!$J$4:$J$1053,F$1)</f>
        <v>0</v>
      </c>
      <c r="G166" s="207">
        <f>SUMIFS('сентябрь 2023'!$G$4:$G$1053,'сентябрь 2023'!$D$4:$D$1053,$B166,'сентябрь 2023'!$J$4:$J$1053,G$1)</f>
        <v>0</v>
      </c>
      <c r="H166" s="207">
        <f>SUMIFS('сентябрь 2023'!$G$4:$G$1053,'сентябрь 2023'!$D$4:$D$1053,$B166,'сентябрь 2023'!$J$4:$J$1053,H$1)</f>
        <v>0</v>
      </c>
      <c r="I166" s="207">
        <f>SUMIFS('сентябрь 2023'!$G$4:$G$1053,'сентябрь 2023'!$D$4:$D$1053,$B166,'сентябрь 2023'!$J$4:$J$1053,I$1)</f>
        <v>0</v>
      </c>
      <c r="J166" s="207">
        <f>SUMIFS('сентябрь 2023'!$G$4:$G$1053,'сентябрь 2023'!$D$4:$D$1053,$B166,'сентябрь 2023'!$J$4:$J$1053,J$1)</f>
        <v>0</v>
      </c>
      <c r="K166" s="207">
        <f>SUMIFS('сентябрь 2023'!$G$4:$G$1053,'сентябрь 2023'!$D$4:$D$1053,$B166,'сентябрь 2023'!$J$4:$J$1053,K$1)</f>
        <v>0</v>
      </c>
      <c r="L166" s="207">
        <f>SUMIFS('сентябрь 2023'!$G$4:$G$1053,'сентябрь 2023'!$D$4:$D$1053,$B166,'сентябрь 2023'!$J$4:$J$1053,L$1)</f>
        <v>0</v>
      </c>
      <c r="M166" s="207">
        <f>SUMIFS('сентябрь 2023'!$G$4:$G$1053,'сентябрь 2023'!$D$4:$D$1053,$B166,'сентябрь 2023'!$J$4:$J$1053,M$1)</f>
        <v>0</v>
      </c>
      <c r="N166" s="207">
        <f>SUMIFS('сентябрь 2023'!$G$4:$G$1053,'сентябрь 2023'!$D$4:$D$1053,$B166,'сентябрь 2023'!$J$4:$J$1053,N$1)</f>
        <v>0</v>
      </c>
      <c r="O166" s="207">
        <f>SUMIFS('сентябрь 2023'!$G$4:$G$1053,'сентябрь 2023'!$D$4:$D$1053,$B166,'сентябрь 2023'!$J$4:$J$1053,O$1)</f>
        <v>0</v>
      </c>
      <c r="P166" s="207">
        <f>SUMIFS('сентябрь 2023'!$G$4:$G$1053,'сентябрь 2023'!$D$4:$D$1053,$B166,'сентябрь 2023'!$J$4:$J$1053,P$1)</f>
        <v>0</v>
      </c>
      <c r="Q166" s="207">
        <f>SUMIFS('сентябрь 2023'!$G$4:$G$1053,'сентябрь 2023'!$D$4:$D$1053,$B166,'сентябрь 2023'!$J$4:$J$1053,Q$1)</f>
        <v>0</v>
      </c>
      <c r="R166" s="207">
        <f>SUMIFS('сентябрь 2023'!$G$4:$G$1053,'сентябрь 2023'!$D$4:$D$1053,$B166,'сентябрь 2023'!$J$4:$J$1053,R$1)</f>
        <v>0</v>
      </c>
      <c r="S166" s="207">
        <f>SUMIFS('сентябрь 2023'!$G$4:$G$1053,'сентябрь 2023'!$D$4:$D$1053,$B166,'сентябрь 2023'!$J$4:$J$1053,S$1)</f>
        <v>0</v>
      </c>
      <c r="T166" s="207">
        <f>SUMIFS('сентябрь 2023'!$G$4:$G$1053,'сентябрь 2023'!$D$4:$D$1053,$B166,'сентябрь 2023'!$J$4:$J$1053,T$1)</f>
        <v>0</v>
      </c>
      <c r="U166" s="207">
        <f>SUMIFS('сентябрь 2023'!$G$4:$G$1053,'сентябрь 2023'!$D$4:$D$1053,$B166,'сентябрь 2023'!$J$4:$J$1053,U$1)</f>
        <v>0</v>
      </c>
      <c r="V166" s="207">
        <f>SUMIFS('сентябрь 2023'!$G$4:$G$1053,'сентябрь 2023'!$D$4:$D$1053,$B166,'сентябрь 2023'!$J$4:$J$1053,V$1)</f>
        <v>0</v>
      </c>
      <c r="W166" s="207">
        <f>SUMIFS('сентябрь 2023'!$G$4:$G$1053,'сентябрь 2023'!$D$4:$D$1053,$B166,'сентябрь 2023'!$J$4:$J$1053,W$1)</f>
        <v>0</v>
      </c>
      <c r="X166" s="207">
        <f>SUMIFS('сентябрь 2023'!$G$4:$G$1053,'сентябрь 2023'!$D$4:$D$1053,$B166,'сентябрь 2023'!$J$4:$J$1053,X$1)</f>
        <v>0</v>
      </c>
      <c r="Y166" s="207">
        <f>SUMIFS('сентябрь 2023'!$G$4:$G$1053,'сентябрь 2023'!$D$4:$D$1053,$B166,'сентябрь 2023'!$J$4:$J$1053,Y$1)</f>
        <v>0</v>
      </c>
      <c r="Z166" s="207">
        <f>SUMIFS('сентябрь 2023'!$G$4:$G$1053,'сентябрь 2023'!$D$4:$D$1053,$B166,'сентябрь 2023'!$J$4:$J$1053,Z$1)</f>
        <v>0</v>
      </c>
      <c r="AA166" s="207">
        <f>SUMIFS('сентябрь 2023'!$G$4:$G$1053,'сентябрь 2023'!$D$4:$D$1053,$B166,'сентябрь 2023'!$J$4:$J$1053,AA$1)</f>
        <v>0</v>
      </c>
      <c r="AB166" s="207">
        <f>SUMIFS('сентябрь 2023'!$G$4:$G$1053,'сентябрь 2023'!$D$4:$D$1053,$B166,'сентябрь 2023'!$J$4:$J$1053,AB$1)</f>
        <v>0</v>
      </c>
      <c r="AC166" s="207">
        <f>SUMIFS('сентябрь 2023'!$G$4:$G$1053,'сентябрь 2023'!$D$4:$D$1053,$B166,'сентябрь 2023'!$J$4:$J$1053,AC$1)</f>
        <v>0</v>
      </c>
      <c r="AD166" s="207">
        <f>SUMIFS('сентябрь 2023'!$G$4:$G$1053,'сентябрь 2023'!$D$4:$D$1053,$B166,'сентябрь 2023'!$J$4:$J$1053,AD$1)</f>
        <v>0</v>
      </c>
      <c r="AE166" s="207">
        <f>SUMIFS('сентябрь 2023'!$G$4:$G$1053,'сентябрь 2023'!$D$4:$D$1053,$B166,'сентябрь 2023'!$J$4:$J$1053,AE$1)</f>
        <v>0</v>
      </c>
      <c r="AF166" s="207">
        <f>SUMIFS('сентябрь 2023'!$G$4:$G$1053,'сентябрь 2023'!$D$4:$D$1053,$B166,'сентябрь 2023'!$J$4:$J$1053,AF$1)</f>
        <v>0</v>
      </c>
      <c r="AG166" s="207">
        <f>SUMIFS('сентябрь 2023'!$G$4:$G$1053,'сентябрь 2023'!$D$4:$D$1053,$B166,'сентябрь 2023'!$J$4:$J$1053,AG$1)</f>
        <v>0</v>
      </c>
      <c r="AH166" s="207">
        <f>SUMIFS('сентябрь 2023'!$G$4:$G$1053,'сентябрь 2023'!$D$4:$D$1053,$B166,'сентябрь 2023'!$J$4:$J$1053,AH$1)</f>
        <v>0</v>
      </c>
      <c r="AI166" s="220">
        <f t="shared" si="5"/>
        <v>0</v>
      </c>
    </row>
    <row r="167" spans="2:35" ht="15.75" hidden="1" x14ac:dyDescent="0.25">
      <c r="B167" s="212"/>
      <c r="C167" s="211"/>
      <c r="D167" s="207">
        <f>SUMIFS('сентябрь 2023'!$G$4:$G$1053,'сентябрь 2023'!$D$4:$D$1053,$B167,'сентябрь 2023'!$J$4:$J$1053,D$1)</f>
        <v>0</v>
      </c>
      <c r="E167" s="207">
        <f>SUMIFS('сентябрь 2023'!$G$4:$G$1053,'сентябрь 2023'!$D$4:$D$1053,$B167,'сентябрь 2023'!$J$4:$J$1053,E$1)</f>
        <v>0</v>
      </c>
      <c r="F167" s="207">
        <f>SUMIFS('сентябрь 2023'!$G$4:$G$1053,'сентябрь 2023'!$D$4:$D$1053,$B167,'сентябрь 2023'!$J$4:$J$1053,F$1)</f>
        <v>0</v>
      </c>
      <c r="G167" s="207">
        <f>SUMIFS('сентябрь 2023'!$G$4:$G$1053,'сентябрь 2023'!$D$4:$D$1053,$B167,'сентябрь 2023'!$J$4:$J$1053,G$1)</f>
        <v>0</v>
      </c>
      <c r="H167" s="207">
        <f>SUMIFS('сентябрь 2023'!$G$4:$G$1053,'сентябрь 2023'!$D$4:$D$1053,$B167,'сентябрь 2023'!$J$4:$J$1053,H$1)</f>
        <v>0</v>
      </c>
      <c r="I167" s="207">
        <f>SUMIFS('сентябрь 2023'!$G$4:$G$1053,'сентябрь 2023'!$D$4:$D$1053,$B167,'сентябрь 2023'!$J$4:$J$1053,I$1)</f>
        <v>0</v>
      </c>
      <c r="J167" s="207">
        <f>SUMIFS('сентябрь 2023'!$G$4:$G$1053,'сентябрь 2023'!$D$4:$D$1053,$B167,'сентябрь 2023'!$J$4:$J$1053,J$1)</f>
        <v>0</v>
      </c>
      <c r="K167" s="207">
        <f>SUMIFS('сентябрь 2023'!$G$4:$G$1053,'сентябрь 2023'!$D$4:$D$1053,$B167,'сентябрь 2023'!$J$4:$J$1053,K$1)</f>
        <v>0</v>
      </c>
      <c r="L167" s="207">
        <f>SUMIFS('сентябрь 2023'!$G$4:$G$1053,'сентябрь 2023'!$D$4:$D$1053,$B167,'сентябрь 2023'!$J$4:$J$1053,L$1)</f>
        <v>0</v>
      </c>
      <c r="M167" s="207">
        <f>SUMIFS('сентябрь 2023'!$G$4:$G$1053,'сентябрь 2023'!$D$4:$D$1053,$B167,'сентябрь 2023'!$J$4:$J$1053,M$1)</f>
        <v>0</v>
      </c>
      <c r="N167" s="207">
        <f>SUMIFS('сентябрь 2023'!$G$4:$G$1053,'сентябрь 2023'!$D$4:$D$1053,$B167,'сентябрь 2023'!$J$4:$J$1053,N$1)</f>
        <v>0</v>
      </c>
      <c r="O167" s="207">
        <f>SUMIFS('сентябрь 2023'!$G$4:$G$1053,'сентябрь 2023'!$D$4:$D$1053,$B167,'сентябрь 2023'!$J$4:$J$1053,O$1)</f>
        <v>0</v>
      </c>
      <c r="P167" s="207">
        <f>SUMIFS('сентябрь 2023'!$G$4:$G$1053,'сентябрь 2023'!$D$4:$D$1053,$B167,'сентябрь 2023'!$J$4:$J$1053,P$1)</f>
        <v>0</v>
      </c>
      <c r="Q167" s="207">
        <f>SUMIFS('сентябрь 2023'!$G$4:$G$1053,'сентябрь 2023'!$D$4:$D$1053,$B167,'сентябрь 2023'!$J$4:$J$1053,Q$1)</f>
        <v>0</v>
      </c>
      <c r="R167" s="207">
        <f>SUMIFS('сентябрь 2023'!$G$4:$G$1053,'сентябрь 2023'!$D$4:$D$1053,$B167,'сентябрь 2023'!$J$4:$J$1053,R$1)</f>
        <v>0</v>
      </c>
      <c r="S167" s="207">
        <f>SUMIFS('сентябрь 2023'!$G$4:$G$1053,'сентябрь 2023'!$D$4:$D$1053,$B167,'сентябрь 2023'!$J$4:$J$1053,S$1)</f>
        <v>0</v>
      </c>
      <c r="T167" s="207">
        <f>SUMIFS('сентябрь 2023'!$G$4:$G$1053,'сентябрь 2023'!$D$4:$D$1053,$B167,'сентябрь 2023'!$J$4:$J$1053,T$1)</f>
        <v>0</v>
      </c>
      <c r="U167" s="207">
        <f>SUMIFS('сентябрь 2023'!$G$4:$G$1053,'сентябрь 2023'!$D$4:$D$1053,$B167,'сентябрь 2023'!$J$4:$J$1053,U$1)</f>
        <v>0</v>
      </c>
      <c r="V167" s="207">
        <f>SUMIFS('сентябрь 2023'!$G$4:$G$1053,'сентябрь 2023'!$D$4:$D$1053,$B167,'сентябрь 2023'!$J$4:$J$1053,V$1)</f>
        <v>0</v>
      </c>
      <c r="W167" s="207">
        <f>SUMIFS('сентябрь 2023'!$G$4:$G$1053,'сентябрь 2023'!$D$4:$D$1053,$B167,'сентябрь 2023'!$J$4:$J$1053,W$1)</f>
        <v>0</v>
      </c>
      <c r="X167" s="207">
        <f>SUMIFS('сентябрь 2023'!$G$4:$G$1053,'сентябрь 2023'!$D$4:$D$1053,$B167,'сентябрь 2023'!$J$4:$J$1053,X$1)</f>
        <v>0</v>
      </c>
      <c r="Y167" s="207">
        <f>SUMIFS('сентябрь 2023'!$G$4:$G$1053,'сентябрь 2023'!$D$4:$D$1053,$B167,'сентябрь 2023'!$J$4:$J$1053,Y$1)</f>
        <v>0</v>
      </c>
      <c r="Z167" s="207">
        <f>SUMIFS('сентябрь 2023'!$G$4:$G$1053,'сентябрь 2023'!$D$4:$D$1053,$B167,'сентябрь 2023'!$J$4:$J$1053,Z$1)</f>
        <v>0</v>
      </c>
      <c r="AA167" s="207">
        <f>SUMIFS('сентябрь 2023'!$G$4:$G$1053,'сентябрь 2023'!$D$4:$D$1053,$B167,'сентябрь 2023'!$J$4:$J$1053,AA$1)</f>
        <v>0</v>
      </c>
      <c r="AB167" s="207">
        <f>SUMIFS('сентябрь 2023'!$G$4:$G$1053,'сентябрь 2023'!$D$4:$D$1053,$B167,'сентябрь 2023'!$J$4:$J$1053,AB$1)</f>
        <v>0</v>
      </c>
      <c r="AC167" s="207">
        <f>SUMIFS('сентябрь 2023'!$G$4:$G$1053,'сентябрь 2023'!$D$4:$D$1053,$B167,'сентябрь 2023'!$J$4:$J$1053,AC$1)</f>
        <v>0</v>
      </c>
      <c r="AD167" s="207">
        <f>SUMIFS('сентябрь 2023'!$G$4:$G$1053,'сентябрь 2023'!$D$4:$D$1053,$B167,'сентябрь 2023'!$J$4:$J$1053,AD$1)</f>
        <v>0</v>
      </c>
      <c r="AE167" s="207">
        <f>SUMIFS('сентябрь 2023'!$G$4:$G$1053,'сентябрь 2023'!$D$4:$D$1053,$B167,'сентябрь 2023'!$J$4:$J$1053,AE$1)</f>
        <v>0</v>
      </c>
      <c r="AF167" s="207">
        <f>SUMIFS('сентябрь 2023'!$G$4:$G$1053,'сентябрь 2023'!$D$4:$D$1053,$B167,'сентябрь 2023'!$J$4:$J$1053,AF$1)</f>
        <v>0</v>
      </c>
      <c r="AG167" s="207">
        <f>SUMIFS('сентябрь 2023'!$G$4:$G$1053,'сентябрь 2023'!$D$4:$D$1053,$B167,'сентябрь 2023'!$J$4:$J$1053,AG$1)</f>
        <v>0</v>
      </c>
      <c r="AH167" s="207">
        <f>SUMIFS('сентябрь 2023'!$G$4:$G$1053,'сентябрь 2023'!$D$4:$D$1053,$B167,'сентябрь 2023'!$J$4:$J$1053,AH$1)</f>
        <v>0</v>
      </c>
      <c r="AI167" s="220">
        <f t="shared" si="5"/>
        <v>0</v>
      </c>
    </row>
    <row r="168" spans="2:35" ht="15.75" hidden="1" x14ac:dyDescent="0.25">
      <c r="B168" s="212"/>
      <c r="C168" s="211"/>
      <c r="D168" s="207">
        <f>SUMIFS('сентябрь 2023'!$G$4:$G$1053,'сентябрь 2023'!$D$4:$D$1053,$B168,'сентябрь 2023'!$J$4:$J$1053,D$1)</f>
        <v>0</v>
      </c>
      <c r="E168" s="207">
        <f>SUMIFS('сентябрь 2023'!$G$4:$G$1053,'сентябрь 2023'!$D$4:$D$1053,$B168,'сентябрь 2023'!$J$4:$J$1053,E$1)</f>
        <v>0</v>
      </c>
      <c r="F168" s="207">
        <f>SUMIFS('сентябрь 2023'!$G$4:$G$1053,'сентябрь 2023'!$D$4:$D$1053,$B168,'сентябрь 2023'!$J$4:$J$1053,F$1)</f>
        <v>0</v>
      </c>
      <c r="G168" s="207">
        <f>SUMIFS('сентябрь 2023'!$G$4:$G$1053,'сентябрь 2023'!$D$4:$D$1053,$B168,'сентябрь 2023'!$J$4:$J$1053,G$1)</f>
        <v>0</v>
      </c>
      <c r="H168" s="207">
        <f>SUMIFS('сентябрь 2023'!$G$4:$G$1053,'сентябрь 2023'!$D$4:$D$1053,$B168,'сентябрь 2023'!$J$4:$J$1053,H$1)</f>
        <v>0</v>
      </c>
      <c r="I168" s="207">
        <f>SUMIFS('сентябрь 2023'!$G$4:$G$1053,'сентябрь 2023'!$D$4:$D$1053,$B168,'сентябрь 2023'!$J$4:$J$1053,I$1)</f>
        <v>0</v>
      </c>
      <c r="J168" s="207">
        <f>SUMIFS('сентябрь 2023'!$G$4:$G$1053,'сентябрь 2023'!$D$4:$D$1053,$B168,'сентябрь 2023'!$J$4:$J$1053,J$1)</f>
        <v>0</v>
      </c>
      <c r="K168" s="207">
        <f>SUMIFS('сентябрь 2023'!$G$4:$G$1053,'сентябрь 2023'!$D$4:$D$1053,$B168,'сентябрь 2023'!$J$4:$J$1053,K$1)</f>
        <v>0</v>
      </c>
      <c r="L168" s="207">
        <f>SUMIFS('сентябрь 2023'!$G$4:$G$1053,'сентябрь 2023'!$D$4:$D$1053,$B168,'сентябрь 2023'!$J$4:$J$1053,L$1)</f>
        <v>0</v>
      </c>
      <c r="M168" s="207">
        <f>SUMIFS('сентябрь 2023'!$G$4:$G$1053,'сентябрь 2023'!$D$4:$D$1053,$B168,'сентябрь 2023'!$J$4:$J$1053,M$1)</f>
        <v>0</v>
      </c>
      <c r="N168" s="207">
        <f>SUMIFS('сентябрь 2023'!$G$4:$G$1053,'сентябрь 2023'!$D$4:$D$1053,$B168,'сентябрь 2023'!$J$4:$J$1053,N$1)</f>
        <v>0</v>
      </c>
      <c r="O168" s="207">
        <f>SUMIFS('сентябрь 2023'!$G$4:$G$1053,'сентябрь 2023'!$D$4:$D$1053,$B168,'сентябрь 2023'!$J$4:$J$1053,O$1)</f>
        <v>0</v>
      </c>
      <c r="P168" s="207">
        <f>SUMIFS('сентябрь 2023'!$G$4:$G$1053,'сентябрь 2023'!$D$4:$D$1053,$B168,'сентябрь 2023'!$J$4:$J$1053,P$1)</f>
        <v>0</v>
      </c>
      <c r="Q168" s="207">
        <f>SUMIFS('сентябрь 2023'!$G$4:$G$1053,'сентябрь 2023'!$D$4:$D$1053,$B168,'сентябрь 2023'!$J$4:$J$1053,Q$1)</f>
        <v>0</v>
      </c>
      <c r="R168" s="207">
        <f>SUMIFS('сентябрь 2023'!$G$4:$G$1053,'сентябрь 2023'!$D$4:$D$1053,$B168,'сентябрь 2023'!$J$4:$J$1053,R$1)</f>
        <v>0</v>
      </c>
      <c r="S168" s="207">
        <f>SUMIFS('сентябрь 2023'!$G$4:$G$1053,'сентябрь 2023'!$D$4:$D$1053,$B168,'сентябрь 2023'!$J$4:$J$1053,S$1)</f>
        <v>0</v>
      </c>
      <c r="T168" s="207">
        <f>SUMIFS('сентябрь 2023'!$G$4:$G$1053,'сентябрь 2023'!$D$4:$D$1053,$B168,'сентябрь 2023'!$J$4:$J$1053,T$1)</f>
        <v>0</v>
      </c>
      <c r="U168" s="207">
        <f>SUMIFS('сентябрь 2023'!$G$4:$G$1053,'сентябрь 2023'!$D$4:$D$1053,$B168,'сентябрь 2023'!$J$4:$J$1053,U$1)</f>
        <v>0</v>
      </c>
      <c r="V168" s="207">
        <f>SUMIFS('сентябрь 2023'!$G$4:$G$1053,'сентябрь 2023'!$D$4:$D$1053,$B168,'сентябрь 2023'!$J$4:$J$1053,V$1)</f>
        <v>0</v>
      </c>
      <c r="W168" s="207">
        <f>SUMIFS('сентябрь 2023'!$G$4:$G$1053,'сентябрь 2023'!$D$4:$D$1053,$B168,'сентябрь 2023'!$J$4:$J$1053,W$1)</f>
        <v>0</v>
      </c>
      <c r="X168" s="207">
        <f>SUMIFS('сентябрь 2023'!$G$4:$G$1053,'сентябрь 2023'!$D$4:$D$1053,$B168,'сентябрь 2023'!$J$4:$J$1053,X$1)</f>
        <v>0</v>
      </c>
      <c r="Y168" s="207">
        <f>SUMIFS('сентябрь 2023'!$G$4:$G$1053,'сентябрь 2023'!$D$4:$D$1053,$B168,'сентябрь 2023'!$J$4:$J$1053,Y$1)</f>
        <v>0</v>
      </c>
      <c r="Z168" s="207">
        <f>SUMIFS('сентябрь 2023'!$G$4:$G$1053,'сентябрь 2023'!$D$4:$D$1053,$B168,'сентябрь 2023'!$J$4:$J$1053,Z$1)</f>
        <v>0</v>
      </c>
      <c r="AA168" s="207">
        <f>SUMIFS('сентябрь 2023'!$G$4:$G$1053,'сентябрь 2023'!$D$4:$D$1053,$B168,'сентябрь 2023'!$J$4:$J$1053,AA$1)</f>
        <v>0</v>
      </c>
      <c r="AB168" s="207">
        <f>SUMIFS('сентябрь 2023'!$G$4:$G$1053,'сентябрь 2023'!$D$4:$D$1053,$B168,'сентябрь 2023'!$J$4:$J$1053,AB$1)</f>
        <v>0</v>
      </c>
      <c r="AC168" s="207">
        <f>SUMIFS('сентябрь 2023'!$G$4:$G$1053,'сентябрь 2023'!$D$4:$D$1053,$B168,'сентябрь 2023'!$J$4:$J$1053,AC$1)</f>
        <v>0</v>
      </c>
      <c r="AD168" s="207">
        <f>SUMIFS('сентябрь 2023'!$G$4:$G$1053,'сентябрь 2023'!$D$4:$D$1053,$B168,'сентябрь 2023'!$J$4:$J$1053,AD$1)</f>
        <v>0</v>
      </c>
      <c r="AE168" s="207">
        <f>SUMIFS('сентябрь 2023'!$G$4:$G$1053,'сентябрь 2023'!$D$4:$D$1053,$B168,'сентябрь 2023'!$J$4:$J$1053,AE$1)</f>
        <v>0</v>
      </c>
      <c r="AF168" s="207">
        <f>SUMIFS('сентябрь 2023'!$G$4:$G$1053,'сентябрь 2023'!$D$4:$D$1053,$B168,'сентябрь 2023'!$J$4:$J$1053,AF$1)</f>
        <v>0</v>
      </c>
      <c r="AG168" s="207">
        <f>SUMIFS('сентябрь 2023'!$G$4:$G$1053,'сентябрь 2023'!$D$4:$D$1053,$B168,'сентябрь 2023'!$J$4:$J$1053,AG$1)</f>
        <v>0</v>
      </c>
      <c r="AH168" s="207">
        <f>SUMIFS('сентябрь 2023'!$G$4:$G$1053,'сентябрь 2023'!$D$4:$D$1053,$B168,'сентябрь 2023'!$J$4:$J$1053,AH$1)</f>
        <v>0</v>
      </c>
      <c r="AI168" s="220">
        <f t="shared" si="5"/>
        <v>0</v>
      </c>
    </row>
    <row r="169" spans="2:35" ht="15.75" hidden="1" x14ac:dyDescent="0.25">
      <c r="B169" s="212"/>
      <c r="C169" s="211"/>
      <c r="D169" s="207">
        <f>SUMIFS('сентябрь 2023'!$G$4:$G$1053,'сентябрь 2023'!$D$4:$D$1053,$B169,'сентябрь 2023'!$J$4:$J$1053,D$1)</f>
        <v>0</v>
      </c>
      <c r="E169" s="207">
        <f>SUMIFS('сентябрь 2023'!$G$4:$G$1053,'сентябрь 2023'!$D$4:$D$1053,$B169,'сентябрь 2023'!$J$4:$J$1053,E$1)</f>
        <v>0</v>
      </c>
      <c r="F169" s="207">
        <f>SUMIFS('сентябрь 2023'!$G$4:$G$1053,'сентябрь 2023'!$D$4:$D$1053,$B169,'сентябрь 2023'!$J$4:$J$1053,F$1)</f>
        <v>0</v>
      </c>
      <c r="G169" s="207">
        <f>SUMIFS('сентябрь 2023'!$G$4:$G$1053,'сентябрь 2023'!$D$4:$D$1053,$B169,'сентябрь 2023'!$J$4:$J$1053,G$1)</f>
        <v>0</v>
      </c>
      <c r="H169" s="207">
        <f>SUMIFS('сентябрь 2023'!$G$4:$G$1053,'сентябрь 2023'!$D$4:$D$1053,$B169,'сентябрь 2023'!$J$4:$J$1053,H$1)</f>
        <v>0</v>
      </c>
      <c r="I169" s="207">
        <f>SUMIFS('сентябрь 2023'!$G$4:$G$1053,'сентябрь 2023'!$D$4:$D$1053,$B169,'сентябрь 2023'!$J$4:$J$1053,I$1)</f>
        <v>0</v>
      </c>
      <c r="J169" s="207">
        <f>SUMIFS('сентябрь 2023'!$G$4:$G$1053,'сентябрь 2023'!$D$4:$D$1053,$B169,'сентябрь 2023'!$J$4:$J$1053,J$1)</f>
        <v>0</v>
      </c>
      <c r="K169" s="207">
        <f>SUMIFS('сентябрь 2023'!$G$4:$G$1053,'сентябрь 2023'!$D$4:$D$1053,$B169,'сентябрь 2023'!$J$4:$J$1053,K$1)</f>
        <v>0</v>
      </c>
      <c r="L169" s="207">
        <f>SUMIFS('сентябрь 2023'!$G$4:$G$1053,'сентябрь 2023'!$D$4:$D$1053,$B169,'сентябрь 2023'!$J$4:$J$1053,L$1)</f>
        <v>0</v>
      </c>
      <c r="M169" s="207">
        <f>SUMIFS('сентябрь 2023'!$G$4:$G$1053,'сентябрь 2023'!$D$4:$D$1053,$B169,'сентябрь 2023'!$J$4:$J$1053,M$1)</f>
        <v>0</v>
      </c>
      <c r="N169" s="207">
        <f>SUMIFS('сентябрь 2023'!$G$4:$G$1053,'сентябрь 2023'!$D$4:$D$1053,$B169,'сентябрь 2023'!$J$4:$J$1053,N$1)</f>
        <v>0</v>
      </c>
      <c r="O169" s="207">
        <f>SUMIFS('сентябрь 2023'!$G$4:$G$1053,'сентябрь 2023'!$D$4:$D$1053,$B169,'сентябрь 2023'!$J$4:$J$1053,O$1)</f>
        <v>0</v>
      </c>
      <c r="P169" s="207">
        <f>SUMIFS('сентябрь 2023'!$G$4:$G$1053,'сентябрь 2023'!$D$4:$D$1053,$B169,'сентябрь 2023'!$J$4:$J$1053,P$1)</f>
        <v>0</v>
      </c>
      <c r="Q169" s="207">
        <f>SUMIFS('сентябрь 2023'!$G$4:$G$1053,'сентябрь 2023'!$D$4:$D$1053,$B169,'сентябрь 2023'!$J$4:$J$1053,Q$1)</f>
        <v>0</v>
      </c>
      <c r="R169" s="207">
        <f>SUMIFS('сентябрь 2023'!$G$4:$G$1053,'сентябрь 2023'!$D$4:$D$1053,$B169,'сентябрь 2023'!$J$4:$J$1053,R$1)</f>
        <v>0</v>
      </c>
      <c r="S169" s="207">
        <f>SUMIFS('сентябрь 2023'!$G$4:$G$1053,'сентябрь 2023'!$D$4:$D$1053,$B169,'сентябрь 2023'!$J$4:$J$1053,S$1)</f>
        <v>0</v>
      </c>
      <c r="T169" s="207">
        <f>SUMIFS('сентябрь 2023'!$G$4:$G$1053,'сентябрь 2023'!$D$4:$D$1053,$B169,'сентябрь 2023'!$J$4:$J$1053,T$1)</f>
        <v>0</v>
      </c>
      <c r="U169" s="207">
        <f>SUMIFS('сентябрь 2023'!$G$4:$G$1053,'сентябрь 2023'!$D$4:$D$1053,$B169,'сентябрь 2023'!$J$4:$J$1053,U$1)</f>
        <v>0</v>
      </c>
      <c r="V169" s="207">
        <f>SUMIFS('сентябрь 2023'!$G$4:$G$1053,'сентябрь 2023'!$D$4:$D$1053,$B169,'сентябрь 2023'!$J$4:$J$1053,V$1)</f>
        <v>0</v>
      </c>
      <c r="W169" s="207">
        <f>SUMIFS('сентябрь 2023'!$G$4:$G$1053,'сентябрь 2023'!$D$4:$D$1053,$B169,'сентябрь 2023'!$J$4:$J$1053,W$1)</f>
        <v>0</v>
      </c>
      <c r="X169" s="207">
        <f>SUMIFS('сентябрь 2023'!$G$4:$G$1053,'сентябрь 2023'!$D$4:$D$1053,$B169,'сентябрь 2023'!$J$4:$J$1053,X$1)</f>
        <v>0</v>
      </c>
      <c r="Y169" s="207">
        <f>SUMIFS('сентябрь 2023'!$G$4:$G$1053,'сентябрь 2023'!$D$4:$D$1053,$B169,'сентябрь 2023'!$J$4:$J$1053,Y$1)</f>
        <v>0</v>
      </c>
      <c r="Z169" s="207">
        <f>SUMIFS('сентябрь 2023'!$G$4:$G$1053,'сентябрь 2023'!$D$4:$D$1053,$B169,'сентябрь 2023'!$J$4:$J$1053,Z$1)</f>
        <v>0</v>
      </c>
      <c r="AA169" s="207">
        <f>SUMIFS('сентябрь 2023'!$G$4:$G$1053,'сентябрь 2023'!$D$4:$D$1053,$B169,'сентябрь 2023'!$J$4:$J$1053,AA$1)</f>
        <v>0</v>
      </c>
      <c r="AB169" s="207">
        <f>SUMIFS('сентябрь 2023'!$G$4:$G$1053,'сентябрь 2023'!$D$4:$D$1053,$B169,'сентябрь 2023'!$J$4:$J$1053,AB$1)</f>
        <v>0</v>
      </c>
      <c r="AC169" s="207">
        <f>SUMIFS('сентябрь 2023'!$G$4:$G$1053,'сентябрь 2023'!$D$4:$D$1053,$B169,'сентябрь 2023'!$J$4:$J$1053,AC$1)</f>
        <v>0</v>
      </c>
      <c r="AD169" s="207">
        <f>SUMIFS('сентябрь 2023'!$G$4:$G$1053,'сентябрь 2023'!$D$4:$D$1053,$B169,'сентябрь 2023'!$J$4:$J$1053,AD$1)</f>
        <v>0</v>
      </c>
      <c r="AE169" s="207">
        <f>SUMIFS('сентябрь 2023'!$G$4:$G$1053,'сентябрь 2023'!$D$4:$D$1053,$B169,'сентябрь 2023'!$J$4:$J$1053,AE$1)</f>
        <v>0</v>
      </c>
      <c r="AF169" s="207">
        <f>SUMIFS('сентябрь 2023'!$G$4:$G$1053,'сентябрь 2023'!$D$4:$D$1053,$B169,'сентябрь 2023'!$J$4:$J$1053,AF$1)</f>
        <v>0</v>
      </c>
      <c r="AG169" s="207">
        <f>SUMIFS('сентябрь 2023'!$G$4:$G$1053,'сентябрь 2023'!$D$4:$D$1053,$B169,'сентябрь 2023'!$J$4:$J$1053,AG$1)</f>
        <v>0</v>
      </c>
      <c r="AH169" s="207">
        <f>SUMIFS('сентябрь 2023'!$G$4:$G$1053,'сентябрь 2023'!$D$4:$D$1053,$B169,'сентябрь 2023'!$J$4:$J$1053,AH$1)</f>
        <v>0</v>
      </c>
      <c r="AI169" s="220">
        <f t="shared" si="5"/>
        <v>0</v>
      </c>
    </row>
    <row r="170" spans="2:35" ht="15.75" hidden="1" x14ac:dyDescent="0.25">
      <c r="B170" s="212"/>
      <c r="C170" s="211"/>
      <c r="D170" s="207">
        <f>SUMIFS('сентябрь 2023'!$G$4:$G$1053,'сентябрь 2023'!$D$4:$D$1053,$B170,'сентябрь 2023'!$J$4:$J$1053,D$1)</f>
        <v>0</v>
      </c>
      <c r="E170" s="207">
        <f>SUMIFS('сентябрь 2023'!$G$4:$G$1053,'сентябрь 2023'!$D$4:$D$1053,$B170,'сентябрь 2023'!$J$4:$J$1053,E$1)</f>
        <v>0</v>
      </c>
      <c r="F170" s="207">
        <f>SUMIFS('сентябрь 2023'!$G$4:$G$1053,'сентябрь 2023'!$D$4:$D$1053,$B170,'сентябрь 2023'!$J$4:$J$1053,F$1)</f>
        <v>0</v>
      </c>
      <c r="G170" s="207">
        <f>SUMIFS('сентябрь 2023'!$G$4:$G$1053,'сентябрь 2023'!$D$4:$D$1053,$B170,'сентябрь 2023'!$J$4:$J$1053,G$1)</f>
        <v>0</v>
      </c>
      <c r="H170" s="207">
        <f>SUMIFS('сентябрь 2023'!$G$4:$G$1053,'сентябрь 2023'!$D$4:$D$1053,$B170,'сентябрь 2023'!$J$4:$J$1053,H$1)</f>
        <v>0</v>
      </c>
      <c r="I170" s="207">
        <f>SUMIFS('сентябрь 2023'!$G$4:$G$1053,'сентябрь 2023'!$D$4:$D$1053,$B170,'сентябрь 2023'!$J$4:$J$1053,I$1)</f>
        <v>0</v>
      </c>
      <c r="J170" s="207">
        <f>SUMIFS('сентябрь 2023'!$G$4:$G$1053,'сентябрь 2023'!$D$4:$D$1053,$B170,'сентябрь 2023'!$J$4:$J$1053,J$1)</f>
        <v>0</v>
      </c>
      <c r="K170" s="207">
        <f>SUMIFS('сентябрь 2023'!$G$4:$G$1053,'сентябрь 2023'!$D$4:$D$1053,$B170,'сентябрь 2023'!$J$4:$J$1053,K$1)</f>
        <v>0</v>
      </c>
      <c r="L170" s="207">
        <f>SUMIFS('сентябрь 2023'!$G$4:$G$1053,'сентябрь 2023'!$D$4:$D$1053,$B170,'сентябрь 2023'!$J$4:$J$1053,L$1)</f>
        <v>0</v>
      </c>
      <c r="M170" s="207">
        <f>SUMIFS('сентябрь 2023'!$G$4:$G$1053,'сентябрь 2023'!$D$4:$D$1053,$B170,'сентябрь 2023'!$J$4:$J$1053,M$1)</f>
        <v>0</v>
      </c>
      <c r="N170" s="207">
        <f>SUMIFS('сентябрь 2023'!$G$4:$G$1053,'сентябрь 2023'!$D$4:$D$1053,$B170,'сентябрь 2023'!$J$4:$J$1053,N$1)</f>
        <v>0</v>
      </c>
      <c r="O170" s="207">
        <f>SUMIFS('сентябрь 2023'!$G$4:$G$1053,'сентябрь 2023'!$D$4:$D$1053,$B170,'сентябрь 2023'!$J$4:$J$1053,O$1)</f>
        <v>0</v>
      </c>
      <c r="P170" s="207">
        <f>SUMIFS('сентябрь 2023'!$G$4:$G$1053,'сентябрь 2023'!$D$4:$D$1053,$B170,'сентябрь 2023'!$J$4:$J$1053,P$1)</f>
        <v>0</v>
      </c>
      <c r="Q170" s="207">
        <f>SUMIFS('сентябрь 2023'!$G$4:$G$1053,'сентябрь 2023'!$D$4:$D$1053,$B170,'сентябрь 2023'!$J$4:$J$1053,Q$1)</f>
        <v>0</v>
      </c>
      <c r="R170" s="207">
        <f>SUMIFS('сентябрь 2023'!$G$4:$G$1053,'сентябрь 2023'!$D$4:$D$1053,$B170,'сентябрь 2023'!$J$4:$J$1053,R$1)</f>
        <v>0</v>
      </c>
      <c r="S170" s="207">
        <f>SUMIFS('сентябрь 2023'!$G$4:$G$1053,'сентябрь 2023'!$D$4:$D$1053,$B170,'сентябрь 2023'!$J$4:$J$1053,S$1)</f>
        <v>0</v>
      </c>
      <c r="T170" s="207">
        <f>SUMIFS('сентябрь 2023'!$G$4:$G$1053,'сентябрь 2023'!$D$4:$D$1053,$B170,'сентябрь 2023'!$J$4:$J$1053,T$1)</f>
        <v>0</v>
      </c>
      <c r="U170" s="207">
        <f>SUMIFS('сентябрь 2023'!$G$4:$G$1053,'сентябрь 2023'!$D$4:$D$1053,$B170,'сентябрь 2023'!$J$4:$J$1053,U$1)</f>
        <v>0</v>
      </c>
      <c r="V170" s="207">
        <f>SUMIFS('сентябрь 2023'!$G$4:$G$1053,'сентябрь 2023'!$D$4:$D$1053,$B170,'сентябрь 2023'!$J$4:$J$1053,V$1)</f>
        <v>0</v>
      </c>
      <c r="W170" s="207">
        <f>SUMIFS('сентябрь 2023'!$G$4:$G$1053,'сентябрь 2023'!$D$4:$D$1053,$B170,'сентябрь 2023'!$J$4:$J$1053,W$1)</f>
        <v>0</v>
      </c>
      <c r="X170" s="207">
        <f>SUMIFS('сентябрь 2023'!$G$4:$G$1053,'сентябрь 2023'!$D$4:$D$1053,$B170,'сентябрь 2023'!$J$4:$J$1053,X$1)</f>
        <v>0</v>
      </c>
      <c r="Y170" s="207">
        <f>SUMIFS('сентябрь 2023'!$G$4:$G$1053,'сентябрь 2023'!$D$4:$D$1053,$B170,'сентябрь 2023'!$J$4:$J$1053,Y$1)</f>
        <v>0</v>
      </c>
      <c r="Z170" s="207">
        <f>SUMIFS('сентябрь 2023'!$G$4:$G$1053,'сентябрь 2023'!$D$4:$D$1053,$B170,'сентябрь 2023'!$J$4:$J$1053,Z$1)</f>
        <v>0</v>
      </c>
      <c r="AA170" s="207">
        <f>SUMIFS('сентябрь 2023'!$G$4:$G$1053,'сентябрь 2023'!$D$4:$D$1053,$B170,'сентябрь 2023'!$J$4:$J$1053,AA$1)</f>
        <v>0</v>
      </c>
      <c r="AB170" s="207">
        <f>SUMIFS('сентябрь 2023'!$G$4:$G$1053,'сентябрь 2023'!$D$4:$D$1053,$B170,'сентябрь 2023'!$J$4:$J$1053,AB$1)</f>
        <v>0</v>
      </c>
      <c r="AC170" s="207">
        <f>SUMIFS('сентябрь 2023'!$G$4:$G$1053,'сентябрь 2023'!$D$4:$D$1053,$B170,'сентябрь 2023'!$J$4:$J$1053,AC$1)</f>
        <v>0</v>
      </c>
      <c r="AD170" s="207">
        <f>SUMIFS('сентябрь 2023'!$G$4:$G$1053,'сентябрь 2023'!$D$4:$D$1053,$B170,'сентябрь 2023'!$J$4:$J$1053,AD$1)</f>
        <v>0</v>
      </c>
      <c r="AE170" s="207">
        <f>SUMIFS('сентябрь 2023'!$G$4:$G$1053,'сентябрь 2023'!$D$4:$D$1053,$B170,'сентябрь 2023'!$J$4:$J$1053,AE$1)</f>
        <v>0</v>
      </c>
      <c r="AF170" s="207">
        <f>SUMIFS('сентябрь 2023'!$G$4:$G$1053,'сентябрь 2023'!$D$4:$D$1053,$B170,'сентябрь 2023'!$J$4:$J$1053,AF$1)</f>
        <v>0</v>
      </c>
      <c r="AG170" s="207">
        <f>SUMIFS('сентябрь 2023'!$G$4:$G$1053,'сентябрь 2023'!$D$4:$D$1053,$B170,'сентябрь 2023'!$J$4:$J$1053,AG$1)</f>
        <v>0</v>
      </c>
      <c r="AH170" s="207">
        <f>SUMIFS('сентябрь 2023'!$G$4:$G$1053,'сентябрь 2023'!$D$4:$D$1053,$B170,'сентябрь 2023'!$J$4:$J$1053,AH$1)</f>
        <v>0</v>
      </c>
      <c r="AI170" s="220">
        <f t="shared" si="5"/>
        <v>0</v>
      </c>
    </row>
    <row r="171" spans="2:35" ht="15.75" hidden="1" x14ac:dyDescent="0.25">
      <c r="B171" s="212"/>
      <c r="C171" s="211"/>
      <c r="D171" s="207">
        <f>SUMIFS('сентябрь 2023'!$G$4:$G$1053,'сентябрь 2023'!$D$4:$D$1053,$B171,'сентябрь 2023'!$J$4:$J$1053,D$1)</f>
        <v>0</v>
      </c>
      <c r="E171" s="207">
        <f>SUMIFS('сентябрь 2023'!$G$4:$G$1053,'сентябрь 2023'!$D$4:$D$1053,$B171,'сентябрь 2023'!$J$4:$J$1053,E$1)</f>
        <v>0</v>
      </c>
      <c r="F171" s="207">
        <f>SUMIFS('сентябрь 2023'!$G$4:$G$1053,'сентябрь 2023'!$D$4:$D$1053,$B171,'сентябрь 2023'!$J$4:$J$1053,F$1)</f>
        <v>0</v>
      </c>
      <c r="G171" s="207">
        <f>SUMIFS('сентябрь 2023'!$G$4:$G$1053,'сентябрь 2023'!$D$4:$D$1053,$B171,'сентябрь 2023'!$J$4:$J$1053,G$1)</f>
        <v>0</v>
      </c>
      <c r="H171" s="207">
        <f>SUMIFS('сентябрь 2023'!$G$4:$G$1053,'сентябрь 2023'!$D$4:$D$1053,$B171,'сентябрь 2023'!$J$4:$J$1053,H$1)</f>
        <v>0</v>
      </c>
      <c r="I171" s="207">
        <f>SUMIFS('сентябрь 2023'!$G$4:$G$1053,'сентябрь 2023'!$D$4:$D$1053,$B171,'сентябрь 2023'!$J$4:$J$1053,I$1)</f>
        <v>0</v>
      </c>
      <c r="J171" s="207">
        <f>SUMIFS('сентябрь 2023'!$G$4:$G$1053,'сентябрь 2023'!$D$4:$D$1053,$B171,'сентябрь 2023'!$J$4:$J$1053,J$1)</f>
        <v>0</v>
      </c>
      <c r="K171" s="207">
        <f>SUMIFS('сентябрь 2023'!$G$4:$G$1053,'сентябрь 2023'!$D$4:$D$1053,$B171,'сентябрь 2023'!$J$4:$J$1053,K$1)</f>
        <v>0</v>
      </c>
      <c r="L171" s="207">
        <f>SUMIFS('сентябрь 2023'!$G$4:$G$1053,'сентябрь 2023'!$D$4:$D$1053,$B171,'сентябрь 2023'!$J$4:$J$1053,L$1)</f>
        <v>0</v>
      </c>
      <c r="M171" s="207">
        <f>SUMIFS('сентябрь 2023'!$G$4:$G$1053,'сентябрь 2023'!$D$4:$D$1053,$B171,'сентябрь 2023'!$J$4:$J$1053,M$1)</f>
        <v>0</v>
      </c>
      <c r="N171" s="207">
        <f>SUMIFS('сентябрь 2023'!$G$4:$G$1053,'сентябрь 2023'!$D$4:$D$1053,$B171,'сентябрь 2023'!$J$4:$J$1053,N$1)</f>
        <v>0</v>
      </c>
      <c r="O171" s="207">
        <f>SUMIFS('сентябрь 2023'!$G$4:$G$1053,'сентябрь 2023'!$D$4:$D$1053,$B171,'сентябрь 2023'!$J$4:$J$1053,O$1)</f>
        <v>0</v>
      </c>
      <c r="P171" s="207">
        <f>SUMIFS('сентябрь 2023'!$G$4:$G$1053,'сентябрь 2023'!$D$4:$D$1053,$B171,'сентябрь 2023'!$J$4:$J$1053,P$1)</f>
        <v>0</v>
      </c>
      <c r="Q171" s="207">
        <f>SUMIFS('сентябрь 2023'!$G$4:$G$1053,'сентябрь 2023'!$D$4:$D$1053,$B171,'сентябрь 2023'!$J$4:$J$1053,Q$1)</f>
        <v>0</v>
      </c>
      <c r="R171" s="207">
        <f>SUMIFS('сентябрь 2023'!$G$4:$G$1053,'сентябрь 2023'!$D$4:$D$1053,$B171,'сентябрь 2023'!$J$4:$J$1053,R$1)</f>
        <v>0</v>
      </c>
      <c r="S171" s="207">
        <f>SUMIFS('сентябрь 2023'!$G$4:$G$1053,'сентябрь 2023'!$D$4:$D$1053,$B171,'сентябрь 2023'!$J$4:$J$1053,S$1)</f>
        <v>0</v>
      </c>
      <c r="T171" s="207">
        <f>SUMIFS('сентябрь 2023'!$G$4:$G$1053,'сентябрь 2023'!$D$4:$D$1053,$B171,'сентябрь 2023'!$J$4:$J$1053,T$1)</f>
        <v>0</v>
      </c>
      <c r="U171" s="207">
        <f>SUMIFS('сентябрь 2023'!$G$4:$G$1053,'сентябрь 2023'!$D$4:$D$1053,$B171,'сентябрь 2023'!$J$4:$J$1053,U$1)</f>
        <v>0</v>
      </c>
      <c r="V171" s="207">
        <f>SUMIFS('сентябрь 2023'!$G$4:$G$1053,'сентябрь 2023'!$D$4:$D$1053,$B171,'сентябрь 2023'!$J$4:$J$1053,V$1)</f>
        <v>0</v>
      </c>
      <c r="W171" s="207">
        <f>SUMIFS('сентябрь 2023'!$G$4:$G$1053,'сентябрь 2023'!$D$4:$D$1053,$B171,'сентябрь 2023'!$J$4:$J$1053,W$1)</f>
        <v>0</v>
      </c>
      <c r="X171" s="207">
        <f>SUMIFS('сентябрь 2023'!$G$4:$G$1053,'сентябрь 2023'!$D$4:$D$1053,$B171,'сентябрь 2023'!$J$4:$J$1053,X$1)</f>
        <v>0</v>
      </c>
      <c r="Y171" s="207">
        <f>SUMIFS('сентябрь 2023'!$G$4:$G$1053,'сентябрь 2023'!$D$4:$D$1053,$B171,'сентябрь 2023'!$J$4:$J$1053,Y$1)</f>
        <v>0</v>
      </c>
      <c r="Z171" s="207">
        <f>SUMIFS('сентябрь 2023'!$G$4:$G$1053,'сентябрь 2023'!$D$4:$D$1053,$B171,'сентябрь 2023'!$J$4:$J$1053,Z$1)</f>
        <v>0</v>
      </c>
      <c r="AA171" s="207">
        <f>SUMIFS('сентябрь 2023'!$G$4:$G$1053,'сентябрь 2023'!$D$4:$D$1053,$B171,'сентябрь 2023'!$J$4:$J$1053,AA$1)</f>
        <v>0</v>
      </c>
      <c r="AB171" s="207">
        <f>SUMIFS('сентябрь 2023'!$G$4:$G$1053,'сентябрь 2023'!$D$4:$D$1053,$B171,'сентябрь 2023'!$J$4:$J$1053,AB$1)</f>
        <v>0</v>
      </c>
      <c r="AC171" s="207">
        <f>SUMIFS('сентябрь 2023'!$G$4:$G$1053,'сентябрь 2023'!$D$4:$D$1053,$B171,'сентябрь 2023'!$J$4:$J$1053,AC$1)</f>
        <v>0</v>
      </c>
      <c r="AD171" s="207">
        <f>SUMIFS('сентябрь 2023'!$G$4:$G$1053,'сентябрь 2023'!$D$4:$D$1053,$B171,'сентябрь 2023'!$J$4:$J$1053,AD$1)</f>
        <v>0</v>
      </c>
      <c r="AE171" s="207">
        <f>SUMIFS('сентябрь 2023'!$G$4:$G$1053,'сентябрь 2023'!$D$4:$D$1053,$B171,'сентябрь 2023'!$J$4:$J$1053,AE$1)</f>
        <v>0</v>
      </c>
      <c r="AF171" s="207">
        <f>SUMIFS('сентябрь 2023'!$G$4:$G$1053,'сентябрь 2023'!$D$4:$D$1053,$B171,'сентябрь 2023'!$J$4:$J$1053,AF$1)</f>
        <v>0</v>
      </c>
      <c r="AG171" s="207">
        <f>SUMIFS('сентябрь 2023'!$G$4:$G$1053,'сентябрь 2023'!$D$4:$D$1053,$B171,'сентябрь 2023'!$J$4:$J$1053,AG$1)</f>
        <v>0</v>
      </c>
      <c r="AH171" s="207">
        <f>SUMIFS('сентябрь 2023'!$G$4:$G$1053,'сентябрь 2023'!$D$4:$D$1053,$B171,'сентябрь 2023'!$J$4:$J$1053,AH$1)</f>
        <v>0</v>
      </c>
      <c r="AI171" s="220">
        <f t="shared" si="5"/>
        <v>0</v>
      </c>
    </row>
    <row r="172" spans="2:35" ht="15.75" hidden="1" x14ac:dyDescent="0.25">
      <c r="B172" s="212"/>
      <c r="C172" s="211"/>
      <c r="D172" s="207">
        <f>SUMIFS('сентябрь 2023'!$G$4:$G$1053,'сентябрь 2023'!$D$4:$D$1053,$B172,'сентябрь 2023'!$J$4:$J$1053,D$1)</f>
        <v>0</v>
      </c>
      <c r="E172" s="207">
        <f>SUMIFS('сентябрь 2023'!$G$4:$G$1053,'сентябрь 2023'!$D$4:$D$1053,$B172,'сентябрь 2023'!$J$4:$J$1053,E$1)</f>
        <v>0</v>
      </c>
      <c r="F172" s="207">
        <f>SUMIFS('сентябрь 2023'!$G$4:$G$1053,'сентябрь 2023'!$D$4:$D$1053,$B172,'сентябрь 2023'!$J$4:$J$1053,F$1)</f>
        <v>0</v>
      </c>
      <c r="G172" s="207">
        <f>SUMIFS('сентябрь 2023'!$G$4:$G$1053,'сентябрь 2023'!$D$4:$D$1053,$B172,'сентябрь 2023'!$J$4:$J$1053,G$1)</f>
        <v>0</v>
      </c>
      <c r="H172" s="207">
        <f>SUMIFS('сентябрь 2023'!$G$4:$G$1053,'сентябрь 2023'!$D$4:$D$1053,$B172,'сентябрь 2023'!$J$4:$J$1053,H$1)</f>
        <v>0</v>
      </c>
      <c r="I172" s="207">
        <f>SUMIFS('сентябрь 2023'!$G$4:$G$1053,'сентябрь 2023'!$D$4:$D$1053,$B172,'сентябрь 2023'!$J$4:$J$1053,I$1)</f>
        <v>0</v>
      </c>
      <c r="J172" s="207">
        <f>SUMIFS('сентябрь 2023'!$G$4:$G$1053,'сентябрь 2023'!$D$4:$D$1053,$B172,'сентябрь 2023'!$J$4:$J$1053,J$1)</f>
        <v>0</v>
      </c>
      <c r="K172" s="207">
        <f>SUMIFS('сентябрь 2023'!$G$4:$G$1053,'сентябрь 2023'!$D$4:$D$1053,$B172,'сентябрь 2023'!$J$4:$J$1053,K$1)</f>
        <v>0</v>
      </c>
      <c r="L172" s="207">
        <f>SUMIFS('сентябрь 2023'!$G$4:$G$1053,'сентябрь 2023'!$D$4:$D$1053,$B172,'сентябрь 2023'!$J$4:$J$1053,L$1)</f>
        <v>0</v>
      </c>
      <c r="M172" s="207">
        <f>SUMIFS('сентябрь 2023'!$G$4:$G$1053,'сентябрь 2023'!$D$4:$D$1053,$B172,'сентябрь 2023'!$J$4:$J$1053,M$1)</f>
        <v>0</v>
      </c>
      <c r="N172" s="207">
        <f>SUMIFS('сентябрь 2023'!$G$4:$G$1053,'сентябрь 2023'!$D$4:$D$1053,$B172,'сентябрь 2023'!$J$4:$J$1053,N$1)</f>
        <v>0</v>
      </c>
      <c r="O172" s="207">
        <f>SUMIFS('сентябрь 2023'!$G$4:$G$1053,'сентябрь 2023'!$D$4:$D$1053,$B172,'сентябрь 2023'!$J$4:$J$1053,O$1)</f>
        <v>0</v>
      </c>
      <c r="P172" s="207">
        <f>SUMIFS('сентябрь 2023'!$G$4:$G$1053,'сентябрь 2023'!$D$4:$D$1053,$B172,'сентябрь 2023'!$J$4:$J$1053,P$1)</f>
        <v>0</v>
      </c>
      <c r="Q172" s="207">
        <f>SUMIFS('сентябрь 2023'!$G$4:$G$1053,'сентябрь 2023'!$D$4:$D$1053,$B172,'сентябрь 2023'!$J$4:$J$1053,Q$1)</f>
        <v>0</v>
      </c>
      <c r="R172" s="207">
        <f>SUMIFS('сентябрь 2023'!$G$4:$G$1053,'сентябрь 2023'!$D$4:$D$1053,$B172,'сентябрь 2023'!$J$4:$J$1053,R$1)</f>
        <v>0</v>
      </c>
      <c r="S172" s="207">
        <f>SUMIFS('сентябрь 2023'!$G$4:$G$1053,'сентябрь 2023'!$D$4:$D$1053,$B172,'сентябрь 2023'!$J$4:$J$1053,S$1)</f>
        <v>0</v>
      </c>
      <c r="T172" s="207">
        <f>SUMIFS('сентябрь 2023'!$G$4:$G$1053,'сентябрь 2023'!$D$4:$D$1053,$B172,'сентябрь 2023'!$J$4:$J$1053,T$1)</f>
        <v>0</v>
      </c>
      <c r="U172" s="207">
        <f>SUMIFS('сентябрь 2023'!$G$4:$G$1053,'сентябрь 2023'!$D$4:$D$1053,$B172,'сентябрь 2023'!$J$4:$J$1053,U$1)</f>
        <v>0</v>
      </c>
      <c r="V172" s="207">
        <f>SUMIFS('сентябрь 2023'!$G$4:$G$1053,'сентябрь 2023'!$D$4:$D$1053,$B172,'сентябрь 2023'!$J$4:$J$1053,V$1)</f>
        <v>0</v>
      </c>
      <c r="W172" s="207">
        <f>SUMIFS('сентябрь 2023'!$G$4:$G$1053,'сентябрь 2023'!$D$4:$D$1053,$B172,'сентябрь 2023'!$J$4:$J$1053,W$1)</f>
        <v>0</v>
      </c>
      <c r="X172" s="207">
        <f>SUMIFS('сентябрь 2023'!$G$4:$G$1053,'сентябрь 2023'!$D$4:$D$1053,$B172,'сентябрь 2023'!$J$4:$J$1053,X$1)</f>
        <v>0</v>
      </c>
      <c r="Y172" s="207">
        <f>SUMIFS('сентябрь 2023'!$G$4:$G$1053,'сентябрь 2023'!$D$4:$D$1053,$B172,'сентябрь 2023'!$J$4:$J$1053,Y$1)</f>
        <v>0</v>
      </c>
      <c r="Z172" s="207">
        <f>SUMIFS('сентябрь 2023'!$G$4:$G$1053,'сентябрь 2023'!$D$4:$D$1053,$B172,'сентябрь 2023'!$J$4:$J$1053,Z$1)</f>
        <v>0</v>
      </c>
      <c r="AA172" s="207">
        <f>SUMIFS('сентябрь 2023'!$G$4:$G$1053,'сентябрь 2023'!$D$4:$D$1053,$B172,'сентябрь 2023'!$J$4:$J$1053,AA$1)</f>
        <v>0</v>
      </c>
      <c r="AB172" s="207">
        <f>SUMIFS('сентябрь 2023'!$G$4:$G$1053,'сентябрь 2023'!$D$4:$D$1053,$B172,'сентябрь 2023'!$J$4:$J$1053,AB$1)</f>
        <v>0</v>
      </c>
      <c r="AC172" s="207">
        <f>SUMIFS('сентябрь 2023'!$G$4:$G$1053,'сентябрь 2023'!$D$4:$D$1053,$B172,'сентябрь 2023'!$J$4:$J$1053,AC$1)</f>
        <v>0</v>
      </c>
      <c r="AD172" s="207">
        <f>SUMIFS('сентябрь 2023'!$G$4:$G$1053,'сентябрь 2023'!$D$4:$D$1053,$B172,'сентябрь 2023'!$J$4:$J$1053,AD$1)</f>
        <v>0</v>
      </c>
      <c r="AE172" s="207">
        <f>SUMIFS('сентябрь 2023'!$G$4:$G$1053,'сентябрь 2023'!$D$4:$D$1053,$B172,'сентябрь 2023'!$J$4:$J$1053,AE$1)</f>
        <v>0</v>
      </c>
      <c r="AF172" s="207">
        <f>SUMIFS('сентябрь 2023'!$G$4:$G$1053,'сентябрь 2023'!$D$4:$D$1053,$B172,'сентябрь 2023'!$J$4:$J$1053,AF$1)</f>
        <v>0</v>
      </c>
      <c r="AG172" s="207">
        <f>SUMIFS('сентябрь 2023'!$G$4:$G$1053,'сентябрь 2023'!$D$4:$D$1053,$B172,'сентябрь 2023'!$J$4:$J$1053,AG$1)</f>
        <v>0</v>
      </c>
      <c r="AH172" s="207">
        <f>SUMIFS('сентябрь 2023'!$G$4:$G$1053,'сентябрь 2023'!$D$4:$D$1053,$B172,'сентябрь 2023'!$J$4:$J$1053,AH$1)</f>
        <v>0</v>
      </c>
      <c r="AI172" s="220">
        <f t="shared" si="5"/>
        <v>0</v>
      </c>
    </row>
    <row r="173" spans="2:35" ht="15.75" hidden="1" x14ac:dyDescent="0.25">
      <c r="B173" s="212"/>
      <c r="C173" s="211"/>
      <c r="D173" s="207">
        <f>SUMIFS('сентябрь 2023'!$G$4:$G$1053,'сентябрь 2023'!$D$4:$D$1053,$B173,'сентябрь 2023'!$J$4:$J$1053,D$1)</f>
        <v>0</v>
      </c>
      <c r="E173" s="207">
        <f>SUMIFS('сентябрь 2023'!$G$4:$G$1053,'сентябрь 2023'!$D$4:$D$1053,$B173,'сентябрь 2023'!$J$4:$J$1053,E$1)</f>
        <v>0</v>
      </c>
      <c r="F173" s="207">
        <f>SUMIFS('сентябрь 2023'!$G$4:$G$1053,'сентябрь 2023'!$D$4:$D$1053,$B173,'сентябрь 2023'!$J$4:$J$1053,F$1)</f>
        <v>0</v>
      </c>
      <c r="G173" s="207">
        <f>SUMIFS('сентябрь 2023'!$G$4:$G$1053,'сентябрь 2023'!$D$4:$D$1053,$B173,'сентябрь 2023'!$J$4:$J$1053,G$1)</f>
        <v>0</v>
      </c>
      <c r="H173" s="207">
        <f>SUMIFS('сентябрь 2023'!$G$4:$G$1053,'сентябрь 2023'!$D$4:$D$1053,$B173,'сентябрь 2023'!$J$4:$J$1053,H$1)</f>
        <v>0</v>
      </c>
      <c r="I173" s="207">
        <f>SUMIFS('сентябрь 2023'!$G$4:$G$1053,'сентябрь 2023'!$D$4:$D$1053,$B173,'сентябрь 2023'!$J$4:$J$1053,I$1)</f>
        <v>0</v>
      </c>
      <c r="J173" s="207">
        <f>SUMIFS('сентябрь 2023'!$G$4:$G$1053,'сентябрь 2023'!$D$4:$D$1053,$B173,'сентябрь 2023'!$J$4:$J$1053,J$1)</f>
        <v>0</v>
      </c>
      <c r="K173" s="207">
        <f>SUMIFS('сентябрь 2023'!$G$4:$G$1053,'сентябрь 2023'!$D$4:$D$1053,$B173,'сентябрь 2023'!$J$4:$J$1053,K$1)</f>
        <v>0</v>
      </c>
      <c r="L173" s="207">
        <f>SUMIFS('сентябрь 2023'!$G$4:$G$1053,'сентябрь 2023'!$D$4:$D$1053,$B173,'сентябрь 2023'!$J$4:$J$1053,L$1)</f>
        <v>0</v>
      </c>
      <c r="M173" s="207">
        <f>SUMIFS('сентябрь 2023'!$G$4:$G$1053,'сентябрь 2023'!$D$4:$D$1053,$B173,'сентябрь 2023'!$J$4:$J$1053,M$1)</f>
        <v>0</v>
      </c>
      <c r="N173" s="207">
        <f>SUMIFS('сентябрь 2023'!$G$4:$G$1053,'сентябрь 2023'!$D$4:$D$1053,$B173,'сентябрь 2023'!$J$4:$J$1053,N$1)</f>
        <v>0</v>
      </c>
      <c r="O173" s="207">
        <f>SUMIFS('сентябрь 2023'!$G$4:$G$1053,'сентябрь 2023'!$D$4:$D$1053,$B173,'сентябрь 2023'!$J$4:$J$1053,O$1)</f>
        <v>0</v>
      </c>
      <c r="P173" s="207">
        <f>SUMIFS('сентябрь 2023'!$G$4:$G$1053,'сентябрь 2023'!$D$4:$D$1053,$B173,'сентябрь 2023'!$J$4:$J$1053,P$1)</f>
        <v>0</v>
      </c>
      <c r="Q173" s="207">
        <f>SUMIFS('сентябрь 2023'!$G$4:$G$1053,'сентябрь 2023'!$D$4:$D$1053,$B173,'сентябрь 2023'!$J$4:$J$1053,Q$1)</f>
        <v>0</v>
      </c>
      <c r="R173" s="207">
        <f>SUMIFS('сентябрь 2023'!$G$4:$G$1053,'сентябрь 2023'!$D$4:$D$1053,$B173,'сентябрь 2023'!$J$4:$J$1053,R$1)</f>
        <v>0</v>
      </c>
      <c r="S173" s="207">
        <f>SUMIFS('сентябрь 2023'!$G$4:$G$1053,'сентябрь 2023'!$D$4:$D$1053,$B173,'сентябрь 2023'!$J$4:$J$1053,S$1)</f>
        <v>0</v>
      </c>
      <c r="T173" s="207">
        <f>SUMIFS('сентябрь 2023'!$G$4:$G$1053,'сентябрь 2023'!$D$4:$D$1053,$B173,'сентябрь 2023'!$J$4:$J$1053,T$1)</f>
        <v>0</v>
      </c>
      <c r="U173" s="207">
        <f>SUMIFS('сентябрь 2023'!$G$4:$G$1053,'сентябрь 2023'!$D$4:$D$1053,$B173,'сентябрь 2023'!$J$4:$J$1053,U$1)</f>
        <v>0</v>
      </c>
      <c r="V173" s="207">
        <f>SUMIFS('сентябрь 2023'!$G$4:$G$1053,'сентябрь 2023'!$D$4:$D$1053,$B173,'сентябрь 2023'!$J$4:$J$1053,V$1)</f>
        <v>0</v>
      </c>
      <c r="W173" s="207">
        <f>SUMIFS('сентябрь 2023'!$G$4:$G$1053,'сентябрь 2023'!$D$4:$D$1053,$B173,'сентябрь 2023'!$J$4:$J$1053,W$1)</f>
        <v>0</v>
      </c>
      <c r="X173" s="207">
        <f>SUMIFS('сентябрь 2023'!$G$4:$G$1053,'сентябрь 2023'!$D$4:$D$1053,$B173,'сентябрь 2023'!$J$4:$J$1053,X$1)</f>
        <v>0</v>
      </c>
      <c r="Y173" s="207">
        <f>SUMIFS('сентябрь 2023'!$G$4:$G$1053,'сентябрь 2023'!$D$4:$D$1053,$B173,'сентябрь 2023'!$J$4:$J$1053,Y$1)</f>
        <v>0</v>
      </c>
      <c r="Z173" s="207">
        <f>SUMIFS('сентябрь 2023'!$G$4:$G$1053,'сентябрь 2023'!$D$4:$D$1053,$B173,'сентябрь 2023'!$J$4:$J$1053,Z$1)</f>
        <v>0</v>
      </c>
      <c r="AA173" s="207">
        <f>SUMIFS('сентябрь 2023'!$G$4:$G$1053,'сентябрь 2023'!$D$4:$D$1053,$B173,'сентябрь 2023'!$J$4:$J$1053,AA$1)</f>
        <v>0</v>
      </c>
      <c r="AB173" s="207">
        <f>SUMIFS('сентябрь 2023'!$G$4:$G$1053,'сентябрь 2023'!$D$4:$D$1053,$B173,'сентябрь 2023'!$J$4:$J$1053,AB$1)</f>
        <v>0</v>
      </c>
      <c r="AC173" s="207">
        <f>SUMIFS('сентябрь 2023'!$G$4:$G$1053,'сентябрь 2023'!$D$4:$D$1053,$B173,'сентябрь 2023'!$J$4:$J$1053,AC$1)</f>
        <v>0</v>
      </c>
      <c r="AD173" s="207">
        <f>SUMIFS('сентябрь 2023'!$G$4:$G$1053,'сентябрь 2023'!$D$4:$D$1053,$B173,'сентябрь 2023'!$J$4:$J$1053,AD$1)</f>
        <v>0</v>
      </c>
      <c r="AE173" s="207">
        <f>SUMIFS('сентябрь 2023'!$G$4:$G$1053,'сентябрь 2023'!$D$4:$D$1053,$B173,'сентябрь 2023'!$J$4:$J$1053,AE$1)</f>
        <v>0</v>
      </c>
      <c r="AF173" s="207">
        <f>SUMIFS('сентябрь 2023'!$G$4:$G$1053,'сентябрь 2023'!$D$4:$D$1053,$B173,'сентябрь 2023'!$J$4:$J$1053,AF$1)</f>
        <v>0</v>
      </c>
      <c r="AG173" s="207">
        <f>SUMIFS('сентябрь 2023'!$G$4:$G$1053,'сентябрь 2023'!$D$4:$D$1053,$B173,'сентябрь 2023'!$J$4:$J$1053,AG$1)</f>
        <v>0</v>
      </c>
      <c r="AH173" s="207">
        <f>SUMIFS('сентябрь 2023'!$G$4:$G$1053,'сентябрь 2023'!$D$4:$D$1053,$B173,'сентябрь 2023'!$J$4:$J$1053,AH$1)</f>
        <v>0</v>
      </c>
      <c r="AI173" s="220">
        <f t="shared" si="5"/>
        <v>0</v>
      </c>
    </row>
    <row r="174" spans="2:35" ht="15.75" hidden="1" x14ac:dyDescent="0.25">
      <c r="B174" s="212"/>
      <c r="C174" s="211"/>
      <c r="D174" s="207">
        <f>SUMIFS('сентябрь 2023'!$G$4:$G$1053,'сентябрь 2023'!$D$4:$D$1053,$B174,'сентябрь 2023'!$J$4:$J$1053,D$1)</f>
        <v>0</v>
      </c>
      <c r="E174" s="207">
        <f>SUMIFS('сентябрь 2023'!$G$4:$G$1053,'сентябрь 2023'!$D$4:$D$1053,$B174,'сентябрь 2023'!$J$4:$J$1053,E$1)</f>
        <v>0</v>
      </c>
      <c r="F174" s="207">
        <f>SUMIFS('сентябрь 2023'!$G$4:$G$1053,'сентябрь 2023'!$D$4:$D$1053,$B174,'сентябрь 2023'!$J$4:$J$1053,F$1)</f>
        <v>0</v>
      </c>
      <c r="G174" s="207">
        <f>SUMIFS('сентябрь 2023'!$G$4:$G$1053,'сентябрь 2023'!$D$4:$D$1053,$B174,'сентябрь 2023'!$J$4:$J$1053,G$1)</f>
        <v>0</v>
      </c>
      <c r="H174" s="207">
        <f>SUMIFS('сентябрь 2023'!$G$4:$G$1053,'сентябрь 2023'!$D$4:$D$1053,$B174,'сентябрь 2023'!$J$4:$J$1053,H$1)</f>
        <v>0</v>
      </c>
      <c r="I174" s="207">
        <f>SUMIFS('сентябрь 2023'!$G$4:$G$1053,'сентябрь 2023'!$D$4:$D$1053,$B174,'сентябрь 2023'!$J$4:$J$1053,I$1)</f>
        <v>0</v>
      </c>
      <c r="J174" s="207">
        <f>SUMIFS('сентябрь 2023'!$G$4:$G$1053,'сентябрь 2023'!$D$4:$D$1053,$B174,'сентябрь 2023'!$J$4:$J$1053,J$1)</f>
        <v>0</v>
      </c>
      <c r="K174" s="207">
        <f>SUMIFS('сентябрь 2023'!$G$4:$G$1053,'сентябрь 2023'!$D$4:$D$1053,$B174,'сентябрь 2023'!$J$4:$J$1053,K$1)</f>
        <v>0</v>
      </c>
      <c r="L174" s="207">
        <f>SUMIFS('сентябрь 2023'!$G$4:$G$1053,'сентябрь 2023'!$D$4:$D$1053,$B174,'сентябрь 2023'!$J$4:$J$1053,L$1)</f>
        <v>0</v>
      </c>
      <c r="M174" s="207">
        <f>SUMIFS('сентябрь 2023'!$G$4:$G$1053,'сентябрь 2023'!$D$4:$D$1053,$B174,'сентябрь 2023'!$J$4:$J$1053,M$1)</f>
        <v>0</v>
      </c>
      <c r="N174" s="207">
        <f>SUMIFS('сентябрь 2023'!$G$4:$G$1053,'сентябрь 2023'!$D$4:$D$1053,$B174,'сентябрь 2023'!$J$4:$J$1053,N$1)</f>
        <v>0</v>
      </c>
      <c r="O174" s="207">
        <f>SUMIFS('сентябрь 2023'!$G$4:$G$1053,'сентябрь 2023'!$D$4:$D$1053,$B174,'сентябрь 2023'!$J$4:$J$1053,O$1)</f>
        <v>0</v>
      </c>
      <c r="P174" s="207">
        <f>SUMIFS('сентябрь 2023'!$G$4:$G$1053,'сентябрь 2023'!$D$4:$D$1053,$B174,'сентябрь 2023'!$J$4:$J$1053,P$1)</f>
        <v>0</v>
      </c>
      <c r="Q174" s="207">
        <f>SUMIFS('сентябрь 2023'!$G$4:$G$1053,'сентябрь 2023'!$D$4:$D$1053,$B174,'сентябрь 2023'!$J$4:$J$1053,Q$1)</f>
        <v>0</v>
      </c>
      <c r="R174" s="207">
        <f>SUMIFS('сентябрь 2023'!$G$4:$G$1053,'сентябрь 2023'!$D$4:$D$1053,$B174,'сентябрь 2023'!$J$4:$J$1053,R$1)</f>
        <v>0</v>
      </c>
      <c r="S174" s="207">
        <f>SUMIFS('сентябрь 2023'!$G$4:$G$1053,'сентябрь 2023'!$D$4:$D$1053,$B174,'сентябрь 2023'!$J$4:$J$1053,S$1)</f>
        <v>0</v>
      </c>
      <c r="T174" s="207">
        <f>SUMIFS('сентябрь 2023'!$G$4:$G$1053,'сентябрь 2023'!$D$4:$D$1053,$B174,'сентябрь 2023'!$J$4:$J$1053,T$1)</f>
        <v>0</v>
      </c>
      <c r="U174" s="207">
        <f>SUMIFS('сентябрь 2023'!$G$4:$G$1053,'сентябрь 2023'!$D$4:$D$1053,$B174,'сентябрь 2023'!$J$4:$J$1053,U$1)</f>
        <v>0</v>
      </c>
      <c r="V174" s="207">
        <f>SUMIFS('сентябрь 2023'!$G$4:$G$1053,'сентябрь 2023'!$D$4:$D$1053,$B174,'сентябрь 2023'!$J$4:$J$1053,V$1)</f>
        <v>0</v>
      </c>
      <c r="W174" s="207">
        <f>SUMIFS('сентябрь 2023'!$G$4:$G$1053,'сентябрь 2023'!$D$4:$D$1053,$B174,'сентябрь 2023'!$J$4:$J$1053,W$1)</f>
        <v>0</v>
      </c>
      <c r="X174" s="207">
        <f>SUMIFS('сентябрь 2023'!$G$4:$G$1053,'сентябрь 2023'!$D$4:$D$1053,$B174,'сентябрь 2023'!$J$4:$J$1053,X$1)</f>
        <v>0</v>
      </c>
      <c r="Y174" s="207">
        <f>SUMIFS('сентябрь 2023'!$G$4:$G$1053,'сентябрь 2023'!$D$4:$D$1053,$B174,'сентябрь 2023'!$J$4:$J$1053,Y$1)</f>
        <v>0</v>
      </c>
      <c r="Z174" s="207">
        <f>SUMIFS('сентябрь 2023'!$G$4:$G$1053,'сентябрь 2023'!$D$4:$D$1053,$B174,'сентябрь 2023'!$J$4:$J$1053,Z$1)</f>
        <v>0</v>
      </c>
      <c r="AA174" s="207">
        <f>SUMIFS('сентябрь 2023'!$G$4:$G$1053,'сентябрь 2023'!$D$4:$D$1053,$B174,'сентябрь 2023'!$J$4:$J$1053,AA$1)</f>
        <v>0</v>
      </c>
      <c r="AB174" s="207">
        <f>SUMIFS('сентябрь 2023'!$G$4:$G$1053,'сентябрь 2023'!$D$4:$D$1053,$B174,'сентябрь 2023'!$J$4:$J$1053,AB$1)</f>
        <v>0</v>
      </c>
      <c r="AC174" s="207">
        <f>SUMIFS('сентябрь 2023'!$G$4:$G$1053,'сентябрь 2023'!$D$4:$D$1053,$B174,'сентябрь 2023'!$J$4:$J$1053,AC$1)</f>
        <v>0</v>
      </c>
      <c r="AD174" s="207">
        <f>SUMIFS('сентябрь 2023'!$G$4:$G$1053,'сентябрь 2023'!$D$4:$D$1053,$B174,'сентябрь 2023'!$J$4:$J$1053,AD$1)</f>
        <v>0</v>
      </c>
      <c r="AE174" s="207">
        <f>SUMIFS('сентябрь 2023'!$G$4:$G$1053,'сентябрь 2023'!$D$4:$D$1053,$B174,'сентябрь 2023'!$J$4:$J$1053,AE$1)</f>
        <v>0</v>
      </c>
      <c r="AF174" s="207">
        <f>SUMIFS('сентябрь 2023'!$G$4:$G$1053,'сентябрь 2023'!$D$4:$D$1053,$B174,'сентябрь 2023'!$J$4:$J$1053,AF$1)</f>
        <v>0</v>
      </c>
      <c r="AG174" s="207">
        <f>SUMIFS('сентябрь 2023'!$G$4:$G$1053,'сентябрь 2023'!$D$4:$D$1053,$B174,'сентябрь 2023'!$J$4:$J$1053,AG$1)</f>
        <v>0</v>
      </c>
      <c r="AH174" s="207">
        <f>SUMIFS('сентябрь 2023'!$G$4:$G$1053,'сентябрь 2023'!$D$4:$D$1053,$B174,'сентябрь 2023'!$J$4:$J$1053,AH$1)</f>
        <v>0</v>
      </c>
      <c r="AI174" s="220">
        <f t="shared" si="5"/>
        <v>0</v>
      </c>
    </row>
    <row r="175" spans="2:35" ht="15.75" hidden="1" x14ac:dyDescent="0.25">
      <c r="B175" s="212"/>
      <c r="C175" s="211"/>
      <c r="D175" s="207">
        <f>SUMIFS('сентябрь 2023'!$G$4:$G$1053,'сентябрь 2023'!$D$4:$D$1053,$B175,'сентябрь 2023'!$J$4:$J$1053,D$1)</f>
        <v>0</v>
      </c>
      <c r="E175" s="207">
        <f>SUMIFS('сентябрь 2023'!$G$4:$G$1053,'сентябрь 2023'!$D$4:$D$1053,$B175,'сентябрь 2023'!$J$4:$J$1053,E$1)</f>
        <v>0</v>
      </c>
      <c r="F175" s="207">
        <f>SUMIFS('сентябрь 2023'!$G$4:$G$1053,'сентябрь 2023'!$D$4:$D$1053,$B175,'сентябрь 2023'!$J$4:$J$1053,F$1)</f>
        <v>0</v>
      </c>
      <c r="G175" s="207">
        <f>SUMIFS('сентябрь 2023'!$G$4:$G$1053,'сентябрь 2023'!$D$4:$D$1053,$B175,'сентябрь 2023'!$J$4:$J$1053,G$1)</f>
        <v>0</v>
      </c>
      <c r="H175" s="207">
        <f>SUMIFS('сентябрь 2023'!$G$4:$G$1053,'сентябрь 2023'!$D$4:$D$1053,$B175,'сентябрь 2023'!$J$4:$J$1053,H$1)</f>
        <v>0</v>
      </c>
      <c r="I175" s="207">
        <f>SUMIFS('сентябрь 2023'!$G$4:$G$1053,'сентябрь 2023'!$D$4:$D$1053,$B175,'сентябрь 2023'!$J$4:$J$1053,I$1)</f>
        <v>0</v>
      </c>
      <c r="J175" s="207">
        <f>SUMIFS('сентябрь 2023'!$G$4:$G$1053,'сентябрь 2023'!$D$4:$D$1053,$B175,'сентябрь 2023'!$J$4:$J$1053,J$1)</f>
        <v>0</v>
      </c>
      <c r="K175" s="207">
        <f>SUMIFS('сентябрь 2023'!$G$4:$G$1053,'сентябрь 2023'!$D$4:$D$1053,$B175,'сентябрь 2023'!$J$4:$J$1053,K$1)</f>
        <v>0</v>
      </c>
      <c r="L175" s="207">
        <f>SUMIFS('сентябрь 2023'!$G$4:$G$1053,'сентябрь 2023'!$D$4:$D$1053,$B175,'сентябрь 2023'!$J$4:$J$1053,L$1)</f>
        <v>0</v>
      </c>
      <c r="M175" s="207">
        <f>SUMIFS('сентябрь 2023'!$G$4:$G$1053,'сентябрь 2023'!$D$4:$D$1053,$B175,'сентябрь 2023'!$J$4:$J$1053,M$1)</f>
        <v>0</v>
      </c>
      <c r="N175" s="207">
        <f>SUMIFS('сентябрь 2023'!$G$4:$G$1053,'сентябрь 2023'!$D$4:$D$1053,$B175,'сентябрь 2023'!$J$4:$J$1053,N$1)</f>
        <v>0</v>
      </c>
      <c r="O175" s="207">
        <f>SUMIFS('сентябрь 2023'!$G$4:$G$1053,'сентябрь 2023'!$D$4:$D$1053,$B175,'сентябрь 2023'!$J$4:$J$1053,O$1)</f>
        <v>0</v>
      </c>
      <c r="P175" s="207">
        <f>SUMIFS('сентябрь 2023'!$G$4:$G$1053,'сентябрь 2023'!$D$4:$D$1053,$B175,'сентябрь 2023'!$J$4:$J$1053,P$1)</f>
        <v>0</v>
      </c>
      <c r="Q175" s="207">
        <f>SUMIFS('сентябрь 2023'!$G$4:$G$1053,'сентябрь 2023'!$D$4:$D$1053,$B175,'сентябрь 2023'!$J$4:$J$1053,Q$1)</f>
        <v>0</v>
      </c>
      <c r="R175" s="207">
        <f>SUMIFS('сентябрь 2023'!$G$4:$G$1053,'сентябрь 2023'!$D$4:$D$1053,$B175,'сентябрь 2023'!$J$4:$J$1053,R$1)</f>
        <v>0</v>
      </c>
      <c r="S175" s="207">
        <f>SUMIFS('сентябрь 2023'!$G$4:$G$1053,'сентябрь 2023'!$D$4:$D$1053,$B175,'сентябрь 2023'!$J$4:$J$1053,S$1)</f>
        <v>0</v>
      </c>
      <c r="T175" s="207">
        <f>SUMIFS('сентябрь 2023'!$G$4:$G$1053,'сентябрь 2023'!$D$4:$D$1053,$B175,'сентябрь 2023'!$J$4:$J$1053,T$1)</f>
        <v>0</v>
      </c>
      <c r="U175" s="207">
        <f>SUMIFS('сентябрь 2023'!$G$4:$G$1053,'сентябрь 2023'!$D$4:$D$1053,$B175,'сентябрь 2023'!$J$4:$J$1053,U$1)</f>
        <v>0</v>
      </c>
      <c r="V175" s="207">
        <f>SUMIFS('сентябрь 2023'!$G$4:$G$1053,'сентябрь 2023'!$D$4:$D$1053,$B175,'сентябрь 2023'!$J$4:$J$1053,V$1)</f>
        <v>0</v>
      </c>
      <c r="W175" s="207">
        <f>SUMIFS('сентябрь 2023'!$G$4:$G$1053,'сентябрь 2023'!$D$4:$D$1053,$B175,'сентябрь 2023'!$J$4:$J$1053,W$1)</f>
        <v>0</v>
      </c>
      <c r="X175" s="207">
        <f>SUMIFS('сентябрь 2023'!$G$4:$G$1053,'сентябрь 2023'!$D$4:$D$1053,$B175,'сентябрь 2023'!$J$4:$J$1053,X$1)</f>
        <v>0</v>
      </c>
      <c r="Y175" s="207">
        <f>SUMIFS('сентябрь 2023'!$G$4:$G$1053,'сентябрь 2023'!$D$4:$D$1053,$B175,'сентябрь 2023'!$J$4:$J$1053,Y$1)</f>
        <v>0</v>
      </c>
      <c r="Z175" s="207">
        <f>SUMIFS('сентябрь 2023'!$G$4:$G$1053,'сентябрь 2023'!$D$4:$D$1053,$B175,'сентябрь 2023'!$J$4:$J$1053,Z$1)</f>
        <v>0</v>
      </c>
      <c r="AA175" s="207">
        <f>SUMIFS('сентябрь 2023'!$G$4:$G$1053,'сентябрь 2023'!$D$4:$D$1053,$B175,'сентябрь 2023'!$J$4:$J$1053,AA$1)</f>
        <v>0</v>
      </c>
      <c r="AB175" s="207">
        <f>SUMIFS('сентябрь 2023'!$G$4:$G$1053,'сентябрь 2023'!$D$4:$D$1053,$B175,'сентябрь 2023'!$J$4:$J$1053,AB$1)</f>
        <v>0</v>
      </c>
      <c r="AC175" s="207">
        <f>SUMIFS('сентябрь 2023'!$G$4:$G$1053,'сентябрь 2023'!$D$4:$D$1053,$B175,'сентябрь 2023'!$J$4:$J$1053,AC$1)</f>
        <v>0</v>
      </c>
      <c r="AD175" s="207">
        <f>SUMIFS('сентябрь 2023'!$G$4:$G$1053,'сентябрь 2023'!$D$4:$D$1053,$B175,'сентябрь 2023'!$J$4:$J$1053,AD$1)</f>
        <v>0</v>
      </c>
      <c r="AE175" s="207">
        <f>SUMIFS('сентябрь 2023'!$G$4:$G$1053,'сентябрь 2023'!$D$4:$D$1053,$B175,'сентябрь 2023'!$J$4:$J$1053,AE$1)</f>
        <v>0</v>
      </c>
      <c r="AF175" s="207">
        <f>SUMIFS('сентябрь 2023'!$G$4:$G$1053,'сентябрь 2023'!$D$4:$D$1053,$B175,'сентябрь 2023'!$J$4:$J$1053,AF$1)</f>
        <v>0</v>
      </c>
      <c r="AG175" s="207">
        <f>SUMIFS('сентябрь 2023'!$G$4:$G$1053,'сентябрь 2023'!$D$4:$D$1053,$B175,'сентябрь 2023'!$J$4:$J$1053,AG$1)</f>
        <v>0</v>
      </c>
      <c r="AH175" s="207">
        <f>SUMIFS('сентябрь 2023'!$G$4:$G$1053,'сентябрь 2023'!$D$4:$D$1053,$B175,'сентябрь 2023'!$J$4:$J$1053,AH$1)</f>
        <v>0</v>
      </c>
      <c r="AI175" s="220">
        <f t="shared" si="5"/>
        <v>0</v>
      </c>
    </row>
    <row r="176" spans="2:35" ht="15.75" hidden="1" x14ac:dyDescent="0.25">
      <c r="B176" s="212"/>
      <c r="C176" s="211"/>
      <c r="D176" s="207">
        <f>SUMIFS('сентябрь 2023'!$G$4:$G$1053,'сентябрь 2023'!$D$4:$D$1053,$B176,'сентябрь 2023'!$J$4:$J$1053,D$1)</f>
        <v>0</v>
      </c>
      <c r="E176" s="207">
        <f>SUMIFS('сентябрь 2023'!$G$4:$G$1053,'сентябрь 2023'!$D$4:$D$1053,$B176,'сентябрь 2023'!$J$4:$J$1053,E$1)</f>
        <v>0</v>
      </c>
      <c r="F176" s="207">
        <f>SUMIFS('сентябрь 2023'!$G$4:$G$1053,'сентябрь 2023'!$D$4:$D$1053,$B176,'сентябрь 2023'!$J$4:$J$1053,F$1)</f>
        <v>0</v>
      </c>
      <c r="G176" s="207">
        <f>SUMIFS('сентябрь 2023'!$G$4:$G$1053,'сентябрь 2023'!$D$4:$D$1053,$B176,'сентябрь 2023'!$J$4:$J$1053,G$1)</f>
        <v>0</v>
      </c>
      <c r="H176" s="207">
        <f>SUMIFS('сентябрь 2023'!$G$4:$G$1053,'сентябрь 2023'!$D$4:$D$1053,$B176,'сентябрь 2023'!$J$4:$J$1053,H$1)</f>
        <v>0</v>
      </c>
      <c r="I176" s="207">
        <f>SUMIFS('сентябрь 2023'!$G$4:$G$1053,'сентябрь 2023'!$D$4:$D$1053,$B176,'сентябрь 2023'!$J$4:$J$1053,I$1)</f>
        <v>0</v>
      </c>
      <c r="J176" s="207">
        <f>SUMIFS('сентябрь 2023'!$G$4:$G$1053,'сентябрь 2023'!$D$4:$D$1053,$B176,'сентябрь 2023'!$J$4:$J$1053,J$1)</f>
        <v>0</v>
      </c>
      <c r="K176" s="207">
        <f>SUMIFS('сентябрь 2023'!$G$4:$G$1053,'сентябрь 2023'!$D$4:$D$1053,$B176,'сентябрь 2023'!$J$4:$J$1053,K$1)</f>
        <v>0</v>
      </c>
      <c r="L176" s="207">
        <f>SUMIFS('сентябрь 2023'!$G$4:$G$1053,'сентябрь 2023'!$D$4:$D$1053,$B176,'сентябрь 2023'!$J$4:$J$1053,L$1)</f>
        <v>0</v>
      </c>
      <c r="M176" s="207">
        <f>SUMIFS('сентябрь 2023'!$G$4:$G$1053,'сентябрь 2023'!$D$4:$D$1053,$B176,'сентябрь 2023'!$J$4:$J$1053,M$1)</f>
        <v>0</v>
      </c>
      <c r="N176" s="207">
        <f>SUMIFS('сентябрь 2023'!$G$4:$G$1053,'сентябрь 2023'!$D$4:$D$1053,$B176,'сентябрь 2023'!$J$4:$J$1053,N$1)</f>
        <v>0</v>
      </c>
      <c r="O176" s="207">
        <f>SUMIFS('сентябрь 2023'!$G$4:$G$1053,'сентябрь 2023'!$D$4:$D$1053,$B176,'сентябрь 2023'!$J$4:$J$1053,O$1)</f>
        <v>0</v>
      </c>
      <c r="P176" s="207">
        <f>SUMIFS('сентябрь 2023'!$G$4:$G$1053,'сентябрь 2023'!$D$4:$D$1053,$B176,'сентябрь 2023'!$J$4:$J$1053,P$1)</f>
        <v>0</v>
      </c>
      <c r="Q176" s="207">
        <f>SUMIFS('сентябрь 2023'!$G$4:$G$1053,'сентябрь 2023'!$D$4:$D$1053,$B176,'сентябрь 2023'!$J$4:$J$1053,Q$1)</f>
        <v>0</v>
      </c>
      <c r="R176" s="207">
        <f>SUMIFS('сентябрь 2023'!$G$4:$G$1053,'сентябрь 2023'!$D$4:$D$1053,$B176,'сентябрь 2023'!$J$4:$J$1053,R$1)</f>
        <v>0</v>
      </c>
      <c r="S176" s="207">
        <f>SUMIFS('сентябрь 2023'!$G$4:$G$1053,'сентябрь 2023'!$D$4:$D$1053,$B176,'сентябрь 2023'!$J$4:$J$1053,S$1)</f>
        <v>0</v>
      </c>
      <c r="T176" s="207">
        <f>SUMIFS('сентябрь 2023'!$G$4:$G$1053,'сентябрь 2023'!$D$4:$D$1053,$B176,'сентябрь 2023'!$J$4:$J$1053,T$1)</f>
        <v>0</v>
      </c>
      <c r="U176" s="207">
        <f>SUMIFS('сентябрь 2023'!$G$4:$G$1053,'сентябрь 2023'!$D$4:$D$1053,$B176,'сентябрь 2023'!$J$4:$J$1053,U$1)</f>
        <v>0</v>
      </c>
      <c r="V176" s="207">
        <f>SUMIFS('сентябрь 2023'!$G$4:$G$1053,'сентябрь 2023'!$D$4:$D$1053,$B176,'сентябрь 2023'!$J$4:$J$1053,V$1)</f>
        <v>0</v>
      </c>
      <c r="W176" s="207">
        <f>SUMIFS('сентябрь 2023'!$G$4:$G$1053,'сентябрь 2023'!$D$4:$D$1053,$B176,'сентябрь 2023'!$J$4:$J$1053,W$1)</f>
        <v>0</v>
      </c>
      <c r="X176" s="207">
        <f>SUMIFS('сентябрь 2023'!$G$4:$G$1053,'сентябрь 2023'!$D$4:$D$1053,$B176,'сентябрь 2023'!$J$4:$J$1053,X$1)</f>
        <v>0</v>
      </c>
      <c r="Y176" s="207">
        <f>SUMIFS('сентябрь 2023'!$G$4:$G$1053,'сентябрь 2023'!$D$4:$D$1053,$B176,'сентябрь 2023'!$J$4:$J$1053,Y$1)</f>
        <v>0</v>
      </c>
      <c r="Z176" s="207">
        <f>SUMIFS('сентябрь 2023'!$G$4:$G$1053,'сентябрь 2023'!$D$4:$D$1053,$B176,'сентябрь 2023'!$J$4:$J$1053,Z$1)</f>
        <v>0</v>
      </c>
      <c r="AA176" s="207">
        <f>SUMIFS('сентябрь 2023'!$G$4:$G$1053,'сентябрь 2023'!$D$4:$D$1053,$B176,'сентябрь 2023'!$J$4:$J$1053,AA$1)</f>
        <v>0</v>
      </c>
      <c r="AB176" s="207">
        <f>SUMIFS('сентябрь 2023'!$G$4:$G$1053,'сентябрь 2023'!$D$4:$D$1053,$B176,'сентябрь 2023'!$J$4:$J$1053,AB$1)</f>
        <v>0</v>
      </c>
      <c r="AC176" s="207">
        <f>SUMIFS('сентябрь 2023'!$G$4:$G$1053,'сентябрь 2023'!$D$4:$D$1053,$B176,'сентябрь 2023'!$J$4:$J$1053,AC$1)</f>
        <v>0</v>
      </c>
      <c r="AD176" s="207">
        <f>SUMIFS('сентябрь 2023'!$G$4:$G$1053,'сентябрь 2023'!$D$4:$D$1053,$B176,'сентябрь 2023'!$J$4:$J$1053,AD$1)</f>
        <v>0</v>
      </c>
      <c r="AE176" s="207">
        <f>SUMIFS('сентябрь 2023'!$G$4:$G$1053,'сентябрь 2023'!$D$4:$D$1053,$B176,'сентябрь 2023'!$J$4:$J$1053,AE$1)</f>
        <v>0</v>
      </c>
      <c r="AF176" s="207">
        <f>SUMIFS('сентябрь 2023'!$G$4:$G$1053,'сентябрь 2023'!$D$4:$D$1053,$B176,'сентябрь 2023'!$J$4:$J$1053,AF$1)</f>
        <v>0</v>
      </c>
      <c r="AG176" s="207">
        <f>SUMIFS('сентябрь 2023'!$G$4:$G$1053,'сентябрь 2023'!$D$4:$D$1053,$B176,'сентябрь 2023'!$J$4:$J$1053,AG$1)</f>
        <v>0</v>
      </c>
      <c r="AH176" s="207">
        <f>SUMIFS('сентябрь 2023'!$G$4:$G$1053,'сентябрь 2023'!$D$4:$D$1053,$B176,'сентябрь 2023'!$J$4:$J$1053,AH$1)</f>
        <v>0</v>
      </c>
      <c r="AI176" s="220">
        <f t="shared" si="5"/>
        <v>0</v>
      </c>
    </row>
    <row r="177" spans="2:35" ht="15.75" hidden="1" x14ac:dyDescent="0.25">
      <c r="B177" s="212"/>
      <c r="C177" s="211"/>
      <c r="D177" s="207">
        <f>SUMIFS('сентябрь 2023'!$G$4:$G$1053,'сентябрь 2023'!$D$4:$D$1053,$B177,'сентябрь 2023'!$J$4:$J$1053,D$1)</f>
        <v>0</v>
      </c>
      <c r="E177" s="207">
        <f>SUMIFS('сентябрь 2023'!$G$4:$G$1053,'сентябрь 2023'!$D$4:$D$1053,$B177,'сентябрь 2023'!$J$4:$J$1053,E$1)</f>
        <v>0</v>
      </c>
      <c r="F177" s="207">
        <f>SUMIFS('сентябрь 2023'!$G$4:$G$1053,'сентябрь 2023'!$D$4:$D$1053,$B177,'сентябрь 2023'!$J$4:$J$1053,F$1)</f>
        <v>0</v>
      </c>
      <c r="G177" s="207">
        <f>SUMIFS('сентябрь 2023'!$G$4:$G$1053,'сентябрь 2023'!$D$4:$D$1053,$B177,'сентябрь 2023'!$J$4:$J$1053,G$1)</f>
        <v>0</v>
      </c>
      <c r="H177" s="207">
        <f>SUMIFS('сентябрь 2023'!$G$4:$G$1053,'сентябрь 2023'!$D$4:$D$1053,$B177,'сентябрь 2023'!$J$4:$J$1053,H$1)</f>
        <v>0</v>
      </c>
      <c r="I177" s="207">
        <f>SUMIFS('сентябрь 2023'!$G$4:$G$1053,'сентябрь 2023'!$D$4:$D$1053,$B177,'сентябрь 2023'!$J$4:$J$1053,I$1)</f>
        <v>0</v>
      </c>
      <c r="J177" s="207">
        <f>SUMIFS('сентябрь 2023'!$G$4:$G$1053,'сентябрь 2023'!$D$4:$D$1053,$B177,'сентябрь 2023'!$J$4:$J$1053,J$1)</f>
        <v>0</v>
      </c>
      <c r="K177" s="207">
        <f>SUMIFS('сентябрь 2023'!$G$4:$G$1053,'сентябрь 2023'!$D$4:$D$1053,$B177,'сентябрь 2023'!$J$4:$J$1053,K$1)</f>
        <v>0</v>
      </c>
      <c r="L177" s="207">
        <f>SUMIFS('сентябрь 2023'!$G$4:$G$1053,'сентябрь 2023'!$D$4:$D$1053,$B177,'сентябрь 2023'!$J$4:$J$1053,L$1)</f>
        <v>0</v>
      </c>
      <c r="M177" s="207">
        <f>SUMIFS('сентябрь 2023'!$G$4:$G$1053,'сентябрь 2023'!$D$4:$D$1053,$B177,'сентябрь 2023'!$J$4:$J$1053,M$1)</f>
        <v>0</v>
      </c>
      <c r="N177" s="207">
        <f>SUMIFS('сентябрь 2023'!$G$4:$G$1053,'сентябрь 2023'!$D$4:$D$1053,$B177,'сентябрь 2023'!$J$4:$J$1053,N$1)</f>
        <v>0</v>
      </c>
      <c r="O177" s="207">
        <f>SUMIFS('сентябрь 2023'!$G$4:$G$1053,'сентябрь 2023'!$D$4:$D$1053,$B177,'сентябрь 2023'!$J$4:$J$1053,O$1)</f>
        <v>0</v>
      </c>
      <c r="P177" s="207">
        <f>SUMIFS('сентябрь 2023'!$G$4:$G$1053,'сентябрь 2023'!$D$4:$D$1053,$B177,'сентябрь 2023'!$J$4:$J$1053,P$1)</f>
        <v>0</v>
      </c>
      <c r="Q177" s="207">
        <f>SUMIFS('сентябрь 2023'!$G$4:$G$1053,'сентябрь 2023'!$D$4:$D$1053,$B177,'сентябрь 2023'!$J$4:$J$1053,Q$1)</f>
        <v>0</v>
      </c>
      <c r="R177" s="207">
        <f>SUMIFS('сентябрь 2023'!$G$4:$G$1053,'сентябрь 2023'!$D$4:$D$1053,$B177,'сентябрь 2023'!$J$4:$J$1053,R$1)</f>
        <v>0</v>
      </c>
      <c r="S177" s="207">
        <f>SUMIFS('сентябрь 2023'!$G$4:$G$1053,'сентябрь 2023'!$D$4:$D$1053,$B177,'сентябрь 2023'!$J$4:$J$1053,S$1)</f>
        <v>0</v>
      </c>
      <c r="T177" s="207">
        <f>SUMIFS('сентябрь 2023'!$G$4:$G$1053,'сентябрь 2023'!$D$4:$D$1053,$B177,'сентябрь 2023'!$J$4:$J$1053,T$1)</f>
        <v>0</v>
      </c>
      <c r="U177" s="207">
        <f>SUMIFS('сентябрь 2023'!$G$4:$G$1053,'сентябрь 2023'!$D$4:$D$1053,$B177,'сентябрь 2023'!$J$4:$J$1053,U$1)</f>
        <v>0</v>
      </c>
      <c r="V177" s="207">
        <f>SUMIFS('сентябрь 2023'!$G$4:$G$1053,'сентябрь 2023'!$D$4:$D$1053,$B177,'сентябрь 2023'!$J$4:$J$1053,V$1)</f>
        <v>0</v>
      </c>
      <c r="W177" s="207">
        <f>SUMIFS('сентябрь 2023'!$G$4:$G$1053,'сентябрь 2023'!$D$4:$D$1053,$B177,'сентябрь 2023'!$J$4:$J$1053,W$1)</f>
        <v>0</v>
      </c>
      <c r="X177" s="207">
        <f>SUMIFS('сентябрь 2023'!$G$4:$G$1053,'сентябрь 2023'!$D$4:$D$1053,$B177,'сентябрь 2023'!$J$4:$J$1053,X$1)</f>
        <v>0</v>
      </c>
      <c r="Y177" s="207">
        <f>SUMIFS('сентябрь 2023'!$G$4:$G$1053,'сентябрь 2023'!$D$4:$D$1053,$B177,'сентябрь 2023'!$J$4:$J$1053,Y$1)</f>
        <v>0</v>
      </c>
      <c r="Z177" s="207">
        <f>SUMIFS('сентябрь 2023'!$G$4:$G$1053,'сентябрь 2023'!$D$4:$D$1053,$B177,'сентябрь 2023'!$J$4:$J$1053,Z$1)</f>
        <v>0</v>
      </c>
      <c r="AA177" s="207">
        <f>SUMIFS('сентябрь 2023'!$G$4:$G$1053,'сентябрь 2023'!$D$4:$D$1053,$B177,'сентябрь 2023'!$J$4:$J$1053,AA$1)</f>
        <v>0</v>
      </c>
      <c r="AB177" s="207">
        <f>SUMIFS('сентябрь 2023'!$G$4:$G$1053,'сентябрь 2023'!$D$4:$D$1053,$B177,'сентябрь 2023'!$J$4:$J$1053,AB$1)</f>
        <v>0</v>
      </c>
      <c r="AC177" s="207">
        <f>SUMIFS('сентябрь 2023'!$G$4:$G$1053,'сентябрь 2023'!$D$4:$D$1053,$B177,'сентябрь 2023'!$J$4:$J$1053,AC$1)</f>
        <v>0</v>
      </c>
      <c r="AD177" s="207">
        <f>SUMIFS('сентябрь 2023'!$G$4:$G$1053,'сентябрь 2023'!$D$4:$D$1053,$B177,'сентябрь 2023'!$J$4:$J$1053,AD$1)</f>
        <v>0</v>
      </c>
      <c r="AE177" s="207">
        <f>SUMIFS('сентябрь 2023'!$G$4:$G$1053,'сентябрь 2023'!$D$4:$D$1053,$B177,'сентябрь 2023'!$J$4:$J$1053,AE$1)</f>
        <v>0</v>
      </c>
      <c r="AF177" s="207">
        <f>SUMIFS('сентябрь 2023'!$G$4:$G$1053,'сентябрь 2023'!$D$4:$D$1053,$B177,'сентябрь 2023'!$J$4:$J$1053,AF$1)</f>
        <v>0</v>
      </c>
      <c r="AG177" s="207">
        <f>SUMIFS('сентябрь 2023'!$G$4:$G$1053,'сентябрь 2023'!$D$4:$D$1053,$B177,'сентябрь 2023'!$J$4:$J$1053,AG$1)</f>
        <v>0</v>
      </c>
      <c r="AH177" s="207">
        <f>SUMIFS('сентябрь 2023'!$G$4:$G$1053,'сентябрь 2023'!$D$4:$D$1053,$B177,'сентябрь 2023'!$J$4:$J$1053,AH$1)</f>
        <v>0</v>
      </c>
      <c r="AI177" s="220">
        <f t="shared" si="5"/>
        <v>0</v>
      </c>
    </row>
    <row r="178" spans="2:35" ht="15.75" hidden="1" x14ac:dyDescent="0.25">
      <c r="B178" s="212"/>
      <c r="C178" s="211"/>
      <c r="D178" s="207">
        <f>SUMIFS('сентябрь 2023'!$G$4:$G$1053,'сентябрь 2023'!$D$4:$D$1053,$B178,'сентябрь 2023'!$J$4:$J$1053,D$1)</f>
        <v>0</v>
      </c>
      <c r="E178" s="207">
        <f>SUMIFS('сентябрь 2023'!$G$4:$G$1053,'сентябрь 2023'!$D$4:$D$1053,$B178,'сентябрь 2023'!$J$4:$J$1053,E$1)</f>
        <v>0</v>
      </c>
      <c r="F178" s="207">
        <f>SUMIFS('сентябрь 2023'!$G$4:$G$1053,'сентябрь 2023'!$D$4:$D$1053,$B178,'сентябрь 2023'!$J$4:$J$1053,F$1)</f>
        <v>0</v>
      </c>
      <c r="G178" s="207">
        <f>SUMIFS('сентябрь 2023'!$G$4:$G$1053,'сентябрь 2023'!$D$4:$D$1053,$B178,'сентябрь 2023'!$J$4:$J$1053,G$1)</f>
        <v>0</v>
      </c>
      <c r="H178" s="207">
        <f>SUMIFS('сентябрь 2023'!$G$4:$G$1053,'сентябрь 2023'!$D$4:$D$1053,$B178,'сентябрь 2023'!$J$4:$J$1053,H$1)</f>
        <v>0</v>
      </c>
      <c r="I178" s="207">
        <f>SUMIFS('сентябрь 2023'!$G$4:$G$1053,'сентябрь 2023'!$D$4:$D$1053,$B178,'сентябрь 2023'!$J$4:$J$1053,I$1)</f>
        <v>0</v>
      </c>
      <c r="J178" s="207">
        <f>SUMIFS('сентябрь 2023'!$G$4:$G$1053,'сентябрь 2023'!$D$4:$D$1053,$B178,'сентябрь 2023'!$J$4:$J$1053,J$1)</f>
        <v>0</v>
      </c>
      <c r="K178" s="207">
        <f>SUMIFS('сентябрь 2023'!$G$4:$G$1053,'сентябрь 2023'!$D$4:$D$1053,$B178,'сентябрь 2023'!$J$4:$J$1053,K$1)</f>
        <v>0</v>
      </c>
      <c r="L178" s="207">
        <f>SUMIFS('сентябрь 2023'!$G$4:$G$1053,'сентябрь 2023'!$D$4:$D$1053,$B178,'сентябрь 2023'!$J$4:$J$1053,L$1)</f>
        <v>0</v>
      </c>
      <c r="M178" s="207">
        <f>SUMIFS('сентябрь 2023'!$G$4:$G$1053,'сентябрь 2023'!$D$4:$D$1053,$B178,'сентябрь 2023'!$J$4:$J$1053,M$1)</f>
        <v>0</v>
      </c>
      <c r="N178" s="207">
        <f>SUMIFS('сентябрь 2023'!$G$4:$G$1053,'сентябрь 2023'!$D$4:$D$1053,$B178,'сентябрь 2023'!$J$4:$J$1053,N$1)</f>
        <v>0</v>
      </c>
      <c r="O178" s="207">
        <f>SUMIFS('сентябрь 2023'!$G$4:$G$1053,'сентябрь 2023'!$D$4:$D$1053,$B178,'сентябрь 2023'!$J$4:$J$1053,O$1)</f>
        <v>0</v>
      </c>
      <c r="P178" s="207">
        <f>SUMIFS('сентябрь 2023'!$G$4:$G$1053,'сентябрь 2023'!$D$4:$D$1053,$B178,'сентябрь 2023'!$J$4:$J$1053,P$1)</f>
        <v>0</v>
      </c>
      <c r="Q178" s="207">
        <f>SUMIFS('сентябрь 2023'!$G$4:$G$1053,'сентябрь 2023'!$D$4:$D$1053,$B178,'сентябрь 2023'!$J$4:$J$1053,Q$1)</f>
        <v>0</v>
      </c>
      <c r="R178" s="207">
        <f>SUMIFS('сентябрь 2023'!$G$4:$G$1053,'сентябрь 2023'!$D$4:$D$1053,$B178,'сентябрь 2023'!$J$4:$J$1053,R$1)</f>
        <v>0</v>
      </c>
      <c r="S178" s="207">
        <f>SUMIFS('сентябрь 2023'!$G$4:$G$1053,'сентябрь 2023'!$D$4:$D$1053,$B178,'сентябрь 2023'!$J$4:$J$1053,S$1)</f>
        <v>0</v>
      </c>
      <c r="T178" s="207">
        <f>SUMIFS('сентябрь 2023'!$G$4:$G$1053,'сентябрь 2023'!$D$4:$D$1053,$B178,'сентябрь 2023'!$J$4:$J$1053,T$1)</f>
        <v>0</v>
      </c>
      <c r="U178" s="207">
        <f>SUMIFS('сентябрь 2023'!$G$4:$G$1053,'сентябрь 2023'!$D$4:$D$1053,$B178,'сентябрь 2023'!$J$4:$J$1053,U$1)</f>
        <v>0</v>
      </c>
      <c r="V178" s="207">
        <f>SUMIFS('сентябрь 2023'!$G$4:$G$1053,'сентябрь 2023'!$D$4:$D$1053,$B178,'сентябрь 2023'!$J$4:$J$1053,V$1)</f>
        <v>0</v>
      </c>
      <c r="W178" s="207">
        <f>SUMIFS('сентябрь 2023'!$G$4:$G$1053,'сентябрь 2023'!$D$4:$D$1053,$B178,'сентябрь 2023'!$J$4:$J$1053,W$1)</f>
        <v>0</v>
      </c>
      <c r="X178" s="207">
        <f>SUMIFS('сентябрь 2023'!$G$4:$G$1053,'сентябрь 2023'!$D$4:$D$1053,$B178,'сентябрь 2023'!$J$4:$J$1053,X$1)</f>
        <v>0</v>
      </c>
      <c r="Y178" s="207">
        <f>SUMIFS('сентябрь 2023'!$G$4:$G$1053,'сентябрь 2023'!$D$4:$D$1053,$B178,'сентябрь 2023'!$J$4:$J$1053,Y$1)</f>
        <v>0</v>
      </c>
      <c r="Z178" s="207">
        <f>SUMIFS('сентябрь 2023'!$G$4:$G$1053,'сентябрь 2023'!$D$4:$D$1053,$B178,'сентябрь 2023'!$J$4:$J$1053,Z$1)</f>
        <v>0</v>
      </c>
      <c r="AA178" s="207">
        <f>SUMIFS('сентябрь 2023'!$G$4:$G$1053,'сентябрь 2023'!$D$4:$D$1053,$B178,'сентябрь 2023'!$J$4:$J$1053,AA$1)</f>
        <v>0</v>
      </c>
      <c r="AB178" s="207">
        <f>SUMIFS('сентябрь 2023'!$G$4:$G$1053,'сентябрь 2023'!$D$4:$D$1053,$B178,'сентябрь 2023'!$J$4:$J$1053,AB$1)</f>
        <v>0</v>
      </c>
      <c r="AC178" s="207">
        <f>SUMIFS('сентябрь 2023'!$G$4:$G$1053,'сентябрь 2023'!$D$4:$D$1053,$B178,'сентябрь 2023'!$J$4:$J$1053,AC$1)</f>
        <v>0</v>
      </c>
      <c r="AD178" s="207">
        <f>SUMIFS('сентябрь 2023'!$G$4:$G$1053,'сентябрь 2023'!$D$4:$D$1053,$B178,'сентябрь 2023'!$J$4:$J$1053,AD$1)</f>
        <v>0</v>
      </c>
      <c r="AE178" s="207">
        <f>SUMIFS('сентябрь 2023'!$G$4:$G$1053,'сентябрь 2023'!$D$4:$D$1053,$B178,'сентябрь 2023'!$J$4:$J$1053,AE$1)</f>
        <v>0</v>
      </c>
      <c r="AF178" s="207">
        <f>SUMIFS('сентябрь 2023'!$G$4:$G$1053,'сентябрь 2023'!$D$4:$D$1053,$B178,'сентябрь 2023'!$J$4:$J$1053,AF$1)</f>
        <v>0</v>
      </c>
      <c r="AG178" s="207">
        <f>SUMIFS('сентябрь 2023'!$G$4:$G$1053,'сентябрь 2023'!$D$4:$D$1053,$B178,'сентябрь 2023'!$J$4:$J$1053,AG$1)</f>
        <v>0</v>
      </c>
      <c r="AH178" s="207">
        <f>SUMIFS('сентябрь 2023'!$G$4:$G$1053,'сентябрь 2023'!$D$4:$D$1053,$B178,'сентябрь 2023'!$J$4:$J$1053,AH$1)</f>
        <v>0</v>
      </c>
      <c r="AI178" s="220">
        <f t="shared" si="5"/>
        <v>0</v>
      </c>
    </row>
    <row r="179" spans="2:35" ht="15.75" hidden="1" x14ac:dyDescent="0.25">
      <c r="B179" s="212"/>
      <c r="C179" s="211"/>
      <c r="D179" s="207">
        <f>SUMIFS('сентябрь 2023'!$G$4:$G$1053,'сентябрь 2023'!$D$4:$D$1053,$B179,'сентябрь 2023'!$J$4:$J$1053,D$1)</f>
        <v>0</v>
      </c>
      <c r="E179" s="207">
        <f>SUMIFS('сентябрь 2023'!$G$4:$G$1053,'сентябрь 2023'!$D$4:$D$1053,$B179,'сентябрь 2023'!$J$4:$J$1053,E$1)</f>
        <v>0</v>
      </c>
      <c r="F179" s="207">
        <f>SUMIFS('сентябрь 2023'!$G$4:$G$1053,'сентябрь 2023'!$D$4:$D$1053,$B179,'сентябрь 2023'!$J$4:$J$1053,F$1)</f>
        <v>0</v>
      </c>
      <c r="G179" s="207">
        <f>SUMIFS('сентябрь 2023'!$G$4:$G$1053,'сентябрь 2023'!$D$4:$D$1053,$B179,'сентябрь 2023'!$J$4:$J$1053,G$1)</f>
        <v>0</v>
      </c>
      <c r="H179" s="207">
        <f>SUMIFS('сентябрь 2023'!$G$4:$G$1053,'сентябрь 2023'!$D$4:$D$1053,$B179,'сентябрь 2023'!$J$4:$J$1053,H$1)</f>
        <v>0</v>
      </c>
      <c r="I179" s="207">
        <f>SUMIFS('сентябрь 2023'!$G$4:$G$1053,'сентябрь 2023'!$D$4:$D$1053,$B179,'сентябрь 2023'!$J$4:$J$1053,I$1)</f>
        <v>0</v>
      </c>
      <c r="J179" s="207">
        <f>SUMIFS('сентябрь 2023'!$G$4:$G$1053,'сентябрь 2023'!$D$4:$D$1053,$B179,'сентябрь 2023'!$J$4:$J$1053,J$1)</f>
        <v>0</v>
      </c>
      <c r="K179" s="207">
        <f>SUMIFS('сентябрь 2023'!$G$4:$G$1053,'сентябрь 2023'!$D$4:$D$1053,$B179,'сентябрь 2023'!$J$4:$J$1053,K$1)</f>
        <v>0</v>
      </c>
      <c r="L179" s="207">
        <f>SUMIFS('сентябрь 2023'!$G$4:$G$1053,'сентябрь 2023'!$D$4:$D$1053,$B179,'сентябрь 2023'!$J$4:$J$1053,L$1)</f>
        <v>0</v>
      </c>
      <c r="M179" s="207">
        <f>SUMIFS('сентябрь 2023'!$G$4:$G$1053,'сентябрь 2023'!$D$4:$D$1053,$B179,'сентябрь 2023'!$J$4:$J$1053,M$1)</f>
        <v>0</v>
      </c>
      <c r="N179" s="207">
        <f>SUMIFS('сентябрь 2023'!$G$4:$G$1053,'сентябрь 2023'!$D$4:$D$1053,$B179,'сентябрь 2023'!$J$4:$J$1053,N$1)</f>
        <v>0</v>
      </c>
      <c r="O179" s="207">
        <f>SUMIFS('сентябрь 2023'!$G$4:$G$1053,'сентябрь 2023'!$D$4:$D$1053,$B179,'сентябрь 2023'!$J$4:$J$1053,O$1)</f>
        <v>0</v>
      </c>
      <c r="P179" s="207">
        <f>SUMIFS('сентябрь 2023'!$G$4:$G$1053,'сентябрь 2023'!$D$4:$D$1053,$B179,'сентябрь 2023'!$J$4:$J$1053,P$1)</f>
        <v>0</v>
      </c>
      <c r="Q179" s="207">
        <f>SUMIFS('сентябрь 2023'!$G$4:$G$1053,'сентябрь 2023'!$D$4:$D$1053,$B179,'сентябрь 2023'!$J$4:$J$1053,Q$1)</f>
        <v>0</v>
      </c>
      <c r="R179" s="207">
        <f>SUMIFS('сентябрь 2023'!$G$4:$G$1053,'сентябрь 2023'!$D$4:$D$1053,$B179,'сентябрь 2023'!$J$4:$J$1053,R$1)</f>
        <v>0</v>
      </c>
      <c r="S179" s="207">
        <f>SUMIFS('сентябрь 2023'!$G$4:$G$1053,'сентябрь 2023'!$D$4:$D$1053,$B179,'сентябрь 2023'!$J$4:$J$1053,S$1)</f>
        <v>0</v>
      </c>
      <c r="T179" s="207">
        <f>SUMIFS('сентябрь 2023'!$G$4:$G$1053,'сентябрь 2023'!$D$4:$D$1053,$B179,'сентябрь 2023'!$J$4:$J$1053,T$1)</f>
        <v>0</v>
      </c>
      <c r="U179" s="207">
        <f>SUMIFS('сентябрь 2023'!$G$4:$G$1053,'сентябрь 2023'!$D$4:$D$1053,$B179,'сентябрь 2023'!$J$4:$J$1053,U$1)</f>
        <v>0</v>
      </c>
      <c r="V179" s="207">
        <f>SUMIFS('сентябрь 2023'!$G$4:$G$1053,'сентябрь 2023'!$D$4:$D$1053,$B179,'сентябрь 2023'!$J$4:$J$1053,V$1)</f>
        <v>0</v>
      </c>
      <c r="W179" s="207">
        <f>SUMIFS('сентябрь 2023'!$G$4:$G$1053,'сентябрь 2023'!$D$4:$D$1053,$B179,'сентябрь 2023'!$J$4:$J$1053,W$1)</f>
        <v>0</v>
      </c>
      <c r="X179" s="207">
        <f>SUMIFS('сентябрь 2023'!$G$4:$G$1053,'сентябрь 2023'!$D$4:$D$1053,$B179,'сентябрь 2023'!$J$4:$J$1053,X$1)</f>
        <v>0</v>
      </c>
      <c r="Y179" s="207">
        <f>SUMIFS('сентябрь 2023'!$G$4:$G$1053,'сентябрь 2023'!$D$4:$D$1053,$B179,'сентябрь 2023'!$J$4:$J$1053,Y$1)</f>
        <v>0</v>
      </c>
      <c r="Z179" s="207">
        <f>SUMIFS('сентябрь 2023'!$G$4:$G$1053,'сентябрь 2023'!$D$4:$D$1053,$B179,'сентябрь 2023'!$J$4:$J$1053,Z$1)</f>
        <v>0</v>
      </c>
      <c r="AA179" s="207">
        <f>SUMIFS('сентябрь 2023'!$G$4:$G$1053,'сентябрь 2023'!$D$4:$D$1053,$B179,'сентябрь 2023'!$J$4:$J$1053,AA$1)</f>
        <v>0</v>
      </c>
      <c r="AB179" s="207">
        <f>SUMIFS('сентябрь 2023'!$G$4:$G$1053,'сентябрь 2023'!$D$4:$D$1053,$B179,'сентябрь 2023'!$J$4:$J$1053,AB$1)</f>
        <v>0</v>
      </c>
      <c r="AC179" s="207">
        <f>SUMIFS('сентябрь 2023'!$G$4:$G$1053,'сентябрь 2023'!$D$4:$D$1053,$B179,'сентябрь 2023'!$J$4:$J$1053,AC$1)</f>
        <v>0</v>
      </c>
      <c r="AD179" s="207">
        <f>SUMIFS('сентябрь 2023'!$G$4:$G$1053,'сентябрь 2023'!$D$4:$D$1053,$B179,'сентябрь 2023'!$J$4:$J$1053,AD$1)</f>
        <v>0</v>
      </c>
      <c r="AE179" s="207">
        <f>SUMIFS('сентябрь 2023'!$G$4:$G$1053,'сентябрь 2023'!$D$4:$D$1053,$B179,'сентябрь 2023'!$J$4:$J$1053,AE$1)</f>
        <v>0</v>
      </c>
      <c r="AF179" s="207">
        <f>SUMIFS('сентябрь 2023'!$G$4:$G$1053,'сентябрь 2023'!$D$4:$D$1053,$B179,'сентябрь 2023'!$J$4:$J$1053,AF$1)</f>
        <v>0</v>
      </c>
      <c r="AG179" s="207">
        <f>SUMIFS('сентябрь 2023'!$G$4:$G$1053,'сентябрь 2023'!$D$4:$D$1053,$B179,'сентябрь 2023'!$J$4:$J$1053,AG$1)</f>
        <v>0</v>
      </c>
      <c r="AH179" s="207">
        <f>SUMIFS('сентябрь 2023'!$G$4:$G$1053,'сентябрь 2023'!$D$4:$D$1053,$B179,'сентябрь 2023'!$J$4:$J$1053,AH$1)</f>
        <v>0</v>
      </c>
      <c r="AI179" s="220">
        <f t="shared" si="5"/>
        <v>0</v>
      </c>
    </row>
    <row r="180" spans="2:35" ht="15.75" hidden="1" x14ac:dyDescent="0.25">
      <c r="B180" s="212"/>
      <c r="C180" s="211"/>
      <c r="D180" s="207">
        <f>SUMIFS('сентябрь 2023'!$G$4:$G$1053,'сентябрь 2023'!$D$4:$D$1053,$B180,'сентябрь 2023'!$J$4:$J$1053,D$1)</f>
        <v>0</v>
      </c>
      <c r="E180" s="207">
        <f>SUMIFS('сентябрь 2023'!$G$4:$G$1053,'сентябрь 2023'!$D$4:$D$1053,$B180,'сентябрь 2023'!$J$4:$J$1053,E$1)</f>
        <v>0</v>
      </c>
      <c r="F180" s="207">
        <f>SUMIFS('сентябрь 2023'!$G$4:$G$1053,'сентябрь 2023'!$D$4:$D$1053,$B180,'сентябрь 2023'!$J$4:$J$1053,F$1)</f>
        <v>0</v>
      </c>
      <c r="G180" s="207">
        <f>SUMIFS('сентябрь 2023'!$G$4:$G$1053,'сентябрь 2023'!$D$4:$D$1053,$B180,'сентябрь 2023'!$J$4:$J$1053,G$1)</f>
        <v>0</v>
      </c>
      <c r="H180" s="207">
        <f>SUMIFS('сентябрь 2023'!$G$4:$G$1053,'сентябрь 2023'!$D$4:$D$1053,$B180,'сентябрь 2023'!$J$4:$J$1053,H$1)</f>
        <v>0</v>
      </c>
      <c r="I180" s="207">
        <f>SUMIFS('сентябрь 2023'!$G$4:$G$1053,'сентябрь 2023'!$D$4:$D$1053,$B180,'сентябрь 2023'!$J$4:$J$1053,I$1)</f>
        <v>0</v>
      </c>
      <c r="J180" s="207">
        <f>SUMIFS('сентябрь 2023'!$G$4:$G$1053,'сентябрь 2023'!$D$4:$D$1053,$B180,'сентябрь 2023'!$J$4:$J$1053,J$1)</f>
        <v>0</v>
      </c>
      <c r="K180" s="207">
        <f>SUMIFS('сентябрь 2023'!$G$4:$G$1053,'сентябрь 2023'!$D$4:$D$1053,$B180,'сентябрь 2023'!$J$4:$J$1053,K$1)</f>
        <v>0</v>
      </c>
      <c r="L180" s="207">
        <f>SUMIFS('сентябрь 2023'!$G$4:$G$1053,'сентябрь 2023'!$D$4:$D$1053,$B180,'сентябрь 2023'!$J$4:$J$1053,L$1)</f>
        <v>0</v>
      </c>
      <c r="M180" s="207">
        <f>SUMIFS('сентябрь 2023'!$G$4:$G$1053,'сентябрь 2023'!$D$4:$D$1053,$B180,'сентябрь 2023'!$J$4:$J$1053,M$1)</f>
        <v>0</v>
      </c>
      <c r="N180" s="207">
        <f>SUMIFS('сентябрь 2023'!$G$4:$G$1053,'сентябрь 2023'!$D$4:$D$1053,$B180,'сентябрь 2023'!$J$4:$J$1053,N$1)</f>
        <v>0</v>
      </c>
      <c r="O180" s="207">
        <f>SUMIFS('сентябрь 2023'!$G$4:$G$1053,'сентябрь 2023'!$D$4:$D$1053,$B180,'сентябрь 2023'!$J$4:$J$1053,O$1)</f>
        <v>0</v>
      </c>
      <c r="P180" s="207">
        <f>SUMIFS('сентябрь 2023'!$G$4:$G$1053,'сентябрь 2023'!$D$4:$D$1053,$B180,'сентябрь 2023'!$J$4:$J$1053,P$1)</f>
        <v>0</v>
      </c>
      <c r="Q180" s="207">
        <f>SUMIFS('сентябрь 2023'!$G$4:$G$1053,'сентябрь 2023'!$D$4:$D$1053,$B180,'сентябрь 2023'!$J$4:$J$1053,Q$1)</f>
        <v>0</v>
      </c>
      <c r="R180" s="207">
        <f>SUMIFS('сентябрь 2023'!$G$4:$G$1053,'сентябрь 2023'!$D$4:$D$1053,$B180,'сентябрь 2023'!$J$4:$J$1053,R$1)</f>
        <v>0</v>
      </c>
      <c r="S180" s="207">
        <f>SUMIFS('сентябрь 2023'!$G$4:$G$1053,'сентябрь 2023'!$D$4:$D$1053,$B180,'сентябрь 2023'!$J$4:$J$1053,S$1)</f>
        <v>0</v>
      </c>
      <c r="T180" s="207">
        <f>SUMIFS('сентябрь 2023'!$G$4:$G$1053,'сентябрь 2023'!$D$4:$D$1053,$B180,'сентябрь 2023'!$J$4:$J$1053,T$1)</f>
        <v>0</v>
      </c>
      <c r="U180" s="207">
        <f>SUMIFS('сентябрь 2023'!$G$4:$G$1053,'сентябрь 2023'!$D$4:$D$1053,$B180,'сентябрь 2023'!$J$4:$J$1053,U$1)</f>
        <v>0</v>
      </c>
      <c r="V180" s="207">
        <f>SUMIFS('сентябрь 2023'!$G$4:$G$1053,'сентябрь 2023'!$D$4:$D$1053,$B180,'сентябрь 2023'!$J$4:$J$1053,V$1)</f>
        <v>0</v>
      </c>
      <c r="W180" s="207">
        <f>SUMIFS('сентябрь 2023'!$G$4:$G$1053,'сентябрь 2023'!$D$4:$D$1053,$B180,'сентябрь 2023'!$J$4:$J$1053,W$1)</f>
        <v>0</v>
      </c>
      <c r="X180" s="207">
        <f>SUMIFS('сентябрь 2023'!$G$4:$G$1053,'сентябрь 2023'!$D$4:$D$1053,$B180,'сентябрь 2023'!$J$4:$J$1053,X$1)</f>
        <v>0</v>
      </c>
      <c r="Y180" s="207">
        <f>SUMIFS('сентябрь 2023'!$G$4:$G$1053,'сентябрь 2023'!$D$4:$D$1053,$B180,'сентябрь 2023'!$J$4:$J$1053,Y$1)</f>
        <v>0</v>
      </c>
      <c r="Z180" s="207">
        <f>SUMIFS('сентябрь 2023'!$G$4:$G$1053,'сентябрь 2023'!$D$4:$D$1053,$B180,'сентябрь 2023'!$J$4:$J$1053,Z$1)</f>
        <v>0</v>
      </c>
      <c r="AA180" s="207">
        <f>SUMIFS('сентябрь 2023'!$G$4:$G$1053,'сентябрь 2023'!$D$4:$D$1053,$B180,'сентябрь 2023'!$J$4:$J$1053,AA$1)</f>
        <v>0</v>
      </c>
      <c r="AB180" s="207">
        <f>SUMIFS('сентябрь 2023'!$G$4:$G$1053,'сентябрь 2023'!$D$4:$D$1053,$B180,'сентябрь 2023'!$J$4:$J$1053,AB$1)</f>
        <v>0</v>
      </c>
      <c r="AC180" s="207">
        <f>SUMIFS('сентябрь 2023'!$G$4:$G$1053,'сентябрь 2023'!$D$4:$D$1053,$B180,'сентябрь 2023'!$J$4:$J$1053,AC$1)</f>
        <v>0</v>
      </c>
      <c r="AD180" s="207">
        <f>SUMIFS('сентябрь 2023'!$G$4:$G$1053,'сентябрь 2023'!$D$4:$D$1053,$B180,'сентябрь 2023'!$J$4:$J$1053,AD$1)</f>
        <v>0</v>
      </c>
      <c r="AE180" s="207">
        <f>SUMIFS('сентябрь 2023'!$G$4:$G$1053,'сентябрь 2023'!$D$4:$D$1053,$B180,'сентябрь 2023'!$J$4:$J$1053,AE$1)</f>
        <v>0</v>
      </c>
      <c r="AF180" s="207">
        <f>SUMIFS('сентябрь 2023'!$G$4:$G$1053,'сентябрь 2023'!$D$4:$D$1053,$B180,'сентябрь 2023'!$J$4:$J$1053,AF$1)</f>
        <v>0</v>
      </c>
      <c r="AG180" s="207">
        <f>SUMIFS('сентябрь 2023'!$G$4:$G$1053,'сентябрь 2023'!$D$4:$D$1053,$B180,'сентябрь 2023'!$J$4:$J$1053,AG$1)</f>
        <v>0</v>
      </c>
      <c r="AH180" s="207">
        <f>SUMIFS('сентябрь 2023'!$G$4:$G$1053,'сентябрь 2023'!$D$4:$D$1053,$B180,'сентябрь 2023'!$J$4:$J$1053,AH$1)</f>
        <v>0</v>
      </c>
      <c r="AI180" s="220">
        <f t="shared" si="5"/>
        <v>0</v>
      </c>
    </row>
    <row r="181" spans="2:35" ht="15.75" hidden="1" x14ac:dyDescent="0.25">
      <c r="B181" s="212"/>
      <c r="C181" s="211"/>
      <c r="D181" s="207">
        <f>SUMIFS('сентябрь 2023'!$G$4:$G$1053,'сентябрь 2023'!$D$4:$D$1053,$B181,'сентябрь 2023'!$J$4:$J$1053,D$1)</f>
        <v>0</v>
      </c>
      <c r="E181" s="207">
        <f>SUMIFS('сентябрь 2023'!$G$4:$G$1053,'сентябрь 2023'!$D$4:$D$1053,$B181,'сентябрь 2023'!$J$4:$J$1053,E$1)</f>
        <v>0</v>
      </c>
      <c r="F181" s="207">
        <f>SUMIFS('сентябрь 2023'!$G$4:$G$1053,'сентябрь 2023'!$D$4:$D$1053,$B181,'сентябрь 2023'!$J$4:$J$1053,F$1)</f>
        <v>0</v>
      </c>
      <c r="G181" s="207">
        <f>SUMIFS('сентябрь 2023'!$G$4:$G$1053,'сентябрь 2023'!$D$4:$D$1053,$B181,'сентябрь 2023'!$J$4:$J$1053,G$1)</f>
        <v>0</v>
      </c>
      <c r="H181" s="207">
        <f>SUMIFS('сентябрь 2023'!$G$4:$G$1053,'сентябрь 2023'!$D$4:$D$1053,$B181,'сентябрь 2023'!$J$4:$J$1053,H$1)</f>
        <v>0</v>
      </c>
      <c r="I181" s="207">
        <f>SUMIFS('сентябрь 2023'!$G$4:$G$1053,'сентябрь 2023'!$D$4:$D$1053,$B181,'сентябрь 2023'!$J$4:$J$1053,I$1)</f>
        <v>0</v>
      </c>
      <c r="J181" s="207">
        <f>SUMIFS('сентябрь 2023'!$G$4:$G$1053,'сентябрь 2023'!$D$4:$D$1053,$B181,'сентябрь 2023'!$J$4:$J$1053,J$1)</f>
        <v>0</v>
      </c>
      <c r="K181" s="207">
        <f>SUMIFS('сентябрь 2023'!$G$4:$G$1053,'сентябрь 2023'!$D$4:$D$1053,$B181,'сентябрь 2023'!$J$4:$J$1053,K$1)</f>
        <v>0</v>
      </c>
      <c r="L181" s="207">
        <f>SUMIFS('сентябрь 2023'!$G$4:$G$1053,'сентябрь 2023'!$D$4:$D$1053,$B181,'сентябрь 2023'!$J$4:$J$1053,L$1)</f>
        <v>0</v>
      </c>
      <c r="M181" s="207">
        <f>SUMIFS('сентябрь 2023'!$G$4:$G$1053,'сентябрь 2023'!$D$4:$D$1053,$B181,'сентябрь 2023'!$J$4:$J$1053,M$1)</f>
        <v>0</v>
      </c>
      <c r="N181" s="207">
        <f>SUMIFS('сентябрь 2023'!$G$4:$G$1053,'сентябрь 2023'!$D$4:$D$1053,$B181,'сентябрь 2023'!$J$4:$J$1053,N$1)</f>
        <v>0</v>
      </c>
      <c r="O181" s="207">
        <f>SUMIFS('сентябрь 2023'!$G$4:$G$1053,'сентябрь 2023'!$D$4:$D$1053,$B181,'сентябрь 2023'!$J$4:$J$1053,O$1)</f>
        <v>0</v>
      </c>
      <c r="P181" s="207">
        <f>SUMIFS('сентябрь 2023'!$G$4:$G$1053,'сентябрь 2023'!$D$4:$D$1053,$B181,'сентябрь 2023'!$J$4:$J$1053,P$1)</f>
        <v>0</v>
      </c>
      <c r="Q181" s="207">
        <f>SUMIFS('сентябрь 2023'!$G$4:$G$1053,'сентябрь 2023'!$D$4:$D$1053,$B181,'сентябрь 2023'!$J$4:$J$1053,Q$1)</f>
        <v>0</v>
      </c>
      <c r="R181" s="207">
        <f>SUMIFS('сентябрь 2023'!$G$4:$G$1053,'сентябрь 2023'!$D$4:$D$1053,$B181,'сентябрь 2023'!$J$4:$J$1053,R$1)</f>
        <v>0</v>
      </c>
      <c r="S181" s="207">
        <f>SUMIFS('сентябрь 2023'!$G$4:$G$1053,'сентябрь 2023'!$D$4:$D$1053,$B181,'сентябрь 2023'!$J$4:$J$1053,S$1)</f>
        <v>0</v>
      </c>
      <c r="T181" s="207">
        <f>SUMIFS('сентябрь 2023'!$G$4:$G$1053,'сентябрь 2023'!$D$4:$D$1053,$B181,'сентябрь 2023'!$J$4:$J$1053,T$1)</f>
        <v>0</v>
      </c>
      <c r="U181" s="207">
        <f>SUMIFS('сентябрь 2023'!$G$4:$G$1053,'сентябрь 2023'!$D$4:$D$1053,$B181,'сентябрь 2023'!$J$4:$J$1053,U$1)</f>
        <v>0</v>
      </c>
      <c r="V181" s="207">
        <f>SUMIFS('сентябрь 2023'!$G$4:$G$1053,'сентябрь 2023'!$D$4:$D$1053,$B181,'сентябрь 2023'!$J$4:$J$1053,V$1)</f>
        <v>0</v>
      </c>
      <c r="W181" s="207">
        <f>SUMIFS('сентябрь 2023'!$G$4:$G$1053,'сентябрь 2023'!$D$4:$D$1053,$B181,'сентябрь 2023'!$J$4:$J$1053,W$1)</f>
        <v>0</v>
      </c>
      <c r="X181" s="207">
        <f>SUMIFS('сентябрь 2023'!$G$4:$G$1053,'сентябрь 2023'!$D$4:$D$1053,$B181,'сентябрь 2023'!$J$4:$J$1053,X$1)</f>
        <v>0</v>
      </c>
      <c r="Y181" s="207">
        <f>SUMIFS('сентябрь 2023'!$G$4:$G$1053,'сентябрь 2023'!$D$4:$D$1053,$B181,'сентябрь 2023'!$J$4:$J$1053,Y$1)</f>
        <v>0</v>
      </c>
      <c r="Z181" s="207">
        <f>SUMIFS('сентябрь 2023'!$G$4:$G$1053,'сентябрь 2023'!$D$4:$D$1053,$B181,'сентябрь 2023'!$J$4:$J$1053,Z$1)</f>
        <v>0</v>
      </c>
      <c r="AA181" s="207">
        <f>SUMIFS('сентябрь 2023'!$G$4:$G$1053,'сентябрь 2023'!$D$4:$D$1053,$B181,'сентябрь 2023'!$J$4:$J$1053,AA$1)</f>
        <v>0</v>
      </c>
      <c r="AB181" s="207">
        <f>SUMIFS('сентябрь 2023'!$G$4:$G$1053,'сентябрь 2023'!$D$4:$D$1053,$B181,'сентябрь 2023'!$J$4:$J$1053,AB$1)</f>
        <v>0</v>
      </c>
      <c r="AC181" s="207">
        <f>SUMIFS('сентябрь 2023'!$G$4:$G$1053,'сентябрь 2023'!$D$4:$D$1053,$B181,'сентябрь 2023'!$J$4:$J$1053,AC$1)</f>
        <v>0</v>
      </c>
      <c r="AD181" s="207">
        <f>SUMIFS('сентябрь 2023'!$G$4:$G$1053,'сентябрь 2023'!$D$4:$D$1053,$B181,'сентябрь 2023'!$J$4:$J$1053,AD$1)</f>
        <v>0</v>
      </c>
      <c r="AE181" s="207">
        <f>SUMIFS('сентябрь 2023'!$G$4:$G$1053,'сентябрь 2023'!$D$4:$D$1053,$B181,'сентябрь 2023'!$J$4:$J$1053,AE$1)</f>
        <v>0</v>
      </c>
      <c r="AF181" s="207">
        <f>SUMIFS('сентябрь 2023'!$G$4:$G$1053,'сентябрь 2023'!$D$4:$D$1053,$B181,'сентябрь 2023'!$J$4:$J$1053,AF$1)</f>
        <v>0</v>
      </c>
      <c r="AG181" s="207">
        <f>SUMIFS('сентябрь 2023'!$G$4:$G$1053,'сентябрь 2023'!$D$4:$D$1053,$B181,'сентябрь 2023'!$J$4:$J$1053,AG$1)</f>
        <v>0</v>
      </c>
      <c r="AH181" s="207">
        <f>SUMIFS('сентябрь 2023'!$G$4:$G$1053,'сентябрь 2023'!$D$4:$D$1053,$B181,'сентябрь 2023'!$J$4:$J$1053,AH$1)</f>
        <v>0</v>
      </c>
      <c r="AI181" s="220">
        <f t="shared" si="5"/>
        <v>0</v>
      </c>
    </row>
    <row r="182" spans="2:35" ht="15.75" hidden="1" x14ac:dyDescent="0.25">
      <c r="B182" s="212"/>
      <c r="C182" s="211"/>
      <c r="D182" s="207">
        <f>SUMIFS('сентябрь 2023'!$G$4:$G$1053,'сентябрь 2023'!$D$4:$D$1053,$B182,'сентябрь 2023'!$J$4:$J$1053,D$1)</f>
        <v>0</v>
      </c>
      <c r="E182" s="207">
        <f>SUMIFS('сентябрь 2023'!$G$4:$G$1053,'сентябрь 2023'!$D$4:$D$1053,$B182,'сентябрь 2023'!$J$4:$J$1053,E$1)</f>
        <v>0</v>
      </c>
      <c r="F182" s="207">
        <f>SUMIFS('сентябрь 2023'!$G$4:$G$1053,'сентябрь 2023'!$D$4:$D$1053,$B182,'сентябрь 2023'!$J$4:$J$1053,F$1)</f>
        <v>0</v>
      </c>
      <c r="G182" s="207">
        <f>SUMIFS('сентябрь 2023'!$G$4:$G$1053,'сентябрь 2023'!$D$4:$D$1053,$B182,'сентябрь 2023'!$J$4:$J$1053,G$1)</f>
        <v>0</v>
      </c>
      <c r="H182" s="207">
        <f>SUMIFS('сентябрь 2023'!$G$4:$G$1053,'сентябрь 2023'!$D$4:$D$1053,$B182,'сентябрь 2023'!$J$4:$J$1053,H$1)</f>
        <v>0</v>
      </c>
      <c r="I182" s="207">
        <f>SUMIFS('сентябрь 2023'!$G$4:$G$1053,'сентябрь 2023'!$D$4:$D$1053,$B182,'сентябрь 2023'!$J$4:$J$1053,I$1)</f>
        <v>0</v>
      </c>
      <c r="J182" s="207">
        <f>SUMIFS('сентябрь 2023'!$G$4:$G$1053,'сентябрь 2023'!$D$4:$D$1053,$B182,'сентябрь 2023'!$J$4:$J$1053,J$1)</f>
        <v>0</v>
      </c>
      <c r="K182" s="207">
        <f>SUMIFS('сентябрь 2023'!$G$4:$G$1053,'сентябрь 2023'!$D$4:$D$1053,$B182,'сентябрь 2023'!$J$4:$J$1053,K$1)</f>
        <v>0</v>
      </c>
      <c r="L182" s="207">
        <f>SUMIFS('сентябрь 2023'!$G$4:$G$1053,'сентябрь 2023'!$D$4:$D$1053,$B182,'сентябрь 2023'!$J$4:$J$1053,L$1)</f>
        <v>0</v>
      </c>
      <c r="M182" s="207">
        <f>SUMIFS('сентябрь 2023'!$G$4:$G$1053,'сентябрь 2023'!$D$4:$D$1053,$B182,'сентябрь 2023'!$J$4:$J$1053,M$1)</f>
        <v>0</v>
      </c>
      <c r="N182" s="207">
        <f>SUMIFS('сентябрь 2023'!$G$4:$G$1053,'сентябрь 2023'!$D$4:$D$1053,$B182,'сентябрь 2023'!$J$4:$J$1053,N$1)</f>
        <v>0</v>
      </c>
      <c r="O182" s="207">
        <f>SUMIFS('сентябрь 2023'!$G$4:$G$1053,'сентябрь 2023'!$D$4:$D$1053,$B182,'сентябрь 2023'!$J$4:$J$1053,O$1)</f>
        <v>0</v>
      </c>
      <c r="P182" s="207">
        <f>SUMIFS('сентябрь 2023'!$G$4:$G$1053,'сентябрь 2023'!$D$4:$D$1053,$B182,'сентябрь 2023'!$J$4:$J$1053,P$1)</f>
        <v>0</v>
      </c>
      <c r="Q182" s="207">
        <f>SUMIFS('сентябрь 2023'!$G$4:$G$1053,'сентябрь 2023'!$D$4:$D$1053,$B182,'сентябрь 2023'!$J$4:$J$1053,Q$1)</f>
        <v>0</v>
      </c>
      <c r="R182" s="207">
        <f>SUMIFS('сентябрь 2023'!$G$4:$G$1053,'сентябрь 2023'!$D$4:$D$1053,$B182,'сентябрь 2023'!$J$4:$J$1053,R$1)</f>
        <v>0</v>
      </c>
      <c r="S182" s="207">
        <f>SUMIFS('сентябрь 2023'!$G$4:$G$1053,'сентябрь 2023'!$D$4:$D$1053,$B182,'сентябрь 2023'!$J$4:$J$1053,S$1)</f>
        <v>0</v>
      </c>
      <c r="T182" s="207">
        <f>SUMIFS('сентябрь 2023'!$G$4:$G$1053,'сентябрь 2023'!$D$4:$D$1053,$B182,'сентябрь 2023'!$J$4:$J$1053,T$1)</f>
        <v>0</v>
      </c>
      <c r="U182" s="207">
        <f>SUMIFS('сентябрь 2023'!$G$4:$G$1053,'сентябрь 2023'!$D$4:$D$1053,$B182,'сентябрь 2023'!$J$4:$J$1053,U$1)</f>
        <v>0</v>
      </c>
      <c r="V182" s="207">
        <f>SUMIFS('сентябрь 2023'!$G$4:$G$1053,'сентябрь 2023'!$D$4:$D$1053,$B182,'сентябрь 2023'!$J$4:$J$1053,V$1)</f>
        <v>0</v>
      </c>
      <c r="W182" s="207">
        <f>SUMIFS('сентябрь 2023'!$G$4:$G$1053,'сентябрь 2023'!$D$4:$D$1053,$B182,'сентябрь 2023'!$J$4:$J$1053,W$1)</f>
        <v>0</v>
      </c>
      <c r="X182" s="207">
        <f>SUMIFS('сентябрь 2023'!$G$4:$G$1053,'сентябрь 2023'!$D$4:$D$1053,$B182,'сентябрь 2023'!$J$4:$J$1053,X$1)</f>
        <v>0</v>
      </c>
      <c r="Y182" s="207">
        <f>SUMIFS('сентябрь 2023'!$G$4:$G$1053,'сентябрь 2023'!$D$4:$D$1053,$B182,'сентябрь 2023'!$J$4:$J$1053,Y$1)</f>
        <v>0</v>
      </c>
      <c r="Z182" s="207">
        <f>SUMIFS('сентябрь 2023'!$G$4:$G$1053,'сентябрь 2023'!$D$4:$D$1053,$B182,'сентябрь 2023'!$J$4:$J$1053,Z$1)</f>
        <v>0</v>
      </c>
      <c r="AA182" s="207">
        <f>SUMIFS('сентябрь 2023'!$G$4:$G$1053,'сентябрь 2023'!$D$4:$D$1053,$B182,'сентябрь 2023'!$J$4:$J$1053,AA$1)</f>
        <v>0</v>
      </c>
      <c r="AB182" s="207">
        <f>SUMIFS('сентябрь 2023'!$G$4:$G$1053,'сентябрь 2023'!$D$4:$D$1053,$B182,'сентябрь 2023'!$J$4:$J$1053,AB$1)</f>
        <v>0</v>
      </c>
      <c r="AC182" s="207">
        <f>SUMIFS('сентябрь 2023'!$G$4:$G$1053,'сентябрь 2023'!$D$4:$D$1053,$B182,'сентябрь 2023'!$J$4:$J$1053,AC$1)</f>
        <v>0</v>
      </c>
      <c r="AD182" s="207">
        <f>SUMIFS('сентябрь 2023'!$G$4:$G$1053,'сентябрь 2023'!$D$4:$D$1053,$B182,'сентябрь 2023'!$J$4:$J$1053,AD$1)</f>
        <v>0</v>
      </c>
      <c r="AE182" s="207">
        <f>SUMIFS('сентябрь 2023'!$G$4:$G$1053,'сентябрь 2023'!$D$4:$D$1053,$B182,'сентябрь 2023'!$J$4:$J$1053,AE$1)</f>
        <v>0</v>
      </c>
      <c r="AF182" s="207">
        <f>SUMIFS('сентябрь 2023'!$G$4:$G$1053,'сентябрь 2023'!$D$4:$D$1053,$B182,'сентябрь 2023'!$J$4:$J$1053,AF$1)</f>
        <v>0</v>
      </c>
      <c r="AG182" s="207">
        <f>SUMIFS('сентябрь 2023'!$G$4:$G$1053,'сентябрь 2023'!$D$4:$D$1053,$B182,'сентябрь 2023'!$J$4:$J$1053,AG$1)</f>
        <v>0</v>
      </c>
      <c r="AH182" s="207">
        <f>SUMIFS('сентябрь 2023'!$G$4:$G$1053,'сентябрь 2023'!$D$4:$D$1053,$B182,'сентябрь 2023'!$J$4:$J$1053,AH$1)</f>
        <v>0</v>
      </c>
      <c r="AI182" s="220">
        <f t="shared" si="5"/>
        <v>0</v>
      </c>
    </row>
    <row r="183" spans="2:35" ht="15.75" hidden="1" x14ac:dyDescent="0.25">
      <c r="B183" s="212"/>
      <c r="C183" s="211"/>
      <c r="D183" s="207">
        <f>SUMIFS('сентябрь 2023'!$G$4:$G$1053,'сентябрь 2023'!$D$4:$D$1053,$B183,'сентябрь 2023'!$J$4:$J$1053,D$1)</f>
        <v>0</v>
      </c>
      <c r="E183" s="207">
        <f>SUMIFS('сентябрь 2023'!$G$4:$G$1053,'сентябрь 2023'!$D$4:$D$1053,$B183,'сентябрь 2023'!$J$4:$J$1053,E$1)</f>
        <v>0</v>
      </c>
      <c r="F183" s="207">
        <f>SUMIFS('сентябрь 2023'!$G$4:$G$1053,'сентябрь 2023'!$D$4:$D$1053,$B183,'сентябрь 2023'!$J$4:$J$1053,F$1)</f>
        <v>0</v>
      </c>
      <c r="G183" s="207">
        <f>SUMIFS('сентябрь 2023'!$G$4:$G$1053,'сентябрь 2023'!$D$4:$D$1053,$B183,'сентябрь 2023'!$J$4:$J$1053,G$1)</f>
        <v>0</v>
      </c>
      <c r="H183" s="207">
        <f>SUMIFS('сентябрь 2023'!$G$4:$G$1053,'сентябрь 2023'!$D$4:$D$1053,$B183,'сентябрь 2023'!$J$4:$J$1053,H$1)</f>
        <v>0</v>
      </c>
      <c r="I183" s="207">
        <f>SUMIFS('сентябрь 2023'!$G$4:$G$1053,'сентябрь 2023'!$D$4:$D$1053,$B183,'сентябрь 2023'!$J$4:$J$1053,I$1)</f>
        <v>0</v>
      </c>
      <c r="J183" s="207">
        <f>SUMIFS('сентябрь 2023'!$G$4:$G$1053,'сентябрь 2023'!$D$4:$D$1053,$B183,'сентябрь 2023'!$J$4:$J$1053,J$1)</f>
        <v>0</v>
      </c>
      <c r="K183" s="207">
        <f>SUMIFS('сентябрь 2023'!$G$4:$G$1053,'сентябрь 2023'!$D$4:$D$1053,$B183,'сентябрь 2023'!$J$4:$J$1053,K$1)</f>
        <v>0</v>
      </c>
      <c r="L183" s="207">
        <f>SUMIFS('сентябрь 2023'!$G$4:$G$1053,'сентябрь 2023'!$D$4:$D$1053,$B183,'сентябрь 2023'!$J$4:$J$1053,L$1)</f>
        <v>0</v>
      </c>
      <c r="M183" s="207">
        <f>SUMIFS('сентябрь 2023'!$G$4:$G$1053,'сентябрь 2023'!$D$4:$D$1053,$B183,'сентябрь 2023'!$J$4:$J$1053,M$1)</f>
        <v>0</v>
      </c>
      <c r="N183" s="207">
        <f>SUMIFS('сентябрь 2023'!$G$4:$G$1053,'сентябрь 2023'!$D$4:$D$1053,$B183,'сентябрь 2023'!$J$4:$J$1053,N$1)</f>
        <v>0</v>
      </c>
      <c r="O183" s="207">
        <f>SUMIFS('сентябрь 2023'!$G$4:$G$1053,'сентябрь 2023'!$D$4:$D$1053,$B183,'сентябрь 2023'!$J$4:$J$1053,O$1)</f>
        <v>0</v>
      </c>
      <c r="P183" s="207">
        <f>SUMIFS('сентябрь 2023'!$G$4:$G$1053,'сентябрь 2023'!$D$4:$D$1053,$B183,'сентябрь 2023'!$J$4:$J$1053,P$1)</f>
        <v>0</v>
      </c>
      <c r="Q183" s="207">
        <f>SUMIFS('сентябрь 2023'!$G$4:$G$1053,'сентябрь 2023'!$D$4:$D$1053,$B183,'сентябрь 2023'!$J$4:$J$1053,Q$1)</f>
        <v>0</v>
      </c>
      <c r="R183" s="207">
        <f>SUMIFS('сентябрь 2023'!$G$4:$G$1053,'сентябрь 2023'!$D$4:$D$1053,$B183,'сентябрь 2023'!$J$4:$J$1053,R$1)</f>
        <v>0</v>
      </c>
      <c r="S183" s="207">
        <f>SUMIFS('сентябрь 2023'!$G$4:$G$1053,'сентябрь 2023'!$D$4:$D$1053,$B183,'сентябрь 2023'!$J$4:$J$1053,S$1)</f>
        <v>0</v>
      </c>
      <c r="T183" s="207">
        <f>SUMIFS('сентябрь 2023'!$G$4:$G$1053,'сентябрь 2023'!$D$4:$D$1053,$B183,'сентябрь 2023'!$J$4:$J$1053,T$1)</f>
        <v>0</v>
      </c>
      <c r="U183" s="207">
        <f>SUMIFS('сентябрь 2023'!$G$4:$G$1053,'сентябрь 2023'!$D$4:$D$1053,$B183,'сентябрь 2023'!$J$4:$J$1053,U$1)</f>
        <v>0</v>
      </c>
      <c r="V183" s="207">
        <f>SUMIFS('сентябрь 2023'!$G$4:$G$1053,'сентябрь 2023'!$D$4:$D$1053,$B183,'сентябрь 2023'!$J$4:$J$1053,V$1)</f>
        <v>0</v>
      </c>
      <c r="W183" s="207">
        <f>SUMIFS('сентябрь 2023'!$G$4:$G$1053,'сентябрь 2023'!$D$4:$D$1053,$B183,'сентябрь 2023'!$J$4:$J$1053,W$1)</f>
        <v>0</v>
      </c>
      <c r="X183" s="207">
        <f>SUMIFS('сентябрь 2023'!$G$4:$G$1053,'сентябрь 2023'!$D$4:$D$1053,$B183,'сентябрь 2023'!$J$4:$J$1053,X$1)</f>
        <v>0</v>
      </c>
      <c r="Y183" s="207">
        <f>SUMIFS('сентябрь 2023'!$G$4:$G$1053,'сентябрь 2023'!$D$4:$D$1053,$B183,'сентябрь 2023'!$J$4:$J$1053,Y$1)</f>
        <v>0</v>
      </c>
      <c r="Z183" s="207">
        <f>SUMIFS('сентябрь 2023'!$G$4:$G$1053,'сентябрь 2023'!$D$4:$D$1053,$B183,'сентябрь 2023'!$J$4:$J$1053,Z$1)</f>
        <v>0</v>
      </c>
      <c r="AA183" s="207">
        <f>SUMIFS('сентябрь 2023'!$G$4:$G$1053,'сентябрь 2023'!$D$4:$D$1053,$B183,'сентябрь 2023'!$J$4:$J$1053,AA$1)</f>
        <v>0</v>
      </c>
      <c r="AB183" s="207">
        <f>SUMIFS('сентябрь 2023'!$G$4:$G$1053,'сентябрь 2023'!$D$4:$D$1053,$B183,'сентябрь 2023'!$J$4:$J$1053,AB$1)</f>
        <v>0</v>
      </c>
      <c r="AC183" s="207">
        <f>SUMIFS('сентябрь 2023'!$G$4:$G$1053,'сентябрь 2023'!$D$4:$D$1053,$B183,'сентябрь 2023'!$J$4:$J$1053,AC$1)</f>
        <v>0</v>
      </c>
      <c r="AD183" s="207">
        <f>SUMIFS('сентябрь 2023'!$G$4:$G$1053,'сентябрь 2023'!$D$4:$D$1053,$B183,'сентябрь 2023'!$J$4:$J$1053,AD$1)</f>
        <v>0</v>
      </c>
      <c r="AE183" s="207">
        <f>SUMIFS('сентябрь 2023'!$G$4:$G$1053,'сентябрь 2023'!$D$4:$D$1053,$B183,'сентябрь 2023'!$J$4:$J$1053,AE$1)</f>
        <v>0</v>
      </c>
      <c r="AF183" s="207">
        <f>SUMIFS('сентябрь 2023'!$G$4:$G$1053,'сентябрь 2023'!$D$4:$D$1053,$B183,'сентябрь 2023'!$J$4:$J$1053,AF$1)</f>
        <v>0</v>
      </c>
      <c r="AG183" s="207">
        <f>SUMIFS('сентябрь 2023'!$G$4:$G$1053,'сентябрь 2023'!$D$4:$D$1053,$B183,'сентябрь 2023'!$J$4:$J$1053,AG$1)</f>
        <v>0</v>
      </c>
      <c r="AH183" s="207">
        <f>SUMIFS('сентябрь 2023'!$G$4:$G$1053,'сентябрь 2023'!$D$4:$D$1053,$B183,'сентябрь 2023'!$J$4:$J$1053,AH$1)</f>
        <v>0</v>
      </c>
      <c r="AI183" s="220">
        <f t="shared" si="5"/>
        <v>0</v>
      </c>
    </row>
    <row r="184" spans="2:35" ht="15.75" hidden="1" x14ac:dyDescent="0.25">
      <c r="B184" s="212"/>
      <c r="C184" s="211"/>
      <c r="D184" s="207">
        <f>SUMIFS('сентябрь 2023'!$G$4:$G$1053,'сентябрь 2023'!$D$4:$D$1053,$B184,'сентябрь 2023'!$J$4:$J$1053,D$1)</f>
        <v>0</v>
      </c>
      <c r="E184" s="207">
        <f>SUMIFS('сентябрь 2023'!$G$4:$G$1053,'сентябрь 2023'!$D$4:$D$1053,$B184,'сентябрь 2023'!$J$4:$J$1053,E$1)</f>
        <v>0</v>
      </c>
      <c r="F184" s="207">
        <f>SUMIFS('сентябрь 2023'!$G$4:$G$1053,'сентябрь 2023'!$D$4:$D$1053,$B184,'сентябрь 2023'!$J$4:$J$1053,F$1)</f>
        <v>0</v>
      </c>
      <c r="G184" s="207">
        <f>SUMIFS('сентябрь 2023'!$G$4:$G$1053,'сентябрь 2023'!$D$4:$D$1053,$B184,'сентябрь 2023'!$J$4:$J$1053,G$1)</f>
        <v>0</v>
      </c>
      <c r="H184" s="207">
        <f>SUMIFS('сентябрь 2023'!$G$4:$G$1053,'сентябрь 2023'!$D$4:$D$1053,$B184,'сентябрь 2023'!$J$4:$J$1053,H$1)</f>
        <v>0</v>
      </c>
      <c r="I184" s="207">
        <f>SUMIFS('сентябрь 2023'!$G$4:$G$1053,'сентябрь 2023'!$D$4:$D$1053,$B184,'сентябрь 2023'!$J$4:$J$1053,I$1)</f>
        <v>0</v>
      </c>
      <c r="J184" s="207">
        <f>SUMIFS('сентябрь 2023'!$G$4:$G$1053,'сентябрь 2023'!$D$4:$D$1053,$B184,'сентябрь 2023'!$J$4:$J$1053,J$1)</f>
        <v>0</v>
      </c>
      <c r="K184" s="207">
        <f>SUMIFS('сентябрь 2023'!$G$4:$G$1053,'сентябрь 2023'!$D$4:$D$1053,$B184,'сентябрь 2023'!$J$4:$J$1053,K$1)</f>
        <v>0</v>
      </c>
      <c r="L184" s="207">
        <f>SUMIFS('сентябрь 2023'!$G$4:$G$1053,'сентябрь 2023'!$D$4:$D$1053,$B184,'сентябрь 2023'!$J$4:$J$1053,L$1)</f>
        <v>0</v>
      </c>
      <c r="M184" s="207">
        <f>SUMIFS('сентябрь 2023'!$G$4:$G$1053,'сентябрь 2023'!$D$4:$D$1053,$B184,'сентябрь 2023'!$J$4:$J$1053,M$1)</f>
        <v>0</v>
      </c>
      <c r="N184" s="207">
        <f>SUMIFS('сентябрь 2023'!$G$4:$G$1053,'сентябрь 2023'!$D$4:$D$1053,$B184,'сентябрь 2023'!$J$4:$J$1053,N$1)</f>
        <v>0</v>
      </c>
      <c r="O184" s="207">
        <f>SUMIFS('сентябрь 2023'!$G$4:$G$1053,'сентябрь 2023'!$D$4:$D$1053,$B184,'сентябрь 2023'!$J$4:$J$1053,O$1)</f>
        <v>0</v>
      </c>
      <c r="P184" s="207">
        <f>SUMIFS('сентябрь 2023'!$G$4:$G$1053,'сентябрь 2023'!$D$4:$D$1053,$B184,'сентябрь 2023'!$J$4:$J$1053,P$1)</f>
        <v>0</v>
      </c>
      <c r="Q184" s="207">
        <f>SUMIFS('сентябрь 2023'!$G$4:$G$1053,'сентябрь 2023'!$D$4:$D$1053,$B184,'сентябрь 2023'!$J$4:$J$1053,Q$1)</f>
        <v>0</v>
      </c>
      <c r="R184" s="207">
        <f>SUMIFS('сентябрь 2023'!$G$4:$G$1053,'сентябрь 2023'!$D$4:$D$1053,$B184,'сентябрь 2023'!$J$4:$J$1053,R$1)</f>
        <v>0</v>
      </c>
      <c r="S184" s="207">
        <f>SUMIFS('сентябрь 2023'!$G$4:$G$1053,'сентябрь 2023'!$D$4:$D$1053,$B184,'сентябрь 2023'!$J$4:$J$1053,S$1)</f>
        <v>0</v>
      </c>
      <c r="T184" s="207">
        <f>SUMIFS('сентябрь 2023'!$G$4:$G$1053,'сентябрь 2023'!$D$4:$D$1053,$B184,'сентябрь 2023'!$J$4:$J$1053,T$1)</f>
        <v>0</v>
      </c>
      <c r="U184" s="207">
        <f>SUMIFS('сентябрь 2023'!$G$4:$G$1053,'сентябрь 2023'!$D$4:$D$1053,$B184,'сентябрь 2023'!$J$4:$J$1053,U$1)</f>
        <v>0</v>
      </c>
      <c r="V184" s="207">
        <f>SUMIFS('сентябрь 2023'!$G$4:$G$1053,'сентябрь 2023'!$D$4:$D$1053,$B184,'сентябрь 2023'!$J$4:$J$1053,V$1)</f>
        <v>0</v>
      </c>
      <c r="W184" s="207">
        <f>SUMIFS('сентябрь 2023'!$G$4:$G$1053,'сентябрь 2023'!$D$4:$D$1053,$B184,'сентябрь 2023'!$J$4:$J$1053,W$1)</f>
        <v>0</v>
      </c>
      <c r="X184" s="207">
        <f>SUMIFS('сентябрь 2023'!$G$4:$G$1053,'сентябрь 2023'!$D$4:$D$1053,$B184,'сентябрь 2023'!$J$4:$J$1053,X$1)</f>
        <v>0</v>
      </c>
      <c r="Y184" s="207">
        <f>SUMIFS('сентябрь 2023'!$G$4:$G$1053,'сентябрь 2023'!$D$4:$D$1053,$B184,'сентябрь 2023'!$J$4:$J$1053,Y$1)</f>
        <v>0</v>
      </c>
      <c r="Z184" s="207">
        <f>SUMIFS('сентябрь 2023'!$G$4:$G$1053,'сентябрь 2023'!$D$4:$D$1053,$B184,'сентябрь 2023'!$J$4:$J$1053,Z$1)</f>
        <v>0</v>
      </c>
      <c r="AA184" s="207">
        <f>SUMIFS('сентябрь 2023'!$G$4:$G$1053,'сентябрь 2023'!$D$4:$D$1053,$B184,'сентябрь 2023'!$J$4:$J$1053,AA$1)</f>
        <v>0</v>
      </c>
      <c r="AB184" s="207">
        <f>SUMIFS('сентябрь 2023'!$G$4:$G$1053,'сентябрь 2023'!$D$4:$D$1053,$B184,'сентябрь 2023'!$J$4:$J$1053,AB$1)</f>
        <v>0</v>
      </c>
      <c r="AC184" s="207">
        <f>SUMIFS('сентябрь 2023'!$G$4:$G$1053,'сентябрь 2023'!$D$4:$D$1053,$B184,'сентябрь 2023'!$J$4:$J$1053,AC$1)</f>
        <v>0</v>
      </c>
      <c r="AD184" s="207">
        <f>SUMIFS('сентябрь 2023'!$G$4:$G$1053,'сентябрь 2023'!$D$4:$D$1053,$B184,'сентябрь 2023'!$J$4:$J$1053,AD$1)</f>
        <v>0</v>
      </c>
      <c r="AE184" s="207">
        <f>SUMIFS('сентябрь 2023'!$G$4:$G$1053,'сентябрь 2023'!$D$4:$D$1053,$B184,'сентябрь 2023'!$J$4:$J$1053,AE$1)</f>
        <v>0</v>
      </c>
      <c r="AF184" s="207">
        <f>SUMIFS('сентябрь 2023'!$G$4:$G$1053,'сентябрь 2023'!$D$4:$D$1053,$B184,'сентябрь 2023'!$J$4:$J$1053,AF$1)</f>
        <v>0</v>
      </c>
      <c r="AG184" s="207">
        <f>SUMIFS('сентябрь 2023'!$G$4:$G$1053,'сентябрь 2023'!$D$4:$D$1053,$B184,'сентябрь 2023'!$J$4:$J$1053,AG$1)</f>
        <v>0</v>
      </c>
      <c r="AH184" s="207">
        <f>SUMIFS('сентябрь 2023'!$G$4:$G$1053,'сентябрь 2023'!$D$4:$D$1053,$B184,'сентябрь 2023'!$J$4:$J$1053,AH$1)</f>
        <v>0</v>
      </c>
      <c r="AI184" s="220">
        <f t="shared" si="5"/>
        <v>0</v>
      </c>
    </row>
    <row r="185" spans="2:35" ht="15.75" hidden="1" x14ac:dyDescent="0.25">
      <c r="B185" s="212"/>
      <c r="C185" s="211"/>
      <c r="D185" s="207">
        <f>SUMIFS('сентябрь 2023'!$G$4:$G$1053,'сентябрь 2023'!$D$4:$D$1053,$B185,'сентябрь 2023'!$J$4:$J$1053,D$1)</f>
        <v>0</v>
      </c>
      <c r="E185" s="207">
        <f>SUMIFS('сентябрь 2023'!$G$4:$G$1053,'сентябрь 2023'!$D$4:$D$1053,$B185,'сентябрь 2023'!$J$4:$J$1053,E$1)</f>
        <v>0</v>
      </c>
      <c r="F185" s="207">
        <f>SUMIFS('сентябрь 2023'!$G$4:$G$1053,'сентябрь 2023'!$D$4:$D$1053,$B185,'сентябрь 2023'!$J$4:$J$1053,F$1)</f>
        <v>0</v>
      </c>
      <c r="G185" s="207">
        <f>SUMIFS('сентябрь 2023'!$G$4:$G$1053,'сентябрь 2023'!$D$4:$D$1053,$B185,'сентябрь 2023'!$J$4:$J$1053,G$1)</f>
        <v>0</v>
      </c>
      <c r="H185" s="207">
        <f>SUMIFS('сентябрь 2023'!$G$4:$G$1053,'сентябрь 2023'!$D$4:$D$1053,$B185,'сентябрь 2023'!$J$4:$J$1053,H$1)</f>
        <v>0</v>
      </c>
      <c r="I185" s="207">
        <f>SUMIFS('сентябрь 2023'!$G$4:$G$1053,'сентябрь 2023'!$D$4:$D$1053,$B185,'сентябрь 2023'!$J$4:$J$1053,I$1)</f>
        <v>0</v>
      </c>
      <c r="J185" s="207">
        <f>SUMIFS('сентябрь 2023'!$G$4:$G$1053,'сентябрь 2023'!$D$4:$D$1053,$B185,'сентябрь 2023'!$J$4:$J$1053,J$1)</f>
        <v>0</v>
      </c>
      <c r="K185" s="207">
        <f>SUMIFS('сентябрь 2023'!$G$4:$G$1053,'сентябрь 2023'!$D$4:$D$1053,$B185,'сентябрь 2023'!$J$4:$J$1053,K$1)</f>
        <v>0</v>
      </c>
      <c r="L185" s="207">
        <f>SUMIFS('сентябрь 2023'!$G$4:$G$1053,'сентябрь 2023'!$D$4:$D$1053,$B185,'сентябрь 2023'!$J$4:$J$1053,L$1)</f>
        <v>0</v>
      </c>
      <c r="M185" s="207">
        <f>SUMIFS('сентябрь 2023'!$G$4:$G$1053,'сентябрь 2023'!$D$4:$D$1053,$B185,'сентябрь 2023'!$J$4:$J$1053,M$1)</f>
        <v>0</v>
      </c>
      <c r="N185" s="207">
        <f>SUMIFS('сентябрь 2023'!$G$4:$G$1053,'сентябрь 2023'!$D$4:$D$1053,$B185,'сентябрь 2023'!$J$4:$J$1053,N$1)</f>
        <v>0</v>
      </c>
      <c r="O185" s="207">
        <f>SUMIFS('сентябрь 2023'!$G$4:$G$1053,'сентябрь 2023'!$D$4:$D$1053,$B185,'сентябрь 2023'!$J$4:$J$1053,O$1)</f>
        <v>0</v>
      </c>
      <c r="P185" s="207">
        <f>SUMIFS('сентябрь 2023'!$G$4:$G$1053,'сентябрь 2023'!$D$4:$D$1053,$B185,'сентябрь 2023'!$J$4:$J$1053,P$1)</f>
        <v>0</v>
      </c>
      <c r="Q185" s="207">
        <f>SUMIFS('сентябрь 2023'!$G$4:$G$1053,'сентябрь 2023'!$D$4:$D$1053,$B185,'сентябрь 2023'!$J$4:$J$1053,Q$1)</f>
        <v>0</v>
      </c>
      <c r="R185" s="207">
        <f>SUMIFS('сентябрь 2023'!$G$4:$G$1053,'сентябрь 2023'!$D$4:$D$1053,$B185,'сентябрь 2023'!$J$4:$J$1053,R$1)</f>
        <v>0</v>
      </c>
      <c r="S185" s="207">
        <f>SUMIFS('сентябрь 2023'!$G$4:$G$1053,'сентябрь 2023'!$D$4:$D$1053,$B185,'сентябрь 2023'!$J$4:$J$1053,S$1)</f>
        <v>0</v>
      </c>
      <c r="T185" s="207">
        <f>SUMIFS('сентябрь 2023'!$G$4:$G$1053,'сентябрь 2023'!$D$4:$D$1053,$B185,'сентябрь 2023'!$J$4:$J$1053,T$1)</f>
        <v>0</v>
      </c>
      <c r="U185" s="207">
        <f>SUMIFS('сентябрь 2023'!$G$4:$G$1053,'сентябрь 2023'!$D$4:$D$1053,$B185,'сентябрь 2023'!$J$4:$J$1053,U$1)</f>
        <v>0</v>
      </c>
      <c r="V185" s="207">
        <f>SUMIFS('сентябрь 2023'!$G$4:$G$1053,'сентябрь 2023'!$D$4:$D$1053,$B185,'сентябрь 2023'!$J$4:$J$1053,V$1)</f>
        <v>0</v>
      </c>
      <c r="W185" s="207">
        <f>SUMIFS('сентябрь 2023'!$G$4:$G$1053,'сентябрь 2023'!$D$4:$D$1053,$B185,'сентябрь 2023'!$J$4:$J$1053,W$1)</f>
        <v>0</v>
      </c>
      <c r="X185" s="207">
        <f>SUMIFS('сентябрь 2023'!$G$4:$G$1053,'сентябрь 2023'!$D$4:$D$1053,$B185,'сентябрь 2023'!$J$4:$J$1053,X$1)</f>
        <v>0</v>
      </c>
      <c r="Y185" s="207">
        <f>SUMIFS('сентябрь 2023'!$G$4:$G$1053,'сентябрь 2023'!$D$4:$D$1053,$B185,'сентябрь 2023'!$J$4:$J$1053,Y$1)</f>
        <v>0</v>
      </c>
      <c r="Z185" s="207">
        <f>SUMIFS('сентябрь 2023'!$G$4:$G$1053,'сентябрь 2023'!$D$4:$D$1053,$B185,'сентябрь 2023'!$J$4:$J$1053,Z$1)</f>
        <v>0</v>
      </c>
      <c r="AA185" s="207">
        <f>SUMIFS('сентябрь 2023'!$G$4:$G$1053,'сентябрь 2023'!$D$4:$D$1053,$B185,'сентябрь 2023'!$J$4:$J$1053,AA$1)</f>
        <v>0</v>
      </c>
      <c r="AB185" s="207">
        <f>SUMIFS('сентябрь 2023'!$G$4:$G$1053,'сентябрь 2023'!$D$4:$D$1053,$B185,'сентябрь 2023'!$J$4:$J$1053,AB$1)</f>
        <v>0</v>
      </c>
      <c r="AC185" s="207">
        <f>SUMIFS('сентябрь 2023'!$G$4:$G$1053,'сентябрь 2023'!$D$4:$D$1053,$B185,'сентябрь 2023'!$J$4:$J$1053,AC$1)</f>
        <v>0</v>
      </c>
      <c r="AD185" s="207">
        <f>SUMIFS('сентябрь 2023'!$G$4:$G$1053,'сентябрь 2023'!$D$4:$D$1053,$B185,'сентябрь 2023'!$J$4:$J$1053,AD$1)</f>
        <v>0</v>
      </c>
      <c r="AE185" s="207">
        <f>SUMIFS('сентябрь 2023'!$G$4:$G$1053,'сентябрь 2023'!$D$4:$D$1053,$B185,'сентябрь 2023'!$J$4:$J$1053,AE$1)</f>
        <v>0</v>
      </c>
      <c r="AF185" s="207">
        <f>SUMIFS('сентябрь 2023'!$G$4:$G$1053,'сентябрь 2023'!$D$4:$D$1053,$B185,'сентябрь 2023'!$J$4:$J$1053,AF$1)</f>
        <v>0</v>
      </c>
      <c r="AG185" s="207">
        <f>SUMIFS('сентябрь 2023'!$G$4:$G$1053,'сентябрь 2023'!$D$4:$D$1053,$B185,'сентябрь 2023'!$J$4:$J$1053,AG$1)</f>
        <v>0</v>
      </c>
      <c r="AH185" s="207">
        <f>SUMIFS('сентябрь 2023'!$G$4:$G$1053,'сентябрь 2023'!$D$4:$D$1053,$B185,'сентябрь 2023'!$J$4:$J$1053,AH$1)</f>
        <v>0</v>
      </c>
      <c r="AI185" s="220">
        <f t="shared" si="5"/>
        <v>0</v>
      </c>
    </row>
    <row r="186" spans="2:35" ht="15.75" hidden="1" x14ac:dyDescent="0.25">
      <c r="B186" s="212"/>
      <c r="C186" s="211"/>
      <c r="D186" s="207">
        <f>SUMIFS('сентябрь 2023'!$G$4:$G$1053,'сентябрь 2023'!$D$4:$D$1053,$B186,'сентябрь 2023'!$J$4:$J$1053,D$1)</f>
        <v>0</v>
      </c>
      <c r="E186" s="207">
        <f>SUMIFS('сентябрь 2023'!$G$4:$G$1053,'сентябрь 2023'!$D$4:$D$1053,$B186,'сентябрь 2023'!$J$4:$J$1053,E$1)</f>
        <v>0</v>
      </c>
      <c r="F186" s="207">
        <f>SUMIFS('сентябрь 2023'!$G$4:$G$1053,'сентябрь 2023'!$D$4:$D$1053,$B186,'сентябрь 2023'!$J$4:$J$1053,F$1)</f>
        <v>0</v>
      </c>
      <c r="G186" s="207">
        <f>SUMIFS('сентябрь 2023'!$G$4:$G$1053,'сентябрь 2023'!$D$4:$D$1053,$B186,'сентябрь 2023'!$J$4:$J$1053,G$1)</f>
        <v>0</v>
      </c>
      <c r="H186" s="207">
        <f>SUMIFS('сентябрь 2023'!$G$4:$G$1053,'сентябрь 2023'!$D$4:$D$1053,$B186,'сентябрь 2023'!$J$4:$J$1053,H$1)</f>
        <v>0</v>
      </c>
      <c r="I186" s="207">
        <f>SUMIFS('сентябрь 2023'!$G$4:$G$1053,'сентябрь 2023'!$D$4:$D$1053,$B186,'сентябрь 2023'!$J$4:$J$1053,I$1)</f>
        <v>0</v>
      </c>
      <c r="J186" s="207">
        <f>SUMIFS('сентябрь 2023'!$G$4:$G$1053,'сентябрь 2023'!$D$4:$D$1053,$B186,'сентябрь 2023'!$J$4:$J$1053,J$1)</f>
        <v>0</v>
      </c>
      <c r="K186" s="207">
        <f>SUMIFS('сентябрь 2023'!$G$4:$G$1053,'сентябрь 2023'!$D$4:$D$1053,$B186,'сентябрь 2023'!$J$4:$J$1053,K$1)</f>
        <v>0</v>
      </c>
      <c r="L186" s="207">
        <f>SUMIFS('сентябрь 2023'!$G$4:$G$1053,'сентябрь 2023'!$D$4:$D$1053,$B186,'сентябрь 2023'!$J$4:$J$1053,L$1)</f>
        <v>0</v>
      </c>
      <c r="M186" s="207">
        <f>SUMIFS('сентябрь 2023'!$G$4:$G$1053,'сентябрь 2023'!$D$4:$D$1053,$B186,'сентябрь 2023'!$J$4:$J$1053,M$1)</f>
        <v>0</v>
      </c>
      <c r="N186" s="207">
        <f>SUMIFS('сентябрь 2023'!$G$4:$G$1053,'сентябрь 2023'!$D$4:$D$1053,$B186,'сентябрь 2023'!$J$4:$J$1053,N$1)</f>
        <v>0</v>
      </c>
      <c r="O186" s="207">
        <f>SUMIFS('сентябрь 2023'!$G$4:$G$1053,'сентябрь 2023'!$D$4:$D$1053,$B186,'сентябрь 2023'!$J$4:$J$1053,O$1)</f>
        <v>0</v>
      </c>
      <c r="P186" s="207">
        <f>SUMIFS('сентябрь 2023'!$G$4:$G$1053,'сентябрь 2023'!$D$4:$D$1053,$B186,'сентябрь 2023'!$J$4:$J$1053,P$1)</f>
        <v>0</v>
      </c>
      <c r="Q186" s="207">
        <f>SUMIFS('сентябрь 2023'!$G$4:$G$1053,'сентябрь 2023'!$D$4:$D$1053,$B186,'сентябрь 2023'!$J$4:$J$1053,Q$1)</f>
        <v>0</v>
      </c>
      <c r="R186" s="207">
        <f>SUMIFS('сентябрь 2023'!$G$4:$G$1053,'сентябрь 2023'!$D$4:$D$1053,$B186,'сентябрь 2023'!$J$4:$J$1053,R$1)</f>
        <v>0</v>
      </c>
      <c r="S186" s="207">
        <f>SUMIFS('сентябрь 2023'!$G$4:$G$1053,'сентябрь 2023'!$D$4:$D$1053,$B186,'сентябрь 2023'!$J$4:$J$1053,S$1)</f>
        <v>0</v>
      </c>
      <c r="T186" s="207">
        <f>SUMIFS('сентябрь 2023'!$G$4:$G$1053,'сентябрь 2023'!$D$4:$D$1053,$B186,'сентябрь 2023'!$J$4:$J$1053,T$1)</f>
        <v>0</v>
      </c>
      <c r="U186" s="207">
        <f>SUMIFS('сентябрь 2023'!$G$4:$G$1053,'сентябрь 2023'!$D$4:$D$1053,$B186,'сентябрь 2023'!$J$4:$J$1053,U$1)</f>
        <v>0</v>
      </c>
      <c r="V186" s="207">
        <f>SUMIFS('сентябрь 2023'!$G$4:$G$1053,'сентябрь 2023'!$D$4:$D$1053,$B186,'сентябрь 2023'!$J$4:$J$1053,V$1)</f>
        <v>0</v>
      </c>
      <c r="W186" s="207">
        <f>SUMIFS('сентябрь 2023'!$G$4:$G$1053,'сентябрь 2023'!$D$4:$D$1053,$B186,'сентябрь 2023'!$J$4:$J$1053,W$1)</f>
        <v>0</v>
      </c>
      <c r="X186" s="207">
        <f>SUMIFS('сентябрь 2023'!$G$4:$G$1053,'сентябрь 2023'!$D$4:$D$1053,$B186,'сентябрь 2023'!$J$4:$J$1053,X$1)</f>
        <v>0</v>
      </c>
      <c r="Y186" s="207">
        <f>SUMIFS('сентябрь 2023'!$G$4:$G$1053,'сентябрь 2023'!$D$4:$D$1053,$B186,'сентябрь 2023'!$J$4:$J$1053,Y$1)</f>
        <v>0</v>
      </c>
      <c r="Z186" s="207">
        <f>SUMIFS('сентябрь 2023'!$G$4:$G$1053,'сентябрь 2023'!$D$4:$D$1053,$B186,'сентябрь 2023'!$J$4:$J$1053,Z$1)</f>
        <v>0</v>
      </c>
      <c r="AA186" s="207">
        <f>SUMIFS('сентябрь 2023'!$G$4:$G$1053,'сентябрь 2023'!$D$4:$D$1053,$B186,'сентябрь 2023'!$J$4:$J$1053,AA$1)</f>
        <v>0</v>
      </c>
      <c r="AB186" s="207">
        <f>SUMIFS('сентябрь 2023'!$G$4:$G$1053,'сентябрь 2023'!$D$4:$D$1053,$B186,'сентябрь 2023'!$J$4:$J$1053,AB$1)</f>
        <v>0</v>
      </c>
      <c r="AC186" s="207">
        <f>SUMIFS('сентябрь 2023'!$G$4:$G$1053,'сентябрь 2023'!$D$4:$D$1053,$B186,'сентябрь 2023'!$J$4:$J$1053,AC$1)</f>
        <v>0</v>
      </c>
      <c r="AD186" s="207">
        <f>SUMIFS('сентябрь 2023'!$G$4:$G$1053,'сентябрь 2023'!$D$4:$D$1053,$B186,'сентябрь 2023'!$J$4:$J$1053,AD$1)</f>
        <v>0</v>
      </c>
      <c r="AE186" s="207">
        <f>SUMIFS('сентябрь 2023'!$G$4:$G$1053,'сентябрь 2023'!$D$4:$D$1053,$B186,'сентябрь 2023'!$J$4:$J$1053,AE$1)</f>
        <v>0</v>
      </c>
      <c r="AF186" s="207">
        <f>SUMIFS('сентябрь 2023'!$G$4:$G$1053,'сентябрь 2023'!$D$4:$D$1053,$B186,'сентябрь 2023'!$J$4:$J$1053,AF$1)</f>
        <v>0</v>
      </c>
      <c r="AG186" s="207">
        <f>SUMIFS('сентябрь 2023'!$G$4:$G$1053,'сентябрь 2023'!$D$4:$D$1053,$B186,'сентябрь 2023'!$J$4:$J$1053,AG$1)</f>
        <v>0</v>
      </c>
      <c r="AH186" s="207">
        <f>SUMIFS('сентябрь 2023'!$G$4:$G$1053,'сентябрь 2023'!$D$4:$D$1053,$B186,'сентябрь 2023'!$J$4:$J$1053,AH$1)</f>
        <v>0</v>
      </c>
      <c r="AI186" s="220">
        <f t="shared" si="5"/>
        <v>0</v>
      </c>
    </row>
    <row r="187" spans="2:35" ht="15.75" hidden="1" x14ac:dyDescent="0.25">
      <c r="B187" s="212"/>
      <c r="C187" s="211"/>
      <c r="D187" s="207">
        <f>SUMIFS('сентябрь 2023'!$G$4:$G$1053,'сентябрь 2023'!$D$4:$D$1053,$B187,'сентябрь 2023'!$J$4:$J$1053,D$1)</f>
        <v>0</v>
      </c>
      <c r="E187" s="207">
        <f>SUMIFS('сентябрь 2023'!$G$4:$G$1053,'сентябрь 2023'!$D$4:$D$1053,$B187,'сентябрь 2023'!$J$4:$J$1053,E$1)</f>
        <v>0</v>
      </c>
      <c r="F187" s="207">
        <f>SUMIFS('сентябрь 2023'!$G$4:$G$1053,'сентябрь 2023'!$D$4:$D$1053,$B187,'сентябрь 2023'!$J$4:$J$1053,F$1)</f>
        <v>0</v>
      </c>
      <c r="G187" s="207">
        <f>SUMIFS('сентябрь 2023'!$G$4:$G$1053,'сентябрь 2023'!$D$4:$D$1053,$B187,'сентябрь 2023'!$J$4:$J$1053,G$1)</f>
        <v>0</v>
      </c>
      <c r="H187" s="207">
        <f>SUMIFS('сентябрь 2023'!$G$4:$G$1053,'сентябрь 2023'!$D$4:$D$1053,$B187,'сентябрь 2023'!$J$4:$J$1053,H$1)</f>
        <v>0</v>
      </c>
      <c r="I187" s="207">
        <f>SUMIFS('сентябрь 2023'!$G$4:$G$1053,'сентябрь 2023'!$D$4:$D$1053,$B187,'сентябрь 2023'!$J$4:$J$1053,I$1)</f>
        <v>0</v>
      </c>
      <c r="J187" s="207">
        <f>SUMIFS('сентябрь 2023'!$G$4:$G$1053,'сентябрь 2023'!$D$4:$D$1053,$B187,'сентябрь 2023'!$J$4:$J$1053,J$1)</f>
        <v>0</v>
      </c>
      <c r="K187" s="207">
        <f>SUMIFS('сентябрь 2023'!$G$4:$G$1053,'сентябрь 2023'!$D$4:$D$1053,$B187,'сентябрь 2023'!$J$4:$J$1053,K$1)</f>
        <v>0</v>
      </c>
      <c r="L187" s="207">
        <f>SUMIFS('сентябрь 2023'!$G$4:$G$1053,'сентябрь 2023'!$D$4:$D$1053,$B187,'сентябрь 2023'!$J$4:$J$1053,L$1)</f>
        <v>0</v>
      </c>
      <c r="M187" s="207">
        <f>SUMIFS('сентябрь 2023'!$G$4:$G$1053,'сентябрь 2023'!$D$4:$D$1053,$B187,'сентябрь 2023'!$J$4:$J$1053,M$1)</f>
        <v>0</v>
      </c>
      <c r="N187" s="207">
        <f>SUMIFS('сентябрь 2023'!$G$4:$G$1053,'сентябрь 2023'!$D$4:$D$1053,$B187,'сентябрь 2023'!$J$4:$J$1053,N$1)</f>
        <v>0</v>
      </c>
      <c r="O187" s="207">
        <f>SUMIFS('сентябрь 2023'!$G$4:$G$1053,'сентябрь 2023'!$D$4:$D$1053,$B187,'сентябрь 2023'!$J$4:$J$1053,O$1)</f>
        <v>0</v>
      </c>
      <c r="P187" s="207">
        <f>SUMIFS('сентябрь 2023'!$G$4:$G$1053,'сентябрь 2023'!$D$4:$D$1053,$B187,'сентябрь 2023'!$J$4:$J$1053,P$1)</f>
        <v>0</v>
      </c>
      <c r="Q187" s="207">
        <f>SUMIFS('сентябрь 2023'!$G$4:$G$1053,'сентябрь 2023'!$D$4:$D$1053,$B187,'сентябрь 2023'!$J$4:$J$1053,Q$1)</f>
        <v>0</v>
      </c>
      <c r="R187" s="207">
        <f>SUMIFS('сентябрь 2023'!$G$4:$G$1053,'сентябрь 2023'!$D$4:$D$1053,$B187,'сентябрь 2023'!$J$4:$J$1053,R$1)</f>
        <v>0</v>
      </c>
      <c r="S187" s="207">
        <f>SUMIFS('сентябрь 2023'!$G$4:$G$1053,'сентябрь 2023'!$D$4:$D$1053,$B187,'сентябрь 2023'!$J$4:$J$1053,S$1)</f>
        <v>0</v>
      </c>
      <c r="T187" s="207">
        <f>SUMIFS('сентябрь 2023'!$G$4:$G$1053,'сентябрь 2023'!$D$4:$D$1053,$B187,'сентябрь 2023'!$J$4:$J$1053,T$1)</f>
        <v>0</v>
      </c>
      <c r="U187" s="207">
        <f>SUMIFS('сентябрь 2023'!$G$4:$G$1053,'сентябрь 2023'!$D$4:$D$1053,$B187,'сентябрь 2023'!$J$4:$J$1053,U$1)</f>
        <v>0</v>
      </c>
      <c r="V187" s="207">
        <f>SUMIFS('сентябрь 2023'!$G$4:$G$1053,'сентябрь 2023'!$D$4:$D$1053,$B187,'сентябрь 2023'!$J$4:$J$1053,V$1)</f>
        <v>0</v>
      </c>
      <c r="W187" s="207">
        <f>SUMIFS('сентябрь 2023'!$G$4:$G$1053,'сентябрь 2023'!$D$4:$D$1053,$B187,'сентябрь 2023'!$J$4:$J$1053,W$1)</f>
        <v>0</v>
      </c>
      <c r="X187" s="207">
        <f>SUMIFS('сентябрь 2023'!$G$4:$G$1053,'сентябрь 2023'!$D$4:$D$1053,$B187,'сентябрь 2023'!$J$4:$J$1053,X$1)</f>
        <v>0</v>
      </c>
      <c r="Y187" s="207">
        <f>SUMIFS('сентябрь 2023'!$G$4:$G$1053,'сентябрь 2023'!$D$4:$D$1053,$B187,'сентябрь 2023'!$J$4:$J$1053,Y$1)</f>
        <v>0</v>
      </c>
      <c r="Z187" s="207">
        <f>SUMIFS('сентябрь 2023'!$G$4:$G$1053,'сентябрь 2023'!$D$4:$D$1053,$B187,'сентябрь 2023'!$J$4:$J$1053,Z$1)</f>
        <v>0</v>
      </c>
      <c r="AA187" s="207">
        <f>SUMIFS('сентябрь 2023'!$G$4:$G$1053,'сентябрь 2023'!$D$4:$D$1053,$B187,'сентябрь 2023'!$J$4:$J$1053,AA$1)</f>
        <v>0</v>
      </c>
      <c r="AB187" s="207">
        <f>SUMIFS('сентябрь 2023'!$G$4:$G$1053,'сентябрь 2023'!$D$4:$D$1053,$B187,'сентябрь 2023'!$J$4:$J$1053,AB$1)</f>
        <v>0</v>
      </c>
      <c r="AC187" s="207">
        <f>SUMIFS('сентябрь 2023'!$G$4:$G$1053,'сентябрь 2023'!$D$4:$D$1053,$B187,'сентябрь 2023'!$J$4:$J$1053,AC$1)</f>
        <v>0</v>
      </c>
      <c r="AD187" s="207">
        <f>SUMIFS('сентябрь 2023'!$G$4:$G$1053,'сентябрь 2023'!$D$4:$D$1053,$B187,'сентябрь 2023'!$J$4:$J$1053,AD$1)</f>
        <v>0</v>
      </c>
      <c r="AE187" s="207">
        <f>SUMIFS('сентябрь 2023'!$G$4:$G$1053,'сентябрь 2023'!$D$4:$D$1053,$B187,'сентябрь 2023'!$J$4:$J$1053,AE$1)</f>
        <v>0</v>
      </c>
      <c r="AF187" s="207">
        <f>SUMIFS('сентябрь 2023'!$G$4:$G$1053,'сентябрь 2023'!$D$4:$D$1053,$B187,'сентябрь 2023'!$J$4:$J$1053,AF$1)</f>
        <v>0</v>
      </c>
      <c r="AG187" s="207">
        <f>SUMIFS('сентябрь 2023'!$G$4:$G$1053,'сентябрь 2023'!$D$4:$D$1053,$B187,'сентябрь 2023'!$J$4:$J$1053,AG$1)</f>
        <v>0</v>
      </c>
      <c r="AH187" s="207">
        <f>SUMIFS('сентябрь 2023'!$G$4:$G$1053,'сентябрь 2023'!$D$4:$D$1053,$B187,'сентябрь 2023'!$J$4:$J$1053,AH$1)</f>
        <v>0</v>
      </c>
      <c r="AI187" s="220">
        <f t="shared" si="5"/>
        <v>0</v>
      </c>
    </row>
    <row r="188" spans="2:35" ht="15.75" hidden="1" x14ac:dyDescent="0.25">
      <c r="B188" s="212"/>
      <c r="C188" s="211"/>
      <c r="D188" s="207">
        <f>SUMIFS('сентябрь 2023'!$G$4:$G$1053,'сентябрь 2023'!$D$4:$D$1053,$B188,'сентябрь 2023'!$J$4:$J$1053,D$1)</f>
        <v>0</v>
      </c>
      <c r="E188" s="207">
        <f>SUMIFS('сентябрь 2023'!$G$4:$G$1053,'сентябрь 2023'!$D$4:$D$1053,$B188,'сентябрь 2023'!$J$4:$J$1053,E$1)</f>
        <v>0</v>
      </c>
      <c r="F188" s="207">
        <f>SUMIFS('сентябрь 2023'!$G$4:$G$1053,'сентябрь 2023'!$D$4:$D$1053,$B188,'сентябрь 2023'!$J$4:$J$1053,F$1)</f>
        <v>0</v>
      </c>
      <c r="G188" s="207">
        <f>SUMIFS('сентябрь 2023'!$G$4:$G$1053,'сентябрь 2023'!$D$4:$D$1053,$B188,'сентябрь 2023'!$J$4:$J$1053,G$1)</f>
        <v>0</v>
      </c>
      <c r="H188" s="207">
        <f>SUMIFS('сентябрь 2023'!$G$4:$G$1053,'сентябрь 2023'!$D$4:$D$1053,$B188,'сентябрь 2023'!$J$4:$J$1053,H$1)</f>
        <v>0</v>
      </c>
      <c r="I188" s="207">
        <f>SUMIFS('сентябрь 2023'!$G$4:$G$1053,'сентябрь 2023'!$D$4:$D$1053,$B188,'сентябрь 2023'!$J$4:$J$1053,I$1)</f>
        <v>0</v>
      </c>
      <c r="J188" s="207">
        <f>SUMIFS('сентябрь 2023'!$G$4:$G$1053,'сентябрь 2023'!$D$4:$D$1053,$B188,'сентябрь 2023'!$J$4:$J$1053,J$1)</f>
        <v>0</v>
      </c>
      <c r="K188" s="207">
        <f>SUMIFS('сентябрь 2023'!$G$4:$G$1053,'сентябрь 2023'!$D$4:$D$1053,$B188,'сентябрь 2023'!$J$4:$J$1053,K$1)</f>
        <v>0</v>
      </c>
      <c r="L188" s="207">
        <f>SUMIFS('сентябрь 2023'!$G$4:$G$1053,'сентябрь 2023'!$D$4:$D$1053,$B188,'сентябрь 2023'!$J$4:$J$1053,L$1)</f>
        <v>0</v>
      </c>
      <c r="M188" s="207">
        <f>SUMIFS('сентябрь 2023'!$G$4:$G$1053,'сентябрь 2023'!$D$4:$D$1053,$B188,'сентябрь 2023'!$J$4:$J$1053,M$1)</f>
        <v>0</v>
      </c>
      <c r="N188" s="207">
        <f>SUMIFS('сентябрь 2023'!$G$4:$G$1053,'сентябрь 2023'!$D$4:$D$1053,$B188,'сентябрь 2023'!$J$4:$J$1053,N$1)</f>
        <v>0</v>
      </c>
      <c r="O188" s="207">
        <f>SUMIFS('сентябрь 2023'!$G$4:$G$1053,'сентябрь 2023'!$D$4:$D$1053,$B188,'сентябрь 2023'!$J$4:$J$1053,O$1)</f>
        <v>0</v>
      </c>
      <c r="P188" s="207">
        <f>SUMIFS('сентябрь 2023'!$G$4:$G$1053,'сентябрь 2023'!$D$4:$D$1053,$B188,'сентябрь 2023'!$J$4:$J$1053,P$1)</f>
        <v>0</v>
      </c>
      <c r="Q188" s="207">
        <f>SUMIFS('сентябрь 2023'!$G$4:$G$1053,'сентябрь 2023'!$D$4:$D$1053,$B188,'сентябрь 2023'!$J$4:$J$1053,Q$1)</f>
        <v>0</v>
      </c>
      <c r="R188" s="207">
        <f>SUMIFS('сентябрь 2023'!$G$4:$G$1053,'сентябрь 2023'!$D$4:$D$1053,$B188,'сентябрь 2023'!$J$4:$J$1053,R$1)</f>
        <v>0</v>
      </c>
      <c r="S188" s="207">
        <f>SUMIFS('сентябрь 2023'!$G$4:$G$1053,'сентябрь 2023'!$D$4:$D$1053,$B188,'сентябрь 2023'!$J$4:$J$1053,S$1)</f>
        <v>0</v>
      </c>
      <c r="T188" s="207">
        <f>SUMIFS('сентябрь 2023'!$G$4:$G$1053,'сентябрь 2023'!$D$4:$D$1053,$B188,'сентябрь 2023'!$J$4:$J$1053,T$1)</f>
        <v>0</v>
      </c>
      <c r="U188" s="207">
        <f>SUMIFS('сентябрь 2023'!$G$4:$G$1053,'сентябрь 2023'!$D$4:$D$1053,$B188,'сентябрь 2023'!$J$4:$J$1053,U$1)</f>
        <v>0</v>
      </c>
      <c r="V188" s="207">
        <f>SUMIFS('сентябрь 2023'!$G$4:$G$1053,'сентябрь 2023'!$D$4:$D$1053,$B188,'сентябрь 2023'!$J$4:$J$1053,V$1)</f>
        <v>0</v>
      </c>
      <c r="W188" s="207">
        <f>SUMIFS('сентябрь 2023'!$G$4:$G$1053,'сентябрь 2023'!$D$4:$D$1053,$B188,'сентябрь 2023'!$J$4:$J$1053,W$1)</f>
        <v>0</v>
      </c>
      <c r="X188" s="207">
        <f>SUMIFS('сентябрь 2023'!$G$4:$G$1053,'сентябрь 2023'!$D$4:$D$1053,$B188,'сентябрь 2023'!$J$4:$J$1053,X$1)</f>
        <v>0</v>
      </c>
      <c r="Y188" s="207">
        <f>SUMIFS('сентябрь 2023'!$G$4:$G$1053,'сентябрь 2023'!$D$4:$D$1053,$B188,'сентябрь 2023'!$J$4:$J$1053,Y$1)</f>
        <v>0</v>
      </c>
      <c r="Z188" s="207">
        <f>SUMIFS('сентябрь 2023'!$G$4:$G$1053,'сентябрь 2023'!$D$4:$D$1053,$B188,'сентябрь 2023'!$J$4:$J$1053,Z$1)</f>
        <v>0</v>
      </c>
      <c r="AA188" s="207">
        <f>SUMIFS('сентябрь 2023'!$G$4:$G$1053,'сентябрь 2023'!$D$4:$D$1053,$B188,'сентябрь 2023'!$J$4:$J$1053,AA$1)</f>
        <v>0</v>
      </c>
      <c r="AB188" s="207">
        <f>SUMIFS('сентябрь 2023'!$G$4:$G$1053,'сентябрь 2023'!$D$4:$D$1053,$B188,'сентябрь 2023'!$J$4:$J$1053,AB$1)</f>
        <v>0</v>
      </c>
      <c r="AC188" s="207">
        <f>SUMIFS('сентябрь 2023'!$G$4:$G$1053,'сентябрь 2023'!$D$4:$D$1053,$B188,'сентябрь 2023'!$J$4:$J$1053,AC$1)</f>
        <v>0</v>
      </c>
      <c r="AD188" s="207">
        <f>SUMIFS('сентябрь 2023'!$G$4:$G$1053,'сентябрь 2023'!$D$4:$D$1053,$B188,'сентябрь 2023'!$J$4:$J$1053,AD$1)</f>
        <v>0</v>
      </c>
      <c r="AE188" s="207">
        <f>SUMIFS('сентябрь 2023'!$G$4:$G$1053,'сентябрь 2023'!$D$4:$D$1053,$B188,'сентябрь 2023'!$J$4:$J$1053,AE$1)</f>
        <v>0</v>
      </c>
      <c r="AF188" s="207">
        <f>SUMIFS('сентябрь 2023'!$G$4:$G$1053,'сентябрь 2023'!$D$4:$D$1053,$B188,'сентябрь 2023'!$J$4:$J$1053,AF$1)</f>
        <v>0</v>
      </c>
      <c r="AG188" s="207">
        <f>SUMIFS('сентябрь 2023'!$G$4:$G$1053,'сентябрь 2023'!$D$4:$D$1053,$B188,'сентябрь 2023'!$J$4:$J$1053,AG$1)</f>
        <v>0</v>
      </c>
      <c r="AH188" s="207">
        <f>SUMIFS('сентябрь 2023'!$G$4:$G$1053,'сентябрь 2023'!$D$4:$D$1053,$B188,'сентябрь 2023'!$J$4:$J$1053,AH$1)</f>
        <v>0</v>
      </c>
      <c r="AI188" s="220">
        <f t="shared" si="5"/>
        <v>0</v>
      </c>
    </row>
    <row r="189" spans="2:35" ht="15.75" hidden="1" x14ac:dyDescent="0.25">
      <c r="B189" s="212"/>
      <c r="C189" s="211"/>
      <c r="D189" s="207">
        <f>SUMIFS('сентябрь 2023'!$G$4:$G$1053,'сентябрь 2023'!$D$4:$D$1053,$B189,'сентябрь 2023'!$J$4:$J$1053,D$1)</f>
        <v>0</v>
      </c>
      <c r="E189" s="207">
        <f>SUMIFS('сентябрь 2023'!$G$4:$G$1053,'сентябрь 2023'!$D$4:$D$1053,$B189,'сентябрь 2023'!$J$4:$J$1053,E$1)</f>
        <v>0</v>
      </c>
      <c r="F189" s="207">
        <f>SUMIFS('сентябрь 2023'!$G$4:$G$1053,'сентябрь 2023'!$D$4:$D$1053,$B189,'сентябрь 2023'!$J$4:$J$1053,F$1)</f>
        <v>0</v>
      </c>
      <c r="G189" s="207">
        <f>SUMIFS('сентябрь 2023'!$G$4:$G$1053,'сентябрь 2023'!$D$4:$D$1053,$B189,'сентябрь 2023'!$J$4:$J$1053,G$1)</f>
        <v>0</v>
      </c>
      <c r="H189" s="207">
        <f>SUMIFS('сентябрь 2023'!$G$4:$G$1053,'сентябрь 2023'!$D$4:$D$1053,$B189,'сентябрь 2023'!$J$4:$J$1053,H$1)</f>
        <v>0</v>
      </c>
      <c r="I189" s="207">
        <f>SUMIFS('сентябрь 2023'!$G$4:$G$1053,'сентябрь 2023'!$D$4:$D$1053,$B189,'сентябрь 2023'!$J$4:$J$1053,I$1)</f>
        <v>0</v>
      </c>
      <c r="J189" s="207">
        <f>SUMIFS('сентябрь 2023'!$G$4:$G$1053,'сентябрь 2023'!$D$4:$D$1053,$B189,'сентябрь 2023'!$J$4:$J$1053,J$1)</f>
        <v>0</v>
      </c>
      <c r="K189" s="207">
        <f>SUMIFS('сентябрь 2023'!$G$4:$G$1053,'сентябрь 2023'!$D$4:$D$1053,$B189,'сентябрь 2023'!$J$4:$J$1053,K$1)</f>
        <v>0</v>
      </c>
      <c r="L189" s="207">
        <f>SUMIFS('сентябрь 2023'!$G$4:$G$1053,'сентябрь 2023'!$D$4:$D$1053,$B189,'сентябрь 2023'!$J$4:$J$1053,L$1)</f>
        <v>0</v>
      </c>
      <c r="M189" s="207">
        <f>SUMIFS('сентябрь 2023'!$G$4:$G$1053,'сентябрь 2023'!$D$4:$D$1053,$B189,'сентябрь 2023'!$J$4:$J$1053,M$1)</f>
        <v>0</v>
      </c>
      <c r="N189" s="207">
        <f>SUMIFS('сентябрь 2023'!$G$4:$G$1053,'сентябрь 2023'!$D$4:$D$1053,$B189,'сентябрь 2023'!$J$4:$J$1053,N$1)</f>
        <v>0</v>
      </c>
      <c r="O189" s="207">
        <f>SUMIFS('сентябрь 2023'!$G$4:$G$1053,'сентябрь 2023'!$D$4:$D$1053,$B189,'сентябрь 2023'!$J$4:$J$1053,O$1)</f>
        <v>0</v>
      </c>
      <c r="P189" s="207">
        <f>SUMIFS('сентябрь 2023'!$G$4:$G$1053,'сентябрь 2023'!$D$4:$D$1053,$B189,'сентябрь 2023'!$J$4:$J$1053,P$1)</f>
        <v>0</v>
      </c>
      <c r="Q189" s="207">
        <f>SUMIFS('сентябрь 2023'!$G$4:$G$1053,'сентябрь 2023'!$D$4:$D$1053,$B189,'сентябрь 2023'!$J$4:$J$1053,Q$1)</f>
        <v>0</v>
      </c>
      <c r="R189" s="207">
        <f>SUMIFS('сентябрь 2023'!$G$4:$G$1053,'сентябрь 2023'!$D$4:$D$1053,$B189,'сентябрь 2023'!$J$4:$J$1053,R$1)</f>
        <v>0</v>
      </c>
      <c r="S189" s="207">
        <f>SUMIFS('сентябрь 2023'!$G$4:$G$1053,'сентябрь 2023'!$D$4:$D$1053,$B189,'сентябрь 2023'!$J$4:$J$1053,S$1)</f>
        <v>0</v>
      </c>
      <c r="T189" s="207">
        <f>SUMIFS('сентябрь 2023'!$G$4:$G$1053,'сентябрь 2023'!$D$4:$D$1053,$B189,'сентябрь 2023'!$J$4:$J$1053,T$1)</f>
        <v>0</v>
      </c>
      <c r="U189" s="207">
        <f>SUMIFS('сентябрь 2023'!$G$4:$G$1053,'сентябрь 2023'!$D$4:$D$1053,$B189,'сентябрь 2023'!$J$4:$J$1053,U$1)</f>
        <v>0</v>
      </c>
      <c r="V189" s="207">
        <f>SUMIFS('сентябрь 2023'!$G$4:$G$1053,'сентябрь 2023'!$D$4:$D$1053,$B189,'сентябрь 2023'!$J$4:$J$1053,V$1)</f>
        <v>0</v>
      </c>
      <c r="W189" s="207">
        <f>SUMIFS('сентябрь 2023'!$G$4:$G$1053,'сентябрь 2023'!$D$4:$D$1053,$B189,'сентябрь 2023'!$J$4:$J$1053,W$1)</f>
        <v>0</v>
      </c>
      <c r="X189" s="207">
        <f>SUMIFS('сентябрь 2023'!$G$4:$G$1053,'сентябрь 2023'!$D$4:$D$1053,$B189,'сентябрь 2023'!$J$4:$J$1053,X$1)</f>
        <v>0</v>
      </c>
      <c r="Y189" s="207">
        <f>SUMIFS('сентябрь 2023'!$G$4:$G$1053,'сентябрь 2023'!$D$4:$D$1053,$B189,'сентябрь 2023'!$J$4:$J$1053,Y$1)</f>
        <v>0</v>
      </c>
      <c r="Z189" s="207">
        <f>SUMIFS('сентябрь 2023'!$G$4:$G$1053,'сентябрь 2023'!$D$4:$D$1053,$B189,'сентябрь 2023'!$J$4:$J$1053,Z$1)</f>
        <v>0</v>
      </c>
      <c r="AA189" s="207">
        <f>SUMIFS('сентябрь 2023'!$G$4:$G$1053,'сентябрь 2023'!$D$4:$D$1053,$B189,'сентябрь 2023'!$J$4:$J$1053,AA$1)</f>
        <v>0</v>
      </c>
      <c r="AB189" s="207">
        <f>SUMIFS('сентябрь 2023'!$G$4:$G$1053,'сентябрь 2023'!$D$4:$D$1053,$B189,'сентябрь 2023'!$J$4:$J$1053,AB$1)</f>
        <v>0</v>
      </c>
      <c r="AC189" s="207">
        <f>SUMIFS('сентябрь 2023'!$G$4:$G$1053,'сентябрь 2023'!$D$4:$D$1053,$B189,'сентябрь 2023'!$J$4:$J$1053,AC$1)</f>
        <v>0</v>
      </c>
      <c r="AD189" s="207">
        <f>SUMIFS('сентябрь 2023'!$G$4:$G$1053,'сентябрь 2023'!$D$4:$D$1053,$B189,'сентябрь 2023'!$J$4:$J$1053,AD$1)</f>
        <v>0</v>
      </c>
      <c r="AE189" s="207">
        <f>SUMIFS('сентябрь 2023'!$G$4:$G$1053,'сентябрь 2023'!$D$4:$D$1053,$B189,'сентябрь 2023'!$J$4:$J$1053,AE$1)</f>
        <v>0</v>
      </c>
      <c r="AF189" s="207">
        <f>SUMIFS('сентябрь 2023'!$G$4:$G$1053,'сентябрь 2023'!$D$4:$D$1053,$B189,'сентябрь 2023'!$J$4:$J$1053,AF$1)</f>
        <v>0</v>
      </c>
      <c r="AG189" s="207">
        <f>SUMIFS('сентябрь 2023'!$G$4:$G$1053,'сентябрь 2023'!$D$4:$D$1053,$B189,'сентябрь 2023'!$J$4:$J$1053,AG$1)</f>
        <v>0</v>
      </c>
      <c r="AH189" s="207">
        <f>SUMIFS('сентябрь 2023'!$G$4:$G$1053,'сентябрь 2023'!$D$4:$D$1053,$B189,'сентябрь 2023'!$J$4:$J$1053,AH$1)</f>
        <v>0</v>
      </c>
      <c r="AI189" s="220">
        <f t="shared" si="5"/>
        <v>0</v>
      </c>
    </row>
    <row r="190" spans="2:35" ht="15.75" x14ac:dyDescent="0.25">
      <c r="B190" s="212"/>
      <c r="C190" s="221"/>
      <c r="D190" s="207">
        <f>SUMIFS('сентябрь 2023'!$G$4:$G$1053,'сентябрь 2023'!$D$4:$D$1053,$B190,'сентябрь 2023'!$J$4:$J$1053,D$1)</f>
        <v>0</v>
      </c>
      <c r="E190" s="207">
        <f>SUMIFS('сентябрь 2023'!$G$4:$G$1053,'сентябрь 2023'!$D$4:$D$1053,$B190,'сентябрь 2023'!$J$4:$J$1053,E$1)</f>
        <v>0</v>
      </c>
      <c r="F190" s="207">
        <f>SUMIFS('сентябрь 2023'!$G$4:$G$1053,'сентябрь 2023'!$D$4:$D$1053,$B190,'сентябрь 2023'!$J$4:$J$1053,F$1)</f>
        <v>0</v>
      </c>
      <c r="G190" s="207">
        <f>SUMIFS('сентябрь 2023'!$G$4:$G$1053,'сентябрь 2023'!$D$4:$D$1053,$B190,'сентябрь 2023'!$J$4:$J$1053,G$1)</f>
        <v>0</v>
      </c>
      <c r="H190" s="207">
        <f>SUMIFS('сентябрь 2023'!$G$4:$G$1053,'сентябрь 2023'!$D$4:$D$1053,$B190,'сентябрь 2023'!$J$4:$J$1053,H$1)</f>
        <v>0</v>
      </c>
      <c r="I190" s="207">
        <f>SUMIFS('сентябрь 2023'!$G$4:$G$1053,'сентябрь 2023'!$D$4:$D$1053,$B190,'сентябрь 2023'!$J$4:$J$1053,I$1)</f>
        <v>0</v>
      </c>
      <c r="J190" s="207">
        <f>SUMIFS('сентябрь 2023'!$G$4:$G$1053,'сентябрь 2023'!$D$4:$D$1053,$B190,'сентябрь 2023'!$J$4:$J$1053,J$1)</f>
        <v>0</v>
      </c>
      <c r="K190" s="207">
        <f>SUMIFS('сентябрь 2023'!$G$4:$G$1053,'сентябрь 2023'!$D$4:$D$1053,$B190,'сентябрь 2023'!$J$4:$J$1053,K$1)</f>
        <v>0</v>
      </c>
      <c r="L190" s="207">
        <f>SUMIFS('сентябрь 2023'!$G$4:$G$1053,'сентябрь 2023'!$D$4:$D$1053,$B190,'сентябрь 2023'!$J$4:$J$1053,L$1)</f>
        <v>0</v>
      </c>
      <c r="M190" s="207">
        <f>SUMIFS('сентябрь 2023'!$G$4:$G$1053,'сентябрь 2023'!$D$4:$D$1053,$B190,'сентябрь 2023'!$J$4:$J$1053,M$1)</f>
        <v>0</v>
      </c>
      <c r="N190" s="207">
        <f>SUMIFS('сентябрь 2023'!$G$4:$G$1053,'сентябрь 2023'!$D$4:$D$1053,$B190,'сентябрь 2023'!$J$4:$J$1053,N$1)</f>
        <v>0</v>
      </c>
      <c r="O190" s="207">
        <f>SUMIFS('сентябрь 2023'!$G$4:$G$1053,'сентябрь 2023'!$D$4:$D$1053,$B190,'сентябрь 2023'!$J$4:$J$1053,O$1)</f>
        <v>0</v>
      </c>
      <c r="P190" s="207">
        <f>SUMIFS('сентябрь 2023'!$G$4:$G$1053,'сентябрь 2023'!$D$4:$D$1053,$B190,'сентябрь 2023'!$J$4:$J$1053,P$1)</f>
        <v>0</v>
      </c>
      <c r="Q190" s="207">
        <f>SUMIFS('сентябрь 2023'!$G$4:$G$1053,'сентябрь 2023'!$D$4:$D$1053,$B190,'сентябрь 2023'!$J$4:$J$1053,Q$1)</f>
        <v>0</v>
      </c>
      <c r="R190" s="207">
        <f>SUMIFS('сентябрь 2023'!$G$4:$G$1053,'сентябрь 2023'!$D$4:$D$1053,$B190,'сентябрь 2023'!$J$4:$J$1053,R$1)</f>
        <v>0</v>
      </c>
      <c r="S190" s="207">
        <f>SUMIFS('сентябрь 2023'!$G$4:$G$1053,'сентябрь 2023'!$D$4:$D$1053,$B190,'сентябрь 2023'!$J$4:$J$1053,S$1)</f>
        <v>0</v>
      </c>
      <c r="T190" s="207">
        <f>SUMIFS('сентябрь 2023'!$G$4:$G$1053,'сентябрь 2023'!$D$4:$D$1053,$B190,'сентябрь 2023'!$J$4:$J$1053,T$1)</f>
        <v>0</v>
      </c>
      <c r="U190" s="207">
        <f>SUMIFS('сентябрь 2023'!$G$4:$G$1053,'сентябрь 2023'!$D$4:$D$1053,$B190,'сентябрь 2023'!$J$4:$J$1053,U$1)</f>
        <v>0</v>
      </c>
      <c r="V190" s="207">
        <f>SUMIFS('сентябрь 2023'!$G$4:$G$1053,'сентябрь 2023'!$D$4:$D$1053,$B190,'сентябрь 2023'!$J$4:$J$1053,V$1)</f>
        <v>0</v>
      </c>
      <c r="W190" s="207">
        <f>SUMIFS('сентябрь 2023'!$G$4:$G$1053,'сентябрь 2023'!$D$4:$D$1053,$B190,'сентябрь 2023'!$J$4:$J$1053,W$1)</f>
        <v>0</v>
      </c>
      <c r="X190" s="207">
        <f>SUMIFS('сентябрь 2023'!$G$4:$G$1053,'сентябрь 2023'!$D$4:$D$1053,$B190,'сентябрь 2023'!$J$4:$J$1053,X$1)</f>
        <v>0</v>
      </c>
      <c r="Y190" s="207">
        <f>SUMIFS('сентябрь 2023'!$G$4:$G$1053,'сентябрь 2023'!$D$4:$D$1053,$B190,'сентябрь 2023'!$J$4:$J$1053,Y$1)</f>
        <v>0</v>
      </c>
      <c r="Z190" s="207">
        <f>SUMIFS('сентябрь 2023'!$G$4:$G$1053,'сентябрь 2023'!$D$4:$D$1053,$B190,'сентябрь 2023'!$J$4:$J$1053,Z$1)</f>
        <v>0</v>
      </c>
      <c r="AA190" s="207">
        <f>SUMIFS('сентябрь 2023'!$G$4:$G$1053,'сентябрь 2023'!$D$4:$D$1053,$B190,'сентябрь 2023'!$J$4:$J$1053,AA$1)</f>
        <v>0</v>
      </c>
      <c r="AB190" s="207">
        <f>SUMIFS('сентябрь 2023'!$G$4:$G$1053,'сентябрь 2023'!$D$4:$D$1053,$B190,'сентябрь 2023'!$J$4:$J$1053,AB$1)</f>
        <v>0</v>
      </c>
      <c r="AC190" s="207">
        <f>SUMIFS('сентябрь 2023'!$G$4:$G$1053,'сентябрь 2023'!$D$4:$D$1053,$B190,'сентябрь 2023'!$J$4:$J$1053,AC$1)</f>
        <v>0</v>
      </c>
      <c r="AD190" s="207">
        <f>SUMIFS('сентябрь 2023'!$G$4:$G$1053,'сентябрь 2023'!$D$4:$D$1053,$B190,'сентябрь 2023'!$J$4:$J$1053,AD$1)</f>
        <v>0</v>
      </c>
      <c r="AE190" s="207">
        <f>SUMIFS('сентябрь 2023'!$G$4:$G$1053,'сентябрь 2023'!$D$4:$D$1053,$B190,'сентябрь 2023'!$J$4:$J$1053,AE$1)</f>
        <v>0</v>
      </c>
      <c r="AF190" s="207">
        <f>SUMIFS('сентябрь 2023'!$G$4:$G$1053,'сентябрь 2023'!$D$4:$D$1053,$B190,'сентябрь 2023'!$J$4:$J$1053,AF$1)</f>
        <v>0</v>
      </c>
      <c r="AG190" s="207">
        <f>SUMIFS('сентябрь 2023'!$G$4:$G$1053,'сентябрь 2023'!$D$4:$D$1053,$B190,'сентябрь 2023'!$J$4:$J$1053,AG$1)</f>
        <v>0</v>
      </c>
      <c r="AH190" s="207">
        <f>SUMIFS('сентябрь 2023'!$G$4:$G$1053,'сентябрь 2023'!$D$4:$D$1053,$B190,'сентябрь 2023'!$J$4:$J$1053,AH$1)</f>
        <v>0</v>
      </c>
      <c r="AI190" s="220">
        <f t="shared" si="5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0000000}">
          <x14:formula1>
            <xm:f>справочник!$E$4:$E$159</xm:f>
          </x14:formula1>
          <xm:sqref>B3:B190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B1:AI190"/>
  <sheetViews>
    <sheetView showZeros="0" topLeftCell="A51" zoomScale="70" workbookViewId="0">
      <selection activeCell="F56" sqref="F56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45139</v>
      </c>
      <c r="C1" s="192"/>
      <c r="D1" s="157">
        <f>B1</f>
        <v>45139</v>
      </c>
      <c r="E1" s="157">
        <f>D1+1</f>
        <v>45140</v>
      </c>
      <c r="F1" s="157">
        <f t="shared" ref="F1:AH1" si="0">E1+1</f>
        <v>45141</v>
      </c>
      <c r="G1" s="157">
        <f t="shared" si="0"/>
        <v>45142</v>
      </c>
      <c r="H1" s="157">
        <f t="shared" si="0"/>
        <v>45143</v>
      </c>
      <c r="I1" s="157">
        <f t="shared" si="0"/>
        <v>45144</v>
      </c>
      <c r="J1" s="157">
        <f t="shared" si="0"/>
        <v>45145</v>
      </c>
      <c r="K1" s="157">
        <f t="shared" si="0"/>
        <v>45146</v>
      </c>
      <c r="L1" s="157">
        <f t="shared" si="0"/>
        <v>45147</v>
      </c>
      <c r="M1" s="157">
        <f t="shared" si="0"/>
        <v>45148</v>
      </c>
      <c r="N1" s="157">
        <f t="shared" si="0"/>
        <v>45149</v>
      </c>
      <c r="O1" s="157">
        <f t="shared" si="0"/>
        <v>45150</v>
      </c>
      <c r="P1" s="157">
        <f t="shared" si="0"/>
        <v>45151</v>
      </c>
      <c r="Q1" s="157">
        <f t="shared" si="0"/>
        <v>45152</v>
      </c>
      <c r="R1" s="157">
        <f t="shared" si="0"/>
        <v>45153</v>
      </c>
      <c r="S1" s="157">
        <f t="shared" si="0"/>
        <v>45154</v>
      </c>
      <c r="T1" s="157">
        <f t="shared" si="0"/>
        <v>45155</v>
      </c>
      <c r="U1" s="157">
        <f t="shared" si="0"/>
        <v>45156</v>
      </c>
      <c r="V1" s="157">
        <f t="shared" si="0"/>
        <v>45157</v>
      </c>
      <c r="W1" s="157">
        <f t="shared" si="0"/>
        <v>45158</v>
      </c>
      <c r="X1" s="157">
        <f t="shared" si="0"/>
        <v>45159</v>
      </c>
      <c r="Y1" s="157">
        <f t="shared" si="0"/>
        <v>45160</v>
      </c>
      <c r="Z1" s="157">
        <f t="shared" si="0"/>
        <v>45161</v>
      </c>
      <c r="AA1" s="157">
        <f t="shared" si="0"/>
        <v>45162</v>
      </c>
      <c r="AB1" s="157">
        <f t="shared" si="0"/>
        <v>45163</v>
      </c>
      <c r="AC1" s="157">
        <f t="shared" si="0"/>
        <v>45164</v>
      </c>
      <c r="AD1" s="157">
        <f t="shared" si="0"/>
        <v>45165</v>
      </c>
      <c r="AE1" s="157">
        <f t="shared" si="0"/>
        <v>45166</v>
      </c>
      <c r="AF1" s="157">
        <f t="shared" si="0"/>
        <v>45167</v>
      </c>
      <c r="AG1" s="157">
        <f t="shared" si="0"/>
        <v>45168</v>
      </c>
      <c r="AH1" s="157">
        <f t="shared" si="0"/>
        <v>45169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SUMIFS('август 2023'!$G$4:$G$1022,'август 2023'!$D$4:$D$1022,$B3,'август 2023'!$J$4:$J$1022,D$1)</f>
        <v>0</v>
      </c>
      <c r="E3" s="198">
        <f>SUMIFS('август 2023'!$G$4:$G$1022,'август 2023'!$D$4:$D$1022,$B3,'август 2023'!$J$4:$J$1022,E$1)</f>
        <v>0</v>
      </c>
      <c r="F3" s="198">
        <f>SUMIFS('август 2023'!$G$4:$G$1022,'август 2023'!$D$4:$D$1022,$B3,'август 2023'!$J$4:$J$1022,F$1)</f>
        <v>0</v>
      </c>
      <c r="G3" s="198">
        <f>SUMIFS('август 2023'!$G$4:$G$1022,'август 2023'!$D$4:$D$1022,$B3,'август 2023'!$J$4:$J$1022,G$1)</f>
        <v>0</v>
      </c>
      <c r="H3" s="198">
        <f>SUMIFS('август 2023'!$G$4:$G$1022,'август 2023'!$D$4:$D$1022,$B3,'август 2023'!$J$4:$J$1022,H$1)</f>
        <v>0</v>
      </c>
      <c r="I3" s="198">
        <f>SUMIFS('август 2023'!$G$4:$G$1022,'август 2023'!$D$4:$D$1022,$B3,'август 2023'!$J$4:$J$1022,I$1)</f>
        <v>0</v>
      </c>
      <c r="J3" s="198">
        <f>SUMIFS('август 2023'!$G$4:$G$1022,'август 2023'!$D$4:$D$1022,$B3,'август 2023'!$J$4:$J$1022,J$1)</f>
        <v>0</v>
      </c>
      <c r="K3" s="198">
        <f>SUMIFS('август 2023'!$G$4:$G$1022,'август 2023'!$D$4:$D$1022,$B3,'август 2023'!$J$4:$J$1022,K$1)</f>
        <v>0</v>
      </c>
      <c r="L3" s="198">
        <f>SUMIFS('август 2023'!$G$4:$G$1022,'август 2023'!$D$4:$D$1022,$B3,'август 2023'!$J$4:$J$1022,L$1)</f>
        <v>0</v>
      </c>
      <c r="M3" s="198">
        <f>SUMIFS('август 2023'!$G$4:$G$1022,'август 2023'!$D$4:$D$1022,$B3,'август 2023'!$J$4:$J$1022,M$1)</f>
        <v>0</v>
      </c>
      <c r="N3" s="198">
        <f>SUMIFS('август 2023'!$G$4:$G$1022,'август 2023'!$D$4:$D$1022,$B3,'август 2023'!$J$4:$J$1022,N$1)</f>
        <v>0</v>
      </c>
      <c r="O3" s="198">
        <f>SUMIFS('август 2023'!$G$4:$G$1022,'август 2023'!$D$4:$D$1022,$B3,'август 2023'!$J$4:$J$1022,O$1)</f>
        <v>0</v>
      </c>
      <c r="P3" s="198">
        <f>SUMIFS('август 2023'!$G$4:$G$1022,'август 2023'!$D$4:$D$1022,$B3,'август 2023'!$J$4:$J$1022,P$1)</f>
        <v>0</v>
      </c>
      <c r="Q3" s="198">
        <f>SUMIFS('август 2023'!$G$4:$G$1022,'август 2023'!$D$4:$D$1022,$B3,'август 2023'!$J$4:$J$1022,Q$1)</f>
        <v>0</v>
      </c>
      <c r="R3" s="198">
        <f>SUMIFS('август 2023'!$G$4:$G$1022,'август 2023'!$D$4:$D$1022,$B3,'август 2023'!$J$4:$J$1022,R$1)</f>
        <v>0</v>
      </c>
      <c r="S3" s="198">
        <f>SUMIFS('август 2023'!$G$4:$G$1022,'август 2023'!$D$4:$D$1022,$B3,'август 2023'!$J$4:$J$1022,S$1)</f>
        <v>0</v>
      </c>
      <c r="T3" s="198">
        <f>SUMIFS('август 2023'!$G$4:$G$1022,'август 2023'!$D$4:$D$1022,$B3,'август 2023'!$J$4:$J$1022,T$1)</f>
        <v>0</v>
      </c>
      <c r="U3" s="198">
        <f>SUMIFS('август 2023'!$G$4:$G$1022,'август 2023'!$D$4:$D$1022,$B3,'август 2023'!$J$4:$J$1022,U$1)</f>
        <v>0</v>
      </c>
      <c r="V3" s="198">
        <f>SUMIFS('август 2023'!$G$4:$G$1022,'август 2023'!$D$4:$D$1022,$B3,'август 2023'!$J$4:$J$1022,V$1)</f>
        <v>0</v>
      </c>
      <c r="W3" s="198">
        <f>SUMIFS('август 2023'!$G$4:$G$1022,'август 2023'!$D$4:$D$1022,$B3,'август 2023'!$J$4:$J$1022,W$1)</f>
        <v>0</v>
      </c>
      <c r="X3" s="198">
        <f>SUMIFS('август 2023'!$G$4:$G$1022,'август 2023'!$D$4:$D$1022,$B3,'август 2023'!$J$4:$J$1022,X$1)</f>
        <v>0</v>
      </c>
      <c r="Y3" s="198">
        <f>SUMIFS('август 2023'!$G$4:$G$1022,'август 2023'!$D$4:$D$1022,$B3,'август 2023'!$J$4:$J$1022,Y$1)</f>
        <v>0</v>
      </c>
      <c r="Z3" s="198">
        <f>SUMIFS('август 2023'!$G$4:$G$1022,'август 2023'!$D$4:$D$1022,$B3,'август 2023'!$J$4:$J$1022,Z$1)</f>
        <v>0</v>
      </c>
      <c r="AA3" s="198">
        <f>SUMIFS('август 2023'!$G$4:$G$1022,'август 2023'!$D$4:$D$1022,$B3,'август 2023'!$J$4:$J$1022,AA$1)</f>
        <v>0</v>
      </c>
      <c r="AB3" s="198">
        <f>SUMIFS('август 2023'!$G$4:$G$1022,'август 2023'!$D$4:$D$1022,$B3,'август 2023'!$J$4:$J$1022,AB$1)</f>
        <v>0</v>
      </c>
      <c r="AC3" s="198">
        <f>SUMIFS('август 2023'!$G$4:$G$1022,'август 2023'!$D$4:$D$1022,$B3,'август 2023'!$J$4:$J$1022,AC$1)</f>
        <v>0</v>
      </c>
      <c r="AD3" s="198">
        <f>SUMIFS('август 2023'!$G$4:$G$1022,'август 2023'!$D$4:$D$1022,$B3,'август 2023'!$J$4:$J$1022,AD$1)</f>
        <v>0</v>
      </c>
      <c r="AE3" s="198">
        <f>SUMIFS('август 2023'!$G$4:$G$1022,'август 2023'!$D$4:$D$1022,$B3,'август 2023'!$J$4:$J$1022,AE$1)</f>
        <v>0</v>
      </c>
      <c r="AF3" s="198">
        <f>SUMIFS('август 2023'!$G$4:$G$1022,'август 2023'!$D$4:$D$1022,$B3,'август 2023'!$J$4:$J$1022,AF$1)</f>
        <v>0</v>
      </c>
      <c r="AG3" s="198">
        <f>SUMIFS('август 2023'!$G$4:$G$1022,'август 2023'!$D$4:$D$1022,$B3,'август 2023'!$J$4:$J$1022,AG$1)</f>
        <v>0</v>
      </c>
      <c r="AH3" s="198">
        <f>SUMIFS('август 2023'!$G$4:$G$1022,'август 2023'!$D$4:$D$1022,$B3,'август 2023'!$J$4:$J$1022,AH$1)</f>
        <v>0</v>
      </c>
      <c r="AI3" s="166">
        <f t="shared" ref="AI3:AI66" si="1">SUM(D3:AH3)</f>
        <v>0</v>
      </c>
    </row>
    <row r="4" spans="2:35" ht="15" customHeight="1" x14ac:dyDescent="0.25">
      <c r="B4" s="199" t="s">
        <v>74</v>
      </c>
      <c r="C4" s="200">
        <v>25</v>
      </c>
      <c r="D4" s="198">
        <f>SUMIFS('август 2023'!$G$4:$G$1022,'август 2023'!$D$4:$D$1022,$B4,'август 2023'!$J$4:$J$1022,D$1)</f>
        <v>0</v>
      </c>
      <c r="E4" s="198">
        <f>SUMIFS('август 2023'!$G$4:$G$1022,'август 2023'!$D$4:$D$1022,$B4,'август 2023'!$J$4:$J$1022,E$1)</f>
        <v>0</v>
      </c>
      <c r="F4" s="198">
        <f>SUMIFS('август 2023'!$G$4:$G$1022,'август 2023'!$D$4:$D$1022,$B4,'август 2023'!$J$4:$J$1022,F$1)</f>
        <v>0</v>
      </c>
      <c r="G4" s="198">
        <f>SUMIFS('август 2023'!$G$4:$G$1022,'август 2023'!$D$4:$D$1022,$B4,'август 2023'!$J$4:$J$1022,G$1)</f>
        <v>0</v>
      </c>
      <c r="H4" s="198">
        <f>SUMIFS('август 2023'!$G$4:$G$1022,'август 2023'!$D$4:$D$1022,$B4,'август 2023'!$J$4:$J$1022,H$1)</f>
        <v>0</v>
      </c>
      <c r="I4" s="198">
        <f>SUMIFS('август 2023'!$G$4:$G$1022,'август 2023'!$D$4:$D$1022,$B4,'август 2023'!$J$4:$J$1022,I$1)</f>
        <v>0</v>
      </c>
      <c r="J4" s="198">
        <f>SUMIFS('август 2023'!$G$4:$G$1022,'август 2023'!$D$4:$D$1022,$B4,'август 2023'!$J$4:$J$1022,J$1)</f>
        <v>0</v>
      </c>
      <c r="K4" s="198">
        <f>SUMIFS('август 2023'!$G$4:$G$1022,'август 2023'!$D$4:$D$1022,$B4,'август 2023'!$J$4:$J$1022,K$1)</f>
        <v>0</v>
      </c>
      <c r="L4" s="198">
        <f>SUMIFS('август 2023'!$G$4:$G$1022,'август 2023'!$D$4:$D$1022,$B4,'август 2023'!$J$4:$J$1022,L$1)</f>
        <v>0</v>
      </c>
      <c r="M4" s="198">
        <f>SUMIFS('август 2023'!$G$4:$G$1022,'август 2023'!$D$4:$D$1022,$B4,'август 2023'!$J$4:$J$1022,M$1)</f>
        <v>0</v>
      </c>
      <c r="N4" s="198">
        <f>SUMIFS('август 2023'!$G$4:$G$1022,'август 2023'!$D$4:$D$1022,$B4,'август 2023'!$J$4:$J$1022,N$1)</f>
        <v>0</v>
      </c>
      <c r="O4" s="198">
        <f>SUMIFS('август 2023'!$G$4:$G$1022,'август 2023'!$D$4:$D$1022,$B4,'август 2023'!$J$4:$J$1022,O$1)</f>
        <v>0</v>
      </c>
      <c r="P4" s="198">
        <f>SUMIFS('август 2023'!$G$4:$G$1022,'август 2023'!$D$4:$D$1022,$B4,'август 2023'!$J$4:$J$1022,P$1)</f>
        <v>0</v>
      </c>
      <c r="Q4" s="198">
        <f>SUMIFS('август 2023'!$G$4:$G$1022,'август 2023'!$D$4:$D$1022,$B4,'август 2023'!$J$4:$J$1022,Q$1)</f>
        <v>0</v>
      </c>
      <c r="R4" s="198">
        <f>SUMIFS('август 2023'!$G$4:$G$1022,'август 2023'!$D$4:$D$1022,$B4,'август 2023'!$J$4:$J$1022,R$1)</f>
        <v>0</v>
      </c>
      <c r="S4" s="198">
        <f>SUMIFS('август 2023'!$G$4:$G$1022,'август 2023'!$D$4:$D$1022,$B4,'август 2023'!$J$4:$J$1022,S$1)</f>
        <v>0</v>
      </c>
      <c r="T4" s="198">
        <f>SUMIFS('август 2023'!$G$4:$G$1022,'август 2023'!$D$4:$D$1022,$B4,'август 2023'!$J$4:$J$1022,T$1)</f>
        <v>0</v>
      </c>
      <c r="U4" s="198">
        <f>SUMIFS('август 2023'!$G$4:$G$1022,'август 2023'!$D$4:$D$1022,$B4,'август 2023'!$J$4:$J$1022,U$1)</f>
        <v>0</v>
      </c>
      <c r="V4" s="198">
        <f>SUMIFS('август 2023'!$G$4:$G$1022,'август 2023'!$D$4:$D$1022,$B4,'август 2023'!$J$4:$J$1022,V$1)</f>
        <v>0</v>
      </c>
      <c r="W4" s="198">
        <f>SUMIFS('август 2023'!$G$4:$G$1022,'август 2023'!$D$4:$D$1022,$B4,'август 2023'!$J$4:$J$1022,W$1)</f>
        <v>0</v>
      </c>
      <c r="X4" s="198">
        <f>SUMIFS('август 2023'!$G$4:$G$1022,'август 2023'!$D$4:$D$1022,$B4,'август 2023'!$J$4:$J$1022,X$1)</f>
        <v>0</v>
      </c>
      <c r="Y4" s="198">
        <f>SUMIFS('август 2023'!$G$4:$G$1022,'август 2023'!$D$4:$D$1022,$B4,'август 2023'!$J$4:$J$1022,Y$1)</f>
        <v>0</v>
      </c>
      <c r="Z4" s="198">
        <f>SUMIFS('август 2023'!$G$4:$G$1022,'август 2023'!$D$4:$D$1022,$B4,'август 2023'!$J$4:$J$1022,Z$1)</f>
        <v>800</v>
      </c>
      <c r="AA4" s="198">
        <f>SUMIFS('август 2023'!$G$4:$G$1022,'август 2023'!$D$4:$D$1022,$B4,'август 2023'!$J$4:$J$1022,AA$1)</f>
        <v>0</v>
      </c>
      <c r="AB4" s="198">
        <f>SUMIFS('август 2023'!$G$4:$G$1022,'август 2023'!$D$4:$D$1022,$B4,'август 2023'!$J$4:$J$1022,AB$1)</f>
        <v>0</v>
      </c>
      <c r="AC4" s="198">
        <f>SUMIFS('август 2023'!$G$4:$G$1022,'август 2023'!$D$4:$D$1022,$B4,'август 2023'!$J$4:$J$1022,AC$1)</f>
        <v>0</v>
      </c>
      <c r="AD4" s="198">
        <f>SUMIFS('август 2023'!$G$4:$G$1022,'август 2023'!$D$4:$D$1022,$B4,'август 2023'!$J$4:$J$1022,AD$1)</f>
        <v>0</v>
      </c>
      <c r="AE4" s="198">
        <f>SUMIFS('август 2023'!$G$4:$G$1022,'август 2023'!$D$4:$D$1022,$B4,'август 2023'!$J$4:$J$1022,AE$1)</f>
        <v>0</v>
      </c>
      <c r="AF4" s="198">
        <f>SUMIFS('август 2023'!$G$4:$G$1022,'август 2023'!$D$4:$D$1022,$B4,'август 2023'!$J$4:$J$1022,AF$1)</f>
        <v>0</v>
      </c>
      <c r="AG4" s="198">
        <f>SUMIFS('август 2023'!$G$4:$G$1022,'август 2023'!$D$4:$D$1022,$B4,'август 2023'!$J$4:$J$1022,AG$1)</f>
        <v>0</v>
      </c>
      <c r="AH4" s="198">
        <f>SUMIFS('август 2023'!$G$4:$G$1022,'август 2023'!$D$4:$D$1022,$B4,'август 2023'!$J$4:$J$1022,AH$1)</f>
        <v>0</v>
      </c>
      <c r="AI4" s="170">
        <f t="shared" si="1"/>
        <v>800</v>
      </c>
    </row>
    <row r="5" spans="2:35" ht="15" customHeight="1" x14ac:dyDescent="0.25">
      <c r="B5" s="199" t="s">
        <v>165</v>
      </c>
      <c r="C5" s="200">
        <v>25</v>
      </c>
      <c r="D5" s="198">
        <f>SUMIFS('август 2023'!$G$4:$G$1022,'август 2023'!$D$4:$D$1022,$B5,'август 2023'!$J$4:$J$1022,D$1)</f>
        <v>0</v>
      </c>
      <c r="E5" s="198">
        <f>SUMIFS('август 2023'!$G$4:$G$1022,'август 2023'!$D$4:$D$1022,$B5,'август 2023'!$J$4:$J$1022,E$1)</f>
        <v>0</v>
      </c>
      <c r="F5" s="198">
        <f>SUMIFS('август 2023'!$G$4:$G$1022,'август 2023'!$D$4:$D$1022,$B5,'август 2023'!$J$4:$J$1022,F$1)</f>
        <v>0</v>
      </c>
      <c r="G5" s="198">
        <f>SUMIFS('август 2023'!$G$4:$G$1022,'август 2023'!$D$4:$D$1022,$B5,'август 2023'!$J$4:$J$1022,G$1)</f>
        <v>0</v>
      </c>
      <c r="H5" s="198">
        <f>SUMIFS('август 2023'!$G$4:$G$1022,'август 2023'!$D$4:$D$1022,$B5,'август 2023'!$J$4:$J$1022,H$1)</f>
        <v>0</v>
      </c>
      <c r="I5" s="198">
        <f>SUMIFS('август 2023'!$G$4:$G$1022,'август 2023'!$D$4:$D$1022,$B5,'август 2023'!$J$4:$J$1022,I$1)</f>
        <v>0</v>
      </c>
      <c r="J5" s="198">
        <f>SUMIFS('август 2023'!$G$4:$G$1022,'август 2023'!$D$4:$D$1022,$B5,'август 2023'!$J$4:$J$1022,J$1)</f>
        <v>0</v>
      </c>
      <c r="K5" s="198">
        <f>SUMIFS('август 2023'!$G$4:$G$1022,'август 2023'!$D$4:$D$1022,$B5,'август 2023'!$J$4:$J$1022,K$1)</f>
        <v>0</v>
      </c>
      <c r="L5" s="198">
        <f>SUMIFS('август 2023'!$G$4:$G$1022,'август 2023'!$D$4:$D$1022,$B5,'август 2023'!$J$4:$J$1022,L$1)</f>
        <v>0</v>
      </c>
      <c r="M5" s="198">
        <f>SUMIFS('август 2023'!$G$4:$G$1022,'август 2023'!$D$4:$D$1022,$B5,'август 2023'!$J$4:$J$1022,M$1)</f>
        <v>0</v>
      </c>
      <c r="N5" s="198">
        <f>SUMIFS('август 2023'!$G$4:$G$1022,'август 2023'!$D$4:$D$1022,$B5,'август 2023'!$J$4:$J$1022,N$1)</f>
        <v>0</v>
      </c>
      <c r="O5" s="198">
        <f>SUMIFS('август 2023'!$G$4:$G$1022,'август 2023'!$D$4:$D$1022,$B5,'август 2023'!$J$4:$J$1022,O$1)</f>
        <v>0</v>
      </c>
      <c r="P5" s="198">
        <f>SUMIFS('август 2023'!$G$4:$G$1022,'август 2023'!$D$4:$D$1022,$B5,'август 2023'!$J$4:$J$1022,P$1)</f>
        <v>0</v>
      </c>
      <c r="Q5" s="198">
        <f>SUMIFS('август 2023'!$G$4:$G$1022,'август 2023'!$D$4:$D$1022,$B5,'август 2023'!$J$4:$J$1022,Q$1)</f>
        <v>0</v>
      </c>
      <c r="R5" s="198">
        <f>SUMIFS('август 2023'!$G$4:$G$1022,'август 2023'!$D$4:$D$1022,$B5,'август 2023'!$J$4:$J$1022,R$1)</f>
        <v>0</v>
      </c>
      <c r="S5" s="198">
        <f>SUMIFS('август 2023'!$G$4:$G$1022,'август 2023'!$D$4:$D$1022,$B5,'август 2023'!$J$4:$J$1022,S$1)</f>
        <v>0</v>
      </c>
      <c r="T5" s="198">
        <f>SUMIFS('август 2023'!$G$4:$G$1022,'август 2023'!$D$4:$D$1022,$B5,'август 2023'!$J$4:$J$1022,T$1)</f>
        <v>0</v>
      </c>
      <c r="U5" s="198">
        <f>SUMIFS('август 2023'!$G$4:$G$1022,'август 2023'!$D$4:$D$1022,$B5,'август 2023'!$J$4:$J$1022,U$1)</f>
        <v>0</v>
      </c>
      <c r="V5" s="198">
        <f>SUMIFS('август 2023'!$G$4:$G$1022,'август 2023'!$D$4:$D$1022,$B5,'август 2023'!$J$4:$J$1022,V$1)</f>
        <v>0</v>
      </c>
      <c r="W5" s="198">
        <f>SUMIFS('август 2023'!$G$4:$G$1022,'август 2023'!$D$4:$D$1022,$B5,'август 2023'!$J$4:$J$1022,W$1)</f>
        <v>0</v>
      </c>
      <c r="X5" s="198">
        <f>SUMIFS('август 2023'!$G$4:$G$1022,'август 2023'!$D$4:$D$1022,$B5,'август 2023'!$J$4:$J$1022,X$1)</f>
        <v>0</v>
      </c>
      <c r="Y5" s="198">
        <f>SUMIFS('август 2023'!$G$4:$G$1022,'август 2023'!$D$4:$D$1022,$B5,'август 2023'!$J$4:$J$1022,Y$1)</f>
        <v>800</v>
      </c>
      <c r="Z5" s="198">
        <f>SUMIFS('август 2023'!$G$4:$G$1022,'август 2023'!$D$4:$D$1022,$B5,'август 2023'!$J$4:$J$1022,Z$1)</f>
        <v>0</v>
      </c>
      <c r="AA5" s="198">
        <f>SUMIFS('август 2023'!$G$4:$G$1022,'август 2023'!$D$4:$D$1022,$B5,'август 2023'!$J$4:$J$1022,AA$1)</f>
        <v>0</v>
      </c>
      <c r="AB5" s="198">
        <f>SUMIFS('август 2023'!$G$4:$G$1022,'август 2023'!$D$4:$D$1022,$B5,'август 2023'!$J$4:$J$1022,AB$1)</f>
        <v>0</v>
      </c>
      <c r="AC5" s="198">
        <f>SUMIFS('август 2023'!$G$4:$G$1022,'август 2023'!$D$4:$D$1022,$B5,'август 2023'!$J$4:$J$1022,AC$1)</f>
        <v>0</v>
      </c>
      <c r="AD5" s="198">
        <f>SUMIFS('август 2023'!$G$4:$G$1022,'август 2023'!$D$4:$D$1022,$B5,'август 2023'!$J$4:$J$1022,AD$1)</f>
        <v>0</v>
      </c>
      <c r="AE5" s="198">
        <f>SUMIFS('август 2023'!$G$4:$G$1022,'август 2023'!$D$4:$D$1022,$B5,'август 2023'!$J$4:$J$1022,AE$1)</f>
        <v>0</v>
      </c>
      <c r="AF5" s="198">
        <f>SUMIFS('август 2023'!$G$4:$G$1022,'август 2023'!$D$4:$D$1022,$B5,'август 2023'!$J$4:$J$1022,AF$1)</f>
        <v>0</v>
      </c>
      <c r="AG5" s="198">
        <f>SUMIFS('август 2023'!$G$4:$G$1022,'август 2023'!$D$4:$D$1022,$B5,'август 2023'!$J$4:$J$1022,AG$1)</f>
        <v>0</v>
      </c>
      <c r="AH5" s="198">
        <f>SUMIFS('август 2023'!$G$4:$G$1022,'август 2023'!$D$4:$D$1022,$B5,'август 2023'!$J$4:$J$1022,AH$1)</f>
        <v>0</v>
      </c>
      <c r="AI5" s="170">
        <f t="shared" si="1"/>
        <v>800</v>
      </c>
    </row>
    <row r="6" spans="2:35" ht="15" customHeight="1" x14ac:dyDescent="0.25">
      <c r="B6" s="199" t="s">
        <v>2084</v>
      </c>
      <c r="C6" s="200">
        <v>22.7</v>
      </c>
      <c r="D6" s="198">
        <f>SUMIFS('август 2023'!$G$4:$G$1022,'август 2023'!$D$4:$D$1022,$B6,'август 2023'!$J$4:$J$1022,D$1)</f>
        <v>0</v>
      </c>
      <c r="E6" s="198">
        <f>SUMIFS('август 2023'!$G$4:$G$1022,'август 2023'!$D$4:$D$1022,$B6,'август 2023'!$J$4:$J$1022,E$1)</f>
        <v>0</v>
      </c>
      <c r="F6" s="198">
        <f>SUMIFS('август 2023'!$G$4:$G$1022,'август 2023'!$D$4:$D$1022,$B6,'август 2023'!$J$4:$J$1022,F$1)</f>
        <v>0</v>
      </c>
      <c r="G6" s="198">
        <f>SUMIFS('август 2023'!$G$4:$G$1022,'август 2023'!$D$4:$D$1022,$B6,'август 2023'!$J$4:$J$1022,G$1)</f>
        <v>0</v>
      </c>
      <c r="H6" s="198">
        <f>SUMIFS('август 2023'!$G$4:$G$1022,'август 2023'!$D$4:$D$1022,$B6,'август 2023'!$J$4:$J$1022,H$1)</f>
        <v>0</v>
      </c>
      <c r="I6" s="198">
        <f>SUMIFS('август 2023'!$G$4:$G$1022,'август 2023'!$D$4:$D$1022,$B6,'август 2023'!$J$4:$J$1022,I$1)</f>
        <v>0</v>
      </c>
      <c r="J6" s="198">
        <f>SUMIFS('август 2023'!$G$4:$G$1022,'август 2023'!$D$4:$D$1022,$B6,'август 2023'!$J$4:$J$1022,J$1)</f>
        <v>0</v>
      </c>
      <c r="K6" s="198">
        <f>SUMIFS('август 2023'!$G$4:$G$1022,'август 2023'!$D$4:$D$1022,$B6,'август 2023'!$J$4:$J$1022,K$1)</f>
        <v>0</v>
      </c>
      <c r="L6" s="198">
        <f>SUMIFS('август 2023'!$G$4:$G$1022,'август 2023'!$D$4:$D$1022,$B6,'август 2023'!$J$4:$J$1022,L$1)</f>
        <v>0</v>
      </c>
      <c r="M6" s="198">
        <f>SUMIFS('август 2023'!$G$4:$G$1022,'август 2023'!$D$4:$D$1022,$B6,'август 2023'!$J$4:$J$1022,M$1)</f>
        <v>0</v>
      </c>
      <c r="N6" s="198">
        <f>SUMIFS('август 2023'!$G$4:$G$1022,'август 2023'!$D$4:$D$1022,$B6,'август 2023'!$J$4:$J$1022,N$1)</f>
        <v>0</v>
      </c>
      <c r="O6" s="198">
        <f>SUMIFS('август 2023'!$G$4:$G$1022,'август 2023'!$D$4:$D$1022,$B6,'август 2023'!$J$4:$J$1022,O$1)</f>
        <v>0</v>
      </c>
      <c r="P6" s="198">
        <f>SUMIFS('август 2023'!$G$4:$G$1022,'август 2023'!$D$4:$D$1022,$B6,'август 2023'!$J$4:$J$1022,P$1)</f>
        <v>0</v>
      </c>
      <c r="Q6" s="198">
        <f>SUMIFS('август 2023'!$G$4:$G$1022,'август 2023'!$D$4:$D$1022,$B6,'август 2023'!$J$4:$J$1022,Q$1)</f>
        <v>0</v>
      </c>
      <c r="R6" s="198">
        <f>SUMIFS('август 2023'!$G$4:$G$1022,'август 2023'!$D$4:$D$1022,$B6,'август 2023'!$J$4:$J$1022,R$1)</f>
        <v>0</v>
      </c>
      <c r="S6" s="198">
        <f>SUMIFS('август 2023'!$G$4:$G$1022,'август 2023'!$D$4:$D$1022,$B6,'август 2023'!$J$4:$J$1022,S$1)</f>
        <v>0</v>
      </c>
      <c r="T6" s="198">
        <f>SUMIFS('август 2023'!$G$4:$G$1022,'август 2023'!$D$4:$D$1022,$B6,'август 2023'!$J$4:$J$1022,T$1)</f>
        <v>0</v>
      </c>
      <c r="U6" s="198">
        <f>SUMIFS('август 2023'!$G$4:$G$1022,'август 2023'!$D$4:$D$1022,$B6,'август 2023'!$J$4:$J$1022,U$1)</f>
        <v>0</v>
      </c>
      <c r="V6" s="198">
        <f>SUMIFS('август 2023'!$G$4:$G$1022,'август 2023'!$D$4:$D$1022,$B6,'август 2023'!$J$4:$J$1022,V$1)</f>
        <v>0</v>
      </c>
      <c r="W6" s="198">
        <f>SUMIFS('август 2023'!$G$4:$G$1022,'август 2023'!$D$4:$D$1022,$B6,'август 2023'!$J$4:$J$1022,W$1)</f>
        <v>0</v>
      </c>
      <c r="X6" s="198">
        <f>SUMIFS('август 2023'!$G$4:$G$1022,'август 2023'!$D$4:$D$1022,$B6,'август 2023'!$J$4:$J$1022,X$1)</f>
        <v>0</v>
      </c>
      <c r="Y6" s="198">
        <f>SUMIFS('август 2023'!$G$4:$G$1022,'август 2023'!$D$4:$D$1022,$B6,'август 2023'!$J$4:$J$1022,Y$1)</f>
        <v>0</v>
      </c>
      <c r="Z6" s="198">
        <f>SUMIFS('август 2023'!$G$4:$G$1022,'август 2023'!$D$4:$D$1022,$B6,'август 2023'!$J$4:$J$1022,Z$1)</f>
        <v>0</v>
      </c>
      <c r="AA6" s="198">
        <f>SUMIFS('август 2023'!$G$4:$G$1022,'август 2023'!$D$4:$D$1022,$B6,'август 2023'!$J$4:$J$1022,AA$1)</f>
        <v>0</v>
      </c>
      <c r="AB6" s="198">
        <f>SUMIFS('август 2023'!$G$4:$G$1022,'август 2023'!$D$4:$D$1022,$B6,'август 2023'!$J$4:$J$1022,AB$1)</f>
        <v>0</v>
      </c>
      <c r="AC6" s="198">
        <f>SUMIFS('август 2023'!$G$4:$G$1022,'август 2023'!$D$4:$D$1022,$B6,'август 2023'!$J$4:$J$1022,AC$1)</f>
        <v>0</v>
      </c>
      <c r="AD6" s="198">
        <f>SUMIFS('август 2023'!$G$4:$G$1022,'август 2023'!$D$4:$D$1022,$B6,'август 2023'!$J$4:$J$1022,AD$1)</f>
        <v>0</v>
      </c>
      <c r="AE6" s="198">
        <f>SUMIFS('август 2023'!$G$4:$G$1022,'август 2023'!$D$4:$D$1022,$B6,'август 2023'!$J$4:$J$1022,AE$1)</f>
        <v>0</v>
      </c>
      <c r="AF6" s="198">
        <f>SUMIFS('август 2023'!$G$4:$G$1022,'август 2023'!$D$4:$D$1022,$B6,'август 2023'!$J$4:$J$1022,AF$1)</f>
        <v>0</v>
      </c>
      <c r="AG6" s="198">
        <f>SUMIFS('август 2023'!$G$4:$G$1022,'август 2023'!$D$4:$D$1022,$B6,'август 2023'!$J$4:$J$1022,AG$1)</f>
        <v>0</v>
      </c>
      <c r="AH6" s="198">
        <f>SUMIFS('август 2023'!$G$4:$G$1022,'август 2023'!$D$4:$D$1022,$B6,'август 2023'!$J$4:$J$1022,AH$1)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SUMIFS('август 2023'!$G$4:$G$1022,'август 2023'!$D$4:$D$1022,$B7,'август 2023'!$J$4:$J$1022,D$1)</f>
        <v>0</v>
      </c>
      <c r="E7" s="198">
        <f>SUMIFS('август 2023'!$G$4:$G$1022,'август 2023'!$D$4:$D$1022,$B7,'август 2023'!$J$4:$J$1022,E$1)</f>
        <v>0</v>
      </c>
      <c r="F7" s="198">
        <f>SUMIFS('август 2023'!$G$4:$G$1022,'август 2023'!$D$4:$D$1022,$B7,'август 2023'!$J$4:$J$1022,F$1)</f>
        <v>0</v>
      </c>
      <c r="G7" s="198">
        <f>SUMIFS('август 2023'!$G$4:$G$1022,'август 2023'!$D$4:$D$1022,$B7,'август 2023'!$J$4:$J$1022,G$1)</f>
        <v>0</v>
      </c>
      <c r="H7" s="198">
        <f>SUMIFS('август 2023'!$G$4:$G$1022,'август 2023'!$D$4:$D$1022,$B7,'август 2023'!$J$4:$J$1022,H$1)</f>
        <v>0</v>
      </c>
      <c r="I7" s="198">
        <f>SUMIFS('август 2023'!$G$4:$G$1022,'август 2023'!$D$4:$D$1022,$B7,'август 2023'!$J$4:$J$1022,I$1)</f>
        <v>0</v>
      </c>
      <c r="J7" s="198">
        <f>SUMIFS('август 2023'!$G$4:$G$1022,'август 2023'!$D$4:$D$1022,$B7,'август 2023'!$J$4:$J$1022,J$1)</f>
        <v>0</v>
      </c>
      <c r="K7" s="198">
        <f>SUMIFS('август 2023'!$G$4:$G$1022,'август 2023'!$D$4:$D$1022,$B7,'август 2023'!$J$4:$J$1022,K$1)</f>
        <v>0</v>
      </c>
      <c r="L7" s="198">
        <f>SUMIFS('август 2023'!$G$4:$G$1022,'август 2023'!$D$4:$D$1022,$B7,'август 2023'!$J$4:$J$1022,L$1)</f>
        <v>0</v>
      </c>
      <c r="M7" s="198">
        <f>SUMIFS('август 2023'!$G$4:$G$1022,'август 2023'!$D$4:$D$1022,$B7,'август 2023'!$J$4:$J$1022,M$1)</f>
        <v>0</v>
      </c>
      <c r="N7" s="198">
        <f>SUMIFS('август 2023'!$G$4:$G$1022,'август 2023'!$D$4:$D$1022,$B7,'август 2023'!$J$4:$J$1022,N$1)</f>
        <v>0</v>
      </c>
      <c r="O7" s="198">
        <f>SUMIFS('август 2023'!$G$4:$G$1022,'август 2023'!$D$4:$D$1022,$B7,'август 2023'!$J$4:$J$1022,O$1)</f>
        <v>0</v>
      </c>
      <c r="P7" s="198">
        <f>SUMIFS('август 2023'!$G$4:$G$1022,'август 2023'!$D$4:$D$1022,$B7,'август 2023'!$J$4:$J$1022,P$1)</f>
        <v>0</v>
      </c>
      <c r="Q7" s="198">
        <f>SUMIFS('август 2023'!$G$4:$G$1022,'август 2023'!$D$4:$D$1022,$B7,'август 2023'!$J$4:$J$1022,Q$1)</f>
        <v>0</v>
      </c>
      <c r="R7" s="198">
        <f>SUMIFS('август 2023'!$G$4:$G$1022,'август 2023'!$D$4:$D$1022,$B7,'август 2023'!$J$4:$J$1022,R$1)</f>
        <v>0</v>
      </c>
      <c r="S7" s="198">
        <f>SUMIFS('август 2023'!$G$4:$G$1022,'август 2023'!$D$4:$D$1022,$B7,'август 2023'!$J$4:$J$1022,S$1)</f>
        <v>0</v>
      </c>
      <c r="T7" s="198">
        <f>SUMIFS('август 2023'!$G$4:$G$1022,'август 2023'!$D$4:$D$1022,$B7,'август 2023'!$J$4:$J$1022,T$1)</f>
        <v>0</v>
      </c>
      <c r="U7" s="198">
        <f>SUMIFS('август 2023'!$G$4:$G$1022,'август 2023'!$D$4:$D$1022,$B7,'август 2023'!$J$4:$J$1022,U$1)</f>
        <v>0</v>
      </c>
      <c r="V7" s="198">
        <f>SUMIFS('август 2023'!$G$4:$G$1022,'август 2023'!$D$4:$D$1022,$B7,'август 2023'!$J$4:$J$1022,V$1)</f>
        <v>0</v>
      </c>
      <c r="W7" s="198">
        <f>SUMIFS('август 2023'!$G$4:$G$1022,'август 2023'!$D$4:$D$1022,$B7,'август 2023'!$J$4:$J$1022,W$1)</f>
        <v>0</v>
      </c>
      <c r="X7" s="198">
        <f>SUMIFS('август 2023'!$G$4:$G$1022,'август 2023'!$D$4:$D$1022,$B7,'август 2023'!$J$4:$J$1022,X$1)</f>
        <v>0</v>
      </c>
      <c r="Y7" s="198">
        <f>SUMIFS('август 2023'!$G$4:$G$1022,'август 2023'!$D$4:$D$1022,$B7,'август 2023'!$J$4:$J$1022,Y$1)</f>
        <v>0</v>
      </c>
      <c r="Z7" s="198">
        <f>SUMIFS('август 2023'!$G$4:$G$1022,'август 2023'!$D$4:$D$1022,$B7,'август 2023'!$J$4:$J$1022,Z$1)</f>
        <v>0</v>
      </c>
      <c r="AA7" s="198">
        <f>SUMIFS('август 2023'!$G$4:$G$1022,'август 2023'!$D$4:$D$1022,$B7,'август 2023'!$J$4:$J$1022,AA$1)</f>
        <v>0</v>
      </c>
      <c r="AB7" s="198">
        <f>SUMIFS('август 2023'!$G$4:$G$1022,'август 2023'!$D$4:$D$1022,$B7,'август 2023'!$J$4:$J$1022,AB$1)</f>
        <v>0</v>
      </c>
      <c r="AC7" s="198">
        <f>SUMIFS('август 2023'!$G$4:$G$1022,'август 2023'!$D$4:$D$1022,$B7,'август 2023'!$J$4:$J$1022,AC$1)</f>
        <v>0</v>
      </c>
      <c r="AD7" s="198">
        <f>SUMIFS('август 2023'!$G$4:$G$1022,'август 2023'!$D$4:$D$1022,$B7,'август 2023'!$J$4:$J$1022,AD$1)</f>
        <v>0</v>
      </c>
      <c r="AE7" s="198">
        <f>SUMIFS('август 2023'!$G$4:$G$1022,'август 2023'!$D$4:$D$1022,$B7,'август 2023'!$J$4:$J$1022,AE$1)</f>
        <v>0</v>
      </c>
      <c r="AF7" s="198">
        <f>SUMIFS('август 2023'!$G$4:$G$1022,'август 2023'!$D$4:$D$1022,$B7,'август 2023'!$J$4:$J$1022,AF$1)</f>
        <v>0</v>
      </c>
      <c r="AG7" s="198">
        <f>SUMIFS('август 2023'!$G$4:$G$1022,'август 2023'!$D$4:$D$1022,$B7,'август 2023'!$J$4:$J$1022,AG$1)</f>
        <v>0</v>
      </c>
      <c r="AH7" s="198">
        <f>SUMIFS('август 2023'!$G$4:$G$1022,'август 2023'!$D$4:$D$1022,$B7,'август 2023'!$J$4:$J$1022,AH$1)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SUMIFS('август 2023'!$G$4:$G$1022,'август 2023'!$D$4:$D$1022,$B8,'август 2023'!$J$4:$J$1022,D$1)</f>
        <v>0</v>
      </c>
      <c r="E8" s="198">
        <f>SUMIFS('август 2023'!$G$4:$G$1022,'август 2023'!$D$4:$D$1022,$B8,'август 2023'!$J$4:$J$1022,E$1)</f>
        <v>0</v>
      </c>
      <c r="F8" s="198">
        <f>SUMIFS('август 2023'!$G$4:$G$1022,'август 2023'!$D$4:$D$1022,$B8,'август 2023'!$J$4:$J$1022,F$1)</f>
        <v>0</v>
      </c>
      <c r="G8" s="198">
        <f>SUMIFS('август 2023'!$G$4:$G$1022,'август 2023'!$D$4:$D$1022,$B8,'август 2023'!$J$4:$J$1022,G$1)</f>
        <v>0</v>
      </c>
      <c r="H8" s="198">
        <f>SUMIFS('август 2023'!$G$4:$G$1022,'август 2023'!$D$4:$D$1022,$B8,'август 2023'!$J$4:$J$1022,H$1)</f>
        <v>0</v>
      </c>
      <c r="I8" s="198">
        <f>SUMIFS('август 2023'!$G$4:$G$1022,'август 2023'!$D$4:$D$1022,$B8,'август 2023'!$J$4:$J$1022,I$1)</f>
        <v>0</v>
      </c>
      <c r="J8" s="198">
        <f>SUMIFS('август 2023'!$G$4:$G$1022,'август 2023'!$D$4:$D$1022,$B8,'август 2023'!$J$4:$J$1022,J$1)</f>
        <v>0</v>
      </c>
      <c r="K8" s="198">
        <f>SUMIFS('август 2023'!$G$4:$G$1022,'август 2023'!$D$4:$D$1022,$B8,'август 2023'!$J$4:$J$1022,K$1)</f>
        <v>0</v>
      </c>
      <c r="L8" s="198">
        <f>SUMIFS('август 2023'!$G$4:$G$1022,'август 2023'!$D$4:$D$1022,$B8,'август 2023'!$J$4:$J$1022,L$1)</f>
        <v>0</v>
      </c>
      <c r="M8" s="198">
        <f>SUMIFS('август 2023'!$G$4:$G$1022,'август 2023'!$D$4:$D$1022,$B8,'август 2023'!$J$4:$J$1022,M$1)</f>
        <v>0</v>
      </c>
      <c r="N8" s="198">
        <f>SUMIFS('август 2023'!$G$4:$G$1022,'август 2023'!$D$4:$D$1022,$B8,'август 2023'!$J$4:$J$1022,N$1)</f>
        <v>0</v>
      </c>
      <c r="O8" s="198">
        <f>SUMIFS('август 2023'!$G$4:$G$1022,'август 2023'!$D$4:$D$1022,$B8,'август 2023'!$J$4:$J$1022,O$1)</f>
        <v>0</v>
      </c>
      <c r="P8" s="198">
        <f>SUMIFS('август 2023'!$G$4:$G$1022,'август 2023'!$D$4:$D$1022,$B8,'август 2023'!$J$4:$J$1022,P$1)</f>
        <v>0</v>
      </c>
      <c r="Q8" s="198">
        <f>SUMIFS('август 2023'!$G$4:$G$1022,'август 2023'!$D$4:$D$1022,$B8,'август 2023'!$J$4:$J$1022,Q$1)</f>
        <v>0</v>
      </c>
      <c r="R8" s="198">
        <f>SUMIFS('август 2023'!$G$4:$G$1022,'август 2023'!$D$4:$D$1022,$B8,'август 2023'!$J$4:$J$1022,R$1)</f>
        <v>0</v>
      </c>
      <c r="S8" s="198">
        <f>SUMIFS('август 2023'!$G$4:$G$1022,'август 2023'!$D$4:$D$1022,$B8,'август 2023'!$J$4:$J$1022,S$1)</f>
        <v>0</v>
      </c>
      <c r="T8" s="198">
        <f>SUMIFS('август 2023'!$G$4:$G$1022,'август 2023'!$D$4:$D$1022,$B8,'август 2023'!$J$4:$J$1022,T$1)</f>
        <v>0</v>
      </c>
      <c r="U8" s="198">
        <f>SUMIFS('август 2023'!$G$4:$G$1022,'август 2023'!$D$4:$D$1022,$B8,'август 2023'!$J$4:$J$1022,U$1)</f>
        <v>0</v>
      </c>
      <c r="V8" s="198">
        <f>SUMIFS('август 2023'!$G$4:$G$1022,'август 2023'!$D$4:$D$1022,$B8,'август 2023'!$J$4:$J$1022,V$1)</f>
        <v>0</v>
      </c>
      <c r="W8" s="198">
        <f>SUMIFS('август 2023'!$G$4:$G$1022,'август 2023'!$D$4:$D$1022,$B8,'август 2023'!$J$4:$J$1022,W$1)</f>
        <v>0</v>
      </c>
      <c r="X8" s="198">
        <f>SUMIFS('август 2023'!$G$4:$G$1022,'август 2023'!$D$4:$D$1022,$B8,'август 2023'!$J$4:$J$1022,X$1)</f>
        <v>0</v>
      </c>
      <c r="Y8" s="198">
        <f>SUMIFS('август 2023'!$G$4:$G$1022,'август 2023'!$D$4:$D$1022,$B8,'август 2023'!$J$4:$J$1022,Y$1)</f>
        <v>0</v>
      </c>
      <c r="Z8" s="198">
        <f>SUMIFS('август 2023'!$G$4:$G$1022,'август 2023'!$D$4:$D$1022,$B8,'август 2023'!$J$4:$J$1022,Z$1)</f>
        <v>0</v>
      </c>
      <c r="AA8" s="198">
        <f>SUMIFS('август 2023'!$G$4:$G$1022,'август 2023'!$D$4:$D$1022,$B8,'август 2023'!$J$4:$J$1022,AA$1)</f>
        <v>0</v>
      </c>
      <c r="AB8" s="198">
        <f>SUMIFS('август 2023'!$G$4:$G$1022,'август 2023'!$D$4:$D$1022,$B8,'август 2023'!$J$4:$J$1022,AB$1)</f>
        <v>0</v>
      </c>
      <c r="AC8" s="198">
        <f>SUMIFS('август 2023'!$G$4:$G$1022,'август 2023'!$D$4:$D$1022,$B8,'август 2023'!$J$4:$J$1022,AC$1)</f>
        <v>0</v>
      </c>
      <c r="AD8" s="198">
        <f>SUMIFS('август 2023'!$G$4:$G$1022,'август 2023'!$D$4:$D$1022,$B8,'август 2023'!$J$4:$J$1022,AD$1)</f>
        <v>0</v>
      </c>
      <c r="AE8" s="198">
        <f>SUMIFS('август 2023'!$G$4:$G$1022,'август 2023'!$D$4:$D$1022,$B8,'август 2023'!$J$4:$J$1022,AE$1)</f>
        <v>0</v>
      </c>
      <c r="AF8" s="198">
        <f>SUMIFS('август 2023'!$G$4:$G$1022,'август 2023'!$D$4:$D$1022,$B8,'август 2023'!$J$4:$J$1022,AF$1)</f>
        <v>0</v>
      </c>
      <c r="AG8" s="198">
        <f>SUMIFS('август 2023'!$G$4:$G$1022,'август 2023'!$D$4:$D$1022,$B8,'август 2023'!$J$4:$J$1022,AG$1)</f>
        <v>0</v>
      </c>
      <c r="AH8" s="198">
        <f>SUMIFS('август 2023'!$G$4:$G$1022,'август 2023'!$D$4:$D$1022,$B8,'август 2023'!$J$4:$J$1022,AH$1)</f>
        <v>0</v>
      </c>
      <c r="AI8" s="170">
        <f t="shared" si="1"/>
        <v>0</v>
      </c>
    </row>
    <row r="9" spans="2:35" ht="15" customHeight="1" x14ac:dyDescent="0.25">
      <c r="B9" s="199" t="s">
        <v>2053</v>
      </c>
      <c r="C9" s="200">
        <v>25</v>
      </c>
      <c r="D9" s="198">
        <f>SUMIFS('август 2023'!$G$4:$G$1022,'август 2023'!$D$4:$D$1022,$B9,'август 2023'!$J$4:$J$1022,D$1)</f>
        <v>0</v>
      </c>
      <c r="E9" s="198">
        <f>SUMIFS('август 2023'!$G$4:$G$1022,'август 2023'!$D$4:$D$1022,$B9,'август 2023'!$J$4:$J$1022,E$1)</f>
        <v>0</v>
      </c>
      <c r="F9" s="198">
        <f>SUMIFS('август 2023'!$G$4:$G$1022,'август 2023'!$D$4:$D$1022,$B9,'август 2023'!$J$4:$J$1022,F$1)</f>
        <v>0</v>
      </c>
      <c r="G9" s="198">
        <f>SUMIFS('август 2023'!$G$4:$G$1022,'август 2023'!$D$4:$D$1022,$B9,'август 2023'!$J$4:$J$1022,G$1)</f>
        <v>0</v>
      </c>
      <c r="H9" s="198">
        <f>SUMIFS('август 2023'!$G$4:$G$1022,'август 2023'!$D$4:$D$1022,$B9,'август 2023'!$J$4:$J$1022,H$1)</f>
        <v>0</v>
      </c>
      <c r="I9" s="198">
        <f>SUMIFS('август 2023'!$G$4:$G$1022,'август 2023'!$D$4:$D$1022,$B9,'август 2023'!$J$4:$J$1022,I$1)</f>
        <v>0</v>
      </c>
      <c r="J9" s="198">
        <f>SUMIFS('август 2023'!$G$4:$G$1022,'август 2023'!$D$4:$D$1022,$B9,'август 2023'!$J$4:$J$1022,J$1)</f>
        <v>0</v>
      </c>
      <c r="K9" s="198">
        <f>SUMIFS('август 2023'!$G$4:$G$1022,'август 2023'!$D$4:$D$1022,$B9,'август 2023'!$J$4:$J$1022,K$1)</f>
        <v>0</v>
      </c>
      <c r="L9" s="198">
        <f>SUMIFS('август 2023'!$G$4:$G$1022,'август 2023'!$D$4:$D$1022,$B9,'август 2023'!$J$4:$J$1022,L$1)</f>
        <v>0</v>
      </c>
      <c r="M9" s="198">
        <f>SUMIFS('август 2023'!$G$4:$G$1022,'август 2023'!$D$4:$D$1022,$B9,'август 2023'!$J$4:$J$1022,M$1)</f>
        <v>0</v>
      </c>
      <c r="N9" s="198">
        <f>SUMIFS('август 2023'!$G$4:$G$1022,'август 2023'!$D$4:$D$1022,$B9,'август 2023'!$J$4:$J$1022,N$1)</f>
        <v>0</v>
      </c>
      <c r="O9" s="198">
        <f>SUMIFS('август 2023'!$G$4:$G$1022,'август 2023'!$D$4:$D$1022,$B9,'август 2023'!$J$4:$J$1022,O$1)</f>
        <v>0</v>
      </c>
      <c r="P9" s="198">
        <f>SUMIFS('август 2023'!$G$4:$G$1022,'август 2023'!$D$4:$D$1022,$B9,'август 2023'!$J$4:$J$1022,P$1)</f>
        <v>0</v>
      </c>
      <c r="Q9" s="198">
        <f>SUMIFS('август 2023'!$G$4:$G$1022,'август 2023'!$D$4:$D$1022,$B9,'август 2023'!$J$4:$J$1022,Q$1)</f>
        <v>0</v>
      </c>
      <c r="R9" s="198">
        <f>SUMIFS('август 2023'!$G$4:$G$1022,'август 2023'!$D$4:$D$1022,$B9,'август 2023'!$J$4:$J$1022,R$1)</f>
        <v>0</v>
      </c>
      <c r="S9" s="198">
        <f>SUMIFS('август 2023'!$G$4:$G$1022,'август 2023'!$D$4:$D$1022,$B9,'август 2023'!$J$4:$J$1022,S$1)</f>
        <v>0</v>
      </c>
      <c r="T9" s="198">
        <f>SUMIFS('август 2023'!$G$4:$G$1022,'август 2023'!$D$4:$D$1022,$B9,'август 2023'!$J$4:$J$1022,T$1)</f>
        <v>0</v>
      </c>
      <c r="U9" s="198">
        <f>SUMIFS('август 2023'!$G$4:$G$1022,'август 2023'!$D$4:$D$1022,$B9,'август 2023'!$J$4:$J$1022,U$1)</f>
        <v>0</v>
      </c>
      <c r="V9" s="198">
        <f>SUMIFS('август 2023'!$G$4:$G$1022,'август 2023'!$D$4:$D$1022,$B9,'август 2023'!$J$4:$J$1022,V$1)</f>
        <v>0</v>
      </c>
      <c r="W9" s="198">
        <f>SUMIFS('август 2023'!$G$4:$G$1022,'август 2023'!$D$4:$D$1022,$B9,'август 2023'!$J$4:$J$1022,W$1)</f>
        <v>0</v>
      </c>
      <c r="X9" s="198">
        <f>SUMIFS('август 2023'!$G$4:$G$1022,'август 2023'!$D$4:$D$1022,$B9,'август 2023'!$J$4:$J$1022,X$1)</f>
        <v>0</v>
      </c>
      <c r="Y9" s="198">
        <f>SUMIFS('август 2023'!$G$4:$G$1022,'август 2023'!$D$4:$D$1022,$B9,'август 2023'!$J$4:$J$1022,Y$1)</f>
        <v>0</v>
      </c>
      <c r="Z9" s="198">
        <f>SUMIFS('август 2023'!$G$4:$G$1022,'август 2023'!$D$4:$D$1022,$B9,'август 2023'!$J$4:$J$1022,Z$1)</f>
        <v>0</v>
      </c>
      <c r="AA9" s="198">
        <f>SUMIFS('август 2023'!$G$4:$G$1022,'август 2023'!$D$4:$D$1022,$B9,'август 2023'!$J$4:$J$1022,AA$1)</f>
        <v>0</v>
      </c>
      <c r="AB9" s="198">
        <f>SUMIFS('август 2023'!$G$4:$G$1022,'август 2023'!$D$4:$D$1022,$B9,'август 2023'!$J$4:$J$1022,AB$1)</f>
        <v>0</v>
      </c>
      <c r="AC9" s="198">
        <f>SUMIFS('август 2023'!$G$4:$G$1022,'август 2023'!$D$4:$D$1022,$B9,'август 2023'!$J$4:$J$1022,AC$1)</f>
        <v>0</v>
      </c>
      <c r="AD9" s="198">
        <f>SUMIFS('август 2023'!$G$4:$G$1022,'август 2023'!$D$4:$D$1022,$B9,'август 2023'!$J$4:$J$1022,AD$1)</f>
        <v>0</v>
      </c>
      <c r="AE9" s="198">
        <f>SUMIFS('август 2023'!$G$4:$G$1022,'август 2023'!$D$4:$D$1022,$B9,'август 2023'!$J$4:$J$1022,AE$1)</f>
        <v>0</v>
      </c>
      <c r="AF9" s="198">
        <f>SUMIFS('август 2023'!$G$4:$G$1022,'август 2023'!$D$4:$D$1022,$B9,'август 2023'!$J$4:$J$1022,AF$1)</f>
        <v>0</v>
      </c>
      <c r="AG9" s="198">
        <f>SUMIFS('август 2023'!$G$4:$G$1022,'август 2023'!$D$4:$D$1022,$B9,'август 2023'!$J$4:$J$1022,AG$1)</f>
        <v>0</v>
      </c>
      <c r="AH9" s="198">
        <f>SUMIFS('август 2023'!$G$4:$G$1022,'август 2023'!$D$4:$D$1022,$B9,'август 2023'!$J$4:$J$1022,AH$1)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SUMIFS('август 2023'!$G$4:$G$1022,'август 2023'!$D$4:$D$1022,$B10,'август 2023'!$J$4:$J$1022,D$1)</f>
        <v>0</v>
      </c>
      <c r="E10" s="198">
        <f>SUMIFS('август 2023'!$G$4:$G$1022,'август 2023'!$D$4:$D$1022,$B10,'август 2023'!$J$4:$J$1022,E$1)</f>
        <v>0</v>
      </c>
      <c r="F10" s="198">
        <f>SUMIFS('август 2023'!$G$4:$G$1022,'август 2023'!$D$4:$D$1022,$B10,'август 2023'!$J$4:$J$1022,F$1)</f>
        <v>0</v>
      </c>
      <c r="G10" s="198">
        <f>SUMIFS('август 2023'!$G$4:$G$1022,'август 2023'!$D$4:$D$1022,$B10,'август 2023'!$J$4:$J$1022,G$1)</f>
        <v>0</v>
      </c>
      <c r="H10" s="198">
        <f>SUMIFS('август 2023'!$G$4:$G$1022,'август 2023'!$D$4:$D$1022,$B10,'август 2023'!$J$4:$J$1022,H$1)</f>
        <v>0</v>
      </c>
      <c r="I10" s="198">
        <f>SUMIFS('август 2023'!$G$4:$G$1022,'август 2023'!$D$4:$D$1022,$B10,'август 2023'!$J$4:$J$1022,I$1)</f>
        <v>0</v>
      </c>
      <c r="J10" s="198">
        <f>SUMIFS('август 2023'!$G$4:$G$1022,'август 2023'!$D$4:$D$1022,$B10,'август 2023'!$J$4:$J$1022,J$1)</f>
        <v>0</v>
      </c>
      <c r="K10" s="198">
        <f>SUMIFS('август 2023'!$G$4:$G$1022,'август 2023'!$D$4:$D$1022,$B10,'август 2023'!$J$4:$J$1022,K$1)</f>
        <v>0</v>
      </c>
      <c r="L10" s="198">
        <f>SUMIFS('август 2023'!$G$4:$G$1022,'август 2023'!$D$4:$D$1022,$B10,'август 2023'!$J$4:$J$1022,L$1)</f>
        <v>0</v>
      </c>
      <c r="M10" s="198">
        <f>SUMIFS('август 2023'!$G$4:$G$1022,'август 2023'!$D$4:$D$1022,$B10,'август 2023'!$J$4:$J$1022,M$1)</f>
        <v>0</v>
      </c>
      <c r="N10" s="198">
        <f>SUMIFS('август 2023'!$G$4:$G$1022,'август 2023'!$D$4:$D$1022,$B10,'август 2023'!$J$4:$J$1022,N$1)</f>
        <v>0</v>
      </c>
      <c r="O10" s="198">
        <f>SUMIFS('август 2023'!$G$4:$G$1022,'август 2023'!$D$4:$D$1022,$B10,'август 2023'!$J$4:$J$1022,O$1)</f>
        <v>0</v>
      </c>
      <c r="P10" s="198">
        <f>SUMIFS('август 2023'!$G$4:$G$1022,'август 2023'!$D$4:$D$1022,$B10,'август 2023'!$J$4:$J$1022,P$1)</f>
        <v>0</v>
      </c>
      <c r="Q10" s="198">
        <f>SUMIFS('август 2023'!$G$4:$G$1022,'август 2023'!$D$4:$D$1022,$B10,'август 2023'!$J$4:$J$1022,Q$1)</f>
        <v>0</v>
      </c>
      <c r="R10" s="198">
        <f>SUMIFS('август 2023'!$G$4:$G$1022,'август 2023'!$D$4:$D$1022,$B10,'август 2023'!$J$4:$J$1022,R$1)</f>
        <v>0</v>
      </c>
      <c r="S10" s="198">
        <f>SUMIFS('август 2023'!$G$4:$G$1022,'август 2023'!$D$4:$D$1022,$B10,'август 2023'!$J$4:$J$1022,S$1)</f>
        <v>0</v>
      </c>
      <c r="T10" s="198">
        <f>SUMIFS('август 2023'!$G$4:$G$1022,'август 2023'!$D$4:$D$1022,$B10,'август 2023'!$J$4:$J$1022,T$1)</f>
        <v>0</v>
      </c>
      <c r="U10" s="198">
        <f>SUMIFS('август 2023'!$G$4:$G$1022,'август 2023'!$D$4:$D$1022,$B10,'август 2023'!$J$4:$J$1022,U$1)</f>
        <v>0</v>
      </c>
      <c r="V10" s="198">
        <f>SUMIFS('август 2023'!$G$4:$G$1022,'август 2023'!$D$4:$D$1022,$B10,'август 2023'!$J$4:$J$1022,V$1)</f>
        <v>0</v>
      </c>
      <c r="W10" s="198">
        <f>SUMIFS('август 2023'!$G$4:$G$1022,'август 2023'!$D$4:$D$1022,$B10,'август 2023'!$J$4:$J$1022,W$1)</f>
        <v>0</v>
      </c>
      <c r="X10" s="198">
        <f>SUMIFS('август 2023'!$G$4:$G$1022,'август 2023'!$D$4:$D$1022,$B10,'август 2023'!$J$4:$J$1022,X$1)</f>
        <v>0</v>
      </c>
      <c r="Y10" s="198">
        <f>SUMIFS('август 2023'!$G$4:$G$1022,'август 2023'!$D$4:$D$1022,$B10,'август 2023'!$J$4:$J$1022,Y$1)</f>
        <v>0</v>
      </c>
      <c r="Z10" s="198">
        <f>SUMIFS('август 2023'!$G$4:$G$1022,'август 2023'!$D$4:$D$1022,$B10,'август 2023'!$J$4:$J$1022,Z$1)</f>
        <v>0</v>
      </c>
      <c r="AA10" s="198">
        <f>SUMIFS('август 2023'!$G$4:$G$1022,'август 2023'!$D$4:$D$1022,$B10,'август 2023'!$J$4:$J$1022,AA$1)</f>
        <v>0</v>
      </c>
      <c r="AB10" s="198">
        <f>SUMIFS('август 2023'!$G$4:$G$1022,'август 2023'!$D$4:$D$1022,$B10,'август 2023'!$J$4:$J$1022,AB$1)</f>
        <v>0</v>
      </c>
      <c r="AC10" s="198">
        <f>SUMIFS('август 2023'!$G$4:$G$1022,'август 2023'!$D$4:$D$1022,$B10,'август 2023'!$J$4:$J$1022,AC$1)</f>
        <v>0</v>
      </c>
      <c r="AD10" s="198">
        <f>SUMIFS('август 2023'!$G$4:$G$1022,'август 2023'!$D$4:$D$1022,$B10,'август 2023'!$J$4:$J$1022,AD$1)</f>
        <v>0</v>
      </c>
      <c r="AE10" s="198">
        <f>SUMIFS('август 2023'!$G$4:$G$1022,'август 2023'!$D$4:$D$1022,$B10,'август 2023'!$J$4:$J$1022,AE$1)</f>
        <v>0</v>
      </c>
      <c r="AF10" s="198">
        <f>SUMIFS('август 2023'!$G$4:$G$1022,'август 2023'!$D$4:$D$1022,$B10,'август 2023'!$J$4:$J$1022,AF$1)</f>
        <v>0</v>
      </c>
      <c r="AG10" s="198">
        <f>SUMIFS('август 2023'!$G$4:$G$1022,'август 2023'!$D$4:$D$1022,$B10,'август 2023'!$J$4:$J$1022,AG$1)</f>
        <v>0</v>
      </c>
      <c r="AH10" s="198">
        <f>SUMIFS('август 2023'!$G$4:$G$1022,'август 2023'!$D$4:$D$1022,$B10,'август 2023'!$J$4:$J$1022,AH$1)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SUMIFS('август 2023'!$G$4:$G$1022,'август 2023'!$D$4:$D$1022,$B11,'август 2023'!$J$4:$J$1022,D$1)</f>
        <v>0</v>
      </c>
      <c r="E11" s="198">
        <f>SUMIFS('август 2023'!$G$4:$G$1022,'август 2023'!$D$4:$D$1022,$B11,'август 2023'!$J$4:$J$1022,E$1)</f>
        <v>0</v>
      </c>
      <c r="F11" s="198">
        <f>SUMIFS('август 2023'!$G$4:$G$1022,'август 2023'!$D$4:$D$1022,$B11,'август 2023'!$J$4:$J$1022,F$1)</f>
        <v>0</v>
      </c>
      <c r="G11" s="198">
        <f>SUMIFS('август 2023'!$G$4:$G$1022,'август 2023'!$D$4:$D$1022,$B11,'август 2023'!$J$4:$J$1022,G$1)</f>
        <v>0</v>
      </c>
      <c r="H11" s="198">
        <f>SUMIFS('август 2023'!$G$4:$G$1022,'август 2023'!$D$4:$D$1022,$B11,'август 2023'!$J$4:$J$1022,H$1)</f>
        <v>0</v>
      </c>
      <c r="I11" s="198">
        <f>SUMIFS('август 2023'!$G$4:$G$1022,'август 2023'!$D$4:$D$1022,$B11,'август 2023'!$J$4:$J$1022,I$1)</f>
        <v>0</v>
      </c>
      <c r="J11" s="198">
        <f>SUMIFS('август 2023'!$G$4:$G$1022,'август 2023'!$D$4:$D$1022,$B11,'август 2023'!$J$4:$J$1022,J$1)</f>
        <v>0</v>
      </c>
      <c r="K11" s="198">
        <f>SUMIFS('август 2023'!$G$4:$G$1022,'август 2023'!$D$4:$D$1022,$B11,'август 2023'!$J$4:$J$1022,K$1)</f>
        <v>0</v>
      </c>
      <c r="L11" s="198">
        <f>SUMIFS('август 2023'!$G$4:$G$1022,'август 2023'!$D$4:$D$1022,$B11,'август 2023'!$J$4:$J$1022,L$1)</f>
        <v>0</v>
      </c>
      <c r="M11" s="198">
        <f>SUMIFS('август 2023'!$G$4:$G$1022,'август 2023'!$D$4:$D$1022,$B11,'август 2023'!$J$4:$J$1022,M$1)</f>
        <v>0</v>
      </c>
      <c r="N11" s="198">
        <f>SUMIFS('август 2023'!$G$4:$G$1022,'август 2023'!$D$4:$D$1022,$B11,'август 2023'!$J$4:$J$1022,N$1)</f>
        <v>0</v>
      </c>
      <c r="O11" s="198">
        <f>SUMIFS('август 2023'!$G$4:$G$1022,'август 2023'!$D$4:$D$1022,$B11,'август 2023'!$J$4:$J$1022,O$1)</f>
        <v>0</v>
      </c>
      <c r="P11" s="198">
        <f>SUMIFS('август 2023'!$G$4:$G$1022,'август 2023'!$D$4:$D$1022,$B11,'август 2023'!$J$4:$J$1022,P$1)</f>
        <v>0</v>
      </c>
      <c r="Q11" s="198">
        <f>SUMIFS('август 2023'!$G$4:$G$1022,'август 2023'!$D$4:$D$1022,$B11,'август 2023'!$J$4:$J$1022,Q$1)</f>
        <v>0</v>
      </c>
      <c r="R11" s="198">
        <f>SUMIFS('август 2023'!$G$4:$G$1022,'август 2023'!$D$4:$D$1022,$B11,'август 2023'!$J$4:$J$1022,R$1)</f>
        <v>0</v>
      </c>
      <c r="S11" s="198">
        <f>SUMIFS('август 2023'!$G$4:$G$1022,'август 2023'!$D$4:$D$1022,$B11,'август 2023'!$J$4:$J$1022,S$1)</f>
        <v>0</v>
      </c>
      <c r="T11" s="198">
        <f>SUMIFS('август 2023'!$G$4:$G$1022,'август 2023'!$D$4:$D$1022,$B11,'август 2023'!$J$4:$J$1022,T$1)</f>
        <v>0</v>
      </c>
      <c r="U11" s="198">
        <f>SUMIFS('август 2023'!$G$4:$G$1022,'август 2023'!$D$4:$D$1022,$B11,'август 2023'!$J$4:$J$1022,U$1)</f>
        <v>0</v>
      </c>
      <c r="V11" s="198">
        <f>SUMIFS('август 2023'!$G$4:$G$1022,'август 2023'!$D$4:$D$1022,$B11,'август 2023'!$J$4:$J$1022,V$1)</f>
        <v>0</v>
      </c>
      <c r="W11" s="198">
        <f>SUMIFS('август 2023'!$G$4:$G$1022,'август 2023'!$D$4:$D$1022,$B11,'август 2023'!$J$4:$J$1022,W$1)</f>
        <v>0</v>
      </c>
      <c r="X11" s="198">
        <f>SUMIFS('август 2023'!$G$4:$G$1022,'август 2023'!$D$4:$D$1022,$B11,'август 2023'!$J$4:$J$1022,X$1)</f>
        <v>0</v>
      </c>
      <c r="Y11" s="198">
        <f>SUMIFS('август 2023'!$G$4:$G$1022,'август 2023'!$D$4:$D$1022,$B11,'август 2023'!$J$4:$J$1022,Y$1)</f>
        <v>0</v>
      </c>
      <c r="Z11" s="198">
        <f>SUMIFS('август 2023'!$G$4:$G$1022,'август 2023'!$D$4:$D$1022,$B11,'август 2023'!$J$4:$J$1022,Z$1)</f>
        <v>0</v>
      </c>
      <c r="AA11" s="198">
        <f>SUMIFS('август 2023'!$G$4:$G$1022,'август 2023'!$D$4:$D$1022,$B11,'август 2023'!$J$4:$J$1022,AA$1)</f>
        <v>0</v>
      </c>
      <c r="AB11" s="198">
        <f>SUMIFS('август 2023'!$G$4:$G$1022,'август 2023'!$D$4:$D$1022,$B11,'август 2023'!$J$4:$J$1022,AB$1)</f>
        <v>0</v>
      </c>
      <c r="AC11" s="198">
        <f>SUMIFS('август 2023'!$G$4:$G$1022,'август 2023'!$D$4:$D$1022,$B11,'август 2023'!$J$4:$J$1022,AC$1)</f>
        <v>0</v>
      </c>
      <c r="AD11" s="198">
        <f>SUMIFS('август 2023'!$G$4:$G$1022,'август 2023'!$D$4:$D$1022,$B11,'август 2023'!$J$4:$J$1022,AD$1)</f>
        <v>0</v>
      </c>
      <c r="AE11" s="198">
        <f>SUMIFS('август 2023'!$G$4:$G$1022,'август 2023'!$D$4:$D$1022,$B11,'август 2023'!$J$4:$J$1022,AE$1)</f>
        <v>0</v>
      </c>
      <c r="AF11" s="198">
        <f>SUMIFS('август 2023'!$G$4:$G$1022,'август 2023'!$D$4:$D$1022,$B11,'август 2023'!$J$4:$J$1022,AF$1)</f>
        <v>0</v>
      </c>
      <c r="AG11" s="198">
        <f>SUMIFS('август 2023'!$G$4:$G$1022,'август 2023'!$D$4:$D$1022,$B11,'август 2023'!$J$4:$J$1022,AG$1)</f>
        <v>0</v>
      </c>
      <c r="AH11" s="198">
        <f>SUMIFS('август 2023'!$G$4:$G$1022,'август 2023'!$D$4:$D$1022,$B11,'август 2023'!$J$4:$J$1022,AH$1)</f>
        <v>0</v>
      </c>
      <c r="AI11" s="170">
        <f t="shared" si="1"/>
        <v>0</v>
      </c>
    </row>
    <row r="12" spans="2:35" ht="15" customHeight="1" x14ac:dyDescent="0.25">
      <c r="B12" s="202" t="s">
        <v>127</v>
      </c>
      <c r="C12" s="203">
        <v>25</v>
      </c>
      <c r="D12" s="198">
        <f>SUMIFS('август 2023'!$G$4:$G$1022,'август 2023'!$D$4:$D$1022,$B12,'август 2023'!$J$4:$J$1022,D$1)</f>
        <v>0</v>
      </c>
      <c r="E12" s="198">
        <f>SUMIFS('август 2023'!$G$4:$G$1022,'август 2023'!$D$4:$D$1022,$B12,'август 2023'!$J$4:$J$1022,E$1)</f>
        <v>0</v>
      </c>
      <c r="F12" s="198">
        <f>SUMIFS('август 2023'!$G$4:$G$1022,'август 2023'!$D$4:$D$1022,$B12,'август 2023'!$J$4:$J$1022,F$1)</f>
        <v>0</v>
      </c>
      <c r="G12" s="198">
        <f>SUMIFS('август 2023'!$G$4:$G$1022,'август 2023'!$D$4:$D$1022,$B12,'август 2023'!$J$4:$J$1022,G$1)</f>
        <v>0</v>
      </c>
      <c r="H12" s="198">
        <f>SUMIFS('август 2023'!$G$4:$G$1022,'август 2023'!$D$4:$D$1022,$B12,'август 2023'!$J$4:$J$1022,H$1)</f>
        <v>0</v>
      </c>
      <c r="I12" s="198">
        <f>SUMIFS('август 2023'!$G$4:$G$1022,'август 2023'!$D$4:$D$1022,$B12,'август 2023'!$J$4:$J$1022,I$1)</f>
        <v>0</v>
      </c>
      <c r="J12" s="198">
        <f>SUMIFS('август 2023'!$G$4:$G$1022,'август 2023'!$D$4:$D$1022,$B12,'август 2023'!$J$4:$J$1022,J$1)</f>
        <v>0</v>
      </c>
      <c r="K12" s="198">
        <f>SUMIFS('август 2023'!$G$4:$G$1022,'август 2023'!$D$4:$D$1022,$B12,'август 2023'!$J$4:$J$1022,K$1)</f>
        <v>0</v>
      </c>
      <c r="L12" s="198">
        <f>SUMIFS('август 2023'!$G$4:$G$1022,'август 2023'!$D$4:$D$1022,$B12,'август 2023'!$J$4:$J$1022,L$1)</f>
        <v>0</v>
      </c>
      <c r="M12" s="198">
        <f>SUMIFS('август 2023'!$G$4:$G$1022,'август 2023'!$D$4:$D$1022,$B12,'август 2023'!$J$4:$J$1022,M$1)</f>
        <v>0</v>
      </c>
      <c r="N12" s="198">
        <f>SUMIFS('август 2023'!$G$4:$G$1022,'август 2023'!$D$4:$D$1022,$B12,'август 2023'!$J$4:$J$1022,N$1)</f>
        <v>0</v>
      </c>
      <c r="O12" s="198">
        <f>SUMIFS('август 2023'!$G$4:$G$1022,'август 2023'!$D$4:$D$1022,$B12,'август 2023'!$J$4:$J$1022,O$1)</f>
        <v>0</v>
      </c>
      <c r="P12" s="198">
        <f>SUMIFS('август 2023'!$G$4:$G$1022,'август 2023'!$D$4:$D$1022,$B12,'август 2023'!$J$4:$J$1022,P$1)</f>
        <v>0</v>
      </c>
      <c r="Q12" s="198">
        <f>SUMIFS('август 2023'!$G$4:$G$1022,'август 2023'!$D$4:$D$1022,$B12,'август 2023'!$J$4:$J$1022,Q$1)</f>
        <v>0</v>
      </c>
      <c r="R12" s="198">
        <f>SUMIFS('август 2023'!$G$4:$G$1022,'август 2023'!$D$4:$D$1022,$B12,'август 2023'!$J$4:$J$1022,R$1)</f>
        <v>0</v>
      </c>
      <c r="S12" s="198">
        <f>SUMIFS('август 2023'!$G$4:$G$1022,'август 2023'!$D$4:$D$1022,$B12,'август 2023'!$J$4:$J$1022,S$1)</f>
        <v>0</v>
      </c>
      <c r="T12" s="198">
        <f>SUMIFS('август 2023'!$G$4:$G$1022,'август 2023'!$D$4:$D$1022,$B12,'август 2023'!$J$4:$J$1022,T$1)</f>
        <v>0</v>
      </c>
      <c r="U12" s="198">
        <f>SUMIFS('август 2023'!$G$4:$G$1022,'август 2023'!$D$4:$D$1022,$B12,'август 2023'!$J$4:$J$1022,U$1)</f>
        <v>0</v>
      </c>
      <c r="V12" s="198">
        <f>SUMIFS('август 2023'!$G$4:$G$1022,'август 2023'!$D$4:$D$1022,$B12,'август 2023'!$J$4:$J$1022,V$1)</f>
        <v>0</v>
      </c>
      <c r="W12" s="198">
        <f>SUMIFS('август 2023'!$G$4:$G$1022,'август 2023'!$D$4:$D$1022,$B12,'август 2023'!$J$4:$J$1022,W$1)</f>
        <v>0</v>
      </c>
      <c r="X12" s="198">
        <f>SUMIFS('август 2023'!$G$4:$G$1022,'август 2023'!$D$4:$D$1022,$B12,'август 2023'!$J$4:$J$1022,X$1)</f>
        <v>0</v>
      </c>
      <c r="Y12" s="198">
        <f>SUMIFS('август 2023'!$G$4:$G$1022,'август 2023'!$D$4:$D$1022,$B12,'август 2023'!$J$4:$J$1022,Y$1)</f>
        <v>0</v>
      </c>
      <c r="Z12" s="198">
        <f>SUMIFS('август 2023'!$G$4:$G$1022,'август 2023'!$D$4:$D$1022,$B12,'август 2023'!$J$4:$J$1022,Z$1)</f>
        <v>0</v>
      </c>
      <c r="AA12" s="198">
        <f>SUMIFS('август 2023'!$G$4:$G$1022,'август 2023'!$D$4:$D$1022,$B12,'август 2023'!$J$4:$J$1022,AA$1)</f>
        <v>0</v>
      </c>
      <c r="AB12" s="198">
        <f>SUMIFS('август 2023'!$G$4:$G$1022,'август 2023'!$D$4:$D$1022,$B12,'август 2023'!$J$4:$J$1022,AB$1)</f>
        <v>0</v>
      </c>
      <c r="AC12" s="198">
        <f>SUMIFS('август 2023'!$G$4:$G$1022,'август 2023'!$D$4:$D$1022,$B12,'август 2023'!$J$4:$J$1022,AC$1)</f>
        <v>0</v>
      </c>
      <c r="AD12" s="198">
        <f>SUMIFS('август 2023'!$G$4:$G$1022,'август 2023'!$D$4:$D$1022,$B12,'август 2023'!$J$4:$J$1022,AD$1)</f>
        <v>0</v>
      </c>
      <c r="AE12" s="198">
        <f>SUMIFS('август 2023'!$G$4:$G$1022,'август 2023'!$D$4:$D$1022,$B12,'август 2023'!$J$4:$J$1022,AE$1)</f>
        <v>0</v>
      </c>
      <c r="AF12" s="198">
        <f>SUMIFS('август 2023'!$G$4:$G$1022,'август 2023'!$D$4:$D$1022,$B12,'август 2023'!$J$4:$J$1022,AF$1)</f>
        <v>0</v>
      </c>
      <c r="AG12" s="198">
        <f>SUMIFS('август 2023'!$G$4:$G$1022,'август 2023'!$D$4:$D$1022,$B12,'август 2023'!$J$4:$J$1022,AG$1)</f>
        <v>0</v>
      </c>
      <c r="AH12" s="198">
        <f>SUMIFS('август 2023'!$G$4:$G$1022,'август 2023'!$D$4:$D$1022,$B12,'август 2023'!$J$4:$J$1022,AH$1)</f>
        <v>0</v>
      </c>
      <c r="AI12" s="170">
        <f t="shared" si="1"/>
        <v>0</v>
      </c>
    </row>
    <row r="13" spans="2:35" ht="15" customHeight="1" x14ac:dyDescent="0.25">
      <c r="B13" s="202" t="s">
        <v>86</v>
      </c>
      <c r="C13" s="203">
        <v>22.7</v>
      </c>
      <c r="D13" s="198">
        <f>SUMIFS('август 2023'!$G$4:$G$1022,'август 2023'!$D$4:$D$1022,$B13,'август 2023'!$J$4:$J$1022,D$1)</f>
        <v>0</v>
      </c>
      <c r="E13" s="198">
        <f>SUMIFS('август 2023'!$G$4:$G$1022,'август 2023'!$D$4:$D$1022,$B13,'август 2023'!$J$4:$J$1022,E$1)</f>
        <v>0</v>
      </c>
      <c r="F13" s="198">
        <f>SUMIFS('август 2023'!$G$4:$G$1022,'август 2023'!$D$4:$D$1022,$B13,'август 2023'!$J$4:$J$1022,F$1)</f>
        <v>0</v>
      </c>
      <c r="G13" s="198">
        <f>SUMIFS('август 2023'!$G$4:$G$1022,'август 2023'!$D$4:$D$1022,$B13,'август 2023'!$J$4:$J$1022,G$1)</f>
        <v>0</v>
      </c>
      <c r="H13" s="198">
        <f>SUMIFS('август 2023'!$G$4:$G$1022,'август 2023'!$D$4:$D$1022,$B13,'август 2023'!$J$4:$J$1022,H$1)</f>
        <v>0</v>
      </c>
      <c r="I13" s="198">
        <f>SUMIFS('август 2023'!$G$4:$G$1022,'август 2023'!$D$4:$D$1022,$B13,'август 2023'!$J$4:$J$1022,I$1)</f>
        <v>0</v>
      </c>
      <c r="J13" s="198">
        <f>SUMIFS('август 2023'!$G$4:$G$1022,'август 2023'!$D$4:$D$1022,$B13,'август 2023'!$J$4:$J$1022,J$1)</f>
        <v>0</v>
      </c>
      <c r="K13" s="198">
        <f>SUMIFS('август 2023'!$G$4:$G$1022,'август 2023'!$D$4:$D$1022,$B13,'август 2023'!$J$4:$J$1022,K$1)</f>
        <v>0</v>
      </c>
      <c r="L13" s="198">
        <f>SUMIFS('август 2023'!$G$4:$G$1022,'август 2023'!$D$4:$D$1022,$B13,'август 2023'!$J$4:$J$1022,L$1)</f>
        <v>920</v>
      </c>
      <c r="M13" s="198">
        <f>SUMIFS('август 2023'!$G$4:$G$1022,'август 2023'!$D$4:$D$1022,$B13,'август 2023'!$J$4:$J$1022,M$1)</f>
        <v>0</v>
      </c>
      <c r="N13" s="198">
        <f>SUMIFS('август 2023'!$G$4:$G$1022,'август 2023'!$D$4:$D$1022,$B13,'август 2023'!$J$4:$J$1022,N$1)</f>
        <v>0</v>
      </c>
      <c r="O13" s="198">
        <f>SUMIFS('август 2023'!$G$4:$G$1022,'август 2023'!$D$4:$D$1022,$B13,'август 2023'!$J$4:$J$1022,O$1)</f>
        <v>0</v>
      </c>
      <c r="P13" s="198">
        <f>SUMIFS('август 2023'!$G$4:$G$1022,'август 2023'!$D$4:$D$1022,$B13,'август 2023'!$J$4:$J$1022,P$1)</f>
        <v>0</v>
      </c>
      <c r="Q13" s="198">
        <f>SUMIFS('август 2023'!$G$4:$G$1022,'август 2023'!$D$4:$D$1022,$B13,'август 2023'!$J$4:$J$1022,Q$1)</f>
        <v>0</v>
      </c>
      <c r="R13" s="198">
        <f>SUMIFS('август 2023'!$G$4:$G$1022,'август 2023'!$D$4:$D$1022,$B13,'август 2023'!$J$4:$J$1022,R$1)</f>
        <v>800</v>
      </c>
      <c r="S13" s="198">
        <f>SUMIFS('август 2023'!$G$4:$G$1022,'август 2023'!$D$4:$D$1022,$B13,'август 2023'!$J$4:$J$1022,S$1)</f>
        <v>800</v>
      </c>
      <c r="T13" s="198">
        <f>SUMIFS('август 2023'!$G$4:$G$1022,'август 2023'!$D$4:$D$1022,$B13,'август 2023'!$J$4:$J$1022,T$1)</f>
        <v>0</v>
      </c>
      <c r="U13" s="198">
        <f>SUMIFS('август 2023'!$G$4:$G$1022,'август 2023'!$D$4:$D$1022,$B13,'август 2023'!$J$4:$J$1022,U$1)</f>
        <v>0</v>
      </c>
      <c r="V13" s="198">
        <f>SUMIFS('август 2023'!$G$4:$G$1022,'август 2023'!$D$4:$D$1022,$B13,'август 2023'!$J$4:$J$1022,V$1)</f>
        <v>0</v>
      </c>
      <c r="W13" s="198">
        <f>SUMIFS('август 2023'!$G$4:$G$1022,'август 2023'!$D$4:$D$1022,$B13,'август 2023'!$J$4:$J$1022,W$1)</f>
        <v>0</v>
      </c>
      <c r="X13" s="198">
        <f>SUMIFS('август 2023'!$G$4:$G$1022,'август 2023'!$D$4:$D$1022,$B13,'август 2023'!$J$4:$J$1022,X$1)</f>
        <v>0</v>
      </c>
      <c r="Y13" s="198">
        <f>SUMIFS('август 2023'!$G$4:$G$1022,'август 2023'!$D$4:$D$1022,$B13,'август 2023'!$J$4:$J$1022,Y$1)</f>
        <v>0</v>
      </c>
      <c r="Z13" s="198">
        <f>SUMIFS('август 2023'!$G$4:$G$1022,'август 2023'!$D$4:$D$1022,$B13,'август 2023'!$J$4:$J$1022,Z$1)</f>
        <v>0</v>
      </c>
      <c r="AA13" s="198">
        <f>SUMIFS('август 2023'!$G$4:$G$1022,'август 2023'!$D$4:$D$1022,$B13,'август 2023'!$J$4:$J$1022,AA$1)</f>
        <v>0</v>
      </c>
      <c r="AB13" s="198">
        <f>SUMIFS('август 2023'!$G$4:$G$1022,'август 2023'!$D$4:$D$1022,$B13,'август 2023'!$J$4:$J$1022,AB$1)</f>
        <v>0</v>
      </c>
      <c r="AC13" s="198">
        <f>SUMIFS('август 2023'!$G$4:$G$1022,'август 2023'!$D$4:$D$1022,$B13,'август 2023'!$J$4:$J$1022,AC$1)</f>
        <v>0</v>
      </c>
      <c r="AD13" s="198">
        <f>SUMIFS('август 2023'!$G$4:$G$1022,'август 2023'!$D$4:$D$1022,$B13,'август 2023'!$J$4:$J$1022,AD$1)</f>
        <v>0</v>
      </c>
      <c r="AE13" s="198">
        <f>SUMIFS('август 2023'!$G$4:$G$1022,'август 2023'!$D$4:$D$1022,$B13,'август 2023'!$J$4:$J$1022,AE$1)</f>
        <v>0</v>
      </c>
      <c r="AF13" s="198">
        <f>SUMIFS('август 2023'!$G$4:$G$1022,'август 2023'!$D$4:$D$1022,$B13,'август 2023'!$J$4:$J$1022,AF$1)</f>
        <v>0</v>
      </c>
      <c r="AG13" s="198">
        <f>SUMIFS('август 2023'!$G$4:$G$1022,'август 2023'!$D$4:$D$1022,$B13,'август 2023'!$J$4:$J$1022,AG$1)</f>
        <v>0</v>
      </c>
      <c r="AH13" s="198">
        <f>SUMIFS('август 2023'!$G$4:$G$1022,'август 2023'!$D$4:$D$1022,$B13,'август 2023'!$J$4:$J$1022,AH$1)</f>
        <v>0</v>
      </c>
      <c r="AI13" s="170">
        <f t="shared" si="1"/>
        <v>2520</v>
      </c>
    </row>
    <row r="14" spans="2:35" ht="15" customHeight="1" x14ac:dyDescent="0.25">
      <c r="B14" s="199" t="s">
        <v>2103</v>
      </c>
      <c r="C14" s="200">
        <v>25</v>
      </c>
      <c r="D14" s="198">
        <f>SUMIFS('август 2023'!$G$4:$G$1022,'август 2023'!$D$4:$D$1022,$B14,'август 2023'!$J$4:$J$1022,D$1)</f>
        <v>0</v>
      </c>
      <c r="E14" s="198">
        <f>SUMIFS('август 2023'!$G$4:$G$1022,'август 2023'!$D$4:$D$1022,$B14,'август 2023'!$J$4:$J$1022,E$1)</f>
        <v>0</v>
      </c>
      <c r="F14" s="198">
        <f>SUMIFS('август 2023'!$G$4:$G$1022,'август 2023'!$D$4:$D$1022,$B14,'август 2023'!$J$4:$J$1022,F$1)</f>
        <v>0</v>
      </c>
      <c r="G14" s="198">
        <f>SUMIFS('август 2023'!$G$4:$G$1022,'август 2023'!$D$4:$D$1022,$B14,'август 2023'!$J$4:$J$1022,G$1)</f>
        <v>0</v>
      </c>
      <c r="H14" s="198">
        <f>SUMIFS('август 2023'!$G$4:$G$1022,'август 2023'!$D$4:$D$1022,$B14,'август 2023'!$J$4:$J$1022,H$1)</f>
        <v>0</v>
      </c>
      <c r="I14" s="198">
        <f>SUMIFS('август 2023'!$G$4:$G$1022,'август 2023'!$D$4:$D$1022,$B14,'август 2023'!$J$4:$J$1022,I$1)</f>
        <v>0</v>
      </c>
      <c r="J14" s="198">
        <f>SUMIFS('август 2023'!$G$4:$G$1022,'август 2023'!$D$4:$D$1022,$B14,'август 2023'!$J$4:$J$1022,J$1)</f>
        <v>0</v>
      </c>
      <c r="K14" s="198">
        <f>SUMIFS('август 2023'!$G$4:$G$1022,'август 2023'!$D$4:$D$1022,$B14,'август 2023'!$J$4:$J$1022,K$1)</f>
        <v>0</v>
      </c>
      <c r="L14" s="198">
        <f>SUMIFS('август 2023'!$G$4:$G$1022,'август 2023'!$D$4:$D$1022,$B14,'август 2023'!$J$4:$J$1022,L$1)</f>
        <v>0</v>
      </c>
      <c r="M14" s="198">
        <f>SUMIFS('август 2023'!$G$4:$G$1022,'август 2023'!$D$4:$D$1022,$B14,'август 2023'!$J$4:$J$1022,M$1)</f>
        <v>0</v>
      </c>
      <c r="N14" s="198">
        <f>SUMIFS('август 2023'!$G$4:$G$1022,'август 2023'!$D$4:$D$1022,$B14,'август 2023'!$J$4:$J$1022,N$1)</f>
        <v>0</v>
      </c>
      <c r="O14" s="198">
        <f>SUMIFS('август 2023'!$G$4:$G$1022,'август 2023'!$D$4:$D$1022,$B14,'август 2023'!$J$4:$J$1022,O$1)</f>
        <v>0</v>
      </c>
      <c r="P14" s="198">
        <f>SUMIFS('август 2023'!$G$4:$G$1022,'август 2023'!$D$4:$D$1022,$B14,'август 2023'!$J$4:$J$1022,P$1)</f>
        <v>0</v>
      </c>
      <c r="Q14" s="198">
        <f>SUMIFS('август 2023'!$G$4:$G$1022,'август 2023'!$D$4:$D$1022,$B14,'август 2023'!$J$4:$J$1022,Q$1)</f>
        <v>0</v>
      </c>
      <c r="R14" s="198">
        <f>SUMIFS('август 2023'!$G$4:$G$1022,'август 2023'!$D$4:$D$1022,$B14,'август 2023'!$J$4:$J$1022,R$1)</f>
        <v>0</v>
      </c>
      <c r="S14" s="198">
        <f>SUMIFS('август 2023'!$G$4:$G$1022,'август 2023'!$D$4:$D$1022,$B14,'август 2023'!$J$4:$J$1022,S$1)</f>
        <v>0</v>
      </c>
      <c r="T14" s="198">
        <f>SUMIFS('август 2023'!$G$4:$G$1022,'август 2023'!$D$4:$D$1022,$B14,'август 2023'!$J$4:$J$1022,T$1)</f>
        <v>0</v>
      </c>
      <c r="U14" s="198">
        <f>SUMIFS('август 2023'!$G$4:$G$1022,'август 2023'!$D$4:$D$1022,$B14,'август 2023'!$J$4:$J$1022,U$1)</f>
        <v>0</v>
      </c>
      <c r="V14" s="198">
        <f>SUMIFS('август 2023'!$G$4:$G$1022,'август 2023'!$D$4:$D$1022,$B14,'август 2023'!$J$4:$J$1022,V$1)</f>
        <v>0</v>
      </c>
      <c r="W14" s="198">
        <f>SUMIFS('август 2023'!$G$4:$G$1022,'август 2023'!$D$4:$D$1022,$B14,'август 2023'!$J$4:$J$1022,W$1)</f>
        <v>0</v>
      </c>
      <c r="X14" s="198">
        <f>SUMIFS('август 2023'!$G$4:$G$1022,'август 2023'!$D$4:$D$1022,$B14,'август 2023'!$J$4:$J$1022,X$1)</f>
        <v>0</v>
      </c>
      <c r="Y14" s="198">
        <f>SUMIFS('август 2023'!$G$4:$G$1022,'август 2023'!$D$4:$D$1022,$B14,'август 2023'!$J$4:$J$1022,Y$1)</f>
        <v>0</v>
      </c>
      <c r="Z14" s="198">
        <f>SUMIFS('август 2023'!$G$4:$G$1022,'август 2023'!$D$4:$D$1022,$B14,'август 2023'!$J$4:$J$1022,Z$1)</f>
        <v>0</v>
      </c>
      <c r="AA14" s="198">
        <f>SUMIFS('август 2023'!$G$4:$G$1022,'август 2023'!$D$4:$D$1022,$B14,'август 2023'!$J$4:$J$1022,AA$1)</f>
        <v>0</v>
      </c>
      <c r="AB14" s="198">
        <f>SUMIFS('август 2023'!$G$4:$G$1022,'август 2023'!$D$4:$D$1022,$B14,'август 2023'!$J$4:$J$1022,AB$1)</f>
        <v>0</v>
      </c>
      <c r="AC14" s="198">
        <f>SUMIFS('август 2023'!$G$4:$G$1022,'август 2023'!$D$4:$D$1022,$B14,'август 2023'!$J$4:$J$1022,AC$1)</f>
        <v>0</v>
      </c>
      <c r="AD14" s="198">
        <f>SUMIFS('август 2023'!$G$4:$G$1022,'август 2023'!$D$4:$D$1022,$B14,'август 2023'!$J$4:$J$1022,AD$1)</f>
        <v>0</v>
      </c>
      <c r="AE14" s="198">
        <f>SUMIFS('август 2023'!$G$4:$G$1022,'август 2023'!$D$4:$D$1022,$B14,'август 2023'!$J$4:$J$1022,AE$1)</f>
        <v>0</v>
      </c>
      <c r="AF14" s="198">
        <f>SUMIFS('август 2023'!$G$4:$G$1022,'август 2023'!$D$4:$D$1022,$B14,'август 2023'!$J$4:$J$1022,AF$1)</f>
        <v>0</v>
      </c>
      <c r="AG14" s="198">
        <f>SUMIFS('август 2023'!$G$4:$G$1022,'август 2023'!$D$4:$D$1022,$B14,'август 2023'!$J$4:$J$1022,AG$1)</f>
        <v>0</v>
      </c>
      <c r="AH14" s="198">
        <f>SUMIFS('август 2023'!$G$4:$G$1022,'август 2023'!$D$4:$D$1022,$B14,'август 2023'!$J$4:$J$1022,AH$1)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SUMIFS('август 2023'!$G$4:$G$1022,'август 2023'!$D$4:$D$1022,$B15,'август 2023'!$J$4:$J$1022,D$1)</f>
        <v>0</v>
      </c>
      <c r="E15" s="198">
        <f>SUMIFS('август 2023'!$G$4:$G$1022,'август 2023'!$D$4:$D$1022,$B15,'август 2023'!$J$4:$J$1022,E$1)</f>
        <v>0</v>
      </c>
      <c r="F15" s="198">
        <f>SUMIFS('август 2023'!$G$4:$G$1022,'август 2023'!$D$4:$D$1022,$B15,'август 2023'!$J$4:$J$1022,F$1)</f>
        <v>0</v>
      </c>
      <c r="G15" s="198">
        <f>SUMIFS('август 2023'!$G$4:$G$1022,'август 2023'!$D$4:$D$1022,$B15,'август 2023'!$J$4:$J$1022,G$1)</f>
        <v>0</v>
      </c>
      <c r="H15" s="198">
        <f>SUMIFS('август 2023'!$G$4:$G$1022,'август 2023'!$D$4:$D$1022,$B15,'август 2023'!$J$4:$J$1022,H$1)</f>
        <v>0</v>
      </c>
      <c r="I15" s="198">
        <f>SUMIFS('август 2023'!$G$4:$G$1022,'август 2023'!$D$4:$D$1022,$B15,'август 2023'!$J$4:$J$1022,I$1)</f>
        <v>0</v>
      </c>
      <c r="J15" s="198">
        <f>SUMIFS('август 2023'!$G$4:$G$1022,'август 2023'!$D$4:$D$1022,$B15,'август 2023'!$J$4:$J$1022,J$1)</f>
        <v>0</v>
      </c>
      <c r="K15" s="198">
        <f>SUMIFS('август 2023'!$G$4:$G$1022,'август 2023'!$D$4:$D$1022,$B15,'август 2023'!$J$4:$J$1022,K$1)</f>
        <v>0</v>
      </c>
      <c r="L15" s="198">
        <f>SUMIFS('август 2023'!$G$4:$G$1022,'август 2023'!$D$4:$D$1022,$B15,'август 2023'!$J$4:$J$1022,L$1)</f>
        <v>0</v>
      </c>
      <c r="M15" s="198">
        <f>SUMIFS('август 2023'!$G$4:$G$1022,'август 2023'!$D$4:$D$1022,$B15,'август 2023'!$J$4:$J$1022,M$1)</f>
        <v>0</v>
      </c>
      <c r="N15" s="198">
        <f>SUMIFS('август 2023'!$G$4:$G$1022,'август 2023'!$D$4:$D$1022,$B15,'август 2023'!$J$4:$J$1022,N$1)</f>
        <v>0</v>
      </c>
      <c r="O15" s="198">
        <f>SUMIFS('август 2023'!$G$4:$G$1022,'август 2023'!$D$4:$D$1022,$B15,'август 2023'!$J$4:$J$1022,O$1)</f>
        <v>0</v>
      </c>
      <c r="P15" s="198">
        <f>SUMIFS('август 2023'!$G$4:$G$1022,'август 2023'!$D$4:$D$1022,$B15,'август 2023'!$J$4:$J$1022,P$1)</f>
        <v>0</v>
      </c>
      <c r="Q15" s="198">
        <f>SUMIFS('август 2023'!$G$4:$G$1022,'август 2023'!$D$4:$D$1022,$B15,'август 2023'!$J$4:$J$1022,Q$1)</f>
        <v>0</v>
      </c>
      <c r="R15" s="198">
        <f>SUMIFS('август 2023'!$G$4:$G$1022,'август 2023'!$D$4:$D$1022,$B15,'август 2023'!$J$4:$J$1022,R$1)</f>
        <v>0</v>
      </c>
      <c r="S15" s="198">
        <f>SUMIFS('август 2023'!$G$4:$G$1022,'август 2023'!$D$4:$D$1022,$B15,'август 2023'!$J$4:$J$1022,S$1)</f>
        <v>0</v>
      </c>
      <c r="T15" s="198">
        <f>SUMIFS('август 2023'!$G$4:$G$1022,'август 2023'!$D$4:$D$1022,$B15,'август 2023'!$J$4:$J$1022,T$1)</f>
        <v>0</v>
      </c>
      <c r="U15" s="198">
        <f>SUMIFS('август 2023'!$G$4:$G$1022,'август 2023'!$D$4:$D$1022,$B15,'август 2023'!$J$4:$J$1022,U$1)</f>
        <v>0</v>
      </c>
      <c r="V15" s="198">
        <f>SUMIFS('август 2023'!$G$4:$G$1022,'август 2023'!$D$4:$D$1022,$B15,'август 2023'!$J$4:$J$1022,V$1)</f>
        <v>0</v>
      </c>
      <c r="W15" s="198">
        <f>SUMIFS('август 2023'!$G$4:$G$1022,'август 2023'!$D$4:$D$1022,$B15,'август 2023'!$J$4:$J$1022,W$1)</f>
        <v>0</v>
      </c>
      <c r="X15" s="198">
        <f>SUMIFS('август 2023'!$G$4:$G$1022,'август 2023'!$D$4:$D$1022,$B15,'август 2023'!$J$4:$J$1022,X$1)</f>
        <v>0</v>
      </c>
      <c r="Y15" s="198">
        <f>SUMIFS('август 2023'!$G$4:$G$1022,'август 2023'!$D$4:$D$1022,$B15,'август 2023'!$J$4:$J$1022,Y$1)</f>
        <v>0</v>
      </c>
      <c r="Z15" s="198">
        <f>SUMIFS('август 2023'!$G$4:$G$1022,'август 2023'!$D$4:$D$1022,$B15,'август 2023'!$J$4:$J$1022,Z$1)</f>
        <v>0</v>
      </c>
      <c r="AA15" s="198">
        <f>SUMIFS('август 2023'!$G$4:$G$1022,'август 2023'!$D$4:$D$1022,$B15,'август 2023'!$J$4:$J$1022,AA$1)</f>
        <v>0</v>
      </c>
      <c r="AB15" s="198">
        <f>SUMIFS('август 2023'!$G$4:$G$1022,'август 2023'!$D$4:$D$1022,$B15,'август 2023'!$J$4:$J$1022,AB$1)</f>
        <v>0</v>
      </c>
      <c r="AC15" s="198">
        <f>SUMIFS('август 2023'!$G$4:$G$1022,'август 2023'!$D$4:$D$1022,$B15,'август 2023'!$J$4:$J$1022,AC$1)</f>
        <v>0</v>
      </c>
      <c r="AD15" s="198">
        <f>SUMIFS('август 2023'!$G$4:$G$1022,'август 2023'!$D$4:$D$1022,$B15,'август 2023'!$J$4:$J$1022,AD$1)</f>
        <v>0</v>
      </c>
      <c r="AE15" s="198">
        <f>SUMIFS('август 2023'!$G$4:$G$1022,'август 2023'!$D$4:$D$1022,$B15,'август 2023'!$J$4:$J$1022,AE$1)</f>
        <v>0</v>
      </c>
      <c r="AF15" s="198">
        <f>SUMIFS('август 2023'!$G$4:$G$1022,'август 2023'!$D$4:$D$1022,$B15,'август 2023'!$J$4:$J$1022,AF$1)</f>
        <v>0</v>
      </c>
      <c r="AG15" s="198">
        <f>SUMIFS('август 2023'!$G$4:$G$1022,'август 2023'!$D$4:$D$1022,$B15,'август 2023'!$J$4:$J$1022,AG$1)</f>
        <v>0</v>
      </c>
      <c r="AH15" s="198">
        <f>SUMIFS('август 2023'!$G$4:$G$1022,'август 2023'!$D$4:$D$1022,$B15,'август 2023'!$J$4:$J$1022,AH$1)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SUMIFS('август 2023'!$G$4:$G$1022,'август 2023'!$D$4:$D$1022,$B16,'август 2023'!$J$4:$J$1022,D$1)</f>
        <v>0</v>
      </c>
      <c r="E16" s="198">
        <f>SUMIFS('август 2023'!$G$4:$G$1022,'август 2023'!$D$4:$D$1022,$B16,'август 2023'!$J$4:$J$1022,E$1)</f>
        <v>0</v>
      </c>
      <c r="F16" s="198">
        <f>SUMIFS('август 2023'!$G$4:$G$1022,'август 2023'!$D$4:$D$1022,$B16,'август 2023'!$J$4:$J$1022,F$1)</f>
        <v>0</v>
      </c>
      <c r="G16" s="198">
        <f>SUMIFS('август 2023'!$G$4:$G$1022,'август 2023'!$D$4:$D$1022,$B16,'август 2023'!$J$4:$J$1022,G$1)</f>
        <v>0</v>
      </c>
      <c r="H16" s="198">
        <f>SUMIFS('август 2023'!$G$4:$G$1022,'август 2023'!$D$4:$D$1022,$B16,'август 2023'!$J$4:$J$1022,H$1)</f>
        <v>0</v>
      </c>
      <c r="I16" s="198">
        <f>SUMIFS('август 2023'!$G$4:$G$1022,'август 2023'!$D$4:$D$1022,$B16,'август 2023'!$J$4:$J$1022,I$1)</f>
        <v>0</v>
      </c>
      <c r="J16" s="198">
        <f>SUMIFS('август 2023'!$G$4:$G$1022,'август 2023'!$D$4:$D$1022,$B16,'август 2023'!$J$4:$J$1022,J$1)</f>
        <v>0</v>
      </c>
      <c r="K16" s="198">
        <f>SUMIFS('август 2023'!$G$4:$G$1022,'август 2023'!$D$4:$D$1022,$B16,'август 2023'!$J$4:$J$1022,K$1)</f>
        <v>0</v>
      </c>
      <c r="L16" s="198">
        <f>SUMIFS('август 2023'!$G$4:$G$1022,'август 2023'!$D$4:$D$1022,$B16,'август 2023'!$J$4:$J$1022,L$1)</f>
        <v>0</v>
      </c>
      <c r="M16" s="198">
        <f>SUMIFS('август 2023'!$G$4:$G$1022,'август 2023'!$D$4:$D$1022,$B16,'август 2023'!$J$4:$J$1022,M$1)</f>
        <v>0</v>
      </c>
      <c r="N16" s="198">
        <f>SUMIFS('август 2023'!$G$4:$G$1022,'август 2023'!$D$4:$D$1022,$B16,'август 2023'!$J$4:$J$1022,N$1)</f>
        <v>0</v>
      </c>
      <c r="O16" s="198">
        <f>SUMIFS('август 2023'!$G$4:$G$1022,'август 2023'!$D$4:$D$1022,$B16,'август 2023'!$J$4:$J$1022,O$1)</f>
        <v>0</v>
      </c>
      <c r="P16" s="198">
        <f>SUMIFS('август 2023'!$G$4:$G$1022,'август 2023'!$D$4:$D$1022,$B16,'август 2023'!$J$4:$J$1022,P$1)</f>
        <v>0</v>
      </c>
      <c r="Q16" s="198">
        <f>SUMIFS('август 2023'!$G$4:$G$1022,'август 2023'!$D$4:$D$1022,$B16,'август 2023'!$J$4:$J$1022,Q$1)</f>
        <v>0</v>
      </c>
      <c r="R16" s="198">
        <f>SUMIFS('август 2023'!$G$4:$G$1022,'август 2023'!$D$4:$D$1022,$B16,'август 2023'!$J$4:$J$1022,R$1)</f>
        <v>0</v>
      </c>
      <c r="S16" s="198">
        <f>SUMIFS('август 2023'!$G$4:$G$1022,'август 2023'!$D$4:$D$1022,$B16,'август 2023'!$J$4:$J$1022,S$1)</f>
        <v>0</v>
      </c>
      <c r="T16" s="198">
        <f>SUMIFS('август 2023'!$G$4:$G$1022,'август 2023'!$D$4:$D$1022,$B16,'август 2023'!$J$4:$J$1022,T$1)</f>
        <v>0</v>
      </c>
      <c r="U16" s="198">
        <f>SUMIFS('август 2023'!$G$4:$G$1022,'август 2023'!$D$4:$D$1022,$B16,'август 2023'!$J$4:$J$1022,U$1)</f>
        <v>0</v>
      </c>
      <c r="V16" s="198">
        <f>SUMIFS('август 2023'!$G$4:$G$1022,'август 2023'!$D$4:$D$1022,$B16,'август 2023'!$J$4:$J$1022,V$1)</f>
        <v>0</v>
      </c>
      <c r="W16" s="198">
        <f>SUMIFS('август 2023'!$G$4:$G$1022,'август 2023'!$D$4:$D$1022,$B16,'август 2023'!$J$4:$J$1022,W$1)</f>
        <v>0</v>
      </c>
      <c r="X16" s="198">
        <f>SUMIFS('август 2023'!$G$4:$G$1022,'август 2023'!$D$4:$D$1022,$B16,'август 2023'!$J$4:$J$1022,X$1)</f>
        <v>0</v>
      </c>
      <c r="Y16" s="198">
        <f>SUMIFS('август 2023'!$G$4:$G$1022,'август 2023'!$D$4:$D$1022,$B16,'август 2023'!$J$4:$J$1022,Y$1)</f>
        <v>0</v>
      </c>
      <c r="Z16" s="198">
        <f>SUMIFS('август 2023'!$G$4:$G$1022,'август 2023'!$D$4:$D$1022,$B16,'август 2023'!$J$4:$J$1022,Z$1)</f>
        <v>0</v>
      </c>
      <c r="AA16" s="198">
        <f>SUMIFS('август 2023'!$G$4:$G$1022,'август 2023'!$D$4:$D$1022,$B16,'август 2023'!$J$4:$J$1022,AA$1)</f>
        <v>0</v>
      </c>
      <c r="AB16" s="198">
        <f>SUMIFS('август 2023'!$G$4:$G$1022,'август 2023'!$D$4:$D$1022,$B16,'август 2023'!$J$4:$J$1022,AB$1)</f>
        <v>0</v>
      </c>
      <c r="AC16" s="198">
        <f>SUMIFS('август 2023'!$G$4:$G$1022,'август 2023'!$D$4:$D$1022,$B16,'август 2023'!$J$4:$J$1022,AC$1)</f>
        <v>0</v>
      </c>
      <c r="AD16" s="198">
        <f>SUMIFS('август 2023'!$G$4:$G$1022,'август 2023'!$D$4:$D$1022,$B16,'август 2023'!$J$4:$J$1022,AD$1)</f>
        <v>0</v>
      </c>
      <c r="AE16" s="198">
        <f>SUMIFS('август 2023'!$G$4:$G$1022,'август 2023'!$D$4:$D$1022,$B16,'август 2023'!$J$4:$J$1022,AE$1)</f>
        <v>0</v>
      </c>
      <c r="AF16" s="198">
        <f>SUMIFS('август 2023'!$G$4:$G$1022,'август 2023'!$D$4:$D$1022,$B16,'август 2023'!$J$4:$J$1022,AF$1)</f>
        <v>0</v>
      </c>
      <c r="AG16" s="198">
        <f>SUMIFS('август 2023'!$G$4:$G$1022,'август 2023'!$D$4:$D$1022,$B16,'август 2023'!$J$4:$J$1022,AG$1)</f>
        <v>0</v>
      </c>
      <c r="AH16" s="198">
        <f>SUMIFS('август 2023'!$G$4:$G$1022,'август 2023'!$D$4:$D$1022,$B16,'август 2023'!$J$4:$J$1022,AH$1)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SUMIFS('август 2023'!$G$4:$G$1022,'август 2023'!$D$4:$D$1022,$B17,'август 2023'!$J$4:$J$1022,D$1)</f>
        <v>0</v>
      </c>
      <c r="E17" s="198">
        <f>SUMIFS('август 2023'!$G$4:$G$1022,'август 2023'!$D$4:$D$1022,$B17,'август 2023'!$J$4:$J$1022,E$1)</f>
        <v>0</v>
      </c>
      <c r="F17" s="198">
        <f>SUMIFS('август 2023'!$G$4:$G$1022,'август 2023'!$D$4:$D$1022,$B17,'август 2023'!$J$4:$J$1022,F$1)</f>
        <v>0</v>
      </c>
      <c r="G17" s="198">
        <f>SUMIFS('август 2023'!$G$4:$G$1022,'август 2023'!$D$4:$D$1022,$B17,'август 2023'!$J$4:$J$1022,G$1)</f>
        <v>0</v>
      </c>
      <c r="H17" s="198">
        <f>SUMIFS('август 2023'!$G$4:$G$1022,'август 2023'!$D$4:$D$1022,$B17,'август 2023'!$J$4:$J$1022,H$1)</f>
        <v>0</v>
      </c>
      <c r="I17" s="198">
        <f>SUMIFS('август 2023'!$G$4:$G$1022,'август 2023'!$D$4:$D$1022,$B17,'август 2023'!$J$4:$J$1022,I$1)</f>
        <v>0</v>
      </c>
      <c r="J17" s="198">
        <f>SUMIFS('август 2023'!$G$4:$G$1022,'август 2023'!$D$4:$D$1022,$B17,'август 2023'!$J$4:$J$1022,J$1)</f>
        <v>0</v>
      </c>
      <c r="K17" s="198">
        <f>SUMIFS('август 2023'!$G$4:$G$1022,'август 2023'!$D$4:$D$1022,$B17,'август 2023'!$J$4:$J$1022,K$1)</f>
        <v>0</v>
      </c>
      <c r="L17" s="198">
        <f>SUMIFS('август 2023'!$G$4:$G$1022,'август 2023'!$D$4:$D$1022,$B17,'август 2023'!$J$4:$J$1022,L$1)</f>
        <v>0</v>
      </c>
      <c r="M17" s="198">
        <f>SUMIFS('август 2023'!$G$4:$G$1022,'август 2023'!$D$4:$D$1022,$B17,'август 2023'!$J$4:$J$1022,M$1)</f>
        <v>0</v>
      </c>
      <c r="N17" s="198">
        <f>SUMIFS('август 2023'!$G$4:$G$1022,'август 2023'!$D$4:$D$1022,$B17,'август 2023'!$J$4:$J$1022,N$1)</f>
        <v>0</v>
      </c>
      <c r="O17" s="198">
        <f>SUMIFS('август 2023'!$G$4:$G$1022,'август 2023'!$D$4:$D$1022,$B17,'август 2023'!$J$4:$J$1022,O$1)</f>
        <v>0</v>
      </c>
      <c r="P17" s="198">
        <f>SUMIFS('август 2023'!$G$4:$G$1022,'август 2023'!$D$4:$D$1022,$B17,'август 2023'!$J$4:$J$1022,P$1)</f>
        <v>0</v>
      </c>
      <c r="Q17" s="198">
        <f>SUMIFS('август 2023'!$G$4:$G$1022,'август 2023'!$D$4:$D$1022,$B17,'август 2023'!$J$4:$J$1022,Q$1)</f>
        <v>0</v>
      </c>
      <c r="R17" s="198">
        <f>SUMIFS('август 2023'!$G$4:$G$1022,'август 2023'!$D$4:$D$1022,$B17,'август 2023'!$J$4:$J$1022,R$1)</f>
        <v>0</v>
      </c>
      <c r="S17" s="198">
        <f>SUMIFS('август 2023'!$G$4:$G$1022,'август 2023'!$D$4:$D$1022,$B17,'август 2023'!$J$4:$J$1022,S$1)</f>
        <v>0</v>
      </c>
      <c r="T17" s="198">
        <f>SUMIFS('август 2023'!$G$4:$G$1022,'август 2023'!$D$4:$D$1022,$B17,'август 2023'!$J$4:$J$1022,T$1)</f>
        <v>0</v>
      </c>
      <c r="U17" s="198">
        <f>SUMIFS('август 2023'!$G$4:$G$1022,'август 2023'!$D$4:$D$1022,$B17,'август 2023'!$J$4:$J$1022,U$1)</f>
        <v>0</v>
      </c>
      <c r="V17" s="198">
        <f>SUMIFS('август 2023'!$G$4:$G$1022,'август 2023'!$D$4:$D$1022,$B17,'август 2023'!$J$4:$J$1022,V$1)</f>
        <v>0</v>
      </c>
      <c r="W17" s="198">
        <f>SUMIFS('август 2023'!$G$4:$G$1022,'август 2023'!$D$4:$D$1022,$B17,'август 2023'!$J$4:$J$1022,W$1)</f>
        <v>0</v>
      </c>
      <c r="X17" s="198">
        <f>SUMIFS('август 2023'!$G$4:$G$1022,'август 2023'!$D$4:$D$1022,$B17,'август 2023'!$J$4:$J$1022,X$1)</f>
        <v>0</v>
      </c>
      <c r="Y17" s="198">
        <f>SUMIFS('август 2023'!$G$4:$G$1022,'август 2023'!$D$4:$D$1022,$B17,'август 2023'!$J$4:$J$1022,Y$1)</f>
        <v>0</v>
      </c>
      <c r="Z17" s="198">
        <f>SUMIFS('август 2023'!$G$4:$G$1022,'август 2023'!$D$4:$D$1022,$B17,'август 2023'!$J$4:$J$1022,Z$1)</f>
        <v>0</v>
      </c>
      <c r="AA17" s="198">
        <f>SUMIFS('август 2023'!$G$4:$G$1022,'август 2023'!$D$4:$D$1022,$B17,'август 2023'!$J$4:$J$1022,AA$1)</f>
        <v>0</v>
      </c>
      <c r="AB17" s="198">
        <f>SUMIFS('август 2023'!$G$4:$G$1022,'август 2023'!$D$4:$D$1022,$B17,'август 2023'!$J$4:$J$1022,AB$1)</f>
        <v>0</v>
      </c>
      <c r="AC17" s="198">
        <f>SUMIFS('август 2023'!$G$4:$G$1022,'август 2023'!$D$4:$D$1022,$B17,'август 2023'!$J$4:$J$1022,AC$1)</f>
        <v>0</v>
      </c>
      <c r="AD17" s="198">
        <f>SUMIFS('август 2023'!$G$4:$G$1022,'август 2023'!$D$4:$D$1022,$B17,'август 2023'!$J$4:$J$1022,AD$1)</f>
        <v>0</v>
      </c>
      <c r="AE17" s="198">
        <f>SUMIFS('август 2023'!$G$4:$G$1022,'август 2023'!$D$4:$D$1022,$B17,'август 2023'!$J$4:$J$1022,AE$1)</f>
        <v>0</v>
      </c>
      <c r="AF17" s="198">
        <f>SUMIFS('август 2023'!$G$4:$G$1022,'август 2023'!$D$4:$D$1022,$B17,'август 2023'!$J$4:$J$1022,AF$1)</f>
        <v>0</v>
      </c>
      <c r="AG17" s="198">
        <f>SUMIFS('август 2023'!$G$4:$G$1022,'август 2023'!$D$4:$D$1022,$B17,'август 2023'!$J$4:$J$1022,AG$1)</f>
        <v>0</v>
      </c>
      <c r="AH17" s="198">
        <f>SUMIFS('август 2023'!$G$4:$G$1022,'август 2023'!$D$4:$D$1022,$B17,'август 2023'!$J$4:$J$1022,AH$1)</f>
        <v>0</v>
      </c>
      <c r="AI17" s="170">
        <f t="shared" si="1"/>
        <v>0</v>
      </c>
    </row>
    <row r="18" spans="2:35" ht="15" customHeight="1" x14ac:dyDescent="0.25">
      <c r="B18" s="199" t="s">
        <v>2081</v>
      </c>
      <c r="C18" s="200">
        <v>25</v>
      </c>
      <c r="D18" s="198">
        <f>SUMIFS('август 2023'!$G$4:$G$1022,'август 2023'!$D$4:$D$1022,$B18,'август 2023'!$J$4:$J$1022,D$1)</f>
        <v>0</v>
      </c>
      <c r="E18" s="198">
        <f>SUMIFS('август 2023'!$G$4:$G$1022,'август 2023'!$D$4:$D$1022,$B18,'август 2023'!$J$4:$J$1022,E$1)</f>
        <v>0</v>
      </c>
      <c r="F18" s="198">
        <f>SUMIFS('август 2023'!$G$4:$G$1022,'август 2023'!$D$4:$D$1022,$B18,'август 2023'!$J$4:$J$1022,F$1)</f>
        <v>0</v>
      </c>
      <c r="G18" s="198">
        <f>SUMIFS('август 2023'!$G$4:$G$1022,'август 2023'!$D$4:$D$1022,$B18,'август 2023'!$J$4:$J$1022,G$1)</f>
        <v>0</v>
      </c>
      <c r="H18" s="198">
        <f>SUMIFS('август 2023'!$G$4:$G$1022,'август 2023'!$D$4:$D$1022,$B18,'август 2023'!$J$4:$J$1022,H$1)</f>
        <v>0</v>
      </c>
      <c r="I18" s="198">
        <f>SUMIFS('август 2023'!$G$4:$G$1022,'август 2023'!$D$4:$D$1022,$B18,'август 2023'!$J$4:$J$1022,I$1)</f>
        <v>0</v>
      </c>
      <c r="J18" s="198">
        <f>SUMIFS('август 2023'!$G$4:$G$1022,'август 2023'!$D$4:$D$1022,$B18,'август 2023'!$J$4:$J$1022,J$1)</f>
        <v>0</v>
      </c>
      <c r="K18" s="198">
        <f>SUMIFS('август 2023'!$G$4:$G$1022,'август 2023'!$D$4:$D$1022,$B18,'август 2023'!$J$4:$J$1022,K$1)</f>
        <v>0</v>
      </c>
      <c r="L18" s="198">
        <f>SUMIFS('август 2023'!$G$4:$G$1022,'август 2023'!$D$4:$D$1022,$B18,'август 2023'!$J$4:$J$1022,L$1)</f>
        <v>0</v>
      </c>
      <c r="M18" s="198">
        <f>SUMIFS('август 2023'!$G$4:$G$1022,'август 2023'!$D$4:$D$1022,$B18,'август 2023'!$J$4:$J$1022,M$1)</f>
        <v>0</v>
      </c>
      <c r="N18" s="198">
        <f>SUMIFS('август 2023'!$G$4:$G$1022,'август 2023'!$D$4:$D$1022,$B18,'август 2023'!$J$4:$J$1022,N$1)</f>
        <v>0</v>
      </c>
      <c r="O18" s="198">
        <f>SUMIFS('август 2023'!$G$4:$G$1022,'август 2023'!$D$4:$D$1022,$B18,'август 2023'!$J$4:$J$1022,O$1)</f>
        <v>0</v>
      </c>
      <c r="P18" s="198">
        <f>SUMIFS('август 2023'!$G$4:$G$1022,'август 2023'!$D$4:$D$1022,$B18,'август 2023'!$J$4:$J$1022,P$1)</f>
        <v>0</v>
      </c>
      <c r="Q18" s="198">
        <f>SUMIFS('август 2023'!$G$4:$G$1022,'август 2023'!$D$4:$D$1022,$B18,'август 2023'!$J$4:$J$1022,Q$1)</f>
        <v>0</v>
      </c>
      <c r="R18" s="198">
        <f>SUMIFS('август 2023'!$G$4:$G$1022,'август 2023'!$D$4:$D$1022,$B18,'август 2023'!$J$4:$J$1022,R$1)</f>
        <v>0</v>
      </c>
      <c r="S18" s="198">
        <f>SUMIFS('август 2023'!$G$4:$G$1022,'август 2023'!$D$4:$D$1022,$B18,'август 2023'!$J$4:$J$1022,S$1)</f>
        <v>0</v>
      </c>
      <c r="T18" s="198">
        <f>SUMIFS('август 2023'!$G$4:$G$1022,'август 2023'!$D$4:$D$1022,$B18,'август 2023'!$J$4:$J$1022,T$1)</f>
        <v>0</v>
      </c>
      <c r="U18" s="198">
        <f>SUMIFS('август 2023'!$G$4:$G$1022,'август 2023'!$D$4:$D$1022,$B18,'август 2023'!$J$4:$J$1022,U$1)</f>
        <v>0</v>
      </c>
      <c r="V18" s="198">
        <f>SUMIFS('август 2023'!$G$4:$G$1022,'август 2023'!$D$4:$D$1022,$B18,'август 2023'!$J$4:$J$1022,V$1)</f>
        <v>0</v>
      </c>
      <c r="W18" s="198">
        <f>SUMIFS('август 2023'!$G$4:$G$1022,'август 2023'!$D$4:$D$1022,$B18,'август 2023'!$J$4:$J$1022,W$1)</f>
        <v>0</v>
      </c>
      <c r="X18" s="198">
        <f>SUMIFS('август 2023'!$G$4:$G$1022,'август 2023'!$D$4:$D$1022,$B18,'август 2023'!$J$4:$J$1022,X$1)</f>
        <v>0</v>
      </c>
      <c r="Y18" s="198">
        <f>SUMIFS('август 2023'!$G$4:$G$1022,'август 2023'!$D$4:$D$1022,$B18,'август 2023'!$J$4:$J$1022,Y$1)</f>
        <v>0</v>
      </c>
      <c r="Z18" s="198">
        <f>SUMIFS('август 2023'!$G$4:$G$1022,'август 2023'!$D$4:$D$1022,$B18,'август 2023'!$J$4:$J$1022,Z$1)</f>
        <v>0</v>
      </c>
      <c r="AA18" s="198">
        <f>SUMIFS('август 2023'!$G$4:$G$1022,'август 2023'!$D$4:$D$1022,$B18,'август 2023'!$J$4:$J$1022,AA$1)</f>
        <v>0</v>
      </c>
      <c r="AB18" s="198">
        <f>SUMIFS('август 2023'!$G$4:$G$1022,'август 2023'!$D$4:$D$1022,$B18,'август 2023'!$J$4:$J$1022,AB$1)</f>
        <v>0</v>
      </c>
      <c r="AC18" s="198">
        <f>SUMIFS('август 2023'!$G$4:$G$1022,'август 2023'!$D$4:$D$1022,$B18,'август 2023'!$J$4:$J$1022,AC$1)</f>
        <v>0</v>
      </c>
      <c r="AD18" s="198">
        <f>SUMIFS('август 2023'!$G$4:$G$1022,'август 2023'!$D$4:$D$1022,$B18,'август 2023'!$J$4:$J$1022,AD$1)</f>
        <v>0</v>
      </c>
      <c r="AE18" s="198">
        <f>SUMIFS('август 2023'!$G$4:$G$1022,'август 2023'!$D$4:$D$1022,$B18,'август 2023'!$J$4:$J$1022,AE$1)</f>
        <v>0</v>
      </c>
      <c r="AF18" s="198">
        <f>SUMIFS('август 2023'!$G$4:$G$1022,'август 2023'!$D$4:$D$1022,$B18,'август 2023'!$J$4:$J$1022,AF$1)</f>
        <v>0</v>
      </c>
      <c r="AG18" s="198">
        <f>SUMIFS('август 2023'!$G$4:$G$1022,'август 2023'!$D$4:$D$1022,$B18,'август 2023'!$J$4:$J$1022,AG$1)</f>
        <v>0</v>
      </c>
      <c r="AH18" s="198">
        <f>SUMIFS('август 2023'!$G$4:$G$1022,'август 2023'!$D$4:$D$1022,$B18,'август 2023'!$J$4:$J$1022,AH$1)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SUMIFS('август 2023'!$G$4:$G$1022,'август 2023'!$D$4:$D$1022,$B19,'август 2023'!$J$4:$J$1022,D$1)</f>
        <v>0</v>
      </c>
      <c r="E19" s="198">
        <f>SUMIFS('август 2023'!$G$4:$G$1022,'август 2023'!$D$4:$D$1022,$B19,'август 2023'!$J$4:$J$1022,E$1)</f>
        <v>1600</v>
      </c>
      <c r="F19" s="198">
        <f>SUMIFS('август 2023'!$G$4:$G$1022,'август 2023'!$D$4:$D$1022,$B19,'август 2023'!$J$4:$J$1022,F$1)</f>
        <v>400</v>
      </c>
      <c r="G19" s="198">
        <f>SUMIFS('август 2023'!$G$4:$G$1022,'август 2023'!$D$4:$D$1022,$B19,'август 2023'!$J$4:$J$1022,G$1)</f>
        <v>0</v>
      </c>
      <c r="H19" s="198">
        <f>SUMIFS('август 2023'!$G$4:$G$1022,'август 2023'!$D$4:$D$1022,$B19,'август 2023'!$J$4:$J$1022,H$1)</f>
        <v>0</v>
      </c>
      <c r="I19" s="198">
        <f>SUMIFS('август 2023'!$G$4:$G$1022,'август 2023'!$D$4:$D$1022,$B19,'август 2023'!$J$4:$J$1022,I$1)</f>
        <v>0</v>
      </c>
      <c r="J19" s="198">
        <f>SUMIFS('август 2023'!$G$4:$G$1022,'август 2023'!$D$4:$D$1022,$B19,'август 2023'!$J$4:$J$1022,J$1)</f>
        <v>0</v>
      </c>
      <c r="K19" s="198">
        <f>SUMIFS('август 2023'!$G$4:$G$1022,'август 2023'!$D$4:$D$1022,$B19,'август 2023'!$J$4:$J$1022,K$1)</f>
        <v>0</v>
      </c>
      <c r="L19" s="198">
        <f>SUMIFS('август 2023'!$G$4:$G$1022,'август 2023'!$D$4:$D$1022,$B19,'август 2023'!$J$4:$J$1022,L$1)</f>
        <v>0</v>
      </c>
      <c r="M19" s="198">
        <f>SUMIFS('август 2023'!$G$4:$G$1022,'август 2023'!$D$4:$D$1022,$B19,'август 2023'!$J$4:$J$1022,M$1)</f>
        <v>0</v>
      </c>
      <c r="N19" s="198">
        <f>SUMIFS('август 2023'!$G$4:$G$1022,'август 2023'!$D$4:$D$1022,$B19,'август 2023'!$J$4:$J$1022,N$1)</f>
        <v>0</v>
      </c>
      <c r="O19" s="198">
        <f>SUMIFS('август 2023'!$G$4:$G$1022,'август 2023'!$D$4:$D$1022,$B19,'август 2023'!$J$4:$J$1022,O$1)</f>
        <v>0</v>
      </c>
      <c r="P19" s="198">
        <f>SUMIFS('август 2023'!$G$4:$G$1022,'август 2023'!$D$4:$D$1022,$B19,'август 2023'!$J$4:$J$1022,P$1)</f>
        <v>0</v>
      </c>
      <c r="Q19" s="198">
        <f>SUMIFS('август 2023'!$G$4:$G$1022,'август 2023'!$D$4:$D$1022,$B19,'август 2023'!$J$4:$J$1022,Q$1)</f>
        <v>0</v>
      </c>
      <c r="R19" s="198">
        <f>SUMIFS('август 2023'!$G$4:$G$1022,'август 2023'!$D$4:$D$1022,$B19,'август 2023'!$J$4:$J$1022,R$1)</f>
        <v>0</v>
      </c>
      <c r="S19" s="198">
        <f>SUMIFS('август 2023'!$G$4:$G$1022,'август 2023'!$D$4:$D$1022,$B19,'август 2023'!$J$4:$J$1022,S$1)</f>
        <v>0</v>
      </c>
      <c r="T19" s="198">
        <f>SUMIFS('август 2023'!$G$4:$G$1022,'август 2023'!$D$4:$D$1022,$B19,'август 2023'!$J$4:$J$1022,T$1)</f>
        <v>0</v>
      </c>
      <c r="U19" s="198">
        <f>SUMIFS('август 2023'!$G$4:$G$1022,'август 2023'!$D$4:$D$1022,$B19,'август 2023'!$J$4:$J$1022,U$1)</f>
        <v>0</v>
      </c>
      <c r="V19" s="198">
        <f>SUMIFS('август 2023'!$G$4:$G$1022,'август 2023'!$D$4:$D$1022,$B19,'август 2023'!$J$4:$J$1022,V$1)</f>
        <v>0</v>
      </c>
      <c r="W19" s="198">
        <f>SUMIFS('август 2023'!$G$4:$G$1022,'август 2023'!$D$4:$D$1022,$B19,'август 2023'!$J$4:$J$1022,W$1)</f>
        <v>0</v>
      </c>
      <c r="X19" s="198">
        <f>SUMIFS('август 2023'!$G$4:$G$1022,'август 2023'!$D$4:$D$1022,$B19,'август 2023'!$J$4:$J$1022,X$1)</f>
        <v>0</v>
      </c>
      <c r="Y19" s="198">
        <f>SUMIFS('август 2023'!$G$4:$G$1022,'август 2023'!$D$4:$D$1022,$B19,'август 2023'!$J$4:$J$1022,Y$1)</f>
        <v>0</v>
      </c>
      <c r="Z19" s="198">
        <f>SUMIFS('август 2023'!$G$4:$G$1022,'август 2023'!$D$4:$D$1022,$B19,'август 2023'!$J$4:$J$1022,Z$1)</f>
        <v>0</v>
      </c>
      <c r="AA19" s="198">
        <f>SUMIFS('август 2023'!$G$4:$G$1022,'август 2023'!$D$4:$D$1022,$B19,'август 2023'!$J$4:$J$1022,AA$1)</f>
        <v>0</v>
      </c>
      <c r="AB19" s="198">
        <f>SUMIFS('август 2023'!$G$4:$G$1022,'август 2023'!$D$4:$D$1022,$B19,'август 2023'!$J$4:$J$1022,AB$1)</f>
        <v>0</v>
      </c>
      <c r="AC19" s="198">
        <f>SUMIFS('август 2023'!$G$4:$G$1022,'август 2023'!$D$4:$D$1022,$B19,'август 2023'!$J$4:$J$1022,AC$1)</f>
        <v>0</v>
      </c>
      <c r="AD19" s="198">
        <f>SUMIFS('август 2023'!$G$4:$G$1022,'август 2023'!$D$4:$D$1022,$B19,'август 2023'!$J$4:$J$1022,AD$1)</f>
        <v>0</v>
      </c>
      <c r="AE19" s="198">
        <f>SUMIFS('август 2023'!$G$4:$G$1022,'август 2023'!$D$4:$D$1022,$B19,'август 2023'!$J$4:$J$1022,AE$1)</f>
        <v>0</v>
      </c>
      <c r="AF19" s="198">
        <f>SUMIFS('август 2023'!$G$4:$G$1022,'август 2023'!$D$4:$D$1022,$B19,'август 2023'!$J$4:$J$1022,AF$1)</f>
        <v>0</v>
      </c>
      <c r="AG19" s="198">
        <f>SUMIFS('август 2023'!$G$4:$G$1022,'август 2023'!$D$4:$D$1022,$B19,'август 2023'!$J$4:$J$1022,AG$1)</f>
        <v>0</v>
      </c>
      <c r="AH19" s="198">
        <f>SUMIFS('август 2023'!$G$4:$G$1022,'август 2023'!$D$4:$D$1022,$B19,'август 2023'!$J$4:$J$1022,AH$1)</f>
        <v>0</v>
      </c>
      <c r="AI19" s="170">
        <f t="shared" si="1"/>
        <v>2000</v>
      </c>
    </row>
    <row r="20" spans="2:35" ht="15" customHeight="1" x14ac:dyDescent="0.25">
      <c r="B20" s="199" t="s">
        <v>445</v>
      </c>
      <c r="C20" s="200">
        <v>25</v>
      </c>
      <c r="D20" s="198">
        <f>SUMIFS('август 2023'!$G$4:$G$1022,'август 2023'!$D$4:$D$1022,$B20,'август 2023'!$J$4:$J$1022,D$1)</f>
        <v>0</v>
      </c>
      <c r="E20" s="198">
        <f>SUMIFS('август 2023'!$G$4:$G$1022,'август 2023'!$D$4:$D$1022,$B20,'август 2023'!$J$4:$J$1022,E$1)</f>
        <v>0</v>
      </c>
      <c r="F20" s="198">
        <f>SUMIFS('август 2023'!$G$4:$G$1022,'август 2023'!$D$4:$D$1022,$B20,'август 2023'!$J$4:$J$1022,F$1)</f>
        <v>0</v>
      </c>
      <c r="G20" s="198">
        <f>SUMIFS('август 2023'!$G$4:$G$1022,'август 2023'!$D$4:$D$1022,$B20,'август 2023'!$J$4:$J$1022,G$1)</f>
        <v>0</v>
      </c>
      <c r="H20" s="198">
        <f>SUMIFS('август 2023'!$G$4:$G$1022,'август 2023'!$D$4:$D$1022,$B20,'август 2023'!$J$4:$J$1022,H$1)</f>
        <v>0</v>
      </c>
      <c r="I20" s="198">
        <f>SUMIFS('август 2023'!$G$4:$G$1022,'август 2023'!$D$4:$D$1022,$B20,'август 2023'!$J$4:$J$1022,I$1)</f>
        <v>0</v>
      </c>
      <c r="J20" s="198">
        <f>SUMIFS('август 2023'!$G$4:$G$1022,'август 2023'!$D$4:$D$1022,$B20,'август 2023'!$J$4:$J$1022,J$1)</f>
        <v>0</v>
      </c>
      <c r="K20" s="198">
        <f>SUMIFS('август 2023'!$G$4:$G$1022,'август 2023'!$D$4:$D$1022,$B20,'август 2023'!$J$4:$J$1022,K$1)</f>
        <v>0</v>
      </c>
      <c r="L20" s="198">
        <f>SUMIFS('август 2023'!$G$4:$G$1022,'август 2023'!$D$4:$D$1022,$B20,'август 2023'!$J$4:$J$1022,L$1)</f>
        <v>0</v>
      </c>
      <c r="M20" s="198">
        <f>SUMIFS('август 2023'!$G$4:$G$1022,'август 2023'!$D$4:$D$1022,$B20,'август 2023'!$J$4:$J$1022,M$1)</f>
        <v>0</v>
      </c>
      <c r="N20" s="198">
        <f>SUMIFS('август 2023'!$G$4:$G$1022,'август 2023'!$D$4:$D$1022,$B20,'август 2023'!$J$4:$J$1022,N$1)</f>
        <v>0</v>
      </c>
      <c r="O20" s="198">
        <f>SUMIFS('август 2023'!$G$4:$G$1022,'август 2023'!$D$4:$D$1022,$B20,'август 2023'!$J$4:$J$1022,O$1)</f>
        <v>0</v>
      </c>
      <c r="P20" s="198">
        <f>SUMIFS('август 2023'!$G$4:$G$1022,'август 2023'!$D$4:$D$1022,$B20,'август 2023'!$J$4:$J$1022,P$1)</f>
        <v>0</v>
      </c>
      <c r="Q20" s="198">
        <f>SUMIFS('август 2023'!$G$4:$G$1022,'август 2023'!$D$4:$D$1022,$B20,'август 2023'!$J$4:$J$1022,Q$1)</f>
        <v>0</v>
      </c>
      <c r="R20" s="198">
        <f>SUMIFS('август 2023'!$G$4:$G$1022,'август 2023'!$D$4:$D$1022,$B20,'август 2023'!$J$4:$J$1022,R$1)</f>
        <v>0</v>
      </c>
      <c r="S20" s="198">
        <f>SUMIFS('август 2023'!$G$4:$G$1022,'август 2023'!$D$4:$D$1022,$B20,'август 2023'!$J$4:$J$1022,S$1)</f>
        <v>0</v>
      </c>
      <c r="T20" s="198">
        <f>SUMIFS('август 2023'!$G$4:$G$1022,'август 2023'!$D$4:$D$1022,$B20,'август 2023'!$J$4:$J$1022,T$1)</f>
        <v>0</v>
      </c>
      <c r="U20" s="198">
        <f>SUMIFS('август 2023'!$G$4:$G$1022,'август 2023'!$D$4:$D$1022,$B20,'август 2023'!$J$4:$J$1022,U$1)</f>
        <v>0</v>
      </c>
      <c r="V20" s="198">
        <f>SUMIFS('август 2023'!$G$4:$G$1022,'август 2023'!$D$4:$D$1022,$B20,'август 2023'!$J$4:$J$1022,V$1)</f>
        <v>0</v>
      </c>
      <c r="W20" s="198">
        <f>SUMIFS('август 2023'!$G$4:$G$1022,'август 2023'!$D$4:$D$1022,$B20,'август 2023'!$J$4:$J$1022,W$1)</f>
        <v>0</v>
      </c>
      <c r="X20" s="198">
        <f>SUMIFS('август 2023'!$G$4:$G$1022,'август 2023'!$D$4:$D$1022,$B20,'август 2023'!$J$4:$J$1022,X$1)</f>
        <v>0</v>
      </c>
      <c r="Y20" s="198">
        <f>SUMIFS('август 2023'!$G$4:$G$1022,'август 2023'!$D$4:$D$1022,$B20,'август 2023'!$J$4:$J$1022,Y$1)</f>
        <v>0</v>
      </c>
      <c r="Z20" s="198">
        <f>SUMIFS('август 2023'!$G$4:$G$1022,'август 2023'!$D$4:$D$1022,$B20,'август 2023'!$J$4:$J$1022,Z$1)</f>
        <v>0</v>
      </c>
      <c r="AA20" s="198">
        <f>SUMIFS('август 2023'!$G$4:$G$1022,'август 2023'!$D$4:$D$1022,$B20,'август 2023'!$J$4:$J$1022,AA$1)</f>
        <v>0</v>
      </c>
      <c r="AB20" s="198">
        <f>SUMIFS('август 2023'!$G$4:$G$1022,'август 2023'!$D$4:$D$1022,$B20,'август 2023'!$J$4:$J$1022,AB$1)</f>
        <v>0</v>
      </c>
      <c r="AC20" s="198">
        <f>SUMIFS('август 2023'!$G$4:$G$1022,'август 2023'!$D$4:$D$1022,$B20,'август 2023'!$J$4:$J$1022,AC$1)</f>
        <v>0</v>
      </c>
      <c r="AD20" s="198">
        <f>SUMIFS('август 2023'!$G$4:$G$1022,'август 2023'!$D$4:$D$1022,$B20,'август 2023'!$J$4:$J$1022,AD$1)</f>
        <v>0</v>
      </c>
      <c r="AE20" s="198">
        <f>SUMIFS('август 2023'!$G$4:$G$1022,'август 2023'!$D$4:$D$1022,$B20,'август 2023'!$J$4:$J$1022,AE$1)</f>
        <v>0</v>
      </c>
      <c r="AF20" s="198">
        <f>SUMIFS('август 2023'!$G$4:$G$1022,'август 2023'!$D$4:$D$1022,$B20,'август 2023'!$J$4:$J$1022,AF$1)</f>
        <v>0</v>
      </c>
      <c r="AG20" s="198">
        <f>SUMIFS('август 2023'!$G$4:$G$1022,'август 2023'!$D$4:$D$1022,$B20,'август 2023'!$J$4:$J$1022,AG$1)</f>
        <v>0</v>
      </c>
      <c r="AH20" s="198">
        <f>SUMIFS('август 2023'!$G$4:$G$1022,'август 2023'!$D$4:$D$1022,$B20,'август 2023'!$J$4:$J$1022,AH$1)</f>
        <v>0</v>
      </c>
      <c r="AI20" s="170">
        <f t="shared" si="1"/>
        <v>0</v>
      </c>
    </row>
    <row r="21" spans="2:35" ht="15" customHeight="1" x14ac:dyDescent="0.25">
      <c r="B21" s="202" t="s">
        <v>186</v>
      </c>
      <c r="C21" s="204">
        <v>22.68</v>
      </c>
      <c r="D21" s="198">
        <f>SUMIFS('август 2023'!$G$4:$G$1022,'август 2023'!$D$4:$D$1022,$B21,'август 2023'!$J$4:$J$1022,D$1)</f>
        <v>0</v>
      </c>
      <c r="E21" s="198">
        <f>SUMIFS('август 2023'!$G$4:$G$1022,'август 2023'!$D$4:$D$1022,$B21,'август 2023'!$J$4:$J$1022,E$1)</f>
        <v>0</v>
      </c>
      <c r="F21" s="198">
        <f>SUMIFS('август 2023'!$G$4:$G$1022,'август 2023'!$D$4:$D$1022,$B21,'август 2023'!$J$4:$J$1022,F$1)</f>
        <v>0</v>
      </c>
      <c r="G21" s="198">
        <f>SUMIFS('август 2023'!$G$4:$G$1022,'август 2023'!$D$4:$D$1022,$B21,'август 2023'!$J$4:$J$1022,G$1)</f>
        <v>0</v>
      </c>
      <c r="H21" s="198">
        <f>SUMIFS('август 2023'!$G$4:$G$1022,'август 2023'!$D$4:$D$1022,$B21,'август 2023'!$J$4:$J$1022,H$1)</f>
        <v>0</v>
      </c>
      <c r="I21" s="198">
        <f>SUMIFS('август 2023'!$G$4:$G$1022,'август 2023'!$D$4:$D$1022,$B21,'август 2023'!$J$4:$J$1022,I$1)</f>
        <v>0</v>
      </c>
      <c r="J21" s="198">
        <f>SUMIFS('август 2023'!$G$4:$G$1022,'август 2023'!$D$4:$D$1022,$B21,'август 2023'!$J$4:$J$1022,J$1)</f>
        <v>0</v>
      </c>
      <c r="K21" s="198">
        <f>SUMIFS('август 2023'!$G$4:$G$1022,'август 2023'!$D$4:$D$1022,$B21,'август 2023'!$J$4:$J$1022,K$1)</f>
        <v>0</v>
      </c>
      <c r="L21" s="198">
        <f>SUMIFS('август 2023'!$G$4:$G$1022,'август 2023'!$D$4:$D$1022,$B21,'август 2023'!$J$4:$J$1022,L$1)</f>
        <v>0</v>
      </c>
      <c r="M21" s="198">
        <f>SUMIFS('август 2023'!$G$4:$G$1022,'август 2023'!$D$4:$D$1022,$B21,'август 2023'!$J$4:$J$1022,M$1)</f>
        <v>0</v>
      </c>
      <c r="N21" s="198">
        <f>SUMIFS('август 2023'!$G$4:$G$1022,'август 2023'!$D$4:$D$1022,$B21,'август 2023'!$J$4:$J$1022,N$1)</f>
        <v>1400</v>
      </c>
      <c r="O21" s="198">
        <f>SUMIFS('август 2023'!$G$4:$G$1022,'август 2023'!$D$4:$D$1022,$B21,'август 2023'!$J$4:$J$1022,O$1)</f>
        <v>0</v>
      </c>
      <c r="P21" s="198">
        <f>SUMIFS('август 2023'!$G$4:$G$1022,'август 2023'!$D$4:$D$1022,$B21,'август 2023'!$J$4:$J$1022,P$1)</f>
        <v>0</v>
      </c>
      <c r="Q21" s="198">
        <f>SUMIFS('август 2023'!$G$4:$G$1022,'август 2023'!$D$4:$D$1022,$B21,'август 2023'!$J$4:$J$1022,Q$1)</f>
        <v>0</v>
      </c>
      <c r="R21" s="198">
        <f>SUMIFS('август 2023'!$G$4:$G$1022,'август 2023'!$D$4:$D$1022,$B21,'август 2023'!$J$4:$J$1022,R$1)</f>
        <v>0</v>
      </c>
      <c r="S21" s="198">
        <f>SUMIFS('август 2023'!$G$4:$G$1022,'август 2023'!$D$4:$D$1022,$B21,'август 2023'!$J$4:$J$1022,S$1)</f>
        <v>0</v>
      </c>
      <c r="T21" s="198">
        <f>SUMIFS('август 2023'!$G$4:$G$1022,'август 2023'!$D$4:$D$1022,$B21,'август 2023'!$J$4:$J$1022,T$1)</f>
        <v>0</v>
      </c>
      <c r="U21" s="198">
        <f>SUMIFS('август 2023'!$G$4:$G$1022,'август 2023'!$D$4:$D$1022,$B21,'август 2023'!$J$4:$J$1022,U$1)</f>
        <v>0</v>
      </c>
      <c r="V21" s="198">
        <f>SUMIFS('август 2023'!$G$4:$G$1022,'август 2023'!$D$4:$D$1022,$B21,'август 2023'!$J$4:$J$1022,V$1)</f>
        <v>0</v>
      </c>
      <c r="W21" s="198">
        <f>SUMIFS('август 2023'!$G$4:$G$1022,'август 2023'!$D$4:$D$1022,$B21,'август 2023'!$J$4:$J$1022,W$1)</f>
        <v>0</v>
      </c>
      <c r="X21" s="198">
        <f>SUMIFS('август 2023'!$G$4:$G$1022,'август 2023'!$D$4:$D$1022,$B21,'август 2023'!$J$4:$J$1022,X$1)</f>
        <v>0</v>
      </c>
      <c r="Y21" s="198">
        <f>SUMIFS('август 2023'!$G$4:$G$1022,'август 2023'!$D$4:$D$1022,$B21,'август 2023'!$J$4:$J$1022,Y$1)</f>
        <v>0</v>
      </c>
      <c r="Z21" s="198">
        <f>SUMIFS('август 2023'!$G$4:$G$1022,'август 2023'!$D$4:$D$1022,$B21,'август 2023'!$J$4:$J$1022,Z$1)</f>
        <v>0</v>
      </c>
      <c r="AA21" s="198">
        <f>SUMIFS('август 2023'!$G$4:$G$1022,'август 2023'!$D$4:$D$1022,$B21,'август 2023'!$J$4:$J$1022,AA$1)</f>
        <v>0</v>
      </c>
      <c r="AB21" s="198">
        <f>SUMIFS('август 2023'!$G$4:$G$1022,'август 2023'!$D$4:$D$1022,$B21,'август 2023'!$J$4:$J$1022,AB$1)</f>
        <v>0</v>
      </c>
      <c r="AC21" s="198">
        <f>SUMIFS('август 2023'!$G$4:$G$1022,'август 2023'!$D$4:$D$1022,$B21,'август 2023'!$J$4:$J$1022,AC$1)</f>
        <v>0</v>
      </c>
      <c r="AD21" s="198">
        <f>SUMIFS('август 2023'!$G$4:$G$1022,'август 2023'!$D$4:$D$1022,$B21,'август 2023'!$J$4:$J$1022,AD$1)</f>
        <v>0</v>
      </c>
      <c r="AE21" s="198">
        <f>SUMIFS('август 2023'!$G$4:$G$1022,'август 2023'!$D$4:$D$1022,$B21,'август 2023'!$J$4:$J$1022,AE$1)</f>
        <v>0</v>
      </c>
      <c r="AF21" s="198">
        <f>SUMIFS('август 2023'!$G$4:$G$1022,'август 2023'!$D$4:$D$1022,$B21,'август 2023'!$J$4:$J$1022,AF$1)</f>
        <v>0</v>
      </c>
      <c r="AG21" s="198">
        <f>SUMIFS('август 2023'!$G$4:$G$1022,'август 2023'!$D$4:$D$1022,$B21,'август 2023'!$J$4:$J$1022,AG$1)</f>
        <v>0</v>
      </c>
      <c r="AH21" s="198">
        <f>SUMIFS('август 2023'!$G$4:$G$1022,'август 2023'!$D$4:$D$1022,$B21,'август 2023'!$J$4:$J$1022,AH$1)</f>
        <v>0</v>
      </c>
      <c r="AI21" s="170">
        <f t="shared" si="1"/>
        <v>1400</v>
      </c>
    </row>
    <row r="22" spans="2:35" ht="15" hidden="1" customHeight="1" x14ac:dyDescent="0.25">
      <c r="B22" s="202"/>
      <c r="C22" s="200"/>
      <c r="D22" s="198">
        <f>SUMIFS('август 2023'!$G$4:$G$1022,'август 2023'!$D$4:$D$1022,$B22,'август 2023'!$J$4:$J$1022,D$1)</f>
        <v>0</v>
      </c>
      <c r="E22" s="198">
        <f>SUMIFS('август 2023'!$G$4:$G$1022,'август 2023'!$D$4:$D$1022,$B22,'август 2023'!$J$4:$J$1022,E$1)</f>
        <v>0</v>
      </c>
      <c r="F22" s="198">
        <f>SUMIFS('август 2023'!$G$4:$G$1022,'август 2023'!$D$4:$D$1022,$B22,'август 2023'!$J$4:$J$1022,F$1)</f>
        <v>0</v>
      </c>
      <c r="G22" s="198">
        <f>SUMIFS('август 2023'!$G$4:$G$1022,'август 2023'!$D$4:$D$1022,$B22,'август 2023'!$J$4:$J$1022,G$1)</f>
        <v>0</v>
      </c>
      <c r="H22" s="198">
        <f>SUMIFS('август 2023'!$G$4:$G$1022,'август 2023'!$D$4:$D$1022,$B22,'август 2023'!$J$4:$J$1022,H$1)</f>
        <v>0</v>
      </c>
      <c r="I22" s="198">
        <f>SUMIFS('август 2023'!$G$4:$G$1022,'август 2023'!$D$4:$D$1022,$B22,'август 2023'!$J$4:$J$1022,I$1)</f>
        <v>0</v>
      </c>
      <c r="J22" s="198">
        <f>SUMIFS('август 2023'!$G$4:$G$1022,'август 2023'!$D$4:$D$1022,$B22,'август 2023'!$J$4:$J$1022,J$1)</f>
        <v>0</v>
      </c>
      <c r="K22" s="198">
        <f>SUMIFS('август 2023'!$G$4:$G$1022,'август 2023'!$D$4:$D$1022,$B22,'август 2023'!$J$4:$J$1022,K$1)</f>
        <v>0</v>
      </c>
      <c r="L22" s="198">
        <f>SUMIFS('август 2023'!$G$4:$G$1022,'август 2023'!$D$4:$D$1022,$B22,'август 2023'!$J$4:$J$1022,L$1)</f>
        <v>0</v>
      </c>
      <c r="M22" s="198">
        <f>SUMIFS('август 2023'!$G$4:$G$1022,'август 2023'!$D$4:$D$1022,$B22,'август 2023'!$J$4:$J$1022,M$1)</f>
        <v>0</v>
      </c>
      <c r="N22" s="198">
        <f>SUMIFS('август 2023'!$G$4:$G$1022,'август 2023'!$D$4:$D$1022,$B22,'август 2023'!$J$4:$J$1022,N$1)</f>
        <v>0</v>
      </c>
      <c r="O22" s="198">
        <f>SUMIFS('август 2023'!$G$4:$G$1022,'август 2023'!$D$4:$D$1022,$B22,'август 2023'!$J$4:$J$1022,O$1)</f>
        <v>0</v>
      </c>
      <c r="P22" s="198">
        <f>SUMIFS('август 2023'!$G$4:$G$1022,'август 2023'!$D$4:$D$1022,$B22,'август 2023'!$J$4:$J$1022,P$1)</f>
        <v>0</v>
      </c>
      <c r="Q22" s="198">
        <f>SUMIFS('август 2023'!$G$4:$G$1022,'август 2023'!$D$4:$D$1022,$B22,'август 2023'!$J$4:$J$1022,Q$1)</f>
        <v>0</v>
      </c>
      <c r="R22" s="198">
        <f>SUMIFS('август 2023'!$G$4:$G$1022,'август 2023'!$D$4:$D$1022,$B22,'август 2023'!$J$4:$J$1022,R$1)</f>
        <v>0</v>
      </c>
      <c r="S22" s="198">
        <f>SUMIFS('август 2023'!$G$4:$G$1022,'август 2023'!$D$4:$D$1022,$B22,'август 2023'!$J$4:$J$1022,S$1)</f>
        <v>0</v>
      </c>
      <c r="T22" s="198">
        <f>SUMIFS('август 2023'!$G$4:$G$1022,'август 2023'!$D$4:$D$1022,$B22,'август 2023'!$J$4:$J$1022,T$1)</f>
        <v>0</v>
      </c>
      <c r="U22" s="198">
        <f>SUMIFS('август 2023'!$G$4:$G$1022,'август 2023'!$D$4:$D$1022,$B22,'август 2023'!$J$4:$J$1022,U$1)</f>
        <v>0</v>
      </c>
      <c r="V22" s="198">
        <f>SUMIFS('август 2023'!$G$4:$G$1022,'август 2023'!$D$4:$D$1022,$B22,'август 2023'!$J$4:$J$1022,V$1)</f>
        <v>0</v>
      </c>
      <c r="W22" s="198">
        <f>SUMIFS('август 2023'!$G$4:$G$1022,'август 2023'!$D$4:$D$1022,$B22,'август 2023'!$J$4:$J$1022,W$1)</f>
        <v>0</v>
      </c>
      <c r="X22" s="198">
        <f>SUMIFS('август 2023'!$G$4:$G$1022,'август 2023'!$D$4:$D$1022,$B22,'август 2023'!$J$4:$J$1022,X$1)</f>
        <v>0</v>
      </c>
      <c r="Y22" s="198">
        <f>SUMIFS('август 2023'!$G$4:$G$1022,'август 2023'!$D$4:$D$1022,$B22,'август 2023'!$J$4:$J$1022,Y$1)</f>
        <v>0</v>
      </c>
      <c r="Z22" s="198">
        <f>SUMIFS('август 2023'!$G$4:$G$1022,'август 2023'!$D$4:$D$1022,$B22,'август 2023'!$J$4:$J$1022,Z$1)</f>
        <v>0</v>
      </c>
      <c r="AA22" s="198">
        <f>SUMIFS('август 2023'!$G$4:$G$1022,'август 2023'!$D$4:$D$1022,$B22,'август 2023'!$J$4:$J$1022,AA$1)</f>
        <v>0</v>
      </c>
      <c r="AB22" s="198">
        <f>SUMIFS('август 2023'!$G$4:$G$1022,'август 2023'!$D$4:$D$1022,$B22,'август 2023'!$J$4:$J$1022,AB$1)</f>
        <v>0</v>
      </c>
      <c r="AC22" s="198">
        <f>SUMIFS('август 2023'!$G$4:$G$1022,'август 2023'!$D$4:$D$1022,$B22,'август 2023'!$J$4:$J$1022,AC$1)</f>
        <v>0</v>
      </c>
      <c r="AD22" s="198">
        <f>SUMIFS('август 2023'!$G$4:$G$1022,'август 2023'!$D$4:$D$1022,$B22,'август 2023'!$J$4:$J$1022,AD$1)</f>
        <v>0</v>
      </c>
      <c r="AE22" s="198">
        <f>SUMIFS('август 2023'!$G$4:$G$1022,'август 2023'!$D$4:$D$1022,$B22,'август 2023'!$J$4:$J$1022,AE$1)</f>
        <v>0</v>
      </c>
      <c r="AF22" s="198">
        <f>SUMIFS('август 2023'!$G$4:$G$1022,'август 2023'!$D$4:$D$1022,$B22,'август 2023'!$J$4:$J$1022,AF$1)</f>
        <v>0</v>
      </c>
      <c r="AG22" s="198">
        <f>SUMIFS('август 2023'!$G$4:$G$1022,'август 2023'!$D$4:$D$1022,$B22,'август 2023'!$J$4:$J$1022,AG$1)</f>
        <v>0</v>
      </c>
      <c r="AH22" s="198">
        <f>SUMIFS('август 2023'!$G$4:$G$1022,'август 2023'!$D$4:$D$1022,$B22,'август 2023'!$J$4:$J$1022,AH$1)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SUMIFS('август 2023'!$G$4:$G$1022,'август 2023'!$D$4:$D$1022,$B23,'август 2023'!$J$4:$J$1022,D$1)</f>
        <v>0</v>
      </c>
      <c r="E23" s="198">
        <f>SUMIFS('август 2023'!$G$4:$G$1022,'август 2023'!$D$4:$D$1022,$B23,'август 2023'!$J$4:$J$1022,E$1)</f>
        <v>0</v>
      </c>
      <c r="F23" s="198">
        <f>SUMIFS('август 2023'!$G$4:$G$1022,'август 2023'!$D$4:$D$1022,$B23,'август 2023'!$J$4:$J$1022,F$1)</f>
        <v>0</v>
      </c>
      <c r="G23" s="198">
        <f>SUMIFS('август 2023'!$G$4:$G$1022,'август 2023'!$D$4:$D$1022,$B23,'август 2023'!$J$4:$J$1022,G$1)</f>
        <v>0</v>
      </c>
      <c r="H23" s="198">
        <f>SUMIFS('август 2023'!$G$4:$G$1022,'август 2023'!$D$4:$D$1022,$B23,'август 2023'!$J$4:$J$1022,H$1)</f>
        <v>0</v>
      </c>
      <c r="I23" s="198">
        <f>SUMIFS('август 2023'!$G$4:$G$1022,'август 2023'!$D$4:$D$1022,$B23,'август 2023'!$J$4:$J$1022,I$1)</f>
        <v>0</v>
      </c>
      <c r="J23" s="198">
        <f>SUMIFS('август 2023'!$G$4:$G$1022,'август 2023'!$D$4:$D$1022,$B23,'август 2023'!$J$4:$J$1022,J$1)</f>
        <v>0</v>
      </c>
      <c r="K23" s="198">
        <f>SUMIFS('август 2023'!$G$4:$G$1022,'август 2023'!$D$4:$D$1022,$B23,'август 2023'!$J$4:$J$1022,K$1)</f>
        <v>0</v>
      </c>
      <c r="L23" s="198">
        <f>SUMIFS('август 2023'!$G$4:$G$1022,'август 2023'!$D$4:$D$1022,$B23,'август 2023'!$J$4:$J$1022,L$1)</f>
        <v>0</v>
      </c>
      <c r="M23" s="198">
        <f>SUMIFS('август 2023'!$G$4:$G$1022,'август 2023'!$D$4:$D$1022,$B23,'август 2023'!$J$4:$J$1022,M$1)</f>
        <v>0</v>
      </c>
      <c r="N23" s="198">
        <f>SUMIFS('август 2023'!$G$4:$G$1022,'август 2023'!$D$4:$D$1022,$B23,'август 2023'!$J$4:$J$1022,N$1)</f>
        <v>0</v>
      </c>
      <c r="O23" s="198">
        <f>SUMIFS('август 2023'!$G$4:$G$1022,'август 2023'!$D$4:$D$1022,$B23,'август 2023'!$J$4:$J$1022,O$1)</f>
        <v>0</v>
      </c>
      <c r="P23" s="198">
        <f>SUMIFS('август 2023'!$G$4:$G$1022,'август 2023'!$D$4:$D$1022,$B23,'август 2023'!$J$4:$J$1022,P$1)</f>
        <v>0</v>
      </c>
      <c r="Q23" s="198">
        <f>SUMIFS('август 2023'!$G$4:$G$1022,'август 2023'!$D$4:$D$1022,$B23,'август 2023'!$J$4:$J$1022,Q$1)</f>
        <v>0</v>
      </c>
      <c r="R23" s="198">
        <f>SUMIFS('август 2023'!$G$4:$G$1022,'август 2023'!$D$4:$D$1022,$B23,'август 2023'!$J$4:$J$1022,R$1)</f>
        <v>0</v>
      </c>
      <c r="S23" s="198">
        <f>SUMIFS('август 2023'!$G$4:$G$1022,'август 2023'!$D$4:$D$1022,$B23,'август 2023'!$J$4:$J$1022,S$1)</f>
        <v>0</v>
      </c>
      <c r="T23" s="198">
        <f>SUMIFS('август 2023'!$G$4:$G$1022,'август 2023'!$D$4:$D$1022,$B23,'август 2023'!$J$4:$J$1022,T$1)</f>
        <v>0</v>
      </c>
      <c r="U23" s="198">
        <f>SUMIFS('август 2023'!$G$4:$G$1022,'август 2023'!$D$4:$D$1022,$B23,'август 2023'!$J$4:$J$1022,U$1)</f>
        <v>0</v>
      </c>
      <c r="V23" s="198">
        <f>SUMIFS('август 2023'!$G$4:$G$1022,'август 2023'!$D$4:$D$1022,$B23,'август 2023'!$J$4:$J$1022,V$1)</f>
        <v>0</v>
      </c>
      <c r="W23" s="198">
        <f>SUMIFS('август 2023'!$G$4:$G$1022,'август 2023'!$D$4:$D$1022,$B23,'август 2023'!$J$4:$J$1022,W$1)</f>
        <v>0</v>
      </c>
      <c r="X23" s="198">
        <f>SUMIFS('август 2023'!$G$4:$G$1022,'август 2023'!$D$4:$D$1022,$B23,'август 2023'!$J$4:$J$1022,X$1)</f>
        <v>0</v>
      </c>
      <c r="Y23" s="198">
        <f>SUMIFS('август 2023'!$G$4:$G$1022,'август 2023'!$D$4:$D$1022,$B23,'август 2023'!$J$4:$J$1022,Y$1)</f>
        <v>0</v>
      </c>
      <c r="Z23" s="198">
        <f>SUMIFS('август 2023'!$G$4:$G$1022,'август 2023'!$D$4:$D$1022,$B23,'август 2023'!$J$4:$J$1022,Z$1)</f>
        <v>0</v>
      </c>
      <c r="AA23" s="198">
        <f>SUMIFS('август 2023'!$G$4:$G$1022,'август 2023'!$D$4:$D$1022,$B23,'август 2023'!$J$4:$J$1022,AA$1)</f>
        <v>0</v>
      </c>
      <c r="AB23" s="198">
        <f>SUMIFS('август 2023'!$G$4:$G$1022,'август 2023'!$D$4:$D$1022,$B23,'август 2023'!$J$4:$J$1022,AB$1)</f>
        <v>0</v>
      </c>
      <c r="AC23" s="198">
        <f>SUMIFS('август 2023'!$G$4:$G$1022,'август 2023'!$D$4:$D$1022,$B23,'август 2023'!$J$4:$J$1022,AC$1)</f>
        <v>0</v>
      </c>
      <c r="AD23" s="198">
        <f>SUMIFS('август 2023'!$G$4:$G$1022,'август 2023'!$D$4:$D$1022,$B23,'август 2023'!$J$4:$J$1022,AD$1)</f>
        <v>0</v>
      </c>
      <c r="AE23" s="198">
        <f>SUMIFS('август 2023'!$G$4:$G$1022,'август 2023'!$D$4:$D$1022,$B23,'август 2023'!$J$4:$J$1022,AE$1)</f>
        <v>0</v>
      </c>
      <c r="AF23" s="198">
        <f>SUMIFS('август 2023'!$G$4:$G$1022,'август 2023'!$D$4:$D$1022,$B23,'август 2023'!$J$4:$J$1022,AF$1)</f>
        <v>0</v>
      </c>
      <c r="AG23" s="198">
        <f>SUMIFS('август 2023'!$G$4:$G$1022,'август 2023'!$D$4:$D$1022,$B23,'август 2023'!$J$4:$J$1022,AG$1)</f>
        <v>0</v>
      </c>
      <c r="AH23" s="198">
        <f>SUMIFS('август 2023'!$G$4:$G$1022,'август 2023'!$D$4:$D$1022,$B23,'август 2023'!$J$4:$J$1022,AH$1)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SUMIFS('август 2023'!$G$4:$G$1022,'август 2023'!$D$4:$D$1022,$B24,'август 2023'!$J$4:$J$1022,D$1)</f>
        <v>0</v>
      </c>
      <c r="E24" s="198">
        <f>SUMIFS('август 2023'!$G$4:$G$1022,'август 2023'!$D$4:$D$1022,$B24,'август 2023'!$J$4:$J$1022,E$1)</f>
        <v>0</v>
      </c>
      <c r="F24" s="198">
        <f>SUMIFS('август 2023'!$G$4:$G$1022,'август 2023'!$D$4:$D$1022,$B24,'август 2023'!$J$4:$J$1022,F$1)</f>
        <v>0</v>
      </c>
      <c r="G24" s="198">
        <f>SUMIFS('август 2023'!$G$4:$G$1022,'август 2023'!$D$4:$D$1022,$B24,'август 2023'!$J$4:$J$1022,G$1)</f>
        <v>0</v>
      </c>
      <c r="H24" s="198">
        <f>SUMIFS('август 2023'!$G$4:$G$1022,'август 2023'!$D$4:$D$1022,$B24,'август 2023'!$J$4:$J$1022,H$1)</f>
        <v>0</v>
      </c>
      <c r="I24" s="198">
        <f>SUMIFS('август 2023'!$G$4:$G$1022,'август 2023'!$D$4:$D$1022,$B24,'август 2023'!$J$4:$J$1022,I$1)</f>
        <v>0</v>
      </c>
      <c r="J24" s="198">
        <f>SUMIFS('август 2023'!$G$4:$G$1022,'август 2023'!$D$4:$D$1022,$B24,'август 2023'!$J$4:$J$1022,J$1)</f>
        <v>0</v>
      </c>
      <c r="K24" s="198">
        <f>SUMIFS('август 2023'!$G$4:$G$1022,'август 2023'!$D$4:$D$1022,$B24,'август 2023'!$J$4:$J$1022,K$1)</f>
        <v>0</v>
      </c>
      <c r="L24" s="198">
        <f>SUMIFS('август 2023'!$G$4:$G$1022,'август 2023'!$D$4:$D$1022,$B24,'август 2023'!$J$4:$J$1022,L$1)</f>
        <v>0</v>
      </c>
      <c r="M24" s="198">
        <f>SUMIFS('август 2023'!$G$4:$G$1022,'август 2023'!$D$4:$D$1022,$B24,'август 2023'!$J$4:$J$1022,M$1)</f>
        <v>0</v>
      </c>
      <c r="N24" s="198">
        <f>SUMIFS('август 2023'!$G$4:$G$1022,'август 2023'!$D$4:$D$1022,$B24,'август 2023'!$J$4:$J$1022,N$1)</f>
        <v>0</v>
      </c>
      <c r="O24" s="198">
        <f>SUMIFS('август 2023'!$G$4:$G$1022,'август 2023'!$D$4:$D$1022,$B24,'август 2023'!$J$4:$J$1022,O$1)</f>
        <v>0</v>
      </c>
      <c r="P24" s="198">
        <f>SUMIFS('август 2023'!$G$4:$G$1022,'август 2023'!$D$4:$D$1022,$B24,'август 2023'!$J$4:$J$1022,P$1)</f>
        <v>0</v>
      </c>
      <c r="Q24" s="198">
        <f>SUMIFS('август 2023'!$G$4:$G$1022,'август 2023'!$D$4:$D$1022,$B24,'август 2023'!$J$4:$J$1022,Q$1)</f>
        <v>0</v>
      </c>
      <c r="R24" s="198">
        <f>SUMIFS('август 2023'!$G$4:$G$1022,'август 2023'!$D$4:$D$1022,$B24,'август 2023'!$J$4:$J$1022,R$1)</f>
        <v>0</v>
      </c>
      <c r="S24" s="198">
        <f>SUMIFS('август 2023'!$G$4:$G$1022,'август 2023'!$D$4:$D$1022,$B24,'август 2023'!$J$4:$J$1022,S$1)</f>
        <v>0</v>
      </c>
      <c r="T24" s="198">
        <f>SUMIFS('август 2023'!$G$4:$G$1022,'август 2023'!$D$4:$D$1022,$B24,'август 2023'!$J$4:$J$1022,T$1)</f>
        <v>0</v>
      </c>
      <c r="U24" s="198">
        <f>SUMIFS('август 2023'!$G$4:$G$1022,'август 2023'!$D$4:$D$1022,$B24,'август 2023'!$J$4:$J$1022,U$1)</f>
        <v>0</v>
      </c>
      <c r="V24" s="198">
        <f>SUMIFS('август 2023'!$G$4:$G$1022,'август 2023'!$D$4:$D$1022,$B24,'август 2023'!$J$4:$J$1022,V$1)</f>
        <v>0</v>
      </c>
      <c r="W24" s="198">
        <f>SUMIFS('август 2023'!$G$4:$G$1022,'август 2023'!$D$4:$D$1022,$B24,'август 2023'!$J$4:$J$1022,W$1)</f>
        <v>0</v>
      </c>
      <c r="X24" s="198">
        <f>SUMIFS('август 2023'!$G$4:$G$1022,'август 2023'!$D$4:$D$1022,$B24,'август 2023'!$J$4:$J$1022,X$1)</f>
        <v>0</v>
      </c>
      <c r="Y24" s="198">
        <f>SUMIFS('август 2023'!$G$4:$G$1022,'август 2023'!$D$4:$D$1022,$B24,'август 2023'!$J$4:$J$1022,Y$1)</f>
        <v>0</v>
      </c>
      <c r="Z24" s="198">
        <f>SUMIFS('август 2023'!$G$4:$G$1022,'август 2023'!$D$4:$D$1022,$B24,'август 2023'!$J$4:$J$1022,Z$1)</f>
        <v>0</v>
      </c>
      <c r="AA24" s="198">
        <f>SUMIFS('август 2023'!$G$4:$G$1022,'август 2023'!$D$4:$D$1022,$B24,'август 2023'!$J$4:$J$1022,AA$1)</f>
        <v>0</v>
      </c>
      <c r="AB24" s="198">
        <f>SUMIFS('август 2023'!$G$4:$G$1022,'август 2023'!$D$4:$D$1022,$B24,'август 2023'!$J$4:$J$1022,AB$1)</f>
        <v>0</v>
      </c>
      <c r="AC24" s="198">
        <f>SUMIFS('август 2023'!$G$4:$G$1022,'август 2023'!$D$4:$D$1022,$B24,'август 2023'!$J$4:$J$1022,AC$1)</f>
        <v>0</v>
      </c>
      <c r="AD24" s="198">
        <f>SUMIFS('август 2023'!$G$4:$G$1022,'август 2023'!$D$4:$D$1022,$B24,'август 2023'!$J$4:$J$1022,AD$1)</f>
        <v>0</v>
      </c>
      <c r="AE24" s="198">
        <f>SUMIFS('август 2023'!$G$4:$G$1022,'август 2023'!$D$4:$D$1022,$B24,'август 2023'!$J$4:$J$1022,AE$1)</f>
        <v>0</v>
      </c>
      <c r="AF24" s="198">
        <f>SUMIFS('август 2023'!$G$4:$G$1022,'август 2023'!$D$4:$D$1022,$B24,'август 2023'!$J$4:$J$1022,AF$1)</f>
        <v>0</v>
      </c>
      <c r="AG24" s="198">
        <f>SUMIFS('август 2023'!$G$4:$G$1022,'август 2023'!$D$4:$D$1022,$B24,'август 2023'!$J$4:$J$1022,AG$1)</f>
        <v>0</v>
      </c>
      <c r="AH24" s="198">
        <f>SUMIFS('август 2023'!$G$4:$G$1022,'август 2023'!$D$4:$D$1022,$B24,'август 2023'!$J$4:$J$1022,AH$1)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SUMIFS('август 2023'!$G$4:$G$1022,'август 2023'!$D$4:$D$1022,$B25,'август 2023'!$J$4:$J$1022,D$1)</f>
        <v>0</v>
      </c>
      <c r="E25" s="198">
        <f>SUMIFS('август 2023'!$G$4:$G$1022,'август 2023'!$D$4:$D$1022,$B25,'август 2023'!$J$4:$J$1022,E$1)</f>
        <v>0</v>
      </c>
      <c r="F25" s="198">
        <f>SUMIFS('август 2023'!$G$4:$G$1022,'август 2023'!$D$4:$D$1022,$B25,'август 2023'!$J$4:$J$1022,F$1)</f>
        <v>0</v>
      </c>
      <c r="G25" s="198">
        <f>SUMIFS('август 2023'!$G$4:$G$1022,'август 2023'!$D$4:$D$1022,$B25,'август 2023'!$J$4:$J$1022,G$1)</f>
        <v>0</v>
      </c>
      <c r="H25" s="198">
        <f>SUMIFS('август 2023'!$G$4:$G$1022,'август 2023'!$D$4:$D$1022,$B25,'август 2023'!$J$4:$J$1022,H$1)</f>
        <v>0</v>
      </c>
      <c r="I25" s="198">
        <f>SUMIFS('август 2023'!$G$4:$G$1022,'август 2023'!$D$4:$D$1022,$B25,'август 2023'!$J$4:$J$1022,I$1)</f>
        <v>0</v>
      </c>
      <c r="J25" s="198">
        <f>SUMIFS('август 2023'!$G$4:$G$1022,'август 2023'!$D$4:$D$1022,$B25,'август 2023'!$J$4:$J$1022,J$1)</f>
        <v>0</v>
      </c>
      <c r="K25" s="198">
        <f>SUMIFS('август 2023'!$G$4:$G$1022,'август 2023'!$D$4:$D$1022,$B25,'август 2023'!$J$4:$J$1022,K$1)</f>
        <v>0</v>
      </c>
      <c r="L25" s="198">
        <f>SUMIFS('август 2023'!$G$4:$G$1022,'август 2023'!$D$4:$D$1022,$B25,'август 2023'!$J$4:$J$1022,L$1)</f>
        <v>0</v>
      </c>
      <c r="M25" s="198">
        <f>SUMIFS('август 2023'!$G$4:$G$1022,'август 2023'!$D$4:$D$1022,$B25,'август 2023'!$J$4:$J$1022,M$1)</f>
        <v>0</v>
      </c>
      <c r="N25" s="198">
        <f>SUMIFS('август 2023'!$G$4:$G$1022,'август 2023'!$D$4:$D$1022,$B25,'август 2023'!$J$4:$J$1022,N$1)</f>
        <v>0</v>
      </c>
      <c r="O25" s="198">
        <f>SUMIFS('август 2023'!$G$4:$G$1022,'август 2023'!$D$4:$D$1022,$B25,'август 2023'!$J$4:$J$1022,O$1)</f>
        <v>0</v>
      </c>
      <c r="P25" s="198">
        <f>SUMIFS('август 2023'!$G$4:$G$1022,'август 2023'!$D$4:$D$1022,$B25,'август 2023'!$J$4:$J$1022,P$1)</f>
        <v>0</v>
      </c>
      <c r="Q25" s="198">
        <f>SUMIFS('август 2023'!$G$4:$G$1022,'август 2023'!$D$4:$D$1022,$B25,'август 2023'!$J$4:$J$1022,Q$1)</f>
        <v>0</v>
      </c>
      <c r="R25" s="198">
        <f>SUMIFS('август 2023'!$G$4:$G$1022,'август 2023'!$D$4:$D$1022,$B25,'август 2023'!$J$4:$J$1022,R$1)</f>
        <v>0</v>
      </c>
      <c r="S25" s="198">
        <f>SUMIFS('август 2023'!$G$4:$G$1022,'август 2023'!$D$4:$D$1022,$B25,'август 2023'!$J$4:$J$1022,S$1)</f>
        <v>0</v>
      </c>
      <c r="T25" s="198">
        <f>SUMIFS('август 2023'!$G$4:$G$1022,'август 2023'!$D$4:$D$1022,$B25,'август 2023'!$J$4:$J$1022,T$1)</f>
        <v>0</v>
      </c>
      <c r="U25" s="198">
        <f>SUMIFS('август 2023'!$G$4:$G$1022,'август 2023'!$D$4:$D$1022,$B25,'август 2023'!$J$4:$J$1022,U$1)</f>
        <v>0</v>
      </c>
      <c r="V25" s="198">
        <f>SUMIFS('август 2023'!$G$4:$G$1022,'август 2023'!$D$4:$D$1022,$B25,'август 2023'!$J$4:$J$1022,V$1)</f>
        <v>0</v>
      </c>
      <c r="W25" s="198">
        <f>SUMIFS('август 2023'!$G$4:$G$1022,'август 2023'!$D$4:$D$1022,$B25,'август 2023'!$J$4:$J$1022,W$1)</f>
        <v>0</v>
      </c>
      <c r="X25" s="198">
        <f>SUMIFS('август 2023'!$G$4:$G$1022,'август 2023'!$D$4:$D$1022,$B25,'август 2023'!$J$4:$J$1022,X$1)</f>
        <v>0</v>
      </c>
      <c r="Y25" s="198">
        <f>SUMIFS('август 2023'!$G$4:$G$1022,'август 2023'!$D$4:$D$1022,$B25,'август 2023'!$J$4:$J$1022,Y$1)</f>
        <v>0</v>
      </c>
      <c r="Z25" s="198">
        <f>SUMIFS('август 2023'!$G$4:$G$1022,'август 2023'!$D$4:$D$1022,$B25,'август 2023'!$J$4:$J$1022,Z$1)</f>
        <v>0</v>
      </c>
      <c r="AA25" s="198">
        <f>SUMIFS('август 2023'!$G$4:$G$1022,'август 2023'!$D$4:$D$1022,$B25,'август 2023'!$J$4:$J$1022,AA$1)</f>
        <v>0</v>
      </c>
      <c r="AB25" s="198">
        <f>SUMIFS('август 2023'!$G$4:$G$1022,'август 2023'!$D$4:$D$1022,$B25,'август 2023'!$J$4:$J$1022,AB$1)</f>
        <v>0</v>
      </c>
      <c r="AC25" s="198">
        <f>SUMIFS('август 2023'!$G$4:$G$1022,'август 2023'!$D$4:$D$1022,$B25,'август 2023'!$J$4:$J$1022,AC$1)</f>
        <v>0</v>
      </c>
      <c r="AD25" s="198">
        <f>SUMIFS('август 2023'!$G$4:$G$1022,'август 2023'!$D$4:$D$1022,$B25,'август 2023'!$J$4:$J$1022,AD$1)</f>
        <v>0</v>
      </c>
      <c r="AE25" s="198">
        <f>SUMIFS('август 2023'!$G$4:$G$1022,'август 2023'!$D$4:$D$1022,$B25,'август 2023'!$J$4:$J$1022,AE$1)</f>
        <v>0</v>
      </c>
      <c r="AF25" s="198">
        <f>SUMIFS('август 2023'!$G$4:$G$1022,'август 2023'!$D$4:$D$1022,$B25,'август 2023'!$J$4:$J$1022,AF$1)</f>
        <v>0</v>
      </c>
      <c r="AG25" s="198">
        <f>SUMIFS('август 2023'!$G$4:$G$1022,'август 2023'!$D$4:$D$1022,$B25,'август 2023'!$J$4:$J$1022,AG$1)</f>
        <v>0</v>
      </c>
      <c r="AH25" s="198">
        <f>SUMIFS('август 2023'!$G$4:$G$1022,'август 2023'!$D$4:$D$1022,$B25,'август 2023'!$J$4:$J$1022,AH$1)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SUMIFS('август 2023'!$G$4:$G$1022,'август 2023'!$D$4:$D$1022,$B26,'август 2023'!$J$4:$J$1022,D$1)</f>
        <v>0</v>
      </c>
      <c r="E26" s="198">
        <f>SUMIFS('август 2023'!$G$4:$G$1022,'август 2023'!$D$4:$D$1022,$B26,'август 2023'!$J$4:$J$1022,E$1)</f>
        <v>0</v>
      </c>
      <c r="F26" s="198">
        <f>SUMIFS('август 2023'!$G$4:$G$1022,'август 2023'!$D$4:$D$1022,$B26,'август 2023'!$J$4:$J$1022,F$1)</f>
        <v>0</v>
      </c>
      <c r="G26" s="198">
        <f>SUMIFS('август 2023'!$G$4:$G$1022,'август 2023'!$D$4:$D$1022,$B26,'август 2023'!$J$4:$J$1022,G$1)</f>
        <v>0</v>
      </c>
      <c r="H26" s="198">
        <f>SUMIFS('август 2023'!$G$4:$G$1022,'август 2023'!$D$4:$D$1022,$B26,'август 2023'!$J$4:$J$1022,H$1)</f>
        <v>0</v>
      </c>
      <c r="I26" s="198">
        <f>SUMIFS('август 2023'!$G$4:$G$1022,'август 2023'!$D$4:$D$1022,$B26,'август 2023'!$J$4:$J$1022,I$1)</f>
        <v>0</v>
      </c>
      <c r="J26" s="198">
        <f>SUMIFS('август 2023'!$G$4:$G$1022,'август 2023'!$D$4:$D$1022,$B26,'август 2023'!$J$4:$J$1022,J$1)</f>
        <v>0</v>
      </c>
      <c r="K26" s="198">
        <f>SUMIFS('август 2023'!$G$4:$G$1022,'август 2023'!$D$4:$D$1022,$B26,'август 2023'!$J$4:$J$1022,K$1)</f>
        <v>0</v>
      </c>
      <c r="L26" s="198">
        <f>SUMIFS('август 2023'!$G$4:$G$1022,'август 2023'!$D$4:$D$1022,$B26,'август 2023'!$J$4:$J$1022,L$1)</f>
        <v>0</v>
      </c>
      <c r="M26" s="198">
        <f>SUMIFS('август 2023'!$G$4:$G$1022,'август 2023'!$D$4:$D$1022,$B26,'август 2023'!$J$4:$J$1022,M$1)</f>
        <v>0</v>
      </c>
      <c r="N26" s="198">
        <f>SUMIFS('август 2023'!$G$4:$G$1022,'август 2023'!$D$4:$D$1022,$B26,'август 2023'!$J$4:$J$1022,N$1)</f>
        <v>0</v>
      </c>
      <c r="O26" s="198">
        <f>SUMIFS('август 2023'!$G$4:$G$1022,'август 2023'!$D$4:$D$1022,$B26,'август 2023'!$J$4:$J$1022,O$1)</f>
        <v>0</v>
      </c>
      <c r="P26" s="198">
        <f>SUMIFS('август 2023'!$G$4:$G$1022,'август 2023'!$D$4:$D$1022,$B26,'август 2023'!$J$4:$J$1022,P$1)</f>
        <v>0</v>
      </c>
      <c r="Q26" s="198">
        <f>SUMIFS('август 2023'!$G$4:$G$1022,'август 2023'!$D$4:$D$1022,$B26,'август 2023'!$J$4:$J$1022,Q$1)</f>
        <v>0</v>
      </c>
      <c r="R26" s="198">
        <f>SUMIFS('август 2023'!$G$4:$G$1022,'август 2023'!$D$4:$D$1022,$B26,'август 2023'!$J$4:$J$1022,R$1)</f>
        <v>0</v>
      </c>
      <c r="S26" s="198">
        <f>SUMIFS('август 2023'!$G$4:$G$1022,'август 2023'!$D$4:$D$1022,$B26,'август 2023'!$J$4:$J$1022,S$1)</f>
        <v>0</v>
      </c>
      <c r="T26" s="198">
        <f>SUMIFS('август 2023'!$G$4:$G$1022,'август 2023'!$D$4:$D$1022,$B26,'август 2023'!$J$4:$J$1022,T$1)</f>
        <v>0</v>
      </c>
      <c r="U26" s="198">
        <f>SUMIFS('август 2023'!$G$4:$G$1022,'август 2023'!$D$4:$D$1022,$B26,'август 2023'!$J$4:$J$1022,U$1)</f>
        <v>0</v>
      </c>
      <c r="V26" s="198">
        <f>SUMIFS('август 2023'!$G$4:$G$1022,'август 2023'!$D$4:$D$1022,$B26,'август 2023'!$J$4:$J$1022,V$1)</f>
        <v>0</v>
      </c>
      <c r="W26" s="198">
        <f>SUMIFS('август 2023'!$G$4:$G$1022,'август 2023'!$D$4:$D$1022,$B26,'август 2023'!$J$4:$J$1022,W$1)</f>
        <v>0</v>
      </c>
      <c r="X26" s="198">
        <f>SUMIFS('август 2023'!$G$4:$G$1022,'август 2023'!$D$4:$D$1022,$B26,'август 2023'!$J$4:$J$1022,X$1)</f>
        <v>0</v>
      </c>
      <c r="Y26" s="198">
        <f>SUMIFS('август 2023'!$G$4:$G$1022,'август 2023'!$D$4:$D$1022,$B26,'август 2023'!$J$4:$J$1022,Y$1)</f>
        <v>0</v>
      </c>
      <c r="Z26" s="198">
        <f>SUMIFS('август 2023'!$G$4:$G$1022,'август 2023'!$D$4:$D$1022,$B26,'август 2023'!$J$4:$J$1022,Z$1)</f>
        <v>0</v>
      </c>
      <c r="AA26" s="198">
        <f>SUMIFS('август 2023'!$G$4:$G$1022,'август 2023'!$D$4:$D$1022,$B26,'август 2023'!$J$4:$J$1022,AA$1)</f>
        <v>0</v>
      </c>
      <c r="AB26" s="198">
        <f>SUMIFS('август 2023'!$G$4:$G$1022,'август 2023'!$D$4:$D$1022,$B26,'август 2023'!$J$4:$J$1022,AB$1)</f>
        <v>0</v>
      </c>
      <c r="AC26" s="198">
        <f>SUMIFS('август 2023'!$G$4:$G$1022,'август 2023'!$D$4:$D$1022,$B26,'август 2023'!$J$4:$J$1022,AC$1)</f>
        <v>0</v>
      </c>
      <c r="AD26" s="198">
        <f>SUMIFS('август 2023'!$G$4:$G$1022,'август 2023'!$D$4:$D$1022,$B26,'август 2023'!$J$4:$J$1022,AD$1)</f>
        <v>0</v>
      </c>
      <c r="AE26" s="198">
        <f>SUMIFS('август 2023'!$G$4:$G$1022,'август 2023'!$D$4:$D$1022,$B26,'август 2023'!$J$4:$J$1022,AE$1)</f>
        <v>0</v>
      </c>
      <c r="AF26" s="198">
        <f>SUMIFS('август 2023'!$G$4:$G$1022,'август 2023'!$D$4:$D$1022,$B26,'август 2023'!$J$4:$J$1022,AF$1)</f>
        <v>0</v>
      </c>
      <c r="AG26" s="198">
        <f>SUMIFS('август 2023'!$G$4:$G$1022,'август 2023'!$D$4:$D$1022,$B26,'август 2023'!$J$4:$J$1022,AG$1)</f>
        <v>0</v>
      </c>
      <c r="AH26" s="198">
        <f>SUMIFS('август 2023'!$G$4:$G$1022,'август 2023'!$D$4:$D$1022,$B26,'август 2023'!$J$4:$J$1022,AH$1)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SUMIFS('август 2023'!$G$4:$G$1022,'август 2023'!$D$4:$D$1022,$B27,'август 2023'!$J$4:$J$1022,D$1)</f>
        <v>0</v>
      </c>
      <c r="E27" s="198">
        <f>SUMIFS('август 2023'!$G$4:$G$1022,'август 2023'!$D$4:$D$1022,$B27,'август 2023'!$J$4:$J$1022,E$1)</f>
        <v>0</v>
      </c>
      <c r="F27" s="198">
        <f>SUMIFS('август 2023'!$G$4:$G$1022,'август 2023'!$D$4:$D$1022,$B27,'август 2023'!$J$4:$J$1022,F$1)</f>
        <v>0</v>
      </c>
      <c r="G27" s="198">
        <f>SUMIFS('август 2023'!$G$4:$G$1022,'август 2023'!$D$4:$D$1022,$B27,'август 2023'!$J$4:$J$1022,G$1)</f>
        <v>0</v>
      </c>
      <c r="H27" s="198">
        <f>SUMIFS('август 2023'!$G$4:$G$1022,'август 2023'!$D$4:$D$1022,$B27,'август 2023'!$J$4:$J$1022,H$1)</f>
        <v>0</v>
      </c>
      <c r="I27" s="198">
        <f>SUMIFS('август 2023'!$G$4:$G$1022,'август 2023'!$D$4:$D$1022,$B27,'август 2023'!$J$4:$J$1022,I$1)</f>
        <v>0</v>
      </c>
      <c r="J27" s="198">
        <f>SUMIFS('август 2023'!$G$4:$G$1022,'август 2023'!$D$4:$D$1022,$B27,'август 2023'!$J$4:$J$1022,J$1)</f>
        <v>0</v>
      </c>
      <c r="K27" s="198">
        <f>SUMIFS('август 2023'!$G$4:$G$1022,'август 2023'!$D$4:$D$1022,$B27,'август 2023'!$J$4:$J$1022,K$1)</f>
        <v>0</v>
      </c>
      <c r="L27" s="198">
        <f>SUMIFS('август 2023'!$G$4:$G$1022,'август 2023'!$D$4:$D$1022,$B27,'август 2023'!$J$4:$J$1022,L$1)</f>
        <v>0</v>
      </c>
      <c r="M27" s="198">
        <f>SUMIFS('август 2023'!$G$4:$G$1022,'август 2023'!$D$4:$D$1022,$B27,'август 2023'!$J$4:$J$1022,M$1)</f>
        <v>0</v>
      </c>
      <c r="N27" s="198">
        <f>SUMIFS('август 2023'!$G$4:$G$1022,'август 2023'!$D$4:$D$1022,$B27,'август 2023'!$J$4:$J$1022,N$1)</f>
        <v>0</v>
      </c>
      <c r="O27" s="198">
        <f>SUMIFS('август 2023'!$G$4:$G$1022,'август 2023'!$D$4:$D$1022,$B27,'август 2023'!$J$4:$J$1022,O$1)</f>
        <v>0</v>
      </c>
      <c r="P27" s="198">
        <f>SUMIFS('август 2023'!$G$4:$G$1022,'август 2023'!$D$4:$D$1022,$B27,'август 2023'!$J$4:$J$1022,P$1)</f>
        <v>0</v>
      </c>
      <c r="Q27" s="198">
        <f>SUMIFS('август 2023'!$G$4:$G$1022,'август 2023'!$D$4:$D$1022,$B27,'август 2023'!$J$4:$J$1022,Q$1)</f>
        <v>0</v>
      </c>
      <c r="R27" s="198">
        <f>SUMIFS('август 2023'!$G$4:$G$1022,'август 2023'!$D$4:$D$1022,$B27,'август 2023'!$J$4:$J$1022,R$1)</f>
        <v>0</v>
      </c>
      <c r="S27" s="198">
        <f>SUMIFS('август 2023'!$G$4:$G$1022,'август 2023'!$D$4:$D$1022,$B27,'август 2023'!$J$4:$J$1022,S$1)</f>
        <v>0</v>
      </c>
      <c r="T27" s="198">
        <f>SUMIFS('август 2023'!$G$4:$G$1022,'август 2023'!$D$4:$D$1022,$B27,'август 2023'!$J$4:$J$1022,T$1)</f>
        <v>0</v>
      </c>
      <c r="U27" s="198">
        <f>SUMIFS('август 2023'!$G$4:$G$1022,'август 2023'!$D$4:$D$1022,$B27,'август 2023'!$J$4:$J$1022,U$1)</f>
        <v>0</v>
      </c>
      <c r="V27" s="198">
        <f>SUMIFS('август 2023'!$G$4:$G$1022,'август 2023'!$D$4:$D$1022,$B27,'август 2023'!$J$4:$J$1022,V$1)</f>
        <v>0</v>
      </c>
      <c r="W27" s="198">
        <f>SUMIFS('август 2023'!$G$4:$G$1022,'август 2023'!$D$4:$D$1022,$B27,'август 2023'!$J$4:$J$1022,W$1)</f>
        <v>0</v>
      </c>
      <c r="X27" s="198">
        <f>SUMIFS('август 2023'!$G$4:$G$1022,'август 2023'!$D$4:$D$1022,$B27,'август 2023'!$J$4:$J$1022,X$1)</f>
        <v>0</v>
      </c>
      <c r="Y27" s="198">
        <f>SUMIFS('август 2023'!$G$4:$G$1022,'август 2023'!$D$4:$D$1022,$B27,'август 2023'!$J$4:$J$1022,Y$1)</f>
        <v>0</v>
      </c>
      <c r="Z27" s="198">
        <f>SUMIFS('август 2023'!$G$4:$G$1022,'август 2023'!$D$4:$D$1022,$B27,'август 2023'!$J$4:$J$1022,Z$1)</f>
        <v>0</v>
      </c>
      <c r="AA27" s="198">
        <f>SUMIFS('август 2023'!$G$4:$G$1022,'август 2023'!$D$4:$D$1022,$B27,'август 2023'!$J$4:$J$1022,AA$1)</f>
        <v>0</v>
      </c>
      <c r="AB27" s="198">
        <f>SUMIFS('август 2023'!$G$4:$G$1022,'август 2023'!$D$4:$D$1022,$B27,'август 2023'!$J$4:$J$1022,AB$1)</f>
        <v>0</v>
      </c>
      <c r="AC27" s="198">
        <f>SUMIFS('август 2023'!$G$4:$G$1022,'август 2023'!$D$4:$D$1022,$B27,'август 2023'!$J$4:$J$1022,AC$1)</f>
        <v>0</v>
      </c>
      <c r="AD27" s="198">
        <f>SUMIFS('август 2023'!$G$4:$G$1022,'август 2023'!$D$4:$D$1022,$B27,'август 2023'!$J$4:$J$1022,AD$1)</f>
        <v>0</v>
      </c>
      <c r="AE27" s="198">
        <f>SUMIFS('август 2023'!$G$4:$G$1022,'август 2023'!$D$4:$D$1022,$B27,'август 2023'!$J$4:$J$1022,AE$1)</f>
        <v>0</v>
      </c>
      <c r="AF27" s="198">
        <f>SUMIFS('август 2023'!$G$4:$G$1022,'август 2023'!$D$4:$D$1022,$B27,'август 2023'!$J$4:$J$1022,AF$1)</f>
        <v>0</v>
      </c>
      <c r="AG27" s="198">
        <f>SUMIFS('август 2023'!$G$4:$G$1022,'август 2023'!$D$4:$D$1022,$B27,'август 2023'!$J$4:$J$1022,AG$1)</f>
        <v>0</v>
      </c>
      <c r="AH27" s="198">
        <f>SUMIFS('август 2023'!$G$4:$G$1022,'август 2023'!$D$4:$D$1022,$B27,'август 2023'!$J$4:$J$1022,AH$1)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SUMIFS('август 2023'!$G$4:$G$1022,'август 2023'!$D$4:$D$1022,$B28,'август 2023'!$J$4:$J$1022,D$1)</f>
        <v>0</v>
      </c>
      <c r="E28" s="198">
        <f>SUMIFS('август 2023'!$G$4:$G$1022,'август 2023'!$D$4:$D$1022,$B28,'август 2023'!$J$4:$J$1022,E$1)</f>
        <v>0</v>
      </c>
      <c r="F28" s="198">
        <f>SUMIFS('август 2023'!$G$4:$G$1022,'август 2023'!$D$4:$D$1022,$B28,'август 2023'!$J$4:$J$1022,F$1)</f>
        <v>0</v>
      </c>
      <c r="G28" s="198">
        <f>SUMIFS('август 2023'!$G$4:$G$1022,'август 2023'!$D$4:$D$1022,$B28,'август 2023'!$J$4:$J$1022,G$1)</f>
        <v>0</v>
      </c>
      <c r="H28" s="198">
        <f>SUMIFS('август 2023'!$G$4:$G$1022,'август 2023'!$D$4:$D$1022,$B28,'август 2023'!$J$4:$J$1022,H$1)</f>
        <v>0</v>
      </c>
      <c r="I28" s="198">
        <f>SUMIFS('август 2023'!$G$4:$G$1022,'август 2023'!$D$4:$D$1022,$B28,'август 2023'!$J$4:$J$1022,I$1)</f>
        <v>0</v>
      </c>
      <c r="J28" s="198">
        <f>SUMIFS('август 2023'!$G$4:$G$1022,'август 2023'!$D$4:$D$1022,$B28,'август 2023'!$J$4:$J$1022,J$1)</f>
        <v>0</v>
      </c>
      <c r="K28" s="198">
        <f>SUMIFS('август 2023'!$G$4:$G$1022,'август 2023'!$D$4:$D$1022,$B28,'август 2023'!$J$4:$J$1022,K$1)</f>
        <v>0</v>
      </c>
      <c r="L28" s="198">
        <f>SUMIFS('август 2023'!$G$4:$G$1022,'август 2023'!$D$4:$D$1022,$B28,'август 2023'!$J$4:$J$1022,L$1)</f>
        <v>0</v>
      </c>
      <c r="M28" s="198">
        <f>SUMIFS('август 2023'!$G$4:$G$1022,'август 2023'!$D$4:$D$1022,$B28,'август 2023'!$J$4:$J$1022,M$1)</f>
        <v>0</v>
      </c>
      <c r="N28" s="198">
        <f>SUMIFS('август 2023'!$G$4:$G$1022,'август 2023'!$D$4:$D$1022,$B28,'август 2023'!$J$4:$J$1022,N$1)</f>
        <v>0</v>
      </c>
      <c r="O28" s="198">
        <f>SUMIFS('август 2023'!$G$4:$G$1022,'август 2023'!$D$4:$D$1022,$B28,'август 2023'!$J$4:$J$1022,O$1)</f>
        <v>0</v>
      </c>
      <c r="P28" s="198">
        <f>SUMIFS('август 2023'!$G$4:$G$1022,'август 2023'!$D$4:$D$1022,$B28,'август 2023'!$J$4:$J$1022,P$1)</f>
        <v>0</v>
      </c>
      <c r="Q28" s="198">
        <f>SUMIFS('август 2023'!$G$4:$G$1022,'август 2023'!$D$4:$D$1022,$B28,'август 2023'!$J$4:$J$1022,Q$1)</f>
        <v>0</v>
      </c>
      <c r="R28" s="198">
        <f>SUMIFS('август 2023'!$G$4:$G$1022,'август 2023'!$D$4:$D$1022,$B28,'август 2023'!$J$4:$J$1022,R$1)</f>
        <v>0</v>
      </c>
      <c r="S28" s="198">
        <f>SUMIFS('август 2023'!$G$4:$G$1022,'август 2023'!$D$4:$D$1022,$B28,'август 2023'!$J$4:$J$1022,S$1)</f>
        <v>0</v>
      </c>
      <c r="T28" s="198">
        <f>SUMIFS('август 2023'!$G$4:$G$1022,'август 2023'!$D$4:$D$1022,$B28,'август 2023'!$J$4:$J$1022,T$1)</f>
        <v>0</v>
      </c>
      <c r="U28" s="198">
        <f>SUMIFS('август 2023'!$G$4:$G$1022,'август 2023'!$D$4:$D$1022,$B28,'август 2023'!$J$4:$J$1022,U$1)</f>
        <v>0</v>
      </c>
      <c r="V28" s="198">
        <f>SUMIFS('август 2023'!$G$4:$G$1022,'август 2023'!$D$4:$D$1022,$B28,'август 2023'!$J$4:$J$1022,V$1)</f>
        <v>0</v>
      </c>
      <c r="W28" s="198">
        <f>SUMIFS('август 2023'!$G$4:$G$1022,'август 2023'!$D$4:$D$1022,$B28,'август 2023'!$J$4:$J$1022,W$1)</f>
        <v>0</v>
      </c>
      <c r="X28" s="198">
        <f>SUMIFS('август 2023'!$G$4:$G$1022,'август 2023'!$D$4:$D$1022,$B28,'август 2023'!$J$4:$J$1022,X$1)</f>
        <v>0</v>
      </c>
      <c r="Y28" s="198">
        <f>SUMIFS('август 2023'!$G$4:$G$1022,'август 2023'!$D$4:$D$1022,$B28,'август 2023'!$J$4:$J$1022,Y$1)</f>
        <v>0</v>
      </c>
      <c r="Z28" s="198">
        <f>SUMIFS('август 2023'!$G$4:$G$1022,'август 2023'!$D$4:$D$1022,$B28,'август 2023'!$J$4:$J$1022,Z$1)</f>
        <v>0</v>
      </c>
      <c r="AA28" s="198">
        <f>SUMIFS('август 2023'!$G$4:$G$1022,'август 2023'!$D$4:$D$1022,$B28,'август 2023'!$J$4:$J$1022,AA$1)</f>
        <v>0</v>
      </c>
      <c r="AB28" s="198">
        <f>SUMIFS('август 2023'!$G$4:$G$1022,'август 2023'!$D$4:$D$1022,$B28,'август 2023'!$J$4:$J$1022,AB$1)</f>
        <v>0</v>
      </c>
      <c r="AC28" s="198">
        <f>SUMIFS('август 2023'!$G$4:$G$1022,'август 2023'!$D$4:$D$1022,$B28,'август 2023'!$J$4:$J$1022,AC$1)</f>
        <v>0</v>
      </c>
      <c r="AD28" s="198">
        <f>SUMIFS('август 2023'!$G$4:$G$1022,'август 2023'!$D$4:$D$1022,$B28,'август 2023'!$J$4:$J$1022,AD$1)</f>
        <v>0</v>
      </c>
      <c r="AE28" s="198">
        <f>SUMIFS('август 2023'!$G$4:$G$1022,'август 2023'!$D$4:$D$1022,$B28,'август 2023'!$J$4:$J$1022,AE$1)</f>
        <v>0</v>
      </c>
      <c r="AF28" s="198">
        <f>SUMIFS('август 2023'!$G$4:$G$1022,'август 2023'!$D$4:$D$1022,$B28,'август 2023'!$J$4:$J$1022,AF$1)</f>
        <v>0</v>
      </c>
      <c r="AG28" s="198">
        <f>SUMIFS('август 2023'!$G$4:$G$1022,'август 2023'!$D$4:$D$1022,$B28,'август 2023'!$J$4:$J$1022,AG$1)</f>
        <v>0</v>
      </c>
      <c r="AH28" s="198">
        <f>SUMIFS('август 2023'!$G$4:$G$1022,'август 2023'!$D$4:$D$1022,$B28,'август 2023'!$J$4:$J$1022,AH$1)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SUMIFS('август 2023'!$G$4:$G$1022,'август 2023'!$D$4:$D$1022,$B29,'август 2023'!$J$4:$J$1022,D$1)</f>
        <v>0</v>
      </c>
      <c r="E29" s="198">
        <f>SUMIFS('август 2023'!$G$4:$G$1022,'август 2023'!$D$4:$D$1022,$B29,'август 2023'!$J$4:$J$1022,E$1)</f>
        <v>0</v>
      </c>
      <c r="F29" s="198">
        <f>SUMIFS('август 2023'!$G$4:$G$1022,'август 2023'!$D$4:$D$1022,$B29,'август 2023'!$J$4:$J$1022,F$1)</f>
        <v>0</v>
      </c>
      <c r="G29" s="198">
        <f>SUMIFS('август 2023'!$G$4:$G$1022,'август 2023'!$D$4:$D$1022,$B29,'август 2023'!$J$4:$J$1022,G$1)</f>
        <v>0</v>
      </c>
      <c r="H29" s="198">
        <f>SUMIFS('август 2023'!$G$4:$G$1022,'август 2023'!$D$4:$D$1022,$B29,'август 2023'!$J$4:$J$1022,H$1)</f>
        <v>0</v>
      </c>
      <c r="I29" s="198">
        <f>SUMIFS('август 2023'!$G$4:$G$1022,'август 2023'!$D$4:$D$1022,$B29,'август 2023'!$J$4:$J$1022,I$1)</f>
        <v>0</v>
      </c>
      <c r="J29" s="198">
        <f>SUMIFS('август 2023'!$G$4:$G$1022,'август 2023'!$D$4:$D$1022,$B29,'август 2023'!$J$4:$J$1022,J$1)</f>
        <v>0</v>
      </c>
      <c r="K29" s="198">
        <f>SUMIFS('август 2023'!$G$4:$G$1022,'август 2023'!$D$4:$D$1022,$B29,'август 2023'!$J$4:$J$1022,K$1)</f>
        <v>0</v>
      </c>
      <c r="L29" s="198">
        <f>SUMIFS('август 2023'!$G$4:$G$1022,'август 2023'!$D$4:$D$1022,$B29,'август 2023'!$J$4:$J$1022,L$1)</f>
        <v>0</v>
      </c>
      <c r="M29" s="198">
        <f>SUMIFS('август 2023'!$G$4:$G$1022,'август 2023'!$D$4:$D$1022,$B29,'август 2023'!$J$4:$J$1022,M$1)</f>
        <v>0</v>
      </c>
      <c r="N29" s="198">
        <f>SUMIFS('август 2023'!$G$4:$G$1022,'август 2023'!$D$4:$D$1022,$B29,'август 2023'!$J$4:$J$1022,N$1)</f>
        <v>0</v>
      </c>
      <c r="O29" s="198">
        <f>SUMIFS('август 2023'!$G$4:$G$1022,'август 2023'!$D$4:$D$1022,$B29,'август 2023'!$J$4:$J$1022,O$1)</f>
        <v>0</v>
      </c>
      <c r="P29" s="198">
        <f>SUMIFS('август 2023'!$G$4:$G$1022,'август 2023'!$D$4:$D$1022,$B29,'август 2023'!$J$4:$J$1022,P$1)</f>
        <v>0</v>
      </c>
      <c r="Q29" s="198">
        <f>SUMIFS('август 2023'!$G$4:$G$1022,'август 2023'!$D$4:$D$1022,$B29,'август 2023'!$J$4:$J$1022,Q$1)</f>
        <v>0</v>
      </c>
      <c r="R29" s="198">
        <f>SUMIFS('август 2023'!$G$4:$G$1022,'август 2023'!$D$4:$D$1022,$B29,'август 2023'!$J$4:$J$1022,R$1)</f>
        <v>0</v>
      </c>
      <c r="S29" s="198">
        <f>SUMIFS('август 2023'!$G$4:$G$1022,'август 2023'!$D$4:$D$1022,$B29,'август 2023'!$J$4:$J$1022,S$1)</f>
        <v>0</v>
      </c>
      <c r="T29" s="198">
        <f>SUMIFS('август 2023'!$G$4:$G$1022,'август 2023'!$D$4:$D$1022,$B29,'август 2023'!$J$4:$J$1022,T$1)</f>
        <v>0</v>
      </c>
      <c r="U29" s="198">
        <f>SUMIFS('август 2023'!$G$4:$G$1022,'август 2023'!$D$4:$D$1022,$B29,'август 2023'!$J$4:$J$1022,U$1)</f>
        <v>0</v>
      </c>
      <c r="V29" s="198">
        <f>SUMIFS('август 2023'!$G$4:$G$1022,'август 2023'!$D$4:$D$1022,$B29,'август 2023'!$J$4:$J$1022,V$1)</f>
        <v>0</v>
      </c>
      <c r="W29" s="198">
        <f>SUMIFS('август 2023'!$G$4:$G$1022,'август 2023'!$D$4:$D$1022,$B29,'август 2023'!$J$4:$J$1022,W$1)</f>
        <v>0</v>
      </c>
      <c r="X29" s="198">
        <f>SUMIFS('август 2023'!$G$4:$G$1022,'август 2023'!$D$4:$D$1022,$B29,'август 2023'!$J$4:$J$1022,X$1)</f>
        <v>0</v>
      </c>
      <c r="Y29" s="198">
        <f>SUMIFS('август 2023'!$G$4:$G$1022,'август 2023'!$D$4:$D$1022,$B29,'август 2023'!$J$4:$J$1022,Y$1)</f>
        <v>0</v>
      </c>
      <c r="Z29" s="198">
        <f>SUMIFS('август 2023'!$G$4:$G$1022,'август 2023'!$D$4:$D$1022,$B29,'август 2023'!$J$4:$J$1022,Z$1)</f>
        <v>0</v>
      </c>
      <c r="AA29" s="198">
        <f>SUMIFS('август 2023'!$G$4:$G$1022,'август 2023'!$D$4:$D$1022,$B29,'август 2023'!$J$4:$J$1022,AA$1)</f>
        <v>0</v>
      </c>
      <c r="AB29" s="198">
        <f>SUMIFS('август 2023'!$G$4:$G$1022,'август 2023'!$D$4:$D$1022,$B29,'август 2023'!$J$4:$J$1022,AB$1)</f>
        <v>0</v>
      </c>
      <c r="AC29" s="198">
        <f>SUMIFS('август 2023'!$G$4:$G$1022,'август 2023'!$D$4:$D$1022,$B29,'август 2023'!$J$4:$J$1022,AC$1)</f>
        <v>0</v>
      </c>
      <c r="AD29" s="198">
        <f>SUMIFS('август 2023'!$G$4:$G$1022,'август 2023'!$D$4:$D$1022,$B29,'август 2023'!$J$4:$J$1022,AD$1)</f>
        <v>0</v>
      </c>
      <c r="AE29" s="198">
        <f>SUMIFS('август 2023'!$G$4:$G$1022,'август 2023'!$D$4:$D$1022,$B29,'август 2023'!$J$4:$J$1022,AE$1)</f>
        <v>0</v>
      </c>
      <c r="AF29" s="198">
        <f>SUMIFS('август 2023'!$G$4:$G$1022,'август 2023'!$D$4:$D$1022,$B29,'август 2023'!$J$4:$J$1022,AF$1)</f>
        <v>0</v>
      </c>
      <c r="AG29" s="198">
        <f>SUMIFS('август 2023'!$G$4:$G$1022,'август 2023'!$D$4:$D$1022,$B29,'август 2023'!$J$4:$J$1022,AG$1)</f>
        <v>0</v>
      </c>
      <c r="AH29" s="198">
        <f>SUMIFS('август 2023'!$G$4:$G$1022,'август 2023'!$D$4:$D$1022,$B29,'август 2023'!$J$4:$J$1022,AH$1)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SUMIFS('август 2023'!$G$4:$G$1022,'август 2023'!$D$4:$D$1022,$B30,'август 2023'!$J$4:$J$1022,D$1)</f>
        <v>0</v>
      </c>
      <c r="E30" s="198">
        <f>SUMIFS('август 2023'!$G$4:$G$1022,'август 2023'!$D$4:$D$1022,$B30,'август 2023'!$J$4:$J$1022,E$1)</f>
        <v>0</v>
      </c>
      <c r="F30" s="198">
        <f>SUMIFS('август 2023'!$G$4:$G$1022,'август 2023'!$D$4:$D$1022,$B30,'август 2023'!$J$4:$J$1022,F$1)</f>
        <v>0</v>
      </c>
      <c r="G30" s="198">
        <f>SUMIFS('август 2023'!$G$4:$G$1022,'август 2023'!$D$4:$D$1022,$B30,'август 2023'!$J$4:$J$1022,G$1)</f>
        <v>0</v>
      </c>
      <c r="H30" s="198">
        <f>SUMIFS('август 2023'!$G$4:$G$1022,'август 2023'!$D$4:$D$1022,$B30,'август 2023'!$J$4:$J$1022,H$1)</f>
        <v>0</v>
      </c>
      <c r="I30" s="198">
        <f>SUMIFS('август 2023'!$G$4:$G$1022,'август 2023'!$D$4:$D$1022,$B30,'август 2023'!$J$4:$J$1022,I$1)</f>
        <v>0</v>
      </c>
      <c r="J30" s="198">
        <f>SUMIFS('август 2023'!$G$4:$G$1022,'август 2023'!$D$4:$D$1022,$B30,'август 2023'!$J$4:$J$1022,J$1)</f>
        <v>0</v>
      </c>
      <c r="K30" s="198">
        <f>SUMIFS('август 2023'!$G$4:$G$1022,'август 2023'!$D$4:$D$1022,$B30,'август 2023'!$J$4:$J$1022,K$1)</f>
        <v>0</v>
      </c>
      <c r="L30" s="198">
        <f>SUMIFS('август 2023'!$G$4:$G$1022,'август 2023'!$D$4:$D$1022,$B30,'август 2023'!$J$4:$J$1022,L$1)</f>
        <v>0</v>
      </c>
      <c r="M30" s="198">
        <f>SUMIFS('август 2023'!$G$4:$G$1022,'август 2023'!$D$4:$D$1022,$B30,'август 2023'!$J$4:$J$1022,M$1)</f>
        <v>0</v>
      </c>
      <c r="N30" s="198">
        <f>SUMIFS('август 2023'!$G$4:$G$1022,'август 2023'!$D$4:$D$1022,$B30,'август 2023'!$J$4:$J$1022,N$1)</f>
        <v>0</v>
      </c>
      <c r="O30" s="198">
        <f>SUMIFS('август 2023'!$G$4:$G$1022,'август 2023'!$D$4:$D$1022,$B30,'август 2023'!$J$4:$J$1022,O$1)</f>
        <v>0</v>
      </c>
      <c r="P30" s="198">
        <f>SUMIFS('август 2023'!$G$4:$G$1022,'август 2023'!$D$4:$D$1022,$B30,'август 2023'!$J$4:$J$1022,P$1)</f>
        <v>0</v>
      </c>
      <c r="Q30" s="198">
        <f>SUMIFS('август 2023'!$G$4:$G$1022,'август 2023'!$D$4:$D$1022,$B30,'август 2023'!$J$4:$J$1022,Q$1)</f>
        <v>0</v>
      </c>
      <c r="R30" s="198">
        <f>SUMIFS('август 2023'!$G$4:$G$1022,'август 2023'!$D$4:$D$1022,$B30,'август 2023'!$J$4:$J$1022,R$1)</f>
        <v>0</v>
      </c>
      <c r="S30" s="198">
        <f>SUMIFS('август 2023'!$G$4:$G$1022,'август 2023'!$D$4:$D$1022,$B30,'август 2023'!$J$4:$J$1022,S$1)</f>
        <v>0</v>
      </c>
      <c r="T30" s="198">
        <f>SUMIFS('август 2023'!$G$4:$G$1022,'август 2023'!$D$4:$D$1022,$B30,'август 2023'!$J$4:$J$1022,T$1)</f>
        <v>0</v>
      </c>
      <c r="U30" s="198">
        <f>SUMIFS('август 2023'!$G$4:$G$1022,'август 2023'!$D$4:$D$1022,$B30,'август 2023'!$J$4:$J$1022,U$1)</f>
        <v>0</v>
      </c>
      <c r="V30" s="198">
        <f>SUMIFS('август 2023'!$G$4:$G$1022,'август 2023'!$D$4:$D$1022,$B30,'август 2023'!$J$4:$J$1022,V$1)</f>
        <v>0</v>
      </c>
      <c r="W30" s="198">
        <f>SUMIFS('август 2023'!$G$4:$G$1022,'август 2023'!$D$4:$D$1022,$B30,'август 2023'!$J$4:$J$1022,W$1)</f>
        <v>0</v>
      </c>
      <c r="X30" s="198">
        <f>SUMIFS('август 2023'!$G$4:$G$1022,'август 2023'!$D$4:$D$1022,$B30,'август 2023'!$J$4:$J$1022,X$1)</f>
        <v>0</v>
      </c>
      <c r="Y30" s="198">
        <f>SUMIFS('август 2023'!$G$4:$G$1022,'август 2023'!$D$4:$D$1022,$B30,'август 2023'!$J$4:$J$1022,Y$1)</f>
        <v>0</v>
      </c>
      <c r="Z30" s="198">
        <f>SUMIFS('август 2023'!$G$4:$G$1022,'август 2023'!$D$4:$D$1022,$B30,'август 2023'!$J$4:$J$1022,Z$1)</f>
        <v>0</v>
      </c>
      <c r="AA30" s="198">
        <f>SUMIFS('август 2023'!$G$4:$G$1022,'август 2023'!$D$4:$D$1022,$B30,'август 2023'!$J$4:$J$1022,AA$1)</f>
        <v>0</v>
      </c>
      <c r="AB30" s="198">
        <f>SUMIFS('август 2023'!$G$4:$G$1022,'август 2023'!$D$4:$D$1022,$B30,'август 2023'!$J$4:$J$1022,AB$1)</f>
        <v>0</v>
      </c>
      <c r="AC30" s="198">
        <f>SUMIFS('август 2023'!$G$4:$G$1022,'август 2023'!$D$4:$D$1022,$B30,'август 2023'!$J$4:$J$1022,AC$1)</f>
        <v>0</v>
      </c>
      <c r="AD30" s="198">
        <f>SUMIFS('август 2023'!$G$4:$G$1022,'август 2023'!$D$4:$D$1022,$B30,'август 2023'!$J$4:$J$1022,AD$1)</f>
        <v>0</v>
      </c>
      <c r="AE30" s="198">
        <f>SUMIFS('август 2023'!$G$4:$G$1022,'август 2023'!$D$4:$D$1022,$B30,'август 2023'!$J$4:$J$1022,AE$1)</f>
        <v>0</v>
      </c>
      <c r="AF30" s="198">
        <f>SUMIFS('август 2023'!$G$4:$G$1022,'август 2023'!$D$4:$D$1022,$B30,'август 2023'!$J$4:$J$1022,AF$1)</f>
        <v>0</v>
      </c>
      <c r="AG30" s="198">
        <f>SUMIFS('август 2023'!$G$4:$G$1022,'август 2023'!$D$4:$D$1022,$B30,'август 2023'!$J$4:$J$1022,AG$1)</f>
        <v>0</v>
      </c>
      <c r="AH30" s="198">
        <f>SUMIFS('август 2023'!$G$4:$G$1022,'август 2023'!$D$4:$D$1022,$B30,'август 2023'!$J$4:$J$1022,AH$1)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SUMIFS('август 2023'!$G$4:$G$1022,'август 2023'!$D$4:$D$1022,$B31,'август 2023'!$J$4:$J$1022,D$1)</f>
        <v>0</v>
      </c>
      <c r="E31" s="207">
        <f>SUMIFS('август 2023'!$G$4:$G$1022,'август 2023'!$D$4:$D$1022,$B31,'август 2023'!$J$4:$J$1022,E$1)</f>
        <v>0</v>
      </c>
      <c r="F31" s="207">
        <f>SUMIFS('август 2023'!$G$4:$G$1022,'август 2023'!$D$4:$D$1022,$B31,'август 2023'!$J$4:$J$1022,F$1)</f>
        <v>0</v>
      </c>
      <c r="G31" s="207">
        <f>SUMIFS('август 2023'!$G$4:$G$1022,'август 2023'!$D$4:$D$1022,$B31,'август 2023'!$J$4:$J$1022,G$1)</f>
        <v>0</v>
      </c>
      <c r="H31" s="207">
        <f>SUMIFS('август 2023'!$G$4:$G$1022,'август 2023'!$D$4:$D$1022,$B31,'август 2023'!$J$4:$J$1022,H$1)</f>
        <v>0</v>
      </c>
      <c r="I31" s="207">
        <f>SUMIFS('август 2023'!$G$4:$G$1022,'август 2023'!$D$4:$D$1022,$B31,'август 2023'!$J$4:$J$1022,I$1)</f>
        <v>0</v>
      </c>
      <c r="J31" s="207">
        <f>SUMIFS('август 2023'!$G$4:$G$1022,'август 2023'!$D$4:$D$1022,$B31,'август 2023'!$J$4:$J$1022,J$1)</f>
        <v>0</v>
      </c>
      <c r="K31" s="207">
        <f>SUMIFS('август 2023'!$G$4:$G$1022,'август 2023'!$D$4:$D$1022,$B31,'август 2023'!$J$4:$J$1022,K$1)</f>
        <v>0</v>
      </c>
      <c r="L31" s="207">
        <f>SUMIFS('август 2023'!$G$4:$G$1022,'август 2023'!$D$4:$D$1022,$B31,'август 2023'!$J$4:$J$1022,L$1)</f>
        <v>0</v>
      </c>
      <c r="M31" s="207">
        <f>SUMIFS('август 2023'!$G$4:$G$1022,'август 2023'!$D$4:$D$1022,$B31,'август 2023'!$J$4:$J$1022,M$1)</f>
        <v>0</v>
      </c>
      <c r="N31" s="207">
        <f>SUMIFS('август 2023'!$G$4:$G$1022,'август 2023'!$D$4:$D$1022,$B31,'август 2023'!$J$4:$J$1022,N$1)</f>
        <v>0</v>
      </c>
      <c r="O31" s="207">
        <f>SUMIFS('август 2023'!$G$4:$G$1022,'август 2023'!$D$4:$D$1022,$B31,'август 2023'!$J$4:$J$1022,O$1)</f>
        <v>0</v>
      </c>
      <c r="P31" s="207">
        <f>SUMIFS('август 2023'!$G$4:$G$1022,'август 2023'!$D$4:$D$1022,$B31,'август 2023'!$J$4:$J$1022,P$1)</f>
        <v>0</v>
      </c>
      <c r="Q31" s="207">
        <f>SUMIFS('август 2023'!$G$4:$G$1022,'август 2023'!$D$4:$D$1022,$B31,'август 2023'!$J$4:$J$1022,Q$1)</f>
        <v>0</v>
      </c>
      <c r="R31" s="207">
        <f>SUMIFS('август 2023'!$G$4:$G$1022,'август 2023'!$D$4:$D$1022,$B31,'август 2023'!$J$4:$J$1022,R$1)</f>
        <v>0</v>
      </c>
      <c r="S31" s="207">
        <f>SUMIFS('август 2023'!$G$4:$G$1022,'август 2023'!$D$4:$D$1022,$B31,'август 2023'!$J$4:$J$1022,S$1)</f>
        <v>0</v>
      </c>
      <c r="T31" s="207">
        <f>SUMIFS('август 2023'!$G$4:$G$1022,'август 2023'!$D$4:$D$1022,$B31,'август 2023'!$J$4:$J$1022,T$1)</f>
        <v>0</v>
      </c>
      <c r="U31" s="207">
        <f>SUMIFS('август 2023'!$G$4:$G$1022,'август 2023'!$D$4:$D$1022,$B31,'август 2023'!$J$4:$J$1022,U$1)</f>
        <v>0</v>
      </c>
      <c r="V31" s="207">
        <f>SUMIFS('август 2023'!$G$4:$G$1022,'август 2023'!$D$4:$D$1022,$B31,'август 2023'!$J$4:$J$1022,V$1)</f>
        <v>0</v>
      </c>
      <c r="W31" s="207">
        <f>SUMIFS('август 2023'!$G$4:$G$1022,'август 2023'!$D$4:$D$1022,$B31,'август 2023'!$J$4:$J$1022,W$1)</f>
        <v>0</v>
      </c>
      <c r="X31" s="207">
        <f>SUMIFS('август 2023'!$G$4:$G$1022,'август 2023'!$D$4:$D$1022,$B31,'август 2023'!$J$4:$J$1022,X$1)</f>
        <v>0</v>
      </c>
      <c r="Y31" s="207">
        <f>SUMIFS('август 2023'!$G$4:$G$1022,'август 2023'!$D$4:$D$1022,$B31,'август 2023'!$J$4:$J$1022,Y$1)</f>
        <v>0</v>
      </c>
      <c r="Z31" s="207">
        <f>SUMIFS('август 2023'!$G$4:$G$1022,'август 2023'!$D$4:$D$1022,$B31,'август 2023'!$J$4:$J$1022,Z$1)</f>
        <v>0</v>
      </c>
      <c r="AA31" s="207">
        <f>SUMIFS('август 2023'!$G$4:$G$1022,'август 2023'!$D$4:$D$1022,$B31,'август 2023'!$J$4:$J$1022,AA$1)</f>
        <v>0</v>
      </c>
      <c r="AB31" s="207">
        <f>SUMIFS('август 2023'!$G$4:$G$1022,'август 2023'!$D$4:$D$1022,$B31,'август 2023'!$J$4:$J$1022,AB$1)</f>
        <v>0</v>
      </c>
      <c r="AC31" s="207">
        <f>SUMIFS('август 2023'!$G$4:$G$1022,'август 2023'!$D$4:$D$1022,$B31,'август 2023'!$J$4:$J$1022,AC$1)</f>
        <v>0</v>
      </c>
      <c r="AD31" s="207">
        <f>SUMIFS('август 2023'!$G$4:$G$1022,'август 2023'!$D$4:$D$1022,$B31,'август 2023'!$J$4:$J$1022,AD$1)</f>
        <v>0</v>
      </c>
      <c r="AE31" s="207">
        <f>SUMIFS('август 2023'!$G$4:$G$1022,'август 2023'!$D$4:$D$1022,$B31,'август 2023'!$J$4:$J$1022,AE$1)</f>
        <v>0</v>
      </c>
      <c r="AF31" s="207">
        <f>SUMIFS('август 2023'!$G$4:$G$1022,'август 2023'!$D$4:$D$1022,$B31,'август 2023'!$J$4:$J$1022,AF$1)</f>
        <v>0</v>
      </c>
      <c r="AG31" s="207">
        <f>SUMIFS('август 2023'!$G$4:$G$1022,'август 2023'!$D$4:$D$1022,$B31,'август 2023'!$J$4:$J$1022,AG$1)</f>
        <v>0</v>
      </c>
      <c r="AH31" s="207">
        <f>SUMIFS('август 2023'!$G$4:$G$1022,'август 2023'!$D$4:$D$1022,$B31,'август 2023'!$J$4:$J$1022,AH$1)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SUMIFS('август 2023'!$G$4:$G$1022,'август 2023'!$D$4:$D$1022,$B32,'август 2023'!$J$4:$J$1022,D$1)</f>
        <v>0</v>
      </c>
      <c r="E32" s="207">
        <f>SUMIFS('август 2023'!$G$4:$G$1022,'август 2023'!$D$4:$D$1022,$B32,'август 2023'!$J$4:$J$1022,E$1)</f>
        <v>0</v>
      </c>
      <c r="F32" s="207">
        <f>SUMIFS('август 2023'!$G$4:$G$1022,'август 2023'!$D$4:$D$1022,$B32,'август 2023'!$J$4:$J$1022,F$1)</f>
        <v>0</v>
      </c>
      <c r="G32" s="207">
        <f>SUMIFS('август 2023'!$G$4:$G$1022,'август 2023'!$D$4:$D$1022,$B32,'август 2023'!$J$4:$J$1022,G$1)</f>
        <v>0</v>
      </c>
      <c r="H32" s="207">
        <f>SUMIFS('август 2023'!$G$4:$G$1022,'август 2023'!$D$4:$D$1022,$B32,'август 2023'!$J$4:$J$1022,H$1)</f>
        <v>0</v>
      </c>
      <c r="I32" s="207">
        <f>SUMIFS('август 2023'!$G$4:$G$1022,'август 2023'!$D$4:$D$1022,$B32,'август 2023'!$J$4:$J$1022,I$1)</f>
        <v>0</v>
      </c>
      <c r="J32" s="207">
        <f>SUMIFS('август 2023'!$G$4:$G$1022,'август 2023'!$D$4:$D$1022,$B32,'август 2023'!$J$4:$J$1022,J$1)</f>
        <v>0</v>
      </c>
      <c r="K32" s="207">
        <f>SUMIFS('август 2023'!$G$4:$G$1022,'август 2023'!$D$4:$D$1022,$B32,'август 2023'!$J$4:$J$1022,K$1)</f>
        <v>0</v>
      </c>
      <c r="L32" s="207">
        <f>SUMIFS('август 2023'!$G$4:$G$1022,'август 2023'!$D$4:$D$1022,$B32,'август 2023'!$J$4:$J$1022,L$1)</f>
        <v>0</v>
      </c>
      <c r="M32" s="207">
        <f>SUMIFS('август 2023'!$G$4:$G$1022,'август 2023'!$D$4:$D$1022,$B32,'август 2023'!$J$4:$J$1022,M$1)</f>
        <v>0</v>
      </c>
      <c r="N32" s="207">
        <f>SUMIFS('август 2023'!$G$4:$G$1022,'август 2023'!$D$4:$D$1022,$B32,'август 2023'!$J$4:$J$1022,N$1)</f>
        <v>0</v>
      </c>
      <c r="O32" s="207">
        <f>SUMIFS('август 2023'!$G$4:$G$1022,'август 2023'!$D$4:$D$1022,$B32,'август 2023'!$J$4:$J$1022,O$1)</f>
        <v>0</v>
      </c>
      <c r="P32" s="207">
        <f>SUMIFS('август 2023'!$G$4:$G$1022,'август 2023'!$D$4:$D$1022,$B32,'август 2023'!$J$4:$J$1022,P$1)</f>
        <v>0</v>
      </c>
      <c r="Q32" s="207">
        <f>SUMIFS('август 2023'!$G$4:$G$1022,'август 2023'!$D$4:$D$1022,$B32,'август 2023'!$J$4:$J$1022,Q$1)</f>
        <v>0</v>
      </c>
      <c r="R32" s="207">
        <f>SUMIFS('август 2023'!$G$4:$G$1022,'август 2023'!$D$4:$D$1022,$B32,'август 2023'!$J$4:$J$1022,R$1)</f>
        <v>0</v>
      </c>
      <c r="S32" s="207">
        <f>SUMIFS('август 2023'!$G$4:$G$1022,'август 2023'!$D$4:$D$1022,$B32,'август 2023'!$J$4:$J$1022,S$1)</f>
        <v>0</v>
      </c>
      <c r="T32" s="207">
        <f>SUMIFS('август 2023'!$G$4:$G$1022,'август 2023'!$D$4:$D$1022,$B32,'август 2023'!$J$4:$J$1022,T$1)</f>
        <v>0</v>
      </c>
      <c r="U32" s="207">
        <f>SUMIFS('август 2023'!$G$4:$G$1022,'август 2023'!$D$4:$D$1022,$B32,'август 2023'!$J$4:$J$1022,U$1)</f>
        <v>0</v>
      </c>
      <c r="V32" s="207">
        <f>SUMIFS('август 2023'!$G$4:$G$1022,'август 2023'!$D$4:$D$1022,$B32,'август 2023'!$J$4:$J$1022,V$1)</f>
        <v>0</v>
      </c>
      <c r="W32" s="207">
        <f>SUMIFS('август 2023'!$G$4:$G$1022,'август 2023'!$D$4:$D$1022,$B32,'август 2023'!$J$4:$J$1022,W$1)</f>
        <v>0</v>
      </c>
      <c r="X32" s="207">
        <f>SUMIFS('август 2023'!$G$4:$G$1022,'август 2023'!$D$4:$D$1022,$B32,'август 2023'!$J$4:$J$1022,X$1)</f>
        <v>0</v>
      </c>
      <c r="Y32" s="207">
        <f>SUMIFS('август 2023'!$G$4:$G$1022,'август 2023'!$D$4:$D$1022,$B32,'август 2023'!$J$4:$J$1022,Y$1)</f>
        <v>0</v>
      </c>
      <c r="Z32" s="207">
        <f>SUMIFS('август 2023'!$G$4:$G$1022,'август 2023'!$D$4:$D$1022,$B32,'август 2023'!$J$4:$J$1022,Z$1)</f>
        <v>0</v>
      </c>
      <c r="AA32" s="207">
        <f>SUMIFS('август 2023'!$G$4:$G$1022,'август 2023'!$D$4:$D$1022,$B32,'август 2023'!$J$4:$J$1022,AA$1)</f>
        <v>0</v>
      </c>
      <c r="AB32" s="207">
        <f>SUMIFS('август 2023'!$G$4:$G$1022,'август 2023'!$D$4:$D$1022,$B32,'август 2023'!$J$4:$J$1022,AB$1)</f>
        <v>0</v>
      </c>
      <c r="AC32" s="207">
        <f>SUMIFS('август 2023'!$G$4:$G$1022,'август 2023'!$D$4:$D$1022,$B32,'август 2023'!$J$4:$J$1022,AC$1)</f>
        <v>0</v>
      </c>
      <c r="AD32" s="207">
        <f>SUMIFS('август 2023'!$G$4:$G$1022,'август 2023'!$D$4:$D$1022,$B32,'август 2023'!$J$4:$J$1022,AD$1)</f>
        <v>0</v>
      </c>
      <c r="AE32" s="207">
        <f>SUMIFS('август 2023'!$G$4:$G$1022,'август 2023'!$D$4:$D$1022,$B32,'август 2023'!$J$4:$J$1022,AE$1)</f>
        <v>0</v>
      </c>
      <c r="AF32" s="207">
        <f>SUMIFS('август 2023'!$G$4:$G$1022,'август 2023'!$D$4:$D$1022,$B32,'август 2023'!$J$4:$J$1022,AF$1)</f>
        <v>0</v>
      </c>
      <c r="AG32" s="207">
        <f>SUMIFS('август 2023'!$G$4:$G$1022,'август 2023'!$D$4:$D$1022,$B32,'август 2023'!$J$4:$J$1022,AG$1)</f>
        <v>0</v>
      </c>
      <c r="AH32" s="207">
        <f>SUMIFS('август 2023'!$G$4:$G$1022,'август 2023'!$D$4:$D$1022,$B32,'август 2023'!$J$4:$J$1022,AH$1)</f>
        <v>0</v>
      </c>
      <c r="AI32" s="170">
        <f t="shared" si="1"/>
        <v>0</v>
      </c>
    </row>
    <row r="33" spans="2:35" ht="15" customHeight="1" x14ac:dyDescent="0.25">
      <c r="B33" s="209" t="s">
        <v>1344</v>
      </c>
      <c r="C33" s="206">
        <v>20</v>
      </c>
      <c r="D33" s="207">
        <f>SUMIFS('август 2023'!$G$4:$G$1022,'август 2023'!$D$4:$D$1022,$B33,'август 2023'!$J$4:$J$1022,D$1)</f>
        <v>0</v>
      </c>
      <c r="E33" s="207">
        <f>SUMIFS('август 2023'!$G$4:$G$1022,'август 2023'!$D$4:$D$1022,$B33,'август 2023'!$J$4:$J$1022,E$1)</f>
        <v>0</v>
      </c>
      <c r="F33" s="207">
        <f>SUMIFS('август 2023'!$G$4:$G$1022,'август 2023'!$D$4:$D$1022,$B33,'август 2023'!$J$4:$J$1022,F$1)</f>
        <v>0</v>
      </c>
      <c r="G33" s="207">
        <f>SUMIFS('август 2023'!$G$4:$G$1022,'август 2023'!$D$4:$D$1022,$B33,'август 2023'!$J$4:$J$1022,G$1)</f>
        <v>0</v>
      </c>
      <c r="H33" s="207">
        <f>SUMIFS('август 2023'!$G$4:$G$1022,'август 2023'!$D$4:$D$1022,$B33,'август 2023'!$J$4:$J$1022,H$1)</f>
        <v>0</v>
      </c>
      <c r="I33" s="207">
        <f>SUMIFS('август 2023'!$G$4:$G$1022,'август 2023'!$D$4:$D$1022,$B33,'август 2023'!$J$4:$J$1022,I$1)</f>
        <v>0</v>
      </c>
      <c r="J33" s="207">
        <f>SUMIFS('август 2023'!$G$4:$G$1022,'август 2023'!$D$4:$D$1022,$B33,'август 2023'!$J$4:$J$1022,J$1)</f>
        <v>0</v>
      </c>
      <c r="K33" s="207">
        <f>SUMIFS('август 2023'!$G$4:$G$1022,'август 2023'!$D$4:$D$1022,$B33,'август 2023'!$J$4:$J$1022,K$1)</f>
        <v>0</v>
      </c>
      <c r="L33" s="207">
        <f>SUMIFS('август 2023'!$G$4:$G$1022,'август 2023'!$D$4:$D$1022,$B33,'август 2023'!$J$4:$J$1022,L$1)</f>
        <v>0</v>
      </c>
      <c r="M33" s="207">
        <f>SUMIFS('август 2023'!$G$4:$G$1022,'август 2023'!$D$4:$D$1022,$B33,'август 2023'!$J$4:$J$1022,M$1)</f>
        <v>0</v>
      </c>
      <c r="N33" s="207">
        <f>SUMIFS('август 2023'!$G$4:$G$1022,'август 2023'!$D$4:$D$1022,$B33,'август 2023'!$J$4:$J$1022,N$1)</f>
        <v>0</v>
      </c>
      <c r="O33" s="207">
        <f>SUMIFS('август 2023'!$G$4:$G$1022,'август 2023'!$D$4:$D$1022,$B33,'август 2023'!$J$4:$J$1022,O$1)</f>
        <v>0</v>
      </c>
      <c r="P33" s="207">
        <f>SUMIFS('август 2023'!$G$4:$G$1022,'август 2023'!$D$4:$D$1022,$B33,'август 2023'!$J$4:$J$1022,P$1)</f>
        <v>0</v>
      </c>
      <c r="Q33" s="207">
        <f>SUMIFS('август 2023'!$G$4:$G$1022,'август 2023'!$D$4:$D$1022,$B33,'август 2023'!$J$4:$J$1022,Q$1)</f>
        <v>0</v>
      </c>
      <c r="R33" s="207">
        <f>SUMIFS('август 2023'!$G$4:$G$1022,'август 2023'!$D$4:$D$1022,$B33,'август 2023'!$J$4:$J$1022,R$1)</f>
        <v>0</v>
      </c>
      <c r="S33" s="207">
        <f>SUMIFS('август 2023'!$G$4:$G$1022,'август 2023'!$D$4:$D$1022,$B33,'август 2023'!$J$4:$J$1022,S$1)</f>
        <v>0</v>
      </c>
      <c r="T33" s="207">
        <f>SUMIFS('август 2023'!$G$4:$G$1022,'август 2023'!$D$4:$D$1022,$B33,'август 2023'!$J$4:$J$1022,T$1)</f>
        <v>0</v>
      </c>
      <c r="U33" s="207">
        <f>SUMIFS('август 2023'!$G$4:$G$1022,'август 2023'!$D$4:$D$1022,$B33,'август 2023'!$J$4:$J$1022,U$1)</f>
        <v>0</v>
      </c>
      <c r="V33" s="207">
        <f>SUMIFS('август 2023'!$G$4:$G$1022,'август 2023'!$D$4:$D$1022,$B33,'август 2023'!$J$4:$J$1022,V$1)</f>
        <v>0</v>
      </c>
      <c r="W33" s="207">
        <f>SUMIFS('август 2023'!$G$4:$G$1022,'август 2023'!$D$4:$D$1022,$B33,'август 2023'!$J$4:$J$1022,W$1)</f>
        <v>0</v>
      </c>
      <c r="X33" s="207">
        <f>SUMIFS('август 2023'!$G$4:$G$1022,'август 2023'!$D$4:$D$1022,$B33,'август 2023'!$J$4:$J$1022,X$1)</f>
        <v>0</v>
      </c>
      <c r="Y33" s="207">
        <f>SUMIFS('август 2023'!$G$4:$G$1022,'август 2023'!$D$4:$D$1022,$B33,'август 2023'!$J$4:$J$1022,Y$1)</f>
        <v>0</v>
      </c>
      <c r="Z33" s="207">
        <f>SUMIFS('август 2023'!$G$4:$G$1022,'август 2023'!$D$4:$D$1022,$B33,'август 2023'!$J$4:$J$1022,Z$1)</f>
        <v>0</v>
      </c>
      <c r="AA33" s="207">
        <f>SUMIFS('август 2023'!$G$4:$G$1022,'август 2023'!$D$4:$D$1022,$B33,'август 2023'!$J$4:$J$1022,AA$1)</f>
        <v>0</v>
      </c>
      <c r="AB33" s="207">
        <f>SUMIFS('август 2023'!$G$4:$G$1022,'август 2023'!$D$4:$D$1022,$B33,'август 2023'!$J$4:$J$1022,AB$1)</f>
        <v>0</v>
      </c>
      <c r="AC33" s="207">
        <f>SUMIFS('август 2023'!$G$4:$G$1022,'август 2023'!$D$4:$D$1022,$B33,'август 2023'!$J$4:$J$1022,AC$1)</f>
        <v>0</v>
      </c>
      <c r="AD33" s="207">
        <f>SUMIFS('август 2023'!$G$4:$G$1022,'август 2023'!$D$4:$D$1022,$B33,'август 2023'!$J$4:$J$1022,AD$1)</f>
        <v>0</v>
      </c>
      <c r="AE33" s="207">
        <f>SUMIFS('август 2023'!$G$4:$G$1022,'август 2023'!$D$4:$D$1022,$B33,'август 2023'!$J$4:$J$1022,AE$1)</f>
        <v>0</v>
      </c>
      <c r="AF33" s="207">
        <f>SUMIFS('август 2023'!$G$4:$G$1022,'август 2023'!$D$4:$D$1022,$B33,'август 2023'!$J$4:$J$1022,AF$1)</f>
        <v>0</v>
      </c>
      <c r="AG33" s="207">
        <f>SUMIFS('август 2023'!$G$4:$G$1022,'август 2023'!$D$4:$D$1022,$B33,'август 2023'!$J$4:$J$1022,AG$1)</f>
        <v>0</v>
      </c>
      <c r="AH33" s="207">
        <f>SUMIFS('август 2023'!$G$4:$G$1022,'август 2023'!$D$4:$D$1022,$B33,'август 2023'!$J$4:$J$1022,AH$1)</f>
        <v>0</v>
      </c>
      <c r="AI33" s="170">
        <f t="shared" si="1"/>
        <v>0</v>
      </c>
    </row>
    <row r="34" spans="2:35" ht="15" customHeight="1" x14ac:dyDescent="0.25">
      <c r="B34" s="210" t="s">
        <v>754</v>
      </c>
      <c r="C34" s="211">
        <v>20</v>
      </c>
      <c r="D34" s="207">
        <f>SUMIFS('август 2023'!$G$4:$G$1022,'август 2023'!$D$4:$D$1022,$B34,'август 2023'!$J$4:$J$1022,D$1)</f>
        <v>0</v>
      </c>
      <c r="E34" s="207">
        <f>SUMIFS('август 2023'!$G$4:$G$1022,'август 2023'!$D$4:$D$1022,$B34,'август 2023'!$J$4:$J$1022,E$1)</f>
        <v>0</v>
      </c>
      <c r="F34" s="207">
        <f>SUMIFS('август 2023'!$G$4:$G$1022,'август 2023'!$D$4:$D$1022,$B34,'август 2023'!$J$4:$J$1022,F$1)</f>
        <v>0</v>
      </c>
      <c r="G34" s="207">
        <f>SUMIFS('август 2023'!$G$4:$G$1022,'август 2023'!$D$4:$D$1022,$B34,'август 2023'!$J$4:$J$1022,G$1)</f>
        <v>0</v>
      </c>
      <c r="H34" s="207">
        <f>SUMIFS('август 2023'!$G$4:$G$1022,'август 2023'!$D$4:$D$1022,$B34,'август 2023'!$J$4:$J$1022,H$1)</f>
        <v>0</v>
      </c>
      <c r="I34" s="207">
        <f>SUMIFS('август 2023'!$G$4:$G$1022,'август 2023'!$D$4:$D$1022,$B34,'август 2023'!$J$4:$J$1022,I$1)</f>
        <v>0</v>
      </c>
      <c r="J34" s="207">
        <f>SUMIFS('август 2023'!$G$4:$G$1022,'август 2023'!$D$4:$D$1022,$B34,'август 2023'!$J$4:$J$1022,J$1)</f>
        <v>0</v>
      </c>
      <c r="K34" s="207">
        <f>SUMIFS('август 2023'!$G$4:$G$1022,'август 2023'!$D$4:$D$1022,$B34,'август 2023'!$J$4:$J$1022,K$1)</f>
        <v>0</v>
      </c>
      <c r="L34" s="207">
        <f>SUMIFS('август 2023'!$G$4:$G$1022,'август 2023'!$D$4:$D$1022,$B34,'август 2023'!$J$4:$J$1022,L$1)</f>
        <v>0</v>
      </c>
      <c r="M34" s="207">
        <f>SUMIFS('август 2023'!$G$4:$G$1022,'август 2023'!$D$4:$D$1022,$B34,'август 2023'!$J$4:$J$1022,M$1)</f>
        <v>0</v>
      </c>
      <c r="N34" s="207">
        <f>SUMIFS('август 2023'!$G$4:$G$1022,'август 2023'!$D$4:$D$1022,$B34,'август 2023'!$J$4:$J$1022,N$1)</f>
        <v>0</v>
      </c>
      <c r="O34" s="207">
        <f>SUMIFS('август 2023'!$G$4:$G$1022,'август 2023'!$D$4:$D$1022,$B34,'август 2023'!$J$4:$J$1022,O$1)</f>
        <v>0</v>
      </c>
      <c r="P34" s="207">
        <f>SUMIFS('август 2023'!$G$4:$G$1022,'август 2023'!$D$4:$D$1022,$B34,'август 2023'!$J$4:$J$1022,P$1)</f>
        <v>0</v>
      </c>
      <c r="Q34" s="207">
        <f>SUMIFS('август 2023'!$G$4:$G$1022,'август 2023'!$D$4:$D$1022,$B34,'август 2023'!$J$4:$J$1022,Q$1)</f>
        <v>0</v>
      </c>
      <c r="R34" s="207">
        <f>SUMIFS('август 2023'!$G$4:$G$1022,'август 2023'!$D$4:$D$1022,$B34,'август 2023'!$J$4:$J$1022,R$1)</f>
        <v>0</v>
      </c>
      <c r="S34" s="207">
        <f>SUMIFS('август 2023'!$G$4:$G$1022,'август 2023'!$D$4:$D$1022,$B34,'август 2023'!$J$4:$J$1022,S$1)</f>
        <v>0</v>
      </c>
      <c r="T34" s="207">
        <f>SUMIFS('август 2023'!$G$4:$G$1022,'август 2023'!$D$4:$D$1022,$B34,'август 2023'!$J$4:$J$1022,T$1)</f>
        <v>0</v>
      </c>
      <c r="U34" s="207">
        <f>SUMIFS('август 2023'!$G$4:$G$1022,'август 2023'!$D$4:$D$1022,$B34,'август 2023'!$J$4:$J$1022,U$1)</f>
        <v>0</v>
      </c>
      <c r="V34" s="207">
        <f>SUMIFS('август 2023'!$G$4:$G$1022,'август 2023'!$D$4:$D$1022,$B34,'август 2023'!$J$4:$J$1022,V$1)</f>
        <v>0</v>
      </c>
      <c r="W34" s="207">
        <f>SUMIFS('август 2023'!$G$4:$G$1022,'август 2023'!$D$4:$D$1022,$B34,'август 2023'!$J$4:$J$1022,W$1)</f>
        <v>0</v>
      </c>
      <c r="X34" s="207">
        <f>SUMIFS('август 2023'!$G$4:$G$1022,'август 2023'!$D$4:$D$1022,$B34,'август 2023'!$J$4:$J$1022,X$1)</f>
        <v>0</v>
      </c>
      <c r="Y34" s="207">
        <f>SUMIFS('август 2023'!$G$4:$G$1022,'август 2023'!$D$4:$D$1022,$B34,'август 2023'!$J$4:$J$1022,Y$1)</f>
        <v>0</v>
      </c>
      <c r="Z34" s="207">
        <f>SUMIFS('август 2023'!$G$4:$G$1022,'август 2023'!$D$4:$D$1022,$B34,'август 2023'!$J$4:$J$1022,Z$1)</f>
        <v>0</v>
      </c>
      <c r="AA34" s="207">
        <f>SUMIFS('август 2023'!$G$4:$G$1022,'август 2023'!$D$4:$D$1022,$B34,'август 2023'!$J$4:$J$1022,AA$1)</f>
        <v>0</v>
      </c>
      <c r="AB34" s="207">
        <f>SUMIFS('август 2023'!$G$4:$G$1022,'август 2023'!$D$4:$D$1022,$B34,'август 2023'!$J$4:$J$1022,AB$1)</f>
        <v>0</v>
      </c>
      <c r="AC34" s="207">
        <f>SUMIFS('август 2023'!$G$4:$G$1022,'август 2023'!$D$4:$D$1022,$B34,'август 2023'!$J$4:$J$1022,AC$1)</f>
        <v>0</v>
      </c>
      <c r="AD34" s="207">
        <f>SUMIFS('август 2023'!$G$4:$G$1022,'август 2023'!$D$4:$D$1022,$B34,'август 2023'!$J$4:$J$1022,AD$1)</f>
        <v>0</v>
      </c>
      <c r="AE34" s="207">
        <f>SUMIFS('август 2023'!$G$4:$G$1022,'август 2023'!$D$4:$D$1022,$B34,'август 2023'!$J$4:$J$1022,AE$1)</f>
        <v>0</v>
      </c>
      <c r="AF34" s="207">
        <f>SUMIFS('август 2023'!$G$4:$G$1022,'август 2023'!$D$4:$D$1022,$B34,'август 2023'!$J$4:$J$1022,AF$1)</f>
        <v>0</v>
      </c>
      <c r="AG34" s="207">
        <f>SUMIFS('август 2023'!$G$4:$G$1022,'август 2023'!$D$4:$D$1022,$B34,'август 2023'!$J$4:$J$1022,AG$1)</f>
        <v>0</v>
      </c>
      <c r="AH34" s="207">
        <f>SUMIFS('август 2023'!$G$4:$G$1022,'август 2023'!$D$4:$D$1022,$B34,'август 2023'!$J$4:$J$1022,AH$1)</f>
        <v>0</v>
      </c>
      <c r="AI34" s="170">
        <f t="shared" si="1"/>
        <v>0</v>
      </c>
    </row>
    <row r="35" spans="2:35" ht="15" customHeight="1" x14ac:dyDescent="0.25">
      <c r="B35" s="212" t="s">
        <v>1256</v>
      </c>
      <c r="C35" s="213">
        <v>22.68</v>
      </c>
      <c r="D35" s="207">
        <f>SUMIFS('август 2023'!$G$4:$G$1022,'август 2023'!$D$4:$D$1022,$B35,'август 2023'!$J$4:$J$1022,D$1)</f>
        <v>0</v>
      </c>
      <c r="E35" s="207">
        <f>SUMIFS('август 2023'!$G$4:$G$1022,'август 2023'!$D$4:$D$1022,$B35,'август 2023'!$J$4:$J$1022,E$1)</f>
        <v>0</v>
      </c>
      <c r="F35" s="207">
        <f>SUMIFS('август 2023'!$G$4:$G$1022,'август 2023'!$D$4:$D$1022,$B35,'август 2023'!$J$4:$J$1022,F$1)</f>
        <v>0</v>
      </c>
      <c r="G35" s="207">
        <f>SUMIFS('август 2023'!$G$4:$G$1022,'август 2023'!$D$4:$D$1022,$B35,'август 2023'!$J$4:$J$1022,G$1)</f>
        <v>0</v>
      </c>
      <c r="H35" s="207">
        <f>SUMIFS('август 2023'!$G$4:$G$1022,'август 2023'!$D$4:$D$1022,$B35,'август 2023'!$J$4:$J$1022,H$1)</f>
        <v>0</v>
      </c>
      <c r="I35" s="207">
        <f>SUMIFS('август 2023'!$G$4:$G$1022,'август 2023'!$D$4:$D$1022,$B35,'август 2023'!$J$4:$J$1022,I$1)</f>
        <v>0</v>
      </c>
      <c r="J35" s="207">
        <f>SUMIFS('август 2023'!$G$4:$G$1022,'август 2023'!$D$4:$D$1022,$B35,'август 2023'!$J$4:$J$1022,J$1)</f>
        <v>0</v>
      </c>
      <c r="K35" s="207">
        <f>SUMIFS('август 2023'!$G$4:$G$1022,'август 2023'!$D$4:$D$1022,$B35,'август 2023'!$J$4:$J$1022,K$1)</f>
        <v>0</v>
      </c>
      <c r="L35" s="207">
        <f>SUMIFS('август 2023'!$G$4:$G$1022,'август 2023'!$D$4:$D$1022,$B35,'август 2023'!$J$4:$J$1022,L$1)</f>
        <v>0</v>
      </c>
      <c r="M35" s="207">
        <f>SUMIFS('август 2023'!$G$4:$G$1022,'август 2023'!$D$4:$D$1022,$B35,'август 2023'!$J$4:$J$1022,M$1)</f>
        <v>0</v>
      </c>
      <c r="N35" s="207">
        <f>SUMIFS('август 2023'!$G$4:$G$1022,'август 2023'!$D$4:$D$1022,$B35,'август 2023'!$J$4:$J$1022,N$1)</f>
        <v>0</v>
      </c>
      <c r="O35" s="207">
        <f>SUMIFS('август 2023'!$G$4:$G$1022,'август 2023'!$D$4:$D$1022,$B35,'август 2023'!$J$4:$J$1022,O$1)</f>
        <v>0</v>
      </c>
      <c r="P35" s="207">
        <f>SUMIFS('август 2023'!$G$4:$G$1022,'август 2023'!$D$4:$D$1022,$B35,'август 2023'!$J$4:$J$1022,P$1)</f>
        <v>0</v>
      </c>
      <c r="Q35" s="207">
        <f>SUMIFS('август 2023'!$G$4:$G$1022,'август 2023'!$D$4:$D$1022,$B35,'август 2023'!$J$4:$J$1022,Q$1)</f>
        <v>0</v>
      </c>
      <c r="R35" s="207">
        <f>SUMIFS('август 2023'!$G$4:$G$1022,'август 2023'!$D$4:$D$1022,$B35,'август 2023'!$J$4:$J$1022,R$1)</f>
        <v>0</v>
      </c>
      <c r="S35" s="207">
        <f>SUMIFS('август 2023'!$G$4:$G$1022,'август 2023'!$D$4:$D$1022,$B35,'август 2023'!$J$4:$J$1022,S$1)</f>
        <v>0</v>
      </c>
      <c r="T35" s="207">
        <f>SUMIFS('август 2023'!$G$4:$G$1022,'август 2023'!$D$4:$D$1022,$B35,'август 2023'!$J$4:$J$1022,T$1)</f>
        <v>0</v>
      </c>
      <c r="U35" s="207">
        <f>SUMIFS('август 2023'!$G$4:$G$1022,'август 2023'!$D$4:$D$1022,$B35,'август 2023'!$J$4:$J$1022,U$1)</f>
        <v>0</v>
      </c>
      <c r="V35" s="207">
        <f>SUMIFS('август 2023'!$G$4:$G$1022,'август 2023'!$D$4:$D$1022,$B35,'август 2023'!$J$4:$J$1022,V$1)</f>
        <v>0</v>
      </c>
      <c r="W35" s="207">
        <f>SUMIFS('август 2023'!$G$4:$G$1022,'август 2023'!$D$4:$D$1022,$B35,'август 2023'!$J$4:$J$1022,W$1)</f>
        <v>0</v>
      </c>
      <c r="X35" s="207">
        <f>SUMIFS('август 2023'!$G$4:$G$1022,'август 2023'!$D$4:$D$1022,$B35,'август 2023'!$J$4:$J$1022,X$1)</f>
        <v>0</v>
      </c>
      <c r="Y35" s="207">
        <f>SUMIFS('август 2023'!$G$4:$G$1022,'август 2023'!$D$4:$D$1022,$B35,'август 2023'!$J$4:$J$1022,Y$1)</f>
        <v>0</v>
      </c>
      <c r="Z35" s="207">
        <f>SUMIFS('август 2023'!$G$4:$G$1022,'август 2023'!$D$4:$D$1022,$B35,'август 2023'!$J$4:$J$1022,Z$1)</f>
        <v>0</v>
      </c>
      <c r="AA35" s="207">
        <f>SUMIFS('август 2023'!$G$4:$G$1022,'август 2023'!$D$4:$D$1022,$B35,'август 2023'!$J$4:$J$1022,AA$1)</f>
        <v>0</v>
      </c>
      <c r="AB35" s="207">
        <f>SUMIFS('август 2023'!$G$4:$G$1022,'август 2023'!$D$4:$D$1022,$B35,'август 2023'!$J$4:$J$1022,AB$1)</f>
        <v>0</v>
      </c>
      <c r="AC35" s="207">
        <f>SUMIFS('август 2023'!$G$4:$G$1022,'август 2023'!$D$4:$D$1022,$B35,'август 2023'!$J$4:$J$1022,AC$1)</f>
        <v>0</v>
      </c>
      <c r="AD35" s="207">
        <f>SUMIFS('август 2023'!$G$4:$G$1022,'август 2023'!$D$4:$D$1022,$B35,'август 2023'!$J$4:$J$1022,AD$1)</f>
        <v>0</v>
      </c>
      <c r="AE35" s="207">
        <f>SUMIFS('август 2023'!$G$4:$G$1022,'август 2023'!$D$4:$D$1022,$B35,'август 2023'!$J$4:$J$1022,AE$1)</f>
        <v>0</v>
      </c>
      <c r="AF35" s="207">
        <f>SUMIFS('август 2023'!$G$4:$G$1022,'август 2023'!$D$4:$D$1022,$B35,'август 2023'!$J$4:$J$1022,AF$1)</f>
        <v>0</v>
      </c>
      <c r="AG35" s="207">
        <f>SUMIFS('август 2023'!$G$4:$G$1022,'август 2023'!$D$4:$D$1022,$B35,'август 2023'!$J$4:$J$1022,AG$1)</f>
        <v>0</v>
      </c>
      <c r="AH35" s="207">
        <f>SUMIFS('август 2023'!$G$4:$G$1022,'август 2023'!$D$4:$D$1022,$B35,'август 2023'!$J$4:$J$1022,AH$1)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4">
        <v>22.68</v>
      </c>
      <c r="D36" s="207">
        <f>SUMIFS('август 2023'!$G$4:$G$1022,'август 2023'!$D$4:$D$1022,$B36,'август 2023'!$J$4:$J$1022,D$1)</f>
        <v>0</v>
      </c>
      <c r="E36" s="207">
        <f>SUMIFS('август 2023'!$G$4:$G$1022,'август 2023'!$D$4:$D$1022,$B36,'август 2023'!$J$4:$J$1022,E$1)</f>
        <v>0</v>
      </c>
      <c r="F36" s="207">
        <f>SUMIFS('август 2023'!$G$4:$G$1022,'август 2023'!$D$4:$D$1022,$B36,'август 2023'!$J$4:$J$1022,F$1)</f>
        <v>0</v>
      </c>
      <c r="G36" s="207">
        <f>SUMIFS('август 2023'!$G$4:$G$1022,'август 2023'!$D$4:$D$1022,$B36,'август 2023'!$J$4:$J$1022,G$1)</f>
        <v>0</v>
      </c>
      <c r="H36" s="207">
        <f>SUMIFS('август 2023'!$G$4:$G$1022,'август 2023'!$D$4:$D$1022,$B36,'август 2023'!$J$4:$J$1022,H$1)</f>
        <v>0</v>
      </c>
      <c r="I36" s="207">
        <f>SUMIFS('август 2023'!$G$4:$G$1022,'август 2023'!$D$4:$D$1022,$B36,'август 2023'!$J$4:$J$1022,I$1)</f>
        <v>0</v>
      </c>
      <c r="J36" s="207">
        <f>SUMIFS('август 2023'!$G$4:$G$1022,'август 2023'!$D$4:$D$1022,$B36,'август 2023'!$J$4:$J$1022,J$1)</f>
        <v>0</v>
      </c>
      <c r="K36" s="207">
        <f>SUMIFS('август 2023'!$G$4:$G$1022,'август 2023'!$D$4:$D$1022,$B36,'август 2023'!$J$4:$J$1022,K$1)</f>
        <v>0</v>
      </c>
      <c r="L36" s="207">
        <f>SUMIFS('август 2023'!$G$4:$G$1022,'август 2023'!$D$4:$D$1022,$B36,'август 2023'!$J$4:$J$1022,L$1)</f>
        <v>0</v>
      </c>
      <c r="M36" s="207">
        <f>SUMIFS('август 2023'!$G$4:$G$1022,'август 2023'!$D$4:$D$1022,$B36,'август 2023'!$J$4:$J$1022,M$1)</f>
        <v>0</v>
      </c>
      <c r="N36" s="207">
        <f>SUMIFS('август 2023'!$G$4:$G$1022,'август 2023'!$D$4:$D$1022,$B36,'август 2023'!$J$4:$J$1022,N$1)</f>
        <v>0</v>
      </c>
      <c r="O36" s="207">
        <f>SUMIFS('август 2023'!$G$4:$G$1022,'август 2023'!$D$4:$D$1022,$B36,'август 2023'!$J$4:$J$1022,O$1)</f>
        <v>0</v>
      </c>
      <c r="P36" s="207">
        <f>SUMIFS('август 2023'!$G$4:$G$1022,'август 2023'!$D$4:$D$1022,$B36,'август 2023'!$J$4:$J$1022,P$1)</f>
        <v>0</v>
      </c>
      <c r="Q36" s="207">
        <f>SUMIFS('август 2023'!$G$4:$G$1022,'август 2023'!$D$4:$D$1022,$B36,'август 2023'!$J$4:$J$1022,Q$1)</f>
        <v>0</v>
      </c>
      <c r="R36" s="207">
        <f>SUMIFS('август 2023'!$G$4:$G$1022,'август 2023'!$D$4:$D$1022,$B36,'август 2023'!$J$4:$J$1022,R$1)</f>
        <v>0</v>
      </c>
      <c r="S36" s="207">
        <f>SUMIFS('август 2023'!$G$4:$G$1022,'август 2023'!$D$4:$D$1022,$B36,'август 2023'!$J$4:$J$1022,S$1)</f>
        <v>0</v>
      </c>
      <c r="T36" s="207">
        <f>SUMIFS('август 2023'!$G$4:$G$1022,'август 2023'!$D$4:$D$1022,$B36,'август 2023'!$J$4:$J$1022,T$1)</f>
        <v>0</v>
      </c>
      <c r="U36" s="207">
        <f>SUMIFS('август 2023'!$G$4:$G$1022,'август 2023'!$D$4:$D$1022,$B36,'август 2023'!$J$4:$J$1022,U$1)</f>
        <v>0</v>
      </c>
      <c r="V36" s="207">
        <f>SUMIFS('август 2023'!$G$4:$G$1022,'август 2023'!$D$4:$D$1022,$B36,'август 2023'!$J$4:$J$1022,V$1)</f>
        <v>0</v>
      </c>
      <c r="W36" s="207">
        <f>SUMIFS('август 2023'!$G$4:$G$1022,'август 2023'!$D$4:$D$1022,$B36,'август 2023'!$J$4:$J$1022,W$1)</f>
        <v>0</v>
      </c>
      <c r="X36" s="207">
        <f>SUMIFS('август 2023'!$G$4:$G$1022,'август 2023'!$D$4:$D$1022,$B36,'август 2023'!$J$4:$J$1022,X$1)</f>
        <v>0</v>
      </c>
      <c r="Y36" s="207">
        <f>SUMIFS('август 2023'!$G$4:$G$1022,'август 2023'!$D$4:$D$1022,$B36,'август 2023'!$J$4:$J$1022,Y$1)</f>
        <v>0</v>
      </c>
      <c r="Z36" s="207">
        <f>SUMIFS('август 2023'!$G$4:$G$1022,'август 2023'!$D$4:$D$1022,$B36,'август 2023'!$J$4:$J$1022,Z$1)</f>
        <v>0</v>
      </c>
      <c r="AA36" s="207">
        <f>SUMIFS('август 2023'!$G$4:$G$1022,'август 2023'!$D$4:$D$1022,$B36,'август 2023'!$J$4:$J$1022,AA$1)</f>
        <v>0</v>
      </c>
      <c r="AB36" s="207">
        <f>SUMIFS('август 2023'!$G$4:$G$1022,'август 2023'!$D$4:$D$1022,$B36,'август 2023'!$J$4:$J$1022,AB$1)</f>
        <v>0</v>
      </c>
      <c r="AC36" s="207">
        <f>SUMIFS('август 2023'!$G$4:$G$1022,'август 2023'!$D$4:$D$1022,$B36,'август 2023'!$J$4:$J$1022,AC$1)</f>
        <v>0</v>
      </c>
      <c r="AD36" s="207">
        <f>SUMIFS('август 2023'!$G$4:$G$1022,'август 2023'!$D$4:$D$1022,$B36,'август 2023'!$J$4:$J$1022,AD$1)</f>
        <v>0</v>
      </c>
      <c r="AE36" s="207">
        <f>SUMIFS('август 2023'!$G$4:$G$1022,'август 2023'!$D$4:$D$1022,$B36,'август 2023'!$J$4:$J$1022,AE$1)</f>
        <v>0</v>
      </c>
      <c r="AF36" s="207">
        <f>SUMIFS('август 2023'!$G$4:$G$1022,'август 2023'!$D$4:$D$1022,$B36,'август 2023'!$J$4:$J$1022,AF$1)</f>
        <v>0</v>
      </c>
      <c r="AG36" s="207">
        <f>SUMIFS('август 2023'!$G$4:$G$1022,'август 2023'!$D$4:$D$1022,$B36,'август 2023'!$J$4:$J$1022,AG$1)</f>
        <v>0</v>
      </c>
      <c r="AH36" s="207">
        <f>SUMIFS('август 2023'!$G$4:$G$1022,'август 2023'!$D$4:$D$1022,$B36,'август 2023'!$J$4:$J$1022,AH$1)</f>
        <v>0</v>
      </c>
      <c r="AI36" s="170">
        <f t="shared" si="1"/>
        <v>0</v>
      </c>
    </row>
    <row r="37" spans="2:35" ht="15" customHeight="1" x14ac:dyDescent="0.25">
      <c r="B37" s="212" t="s">
        <v>492</v>
      </c>
      <c r="C37" s="215">
        <v>25</v>
      </c>
      <c r="D37" s="207">
        <f>SUMIFS('август 2023'!$G$4:$G$1022,'август 2023'!$D$4:$D$1022,$B37,'август 2023'!$J$4:$J$1022,D$1)</f>
        <v>0</v>
      </c>
      <c r="E37" s="207">
        <f>SUMIFS('август 2023'!$G$4:$G$1022,'август 2023'!$D$4:$D$1022,$B37,'август 2023'!$J$4:$J$1022,E$1)</f>
        <v>0</v>
      </c>
      <c r="F37" s="207">
        <f>SUMIFS('август 2023'!$G$4:$G$1022,'август 2023'!$D$4:$D$1022,$B37,'август 2023'!$J$4:$J$1022,F$1)</f>
        <v>0</v>
      </c>
      <c r="G37" s="207">
        <f>SUMIFS('август 2023'!$G$4:$G$1022,'август 2023'!$D$4:$D$1022,$B37,'август 2023'!$J$4:$J$1022,G$1)</f>
        <v>0</v>
      </c>
      <c r="H37" s="207">
        <f>SUMIFS('август 2023'!$G$4:$G$1022,'август 2023'!$D$4:$D$1022,$B37,'август 2023'!$J$4:$J$1022,H$1)</f>
        <v>0</v>
      </c>
      <c r="I37" s="207">
        <f>SUMIFS('август 2023'!$G$4:$G$1022,'август 2023'!$D$4:$D$1022,$B37,'август 2023'!$J$4:$J$1022,I$1)</f>
        <v>0</v>
      </c>
      <c r="J37" s="207">
        <f>SUMIFS('август 2023'!$G$4:$G$1022,'август 2023'!$D$4:$D$1022,$B37,'август 2023'!$J$4:$J$1022,J$1)</f>
        <v>0</v>
      </c>
      <c r="K37" s="207">
        <f>SUMIFS('август 2023'!$G$4:$G$1022,'август 2023'!$D$4:$D$1022,$B37,'август 2023'!$J$4:$J$1022,K$1)</f>
        <v>0</v>
      </c>
      <c r="L37" s="207">
        <f>SUMIFS('август 2023'!$G$4:$G$1022,'август 2023'!$D$4:$D$1022,$B37,'август 2023'!$J$4:$J$1022,L$1)</f>
        <v>800</v>
      </c>
      <c r="M37" s="207">
        <f>SUMIFS('август 2023'!$G$4:$G$1022,'август 2023'!$D$4:$D$1022,$B37,'август 2023'!$J$4:$J$1022,M$1)</f>
        <v>0</v>
      </c>
      <c r="N37" s="207">
        <f>SUMIFS('август 2023'!$G$4:$G$1022,'август 2023'!$D$4:$D$1022,$B37,'август 2023'!$J$4:$J$1022,N$1)</f>
        <v>800</v>
      </c>
      <c r="O37" s="207">
        <f>SUMIFS('август 2023'!$G$4:$G$1022,'август 2023'!$D$4:$D$1022,$B37,'август 2023'!$J$4:$J$1022,O$1)</f>
        <v>0</v>
      </c>
      <c r="P37" s="207">
        <f>SUMIFS('август 2023'!$G$4:$G$1022,'август 2023'!$D$4:$D$1022,$B37,'август 2023'!$J$4:$J$1022,P$1)</f>
        <v>0</v>
      </c>
      <c r="Q37" s="207">
        <f>SUMIFS('август 2023'!$G$4:$G$1022,'август 2023'!$D$4:$D$1022,$B37,'август 2023'!$J$4:$J$1022,Q$1)</f>
        <v>0</v>
      </c>
      <c r="R37" s="207">
        <f>SUMIFS('август 2023'!$G$4:$G$1022,'август 2023'!$D$4:$D$1022,$B37,'август 2023'!$J$4:$J$1022,R$1)</f>
        <v>800</v>
      </c>
      <c r="S37" s="207">
        <f>SUMIFS('август 2023'!$G$4:$G$1022,'август 2023'!$D$4:$D$1022,$B37,'август 2023'!$J$4:$J$1022,S$1)</f>
        <v>0</v>
      </c>
      <c r="T37" s="207">
        <f>SUMIFS('август 2023'!$G$4:$G$1022,'август 2023'!$D$4:$D$1022,$B37,'август 2023'!$J$4:$J$1022,T$1)</f>
        <v>0</v>
      </c>
      <c r="U37" s="207">
        <f>SUMIFS('август 2023'!$G$4:$G$1022,'август 2023'!$D$4:$D$1022,$B37,'август 2023'!$J$4:$J$1022,U$1)</f>
        <v>0</v>
      </c>
      <c r="V37" s="207">
        <f>SUMIFS('август 2023'!$G$4:$G$1022,'август 2023'!$D$4:$D$1022,$B37,'август 2023'!$J$4:$J$1022,V$1)</f>
        <v>0</v>
      </c>
      <c r="W37" s="207">
        <f>SUMIFS('август 2023'!$G$4:$G$1022,'август 2023'!$D$4:$D$1022,$B37,'август 2023'!$J$4:$J$1022,W$1)</f>
        <v>0</v>
      </c>
      <c r="X37" s="207">
        <f>SUMIFS('август 2023'!$G$4:$G$1022,'август 2023'!$D$4:$D$1022,$B37,'август 2023'!$J$4:$J$1022,X$1)</f>
        <v>800</v>
      </c>
      <c r="Y37" s="207">
        <f>SUMIFS('август 2023'!$G$4:$G$1022,'август 2023'!$D$4:$D$1022,$B37,'август 2023'!$J$4:$J$1022,Y$1)</f>
        <v>0</v>
      </c>
      <c r="Z37" s="207">
        <f>SUMIFS('август 2023'!$G$4:$G$1022,'август 2023'!$D$4:$D$1022,$B37,'август 2023'!$J$4:$J$1022,Z$1)</f>
        <v>0</v>
      </c>
      <c r="AA37" s="207">
        <f>SUMIFS('август 2023'!$G$4:$G$1022,'август 2023'!$D$4:$D$1022,$B37,'август 2023'!$J$4:$J$1022,AA$1)</f>
        <v>0</v>
      </c>
      <c r="AB37" s="207">
        <f>SUMIFS('август 2023'!$G$4:$G$1022,'август 2023'!$D$4:$D$1022,$B37,'август 2023'!$J$4:$J$1022,AB$1)</f>
        <v>0</v>
      </c>
      <c r="AC37" s="207">
        <f>SUMIFS('август 2023'!$G$4:$G$1022,'август 2023'!$D$4:$D$1022,$B37,'август 2023'!$J$4:$J$1022,AC$1)</f>
        <v>0</v>
      </c>
      <c r="AD37" s="207">
        <f>SUMIFS('август 2023'!$G$4:$G$1022,'август 2023'!$D$4:$D$1022,$B37,'август 2023'!$J$4:$J$1022,AD$1)</f>
        <v>0</v>
      </c>
      <c r="AE37" s="207">
        <f>SUMIFS('август 2023'!$G$4:$G$1022,'август 2023'!$D$4:$D$1022,$B37,'август 2023'!$J$4:$J$1022,AE$1)</f>
        <v>0</v>
      </c>
      <c r="AF37" s="207">
        <f>SUMIFS('август 2023'!$G$4:$G$1022,'август 2023'!$D$4:$D$1022,$B37,'август 2023'!$J$4:$J$1022,AF$1)</f>
        <v>0</v>
      </c>
      <c r="AG37" s="207">
        <f>SUMIFS('август 2023'!$G$4:$G$1022,'август 2023'!$D$4:$D$1022,$B37,'август 2023'!$J$4:$J$1022,AG$1)</f>
        <v>0</v>
      </c>
      <c r="AH37" s="207">
        <f>SUMIFS('август 2023'!$G$4:$G$1022,'август 2023'!$D$4:$D$1022,$B37,'август 2023'!$J$4:$J$1022,AH$1)</f>
        <v>0</v>
      </c>
      <c r="AI37" s="170">
        <f t="shared" si="1"/>
        <v>3200</v>
      </c>
    </row>
    <row r="38" spans="2:35" ht="15" customHeight="1" x14ac:dyDescent="0.25">
      <c r="B38" s="212" t="s">
        <v>1600</v>
      </c>
      <c r="C38" s="211">
        <v>25</v>
      </c>
      <c r="D38" s="207">
        <f>SUMIFS('август 2023'!$G$4:$G$1022,'август 2023'!$D$4:$D$1022,$B38,'август 2023'!$J$4:$J$1022,D$1)</f>
        <v>0</v>
      </c>
      <c r="E38" s="207">
        <f>SUMIFS('август 2023'!$G$4:$G$1022,'август 2023'!$D$4:$D$1022,$B38,'август 2023'!$J$4:$J$1022,E$1)</f>
        <v>0</v>
      </c>
      <c r="F38" s="207">
        <f>SUMIFS('август 2023'!$G$4:$G$1022,'август 2023'!$D$4:$D$1022,$B38,'август 2023'!$J$4:$J$1022,F$1)</f>
        <v>0</v>
      </c>
      <c r="G38" s="207">
        <f>SUMIFS('август 2023'!$G$4:$G$1022,'август 2023'!$D$4:$D$1022,$B38,'август 2023'!$J$4:$J$1022,G$1)</f>
        <v>0</v>
      </c>
      <c r="H38" s="207">
        <f>SUMIFS('август 2023'!$G$4:$G$1022,'август 2023'!$D$4:$D$1022,$B38,'август 2023'!$J$4:$J$1022,H$1)</f>
        <v>0</v>
      </c>
      <c r="I38" s="207">
        <f>SUMIFS('август 2023'!$G$4:$G$1022,'август 2023'!$D$4:$D$1022,$B38,'август 2023'!$J$4:$J$1022,I$1)</f>
        <v>0</v>
      </c>
      <c r="J38" s="207">
        <f>SUMIFS('август 2023'!$G$4:$G$1022,'август 2023'!$D$4:$D$1022,$B38,'август 2023'!$J$4:$J$1022,J$1)</f>
        <v>0</v>
      </c>
      <c r="K38" s="207">
        <f>SUMIFS('август 2023'!$G$4:$G$1022,'август 2023'!$D$4:$D$1022,$B38,'август 2023'!$J$4:$J$1022,K$1)</f>
        <v>0</v>
      </c>
      <c r="L38" s="207">
        <f>SUMIFS('август 2023'!$G$4:$G$1022,'август 2023'!$D$4:$D$1022,$B38,'август 2023'!$J$4:$J$1022,L$1)</f>
        <v>0</v>
      </c>
      <c r="M38" s="207">
        <f>SUMIFS('август 2023'!$G$4:$G$1022,'август 2023'!$D$4:$D$1022,$B38,'август 2023'!$J$4:$J$1022,M$1)</f>
        <v>0</v>
      </c>
      <c r="N38" s="207">
        <f>SUMIFS('август 2023'!$G$4:$G$1022,'август 2023'!$D$4:$D$1022,$B38,'август 2023'!$J$4:$J$1022,N$1)</f>
        <v>0</v>
      </c>
      <c r="O38" s="207">
        <f>SUMIFS('август 2023'!$G$4:$G$1022,'август 2023'!$D$4:$D$1022,$B38,'август 2023'!$J$4:$J$1022,O$1)</f>
        <v>0</v>
      </c>
      <c r="P38" s="207">
        <f>SUMIFS('август 2023'!$G$4:$G$1022,'август 2023'!$D$4:$D$1022,$B38,'август 2023'!$J$4:$J$1022,P$1)</f>
        <v>0</v>
      </c>
      <c r="Q38" s="207">
        <f>SUMIFS('август 2023'!$G$4:$G$1022,'август 2023'!$D$4:$D$1022,$B38,'август 2023'!$J$4:$J$1022,Q$1)</f>
        <v>0</v>
      </c>
      <c r="R38" s="207">
        <f>SUMIFS('август 2023'!$G$4:$G$1022,'август 2023'!$D$4:$D$1022,$B38,'август 2023'!$J$4:$J$1022,R$1)</f>
        <v>0</v>
      </c>
      <c r="S38" s="207">
        <f>SUMIFS('август 2023'!$G$4:$G$1022,'август 2023'!$D$4:$D$1022,$B38,'август 2023'!$J$4:$J$1022,S$1)</f>
        <v>0</v>
      </c>
      <c r="T38" s="207">
        <f>SUMIFS('август 2023'!$G$4:$G$1022,'август 2023'!$D$4:$D$1022,$B38,'август 2023'!$J$4:$J$1022,T$1)</f>
        <v>0</v>
      </c>
      <c r="U38" s="207">
        <f>SUMIFS('август 2023'!$G$4:$G$1022,'август 2023'!$D$4:$D$1022,$B38,'август 2023'!$J$4:$J$1022,U$1)</f>
        <v>0</v>
      </c>
      <c r="V38" s="207">
        <f>SUMIFS('август 2023'!$G$4:$G$1022,'август 2023'!$D$4:$D$1022,$B38,'август 2023'!$J$4:$J$1022,V$1)</f>
        <v>0</v>
      </c>
      <c r="W38" s="207">
        <f>SUMIFS('август 2023'!$G$4:$G$1022,'август 2023'!$D$4:$D$1022,$B38,'август 2023'!$J$4:$J$1022,W$1)</f>
        <v>0</v>
      </c>
      <c r="X38" s="207">
        <f>SUMIFS('август 2023'!$G$4:$G$1022,'август 2023'!$D$4:$D$1022,$B38,'август 2023'!$J$4:$J$1022,X$1)</f>
        <v>0</v>
      </c>
      <c r="Y38" s="207">
        <f>SUMIFS('август 2023'!$G$4:$G$1022,'август 2023'!$D$4:$D$1022,$B38,'август 2023'!$J$4:$J$1022,Y$1)</f>
        <v>0</v>
      </c>
      <c r="Z38" s="207">
        <f>SUMIFS('август 2023'!$G$4:$G$1022,'август 2023'!$D$4:$D$1022,$B38,'август 2023'!$J$4:$J$1022,Z$1)</f>
        <v>0</v>
      </c>
      <c r="AA38" s="207">
        <f>SUMIFS('август 2023'!$G$4:$G$1022,'август 2023'!$D$4:$D$1022,$B38,'август 2023'!$J$4:$J$1022,AA$1)</f>
        <v>0</v>
      </c>
      <c r="AB38" s="207">
        <f>SUMIFS('август 2023'!$G$4:$G$1022,'август 2023'!$D$4:$D$1022,$B38,'август 2023'!$J$4:$J$1022,AB$1)</f>
        <v>0</v>
      </c>
      <c r="AC38" s="207">
        <f>SUMIFS('август 2023'!$G$4:$G$1022,'август 2023'!$D$4:$D$1022,$B38,'август 2023'!$J$4:$J$1022,AC$1)</f>
        <v>0</v>
      </c>
      <c r="AD38" s="207">
        <f>SUMIFS('август 2023'!$G$4:$G$1022,'август 2023'!$D$4:$D$1022,$B38,'август 2023'!$J$4:$J$1022,AD$1)</f>
        <v>0</v>
      </c>
      <c r="AE38" s="207">
        <f>SUMIFS('август 2023'!$G$4:$G$1022,'август 2023'!$D$4:$D$1022,$B38,'август 2023'!$J$4:$J$1022,AE$1)</f>
        <v>0</v>
      </c>
      <c r="AF38" s="207">
        <f>SUMIFS('август 2023'!$G$4:$G$1022,'август 2023'!$D$4:$D$1022,$B38,'август 2023'!$J$4:$J$1022,AF$1)</f>
        <v>0</v>
      </c>
      <c r="AG38" s="207">
        <f>SUMIFS('август 2023'!$G$4:$G$1022,'август 2023'!$D$4:$D$1022,$B38,'август 2023'!$J$4:$J$1022,AG$1)</f>
        <v>0</v>
      </c>
      <c r="AH38" s="207">
        <f>SUMIFS('август 2023'!$G$4:$G$1022,'август 2023'!$D$4:$D$1022,$B38,'август 2023'!$J$4:$J$1022,AH$1)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SUMIFS('август 2023'!$G$4:$G$1022,'август 2023'!$D$4:$D$1022,$B39,'август 2023'!$J$4:$J$1022,D$1)</f>
        <v>0</v>
      </c>
      <c r="E39" s="207">
        <f>SUMIFS('август 2023'!$G$4:$G$1022,'август 2023'!$D$4:$D$1022,$B39,'август 2023'!$J$4:$J$1022,E$1)</f>
        <v>0</v>
      </c>
      <c r="F39" s="207">
        <f>SUMIFS('август 2023'!$G$4:$G$1022,'август 2023'!$D$4:$D$1022,$B39,'август 2023'!$J$4:$J$1022,F$1)</f>
        <v>0</v>
      </c>
      <c r="G39" s="207">
        <f>SUMIFS('август 2023'!$G$4:$G$1022,'август 2023'!$D$4:$D$1022,$B39,'август 2023'!$J$4:$J$1022,G$1)</f>
        <v>0</v>
      </c>
      <c r="H39" s="207">
        <f>SUMIFS('август 2023'!$G$4:$G$1022,'август 2023'!$D$4:$D$1022,$B39,'август 2023'!$J$4:$J$1022,H$1)</f>
        <v>0</v>
      </c>
      <c r="I39" s="207">
        <f>SUMIFS('август 2023'!$G$4:$G$1022,'август 2023'!$D$4:$D$1022,$B39,'август 2023'!$J$4:$J$1022,I$1)</f>
        <v>0</v>
      </c>
      <c r="J39" s="207">
        <f>SUMIFS('август 2023'!$G$4:$G$1022,'август 2023'!$D$4:$D$1022,$B39,'август 2023'!$J$4:$J$1022,J$1)</f>
        <v>0</v>
      </c>
      <c r="K39" s="207">
        <f>SUMIFS('август 2023'!$G$4:$G$1022,'август 2023'!$D$4:$D$1022,$B39,'август 2023'!$J$4:$J$1022,K$1)</f>
        <v>0</v>
      </c>
      <c r="L39" s="207">
        <f>SUMIFS('август 2023'!$G$4:$G$1022,'август 2023'!$D$4:$D$1022,$B39,'август 2023'!$J$4:$J$1022,L$1)</f>
        <v>0</v>
      </c>
      <c r="M39" s="207">
        <f>SUMIFS('август 2023'!$G$4:$G$1022,'август 2023'!$D$4:$D$1022,$B39,'август 2023'!$J$4:$J$1022,M$1)</f>
        <v>0</v>
      </c>
      <c r="N39" s="207">
        <f>SUMIFS('август 2023'!$G$4:$G$1022,'август 2023'!$D$4:$D$1022,$B39,'август 2023'!$J$4:$J$1022,N$1)</f>
        <v>0</v>
      </c>
      <c r="O39" s="207">
        <f>SUMIFS('август 2023'!$G$4:$G$1022,'август 2023'!$D$4:$D$1022,$B39,'август 2023'!$J$4:$J$1022,O$1)</f>
        <v>0</v>
      </c>
      <c r="P39" s="207">
        <f>SUMIFS('август 2023'!$G$4:$G$1022,'август 2023'!$D$4:$D$1022,$B39,'август 2023'!$J$4:$J$1022,P$1)</f>
        <v>0</v>
      </c>
      <c r="Q39" s="207">
        <f>SUMIFS('август 2023'!$G$4:$G$1022,'август 2023'!$D$4:$D$1022,$B39,'август 2023'!$J$4:$J$1022,Q$1)</f>
        <v>0</v>
      </c>
      <c r="R39" s="207">
        <f>SUMIFS('август 2023'!$G$4:$G$1022,'август 2023'!$D$4:$D$1022,$B39,'август 2023'!$J$4:$J$1022,R$1)</f>
        <v>0</v>
      </c>
      <c r="S39" s="207">
        <f>SUMIFS('август 2023'!$G$4:$G$1022,'август 2023'!$D$4:$D$1022,$B39,'август 2023'!$J$4:$J$1022,S$1)</f>
        <v>0</v>
      </c>
      <c r="T39" s="207">
        <f>SUMIFS('август 2023'!$G$4:$G$1022,'август 2023'!$D$4:$D$1022,$B39,'август 2023'!$J$4:$J$1022,T$1)</f>
        <v>0</v>
      </c>
      <c r="U39" s="207">
        <f>SUMIFS('август 2023'!$G$4:$G$1022,'август 2023'!$D$4:$D$1022,$B39,'август 2023'!$J$4:$J$1022,U$1)</f>
        <v>0</v>
      </c>
      <c r="V39" s="207">
        <f>SUMIFS('август 2023'!$G$4:$G$1022,'август 2023'!$D$4:$D$1022,$B39,'август 2023'!$J$4:$J$1022,V$1)</f>
        <v>0</v>
      </c>
      <c r="W39" s="207">
        <f>SUMIFS('август 2023'!$G$4:$G$1022,'август 2023'!$D$4:$D$1022,$B39,'август 2023'!$J$4:$J$1022,W$1)</f>
        <v>0</v>
      </c>
      <c r="X39" s="207">
        <f>SUMIFS('август 2023'!$G$4:$G$1022,'август 2023'!$D$4:$D$1022,$B39,'август 2023'!$J$4:$J$1022,X$1)</f>
        <v>0</v>
      </c>
      <c r="Y39" s="207">
        <f>SUMIFS('август 2023'!$G$4:$G$1022,'август 2023'!$D$4:$D$1022,$B39,'август 2023'!$J$4:$J$1022,Y$1)</f>
        <v>0</v>
      </c>
      <c r="Z39" s="207">
        <f>SUMIFS('август 2023'!$G$4:$G$1022,'август 2023'!$D$4:$D$1022,$B39,'август 2023'!$J$4:$J$1022,Z$1)</f>
        <v>0</v>
      </c>
      <c r="AA39" s="207">
        <f>SUMIFS('август 2023'!$G$4:$G$1022,'август 2023'!$D$4:$D$1022,$B39,'август 2023'!$J$4:$J$1022,AA$1)</f>
        <v>0</v>
      </c>
      <c r="AB39" s="207">
        <f>SUMIFS('август 2023'!$G$4:$G$1022,'август 2023'!$D$4:$D$1022,$B39,'август 2023'!$J$4:$J$1022,AB$1)</f>
        <v>0</v>
      </c>
      <c r="AC39" s="207">
        <f>SUMIFS('август 2023'!$G$4:$G$1022,'август 2023'!$D$4:$D$1022,$B39,'август 2023'!$J$4:$J$1022,AC$1)</f>
        <v>0</v>
      </c>
      <c r="AD39" s="207">
        <f>SUMIFS('август 2023'!$G$4:$G$1022,'август 2023'!$D$4:$D$1022,$B39,'август 2023'!$J$4:$J$1022,AD$1)</f>
        <v>0</v>
      </c>
      <c r="AE39" s="207">
        <f>SUMIFS('август 2023'!$G$4:$G$1022,'август 2023'!$D$4:$D$1022,$B39,'август 2023'!$J$4:$J$1022,AE$1)</f>
        <v>0</v>
      </c>
      <c r="AF39" s="207">
        <f>SUMIFS('август 2023'!$G$4:$G$1022,'август 2023'!$D$4:$D$1022,$B39,'август 2023'!$J$4:$J$1022,AF$1)</f>
        <v>0</v>
      </c>
      <c r="AG39" s="207">
        <f>SUMIFS('август 2023'!$G$4:$G$1022,'август 2023'!$D$4:$D$1022,$B39,'август 2023'!$J$4:$J$1022,AG$1)</f>
        <v>0</v>
      </c>
      <c r="AH39" s="207">
        <f>SUMIFS('август 2023'!$G$4:$G$1022,'август 2023'!$D$4:$D$1022,$B39,'август 2023'!$J$4:$J$1022,AH$1)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SUMIFS('август 2023'!$G$4:$G$1022,'август 2023'!$D$4:$D$1022,$B40,'август 2023'!$J$4:$J$1022,D$1)</f>
        <v>0</v>
      </c>
      <c r="E40" s="207">
        <f>SUMIFS('август 2023'!$G$4:$G$1022,'август 2023'!$D$4:$D$1022,$B40,'август 2023'!$J$4:$J$1022,E$1)</f>
        <v>0</v>
      </c>
      <c r="F40" s="207">
        <f>SUMIFS('август 2023'!$G$4:$G$1022,'август 2023'!$D$4:$D$1022,$B40,'август 2023'!$J$4:$J$1022,F$1)</f>
        <v>0</v>
      </c>
      <c r="G40" s="207">
        <f>SUMIFS('август 2023'!$G$4:$G$1022,'август 2023'!$D$4:$D$1022,$B40,'август 2023'!$J$4:$J$1022,G$1)</f>
        <v>0</v>
      </c>
      <c r="H40" s="207">
        <f>SUMIFS('август 2023'!$G$4:$G$1022,'август 2023'!$D$4:$D$1022,$B40,'август 2023'!$J$4:$J$1022,H$1)</f>
        <v>0</v>
      </c>
      <c r="I40" s="207">
        <f>SUMIFS('август 2023'!$G$4:$G$1022,'август 2023'!$D$4:$D$1022,$B40,'август 2023'!$J$4:$J$1022,I$1)</f>
        <v>0</v>
      </c>
      <c r="J40" s="207">
        <f>SUMIFS('август 2023'!$G$4:$G$1022,'август 2023'!$D$4:$D$1022,$B40,'август 2023'!$J$4:$J$1022,J$1)</f>
        <v>0</v>
      </c>
      <c r="K40" s="207">
        <f>SUMIFS('август 2023'!$G$4:$G$1022,'август 2023'!$D$4:$D$1022,$B40,'август 2023'!$J$4:$J$1022,K$1)</f>
        <v>0</v>
      </c>
      <c r="L40" s="207">
        <f>SUMIFS('август 2023'!$G$4:$G$1022,'август 2023'!$D$4:$D$1022,$B40,'август 2023'!$J$4:$J$1022,L$1)</f>
        <v>0</v>
      </c>
      <c r="M40" s="207">
        <f>SUMIFS('август 2023'!$G$4:$G$1022,'август 2023'!$D$4:$D$1022,$B40,'август 2023'!$J$4:$J$1022,M$1)</f>
        <v>0</v>
      </c>
      <c r="N40" s="207">
        <f>SUMIFS('август 2023'!$G$4:$G$1022,'август 2023'!$D$4:$D$1022,$B40,'август 2023'!$J$4:$J$1022,N$1)</f>
        <v>0</v>
      </c>
      <c r="O40" s="207">
        <f>SUMIFS('август 2023'!$G$4:$G$1022,'август 2023'!$D$4:$D$1022,$B40,'август 2023'!$J$4:$J$1022,O$1)</f>
        <v>0</v>
      </c>
      <c r="P40" s="207">
        <f>SUMIFS('август 2023'!$G$4:$G$1022,'август 2023'!$D$4:$D$1022,$B40,'август 2023'!$J$4:$J$1022,P$1)</f>
        <v>0</v>
      </c>
      <c r="Q40" s="207">
        <f>SUMIFS('август 2023'!$G$4:$G$1022,'август 2023'!$D$4:$D$1022,$B40,'август 2023'!$J$4:$J$1022,Q$1)</f>
        <v>0</v>
      </c>
      <c r="R40" s="207">
        <f>SUMIFS('август 2023'!$G$4:$G$1022,'август 2023'!$D$4:$D$1022,$B40,'август 2023'!$J$4:$J$1022,R$1)</f>
        <v>16</v>
      </c>
      <c r="S40" s="207">
        <f>SUMIFS('август 2023'!$G$4:$G$1022,'август 2023'!$D$4:$D$1022,$B40,'август 2023'!$J$4:$J$1022,S$1)</f>
        <v>0</v>
      </c>
      <c r="T40" s="207">
        <f>SUMIFS('август 2023'!$G$4:$G$1022,'август 2023'!$D$4:$D$1022,$B40,'август 2023'!$J$4:$J$1022,T$1)</f>
        <v>0</v>
      </c>
      <c r="U40" s="207">
        <f>SUMIFS('август 2023'!$G$4:$G$1022,'август 2023'!$D$4:$D$1022,$B40,'август 2023'!$J$4:$J$1022,U$1)</f>
        <v>0</v>
      </c>
      <c r="V40" s="207">
        <f>SUMIFS('август 2023'!$G$4:$G$1022,'август 2023'!$D$4:$D$1022,$B40,'август 2023'!$J$4:$J$1022,V$1)</f>
        <v>0</v>
      </c>
      <c r="W40" s="207">
        <f>SUMIFS('август 2023'!$G$4:$G$1022,'август 2023'!$D$4:$D$1022,$B40,'август 2023'!$J$4:$J$1022,W$1)</f>
        <v>0</v>
      </c>
      <c r="X40" s="207">
        <f>SUMIFS('август 2023'!$G$4:$G$1022,'август 2023'!$D$4:$D$1022,$B40,'август 2023'!$J$4:$J$1022,X$1)</f>
        <v>0</v>
      </c>
      <c r="Y40" s="207">
        <f>SUMIFS('август 2023'!$G$4:$G$1022,'август 2023'!$D$4:$D$1022,$B40,'август 2023'!$J$4:$J$1022,Y$1)</f>
        <v>0</v>
      </c>
      <c r="Z40" s="207">
        <f>SUMIFS('август 2023'!$G$4:$G$1022,'август 2023'!$D$4:$D$1022,$B40,'август 2023'!$J$4:$J$1022,Z$1)</f>
        <v>0</v>
      </c>
      <c r="AA40" s="207">
        <f>SUMIFS('август 2023'!$G$4:$G$1022,'август 2023'!$D$4:$D$1022,$B40,'август 2023'!$J$4:$J$1022,AA$1)</f>
        <v>0</v>
      </c>
      <c r="AB40" s="207">
        <f>SUMIFS('август 2023'!$G$4:$G$1022,'август 2023'!$D$4:$D$1022,$B40,'август 2023'!$J$4:$J$1022,AB$1)</f>
        <v>0</v>
      </c>
      <c r="AC40" s="207">
        <f>SUMIFS('август 2023'!$G$4:$G$1022,'август 2023'!$D$4:$D$1022,$B40,'август 2023'!$J$4:$J$1022,AC$1)</f>
        <v>0</v>
      </c>
      <c r="AD40" s="207">
        <f>SUMIFS('август 2023'!$G$4:$G$1022,'август 2023'!$D$4:$D$1022,$B40,'август 2023'!$J$4:$J$1022,AD$1)</f>
        <v>0</v>
      </c>
      <c r="AE40" s="207">
        <f>SUMIFS('август 2023'!$G$4:$G$1022,'август 2023'!$D$4:$D$1022,$B40,'август 2023'!$J$4:$J$1022,AE$1)</f>
        <v>0</v>
      </c>
      <c r="AF40" s="207">
        <f>SUMIFS('август 2023'!$G$4:$G$1022,'август 2023'!$D$4:$D$1022,$B40,'август 2023'!$J$4:$J$1022,AF$1)</f>
        <v>0</v>
      </c>
      <c r="AG40" s="207">
        <f>SUMIFS('август 2023'!$G$4:$G$1022,'август 2023'!$D$4:$D$1022,$B40,'август 2023'!$J$4:$J$1022,AG$1)</f>
        <v>0</v>
      </c>
      <c r="AH40" s="207">
        <f>SUMIFS('август 2023'!$G$4:$G$1022,'август 2023'!$D$4:$D$1022,$B40,'август 2023'!$J$4:$J$1022,AH$1)</f>
        <v>0</v>
      </c>
      <c r="AI40" s="170">
        <f t="shared" si="1"/>
        <v>16</v>
      </c>
    </row>
    <row r="41" spans="2:35" ht="15" customHeight="1" x14ac:dyDescent="0.25">
      <c r="B41" s="216" t="s">
        <v>2125</v>
      </c>
      <c r="C41" s="213">
        <v>25</v>
      </c>
      <c r="D41" s="207">
        <f>SUMIFS('август 2023'!$G$4:$G$1022,'август 2023'!$D$4:$D$1022,$B41,'август 2023'!$J$4:$J$1022,D$1)</f>
        <v>0</v>
      </c>
      <c r="E41" s="207">
        <f>SUMIFS('август 2023'!$G$4:$G$1022,'август 2023'!$D$4:$D$1022,$B41,'август 2023'!$J$4:$J$1022,E$1)</f>
        <v>0</v>
      </c>
      <c r="F41" s="207">
        <f>SUMIFS('август 2023'!$G$4:$G$1022,'август 2023'!$D$4:$D$1022,$B41,'август 2023'!$J$4:$J$1022,F$1)</f>
        <v>0</v>
      </c>
      <c r="G41" s="207">
        <f>SUMIFS('август 2023'!$G$4:$G$1022,'август 2023'!$D$4:$D$1022,$B41,'август 2023'!$J$4:$J$1022,G$1)</f>
        <v>0</v>
      </c>
      <c r="H41" s="207">
        <f>SUMIFS('август 2023'!$G$4:$G$1022,'август 2023'!$D$4:$D$1022,$B41,'август 2023'!$J$4:$J$1022,H$1)</f>
        <v>0</v>
      </c>
      <c r="I41" s="207">
        <f>SUMIFS('август 2023'!$G$4:$G$1022,'август 2023'!$D$4:$D$1022,$B41,'август 2023'!$J$4:$J$1022,I$1)</f>
        <v>0</v>
      </c>
      <c r="J41" s="207">
        <f>SUMIFS('август 2023'!$G$4:$G$1022,'август 2023'!$D$4:$D$1022,$B41,'август 2023'!$J$4:$J$1022,J$1)</f>
        <v>0</v>
      </c>
      <c r="K41" s="207">
        <f>SUMIFS('август 2023'!$G$4:$G$1022,'август 2023'!$D$4:$D$1022,$B41,'август 2023'!$J$4:$J$1022,K$1)</f>
        <v>0</v>
      </c>
      <c r="L41" s="207">
        <f>SUMIFS('август 2023'!$G$4:$G$1022,'август 2023'!$D$4:$D$1022,$B41,'август 2023'!$J$4:$J$1022,L$1)</f>
        <v>0</v>
      </c>
      <c r="M41" s="207">
        <f>SUMIFS('август 2023'!$G$4:$G$1022,'август 2023'!$D$4:$D$1022,$B41,'август 2023'!$J$4:$J$1022,M$1)</f>
        <v>0</v>
      </c>
      <c r="N41" s="207">
        <f>SUMIFS('август 2023'!$G$4:$G$1022,'август 2023'!$D$4:$D$1022,$B41,'август 2023'!$J$4:$J$1022,N$1)</f>
        <v>0</v>
      </c>
      <c r="O41" s="207">
        <f>SUMIFS('август 2023'!$G$4:$G$1022,'август 2023'!$D$4:$D$1022,$B41,'август 2023'!$J$4:$J$1022,O$1)</f>
        <v>0</v>
      </c>
      <c r="P41" s="207">
        <f>SUMIFS('август 2023'!$G$4:$G$1022,'август 2023'!$D$4:$D$1022,$B41,'август 2023'!$J$4:$J$1022,P$1)</f>
        <v>0</v>
      </c>
      <c r="Q41" s="207">
        <f>SUMIFS('август 2023'!$G$4:$G$1022,'август 2023'!$D$4:$D$1022,$B41,'август 2023'!$J$4:$J$1022,Q$1)</f>
        <v>0</v>
      </c>
      <c r="R41" s="207">
        <f>SUMIFS('август 2023'!$G$4:$G$1022,'август 2023'!$D$4:$D$1022,$B41,'август 2023'!$J$4:$J$1022,R$1)</f>
        <v>0</v>
      </c>
      <c r="S41" s="207">
        <f>SUMIFS('август 2023'!$G$4:$G$1022,'август 2023'!$D$4:$D$1022,$B41,'август 2023'!$J$4:$J$1022,S$1)</f>
        <v>0</v>
      </c>
      <c r="T41" s="207">
        <f>SUMIFS('август 2023'!$G$4:$G$1022,'август 2023'!$D$4:$D$1022,$B41,'август 2023'!$J$4:$J$1022,T$1)</f>
        <v>0</v>
      </c>
      <c r="U41" s="207">
        <f>SUMIFS('август 2023'!$G$4:$G$1022,'август 2023'!$D$4:$D$1022,$B41,'август 2023'!$J$4:$J$1022,U$1)</f>
        <v>0</v>
      </c>
      <c r="V41" s="207">
        <f>SUMIFS('август 2023'!$G$4:$G$1022,'август 2023'!$D$4:$D$1022,$B41,'август 2023'!$J$4:$J$1022,V$1)</f>
        <v>0</v>
      </c>
      <c r="W41" s="207">
        <f>SUMIFS('август 2023'!$G$4:$G$1022,'август 2023'!$D$4:$D$1022,$B41,'август 2023'!$J$4:$J$1022,W$1)</f>
        <v>0</v>
      </c>
      <c r="X41" s="207">
        <f>SUMIFS('август 2023'!$G$4:$G$1022,'август 2023'!$D$4:$D$1022,$B41,'август 2023'!$J$4:$J$1022,X$1)</f>
        <v>0</v>
      </c>
      <c r="Y41" s="207">
        <f>SUMIFS('август 2023'!$G$4:$G$1022,'август 2023'!$D$4:$D$1022,$B41,'август 2023'!$J$4:$J$1022,Y$1)</f>
        <v>0</v>
      </c>
      <c r="Z41" s="207">
        <f>SUMIFS('август 2023'!$G$4:$G$1022,'август 2023'!$D$4:$D$1022,$B41,'август 2023'!$J$4:$J$1022,Z$1)</f>
        <v>0</v>
      </c>
      <c r="AA41" s="207">
        <f>SUMIFS('август 2023'!$G$4:$G$1022,'август 2023'!$D$4:$D$1022,$B41,'август 2023'!$J$4:$J$1022,AA$1)</f>
        <v>0</v>
      </c>
      <c r="AB41" s="207">
        <f>SUMIFS('август 2023'!$G$4:$G$1022,'август 2023'!$D$4:$D$1022,$B41,'август 2023'!$J$4:$J$1022,AB$1)</f>
        <v>0</v>
      </c>
      <c r="AC41" s="207">
        <f>SUMIFS('август 2023'!$G$4:$G$1022,'август 2023'!$D$4:$D$1022,$B41,'август 2023'!$J$4:$J$1022,AC$1)</f>
        <v>0</v>
      </c>
      <c r="AD41" s="207">
        <f>SUMIFS('август 2023'!$G$4:$G$1022,'август 2023'!$D$4:$D$1022,$B41,'август 2023'!$J$4:$J$1022,AD$1)</f>
        <v>0</v>
      </c>
      <c r="AE41" s="207">
        <f>SUMIFS('август 2023'!$G$4:$G$1022,'август 2023'!$D$4:$D$1022,$B41,'август 2023'!$J$4:$J$1022,AE$1)</f>
        <v>0</v>
      </c>
      <c r="AF41" s="207">
        <f>SUMIFS('август 2023'!$G$4:$G$1022,'август 2023'!$D$4:$D$1022,$B41,'август 2023'!$J$4:$J$1022,AF$1)</f>
        <v>0</v>
      </c>
      <c r="AG41" s="207">
        <f>SUMIFS('август 2023'!$G$4:$G$1022,'август 2023'!$D$4:$D$1022,$B41,'август 2023'!$J$4:$J$1022,AG$1)</f>
        <v>0</v>
      </c>
      <c r="AH41" s="207">
        <f>SUMIFS('август 2023'!$G$4:$G$1022,'август 2023'!$D$4:$D$1022,$B41,'август 2023'!$J$4:$J$1022,AH$1)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SUMIFS('август 2023'!$G$4:$G$1022,'август 2023'!$D$4:$D$1022,$B42,'август 2023'!$J$4:$J$1022,D$1)</f>
        <v>0</v>
      </c>
      <c r="E42" s="207">
        <f>SUMIFS('август 2023'!$G$4:$G$1022,'август 2023'!$D$4:$D$1022,$B42,'август 2023'!$J$4:$J$1022,E$1)</f>
        <v>0</v>
      </c>
      <c r="F42" s="207">
        <f>SUMIFS('август 2023'!$G$4:$G$1022,'август 2023'!$D$4:$D$1022,$B42,'август 2023'!$J$4:$J$1022,F$1)</f>
        <v>0</v>
      </c>
      <c r="G42" s="207">
        <f>SUMIFS('август 2023'!$G$4:$G$1022,'август 2023'!$D$4:$D$1022,$B42,'август 2023'!$J$4:$J$1022,G$1)</f>
        <v>0</v>
      </c>
      <c r="H42" s="207">
        <f>SUMIFS('август 2023'!$G$4:$G$1022,'август 2023'!$D$4:$D$1022,$B42,'август 2023'!$J$4:$J$1022,H$1)</f>
        <v>0</v>
      </c>
      <c r="I42" s="207">
        <f>SUMIFS('август 2023'!$G$4:$G$1022,'август 2023'!$D$4:$D$1022,$B42,'август 2023'!$J$4:$J$1022,I$1)</f>
        <v>0</v>
      </c>
      <c r="J42" s="207">
        <f>SUMIFS('август 2023'!$G$4:$G$1022,'август 2023'!$D$4:$D$1022,$B42,'август 2023'!$J$4:$J$1022,J$1)</f>
        <v>0</v>
      </c>
      <c r="K42" s="207">
        <f>SUMIFS('август 2023'!$G$4:$G$1022,'август 2023'!$D$4:$D$1022,$B42,'август 2023'!$J$4:$J$1022,K$1)</f>
        <v>0</v>
      </c>
      <c r="L42" s="207">
        <f>SUMIFS('август 2023'!$G$4:$G$1022,'август 2023'!$D$4:$D$1022,$B42,'август 2023'!$J$4:$J$1022,L$1)</f>
        <v>0</v>
      </c>
      <c r="M42" s="207">
        <f>SUMIFS('август 2023'!$G$4:$G$1022,'август 2023'!$D$4:$D$1022,$B42,'август 2023'!$J$4:$J$1022,M$1)</f>
        <v>0</v>
      </c>
      <c r="N42" s="207">
        <f>SUMIFS('август 2023'!$G$4:$G$1022,'август 2023'!$D$4:$D$1022,$B42,'август 2023'!$J$4:$J$1022,N$1)</f>
        <v>0</v>
      </c>
      <c r="O42" s="207">
        <f>SUMIFS('август 2023'!$G$4:$G$1022,'август 2023'!$D$4:$D$1022,$B42,'август 2023'!$J$4:$J$1022,O$1)</f>
        <v>0</v>
      </c>
      <c r="P42" s="207">
        <f>SUMIFS('август 2023'!$G$4:$G$1022,'август 2023'!$D$4:$D$1022,$B42,'август 2023'!$J$4:$J$1022,P$1)</f>
        <v>0</v>
      </c>
      <c r="Q42" s="207">
        <f>SUMIFS('август 2023'!$G$4:$G$1022,'август 2023'!$D$4:$D$1022,$B42,'август 2023'!$J$4:$J$1022,Q$1)</f>
        <v>0</v>
      </c>
      <c r="R42" s="207">
        <f>SUMIFS('август 2023'!$G$4:$G$1022,'август 2023'!$D$4:$D$1022,$B42,'август 2023'!$J$4:$J$1022,R$1)</f>
        <v>0</v>
      </c>
      <c r="S42" s="207">
        <f>SUMIFS('август 2023'!$G$4:$G$1022,'август 2023'!$D$4:$D$1022,$B42,'август 2023'!$J$4:$J$1022,S$1)</f>
        <v>0</v>
      </c>
      <c r="T42" s="207">
        <f>SUMIFS('август 2023'!$G$4:$G$1022,'август 2023'!$D$4:$D$1022,$B42,'август 2023'!$J$4:$J$1022,T$1)</f>
        <v>0</v>
      </c>
      <c r="U42" s="207">
        <f>SUMIFS('август 2023'!$G$4:$G$1022,'август 2023'!$D$4:$D$1022,$B42,'август 2023'!$J$4:$J$1022,U$1)</f>
        <v>0</v>
      </c>
      <c r="V42" s="207">
        <f>SUMIFS('август 2023'!$G$4:$G$1022,'август 2023'!$D$4:$D$1022,$B42,'август 2023'!$J$4:$J$1022,V$1)</f>
        <v>0</v>
      </c>
      <c r="W42" s="207">
        <f>SUMIFS('август 2023'!$G$4:$G$1022,'август 2023'!$D$4:$D$1022,$B42,'август 2023'!$J$4:$J$1022,W$1)</f>
        <v>0</v>
      </c>
      <c r="X42" s="207">
        <f>SUMIFS('август 2023'!$G$4:$G$1022,'август 2023'!$D$4:$D$1022,$B42,'август 2023'!$J$4:$J$1022,X$1)</f>
        <v>0</v>
      </c>
      <c r="Y42" s="207">
        <f>SUMIFS('август 2023'!$G$4:$G$1022,'август 2023'!$D$4:$D$1022,$B42,'август 2023'!$J$4:$J$1022,Y$1)</f>
        <v>0</v>
      </c>
      <c r="Z42" s="207">
        <f>SUMIFS('август 2023'!$G$4:$G$1022,'август 2023'!$D$4:$D$1022,$B42,'август 2023'!$J$4:$J$1022,Z$1)</f>
        <v>0</v>
      </c>
      <c r="AA42" s="207">
        <f>SUMIFS('август 2023'!$G$4:$G$1022,'август 2023'!$D$4:$D$1022,$B42,'август 2023'!$J$4:$J$1022,AA$1)</f>
        <v>0</v>
      </c>
      <c r="AB42" s="207">
        <f>SUMIFS('август 2023'!$G$4:$G$1022,'август 2023'!$D$4:$D$1022,$B42,'август 2023'!$J$4:$J$1022,AB$1)</f>
        <v>0</v>
      </c>
      <c r="AC42" s="207">
        <f>SUMIFS('август 2023'!$G$4:$G$1022,'август 2023'!$D$4:$D$1022,$B42,'август 2023'!$J$4:$J$1022,AC$1)</f>
        <v>0</v>
      </c>
      <c r="AD42" s="207">
        <f>SUMIFS('август 2023'!$G$4:$G$1022,'август 2023'!$D$4:$D$1022,$B42,'август 2023'!$J$4:$J$1022,AD$1)</f>
        <v>0</v>
      </c>
      <c r="AE42" s="207">
        <f>SUMIFS('август 2023'!$G$4:$G$1022,'август 2023'!$D$4:$D$1022,$B42,'август 2023'!$J$4:$J$1022,AE$1)</f>
        <v>0</v>
      </c>
      <c r="AF42" s="207">
        <f>SUMIFS('август 2023'!$G$4:$G$1022,'август 2023'!$D$4:$D$1022,$B42,'август 2023'!$J$4:$J$1022,AF$1)</f>
        <v>0</v>
      </c>
      <c r="AG42" s="207">
        <f>SUMIFS('август 2023'!$G$4:$G$1022,'август 2023'!$D$4:$D$1022,$B42,'август 2023'!$J$4:$J$1022,AG$1)</f>
        <v>0</v>
      </c>
      <c r="AH42" s="207">
        <f>SUMIFS('август 2023'!$G$4:$G$1022,'август 2023'!$D$4:$D$1022,$B42,'август 2023'!$J$4:$J$1022,AH$1)</f>
        <v>0</v>
      </c>
      <c r="AI42" s="170">
        <f t="shared" si="1"/>
        <v>0</v>
      </c>
    </row>
    <row r="43" spans="2:35" ht="15" customHeight="1" x14ac:dyDescent="0.25">
      <c r="B43" s="216" t="s">
        <v>684</v>
      </c>
      <c r="C43" s="213">
        <v>20</v>
      </c>
      <c r="D43" s="207">
        <f>SUMIFS('август 2023'!$G$4:$G$1022,'август 2023'!$D$4:$D$1022,$B43,'август 2023'!$J$4:$J$1022,D$1)</f>
        <v>0</v>
      </c>
      <c r="E43" s="207">
        <f>SUMIFS('август 2023'!$G$4:$G$1022,'август 2023'!$D$4:$D$1022,$B43,'август 2023'!$J$4:$J$1022,E$1)</f>
        <v>0</v>
      </c>
      <c r="F43" s="207">
        <f>SUMIFS('август 2023'!$G$4:$G$1022,'август 2023'!$D$4:$D$1022,$B43,'август 2023'!$J$4:$J$1022,F$1)</f>
        <v>0</v>
      </c>
      <c r="G43" s="207">
        <f>SUMIFS('август 2023'!$G$4:$G$1022,'август 2023'!$D$4:$D$1022,$B43,'август 2023'!$J$4:$J$1022,G$1)</f>
        <v>0</v>
      </c>
      <c r="H43" s="207">
        <f>SUMIFS('август 2023'!$G$4:$G$1022,'август 2023'!$D$4:$D$1022,$B43,'август 2023'!$J$4:$J$1022,H$1)</f>
        <v>0</v>
      </c>
      <c r="I43" s="207">
        <f>SUMIFS('август 2023'!$G$4:$G$1022,'август 2023'!$D$4:$D$1022,$B43,'август 2023'!$J$4:$J$1022,I$1)</f>
        <v>0</v>
      </c>
      <c r="J43" s="207">
        <f>SUMIFS('август 2023'!$G$4:$G$1022,'август 2023'!$D$4:$D$1022,$B43,'август 2023'!$J$4:$J$1022,J$1)</f>
        <v>0</v>
      </c>
      <c r="K43" s="207">
        <f>SUMIFS('август 2023'!$G$4:$G$1022,'август 2023'!$D$4:$D$1022,$B43,'август 2023'!$J$4:$J$1022,K$1)</f>
        <v>0</v>
      </c>
      <c r="L43" s="207">
        <f>SUMIFS('август 2023'!$G$4:$G$1022,'август 2023'!$D$4:$D$1022,$B43,'август 2023'!$J$4:$J$1022,L$1)</f>
        <v>0</v>
      </c>
      <c r="M43" s="207">
        <f>SUMIFS('август 2023'!$G$4:$G$1022,'август 2023'!$D$4:$D$1022,$B43,'август 2023'!$J$4:$J$1022,M$1)</f>
        <v>0</v>
      </c>
      <c r="N43" s="207">
        <f>SUMIFS('август 2023'!$G$4:$G$1022,'август 2023'!$D$4:$D$1022,$B43,'август 2023'!$J$4:$J$1022,N$1)</f>
        <v>0</v>
      </c>
      <c r="O43" s="207">
        <f>SUMIFS('август 2023'!$G$4:$G$1022,'август 2023'!$D$4:$D$1022,$B43,'август 2023'!$J$4:$J$1022,O$1)</f>
        <v>0</v>
      </c>
      <c r="P43" s="207">
        <f>SUMIFS('август 2023'!$G$4:$G$1022,'август 2023'!$D$4:$D$1022,$B43,'август 2023'!$J$4:$J$1022,P$1)</f>
        <v>0</v>
      </c>
      <c r="Q43" s="207">
        <f>SUMIFS('август 2023'!$G$4:$G$1022,'август 2023'!$D$4:$D$1022,$B43,'август 2023'!$J$4:$J$1022,Q$1)</f>
        <v>0</v>
      </c>
      <c r="R43" s="207">
        <f>SUMIFS('август 2023'!$G$4:$G$1022,'август 2023'!$D$4:$D$1022,$B43,'август 2023'!$J$4:$J$1022,R$1)</f>
        <v>0</v>
      </c>
      <c r="S43" s="207">
        <f>SUMIFS('август 2023'!$G$4:$G$1022,'август 2023'!$D$4:$D$1022,$B43,'август 2023'!$J$4:$J$1022,S$1)</f>
        <v>0</v>
      </c>
      <c r="T43" s="207">
        <f>SUMIFS('август 2023'!$G$4:$G$1022,'август 2023'!$D$4:$D$1022,$B43,'август 2023'!$J$4:$J$1022,T$1)</f>
        <v>0</v>
      </c>
      <c r="U43" s="207">
        <f>SUMIFS('август 2023'!$G$4:$G$1022,'август 2023'!$D$4:$D$1022,$B43,'август 2023'!$J$4:$J$1022,U$1)</f>
        <v>0</v>
      </c>
      <c r="V43" s="207">
        <f>SUMIFS('август 2023'!$G$4:$G$1022,'август 2023'!$D$4:$D$1022,$B43,'август 2023'!$J$4:$J$1022,V$1)</f>
        <v>0</v>
      </c>
      <c r="W43" s="207">
        <f>SUMIFS('август 2023'!$G$4:$G$1022,'август 2023'!$D$4:$D$1022,$B43,'август 2023'!$J$4:$J$1022,W$1)</f>
        <v>0</v>
      </c>
      <c r="X43" s="207">
        <f>SUMIFS('август 2023'!$G$4:$G$1022,'август 2023'!$D$4:$D$1022,$B43,'август 2023'!$J$4:$J$1022,X$1)</f>
        <v>0</v>
      </c>
      <c r="Y43" s="207">
        <f>SUMIFS('август 2023'!$G$4:$G$1022,'август 2023'!$D$4:$D$1022,$B43,'август 2023'!$J$4:$J$1022,Y$1)</f>
        <v>0</v>
      </c>
      <c r="Z43" s="207">
        <f>SUMIFS('август 2023'!$G$4:$G$1022,'август 2023'!$D$4:$D$1022,$B43,'август 2023'!$J$4:$J$1022,Z$1)</f>
        <v>0</v>
      </c>
      <c r="AA43" s="207">
        <f>SUMIFS('август 2023'!$G$4:$G$1022,'август 2023'!$D$4:$D$1022,$B43,'август 2023'!$J$4:$J$1022,AA$1)</f>
        <v>0</v>
      </c>
      <c r="AB43" s="207">
        <f>SUMIFS('август 2023'!$G$4:$G$1022,'август 2023'!$D$4:$D$1022,$B43,'август 2023'!$J$4:$J$1022,AB$1)</f>
        <v>0</v>
      </c>
      <c r="AC43" s="207">
        <f>SUMIFS('август 2023'!$G$4:$G$1022,'август 2023'!$D$4:$D$1022,$B43,'август 2023'!$J$4:$J$1022,AC$1)</f>
        <v>0</v>
      </c>
      <c r="AD43" s="207">
        <f>SUMIFS('август 2023'!$G$4:$G$1022,'август 2023'!$D$4:$D$1022,$B43,'август 2023'!$J$4:$J$1022,AD$1)</f>
        <v>0</v>
      </c>
      <c r="AE43" s="207">
        <f>SUMIFS('август 2023'!$G$4:$G$1022,'август 2023'!$D$4:$D$1022,$B43,'август 2023'!$J$4:$J$1022,AE$1)</f>
        <v>0</v>
      </c>
      <c r="AF43" s="207">
        <f>SUMIFS('август 2023'!$G$4:$G$1022,'август 2023'!$D$4:$D$1022,$B43,'август 2023'!$J$4:$J$1022,AF$1)</f>
        <v>0</v>
      </c>
      <c r="AG43" s="207">
        <f>SUMIFS('август 2023'!$G$4:$G$1022,'август 2023'!$D$4:$D$1022,$B43,'август 2023'!$J$4:$J$1022,AG$1)</f>
        <v>0</v>
      </c>
      <c r="AH43" s="207">
        <f>SUMIFS('август 2023'!$G$4:$G$1022,'август 2023'!$D$4:$D$1022,$B43,'август 2023'!$J$4:$J$1022,AH$1)</f>
        <v>0</v>
      </c>
      <c r="AI43" s="170">
        <f t="shared" si="1"/>
        <v>0</v>
      </c>
    </row>
    <row r="44" spans="2:35" ht="15" customHeight="1" x14ac:dyDescent="0.25">
      <c r="B44" s="212" t="s">
        <v>1062</v>
      </c>
      <c r="C44" s="215">
        <v>20</v>
      </c>
      <c r="D44" s="207">
        <f>SUMIFS('август 2023'!$G$4:$G$1022,'август 2023'!$D$4:$D$1022,$B44,'август 2023'!$J$4:$J$1022,D$1)</f>
        <v>0</v>
      </c>
      <c r="E44" s="207">
        <f>SUMIFS('август 2023'!$G$4:$G$1022,'август 2023'!$D$4:$D$1022,$B44,'август 2023'!$J$4:$J$1022,E$1)</f>
        <v>0</v>
      </c>
      <c r="F44" s="207">
        <f>SUMIFS('август 2023'!$G$4:$G$1022,'август 2023'!$D$4:$D$1022,$B44,'август 2023'!$J$4:$J$1022,F$1)</f>
        <v>0</v>
      </c>
      <c r="G44" s="207">
        <f>SUMIFS('август 2023'!$G$4:$G$1022,'август 2023'!$D$4:$D$1022,$B44,'август 2023'!$J$4:$J$1022,G$1)</f>
        <v>0</v>
      </c>
      <c r="H44" s="207">
        <f>SUMIFS('август 2023'!$G$4:$G$1022,'август 2023'!$D$4:$D$1022,$B44,'август 2023'!$J$4:$J$1022,H$1)</f>
        <v>0</v>
      </c>
      <c r="I44" s="207">
        <f>SUMIFS('август 2023'!$G$4:$G$1022,'август 2023'!$D$4:$D$1022,$B44,'август 2023'!$J$4:$J$1022,I$1)</f>
        <v>0</v>
      </c>
      <c r="J44" s="207">
        <f>SUMIFS('август 2023'!$G$4:$G$1022,'август 2023'!$D$4:$D$1022,$B44,'август 2023'!$J$4:$J$1022,J$1)</f>
        <v>0</v>
      </c>
      <c r="K44" s="207">
        <f>SUMIFS('август 2023'!$G$4:$G$1022,'август 2023'!$D$4:$D$1022,$B44,'август 2023'!$J$4:$J$1022,K$1)</f>
        <v>0</v>
      </c>
      <c r="L44" s="207">
        <f>SUMIFS('август 2023'!$G$4:$G$1022,'август 2023'!$D$4:$D$1022,$B44,'август 2023'!$J$4:$J$1022,L$1)</f>
        <v>0</v>
      </c>
      <c r="M44" s="207">
        <f>SUMIFS('август 2023'!$G$4:$G$1022,'август 2023'!$D$4:$D$1022,$B44,'август 2023'!$J$4:$J$1022,M$1)</f>
        <v>0</v>
      </c>
      <c r="N44" s="207">
        <f>SUMIFS('август 2023'!$G$4:$G$1022,'август 2023'!$D$4:$D$1022,$B44,'август 2023'!$J$4:$J$1022,N$1)</f>
        <v>0</v>
      </c>
      <c r="O44" s="207">
        <f>SUMIFS('август 2023'!$G$4:$G$1022,'август 2023'!$D$4:$D$1022,$B44,'август 2023'!$J$4:$J$1022,O$1)</f>
        <v>0</v>
      </c>
      <c r="P44" s="207">
        <f>SUMIFS('август 2023'!$G$4:$G$1022,'август 2023'!$D$4:$D$1022,$B44,'август 2023'!$J$4:$J$1022,P$1)</f>
        <v>0</v>
      </c>
      <c r="Q44" s="207">
        <f>SUMIFS('август 2023'!$G$4:$G$1022,'август 2023'!$D$4:$D$1022,$B44,'август 2023'!$J$4:$J$1022,Q$1)</f>
        <v>0</v>
      </c>
      <c r="R44" s="207">
        <f>SUMIFS('август 2023'!$G$4:$G$1022,'август 2023'!$D$4:$D$1022,$B44,'август 2023'!$J$4:$J$1022,R$1)</f>
        <v>0</v>
      </c>
      <c r="S44" s="207">
        <f>SUMIFS('август 2023'!$G$4:$G$1022,'август 2023'!$D$4:$D$1022,$B44,'август 2023'!$J$4:$J$1022,S$1)</f>
        <v>0</v>
      </c>
      <c r="T44" s="207">
        <f>SUMIFS('август 2023'!$G$4:$G$1022,'август 2023'!$D$4:$D$1022,$B44,'август 2023'!$J$4:$J$1022,T$1)</f>
        <v>0</v>
      </c>
      <c r="U44" s="207">
        <f>SUMIFS('август 2023'!$G$4:$G$1022,'август 2023'!$D$4:$D$1022,$B44,'август 2023'!$J$4:$J$1022,U$1)</f>
        <v>0</v>
      </c>
      <c r="V44" s="207">
        <f>SUMIFS('август 2023'!$G$4:$G$1022,'август 2023'!$D$4:$D$1022,$B44,'август 2023'!$J$4:$J$1022,V$1)</f>
        <v>0</v>
      </c>
      <c r="W44" s="207">
        <f>SUMIFS('август 2023'!$G$4:$G$1022,'август 2023'!$D$4:$D$1022,$B44,'август 2023'!$J$4:$J$1022,W$1)</f>
        <v>0</v>
      </c>
      <c r="X44" s="207">
        <f>SUMIFS('август 2023'!$G$4:$G$1022,'август 2023'!$D$4:$D$1022,$B44,'август 2023'!$J$4:$J$1022,X$1)</f>
        <v>0</v>
      </c>
      <c r="Y44" s="207">
        <f>SUMIFS('август 2023'!$G$4:$G$1022,'август 2023'!$D$4:$D$1022,$B44,'август 2023'!$J$4:$J$1022,Y$1)</f>
        <v>0</v>
      </c>
      <c r="Z44" s="207">
        <f>SUMIFS('август 2023'!$G$4:$G$1022,'август 2023'!$D$4:$D$1022,$B44,'август 2023'!$J$4:$J$1022,Z$1)</f>
        <v>0</v>
      </c>
      <c r="AA44" s="207">
        <f>SUMIFS('август 2023'!$G$4:$G$1022,'август 2023'!$D$4:$D$1022,$B44,'август 2023'!$J$4:$J$1022,AA$1)</f>
        <v>0</v>
      </c>
      <c r="AB44" s="207">
        <f>SUMIFS('август 2023'!$G$4:$G$1022,'август 2023'!$D$4:$D$1022,$B44,'август 2023'!$J$4:$J$1022,AB$1)</f>
        <v>0</v>
      </c>
      <c r="AC44" s="207">
        <f>SUMIFS('август 2023'!$G$4:$G$1022,'август 2023'!$D$4:$D$1022,$B44,'август 2023'!$J$4:$J$1022,AC$1)</f>
        <v>0</v>
      </c>
      <c r="AD44" s="207">
        <f>SUMIFS('август 2023'!$G$4:$G$1022,'август 2023'!$D$4:$D$1022,$B44,'август 2023'!$J$4:$J$1022,AD$1)</f>
        <v>0</v>
      </c>
      <c r="AE44" s="207">
        <f>SUMIFS('август 2023'!$G$4:$G$1022,'август 2023'!$D$4:$D$1022,$B44,'август 2023'!$J$4:$J$1022,AE$1)</f>
        <v>0</v>
      </c>
      <c r="AF44" s="207">
        <f>SUMIFS('август 2023'!$G$4:$G$1022,'август 2023'!$D$4:$D$1022,$B44,'август 2023'!$J$4:$J$1022,AF$1)</f>
        <v>0</v>
      </c>
      <c r="AG44" s="207">
        <f>SUMIFS('август 2023'!$G$4:$G$1022,'август 2023'!$D$4:$D$1022,$B44,'август 2023'!$J$4:$J$1022,AG$1)</f>
        <v>0</v>
      </c>
      <c r="AH44" s="207">
        <f>SUMIFS('август 2023'!$G$4:$G$1022,'август 2023'!$D$4:$D$1022,$B44,'август 2023'!$J$4:$J$1022,AH$1)</f>
        <v>0</v>
      </c>
      <c r="AI44" s="170">
        <f t="shared" si="1"/>
        <v>0</v>
      </c>
    </row>
    <row r="45" spans="2:35" ht="15" customHeight="1" x14ac:dyDescent="0.25">
      <c r="B45" s="212" t="s">
        <v>1084</v>
      </c>
      <c r="C45" s="211">
        <v>20</v>
      </c>
      <c r="D45" s="207">
        <f>SUMIFS('август 2023'!$G$4:$G$1022,'август 2023'!$D$4:$D$1022,$B45,'август 2023'!$J$4:$J$1022,D$1)</f>
        <v>0</v>
      </c>
      <c r="E45" s="207">
        <f>SUMIFS('август 2023'!$G$4:$G$1022,'август 2023'!$D$4:$D$1022,$B45,'август 2023'!$J$4:$J$1022,E$1)</f>
        <v>0</v>
      </c>
      <c r="F45" s="207">
        <f>SUMIFS('август 2023'!$G$4:$G$1022,'август 2023'!$D$4:$D$1022,$B45,'август 2023'!$J$4:$J$1022,F$1)</f>
        <v>0</v>
      </c>
      <c r="G45" s="207">
        <f>SUMIFS('август 2023'!$G$4:$G$1022,'август 2023'!$D$4:$D$1022,$B45,'август 2023'!$J$4:$J$1022,G$1)</f>
        <v>0</v>
      </c>
      <c r="H45" s="207">
        <f>SUMIFS('август 2023'!$G$4:$G$1022,'август 2023'!$D$4:$D$1022,$B45,'август 2023'!$J$4:$J$1022,H$1)</f>
        <v>0</v>
      </c>
      <c r="I45" s="207">
        <f>SUMIFS('август 2023'!$G$4:$G$1022,'август 2023'!$D$4:$D$1022,$B45,'август 2023'!$J$4:$J$1022,I$1)</f>
        <v>0</v>
      </c>
      <c r="J45" s="207">
        <f>SUMIFS('август 2023'!$G$4:$G$1022,'август 2023'!$D$4:$D$1022,$B45,'август 2023'!$J$4:$J$1022,J$1)</f>
        <v>0</v>
      </c>
      <c r="K45" s="207">
        <f>SUMIFS('август 2023'!$G$4:$G$1022,'август 2023'!$D$4:$D$1022,$B45,'август 2023'!$J$4:$J$1022,K$1)</f>
        <v>0</v>
      </c>
      <c r="L45" s="207">
        <f>SUMIFS('август 2023'!$G$4:$G$1022,'август 2023'!$D$4:$D$1022,$B45,'август 2023'!$J$4:$J$1022,L$1)</f>
        <v>0</v>
      </c>
      <c r="M45" s="207">
        <f>SUMIFS('август 2023'!$G$4:$G$1022,'август 2023'!$D$4:$D$1022,$B45,'август 2023'!$J$4:$J$1022,M$1)</f>
        <v>0</v>
      </c>
      <c r="N45" s="207">
        <f>SUMIFS('август 2023'!$G$4:$G$1022,'август 2023'!$D$4:$D$1022,$B45,'август 2023'!$J$4:$J$1022,N$1)</f>
        <v>0</v>
      </c>
      <c r="O45" s="207">
        <f>SUMIFS('август 2023'!$G$4:$G$1022,'август 2023'!$D$4:$D$1022,$B45,'август 2023'!$J$4:$J$1022,O$1)</f>
        <v>0</v>
      </c>
      <c r="P45" s="207">
        <f>SUMIFS('август 2023'!$G$4:$G$1022,'август 2023'!$D$4:$D$1022,$B45,'август 2023'!$J$4:$J$1022,P$1)</f>
        <v>0</v>
      </c>
      <c r="Q45" s="207">
        <f>SUMIFS('август 2023'!$G$4:$G$1022,'август 2023'!$D$4:$D$1022,$B45,'август 2023'!$J$4:$J$1022,Q$1)</f>
        <v>0</v>
      </c>
      <c r="R45" s="207">
        <f>SUMIFS('август 2023'!$G$4:$G$1022,'август 2023'!$D$4:$D$1022,$B45,'август 2023'!$J$4:$J$1022,R$1)</f>
        <v>0</v>
      </c>
      <c r="S45" s="207">
        <f>SUMIFS('август 2023'!$G$4:$G$1022,'август 2023'!$D$4:$D$1022,$B45,'август 2023'!$J$4:$J$1022,S$1)</f>
        <v>0</v>
      </c>
      <c r="T45" s="207">
        <f>SUMIFS('август 2023'!$G$4:$G$1022,'август 2023'!$D$4:$D$1022,$B45,'август 2023'!$J$4:$J$1022,T$1)</f>
        <v>0</v>
      </c>
      <c r="U45" s="207">
        <f>SUMIFS('август 2023'!$G$4:$G$1022,'август 2023'!$D$4:$D$1022,$B45,'август 2023'!$J$4:$J$1022,U$1)</f>
        <v>0</v>
      </c>
      <c r="V45" s="207">
        <f>SUMIFS('август 2023'!$G$4:$G$1022,'август 2023'!$D$4:$D$1022,$B45,'август 2023'!$J$4:$J$1022,V$1)</f>
        <v>0</v>
      </c>
      <c r="W45" s="207">
        <f>SUMIFS('август 2023'!$G$4:$G$1022,'август 2023'!$D$4:$D$1022,$B45,'август 2023'!$J$4:$J$1022,W$1)</f>
        <v>0</v>
      </c>
      <c r="X45" s="207">
        <f>SUMIFS('август 2023'!$G$4:$G$1022,'август 2023'!$D$4:$D$1022,$B45,'август 2023'!$J$4:$J$1022,X$1)</f>
        <v>0</v>
      </c>
      <c r="Y45" s="207">
        <f>SUMIFS('август 2023'!$G$4:$G$1022,'август 2023'!$D$4:$D$1022,$B45,'август 2023'!$J$4:$J$1022,Y$1)</f>
        <v>0</v>
      </c>
      <c r="Z45" s="207">
        <f>SUMIFS('август 2023'!$G$4:$G$1022,'август 2023'!$D$4:$D$1022,$B45,'август 2023'!$J$4:$J$1022,Z$1)</f>
        <v>0</v>
      </c>
      <c r="AA45" s="207">
        <f>SUMIFS('август 2023'!$G$4:$G$1022,'август 2023'!$D$4:$D$1022,$B45,'август 2023'!$J$4:$J$1022,AA$1)</f>
        <v>0</v>
      </c>
      <c r="AB45" s="207">
        <f>SUMIFS('август 2023'!$G$4:$G$1022,'август 2023'!$D$4:$D$1022,$B45,'август 2023'!$J$4:$J$1022,AB$1)</f>
        <v>0</v>
      </c>
      <c r="AC45" s="207">
        <f>SUMIFS('август 2023'!$G$4:$G$1022,'август 2023'!$D$4:$D$1022,$B45,'август 2023'!$J$4:$J$1022,AC$1)</f>
        <v>0</v>
      </c>
      <c r="AD45" s="207">
        <f>SUMIFS('август 2023'!$G$4:$G$1022,'август 2023'!$D$4:$D$1022,$B45,'август 2023'!$J$4:$J$1022,AD$1)</f>
        <v>0</v>
      </c>
      <c r="AE45" s="207">
        <f>SUMIFS('август 2023'!$G$4:$G$1022,'август 2023'!$D$4:$D$1022,$B45,'август 2023'!$J$4:$J$1022,AE$1)</f>
        <v>0</v>
      </c>
      <c r="AF45" s="207">
        <f>SUMIFS('август 2023'!$G$4:$G$1022,'август 2023'!$D$4:$D$1022,$B45,'август 2023'!$J$4:$J$1022,AF$1)</f>
        <v>0</v>
      </c>
      <c r="AG45" s="207">
        <f>SUMIFS('август 2023'!$G$4:$G$1022,'август 2023'!$D$4:$D$1022,$B45,'август 2023'!$J$4:$J$1022,AG$1)</f>
        <v>0</v>
      </c>
      <c r="AH45" s="207">
        <f>SUMIFS('август 2023'!$G$4:$G$1022,'август 2023'!$D$4:$D$1022,$B45,'август 2023'!$J$4:$J$1022,AH$1)</f>
        <v>0</v>
      </c>
      <c r="AI45" s="170">
        <f t="shared" si="1"/>
        <v>0</v>
      </c>
    </row>
    <row r="46" spans="2:35" ht="15" customHeight="1" x14ac:dyDescent="0.25">
      <c r="B46" s="212" t="s">
        <v>440</v>
      </c>
      <c r="C46" s="213">
        <v>20</v>
      </c>
      <c r="D46" s="207">
        <f>SUMIFS('август 2023'!$G$4:$G$1022,'август 2023'!$D$4:$D$1022,$B46,'август 2023'!$J$4:$J$1022,D$1)</f>
        <v>0</v>
      </c>
      <c r="E46" s="207">
        <f>SUMIFS('август 2023'!$G$4:$G$1022,'август 2023'!$D$4:$D$1022,$B46,'август 2023'!$J$4:$J$1022,E$1)</f>
        <v>0</v>
      </c>
      <c r="F46" s="207">
        <f>SUMIFS('август 2023'!$G$4:$G$1022,'август 2023'!$D$4:$D$1022,$B46,'август 2023'!$J$4:$J$1022,F$1)</f>
        <v>0</v>
      </c>
      <c r="G46" s="207">
        <f>SUMIFS('август 2023'!$G$4:$G$1022,'август 2023'!$D$4:$D$1022,$B46,'август 2023'!$J$4:$J$1022,G$1)</f>
        <v>0</v>
      </c>
      <c r="H46" s="207">
        <f>SUMIFS('август 2023'!$G$4:$G$1022,'август 2023'!$D$4:$D$1022,$B46,'август 2023'!$J$4:$J$1022,H$1)</f>
        <v>0</v>
      </c>
      <c r="I46" s="207">
        <f>SUMIFS('август 2023'!$G$4:$G$1022,'август 2023'!$D$4:$D$1022,$B46,'август 2023'!$J$4:$J$1022,I$1)</f>
        <v>0</v>
      </c>
      <c r="J46" s="207">
        <f>SUMIFS('август 2023'!$G$4:$G$1022,'август 2023'!$D$4:$D$1022,$B46,'август 2023'!$J$4:$J$1022,J$1)</f>
        <v>0</v>
      </c>
      <c r="K46" s="207">
        <f>SUMIFS('август 2023'!$G$4:$G$1022,'август 2023'!$D$4:$D$1022,$B46,'август 2023'!$J$4:$J$1022,K$1)</f>
        <v>0</v>
      </c>
      <c r="L46" s="207">
        <f>SUMIFS('август 2023'!$G$4:$G$1022,'август 2023'!$D$4:$D$1022,$B46,'август 2023'!$J$4:$J$1022,L$1)</f>
        <v>0</v>
      </c>
      <c r="M46" s="207">
        <f>SUMIFS('август 2023'!$G$4:$G$1022,'август 2023'!$D$4:$D$1022,$B46,'август 2023'!$J$4:$J$1022,M$1)</f>
        <v>0</v>
      </c>
      <c r="N46" s="207">
        <f>SUMIFS('август 2023'!$G$4:$G$1022,'август 2023'!$D$4:$D$1022,$B46,'август 2023'!$J$4:$J$1022,N$1)</f>
        <v>0</v>
      </c>
      <c r="O46" s="207">
        <f>SUMIFS('август 2023'!$G$4:$G$1022,'август 2023'!$D$4:$D$1022,$B46,'август 2023'!$J$4:$J$1022,O$1)</f>
        <v>0</v>
      </c>
      <c r="P46" s="207">
        <f>SUMIFS('август 2023'!$G$4:$G$1022,'август 2023'!$D$4:$D$1022,$B46,'август 2023'!$J$4:$J$1022,P$1)</f>
        <v>0</v>
      </c>
      <c r="Q46" s="207">
        <f>SUMIFS('август 2023'!$G$4:$G$1022,'август 2023'!$D$4:$D$1022,$B46,'август 2023'!$J$4:$J$1022,Q$1)</f>
        <v>0</v>
      </c>
      <c r="R46" s="207">
        <f>SUMIFS('август 2023'!$G$4:$G$1022,'август 2023'!$D$4:$D$1022,$B46,'август 2023'!$J$4:$J$1022,R$1)</f>
        <v>0</v>
      </c>
      <c r="S46" s="207">
        <f>SUMIFS('август 2023'!$G$4:$G$1022,'август 2023'!$D$4:$D$1022,$B46,'август 2023'!$J$4:$J$1022,S$1)</f>
        <v>0</v>
      </c>
      <c r="T46" s="207">
        <f>SUMIFS('август 2023'!$G$4:$G$1022,'август 2023'!$D$4:$D$1022,$B46,'август 2023'!$J$4:$J$1022,T$1)</f>
        <v>0</v>
      </c>
      <c r="U46" s="207">
        <f>SUMIFS('август 2023'!$G$4:$G$1022,'август 2023'!$D$4:$D$1022,$B46,'август 2023'!$J$4:$J$1022,U$1)</f>
        <v>0</v>
      </c>
      <c r="V46" s="207">
        <f>SUMIFS('август 2023'!$G$4:$G$1022,'август 2023'!$D$4:$D$1022,$B46,'август 2023'!$J$4:$J$1022,V$1)</f>
        <v>0</v>
      </c>
      <c r="W46" s="207">
        <f>SUMIFS('август 2023'!$G$4:$G$1022,'август 2023'!$D$4:$D$1022,$B46,'август 2023'!$J$4:$J$1022,W$1)</f>
        <v>0</v>
      </c>
      <c r="X46" s="207">
        <f>SUMIFS('август 2023'!$G$4:$G$1022,'август 2023'!$D$4:$D$1022,$B46,'август 2023'!$J$4:$J$1022,X$1)</f>
        <v>0</v>
      </c>
      <c r="Y46" s="207">
        <f>SUMIFS('август 2023'!$G$4:$G$1022,'август 2023'!$D$4:$D$1022,$B46,'август 2023'!$J$4:$J$1022,Y$1)</f>
        <v>0</v>
      </c>
      <c r="Z46" s="207">
        <f>SUMIFS('август 2023'!$G$4:$G$1022,'август 2023'!$D$4:$D$1022,$B46,'август 2023'!$J$4:$J$1022,Z$1)</f>
        <v>0</v>
      </c>
      <c r="AA46" s="207">
        <f>SUMIFS('август 2023'!$G$4:$G$1022,'август 2023'!$D$4:$D$1022,$B46,'август 2023'!$J$4:$J$1022,AA$1)</f>
        <v>0</v>
      </c>
      <c r="AB46" s="207">
        <f>SUMIFS('август 2023'!$G$4:$G$1022,'август 2023'!$D$4:$D$1022,$B46,'август 2023'!$J$4:$J$1022,AB$1)</f>
        <v>0</v>
      </c>
      <c r="AC46" s="207">
        <f>SUMIFS('август 2023'!$G$4:$G$1022,'август 2023'!$D$4:$D$1022,$B46,'август 2023'!$J$4:$J$1022,AC$1)</f>
        <v>0</v>
      </c>
      <c r="AD46" s="207">
        <f>SUMIFS('август 2023'!$G$4:$G$1022,'август 2023'!$D$4:$D$1022,$B46,'август 2023'!$J$4:$J$1022,AD$1)</f>
        <v>0</v>
      </c>
      <c r="AE46" s="207">
        <f>SUMIFS('август 2023'!$G$4:$G$1022,'август 2023'!$D$4:$D$1022,$B46,'август 2023'!$J$4:$J$1022,AE$1)</f>
        <v>0</v>
      </c>
      <c r="AF46" s="207">
        <f>SUMIFS('август 2023'!$G$4:$G$1022,'август 2023'!$D$4:$D$1022,$B46,'август 2023'!$J$4:$J$1022,AF$1)</f>
        <v>0</v>
      </c>
      <c r="AG46" s="207">
        <f>SUMIFS('август 2023'!$G$4:$G$1022,'август 2023'!$D$4:$D$1022,$B46,'август 2023'!$J$4:$J$1022,AG$1)</f>
        <v>0</v>
      </c>
      <c r="AH46" s="207">
        <f>SUMIFS('август 2023'!$G$4:$G$1022,'август 2023'!$D$4:$D$1022,$B46,'август 2023'!$J$4:$J$1022,AH$1)</f>
        <v>0</v>
      </c>
      <c r="AI46" s="170">
        <f t="shared" si="1"/>
        <v>0</v>
      </c>
    </row>
    <row r="47" spans="2:35" ht="15" customHeight="1" x14ac:dyDescent="0.25">
      <c r="B47" s="212" t="s">
        <v>1573</v>
      </c>
      <c r="C47" s="213">
        <v>50</v>
      </c>
      <c r="D47" s="207">
        <f>SUMIFS('август 2023'!$G$4:$G$1022,'август 2023'!$D$4:$D$1022,$B47,'август 2023'!$J$4:$J$1022,D$1)</f>
        <v>0</v>
      </c>
      <c r="E47" s="207">
        <f>SUMIFS('август 2023'!$G$4:$G$1022,'август 2023'!$D$4:$D$1022,$B47,'август 2023'!$J$4:$J$1022,E$1)</f>
        <v>0</v>
      </c>
      <c r="F47" s="207">
        <f>SUMIFS('август 2023'!$G$4:$G$1022,'август 2023'!$D$4:$D$1022,$B47,'август 2023'!$J$4:$J$1022,F$1)</f>
        <v>0</v>
      </c>
      <c r="G47" s="207">
        <f>SUMIFS('август 2023'!$G$4:$G$1022,'август 2023'!$D$4:$D$1022,$B47,'август 2023'!$J$4:$J$1022,G$1)</f>
        <v>0</v>
      </c>
      <c r="H47" s="207">
        <f>SUMIFS('август 2023'!$G$4:$G$1022,'август 2023'!$D$4:$D$1022,$B47,'август 2023'!$J$4:$J$1022,H$1)</f>
        <v>0</v>
      </c>
      <c r="I47" s="207">
        <f>SUMIFS('август 2023'!$G$4:$G$1022,'август 2023'!$D$4:$D$1022,$B47,'август 2023'!$J$4:$J$1022,I$1)</f>
        <v>0</v>
      </c>
      <c r="J47" s="207">
        <f>SUMIFS('август 2023'!$G$4:$G$1022,'август 2023'!$D$4:$D$1022,$B47,'август 2023'!$J$4:$J$1022,J$1)</f>
        <v>0</v>
      </c>
      <c r="K47" s="207">
        <f>SUMIFS('август 2023'!$G$4:$G$1022,'август 2023'!$D$4:$D$1022,$B47,'август 2023'!$J$4:$J$1022,K$1)</f>
        <v>0</v>
      </c>
      <c r="L47" s="207">
        <f>SUMIFS('август 2023'!$G$4:$G$1022,'август 2023'!$D$4:$D$1022,$B47,'август 2023'!$J$4:$J$1022,L$1)</f>
        <v>0</v>
      </c>
      <c r="M47" s="207">
        <f>SUMIFS('август 2023'!$G$4:$G$1022,'август 2023'!$D$4:$D$1022,$B47,'август 2023'!$J$4:$J$1022,M$1)</f>
        <v>0</v>
      </c>
      <c r="N47" s="207">
        <f>SUMIFS('август 2023'!$G$4:$G$1022,'август 2023'!$D$4:$D$1022,$B47,'август 2023'!$J$4:$J$1022,N$1)</f>
        <v>0</v>
      </c>
      <c r="O47" s="207">
        <f>SUMIFS('август 2023'!$G$4:$G$1022,'август 2023'!$D$4:$D$1022,$B47,'август 2023'!$J$4:$J$1022,O$1)</f>
        <v>0</v>
      </c>
      <c r="P47" s="207">
        <f>SUMIFS('август 2023'!$G$4:$G$1022,'август 2023'!$D$4:$D$1022,$B47,'август 2023'!$J$4:$J$1022,P$1)</f>
        <v>0</v>
      </c>
      <c r="Q47" s="207">
        <f>SUMIFS('август 2023'!$G$4:$G$1022,'август 2023'!$D$4:$D$1022,$B47,'август 2023'!$J$4:$J$1022,Q$1)</f>
        <v>0</v>
      </c>
      <c r="R47" s="207">
        <f>SUMIFS('август 2023'!$G$4:$G$1022,'август 2023'!$D$4:$D$1022,$B47,'август 2023'!$J$4:$J$1022,R$1)</f>
        <v>0</v>
      </c>
      <c r="S47" s="207">
        <f>SUMIFS('август 2023'!$G$4:$G$1022,'август 2023'!$D$4:$D$1022,$B47,'август 2023'!$J$4:$J$1022,S$1)</f>
        <v>0</v>
      </c>
      <c r="T47" s="207">
        <f>SUMIFS('август 2023'!$G$4:$G$1022,'август 2023'!$D$4:$D$1022,$B47,'август 2023'!$J$4:$J$1022,T$1)</f>
        <v>0</v>
      </c>
      <c r="U47" s="207">
        <f>SUMIFS('август 2023'!$G$4:$G$1022,'август 2023'!$D$4:$D$1022,$B47,'август 2023'!$J$4:$J$1022,U$1)</f>
        <v>0</v>
      </c>
      <c r="V47" s="207">
        <f>SUMIFS('август 2023'!$G$4:$G$1022,'август 2023'!$D$4:$D$1022,$B47,'август 2023'!$J$4:$J$1022,V$1)</f>
        <v>0</v>
      </c>
      <c r="W47" s="207">
        <f>SUMIFS('август 2023'!$G$4:$G$1022,'август 2023'!$D$4:$D$1022,$B47,'август 2023'!$J$4:$J$1022,W$1)</f>
        <v>0</v>
      </c>
      <c r="X47" s="207">
        <f>SUMIFS('август 2023'!$G$4:$G$1022,'август 2023'!$D$4:$D$1022,$B47,'август 2023'!$J$4:$J$1022,X$1)</f>
        <v>0</v>
      </c>
      <c r="Y47" s="207">
        <f>SUMIFS('август 2023'!$G$4:$G$1022,'август 2023'!$D$4:$D$1022,$B47,'август 2023'!$J$4:$J$1022,Y$1)</f>
        <v>0</v>
      </c>
      <c r="Z47" s="207">
        <f>SUMIFS('август 2023'!$G$4:$G$1022,'август 2023'!$D$4:$D$1022,$B47,'август 2023'!$J$4:$J$1022,Z$1)</f>
        <v>0</v>
      </c>
      <c r="AA47" s="207">
        <f>SUMIFS('август 2023'!$G$4:$G$1022,'август 2023'!$D$4:$D$1022,$B47,'август 2023'!$J$4:$J$1022,AA$1)</f>
        <v>0</v>
      </c>
      <c r="AB47" s="207">
        <f>SUMIFS('август 2023'!$G$4:$G$1022,'август 2023'!$D$4:$D$1022,$B47,'август 2023'!$J$4:$J$1022,AB$1)</f>
        <v>0</v>
      </c>
      <c r="AC47" s="207">
        <f>SUMIFS('август 2023'!$G$4:$G$1022,'август 2023'!$D$4:$D$1022,$B47,'август 2023'!$J$4:$J$1022,AC$1)</f>
        <v>0</v>
      </c>
      <c r="AD47" s="207">
        <f>SUMIFS('август 2023'!$G$4:$G$1022,'август 2023'!$D$4:$D$1022,$B47,'август 2023'!$J$4:$J$1022,AD$1)</f>
        <v>0</v>
      </c>
      <c r="AE47" s="207">
        <f>SUMIFS('август 2023'!$G$4:$G$1022,'август 2023'!$D$4:$D$1022,$B47,'август 2023'!$J$4:$J$1022,AE$1)</f>
        <v>0</v>
      </c>
      <c r="AF47" s="207">
        <f>SUMIFS('август 2023'!$G$4:$G$1022,'август 2023'!$D$4:$D$1022,$B47,'август 2023'!$J$4:$J$1022,AF$1)</f>
        <v>0</v>
      </c>
      <c r="AG47" s="207">
        <f>SUMIFS('август 2023'!$G$4:$G$1022,'август 2023'!$D$4:$D$1022,$B47,'август 2023'!$J$4:$J$1022,AG$1)</f>
        <v>0</v>
      </c>
      <c r="AH47" s="207">
        <f>SUMIFS('август 2023'!$G$4:$G$1022,'август 2023'!$D$4:$D$1022,$B47,'август 2023'!$J$4:$J$1022,AH$1)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SUMIFS('август 2023'!$G$4:$G$1022,'август 2023'!$D$4:$D$1022,$B48,'август 2023'!$J$4:$J$1022,D$1)</f>
        <v>0</v>
      </c>
      <c r="E48" s="207">
        <f>SUMIFS('август 2023'!$G$4:$G$1022,'август 2023'!$D$4:$D$1022,$B48,'август 2023'!$J$4:$J$1022,E$1)</f>
        <v>0</v>
      </c>
      <c r="F48" s="207">
        <f>SUMIFS('август 2023'!$G$4:$G$1022,'август 2023'!$D$4:$D$1022,$B48,'август 2023'!$J$4:$J$1022,F$1)</f>
        <v>0</v>
      </c>
      <c r="G48" s="207">
        <f>SUMIFS('август 2023'!$G$4:$G$1022,'август 2023'!$D$4:$D$1022,$B48,'август 2023'!$J$4:$J$1022,G$1)</f>
        <v>0</v>
      </c>
      <c r="H48" s="207">
        <f>SUMIFS('август 2023'!$G$4:$G$1022,'август 2023'!$D$4:$D$1022,$B48,'август 2023'!$J$4:$J$1022,H$1)</f>
        <v>0</v>
      </c>
      <c r="I48" s="207">
        <f>SUMIFS('август 2023'!$G$4:$G$1022,'август 2023'!$D$4:$D$1022,$B48,'август 2023'!$J$4:$J$1022,I$1)</f>
        <v>0</v>
      </c>
      <c r="J48" s="207">
        <f>SUMIFS('август 2023'!$G$4:$G$1022,'август 2023'!$D$4:$D$1022,$B48,'август 2023'!$J$4:$J$1022,J$1)</f>
        <v>0</v>
      </c>
      <c r="K48" s="207">
        <f>SUMIFS('август 2023'!$G$4:$G$1022,'август 2023'!$D$4:$D$1022,$B48,'август 2023'!$J$4:$J$1022,K$1)</f>
        <v>0</v>
      </c>
      <c r="L48" s="207">
        <f>SUMIFS('август 2023'!$G$4:$G$1022,'август 2023'!$D$4:$D$1022,$B48,'август 2023'!$J$4:$J$1022,L$1)</f>
        <v>0</v>
      </c>
      <c r="M48" s="207">
        <f>SUMIFS('август 2023'!$G$4:$G$1022,'август 2023'!$D$4:$D$1022,$B48,'август 2023'!$J$4:$J$1022,M$1)</f>
        <v>0</v>
      </c>
      <c r="N48" s="207">
        <f>SUMIFS('август 2023'!$G$4:$G$1022,'август 2023'!$D$4:$D$1022,$B48,'август 2023'!$J$4:$J$1022,N$1)</f>
        <v>0</v>
      </c>
      <c r="O48" s="207">
        <f>SUMIFS('август 2023'!$G$4:$G$1022,'август 2023'!$D$4:$D$1022,$B48,'август 2023'!$J$4:$J$1022,O$1)</f>
        <v>0</v>
      </c>
      <c r="P48" s="207">
        <f>SUMIFS('август 2023'!$G$4:$G$1022,'август 2023'!$D$4:$D$1022,$B48,'август 2023'!$J$4:$J$1022,P$1)</f>
        <v>0</v>
      </c>
      <c r="Q48" s="207">
        <f>SUMIFS('август 2023'!$G$4:$G$1022,'август 2023'!$D$4:$D$1022,$B48,'август 2023'!$J$4:$J$1022,Q$1)</f>
        <v>0</v>
      </c>
      <c r="R48" s="207">
        <f>SUMIFS('август 2023'!$G$4:$G$1022,'август 2023'!$D$4:$D$1022,$B48,'август 2023'!$J$4:$J$1022,R$1)</f>
        <v>0</v>
      </c>
      <c r="S48" s="207">
        <f>SUMIFS('август 2023'!$G$4:$G$1022,'август 2023'!$D$4:$D$1022,$B48,'август 2023'!$J$4:$J$1022,S$1)</f>
        <v>0</v>
      </c>
      <c r="T48" s="207">
        <f>SUMIFS('август 2023'!$G$4:$G$1022,'август 2023'!$D$4:$D$1022,$B48,'август 2023'!$J$4:$J$1022,T$1)</f>
        <v>0</v>
      </c>
      <c r="U48" s="207">
        <f>SUMIFS('август 2023'!$G$4:$G$1022,'август 2023'!$D$4:$D$1022,$B48,'август 2023'!$J$4:$J$1022,U$1)</f>
        <v>0</v>
      </c>
      <c r="V48" s="207">
        <f>SUMIFS('август 2023'!$G$4:$G$1022,'август 2023'!$D$4:$D$1022,$B48,'август 2023'!$J$4:$J$1022,V$1)</f>
        <v>0</v>
      </c>
      <c r="W48" s="207">
        <f>SUMIFS('август 2023'!$G$4:$G$1022,'август 2023'!$D$4:$D$1022,$B48,'август 2023'!$J$4:$J$1022,W$1)</f>
        <v>0</v>
      </c>
      <c r="X48" s="207">
        <f>SUMIFS('август 2023'!$G$4:$G$1022,'август 2023'!$D$4:$D$1022,$B48,'август 2023'!$J$4:$J$1022,X$1)</f>
        <v>0</v>
      </c>
      <c r="Y48" s="207">
        <f>SUMIFS('август 2023'!$G$4:$G$1022,'август 2023'!$D$4:$D$1022,$B48,'август 2023'!$J$4:$J$1022,Y$1)</f>
        <v>0</v>
      </c>
      <c r="Z48" s="207">
        <f>SUMIFS('август 2023'!$G$4:$G$1022,'август 2023'!$D$4:$D$1022,$B48,'август 2023'!$J$4:$J$1022,Z$1)</f>
        <v>0</v>
      </c>
      <c r="AA48" s="207">
        <f>SUMIFS('август 2023'!$G$4:$G$1022,'август 2023'!$D$4:$D$1022,$B48,'август 2023'!$J$4:$J$1022,AA$1)</f>
        <v>0</v>
      </c>
      <c r="AB48" s="207">
        <f>SUMIFS('август 2023'!$G$4:$G$1022,'август 2023'!$D$4:$D$1022,$B48,'август 2023'!$J$4:$J$1022,AB$1)</f>
        <v>0</v>
      </c>
      <c r="AC48" s="207">
        <f>SUMIFS('август 2023'!$G$4:$G$1022,'август 2023'!$D$4:$D$1022,$B48,'август 2023'!$J$4:$J$1022,AC$1)</f>
        <v>0</v>
      </c>
      <c r="AD48" s="207">
        <f>SUMIFS('август 2023'!$G$4:$G$1022,'август 2023'!$D$4:$D$1022,$B48,'август 2023'!$J$4:$J$1022,AD$1)</f>
        <v>0</v>
      </c>
      <c r="AE48" s="207">
        <f>SUMIFS('август 2023'!$G$4:$G$1022,'август 2023'!$D$4:$D$1022,$B48,'август 2023'!$J$4:$J$1022,AE$1)</f>
        <v>0</v>
      </c>
      <c r="AF48" s="207">
        <f>SUMIFS('август 2023'!$G$4:$G$1022,'август 2023'!$D$4:$D$1022,$B48,'август 2023'!$J$4:$J$1022,AF$1)</f>
        <v>0</v>
      </c>
      <c r="AG48" s="207">
        <f>SUMIFS('август 2023'!$G$4:$G$1022,'август 2023'!$D$4:$D$1022,$B48,'август 2023'!$J$4:$J$1022,AG$1)</f>
        <v>0</v>
      </c>
      <c r="AH48" s="207">
        <f>SUMIFS('август 2023'!$G$4:$G$1022,'август 2023'!$D$4:$D$1022,$B48,'август 2023'!$J$4:$J$1022,AH$1)</f>
        <v>0</v>
      </c>
      <c r="AI48" s="170">
        <f t="shared" si="1"/>
        <v>0</v>
      </c>
    </row>
    <row r="49" spans="2:35" ht="15" customHeight="1" x14ac:dyDescent="0.25">
      <c r="B49" s="208" t="s">
        <v>1340</v>
      </c>
      <c r="C49" s="213">
        <v>50</v>
      </c>
      <c r="D49" s="207">
        <f>SUMIFS('август 2023'!$G$4:$G$1022,'август 2023'!$D$4:$D$1022,$B49,'август 2023'!$J$4:$J$1022,D$1)</f>
        <v>0</v>
      </c>
      <c r="E49" s="207">
        <f>SUMIFS('август 2023'!$G$4:$G$1022,'август 2023'!$D$4:$D$1022,$B49,'август 2023'!$J$4:$J$1022,E$1)</f>
        <v>0</v>
      </c>
      <c r="F49" s="207">
        <f>SUMIFS('август 2023'!$G$4:$G$1022,'август 2023'!$D$4:$D$1022,$B49,'август 2023'!$J$4:$J$1022,F$1)</f>
        <v>0</v>
      </c>
      <c r="G49" s="207">
        <f>SUMIFS('август 2023'!$G$4:$G$1022,'август 2023'!$D$4:$D$1022,$B49,'август 2023'!$J$4:$J$1022,G$1)</f>
        <v>0</v>
      </c>
      <c r="H49" s="207">
        <f>SUMIFS('август 2023'!$G$4:$G$1022,'август 2023'!$D$4:$D$1022,$B49,'август 2023'!$J$4:$J$1022,H$1)</f>
        <v>0</v>
      </c>
      <c r="I49" s="207">
        <f>SUMIFS('август 2023'!$G$4:$G$1022,'август 2023'!$D$4:$D$1022,$B49,'август 2023'!$J$4:$J$1022,I$1)</f>
        <v>0</v>
      </c>
      <c r="J49" s="207">
        <f>SUMIFS('август 2023'!$G$4:$G$1022,'август 2023'!$D$4:$D$1022,$B49,'август 2023'!$J$4:$J$1022,J$1)</f>
        <v>0</v>
      </c>
      <c r="K49" s="207">
        <f>SUMIFS('август 2023'!$G$4:$G$1022,'август 2023'!$D$4:$D$1022,$B49,'август 2023'!$J$4:$J$1022,K$1)</f>
        <v>0</v>
      </c>
      <c r="L49" s="207">
        <f>SUMIFS('август 2023'!$G$4:$G$1022,'август 2023'!$D$4:$D$1022,$B49,'август 2023'!$J$4:$J$1022,L$1)</f>
        <v>0</v>
      </c>
      <c r="M49" s="207">
        <f>SUMIFS('август 2023'!$G$4:$G$1022,'август 2023'!$D$4:$D$1022,$B49,'август 2023'!$J$4:$J$1022,M$1)</f>
        <v>0</v>
      </c>
      <c r="N49" s="207">
        <f>SUMIFS('август 2023'!$G$4:$G$1022,'август 2023'!$D$4:$D$1022,$B49,'август 2023'!$J$4:$J$1022,N$1)</f>
        <v>0</v>
      </c>
      <c r="O49" s="207">
        <f>SUMIFS('август 2023'!$G$4:$G$1022,'август 2023'!$D$4:$D$1022,$B49,'август 2023'!$J$4:$J$1022,O$1)</f>
        <v>0</v>
      </c>
      <c r="P49" s="207">
        <f>SUMIFS('август 2023'!$G$4:$G$1022,'август 2023'!$D$4:$D$1022,$B49,'август 2023'!$J$4:$J$1022,P$1)</f>
        <v>0</v>
      </c>
      <c r="Q49" s="207">
        <f>SUMIFS('август 2023'!$G$4:$G$1022,'август 2023'!$D$4:$D$1022,$B49,'август 2023'!$J$4:$J$1022,Q$1)</f>
        <v>0</v>
      </c>
      <c r="R49" s="207">
        <f>SUMIFS('август 2023'!$G$4:$G$1022,'август 2023'!$D$4:$D$1022,$B49,'август 2023'!$J$4:$J$1022,R$1)</f>
        <v>0</v>
      </c>
      <c r="S49" s="207">
        <f>SUMIFS('август 2023'!$G$4:$G$1022,'август 2023'!$D$4:$D$1022,$B49,'август 2023'!$J$4:$J$1022,S$1)</f>
        <v>0</v>
      </c>
      <c r="T49" s="207">
        <f>SUMIFS('август 2023'!$G$4:$G$1022,'август 2023'!$D$4:$D$1022,$B49,'август 2023'!$J$4:$J$1022,T$1)</f>
        <v>0</v>
      </c>
      <c r="U49" s="207">
        <f>SUMIFS('август 2023'!$G$4:$G$1022,'август 2023'!$D$4:$D$1022,$B49,'август 2023'!$J$4:$J$1022,U$1)</f>
        <v>0</v>
      </c>
      <c r="V49" s="207">
        <f>SUMIFS('август 2023'!$G$4:$G$1022,'август 2023'!$D$4:$D$1022,$B49,'август 2023'!$J$4:$J$1022,V$1)</f>
        <v>0</v>
      </c>
      <c r="W49" s="207">
        <f>SUMIFS('август 2023'!$G$4:$G$1022,'август 2023'!$D$4:$D$1022,$B49,'август 2023'!$J$4:$J$1022,W$1)</f>
        <v>0</v>
      </c>
      <c r="X49" s="207">
        <f>SUMIFS('август 2023'!$G$4:$G$1022,'август 2023'!$D$4:$D$1022,$B49,'август 2023'!$J$4:$J$1022,X$1)</f>
        <v>0</v>
      </c>
      <c r="Y49" s="207">
        <f>SUMIFS('август 2023'!$G$4:$G$1022,'август 2023'!$D$4:$D$1022,$B49,'август 2023'!$J$4:$J$1022,Y$1)</f>
        <v>0</v>
      </c>
      <c r="Z49" s="207">
        <f>SUMIFS('август 2023'!$G$4:$G$1022,'август 2023'!$D$4:$D$1022,$B49,'август 2023'!$J$4:$J$1022,Z$1)</f>
        <v>0</v>
      </c>
      <c r="AA49" s="207">
        <f>SUMIFS('август 2023'!$G$4:$G$1022,'август 2023'!$D$4:$D$1022,$B49,'август 2023'!$J$4:$J$1022,AA$1)</f>
        <v>0</v>
      </c>
      <c r="AB49" s="207">
        <f>SUMIFS('август 2023'!$G$4:$G$1022,'август 2023'!$D$4:$D$1022,$B49,'август 2023'!$J$4:$J$1022,AB$1)</f>
        <v>0</v>
      </c>
      <c r="AC49" s="207">
        <f>SUMIFS('август 2023'!$G$4:$G$1022,'август 2023'!$D$4:$D$1022,$B49,'август 2023'!$J$4:$J$1022,AC$1)</f>
        <v>0</v>
      </c>
      <c r="AD49" s="207">
        <f>SUMIFS('август 2023'!$G$4:$G$1022,'август 2023'!$D$4:$D$1022,$B49,'август 2023'!$J$4:$J$1022,AD$1)</f>
        <v>0</v>
      </c>
      <c r="AE49" s="207">
        <f>SUMIFS('август 2023'!$G$4:$G$1022,'август 2023'!$D$4:$D$1022,$B49,'август 2023'!$J$4:$J$1022,AE$1)</f>
        <v>0</v>
      </c>
      <c r="AF49" s="207">
        <f>SUMIFS('август 2023'!$G$4:$G$1022,'август 2023'!$D$4:$D$1022,$B49,'август 2023'!$J$4:$J$1022,AF$1)</f>
        <v>0</v>
      </c>
      <c r="AG49" s="207">
        <f>SUMIFS('август 2023'!$G$4:$G$1022,'август 2023'!$D$4:$D$1022,$B49,'август 2023'!$J$4:$J$1022,AG$1)</f>
        <v>0</v>
      </c>
      <c r="AH49" s="207">
        <f>SUMIFS('август 2023'!$G$4:$G$1022,'август 2023'!$D$4:$D$1022,$B49,'август 2023'!$J$4:$J$1022,AH$1)</f>
        <v>0</v>
      </c>
      <c r="AI49" s="170">
        <f t="shared" si="1"/>
        <v>0</v>
      </c>
    </row>
    <row r="50" spans="2:35" ht="15" customHeight="1" x14ac:dyDescent="0.25">
      <c r="B50" s="212" t="s">
        <v>2141</v>
      </c>
      <c r="C50" s="213">
        <v>200</v>
      </c>
      <c r="D50" s="207">
        <f>SUMIFS('август 2023'!$G$4:$G$1022,'август 2023'!$D$4:$D$1022,$B50,'август 2023'!$J$4:$J$1022,D$1)</f>
        <v>0</v>
      </c>
      <c r="E50" s="207">
        <f>SUMIFS('август 2023'!$G$4:$G$1022,'август 2023'!$D$4:$D$1022,$B50,'август 2023'!$J$4:$J$1022,E$1)</f>
        <v>0</v>
      </c>
      <c r="F50" s="207">
        <f>SUMIFS('август 2023'!$G$4:$G$1022,'август 2023'!$D$4:$D$1022,$B50,'август 2023'!$J$4:$J$1022,F$1)</f>
        <v>0</v>
      </c>
      <c r="G50" s="207">
        <f>SUMIFS('август 2023'!$G$4:$G$1022,'август 2023'!$D$4:$D$1022,$B50,'август 2023'!$J$4:$J$1022,G$1)</f>
        <v>0</v>
      </c>
      <c r="H50" s="207">
        <f>SUMIFS('август 2023'!$G$4:$G$1022,'август 2023'!$D$4:$D$1022,$B50,'август 2023'!$J$4:$J$1022,H$1)</f>
        <v>0</v>
      </c>
      <c r="I50" s="207">
        <f>SUMIFS('август 2023'!$G$4:$G$1022,'август 2023'!$D$4:$D$1022,$B50,'август 2023'!$J$4:$J$1022,I$1)</f>
        <v>0</v>
      </c>
      <c r="J50" s="207">
        <f>SUMIFS('август 2023'!$G$4:$G$1022,'август 2023'!$D$4:$D$1022,$B50,'август 2023'!$J$4:$J$1022,J$1)</f>
        <v>0</v>
      </c>
      <c r="K50" s="207">
        <f>SUMIFS('август 2023'!$G$4:$G$1022,'август 2023'!$D$4:$D$1022,$B50,'август 2023'!$J$4:$J$1022,K$1)</f>
        <v>0</v>
      </c>
      <c r="L50" s="207">
        <f>SUMIFS('август 2023'!$G$4:$G$1022,'август 2023'!$D$4:$D$1022,$B50,'август 2023'!$J$4:$J$1022,L$1)</f>
        <v>0</v>
      </c>
      <c r="M50" s="207">
        <f>SUMIFS('август 2023'!$G$4:$G$1022,'август 2023'!$D$4:$D$1022,$B50,'август 2023'!$J$4:$J$1022,M$1)</f>
        <v>0</v>
      </c>
      <c r="N50" s="207">
        <f>SUMIFS('август 2023'!$G$4:$G$1022,'август 2023'!$D$4:$D$1022,$B50,'август 2023'!$J$4:$J$1022,N$1)</f>
        <v>0</v>
      </c>
      <c r="O50" s="207">
        <f>SUMIFS('август 2023'!$G$4:$G$1022,'август 2023'!$D$4:$D$1022,$B50,'август 2023'!$J$4:$J$1022,O$1)</f>
        <v>0</v>
      </c>
      <c r="P50" s="207">
        <f>SUMIFS('август 2023'!$G$4:$G$1022,'август 2023'!$D$4:$D$1022,$B50,'август 2023'!$J$4:$J$1022,P$1)</f>
        <v>0</v>
      </c>
      <c r="Q50" s="207">
        <f>SUMIFS('август 2023'!$G$4:$G$1022,'август 2023'!$D$4:$D$1022,$B50,'август 2023'!$J$4:$J$1022,Q$1)</f>
        <v>0</v>
      </c>
      <c r="R50" s="207">
        <f>SUMIFS('август 2023'!$G$4:$G$1022,'август 2023'!$D$4:$D$1022,$B50,'август 2023'!$J$4:$J$1022,R$1)</f>
        <v>0</v>
      </c>
      <c r="S50" s="207">
        <f>SUMIFS('август 2023'!$G$4:$G$1022,'август 2023'!$D$4:$D$1022,$B50,'август 2023'!$J$4:$J$1022,S$1)</f>
        <v>0</v>
      </c>
      <c r="T50" s="207">
        <f>SUMIFS('август 2023'!$G$4:$G$1022,'август 2023'!$D$4:$D$1022,$B50,'август 2023'!$J$4:$J$1022,T$1)</f>
        <v>0</v>
      </c>
      <c r="U50" s="207">
        <f>SUMIFS('август 2023'!$G$4:$G$1022,'август 2023'!$D$4:$D$1022,$B50,'август 2023'!$J$4:$J$1022,U$1)</f>
        <v>0</v>
      </c>
      <c r="V50" s="207">
        <f>SUMIFS('август 2023'!$G$4:$G$1022,'август 2023'!$D$4:$D$1022,$B50,'август 2023'!$J$4:$J$1022,V$1)</f>
        <v>0</v>
      </c>
      <c r="W50" s="207">
        <f>SUMIFS('август 2023'!$G$4:$G$1022,'август 2023'!$D$4:$D$1022,$B50,'август 2023'!$J$4:$J$1022,W$1)</f>
        <v>0</v>
      </c>
      <c r="X50" s="207">
        <f>SUMIFS('август 2023'!$G$4:$G$1022,'август 2023'!$D$4:$D$1022,$B50,'август 2023'!$J$4:$J$1022,X$1)</f>
        <v>0</v>
      </c>
      <c r="Y50" s="207">
        <f>SUMIFS('август 2023'!$G$4:$G$1022,'август 2023'!$D$4:$D$1022,$B50,'август 2023'!$J$4:$J$1022,Y$1)</f>
        <v>0</v>
      </c>
      <c r="Z50" s="207">
        <f>SUMIFS('август 2023'!$G$4:$G$1022,'август 2023'!$D$4:$D$1022,$B50,'август 2023'!$J$4:$J$1022,Z$1)</f>
        <v>0</v>
      </c>
      <c r="AA50" s="207">
        <f>SUMIFS('август 2023'!$G$4:$G$1022,'август 2023'!$D$4:$D$1022,$B50,'август 2023'!$J$4:$J$1022,AA$1)</f>
        <v>0</v>
      </c>
      <c r="AB50" s="207">
        <f>SUMIFS('август 2023'!$G$4:$G$1022,'август 2023'!$D$4:$D$1022,$B50,'август 2023'!$J$4:$J$1022,AB$1)</f>
        <v>0</v>
      </c>
      <c r="AC50" s="207">
        <f>SUMIFS('август 2023'!$G$4:$G$1022,'август 2023'!$D$4:$D$1022,$B50,'август 2023'!$J$4:$J$1022,AC$1)</f>
        <v>0</v>
      </c>
      <c r="AD50" s="207">
        <f>SUMIFS('август 2023'!$G$4:$G$1022,'август 2023'!$D$4:$D$1022,$B50,'август 2023'!$J$4:$J$1022,AD$1)</f>
        <v>0</v>
      </c>
      <c r="AE50" s="207">
        <f>SUMIFS('август 2023'!$G$4:$G$1022,'август 2023'!$D$4:$D$1022,$B50,'август 2023'!$J$4:$J$1022,AE$1)</f>
        <v>0</v>
      </c>
      <c r="AF50" s="207">
        <f>SUMIFS('август 2023'!$G$4:$G$1022,'август 2023'!$D$4:$D$1022,$B50,'август 2023'!$J$4:$J$1022,AF$1)</f>
        <v>0</v>
      </c>
      <c r="AG50" s="207">
        <f>SUMIFS('август 2023'!$G$4:$G$1022,'август 2023'!$D$4:$D$1022,$B50,'август 2023'!$J$4:$J$1022,AG$1)</f>
        <v>0</v>
      </c>
      <c r="AH50" s="207">
        <f>SUMIFS('август 2023'!$G$4:$G$1022,'август 2023'!$D$4:$D$1022,$B50,'август 2023'!$J$4:$J$1022,AH$1)</f>
        <v>0</v>
      </c>
      <c r="AI50" s="170">
        <f t="shared" si="1"/>
        <v>0</v>
      </c>
    </row>
    <row r="51" spans="2:35" ht="15" customHeight="1" x14ac:dyDescent="0.25">
      <c r="B51" s="212" t="s">
        <v>110</v>
      </c>
      <c r="C51" s="213">
        <v>200</v>
      </c>
      <c r="D51" s="207">
        <f>SUMIFS('август 2023'!$G$4:$G$1022,'август 2023'!$D$4:$D$1022,$B51,'август 2023'!$J$4:$J$1022,D$1)</f>
        <v>0</v>
      </c>
      <c r="E51" s="207">
        <f>SUMIFS('август 2023'!$G$4:$G$1022,'август 2023'!$D$4:$D$1022,$B51,'август 2023'!$J$4:$J$1022,E$1)</f>
        <v>0</v>
      </c>
      <c r="F51" s="207">
        <f>SUMIFS('август 2023'!$G$4:$G$1022,'август 2023'!$D$4:$D$1022,$B51,'август 2023'!$J$4:$J$1022,F$1)</f>
        <v>0</v>
      </c>
      <c r="G51" s="207">
        <f>SUMIFS('август 2023'!$G$4:$G$1022,'август 2023'!$D$4:$D$1022,$B51,'август 2023'!$J$4:$J$1022,G$1)</f>
        <v>0</v>
      </c>
      <c r="H51" s="207">
        <f>SUMIFS('август 2023'!$G$4:$G$1022,'август 2023'!$D$4:$D$1022,$B51,'август 2023'!$J$4:$J$1022,H$1)</f>
        <v>0</v>
      </c>
      <c r="I51" s="207">
        <f>SUMIFS('август 2023'!$G$4:$G$1022,'август 2023'!$D$4:$D$1022,$B51,'август 2023'!$J$4:$J$1022,I$1)</f>
        <v>0</v>
      </c>
      <c r="J51" s="207">
        <f>SUMIFS('август 2023'!$G$4:$G$1022,'август 2023'!$D$4:$D$1022,$B51,'август 2023'!$J$4:$J$1022,J$1)</f>
        <v>0</v>
      </c>
      <c r="K51" s="207">
        <f>SUMIFS('август 2023'!$G$4:$G$1022,'август 2023'!$D$4:$D$1022,$B51,'август 2023'!$J$4:$J$1022,K$1)</f>
        <v>0</v>
      </c>
      <c r="L51" s="207">
        <f>SUMIFS('август 2023'!$G$4:$G$1022,'август 2023'!$D$4:$D$1022,$B51,'август 2023'!$J$4:$J$1022,L$1)</f>
        <v>0</v>
      </c>
      <c r="M51" s="207">
        <f>SUMIFS('август 2023'!$G$4:$G$1022,'август 2023'!$D$4:$D$1022,$B51,'август 2023'!$J$4:$J$1022,M$1)</f>
        <v>0</v>
      </c>
      <c r="N51" s="207">
        <f>SUMIFS('август 2023'!$G$4:$G$1022,'август 2023'!$D$4:$D$1022,$B51,'август 2023'!$J$4:$J$1022,N$1)</f>
        <v>0</v>
      </c>
      <c r="O51" s="207">
        <f>SUMIFS('август 2023'!$G$4:$G$1022,'август 2023'!$D$4:$D$1022,$B51,'август 2023'!$J$4:$J$1022,O$1)</f>
        <v>0</v>
      </c>
      <c r="P51" s="207">
        <f>SUMIFS('август 2023'!$G$4:$G$1022,'август 2023'!$D$4:$D$1022,$B51,'август 2023'!$J$4:$J$1022,P$1)</f>
        <v>0</v>
      </c>
      <c r="Q51" s="207">
        <f>SUMIFS('август 2023'!$G$4:$G$1022,'август 2023'!$D$4:$D$1022,$B51,'август 2023'!$J$4:$J$1022,Q$1)</f>
        <v>0</v>
      </c>
      <c r="R51" s="207">
        <f>SUMIFS('август 2023'!$G$4:$G$1022,'август 2023'!$D$4:$D$1022,$B51,'август 2023'!$J$4:$J$1022,R$1)</f>
        <v>0</v>
      </c>
      <c r="S51" s="207">
        <f>SUMIFS('август 2023'!$G$4:$G$1022,'август 2023'!$D$4:$D$1022,$B51,'август 2023'!$J$4:$J$1022,S$1)</f>
        <v>0</v>
      </c>
      <c r="T51" s="207">
        <f>SUMIFS('август 2023'!$G$4:$G$1022,'август 2023'!$D$4:$D$1022,$B51,'август 2023'!$J$4:$J$1022,T$1)</f>
        <v>0</v>
      </c>
      <c r="U51" s="207">
        <f>SUMIFS('август 2023'!$G$4:$G$1022,'август 2023'!$D$4:$D$1022,$B51,'август 2023'!$J$4:$J$1022,U$1)</f>
        <v>0</v>
      </c>
      <c r="V51" s="207">
        <f>SUMIFS('август 2023'!$G$4:$G$1022,'август 2023'!$D$4:$D$1022,$B51,'август 2023'!$J$4:$J$1022,V$1)</f>
        <v>0</v>
      </c>
      <c r="W51" s="207">
        <f>SUMIFS('август 2023'!$G$4:$G$1022,'август 2023'!$D$4:$D$1022,$B51,'август 2023'!$J$4:$J$1022,W$1)</f>
        <v>0</v>
      </c>
      <c r="X51" s="207">
        <f>SUMIFS('август 2023'!$G$4:$G$1022,'август 2023'!$D$4:$D$1022,$B51,'август 2023'!$J$4:$J$1022,X$1)</f>
        <v>0</v>
      </c>
      <c r="Y51" s="207">
        <f>SUMIFS('август 2023'!$G$4:$G$1022,'август 2023'!$D$4:$D$1022,$B51,'август 2023'!$J$4:$J$1022,Y$1)</f>
        <v>0</v>
      </c>
      <c r="Z51" s="207">
        <f>SUMIFS('август 2023'!$G$4:$G$1022,'август 2023'!$D$4:$D$1022,$B51,'август 2023'!$J$4:$J$1022,Z$1)</f>
        <v>0</v>
      </c>
      <c r="AA51" s="207">
        <f>SUMIFS('август 2023'!$G$4:$G$1022,'август 2023'!$D$4:$D$1022,$B51,'август 2023'!$J$4:$J$1022,AA$1)</f>
        <v>0</v>
      </c>
      <c r="AB51" s="207">
        <f>SUMIFS('август 2023'!$G$4:$G$1022,'август 2023'!$D$4:$D$1022,$B51,'август 2023'!$J$4:$J$1022,AB$1)</f>
        <v>0</v>
      </c>
      <c r="AC51" s="207">
        <f>SUMIFS('август 2023'!$G$4:$G$1022,'август 2023'!$D$4:$D$1022,$B51,'август 2023'!$J$4:$J$1022,AC$1)</f>
        <v>0</v>
      </c>
      <c r="AD51" s="207">
        <f>SUMIFS('август 2023'!$G$4:$G$1022,'август 2023'!$D$4:$D$1022,$B51,'август 2023'!$J$4:$J$1022,AD$1)</f>
        <v>0</v>
      </c>
      <c r="AE51" s="207">
        <f>SUMIFS('август 2023'!$G$4:$G$1022,'август 2023'!$D$4:$D$1022,$B51,'август 2023'!$J$4:$J$1022,AE$1)</f>
        <v>0</v>
      </c>
      <c r="AF51" s="207">
        <f>SUMIFS('август 2023'!$G$4:$G$1022,'август 2023'!$D$4:$D$1022,$B51,'август 2023'!$J$4:$J$1022,AF$1)</f>
        <v>0</v>
      </c>
      <c r="AG51" s="207">
        <f>SUMIFS('август 2023'!$G$4:$G$1022,'август 2023'!$D$4:$D$1022,$B51,'август 2023'!$J$4:$J$1022,AG$1)</f>
        <v>0</v>
      </c>
      <c r="AH51" s="207">
        <f>SUMIFS('август 2023'!$G$4:$G$1022,'август 2023'!$D$4:$D$1022,$B51,'август 2023'!$J$4:$J$1022,AH$1)</f>
        <v>0</v>
      </c>
      <c r="AI51" s="170">
        <f t="shared" si="1"/>
        <v>0</v>
      </c>
    </row>
    <row r="52" spans="2:35" ht="15" customHeight="1" x14ac:dyDescent="0.25">
      <c r="B52" s="212" t="s">
        <v>1415</v>
      </c>
      <c r="C52" s="213">
        <v>200</v>
      </c>
      <c r="D52" s="207">
        <f>SUMIFS('август 2023'!$G$4:$G$1022,'август 2023'!$D$4:$D$1022,$B52,'август 2023'!$J$4:$J$1022,D$1)</f>
        <v>0</v>
      </c>
      <c r="E52" s="207">
        <f>SUMIFS('август 2023'!$G$4:$G$1022,'август 2023'!$D$4:$D$1022,$B52,'август 2023'!$J$4:$J$1022,E$1)</f>
        <v>0</v>
      </c>
      <c r="F52" s="207">
        <f>SUMIFS('август 2023'!$G$4:$G$1022,'август 2023'!$D$4:$D$1022,$B52,'август 2023'!$J$4:$J$1022,F$1)</f>
        <v>0</v>
      </c>
      <c r="G52" s="207">
        <f>SUMIFS('август 2023'!$G$4:$G$1022,'август 2023'!$D$4:$D$1022,$B52,'август 2023'!$J$4:$J$1022,G$1)</f>
        <v>0</v>
      </c>
      <c r="H52" s="207">
        <f>SUMIFS('август 2023'!$G$4:$G$1022,'август 2023'!$D$4:$D$1022,$B52,'август 2023'!$J$4:$J$1022,H$1)</f>
        <v>0</v>
      </c>
      <c r="I52" s="207">
        <f>SUMIFS('август 2023'!$G$4:$G$1022,'август 2023'!$D$4:$D$1022,$B52,'август 2023'!$J$4:$J$1022,I$1)</f>
        <v>0</v>
      </c>
      <c r="J52" s="207">
        <f>SUMIFS('август 2023'!$G$4:$G$1022,'август 2023'!$D$4:$D$1022,$B52,'август 2023'!$J$4:$J$1022,J$1)</f>
        <v>0</v>
      </c>
      <c r="K52" s="207">
        <f>SUMIFS('август 2023'!$G$4:$G$1022,'август 2023'!$D$4:$D$1022,$B52,'август 2023'!$J$4:$J$1022,K$1)</f>
        <v>0</v>
      </c>
      <c r="L52" s="207">
        <f>SUMIFS('август 2023'!$G$4:$G$1022,'август 2023'!$D$4:$D$1022,$B52,'август 2023'!$J$4:$J$1022,L$1)</f>
        <v>0</v>
      </c>
      <c r="M52" s="207">
        <f>SUMIFS('август 2023'!$G$4:$G$1022,'август 2023'!$D$4:$D$1022,$B52,'август 2023'!$J$4:$J$1022,M$1)</f>
        <v>0</v>
      </c>
      <c r="N52" s="207">
        <f>SUMIFS('август 2023'!$G$4:$G$1022,'август 2023'!$D$4:$D$1022,$B52,'август 2023'!$J$4:$J$1022,N$1)</f>
        <v>0</v>
      </c>
      <c r="O52" s="207">
        <f>SUMIFS('август 2023'!$G$4:$G$1022,'август 2023'!$D$4:$D$1022,$B52,'август 2023'!$J$4:$J$1022,O$1)</f>
        <v>0</v>
      </c>
      <c r="P52" s="207">
        <f>SUMIFS('август 2023'!$G$4:$G$1022,'август 2023'!$D$4:$D$1022,$B52,'август 2023'!$J$4:$J$1022,P$1)</f>
        <v>0</v>
      </c>
      <c r="Q52" s="207">
        <f>SUMIFS('август 2023'!$G$4:$G$1022,'август 2023'!$D$4:$D$1022,$B52,'август 2023'!$J$4:$J$1022,Q$1)</f>
        <v>0</v>
      </c>
      <c r="R52" s="207">
        <f>SUMIFS('август 2023'!$G$4:$G$1022,'август 2023'!$D$4:$D$1022,$B52,'август 2023'!$J$4:$J$1022,R$1)</f>
        <v>0</v>
      </c>
      <c r="S52" s="207">
        <f>SUMIFS('август 2023'!$G$4:$G$1022,'август 2023'!$D$4:$D$1022,$B52,'август 2023'!$J$4:$J$1022,S$1)</f>
        <v>0</v>
      </c>
      <c r="T52" s="207">
        <f>SUMIFS('август 2023'!$G$4:$G$1022,'август 2023'!$D$4:$D$1022,$B52,'август 2023'!$J$4:$J$1022,T$1)</f>
        <v>0</v>
      </c>
      <c r="U52" s="207">
        <f>SUMIFS('август 2023'!$G$4:$G$1022,'август 2023'!$D$4:$D$1022,$B52,'август 2023'!$J$4:$J$1022,U$1)</f>
        <v>0</v>
      </c>
      <c r="V52" s="207">
        <f>SUMIFS('август 2023'!$G$4:$G$1022,'август 2023'!$D$4:$D$1022,$B52,'август 2023'!$J$4:$J$1022,V$1)</f>
        <v>0</v>
      </c>
      <c r="W52" s="207">
        <f>SUMIFS('август 2023'!$G$4:$G$1022,'август 2023'!$D$4:$D$1022,$B52,'август 2023'!$J$4:$J$1022,W$1)</f>
        <v>0</v>
      </c>
      <c r="X52" s="207">
        <f>SUMIFS('август 2023'!$G$4:$G$1022,'август 2023'!$D$4:$D$1022,$B52,'август 2023'!$J$4:$J$1022,X$1)</f>
        <v>0</v>
      </c>
      <c r="Y52" s="207">
        <f>SUMIFS('август 2023'!$G$4:$G$1022,'август 2023'!$D$4:$D$1022,$B52,'август 2023'!$J$4:$J$1022,Y$1)</f>
        <v>0</v>
      </c>
      <c r="Z52" s="207">
        <f>SUMIFS('август 2023'!$G$4:$G$1022,'август 2023'!$D$4:$D$1022,$B52,'август 2023'!$J$4:$J$1022,Z$1)</f>
        <v>0</v>
      </c>
      <c r="AA52" s="207">
        <f>SUMIFS('август 2023'!$G$4:$G$1022,'август 2023'!$D$4:$D$1022,$B52,'август 2023'!$J$4:$J$1022,AA$1)</f>
        <v>0</v>
      </c>
      <c r="AB52" s="207">
        <f>SUMIFS('август 2023'!$G$4:$G$1022,'август 2023'!$D$4:$D$1022,$B52,'август 2023'!$J$4:$J$1022,AB$1)</f>
        <v>0</v>
      </c>
      <c r="AC52" s="207">
        <f>SUMIFS('август 2023'!$G$4:$G$1022,'август 2023'!$D$4:$D$1022,$B52,'август 2023'!$J$4:$J$1022,AC$1)</f>
        <v>0</v>
      </c>
      <c r="AD52" s="207">
        <f>SUMIFS('август 2023'!$G$4:$G$1022,'август 2023'!$D$4:$D$1022,$B52,'август 2023'!$J$4:$J$1022,AD$1)</f>
        <v>0</v>
      </c>
      <c r="AE52" s="207">
        <f>SUMIFS('август 2023'!$G$4:$G$1022,'август 2023'!$D$4:$D$1022,$B52,'август 2023'!$J$4:$J$1022,AE$1)</f>
        <v>0</v>
      </c>
      <c r="AF52" s="207">
        <f>SUMIFS('август 2023'!$G$4:$G$1022,'август 2023'!$D$4:$D$1022,$B52,'август 2023'!$J$4:$J$1022,AF$1)</f>
        <v>0</v>
      </c>
      <c r="AG52" s="207">
        <f>SUMIFS('август 2023'!$G$4:$G$1022,'август 2023'!$D$4:$D$1022,$B52,'август 2023'!$J$4:$J$1022,AG$1)</f>
        <v>0</v>
      </c>
      <c r="AH52" s="207">
        <f>SUMIFS('август 2023'!$G$4:$G$1022,'август 2023'!$D$4:$D$1022,$B52,'август 2023'!$J$4:$J$1022,AH$1)</f>
        <v>0</v>
      </c>
      <c r="AI52" s="170">
        <f t="shared" si="1"/>
        <v>0</v>
      </c>
    </row>
    <row r="53" spans="2:35" ht="15" customHeight="1" x14ac:dyDescent="0.25">
      <c r="B53" s="212" t="s">
        <v>2144</v>
      </c>
      <c r="C53" s="213">
        <v>200</v>
      </c>
      <c r="D53" s="207">
        <f>SUMIFS('август 2023'!$G$4:$G$1022,'август 2023'!$D$4:$D$1022,$B53,'август 2023'!$J$4:$J$1022,D$1)</f>
        <v>0</v>
      </c>
      <c r="E53" s="207">
        <f>SUMIFS('август 2023'!$G$4:$G$1022,'август 2023'!$D$4:$D$1022,$B53,'август 2023'!$J$4:$J$1022,E$1)</f>
        <v>0</v>
      </c>
      <c r="F53" s="207">
        <f>SUMIFS('август 2023'!$G$4:$G$1022,'август 2023'!$D$4:$D$1022,$B53,'август 2023'!$J$4:$J$1022,F$1)</f>
        <v>0</v>
      </c>
      <c r="G53" s="207">
        <f>SUMIFS('август 2023'!$G$4:$G$1022,'август 2023'!$D$4:$D$1022,$B53,'август 2023'!$J$4:$J$1022,G$1)</f>
        <v>0</v>
      </c>
      <c r="H53" s="207">
        <f>SUMIFS('август 2023'!$G$4:$G$1022,'август 2023'!$D$4:$D$1022,$B53,'август 2023'!$J$4:$J$1022,H$1)</f>
        <v>0</v>
      </c>
      <c r="I53" s="207">
        <f>SUMIFS('август 2023'!$G$4:$G$1022,'август 2023'!$D$4:$D$1022,$B53,'август 2023'!$J$4:$J$1022,I$1)</f>
        <v>0</v>
      </c>
      <c r="J53" s="207">
        <f>SUMIFS('август 2023'!$G$4:$G$1022,'август 2023'!$D$4:$D$1022,$B53,'август 2023'!$J$4:$J$1022,J$1)</f>
        <v>0</v>
      </c>
      <c r="K53" s="207">
        <f>SUMIFS('август 2023'!$G$4:$G$1022,'август 2023'!$D$4:$D$1022,$B53,'август 2023'!$J$4:$J$1022,K$1)</f>
        <v>0</v>
      </c>
      <c r="L53" s="207">
        <f>SUMIFS('август 2023'!$G$4:$G$1022,'август 2023'!$D$4:$D$1022,$B53,'август 2023'!$J$4:$J$1022,L$1)</f>
        <v>0</v>
      </c>
      <c r="M53" s="207">
        <f>SUMIFS('август 2023'!$G$4:$G$1022,'август 2023'!$D$4:$D$1022,$B53,'август 2023'!$J$4:$J$1022,M$1)</f>
        <v>0</v>
      </c>
      <c r="N53" s="207">
        <f>SUMIFS('август 2023'!$G$4:$G$1022,'август 2023'!$D$4:$D$1022,$B53,'август 2023'!$J$4:$J$1022,N$1)</f>
        <v>0</v>
      </c>
      <c r="O53" s="207">
        <f>SUMIFS('август 2023'!$G$4:$G$1022,'август 2023'!$D$4:$D$1022,$B53,'август 2023'!$J$4:$J$1022,O$1)</f>
        <v>0</v>
      </c>
      <c r="P53" s="207">
        <f>SUMIFS('август 2023'!$G$4:$G$1022,'август 2023'!$D$4:$D$1022,$B53,'август 2023'!$J$4:$J$1022,P$1)</f>
        <v>0</v>
      </c>
      <c r="Q53" s="207">
        <f>SUMIFS('август 2023'!$G$4:$G$1022,'август 2023'!$D$4:$D$1022,$B53,'август 2023'!$J$4:$J$1022,Q$1)</f>
        <v>0</v>
      </c>
      <c r="R53" s="207">
        <f>SUMIFS('август 2023'!$G$4:$G$1022,'август 2023'!$D$4:$D$1022,$B53,'август 2023'!$J$4:$J$1022,R$1)</f>
        <v>0</v>
      </c>
      <c r="S53" s="207">
        <f>SUMIFS('август 2023'!$G$4:$G$1022,'август 2023'!$D$4:$D$1022,$B53,'август 2023'!$J$4:$J$1022,S$1)</f>
        <v>0</v>
      </c>
      <c r="T53" s="207">
        <f>SUMIFS('август 2023'!$G$4:$G$1022,'август 2023'!$D$4:$D$1022,$B53,'август 2023'!$J$4:$J$1022,T$1)</f>
        <v>0</v>
      </c>
      <c r="U53" s="207">
        <f>SUMIFS('август 2023'!$G$4:$G$1022,'август 2023'!$D$4:$D$1022,$B53,'август 2023'!$J$4:$J$1022,U$1)</f>
        <v>0</v>
      </c>
      <c r="V53" s="207">
        <f>SUMIFS('август 2023'!$G$4:$G$1022,'август 2023'!$D$4:$D$1022,$B53,'август 2023'!$J$4:$J$1022,V$1)</f>
        <v>0</v>
      </c>
      <c r="W53" s="207">
        <f>SUMIFS('август 2023'!$G$4:$G$1022,'август 2023'!$D$4:$D$1022,$B53,'август 2023'!$J$4:$J$1022,W$1)</f>
        <v>0</v>
      </c>
      <c r="X53" s="207">
        <f>SUMIFS('август 2023'!$G$4:$G$1022,'август 2023'!$D$4:$D$1022,$B53,'август 2023'!$J$4:$J$1022,X$1)</f>
        <v>0</v>
      </c>
      <c r="Y53" s="207">
        <f>SUMIFS('август 2023'!$G$4:$G$1022,'август 2023'!$D$4:$D$1022,$B53,'август 2023'!$J$4:$J$1022,Y$1)</f>
        <v>0</v>
      </c>
      <c r="Z53" s="207">
        <f>SUMIFS('август 2023'!$G$4:$G$1022,'август 2023'!$D$4:$D$1022,$B53,'август 2023'!$J$4:$J$1022,Z$1)</f>
        <v>0</v>
      </c>
      <c r="AA53" s="207">
        <f>SUMIFS('август 2023'!$G$4:$G$1022,'август 2023'!$D$4:$D$1022,$B53,'август 2023'!$J$4:$J$1022,AA$1)</f>
        <v>0</v>
      </c>
      <c r="AB53" s="207">
        <f>SUMIFS('август 2023'!$G$4:$G$1022,'август 2023'!$D$4:$D$1022,$B53,'август 2023'!$J$4:$J$1022,AB$1)</f>
        <v>0</v>
      </c>
      <c r="AC53" s="207">
        <f>SUMIFS('август 2023'!$G$4:$G$1022,'август 2023'!$D$4:$D$1022,$B53,'август 2023'!$J$4:$J$1022,AC$1)</f>
        <v>0</v>
      </c>
      <c r="AD53" s="207">
        <f>SUMIFS('август 2023'!$G$4:$G$1022,'август 2023'!$D$4:$D$1022,$B53,'август 2023'!$J$4:$J$1022,AD$1)</f>
        <v>0</v>
      </c>
      <c r="AE53" s="207">
        <f>SUMIFS('август 2023'!$G$4:$G$1022,'август 2023'!$D$4:$D$1022,$B53,'август 2023'!$J$4:$J$1022,AE$1)</f>
        <v>0</v>
      </c>
      <c r="AF53" s="207">
        <f>SUMIFS('август 2023'!$G$4:$G$1022,'август 2023'!$D$4:$D$1022,$B53,'август 2023'!$J$4:$J$1022,AF$1)</f>
        <v>0</v>
      </c>
      <c r="AG53" s="207">
        <f>SUMIFS('август 2023'!$G$4:$G$1022,'август 2023'!$D$4:$D$1022,$B53,'август 2023'!$J$4:$J$1022,AG$1)</f>
        <v>0</v>
      </c>
      <c r="AH53" s="207">
        <f>SUMIFS('август 2023'!$G$4:$G$1022,'август 2023'!$D$4:$D$1022,$B53,'август 2023'!$J$4:$J$1022,AH$1)</f>
        <v>0</v>
      </c>
      <c r="AI53" s="170">
        <f t="shared" si="1"/>
        <v>0</v>
      </c>
    </row>
    <row r="54" spans="2:35" ht="15" customHeight="1" x14ac:dyDescent="0.25">
      <c r="B54" s="217" t="s">
        <v>50</v>
      </c>
      <c r="C54" s="213">
        <v>200</v>
      </c>
      <c r="D54" s="207">
        <f>SUMIFS('август 2023'!$G$4:$G$1022,'август 2023'!$D$4:$D$1022,$B54,'август 2023'!$J$4:$J$1022,D$1)</f>
        <v>0</v>
      </c>
      <c r="E54" s="207">
        <f>SUMIFS('август 2023'!$G$4:$G$1022,'август 2023'!$D$4:$D$1022,$B54,'август 2023'!$J$4:$J$1022,E$1)</f>
        <v>0</v>
      </c>
      <c r="F54" s="207">
        <f>SUMIFS('август 2023'!$G$4:$G$1022,'август 2023'!$D$4:$D$1022,$B54,'август 2023'!$J$4:$J$1022,F$1)</f>
        <v>0</v>
      </c>
      <c r="G54" s="207">
        <f>SUMIFS('август 2023'!$G$4:$G$1022,'август 2023'!$D$4:$D$1022,$B54,'август 2023'!$J$4:$J$1022,G$1)</f>
        <v>0</v>
      </c>
      <c r="H54" s="207">
        <f>SUMIFS('август 2023'!$G$4:$G$1022,'август 2023'!$D$4:$D$1022,$B54,'август 2023'!$J$4:$J$1022,H$1)</f>
        <v>0</v>
      </c>
      <c r="I54" s="207">
        <f>SUMIFS('август 2023'!$G$4:$G$1022,'август 2023'!$D$4:$D$1022,$B54,'август 2023'!$J$4:$J$1022,I$1)</f>
        <v>0</v>
      </c>
      <c r="J54" s="207">
        <f>SUMIFS('август 2023'!$G$4:$G$1022,'август 2023'!$D$4:$D$1022,$B54,'август 2023'!$J$4:$J$1022,J$1)</f>
        <v>0</v>
      </c>
      <c r="K54" s="207">
        <f>SUMIFS('август 2023'!$G$4:$G$1022,'август 2023'!$D$4:$D$1022,$B54,'август 2023'!$J$4:$J$1022,K$1)</f>
        <v>0</v>
      </c>
      <c r="L54" s="207">
        <f>SUMIFS('август 2023'!$G$4:$G$1022,'август 2023'!$D$4:$D$1022,$B54,'август 2023'!$J$4:$J$1022,L$1)</f>
        <v>0</v>
      </c>
      <c r="M54" s="207">
        <f>SUMIFS('август 2023'!$G$4:$G$1022,'август 2023'!$D$4:$D$1022,$B54,'август 2023'!$J$4:$J$1022,M$1)</f>
        <v>0</v>
      </c>
      <c r="N54" s="207">
        <f>SUMIFS('август 2023'!$G$4:$G$1022,'август 2023'!$D$4:$D$1022,$B54,'август 2023'!$J$4:$J$1022,N$1)</f>
        <v>0</v>
      </c>
      <c r="O54" s="207">
        <f>SUMIFS('август 2023'!$G$4:$G$1022,'август 2023'!$D$4:$D$1022,$B54,'август 2023'!$J$4:$J$1022,O$1)</f>
        <v>0</v>
      </c>
      <c r="P54" s="207">
        <f>SUMIFS('август 2023'!$G$4:$G$1022,'август 2023'!$D$4:$D$1022,$B54,'август 2023'!$J$4:$J$1022,P$1)</f>
        <v>0</v>
      </c>
      <c r="Q54" s="207">
        <f>SUMIFS('август 2023'!$G$4:$G$1022,'август 2023'!$D$4:$D$1022,$B54,'август 2023'!$J$4:$J$1022,Q$1)</f>
        <v>0</v>
      </c>
      <c r="R54" s="207">
        <f>SUMIFS('август 2023'!$G$4:$G$1022,'август 2023'!$D$4:$D$1022,$B54,'август 2023'!$J$4:$J$1022,R$1)</f>
        <v>0</v>
      </c>
      <c r="S54" s="207">
        <f>SUMIFS('август 2023'!$G$4:$G$1022,'август 2023'!$D$4:$D$1022,$B54,'август 2023'!$J$4:$J$1022,S$1)</f>
        <v>0</v>
      </c>
      <c r="T54" s="207">
        <f>SUMIFS('август 2023'!$G$4:$G$1022,'август 2023'!$D$4:$D$1022,$B54,'август 2023'!$J$4:$J$1022,T$1)</f>
        <v>0</v>
      </c>
      <c r="U54" s="207">
        <f>SUMIFS('август 2023'!$G$4:$G$1022,'август 2023'!$D$4:$D$1022,$B54,'август 2023'!$J$4:$J$1022,U$1)</f>
        <v>0</v>
      </c>
      <c r="V54" s="207">
        <f>SUMIFS('август 2023'!$G$4:$G$1022,'август 2023'!$D$4:$D$1022,$B54,'август 2023'!$J$4:$J$1022,V$1)</f>
        <v>0</v>
      </c>
      <c r="W54" s="207">
        <f>SUMIFS('август 2023'!$G$4:$G$1022,'август 2023'!$D$4:$D$1022,$B54,'август 2023'!$J$4:$J$1022,W$1)</f>
        <v>0</v>
      </c>
      <c r="X54" s="207">
        <f>SUMIFS('август 2023'!$G$4:$G$1022,'август 2023'!$D$4:$D$1022,$B54,'август 2023'!$J$4:$J$1022,X$1)</f>
        <v>0</v>
      </c>
      <c r="Y54" s="207">
        <f>SUMIFS('август 2023'!$G$4:$G$1022,'август 2023'!$D$4:$D$1022,$B54,'август 2023'!$J$4:$J$1022,Y$1)</f>
        <v>0</v>
      </c>
      <c r="Z54" s="207">
        <f>SUMIFS('август 2023'!$G$4:$G$1022,'август 2023'!$D$4:$D$1022,$B54,'август 2023'!$J$4:$J$1022,Z$1)</f>
        <v>0</v>
      </c>
      <c r="AA54" s="207">
        <f>SUMIFS('август 2023'!$G$4:$G$1022,'август 2023'!$D$4:$D$1022,$B54,'август 2023'!$J$4:$J$1022,AA$1)</f>
        <v>0</v>
      </c>
      <c r="AB54" s="207">
        <f>SUMIFS('август 2023'!$G$4:$G$1022,'август 2023'!$D$4:$D$1022,$B54,'август 2023'!$J$4:$J$1022,AB$1)</f>
        <v>0</v>
      </c>
      <c r="AC54" s="207">
        <f>SUMIFS('август 2023'!$G$4:$G$1022,'август 2023'!$D$4:$D$1022,$B54,'август 2023'!$J$4:$J$1022,AC$1)</f>
        <v>0</v>
      </c>
      <c r="AD54" s="207">
        <f>SUMIFS('август 2023'!$G$4:$G$1022,'август 2023'!$D$4:$D$1022,$B54,'август 2023'!$J$4:$J$1022,AD$1)</f>
        <v>0</v>
      </c>
      <c r="AE54" s="207">
        <f>SUMIFS('август 2023'!$G$4:$G$1022,'август 2023'!$D$4:$D$1022,$B54,'август 2023'!$J$4:$J$1022,AE$1)</f>
        <v>0</v>
      </c>
      <c r="AF54" s="207">
        <f>SUMIFS('август 2023'!$G$4:$G$1022,'август 2023'!$D$4:$D$1022,$B54,'август 2023'!$J$4:$J$1022,AF$1)</f>
        <v>0</v>
      </c>
      <c r="AG54" s="207">
        <f>SUMIFS('август 2023'!$G$4:$G$1022,'август 2023'!$D$4:$D$1022,$B54,'август 2023'!$J$4:$J$1022,AG$1)</f>
        <v>0</v>
      </c>
      <c r="AH54" s="207">
        <f>SUMIFS('август 2023'!$G$4:$G$1022,'август 2023'!$D$4:$D$1022,$B54,'август 2023'!$J$4:$J$1022,AH$1)</f>
        <v>0</v>
      </c>
      <c r="AI54" s="170">
        <f t="shared" si="1"/>
        <v>0</v>
      </c>
    </row>
    <row r="55" spans="2:35" ht="15" customHeight="1" x14ac:dyDescent="0.25">
      <c r="B55" s="217" t="s">
        <v>2148</v>
      </c>
      <c r="C55" s="213">
        <v>190</v>
      </c>
      <c r="D55" s="207">
        <f>SUMIFS('август 2023'!$G$4:$G$1022,'август 2023'!$D$4:$D$1022,$B55,'август 2023'!$J$4:$J$1022,D$1)</f>
        <v>0</v>
      </c>
      <c r="E55" s="207">
        <f>SUMIFS('август 2023'!$G$4:$G$1022,'август 2023'!$D$4:$D$1022,$B55,'август 2023'!$J$4:$J$1022,E$1)</f>
        <v>0</v>
      </c>
      <c r="F55" s="207">
        <f>SUMIFS('август 2023'!$G$4:$G$1022,'август 2023'!$D$4:$D$1022,$B55,'август 2023'!$J$4:$J$1022,F$1)</f>
        <v>0</v>
      </c>
      <c r="G55" s="207">
        <f>SUMIFS('август 2023'!$G$4:$G$1022,'август 2023'!$D$4:$D$1022,$B55,'август 2023'!$J$4:$J$1022,G$1)</f>
        <v>0</v>
      </c>
      <c r="H55" s="207">
        <f>SUMIFS('август 2023'!$G$4:$G$1022,'август 2023'!$D$4:$D$1022,$B55,'август 2023'!$J$4:$J$1022,H$1)</f>
        <v>0</v>
      </c>
      <c r="I55" s="207">
        <f>SUMIFS('август 2023'!$G$4:$G$1022,'август 2023'!$D$4:$D$1022,$B55,'август 2023'!$J$4:$J$1022,I$1)</f>
        <v>0</v>
      </c>
      <c r="J55" s="207">
        <f>SUMIFS('август 2023'!$G$4:$G$1022,'август 2023'!$D$4:$D$1022,$B55,'август 2023'!$J$4:$J$1022,J$1)</f>
        <v>0</v>
      </c>
      <c r="K55" s="207">
        <f>SUMIFS('август 2023'!$G$4:$G$1022,'август 2023'!$D$4:$D$1022,$B55,'август 2023'!$J$4:$J$1022,K$1)</f>
        <v>0</v>
      </c>
      <c r="L55" s="207">
        <f>SUMIFS('август 2023'!$G$4:$G$1022,'август 2023'!$D$4:$D$1022,$B55,'август 2023'!$J$4:$J$1022,L$1)</f>
        <v>0</v>
      </c>
      <c r="M55" s="207">
        <f>SUMIFS('август 2023'!$G$4:$G$1022,'август 2023'!$D$4:$D$1022,$B55,'август 2023'!$J$4:$J$1022,M$1)</f>
        <v>0</v>
      </c>
      <c r="N55" s="207">
        <f>SUMIFS('август 2023'!$G$4:$G$1022,'август 2023'!$D$4:$D$1022,$B55,'август 2023'!$J$4:$J$1022,N$1)</f>
        <v>0</v>
      </c>
      <c r="O55" s="207">
        <f>SUMIFS('август 2023'!$G$4:$G$1022,'август 2023'!$D$4:$D$1022,$B55,'август 2023'!$J$4:$J$1022,O$1)</f>
        <v>0</v>
      </c>
      <c r="P55" s="207">
        <f>SUMIFS('август 2023'!$G$4:$G$1022,'август 2023'!$D$4:$D$1022,$B55,'август 2023'!$J$4:$J$1022,P$1)</f>
        <v>0</v>
      </c>
      <c r="Q55" s="207">
        <f>SUMIFS('август 2023'!$G$4:$G$1022,'август 2023'!$D$4:$D$1022,$B55,'август 2023'!$J$4:$J$1022,Q$1)</f>
        <v>0</v>
      </c>
      <c r="R55" s="207">
        <f>SUMIFS('август 2023'!$G$4:$G$1022,'август 2023'!$D$4:$D$1022,$B55,'август 2023'!$J$4:$J$1022,R$1)</f>
        <v>0</v>
      </c>
      <c r="S55" s="207">
        <f>SUMIFS('август 2023'!$G$4:$G$1022,'август 2023'!$D$4:$D$1022,$B55,'август 2023'!$J$4:$J$1022,S$1)</f>
        <v>0</v>
      </c>
      <c r="T55" s="207">
        <f>SUMIFS('август 2023'!$G$4:$G$1022,'август 2023'!$D$4:$D$1022,$B55,'август 2023'!$J$4:$J$1022,T$1)</f>
        <v>0</v>
      </c>
      <c r="U55" s="207">
        <f>SUMIFS('август 2023'!$G$4:$G$1022,'август 2023'!$D$4:$D$1022,$B55,'август 2023'!$J$4:$J$1022,U$1)</f>
        <v>0</v>
      </c>
      <c r="V55" s="207">
        <f>SUMIFS('август 2023'!$G$4:$G$1022,'август 2023'!$D$4:$D$1022,$B55,'август 2023'!$J$4:$J$1022,V$1)</f>
        <v>0</v>
      </c>
      <c r="W55" s="207">
        <f>SUMIFS('август 2023'!$G$4:$G$1022,'август 2023'!$D$4:$D$1022,$B55,'август 2023'!$J$4:$J$1022,W$1)</f>
        <v>0</v>
      </c>
      <c r="X55" s="207">
        <f>SUMIFS('август 2023'!$G$4:$G$1022,'август 2023'!$D$4:$D$1022,$B55,'август 2023'!$J$4:$J$1022,X$1)</f>
        <v>0</v>
      </c>
      <c r="Y55" s="207">
        <f>SUMIFS('август 2023'!$G$4:$G$1022,'август 2023'!$D$4:$D$1022,$B55,'август 2023'!$J$4:$J$1022,Y$1)</f>
        <v>0</v>
      </c>
      <c r="Z55" s="207">
        <f>SUMIFS('август 2023'!$G$4:$G$1022,'август 2023'!$D$4:$D$1022,$B55,'август 2023'!$J$4:$J$1022,Z$1)</f>
        <v>0</v>
      </c>
      <c r="AA55" s="207">
        <f>SUMIFS('август 2023'!$G$4:$G$1022,'август 2023'!$D$4:$D$1022,$B55,'август 2023'!$J$4:$J$1022,AA$1)</f>
        <v>0</v>
      </c>
      <c r="AB55" s="207">
        <f>SUMIFS('август 2023'!$G$4:$G$1022,'август 2023'!$D$4:$D$1022,$B55,'август 2023'!$J$4:$J$1022,AB$1)</f>
        <v>0</v>
      </c>
      <c r="AC55" s="207">
        <f>SUMIFS('август 2023'!$G$4:$G$1022,'август 2023'!$D$4:$D$1022,$B55,'август 2023'!$J$4:$J$1022,AC$1)</f>
        <v>0</v>
      </c>
      <c r="AD55" s="207">
        <f>SUMIFS('август 2023'!$G$4:$G$1022,'август 2023'!$D$4:$D$1022,$B55,'август 2023'!$J$4:$J$1022,AD$1)</f>
        <v>0</v>
      </c>
      <c r="AE55" s="207">
        <f>SUMIFS('август 2023'!$G$4:$G$1022,'август 2023'!$D$4:$D$1022,$B55,'август 2023'!$J$4:$J$1022,AE$1)</f>
        <v>0</v>
      </c>
      <c r="AF55" s="207">
        <f>SUMIFS('август 2023'!$G$4:$G$1022,'август 2023'!$D$4:$D$1022,$B55,'август 2023'!$J$4:$J$1022,AF$1)</f>
        <v>0</v>
      </c>
      <c r="AG55" s="207">
        <f>SUMIFS('август 2023'!$G$4:$G$1022,'август 2023'!$D$4:$D$1022,$B55,'август 2023'!$J$4:$J$1022,AG$1)</f>
        <v>0</v>
      </c>
      <c r="AH55" s="207">
        <f>SUMIFS('август 2023'!$G$4:$G$1022,'август 2023'!$D$4:$D$1022,$B55,'август 2023'!$J$4:$J$1022,AH$1)</f>
        <v>0</v>
      </c>
      <c r="AI55" s="170">
        <f t="shared" si="1"/>
        <v>0</v>
      </c>
    </row>
    <row r="56" spans="2:35" ht="15" customHeight="1" x14ac:dyDescent="0.25">
      <c r="B56" s="217" t="s">
        <v>421</v>
      </c>
      <c r="C56" s="213">
        <v>200</v>
      </c>
      <c r="D56" s="207">
        <f>SUMIFS('август 2023'!$G$4:$G$1022,'август 2023'!$D$4:$D$1022,$B56,'август 2023'!$J$4:$J$1022,D$1)</f>
        <v>0</v>
      </c>
      <c r="E56" s="207">
        <f>SUMIFS('август 2023'!$G$4:$G$1022,'август 2023'!$D$4:$D$1022,$B56,'август 2023'!$J$4:$J$1022,E$1)</f>
        <v>0</v>
      </c>
      <c r="F56" s="207">
        <f>SUMIFS('август 2023'!$G$4:$G$1022,'август 2023'!$D$4:$D$1022,$B56,'август 2023'!$J$4:$J$1022,F$1)</f>
        <v>0</v>
      </c>
      <c r="G56" s="207">
        <f>SUMIFS('август 2023'!$G$4:$G$1022,'август 2023'!$D$4:$D$1022,$B56,'август 2023'!$J$4:$J$1022,G$1)</f>
        <v>0</v>
      </c>
      <c r="H56" s="207">
        <f>SUMIFS('август 2023'!$G$4:$G$1022,'август 2023'!$D$4:$D$1022,$B56,'август 2023'!$J$4:$J$1022,H$1)</f>
        <v>0</v>
      </c>
      <c r="I56" s="207">
        <f>SUMIFS('август 2023'!$G$4:$G$1022,'август 2023'!$D$4:$D$1022,$B56,'август 2023'!$J$4:$J$1022,I$1)</f>
        <v>0</v>
      </c>
      <c r="J56" s="207">
        <f>SUMIFS('август 2023'!$G$4:$G$1022,'август 2023'!$D$4:$D$1022,$B56,'август 2023'!$J$4:$J$1022,J$1)</f>
        <v>0</v>
      </c>
      <c r="K56" s="207">
        <f>SUMIFS('август 2023'!$G$4:$G$1022,'август 2023'!$D$4:$D$1022,$B56,'август 2023'!$J$4:$J$1022,K$1)</f>
        <v>0</v>
      </c>
      <c r="L56" s="207">
        <f>SUMIFS('август 2023'!$G$4:$G$1022,'август 2023'!$D$4:$D$1022,$B56,'август 2023'!$J$4:$J$1022,L$1)</f>
        <v>0</v>
      </c>
      <c r="M56" s="207">
        <f>SUMIFS('август 2023'!$G$4:$G$1022,'август 2023'!$D$4:$D$1022,$B56,'август 2023'!$J$4:$J$1022,M$1)</f>
        <v>0</v>
      </c>
      <c r="N56" s="207">
        <f>SUMIFS('август 2023'!$G$4:$G$1022,'август 2023'!$D$4:$D$1022,$B56,'август 2023'!$J$4:$J$1022,N$1)</f>
        <v>0</v>
      </c>
      <c r="O56" s="207">
        <f>SUMIFS('август 2023'!$G$4:$G$1022,'август 2023'!$D$4:$D$1022,$B56,'август 2023'!$J$4:$J$1022,O$1)</f>
        <v>0</v>
      </c>
      <c r="P56" s="207">
        <f>SUMIFS('август 2023'!$G$4:$G$1022,'август 2023'!$D$4:$D$1022,$B56,'август 2023'!$J$4:$J$1022,P$1)</f>
        <v>0</v>
      </c>
      <c r="Q56" s="207">
        <f>SUMIFS('август 2023'!$G$4:$G$1022,'август 2023'!$D$4:$D$1022,$B56,'август 2023'!$J$4:$J$1022,Q$1)</f>
        <v>0</v>
      </c>
      <c r="R56" s="207">
        <f>SUMIFS('август 2023'!$G$4:$G$1022,'август 2023'!$D$4:$D$1022,$B56,'август 2023'!$J$4:$J$1022,R$1)</f>
        <v>0</v>
      </c>
      <c r="S56" s="207">
        <f>SUMIFS('август 2023'!$G$4:$G$1022,'август 2023'!$D$4:$D$1022,$B56,'август 2023'!$J$4:$J$1022,S$1)</f>
        <v>0</v>
      </c>
      <c r="T56" s="207">
        <f>SUMIFS('август 2023'!$G$4:$G$1022,'август 2023'!$D$4:$D$1022,$B56,'август 2023'!$J$4:$J$1022,T$1)</f>
        <v>0</v>
      </c>
      <c r="U56" s="207">
        <f>SUMIFS('август 2023'!$G$4:$G$1022,'август 2023'!$D$4:$D$1022,$B56,'август 2023'!$J$4:$J$1022,U$1)</f>
        <v>0</v>
      </c>
      <c r="V56" s="207">
        <f>SUMIFS('август 2023'!$G$4:$G$1022,'август 2023'!$D$4:$D$1022,$B56,'август 2023'!$J$4:$J$1022,V$1)</f>
        <v>0</v>
      </c>
      <c r="W56" s="207">
        <f>SUMIFS('август 2023'!$G$4:$G$1022,'август 2023'!$D$4:$D$1022,$B56,'август 2023'!$J$4:$J$1022,W$1)</f>
        <v>0</v>
      </c>
      <c r="X56" s="207">
        <f>SUMIFS('август 2023'!$G$4:$G$1022,'август 2023'!$D$4:$D$1022,$B56,'август 2023'!$J$4:$J$1022,X$1)</f>
        <v>0</v>
      </c>
      <c r="Y56" s="207">
        <f>SUMIFS('август 2023'!$G$4:$G$1022,'август 2023'!$D$4:$D$1022,$B56,'август 2023'!$J$4:$J$1022,Y$1)</f>
        <v>0</v>
      </c>
      <c r="Z56" s="207">
        <f>SUMIFS('август 2023'!$G$4:$G$1022,'август 2023'!$D$4:$D$1022,$B56,'август 2023'!$J$4:$J$1022,Z$1)</f>
        <v>0</v>
      </c>
      <c r="AA56" s="207">
        <f>SUMIFS('август 2023'!$G$4:$G$1022,'август 2023'!$D$4:$D$1022,$B56,'август 2023'!$J$4:$J$1022,AA$1)</f>
        <v>0</v>
      </c>
      <c r="AB56" s="207">
        <f>SUMIFS('август 2023'!$G$4:$G$1022,'август 2023'!$D$4:$D$1022,$B56,'август 2023'!$J$4:$J$1022,AB$1)</f>
        <v>0</v>
      </c>
      <c r="AC56" s="207">
        <f>SUMIFS('август 2023'!$G$4:$G$1022,'август 2023'!$D$4:$D$1022,$B56,'август 2023'!$J$4:$J$1022,AC$1)</f>
        <v>0</v>
      </c>
      <c r="AD56" s="207">
        <f>SUMIFS('август 2023'!$G$4:$G$1022,'август 2023'!$D$4:$D$1022,$B56,'август 2023'!$J$4:$J$1022,AD$1)</f>
        <v>0</v>
      </c>
      <c r="AE56" s="207">
        <f>SUMIFS('август 2023'!$G$4:$G$1022,'август 2023'!$D$4:$D$1022,$B56,'август 2023'!$J$4:$J$1022,AE$1)</f>
        <v>0</v>
      </c>
      <c r="AF56" s="207">
        <f>SUMIFS('август 2023'!$G$4:$G$1022,'август 2023'!$D$4:$D$1022,$B56,'август 2023'!$J$4:$J$1022,AF$1)</f>
        <v>0</v>
      </c>
      <c r="AG56" s="207">
        <f>SUMIFS('август 2023'!$G$4:$G$1022,'август 2023'!$D$4:$D$1022,$B56,'август 2023'!$J$4:$J$1022,AG$1)</f>
        <v>88</v>
      </c>
      <c r="AH56" s="207">
        <f>SUMIFS('август 2023'!$G$4:$G$1022,'август 2023'!$D$4:$D$1022,$B56,'август 2023'!$J$4:$J$1022,AH$1)</f>
        <v>0</v>
      </c>
      <c r="AI56" s="170">
        <f t="shared" si="1"/>
        <v>88</v>
      </c>
    </row>
    <row r="57" spans="2:35" ht="15" customHeight="1" x14ac:dyDescent="0.25">
      <c r="B57" s="217" t="s">
        <v>795</v>
      </c>
      <c r="C57" s="213">
        <v>30</v>
      </c>
      <c r="D57" s="207">
        <f>SUMIFS('август 2023'!$G$4:$G$1022,'август 2023'!$D$4:$D$1022,$B57,'август 2023'!$J$4:$J$1022,D$1)</f>
        <v>0</v>
      </c>
      <c r="E57" s="207">
        <f>SUMIFS('август 2023'!$G$4:$G$1022,'август 2023'!$D$4:$D$1022,$B57,'август 2023'!$J$4:$J$1022,E$1)</f>
        <v>0</v>
      </c>
      <c r="F57" s="207">
        <f>SUMIFS('август 2023'!$G$4:$G$1022,'август 2023'!$D$4:$D$1022,$B57,'август 2023'!$J$4:$J$1022,F$1)</f>
        <v>0</v>
      </c>
      <c r="G57" s="207">
        <f>SUMIFS('август 2023'!$G$4:$G$1022,'август 2023'!$D$4:$D$1022,$B57,'август 2023'!$J$4:$J$1022,G$1)</f>
        <v>67</v>
      </c>
      <c r="H57" s="207">
        <f>SUMIFS('август 2023'!$G$4:$G$1022,'август 2023'!$D$4:$D$1022,$B57,'август 2023'!$J$4:$J$1022,H$1)</f>
        <v>0</v>
      </c>
      <c r="I57" s="207">
        <f>SUMIFS('август 2023'!$G$4:$G$1022,'август 2023'!$D$4:$D$1022,$B57,'август 2023'!$J$4:$J$1022,I$1)</f>
        <v>0</v>
      </c>
      <c r="J57" s="207">
        <f>SUMIFS('август 2023'!$G$4:$G$1022,'август 2023'!$D$4:$D$1022,$B57,'август 2023'!$J$4:$J$1022,J$1)</f>
        <v>0</v>
      </c>
      <c r="K57" s="207">
        <f>SUMIFS('август 2023'!$G$4:$G$1022,'август 2023'!$D$4:$D$1022,$B57,'август 2023'!$J$4:$J$1022,K$1)</f>
        <v>0</v>
      </c>
      <c r="L57" s="207">
        <f>SUMIFS('август 2023'!$G$4:$G$1022,'август 2023'!$D$4:$D$1022,$B57,'август 2023'!$J$4:$J$1022,L$1)</f>
        <v>0</v>
      </c>
      <c r="M57" s="207">
        <f>SUMIFS('август 2023'!$G$4:$G$1022,'август 2023'!$D$4:$D$1022,$B57,'август 2023'!$J$4:$J$1022,M$1)</f>
        <v>0</v>
      </c>
      <c r="N57" s="207">
        <f>SUMIFS('август 2023'!$G$4:$G$1022,'август 2023'!$D$4:$D$1022,$B57,'август 2023'!$J$4:$J$1022,N$1)</f>
        <v>0</v>
      </c>
      <c r="O57" s="207">
        <f>SUMIFS('август 2023'!$G$4:$G$1022,'август 2023'!$D$4:$D$1022,$B57,'август 2023'!$J$4:$J$1022,O$1)</f>
        <v>0</v>
      </c>
      <c r="P57" s="207">
        <f>SUMIFS('август 2023'!$G$4:$G$1022,'август 2023'!$D$4:$D$1022,$B57,'август 2023'!$J$4:$J$1022,P$1)</f>
        <v>0</v>
      </c>
      <c r="Q57" s="207">
        <f>SUMIFS('август 2023'!$G$4:$G$1022,'август 2023'!$D$4:$D$1022,$B57,'август 2023'!$J$4:$J$1022,Q$1)</f>
        <v>0</v>
      </c>
      <c r="R57" s="207">
        <f>SUMIFS('август 2023'!$G$4:$G$1022,'август 2023'!$D$4:$D$1022,$B57,'август 2023'!$J$4:$J$1022,R$1)</f>
        <v>0</v>
      </c>
      <c r="S57" s="207">
        <f>SUMIFS('август 2023'!$G$4:$G$1022,'август 2023'!$D$4:$D$1022,$B57,'август 2023'!$J$4:$J$1022,S$1)</f>
        <v>0</v>
      </c>
      <c r="T57" s="207">
        <f>SUMIFS('август 2023'!$G$4:$G$1022,'август 2023'!$D$4:$D$1022,$B57,'август 2023'!$J$4:$J$1022,T$1)</f>
        <v>0</v>
      </c>
      <c r="U57" s="207">
        <f>SUMIFS('август 2023'!$G$4:$G$1022,'август 2023'!$D$4:$D$1022,$B57,'август 2023'!$J$4:$J$1022,U$1)</f>
        <v>0</v>
      </c>
      <c r="V57" s="207">
        <f>SUMIFS('август 2023'!$G$4:$G$1022,'август 2023'!$D$4:$D$1022,$B57,'август 2023'!$J$4:$J$1022,V$1)</f>
        <v>0</v>
      </c>
      <c r="W57" s="207">
        <f>SUMIFS('август 2023'!$G$4:$G$1022,'август 2023'!$D$4:$D$1022,$B57,'август 2023'!$J$4:$J$1022,W$1)</f>
        <v>0</v>
      </c>
      <c r="X57" s="207">
        <f>SUMIFS('август 2023'!$G$4:$G$1022,'август 2023'!$D$4:$D$1022,$B57,'август 2023'!$J$4:$J$1022,X$1)</f>
        <v>0</v>
      </c>
      <c r="Y57" s="207">
        <f>SUMIFS('август 2023'!$G$4:$G$1022,'август 2023'!$D$4:$D$1022,$B57,'август 2023'!$J$4:$J$1022,Y$1)</f>
        <v>0</v>
      </c>
      <c r="Z57" s="207">
        <f>SUMIFS('август 2023'!$G$4:$G$1022,'август 2023'!$D$4:$D$1022,$B57,'август 2023'!$J$4:$J$1022,Z$1)</f>
        <v>0</v>
      </c>
      <c r="AA57" s="207">
        <f>SUMIFS('август 2023'!$G$4:$G$1022,'август 2023'!$D$4:$D$1022,$B57,'август 2023'!$J$4:$J$1022,AA$1)</f>
        <v>0</v>
      </c>
      <c r="AB57" s="207">
        <f>SUMIFS('август 2023'!$G$4:$G$1022,'август 2023'!$D$4:$D$1022,$B57,'август 2023'!$J$4:$J$1022,AB$1)</f>
        <v>0</v>
      </c>
      <c r="AC57" s="207">
        <f>SUMIFS('август 2023'!$G$4:$G$1022,'август 2023'!$D$4:$D$1022,$B57,'август 2023'!$J$4:$J$1022,AC$1)</f>
        <v>0</v>
      </c>
      <c r="AD57" s="207">
        <f>SUMIFS('август 2023'!$G$4:$G$1022,'август 2023'!$D$4:$D$1022,$B57,'август 2023'!$J$4:$J$1022,AD$1)</f>
        <v>0</v>
      </c>
      <c r="AE57" s="207">
        <f>SUMIFS('август 2023'!$G$4:$G$1022,'август 2023'!$D$4:$D$1022,$B57,'август 2023'!$J$4:$J$1022,AE$1)</f>
        <v>0</v>
      </c>
      <c r="AF57" s="207">
        <f>SUMIFS('август 2023'!$G$4:$G$1022,'август 2023'!$D$4:$D$1022,$B57,'август 2023'!$J$4:$J$1022,AF$1)</f>
        <v>0</v>
      </c>
      <c r="AG57" s="207">
        <f>SUMIFS('август 2023'!$G$4:$G$1022,'август 2023'!$D$4:$D$1022,$B57,'август 2023'!$J$4:$J$1022,AG$1)</f>
        <v>0</v>
      </c>
      <c r="AH57" s="207">
        <f>SUMIFS('август 2023'!$G$4:$G$1022,'август 2023'!$D$4:$D$1022,$B57,'август 2023'!$J$4:$J$1022,AH$1)</f>
        <v>0</v>
      </c>
      <c r="AI57" s="170">
        <f t="shared" si="1"/>
        <v>67</v>
      </c>
    </row>
    <row r="58" spans="2:35" ht="15" customHeight="1" x14ac:dyDescent="0.25">
      <c r="B58" s="217" t="s">
        <v>222</v>
      </c>
      <c r="C58" s="213">
        <v>50</v>
      </c>
      <c r="D58" s="207">
        <f>SUMIFS('август 2023'!$G$4:$G$1022,'август 2023'!$D$4:$D$1022,$B58,'август 2023'!$J$4:$J$1022,D$1)</f>
        <v>0</v>
      </c>
      <c r="E58" s="207">
        <f>SUMIFS('август 2023'!$G$4:$G$1022,'август 2023'!$D$4:$D$1022,$B58,'август 2023'!$J$4:$J$1022,E$1)</f>
        <v>0</v>
      </c>
      <c r="F58" s="207">
        <f>SUMIFS('август 2023'!$G$4:$G$1022,'август 2023'!$D$4:$D$1022,$B58,'август 2023'!$J$4:$J$1022,F$1)</f>
        <v>0</v>
      </c>
      <c r="G58" s="207">
        <f>SUMIFS('август 2023'!$G$4:$G$1022,'август 2023'!$D$4:$D$1022,$B58,'август 2023'!$J$4:$J$1022,G$1)</f>
        <v>0</v>
      </c>
      <c r="H58" s="207">
        <f>SUMIFS('август 2023'!$G$4:$G$1022,'август 2023'!$D$4:$D$1022,$B58,'август 2023'!$J$4:$J$1022,H$1)</f>
        <v>0</v>
      </c>
      <c r="I58" s="207">
        <f>SUMIFS('август 2023'!$G$4:$G$1022,'август 2023'!$D$4:$D$1022,$B58,'август 2023'!$J$4:$J$1022,I$1)</f>
        <v>0</v>
      </c>
      <c r="J58" s="207">
        <f>SUMIFS('август 2023'!$G$4:$G$1022,'август 2023'!$D$4:$D$1022,$B58,'август 2023'!$J$4:$J$1022,J$1)</f>
        <v>0</v>
      </c>
      <c r="K58" s="207">
        <f>SUMIFS('август 2023'!$G$4:$G$1022,'август 2023'!$D$4:$D$1022,$B58,'август 2023'!$J$4:$J$1022,K$1)</f>
        <v>0</v>
      </c>
      <c r="L58" s="207">
        <f>SUMIFS('август 2023'!$G$4:$G$1022,'август 2023'!$D$4:$D$1022,$B58,'август 2023'!$J$4:$J$1022,L$1)</f>
        <v>0</v>
      </c>
      <c r="M58" s="207">
        <f>SUMIFS('август 2023'!$G$4:$G$1022,'август 2023'!$D$4:$D$1022,$B58,'август 2023'!$J$4:$J$1022,M$1)</f>
        <v>0</v>
      </c>
      <c r="N58" s="207">
        <f>SUMIFS('август 2023'!$G$4:$G$1022,'август 2023'!$D$4:$D$1022,$B58,'август 2023'!$J$4:$J$1022,N$1)</f>
        <v>0</v>
      </c>
      <c r="O58" s="207">
        <f>SUMIFS('август 2023'!$G$4:$G$1022,'август 2023'!$D$4:$D$1022,$B58,'август 2023'!$J$4:$J$1022,O$1)</f>
        <v>0</v>
      </c>
      <c r="P58" s="207">
        <f>SUMIFS('август 2023'!$G$4:$G$1022,'август 2023'!$D$4:$D$1022,$B58,'август 2023'!$J$4:$J$1022,P$1)</f>
        <v>0</v>
      </c>
      <c r="Q58" s="207">
        <f>SUMIFS('август 2023'!$G$4:$G$1022,'август 2023'!$D$4:$D$1022,$B58,'август 2023'!$J$4:$J$1022,Q$1)</f>
        <v>0</v>
      </c>
      <c r="R58" s="207">
        <f>SUMIFS('август 2023'!$G$4:$G$1022,'август 2023'!$D$4:$D$1022,$B58,'август 2023'!$J$4:$J$1022,R$1)</f>
        <v>0</v>
      </c>
      <c r="S58" s="207">
        <f>SUMIFS('август 2023'!$G$4:$G$1022,'август 2023'!$D$4:$D$1022,$B58,'август 2023'!$J$4:$J$1022,S$1)</f>
        <v>0</v>
      </c>
      <c r="T58" s="207">
        <f>SUMIFS('август 2023'!$G$4:$G$1022,'август 2023'!$D$4:$D$1022,$B58,'август 2023'!$J$4:$J$1022,T$1)</f>
        <v>0</v>
      </c>
      <c r="U58" s="207">
        <f>SUMIFS('август 2023'!$G$4:$G$1022,'август 2023'!$D$4:$D$1022,$B58,'август 2023'!$J$4:$J$1022,U$1)</f>
        <v>0</v>
      </c>
      <c r="V58" s="207">
        <f>SUMIFS('август 2023'!$G$4:$G$1022,'август 2023'!$D$4:$D$1022,$B58,'август 2023'!$J$4:$J$1022,V$1)</f>
        <v>0</v>
      </c>
      <c r="W58" s="207">
        <f>SUMIFS('август 2023'!$G$4:$G$1022,'август 2023'!$D$4:$D$1022,$B58,'август 2023'!$J$4:$J$1022,W$1)</f>
        <v>0</v>
      </c>
      <c r="X58" s="207">
        <f>SUMIFS('август 2023'!$G$4:$G$1022,'август 2023'!$D$4:$D$1022,$B58,'август 2023'!$J$4:$J$1022,X$1)</f>
        <v>0</v>
      </c>
      <c r="Y58" s="207">
        <f>SUMIFS('август 2023'!$G$4:$G$1022,'август 2023'!$D$4:$D$1022,$B58,'август 2023'!$J$4:$J$1022,Y$1)</f>
        <v>0</v>
      </c>
      <c r="Z58" s="207">
        <f>SUMIFS('август 2023'!$G$4:$G$1022,'август 2023'!$D$4:$D$1022,$B58,'август 2023'!$J$4:$J$1022,Z$1)</f>
        <v>0</v>
      </c>
      <c r="AA58" s="207">
        <f>SUMIFS('август 2023'!$G$4:$G$1022,'август 2023'!$D$4:$D$1022,$B58,'август 2023'!$J$4:$J$1022,AA$1)</f>
        <v>0</v>
      </c>
      <c r="AB58" s="207">
        <f>SUMIFS('август 2023'!$G$4:$G$1022,'август 2023'!$D$4:$D$1022,$B58,'август 2023'!$J$4:$J$1022,AB$1)</f>
        <v>0</v>
      </c>
      <c r="AC58" s="207">
        <f>SUMIFS('август 2023'!$G$4:$G$1022,'август 2023'!$D$4:$D$1022,$B58,'август 2023'!$J$4:$J$1022,AC$1)</f>
        <v>0</v>
      </c>
      <c r="AD58" s="207">
        <f>SUMIFS('август 2023'!$G$4:$G$1022,'август 2023'!$D$4:$D$1022,$B58,'август 2023'!$J$4:$J$1022,AD$1)</f>
        <v>0</v>
      </c>
      <c r="AE58" s="207">
        <f>SUMIFS('август 2023'!$G$4:$G$1022,'август 2023'!$D$4:$D$1022,$B58,'август 2023'!$J$4:$J$1022,AE$1)</f>
        <v>0</v>
      </c>
      <c r="AF58" s="207">
        <f>SUMIFS('август 2023'!$G$4:$G$1022,'август 2023'!$D$4:$D$1022,$B58,'август 2023'!$J$4:$J$1022,AF$1)</f>
        <v>0</v>
      </c>
      <c r="AG58" s="207">
        <f>SUMIFS('август 2023'!$G$4:$G$1022,'август 2023'!$D$4:$D$1022,$B58,'август 2023'!$J$4:$J$1022,AG$1)</f>
        <v>0</v>
      </c>
      <c r="AH58" s="207">
        <f>SUMIFS('август 2023'!$G$4:$G$1022,'август 2023'!$D$4:$D$1022,$B58,'август 2023'!$J$4:$J$1022,AH$1)</f>
        <v>0</v>
      </c>
      <c r="AI58" s="170">
        <f t="shared" si="1"/>
        <v>0</v>
      </c>
    </row>
    <row r="59" spans="2:35" ht="15" customHeight="1" x14ac:dyDescent="0.25">
      <c r="B59" s="216" t="s">
        <v>66</v>
      </c>
      <c r="C59" s="213">
        <v>200</v>
      </c>
      <c r="D59" s="207">
        <f>SUMIFS('август 2023'!$G$4:$G$1022,'август 2023'!$D$4:$D$1022,$B59,'август 2023'!$J$4:$J$1022,D$1)</f>
        <v>0</v>
      </c>
      <c r="E59" s="207">
        <f>SUMIFS('август 2023'!$G$4:$G$1022,'август 2023'!$D$4:$D$1022,$B59,'август 2023'!$J$4:$J$1022,E$1)</f>
        <v>0</v>
      </c>
      <c r="F59" s="207">
        <f>SUMIFS('август 2023'!$G$4:$G$1022,'август 2023'!$D$4:$D$1022,$B59,'август 2023'!$J$4:$J$1022,F$1)</f>
        <v>0</v>
      </c>
      <c r="G59" s="207">
        <f>SUMIFS('август 2023'!$G$4:$G$1022,'август 2023'!$D$4:$D$1022,$B59,'август 2023'!$J$4:$J$1022,G$1)</f>
        <v>0</v>
      </c>
      <c r="H59" s="207">
        <f>SUMIFS('август 2023'!$G$4:$G$1022,'август 2023'!$D$4:$D$1022,$B59,'август 2023'!$J$4:$J$1022,H$1)</f>
        <v>0</v>
      </c>
      <c r="I59" s="207">
        <f>SUMIFS('август 2023'!$G$4:$G$1022,'август 2023'!$D$4:$D$1022,$B59,'август 2023'!$J$4:$J$1022,I$1)</f>
        <v>0</v>
      </c>
      <c r="J59" s="207">
        <f>SUMIFS('август 2023'!$G$4:$G$1022,'август 2023'!$D$4:$D$1022,$B59,'август 2023'!$J$4:$J$1022,J$1)</f>
        <v>264</v>
      </c>
      <c r="K59" s="207">
        <f>SUMIFS('август 2023'!$G$4:$G$1022,'август 2023'!$D$4:$D$1022,$B59,'август 2023'!$J$4:$J$1022,K$1)</f>
        <v>0</v>
      </c>
      <c r="L59" s="207">
        <f>SUMIFS('август 2023'!$G$4:$G$1022,'август 2023'!$D$4:$D$1022,$B59,'август 2023'!$J$4:$J$1022,L$1)</f>
        <v>0</v>
      </c>
      <c r="M59" s="207">
        <f>SUMIFS('август 2023'!$G$4:$G$1022,'август 2023'!$D$4:$D$1022,$B59,'август 2023'!$J$4:$J$1022,M$1)</f>
        <v>0</v>
      </c>
      <c r="N59" s="207">
        <f>SUMIFS('август 2023'!$G$4:$G$1022,'август 2023'!$D$4:$D$1022,$B59,'август 2023'!$J$4:$J$1022,N$1)</f>
        <v>0</v>
      </c>
      <c r="O59" s="207">
        <f>SUMIFS('август 2023'!$G$4:$G$1022,'август 2023'!$D$4:$D$1022,$B59,'август 2023'!$J$4:$J$1022,O$1)</f>
        <v>0</v>
      </c>
      <c r="P59" s="207">
        <f>SUMIFS('август 2023'!$G$4:$G$1022,'август 2023'!$D$4:$D$1022,$B59,'август 2023'!$J$4:$J$1022,P$1)</f>
        <v>0</v>
      </c>
      <c r="Q59" s="207">
        <f>SUMIFS('август 2023'!$G$4:$G$1022,'август 2023'!$D$4:$D$1022,$B59,'август 2023'!$J$4:$J$1022,Q$1)</f>
        <v>0</v>
      </c>
      <c r="R59" s="207">
        <f>SUMIFS('август 2023'!$G$4:$G$1022,'август 2023'!$D$4:$D$1022,$B59,'август 2023'!$J$4:$J$1022,R$1)</f>
        <v>0</v>
      </c>
      <c r="S59" s="207">
        <f>SUMIFS('август 2023'!$G$4:$G$1022,'август 2023'!$D$4:$D$1022,$B59,'август 2023'!$J$4:$J$1022,S$1)</f>
        <v>88</v>
      </c>
      <c r="T59" s="207">
        <f>SUMIFS('август 2023'!$G$4:$G$1022,'август 2023'!$D$4:$D$1022,$B59,'август 2023'!$J$4:$J$1022,T$1)</f>
        <v>0</v>
      </c>
      <c r="U59" s="207">
        <f>SUMIFS('август 2023'!$G$4:$G$1022,'август 2023'!$D$4:$D$1022,$B59,'август 2023'!$J$4:$J$1022,U$1)</f>
        <v>88</v>
      </c>
      <c r="V59" s="207">
        <f>SUMIFS('август 2023'!$G$4:$G$1022,'август 2023'!$D$4:$D$1022,$B59,'август 2023'!$J$4:$J$1022,V$1)</f>
        <v>0</v>
      </c>
      <c r="W59" s="207">
        <f>SUMIFS('август 2023'!$G$4:$G$1022,'август 2023'!$D$4:$D$1022,$B59,'август 2023'!$J$4:$J$1022,W$1)</f>
        <v>0</v>
      </c>
      <c r="X59" s="207">
        <f>SUMIFS('август 2023'!$G$4:$G$1022,'август 2023'!$D$4:$D$1022,$B59,'август 2023'!$J$4:$J$1022,X$1)</f>
        <v>0</v>
      </c>
      <c r="Y59" s="207">
        <f>SUMIFS('август 2023'!$G$4:$G$1022,'август 2023'!$D$4:$D$1022,$B59,'август 2023'!$J$4:$J$1022,Y$1)</f>
        <v>0</v>
      </c>
      <c r="Z59" s="207">
        <f>SUMIFS('август 2023'!$G$4:$G$1022,'август 2023'!$D$4:$D$1022,$B59,'август 2023'!$J$4:$J$1022,Z$1)</f>
        <v>0</v>
      </c>
      <c r="AA59" s="207">
        <f>SUMIFS('август 2023'!$G$4:$G$1022,'август 2023'!$D$4:$D$1022,$B59,'август 2023'!$J$4:$J$1022,AA$1)</f>
        <v>0</v>
      </c>
      <c r="AB59" s="207">
        <f>SUMIFS('август 2023'!$G$4:$G$1022,'август 2023'!$D$4:$D$1022,$B59,'август 2023'!$J$4:$J$1022,AB$1)</f>
        <v>0</v>
      </c>
      <c r="AC59" s="207">
        <f>SUMIFS('август 2023'!$G$4:$G$1022,'август 2023'!$D$4:$D$1022,$B59,'август 2023'!$J$4:$J$1022,AC$1)</f>
        <v>0</v>
      </c>
      <c r="AD59" s="207">
        <f>SUMIFS('август 2023'!$G$4:$G$1022,'август 2023'!$D$4:$D$1022,$B59,'август 2023'!$J$4:$J$1022,AD$1)</f>
        <v>0</v>
      </c>
      <c r="AE59" s="207">
        <f>SUMIFS('август 2023'!$G$4:$G$1022,'август 2023'!$D$4:$D$1022,$B59,'август 2023'!$J$4:$J$1022,AE$1)</f>
        <v>0</v>
      </c>
      <c r="AF59" s="207">
        <f>SUMIFS('август 2023'!$G$4:$G$1022,'август 2023'!$D$4:$D$1022,$B59,'август 2023'!$J$4:$J$1022,AF$1)</f>
        <v>0</v>
      </c>
      <c r="AG59" s="207">
        <f>SUMIFS('август 2023'!$G$4:$G$1022,'август 2023'!$D$4:$D$1022,$B59,'август 2023'!$J$4:$J$1022,AG$1)</f>
        <v>0</v>
      </c>
      <c r="AH59" s="207">
        <f>SUMIFS('август 2023'!$G$4:$G$1022,'август 2023'!$D$4:$D$1022,$B59,'август 2023'!$J$4:$J$1022,AH$1)</f>
        <v>0</v>
      </c>
      <c r="AI59" s="170">
        <f t="shared" si="1"/>
        <v>440</v>
      </c>
    </row>
    <row r="60" spans="2:35" ht="15" customHeight="1" x14ac:dyDescent="0.25">
      <c r="B60" s="216" t="s">
        <v>38</v>
      </c>
      <c r="C60" s="213">
        <v>200</v>
      </c>
      <c r="D60" s="207">
        <f>SUMIFS('август 2023'!$G$4:$G$1022,'август 2023'!$D$4:$D$1022,$B60,'август 2023'!$J$4:$J$1022,D$1)</f>
        <v>0</v>
      </c>
      <c r="E60" s="207">
        <f>SUMIFS('август 2023'!$G$4:$G$1022,'август 2023'!$D$4:$D$1022,$B60,'август 2023'!$J$4:$J$1022,E$1)</f>
        <v>0</v>
      </c>
      <c r="F60" s="207">
        <f>SUMIFS('август 2023'!$G$4:$G$1022,'август 2023'!$D$4:$D$1022,$B60,'август 2023'!$J$4:$J$1022,F$1)</f>
        <v>0</v>
      </c>
      <c r="G60" s="207">
        <f>SUMIFS('август 2023'!$G$4:$G$1022,'август 2023'!$D$4:$D$1022,$B60,'август 2023'!$J$4:$J$1022,G$1)</f>
        <v>0</v>
      </c>
      <c r="H60" s="207">
        <f>SUMIFS('август 2023'!$G$4:$G$1022,'август 2023'!$D$4:$D$1022,$B60,'август 2023'!$J$4:$J$1022,H$1)</f>
        <v>0</v>
      </c>
      <c r="I60" s="207">
        <f>SUMIFS('август 2023'!$G$4:$G$1022,'август 2023'!$D$4:$D$1022,$B60,'август 2023'!$J$4:$J$1022,I$1)</f>
        <v>0</v>
      </c>
      <c r="J60" s="207">
        <f>SUMIFS('август 2023'!$G$4:$G$1022,'август 2023'!$D$4:$D$1022,$B60,'август 2023'!$J$4:$J$1022,J$1)</f>
        <v>0</v>
      </c>
      <c r="K60" s="207">
        <f>SUMIFS('август 2023'!$G$4:$G$1022,'август 2023'!$D$4:$D$1022,$B60,'август 2023'!$J$4:$J$1022,K$1)</f>
        <v>0</v>
      </c>
      <c r="L60" s="207">
        <f>SUMIFS('август 2023'!$G$4:$G$1022,'август 2023'!$D$4:$D$1022,$B60,'август 2023'!$J$4:$J$1022,L$1)</f>
        <v>0</v>
      </c>
      <c r="M60" s="207">
        <f>SUMIFS('август 2023'!$G$4:$G$1022,'август 2023'!$D$4:$D$1022,$B60,'август 2023'!$J$4:$J$1022,M$1)</f>
        <v>0</v>
      </c>
      <c r="N60" s="207">
        <f>SUMIFS('август 2023'!$G$4:$G$1022,'август 2023'!$D$4:$D$1022,$B60,'август 2023'!$J$4:$J$1022,N$1)</f>
        <v>0</v>
      </c>
      <c r="O60" s="207">
        <f>SUMIFS('август 2023'!$G$4:$G$1022,'август 2023'!$D$4:$D$1022,$B60,'август 2023'!$J$4:$J$1022,O$1)</f>
        <v>0</v>
      </c>
      <c r="P60" s="207">
        <f>SUMIFS('август 2023'!$G$4:$G$1022,'август 2023'!$D$4:$D$1022,$B60,'август 2023'!$J$4:$J$1022,P$1)</f>
        <v>0</v>
      </c>
      <c r="Q60" s="207">
        <f>SUMIFS('август 2023'!$G$4:$G$1022,'август 2023'!$D$4:$D$1022,$B60,'август 2023'!$J$4:$J$1022,Q$1)</f>
        <v>0</v>
      </c>
      <c r="R60" s="207">
        <f>SUMIFS('август 2023'!$G$4:$G$1022,'август 2023'!$D$4:$D$1022,$B60,'август 2023'!$J$4:$J$1022,R$1)</f>
        <v>0</v>
      </c>
      <c r="S60" s="207">
        <f>SUMIFS('август 2023'!$G$4:$G$1022,'август 2023'!$D$4:$D$1022,$B60,'август 2023'!$J$4:$J$1022,S$1)</f>
        <v>0</v>
      </c>
      <c r="T60" s="207">
        <f>SUMIFS('август 2023'!$G$4:$G$1022,'август 2023'!$D$4:$D$1022,$B60,'август 2023'!$J$4:$J$1022,T$1)</f>
        <v>0</v>
      </c>
      <c r="U60" s="207">
        <f>SUMIFS('август 2023'!$G$4:$G$1022,'август 2023'!$D$4:$D$1022,$B60,'август 2023'!$J$4:$J$1022,U$1)</f>
        <v>0</v>
      </c>
      <c r="V60" s="207">
        <f>SUMIFS('август 2023'!$G$4:$G$1022,'август 2023'!$D$4:$D$1022,$B60,'август 2023'!$J$4:$J$1022,V$1)</f>
        <v>0</v>
      </c>
      <c r="W60" s="207">
        <f>SUMIFS('август 2023'!$G$4:$G$1022,'август 2023'!$D$4:$D$1022,$B60,'август 2023'!$J$4:$J$1022,W$1)</f>
        <v>0</v>
      </c>
      <c r="X60" s="207">
        <f>SUMIFS('август 2023'!$G$4:$G$1022,'август 2023'!$D$4:$D$1022,$B60,'август 2023'!$J$4:$J$1022,X$1)</f>
        <v>0</v>
      </c>
      <c r="Y60" s="207">
        <f>SUMIFS('август 2023'!$G$4:$G$1022,'август 2023'!$D$4:$D$1022,$B60,'август 2023'!$J$4:$J$1022,Y$1)</f>
        <v>0</v>
      </c>
      <c r="Z60" s="207">
        <f>SUMIFS('август 2023'!$G$4:$G$1022,'август 2023'!$D$4:$D$1022,$B60,'август 2023'!$J$4:$J$1022,Z$1)</f>
        <v>0</v>
      </c>
      <c r="AA60" s="207">
        <f>SUMIFS('август 2023'!$G$4:$G$1022,'август 2023'!$D$4:$D$1022,$B60,'август 2023'!$J$4:$J$1022,AA$1)</f>
        <v>0</v>
      </c>
      <c r="AB60" s="207">
        <f>SUMIFS('август 2023'!$G$4:$G$1022,'август 2023'!$D$4:$D$1022,$B60,'август 2023'!$J$4:$J$1022,AB$1)</f>
        <v>0</v>
      </c>
      <c r="AC60" s="207">
        <f>SUMIFS('август 2023'!$G$4:$G$1022,'август 2023'!$D$4:$D$1022,$B60,'август 2023'!$J$4:$J$1022,AC$1)</f>
        <v>0</v>
      </c>
      <c r="AD60" s="207">
        <f>SUMIFS('август 2023'!$G$4:$G$1022,'август 2023'!$D$4:$D$1022,$B60,'август 2023'!$J$4:$J$1022,AD$1)</f>
        <v>0</v>
      </c>
      <c r="AE60" s="207">
        <f>SUMIFS('август 2023'!$G$4:$G$1022,'август 2023'!$D$4:$D$1022,$B60,'август 2023'!$J$4:$J$1022,AE$1)</f>
        <v>0</v>
      </c>
      <c r="AF60" s="207">
        <f>SUMIFS('август 2023'!$G$4:$G$1022,'август 2023'!$D$4:$D$1022,$B60,'август 2023'!$J$4:$J$1022,AF$1)</f>
        <v>0</v>
      </c>
      <c r="AG60" s="207">
        <f>SUMIFS('август 2023'!$G$4:$G$1022,'август 2023'!$D$4:$D$1022,$B60,'август 2023'!$J$4:$J$1022,AG$1)</f>
        <v>0</v>
      </c>
      <c r="AH60" s="207">
        <f>SUMIFS('август 2023'!$G$4:$G$1022,'август 2023'!$D$4:$D$1022,$B60,'август 2023'!$J$4:$J$1022,AH$1)</f>
        <v>0</v>
      </c>
      <c r="AI60" s="170">
        <f t="shared" si="1"/>
        <v>0</v>
      </c>
    </row>
    <row r="61" spans="2:35" ht="15" customHeight="1" x14ac:dyDescent="0.25">
      <c r="B61" s="216" t="s">
        <v>878</v>
      </c>
      <c r="C61" s="213">
        <v>25</v>
      </c>
      <c r="D61" s="207">
        <f>SUMIFS('август 2023'!$G$4:$G$1022,'август 2023'!$D$4:$D$1022,$B61,'август 2023'!$J$4:$J$1022,D$1)</f>
        <v>0</v>
      </c>
      <c r="E61" s="207">
        <f>SUMIFS('август 2023'!$G$4:$G$1022,'август 2023'!$D$4:$D$1022,$B61,'август 2023'!$J$4:$J$1022,E$1)</f>
        <v>0</v>
      </c>
      <c r="F61" s="207">
        <f>SUMIFS('август 2023'!$G$4:$G$1022,'август 2023'!$D$4:$D$1022,$B61,'август 2023'!$J$4:$J$1022,F$1)</f>
        <v>0</v>
      </c>
      <c r="G61" s="207">
        <f>SUMIFS('август 2023'!$G$4:$G$1022,'август 2023'!$D$4:$D$1022,$B61,'август 2023'!$J$4:$J$1022,G$1)</f>
        <v>0</v>
      </c>
      <c r="H61" s="207">
        <f>SUMIFS('август 2023'!$G$4:$G$1022,'август 2023'!$D$4:$D$1022,$B61,'август 2023'!$J$4:$J$1022,H$1)</f>
        <v>0</v>
      </c>
      <c r="I61" s="207">
        <f>SUMIFS('август 2023'!$G$4:$G$1022,'август 2023'!$D$4:$D$1022,$B61,'август 2023'!$J$4:$J$1022,I$1)</f>
        <v>0</v>
      </c>
      <c r="J61" s="207">
        <f>SUMIFS('август 2023'!$G$4:$G$1022,'август 2023'!$D$4:$D$1022,$B61,'август 2023'!$J$4:$J$1022,J$1)</f>
        <v>0</v>
      </c>
      <c r="K61" s="207">
        <f>SUMIFS('август 2023'!$G$4:$G$1022,'август 2023'!$D$4:$D$1022,$B61,'август 2023'!$J$4:$J$1022,K$1)</f>
        <v>0</v>
      </c>
      <c r="L61" s="207">
        <f>SUMIFS('август 2023'!$G$4:$G$1022,'август 2023'!$D$4:$D$1022,$B61,'август 2023'!$J$4:$J$1022,L$1)</f>
        <v>0</v>
      </c>
      <c r="M61" s="207">
        <f>SUMIFS('август 2023'!$G$4:$G$1022,'август 2023'!$D$4:$D$1022,$B61,'август 2023'!$J$4:$J$1022,M$1)</f>
        <v>0</v>
      </c>
      <c r="N61" s="207">
        <f>SUMIFS('август 2023'!$G$4:$G$1022,'август 2023'!$D$4:$D$1022,$B61,'август 2023'!$J$4:$J$1022,N$1)</f>
        <v>0</v>
      </c>
      <c r="O61" s="207">
        <f>SUMIFS('август 2023'!$G$4:$G$1022,'август 2023'!$D$4:$D$1022,$B61,'август 2023'!$J$4:$J$1022,O$1)</f>
        <v>0</v>
      </c>
      <c r="P61" s="207">
        <f>SUMIFS('август 2023'!$G$4:$G$1022,'август 2023'!$D$4:$D$1022,$B61,'август 2023'!$J$4:$J$1022,P$1)</f>
        <v>0</v>
      </c>
      <c r="Q61" s="207">
        <f>SUMIFS('август 2023'!$G$4:$G$1022,'август 2023'!$D$4:$D$1022,$B61,'август 2023'!$J$4:$J$1022,Q$1)</f>
        <v>0</v>
      </c>
      <c r="R61" s="207">
        <f>SUMIFS('август 2023'!$G$4:$G$1022,'август 2023'!$D$4:$D$1022,$B61,'август 2023'!$J$4:$J$1022,R$1)</f>
        <v>0</v>
      </c>
      <c r="S61" s="207">
        <f>SUMIFS('август 2023'!$G$4:$G$1022,'август 2023'!$D$4:$D$1022,$B61,'август 2023'!$J$4:$J$1022,S$1)</f>
        <v>0</v>
      </c>
      <c r="T61" s="207">
        <f>SUMIFS('август 2023'!$G$4:$G$1022,'август 2023'!$D$4:$D$1022,$B61,'август 2023'!$J$4:$J$1022,T$1)</f>
        <v>0</v>
      </c>
      <c r="U61" s="207">
        <f>SUMIFS('август 2023'!$G$4:$G$1022,'август 2023'!$D$4:$D$1022,$B61,'август 2023'!$J$4:$J$1022,U$1)</f>
        <v>0</v>
      </c>
      <c r="V61" s="207">
        <f>SUMIFS('август 2023'!$G$4:$G$1022,'август 2023'!$D$4:$D$1022,$B61,'август 2023'!$J$4:$J$1022,V$1)</f>
        <v>0</v>
      </c>
      <c r="W61" s="207">
        <f>SUMIFS('август 2023'!$G$4:$G$1022,'август 2023'!$D$4:$D$1022,$B61,'август 2023'!$J$4:$J$1022,W$1)</f>
        <v>0</v>
      </c>
      <c r="X61" s="207">
        <f>SUMIFS('август 2023'!$G$4:$G$1022,'август 2023'!$D$4:$D$1022,$B61,'август 2023'!$J$4:$J$1022,X$1)</f>
        <v>0</v>
      </c>
      <c r="Y61" s="207">
        <f>SUMIFS('август 2023'!$G$4:$G$1022,'август 2023'!$D$4:$D$1022,$B61,'август 2023'!$J$4:$J$1022,Y$1)</f>
        <v>0</v>
      </c>
      <c r="Z61" s="207">
        <f>SUMIFS('август 2023'!$G$4:$G$1022,'август 2023'!$D$4:$D$1022,$B61,'август 2023'!$J$4:$J$1022,Z$1)</f>
        <v>1</v>
      </c>
      <c r="AA61" s="207">
        <f>SUMIFS('август 2023'!$G$4:$G$1022,'август 2023'!$D$4:$D$1022,$B61,'август 2023'!$J$4:$J$1022,AA$1)</f>
        <v>0</v>
      </c>
      <c r="AB61" s="207">
        <f>SUMIFS('август 2023'!$G$4:$G$1022,'август 2023'!$D$4:$D$1022,$B61,'август 2023'!$J$4:$J$1022,AB$1)</f>
        <v>0</v>
      </c>
      <c r="AC61" s="207">
        <f>SUMIFS('август 2023'!$G$4:$G$1022,'август 2023'!$D$4:$D$1022,$B61,'август 2023'!$J$4:$J$1022,AC$1)</f>
        <v>0</v>
      </c>
      <c r="AD61" s="207">
        <f>SUMIFS('август 2023'!$G$4:$G$1022,'август 2023'!$D$4:$D$1022,$B61,'август 2023'!$J$4:$J$1022,AD$1)</f>
        <v>0</v>
      </c>
      <c r="AE61" s="207">
        <f>SUMIFS('август 2023'!$G$4:$G$1022,'август 2023'!$D$4:$D$1022,$B61,'август 2023'!$J$4:$J$1022,AE$1)</f>
        <v>0</v>
      </c>
      <c r="AF61" s="207">
        <f>SUMIFS('август 2023'!$G$4:$G$1022,'август 2023'!$D$4:$D$1022,$B61,'август 2023'!$J$4:$J$1022,AF$1)</f>
        <v>0</v>
      </c>
      <c r="AG61" s="207">
        <f>SUMIFS('август 2023'!$G$4:$G$1022,'август 2023'!$D$4:$D$1022,$B61,'август 2023'!$J$4:$J$1022,AG$1)</f>
        <v>0</v>
      </c>
      <c r="AH61" s="207">
        <f>SUMIFS('август 2023'!$G$4:$G$1022,'август 2023'!$D$4:$D$1022,$B61,'август 2023'!$J$4:$J$1022,AH$1)</f>
        <v>0</v>
      </c>
      <c r="AI61" s="170">
        <f>SUM(D61:AH61)</f>
        <v>1</v>
      </c>
    </row>
    <row r="62" spans="2:35" ht="15.75" x14ac:dyDescent="0.25">
      <c r="B62" s="212" t="s">
        <v>474</v>
      </c>
      <c r="C62" s="211">
        <v>180</v>
      </c>
      <c r="D62" s="207">
        <f>SUMIFS('август 2023'!$G$4:$G$1022,'август 2023'!$D$4:$D$1022,$B62,'август 2023'!$J$4:$J$1022,D$1)</f>
        <v>0</v>
      </c>
      <c r="E62" s="207">
        <f>SUMIFS('август 2023'!$G$4:$G$1022,'август 2023'!$D$4:$D$1022,$B62,'август 2023'!$J$4:$J$1022,E$1)</f>
        <v>0</v>
      </c>
      <c r="F62" s="207">
        <f>SUMIFS('август 2023'!$G$4:$G$1022,'август 2023'!$D$4:$D$1022,$B62,'август 2023'!$J$4:$J$1022,F$1)</f>
        <v>0</v>
      </c>
      <c r="G62" s="207">
        <f>SUMIFS('август 2023'!$G$4:$G$1022,'август 2023'!$D$4:$D$1022,$B62,'август 2023'!$J$4:$J$1022,G$1)</f>
        <v>0</v>
      </c>
      <c r="H62" s="207">
        <f>SUMIFS('август 2023'!$G$4:$G$1022,'август 2023'!$D$4:$D$1022,$B62,'август 2023'!$J$4:$J$1022,H$1)</f>
        <v>0</v>
      </c>
      <c r="I62" s="207">
        <f>SUMIFS('август 2023'!$G$4:$G$1022,'август 2023'!$D$4:$D$1022,$B62,'август 2023'!$J$4:$J$1022,I$1)</f>
        <v>0</v>
      </c>
      <c r="J62" s="207">
        <f>SUMIFS('август 2023'!$G$4:$G$1022,'август 2023'!$D$4:$D$1022,$B62,'август 2023'!$J$4:$J$1022,J$1)</f>
        <v>0</v>
      </c>
      <c r="K62" s="207">
        <f>SUMIFS('август 2023'!$G$4:$G$1022,'август 2023'!$D$4:$D$1022,$B62,'август 2023'!$J$4:$J$1022,K$1)</f>
        <v>0</v>
      </c>
      <c r="L62" s="207">
        <f>SUMIFS('август 2023'!$G$4:$G$1022,'август 2023'!$D$4:$D$1022,$B62,'август 2023'!$J$4:$J$1022,L$1)</f>
        <v>0</v>
      </c>
      <c r="M62" s="207">
        <f>SUMIFS('август 2023'!$G$4:$G$1022,'август 2023'!$D$4:$D$1022,$B62,'август 2023'!$J$4:$J$1022,M$1)</f>
        <v>0</v>
      </c>
      <c r="N62" s="207">
        <f>SUMIFS('август 2023'!$G$4:$G$1022,'август 2023'!$D$4:$D$1022,$B62,'август 2023'!$J$4:$J$1022,N$1)</f>
        <v>0</v>
      </c>
      <c r="O62" s="207">
        <f>SUMIFS('август 2023'!$G$4:$G$1022,'август 2023'!$D$4:$D$1022,$B62,'август 2023'!$J$4:$J$1022,O$1)</f>
        <v>0</v>
      </c>
      <c r="P62" s="207">
        <f>SUMIFS('август 2023'!$G$4:$G$1022,'август 2023'!$D$4:$D$1022,$B62,'август 2023'!$J$4:$J$1022,P$1)</f>
        <v>0</v>
      </c>
      <c r="Q62" s="207">
        <f>SUMIFS('август 2023'!$G$4:$G$1022,'август 2023'!$D$4:$D$1022,$B62,'август 2023'!$J$4:$J$1022,Q$1)</f>
        <v>0</v>
      </c>
      <c r="R62" s="207">
        <f>SUMIFS('август 2023'!$G$4:$G$1022,'август 2023'!$D$4:$D$1022,$B62,'август 2023'!$J$4:$J$1022,R$1)</f>
        <v>0</v>
      </c>
      <c r="S62" s="207">
        <f>SUMIFS('август 2023'!$G$4:$G$1022,'август 2023'!$D$4:$D$1022,$B62,'август 2023'!$J$4:$J$1022,S$1)</f>
        <v>0</v>
      </c>
      <c r="T62" s="207">
        <f>SUMIFS('август 2023'!$G$4:$G$1022,'август 2023'!$D$4:$D$1022,$B62,'август 2023'!$J$4:$J$1022,T$1)</f>
        <v>0</v>
      </c>
      <c r="U62" s="207">
        <f>SUMIFS('август 2023'!$G$4:$G$1022,'август 2023'!$D$4:$D$1022,$B62,'август 2023'!$J$4:$J$1022,U$1)</f>
        <v>0</v>
      </c>
      <c r="V62" s="207">
        <f>SUMIFS('август 2023'!$G$4:$G$1022,'август 2023'!$D$4:$D$1022,$B62,'август 2023'!$J$4:$J$1022,V$1)</f>
        <v>0</v>
      </c>
      <c r="W62" s="207">
        <f>SUMIFS('август 2023'!$G$4:$G$1022,'август 2023'!$D$4:$D$1022,$B62,'август 2023'!$J$4:$J$1022,W$1)</f>
        <v>0</v>
      </c>
      <c r="X62" s="207">
        <f>SUMIFS('август 2023'!$G$4:$G$1022,'август 2023'!$D$4:$D$1022,$B62,'август 2023'!$J$4:$J$1022,X$1)</f>
        <v>0</v>
      </c>
      <c r="Y62" s="207">
        <f>SUMIFS('август 2023'!$G$4:$G$1022,'август 2023'!$D$4:$D$1022,$B62,'август 2023'!$J$4:$J$1022,Y$1)</f>
        <v>0</v>
      </c>
      <c r="Z62" s="207">
        <f>SUMIFS('август 2023'!$G$4:$G$1022,'август 2023'!$D$4:$D$1022,$B62,'август 2023'!$J$4:$J$1022,Z$1)</f>
        <v>0</v>
      </c>
      <c r="AA62" s="207">
        <f>SUMIFS('август 2023'!$G$4:$G$1022,'август 2023'!$D$4:$D$1022,$B62,'август 2023'!$J$4:$J$1022,AA$1)</f>
        <v>0</v>
      </c>
      <c r="AB62" s="207">
        <f>SUMIFS('август 2023'!$G$4:$G$1022,'август 2023'!$D$4:$D$1022,$B62,'август 2023'!$J$4:$J$1022,AB$1)</f>
        <v>0</v>
      </c>
      <c r="AC62" s="207">
        <f>SUMIFS('август 2023'!$G$4:$G$1022,'август 2023'!$D$4:$D$1022,$B62,'август 2023'!$J$4:$J$1022,AC$1)</f>
        <v>0</v>
      </c>
      <c r="AD62" s="207">
        <f>SUMIFS('август 2023'!$G$4:$G$1022,'август 2023'!$D$4:$D$1022,$B62,'август 2023'!$J$4:$J$1022,AD$1)</f>
        <v>0</v>
      </c>
      <c r="AE62" s="207">
        <f>SUMIFS('август 2023'!$G$4:$G$1022,'август 2023'!$D$4:$D$1022,$B62,'август 2023'!$J$4:$J$1022,AE$1)</f>
        <v>0</v>
      </c>
      <c r="AF62" s="207">
        <f>SUMIFS('август 2023'!$G$4:$G$1022,'август 2023'!$D$4:$D$1022,$B62,'август 2023'!$J$4:$J$1022,AF$1)</f>
        <v>0</v>
      </c>
      <c r="AG62" s="207">
        <f>SUMIFS('август 2023'!$G$4:$G$1022,'август 2023'!$D$4:$D$1022,$B62,'август 2023'!$J$4:$J$1022,AG$1)</f>
        <v>0</v>
      </c>
      <c r="AH62" s="207">
        <f>SUMIFS('август 2023'!$G$4:$G$1022,'август 2023'!$D$4:$D$1022,$B62,'август 2023'!$J$4:$J$1022,AH$1)</f>
        <v>0</v>
      </c>
      <c r="AI62" s="170">
        <f t="shared" si="1"/>
        <v>0</v>
      </c>
    </row>
    <row r="63" spans="2:35" ht="15.75" x14ac:dyDescent="0.25">
      <c r="B63" s="216" t="s">
        <v>649</v>
      </c>
      <c r="C63" s="213">
        <v>190</v>
      </c>
      <c r="D63" s="207">
        <f>SUMIFS('август 2023'!$G$4:$G$1022,'август 2023'!$D$4:$D$1022,$B63,'август 2023'!$J$4:$J$1022,D$1)</f>
        <v>0</v>
      </c>
      <c r="E63" s="207">
        <f>SUMIFS('август 2023'!$G$4:$G$1022,'август 2023'!$D$4:$D$1022,$B63,'август 2023'!$J$4:$J$1022,E$1)</f>
        <v>0</v>
      </c>
      <c r="F63" s="207">
        <f>SUMIFS('август 2023'!$G$4:$G$1022,'август 2023'!$D$4:$D$1022,$B63,'август 2023'!$J$4:$J$1022,F$1)</f>
        <v>0</v>
      </c>
      <c r="G63" s="207">
        <f>SUMIFS('август 2023'!$G$4:$G$1022,'август 2023'!$D$4:$D$1022,$B63,'август 2023'!$J$4:$J$1022,G$1)</f>
        <v>0</v>
      </c>
      <c r="H63" s="207">
        <f>SUMIFS('август 2023'!$G$4:$G$1022,'август 2023'!$D$4:$D$1022,$B63,'август 2023'!$J$4:$J$1022,H$1)</f>
        <v>0</v>
      </c>
      <c r="I63" s="207">
        <f>SUMIFS('август 2023'!$G$4:$G$1022,'август 2023'!$D$4:$D$1022,$B63,'август 2023'!$J$4:$J$1022,I$1)</f>
        <v>0</v>
      </c>
      <c r="J63" s="207">
        <f>SUMIFS('август 2023'!$G$4:$G$1022,'август 2023'!$D$4:$D$1022,$B63,'август 2023'!$J$4:$J$1022,J$1)</f>
        <v>0</v>
      </c>
      <c r="K63" s="207">
        <f>SUMIFS('август 2023'!$G$4:$G$1022,'август 2023'!$D$4:$D$1022,$B63,'август 2023'!$J$4:$J$1022,K$1)</f>
        <v>0</v>
      </c>
      <c r="L63" s="207">
        <f>SUMIFS('август 2023'!$G$4:$G$1022,'август 2023'!$D$4:$D$1022,$B63,'август 2023'!$J$4:$J$1022,L$1)</f>
        <v>0</v>
      </c>
      <c r="M63" s="207">
        <f>SUMIFS('август 2023'!$G$4:$G$1022,'август 2023'!$D$4:$D$1022,$B63,'август 2023'!$J$4:$J$1022,M$1)</f>
        <v>0</v>
      </c>
      <c r="N63" s="207">
        <f>SUMIFS('август 2023'!$G$4:$G$1022,'август 2023'!$D$4:$D$1022,$B63,'август 2023'!$J$4:$J$1022,N$1)</f>
        <v>0</v>
      </c>
      <c r="O63" s="207">
        <f>SUMIFS('август 2023'!$G$4:$G$1022,'август 2023'!$D$4:$D$1022,$B63,'август 2023'!$J$4:$J$1022,O$1)</f>
        <v>0</v>
      </c>
      <c r="P63" s="207">
        <f>SUMIFS('август 2023'!$G$4:$G$1022,'август 2023'!$D$4:$D$1022,$B63,'август 2023'!$J$4:$J$1022,P$1)</f>
        <v>0</v>
      </c>
      <c r="Q63" s="207">
        <f>SUMIFS('август 2023'!$G$4:$G$1022,'август 2023'!$D$4:$D$1022,$B63,'август 2023'!$J$4:$J$1022,Q$1)</f>
        <v>0</v>
      </c>
      <c r="R63" s="207">
        <f>SUMIFS('август 2023'!$G$4:$G$1022,'август 2023'!$D$4:$D$1022,$B63,'август 2023'!$J$4:$J$1022,R$1)</f>
        <v>0</v>
      </c>
      <c r="S63" s="207">
        <f>SUMIFS('август 2023'!$G$4:$G$1022,'август 2023'!$D$4:$D$1022,$B63,'август 2023'!$J$4:$J$1022,S$1)</f>
        <v>0</v>
      </c>
      <c r="T63" s="207">
        <f>SUMIFS('август 2023'!$G$4:$G$1022,'август 2023'!$D$4:$D$1022,$B63,'август 2023'!$J$4:$J$1022,T$1)</f>
        <v>0</v>
      </c>
      <c r="U63" s="207">
        <f>SUMIFS('август 2023'!$G$4:$G$1022,'август 2023'!$D$4:$D$1022,$B63,'август 2023'!$J$4:$J$1022,U$1)</f>
        <v>0</v>
      </c>
      <c r="V63" s="207">
        <f>SUMIFS('август 2023'!$G$4:$G$1022,'август 2023'!$D$4:$D$1022,$B63,'август 2023'!$J$4:$J$1022,V$1)</f>
        <v>0</v>
      </c>
      <c r="W63" s="207">
        <f>SUMIFS('август 2023'!$G$4:$G$1022,'август 2023'!$D$4:$D$1022,$B63,'август 2023'!$J$4:$J$1022,W$1)</f>
        <v>0</v>
      </c>
      <c r="X63" s="207">
        <f>SUMIFS('август 2023'!$G$4:$G$1022,'август 2023'!$D$4:$D$1022,$B63,'август 2023'!$J$4:$J$1022,X$1)</f>
        <v>0</v>
      </c>
      <c r="Y63" s="207">
        <f>SUMIFS('август 2023'!$G$4:$G$1022,'август 2023'!$D$4:$D$1022,$B63,'август 2023'!$J$4:$J$1022,Y$1)</f>
        <v>0</v>
      </c>
      <c r="Z63" s="207">
        <f>SUMIFS('август 2023'!$G$4:$G$1022,'август 2023'!$D$4:$D$1022,$B63,'август 2023'!$J$4:$J$1022,Z$1)</f>
        <v>0</v>
      </c>
      <c r="AA63" s="207">
        <f>SUMIFS('август 2023'!$G$4:$G$1022,'август 2023'!$D$4:$D$1022,$B63,'август 2023'!$J$4:$J$1022,AA$1)</f>
        <v>0</v>
      </c>
      <c r="AB63" s="207">
        <f>SUMIFS('август 2023'!$G$4:$G$1022,'август 2023'!$D$4:$D$1022,$B63,'август 2023'!$J$4:$J$1022,AB$1)</f>
        <v>0</v>
      </c>
      <c r="AC63" s="207">
        <f>SUMIFS('август 2023'!$G$4:$G$1022,'август 2023'!$D$4:$D$1022,$B63,'август 2023'!$J$4:$J$1022,AC$1)</f>
        <v>0</v>
      </c>
      <c r="AD63" s="207">
        <f>SUMIFS('август 2023'!$G$4:$G$1022,'август 2023'!$D$4:$D$1022,$B63,'август 2023'!$J$4:$J$1022,AD$1)</f>
        <v>0</v>
      </c>
      <c r="AE63" s="207">
        <f>SUMIFS('август 2023'!$G$4:$G$1022,'август 2023'!$D$4:$D$1022,$B63,'август 2023'!$J$4:$J$1022,AE$1)</f>
        <v>0</v>
      </c>
      <c r="AF63" s="207">
        <f>SUMIFS('август 2023'!$G$4:$G$1022,'август 2023'!$D$4:$D$1022,$B63,'август 2023'!$J$4:$J$1022,AF$1)</f>
        <v>0</v>
      </c>
      <c r="AG63" s="207">
        <f>SUMIFS('август 2023'!$G$4:$G$1022,'август 2023'!$D$4:$D$1022,$B63,'август 2023'!$J$4:$J$1022,AG$1)</f>
        <v>0</v>
      </c>
      <c r="AH63" s="207">
        <f>SUMIFS('август 2023'!$G$4:$G$1022,'август 2023'!$D$4:$D$1022,$B63,'август 2023'!$J$4:$J$1022,AH$1)</f>
        <v>0</v>
      </c>
      <c r="AI63" s="170">
        <f t="shared" si="1"/>
        <v>0</v>
      </c>
    </row>
    <row r="64" spans="2:35" ht="15" customHeight="1" x14ac:dyDescent="0.25">
      <c r="B64" s="216" t="s">
        <v>1449</v>
      </c>
      <c r="C64" s="213">
        <v>190</v>
      </c>
      <c r="D64" s="207">
        <f>SUMIFS('август 2023'!$G$4:$G$1022,'август 2023'!$D$4:$D$1022,$B64,'август 2023'!$J$4:$J$1022,D$1)</f>
        <v>0</v>
      </c>
      <c r="E64" s="207">
        <f>SUMIFS('август 2023'!$G$4:$G$1022,'август 2023'!$D$4:$D$1022,$B64,'август 2023'!$J$4:$J$1022,E$1)</f>
        <v>0</v>
      </c>
      <c r="F64" s="207">
        <f>SUMIFS('август 2023'!$G$4:$G$1022,'август 2023'!$D$4:$D$1022,$B64,'август 2023'!$J$4:$J$1022,F$1)</f>
        <v>0</v>
      </c>
      <c r="G64" s="207">
        <f>SUMIFS('август 2023'!$G$4:$G$1022,'август 2023'!$D$4:$D$1022,$B64,'август 2023'!$J$4:$J$1022,G$1)</f>
        <v>0</v>
      </c>
      <c r="H64" s="207">
        <f>SUMIFS('август 2023'!$G$4:$G$1022,'август 2023'!$D$4:$D$1022,$B64,'август 2023'!$J$4:$J$1022,H$1)</f>
        <v>0</v>
      </c>
      <c r="I64" s="207">
        <f>SUMIFS('август 2023'!$G$4:$G$1022,'август 2023'!$D$4:$D$1022,$B64,'август 2023'!$J$4:$J$1022,I$1)</f>
        <v>0</v>
      </c>
      <c r="J64" s="207">
        <f>SUMIFS('август 2023'!$G$4:$G$1022,'август 2023'!$D$4:$D$1022,$B64,'август 2023'!$J$4:$J$1022,J$1)</f>
        <v>0</v>
      </c>
      <c r="K64" s="207">
        <f>SUMIFS('август 2023'!$G$4:$G$1022,'август 2023'!$D$4:$D$1022,$B64,'август 2023'!$J$4:$J$1022,K$1)</f>
        <v>0</v>
      </c>
      <c r="L64" s="207">
        <f>SUMIFS('август 2023'!$G$4:$G$1022,'август 2023'!$D$4:$D$1022,$B64,'август 2023'!$J$4:$J$1022,L$1)</f>
        <v>0</v>
      </c>
      <c r="M64" s="207">
        <f>SUMIFS('август 2023'!$G$4:$G$1022,'август 2023'!$D$4:$D$1022,$B64,'август 2023'!$J$4:$J$1022,M$1)</f>
        <v>0</v>
      </c>
      <c r="N64" s="207">
        <f>SUMIFS('август 2023'!$G$4:$G$1022,'август 2023'!$D$4:$D$1022,$B64,'август 2023'!$J$4:$J$1022,N$1)</f>
        <v>0</v>
      </c>
      <c r="O64" s="207">
        <f>SUMIFS('август 2023'!$G$4:$G$1022,'август 2023'!$D$4:$D$1022,$B64,'август 2023'!$J$4:$J$1022,O$1)</f>
        <v>0</v>
      </c>
      <c r="P64" s="207">
        <f>SUMIFS('август 2023'!$G$4:$G$1022,'август 2023'!$D$4:$D$1022,$B64,'август 2023'!$J$4:$J$1022,P$1)</f>
        <v>0</v>
      </c>
      <c r="Q64" s="207">
        <f>SUMIFS('август 2023'!$G$4:$G$1022,'август 2023'!$D$4:$D$1022,$B64,'август 2023'!$J$4:$J$1022,Q$1)</f>
        <v>0</v>
      </c>
      <c r="R64" s="207">
        <f>SUMIFS('август 2023'!$G$4:$G$1022,'август 2023'!$D$4:$D$1022,$B64,'август 2023'!$J$4:$J$1022,R$1)</f>
        <v>0</v>
      </c>
      <c r="S64" s="207">
        <f>SUMIFS('август 2023'!$G$4:$G$1022,'август 2023'!$D$4:$D$1022,$B64,'август 2023'!$J$4:$J$1022,S$1)</f>
        <v>0</v>
      </c>
      <c r="T64" s="207">
        <f>SUMIFS('август 2023'!$G$4:$G$1022,'август 2023'!$D$4:$D$1022,$B64,'август 2023'!$J$4:$J$1022,T$1)</f>
        <v>0</v>
      </c>
      <c r="U64" s="207">
        <f>SUMIFS('август 2023'!$G$4:$G$1022,'август 2023'!$D$4:$D$1022,$B64,'август 2023'!$J$4:$J$1022,U$1)</f>
        <v>0</v>
      </c>
      <c r="V64" s="207">
        <f>SUMIFS('август 2023'!$G$4:$G$1022,'август 2023'!$D$4:$D$1022,$B64,'август 2023'!$J$4:$J$1022,V$1)</f>
        <v>0</v>
      </c>
      <c r="W64" s="207">
        <f>SUMIFS('август 2023'!$G$4:$G$1022,'август 2023'!$D$4:$D$1022,$B64,'август 2023'!$J$4:$J$1022,W$1)</f>
        <v>0</v>
      </c>
      <c r="X64" s="207">
        <f>SUMIFS('август 2023'!$G$4:$G$1022,'август 2023'!$D$4:$D$1022,$B64,'август 2023'!$J$4:$J$1022,X$1)</f>
        <v>0</v>
      </c>
      <c r="Y64" s="207">
        <f>SUMIFS('август 2023'!$G$4:$G$1022,'август 2023'!$D$4:$D$1022,$B64,'август 2023'!$J$4:$J$1022,Y$1)</f>
        <v>0</v>
      </c>
      <c r="Z64" s="207">
        <f>SUMIFS('август 2023'!$G$4:$G$1022,'август 2023'!$D$4:$D$1022,$B64,'август 2023'!$J$4:$J$1022,Z$1)</f>
        <v>0</v>
      </c>
      <c r="AA64" s="207">
        <f>SUMIFS('август 2023'!$G$4:$G$1022,'август 2023'!$D$4:$D$1022,$B64,'август 2023'!$J$4:$J$1022,AA$1)</f>
        <v>0</v>
      </c>
      <c r="AB64" s="207">
        <f>SUMIFS('август 2023'!$G$4:$G$1022,'август 2023'!$D$4:$D$1022,$B64,'август 2023'!$J$4:$J$1022,AB$1)</f>
        <v>0</v>
      </c>
      <c r="AC64" s="207">
        <f>SUMIFS('август 2023'!$G$4:$G$1022,'август 2023'!$D$4:$D$1022,$B64,'август 2023'!$J$4:$J$1022,AC$1)</f>
        <v>0</v>
      </c>
      <c r="AD64" s="207">
        <f>SUMIFS('август 2023'!$G$4:$G$1022,'август 2023'!$D$4:$D$1022,$B64,'август 2023'!$J$4:$J$1022,AD$1)</f>
        <v>0</v>
      </c>
      <c r="AE64" s="207">
        <f>SUMIFS('август 2023'!$G$4:$G$1022,'август 2023'!$D$4:$D$1022,$B64,'август 2023'!$J$4:$J$1022,AE$1)</f>
        <v>0</v>
      </c>
      <c r="AF64" s="207">
        <f>SUMIFS('август 2023'!$G$4:$G$1022,'август 2023'!$D$4:$D$1022,$B64,'август 2023'!$J$4:$J$1022,AF$1)</f>
        <v>0</v>
      </c>
      <c r="AG64" s="207">
        <f>SUMIFS('август 2023'!$G$4:$G$1022,'август 2023'!$D$4:$D$1022,$B64,'август 2023'!$J$4:$J$1022,AG$1)</f>
        <v>0</v>
      </c>
      <c r="AH64" s="207">
        <f>SUMIFS('август 2023'!$G$4:$G$1022,'август 2023'!$D$4:$D$1022,$B64,'август 2023'!$J$4:$J$1022,AH$1)</f>
        <v>0</v>
      </c>
      <c r="AI64" s="170">
        <f t="shared" si="1"/>
        <v>0</v>
      </c>
    </row>
    <row r="65" spans="2:35" ht="15" customHeight="1" x14ac:dyDescent="0.25">
      <c r="B65" s="216" t="s">
        <v>702</v>
      </c>
      <c r="C65" s="213">
        <v>900</v>
      </c>
      <c r="D65" s="207">
        <f>SUMIFS('август 2023'!$G$4:$G$1022,'август 2023'!$D$4:$D$1022,$B65,'август 2023'!$J$4:$J$1022,D$1)</f>
        <v>0</v>
      </c>
      <c r="E65" s="207">
        <f>SUMIFS('август 2023'!$G$4:$G$1022,'август 2023'!$D$4:$D$1022,$B65,'август 2023'!$J$4:$J$1022,E$1)</f>
        <v>0</v>
      </c>
      <c r="F65" s="207">
        <f>SUMIFS('август 2023'!$G$4:$G$1022,'август 2023'!$D$4:$D$1022,$B65,'август 2023'!$J$4:$J$1022,F$1)</f>
        <v>0</v>
      </c>
      <c r="G65" s="207">
        <f>SUMIFS('август 2023'!$G$4:$G$1022,'август 2023'!$D$4:$D$1022,$B65,'август 2023'!$J$4:$J$1022,G$1)</f>
        <v>0</v>
      </c>
      <c r="H65" s="207">
        <f>SUMIFS('август 2023'!$G$4:$G$1022,'август 2023'!$D$4:$D$1022,$B65,'август 2023'!$J$4:$J$1022,H$1)</f>
        <v>0</v>
      </c>
      <c r="I65" s="207">
        <f>SUMIFS('август 2023'!$G$4:$G$1022,'август 2023'!$D$4:$D$1022,$B65,'август 2023'!$J$4:$J$1022,I$1)</f>
        <v>0</v>
      </c>
      <c r="J65" s="207">
        <f>SUMIFS('август 2023'!$G$4:$G$1022,'август 2023'!$D$4:$D$1022,$B65,'август 2023'!$J$4:$J$1022,J$1)</f>
        <v>0</v>
      </c>
      <c r="K65" s="207">
        <f>SUMIFS('август 2023'!$G$4:$G$1022,'август 2023'!$D$4:$D$1022,$B65,'август 2023'!$J$4:$J$1022,K$1)</f>
        <v>0</v>
      </c>
      <c r="L65" s="207">
        <f>SUMIFS('август 2023'!$G$4:$G$1022,'август 2023'!$D$4:$D$1022,$B65,'август 2023'!$J$4:$J$1022,L$1)</f>
        <v>0</v>
      </c>
      <c r="M65" s="207">
        <f>SUMIFS('август 2023'!$G$4:$G$1022,'август 2023'!$D$4:$D$1022,$B65,'август 2023'!$J$4:$J$1022,M$1)</f>
        <v>0</v>
      </c>
      <c r="N65" s="207">
        <f>SUMIFS('август 2023'!$G$4:$G$1022,'август 2023'!$D$4:$D$1022,$B65,'август 2023'!$J$4:$J$1022,N$1)</f>
        <v>0</v>
      </c>
      <c r="O65" s="207">
        <f>SUMIFS('август 2023'!$G$4:$G$1022,'август 2023'!$D$4:$D$1022,$B65,'август 2023'!$J$4:$J$1022,O$1)</f>
        <v>0</v>
      </c>
      <c r="P65" s="207">
        <f>SUMIFS('август 2023'!$G$4:$G$1022,'август 2023'!$D$4:$D$1022,$B65,'август 2023'!$J$4:$J$1022,P$1)</f>
        <v>0</v>
      </c>
      <c r="Q65" s="207">
        <f>SUMIFS('август 2023'!$G$4:$G$1022,'август 2023'!$D$4:$D$1022,$B65,'август 2023'!$J$4:$J$1022,Q$1)</f>
        <v>0</v>
      </c>
      <c r="R65" s="207">
        <f>SUMIFS('август 2023'!$G$4:$G$1022,'август 2023'!$D$4:$D$1022,$B65,'август 2023'!$J$4:$J$1022,R$1)</f>
        <v>0</v>
      </c>
      <c r="S65" s="207">
        <f>SUMIFS('август 2023'!$G$4:$G$1022,'август 2023'!$D$4:$D$1022,$B65,'август 2023'!$J$4:$J$1022,S$1)</f>
        <v>0</v>
      </c>
      <c r="T65" s="207">
        <f>SUMIFS('август 2023'!$G$4:$G$1022,'август 2023'!$D$4:$D$1022,$B65,'август 2023'!$J$4:$J$1022,T$1)</f>
        <v>0</v>
      </c>
      <c r="U65" s="207">
        <f>SUMIFS('август 2023'!$G$4:$G$1022,'август 2023'!$D$4:$D$1022,$B65,'август 2023'!$J$4:$J$1022,U$1)</f>
        <v>0</v>
      </c>
      <c r="V65" s="207">
        <f>SUMIFS('август 2023'!$G$4:$G$1022,'август 2023'!$D$4:$D$1022,$B65,'август 2023'!$J$4:$J$1022,V$1)</f>
        <v>0</v>
      </c>
      <c r="W65" s="207">
        <f>SUMIFS('август 2023'!$G$4:$G$1022,'август 2023'!$D$4:$D$1022,$B65,'август 2023'!$J$4:$J$1022,W$1)</f>
        <v>0</v>
      </c>
      <c r="X65" s="207">
        <f>SUMIFS('август 2023'!$G$4:$G$1022,'август 2023'!$D$4:$D$1022,$B65,'август 2023'!$J$4:$J$1022,X$1)</f>
        <v>0</v>
      </c>
      <c r="Y65" s="207">
        <f>SUMIFS('август 2023'!$G$4:$G$1022,'август 2023'!$D$4:$D$1022,$B65,'август 2023'!$J$4:$J$1022,Y$1)</f>
        <v>0</v>
      </c>
      <c r="Z65" s="207">
        <f>SUMIFS('август 2023'!$G$4:$G$1022,'август 2023'!$D$4:$D$1022,$B65,'август 2023'!$J$4:$J$1022,Z$1)</f>
        <v>0</v>
      </c>
      <c r="AA65" s="207">
        <f>SUMIFS('август 2023'!$G$4:$G$1022,'август 2023'!$D$4:$D$1022,$B65,'август 2023'!$J$4:$J$1022,AA$1)</f>
        <v>0</v>
      </c>
      <c r="AB65" s="207">
        <f>SUMIFS('август 2023'!$G$4:$G$1022,'август 2023'!$D$4:$D$1022,$B65,'август 2023'!$J$4:$J$1022,AB$1)</f>
        <v>0</v>
      </c>
      <c r="AC65" s="207">
        <f>SUMIFS('август 2023'!$G$4:$G$1022,'август 2023'!$D$4:$D$1022,$B65,'август 2023'!$J$4:$J$1022,AC$1)</f>
        <v>0</v>
      </c>
      <c r="AD65" s="207">
        <f>SUMIFS('август 2023'!$G$4:$G$1022,'август 2023'!$D$4:$D$1022,$B65,'август 2023'!$J$4:$J$1022,AD$1)</f>
        <v>0</v>
      </c>
      <c r="AE65" s="207">
        <f>SUMIFS('август 2023'!$G$4:$G$1022,'август 2023'!$D$4:$D$1022,$B65,'август 2023'!$J$4:$J$1022,AE$1)</f>
        <v>0</v>
      </c>
      <c r="AF65" s="207">
        <f>SUMIFS('август 2023'!$G$4:$G$1022,'август 2023'!$D$4:$D$1022,$B65,'август 2023'!$J$4:$J$1022,AF$1)</f>
        <v>0</v>
      </c>
      <c r="AG65" s="207">
        <f>SUMIFS('август 2023'!$G$4:$G$1022,'август 2023'!$D$4:$D$1022,$B65,'август 2023'!$J$4:$J$1022,AG$1)</f>
        <v>0</v>
      </c>
      <c r="AH65" s="207">
        <f>SUMIFS('август 2023'!$G$4:$G$1022,'август 2023'!$D$4:$D$1022,$B65,'август 2023'!$J$4:$J$1022,AH$1)</f>
        <v>0</v>
      </c>
      <c r="AI65" s="170">
        <f t="shared" si="1"/>
        <v>0</v>
      </c>
    </row>
    <row r="66" spans="2:35" ht="15" customHeight="1" x14ac:dyDescent="0.25">
      <c r="B66" s="216" t="s">
        <v>282</v>
      </c>
      <c r="C66" s="213">
        <v>190</v>
      </c>
      <c r="D66" s="207">
        <f>SUMIFS('август 2023'!$G$4:$G$1022,'август 2023'!$D$4:$D$1022,$B66,'август 2023'!$J$4:$J$1022,D$1)</f>
        <v>0</v>
      </c>
      <c r="E66" s="207">
        <f>SUMIFS('август 2023'!$G$4:$G$1022,'август 2023'!$D$4:$D$1022,$B66,'август 2023'!$J$4:$J$1022,E$1)</f>
        <v>0</v>
      </c>
      <c r="F66" s="207">
        <f>SUMIFS('август 2023'!$G$4:$G$1022,'август 2023'!$D$4:$D$1022,$B66,'август 2023'!$J$4:$J$1022,F$1)</f>
        <v>0</v>
      </c>
      <c r="G66" s="207">
        <f>SUMIFS('август 2023'!$G$4:$G$1022,'август 2023'!$D$4:$D$1022,$B66,'август 2023'!$J$4:$J$1022,G$1)</f>
        <v>0</v>
      </c>
      <c r="H66" s="207">
        <f>SUMIFS('август 2023'!$G$4:$G$1022,'август 2023'!$D$4:$D$1022,$B66,'август 2023'!$J$4:$J$1022,H$1)</f>
        <v>0</v>
      </c>
      <c r="I66" s="207">
        <f>SUMIFS('август 2023'!$G$4:$G$1022,'август 2023'!$D$4:$D$1022,$B66,'август 2023'!$J$4:$J$1022,I$1)</f>
        <v>0</v>
      </c>
      <c r="J66" s="207">
        <f>SUMIFS('август 2023'!$G$4:$G$1022,'август 2023'!$D$4:$D$1022,$B66,'август 2023'!$J$4:$J$1022,J$1)</f>
        <v>0</v>
      </c>
      <c r="K66" s="207">
        <f>SUMIFS('август 2023'!$G$4:$G$1022,'август 2023'!$D$4:$D$1022,$B66,'август 2023'!$J$4:$J$1022,K$1)</f>
        <v>0</v>
      </c>
      <c r="L66" s="207">
        <f>SUMIFS('август 2023'!$G$4:$G$1022,'август 2023'!$D$4:$D$1022,$B66,'август 2023'!$J$4:$J$1022,L$1)</f>
        <v>0</v>
      </c>
      <c r="M66" s="207">
        <f>SUMIFS('август 2023'!$G$4:$G$1022,'август 2023'!$D$4:$D$1022,$B66,'август 2023'!$J$4:$J$1022,M$1)</f>
        <v>0</v>
      </c>
      <c r="N66" s="207">
        <f>SUMIFS('август 2023'!$G$4:$G$1022,'август 2023'!$D$4:$D$1022,$B66,'август 2023'!$J$4:$J$1022,N$1)</f>
        <v>0</v>
      </c>
      <c r="O66" s="207">
        <f>SUMIFS('август 2023'!$G$4:$G$1022,'август 2023'!$D$4:$D$1022,$B66,'август 2023'!$J$4:$J$1022,O$1)</f>
        <v>0</v>
      </c>
      <c r="P66" s="207">
        <f>SUMIFS('август 2023'!$G$4:$G$1022,'август 2023'!$D$4:$D$1022,$B66,'август 2023'!$J$4:$J$1022,P$1)</f>
        <v>0</v>
      </c>
      <c r="Q66" s="207">
        <f>SUMIFS('август 2023'!$G$4:$G$1022,'август 2023'!$D$4:$D$1022,$B66,'август 2023'!$J$4:$J$1022,Q$1)</f>
        <v>0</v>
      </c>
      <c r="R66" s="207">
        <f>SUMIFS('август 2023'!$G$4:$G$1022,'август 2023'!$D$4:$D$1022,$B66,'август 2023'!$J$4:$J$1022,R$1)</f>
        <v>0</v>
      </c>
      <c r="S66" s="207">
        <f>SUMIFS('август 2023'!$G$4:$G$1022,'август 2023'!$D$4:$D$1022,$B66,'август 2023'!$J$4:$J$1022,S$1)</f>
        <v>0</v>
      </c>
      <c r="T66" s="207">
        <f>SUMIFS('август 2023'!$G$4:$G$1022,'август 2023'!$D$4:$D$1022,$B66,'август 2023'!$J$4:$J$1022,T$1)</f>
        <v>80</v>
      </c>
      <c r="U66" s="207">
        <f>SUMIFS('август 2023'!$G$4:$G$1022,'август 2023'!$D$4:$D$1022,$B66,'август 2023'!$J$4:$J$1022,U$1)</f>
        <v>80</v>
      </c>
      <c r="V66" s="207">
        <f>SUMIFS('август 2023'!$G$4:$G$1022,'август 2023'!$D$4:$D$1022,$B66,'август 2023'!$J$4:$J$1022,V$1)</f>
        <v>0</v>
      </c>
      <c r="W66" s="207">
        <f>SUMIFS('август 2023'!$G$4:$G$1022,'август 2023'!$D$4:$D$1022,$B66,'август 2023'!$J$4:$J$1022,W$1)</f>
        <v>0</v>
      </c>
      <c r="X66" s="207">
        <f>SUMIFS('август 2023'!$G$4:$G$1022,'август 2023'!$D$4:$D$1022,$B66,'август 2023'!$J$4:$J$1022,X$1)</f>
        <v>0</v>
      </c>
      <c r="Y66" s="207">
        <f>SUMIFS('август 2023'!$G$4:$G$1022,'август 2023'!$D$4:$D$1022,$B66,'август 2023'!$J$4:$J$1022,Y$1)</f>
        <v>80</v>
      </c>
      <c r="Z66" s="207">
        <f>SUMIFS('август 2023'!$G$4:$G$1022,'август 2023'!$D$4:$D$1022,$B66,'август 2023'!$J$4:$J$1022,Z$1)</f>
        <v>0</v>
      </c>
      <c r="AA66" s="207">
        <f>SUMIFS('август 2023'!$G$4:$G$1022,'август 2023'!$D$4:$D$1022,$B66,'август 2023'!$J$4:$J$1022,AA$1)</f>
        <v>0</v>
      </c>
      <c r="AB66" s="207">
        <f>SUMIFS('август 2023'!$G$4:$G$1022,'август 2023'!$D$4:$D$1022,$B66,'август 2023'!$J$4:$J$1022,AB$1)</f>
        <v>0</v>
      </c>
      <c r="AC66" s="207">
        <f>SUMIFS('август 2023'!$G$4:$G$1022,'август 2023'!$D$4:$D$1022,$B66,'август 2023'!$J$4:$J$1022,AC$1)</f>
        <v>0</v>
      </c>
      <c r="AD66" s="207">
        <f>SUMIFS('август 2023'!$G$4:$G$1022,'август 2023'!$D$4:$D$1022,$B66,'август 2023'!$J$4:$J$1022,AD$1)</f>
        <v>0</v>
      </c>
      <c r="AE66" s="207">
        <f>SUMIFS('август 2023'!$G$4:$G$1022,'август 2023'!$D$4:$D$1022,$B66,'август 2023'!$J$4:$J$1022,AE$1)</f>
        <v>0</v>
      </c>
      <c r="AF66" s="207">
        <f>SUMIFS('август 2023'!$G$4:$G$1022,'август 2023'!$D$4:$D$1022,$B66,'август 2023'!$J$4:$J$1022,AF$1)</f>
        <v>0</v>
      </c>
      <c r="AG66" s="207">
        <f>SUMIFS('август 2023'!$G$4:$G$1022,'август 2023'!$D$4:$D$1022,$B66,'август 2023'!$J$4:$J$1022,AG$1)</f>
        <v>160</v>
      </c>
      <c r="AH66" s="207">
        <f>SUMIFS('август 2023'!$G$4:$G$1022,'август 2023'!$D$4:$D$1022,$B66,'август 2023'!$J$4:$J$1022,AH$1)</f>
        <v>0</v>
      </c>
      <c r="AI66" s="170">
        <f t="shared" si="1"/>
        <v>400</v>
      </c>
    </row>
    <row r="67" spans="2:35" ht="15" customHeight="1" x14ac:dyDescent="0.25">
      <c r="B67" s="216" t="s">
        <v>890</v>
      </c>
      <c r="C67" s="213">
        <v>190</v>
      </c>
      <c r="D67" s="207">
        <f>SUMIFS('август 2023'!$G$4:$G$1022,'август 2023'!$D$4:$D$1022,$B67,'август 2023'!$J$4:$J$1022,D$1)</f>
        <v>0</v>
      </c>
      <c r="E67" s="207">
        <f>SUMIFS('август 2023'!$G$4:$G$1022,'август 2023'!$D$4:$D$1022,$B67,'август 2023'!$J$4:$J$1022,E$1)</f>
        <v>0</v>
      </c>
      <c r="F67" s="207">
        <f>SUMIFS('август 2023'!$G$4:$G$1022,'август 2023'!$D$4:$D$1022,$B67,'август 2023'!$J$4:$J$1022,F$1)</f>
        <v>0</v>
      </c>
      <c r="G67" s="207">
        <f>SUMIFS('август 2023'!$G$4:$G$1022,'август 2023'!$D$4:$D$1022,$B67,'август 2023'!$J$4:$J$1022,G$1)</f>
        <v>0</v>
      </c>
      <c r="H67" s="207">
        <f>SUMIFS('август 2023'!$G$4:$G$1022,'август 2023'!$D$4:$D$1022,$B67,'август 2023'!$J$4:$J$1022,H$1)</f>
        <v>0</v>
      </c>
      <c r="I67" s="207">
        <f>SUMIFS('август 2023'!$G$4:$G$1022,'август 2023'!$D$4:$D$1022,$B67,'август 2023'!$J$4:$J$1022,I$1)</f>
        <v>0</v>
      </c>
      <c r="J67" s="207">
        <f>SUMIFS('август 2023'!$G$4:$G$1022,'август 2023'!$D$4:$D$1022,$B67,'август 2023'!$J$4:$J$1022,J$1)</f>
        <v>0</v>
      </c>
      <c r="K67" s="207">
        <f>SUMIFS('август 2023'!$G$4:$G$1022,'август 2023'!$D$4:$D$1022,$B67,'август 2023'!$J$4:$J$1022,K$1)</f>
        <v>0</v>
      </c>
      <c r="L67" s="207">
        <f>SUMIFS('август 2023'!$G$4:$G$1022,'август 2023'!$D$4:$D$1022,$B67,'август 2023'!$J$4:$J$1022,L$1)</f>
        <v>0</v>
      </c>
      <c r="M67" s="207">
        <f>SUMIFS('август 2023'!$G$4:$G$1022,'август 2023'!$D$4:$D$1022,$B67,'август 2023'!$J$4:$J$1022,M$1)</f>
        <v>0</v>
      </c>
      <c r="N67" s="207">
        <f>SUMIFS('август 2023'!$G$4:$G$1022,'август 2023'!$D$4:$D$1022,$B67,'август 2023'!$J$4:$J$1022,N$1)</f>
        <v>0</v>
      </c>
      <c r="O67" s="207">
        <f>SUMIFS('август 2023'!$G$4:$G$1022,'август 2023'!$D$4:$D$1022,$B67,'август 2023'!$J$4:$J$1022,O$1)</f>
        <v>0</v>
      </c>
      <c r="P67" s="207">
        <f>SUMIFS('август 2023'!$G$4:$G$1022,'август 2023'!$D$4:$D$1022,$B67,'август 2023'!$J$4:$J$1022,P$1)</f>
        <v>0</v>
      </c>
      <c r="Q67" s="207">
        <f>SUMIFS('август 2023'!$G$4:$G$1022,'август 2023'!$D$4:$D$1022,$B67,'август 2023'!$J$4:$J$1022,Q$1)</f>
        <v>0</v>
      </c>
      <c r="R67" s="207">
        <f>SUMIFS('август 2023'!$G$4:$G$1022,'август 2023'!$D$4:$D$1022,$B67,'август 2023'!$J$4:$J$1022,R$1)</f>
        <v>0</v>
      </c>
      <c r="S67" s="207">
        <f>SUMIFS('август 2023'!$G$4:$G$1022,'август 2023'!$D$4:$D$1022,$B67,'август 2023'!$J$4:$J$1022,S$1)</f>
        <v>0</v>
      </c>
      <c r="T67" s="207">
        <f>SUMIFS('август 2023'!$G$4:$G$1022,'август 2023'!$D$4:$D$1022,$B67,'август 2023'!$J$4:$J$1022,T$1)</f>
        <v>0</v>
      </c>
      <c r="U67" s="207">
        <f>SUMIFS('август 2023'!$G$4:$G$1022,'август 2023'!$D$4:$D$1022,$B67,'август 2023'!$J$4:$J$1022,U$1)</f>
        <v>0</v>
      </c>
      <c r="V67" s="207">
        <f>SUMIFS('август 2023'!$G$4:$G$1022,'август 2023'!$D$4:$D$1022,$B67,'август 2023'!$J$4:$J$1022,V$1)</f>
        <v>0</v>
      </c>
      <c r="W67" s="207">
        <f>SUMIFS('август 2023'!$G$4:$G$1022,'август 2023'!$D$4:$D$1022,$B67,'август 2023'!$J$4:$J$1022,W$1)</f>
        <v>0</v>
      </c>
      <c r="X67" s="207">
        <f>SUMIFS('август 2023'!$G$4:$G$1022,'август 2023'!$D$4:$D$1022,$B67,'август 2023'!$J$4:$J$1022,X$1)</f>
        <v>0</v>
      </c>
      <c r="Y67" s="207">
        <f>SUMIFS('август 2023'!$G$4:$G$1022,'август 2023'!$D$4:$D$1022,$B67,'август 2023'!$J$4:$J$1022,Y$1)</f>
        <v>0</v>
      </c>
      <c r="Z67" s="207">
        <f>SUMIFS('август 2023'!$G$4:$G$1022,'август 2023'!$D$4:$D$1022,$B67,'август 2023'!$J$4:$J$1022,Z$1)</f>
        <v>0</v>
      </c>
      <c r="AA67" s="207">
        <f>SUMIFS('август 2023'!$G$4:$G$1022,'август 2023'!$D$4:$D$1022,$B67,'август 2023'!$J$4:$J$1022,AA$1)</f>
        <v>0</v>
      </c>
      <c r="AB67" s="207">
        <f>SUMIFS('август 2023'!$G$4:$G$1022,'август 2023'!$D$4:$D$1022,$B67,'август 2023'!$J$4:$J$1022,AB$1)</f>
        <v>0</v>
      </c>
      <c r="AC67" s="207">
        <f>SUMIFS('август 2023'!$G$4:$G$1022,'август 2023'!$D$4:$D$1022,$B67,'август 2023'!$J$4:$J$1022,AC$1)</f>
        <v>0</v>
      </c>
      <c r="AD67" s="207">
        <f>SUMIFS('август 2023'!$G$4:$G$1022,'август 2023'!$D$4:$D$1022,$B67,'август 2023'!$J$4:$J$1022,AD$1)</f>
        <v>0</v>
      </c>
      <c r="AE67" s="207">
        <f>SUMIFS('август 2023'!$G$4:$G$1022,'август 2023'!$D$4:$D$1022,$B67,'август 2023'!$J$4:$J$1022,AE$1)</f>
        <v>160</v>
      </c>
      <c r="AF67" s="207">
        <f>SUMIFS('август 2023'!$G$4:$G$1022,'август 2023'!$D$4:$D$1022,$B67,'август 2023'!$J$4:$J$1022,AF$1)</f>
        <v>0</v>
      </c>
      <c r="AG67" s="207">
        <f>SUMIFS('август 2023'!$G$4:$G$1022,'август 2023'!$D$4:$D$1022,$B67,'август 2023'!$J$4:$J$1022,AG$1)</f>
        <v>0</v>
      </c>
      <c r="AH67" s="207">
        <f>SUMIFS('август 2023'!$G$4:$G$1022,'август 2023'!$D$4:$D$1022,$B67,'август 2023'!$J$4:$J$1022,AH$1)</f>
        <v>0</v>
      </c>
      <c r="AI67" s="170"/>
    </row>
    <row r="68" spans="2:35" ht="15" customHeight="1" x14ac:dyDescent="0.25">
      <c r="B68" s="216" t="s">
        <v>1498</v>
      </c>
      <c r="C68" s="213">
        <v>190</v>
      </c>
      <c r="D68" s="207">
        <f>SUMIFS('август 2023'!$G$4:$G$1022,'август 2023'!$D$4:$D$1022,$B68,'август 2023'!$J$4:$J$1022,D$1)</f>
        <v>0</v>
      </c>
      <c r="E68" s="207">
        <f>SUMIFS('август 2023'!$G$4:$G$1022,'август 2023'!$D$4:$D$1022,$B68,'август 2023'!$J$4:$J$1022,E$1)</f>
        <v>0</v>
      </c>
      <c r="F68" s="207">
        <f>SUMIFS('август 2023'!$G$4:$G$1022,'август 2023'!$D$4:$D$1022,$B68,'август 2023'!$J$4:$J$1022,F$1)</f>
        <v>0</v>
      </c>
      <c r="G68" s="207">
        <f>SUMIFS('август 2023'!$G$4:$G$1022,'август 2023'!$D$4:$D$1022,$B68,'август 2023'!$J$4:$J$1022,G$1)</f>
        <v>0</v>
      </c>
      <c r="H68" s="207">
        <f>SUMIFS('август 2023'!$G$4:$G$1022,'август 2023'!$D$4:$D$1022,$B68,'август 2023'!$J$4:$J$1022,H$1)</f>
        <v>0</v>
      </c>
      <c r="I68" s="207">
        <f>SUMIFS('август 2023'!$G$4:$G$1022,'август 2023'!$D$4:$D$1022,$B68,'август 2023'!$J$4:$J$1022,I$1)</f>
        <v>0</v>
      </c>
      <c r="J68" s="207">
        <f>SUMIFS('август 2023'!$G$4:$G$1022,'август 2023'!$D$4:$D$1022,$B68,'август 2023'!$J$4:$J$1022,J$1)</f>
        <v>0</v>
      </c>
      <c r="K68" s="207">
        <f>SUMIFS('август 2023'!$G$4:$G$1022,'август 2023'!$D$4:$D$1022,$B68,'август 2023'!$J$4:$J$1022,K$1)</f>
        <v>0</v>
      </c>
      <c r="L68" s="207">
        <f>SUMIFS('август 2023'!$G$4:$G$1022,'август 2023'!$D$4:$D$1022,$B68,'август 2023'!$J$4:$J$1022,L$1)</f>
        <v>0</v>
      </c>
      <c r="M68" s="207">
        <f>SUMIFS('август 2023'!$G$4:$G$1022,'август 2023'!$D$4:$D$1022,$B68,'август 2023'!$J$4:$J$1022,M$1)</f>
        <v>0</v>
      </c>
      <c r="N68" s="207">
        <f>SUMIFS('август 2023'!$G$4:$G$1022,'август 2023'!$D$4:$D$1022,$B68,'август 2023'!$J$4:$J$1022,N$1)</f>
        <v>0</v>
      </c>
      <c r="O68" s="207">
        <f>SUMIFS('август 2023'!$G$4:$G$1022,'август 2023'!$D$4:$D$1022,$B68,'август 2023'!$J$4:$J$1022,O$1)</f>
        <v>0</v>
      </c>
      <c r="P68" s="207">
        <f>SUMIFS('август 2023'!$G$4:$G$1022,'август 2023'!$D$4:$D$1022,$B68,'август 2023'!$J$4:$J$1022,P$1)</f>
        <v>0</v>
      </c>
      <c r="Q68" s="207">
        <f>SUMIFS('август 2023'!$G$4:$G$1022,'август 2023'!$D$4:$D$1022,$B68,'август 2023'!$J$4:$J$1022,Q$1)</f>
        <v>0</v>
      </c>
      <c r="R68" s="207">
        <f>SUMIFS('август 2023'!$G$4:$G$1022,'август 2023'!$D$4:$D$1022,$B68,'август 2023'!$J$4:$J$1022,R$1)</f>
        <v>0</v>
      </c>
      <c r="S68" s="207">
        <f>SUMIFS('август 2023'!$G$4:$G$1022,'август 2023'!$D$4:$D$1022,$B68,'август 2023'!$J$4:$J$1022,S$1)</f>
        <v>0</v>
      </c>
      <c r="T68" s="207">
        <f>SUMIFS('август 2023'!$G$4:$G$1022,'август 2023'!$D$4:$D$1022,$B68,'август 2023'!$J$4:$J$1022,T$1)</f>
        <v>0</v>
      </c>
      <c r="U68" s="207">
        <f>SUMIFS('август 2023'!$G$4:$G$1022,'август 2023'!$D$4:$D$1022,$B68,'август 2023'!$J$4:$J$1022,U$1)</f>
        <v>0</v>
      </c>
      <c r="V68" s="207">
        <f>SUMIFS('август 2023'!$G$4:$G$1022,'август 2023'!$D$4:$D$1022,$B68,'август 2023'!$J$4:$J$1022,V$1)</f>
        <v>0</v>
      </c>
      <c r="W68" s="207">
        <f>SUMIFS('август 2023'!$G$4:$G$1022,'август 2023'!$D$4:$D$1022,$B68,'август 2023'!$J$4:$J$1022,W$1)</f>
        <v>0</v>
      </c>
      <c r="X68" s="207">
        <f>SUMIFS('август 2023'!$G$4:$G$1022,'август 2023'!$D$4:$D$1022,$B68,'август 2023'!$J$4:$J$1022,X$1)</f>
        <v>0</v>
      </c>
      <c r="Y68" s="207">
        <f>SUMIFS('август 2023'!$G$4:$G$1022,'август 2023'!$D$4:$D$1022,$B68,'август 2023'!$J$4:$J$1022,Y$1)</f>
        <v>0</v>
      </c>
      <c r="Z68" s="207">
        <f>SUMIFS('август 2023'!$G$4:$G$1022,'август 2023'!$D$4:$D$1022,$B68,'август 2023'!$J$4:$J$1022,Z$1)</f>
        <v>0</v>
      </c>
      <c r="AA68" s="207">
        <f>SUMIFS('август 2023'!$G$4:$G$1022,'август 2023'!$D$4:$D$1022,$B68,'август 2023'!$J$4:$J$1022,AA$1)</f>
        <v>0</v>
      </c>
      <c r="AB68" s="207">
        <f>SUMIFS('август 2023'!$G$4:$G$1022,'август 2023'!$D$4:$D$1022,$B68,'август 2023'!$J$4:$J$1022,AB$1)</f>
        <v>0</v>
      </c>
      <c r="AC68" s="207">
        <f>SUMIFS('август 2023'!$G$4:$G$1022,'август 2023'!$D$4:$D$1022,$B68,'август 2023'!$J$4:$J$1022,AC$1)</f>
        <v>0</v>
      </c>
      <c r="AD68" s="207">
        <f>SUMIFS('август 2023'!$G$4:$G$1022,'август 2023'!$D$4:$D$1022,$B68,'август 2023'!$J$4:$J$1022,AD$1)</f>
        <v>0</v>
      </c>
      <c r="AE68" s="207">
        <f>SUMIFS('август 2023'!$G$4:$G$1022,'август 2023'!$D$4:$D$1022,$B68,'август 2023'!$J$4:$J$1022,AE$1)</f>
        <v>0</v>
      </c>
      <c r="AF68" s="207">
        <f>SUMIFS('август 2023'!$G$4:$G$1022,'август 2023'!$D$4:$D$1022,$B68,'август 2023'!$J$4:$J$1022,AF$1)</f>
        <v>0</v>
      </c>
      <c r="AG68" s="207">
        <f>SUMIFS('август 2023'!$G$4:$G$1022,'август 2023'!$D$4:$D$1022,$B68,'август 2023'!$J$4:$J$1022,AG$1)</f>
        <v>0</v>
      </c>
      <c r="AH68" s="207">
        <f>SUMIFS('август 2023'!$G$4:$G$1022,'август 2023'!$D$4:$D$1022,$B68,'август 2023'!$J$4:$J$1022,AH$1)</f>
        <v>0</v>
      </c>
      <c r="AI68" s="170">
        <f t="shared" ref="AI68:AI130" si="2">SUM(D68:AH68)</f>
        <v>0</v>
      </c>
    </row>
    <row r="69" spans="2:35" ht="15" customHeight="1" x14ac:dyDescent="0.25">
      <c r="B69" s="216" t="s">
        <v>1721</v>
      </c>
      <c r="C69" s="213">
        <v>180</v>
      </c>
      <c r="D69" s="207">
        <f>SUMIFS('август 2023'!$G$4:$G$1022,'август 2023'!$D$4:$D$1022,$B69,'август 2023'!$J$4:$J$1022,D$1)</f>
        <v>0</v>
      </c>
      <c r="E69" s="207">
        <f>SUMIFS('август 2023'!$G$4:$G$1022,'август 2023'!$D$4:$D$1022,$B69,'август 2023'!$J$4:$J$1022,E$1)</f>
        <v>0</v>
      </c>
      <c r="F69" s="207">
        <f>SUMIFS('август 2023'!$G$4:$G$1022,'август 2023'!$D$4:$D$1022,$B69,'август 2023'!$J$4:$J$1022,F$1)</f>
        <v>0</v>
      </c>
      <c r="G69" s="207">
        <f>SUMIFS('август 2023'!$G$4:$G$1022,'август 2023'!$D$4:$D$1022,$B69,'август 2023'!$J$4:$J$1022,G$1)</f>
        <v>0</v>
      </c>
      <c r="H69" s="207">
        <f>SUMIFS('август 2023'!$G$4:$G$1022,'август 2023'!$D$4:$D$1022,$B69,'август 2023'!$J$4:$J$1022,H$1)</f>
        <v>0</v>
      </c>
      <c r="I69" s="207">
        <f>SUMIFS('август 2023'!$G$4:$G$1022,'август 2023'!$D$4:$D$1022,$B69,'август 2023'!$J$4:$J$1022,I$1)</f>
        <v>0</v>
      </c>
      <c r="J69" s="207">
        <f>SUMIFS('август 2023'!$G$4:$G$1022,'август 2023'!$D$4:$D$1022,$B69,'август 2023'!$J$4:$J$1022,J$1)</f>
        <v>0</v>
      </c>
      <c r="K69" s="207">
        <f>SUMIFS('август 2023'!$G$4:$G$1022,'август 2023'!$D$4:$D$1022,$B69,'август 2023'!$J$4:$J$1022,K$1)</f>
        <v>0</v>
      </c>
      <c r="L69" s="207">
        <f>SUMIFS('август 2023'!$G$4:$G$1022,'август 2023'!$D$4:$D$1022,$B69,'август 2023'!$J$4:$J$1022,L$1)</f>
        <v>0</v>
      </c>
      <c r="M69" s="207">
        <f>SUMIFS('август 2023'!$G$4:$G$1022,'август 2023'!$D$4:$D$1022,$B69,'август 2023'!$J$4:$J$1022,M$1)</f>
        <v>0</v>
      </c>
      <c r="N69" s="207">
        <f>SUMIFS('август 2023'!$G$4:$G$1022,'август 2023'!$D$4:$D$1022,$B69,'август 2023'!$J$4:$J$1022,N$1)</f>
        <v>0</v>
      </c>
      <c r="O69" s="207">
        <f>SUMIFS('август 2023'!$G$4:$G$1022,'август 2023'!$D$4:$D$1022,$B69,'август 2023'!$J$4:$J$1022,O$1)</f>
        <v>0</v>
      </c>
      <c r="P69" s="207">
        <f>SUMIFS('август 2023'!$G$4:$G$1022,'август 2023'!$D$4:$D$1022,$B69,'август 2023'!$J$4:$J$1022,P$1)</f>
        <v>0</v>
      </c>
      <c r="Q69" s="207">
        <f>SUMIFS('август 2023'!$G$4:$G$1022,'август 2023'!$D$4:$D$1022,$B69,'август 2023'!$J$4:$J$1022,Q$1)</f>
        <v>0</v>
      </c>
      <c r="R69" s="207">
        <f>SUMIFS('август 2023'!$G$4:$G$1022,'август 2023'!$D$4:$D$1022,$B69,'август 2023'!$J$4:$J$1022,R$1)</f>
        <v>0</v>
      </c>
      <c r="S69" s="207">
        <f>SUMIFS('август 2023'!$G$4:$G$1022,'август 2023'!$D$4:$D$1022,$B69,'август 2023'!$J$4:$J$1022,S$1)</f>
        <v>0</v>
      </c>
      <c r="T69" s="207">
        <f>SUMIFS('август 2023'!$G$4:$G$1022,'август 2023'!$D$4:$D$1022,$B69,'август 2023'!$J$4:$J$1022,T$1)</f>
        <v>0</v>
      </c>
      <c r="U69" s="207">
        <f>SUMIFS('август 2023'!$G$4:$G$1022,'август 2023'!$D$4:$D$1022,$B69,'август 2023'!$J$4:$J$1022,U$1)</f>
        <v>0</v>
      </c>
      <c r="V69" s="207">
        <f>SUMIFS('август 2023'!$G$4:$G$1022,'август 2023'!$D$4:$D$1022,$B69,'август 2023'!$J$4:$J$1022,V$1)</f>
        <v>0</v>
      </c>
      <c r="W69" s="207">
        <f>SUMIFS('август 2023'!$G$4:$G$1022,'август 2023'!$D$4:$D$1022,$B69,'август 2023'!$J$4:$J$1022,W$1)</f>
        <v>0</v>
      </c>
      <c r="X69" s="207">
        <f>SUMIFS('август 2023'!$G$4:$G$1022,'август 2023'!$D$4:$D$1022,$B69,'август 2023'!$J$4:$J$1022,X$1)</f>
        <v>0</v>
      </c>
      <c r="Y69" s="207">
        <f>SUMIFS('август 2023'!$G$4:$G$1022,'август 2023'!$D$4:$D$1022,$B69,'август 2023'!$J$4:$J$1022,Y$1)</f>
        <v>0</v>
      </c>
      <c r="Z69" s="207">
        <f>SUMIFS('август 2023'!$G$4:$G$1022,'август 2023'!$D$4:$D$1022,$B69,'август 2023'!$J$4:$J$1022,Z$1)</f>
        <v>0</v>
      </c>
      <c r="AA69" s="207">
        <f>SUMIFS('август 2023'!$G$4:$G$1022,'август 2023'!$D$4:$D$1022,$B69,'август 2023'!$J$4:$J$1022,AA$1)</f>
        <v>0</v>
      </c>
      <c r="AB69" s="207">
        <f>SUMIFS('август 2023'!$G$4:$G$1022,'август 2023'!$D$4:$D$1022,$B69,'август 2023'!$J$4:$J$1022,AB$1)</f>
        <v>0</v>
      </c>
      <c r="AC69" s="207">
        <f>SUMIFS('август 2023'!$G$4:$G$1022,'август 2023'!$D$4:$D$1022,$B69,'август 2023'!$J$4:$J$1022,AC$1)</f>
        <v>0</v>
      </c>
      <c r="AD69" s="207">
        <f>SUMIFS('август 2023'!$G$4:$G$1022,'август 2023'!$D$4:$D$1022,$B69,'август 2023'!$J$4:$J$1022,AD$1)</f>
        <v>0</v>
      </c>
      <c r="AE69" s="207">
        <f>SUMIFS('август 2023'!$G$4:$G$1022,'август 2023'!$D$4:$D$1022,$B69,'август 2023'!$J$4:$J$1022,AE$1)</f>
        <v>0</v>
      </c>
      <c r="AF69" s="207">
        <f>SUMIFS('август 2023'!$G$4:$G$1022,'август 2023'!$D$4:$D$1022,$B69,'август 2023'!$J$4:$J$1022,AF$1)</f>
        <v>0</v>
      </c>
      <c r="AG69" s="207">
        <f>SUMIFS('август 2023'!$G$4:$G$1022,'август 2023'!$D$4:$D$1022,$B69,'август 2023'!$J$4:$J$1022,AG$1)</f>
        <v>0</v>
      </c>
      <c r="AH69" s="207">
        <f>SUMIFS('август 2023'!$G$4:$G$1022,'август 2023'!$D$4:$D$1022,$B69,'август 2023'!$J$4:$J$1022,AH$1)</f>
        <v>0</v>
      </c>
      <c r="AI69" s="170">
        <f t="shared" si="2"/>
        <v>0</v>
      </c>
    </row>
    <row r="70" spans="2:35" ht="15" customHeight="1" x14ac:dyDescent="0.25">
      <c r="B70" s="216" t="s">
        <v>2166</v>
      </c>
      <c r="C70" s="213">
        <v>180</v>
      </c>
      <c r="D70" s="207">
        <f>SUMIFS('август 2023'!$G$4:$G$1022,'август 2023'!$D$4:$D$1022,$B70,'август 2023'!$J$4:$J$1022,D$1)</f>
        <v>0</v>
      </c>
      <c r="E70" s="207">
        <f>SUMIFS('август 2023'!$G$4:$G$1022,'август 2023'!$D$4:$D$1022,$B70,'август 2023'!$J$4:$J$1022,E$1)</f>
        <v>0</v>
      </c>
      <c r="F70" s="207">
        <f>SUMIFS('август 2023'!$G$4:$G$1022,'август 2023'!$D$4:$D$1022,$B70,'август 2023'!$J$4:$J$1022,F$1)</f>
        <v>0</v>
      </c>
      <c r="G70" s="207">
        <f>SUMIFS('август 2023'!$G$4:$G$1022,'август 2023'!$D$4:$D$1022,$B70,'август 2023'!$J$4:$J$1022,G$1)</f>
        <v>0</v>
      </c>
      <c r="H70" s="207">
        <f>SUMIFS('август 2023'!$G$4:$G$1022,'август 2023'!$D$4:$D$1022,$B70,'август 2023'!$J$4:$J$1022,H$1)</f>
        <v>0</v>
      </c>
      <c r="I70" s="207">
        <f>SUMIFS('август 2023'!$G$4:$G$1022,'август 2023'!$D$4:$D$1022,$B70,'август 2023'!$J$4:$J$1022,I$1)</f>
        <v>0</v>
      </c>
      <c r="J70" s="207">
        <f>SUMIFS('август 2023'!$G$4:$G$1022,'август 2023'!$D$4:$D$1022,$B70,'август 2023'!$J$4:$J$1022,J$1)</f>
        <v>0</v>
      </c>
      <c r="K70" s="207">
        <f>SUMIFS('август 2023'!$G$4:$G$1022,'август 2023'!$D$4:$D$1022,$B70,'август 2023'!$J$4:$J$1022,K$1)</f>
        <v>0</v>
      </c>
      <c r="L70" s="207">
        <f>SUMIFS('август 2023'!$G$4:$G$1022,'август 2023'!$D$4:$D$1022,$B70,'август 2023'!$J$4:$J$1022,L$1)</f>
        <v>0</v>
      </c>
      <c r="M70" s="207">
        <f>SUMIFS('август 2023'!$G$4:$G$1022,'август 2023'!$D$4:$D$1022,$B70,'август 2023'!$J$4:$J$1022,M$1)</f>
        <v>0</v>
      </c>
      <c r="N70" s="207">
        <f>SUMIFS('август 2023'!$G$4:$G$1022,'август 2023'!$D$4:$D$1022,$B70,'август 2023'!$J$4:$J$1022,N$1)</f>
        <v>0</v>
      </c>
      <c r="O70" s="207">
        <f>SUMIFS('август 2023'!$G$4:$G$1022,'август 2023'!$D$4:$D$1022,$B70,'август 2023'!$J$4:$J$1022,O$1)</f>
        <v>0</v>
      </c>
      <c r="P70" s="207">
        <f>SUMIFS('август 2023'!$G$4:$G$1022,'август 2023'!$D$4:$D$1022,$B70,'август 2023'!$J$4:$J$1022,P$1)</f>
        <v>0</v>
      </c>
      <c r="Q70" s="207">
        <f>SUMIFS('август 2023'!$G$4:$G$1022,'август 2023'!$D$4:$D$1022,$B70,'август 2023'!$J$4:$J$1022,Q$1)</f>
        <v>0</v>
      </c>
      <c r="R70" s="207">
        <f>SUMIFS('август 2023'!$G$4:$G$1022,'август 2023'!$D$4:$D$1022,$B70,'август 2023'!$J$4:$J$1022,R$1)</f>
        <v>0</v>
      </c>
      <c r="S70" s="207">
        <f>SUMIFS('август 2023'!$G$4:$G$1022,'август 2023'!$D$4:$D$1022,$B70,'август 2023'!$J$4:$J$1022,S$1)</f>
        <v>0</v>
      </c>
      <c r="T70" s="207">
        <f>SUMIFS('август 2023'!$G$4:$G$1022,'август 2023'!$D$4:$D$1022,$B70,'август 2023'!$J$4:$J$1022,T$1)</f>
        <v>0</v>
      </c>
      <c r="U70" s="207">
        <f>SUMIFS('август 2023'!$G$4:$G$1022,'август 2023'!$D$4:$D$1022,$B70,'август 2023'!$J$4:$J$1022,U$1)</f>
        <v>0</v>
      </c>
      <c r="V70" s="207">
        <f>SUMIFS('август 2023'!$G$4:$G$1022,'август 2023'!$D$4:$D$1022,$B70,'август 2023'!$J$4:$J$1022,V$1)</f>
        <v>0</v>
      </c>
      <c r="W70" s="207">
        <f>SUMIFS('август 2023'!$G$4:$G$1022,'август 2023'!$D$4:$D$1022,$B70,'август 2023'!$J$4:$J$1022,W$1)</f>
        <v>0</v>
      </c>
      <c r="X70" s="207">
        <f>SUMIFS('август 2023'!$G$4:$G$1022,'август 2023'!$D$4:$D$1022,$B70,'август 2023'!$J$4:$J$1022,X$1)</f>
        <v>0</v>
      </c>
      <c r="Y70" s="207">
        <f>SUMIFS('август 2023'!$G$4:$G$1022,'август 2023'!$D$4:$D$1022,$B70,'август 2023'!$J$4:$J$1022,Y$1)</f>
        <v>0</v>
      </c>
      <c r="Z70" s="207">
        <f>SUMIFS('август 2023'!$G$4:$G$1022,'август 2023'!$D$4:$D$1022,$B70,'август 2023'!$J$4:$J$1022,Z$1)</f>
        <v>0</v>
      </c>
      <c r="AA70" s="207">
        <f>SUMIFS('август 2023'!$G$4:$G$1022,'август 2023'!$D$4:$D$1022,$B70,'август 2023'!$J$4:$J$1022,AA$1)</f>
        <v>0</v>
      </c>
      <c r="AB70" s="207">
        <f>SUMIFS('август 2023'!$G$4:$G$1022,'август 2023'!$D$4:$D$1022,$B70,'август 2023'!$J$4:$J$1022,AB$1)</f>
        <v>0</v>
      </c>
      <c r="AC70" s="207">
        <f>SUMIFS('август 2023'!$G$4:$G$1022,'август 2023'!$D$4:$D$1022,$B70,'август 2023'!$J$4:$J$1022,AC$1)</f>
        <v>0</v>
      </c>
      <c r="AD70" s="207">
        <f>SUMIFS('август 2023'!$G$4:$G$1022,'август 2023'!$D$4:$D$1022,$B70,'август 2023'!$J$4:$J$1022,AD$1)</f>
        <v>0</v>
      </c>
      <c r="AE70" s="207">
        <f>SUMIFS('август 2023'!$G$4:$G$1022,'август 2023'!$D$4:$D$1022,$B70,'август 2023'!$J$4:$J$1022,AE$1)</f>
        <v>0</v>
      </c>
      <c r="AF70" s="207">
        <f>SUMIFS('август 2023'!$G$4:$G$1022,'август 2023'!$D$4:$D$1022,$B70,'август 2023'!$J$4:$J$1022,AF$1)</f>
        <v>0</v>
      </c>
      <c r="AG70" s="207">
        <f>SUMIFS('август 2023'!$G$4:$G$1022,'август 2023'!$D$4:$D$1022,$B70,'август 2023'!$J$4:$J$1022,AG$1)</f>
        <v>0</v>
      </c>
      <c r="AH70" s="207">
        <f>SUMIFS('август 2023'!$G$4:$G$1022,'август 2023'!$D$4:$D$1022,$B70,'август 2023'!$J$4:$J$1022,AH$1)</f>
        <v>0</v>
      </c>
      <c r="AI70" s="170">
        <f t="shared" si="2"/>
        <v>0</v>
      </c>
    </row>
    <row r="71" spans="2:35" ht="15" customHeight="1" x14ac:dyDescent="0.25">
      <c r="B71" s="216" t="s">
        <v>140</v>
      </c>
      <c r="C71" s="213">
        <v>180</v>
      </c>
      <c r="D71" s="207">
        <f>SUMIFS('август 2023'!$G$4:$G$1022,'август 2023'!$D$4:$D$1022,$B71,'август 2023'!$J$4:$J$1022,D$1)</f>
        <v>0</v>
      </c>
      <c r="E71" s="207">
        <f>SUMIFS('август 2023'!$G$4:$G$1022,'август 2023'!$D$4:$D$1022,$B71,'август 2023'!$J$4:$J$1022,E$1)</f>
        <v>0</v>
      </c>
      <c r="F71" s="207">
        <f>SUMIFS('август 2023'!$G$4:$G$1022,'август 2023'!$D$4:$D$1022,$B71,'август 2023'!$J$4:$J$1022,F$1)</f>
        <v>0</v>
      </c>
      <c r="G71" s="207">
        <f>SUMIFS('август 2023'!$G$4:$G$1022,'август 2023'!$D$4:$D$1022,$B71,'август 2023'!$J$4:$J$1022,G$1)</f>
        <v>0</v>
      </c>
      <c r="H71" s="207">
        <f>SUMIFS('август 2023'!$G$4:$G$1022,'август 2023'!$D$4:$D$1022,$B71,'август 2023'!$J$4:$J$1022,H$1)</f>
        <v>0</v>
      </c>
      <c r="I71" s="207">
        <f>SUMIFS('август 2023'!$G$4:$G$1022,'август 2023'!$D$4:$D$1022,$B71,'август 2023'!$J$4:$J$1022,I$1)</f>
        <v>0</v>
      </c>
      <c r="J71" s="207">
        <f>SUMIFS('август 2023'!$G$4:$G$1022,'август 2023'!$D$4:$D$1022,$B71,'август 2023'!$J$4:$J$1022,J$1)</f>
        <v>0</v>
      </c>
      <c r="K71" s="207">
        <f>SUMIFS('август 2023'!$G$4:$G$1022,'август 2023'!$D$4:$D$1022,$B71,'август 2023'!$J$4:$J$1022,K$1)</f>
        <v>0</v>
      </c>
      <c r="L71" s="207">
        <f>SUMIFS('август 2023'!$G$4:$G$1022,'август 2023'!$D$4:$D$1022,$B71,'август 2023'!$J$4:$J$1022,L$1)</f>
        <v>0</v>
      </c>
      <c r="M71" s="207">
        <f>SUMIFS('август 2023'!$G$4:$G$1022,'август 2023'!$D$4:$D$1022,$B71,'август 2023'!$J$4:$J$1022,M$1)</f>
        <v>0</v>
      </c>
      <c r="N71" s="207">
        <f>SUMIFS('август 2023'!$G$4:$G$1022,'август 2023'!$D$4:$D$1022,$B71,'август 2023'!$J$4:$J$1022,N$1)</f>
        <v>0</v>
      </c>
      <c r="O71" s="207">
        <f>SUMIFS('август 2023'!$G$4:$G$1022,'август 2023'!$D$4:$D$1022,$B71,'август 2023'!$J$4:$J$1022,O$1)</f>
        <v>0</v>
      </c>
      <c r="P71" s="207">
        <f>SUMIFS('август 2023'!$G$4:$G$1022,'август 2023'!$D$4:$D$1022,$B71,'август 2023'!$J$4:$J$1022,P$1)</f>
        <v>0</v>
      </c>
      <c r="Q71" s="207">
        <f>SUMIFS('август 2023'!$G$4:$G$1022,'август 2023'!$D$4:$D$1022,$B71,'август 2023'!$J$4:$J$1022,Q$1)</f>
        <v>0</v>
      </c>
      <c r="R71" s="207">
        <f>SUMIFS('август 2023'!$G$4:$G$1022,'август 2023'!$D$4:$D$1022,$B71,'август 2023'!$J$4:$J$1022,R$1)</f>
        <v>0</v>
      </c>
      <c r="S71" s="207">
        <f>SUMIFS('август 2023'!$G$4:$G$1022,'август 2023'!$D$4:$D$1022,$B71,'август 2023'!$J$4:$J$1022,S$1)</f>
        <v>0</v>
      </c>
      <c r="T71" s="207">
        <f>SUMIFS('август 2023'!$G$4:$G$1022,'август 2023'!$D$4:$D$1022,$B71,'август 2023'!$J$4:$J$1022,T$1)</f>
        <v>0</v>
      </c>
      <c r="U71" s="207">
        <f>SUMIFS('август 2023'!$G$4:$G$1022,'август 2023'!$D$4:$D$1022,$B71,'август 2023'!$J$4:$J$1022,U$1)</f>
        <v>0</v>
      </c>
      <c r="V71" s="207">
        <f>SUMIFS('август 2023'!$G$4:$G$1022,'август 2023'!$D$4:$D$1022,$B71,'август 2023'!$J$4:$J$1022,V$1)</f>
        <v>0</v>
      </c>
      <c r="W71" s="207">
        <f>SUMIFS('август 2023'!$G$4:$G$1022,'август 2023'!$D$4:$D$1022,$B71,'август 2023'!$J$4:$J$1022,W$1)</f>
        <v>0</v>
      </c>
      <c r="X71" s="207">
        <f>SUMIFS('август 2023'!$G$4:$G$1022,'август 2023'!$D$4:$D$1022,$B71,'август 2023'!$J$4:$J$1022,X$1)</f>
        <v>0</v>
      </c>
      <c r="Y71" s="207">
        <f>SUMIFS('август 2023'!$G$4:$G$1022,'август 2023'!$D$4:$D$1022,$B71,'август 2023'!$J$4:$J$1022,Y$1)</f>
        <v>0</v>
      </c>
      <c r="Z71" s="207">
        <f>SUMIFS('август 2023'!$G$4:$G$1022,'август 2023'!$D$4:$D$1022,$B71,'август 2023'!$J$4:$J$1022,Z$1)</f>
        <v>0</v>
      </c>
      <c r="AA71" s="207">
        <f>SUMIFS('август 2023'!$G$4:$G$1022,'август 2023'!$D$4:$D$1022,$B71,'август 2023'!$J$4:$J$1022,AA$1)</f>
        <v>0</v>
      </c>
      <c r="AB71" s="207">
        <f>SUMIFS('август 2023'!$G$4:$G$1022,'август 2023'!$D$4:$D$1022,$B71,'август 2023'!$J$4:$J$1022,AB$1)</f>
        <v>0</v>
      </c>
      <c r="AC71" s="207">
        <f>SUMIFS('август 2023'!$G$4:$G$1022,'август 2023'!$D$4:$D$1022,$B71,'август 2023'!$J$4:$J$1022,AC$1)</f>
        <v>0</v>
      </c>
      <c r="AD71" s="207">
        <f>SUMIFS('август 2023'!$G$4:$G$1022,'август 2023'!$D$4:$D$1022,$B71,'август 2023'!$J$4:$J$1022,AD$1)</f>
        <v>0</v>
      </c>
      <c r="AE71" s="207">
        <f>SUMIFS('август 2023'!$G$4:$G$1022,'август 2023'!$D$4:$D$1022,$B71,'август 2023'!$J$4:$J$1022,AE$1)</f>
        <v>0</v>
      </c>
      <c r="AF71" s="207">
        <f>SUMIFS('август 2023'!$G$4:$G$1022,'август 2023'!$D$4:$D$1022,$B71,'август 2023'!$J$4:$J$1022,AF$1)</f>
        <v>0</v>
      </c>
      <c r="AG71" s="207">
        <f>SUMIFS('август 2023'!$G$4:$G$1022,'август 2023'!$D$4:$D$1022,$B71,'август 2023'!$J$4:$J$1022,AG$1)</f>
        <v>0</v>
      </c>
      <c r="AH71" s="207">
        <f>SUMIFS('август 2023'!$G$4:$G$1022,'август 2023'!$D$4:$D$1022,$B71,'август 2023'!$J$4:$J$1022,AH$1)</f>
        <v>0</v>
      </c>
      <c r="AI71" s="170">
        <f t="shared" si="2"/>
        <v>0</v>
      </c>
    </row>
    <row r="72" spans="2:35" ht="15" customHeight="1" x14ac:dyDescent="0.25">
      <c r="B72" s="216" t="s">
        <v>588</v>
      </c>
      <c r="C72" s="213">
        <v>200</v>
      </c>
      <c r="D72" s="207">
        <f>SUMIFS('август 2023'!$G$4:$G$1022,'август 2023'!$D$4:$D$1022,$B72,'август 2023'!$J$4:$J$1022,D$1)</f>
        <v>0</v>
      </c>
      <c r="E72" s="207">
        <f>SUMIFS('август 2023'!$G$4:$G$1022,'август 2023'!$D$4:$D$1022,$B72,'август 2023'!$J$4:$J$1022,E$1)</f>
        <v>0</v>
      </c>
      <c r="F72" s="207">
        <f>SUMIFS('август 2023'!$G$4:$G$1022,'август 2023'!$D$4:$D$1022,$B72,'август 2023'!$J$4:$J$1022,F$1)</f>
        <v>0</v>
      </c>
      <c r="G72" s="207">
        <f>SUMIFS('август 2023'!$G$4:$G$1022,'август 2023'!$D$4:$D$1022,$B72,'август 2023'!$J$4:$J$1022,G$1)</f>
        <v>0</v>
      </c>
      <c r="H72" s="207">
        <f>SUMIFS('август 2023'!$G$4:$G$1022,'август 2023'!$D$4:$D$1022,$B72,'август 2023'!$J$4:$J$1022,H$1)</f>
        <v>0</v>
      </c>
      <c r="I72" s="207">
        <f>SUMIFS('август 2023'!$G$4:$G$1022,'август 2023'!$D$4:$D$1022,$B72,'август 2023'!$J$4:$J$1022,I$1)</f>
        <v>0</v>
      </c>
      <c r="J72" s="207">
        <f>SUMIFS('август 2023'!$G$4:$G$1022,'август 2023'!$D$4:$D$1022,$B72,'август 2023'!$J$4:$J$1022,J$1)</f>
        <v>0</v>
      </c>
      <c r="K72" s="207">
        <f>SUMIFS('август 2023'!$G$4:$G$1022,'август 2023'!$D$4:$D$1022,$B72,'август 2023'!$J$4:$J$1022,K$1)</f>
        <v>0</v>
      </c>
      <c r="L72" s="207">
        <f>SUMIFS('август 2023'!$G$4:$G$1022,'август 2023'!$D$4:$D$1022,$B72,'август 2023'!$J$4:$J$1022,L$1)</f>
        <v>0</v>
      </c>
      <c r="M72" s="207">
        <f>SUMIFS('август 2023'!$G$4:$G$1022,'август 2023'!$D$4:$D$1022,$B72,'август 2023'!$J$4:$J$1022,M$1)</f>
        <v>0</v>
      </c>
      <c r="N72" s="207">
        <f>SUMIFS('август 2023'!$G$4:$G$1022,'август 2023'!$D$4:$D$1022,$B72,'август 2023'!$J$4:$J$1022,N$1)</f>
        <v>0</v>
      </c>
      <c r="O72" s="207">
        <f>SUMIFS('август 2023'!$G$4:$G$1022,'август 2023'!$D$4:$D$1022,$B72,'август 2023'!$J$4:$J$1022,O$1)</f>
        <v>0</v>
      </c>
      <c r="P72" s="207">
        <f>SUMIFS('август 2023'!$G$4:$G$1022,'август 2023'!$D$4:$D$1022,$B72,'август 2023'!$J$4:$J$1022,P$1)</f>
        <v>0</v>
      </c>
      <c r="Q72" s="207">
        <f>SUMIFS('август 2023'!$G$4:$G$1022,'август 2023'!$D$4:$D$1022,$B72,'август 2023'!$J$4:$J$1022,Q$1)</f>
        <v>0</v>
      </c>
      <c r="R72" s="207">
        <f>SUMIFS('август 2023'!$G$4:$G$1022,'август 2023'!$D$4:$D$1022,$B72,'август 2023'!$J$4:$J$1022,R$1)</f>
        <v>0</v>
      </c>
      <c r="S72" s="207">
        <f>SUMIFS('август 2023'!$G$4:$G$1022,'август 2023'!$D$4:$D$1022,$B72,'август 2023'!$J$4:$J$1022,S$1)</f>
        <v>0</v>
      </c>
      <c r="T72" s="207">
        <f>SUMIFS('август 2023'!$G$4:$G$1022,'август 2023'!$D$4:$D$1022,$B72,'август 2023'!$J$4:$J$1022,T$1)</f>
        <v>0</v>
      </c>
      <c r="U72" s="207">
        <f>SUMIFS('август 2023'!$G$4:$G$1022,'август 2023'!$D$4:$D$1022,$B72,'август 2023'!$J$4:$J$1022,U$1)</f>
        <v>0</v>
      </c>
      <c r="V72" s="207">
        <f>SUMIFS('август 2023'!$G$4:$G$1022,'август 2023'!$D$4:$D$1022,$B72,'август 2023'!$J$4:$J$1022,V$1)</f>
        <v>0</v>
      </c>
      <c r="W72" s="207">
        <f>SUMIFS('август 2023'!$G$4:$G$1022,'август 2023'!$D$4:$D$1022,$B72,'август 2023'!$J$4:$J$1022,W$1)</f>
        <v>0</v>
      </c>
      <c r="X72" s="207">
        <f>SUMIFS('август 2023'!$G$4:$G$1022,'август 2023'!$D$4:$D$1022,$B72,'август 2023'!$J$4:$J$1022,X$1)</f>
        <v>0</v>
      </c>
      <c r="Y72" s="207">
        <f>SUMIFS('август 2023'!$G$4:$G$1022,'август 2023'!$D$4:$D$1022,$B72,'август 2023'!$J$4:$J$1022,Y$1)</f>
        <v>0</v>
      </c>
      <c r="Z72" s="207">
        <f>SUMIFS('август 2023'!$G$4:$G$1022,'август 2023'!$D$4:$D$1022,$B72,'август 2023'!$J$4:$J$1022,Z$1)</f>
        <v>0</v>
      </c>
      <c r="AA72" s="207">
        <f>SUMIFS('август 2023'!$G$4:$G$1022,'август 2023'!$D$4:$D$1022,$B72,'август 2023'!$J$4:$J$1022,AA$1)</f>
        <v>0</v>
      </c>
      <c r="AB72" s="207">
        <f>SUMIFS('август 2023'!$G$4:$G$1022,'август 2023'!$D$4:$D$1022,$B72,'август 2023'!$J$4:$J$1022,AB$1)</f>
        <v>0</v>
      </c>
      <c r="AC72" s="207">
        <f>SUMIFS('август 2023'!$G$4:$G$1022,'август 2023'!$D$4:$D$1022,$B72,'август 2023'!$J$4:$J$1022,AC$1)</f>
        <v>0</v>
      </c>
      <c r="AD72" s="207">
        <f>SUMIFS('август 2023'!$G$4:$G$1022,'август 2023'!$D$4:$D$1022,$B72,'август 2023'!$J$4:$J$1022,AD$1)</f>
        <v>0</v>
      </c>
      <c r="AE72" s="207">
        <f>SUMIFS('август 2023'!$G$4:$G$1022,'август 2023'!$D$4:$D$1022,$B72,'август 2023'!$J$4:$J$1022,AE$1)</f>
        <v>0</v>
      </c>
      <c r="AF72" s="207">
        <f>SUMIFS('август 2023'!$G$4:$G$1022,'август 2023'!$D$4:$D$1022,$B72,'август 2023'!$J$4:$J$1022,AF$1)</f>
        <v>0</v>
      </c>
      <c r="AG72" s="207">
        <f>SUMIFS('август 2023'!$G$4:$G$1022,'август 2023'!$D$4:$D$1022,$B72,'август 2023'!$J$4:$J$1022,AG$1)</f>
        <v>0</v>
      </c>
      <c r="AH72" s="207">
        <f>SUMIFS('август 2023'!$G$4:$G$1022,'август 2023'!$D$4:$D$1022,$B72,'август 2023'!$J$4:$J$1022,AH$1)</f>
        <v>0</v>
      </c>
      <c r="AI72" s="170">
        <f t="shared" si="2"/>
        <v>0</v>
      </c>
    </row>
    <row r="73" spans="2:35" ht="15" customHeight="1" x14ac:dyDescent="0.25">
      <c r="B73" s="216" t="s">
        <v>1779</v>
      </c>
      <c r="C73" s="213">
        <v>180</v>
      </c>
      <c r="D73" s="207">
        <f>SUMIFS('август 2023'!$G$4:$G$1022,'август 2023'!$D$4:$D$1022,$B73,'август 2023'!$J$4:$J$1022,D$1)</f>
        <v>0</v>
      </c>
      <c r="E73" s="207">
        <f>SUMIFS('август 2023'!$G$4:$G$1022,'август 2023'!$D$4:$D$1022,$B73,'август 2023'!$J$4:$J$1022,E$1)</f>
        <v>0</v>
      </c>
      <c r="F73" s="207">
        <f>SUMIFS('август 2023'!$G$4:$G$1022,'август 2023'!$D$4:$D$1022,$B73,'август 2023'!$J$4:$J$1022,F$1)</f>
        <v>0</v>
      </c>
      <c r="G73" s="207">
        <f>SUMIFS('август 2023'!$G$4:$G$1022,'август 2023'!$D$4:$D$1022,$B73,'август 2023'!$J$4:$J$1022,G$1)</f>
        <v>0</v>
      </c>
      <c r="H73" s="207">
        <f>SUMIFS('август 2023'!$G$4:$G$1022,'август 2023'!$D$4:$D$1022,$B73,'август 2023'!$J$4:$J$1022,H$1)</f>
        <v>0</v>
      </c>
      <c r="I73" s="207">
        <f>SUMIFS('август 2023'!$G$4:$G$1022,'август 2023'!$D$4:$D$1022,$B73,'август 2023'!$J$4:$J$1022,I$1)</f>
        <v>0</v>
      </c>
      <c r="J73" s="207">
        <f>SUMIFS('август 2023'!$G$4:$G$1022,'август 2023'!$D$4:$D$1022,$B73,'август 2023'!$J$4:$J$1022,J$1)</f>
        <v>0</v>
      </c>
      <c r="K73" s="207">
        <f>SUMIFS('август 2023'!$G$4:$G$1022,'август 2023'!$D$4:$D$1022,$B73,'август 2023'!$J$4:$J$1022,K$1)</f>
        <v>0</v>
      </c>
      <c r="L73" s="207">
        <f>SUMIFS('август 2023'!$G$4:$G$1022,'август 2023'!$D$4:$D$1022,$B73,'август 2023'!$J$4:$J$1022,L$1)</f>
        <v>0</v>
      </c>
      <c r="M73" s="207">
        <f>SUMIFS('август 2023'!$G$4:$G$1022,'август 2023'!$D$4:$D$1022,$B73,'август 2023'!$J$4:$J$1022,M$1)</f>
        <v>0</v>
      </c>
      <c r="N73" s="207">
        <f>SUMIFS('август 2023'!$G$4:$G$1022,'август 2023'!$D$4:$D$1022,$B73,'август 2023'!$J$4:$J$1022,N$1)</f>
        <v>0</v>
      </c>
      <c r="O73" s="207">
        <f>SUMIFS('август 2023'!$G$4:$G$1022,'август 2023'!$D$4:$D$1022,$B73,'август 2023'!$J$4:$J$1022,O$1)</f>
        <v>0</v>
      </c>
      <c r="P73" s="207">
        <f>SUMIFS('август 2023'!$G$4:$G$1022,'август 2023'!$D$4:$D$1022,$B73,'август 2023'!$J$4:$J$1022,P$1)</f>
        <v>0</v>
      </c>
      <c r="Q73" s="207">
        <f>SUMIFS('август 2023'!$G$4:$G$1022,'август 2023'!$D$4:$D$1022,$B73,'август 2023'!$J$4:$J$1022,Q$1)</f>
        <v>0</v>
      </c>
      <c r="R73" s="207">
        <f>SUMIFS('август 2023'!$G$4:$G$1022,'август 2023'!$D$4:$D$1022,$B73,'август 2023'!$J$4:$J$1022,R$1)</f>
        <v>0</v>
      </c>
      <c r="S73" s="207">
        <f>SUMIFS('август 2023'!$G$4:$G$1022,'август 2023'!$D$4:$D$1022,$B73,'август 2023'!$J$4:$J$1022,S$1)</f>
        <v>0</v>
      </c>
      <c r="T73" s="207">
        <f>SUMIFS('август 2023'!$G$4:$G$1022,'август 2023'!$D$4:$D$1022,$B73,'август 2023'!$J$4:$J$1022,T$1)</f>
        <v>0</v>
      </c>
      <c r="U73" s="207">
        <f>SUMIFS('август 2023'!$G$4:$G$1022,'август 2023'!$D$4:$D$1022,$B73,'август 2023'!$J$4:$J$1022,U$1)</f>
        <v>0</v>
      </c>
      <c r="V73" s="207">
        <f>SUMIFS('август 2023'!$G$4:$G$1022,'август 2023'!$D$4:$D$1022,$B73,'август 2023'!$J$4:$J$1022,V$1)</f>
        <v>0</v>
      </c>
      <c r="W73" s="207">
        <f>SUMIFS('август 2023'!$G$4:$G$1022,'август 2023'!$D$4:$D$1022,$B73,'август 2023'!$J$4:$J$1022,W$1)</f>
        <v>0</v>
      </c>
      <c r="X73" s="207">
        <f>SUMIFS('август 2023'!$G$4:$G$1022,'август 2023'!$D$4:$D$1022,$B73,'август 2023'!$J$4:$J$1022,X$1)</f>
        <v>0</v>
      </c>
      <c r="Y73" s="207">
        <f>SUMIFS('август 2023'!$G$4:$G$1022,'август 2023'!$D$4:$D$1022,$B73,'август 2023'!$J$4:$J$1022,Y$1)</f>
        <v>0</v>
      </c>
      <c r="Z73" s="207">
        <f>SUMIFS('август 2023'!$G$4:$G$1022,'август 2023'!$D$4:$D$1022,$B73,'август 2023'!$J$4:$J$1022,Z$1)</f>
        <v>0</v>
      </c>
      <c r="AA73" s="207">
        <f>SUMIFS('август 2023'!$G$4:$G$1022,'август 2023'!$D$4:$D$1022,$B73,'август 2023'!$J$4:$J$1022,AA$1)</f>
        <v>0</v>
      </c>
      <c r="AB73" s="207">
        <f>SUMIFS('август 2023'!$G$4:$G$1022,'август 2023'!$D$4:$D$1022,$B73,'август 2023'!$J$4:$J$1022,AB$1)</f>
        <v>0</v>
      </c>
      <c r="AC73" s="207">
        <f>SUMIFS('август 2023'!$G$4:$G$1022,'август 2023'!$D$4:$D$1022,$B73,'август 2023'!$J$4:$J$1022,AC$1)</f>
        <v>0</v>
      </c>
      <c r="AD73" s="207">
        <f>SUMIFS('август 2023'!$G$4:$G$1022,'август 2023'!$D$4:$D$1022,$B73,'август 2023'!$J$4:$J$1022,AD$1)</f>
        <v>0</v>
      </c>
      <c r="AE73" s="207">
        <f>SUMIFS('август 2023'!$G$4:$G$1022,'август 2023'!$D$4:$D$1022,$B73,'август 2023'!$J$4:$J$1022,AE$1)</f>
        <v>0</v>
      </c>
      <c r="AF73" s="207">
        <f>SUMIFS('август 2023'!$G$4:$G$1022,'август 2023'!$D$4:$D$1022,$B73,'август 2023'!$J$4:$J$1022,AF$1)</f>
        <v>0</v>
      </c>
      <c r="AG73" s="207">
        <f>SUMIFS('август 2023'!$G$4:$G$1022,'август 2023'!$D$4:$D$1022,$B73,'август 2023'!$J$4:$J$1022,AG$1)</f>
        <v>0</v>
      </c>
      <c r="AH73" s="207">
        <f>SUMIFS('август 2023'!$G$4:$G$1022,'август 2023'!$D$4:$D$1022,$B73,'август 2023'!$J$4:$J$1022,AH$1)</f>
        <v>0</v>
      </c>
      <c r="AI73" s="170">
        <f t="shared" si="2"/>
        <v>0</v>
      </c>
    </row>
    <row r="74" spans="2:35" ht="15" customHeight="1" x14ac:dyDescent="0.25">
      <c r="B74" s="212" t="s">
        <v>634</v>
      </c>
      <c r="C74" s="211">
        <v>200</v>
      </c>
      <c r="D74" s="207">
        <f>SUMIFS('август 2023'!$G$4:$G$1022,'август 2023'!$D$4:$D$1022,$B74,'август 2023'!$J$4:$J$1022,D$1)</f>
        <v>0</v>
      </c>
      <c r="E74" s="207">
        <f>SUMIFS('август 2023'!$G$4:$G$1022,'август 2023'!$D$4:$D$1022,$B74,'август 2023'!$J$4:$J$1022,E$1)</f>
        <v>0</v>
      </c>
      <c r="F74" s="207">
        <f>SUMIFS('август 2023'!$G$4:$G$1022,'август 2023'!$D$4:$D$1022,$B74,'август 2023'!$J$4:$J$1022,F$1)</f>
        <v>0</v>
      </c>
      <c r="G74" s="207">
        <f>SUMIFS('август 2023'!$G$4:$G$1022,'август 2023'!$D$4:$D$1022,$B74,'август 2023'!$J$4:$J$1022,G$1)</f>
        <v>0</v>
      </c>
      <c r="H74" s="207">
        <f>SUMIFS('август 2023'!$G$4:$G$1022,'август 2023'!$D$4:$D$1022,$B74,'август 2023'!$J$4:$J$1022,H$1)</f>
        <v>0</v>
      </c>
      <c r="I74" s="207">
        <f>SUMIFS('август 2023'!$G$4:$G$1022,'август 2023'!$D$4:$D$1022,$B74,'август 2023'!$J$4:$J$1022,I$1)</f>
        <v>0</v>
      </c>
      <c r="J74" s="207">
        <f>SUMIFS('август 2023'!$G$4:$G$1022,'август 2023'!$D$4:$D$1022,$B74,'август 2023'!$J$4:$J$1022,J$1)</f>
        <v>0</v>
      </c>
      <c r="K74" s="207">
        <f>SUMIFS('август 2023'!$G$4:$G$1022,'август 2023'!$D$4:$D$1022,$B74,'август 2023'!$J$4:$J$1022,K$1)</f>
        <v>0</v>
      </c>
      <c r="L74" s="207">
        <f>SUMIFS('август 2023'!$G$4:$G$1022,'август 2023'!$D$4:$D$1022,$B74,'август 2023'!$J$4:$J$1022,L$1)</f>
        <v>0</v>
      </c>
      <c r="M74" s="207">
        <f>SUMIFS('август 2023'!$G$4:$G$1022,'август 2023'!$D$4:$D$1022,$B74,'август 2023'!$J$4:$J$1022,M$1)</f>
        <v>0</v>
      </c>
      <c r="N74" s="207">
        <f>SUMIFS('август 2023'!$G$4:$G$1022,'август 2023'!$D$4:$D$1022,$B74,'август 2023'!$J$4:$J$1022,N$1)</f>
        <v>0</v>
      </c>
      <c r="O74" s="207">
        <f>SUMIFS('август 2023'!$G$4:$G$1022,'август 2023'!$D$4:$D$1022,$B74,'август 2023'!$J$4:$J$1022,O$1)</f>
        <v>0</v>
      </c>
      <c r="P74" s="207">
        <f>SUMIFS('август 2023'!$G$4:$G$1022,'август 2023'!$D$4:$D$1022,$B74,'август 2023'!$J$4:$J$1022,P$1)</f>
        <v>0</v>
      </c>
      <c r="Q74" s="207">
        <f>SUMIFS('август 2023'!$G$4:$G$1022,'август 2023'!$D$4:$D$1022,$B74,'август 2023'!$J$4:$J$1022,Q$1)</f>
        <v>176</v>
      </c>
      <c r="R74" s="207">
        <f>SUMIFS('август 2023'!$G$4:$G$1022,'август 2023'!$D$4:$D$1022,$B74,'август 2023'!$J$4:$J$1022,R$1)</f>
        <v>88</v>
      </c>
      <c r="S74" s="207">
        <f>SUMIFS('август 2023'!$G$4:$G$1022,'август 2023'!$D$4:$D$1022,$B74,'август 2023'!$J$4:$J$1022,S$1)</f>
        <v>0</v>
      </c>
      <c r="T74" s="207">
        <f>SUMIFS('август 2023'!$G$4:$G$1022,'август 2023'!$D$4:$D$1022,$B74,'август 2023'!$J$4:$J$1022,T$1)</f>
        <v>0</v>
      </c>
      <c r="U74" s="207">
        <f>SUMIFS('август 2023'!$G$4:$G$1022,'август 2023'!$D$4:$D$1022,$B74,'август 2023'!$J$4:$J$1022,U$1)</f>
        <v>0</v>
      </c>
      <c r="V74" s="207">
        <f>SUMIFS('август 2023'!$G$4:$G$1022,'август 2023'!$D$4:$D$1022,$B74,'август 2023'!$J$4:$J$1022,V$1)</f>
        <v>0</v>
      </c>
      <c r="W74" s="207">
        <f>SUMIFS('август 2023'!$G$4:$G$1022,'август 2023'!$D$4:$D$1022,$B74,'август 2023'!$J$4:$J$1022,W$1)</f>
        <v>0</v>
      </c>
      <c r="X74" s="207">
        <f>SUMIFS('август 2023'!$G$4:$G$1022,'август 2023'!$D$4:$D$1022,$B74,'август 2023'!$J$4:$J$1022,X$1)</f>
        <v>0</v>
      </c>
      <c r="Y74" s="207">
        <f>SUMIFS('август 2023'!$G$4:$G$1022,'август 2023'!$D$4:$D$1022,$B74,'август 2023'!$J$4:$J$1022,Y$1)</f>
        <v>0</v>
      </c>
      <c r="Z74" s="207">
        <f>SUMIFS('август 2023'!$G$4:$G$1022,'август 2023'!$D$4:$D$1022,$B74,'август 2023'!$J$4:$J$1022,Z$1)</f>
        <v>0</v>
      </c>
      <c r="AA74" s="207">
        <f>SUMIFS('август 2023'!$G$4:$G$1022,'август 2023'!$D$4:$D$1022,$B74,'август 2023'!$J$4:$J$1022,AA$1)</f>
        <v>0</v>
      </c>
      <c r="AB74" s="207">
        <f>SUMIFS('август 2023'!$G$4:$G$1022,'август 2023'!$D$4:$D$1022,$B74,'август 2023'!$J$4:$J$1022,AB$1)</f>
        <v>0</v>
      </c>
      <c r="AC74" s="207">
        <f>SUMIFS('август 2023'!$G$4:$G$1022,'август 2023'!$D$4:$D$1022,$B74,'август 2023'!$J$4:$J$1022,AC$1)</f>
        <v>0</v>
      </c>
      <c r="AD74" s="207">
        <f>SUMIFS('август 2023'!$G$4:$G$1022,'август 2023'!$D$4:$D$1022,$B74,'август 2023'!$J$4:$J$1022,AD$1)</f>
        <v>0</v>
      </c>
      <c r="AE74" s="207">
        <f>SUMIFS('август 2023'!$G$4:$G$1022,'август 2023'!$D$4:$D$1022,$B74,'август 2023'!$J$4:$J$1022,AE$1)</f>
        <v>0</v>
      </c>
      <c r="AF74" s="207">
        <f>SUMIFS('август 2023'!$G$4:$G$1022,'август 2023'!$D$4:$D$1022,$B74,'август 2023'!$J$4:$J$1022,AF$1)</f>
        <v>0</v>
      </c>
      <c r="AG74" s="207">
        <f>SUMIFS('август 2023'!$G$4:$G$1022,'август 2023'!$D$4:$D$1022,$B74,'август 2023'!$J$4:$J$1022,AG$1)</f>
        <v>0</v>
      </c>
      <c r="AH74" s="207">
        <f>SUMIFS('август 2023'!$G$4:$G$1022,'август 2023'!$D$4:$D$1022,$B74,'август 2023'!$J$4:$J$1022,AH$1)</f>
        <v>0</v>
      </c>
      <c r="AI74" s="170">
        <f t="shared" si="2"/>
        <v>264</v>
      </c>
    </row>
    <row r="75" spans="2:35" ht="15" customHeight="1" x14ac:dyDescent="0.25">
      <c r="B75" s="216" t="s">
        <v>498</v>
      </c>
      <c r="C75" s="213">
        <v>185</v>
      </c>
      <c r="D75" s="207">
        <f>SUMIFS('август 2023'!$G$4:$G$1022,'август 2023'!$D$4:$D$1022,$B75,'август 2023'!$J$4:$J$1022,D$1)</f>
        <v>0</v>
      </c>
      <c r="E75" s="207">
        <f>SUMIFS('август 2023'!$G$4:$G$1022,'август 2023'!$D$4:$D$1022,$B75,'август 2023'!$J$4:$J$1022,E$1)</f>
        <v>0</v>
      </c>
      <c r="F75" s="207">
        <f>SUMIFS('август 2023'!$G$4:$G$1022,'август 2023'!$D$4:$D$1022,$B75,'август 2023'!$J$4:$J$1022,F$1)</f>
        <v>0</v>
      </c>
      <c r="G75" s="207">
        <f>SUMIFS('август 2023'!$G$4:$G$1022,'август 2023'!$D$4:$D$1022,$B75,'август 2023'!$J$4:$J$1022,G$1)</f>
        <v>0</v>
      </c>
      <c r="H75" s="207">
        <f>SUMIFS('август 2023'!$G$4:$G$1022,'август 2023'!$D$4:$D$1022,$B75,'август 2023'!$J$4:$J$1022,H$1)</f>
        <v>0</v>
      </c>
      <c r="I75" s="207">
        <f>SUMIFS('август 2023'!$G$4:$G$1022,'август 2023'!$D$4:$D$1022,$B75,'август 2023'!$J$4:$J$1022,I$1)</f>
        <v>0</v>
      </c>
      <c r="J75" s="207">
        <f>SUMIFS('август 2023'!$G$4:$G$1022,'август 2023'!$D$4:$D$1022,$B75,'август 2023'!$J$4:$J$1022,J$1)</f>
        <v>0</v>
      </c>
      <c r="K75" s="207">
        <f>SUMIFS('август 2023'!$G$4:$G$1022,'август 2023'!$D$4:$D$1022,$B75,'август 2023'!$J$4:$J$1022,K$1)</f>
        <v>0</v>
      </c>
      <c r="L75" s="207">
        <f>SUMIFS('август 2023'!$G$4:$G$1022,'август 2023'!$D$4:$D$1022,$B75,'август 2023'!$J$4:$J$1022,L$1)</f>
        <v>0</v>
      </c>
      <c r="M75" s="207">
        <f>SUMIFS('август 2023'!$G$4:$G$1022,'август 2023'!$D$4:$D$1022,$B75,'август 2023'!$J$4:$J$1022,M$1)</f>
        <v>0</v>
      </c>
      <c r="N75" s="207">
        <f>SUMIFS('август 2023'!$G$4:$G$1022,'август 2023'!$D$4:$D$1022,$B75,'август 2023'!$J$4:$J$1022,N$1)</f>
        <v>0</v>
      </c>
      <c r="O75" s="207">
        <f>SUMIFS('август 2023'!$G$4:$G$1022,'август 2023'!$D$4:$D$1022,$B75,'август 2023'!$J$4:$J$1022,O$1)</f>
        <v>0</v>
      </c>
      <c r="P75" s="207">
        <f>SUMIFS('август 2023'!$G$4:$G$1022,'август 2023'!$D$4:$D$1022,$B75,'август 2023'!$J$4:$J$1022,P$1)</f>
        <v>0</v>
      </c>
      <c r="Q75" s="207">
        <f>SUMIFS('август 2023'!$G$4:$G$1022,'август 2023'!$D$4:$D$1022,$B75,'август 2023'!$J$4:$J$1022,Q$1)</f>
        <v>0</v>
      </c>
      <c r="R75" s="207">
        <f>SUMIFS('август 2023'!$G$4:$G$1022,'август 2023'!$D$4:$D$1022,$B75,'август 2023'!$J$4:$J$1022,R$1)</f>
        <v>0</v>
      </c>
      <c r="S75" s="207">
        <f>SUMIFS('август 2023'!$G$4:$G$1022,'август 2023'!$D$4:$D$1022,$B75,'август 2023'!$J$4:$J$1022,S$1)</f>
        <v>0</v>
      </c>
      <c r="T75" s="207">
        <f>SUMIFS('август 2023'!$G$4:$G$1022,'август 2023'!$D$4:$D$1022,$B75,'август 2023'!$J$4:$J$1022,T$1)</f>
        <v>0</v>
      </c>
      <c r="U75" s="207">
        <f>SUMIFS('август 2023'!$G$4:$G$1022,'август 2023'!$D$4:$D$1022,$B75,'август 2023'!$J$4:$J$1022,U$1)</f>
        <v>0</v>
      </c>
      <c r="V75" s="207">
        <f>SUMIFS('август 2023'!$G$4:$G$1022,'август 2023'!$D$4:$D$1022,$B75,'август 2023'!$J$4:$J$1022,V$1)</f>
        <v>0</v>
      </c>
      <c r="W75" s="207">
        <f>SUMIFS('август 2023'!$G$4:$G$1022,'август 2023'!$D$4:$D$1022,$B75,'август 2023'!$J$4:$J$1022,W$1)</f>
        <v>0</v>
      </c>
      <c r="X75" s="207">
        <f>SUMIFS('август 2023'!$G$4:$G$1022,'август 2023'!$D$4:$D$1022,$B75,'август 2023'!$J$4:$J$1022,X$1)</f>
        <v>0</v>
      </c>
      <c r="Y75" s="207">
        <f>SUMIFS('август 2023'!$G$4:$G$1022,'август 2023'!$D$4:$D$1022,$B75,'август 2023'!$J$4:$J$1022,Y$1)</f>
        <v>0</v>
      </c>
      <c r="Z75" s="207">
        <f>SUMIFS('август 2023'!$G$4:$G$1022,'август 2023'!$D$4:$D$1022,$B75,'август 2023'!$J$4:$J$1022,Z$1)</f>
        <v>0</v>
      </c>
      <c r="AA75" s="207">
        <f>SUMIFS('август 2023'!$G$4:$G$1022,'август 2023'!$D$4:$D$1022,$B75,'август 2023'!$J$4:$J$1022,AA$1)</f>
        <v>0</v>
      </c>
      <c r="AB75" s="207">
        <f>SUMIFS('август 2023'!$G$4:$G$1022,'август 2023'!$D$4:$D$1022,$B75,'август 2023'!$J$4:$J$1022,AB$1)</f>
        <v>0</v>
      </c>
      <c r="AC75" s="207">
        <f>SUMIFS('август 2023'!$G$4:$G$1022,'август 2023'!$D$4:$D$1022,$B75,'август 2023'!$J$4:$J$1022,AC$1)</f>
        <v>0</v>
      </c>
      <c r="AD75" s="207">
        <f>SUMIFS('август 2023'!$G$4:$G$1022,'август 2023'!$D$4:$D$1022,$B75,'август 2023'!$J$4:$J$1022,AD$1)</f>
        <v>0</v>
      </c>
      <c r="AE75" s="207">
        <f>SUMIFS('август 2023'!$G$4:$G$1022,'август 2023'!$D$4:$D$1022,$B75,'август 2023'!$J$4:$J$1022,AE$1)</f>
        <v>0</v>
      </c>
      <c r="AF75" s="207">
        <f>SUMIFS('август 2023'!$G$4:$G$1022,'август 2023'!$D$4:$D$1022,$B75,'август 2023'!$J$4:$J$1022,AF$1)</f>
        <v>0</v>
      </c>
      <c r="AG75" s="207">
        <f>SUMIFS('август 2023'!$G$4:$G$1022,'август 2023'!$D$4:$D$1022,$B75,'август 2023'!$J$4:$J$1022,AG$1)</f>
        <v>0</v>
      </c>
      <c r="AH75" s="207">
        <f>SUMIFS('август 2023'!$G$4:$G$1022,'август 2023'!$D$4:$D$1022,$B75,'август 2023'!$J$4:$J$1022,AH$1)</f>
        <v>0</v>
      </c>
      <c r="AI75" s="170">
        <f t="shared" si="2"/>
        <v>0</v>
      </c>
    </row>
    <row r="76" spans="2:35" ht="15" customHeight="1" x14ac:dyDescent="0.25">
      <c r="B76" s="216" t="s">
        <v>155</v>
      </c>
      <c r="C76" s="213">
        <v>185</v>
      </c>
      <c r="D76" s="207">
        <f>SUMIFS('август 2023'!$G$4:$G$1022,'август 2023'!$D$4:$D$1022,$B76,'август 2023'!$J$4:$J$1022,D$1)</f>
        <v>0</v>
      </c>
      <c r="E76" s="207">
        <f>SUMIFS('август 2023'!$G$4:$G$1022,'август 2023'!$D$4:$D$1022,$B76,'август 2023'!$J$4:$J$1022,E$1)</f>
        <v>0</v>
      </c>
      <c r="F76" s="207">
        <f>SUMIFS('август 2023'!$G$4:$G$1022,'август 2023'!$D$4:$D$1022,$B76,'август 2023'!$J$4:$J$1022,F$1)</f>
        <v>0</v>
      </c>
      <c r="G76" s="207">
        <f>SUMIFS('август 2023'!$G$4:$G$1022,'август 2023'!$D$4:$D$1022,$B76,'август 2023'!$J$4:$J$1022,G$1)</f>
        <v>0</v>
      </c>
      <c r="H76" s="207">
        <f>SUMIFS('август 2023'!$G$4:$G$1022,'август 2023'!$D$4:$D$1022,$B76,'август 2023'!$J$4:$J$1022,H$1)</f>
        <v>0</v>
      </c>
      <c r="I76" s="207">
        <f>SUMIFS('август 2023'!$G$4:$G$1022,'август 2023'!$D$4:$D$1022,$B76,'август 2023'!$J$4:$J$1022,I$1)</f>
        <v>0</v>
      </c>
      <c r="J76" s="207">
        <f>SUMIFS('август 2023'!$G$4:$G$1022,'август 2023'!$D$4:$D$1022,$B76,'август 2023'!$J$4:$J$1022,J$1)</f>
        <v>0</v>
      </c>
      <c r="K76" s="207">
        <f>SUMIFS('август 2023'!$G$4:$G$1022,'август 2023'!$D$4:$D$1022,$B76,'август 2023'!$J$4:$J$1022,K$1)</f>
        <v>0</v>
      </c>
      <c r="L76" s="207">
        <f>SUMIFS('август 2023'!$G$4:$G$1022,'август 2023'!$D$4:$D$1022,$B76,'август 2023'!$J$4:$J$1022,L$1)</f>
        <v>0</v>
      </c>
      <c r="M76" s="207">
        <f>SUMIFS('август 2023'!$G$4:$G$1022,'август 2023'!$D$4:$D$1022,$B76,'август 2023'!$J$4:$J$1022,M$1)</f>
        <v>0</v>
      </c>
      <c r="N76" s="207">
        <f>SUMIFS('август 2023'!$G$4:$G$1022,'август 2023'!$D$4:$D$1022,$B76,'август 2023'!$J$4:$J$1022,N$1)</f>
        <v>0</v>
      </c>
      <c r="O76" s="207">
        <f>SUMIFS('август 2023'!$G$4:$G$1022,'август 2023'!$D$4:$D$1022,$B76,'август 2023'!$J$4:$J$1022,O$1)</f>
        <v>0</v>
      </c>
      <c r="P76" s="207">
        <f>SUMIFS('август 2023'!$G$4:$G$1022,'август 2023'!$D$4:$D$1022,$B76,'август 2023'!$J$4:$J$1022,P$1)</f>
        <v>0</v>
      </c>
      <c r="Q76" s="207">
        <f>SUMIFS('август 2023'!$G$4:$G$1022,'август 2023'!$D$4:$D$1022,$B76,'август 2023'!$J$4:$J$1022,Q$1)</f>
        <v>0</v>
      </c>
      <c r="R76" s="207">
        <f>SUMIFS('август 2023'!$G$4:$G$1022,'август 2023'!$D$4:$D$1022,$B76,'август 2023'!$J$4:$J$1022,R$1)</f>
        <v>0</v>
      </c>
      <c r="S76" s="207">
        <f>SUMIFS('август 2023'!$G$4:$G$1022,'август 2023'!$D$4:$D$1022,$B76,'август 2023'!$J$4:$J$1022,S$1)</f>
        <v>0</v>
      </c>
      <c r="T76" s="207">
        <f>SUMIFS('август 2023'!$G$4:$G$1022,'август 2023'!$D$4:$D$1022,$B76,'август 2023'!$J$4:$J$1022,T$1)</f>
        <v>0</v>
      </c>
      <c r="U76" s="207">
        <f>SUMIFS('август 2023'!$G$4:$G$1022,'август 2023'!$D$4:$D$1022,$B76,'август 2023'!$J$4:$J$1022,U$1)</f>
        <v>0</v>
      </c>
      <c r="V76" s="207">
        <f>SUMIFS('август 2023'!$G$4:$G$1022,'август 2023'!$D$4:$D$1022,$B76,'август 2023'!$J$4:$J$1022,V$1)</f>
        <v>0</v>
      </c>
      <c r="W76" s="207">
        <f>SUMIFS('август 2023'!$G$4:$G$1022,'август 2023'!$D$4:$D$1022,$B76,'август 2023'!$J$4:$J$1022,W$1)</f>
        <v>0</v>
      </c>
      <c r="X76" s="207">
        <f>SUMIFS('август 2023'!$G$4:$G$1022,'август 2023'!$D$4:$D$1022,$B76,'август 2023'!$J$4:$J$1022,X$1)</f>
        <v>0</v>
      </c>
      <c r="Y76" s="207">
        <f>SUMIFS('август 2023'!$G$4:$G$1022,'август 2023'!$D$4:$D$1022,$B76,'август 2023'!$J$4:$J$1022,Y$1)</f>
        <v>0</v>
      </c>
      <c r="Z76" s="207">
        <f>SUMIFS('август 2023'!$G$4:$G$1022,'август 2023'!$D$4:$D$1022,$B76,'август 2023'!$J$4:$J$1022,Z$1)</f>
        <v>0</v>
      </c>
      <c r="AA76" s="207">
        <f>SUMIFS('август 2023'!$G$4:$G$1022,'август 2023'!$D$4:$D$1022,$B76,'август 2023'!$J$4:$J$1022,AA$1)</f>
        <v>0</v>
      </c>
      <c r="AB76" s="207">
        <f>SUMIFS('август 2023'!$G$4:$G$1022,'август 2023'!$D$4:$D$1022,$B76,'август 2023'!$J$4:$J$1022,AB$1)</f>
        <v>0</v>
      </c>
      <c r="AC76" s="207">
        <f>SUMIFS('август 2023'!$G$4:$G$1022,'август 2023'!$D$4:$D$1022,$B76,'август 2023'!$J$4:$J$1022,AC$1)</f>
        <v>0</v>
      </c>
      <c r="AD76" s="207">
        <f>SUMIFS('август 2023'!$G$4:$G$1022,'август 2023'!$D$4:$D$1022,$B76,'август 2023'!$J$4:$J$1022,AD$1)</f>
        <v>0</v>
      </c>
      <c r="AE76" s="207">
        <f>SUMIFS('август 2023'!$G$4:$G$1022,'август 2023'!$D$4:$D$1022,$B76,'август 2023'!$J$4:$J$1022,AE$1)</f>
        <v>0</v>
      </c>
      <c r="AF76" s="207">
        <f>SUMIFS('август 2023'!$G$4:$G$1022,'август 2023'!$D$4:$D$1022,$B76,'август 2023'!$J$4:$J$1022,AF$1)</f>
        <v>0</v>
      </c>
      <c r="AG76" s="207">
        <f>SUMIFS('август 2023'!$G$4:$G$1022,'август 2023'!$D$4:$D$1022,$B76,'август 2023'!$J$4:$J$1022,AG$1)</f>
        <v>0</v>
      </c>
      <c r="AH76" s="207">
        <f>SUMIFS('август 2023'!$G$4:$G$1022,'август 2023'!$D$4:$D$1022,$B76,'август 2023'!$J$4:$J$1022,AH$1)</f>
        <v>0</v>
      </c>
      <c r="AI76" s="170">
        <f t="shared" si="2"/>
        <v>0</v>
      </c>
    </row>
    <row r="77" spans="2:35" ht="15" customHeight="1" x14ac:dyDescent="0.25">
      <c r="B77" s="216" t="s">
        <v>2180</v>
      </c>
      <c r="C77" s="213">
        <v>180</v>
      </c>
      <c r="D77" s="207">
        <f>SUMIFS('август 2023'!$G$4:$G$1022,'август 2023'!$D$4:$D$1022,$B77,'август 2023'!$J$4:$J$1022,D$1)</f>
        <v>0</v>
      </c>
      <c r="E77" s="207">
        <f>SUMIFS('август 2023'!$G$4:$G$1022,'август 2023'!$D$4:$D$1022,$B77,'август 2023'!$J$4:$J$1022,E$1)</f>
        <v>0</v>
      </c>
      <c r="F77" s="207">
        <f>SUMIFS('август 2023'!$G$4:$G$1022,'август 2023'!$D$4:$D$1022,$B77,'август 2023'!$J$4:$J$1022,F$1)</f>
        <v>0</v>
      </c>
      <c r="G77" s="207">
        <f>SUMIFS('август 2023'!$G$4:$G$1022,'август 2023'!$D$4:$D$1022,$B77,'август 2023'!$J$4:$J$1022,G$1)</f>
        <v>0</v>
      </c>
      <c r="H77" s="207">
        <f>SUMIFS('август 2023'!$G$4:$G$1022,'август 2023'!$D$4:$D$1022,$B77,'август 2023'!$J$4:$J$1022,H$1)</f>
        <v>0</v>
      </c>
      <c r="I77" s="207">
        <f>SUMIFS('август 2023'!$G$4:$G$1022,'август 2023'!$D$4:$D$1022,$B77,'август 2023'!$J$4:$J$1022,I$1)</f>
        <v>0</v>
      </c>
      <c r="J77" s="207">
        <f>SUMIFS('август 2023'!$G$4:$G$1022,'август 2023'!$D$4:$D$1022,$B77,'август 2023'!$J$4:$J$1022,J$1)</f>
        <v>0</v>
      </c>
      <c r="K77" s="207">
        <f>SUMIFS('август 2023'!$G$4:$G$1022,'август 2023'!$D$4:$D$1022,$B77,'август 2023'!$J$4:$J$1022,K$1)</f>
        <v>0</v>
      </c>
      <c r="L77" s="207">
        <f>SUMIFS('август 2023'!$G$4:$G$1022,'август 2023'!$D$4:$D$1022,$B77,'август 2023'!$J$4:$J$1022,L$1)</f>
        <v>0</v>
      </c>
      <c r="M77" s="207">
        <f>SUMIFS('август 2023'!$G$4:$G$1022,'август 2023'!$D$4:$D$1022,$B77,'август 2023'!$J$4:$J$1022,M$1)</f>
        <v>0</v>
      </c>
      <c r="N77" s="207">
        <f>SUMIFS('август 2023'!$G$4:$G$1022,'август 2023'!$D$4:$D$1022,$B77,'август 2023'!$J$4:$J$1022,N$1)</f>
        <v>0</v>
      </c>
      <c r="O77" s="207">
        <f>SUMIFS('август 2023'!$G$4:$G$1022,'август 2023'!$D$4:$D$1022,$B77,'август 2023'!$J$4:$J$1022,O$1)</f>
        <v>0</v>
      </c>
      <c r="P77" s="207">
        <f>SUMIFS('август 2023'!$G$4:$G$1022,'август 2023'!$D$4:$D$1022,$B77,'август 2023'!$J$4:$J$1022,P$1)</f>
        <v>0</v>
      </c>
      <c r="Q77" s="207">
        <f>SUMIFS('август 2023'!$G$4:$G$1022,'август 2023'!$D$4:$D$1022,$B77,'август 2023'!$J$4:$J$1022,Q$1)</f>
        <v>0</v>
      </c>
      <c r="R77" s="207">
        <f>SUMIFS('август 2023'!$G$4:$G$1022,'август 2023'!$D$4:$D$1022,$B77,'август 2023'!$J$4:$J$1022,R$1)</f>
        <v>0</v>
      </c>
      <c r="S77" s="207">
        <f>SUMIFS('август 2023'!$G$4:$G$1022,'август 2023'!$D$4:$D$1022,$B77,'август 2023'!$J$4:$J$1022,S$1)</f>
        <v>0</v>
      </c>
      <c r="T77" s="207">
        <f>SUMIFS('август 2023'!$G$4:$G$1022,'август 2023'!$D$4:$D$1022,$B77,'август 2023'!$J$4:$J$1022,T$1)</f>
        <v>0</v>
      </c>
      <c r="U77" s="207">
        <f>SUMIFS('август 2023'!$G$4:$G$1022,'август 2023'!$D$4:$D$1022,$B77,'август 2023'!$J$4:$J$1022,U$1)</f>
        <v>0</v>
      </c>
      <c r="V77" s="207">
        <f>SUMIFS('август 2023'!$G$4:$G$1022,'август 2023'!$D$4:$D$1022,$B77,'август 2023'!$J$4:$J$1022,V$1)</f>
        <v>0</v>
      </c>
      <c r="W77" s="207">
        <f>SUMIFS('август 2023'!$G$4:$G$1022,'август 2023'!$D$4:$D$1022,$B77,'август 2023'!$J$4:$J$1022,W$1)</f>
        <v>0</v>
      </c>
      <c r="X77" s="207">
        <f>SUMIFS('август 2023'!$G$4:$G$1022,'август 2023'!$D$4:$D$1022,$B77,'август 2023'!$J$4:$J$1022,X$1)</f>
        <v>0</v>
      </c>
      <c r="Y77" s="207">
        <f>SUMIFS('август 2023'!$G$4:$G$1022,'август 2023'!$D$4:$D$1022,$B77,'август 2023'!$J$4:$J$1022,Y$1)</f>
        <v>0</v>
      </c>
      <c r="Z77" s="207">
        <f>SUMIFS('август 2023'!$G$4:$G$1022,'август 2023'!$D$4:$D$1022,$B77,'август 2023'!$J$4:$J$1022,Z$1)</f>
        <v>0</v>
      </c>
      <c r="AA77" s="207">
        <f>SUMIFS('август 2023'!$G$4:$G$1022,'август 2023'!$D$4:$D$1022,$B77,'август 2023'!$J$4:$J$1022,AA$1)</f>
        <v>0</v>
      </c>
      <c r="AB77" s="207">
        <f>SUMIFS('август 2023'!$G$4:$G$1022,'август 2023'!$D$4:$D$1022,$B77,'август 2023'!$J$4:$J$1022,AB$1)</f>
        <v>0</v>
      </c>
      <c r="AC77" s="207">
        <f>SUMIFS('август 2023'!$G$4:$G$1022,'август 2023'!$D$4:$D$1022,$B77,'август 2023'!$J$4:$J$1022,AC$1)</f>
        <v>0</v>
      </c>
      <c r="AD77" s="207">
        <f>SUMIFS('август 2023'!$G$4:$G$1022,'август 2023'!$D$4:$D$1022,$B77,'август 2023'!$J$4:$J$1022,AD$1)</f>
        <v>0</v>
      </c>
      <c r="AE77" s="207">
        <f>SUMIFS('август 2023'!$G$4:$G$1022,'август 2023'!$D$4:$D$1022,$B77,'август 2023'!$J$4:$J$1022,AE$1)</f>
        <v>0</v>
      </c>
      <c r="AF77" s="207">
        <f>SUMIFS('август 2023'!$G$4:$G$1022,'август 2023'!$D$4:$D$1022,$B77,'август 2023'!$J$4:$J$1022,AF$1)</f>
        <v>0</v>
      </c>
      <c r="AG77" s="207">
        <f>SUMIFS('август 2023'!$G$4:$G$1022,'август 2023'!$D$4:$D$1022,$B77,'август 2023'!$J$4:$J$1022,AG$1)</f>
        <v>0</v>
      </c>
      <c r="AH77" s="207">
        <f>SUMIFS('август 2023'!$G$4:$G$1022,'август 2023'!$D$4:$D$1022,$B77,'август 2023'!$J$4:$J$1022,AH$1)</f>
        <v>0</v>
      </c>
      <c r="AI77" s="170">
        <f t="shared" si="2"/>
        <v>0</v>
      </c>
    </row>
    <row r="78" spans="2:35" ht="15" customHeight="1" x14ac:dyDescent="0.25">
      <c r="B78" s="212" t="s">
        <v>2183</v>
      </c>
      <c r="C78" s="211">
        <v>180</v>
      </c>
      <c r="D78" s="207">
        <f>SUMIFS('август 2023'!$G$4:$G$1022,'август 2023'!$D$4:$D$1022,$B78,'август 2023'!$J$4:$J$1022,D$1)</f>
        <v>0</v>
      </c>
      <c r="E78" s="207">
        <f>SUMIFS('август 2023'!$G$4:$G$1022,'август 2023'!$D$4:$D$1022,$B78,'август 2023'!$J$4:$J$1022,E$1)</f>
        <v>0</v>
      </c>
      <c r="F78" s="207">
        <f>SUMIFS('август 2023'!$G$4:$G$1022,'август 2023'!$D$4:$D$1022,$B78,'август 2023'!$J$4:$J$1022,F$1)</f>
        <v>0</v>
      </c>
      <c r="G78" s="207">
        <f>SUMIFS('август 2023'!$G$4:$G$1022,'август 2023'!$D$4:$D$1022,$B78,'август 2023'!$J$4:$J$1022,G$1)</f>
        <v>0</v>
      </c>
      <c r="H78" s="207">
        <f>SUMIFS('август 2023'!$G$4:$G$1022,'август 2023'!$D$4:$D$1022,$B78,'август 2023'!$J$4:$J$1022,H$1)</f>
        <v>0</v>
      </c>
      <c r="I78" s="207">
        <f>SUMIFS('август 2023'!$G$4:$G$1022,'август 2023'!$D$4:$D$1022,$B78,'август 2023'!$J$4:$J$1022,I$1)</f>
        <v>0</v>
      </c>
      <c r="J78" s="207">
        <f>SUMIFS('август 2023'!$G$4:$G$1022,'август 2023'!$D$4:$D$1022,$B78,'август 2023'!$J$4:$J$1022,J$1)</f>
        <v>0</v>
      </c>
      <c r="K78" s="207">
        <f>SUMIFS('август 2023'!$G$4:$G$1022,'август 2023'!$D$4:$D$1022,$B78,'август 2023'!$J$4:$J$1022,K$1)</f>
        <v>0</v>
      </c>
      <c r="L78" s="207">
        <f>SUMIFS('август 2023'!$G$4:$G$1022,'август 2023'!$D$4:$D$1022,$B78,'август 2023'!$J$4:$J$1022,L$1)</f>
        <v>0</v>
      </c>
      <c r="M78" s="207">
        <f>SUMIFS('август 2023'!$G$4:$G$1022,'август 2023'!$D$4:$D$1022,$B78,'август 2023'!$J$4:$J$1022,M$1)</f>
        <v>0</v>
      </c>
      <c r="N78" s="207">
        <f>SUMIFS('август 2023'!$G$4:$G$1022,'август 2023'!$D$4:$D$1022,$B78,'август 2023'!$J$4:$J$1022,N$1)</f>
        <v>0</v>
      </c>
      <c r="O78" s="207">
        <f>SUMIFS('август 2023'!$G$4:$G$1022,'август 2023'!$D$4:$D$1022,$B78,'август 2023'!$J$4:$J$1022,O$1)</f>
        <v>0</v>
      </c>
      <c r="P78" s="207">
        <f>SUMIFS('август 2023'!$G$4:$G$1022,'август 2023'!$D$4:$D$1022,$B78,'август 2023'!$J$4:$J$1022,P$1)</f>
        <v>0</v>
      </c>
      <c r="Q78" s="207">
        <f>SUMIFS('август 2023'!$G$4:$G$1022,'август 2023'!$D$4:$D$1022,$B78,'август 2023'!$J$4:$J$1022,Q$1)</f>
        <v>0</v>
      </c>
      <c r="R78" s="207">
        <f>SUMIFS('август 2023'!$G$4:$G$1022,'август 2023'!$D$4:$D$1022,$B78,'август 2023'!$J$4:$J$1022,R$1)</f>
        <v>0</v>
      </c>
      <c r="S78" s="207">
        <f>SUMIFS('август 2023'!$G$4:$G$1022,'август 2023'!$D$4:$D$1022,$B78,'август 2023'!$J$4:$J$1022,S$1)</f>
        <v>0</v>
      </c>
      <c r="T78" s="207">
        <f>SUMIFS('август 2023'!$G$4:$G$1022,'август 2023'!$D$4:$D$1022,$B78,'август 2023'!$J$4:$J$1022,T$1)</f>
        <v>0</v>
      </c>
      <c r="U78" s="207">
        <f>SUMIFS('август 2023'!$G$4:$G$1022,'август 2023'!$D$4:$D$1022,$B78,'август 2023'!$J$4:$J$1022,U$1)</f>
        <v>0</v>
      </c>
      <c r="V78" s="207">
        <f>SUMIFS('август 2023'!$G$4:$G$1022,'август 2023'!$D$4:$D$1022,$B78,'август 2023'!$J$4:$J$1022,V$1)</f>
        <v>0</v>
      </c>
      <c r="W78" s="207">
        <f>SUMIFS('август 2023'!$G$4:$G$1022,'август 2023'!$D$4:$D$1022,$B78,'август 2023'!$J$4:$J$1022,W$1)</f>
        <v>0</v>
      </c>
      <c r="X78" s="207">
        <f>SUMIFS('август 2023'!$G$4:$G$1022,'август 2023'!$D$4:$D$1022,$B78,'август 2023'!$J$4:$J$1022,X$1)</f>
        <v>0</v>
      </c>
      <c r="Y78" s="207">
        <f>SUMIFS('август 2023'!$G$4:$G$1022,'август 2023'!$D$4:$D$1022,$B78,'август 2023'!$J$4:$J$1022,Y$1)</f>
        <v>0</v>
      </c>
      <c r="Z78" s="207">
        <f>SUMIFS('август 2023'!$G$4:$G$1022,'август 2023'!$D$4:$D$1022,$B78,'август 2023'!$J$4:$J$1022,Z$1)</f>
        <v>0</v>
      </c>
      <c r="AA78" s="207">
        <f>SUMIFS('август 2023'!$G$4:$G$1022,'август 2023'!$D$4:$D$1022,$B78,'август 2023'!$J$4:$J$1022,AA$1)</f>
        <v>0</v>
      </c>
      <c r="AB78" s="207">
        <f>SUMIFS('август 2023'!$G$4:$G$1022,'август 2023'!$D$4:$D$1022,$B78,'август 2023'!$J$4:$J$1022,AB$1)</f>
        <v>0</v>
      </c>
      <c r="AC78" s="207">
        <f>SUMIFS('август 2023'!$G$4:$G$1022,'август 2023'!$D$4:$D$1022,$B78,'август 2023'!$J$4:$J$1022,AC$1)</f>
        <v>0</v>
      </c>
      <c r="AD78" s="207">
        <f>SUMIFS('август 2023'!$G$4:$G$1022,'август 2023'!$D$4:$D$1022,$B78,'август 2023'!$J$4:$J$1022,AD$1)</f>
        <v>0</v>
      </c>
      <c r="AE78" s="207">
        <f>SUMIFS('август 2023'!$G$4:$G$1022,'август 2023'!$D$4:$D$1022,$B78,'август 2023'!$J$4:$J$1022,AE$1)</f>
        <v>0</v>
      </c>
      <c r="AF78" s="207">
        <f>SUMIFS('август 2023'!$G$4:$G$1022,'август 2023'!$D$4:$D$1022,$B78,'август 2023'!$J$4:$J$1022,AF$1)</f>
        <v>0</v>
      </c>
      <c r="AG78" s="207">
        <f>SUMIFS('август 2023'!$G$4:$G$1022,'август 2023'!$D$4:$D$1022,$B78,'август 2023'!$J$4:$J$1022,AG$1)</f>
        <v>0</v>
      </c>
      <c r="AH78" s="207">
        <f>SUMIFS('август 2023'!$G$4:$G$1022,'август 2023'!$D$4:$D$1022,$B78,'август 2023'!$J$4:$J$1022,AH$1)</f>
        <v>0</v>
      </c>
      <c r="AI78" s="170">
        <f t="shared" si="2"/>
        <v>0</v>
      </c>
    </row>
    <row r="79" spans="2:35" ht="15" customHeight="1" x14ac:dyDescent="0.25">
      <c r="B79" s="212" t="s">
        <v>561</v>
      </c>
      <c r="C79" s="211">
        <v>200</v>
      </c>
      <c r="D79" s="207">
        <f>SUMIFS('август 2023'!$G$4:$G$1022,'август 2023'!$D$4:$D$1022,$B79,'август 2023'!$J$4:$J$1022,D$1)</f>
        <v>0</v>
      </c>
      <c r="E79" s="207">
        <f>SUMIFS('август 2023'!$G$4:$G$1022,'август 2023'!$D$4:$D$1022,$B79,'август 2023'!$J$4:$J$1022,E$1)</f>
        <v>0</v>
      </c>
      <c r="F79" s="207">
        <f>SUMIFS('август 2023'!$G$4:$G$1022,'август 2023'!$D$4:$D$1022,$B79,'август 2023'!$J$4:$J$1022,F$1)</f>
        <v>0</v>
      </c>
      <c r="G79" s="207">
        <f>SUMIFS('август 2023'!$G$4:$G$1022,'август 2023'!$D$4:$D$1022,$B79,'август 2023'!$J$4:$J$1022,G$1)</f>
        <v>0</v>
      </c>
      <c r="H79" s="207">
        <f>SUMIFS('август 2023'!$G$4:$G$1022,'август 2023'!$D$4:$D$1022,$B79,'август 2023'!$J$4:$J$1022,H$1)</f>
        <v>0</v>
      </c>
      <c r="I79" s="207">
        <f>SUMIFS('август 2023'!$G$4:$G$1022,'август 2023'!$D$4:$D$1022,$B79,'август 2023'!$J$4:$J$1022,I$1)</f>
        <v>0</v>
      </c>
      <c r="J79" s="207">
        <f>SUMIFS('август 2023'!$G$4:$G$1022,'август 2023'!$D$4:$D$1022,$B79,'август 2023'!$J$4:$J$1022,J$1)</f>
        <v>0</v>
      </c>
      <c r="K79" s="207">
        <f>SUMIFS('август 2023'!$G$4:$G$1022,'август 2023'!$D$4:$D$1022,$B79,'август 2023'!$J$4:$J$1022,K$1)</f>
        <v>0</v>
      </c>
      <c r="L79" s="207">
        <f>SUMIFS('август 2023'!$G$4:$G$1022,'август 2023'!$D$4:$D$1022,$B79,'август 2023'!$J$4:$J$1022,L$1)</f>
        <v>0</v>
      </c>
      <c r="M79" s="207">
        <f>SUMIFS('август 2023'!$G$4:$G$1022,'август 2023'!$D$4:$D$1022,$B79,'август 2023'!$J$4:$J$1022,M$1)</f>
        <v>0</v>
      </c>
      <c r="N79" s="207">
        <f>SUMIFS('август 2023'!$G$4:$G$1022,'август 2023'!$D$4:$D$1022,$B79,'август 2023'!$J$4:$J$1022,N$1)</f>
        <v>0</v>
      </c>
      <c r="O79" s="207">
        <f>SUMIFS('август 2023'!$G$4:$G$1022,'август 2023'!$D$4:$D$1022,$B79,'август 2023'!$J$4:$J$1022,O$1)</f>
        <v>0</v>
      </c>
      <c r="P79" s="207">
        <f>SUMIFS('август 2023'!$G$4:$G$1022,'август 2023'!$D$4:$D$1022,$B79,'август 2023'!$J$4:$J$1022,P$1)</f>
        <v>0</v>
      </c>
      <c r="Q79" s="207">
        <f>SUMIFS('август 2023'!$G$4:$G$1022,'август 2023'!$D$4:$D$1022,$B79,'август 2023'!$J$4:$J$1022,Q$1)</f>
        <v>0</v>
      </c>
      <c r="R79" s="207">
        <f>SUMIFS('август 2023'!$G$4:$G$1022,'август 2023'!$D$4:$D$1022,$B79,'август 2023'!$J$4:$J$1022,R$1)</f>
        <v>0</v>
      </c>
      <c r="S79" s="207">
        <f>SUMIFS('август 2023'!$G$4:$G$1022,'август 2023'!$D$4:$D$1022,$B79,'август 2023'!$J$4:$J$1022,S$1)</f>
        <v>0</v>
      </c>
      <c r="T79" s="207">
        <f>SUMIFS('август 2023'!$G$4:$G$1022,'август 2023'!$D$4:$D$1022,$B79,'август 2023'!$J$4:$J$1022,T$1)</f>
        <v>0</v>
      </c>
      <c r="U79" s="207">
        <f>SUMIFS('август 2023'!$G$4:$G$1022,'август 2023'!$D$4:$D$1022,$B79,'август 2023'!$J$4:$J$1022,U$1)</f>
        <v>0</v>
      </c>
      <c r="V79" s="207">
        <f>SUMIFS('август 2023'!$G$4:$G$1022,'август 2023'!$D$4:$D$1022,$B79,'август 2023'!$J$4:$J$1022,V$1)</f>
        <v>0</v>
      </c>
      <c r="W79" s="207">
        <f>SUMIFS('август 2023'!$G$4:$G$1022,'август 2023'!$D$4:$D$1022,$B79,'август 2023'!$J$4:$J$1022,W$1)</f>
        <v>0</v>
      </c>
      <c r="X79" s="207">
        <f>SUMIFS('август 2023'!$G$4:$G$1022,'август 2023'!$D$4:$D$1022,$B79,'август 2023'!$J$4:$J$1022,X$1)</f>
        <v>0</v>
      </c>
      <c r="Y79" s="207">
        <f>SUMIFS('август 2023'!$G$4:$G$1022,'август 2023'!$D$4:$D$1022,$B79,'август 2023'!$J$4:$J$1022,Y$1)</f>
        <v>0</v>
      </c>
      <c r="Z79" s="207">
        <f>SUMIFS('август 2023'!$G$4:$G$1022,'август 2023'!$D$4:$D$1022,$B79,'август 2023'!$J$4:$J$1022,Z$1)</f>
        <v>0</v>
      </c>
      <c r="AA79" s="207">
        <f>SUMIFS('август 2023'!$G$4:$G$1022,'август 2023'!$D$4:$D$1022,$B79,'август 2023'!$J$4:$J$1022,AA$1)</f>
        <v>0</v>
      </c>
      <c r="AB79" s="207">
        <f>SUMIFS('август 2023'!$G$4:$G$1022,'август 2023'!$D$4:$D$1022,$B79,'август 2023'!$J$4:$J$1022,AB$1)</f>
        <v>0</v>
      </c>
      <c r="AC79" s="207">
        <f>SUMIFS('август 2023'!$G$4:$G$1022,'август 2023'!$D$4:$D$1022,$B79,'август 2023'!$J$4:$J$1022,AC$1)</f>
        <v>0</v>
      </c>
      <c r="AD79" s="207">
        <f>SUMIFS('август 2023'!$G$4:$G$1022,'август 2023'!$D$4:$D$1022,$B79,'август 2023'!$J$4:$J$1022,AD$1)</f>
        <v>0</v>
      </c>
      <c r="AE79" s="207">
        <f>SUMIFS('август 2023'!$G$4:$G$1022,'август 2023'!$D$4:$D$1022,$B79,'август 2023'!$J$4:$J$1022,AE$1)</f>
        <v>0</v>
      </c>
      <c r="AF79" s="207">
        <f>SUMIFS('август 2023'!$G$4:$G$1022,'август 2023'!$D$4:$D$1022,$B79,'август 2023'!$J$4:$J$1022,AF$1)</f>
        <v>0</v>
      </c>
      <c r="AG79" s="207">
        <f>SUMIFS('август 2023'!$G$4:$G$1022,'август 2023'!$D$4:$D$1022,$B79,'август 2023'!$J$4:$J$1022,AG$1)</f>
        <v>0</v>
      </c>
      <c r="AH79" s="207">
        <f>SUMIFS('август 2023'!$G$4:$G$1022,'август 2023'!$D$4:$D$1022,$B79,'август 2023'!$J$4:$J$1022,AH$1)</f>
        <v>0</v>
      </c>
      <c r="AI79" s="170">
        <f t="shared" si="2"/>
        <v>0</v>
      </c>
    </row>
    <row r="80" spans="2:35" ht="15" customHeight="1" x14ac:dyDescent="0.25">
      <c r="B80" s="216" t="s">
        <v>1372</v>
      </c>
      <c r="C80" s="211">
        <v>180</v>
      </c>
      <c r="D80" s="207">
        <f>SUMIFS('август 2023'!$G$4:$G$1022,'август 2023'!$D$4:$D$1022,$B80,'август 2023'!$J$4:$J$1022,D$1)</f>
        <v>0</v>
      </c>
      <c r="E80" s="207">
        <f>SUMIFS('август 2023'!$G$4:$G$1022,'август 2023'!$D$4:$D$1022,$B80,'август 2023'!$J$4:$J$1022,E$1)</f>
        <v>0</v>
      </c>
      <c r="F80" s="207">
        <f>SUMIFS('август 2023'!$G$4:$G$1022,'август 2023'!$D$4:$D$1022,$B80,'август 2023'!$J$4:$J$1022,F$1)</f>
        <v>0</v>
      </c>
      <c r="G80" s="207">
        <f>SUMIFS('август 2023'!$G$4:$G$1022,'август 2023'!$D$4:$D$1022,$B80,'август 2023'!$J$4:$J$1022,G$1)</f>
        <v>0</v>
      </c>
      <c r="H80" s="207">
        <f>SUMIFS('август 2023'!$G$4:$G$1022,'август 2023'!$D$4:$D$1022,$B80,'август 2023'!$J$4:$J$1022,H$1)</f>
        <v>0</v>
      </c>
      <c r="I80" s="207">
        <f>SUMIFS('август 2023'!$G$4:$G$1022,'август 2023'!$D$4:$D$1022,$B80,'август 2023'!$J$4:$J$1022,I$1)</f>
        <v>0</v>
      </c>
      <c r="J80" s="207">
        <f>SUMIFS('август 2023'!$G$4:$G$1022,'август 2023'!$D$4:$D$1022,$B80,'август 2023'!$J$4:$J$1022,J$1)</f>
        <v>0</v>
      </c>
      <c r="K80" s="207">
        <f>SUMIFS('август 2023'!$G$4:$G$1022,'август 2023'!$D$4:$D$1022,$B80,'август 2023'!$J$4:$J$1022,K$1)</f>
        <v>0</v>
      </c>
      <c r="L80" s="207">
        <f>SUMIFS('август 2023'!$G$4:$G$1022,'август 2023'!$D$4:$D$1022,$B80,'август 2023'!$J$4:$J$1022,L$1)</f>
        <v>0</v>
      </c>
      <c r="M80" s="207">
        <f>SUMIFS('август 2023'!$G$4:$G$1022,'август 2023'!$D$4:$D$1022,$B80,'август 2023'!$J$4:$J$1022,M$1)</f>
        <v>0</v>
      </c>
      <c r="N80" s="207">
        <f>SUMIFS('август 2023'!$G$4:$G$1022,'август 2023'!$D$4:$D$1022,$B80,'август 2023'!$J$4:$J$1022,N$1)</f>
        <v>0</v>
      </c>
      <c r="O80" s="207">
        <f>SUMIFS('август 2023'!$G$4:$G$1022,'август 2023'!$D$4:$D$1022,$B80,'август 2023'!$J$4:$J$1022,O$1)</f>
        <v>0</v>
      </c>
      <c r="P80" s="207">
        <f>SUMIFS('август 2023'!$G$4:$G$1022,'август 2023'!$D$4:$D$1022,$B80,'август 2023'!$J$4:$J$1022,P$1)</f>
        <v>0</v>
      </c>
      <c r="Q80" s="207">
        <f>SUMIFS('август 2023'!$G$4:$G$1022,'август 2023'!$D$4:$D$1022,$B80,'август 2023'!$J$4:$J$1022,Q$1)</f>
        <v>0</v>
      </c>
      <c r="R80" s="207">
        <f>SUMIFS('август 2023'!$G$4:$G$1022,'август 2023'!$D$4:$D$1022,$B80,'август 2023'!$J$4:$J$1022,R$1)</f>
        <v>0</v>
      </c>
      <c r="S80" s="207">
        <f>SUMIFS('август 2023'!$G$4:$G$1022,'август 2023'!$D$4:$D$1022,$B80,'август 2023'!$J$4:$J$1022,S$1)</f>
        <v>0</v>
      </c>
      <c r="T80" s="207">
        <f>SUMIFS('август 2023'!$G$4:$G$1022,'август 2023'!$D$4:$D$1022,$B80,'август 2023'!$J$4:$J$1022,T$1)</f>
        <v>0</v>
      </c>
      <c r="U80" s="207">
        <f>SUMIFS('август 2023'!$G$4:$G$1022,'август 2023'!$D$4:$D$1022,$B80,'август 2023'!$J$4:$J$1022,U$1)</f>
        <v>0</v>
      </c>
      <c r="V80" s="207">
        <f>SUMIFS('август 2023'!$G$4:$G$1022,'август 2023'!$D$4:$D$1022,$B80,'август 2023'!$J$4:$J$1022,V$1)</f>
        <v>0</v>
      </c>
      <c r="W80" s="207">
        <f>SUMIFS('август 2023'!$G$4:$G$1022,'август 2023'!$D$4:$D$1022,$B80,'август 2023'!$J$4:$J$1022,W$1)</f>
        <v>0</v>
      </c>
      <c r="X80" s="207">
        <f>SUMIFS('август 2023'!$G$4:$G$1022,'август 2023'!$D$4:$D$1022,$B80,'август 2023'!$J$4:$J$1022,X$1)</f>
        <v>0</v>
      </c>
      <c r="Y80" s="207">
        <f>SUMIFS('август 2023'!$G$4:$G$1022,'август 2023'!$D$4:$D$1022,$B80,'август 2023'!$J$4:$J$1022,Y$1)</f>
        <v>0</v>
      </c>
      <c r="Z80" s="207">
        <f>SUMIFS('август 2023'!$G$4:$G$1022,'август 2023'!$D$4:$D$1022,$B80,'август 2023'!$J$4:$J$1022,Z$1)</f>
        <v>0</v>
      </c>
      <c r="AA80" s="207">
        <f>SUMIFS('август 2023'!$G$4:$G$1022,'август 2023'!$D$4:$D$1022,$B80,'август 2023'!$J$4:$J$1022,AA$1)</f>
        <v>0</v>
      </c>
      <c r="AB80" s="207">
        <f>SUMIFS('август 2023'!$G$4:$G$1022,'август 2023'!$D$4:$D$1022,$B80,'август 2023'!$J$4:$J$1022,AB$1)</f>
        <v>0</v>
      </c>
      <c r="AC80" s="207">
        <f>SUMIFS('август 2023'!$G$4:$G$1022,'август 2023'!$D$4:$D$1022,$B80,'август 2023'!$J$4:$J$1022,AC$1)</f>
        <v>0</v>
      </c>
      <c r="AD80" s="207">
        <f>SUMIFS('август 2023'!$G$4:$G$1022,'август 2023'!$D$4:$D$1022,$B80,'август 2023'!$J$4:$J$1022,AD$1)</f>
        <v>0</v>
      </c>
      <c r="AE80" s="207">
        <f>SUMIFS('август 2023'!$G$4:$G$1022,'август 2023'!$D$4:$D$1022,$B80,'август 2023'!$J$4:$J$1022,AE$1)</f>
        <v>0</v>
      </c>
      <c r="AF80" s="207">
        <f>SUMIFS('август 2023'!$G$4:$G$1022,'август 2023'!$D$4:$D$1022,$B80,'август 2023'!$J$4:$J$1022,AF$1)</f>
        <v>0</v>
      </c>
      <c r="AG80" s="207">
        <f>SUMIFS('август 2023'!$G$4:$G$1022,'август 2023'!$D$4:$D$1022,$B80,'август 2023'!$J$4:$J$1022,AG$1)</f>
        <v>0</v>
      </c>
      <c r="AH80" s="207">
        <f>SUMIFS('август 2023'!$G$4:$G$1022,'август 2023'!$D$4:$D$1022,$B80,'август 2023'!$J$4:$J$1022,AH$1)</f>
        <v>0</v>
      </c>
      <c r="AI80" s="170">
        <f t="shared" si="2"/>
        <v>0</v>
      </c>
    </row>
    <row r="81" spans="2:35" ht="15" customHeight="1" x14ac:dyDescent="0.25">
      <c r="B81" s="216" t="s">
        <v>1336</v>
      </c>
      <c r="C81" s="213">
        <v>50</v>
      </c>
      <c r="D81" s="207">
        <f>SUMIFS('август 2023'!$G$4:$G$1022,'август 2023'!$D$4:$D$1022,$B81,'август 2023'!$J$4:$J$1022,D$1)</f>
        <v>0</v>
      </c>
      <c r="E81" s="207">
        <f>SUMIFS('август 2023'!$G$4:$G$1022,'август 2023'!$D$4:$D$1022,$B81,'август 2023'!$J$4:$J$1022,E$1)</f>
        <v>0</v>
      </c>
      <c r="F81" s="207">
        <f>SUMIFS('август 2023'!$G$4:$G$1022,'август 2023'!$D$4:$D$1022,$B81,'август 2023'!$J$4:$J$1022,F$1)</f>
        <v>0</v>
      </c>
      <c r="G81" s="207">
        <f>SUMIFS('август 2023'!$G$4:$G$1022,'август 2023'!$D$4:$D$1022,$B81,'август 2023'!$J$4:$J$1022,G$1)</f>
        <v>0</v>
      </c>
      <c r="H81" s="207">
        <f>SUMIFS('август 2023'!$G$4:$G$1022,'август 2023'!$D$4:$D$1022,$B81,'август 2023'!$J$4:$J$1022,H$1)</f>
        <v>0</v>
      </c>
      <c r="I81" s="207">
        <f>SUMIFS('август 2023'!$G$4:$G$1022,'август 2023'!$D$4:$D$1022,$B81,'август 2023'!$J$4:$J$1022,I$1)</f>
        <v>0</v>
      </c>
      <c r="J81" s="207">
        <f>SUMIFS('август 2023'!$G$4:$G$1022,'август 2023'!$D$4:$D$1022,$B81,'август 2023'!$J$4:$J$1022,J$1)</f>
        <v>0</v>
      </c>
      <c r="K81" s="207">
        <f>SUMIFS('август 2023'!$G$4:$G$1022,'август 2023'!$D$4:$D$1022,$B81,'август 2023'!$J$4:$J$1022,K$1)</f>
        <v>0</v>
      </c>
      <c r="L81" s="207">
        <f>SUMIFS('август 2023'!$G$4:$G$1022,'август 2023'!$D$4:$D$1022,$B81,'август 2023'!$J$4:$J$1022,L$1)</f>
        <v>0</v>
      </c>
      <c r="M81" s="207">
        <f>SUMIFS('август 2023'!$G$4:$G$1022,'август 2023'!$D$4:$D$1022,$B81,'август 2023'!$J$4:$J$1022,M$1)</f>
        <v>0</v>
      </c>
      <c r="N81" s="207">
        <f>SUMIFS('август 2023'!$G$4:$G$1022,'август 2023'!$D$4:$D$1022,$B81,'август 2023'!$J$4:$J$1022,N$1)</f>
        <v>0</v>
      </c>
      <c r="O81" s="207">
        <f>SUMIFS('август 2023'!$G$4:$G$1022,'август 2023'!$D$4:$D$1022,$B81,'август 2023'!$J$4:$J$1022,O$1)</f>
        <v>0</v>
      </c>
      <c r="P81" s="207">
        <f>SUMIFS('август 2023'!$G$4:$G$1022,'август 2023'!$D$4:$D$1022,$B81,'август 2023'!$J$4:$J$1022,P$1)</f>
        <v>0</v>
      </c>
      <c r="Q81" s="207">
        <f>SUMIFS('август 2023'!$G$4:$G$1022,'август 2023'!$D$4:$D$1022,$B81,'август 2023'!$J$4:$J$1022,Q$1)</f>
        <v>0</v>
      </c>
      <c r="R81" s="207">
        <f>SUMIFS('август 2023'!$G$4:$G$1022,'август 2023'!$D$4:$D$1022,$B81,'август 2023'!$J$4:$J$1022,R$1)</f>
        <v>0</v>
      </c>
      <c r="S81" s="207">
        <f>SUMIFS('август 2023'!$G$4:$G$1022,'август 2023'!$D$4:$D$1022,$B81,'август 2023'!$J$4:$J$1022,S$1)</f>
        <v>0</v>
      </c>
      <c r="T81" s="207">
        <f>SUMIFS('август 2023'!$G$4:$G$1022,'август 2023'!$D$4:$D$1022,$B81,'август 2023'!$J$4:$J$1022,T$1)</f>
        <v>0</v>
      </c>
      <c r="U81" s="207">
        <f>SUMIFS('август 2023'!$G$4:$G$1022,'август 2023'!$D$4:$D$1022,$B81,'август 2023'!$J$4:$J$1022,U$1)</f>
        <v>0</v>
      </c>
      <c r="V81" s="207">
        <f>SUMIFS('август 2023'!$G$4:$G$1022,'август 2023'!$D$4:$D$1022,$B81,'август 2023'!$J$4:$J$1022,V$1)</f>
        <v>0</v>
      </c>
      <c r="W81" s="207">
        <f>SUMIFS('август 2023'!$G$4:$G$1022,'август 2023'!$D$4:$D$1022,$B81,'август 2023'!$J$4:$J$1022,W$1)</f>
        <v>0</v>
      </c>
      <c r="X81" s="207">
        <f>SUMIFS('август 2023'!$G$4:$G$1022,'август 2023'!$D$4:$D$1022,$B81,'август 2023'!$J$4:$J$1022,X$1)</f>
        <v>0</v>
      </c>
      <c r="Y81" s="207">
        <f>SUMIFS('август 2023'!$G$4:$G$1022,'август 2023'!$D$4:$D$1022,$B81,'август 2023'!$J$4:$J$1022,Y$1)</f>
        <v>0</v>
      </c>
      <c r="Z81" s="207">
        <f>SUMIFS('август 2023'!$G$4:$G$1022,'август 2023'!$D$4:$D$1022,$B81,'август 2023'!$J$4:$J$1022,Z$1)</f>
        <v>0</v>
      </c>
      <c r="AA81" s="207">
        <f>SUMIFS('август 2023'!$G$4:$G$1022,'август 2023'!$D$4:$D$1022,$B81,'август 2023'!$J$4:$J$1022,AA$1)</f>
        <v>0</v>
      </c>
      <c r="AB81" s="207">
        <f>SUMIFS('август 2023'!$G$4:$G$1022,'август 2023'!$D$4:$D$1022,$B81,'август 2023'!$J$4:$J$1022,AB$1)</f>
        <v>0</v>
      </c>
      <c r="AC81" s="207">
        <f>SUMIFS('август 2023'!$G$4:$G$1022,'август 2023'!$D$4:$D$1022,$B81,'август 2023'!$J$4:$J$1022,AC$1)</f>
        <v>0</v>
      </c>
      <c r="AD81" s="207">
        <f>SUMIFS('август 2023'!$G$4:$G$1022,'август 2023'!$D$4:$D$1022,$B81,'август 2023'!$J$4:$J$1022,AD$1)</f>
        <v>0</v>
      </c>
      <c r="AE81" s="207">
        <f>SUMIFS('август 2023'!$G$4:$G$1022,'август 2023'!$D$4:$D$1022,$B81,'август 2023'!$J$4:$J$1022,AE$1)</f>
        <v>0</v>
      </c>
      <c r="AF81" s="207">
        <f>SUMIFS('август 2023'!$G$4:$G$1022,'август 2023'!$D$4:$D$1022,$B81,'август 2023'!$J$4:$J$1022,AF$1)</f>
        <v>0</v>
      </c>
      <c r="AG81" s="207">
        <f>SUMIFS('август 2023'!$G$4:$G$1022,'август 2023'!$D$4:$D$1022,$B81,'август 2023'!$J$4:$J$1022,AG$1)</f>
        <v>0</v>
      </c>
      <c r="AH81" s="207">
        <f>SUMIFS('август 2023'!$G$4:$G$1022,'август 2023'!$D$4:$D$1022,$B81,'август 2023'!$J$4:$J$1022,AH$1)</f>
        <v>0</v>
      </c>
      <c r="AI81" s="170">
        <f t="shared" si="2"/>
        <v>0</v>
      </c>
    </row>
    <row r="82" spans="2:35" ht="15" customHeight="1" x14ac:dyDescent="0.25">
      <c r="B82" s="216" t="s">
        <v>1470</v>
      </c>
      <c r="C82" s="213">
        <v>180</v>
      </c>
      <c r="D82" s="207">
        <f>SUMIFS('август 2023'!$G$4:$G$1022,'август 2023'!$D$4:$D$1022,$B82,'август 2023'!$J$4:$J$1022,D$1)</f>
        <v>0</v>
      </c>
      <c r="E82" s="207">
        <f>SUMIFS('август 2023'!$G$4:$G$1022,'август 2023'!$D$4:$D$1022,$B82,'август 2023'!$J$4:$J$1022,E$1)</f>
        <v>0</v>
      </c>
      <c r="F82" s="207">
        <f>SUMIFS('август 2023'!$G$4:$G$1022,'август 2023'!$D$4:$D$1022,$B82,'август 2023'!$J$4:$J$1022,F$1)</f>
        <v>0</v>
      </c>
      <c r="G82" s="207">
        <f>SUMIFS('август 2023'!$G$4:$G$1022,'август 2023'!$D$4:$D$1022,$B82,'август 2023'!$J$4:$J$1022,G$1)</f>
        <v>0</v>
      </c>
      <c r="H82" s="207">
        <f>SUMIFS('август 2023'!$G$4:$G$1022,'август 2023'!$D$4:$D$1022,$B82,'август 2023'!$J$4:$J$1022,H$1)</f>
        <v>0</v>
      </c>
      <c r="I82" s="207">
        <f>SUMIFS('август 2023'!$G$4:$G$1022,'август 2023'!$D$4:$D$1022,$B82,'август 2023'!$J$4:$J$1022,I$1)</f>
        <v>0</v>
      </c>
      <c r="J82" s="207">
        <f>SUMIFS('август 2023'!$G$4:$G$1022,'август 2023'!$D$4:$D$1022,$B82,'август 2023'!$J$4:$J$1022,J$1)</f>
        <v>0</v>
      </c>
      <c r="K82" s="207">
        <f>SUMIFS('август 2023'!$G$4:$G$1022,'август 2023'!$D$4:$D$1022,$B82,'август 2023'!$J$4:$J$1022,K$1)</f>
        <v>0</v>
      </c>
      <c r="L82" s="207">
        <f>SUMIFS('август 2023'!$G$4:$G$1022,'август 2023'!$D$4:$D$1022,$B82,'август 2023'!$J$4:$J$1022,L$1)</f>
        <v>0</v>
      </c>
      <c r="M82" s="207">
        <f>SUMIFS('август 2023'!$G$4:$G$1022,'август 2023'!$D$4:$D$1022,$B82,'август 2023'!$J$4:$J$1022,M$1)</f>
        <v>0</v>
      </c>
      <c r="N82" s="207">
        <f>SUMIFS('август 2023'!$G$4:$G$1022,'август 2023'!$D$4:$D$1022,$B82,'август 2023'!$J$4:$J$1022,N$1)</f>
        <v>0</v>
      </c>
      <c r="O82" s="207">
        <f>SUMIFS('август 2023'!$G$4:$G$1022,'август 2023'!$D$4:$D$1022,$B82,'август 2023'!$J$4:$J$1022,O$1)</f>
        <v>0</v>
      </c>
      <c r="P82" s="207">
        <f>SUMIFS('август 2023'!$G$4:$G$1022,'август 2023'!$D$4:$D$1022,$B82,'август 2023'!$J$4:$J$1022,P$1)</f>
        <v>0</v>
      </c>
      <c r="Q82" s="207">
        <f>SUMIFS('август 2023'!$G$4:$G$1022,'август 2023'!$D$4:$D$1022,$B82,'август 2023'!$J$4:$J$1022,Q$1)</f>
        <v>0</v>
      </c>
      <c r="R82" s="207">
        <f>SUMIFS('август 2023'!$G$4:$G$1022,'август 2023'!$D$4:$D$1022,$B82,'август 2023'!$J$4:$J$1022,R$1)</f>
        <v>0</v>
      </c>
      <c r="S82" s="207">
        <f>SUMIFS('август 2023'!$G$4:$G$1022,'август 2023'!$D$4:$D$1022,$B82,'август 2023'!$J$4:$J$1022,S$1)</f>
        <v>0</v>
      </c>
      <c r="T82" s="207">
        <f>SUMIFS('август 2023'!$G$4:$G$1022,'август 2023'!$D$4:$D$1022,$B82,'август 2023'!$J$4:$J$1022,T$1)</f>
        <v>0</v>
      </c>
      <c r="U82" s="207">
        <f>SUMIFS('август 2023'!$G$4:$G$1022,'август 2023'!$D$4:$D$1022,$B82,'август 2023'!$J$4:$J$1022,U$1)</f>
        <v>0</v>
      </c>
      <c r="V82" s="207">
        <f>SUMIFS('август 2023'!$G$4:$G$1022,'август 2023'!$D$4:$D$1022,$B82,'август 2023'!$J$4:$J$1022,V$1)</f>
        <v>0</v>
      </c>
      <c r="W82" s="207">
        <f>SUMIFS('август 2023'!$G$4:$G$1022,'август 2023'!$D$4:$D$1022,$B82,'август 2023'!$J$4:$J$1022,W$1)</f>
        <v>0</v>
      </c>
      <c r="X82" s="207">
        <f>SUMIFS('август 2023'!$G$4:$G$1022,'август 2023'!$D$4:$D$1022,$B82,'август 2023'!$J$4:$J$1022,X$1)</f>
        <v>0</v>
      </c>
      <c r="Y82" s="207">
        <f>SUMIFS('август 2023'!$G$4:$G$1022,'август 2023'!$D$4:$D$1022,$B82,'август 2023'!$J$4:$J$1022,Y$1)</f>
        <v>0</v>
      </c>
      <c r="Z82" s="207">
        <f>SUMIFS('август 2023'!$G$4:$G$1022,'август 2023'!$D$4:$D$1022,$B82,'август 2023'!$J$4:$J$1022,Z$1)</f>
        <v>0</v>
      </c>
      <c r="AA82" s="207">
        <f>SUMIFS('август 2023'!$G$4:$G$1022,'август 2023'!$D$4:$D$1022,$B82,'август 2023'!$J$4:$J$1022,AA$1)</f>
        <v>0</v>
      </c>
      <c r="AB82" s="207">
        <f>SUMIFS('август 2023'!$G$4:$G$1022,'август 2023'!$D$4:$D$1022,$B82,'август 2023'!$J$4:$J$1022,AB$1)</f>
        <v>0</v>
      </c>
      <c r="AC82" s="207">
        <f>SUMIFS('август 2023'!$G$4:$G$1022,'август 2023'!$D$4:$D$1022,$B82,'август 2023'!$J$4:$J$1022,AC$1)</f>
        <v>0</v>
      </c>
      <c r="AD82" s="207">
        <f>SUMIFS('август 2023'!$G$4:$G$1022,'август 2023'!$D$4:$D$1022,$B82,'август 2023'!$J$4:$J$1022,AD$1)</f>
        <v>0</v>
      </c>
      <c r="AE82" s="207">
        <f>SUMIFS('август 2023'!$G$4:$G$1022,'август 2023'!$D$4:$D$1022,$B82,'август 2023'!$J$4:$J$1022,AE$1)</f>
        <v>0</v>
      </c>
      <c r="AF82" s="207">
        <f>SUMIFS('август 2023'!$G$4:$G$1022,'август 2023'!$D$4:$D$1022,$B82,'август 2023'!$J$4:$J$1022,AF$1)</f>
        <v>0</v>
      </c>
      <c r="AG82" s="207">
        <f>SUMIFS('август 2023'!$G$4:$G$1022,'август 2023'!$D$4:$D$1022,$B82,'август 2023'!$J$4:$J$1022,AG$1)</f>
        <v>0</v>
      </c>
      <c r="AH82" s="207">
        <f>SUMIFS('август 2023'!$G$4:$G$1022,'август 2023'!$D$4:$D$1022,$B82,'август 2023'!$J$4:$J$1022,AH$1)</f>
        <v>0</v>
      </c>
      <c r="AI82" s="170">
        <f t="shared" si="2"/>
        <v>0</v>
      </c>
    </row>
    <row r="83" spans="2:35" ht="15" customHeight="1" x14ac:dyDescent="0.25">
      <c r="B83" s="216" t="s">
        <v>365</v>
      </c>
      <c r="C83" s="213">
        <v>185</v>
      </c>
      <c r="D83" s="207">
        <f>SUMIFS('август 2023'!$G$4:$G$1022,'август 2023'!$D$4:$D$1022,$B83,'август 2023'!$J$4:$J$1022,D$1)</f>
        <v>0</v>
      </c>
      <c r="E83" s="207">
        <f>SUMIFS('август 2023'!$G$4:$G$1022,'август 2023'!$D$4:$D$1022,$B83,'август 2023'!$J$4:$J$1022,E$1)</f>
        <v>0</v>
      </c>
      <c r="F83" s="207">
        <f>SUMIFS('август 2023'!$G$4:$G$1022,'август 2023'!$D$4:$D$1022,$B83,'август 2023'!$J$4:$J$1022,F$1)</f>
        <v>0</v>
      </c>
      <c r="G83" s="207">
        <f>SUMIFS('август 2023'!$G$4:$G$1022,'август 2023'!$D$4:$D$1022,$B83,'август 2023'!$J$4:$J$1022,G$1)</f>
        <v>0</v>
      </c>
      <c r="H83" s="207">
        <f>SUMIFS('август 2023'!$G$4:$G$1022,'август 2023'!$D$4:$D$1022,$B83,'август 2023'!$J$4:$J$1022,H$1)</f>
        <v>0</v>
      </c>
      <c r="I83" s="207">
        <f>SUMIFS('август 2023'!$G$4:$G$1022,'август 2023'!$D$4:$D$1022,$B83,'август 2023'!$J$4:$J$1022,I$1)</f>
        <v>0</v>
      </c>
      <c r="J83" s="207">
        <f>SUMIFS('август 2023'!$G$4:$G$1022,'август 2023'!$D$4:$D$1022,$B83,'август 2023'!$J$4:$J$1022,J$1)</f>
        <v>0</v>
      </c>
      <c r="K83" s="207">
        <f>SUMIFS('август 2023'!$G$4:$G$1022,'август 2023'!$D$4:$D$1022,$B83,'август 2023'!$J$4:$J$1022,K$1)</f>
        <v>0</v>
      </c>
      <c r="L83" s="207">
        <f>SUMIFS('август 2023'!$G$4:$G$1022,'август 2023'!$D$4:$D$1022,$B83,'август 2023'!$J$4:$J$1022,L$1)</f>
        <v>0</v>
      </c>
      <c r="M83" s="207">
        <f>SUMIFS('август 2023'!$G$4:$G$1022,'август 2023'!$D$4:$D$1022,$B83,'август 2023'!$J$4:$J$1022,M$1)</f>
        <v>0</v>
      </c>
      <c r="N83" s="207">
        <f>SUMIFS('август 2023'!$G$4:$G$1022,'август 2023'!$D$4:$D$1022,$B83,'август 2023'!$J$4:$J$1022,N$1)</f>
        <v>0</v>
      </c>
      <c r="O83" s="207">
        <f>SUMIFS('август 2023'!$G$4:$G$1022,'август 2023'!$D$4:$D$1022,$B83,'август 2023'!$J$4:$J$1022,O$1)</f>
        <v>0</v>
      </c>
      <c r="P83" s="207">
        <f>SUMIFS('август 2023'!$G$4:$G$1022,'август 2023'!$D$4:$D$1022,$B83,'август 2023'!$J$4:$J$1022,P$1)</f>
        <v>0</v>
      </c>
      <c r="Q83" s="207">
        <f>SUMIFS('август 2023'!$G$4:$G$1022,'август 2023'!$D$4:$D$1022,$B83,'август 2023'!$J$4:$J$1022,Q$1)</f>
        <v>0</v>
      </c>
      <c r="R83" s="207">
        <f>SUMIFS('август 2023'!$G$4:$G$1022,'август 2023'!$D$4:$D$1022,$B83,'август 2023'!$J$4:$J$1022,R$1)</f>
        <v>0</v>
      </c>
      <c r="S83" s="207">
        <f>SUMIFS('август 2023'!$G$4:$G$1022,'август 2023'!$D$4:$D$1022,$B83,'август 2023'!$J$4:$J$1022,S$1)</f>
        <v>0</v>
      </c>
      <c r="T83" s="207">
        <f>SUMIFS('август 2023'!$G$4:$G$1022,'август 2023'!$D$4:$D$1022,$B83,'август 2023'!$J$4:$J$1022,T$1)</f>
        <v>0</v>
      </c>
      <c r="U83" s="207">
        <f>SUMIFS('август 2023'!$G$4:$G$1022,'август 2023'!$D$4:$D$1022,$B83,'август 2023'!$J$4:$J$1022,U$1)</f>
        <v>0</v>
      </c>
      <c r="V83" s="207">
        <f>SUMIFS('август 2023'!$G$4:$G$1022,'август 2023'!$D$4:$D$1022,$B83,'август 2023'!$J$4:$J$1022,V$1)</f>
        <v>0</v>
      </c>
      <c r="W83" s="207">
        <f>SUMIFS('август 2023'!$G$4:$G$1022,'август 2023'!$D$4:$D$1022,$B83,'август 2023'!$J$4:$J$1022,W$1)</f>
        <v>0</v>
      </c>
      <c r="X83" s="207">
        <f>SUMIFS('август 2023'!$G$4:$G$1022,'август 2023'!$D$4:$D$1022,$B83,'август 2023'!$J$4:$J$1022,X$1)</f>
        <v>0</v>
      </c>
      <c r="Y83" s="207">
        <f>SUMIFS('август 2023'!$G$4:$G$1022,'август 2023'!$D$4:$D$1022,$B83,'август 2023'!$J$4:$J$1022,Y$1)</f>
        <v>0</v>
      </c>
      <c r="Z83" s="207">
        <f>SUMIFS('август 2023'!$G$4:$G$1022,'август 2023'!$D$4:$D$1022,$B83,'август 2023'!$J$4:$J$1022,Z$1)</f>
        <v>0</v>
      </c>
      <c r="AA83" s="207">
        <f>SUMIFS('август 2023'!$G$4:$G$1022,'август 2023'!$D$4:$D$1022,$B83,'август 2023'!$J$4:$J$1022,AA$1)</f>
        <v>0</v>
      </c>
      <c r="AB83" s="207">
        <f>SUMIFS('август 2023'!$G$4:$G$1022,'август 2023'!$D$4:$D$1022,$B83,'август 2023'!$J$4:$J$1022,AB$1)</f>
        <v>236</v>
      </c>
      <c r="AC83" s="207">
        <f>SUMIFS('август 2023'!$G$4:$G$1022,'август 2023'!$D$4:$D$1022,$B83,'август 2023'!$J$4:$J$1022,AC$1)</f>
        <v>0</v>
      </c>
      <c r="AD83" s="207">
        <f>SUMIFS('август 2023'!$G$4:$G$1022,'август 2023'!$D$4:$D$1022,$B83,'август 2023'!$J$4:$J$1022,AD$1)</f>
        <v>0</v>
      </c>
      <c r="AE83" s="207">
        <f>SUMIFS('август 2023'!$G$4:$G$1022,'август 2023'!$D$4:$D$1022,$B83,'август 2023'!$J$4:$J$1022,AE$1)</f>
        <v>0</v>
      </c>
      <c r="AF83" s="207">
        <f>SUMIFS('август 2023'!$G$4:$G$1022,'август 2023'!$D$4:$D$1022,$B83,'август 2023'!$J$4:$J$1022,AF$1)</f>
        <v>0</v>
      </c>
      <c r="AG83" s="207">
        <f>SUMIFS('август 2023'!$G$4:$G$1022,'август 2023'!$D$4:$D$1022,$B83,'август 2023'!$J$4:$J$1022,AG$1)</f>
        <v>0</v>
      </c>
      <c r="AH83" s="207">
        <f>SUMIFS('август 2023'!$G$4:$G$1022,'август 2023'!$D$4:$D$1022,$B83,'август 2023'!$J$4:$J$1022,AH$1)</f>
        <v>0</v>
      </c>
      <c r="AI83" s="170">
        <f t="shared" si="2"/>
        <v>236</v>
      </c>
    </row>
    <row r="84" spans="2:35" ht="15" customHeight="1" x14ac:dyDescent="0.25">
      <c r="B84" s="212" t="s">
        <v>2189</v>
      </c>
      <c r="C84" s="211">
        <v>180</v>
      </c>
      <c r="D84" s="207">
        <f>SUMIFS('август 2023'!$G$4:$G$1022,'август 2023'!$D$4:$D$1022,$B84,'август 2023'!$J$4:$J$1022,D$1)</f>
        <v>0</v>
      </c>
      <c r="E84" s="207">
        <f>SUMIFS('август 2023'!$G$4:$G$1022,'август 2023'!$D$4:$D$1022,$B84,'август 2023'!$J$4:$J$1022,E$1)</f>
        <v>0</v>
      </c>
      <c r="F84" s="207">
        <f>SUMIFS('август 2023'!$G$4:$G$1022,'август 2023'!$D$4:$D$1022,$B84,'август 2023'!$J$4:$J$1022,F$1)</f>
        <v>0</v>
      </c>
      <c r="G84" s="207">
        <f>SUMIFS('август 2023'!$G$4:$G$1022,'август 2023'!$D$4:$D$1022,$B84,'август 2023'!$J$4:$J$1022,G$1)</f>
        <v>0</v>
      </c>
      <c r="H84" s="207">
        <f>SUMIFS('август 2023'!$G$4:$G$1022,'август 2023'!$D$4:$D$1022,$B84,'август 2023'!$J$4:$J$1022,H$1)</f>
        <v>0</v>
      </c>
      <c r="I84" s="207">
        <f>SUMIFS('август 2023'!$G$4:$G$1022,'август 2023'!$D$4:$D$1022,$B84,'август 2023'!$J$4:$J$1022,I$1)</f>
        <v>0</v>
      </c>
      <c r="J84" s="207">
        <f>SUMIFS('август 2023'!$G$4:$G$1022,'август 2023'!$D$4:$D$1022,$B84,'август 2023'!$J$4:$J$1022,J$1)</f>
        <v>0</v>
      </c>
      <c r="K84" s="207">
        <f>SUMIFS('август 2023'!$G$4:$G$1022,'август 2023'!$D$4:$D$1022,$B84,'август 2023'!$J$4:$J$1022,K$1)</f>
        <v>0</v>
      </c>
      <c r="L84" s="207">
        <f>SUMIFS('август 2023'!$G$4:$G$1022,'август 2023'!$D$4:$D$1022,$B84,'август 2023'!$J$4:$J$1022,L$1)</f>
        <v>0</v>
      </c>
      <c r="M84" s="207">
        <f>SUMIFS('август 2023'!$G$4:$G$1022,'август 2023'!$D$4:$D$1022,$B84,'август 2023'!$J$4:$J$1022,M$1)</f>
        <v>0</v>
      </c>
      <c r="N84" s="207">
        <f>SUMIFS('август 2023'!$G$4:$G$1022,'август 2023'!$D$4:$D$1022,$B84,'август 2023'!$J$4:$J$1022,N$1)</f>
        <v>0</v>
      </c>
      <c r="O84" s="207">
        <f>SUMIFS('август 2023'!$G$4:$G$1022,'август 2023'!$D$4:$D$1022,$B84,'август 2023'!$J$4:$J$1022,O$1)</f>
        <v>0</v>
      </c>
      <c r="P84" s="207">
        <f>SUMIFS('август 2023'!$G$4:$G$1022,'август 2023'!$D$4:$D$1022,$B84,'август 2023'!$J$4:$J$1022,P$1)</f>
        <v>0</v>
      </c>
      <c r="Q84" s="207">
        <f>SUMIFS('август 2023'!$G$4:$G$1022,'август 2023'!$D$4:$D$1022,$B84,'август 2023'!$J$4:$J$1022,Q$1)</f>
        <v>0</v>
      </c>
      <c r="R84" s="207">
        <f>SUMIFS('август 2023'!$G$4:$G$1022,'август 2023'!$D$4:$D$1022,$B84,'август 2023'!$J$4:$J$1022,R$1)</f>
        <v>0</v>
      </c>
      <c r="S84" s="207">
        <f>SUMIFS('август 2023'!$G$4:$G$1022,'август 2023'!$D$4:$D$1022,$B84,'август 2023'!$J$4:$J$1022,S$1)</f>
        <v>0</v>
      </c>
      <c r="T84" s="207">
        <f>SUMIFS('август 2023'!$G$4:$G$1022,'август 2023'!$D$4:$D$1022,$B84,'август 2023'!$J$4:$J$1022,T$1)</f>
        <v>0</v>
      </c>
      <c r="U84" s="207">
        <f>SUMIFS('август 2023'!$G$4:$G$1022,'август 2023'!$D$4:$D$1022,$B84,'август 2023'!$J$4:$J$1022,U$1)</f>
        <v>0</v>
      </c>
      <c r="V84" s="207">
        <f>SUMIFS('август 2023'!$G$4:$G$1022,'август 2023'!$D$4:$D$1022,$B84,'август 2023'!$J$4:$J$1022,V$1)</f>
        <v>0</v>
      </c>
      <c r="W84" s="207">
        <f>SUMIFS('август 2023'!$G$4:$G$1022,'август 2023'!$D$4:$D$1022,$B84,'август 2023'!$J$4:$J$1022,W$1)</f>
        <v>0</v>
      </c>
      <c r="X84" s="207">
        <f>SUMIFS('август 2023'!$G$4:$G$1022,'август 2023'!$D$4:$D$1022,$B84,'август 2023'!$J$4:$J$1022,X$1)</f>
        <v>0</v>
      </c>
      <c r="Y84" s="207">
        <f>SUMIFS('август 2023'!$G$4:$G$1022,'август 2023'!$D$4:$D$1022,$B84,'август 2023'!$J$4:$J$1022,Y$1)</f>
        <v>0</v>
      </c>
      <c r="Z84" s="207">
        <f>SUMIFS('август 2023'!$G$4:$G$1022,'август 2023'!$D$4:$D$1022,$B84,'август 2023'!$J$4:$J$1022,Z$1)</f>
        <v>0</v>
      </c>
      <c r="AA84" s="207">
        <f>SUMIFS('август 2023'!$G$4:$G$1022,'август 2023'!$D$4:$D$1022,$B84,'август 2023'!$J$4:$J$1022,AA$1)</f>
        <v>0</v>
      </c>
      <c r="AB84" s="207">
        <f>SUMIFS('август 2023'!$G$4:$G$1022,'август 2023'!$D$4:$D$1022,$B84,'август 2023'!$J$4:$J$1022,AB$1)</f>
        <v>0</v>
      </c>
      <c r="AC84" s="207">
        <f>SUMIFS('август 2023'!$G$4:$G$1022,'август 2023'!$D$4:$D$1022,$B84,'август 2023'!$J$4:$J$1022,AC$1)</f>
        <v>0</v>
      </c>
      <c r="AD84" s="207">
        <f>SUMIFS('август 2023'!$G$4:$G$1022,'август 2023'!$D$4:$D$1022,$B84,'август 2023'!$J$4:$J$1022,AD$1)</f>
        <v>0</v>
      </c>
      <c r="AE84" s="207">
        <f>SUMIFS('август 2023'!$G$4:$G$1022,'август 2023'!$D$4:$D$1022,$B84,'август 2023'!$J$4:$J$1022,AE$1)</f>
        <v>0</v>
      </c>
      <c r="AF84" s="207">
        <f>SUMIFS('август 2023'!$G$4:$G$1022,'август 2023'!$D$4:$D$1022,$B84,'август 2023'!$J$4:$J$1022,AF$1)</f>
        <v>0</v>
      </c>
      <c r="AG84" s="207">
        <f>SUMIFS('август 2023'!$G$4:$G$1022,'август 2023'!$D$4:$D$1022,$B84,'август 2023'!$J$4:$J$1022,AG$1)</f>
        <v>0</v>
      </c>
      <c r="AH84" s="207">
        <f>SUMIFS('август 2023'!$G$4:$G$1022,'август 2023'!$D$4:$D$1022,$B84,'август 2023'!$J$4:$J$1022,AH$1)</f>
        <v>0</v>
      </c>
      <c r="AI84" s="170">
        <f t="shared" si="2"/>
        <v>0</v>
      </c>
    </row>
    <row r="85" spans="2:35" ht="15" customHeight="1" x14ac:dyDescent="0.25">
      <c r="B85" s="217" t="s">
        <v>857</v>
      </c>
      <c r="C85" s="213">
        <v>185</v>
      </c>
      <c r="D85" s="207">
        <f>SUMIFS('август 2023'!$G$4:$G$1022,'август 2023'!$D$4:$D$1022,$B85,'август 2023'!$J$4:$J$1022,D$1)</f>
        <v>0</v>
      </c>
      <c r="E85" s="207">
        <f>SUMIFS('август 2023'!$G$4:$G$1022,'август 2023'!$D$4:$D$1022,$B85,'август 2023'!$J$4:$J$1022,E$1)</f>
        <v>0</v>
      </c>
      <c r="F85" s="207">
        <f>SUMIFS('август 2023'!$G$4:$G$1022,'август 2023'!$D$4:$D$1022,$B85,'август 2023'!$J$4:$J$1022,F$1)</f>
        <v>0</v>
      </c>
      <c r="G85" s="207">
        <f>SUMIFS('август 2023'!$G$4:$G$1022,'август 2023'!$D$4:$D$1022,$B85,'август 2023'!$J$4:$J$1022,G$1)</f>
        <v>0</v>
      </c>
      <c r="H85" s="207">
        <f>SUMIFS('август 2023'!$G$4:$G$1022,'август 2023'!$D$4:$D$1022,$B85,'август 2023'!$J$4:$J$1022,H$1)</f>
        <v>0</v>
      </c>
      <c r="I85" s="207">
        <f>SUMIFS('август 2023'!$G$4:$G$1022,'август 2023'!$D$4:$D$1022,$B85,'август 2023'!$J$4:$J$1022,I$1)</f>
        <v>0</v>
      </c>
      <c r="J85" s="207">
        <f>SUMIFS('август 2023'!$G$4:$G$1022,'август 2023'!$D$4:$D$1022,$B85,'август 2023'!$J$4:$J$1022,J$1)</f>
        <v>0</v>
      </c>
      <c r="K85" s="207">
        <f>SUMIFS('август 2023'!$G$4:$G$1022,'август 2023'!$D$4:$D$1022,$B85,'август 2023'!$J$4:$J$1022,K$1)</f>
        <v>0</v>
      </c>
      <c r="L85" s="207">
        <f>SUMIFS('август 2023'!$G$4:$G$1022,'август 2023'!$D$4:$D$1022,$B85,'август 2023'!$J$4:$J$1022,L$1)</f>
        <v>0</v>
      </c>
      <c r="M85" s="207">
        <f>SUMIFS('август 2023'!$G$4:$G$1022,'август 2023'!$D$4:$D$1022,$B85,'август 2023'!$J$4:$J$1022,M$1)</f>
        <v>0</v>
      </c>
      <c r="N85" s="207">
        <f>SUMIFS('август 2023'!$G$4:$G$1022,'август 2023'!$D$4:$D$1022,$B85,'август 2023'!$J$4:$J$1022,N$1)</f>
        <v>0</v>
      </c>
      <c r="O85" s="207">
        <f>SUMIFS('август 2023'!$G$4:$G$1022,'август 2023'!$D$4:$D$1022,$B85,'август 2023'!$J$4:$J$1022,O$1)</f>
        <v>0</v>
      </c>
      <c r="P85" s="207">
        <f>SUMIFS('август 2023'!$G$4:$G$1022,'август 2023'!$D$4:$D$1022,$B85,'август 2023'!$J$4:$J$1022,P$1)</f>
        <v>0</v>
      </c>
      <c r="Q85" s="207">
        <f>SUMIFS('август 2023'!$G$4:$G$1022,'август 2023'!$D$4:$D$1022,$B85,'август 2023'!$J$4:$J$1022,Q$1)</f>
        <v>0</v>
      </c>
      <c r="R85" s="207">
        <f>SUMIFS('август 2023'!$G$4:$G$1022,'август 2023'!$D$4:$D$1022,$B85,'август 2023'!$J$4:$J$1022,R$1)</f>
        <v>0</v>
      </c>
      <c r="S85" s="207">
        <f>SUMIFS('август 2023'!$G$4:$G$1022,'август 2023'!$D$4:$D$1022,$B85,'август 2023'!$J$4:$J$1022,S$1)</f>
        <v>0</v>
      </c>
      <c r="T85" s="207">
        <f>SUMIFS('август 2023'!$G$4:$G$1022,'август 2023'!$D$4:$D$1022,$B85,'август 2023'!$J$4:$J$1022,T$1)</f>
        <v>0</v>
      </c>
      <c r="U85" s="207">
        <f>SUMIFS('август 2023'!$G$4:$G$1022,'август 2023'!$D$4:$D$1022,$B85,'август 2023'!$J$4:$J$1022,U$1)</f>
        <v>32</v>
      </c>
      <c r="V85" s="207">
        <f>SUMIFS('август 2023'!$G$4:$G$1022,'август 2023'!$D$4:$D$1022,$B85,'август 2023'!$J$4:$J$1022,V$1)</f>
        <v>0</v>
      </c>
      <c r="W85" s="207">
        <f>SUMIFS('август 2023'!$G$4:$G$1022,'август 2023'!$D$4:$D$1022,$B85,'август 2023'!$J$4:$J$1022,W$1)</f>
        <v>0</v>
      </c>
      <c r="X85" s="207">
        <f>SUMIFS('август 2023'!$G$4:$G$1022,'август 2023'!$D$4:$D$1022,$B85,'август 2023'!$J$4:$J$1022,X$1)</f>
        <v>0</v>
      </c>
      <c r="Y85" s="207">
        <f>SUMIFS('август 2023'!$G$4:$G$1022,'август 2023'!$D$4:$D$1022,$B85,'август 2023'!$J$4:$J$1022,Y$1)</f>
        <v>0</v>
      </c>
      <c r="Z85" s="207">
        <f>SUMIFS('август 2023'!$G$4:$G$1022,'август 2023'!$D$4:$D$1022,$B85,'август 2023'!$J$4:$J$1022,Z$1)</f>
        <v>0</v>
      </c>
      <c r="AA85" s="207">
        <f>SUMIFS('август 2023'!$G$4:$G$1022,'август 2023'!$D$4:$D$1022,$B85,'август 2023'!$J$4:$J$1022,AA$1)</f>
        <v>0</v>
      </c>
      <c r="AB85" s="207">
        <f>SUMIFS('август 2023'!$G$4:$G$1022,'август 2023'!$D$4:$D$1022,$B85,'август 2023'!$J$4:$J$1022,AB$1)</f>
        <v>0</v>
      </c>
      <c r="AC85" s="207">
        <f>SUMIFS('август 2023'!$G$4:$G$1022,'август 2023'!$D$4:$D$1022,$B85,'август 2023'!$J$4:$J$1022,AC$1)</f>
        <v>0</v>
      </c>
      <c r="AD85" s="207">
        <f>SUMIFS('август 2023'!$G$4:$G$1022,'август 2023'!$D$4:$D$1022,$B85,'август 2023'!$J$4:$J$1022,AD$1)</f>
        <v>0</v>
      </c>
      <c r="AE85" s="207">
        <f>SUMIFS('август 2023'!$G$4:$G$1022,'август 2023'!$D$4:$D$1022,$B85,'август 2023'!$J$4:$J$1022,AE$1)</f>
        <v>0</v>
      </c>
      <c r="AF85" s="207">
        <f>SUMIFS('август 2023'!$G$4:$G$1022,'август 2023'!$D$4:$D$1022,$B85,'август 2023'!$J$4:$J$1022,AF$1)</f>
        <v>0</v>
      </c>
      <c r="AG85" s="207">
        <f>SUMIFS('август 2023'!$G$4:$G$1022,'август 2023'!$D$4:$D$1022,$B85,'август 2023'!$J$4:$J$1022,AG$1)</f>
        <v>0</v>
      </c>
      <c r="AH85" s="207">
        <f>SUMIFS('август 2023'!$G$4:$G$1022,'август 2023'!$D$4:$D$1022,$B85,'август 2023'!$J$4:$J$1022,AH$1)</f>
        <v>0</v>
      </c>
      <c r="AI85" s="170">
        <f t="shared" si="2"/>
        <v>32</v>
      </c>
    </row>
    <row r="86" spans="2:35" ht="15" customHeight="1" x14ac:dyDescent="0.25">
      <c r="B86" s="212" t="s">
        <v>2190</v>
      </c>
      <c r="C86" s="213">
        <v>180</v>
      </c>
      <c r="D86" s="207">
        <f>SUMIFS('август 2023'!$G$4:$G$1022,'август 2023'!$D$4:$D$1022,$B86,'август 2023'!$J$4:$J$1022,D$1)</f>
        <v>0</v>
      </c>
      <c r="E86" s="207">
        <f>SUMIFS('август 2023'!$G$4:$G$1022,'август 2023'!$D$4:$D$1022,$B86,'август 2023'!$J$4:$J$1022,E$1)</f>
        <v>0</v>
      </c>
      <c r="F86" s="207">
        <f>SUMIFS('август 2023'!$G$4:$G$1022,'август 2023'!$D$4:$D$1022,$B86,'август 2023'!$J$4:$J$1022,F$1)</f>
        <v>0</v>
      </c>
      <c r="G86" s="207">
        <f>SUMIFS('август 2023'!$G$4:$G$1022,'август 2023'!$D$4:$D$1022,$B86,'август 2023'!$J$4:$J$1022,G$1)</f>
        <v>0</v>
      </c>
      <c r="H86" s="207">
        <f>SUMIFS('август 2023'!$G$4:$G$1022,'август 2023'!$D$4:$D$1022,$B86,'август 2023'!$J$4:$J$1022,H$1)</f>
        <v>0</v>
      </c>
      <c r="I86" s="207">
        <f>SUMIFS('август 2023'!$G$4:$G$1022,'август 2023'!$D$4:$D$1022,$B86,'август 2023'!$J$4:$J$1022,I$1)</f>
        <v>0</v>
      </c>
      <c r="J86" s="207">
        <f>SUMIFS('август 2023'!$G$4:$G$1022,'август 2023'!$D$4:$D$1022,$B86,'август 2023'!$J$4:$J$1022,J$1)</f>
        <v>0</v>
      </c>
      <c r="K86" s="207">
        <f>SUMIFS('август 2023'!$G$4:$G$1022,'август 2023'!$D$4:$D$1022,$B86,'август 2023'!$J$4:$J$1022,K$1)</f>
        <v>0</v>
      </c>
      <c r="L86" s="207">
        <f>SUMIFS('август 2023'!$G$4:$G$1022,'август 2023'!$D$4:$D$1022,$B86,'август 2023'!$J$4:$J$1022,L$1)</f>
        <v>0</v>
      </c>
      <c r="M86" s="207">
        <f>SUMIFS('август 2023'!$G$4:$G$1022,'август 2023'!$D$4:$D$1022,$B86,'август 2023'!$J$4:$J$1022,M$1)</f>
        <v>0</v>
      </c>
      <c r="N86" s="207">
        <f>SUMIFS('август 2023'!$G$4:$G$1022,'август 2023'!$D$4:$D$1022,$B86,'август 2023'!$J$4:$J$1022,N$1)</f>
        <v>0</v>
      </c>
      <c r="O86" s="207">
        <f>SUMIFS('август 2023'!$G$4:$G$1022,'август 2023'!$D$4:$D$1022,$B86,'август 2023'!$J$4:$J$1022,O$1)</f>
        <v>0</v>
      </c>
      <c r="P86" s="207">
        <f>SUMIFS('август 2023'!$G$4:$G$1022,'август 2023'!$D$4:$D$1022,$B86,'август 2023'!$J$4:$J$1022,P$1)</f>
        <v>0</v>
      </c>
      <c r="Q86" s="207">
        <f>SUMIFS('август 2023'!$G$4:$G$1022,'август 2023'!$D$4:$D$1022,$B86,'август 2023'!$J$4:$J$1022,Q$1)</f>
        <v>0</v>
      </c>
      <c r="R86" s="207">
        <f>SUMIFS('август 2023'!$G$4:$G$1022,'август 2023'!$D$4:$D$1022,$B86,'август 2023'!$J$4:$J$1022,R$1)</f>
        <v>0</v>
      </c>
      <c r="S86" s="207">
        <f>SUMIFS('август 2023'!$G$4:$G$1022,'август 2023'!$D$4:$D$1022,$B86,'август 2023'!$J$4:$J$1022,S$1)</f>
        <v>0</v>
      </c>
      <c r="T86" s="207">
        <f>SUMIFS('август 2023'!$G$4:$G$1022,'август 2023'!$D$4:$D$1022,$B86,'август 2023'!$J$4:$J$1022,T$1)</f>
        <v>0</v>
      </c>
      <c r="U86" s="207">
        <f>SUMIFS('август 2023'!$G$4:$G$1022,'август 2023'!$D$4:$D$1022,$B86,'август 2023'!$J$4:$J$1022,U$1)</f>
        <v>0</v>
      </c>
      <c r="V86" s="207">
        <f>SUMIFS('август 2023'!$G$4:$G$1022,'август 2023'!$D$4:$D$1022,$B86,'август 2023'!$J$4:$J$1022,V$1)</f>
        <v>0</v>
      </c>
      <c r="W86" s="207">
        <f>SUMIFS('август 2023'!$G$4:$G$1022,'август 2023'!$D$4:$D$1022,$B86,'август 2023'!$J$4:$J$1022,W$1)</f>
        <v>0</v>
      </c>
      <c r="X86" s="207">
        <f>SUMIFS('август 2023'!$G$4:$G$1022,'август 2023'!$D$4:$D$1022,$B86,'август 2023'!$J$4:$J$1022,X$1)</f>
        <v>0</v>
      </c>
      <c r="Y86" s="207">
        <f>SUMIFS('август 2023'!$G$4:$G$1022,'август 2023'!$D$4:$D$1022,$B86,'август 2023'!$J$4:$J$1022,Y$1)</f>
        <v>0</v>
      </c>
      <c r="Z86" s="207">
        <f>SUMIFS('август 2023'!$G$4:$G$1022,'август 2023'!$D$4:$D$1022,$B86,'август 2023'!$J$4:$J$1022,Z$1)</f>
        <v>0</v>
      </c>
      <c r="AA86" s="207">
        <f>SUMIFS('август 2023'!$G$4:$G$1022,'август 2023'!$D$4:$D$1022,$B86,'август 2023'!$J$4:$J$1022,AA$1)</f>
        <v>0</v>
      </c>
      <c r="AB86" s="207">
        <f>SUMIFS('август 2023'!$G$4:$G$1022,'август 2023'!$D$4:$D$1022,$B86,'август 2023'!$J$4:$J$1022,AB$1)</f>
        <v>0</v>
      </c>
      <c r="AC86" s="207">
        <f>SUMIFS('август 2023'!$G$4:$G$1022,'август 2023'!$D$4:$D$1022,$B86,'август 2023'!$J$4:$J$1022,AC$1)</f>
        <v>0</v>
      </c>
      <c r="AD86" s="207">
        <f>SUMIFS('август 2023'!$G$4:$G$1022,'август 2023'!$D$4:$D$1022,$B86,'август 2023'!$J$4:$J$1022,AD$1)</f>
        <v>0</v>
      </c>
      <c r="AE86" s="207">
        <f>SUMIFS('август 2023'!$G$4:$G$1022,'август 2023'!$D$4:$D$1022,$B86,'август 2023'!$J$4:$J$1022,AE$1)</f>
        <v>0</v>
      </c>
      <c r="AF86" s="207">
        <f>SUMIFS('август 2023'!$G$4:$G$1022,'август 2023'!$D$4:$D$1022,$B86,'август 2023'!$J$4:$J$1022,AF$1)</f>
        <v>0</v>
      </c>
      <c r="AG86" s="207">
        <f>SUMIFS('август 2023'!$G$4:$G$1022,'август 2023'!$D$4:$D$1022,$B86,'август 2023'!$J$4:$J$1022,AG$1)</f>
        <v>0</v>
      </c>
      <c r="AH86" s="207">
        <f>SUMIFS('август 2023'!$G$4:$G$1022,'август 2023'!$D$4:$D$1022,$B86,'август 2023'!$J$4:$J$1022,AH$1)</f>
        <v>0</v>
      </c>
      <c r="AI86" s="170">
        <f t="shared" si="2"/>
        <v>0</v>
      </c>
    </row>
    <row r="87" spans="2:35" ht="15" customHeight="1" x14ac:dyDescent="0.25">
      <c r="B87" s="212" t="s">
        <v>371</v>
      </c>
      <c r="C87" s="211">
        <v>200</v>
      </c>
      <c r="D87" s="207">
        <f>SUMIFS('август 2023'!$G$4:$G$1022,'август 2023'!$D$4:$D$1022,$B87,'август 2023'!$J$4:$J$1022,D$1)</f>
        <v>0</v>
      </c>
      <c r="E87" s="207">
        <f>SUMIFS('август 2023'!$G$4:$G$1022,'август 2023'!$D$4:$D$1022,$B87,'август 2023'!$J$4:$J$1022,E$1)</f>
        <v>0</v>
      </c>
      <c r="F87" s="207">
        <f>SUMIFS('август 2023'!$G$4:$G$1022,'август 2023'!$D$4:$D$1022,$B87,'август 2023'!$J$4:$J$1022,F$1)</f>
        <v>0</v>
      </c>
      <c r="G87" s="207">
        <f>SUMIFS('август 2023'!$G$4:$G$1022,'август 2023'!$D$4:$D$1022,$B87,'август 2023'!$J$4:$J$1022,G$1)</f>
        <v>88</v>
      </c>
      <c r="H87" s="207">
        <f>SUMIFS('август 2023'!$G$4:$G$1022,'август 2023'!$D$4:$D$1022,$B87,'август 2023'!$J$4:$J$1022,H$1)</f>
        <v>0</v>
      </c>
      <c r="I87" s="207">
        <f>SUMIFS('август 2023'!$G$4:$G$1022,'август 2023'!$D$4:$D$1022,$B87,'август 2023'!$J$4:$J$1022,I$1)</f>
        <v>0</v>
      </c>
      <c r="J87" s="207">
        <f>SUMIFS('август 2023'!$G$4:$G$1022,'август 2023'!$D$4:$D$1022,$B87,'август 2023'!$J$4:$J$1022,J$1)</f>
        <v>0</v>
      </c>
      <c r="K87" s="207">
        <f>SUMIFS('август 2023'!$G$4:$G$1022,'август 2023'!$D$4:$D$1022,$B87,'август 2023'!$J$4:$J$1022,K$1)</f>
        <v>0</v>
      </c>
      <c r="L87" s="207">
        <f>SUMIFS('август 2023'!$G$4:$G$1022,'август 2023'!$D$4:$D$1022,$B87,'август 2023'!$J$4:$J$1022,L$1)</f>
        <v>0</v>
      </c>
      <c r="M87" s="207">
        <f>SUMIFS('август 2023'!$G$4:$G$1022,'август 2023'!$D$4:$D$1022,$B87,'август 2023'!$J$4:$J$1022,M$1)</f>
        <v>88</v>
      </c>
      <c r="N87" s="207">
        <f>SUMIFS('август 2023'!$G$4:$G$1022,'август 2023'!$D$4:$D$1022,$B87,'август 2023'!$J$4:$J$1022,N$1)</f>
        <v>0</v>
      </c>
      <c r="O87" s="207">
        <f>SUMIFS('август 2023'!$G$4:$G$1022,'август 2023'!$D$4:$D$1022,$B87,'август 2023'!$J$4:$J$1022,O$1)</f>
        <v>0</v>
      </c>
      <c r="P87" s="207">
        <f>SUMIFS('август 2023'!$G$4:$G$1022,'август 2023'!$D$4:$D$1022,$B87,'август 2023'!$J$4:$J$1022,P$1)</f>
        <v>0</v>
      </c>
      <c r="Q87" s="207">
        <f>SUMIFS('август 2023'!$G$4:$G$1022,'август 2023'!$D$4:$D$1022,$B87,'август 2023'!$J$4:$J$1022,Q$1)</f>
        <v>0</v>
      </c>
      <c r="R87" s="207">
        <f>SUMIFS('август 2023'!$G$4:$G$1022,'август 2023'!$D$4:$D$1022,$B87,'август 2023'!$J$4:$J$1022,R$1)</f>
        <v>0</v>
      </c>
      <c r="S87" s="207">
        <f>SUMIFS('август 2023'!$G$4:$G$1022,'август 2023'!$D$4:$D$1022,$B87,'август 2023'!$J$4:$J$1022,S$1)</f>
        <v>0</v>
      </c>
      <c r="T87" s="207">
        <f>SUMIFS('август 2023'!$G$4:$G$1022,'август 2023'!$D$4:$D$1022,$B87,'август 2023'!$J$4:$J$1022,T$1)</f>
        <v>0</v>
      </c>
      <c r="U87" s="207">
        <f>SUMIFS('август 2023'!$G$4:$G$1022,'август 2023'!$D$4:$D$1022,$B87,'август 2023'!$J$4:$J$1022,U$1)</f>
        <v>0</v>
      </c>
      <c r="V87" s="207">
        <f>SUMIFS('август 2023'!$G$4:$G$1022,'август 2023'!$D$4:$D$1022,$B87,'август 2023'!$J$4:$J$1022,V$1)</f>
        <v>0</v>
      </c>
      <c r="W87" s="207">
        <f>SUMIFS('август 2023'!$G$4:$G$1022,'август 2023'!$D$4:$D$1022,$B87,'август 2023'!$J$4:$J$1022,W$1)</f>
        <v>0</v>
      </c>
      <c r="X87" s="207">
        <f>SUMIFS('август 2023'!$G$4:$G$1022,'август 2023'!$D$4:$D$1022,$B87,'август 2023'!$J$4:$J$1022,X$1)</f>
        <v>0</v>
      </c>
      <c r="Y87" s="207">
        <f>SUMIFS('август 2023'!$G$4:$G$1022,'август 2023'!$D$4:$D$1022,$B87,'август 2023'!$J$4:$J$1022,Y$1)</f>
        <v>0</v>
      </c>
      <c r="Z87" s="207">
        <f>SUMIFS('август 2023'!$G$4:$G$1022,'август 2023'!$D$4:$D$1022,$B87,'август 2023'!$J$4:$J$1022,Z$1)</f>
        <v>0</v>
      </c>
      <c r="AA87" s="207">
        <f>SUMIFS('август 2023'!$G$4:$G$1022,'август 2023'!$D$4:$D$1022,$B87,'август 2023'!$J$4:$J$1022,AA$1)</f>
        <v>0</v>
      </c>
      <c r="AB87" s="207">
        <f>SUMIFS('август 2023'!$G$4:$G$1022,'август 2023'!$D$4:$D$1022,$B87,'август 2023'!$J$4:$J$1022,AB$1)</f>
        <v>0</v>
      </c>
      <c r="AC87" s="207">
        <f>SUMIFS('август 2023'!$G$4:$G$1022,'август 2023'!$D$4:$D$1022,$B87,'август 2023'!$J$4:$J$1022,AC$1)</f>
        <v>0</v>
      </c>
      <c r="AD87" s="207">
        <f>SUMIFS('август 2023'!$G$4:$G$1022,'август 2023'!$D$4:$D$1022,$B87,'август 2023'!$J$4:$J$1022,AD$1)</f>
        <v>0</v>
      </c>
      <c r="AE87" s="207">
        <f>SUMIFS('август 2023'!$G$4:$G$1022,'август 2023'!$D$4:$D$1022,$B87,'август 2023'!$J$4:$J$1022,AE$1)</f>
        <v>0</v>
      </c>
      <c r="AF87" s="207">
        <f>SUMIFS('август 2023'!$G$4:$G$1022,'август 2023'!$D$4:$D$1022,$B87,'август 2023'!$J$4:$J$1022,AF$1)</f>
        <v>0</v>
      </c>
      <c r="AG87" s="207">
        <f>SUMIFS('август 2023'!$G$4:$G$1022,'август 2023'!$D$4:$D$1022,$B87,'август 2023'!$J$4:$J$1022,AG$1)</f>
        <v>0</v>
      </c>
      <c r="AH87" s="207">
        <f>SUMIFS('август 2023'!$G$4:$G$1022,'август 2023'!$D$4:$D$1022,$B87,'август 2023'!$J$4:$J$1022,AH$1)</f>
        <v>0</v>
      </c>
      <c r="AI87" s="170">
        <f t="shared" si="2"/>
        <v>176</v>
      </c>
    </row>
    <row r="88" spans="2:35" ht="15" customHeight="1" x14ac:dyDescent="0.25">
      <c r="B88" s="212" t="s">
        <v>1608</v>
      </c>
      <c r="C88" s="211">
        <v>950</v>
      </c>
      <c r="D88" s="207">
        <f>SUMIFS('август 2023'!$G$4:$G$1022,'август 2023'!$D$4:$D$1022,$B88,'август 2023'!$J$4:$J$1022,D$1)</f>
        <v>0</v>
      </c>
      <c r="E88" s="207">
        <f>SUMIFS('август 2023'!$G$4:$G$1022,'август 2023'!$D$4:$D$1022,$B88,'август 2023'!$J$4:$J$1022,E$1)</f>
        <v>0</v>
      </c>
      <c r="F88" s="207">
        <f>SUMIFS('август 2023'!$G$4:$G$1022,'август 2023'!$D$4:$D$1022,$B88,'август 2023'!$J$4:$J$1022,F$1)</f>
        <v>0</v>
      </c>
      <c r="G88" s="207">
        <f>SUMIFS('август 2023'!$G$4:$G$1022,'август 2023'!$D$4:$D$1022,$B88,'август 2023'!$J$4:$J$1022,G$1)</f>
        <v>0</v>
      </c>
      <c r="H88" s="207">
        <f>SUMIFS('август 2023'!$G$4:$G$1022,'август 2023'!$D$4:$D$1022,$B88,'август 2023'!$J$4:$J$1022,H$1)</f>
        <v>0</v>
      </c>
      <c r="I88" s="207">
        <f>SUMIFS('август 2023'!$G$4:$G$1022,'август 2023'!$D$4:$D$1022,$B88,'август 2023'!$J$4:$J$1022,I$1)</f>
        <v>0</v>
      </c>
      <c r="J88" s="207">
        <f>SUMIFS('август 2023'!$G$4:$G$1022,'август 2023'!$D$4:$D$1022,$B88,'август 2023'!$J$4:$J$1022,J$1)</f>
        <v>0</v>
      </c>
      <c r="K88" s="207">
        <f>SUMIFS('август 2023'!$G$4:$G$1022,'август 2023'!$D$4:$D$1022,$B88,'август 2023'!$J$4:$J$1022,K$1)</f>
        <v>0</v>
      </c>
      <c r="L88" s="207">
        <f>SUMIFS('август 2023'!$G$4:$G$1022,'август 2023'!$D$4:$D$1022,$B88,'август 2023'!$J$4:$J$1022,L$1)</f>
        <v>0</v>
      </c>
      <c r="M88" s="207">
        <f>SUMIFS('август 2023'!$G$4:$G$1022,'август 2023'!$D$4:$D$1022,$B88,'август 2023'!$J$4:$J$1022,M$1)</f>
        <v>0</v>
      </c>
      <c r="N88" s="207">
        <f>SUMIFS('август 2023'!$G$4:$G$1022,'август 2023'!$D$4:$D$1022,$B88,'август 2023'!$J$4:$J$1022,N$1)</f>
        <v>0</v>
      </c>
      <c r="O88" s="207">
        <f>SUMIFS('август 2023'!$G$4:$G$1022,'август 2023'!$D$4:$D$1022,$B88,'август 2023'!$J$4:$J$1022,O$1)</f>
        <v>0</v>
      </c>
      <c r="P88" s="207">
        <f>SUMIFS('август 2023'!$G$4:$G$1022,'август 2023'!$D$4:$D$1022,$B88,'август 2023'!$J$4:$J$1022,P$1)</f>
        <v>0</v>
      </c>
      <c r="Q88" s="207">
        <f>SUMIFS('август 2023'!$G$4:$G$1022,'август 2023'!$D$4:$D$1022,$B88,'август 2023'!$J$4:$J$1022,Q$1)</f>
        <v>0</v>
      </c>
      <c r="R88" s="207">
        <f>SUMIFS('август 2023'!$G$4:$G$1022,'август 2023'!$D$4:$D$1022,$B88,'август 2023'!$J$4:$J$1022,R$1)</f>
        <v>0</v>
      </c>
      <c r="S88" s="207">
        <f>SUMIFS('август 2023'!$G$4:$G$1022,'август 2023'!$D$4:$D$1022,$B88,'август 2023'!$J$4:$J$1022,S$1)</f>
        <v>0</v>
      </c>
      <c r="T88" s="207">
        <f>SUMIFS('август 2023'!$G$4:$G$1022,'август 2023'!$D$4:$D$1022,$B88,'август 2023'!$J$4:$J$1022,T$1)</f>
        <v>0</v>
      </c>
      <c r="U88" s="207">
        <f>SUMIFS('август 2023'!$G$4:$G$1022,'август 2023'!$D$4:$D$1022,$B88,'август 2023'!$J$4:$J$1022,U$1)</f>
        <v>0</v>
      </c>
      <c r="V88" s="207">
        <f>SUMIFS('август 2023'!$G$4:$G$1022,'август 2023'!$D$4:$D$1022,$B88,'август 2023'!$J$4:$J$1022,V$1)</f>
        <v>0</v>
      </c>
      <c r="W88" s="207">
        <f>SUMIFS('август 2023'!$G$4:$G$1022,'август 2023'!$D$4:$D$1022,$B88,'август 2023'!$J$4:$J$1022,W$1)</f>
        <v>0</v>
      </c>
      <c r="X88" s="207">
        <f>SUMIFS('август 2023'!$G$4:$G$1022,'август 2023'!$D$4:$D$1022,$B88,'август 2023'!$J$4:$J$1022,X$1)</f>
        <v>0</v>
      </c>
      <c r="Y88" s="207">
        <f>SUMIFS('август 2023'!$G$4:$G$1022,'август 2023'!$D$4:$D$1022,$B88,'август 2023'!$J$4:$J$1022,Y$1)</f>
        <v>0</v>
      </c>
      <c r="Z88" s="207">
        <f>SUMIFS('август 2023'!$G$4:$G$1022,'август 2023'!$D$4:$D$1022,$B88,'август 2023'!$J$4:$J$1022,Z$1)</f>
        <v>0</v>
      </c>
      <c r="AA88" s="207">
        <f>SUMIFS('август 2023'!$G$4:$G$1022,'август 2023'!$D$4:$D$1022,$B88,'август 2023'!$J$4:$J$1022,AA$1)</f>
        <v>0</v>
      </c>
      <c r="AB88" s="207">
        <f>SUMIFS('август 2023'!$G$4:$G$1022,'август 2023'!$D$4:$D$1022,$B88,'август 2023'!$J$4:$J$1022,AB$1)</f>
        <v>0</v>
      </c>
      <c r="AC88" s="207">
        <f>SUMIFS('август 2023'!$G$4:$G$1022,'август 2023'!$D$4:$D$1022,$B88,'август 2023'!$J$4:$J$1022,AC$1)</f>
        <v>0</v>
      </c>
      <c r="AD88" s="207">
        <f>SUMIFS('август 2023'!$G$4:$G$1022,'август 2023'!$D$4:$D$1022,$B88,'август 2023'!$J$4:$J$1022,AD$1)</f>
        <v>0</v>
      </c>
      <c r="AE88" s="207">
        <f>SUMIFS('август 2023'!$G$4:$G$1022,'август 2023'!$D$4:$D$1022,$B88,'август 2023'!$J$4:$J$1022,AE$1)</f>
        <v>0</v>
      </c>
      <c r="AF88" s="207">
        <f>SUMIFS('август 2023'!$G$4:$G$1022,'август 2023'!$D$4:$D$1022,$B88,'август 2023'!$J$4:$J$1022,AF$1)</f>
        <v>0</v>
      </c>
      <c r="AG88" s="207">
        <f>SUMIFS('август 2023'!$G$4:$G$1022,'август 2023'!$D$4:$D$1022,$B88,'август 2023'!$J$4:$J$1022,AG$1)</f>
        <v>0</v>
      </c>
      <c r="AH88" s="207">
        <f>SUMIFS('август 2023'!$G$4:$G$1022,'август 2023'!$D$4:$D$1022,$B88,'август 2023'!$J$4:$J$1022,AH$1)</f>
        <v>0</v>
      </c>
      <c r="AI88" s="170">
        <f t="shared" si="2"/>
        <v>0</v>
      </c>
    </row>
    <row r="89" spans="2:35" ht="15" customHeight="1" x14ac:dyDescent="0.25">
      <c r="B89" s="212" t="s">
        <v>468</v>
      </c>
      <c r="C89" s="211">
        <v>180</v>
      </c>
      <c r="D89" s="207">
        <f>SUMIFS('август 2023'!$G$4:$G$1022,'август 2023'!$D$4:$D$1022,$B89,'август 2023'!$J$4:$J$1022,D$1)</f>
        <v>0</v>
      </c>
      <c r="E89" s="207">
        <f>SUMIFS('август 2023'!$G$4:$G$1022,'август 2023'!$D$4:$D$1022,$B89,'август 2023'!$J$4:$J$1022,E$1)</f>
        <v>0</v>
      </c>
      <c r="F89" s="207">
        <f>SUMIFS('август 2023'!$G$4:$G$1022,'август 2023'!$D$4:$D$1022,$B89,'август 2023'!$J$4:$J$1022,F$1)</f>
        <v>0</v>
      </c>
      <c r="G89" s="207">
        <f>SUMIFS('август 2023'!$G$4:$G$1022,'август 2023'!$D$4:$D$1022,$B89,'август 2023'!$J$4:$J$1022,G$1)</f>
        <v>0</v>
      </c>
      <c r="H89" s="207">
        <f>SUMIFS('август 2023'!$G$4:$G$1022,'август 2023'!$D$4:$D$1022,$B89,'август 2023'!$J$4:$J$1022,H$1)</f>
        <v>0</v>
      </c>
      <c r="I89" s="207">
        <f>SUMIFS('август 2023'!$G$4:$G$1022,'август 2023'!$D$4:$D$1022,$B89,'август 2023'!$J$4:$J$1022,I$1)</f>
        <v>0</v>
      </c>
      <c r="J89" s="207">
        <f>SUMIFS('август 2023'!$G$4:$G$1022,'август 2023'!$D$4:$D$1022,$B89,'август 2023'!$J$4:$J$1022,J$1)</f>
        <v>0</v>
      </c>
      <c r="K89" s="207">
        <f>SUMIFS('август 2023'!$G$4:$G$1022,'август 2023'!$D$4:$D$1022,$B89,'август 2023'!$J$4:$J$1022,K$1)</f>
        <v>0</v>
      </c>
      <c r="L89" s="207">
        <f>SUMIFS('август 2023'!$G$4:$G$1022,'август 2023'!$D$4:$D$1022,$B89,'август 2023'!$J$4:$J$1022,L$1)</f>
        <v>0</v>
      </c>
      <c r="M89" s="207">
        <f>SUMIFS('август 2023'!$G$4:$G$1022,'август 2023'!$D$4:$D$1022,$B89,'август 2023'!$J$4:$J$1022,M$1)</f>
        <v>0</v>
      </c>
      <c r="N89" s="207">
        <f>SUMIFS('август 2023'!$G$4:$G$1022,'август 2023'!$D$4:$D$1022,$B89,'август 2023'!$J$4:$J$1022,N$1)</f>
        <v>0</v>
      </c>
      <c r="O89" s="207">
        <f>SUMIFS('август 2023'!$G$4:$G$1022,'август 2023'!$D$4:$D$1022,$B89,'август 2023'!$J$4:$J$1022,O$1)</f>
        <v>0</v>
      </c>
      <c r="P89" s="207">
        <f>SUMIFS('август 2023'!$G$4:$G$1022,'август 2023'!$D$4:$D$1022,$B89,'август 2023'!$J$4:$J$1022,P$1)</f>
        <v>0</v>
      </c>
      <c r="Q89" s="207">
        <f>SUMIFS('август 2023'!$G$4:$G$1022,'август 2023'!$D$4:$D$1022,$B89,'август 2023'!$J$4:$J$1022,Q$1)</f>
        <v>0</v>
      </c>
      <c r="R89" s="207">
        <f>SUMIFS('август 2023'!$G$4:$G$1022,'август 2023'!$D$4:$D$1022,$B89,'август 2023'!$J$4:$J$1022,R$1)</f>
        <v>0</v>
      </c>
      <c r="S89" s="207">
        <f>SUMIFS('август 2023'!$G$4:$G$1022,'август 2023'!$D$4:$D$1022,$B89,'август 2023'!$J$4:$J$1022,S$1)</f>
        <v>0</v>
      </c>
      <c r="T89" s="207">
        <f>SUMIFS('август 2023'!$G$4:$G$1022,'август 2023'!$D$4:$D$1022,$B89,'август 2023'!$J$4:$J$1022,T$1)</f>
        <v>0</v>
      </c>
      <c r="U89" s="207">
        <f>SUMIFS('август 2023'!$G$4:$G$1022,'август 2023'!$D$4:$D$1022,$B89,'август 2023'!$J$4:$J$1022,U$1)</f>
        <v>0</v>
      </c>
      <c r="V89" s="207">
        <f>SUMIFS('август 2023'!$G$4:$G$1022,'август 2023'!$D$4:$D$1022,$B89,'август 2023'!$J$4:$J$1022,V$1)</f>
        <v>0</v>
      </c>
      <c r="W89" s="207">
        <f>SUMIFS('август 2023'!$G$4:$G$1022,'август 2023'!$D$4:$D$1022,$B89,'август 2023'!$J$4:$J$1022,W$1)</f>
        <v>0</v>
      </c>
      <c r="X89" s="207">
        <f>SUMIFS('август 2023'!$G$4:$G$1022,'август 2023'!$D$4:$D$1022,$B89,'август 2023'!$J$4:$J$1022,X$1)</f>
        <v>0</v>
      </c>
      <c r="Y89" s="207">
        <f>SUMIFS('август 2023'!$G$4:$G$1022,'август 2023'!$D$4:$D$1022,$B89,'август 2023'!$J$4:$J$1022,Y$1)</f>
        <v>0</v>
      </c>
      <c r="Z89" s="207">
        <f>SUMIFS('август 2023'!$G$4:$G$1022,'август 2023'!$D$4:$D$1022,$B89,'август 2023'!$J$4:$J$1022,Z$1)</f>
        <v>0</v>
      </c>
      <c r="AA89" s="207">
        <f>SUMIFS('август 2023'!$G$4:$G$1022,'август 2023'!$D$4:$D$1022,$B89,'август 2023'!$J$4:$J$1022,AA$1)</f>
        <v>0</v>
      </c>
      <c r="AB89" s="207">
        <f>SUMIFS('август 2023'!$G$4:$G$1022,'август 2023'!$D$4:$D$1022,$B89,'август 2023'!$J$4:$J$1022,AB$1)</f>
        <v>0</v>
      </c>
      <c r="AC89" s="207">
        <f>SUMIFS('август 2023'!$G$4:$G$1022,'август 2023'!$D$4:$D$1022,$B89,'август 2023'!$J$4:$J$1022,AC$1)</f>
        <v>0</v>
      </c>
      <c r="AD89" s="207">
        <f>SUMIFS('август 2023'!$G$4:$G$1022,'август 2023'!$D$4:$D$1022,$B89,'август 2023'!$J$4:$J$1022,AD$1)</f>
        <v>0</v>
      </c>
      <c r="AE89" s="207">
        <f>SUMIFS('август 2023'!$G$4:$G$1022,'август 2023'!$D$4:$D$1022,$B89,'август 2023'!$J$4:$J$1022,AE$1)</f>
        <v>0</v>
      </c>
      <c r="AF89" s="207">
        <f>SUMIFS('август 2023'!$G$4:$G$1022,'август 2023'!$D$4:$D$1022,$B89,'август 2023'!$J$4:$J$1022,AF$1)</f>
        <v>0</v>
      </c>
      <c r="AG89" s="207">
        <f>SUMIFS('август 2023'!$G$4:$G$1022,'август 2023'!$D$4:$D$1022,$B89,'август 2023'!$J$4:$J$1022,AG$1)</f>
        <v>0</v>
      </c>
      <c r="AH89" s="207">
        <f>SUMIFS('август 2023'!$G$4:$G$1022,'август 2023'!$D$4:$D$1022,$B89,'август 2023'!$J$4:$J$1022,AH$1)</f>
        <v>0</v>
      </c>
      <c r="AI89" s="170">
        <f t="shared" si="2"/>
        <v>0</v>
      </c>
    </row>
    <row r="90" spans="2:35" ht="15" customHeight="1" x14ac:dyDescent="0.25">
      <c r="B90" s="216" t="s">
        <v>1755</v>
      </c>
      <c r="C90" s="213">
        <v>200</v>
      </c>
      <c r="D90" s="207">
        <f>SUMIFS('август 2023'!$G$4:$G$1022,'август 2023'!$D$4:$D$1022,$B90,'август 2023'!$J$4:$J$1022,D$1)</f>
        <v>0</v>
      </c>
      <c r="E90" s="207">
        <f>SUMIFS('август 2023'!$G$4:$G$1022,'август 2023'!$D$4:$D$1022,$B90,'август 2023'!$J$4:$J$1022,E$1)</f>
        <v>0</v>
      </c>
      <c r="F90" s="207">
        <f>SUMIFS('август 2023'!$G$4:$G$1022,'август 2023'!$D$4:$D$1022,$B90,'август 2023'!$J$4:$J$1022,F$1)</f>
        <v>0</v>
      </c>
      <c r="G90" s="207">
        <f>SUMIFS('август 2023'!$G$4:$G$1022,'август 2023'!$D$4:$D$1022,$B90,'август 2023'!$J$4:$J$1022,G$1)</f>
        <v>0</v>
      </c>
      <c r="H90" s="207">
        <f>SUMIFS('август 2023'!$G$4:$G$1022,'август 2023'!$D$4:$D$1022,$B90,'август 2023'!$J$4:$J$1022,H$1)</f>
        <v>0</v>
      </c>
      <c r="I90" s="207">
        <f>SUMIFS('август 2023'!$G$4:$G$1022,'август 2023'!$D$4:$D$1022,$B90,'август 2023'!$J$4:$J$1022,I$1)</f>
        <v>0</v>
      </c>
      <c r="J90" s="207">
        <f>SUMIFS('август 2023'!$G$4:$G$1022,'август 2023'!$D$4:$D$1022,$B90,'август 2023'!$J$4:$J$1022,J$1)</f>
        <v>0</v>
      </c>
      <c r="K90" s="207">
        <f>SUMIFS('август 2023'!$G$4:$G$1022,'август 2023'!$D$4:$D$1022,$B90,'август 2023'!$J$4:$J$1022,K$1)</f>
        <v>0</v>
      </c>
      <c r="L90" s="207">
        <f>SUMIFS('август 2023'!$G$4:$G$1022,'август 2023'!$D$4:$D$1022,$B90,'август 2023'!$J$4:$J$1022,L$1)</f>
        <v>0</v>
      </c>
      <c r="M90" s="207">
        <f>SUMIFS('август 2023'!$G$4:$G$1022,'август 2023'!$D$4:$D$1022,$B90,'август 2023'!$J$4:$J$1022,M$1)</f>
        <v>0</v>
      </c>
      <c r="N90" s="207">
        <f>SUMIFS('август 2023'!$G$4:$G$1022,'август 2023'!$D$4:$D$1022,$B90,'август 2023'!$J$4:$J$1022,N$1)</f>
        <v>0</v>
      </c>
      <c r="O90" s="207">
        <f>SUMIFS('август 2023'!$G$4:$G$1022,'август 2023'!$D$4:$D$1022,$B90,'август 2023'!$J$4:$J$1022,O$1)</f>
        <v>0</v>
      </c>
      <c r="P90" s="207">
        <f>SUMIFS('август 2023'!$G$4:$G$1022,'август 2023'!$D$4:$D$1022,$B90,'август 2023'!$J$4:$J$1022,P$1)</f>
        <v>0</v>
      </c>
      <c r="Q90" s="207">
        <f>SUMIFS('август 2023'!$G$4:$G$1022,'август 2023'!$D$4:$D$1022,$B90,'август 2023'!$J$4:$J$1022,Q$1)</f>
        <v>0</v>
      </c>
      <c r="R90" s="207">
        <f>SUMIFS('август 2023'!$G$4:$G$1022,'август 2023'!$D$4:$D$1022,$B90,'август 2023'!$J$4:$J$1022,R$1)</f>
        <v>0</v>
      </c>
      <c r="S90" s="207">
        <f>SUMIFS('август 2023'!$G$4:$G$1022,'август 2023'!$D$4:$D$1022,$B90,'август 2023'!$J$4:$J$1022,S$1)</f>
        <v>0</v>
      </c>
      <c r="T90" s="207">
        <f>SUMIFS('август 2023'!$G$4:$G$1022,'август 2023'!$D$4:$D$1022,$B90,'август 2023'!$J$4:$J$1022,T$1)</f>
        <v>0</v>
      </c>
      <c r="U90" s="207">
        <f>SUMIFS('август 2023'!$G$4:$G$1022,'август 2023'!$D$4:$D$1022,$B90,'август 2023'!$J$4:$J$1022,U$1)</f>
        <v>0</v>
      </c>
      <c r="V90" s="207">
        <f>SUMIFS('август 2023'!$G$4:$G$1022,'август 2023'!$D$4:$D$1022,$B90,'август 2023'!$J$4:$J$1022,V$1)</f>
        <v>0</v>
      </c>
      <c r="W90" s="207">
        <f>SUMIFS('август 2023'!$G$4:$G$1022,'август 2023'!$D$4:$D$1022,$B90,'август 2023'!$J$4:$J$1022,W$1)</f>
        <v>0</v>
      </c>
      <c r="X90" s="207">
        <f>SUMIFS('август 2023'!$G$4:$G$1022,'август 2023'!$D$4:$D$1022,$B90,'август 2023'!$J$4:$J$1022,X$1)</f>
        <v>0</v>
      </c>
      <c r="Y90" s="207">
        <f>SUMIFS('август 2023'!$G$4:$G$1022,'август 2023'!$D$4:$D$1022,$B90,'август 2023'!$J$4:$J$1022,Y$1)</f>
        <v>0</v>
      </c>
      <c r="Z90" s="207">
        <f>SUMIFS('август 2023'!$G$4:$G$1022,'август 2023'!$D$4:$D$1022,$B90,'август 2023'!$J$4:$J$1022,Z$1)</f>
        <v>0</v>
      </c>
      <c r="AA90" s="207">
        <f>SUMIFS('август 2023'!$G$4:$G$1022,'август 2023'!$D$4:$D$1022,$B90,'август 2023'!$J$4:$J$1022,AA$1)</f>
        <v>0</v>
      </c>
      <c r="AB90" s="207">
        <f>SUMIFS('август 2023'!$G$4:$G$1022,'август 2023'!$D$4:$D$1022,$B90,'август 2023'!$J$4:$J$1022,AB$1)</f>
        <v>0</v>
      </c>
      <c r="AC90" s="207">
        <f>SUMIFS('август 2023'!$G$4:$G$1022,'август 2023'!$D$4:$D$1022,$B90,'август 2023'!$J$4:$J$1022,AC$1)</f>
        <v>0</v>
      </c>
      <c r="AD90" s="207">
        <f>SUMIFS('август 2023'!$G$4:$G$1022,'август 2023'!$D$4:$D$1022,$B90,'август 2023'!$J$4:$J$1022,AD$1)</f>
        <v>0</v>
      </c>
      <c r="AE90" s="207">
        <f>SUMIFS('август 2023'!$G$4:$G$1022,'август 2023'!$D$4:$D$1022,$B90,'август 2023'!$J$4:$J$1022,AE$1)</f>
        <v>0</v>
      </c>
      <c r="AF90" s="207">
        <f>SUMIFS('август 2023'!$G$4:$G$1022,'август 2023'!$D$4:$D$1022,$B90,'август 2023'!$J$4:$J$1022,AF$1)</f>
        <v>0</v>
      </c>
      <c r="AG90" s="207">
        <f>SUMIFS('август 2023'!$G$4:$G$1022,'август 2023'!$D$4:$D$1022,$B90,'август 2023'!$J$4:$J$1022,AG$1)</f>
        <v>0</v>
      </c>
      <c r="AH90" s="207">
        <f>SUMIFS('август 2023'!$G$4:$G$1022,'август 2023'!$D$4:$D$1022,$B90,'август 2023'!$J$4:$J$1022,AH$1)</f>
        <v>0</v>
      </c>
      <c r="AI90" s="170">
        <f t="shared" si="2"/>
        <v>0</v>
      </c>
    </row>
    <row r="91" spans="2:35" ht="15" customHeight="1" x14ac:dyDescent="0.25">
      <c r="B91" s="216" t="s">
        <v>2191</v>
      </c>
      <c r="C91" s="213">
        <v>200</v>
      </c>
      <c r="D91" s="207">
        <f>SUMIFS('август 2023'!$G$4:$G$1022,'август 2023'!$D$4:$D$1022,$B91,'август 2023'!$J$4:$J$1022,D$1)</f>
        <v>0</v>
      </c>
      <c r="E91" s="207">
        <f>SUMIFS('август 2023'!$G$4:$G$1022,'август 2023'!$D$4:$D$1022,$B91,'август 2023'!$J$4:$J$1022,E$1)</f>
        <v>0</v>
      </c>
      <c r="F91" s="207">
        <f>SUMIFS('август 2023'!$G$4:$G$1022,'август 2023'!$D$4:$D$1022,$B91,'август 2023'!$J$4:$J$1022,F$1)</f>
        <v>0</v>
      </c>
      <c r="G91" s="207">
        <f>SUMIFS('август 2023'!$G$4:$G$1022,'август 2023'!$D$4:$D$1022,$B91,'август 2023'!$J$4:$J$1022,G$1)</f>
        <v>0</v>
      </c>
      <c r="H91" s="207">
        <f>SUMIFS('август 2023'!$G$4:$G$1022,'август 2023'!$D$4:$D$1022,$B91,'август 2023'!$J$4:$J$1022,H$1)</f>
        <v>0</v>
      </c>
      <c r="I91" s="207">
        <f>SUMIFS('август 2023'!$G$4:$G$1022,'август 2023'!$D$4:$D$1022,$B91,'август 2023'!$J$4:$J$1022,I$1)</f>
        <v>0</v>
      </c>
      <c r="J91" s="207">
        <f>SUMIFS('август 2023'!$G$4:$G$1022,'август 2023'!$D$4:$D$1022,$B91,'август 2023'!$J$4:$J$1022,J$1)</f>
        <v>0</v>
      </c>
      <c r="K91" s="207">
        <f>SUMIFS('август 2023'!$G$4:$G$1022,'август 2023'!$D$4:$D$1022,$B91,'август 2023'!$J$4:$J$1022,K$1)</f>
        <v>0</v>
      </c>
      <c r="L91" s="207">
        <f>SUMIFS('август 2023'!$G$4:$G$1022,'август 2023'!$D$4:$D$1022,$B91,'август 2023'!$J$4:$J$1022,L$1)</f>
        <v>0</v>
      </c>
      <c r="M91" s="207">
        <f>SUMIFS('август 2023'!$G$4:$G$1022,'август 2023'!$D$4:$D$1022,$B91,'август 2023'!$J$4:$J$1022,M$1)</f>
        <v>0</v>
      </c>
      <c r="N91" s="207">
        <f>SUMIFS('август 2023'!$G$4:$G$1022,'август 2023'!$D$4:$D$1022,$B91,'август 2023'!$J$4:$J$1022,N$1)</f>
        <v>0</v>
      </c>
      <c r="O91" s="207">
        <f>SUMIFS('август 2023'!$G$4:$G$1022,'август 2023'!$D$4:$D$1022,$B91,'август 2023'!$J$4:$J$1022,O$1)</f>
        <v>0</v>
      </c>
      <c r="P91" s="207">
        <f>SUMIFS('август 2023'!$G$4:$G$1022,'август 2023'!$D$4:$D$1022,$B91,'август 2023'!$J$4:$J$1022,P$1)</f>
        <v>0</v>
      </c>
      <c r="Q91" s="207">
        <f>SUMIFS('август 2023'!$G$4:$G$1022,'август 2023'!$D$4:$D$1022,$B91,'август 2023'!$J$4:$J$1022,Q$1)</f>
        <v>0</v>
      </c>
      <c r="R91" s="207">
        <f>SUMIFS('август 2023'!$G$4:$G$1022,'август 2023'!$D$4:$D$1022,$B91,'август 2023'!$J$4:$J$1022,R$1)</f>
        <v>0</v>
      </c>
      <c r="S91" s="207">
        <f>SUMIFS('август 2023'!$G$4:$G$1022,'август 2023'!$D$4:$D$1022,$B91,'август 2023'!$J$4:$J$1022,S$1)</f>
        <v>0</v>
      </c>
      <c r="T91" s="207">
        <f>SUMIFS('август 2023'!$G$4:$G$1022,'август 2023'!$D$4:$D$1022,$B91,'август 2023'!$J$4:$J$1022,T$1)</f>
        <v>0</v>
      </c>
      <c r="U91" s="207">
        <f>SUMIFS('август 2023'!$G$4:$G$1022,'август 2023'!$D$4:$D$1022,$B91,'август 2023'!$J$4:$J$1022,U$1)</f>
        <v>0</v>
      </c>
      <c r="V91" s="207">
        <f>SUMIFS('август 2023'!$G$4:$G$1022,'август 2023'!$D$4:$D$1022,$B91,'август 2023'!$J$4:$J$1022,V$1)</f>
        <v>0</v>
      </c>
      <c r="W91" s="207">
        <f>SUMIFS('август 2023'!$G$4:$G$1022,'август 2023'!$D$4:$D$1022,$B91,'август 2023'!$J$4:$J$1022,W$1)</f>
        <v>0</v>
      </c>
      <c r="X91" s="207">
        <f>SUMIFS('август 2023'!$G$4:$G$1022,'август 2023'!$D$4:$D$1022,$B91,'август 2023'!$J$4:$J$1022,X$1)</f>
        <v>0</v>
      </c>
      <c r="Y91" s="207">
        <f>SUMIFS('август 2023'!$G$4:$G$1022,'август 2023'!$D$4:$D$1022,$B91,'август 2023'!$J$4:$J$1022,Y$1)</f>
        <v>0</v>
      </c>
      <c r="Z91" s="207">
        <f>SUMIFS('август 2023'!$G$4:$G$1022,'август 2023'!$D$4:$D$1022,$B91,'август 2023'!$J$4:$J$1022,Z$1)</f>
        <v>0</v>
      </c>
      <c r="AA91" s="207">
        <f>SUMIFS('август 2023'!$G$4:$G$1022,'август 2023'!$D$4:$D$1022,$B91,'август 2023'!$J$4:$J$1022,AA$1)</f>
        <v>0</v>
      </c>
      <c r="AB91" s="207">
        <f>SUMIFS('август 2023'!$G$4:$G$1022,'август 2023'!$D$4:$D$1022,$B91,'август 2023'!$J$4:$J$1022,AB$1)</f>
        <v>0</v>
      </c>
      <c r="AC91" s="207">
        <f>SUMIFS('август 2023'!$G$4:$G$1022,'август 2023'!$D$4:$D$1022,$B91,'август 2023'!$J$4:$J$1022,AC$1)</f>
        <v>0</v>
      </c>
      <c r="AD91" s="207">
        <f>SUMIFS('август 2023'!$G$4:$G$1022,'август 2023'!$D$4:$D$1022,$B91,'август 2023'!$J$4:$J$1022,AD$1)</f>
        <v>0</v>
      </c>
      <c r="AE91" s="207">
        <f>SUMIFS('август 2023'!$G$4:$G$1022,'август 2023'!$D$4:$D$1022,$B91,'август 2023'!$J$4:$J$1022,AE$1)</f>
        <v>0</v>
      </c>
      <c r="AF91" s="207">
        <f>SUMIFS('август 2023'!$G$4:$G$1022,'август 2023'!$D$4:$D$1022,$B91,'август 2023'!$J$4:$J$1022,AF$1)</f>
        <v>0</v>
      </c>
      <c r="AG91" s="207">
        <f>SUMIFS('август 2023'!$G$4:$G$1022,'август 2023'!$D$4:$D$1022,$B91,'август 2023'!$J$4:$J$1022,AG$1)</f>
        <v>0</v>
      </c>
      <c r="AH91" s="207">
        <f>SUMIFS('август 2023'!$G$4:$G$1022,'август 2023'!$D$4:$D$1022,$B91,'август 2023'!$J$4:$J$1022,AH$1)</f>
        <v>0</v>
      </c>
      <c r="AI91" s="170">
        <f t="shared" si="2"/>
        <v>0</v>
      </c>
    </row>
    <row r="92" spans="2:35" ht="15" customHeight="1" x14ac:dyDescent="0.25">
      <c r="B92" s="216" t="s">
        <v>898</v>
      </c>
      <c r="C92" s="213">
        <v>200</v>
      </c>
      <c r="D92" s="207">
        <f>SUMIFS('август 2023'!$G$4:$G$1022,'август 2023'!$D$4:$D$1022,$B92,'август 2023'!$J$4:$J$1022,D$1)</f>
        <v>0</v>
      </c>
      <c r="E92" s="207">
        <f>SUMIFS('август 2023'!$G$4:$G$1022,'август 2023'!$D$4:$D$1022,$B92,'август 2023'!$J$4:$J$1022,E$1)</f>
        <v>0</v>
      </c>
      <c r="F92" s="207">
        <f>SUMIFS('август 2023'!$G$4:$G$1022,'август 2023'!$D$4:$D$1022,$B92,'август 2023'!$J$4:$J$1022,F$1)</f>
        <v>0</v>
      </c>
      <c r="G92" s="207">
        <f>SUMIFS('август 2023'!$G$4:$G$1022,'август 2023'!$D$4:$D$1022,$B92,'август 2023'!$J$4:$J$1022,G$1)</f>
        <v>0</v>
      </c>
      <c r="H92" s="207">
        <f>SUMIFS('август 2023'!$G$4:$G$1022,'август 2023'!$D$4:$D$1022,$B92,'август 2023'!$J$4:$J$1022,H$1)</f>
        <v>0</v>
      </c>
      <c r="I92" s="207">
        <f>SUMIFS('август 2023'!$G$4:$G$1022,'август 2023'!$D$4:$D$1022,$B92,'август 2023'!$J$4:$J$1022,I$1)</f>
        <v>0</v>
      </c>
      <c r="J92" s="207">
        <f>SUMIFS('август 2023'!$G$4:$G$1022,'август 2023'!$D$4:$D$1022,$B92,'август 2023'!$J$4:$J$1022,J$1)</f>
        <v>0</v>
      </c>
      <c r="K92" s="207">
        <f>SUMIFS('август 2023'!$G$4:$G$1022,'август 2023'!$D$4:$D$1022,$B92,'август 2023'!$J$4:$J$1022,K$1)</f>
        <v>0</v>
      </c>
      <c r="L92" s="207">
        <f>SUMIFS('август 2023'!$G$4:$G$1022,'август 2023'!$D$4:$D$1022,$B92,'август 2023'!$J$4:$J$1022,L$1)</f>
        <v>0</v>
      </c>
      <c r="M92" s="207">
        <f>SUMIFS('август 2023'!$G$4:$G$1022,'август 2023'!$D$4:$D$1022,$B92,'август 2023'!$J$4:$J$1022,M$1)</f>
        <v>0</v>
      </c>
      <c r="N92" s="207">
        <f>SUMIFS('август 2023'!$G$4:$G$1022,'август 2023'!$D$4:$D$1022,$B92,'август 2023'!$J$4:$J$1022,N$1)</f>
        <v>0</v>
      </c>
      <c r="O92" s="207">
        <f>SUMIFS('август 2023'!$G$4:$G$1022,'август 2023'!$D$4:$D$1022,$B92,'август 2023'!$J$4:$J$1022,O$1)</f>
        <v>0</v>
      </c>
      <c r="P92" s="207">
        <f>SUMIFS('август 2023'!$G$4:$G$1022,'август 2023'!$D$4:$D$1022,$B92,'август 2023'!$J$4:$J$1022,P$1)</f>
        <v>0</v>
      </c>
      <c r="Q92" s="207">
        <f>SUMIFS('август 2023'!$G$4:$G$1022,'август 2023'!$D$4:$D$1022,$B92,'август 2023'!$J$4:$J$1022,Q$1)</f>
        <v>0</v>
      </c>
      <c r="R92" s="207">
        <f>SUMIFS('август 2023'!$G$4:$G$1022,'август 2023'!$D$4:$D$1022,$B92,'август 2023'!$J$4:$J$1022,R$1)</f>
        <v>0</v>
      </c>
      <c r="S92" s="207">
        <f>SUMIFS('август 2023'!$G$4:$G$1022,'август 2023'!$D$4:$D$1022,$B92,'август 2023'!$J$4:$J$1022,S$1)</f>
        <v>0</v>
      </c>
      <c r="T92" s="207">
        <f>SUMIFS('август 2023'!$G$4:$G$1022,'август 2023'!$D$4:$D$1022,$B92,'август 2023'!$J$4:$J$1022,T$1)</f>
        <v>0</v>
      </c>
      <c r="U92" s="207">
        <f>SUMIFS('август 2023'!$G$4:$G$1022,'август 2023'!$D$4:$D$1022,$B92,'август 2023'!$J$4:$J$1022,U$1)</f>
        <v>0</v>
      </c>
      <c r="V92" s="207">
        <f>SUMIFS('август 2023'!$G$4:$G$1022,'август 2023'!$D$4:$D$1022,$B92,'август 2023'!$J$4:$J$1022,V$1)</f>
        <v>0</v>
      </c>
      <c r="W92" s="207">
        <f>SUMIFS('август 2023'!$G$4:$G$1022,'август 2023'!$D$4:$D$1022,$B92,'август 2023'!$J$4:$J$1022,W$1)</f>
        <v>0</v>
      </c>
      <c r="X92" s="207">
        <f>SUMIFS('август 2023'!$G$4:$G$1022,'август 2023'!$D$4:$D$1022,$B92,'август 2023'!$J$4:$J$1022,X$1)</f>
        <v>0</v>
      </c>
      <c r="Y92" s="207">
        <f>SUMIFS('август 2023'!$G$4:$G$1022,'август 2023'!$D$4:$D$1022,$B92,'август 2023'!$J$4:$J$1022,Y$1)</f>
        <v>0</v>
      </c>
      <c r="Z92" s="207">
        <f>SUMIFS('август 2023'!$G$4:$G$1022,'август 2023'!$D$4:$D$1022,$B92,'август 2023'!$J$4:$J$1022,Z$1)</f>
        <v>0</v>
      </c>
      <c r="AA92" s="207">
        <f>SUMIFS('август 2023'!$G$4:$G$1022,'август 2023'!$D$4:$D$1022,$B92,'август 2023'!$J$4:$J$1022,AA$1)</f>
        <v>0</v>
      </c>
      <c r="AB92" s="207">
        <f>SUMIFS('август 2023'!$G$4:$G$1022,'август 2023'!$D$4:$D$1022,$B92,'август 2023'!$J$4:$J$1022,AB$1)</f>
        <v>0</v>
      </c>
      <c r="AC92" s="207">
        <f>SUMIFS('август 2023'!$G$4:$G$1022,'август 2023'!$D$4:$D$1022,$B92,'август 2023'!$J$4:$J$1022,AC$1)</f>
        <v>0</v>
      </c>
      <c r="AD92" s="207">
        <f>SUMIFS('август 2023'!$G$4:$G$1022,'август 2023'!$D$4:$D$1022,$B92,'август 2023'!$J$4:$J$1022,AD$1)</f>
        <v>0</v>
      </c>
      <c r="AE92" s="207">
        <f>SUMIFS('август 2023'!$G$4:$G$1022,'август 2023'!$D$4:$D$1022,$B92,'август 2023'!$J$4:$J$1022,AE$1)</f>
        <v>0</v>
      </c>
      <c r="AF92" s="207">
        <f>SUMIFS('август 2023'!$G$4:$G$1022,'август 2023'!$D$4:$D$1022,$B92,'август 2023'!$J$4:$J$1022,AF$1)</f>
        <v>0</v>
      </c>
      <c r="AG92" s="207">
        <f>SUMIFS('август 2023'!$G$4:$G$1022,'август 2023'!$D$4:$D$1022,$B92,'август 2023'!$J$4:$J$1022,AG$1)</f>
        <v>0</v>
      </c>
      <c r="AH92" s="207">
        <f>SUMIFS('август 2023'!$G$4:$G$1022,'август 2023'!$D$4:$D$1022,$B92,'август 2023'!$J$4:$J$1022,AH$1)</f>
        <v>0</v>
      </c>
      <c r="AI92" s="170">
        <f t="shared" si="2"/>
        <v>0</v>
      </c>
    </row>
    <row r="93" spans="2:35" ht="15" customHeight="1" x14ac:dyDescent="0.25">
      <c r="B93" s="216" t="s">
        <v>1725</v>
      </c>
      <c r="C93" s="213">
        <v>180</v>
      </c>
      <c r="D93" s="207">
        <f>SUMIFS('август 2023'!$G$4:$G$1022,'август 2023'!$D$4:$D$1022,$B93,'август 2023'!$J$4:$J$1022,D$1)</f>
        <v>0</v>
      </c>
      <c r="E93" s="207">
        <f>SUMIFS('август 2023'!$G$4:$G$1022,'август 2023'!$D$4:$D$1022,$B93,'август 2023'!$J$4:$J$1022,E$1)</f>
        <v>0</v>
      </c>
      <c r="F93" s="207">
        <f>SUMIFS('август 2023'!$G$4:$G$1022,'август 2023'!$D$4:$D$1022,$B93,'август 2023'!$J$4:$J$1022,F$1)</f>
        <v>0</v>
      </c>
      <c r="G93" s="207">
        <f>SUMIFS('август 2023'!$G$4:$G$1022,'август 2023'!$D$4:$D$1022,$B93,'август 2023'!$J$4:$J$1022,G$1)</f>
        <v>0</v>
      </c>
      <c r="H93" s="207">
        <f>SUMIFS('август 2023'!$G$4:$G$1022,'август 2023'!$D$4:$D$1022,$B93,'август 2023'!$J$4:$J$1022,H$1)</f>
        <v>0</v>
      </c>
      <c r="I93" s="207">
        <f>SUMIFS('август 2023'!$G$4:$G$1022,'август 2023'!$D$4:$D$1022,$B93,'август 2023'!$J$4:$J$1022,I$1)</f>
        <v>0</v>
      </c>
      <c r="J93" s="207">
        <f>SUMIFS('август 2023'!$G$4:$G$1022,'август 2023'!$D$4:$D$1022,$B93,'август 2023'!$J$4:$J$1022,J$1)</f>
        <v>0</v>
      </c>
      <c r="K93" s="207">
        <f>SUMIFS('август 2023'!$G$4:$G$1022,'август 2023'!$D$4:$D$1022,$B93,'август 2023'!$J$4:$J$1022,K$1)</f>
        <v>0</v>
      </c>
      <c r="L93" s="207">
        <f>SUMIFS('август 2023'!$G$4:$G$1022,'август 2023'!$D$4:$D$1022,$B93,'август 2023'!$J$4:$J$1022,L$1)</f>
        <v>0</v>
      </c>
      <c r="M93" s="207">
        <f>SUMIFS('август 2023'!$G$4:$G$1022,'август 2023'!$D$4:$D$1022,$B93,'август 2023'!$J$4:$J$1022,M$1)</f>
        <v>0</v>
      </c>
      <c r="N93" s="207">
        <f>SUMIFS('август 2023'!$G$4:$G$1022,'август 2023'!$D$4:$D$1022,$B93,'август 2023'!$J$4:$J$1022,N$1)</f>
        <v>0</v>
      </c>
      <c r="O93" s="207">
        <f>SUMIFS('август 2023'!$G$4:$G$1022,'август 2023'!$D$4:$D$1022,$B93,'август 2023'!$J$4:$J$1022,O$1)</f>
        <v>0</v>
      </c>
      <c r="P93" s="207">
        <f>SUMIFS('август 2023'!$G$4:$G$1022,'август 2023'!$D$4:$D$1022,$B93,'август 2023'!$J$4:$J$1022,P$1)</f>
        <v>0</v>
      </c>
      <c r="Q93" s="207">
        <f>SUMIFS('август 2023'!$G$4:$G$1022,'август 2023'!$D$4:$D$1022,$B93,'август 2023'!$J$4:$J$1022,Q$1)</f>
        <v>0</v>
      </c>
      <c r="R93" s="207">
        <f>SUMIFS('август 2023'!$G$4:$G$1022,'август 2023'!$D$4:$D$1022,$B93,'август 2023'!$J$4:$J$1022,R$1)</f>
        <v>0</v>
      </c>
      <c r="S93" s="207">
        <f>SUMIFS('август 2023'!$G$4:$G$1022,'август 2023'!$D$4:$D$1022,$B93,'август 2023'!$J$4:$J$1022,S$1)</f>
        <v>0</v>
      </c>
      <c r="T93" s="207">
        <f>SUMIFS('август 2023'!$G$4:$G$1022,'август 2023'!$D$4:$D$1022,$B93,'август 2023'!$J$4:$J$1022,T$1)</f>
        <v>0</v>
      </c>
      <c r="U93" s="207">
        <f>SUMIFS('август 2023'!$G$4:$G$1022,'август 2023'!$D$4:$D$1022,$B93,'август 2023'!$J$4:$J$1022,U$1)</f>
        <v>0</v>
      </c>
      <c r="V93" s="207">
        <f>SUMIFS('август 2023'!$G$4:$G$1022,'август 2023'!$D$4:$D$1022,$B93,'август 2023'!$J$4:$J$1022,V$1)</f>
        <v>0</v>
      </c>
      <c r="W93" s="207">
        <f>SUMIFS('август 2023'!$G$4:$G$1022,'август 2023'!$D$4:$D$1022,$B93,'август 2023'!$J$4:$J$1022,W$1)</f>
        <v>0</v>
      </c>
      <c r="X93" s="207">
        <f>SUMIFS('август 2023'!$G$4:$G$1022,'август 2023'!$D$4:$D$1022,$B93,'август 2023'!$J$4:$J$1022,X$1)</f>
        <v>0</v>
      </c>
      <c r="Y93" s="207">
        <f>SUMIFS('август 2023'!$G$4:$G$1022,'август 2023'!$D$4:$D$1022,$B93,'август 2023'!$J$4:$J$1022,Y$1)</f>
        <v>0</v>
      </c>
      <c r="Z93" s="207">
        <f>SUMIFS('август 2023'!$G$4:$G$1022,'август 2023'!$D$4:$D$1022,$B93,'август 2023'!$J$4:$J$1022,Z$1)</f>
        <v>0</v>
      </c>
      <c r="AA93" s="207">
        <f>SUMIFS('август 2023'!$G$4:$G$1022,'август 2023'!$D$4:$D$1022,$B93,'август 2023'!$J$4:$J$1022,AA$1)</f>
        <v>0</v>
      </c>
      <c r="AB93" s="207">
        <f>SUMIFS('август 2023'!$G$4:$G$1022,'август 2023'!$D$4:$D$1022,$B93,'август 2023'!$J$4:$J$1022,AB$1)</f>
        <v>0</v>
      </c>
      <c r="AC93" s="207">
        <f>SUMIFS('август 2023'!$G$4:$G$1022,'август 2023'!$D$4:$D$1022,$B93,'август 2023'!$J$4:$J$1022,AC$1)</f>
        <v>0</v>
      </c>
      <c r="AD93" s="207">
        <f>SUMIFS('август 2023'!$G$4:$G$1022,'август 2023'!$D$4:$D$1022,$B93,'август 2023'!$J$4:$J$1022,AD$1)</f>
        <v>0</v>
      </c>
      <c r="AE93" s="207">
        <f>SUMIFS('август 2023'!$G$4:$G$1022,'август 2023'!$D$4:$D$1022,$B93,'август 2023'!$J$4:$J$1022,AE$1)</f>
        <v>0</v>
      </c>
      <c r="AF93" s="207">
        <f>SUMIFS('август 2023'!$G$4:$G$1022,'август 2023'!$D$4:$D$1022,$B93,'август 2023'!$J$4:$J$1022,AF$1)</f>
        <v>0</v>
      </c>
      <c r="AG93" s="207">
        <f>SUMIFS('август 2023'!$G$4:$G$1022,'август 2023'!$D$4:$D$1022,$B93,'август 2023'!$J$4:$J$1022,AG$1)</f>
        <v>0</v>
      </c>
      <c r="AH93" s="207">
        <f>SUMIFS('август 2023'!$G$4:$G$1022,'август 2023'!$D$4:$D$1022,$B93,'август 2023'!$J$4:$J$1022,AH$1)</f>
        <v>0</v>
      </c>
      <c r="AI93" s="170">
        <f t="shared" si="2"/>
        <v>0</v>
      </c>
    </row>
    <row r="94" spans="2:35" ht="15" customHeight="1" x14ac:dyDescent="0.25">
      <c r="B94" s="212" t="s">
        <v>864</v>
      </c>
      <c r="C94" s="211">
        <v>18</v>
      </c>
      <c r="D94" s="207">
        <f>SUMIFS('август 2023'!$G$4:$G$1022,'август 2023'!$D$4:$D$1022,$B94,'август 2023'!$J$4:$J$1022,D$1)</f>
        <v>0</v>
      </c>
      <c r="E94" s="207">
        <f>SUMIFS('август 2023'!$G$4:$G$1022,'август 2023'!$D$4:$D$1022,$B94,'август 2023'!$J$4:$J$1022,E$1)</f>
        <v>0</v>
      </c>
      <c r="F94" s="207">
        <f>SUMIFS('август 2023'!$G$4:$G$1022,'август 2023'!$D$4:$D$1022,$B94,'август 2023'!$J$4:$J$1022,F$1)</f>
        <v>0</v>
      </c>
      <c r="G94" s="207">
        <f>SUMIFS('август 2023'!$G$4:$G$1022,'август 2023'!$D$4:$D$1022,$B94,'август 2023'!$J$4:$J$1022,G$1)</f>
        <v>0</v>
      </c>
      <c r="H94" s="207">
        <f>SUMIFS('август 2023'!$G$4:$G$1022,'август 2023'!$D$4:$D$1022,$B94,'август 2023'!$J$4:$J$1022,H$1)</f>
        <v>0</v>
      </c>
      <c r="I94" s="207">
        <f>SUMIFS('август 2023'!$G$4:$G$1022,'август 2023'!$D$4:$D$1022,$B94,'август 2023'!$J$4:$J$1022,I$1)</f>
        <v>0</v>
      </c>
      <c r="J94" s="207">
        <f>SUMIFS('август 2023'!$G$4:$G$1022,'август 2023'!$D$4:$D$1022,$B94,'август 2023'!$J$4:$J$1022,J$1)</f>
        <v>0</v>
      </c>
      <c r="K94" s="207">
        <f>SUMIFS('август 2023'!$G$4:$G$1022,'август 2023'!$D$4:$D$1022,$B94,'август 2023'!$J$4:$J$1022,K$1)</f>
        <v>0</v>
      </c>
      <c r="L94" s="207">
        <f>SUMIFS('август 2023'!$G$4:$G$1022,'август 2023'!$D$4:$D$1022,$B94,'август 2023'!$J$4:$J$1022,L$1)</f>
        <v>0</v>
      </c>
      <c r="M94" s="207">
        <f>SUMIFS('август 2023'!$G$4:$G$1022,'август 2023'!$D$4:$D$1022,$B94,'август 2023'!$J$4:$J$1022,M$1)</f>
        <v>0</v>
      </c>
      <c r="N94" s="207">
        <f>SUMIFS('август 2023'!$G$4:$G$1022,'август 2023'!$D$4:$D$1022,$B94,'август 2023'!$J$4:$J$1022,N$1)</f>
        <v>0</v>
      </c>
      <c r="O94" s="207">
        <f>SUMIFS('август 2023'!$G$4:$G$1022,'август 2023'!$D$4:$D$1022,$B94,'август 2023'!$J$4:$J$1022,O$1)</f>
        <v>0</v>
      </c>
      <c r="P94" s="207">
        <f>SUMIFS('август 2023'!$G$4:$G$1022,'август 2023'!$D$4:$D$1022,$B94,'август 2023'!$J$4:$J$1022,P$1)</f>
        <v>0</v>
      </c>
      <c r="Q94" s="207">
        <f>SUMIFS('август 2023'!$G$4:$G$1022,'август 2023'!$D$4:$D$1022,$B94,'август 2023'!$J$4:$J$1022,Q$1)</f>
        <v>0</v>
      </c>
      <c r="R94" s="207">
        <f>SUMIFS('август 2023'!$G$4:$G$1022,'август 2023'!$D$4:$D$1022,$B94,'август 2023'!$J$4:$J$1022,R$1)</f>
        <v>0</v>
      </c>
      <c r="S94" s="207">
        <f>SUMIFS('август 2023'!$G$4:$G$1022,'август 2023'!$D$4:$D$1022,$B94,'август 2023'!$J$4:$J$1022,S$1)</f>
        <v>0</v>
      </c>
      <c r="T94" s="207">
        <f>SUMIFS('август 2023'!$G$4:$G$1022,'август 2023'!$D$4:$D$1022,$B94,'август 2023'!$J$4:$J$1022,T$1)</f>
        <v>0</v>
      </c>
      <c r="U94" s="207">
        <f>SUMIFS('август 2023'!$G$4:$G$1022,'август 2023'!$D$4:$D$1022,$B94,'август 2023'!$J$4:$J$1022,U$1)</f>
        <v>0</v>
      </c>
      <c r="V94" s="207">
        <f>SUMIFS('август 2023'!$G$4:$G$1022,'август 2023'!$D$4:$D$1022,$B94,'август 2023'!$J$4:$J$1022,V$1)</f>
        <v>0</v>
      </c>
      <c r="W94" s="207">
        <f>SUMIFS('август 2023'!$G$4:$G$1022,'август 2023'!$D$4:$D$1022,$B94,'август 2023'!$J$4:$J$1022,W$1)</f>
        <v>0</v>
      </c>
      <c r="X94" s="207">
        <f>SUMIFS('август 2023'!$G$4:$G$1022,'август 2023'!$D$4:$D$1022,$B94,'август 2023'!$J$4:$J$1022,X$1)</f>
        <v>556</v>
      </c>
      <c r="Y94" s="207">
        <f>SUMIFS('август 2023'!$G$4:$G$1022,'август 2023'!$D$4:$D$1022,$B94,'август 2023'!$J$4:$J$1022,Y$1)</f>
        <v>0</v>
      </c>
      <c r="Z94" s="207">
        <f>SUMIFS('август 2023'!$G$4:$G$1022,'август 2023'!$D$4:$D$1022,$B94,'август 2023'!$J$4:$J$1022,Z$1)</f>
        <v>0</v>
      </c>
      <c r="AA94" s="207">
        <f>SUMIFS('август 2023'!$G$4:$G$1022,'август 2023'!$D$4:$D$1022,$B94,'август 2023'!$J$4:$J$1022,AA$1)</f>
        <v>0</v>
      </c>
      <c r="AB94" s="207">
        <f>SUMIFS('август 2023'!$G$4:$G$1022,'август 2023'!$D$4:$D$1022,$B94,'август 2023'!$J$4:$J$1022,AB$1)</f>
        <v>0</v>
      </c>
      <c r="AC94" s="207">
        <f>SUMIFS('август 2023'!$G$4:$G$1022,'август 2023'!$D$4:$D$1022,$B94,'август 2023'!$J$4:$J$1022,AC$1)</f>
        <v>0</v>
      </c>
      <c r="AD94" s="207">
        <f>SUMIFS('август 2023'!$G$4:$G$1022,'август 2023'!$D$4:$D$1022,$B94,'август 2023'!$J$4:$J$1022,AD$1)</f>
        <v>0</v>
      </c>
      <c r="AE94" s="207">
        <f>SUMIFS('август 2023'!$G$4:$G$1022,'август 2023'!$D$4:$D$1022,$B94,'август 2023'!$J$4:$J$1022,AE$1)</f>
        <v>0</v>
      </c>
      <c r="AF94" s="207">
        <f>SUMIFS('август 2023'!$G$4:$G$1022,'август 2023'!$D$4:$D$1022,$B94,'август 2023'!$J$4:$J$1022,AF$1)</f>
        <v>0</v>
      </c>
      <c r="AG94" s="207">
        <f>SUMIFS('август 2023'!$G$4:$G$1022,'август 2023'!$D$4:$D$1022,$B94,'август 2023'!$J$4:$J$1022,AG$1)</f>
        <v>0</v>
      </c>
      <c r="AH94" s="207">
        <f>SUMIFS('август 2023'!$G$4:$G$1022,'август 2023'!$D$4:$D$1022,$B94,'август 2023'!$J$4:$J$1022,AH$1)</f>
        <v>0</v>
      </c>
      <c r="AI94" s="170">
        <f t="shared" si="2"/>
        <v>556</v>
      </c>
    </row>
    <row r="95" spans="2:35" ht="15" customHeight="1" x14ac:dyDescent="0.25">
      <c r="B95" s="216" t="s">
        <v>610</v>
      </c>
      <c r="C95" s="213">
        <v>180</v>
      </c>
      <c r="D95" s="207">
        <f>SUMIFS('август 2023'!$G$4:$G$1022,'август 2023'!$D$4:$D$1022,$B95,'август 2023'!$J$4:$J$1022,D$1)</f>
        <v>0</v>
      </c>
      <c r="E95" s="207">
        <f>SUMIFS('август 2023'!$G$4:$G$1022,'август 2023'!$D$4:$D$1022,$B95,'август 2023'!$J$4:$J$1022,E$1)</f>
        <v>0</v>
      </c>
      <c r="F95" s="207">
        <f>SUMIFS('август 2023'!$G$4:$G$1022,'август 2023'!$D$4:$D$1022,$B95,'август 2023'!$J$4:$J$1022,F$1)</f>
        <v>0</v>
      </c>
      <c r="G95" s="207">
        <f>SUMIFS('август 2023'!$G$4:$G$1022,'август 2023'!$D$4:$D$1022,$B95,'август 2023'!$J$4:$J$1022,G$1)</f>
        <v>0</v>
      </c>
      <c r="H95" s="207">
        <f>SUMIFS('август 2023'!$G$4:$G$1022,'август 2023'!$D$4:$D$1022,$B95,'август 2023'!$J$4:$J$1022,H$1)</f>
        <v>0</v>
      </c>
      <c r="I95" s="207">
        <f>SUMIFS('август 2023'!$G$4:$G$1022,'август 2023'!$D$4:$D$1022,$B95,'август 2023'!$J$4:$J$1022,I$1)</f>
        <v>0</v>
      </c>
      <c r="J95" s="207">
        <f>SUMIFS('август 2023'!$G$4:$G$1022,'август 2023'!$D$4:$D$1022,$B95,'август 2023'!$J$4:$J$1022,J$1)</f>
        <v>0</v>
      </c>
      <c r="K95" s="207">
        <f>SUMIFS('август 2023'!$G$4:$G$1022,'август 2023'!$D$4:$D$1022,$B95,'август 2023'!$J$4:$J$1022,K$1)</f>
        <v>0</v>
      </c>
      <c r="L95" s="207">
        <f>SUMIFS('август 2023'!$G$4:$G$1022,'август 2023'!$D$4:$D$1022,$B95,'август 2023'!$J$4:$J$1022,L$1)</f>
        <v>0</v>
      </c>
      <c r="M95" s="207">
        <f>SUMIFS('август 2023'!$G$4:$G$1022,'август 2023'!$D$4:$D$1022,$B95,'август 2023'!$J$4:$J$1022,M$1)</f>
        <v>0</v>
      </c>
      <c r="N95" s="207">
        <f>SUMIFS('август 2023'!$G$4:$G$1022,'август 2023'!$D$4:$D$1022,$B95,'август 2023'!$J$4:$J$1022,N$1)</f>
        <v>0</v>
      </c>
      <c r="O95" s="207">
        <f>SUMIFS('август 2023'!$G$4:$G$1022,'август 2023'!$D$4:$D$1022,$B95,'август 2023'!$J$4:$J$1022,O$1)</f>
        <v>0</v>
      </c>
      <c r="P95" s="207">
        <f>SUMIFS('август 2023'!$G$4:$G$1022,'август 2023'!$D$4:$D$1022,$B95,'август 2023'!$J$4:$J$1022,P$1)</f>
        <v>0</v>
      </c>
      <c r="Q95" s="207">
        <f>SUMIFS('август 2023'!$G$4:$G$1022,'август 2023'!$D$4:$D$1022,$B95,'август 2023'!$J$4:$J$1022,Q$1)</f>
        <v>0</v>
      </c>
      <c r="R95" s="207">
        <f>SUMIFS('август 2023'!$G$4:$G$1022,'август 2023'!$D$4:$D$1022,$B95,'август 2023'!$J$4:$J$1022,R$1)</f>
        <v>0</v>
      </c>
      <c r="S95" s="207">
        <f>SUMIFS('август 2023'!$G$4:$G$1022,'август 2023'!$D$4:$D$1022,$B95,'август 2023'!$J$4:$J$1022,S$1)</f>
        <v>0</v>
      </c>
      <c r="T95" s="207">
        <f>SUMIFS('август 2023'!$G$4:$G$1022,'август 2023'!$D$4:$D$1022,$B95,'август 2023'!$J$4:$J$1022,T$1)</f>
        <v>0</v>
      </c>
      <c r="U95" s="207">
        <f>SUMIFS('август 2023'!$G$4:$G$1022,'август 2023'!$D$4:$D$1022,$B95,'август 2023'!$J$4:$J$1022,U$1)</f>
        <v>0</v>
      </c>
      <c r="V95" s="207">
        <f>SUMIFS('август 2023'!$G$4:$G$1022,'август 2023'!$D$4:$D$1022,$B95,'август 2023'!$J$4:$J$1022,V$1)</f>
        <v>0</v>
      </c>
      <c r="W95" s="207">
        <f>SUMIFS('август 2023'!$G$4:$G$1022,'август 2023'!$D$4:$D$1022,$B95,'август 2023'!$J$4:$J$1022,W$1)</f>
        <v>0</v>
      </c>
      <c r="X95" s="207">
        <f>SUMIFS('август 2023'!$G$4:$G$1022,'август 2023'!$D$4:$D$1022,$B95,'август 2023'!$J$4:$J$1022,X$1)</f>
        <v>0</v>
      </c>
      <c r="Y95" s="207">
        <f>SUMIFS('август 2023'!$G$4:$G$1022,'август 2023'!$D$4:$D$1022,$B95,'август 2023'!$J$4:$J$1022,Y$1)</f>
        <v>0</v>
      </c>
      <c r="Z95" s="207">
        <f>SUMIFS('август 2023'!$G$4:$G$1022,'август 2023'!$D$4:$D$1022,$B95,'август 2023'!$J$4:$J$1022,Z$1)</f>
        <v>0</v>
      </c>
      <c r="AA95" s="207">
        <f>SUMIFS('август 2023'!$G$4:$G$1022,'август 2023'!$D$4:$D$1022,$B95,'август 2023'!$J$4:$J$1022,AA$1)</f>
        <v>0</v>
      </c>
      <c r="AB95" s="207">
        <f>SUMIFS('август 2023'!$G$4:$G$1022,'август 2023'!$D$4:$D$1022,$B95,'август 2023'!$J$4:$J$1022,AB$1)</f>
        <v>0</v>
      </c>
      <c r="AC95" s="207">
        <f>SUMIFS('август 2023'!$G$4:$G$1022,'август 2023'!$D$4:$D$1022,$B95,'август 2023'!$J$4:$J$1022,AC$1)</f>
        <v>0</v>
      </c>
      <c r="AD95" s="207">
        <f>SUMIFS('август 2023'!$G$4:$G$1022,'август 2023'!$D$4:$D$1022,$B95,'август 2023'!$J$4:$J$1022,AD$1)</f>
        <v>0</v>
      </c>
      <c r="AE95" s="207">
        <f>SUMIFS('август 2023'!$G$4:$G$1022,'август 2023'!$D$4:$D$1022,$B95,'август 2023'!$J$4:$J$1022,AE$1)</f>
        <v>0</v>
      </c>
      <c r="AF95" s="207">
        <f>SUMIFS('август 2023'!$G$4:$G$1022,'август 2023'!$D$4:$D$1022,$B95,'август 2023'!$J$4:$J$1022,AF$1)</f>
        <v>0</v>
      </c>
      <c r="AG95" s="207">
        <f>SUMIFS('август 2023'!$G$4:$G$1022,'август 2023'!$D$4:$D$1022,$B95,'август 2023'!$J$4:$J$1022,AG$1)</f>
        <v>0</v>
      </c>
      <c r="AH95" s="207">
        <f>SUMIFS('август 2023'!$G$4:$G$1022,'август 2023'!$D$4:$D$1022,$B95,'август 2023'!$J$4:$J$1022,AH$1)</f>
        <v>0</v>
      </c>
      <c r="AI95" s="170">
        <f t="shared" si="2"/>
        <v>0</v>
      </c>
    </row>
    <row r="96" spans="2:35" ht="15" customHeight="1" x14ac:dyDescent="0.25">
      <c r="B96" s="216" t="s">
        <v>2192</v>
      </c>
      <c r="C96" s="213">
        <v>200</v>
      </c>
      <c r="D96" s="207">
        <f>SUMIFS('август 2023'!$G$4:$G$1022,'август 2023'!$D$4:$D$1022,$B96,'август 2023'!$J$4:$J$1022,D$1)</f>
        <v>0</v>
      </c>
      <c r="E96" s="207">
        <f>SUMIFS('август 2023'!$G$4:$G$1022,'август 2023'!$D$4:$D$1022,$B96,'август 2023'!$J$4:$J$1022,E$1)</f>
        <v>0</v>
      </c>
      <c r="F96" s="207">
        <f>SUMIFS('август 2023'!$G$4:$G$1022,'август 2023'!$D$4:$D$1022,$B96,'август 2023'!$J$4:$J$1022,F$1)</f>
        <v>0</v>
      </c>
      <c r="G96" s="207">
        <f>SUMIFS('август 2023'!$G$4:$G$1022,'август 2023'!$D$4:$D$1022,$B96,'август 2023'!$J$4:$J$1022,G$1)</f>
        <v>0</v>
      </c>
      <c r="H96" s="207">
        <f>SUMIFS('август 2023'!$G$4:$G$1022,'август 2023'!$D$4:$D$1022,$B96,'август 2023'!$J$4:$J$1022,H$1)</f>
        <v>0</v>
      </c>
      <c r="I96" s="207">
        <f>SUMIFS('август 2023'!$G$4:$G$1022,'август 2023'!$D$4:$D$1022,$B96,'август 2023'!$J$4:$J$1022,I$1)</f>
        <v>0</v>
      </c>
      <c r="J96" s="207">
        <f>SUMIFS('август 2023'!$G$4:$G$1022,'август 2023'!$D$4:$D$1022,$B96,'август 2023'!$J$4:$J$1022,J$1)</f>
        <v>0</v>
      </c>
      <c r="K96" s="207">
        <f>SUMIFS('август 2023'!$G$4:$G$1022,'август 2023'!$D$4:$D$1022,$B96,'август 2023'!$J$4:$J$1022,K$1)</f>
        <v>0</v>
      </c>
      <c r="L96" s="207">
        <f>SUMIFS('август 2023'!$G$4:$G$1022,'август 2023'!$D$4:$D$1022,$B96,'август 2023'!$J$4:$J$1022,L$1)</f>
        <v>0</v>
      </c>
      <c r="M96" s="207">
        <f>SUMIFS('август 2023'!$G$4:$G$1022,'август 2023'!$D$4:$D$1022,$B96,'август 2023'!$J$4:$J$1022,M$1)</f>
        <v>0</v>
      </c>
      <c r="N96" s="207">
        <f>SUMIFS('август 2023'!$G$4:$G$1022,'август 2023'!$D$4:$D$1022,$B96,'август 2023'!$J$4:$J$1022,N$1)</f>
        <v>0</v>
      </c>
      <c r="O96" s="207">
        <f>SUMIFS('август 2023'!$G$4:$G$1022,'август 2023'!$D$4:$D$1022,$B96,'август 2023'!$J$4:$J$1022,O$1)</f>
        <v>0</v>
      </c>
      <c r="P96" s="207">
        <f>SUMIFS('август 2023'!$G$4:$G$1022,'август 2023'!$D$4:$D$1022,$B96,'август 2023'!$J$4:$J$1022,P$1)</f>
        <v>0</v>
      </c>
      <c r="Q96" s="207">
        <f>SUMIFS('август 2023'!$G$4:$G$1022,'август 2023'!$D$4:$D$1022,$B96,'август 2023'!$J$4:$J$1022,Q$1)</f>
        <v>0</v>
      </c>
      <c r="R96" s="207">
        <f>SUMIFS('август 2023'!$G$4:$G$1022,'август 2023'!$D$4:$D$1022,$B96,'август 2023'!$J$4:$J$1022,R$1)</f>
        <v>0</v>
      </c>
      <c r="S96" s="207">
        <f>SUMIFS('август 2023'!$G$4:$G$1022,'август 2023'!$D$4:$D$1022,$B96,'август 2023'!$J$4:$J$1022,S$1)</f>
        <v>0</v>
      </c>
      <c r="T96" s="207">
        <f>SUMIFS('август 2023'!$G$4:$G$1022,'август 2023'!$D$4:$D$1022,$B96,'август 2023'!$J$4:$J$1022,T$1)</f>
        <v>0</v>
      </c>
      <c r="U96" s="207">
        <f>SUMIFS('август 2023'!$G$4:$G$1022,'август 2023'!$D$4:$D$1022,$B96,'август 2023'!$J$4:$J$1022,U$1)</f>
        <v>0</v>
      </c>
      <c r="V96" s="207">
        <f>SUMIFS('август 2023'!$G$4:$G$1022,'август 2023'!$D$4:$D$1022,$B96,'август 2023'!$J$4:$J$1022,V$1)</f>
        <v>0</v>
      </c>
      <c r="W96" s="207">
        <f>SUMIFS('август 2023'!$G$4:$G$1022,'август 2023'!$D$4:$D$1022,$B96,'август 2023'!$J$4:$J$1022,W$1)</f>
        <v>0</v>
      </c>
      <c r="X96" s="207">
        <f>SUMIFS('август 2023'!$G$4:$G$1022,'август 2023'!$D$4:$D$1022,$B96,'август 2023'!$J$4:$J$1022,X$1)</f>
        <v>0</v>
      </c>
      <c r="Y96" s="207">
        <f>SUMIFS('август 2023'!$G$4:$G$1022,'август 2023'!$D$4:$D$1022,$B96,'август 2023'!$J$4:$J$1022,Y$1)</f>
        <v>0</v>
      </c>
      <c r="Z96" s="207">
        <f>SUMIFS('август 2023'!$G$4:$G$1022,'август 2023'!$D$4:$D$1022,$B96,'август 2023'!$J$4:$J$1022,Z$1)</f>
        <v>0</v>
      </c>
      <c r="AA96" s="207">
        <f>SUMIFS('август 2023'!$G$4:$G$1022,'август 2023'!$D$4:$D$1022,$B96,'август 2023'!$J$4:$J$1022,AA$1)</f>
        <v>0</v>
      </c>
      <c r="AB96" s="207">
        <f>SUMIFS('август 2023'!$G$4:$G$1022,'август 2023'!$D$4:$D$1022,$B96,'август 2023'!$J$4:$J$1022,AB$1)</f>
        <v>0</v>
      </c>
      <c r="AC96" s="207">
        <f>SUMIFS('август 2023'!$G$4:$G$1022,'август 2023'!$D$4:$D$1022,$B96,'август 2023'!$J$4:$J$1022,AC$1)</f>
        <v>0</v>
      </c>
      <c r="AD96" s="207">
        <f>SUMIFS('август 2023'!$G$4:$G$1022,'август 2023'!$D$4:$D$1022,$B96,'август 2023'!$J$4:$J$1022,AD$1)</f>
        <v>0</v>
      </c>
      <c r="AE96" s="207">
        <f>SUMIFS('август 2023'!$G$4:$G$1022,'август 2023'!$D$4:$D$1022,$B96,'август 2023'!$J$4:$J$1022,AE$1)</f>
        <v>0</v>
      </c>
      <c r="AF96" s="207">
        <f>SUMIFS('август 2023'!$G$4:$G$1022,'август 2023'!$D$4:$D$1022,$B96,'август 2023'!$J$4:$J$1022,AF$1)</f>
        <v>0</v>
      </c>
      <c r="AG96" s="207">
        <f>SUMIFS('август 2023'!$G$4:$G$1022,'август 2023'!$D$4:$D$1022,$B96,'август 2023'!$J$4:$J$1022,AG$1)</f>
        <v>0</v>
      </c>
      <c r="AH96" s="207">
        <f>SUMIFS('август 2023'!$G$4:$G$1022,'август 2023'!$D$4:$D$1022,$B96,'август 2023'!$J$4:$J$1022,AH$1)</f>
        <v>0</v>
      </c>
      <c r="AI96" s="170">
        <f t="shared" si="2"/>
        <v>0</v>
      </c>
    </row>
    <row r="97" spans="2:35" ht="15" customHeight="1" x14ac:dyDescent="0.25">
      <c r="B97" s="216" t="s">
        <v>308</v>
      </c>
      <c r="C97" s="213">
        <v>180</v>
      </c>
      <c r="D97" s="207">
        <f>SUMIFS('август 2023'!$G$4:$G$1022,'август 2023'!$D$4:$D$1022,$B97,'август 2023'!$J$4:$J$1022,D$1)</f>
        <v>88</v>
      </c>
      <c r="E97" s="207">
        <f>SUMIFS('август 2023'!$G$4:$G$1022,'август 2023'!$D$4:$D$1022,$B97,'август 2023'!$J$4:$J$1022,E$1)</f>
        <v>0</v>
      </c>
      <c r="F97" s="207">
        <f>SUMIFS('август 2023'!$G$4:$G$1022,'август 2023'!$D$4:$D$1022,$B97,'август 2023'!$J$4:$J$1022,F$1)</f>
        <v>40</v>
      </c>
      <c r="G97" s="207">
        <f>SUMIFS('август 2023'!$G$4:$G$1022,'август 2023'!$D$4:$D$1022,$B97,'август 2023'!$J$4:$J$1022,G$1)</f>
        <v>0</v>
      </c>
      <c r="H97" s="207">
        <f>SUMIFS('август 2023'!$G$4:$G$1022,'август 2023'!$D$4:$D$1022,$B97,'август 2023'!$J$4:$J$1022,H$1)</f>
        <v>0</v>
      </c>
      <c r="I97" s="207">
        <f>SUMIFS('август 2023'!$G$4:$G$1022,'август 2023'!$D$4:$D$1022,$B97,'август 2023'!$J$4:$J$1022,I$1)</f>
        <v>0</v>
      </c>
      <c r="J97" s="207">
        <f>SUMIFS('август 2023'!$G$4:$G$1022,'август 2023'!$D$4:$D$1022,$B97,'август 2023'!$J$4:$J$1022,J$1)</f>
        <v>0</v>
      </c>
      <c r="K97" s="207">
        <f>SUMIFS('август 2023'!$G$4:$G$1022,'август 2023'!$D$4:$D$1022,$B97,'август 2023'!$J$4:$J$1022,K$1)</f>
        <v>0</v>
      </c>
      <c r="L97" s="207">
        <f>SUMIFS('август 2023'!$G$4:$G$1022,'август 2023'!$D$4:$D$1022,$B97,'август 2023'!$J$4:$J$1022,L$1)</f>
        <v>0</v>
      </c>
      <c r="M97" s="207">
        <f>SUMIFS('август 2023'!$G$4:$G$1022,'август 2023'!$D$4:$D$1022,$B97,'август 2023'!$J$4:$J$1022,M$1)</f>
        <v>0</v>
      </c>
      <c r="N97" s="207">
        <f>SUMIFS('август 2023'!$G$4:$G$1022,'август 2023'!$D$4:$D$1022,$B97,'август 2023'!$J$4:$J$1022,N$1)</f>
        <v>0</v>
      </c>
      <c r="O97" s="207">
        <f>SUMIFS('август 2023'!$G$4:$G$1022,'август 2023'!$D$4:$D$1022,$B97,'август 2023'!$J$4:$J$1022,O$1)</f>
        <v>0</v>
      </c>
      <c r="P97" s="207">
        <f>SUMIFS('август 2023'!$G$4:$G$1022,'август 2023'!$D$4:$D$1022,$B97,'август 2023'!$J$4:$J$1022,P$1)</f>
        <v>0</v>
      </c>
      <c r="Q97" s="207">
        <f>SUMIFS('август 2023'!$G$4:$G$1022,'август 2023'!$D$4:$D$1022,$B97,'август 2023'!$J$4:$J$1022,Q$1)</f>
        <v>0</v>
      </c>
      <c r="R97" s="207">
        <f>SUMIFS('август 2023'!$G$4:$G$1022,'август 2023'!$D$4:$D$1022,$B97,'август 2023'!$J$4:$J$1022,R$1)</f>
        <v>0</v>
      </c>
      <c r="S97" s="207">
        <f>SUMIFS('август 2023'!$G$4:$G$1022,'август 2023'!$D$4:$D$1022,$B97,'август 2023'!$J$4:$J$1022,S$1)</f>
        <v>0</v>
      </c>
      <c r="T97" s="207">
        <f>SUMIFS('август 2023'!$G$4:$G$1022,'август 2023'!$D$4:$D$1022,$B97,'август 2023'!$J$4:$J$1022,T$1)</f>
        <v>0</v>
      </c>
      <c r="U97" s="207">
        <f>SUMIFS('август 2023'!$G$4:$G$1022,'август 2023'!$D$4:$D$1022,$B97,'август 2023'!$J$4:$J$1022,U$1)</f>
        <v>0</v>
      </c>
      <c r="V97" s="207">
        <f>SUMIFS('август 2023'!$G$4:$G$1022,'август 2023'!$D$4:$D$1022,$B97,'август 2023'!$J$4:$J$1022,V$1)</f>
        <v>0</v>
      </c>
      <c r="W97" s="207">
        <f>SUMIFS('август 2023'!$G$4:$G$1022,'август 2023'!$D$4:$D$1022,$B97,'август 2023'!$J$4:$J$1022,W$1)</f>
        <v>0</v>
      </c>
      <c r="X97" s="207">
        <f>SUMIFS('август 2023'!$G$4:$G$1022,'август 2023'!$D$4:$D$1022,$B97,'август 2023'!$J$4:$J$1022,X$1)</f>
        <v>0</v>
      </c>
      <c r="Y97" s="207">
        <f>SUMIFS('август 2023'!$G$4:$G$1022,'август 2023'!$D$4:$D$1022,$B97,'август 2023'!$J$4:$J$1022,Y$1)</f>
        <v>0</v>
      </c>
      <c r="Z97" s="207">
        <f>SUMIFS('август 2023'!$G$4:$G$1022,'август 2023'!$D$4:$D$1022,$B97,'август 2023'!$J$4:$J$1022,Z$1)</f>
        <v>0</v>
      </c>
      <c r="AA97" s="207">
        <f>SUMIFS('август 2023'!$G$4:$G$1022,'август 2023'!$D$4:$D$1022,$B97,'август 2023'!$J$4:$J$1022,AA$1)</f>
        <v>0</v>
      </c>
      <c r="AB97" s="207">
        <f>SUMIFS('август 2023'!$G$4:$G$1022,'август 2023'!$D$4:$D$1022,$B97,'август 2023'!$J$4:$J$1022,AB$1)</f>
        <v>0</v>
      </c>
      <c r="AC97" s="207">
        <f>SUMIFS('август 2023'!$G$4:$G$1022,'август 2023'!$D$4:$D$1022,$B97,'август 2023'!$J$4:$J$1022,AC$1)</f>
        <v>0</v>
      </c>
      <c r="AD97" s="207">
        <f>SUMIFS('август 2023'!$G$4:$G$1022,'август 2023'!$D$4:$D$1022,$B97,'август 2023'!$J$4:$J$1022,AD$1)</f>
        <v>0</v>
      </c>
      <c r="AE97" s="207">
        <f>SUMIFS('август 2023'!$G$4:$G$1022,'август 2023'!$D$4:$D$1022,$B97,'август 2023'!$J$4:$J$1022,AE$1)</f>
        <v>0</v>
      </c>
      <c r="AF97" s="207">
        <f>SUMIFS('август 2023'!$G$4:$G$1022,'август 2023'!$D$4:$D$1022,$B97,'август 2023'!$J$4:$J$1022,AF$1)</f>
        <v>0</v>
      </c>
      <c r="AG97" s="207">
        <f>SUMIFS('август 2023'!$G$4:$G$1022,'август 2023'!$D$4:$D$1022,$B97,'август 2023'!$J$4:$J$1022,AG$1)</f>
        <v>0</v>
      </c>
      <c r="AH97" s="207">
        <f>SUMIFS('август 2023'!$G$4:$G$1022,'август 2023'!$D$4:$D$1022,$B97,'август 2023'!$J$4:$J$1022,AH$1)</f>
        <v>0</v>
      </c>
      <c r="AI97" s="170">
        <f t="shared" si="2"/>
        <v>128</v>
      </c>
    </row>
    <row r="98" spans="2:35" ht="15" customHeight="1" x14ac:dyDescent="0.25">
      <c r="B98" s="216" t="s">
        <v>770</v>
      </c>
      <c r="C98" s="213">
        <v>190</v>
      </c>
      <c r="D98" s="207">
        <f>SUMIFS('август 2023'!$G$4:$G$1022,'август 2023'!$D$4:$D$1022,$B98,'август 2023'!$J$4:$J$1022,D$1)</f>
        <v>0</v>
      </c>
      <c r="E98" s="207">
        <f>SUMIFS('август 2023'!$G$4:$G$1022,'август 2023'!$D$4:$D$1022,$B98,'август 2023'!$J$4:$J$1022,E$1)</f>
        <v>1</v>
      </c>
      <c r="F98" s="207">
        <f>SUMIFS('август 2023'!$G$4:$G$1022,'август 2023'!$D$4:$D$1022,$B98,'август 2023'!$J$4:$J$1022,F$1)</f>
        <v>0</v>
      </c>
      <c r="G98" s="207">
        <f>SUMIFS('август 2023'!$G$4:$G$1022,'август 2023'!$D$4:$D$1022,$B98,'август 2023'!$J$4:$J$1022,G$1)</f>
        <v>0</v>
      </c>
      <c r="H98" s="207">
        <f>SUMIFS('август 2023'!$G$4:$G$1022,'август 2023'!$D$4:$D$1022,$B98,'август 2023'!$J$4:$J$1022,H$1)</f>
        <v>0</v>
      </c>
      <c r="I98" s="207">
        <f>SUMIFS('август 2023'!$G$4:$G$1022,'август 2023'!$D$4:$D$1022,$B98,'август 2023'!$J$4:$J$1022,I$1)</f>
        <v>0</v>
      </c>
      <c r="J98" s="207">
        <f>SUMIFS('август 2023'!$G$4:$G$1022,'август 2023'!$D$4:$D$1022,$B98,'август 2023'!$J$4:$J$1022,J$1)</f>
        <v>0</v>
      </c>
      <c r="K98" s="207">
        <f>SUMIFS('август 2023'!$G$4:$G$1022,'август 2023'!$D$4:$D$1022,$B98,'август 2023'!$J$4:$J$1022,K$1)</f>
        <v>0</v>
      </c>
      <c r="L98" s="207">
        <f>SUMIFS('август 2023'!$G$4:$G$1022,'август 2023'!$D$4:$D$1022,$B98,'август 2023'!$J$4:$J$1022,L$1)</f>
        <v>0</v>
      </c>
      <c r="M98" s="207">
        <f>SUMIFS('август 2023'!$G$4:$G$1022,'август 2023'!$D$4:$D$1022,$B98,'август 2023'!$J$4:$J$1022,M$1)</f>
        <v>0</v>
      </c>
      <c r="N98" s="207">
        <f>SUMIFS('август 2023'!$G$4:$G$1022,'август 2023'!$D$4:$D$1022,$B98,'август 2023'!$J$4:$J$1022,N$1)</f>
        <v>0</v>
      </c>
      <c r="O98" s="207">
        <f>SUMIFS('август 2023'!$G$4:$G$1022,'август 2023'!$D$4:$D$1022,$B98,'август 2023'!$J$4:$J$1022,O$1)</f>
        <v>0</v>
      </c>
      <c r="P98" s="207">
        <f>SUMIFS('август 2023'!$G$4:$G$1022,'август 2023'!$D$4:$D$1022,$B98,'август 2023'!$J$4:$J$1022,P$1)</f>
        <v>0</v>
      </c>
      <c r="Q98" s="207">
        <f>SUMIFS('август 2023'!$G$4:$G$1022,'август 2023'!$D$4:$D$1022,$B98,'август 2023'!$J$4:$J$1022,Q$1)</f>
        <v>0</v>
      </c>
      <c r="R98" s="207">
        <f>SUMIFS('август 2023'!$G$4:$G$1022,'август 2023'!$D$4:$D$1022,$B98,'август 2023'!$J$4:$J$1022,R$1)</f>
        <v>0</v>
      </c>
      <c r="S98" s="207">
        <f>SUMIFS('август 2023'!$G$4:$G$1022,'август 2023'!$D$4:$D$1022,$B98,'август 2023'!$J$4:$J$1022,S$1)</f>
        <v>0</v>
      </c>
      <c r="T98" s="207">
        <f>SUMIFS('август 2023'!$G$4:$G$1022,'август 2023'!$D$4:$D$1022,$B98,'август 2023'!$J$4:$J$1022,T$1)</f>
        <v>0</v>
      </c>
      <c r="U98" s="207">
        <f>SUMIFS('август 2023'!$G$4:$G$1022,'август 2023'!$D$4:$D$1022,$B98,'август 2023'!$J$4:$J$1022,U$1)</f>
        <v>0</v>
      </c>
      <c r="V98" s="207">
        <f>SUMIFS('август 2023'!$G$4:$G$1022,'август 2023'!$D$4:$D$1022,$B98,'август 2023'!$J$4:$J$1022,V$1)</f>
        <v>0</v>
      </c>
      <c r="W98" s="207">
        <f>SUMIFS('август 2023'!$G$4:$G$1022,'август 2023'!$D$4:$D$1022,$B98,'август 2023'!$J$4:$J$1022,W$1)</f>
        <v>0</v>
      </c>
      <c r="X98" s="207">
        <f>SUMIFS('август 2023'!$G$4:$G$1022,'август 2023'!$D$4:$D$1022,$B98,'август 2023'!$J$4:$J$1022,X$1)</f>
        <v>0</v>
      </c>
      <c r="Y98" s="207">
        <f>SUMIFS('август 2023'!$G$4:$G$1022,'август 2023'!$D$4:$D$1022,$B98,'август 2023'!$J$4:$J$1022,Y$1)</f>
        <v>0</v>
      </c>
      <c r="Z98" s="207">
        <f>SUMIFS('август 2023'!$G$4:$G$1022,'август 2023'!$D$4:$D$1022,$B98,'август 2023'!$J$4:$J$1022,Z$1)</f>
        <v>0</v>
      </c>
      <c r="AA98" s="207">
        <f>SUMIFS('август 2023'!$G$4:$G$1022,'август 2023'!$D$4:$D$1022,$B98,'август 2023'!$J$4:$J$1022,AA$1)</f>
        <v>0</v>
      </c>
      <c r="AB98" s="207">
        <f>SUMIFS('август 2023'!$G$4:$G$1022,'август 2023'!$D$4:$D$1022,$B98,'август 2023'!$J$4:$J$1022,AB$1)</f>
        <v>0</v>
      </c>
      <c r="AC98" s="207">
        <f>SUMIFS('август 2023'!$G$4:$G$1022,'август 2023'!$D$4:$D$1022,$B98,'август 2023'!$J$4:$J$1022,AC$1)</f>
        <v>0</v>
      </c>
      <c r="AD98" s="207">
        <f>SUMIFS('август 2023'!$G$4:$G$1022,'август 2023'!$D$4:$D$1022,$B98,'август 2023'!$J$4:$J$1022,AD$1)</f>
        <v>0</v>
      </c>
      <c r="AE98" s="207">
        <f>SUMIFS('август 2023'!$G$4:$G$1022,'август 2023'!$D$4:$D$1022,$B98,'август 2023'!$J$4:$J$1022,AE$1)</f>
        <v>0</v>
      </c>
      <c r="AF98" s="207">
        <f>SUMIFS('август 2023'!$G$4:$G$1022,'август 2023'!$D$4:$D$1022,$B98,'август 2023'!$J$4:$J$1022,AF$1)</f>
        <v>0</v>
      </c>
      <c r="AG98" s="207">
        <f>SUMIFS('август 2023'!$G$4:$G$1022,'август 2023'!$D$4:$D$1022,$B98,'август 2023'!$J$4:$J$1022,AG$1)</f>
        <v>0</v>
      </c>
      <c r="AH98" s="207">
        <f>SUMIFS('август 2023'!$G$4:$G$1022,'август 2023'!$D$4:$D$1022,$B98,'август 2023'!$J$4:$J$1022,AH$1)</f>
        <v>0</v>
      </c>
      <c r="AI98" s="170">
        <f t="shared" si="2"/>
        <v>1</v>
      </c>
    </row>
    <row r="99" spans="2:35" ht="15" customHeight="1" x14ac:dyDescent="0.25">
      <c r="B99" s="216" t="s">
        <v>2193</v>
      </c>
      <c r="C99" s="213">
        <v>190</v>
      </c>
      <c r="D99" s="207">
        <f>SUMIFS('август 2023'!$G$4:$G$1022,'август 2023'!$D$4:$D$1022,$B99,'август 2023'!$J$4:$J$1022,D$1)</f>
        <v>0</v>
      </c>
      <c r="E99" s="207">
        <f>SUMIFS('август 2023'!$G$4:$G$1022,'август 2023'!$D$4:$D$1022,$B99,'август 2023'!$J$4:$J$1022,E$1)</f>
        <v>0</v>
      </c>
      <c r="F99" s="207">
        <f>SUMIFS('август 2023'!$G$4:$G$1022,'август 2023'!$D$4:$D$1022,$B99,'август 2023'!$J$4:$J$1022,F$1)</f>
        <v>0</v>
      </c>
      <c r="G99" s="207">
        <f>SUMIFS('август 2023'!$G$4:$G$1022,'август 2023'!$D$4:$D$1022,$B99,'август 2023'!$J$4:$J$1022,G$1)</f>
        <v>0</v>
      </c>
      <c r="H99" s="207">
        <f>SUMIFS('август 2023'!$G$4:$G$1022,'август 2023'!$D$4:$D$1022,$B99,'август 2023'!$J$4:$J$1022,H$1)</f>
        <v>0</v>
      </c>
      <c r="I99" s="207">
        <f>SUMIFS('август 2023'!$G$4:$G$1022,'август 2023'!$D$4:$D$1022,$B99,'август 2023'!$J$4:$J$1022,I$1)</f>
        <v>0</v>
      </c>
      <c r="J99" s="207">
        <f>SUMIFS('август 2023'!$G$4:$G$1022,'август 2023'!$D$4:$D$1022,$B99,'август 2023'!$J$4:$J$1022,J$1)</f>
        <v>0</v>
      </c>
      <c r="K99" s="207">
        <f>SUMIFS('август 2023'!$G$4:$G$1022,'август 2023'!$D$4:$D$1022,$B99,'август 2023'!$J$4:$J$1022,K$1)</f>
        <v>0</v>
      </c>
      <c r="L99" s="207">
        <f>SUMIFS('август 2023'!$G$4:$G$1022,'август 2023'!$D$4:$D$1022,$B99,'август 2023'!$J$4:$J$1022,L$1)</f>
        <v>0</v>
      </c>
      <c r="M99" s="207">
        <f>SUMIFS('август 2023'!$G$4:$G$1022,'август 2023'!$D$4:$D$1022,$B99,'август 2023'!$J$4:$J$1022,M$1)</f>
        <v>0</v>
      </c>
      <c r="N99" s="207">
        <f>SUMIFS('август 2023'!$G$4:$G$1022,'август 2023'!$D$4:$D$1022,$B99,'август 2023'!$J$4:$J$1022,N$1)</f>
        <v>0</v>
      </c>
      <c r="O99" s="207">
        <f>SUMIFS('август 2023'!$G$4:$G$1022,'август 2023'!$D$4:$D$1022,$B99,'август 2023'!$J$4:$J$1022,O$1)</f>
        <v>0</v>
      </c>
      <c r="P99" s="207">
        <f>SUMIFS('август 2023'!$G$4:$G$1022,'август 2023'!$D$4:$D$1022,$B99,'август 2023'!$J$4:$J$1022,P$1)</f>
        <v>0</v>
      </c>
      <c r="Q99" s="207">
        <f>SUMIFS('август 2023'!$G$4:$G$1022,'август 2023'!$D$4:$D$1022,$B99,'август 2023'!$J$4:$J$1022,Q$1)</f>
        <v>0</v>
      </c>
      <c r="R99" s="207">
        <f>SUMIFS('август 2023'!$G$4:$G$1022,'август 2023'!$D$4:$D$1022,$B99,'август 2023'!$J$4:$J$1022,R$1)</f>
        <v>0</v>
      </c>
      <c r="S99" s="207">
        <f>SUMIFS('август 2023'!$G$4:$G$1022,'август 2023'!$D$4:$D$1022,$B99,'август 2023'!$J$4:$J$1022,S$1)</f>
        <v>0</v>
      </c>
      <c r="T99" s="207">
        <f>SUMIFS('август 2023'!$G$4:$G$1022,'август 2023'!$D$4:$D$1022,$B99,'август 2023'!$J$4:$J$1022,T$1)</f>
        <v>0</v>
      </c>
      <c r="U99" s="207">
        <f>SUMIFS('август 2023'!$G$4:$G$1022,'август 2023'!$D$4:$D$1022,$B99,'август 2023'!$J$4:$J$1022,U$1)</f>
        <v>0</v>
      </c>
      <c r="V99" s="207">
        <f>SUMIFS('август 2023'!$G$4:$G$1022,'август 2023'!$D$4:$D$1022,$B99,'август 2023'!$J$4:$J$1022,V$1)</f>
        <v>0</v>
      </c>
      <c r="W99" s="207">
        <f>SUMIFS('август 2023'!$G$4:$G$1022,'август 2023'!$D$4:$D$1022,$B99,'август 2023'!$J$4:$J$1022,W$1)</f>
        <v>0</v>
      </c>
      <c r="X99" s="207">
        <f>SUMIFS('август 2023'!$G$4:$G$1022,'август 2023'!$D$4:$D$1022,$B99,'август 2023'!$J$4:$J$1022,X$1)</f>
        <v>0</v>
      </c>
      <c r="Y99" s="207">
        <f>SUMIFS('август 2023'!$G$4:$G$1022,'август 2023'!$D$4:$D$1022,$B99,'август 2023'!$J$4:$J$1022,Y$1)</f>
        <v>0</v>
      </c>
      <c r="Z99" s="207">
        <f>SUMIFS('август 2023'!$G$4:$G$1022,'август 2023'!$D$4:$D$1022,$B99,'август 2023'!$J$4:$J$1022,Z$1)</f>
        <v>0</v>
      </c>
      <c r="AA99" s="207">
        <f>SUMIFS('август 2023'!$G$4:$G$1022,'август 2023'!$D$4:$D$1022,$B99,'август 2023'!$J$4:$J$1022,AA$1)</f>
        <v>0</v>
      </c>
      <c r="AB99" s="207">
        <f>SUMIFS('август 2023'!$G$4:$G$1022,'август 2023'!$D$4:$D$1022,$B99,'август 2023'!$J$4:$J$1022,AB$1)</f>
        <v>0</v>
      </c>
      <c r="AC99" s="207">
        <f>SUMIFS('август 2023'!$G$4:$G$1022,'август 2023'!$D$4:$D$1022,$B99,'август 2023'!$J$4:$J$1022,AC$1)</f>
        <v>0</v>
      </c>
      <c r="AD99" s="207">
        <f>SUMIFS('август 2023'!$G$4:$G$1022,'август 2023'!$D$4:$D$1022,$B99,'август 2023'!$J$4:$J$1022,AD$1)</f>
        <v>0</v>
      </c>
      <c r="AE99" s="207">
        <f>SUMIFS('август 2023'!$G$4:$G$1022,'август 2023'!$D$4:$D$1022,$B99,'август 2023'!$J$4:$J$1022,AE$1)</f>
        <v>0</v>
      </c>
      <c r="AF99" s="207">
        <f>SUMIFS('август 2023'!$G$4:$G$1022,'август 2023'!$D$4:$D$1022,$B99,'август 2023'!$J$4:$J$1022,AF$1)</f>
        <v>0</v>
      </c>
      <c r="AG99" s="207">
        <f>SUMIFS('август 2023'!$G$4:$G$1022,'август 2023'!$D$4:$D$1022,$B99,'август 2023'!$J$4:$J$1022,AG$1)</f>
        <v>0</v>
      </c>
      <c r="AH99" s="207">
        <f>SUMIFS('август 2023'!$G$4:$G$1022,'август 2023'!$D$4:$D$1022,$B99,'август 2023'!$J$4:$J$1022,AH$1)</f>
        <v>0</v>
      </c>
      <c r="AI99" s="170">
        <f t="shared" si="2"/>
        <v>0</v>
      </c>
    </row>
    <row r="100" spans="2:35" ht="15" customHeight="1" x14ac:dyDescent="0.25">
      <c r="B100" s="216" t="s">
        <v>2194</v>
      </c>
      <c r="C100" s="213">
        <v>20</v>
      </c>
      <c r="D100" s="207">
        <f>SUMIFS('август 2023'!$G$4:$G$1022,'август 2023'!$D$4:$D$1022,$B100,'август 2023'!$J$4:$J$1022,D$1)</f>
        <v>0</v>
      </c>
      <c r="E100" s="207">
        <f>SUMIFS('август 2023'!$G$4:$G$1022,'август 2023'!$D$4:$D$1022,$B100,'август 2023'!$J$4:$J$1022,E$1)</f>
        <v>0</v>
      </c>
      <c r="F100" s="207">
        <f>SUMIFS('август 2023'!$G$4:$G$1022,'август 2023'!$D$4:$D$1022,$B100,'август 2023'!$J$4:$J$1022,F$1)</f>
        <v>0</v>
      </c>
      <c r="G100" s="207">
        <f>SUMIFS('август 2023'!$G$4:$G$1022,'август 2023'!$D$4:$D$1022,$B100,'август 2023'!$J$4:$J$1022,G$1)</f>
        <v>0</v>
      </c>
      <c r="H100" s="207">
        <f>SUMIFS('август 2023'!$G$4:$G$1022,'август 2023'!$D$4:$D$1022,$B100,'август 2023'!$J$4:$J$1022,H$1)</f>
        <v>0</v>
      </c>
      <c r="I100" s="207">
        <f>SUMIFS('август 2023'!$G$4:$G$1022,'август 2023'!$D$4:$D$1022,$B100,'август 2023'!$J$4:$J$1022,I$1)</f>
        <v>0</v>
      </c>
      <c r="J100" s="207">
        <f>SUMIFS('август 2023'!$G$4:$G$1022,'август 2023'!$D$4:$D$1022,$B100,'август 2023'!$J$4:$J$1022,J$1)</f>
        <v>0</v>
      </c>
      <c r="K100" s="207">
        <f>SUMIFS('август 2023'!$G$4:$G$1022,'август 2023'!$D$4:$D$1022,$B100,'август 2023'!$J$4:$J$1022,K$1)</f>
        <v>0</v>
      </c>
      <c r="L100" s="207">
        <f>SUMIFS('август 2023'!$G$4:$G$1022,'август 2023'!$D$4:$D$1022,$B100,'август 2023'!$J$4:$J$1022,L$1)</f>
        <v>0</v>
      </c>
      <c r="M100" s="207">
        <f>SUMIFS('август 2023'!$G$4:$G$1022,'август 2023'!$D$4:$D$1022,$B100,'август 2023'!$J$4:$J$1022,M$1)</f>
        <v>0</v>
      </c>
      <c r="N100" s="207">
        <f>SUMIFS('август 2023'!$G$4:$G$1022,'август 2023'!$D$4:$D$1022,$B100,'август 2023'!$J$4:$J$1022,N$1)</f>
        <v>0</v>
      </c>
      <c r="O100" s="207">
        <f>SUMIFS('август 2023'!$G$4:$G$1022,'август 2023'!$D$4:$D$1022,$B100,'август 2023'!$J$4:$J$1022,O$1)</f>
        <v>0</v>
      </c>
      <c r="P100" s="207">
        <f>SUMIFS('август 2023'!$G$4:$G$1022,'август 2023'!$D$4:$D$1022,$B100,'август 2023'!$J$4:$J$1022,P$1)</f>
        <v>0</v>
      </c>
      <c r="Q100" s="207">
        <f>SUMIFS('август 2023'!$G$4:$G$1022,'август 2023'!$D$4:$D$1022,$B100,'август 2023'!$J$4:$J$1022,Q$1)</f>
        <v>0</v>
      </c>
      <c r="R100" s="207">
        <f>SUMIFS('август 2023'!$G$4:$G$1022,'август 2023'!$D$4:$D$1022,$B100,'август 2023'!$J$4:$J$1022,R$1)</f>
        <v>0</v>
      </c>
      <c r="S100" s="207">
        <f>SUMIFS('август 2023'!$G$4:$G$1022,'август 2023'!$D$4:$D$1022,$B100,'август 2023'!$J$4:$J$1022,S$1)</f>
        <v>0</v>
      </c>
      <c r="T100" s="207">
        <f>SUMIFS('август 2023'!$G$4:$G$1022,'август 2023'!$D$4:$D$1022,$B100,'август 2023'!$J$4:$J$1022,T$1)</f>
        <v>0</v>
      </c>
      <c r="U100" s="207">
        <f>SUMIFS('август 2023'!$G$4:$G$1022,'август 2023'!$D$4:$D$1022,$B100,'август 2023'!$J$4:$J$1022,U$1)</f>
        <v>0</v>
      </c>
      <c r="V100" s="207">
        <f>SUMIFS('август 2023'!$G$4:$G$1022,'август 2023'!$D$4:$D$1022,$B100,'август 2023'!$J$4:$J$1022,V$1)</f>
        <v>0</v>
      </c>
      <c r="W100" s="207">
        <f>SUMIFS('август 2023'!$G$4:$G$1022,'август 2023'!$D$4:$D$1022,$B100,'август 2023'!$J$4:$J$1022,W$1)</f>
        <v>0</v>
      </c>
      <c r="X100" s="207">
        <f>SUMIFS('август 2023'!$G$4:$G$1022,'август 2023'!$D$4:$D$1022,$B100,'август 2023'!$J$4:$J$1022,X$1)</f>
        <v>0</v>
      </c>
      <c r="Y100" s="207">
        <f>SUMIFS('август 2023'!$G$4:$G$1022,'август 2023'!$D$4:$D$1022,$B100,'август 2023'!$J$4:$J$1022,Y$1)</f>
        <v>0</v>
      </c>
      <c r="Z100" s="207">
        <f>SUMIFS('август 2023'!$G$4:$G$1022,'август 2023'!$D$4:$D$1022,$B100,'август 2023'!$J$4:$J$1022,Z$1)</f>
        <v>0</v>
      </c>
      <c r="AA100" s="207">
        <f>SUMIFS('август 2023'!$G$4:$G$1022,'август 2023'!$D$4:$D$1022,$B100,'август 2023'!$J$4:$J$1022,AA$1)</f>
        <v>0</v>
      </c>
      <c r="AB100" s="207">
        <f>SUMIFS('август 2023'!$G$4:$G$1022,'август 2023'!$D$4:$D$1022,$B100,'август 2023'!$J$4:$J$1022,AB$1)</f>
        <v>0</v>
      </c>
      <c r="AC100" s="207">
        <f>SUMIFS('август 2023'!$G$4:$G$1022,'август 2023'!$D$4:$D$1022,$B100,'август 2023'!$J$4:$J$1022,AC$1)</f>
        <v>0</v>
      </c>
      <c r="AD100" s="207">
        <f>SUMIFS('август 2023'!$G$4:$G$1022,'август 2023'!$D$4:$D$1022,$B100,'август 2023'!$J$4:$J$1022,AD$1)</f>
        <v>0</v>
      </c>
      <c r="AE100" s="207">
        <f>SUMIFS('август 2023'!$G$4:$G$1022,'август 2023'!$D$4:$D$1022,$B100,'август 2023'!$J$4:$J$1022,AE$1)</f>
        <v>0</v>
      </c>
      <c r="AF100" s="207">
        <f>SUMIFS('август 2023'!$G$4:$G$1022,'август 2023'!$D$4:$D$1022,$B100,'август 2023'!$J$4:$J$1022,AF$1)</f>
        <v>0</v>
      </c>
      <c r="AG100" s="207">
        <f>SUMIFS('август 2023'!$G$4:$G$1022,'август 2023'!$D$4:$D$1022,$B100,'август 2023'!$J$4:$J$1022,AG$1)</f>
        <v>0</v>
      </c>
      <c r="AH100" s="207">
        <f>SUMIFS('август 2023'!$G$4:$G$1022,'август 2023'!$D$4:$D$1022,$B100,'август 2023'!$J$4:$J$1022,AH$1)</f>
        <v>0</v>
      </c>
      <c r="AI100" s="170">
        <f t="shared" si="2"/>
        <v>0</v>
      </c>
    </row>
    <row r="101" spans="2:35" ht="15" customHeight="1" x14ac:dyDescent="0.25">
      <c r="B101" s="212" t="s">
        <v>2195</v>
      </c>
      <c r="C101" s="211">
        <v>20</v>
      </c>
      <c r="D101" s="207">
        <f>SUMIFS('август 2023'!$G$4:$G$1022,'август 2023'!$D$4:$D$1022,$B101,'август 2023'!$J$4:$J$1022,D$1)</f>
        <v>0</v>
      </c>
      <c r="E101" s="207">
        <f>SUMIFS('август 2023'!$G$4:$G$1022,'август 2023'!$D$4:$D$1022,$B101,'август 2023'!$J$4:$J$1022,E$1)</f>
        <v>0</v>
      </c>
      <c r="F101" s="207">
        <f>SUMIFS('август 2023'!$G$4:$G$1022,'август 2023'!$D$4:$D$1022,$B101,'август 2023'!$J$4:$J$1022,F$1)</f>
        <v>0</v>
      </c>
      <c r="G101" s="207">
        <f>SUMIFS('август 2023'!$G$4:$G$1022,'август 2023'!$D$4:$D$1022,$B101,'август 2023'!$J$4:$J$1022,G$1)</f>
        <v>0</v>
      </c>
      <c r="H101" s="207">
        <f>SUMIFS('август 2023'!$G$4:$G$1022,'август 2023'!$D$4:$D$1022,$B101,'август 2023'!$J$4:$J$1022,H$1)</f>
        <v>0</v>
      </c>
      <c r="I101" s="207">
        <f>SUMIFS('август 2023'!$G$4:$G$1022,'август 2023'!$D$4:$D$1022,$B101,'август 2023'!$J$4:$J$1022,I$1)</f>
        <v>0</v>
      </c>
      <c r="J101" s="207">
        <f>SUMIFS('август 2023'!$G$4:$G$1022,'август 2023'!$D$4:$D$1022,$B101,'август 2023'!$J$4:$J$1022,J$1)</f>
        <v>0</v>
      </c>
      <c r="K101" s="207">
        <f>SUMIFS('август 2023'!$G$4:$G$1022,'август 2023'!$D$4:$D$1022,$B101,'август 2023'!$J$4:$J$1022,K$1)</f>
        <v>0</v>
      </c>
      <c r="L101" s="207">
        <f>SUMIFS('август 2023'!$G$4:$G$1022,'август 2023'!$D$4:$D$1022,$B101,'август 2023'!$J$4:$J$1022,L$1)</f>
        <v>0</v>
      </c>
      <c r="M101" s="207">
        <f>SUMIFS('август 2023'!$G$4:$G$1022,'август 2023'!$D$4:$D$1022,$B101,'август 2023'!$J$4:$J$1022,M$1)</f>
        <v>0</v>
      </c>
      <c r="N101" s="207">
        <f>SUMIFS('август 2023'!$G$4:$G$1022,'август 2023'!$D$4:$D$1022,$B101,'август 2023'!$J$4:$J$1022,N$1)</f>
        <v>0</v>
      </c>
      <c r="O101" s="207">
        <f>SUMIFS('август 2023'!$G$4:$G$1022,'август 2023'!$D$4:$D$1022,$B101,'август 2023'!$J$4:$J$1022,O$1)</f>
        <v>0</v>
      </c>
      <c r="P101" s="207">
        <f>SUMIFS('август 2023'!$G$4:$G$1022,'август 2023'!$D$4:$D$1022,$B101,'август 2023'!$J$4:$J$1022,P$1)</f>
        <v>0</v>
      </c>
      <c r="Q101" s="207">
        <f>SUMIFS('август 2023'!$G$4:$G$1022,'август 2023'!$D$4:$D$1022,$B101,'август 2023'!$J$4:$J$1022,Q$1)</f>
        <v>0</v>
      </c>
      <c r="R101" s="207">
        <f>SUMIFS('август 2023'!$G$4:$G$1022,'август 2023'!$D$4:$D$1022,$B101,'август 2023'!$J$4:$J$1022,R$1)</f>
        <v>0</v>
      </c>
      <c r="S101" s="207">
        <f>SUMIFS('август 2023'!$G$4:$G$1022,'август 2023'!$D$4:$D$1022,$B101,'август 2023'!$J$4:$J$1022,S$1)</f>
        <v>0</v>
      </c>
      <c r="T101" s="207">
        <f>SUMIFS('август 2023'!$G$4:$G$1022,'август 2023'!$D$4:$D$1022,$B101,'август 2023'!$J$4:$J$1022,T$1)</f>
        <v>0</v>
      </c>
      <c r="U101" s="207">
        <f>SUMIFS('август 2023'!$G$4:$G$1022,'август 2023'!$D$4:$D$1022,$B101,'август 2023'!$J$4:$J$1022,U$1)</f>
        <v>0</v>
      </c>
      <c r="V101" s="207">
        <f>SUMIFS('август 2023'!$G$4:$G$1022,'август 2023'!$D$4:$D$1022,$B101,'август 2023'!$J$4:$J$1022,V$1)</f>
        <v>0</v>
      </c>
      <c r="W101" s="207">
        <f>SUMIFS('август 2023'!$G$4:$G$1022,'август 2023'!$D$4:$D$1022,$B101,'август 2023'!$J$4:$J$1022,W$1)</f>
        <v>0</v>
      </c>
      <c r="X101" s="207">
        <f>SUMIFS('август 2023'!$G$4:$G$1022,'август 2023'!$D$4:$D$1022,$B101,'август 2023'!$J$4:$J$1022,X$1)</f>
        <v>0</v>
      </c>
      <c r="Y101" s="207">
        <f>SUMIFS('август 2023'!$G$4:$G$1022,'август 2023'!$D$4:$D$1022,$B101,'август 2023'!$J$4:$J$1022,Y$1)</f>
        <v>0</v>
      </c>
      <c r="Z101" s="207">
        <f>SUMIFS('август 2023'!$G$4:$G$1022,'август 2023'!$D$4:$D$1022,$B101,'август 2023'!$J$4:$J$1022,Z$1)</f>
        <v>0</v>
      </c>
      <c r="AA101" s="207">
        <f>SUMIFS('август 2023'!$G$4:$G$1022,'август 2023'!$D$4:$D$1022,$B101,'август 2023'!$J$4:$J$1022,AA$1)</f>
        <v>0</v>
      </c>
      <c r="AB101" s="207">
        <f>SUMIFS('август 2023'!$G$4:$G$1022,'август 2023'!$D$4:$D$1022,$B101,'август 2023'!$J$4:$J$1022,AB$1)</f>
        <v>0</v>
      </c>
      <c r="AC101" s="207">
        <f>SUMIFS('август 2023'!$G$4:$G$1022,'август 2023'!$D$4:$D$1022,$B101,'август 2023'!$J$4:$J$1022,AC$1)</f>
        <v>0</v>
      </c>
      <c r="AD101" s="207">
        <f>SUMIFS('август 2023'!$G$4:$G$1022,'август 2023'!$D$4:$D$1022,$B101,'август 2023'!$J$4:$J$1022,AD$1)</f>
        <v>0</v>
      </c>
      <c r="AE101" s="207">
        <f>SUMIFS('август 2023'!$G$4:$G$1022,'август 2023'!$D$4:$D$1022,$B101,'август 2023'!$J$4:$J$1022,AE$1)</f>
        <v>0</v>
      </c>
      <c r="AF101" s="207">
        <f>SUMIFS('август 2023'!$G$4:$G$1022,'август 2023'!$D$4:$D$1022,$B101,'август 2023'!$J$4:$J$1022,AF$1)</f>
        <v>0</v>
      </c>
      <c r="AG101" s="207">
        <f>SUMIFS('август 2023'!$G$4:$G$1022,'август 2023'!$D$4:$D$1022,$B101,'август 2023'!$J$4:$J$1022,AG$1)</f>
        <v>0</v>
      </c>
      <c r="AH101" s="207">
        <f>SUMIFS('август 2023'!$G$4:$G$1022,'август 2023'!$D$4:$D$1022,$B101,'август 2023'!$J$4:$J$1022,AH$1)</f>
        <v>0</v>
      </c>
      <c r="AI101" s="170">
        <f t="shared" si="2"/>
        <v>0</v>
      </c>
    </row>
    <row r="102" spans="2:35" ht="15" customHeight="1" x14ac:dyDescent="0.25">
      <c r="B102" s="212" t="s">
        <v>2196</v>
      </c>
      <c r="C102" s="211">
        <v>20</v>
      </c>
      <c r="D102" s="207">
        <f>SUMIFS('август 2023'!$G$4:$G$1022,'август 2023'!$D$4:$D$1022,$B102,'август 2023'!$J$4:$J$1022,D$1)</f>
        <v>0</v>
      </c>
      <c r="E102" s="207">
        <f>SUMIFS('август 2023'!$G$4:$G$1022,'август 2023'!$D$4:$D$1022,$B102,'август 2023'!$J$4:$J$1022,E$1)</f>
        <v>0</v>
      </c>
      <c r="F102" s="207">
        <f>SUMIFS('август 2023'!$G$4:$G$1022,'август 2023'!$D$4:$D$1022,$B102,'август 2023'!$J$4:$J$1022,F$1)</f>
        <v>0</v>
      </c>
      <c r="G102" s="207">
        <f>SUMIFS('август 2023'!$G$4:$G$1022,'август 2023'!$D$4:$D$1022,$B102,'август 2023'!$J$4:$J$1022,G$1)</f>
        <v>0</v>
      </c>
      <c r="H102" s="207">
        <f>SUMIFS('август 2023'!$G$4:$G$1022,'август 2023'!$D$4:$D$1022,$B102,'август 2023'!$J$4:$J$1022,H$1)</f>
        <v>0</v>
      </c>
      <c r="I102" s="207">
        <f>SUMIFS('август 2023'!$G$4:$G$1022,'август 2023'!$D$4:$D$1022,$B102,'август 2023'!$J$4:$J$1022,I$1)</f>
        <v>0</v>
      </c>
      <c r="J102" s="207">
        <f>SUMIFS('август 2023'!$G$4:$G$1022,'август 2023'!$D$4:$D$1022,$B102,'август 2023'!$J$4:$J$1022,J$1)</f>
        <v>0</v>
      </c>
      <c r="K102" s="207">
        <f>SUMIFS('август 2023'!$G$4:$G$1022,'август 2023'!$D$4:$D$1022,$B102,'август 2023'!$J$4:$J$1022,K$1)</f>
        <v>0</v>
      </c>
      <c r="L102" s="207">
        <f>SUMIFS('август 2023'!$G$4:$G$1022,'август 2023'!$D$4:$D$1022,$B102,'август 2023'!$J$4:$J$1022,L$1)</f>
        <v>0</v>
      </c>
      <c r="M102" s="207">
        <f>SUMIFS('август 2023'!$G$4:$G$1022,'август 2023'!$D$4:$D$1022,$B102,'август 2023'!$J$4:$J$1022,M$1)</f>
        <v>0</v>
      </c>
      <c r="N102" s="207">
        <f>SUMIFS('август 2023'!$G$4:$G$1022,'август 2023'!$D$4:$D$1022,$B102,'август 2023'!$J$4:$J$1022,N$1)</f>
        <v>0</v>
      </c>
      <c r="O102" s="207">
        <f>SUMIFS('август 2023'!$G$4:$G$1022,'август 2023'!$D$4:$D$1022,$B102,'август 2023'!$J$4:$J$1022,O$1)</f>
        <v>0</v>
      </c>
      <c r="P102" s="207">
        <f>SUMIFS('август 2023'!$G$4:$G$1022,'август 2023'!$D$4:$D$1022,$B102,'август 2023'!$J$4:$J$1022,P$1)</f>
        <v>0</v>
      </c>
      <c r="Q102" s="207">
        <f>SUMIFS('август 2023'!$G$4:$G$1022,'август 2023'!$D$4:$D$1022,$B102,'август 2023'!$J$4:$J$1022,Q$1)</f>
        <v>0</v>
      </c>
      <c r="R102" s="207">
        <f>SUMIFS('август 2023'!$G$4:$G$1022,'август 2023'!$D$4:$D$1022,$B102,'август 2023'!$J$4:$J$1022,R$1)</f>
        <v>0</v>
      </c>
      <c r="S102" s="207">
        <f>SUMIFS('август 2023'!$G$4:$G$1022,'август 2023'!$D$4:$D$1022,$B102,'август 2023'!$J$4:$J$1022,S$1)</f>
        <v>0</v>
      </c>
      <c r="T102" s="207">
        <f>SUMIFS('август 2023'!$G$4:$G$1022,'август 2023'!$D$4:$D$1022,$B102,'август 2023'!$J$4:$J$1022,T$1)</f>
        <v>0</v>
      </c>
      <c r="U102" s="207">
        <f>SUMIFS('август 2023'!$G$4:$G$1022,'август 2023'!$D$4:$D$1022,$B102,'август 2023'!$J$4:$J$1022,U$1)</f>
        <v>0</v>
      </c>
      <c r="V102" s="207">
        <f>SUMIFS('август 2023'!$G$4:$G$1022,'август 2023'!$D$4:$D$1022,$B102,'август 2023'!$J$4:$J$1022,V$1)</f>
        <v>0</v>
      </c>
      <c r="W102" s="207">
        <f>SUMIFS('август 2023'!$G$4:$G$1022,'август 2023'!$D$4:$D$1022,$B102,'август 2023'!$J$4:$J$1022,W$1)</f>
        <v>0</v>
      </c>
      <c r="X102" s="207">
        <f>SUMIFS('август 2023'!$G$4:$G$1022,'август 2023'!$D$4:$D$1022,$B102,'август 2023'!$J$4:$J$1022,X$1)</f>
        <v>0</v>
      </c>
      <c r="Y102" s="207">
        <f>SUMIFS('август 2023'!$G$4:$G$1022,'август 2023'!$D$4:$D$1022,$B102,'август 2023'!$J$4:$J$1022,Y$1)</f>
        <v>0</v>
      </c>
      <c r="Z102" s="207">
        <f>SUMIFS('август 2023'!$G$4:$G$1022,'август 2023'!$D$4:$D$1022,$B102,'август 2023'!$J$4:$J$1022,Z$1)</f>
        <v>0</v>
      </c>
      <c r="AA102" s="207">
        <f>SUMIFS('август 2023'!$G$4:$G$1022,'август 2023'!$D$4:$D$1022,$B102,'август 2023'!$J$4:$J$1022,AA$1)</f>
        <v>0</v>
      </c>
      <c r="AB102" s="207">
        <f>SUMIFS('август 2023'!$G$4:$G$1022,'август 2023'!$D$4:$D$1022,$B102,'август 2023'!$J$4:$J$1022,AB$1)</f>
        <v>0</v>
      </c>
      <c r="AC102" s="207">
        <f>SUMIFS('август 2023'!$G$4:$G$1022,'август 2023'!$D$4:$D$1022,$B102,'август 2023'!$J$4:$J$1022,AC$1)</f>
        <v>0</v>
      </c>
      <c r="AD102" s="207">
        <f>SUMIFS('август 2023'!$G$4:$G$1022,'август 2023'!$D$4:$D$1022,$B102,'август 2023'!$J$4:$J$1022,AD$1)</f>
        <v>0</v>
      </c>
      <c r="AE102" s="207">
        <f>SUMIFS('август 2023'!$G$4:$G$1022,'август 2023'!$D$4:$D$1022,$B102,'август 2023'!$J$4:$J$1022,AE$1)</f>
        <v>0</v>
      </c>
      <c r="AF102" s="207">
        <f>SUMIFS('август 2023'!$G$4:$G$1022,'август 2023'!$D$4:$D$1022,$B102,'август 2023'!$J$4:$J$1022,AF$1)</f>
        <v>0</v>
      </c>
      <c r="AG102" s="207">
        <f>SUMIFS('август 2023'!$G$4:$G$1022,'август 2023'!$D$4:$D$1022,$B102,'август 2023'!$J$4:$J$1022,AG$1)</f>
        <v>0</v>
      </c>
      <c r="AH102" s="207">
        <f>SUMIFS('август 2023'!$G$4:$G$1022,'август 2023'!$D$4:$D$1022,$B102,'август 2023'!$J$4:$J$1022,AH$1)</f>
        <v>0</v>
      </c>
      <c r="AI102" s="170">
        <f t="shared" si="2"/>
        <v>0</v>
      </c>
    </row>
    <row r="103" spans="2:35" ht="15" customHeight="1" x14ac:dyDescent="0.25">
      <c r="B103" s="212" t="s">
        <v>2197</v>
      </c>
      <c r="C103" s="211">
        <v>20</v>
      </c>
      <c r="D103" s="207">
        <f>SUMIFS('август 2023'!$G$4:$G$1022,'август 2023'!$D$4:$D$1022,$B103,'август 2023'!$J$4:$J$1022,D$1)</f>
        <v>0</v>
      </c>
      <c r="E103" s="207">
        <f>SUMIFS('август 2023'!$G$4:$G$1022,'август 2023'!$D$4:$D$1022,$B103,'август 2023'!$J$4:$J$1022,E$1)</f>
        <v>0</v>
      </c>
      <c r="F103" s="207">
        <f>SUMIFS('август 2023'!$G$4:$G$1022,'август 2023'!$D$4:$D$1022,$B103,'август 2023'!$J$4:$J$1022,F$1)</f>
        <v>0</v>
      </c>
      <c r="G103" s="207">
        <f>SUMIFS('август 2023'!$G$4:$G$1022,'август 2023'!$D$4:$D$1022,$B103,'август 2023'!$J$4:$J$1022,G$1)</f>
        <v>0</v>
      </c>
      <c r="H103" s="207">
        <f>SUMIFS('август 2023'!$G$4:$G$1022,'август 2023'!$D$4:$D$1022,$B103,'август 2023'!$J$4:$J$1022,H$1)</f>
        <v>0</v>
      </c>
      <c r="I103" s="207">
        <f>SUMIFS('август 2023'!$G$4:$G$1022,'август 2023'!$D$4:$D$1022,$B103,'август 2023'!$J$4:$J$1022,I$1)</f>
        <v>0</v>
      </c>
      <c r="J103" s="207">
        <f>SUMIFS('август 2023'!$G$4:$G$1022,'август 2023'!$D$4:$D$1022,$B103,'август 2023'!$J$4:$J$1022,J$1)</f>
        <v>0</v>
      </c>
      <c r="K103" s="207">
        <f>SUMIFS('август 2023'!$G$4:$G$1022,'август 2023'!$D$4:$D$1022,$B103,'август 2023'!$J$4:$J$1022,K$1)</f>
        <v>0</v>
      </c>
      <c r="L103" s="207">
        <f>SUMIFS('август 2023'!$G$4:$G$1022,'август 2023'!$D$4:$D$1022,$B103,'август 2023'!$J$4:$J$1022,L$1)</f>
        <v>0</v>
      </c>
      <c r="M103" s="207">
        <f>SUMIFS('август 2023'!$G$4:$G$1022,'август 2023'!$D$4:$D$1022,$B103,'август 2023'!$J$4:$J$1022,M$1)</f>
        <v>0</v>
      </c>
      <c r="N103" s="207">
        <f>SUMIFS('август 2023'!$G$4:$G$1022,'август 2023'!$D$4:$D$1022,$B103,'август 2023'!$J$4:$J$1022,N$1)</f>
        <v>0</v>
      </c>
      <c r="O103" s="207">
        <f>SUMIFS('август 2023'!$G$4:$G$1022,'август 2023'!$D$4:$D$1022,$B103,'август 2023'!$J$4:$J$1022,O$1)</f>
        <v>0</v>
      </c>
      <c r="P103" s="207">
        <f>SUMIFS('август 2023'!$G$4:$G$1022,'август 2023'!$D$4:$D$1022,$B103,'август 2023'!$J$4:$J$1022,P$1)</f>
        <v>0</v>
      </c>
      <c r="Q103" s="207">
        <f>SUMIFS('август 2023'!$G$4:$G$1022,'август 2023'!$D$4:$D$1022,$B103,'август 2023'!$J$4:$J$1022,Q$1)</f>
        <v>0</v>
      </c>
      <c r="R103" s="207">
        <f>SUMIFS('август 2023'!$G$4:$G$1022,'август 2023'!$D$4:$D$1022,$B103,'август 2023'!$J$4:$J$1022,R$1)</f>
        <v>0</v>
      </c>
      <c r="S103" s="207">
        <f>SUMIFS('август 2023'!$G$4:$G$1022,'август 2023'!$D$4:$D$1022,$B103,'август 2023'!$J$4:$J$1022,S$1)</f>
        <v>0</v>
      </c>
      <c r="T103" s="207">
        <f>SUMIFS('август 2023'!$G$4:$G$1022,'август 2023'!$D$4:$D$1022,$B103,'август 2023'!$J$4:$J$1022,T$1)</f>
        <v>0</v>
      </c>
      <c r="U103" s="207">
        <f>SUMIFS('август 2023'!$G$4:$G$1022,'август 2023'!$D$4:$D$1022,$B103,'август 2023'!$J$4:$J$1022,U$1)</f>
        <v>0</v>
      </c>
      <c r="V103" s="207">
        <f>SUMIFS('август 2023'!$G$4:$G$1022,'август 2023'!$D$4:$D$1022,$B103,'август 2023'!$J$4:$J$1022,V$1)</f>
        <v>0</v>
      </c>
      <c r="W103" s="207">
        <f>SUMIFS('август 2023'!$G$4:$G$1022,'август 2023'!$D$4:$D$1022,$B103,'август 2023'!$J$4:$J$1022,W$1)</f>
        <v>0</v>
      </c>
      <c r="X103" s="207">
        <f>SUMIFS('август 2023'!$G$4:$G$1022,'август 2023'!$D$4:$D$1022,$B103,'август 2023'!$J$4:$J$1022,X$1)</f>
        <v>0</v>
      </c>
      <c r="Y103" s="207">
        <f>SUMIFS('август 2023'!$G$4:$G$1022,'август 2023'!$D$4:$D$1022,$B103,'август 2023'!$J$4:$J$1022,Y$1)</f>
        <v>0</v>
      </c>
      <c r="Z103" s="207">
        <f>SUMIFS('август 2023'!$G$4:$G$1022,'август 2023'!$D$4:$D$1022,$B103,'август 2023'!$J$4:$J$1022,Z$1)</f>
        <v>0</v>
      </c>
      <c r="AA103" s="207">
        <f>SUMIFS('август 2023'!$G$4:$G$1022,'август 2023'!$D$4:$D$1022,$B103,'август 2023'!$J$4:$J$1022,AA$1)</f>
        <v>0</v>
      </c>
      <c r="AB103" s="207">
        <f>SUMIFS('август 2023'!$G$4:$G$1022,'август 2023'!$D$4:$D$1022,$B103,'август 2023'!$J$4:$J$1022,AB$1)</f>
        <v>0</v>
      </c>
      <c r="AC103" s="207">
        <f>SUMIFS('август 2023'!$G$4:$G$1022,'август 2023'!$D$4:$D$1022,$B103,'август 2023'!$J$4:$J$1022,AC$1)</f>
        <v>0</v>
      </c>
      <c r="AD103" s="207">
        <f>SUMIFS('август 2023'!$G$4:$G$1022,'август 2023'!$D$4:$D$1022,$B103,'август 2023'!$J$4:$J$1022,AD$1)</f>
        <v>0</v>
      </c>
      <c r="AE103" s="207">
        <f>SUMIFS('август 2023'!$G$4:$G$1022,'август 2023'!$D$4:$D$1022,$B103,'август 2023'!$J$4:$J$1022,AE$1)</f>
        <v>0</v>
      </c>
      <c r="AF103" s="207">
        <f>SUMIFS('август 2023'!$G$4:$G$1022,'август 2023'!$D$4:$D$1022,$B103,'август 2023'!$J$4:$J$1022,AF$1)</f>
        <v>0</v>
      </c>
      <c r="AG103" s="207">
        <f>SUMIFS('август 2023'!$G$4:$G$1022,'август 2023'!$D$4:$D$1022,$B103,'август 2023'!$J$4:$J$1022,AG$1)</f>
        <v>0</v>
      </c>
      <c r="AH103" s="207">
        <f>SUMIFS('август 2023'!$G$4:$G$1022,'август 2023'!$D$4:$D$1022,$B103,'август 2023'!$J$4:$J$1022,AH$1)</f>
        <v>0</v>
      </c>
      <c r="AI103" s="170">
        <f t="shared" si="2"/>
        <v>0</v>
      </c>
    </row>
    <row r="104" spans="2:35" ht="15" customHeight="1" x14ac:dyDescent="0.25">
      <c r="B104" s="212" t="s">
        <v>147</v>
      </c>
      <c r="C104" s="211">
        <v>200</v>
      </c>
      <c r="D104" s="207">
        <f>SUMIFS('август 2023'!$G$4:$G$1022,'август 2023'!$D$4:$D$1022,$B104,'август 2023'!$J$4:$J$1022,D$1)</f>
        <v>0</v>
      </c>
      <c r="E104" s="207">
        <f>SUMIFS('август 2023'!$G$4:$G$1022,'август 2023'!$D$4:$D$1022,$B104,'август 2023'!$J$4:$J$1022,E$1)</f>
        <v>0</v>
      </c>
      <c r="F104" s="207">
        <f>SUMIFS('август 2023'!$G$4:$G$1022,'август 2023'!$D$4:$D$1022,$B104,'август 2023'!$J$4:$J$1022,F$1)</f>
        <v>0</v>
      </c>
      <c r="G104" s="207">
        <f>SUMIFS('август 2023'!$G$4:$G$1022,'август 2023'!$D$4:$D$1022,$B104,'август 2023'!$J$4:$J$1022,G$1)</f>
        <v>0</v>
      </c>
      <c r="H104" s="207">
        <f>SUMIFS('август 2023'!$G$4:$G$1022,'август 2023'!$D$4:$D$1022,$B104,'август 2023'!$J$4:$J$1022,H$1)</f>
        <v>0</v>
      </c>
      <c r="I104" s="207">
        <f>SUMIFS('август 2023'!$G$4:$G$1022,'август 2023'!$D$4:$D$1022,$B104,'август 2023'!$J$4:$J$1022,I$1)</f>
        <v>0</v>
      </c>
      <c r="J104" s="207">
        <f>SUMIFS('август 2023'!$G$4:$G$1022,'август 2023'!$D$4:$D$1022,$B104,'август 2023'!$J$4:$J$1022,J$1)</f>
        <v>0</v>
      </c>
      <c r="K104" s="207">
        <f>SUMIFS('август 2023'!$G$4:$G$1022,'август 2023'!$D$4:$D$1022,$B104,'август 2023'!$J$4:$J$1022,K$1)</f>
        <v>0</v>
      </c>
      <c r="L104" s="207">
        <f>SUMIFS('август 2023'!$G$4:$G$1022,'август 2023'!$D$4:$D$1022,$B104,'август 2023'!$J$4:$J$1022,L$1)</f>
        <v>0</v>
      </c>
      <c r="M104" s="207">
        <f>SUMIFS('август 2023'!$G$4:$G$1022,'август 2023'!$D$4:$D$1022,$B104,'август 2023'!$J$4:$J$1022,M$1)</f>
        <v>0</v>
      </c>
      <c r="N104" s="207">
        <f>SUMIFS('август 2023'!$G$4:$G$1022,'август 2023'!$D$4:$D$1022,$B104,'август 2023'!$J$4:$J$1022,N$1)</f>
        <v>0</v>
      </c>
      <c r="O104" s="207">
        <f>SUMIFS('август 2023'!$G$4:$G$1022,'август 2023'!$D$4:$D$1022,$B104,'август 2023'!$J$4:$J$1022,O$1)</f>
        <v>0</v>
      </c>
      <c r="P104" s="207">
        <f>SUMIFS('август 2023'!$G$4:$G$1022,'август 2023'!$D$4:$D$1022,$B104,'август 2023'!$J$4:$J$1022,P$1)</f>
        <v>0</v>
      </c>
      <c r="Q104" s="207">
        <f>SUMIFS('август 2023'!$G$4:$G$1022,'август 2023'!$D$4:$D$1022,$B104,'август 2023'!$J$4:$J$1022,Q$1)</f>
        <v>0</v>
      </c>
      <c r="R104" s="207">
        <f>SUMIFS('август 2023'!$G$4:$G$1022,'август 2023'!$D$4:$D$1022,$B104,'август 2023'!$J$4:$J$1022,R$1)</f>
        <v>0</v>
      </c>
      <c r="S104" s="207">
        <f>SUMIFS('август 2023'!$G$4:$G$1022,'август 2023'!$D$4:$D$1022,$B104,'август 2023'!$J$4:$J$1022,S$1)</f>
        <v>0</v>
      </c>
      <c r="T104" s="207">
        <f>SUMIFS('август 2023'!$G$4:$G$1022,'август 2023'!$D$4:$D$1022,$B104,'август 2023'!$J$4:$J$1022,T$1)</f>
        <v>0</v>
      </c>
      <c r="U104" s="207">
        <f>SUMIFS('август 2023'!$G$4:$G$1022,'август 2023'!$D$4:$D$1022,$B104,'август 2023'!$J$4:$J$1022,U$1)</f>
        <v>0</v>
      </c>
      <c r="V104" s="207">
        <f>SUMIFS('август 2023'!$G$4:$G$1022,'август 2023'!$D$4:$D$1022,$B104,'август 2023'!$J$4:$J$1022,V$1)</f>
        <v>0</v>
      </c>
      <c r="W104" s="207">
        <f>SUMIFS('август 2023'!$G$4:$G$1022,'август 2023'!$D$4:$D$1022,$B104,'август 2023'!$J$4:$J$1022,W$1)</f>
        <v>0</v>
      </c>
      <c r="X104" s="207">
        <f>SUMIFS('август 2023'!$G$4:$G$1022,'август 2023'!$D$4:$D$1022,$B104,'август 2023'!$J$4:$J$1022,X$1)</f>
        <v>0</v>
      </c>
      <c r="Y104" s="207">
        <f>SUMIFS('август 2023'!$G$4:$G$1022,'август 2023'!$D$4:$D$1022,$B104,'август 2023'!$J$4:$J$1022,Y$1)</f>
        <v>0</v>
      </c>
      <c r="Z104" s="207">
        <f>SUMIFS('август 2023'!$G$4:$G$1022,'август 2023'!$D$4:$D$1022,$B104,'август 2023'!$J$4:$J$1022,Z$1)</f>
        <v>0</v>
      </c>
      <c r="AA104" s="207">
        <f>SUMIFS('август 2023'!$G$4:$G$1022,'август 2023'!$D$4:$D$1022,$B104,'август 2023'!$J$4:$J$1022,AA$1)</f>
        <v>0</v>
      </c>
      <c r="AB104" s="207">
        <f>SUMIFS('август 2023'!$G$4:$G$1022,'август 2023'!$D$4:$D$1022,$B104,'август 2023'!$J$4:$J$1022,AB$1)</f>
        <v>0</v>
      </c>
      <c r="AC104" s="207">
        <f>SUMIFS('август 2023'!$G$4:$G$1022,'август 2023'!$D$4:$D$1022,$B104,'август 2023'!$J$4:$J$1022,AC$1)</f>
        <v>0</v>
      </c>
      <c r="AD104" s="207">
        <f>SUMIFS('август 2023'!$G$4:$G$1022,'август 2023'!$D$4:$D$1022,$B104,'август 2023'!$J$4:$J$1022,AD$1)</f>
        <v>0</v>
      </c>
      <c r="AE104" s="207">
        <f>SUMIFS('август 2023'!$G$4:$G$1022,'август 2023'!$D$4:$D$1022,$B104,'август 2023'!$J$4:$J$1022,AE$1)</f>
        <v>0</v>
      </c>
      <c r="AF104" s="207">
        <f>SUMIFS('август 2023'!$G$4:$G$1022,'август 2023'!$D$4:$D$1022,$B104,'август 2023'!$J$4:$J$1022,AF$1)</f>
        <v>0</v>
      </c>
      <c r="AG104" s="207">
        <f>SUMIFS('август 2023'!$G$4:$G$1022,'август 2023'!$D$4:$D$1022,$B104,'август 2023'!$J$4:$J$1022,AG$1)</f>
        <v>0</v>
      </c>
      <c r="AH104" s="207">
        <f>SUMIFS('август 2023'!$G$4:$G$1022,'август 2023'!$D$4:$D$1022,$B104,'август 2023'!$J$4:$J$1022,AH$1)</f>
        <v>0</v>
      </c>
      <c r="AI104" s="170">
        <f t="shared" si="2"/>
        <v>0</v>
      </c>
    </row>
    <row r="105" spans="2:35" ht="15" customHeight="1" x14ac:dyDescent="0.25">
      <c r="B105" s="212" t="s">
        <v>2198</v>
      </c>
      <c r="C105" s="211">
        <v>200</v>
      </c>
      <c r="D105" s="207">
        <f>SUMIFS('август 2023'!$G$4:$G$1022,'август 2023'!$D$4:$D$1022,$B105,'август 2023'!$J$4:$J$1022,D$1)</f>
        <v>0</v>
      </c>
      <c r="E105" s="207">
        <f>SUMIFS('август 2023'!$G$4:$G$1022,'август 2023'!$D$4:$D$1022,$B105,'август 2023'!$J$4:$J$1022,E$1)</f>
        <v>0</v>
      </c>
      <c r="F105" s="207">
        <f>SUMIFS('август 2023'!$G$4:$G$1022,'август 2023'!$D$4:$D$1022,$B105,'август 2023'!$J$4:$J$1022,F$1)</f>
        <v>0</v>
      </c>
      <c r="G105" s="207">
        <f>SUMIFS('август 2023'!$G$4:$G$1022,'август 2023'!$D$4:$D$1022,$B105,'август 2023'!$J$4:$J$1022,G$1)</f>
        <v>0</v>
      </c>
      <c r="H105" s="207">
        <f>SUMIFS('август 2023'!$G$4:$G$1022,'август 2023'!$D$4:$D$1022,$B105,'август 2023'!$J$4:$J$1022,H$1)</f>
        <v>0</v>
      </c>
      <c r="I105" s="207">
        <f>SUMIFS('август 2023'!$G$4:$G$1022,'август 2023'!$D$4:$D$1022,$B105,'август 2023'!$J$4:$J$1022,I$1)</f>
        <v>0</v>
      </c>
      <c r="J105" s="207">
        <f>SUMIFS('август 2023'!$G$4:$G$1022,'август 2023'!$D$4:$D$1022,$B105,'август 2023'!$J$4:$J$1022,J$1)</f>
        <v>0</v>
      </c>
      <c r="K105" s="207">
        <f>SUMIFS('август 2023'!$G$4:$G$1022,'август 2023'!$D$4:$D$1022,$B105,'август 2023'!$J$4:$J$1022,K$1)</f>
        <v>0</v>
      </c>
      <c r="L105" s="207">
        <f>SUMIFS('август 2023'!$G$4:$G$1022,'август 2023'!$D$4:$D$1022,$B105,'август 2023'!$J$4:$J$1022,L$1)</f>
        <v>0</v>
      </c>
      <c r="M105" s="207">
        <f>SUMIFS('август 2023'!$G$4:$G$1022,'август 2023'!$D$4:$D$1022,$B105,'август 2023'!$J$4:$J$1022,M$1)</f>
        <v>0</v>
      </c>
      <c r="N105" s="207">
        <f>SUMIFS('август 2023'!$G$4:$G$1022,'август 2023'!$D$4:$D$1022,$B105,'август 2023'!$J$4:$J$1022,N$1)</f>
        <v>0</v>
      </c>
      <c r="O105" s="207">
        <f>SUMIFS('август 2023'!$G$4:$G$1022,'август 2023'!$D$4:$D$1022,$B105,'август 2023'!$J$4:$J$1022,O$1)</f>
        <v>0</v>
      </c>
      <c r="P105" s="207">
        <f>SUMIFS('август 2023'!$G$4:$G$1022,'август 2023'!$D$4:$D$1022,$B105,'август 2023'!$J$4:$J$1022,P$1)</f>
        <v>0</v>
      </c>
      <c r="Q105" s="207">
        <f>SUMIFS('август 2023'!$G$4:$G$1022,'август 2023'!$D$4:$D$1022,$B105,'август 2023'!$J$4:$J$1022,Q$1)</f>
        <v>0</v>
      </c>
      <c r="R105" s="207">
        <f>SUMIFS('август 2023'!$G$4:$G$1022,'август 2023'!$D$4:$D$1022,$B105,'август 2023'!$J$4:$J$1022,R$1)</f>
        <v>0</v>
      </c>
      <c r="S105" s="207">
        <f>SUMIFS('август 2023'!$G$4:$G$1022,'август 2023'!$D$4:$D$1022,$B105,'август 2023'!$J$4:$J$1022,S$1)</f>
        <v>0</v>
      </c>
      <c r="T105" s="207">
        <f>SUMIFS('август 2023'!$G$4:$G$1022,'август 2023'!$D$4:$D$1022,$B105,'август 2023'!$J$4:$J$1022,T$1)</f>
        <v>0</v>
      </c>
      <c r="U105" s="207">
        <f>SUMIFS('август 2023'!$G$4:$G$1022,'август 2023'!$D$4:$D$1022,$B105,'август 2023'!$J$4:$J$1022,U$1)</f>
        <v>0</v>
      </c>
      <c r="V105" s="207">
        <f>SUMIFS('август 2023'!$G$4:$G$1022,'август 2023'!$D$4:$D$1022,$B105,'август 2023'!$J$4:$J$1022,V$1)</f>
        <v>0</v>
      </c>
      <c r="W105" s="207">
        <f>SUMIFS('август 2023'!$G$4:$G$1022,'август 2023'!$D$4:$D$1022,$B105,'август 2023'!$J$4:$J$1022,W$1)</f>
        <v>0</v>
      </c>
      <c r="X105" s="207">
        <f>SUMIFS('август 2023'!$G$4:$G$1022,'август 2023'!$D$4:$D$1022,$B105,'август 2023'!$J$4:$J$1022,X$1)</f>
        <v>0</v>
      </c>
      <c r="Y105" s="207">
        <f>SUMIFS('август 2023'!$G$4:$G$1022,'август 2023'!$D$4:$D$1022,$B105,'август 2023'!$J$4:$J$1022,Y$1)</f>
        <v>0</v>
      </c>
      <c r="Z105" s="207">
        <f>SUMIFS('август 2023'!$G$4:$G$1022,'август 2023'!$D$4:$D$1022,$B105,'август 2023'!$J$4:$J$1022,Z$1)</f>
        <v>0</v>
      </c>
      <c r="AA105" s="207">
        <f>SUMIFS('август 2023'!$G$4:$G$1022,'август 2023'!$D$4:$D$1022,$B105,'август 2023'!$J$4:$J$1022,AA$1)</f>
        <v>0</v>
      </c>
      <c r="AB105" s="207">
        <f>SUMIFS('август 2023'!$G$4:$G$1022,'август 2023'!$D$4:$D$1022,$B105,'август 2023'!$J$4:$J$1022,AB$1)</f>
        <v>0</v>
      </c>
      <c r="AC105" s="207">
        <f>SUMIFS('август 2023'!$G$4:$G$1022,'август 2023'!$D$4:$D$1022,$B105,'август 2023'!$J$4:$J$1022,AC$1)</f>
        <v>0</v>
      </c>
      <c r="AD105" s="207">
        <f>SUMIFS('август 2023'!$G$4:$G$1022,'август 2023'!$D$4:$D$1022,$B105,'август 2023'!$J$4:$J$1022,AD$1)</f>
        <v>0</v>
      </c>
      <c r="AE105" s="207">
        <f>SUMIFS('август 2023'!$G$4:$G$1022,'август 2023'!$D$4:$D$1022,$B105,'август 2023'!$J$4:$J$1022,AE$1)</f>
        <v>0</v>
      </c>
      <c r="AF105" s="207">
        <f>SUMIFS('август 2023'!$G$4:$G$1022,'август 2023'!$D$4:$D$1022,$B105,'август 2023'!$J$4:$J$1022,AF$1)</f>
        <v>0</v>
      </c>
      <c r="AG105" s="207">
        <f>SUMIFS('август 2023'!$G$4:$G$1022,'август 2023'!$D$4:$D$1022,$B105,'август 2023'!$J$4:$J$1022,AG$1)</f>
        <v>0</v>
      </c>
      <c r="AH105" s="207">
        <f>SUMIFS('август 2023'!$G$4:$G$1022,'август 2023'!$D$4:$D$1022,$B105,'август 2023'!$J$4:$J$1022,AH$1)</f>
        <v>0</v>
      </c>
      <c r="AI105" s="170">
        <f t="shared" si="2"/>
        <v>0</v>
      </c>
    </row>
    <row r="106" spans="2:35" ht="15" customHeight="1" x14ac:dyDescent="0.25">
      <c r="B106" s="218" t="s">
        <v>352</v>
      </c>
      <c r="C106" s="219">
        <v>200</v>
      </c>
      <c r="D106" s="207">
        <f>SUMIFS('август 2023'!$G$4:$G$1022,'август 2023'!$D$4:$D$1022,$B106,'август 2023'!$J$4:$J$1022,D$1)</f>
        <v>0</v>
      </c>
      <c r="E106" s="207">
        <f>SUMIFS('август 2023'!$G$4:$G$1022,'август 2023'!$D$4:$D$1022,$B106,'август 2023'!$J$4:$J$1022,E$1)</f>
        <v>0</v>
      </c>
      <c r="F106" s="207">
        <f>SUMIFS('август 2023'!$G$4:$G$1022,'август 2023'!$D$4:$D$1022,$B106,'август 2023'!$J$4:$J$1022,F$1)</f>
        <v>0</v>
      </c>
      <c r="G106" s="207">
        <f>SUMIFS('август 2023'!$G$4:$G$1022,'август 2023'!$D$4:$D$1022,$B106,'август 2023'!$J$4:$J$1022,G$1)</f>
        <v>0</v>
      </c>
      <c r="H106" s="207">
        <f>SUMIFS('август 2023'!$G$4:$G$1022,'август 2023'!$D$4:$D$1022,$B106,'август 2023'!$J$4:$J$1022,H$1)</f>
        <v>0</v>
      </c>
      <c r="I106" s="207">
        <f>SUMIFS('август 2023'!$G$4:$G$1022,'август 2023'!$D$4:$D$1022,$B106,'август 2023'!$J$4:$J$1022,I$1)</f>
        <v>0</v>
      </c>
      <c r="J106" s="207">
        <f>SUMIFS('август 2023'!$G$4:$G$1022,'август 2023'!$D$4:$D$1022,$B106,'август 2023'!$J$4:$J$1022,J$1)</f>
        <v>0</v>
      </c>
      <c r="K106" s="207">
        <f>SUMIFS('август 2023'!$G$4:$G$1022,'август 2023'!$D$4:$D$1022,$B106,'август 2023'!$J$4:$J$1022,K$1)</f>
        <v>0</v>
      </c>
      <c r="L106" s="207">
        <f>SUMIFS('август 2023'!$G$4:$G$1022,'август 2023'!$D$4:$D$1022,$B106,'август 2023'!$J$4:$J$1022,L$1)</f>
        <v>0</v>
      </c>
      <c r="M106" s="207">
        <f>SUMIFS('август 2023'!$G$4:$G$1022,'август 2023'!$D$4:$D$1022,$B106,'август 2023'!$J$4:$J$1022,M$1)</f>
        <v>0</v>
      </c>
      <c r="N106" s="207">
        <f>SUMIFS('август 2023'!$G$4:$G$1022,'август 2023'!$D$4:$D$1022,$B106,'август 2023'!$J$4:$J$1022,N$1)</f>
        <v>0</v>
      </c>
      <c r="O106" s="207">
        <f>SUMIFS('август 2023'!$G$4:$G$1022,'август 2023'!$D$4:$D$1022,$B106,'август 2023'!$J$4:$J$1022,O$1)</f>
        <v>0</v>
      </c>
      <c r="P106" s="207">
        <f>SUMIFS('август 2023'!$G$4:$G$1022,'август 2023'!$D$4:$D$1022,$B106,'август 2023'!$J$4:$J$1022,P$1)</f>
        <v>0</v>
      </c>
      <c r="Q106" s="207">
        <f>SUMIFS('август 2023'!$G$4:$G$1022,'август 2023'!$D$4:$D$1022,$B106,'август 2023'!$J$4:$J$1022,Q$1)</f>
        <v>0</v>
      </c>
      <c r="R106" s="207">
        <f>SUMIFS('август 2023'!$G$4:$G$1022,'август 2023'!$D$4:$D$1022,$B106,'август 2023'!$J$4:$J$1022,R$1)</f>
        <v>0</v>
      </c>
      <c r="S106" s="207">
        <f>SUMIFS('август 2023'!$G$4:$G$1022,'август 2023'!$D$4:$D$1022,$B106,'август 2023'!$J$4:$J$1022,S$1)</f>
        <v>0</v>
      </c>
      <c r="T106" s="207">
        <f>SUMIFS('август 2023'!$G$4:$G$1022,'август 2023'!$D$4:$D$1022,$B106,'август 2023'!$J$4:$J$1022,T$1)</f>
        <v>0</v>
      </c>
      <c r="U106" s="207">
        <f>SUMIFS('август 2023'!$G$4:$G$1022,'август 2023'!$D$4:$D$1022,$B106,'август 2023'!$J$4:$J$1022,U$1)</f>
        <v>0</v>
      </c>
      <c r="V106" s="207">
        <f>SUMIFS('август 2023'!$G$4:$G$1022,'август 2023'!$D$4:$D$1022,$B106,'август 2023'!$J$4:$J$1022,V$1)</f>
        <v>0</v>
      </c>
      <c r="W106" s="207">
        <f>SUMIFS('август 2023'!$G$4:$G$1022,'август 2023'!$D$4:$D$1022,$B106,'август 2023'!$J$4:$J$1022,W$1)</f>
        <v>0</v>
      </c>
      <c r="X106" s="207">
        <f>SUMIFS('август 2023'!$G$4:$G$1022,'август 2023'!$D$4:$D$1022,$B106,'август 2023'!$J$4:$J$1022,X$1)</f>
        <v>0</v>
      </c>
      <c r="Y106" s="207">
        <f>SUMIFS('август 2023'!$G$4:$G$1022,'август 2023'!$D$4:$D$1022,$B106,'август 2023'!$J$4:$J$1022,Y$1)</f>
        <v>0</v>
      </c>
      <c r="Z106" s="207">
        <f>SUMIFS('август 2023'!$G$4:$G$1022,'август 2023'!$D$4:$D$1022,$B106,'август 2023'!$J$4:$J$1022,Z$1)</f>
        <v>0</v>
      </c>
      <c r="AA106" s="207">
        <f>SUMIFS('август 2023'!$G$4:$G$1022,'август 2023'!$D$4:$D$1022,$B106,'август 2023'!$J$4:$J$1022,AA$1)</f>
        <v>0</v>
      </c>
      <c r="AB106" s="207">
        <f>SUMIFS('август 2023'!$G$4:$G$1022,'август 2023'!$D$4:$D$1022,$B106,'август 2023'!$J$4:$J$1022,AB$1)</f>
        <v>2</v>
      </c>
      <c r="AC106" s="207">
        <f>SUMIFS('август 2023'!$G$4:$G$1022,'август 2023'!$D$4:$D$1022,$B106,'август 2023'!$J$4:$J$1022,AC$1)</f>
        <v>0</v>
      </c>
      <c r="AD106" s="207">
        <f>SUMIFS('август 2023'!$G$4:$G$1022,'август 2023'!$D$4:$D$1022,$B106,'август 2023'!$J$4:$J$1022,AD$1)</f>
        <v>0</v>
      </c>
      <c r="AE106" s="207">
        <f>SUMIFS('август 2023'!$G$4:$G$1022,'август 2023'!$D$4:$D$1022,$B106,'август 2023'!$J$4:$J$1022,AE$1)</f>
        <v>0</v>
      </c>
      <c r="AF106" s="207">
        <f>SUMIFS('август 2023'!$G$4:$G$1022,'август 2023'!$D$4:$D$1022,$B106,'август 2023'!$J$4:$J$1022,AF$1)</f>
        <v>0</v>
      </c>
      <c r="AG106" s="207">
        <f>SUMIFS('август 2023'!$G$4:$G$1022,'август 2023'!$D$4:$D$1022,$B106,'август 2023'!$J$4:$J$1022,AG$1)</f>
        <v>0</v>
      </c>
      <c r="AH106" s="207">
        <f>SUMIFS('август 2023'!$G$4:$G$1022,'август 2023'!$D$4:$D$1022,$B106,'август 2023'!$J$4:$J$1022,AH$1)</f>
        <v>0</v>
      </c>
      <c r="AI106" s="170">
        <f t="shared" si="2"/>
        <v>2</v>
      </c>
    </row>
    <row r="107" spans="2:35" ht="15" customHeight="1" x14ac:dyDescent="0.25">
      <c r="B107" s="212" t="s">
        <v>276</v>
      </c>
      <c r="C107" s="213">
        <v>200</v>
      </c>
      <c r="D107" s="207">
        <f>SUMIFS('август 2023'!$G$4:$G$1022,'август 2023'!$D$4:$D$1022,$B107,'август 2023'!$J$4:$J$1022,D$1)</f>
        <v>0</v>
      </c>
      <c r="E107" s="207">
        <f>SUMIFS('август 2023'!$G$4:$G$1022,'август 2023'!$D$4:$D$1022,$B107,'август 2023'!$J$4:$J$1022,E$1)</f>
        <v>0</v>
      </c>
      <c r="F107" s="207">
        <f>SUMIFS('август 2023'!$G$4:$G$1022,'август 2023'!$D$4:$D$1022,$B107,'август 2023'!$J$4:$J$1022,F$1)</f>
        <v>0</v>
      </c>
      <c r="G107" s="207">
        <f>SUMIFS('август 2023'!$G$4:$G$1022,'август 2023'!$D$4:$D$1022,$B107,'август 2023'!$J$4:$J$1022,G$1)</f>
        <v>0</v>
      </c>
      <c r="H107" s="207">
        <f>SUMIFS('август 2023'!$G$4:$G$1022,'август 2023'!$D$4:$D$1022,$B107,'август 2023'!$J$4:$J$1022,H$1)</f>
        <v>0</v>
      </c>
      <c r="I107" s="207">
        <f>SUMIFS('август 2023'!$G$4:$G$1022,'август 2023'!$D$4:$D$1022,$B107,'август 2023'!$J$4:$J$1022,I$1)</f>
        <v>0</v>
      </c>
      <c r="J107" s="207">
        <f>SUMIFS('август 2023'!$G$4:$G$1022,'август 2023'!$D$4:$D$1022,$B107,'август 2023'!$J$4:$J$1022,J$1)</f>
        <v>0</v>
      </c>
      <c r="K107" s="207">
        <f>SUMIFS('август 2023'!$G$4:$G$1022,'август 2023'!$D$4:$D$1022,$B107,'август 2023'!$J$4:$J$1022,K$1)</f>
        <v>0</v>
      </c>
      <c r="L107" s="207">
        <f>SUMIFS('август 2023'!$G$4:$G$1022,'август 2023'!$D$4:$D$1022,$B107,'август 2023'!$J$4:$J$1022,L$1)</f>
        <v>0</v>
      </c>
      <c r="M107" s="207">
        <f>SUMIFS('август 2023'!$G$4:$G$1022,'август 2023'!$D$4:$D$1022,$B107,'август 2023'!$J$4:$J$1022,M$1)</f>
        <v>0</v>
      </c>
      <c r="N107" s="207">
        <f>SUMIFS('август 2023'!$G$4:$G$1022,'август 2023'!$D$4:$D$1022,$B107,'август 2023'!$J$4:$J$1022,N$1)</f>
        <v>0</v>
      </c>
      <c r="O107" s="207">
        <f>SUMIFS('август 2023'!$G$4:$G$1022,'август 2023'!$D$4:$D$1022,$B107,'август 2023'!$J$4:$J$1022,O$1)</f>
        <v>0</v>
      </c>
      <c r="P107" s="207">
        <f>SUMIFS('август 2023'!$G$4:$G$1022,'август 2023'!$D$4:$D$1022,$B107,'август 2023'!$J$4:$J$1022,P$1)</f>
        <v>0</v>
      </c>
      <c r="Q107" s="207">
        <f>SUMIFS('август 2023'!$G$4:$G$1022,'август 2023'!$D$4:$D$1022,$B107,'август 2023'!$J$4:$J$1022,Q$1)</f>
        <v>0</v>
      </c>
      <c r="R107" s="207">
        <f>SUMIFS('август 2023'!$G$4:$G$1022,'август 2023'!$D$4:$D$1022,$B107,'август 2023'!$J$4:$J$1022,R$1)</f>
        <v>0</v>
      </c>
      <c r="S107" s="207">
        <f>SUMIFS('август 2023'!$G$4:$G$1022,'август 2023'!$D$4:$D$1022,$B107,'август 2023'!$J$4:$J$1022,S$1)</f>
        <v>0</v>
      </c>
      <c r="T107" s="207">
        <f>SUMIFS('август 2023'!$G$4:$G$1022,'август 2023'!$D$4:$D$1022,$B107,'август 2023'!$J$4:$J$1022,T$1)</f>
        <v>0</v>
      </c>
      <c r="U107" s="207">
        <f>SUMIFS('август 2023'!$G$4:$G$1022,'август 2023'!$D$4:$D$1022,$B107,'август 2023'!$J$4:$J$1022,U$1)</f>
        <v>0</v>
      </c>
      <c r="V107" s="207">
        <f>SUMIFS('август 2023'!$G$4:$G$1022,'август 2023'!$D$4:$D$1022,$B107,'август 2023'!$J$4:$J$1022,V$1)</f>
        <v>0</v>
      </c>
      <c r="W107" s="207">
        <f>SUMIFS('август 2023'!$G$4:$G$1022,'август 2023'!$D$4:$D$1022,$B107,'август 2023'!$J$4:$J$1022,W$1)</f>
        <v>0</v>
      </c>
      <c r="X107" s="207">
        <f>SUMIFS('август 2023'!$G$4:$G$1022,'август 2023'!$D$4:$D$1022,$B107,'август 2023'!$J$4:$J$1022,X$1)</f>
        <v>0</v>
      </c>
      <c r="Y107" s="207">
        <f>SUMIFS('август 2023'!$G$4:$G$1022,'август 2023'!$D$4:$D$1022,$B107,'август 2023'!$J$4:$J$1022,Y$1)</f>
        <v>0</v>
      </c>
      <c r="Z107" s="207">
        <f>SUMIFS('август 2023'!$G$4:$G$1022,'август 2023'!$D$4:$D$1022,$B107,'август 2023'!$J$4:$J$1022,Z$1)</f>
        <v>0</v>
      </c>
      <c r="AA107" s="207">
        <f>SUMIFS('август 2023'!$G$4:$G$1022,'август 2023'!$D$4:$D$1022,$B107,'август 2023'!$J$4:$J$1022,AA$1)</f>
        <v>0</v>
      </c>
      <c r="AB107" s="207">
        <f>SUMIFS('август 2023'!$G$4:$G$1022,'август 2023'!$D$4:$D$1022,$B107,'август 2023'!$J$4:$J$1022,AB$1)</f>
        <v>0</v>
      </c>
      <c r="AC107" s="207">
        <f>SUMIFS('август 2023'!$G$4:$G$1022,'август 2023'!$D$4:$D$1022,$B107,'август 2023'!$J$4:$J$1022,AC$1)</f>
        <v>0</v>
      </c>
      <c r="AD107" s="207">
        <f>SUMIFS('август 2023'!$G$4:$G$1022,'август 2023'!$D$4:$D$1022,$B107,'август 2023'!$J$4:$J$1022,AD$1)</f>
        <v>0</v>
      </c>
      <c r="AE107" s="207">
        <f>SUMIFS('август 2023'!$G$4:$G$1022,'август 2023'!$D$4:$D$1022,$B107,'август 2023'!$J$4:$J$1022,AE$1)</f>
        <v>0</v>
      </c>
      <c r="AF107" s="207">
        <f>SUMIFS('август 2023'!$G$4:$G$1022,'август 2023'!$D$4:$D$1022,$B107,'август 2023'!$J$4:$J$1022,AF$1)</f>
        <v>0</v>
      </c>
      <c r="AG107" s="207">
        <f>SUMIFS('август 2023'!$G$4:$G$1022,'август 2023'!$D$4:$D$1022,$B107,'август 2023'!$J$4:$J$1022,AG$1)</f>
        <v>0</v>
      </c>
      <c r="AH107" s="207">
        <f>SUMIFS('август 2023'!$G$4:$G$1022,'август 2023'!$D$4:$D$1022,$B107,'август 2023'!$J$4:$J$1022,AH$1)</f>
        <v>0</v>
      </c>
      <c r="AI107" s="170">
        <f t="shared" si="2"/>
        <v>0</v>
      </c>
    </row>
    <row r="108" spans="2:35" ht="15" customHeight="1" x14ac:dyDescent="0.25">
      <c r="B108" s="212" t="s">
        <v>1021</v>
      </c>
      <c r="C108" s="213">
        <v>200</v>
      </c>
      <c r="D108" s="207">
        <f>SUMIFS('август 2023'!$G$4:$G$1022,'август 2023'!$D$4:$D$1022,$B108,'август 2023'!$J$4:$J$1022,D$1)</f>
        <v>0</v>
      </c>
      <c r="E108" s="207">
        <f>SUMIFS('август 2023'!$G$4:$G$1022,'август 2023'!$D$4:$D$1022,$B108,'август 2023'!$J$4:$J$1022,E$1)</f>
        <v>0</v>
      </c>
      <c r="F108" s="207">
        <f>SUMIFS('август 2023'!$G$4:$G$1022,'август 2023'!$D$4:$D$1022,$B108,'август 2023'!$J$4:$J$1022,F$1)</f>
        <v>0</v>
      </c>
      <c r="G108" s="207">
        <f>SUMIFS('август 2023'!$G$4:$G$1022,'август 2023'!$D$4:$D$1022,$B108,'август 2023'!$J$4:$J$1022,G$1)</f>
        <v>0</v>
      </c>
      <c r="H108" s="207">
        <f>SUMIFS('август 2023'!$G$4:$G$1022,'август 2023'!$D$4:$D$1022,$B108,'август 2023'!$J$4:$J$1022,H$1)</f>
        <v>0</v>
      </c>
      <c r="I108" s="207">
        <f>SUMIFS('август 2023'!$G$4:$G$1022,'август 2023'!$D$4:$D$1022,$B108,'август 2023'!$J$4:$J$1022,I$1)</f>
        <v>0</v>
      </c>
      <c r="J108" s="207">
        <f>SUMIFS('август 2023'!$G$4:$G$1022,'август 2023'!$D$4:$D$1022,$B108,'август 2023'!$J$4:$J$1022,J$1)</f>
        <v>0</v>
      </c>
      <c r="K108" s="207">
        <f>SUMIFS('август 2023'!$G$4:$G$1022,'август 2023'!$D$4:$D$1022,$B108,'август 2023'!$J$4:$J$1022,K$1)</f>
        <v>0</v>
      </c>
      <c r="L108" s="207">
        <f>SUMIFS('август 2023'!$G$4:$G$1022,'август 2023'!$D$4:$D$1022,$B108,'август 2023'!$J$4:$J$1022,L$1)</f>
        <v>0</v>
      </c>
      <c r="M108" s="207">
        <f>SUMIFS('август 2023'!$G$4:$G$1022,'август 2023'!$D$4:$D$1022,$B108,'август 2023'!$J$4:$J$1022,M$1)</f>
        <v>0</v>
      </c>
      <c r="N108" s="207">
        <f>SUMIFS('август 2023'!$G$4:$G$1022,'август 2023'!$D$4:$D$1022,$B108,'август 2023'!$J$4:$J$1022,N$1)</f>
        <v>0</v>
      </c>
      <c r="O108" s="207">
        <f>SUMIFS('август 2023'!$G$4:$G$1022,'август 2023'!$D$4:$D$1022,$B108,'август 2023'!$J$4:$J$1022,O$1)</f>
        <v>0</v>
      </c>
      <c r="P108" s="207">
        <f>SUMIFS('август 2023'!$G$4:$G$1022,'август 2023'!$D$4:$D$1022,$B108,'август 2023'!$J$4:$J$1022,P$1)</f>
        <v>0</v>
      </c>
      <c r="Q108" s="207">
        <f>SUMIFS('август 2023'!$G$4:$G$1022,'август 2023'!$D$4:$D$1022,$B108,'август 2023'!$J$4:$J$1022,Q$1)</f>
        <v>0</v>
      </c>
      <c r="R108" s="207">
        <f>SUMIFS('август 2023'!$G$4:$G$1022,'август 2023'!$D$4:$D$1022,$B108,'август 2023'!$J$4:$J$1022,R$1)</f>
        <v>0</v>
      </c>
      <c r="S108" s="207">
        <f>SUMIFS('август 2023'!$G$4:$G$1022,'август 2023'!$D$4:$D$1022,$B108,'август 2023'!$J$4:$J$1022,S$1)</f>
        <v>0</v>
      </c>
      <c r="T108" s="207">
        <f>SUMIFS('август 2023'!$G$4:$G$1022,'август 2023'!$D$4:$D$1022,$B108,'август 2023'!$J$4:$J$1022,T$1)</f>
        <v>0</v>
      </c>
      <c r="U108" s="207">
        <f>SUMIFS('август 2023'!$G$4:$G$1022,'август 2023'!$D$4:$D$1022,$B108,'август 2023'!$J$4:$J$1022,U$1)</f>
        <v>0</v>
      </c>
      <c r="V108" s="207">
        <f>SUMIFS('август 2023'!$G$4:$G$1022,'август 2023'!$D$4:$D$1022,$B108,'август 2023'!$J$4:$J$1022,V$1)</f>
        <v>0</v>
      </c>
      <c r="W108" s="207">
        <f>SUMIFS('август 2023'!$G$4:$G$1022,'август 2023'!$D$4:$D$1022,$B108,'август 2023'!$J$4:$J$1022,W$1)</f>
        <v>0</v>
      </c>
      <c r="X108" s="207">
        <f>SUMIFS('август 2023'!$G$4:$G$1022,'август 2023'!$D$4:$D$1022,$B108,'август 2023'!$J$4:$J$1022,X$1)</f>
        <v>0</v>
      </c>
      <c r="Y108" s="207">
        <f>SUMIFS('август 2023'!$G$4:$G$1022,'август 2023'!$D$4:$D$1022,$B108,'август 2023'!$J$4:$J$1022,Y$1)</f>
        <v>0</v>
      </c>
      <c r="Z108" s="207">
        <f>SUMIFS('август 2023'!$G$4:$G$1022,'август 2023'!$D$4:$D$1022,$B108,'август 2023'!$J$4:$J$1022,Z$1)</f>
        <v>0</v>
      </c>
      <c r="AA108" s="207">
        <f>SUMIFS('август 2023'!$G$4:$G$1022,'август 2023'!$D$4:$D$1022,$B108,'август 2023'!$J$4:$J$1022,AA$1)</f>
        <v>0</v>
      </c>
      <c r="AB108" s="207">
        <f>SUMIFS('август 2023'!$G$4:$G$1022,'август 2023'!$D$4:$D$1022,$B108,'август 2023'!$J$4:$J$1022,AB$1)</f>
        <v>0</v>
      </c>
      <c r="AC108" s="207">
        <f>SUMIFS('август 2023'!$G$4:$G$1022,'август 2023'!$D$4:$D$1022,$B108,'август 2023'!$J$4:$J$1022,AC$1)</f>
        <v>0</v>
      </c>
      <c r="AD108" s="207">
        <f>SUMIFS('август 2023'!$G$4:$G$1022,'август 2023'!$D$4:$D$1022,$B108,'август 2023'!$J$4:$J$1022,AD$1)</f>
        <v>0</v>
      </c>
      <c r="AE108" s="207">
        <f>SUMIFS('август 2023'!$G$4:$G$1022,'август 2023'!$D$4:$D$1022,$B108,'август 2023'!$J$4:$J$1022,AE$1)</f>
        <v>0</v>
      </c>
      <c r="AF108" s="207">
        <f>SUMIFS('август 2023'!$G$4:$G$1022,'август 2023'!$D$4:$D$1022,$B108,'август 2023'!$J$4:$J$1022,AF$1)</f>
        <v>0</v>
      </c>
      <c r="AG108" s="207">
        <f>SUMIFS('август 2023'!$G$4:$G$1022,'август 2023'!$D$4:$D$1022,$B108,'август 2023'!$J$4:$J$1022,AG$1)</f>
        <v>0</v>
      </c>
      <c r="AH108" s="207">
        <f>SUMIFS('август 2023'!$G$4:$G$1022,'август 2023'!$D$4:$D$1022,$B108,'август 2023'!$J$4:$J$1022,AH$1)</f>
        <v>0</v>
      </c>
      <c r="AI108" s="170">
        <f t="shared" si="2"/>
        <v>0</v>
      </c>
    </row>
    <row r="109" spans="2:35" ht="15" customHeight="1" x14ac:dyDescent="0.25">
      <c r="B109" s="212" t="s">
        <v>1023</v>
      </c>
      <c r="C109" s="213">
        <v>25</v>
      </c>
      <c r="D109" s="207">
        <f>SUMIFS('август 2023'!$G$4:$G$1022,'август 2023'!$D$4:$D$1022,$B109,'август 2023'!$J$4:$J$1022,D$1)</f>
        <v>0</v>
      </c>
      <c r="E109" s="207">
        <f>SUMIFS('август 2023'!$G$4:$G$1022,'август 2023'!$D$4:$D$1022,$B109,'август 2023'!$J$4:$J$1022,E$1)</f>
        <v>0</v>
      </c>
      <c r="F109" s="207">
        <f>SUMIFS('август 2023'!$G$4:$G$1022,'август 2023'!$D$4:$D$1022,$B109,'август 2023'!$J$4:$J$1022,F$1)</f>
        <v>0</v>
      </c>
      <c r="G109" s="207">
        <f>SUMIFS('август 2023'!$G$4:$G$1022,'август 2023'!$D$4:$D$1022,$B109,'август 2023'!$J$4:$J$1022,G$1)</f>
        <v>0</v>
      </c>
      <c r="H109" s="207">
        <f>SUMIFS('август 2023'!$G$4:$G$1022,'август 2023'!$D$4:$D$1022,$B109,'август 2023'!$J$4:$J$1022,H$1)</f>
        <v>0</v>
      </c>
      <c r="I109" s="207">
        <f>SUMIFS('август 2023'!$G$4:$G$1022,'август 2023'!$D$4:$D$1022,$B109,'август 2023'!$J$4:$J$1022,I$1)</f>
        <v>0</v>
      </c>
      <c r="J109" s="207">
        <f>SUMIFS('август 2023'!$G$4:$G$1022,'август 2023'!$D$4:$D$1022,$B109,'август 2023'!$J$4:$J$1022,J$1)</f>
        <v>0</v>
      </c>
      <c r="K109" s="207">
        <f>SUMIFS('август 2023'!$G$4:$G$1022,'август 2023'!$D$4:$D$1022,$B109,'август 2023'!$J$4:$J$1022,K$1)</f>
        <v>0</v>
      </c>
      <c r="L109" s="207">
        <f>SUMIFS('август 2023'!$G$4:$G$1022,'август 2023'!$D$4:$D$1022,$B109,'август 2023'!$J$4:$J$1022,L$1)</f>
        <v>0</v>
      </c>
      <c r="M109" s="207">
        <f>SUMIFS('август 2023'!$G$4:$G$1022,'август 2023'!$D$4:$D$1022,$B109,'август 2023'!$J$4:$J$1022,M$1)</f>
        <v>0</v>
      </c>
      <c r="N109" s="207">
        <f>SUMIFS('август 2023'!$G$4:$G$1022,'август 2023'!$D$4:$D$1022,$B109,'август 2023'!$J$4:$J$1022,N$1)</f>
        <v>0</v>
      </c>
      <c r="O109" s="207">
        <f>SUMIFS('август 2023'!$G$4:$G$1022,'август 2023'!$D$4:$D$1022,$B109,'август 2023'!$J$4:$J$1022,O$1)</f>
        <v>0</v>
      </c>
      <c r="P109" s="207">
        <f>SUMIFS('август 2023'!$G$4:$G$1022,'август 2023'!$D$4:$D$1022,$B109,'август 2023'!$J$4:$J$1022,P$1)</f>
        <v>0</v>
      </c>
      <c r="Q109" s="207">
        <f>SUMIFS('август 2023'!$G$4:$G$1022,'август 2023'!$D$4:$D$1022,$B109,'август 2023'!$J$4:$J$1022,Q$1)</f>
        <v>0</v>
      </c>
      <c r="R109" s="207">
        <f>SUMIFS('август 2023'!$G$4:$G$1022,'август 2023'!$D$4:$D$1022,$B109,'август 2023'!$J$4:$J$1022,R$1)</f>
        <v>0</v>
      </c>
      <c r="S109" s="207">
        <f>SUMIFS('август 2023'!$G$4:$G$1022,'август 2023'!$D$4:$D$1022,$B109,'август 2023'!$J$4:$J$1022,S$1)</f>
        <v>0</v>
      </c>
      <c r="T109" s="207">
        <f>SUMIFS('август 2023'!$G$4:$G$1022,'август 2023'!$D$4:$D$1022,$B109,'август 2023'!$J$4:$J$1022,T$1)</f>
        <v>0</v>
      </c>
      <c r="U109" s="207">
        <f>SUMIFS('август 2023'!$G$4:$G$1022,'август 2023'!$D$4:$D$1022,$B109,'август 2023'!$J$4:$J$1022,U$1)</f>
        <v>0</v>
      </c>
      <c r="V109" s="207">
        <f>SUMIFS('август 2023'!$G$4:$G$1022,'август 2023'!$D$4:$D$1022,$B109,'август 2023'!$J$4:$J$1022,V$1)</f>
        <v>0</v>
      </c>
      <c r="W109" s="207">
        <f>SUMIFS('август 2023'!$G$4:$G$1022,'август 2023'!$D$4:$D$1022,$B109,'август 2023'!$J$4:$J$1022,W$1)</f>
        <v>0</v>
      </c>
      <c r="X109" s="207">
        <f>SUMIFS('август 2023'!$G$4:$G$1022,'август 2023'!$D$4:$D$1022,$B109,'август 2023'!$J$4:$J$1022,X$1)</f>
        <v>0</v>
      </c>
      <c r="Y109" s="207">
        <f>SUMIFS('август 2023'!$G$4:$G$1022,'август 2023'!$D$4:$D$1022,$B109,'август 2023'!$J$4:$J$1022,Y$1)</f>
        <v>0</v>
      </c>
      <c r="Z109" s="207">
        <f>SUMIFS('август 2023'!$G$4:$G$1022,'август 2023'!$D$4:$D$1022,$B109,'август 2023'!$J$4:$J$1022,Z$1)</f>
        <v>0</v>
      </c>
      <c r="AA109" s="207">
        <f>SUMIFS('август 2023'!$G$4:$G$1022,'август 2023'!$D$4:$D$1022,$B109,'август 2023'!$J$4:$J$1022,AA$1)</f>
        <v>0</v>
      </c>
      <c r="AB109" s="207">
        <f>SUMIFS('август 2023'!$G$4:$G$1022,'август 2023'!$D$4:$D$1022,$B109,'август 2023'!$J$4:$J$1022,AB$1)</f>
        <v>0</v>
      </c>
      <c r="AC109" s="207">
        <f>SUMIFS('август 2023'!$G$4:$G$1022,'август 2023'!$D$4:$D$1022,$B109,'август 2023'!$J$4:$J$1022,AC$1)</f>
        <v>0</v>
      </c>
      <c r="AD109" s="207">
        <f>SUMIFS('август 2023'!$G$4:$G$1022,'август 2023'!$D$4:$D$1022,$B109,'август 2023'!$J$4:$J$1022,AD$1)</f>
        <v>0</v>
      </c>
      <c r="AE109" s="207">
        <f>SUMIFS('август 2023'!$G$4:$G$1022,'август 2023'!$D$4:$D$1022,$B109,'август 2023'!$J$4:$J$1022,AE$1)</f>
        <v>0</v>
      </c>
      <c r="AF109" s="207">
        <f>SUMIFS('август 2023'!$G$4:$G$1022,'август 2023'!$D$4:$D$1022,$B109,'август 2023'!$J$4:$J$1022,AF$1)</f>
        <v>0</v>
      </c>
      <c r="AG109" s="207">
        <f>SUMIFS('август 2023'!$G$4:$G$1022,'август 2023'!$D$4:$D$1022,$B109,'август 2023'!$J$4:$J$1022,AG$1)</f>
        <v>0</v>
      </c>
      <c r="AH109" s="207">
        <f>SUMIFS('август 2023'!$G$4:$G$1022,'август 2023'!$D$4:$D$1022,$B109,'август 2023'!$J$4:$J$1022,AH$1)</f>
        <v>0</v>
      </c>
      <c r="AI109" s="170">
        <f t="shared" si="2"/>
        <v>0</v>
      </c>
    </row>
    <row r="110" spans="2:35" ht="15" customHeight="1" x14ac:dyDescent="0.25">
      <c r="B110" s="216" t="s">
        <v>2199</v>
      </c>
      <c r="C110" s="213">
        <v>200</v>
      </c>
      <c r="D110" s="207">
        <f>SUMIFS('август 2023'!$G$4:$G$1022,'август 2023'!$D$4:$D$1022,$B110,'август 2023'!$J$4:$J$1022,D$1)</f>
        <v>0</v>
      </c>
      <c r="E110" s="207">
        <f>SUMIFS('август 2023'!$G$4:$G$1022,'август 2023'!$D$4:$D$1022,$B110,'август 2023'!$J$4:$J$1022,E$1)</f>
        <v>0</v>
      </c>
      <c r="F110" s="207">
        <f>SUMIFS('август 2023'!$G$4:$G$1022,'август 2023'!$D$4:$D$1022,$B110,'август 2023'!$J$4:$J$1022,F$1)</f>
        <v>0</v>
      </c>
      <c r="G110" s="207">
        <f>SUMIFS('август 2023'!$G$4:$G$1022,'август 2023'!$D$4:$D$1022,$B110,'август 2023'!$J$4:$J$1022,G$1)</f>
        <v>0</v>
      </c>
      <c r="H110" s="207">
        <f>SUMIFS('август 2023'!$G$4:$G$1022,'август 2023'!$D$4:$D$1022,$B110,'август 2023'!$J$4:$J$1022,H$1)</f>
        <v>0</v>
      </c>
      <c r="I110" s="207">
        <f>SUMIFS('август 2023'!$G$4:$G$1022,'август 2023'!$D$4:$D$1022,$B110,'август 2023'!$J$4:$J$1022,I$1)</f>
        <v>0</v>
      </c>
      <c r="J110" s="207">
        <f>SUMIFS('август 2023'!$G$4:$G$1022,'август 2023'!$D$4:$D$1022,$B110,'август 2023'!$J$4:$J$1022,J$1)</f>
        <v>0</v>
      </c>
      <c r="K110" s="207">
        <f>SUMIFS('август 2023'!$G$4:$G$1022,'август 2023'!$D$4:$D$1022,$B110,'август 2023'!$J$4:$J$1022,K$1)</f>
        <v>0</v>
      </c>
      <c r="L110" s="207">
        <f>SUMIFS('август 2023'!$G$4:$G$1022,'август 2023'!$D$4:$D$1022,$B110,'август 2023'!$J$4:$J$1022,L$1)</f>
        <v>0</v>
      </c>
      <c r="M110" s="207">
        <f>SUMIFS('август 2023'!$G$4:$G$1022,'август 2023'!$D$4:$D$1022,$B110,'август 2023'!$J$4:$J$1022,M$1)</f>
        <v>0</v>
      </c>
      <c r="N110" s="207">
        <f>SUMIFS('август 2023'!$G$4:$G$1022,'август 2023'!$D$4:$D$1022,$B110,'август 2023'!$J$4:$J$1022,N$1)</f>
        <v>0</v>
      </c>
      <c r="O110" s="207">
        <f>SUMIFS('август 2023'!$G$4:$G$1022,'август 2023'!$D$4:$D$1022,$B110,'август 2023'!$J$4:$J$1022,O$1)</f>
        <v>0</v>
      </c>
      <c r="P110" s="207">
        <f>SUMIFS('август 2023'!$G$4:$G$1022,'август 2023'!$D$4:$D$1022,$B110,'август 2023'!$J$4:$J$1022,P$1)</f>
        <v>0</v>
      </c>
      <c r="Q110" s="207">
        <f>SUMIFS('август 2023'!$G$4:$G$1022,'август 2023'!$D$4:$D$1022,$B110,'август 2023'!$J$4:$J$1022,Q$1)</f>
        <v>0</v>
      </c>
      <c r="R110" s="207">
        <f>SUMIFS('август 2023'!$G$4:$G$1022,'август 2023'!$D$4:$D$1022,$B110,'август 2023'!$J$4:$J$1022,R$1)</f>
        <v>0</v>
      </c>
      <c r="S110" s="207">
        <f>SUMIFS('август 2023'!$G$4:$G$1022,'август 2023'!$D$4:$D$1022,$B110,'август 2023'!$J$4:$J$1022,S$1)</f>
        <v>0</v>
      </c>
      <c r="T110" s="207">
        <f>SUMIFS('август 2023'!$G$4:$G$1022,'август 2023'!$D$4:$D$1022,$B110,'август 2023'!$J$4:$J$1022,T$1)</f>
        <v>0</v>
      </c>
      <c r="U110" s="207">
        <f>SUMIFS('август 2023'!$G$4:$G$1022,'август 2023'!$D$4:$D$1022,$B110,'август 2023'!$J$4:$J$1022,U$1)</f>
        <v>0</v>
      </c>
      <c r="V110" s="207">
        <f>SUMIFS('август 2023'!$G$4:$G$1022,'август 2023'!$D$4:$D$1022,$B110,'август 2023'!$J$4:$J$1022,V$1)</f>
        <v>0</v>
      </c>
      <c r="W110" s="207">
        <f>SUMIFS('август 2023'!$G$4:$G$1022,'август 2023'!$D$4:$D$1022,$B110,'август 2023'!$J$4:$J$1022,W$1)</f>
        <v>0</v>
      </c>
      <c r="X110" s="207">
        <f>SUMIFS('август 2023'!$G$4:$G$1022,'август 2023'!$D$4:$D$1022,$B110,'август 2023'!$J$4:$J$1022,X$1)</f>
        <v>0</v>
      </c>
      <c r="Y110" s="207">
        <f>SUMIFS('август 2023'!$G$4:$G$1022,'август 2023'!$D$4:$D$1022,$B110,'август 2023'!$J$4:$J$1022,Y$1)</f>
        <v>0</v>
      </c>
      <c r="Z110" s="207">
        <f>SUMIFS('август 2023'!$G$4:$G$1022,'август 2023'!$D$4:$D$1022,$B110,'август 2023'!$J$4:$J$1022,Z$1)</f>
        <v>0</v>
      </c>
      <c r="AA110" s="207">
        <f>SUMIFS('август 2023'!$G$4:$G$1022,'август 2023'!$D$4:$D$1022,$B110,'август 2023'!$J$4:$J$1022,AA$1)</f>
        <v>0</v>
      </c>
      <c r="AB110" s="207">
        <f>SUMIFS('август 2023'!$G$4:$G$1022,'август 2023'!$D$4:$D$1022,$B110,'август 2023'!$J$4:$J$1022,AB$1)</f>
        <v>0</v>
      </c>
      <c r="AC110" s="207">
        <f>SUMIFS('август 2023'!$G$4:$G$1022,'август 2023'!$D$4:$D$1022,$B110,'август 2023'!$J$4:$J$1022,AC$1)</f>
        <v>0</v>
      </c>
      <c r="AD110" s="207">
        <f>SUMIFS('август 2023'!$G$4:$G$1022,'август 2023'!$D$4:$D$1022,$B110,'август 2023'!$J$4:$J$1022,AD$1)</f>
        <v>0</v>
      </c>
      <c r="AE110" s="207">
        <f>SUMIFS('август 2023'!$G$4:$G$1022,'август 2023'!$D$4:$D$1022,$B110,'август 2023'!$J$4:$J$1022,AE$1)</f>
        <v>0</v>
      </c>
      <c r="AF110" s="207">
        <f>SUMIFS('август 2023'!$G$4:$G$1022,'август 2023'!$D$4:$D$1022,$B110,'август 2023'!$J$4:$J$1022,AF$1)</f>
        <v>0</v>
      </c>
      <c r="AG110" s="207">
        <f>SUMIFS('август 2023'!$G$4:$G$1022,'август 2023'!$D$4:$D$1022,$B110,'август 2023'!$J$4:$J$1022,AG$1)</f>
        <v>0</v>
      </c>
      <c r="AH110" s="207">
        <f>SUMIFS('август 2023'!$G$4:$G$1022,'август 2023'!$D$4:$D$1022,$B110,'август 2023'!$J$4:$J$1022,AH$1)</f>
        <v>0</v>
      </c>
      <c r="AI110" s="170">
        <f t="shared" si="2"/>
        <v>0</v>
      </c>
    </row>
    <row r="111" spans="2:35" ht="15" customHeight="1" x14ac:dyDescent="0.25">
      <c r="B111" s="216" t="s">
        <v>775</v>
      </c>
      <c r="C111" s="213">
        <v>200</v>
      </c>
      <c r="D111" s="207">
        <f>SUMIFS('август 2023'!$G$4:$G$1022,'август 2023'!$D$4:$D$1022,$B111,'август 2023'!$J$4:$J$1022,D$1)</f>
        <v>0</v>
      </c>
      <c r="E111" s="207">
        <f>SUMIFS('август 2023'!$G$4:$G$1022,'август 2023'!$D$4:$D$1022,$B111,'август 2023'!$J$4:$J$1022,E$1)</f>
        <v>5</v>
      </c>
      <c r="F111" s="207">
        <f>SUMIFS('август 2023'!$G$4:$G$1022,'август 2023'!$D$4:$D$1022,$B111,'август 2023'!$J$4:$J$1022,F$1)</f>
        <v>0</v>
      </c>
      <c r="G111" s="207">
        <f>SUMIFS('август 2023'!$G$4:$G$1022,'август 2023'!$D$4:$D$1022,$B111,'август 2023'!$J$4:$J$1022,G$1)</f>
        <v>0</v>
      </c>
      <c r="H111" s="207">
        <f>SUMIFS('август 2023'!$G$4:$G$1022,'август 2023'!$D$4:$D$1022,$B111,'август 2023'!$J$4:$J$1022,H$1)</f>
        <v>0</v>
      </c>
      <c r="I111" s="207">
        <f>SUMIFS('август 2023'!$G$4:$G$1022,'август 2023'!$D$4:$D$1022,$B111,'август 2023'!$J$4:$J$1022,I$1)</f>
        <v>0</v>
      </c>
      <c r="J111" s="207">
        <f>SUMIFS('август 2023'!$G$4:$G$1022,'август 2023'!$D$4:$D$1022,$B111,'август 2023'!$J$4:$J$1022,J$1)</f>
        <v>0</v>
      </c>
      <c r="K111" s="207">
        <f>SUMIFS('август 2023'!$G$4:$G$1022,'август 2023'!$D$4:$D$1022,$B111,'август 2023'!$J$4:$J$1022,K$1)</f>
        <v>0</v>
      </c>
      <c r="L111" s="207">
        <f>SUMIFS('август 2023'!$G$4:$G$1022,'август 2023'!$D$4:$D$1022,$B111,'август 2023'!$J$4:$J$1022,L$1)</f>
        <v>0</v>
      </c>
      <c r="M111" s="207">
        <f>SUMIFS('август 2023'!$G$4:$G$1022,'август 2023'!$D$4:$D$1022,$B111,'август 2023'!$J$4:$J$1022,M$1)</f>
        <v>0</v>
      </c>
      <c r="N111" s="207">
        <f>SUMIFS('август 2023'!$G$4:$G$1022,'август 2023'!$D$4:$D$1022,$B111,'август 2023'!$J$4:$J$1022,N$1)</f>
        <v>0</v>
      </c>
      <c r="O111" s="207">
        <f>SUMIFS('август 2023'!$G$4:$G$1022,'август 2023'!$D$4:$D$1022,$B111,'август 2023'!$J$4:$J$1022,O$1)</f>
        <v>0</v>
      </c>
      <c r="P111" s="207">
        <f>SUMIFS('август 2023'!$G$4:$G$1022,'август 2023'!$D$4:$D$1022,$B111,'август 2023'!$J$4:$J$1022,P$1)</f>
        <v>0</v>
      </c>
      <c r="Q111" s="207">
        <f>SUMIFS('август 2023'!$G$4:$G$1022,'август 2023'!$D$4:$D$1022,$B111,'август 2023'!$J$4:$J$1022,Q$1)</f>
        <v>0</v>
      </c>
      <c r="R111" s="207">
        <f>SUMIFS('август 2023'!$G$4:$G$1022,'август 2023'!$D$4:$D$1022,$B111,'август 2023'!$J$4:$J$1022,R$1)</f>
        <v>0</v>
      </c>
      <c r="S111" s="207">
        <f>SUMIFS('август 2023'!$G$4:$G$1022,'август 2023'!$D$4:$D$1022,$B111,'август 2023'!$J$4:$J$1022,S$1)</f>
        <v>0</v>
      </c>
      <c r="T111" s="207">
        <f>SUMIFS('август 2023'!$G$4:$G$1022,'август 2023'!$D$4:$D$1022,$B111,'август 2023'!$J$4:$J$1022,T$1)</f>
        <v>0</v>
      </c>
      <c r="U111" s="207">
        <f>SUMIFS('август 2023'!$G$4:$G$1022,'август 2023'!$D$4:$D$1022,$B111,'август 2023'!$J$4:$J$1022,U$1)</f>
        <v>0</v>
      </c>
      <c r="V111" s="207">
        <f>SUMIFS('август 2023'!$G$4:$G$1022,'август 2023'!$D$4:$D$1022,$B111,'август 2023'!$J$4:$J$1022,V$1)</f>
        <v>0</v>
      </c>
      <c r="W111" s="207">
        <f>SUMIFS('август 2023'!$G$4:$G$1022,'август 2023'!$D$4:$D$1022,$B111,'август 2023'!$J$4:$J$1022,W$1)</f>
        <v>0</v>
      </c>
      <c r="X111" s="207">
        <f>SUMIFS('август 2023'!$G$4:$G$1022,'август 2023'!$D$4:$D$1022,$B111,'август 2023'!$J$4:$J$1022,X$1)</f>
        <v>0</v>
      </c>
      <c r="Y111" s="207">
        <f>SUMIFS('август 2023'!$G$4:$G$1022,'август 2023'!$D$4:$D$1022,$B111,'август 2023'!$J$4:$J$1022,Y$1)</f>
        <v>0</v>
      </c>
      <c r="Z111" s="207">
        <f>SUMIFS('август 2023'!$G$4:$G$1022,'август 2023'!$D$4:$D$1022,$B111,'август 2023'!$J$4:$J$1022,Z$1)</f>
        <v>0</v>
      </c>
      <c r="AA111" s="207">
        <f>SUMIFS('август 2023'!$G$4:$G$1022,'август 2023'!$D$4:$D$1022,$B111,'август 2023'!$J$4:$J$1022,AA$1)</f>
        <v>0</v>
      </c>
      <c r="AB111" s="207">
        <f>SUMIFS('август 2023'!$G$4:$G$1022,'август 2023'!$D$4:$D$1022,$B111,'август 2023'!$J$4:$J$1022,AB$1)</f>
        <v>0</v>
      </c>
      <c r="AC111" s="207">
        <f>SUMIFS('август 2023'!$G$4:$G$1022,'август 2023'!$D$4:$D$1022,$B111,'август 2023'!$J$4:$J$1022,AC$1)</f>
        <v>0</v>
      </c>
      <c r="AD111" s="207">
        <f>SUMIFS('август 2023'!$G$4:$G$1022,'август 2023'!$D$4:$D$1022,$B111,'август 2023'!$J$4:$J$1022,AD$1)</f>
        <v>0</v>
      </c>
      <c r="AE111" s="207">
        <f>SUMIFS('август 2023'!$G$4:$G$1022,'август 2023'!$D$4:$D$1022,$B111,'август 2023'!$J$4:$J$1022,AE$1)</f>
        <v>0</v>
      </c>
      <c r="AF111" s="207">
        <f>SUMIFS('август 2023'!$G$4:$G$1022,'август 2023'!$D$4:$D$1022,$B111,'август 2023'!$J$4:$J$1022,AF$1)</f>
        <v>0</v>
      </c>
      <c r="AG111" s="207">
        <f>SUMIFS('август 2023'!$G$4:$G$1022,'август 2023'!$D$4:$D$1022,$B111,'август 2023'!$J$4:$J$1022,AG$1)</f>
        <v>0</v>
      </c>
      <c r="AH111" s="207">
        <f>SUMIFS('август 2023'!$G$4:$G$1022,'август 2023'!$D$4:$D$1022,$B111,'август 2023'!$J$4:$J$1022,AH$1)</f>
        <v>0</v>
      </c>
      <c r="AI111" s="170">
        <f t="shared" si="2"/>
        <v>5</v>
      </c>
    </row>
    <row r="112" spans="2:35" ht="16.899999999999999" customHeight="1" x14ac:dyDescent="0.25">
      <c r="B112" s="212" t="s">
        <v>1094</v>
      </c>
      <c r="C112" s="211">
        <v>25</v>
      </c>
      <c r="D112" s="207">
        <f>SUMIFS('август 2023'!$G$4:$G$1022,'август 2023'!$D$4:$D$1022,$B112,'август 2023'!$J$4:$J$1022,D$1)</f>
        <v>0</v>
      </c>
      <c r="E112" s="207">
        <f>SUMIFS('август 2023'!$G$4:$G$1022,'август 2023'!$D$4:$D$1022,$B112,'август 2023'!$J$4:$J$1022,E$1)</f>
        <v>0</v>
      </c>
      <c r="F112" s="207">
        <f>SUMIFS('август 2023'!$G$4:$G$1022,'август 2023'!$D$4:$D$1022,$B112,'август 2023'!$J$4:$J$1022,F$1)</f>
        <v>0</v>
      </c>
      <c r="G112" s="207">
        <f>SUMIFS('август 2023'!$G$4:$G$1022,'август 2023'!$D$4:$D$1022,$B112,'август 2023'!$J$4:$J$1022,G$1)</f>
        <v>0</v>
      </c>
      <c r="H112" s="207">
        <f>SUMIFS('август 2023'!$G$4:$G$1022,'август 2023'!$D$4:$D$1022,$B112,'август 2023'!$J$4:$J$1022,H$1)</f>
        <v>0</v>
      </c>
      <c r="I112" s="207">
        <f>SUMIFS('август 2023'!$G$4:$G$1022,'август 2023'!$D$4:$D$1022,$B112,'август 2023'!$J$4:$J$1022,I$1)</f>
        <v>0</v>
      </c>
      <c r="J112" s="207">
        <f>SUMIFS('август 2023'!$G$4:$G$1022,'август 2023'!$D$4:$D$1022,$B112,'август 2023'!$J$4:$J$1022,J$1)</f>
        <v>0</v>
      </c>
      <c r="K112" s="207">
        <f>SUMIFS('август 2023'!$G$4:$G$1022,'август 2023'!$D$4:$D$1022,$B112,'август 2023'!$J$4:$J$1022,K$1)</f>
        <v>0</v>
      </c>
      <c r="L112" s="207">
        <f>SUMIFS('август 2023'!$G$4:$G$1022,'август 2023'!$D$4:$D$1022,$B112,'август 2023'!$J$4:$J$1022,L$1)</f>
        <v>0</v>
      </c>
      <c r="M112" s="207">
        <f>SUMIFS('август 2023'!$G$4:$G$1022,'август 2023'!$D$4:$D$1022,$B112,'август 2023'!$J$4:$J$1022,M$1)</f>
        <v>0</v>
      </c>
      <c r="N112" s="207">
        <f>SUMIFS('август 2023'!$G$4:$G$1022,'август 2023'!$D$4:$D$1022,$B112,'август 2023'!$J$4:$J$1022,N$1)</f>
        <v>0</v>
      </c>
      <c r="O112" s="207">
        <f>SUMIFS('август 2023'!$G$4:$G$1022,'август 2023'!$D$4:$D$1022,$B112,'август 2023'!$J$4:$J$1022,O$1)</f>
        <v>0</v>
      </c>
      <c r="P112" s="207">
        <f>SUMIFS('август 2023'!$G$4:$G$1022,'август 2023'!$D$4:$D$1022,$B112,'август 2023'!$J$4:$J$1022,P$1)</f>
        <v>0</v>
      </c>
      <c r="Q112" s="207">
        <f>SUMIFS('август 2023'!$G$4:$G$1022,'август 2023'!$D$4:$D$1022,$B112,'август 2023'!$J$4:$J$1022,Q$1)</f>
        <v>0</v>
      </c>
      <c r="R112" s="207">
        <f>SUMIFS('август 2023'!$G$4:$G$1022,'август 2023'!$D$4:$D$1022,$B112,'август 2023'!$J$4:$J$1022,R$1)</f>
        <v>0</v>
      </c>
      <c r="S112" s="207">
        <f>SUMIFS('август 2023'!$G$4:$G$1022,'август 2023'!$D$4:$D$1022,$B112,'август 2023'!$J$4:$J$1022,S$1)</f>
        <v>0</v>
      </c>
      <c r="T112" s="207">
        <f>SUMIFS('август 2023'!$G$4:$G$1022,'август 2023'!$D$4:$D$1022,$B112,'август 2023'!$J$4:$J$1022,T$1)</f>
        <v>0</v>
      </c>
      <c r="U112" s="207">
        <f>SUMIFS('август 2023'!$G$4:$G$1022,'август 2023'!$D$4:$D$1022,$B112,'август 2023'!$J$4:$J$1022,U$1)</f>
        <v>0</v>
      </c>
      <c r="V112" s="207">
        <f>SUMIFS('август 2023'!$G$4:$G$1022,'август 2023'!$D$4:$D$1022,$B112,'август 2023'!$J$4:$J$1022,V$1)</f>
        <v>0</v>
      </c>
      <c r="W112" s="207">
        <f>SUMIFS('август 2023'!$G$4:$G$1022,'август 2023'!$D$4:$D$1022,$B112,'август 2023'!$J$4:$J$1022,W$1)</f>
        <v>0</v>
      </c>
      <c r="X112" s="207">
        <f>SUMIFS('август 2023'!$G$4:$G$1022,'август 2023'!$D$4:$D$1022,$B112,'август 2023'!$J$4:$J$1022,X$1)</f>
        <v>0</v>
      </c>
      <c r="Y112" s="207">
        <f>SUMIFS('август 2023'!$G$4:$G$1022,'август 2023'!$D$4:$D$1022,$B112,'август 2023'!$J$4:$J$1022,Y$1)</f>
        <v>0</v>
      </c>
      <c r="Z112" s="207">
        <f>SUMIFS('август 2023'!$G$4:$G$1022,'август 2023'!$D$4:$D$1022,$B112,'август 2023'!$J$4:$J$1022,Z$1)</f>
        <v>0</v>
      </c>
      <c r="AA112" s="207">
        <f>SUMIFS('август 2023'!$G$4:$G$1022,'август 2023'!$D$4:$D$1022,$B112,'август 2023'!$J$4:$J$1022,AA$1)</f>
        <v>0</v>
      </c>
      <c r="AB112" s="207">
        <f>SUMIFS('август 2023'!$G$4:$G$1022,'август 2023'!$D$4:$D$1022,$B112,'август 2023'!$J$4:$J$1022,AB$1)</f>
        <v>0</v>
      </c>
      <c r="AC112" s="207">
        <f>SUMIFS('август 2023'!$G$4:$G$1022,'август 2023'!$D$4:$D$1022,$B112,'август 2023'!$J$4:$J$1022,AC$1)</f>
        <v>0</v>
      </c>
      <c r="AD112" s="207">
        <f>SUMIFS('август 2023'!$G$4:$G$1022,'август 2023'!$D$4:$D$1022,$B112,'август 2023'!$J$4:$J$1022,AD$1)</f>
        <v>0</v>
      </c>
      <c r="AE112" s="207">
        <f>SUMIFS('август 2023'!$G$4:$G$1022,'август 2023'!$D$4:$D$1022,$B112,'август 2023'!$J$4:$J$1022,AE$1)</f>
        <v>0</v>
      </c>
      <c r="AF112" s="207">
        <f>SUMIFS('август 2023'!$G$4:$G$1022,'август 2023'!$D$4:$D$1022,$B112,'август 2023'!$J$4:$J$1022,AF$1)</f>
        <v>0</v>
      </c>
      <c r="AG112" s="207">
        <f>SUMIFS('август 2023'!$G$4:$G$1022,'август 2023'!$D$4:$D$1022,$B112,'август 2023'!$J$4:$J$1022,AG$1)</f>
        <v>0</v>
      </c>
      <c r="AH112" s="207">
        <f>SUMIFS('август 2023'!$G$4:$G$1022,'август 2023'!$D$4:$D$1022,$B112,'август 2023'!$J$4:$J$1022,AH$1)</f>
        <v>0</v>
      </c>
      <c r="AI112" s="170">
        <f t="shared" si="2"/>
        <v>0</v>
      </c>
    </row>
    <row r="113" spans="2:35" ht="15" customHeight="1" x14ac:dyDescent="0.25">
      <c r="B113" s="212" t="s">
        <v>191</v>
      </c>
      <c r="C113" s="211">
        <v>25</v>
      </c>
      <c r="D113" s="207">
        <f>SUMIFS('август 2023'!$G$4:$G$1022,'август 2023'!$D$4:$D$1022,$B113,'август 2023'!$J$4:$J$1022,D$1)</f>
        <v>0</v>
      </c>
      <c r="E113" s="207">
        <f>SUMIFS('август 2023'!$G$4:$G$1022,'август 2023'!$D$4:$D$1022,$B113,'август 2023'!$J$4:$J$1022,E$1)</f>
        <v>0</v>
      </c>
      <c r="F113" s="207">
        <f>SUMIFS('август 2023'!$G$4:$G$1022,'август 2023'!$D$4:$D$1022,$B113,'август 2023'!$J$4:$J$1022,F$1)</f>
        <v>0</v>
      </c>
      <c r="G113" s="207">
        <f>SUMIFS('август 2023'!$G$4:$G$1022,'август 2023'!$D$4:$D$1022,$B113,'август 2023'!$J$4:$J$1022,G$1)</f>
        <v>0</v>
      </c>
      <c r="H113" s="207">
        <f>SUMIFS('август 2023'!$G$4:$G$1022,'август 2023'!$D$4:$D$1022,$B113,'август 2023'!$J$4:$J$1022,H$1)</f>
        <v>0</v>
      </c>
      <c r="I113" s="207">
        <f>SUMIFS('август 2023'!$G$4:$G$1022,'август 2023'!$D$4:$D$1022,$B113,'август 2023'!$J$4:$J$1022,I$1)</f>
        <v>0</v>
      </c>
      <c r="J113" s="207">
        <f>SUMIFS('август 2023'!$G$4:$G$1022,'август 2023'!$D$4:$D$1022,$B113,'август 2023'!$J$4:$J$1022,J$1)</f>
        <v>0</v>
      </c>
      <c r="K113" s="207">
        <f>SUMIFS('август 2023'!$G$4:$G$1022,'август 2023'!$D$4:$D$1022,$B113,'август 2023'!$J$4:$J$1022,K$1)</f>
        <v>0</v>
      </c>
      <c r="L113" s="207">
        <f>SUMIFS('август 2023'!$G$4:$G$1022,'август 2023'!$D$4:$D$1022,$B113,'август 2023'!$J$4:$J$1022,L$1)</f>
        <v>0</v>
      </c>
      <c r="M113" s="207">
        <f>SUMIFS('август 2023'!$G$4:$G$1022,'август 2023'!$D$4:$D$1022,$B113,'август 2023'!$J$4:$J$1022,M$1)</f>
        <v>0</v>
      </c>
      <c r="N113" s="207">
        <f>SUMIFS('август 2023'!$G$4:$G$1022,'август 2023'!$D$4:$D$1022,$B113,'август 2023'!$J$4:$J$1022,N$1)</f>
        <v>0</v>
      </c>
      <c r="O113" s="207">
        <f>SUMIFS('август 2023'!$G$4:$G$1022,'август 2023'!$D$4:$D$1022,$B113,'август 2023'!$J$4:$J$1022,O$1)</f>
        <v>0</v>
      </c>
      <c r="P113" s="207">
        <f>SUMIFS('август 2023'!$G$4:$G$1022,'август 2023'!$D$4:$D$1022,$B113,'август 2023'!$J$4:$J$1022,P$1)</f>
        <v>0</v>
      </c>
      <c r="Q113" s="207">
        <f>SUMIFS('август 2023'!$G$4:$G$1022,'август 2023'!$D$4:$D$1022,$B113,'август 2023'!$J$4:$J$1022,Q$1)</f>
        <v>0</v>
      </c>
      <c r="R113" s="207">
        <f>SUMIFS('август 2023'!$G$4:$G$1022,'август 2023'!$D$4:$D$1022,$B113,'август 2023'!$J$4:$J$1022,R$1)</f>
        <v>0</v>
      </c>
      <c r="S113" s="207">
        <f>SUMIFS('август 2023'!$G$4:$G$1022,'август 2023'!$D$4:$D$1022,$B113,'август 2023'!$J$4:$J$1022,S$1)</f>
        <v>0</v>
      </c>
      <c r="T113" s="207">
        <f>SUMIFS('август 2023'!$G$4:$G$1022,'август 2023'!$D$4:$D$1022,$B113,'август 2023'!$J$4:$J$1022,T$1)</f>
        <v>32</v>
      </c>
      <c r="U113" s="207">
        <f>SUMIFS('август 2023'!$G$4:$G$1022,'август 2023'!$D$4:$D$1022,$B113,'август 2023'!$J$4:$J$1022,U$1)</f>
        <v>288</v>
      </c>
      <c r="V113" s="207">
        <f>SUMIFS('август 2023'!$G$4:$G$1022,'август 2023'!$D$4:$D$1022,$B113,'август 2023'!$J$4:$J$1022,V$1)</f>
        <v>0</v>
      </c>
      <c r="W113" s="207">
        <f>SUMIFS('август 2023'!$G$4:$G$1022,'август 2023'!$D$4:$D$1022,$B113,'август 2023'!$J$4:$J$1022,W$1)</f>
        <v>0</v>
      </c>
      <c r="X113" s="207">
        <f>SUMIFS('август 2023'!$G$4:$G$1022,'август 2023'!$D$4:$D$1022,$B113,'август 2023'!$J$4:$J$1022,X$1)</f>
        <v>0</v>
      </c>
      <c r="Y113" s="207">
        <f>SUMIFS('август 2023'!$G$4:$G$1022,'август 2023'!$D$4:$D$1022,$B113,'август 2023'!$J$4:$J$1022,Y$1)</f>
        <v>480</v>
      </c>
      <c r="Z113" s="207">
        <f>SUMIFS('август 2023'!$G$4:$G$1022,'август 2023'!$D$4:$D$1022,$B113,'август 2023'!$J$4:$J$1022,Z$1)</f>
        <v>0</v>
      </c>
      <c r="AA113" s="207">
        <f>SUMIFS('август 2023'!$G$4:$G$1022,'август 2023'!$D$4:$D$1022,$B113,'август 2023'!$J$4:$J$1022,AA$1)</f>
        <v>0</v>
      </c>
      <c r="AB113" s="207">
        <f>SUMIFS('август 2023'!$G$4:$G$1022,'август 2023'!$D$4:$D$1022,$B113,'август 2023'!$J$4:$J$1022,AB$1)</f>
        <v>0</v>
      </c>
      <c r="AC113" s="207">
        <f>SUMIFS('август 2023'!$G$4:$G$1022,'август 2023'!$D$4:$D$1022,$B113,'август 2023'!$J$4:$J$1022,AC$1)</f>
        <v>0</v>
      </c>
      <c r="AD113" s="207">
        <f>SUMIFS('август 2023'!$G$4:$G$1022,'август 2023'!$D$4:$D$1022,$B113,'август 2023'!$J$4:$J$1022,AD$1)</f>
        <v>0</v>
      </c>
      <c r="AE113" s="207">
        <f>SUMIFS('август 2023'!$G$4:$G$1022,'август 2023'!$D$4:$D$1022,$B113,'август 2023'!$J$4:$J$1022,AE$1)</f>
        <v>0</v>
      </c>
      <c r="AF113" s="207">
        <f>SUMIFS('август 2023'!$G$4:$G$1022,'август 2023'!$D$4:$D$1022,$B113,'август 2023'!$J$4:$J$1022,AF$1)</f>
        <v>0</v>
      </c>
      <c r="AG113" s="207">
        <f>SUMIFS('август 2023'!$G$4:$G$1022,'август 2023'!$D$4:$D$1022,$B113,'август 2023'!$J$4:$J$1022,AG$1)</f>
        <v>0</v>
      </c>
      <c r="AH113" s="207">
        <f>SUMIFS('август 2023'!$G$4:$G$1022,'август 2023'!$D$4:$D$1022,$B113,'август 2023'!$J$4:$J$1022,AH$1)</f>
        <v>0</v>
      </c>
      <c r="AI113" s="170">
        <f t="shared" si="2"/>
        <v>800</v>
      </c>
    </row>
    <row r="114" spans="2:35" ht="15" customHeight="1" x14ac:dyDescent="0.25">
      <c r="B114" s="212" t="s">
        <v>525</v>
      </c>
      <c r="C114" s="211">
        <v>25</v>
      </c>
      <c r="D114" s="207">
        <f>SUMIFS('август 2023'!$G$4:$G$1022,'август 2023'!$D$4:$D$1022,$B114,'август 2023'!$J$4:$J$1022,D$1)</f>
        <v>0</v>
      </c>
      <c r="E114" s="207">
        <f>SUMIFS('август 2023'!$G$4:$G$1022,'август 2023'!$D$4:$D$1022,$B114,'август 2023'!$J$4:$J$1022,E$1)</f>
        <v>0</v>
      </c>
      <c r="F114" s="207">
        <f>SUMIFS('август 2023'!$G$4:$G$1022,'август 2023'!$D$4:$D$1022,$B114,'август 2023'!$J$4:$J$1022,F$1)</f>
        <v>0</v>
      </c>
      <c r="G114" s="207">
        <f>SUMIFS('август 2023'!$G$4:$G$1022,'август 2023'!$D$4:$D$1022,$B114,'август 2023'!$J$4:$J$1022,G$1)</f>
        <v>0</v>
      </c>
      <c r="H114" s="207">
        <f>SUMIFS('август 2023'!$G$4:$G$1022,'август 2023'!$D$4:$D$1022,$B114,'август 2023'!$J$4:$J$1022,H$1)</f>
        <v>0</v>
      </c>
      <c r="I114" s="207">
        <f>SUMIFS('август 2023'!$G$4:$G$1022,'август 2023'!$D$4:$D$1022,$B114,'август 2023'!$J$4:$J$1022,I$1)</f>
        <v>0</v>
      </c>
      <c r="J114" s="207">
        <f>SUMIFS('август 2023'!$G$4:$G$1022,'август 2023'!$D$4:$D$1022,$B114,'август 2023'!$J$4:$J$1022,J$1)</f>
        <v>0</v>
      </c>
      <c r="K114" s="207">
        <f>SUMIFS('август 2023'!$G$4:$G$1022,'август 2023'!$D$4:$D$1022,$B114,'август 2023'!$J$4:$J$1022,K$1)</f>
        <v>0</v>
      </c>
      <c r="L114" s="207">
        <f>SUMIFS('август 2023'!$G$4:$G$1022,'август 2023'!$D$4:$D$1022,$B114,'август 2023'!$J$4:$J$1022,L$1)</f>
        <v>0</v>
      </c>
      <c r="M114" s="207">
        <f>SUMIFS('август 2023'!$G$4:$G$1022,'август 2023'!$D$4:$D$1022,$B114,'август 2023'!$J$4:$J$1022,M$1)</f>
        <v>0</v>
      </c>
      <c r="N114" s="207">
        <f>SUMIFS('август 2023'!$G$4:$G$1022,'август 2023'!$D$4:$D$1022,$B114,'август 2023'!$J$4:$J$1022,N$1)</f>
        <v>0</v>
      </c>
      <c r="O114" s="207">
        <f>SUMIFS('август 2023'!$G$4:$G$1022,'август 2023'!$D$4:$D$1022,$B114,'август 2023'!$J$4:$J$1022,O$1)</f>
        <v>0</v>
      </c>
      <c r="P114" s="207">
        <f>SUMIFS('август 2023'!$G$4:$G$1022,'август 2023'!$D$4:$D$1022,$B114,'август 2023'!$J$4:$J$1022,P$1)</f>
        <v>0</v>
      </c>
      <c r="Q114" s="207">
        <f>SUMIFS('август 2023'!$G$4:$G$1022,'август 2023'!$D$4:$D$1022,$B114,'август 2023'!$J$4:$J$1022,Q$1)</f>
        <v>0</v>
      </c>
      <c r="R114" s="207">
        <f>SUMIFS('август 2023'!$G$4:$G$1022,'август 2023'!$D$4:$D$1022,$B114,'август 2023'!$J$4:$J$1022,R$1)</f>
        <v>0</v>
      </c>
      <c r="S114" s="207">
        <f>SUMIFS('август 2023'!$G$4:$G$1022,'август 2023'!$D$4:$D$1022,$B114,'август 2023'!$J$4:$J$1022,S$1)</f>
        <v>0</v>
      </c>
      <c r="T114" s="207">
        <f>SUMIFS('август 2023'!$G$4:$G$1022,'август 2023'!$D$4:$D$1022,$B114,'август 2023'!$J$4:$J$1022,T$1)</f>
        <v>0</v>
      </c>
      <c r="U114" s="207">
        <f>SUMIFS('август 2023'!$G$4:$G$1022,'август 2023'!$D$4:$D$1022,$B114,'август 2023'!$J$4:$J$1022,U$1)</f>
        <v>0</v>
      </c>
      <c r="V114" s="207">
        <f>SUMIFS('август 2023'!$G$4:$G$1022,'август 2023'!$D$4:$D$1022,$B114,'август 2023'!$J$4:$J$1022,V$1)</f>
        <v>0</v>
      </c>
      <c r="W114" s="207">
        <f>SUMIFS('август 2023'!$G$4:$G$1022,'август 2023'!$D$4:$D$1022,$B114,'август 2023'!$J$4:$J$1022,W$1)</f>
        <v>0</v>
      </c>
      <c r="X114" s="207">
        <f>SUMIFS('август 2023'!$G$4:$G$1022,'август 2023'!$D$4:$D$1022,$B114,'август 2023'!$J$4:$J$1022,X$1)</f>
        <v>0</v>
      </c>
      <c r="Y114" s="207">
        <f>SUMIFS('август 2023'!$G$4:$G$1022,'август 2023'!$D$4:$D$1022,$B114,'август 2023'!$J$4:$J$1022,Y$1)</f>
        <v>0</v>
      </c>
      <c r="Z114" s="207">
        <f>SUMIFS('август 2023'!$G$4:$G$1022,'август 2023'!$D$4:$D$1022,$B114,'август 2023'!$J$4:$J$1022,Z$1)</f>
        <v>0</v>
      </c>
      <c r="AA114" s="207">
        <f>SUMIFS('август 2023'!$G$4:$G$1022,'август 2023'!$D$4:$D$1022,$B114,'август 2023'!$J$4:$J$1022,AA$1)</f>
        <v>0</v>
      </c>
      <c r="AB114" s="207">
        <f>SUMIFS('август 2023'!$G$4:$G$1022,'август 2023'!$D$4:$D$1022,$B114,'август 2023'!$J$4:$J$1022,AB$1)</f>
        <v>0</v>
      </c>
      <c r="AC114" s="207">
        <f>SUMIFS('август 2023'!$G$4:$G$1022,'август 2023'!$D$4:$D$1022,$B114,'август 2023'!$J$4:$J$1022,AC$1)</f>
        <v>0</v>
      </c>
      <c r="AD114" s="207">
        <f>SUMIFS('август 2023'!$G$4:$G$1022,'август 2023'!$D$4:$D$1022,$B114,'август 2023'!$J$4:$J$1022,AD$1)</f>
        <v>0</v>
      </c>
      <c r="AE114" s="207">
        <f>SUMIFS('август 2023'!$G$4:$G$1022,'август 2023'!$D$4:$D$1022,$B114,'август 2023'!$J$4:$J$1022,AE$1)</f>
        <v>0</v>
      </c>
      <c r="AF114" s="207">
        <f>SUMIFS('август 2023'!$G$4:$G$1022,'август 2023'!$D$4:$D$1022,$B114,'август 2023'!$J$4:$J$1022,AF$1)</f>
        <v>0</v>
      </c>
      <c r="AG114" s="207">
        <f>SUMIFS('август 2023'!$G$4:$G$1022,'август 2023'!$D$4:$D$1022,$B114,'август 2023'!$J$4:$J$1022,AG$1)</f>
        <v>0</v>
      </c>
      <c r="AH114" s="207">
        <f>SUMIFS('август 2023'!$G$4:$G$1022,'август 2023'!$D$4:$D$1022,$B114,'август 2023'!$J$4:$J$1022,AH$1)</f>
        <v>0</v>
      </c>
      <c r="AI114" s="170">
        <f t="shared" si="2"/>
        <v>0</v>
      </c>
    </row>
    <row r="115" spans="2:35" ht="15" customHeight="1" x14ac:dyDescent="0.25">
      <c r="B115" s="212" t="s">
        <v>1353</v>
      </c>
      <c r="C115" s="211">
        <v>25</v>
      </c>
      <c r="D115" s="207">
        <f>SUMIFS('август 2023'!$G$4:$G$1022,'август 2023'!$D$4:$D$1022,$B115,'август 2023'!$J$4:$J$1022,D$1)</f>
        <v>0</v>
      </c>
      <c r="E115" s="207">
        <f>SUMIFS('август 2023'!$G$4:$G$1022,'август 2023'!$D$4:$D$1022,$B115,'август 2023'!$J$4:$J$1022,E$1)</f>
        <v>0</v>
      </c>
      <c r="F115" s="207">
        <f>SUMIFS('август 2023'!$G$4:$G$1022,'август 2023'!$D$4:$D$1022,$B115,'август 2023'!$J$4:$J$1022,F$1)</f>
        <v>0</v>
      </c>
      <c r="G115" s="207">
        <f>SUMIFS('август 2023'!$G$4:$G$1022,'август 2023'!$D$4:$D$1022,$B115,'август 2023'!$J$4:$J$1022,G$1)</f>
        <v>0</v>
      </c>
      <c r="H115" s="207">
        <f>SUMIFS('август 2023'!$G$4:$G$1022,'август 2023'!$D$4:$D$1022,$B115,'август 2023'!$J$4:$J$1022,H$1)</f>
        <v>0</v>
      </c>
      <c r="I115" s="207">
        <f>SUMIFS('август 2023'!$G$4:$G$1022,'август 2023'!$D$4:$D$1022,$B115,'август 2023'!$J$4:$J$1022,I$1)</f>
        <v>0</v>
      </c>
      <c r="J115" s="207">
        <f>SUMIFS('август 2023'!$G$4:$G$1022,'август 2023'!$D$4:$D$1022,$B115,'август 2023'!$J$4:$J$1022,J$1)</f>
        <v>0</v>
      </c>
      <c r="K115" s="207">
        <f>SUMIFS('август 2023'!$G$4:$G$1022,'август 2023'!$D$4:$D$1022,$B115,'август 2023'!$J$4:$J$1022,K$1)</f>
        <v>0</v>
      </c>
      <c r="L115" s="207">
        <f>SUMIFS('август 2023'!$G$4:$G$1022,'август 2023'!$D$4:$D$1022,$B115,'август 2023'!$J$4:$J$1022,L$1)</f>
        <v>0</v>
      </c>
      <c r="M115" s="207">
        <f>SUMIFS('август 2023'!$G$4:$G$1022,'август 2023'!$D$4:$D$1022,$B115,'август 2023'!$J$4:$J$1022,M$1)</f>
        <v>0</v>
      </c>
      <c r="N115" s="207">
        <f>SUMIFS('август 2023'!$G$4:$G$1022,'август 2023'!$D$4:$D$1022,$B115,'август 2023'!$J$4:$J$1022,N$1)</f>
        <v>0</v>
      </c>
      <c r="O115" s="207">
        <f>SUMIFS('август 2023'!$G$4:$G$1022,'август 2023'!$D$4:$D$1022,$B115,'август 2023'!$J$4:$J$1022,O$1)</f>
        <v>0</v>
      </c>
      <c r="P115" s="207">
        <f>SUMIFS('август 2023'!$G$4:$G$1022,'август 2023'!$D$4:$D$1022,$B115,'август 2023'!$J$4:$J$1022,P$1)</f>
        <v>0</v>
      </c>
      <c r="Q115" s="207">
        <f>SUMIFS('август 2023'!$G$4:$G$1022,'август 2023'!$D$4:$D$1022,$B115,'август 2023'!$J$4:$J$1022,Q$1)</f>
        <v>0</v>
      </c>
      <c r="R115" s="207">
        <f>SUMIFS('август 2023'!$G$4:$G$1022,'август 2023'!$D$4:$D$1022,$B115,'август 2023'!$J$4:$J$1022,R$1)</f>
        <v>0</v>
      </c>
      <c r="S115" s="207">
        <f>SUMIFS('август 2023'!$G$4:$G$1022,'август 2023'!$D$4:$D$1022,$B115,'август 2023'!$J$4:$J$1022,S$1)</f>
        <v>0</v>
      </c>
      <c r="T115" s="207">
        <f>SUMIFS('август 2023'!$G$4:$G$1022,'август 2023'!$D$4:$D$1022,$B115,'август 2023'!$J$4:$J$1022,T$1)</f>
        <v>0</v>
      </c>
      <c r="U115" s="207">
        <f>SUMIFS('август 2023'!$G$4:$G$1022,'август 2023'!$D$4:$D$1022,$B115,'август 2023'!$J$4:$J$1022,U$1)</f>
        <v>0</v>
      </c>
      <c r="V115" s="207">
        <f>SUMIFS('август 2023'!$G$4:$G$1022,'август 2023'!$D$4:$D$1022,$B115,'август 2023'!$J$4:$J$1022,V$1)</f>
        <v>0</v>
      </c>
      <c r="W115" s="207">
        <f>SUMIFS('август 2023'!$G$4:$G$1022,'август 2023'!$D$4:$D$1022,$B115,'август 2023'!$J$4:$J$1022,W$1)</f>
        <v>0</v>
      </c>
      <c r="X115" s="207">
        <f>SUMIFS('август 2023'!$G$4:$G$1022,'август 2023'!$D$4:$D$1022,$B115,'август 2023'!$J$4:$J$1022,X$1)</f>
        <v>0</v>
      </c>
      <c r="Y115" s="207">
        <f>SUMIFS('август 2023'!$G$4:$G$1022,'август 2023'!$D$4:$D$1022,$B115,'август 2023'!$J$4:$J$1022,Y$1)</f>
        <v>0</v>
      </c>
      <c r="Z115" s="207">
        <f>SUMIFS('август 2023'!$G$4:$G$1022,'август 2023'!$D$4:$D$1022,$B115,'август 2023'!$J$4:$J$1022,Z$1)</f>
        <v>0</v>
      </c>
      <c r="AA115" s="207">
        <f>SUMIFS('август 2023'!$G$4:$G$1022,'август 2023'!$D$4:$D$1022,$B115,'август 2023'!$J$4:$J$1022,AA$1)</f>
        <v>0</v>
      </c>
      <c r="AB115" s="207">
        <f>SUMIFS('август 2023'!$G$4:$G$1022,'август 2023'!$D$4:$D$1022,$B115,'август 2023'!$J$4:$J$1022,AB$1)</f>
        <v>0</v>
      </c>
      <c r="AC115" s="207">
        <f>SUMIFS('август 2023'!$G$4:$G$1022,'август 2023'!$D$4:$D$1022,$B115,'август 2023'!$J$4:$J$1022,AC$1)</f>
        <v>0</v>
      </c>
      <c r="AD115" s="207">
        <f>SUMIFS('август 2023'!$G$4:$G$1022,'август 2023'!$D$4:$D$1022,$B115,'август 2023'!$J$4:$J$1022,AD$1)</f>
        <v>0</v>
      </c>
      <c r="AE115" s="207">
        <f>SUMIFS('август 2023'!$G$4:$G$1022,'август 2023'!$D$4:$D$1022,$B115,'август 2023'!$J$4:$J$1022,AE$1)</f>
        <v>0</v>
      </c>
      <c r="AF115" s="207">
        <f>SUMIFS('август 2023'!$G$4:$G$1022,'август 2023'!$D$4:$D$1022,$B115,'август 2023'!$J$4:$J$1022,AF$1)</f>
        <v>0</v>
      </c>
      <c r="AG115" s="207">
        <f>SUMIFS('август 2023'!$G$4:$G$1022,'август 2023'!$D$4:$D$1022,$B115,'август 2023'!$J$4:$J$1022,AG$1)</f>
        <v>0</v>
      </c>
      <c r="AH115" s="207">
        <f>SUMIFS('август 2023'!$G$4:$G$1022,'август 2023'!$D$4:$D$1022,$B115,'август 2023'!$J$4:$J$1022,AH$1)</f>
        <v>0</v>
      </c>
      <c r="AI115" s="170">
        <f t="shared" si="2"/>
        <v>0</v>
      </c>
    </row>
    <row r="116" spans="2:35" ht="15" customHeight="1" x14ac:dyDescent="0.25">
      <c r="B116" s="212"/>
      <c r="C116" s="211"/>
      <c r="D116" s="207">
        <f>SUMIFS('август 2023'!$G$4:$G$1022,'август 2023'!$D$4:$D$1022,$B116,'август 2023'!$J$4:$J$1022,D$1)</f>
        <v>0</v>
      </c>
      <c r="E116" s="207">
        <f>SUMIFS('август 2023'!$G$4:$G$1022,'август 2023'!$D$4:$D$1022,$B116,'август 2023'!$J$4:$J$1022,E$1)</f>
        <v>0</v>
      </c>
      <c r="F116" s="207">
        <f>SUMIFS('август 2023'!$G$4:$G$1022,'август 2023'!$D$4:$D$1022,$B116,'август 2023'!$J$4:$J$1022,F$1)</f>
        <v>0</v>
      </c>
      <c r="G116" s="207">
        <f>SUMIFS('август 2023'!$G$4:$G$1022,'август 2023'!$D$4:$D$1022,$B116,'август 2023'!$J$4:$J$1022,G$1)</f>
        <v>0</v>
      </c>
      <c r="H116" s="207">
        <f>SUMIFS('август 2023'!$G$4:$G$1022,'август 2023'!$D$4:$D$1022,$B116,'август 2023'!$J$4:$J$1022,H$1)</f>
        <v>0</v>
      </c>
      <c r="I116" s="207">
        <f>SUMIFS('август 2023'!$G$4:$G$1022,'август 2023'!$D$4:$D$1022,$B116,'август 2023'!$J$4:$J$1022,I$1)</f>
        <v>0</v>
      </c>
      <c r="J116" s="207">
        <f>SUMIFS('август 2023'!$G$4:$G$1022,'август 2023'!$D$4:$D$1022,$B116,'август 2023'!$J$4:$J$1022,J$1)</f>
        <v>0</v>
      </c>
      <c r="K116" s="207">
        <f>SUMIFS('август 2023'!$G$4:$G$1022,'август 2023'!$D$4:$D$1022,$B116,'август 2023'!$J$4:$J$1022,K$1)</f>
        <v>0</v>
      </c>
      <c r="L116" s="207">
        <f>SUMIFS('август 2023'!$G$4:$G$1022,'август 2023'!$D$4:$D$1022,$B116,'август 2023'!$J$4:$J$1022,L$1)</f>
        <v>0</v>
      </c>
      <c r="M116" s="207">
        <f>SUMIFS('август 2023'!$G$4:$G$1022,'август 2023'!$D$4:$D$1022,$B116,'август 2023'!$J$4:$J$1022,M$1)</f>
        <v>0</v>
      </c>
      <c r="N116" s="207">
        <f>SUMIFS('август 2023'!$G$4:$G$1022,'август 2023'!$D$4:$D$1022,$B116,'август 2023'!$J$4:$J$1022,N$1)</f>
        <v>0</v>
      </c>
      <c r="O116" s="207">
        <f>SUMIFS('август 2023'!$G$4:$G$1022,'август 2023'!$D$4:$D$1022,$B116,'август 2023'!$J$4:$J$1022,O$1)</f>
        <v>0</v>
      </c>
      <c r="P116" s="207">
        <f>SUMIFS('август 2023'!$G$4:$G$1022,'август 2023'!$D$4:$D$1022,$B116,'август 2023'!$J$4:$J$1022,P$1)</f>
        <v>0</v>
      </c>
      <c r="Q116" s="207">
        <f>SUMIFS('август 2023'!$G$4:$G$1022,'август 2023'!$D$4:$D$1022,$B116,'август 2023'!$J$4:$J$1022,Q$1)</f>
        <v>0</v>
      </c>
      <c r="R116" s="207">
        <f>SUMIFS('август 2023'!$G$4:$G$1022,'август 2023'!$D$4:$D$1022,$B116,'август 2023'!$J$4:$J$1022,R$1)</f>
        <v>0</v>
      </c>
      <c r="S116" s="207">
        <f>SUMIFS('август 2023'!$G$4:$G$1022,'август 2023'!$D$4:$D$1022,$B116,'август 2023'!$J$4:$J$1022,S$1)</f>
        <v>0</v>
      </c>
      <c r="T116" s="207">
        <f>SUMIFS('август 2023'!$G$4:$G$1022,'август 2023'!$D$4:$D$1022,$B116,'август 2023'!$J$4:$J$1022,T$1)</f>
        <v>0</v>
      </c>
      <c r="U116" s="207">
        <f>SUMIFS('август 2023'!$G$4:$G$1022,'август 2023'!$D$4:$D$1022,$B116,'август 2023'!$J$4:$J$1022,U$1)</f>
        <v>0</v>
      </c>
      <c r="V116" s="207">
        <f>SUMIFS('август 2023'!$G$4:$G$1022,'август 2023'!$D$4:$D$1022,$B116,'август 2023'!$J$4:$J$1022,V$1)</f>
        <v>0</v>
      </c>
      <c r="W116" s="207">
        <f>SUMIFS('август 2023'!$G$4:$G$1022,'август 2023'!$D$4:$D$1022,$B116,'август 2023'!$J$4:$J$1022,W$1)</f>
        <v>0</v>
      </c>
      <c r="X116" s="207">
        <f>SUMIFS('август 2023'!$G$4:$G$1022,'август 2023'!$D$4:$D$1022,$B116,'август 2023'!$J$4:$J$1022,X$1)</f>
        <v>0</v>
      </c>
      <c r="Y116" s="207">
        <f>SUMIFS('август 2023'!$G$4:$G$1022,'август 2023'!$D$4:$D$1022,$B116,'август 2023'!$J$4:$J$1022,Y$1)</f>
        <v>0</v>
      </c>
      <c r="Z116" s="207">
        <f>SUMIFS('август 2023'!$G$4:$G$1022,'август 2023'!$D$4:$D$1022,$B116,'август 2023'!$J$4:$J$1022,Z$1)</f>
        <v>0</v>
      </c>
      <c r="AA116" s="207">
        <f>SUMIFS('август 2023'!$G$4:$G$1022,'август 2023'!$D$4:$D$1022,$B116,'август 2023'!$J$4:$J$1022,AA$1)</f>
        <v>0</v>
      </c>
      <c r="AB116" s="207">
        <f>SUMIFS('август 2023'!$G$4:$G$1022,'август 2023'!$D$4:$D$1022,$B116,'август 2023'!$J$4:$J$1022,AB$1)</f>
        <v>0</v>
      </c>
      <c r="AC116" s="207">
        <f>SUMIFS('август 2023'!$G$4:$G$1022,'август 2023'!$D$4:$D$1022,$B116,'август 2023'!$J$4:$J$1022,AC$1)</f>
        <v>0</v>
      </c>
      <c r="AD116" s="207">
        <f>SUMIFS('август 2023'!$G$4:$G$1022,'август 2023'!$D$4:$D$1022,$B116,'август 2023'!$J$4:$J$1022,AD$1)</f>
        <v>0</v>
      </c>
      <c r="AE116" s="207">
        <f>SUMIFS('август 2023'!$G$4:$G$1022,'август 2023'!$D$4:$D$1022,$B116,'август 2023'!$J$4:$J$1022,AE$1)</f>
        <v>0</v>
      </c>
      <c r="AF116" s="207">
        <f>SUMIFS('август 2023'!$G$4:$G$1022,'август 2023'!$D$4:$D$1022,$B116,'август 2023'!$J$4:$J$1022,AF$1)</f>
        <v>0</v>
      </c>
      <c r="AG116" s="207">
        <f>SUMIFS('август 2023'!$G$4:$G$1022,'август 2023'!$D$4:$D$1022,$B116,'август 2023'!$J$4:$J$1022,AG$1)</f>
        <v>0</v>
      </c>
      <c r="AH116" s="207">
        <f>SUMIFS('август 2023'!$G$4:$G$1022,'август 2023'!$D$4:$D$1022,$B116,'август 2023'!$J$4:$J$1022,AH$1)</f>
        <v>0</v>
      </c>
      <c r="AI116" s="170">
        <f t="shared" si="2"/>
        <v>0</v>
      </c>
    </row>
    <row r="117" spans="2:35" ht="15" customHeight="1" x14ac:dyDescent="0.25">
      <c r="B117" s="212"/>
      <c r="C117" s="211"/>
      <c r="D117" s="207">
        <f>SUMIFS('август 2023'!$G$4:$G$1022,'август 2023'!$D$4:$D$1022,$B117,'август 2023'!$J$4:$J$1022,D$1)</f>
        <v>0</v>
      </c>
      <c r="E117" s="207">
        <f>SUMIFS('август 2023'!$G$4:$G$1022,'август 2023'!$D$4:$D$1022,$B117,'август 2023'!$J$4:$J$1022,E$1)</f>
        <v>0</v>
      </c>
      <c r="F117" s="207">
        <f>SUMIFS('август 2023'!$G$4:$G$1022,'август 2023'!$D$4:$D$1022,$B117,'август 2023'!$J$4:$J$1022,F$1)</f>
        <v>0</v>
      </c>
      <c r="G117" s="207">
        <f>SUMIFS('август 2023'!$G$4:$G$1022,'август 2023'!$D$4:$D$1022,$B117,'август 2023'!$J$4:$J$1022,G$1)</f>
        <v>0</v>
      </c>
      <c r="H117" s="207">
        <f>SUMIFS('август 2023'!$G$4:$G$1022,'август 2023'!$D$4:$D$1022,$B117,'август 2023'!$J$4:$J$1022,H$1)</f>
        <v>0</v>
      </c>
      <c r="I117" s="207">
        <f>SUMIFS('август 2023'!$G$4:$G$1022,'август 2023'!$D$4:$D$1022,$B117,'август 2023'!$J$4:$J$1022,I$1)</f>
        <v>0</v>
      </c>
      <c r="J117" s="207">
        <f>SUMIFS('август 2023'!$G$4:$G$1022,'август 2023'!$D$4:$D$1022,$B117,'август 2023'!$J$4:$J$1022,J$1)</f>
        <v>0</v>
      </c>
      <c r="K117" s="207">
        <f>SUMIFS('август 2023'!$G$4:$G$1022,'август 2023'!$D$4:$D$1022,$B117,'август 2023'!$J$4:$J$1022,K$1)</f>
        <v>0</v>
      </c>
      <c r="L117" s="207">
        <f>SUMIFS('август 2023'!$G$4:$G$1022,'август 2023'!$D$4:$D$1022,$B117,'август 2023'!$J$4:$J$1022,L$1)</f>
        <v>0</v>
      </c>
      <c r="M117" s="207">
        <f>SUMIFS('август 2023'!$G$4:$G$1022,'август 2023'!$D$4:$D$1022,$B117,'август 2023'!$J$4:$J$1022,M$1)</f>
        <v>0</v>
      </c>
      <c r="N117" s="207">
        <f>SUMIFS('август 2023'!$G$4:$G$1022,'август 2023'!$D$4:$D$1022,$B117,'август 2023'!$J$4:$J$1022,N$1)</f>
        <v>0</v>
      </c>
      <c r="O117" s="207">
        <f>SUMIFS('август 2023'!$G$4:$G$1022,'август 2023'!$D$4:$D$1022,$B117,'август 2023'!$J$4:$J$1022,O$1)</f>
        <v>0</v>
      </c>
      <c r="P117" s="207">
        <f>SUMIFS('август 2023'!$G$4:$G$1022,'август 2023'!$D$4:$D$1022,$B117,'август 2023'!$J$4:$J$1022,P$1)</f>
        <v>0</v>
      </c>
      <c r="Q117" s="207">
        <f>SUMIFS('август 2023'!$G$4:$G$1022,'август 2023'!$D$4:$D$1022,$B117,'август 2023'!$J$4:$J$1022,Q$1)</f>
        <v>0</v>
      </c>
      <c r="R117" s="207">
        <f>SUMIFS('август 2023'!$G$4:$G$1022,'август 2023'!$D$4:$D$1022,$B117,'август 2023'!$J$4:$J$1022,R$1)</f>
        <v>0</v>
      </c>
      <c r="S117" s="207">
        <f>SUMIFS('август 2023'!$G$4:$G$1022,'август 2023'!$D$4:$D$1022,$B117,'август 2023'!$J$4:$J$1022,S$1)</f>
        <v>0</v>
      </c>
      <c r="T117" s="207">
        <f>SUMIFS('август 2023'!$G$4:$G$1022,'август 2023'!$D$4:$D$1022,$B117,'август 2023'!$J$4:$J$1022,T$1)</f>
        <v>0</v>
      </c>
      <c r="U117" s="207">
        <f>SUMIFS('август 2023'!$G$4:$G$1022,'август 2023'!$D$4:$D$1022,$B117,'август 2023'!$J$4:$J$1022,U$1)</f>
        <v>0</v>
      </c>
      <c r="V117" s="207">
        <f>SUMIFS('август 2023'!$G$4:$G$1022,'август 2023'!$D$4:$D$1022,$B117,'август 2023'!$J$4:$J$1022,V$1)</f>
        <v>0</v>
      </c>
      <c r="W117" s="207">
        <f>SUMIFS('август 2023'!$G$4:$G$1022,'август 2023'!$D$4:$D$1022,$B117,'август 2023'!$J$4:$J$1022,W$1)</f>
        <v>0</v>
      </c>
      <c r="X117" s="207">
        <f>SUMIFS('август 2023'!$G$4:$G$1022,'август 2023'!$D$4:$D$1022,$B117,'август 2023'!$J$4:$J$1022,X$1)</f>
        <v>0</v>
      </c>
      <c r="Y117" s="207">
        <f>SUMIFS('август 2023'!$G$4:$G$1022,'август 2023'!$D$4:$D$1022,$B117,'август 2023'!$J$4:$J$1022,Y$1)</f>
        <v>0</v>
      </c>
      <c r="Z117" s="207">
        <f>SUMIFS('август 2023'!$G$4:$G$1022,'август 2023'!$D$4:$D$1022,$B117,'август 2023'!$J$4:$J$1022,Z$1)</f>
        <v>0</v>
      </c>
      <c r="AA117" s="207">
        <f>SUMIFS('август 2023'!$G$4:$G$1022,'август 2023'!$D$4:$D$1022,$B117,'август 2023'!$J$4:$J$1022,AA$1)</f>
        <v>0</v>
      </c>
      <c r="AB117" s="207">
        <f>SUMIFS('август 2023'!$G$4:$G$1022,'август 2023'!$D$4:$D$1022,$B117,'август 2023'!$J$4:$J$1022,AB$1)</f>
        <v>0</v>
      </c>
      <c r="AC117" s="207">
        <f>SUMIFS('август 2023'!$G$4:$G$1022,'август 2023'!$D$4:$D$1022,$B117,'август 2023'!$J$4:$J$1022,AC$1)</f>
        <v>0</v>
      </c>
      <c r="AD117" s="207">
        <f>SUMIFS('август 2023'!$G$4:$G$1022,'август 2023'!$D$4:$D$1022,$B117,'август 2023'!$J$4:$J$1022,AD$1)</f>
        <v>0</v>
      </c>
      <c r="AE117" s="207">
        <f>SUMIFS('август 2023'!$G$4:$G$1022,'август 2023'!$D$4:$D$1022,$B117,'август 2023'!$J$4:$J$1022,AE$1)</f>
        <v>0</v>
      </c>
      <c r="AF117" s="207">
        <f>SUMIFS('август 2023'!$G$4:$G$1022,'август 2023'!$D$4:$D$1022,$B117,'август 2023'!$J$4:$J$1022,AF$1)</f>
        <v>0</v>
      </c>
      <c r="AG117" s="207">
        <f>SUMIFS('август 2023'!$G$4:$G$1022,'август 2023'!$D$4:$D$1022,$B117,'август 2023'!$J$4:$J$1022,AG$1)</f>
        <v>0</v>
      </c>
      <c r="AH117" s="207">
        <f>SUMIFS('август 2023'!$G$4:$G$1022,'август 2023'!$D$4:$D$1022,$B117,'август 2023'!$J$4:$J$1022,AH$1)</f>
        <v>0</v>
      </c>
      <c r="AI117" s="170">
        <f t="shared" si="2"/>
        <v>0</v>
      </c>
    </row>
    <row r="118" spans="2:35" ht="15" customHeight="1" x14ac:dyDescent="0.25">
      <c r="B118" s="212"/>
      <c r="C118" s="213"/>
      <c r="D118" s="207">
        <f>SUMIFS('август 2023'!$G$4:$G$1022,'август 2023'!$D$4:$D$1022,$B118,'август 2023'!$J$4:$J$1022,D$1)</f>
        <v>0</v>
      </c>
      <c r="E118" s="207">
        <f>SUMIFS('август 2023'!$G$4:$G$1022,'август 2023'!$D$4:$D$1022,$B118,'август 2023'!$J$4:$J$1022,E$1)</f>
        <v>0</v>
      </c>
      <c r="F118" s="207">
        <f>SUMIFS('август 2023'!$G$4:$G$1022,'август 2023'!$D$4:$D$1022,$B118,'август 2023'!$J$4:$J$1022,F$1)</f>
        <v>0</v>
      </c>
      <c r="G118" s="207">
        <f>SUMIFS('август 2023'!$G$4:$G$1022,'август 2023'!$D$4:$D$1022,$B118,'август 2023'!$J$4:$J$1022,G$1)</f>
        <v>0</v>
      </c>
      <c r="H118" s="207">
        <f>SUMIFS('август 2023'!$G$4:$G$1022,'август 2023'!$D$4:$D$1022,$B118,'август 2023'!$J$4:$J$1022,H$1)</f>
        <v>0</v>
      </c>
      <c r="I118" s="207">
        <f>SUMIFS('август 2023'!$G$4:$G$1022,'август 2023'!$D$4:$D$1022,$B118,'август 2023'!$J$4:$J$1022,I$1)</f>
        <v>0</v>
      </c>
      <c r="J118" s="207">
        <f>SUMIFS('август 2023'!$G$4:$G$1022,'август 2023'!$D$4:$D$1022,$B118,'август 2023'!$J$4:$J$1022,J$1)</f>
        <v>0</v>
      </c>
      <c r="K118" s="207">
        <f>SUMIFS('август 2023'!$G$4:$G$1022,'август 2023'!$D$4:$D$1022,$B118,'август 2023'!$J$4:$J$1022,K$1)</f>
        <v>0</v>
      </c>
      <c r="L118" s="207">
        <f>SUMIFS('август 2023'!$G$4:$G$1022,'август 2023'!$D$4:$D$1022,$B118,'август 2023'!$J$4:$J$1022,L$1)</f>
        <v>0</v>
      </c>
      <c r="M118" s="207">
        <f>SUMIFS('август 2023'!$G$4:$G$1022,'август 2023'!$D$4:$D$1022,$B118,'август 2023'!$J$4:$J$1022,M$1)</f>
        <v>0</v>
      </c>
      <c r="N118" s="207">
        <f>SUMIFS('август 2023'!$G$4:$G$1022,'август 2023'!$D$4:$D$1022,$B118,'август 2023'!$J$4:$J$1022,N$1)</f>
        <v>0</v>
      </c>
      <c r="O118" s="207">
        <f>SUMIFS('август 2023'!$G$4:$G$1022,'август 2023'!$D$4:$D$1022,$B118,'август 2023'!$J$4:$J$1022,O$1)</f>
        <v>0</v>
      </c>
      <c r="P118" s="207">
        <f>SUMIFS('август 2023'!$G$4:$G$1022,'август 2023'!$D$4:$D$1022,$B118,'август 2023'!$J$4:$J$1022,P$1)</f>
        <v>0</v>
      </c>
      <c r="Q118" s="207">
        <f>SUMIFS('август 2023'!$G$4:$G$1022,'август 2023'!$D$4:$D$1022,$B118,'август 2023'!$J$4:$J$1022,Q$1)</f>
        <v>0</v>
      </c>
      <c r="R118" s="207">
        <f>SUMIFS('август 2023'!$G$4:$G$1022,'август 2023'!$D$4:$D$1022,$B118,'август 2023'!$J$4:$J$1022,R$1)</f>
        <v>0</v>
      </c>
      <c r="S118" s="207">
        <f>SUMIFS('август 2023'!$G$4:$G$1022,'август 2023'!$D$4:$D$1022,$B118,'август 2023'!$J$4:$J$1022,S$1)</f>
        <v>0</v>
      </c>
      <c r="T118" s="207">
        <f>SUMIFS('август 2023'!$G$4:$G$1022,'август 2023'!$D$4:$D$1022,$B118,'август 2023'!$J$4:$J$1022,T$1)</f>
        <v>0</v>
      </c>
      <c r="U118" s="207">
        <f>SUMIFS('август 2023'!$G$4:$G$1022,'август 2023'!$D$4:$D$1022,$B118,'август 2023'!$J$4:$J$1022,U$1)</f>
        <v>0</v>
      </c>
      <c r="V118" s="207">
        <f>SUMIFS('август 2023'!$G$4:$G$1022,'август 2023'!$D$4:$D$1022,$B118,'август 2023'!$J$4:$J$1022,V$1)</f>
        <v>0</v>
      </c>
      <c r="W118" s="207">
        <f>SUMIFS('август 2023'!$G$4:$G$1022,'август 2023'!$D$4:$D$1022,$B118,'август 2023'!$J$4:$J$1022,W$1)</f>
        <v>0</v>
      </c>
      <c r="X118" s="207">
        <f>SUMIFS('август 2023'!$G$4:$G$1022,'август 2023'!$D$4:$D$1022,$B118,'август 2023'!$J$4:$J$1022,X$1)</f>
        <v>0</v>
      </c>
      <c r="Y118" s="207">
        <f>SUMIFS('август 2023'!$G$4:$G$1022,'август 2023'!$D$4:$D$1022,$B118,'август 2023'!$J$4:$J$1022,Y$1)</f>
        <v>0</v>
      </c>
      <c r="Z118" s="207">
        <f>SUMIFS('август 2023'!$G$4:$G$1022,'август 2023'!$D$4:$D$1022,$B118,'август 2023'!$J$4:$J$1022,Z$1)</f>
        <v>0</v>
      </c>
      <c r="AA118" s="207">
        <f>SUMIFS('август 2023'!$G$4:$G$1022,'август 2023'!$D$4:$D$1022,$B118,'август 2023'!$J$4:$J$1022,AA$1)</f>
        <v>0</v>
      </c>
      <c r="AB118" s="207">
        <f>SUMIFS('август 2023'!$G$4:$G$1022,'август 2023'!$D$4:$D$1022,$B118,'август 2023'!$J$4:$J$1022,AB$1)</f>
        <v>0</v>
      </c>
      <c r="AC118" s="207">
        <f>SUMIFS('август 2023'!$G$4:$G$1022,'август 2023'!$D$4:$D$1022,$B118,'август 2023'!$J$4:$J$1022,AC$1)</f>
        <v>0</v>
      </c>
      <c r="AD118" s="207">
        <f>SUMIFS('август 2023'!$G$4:$G$1022,'август 2023'!$D$4:$D$1022,$B118,'август 2023'!$J$4:$J$1022,AD$1)</f>
        <v>0</v>
      </c>
      <c r="AE118" s="207">
        <f>SUMIFS('август 2023'!$G$4:$G$1022,'август 2023'!$D$4:$D$1022,$B118,'август 2023'!$J$4:$J$1022,AE$1)</f>
        <v>0</v>
      </c>
      <c r="AF118" s="207">
        <f>SUMIFS('август 2023'!$G$4:$G$1022,'август 2023'!$D$4:$D$1022,$B118,'август 2023'!$J$4:$J$1022,AF$1)</f>
        <v>0</v>
      </c>
      <c r="AG118" s="207">
        <f>SUMIFS('август 2023'!$G$4:$G$1022,'август 2023'!$D$4:$D$1022,$B118,'август 2023'!$J$4:$J$1022,AG$1)</f>
        <v>0</v>
      </c>
      <c r="AH118" s="207">
        <f>SUMIFS('август 2023'!$G$4:$G$1022,'август 2023'!$D$4:$D$1022,$B118,'август 2023'!$J$4:$J$1022,AH$1)</f>
        <v>0</v>
      </c>
      <c r="AI118" s="170">
        <f t="shared" si="2"/>
        <v>0</v>
      </c>
    </row>
    <row r="119" spans="2:35" ht="15" customHeight="1" x14ac:dyDescent="0.25">
      <c r="B119" s="216"/>
      <c r="C119" s="213"/>
      <c r="D119" s="207">
        <f>SUMIFS('август 2023'!$G$4:$G$1022,'август 2023'!$D$4:$D$1022,$B119,'август 2023'!$J$4:$J$1022,D$1)</f>
        <v>0</v>
      </c>
      <c r="E119" s="207">
        <f>SUMIFS('август 2023'!$G$4:$G$1022,'август 2023'!$D$4:$D$1022,$B119,'август 2023'!$J$4:$J$1022,E$1)</f>
        <v>0</v>
      </c>
      <c r="F119" s="207">
        <f>SUMIFS('август 2023'!$G$4:$G$1022,'август 2023'!$D$4:$D$1022,$B119,'август 2023'!$J$4:$J$1022,F$1)</f>
        <v>0</v>
      </c>
      <c r="G119" s="207">
        <f>SUMIFS('август 2023'!$G$4:$G$1022,'август 2023'!$D$4:$D$1022,$B119,'август 2023'!$J$4:$J$1022,G$1)</f>
        <v>0</v>
      </c>
      <c r="H119" s="207">
        <f>SUMIFS('август 2023'!$G$4:$G$1022,'август 2023'!$D$4:$D$1022,$B119,'август 2023'!$J$4:$J$1022,H$1)</f>
        <v>0</v>
      </c>
      <c r="I119" s="207">
        <f>SUMIFS('август 2023'!$G$4:$G$1022,'август 2023'!$D$4:$D$1022,$B119,'август 2023'!$J$4:$J$1022,I$1)</f>
        <v>0</v>
      </c>
      <c r="J119" s="207">
        <f>SUMIFS('август 2023'!$G$4:$G$1022,'август 2023'!$D$4:$D$1022,$B119,'август 2023'!$J$4:$J$1022,J$1)</f>
        <v>0</v>
      </c>
      <c r="K119" s="207">
        <f>SUMIFS('август 2023'!$G$4:$G$1022,'август 2023'!$D$4:$D$1022,$B119,'август 2023'!$J$4:$J$1022,K$1)</f>
        <v>0</v>
      </c>
      <c r="L119" s="207">
        <f>SUMIFS('август 2023'!$G$4:$G$1022,'август 2023'!$D$4:$D$1022,$B119,'август 2023'!$J$4:$J$1022,L$1)</f>
        <v>0</v>
      </c>
      <c r="M119" s="207">
        <f>SUMIFS('август 2023'!$G$4:$G$1022,'август 2023'!$D$4:$D$1022,$B119,'август 2023'!$J$4:$J$1022,M$1)</f>
        <v>0</v>
      </c>
      <c r="N119" s="207">
        <f>SUMIFS('август 2023'!$G$4:$G$1022,'август 2023'!$D$4:$D$1022,$B119,'август 2023'!$J$4:$J$1022,N$1)</f>
        <v>0</v>
      </c>
      <c r="O119" s="207">
        <f>SUMIFS('август 2023'!$G$4:$G$1022,'август 2023'!$D$4:$D$1022,$B119,'август 2023'!$J$4:$J$1022,O$1)</f>
        <v>0</v>
      </c>
      <c r="P119" s="207">
        <f>SUMIFS('август 2023'!$G$4:$G$1022,'август 2023'!$D$4:$D$1022,$B119,'август 2023'!$J$4:$J$1022,P$1)</f>
        <v>0</v>
      </c>
      <c r="Q119" s="207">
        <f>SUMIFS('август 2023'!$G$4:$G$1022,'август 2023'!$D$4:$D$1022,$B119,'август 2023'!$J$4:$J$1022,Q$1)</f>
        <v>0</v>
      </c>
      <c r="R119" s="207">
        <f>SUMIFS('август 2023'!$G$4:$G$1022,'август 2023'!$D$4:$D$1022,$B119,'август 2023'!$J$4:$J$1022,R$1)</f>
        <v>0</v>
      </c>
      <c r="S119" s="207">
        <f>SUMIFS('август 2023'!$G$4:$G$1022,'август 2023'!$D$4:$D$1022,$B119,'август 2023'!$J$4:$J$1022,S$1)</f>
        <v>0</v>
      </c>
      <c r="T119" s="207">
        <f>SUMIFS('август 2023'!$G$4:$G$1022,'август 2023'!$D$4:$D$1022,$B119,'август 2023'!$J$4:$J$1022,T$1)</f>
        <v>0</v>
      </c>
      <c r="U119" s="207">
        <f>SUMIFS('август 2023'!$G$4:$G$1022,'август 2023'!$D$4:$D$1022,$B119,'август 2023'!$J$4:$J$1022,U$1)</f>
        <v>0</v>
      </c>
      <c r="V119" s="207">
        <f>SUMIFS('август 2023'!$G$4:$G$1022,'август 2023'!$D$4:$D$1022,$B119,'август 2023'!$J$4:$J$1022,V$1)</f>
        <v>0</v>
      </c>
      <c r="W119" s="207">
        <f>SUMIFS('август 2023'!$G$4:$G$1022,'август 2023'!$D$4:$D$1022,$B119,'август 2023'!$J$4:$J$1022,W$1)</f>
        <v>0</v>
      </c>
      <c r="X119" s="207">
        <f>SUMIFS('август 2023'!$G$4:$G$1022,'август 2023'!$D$4:$D$1022,$B119,'август 2023'!$J$4:$J$1022,X$1)</f>
        <v>0</v>
      </c>
      <c r="Y119" s="207">
        <f>SUMIFS('август 2023'!$G$4:$G$1022,'август 2023'!$D$4:$D$1022,$B119,'август 2023'!$J$4:$J$1022,Y$1)</f>
        <v>0</v>
      </c>
      <c r="Z119" s="207">
        <f>SUMIFS('август 2023'!$G$4:$G$1022,'август 2023'!$D$4:$D$1022,$B119,'август 2023'!$J$4:$J$1022,Z$1)</f>
        <v>0</v>
      </c>
      <c r="AA119" s="207">
        <f>SUMIFS('август 2023'!$G$4:$G$1022,'август 2023'!$D$4:$D$1022,$B119,'август 2023'!$J$4:$J$1022,AA$1)</f>
        <v>0</v>
      </c>
      <c r="AB119" s="207">
        <f>SUMIFS('август 2023'!$G$4:$G$1022,'август 2023'!$D$4:$D$1022,$B119,'август 2023'!$J$4:$J$1022,AB$1)</f>
        <v>0</v>
      </c>
      <c r="AC119" s="207">
        <f>SUMIFS('август 2023'!$G$4:$G$1022,'август 2023'!$D$4:$D$1022,$B119,'август 2023'!$J$4:$J$1022,AC$1)</f>
        <v>0</v>
      </c>
      <c r="AD119" s="207">
        <f>SUMIFS('август 2023'!$G$4:$G$1022,'август 2023'!$D$4:$D$1022,$B119,'август 2023'!$J$4:$J$1022,AD$1)</f>
        <v>0</v>
      </c>
      <c r="AE119" s="207">
        <f>SUMIFS('август 2023'!$G$4:$G$1022,'август 2023'!$D$4:$D$1022,$B119,'август 2023'!$J$4:$J$1022,AE$1)</f>
        <v>0</v>
      </c>
      <c r="AF119" s="207">
        <f>SUMIFS('август 2023'!$G$4:$G$1022,'август 2023'!$D$4:$D$1022,$B119,'август 2023'!$J$4:$J$1022,AF$1)</f>
        <v>0</v>
      </c>
      <c r="AG119" s="207">
        <f>SUMIFS('август 2023'!$G$4:$G$1022,'август 2023'!$D$4:$D$1022,$B119,'август 2023'!$J$4:$J$1022,AG$1)</f>
        <v>0</v>
      </c>
      <c r="AH119" s="207">
        <f>SUMIFS('август 2023'!$G$4:$G$1022,'август 2023'!$D$4:$D$1022,$B119,'август 2023'!$J$4:$J$1022,AH$1)</f>
        <v>0</v>
      </c>
      <c r="AI119" s="170">
        <f t="shared" si="2"/>
        <v>0</v>
      </c>
    </row>
    <row r="120" spans="2:35" ht="15" customHeight="1" x14ac:dyDescent="0.25">
      <c r="B120" s="212"/>
      <c r="C120" s="211"/>
      <c r="D120" s="207">
        <f>SUMIFS('август 2023'!$G$4:$G$1022,'август 2023'!$D$4:$D$1022,$B120,'август 2023'!$J$4:$J$1022,D$1)</f>
        <v>0</v>
      </c>
      <c r="E120" s="207">
        <f>SUMIFS('август 2023'!$G$4:$G$1022,'август 2023'!$D$4:$D$1022,$B120,'август 2023'!$J$4:$J$1022,E$1)</f>
        <v>0</v>
      </c>
      <c r="F120" s="207">
        <f>SUMIFS('август 2023'!$G$4:$G$1022,'август 2023'!$D$4:$D$1022,$B120,'август 2023'!$J$4:$J$1022,F$1)</f>
        <v>0</v>
      </c>
      <c r="G120" s="207">
        <f>SUMIFS('август 2023'!$G$4:$G$1022,'август 2023'!$D$4:$D$1022,$B120,'август 2023'!$J$4:$J$1022,G$1)</f>
        <v>0</v>
      </c>
      <c r="H120" s="207">
        <f>SUMIFS('август 2023'!$G$4:$G$1022,'август 2023'!$D$4:$D$1022,$B120,'август 2023'!$J$4:$J$1022,H$1)</f>
        <v>0</v>
      </c>
      <c r="I120" s="207">
        <f>SUMIFS('август 2023'!$G$4:$G$1022,'август 2023'!$D$4:$D$1022,$B120,'август 2023'!$J$4:$J$1022,I$1)</f>
        <v>0</v>
      </c>
      <c r="J120" s="207">
        <f>SUMIFS('август 2023'!$G$4:$G$1022,'август 2023'!$D$4:$D$1022,$B120,'август 2023'!$J$4:$J$1022,J$1)</f>
        <v>0</v>
      </c>
      <c r="K120" s="207">
        <f>SUMIFS('август 2023'!$G$4:$G$1022,'август 2023'!$D$4:$D$1022,$B120,'август 2023'!$J$4:$J$1022,K$1)</f>
        <v>0</v>
      </c>
      <c r="L120" s="207">
        <f>SUMIFS('август 2023'!$G$4:$G$1022,'август 2023'!$D$4:$D$1022,$B120,'август 2023'!$J$4:$J$1022,L$1)</f>
        <v>0</v>
      </c>
      <c r="M120" s="207">
        <f>SUMIFS('август 2023'!$G$4:$G$1022,'август 2023'!$D$4:$D$1022,$B120,'август 2023'!$J$4:$J$1022,M$1)</f>
        <v>0</v>
      </c>
      <c r="N120" s="207">
        <f>SUMIFS('август 2023'!$G$4:$G$1022,'август 2023'!$D$4:$D$1022,$B120,'август 2023'!$J$4:$J$1022,N$1)</f>
        <v>0</v>
      </c>
      <c r="O120" s="207">
        <f>SUMIFS('август 2023'!$G$4:$G$1022,'август 2023'!$D$4:$D$1022,$B120,'август 2023'!$J$4:$J$1022,O$1)</f>
        <v>0</v>
      </c>
      <c r="P120" s="207">
        <f>SUMIFS('август 2023'!$G$4:$G$1022,'август 2023'!$D$4:$D$1022,$B120,'август 2023'!$J$4:$J$1022,P$1)</f>
        <v>0</v>
      </c>
      <c r="Q120" s="207">
        <f>SUMIFS('август 2023'!$G$4:$G$1022,'август 2023'!$D$4:$D$1022,$B120,'август 2023'!$J$4:$J$1022,Q$1)</f>
        <v>0</v>
      </c>
      <c r="R120" s="207">
        <f>SUMIFS('август 2023'!$G$4:$G$1022,'август 2023'!$D$4:$D$1022,$B120,'август 2023'!$J$4:$J$1022,R$1)</f>
        <v>0</v>
      </c>
      <c r="S120" s="207">
        <f>SUMIFS('август 2023'!$G$4:$G$1022,'август 2023'!$D$4:$D$1022,$B120,'август 2023'!$J$4:$J$1022,S$1)</f>
        <v>0</v>
      </c>
      <c r="T120" s="207">
        <f>SUMIFS('август 2023'!$G$4:$G$1022,'август 2023'!$D$4:$D$1022,$B120,'август 2023'!$J$4:$J$1022,T$1)</f>
        <v>0</v>
      </c>
      <c r="U120" s="207">
        <f>SUMIFS('август 2023'!$G$4:$G$1022,'август 2023'!$D$4:$D$1022,$B120,'август 2023'!$J$4:$J$1022,U$1)</f>
        <v>0</v>
      </c>
      <c r="V120" s="207">
        <f>SUMIFS('август 2023'!$G$4:$G$1022,'август 2023'!$D$4:$D$1022,$B120,'август 2023'!$J$4:$J$1022,V$1)</f>
        <v>0</v>
      </c>
      <c r="W120" s="207">
        <f>SUMIFS('август 2023'!$G$4:$G$1022,'август 2023'!$D$4:$D$1022,$B120,'август 2023'!$J$4:$J$1022,W$1)</f>
        <v>0</v>
      </c>
      <c r="X120" s="207">
        <f>SUMIFS('август 2023'!$G$4:$G$1022,'август 2023'!$D$4:$D$1022,$B120,'август 2023'!$J$4:$J$1022,X$1)</f>
        <v>0</v>
      </c>
      <c r="Y120" s="207">
        <f>SUMIFS('август 2023'!$G$4:$G$1022,'август 2023'!$D$4:$D$1022,$B120,'август 2023'!$J$4:$J$1022,Y$1)</f>
        <v>0</v>
      </c>
      <c r="Z120" s="207">
        <f>SUMIFS('август 2023'!$G$4:$G$1022,'август 2023'!$D$4:$D$1022,$B120,'август 2023'!$J$4:$J$1022,Z$1)</f>
        <v>0</v>
      </c>
      <c r="AA120" s="207">
        <f>SUMIFS('август 2023'!$G$4:$G$1022,'август 2023'!$D$4:$D$1022,$B120,'август 2023'!$J$4:$J$1022,AA$1)</f>
        <v>0</v>
      </c>
      <c r="AB120" s="207">
        <f>SUMIFS('август 2023'!$G$4:$G$1022,'август 2023'!$D$4:$D$1022,$B120,'август 2023'!$J$4:$J$1022,AB$1)</f>
        <v>0</v>
      </c>
      <c r="AC120" s="207">
        <f>SUMIFS('август 2023'!$G$4:$G$1022,'август 2023'!$D$4:$D$1022,$B120,'август 2023'!$J$4:$J$1022,AC$1)</f>
        <v>0</v>
      </c>
      <c r="AD120" s="207">
        <f>SUMIFS('август 2023'!$G$4:$G$1022,'август 2023'!$D$4:$D$1022,$B120,'август 2023'!$J$4:$J$1022,AD$1)</f>
        <v>0</v>
      </c>
      <c r="AE120" s="207">
        <f>SUMIFS('август 2023'!$G$4:$G$1022,'август 2023'!$D$4:$D$1022,$B120,'август 2023'!$J$4:$J$1022,AE$1)</f>
        <v>0</v>
      </c>
      <c r="AF120" s="207">
        <f>SUMIFS('август 2023'!$G$4:$G$1022,'август 2023'!$D$4:$D$1022,$B120,'август 2023'!$J$4:$J$1022,AF$1)</f>
        <v>0</v>
      </c>
      <c r="AG120" s="207">
        <f>SUMIFS('август 2023'!$G$4:$G$1022,'август 2023'!$D$4:$D$1022,$B120,'август 2023'!$J$4:$J$1022,AG$1)</f>
        <v>0</v>
      </c>
      <c r="AH120" s="207">
        <f>SUMIFS('август 2023'!$G$4:$G$1022,'август 2023'!$D$4:$D$1022,$B120,'август 2023'!$J$4:$J$1022,AH$1)</f>
        <v>0</v>
      </c>
      <c r="AI120" s="170">
        <f t="shared" si="2"/>
        <v>0</v>
      </c>
    </row>
    <row r="121" spans="2:35" ht="15" customHeight="1" x14ac:dyDescent="0.25">
      <c r="B121" s="212"/>
      <c r="C121" s="211"/>
      <c r="D121" s="207">
        <f>SUMIFS('август 2023'!$G$4:$G$1022,'август 2023'!$D$4:$D$1022,$B121,'август 2023'!$J$4:$J$1022,D$1)</f>
        <v>0</v>
      </c>
      <c r="E121" s="207">
        <f>SUMIFS('август 2023'!$G$4:$G$1022,'август 2023'!$D$4:$D$1022,$B121,'август 2023'!$J$4:$J$1022,E$1)</f>
        <v>0</v>
      </c>
      <c r="F121" s="207">
        <f>SUMIFS('август 2023'!$G$4:$G$1022,'август 2023'!$D$4:$D$1022,$B121,'август 2023'!$J$4:$J$1022,F$1)</f>
        <v>0</v>
      </c>
      <c r="G121" s="207">
        <f>SUMIFS('август 2023'!$G$4:$G$1022,'август 2023'!$D$4:$D$1022,$B121,'август 2023'!$J$4:$J$1022,G$1)</f>
        <v>0</v>
      </c>
      <c r="H121" s="207">
        <f>SUMIFS('август 2023'!$G$4:$G$1022,'август 2023'!$D$4:$D$1022,$B121,'август 2023'!$J$4:$J$1022,H$1)</f>
        <v>0</v>
      </c>
      <c r="I121" s="207">
        <f>SUMIFS('август 2023'!$G$4:$G$1022,'август 2023'!$D$4:$D$1022,$B121,'август 2023'!$J$4:$J$1022,I$1)</f>
        <v>0</v>
      </c>
      <c r="J121" s="207">
        <f>SUMIFS('август 2023'!$G$4:$G$1022,'август 2023'!$D$4:$D$1022,$B121,'август 2023'!$J$4:$J$1022,J$1)</f>
        <v>0</v>
      </c>
      <c r="K121" s="207">
        <f>SUMIFS('август 2023'!$G$4:$G$1022,'август 2023'!$D$4:$D$1022,$B121,'август 2023'!$J$4:$J$1022,K$1)</f>
        <v>0</v>
      </c>
      <c r="L121" s="207">
        <f>SUMIFS('август 2023'!$G$4:$G$1022,'август 2023'!$D$4:$D$1022,$B121,'август 2023'!$J$4:$J$1022,L$1)</f>
        <v>0</v>
      </c>
      <c r="M121" s="207">
        <f>SUMIFS('август 2023'!$G$4:$G$1022,'август 2023'!$D$4:$D$1022,$B121,'август 2023'!$J$4:$J$1022,M$1)</f>
        <v>0</v>
      </c>
      <c r="N121" s="207">
        <f>SUMIFS('август 2023'!$G$4:$G$1022,'август 2023'!$D$4:$D$1022,$B121,'август 2023'!$J$4:$J$1022,N$1)</f>
        <v>0</v>
      </c>
      <c r="O121" s="207">
        <f>SUMIFS('август 2023'!$G$4:$G$1022,'август 2023'!$D$4:$D$1022,$B121,'август 2023'!$J$4:$J$1022,O$1)</f>
        <v>0</v>
      </c>
      <c r="P121" s="207">
        <f>SUMIFS('август 2023'!$G$4:$G$1022,'август 2023'!$D$4:$D$1022,$B121,'август 2023'!$J$4:$J$1022,P$1)</f>
        <v>0</v>
      </c>
      <c r="Q121" s="207">
        <f>SUMIFS('август 2023'!$G$4:$G$1022,'август 2023'!$D$4:$D$1022,$B121,'август 2023'!$J$4:$J$1022,Q$1)</f>
        <v>0</v>
      </c>
      <c r="R121" s="207">
        <f>SUMIFS('август 2023'!$G$4:$G$1022,'август 2023'!$D$4:$D$1022,$B121,'август 2023'!$J$4:$J$1022,R$1)</f>
        <v>0</v>
      </c>
      <c r="S121" s="207">
        <f>SUMIFS('август 2023'!$G$4:$G$1022,'август 2023'!$D$4:$D$1022,$B121,'август 2023'!$J$4:$J$1022,S$1)</f>
        <v>0</v>
      </c>
      <c r="T121" s="207">
        <f>SUMIFS('август 2023'!$G$4:$G$1022,'август 2023'!$D$4:$D$1022,$B121,'август 2023'!$J$4:$J$1022,T$1)</f>
        <v>0</v>
      </c>
      <c r="U121" s="207">
        <f>SUMIFS('август 2023'!$G$4:$G$1022,'август 2023'!$D$4:$D$1022,$B121,'август 2023'!$J$4:$J$1022,U$1)</f>
        <v>0</v>
      </c>
      <c r="V121" s="207">
        <f>SUMIFS('август 2023'!$G$4:$G$1022,'август 2023'!$D$4:$D$1022,$B121,'август 2023'!$J$4:$J$1022,V$1)</f>
        <v>0</v>
      </c>
      <c r="W121" s="207">
        <f>SUMIFS('август 2023'!$G$4:$G$1022,'август 2023'!$D$4:$D$1022,$B121,'август 2023'!$J$4:$J$1022,W$1)</f>
        <v>0</v>
      </c>
      <c r="X121" s="207">
        <f>SUMIFS('август 2023'!$G$4:$G$1022,'август 2023'!$D$4:$D$1022,$B121,'август 2023'!$J$4:$J$1022,X$1)</f>
        <v>0</v>
      </c>
      <c r="Y121" s="207">
        <f>SUMIFS('август 2023'!$G$4:$G$1022,'август 2023'!$D$4:$D$1022,$B121,'август 2023'!$J$4:$J$1022,Y$1)</f>
        <v>0</v>
      </c>
      <c r="Z121" s="207">
        <f>SUMIFS('август 2023'!$G$4:$G$1022,'август 2023'!$D$4:$D$1022,$B121,'август 2023'!$J$4:$J$1022,Z$1)</f>
        <v>0</v>
      </c>
      <c r="AA121" s="207">
        <f>SUMIFS('август 2023'!$G$4:$G$1022,'август 2023'!$D$4:$D$1022,$B121,'август 2023'!$J$4:$J$1022,AA$1)</f>
        <v>0</v>
      </c>
      <c r="AB121" s="207">
        <f>SUMIFS('август 2023'!$G$4:$G$1022,'август 2023'!$D$4:$D$1022,$B121,'август 2023'!$J$4:$J$1022,AB$1)</f>
        <v>0</v>
      </c>
      <c r="AC121" s="207">
        <f>SUMIFS('август 2023'!$G$4:$G$1022,'август 2023'!$D$4:$D$1022,$B121,'август 2023'!$J$4:$J$1022,AC$1)</f>
        <v>0</v>
      </c>
      <c r="AD121" s="207">
        <f>SUMIFS('август 2023'!$G$4:$G$1022,'август 2023'!$D$4:$D$1022,$B121,'август 2023'!$J$4:$J$1022,AD$1)</f>
        <v>0</v>
      </c>
      <c r="AE121" s="207">
        <f>SUMIFS('август 2023'!$G$4:$G$1022,'август 2023'!$D$4:$D$1022,$B121,'август 2023'!$J$4:$J$1022,AE$1)</f>
        <v>0</v>
      </c>
      <c r="AF121" s="207">
        <f>SUMIFS('август 2023'!$G$4:$G$1022,'август 2023'!$D$4:$D$1022,$B121,'август 2023'!$J$4:$J$1022,AF$1)</f>
        <v>0</v>
      </c>
      <c r="AG121" s="207">
        <f>SUMIFS('август 2023'!$G$4:$G$1022,'август 2023'!$D$4:$D$1022,$B121,'август 2023'!$J$4:$J$1022,AG$1)</f>
        <v>0</v>
      </c>
      <c r="AH121" s="207">
        <f>SUMIFS('август 2023'!$G$4:$G$1022,'август 2023'!$D$4:$D$1022,$B121,'август 2023'!$J$4:$J$1022,AH$1)</f>
        <v>0</v>
      </c>
      <c r="AI121" s="170">
        <f t="shared" si="2"/>
        <v>0</v>
      </c>
    </row>
    <row r="122" spans="2:35" ht="15" customHeight="1" x14ac:dyDescent="0.25">
      <c r="B122" s="212"/>
      <c r="C122" s="211"/>
      <c r="D122" s="207">
        <f>SUMIFS('август 2023'!$G$4:$G$1022,'август 2023'!$D$4:$D$1022,$B122,'август 2023'!$J$4:$J$1022,D$1)</f>
        <v>0</v>
      </c>
      <c r="E122" s="207">
        <f>SUMIFS('август 2023'!$G$4:$G$1022,'август 2023'!$D$4:$D$1022,$B122,'август 2023'!$J$4:$J$1022,E$1)</f>
        <v>0</v>
      </c>
      <c r="F122" s="207">
        <f>SUMIFS('август 2023'!$G$4:$G$1022,'август 2023'!$D$4:$D$1022,$B122,'август 2023'!$J$4:$J$1022,F$1)</f>
        <v>0</v>
      </c>
      <c r="G122" s="207">
        <f>SUMIFS('август 2023'!$G$4:$G$1022,'август 2023'!$D$4:$D$1022,$B122,'август 2023'!$J$4:$J$1022,G$1)</f>
        <v>0</v>
      </c>
      <c r="H122" s="207">
        <f>SUMIFS('август 2023'!$G$4:$G$1022,'август 2023'!$D$4:$D$1022,$B122,'август 2023'!$J$4:$J$1022,H$1)</f>
        <v>0</v>
      </c>
      <c r="I122" s="207">
        <f>SUMIFS('август 2023'!$G$4:$G$1022,'август 2023'!$D$4:$D$1022,$B122,'август 2023'!$J$4:$J$1022,I$1)</f>
        <v>0</v>
      </c>
      <c r="J122" s="207">
        <f>SUMIFS('август 2023'!$G$4:$G$1022,'август 2023'!$D$4:$D$1022,$B122,'август 2023'!$J$4:$J$1022,J$1)</f>
        <v>0</v>
      </c>
      <c r="K122" s="207">
        <f>SUMIFS('август 2023'!$G$4:$G$1022,'август 2023'!$D$4:$D$1022,$B122,'август 2023'!$J$4:$J$1022,K$1)</f>
        <v>0</v>
      </c>
      <c r="L122" s="207">
        <f>SUMIFS('август 2023'!$G$4:$G$1022,'август 2023'!$D$4:$D$1022,$B122,'август 2023'!$J$4:$J$1022,L$1)</f>
        <v>0</v>
      </c>
      <c r="M122" s="207">
        <f>SUMIFS('август 2023'!$G$4:$G$1022,'август 2023'!$D$4:$D$1022,$B122,'август 2023'!$J$4:$J$1022,M$1)</f>
        <v>0</v>
      </c>
      <c r="N122" s="207">
        <f>SUMIFS('август 2023'!$G$4:$G$1022,'август 2023'!$D$4:$D$1022,$B122,'август 2023'!$J$4:$J$1022,N$1)</f>
        <v>0</v>
      </c>
      <c r="O122" s="207">
        <f>SUMIFS('август 2023'!$G$4:$G$1022,'август 2023'!$D$4:$D$1022,$B122,'август 2023'!$J$4:$J$1022,O$1)</f>
        <v>0</v>
      </c>
      <c r="P122" s="207">
        <f>SUMIFS('август 2023'!$G$4:$G$1022,'август 2023'!$D$4:$D$1022,$B122,'август 2023'!$J$4:$J$1022,P$1)</f>
        <v>0</v>
      </c>
      <c r="Q122" s="207">
        <f>SUMIFS('август 2023'!$G$4:$G$1022,'август 2023'!$D$4:$D$1022,$B122,'август 2023'!$J$4:$J$1022,Q$1)</f>
        <v>0</v>
      </c>
      <c r="R122" s="207">
        <f>SUMIFS('август 2023'!$G$4:$G$1022,'август 2023'!$D$4:$D$1022,$B122,'август 2023'!$J$4:$J$1022,R$1)</f>
        <v>0</v>
      </c>
      <c r="S122" s="207">
        <f>SUMIFS('август 2023'!$G$4:$G$1022,'август 2023'!$D$4:$D$1022,$B122,'август 2023'!$J$4:$J$1022,S$1)</f>
        <v>0</v>
      </c>
      <c r="T122" s="207">
        <f>SUMIFS('август 2023'!$G$4:$G$1022,'август 2023'!$D$4:$D$1022,$B122,'август 2023'!$J$4:$J$1022,T$1)</f>
        <v>0</v>
      </c>
      <c r="U122" s="207">
        <f>SUMIFS('август 2023'!$G$4:$G$1022,'август 2023'!$D$4:$D$1022,$B122,'август 2023'!$J$4:$J$1022,U$1)</f>
        <v>0</v>
      </c>
      <c r="V122" s="207">
        <f>SUMIFS('август 2023'!$G$4:$G$1022,'август 2023'!$D$4:$D$1022,$B122,'август 2023'!$J$4:$J$1022,V$1)</f>
        <v>0</v>
      </c>
      <c r="W122" s="207">
        <f>SUMIFS('август 2023'!$G$4:$G$1022,'август 2023'!$D$4:$D$1022,$B122,'август 2023'!$J$4:$J$1022,W$1)</f>
        <v>0</v>
      </c>
      <c r="X122" s="207">
        <f>SUMIFS('август 2023'!$G$4:$G$1022,'август 2023'!$D$4:$D$1022,$B122,'август 2023'!$J$4:$J$1022,X$1)</f>
        <v>0</v>
      </c>
      <c r="Y122" s="207">
        <f>SUMIFS('август 2023'!$G$4:$G$1022,'август 2023'!$D$4:$D$1022,$B122,'август 2023'!$J$4:$J$1022,Y$1)</f>
        <v>0</v>
      </c>
      <c r="Z122" s="207">
        <f>SUMIFS('август 2023'!$G$4:$G$1022,'август 2023'!$D$4:$D$1022,$B122,'август 2023'!$J$4:$J$1022,Z$1)</f>
        <v>0</v>
      </c>
      <c r="AA122" s="207">
        <f>SUMIFS('август 2023'!$G$4:$G$1022,'август 2023'!$D$4:$D$1022,$B122,'август 2023'!$J$4:$J$1022,AA$1)</f>
        <v>0</v>
      </c>
      <c r="AB122" s="207">
        <f>SUMIFS('август 2023'!$G$4:$G$1022,'август 2023'!$D$4:$D$1022,$B122,'август 2023'!$J$4:$J$1022,AB$1)</f>
        <v>0</v>
      </c>
      <c r="AC122" s="207">
        <f>SUMIFS('август 2023'!$G$4:$G$1022,'август 2023'!$D$4:$D$1022,$B122,'август 2023'!$J$4:$J$1022,AC$1)</f>
        <v>0</v>
      </c>
      <c r="AD122" s="207">
        <f>SUMIFS('август 2023'!$G$4:$G$1022,'август 2023'!$D$4:$D$1022,$B122,'август 2023'!$J$4:$J$1022,AD$1)</f>
        <v>0</v>
      </c>
      <c r="AE122" s="207">
        <f>SUMIFS('август 2023'!$G$4:$G$1022,'август 2023'!$D$4:$D$1022,$B122,'август 2023'!$J$4:$J$1022,AE$1)</f>
        <v>0</v>
      </c>
      <c r="AF122" s="207">
        <f>SUMIFS('август 2023'!$G$4:$G$1022,'август 2023'!$D$4:$D$1022,$B122,'август 2023'!$J$4:$J$1022,AF$1)</f>
        <v>0</v>
      </c>
      <c r="AG122" s="207">
        <f>SUMIFS('август 2023'!$G$4:$G$1022,'август 2023'!$D$4:$D$1022,$B122,'август 2023'!$J$4:$J$1022,AG$1)</f>
        <v>0</v>
      </c>
      <c r="AH122" s="207">
        <f>SUMIFS('август 2023'!$G$4:$G$1022,'август 2023'!$D$4:$D$1022,$B122,'август 2023'!$J$4:$J$1022,AH$1)</f>
        <v>0</v>
      </c>
      <c r="AI122" s="170">
        <f t="shared" si="2"/>
        <v>0</v>
      </c>
    </row>
    <row r="123" spans="2:35" ht="15" hidden="1" customHeight="1" x14ac:dyDescent="0.25">
      <c r="B123" s="212"/>
      <c r="C123" s="211"/>
      <c r="D123" s="207">
        <f>SUMIFS('август 2023'!$G$4:$G$1022,'август 2023'!$D$4:$D$1022,$B123,'август 2023'!$J$4:$J$1022,D$1)</f>
        <v>0</v>
      </c>
      <c r="E123" s="207">
        <f>SUMIFS('август 2023'!$G$4:$G$1022,'август 2023'!$D$4:$D$1022,$B123,'август 2023'!$J$4:$J$1022,E$1)</f>
        <v>0</v>
      </c>
      <c r="F123" s="207">
        <f>SUMIFS('август 2023'!$G$4:$G$1022,'август 2023'!$D$4:$D$1022,$B123,'август 2023'!$J$4:$J$1022,F$1)</f>
        <v>0</v>
      </c>
      <c r="G123" s="207">
        <f>SUMIFS('август 2023'!$G$4:$G$1022,'август 2023'!$D$4:$D$1022,$B123,'август 2023'!$J$4:$J$1022,G$1)</f>
        <v>0</v>
      </c>
      <c r="H123" s="207">
        <f>SUMIFS('август 2023'!$G$4:$G$1022,'август 2023'!$D$4:$D$1022,$B123,'август 2023'!$J$4:$J$1022,H$1)</f>
        <v>0</v>
      </c>
      <c r="I123" s="207">
        <f>SUMIFS('август 2023'!$G$4:$G$1022,'август 2023'!$D$4:$D$1022,$B123,'август 2023'!$J$4:$J$1022,I$1)</f>
        <v>0</v>
      </c>
      <c r="J123" s="207">
        <f>SUMIFS('август 2023'!$G$4:$G$1022,'август 2023'!$D$4:$D$1022,$B123,'август 2023'!$J$4:$J$1022,J$1)</f>
        <v>0</v>
      </c>
      <c r="K123" s="207">
        <f>SUMIFS('август 2023'!$G$4:$G$1022,'август 2023'!$D$4:$D$1022,$B123,'август 2023'!$J$4:$J$1022,K$1)</f>
        <v>0</v>
      </c>
      <c r="L123" s="207">
        <f>SUMIFS('август 2023'!$G$4:$G$1022,'август 2023'!$D$4:$D$1022,$B123,'август 2023'!$J$4:$J$1022,L$1)</f>
        <v>0</v>
      </c>
      <c r="M123" s="207">
        <f>SUMIFS('август 2023'!$G$4:$G$1022,'август 2023'!$D$4:$D$1022,$B123,'август 2023'!$J$4:$J$1022,M$1)</f>
        <v>0</v>
      </c>
      <c r="N123" s="207">
        <f>SUMIFS('август 2023'!$G$4:$G$1022,'август 2023'!$D$4:$D$1022,$B123,'август 2023'!$J$4:$J$1022,N$1)</f>
        <v>0</v>
      </c>
      <c r="O123" s="207">
        <f>SUMIFS('август 2023'!$G$4:$G$1022,'август 2023'!$D$4:$D$1022,$B123,'август 2023'!$J$4:$J$1022,O$1)</f>
        <v>0</v>
      </c>
      <c r="P123" s="207">
        <f>SUMIFS('август 2023'!$G$4:$G$1022,'август 2023'!$D$4:$D$1022,$B123,'август 2023'!$J$4:$J$1022,P$1)</f>
        <v>0</v>
      </c>
      <c r="Q123" s="207">
        <f>SUMIFS('август 2023'!$G$4:$G$1022,'август 2023'!$D$4:$D$1022,$B123,'август 2023'!$J$4:$J$1022,Q$1)</f>
        <v>0</v>
      </c>
      <c r="R123" s="207">
        <f>SUMIFS('август 2023'!$G$4:$G$1022,'август 2023'!$D$4:$D$1022,$B123,'август 2023'!$J$4:$J$1022,R$1)</f>
        <v>0</v>
      </c>
      <c r="S123" s="207">
        <f>SUMIFS('август 2023'!$G$4:$G$1022,'август 2023'!$D$4:$D$1022,$B123,'август 2023'!$J$4:$J$1022,S$1)</f>
        <v>0</v>
      </c>
      <c r="T123" s="207">
        <f>SUMIFS('август 2023'!$G$4:$G$1022,'август 2023'!$D$4:$D$1022,$B123,'август 2023'!$J$4:$J$1022,T$1)</f>
        <v>0</v>
      </c>
      <c r="U123" s="207">
        <f>SUMIFS('август 2023'!$G$4:$G$1022,'август 2023'!$D$4:$D$1022,$B123,'август 2023'!$J$4:$J$1022,U$1)</f>
        <v>0</v>
      </c>
      <c r="V123" s="207">
        <f>SUMIFS('август 2023'!$G$4:$G$1022,'август 2023'!$D$4:$D$1022,$B123,'август 2023'!$J$4:$J$1022,V$1)</f>
        <v>0</v>
      </c>
      <c r="W123" s="207">
        <f>SUMIFS('август 2023'!$G$4:$G$1022,'август 2023'!$D$4:$D$1022,$B123,'август 2023'!$J$4:$J$1022,W$1)</f>
        <v>0</v>
      </c>
      <c r="X123" s="207">
        <f>SUMIFS('август 2023'!$G$4:$G$1022,'август 2023'!$D$4:$D$1022,$B123,'август 2023'!$J$4:$J$1022,X$1)</f>
        <v>0</v>
      </c>
      <c r="Y123" s="207">
        <f>SUMIFS('август 2023'!$G$4:$G$1022,'август 2023'!$D$4:$D$1022,$B123,'август 2023'!$J$4:$J$1022,Y$1)</f>
        <v>0</v>
      </c>
      <c r="Z123" s="207">
        <f>SUMIFS('август 2023'!$G$4:$G$1022,'август 2023'!$D$4:$D$1022,$B123,'август 2023'!$J$4:$J$1022,Z$1)</f>
        <v>0</v>
      </c>
      <c r="AA123" s="207">
        <f>SUMIFS('август 2023'!$G$4:$G$1022,'август 2023'!$D$4:$D$1022,$B123,'август 2023'!$J$4:$J$1022,AA$1)</f>
        <v>0</v>
      </c>
      <c r="AB123" s="207">
        <f>SUMIFS('август 2023'!$G$4:$G$1022,'август 2023'!$D$4:$D$1022,$B123,'август 2023'!$J$4:$J$1022,AB$1)</f>
        <v>0</v>
      </c>
      <c r="AC123" s="207">
        <f>SUMIFS('август 2023'!$G$4:$G$1022,'август 2023'!$D$4:$D$1022,$B123,'август 2023'!$J$4:$J$1022,AC$1)</f>
        <v>0</v>
      </c>
      <c r="AD123" s="207">
        <f>SUMIFS('август 2023'!$G$4:$G$1022,'август 2023'!$D$4:$D$1022,$B123,'август 2023'!$J$4:$J$1022,AD$1)</f>
        <v>0</v>
      </c>
      <c r="AE123" s="207">
        <f>SUMIFS('август 2023'!$G$4:$G$1022,'август 2023'!$D$4:$D$1022,$B123,'август 2023'!$J$4:$J$1022,AE$1)</f>
        <v>0</v>
      </c>
      <c r="AF123" s="207">
        <f>SUMIFS('август 2023'!$G$4:$G$1022,'август 2023'!$D$4:$D$1022,$B123,'август 2023'!$J$4:$J$1022,AF$1)</f>
        <v>0</v>
      </c>
      <c r="AG123" s="207">
        <f>SUMIFS('август 2023'!$G$4:$G$1022,'август 2023'!$D$4:$D$1022,$B123,'август 2023'!$J$4:$J$1022,AG$1)</f>
        <v>0</v>
      </c>
      <c r="AH123" s="207">
        <f>SUMIFS('август 2023'!$G$4:$G$1022,'август 2023'!$D$4:$D$1022,$B123,'август 2023'!$J$4:$J$1022,AH$1)</f>
        <v>0</v>
      </c>
      <c r="AI123" s="220">
        <f t="shared" si="2"/>
        <v>0</v>
      </c>
    </row>
    <row r="124" spans="2:35" ht="15" hidden="1" customHeight="1" x14ac:dyDescent="0.25">
      <c r="B124" s="212"/>
      <c r="C124" s="211"/>
      <c r="D124" s="207">
        <f>SUMIFS('август 2023'!$G$4:$G$1022,'август 2023'!$D$4:$D$1022,$B124,'август 2023'!$J$4:$J$1022,D$1)</f>
        <v>0</v>
      </c>
      <c r="E124" s="207">
        <f>SUMIFS('август 2023'!$G$4:$G$1022,'август 2023'!$D$4:$D$1022,$B124,'август 2023'!$J$4:$J$1022,E$1)</f>
        <v>0</v>
      </c>
      <c r="F124" s="207">
        <f>SUMIFS('август 2023'!$G$4:$G$1022,'август 2023'!$D$4:$D$1022,$B124,'август 2023'!$J$4:$J$1022,F$1)</f>
        <v>0</v>
      </c>
      <c r="G124" s="207">
        <f>SUMIFS('август 2023'!$G$4:$G$1022,'август 2023'!$D$4:$D$1022,$B124,'август 2023'!$J$4:$J$1022,G$1)</f>
        <v>0</v>
      </c>
      <c r="H124" s="207">
        <f>SUMIFS('август 2023'!$G$4:$G$1022,'август 2023'!$D$4:$D$1022,$B124,'август 2023'!$J$4:$J$1022,H$1)</f>
        <v>0</v>
      </c>
      <c r="I124" s="207">
        <f>SUMIFS('август 2023'!$G$4:$G$1022,'август 2023'!$D$4:$D$1022,$B124,'август 2023'!$J$4:$J$1022,I$1)</f>
        <v>0</v>
      </c>
      <c r="J124" s="207">
        <f>SUMIFS('август 2023'!$G$4:$G$1022,'август 2023'!$D$4:$D$1022,$B124,'август 2023'!$J$4:$J$1022,J$1)</f>
        <v>0</v>
      </c>
      <c r="K124" s="207">
        <f>SUMIFS('август 2023'!$G$4:$G$1022,'август 2023'!$D$4:$D$1022,$B124,'август 2023'!$J$4:$J$1022,K$1)</f>
        <v>0</v>
      </c>
      <c r="L124" s="207">
        <f>SUMIFS('август 2023'!$G$4:$G$1022,'август 2023'!$D$4:$D$1022,$B124,'август 2023'!$J$4:$J$1022,L$1)</f>
        <v>0</v>
      </c>
      <c r="M124" s="207">
        <f>SUMIFS('август 2023'!$G$4:$G$1022,'август 2023'!$D$4:$D$1022,$B124,'август 2023'!$J$4:$J$1022,M$1)</f>
        <v>0</v>
      </c>
      <c r="N124" s="207">
        <f>SUMIFS('август 2023'!$G$4:$G$1022,'август 2023'!$D$4:$D$1022,$B124,'август 2023'!$J$4:$J$1022,N$1)</f>
        <v>0</v>
      </c>
      <c r="O124" s="207">
        <f>SUMIFS('август 2023'!$G$4:$G$1022,'август 2023'!$D$4:$D$1022,$B124,'август 2023'!$J$4:$J$1022,O$1)</f>
        <v>0</v>
      </c>
      <c r="P124" s="207">
        <f>SUMIFS('август 2023'!$G$4:$G$1022,'август 2023'!$D$4:$D$1022,$B124,'август 2023'!$J$4:$J$1022,P$1)</f>
        <v>0</v>
      </c>
      <c r="Q124" s="207">
        <f>SUMIFS('август 2023'!$G$4:$G$1022,'август 2023'!$D$4:$D$1022,$B124,'август 2023'!$J$4:$J$1022,Q$1)</f>
        <v>0</v>
      </c>
      <c r="R124" s="207">
        <f>SUMIFS('август 2023'!$G$4:$G$1022,'август 2023'!$D$4:$D$1022,$B124,'август 2023'!$J$4:$J$1022,R$1)</f>
        <v>0</v>
      </c>
      <c r="S124" s="207">
        <f>SUMIFS('август 2023'!$G$4:$G$1022,'август 2023'!$D$4:$D$1022,$B124,'август 2023'!$J$4:$J$1022,S$1)</f>
        <v>0</v>
      </c>
      <c r="T124" s="207">
        <f>SUMIFS('август 2023'!$G$4:$G$1022,'август 2023'!$D$4:$D$1022,$B124,'август 2023'!$J$4:$J$1022,T$1)</f>
        <v>0</v>
      </c>
      <c r="U124" s="207">
        <f>SUMIFS('август 2023'!$G$4:$G$1022,'август 2023'!$D$4:$D$1022,$B124,'август 2023'!$J$4:$J$1022,U$1)</f>
        <v>0</v>
      </c>
      <c r="V124" s="207">
        <f>SUMIFS('август 2023'!$G$4:$G$1022,'август 2023'!$D$4:$D$1022,$B124,'август 2023'!$J$4:$J$1022,V$1)</f>
        <v>0</v>
      </c>
      <c r="W124" s="207">
        <f>SUMIFS('август 2023'!$G$4:$G$1022,'август 2023'!$D$4:$D$1022,$B124,'август 2023'!$J$4:$J$1022,W$1)</f>
        <v>0</v>
      </c>
      <c r="X124" s="207">
        <f>SUMIFS('август 2023'!$G$4:$G$1022,'август 2023'!$D$4:$D$1022,$B124,'август 2023'!$J$4:$J$1022,X$1)</f>
        <v>0</v>
      </c>
      <c r="Y124" s="207">
        <f>SUMIFS('август 2023'!$G$4:$G$1022,'август 2023'!$D$4:$D$1022,$B124,'август 2023'!$J$4:$J$1022,Y$1)</f>
        <v>0</v>
      </c>
      <c r="Z124" s="207">
        <f>SUMIFS('август 2023'!$G$4:$G$1022,'август 2023'!$D$4:$D$1022,$B124,'август 2023'!$J$4:$J$1022,Z$1)</f>
        <v>0</v>
      </c>
      <c r="AA124" s="207">
        <f>SUMIFS('август 2023'!$G$4:$G$1022,'август 2023'!$D$4:$D$1022,$B124,'август 2023'!$J$4:$J$1022,AA$1)</f>
        <v>0</v>
      </c>
      <c r="AB124" s="207">
        <f>SUMIFS('август 2023'!$G$4:$G$1022,'август 2023'!$D$4:$D$1022,$B124,'август 2023'!$J$4:$J$1022,AB$1)</f>
        <v>0</v>
      </c>
      <c r="AC124" s="207">
        <f>SUMIFS('август 2023'!$G$4:$G$1022,'август 2023'!$D$4:$D$1022,$B124,'август 2023'!$J$4:$J$1022,AC$1)</f>
        <v>0</v>
      </c>
      <c r="AD124" s="207">
        <f>SUMIFS('август 2023'!$G$4:$G$1022,'август 2023'!$D$4:$D$1022,$B124,'август 2023'!$J$4:$J$1022,AD$1)</f>
        <v>0</v>
      </c>
      <c r="AE124" s="207">
        <f>SUMIFS('август 2023'!$G$4:$G$1022,'август 2023'!$D$4:$D$1022,$B124,'август 2023'!$J$4:$J$1022,AE$1)</f>
        <v>0</v>
      </c>
      <c r="AF124" s="207">
        <f>SUMIFS('август 2023'!$G$4:$G$1022,'август 2023'!$D$4:$D$1022,$B124,'август 2023'!$J$4:$J$1022,AF$1)</f>
        <v>0</v>
      </c>
      <c r="AG124" s="207">
        <f>SUMIFS('август 2023'!$G$4:$G$1022,'август 2023'!$D$4:$D$1022,$B124,'август 2023'!$J$4:$J$1022,AG$1)</f>
        <v>0</v>
      </c>
      <c r="AH124" s="207">
        <f>SUMIFS('август 2023'!$G$4:$G$1022,'август 2023'!$D$4:$D$1022,$B124,'август 2023'!$J$4:$J$1022,AH$1)</f>
        <v>0</v>
      </c>
      <c r="AI124" s="220">
        <f t="shared" si="2"/>
        <v>0</v>
      </c>
    </row>
    <row r="125" spans="2:35" ht="15" hidden="1" customHeight="1" x14ac:dyDescent="0.25">
      <c r="B125" s="212"/>
      <c r="C125" s="211"/>
      <c r="D125" s="207">
        <f>SUMIFS('август 2023'!$G$4:$G$1022,'август 2023'!$D$4:$D$1022,$B125,'август 2023'!$J$4:$J$1022,D$1)</f>
        <v>0</v>
      </c>
      <c r="E125" s="207">
        <f>SUMIFS('август 2023'!$G$4:$G$1022,'август 2023'!$D$4:$D$1022,$B125,'август 2023'!$J$4:$J$1022,E$1)</f>
        <v>0</v>
      </c>
      <c r="F125" s="207">
        <f>SUMIFS('август 2023'!$G$4:$G$1022,'август 2023'!$D$4:$D$1022,$B125,'август 2023'!$J$4:$J$1022,F$1)</f>
        <v>0</v>
      </c>
      <c r="G125" s="207">
        <f>SUMIFS('август 2023'!$G$4:$G$1022,'август 2023'!$D$4:$D$1022,$B125,'август 2023'!$J$4:$J$1022,G$1)</f>
        <v>0</v>
      </c>
      <c r="H125" s="207">
        <f>SUMIFS('август 2023'!$G$4:$G$1022,'август 2023'!$D$4:$D$1022,$B125,'август 2023'!$J$4:$J$1022,H$1)</f>
        <v>0</v>
      </c>
      <c r="I125" s="207">
        <f>SUMIFS('август 2023'!$G$4:$G$1022,'август 2023'!$D$4:$D$1022,$B125,'август 2023'!$J$4:$J$1022,I$1)</f>
        <v>0</v>
      </c>
      <c r="J125" s="207">
        <f>SUMIFS('август 2023'!$G$4:$G$1022,'август 2023'!$D$4:$D$1022,$B125,'август 2023'!$J$4:$J$1022,J$1)</f>
        <v>0</v>
      </c>
      <c r="K125" s="207">
        <f>SUMIFS('август 2023'!$G$4:$G$1022,'август 2023'!$D$4:$D$1022,$B125,'август 2023'!$J$4:$J$1022,K$1)</f>
        <v>0</v>
      </c>
      <c r="L125" s="207">
        <f>SUMIFS('август 2023'!$G$4:$G$1022,'август 2023'!$D$4:$D$1022,$B125,'август 2023'!$J$4:$J$1022,L$1)</f>
        <v>0</v>
      </c>
      <c r="M125" s="207">
        <f>SUMIFS('август 2023'!$G$4:$G$1022,'август 2023'!$D$4:$D$1022,$B125,'август 2023'!$J$4:$J$1022,M$1)</f>
        <v>0</v>
      </c>
      <c r="N125" s="207">
        <f>SUMIFS('август 2023'!$G$4:$G$1022,'август 2023'!$D$4:$D$1022,$B125,'август 2023'!$J$4:$J$1022,N$1)</f>
        <v>0</v>
      </c>
      <c r="O125" s="207">
        <f>SUMIFS('август 2023'!$G$4:$G$1022,'август 2023'!$D$4:$D$1022,$B125,'август 2023'!$J$4:$J$1022,O$1)</f>
        <v>0</v>
      </c>
      <c r="P125" s="207">
        <f>SUMIFS('август 2023'!$G$4:$G$1022,'август 2023'!$D$4:$D$1022,$B125,'август 2023'!$J$4:$J$1022,P$1)</f>
        <v>0</v>
      </c>
      <c r="Q125" s="207">
        <f>SUMIFS('август 2023'!$G$4:$G$1022,'август 2023'!$D$4:$D$1022,$B125,'август 2023'!$J$4:$J$1022,Q$1)</f>
        <v>0</v>
      </c>
      <c r="R125" s="207">
        <f>SUMIFS('август 2023'!$G$4:$G$1022,'август 2023'!$D$4:$D$1022,$B125,'август 2023'!$J$4:$J$1022,R$1)</f>
        <v>0</v>
      </c>
      <c r="S125" s="207">
        <f>SUMIFS('август 2023'!$G$4:$G$1022,'август 2023'!$D$4:$D$1022,$B125,'август 2023'!$J$4:$J$1022,S$1)</f>
        <v>0</v>
      </c>
      <c r="T125" s="207">
        <f>SUMIFS('август 2023'!$G$4:$G$1022,'август 2023'!$D$4:$D$1022,$B125,'август 2023'!$J$4:$J$1022,T$1)</f>
        <v>0</v>
      </c>
      <c r="U125" s="207">
        <f>SUMIFS('август 2023'!$G$4:$G$1022,'август 2023'!$D$4:$D$1022,$B125,'август 2023'!$J$4:$J$1022,U$1)</f>
        <v>0</v>
      </c>
      <c r="V125" s="207">
        <f>SUMIFS('август 2023'!$G$4:$G$1022,'август 2023'!$D$4:$D$1022,$B125,'август 2023'!$J$4:$J$1022,V$1)</f>
        <v>0</v>
      </c>
      <c r="W125" s="207">
        <f>SUMIFS('август 2023'!$G$4:$G$1022,'август 2023'!$D$4:$D$1022,$B125,'август 2023'!$J$4:$J$1022,W$1)</f>
        <v>0</v>
      </c>
      <c r="X125" s="207">
        <f>SUMIFS('август 2023'!$G$4:$G$1022,'август 2023'!$D$4:$D$1022,$B125,'август 2023'!$J$4:$J$1022,X$1)</f>
        <v>0</v>
      </c>
      <c r="Y125" s="207">
        <f>SUMIFS('август 2023'!$G$4:$G$1022,'август 2023'!$D$4:$D$1022,$B125,'август 2023'!$J$4:$J$1022,Y$1)</f>
        <v>0</v>
      </c>
      <c r="Z125" s="207">
        <f>SUMIFS('август 2023'!$G$4:$G$1022,'август 2023'!$D$4:$D$1022,$B125,'август 2023'!$J$4:$J$1022,Z$1)</f>
        <v>0</v>
      </c>
      <c r="AA125" s="207">
        <f>SUMIFS('август 2023'!$G$4:$G$1022,'август 2023'!$D$4:$D$1022,$B125,'август 2023'!$J$4:$J$1022,AA$1)</f>
        <v>0</v>
      </c>
      <c r="AB125" s="207">
        <f>SUMIFS('август 2023'!$G$4:$G$1022,'август 2023'!$D$4:$D$1022,$B125,'август 2023'!$J$4:$J$1022,AB$1)</f>
        <v>0</v>
      </c>
      <c r="AC125" s="207">
        <f>SUMIFS('август 2023'!$G$4:$G$1022,'август 2023'!$D$4:$D$1022,$B125,'август 2023'!$J$4:$J$1022,AC$1)</f>
        <v>0</v>
      </c>
      <c r="AD125" s="207">
        <f>SUMIFS('август 2023'!$G$4:$G$1022,'август 2023'!$D$4:$D$1022,$B125,'август 2023'!$J$4:$J$1022,AD$1)</f>
        <v>0</v>
      </c>
      <c r="AE125" s="207">
        <f>SUMIFS('август 2023'!$G$4:$G$1022,'август 2023'!$D$4:$D$1022,$B125,'август 2023'!$J$4:$J$1022,AE$1)</f>
        <v>0</v>
      </c>
      <c r="AF125" s="207">
        <f>SUMIFS('август 2023'!$G$4:$G$1022,'август 2023'!$D$4:$D$1022,$B125,'август 2023'!$J$4:$J$1022,AF$1)</f>
        <v>0</v>
      </c>
      <c r="AG125" s="207">
        <f>SUMIFS('август 2023'!$G$4:$G$1022,'август 2023'!$D$4:$D$1022,$B125,'август 2023'!$J$4:$J$1022,AG$1)</f>
        <v>0</v>
      </c>
      <c r="AH125" s="207">
        <f>SUMIFS('август 2023'!$G$4:$G$1022,'август 2023'!$D$4:$D$1022,$B125,'август 2023'!$J$4:$J$1022,AH$1)</f>
        <v>0</v>
      </c>
      <c r="AI125" s="220">
        <f t="shared" si="2"/>
        <v>0</v>
      </c>
    </row>
    <row r="126" spans="2:35" ht="15" hidden="1" customHeight="1" x14ac:dyDescent="0.25">
      <c r="B126" s="212"/>
      <c r="C126" s="211"/>
      <c r="D126" s="207">
        <f>SUMIFS('август 2023'!$G$4:$G$1022,'август 2023'!$D$4:$D$1022,$B126,'август 2023'!$J$4:$J$1022,D$1)</f>
        <v>0</v>
      </c>
      <c r="E126" s="207">
        <f>SUMIFS('август 2023'!$G$4:$G$1022,'август 2023'!$D$4:$D$1022,$B126,'август 2023'!$J$4:$J$1022,E$1)</f>
        <v>0</v>
      </c>
      <c r="F126" s="207">
        <f>SUMIFS('август 2023'!$G$4:$G$1022,'август 2023'!$D$4:$D$1022,$B126,'август 2023'!$J$4:$J$1022,F$1)</f>
        <v>0</v>
      </c>
      <c r="G126" s="207">
        <f>SUMIFS('август 2023'!$G$4:$G$1022,'август 2023'!$D$4:$D$1022,$B126,'август 2023'!$J$4:$J$1022,G$1)</f>
        <v>0</v>
      </c>
      <c r="H126" s="207">
        <f>SUMIFS('август 2023'!$G$4:$G$1022,'август 2023'!$D$4:$D$1022,$B126,'август 2023'!$J$4:$J$1022,H$1)</f>
        <v>0</v>
      </c>
      <c r="I126" s="207">
        <f>SUMIFS('август 2023'!$G$4:$G$1022,'август 2023'!$D$4:$D$1022,$B126,'август 2023'!$J$4:$J$1022,I$1)</f>
        <v>0</v>
      </c>
      <c r="J126" s="207">
        <f>SUMIFS('август 2023'!$G$4:$G$1022,'август 2023'!$D$4:$D$1022,$B126,'август 2023'!$J$4:$J$1022,J$1)</f>
        <v>0</v>
      </c>
      <c r="K126" s="207">
        <f>SUMIFS('август 2023'!$G$4:$G$1022,'август 2023'!$D$4:$D$1022,$B126,'август 2023'!$J$4:$J$1022,K$1)</f>
        <v>0</v>
      </c>
      <c r="L126" s="207">
        <f>SUMIFS('август 2023'!$G$4:$G$1022,'август 2023'!$D$4:$D$1022,$B126,'август 2023'!$J$4:$J$1022,L$1)</f>
        <v>0</v>
      </c>
      <c r="M126" s="207">
        <f>SUMIFS('август 2023'!$G$4:$G$1022,'август 2023'!$D$4:$D$1022,$B126,'август 2023'!$J$4:$J$1022,M$1)</f>
        <v>0</v>
      </c>
      <c r="N126" s="207">
        <f>SUMIFS('август 2023'!$G$4:$G$1022,'август 2023'!$D$4:$D$1022,$B126,'август 2023'!$J$4:$J$1022,N$1)</f>
        <v>0</v>
      </c>
      <c r="O126" s="207">
        <f>SUMIFS('август 2023'!$G$4:$G$1022,'август 2023'!$D$4:$D$1022,$B126,'август 2023'!$J$4:$J$1022,O$1)</f>
        <v>0</v>
      </c>
      <c r="P126" s="207">
        <f>SUMIFS('август 2023'!$G$4:$G$1022,'август 2023'!$D$4:$D$1022,$B126,'август 2023'!$J$4:$J$1022,P$1)</f>
        <v>0</v>
      </c>
      <c r="Q126" s="207">
        <f>SUMIFS('август 2023'!$G$4:$G$1022,'август 2023'!$D$4:$D$1022,$B126,'август 2023'!$J$4:$J$1022,Q$1)</f>
        <v>0</v>
      </c>
      <c r="R126" s="207">
        <f>SUMIFS('август 2023'!$G$4:$G$1022,'август 2023'!$D$4:$D$1022,$B126,'август 2023'!$J$4:$J$1022,R$1)</f>
        <v>0</v>
      </c>
      <c r="S126" s="207">
        <f>SUMIFS('август 2023'!$G$4:$G$1022,'август 2023'!$D$4:$D$1022,$B126,'август 2023'!$J$4:$J$1022,S$1)</f>
        <v>0</v>
      </c>
      <c r="T126" s="207">
        <f>SUMIFS('август 2023'!$G$4:$G$1022,'август 2023'!$D$4:$D$1022,$B126,'август 2023'!$J$4:$J$1022,T$1)</f>
        <v>0</v>
      </c>
      <c r="U126" s="207">
        <f>SUMIFS('август 2023'!$G$4:$G$1022,'август 2023'!$D$4:$D$1022,$B126,'август 2023'!$J$4:$J$1022,U$1)</f>
        <v>0</v>
      </c>
      <c r="V126" s="207">
        <f>SUMIFS('август 2023'!$G$4:$G$1022,'август 2023'!$D$4:$D$1022,$B126,'август 2023'!$J$4:$J$1022,V$1)</f>
        <v>0</v>
      </c>
      <c r="W126" s="207">
        <f>SUMIFS('август 2023'!$G$4:$G$1022,'август 2023'!$D$4:$D$1022,$B126,'август 2023'!$J$4:$J$1022,W$1)</f>
        <v>0</v>
      </c>
      <c r="X126" s="207">
        <f>SUMIFS('август 2023'!$G$4:$G$1022,'август 2023'!$D$4:$D$1022,$B126,'август 2023'!$J$4:$J$1022,X$1)</f>
        <v>0</v>
      </c>
      <c r="Y126" s="207">
        <f>SUMIFS('август 2023'!$G$4:$G$1022,'август 2023'!$D$4:$D$1022,$B126,'август 2023'!$J$4:$J$1022,Y$1)</f>
        <v>0</v>
      </c>
      <c r="Z126" s="207">
        <f>SUMIFS('август 2023'!$G$4:$G$1022,'август 2023'!$D$4:$D$1022,$B126,'август 2023'!$J$4:$J$1022,Z$1)</f>
        <v>0</v>
      </c>
      <c r="AA126" s="207">
        <f>SUMIFS('август 2023'!$G$4:$G$1022,'август 2023'!$D$4:$D$1022,$B126,'август 2023'!$J$4:$J$1022,AA$1)</f>
        <v>0</v>
      </c>
      <c r="AB126" s="207">
        <f>SUMIFS('август 2023'!$G$4:$G$1022,'август 2023'!$D$4:$D$1022,$B126,'август 2023'!$J$4:$J$1022,AB$1)</f>
        <v>0</v>
      </c>
      <c r="AC126" s="207">
        <f>SUMIFS('август 2023'!$G$4:$G$1022,'август 2023'!$D$4:$D$1022,$B126,'август 2023'!$J$4:$J$1022,AC$1)</f>
        <v>0</v>
      </c>
      <c r="AD126" s="207">
        <f>SUMIFS('август 2023'!$G$4:$G$1022,'август 2023'!$D$4:$D$1022,$B126,'август 2023'!$J$4:$J$1022,AD$1)</f>
        <v>0</v>
      </c>
      <c r="AE126" s="207">
        <f>SUMIFS('август 2023'!$G$4:$G$1022,'август 2023'!$D$4:$D$1022,$B126,'август 2023'!$J$4:$J$1022,AE$1)</f>
        <v>0</v>
      </c>
      <c r="AF126" s="207">
        <f>SUMIFS('август 2023'!$G$4:$G$1022,'август 2023'!$D$4:$D$1022,$B126,'август 2023'!$J$4:$J$1022,AF$1)</f>
        <v>0</v>
      </c>
      <c r="AG126" s="207">
        <f>SUMIFS('август 2023'!$G$4:$G$1022,'август 2023'!$D$4:$D$1022,$B126,'август 2023'!$J$4:$J$1022,AG$1)</f>
        <v>0</v>
      </c>
      <c r="AH126" s="207">
        <f>SUMIFS('август 2023'!$G$4:$G$1022,'август 2023'!$D$4:$D$1022,$B126,'август 2023'!$J$4:$J$1022,AH$1)</f>
        <v>0</v>
      </c>
      <c r="AI126" s="220"/>
    </row>
    <row r="127" spans="2:35" ht="15" hidden="1" customHeight="1" x14ac:dyDescent="0.25">
      <c r="B127" s="212"/>
      <c r="C127" s="211"/>
      <c r="D127" s="207">
        <f>SUMIFS('август 2023'!$G$4:$G$1022,'август 2023'!$D$4:$D$1022,$B127,'август 2023'!$J$4:$J$1022,D$1)</f>
        <v>0</v>
      </c>
      <c r="E127" s="207">
        <f>SUMIFS('август 2023'!$G$4:$G$1022,'август 2023'!$D$4:$D$1022,$B127,'август 2023'!$J$4:$J$1022,E$1)</f>
        <v>0</v>
      </c>
      <c r="F127" s="207">
        <f>SUMIFS('август 2023'!$G$4:$G$1022,'август 2023'!$D$4:$D$1022,$B127,'август 2023'!$J$4:$J$1022,F$1)</f>
        <v>0</v>
      </c>
      <c r="G127" s="207">
        <f>SUMIFS('август 2023'!$G$4:$G$1022,'август 2023'!$D$4:$D$1022,$B127,'август 2023'!$J$4:$J$1022,G$1)</f>
        <v>0</v>
      </c>
      <c r="H127" s="207">
        <f>SUMIFS('август 2023'!$G$4:$G$1022,'август 2023'!$D$4:$D$1022,$B127,'август 2023'!$J$4:$J$1022,H$1)</f>
        <v>0</v>
      </c>
      <c r="I127" s="207">
        <f>SUMIFS('август 2023'!$G$4:$G$1022,'август 2023'!$D$4:$D$1022,$B127,'август 2023'!$J$4:$J$1022,I$1)</f>
        <v>0</v>
      </c>
      <c r="J127" s="207">
        <f>SUMIFS('август 2023'!$G$4:$G$1022,'август 2023'!$D$4:$D$1022,$B127,'август 2023'!$J$4:$J$1022,J$1)</f>
        <v>0</v>
      </c>
      <c r="K127" s="207">
        <f>SUMIFS('август 2023'!$G$4:$G$1022,'август 2023'!$D$4:$D$1022,$B127,'август 2023'!$J$4:$J$1022,K$1)</f>
        <v>0</v>
      </c>
      <c r="L127" s="207">
        <f>SUMIFS('август 2023'!$G$4:$G$1022,'август 2023'!$D$4:$D$1022,$B127,'август 2023'!$J$4:$J$1022,L$1)</f>
        <v>0</v>
      </c>
      <c r="M127" s="207">
        <f>SUMIFS('август 2023'!$G$4:$G$1022,'август 2023'!$D$4:$D$1022,$B127,'август 2023'!$J$4:$J$1022,M$1)</f>
        <v>0</v>
      </c>
      <c r="N127" s="207">
        <f>SUMIFS('август 2023'!$G$4:$G$1022,'август 2023'!$D$4:$D$1022,$B127,'август 2023'!$J$4:$J$1022,N$1)</f>
        <v>0</v>
      </c>
      <c r="O127" s="207">
        <f>SUMIFS('август 2023'!$G$4:$G$1022,'август 2023'!$D$4:$D$1022,$B127,'август 2023'!$J$4:$J$1022,O$1)</f>
        <v>0</v>
      </c>
      <c r="P127" s="207">
        <f>SUMIFS('август 2023'!$G$4:$G$1022,'август 2023'!$D$4:$D$1022,$B127,'август 2023'!$J$4:$J$1022,P$1)</f>
        <v>0</v>
      </c>
      <c r="Q127" s="207">
        <f>SUMIFS('август 2023'!$G$4:$G$1022,'август 2023'!$D$4:$D$1022,$B127,'август 2023'!$J$4:$J$1022,Q$1)</f>
        <v>0</v>
      </c>
      <c r="R127" s="207">
        <f>SUMIFS('август 2023'!$G$4:$G$1022,'август 2023'!$D$4:$D$1022,$B127,'август 2023'!$J$4:$J$1022,R$1)</f>
        <v>0</v>
      </c>
      <c r="S127" s="207">
        <f>SUMIFS('август 2023'!$G$4:$G$1022,'август 2023'!$D$4:$D$1022,$B127,'август 2023'!$J$4:$J$1022,S$1)</f>
        <v>0</v>
      </c>
      <c r="T127" s="207">
        <f>SUMIFS('август 2023'!$G$4:$G$1022,'август 2023'!$D$4:$D$1022,$B127,'август 2023'!$J$4:$J$1022,T$1)</f>
        <v>0</v>
      </c>
      <c r="U127" s="207">
        <f>SUMIFS('август 2023'!$G$4:$G$1022,'август 2023'!$D$4:$D$1022,$B127,'август 2023'!$J$4:$J$1022,U$1)</f>
        <v>0</v>
      </c>
      <c r="V127" s="207">
        <f>SUMIFS('август 2023'!$G$4:$G$1022,'август 2023'!$D$4:$D$1022,$B127,'август 2023'!$J$4:$J$1022,V$1)</f>
        <v>0</v>
      </c>
      <c r="W127" s="207">
        <f>SUMIFS('август 2023'!$G$4:$G$1022,'август 2023'!$D$4:$D$1022,$B127,'август 2023'!$J$4:$J$1022,W$1)</f>
        <v>0</v>
      </c>
      <c r="X127" s="207">
        <f>SUMIFS('август 2023'!$G$4:$G$1022,'август 2023'!$D$4:$D$1022,$B127,'август 2023'!$J$4:$J$1022,X$1)</f>
        <v>0</v>
      </c>
      <c r="Y127" s="207">
        <f>SUMIFS('август 2023'!$G$4:$G$1022,'август 2023'!$D$4:$D$1022,$B127,'август 2023'!$J$4:$J$1022,Y$1)</f>
        <v>0</v>
      </c>
      <c r="Z127" s="207">
        <f>SUMIFS('август 2023'!$G$4:$G$1022,'август 2023'!$D$4:$D$1022,$B127,'август 2023'!$J$4:$J$1022,Z$1)</f>
        <v>0</v>
      </c>
      <c r="AA127" s="207">
        <f>SUMIFS('август 2023'!$G$4:$G$1022,'август 2023'!$D$4:$D$1022,$B127,'август 2023'!$J$4:$J$1022,AA$1)</f>
        <v>0</v>
      </c>
      <c r="AB127" s="207">
        <f>SUMIFS('август 2023'!$G$4:$G$1022,'август 2023'!$D$4:$D$1022,$B127,'август 2023'!$J$4:$J$1022,AB$1)</f>
        <v>0</v>
      </c>
      <c r="AC127" s="207">
        <f>SUMIFS('август 2023'!$G$4:$G$1022,'август 2023'!$D$4:$D$1022,$B127,'август 2023'!$J$4:$J$1022,AC$1)</f>
        <v>0</v>
      </c>
      <c r="AD127" s="207">
        <f>SUMIFS('август 2023'!$G$4:$G$1022,'август 2023'!$D$4:$D$1022,$B127,'август 2023'!$J$4:$J$1022,AD$1)</f>
        <v>0</v>
      </c>
      <c r="AE127" s="207">
        <f>SUMIFS('август 2023'!$G$4:$G$1022,'август 2023'!$D$4:$D$1022,$B127,'август 2023'!$J$4:$J$1022,AE$1)</f>
        <v>0</v>
      </c>
      <c r="AF127" s="207">
        <f>SUMIFS('август 2023'!$G$4:$G$1022,'август 2023'!$D$4:$D$1022,$B127,'август 2023'!$J$4:$J$1022,AF$1)</f>
        <v>0</v>
      </c>
      <c r="AG127" s="207">
        <f>SUMIFS('август 2023'!$G$4:$G$1022,'август 2023'!$D$4:$D$1022,$B127,'август 2023'!$J$4:$J$1022,AG$1)</f>
        <v>0</v>
      </c>
      <c r="AH127" s="207">
        <f>SUMIFS('август 2023'!$G$4:$G$1022,'август 2023'!$D$4:$D$1022,$B127,'август 2023'!$J$4:$J$1022,AH$1)</f>
        <v>0</v>
      </c>
      <c r="AI127" s="220">
        <f t="shared" si="2"/>
        <v>0</v>
      </c>
    </row>
    <row r="128" spans="2:35" ht="15" hidden="1" customHeight="1" x14ac:dyDescent="0.25">
      <c r="B128" s="212"/>
      <c r="C128" s="211"/>
      <c r="D128" s="207">
        <f>SUMIFS('август 2023'!$G$4:$G$1022,'август 2023'!$D$4:$D$1022,$B128,'август 2023'!$J$4:$J$1022,D$1)</f>
        <v>0</v>
      </c>
      <c r="E128" s="207">
        <f>SUMIFS('август 2023'!$G$4:$G$1022,'август 2023'!$D$4:$D$1022,$B128,'август 2023'!$J$4:$J$1022,E$1)</f>
        <v>0</v>
      </c>
      <c r="F128" s="207">
        <f>SUMIFS('август 2023'!$G$4:$G$1022,'август 2023'!$D$4:$D$1022,$B128,'август 2023'!$J$4:$J$1022,F$1)</f>
        <v>0</v>
      </c>
      <c r="G128" s="207">
        <f>SUMIFS('август 2023'!$G$4:$G$1022,'август 2023'!$D$4:$D$1022,$B128,'август 2023'!$J$4:$J$1022,G$1)</f>
        <v>0</v>
      </c>
      <c r="H128" s="207">
        <f>SUMIFS('август 2023'!$G$4:$G$1022,'август 2023'!$D$4:$D$1022,$B128,'август 2023'!$J$4:$J$1022,H$1)</f>
        <v>0</v>
      </c>
      <c r="I128" s="207">
        <f>SUMIFS('август 2023'!$G$4:$G$1022,'август 2023'!$D$4:$D$1022,$B128,'август 2023'!$J$4:$J$1022,I$1)</f>
        <v>0</v>
      </c>
      <c r="J128" s="207">
        <f>SUMIFS('август 2023'!$G$4:$G$1022,'август 2023'!$D$4:$D$1022,$B128,'август 2023'!$J$4:$J$1022,J$1)</f>
        <v>0</v>
      </c>
      <c r="K128" s="207">
        <f>SUMIFS('август 2023'!$G$4:$G$1022,'август 2023'!$D$4:$D$1022,$B128,'август 2023'!$J$4:$J$1022,K$1)</f>
        <v>0</v>
      </c>
      <c r="L128" s="207">
        <f>SUMIFS('август 2023'!$G$4:$G$1022,'август 2023'!$D$4:$D$1022,$B128,'август 2023'!$J$4:$J$1022,L$1)</f>
        <v>0</v>
      </c>
      <c r="M128" s="207">
        <f>SUMIFS('август 2023'!$G$4:$G$1022,'август 2023'!$D$4:$D$1022,$B128,'август 2023'!$J$4:$J$1022,M$1)</f>
        <v>0</v>
      </c>
      <c r="N128" s="207">
        <f>SUMIFS('август 2023'!$G$4:$G$1022,'август 2023'!$D$4:$D$1022,$B128,'август 2023'!$J$4:$J$1022,N$1)</f>
        <v>0</v>
      </c>
      <c r="O128" s="207">
        <f>SUMIFS('август 2023'!$G$4:$G$1022,'август 2023'!$D$4:$D$1022,$B128,'август 2023'!$J$4:$J$1022,O$1)</f>
        <v>0</v>
      </c>
      <c r="P128" s="207">
        <f>SUMIFS('август 2023'!$G$4:$G$1022,'август 2023'!$D$4:$D$1022,$B128,'август 2023'!$J$4:$J$1022,P$1)</f>
        <v>0</v>
      </c>
      <c r="Q128" s="207">
        <f>SUMIFS('август 2023'!$G$4:$G$1022,'август 2023'!$D$4:$D$1022,$B128,'август 2023'!$J$4:$J$1022,Q$1)</f>
        <v>0</v>
      </c>
      <c r="R128" s="207">
        <f>SUMIFS('август 2023'!$G$4:$G$1022,'август 2023'!$D$4:$D$1022,$B128,'август 2023'!$J$4:$J$1022,R$1)</f>
        <v>0</v>
      </c>
      <c r="S128" s="207">
        <f>SUMIFS('август 2023'!$G$4:$G$1022,'август 2023'!$D$4:$D$1022,$B128,'август 2023'!$J$4:$J$1022,S$1)</f>
        <v>0</v>
      </c>
      <c r="T128" s="207">
        <f>SUMIFS('август 2023'!$G$4:$G$1022,'август 2023'!$D$4:$D$1022,$B128,'август 2023'!$J$4:$J$1022,T$1)</f>
        <v>0</v>
      </c>
      <c r="U128" s="207">
        <f>SUMIFS('август 2023'!$G$4:$G$1022,'август 2023'!$D$4:$D$1022,$B128,'август 2023'!$J$4:$J$1022,U$1)</f>
        <v>0</v>
      </c>
      <c r="V128" s="207">
        <f>SUMIFS('август 2023'!$G$4:$G$1022,'август 2023'!$D$4:$D$1022,$B128,'август 2023'!$J$4:$J$1022,V$1)</f>
        <v>0</v>
      </c>
      <c r="W128" s="207">
        <f>SUMIFS('август 2023'!$G$4:$G$1022,'август 2023'!$D$4:$D$1022,$B128,'август 2023'!$J$4:$J$1022,W$1)</f>
        <v>0</v>
      </c>
      <c r="X128" s="207">
        <f>SUMIFS('август 2023'!$G$4:$G$1022,'август 2023'!$D$4:$D$1022,$B128,'август 2023'!$J$4:$J$1022,X$1)</f>
        <v>0</v>
      </c>
      <c r="Y128" s="207">
        <f>SUMIFS('август 2023'!$G$4:$G$1022,'август 2023'!$D$4:$D$1022,$B128,'август 2023'!$J$4:$J$1022,Y$1)</f>
        <v>0</v>
      </c>
      <c r="Z128" s="207">
        <f>SUMIFS('август 2023'!$G$4:$G$1022,'август 2023'!$D$4:$D$1022,$B128,'август 2023'!$J$4:$J$1022,Z$1)</f>
        <v>0</v>
      </c>
      <c r="AA128" s="207">
        <f>SUMIFS('август 2023'!$G$4:$G$1022,'август 2023'!$D$4:$D$1022,$B128,'август 2023'!$J$4:$J$1022,AA$1)</f>
        <v>0</v>
      </c>
      <c r="AB128" s="207">
        <f>SUMIFS('август 2023'!$G$4:$G$1022,'август 2023'!$D$4:$D$1022,$B128,'август 2023'!$J$4:$J$1022,AB$1)</f>
        <v>0</v>
      </c>
      <c r="AC128" s="207">
        <f>SUMIFS('август 2023'!$G$4:$G$1022,'август 2023'!$D$4:$D$1022,$B128,'август 2023'!$J$4:$J$1022,AC$1)</f>
        <v>0</v>
      </c>
      <c r="AD128" s="207">
        <f>SUMIFS('август 2023'!$G$4:$G$1022,'август 2023'!$D$4:$D$1022,$B128,'август 2023'!$J$4:$J$1022,AD$1)</f>
        <v>0</v>
      </c>
      <c r="AE128" s="207">
        <f>SUMIFS('август 2023'!$G$4:$G$1022,'август 2023'!$D$4:$D$1022,$B128,'август 2023'!$J$4:$J$1022,AE$1)</f>
        <v>0</v>
      </c>
      <c r="AF128" s="207">
        <f>SUMIFS('август 2023'!$G$4:$G$1022,'август 2023'!$D$4:$D$1022,$B128,'август 2023'!$J$4:$J$1022,AF$1)</f>
        <v>0</v>
      </c>
      <c r="AG128" s="207">
        <f>SUMIFS('август 2023'!$G$4:$G$1022,'август 2023'!$D$4:$D$1022,$B128,'август 2023'!$J$4:$J$1022,AG$1)</f>
        <v>0</v>
      </c>
      <c r="AH128" s="207">
        <f>SUMIFS('август 2023'!$G$4:$G$1022,'август 2023'!$D$4:$D$1022,$B128,'август 2023'!$J$4:$J$1022,AH$1)</f>
        <v>0</v>
      </c>
      <c r="AI128" s="220">
        <f t="shared" si="2"/>
        <v>0</v>
      </c>
    </row>
    <row r="129" spans="2:35" ht="15" hidden="1" customHeight="1" x14ac:dyDescent="0.25">
      <c r="B129" s="216"/>
      <c r="C129" s="211"/>
      <c r="D129" s="207">
        <f>SUMIFS('август 2023'!$G$4:$G$1022,'август 2023'!$D$4:$D$1022,$B129,'август 2023'!$J$4:$J$1022,D$1)</f>
        <v>0</v>
      </c>
      <c r="E129" s="207">
        <f>SUMIFS('август 2023'!$G$4:$G$1022,'август 2023'!$D$4:$D$1022,$B129,'август 2023'!$J$4:$J$1022,E$1)</f>
        <v>0</v>
      </c>
      <c r="F129" s="207">
        <f>SUMIFS('август 2023'!$G$4:$G$1022,'август 2023'!$D$4:$D$1022,$B129,'август 2023'!$J$4:$J$1022,F$1)</f>
        <v>0</v>
      </c>
      <c r="G129" s="207">
        <f>SUMIFS('август 2023'!$G$4:$G$1022,'август 2023'!$D$4:$D$1022,$B129,'август 2023'!$J$4:$J$1022,G$1)</f>
        <v>0</v>
      </c>
      <c r="H129" s="207">
        <f>SUMIFS('август 2023'!$G$4:$G$1022,'август 2023'!$D$4:$D$1022,$B129,'август 2023'!$J$4:$J$1022,H$1)</f>
        <v>0</v>
      </c>
      <c r="I129" s="207">
        <f>SUMIFS('август 2023'!$G$4:$G$1022,'август 2023'!$D$4:$D$1022,$B129,'август 2023'!$J$4:$J$1022,I$1)</f>
        <v>0</v>
      </c>
      <c r="J129" s="207">
        <f>SUMIFS('август 2023'!$G$4:$G$1022,'август 2023'!$D$4:$D$1022,$B129,'август 2023'!$J$4:$J$1022,J$1)</f>
        <v>0</v>
      </c>
      <c r="K129" s="207">
        <f>SUMIFS('август 2023'!$G$4:$G$1022,'август 2023'!$D$4:$D$1022,$B129,'август 2023'!$J$4:$J$1022,K$1)</f>
        <v>0</v>
      </c>
      <c r="L129" s="207">
        <f>SUMIFS('август 2023'!$G$4:$G$1022,'август 2023'!$D$4:$D$1022,$B129,'август 2023'!$J$4:$J$1022,L$1)</f>
        <v>0</v>
      </c>
      <c r="M129" s="207">
        <f>SUMIFS('август 2023'!$G$4:$G$1022,'август 2023'!$D$4:$D$1022,$B129,'август 2023'!$J$4:$J$1022,M$1)</f>
        <v>0</v>
      </c>
      <c r="N129" s="207">
        <f>SUMIFS('август 2023'!$G$4:$G$1022,'август 2023'!$D$4:$D$1022,$B129,'август 2023'!$J$4:$J$1022,N$1)</f>
        <v>0</v>
      </c>
      <c r="O129" s="207">
        <f>SUMIFS('август 2023'!$G$4:$G$1022,'август 2023'!$D$4:$D$1022,$B129,'август 2023'!$J$4:$J$1022,O$1)</f>
        <v>0</v>
      </c>
      <c r="P129" s="207">
        <f>SUMIFS('август 2023'!$G$4:$G$1022,'август 2023'!$D$4:$D$1022,$B129,'август 2023'!$J$4:$J$1022,P$1)</f>
        <v>0</v>
      </c>
      <c r="Q129" s="207">
        <f>SUMIFS('август 2023'!$G$4:$G$1022,'август 2023'!$D$4:$D$1022,$B129,'август 2023'!$J$4:$J$1022,Q$1)</f>
        <v>0</v>
      </c>
      <c r="R129" s="207">
        <f>SUMIFS('август 2023'!$G$4:$G$1022,'август 2023'!$D$4:$D$1022,$B129,'август 2023'!$J$4:$J$1022,R$1)</f>
        <v>0</v>
      </c>
      <c r="S129" s="207">
        <f>SUMIFS('август 2023'!$G$4:$G$1022,'август 2023'!$D$4:$D$1022,$B129,'август 2023'!$J$4:$J$1022,S$1)</f>
        <v>0</v>
      </c>
      <c r="T129" s="207">
        <f>SUMIFS('август 2023'!$G$4:$G$1022,'август 2023'!$D$4:$D$1022,$B129,'август 2023'!$J$4:$J$1022,T$1)</f>
        <v>0</v>
      </c>
      <c r="U129" s="207">
        <f>SUMIFS('август 2023'!$G$4:$G$1022,'август 2023'!$D$4:$D$1022,$B129,'август 2023'!$J$4:$J$1022,U$1)</f>
        <v>0</v>
      </c>
      <c r="V129" s="207">
        <f>SUMIFS('август 2023'!$G$4:$G$1022,'август 2023'!$D$4:$D$1022,$B129,'август 2023'!$J$4:$J$1022,V$1)</f>
        <v>0</v>
      </c>
      <c r="W129" s="207">
        <f>SUMIFS('август 2023'!$G$4:$G$1022,'август 2023'!$D$4:$D$1022,$B129,'август 2023'!$J$4:$J$1022,W$1)</f>
        <v>0</v>
      </c>
      <c r="X129" s="207">
        <f>SUMIFS('август 2023'!$G$4:$G$1022,'август 2023'!$D$4:$D$1022,$B129,'август 2023'!$J$4:$J$1022,X$1)</f>
        <v>0</v>
      </c>
      <c r="Y129" s="207">
        <f>SUMIFS('август 2023'!$G$4:$G$1022,'август 2023'!$D$4:$D$1022,$B129,'август 2023'!$J$4:$J$1022,Y$1)</f>
        <v>0</v>
      </c>
      <c r="Z129" s="207">
        <f>SUMIFS('август 2023'!$G$4:$G$1022,'август 2023'!$D$4:$D$1022,$B129,'август 2023'!$J$4:$J$1022,Z$1)</f>
        <v>0</v>
      </c>
      <c r="AA129" s="207">
        <f>SUMIFS('август 2023'!$G$4:$G$1022,'август 2023'!$D$4:$D$1022,$B129,'август 2023'!$J$4:$J$1022,AA$1)</f>
        <v>0</v>
      </c>
      <c r="AB129" s="207">
        <f>SUMIFS('август 2023'!$G$4:$G$1022,'август 2023'!$D$4:$D$1022,$B129,'август 2023'!$J$4:$J$1022,AB$1)</f>
        <v>0</v>
      </c>
      <c r="AC129" s="207">
        <f>SUMIFS('август 2023'!$G$4:$G$1022,'август 2023'!$D$4:$D$1022,$B129,'август 2023'!$J$4:$J$1022,AC$1)</f>
        <v>0</v>
      </c>
      <c r="AD129" s="207">
        <f>SUMIFS('август 2023'!$G$4:$G$1022,'август 2023'!$D$4:$D$1022,$B129,'август 2023'!$J$4:$J$1022,AD$1)</f>
        <v>0</v>
      </c>
      <c r="AE129" s="207">
        <f>SUMIFS('август 2023'!$G$4:$G$1022,'август 2023'!$D$4:$D$1022,$B129,'август 2023'!$J$4:$J$1022,AE$1)</f>
        <v>0</v>
      </c>
      <c r="AF129" s="207">
        <f>SUMIFS('август 2023'!$G$4:$G$1022,'август 2023'!$D$4:$D$1022,$B129,'август 2023'!$J$4:$J$1022,AF$1)</f>
        <v>0</v>
      </c>
      <c r="AG129" s="207">
        <f>SUMIFS('август 2023'!$G$4:$G$1022,'август 2023'!$D$4:$D$1022,$B129,'август 2023'!$J$4:$J$1022,AG$1)</f>
        <v>0</v>
      </c>
      <c r="AH129" s="207">
        <f>SUMIFS('август 2023'!$G$4:$G$1022,'август 2023'!$D$4:$D$1022,$B129,'август 2023'!$J$4:$J$1022,AH$1)</f>
        <v>0</v>
      </c>
      <c r="AI129" s="220">
        <f t="shared" si="2"/>
        <v>0</v>
      </c>
    </row>
    <row r="130" spans="2:35" ht="15" hidden="1" customHeight="1" x14ac:dyDescent="0.25">
      <c r="B130" s="216"/>
      <c r="C130" s="213"/>
      <c r="D130" s="207">
        <f>SUMIFS('август 2023'!$G$4:$G$1022,'август 2023'!$D$4:$D$1022,$B130,'август 2023'!$J$4:$J$1022,D$1)</f>
        <v>0</v>
      </c>
      <c r="E130" s="207">
        <f>SUMIFS('август 2023'!$G$4:$G$1022,'август 2023'!$D$4:$D$1022,$B130,'август 2023'!$J$4:$J$1022,E$1)</f>
        <v>0</v>
      </c>
      <c r="F130" s="207">
        <f>SUMIFS('август 2023'!$G$4:$G$1022,'август 2023'!$D$4:$D$1022,$B130,'август 2023'!$J$4:$J$1022,F$1)</f>
        <v>0</v>
      </c>
      <c r="G130" s="207">
        <f>SUMIFS('август 2023'!$G$4:$G$1022,'август 2023'!$D$4:$D$1022,$B130,'август 2023'!$J$4:$J$1022,G$1)</f>
        <v>0</v>
      </c>
      <c r="H130" s="207">
        <f>SUMIFS('август 2023'!$G$4:$G$1022,'август 2023'!$D$4:$D$1022,$B130,'август 2023'!$J$4:$J$1022,H$1)</f>
        <v>0</v>
      </c>
      <c r="I130" s="207">
        <f>SUMIFS('август 2023'!$G$4:$G$1022,'август 2023'!$D$4:$D$1022,$B130,'август 2023'!$J$4:$J$1022,I$1)</f>
        <v>0</v>
      </c>
      <c r="J130" s="207">
        <f>SUMIFS('август 2023'!$G$4:$G$1022,'август 2023'!$D$4:$D$1022,$B130,'август 2023'!$J$4:$J$1022,J$1)</f>
        <v>0</v>
      </c>
      <c r="K130" s="207">
        <f>SUMIFS('август 2023'!$G$4:$G$1022,'август 2023'!$D$4:$D$1022,$B130,'август 2023'!$J$4:$J$1022,K$1)</f>
        <v>0</v>
      </c>
      <c r="L130" s="207">
        <f>SUMIFS('август 2023'!$G$4:$G$1022,'август 2023'!$D$4:$D$1022,$B130,'август 2023'!$J$4:$J$1022,L$1)</f>
        <v>0</v>
      </c>
      <c r="M130" s="207">
        <f>SUMIFS('август 2023'!$G$4:$G$1022,'август 2023'!$D$4:$D$1022,$B130,'август 2023'!$J$4:$J$1022,M$1)</f>
        <v>0</v>
      </c>
      <c r="N130" s="207">
        <f>SUMIFS('август 2023'!$G$4:$G$1022,'август 2023'!$D$4:$D$1022,$B130,'август 2023'!$J$4:$J$1022,N$1)</f>
        <v>0</v>
      </c>
      <c r="O130" s="207">
        <f>SUMIFS('август 2023'!$G$4:$G$1022,'август 2023'!$D$4:$D$1022,$B130,'август 2023'!$J$4:$J$1022,O$1)</f>
        <v>0</v>
      </c>
      <c r="P130" s="207">
        <f>SUMIFS('август 2023'!$G$4:$G$1022,'август 2023'!$D$4:$D$1022,$B130,'август 2023'!$J$4:$J$1022,P$1)</f>
        <v>0</v>
      </c>
      <c r="Q130" s="207">
        <f>SUMIFS('август 2023'!$G$4:$G$1022,'август 2023'!$D$4:$D$1022,$B130,'август 2023'!$J$4:$J$1022,Q$1)</f>
        <v>0</v>
      </c>
      <c r="R130" s="207">
        <f>SUMIFS('август 2023'!$G$4:$G$1022,'август 2023'!$D$4:$D$1022,$B130,'август 2023'!$J$4:$J$1022,R$1)</f>
        <v>0</v>
      </c>
      <c r="S130" s="207">
        <f>SUMIFS('август 2023'!$G$4:$G$1022,'август 2023'!$D$4:$D$1022,$B130,'август 2023'!$J$4:$J$1022,S$1)</f>
        <v>0</v>
      </c>
      <c r="T130" s="207">
        <f>SUMIFS('август 2023'!$G$4:$G$1022,'август 2023'!$D$4:$D$1022,$B130,'август 2023'!$J$4:$J$1022,T$1)</f>
        <v>0</v>
      </c>
      <c r="U130" s="207">
        <f>SUMIFS('август 2023'!$G$4:$G$1022,'август 2023'!$D$4:$D$1022,$B130,'август 2023'!$J$4:$J$1022,U$1)</f>
        <v>0</v>
      </c>
      <c r="V130" s="207">
        <f>SUMIFS('август 2023'!$G$4:$G$1022,'август 2023'!$D$4:$D$1022,$B130,'август 2023'!$J$4:$J$1022,V$1)</f>
        <v>0</v>
      </c>
      <c r="W130" s="207">
        <f>SUMIFS('август 2023'!$G$4:$G$1022,'август 2023'!$D$4:$D$1022,$B130,'август 2023'!$J$4:$J$1022,W$1)</f>
        <v>0</v>
      </c>
      <c r="X130" s="207">
        <f>SUMIFS('август 2023'!$G$4:$G$1022,'август 2023'!$D$4:$D$1022,$B130,'август 2023'!$J$4:$J$1022,X$1)</f>
        <v>0</v>
      </c>
      <c r="Y130" s="207">
        <f>SUMIFS('август 2023'!$G$4:$G$1022,'август 2023'!$D$4:$D$1022,$B130,'август 2023'!$J$4:$J$1022,Y$1)</f>
        <v>0</v>
      </c>
      <c r="Z130" s="207">
        <f>SUMIFS('август 2023'!$G$4:$G$1022,'август 2023'!$D$4:$D$1022,$B130,'август 2023'!$J$4:$J$1022,Z$1)</f>
        <v>0</v>
      </c>
      <c r="AA130" s="207">
        <f>SUMIFS('август 2023'!$G$4:$G$1022,'август 2023'!$D$4:$D$1022,$B130,'август 2023'!$J$4:$J$1022,AA$1)</f>
        <v>0</v>
      </c>
      <c r="AB130" s="207">
        <f>SUMIFS('август 2023'!$G$4:$G$1022,'август 2023'!$D$4:$D$1022,$B130,'август 2023'!$J$4:$J$1022,AB$1)</f>
        <v>0</v>
      </c>
      <c r="AC130" s="207">
        <f>SUMIFS('август 2023'!$G$4:$G$1022,'август 2023'!$D$4:$D$1022,$B130,'август 2023'!$J$4:$J$1022,AC$1)</f>
        <v>0</v>
      </c>
      <c r="AD130" s="207">
        <f>SUMIFS('август 2023'!$G$4:$G$1022,'август 2023'!$D$4:$D$1022,$B130,'август 2023'!$J$4:$J$1022,AD$1)</f>
        <v>0</v>
      </c>
      <c r="AE130" s="207">
        <f>SUMIFS('август 2023'!$G$4:$G$1022,'август 2023'!$D$4:$D$1022,$B130,'август 2023'!$J$4:$J$1022,AE$1)</f>
        <v>0</v>
      </c>
      <c r="AF130" s="207">
        <f>SUMIFS('август 2023'!$G$4:$G$1022,'август 2023'!$D$4:$D$1022,$B130,'август 2023'!$J$4:$J$1022,AF$1)</f>
        <v>0</v>
      </c>
      <c r="AG130" s="207">
        <f>SUMIFS('август 2023'!$G$4:$G$1022,'август 2023'!$D$4:$D$1022,$B130,'август 2023'!$J$4:$J$1022,AG$1)</f>
        <v>0</v>
      </c>
      <c r="AH130" s="207">
        <f>SUMIFS('август 2023'!$G$4:$G$1022,'август 2023'!$D$4:$D$1022,$B130,'август 2023'!$J$4:$J$1022,AH$1)</f>
        <v>0</v>
      </c>
      <c r="AI130" s="220">
        <f t="shared" si="2"/>
        <v>0</v>
      </c>
    </row>
    <row r="131" spans="2:35" ht="15" hidden="1" customHeight="1" x14ac:dyDescent="0.25">
      <c r="B131" s="212"/>
      <c r="C131" s="211"/>
      <c r="D131" s="207">
        <f>SUMIFS('август 2023'!$G$4:$G$1022,'август 2023'!$D$4:$D$1022,$B131,'август 2023'!$J$4:$J$1022,D$1)</f>
        <v>0</v>
      </c>
      <c r="E131" s="207">
        <f>SUMIFS('август 2023'!$G$4:$G$1022,'август 2023'!$D$4:$D$1022,$B131,'август 2023'!$J$4:$J$1022,E$1)</f>
        <v>0</v>
      </c>
      <c r="F131" s="207">
        <f>SUMIFS('август 2023'!$G$4:$G$1022,'август 2023'!$D$4:$D$1022,$B131,'август 2023'!$J$4:$J$1022,F$1)</f>
        <v>0</v>
      </c>
      <c r="G131" s="207">
        <f>SUMIFS('август 2023'!$G$4:$G$1022,'август 2023'!$D$4:$D$1022,$B131,'август 2023'!$J$4:$J$1022,G$1)</f>
        <v>0</v>
      </c>
      <c r="H131" s="207">
        <f>SUMIFS('август 2023'!$G$4:$G$1022,'август 2023'!$D$4:$D$1022,$B131,'август 2023'!$J$4:$J$1022,H$1)</f>
        <v>0</v>
      </c>
      <c r="I131" s="207">
        <f>SUMIFS('август 2023'!$G$4:$G$1022,'август 2023'!$D$4:$D$1022,$B131,'август 2023'!$J$4:$J$1022,I$1)</f>
        <v>0</v>
      </c>
      <c r="J131" s="207">
        <f>SUMIFS('август 2023'!$G$4:$G$1022,'август 2023'!$D$4:$D$1022,$B131,'август 2023'!$J$4:$J$1022,J$1)</f>
        <v>0</v>
      </c>
      <c r="K131" s="207">
        <f>SUMIFS('август 2023'!$G$4:$G$1022,'август 2023'!$D$4:$D$1022,$B131,'август 2023'!$J$4:$J$1022,K$1)</f>
        <v>0</v>
      </c>
      <c r="L131" s="207">
        <f>SUMIFS('август 2023'!$G$4:$G$1022,'август 2023'!$D$4:$D$1022,$B131,'август 2023'!$J$4:$J$1022,L$1)</f>
        <v>0</v>
      </c>
      <c r="M131" s="207">
        <f>SUMIFS('август 2023'!$G$4:$G$1022,'август 2023'!$D$4:$D$1022,$B131,'август 2023'!$J$4:$J$1022,M$1)</f>
        <v>0</v>
      </c>
      <c r="N131" s="207">
        <f>SUMIFS('август 2023'!$G$4:$G$1022,'август 2023'!$D$4:$D$1022,$B131,'август 2023'!$J$4:$J$1022,N$1)</f>
        <v>0</v>
      </c>
      <c r="O131" s="207">
        <f>SUMIFS('август 2023'!$G$4:$G$1022,'август 2023'!$D$4:$D$1022,$B131,'август 2023'!$J$4:$J$1022,O$1)</f>
        <v>0</v>
      </c>
      <c r="P131" s="207">
        <f>SUMIFS('август 2023'!$G$4:$G$1022,'август 2023'!$D$4:$D$1022,$B131,'август 2023'!$J$4:$J$1022,P$1)</f>
        <v>0</v>
      </c>
      <c r="Q131" s="207">
        <f>SUMIFS('август 2023'!$G$4:$G$1022,'август 2023'!$D$4:$D$1022,$B131,'август 2023'!$J$4:$J$1022,Q$1)</f>
        <v>0</v>
      </c>
      <c r="R131" s="207">
        <f>SUMIFS('август 2023'!$G$4:$G$1022,'август 2023'!$D$4:$D$1022,$B131,'август 2023'!$J$4:$J$1022,R$1)</f>
        <v>0</v>
      </c>
      <c r="S131" s="207">
        <f>SUMIFS('август 2023'!$G$4:$G$1022,'август 2023'!$D$4:$D$1022,$B131,'август 2023'!$J$4:$J$1022,S$1)</f>
        <v>0</v>
      </c>
      <c r="T131" s="207">
        <f>SUMIFS('август 2023'!$G$4:$G$1022,'август 2023'!$D$4:$D$1022,$B131,'август 2023'!$J$4:$J$1022,T$1)</f>
        <v>0</v>
      </c>
      <c r="U131" s="207">
        <f>SUMIFS('август 2023'!$G$4:$G$1022,'август 2023'!$D$4:$D$1022,$B131,'август 2023'!$J$4:$J$1022,U$1)</f>
        <v>0</v>
      </c>
      <c r="V131" s="207">
        <f>SUMIFS('август 2023'!$G$4:$G$1022,'август 2023'!$D$4:$D$1022,$B131,'август 2023'!$J$4:$J$1022,V$1)</f>
        <v>0</v>
      </c>
      <c r="W131" s="207">
        <f>SUMIFS('август 2023'!$G$4:$G$1022,'август 2023'!$D$4:$D$1022,$B131,'август 2023'!$J$4:$J$1022,W$1)</f>
        <v>0</v>
      </c>
      <c r="X131" s="207">
        <f>SUMIFS('август 2023'!$G$4:$G$1022,'август 2023'!$D$4:$D$1022,$B131,'август 2023'!$J$4:$J$1022,X$1)</f>
        <v>0</v>
      </c>
      <c r="Y131" s="207">
        <f>SUMIFS('август 2023'!$G$4:$G$1022,'август 2023'!$D$4:$D$1022,$B131,'август 2023'!$J$4:$J$1022,Y$1)</f>
        <v>0</v>
      </c>
      <c r="Z131" s="207">
        <f>SUMIFS('август 2023'!$G$4:$G$1022,'август 2023'!$D$4:$D$1022,$B131,'август 2023'!$J$4:$J$1022,Z$1)</f>
        <v>0</v>
      </c>
      <c r="AA131" s="207">
        <f>SUMIFS('август 2023'!$G$4:$G$1022,'август 2023'!$D$4:$D$1022,$B131,'август 2023'!$J$4:$J$1022,AA$1)</f>
        <v>0</v>
      </c>
      <c r="AB131" s="207">
        <f>SUMIFS('август 2023'!$G$4:$G$1022,'август 2023'!$D$4:$D$1022,$B131,'август 2023'!$J$4:$J$1022,AB$1)</f>
        <v>0</v>
      </c>
      <c r="AC131" s="207">
        <f>SUMIFS('август 2023'!$G$4:$G$1022,'август 2023'!$D$4:$D$1022,$B131,'август 2023'!$J$4:$J$1022,AC$1)</f>
        <v>0</v>
      </c>
      <c r="AD131" s="207">
        <f>SUMIFS('август 2023'!$G$4:$G$1022,'август 2023'!$D$4:$D$1022,$B131,'август 2023'!$J$4:$J$1022,AD$1)</f>
        <v>0</v>
      </c>
      <c r="AE131" s="207">
        <f>SUMIFS('август 2023'!$G$4:$G$1022,'август 2023'!$D$4:$D$1022,$B131,'август 2023'!$J$4:$J$1022,AE$1)</f>
        <v>0</v>
      </c>
      <c r="AF131" s="207">
        <f>SUMIFS('август 2023'!$G$4:$G$1022,'август 2023'!$D$4:$D$1022,$B131,'август 2023'!$J$4:$J$1022,AF$1)</f>
        <v>0</v>
      </c>
      <c r="AG131" s="207">
        <f>SUMIFS('август 2023'!$G$4:$G$1022,'август 2023'!$D$4:$D$1022,$B131,'август 2023'!$J$4:$J$1022,AG$1)</f>
        <v>0</v>
      </c>
      <c r="AH131" s="207">
        <f>SUMIFS('август 2023'!$G$4:$G$1022,'август 2023'!$D$4:$D$1022,$B131,'август 2023'!$J$4:$J$1022,AH$1)</f>
        <v>0</v>
      </c>
      <c r="AI131" s="220"/>
    </row>
    <row r="132" spans="2:35" ht="15" hidden="1" customHeight="1" x14ac:dyDescent="0.25">
      <c r="B132" s="217"/>
      <c r="C132" s="213"/>
      <c r="D132" s="207">
        <f>SUMIFS('август 2023'!$G$4:$G$1022,'август 2023'!$D$4:$D$1022,$B132,'август 2023'!$J$4:$J$1022,D$1)</f>
        <v>0</v>
      </c>
      <c r="E132" s="207">
        <f>SUMIFS('август 2023'!$G$4:$G$1022,'август 2023'!$D$4:$D$1022,$B132,'август 2023'!$J$4:$J$1022,E$1)</f>
        <v>0</v>
      </c>
      <c r="F132" s="207">
        <f>SUMIFS('август 2023'!$G$4:$G$1022,'август 2023'!$D$4:$D$1022,$B132,'август 2023'!$J$4:$J$1022,F$1)</f>
        <v>0</v>
      </c>
      <c r="G132" s="207">
        <f>SUMIFS('август 2023'!$G$4:$G$1022,'август 2023'!$D$4:$D$1022,$B132,'август 2023'!$J$4:$J$1022,G$1)</f>
        <v>0</v>
      </c>
      <c r="H132" s="207">
        <f>SUMIFS('август 2023'!$G$4:$G$1022,'август 2023'!$D$4:$D$1022,$B132,'август 2023'!$J$4:$J$1022,H$1)</f>
        <v>0</v>
      </c>
      <c r="I132" s="207">
        <f>SUMIFS('август 2023'!$G$4:$G$1022,'август 2023'!$D$4:$D$1022,$B132,'август 2023'!$J$4:$J$1022,I$1)</f>
        <v>0</v>
      </c>
      <c r="J132" s="207">
        <f>SUMIFS('август 2023'!$G$4:$G$1022,'август 2023'!$D$4:$D$1022,$B132,'август 2023'!$J$4:$J$1022,J$1)</f>
        <v>0</v>
      </c>
      <c r="K132" s="207">
        <f>SUMIFS('август 2023'!$G$4:$G$1022,'август 2023'!$D$4:$D$1022,$B132,'август 2023'!$J$4:$J$1022,K$1)</f>
        <v>0</v>
      </c>
      <c r="L132" s="207">
        <f>SUMIFS('август 2023'!$G$4:$G$1022,'август 2023'!$D$4:$D$1022,$B132,'август 2023'!$J$4:$J$1022,L$1)</f>
        <v>0</v>
      </c>
      <c r="M132" s="207">
        <f>SUMIFS('август 2023'!$G$4:$G$1022,'август 2023'!$D$4:$D$1022,$B132,'август 2023'!$J$4:$J$1022,M$1)</f>
        <v>0</v>
      </c>
      <c r="N132" s="207">
        <f>SUMIFS('август 2023'!$G$4:$G$1022,'август 2023'!$D$4:$D$1022,$B132,'август 2023'!$J$4:$J$1022,N$1)</f>
        <v>0</v>
      </c>
      <c r="O132" s="207">
        <f>SUMIFS('август 2023'!$G$4:$G$1022,'август 2023'!$D$4:$D$1022,$B132,'август 2023'!$J$4:$J$1022,O$1)</f>
        <v>0</v>
      </c>
      <c r="P132" s="207">
        <f>SUMIFS('август 2023'!$G$4:$G$1022,'август 2023'!$D$4:$D$1022,$B132,'август 2023'!$J$4:$J$1022,P$1)</f>
        <v>0</v>
      </c>
      <c r="Q132" s="207">
        <f>SUMIFS('август 2023'!$G$4:$G$1022,'август 2023'!$D$4:$D$1022,$B132,'август 2023'!$J$4:$J$1022,Q$1)</f>
        <v>0</v>
      </c>
      <c r="R132" s="207">
        <f>SUMIFS('август 2023'!$G$4:$G$1022,'август 2023'!$D$4:$D$1022,$B132,'август 2023'!$J$4:$J$1022,R$1)</f>
        <v>0</v>
      </c>
      <c r="S132" s="207">
        <f>SUMIFS('август 2023'!$G$4:$G$1022,'август 2023'!$D$4:$D$1022,$B132,'август 2023'!$J$4:$J$1022,S$1)</f>
        <v>0</v>
      </c>
      <c r="T132" s="207">
        <f>SUMIFS('август 2023'!$G$4:$G$1022,'август 2023'!$D$4:$D$1022,$B132,'август 2023'!$J$4:$J$1022,T$1)</f>
        <v>0</v>
      </c>
      <c r="U132" s="207">
        <f>SUMIFS('август 2023'!$G$4:$G$1022,'август 2023'!$D$4:$D$1022,$B132,'август 2023'!$J$4:$J$1022,U$1)</f>
        <v>0</v>
      </c>
      <c r="V132" s="207">
        <f>SUMIFS('август 2023'!$G$4:$G$1022,'август 2023'!$D$4:$D$1022,$B132,'август 2023'!$J$4:$J$1022,V$1)</f>
        <v>0</v>
      </c>
      <c r="W132" s="207">
        <f>SUMIFS('август 2023'!$G$4:$G$1022,'август 2023'!$D$4:$D$1022,$B132,'август 2023'!$J$4:$J$1022,W$1)</f>
        <v>0</v>
      </c>
      <c r="X132" s="207">
        <f>SUMIFS('август 2023'!$G$4:$G$1022,'август 2023'!$D$4:$D$1022,$B132,'август 2023'!$J$4:$J$1022,X$1)</f>
        <v>0</v>
      </c>
      <c r="Y132" s="207">
        <f>SUMIFS('август 2023'!$G$4:$G$1022,'август 2023'!$D$4:$D$1022,$B132,'август 2023'!$J$4:$J$1022,Y$1)</f>
        <v>0</v>
      </c>
      <c r="Z132" s="207">
        <f>SUMIFS('август 2023'!$G$4:$G$1022,'август 2023'!$D$4:$D$1022,$B132,'август 2023'!$J$4:$J$1022,Z$1)</f>
        <v>0</v>
      </c>
      <c r="AA132" s="207">
        <f>SUMIFS('август 2023'!$G$4:$G$1022,'август 2023'!$D$4:$D$1022,$B132,'август 2023'!$J$4:$J$1022,AA$1)</f>
        <v>0</v>
      </c>
      <c r="AB132" s="207">
        <f>SUMIFS('август 2023'!$G$4:$G$1022,'август 2023'!$D$4:$D$1022,$B132,'август 2023'!$J$4:$J$1022,AB$1)</f>
        <v>0</v>
      </c>
      <c r="AC132" s="207">
        <f>SUMIFS('август 2023'!$G$4:$G$1022,'август 2023'!$D$4:$D$1022,$B132,'август 2023'!$J$4:$J$1022,AC$1)</f>
        <v>0</v>
      </c>
      <c r="AD132" s="207">
        <f>SUMIFS('август 2023'!$G$4:$G$1022,'август 2023'!$D$4:$D$1022,$B132,'август 2023'!$J$4:$J$1022,AD$1)</f>
        <v>0</v>
      </c>
      <c r="AE132" s="207">
        <f>SUMIFS('август 2023'!$G$4:$G$1022,'август 2023'!$D$4:$D$1022,$B132,'август 2023'!$J$4:$J$1022,AE$1)</f>
        <v>0</v>
      </c>
      <c r="AF132" s="207">
        <f>SUMIFS('август 2023'!$G$4:$G$1022,'август 2023'!$D$4:$D$1022,$B132,'август 2023'!$J$4:$J$1022,AF$1)</f>
        <v>0</v>
      </c>
      <c r="AG132" s="207">
        <f>SUMIFS('август 2023'!$G$4:$G$1022,'август 2023'!$D$4:$D$1022,$B132,'август 2023'!$J$4:$J$1022,AG$1)</f>
        <v>0</v>
      </c>
      <c r="AH132" s="207">
        <f>SUMIFS('август 2023'!$G$4:$G$1022,'август 2023'!$D$4:$D$1022,$B132,'август 2023'!$J$4:$J$1022,AH$1)</f>
        <v>0</v>
      </c>
      <c r="AI132" s="220"/>
    </row>
    <row r="133" spans="2:35" ht="15" hidden="1" customHeight="1" x14ac:dyDescent="0.25">
      <c r="B133" s="212"/>
      <c r="C133" s="213"/>
      <c r="D133" s="207">
        <f>SUMIFS('август 2023'!$G$4:$G$1022,'август 2023'!$D$4:$D$1022,$B133,'август 2023'!$J$4:$J$1022,D$1)</f>
        <v>0</v>
      </c>
      <c r="E133" s="207">
        <f>SUMIFS('август 2023'!$G$4:$G$1022,'август 2023'!$D$4:$D$1022,$B133,'август 2023'!$J$4:$J$1022,E$1)</f>
        <v>0</v>
      </c>
      <c r="F133" s="207">
        <f>SUMIFS('август 2023'!$G$4:$G$1022,'август 2023'!$D$4:$D$1022,$B133,'август 2023'!$J$4:$J$1022,F$1)</f>
        <v>0</v>
      </c>
      <c r="G133" s="207">
        <f>SUMIFS('август 2023'!$G$4:$G$1022,'август 2023'!$D$4:$D$1022,$B133,'август 2023'!$J$4:$J$1022,G$1)</f>
        <v>0</v>
      </c>
      <c r="H133" s="207">
        <f>SUMIFS('август 2023'!$G$4:$G$1022,'август 2023'!$D$4:$D$1022,$B133,'август 2023'!$J$4:$J$1022,H$1)</f>
        <v>0</v>
      </c>
      <c r="I133" s="207">
        <f>SUMIFS('август 2023'!$G$4:$G$1022,'август 2023'!$D$4:$D$1022,$B133,'август 2023'!$J$4:$J$1022,I$1)</f>
        <v>0</v>
      </c>
      <c r="J133" s="207">
        <f>SUMIFS('август 2023'!$G$4:$G$1022,'август 2023'!$D$4:$D$1022,$B133,'август 2023'!$J$4:$J$1022,J$1)</f>
        <v>0</v>
      </c>
      <c r="K133" s="207">
        <f>SUMIFS('август 2023'!$G$4:$G$1022,'август 2023'!$D$4:$D$1022,$B133,'август 2023'!$J$4:$J$1022,K$1)</f>
        <v>0</v>
      </c>
      <c r="L133" s="207">
        <f>SUMIFS('август 2023'!$G$4:$G$1022,'август 2023'!$D$4:$D$1022,$B133,'август 2023'!$J$4:$J$1022,L$1)</f>
        <v>0</v>
      </c>
      <c r="M133" s="207">
        <f>SUMIFS('август 2023'!$G$4:$G$1022,'август 2023'!$D$4:$D$1022,$B133,'август 2023'!$J$4:$J$1022,M$1)</f>
        <v>0</v>
      </c>
      <c r="N133" s="207">
        <f>SUMIFS('август 2023'!$G$4:$G$1022,'август 2023'!$D$4:$D$1022,$B133,'август 2023'!$J$4:$J$1022,N$1)</f>
        <v>0</v>
      </c>
      <c r="O133" s="207">
        <f>SUMIFS('август 2023'!$G$4:$G$1022,'август 2023'!$D$4:$D$1022,$B133,'август 2023'!$J$4:$J$1022,O$1)</f>
        <v>0</v>
      </c>
      <c r="P133" s="207">
        <f>SUMIFS('август 2023'!$G$4:$G$1022,'август 2023'!$D$4:$D$1022,$B133,'август 2023'!$J$4:$J$1022,P$1)</f>
        <v>0</v>
      </c>
      <c r="Q133" s="207">
        <f>SUMIFS('август 2023'!$G$4:$G$1022,'август 2023'!$D$4:$D$1022,$B133,'август 2023'!$J$4:$J$1022,Q$1)</f>
        <v>0</v>
      </c>
      <c r="R133" s="207">
        <f>SUMIFS('август 2023'!$G$4:$G$1022,'август 2023'!$D$4:$D$1022,$B133,'август 2023'!$J$4:$J$1022,R$1)</f>
        <v>0</v>
      </c>
      <c r="S133" s="207">
        <f>SUMIFS('август 2023'!$G$4:$G$1022,'август 2023'!$D$4:$D$1022,$B133,'август 2023'!$J$4:$J$1022,S$1)</f>
        <v>0</v>
      </c>
      <c r="T133" s="207">
        <f>SUMIFS('август 2023'!$G$4:$G$1022,'август 2023'!$D$4:$D$1022,$B133,'август 2023'!$J$4:$J$1022,T$1)</f>
        <v>0</v>
      </c>
      <c r="U133" s="207">
        <f>SUMIFS('август 2023'!$G$4:$G$1022,'август 2023'!$D$4:$D$1022,$B133,'август 2023'!$J$4:$J$1022,U$1)</f>
        <v>0</v>
      </c>
      <c r="V133" s="207">
        <f>SUMIFS('август 2023'!$G$4:$G$1022,'август 2023'!$D$4:$D$1022,$B133,'август 2023'!$J$4:$J$1022,V$1)</f>
        <v>0</v>
      </c>
      <c r="W133" s="207">
        <f>SUMIFS('август 2023'!$G$4:$G$1022,'август 2023'!$D$4:$D$1022,$B133,'август 2023'!$J$4:$J$1022,W$1)</f>
        <v>0</v>
      </c>
      <c r="X133" s="207">
        <f>SUMIFS('август 2023'!$G$4:$G$1022,'август 2023'!$D$4:$D$1022,$B133,'август 2023'!$J$4:$J$1022,X$1)</f>
        <v>0</v>
      </c>
      <c r="Y133" s="207">
        <f>SUMIFS('август 2023'!$G$4:$G$1022,'август 2023'!$D$4:$D$1022,$B133,'август 2023'!$J$4:$J$1022,Y$1)</f>
        <v>0</v>
      </c>
      <c r="Z133" s="207">
        <f>SUMIFS('август 2023'!$G$4:$G$1022,'август 2023'!$D$4:$D$1022,$B133,'август 2023'!$J$4:$J$1022,Z$1)</f>
        <v>0</v>
      </c>
      <c r="AA133" s="207">
        <f>SUMIFS('август 2023'!$G$4:$G$1022,'август 2023'!$D$4:$D$1022,$B133,'август 2023'!$J$4:$J$1022,AA$1)</f>
        <v>0</v>
      </c>
      <c r="AB133" s="207">
        <f>SUMIFS('август 2023'!$G$4:$G$1022,'август 2023'!$D$4:$D$1022,$B133,'август 2023'!$J$4:$J$1022,AB$1)</f>
        <v>0</v>
      </c>
      <c r="AC133" s="207">
        <f>SUMIFS('август 2023'!$G$4:$G$1022,'август 2023'!$D$4:$D$1022,$B133,'август 2023'!$J$4:$J$1022,AC$1)</f>
        <v>0</v>
      </c>
      <c r="AD133" s="207">
        <f>SUMIFS('август 2023'!$G$4:$G$1022,'август 2023'!$D$4:$D$1022,$B133,'август 2023'!$J$4:$J$1022,AD$1)</f>
        <v>0</v>
      </c>
      <c r="AE133" s="207">
        <f>SUMIFS('август 2023'!$G$4:$G$1022,'август 2023'!$D$4:$D$1022,$B133,'август 2023'!$J$4:$J$1022,AE$1)</f>
        <v>0</v>
      </c>
      <c r="AF133" s="207">
        <f>SUMIFS('август 2023'!$G$4:$G$1022,'август 2023'!$D$4:$D$1022,$B133,'август 2023'!$J$4:$J$1022,AF$1)</f>
        <v>0</v>
      </c>
      <c r="AG133" s="207">
        <f>SUMIFS('август 2023'!$G$4:$G$1022,'август 2023'!$D$4:$D$1022,$B133,'август 2023'!$J$4:$J$1022,AG$1)</f>
        <v>0</v>
      </c>
      <c r="AH133" s="207">
        <f>SUMIFS('август 2023'!$G$4:$G$1022,'август 2023'!$D$4:$D$1022,$B133,'август 2023'!$J$4:$J$1022,AH$1)</f>
        <v>0</v>
      </c>
      <c r="AI133" s="220"/>
    </row>
    <row r="134" spans="2:35" ht="15" hidden="1" customHeight="1" x14ac:dyDescent="0.25">
      <c r="B134" s="212"/>
      <c r="C134" s="211"/>
      <c r="D134" s="207">
        <f>SUMIFS('август 2023'!$G$4:$G$1022,'август 2023'!$D$4:$D$1022,$B134,'август 2023'!$J$4:$J$1022,D$1)</f>
        <v>0</v>
      </c>
      <c r="E134" s="207">
        <f>SUMIFS('август 2023'!$G$4:$G$1022,'август 2023'!$D$4:$D$1022,$B134,'август 2023'!$J$4:$J$1022,E$1)</f>
        <v>0</v>
      </c>
      <c r="F134" s="207">
        <f>SUMIFS('август 2023'!$G$4:$G$1022,'август 2023'!$D$4:$D$1022,$B134,'август 2023'!$J$4:$J$1022,F$1)</f>
        <v>0</v>
      </c>
      <c r="G134" s="207">
        <f>SUMIFS('август 2023'!$G$4:$G$1022,'август 2023'!$D$4:$D$1022,$B134,'август 2023'!$J$4:$J$1022,G$1)</f>
        <v>0</v>
      </c>
      <c r="H134" s="207">
        <f>SUMIFS('август 2023'!$G$4:$G$1022,'август 2023'!$D$4:$D$1022,$B134,'август 2023'!$J$4:$J$1022,H$1)</f>
        <v>0</v>
      </c>
      <c r="I134" s="207">
        <f>SUMIFS('август 2023'!$G$4:$G$1022,'август 2023'!$D$4:$D$1022,$B134,'август 2023'!$J$4:$J$1022,I$1)</f>
        <v>0</v>
      </c>
      <c r="J134" s="207">
        <f>SUMIFS('август 2023'!$G$4:$G$1022,'август 2023'!$D$4:$D$1022,$B134,'август 2023'!$J$4:$J$1022,J$1)</f>
        <v>0</v>
      </c>
      <c r="K134" s="207">
        <f>SUMIFS('август 2023'!$G$4:$G$1022,'август 2023'!$D$4:$D$1022,$B134,'август 2023'!$J$4:$J$1022,K$1)</f>
        <v>0</v>
      </c>
      <c r="L134" s="207">
        <f>SUMIFS('август 2023'!$G$4:$G$1022,'август 2023'!$D$4:$D$1022,$B134,'август 2023'!$J$4:$J$1022,L$1)</f>
        <v>0</v>
      </c>
      <c r="M134" s="207">
        <f>SUMIFS('август 2023'!$G$4:$G$1022,'август 2023'!$D$4:$D$1022,$B134,'август 2023'!$J$4:$J$1022,M$1)</f>
        <v>0</v>
      </c>
      <c r="N134" s="207">
        <f>SUMIFS('август 2023'!$G$4:$G$1022,'август 2023'!$D$4:$D$1022,$B134,'август 2023'!$J$4:$J$1022,N$1)</f>
        <v>0</v>
      </c>
      <c r="O134" s="207">
        <f>SUMIFS('август 2023'!$G$4:$G$1022,'август 2023'!$D$4:$D$1022,$B134,'август 2023'!$J$4:$J$1022,O$1)</f>
        <v>0</v>
      </c>
      <c r="P134" s="207">
        <f>SUMIFS('август 2023'!$G$4:$G$1022,'август 2023'!$D$4:$D$1022,$B134,'август 2023'!$J$4:$J$1022,P$1)</f>
        <v>0</v>
      </c>
      <c r="Q134" s="207">
        <f>SUMIFS('август 2023'!$G$4:$G$1022,'август 2023'!$D$4:$D$1022,$B134,'август 2023'!$J$4:$J$1022,Q$1)</f>
        <v>0</v>
      </c>
      <c r="R134" s="207">
        <f>SUMIFS('август 2023'!$G$4:$G$1022,'август 2023'!$D$4:$D$1022,$B134,'август 2023'!$J$4:$J$1022,R$1)</f>
        <v>0</v>
      </c>
      <c r="S134" s="207">
        <f>SUMIFS('август 2023'!$G$4:$G$1022,'август 2023'!$D$4:$D$1022,$B134,'август 2023'!$J$4:$J$1022,S$1)</f>
        <v>0</v>
      </c>
      <c r="T134" s="207">
        <f>SUMIFS('август 2023'!$G$4:$G$1022,'август 2023'!$D$4:$D$1022,$B134,'август 2023'!$J$4:$J$1022,T$1)</f>
        <v>0</v>
      </c>
      <c r="U134" s="207">
        <f>SUMIFS('август 2023'!$G$4:$G$1022,'август 2023'!$D$4:$D$1022,$B134,'август 2023'!$J$4:$J$1022,U$1)</f>
        <v>0</v>
      </c>
      <c r="V134" s="207">
        <f>SUMIFS('август 2023'!$G$4:$G$1022,'август 2023'!$D$4:$D$1022,$B134,'август 2023'!$J$4:$J$1022,V$1)</f>
        <v>0</v>
      </c>
      <c r="W134" s="207">
        <f>SUMIFS('август 2023'!$G$4:$G$1022,'август 2023'!$D$4:$D$1022,$B134,'август 2023'!$J$4:$J$1022,W$1)</f>
        <v>0</v>
      </c>
      <c r="X134" s="207">
        <f>SUMIFS('август 2023'!$G$4:$G$1022,'август 2023'!$D$4:$D$1022,$B134,'август 2023'!$J$4:$J$1022,X$1)</f>
        <v>0</v>
      </c>
      <c r="Y134" s="207">
        <f>SUMIFS('август 2023'!$G$4:$G$1022,'август 2023'!$D$4:$D$1022,$B134,'август 2023'!$J$4:$J$1022,Y$1)</f>
        <v>0</v>
      </c>
      <c r="Z134" s="207">
        <f>SUMIFS('август 2023'!$G$4:$G$1022,'август 2023'!$D$4:$D$1022,$B134,'август 2023'!$J$4:$J$1022,Z$1)</f>
        <v>0</v>
      </c>
      <c r="AA134" s="207">
        <f>SUMIFS('август 2023'!$G$4:$G$1022,'август 2023'!$D$4:$D$1022,$B134,'август 2023'!$J$4:$J$1022,AA$1)</f>
        <v>0</v>
      </c>
      <c r="AB134" s="207">
        <f>SUMIFS('август 2023'!$G$4:$G$1022,'август 2023'!$D$4:$D$1022,$B134,'август 2023'!$J$4:$J$1022,AB$1)</f>
        <v>0</v>
      </c>
      <c r="AC134" s="207">
        <f>SUMIFS('август 2023'!$G$4:$G$1022,'август 2023'!$D$4:$D$1022,$B134,'август 2023'!$J$4:$J$1022,AC$1)</f>
        <v>0</v>
      </c>
      <c r="AD134" s="207">
        <f>SUMIFS('август 2023'!$G$4:$G$1022,'август 2023'!$D$4:$D$1022,$B134,'август 2023'!$J$4:$J$1022,AD$1)</f>
        <v>0</v>
      </c>
      <c r="AE134" s="207">
        <f>SUMIFS('август 2023'!$G$4:$G$1022,'август 2023'!$D$4:$D$1022,$B134,'август 2023'!$J$4:$J$1022,AE$1)</f>
        <v>0</v>
      </c>
      <c r="AF134" s="207">
        <f>SUMIFS('август 2023'!$G$4:$G$1022,'август 2023'!$D$4:$D$1022,$B134,'август 2023'!$J$4:$J$1022,AF$1)</f>
        <v>0</v>
      </c>
      <c r="AG134" s="207">
        <f>SUMIFS('август 2023'!$G$4:$G$1022,'август 2023'!$D$4:$D$1022,$B134,'август 2023'!$J$4:$J$1022,AG$1)</f>
        <v>0</v>
      </c>
      <c r="AH134" s="207">
        <f>SUMIFS('август 2023'!$G$4:$G$1022,'август 2023'!$D$4:$D$1022,$B134,'август 2023'!$J$4:$J$1022,AH$1)</f>
        <v>0</v>
      </c>
      <c r="AI134" s="220"/>
    </row>
    <row r="135" spans="2:35" ht="15" hidden="1" customHeight="1" x14ac:dyDescent="0.25">
      <c r="B135" s="212"/>
      <c r="C135" s="211"/>
      <c r="D135" s="207">
        <f>SUMIFS('август 2023'!$G$4:$G$1022,'август 2023'!$D$4:$D$1022,$B135,'август 2023'!$J$4:$J$1022,D$1)</f>
        <v>0</v>
      </c>
      <c r="E135" s="207">
        <f>SUMIFS('август 2023'!$G$4:$G$1022,'август 2023'!$D$4:$D$1022,$B135,'август 2023'!$J$4:$J$1022,E$1)</f>
        <v>0</v>
      </c>
      <c r="F135" s="207">
        <f>SUMIFS('август 2023'!$G$4:$G$1022,'август 2023'!$D$4:$D$1022,$B135,'август 2023'!$J$4:$J$1022,F$1)</f>
        <v>0</v>
      </c>
      <c r="G135" s="207">
        <f>SUMIFS('август 2023'!$G$4:$G$1022,'август 2023'!$D$4:$D$1022,$B135,'август 2023'!$J$4:$J$1022,G$1)</f>
        <v>0</v>
      </c>
      <c r="H135" s="207">
        <f>SUMIFS('август 2023'!$G$4:$G$1022,'август 2023'!$D$4:$D$1022,$B135,'август 2023'!$J$4:$J$1022,H$1)</f>
        <v>0</v>
      </c>
      <c r="I135" s="207">
        <f>SUMIFS('август 2023'!$G$4:$G$1022,'август 2023'!$D$4:$D$1022,$B135,'август 2023'!$J$4:$J$1022,I$1)</f>
        <v>0</v>
      </c>
      <c r="J135" s="207">
        <f>SUMIFS('август 2023'!$G$4:$G$1022,'август 2023'!$D$4:$D$1022,$B135,'август 2023'!$J$4:$J$1022,J$1)</f>
        <v>0</v>
      </c>
      <c r="K135" s="207">
        <f>SUMIFS('август 2023'!$G$4:$G$1022,'август 2023'!$D$4:$D$1022,$B135,'август 2023'!$J$4:$J$1022,K$1)</f>
        <v>0</v>
      </c>
      <c r="L135" s="207">
        <f>SUMIFS('август 2023'!$G$4:$G$1022,'август 2023'!$D$4:$D$1022,$B135,'август 2023'!$J$4:$J$1022,L$1)</f>
        <v>0</v>
      </c>
      <c r="M135" s="207">
        <f>SUMIFS('август 2023'!$G$4:$G$1022,'август 2023'!$D$4:$D$1022,$B135,'август 2023'!$J$4:$J$1022,M$1)</f>
        <v>0</v>
      </c>
      <c r="N135" s="207">
        <f>SUMIFS('август 2023'!$G$4:$G$1022,'август 2023'!$D$4:$D$1022,$B135,'август 2023'!$J$4:$J$1022,N$1)</f>
        <v>0</v>
      </c>
      <c r="O135" s="207">
        <f>SUMIFS('август 2023'!$G$4:$G$1022,'август 2023'!$D$4:$D$1022,$B135,'август 2023'!$J$4:$J$1022,O$1)</f>
        <v>0</v>
      </c>
      <c r="P135" s="207">
        <f>SUMIFS('август 2023'!$G$4:$G$1022,'август 2023'!$D$4:$D$1022,$B135,'август 2023'!$J$4:$J$1022,P$1)</f>
        <v>0</v>
      </c>
      <c r="Q135" s="207">
        <f>SUMIFS('август 2023'!$G$4:$G$1022,'август 2023'!$D$4:$D$1022,$B135,'август 2023'!$J$4:$J$1022,Q$1)</f>
        <v>0</v>
      </c>
      <c r="R135" s="207">
        <f>SUMIFS('август 2023'!$G$4:$G$1022,'август 2023'!$D$4:$D$1022,$B135,'август 2023'!$J$4:$J$1022,R$1)</f>
        <v>0</v>
      </c>
      <c r="S135" s="207">
        <f>SUMIFS('август 2023'!$G$4:$G$1022,'август 2023'!$D$4:$D$1022,$B135,'август 2023'!$J$4:$J$1022,S$1)</f>
        <v>0</v>
      </c>
      <c r="T135" s="207">
        <f>SUMIFS('август 2023'!$G$4:$G$1022,'август 2023'!$D$4:$D$1022,$B135,'август 2023'!$J$4:$J$1022,T$1)</f>
        <v>0</v>
      </c>
      <c r="U135" s="207">
        <f>SUMIFS('август 2023'!$G$4:$G$1022,'август 2023'!$D$4:$D$1022,$B135,'август 2023'!$J$4:$J$1022,U$1)</f>
        <v>0</v>
      </c>
      <c r="V135" s="207">
        <f>SUMIFS('август 2023'!$G$4:$G$1022,'август 2023'!$D$4:$D$1022,$B135,'август 2023'!$J$4:$J$1022,V$1)</f>
        <v>0</v>
      </c>
      <c r="W135" s="207">
        <f>SUMIFS('август 2023'!$G$4:$G$1022,'август 2023'!$D$4:$D$1022,$B135,'август 2023'!$J$4:$J$1022,W$1)</f>
        <v>0</v>
      </c>
      <c r="X135" s="207">
        <f>SUMIFS('август 2023'!$G$4:$G$1022,'август 2023'!$D$4:$D$1022,$B135,'август 2023'!$J$4:$J$1022,X$1)</f>
        <v>0</v>
      </c>
      <c r="Y135" s="207">
        <f>SUMIFS('август 2023'!$G$4:$G$1022,'август 2023'!$D$4:$D$1022,$B135,'август 2023'!$J$4:$J$1022,Y$1)</f>
        <v>0</v>
      </c>
      <c r="Z135" s="207">
        <f>SUMIFS('август 2023'!$G$4:$G$1022,'август 2023'!$D$4:$D$1022,$B135,'август 2023'!$J$4:$J$1022,Z$1)</f>
        <v>0</v>
      </c>
      <c r="AA135" s="207">
        <f>SUMIFS('август 2023'!$G$4:$G$1022,'август 2023'!$D$4:$D$1022,$B135,'август 2023'!$J$4:$J$1022,AA$1)</f>
        <v>0</v>
      </c>
      <c r="AB135" s="207">
        <f>SUMIFS('август 2023'!$G$4:$G$1022,'август 2023'!$D$4:$D$1022,$B135,'август 2023'!$J$4:$J$1022,AB$1)</f>
        <v>0</v>
      </c>
      <c r="AC135" s="207">
        <f>SUMIFS('август 2023'!$G$4:$G$1022,'август 2023'!$D$4:$D$1022,$B135,'август 2023'!$J$4:$J$1022,AC$1)</f>
        <v>0</v>
      </c>
      <c r="AD135" s="207">
        <f>SUMIFS('август 2023'!$G$4:$G$1022,'август 2023'!$D$4:$D$1022,$B135,'август 2023'!$J$4:$J$1022,AD$1)</f>
        <v>0</v>
      </c>
      <c r="AE135" s="207">
        <f>SUMIFS('август 2023'!$G$4:$G$1022,'август 2023'!$D$4:$D$1022,$B135,'август 2023'!$J$4:$J$1022,AE$1)</f>
        <v>0</v>
      </c>
      <c r="AF135" s="207">
        <f>SUMIFS('август 2023'!$G$4:$G$1022,'август 2023'!$D$4:$D$1022,$B135,'август 2023'!$J$4:$J$1022,AF$1)</f>
        <v>0</v>
      </c>
      <c r="AG135" s="207">
        <f>SUMIFS('август 2023'!$G$4:$G$1022,'август 2023'!$D$4:$D$1022,$B135,'август 2023'!$J$4:$J$1022,AG$1)</f>
        <v>0</v>
      </c>
      <c r="AH135" s="207">
        <f>SUMIFS('август 2023'!$G$4:$G$1022,'август 2023'!$D$4:$D$1022,$B135,'август 2023'!$J$4:$J$1022,AH$1)</f>
        <v>0</v>
      </c>
      <c r="AI135" s="220"/>
    </row>
    <row r="136" spans="2:35" ht="15" hidden="1" customHeight="1" x14ac:dyDescent="0.25">
      <c r="B136" s="212"/>
      <c r="C136" s="211"/>
      <c r="D136" s="207">
        <f>SUMIFS('август 2023'!$G$4:$G$1022,'август 2023'!$D$4:$D$1022,$B136,'август 2023'!$J$4:$J$1022,D$1)</f>
        <v>0</v>
      </c>
      <c r="E136" s="207">
        <f>SUMIFS('август 2023'!$G$4:$G$1022,'август 2023'!$D$4:$D$1022,$B136,'август 2023'!$J$4:$J$1022,E$1)</f>
        <v>0</v>
      </c>
      <c r="F136" s="207">
        <f>SUMIFS('август 2023'!$G$4:$G$1022,'август 2023'!$D$4:$D$1022,$B136,'август 2023'!$J$4:$J$1022,F$1)</f>
        <v>0</v>
      </c>
      <c r="G136" s="207">
        <f>SUMIFS('август 2023'!$G$4:$G$1022,'август 2023'!$D$4:$D$1022,$B136,'август 2023'!$J$4:$J$1022,G$1)</f>
        <v>0</v>
      </c>
      <c r="H136" s="207">
        <f>SUMIFS('август 2023'!$G$4:$G$1022,'август 2023'!$D$4:$D$1022,$B136,'август 2023'!$J$4:$J$1022,H$1)</f>
        <v>0</v>
      </c>
      <c r="I136" s="207">
        <f>SUMIFS('август 2023'!$G$4:$G$1022,'август 2023'!$D$4:$D$1022,$B136,'август 2023'!$J$4:$J$1022,I$1)</f>
        <v>0</v>
      </c>
      <c r="J136" s="207">
        <f>SUMIFS('август 2023'!$G$4:$G$1022,'август 2023'!$D$4:$D$1022,$B136,'август 2023'!$J$4:$J$1022,J$1)</f>
        <v>0</v>
      </c>
      <c r="K136" s="207">
        <f>SUMIFS('август 2023'!$G$4:$G$1022,'август 2023'!$D$4:$D$1022,$B136,'август 2023'!$J$4:$J$1022,K$1)</f>
        <v>0</v>
      </c>
      <c r="L136" s="207">
        <f>SUMIFS('август 2023'!$G$4:$G$1022,'август 2023'!$D$4:$D$1022,$B136,'август 2023'!$J$4:$J$1022,L$1)</f>
        <v>0</v>
      </c>
      <c r="M136" s="207">
        <f>SUMIFS('август 2023'!$G$4:$G$1022,'август 2023'!$D$4:$D$1022,$B136,'август 2023'!$J$4:$J$1022,M$1)</f>
        <v>0</v>
      </c>
      <c r="N136" s="207">
        <f>SUMIFS('август 2023'!$G$4:$G$1022,'август 2023'!$D$4:$D$1022,$B136,'август 2023'!$J$4:$J$1022,N$1)</f>
        <v>0</v>
      </c>
      <c r="O136" s="207">
        <f>SUMIFS('август 2023'!$G$4:$G$1022,'август 2023'!$D$4:$D$1022,$B136,'август 2023'!$J$4:$J$1022,O$1)</f>
        <v>0</v>
      </c>
      <c r="P136" s="207">
        <f>SUMIFS('август 2023'!$G$4:$G$1022,'август 2023'!$D$4:$D$1022,$B136,'август 2023'!$J$4:$J$1022,P$1)</f>
        <v>0</v>
      </c>
      <c r="Q136" s="207">
        <f>SUMIFS('август 2023'!$G$4:$G$1022,'август 2023'!$D$4:$D$1022,$B136,'август 2023'!$J$4:$J$1022,Q$1)</f>
        <v>0</v>
      </c>
      <c r="R136" s="207">
        <f>SUMIFS('август 2023'!$G$4:$G$1022,'август 2023'!$D$4:$D$1022,$B136,'август 2023'!$J$4:$J$1022,R$1)</f>
        <v>0</v>
      </c>
      <c r="S136" s="207">
        <f>SUMIFS('август 2023'!$G$4:$G$1022,'август 2023'!$D$4:$D$1022,$B136,'август 2023'!$J$4:$J$1022,S$1)</f>
        <v>0</v>
      </c>
      <c r="T136" s="207">
        <f>SUMIFS('август 2023'!$G$4:$G$1022,'август 2023'!$D$4:$D$1022,$B136,'август 2023'!$J$4:$J$1022,T$1)</f>
        <v>0</v>
      </c>
      <c r="U136" s="207">
        <f>SUMIFS('август 2023'!$G$4:$G$1022,'август 2023'!$D$4:$D$1022,$B136,'август 2023'!$J$4:$J$1022,U$1)</f>
        <v>0</v>
      </c>
      <c r="V136" s="207">
        <f>SUMIFS('август 2023'!$G$4:$G$1022,'август 2023'!$D$4:$D$1022,$B136,'август 2023'!$J$4:$J$1022,V$1)</f>
        <v>0</v>
      </c>
      <c r="W136" s="207">
        <f>SUMIFS('август 2023'!$G$4:$G$1022,'август 2023'!$D$4:$D$1022,$B136,'август 2023'!$J$4:$J$1022,W$1)</f>
        <v>0</v>
      </c>
      <c r="X136" s="207">
        <f>SUMIFS('август 2023'!$G$4:$G$1022,'август 2023'!$D$4:$D$1022,$B136,'август 2023'!$J$4:$J$1022,X$1)</f>
        <v>0</v>
      </c>
      <c r="Y136" s="207">
        <f>SUMIFS('август 2023'!$G$4:$G$1022,'август 2023'!$D$4:$D$1022,$B136,'август 2023'!$J$4:$J$1022,Y$1)</f>
        <v>0</v>
      </c>
      <c r="Z136" s="207">
        <f>SUMIFS('август 2023'!$G$4:$G$1022,'август 2023'!$D$4:$D$1022,$B136,'август 2023'!$J$4:$J$1022,Z$1)</f>
        <v>0</v>
      </c>
      <c r="AA136" s="207">
        <f>SUMIFS('август 2023'!$G$4:$G$1022,'август 2023'!$D$4:$D$1022,$B136,'август 2023'!$J$4:$J$1022,AA$1)</f>
        <v>0</v>
      </c>
      <c r="AB136" s="207">
        <f>SUMIFS('август 2023'!$G$4:$G$1022,'август 2023'!$D$4:$D$1022,$B136,'август 2023'!$J$4:$J$1022,AB$1)</f>
        <v>0</v>
      </c>
      <c r="AC136" s="207">
        <f>SUMIFS('август 2023'!$G$4:$G$1022,'август 2023'!$D$4:$D$1022,$B136,'август 2023'!$J$4:$J$1022,AC$1)</f>
        <v>0</v>
      </c>
      <c r="AD136" s="207">
        <f>SUMIFS('август 2023'!$G$4:$G$1022,'август 2023'!$D$4:$D$1022,$B136,'август 2023'!$J$4:$J$1022,AD$1)</f>
        <v>0</v>
      </c>
      <c r="AE136" s="207">
        <f>SUMIFS('август 2023'!$G$4:$G$1022,'август 2023'!$D$4:$D$1022,$B136,'август 2023'!$J$4:$J$1022,AE$1)</f>
        <v>0</v>
      </c>
      <c r="AF136" s="207">
        <f>SUMIFS('август 2023'!$G$4:$G$1022,'август 2023'!$D$4:$D$1022,$B136,'август 2023'!$J$4:$J$1022,AF$1)</f>
        <v>0</v>
      </c>
      <c r="AG136" s="207">
        <f>SUMIFS('август 2023'!$G$4:$G$1022,'август 2023'!$D$4:$D$1022,$B136,'август 2023'!$J$4:$J$1022,AG$1)</f>
        <v>0</v>
      </c>
      <c r="AH136" s="207">
        <f>SUMIFS('август 2023'!$G$4:$G$1022,'август 2023'!$D$4:$D$1022,$B136,'август 2023'!$J$4:$J$1022,AH$1)</f>
        <v>0</v>
      </c>
      <c r="AI136" s="220"/>
    </row>
    <row r="137" spans="2:35" ht="15" hidden="1" customHeight="1" x14ac:dyDescent="0.25">
      <c r="B137" s="216"/>
      <c r="C137" s="213"/>
      <c r="D137" s="207">
        <f>SUMIFS('август 2023'!$G$4:$G$1022,'август 2023'!$D$4:$D$1022,$B137,'август 2023'!$J$4:$J$1022,D$1)</f>
        <v>0</v>
      </c>
      <c r="E137" s="207">
        <f>SUMIFS('август 2023'!$G$4:$G$1022,'август 2023'!$D$4:$D$1022,$B137,'август 2023'!$J$4:$J$1022,E$1)</f>
        <v>0</v>
      </c>
      <c r="F137" s="207">
        <f>SUMIFS('август 2023'!$G$4:$G$1022,'август 2023'!$D$4:$D$1022,$B137,'август 2023'!$J$4:$J$1022,F$1)</f>
        <v>0</v>
      </c>
      <c r="G137" s="207">
        <f>SUMIFS('август 2023'!$G$4:$G$1022,'август 2023'!$D$4:$D$1022,$B137,'август 2023'!$J$4:$J$1022,G$1)</f>
        <v>0</v>
      </c>
      <c r="H137" s="207">
        <f>SUMIFS('август 2023'!$G$4:$G$1022,'август 2023'!$D$4:$D$1022,$B137,'август 2023'!$J$4:$J$1022,H$1)</f>
        <v>0</v>
      </c>
      <c r="I137" s="207">
        <f>SUMIFS('август 2023'!$G$4:$G$1022,'август 2023'!$D$4:$D$1022,$B137,'август 2023'!$J$4:$J$1022,I$1)</f>
        <v>0</v>
      </c>
      <c r="J137" s="207">
        <f>SUMIFS('август 2023'!$G$4:$G$1022,'август 2023'!$D$4:$D$1022,$B137,'август 2023'!$J$4:$J$1022,J$1)</f>
        <v>0</v>
      </c>
      <c r="K137" s="207">
        <f>SUMIFS('август 2023'!$G$4:$G$1022,'август 2023'!$D$4:$D$1022,$B137,'август 2023'!$J$4:$J$1022,K$1)</f>
        <v>0</v>
      </c>
      <c r="L137" s="207">
        <f>SUMIFS('август 2023'!$G$4:$G$1022,'август 2023'!$D$4:$D$1022,$B137,'август 2023'!$J$4:$J$1022,L$1)</f>
        <v>0</v>
      </c>
      <c r="M137" s="207">
        <f>SUMIFS('август 2023'!$G$4:$G$1022,'август 2023'!$D$4:$D$1022,$B137,'август 2023'!$J$4:$J$1022,M$1)</f>
        <v>0</v>
      </c>
      <c r="N137" s="207">
        <f>SUMIFS('август 2023'!$G$4:$G$1022,'август 2023'!$D$4:$D$1022,$B137,'август 2023'!$J$4:$J$1022,N$1)</f>
        <v>0</v>
      </c>
      <c r="O137" s="207">
        <f>SUMIFS('август 2023'!$G$4:$G$1022,'август 2023'!$D$4:$D$1022,$B137,'август 2023'!$J$4:$J$1022,O$1)</f>
        <v>0</v>
      </c>
      <c r="P137" s="207">
        <f>SUMIFS('август 2023'!$G$4:$G$1022,'август 2023'!$D$4:$D$1022,$B137,'август 2023'!$J$4:$J$1022,P$1)</f>
        <v>0</v>
      </c>
      <c r="Q137" s="207">
        <f>SUMIFS('август 2023'!$G$4:$G$1022,'август 2023'!$D$4:$D$1022,$B137,'август 2023'!$J$4:$J$1022,Q$1)</f>
        <v>0</v>
      </c>
      <c r="R137" s="207">
        <f>SUMIFS('август 2023'!$G$4:$G$1022,'август 2023'!$D$4:$D$1022,$B137,'август 2023'!$J$4:$J$1022,R$1)</f>
        <v>0</v>
      </c>
      <c r="S137" s="207">
        <f>SUMIFS('август 2023'!$G$4:$G$1022,'август 2023'!$D$4:$D$1022,$B137,'август 2023'!$J$4:$J$1022,S$1)</f>
        <v>0</v>
      </c>
      <c r="T137" s="207">
        <f>SUMIFS('август 2023'!$G$4:$G$1022,'август 2023'!$D$4:$D$1022,$B137,'август 2023'!$J$4:$J$1022,T$1)</f>
        <v>0</v>
      </c>
      <c r="U137" s="207">
        <f>SUMIFS('август 2023'!$G$4:$G$1022,'август 2023'!$D$4:$D$1022,$B137,'август 2023'!$J$4:$J$1022,U$1)</f>
        <v>0</v>
      </c>
      <c r="V137" s="207">
        <f>SUMIFS('август 2023'!$G$4:$G$1022,'август 2023'!$D$4:$D$1022,$B137,'август 2023'!$J$4:$J$1022,V$1)</f>
        <v>0</v>
      </c>
      <c r="W137" s="207">
        <f>SUMIFS('август 2023'!$G$4:$G$1022,'август 2023'!$D$4:$D$1022,$B137,'август 2023'!$J$4:$J$1022,W$1)</f>
        <v>0</v>
      </c>
      <c r="X137" s="207">
        <f>SUMIFS('август 2023'!$G$4:$G$1022,'август 2023'!$D$4:$D$1022,$B137,'август 2023'!$J$4:$J$1022,X$1)</f>
        <v>0</v>
      </c>
      <c r="Y137" s="207">
        <f>SUMIFS('август 2023'!$G$4:$G$1022,'август 2023'!$D$4:$D$1022,$B137,'август 2023'!$J$4:$J$1022,Y$1)</f>
        <v>0</v>
      </c>
      <c r="Z137" s="207">
        <f>SUMIFS('август 2023'!$G$4:$G$1022,'август 2023'!$D$4:$D$1022,$B137,'август 2023'!$J$4:$J$1022,Z$1)</f>
        <v>0</v>
      </c>
      <c r="AA137" s="207">
        <f>SUMIFS('август 2023'!$G$4:$G$1022,'август 2023'!$D$4:$D$1022,$B137,'август 2023'!$J$4:$J$1022,AA$1)</f>
        <v>0</v>
      </c>
      <c r="AB137" s="207">
        <f>SUMIFS('август 2023'!$G$4:$G$1022,'август 2023'!$D$4:$D$1022,$B137,'август 2023'!$J$4:$J$1022,AB$1)</f>
        <v>0</v>
      </c>
      <c r="AC137" s="207">
        <f>SUMIFS('август 2023'!$G$4:$G$1022,'август 2023'!$D$4:$D$1022,$B137,'август 2023'!$J$4:$J$1022,AC$1)</f>
        <v>0</v>
      </c>
      <c r="AD137" s="207">
        <f>SUMIFS('август 2023'!$G$4:$G$1022,'август 2023'!$D$4:$D$1022,$B137,'август 2023'!$J$4:$J$1022,AD$1)</f>
        <v>0</v>
      </c>
      <c r="AE137" s="207">
        <f>SUMIFS('август 2023'!$G$4:$G$1022,'август 2023'!$D$4:$D$1022,$B137,'август 2023'!$J$4:$J$1022,AE$1)</f>
        <v>0</v>
      </c>
      <c r="AF137" s="207">
        <f>SUMIFS('август 2023'!$G$4:$G$1022,'август 2023'!$D$4:$D$1022,$B137,'август 2023'!$J$4:$J$1022,AF$1)</f>
        <v>0</v>
      </c>
      <c r="AG137" s="207">
        <f>SUMIFS('август 2023'!$G$4:$G$1022,'август 2023'!$D$4:$D$1022,$B137,'август 2023'!$J$4:$J$1022,AG$1)</f>
        <v>0</v>
      </c>
      <c r="AH137" s="207">
        <f>SUMIFS('август 2023'!$G$4:$G$1022,'август 2023'!$D$4:$D$1022,$B137,'август 2023'!$J$4:$J$1022,AH$1)</f>
        <v>0</v>
      </c>
      <c r="AI137" s="220">
        <f t="shared" ref="AI137:AI151" si="3">SUM(D137:AH137)</f>
        <v>0</v>
      </c>
    </row>
    <row r="138" spans="2:35" ht="15" hidden="1" customHeight="1" x14ac:dyDescent="0.25">
      <c r="B138" s="216"/>
      <c r="C138" s="213"/>
      <c r="D138" s="207">
        <f>SUMIFS('август 2023'!$G$4:$G$1022,'август 2023'!$D$4:$D$1022,$B138,'август 2023'!$J$4:$J$1022,D$1)</f>
        <v>0</v>
      </c>
      <c r="E138" s="207">
        <f>SUMIFS('август 2023'!$G$4:$G$1022,'август 2023'!$D$4:$D$1022,$B138,'август 2023'!$J$4:$J$1022,E$1)</f>
        <v>0</v>
      </c>
      <c r="F138" s="207">
        <f>SUMIFS('август 2023'!$G$4:$G$1022,'август 2023'!$D$4:$D$1022,$B138,'август 2023'!$J$4:$J$1022,F$1)</f>
        <v>0</v>
      </c>
      <c r="G138" s="207">
        <f>SUMIFS('август 2023'!$G$4:$G$1022,'август 2023'!$D$4:$D$1022,$B138,'август 2023'!$J$4:$J$1022,G$1)</f>
        <v>0</v>
      </c>
      <c r="H138" s="207">
        <f>SUMIFS('август 2023'!$G$4:$G$1022,'август 2023'!$D$4:$D$1022,$B138,'август 2023'!$J$4:$J$1022,H$1)</f>
        <v>0</v>
      </c>
      <c r="I138" s="207">
        <f>SUMIFS('август 2023'!$G$4:$G$1022,'август 2023'!$D$4:$D$1022,$B138,'август 2023'!$J$4:$J$1022,I$1)</f>
        <v>0</v>
      </c>
      <c r="J138" s="207">
        <f>SUMIFS('август 2023'!$G$4:$G$1022,'август 2023'!$D$4:$D$1022,$B138,'август 2023'!$J$4:$J$1022,J$1)</f>
        <v>0</v>
      </c>
      <c r="K138" s="207">
        <f>SUMIFS('август 2023'!$G$4:$G$1022,'август 2023'!$D$4:$D$1022,$B138,'август 2023'!$J$4:$J$1022,K$1)</f>
        <v>0</v>
      </c>
      <c r="L138" s="207">
        <f>SUMIFS('август 2023'!$G$4:$G$1022,'август 2023'!$D$4:$D$1022,$B138,'август 2023'!$J$4:$J$1022,L$1)</f>
        <v>0</v>
      </c>
      <c r="M138" s="207">
        <f>SUMIFS('август 2023'!$G$4:$G$1022,'август 2023'!$D$4:$D$1022,$B138,'август 2023'!$J$4:$J$1022,M$1)</f>
        <v>0</v>
      </c>
      <c r="N138" s="207">
        <f>SUMIFS('август 2023'!$G$4:$G$1022,'август 2023'!$D$4:$D$1022,$B138,'август 2023'!$J$4:$J$1022,N$1)</f>
        <v>0</v>
      </c>
      <c r="O138" s="207">
        <f>SUMIFS('август 2023'!$G$4:$G$1022,'август 2023'!$D$4:$D$1022,$B138,'август 2023'!$J$4:$J$1022,O$1)</f>
        <v>0</v>
      </c>
      <c r="P138" s="207">
        <f>SUMIFS('август 2023'!$G$4:$G$1022,'август 2023'!$D$4:$D$1022,$B138,'август 2023'!$J$4:$J$1022,P$1)</f>
        <v>0</v>
      </c>
      <c r="Q138" s="207">
        <f>SUMIFS('август 2023'!$G$4:$G$1022,'август 2023'!$D$4:$D$1022,$B138,'август 2023'!$J$4:$J$1022,Q$1)</f>
        <v>0</v>
      </c>
      <c r="R138" s="207">
        <f>SUMIFS('август 2023'!$G$4:$G$1022,'август 2023'!$D$4:$D$1022,$B138,'август 2023'!$J$4:$J$1022,R$1)</f>
        <v>0</v>
      </c>
      <c r="S138" s="207">
        <f>SUMIFS('август 2023'!$G$4:$G$1022,'август 2023'!$D$4:$D$1022,$B138,'август 2023'!$J$4:$J$1022,S$1)</f>
        <v>0</v>
      </c>
      <c r="T138" s="207">
        <f>SUMIFS('август 2023'!$G$4:$G$1022,'август 2023'!$D$4:$D$1022,$B138,'август 2023'!$J$4:$J$1022,T$1)</f>
        <v>0</v>
      </c>
      <c r="U138" s="207">
        <f>SUMIFS('август 2023'!$G$4:$G$1022,'август 2023'!$D$4:$D$1022,$B138,'август 2023'!$J$4:$J$1022,U$1)</f>
        <v>0</v>
      </c>
      <c r="V138" s="207">
        <f>SUMIFS('август 2023'!$G$4:$G$1022,'август 2023'!$D$4:$D$1022,$B138,'август 2023'!$J$4:$J$1022,V$1)</f>
        <v>0</v>
      </c>
      <c r="W138" s="207">
        <f>SUMIFS('август 2023'!$G$4:$G$1022,'август 2023'!$D$4:$D$1022,$B138,'август 2023'!$J$4:$J$1022,W$1)</f>
        <v>0</v>
      </c>
      <c r="X138" s="207">
        <f>SUMIFS('август 2023'!$G$4:$G$1022,'август 2023'!$D$4:$D$1022,$B138,'август 2023'!$J$4:$J$1022,X$1)</f>
        <v>0</v>
      </c>
      <c r="Y138" s="207">
        <f>SUMIFS('август 2023'!$G$4:$G$1022,'август 2023'!$D$4:$D$1022,$B138,'август 2023'!$J$4:$J$1022,Y$1)</f>
        <v>0</v>
      </c>
      <c r="Z138" s="207">
        <f>SUMIFS('август 2023'!$G$4:$G$1022,'август 2023'!$D$4:$D$1022,$B138,'август 2023'!$J$4:$J$1022,Z$1)</f>
        <v>0</v>
      </c>
      <c r="AA138" s="207">
        <f>SUMIFS('август 2023'!$G$4:$G$1022,'август 2023'!$D$4:$D$1022,$B138,'август 2023'!$J$4:$J$1022,AA$1)</f>
        <v>0</v>
      </c>
      <c r="AB138" s="207">
        <f>SUMIFS('август 2023'!$G$4:$G$1022,'август 2023'!$D$4:$D$1022,$B138,'август 2023'!$J$4:$J$1022,AB$1)</f>
        <v>0</v>
      </c>
      <c r="AC138" s="207">
        <f>SUMIFS('август 2023'!$G$4:$G$1022,'август 2023'!$D$4:$D$1022,$B138,'август 2023'!$J$4:$J$1022,AC$1)</f>
        <v>0</v>
      </c>
      <c r="AD138" s="207">
        <f>SUMIFS('август 2023'!$G$4:$G$1022,'август 2023'!$D$4:$D$1022,$B138,'август 2023'!$J$4:$J$1022,AD$1)</f>
        <v>0</v>
      </c>
      <c r="AE138" s="207">
        <f>SUMIFS('август 2023'!$G$4:$G$1022,'август 2023'!$D$4:$D$1022,$B138,'август 2023'!$J$4:$J$1022,AE$1)</f>
        <v>0</v>
      </c>
      <c r="AF138" s="207">
        <f>SUMIFS('август 2023'!$G$4:$G$1022,'август 2023'!$D$4:$D$1022,$B138,'август 2023'!$J$4:$J$1022,AF$1)</f>
        <v>0</v>
      </c>
      <c r="AG138" s="207">
        <f>SUMIFS('август 2023'!$G$4:$G$1022,'август 2023'!$D$4:$D$1022,$B138,'август 2023'!$J$4:$J$1022,AG$1)</f>
        <v>0</v>
      </c>
      <c r="AH138" s="207">
        <f>SUMIFS('август 2023'!$G$4:$G$1022,'август 2023'!$D$4:$D$1022,$B138,'август 2023'!$J$4:$J$1022,AH$1)</f>
        <v>0</v>
      </c>
      <c r="AI138" s="220">
        <f t="shared" si="3"/>
        <v>0</v>
      </c>
    </row>
    <row r="139" spans="2:35" ht="15" hidden="1" customHeight="1" x14ac:dyDescent="0.25">
      <c r="B139" s="216"/>
      <c r="C139" s="213"/>
      <c r="D139" s="207">
        <f>SUMIFS('август 2023'!$G$4:$G$1022,'август 2023'!$D$4:$D$1022,$B139,'август 2023'!$J$4:$J$1022,D$1)</f>
        <v>0</v>
      </c>
      <c r="E139" s="207">
        <f>SUMIFS('август 2023'!$G$4:$G$1022,'август 2023'!$D$4:$D$1022,$B139,'август 2023'!$J$4:$J$1022,E$1)</f>
        <v>0</v>
      </c>
      <c r="F139" s="207">
        <f>SUMIFS('август 2023'!$G$4:$G$1022,'август 2023'!$D$4:$D$1022,$B139,'август 2023'!$J$4:$J$1022,F$1)</f>
        <v>0</v>
      </c>
      <c r="G139" s="207">
        <f>SUMIFS('август 2023'!$G$4:$G$1022,'август 2023'!$D$4:$D$1022,$B139,'август 2023'!$J$4:$J$1022,G$1)</f>
        <v>0</v>
      </c>
      <c r="H139" s="207">
        <f>SUMIFS('август 2023'!$G$4:$G$1022,'август 2023'!$D$4:$D$1022,$B139,'август 2023'!$J$4:$J$1022,H$1)</f>
        <v>0</v>
      </c>
      <c r="I139" s="207">
        <f>SUMIFS('август 2023'!$G$4:$G$1022,'август 2023'!$D$4:$D$1022,$B139,'август 2023'!$J$4:$J$1022,I$1)</f>
        <v>0</v>
      </c>
      <c r="J139" s="207">
        <f>SUMIFS('август 2023'!$G$4:$G$1022,'август 2023'!$D$4:$D$1022,$B139,'август 2023'!$J$4:$J$1022,J$1)</f>
        <v>0</v>
      </c>
      <c r="K139" s="207">
        <f>SUMIFS('август 2023'!$G$4:$G$1022,'август 2023'!$D$4:$D$1022,$B139,'август 2023'!$J$4:$J$1022,K$1)</f>
        <v>0</v>
      </c>
      <c r="L139" s="207">
        <f>SUMIFS('август 2023'!$G$4:$G$1022,'август 2023'!$D$4:$D$1022,$B139,'август 2023'!$J$4:$J$1022,L$1)</f>
        <v>0</v>
      </c>
      <c r="M139" s="207">
        <f>SUMIFS('август 2023'!$G$4:$G$1022,'август 2023'!$D$4:$D$1022,$B139,'август 2023'!$J$4:$J$1022,M$1)</f>
        <v>0</v>
      </c>
      <c r="N139" s="207">
        <f>SUMIFS('август 2023'!$G$4:$G$1022,'август 2023'!$D$4:$D$1022,$B139,'август 2023'!$J$4:$J$1022,N$1)</f>
        <v>0</v>
      </c>
      <c r="O139" s="207">
        <f>SUMIFS('август 2023'!$G$4:$G$1022,'август 2023'!$D$4:$D$1022,$B139,'август 2023'!$J$4:$J$1022,O$1)</f>
        <v>0</v>
      </c>
      <c r="P139" s="207">
        <f>SUMIFS('август 2023'!$G$4:$G$1022,'август 2023'!$D$4:$D$1022,$B139,'август 2023'!$J$4:$J$1022,P$1)</f>
        <v>0</v>
      </c>
      <c r="Q139" s="207">
        <f>SUMIFS('август 2023'!$G$4:$G$1022,'август 2023'!$D$4:$D$1022,$B139,'август 2023'!$J$4:$J$1022,Q$1)</f>
        <v>0</v>
      </c>
      <c r="R139" s="207">
        <f>SUMIFS('август 2023'!$G$4:$G$1022,'август 2023'!$D$4:$D$1022,$B139,'август 2023'!$J$4:$J$1022,R$1)</f>
        <v>0</v>
      </c>
      <c r="S139" s="207">
        <f>SUMIFS('август 2023'!$G$4:$G$1022,'август 2023'!$D$4:$D$1022,$B139,'август 2023'!$J$4:$J$1022,S$1)</f>
        <v>0</v>
      </c>
      <c r="T139" s="207">
        <f>SUMIFS('август 2023'!$G$4:$G$1022,'август 2023'!$D$4:$D$1022,$B139,'август 2023'!$J$4:$J$1022,T$1)</f>
        <v>0</v>
      </c>
      <c r="U139" s="207">
        <f>SUMIFS('август 2023'!$G$4:$G$1022,'август 2023'!$D$4:$D$1022,$B139,'август 2023'!$J$4:$J$1022,U$1)</f>
        <v>0</v>
      </c>
      <c r="V139" s="207">
        <f>SUMIFS('август 2023'!$G$4:$G$1022,'август 2023'!$D$4:$D$1022,$B139,'август 2023'!$J$4:$J$1022,V$1)</f>
        <v>0</v>
      </c>
      <c r="W139" s="207">
        <f>SUMIFS('август 2023'!$G$4:$G$1022,'август 2023'!$D$4:$D$1022,$B139,'август 2023'!$J$4:$J$1022,W$1)</f>
        <v>0</v>
      </c>
      <c r="X139" s="207">
        <f>SUMIFS('август 2023'!$G$4:$G$1022,'август 2023'!$D$4:$D$1022,$B139,'август 2023'!$J$4:$J$1022,X$1)</f>
        <v>0</v>
      </c>
      <c r="Y139" s="207">
        <f>SUMIFS('август 2023'!$G$4:$G$1022,'август 2023'!$D$4:$D$1022,$B139,'август 2023'!$J$4:$J$1022,Y$1)</f>
        <v>0</v>
      </c>
      <c r="Z139" s="207">
        <f>SUMIFS('август 2023'!$G$4:$G$1022,'август 2023'!$D$4:$D$1022,$B139,'август 2023'!$J$4:$J$1022,Z$1)</f>
        <v>0</v>
      </c>
      <c r="AA139" s="207">
        <f>SUMIFS('август 2023'!$G$4:$G$1022,'август 2023'!$D$4:$D$1022,$B139,'август 2023'!$J$4:$J$1022,AA$1)</f>
        <v>0</v>
      </c>
      <c r="AB139" s="207">
        <f>SUMIFS('август 2023'!$G$4:$G$1022,'август 2023'!$D$4:$D$1022,$B139,'август 2023'!$J$4:$J$1022,AB$1)</f>
        <v>0</v>
      </c>
      <c r="AC139" s="207">
        <f>SUMIFS('август 2023'!$G$4:$G$1022,'август 2023'!$D$4:$D$1022,$B139,'август 2023'!$J$4:$J$1022,AC$1)</f>
        <v>0</v>
      </c>
      <c r="AD139" s="207">
        <f>SUMIFS('август 2023'!$G$4:$G$1022,'август 2023'!$D$4:$D$1022,$B139,'август 2023'!$J$4:$J$1022,AD$1)</f>
        <v>0</v>
      </c>
      <c r="AE139" s="207">
        <f>SUMIFS('август 2023'!$G$4:$G$1022,'август 2023'!$D$4:$D$1022,$B139,'август 2023'!$J$4:$J$1022,AE$1)</f>
        <v>0</v>
      </c>
      <c r="AF139" s="207">
        <f>SUMIFS('август 2023'!$G$4:$G$1022,'август 2023'!$D$4:$D$1022,$B139,'август 2023'!$J$4:$J$1022,AF$1)</f>
        <v>0</v>
      </c>
      <c r="AG139" s="207">
        <f>SUMIFS('август 2023'!$G$4:$G$1022,'август 2023'!$D$4:$D$1022,$B139,'август 2023'!$J$4:$J$1022,AG$1)</f>
        <v>0</v>
      </c>
      <c r="AH139" s="207">
        <f>SUMIFS('август 2023'!$G$4:$G$1022,'август 2023'!$D$4:$D$1022,$B139,'август 2023'!$J$4:$J$1022,AH$1)</f>
        <v>0</v>
      </c>
      <c r="AI139" s="220">
        <f t="shared" si="3"/>
        <v>0</v>
      </c>
    </row>
    <row r="140" spans="2:35" ht="15" hidden="1" customHeight="1" x14ac:dyDescent="0.25">
      <c r="B140" s="212"/>
      <c r="C140" s="211"/>
      <c r="D140" s="207">
        <f>SUMIFS('август 2023'!$G$4:$G$1022,'август 2023'!$D$4:$D$1022,$B140,'август 2023'!$J$4:$J$1022,D$1)</f>
        <v>0</v>
      </c>
      <c r="E140" s="207">
        <f>SUMIFS('август 2023'!$G$4:$G$1022,'август 2023'!$D$4:$D$1022,$B140,'август 2023'!$J$4:$J$1022,E$1)</f>
        <v>0</v>
      </c>
      <c r="F140" s="207">
        <f>SUMIFS('август 2023'!$G$4:$G$1022,'август 2023'!$D$4:$D$1022,$B140,'август 2023'!$J$4:$J$1022,F$1)</f>
        <v>0</v>
      </c>
      <c r="G140" s="207">
        <f>SUMIFS('август 2023'!$G$4:$G$1022,'август 2023'!$D$4:$D$1022,$B140,'август 2023'!$J$4:$J$1022,G$1)</f>
        <v>0</v>
      </c>
      <c r="H140" s="207">
        <f>SUMIFS('август 2023'!$G$4:$G$1022,'август 2023'!$D$4:$D$1022,$B140,'август 2023'!$J$4:$J$1022,H$1)</f>
        <v>0</v>
      </c>
      <c r="I140" s="207">
        <f>SUMIFS('август 2023'!$G$4:$G$1022,'август 2023'!$D$4:$D$1022,$B140,'август 2023'!$J$4:$J$1022,I$1)</f>
        <v>0</v>
      </c>
      <c r="J140" s="207">
        <f>SUMIFS('август 2023'!$G$4:$G$1022,'август 2023'!$D$4:$D$1022,$B140,'август 2023'!$J$4:$J$1022,J$1)</f>
        <v>0</v>
      </c>
      <c r="K140" s="207">
        <f>SUMIFS('август 2023'!$G$4:$G$1022,'август 2023'!$D$4:$D$1022,$B140,'август 2023'!$J$4:$J$1022,K$1)</f>
        <v>0</v>
      </c>
      <c r="L140" s="207">
        <f>SUMIFS('август 2023'!$G$4:$G$1022,'август 2023'!$D$4:$D$1022,$B140,'август 2023'!$J$4:$J$1022,L$1)</f>
        <v>0</v>
      </c>
      <c r="M140" s="207">
        <f>SUMIFS('август 2023'!$G$4:$G$1022,'август 2023'!$D$4:$D$1022,$B140,'август 2023'!$J$4:$J$1022,M$1)</f>
        <v>0</v>
      </c>
      <c r="N140" s="207">
        <f>SUMIFS('август 2023'!$G$4:$G$1022,'август 2023'!$D$4:$D$1022,$B140,'август 2023'!$J$4:$J$1022,N$1)</f>
        <v>0</v>
      </c>
      <c r="O140" s="207">
        <f>SUMIFS('август 2023'!$G$4:$G$1022,'август 2023'!$D$4:$D$1022,$B140,'август 2023'!$J$4:$J$1022,O$1)</f>
        <v>0</v>
      </c>
      <c r="P140" s="207">
        <f>SUMIFS('август 2023'!$G$4:$G$1022,'август 2023'!$D$4:$D$1022,$B140,'август 2023'!$J$4:$J$1022,P$1)</f>
        <v>0</v>
      </c>
      <c r="Q140" s="207">
        <f>SUMIFS('август 2023'!$G$4:$G$1022,'август 2023'!$D$4:$D$1022,$B140,'август 2023'!$J$4:$J$1022,Q$1)</f>
        <v>0</v>
      </c>
      <c r="R140" s="207">
        <f>SUMIFS('август 2023'!$G$4:$G$1022,'август 2023'!$D$4:$D$1022,$B140,'август 2023'!$J$4:$J$1022,R$1)</f>
        <v>0</v>
      </c>
      <c r="S140" s="207">
        <f>SUMIFS('август 2023'!$G$4:$G$1022,'август 2023'!$D$4:$D$1022,$B140,'август 2023'!$J$4:$J$1022,S$1)</f>
        <v>0</v>
      </c>
      <c r="T140" s="207">
        <f>SUMIFS('август 2023'!$G$4:$G$1022,'август 2023'!$D$4:$D$1022,$B140,'август 2023'!$J$4:$J$1022,T$1)</f>
        <v>0</v>
      </c>
      <c r="U140" s="207">
        <f>SUMIFS('август 2023'!$G$4:$G$1022,'август 2023'!$D$4:$D$1022,$B140,'август 2023'!$J$4:$J$1022,U$1)</f>
        <v>0</v>
      </c>
      <c r="V140" s="207">
        <f>SUMIFS('август 2023'!$G$4:$G$1022,'август 2023'!$D$4:$D$1022,$B140,'август 2023'!$J$4:$J$1022,V$1)</f>
        <v>0</v>
      </c>
      <c r="W140" s="207">
        <f>SUMIFS('август 2023'!$G$4:$G$1022,'август 2023'!$D$4:$D$1022,$B140,'август 2023'!$J$4:$J$1022,W$1)</f>
        <v>0</v>
      </c>
      <c r="X140" s="207">
        <f>SUMIFS('август 2023'!$G$4:$G$1022,'август 2023'!$D$4:$D$1022,$B140,'август 2023'!$J$4:$J$1022,X$1)</f>
        <v>0</v>
      </c>
      <c r="Y140" s="207">
        <f>SUMIFS('август 2023'!$G$4:$G$1022,'август 2023'!$D$4:$D$1022,$B140,'август 2023'!$J$4:$J$1022,Y$1)</f>
        <v>0</v>
      </c>
      <c r="Z140" s="207">
        <f>SUMIFS('август 2023'!$G$4:$G$1022,'август 2023'!$D$4:$D$1022,$B140,'август 2023'!$J$4:$J$1022,Z$1)</f>
        <v>0</v>
      </c>
      <c r="AA140" s="207">
        <f>SUMIFS('август 2023'!$G$4:$G$1022,'август 2023'!$D$4:$D$1022,$B140,'август 2023'!$J$4:$J$1022,AA$1)</f>
        <v>0</v>
      </c>
      <c r="AB140" s="207">
        <f>SUMIFS('август 2023'!$G$4:$G$1022,'август 2023'!$D$4:$D$1022,$B140,'август 2023'!$J$4:$J$1022,AB$1)</f>
        <v>0</v>
      </c>
      <c r="AC140" s="207">
        <f>SUMIFS('август 2023'!$G$4:$G$1022,'август 2023'!$D$4:$D$1022,$B140,'август 2023'!$J$4:$J$1022,AC$1)</f>
        <v>0</v>
      </c>
      <c r="AD140" s="207">
        <f>SUMIFS('август 2023'!$G$4:$G$1022,'август 2023'!$D$4:$D$1022,$B140,'август 2023'!$J$4:$J$1022,AD$1)</f>
        <v>0</v>
      </c>
      <c r="AE140" s="207">
        <f>SUMIFS('август 2023'!$G$4:$G$1022,'август 2023'!$D$4:$D$1022,$B140,'август 2023'!$J$4:$J$1022,AE$1)</f>
        <v>0</v>
      </c>
      <c r="AF140" s="207">
        <f>SUMIFS('август 2023'!$G$4:$G$1022,'август 2023'!$D$4:$D$1022,$B140,'август 2023'!$J$4:$J$1022,AF$1)</f>
        <v>0</v>
      </c>
      <c r="AG140" s="207">
        <f>SUMIFS('август 2023'!$G$4:$G$1022,'август 2023'!$D$4:$D$1022,$B140,'август 2023'!$J$4:$J$1022,AG$1)</f>
        <v>0</v>
      </c>
      <c r="AH140" s="207">
        <f>SUMIFS('август 2023'!$G$4:$G$1022,'август 2023'!$D$4:$D$1022,$B140,'август 2023'!$J$4:$J$1022,AH$1)</f>
        <v>0</v>
      </c>
      <c r="AI140" s="220"/>
    </row>
    <row r="141" spans="2:35" ht="15" hidden="1" customHeight="1" x14ac:dyDescent="0.25">
      <c r="B141" s="212"/>
      <c r="C141" s="211"/>
      <c r="D141" s="207">
        <f>SUMIFS('август 2023'!$G$4:$G$1022,'август 2023'!$D$4:$D$1022,$B141,'август 2023'!$J$4:$J$1022,D$1)</f>
        <v>0</v>
      </c>
      <c r="E141" s="207">
        <f>SUMIFS('август 2023'!$G$4:$G$1022,'август 2023'!$D$4:$D$1022,$B141,'август 2023'!$J$4:$J$1022,E$1)</f>
        <v>0</v>
      </c>
      <c r="F141" s="207">
        <f>SUMIFS('август 2023'!$G$4:$G$1022,'август 2023'!$D$4:$D$1022,$B141,'август 2023'!$J$4:$J$1022,F$1)</f>
        <v>0</v>
      </c>
      <c r="G141" s="207">
        <f>SUMIFS('август 2023'!$G$4:$G$1022,'август 2023'!$D$4:$D$1022,$B141,'август 2023'!$J$4:$J$1022,G$1)</f>
        <v>0</v>
      </c>
      <c r="H141" s="207">
        <f>SUMIFS('август 2023'!$G$4:$G$1022,'август 2023'!$D$4:$D$1022,$B141,'август 2023'!$J$4:$J$1022,H$1)</f>
        <v>0</v>
      </c>
      <c r="I141" s="207">
        <f>SUMIFS('август 2023'!$G$4:$G$1022,'август 2023'!$D$4:$D$1022,$B141,'август 2023'!$J$4:$J$1022,I$1)</f>
        <v>0</v>
      </c>
      <c r="J141" s="207">
        <f>SUMIFS('август 2023'!$G$4:$G$1022,'август 2023'!$D$4:$D$1022,$B141,'август 2023'!$J$4:$J$1022,J$1)</f>
        <v>0</v>
      </c>
      <c r="K141" s="207">
        <f>SUMIFS('август 2023'!$G$4:$G$1022,'август 2023'!$D$4:$D$1022,$B141,'август 2023'!$J$4:$J$1022,K$1)</f>
        <v>0</v>
      </c>
      <c r="L141" s="207">
        <f>SUMIFS('август 2023'!$G$4:$G$1022,'август 2023'!$D$4:$D$1022,$B141,'август 2023'!$J$4:$J$1022,L$1)</f>
        <v>0</v>
      </c>
      <c r="M141" s="207">
        <f>SUMIFS('август 2023'!$G$4:$G$1022,'август 2023'!$D$4:$D$1022,$B141,'август 2023'!$J$4:$J$1022,M$1)</f>
        <v>0</v>
      </c>
      <c r="N141" s="207">
        <f>SUMIFS('август 2023'!$G$4:$G$1022,'август 2023'!$D$4:$D$1022,$B141,'август 2023'!$J$4:$J$1022,N$1)</f>
        <v>0</v>
      </c>
      <c r="O141" s="207">
        <f>SUMIFS('август 2023'!$G$4:$G$1022,'август 2023'!$D$4:$D$1022,$B141,'август 2023'!$J$4:$J$1022,O$1)</f>
        <v>0</v>
      </c>
      <c r="P141" s="207">
        <f>SUMIFS('август 2023'!$G$4:$G$1022,'август 2023'!$D$4:$D$1022,$B141,'август 2023'!$J$4:$J$1022,P$1)</f>
        <v>0</v>
      </c>
      <c r="Q141" s="207">
        <f>SUMIFS('август 2023'!$G$4:$G$1022,'август 2023'!$D$4:$D$1022,$B141,'август 2023'!$J$4:$J$1022,Q$1)</f>
        <v>0</v>
      </c>
      <c r="R141" s="207">
        <f>SUMIFS('август 2023'!$G$4:$G$1022,'август 2023'!$D$4:$D$1022,$B141,'август 2023'!$J$4:$J$1022,R$1)</f>
        <v>0</v>
      </c>
      <c r="S141" s="207">
        <f>SUMIFS('август 2023'!$G$4:$G$1022,'август 2023'!$D$4:$D$1022,$B141,'август 2023'!$J$4:$J$1022,S$1)</f>
        <v>0</v>
      </c>
      <c r="T141" s="207">
        <f>SUMIFS('август 2023'!$G$4:$G$1022,'август 2023'!$D$4:$D$1022,$B141,'август 2023'!$J$4:$J$1022,T$1)</f>
        <v>0</v>
      </c>
      <c r="U141" s="207">
        <f>SUMIFS('август 2023'!$G$4:$G$1022,'август 2023'!$D$4:$D$1022,$B141,'август 2023'!$J$4:$J$1022,U$1)</f>
        <v>0</v>
      </c>
      <c r="V141" s="207">
        <f>SUMIFS('август 2023'!$G$4:$G$1022,'август 2023'!$D$4:$D$1022,$B141,'август 2023'!$J$4:$J$1022,V$1)</f>
        <v>0</v>
      </c>
      <c r="W141" s="207">
        <f>SUMIFS('август 2023'!$G$4:$G$1022,'август 2023'!$D$4:$D$1022,$B141,'август 2023'!$J$4:$J$1022,W$1)</f>
        <v>0</v>
      </c>
      <c r="X141" s="207">
        <f>SUMIFS('август 2023'!$G$4:$G$1022,'август 2023'!$D$4:$D$1022,$B141,'август 2023'!$J$4:$J$1022,X$1)</f>
        <v>0</v>
      </c>
      <c r="Y141" s="207">
        <f>SUMIFS('август 2023'!$G$4:$G$1022,'август 2023'!$D$4:$D$1022,$B141,'август 2023'!$J$4:$J$1022,Y$1)</f>
        <v>0</v>
      </c>
      <c r="Z141" s="207">
        <f>SUMIFS('август 2023'!$G$4:$G$1022,'август 2023'!$D$4:$D$1022,$B141,'август 2023'!$J$4:$J$1022,Z$1)</f>
        <v>0</v>
      </c>
      <c r="AA141" s="207">
        <f>SUMIFS('август 2023'!$G$4:$G$1022,'август 2023'!$D$4:$D$1022,$B141,'август 2023'!$J$4:$J$1022,AA$1)</f>
        <v>0</v>
      </c>
      <c r="AB141" s="207">
        <f>SUMIFS('август 2023'!$G$4:$G$1022,'август 2023'!$D$4:$D$1022,$B141,'август 2023'!$J$4:$J$1022,AB$1)</f>
        <v>0</v>
      </c>
      <c r="AC141" s="207">
        <f>SUMIFS('август 2023'!$G$4:$G$1022,'август 2023'!$D$4:$D$1022,$B141,'август 2023'!$J$4:$J$1022,AC$1)</f>
        <v>0</v>
      </c>
      <c r="AD141" s="207">
        <f>SUMIFS('август 2023'!$G$4:$G$1022,'август 2023'!$D$4:$D$1022,$B141,'август 2023'!$J$4:$J$1022,AD$1)</f>
        <v>0</v>
      </c>
      <c r="AE141" s="207">
        <f>SUMIFS('август 2023'!$G$4:$G$1022,'август 2023'!$D$4:$D$1022,$B141,'август 2023'!$J$4:$J$1022,AE$1)</f>
        <v>0</v>
      </c>
      <c r="AF141" s="207">
        <f>SUMIFS('август 2023'!$G$4:$G$1022,'август 2023'!$D$4:$D$1022,$B141,'август 2023'!$J$4:$J$1022,AF$1)</f>
        <v>0</v>
      </c>
      <c r="AG141" s="207">
        <f>SUMIFS('август 2023'!$G$4:$G$1022,'август 2023'!$D$4:$D$1022,$B141,'август 2023'!$J$4:$J$1022,AG$1)</f>
        <v>0</v>
      </c>
      <c r="AH141" s="207">
        <f>SUMIFS('август 2023'!$G$4:$G$1022,'август 2023'!$D$4:$D$1022,$B141,'август 2023'!$J$4:$J$1022,AH$1)</f>
        <v>0</v>
      </c>
      <c r="AI141" s="220">
        <f t="shared" si="3"/>
        <v>0</v>
      </c>
    </row>
    <row r="142" spans="2:35" ht="15" hidden="1" customHeight="1" x14ac:dyDescent="0.25">
      <c r="B142" s="212"/>
      <c r="C142" s="211"/>
      <c r="D142" s="207">
        <f>SUMIFS('август 2023'!$G$4:$G$1022,'август 2023'!$D$4:$D$1022,$B142,'август 2023'!$J$4:$J$1022,D$1)</f>
        <v>0</v>
      </c>
      <c r="E142" s="207">
        <f>SUMIFS('август 2023'!$G$4:$G$1022,'август 2023'!$D$4:$D$1022,$B142,'август 2023'!$J$4:$J$1022,E$1)</f>
        <v>0</v>
      </c>
      <c r="F142" s="207">
        <f>SUMIFS('август 2023'!$G$4:$G$1022,'август 2023'!$D$4:$D$1022,$B142,'август 2023'!$J$4:$J$1022,F$1)</f>
        <v>0</v>
      </c>
      <c r="G142" s="207">
        <f>SUMIFS('август 2023'!$G$4:$G$1022,'август 2023'!$D$4:$D$1022,$B142,'август 2023'!$J$4:$J$1022,G$1)</f>
        <v>0</v>
      </c>
      <c r="H142" s="207">
        <f>SUMIFS('август 2023'!$G$4:$G$1022,'август 2023'!$D$4:$D$1022,$B142,'август 2023'!$J$4:$J$1022,H$1)</f>
        <v>0</v>
      </c>
      <c r="I142" s="207">
        <f>SUMIFS('август 2023'!$G$4:$G$1022,'август 2023'!$D$4:$D$1022,$B142,'август 2023'!$J$4:$J$1022,I$1)</f>
        <v>0</v>
      </c>
      <c r="J142" s="207">
        <f>SUMIFS('август 2023'!$G$4:$G$1022,'август 2023'!$D$4:$D$1022,$B142,'август 2023'!$J$4:$J$1022,J$1)</f>
        <v>0</v>
      </c>
      <c r="K142" s="207">
        <f>SUMIFS('август 2023'!$G$4:$G$1022,'август 2023'!$D$4:$D$1022,$B142,'август 2023'!$J$4:$J$1022,K$1)</f>
        <v>0</v>
      </c>
      <c r="L142" s="207">
        <f>SUMIFS('август 2023'!$G$4:$G$1022,'август 2023'!$D$4:$D$1022,$B142,'август 2023'!$J$4:$J$1022,L$1)</f>
        <v>0</v>
      </c>
      <c r="M142" s="207">
        <f>SUMIFS('август 2023'!$G$4:$G$1022,'август 2023'!$D$4:$D$1022,$B142,'август 2023'!$J$4:$J$1022,M$1)</f>
        <v>0</v>
      </c>
      <c r="N142" s="207">
        <f>SUMIFS('август 2023'!$G$4:$G$1022,'август 2023'!$D$4:$D$1022,$B142,'август 2023'!$J$4:$J$1022,N$1)</f>
        <v>0</v>
      </c>
      <c r="O142" s="207">
        <f>SUMIFS('август 2023'!$G$4:$G$1022,'август 2023'!$D$4:$D$1022,$B142,'август 2023'!$J$4:$J$1022,O$1)</f>
        <v>0</v>
      </c>
      <c r="P142" s="207">
        <f>SUMIFS('август 2023'!$G$4:$G$1022,'август 2023'!$D$4:$D$1022,$B142,'август 2023'!$J$4:$J$1022,P$1)</f>
        <v>0</v>
      </c>
      <c r="Q142" s="207">
        <f>SUMIFS('август 2023'!$G$4:$G$1022,'август 2023'!$D$4:$D$1022,$B142,'август 2023'!$J$4:$J$1022,Q$1)</f>
        <v>0</v>
      </c>
      <c r="R142" s="207">
        <f>SUMIFS('август 2023'!$G$4:$G$1022,'август 2023'!$D$4:$D$1022,$B142,'август 2023'!$J$4:$J$1022,R$1)</f>
        <v>0</v>
      </c>
      <c r="S142" s="207">
        <f>SUMIFS('август 2023'!$G$4:$G$1022,'август 2023'!$D$4:$D$1022,$B142,'август 2023'!$J$4:$J$1022,S$1)</f>
        <v>0</v>
      </c>
      <c r="T142" s="207">
        <f>SUMIFS('август 2023'!$G$4:$G$1022,'август 2023'!$D$4:$D$1022,$B142,'август 2023'!$J$4:$J$1022,T$1)</f>
        <v>0</v>
      </c>
      <c r="U142" s="207">
        <f>SUMIFS('август 2023'!$G$4:$G$1022,'август 2023'!$D$4:$D$1022,$B142,'август 2023'!$J$4:$J$1022,U$1)</f>
        <v>0</v>
      </c>
      <c r="V142" s="207">
        <f>SUMIFS('август 2023'!$G$4:$G$1022,'август 2023'!$D$4:$D$1022,$B142,'август 2023'!$J$4:$J$1022,V$1)</f>
        <v>0</v>
      </c>
      <c r="W142" s="207">
        <f>SUMIFS('август 2023'!$G$4:$G$1022,'август 2023'!$D$4:$D$1022,$B142,'август 2023'!$J$4:$J$1022,W$1)</f>
        <v>0</v>
      </c>
      <c r="X142" s="207">
        <f>SUMIFS('август 2023'!$G$4:$G$1022,'август 2023'!$D$4:$D$1022,$B142,'август 2023'!$J$4:$J$1022,X$1)</f>
        <v>0</v>
      </c>
      <c r="Y142" s="207">
        <f>SUMIFS('август 2023'!$G$4:$G$1022,'август 2023'!$D$4:$D$1022,$B142,'август 2023'!$J$4:$J$1022,Y$1)</f>
        <v>0</v>
      </c>
      <c r="Z142" s="207">
        <f>SUMIFS('август 2023'!$G$4:$G$1022,'август 2023'!$D$4:$D$1022,$B142,'август 2023'!$J$4:$J$1022,Z$1)</f>
        <v>0</v>
      </c>
      <c r="AA142" s="207">
        <f>SUMIFS('август 2023'!$G$4:$G$1022,'август 2023'!$D$4:$D$1022,$B142,'август 2023'!$J$4:$J$1022,AA$1)</f>
        <v>0</v>
      </c>
      <c r="AB142" s="207">
        <f>SUMIFS('август 2023'!$G$4:$G$1022,'август 2023'!$D$4:$D$1022,$B142,'август 2023'!$J$4:$J$1022,AB$1)</f>
        <v>0</v>
      </c>
      <c r="AC142" s="207">
        <f>SUMIFS('август 2023'!$G$4:$G$1022,'август 2023'!$D$4:$D$1022,$B142,'август 2023'!$J$4:$J$1022,AC$1)</f>
        <v>0</v>
      </c>
      <c r="AD142" s="207">
        <f>SUMIFS('август 2023'!$G$4:$G$1022,'август 2023'!$D$4:$D$1022,$B142,'август 2023'!$J$4:$J$1022,AD$1)</f>
        <v>0</v>
      </c>
      <c r="AE142" s="207">
        <f>SUMIFS('август 2023'!$G$4:$G$1022,'август 2023'!$D$4:$D$1022,$B142,'август 2023'!$J$4:$J$1022,AE$1)</f>
        <v>0</v>
      </c>
      <c r="AF142" s="207">
        <f>SUMIFS('август 2023'!$G$4:$G$1022,'август 2023'!$D$4:$D$1022,$B142,'август 2023'!$J$4:$J$1022,AF$1)</f>
        <v>0</v>
      </c>
      <c r="AG142" s="207">
        <f>SUMIFS('август 2023'!$G$4:$G$1022,'август 2023'!$D$4:$D$1022,$B142,'август 2023'!$J$4:$J$1022,AG$1)</f>
        <v>0</v>
      </c>
      <c r="AH142" s="207">
        <f>SUMIFS('август 2023'!$G$4:$G$1022,'август 2023'!$D$4:$D$1022,$B142,'август 2023'!$J$4:$J$1022,AH$1)</f>
        <v>0</v>
      </c>
      <c r="AI142" s="220">
        <f t="shared" si="3"/>
        <v>0</v>
      </c>
    </row>
    <row r="143" spans="2:35" ht="15" hidden="1" customHeight="1" x14ac:dyDescent="0.25">
      <c r="B143" s="218"/>
      <c r="C143" s="219"/>
      <c r="D143" s="207">
        <f>SUMIFS('август 2023'!$G$4:$G$1022,'август 2023'!$D$4:$D$1022,$B143,'август 2023'!$J$4:$J$1022,D$1)</f>
        <v>0</v>
      </c>
      <c r="E143" s="207">
        <f>SUMIFS('август 2023'!$G$4:$G$1022,'август 2023'!$D$4:$D$1022,$B143,'август 2023'!$J$4:$J$1022,E$1)</f>
        <v>0</v>
      </c>
      <c r="F143" s="207">
        <f>SUMIFS('август 2023'!$G$4:$G$1022,'август 2023'!$D$4:$D$1022,$B143,'август 2023'!$J$4:$J$1022,F$1)</f>
        <v>0</v>
      </c>
      <c r="G143" s="207">
        <f>SUMIFS('август 2023'!$G$4:$G$1022,'август 2023'!$D$4:$D$1022,$B143,'август 2023'!$J$4:$J$1022,G$1)</f>
        <v>0</v>
      </c>
      <c r="H143" s="207">
        <f>SUMIFS('август 2023'!$G$4:$G$1022,'август 2023'!$D$4:$D$1022,$B143,'август 2023'!$J$4:$J$1022,H$1)</f>
        <v>0</v>
      </c>
      <c r="I143" s="207">
        <f>SUMIFS('август 2023'!$G$4:$G$1022,'август 2023'!$D$4:$D$1022,$B143,'август 2023'!$J$4:$J$1022,I$1)</f>
        <v>0</v>
      </c>
      <c r="J143" s="207">
        <f>SUMIFS('август 2023'!$G$4:$G$1022,'август 2023'!$D$4:$D$1022,$B143,'август 2023'!$J$4:$J$1022,J$1)</f>
        <v>0</v>
      </c>
      <c r="K143" s="207">
        <f>SUMIFS('август 2023'!$G$4:$G$1022,'август 2023'!$D$4:$D$1022,$B143,'август 2023'!$J$4:$J$1022,K$1)</f>
        <v>0</v>
      </c>
      <c r="L143" s="207">
        <f>SUMIFS('август 2023'!$G$4:$G$1022,'август 2023'!$D$4:$D$1022,$B143,'август 2023'!$J$4:$J$1022,L$1)</f>
        <v>0</v>
      </c>
      <c r="M143" s="207">
        <f>SUMIFS('август 2023'!$G$4:$G$1022,'август 2023'!$D$4:$D$1022,$B143,'август 2023'!$J$4:$J$1022,M$1)</f>
        <v>0</v>
      </c>
      <c r="N143" s="207">
        <f>SUMIFS('август 2023'!$G$4:$G$1022,'август 2023'!$D$4:$D$1022,$B143,'август 2023'!$J$4:$J$1022,N$1)</f>
        <v>0</v>
      </c>
      <c r="O143" s="207">
        <f>SUMIFS('август 2023'!$G$4:$G$1022,'август 2023'!$D$4:$D$1022,$B143,'август 2023'!$J$4:$J$1022,O$1)</f>
        <v>0</v>
      </c>
      <c r="P143" s="207">
        <f>SUMIFS('август 2023'!$G$4:$G$1022,'август 2023'!$D$4:$D$1022,$B143,'август 2023'!$J$4:$J$1022,P$1)</f>
        <v>0</v>
      </c>
      <c r="Q143" s="207">
        <f>SUMIFS('август 2023'!$G$4:$G$1022,'август 2023'!$D$4:$D$1022,$B143,'август 2023'!$J$4:$J$1022,Q$1)</f>
        <v>0</v>
      </c>
      <c r="R143" s="207">
        <f>SUMIFS('август 2023'!$G$4:$G$1022,'август 2023'!$D$4:$D$1022,$B143,'август 2023'!$J$4:$J$1022,R$1)</f>
        <v>0</v>
      </c>
      <c r="S143" s="207">
        <f>SUMIFS('август 2023'!$G$4:$G$1022,'август 2023'!$D$4:$D$1022,$B143,'август 2023'!$J$4:$J$1022,S$1)</f>
        <v>0</v>
      </c>
      <c r="T143" s="207">
        <f>SUMIFS('август 2023'!$G$4:$G$1022,'август 2023'!$D$4:$D$1022,$B143,'август 2023'!$J$4:$J$1022,T$1)</f>
        <v>0</v>
      </c>
      <c r="U143" s="207">
        <f>SUMIFS('август 2023'!$G$4:$G$1022,'август 2023'!$D$4:$D$1022,$B143,'август 2023'!$J$4:$J$1022,U$1)</f>
        <v>0</v>
      </c>
      <c r="V143" s="207">
        <f>SUMIFS('август 2023'!$G$4:$G$1022,'август 2023'!$D$4:$D$1022,$B143,'август 2023'!$J$4:$J$1022,V$1)</f>
        <v>0</v>
      </c>
      <c r="W143" s="207">
        <f>SUMIFS('август 2023'!$G$4:$G$1022,'август 2023'!$D$4:$D$1022,$B143,'август 2023'!$J$4:$J$1022,W$1)</f>
        <v>0</v>
      </c>
      <c r="X143" s="207">
        <f>SUMIFS('август 2023'!$G$4:$G$1022,'август 2023'!$D$4:$D$1022,$B143,'август 2023'!$J$4:$J$1022,X$1)</f>
        <v>0</v>
      </c>
      <c r="Y143" s="207">
        <f>SUMIFS('август 2023'!$G$4:$G$1022,'август 2023'!$D$4:$D$1022,$B143,'август 2023'!$J$4:$J$1022,Y$1)</f>
        <v>0</v>
      </c>
      <c r="Z143" s="207">
        <f>SUMIFS('август 2023'!$G$4:$G$1022,'август 2023'!$D$4:$D$1022,$B143,'август 2023'!$J$4:$J$1022,Z$1)</f>
        <v>0</v>
      </c>
      <c r="AA143" s="207">
        <f>SUMIFS('август 2023'!$G$4:$G$1022,'август 2023'!$D$4:$D$1022,$B143,'август 2023'!$J$4:$J$1022,AA$1)</f>
        <v>0</v>
      </c>
      <c r="AB143" s="207">
        <f>SUMIFS('август 2023'!$G$4:$G$1022,'август 2023'!$D$4:$D$1022,$B143,'август 2023'!$J$4:$J$1022,AB$1)</f>
        <v>0</v>
      </c>
      <c r="AC143" s="207">
        <f>SUMIFS('август 2023'!$G$4:$G$1022,'август 2023'!$D$4:$D$1022,$B143,'август 2023'!$J$4:$J$1022,AC$1)</f>
        <v>0</v>
      </c>
      <c r="AD143" s="207">
        <f>SUMIFS('август 2023'!$G$4:$G$1022,'август 2023'!$D$4:$D$1022,$B143,'август 2023'!$J$4:$J$1022,AD$1)</f>
        <v>0</v>
      </c>
      <c r="AE143" s="207">
        <f>SUMIFS('август 2023'!$G$4:$G$1022,'август 2023'!$D$4:$D$1022,$B143,'август 2023'!$J$4:$J$1022,AE$1)</f>
        <v>0</v>
      </c>
      <c r="AF143" s="207">
        <f>SUMIFS('август 2023'!$G$4:$G$1022,'август 2023'!$D$4:$D$1022,$B143,'август 2023'!$J$4:$J$1022,AF$1)</f>
        <v>0</v>
      </c>
      <c r="AG143" s="207">
        <f>SUMIFS('август 2023'!$G$4:$G$1022,'август 2023'!$D$4:$D$1022,$B143,'август 2023'!$J$4:$J$1022,AG$1)</f>
        <v>0</v>
      </c>
      <c r="AH143" s="207">
        <f>SUMIFS('август 2023'!$G$4:$G$1022,'август 2023'!$D$4:$D$1022,$B143,'август 2023'!$J$4:$J$1022,AH$1)</f>
        <v>0</v>
      </c>
      <c r="AI143" s="220">
        <f t="shared" si="3"/>
        <v>0</v>
      </c>
    </row>
    <row r="144" spans="2:35" ht="15" hidden="1" customHeight="1" x14ac:dyDescent="0.25">
      <c r="B144" s="212"/>
      <c r="C144" s="213"/>
      <c r="D144" s="207">
        <f>SUMIFS('август 2023'!$G$4:$G$1022,'август 2023'!$D$4:$D$1022,$B144,'август 2023'!$J$4:$J$1022,D$1)</f>
        <v>0</v>
      </c>
      <c r="E144" s="207">
        <f>SUMIFS('август 2023'!$G$4:$G$1022,'август 2023'!$D$4:$D$1022,$B144,'август 2023'!$J$4:$J$1022,E$1)</f>
        <v>0</v>
      </c>
      <c r="F144" s="207">
        <f>SUMIFS('август 2023'!$G$4:$G$1022,'август 2023'!$D$4:$D$1022,$B144,'август 2023'!$J$4:$J$1022,F$1)</f>
        <v>0</v>
      </c>
      <c r="G144" s="207">
        <f>SUMIFS('август 2023'!$G$4:$G$1022,'август 2023'!$D$4:$D$1022,$B144,'август 2023'!$J$4:$J$1022,G$1)</f>
        <v>0</v>
      </c>
      <c r="H144" s="207">
        <f>SUMIFS('август 2023'!$G$4:$G$1022,'август 2023'!$D$4:$D$1022,$B144,'август 2023'!$J$4:$J$1022,H$1)</f>
        <v>0</v>
      </c>
      <c r="I144" s="207">
        <f>SUMIFS('август 2023'!$G$4:$G$1022,'август 2023'!$D$4:$D$1022,$B144,'август 2023'!$J$4:$J$1022,I$1)</f>
        <v>0</v>
      </c>
      <c r="J144" s="207">
        <f>SUMIFS('август 2023'!$G$4:$G$1022,'август 2023'!$D$4:$D$1022,$B144,'август 2023'!$J$4:$J$1022,J$1)</f>
        <v>0</v>
      </c>
      <c r="K144" s="207">
        <f>SUMIFS('август 2023'!$G$4:$G$1022,'август 2023'!$D$4:$D$1022,$B144,'август 2023'!$J$4:$J$1022,K$1)</f>
        <v>0</v>
      </c>
      <c r="L144" s="207">
        <f>SUMIFS('август 2023'!$G$4:$G$1022,'август 2023'!$D$4:$D$1022,$B144,'август 2023'!$J$4:$J$1022,L$1)</f>
        <v>0</v>
      </c>
      <c r="M144" s="207">
        <f>SUMIFS('август 2023'!$G$4:$G$1022,'август 2023'!$D$4:$D$1022,$B144,'август 2023'!$J$4:$J$1022,M$1)</f>
        <v>0</v>
      </c>
      <c r="N144" s="207">
        <f>SUMIFS('август 2023'!$G$4:$G$1022,'август 2023'!$D$4:$D$1022,$B144,'август 2023'!$J$4:$J$1022,N$1)</f>
        <v>0</v>
      </c>
      <c r="O144" s="207">
        <f>SUMIFS('август 2023'!$G$4:$G$1022,'август 2023'!$D$4:$D$1022,$B144,'август 2023'!$J$4:$J$1022,O$1)</f>
        <v>0</v>
      </c>
      <c r="P144" s="207">
        <f>SUMIFS('август 2023'!$G$4:$G$1022,'август 2023'!$D$4:$D$1022,$B144,'август 2023'!$J$4:$J$1022,P$1)</f>
        <v>0</v>
      </c>
      <c r="Q144" s="207">
        <f>SUMIFS('август 2023'!$G$4:$G$1022,'август 2023'!$D$4:$D$1022,$B144,'август 2023'!$J$4:$J$1022,Q$1)</f>
        <v>0</v>
      </c>
      <c r="R144" s="207">
        <f>SUMIFS('август 2023'!$G$4:$G$1022,'август 2023'!$D$4:$D$1022,$B144,'август 2023'!$J$4:$J$1022,R$1)</f>
        <v>0</v>
      </c>
      <c r="S144" s="207">
        <f>SUMIFS('август 2023'!$G$4:$G$1022,'август 2023'!$D$4:$D$1022,$B144,'август 2023'!$J$4:$J$1022,S$1)</f>
        <v>0</v>
      </c>
      <c r="T144" s="207">
        <f>SUMIFS('август 2023'!$G$4:$G$1022,'август 2023'!$D$4:$D$1022,$B144,'август 2023'!$J$4:$J$1022,T$1)</f>
        <v>0</v>
      </c>
      <c r="U144" s="207">
        <f>SUMIFS('август 2023'!$G$4:$G$1022,'август 2023'!$D$4:$D$1022,$B144,'август 2023'!$J$4:$J$1022,U$1)</f>
        <v>0</v>
      </c>
      <c r="V144" s="207">
        <f>SUMIFS('август 2023'!$G$4:$G$1022,'август 2023'!$D$4:$D$1022,$B144,'август 2023'!$J$4:$J$1022,V$1)</f>
        <v>0</v>
      </c>
      <c r="W144" s="207">
        <f>SUMIFS('август 2023'!$G$4:$G$1022,'август 2023'!$D$4:$D$1022,$B144,'август 2023'!$J$4:$J$1022,W$1)</f>
        <v>0</v>
      </c>
      <c r="X144" s="207">
        <f>SUMIFS('август 2023'!$G$4:$G$1022,'август 2023'!$D$4:$D$1022,$B144,'август 2023'!$J$4:$J$1022,X$1)</f>
        <v>0</v>
      </c>
      <c r="Y144" s="207">
        <f>SUMIFS('август 2023'!$G$4:$G$1022,'август 2023'!$D$4:$D$1022,$B144,'август 2023'!$J$4:$J$1022,Y$1)</f>
        <v>0</v>
      </c>
      <c r="Z144" s="207">
        <f>SUMIFS('август 2023'!$G$4:$G$1022,'август 2023'!$D$4:$D$1022,$B144,'август 2023'!$J$4:$J$1022,Z$1)</f>
        <v>0</v>
      </c>
      <c r="AA144" s="207">
        <f>SUMIFS('август 2023'!$G$4:$G$1022,'август 2023'!$D$4:$D$1022,$B144,'август 2023'!$J$4:$J$1022,AA$1)</f>
        <v>0</v>
      </c>
      <c r="AB144" s="207">
        <f>SUMIFS('август 2023'!$G$4:$G$1022,'август 2023'!$D$4:$D$1022,$B144,'август 2023'!$J$4:$J$1022,AB$1)</f>
        <v>0</v>
      </c>
      <c r="AC144" s="207">
        <f>SUMIFS('август 2023'!$G$4:$G$1022,'август 2023'!$D$4:$D$1022,$B144,'август 2023'!$J$4:$J$1022,AC$1)</f>
        <v>0</v>
      </c>
      <c r="AD144" s="207">
        <f>SUMIFS('август 2023'!$G$4:$G$1022,'август 2023'!$D$4:$D$1022,$B144,'август 2023'!$J$4:$J$1022,AD$1)</f>
        <v>0</v>
      </c>
      <c r="AE144" s="207">
        <f>SUMIFS('август 2023'!$G$4:$G$1022,'август 2023'!$D$4:$D$1022,$B144,'август 2023'!$J$4:$J$1022,AE$1)</f>
        <v>0</v>
      </c>
      <c r="AF144" s="207">
        <f>SUMIFS('август 2023'!$G$4:$G$1022,'август 2023'!$D$4:$D$1022,$B144,'август 2023'!$J$4:$J$1022,AF$1)</f>
        <v>0</v>
      </c>
      <c r="AG144" s="207">
        <f>SUMIFS('август 2023'!$G$4:$G$1022,'август 2023'!$D$4:$D$1022,$B144,'август 2023'!$J$4:$J$1022,AG$1)</f>
        <v>0</v>
      </c>
      <c r="AH144" s="207">
        <f>SUMIFS('август 2023'!$G$4:$G$1022,'август 2023'!$D$4:$D$1022,$B144,'август 2023'!$J$4:$J$1022,AH$1)</f>
        <v>0</v>
      </c>
      <c r="AI144" s="220">
        <f t="shared" si="3"/>
        <v>0</v>
      </c>
    </row>
    <row r="145" spans="2:35" ht="15" hidden="1" customHeight="1" x14ac:dyDescent="0.25">
      <c r="B145" s="212"/>
      <c r="C145" s="211"/>
      <c r="D145" s="207">
        <f>SUMIFS('август 2023'!$G$4:$G$1022,'август 2023'!$D$4:$D$1022,$B145,'август 2023'!$J$4:$J$1022,D$1)</f>
        <v>0</v>
      </c>
      <c r="E145" s="207">
        <f>SUMIFS('август 2023'!$G$4:$G$1022,'август 2023'!$D$4:$D$1022,$B145,'август 2023'!$J$4:$J$1022,E$1)</f>
        <v>0</v>
      </c>
      <c r="F145" s="207">
        <f>SUMIFS('август 2023'!$G$4:$G$1022,'август 2023'!$D$4:$D$1022,$B145,'август 2023'!$J$4:$J$1022,F$1)</f>
        <v>0</v>
      </c>
      <c r="G145" s="207">
        <f>SUMIFS('август 2023'!$G$4:$G$1022,'август 2023'!$D$4:$D$1022,$B145,'август 2023'!$J$4:$J$1022,G$1)</f>
        <v>0</v>
      </c>
      <c r="H145" s="207">
        <f>SUMIFS('август 2023'!$G$4:$G$1022,'август 2023'!$D$4:$D$1022,$B145,'август 2023'!$J$4:$J$1022,H$1)</f>
        <v>0</v>
      </c>
      <c r="I145" s="207">
        <f>SUMIFS('август 2023'!$G$4:$G$1022,'август 2023'!$D$4:$D$1022,$B145,'август 2023'!$J$4:$J$1022,I$1)</f>
        <v>0</v>
      </c>
      <c r="J145" s="207">
        <f>SUMIFS('август 2023'!$G$4:$G$1022,'август 2023'!$D$4:$D$1022,$B145,'август 2023'!$J$4:$J$1022,J$1)</f>
        <v>0</v>
      </c>
      <c r="K145" s="207">
        <f>SUMIFS('август 2023'!$G$4:$G$1022,'август 2023'!$D$4:$D$1022,$B145,'август 2023'!$J$4:$J$1022,K$1)</f>
        <v>0</v>
      </c>
      <c r="L145" s="207">
        <f>SUMIFS('август 2023'!$G$4:$G$1022,'август 2023'!$D$4:$D$1022,$B145,'август 2023'!$J$4:$J$1022,L$1)</f>
        <v>0</v>
      </c>
      <c r="M145" s="207">
        <f>SUMIFS('август 2023'!$G$4:$G$1022,'август 2023'!$D$4:$D$1022,$B145,'август 2023'!$J$4:$J$1022,M$1)</f>
        <v>0</v>
      </c>
      <c r="N145" s="207">
        <f>SUMIFS('август 2023'!$G$4:$G$1022,'август 2023'!$D$4:$D$1022,$B145,'август 2023'!$J$4:$J$1022,N$1)</f>
        <v>0</v>
      </c>
      <c r="O145" s="207">
        <f>SUMIFS('август 2023'!$G$4:$G$1022,'август 2023'!$D$4:$D$1022,$B145,'август 2023'!$J$4:$J$1022,O$1)</f>
        <v>0</v>
      </c>
      <c r="P145" s="207">
        <f>SUMIFS('август 2023'!$G$4:$G$1022,'август 2023'!$D$4:$D$1022,$B145,'август 2023'!$J$4:$J$1022,P$1)</f>
        <v>0</v>
      </c>
      <c r="Q145" s="207">
        <f>SUMIFS('август 2023'!$G$4:$G$1022,'август 2023'!$D$4:$D$1022,$B145,'август 2023'!$J$4:$J$1022,Q$1)</f>
        <v>0</v>
      </c>
      <c r="R145" s="207">
        <f>SUMIFS('август 2023'!$G$4:$G$1022,'август 2023'!$D$4:$D$1022,$B145,'август 2023'!$J$4:$J$1022,R$1)</f>
        <v>0</v>
      </c>
      <c r="S145" s="207">
        <f>SUMIFS('август 2023'!$G$4:$G$1022,'август 2023'!$D$4:$D$1022,$B145,'август 2023'!$J$4:$J$1022,S$1)</f>
        <v>0</v>
      </c>
      <c r="T145" s="207">
        <f>SUMIFS('август 2023'!$G$4:$G$1022,'август 2023'!$D$4:$D$1022,$B145,'август 2023'!$J$4:$J$1022,T$1)</f>
        <v>0</v>
      </c>
      <c r="U145" s="207">
        <f>SUMIFS('август 2023'!$G$4:$G$1022,'август 2023'!$D$4:$D$1022,$B145,'август 2023'!$J$4:$J$1022,U$1)</f>
        <v>0</v>
      </c>
      <c r="V145" s="207">
        <f>SUMIFS('август 2023'!$G$4:$G$1022,'август 2023'!$D$4:$D$1022,$B145,'август 2023'!$J$4:$J$1022,V$1)</f>
        <v>0</v>
      </c>
      <c r="W145" s="207">
        <f>SUMIFS('август 2023'!$G$4:$G$1022,'август 2023'!$D$4:$D$1022,$B145,'август 2023'!$J$4:$J$1022,W$1)</f>
        <v>0</v>
      </c>
      <c r="X145" s="207">
        <f>SUMIFS('август 2023'!$G$4:$G$1022,'август 2023'!$D$4:$D$1022,$B145,'август 2023'!$J$4:$J$1022,X$1)</f>
        <v>0</v>
      </c>
      <c r="Y145" s="207">
        <f>SUMIFS('август 2023'!$G$4:$G$1022,'август 2023'!$D$4:$D$1022,$B145,'август 2023'!$J$4:$J$1022,Y$1)</f>
        <v>0</v>
      </c>
      <c r="Z145" s="207">
        <f>SUMIFS('август 2023'!$G$4:$G$1022,'август 2023'!$D$4:$D$1022,$B145,'август 2023'!$J$4:$J$1022,Z$1)</f>
        <v>0</v>
      </c>
      <c r="AA145" s="207">
        <f>SUMIFS('август 2023'!$G$4:$G$1022,'август 2023'!$D$4:$D$1022,$B145,'август 2023'!$J$4:$J$1022,AA$1)</f>
        <v>0</v>
      </c>
      <c r="AB145" s="207">
        <f>SUMIFS('август 2023'!$G$4:$G$1022,'август 2023'!$D$4:$D$1022,$B145,'август 2023'!$J$4:$J$1022,AB$1)</f>
        <v>0</v>
      </c>
      <c r="AC145" s="207">
        <f>SUMIFS('август 2023'!$G$4:$G$1022,'август 2023'!$D$4:$D$1022,$B145,'август 2023'!$J$4:$J$1022,AC$1)</f>
        <v>0</v>
      </c>
      <c r="AD145" s="207">
        <f>SUMIFS('август 2023'!$G$4:$G$1022,'август 2023'!$D$4:$D$1022,$B145,'август 2023'!$J$4:$J$1022,AD$1)</f>
        <v>0</v>
      </c>
      <c r="AE145" s="207">
        <f>SUMIFS('август 2023'!$G$4:$G$1022,'август 2023'!$D$4:$D$1022,$B145,'август 2023'!$J$4:$J$1022,AE$1)</f>
        <v>0</v>
      </c>
      <c r="AF145" s="207">
        <f>SUMIFS('август 2023'!$G$4:$G$1022,'август 2023'!$D$4:$D$1022,$B145,'август 2023'!$J$4:$J$1022,AF$1)</f>
        <v>0</v>
      </c>
      <c r="AG145" s="207">
        <f>SUMIFS('август 2023'!$G$4:$G$1022,'август 2023'!$D$4:$D$1022,$B145,'август 2023'!$J$4:$J$1022,AG$1)</f>
        <v>0</v>
      </c>
      <c r="AH145" s="207">
        <f>SUMIFS('август 2023'!$G$4:$G$1022,'август 2023'!$D$4:$D$1022,$B145,'август 2023'!$J$4:$J$1022,AH$1)</f>
        <v>0</v>
      </c>
      <c r="AI145" s="220">
        <f t="shared" si="3"/>
        <v>0</v>
      </c>
    </row>
    <row r="146" spans="2:35" ht="15" hidden="1" customHeight="1" x14ac:dyDescent="0.25">
      <c r="B146" s="212"/>
      <c r="C146" s="211"/>
      <c r="D146" s="207">
        <f>SUMIFS('август 2023'!$G$4:$G$1022,'август 2023'!$D$4:$D$1022,$B146,'август 2023'!$J$4:$J$1022,D$1)</f>
        <v>0</v>
      </c>
      <c r="E146" s="207">
        <f>SUMIFS('август 2023'!$G$4:$G$1022,'август 2023'!$D$4:$D$1022,$B146,'август 2023'!$J$4:$J$1022,E$1)</f>
        <v>0</v>
      </c>
      <c r="F146" s="207">
        <f>SUMIFS('август 2023'!$G$4:$G$1022,'август 2023'!$D$4:$D$1022,$B146,'август 2023'!$J$4:$J$1022,F$1)</f>
        <v>0</v>
      </c>
      <c r="G146" s="207">
        <f>SUMIFS('август 2023'!$G$4:$G$1022,'август 2023'!$D$4:$D$1022,$B146,'август 2023'!$J$4:$J$1022,G$1)</f>
        <v>0</v>
      </c>
      <c r="H146" s="207">
        <f>SUMIFS('август 2023'!$G$4:$G$1022,'август 2023'!$D$4:$D$1022,$B146,'август 2023'!$J$4:$J$1022,H$1)</f>
        <v>0</v>
      </c>
      <c r="I146" s="207">
        <f>SUMIFS('август 2023'!$G$4:$G$1022,'август 2023'!$D$4:$D$1022,$B146,'август 2023'!$J$4:$J$1022,I$1)</f>
        <v>0</v>
      </c>
      <c r="J146" s="207">
        <f>SUMIFS('август 2023'!$G$4:$G$1022,'август 2023'!$D$4:$D$1022,$B146,'август 2023'!$J$4:$J$1022,J$1)</f>
        <v>0</v>
      </c>
      <c r="K146" s="207">
        <f>SUMIFS('август 2023'!$G$4:$G$1022,'август 2023'!$D$4:$D$1022,$B146,'август 2023'!$J$4:$J$1022,K$1)</f>
        <v>0</v>
      </c>
      <c r="L146" s="207">
        <f>SUMIFS('август 2023'!$G$4:$G$1022,'август 2023'!$D$4:$D$1022,$B146,'август 2023'!$J$4:$J$1022,L$1)</f>
        <v>0</v>
      </c>
      <c r="M146" s="207">
        <f>SUMIFS('август 2023'!$G$4:$G$1022,'август 2023'!$D$4:$D$1022,$B146,'август 2023'!$J$4:$J$1022,M$1)</f>
        <v>0</v>
      </c>
      <c r="N146" s="207">
        <f>SUMIFS('август 2023'!$G$4:$G$1022,'август 2023'!$D$4:$D$1022,$B146,'август 2023'!$J$4:$J$1022,N$1)</f>
        <v>0</v>
      </c>
      <c r="O146" s="207">
        <f>SUMIFS('август 2023'!$G$4:$G$1022,'август 2023'!$D$4:$D$1022,$B146,'август 2023'!$J$4:$J$1022,O$1)</f>
        <v>0</v>
      </c>
      <c r="P146" s="207">
        <f>SUMIFS('август 2023'!$G$4:$G$1022,'август 2023'!$D$4:$D$1022,$B146,'август 2023'!$J$4:$J$1022,P$1)</f>
        <v>0</v>
      </c>
      <c r="Q146" s="207">
        <f>SUMIFS('август 2023'!$G$4:$G$1022,'август 2023'!$D$4:$D$1022,$B146,'август 2023'!$J$4:$J$1022,Q$1)</f>
        <v>0</v>
      </c>
      <c r="R146" s="207">
        <f>SUMIFS('август 2023'!$G$4:$G$1022,'август 2023'!$D$4:$D$1022,$B146,'август 2023'!$J$4:$J$1022,R$1)</f>
        <v>0</v>
      </c>
      <c r="S146" s="207">
        <f>SUMIFS('август 2023'!$G$4:$G$1022,'август 2023'!$D$4:$D$1022,$B146,'август 2023'!$J$4:$J$1022,S$1)</f>
        <v>0</v>
      </c>
      <c r="T146" s="207">
        <f>SUMIFS('август 2023'!$G$4:$G$1022,'август 2023'!$D$4:$D$1022,$B146,'август 2023'!$J$4:$J$1022,T$1)</f>
        <v>0</v>
      </c>
      <c r="U146" s="207">
        <f>SUMIFS('август 2023'!$G$4:$G$1022,'август 2023'!$D$4:$D$1022,$B146,'август 2023'!$J$4:$J$1022,U$1)</f>
        <v>0</v>
      </c>
      <c r="V146" s="207">
        <f>SUMIFS('август 2023'!$G$4:$G$1022,'август 2023'!$D$4:$D$1022,$B146,'август 2023'!$J$4:$J$1022,V$1)</f>
        <v>0</v>
      </c>
      <c r="W146" s="207">
        <f>SUMIFS('август 2023'!$G$4:$G$1022,'август 2023'!$D$4:$D$1022,$B146,'август 2023'!$J$4:$J$1022,W$1)</f>
        <v>0</v>
      </c>
      <c r="X146" s="207">
        <f>SUMIFS('август 2023'!$G$4:$G$1022,'август 2023'!$D$4:$D$1022,$B146,'август 2023'!$J$4:$J$1022,X$1)</f>
        <v>0</v>
      </c>
      <c r="Y146" s="207">
        <f>SUMIFS('август 2023'!$G$4:$G$1022,'август 2023'!$D$4:$D$1022,$B146,'август 2023'!$J$4:$J$1022,Y$1)</f>
        <v>0</v>
      </c>
      <c r="Z146" s="207">
        <f>SUMIFS('август 2023'!$G$4:$G$1022,'август 2023'!$D$4:$D$1022,$B146,'август 2023'!$J$4:$J$1022,Z$1)</f>
        <v>0</v>
      </c>
      <c r="AA146" s="207">
        <f>SUMIFS('август 2023'!$G$4:$G$1022,'август 2023'!$D$4:$D$1022,$B146,'август 2023'!$J$4:$J$1022,AA$1)</f>
        <v>0</v>
      </c>
      <c r="AB146" s="207">
        <f>SUMIFS('август 2023'!$G$4:$G$1022,'август 2023'!$D$4:$D$1022,$B146,'август 2023'!$J$4:$J$1022,AB$1)</f>
        <v>0</v>
      </c>
      <c r="AC146" s="207">
        <f>SUMIFS('август 2023'!$G$4:$G$1022,'август 2023'!$D$4:$D$1022,$B146,'август 2023'!$J$4:$J$1022,AC$1)</f>
        <v>0</v>
      </c>
      <c r="AD146" s="207">
        <f>SUMIFS('август 2023'!$G$4:$G$1022,'август 2023'!$D$4:$D$1022,$B146,'август 2023'!$J$4:$J$1022,AD$1)</f>
        <v>0</v>
      </c>
      <c r="AE146" s="207">
        <f>SUMIFS('август 2023'!$G$4:$G$1022,'август 2023'!$D$4:$D$1022,$B146,'август 2023'!$J$4:$J$1022,AE$1)</f>
        <v>0</v>
      </c>
      <c r="AF146" s="207">
        <f>SUMIFS('август 2023'!$G$4:$G$1022,'август 2023'!$D$4:$D$1022,$B146,'август 2023'!$J$4:$J$1022,AF$1)</f>
        <v>0</v>
      </c>
      <c r="AG146" s="207">
        <f>SUMIFS('август 2023'!$G$4:$G$1022,'август 2023'!$D$4:$D$1022,$B146,'август 2023'!$J$4:$J$1022,AG$1)</f>
        <v>0</v>
      </c>
      <c r="AH146" s="207">
        <f>SUMIFS('август 2023'!$G$4:$G$1022,'август 2023'!$D$4:$D$1022,$B146,'август 2023'!$J$4:$J$1022,AH$1)</f>
        <v>0</v>
      </c>
      <c r="AI146" s="220">
        <f t="shared" si="3"/>
        <v>0</v>
      </c>
    </row>
    <row r="147" spans="2:35" ht="15" hidden="1" customHeight="1" x14ac:dyDescent="0.25">
      <c r="B147" s="212"/>
      <c r="C147" s="215"/>
      <c r="D147" s="207">
        <f>SUMIFS('август 2023'!$G$4:$G$1022,'август 2023'!$D$4:$D$1022,$B147,'август 2023'!$J$4:$J$1022,D$1)</f>
        <v>0</v>
      </c>
      <c r="E147" s="207">
        <f>SUMIFS('август 2023'!$G$4:$G$1022,'август 2023'!$D$4:$D$1022,$B147,'август 2023'!$J$4:$J$1022,E$1)</f>
        <v>0</v>
      </c>
      <c r="F147" s="207">
        <f>SUMIFS('август 2023'!$G$4:$G$1022,'август 2023'!$D$4:$D$1022,$B147,'август 2023'!$J$4:$J$1022,F$1)</f>
        <v>0</v>
      </c>
      <c r="G147" s="207">
        <f>SUMIFS('август 2023'!$G$4:$G$1022,'август 2023'!$D$4:$D$1022,$B147,'август 2023'!$J$4:$J$1022,G$1)</f>
        <v>0</v>
      </c>
      <c r="H147" s="207">
        <f>SUMIFS('август 2023'!$G$4:$G$1022,'август 2023'!$D$4:$D$1022,$B147,'август 2023'!$J$4:$J$1022,H$1)</f>
        <v>0</v>
      </c>
      <c r="I147" s="207">
        <f>SUMIFS('август 2023'!$G$4:$G$1022,'август 2023'!$D$4:$D$1022,$B147,'август 2023'!$J$4:$J$1022,I$1)</f>
        <v>0</v>
      </c>
      <c r="J147" s="207">
        <f>SUMIFS('август 2023'!$G$4:$G$1022,'август 2023'!$D$4:$D$1022,$B147,'август 2023'!$J$4:$J$1022,J$1)</f>
        <v>0</v>
      </c>
      <c r="K147" s="207">
        <f>SUMIFS('август 2023'!$G$4:$G$1022,'август 2023'!$D$4:$D$1022,$B147,'август 2023'!$J$4:$J$1022,K$1)</f>
        <v>0</v>
      </c>
      <c r="L147" s="207">
        <f>SUMIFS('август 2023'!$G$4:$G$1022,'август 2023'!$D$4:$D$1022,$B147,'август 2023'!$J$4:$J$1022,L$1)</f>
        <v>0</v>
      </c>
      <c r="M147" s="207">
        <f>SUMIFS('август 2023'!$G$4:$G$1022,'август 2023'!$D$4:$D$1022,$B147,'август 2023'!$J$4:$J$1022,M$1)</f>
        <v>0</v>
      </c>
      <c r="N147" s="207">
        <f>SUMIFS('август 2023'!$G$4:$G$1022,'август 2023'!$D$4:$D$1022,$B147,'август 2023'!$J$4:$J$1022,N$1)</f>
        <v>0</v>
      </c>
      <c r="O147" s="207">
        <f>SUMIFS('август 2023'!$G$4:$G$1022,'август 2023'!$D$4:$D$1022,$B147,'август 2023'!$J$4:$J$1022,O$1)</f>
        <v>0</v>
      </c>
      <c r="P147" s="207">
        <f>SUMIFS('август 2023'!$G$4:$G$1022,'август 2023'!$D$4:$D$1022,$B147,'август 2023'!$J$4:$J$1022,P$1)</f>
        <v>0</v>
      </c>
      <c r="Q147" s="207">
        <f>SUMIFS('август 2023'!$G$4:$G$1022,'август 2023'!$D$4:$D$1022,$B147,'август 2023'!$J$4:$J$1022,Q$1)</f>
        <v>0</v>
      </c>
      <c r="R147" s="207">
        <f>SUMIFS('август 2023'!$G$4:$G$1022,'август 2023'!$D$4:$D$1022,$B147,'август 2023'!$J$4:$J$1022,R$1)</f>
        <v>0</v>
      </c>
      <c r="S147" s="207">
        <f>SUMIFS('август 2023'!$G$4:$G$1022,'август 2023'!$D$4:$D$1022,$B147,'август 2023'!$J$4:$J$1022,S$1)</f>
        <v>0</v>
      </c>
      <c r="T147" s="207">
        <f>SUMIFS('август 2023'!$G$4:$G$1022,'август 2023'!$D$4:$D$1022,$B147,'август 2023'!$J$4:$J$1022,T$1)</f>
        <v>0</v>
      </c>
      <c r="U147" s="207">
        <f>SUMIFS('август 2023'!$G$4:$G$1022,'август 2023'!$D$4:$D$1022,$B147,'август 2023'!$J$4:$J$1022,U$1)</f>
        <v>0</v>
      </c>
      <c r="V147" s="207">
        <f>SUMIFS('август 2023'!$G$4:$G$1022,'август 2023'!$D$4:$D$1022,$B147,'август 2023'!$J$4:$J$1022,V$1)</f>
        <v>0</v>
      </c>
      <c r="W147" s="207">
        <f>SUMIFS('август 2023'!$G$4:$G$1022,'август 2023'!$D$4:$D$1022,$B147,'август 2023'!$J$4:$J$1022,W$1)</f>
        <v>0</v>
      </c>
      <c r="X147" s="207">
        <f>SUMIFS('август 2023'!$G$4:$G$1022,'август 2023'!$D$4:$D$1022,$B147,'август 2023'!$J$4:$J$1022,X$1)</f>
        <v>0</v>
      </c>
      <c r="Y147" s="207">
        <f>SUMIFS('август 2023'!$G$4:$G$1022,'август 2023'!$D$4:$D$1022,$B147,'август 2023'!$J$4:$J$1022,Y$1)</f>
        <v>0</v>
      </c>
      <c r="Z147" s="207">
        <f>SUMIFS('август 2023'!$G$4:$G$1022,'август 2023'!$D$4:$D$1022,$B147,'август 2023'!$J$4:$J$1022,Z$1)</f>
        <v>0</v>
      </c>
      <c r="AA147" s="207">
        <f>SUMIFS('август 2023'!$G$4:$G$1022,'август 2023'!$D$4:$D$1022,$B147,'август 2023'!$J$4:$J$1022,AA$1)</f>
        <v>0</v>
      </c>
      <c r="AB147" s="207">
        <f>SUMIFS('август 2023'!$G$4:$G$1022,'август 2023'!$D$4:$D$1022,$B147,'август 2023'!$J$4:$J$1022,AB$1)</f>
        <v>0</v>
      </c>
      <c r="AC147" s="207">
        <f>SUMIFS('август 2023'!$G$4:$G$1022,'август 2023'!$D$4:$D$1022,$B147,'август 2023'!$J$4:$J$1022,AC$1)</f>
        <v>0</v>
      </c>
      <c r="AD147" s="207">
        <f>SUMIFS('август 2023'!$G$4:$G$1022,'август 2023'!$D$4:$D$1022,$B147,'август 2023'!$J$4:$J$1022,AD$1)</f>
        <v>0</v>
      </c>
      <c r="AE147" s="207">
        <f>SUMIFS('август 2023'!$G$4:$G$1022,'август 2023'!$D$4:$D$1022,$B147,'август 2023'!$J$4:$J$1022,AE$1)</f>
        <v>0</v>
      </c>
      <c r="AF147" s="207">
        <f>SUMIFS('август 2023'!$G$4:$G$1022,'август 2023'!$D$4:$D$1022,$B147,'август 2023'!$J$4:$J$1022,AF$1)</f>
        <v>0</v>
      </c>
      <c r="AG147" s="207">
        <f>SUMIFS('август 2023'!$G$4:$G$1022,'август 2023'!$D$4:$D$1022,$B147,'август 2023'!$J$4:$J$1022,AG$1)</f>
        <v>0</v>
      </c>
      <c r="AH147" s="207">
        <f>SUMIFS('август 2023'!$G$4:$G$1022,'август 2023'!$D$4:$D$1022,$B147,'август 2023'!$J$4:$J$1022,AH$1)</f>
        <v>0</v>
      </c>
      <c r="AI147" s="220">
        <f t="shared" si="3"/>
        <v>0</v>
      </c>
    </row>
    <row r="148" spans="2:35" ht="15" hidden="1" customHeight="1" x14ac:dyDescent="0.25">
      <c r="B148" s="212"/>
      <c r="C148" s="213"/>
      <c r="D148" s="207">
        <f>SUMIFS('август 2023'!$G$4:$G$1022,'август 2023'!$D$4:$D$1022,$B148,'август 2023'!$J$4:$J$1022,D$1)</f>
        <v>0</v>
      </c>
      <c r="E148" s="207">
        <f>SUMIFS('август 2023'!$G$4:$G$1022,'август 2023'!$D$4:$D$1022,$B148,'август 2023'!$J$4:$J$1022,E$1)</f>
        <v>0</v>
      </c>
      <c r="F148" s="207">
        <f>SUMIFS('август 2023'!$G$4:$G$1022,'август 2023'!$D$4:$D$1022,$B148,'август 2023'!$J$4:$J$1022,F$1)</f>
        <v>0</v>
      </c>
      <c r="G148" s="207">
        <f>SUMIFS('август 2023'!$G$4:$G$1022,'август 2023'!$D$4:$D$1022,$B148,'август 2023'!$J$4:$J$1022,G$1)</f>
        <v>0</v>
      </c>
      <c r="H148" s="207">
        <f>SUMIFS('август 2023'!$G$4:$G$1022,'август 2023'!$D$4:$D$1022,$B148,'август 2023'!$J$4:$J$1022,H$1)</f>
        <v>0</v>
      </c>
      <c r="I148" s="207">
        <f>SUMIFS('август 2023'!$G$4:$G$1022,'август 2023'!$D$4:$D$1022,$B148,'август 2023'!$J$4:$J$1022,I$1)</f>
        <v>0</v>
      </c>
      <c r="J148" s="207">
        <f>SUMIFS('август 2023'!$G$4:$G$1022,'август 2023'!$D$4:$D$1022,$B148,'август 2023'!$J$4:$J$1022,J$1)</f>
        <v>0</v>
      </c>
      <c r="K148" s="207">
        <f>SUMIFS('август 2023'!$G$4:$G$1022,'август 2023'!$D$4:$D$1022,$B148,'август 2023'!$J$4:$J$1022,K$1)</f>
        <v>0</v>
      </c>
      <c r="L148" s="207">
        <f>SUMIFS('август 2023'!$G$4:$G$1022,'август 2023'!$D$4:$D$1022,$B148,'август 2023'!$J$4:$J$1022,L$1)</f>
        <v>0</v>
      </c>
      <c r="M148" s="207">
        <f>SUMIFS('август 2023'!$G$4:$G$1022,'август 2023'!$D$4:$D$1022,$B148,'август 2023'!$J$4:$J$1022,M$1)</f>
        <v>0</v>
      </c>
      <c r="N148" s="207">
        <f>SUMIFS('август 2023'!$G$4:$G$1022,'август 2023'!$D$4:$D$1022,$B148,'август 2023'!$J$4:$J$1022,N$1)</f>
        <v>0</v>
      </c>
      <c r="O148" s="207">
        <f>SUMIFS('август 2023'!$G$4:$G$1022,'август 2023'!$D$4:$D$1022,$B148,'август 2023'!$J$4:$J$1022,O$1)</f>
        <v>0</v>
      </c>
      <c r="P148" s="207">
        <f>SUMIFS('август 2023'!$G$4:$G$1022,'август 2023'!$D$4:$D$1022,$B148,'август 2023'!$J$4:$J$1022,P$1)</f>
        <v>0</v>
      </c>
      <c r="Q148" s="207">
        <f>SUMIFS('август 2023'!$G$4:$G$1022,'август 2023'!$D$4:$D$1022,$B148,'август 2023'!$J$4:$J$1022,Q$1)</f>
        <v>0</v>
      </c>
      <c r="R148" s="207">
        <f>SUMIFS('август 2023'!$G$4:$G$1022,'август 2023'!$D$4:$D$1022,$B148,'август 2023'!$J$4:$J$1022,R$1)</f>
        <v>0</v>
      </c>
      <c r="S148" s="207">
        <f>SUMIFS('август 2023'!$G$4:$G$1022,'август 2023'!$D$4:$D$1022,$B148,'август 2023'!$J$4:$J$1022,S$1)</f>
        <v>0</v>
      </c>
      <c r="T148" s="207">
        <f>SUMIFS('август 2023'!$G$4:$G$1022,'август 2023'!$D$4:$D$1022,$B148,'август 2023'!$J$4:$J$1022,T$1)</f>
        <v>0</v>
      </c>
      <c r="U148" s="207">
        <f>SUMIFS('август 2023'!$G$4:$G$1022,'август 2023'!$D$4:$D$1022,$B148,'август 2023'!$J$4:$J$1022,U$1)</f>
        <v>0</v>
      </c>
      <c r="V148" s="207">
        <f>SUMIFS('август 2023'!$G$4:$G$1022,'август 2023'!$D$4:$D$1022,$B148,'август 2023'!$J$4:$J$1022,V$1)</f>
        <v>0</v>
      </c>
      <c r="W148" s="207">
        <f>SUMIFS('август 2023'!$G$4:$G$1022,'август 2023'!$D$4:$D$1022,$B148,'август 2023'!$J$4:$J$1022,W$1)</f>
        <v>0</v>
      </c>
      <c r="X148" s="207">
        <f>SUMIFS('август 2023'!$G$4:$G$1022,'август 2023'!$D$4:$D$1022,$B148,'август 2023'!$J$4:$J$1022,X$1)</f>
        <v>0</v>
      </c>
      <c r="Y148" s="207">
        <f>SUMIFS('август 2023'!$G$4:$G$1022,'август 2023'!$D$4:$D$1022,$B148,'август 2023'!$J$4:$J$1022,Y$1)</f>
        <v>0</v>
      </c>
      <c r="Z148" s="207">
        <f>SUMIFS('август 2023'!$G$4:$G$1022,'август 2023'!$D$4:$D$1022,$B148,'август 2023'!$J$4:$J$1022,Z$1)</f>
        <v>0</v>
      </c>
      <c r="AA148" s="207">
        <f>SUMIFS('август 2023'!$G$4:$G$1022,'август 2023'!$D$4:$D$1022,$B148,'август 2023'!$J$4:$J$1022,AA$1)</f>
        <v>0</v>
      </c>
      <c r="AB148" s="207">
        <f>SUMIFS('август 2023'!$G$4:$G$1022,'август 2023'!$D$4:$D$1022,$B148,'август 2023'!$J$4:$J$1022,AB$1)</f>
        <v>0</v>
      </c>
      <c r="AC148" s="207">
        <f>SUMIFS('август 2023'!$G$4:$G$1022,'август 2023'!$D$4:$D$1022,$B148,'август 2023'!$J$4:$J$1022,AC$1)</f>
        <v>0</v>
      </c>
      <c r="AD148" s="207">
        <f>SUMIFS('август 2023'!$G$4:$G$1022,'август 2023'!$D$4:$D$1022,$B148,'август 2023'!$J$4:$J$1022,AD$1)</f>
        <v>0</v>
      </c>
      <c r="AE148" s="207">
        <f>SUMIFS('август 2023'!$G$4:$G$1022,'август 2023'!$D$4:$D$1022,$B148,'август 2023'!$J$4:$J$1022,AE$1)</f>
        <v>0</v>
      </c>
      <c r="AF148" s="207">
        <f>SUMIFS('август 2023'!$G$4:$G$1022,'август 2023'!$D$4:$D$1022,$B148,'август 2023'!$J$4:$J$1022,AF$1)</f>
        <v>0</v>
      </c>
      <c r="AG148" s="207">
        <f>SUMIFS('август 2023'!$G$4:$G$1022,'август 2023'!$D$4:$D$1022,$B148,'август 2023'!$J$4:$J$1022,AG$1)</f>
        <v>0</v>
      </c>
      <c r="AH148" s="207">
        <f>SUMIFS('август 2023'!$G$4:$G$1022,'август 2023'!$D$4:$D$1022,$B148,'август 2023'!$J$4:$J$1022,AH$1)</f>
        <v>0</v>
      </c>
      <c r="AI148" s="220">
        <f t="shared" si="3"/>
        <v>0</v>
      </c>
    </row>
    <row r="149" spans="2:35" ht="15" hidden="1" customHeight="1" x14ac:dyDescent="0.25">
      <c r="B149" s="216"/>
      <c r="C149" s="213"/>
      <c r="D149" s="207">
        <f>SUMIFS('август 2023'!$G$4:$G$1022,'август 2023'!$D$4:$D$1022,$B149,'август 2023'!$J$4:$J$1022,D$1)</f>
        <v>0</v>
      </c>
      <c r="E149" s="207">
        <f>SUMIFS('август 2023'!$G$4:$G$1022,'август 2023'!$D$4:$D$1022,$B149,'август 2023'!$J$4:$J$1022,E$1)</f>
        <v>0</v>
      </c>
      <c r="F149" s="207">
        <f>SUMIFS('август 2023'!$G$4:$G$1022,'август 2023'!$D$4:$D$1022,$B149,'август 2023'!$J$4:$J$1022,F$1)</f>
        <v>0</v>
      </c>
      <c r="G149" s="207">
        <f>SUMIFS('август 2023'!$G$4:$G$1022,'август 2023'!$D$4:$D$1022,$B149,'август 2023'!$J$4:$J$1022,G$1)</f>
        <v>0</v>
      </c>
      <c r="H149" s="207">
        <f>SUMIFS('август 2023'!$G$4:$G$1022,'август 2023'!$D$4:$D$1022,$B149,'август 2023'!$J$4:$J$1022,H$1)</f>
        <v>0</v>
      </c>
      <c r="I149" s="207">
        <f>SUMIFS('август 2023'!$G$4:$G$1022,'август 2023'!$D$4:$D$1022,$B149,'август 2023'!$J$4:$J$1022,I$1)</f>
        <v>0</v>
      </c>
      <c r="J149" s="207">
        <f>SUMIFS('август 2023'!$G$4:$G$1022,'август 2023'!$D$4:$D$1022,$B149,'август 2023'!$J$4:$J$1022,J$1)</f>
        <v>0</v>
      </c>
      <c r="K149" s="207">
        <f>SUMIFS('август 2023'!$G$4:$G$1022,'август 2023'!$D$4:$D$1022,$B149,'август 2023'!$J$4:$J$1022,K$1)</f>
        <v>0</v>
      </c>
      <c r="L149" s="207">
        <f>SUMIFS('август 2023'!$G$4:$G$1022,'август 2023'!$D$4:$D$1022,$B149,'август 2023'!$J$4:$J$1022,L$1)</f>
        <v>0</v>
      </c>
      <c r="M149" s="207">
        <f>SUMIFS('август 2023'!$G$4:$G$1022,'август 2023'!$D$4:$D$1022,$B149,'август 2023'!$J$4:$J$1022,M$1)</f>
        <v>0</v>
      </c>
      <c r="N149" s="207">
        <f>SUMIFS('август 2023'!$G$4:$G$1022,'август 2023'!$D$4:$D$1022,$B149,'август 2023'!$J$4:$J$1022,N$1)</f>
        <v>0</v>
      </c>
      <c r="O149" s="207">
        <f>SUMIFS('август 2023'!$G$4:$G$1022,'август 2023'!$D$4:$D$1022,$B149,'август 2023'!$J$4:$J$1022,O$1)</f>
        <v>0</v>
      </c>
      <c r="P149" s="207">
        <f>SUMIFS('август 2023'!$G$4:$G$1022,'август 2023'!$D$4:$D$1022,$B149,'август 2023'!$J$4:$J$1022,P$1)</f>
        <v>0</v>
      </c>
      <c r="Q149" s="207">
        <f>SUMIFS('август 2023'!$G$4:$G$1022,'август 2023'!$D$4:$D$1022,$B149,'август 2023'!$J$4:$J$1022,Q$1)</f>
        <v>0</v>
      </c>
      <c r="R149" s="207">
        <f>SUMIFS('август 2023'!$G$4:$G$1022,'август 2023'!$D$4:$D$1022,$B149,'август 2023'!$J$4:$J$1022,R$1)</f>
        <v>0</v>
      </c>
      <c r="S149" s="207">
        <f>SUMIFS('август 2023'!$G$4:$G$1022,'август 2023'!$D$4:$D$1022,$B149,'август 2023'!$J$4:$J$1022,S$1)</f>
        <v>0</v>
      </c>
      <c r="T149" s="207">
        <f>SUMIFS('август 2023'!$G$4:$G$1022,'август 2023'!$D$4:$D$1022,$B149,'август 2023'!$J$4:$J$1022,T$1)</f>
        <v>0</v>
      </c>
      <c r="U149" s="207">
        <f>SUMIFS('август 2023'!$G$4:$G$1022,'август 2023'!$D$4:$D$1022,$B149,'август 2023'!$J$4:$J$1022,U$1)</f>
        <v>0</v>
      </c>
      <c r="V149" s="207">
        <f>SUMIFS('август 2023'!$G$4:$G$1022,'август 2023'!$D$4:$D$1022,$B149,'август 2023'!$J$4:$J$1022,V$1)</f>
        <v>0</v>
      </c>
      <c r="W149" s="207">
        <f>SUMIFS('август 2023'!$G$4:$G$1022,'август 2023'!$D$4:$D$1022,$B149,'август 2023'!$J$4:$J$1022,W$1)</f>
        <v>0</v>
      </c>
      <c r="X149" s="207">
        <f>SUMIFS('август 2023'!$G$4:$G$1022,'август 2023'!$D$4:$D$1022,$B149,'август 2023'!$J$4:$J$1022,X$1)</f>
        <v>0</v>
      </c>
      <c r="Y149" s="207">
        <f>SUMIFS('август 2023'!$G$4:$G$1022,'август 2023'!$D$4:$D$1022,$B149,'август 2023'!$J$4:$J$1022,Y$1)</f>
        <v>0</v>
      </c>
      <c r="Z149" s="207">
        <f>SUMIFS('август 2023'!$G$4:$G$1022,'август 2023'!$D$4:$D$1022,$B149,'август 2023'!$J$4:$J$1022,Z$1)</f>
        <v>0</v>
      </c>
      <c r="AA149" s="207">
        <f>SUMIFS('август 2023'!$G$4:$G$1022,'август 2023'!$D$4:$D$1022,$B149,'август 2023'!$J$4:$J$1022,AA$1)</f>
        <v>0</v>
      </c>
      <c r="AB149" s="207">
        <f>SUMIFS('август 2023'!$G$4:$G$1022,'август 2023'!$D$4:$D$1022,$B149,'август 2023'!$J$4:$J$1022,AB$1)</f>
        <v>0</v>
      </c>
      <c r="AC149" s="207">
        <f>SUMIFS('август 2023'!$G$4:$G$1022,'август 2023'!$D$4:$D$1022,$B149,'август 2023'!$J$4:$J$1022,AC$1)</f>
        <v>0</v>
      </c>
      <c r="AD149" s="207">
        <f>SUMIFS('август 2023'!$G$4:$G$1022,'август 2023'!$D$4:$D$1022,$B149,'август 2023'!$J$4:$J$1022,AD$1)</f>
        <v>0</v>
      </c>
      <c r="AE149" s="207">
        <f>SUMIFS('август 2023'!$G$4:$G$1022,'август 2023'!$D$4:$D$1022,$B149,'август 2023'!$J$4:$J$1022,AE$1)</f>
        <v>0</v>
      </c>
      <c r="AF149" s="207">
        <f>SUMIFS('август 2023'!$G$4:$G$1022,'август 2023'!$D$4:$D$1022,$B149,'август 2023'!$J$4:$J$1022,AF$1)</f>
        <v>0</v>
      </c>
      <c r="AG149" s="207">
        <f>SUMIFS('август 2023'!$G$4:$G$1022,'август 2023'!$D$4:$D$1022,$B149,'август 2023'!$J$4:$J$1022,AG$1)</f>
        <v>0</v>
      </c>
      <c r="AH149" s="207">
        <f>SUMIFS('август 2023'!$G$4:$G$1022,'август 2023'!$D$4:$D$1022,$B149,'август 2023'!$J$4:$J$1022,AH$1)</f>
        <v>0</v>
      </c>
      <c r="AI149" s="220">
        <f t="shared" si="3"/>
        <v>0</v>
      </c>
    </row>
    <row r="150" spans="2:35" ht="15" hidden="1" customHeight="1" x14ac:dyDescent="0.25">
      <c r="B150" s="212"/>
      <c r="C150" s="211"/>
      <c r="D150" s="207">
        <f>SUMIFS('август 2023'!$G$4:$G$1022,'август 2023'!$D$4:$D$1022,$B150,'август 2023'!$J$4:$J$1022,D$1)</f>
        <v>0</v>
      </c>
      <c r="E150" s="207">
        <f>SUMIFS('август 2023'!$G$4:$G$1022,'август 2023'!$D$4:$D$1022,$B150,'август 2023'!$J$4:$J$1022,E$1)</f>
        <v>0</v>
      </c>
      <c r="F150" s="207">
        <f>SUMIFS('август 2023'!$G$4:$G$1022,'август 2023'!$D$4:$D$1022,$B150,'август 2023'!$J$4:$J$1022,F$1)</f>
        <v>0</v>
      </c>
      <c r="G150" s="207">
        <f>SUMIFS('август 2023'!$G$4:$G$1022,'август 2023'!$D$4:$D$1022,$B150,'август 2023'!$J$4:$J$1022,G$1)</f>
        <v>0</v>
      </c>
      <c r="H150" s="207">
        <f>SUMIFS('август 2023'!$G$4:$G$1022,'август 2023'!$D$4:$D$1022,$B150,'август 2023'!$J$4:$J$1022,H$1)</f>
        <v>0</v>
      </c>
      <c r="I150" s="207">
        <f>SUMIFS('август 2023'!$G$4:$G$1022,'август 2023'!$D$4:$D$1022,$B150,'август 2023'!$J$4:$J$1022,I$1)</f>
        <v>0</v>
      </c>
      <c r="J150" s="207">
        <f>SUMIFS('август 2023'!$G$4:$G$1022,'август 2023'!$D$4:$D$1022,$B150,'август 2023'!$J$4:$J$1022,J$1)</f>
        <v>0</v>
      </c>
      <c r="K150" s="207">
        <f>SUMIFS('август 2023'!$G$4:$G$1022,'август 2023'!$D$4:$D$1022,$B150,'август 2023'!$J$4:$J$1022,K$1)</f>
        <v>0</v>
      </c>
      <c r="L150" s="207">
        <f>SUMIFS('август 2023'!$G$4:$G$1022,'август 2023'!$D$4:$D$1022,$B150,'август 2023'!$J$4:$J$1022,L$1)</f>
        <v>0</v>
      </c>
      <c r="M150" s="207">
        <f>SUMIFS('август 2023'!$G$4:$G$1022,'август 2023'!$D$4:$D$1022,$B150,'август 2023'!$J$4:$J$1022,M$1)</f>
        <v>0</v>
      </c>
      <c r="N150" s="207">
        <f>SUMIFS('август 2023'!$G$4:$G$1022,'август 2023'!$D$4:$D$1022,$B150,'август 2023'!$J$4:$J$1022,N$1)</f>
        <v>0</v>
      </c>
      <c r="O150" s="207">
        <f>SUMIFS('август 2023'!$G$4:$G$1022,'август 2023'!$D$4:$D$1022,$B150,'август 2023'!$J$4:$J$1022,O$1)</f>
        <v>0</v>
      </c>
      <c r="P150" s="207">
        <f>SUMIFS('август 2023'!$G$4:$G$1022,'август 2023'!$D$4:$D$1022,$B150,'август 2023'!$J$4:$J$1022,P$1)</f>
        <v>0</v>
      </c>
      <c r="Q150" s="207">
        <f>SUMIFS('август 2023'!$G$4:$G$1022,'август 2023'!$D$4:$D$1022,$B150,'август 2023'!$J$4:$J$1022,Q$1)</f>
        <v>0</v>
      </c>
      <c r="R150" s="207">
        <f>SUMIFS('август 2023'!$G$4:$G$1022,'август 2023'!$D$4:$D$1022,$B150,'август 2023'!$J$4:$J$1022,R$1)</f>
        <v>0</v>
      </c>
      <c r="S150" s="207">
        <f>SUMIFS('август 2023'!$G$4:$G$1022,'август 2023'!$D$4:$D$1022,$B150,'август 2023'!$J$4:$J$1022,S$1)</f>
        <v>0</v>
      </c>
      <c r="T150" s="207">
        <f>SUMIFS('август 2023'!$G$4:$G$1022,'август 2023'!$D$4:$D$1022,$B150,'август 2023'!$J$4:$J$1022,T$1)</f>
        <v>0</v>
      </c>
      <c r="U150" s="207">
        <f>SUMIFS('август 2023'!$G$4:$G$1022,'август 2023'!$D$4:$D$1022,$B150,'август 2023'!$J$4:$J$1022,U$1)</f>
        <v>0</v>
      </c>
      <c r="V150" s="207">
        <f>SUMIFS('август 2023'!$G$4:$G$1022,'август 2023'!$D$4:$D$1022,$B150,'август 2023'!$J$4:$J$1022,V$1)</f>
        <v>0</v>
      </c>
      <c r="W150" s="207">
        <f>SUMIFS('август 2023'!$G$4:$G$1022,'август 2023'!$D$4:$D$1022,$B150,'август 2023'!$J$4:$J$1022,W$1)</f>
        <v>0</v>
      </c>
      <c r="X150" s="207">
        <f>SUMIFS('август 2023'!$G$4:$G$1022,'август 2023'!$D$4:$D$1022,$B150,'август 2023'!$J$4:$J$1022,X$1)</f>
        <v>0</v>
      </c>
      <c r="Y150" s="207">
        <f>SUMIFS('август 2023'!$G$4:$G$1022,'август 2023'!$D$4:$D$1022,$B150,'август 2023'!$J$4:$J$1022,Y$1)</f>
        <v>0</v>
      </c>
      <c r="Z150" s="207">
        <f>SUMIFS('август 2023'!$G$4:$G$1022,'август 2023'!$D$4:$D$1022,$B150,'август 2023'!$J$4:$J$1022,Z$1)</f>
        <v>0</v>
      </c>
      <c r="AA150" s="207">
        <f>SUMIFS('август 2023'!$G$4:$G$1022,'август 2023'!$D$4:$D$1022,$B150,'август 2023'!$J$4:$J$1022,AA$1)</f>
        <v>0</v>
      </c>
      <c r="AB150" s="207">
        <f>SUMIFS('август 2023'!$G$4:$G$1022,'август 2023'!$D$4:$D$1022,$B150,'август 2023'!$J$4:$J$1022,AB$1)</f>
        <v>0</v>
      </c>
      <c r="AC150" s="207">
        <f>SUMIFS('август 2023'!$G$4:$G$1022,'август 2023'!$D$4:$D$1022,$B150,'август 2023'!$J$4:$J$1022,AC$1)</f>
        <v>0</v>
      </c>
      <c r="AD150" s="207">
        <f>SUMIFS('август 2023'!$G$4:$G$1022,'август 2023'!$D$4:$D$1022,$B150,'август 2023'!$J$4:$J$1022,AD$1)</f>
        <v>0</v>
      </c>
      <c r="AE150" s="207">
        <f>SUMIFS('август 2023'!$G$4:$G$1022,'август 2023'!$D$4:$D$1022,$B150,'август 2023'!$J$4:$J$1022,AE$1)</f>
        <v>0</v>
      </c>
      <c r="AF150" s="207">
        <f>SUMIFS('август 2023'!$G$4:$G$1022,'август 2023'!$D$4:$D$1022,$B150,'август 2023'!$J$4:$J$1022,AF$1)</f>
        <v>0</v>
      </c>
      <c r="AG150" s="207">
        <f>SUMIFS('август 2023'!$G$4:$G$1022,'август 2023'!$D$4:$D$1022,$B150,'август 2023'!$J$4:$J$1022,AG$1)</f>
        <v>0</v>
      </c>
      <c r="AH150" s="207">
        <f>SUMIFS('август 2023'!$G$4:$G$1022,'август 2023'!$D$4:$D$1022,$B150,'август 2023'!$J$4:$J$1022,AH$1)</f>
        <v>0</v>
      </c>
      <c r="AI150" s="220">
        <f t="shared" si="3"/>
        <v>0</v>
      </c>
    </row>
    <row r="151" spans="2:35" ht="15" hidden="1" customHeight="1" x14ac:dyDescent="0.25">
      <c r="B151" s="212"/>
      <c r="C151" s="213"/>
      <c r="D151" s="207">
        <f>SUMIFS('август 2023'!$G$4:$G$1022,'август 2023'!$D$4:$D$1022,$B151,'август 2023'!$J$4:$J$1022,D$1)</f>
        <v>0</v>
      </c>
      <c r="E151" s="207">
        <f>SUMIFS('август 2023'!$G$4:$G$1022,'август 2023'!$D$4:$D$1022,$B151,'август 2023'!$J$4:$J$1022,E$1)</f>
        <v>0</v>
      </c>
      <c r="F151" s="207">
        <f>SUMIFS('август 2023'!$G$4:$G$1022,'август 2023'!$D$4:$D$1022,$B151,'август 2023'!$J$4:$J$1022,F$1)</f>
        <v>0</v>
      </c>
      <c r="G151" s="207">
        <f>SUMIFS('август 2023'!$G$4:$G$1022,'август 2023'!$D$4:$D$1022,$B151,'август 2023'!$J$4:$J$1022,G$1)</f>
        <v>0</v>
      </c>
      <c r="H151" s="207">
        <f>SUMIFS('август 2023'!$G$4:$G$1022,'август 2023'!$D$4:$D$1022,$B151,'август 2023'!$J$4:$J$1022,H$1)</f>
        <v>0</v>
      </c>
      <c r="I151" s="207">
        <f>SUMIFS('август 2023'!$G$4:$G$1022,'август 2023'!$D$4:$D$1022,$B151,'август 2023'!$J$4:$J$1022,I$1)</f>
        <v>0</v>
      </c>
      <c r="J151" s="207">
        <f>SUMIFS('август 2023'!$G$4:$G$1022,'август 2023'!$D$4:$D$1022,$B151,'август 2023'!$J$4:$J$1022,J$1)</f>
        <v>0</v>
      </c>
      <c r="K151" s="207">
        <f>SUMIFS('август 2023'!$G$4:$G$1022,'август 2023'!$D$4:$D$1022,$B151,'август 2023'!$J$4:$J$1022,K$1)</f>
        <v>0</v>
      </c>
      <c r="L151" s="207">
        <f>SUMIFS('август 2023'!$G$4:$G$1022,'август 2023'!$D$4:$D$1022,$B151,'август 2023'!$J$4:$J$1022,L$1)</f>
        <v>0</v>
      </c>
      <c r="M151" s="207">
        <f>SUMIFS('август 2023'!$G$4:$G$1022,'август 2023'!$D$4:$D$1022,$B151,'август 2023'!$J$4:$J$1022,M$1)</f>
        <v>0</v>
      </c>
      <c r="N151" s="207">
        <f>SUMIFS('август 2023'!$G$4:$G$1022,'август 2023'!$D$4:$D$1022,$B151,'август 2023'!$J$4:$J$1022,N$1)</f>
        <v>0</v>
      </c>
      <c r="O151" s="207">
        <f>SUMIFS('август 2023'!$G$4:$G$1022,'август 2023'!$D$4:$D$1022,$B151,'август 2023'!$J$4:$J$1022,O$1)</f>
        <v>0</v>
      </c>
      <c r="P151" s="207">
        <f>SUMIFS('август 2023'!$G$4:$G$1022,'август 2023'!$D$4:$D$1022,$B151,'август 2023'!$J$4:$J$1022,P$1)</f>
        <v>0</v>
      </c>
      <c r="Q151" s="207">
        <f>SUMIFS('август 2023'!$G$4:$G$1022,'август 2023'!$D$4:$D$1022,$B151,'август 2023'!$J$4:$J$1022,Q$1)</f>
        <v>0</v>
      </c>
      <c r="R151" s="207">
        <f>SUMIFS('август 2023'!$G$4:$G$1022,'август 2023'!$D$4:$D$1022,$B151,'август 2023'!$J$4:$J$1022,R$1)</f>
        <v>0</v>
      </c>
      <c r="S151" s="207">
        <f>SUMIFS('август 2023'!$G$4:$G$1022,'август 2023'!$D$4:$D$1022,$B151,'август 2023'!$J$4:$J$1022,S$1)</f>
        <v>0</v>
      </c>
      <c r="T151" s="207">
        <f>SUMIFS('август 2023'!$G$4:$G$1022,'август 2023'!$D$4:$D$1022,$B151,'август 2023'!$J$4:$J$1022,T$1)</f>
        <v>0</v>
      </c>
      <c r="U151" s="207">
        <f>SUMIFS('август 2023'!$G$4:$G$1022,'август 2023'!$D$4:$D$1022,$B151,'август 2023'!$J$4:$J$1022,U$1)</f>
        <v>0</v>
      </c>
      <c r="V151" s="207">
        <f>SUMIFS('август 2023'!$G$4:$G$1022,'август 2023'!$D$4:$D$1022,$B151,'август 2023'!$J$4:$J$1022,V$1)</f>
        <v>0</v>
      </c>
      <c r="W151" s="207">
        <f>SUMIFS('август 2023'!$G$4:$G$1022,'август 2023'!$D$4:$D$1022,$B151,'август 2023'!$J$4:$J$1022,W$1)</f>
        <v>0</v>
      </c>
      <c r="X151" s="207">
        <f>SUMIFS('август 2023'!$G$4:$G$1022,'август 2023'!$D$4:$D$1022,$B151,'август 2023'!$J$4:$J$1022,X$1)</f>
        <v>0</v>
      </c>
      <c r="Y151" s="207">
        <f>SUMIFS('август 2023'!$G$4:$G$1022,'август 2023'!$D$4:$D$1022,$B151,'август 2023'!$J$4:$J$1022,Y$1)</f>
        <v>0</v>
      </c>
      <c r="Z151" s="207">
        <f>SUMIFS('август 2023'!$G$4:$G$1022,'август 2023'!$D$4:$D$1022,$B151,'август 2023'!$J$4:$J$1022,Z$1)</f>
        <v>0</v>
      </c>
      <c r="AA151" s="207">
        <f>SUMIFS('август 2023'!$G$4:$G$1022,'август 2023'!$D$4:$D$1022,$B151,'август 2023'!$J$4:$J$1022,AA$1)</f>
        <v>0</v>
      </c>
      <c r="AB151" s="207">
        <f>SUMIFS('август 2023'!$G$4:$G$1022,'август 2023'!$D$4:$D$1022,$B151,'август 2023'!$J$4:$J$1022,AB$1)</f>
        <v>0</v>
      </c>
      <c r="AC151" s="207">
        <f>SUMIFS('август 2023'!$G$4:$G$1022,'август 2023'!$D$4:$D$1022,$B151,'август 2023'!$J$4:$J$1022,AC$1)</f>
        <v>0</v>
      </c>
      <c r="AD151" s="207">
        <f>SUMIFS('август 2023'!$G$4:$G$1022,'август 2023'!$D$4:$D$1022,$B151,'август 2023'!$J$4:$J$1022,AD$1)</f>
        <v>0</v>
      </c>
      <c r="AE151" s="207">
        <f>SUMIFS('август 2023'!$G$4:$G$1022,'август 2023'!$D$4:$D$1022,$B151,'август 2023'!$J$4:$J$1022,AE$1)</f>
        <v>0</v>
      </c>
      <c r="AF151" s="207">
        <f>SUMIFS('август 2023'!$G$4:$G$1022,'август 2023'!$D$4:$D$1022,$B151,'август 2023'!$J$4:$J$1022,AF$1)</f>
        <v>0</v>
      </c>
      <c r="AG151" s="207">
        <f>SUMIFS('август 2023'!$G$4:$G$1022,'август 2023'!$D$4:$D$1022,$B151,'август 2023'!$J$4:$J$1022,AG$1)</f>
        <v>0</v>
      </c>
      <c r="AH151" s="207">
        <f>SUMIFS('август 2023'!$G$4:$G$1022,'август 2023'!$D$4:$D$1022,$B151,'август 2023'!$J$4:$J$1022,AH$1)</f>
        <v>0</v>
      </c>
      <c r="AI151" s="220">
        <f t="shared" si="3"/>
        <v>0</v>
      </c>
    </row>
    <row r="152" spans="2:35" ht="15" hidden="1" customHeight="1" x14ac:dyDescent="0.25">
      <c r="B152" s="212"/>
      <c r="C152" s="213"/>
      <c r="D152" s="207">
        <f>SUMIFS('август 2023'!$G$4:$G$1022,'август 2023'!$D$4:$D$1022,$B152,'август 2023'!$J$4:$J$1022,D$1)</f>
        <v>0</v>
      </c>
      <c r="E152" s="207">
        <f>SUMIFS('август 2023'!$G$4:$G$1022,'август 2023'!$D$4:$D$1022,$B152,'август 2023'!$J$4:$J$1022,E$1)</f>
        <v>0</v>
      </c>
      <c r="F152" s="207">
        <f>SUMIFS('август 2023'!$G$4:$G$1022,'август 2023'!$D$4:$D$1022,$B152,'август 2023'!$J$4:$J$1022,F$1)</f>
        <v>0</v>
      </c>
      <c r="G152" s="207">
        <f>SUMIFS('август 2023'!$G$4:$G$1022,'август 2023'!$D$4:$D$1022,$B152,'август 2023'!$J$4:$J$1022,G$1)</f>
        <v>0</v>
      </c>
      <c r="H152" s="207">
        <f>SUMIFS('август 2023'!$G$4:$G$1022,'август 2023'!$D$4:$D$1022,$B152,'август 2023'!$J$4:$J$1022,H$1)</f>
        <v>0</v>
      </c>
      <c r="I152" s="207">
        <f>SUMIFS('август 2023'!$G$4:$G$1022,'август 2023'!$D$4:$D$1022,$B152,'август 2023'!$J$4:$J$1022,I$1)</f>
        <v>0</v>
      </c>
      <c r="J152" s="207">
        <f>SUMIFS('август 2023'!$G$4:$G$1022,'август 2023'!$D$4:$D$1022,$B152,'август 2023'!$J$4:$J$1022,J$1)</f>
        <v>0</v>
      </c>
      <c r="K152" s="207">
        <f>SUMIFS('август 2023'!$G$4:$G$1022,'август 2023'!$D$4:$D$1022,$B152,'август 2023'!$J$4:$J$1022,K$1)</f>
        <v>0</v>
      </c>
      <c r="L152" s="207">
        <f>SUMIFS('август 2023'!$G$4:$G$1022,'август 2023'!$D$4:$D$1022,$B152,'август 2023'!$J$4:$J$1022,L$1)</f>
        <v>0</v>
      </c>
      <c r="M152" s="207">
        <f>SUMIFS('август 2023'!$G$4:$G$1022,'август 2023'!$D$4:$D$1022,$B152,'август 2023'!$J$4:$J$1022,M$1)</f>
        <v>0</v>
      </c>
      <c r="N152" s="207">
        <f>SUMIFS('август 2023'!$G$4:$G$1022,'август 2023'!$D$4:$D$1022,$B152,'август 2023'!$J$4:$J$1022,N$1)</f>
        <v>0</v>
      </c>
      <c r="O152" s="207">
        <f>SUMIFS('август 2023'!$G$4:$G$1022,'август 2023'!$D$4:$D$1022,$B152,'август 2023'!$J$4:$J$1022,O$1)</f>
        <v>0</v>
      </c>
      <c r="P152" s="207">
        <f>SUMIFS('август 2023'!$G$4:$G$1022,'август 2023'!$D$4:$D$1022,$B152,'август 2023'!$J$4:$J$1022,P$1)</f>
        <v>0</v>
      </c>
      <c r="Q152" s="207">
        <f>SUMIFS('август 2023'!$G$4:$G$1022,'август 2023'!$D$4:$D$1022,$B152,'август 2023'!$J$4:$J$1022,Q$1)</f>
        <v>0</v>
      </c>
      <c r="R152" s="207">
        <f>SUMIFS('август 2023'!$G$4:$G$1022,'август 2023'!$D$4:$D$1022,$B152,'август 2023'!$J$4:$J$1022,R$1)</f>
        <v>0</v>
      </c>
      <c r="S152" s="207">
        <f>SUMIFS('август 2023'!$G$4:$G$1022,'август 2023'!$D$4:$D$1022,$B152,'август 2023'!$J$4:$J$1022,S$1)</f>
        <v>0</v>
      </c>
      <c r="T152" s="207">
        <f>SUMIFS('август 2023'!$G$4:$G$1022,'август 2023'!$D$4:$D$1022,$B152,'август 2023'!$J$4:$J$1022,T$1)</f>
        <v>0</v>
      </c>
      <c r="U152" s="207">
        <f>SUMIFS('август 2023'!$G$4:$G$1022,'август 2023'!$D$4:$D$1022,$B152,'август 2023'!$J$4:$J$1022,U$1)</f>
        <v>0</v>
      </c>
      <c r="V152" s="207">
        <f>SUMIFS('август 2023'!$G$4:$G$1022,'август 2023'!$D$4:$D$1022,$B152,'август 2023'!$J$4:$J$1022,V$1)</f>
        <v>0</v>
      </c>
      <c r="W152" s="207">
        <f>SUMIFS('август 2023'!$G$4:$G$1022,'август 2023'!$D$4:$D$1022,$B152,'август 2023'!$J$4:$J$1022,W$1)</f>
        <v>0</v>
      </c>
      <c r="X152" s="207">
        <f>SUMIFS('август 2023'!$G$4:$G$1022,'август 2023'!$D$4:$D$1022,$B152,'август 2023'!$J$4:$J$1022,X$1)</f>
        <v>0</v>
      </c>
      <c r="Y152" s="207">
        <f>SUMIFS('август 2023'!$G$4:$G$1022,'август 2023'!$D$4:$D$1022,$B152,'август 2023'!$J$4:$J$1022,Y$1)</f>
        <v>0</v>
      </c>
      <c r="Z152" s="207">
        <f>SUMIFS('август 2023'!$G$4:$G$1022,'август 2023'!$D$4:$D$1022,$B152,'август 2023'!$J$4:$J$1022,Z$1)</f>
        <v>0</v>
      </c>
      <c r="AA152" s="207">
        <f>SUMIFS('август 2023'!$G$4:$G$1022,'август 2023'!$D$4:$D$1022,$B152,'август 2023'!$J$4:$J$1022,AA$1)</f>
        <v>0</v>
      </c>
      <c r="AB152" s="207">
        <f>SUMIFS('август 2023'!$G$4:$G$1022,'август 2023'!$D$4:$D$1022,$B152,'август 2023'!$J$4:$J$1022,AB$1)</f>
        <v>0</v>
      </c>
      <c r="AC152" s="207">
        <f>SUMIFS('август 2023'!$G$4:$G$1022,'август 2023'!$D$4:$D$1022,$B152,'август 2023'!$J$4:$J$1022,AC$1)</f>
        <v>0</v>
      </c>
      <c r="AD152" s="207">
        <f>SUMIFS('август 2023'!$G$4:$G$1022,'август 2023'!$D$4:$D$1022,$B152,'август 2023'!$J$4:$J$1022,AD$1)</f>
        <v>0</v>
      </c>
      <c r="AE152" s="207">
        <f>SUMIFS('август 2023'!$G$4:$G$1022,'август 2023'!$D$4:$D$1022,$B152,'август 2023'!$J$4:$J$1022,AE$1)</f>
        <v>0</v>
      </c>
      <c r="AF152" s="207">
        <f>SUMIFS('август 2023'!$G$4:$G$1022,'август 2023'!$D$4:$D$1022,$B152,'август 2023'!$J$4:$J$1022,AF$1)</f>
        <v>0</v>
      </c>
      <c r="AG152" s="207">
        <f>SUMIFS('август 2023'!$G$4:$G$1022,'август 2023'!$D$4:$D$1022,$B152,'август 2023'!$J$4:$J$1022,AG$1)</f>
        <v>0</v>
      </c>
      <c r="AH152" s="207">
        <f>SUMIFS('август 2023'!$G$4:$G$1022,'август 2023'!$D$4:$D$1022,$B152,'август 2023'!$J$4:$J$1022,AH$1)</f>
        <v>0</v>
      </c>
      <c r="AI152" s="220">
        <f t="shared" ref="AI152:AI190" si="4">SUM(D152:AH152)</f>
        <v>0</v>
      </c>
    </row>
    <row r="153" spans="2:35" ht="15" hidden="1" customHeight="1" x14ac:dyDescent="0.25">
      <c r="B153" s="212"/>
      <c r="C153" s="213"/>
      <c r="D153" s="207">
        <f>SUMIFS('август 2023'!$G$4:$G$1022,'август 2023'!$D$4:$D$1022,$B153,'август 2023'!$J$4:$J$1022,D$1)</f>
        <v>0</v>
      </c>
      <c r="E153" s="207">
        <f>SUMIFS('август 2023'!$G$4:$G$1022,'август 2023'!$D$4:$D$1022,$B153,'август 2023'!$J$4:$J$1022,E$1)</f>
        <v>0</v>
      </c>
      <c r="F153" s="207">
        <f>SUMIFS('август 2023'!$G$4:$G$1022,'август 2023'!$D$4:$D$1022,$B153,'август 2023'!$J$4:$J$1022,F$1)</f>
        <v>0</v>
      </c>
      <c r="G153" s="207">
        <f>SUMIFS('август 2023'!$G$4:$G$1022,'август 2023'!$D$4:$D$1022,$B153,'август 2023'!$J$4:$J$1022,G$1)</f>
        <v>0</v>
      </c>
      <c r="H153" s="207">
        <f>SUMIFS('август 2023'!$G$4:$G$1022,'август 2023'!$D$4:$D$1022,$B153,'август 2023'!$J$4:$J$1022,H$1)</f>
        <v>0</v>
      </c>
      <c r="I153" s="207">
        <f>SUMIFS('август 2023'!$G$4:$G$1022,'август 2023'!$D$4:$D$1022,$B153,'август 2023'!$J$4:$J$1022,I$1)</f>
        <v>0</v>
      </c>
      <c r="J153" s="207">
        <f>SUMIFS('август 2023'!$G$4:$G$1022,'август 2023'!$D$4:$D$1022,$B153,'август 2023'!$J$4:$J$1022,J$1)</f>
        <v>0</v>
      </c>
      <c r="K153" s="207">
        <f>SUMIFS('август 2023'!$G$4:$G$1022,'август 2023'!$D$4:$D$1022,$B153,'август 2023'!$J$4:$J$1022,K$1)</f>
        <v>0</v>
      </c>
      <c r="L153" s="207">
        <f>SUMIFS('август 2023'!$G$4:$G$1022,'август 2023'!$D$4:$D$1022,$B153,'август 2023'!$J$4:$J$1022,L$1)</f>
        <v>0</v>
      </c>
      <c r="M153" s="207">
        <f>SUMIFS('август 2023'!$G$4:$G$1022,'август 2023'!$D$4:$D$1022,$B153,'август 2023'!$J$4:$J$1022,M$1)</f>
        <v>0</v>
      </c>
      <c r="N153" s="207">
        <f>SUMIFS('август 2023'!$G$4:$G$1022,'август 2023'!$D$4:$D$1022,$B153,'август 2023'!$J$4:$J$1022,N$1)</f>
        <v>0</v>
      </c>
      <c r="O153" s="207">
        <f>SUMIFS('август 2023'!$G$4:$G$1022,'август 2023'!$D$4:$D$1022,$B153,'август 2023'!$J$4:$J$1022,O$1)</f>
        <v>0</v>
      </c>
      <c r="P153" s="207">
        <f>SUMIFS('август 2023'!$G$4:$G$1022,'август 2023'!$D$4:$D$1022,$B153,'август 2023'!$J$4:$J$1022,P$1)</f>
        <v>0</v>
      </c>
      <c r="Q153" s="207">
        <f>SUMIFS('август 2023'!$G$4:$G$1022,'август 2023'!$D$4:$D$1022,$B153,'август 2023'!$J$4:$J$1022,Q$1)</f>
        <v>0</v>
      </c>
      <c r="R153" s="207">
        <f>SUMIFS('август 2023'!$G$4:$G$1022,'август 2023'!$D$4:$D$1022,$B153,'август 2023'!$J$4:$J$1022,R$1)</f>
        <v>0</v>
      </c>
      <c r="S153" s="207">
        <f>SUMIFS('август 2023'!$G$4:$G$1022,'август 2023'!$D$4:$D$1022,$B153,'август 2023'!$J$4:$J$1022,S$1)</f>
        <v>0</v>
      </c>
      <c r="T153" s="207">
        <f>SUMIFS('август 2023'!$G$4:$G$1022,'август 2023'!$D$4:$D$1022,$B153,'август 2023'!$J$4:$J$1022,T$1)</f>
        <v>0</v>
      </c>
      <c r="U153" s="207">
        <f>SUMIFS('август 2023'!$G$4:$G$1022,'август 2023'!$D$4:$D$1022,$B153,'август 2023'!$J$4:$J$1022,U$1)</f>
        <v>0</v>
      </c>
      <c r="V153" s="207">
        <f>SUMIFS('август 2023'!$G$4:$G$1022,'август 2023'!$D$4:$D$1022,$B153,'август 2023'!$J$4:$J$1022,V$1)</f>
        <v>0</v>
      </c>
      <c r="W153" s="207">
        <f>SUMIFS('август 2023'!$G$4:$G$1022,'август 2023'!$D$4:$D$1022,$B153,'август 2023'!$J$4:$J$1022,W$1)</f>
        <v>0</v>
      </c>
      <c r="X153" s="207">
        <f>SUMIFS('август 2023'!$G$4:$G$1022,'август 2023'!$D$4:$D$1022,$B153,'август 2023'!$J$4:$J$1022,X$1)</f>
        <v>0</v>
      </c>
      <c r="Y153" s="207">
        <f>SUMIFS('август 2023'!$G$4:$G$1022,'август 2023'!$D$4:$D$1022,$B153,'август 2023'!$J$4:$J$1022,Y$1)</f>
        <v>0</v>
      </c>
      <c r="Z153" s="207">
        <f>SUMIFS('август 2023'!$G$4:$G$1022,'август 2023'!$D$4:$D$1022,$B153,'август 2023'!$J$4:$J$1022,Z$1)</f>
        <v>0</v>
      </c>
      <c r="AA153" s="207">
        <f>SUMIFS('август 2023'!$G$4:$G$1022,'август 2023'!$D$4:$D$1022,$B153,'август 2023'!$J$4:$J$1022,AA$1)</f>
        <v>0</v>
      </c>
      <c r="AB153" s="207">
        <f>SUMIFS('август 2023'!$G$4:$G$1022,'август 2023'!$D$4:$D$1022,$B153,'август 2023'!$J$4:$J$1022,AB$1)</f>
        <v>0</v>
      </c>
      <c r="AC153" s="207">
        <f>SUMIFS('август 2023'!$G$4:$G$1022,'август 2023'!$D$4:$D$1022,$B153,'август 2023'!$J$4:$J$1022,AC$1)</f>
        <v>0</v>
      </c>
      <c r="AD153" s="207">
        <f>SUMIFS('август 2023'!$G$4:$G$1022,'август 2023'!$D$4:$D$1022,$B153,'август 2023'!$J$4:$J$1022,AD$1)</f>
        <v>0</v>
      </c>
      <c r="AE153" s="207">
        <f>SUMIFS('август 2023'!$G$4:$G$1022,'август 2023'!$D$4:$D$1022,$B153,'август 2023'!$J$4:$J$1022,AE$1)</f>
        <v>0</v>
      </c>
      <c r="AF153" s="207">
        <f>SUMIFS('август 2023'!$G$4:$G$1022,'август 2023'!$D$4:$D$1022,$B153,'август 2023'!$J$4:$J$1022,AF$1)</f>
        <v>0</v>
      </c>
      <c r="AG153" s="207">
        <f>SUMIFS('август 2023'!$G$4:$G$1022,'август 2023'!$D$4:$D$1022,$B153,'август 2023'!$J$4:$J$1022,AG$1)</f>
        <v>0</v>
      </c>
      <c r="AH153" s="207">
        <f>SUMIFS('август 2023'!$G$4:$G$1022,'август 2023'!$D$4:$D$1022,$B153,'август 2023'!$J$4:$J$1022,AH$1)</f>
        <v>0</v>
      </c>
      <c r="AI153" s="220">
        <f t="shared" si="4"/>
        <v>0</v>
      </c>
    </row>
    <row r="154" spans="2:35" ht="15.75" hidden="1" x14ac:dyDescent="0.25">
      <c r="B154" s="212"/>
      <c r="C154" s="213"/>
      <c r="D154" s="207">
        <f>SUMIFS('август 2023'!$G$4:$G$1022,'август 2023'!$D$4:$D$1022,$B154,'август 2023'!$J$4:$J$1022,D$1)</f>
        <v>0</v>
      </c>
      <c r="E154" s="207">
        <f>SUMIFS('август 2023'!$G$4:$G$1022,'август 2023'!$D$4:$D$1022,$B154,'август 2023'!$J$4:$J$1022,E$1)</f>
        <v>0</v>
      </c>
      <c r="F154" s="207">
        <f>SUMIFS('август 2023'!$G$4:$G$1022,'август 2023'!$D$4:$D$1022,$B154,'август 2023'!$J$4:$J$1022,F$1)</f>
        <v>0</v>
      </c>
      <c r="G154" s="207">
        <f>SUMIFS('август 2023'!$G$4:$G$1022,'август 2023'!$D$4:$D$1022,$B154,'август 2023'!$J$4:$J$1022,G$1)</f>
        <v>0</v>
      </c>
      <c r="H154" s="207">
        <f>SUMIFS('август 2023'!$G$4:$G$1022,'август 2023'!$D$4:$D$1022,$B154,'август 2023'!$J$4:$J$1022,H$1)</f>
        <v>0</v>
      </c>
      <c r="I154" s="207">
        <f>SUMIFS('август 2023'!$G$4:$G$1022,'август 2023'!$D$4:$D$1022,$B154,'август 2023'!$J$4:$J$1022,I$1)</f>
        <v>0</v>
      </c>
      <c r="J154" s="207">
        <f>SUMIFS('август 2023'!$G$4:$G$1022,'август 2023'!$D$4:$D$1022,$B154,'август 2023'!$J$4:$J$1022,J$1)</f>
        <v>0</v>
      </c>
      <c r="K154" s="207">
        <f>SUMIFS('август 2023'!$G$4:$G$1022,'август 2023'!$D$4:$D$1022,$B154,'август 2023'!$J$4:$J$1022,K$1)</f>
        <v>0</v>
      </c>
      <c r="L154" s="207">
        <f>SUMIFS('август 2023'!$G$4:$G$1022,'август 2023'!$D$4:$D$1022,$B154,'август 2023'!$J$4:$J$1022,L$1)</f>
        <v>0</v>
      </c>
      <c r="M154" s="207">
        <f>SUMIFS('август 2023'!$G$4:$G$1022,'август 2023'!$D$4:$D$1022,$B154,'август 2023'!$J$4:$J$1022,M$1)</f>
        <v>0</v>
      </c>
      <c r="N154" s="207">
        <f>SUMIFS('август 2023'!$G$4:$G$1022,'август 2023'!$D$4:$D$1022,$B154,'август 2023'!$J$4:$J$1022,N$1)</f>
        <v>0</v>
      </c>
      <c r="O154" s="207">
        <f>SUMIFS('август 2023'!$G$4:$G$1022,'август 2023'!$D$4:$D$1022,$B154,'август 2023'!$J$4:$J$1022,O$1)</f>
        <v>0</v>
      </c>
      <c r="P154" s="207">
        <f>SUMIFS('август 2023'!$G$4:$G$1022,'август 2023'!$D$4:$D$1022,$B154,'август 2023'!$J$4:$J$1022,P$1)</f>
        <v>0</v>
      </c>
      <c r="Q154" s="207">
        <f>SUMIFS('август 2023'!$G$4:$G$1022,'август 2023'!$D$4:$D$1022,$B154,'август 2023'!$J$4:$J$1022,Q$1)</f>
        <v>0</v>
      </c>
      <c r="R154" s="207">
        <f>SUMIFS('август 2023'!$G$4:$G$1022,'август 2023'!$D$4:$D$1022,$B154,'август 2023'!$J$4:$J$1022,R$1)</f>
        <v>0</v>
      </c>
      <c r="S154" s="207">
        <f>SUMIFS('август 2023'!$G$4:$G$1022,'август 2023'!$D$4:$D$1022,$B154,'август 2023'!$J$4:$J$1022,S$1)</f>
        <v>0</v>
      </c>
      <c r="T154" s="207">
        <f>SUMIFS('август 2023'!$G$4:$G$1022,'август 2023'!$D$4:$D$1022,$B154,'август 2023'!$J$4:$J$1022,T$1)</f>
        <v>0</v>
      </c>
      <c r="U154" s="207">
        <f>SUMIFS('август 2023'!$G$4:$G$1022,'август 2023'!$D$4:$D$1022,$B154,'август 2023'!$J$4:$J$1022,U$1)</f>
        <v>0</v>
      </c>
      <c r="V154" s="207">
        <f>SUMIFS('август 2023'!$G$4:$G$1022,'август 2023'!$D$4:$D$1022,$B154,'август 2023'!$J$4:$J$1022,V$1)</f>
        <v>0</v>
      </c>
      <c r="W154" s="207">
        <f>SUMIFS('август 2023'!$G$4:$G$1022,'август 2023'!$D$4:$D$1022,$B154,'август 2023'!$J$4:$J$1022,W$1)</f>
        <v>0</v>
      </c>
      <c r="X154" s="207">
        <f>SUMIFS('август 2023'!$G$4:$G$1022,'август 2023'!$D$4:$D$1022,$B154,'август 2023'!$J$4:$J$1022,X$1)</f>
        <v>0</v>
      </c>
      <c r="Y154" s="207">
        <f>SUMIFS('август 2023'!$G$4:$G$1022,'август 2023'!$D$4:$D$1022,$B154,'август 2023'!$J$4:$J$1022,Y$1)</f>
        <v>0</v>
      </c>
      <c r="Z154" s="207">
        <f>SUMIFS('август 2023'!$G$4:$G$1022,'август 2023'!$D$4:$D$1022,$B154,'август 2023'!$J$4:$J$1022,Z$1)</f>
        <v>0</v>
      </c>
      <c r="AA154" s="207">
        <f>SUMIFS('август 2023'!$G$4:$G$1022,'август 2023'!$D$4:$D$1022,$B154,'август 2023'!$J$4:$J$1022,AA$1)</f>
        <v>0</v>
      </c>
      <c r="AB154" s="207">
        <f>SUMIFS('август 2023'!$G$4:$G$1022,'август 2023'!$D$4:$D$1022,$B154,'август 2023'!$J$4:$J$1022,AB$1)</f>
        <v>0</v>
      </c>
      <c r="AC154" s="207">
        <f>SUMIFS('август 2023'!$G$4:$G$1022,'август 2023'!$D$4:$D$1022,$B154,'август 2023'!$J$4:$J$1022,AC$1)</f>
        <v>0</v>
      </c>
      <c r="AD154" s="207">
        <f>SUMIFS('август 2023'!$G$4:$G$1022,'август 2023'!$D$4:$D$1022,$B154,'август 2023'!$J$4:$J$1022,AD$1)</f>
        <v>0</v>
      </c>
      <c r="AE154" s="207">
        <f>SUMIFS('август 2023'!$G$4:$G$1022,'август 2023'!$D$4:$D$1022,$B154,'август 2023'!$J$4:$J$1022,AE$1)</f>
        <v>0</v>
      </c>
      <c r="AF154" s="207">
        <f>SUMIFS('август 2023'!$G$4:$G$1022,'август 2023'!$D$4:$D$1022,$B154,'август 2023'!$J$4:$J$1022,AF$1)</f>
        <v>0</v>
      </c>
      <c r="AG154" s="207">
        <f>SUMIFS('август 2023'!$G$4:$G$1022,'август 2023'!$D$4:$D$1022,$B154,'август 2023'!$J$4:$J$1022,AG$1)</f>
        <v>0</v>
      </c>
      <c r="AH154" s="207">
        <f>SUMIFS('август 2023'!$G$4:$G$1022,'август 2023'!$D$4:$D$1022,$B154,'август 2023'!$J$4:$J$1022,AH$1)</f>
        <v>0</v>
      </c>
      <c r="AI154" s="220">
        <f t="shared" si="4"/>
        <v>0</v>
      </c>
    </row>
    <row r="155" spans="2:35" ht="15.75" hidden="1" x14ac:dyDescent="0.25">
      <c r="B155" s="212"/>
      <c r="C155" s="213"/>
      <c r="D155" s="207">
        <f>SUMIFS('август 2023'!$G$4:$G$1022,'август 2023'!$D$4:$D$1022,$B155,'август 2023'!$J$4:$J$1022,D$1)</f>
        <v>0</v>
      </c>
      <c r="E155" s="207">
        <f>SUMIFS('август 2023'!$G$4:$G$1022,'август 2023'!$D$4:$D$1022,$B155,'август 2023'!$J$4:$J$1022,E$1)</f>
        <v>0</v>
      </c>
      <c r="F155" s="207">
        <f>SUMIFS('август 2023'!$G$4:$G$1022,'август 2023'!$D$4:$D$1022,$B155,'август 2023'!$J$4:$J$1022,F$1)</f>
        <v>0</v>
      </c>
      <c r="G155" s="207">
        <f>SUMIFS('август 2023'!$G$4:$G$1022,'август 2023'!$D$4:$D$1022,$B155,'август 2023'!$J$4:$J$1022,G$1)</f>
        <v>0</v>
      </c>
      <c r="H155" s="207">
        <f>SUMIFS('август 2023'!$G$4:$G$1022,'август 2023'!$D$4:$D$1022,$B155,'август 2023'!$J$4:$J$1022,H$1)</f>
        <v>0</v>
      </c>
      <c r="I155" s="207">
        <f>SUMIFS('август 2023'!$G$4:$G$1022,'август 2023'!$D$4:$D$1022,$B155,'август 2023'!$J$4:$J$1022,I$1)</f>
        <v>0</v>
      </c>
      <c r="J155" s="207">
        <f>SUMIFS('август 2023'!$G$4:$G$1022,'август 2023'!$D$4:$D$1022,$B155,'август 2023'!$J$4:$J$1022,J$1)</f>
        <v>0</v>
      </c>
      <c r="K155" s="207">
        <f>SUMIFS('август 2023'!$G$4:$G$1022,'август 2023'!$D$4:$D$1022,$B155,'август 2023'!$J$4:$J$1022,K$1)</f>
        <v>0</v>
      </c>
      <c r="L155" s="207">
        <f>SUMIFS('август 2023'!$G$4:$G$1022,'август 2023'!$D$4:$D$1022,$B155,'август 2023'!$J$4:$J$1022,L$1)</f>
        <v>0</v>
      </c>
      <c r="M155" s="207">
        <f>SUMIFS('август 2023'!$G$4:$G$1022,'август 2023'!$D$4:$D$1022,$B155,'август 2023'!$J$4:$J$1022,M$1)</f>
        <v>0</v>
      </c>
      <c r="N155" s="207">
        <f>SUMIFS('август 2023'!$G$4:$G$1022,'август 2023'!$D$4:$D$1022,$B155,'август 2023'!$J$4:$J$1022,N$1)</f>
        <v>0</v>
      </c>
      <c r="O155" s="207">
        <f>SUMIFS('август 2023'!$G$4:$G$1022,'август 2023'!$D$4:$D$1022,$B155,'август 2023'!$J$4:$J$1022,O$1)</f>
        <v>0</v>
      </c>
      <c r="P155" s="207">
        <f>SUMIFS('август 2023'!$G$4:$G$1022,'август 2023'!$D$4:$D$1022,$B155,'август 2023'!$J$4:$J$1022,P$1)</f>
        <v>0</v>
      </c>
      <c r="Q155" s="207">
        <f>SUMIFS('август 2023'!$G$4:$G$1022,'август 2023'!$D$4:$D$1022,$B155,'август 2023'!$J$4:$J$1022,Q$1)</f>
        <v>0</v>
      </c>
      <c r="R155" s="207">
        <f>SUMIFS('август 2023'!$G$4:$G$1022,'август 2023'!$D$4:$D$1022,$B155,'август 2023'!$J$4:$J$1022,R$1)</f>
        <v>0</v>
      </c>
      <c r="S155" s="207">
        <f>SUMIFS('август 2023'!$G$4:$G$1022,'август 2023'!$D$4:$D$1022,$B155,'август 2023'!$J$4:$J$1022,S$1)</f>
        <v>0</v>
      </c>
      <c r="T155" s="207">
        <f>SUMIFS('август 2023'!$G$4:$G$1022,'август 2023'!$D$4:$D$1022,$B155,'август 2023'!$J$4:$J$1022,T$1)</f>
        <v>0</v>
      </c>
      <c r="U155" s="207">
        <f>SUMIFS('август 2023'!$G$4:$G$1022,'август 2023'!$D$4:$D$1022,$B155,'август 2023'!$J$4:$J$1022,U$1)</f>
        <v>0</v>
      </c>
      <c r="V155" s="207">
        <f>SUMIFS('август 2023'!$G$4:$G$1022,'август 2023'!$D$4:$D$1022,$B155,'август 2023'!$J$4:$J$1022,V$1)</f>
        <v>0</v>
      </c>
      <c r="W155" s="207">
        <f>SUMIFS('август 2023'!$G$4:$G$1022,'август 2023'!$D$4:$D$1022,$B155,'август 2023'!$J$4:$J$1022,W$1)</f>
        <v>0</v>
      </c>
      <c r="X155" s="207">
        <f>SUMIFS('август 2023'!$G$4:$G$1022,'август 2023'!$D$4:$D$1022,$B155,'август 2023'!$J$4:$J$1022,X$1)</f>
        <v>0</v>
      </c>
      <c r="Y155" s="207">
        <f>SUMIFS('август 2023'!$G$4:$G$1022,'август 2023'!$D$4:$D$1022,$B155,'август 2023'!$J$4:$J$1022,Y$1)</f>
        <v>0</v>
      </c>
      <c r="Z155" s="207">
        <f>SUMIFS('август 2023'!$G$4:$G$1022,'август 2023'!$D$4:$D$1022,$B155,'август 2023'!$J$4:$J$1022,Z$1)</f>
        <v>0</v>
      </c>
      <c r="AA155" s="207">
        <f>SUMIFS('август 2023'!$G$4:$G$1022,'август 2023'!$D$4:$D$1022,$B155,'август 2023'!$J$4:$J$1022,AA$1)</f>
        <v>0</v>
      </c>
      <c r="AB155" s="207">
        <f>SUMIFS('август 2023'!$G$4:$G$1022,'август 2023'!$D$4:$D$1022,$B155,'август 2023'!$J$4:$J$1022,AB$1)</f>
        <v>0</v>
      </c>
      <c r="AC155" s="207">
        <f>SUMIFS('август 2023'!$G$4:$G$1022,'август 2023'!$D$4:$D$1022,$B155,'август 2023'!$J$4:$J$1022,AC$1)</f>
        <v>0</v>
      </c>
      <c r="AD155" s="207">
        <f>SUMIFS('август 2023'!$G$4:$G$1022,'август 2023'!$D$4:$D$1022,$B155,'август 2023'!$J$4:$J$1022,AD$1)</f>
        <v>0</v>
      </c>
      <c r="AE155" s="207">
        <f>SUMIFS('август 2023'!$G$4:$G$1022,'август 2023'!$D$4:$D$1022,$B155,'август 2023'!$J$4:$J$1022,AE$1)</f>
        <v>0</v>
      </c>
      <c r="AF155" s="207">
        <f>SUMIFS('август 2023'!$G$4:$G$1022,'август 2023'!$D$4:$D$1022,$B155,'август 2023'!$J$4:$J$1022,AF$1)</f>
        <v>0</v>
      </c>
      <c r="AG155" s="207">
        <f>SUMIFS('август 2023'!$G$4:$G$1022,'август 2023'!$D$4:$D$1022,$B155,'август 2023'!$J$4:$J$1022,AG$1)</f>
        <v>0</v>
      </c>
      <c r="AH155" s="207">
        <f>SUMIFS('август 2023'!$G$4:$G$1022,'август 2023'!$D$4:$D$1022,$B155,'август 2023'!$J$4:$J$1022,AH$1)</f>
        <v>0</v>
      </c>
      <c r="AI155" s="220">
        <f t="shared" si="4"/>
        <v>0</v>
      </c>
    </row>
    <row r="156" spans="2:35" ht="15.75" hidden="1" x14ac:dyDescent="0.25">
      <c r="B156" s="212"/>
      <c r="C156" s="211"/>
      <c r="D156" s="207">
        <f>SUMIFS('август 2023'!$G$4:$G$1022,'август 2023'!$D$4:$D$1022,$B156,'август 2023'!$J$4:$J$1022,D$1)</f>
        <v>0</v>
      </c>
      <c r="E156" s="207">
        <f>SUMIFS('август 2023'!$G$4:$G$1022,'август 2023'!$D$4:$D$1022,$B156,'август 2023'!$J$4:$J$1022,E$1)</f>
        <v>0</v>
      </c>
      <c r="F156" s="207">
        <f>SUMIFS('август 2023'!$G$4:$G$1022,'август 2023'!$D$4:$D$1022,$B156,'август 2023'!$J$4:$J$1022,F$1)</f>
        <v>0</v>
      </c>
      <c r="G156" s="207">
        <f>SUMIFS('август 2023'!$G$4:$G$1022,'август 2023'!$D$4:$D$1022,$B156,'август 2023'!$J$4:$J$1022,G$1)</f>
        <v>0</v>
      </c>
      <c r="H156" s="207">
        <f>SUMIFS('август 2023'!$G$4:$G$1022,'август 2023'!$D$4:$D$1022,$B156,'август 2023'!$J$4:$J$1022,H$1)</f>
        <v>0</v>
      </c>
      <c r="I156" s="207">
        <f>SUMIFS('август 2023'!$G$4:$G$1022,'август 2023'!$D$4:$D$1022,$B156,'август 2023'!$J$4:$J$1022,I$1)</f>
        <v>0</v>
      </c>
      <c r="J156" s="207">
        <f>SUMIFS('август 2023'!$G$4:$G$1022,'август 2023'!$D$4:$D$1022,$B156,'август 2023'!$J$4:$J$1022,J$1)</f>
        <v>0</v>
      </c>
      <c r="K156" s="207">
        <f>SUMIFS('август 2023'!$G$4:$G$1022,'август 2023'!$D$4:$D$1022,$B156,'август 2023'!$J$4:$J$1022,K$1)</f>
        <v>0</v>
      </c>
      <c r="L156" s="207">
        <f>SUMIFS('август 2023'!$G$4:$G$1022,'август 2023'!$D$4:$D$1022,$B156,'август 2023'!$J$4:$J$1022,L$1)</f>
        <v>0</v>
      </c>
      <c r="M156" s="207">
        <f>SUMIFS('август 2023'!$G$4:$G$1022,'август 2023'!$D$4:$D$1022,$B156,'август 2023'!$J$4:$J$1022,M$1)</f>
        <v>0</v>
      </c>
      <c r="N156" s="207">
        <f>SUMIFS('август 2023'!$G$4:$G$1022,'август 2023'!$D$4:$D$1022,$B156,'август 2023'!$J$4:$J$1022,N$1)</f>
        <v>0</v>
      </c>
      <c r="O156" s="207">
        <f>SUMIFS('август 2023'!$G$4:$G$1022,'август 2023'!$D$4:$D$1022,$B156,'август 2023'!$J$4:$J$1022,O$1)</f>
        <v>0</v>
      </c>
      <c r="P156" s="207">
        <f>SUMIFS('август 2023'!$G$4:$G$1022,'август 2023'!$D$4:$D$1022,$B156,'август 2023'!$J$4:$J$1022,P$1)</f>
        <v>0</v>
      </c>
      <c r="Q156" s="207">
        <f>SUMIFS('август 2023'!$G$4:$G$1022,'август 2023'!$D$4:$D$1022,$B156,'август 2023'!$J$4:$J$1022,Q$1)</f>
        <v>0</v>
      </c>
      <c r="R156" s="207">
        <f>SUMIFS('август 2023'!$G$4:$G$1022,'август 2023'!$D$4:$D$1022,$B156,'август 2023'!$J$4:$J$1022,R$1)</f>
        <v>0</v>
      </c>
      <c r="S156" s="207">
        <f>SUMIFS('август 2023'!$G$4:$G$1022,'август 2023'!$D$4:$D$1022,$B156,'август 2023'!$J$4:$J$1022,S$1)</f>
        <v>0</v>
      </c>
      <c r="T156" s="207">
        <f>SUMIFS('август 2023'!$G$4:$G$1022,'август 2023'!$D$4:$D$1022,$B156,'август 2023'!$J$4:$J$1022,T$1)</f>
        <v>0</v>
      </c>
      <c r="U156" s="207">
        <f>SUMIFS('август 2023'!$G$4:$G$1022,'август 2023'!$D$4:$D$1022,$B156,'август 2023'!$J$4:$J$1022,U$1)</f>
        <v>0</v>
      </c>
      <c r="V156" s="207">
        <f>SUMIFS('август 2023'!$G$4:$G$1022,'август 2023'!$D$4:$D$1022,$B156,'август 2023'!$J$4:$J$1022,V$1)</f>
        <v>0</v>
      </c>
      <c r="W156" s="207">
        <f>SUMIFS('август 2023'!$G$4:$G$1022,'август 2023'!$D$4:$D$1022,$B156,'август 2023'!$J$4:$J$1022,W$1)</f>
        <v>0</v>
      </c>
      <c r="X156" s="207">
        <f>SUMIFS('август 2023'!$G$4:$G$1022,'август 2023'!$D$4:$D$1022,$B156,'август 2023'!$J$4:$J$1022,X$1)</f>
        <v>0</v>
      </c>
      <c r="Y156" s="207">
        <f>SUMIFS('август 2023'!$G$4:$G$1022,'август 2023'!$D$4:$D$1022,$B156,'август 2023'!$J$4:$J$1022,Y$1)</f>
        <v>0</v>
      </c>
      <c r="Z156" s="207">
        <f>SUMIFS('август 2023'!$G$4:$G$1022,'август 2023'!$D$4:$D$1022,$B156,'август 2023'!$J$4:$J$1022,Z$1)</f>
        <v>0</v>
      </c>
      <c r="AA156" s="207">
        <f>SUMIFS('август 2023'!$G$4:$G$1022,'август 2023'!$D$4:$D$1022,$B156,'август 2023'!$J$4:$J$1022,AA$1)</f>
        <v>0</v>
      </c>
      <c r="AB156" s="207">
        <f>SUMIFS('август 2023'!$G$4:$G$1022,'август 2023'!$D$4:$D$1022,$B156,'август 2023'!$J$4:$J$1022,AB$1)</f>
        <v>0</v>
      </c>
      <c r="AC156" s="207">
        <f>SUMIFS('август 2023'!$G$4:$G$1022,'август 2023'!$D$4:$D$1022,$B156,'август 2023'!$J$4:$J$1022,AC$1)</f>
        <v>0</v>
      </c>
      <c r="AD156" s="207">
        <f>SUMIFS('август 2023'!$G$4:$G$1022,'август 2023'!$D$4:$D$1022,$B156,'август 2023'!$J$4:$J$1022,AD$1)</f>
        <v>0</v>
      </c>
      <c r="AE156" s="207">
        <f>SUMIFS('август 2023'!$G$4:$G$1022,'август 2023'!$D$4:$D$1022,$B156,'август 2023'!$J$4:$J$1022,AE$1)</f>
        <v>0</v>
      </c>
      <c r="AF156" s="207">
        <f>SUMIFS('август 2023'!$G$4:$G$1022,'август 2023'!$D$4:$D$1022,$B156,'август 2023'!$J$4:$J$1022,AF$1)</f>
        <v>0</v>
      </c>
      <c r="AG156" s="207">
        <f>SUMIFS('август 2023'!$G$4:$G$1022,'август 2023'!$D$4:$D$1022,$B156,'август 2023'!$J$4:$J$1022,AG$1)</f>
        <v>0</v>
      </c>
      <c r="AH156" s="207">
        <f>SUMIFS('август 2023'!$G$4:$G$1022,'август 2023'!$D$4:$D$1022,$B156,'август 2023'!$J$4:$J$1022,AH$1)</f>
        <v>0</v>
      </c>
      <c r="AI156" s="220">
        <f t="shared" si="4"/>
        <v>0</v>
      </c>
    </row>
    <row r="157" spans="2:35" ht="15.75" hidden="1" x14ac:dyDescent="0.25">
      <c r="B157" s="212"/>
      <c r="C157" s="211"/>
      <c r="D157" s="207">
        <f>SUMIFS('август 2023'!$G$4:$G$1022,'август 2023'!$D$4:$D$1022,$B157,'август 2023'!$J$4:$J$1022,D$1)</f>
        <v>0</v>
      </c>
      <c r="E157" s="207">
        <f>SUMIFS('август 2023'!$G$4:$G$1022,'август 2023'!$D$4:$D$1022,$B157,'август 2023'!$J$4:$J$1022,E$1)</f>
        <v>0</v>
      </c>
      <c r="F157" s="207">
        <f>SUMIFS('август 2023'!$G$4:$G$1022,'август 2023'!$D$4:$D$1022,$B157,'август 2023'!$J$4:$J$1022,F$1)</f>
        <v>0</v>
      </c>
      <c r="G157" s="207">
        <f>SUMIFS('август 2023'!$G$4:$G$1022,'август 2023'!$D$4:$D$1022,$B157,'август 2023'!$J$4:$J$1022,G$1)</f>
        <v>0</v>
      </c>
      <c r="H157" s="207">
        <f>SUMIFS('август 2023'!$G$4:$G$1022,'август 2023'!$D$4:$D$1022,$B157,'август 2023'!$J$4:$J$1022,H$1)</f>
        <v>0</v>
      </c>
      <c r="I157" s="207">
        <f>SUMIFS('август 2023'!$G$4:$G$1022,'август 2023'!$D$4:$D$1022,$B157,'август 2023'!$J$4:$J$1022,I$1)</f>
        <v>0</v>
      </c>
      <c r="J157" s="207">
        <f>SUMIFS('август 2023'!$G$4:$G$1022,'август 2023'!$D$4:$D$1022,$B157,'август 2023'!$J$4:$J$1022,J$1)</f>
        <v>0</v>
      </c>
      <c r="K157" s="207">
        <f>SUMIFS('август 2023'!$G$4:$G$1022,'август 2023'!$D$4:$D$1022,$B157,'август 2023'!$J$4:$J$1022,K$1)</f>
        <v>0</v>
      </c>
      <c r="L157" s="207">
        <f>SUMIFS('август 2023'!$G$4:$G$1022,'август 2023'!$D$4:$D$1022,$B157,'август 2023'!$J$4:$J$1022,L$1)</f>
        <v>0</v>
      </c>
      <c r="M157" s="207">
        <f>SUMIFS('август 2023'!$G$4:$G$1022,'август 2023'!$D$4:$D$1022,$B157,'август 2023'!$J$4:$J$1022,M$1)</f>
        <v>0</v>
      </c>
      <c r="N157" s="207">
        <f>SUMIFS('август 2023'!$G$4:$G$1022,'август 2023'!$D$4:$D$1022,$B157,'август 2023'!$J$4:$J$1022,N$1)</f>
        <v>0</v>
      </c>
      <c r="O157" s="207">
        <f>SUMIFS('август 2023'!$G$4:$G$1022,'август 2023'!$D$4:$D$1022,$B157,'август 2023'!$J$4:$J$1022,O$1)</f>
        <v>0</v>
      </c>
      <c r="P157" s="207">
        <f>SUMIFS('август 2023'!$G$4:$G$1022,'август 2023'!$D$4:$D$1022,$B157,'август 2023'!$J$4:$J$1022,P$1)</f>
        <v>0</v>
      </c>
      <c r="Q157" s="207">
        <f>SUMIFS('август 2023'!$G$4:$G$1022,'август 2023'!$D$4:$D$1022,$B157,'август 2023'!$J$4:$J$1022,Q$1)</f>
        <v>0</v>
      </c>
      <c r="R157" s="207">
        <f>SUMIFS('август 2023'!$G$4:$G$1022,'август 2023'!$D$4:$D$1022,$B157,'август 2023'!$J$4:$J$1022,R$1)</f>
        <v>0</v>
      </c>
      <c r="S157" s="207">
        <f>SUMIFS('август 2023'!$G$4:$G$1022,'август 2023'!$D$4:$D$1022,$B157,'август 2023'!$J$4:$J$1022,S$1)</f>
        <v>0</v>
      </c>
      <c r="T157" s="207">
        <f>SUMIFS('август 2023'!$G$4:$G$1022,'август 2023'!$D$4:$D$1022,$B157,'август 2023'!$J$4:$J$1022,T$1)</f>
        <v>0</v>
      </c>
      <c r="U157" s="207">
        <f>SUMIFS('август 2023'!$G$4:$G$1022,'август 2023'!$D$4:$D$1022,$B157,'август 2023'!$J$4:$J$1022,U$1)</f>
        <v>0</v>
      </c>
      <c r="V157" s="207">
        <f>SUMIFS('август 2023'!$G$4:$G$1022,'август 2023'!$D$4:$D$1022,$B157,'август 2023'!$J$4:$J$1022,V$1)</f>
        <v>0</v>
      </c>
      <c r="W157" s="207">
        <f>SUMIFS('август 2023'!$G$4:$G$1022,'август 2023'!$D$4:$D$1022,$B157,'август 2023'!$J$4:$J$1022,W$1)</f>
        <v>0</v>
      </c>
      <c r="X157" s="207">
        <f>SUMIFS('август 2023'!$G$4:$G$1022,'август 2023'!$D$4:$D$1022,$B157,'август 2023'!$J$4:$J$1022,X$1)</f>
        <v>0</v>
      </c>
      <c r="Y157" s="207">
        <f>SUMIFS('август 2023'!$G$4:$G$1022,'август 2023'!$D$4:$D$1022,$B157,'август 2023'!$J$4:$J$1022,Y$1)</f>
        <v>0</v>
      </c>
      <c r="Z157" s="207">
        <f>SUMIFS('август 2023'!$G$4:$G$1022,'август 2023'!$D$4:$D$1022,$B157,'август 2023'!$J$4:$J$1022,Z$1)</f>
        <v>0</v>
      </c>
      <c r="AA157" s="207">
        <f>SUMIFS('август 2023'!$G$4:$G$1022,'август 2023'!$D$4:$D$1022,$B157,'август 2023'!$J$4:$J$1022,AA$1)</f>
        <v>0</v>
      </c>
      <c r="AB157" s="207">
        <f>SUMIFS('август 2023'!$G$4:$G$1022,'август 2023'!$D$4:$D$1022,$B157,'август 2023'!$J$4:$J$1022,AB$1)</f>
        <v>0</v>
      </c>
      <c r="AC157" s="207">
        <f>SUMIFS('август 2023'!$G$4:$G$1022,'август 2023'!$D$4:$D$1022,$B157,'август 2023'!$J$4:$J$1022,AC$1)</f>
        <v>0</v>
      </c>
      <c r="AD157" s="207">
        <f>SUMIFS('август 2023'!$G$4:$G$1022,'август 2023'!$D$4:$D$1022,$B157,'август 2023'!$J$4:$J$1022,AD$1)</f>
        <v>0</v>
      </c>
      <c r="AE157" s="207">
        <f>SUMIFS('август 2023'!$G$4:$G$1022,'август 2023'!$D$4:$D$1022,$B157,'август 2023'!$J$4:$J$1022,AE$1)</f>
        <v>0</v>
      </c>
      <c r="AF157" s="207">
        <f>SUMIFS('август 2023'!$G$4:$G$1022,'август 2023'!$D$4:$D$1022,$B157,'август 2023'!$J$4:$J$1022,AF$1)</f>
        <v>0</v>
      </c>
      <c r="AG157" s="207">
        <f>SUMIFS('август 2023'!$G$4:$G$1022,'август 2023'!$D$4:$D$1022,$B157,'август 2023'!$J$4:$J$1022,AG$1)</f>
        <v>0</v>
      </c>
      <c r="AH157" s="207">
        <f>SUMIFS('август 2023'!$G$4:$G$1022,'август 2023'!$D$4:$D$1022,$B157,'август 2023'!$J$4:$J$1022,AH$1)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SUMIFS('август 2023'!$G$4:$G$1022,'август 2023'!$D$4:$D$1022,$B158,'август 2023'!$J$4:$J$1022,D$1)</f>
        <v>0</v>
      </c>
      <c r="E158" s="207">
        <f>SUMIFS('август 2023'!$G$4:$G$1022,'август 2023'!$D$4:$D$1022,$B158,'август 2023'!$J$4:$J$1022,E$1)</f>
        <v>0</v>
      </c>
      <c r="F158" s="207">
        <f>SUMIFS('август 2023'!$G$4:$G$1022,'август 2023'!$D$4:$D$1022,$B158,'август 2023'!$J$4:$J$1022,F$1)</f>
        <v>0</v>
      </c>
      <c r="G158" s="207">
        <f>SUMIFS('август 2023'!$G$4:$G$1022,'август 2023'!$D$4:$D$1022,$B158,'август 2023'!$J$4:$J$1022,G$1)</f>
        <v>0</v>
      </c>
      <c r="H158" s="207">
        <f>SUMIFS('август 2023'!$G$4:$G$1022,'август 2023'!$D$4:$D$1022,$B158,'август 2023'!$J$4:$J$1022,H$1)</f>
        <v>0</v>
      </c>
      <c r="I158" s="207">
        <f>SUMIFS('август 2023'!$G$4:$G$1022,'август 2023'!$D$4:$D$1022,$B158,'август 2023'!$J$4:$J$1022,I$1)</f>
        <v>0</v>
      </c>
      <c r="J158" s="207">
        <f>SUMIFS('август 2023'!$G$4:$G$1022,'август 2023'!$D$4:$D$1022,$B158,'август 2023'!$J$4:$J$1022,J$1)</f>
        <v>0</v>
      </c>
      <c r="K158" s="207">
        <f>SUMIFS('август 2023'!$G$4:$G$1022,'август 2023'!$D$4:$D$1022,$B158,'август 2023'!$J$4:$J$1022,K$1)</f>
        <v>0</v>
      </c>
      <c r="L158" s="207">
        <f>SUMIFS('август 2023'!$G$4:$G$1022,'август 2023'!$D$4:$D$1022,$B158,'август 2023'!$J$4:$J$1022,L$1)</f>
        <v>0</v>
      </c>
      <c r="M158" s="207">
        <f>SUMIFS('август 2023'!$G$4:$G$1022,'август 2023'!$D$4:$D$1022,$B158,'август 2023'!$J$4:$J$1022,M$1)</f>
        <v>0</v>
      </c>
      <c r="N158" s="207">
        <f>SUMIFS('август 2023'!$G$4:$G$1022,'август 2023'!$D$4:$D$1022,$B158,'август 2023'!$J$4:$J$1022,N$1)</f>
        <v>0</v>
      </c>
      <c r="O158" s="207">
        <f>SUMIFS('август 2023'!$G$4:$G$1022,'август 2023'!$D$4:$D$1022,$B158,'август 2023'!$J$4:$J$1022,O$1)</f>
        <v>0</v>
      </c>
      <c r="P158" s="207">
        <f>SUMIFS('август 2023'!$G$4:$G$1022,'август 2023'!$D$4:$D$1022,$B158,'август 2023'!$J$4:$J$1022,P$1)</f>
        <v>0</v>
      </c>
      <c r="Q158" s="207">
        <f>SUMIFS('август 2023'!$G$4:$G$1022,'август 2023'!$D$4:$D$1022,$B158,'август 2023'!$J$4:$J$1022,Q$1)</f>
        <v>0</v>
      </c>
      <c r="R158" s="207">
        <f>SUMIFS('август 2023'!$G$4:$G$1022,'август 2023'!$D$4:$D$1022,$B158,'август 2023'!$J$4:$J$1022,R$1)</f>
        <v>0</v>
      </c>
      <c r="S158" s="207">
        <f>SUMIFS('август 2023'!$G$4:$G$1022,'август 2023'!$D$4:$D$1022,$B158,'август 2023'!$J$4:$J$1022,S$1)</f>
        <v>0</v>
      </c>
      <c r="T158" s="207">
        <f>SUMIFS('август 2023'!$G$4:$G$1022,'август 2023'!$D$4:$D$1022,$B158,'август 2023'!$J$4:$J$1022,T$1)</f>
        <v>0</v>
      </c>
      <c r="U158" s="207">
        <f>SUMIFS('август 2023'!$G$4:$G$1022,'август 2023'!$D$4:$D$1022,$B158,'август 2023'!$J$4:$J$1022,U$1)</f>
        <v>0</v>
      </c>
      <c r="V158" s="207">
        <f>SUMIFS('август 2023'!$G$4:$G$1022,'август 2023'!$D$4:$D$1022,$B158,'август 2023'!$J$4:$J$1022,V$1)</f>
        <v>0</v>
      </c>
      <c r="W158" s="207">
        <f>SUMIFS('август 2023'!$G$4:$G$1022,'август 2023'!$D$4:$D$1022,$B158,'август 2023'!$J$4:$J$1022,W$1)</f>
        <v>0</v>
      </c>
      <c r="X158" s="207">
        <f>SUMIFS('август 2023'!$G$4:$G$1022,'август 2023'!$D$4:$D$1022,$B158,'август 2023'!$J$4:$J$1022,X$1)</f>
        <v>0</v>
      </c>
      <c r="Y158" s="207">
        <f>SUMIFS('август 2023'!$G$4:$G$1022,'август 2023'!$D$4:$D$1022,$B158,'август 2023'!$J$4:$J$1022,Y$1)</f>
        <v>0</v>
      </c>
      <c r="Z158" s="207">
        <f>SUMIFS('август 2023'!$G$4:$G$1022,'август 2023'!$D$4:$D$1022,$B158,'август 2023'!$J$4:$J$1022,Z$1)</f>
        <v>0</v>
      </c>
      <c r="AA158" s="207">
        <f>SUMIFS('август 2023'!$G$4:$G$1022,'август 2023'!$D$4:$D$1022,$B158,'август 2023'!$J$4:$J$1022,AA$1)</f>
        <v>0</v>
      </c>
      <c r="AB158" s="207">
        <f>SUMIFS('август 2023'!$G$4:$G$1022,'август 2023'!$D$4:$D$1022,$B158,'август 2023'!$J$4:$J$1022,AB$1)</f>
        <v>0</v>
      </c>
      <c r="AC158" s="207">
        <f>SUMIFS('август 2023'!$G$4:$G$1022,'август 2023'!$D$4:$D$1022,$B158,'август 2023'!$J$4:$J$1022,AC$1)</f>
        <v>0</v>
      </c>
      <c r="AD158" s="207">
        <f>SUMIFS('август 2023'!$G$4:$G$1022,'август 2023'!$D$4:$D$1022,$B158,'август 2023'!$J$4:$J$1022,AD$1)</f>
        <v>0</v>
      </c>
      <c r="AE158" s="207">
        <f>SUMIFS('август 2023'!$G$4:$G$1022,'август 2023'!$D$4:$D$1022,$B158,'август 2023'!$J$4:$J$1022,AE$1)</f>
        <v>0</v>
      </c>
      <c r="AF158" s="207">
        <f>SUMIFS('август 2023'!$G$4:$G$1022,'август 2023'!$D$4:$D$1022,$B158,'август 2023'!$J$4:$J$1022,AF$1)</f>
        <v>0</v>
      </c>
      <c r="AG158" s="207">
        <f>SUMIFS('август 2023'!$G$4:$G$1022,'август 2023'!$D$4:$D$1022,$B158,'август 2023'!$J$4:$J$1022,AG$1)</f>
        <v>0</v>
      </c>
      <c r="AH158" s="207">
        <f>SUMIFS('август 2023'!$G$4:$G$1022,'август 2023'!$D$4:$D$1022,$B158,'август 2023'!$J$4:$J$1022,AH$1)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SUMIFS('август 2023'!$G$4:$G$1022,'август 2023'!$D$4:$D$1022,$B159,'август 2023'!$J$4:$J$1022,D$1)</f>
        <v>0</v>
      </c>
      <c r="E159" s="207">
        <f>SUMIFS('август 2023'!$G$4:$G$1022,'август 2023'!$D$4:$D$1022,$B159,'август 2023'!$J$4:$J$1022,E$1)</f>
        <v>0</v>
      </c>
      <c r="F159" s="207">
        <f>SUMIFS('август 2023'!$G$4:$G$1022,'август 2023'!$D$4:$D$1022,$B159,'август 2023'!$J$4:$J$1022,F$1)</f>
        <v>0</v>
      </c>
      <c r="G159" s="207">
        <f>SUMIFS('август 2023'!$G$4:$G$1022,'август 2023'!$D$4:$D$1022,$B159,'август 2023'!$J$4:$J$1022,G$1)</f>
        <v>0</v>
      </c>
      <c r="H159" s="207">
        <f>SUMIFS('август 2023'!$G$4:$G$1022,'август 2023'!$D$4:$D$1022,$B159,'август 2023'!$J$4:$J$1022,H$1)</f>
        <v>0</v>
      </c>
      <c r="I159" s="207">
        <f>SUMIFS('август 2023'!$G$4:$G$1022,'август 2023'!$D$4:$D$1022,$B159,'август 2023'!$J$4:$J$1022,I$1)</f>
        <v>0</v>
      </c>
      <c r="J159" s="207">
        <f>SUMIFS('август 2023'!$G$4:$G$1022,'август 2023'!$D$4:$D$1022,$B159,'август 2023'!$J$4:$J$1022,J$1)</f>
        <v>0</v>
      </c>
      <c r="K159" s="207">
        <f>SUMIFS('август 2023'!$G$4:$G$1022,'август 2023'!$D$4:$D$1022,$B159,'август 2023'!$J$4:$J$1022,K$1)</f>
        <v>0</v>
      </c>
      <c r="L159" s="207">
        <f>SUMIFS('август 2023'!$G$4:$G$1022,'август 2023'!$D$4:$D$1022,$B159,'август 2023'!$J$4:$J$1022,L$1)</f>
        <v>0</v>
      </c>
      <c r="M159" s="207">
        <f>SUMIFS('август 2023'!$G$4:$G$1022,'август 2023'!$D$4:$D$1022,$B159,'август 2023'!$J$4:$J$1022,M$1)</f>
        <v>0</v>
      </c>
      <c r="N159" s="207">
        <f>SUMIFS('август 2023'!$G$4:$G$1022,'август 2023'!$D$4:$D$1022,$B159,'август 2023'!$J$4:$J$1022,N$1)</f>
        <v>0</v>
      </c>
      <c r="O159" s="207">
        <f>SUMIFS('август 2023'!$G$4:$G$1022,'август 2023'!$D$4:$D$1022,$B159,'август 2023'!$J$4:$J$1022,O$1)</f>
        <v>0</v>
      </c>
      <c r="P159" s="207">
        <f>SUMIFS('август 2023'!$G$4:$G$1022,'август 2023'!$D$4:$D$1022,$B159,'август 2023'!$J$4:$J$1022,P$1)</f>
        <v>0</v>
      </c>
      <c r="Q159" s="207">
        <f>SUMIFS('август 2023'!$G$4:$G$1022,'август 2023'!$D$4:$D$1022,$B159,'август 2023'!$J$4:$J$1022,Q$1)</f>
        <v>0</v>
      </c>
      <c r="R159" s="207">
        <f>SUMIFS('август 2023'!$G$4:$G$1022,'август 2023'!$D$4:$D$1022,$B159,'август 2023'!$J$4:$J$1022,R$1)</f>
        <v>0</v>
      </c>
      <c r="S159" s="207">
        <f>SUMIFS('август 2023'!$G$4:$G$1022,'август 2023'!$D$4:$D$1022,$B159,'август 2023'!$J$4:$J$1022,S$1)</f>
        <v>0</v>
      </c>
      <c r="T159" s="207">
        <f>SUMIFS('август 2023'!$G$4:$G$1022,'август 2023'!$D$4:$D$1022,$B159,'август 2023'!$J$4:$J$1022,T$1)</f>
        <v>0</v>
      </c>
      <c r="U159" s="207">
        <f>SUMIFS('август 2023'!$G$4:$G$1022,'август 2023'!$D$4:$D$1022,$B159,'август 2023'!$J$4:$J$1022,U$1)</f>
        <v>0</v>
      </c>
      <c r="V159" s="207">
        <f>SUMIFS('август 2023'!$G$4:$G$1022,'август 2023'!$D$4:$D$1022,$B159,'август 2023'!$J$4:$J$1022,V$1)</f>
        <v>0</v>
      </c>
      <c r="W159" s="207">
        <f>SUMIFS('август 2023'!$G$4:$G$1022,'август 2023'!$D$4:$D$1022,$B159,'август 2023'!$J$4:$J$1022,W$1)</f>
        <v>0</v>
      </c>
      <c r="X159" s="207">
        <f>SUMIFS('август 2023'!$G$4:$G$1022,'август 2023'!$D$4:$D$1022,$B159,'август 2023'!$J$4:$J$1022,X$1)</f>
        <v>0</v>
      </c>
      <c r="Y159" s="207">
        <f>SUMIFS('август 2023'!$G$4:$G$1022,'август 2023'!$D$4:$D$1022,$B159,'август 2023'!$J$4:$J$1022,Y$1)</f>
        <v>0</v>
      </c>
      <c r="Z159" s="207">
        <f>SUMIFS('август 2023'!$G$4:$G$1022,'август 2023'!$D$4:$D$1022,$B159,'август 2023'!$J$4:$J$1022,Z$1)</f>
        <v>0</v>
      </c>
      <c r="AA159" s="207">
        <f>SUMIFS('август 2023'!$G$4:$G$1022,'август 2023'!$D$4:$D$1022,$B159,'август 2023'!$J$4:$J$1022,AA$1)</f>
        <v>0</v>
      </c>
      <c r="AB159" s="207">
        <f>SUMIFS('август 2023'!$G$4:$G$1022,'август 2023'!$D$4:$D$1022,$B159,'август 2023'!$J$4:$J$1022,AB$1)</f>
        <v>0</v>
      </c>
      <c r="AC159" s="207">
        <f>SUMIFS('август 2023'!$G$4:$G$1022,'август 2023'!$D$4:$D$1022,$B159,'август 2023'!$J$4:$J$1022,AC$1)</f>
        <v>0</v>
      </c>
      <c r="AD159" s="207">
        <f>SUMIFS('август 2023'!$G$4:$G$1022,'август 2023'!$D$4:$D$1022,$B159,'август 2023'!$J$4:$J$1022,AD$1)</f>
        <v>0</v>
      </c>
      <c r="AE159" s="207">
        <f>SUMIFS('август 2023'!$G$4:$G$1022,'август 2023'!$D$4:$D$1022,$B159,'август 2023'!$J$4:$J$1022,AE$1)</f>
        <v>0</v>
      </c>
      <c r="AF159" s="207">
        <f>SUMIFS('август 2023'!$G$4:$G$1022,'август 2023'!$D$4:$D$1022,$B159,'август 2023'!$J$4:$J$1022,AF$1)</f>
        <v>0</v>
      </c>
      <c r="AG159" s="207">
        <f>SUMIFS('август 2023'!$G$4:$G$1022,'август 2023'!$D$4:$D$1022,$B159,'август 2023'!$J$4:$J$1022,AG$1)</f>
        <v>0</v>
      </c>
      <c r="AH159" s="207">
        <f>SUMIFS('август 2023'!$G$4:$G$1022,'август 2023'!$D$4:$D$1022,$B159,'август 2023'!$J$4:$J$1022,AH$1)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SUMIFS('август 2023'!$G$4:$G$1022,'август 2023'!$D$4:$D$1022,$B160,'август 2023'!$J$4:$J$1022,D$1)</f>
        <v>0</v>
      </c>
      <c r="E160" s="207">
        <f>SUMIFS('август 2023'!$G$4:$G$1022,'август 2023'!$D$4:$D$1022,$B160,'август 2023'!$J$4:$J$1022,E$1)</f>
        <v>0</v>
      </c>
      <c r="F160" s="207">
        <f>SUMIFS('август 2023'!$G$4:$G$1022,'август 2023'!$D$4:$D$1022,$B160,'август 2023'!$J$4:$J$1022,F$1)</f>
        <v>0</v>
      </c>
      <c r="G160" s="207">
        <f>SUMIFS('август 2023'!$G$4:$G$1022,'август 2023'!$D$4:$D$1022,$B160,'август 2023'!$J$4:$J$1022,G$1)</f>
        <v>0</v>
      </c>
      <c r="H160" s="207">
        <f>SUMIFS('август 2023'!$G$4:$G$1022,'август 2023'!$D$4:$D$1022,$B160,'август 2023'!$J$4:$J$1022,H$1)</f>
        <v>0</v>
      </c>
      <c r="I160" s="207">
        <f>SUMIFS('август 2023'!$G$4:$G$1022,'август 2023'!$D$4:$D$1022,$B160,'август 2023'!$J$4:$J$1022,I$1)</f>
        <v>0</v>
      </c>
      <c r="J160" s="207">
        <f>SUMIFS('август 2023'!$G$4:$G$1022,'август 2023'!$D$4:$D$1022,$B160,'август 2023'!$J$4:$J$1022,J$1)</f>
        <v>0</v>
      </c>
      <c r="K160" s="207">
        <f>SUMIFS('август 2023'!$G$4:$G$1022,'август 2023'!$D$4:$D$1022,$B160,'август 2023'!$J$4:$J$1022,K$1)</f>
        <v>0</v>
      </c>
      <c r="L160" s="207">
        <f>SUMIFS('август 2023'!$G$4:$G$1022,'август 2023'!$D$4:$D$1022,$B160,'август 2023'!$J$4:$J$1022,L$1)</f>
        <v>0</v>
      </c>
      <c r="M160" s="207">
        <f>SUMIFS('август 2023'!$G$4:$G$1022,'август 2023'!$D$4:$D$1022,$B160,'август 2023'!$J$4:$J$1022,M$1)</f>
        <v>0</v>
      </c>
      <c r="N160" s="207">
        <f>SUMIFS('август 2023'!$G$4:$G$1022,'август 2023'!$D$4:$D$1022,$B160,'август 2023'!$J$4:$J$1022,N$1)</f>
        <v>0</v>
      </c>
      <c r="O160" s="207">
        <f>SUMIFS('август 2023'!$G$4:$G$1022,'август 2023'!$D$4:$D$1022,$B160,'август 2023'!$J$4:$J$1022,O$1)</f>
        <v>0</v>
      </c>
      <c r="P160" s="207">
        <f>SUMIFS('август 2023'!$G$4:$G$1022,'август 2023'!$D$4:$D$1022,$B160,'август 2023'!$J$4:$J$1022,P$1)</f>
        <v>0</v>
      </c>
      <c r="Q160" s="207">
        <f>SUMIFS('август 2023'!$G$4:$G$1022,'август 2023'!$D$4:$D$1022,$B160,'август 2023'!$J$4:$J$1022,Q$1)</f>
        <v>0</v>
      </c>
      <c r="R160" s="207">
        <f>SUMIFS('август 2023'!$G$4:$G$1022,'август 2023'!$D$4:$D$1022,$B160,'август 2023'!$J$4:$J$1022,R$1)</f>
        <v>0</v>
      </c>
      <c r="S160" s="207">
        <f>SUMIFS('август 2023'!$G$4:$G$1022,'август 2023'!$D$4:$D$1022,$B160,'август 2023'!$J$4:$J$1022,S$1)</f>
        <v>0</v>
      </c>
      <c r="T160" s="207">
        <f>SUMIFS('август 2023'!$G$4:$G$1022,'август 2023'!$D$4:$D$1022,$B160,'август 2023'!$J$4:$J$1022,T$1)</f>
        <v>0</v>
      </c>
      <c r="U160" s="207">
        <f>SUMIFS('август 2023'!$G$4:$G$1022,'август 2023'!$D$4:$D$1022,$B160,'август 2023'!$J$4:$J$1022,U$1)</f>
        <v>0</v>
      </c>
      <c r="V160" s="207">
        <f>SUMIFS('август 2023'!$G$4:$G$1022,'август 2023'!$D$4:$D$1022,$B160,'август 2023'!$J$4:$J$1022,V$1)</f>
        <v>0</v>
      </c>
      <c r="W160" s="207">
        <f>SUMIFS('август 2023'!$G$4:$G$1022,'август 2023'!$D$4:$D$1022,$B160,'август 2023'!$J$4:$J$1022,W$1)</f>
        <v>0</v>
      </c>
      <c r="X160" s="207">
        <f>SUMIFS('август 2023'!$G$4:$G$1022,'август 2023'!$D$4:$D$1022,$B160,'август 2023'!$J$4:$J$1022,X$1)</f>
        <v>0</v>
      </c>
      <c r="Y160" s="207">
        <f>SUMIFS('август 2023'!$G$4:$G$1022,'август 2023'!$D$4:$D$1022,$B160,'август 2023'!$J$4:$J$1022,Y$1)</f>
        <v>0</v>
      </c>
      <c r="Z160" s="207">
        <f>SUMIFS('август 2023'!$G$4:$G$1022,'август 2023'!$D$4:$D$1022,$B160,'август 2023'!$J$4:$J$1022,Z$1)</f>
        <v>0</v>
      </c>
      <c r="AA160" s="207">
        <f>SUMIFS('август 2023'!$G$4:$G$1022,'август 2023'!$D$4:$D$1022,$B160,'август 2023'!$J$4:$J$1022,AA$1)</f>
        <v>0</v>
      </c>
      <c r="AB160" s="207">
        <f>SUMIFS('август 2023'!$G$4:$G$1022,'август 2023'!$D$4:$D$1022,$B160,'август 2023'!$J$4:$J$1022,AB$1)</f>
        <v>0</v>
      </c>
      <c r="AC160" s="207">
        <f>SUMIFS('август 2023'!$G$4:$G$1022,'август 2023'!$D$4:$D$1022,$B160,'август 2023'!$J$4:$J$1022,AC$1)</f>
        <v>0</v>
      </c>
      <c r="AD160" s="207">
        <f>SUMIFS('август 2023'!$G$4:$G$1022,'август 2023'!$D$4:$D$1022,$B160,'август 2023'!$J$4:$J$1022,AD$1)</f>
        <v>0</v>
      </c>
      <c r="AE160" s="207">
        <f>SUMIFS('август 2023'!$G$4:$G$1022,'август 2023'!$D$4:$D$1022,$B160,'август 2023'!$J$4:$J$1022,AE$1)</f>
        <v>0</v>
      </c>
      <c r="AF160" s="207">
        <f>SUMIFS('август 2023'!$G$4:$G$1022,'август 2023'!$D$4:$D$1022,$B160,'август 2023'!$J$4:$J$1022,AF$1)</f>
        <v>0</v>
      </c>
      <c r="AG160" s="207">
        <f>SUMIFS('август 2023'!$G$4:$G$1022,'август 2023'!$D$4:$D$1022,$B160,'август 2023'!$J$4:$J$1022,AG$1)</f>
        <v>0</v>
      </c>
      <c r="AH160" s="207">
        <f>SUMIFS('август 2023'!$G$4:$G$1022,'август 2023'!$D$4:$D$1022,$B160,'август 2023'!$J$4:$J$1022,AH$1)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SUMIFS('август 2023'!$G$4:$G$1022,'август 2023'!$D$4:$D$1022,$B161,'август 2023'!$J$4:$J$1022,D$1)</f>
        <v>0</v>
      </c>
      <c r="E161" s="207">
        <f>SUMIFS('август 2023'!$G$4:$G$1022,'август 2023'!$D$4:$D$1022,$B161,'август 2023'!$J$4:$J$1022,E$1)</f>
        <v>0</v>
      </c>
      <c r="F161" s="207">
        <f>SUMIFS('август 2023'!$G$4:$G$1022,'август 2023'!$D$4:$D$1022,$B161,'август 2023'!$J$4:$J$1022,F$1)</f>
        <v>0</v>
      </c>
      <c r="G161" s="207">
        <f>SUMIFS('август 2023'!$G$4:$G$1022,'август 2023'!$D$4:$D$1022,$B161,'август 2023'!$J$4:$J$1022,G$1)</f>
        <v>0</v>
      </c>
      <c r="H161" s="207">
        <f>SUMIFS('август 2023'!$G$4:$G$1022,'август 2023'!$D$4:$D$1022,$B161,'август 2023'!$J$4:$J$1022,H$1)</f>
        <v>0</v>
      </c>
      <c r="I161" s="207">
        <f>SUMIFS('август 2023'!$G$4:$G$1022,'август 2023'!$D$4:$D$1022,$B161,'август 2023'!$J$4:$J$1022,I$1)</f>
        <v>0</v>
      </c>
      <c r="J161" s="207">
        <f>SUMIFS('август 2023'!$G$4:$G$1022,'август 2023'!$D$4:$D$1022,$B161,'август 2023'!$J$4:$J$1022,J$1)</f>
        <v>0</v>
      </c>
      <c r="K161" s="207">
        <f>SUMIFS('август 2023'!$G$4:$G$1022,'август 2023'!$D$4:$D$1022,$B161,'август 2023'!$J$4:$J$1022,K$1)</f>
        <v>0</v>
      </c>
      <c r="L161" s="207">
        <f>SUMIFS('август 2023'!$G$4:$G$1022,'август 2023'!$D$4:$D$1022,$B161,'август 2023'!$J$4:$J$1022,L$1)</f>
        <v>0</v>
      </c>
      <c r="M161" s="207">
        <f>SUMIFS('август 2023'!$G$4:$G$1022,'август 2023'!$D$4:$D$1022,$B161,'август 2023'!$J$4:$J$1022,M$1)</f>
        <v>0</v>
      </c>
      <c r="N161" s="207">
        <f>SUMIFS('август 2023'!$G$4:$G$1022,'август 2023'!$D$4:$D$1022,$B161,'август 2023'!$J$4:$J$1022,N$1)</f>
        <v>0</v>
      </c>
      <c r="O161" s="207">
        <f>SUMIFS('август 2023'!$G$4:$G$1022,'август 2023'!$D$4:$D$1022,$B161,'август 2023'!$J$4:$J$1022,O$1)</f>
        <v>0</v>
      </c>
      <c r="P161" s="207">
        <f>SUMIFS('август 2023'!$G$4:$G$1022,'август 2023'!$D$4:$D$1022,$B161,'август 2023'!$J$4:$J$1022,P$1)</f>
        <v>0</v>
      </c>
      <c r="Q161" s="207">
        <f>SUMIFS('август 2023'!$G$4:$G$1022,'август 2023'!$D$4:$D$1022,$B161,'август 2023'!$J$4:$J$1022,Q$1)</f>
        <v>0</v>
      </c>
      <c r="R161" s="207">
        <f>SUMIFS('август 2023'!$G$4:$G$1022,'август 2023'!$D$4:$D$1022,$B161,'август 2023'!$J$4:$J$1022,R$1)</f>
        <v>0</v>
      </c>
      <c r="S161" s="207">
        <f>SUMIFS('август 2023'!$G$4:$G$1022,'август 2023'!$D$4:$D$1022,$B161,'август 2023'!$J$4:$J$1022,S$1)</f>
        <v>0</v>
      </c>
      <c r="T161" s="207">
        <f>SUMIFS('август 2023'!$G$4:$G$1022,'август 2023'!$D$4:$D$1022,$B161,'август 2023'!$J$4:$J$1022,T$1)</f>
        <v>0</v>
      </c>
      <c r="U161" s="207">
        <f>SUMIFS('август 2023'!$G$4:$G$1022,'август 2023'!$D$4:$D$1022,$B161,'август 2023'!$J$4:$J$1022,U$1)</f>
        <v>0</v>
      </c>
      <c r="V161" s="207">
        <f>SUMIFS('август 2023'!$G$4:$G$1022,'август 2023'!$D$4:$D$1022,$B161,'август 2023'!$J$4:$J$1022,V$1)</f>
        <v>0</v>
      </c>
      <c r="W161" s="207">
        <f>SUMIFS('август 2023'!$G$4:$G$1022,'август 2023'!$D$4:$D$1022,$B161,'август 2023'!$J$4:$J$1022,W$1)</f>
        <v>0</v>
      </c>
      <c r="X161" s="207">
        <f>SUMIFS('август 2023'!$G$4:$G$1022,'август 2023'!$D$4:$D$1022,$B161,'август 2023'!$J$4:$J$1022,X$1)</f>
        <v>0</v>
      </c>
      <c r="Y161" s="207">
        <f>SUMIFS('август 2023'!$G$4:$G$1022,'август 2023'!$D$4:$D$1022,$B161,'август 2023'!$J$4:$J$1022,Y$1)</f>
        <v>0</v>
      </c>
      <c r="Z161" s="207">
        <f>SUMIFS('август 2023'!$G$4:$G$1022,'август 2023'!$D$4:$D$1022,$B161,'август 2023'!$J$4:$J$1022,Z$1)</f>
        <v>0</v>
      </c>
      <c r="AA161" s="207">
        <f>SUMIFS('август 2023'!$G$4:$G$1022,'август 2023'!$D$4:$D$1022,$B161,'август 2023'!$J$4:$J$1022,AA$1)</f>
        <v>0</v>
      </c>
      <c r="AB161" s="207">
        <f>SUMIFS('август 2023'!$G$4:$G$1022,'август 2023'!$D$4:$D$1022,$B161,'август 2023'!$J$4:$J$1022,AB$1)</f>
        <v>0</v>
      </c>
      <c r="AC161" s="207">
        <f>SUMIFS('август 2023'!$G$4:$G$1022,'август 2023'!$D$4:$D$1022,$B161,'август 2023'!$J$4:$J$1022,AC$1)</f>
        <v>0</v>
      </c>
      <c r="AD161" s="207">
        <f>SUMIFS('август 2023'!$G$4:$G$1022,'август 2023'!$D$4:$D$1022,$B161,'август 2023'!$J$4:$J$1022,AD$1)</f>
        <v>0</v>
      </c>
      <c r="AE161" s="207">
        <f>SUMIFS('август 2023'!$G$4:$G$1022,'август 2023'!$D$4:$D$1022,$B161,'август 2023'!$J$4:$J$1022,AE$1)</f>
        <v>0</v>
      </c>
      <c r="AF161" s="207">
        <f>SUMIFS('август 2023'!$G$4:$G$1022,'август 2023'!$D$4:$D$1022,$B161,'август 2023'!$J$4:$J$1022,AF$1)</f>
        <v>0</v>
      </c>
      <c r="AG161" s="207">
        <f>SUMIFS('август 2023'!$G$4:$G$1022,'август 2023'!$D$4:$D$1022,$B161,'август 2023'!$J$4:$J$1022,AG$1)</f>
        <v>0</v>
      </c>
      <c r="AH161" s="207">
        <f>SUMIFS('август 2023'!$G$4:$G$1022,'август 2023'!$D$4:$D$1022,$B161,'август 2023'!$J$4:$J$1022,AH$1)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SUMIFS('август 2023'!$G$4:$G$1022,'август 2023'!$D$4:$D$1022,$B162,'август 2023'!$J$4:$J$1022,D$1)</f>
        <v>0</v>
      </c>
      <c r="E162" s="207">
        <f>SUMIFS('август 2023'!$G$4:$G$1022,'август 2023'!$D$4:$D$1022,$B162,'август 2023'!$J$4:$J$1022,E$1)</f>
        <v>0</v>
      </c>
      <c r="F162" s="207">
        <f>SUMIFS('август 2023'!$G$4:$G$1022,'август 2023'!$D$4:$D$1022,$B162,'август 2023'!$J$4:$J$1022,F$1)</f>
        <v>0</v>
      </c>
      <c r="G162" s="207">
        <f>SUMIFS('август 2023'!$G$4:$G$1022,'август 2023'!$D$4:$D$1022,$B162,'август 2023'!$J$4:$J$1022,G$1)</f>
        <v>0</v>
      </c>
      <c r="H162" s="207">
        <f>SUMIFS('август 2023'!$G$4:$G$1022,'август 2023'!$D$4:$D$1022,$B162,'август 2023'!$J$4:$J$1022,H$1)</f>
        <v>0</v>
      </c>
      <c r="I162" s="207">
        <f>SUMIFS('август 2023'!$G$4:$G$1022,'август 2023'!$D$4:$D$1022,$B162,'август 2023'!$J$4:$J$1022,I$1)</f>
        <v>0</v>
      </c>
      <c r="J162" s="207">
        <f>SUMIFS('август 2023'!$G$4:$G$1022,'август 2023'!$D$4:$D$1022,$B162,'август 2023'!$J$4:$J$1022,J$1)</f>
        <v>0</v>
      </c>
      <c r="K162" s="207">
        <f>SUMIFS('август 2023'!$G$4:$G$1022,'август 2023'!$D$4:$D$1022,$B162,'август 2023'!$J$4:$J$1022,K$1)</f>
        <v>0</v>
      </c>
      <c r="L162" s="207">
        <f>SUMIFS('август 2023'!$G$4:$G$1022,'август 2023'!$D$4:$D$1022,$B162,'август 2023'!$J$4:$J$1022,L$1)</f>
        <v>0</v>
      </c>
      <c r="M162" s="207">
        <f>SUMIFS('август 2023'!$G$4:$G$1022,'август 2023'!$D$4:$D$1022,$B162,'август 2023'!$J$4:$J$1022,M$1)</f>
        <v>0</v>
      </c>
      <c r="N162" s="207">
        <f>SUMIFS('август 2023'!$G$4:$G$1022,'август 2023'!$D$4:$D$1022,$B162,'август 2023'!$J$4:$J$1022,N$1)</f>
        <v>0</v>
      </c>
      <c r="O162" s="207">
        <f>SUMIFS('август 2023'!$G$4:$G$1022,'август 2023'!$D$4:$D$1022,$B162,'август 2023'!$J$4:$J$1022,O$1)</f>
        <v>0</v>
      </c>
      <c r="P162" s="207">
        <f>SUMIFS('август 2023'!$G$4:$G$1022,'август 2023'!$D$4:$D$1022,$B162,'август 2023'!$J$4:$J$1022,P$1)</f>
        <v>0</v>
      </c>
      <c r="Q162" s="207">
        <f>SUMIFS('август 2023'!$G$4:$G$1022,'август 2023'!$D$4:$D$1022,$B162,'август 2023'!$J$4:$J$1022,Q$1)</f>
        <v>0</v>
      </c>
      <c r="R162" s="207">
        <f>SUMIFS('август 2023'!$G$4:$G$1022,'август 2023'!$D$4:$D$1022,$B162,'август 2023'!$J$4:$J$1022,R$1)</f>
        <v>0</v>
      </c>
      <c r="S162" s="207">
        <f>SUMIFS('август 2023'!$G$4:$G$1022,'август 2023'!$D$4:$D$1022,$B162,'август 2023'!$J$4:$J$1022,S$1)</f>
        <v>0</v>
      </c>
      <c r="T162" s="207">
        <f>SUMIFS('август 2023'!$G$4:$G$1022,'август 2023'!$D$4:$D$1022,$B162,'август 2023'!$J$4:$J$1022,T$1)</f>
        <v>0</v>
      </c>
      <c r="U162" s="207">
        <f>SUMIFS('август 2023'!$G$4:$G$1022,'август 2023'!$D$4:$D$1022,$B162,'август 2023'!$J$4:$J$1022,U$1)</f>
        <v>0</v>
      </c>
      <c r="V162" s="207">
        <f>SUMIFS('август 2023'!$G$4:$G$1022,'август 2023'!$D$4:$D$1022,$B162,'август 2023'!$J$4:$J$1022,V$1)</f>
        <v>0</v>
      </c>
      <c r="W162" s="207">
        <f>SUMIFS('август 2023'!$G$4:$G$1022,'август 2023'!$D$4:$D$1022,$B162,'август 2023'!$J$4:$J$1022,W$1)</f>
        <v>0</v>
      </c>
      <c r="X162" s="207">
        <f>SUMIFS('август 2023'!$G$4:$G$1022,'август 2023'!$D$4:$D$1022,$B162,'август 2023'!$J$4:$J$1022,X$1)</f>
        <v>0</v>
      </c>
      <c r="Y162" s="207">
        <f>SUMIFS('август 2023'!$G$4:$G$1022,'август 2023'!$D$4:$D$1022,$B162,'август 2023'!$J$4:$J$1022,Y$1)</f>
        <v>0</v>
      </c>
      <c r="Z162" s="207">
        <f>SUMIFS('август 2023'!$G$4:$G$1022,'август 2023'!$D$4:$D$1022,$B162,'август 2023'!$J$4:$J$1022,Z$1)</f>
        <v>0</v>
      </c>
      <c r="AA162" s="207">
        <f>SUMIFS('август 2023'!$G$4:$G$1022,'август 2023'!$D$4:$D$1022,$B162,'август 2023'!$J$4:$J$1022,AA$1)</f>
        <v>0</v>
      </c>
      <c r="AB162" s="207">
        <f>SUMIFS('август 2023'!$G$4:$G$1022,'август 2023'!$D$4:$D$1022,$B162,'август 2023'!$J$4:$J$1022,AB$1)</f>
        <v>0</v>
      </c>
      <c r="AC162" s="207">
        <f>SUMIFS('август 2023'!$G$4:$G$1022,'август 2023'!$D$4:$D$1022,$B162,'август 2023'!$J$4:$J$1022,AC$1)</f>
        <v>0</v>
      </c>
      <c r="AD162" s="207">
        <f>SUMIFS('август 2023'!$G$4:$G$1022,'август 2023'!$D$4:$D$1022,$B162,'август 2023'!$J$4:$J$1022,AD$1)</f>
        <v>0</v>
      </c>
      <c r="AE162" s="207">
        <f>SUMIFS('август 2023'!$G$4:$G$1022,'август 2023'!$D$4:$D$1022,$B162,'август 2023'!$J$4:$J$1022,AE$1)</f>
        <v>0</v>
      </c>
      <c r="AF162" s="207">
        <f>SUMIFS('август 2023'!$G$4:$G$1022,'август 2023'!$D$4:$D$1022,$B162,'август 2023'!$J$4:$J$1022,AF$1)</f>
        <v>0</v>
      </c>
      <c r="AG162" s="207">
        <f>SUMIFS('август 2023'!$G$4:$G$1022,'август 2023'!$D$4:$D$1022,$B162,'август 2023'!$J$4:$J$1022,AG$1)</f>
        <v>0</v>
      </c>
      <c r="AH162" s="207">
        <f>SUMIFS('август 2023'!$G$4:$G$1022,'август 2023'!$D$4:$D$1022,$B162,'август 2023'!$J$4:$J$1022,AH$1)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SUMIFS('август 2023'!$G$4:$G$1022,'август 2023'!$D$4:$D$1022,$B163,'август 2023'!$J$4:$J$1022,D$1)</f>
        <v>0</v>
      </c>
      <c r="E163" s="207">
        <f>SUMIFS('август 2023'!$G$4:$G$1022,'август 2023'!$D$4:$D$1022,$B163,'август 2023'!$J$4:$J$1022,E$1)</f>
        <v>0</v>
      </c>
      <c r="F163" s="207">
        <f>SUMIFS('август 2023'!$G$4:$G$1022,'август 2023'!$D$4:$D$1022,$B163,'август 2023'!$J$4:$J$1022,F$1)</f>
        <v>0</v>
      </c>
      <c r="G163" s="207">
        <f>SUMIFS('август 2023'!$G$4:$G$1022,'август 2023'!$D$4:$D$1022,$B163,'август 2023'!$J$4:$J$1022,G$1)</f>
        <v>0</v>
      </c>
      <c r="H163" s="207">
        <f>SUMIFS('август 2023'!$G$4:$G$1022,'август 2023'!$D$4:$D$1022,$B163,'август 2023'!$J$4:$J$1022,H$1)</f>
        <v>0</v>
      </c>
      <c r="I163" s="207">
        <f>SUMIFS('август 2023'!$G$4:$G$1022,'август 2023'!$D$4:$D$1022,$B163,'август 2023'!$J$4:$J$1022,I$1)</f>
        <v>0</v>
      </c>
      <c r="J163" s="207">
        <f>SUMIFS('август 2023'!$G$4:$G$1022,'август 2023'!$D$4:$D$1022,$B163,'август 2023'!$J$4:$J$1022,J$1)</f>
        <v>0</v>
      </c>
      <c r="K163" s="207">
        <f>SUMIFS('август 2023'!$G$4:$G$1022,'август 2023'!$D$4:$D$1022,$B163,'август 2023'!$J$4:$J$1022,K$1)</f>
        <v>0</v>
      </c>
      <c r="L163" s="207">
        <f>SUMIFS('август 2023'!$G$4:$G$1022,'август 2023'!$D$4:$D$1022,$B163,'август 2023'!$J$4:$J$1022,L$1)</f>
        <v>0</v>
      </c>
      <c r="M163" s="207">
        <f>SUMIFS('август 2023'!$G$4:$G$1022,'август 2023'!$D$4:$D$1022,$B163,'август 2023'!$J$4:$J$1022,M$1)</f>
        <v>0</v>
      </c>
      <c r="N163" s="207">
        <f>SUMIFS('август 2023'!$G$4:$G$1022,'август 2023'!$D$4:$D$1022,$B163,'август 2023'!$J$4:$J$1022,N$1)</f>
        <v>0</v>
      </c>
      <c r="O163" s="207">
        <f>SUMIFS('август 2023'!$G$4:$G$1022,'август 2023'!$D$4:$D$1022,$B163,'август 2023'!$J$4:$J$1022,O$1)</f>
        <v>0</v>
      </c>
      <c r="P163" s="207">
        <f>SUMIFS('август 2023'!$G$4:$G$1022,'август 2023'!$D$4:$D$1022,$B163,'август 2023'!$J$4:$J$1022,P$1)</f>
        <v>0</v>
      </c>
      <c r="Q163" s="207">
        <f>SUMIFS('август 2023'!$G$4:$G$1022,'август 2023'!$D$4:$D$1022,$B163,'август 2023'!$J$4:$J$1022,Q$1)</f>
        <v>0</v>
      </c>
      <c r="R163" s="207">
        <f>SUMIFS('август 2023'!$G$4:$G$1022,'август 2023'!$D$4:$D$1022,$B163,'август 2023'!$J$4:$J$1022,R$1)</f>
        <v>0</v>
      </c>
      <c r="S163" s="207">
        <f>SUMIFS('август 2023'!$G$4:$G$1022,'август 2023'!$D$4:$D$1022,$B163,'август 2023'!$J$4:$J$1022,S$1)</f>
        <v>0</v>
      </c>
      <c r="T163" s="207">
        <f>SUMIFS('август 2023'!$G$4:$G$1022,'август 2023'!$D$4:$D$1022,$B163,'август 2023'!$J$4:$J$1022,T$1)</f>
        <v>0</v>
      </c>
      <c r="U163" s="207">
        <f>SUMIFS('август 2023'!$G$4:$G$1022,'август 2023'!$D$4:$D$1022,$B163,'август 2023'!$J$4:$J$1022,U$1)</f>
        <v>0</v>
      </c>
      <c r="V163" s="207">
        <f>SUMIFS('август 2023'!$G$4:$G$1022,'август 2023'!$D$4:$D$1022,$B163,'август 2023'!$J$4:$J$1022,V$1)</f>
        <v>0</v>
      </c>
      <c r="W163" s="207">
        <f>SUMIFS('август 2023'!$G$4:$G$1022,'август 2023'!$D$4:$D$1022,$B163,'август 2023'!$J$4:$J$1022,W$1)</f>
        <v>0</v>
      </c>
      <c r="X163" s="207">
        <f>SUMIFS('август 2023'!$G$4:$G$1022,'август 2023'!$D$4:$D$1022,$B163,'август 2023'!$J$4:$J$1022,X$1)</f>
        <v>0</v>
      </c>
      <c r="Y163" s="207">
        <f>SUMIFS('август 2023'!$G$4:$G$1022,'август 2023'!$D$4:$D$1022,$B163,'август 2023'!$J$4:$J$1022,Y$1)</f>
        <v>0</v>
      </c>
      <c r="Z163" s="207">
        <f>SUMIFS('август 2023'!$G$4:$G$1022,'август 2023'!$D$4:$D$1022,$B163,'август 2023'!$J$4:$J$1022,Z$1)</f>
        <v>0</v>
      </c>
      <c r="AA163" s="207">
        <f>SUMIFS('август 2023'!$G$4:$G$1022,'август 2023'!$D$4:$D$1022,$B163,'август 2023'!$J$4:$J$1022,AA$1)</f>
        <v>0</v>
      </c>
      <c r="AB163" s="207">
        <f>SUMIFS('август 2023'!$G$4:$G$1022,'август 2023'!$D$4:$D$1022,$B163,'август 2023'!$J$4:$J$1022,AB$1)</f>
        <v>0</v>
      </c>
      <c r="AC163" s="207">
        <f>SUMIFS('август 2023'!$G$4:$G$1022,'август 2023'!$D$4:$D$1022,$B163,'август 2023'!$J$4:$J$1022,AC$1)</f>
        <v>0</v>
      </c>
      <c r="AD163" s="207">
        <f>SUMIFS('август 2023'!$G$4:$G$1022,'август 2023'!$D$4:$D$1022,$B163,'август 2023'!$J$4:$J$1022,AD$1)</f>
        <v>0</v>
      </c>
      <c r="AE163" s="207">
        <f>SUMIFS('август 2023'!$G$4:$G$1022,'август 2023'!$D$4:$D$1022,$B163,'август 2023'!$J$4:$J$1022,AE$1)</f>
        <v>0</v>
      </c>
      <c r="AF163" s="207">
        <f>SUMIFS('август 2023'!$G$4:$G$1022,'август 2023'!$D$4:$D$1022,$B163,'август 2023'!$J$4:$J$1022,AF$1)</f>
        <v>0</v>
      </c>
      <c r="AG163" s="207">
        <f>SUMIFS('август 2023'!$G$4:$G$1022,'август 2023'!$D$4:$D$1022,$B163,'август 2023'!$J$4:$J$1022,AG$1)</f>
        <v>0</v>
      </c>
      <c r="AH163" s="207">
        <f>SUMIFS('август 2023'!$G$4:$G$1022,'август 2023'!$D$4:$D$1022,$B163,'август 2023'!$J$4:$J$1022,AH$1)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SUMIFS('август 2023'!$G$4:$G$1022,'август 2023'!$D$4:$D$1022,$B164,'август 2023'!$J$4:$J$1022,D$1)</f>
        <v>0</v>
      </c>
      <c r="E164" s="207">
        <f>SUMIFS('август 2023'!$G$4:$G$1022,'август 2023'!$D$4:$D$1022,$B164,'август 2023'!$J$4:$J$1022,E$1)</f>
        <v>0</v>
      </c>
      <c r="F164" s="207">
        <f>SUMIFS('август 2023'!$G$4:$G$1022,'август 2023'!$D$4:$D$1022,$B164,'август 2023'!$J$4:$J$1022,F$1)</f>
        <v>0</v>
      </c>
      <c r="G164" s="207">
        <f>SUMIFS('август 2023'!$G$4:$G$1022,'август 2023'!$D$4:$D$1022,$B164,'август 2023'!$J$4:$J$1022,G$1)</f>
        <v>0</v>
      </c>
      <c r="H164" s="207">
        <f>SUMIFS('август 2023'!$G$4:$G$1022,'август 2023'!$D$4:$D$1022,$B164,'август 2023'!$J$4:$J$1022,H$1)</f>
        <v>0</v>
      </c>
      <c r="I164" s="207">
        <f>SUMIFS('август 2023'!$G$4:$G$1022,'август 2023'!$D$4:$D$1022,$B164,'август 2023'!$J$4:$J$1022,I$1)</f>
        <v>0</v>
      </c>
      <c r="J164" s="207">
        <f>SUMIFS('август 2023'!$G$4:$G$1022,'август 2023'!$D$4:$D$1022,$B164,'август 2023'!$J$4:$J$1022,J$1)</f>
        <v>0</v>
      </c>
      <c r="K164" s="207">
        <f>SUMIFS('август 2023'!$G$4:$G$1022,'август 2023'!$D$4:$D$1022,$B164,'август 2023'!$J$4:$J$1022,K$1)</f>
        <v>0</v>
      </c>
      <c r="L164" s="207">
        <f>SUMIFS('август 2023'!$G$4:$G$1022,'август 2023'!$D$4:$D$1022,$B164,'август 2023'!$J$4:$J$1022,L$1)</f>
        <v>0</v>
      </c>
      <c r="M164" s="207">
        <f>SUMIFS('август 2023'!$G$4:$G$1022,'август 2023'!$D$4:$D$1022,$B164,'август 2023'!$J$4:$J$1022,M$1)</f>
        <v>0</v>
      </c>
      <c r="N164" s="207">
        <f>SUMIFS('август 2023'!$G$4:$G$1022,'август 2023'!$D$4:$D$1022,$B164,'август 2023'!$J$4:$J$1022,N$1)</f>
        <v>0</v>
      </c>
      <c r="O164" s="207">
        <f>SUMIFS('август 2023'!$G$4:$G$1022,'август 2023'!$D$4:$D$1022,$B164,'август 2023'!$J$4:$J$1022,O$1)</f>
        <v>0</v>
      </c>
      <c r="P164" s="207">
        <f>SUMIFS('август 2023'!$G$4:$G$1022,'август 2023'!$D$4:$D$1022,$B164,'август 2023'!$J$4:$J$1022,P$1)</f>
        <v>0</v>
      </c>
      <c r="Q164" s="207">
        <f>SUMIFS('август 2023'!$G$4:$G$1022,'август 2023'!$D$4:$D$1022,$B164,'август 2023'!$J$4:$J$1022,Q$1)</f>
        <v>0</v>
      </c>
      <c r="R164" s="207">
        <f>SUMIFS('август 2023'!$G$4:$G$1022,'август 2023'!$D$4:$D$1022,$B164,'август 2023'!$J$4:$J$1022,R$1)</f>
        <v>0</v>
      </c>
      <c r="S164" s="207">
        <f>SUMIFS('август 2023'!$G$4:$G$1022,'август 2023'!$D$4:$D$1022,$B164,'август 2023'!$J$4:$J$1022,S$1)</f>
        <v>0</v>
      </c>
      <c r="T164" s="207">
        <f>SUMIFS('август 2023'!$G$4:$G$1022,'август 2023'!$D$4:$D$1022,$B164,'август 2023'!$J$4:$J$1022,T$1)</f>
        <v>0</v>
      </c>
      <c r="U164" s="207">
        <f>SUMIFS('август 2023'!$G$4:$G$1022,'август 2023'!$D$4:$D$1022,$B164,'август 2023'!$J$4:$J$1022,U$1)</f>
        <v>0</v>
      </c>
      <c r="V164" s="207">
        <f>SUMIFS('август 2023'!$G$4:$G$1022,'август 2023'!$D$4:$D$1022,$B164,'август 2023'!$J$4:$J$1022,V$1)</f>
        <v>0</v>
      </c>
      <c r="W164" s="207">
        <f>SUMIFS('август 2023'!$G$4:$G$1022,'август 2023'!$D$4:$D$1022,$B164,'август 2023'!$J$4:$J$1022,W$1)</f>
        <v>0</v>
      </c>
      <c r="X164" s="207">
        <f>SUMIFS('август 2023'!$G$4:$G$1022,'август 2023'!$D$4:$D$1022,$B164,'август 2023'!$J$4:$J$1022,X$1)</f>
        <v>0</v>
      </c>
      <c r="Y164" s="207">
        <f>SUMIFS('август 2023'!$G$4:$G$1022,'август 2023'!$D$4:$D$1022,$B164,'август 2023'!$J$4:$J$1022,Y$1)</f>
        <v>0</v>
      </c>
      <c r="Z164" s="207">
        <f>SUMIFS('август 2023'!$G$4:$G$1022,'август 2023'!$D$4:$D$1022,$B164,'август 2023'!$J$4:$J$1022,Z$1)</f>
        <v>0</v>
      </c>
      <c r="AA164" s="207">
        <f>SUMIFS('август 2023'!$G$4:$G$1022,'август 2023'!$D$4:$D$1022,$B164,'август 2023'!$J$4:$J$1022,AA$1)</f>
        <v>0</v>
      </c>
      <c r="AB164" s="207">
        <f>SUMIFS('август 2023'!$G$4:$G$1022,'август 2023'!$D$4:$D$1022,$B164,'август 2023'!$J$4:$J$1022,AB$1)</f>
        <v>0</v>
      </c>
      <c r="AC164" s="207">
        <f>SUMIFS('август 2023'!$G$4:$G$1022,'август 2023'!$D$4:$D$1022,$B164,'август 2023'!$J$4:$J$1022,AC$1)</f>
        <v>0</v>
      </c>
      <c r="AD164" s="207">
        <f>SUMIFS('август 2023'!$G$4:$G$1022,'август 2023'!$D$4:$D$1022,$B164,'август 2023'!$J$4:$J$1022,AD$1)</f>
        <v>0</v>
      </c>
      <c r="AE164" s="207">
        <f>SUMIFS('август 2023'!$G$4:$G$1022,'август 2023'!$D$4:$D$1022,$B164,'август 2023'!$J$4:$J$1022,AE$1)</f>
        <v>0</v>
      </c>
      <c r="AF164" s="207">
        <f>SUMIFS('август 2023'!$G$4:$G$1022,'август 2023'!$D$4:$D$1022,$B164,'август 2023'!$J$4:$J$1022,AF$1)</f>
        <v>0</v>
      </c>
      <c r="AG164" s="207">
        <f>SUMIFS('август 2023'!$G$4:$G$1022,'август 2023'!$D$4:$D$1022,$B164,'август 2023'!$J$4:$J$1022,AG$1)</f>
        <v>0</v>
      </c>
      <c r="AH164" s="207">
        <f>SUMIFS('август 2023'!$G$4:$G$1022,'август 2023'!$D$4:$D$1022,$B164,'август 2023'!$J$4:$J$1022,AH$1)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SUMIFS('август 2023'!$G$4:$G$1022,'август 2023'!$D$4:$D$1022,$B165,'август 2023'!$J$4:$J$1022,D$1)</f>
        <v>0</v>
      </c>
      <c r="E165" s="207">
        <f>SUMIFS('август 2023'!$G$4:$G$1022,'август 2023'!$D$4:$D$1022,$B165,'август 2023'!$J$4:$J$1022,E$1)</f>
        <v>0</v>
      </c>
      <c r="F165" s="207">
        <f>SUMIFS('август 2023'!$G$4:$G$1022,'август 2023'!$D$4:$D$1022,$B165,'август 2023'!$J$4:$J$1022,F$1)</f>
        <v>0</v>
      </c>
      <c r="G165" s="207">
        <f>SUMIFS('август 2023'!$G$4:$G$1022,'август 2023'!$D$4:$D$1022,$B165,'август 2023'!$J$4:$J$1022,G$1)</f>
        <v>0</v>
      </c>
      <c r="H165" s="207">
        <f>SUMIFS('август 2023'!$G$4:$G$1022,'август 2023'!$D$4:$D$1022,$B165,'август 2023'!$J$4:$J$1022,H$1)</f>
        <v>0</v>
      </c>
      <c r="I165" s="207">
        <f>SUMIFS('август 2023'!$G$4:$G$1022,'август 2023'!$D$4:$D$1022,$B165,'август 2023'!$J$4:$J$1022,I$1)</f>
        <v>0</v>
      </c>
      <c r="J165" s="207">
        <f>SUMIFS('август 2023'!$G$4:$G$1022,'август 2023'!$D$4:$D$1022,$B165,'август 2023'!$J$4:$J$1022,J$1)</f>
        <v>0</v>
      </c>
      <c r="K165" s="207">
        <f>SUMIFS('август 2023'!$G$4:$G$1022,'август 2023'!$D$4:$D$1022,$B165,'август 2023'!$J$4:$J$1022,K$1)</f>
        <v>0</v>
      </c>
      <c r="L165" s="207">
        <f>SUMIFS('август 2023'!$G$4:$G$1022,'август 2023'!$D$4:$D$1022,$B165,'август 2023'!$J$4:$J$1022,L$1)</f>
        <v>0</v>
      </c>
      <c r="M165" s="207">
        <f>SUMIFS('август 2023'!$G$4:$G$1022,'август 2023'!$D$4:$D$1022,$B165,'август 2023'!$J$4:$J$1022,M$1)</f>
        <v>0</v>
      </c>
      <c r="N165" s="207">
        <f>SUMIFS('август 2023'!$G$4:$G$1022,'август 2023'!$D$4:$D$1022,$B165,'август 2023'!$J$4:$J$1022,N$1)</f>
        <v>0</v>
      </c>
      <c r="O165" s="207">
        <f>SUMIFS('август 2023'!$G$4:$G$1022,'август 2023'!$D$4:$D$1022,$B165,'август 2023'!$J$4:$J$1022,O$1)</f>
        <v>0</v>
      </c>
      <c r="P165" s="207">
        <f>SUMIFS('август 2023'!$G$4:$G$1022,'август 2023'!$D$4:$D$1022,$B165,'август 2023'!$J$4:$J$1022,P$1)</f>
        <v>0</v>
      </c>
      <c r="Q165" s="207">
        <f>SUMIFS('август 2023'!$G$4:$G$1022,'август 2023'!$D$4:$D$1022,$B165,'август 2023'!$J$4:$J$1022,Q$1)</f>
        <v>0</v>
      </c>
      <c r="R165" s="207">
        <f>SUMIFS('август 2023'!$G$4:$G$1022,'август 2023'!$D$4:$D$1022,$B165,'август 2023'!$J$4:$J$1022,R$1)</f>
        <v>0</v>
      </c>
      <c r="S165" s="207">
        <f>SUMIFS('август 2023'!$G$4:$G$1022,'август 2023'!$D$4:$D$1022,$B165,'август 2023'!$J$4:$J$1022,S$1)</f>
        <v>0</v>
      </c>
      <c r="T165" s="207">
        <f>SUMIFS('август 2023'!$G$4:$G$1022,'август 2023'!$D$4:$D$1022,$B165,'август 2023'!$J$4:$J$1022,T$1)</f>
        <v>0</v>
      </c>
      <c r="U165" s="207">
        <f>SUMIFS('август 2023'!$G$4:$G$1022,'август 2023'!$D$4:$D$1022,$B165,'август 2023'!$J$4:$J$1022,U$1)</f>
        <v>0</v>
      </c>
      <c r="V165" s="207">
        <f>SUMIFS('август 2023'!$G$4:$G$1022,'август 2023'!$D$4:$D$1022,$B165,'август 2023'!$J$4:$J$1022,V$1)</f>
        <v>0</v>
      </c>
      <c r="W165" s="207">
        <f>SUMIFS('август 2023'!$G$4:$G$1022,'август 2023'!$D$4:$D$1022,$B165,'август 2023'!$J$4:$J$1022,W$1)</f>
        <v>0</v>
      </c>
      <c r="X165" s="207">
        <f>SUMIFS('август 2023'!$G$4:$G$1022,'август 2023'!$D$4:$D$1022,$B165,'август 2023'!$J$4:$J$1022,X$1)</f>
        <v>0</v>
      </c>
      <c r="Y165" s="207">
        <f>SUMIFS('август 2023'!$G$4:$G$1022,'август 2023'!$D$4:$D$1022,$B165,'август 2023'!$J$4:$J$1022,Y$1)</f>
        <v>0</v>
      </c>
      <c r="Z165" s="207">
        <f>SUMIFS('август 2023'!$G$4:$G$1022,'август 2023'!$D$4:$D$1022,$B165,'август 2023'!$J$4:$J$1022,Z$1)</f>
        <v>0</v>
      </c>
      <c r="AA165" s="207">
        <f>SUMIFS('август 2023'!$G$4:$G$1022,'август 2023'!$D$4:$D$1022,$B165,'август 2023'!$J$4:$J$1022,AA$1)</f>
        <v>0</v>
      </c>
      <c r="AB165" s="207">
        <f>SUMIFS('август 2023'!$G$4:$G$1022,'август 2023'!$D$4:$D$1022,$B165,'август 2023'!$J$4:$J$1022,AB$1)</f>
        <v>0</v>
      </c>
      <c r="AC165" s="207">
        <f>SUMIFS('август 2023'!$G$4:$G$1022,'август 2023'!$D$4:$D$1022,$B165,'август 2023'!$J$4:$J$1022,AC$1)</f>
        <v>0</v>
      </c>
      <c r="AD165" s="207">
        <f>SUMIFS('август 2023'!$G$4:$G$1022,'август 2023'!$D$4:$D$1022,$B165,'август 2023'!$J$4:$J$1022,AD$1)</f>
        <v>0</v>
      </c>
      <c r="AE165" s="207">
        <f>SUMIFS('август 2023'!$G$4:$G$1022,'август 2023'!$D$4:$D$1022,$B165,'август 2023'!$J$4:$J$1022,AE$1)</f>
        <v>0</v>
      </c>
      <c r="AF165" s="207">
        <f>SUMIFS('август 2023'!$G$4:$G$1022,'август 2023'!$D$4:$D$1022,$B165,'август 2023'!$J$4:$J$1022,AF$1)</f>
        <v>0</v>
      </c>
      <c r="AG165" s="207">
        <f>SUMIFS('август 2023'!$G$4:$G$1022,'август 2023'!$D$4:$D$1022,$B165,'август 2023'!$J$4:$J$1022,AG$1)</f>
        <v>0</v>
      </c>
      <c r="AH165" s="207">
        <f>SUMIFS('август 2023'!$G$4:$G$1022,'август 2023'!$D$4:$D$1022,$B165,'август 2023'!$J$4:$J$1022,AH$1)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SUMIFS('август 2023'!$G$4:$G$1022,'август 2023'!$D$4:$D$1022,$B166,'август 2023'!$J$4:$J$1022,D$1)</f>
        <v>0</v>
      </c>
      <c r="E166" s="207">
        <f>SUMIFS('август 2023'!$G$4:$G$1022,'август 2023'!$D$4:$D$1022,$B166,'август 2023'!$J$4:$J$1022,E$1)</f>
        <v>0</v>
      </c>
      <c r="F166" s="207">
        <f>SUMIFS('август 2023'!$G$4:$G$1022,'август 2023'!$D$4:$D$1022,$B166,'август 2023'!$J$4:$J$1022,F$1)</f>
        <v>0</v>
      </c>
      <c r="G166" s="207">
        <f>SUMIFS('август 2023'!$G$4:$G$1022,'август 2023'!$D$4:$D$1022,$B166,'август 2023'!$J$4:$J$1022,G$1)</f>
        <v>0</v>
      </c>
      <c r="H166" s="207">
        <f>SUMIFS('август 2023'!$G$4:$G$1022,'август 2023'!$D$4:$D$1022,$B166,'август 2023'!$J$4:$J$1022,H$1)</f>
        <v>0</v>
      </c>
      <c r="I166" s="207">
        <f>SUMIFS('август 2023'!$G$4:$G$1022,'август 2023'!$D$4:$D$1022,$B166,'август 2023'!$J$4:$J$1022,I$1)</f>
        <v>0</v>
      </c>
      <c r="J166" s="207">
        <f>SUMIFS('август 2023'!$G$4:$G$1022,'август 2023'!$D$4:$D$1022,$B166,'август 2023'!$J$4:$J$1022,J$1)</f>
        <v>0</v>
      </c>
      <c r="K166" s="207">
        <f>SUMIFS('август 2023'!$G$4:$G$1022,'август 2023'!$D$4:$D$1022,$B166,'август 2023'!$J$4:$J$1022,K$1)</f>
        <v>0</v>
      </c>
      <c r="L166" s="207">
        <f>SUMIFS('август 2023'!$G$4:$G$1022,'август 2023'!$D$4:$D$1022,$B166,'август 2023'!$J$4:$J$1022,L$1)</f>
        <v>0</v>
      </c>
      <c r="M166" s="207">
        <f>SUMIFS('август 2023'!$G$4:$G$1022,'август 2023'!$D$4:$D$1022,$B166,'август 2023'!$J$4:$J$1022,M$1)</f>
        <v>0</v>
      </c>
      <c r="N166" s="207">
        <f>SUMIFS('август 2023'!$G$4:$G$1022,'август 2023'!$D$4:$D$1022,$B166,'август 2023'!$J$4:$J$1022,N$1)</f>
        <v>0</v>
      </c>
      <c r="O166" s="207">
        <f>SUMIFS('август 2023'!$G$4:$G$1022,'август 2023'!$D$4:$D$1022,$B166,'август 2023'!$J$4:$J$1022,O$1)</f>
        <v>0</v>
      </c>
      <c r="P166" s="207">
        <f>SUMIFS('август 2023'!$G$4:$G$1022,'август 2023'!$D$4:$D$1022,$B166,'август 2023'!$J$4:$J$1022,P$1)</f>
        <v>0</v>
      </c>
      <c r="Q166" s="207">
        <f>SUMIFS('август 2023'!$G$4:$G$1022,'август 2023'!$D$4:$D$1022,$B166,'август 2023'!$J$4:$J$1022,Q$1)</f>
        <v>0</v>
      </c>
      <c r="R166" s="207">
        <f>SUMIFS('август 2023'!$G$4:$G$1022,'август 2023'!$D$4:$D$1022,$B166,'август 2023'!$J$4:$J$1022,R$1)</f>
        <v>0</v>
      </c>
      <c r="S166" s="207">
        <f>SUMIFS('август 2023'!$G$4:$G$1022,'август 2023'!$D$4:$D$1022,$B166,'август 2023'!$J$4:$J$1022,S$1)</f>
        <v>0</v>
      </c>
      <c r="T166" s="207">
        <f>SUMIFS('август 2023'!$G$4:$G$1022,'август 2023'!$D$4:$D$1022,$B166,'август 2023'!$J$4:$J$1022,T$1)</f>
        <v>0</v>
      </c>
      <c r="U166" s="207">
        <f>SUMIFS('август 2023'!$G$4:$G$1022,'август 2023'!$D$4:$D$1022,$B166,'август 2023'!$J$4:$J$1022,U$1)</f>
        <v>0</v>
      </c>
      <c r="V166" s="207">
        <f>SUMIFS('август 2023'!$G$4:$G$1022,'август 2023'!$D$4:$D$1022,$B166,'август 2023'!$J$4:$J$1022,V$1)</f>
        <v>0</v>
      </c>
      <c r="W166" s="207">
        <f>SUMIFS('август 2023'!$G$4:$G$1022,'август 2023'!$D$4:$D$1022,$B166,'август 2023'!$J$4:$J$1022,W$1)</f>
        <v>0</v>
      </c>
      <c r="X166" s="207">
        <f>SUMIFS('август 2023'!$G$4:$G$1022,'август 2023'!$D$4:$D$1022,$B166,'август 2023'!$J$4:$J$1022,X$1)</f>
        <v>0</v>
      </c>
      <c r="Y166" s="207">
        <f>SUMIFS('август 2023'!$G$4:$G$1022,'август 2023'!$D$4:$D$1022,$B166,'август 2023'!$J$4:$J$1022,Y$1)</f>
        <v>0</v>
      </c>
      <c r="Z166" s="207">
        <f>SUMIFS('август 2023'!$G$4:$G$1022,'август 2023'!$D$4:$D$1022,$B166,'август 2023'!$J$4:$J$1022,Z$1)</f>
        <v>0</v>
      </c>
      <c r="AA166" s="207">
        <f>SUMIFS('август 2023'!$G$4:$G$1022,'август 2023'!$D$4:$D$1022,$B166,'август 2023'!$J$4:$J$1022,AA$1)</f>
        <v>0</v>
      </c>
      <c r="AB166" s="207">
        <f>SUMIFS('август 2023'!$G$4:$G$1022,'август 2023'!$D$4:$D$1022,$B166,'август 2023'!$J$4:$J$1022,AB$1)</f>
        <v>0</v>
      </c>
      <c r="AC166" s="207">
        <f>SUMIFS('август 2023'!$G$4:$G$1022,'август 2023'!$D$4:$D$1022,$B166,'август 2023'!$J$4:$J$1022,AC$1)</f>
        <v>0</v>
      </c>
      <c r="AD166" s="207">
        <f>SUMIFS('август 2023'!$G$4:$G$1022,'август 2023'!$D$4:$D$1022,$B166,'август 2023'!$J$4:$J$1022,AD$1)</f>
        <v>0</v>
      </c>
      <c r="AE166" s="207">
        <f>SUMIFS('август 2023'!$G$4:$G$1022,'август 2023'!$D$4:$D$1022,$B166,'август 2023'!$J$4:$J$1022,AE$1)</f>
        <v>0</v>
      </c>
      <c r="AF166" s="207">
        <f>SUMIFS('август 2023'!$G$4:$G$1022,'август 2023'!$D$4:$D$1022,$B166,'август 2023'!$J$4:$J$1022,AF$1)</f>
        <v>0</v>
      </c>
      <c r="AG166" s="207">
        <f>SUMIFS('август 2023'!$G$4:$G$1022,'август 2023'!$D$4:$D$1022,$B166,'август 2023'!$J$4:$J$1022,AG$1)</f>
        <v>0</v>
      </c>
      <c r="AH166" s="207">
        <f>SUMIFS('август 2023'!$G$4:$G$1022,'август 2023'!$D$4:$D$1022,$B166,'август 2023'!$J$4:$J$1022,AH$1)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SUMIFS('август 2023'!$G$4:$G$1022,'август 2023'!$D$4:$D$1022,$B167,'август 2023'!$J$4:$J$1022,D$1)</f>
        <v>0</v>
      </c>
      <c r="E167" s="207">
        <f>SUMIFS('август 2023'!$G$4:$G$1022,'август 2023'!$D$4:$D$1022,$B167,'август 2023'!$J$4:$J$1022,E$1)</f>
        <v>0</v>
      </c>
      <c r="F167" s="207">
        <f>SUMIFS('август 2023'!$G$4:$G$1022,'август 2023'!$D$4:$D$1022,$B167,'август 2023'!$J$4:$J$1022,F$1)</f>
        <v>0</v>
      </c>
      <c r="G167" s="207">
        <f>SUMIFS('август 2023'!$G$4:$G$1022,'август 2023'!$D$4:$D$1022,$B167,'август 2023'!$J$4:$J$1022,G$1)</f>
        <v>0</v>
      </c>
      <c r="H167" s="207">
        <f>SUMIFS('август 2023'!$G$4:$G$1022,'август 2023'!$D$4:$D$1022,$B167,'август 2023'!$J$4:$J$1022,H$1)</f>
        <v>0</v>
      </c>
      <c r="I167" s="207">
        <f>SUMIFS('август 2023'!$G$4:$G$1022,'август 2023'!$D$4:$D$1022,$B167,'август 2023'!$J$4:$J$1022,I$1)</f>
        <v>0</v>
      </c>
      <c r="J167" s="207">
        <f>SUMIFS('август 2023'!$G$4:$G$1022,'август 2023'!$D$4:$D$1022,$B167,'август 2023'!$J$4:$J$1022,J$1)</f>
        <v>0</v>
      </c>
      <c r="K167" s="207">
        <f>SUMIFS('август 2023'!$G$4:$G$1022,'август 2023'!$D$4:$D$1022,$B167,'август 2023'!$J$4:$J$1022,K$1)</f>
        <v>0</v>
      </c>
      <c r="L167" s="207">
        <f>SUMIFS('август 2023'!$G$4:$G$1022,'август 2023'!$D$4:$D$1022,$B167,'август 2023'!$J$4:$J$1022,L$1)</f>
        <v>0</v>
      </c>
      <c r="M167" s="207">
        <f>SUMIFS('август 2023'!$G$4:$G$1022,'август 2023'!$D$4:$D$1022,$B167,'август 2023'!$J$4:$J$1022,M$1)</f>
        <v>0</v>
      </c>
      <c r="N167" s="207">
        <f>SUMIFS('август 2023'!$G$4:$G$1022,'август 2023'!$D$4:$D$1022,$B167,'август 2023'!$J$4:$J$1022,N$1)</f>
        <v>0</v>
      </c>
      <c r="O167" s="207">
        <f>SUMIFS('август 2023'!$G$4:$G$1022,'август 2023'!$D$4:$D$1022,$B167,'август 2023'!$J$4:$J$1022,O$1)</f>
        <v>0</v>
      </c>
      <c r="P167" s="207">
        <f>SUMIFS('август 2023'!$G$4:$G$1022,'август 2023'!$D$4:$D$1022,$B167,'август 2023'!$J$4:$J$1022,P$1)</f>
        <v>0</v>
      </c>
      <c r="Q167" s="207">
        <f>SUMIFS('август 2023'!$G$4:$G$1022,'август 2023'!$D$4:$D$1022,$B167,'август 2023'!$J$4:$J$1022,Q$1)</f>
        <v>0</v>
      </c>
      <c r="R167" s="207">
        <f>SUMIFS('август 2023'!$G$4:$G$1022,'август 2023'!$D$4:$D$1022,$B167,'август 2023'!$J$4:$J$1022,R$1)</f>
        <v>0</v>
      </c>
      <c r="S167" s="207">
        <f>SUMIFS('август 2023'!$G$4:$G$1022,'август 2023'!$D$4:$D$1022,$B167,'август 2023'!$J$4:$J$1022,S$1)</f>
        <v>0</v>
      </c>
      <c r="T167" s="207">
        <f>SUMIFS('август 2023'!$G$4:$G$1022,'август 2023'!$D$4:$D$1022,$B167,'август 2023'!$J$4:$J$1022,T$1)</f>
        <v>0</v>
      </c>
      <c r="U167" s="207">
        <f>SUMIFS('август 2023'!$G$4:$G$1022,'август 2023'!$D$4:$D$1022,$B167,'август 2023'!$J$4:$J$1022,U$1)</f>
        <v>0</v>
      </c>
      <c r="V167" s="207">
        <f>SUMIFS('август 2023'!$G$4:$G$1022,'август 2023'!$D$4:$D$1022,$B167,'август 2023'!$J$4:$J$1022,V$1)</f>
        <v>0</v>
      </c>
      <c r="W167" s="207">
        <f>SUMIFS('август 2023'!$G$4:$G$1022,'август 2023'!$D$4:$D$1022,$B167,'август 2023'!$J$4:$J$1022,W$1)</f>
        <v>0</v>
      </c>
      <c r="X167" s="207">
        <f>SUMIFS('август 2023'!$G$4:$G$1022,'август 2023'!$D$4:$D$1022,$B167,'август 2023'!$J$4:$J$1022,X$1)</f>
        <v>0</v>
      </c>
      <c r="Y167" s="207">
        <f>SUMIFS('август 2023'!$G$4:$G$1022,'август 2023'!$D$4:$D$1022,$B167,'август 2023'!$J$4:$J$1022,Y$1)</f>
        <v>0</v>
      </c>
      <c r="Z167" s="207">
        <f>SUMIFS('август 2023'!$G$4:$G$1022,'август 2023'!$D$4:$D$1022,$B167,'август 2023'!$J$4:$J$1022,Z$1)</f>
        <v>0</v>
      </c>
      <c r="AA167" s="207">
        <f>SUMIFS('август 2023'!$G$4:$G$1022,'август 2023'!$D$4:$D$1022,$B167,'август 2023'!$J$4:$J$1022,AA$1)</f>
        <v>0</v>
      </c>
      <c r="AB167" s="207">
        <f>SUMIFS('август 2023'!$G$4:$G$1022,'август 2023'!$D$4:$D$1022,$B167,'август 2023'!$J$4:$J$1022,AB$1)</f>
        <v>0</v>
      </c>
      <c r="AC167" s="207">
        <f>SUMIFS('август 2023'!$G$4:$G$1022,'август 2023'!$D$4:$D$1022,$B167,'август 2023'!$J$4:$J$1022,AC$1)</f>
        <v>0</v>
      </c>
      <c r="AD167" s="207">
        <f>SUMIFS('август 2023'!$G$4:$G$1022,'август 2023'!$D$4:$D$1022,$B167,'август 2023'!$J$4:$J$1022,AD$1)</f>
        <v>0</v>
      </c>
      <c r="AE167" s="207">
        <f>SUMIFS('август 2023'!$G$4:$G$1022,'август 2023'!$D$4:$D$1022,$B167,'август 2023'!$J$4:$J$1022,AE$1)</f>
        <v>0</v>
      </c>
      <c r="AF167" s="207">
        <f>SUMIFS('август 2023'!$G$4:$G$1022,'август 2023'!$D$4:$D$1022,$B167,'август 2023'!$J$4:$J$1022,AF$1)</f>
        <v>0</v>
      </c>
      <c r="AG167" s="207">
        <f>SUMIFS('август 2023'!$G$4:$G$1022,'август 2023'!$D$4:$D$1022,$B167,'август 2023'!$J$4:$J$1022,AG$1)</f>
        <v>0</v>
      </c>
      <c r="AH167" s="207">
        <f>SUMIFS('август 2023'!$G$4:$G$1022,'август 2023'!$D$4:$D$1022,$B167,'август 2023'!$J$4:$J$1022,AH$1)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SUMIFS('август 2023'!$G$4:$G$1022,'август 2023'!$D$4:$D$1022,$B168,'август 2023'!$J$4:$J$1022,D$1)</f>
        <v>0</v>
      </c>
      <c r="E168" s="207">
        <f>SUMIFS('август 2023'!$G$4:$G$1022,'август 2023'!$D$4:$D$1022,$B168,'август 2023'!$J$4:$J$1022,E$1)</f>
        <v>0</v>
      </c>
      <c r="F168" s="207">
        <f>SUMIFS('август 2023'!$G$4:$G$1022,'август 2023'!$D$4:$D$1022,$B168,'август 2023'!$J$4:$J$1022,F$1)</f>
        <v>0</v>
      </c>
      <c r="G168" s="207">
        <f>SUMIFS('август 2023'!$G$4:$G$1022,'август 2023'!$D$4:$D$1022,$B168,'август 2023'!$J$4:$J$1022,G$1)</f>
        <v>0</v>
      </c>
      <c r="H168" s="207">
        <f>SUMIFS('август 2023'!$G$4:$G$1022,'август 2023'!$D$4:$D$1022,$B168,'август 2023'!$J$4:$J$1022,H$1)</f>
        <v>0</v>
      </c>
      <c r="I168" s="207">
        <f>SUMIFS('август 2023'!$G$4:$G$1022,'август 2023'!$D$4:$D$1022,$B168,'август 2023'!$J$4:$J$1022,I$1)</f>
        <v>0</v>
      </c>
      <c r="J168" s="207">
        <f>SUMIFS('август 2023'!$G$4:$G$1022,'август 2023'!$D$4:$D$1022,$B168,'август 2023'!$J$4:$J$1022,J$1)</f>
        <v>0</v>
      </c>
      <c r="K168" s="207">
        <f>SUMIFS('август 2023'!$G$4:$G$1022,'август 2023'!$D$4:$D$1022,$B168,'август 2023'!$J$4:$J$1022,K$1)</f>
        <v>0</v>
      </c>
      <c r="L168" s="207">
        <f>SUMIFS('август 2023'!$G$4:$G$1022,'август 2023'!$D$4:$D$1022,$B168,'август 2023'!$J$4:$J$1022,L$1)</f>
        <v>0</v>
      </c>
      <c r="M168" s="207">
        <f>SUMIFS('август 2023'!$G$4:$G$1022,'август 2023'!$D$4:$D$1022,$B168,'август 2023'!$J$4:$J$1022,M$1)</f>
        <v>0</v>
      </c>
      <c r="N168" s="207">
        <f>SUMIFS('август 2023'!$G$4:$G$1022,'август 2023'!$D$4:$D$1022,$B168,'август 2023'!$J$4:$J$1022,N$1)</f>
        <v>0</v>
      </c>
      <c r="O168" s="207">
        <f>SUMIFS('август 2023'!$G$4:$G$1022,'август 2023'!$D$4:$D$1022,$B168,'август 2023'!$J$4:$J$1022,O$1)</f>
        <v>0</v>
      </c>
      <c r="P168" s="207">
        <f>SUMIFS('август 2023'!$G$4:$G$1022,'август 2023'!$D$4:$D$1022,$B168,'август 2023'!$J$4:$J$1022,P$1)</f>
        <v>0</v>
      </c>
      <c r="Q168" s="207">
        <f>SUMIFS('август 2023'!$G$4:$G$1022,'август 2023'!$D$4:$D$1022,$B168,'август 2023'!$J$4:$J$1022,Q$1)</f>
        <v>0</v>
      </c>
      <c r="R168" s="207">
        <f>SUMIFS('август 2023'!$G$4:$G$1022,'август 2023'!$D$4:$D$1022,$B168,'август 2023'!$J$4:$J$1022,R$1)</f>
        <v>0</v>
      </c>
      <c r="S168" s="207">
        <f>SUMIFS('август 2023'!$G$4:$G$1022,'август 2023'!$D$4:$D$1022,$B168,'август 2023'!$J$4:$J$1022,S$1)</f>
        <v>0</v>
      </c>
      <c r="T168" s="207">
        <f>SUMIFS('август 2023'!$G$4:$G$1022,'август 2023'!$D$4:$D$1022,$B168,'август 2023'!$J$4:$J$1022,T$1)</f>
        <v>0</v>
      </c>
      <c r="U168" s="207">
        <f>SUMIFS('август 2023'!$G$4:$G$1022,'август 2023'!$D$4:$D$1022,$B168,'август 2023'!$J$4:$J$1022,U$1)</f>
        <v>0</v>
      </c>
      <c r="V168" s="207">
        <f>SUMIFS('август 2023'!$G$4:$G$1022,'август 2023'!$D$4:$D$1022,$B168,'август 2023'!$J$4:$J$1022,V$1)</f>
        <v>0</v>
      </c>
      <c r="W168" s="207">
        <f>SUMIFS('август 2023'!$G$4:$G$1022,'август 2023'!$D$4:$D$1022,$B168,'август 2023'!$J$4:$J$1022,W$1)</f>
        <v>0</v>
      </c>
      <c r="X168" s="207">
        <f>SUMIFS('август 2023'!$G$4:$G$1022,'август 2023'!$D$4:$D$1022,$B168,'август 2023'!$J$4:$J$1022,X$1)</f>
        <v>0</v>
      </c>
      <c r="Y168" s="207">
        <f>SUMIFS('август 2023'!$G$4:$G$1022,'август 2023'!$D$4:$D$1022,$B168,'август 2023'!$J$4:$J$1022,Y$1)</f>
        <v>0</v>
      </c>
      <c r="Z168" s="207">
        <f>SUMIFS('август 2023'!$G$4:$G$1022,'август 2023'!$D$4:$D$1022,$B168,'август 2023'!$J$4:$J$1022,Z$1)</f>
        <v>0</v>
      </c>
      <c r="AA168" s="207">
        <f>SUMIFS('август 2023'!$G$4:$G$1022,'август 2023'!$D$4:$D$1022,$B168,'август 2023'!$J$4:$J$1022,AA$1)</f>
        <v>0</v>
      </c>
      <c r="AB168" s="207">
        <f>SUMIFS('август 2023'!$G$4:$G$1022,'август 2023'!$D$4:$D$1022,$B168,'август 2023'!$J$4:$J$1022,AB$1)</f>
        <v>0</v>
      </c>
      <c r="AC168" s="207">
        <f>SUMIFS('август 2023'!$G$4:$G$1022,'август 2023'!$D$4:$D$1022,$B168,'август 2023'!$J$4:$J$1022,AC$1)</f>
        <v>0</v>
      </c>
      <c r="AD168" s="207">
        <f>SUMIFS('август 2023'!$G$4:$G$1022,'август 2023'!$D$4:$D$1022,$B168,'август 2023'!$J$4:$J$1022,AD$1)</f>
        <v>0</v>
      </c>
      <c r="AE168" s="207">
        <f>SUMIFS('август 2023'!$G$4:$G$1022,'август 2023'!$D$4:$D$1022,$B168,'август 2023'!$J$4:$J$1022,AE$1)</f>
        <v>0</v>
      </c>
      <c r="AF168" s="207">
        <f>SUMIFS('август 2023'!$G$4:$G$1022,'август 2023'!$D$4:$D$1022,$B168,'август 2023'!$J$4:$J$1022,AF$1)</f>
        <v>0</v>
      </c>
      <c r="AG168" s="207">
        <f>SUMIFS('август 2023'!$G$4:$G$1022,'август 2023'!$D$4:$D$1022,$B168,'август 2023'!$J$4:$J$1022,AG$1)</f>
        <v>0</v>
      </c>
      <c r="AH168" s="207">
        <f>SUMIFS('август 2023'!$G$4:$G$1022,'август 2023'!$D$4:$D$1022,$B168,'август 2023'!$J$4:$J$1022,AH$1)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SUMIFS('август 2023'!$G$4:$G$1022,'август 2023'!$D$4:$D$1022,$B169,'август 2023'!$J$4:$J$1022,D$1)</f>
        <v>0</v>
      </c>
      <c r="E169" s="207">
        <f>SUMIFS('август 2023'!$G$4:$G$1022,'август 2023'!$D$4:$D$1022,$B169,'август 2023'!$J$4:$J$1022,E$1)</f>
        <v>0</v>
      </c>
      <c r="F169" s="207">
        <f>SUMIFS('август 2023'!$G$4:$G$1022,'август 2023'!$D$4:$D$1022,$B169,'август 2023'!$J$4:$J$1022,F$1)</f>
        <v>0</v>
      </c>
      <c r="G169" s="207">
        <f>SUMIFS('август 2023'!$G$4:$G$1022,'август 2023'!$D$4:$D$1022,$B169,'август 2023'!$J$4:$J$1022,G$1)</f>
        <v>0</v>
      </c>
      <c r="H169" s="207">
        <f>SUMIFS('август 2023'!$G$4:$G$1022,'август 2023'!$D$4:$D$1022,$B169,'август 2023'!$J$4:$J$1022,H$1)</f>
        <v>0</v>
      </c>
      <c r="I169" s="207">
        <f>SUMIFS('август 2023'!$G$4:$G$1022,'август 2023'!$D$4:$D$1022,$B169,'август 2023'!$J$4:$J$1022,I$1)</f>
        <v>0</v>
      </c>
      <c r="J169" s="207">
        <f>SUMIFS('август 2023'!$G$4:$G$1022,'август 2023'!$D$4:$D$1022,$B169,'август 2023'!$J$4:$J$1022,J$1)</f>
        <v>0</v>
      </c>
      <c r="K169" s="207">
        <f>SUMIFS('август 2023'!$G$4:$G$1022,'август 2023'!$D$4:$D$1022,$B169,'август 2023'!$J$4:$J$1022,K$1)</f>
        <v>0</v>
      </c>
      <c r="L169" s="207">
        <f>SUMIFS('август 2023'!$G$4:$G$1022,'август 2023'!$D$4:$D$1022,$B169,'август 2023'!$J$4:$J$1022,L$1)</f>
        <v>0</v>
      </c>
      <c r="M169" s="207">
        <f>SUMIFS('август 2023'!$G$4:$G$1022,'август 2023'!$D$4:$D$1022,$B169,'август 2023'!$J$4:$J$1022,M$1)</f>
        <v>0</v>
      </c>
      <c r="N169" s="207">
        <f>SUMIFS('август 2023'!$G$4:$G$1022,'август 2023'!$D$4:$D$1022,$B169,'август 2023'!$J$4:$J$1022,N$1)</f>
        <v>0</v>
      </c>
      <c r="O169" s="207">
        <f>SUMIFS('август 2023'!$G$4:$G$1022,'август 2023'!$D$4:$D$1022,$B169,'август 2023'!$J$4:$J$1022,O$1)</f>
        <v>0</v>
      </c>
      <c r="P169" s="207">
        <f>SUMIFS('август 2023'!$G$4:$G$1022,'август 2023'!$D$4:$D$1022,$B169,'август 2023'!$J$4:$J$1022,P$1)</f>
        <v>0</v>
      </c>
      <c r="Q169" s="207">
        <f>SUMIFS('август 2023'!$G$4:$G$1022,'август 2023'!$D$4:$D$1022,$B169,'август 2023'!$J$4:$J$1022,Q$1)</f>
        <v>0</v>
      </c>
      <c r="R169" s="207">
        <f>SUMIFS('август 2023'!$G$4:$G$1022,'август 2023'!$D$4:$D$1022,$B169,'август 2023'!$J$4:$J$1022,R$1)</f>
        <v>0</v>
      </c>
      <c r="S169" s="207">
        <f>SUMIFS('август 2023'!$G$4:$G$1022,'август 2023'!$D$4:$D$1022,$B169,'август 2023'!$J$4:$J$1022,S$1)</f>
        <v>0</v>
      </c>
      <c r="T169" s="207">
        <f>SUMIFS('август 2023'!$G$4:$G$1022,'август 2023'!$D$4:$D$1022,$B169,'август 2023'!$J$4:$J$1022,T$1)</f>
        <v>0</v>
      </c>
      <c r="U169" s="207">
        <f>SUMIFS('август 2023'!$G$4:$G$1022,'август 2023'!$D$4:$D$1022,$B169,'август 2023'!$J$4:$J$1022,U$1)</f>
        <v>0</v>
      </c>
      <c r="V169" s="207">
        <f>SUMIFS('август 2023'!$G$4:$G$1022,'август 2023'!$D$4:$D$1022,$B169,'август 2023'!$J$4:$J$1022,V$1)</f>
        <v>0</v>
      </c>
      <c r="W169" s="207">
        <f>SUMIFS('август 2023'!$G$4:$G$1022,'август 2023'!$D$4:$D$1022,$B169,'август 2023'!$J$4:$J$1022,W$1)</f>
        <v>0</v>
      </c>
      <c r="X169" s="207">
        <f>SUMIFS('август 2023'!$G$4:$G$1022,'август 2023'!$D$4:$D$1022,$B169,'август 2023'!$J$4:$J$1022,X$1)</f>
        <v>0</v>
      </c>
      <c r="Y169" s="207">
        <f>SUMIFS('август 2023'!$G$4:$G$1022,'август 2023'!$D$4:$D$1022,$B169,'август 2023'!$J$4:$J$1022,Y$1)</f>
        <v>0</v>
      </c>
      <c r="Z169" s="207">
        <f>SUMIFS('август 2023'!$G$4:$G$1022,'август 2023'!$D$4:$D$1022,$B169,'август 2023'!$J$4:$J$1022,Z$1)</f>
        <v>0</v>
      </c>
      <c r="AA169" s="207">
        <f>SUMIFS('август 2023'!$G$4:$G$1022,'август 2023'!$D$4:$D$1022,$B169,'август 2023'!$J$4:$J$1022,AA$1)</f>
        <v>0</v>
      </c>
      <c r="AB169" s="207">
        <f>SUMIFS('август 2023'!$G$4:$G$1022,'август 2023'!$D$4:$D$1022,$B169,'август 2023'!$J$4:$J$1022,AB$1)</f>
        <v>0</v>
      </c>
      <c r="AC169" s="207">
        <f>SUMIFS('август 2023'!$G$4:$G$1022,'август 2023'!$D$4:$D$1022,$B169,'август 2023'!$J$4:$J$1022,AC$1)</f>
        <v>0</v>
      </c>
      <c r="AD169" s="207">
        <f>SUMIFS('август 2023'!$G$4:$G$1022,'август 2023'!$D$4:$D$1022,$B169,'август 2023'!$J$4:$J$1022,AD$1)</f>
        <v>0</v>
      </c>
      <c r="AE169" s="207">
        <f>SUMIFS('август 2023'!$G$4:$G$1022,'август 2023'!$D$4:$D$1022,$B169,'август 2023'!$J$4:$J$1022,AE$1)</f>
        <v>0</v>
      </c>
      <c r="AF169" s="207">
        <f>SUMIFS('август 2023'!$G$4:$G$1022,'август 2023'!$D$4:$D$1022,$B169,'август 2023'!$J$4:$J$1022,AF$1)</f>
        <v>0</v>
      </c>
      <c r="AG169" s="207">
        <f>SUMIFS('август 2023'!$G$4:$G$1022,'август 2023'!$D$4:$D$1022,$B169,'август 2023'!$J$4:$J$1022,AG$1)</f>
        <v>0</v>
      </c>
      <c r="AH169" s="207">
        <f>SUMIFS('август 2023'!$G$4:$G$1022,'август 2023'!$D$4:$D$1022,$B169,'август 2023'!$J$4:$J$1022,AH$1)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SUMIFS('август 2023'!$G$4:$G$1022,'август 2023'!$D$4:$D$1022,$B170,'август 2023'!$J$4:$J$1022,D$1)</f>
        <v>0</v>
      </c>
      <c r="E170" s="207">
        <f>SUMIFS('август 2023'!$G$4:$G$1022,'август 2023'!$D$4:$D$1022,$B170,'август 2023'!$J$4:$J$1022,E$1)</f>
        <v>0</v>
      </c>
      <c r="F170" s="207">
        <f>SUMIFS('август 2023'!$G$4:$G$1022,'август 2023'!$D$4:$D$1022,$B170,'август 2023'!$J$4:$J$1022,F$1)</f>
        <v>0</v>
      </c>
      <c r="G170" s="207">
        <f>SUMIFS('август 2023'!$G$4:$G$1022,'август 2023'!$D$4:$D$1022,$B170,'август 2023'!$J$4:$J$1022,G$1)</f>
        <v>0</v>
      </c>
      <c r="H170" s="207">
        <f>SUMIFS('август 2023'!$G$4:$G$1022,'август 2023'!$D$4:$D$1022,$B170,'август 2023'!$J$4:$J$1022,H$1)</f>
        <v>0</v>
      </c>
      <c r="I170" s="207">
        <f>SUMIFS('август 2023'!$G$4:$G$1022,'август 2023'!$D$4:$D$1022,$B170,'август 2023'!$J$4:$J$1022,I$1)</f>
        <v>0</v>
      </c>
      <c r="J170" s="207">
        <f>SUMIFS('август 2023'!$G$4:$G$1022,'август 2023'!$D$4:$D$1022,$B170,'август 2023'!$J$4:$J$1022,J$1)</f>
        <v>0</v>
      </c>
      <c r="K170" s="207">
        <f>SUMIFS('август 2023'!$G$4:$G$1022,'август 2023'!$D$4:$D$1022,$B170,'август 2023'!$J$4:$J$1022,K$1)</f>
        <v>0</v>
      </c>
      <c r="L170" s="207">
        <f>SUMIFS('август 2023'!$G$4:$G$1022,'август 2023'!$D$4:$D$1022,$B170,'август 2023'!$J$4:$J$1022,L$1)</f>
        <v>0</v>
      </c>
      <c r="M170" s="207">
        <f>SUMIFS('август 2023'!$G$4:$G$1022,'август 2023'!$D$4:$D$1022,$B170,'август 2023'!$J$4:$J$1022,M$1)</f>
        <v>0</v>
      </c>
      <c r="N170" s="207">
        <f>SUMIFS('август 2023'!$G$4:$G$1022,'август 2023'!$D$4:$D$1022,$B170,'август 2023'!$J$4:$J$1022,N$1)</f>
        <v>0</v>
      </c>
      <c r="O170" s="207">
        <f>SUMIFS('август 2023'!$G$4:$G$1022,'август 2023'!$D$4:$D$1022,$B170,'август 2023'!$J$4:$J$1022,O$1)</f>
        <v>0</v>
      </c>
      <c r="P170" s="207">
        <f>SUMIFS('август 2023'!$G$4:$G$1022,'август 2023'!$D$4:$D$1022,$B170,'август 2023'!$J$4:$J$1022,P$1)</f>
        <v>0</v>
      </c>
      <c r="Q170" s="207">
        <f>SUMIFS('август 2023'!$G$4:$G$1022,'август 2023'!$D$4:$D$1022,$B170,'август 2023'!$J$4:$J$1022,Q$1)</f>
        <v>0</v>
      </c>
      <c r="R170" s="207">
        <f>SUMIFS('август 2023'!$G$4:$G$1022,'август 2023'!$D$4:$D$1022,$B170,'август 2023'!$J$4:$J$1022,R$1)</f>
        <v>0</v>
      </c>
      <c r="S170" s="207">
        <f>SUMIFS('август 2023'!$G$4:$G$1022,'август 2023'!$D$4:$D$1022,$B170,'август 2023'!$J$4:$J$1022,S$1)</f>
        <v>0</v>
      </c>
      <c r="T170" s="207">
        <f>SUMIFS('август 2023'!$G$4:$G$1022,'август 2023'!$D$4:$D$1022,$B170,'август 2023'!$J$4:$J$1022,T$1)</f>
        <v>0</v>
      </c>
      <c r="U170" s="207">
        <f>SUMIFS('август 2023'!$G$4:$G$1022,'август 2023'!$D$4:$D$1022,$B170,'август 2023'!$J$4:$J$1022,U$1)</f>
        <v>0</v>
      </c>
      <c r="V170" s="207">
        <f>SUMIFS('август 2023'!$G$4:$G$1022,'август 2023'!$D$4:$D$1022,$B170,'август 2023'!$J$4:$J$1022,V$1)</f>
        <v>0</v>
      </c>
      <c r="W170" s="207">
        <f>SUMIFS('август 2023'!$G$4:$G$1022,'август 2023'!$D$4:$D$1022,$B170,'август 2023'!$J$4:$J$1022,W$1)</f>
        <v>0</v>
      </c>
      <c r="X170" s="207">
        <f>SUMIFS('август 2023'!$G$4:$G$1022,'август 2023'!$D$4:$D$1022,$B170,'август 2023'!$J$4:$J$1022,X$1)</f>
        <v>0</v>
      </c>
      <c r="Y170" s="207">
        <f>SUMIFS('август 2023'!$G$4:$G$1022,'август 2023'!$D$4:$D$1022,$B170,'август 2023'!$J$4:$J$1022,Y$1)</f>
        <v>0</v>
      </c>
      <c r="Z170" s="207">
        <f>SUMIFS('август 2023'!$G$4:$G$1022,'август 2023'!$D$4:$D$1022,$B170,'август 2023'!$J$4:$J$1022,Z$1)</f>
        <v>0</v>
      </c>
      <c r="AA170" s="207">
        <f>SUMIFS('август 2023'!$G$4:$G$1022,'август 2023'!$D$4:$D$1022,$B170,'август 2023'!$J$4:$J$1022,AA$1)</f>
        <v>0</v>
      </c>
      <c r="AB170" s="207">
        <f>SUMIFS('август 2023'!$G$4:$G$1022,'август 2023'!$D$4:$D$1022,$B170,'август 2023'!$J$4:$J$1022,AB$1)</f>
        <v>0</v>
      </c>
      <c r="AC170" s="207">
        <f>SUMIFS('август 2023'!$G$4:$G$1022,'август 2023'!$D$4:$D$1022,$B170,'август 2023'!$J$4:$J$1022,AC$1)</f>
        <v>0</v>
      </c>
      <c r="AD170" s="207">
        <f>SUMIFS('август 2023'!$G$4:$G$1022,'август 2023'!$D$4:$D$1022,$B170,'август 2023'!$J$4:$J$1022,AD$1)</f>
        <v>0</v>
      </c>
      <c r="AE170" s="207">
        <f>SUMIFS('август 2023'!$G$4:$G$1022,'август 2023'!$D$4:$D$1022,$B170,'август 2023'!$J$4:$J$1022,AE$1)</f>
        <v>0</v>
      </c>
      <c r="AF170" s="207">
        <f>SUMIFS('август 2023'!$G$4:$G$1022,'август 2023'!$D$4:$D$1022,$B170,'август 2023'!$J$4:$J$1022,AF$1)</f>
        <v>0</v>
      </c>
      <c r="AG170" s="207">
        <f>SUMIFS('август 2023'!$G$4:$G$1022,'август 2023'!$D$4:$D$1022,$B170,'август 2023'!$J$4:$J$1022,AG$1)</f>
        <v>0</v>
      </c>
      <c r="AH170" s="207">
        <f>SUMIFS('август 2023'!$G$4:$G$1022,'август 2023'!$D$4:$D$1022,$B170,'август 2023'!$J$4:$J$1022,AH$1)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SUMIFS('август 2023'!$G$4:$G$1022,'август 2023'!$D$4:$D$1022,$B171,'август 2023'!$J$4:$J$1022,D$1)</f>
        <v>0</v>
      </c>
      <c r="E171" s="207">
        <f>SUMIFS('август 2023'!$G$4:$G$1022,'август 2023'!$D$4:$D$1022,$B171,'август 2023'!$J$4:$J$1022,E$1)</f>
        <v>0</v>
      </c>
      <c r="F171" s="207">
        <f>SUMIFS('август 2023'!$G$4:$G$1022,'август 2023'!$D$4:$D$1022,$B171,'август 2023'!$J$4:$J$1022,F$1)</f>
        <v>0</v>
      </c>
      <c r="G171" s="207">
        <f>SUMIFS('август 2023'!$G$4:$G$1022,'август 2023'!$D$4:$D$1022,$B171,'август 2023'!$J$4:$J$1022,G$1)</f>
        <v>0</v>
      </c>
      <c r="H171" s="207">
        <f>SUMIFS('август 2023'!$G$4:$G$1022,'август 2023'!$D$4:$D$1022,$B171,'август 2023'!$J$4:$J$1022,H$1)</f>
        <v>0</v>
      </c>
      <c r="I171" s="207">
        <f>SUMIFS('август 2023'!$G$4:$G$1022,'август 2023'!$D$4:$D$1022,$B171,'август 2023'!$J$4:$J$1022,I$1)</f>
        <v>0</v>
      </c>
      <c r="J171" s="207">
        <f>SUMIFS('август 2023'!$G$4:$G$1022,'август 2023'!$D$4:$D$1022,$B171,'август 2023'!$J$4:$J$1022,J$1)</f>
        <v>0</v>
      </c>
      <c r="K171" s="207">
        <f>SUMIFS('август 2023'!$G$4:$G$1022,'август 2023'!$D$4:$D$1022,$B171,'август 2023'!$J$4:$J$1022,K$1)</f>
        <v>0</v>
      </c>
      <c r="L171" s="207">
        <f>SUMIFS('август 2023'!$G$4:$G$1022,'август 2023'!$D$4:$D$1022,$B171,'август 2023'!$J$4:$J$1022,L$1)</f>
        <v>0</v>
      </c>
      <c r="M171" s="207">
        <f>SUMIFS('август 2023'!$G$4:$G$1022,'август 2023'!$D$4:$D$1022,$B171,'август 2023'!$J$4:$J$1022,M$1)</f>
        <v>0</v>
      </c>
      <c r="N171" s="207">
        <f>SUMIFS('август 2023'!$G$4:$G$1022,'август 2023'!$D$4:$D$1022,$B171,'август 2023'!$J$4:$J$1022,N$1)</f>
        <v>0</v>
      </c>
      <c r="O171" s="207">
        <f>SUMIFS('август 2023'!$G$4:$G$1022,'август 2023'!$D$4:$D$1022,$B171,'август 2023'!$J$4:$J$1022,O$1)</f>
        <v>0</v>
      </c>
      <c r="P171" s="207">
        <f>SUMIFS('август 2023'!$G$4:$G$1022,'август 2023'!$D$4:$D$1022,$B171,'август 2023'!$J$4:$J$1022,P$1)</f>
        <v>0</v>
      </c>
      <c r="Q171" s="207">
        <f>SUMIFS('август 2023'!$G$4:$G$1022,'август 2023'!$D$4:$D$1022,$B171,'август 2023'!$J$4:$J$1022,Q$1)</f>
        <v>0</v>
      </c>
      <c r="R171" s="207">
        <f>SUMIFS('август 2023'!$G$4:$G$1022,'август 2023'!$D$4:$D$1022,$B171,'август 2023'!$J$4:$J$1022,R$1)</f>
        <v>0</v>
      </c>
      <c r="S171" s="207">
        <f>SUMIFS('август 2023'!$G$4:$G$1022,'август 2023'!$D$4:$D$1022,$B171,'август 2023'!$J$4:$J$1022,S$1)</f>
        <v>0</v>
      </c>
      <c r="T171" s="207">
        <f>SUMIFS('август 2023'!$G$4:$G$1022,'август 2023'!$D$4:$D$1022,$B171,'август 2023'!$J$4:$J$1022,T$1)</f>
        <v>0</v>
      </c>
      <c r="U171" s="207">
        <f>SUMIFS('август 2023'!$G$4:$G$1022,'август 2023'!$D$4:$D$1022,$B171,'август 2023'!$J$4:$J$1022,U$1)</f>
        <v>0</v>
      </c>
      <c r="V171" s="207">
        <f>SUMIFS('август 2023'!$G$4:$G$1022,'август 2023'!$D$4:$D$1022,$B171,'август 2023'!$J$4:$J$1022,V$1)</f>
        <v>0</v>
      </c>
      <c r="W171" s="207">
        <f>SUMIFS('август 2023'!$G$4:$G$1022,'август 2023'!$D$4:$D$1022,$B171,'август 2023'!$J$4:$J$1022,W$1)</f>
        <v>0</v>
      </c>
      <c r="X171" s="207">
        <f>SUMIFS('август 2023'!$G$4:$G$1022,'август 2023'!$D$4:$D$1022,$B171,'август 2023'!$J$4:$J$1022,X$1)</f>
        <v>0</v>
      </c>
      <c r="Y171" s="207">
        <f>SUMIFS('август 2023'!$G$4:$G$1022,'август 2023'!$D$4:$D$1022,$B171,'август 2023'!$J$4:$J$1022,Y$1)</f>
        <v>0</v>
      </c>
      <c r="Z171" s="207">
        <f>SUMIFS('август 2023'!$G$4:$G$1022,'август 2023'!$D$4:$D$1022,$B171,'август 2023'!$J$4:$J$1022,Z$1)</f>
        <v>0</v>
      </c>
      <c r="AA171" s="207">
        <f>SUMIFS('август 2023'!$G$4:$G$1022,'август 2023'!$D$4:$D$1022,$B171,'август 2023'!$J$4:$J$1022,AA$1)</f>
        <v>0</v>
      </c>
      <c r="AB171" s="207">
        <f>SUMIFS('август 2023'!$G$4:$G$1022,'август 2023'!$D$4:$D$1022,$B171,'август 2023'!$J$4:$J$1022,AB$1)</f>
        <v>0</v>
      </c>
      <c r="AC171" s="207">
        <f>SUMIFS('август 2023'!$G$4:$G$1022,'август 2023'!$D$4:$D$1022,$B171,'август 2023'!$J$4:$J$1022,AC$1)</f>
        <v>0</v>
      </c>
      <c r="AD171" s="207">
        <f>SUMIFS('август 2023'!$G$4:$G$1022,'август 2023'!$D$4:$D$1022,$B171,'август 2023'!$J$4:$J$1022,AD$1)</f>
        <v>0</v>
      </c>
      <c r="AE171" s="207">
        <f>SUMIFS('август 2023'!$G$4:$G$1022,'август 2023'!$D$4:$D$1022,$B171,'август 2023'!$J$4:$J$1022,AE$1)</f>
        <v>0</v>
      </c>
      <c r="AF171" s="207">
        <f>SUMIFS('август 2023'!$G$4:$G$1022,'август 2023'!$D$4:$D$1022,$B171,'август 2023'!$J$4:$J$1022,AF$1)</f>
        <v>0</v>
      </c>
      <c r="AG171" s="207">
        <f>SUMIFS('август 2023'!$G$4:$G$1022,'август 2023'!$D$4:$D$1022,$B171,'август 2023'!$J$4:$J$1022,AG$1)</f>
        <v>0</v>
      </c>
      <c r="AH171" s="207">
        <f>SUMIFS('август 2023'!$G$4:$G$1022,'август 2023'!$D$4:$D$1022,$B171,'август 2023'!$J$4:$J$1022,AH$1)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SUMIFS('август 2023'!$G$4:$G$1022,'август 2023'!$D$4:$D$1022,$B172,'август 2023'!$J$4:$J$1022,D$1)</f>
        <v>0</v>
      </c>
      <c r="E172" s="207">
        <f>SUMIFS('август 2023'!$G$4:$G$1022,'август 2023'!$D$4:$D$1022,$B172,'август 2023'!$J$4:$J$1022,E$1)</f>
        <v>0</v>
      </c>
      <c r="F172" s="207">
        <f>SUMIFS('август 2023'!$G$4:$G$1022,'август 2023'!$D$4:$D$1022,$B172,'август 2023'!$J$4:$J$1022,F$1)</f>
        <v>0</v>
      </c>
      <c r="G172" s="207">
        <f>SUMIFS('август 2023'!$G$4:$G$1022,'август 2023'!$D$4:$D$1022,$B172,'август 2023'!$J$4:$J$1022,G$1)</f>
        <v>0</v>
      </c>
      <c r="H172" s="207">
        <f>SUMIFS('август 2023'!$G$4:$G$1022,'август 2023'!$D$4:$D$1022,$B172,'август 2023'!$J$4:$J$1022,H$1)</f>
        <v>0</v>
      </c>
      <c r="I172" s="207">
        <f>SUMIFS('август 2023'!$G$4:$G$1022,'август 2023'!$D$4:$D$1022,$B172,'август 2023'!$J$4:$J$1022,I$1)</f>
        <v>0</v>
      </c>
      <c r="J172" s="207">
        <f>SUMIFS('август 2023'!$G$4:$G$1022,'август 2023'!$D$4:$D$1022,$B172,'август 2023'!$J$4:$J$1022,J$1)</f>
        <v>0</v>
      </c>
      <c r="K172" s="207">
        <f>SUMIFS('август 2023'!$G$4:$G$1022,'август 2023'!$D$4:$D$1022,$B172,'август 2023'!$J$4:$J$1022,K$1)</f>
        <v>0</v>
      </c>
      <c r="L172" s="207">
        <f>SUMIFS('август 2023'!$G$4:$G$1022,'август 2023'!$D$4:$D$1022,$B172,'август 2023'!$J$4:$J$1022,L$1)</f>
        <v>0</v>
      </c>
      <c r="M172" s="207">
        <f>SUMIFS('август 2023'!$G$4:$G$1022,'август 2023'!$D$4:$D$1022,$B172,'август 2023'!$J$4:$J$1022,M$1)</f>
        <v>0</v>
      </c>
      <c r="N172" s="207">
        <f>SUMIFS('август 2023'!$G$4:$G$1022,'август 2023'!$D$4:$D$1022,$B172,'август 2023'!$J$4:$J$1022,N$1)</f>
        <v>0</v>
      </c>
      <c r="O172" s="207">
        <f>SUMIFS('август 2023'!$G$4:$G$1022,'август 2023'!$D$4:$D$1022,$B172,'август 2023'!$J$4:$J$1022,O$1)</f>
        <v>0</v>
      </c>
      <c r="P172" s="207">
        <f>SUMIFS('август 2023'!$G$4:$G$1022,'август 2023'!$D$4:$D$1022,$B172,'август 2023'!$J$4:$J$1022,P$1)</f>
        <v>0</v>
      </c>
      <c r="Q172" s="207">
        <f>SUMIFS('август 2023'!$G$4:$G$1022,'август 2023'!$D$4:$D$1022,$B172,'август 2023'!$J$4:$J$1022,Q$1)</f>
        <v>0</v>
      </c>
      <c r="R172" s="207">
        <f>SUMIFS('август 2023'!$G$4:$G$1022,'август 2023'!$D$4:$D$1022,$B172,'август 2023'!$J$4:$J$1022,R$1)</f>
        <v>0</v>
      </c>
      <c r="S172" s="207">
        <f>SUMIFS('август 2023'!$G$4:$G$1022,'август 2023'!$D$4:$D$1022,$B172,'август 2023'!$J$4:$J$1022,S$1)</f>
        <v>0</v>
      </c>
      <c r="T172" s="207">
        <f>SUMIFS('август 2023'!$G$4:$G$1022,'август 2023'!$D$4:$D$1022,$B172,'август 2023'!$J$4:$J$1022,T$1)</f>
        <v>0</v>
      </c>
      <c r="U172" s="207">
        <f>SUMIFS('август 2023'!$G$4:$G$1022,'август 2023'!$D$4:$D$1022,$B172,'август 2023'!$J$4:$J$1022,U$1)</f>
        <v>0</v>
      </c>
      <c r="V172" s="207">
        <f>SUMIFS('август 2023'!$G$4:$G$1022,'август 2023'!$D$4:$D$1022,$B172,'август 2023'!$J$4:$J$1022,V$1)</f>
        <v>0</v>
      </c>
      <c r="W172" s="207">
        <f>SUMIFS('август 2023'!$G$4:$G$1022,'август 2023'!$D$4:$D$1022,$B172,'август 2023'!$J$4:$J$1022,W$1)</f>
        <v>0</v>
      </c>
      <c r="X172" s="207">
        <f>SUMIFS('август 2023'!$G$4:$G$1022,'август 2023'!$D$4:$D$1022,$B172,'август 2023'!$J$4:$J$1022,X$1)</f>
        <v>0</v>
      </c>
      <c r="Y172" s="207">
        <f>SUMIFS('август 2023'!$G$4:$G$1022,'август 2023'!$D$4:$D$1022,$B172,'август 2023'!$J$4:$J$1022,Y$1)</f>
        <v>0</v>
      </c>
      <c r="Z172" s="207">
        <f>SUMIFS('август 2023'!$G$4:$G$1022,'август 2023'!$D$4:$D$1022,$B172,'август 2023'!$J$4:$J$1022,Z$1)</f>
        <v>0</v>
      </c>
      <c r="AA172" s="207">
        <f>SUMIFS('август 2023'!$G$4:$G$1022,'август 2023'!$D$4:$D$1022,$B172,'август 2023'!$J$4:$J$1022,AA$1)</f>
        <v>0</v>
      </c>
      <c r="AB172" s="207">
        <f>SUMIFS('август 2023'!$G$4:$G$1022,'август 2023'!$D$4:$D$1022,$B172,'август 2023'!$J$4:$J$1022,AB$1)</f>
        <v>0</v>
      </c>
      <c r="AC172" s="207">
        <f>SUMIFS('август 2023'!$G$4:$G$1022,'август 2023'!$D$4:$D$1022,$B172,'август 2023'!$J$4:$J$1022,AC$1)</f>
        <v>0</v>
      </c>
      <c r="AD172" s="207">
        <f>SUMIFS('август 2023'!$G$4:$G$1022,'август 2023'!$D$4:$D$1022,$B172,'август 2023'!$J$4:$J$1022,AD$1)</f>
        <v>0</v>
      </c>
      <c r="AE172" s="207">
        <f>SUMIFS('август 2023'!$G$4:$G$1022,'август 2023'!$D$4:$D$1022,$B172,'август 2023'!$J$4:$J$1022,AE$1)</f>
        <v>0</v>
      </c>
      <c r="AF172" s="207">
        <f>SUMIFS('август 2023'!$G$4:$G$1022,'август 2023'!$D$4:$D$1022,$B172,'август 2023'!$J$4:$J$1022,AF$1)</f>
        <v>0</v>
      </c>
      <c r="AG172" s="207">
        <f>SUMIFS('август 2023'!$G$4:$G$1022,'август 2023'!$D$4:$D$1022,$B172,'август 2023'!$J$4:$J$1022,AG$1)</f>
        <v>0</v>
      </c>
      <c r="AH172" s="207">
        <f>SUMIFS('август 2023'!$G$4:$G$1022,'август 2023'!$D$4:$D$1022,$B172,'август 2023'!$J$4:$J$1022,AH$1)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SUMIFS('август 2023'!$G$4:$G$1022,'август 2023'!$D$4:$D$1022,$B173,'август 2023'!$J$4:$J$1022,D$1)</f>
        <v>0</v>
      </c>
      <c r="E173" s="207">
        <f>SUMIFS('август 2023'!$G$4:$G$1022,'август 2023'!$D$4:$D$1022,$B173,'август 2023'!$J$4:$J$1022,E$1)</f>
        <v>0</v>
      </c>
      <c r="F173" s="207">
        <f>SUMIFS('август 2023'!$G$4:$G$1022,'август 2023'!$D$4:$D$1022,$B173,'август 2023'!$J$4:$J$1022,F$1)</f>
        <v>0</v>
      </c>
      <c r="G173" s="207">
        <f>SUMIFS('август 2023'!$G$4:$G$1022,'август 2023'!$D$4:$D$1022,$B173,'август 2023'!$J$4:$J$1022,G$1)</f>
        <v>0</v>
      </c>
      <c r="H173" s="207">
        <f>SUMIFS('август 2023'!$G$4:$G$1022,'август 2023'!$D$4:$D$1022,$B173,'август 2023'!$J$4:$J$1022,H$1)</f>
        <v>0</v>
      </c>
      <c r="I173" s="207">
        <f>SUMIFS('август 2023'!$G$4:$G$1022,'август 2023'!$D$4:$D$1022,$B173,'август 2023'!$J$4:$J$1022,I$1)</f>
        <v>0</v>
      </c>
      <c r="J173" s="207">
        <f>SUMIFS('август 2023'!$G$4:$G$1022,'август 2023'!$D$4:$D$1022,$B173,'август 2023'!$J$4:$J$1022,J$1)</f>
        <v>0</v>
      </c>
      <c r="K173" s="207">
        <f>SUMIFS('август 2023'!$G$4:$G$1022,'август 2023'!$D$4:$D$1022,$B173,'август 2023'!$J$4:$J$1022,K$1)</f>
        <v>0</v>
      </c>
      <c r="L173" s="207">
        <f>SUMIFS('август 2023'!$G$4:$G$1022,'август 2023'!$D$4:$D$1022,$B173,'август 2023'!$J$4:$J$1022,L$1)</f>
        <v>0</v>
      </c>
      <c r="M173" s="207">
        <f>SUMIFS('август 2023'!$G$4:$G$1022,'август 2023'!$D$4:$D$1022,$B173,'август 2023'!$J$4:$J$1022,M$1)</f>
        <v>0</v>
      </c>
      <c r="N173" s="207">
        <f>SUMIFS('август 2023'!$G$4:$G$1022,'август 2023'!$D$4:$D$1022,$B173,'август 2023'!$J$4:$J$1022,N$1)</f>
        <v>0</v>
      </c>
      <c r="O173" s="207">
        <f>SUMIFS('август 2023'!$G$4:$G$1022,'август 2023'!$D$4:$D$1022,$B173,'август 2023'!$J$4:$J$1022,O$1)</f>
        <v>0</v>
      </c>
      <c r="P173" s="207">
        <f>SUMIFS('август 2023'!$G$4:$G$1022,'август 2023'!$D$4:$D$1022,$B173,'август 2023'!$J$4:$J$1022,P$1)</f>
        <v>0</v>
      </c>
      <c r="Q173" s="207">
        <f>SUMIFS('август 2023'!$G$4:$G$1022,'август 2023'!$D$4:$D$1022,$B173,'август 2023'!$J$4:$J$1022,Q$1)</f>
        <v>0</v>
      </c>
      <c r="R173" s="207">
        <f>SUMIFS('август 2023'!$G$4:$G$1022,'август 2023'!$D$4:$D$1022,$B173,'август 2023'!$J$4:$J$1022,R$1)</f>
        <v>0</v>
      </c>
      <c r="S173" s="207">
        <f>SUMIFS('август 2023'!$G$4:$G$1022,'август 2023'!$D$4:$D$1022,$B173,'август 2023'!$J$4:$J$1022,S$1)</f>
        <v>0</v>
      </c>
      <c r="T173" s="207">
        <f>SUMIFS('август 2023'!$G$4:$G$1022,'август 2023'!$D$4:$D$1022,$B173,'август 2023'!$J$4:$J$1022,T$1)</f>
        <v>0</v>
      </c>
      <c r="U173" s="207">
        <f>SUMIFS('август 2023'!$G$4:$G$1022,'август 2023'!$D$4:$D$1022,$B173,'август 2023'!$J$4:$J$1022,U$1)</f>
        <v>0</v>
      </c>
      <c r="V173" s="207">
        <f>SUMIFS('август 2023'!$G$4:$G$1022,'август 2023'!$D$4:$D$1022,$B173,'август 2023'!$J$4:$J$1022,V$1)</f>
        <v>0</v>
      </c>
      <c r="W173" s="207">
        <f>SUMIFS('август 2023'!$G$4:$G$1022,'август 2023'!$D$4:$D$1022,$B173,'август 2023'!$J$4:$J$1022,W$1)</f>
        <v>0</v>
      </c>
      <c r="X173" s="207">
        <f>SUMIFS('август 2023'!$G$4:$G$1022,'август 2023'!$D$4:$D$1022,$B173,'август 2023'!$J$4:$J$1022,X$1)</f>
        <v>0</v>
      </c>
      <c r="Y173" s="207">
        <f>SUMIFS('август 2023'!$G$4:$G$1022,'август 2023'!$D$4:$D$1022,$B173,'август 2023'!$J$4:$J$1022,Y$1)</f>
        <v>0</v>
      </c>
      <c r="Z173" s="207">
        <f>SUMIFS('август 2023'!$G$4:$G$1022,'август 2023'!$D$4:$D$1022,$B173,'август 2023'!$J$4:$J$1022,Z$1)</f>
        <v>0</v>
      </c>
      <c r="AA173" s="207">
        <f>SUMIFS('август 2023'!$G$4:$G$1022,'август 2023'!$D$4:$D$1022,$B173,'август 2023'!$J$4:$J$1022,AA$1)</f>
        <v>0</v>
      </c>
      <c r="AB173" s="207">
        <f>SUMIFS('август 2023'!$G$4:$G$1022,'август 2023'!$D$4:$D$1022,$B173,'август 2023'!$J$4:$J$1022,AB$1)</f>
        <v>0</v>
      </c>
      <c r="AC173" s="207">
        <f>SUMIFS('август 2023'!$G$4:$G$1022,'август 2023'!$D$4:$D$1022,$B173,'август 2023'!$J$4:$J$1022,AC$1)</f>
        <v>0</v>
      </c>
      <c r="AD173" s="207">
        <f>SUMIFS('август 2023'!$G$4:$G$1022,'август 2023'!$D$4:$D$1022,$B173,'август 2023'!$J$4:$J$1022,AD$1)</f>
        <v>0</v>
      </c>
      <c r="AE173" s="207">
        <f>SUMIFS('август 2023'!$G$4:$G$1022,'август 2023'!$D$4:$D$1022,$B173,'август 2023'!$J$4:$J$1022,AE$1)</f>
        <v>0</v>
      </c>
      <c r="AF173" s="207">
        <f>SUMIFS('август 2023'!$G$4:$G$1022,'август 2023'!$D$4:$D$1022,$B173,'август 2023'!$J$4:$J$1022,AF$1)</f>
        <v>0</v>
      </c>
      <c r="AG173" s="207">
        <f>SUMIFS('август 2023'!$G$4:$G$1022,'август 2023'!$D$4:$D$1022,$B173,'август 2023'!$J$4:$J$1022,AG$1)</f>
        <v>0</v>
      </c>
      <c r="AH173" s="207">
        <f>SUMIFS('август 2023'!$G$4:$G$1022,'август 2023'!$D$4:$D$1022,$B173,'август 2023'!$J$4:$J$1022,AH$1)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SUMIFS('август 2023'!$G$4:$G$1022,'август 2023'!$D$4:$D$1022,$B174,'август 2023'!$J$4:$J$1022,D$1)</f>
        <v>0</v>
      </c>
      <c r="E174" s="207">
        <f>SUMIFS('август 2023'!$G$4:$G$1022,'август 2023'!$D$4:$D$1022,$B174,'август 2023'!$J$4:$J$1022,E$1)</f>
        <v>0</v>
      </c>
      <c r="F174" s="207">
        <f>SUMIFS('август 2023'!$G$4:$G$1022,'август 2023'!$D$4:$D$1022,$B174,'август 2023'!$J$4:$J$1022,F$1)</f>
        <v>0</v>
      </c>
      <c r="G174" s="207">
        <f>SUMIFS('август 2023'!$G$4:$G$1022,'август 2023'!$D$4:$D$1022,$B174,'август 2023'!$J$4:$J$1022,G$1)</f>
        <v>0</v>
      </c>
      <c r="H174" s="207">
        <f>SUMIFS('август 2023'!$G$4:$G$1022,'август 2023'!$D$4:$D$1022,$B174,'август 2023'!$J$4:$J$1022,H$1)</f>
        <v>0</v>
      </c>
      <c r="I174" s="207">
        <f>SUMIFS('август 2023'!$G$4:$G$1022,'август 2023'!$D$4:$D$1022,$B174,'август 2023'!$J$4:$J$1022,I$1)</f>
        <v>0</v>
      </c>
      <c r="J174" s="207">
        <f>SUMIFS('август 2023'!$G$4:$G$1022,'август 2023'!$D$4:$D$1022,$B174,'август 2023'!$J$4:$J$1022,J$1)</f>
        <v>0</v>
      </c>
      <c r="K174" s="207">
        <f>SUMIFS('август 2023'!$G$4:$G$1022,'август 2023'!$D$4:$D$1022,$B174,'август 2023'!$J$4:$J$1022,K$1)</f>
        <v>0</v>
      </c>
      <c r="L174" s="207">
        <f>SUMIFS('август 2023'!$G$4:$G$1022,'август 2023'!$D$4:$D$1022,$B174,'август 2023'!$J$4:$J$1022,L$1)</f>
        <v>0</v>
      </c>
      <c r="M174" s="207">
        <f>SUMIFS('август 2023'!$G$4:$G$1022,'август 2023'!$D$4:$D$1022,$B174,'август 2023'!$J$4:$J$1022,M$1)</f>
        <v>0</v>
      </c>
      <c r="N174" s="207">
        <f>SUMIFS('август 2023'!$G$4:$G$1022,'август 2023'!$D$4:$D$1022,$B174,'август 2023'!$J$4:$J$1022,N$1)</f>
        <v>0</v>
      </c>
      <c r="O174" s="207">
        <f>SUMIFS('август 2023'!$G$4:$G$1022,'август 2023'!$D$4:$D$1022,$B174,'август 2023'!$J$4:$J$1022,O$1)</f>
        <v>0</v>
      </c>
      <c r="P174" s="207">
        <f>SUMIFS('август 2023'!$G$4:$G$1022,'август 2023'!$D$4:$D$1022,$B174,'август 2023'!$J$4:$J$1022,P$1)</f>
        <v>0</v>
      </c>
      <c r="Q174" s="207">
        <f>SUMIFS('август 2023'!$G$4:$G$1022,'август 2023'!$D$4:$D$1022,$B174,'август 2023'!$J$4:$J$1022,Q$1)</f>
        <v>0</v>
      </c>
      <c r="R174" s="207">
        <f>SUMIFS('август 2023'!$G$4:$G$1022,'август 2023'!$D$4:$D$1022,$B174,'август 2023'!$J$4:$J$1022,R$1)</f>
        <v>0</v>
      </c>
      <c r="S174" s="207">
        <f>SUMIFS('август 2023'!$G$4:$G$1022,'август 2023'!$D$4:$D$1022,$B174,'август 2023'!$J$4:$J$1022,S$1)</f>
        <v>0</v>
      </c>
      <c r="T174" s="207">
        <f>SUMIFS('август 2023'!$G$4:$G$1022,'август 2023'!$D$4:$D$1022,$B174,'август 2023'!$J$4:$J$1022,T$1)</f>
        <v>0</v>
      </c>
      <c r="U174" s="207">
        <f>SUMIFS('август 2023'!$G$4:$G$1022,'август 2023'!$D$4:$D$1022,$B174,'август 2023'!$J$4:$J$1022,U$1)</f>
        <v>0</v>
      </c>
      <c r="V174" s="207">
        <f>SUMIFS('август 2023'!$G$4:$G$1022,'август 2023'!$D$4:$D$1022,$B174,'август 2023'!$J$4:$J$1022,V$1)</f>
        <v>0</v>
      </c>
      <c r="W174" s="207">
        <f>SUMIFS('август 2023'!$G$4:$G$1022,'август 2023'!$D$4:$D$1022,$B174,'август 2023'!$J$4:$J$1022,W$1)</f>
        <v>0</v>
      </c>
      <c r="X174" s="207">
        <f>SUMIFS('август 2023'!$G$4:$G$1022,'август 2023'!$D$4:$D$1022,$B174,'август 2023'!$J$4:$J$1022,X$1)</f>
        <v>0</v>
      </c>
      <c r="Y174" s="207">
        <f>SUMIFS('август 2023'!$G$4:$G$1022,'август 2023'!$D$4:$D$1022,$B174,'август 2023'!$J$4:$J$1022,Y$1)</f>
        <v>0</v>
      </c>
      <c r="Z174" s="207">
        <f>SUMIFS('август 2023'!$G$4:$G$1022,'август 2023'!$D$4:$D$1022,$B174,'август 2023'!$J$4:$J$1022,Z$1)</f>
        <v>0</v>
      </c>
      <c r="AA174" s="207">
        <f>SUMIFS('август 2023'!$G$4:$G$1022,'август 2023'!$D$4:$D$1022,$B174,'август 2023'!$J$4:$J$1022,AA$1)</f>
        <v>0</v>
      </c>
      <c r="AB174" s="207">
        <f>SUMIFS('август 2023'!$G$4:$G$1022,'август 2023'!$D$4:$D$1022,$B174,'август 2023'!$J$4:$J$1022,AB$1)</f>
        <v>0</v>
      </c>
      <c r="AC174" s="207">
        <f>SUMIFS('август 2023'!$G$4:$G$1022,'август 2023'!$D$4:$D$1022,$B174,'август 2023'!$J$4:$J$1022,AC$1)</f>
        <v>0</v>
      </c>
      <c r="AD174" s="207">
        <f>SUMIFS('август 2023'!$G$4:$G$1022,'август 2023'!$D$4:$D$1022,$B174,'август 2023'!$J$4:$J$1022,AD$1)</f>
        <v>0</v>
      </c>
      <c r="AE174" s="207">
        <f>SUMIFS('август 2023'!$G$4:$G$1022,'август 2023'!$D$4:$D$1022,$B174,'август 2023'!$J$4:$J$1022,AE$1)</f>
        <v>0</v>
      </c>
      <c r="AF174" s="207">
        <f>SUMIFS('август 2023'!$G$4:$G$1022,'август 2023'!$D$4:$D$1022,$B174,'август 2023'!$J$4:$J$1022,AF$1)</f>
        <v>0</v>
      </c>
      <c r="AG174" s="207">
        <f>SUMIFS('август 2023'!$G$4:$G$1022,'август 2023'!$D$4:$D$1022,$B174,'август 2023'!$J$4:$J$1022,AG$1)</f>
        <v>0</v>
      </c>
      <c r="AH174" s="207">
        <f>SUMIFS('август 2023'!$G$4:$G$1022,'август 2023'!$D$4:$D$1022,$B174,'август 2023'!$J$4:$J$1022,AH$1)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SUMIFS('август 2023'!$G$4:$G$1022,'август 2023'!$D$4:$D$1022,$B175,'август 2023'!$J$4:$J$1022,D$1)</f>
        <v>0</v>
      </c>
      <c r="E175" s="207">
        <f>SUMIFS('август 2023'!$G$4:$G$1022,'август 2023'!$D$4:$D$1022,$B175,'август 2023'!$J$4:$J$1022,E$1)</f>
        <v>0</v>
      </c>
      <c r="F175" s="207">
        <f>SUMIFS('август 2023'!$G$4:$G$1022,'август 2023'!$D$4:$D$1022,$B175,'август 2023'!$J$4:$J$1022,F$1)</f>
        <v>0</v>
      </c>
      <c r="G175" s="207">
        <f>SUMIFS('август 2023'!$G$4:$G$1022,'август 2023'!$D$4:$D$1022,$B175,'август 2023'!$J$4:$J$1022,G$1)</f>
        <v>0</v>
      </c>
      <c r="H175" s="207">
        <f>SUMIFS('август 2023'!$G$4:$G$1022,'август 2023'!$D$4:$D$1022,$B175,'август 2023'!$J$4:$J$1022,H$1)</f>
        <v>0</v>
      </c>
      <c r="I175" s="207">
        <f>SUMIFS('август 2023'!$G$4:$G$1022,'август 2023'!$D$4:$D$1022,$B175,'август 2023'!$J$4:$J$1022,I$1)</f>
        <v>0</v>
      </c>
      <c r="J175" s="207">
        <f>SUMIFS('август 2023'!$G$4:$G$1022,'август 2023'!$D$4:$D$1022,$B175,'август 2023'!$J$4:$J$1022,J$1)</f>
        <v>0</v>
      </c>
      <c r="K175" s="207">
        <f>SUMIFS('август 2023'!$G$4:$G$1022,'август 2023'!$D$4:$D$1022,$B175,'август 2023'!$J$4:$J$1022,K$1)</f>
        <v>0</v>
      </c>
      <c r="L175" s="207">
        <f>SUMIFS('август 2023'!$G$4:$G$1022,'август 2023'!$D$4:$D$1022,$B175,'август 2023'!$J$4:$J$1022,L$1)</f>
        <v>0</v>
      </c>
      <c r="M175" s="207">
        <f>SUMIFS('август 2023'!$G$4:$G$1022,'август 2023'!$D$4:$D$1022,$B175,'август 2023'!$J$4:$J$1022,M$1)</f>
        <v>0</v>
      </c>
      <c r="N175" s="207">
        <f>SUMIFS('август 2023'!$G$4:$G$1022,'август 2023'!$D$4:$D$1022,$B175,'август 2023'!$J$4:$J$1022,N$1)</f>
        <v>0</v>
      </c>
      <c r="O175" s="207">
        <f>SUMIFS('август 2023'!$G$4:$G$1022,'август 2023'!$D$4:$D$1022,$B175,'август 2023'!$J$4:$J$1022,O$1)</f>
        <v>0</v>
      </c>
      <c r="P175" s="207">
        <f>SUMIFS('август 2023'!$G$4:$G$1022,'август 2023'!$D$4:$D$1022,$B175,'август 2023'!$J$4:$J$1022,P$1)</f>
        <v>0</v>
      </c>
      <c r="Q175" s="207">
        <f>SUMIFS('август 2023'!$G$4:$G$1022,'август 2023'!$D$4:$D$1022,$B175,'август 2023'!$J$4:$J$1022,Q$1)</f>
        <v>0</v>
      </c>
      <c r="R175" s="207">
        <f>SUMIFS('август 2023'!$G$4:$G$1022,'август 2023'!$D$4:$D$1022,$B175,'август 2023'!$J$4:$J$1022,R$1)</f>
        <v>0</v>
      </c>
      <c r="S175" s="207">
        <f>SUMIFS('август 2023'!$G$4:$G$1022,'август 2023'!$D$4:$D$1022,$B175,'август 2023'!$J$4:$J$1022,S$1)</f>
        <v>0</v>
      </c>
      <c r="T175" s="207">
        <f>SUMIFS('август 2023'!$G$4:$G$1022,'август 2023'!$D$4:$D$1022,$B175,'август 2023'!$J$4:$J$1022,T$1)</f>
        <v>0</v>
      </c>
      <c r="U175" s="207">
        <f>SUMIFS('август 2023'!$G$4:$G$1022,'август 2023'!$D$4:$D$1022,$B175,'август 2023'!$J$4:$J$1022,U$1)</f>
        <v>0</v>
      </c>
      <c r="V175" s="207">
        <f>SUMIFS('август 2023'!$G$4:$G$1022,'август 2023'!$D$4:$D$1022,$B175,'август 2023'!$J$4:$J$1022,V$1)</f>
        <v>0</v>
      </c>
      <c r="W175" s="207">
        <f>SUMIFS('август 2023'!$G$4:$G$1022,'август 2023'!$D$4:$D$1022,$B175,'август 2023'!$J$4:$J$1022,W$1)</f>
        <v>0</v>
      </c>
      <c r="X175" s="207">
        <f>SUMIFS('август 2023'!$G$4:$G$1022,'август 2023'!$D$4:$D$1022,$B175,'август 2023'!$J$4:$J$1022,X$1)</f>
        <v>0</v>
      </c>
      <c r="Y175" s="207">
        <f>SUMIFS('август 2023'!$G$4:$G$1022,'август 2023'!$D$4:$D$1022,$B175,'август 2023'!$J$4:$J$1022,Y$1)</f>
        <v>0</v>
      </c>
      <c r="Z175" s="207">
        <f>SUMIFS('август 2023'!$G$4:$G$1022,'август 2023'!$D$4:$D$1022,$B175,'август 2023'!$J$4:$J$1022,Z$1)</f>
        <v>0</v>
      </c>
      <c r="AA175" s="207">
        <f>SUMIFS('август 2023'!$G$4:$G$1022,'август 2023'!$D$4:$D$1022,$B175,'август 2023'!$J$4:$J$1022,AA$1)</f>
        <v>0</v>
      </c>
      <c r="AB175" s="207">
        <f>SUMIFS('август 2023'!$G$4:$G$1022,'август 2023'!$D$4:$D$1022,$B175,'август 2023'!$J$4:$J$1022,AB$1)</f>
        <v>0</v>
      </c>
      <c r="AC175" s="207">
        <f>SUMIFS('август 2023'!$G$4:$G$1022,'август 2023'!$D$4:$D$1022,$B175,'август 2023'!$J$4:$J$1022,AC$1)</f>
        <v>0</v>
      </c>
      <c r="AD175" s="207">
        <f>SUMIFS('август 2023'!$G$4:$G$1022,'август 2023'!$D$4:$D$1022,$B175,'август 2023'!$J$4:$J$1022,AD$1)</f>
        <v>0</v>
      </c>
      <c r="AE175" s="207">
        <f>SUMIFS('август 2023'!$G$4:$G$1022,'август 2023'!$D$4:$D$1022,$B175,'август 2023'!$J$4:$J$1022,AE$1)</f>
        <v>0</v>
      </c>
      <c r="AF175" s="207">
        <f>SUMIFS('август 2023'!$G$4:$G$1022,'август 2023'!$D$4:$D$1022,$B175,'август 2023'!$J$4:$J$1022,AF$1)</f>
        <v>0</v>
      </c>
      <c r="AG175" s="207">
        <f>SUMIFS('август 2023'!$G$4:$G$1022,'август 2023'!$D$4:$D$1022,$B175,'август 2023'!$J$4:$J$1022,AG$1)</f>
        <v>0</v>
      </c>
      <c r="AH175" s="207">
        <f>SUMIFS('август 2023'!$G$4:$G$1022,'август 2023'!$D$4:$D$1022,$B175,'август 2023'!$J$4:$J$1022,AH$1)</f>
        <v>0</v>
      </c>
      <c r="AI175" s="220">
        <f t="shared" si="4"/>
        <v>0</v>
      </c>
    </row>
    <row r="176" spans="2:35" ht="15.75" hidden="1" x14ac:dyDescent="0.25">
      <c r="B176" s="212"/>
      <c r="C176" s="211"/>
      <c r="D176" s="207">
        <f>SUMIFS('август 2023'!$G$4:$G$1022,'август 2023'!$D$4:$D$1022,$B176,'август 2023'!$J$4:$J$1022,D$1)</f>
        <v>0</v>
      </c>
      <c r="E176" s="207">
        <f>SUMIFS('август 2023'!$G$4:$G$1022,'август 2023'!$D$4:$D$1022,$B176,'август 2023'!$J$4:$J$1022,E$1)</f>
        <v>0</v>
      </c>
      <c r="F176" s="207">
        <f>SUMIFS('август 2023'!$G$4:$G$1022,'август 2023'!$D$4:$D$1022,$B176,'август 2023'!$J$4:$J$1022,F$1)</f>
        <v>0</v>
      </c>
      <c r="G176" s="207">
        <f>SUMIFS('август 2023'!$G$4:$G$1022,'август 2023'!$D$4:$D$1022,$B176,'август 2023'!$J$4:$J$1022,G$1)</f>
        <v>0</v>
      </c>
      <c r="H176" s="207">
        <f>SUMIFS('август 2023'!$G$4:$G$1022,'август 2023'!$D$4:$D$1022,$B176,'август 2023'!$J$4:$J$1022,H$1)</f>
        <v>0</v>
      </c>
      <c r="I176" s="207">
        <f>SUMIFS('август 2023'!$G$4:$G$1022,'август 2023'!$D$4:$D$1022,$B176,'август 2023'!$J$4:$J$1022,I$1)</f>
        <v>0</v>
      </c>
      <c r="J176" s="207">
        <f>SUMIFS('август 2023'!$G$4:$G$1022,'август 2023'!$D$4:$D$1022,$B176,'август 2023'!$J$4:$J$1022,J$1)</f>
        <v>0</v>
      </c>
      <c r="K176" s="207">
        <f>SUMIFS('август 2023'!$G$4:$G$1022,'август 2023'!$D$4:$D$1022,$B176,'август 2023'!$J$4:$J$1022,K$1)</f>
        <v>0</v>
      </c>
      <c r="L176" s="207">
        <f>SUMIFS('август 2023'!$G$4:$G$1022,'август 2023'!$D$4:$D$1022,$B176,'август 2023'!$J$4:$J$1022,L$1)</f>
        <v>0</v>
      </c>
      <c r="M176" s="207">
        <f>SUMIFS('август 2023'!$G$4:$G$1022,'август 2023'!$D$4:$D$1022,$B176,'август 2023'!$J$4:$J$1022,M$1)</f>
        <v>0</v>
      </c>
      <c r="N176" s="207">
        <f>SUMIFS('август 2023'!$G$4:$G$1022,'август 2023'!$D$4:$D$1022,$B176,'август 2023'!$J$4:$J$1022,N$1)</f>
        <v>0</v>
      </c>
      <c r="O176" s="207">
        <f>SUMIFS('август 2023'!$G$4:$G$1022,'август 2023'!$D$4:$D$1022,$B176,'август 2023'!$J$4:$J$1022,O$1)</f>
        <v>0</v>
      </c>
      <c r="P176" s="207">
        <f>SUMIFS('август 2023'!$G$4:$G$1022,'август 2023'!$D$4:$D$1022,$B176,'август 2023'!$J$4:$J$1022,P$1)</f>
        <v>0</v>
      </c>
      <c r="Q176" s="207">
        <f>SUMIFS('август 2023'!$G$4:$G$1022,'август 2023'!$D$4:$D$1022,$B176,'август 2023'!$J$4:$J$1022,Q$1)</f>
        <v>0</v>
      </c>
      <c r="R176" s="207">
        <f>SUMIFS('август 2023'!$G$4:$G$1022,'август 2023'!$D$4:$D$1022,$B176,'август 2023'!$J$4:$J$1022,R$1)</f>
        <v>0</v>
      </c>
      <c r="S176" s="207">
        <f>SUMIFS('август 2023'!$G$4:$G$1022,'август 2023'!$D$4:$D$1022,$B176,'август 2023'!$J$4:$J$1022,S$1)</f>
        <v>0</v>
      </c>
      <c r="T176" s="207">
        <f>SUMIFS('август 2023'!$G$4:$G$1022,'август 2023'!$D$4:$D$1022,$B176,'август 2023'!$J$4:$J$1022,T$1)</f>
        <v>0</v>
      </c>
      <c r="U176" s="207">
        <f>SUMIFS('август 2023'!$G$4:$G$1022,'август 2023'!$D$4:$D$1022,$B176,'август 2023'!$J$4:$J$1022,U$1)</f>
        <v>0</v>
      </c>
      <c r="V176" s="207">
        <f>SUMIFS('август 2023'!$G$4:$G$1022,'август 2023'!$D$4:$D$1022,$B176,'август 2023'!$J$4:$J$1022,V$1)</f>
        <v>0</v>
      </c>
      <c r="W176" s="207">
        <f>SUMIFS('август 2023'!$G$4:$G$1022,'август 2023'!$D$4:$D$1022,$B176,'август 2023'!$J$4:$J$1022,W$1)</f>
        <v>0</v>
      </c>
      <c r="X176" s="207">
        <f>SUMIFS('август 2023'!$G$4:$G$1022,'август 2023'!$D$4:$D$1022,$B176,'август 2023'!$J$4:$J$1022,X$1)</f>
        <v>0</v>
      </c>
      <c r="Y176" s="207">
        <f>SUMIFS('август 2023'!$G$4:$G$1022,'август 2023'!$D$4:$D$1022,$B176,'август 2023'!$J$4:$J$1022,Y$1)</f>
        <v>0</v>
      </c>
      <c r="Z176" s="207">
        <f>SUMIFS('август 2023'!$G$4:$G$1022,'август 2023'!$D$4:$D$1022,$B176,'август 2023'!$J$4:$J$1022,Z$1)</f>
        <v>0</v>
      </c>
      <c r="AA176" s="207">
        <f>SUMIFS('август 2023'!$G$4:$G$1022,'август 2023'!$D$4:$D$1022,$B176,'август 2023'!$J$4:$J$1022,AA$1)</f>
        <v>0</v>
      </c>
      <c r="AB176" s="207">
        <f>SUMIFS('август 2023'!$G$4:$G$1022,'август 2023'!$D$4:$D$1022,$B176,'август 2023'!$J$4:$J$1022,AB$1)</f>
        <v>0</v>
      </c>
      <c r="AC176" s="207">
        <f>SUMIFS('август 2023'!$G$4:$G$1022,'август 2023'!$D$4:$D$1022,$B176,'август 2023'!$J$4:$J$1022,AC$1)</f>
        <v>0</v>
      </c>
      <c r="AD176" s="207">
        <f>SUMIFS('август 2023'!$G$4:$G$1022,'август 2023'!$D$4:$D$1022,$B176,'август 2023'!$J$4:$J$1022,AD$1)</f>
        <v>0</v>
      </c>
      <c r="AE176" s="207">
        <f>SUMIFS('август 2023'!$G$4:$G$1022,'август 2023'!$D$4:$D$1022,$B176,'август 2023'!$J$4:$J$1022,AE$1)</f>
        <v>0</v>
      </c>
      <c r="AF176" s="207">
        <f>SUMIFS('август 2023'!$G$4:$G$1022,'август 2023'!$D$4:$D$1022,$B176,'август 2023'!$J$4:$J$1022,AF$1)</f>
        <v>0</v>
      </c>
      <c r="AG176" s="207">
        <f>SUMIFS('август 2023'!$G$4:$G$1022,'август 2023'!$D$4:$D$1022,$B176,'август 2023'!$J$4:$J$1022,AG$1)</f>
        <v>0</v>
      </c>
      <c r="AH176" s="207">
        <f>SUMIFS('август 2023'!$G$4:$G$1022,'август 2023'!$D$4:$D$1022,$B176,'август 2023'!$J$4:$J$1022,AH$1)</f>
        <v>0</v>
      </c>
      <c r="AI176" s="220">
        <f t="shared" si="4"/>
        <v>0</v>
      </c>
    </row>
    <row r="177" spans="2:35" ht="15.75" hidden="1" x14ac:dyDescent="0.25">
      <c r="B177" s="212"/>
      <c r="C177" s="211"/>
      <c r="D177" s="207">
        <f>SUMIFS('август 2023'!$G$4:$G$1022,'август 2023'!$D$4:$D$1022,$B177,'август 2023'!$J$4:$J$1022,D$1)</f>
        <v>0</v>
      </c>
      <c r="E177" s="207">
        <f>SUMIFS('август 2023'!$G$4:$G$1022,'август 2023'!$D$4:$D$1022,$B177,'август 2023'!$J$4:$J$1022,E$1)</f>
        <v>0</v>
      </c>
      <c r="F177" s="207">
        <f>SUMIFS('август 2023'!$G$4:$G$1022,'август 2023'!$D$4:$D$1022,$B177,'август 2023'!$J$4:$J$1022,F$1)</f>
        <v>0</v>
      </c>
      <c r="G177" s="207">
        <f>SUMIFS('август 2023'!$G$4:$G$1022,'август 2023'!$D$4:$D$1022,$B177,'август 2023'!$J$4:$J$1022,G$1)</f>
        <v>0</v>
      </c>
      <c r="H177" s="207">
        <f>SUMIFS('август 2023'!$G$4:$G$1022,'август 2023'!$D$4:$D$1022,$B177,'август 2023'!$J$4:$J$1022,H$1)</f>
        <v>0</v>
      </c>
      <c r="I177" s="207">
        <f>SUMIFS('август 2023'!$G$4:$G$1022,'август 2023'!$D$4:$D$1022,$B177,'август 2023'!$J$4:$J$1022,I$1)</f>
        <v>0</v>
      </c>
      <c r="J177" s="207">
        <f>SUMIFS('август 2023'!$G$4:$G$1022,'август 2023'!$D$4:$D$1022,$B177,'август 2023'!$J$4:$J$1022,J$1)</f>
        <v>0</v>
      </c>
      <c r="K177" s="207">
        <f>SUMIFS('август 2023'!$G$4:$G$1022,'август 2023'!$D$4:$D$1022,$B177,'август 2023'!$J$4:$J$1022,K$1)</f>
        <v>0</v>
      </c>
      <c r="L177" s="207">
        <f>SUMIFS('август 2023'!$G$4:$G$1022,'август 2023'!$D$4:$D$1022,$B177,'август 2023'!$J$4:$J$1022,L$1)</f>
        <v>0</v>
      </c>
      <c r="M177" s="207">
        <f>SUMIFS('август 2023'!$G$4:$G$1022,'август 2023'!$D$4:$D$1022,$B177,'август 2023'!$J$4:$J$1022,M$1)</f>
        <v>0</v>
      </c>
      <c r="N177" s="207">
        <f>SUMIFS('август 2023'!$G$4:$G$1022,'август 2023'!$D$4:$D$1022,$B177,'август 2023'!$J$4:$J$1022,N$1)</f>
        <v>0</v>
      </c>
      <c r="O177" s="207">
        <f>SUMIFS('август 2023'!$G$4:$G$1022,'август 2023'!$D$4:$D$1022,$B177,'август 2023'!$J$4:$J$1022,O$1)</f>
        <v>0</v>
      </c>
      <c r="P177" s="207">
        <f>SUMIFS('август 2023'!$G$4:$G$1022,'август 2023'!$D$4:$D$1022,$B177,'август 2023'!$J$4:$J$1022,P$1)</f>
        <v>0</v>
      </c>
      <c r="Q177" s="207">
        <f>SUMIFS('август 2023'!$G$4:$G$1022,'август 2023'!$D$4:$D$1022,$B177,'август 2023'!$J$4:$J$1022,Q$1)</f>
        <v>0</v>
      </c>
      <c r="R177" s="207">
        <f>SUMIFS('август 2023'!$G$4:$G$1022,'август 2023'!$D$4:$D$1022,$B177,'август 2023'!$J$4:$J$1022,R$1)</f>
        <v>0</v>
      </c>
      <c r="S177" s="207">
        <f>SUMIFS('август 2023'!$G$4:$G$1022,'август 2023'!$D$4:$D$1022,$B177,'август 2023'!$J$4:$J$1022,S$1)</f>
        <v>0</v>
      </c>
      <c r="T177" s="207">
        <f>SUMIFS('август 2023'!$G$4:$G$1022,'август 2023'!$D$4:$D$1022,$B177,'август 2023'!$J$4:$J$1022,T$1)</f>
        <v>0</v>
      </c>
      <c r="U177" s="207">
        <f>SUMIFS('август 2023'!$G$4:$G$1022,'август 2023'!$D$4:$D$1022,$B177,'август 2023'!$J$4:$J$1022,U$1)</f>
        <v>0</v>
      </c>
      <c r="V177" s="207">
        <f>SUMIFS('август 2023'!$G$4:$G$1022,'август 2023'!$D$4:$D$1022,$B177,'август 2023'!$J$4:$J$1022,V$1)</f>
        <v>0</v>
      </c>
      <c r="W177" s="207">
        <f>SUMIFS('август 2023'!$G$4:$G$1022,'август 2023'!$D$4:$D$1022,$B177,'август 2023'!$J$4:$J$1022,W$1)</f>
        <v>0</v>
      </c>
      <c r="X177" s="207">
        <f>SUMIFS('август 2023'!$G$4:$G$1022,'август 2023'!$D$4:$D$1022,$B177,'август 2023'!$J$4:$J$1022,X$1)</f>
        <v>0</v>
      </c>
      <c r="Y177" s="207">
        <f>SUMIFS('август 2023'!$G$4:$G$1022,'август 2023'!$D$4:$D$1022,$B177,'август 2023'!$J$4:$J$1022,Y$1)</f>
        <v>0</v>
      </c>
      <c r="Z177" s="207">
        <f>SUMIFS('август 2023'!$G$4:$G$1022,'август 2023'!$D$4:$D$1022,$B177,'август 2023'!$J$4:$J$1022,Z$1)</f>
        <v>0</v>
      </c>
      <c r="AA177" s="207">
        <f>SUMIFS('август 2023'!$G$4:$G$1022,'август 2023'!$D$4:$D$1022,$B177,'август 2023'!$J$4:$J$1022,AA$1)</f>
        <v>0</v>
      </c>
      <c r="AB177" s="207">
        <f>SUMIFS('август 2023'!$G$4:$G$1022,'август 2023'!$D$4:$D$1022,$B177,'август 2023'!$J$4:$J$1022,AB$1)</f>
        <v>0</v>
      </c>
      <c r="AC177" s="207">
        <f>SUMIFS('август 2023'!$G$4:$G$1022,'август 2023'!$D$4:$D$1022,$B177,'август 2023'!$J$4:$J$1022,AC$1)</f>
        <v>0</v>
      </c>
      <c r="AD177" s="207">
        <f>SUMIFS('август 2023'!$G$4:$G$1022,'август 2023'!$D$4:$D$1022,$B177,'август 2023'!$J$4:$J$1022,AD$1)</f>
        <v>0</v>
      </c>
      <c r="AE177" s="207">
        <f>SUMIFS('август 2023'!$G$4:$G$1022,'август 2023'!$D$4:$D$1022,$B177,'август 2023'!$J$4:$J$1022,AE$1)</f>
        <v>0</v>
      </c>
      <c r="AF177" s="207">
        <f>SUMIFS('август 2023'!$G$4:$G$1022,'август 2023'!$D$4:$D$1022,$B177,'август 2023'!$J$4:$J$1022,AF$1)</f>
        <v>0</v>
      </c>
      <c r="AG177" s="207">
        <f>SUMIFS('август 2023'!$G$4:$G$1022,'август 2023'!$D$4:$D$1022,$B177,'август 2023'!$J$4:$J$1022,AG$1)</f>
        <v>0</v>
      </c>
      <c r="AH177" s="207">
        <f>SUMIFS('август 2023'!$G$4:$G$1022,'август 2023'!$D$4:$D$1022,$B177,'август 2023'!$J$4:$J$1022,AH$1)</f>
        <v>0</v>
      </c>
      <c r="AI177" s="220">
        <f t="shared" si="4"/>
        <v>0</v>
      </c>
    </row>
    <row r="178" spans="2:35" ht="15.75" hidden="1" x14ac:dyDescent="0.25">
      <c r="B178" s="212"/>
      <c r="C178" s="211"/>
      <c r="D178" s="207">
        <f>SUMIFS('август 2023'!$G$4:$G$1022,'август 2023'!$D$4:$D$1022,$B178,'август 2023'!$J$4:$J$1022,D$1)</f>
        <v>0</v>
      </c>
      <c r="E178" s="207">
        <f>SUMIFS('август 2023'!$G$4:$G$1022,'август 2023'!$D$4:$D$1022,$B178,'август 2023'!$J$4:$J$1022,E$1)</f>
        <v>0</v>
      </c>
      <c r="F178" s="207">
        <f>SUMIFS('август 2023'!$G$4:$G$1022,'август 2023'!$D$4:$D$1022,$B178,'август 2023'!$J$4:$J$1022,F$1)</f>
        <v>0</v>
      </c>
      <c r="G178" s="207">
        <f>SUMIFS('август 2023'!$G$4:$G$1022,'август 2023'!$D$4:$D$1022,$B178,'август 2023'!$J$4:$J$1022,G$1)</f>
        <v>0</v>
      </c>
      <c r="H178" s="207">
        <f>SUMIFS('август 2023'!$G$4:$G$1022,'август 2023'!$D$4:$D$1022,$B178,'август 2023'!$J$4:$J$1022,H$1)</f>
        <v>0</v>
      </c>
      <c r="I178" s="207">
        <f>SUMIFS('август 2023'!$G$4:$G$1022,'август 2023'!$D$4:$D$1022,$B178,'август 2023'!$J$4:$J$1022,I$1)</f>
        <v>0</v>
      </c>
      <c r="J178" s="207">
        <f>SUMIFS('август 2023'!$G$4:$G$1022,'август 2023'!$D$4:$D$1022,$B178,'август 2023'!$J$4:$J$1022,J$1)</f>
        <v>0</v>
      </c>
      <c r="K178" s="207">
        <f>SUMIFS('август 2023'!$G$4:$G$1022,'август 2023'!$D$4:$D$1022,$B178,'август 2023'!$J$4:$J$1022,K$1)</f>
        <v>0</v>
      </c>
      <c r="L178" s="207">
        <f>SUMIFS('август 2023'!$G$4:$G$1022,'август 2023'!$D$4:$D$1022,$B178,'август 2023'!$J$4:$J$1022,L$1)</f>
        <v>0</v>
      </c>
      <c r="M178" s="207">
        <f>SUMIFS('август 2023'!$G$4:$G$1022,'август 2023'!$D$4:$D$1022,$B178,'август 2023'!$J$4:$J$1022,M$1)</f>
        <v>0</v>
      </c>
      <c r="N178" s="207">
        <f>SUMIFS('август 2023'!$G$4:$G$1022,'август 2023'!$D$4:$D$1022,$B178,'август 2023'!$J$4:$J$1022,N$1)</f>
        <v>0</v>
      </c>
      <c r="O178" s="207">
        <f>SUMIFS('август 2023'!$G$4:$G$1022,'август 2023'!$D$4:$D$1022,$B178,'август 2023'!$J$4:$J$1022,O$1)</f>
        <v>0</v>
      </c>
      <c r="P178" s="207">
        <f>SUMIFS('август 2023'!$G$4:$G$1022,'август 2023'!$D$4:$D$1022,$B178,'август 2023'!$J$4:$J$1022,P$1)</f>
        <v>0</v>
      </c>
      <c r="Q178" s="207">
        <f>SUMIFS('август 2023'!$G$4:$G$1022,'август 2023'!$D$4:$D$1022,$B178,'август 2023'!$J$4:$J$1022,Q$1)</f>
        <v>0</v>
      </c>
      <c r="R178" s="207">
        <f>SUMIFS('август 2023'!$G$4:$G$1022,'август 2023'!$D$4:$D$1022,$B178,'август 2023'!$J$4:$J$1022,R$1)</f>
        <v>0</v>
      </c>
      <c r="S178" s="207">
        <f>SUMIFS('август 2023'!$G$4:$G$1022,'август 2023'!$D$4:$D$1022,$B178,'август 2023'!$J$4:$J$1022,S$1)</f>
        <v>0</v>
      </c>
      <c r="T178" s="207">
        <f>SUMIFS('август 2023'!$G$4:$G$1022,'август 2023'!$D$4:$D$1022,$B178,'август 2023'!$J$4:$J$1022,T$1)</f>
        <v>0</v>
      </c>
      <c r="U178" s="207">
        <f>SUMIFS('август 2023'!$G$4:$G$1022,'август 2023'!$D$4:$D$1022,$B178,'август 2023'!$J$4:$J$1022,U$1)</f>
        <v>0</v>
      </c>
      <c r="V178" s="207">
        <f>SUMIFS('август 2023'!$G$4:$G$1022,'август 2023'!$D$4:$D$1022,$B178,'август 2023'!$J$4:$J$1022,V$1)</f>
        <v>0</v>
      </c>
      <c r="W178" s="207">
        <f>SUMIFS('август 2023'!$G$4:$G$1022,'август 2023'!$D$4:$D$1022,$B178,'август 2023'!$J$4:$J$1022,W$1)</f>
        <v>0</v>
      </c>
      <c r="X178" s="207">
        <f>SUMIFS('август 2023'!$G$4:$G$1022,'август 2023'!$D$4:$D$1022,$B178,'август 2023'!$J$4:$J$1022,X$1)</f>
        <v>0</v>
      </c>
      <c r="Y178" s="207">
        <f>SUMIFS('август 2023'!$G$4:$G$1022,'август 2023'!$D$4:$D$1022,$B178,'август 2023'!$J$4:$J$1022,Y$1)</f>
        <v>0</v>
      </c>
      <c r="Z178" s="207">
        <f>SUMIFS('август 2023'!$G$4:$G$1022,'август 2023'!$D$4:$D$1022,$B178,'август 2023'!$J$4:$J$1022,Z$1)</f>
        <v>0</v>
      </c>
      <c r="AA178" s="207">
        <f>SUMIFS('август 2023'!$G$4:$G$1022,'август 2023'!$D$4:$D$1022,$B178,'август 2023'!$J$4:$J$1022,AA$1)</f>
        <v>0</v>
      </c>
      <c r="AB178" s="207">
        <f>SUMIFS('август 2023'!$G$4:$G$1022,'август 2023'!$D$4:$D$1022,$B178,'август 2023'!$J$4:$J$1022,AB$1)</f>
        <v>0</v>
      </c>
      <c r="AC178" s="207">
        <f>SUMIFS('август 2023'!$G$4:$G$1022,'август 2023'!$D$4:$D$1022,$B178,'август 2023'!$J$4:$J$1022,AC$1)</f>
        <v>0</v>
      </c>
      <c r="AD178" s="207">
        <f>SUMIFS('август 2023'!$G$4:$G$1022,'август 2023'!$D$4:$D$1022,$B178,'август 2023'!$J$4:$J$1022,AD$1)</f>
        <v>0</v>
      </c>
      <c r="AE178" s="207">
        <f>SUMIFS('август 2023'!$G$4:$G$1022,'август 2023'!$D$4:$D$1022,$B178,'август 2023'!$J$4:$J$1022,AE$1)</f>
        <v>0</v>
      </c>
      <c r="AF178" s="207">
        <f>SUMIFS('август 2023'!$G$4:$G$1022,'август 2023'!$D$4:$D$1022,$B178,'август 2023'!$J$4:$J$1022,AF$1)</f>
        <v>0</v>
      </c>
      <c r="AG178" s="207">
        <f>SUMIFS('август 2023'!$G$4:$G$1022,'август 2023'!$D$4:$D$1022,$B178,'август 2023'!$J$4:$J$1022,AG$1)</f>
        <v>0</v>
      </c>
      <c r="AH178" s="207">
        <f>SUMIFS('август 2023'!$G$4:$G$1022,'август 2023'!$D$4:$D$1022,$B178,'август 2023'!$J$4:$J$1022,AH$1)</f>
        <v>0</v>
      </c>
      <c r="AI178" s="220">
        <f t="shared" si="4"/>
        <v>0</v>
      </c>
    </row>
    <row r="179" spans="2:35" ht="15.75" hidden="1" x14ac:dyDescent="0.25">
      <c r="B179" s="212"/>
      <c r="C179" s="211"/>
      <c r="D179" s="207">
        <f>SUMIFS('август 2023'!$G$4:$G$1022,'август 2023'!$D$4:$D$1022,$B179,'август 2023'!$J$4:$J$1022,D$1)</f>
        <v>0</v>
      </c>
      <c r="E179" s="207">
        <f>SUMIFS('август 2023'!$G$4:$G$1022,'август 2023'!$D$4:$D$1022,$B179,'август 2023'!$J$4:$J$1022,E$1)</f>
        <v>0</v>
      </c>
      <c r="F179" s="207">
        <f>SUMIFS('август 2023'!$G$4:$G$1022,'август 2023'!$D$4:$D$1022,$B179,'август 2023'!$J$4:$J$1022,F$1)</f>
        <v>0</v>
      </c>
      <c r="G179" s="207">
        <f>SUMIFS('август 2023'!$G$4:$G$1022,'август 2023'!$D$4:$D$1022,$B179,'август 2023'!$J$4:$J$1022,G$1)</f>
        <v>0</v>
      </c>
      <c r="H179" s="207">
        <f>SUMIFS('август 2023'!$G$4:$G$1022,'август 2023'!$D$4:$D$1022,$B179,'август 2023'!$J$4:$J$1022,H$1)</f>
        <v>0</v>
      </c>
      <c r="I179" s="207">
        <f>SUMIFS('август 2023'!$G$4:$G$1022,'август 2023'!$D$4:$D$1022,$B179,'август 2023'!$J$4:$J$1022,I$1)</f>
        <v>0</v>
      </c>
      <c r="J179" s="207">
        <f>SUMIFS('август 2023'!$G$4:$G$1022,'август 2023'!$D$4:$D$1022,$B179,'август 2023'!$J$4:$J$1022,J$1)</f>
        <v>0</v>
      </c>
      <c r="K179" s="207">
        <f>SUMIFS('август 2023'!$G$4:$G$1022,'август 2023'!$D$4:$D$1022,$B179,'август 2023'!$J$4:$J$1022,K$1)</f>
        <v>0</v>
      </c>
      <c r="L179" s="207">
        <f>SUMIFS('август 2023'!$G$4:$G$1022,'август 2023'!$D$4:$D$1022,$B179,'август 2023'!$J$4:$J$1022,L$1)</f>
        <v>0</v>
      </c>
      <c r="M179" s="207">
        <f>SUMIFS('август 2023'!$G$4:$G$1022,'август 2023'!$D$4:$D$1022,$B179,'август 2023'!$J$4:$J$1022,M$1)</f>
        <v>0</v>
      </c>
      <c r="N179" s="207">
        <f>SUMIFS('август 2023'!$G$4:$G$1022,'август 2023'!$D$4:$D$1022,$B179,'август 2023'!$J$4:$J$1022,N$1)</f>
        <v>0</v>
      </c>
      <c r="O179" s="207">
        <f>SUMIFS('август 2023'!$G$4:$G$1022,'август 2023'!$D$4:$D$1022,$B179,'август 2023'!$J$4:$J$1022,O$1)</f>
        <v>0</v>
      </c>
      <c r="P179" s="207">
        <f>SUMIFS('август 2023'!$G$4:$G$1022,'август 2023'!$D$4:$D$1022,$B179,'август 2023'!$J$4:$J$1022,P$1)</f>
        <v>0</v>
      </c>
      <c r="Q179" s="207">
        <f>SUMIFS('август 2023'!$G$4:$G$1022,'август 2023'!$D$4:$D$1022,$B179,'август 2023'!$J$4:$J$1022,Q$1)</f>
        <v>0</v>
      </c>
      <c r="R179" s="207">
        <f>SUMIFS('август 2023'!$G$4:$G$1022,'август 2023'!$D$4:$D$1022,$B179,'август 2023'!$J$4:$J$1022,R$1)</f>
        <v>0</v>
      </c>
      <c r="S179" s="207">
        <f>SUMIFS('август 2023'!$G$4:$G$1022,'август 2023'!$D$4:$D$1022,$B179,'август 2023'!$J$4:$J$1022,S$1)</f>
        <v>0</v>
      </c>
      <c r="T179" s="207">
        <f>SUMIFS('август 2023'!$G$4:$G$1022,'август 2023'!$D$4:$D$1022,$B179,'август 2023'!$J$4:$J$1022,T$1)</f>
        <v>0</v>
      </c>
      <c r="U179" s="207">
        <f>SUMIFS('август 2023'!$G$4:$G$1022,'август 2023'!$D$4:$D$1022,$B179,'август 2023'!$J$4:$J$1022,U$1)</f>
        <v>0</v>
      </c>
      <c r="V179" s="207">
        <f>SUMIFS('август 2023'!$G$4:$G$1022,'август 2023'!$D$4:$D$1022,$B179,'август 2023'!$J$4:$J$1022,V$1)</f>
        <v>0</v>
      </c>
      <c r="W179" s="207">
        <f>SUMIFS('август 2023'!$G$4:$G$1022,'август 2023'!$D$4:$D$1022,$B179,'август 2023'!$J$4:$J$1022,W$1)</f>
        <v>0</v>
      </c>
      <c r="X179" s="207">
        <f>SUMIFS('август 2023'!$G$4:$G$1022,'август 2023'!$D$4:$D$1022,$B179,'август 2023'!$J$4:$J$1022,X$1)</f>
        <v>0</v>
      </c>
      <c r="Y179" s="207">
        <f>SUMIFS('август 2023'!$G$4:$G$1022,'август 2023'!$D$4:$D$1022,$B179,'август 2023'!$J$4:$J$1022,Y$1)</f>
        <v>0</v>
      </c>
      <c r="Z179" s="207">
        <f>SUMIFS('август 2023'!$G$4:$G$1022,'август 2023'!$D$4:$D$1022,$B179,'август 2023'!$J$4:$J$1022,Z$1)</f>
        <v>0</v>
      </c>
      <c r="AA179" s="207">
        <f>SUMIFS('август 2023'!$G$4:$G$1022,'август 2023'!$D$4:$D$1022,$B179,'август 2023'!$J$4:$J$1022,AA$1)</f>
        <v>0</v>
      </c>
      <c r="AB179" s="207">
        <f>SUMIFS('август 2023'!$G$4:$G$1022,'август 2023'!$D$4:$D$1022,$B179,'август 2023'!$J$4:$J$1022,AB$1)</f>
        <v>0</v>
      </c>
      <c r="AC179" s="207">
        <f>SUMIFS('август 2023'!$G$4:$G$1022,'август 2023'!$D$4:$D$1022,$B179,'август 2023'!$J$4:$J$1022,AC$1)</f>
        <v>0</v>
      </c>
      <c r="AD179" s="207">
        <f>SUMIFS('август 2023'!$G$4:$G$1022,'август 2023'!$D$4:$D$1022,$B179,'август 2023'!$J$4:$J$1022,AD$1)</f>
        <v>0</v>
      </c>
      <c r="AE179" s="207">
        <f>SUMIFS('август 2023'!$G$4:$G$1022,'август 2023'!$D$4:$D$1022,$B179,'август 2023'!$J$4:$J$1022,AE$1)</f>
        <v>0</v>
      </c>
      <c r="AF179" s="207">
        <f>SUMIFS('август 2023'!$G$4:$G$1022,'август 2023'!$D$4:$D$1022,$B179,'август 2023'!$J$4:$J$1022,AF$1)</f>
        <v>0</v>
      </c>
      <c r="AG179" s="207">
        <f>SUMIFS('август 2023'!$G$4:$G$1022,'август 2023'!$D$4:$D$1022,$B179,'август 2023'!$J$4:$J$1022,AG$1)</f>
        <v>0</v>
      </c>
      <c r="AH179" s="207">
        <f>SUMIFS('август 2023'!$G$4:$G$1022,'август 2023'!$D$4:$D$1022,$B179,'август 2023'!$J$4:$J$1022,AH$1)</f>
        <v>0</v>
      </c>
      <c r="AI179" s="220">
        <f t="shared" si="4"/>
        <v>0</v>
      </c>
    </row>
    <row r="180" spans="2:35" ht="15.75" hidden="1" x14ac:dyDescent="0.25">
      <c r="B180" s="212"/>
      <c r="C180" s="211"/>
      <c r="D180" s="207">
        <f>SUMIFS('август 2023'!$G$4:$G$1022,'август 2023'!$D$4:$D$1022,$B180,'август 2023'!$J$4:$J$1022,D$1)</f>
        <v>0</v>
      </c>
      <c r="E180" s="207">
        <f>SUMIFS('август 2023'!$G$4:$G$1022,'август 2023'!$D$4:$D$1022,$B180,'август 2023'!$J$4:$J$1022,E$1)</f>
        <v>0</v>
      </c>
      <c r="F180" s="207">
        <f>SUMIFS('август 2023'!$G$4:$G$1022,'август 2023'!$D$4:$D$1022,$B180,'август 2023'!$J$4:$J$1022,F$1)</f>
        <v>0</v>
      </c>
      <c r="G180" s="207">
        <f>SUMIFS('август 2023'!$G$4:$G$1022,'август 2023'!$D$4:$D$1022,$B180,'август 2023'!$J$4:$J$1022,G$1)</f>
        <v>0</v>
      </c>
      <c r="H180" s="207">
        <f>SUMIFS('август 2023'!$G$4:$G$1022,'август 2023'!$D$4:$D$1022,$B180,'август 2023'!$J$4:$J$1022,H$1)</f>
        <v>0</v>
      </c>
      <c r="I180" s="207">
        <f>SUMIFS('август 2023'!$G$4:$G$1022,'август 2023'!$D$4:$D$1022,$B180,'август 2023'!$J$4:$J$1022,I$1)</f>
        <v>0</v>
      </c>
      <c r="J180" s="207">
        <f>SUMIFS('август 2023'!$G$4:$G$1022,'август 2023'!$D$4:$D$1022,$B180,'август 2023'!$J$4:$J$1022,J$1)</f>
        <v>0</v>
      </c>
      <c r="K180" s="207">
        <f>SUMIFS('август 2023'!$G$4:$G$1022,'август 2023'!$D$4:$D$1022,$B180,'август 2023'!$J$4:$J$1022,K$1)</f>
        <v>0</v>
      </c>
      <c r="L180" s="207">
        <f>SUMIFS('август 2023'!$G$4:$G$1022,'август 2023'!$D$4:$D$1022,$B180,'август 2023'!$J$4:$J$1022,L$1)</f>
        <v>0</v>
      </c>
      <c r="M180" s="207">
        <f>SUMIFS('август 2023'!$G$4:$G$1022,'август 2023'!$D$4:$D$1022,$B180,'август 2023'!$J$4:$J$1022,M$1)</f>
        <v>0</v>
      </c>
      <c r="N180" s="207">
        <f>SUMIFS('август 2023'!$G$4:$G$1022,'август 2023'!$D$4:$D$1022,$B180,'август 2023'!$J$4:$J$1022,N$1)</f>
        <v>0</v>
      </c>
      <c r="O180" s="207">
        <f>SUMIFS('август 2023'!$G$4:$G$1022,'август 2023'!$D$4:$D$1022,$B180,'август 2023'!$J$4:$J$1022,O$1)</f>
        <v>0</v>
      </c>
      <c r="P180" s="207">
        <f>SUMIFS('август 2023'!$G$4:$G$1022,'август 2023'!$D$4:$D$1022,$B180,'август 2023'!$J$4:$J$1022,P$1)</f>
        <v>0</v>
      </c>
      <c r="Q180" s="207">
        <f>SUMIFS('август 2023'!$G$4:$G$1022,'август 2023'!$D$4:$D$1022,$B180,'август 2023'!$J$4:$J$1022,Q$1)</f>
        <v>0</v>
      </c>
      <c r="R180" s="207">
        <f>SUMIFS('август 2023'!$G$4:$G$1022,'август 2023'!$D$4:$D$1022,$B180,'август 2023'!$J$4:$J$1022,R$1)</f>
        <v>0</v>
      </c>
      <c r="S180" s="207">
        <f>SUMIFS('август 2023'!$G$4:$G$1022,'август 2023'!$D$4:$D$1022,$B180,'август 2023'!$J$4:$J$1022,S$1)</f>
        <v>0</v>
      </c>
      <c r="T180" s="207">
        <f>SUMIFS('август 2023'!$G$4:$G$1022,'август 2023'!$D$4:$D$1022,$B180,'август 2023'!$J$4:$J$1022,T$1)</f>
        <v>0</v>
      </c>
      <c r="U180" s="207">
        <f>SUMIFS('август 2023'!$G$4:$G$1022,'август 2023'!$D$4:$D$1022,$B180,'август 2023'!$J$4:$J$1022,U$1)</f>
        <v>0</v>
      </c>
      <c r="V180" s="207">
        <f>SUMIFS('август 2023'!$G$4:$G$1022,'август 2023'!$D$4:$D$1022,$B180,'август 2023'!$J$4:$J$1022,V$1)</f>
        <v>0</v>
      </c>
      <c r="W180" s="207">
        <f>SUMIFS('август 2023'!$G$4:$G$1022,'август 2023'!$D$4:$D$1022,$B180,'август 2023'!$J$4:$J$1022,W$1)</f>
        <v>0</v>
      </c>
      <c r="X180" s="207">
        <f>SUMIFS('август 2023'!$G$4:$G$1022,'август 2023'!$D$4:$D$1022,$B180,'август 2023'!$J$4:$J$1022,X$1)</f>
        <v>0</v>
      </c>
      <c r="Y180" s="207">
        <f>SUMIFS('август 2023'!$G$4:$G$1022,'август 2023'!$D$4:$D$1022,$B180,'август 2023'!$J$4:$J$1022,Y$1)</f>
        <v>0</v>
      </c>
      <c r="Z180" s="207">
        <f>SUMIFS('август 2023'!$G$4:$G$1022,'август 2023'!$D$4:$D$1022,$B180,'август 2023'!$J$4:$J$1022,Z$1)</f>
        <v>0</v>
      </c>
      <c r="AA180" s="207">
        <f>SUMIFS('август 2023'!$G$4:$G$1022,'август 2023'!$D$4:$D$1022,$B180,'август 2023'!$J$4:$J$1022,AA$1)</f>
        <v>0</v>
      </c>
      <c r="AB180" s="207">
        <f>SUMIFS('август 2023'!$G$4:$G$1022,'август 2023'!$D$4:$D$1022,$B180,'август 2023'!$J$4:$J$1022,AB$1)</f>
        <v>0</v>
      </c>
      <c r="AC180" s="207">
        <f>SUMIFS('август 2023'!$G$4:$G$1022,'август 2023'!$D$4:$D$1022,$B180,'август 2023'!$J$4:$J$1022,AC$1)</f>
        <v>0</v>
      </c>
      <c r="AD180" s="207">
        <f>SUMIFS('август 2023'!$G$4:$G$1022,'август 2023'!$D$4:$D$1022,$B180,'август 2023'!$J$4:$J$1022,AD$1)</f>
        <v>0</v>
      </c>
      <c r="AE180" s="207">
        <f>SUMIFS('август 2023'!$G$4:$G$1022,'август 2023'!$D$4:$D$1022,$B180,'август 2023'!$J$4:$J$1022,AE$1)</f>
        <v>0</v>
      </c>
      <c r="AF180" s="207">
        <f>SUMIFS('август 2023'!$G$4:$G$1022,'август 2023'!$D$4:$D$1022,$B180,'август 2023'!$J$4:$J$1022,AF$1)</f>
        <v>0</v>
      </c>
      <c r="AG180" s="207">
        <f>SUMIFS('август 2023'!$G$4:$G$1022,'август 2023'!$D$4:$D$1022,$B180,'август 2023'!$J$4:$J$1022,AG$1)</f>
        <v>0</v>
      </c>
      <c r="AH180" s="207">
        <f>SUMIFS('август 2023'!$G$4:$G$1022,'август 2023'!$D$4:$D$1022,$B180,'август 2023'!$J$4:$J$1022,AH$1)</f>
        <v>0</v>
      </c>
      <c r="AI180" s="220">
        <f t="shared" si="4"/>
        <v>0</v>
      </c>
    </row>
    <row r="181" spans="2:35" ht="15.75" hidden="1" x14ac:dyDescent="0.25">
      <c r="B181" s="212"/>
      <c r="C181" s="211"/>
      <c r="D181" s="207">
        <f>SUMIFS('август 2023'!$G$4:$G$1022,'август 2023'!$D$4:$D$1022,$B181,'август 2023'!$J$4:$J$1022,D$1)</f>
        <v>0</v>
      </c>
      <c r="E181" s="207">
        <f>SUMIFS('август 2023'!$G$4:$G$1022,'август 2023'!$D$4:$D$1022,$B181,'август 2023'!$J$4:$J$1022,E$1)</f>
        <v>0</v>
      </c>
      <c r="F181" s="207">
        <f>SUMIFS('август 2023'!$G$4:$G$1022,'август 2023'!$D$4:$D$1022,$B181,'август 2023'!$J$4:$J$1022,F$1)</f>
        <v>0</v>
      </c>
      <c r="G181" s="207">
        <f>SUMIFS('август 2023'!$G$4:$G$1022,'август 2023'!$D$4:$D$1022,$B181,'август 2023'!$J$4:$J$1022,G$1)</f>
        <v>0</v>
      </c>
      <c r="H181" s="207">
        <f>SUMIFS('август 2023'!$G$4:$G$1022,'август 2023'!$D$4:$D$1022,$B181,'август 2023'!$J$4:$J$1022,H$1)</f>
        <v>0</v>
      </c>
      <c r="I181" s="207">
        <f>SUMIFS('август 2023'!$G$4:$G$1022,'август 2023'!$D$4:$D$1022,$B181,'август 2023'!$J$4:$J$1022,I$1)</f>
        <v>0</v>
      </c>
      <c r="J181" s="207">
        <f>SUMIFS('август 2023'!$G$4:$G$1022,'август 2023'!$D$4:$D$1022,$B181,'август 2023'!$J$4:$J$1022,J$1)</f>
        <v>0</v>
      </c>
      <c r="K181" s="207">
        <f>SUMIFS('август 2023'!$G$4:$G$1022,'август 2023'!$D$4:$D$1022,$B181,'август 2023'!$J$4:$J$1022,K$1)</f>
        <v>0</v>
      </c>
      <c r="L181" s="207">
        <f>SUMIFS('август 2023'!$G$4:$G$1022,'август 2023'!$D$4:$D$1022,$B181,'август 2023'!$J$4:$J$1022,L$1)</f>
        <v>0</v>
      </c>
      <c r="M181" s="207">
        <f>SUMIFS('август 2023'!$G$4:$G$1022,'август 2023'!$D$4:$D$1022,$B181,'август 2023'!$J$4:$J$1022,M$1)</f>
        <v>0</v>
      </c>
      <c r="N181" s="207">
        <f>SUMIFS('август 2023'!$G$4:$G$1022,'август 2023'!$D$4:$D$1022,$B181,'август 2023'!$J$4:$J$1022,N$1)</f>
        <v>0</v>
      </c>
      <c r="O181" s="207">
        <f>SUMIFS('август 2023'!$G$4:$G$1022,'август 2023'!$D$4:$D$1022,$B181,'август 2023'!$J$4:$J$1022,O$1)</f>
        <v>0</v>
      </c>
      <c r="P181" s="207">
        <f>SUMIFS('август 2023'!$G$4:$G$1022,'август 2023'!$D$4:$D$1022,$B181,'август 2023'!$J$4:$J$1022,P$1)</f>
        <v>0</v>
      </c>
      <c r="Q181" s="207">
        <f>SUMIFS('август 2023'!$G$4:$G$1022,'август 2023'!$D$4:$D$1022,$B181,'август 2023'!$J$4:$J$1022,Q$1)</f>
        <v>0</v>
      </c>
      <c r="R181" s="207">
        <f>SUMIFS('август 2023'!$G$4:$G$1022,'август 2023'!$D$4:$D$1022,$B181,'август 2023'!$J$4:$J$1022,R$1)</f>
        <v>0</v>
      </c>
      <c r="S181" s="207">
        <f>SUMIFS('август 2023'!$G$4:$G$1022,'август 2023'!$D$4:$D$1022,$B181,'август 2023'!$J$4:$J$1022,S$1)</f>
        <v>0</v>
      </c>
      <c r="T181" s="207">
        <f>SUMIFS('август 2023'!$G$4:$G$1022,'август 2023'!$D$4:$D$1022,$B181,'август 2023'!$J$4:$J$1022,T$1)</f>
        <v>0</v>
      </c>
      <c r="U181" s="207">
        <f>SUMIFS('август 2023'!$G$4:$G$1022,'август 2023'!$D$4:$D$1022,$B181,'август 2023'!$J$4:$J$1022,U$1)</f>
        <v>0</v>
      </c>
      <c r="V181" s="207">
        <f>SUMIFS('август 2023'!$G$4:$G$1022,'август 2023'!$D$4:$D$1022,$B181,'август 2023'!$J$4:$J$1022,V$1)</f>
        <v>0</v>
      </c>
      <c r="W181" s="207">
        <f>SUMIFS('август 2023'!$G$4:$G$1022,'август 2023'!$D$4:$D$1022,$B181,'август 2023'!$J$4:$J$1022,W$1)</f>
        <v>0</v>
      </c>
      <c r="X181" s="207">
        <f>SUMIFS('август 2023'!$G$4:$G$1022,'август 2023'!$D$4:$D$1022,$B181,'август 2023'!$J$4:$J$1022,X$1)</f>
        <v>0</v>
      </c>
      <c r="Y181" s="207">
        <f>SUMIFS('август 2023'!$G$4:$G$1022,'август 2023'!$D$4:$D$1022,$B181,'август 2023'!$J$4:$J$1022,Y$1)</f>
        <v>0</v>
      </c>
      <c r="Z181" s="207">
        <f>SUMIFS('август 2023'!$G$4:$G$1022,'август 2023'!$D$4:$D$1022,$B181,'август 2023'!$J$4:$J$1022,Z$1)</f>
        <v>0</v>
      </c>
      <c r="AA181" s="207">
        <f>SUMIFS('август 2023'!$G$4:$G$1022,'август 2023'!$D$4:$D$1022,$B181,'август 2023'!$J$4:$J$1022,AA$1)</f>
        <v>0</v>
      </c>
      <c r="AB181" s="207">
        <f>SUMIFS('август 2023'!$G$4:$G$1022,'август 2023'!$D$4:$D$1022,$B181,'август 2023'!$J$4:$J$1022,AB$1)</f>
        <v>0</v>
      </c>
      <c r="AC181" s="207">
        <f>SUMIFS('август 2023'!$G$4:$G$1022,'август 2023'!$D$4:$D$1022,$B181,'август 2023'!$J$4:$J$1022,AC$1)</f>
        <v>0</v>
      </c>
      <c r="AD181" s="207">
        <f>SUMIFS('август 2023'!$G$4:$G$1022,'август 2023'!$D$4:$D$1022,$B181,'август 2023'!$J$4:$J$1022,AD$1)</f>
        <v>0</v>
      </c>
      <c r="AE181" s="207">
        <f>SUMIFS('август 2023'!$G$4:$G$1022,'август 2023'!$D$4:$D$1022,$B181,'август 2023'!$J$4:$J$1022,AE$1)</f>
        <v>0</v>
      </c>
      <c r="AF181" s="207">
        <f>SUMIFS('август 2023'!$G$4:$G$1022,'август 2023'!$D$4:$D$1022,$B181,'август 2023'!$J$4:$J$1022,AF$1)</f>
        <v>0</v>
      </c>
      <c r="AG181" s="207">
        <f>SUMIFS('август 2023'!$G$4:$G$1022,'август 2023'!$D$4:$D$1022,$B181,'август 2023'!$J$4:$J$1022,AG$1)</f>
        <v>0</v>
      </c>
      <c r="AH181" s="207">
        <f>SUMIFS('август 2023'!$G$4:$G$1022,'август 2023'!$D$4:$D$1022,$B181,'август 2023'!$J$4:$J$1022,AH$1)</f>
        <v>0</v>
      </c>
      <c r="AI181" s="220">
        <f t="shared" si="4"/>
        <v>0</v>
      </c>
    </row>
    <row r="182" spans="2:35" ht="15.75" hidden="1" x14ac:dyDescent="0.25">
      <c r="B182" s="212"/>
      <c r="C182" s="211"/>
      <c r="D182" s="207">
        <f>SUMIFS('август 2023'!$G$4:$G$1022,'август 2023'!$D$4:$D$1022,$B182,'август 2023'!$J$4:$J$1022,D$1)</f>
        <v>0</v>
      </c>
      <c r="E182" s="207">
        <f>SUMIFS('август 2023'!$G$4:$G$1022,'август 2023'!$D$4:$D$1022,$B182,'август 2023'!$J$4:$J$1022,E$1)</f>
        <v>0</v>
      </c>
      <c r="F182" s="207">
        <f>SUMIFS('август 2023'!$G$4:$G$1022,'август 2023'!$D$4:$D$1022,$B182,'август 2023'!$J$4:$J$1022,F$1)</f>
        <v>0</v>
      </c>
      <c r="G182" s="207">
        <f>SUMIFS('август 2023'!$G$4:$G$1022,'август 2023'!$D$4:$D$1022,$B182,'август 2023'!$J$4:$J$1022,G$1)</f>
        <v>0</v>
      </c>
      <c r="H182" s="207">
        <f>SUMIFS('август 2023'!$G$4:$G$1022,'август 2023'!$D$4:$D$1022,$B182,'август 2023'!$J$4:$J$1022,H$1)</f>
        <v>0</v>
      </c>
      <c r="I182" s="207">
        <f>SUMIFS('август 2023'!$G$4:$G$1022,'август 2023'!$D$4:$D$1022,$B182,'август 2023'!$J$4:$J$1022,I$1)</f>
        <v>0</v>
      </c>
      <c r="J182" s="207">
        <f>SUMIFS('август 2023'!$G$4:$G$1022,'август 2023'!$D$4:$D$1022,$B182,'август 2023'!$J$4:$J$1022,J$1)</f>
        <v>0</v>
      </c>
      <c r="K182" s="207">
        <f>SUMIFS('август 2023'!$G$4:$G$1022,'август 2023'!$D$4:$D$1022,$B182,'август 2023'!$J$4:$J$1022,K$1)</f>
        <v>0</v>
      </c>
      <c r="L182" s="207">
        <f>SUMIFS('август 2023'!$G$4:$G$1022,'август 2023'!$D$4:$D$1022,$B182,'август 2023'!$J$4:$J$1022,L$1)</f>
        <v>0</v>
      </c>
      <c r="M182" s="207">
        <f>SUMIFS('август 2023'!$G$4:$G$1022,'август 2023'!$D$4:$D$1022,$B182,'август 2023'!$J$4:$J$1022,M$1)</f>
        <v>0</v>
      </c>
      <c r="N182" s="207">
        <f>SUMIFS('август 2023'!$G$4:$G$1022,'август 2023'!$D$4:$D$1022,$B182,'август 2023'!$J$4:$J$1022,N$1)</f>
        <v>0</v>
      </c>
      <c r="O182" s="207">
        <f>SUMIFS('август 2023'!$G$4:$G$1022,'август 2023'!$D$4:$D$1022,$B182,'август 2023'!$J$4:$J$1022,O$1)</f>
        <v>0</v>
      </c>
      <c r="P182" s="207">
        <f>SUMIFS('август 2023'!$G$4:$G$1022,'август 2023'!$D$4:$D$1022,$B182,'август 2023'!$J$4:$J$1022,P$1)</f>
        <v>0</v>
      </c>
      <c r="Q182" s="207">
        <f>SUMIFS('август 2023'!$G$4:$G$1022,'август 2023'!$D$4:$D$1022,$B182,'август 2023'!$J$4:$J$1022,Q$1)</f>
        <v>0</v>
      </c>
      <c r="R182" s="207">
        <f>SUMIFS('август 2023'!$G$4:$G$1022,'август 2023'!$D$4:$D$1022,$B182,'август 2023'!$J$4:$J$1022,R$1)</f>
        <v>0</v>
      </c>
      <c r="S182" s="207">
        <f>SUMIFS('август 2023'!$G$4:$G$1022,'август 2023'!$D$4:$D$1022,$B182,'август 2023'!$J$4:$J$1022,S$1)</f>
        <v>0</v>
      </c>
      <c r="T182" s="207">
        <f>SUMIFS('август 2023'!$G$4:$G$1022,'август 2023'!$D$4:$D$1022,$B182,'август 2023'!$J$4:$J$1022,T$1)</f>
        <v>0</v>
      </c>
      <c r="U182" s="207">
        <f>SUMIFS('август 2023'!$G$4:$G$1022,'август 2023'!$D$4:$D$1022,$B182,'август 2023'!$J$4:$J$1022,U$1)</f>
        <v>0</v>
      </c>
      <c r="V182" s="207">
        <f>SUMIFS('август 2023'!$G$4:$G$1022,'август 2023'!$D$4:$D$1022,$B182,'август 2023'!$J$4:$J$1022,V$1)</f>
        <v>0</v>
      </c>
      <c r="W182" s="207">
        <f>SUMIFS('август 2023'!$G$4:$G$1022,'август 2023'!$D$4:$D$1022,$B182,'август 2023'!$J$4:$J$1022,W$1)</f>
        <v>0</v>
      </c>
      <c r="X182" s="207">
        <f>SUMIFS('август 2023'!$G$4:$G$1022,'август 2023'!$D$4:$D$1022,$B182,'август 2023'!$J$4:$J$1022,X$1)</f>
        <v>0</v>
      </c>
      <c r="Y182" s="207">
        <f>SUMIFS('август 2023'!$G$4:$G$1022,'август 2023'!$D$4:$D$1022,$B182,'август 2023'!$J$4:$J$1022,Y$1)</f>
        <v>0</v>
      </c>
      <c r="Z182" s="207">
        <f>SUMIFS('август 2023'!$G$4:$G$1022,'август 2023'!$D$4:$D$1022,$B182,'август 2023'!$J$4:$J$1022,Z$1)</f>
        <v>0</v>
      </c>
      <c r="AA182" s="207">
        <f>SUMIFS('август 2023'!$G$4:$G$1022,'август 2023'!$D$4:$D$1022,$B182,'август 2023'!$J$4:$J$1022,AA$1)</f>
        <v>0</v>
      </c>
      <c r="AB182" s="207">
        <f>SUMIFS('август 2023'!$G$4:$G$1022,'август 2023'!$D$4:$D$1022,$B182,'август 2023'!$J$4:$J$1022,AB$1)</f>
        <v>0</v>
      </c>
      <c r="AC182" s="207">
        <f>SUMIFS('август 2023'!$G$4:$G$1022,'август 2023'!$D$4:$D$1022,$B182,'август 2023'!$J$4:$J$1022,AC$1)</f>
        <v>0</v>
      </c>
      <c r="AD182" s="207">
        <f>SUMIFS('август 2023'!$G$4:$G$1022,'август 2023'!$D$4:$D$1022,$B182,'август 2023'!$J$4:$J$1022,AD$1)</f>
        <v>0</v>
      </c>
      <c r="AE182" s="207">
        <f>SUMIFS('август 2023'!$G$4:$G$1022,'август 2023'!$D$4:$D$1022,$B182,'август 2023'!$J$4:$J$1022,AE$1)</f>
        <v>0</v>
      </c>
      <c r="AF182" s="207">
        <f>SUMIFS('август 2023'!$G$4:$G$1022,'август 2023'!$D$4:$D$1022,$B182,'август 2023'!$J$4:$J$1022,AF$1)</f>
        <v>0</v>
      </c>
      <c r="AG182" s="207">
        <f>SUMIFS('август 2023'!$G$4:$G$1022,'август 2023'!$D$4:$D$1022,$B182,'август 2023'!$J$4:$J$1022,AG$1)</f>
        <v>0</v>
      </c>
      <c r="AH182" s="207">
        <f>SUMIFS('август 2023'!$G$4:$G$1022,'август 2023'!$D$4:$D$1022,$B182,'август 2023'!$J$4:$J$1022,AH$1)</f>
        <v>0</v>
      </c>
      <c r="AI182" s="220">
        <f t="shared" si="4"/>
        <v>0</v>
      </c>
    </row>
    <row r="183" spans="2:35" ht="15.75" hidden="1" x14ac:dyDescent="0.25">
      <c r="B183" s="212"/>
      <c r="C183" s="211"/>
      <c r="D183" s="207">
        <f>SUMIFS('август 2023'!$G$4:$G$1022,'август 2023'!$D$4:$D$1022,$B183,'август 2023'!$J$4:$J$1022,D$1)</f>
        <v>0</v>
      </c>
      <c r="E183" s="207">
        <f>SUMIFS('август 2023'!$G$4:$G$1022,'август 2023'!$D$4:$D$1022,$B183,'август 2023'!$J$4:$J$1022,E$1)</f>
        <v>0</v>
      </c>
      <c r="F183" s="207">
        <f>SUMIFS('август 2023'!$G$4:$G$1022,'август 2023'!$D$4:$D$1022,$B183,'август 2023'!$J$4:$J$1022,F$1)</f>
        <v>0</v>
      </c>
      <c r="G183" s="207">
        <f>SUMIFS('август 2023'!$G$4:$G$1022,'август 2023'!$D$4:$D$1022,$B183,'август 2023'!$J$4:$J$1022,G$1)</f>
        <v>0</v>
      </c>
      <c r="H183" s="207">
        <f>SUMIFS('август 2023'!$G$4:$G$1022,'август 2023'!$D$4:$D$1022,$B183,'август 2023'!$J$4:$J$1022,H$1)</f>
        <v>0</v>
      </c>
      <c r="I183" s="207">
        <f>SUMIFS('август 2023'!$G$4:$G$1022,'август 2023'!$D$4:$D$1022,$B183,'август 2023'!$J$4:$J$1022,I$1)</f>
        <v>0</v>
      </c>
      <c r="J183" s="207">
        <f>SUMIFS('август 2023'!$G$4:$G$1022,'август 2023'!$D$4:$D$1022,$B183,'август 2023'!$J$4:$J$1022,J$1)</f>
        <v>0</v>
      </c>
      <c r="K183" s="207">
        <f>SUMIFS('август 2023'!$G$4:$G$1022,'август 2023'!$D$4:$D$1022,$B183,'август 2023'!$J$4:$J$1022,K$1)</f>
        <v>0</v>
      </c>
      <c r="L183" s="207">
        <f>SUMIFS('август 2023'!$G$4:$G$1022,'август 2023'!$D$4:$D$1022,$B183,'август 2023'!$J$4:$J$1022,L$1)</f>
        <v>0</v>
      </c>
      <c r="M183" s="207">
        <f>SUMIFS('август 2023'!$G$4:$G$1022,'август 2023'!$D$4:$D$1022,$B183,'август 2023'!$J$4:$J$1022,M$1)</f>
        <v>0</v>
      </c>
      <c r="N183" s="207">
        <f>SUMIFS('август 2023'!$G$4:$G$1022,'август 2023'!$D$4:$D$1022,$B183,'август 2023'!$J$4:$J$1022,N$1)</f>
        <v>0</v>
      </c>
      <c r="O183" s="207">
        <f>SUMIFS('август 2023'!$G$4:$G$1022,'август 2023'!$D$4:$D$1022,$B183,'август 2023'!$J$4:$J$1022,O$1)</f>
        <v>0</v>
      </c>
      <c r="P183" s="207">
        <f>SUMIFS('август 2023'!$G$4:$G$1022,'август 2023'!$D$4:$D$1022,$B183,'август 2023'!$J$4:$J$1022,P$1)</f>
        <v>0</v>
      </c>
      <c r="Q183" s="207">
        <f>SUMIFS('август 2023'!$G$4:$G$1022,'август 2023'!$D$4:$D$1022,$B183,'август 2023'!$J$4:$J$1022,Q$1)</f>
        <v>0</v>
      </c>
      <c r="R183" s="207">
        <f>SUMIFS('август 2023'!$G$4:$G$1022,'август 2023'!$D$4:$D$1022,$B183,'август 2023'!$J$4:$J$1022,R$1)</f>
        <v>0</v>
      </c>
      <c r="S183" s="207">
        <f>SUMIFS('август 2023'!$G$4:$G$1022,'август 2023'!$D$4:$D$1022,$B183,'август 2023'!$J$4:$J$1022,S$1)</f>
        <v>0</v>
      </c>
      <c r="T183" s="207">
        <f>SUMIFS('август 2023'!$G$4:$G$1022,'август 2023'!$D$4:$D$1022,$B183,'август 2023'!$J$4:$J$1022,T$1)</f>
        <v>0</v>
      </c>
      <c r="U183" s="207">
        <f>SUMIFS('август 2023'!$G$4:$G$1022,'август 2023'!$D$4:$D$1022,$B183,'август 2023'!$J$4:$J$1022,U$1)</f>
        <v>0</v>
      </c>
      <c r="V183" s="207">
        <f>SUMIFS('август 2023'!$G$4:$G$1022,'август 2023'!$D$4:$D$1022,$B183,'август 2023'!$J$4:$J$1022,V$1)</f>
        <v>0</v>
      </c>
      <c r="W183" s="207">
        <f>SUMIFS('август 2023'!$G$4:$G$1022,'август 2023'!$D$4:$D$1022,$B183,'август 2023'!$J$4:$J$1022,W$1)</f>
        <v>0</v>
      </c>
      <c r="X183" s="207">
        <f>SUMIFS('август 2023'!$G$4:$G$1022,'август 2023'!$D$4:$D$1022,$B183,'август 2023'!$J$4:$J$1022,X$1)</f>
        <v>0</v>
      </c>
      <c r="Y183" s="207">
        <f>SUMIFS('август 2023'!$G$4:$G$1022,'август 2023'!$D$4:$D$1022,$B183,'август 2023'!$J$4:$J$1022,Y$1)</f>
        <v>0</v>
      </c>
      <c r="Z183" s="207">
        <f>SUMIFS('август 2023'!$G$4:$G$1022,'август 2023'!$D$4:$D$1022,$B183,'август 2023'!$J$4:$J$1022,Z$1)</f>
        <v>0</v>
      </c>
      <c r="AA183" s="207">
        <f>SUMIFS('август 2023'!$G$4:$G$1022,'август 2023'!$D$4:$D$1022,$B183,'август 2023'!$J$4:$J$1022,AA$1)</f>
        <v>0</v>
      </c>
      <c r="AB183" s="207">
        <f>SUMIFS('август 2023'!$G$4:$G$1022,'август 2023'!$D$4:$D$1022,$B183,'август 2023'!$J$4:$J$1022,AB$1)</f>
        <v>0</v>
      </c>
      <c r="AC183" s="207">
        <f>SUMIFS('август 2023'!$G$4:$G$1022,'август 2023'!$D$4:$D$1022,$B183,'август 2023'!$J$4:$J$1022,AC$1)</f>
        <v>0</v>
      </c>
      <c r="AD183" s="207">
        <f>SUMIFS('август 2023'!$G$4:$G$1022,'август 2023'!$D$4:$D$1022,$B183,'август 2023'!$J$4:$J$1022,AD$1)</f>
        <v>0</v>
      </c>
      <c r="AE183" s="207">
        <f>SUMIFS('август 2023'!$G$4:$G$1022,'август 2023'!$D$4:$D$1022,$B183,'август 2023'!$J$4:$J$1022,AE$1)</f>
        <v>0</v>
      </c>
      <c r="AF183" s="207">
        <f>SUMIFS('август 2023'!$G$4:$G$1022,'август 2023'!$D$4:$D$1022,$B183,'август 2023'!$J$4:$J$1022,AF$1)</f>
        <v>0</v>
      </c>
      <c r="AG183" s="207">
        <f>SUMIFS('август 2023'!$G$4:$G$1022,'август 2023'!$D$4:$D$1022,$B183,'август 2023'!$J$4:$J$1022,AG$1)</f>
        <v>0</v>
      </c>
      <c r="AH183" s="207">
        <f>SUMIFS('август 2023'!$G$4:$G$1022,'август 2023'!$D$4:$D$1022,$B183,'август 2023'!$J$4:$J$1022,AH$1)</f>
        <v>0</v>
      </c>
      <c r="AI183" s="220">
        <f t="shared" si="4"/>
        <v>0</v>
      </c>
    </row>
    <row r="184" spans="2:35" ht="15.75" hidden="1" x14ac:dyDescent="0.25">
      <c r="B184" s="212"/>
      <c r="C184" s="211"/>
      <c r="D184" s="207">
        <f>SUMIFS('август 2023'!$G$4:$G$1022,'август 2023'!$D$4:$D$1022,$B184,'август 2023'!$J$4:$J$1022,D$1)</f>
        <v>0</v>
      </c>
      <c r="E184" s="207">
        <f>SUMIFS('август 2023'!$G$4:$G$1022,'август 2023'!$D$4:$D$1022,$B184,'август 2023'!$J$4:$J$1022,E$1)</f>
        <v>0</v>
      </c>
      <c r="F184" s="207">
        <f>SUMIFS('август 2023'!$G$4:$G$1022,'август 2023'!$D$4:$D$1022,$B184,'август 2023'!$J$4:$J$1022,F$1)</f>
        <v>0</v>
      </c>
      <c r="G184" s="207">
        <f>SUMIFS('август 2023'!$G$4:$G$1022,'август 2023'!$D$4:$D$1022,$B184,'август 2023'!$J$4:$J$1022,G$1)</f>
        <v>0</v>
      </c>
      <c r="H184" s="207">
        <f>SUMIFS('август 2023'!$G$4:$G$1022,'август 2023'!$D$4:$D$1022,$B184,'август 2023'!$J$4:$J$1022,H$1)</f>
        <v>0</v>
      </c>
      <c r="I184" s="207">
        <f>SUMIFS('август 2023'!$G$4:$G$1022,'август 2023'!$D$4:$D$1022,$B184,'август 2023'!$J$4:$J$1022,I$1)</f>
        <v>0</v>
      </c>
      <c r="J184" s="207">
        <f>SUMIFS('август 2023'!$G$4:$G$1022,'август 2023'!$D$4:$D$1022,$B184,'август 2023'!$J$4:$J$1022,J$1)</f>
        <v>0</v>
      </c>
      <c r="K184" s="207">
        <f>SUMIFS('август 2023'!$G$4:$G$1022,'август 2023'!$D$4:$D$1022,$B184,'август 2023'!$J$4:$J$1022,K$1)</f>
        <v>0</v>
      </c>
      <c r="L184" s="207">
        <f>SUMIFS('август 2023'!$G$4:$G$1022,'август 2023'!$D$4:$D$1022,$B184,'август 2023'!$J$4:$J$1022,L$1)</f>
        <v>0</v>
      </c>
      <c r="M184" s="207">
        <f>SUMIFS('август 2023'!$G$4:$G$1022,'август 2023'!$D$4:$D$1022,$B184,'август 2023'!$J$4:$J$1022,M$1)</f>
        <v>0</v>
      </c>
      <c r="N184" s="207">
        <f>SUMIFS('август 2023'!$G$4:$G$1022,'август 2023'!$D$4:$D$1022,$B184,'август 2023'!$J$4:$J$1022,N$1)</f>
        <v>0</v>
      </c>
      <c r="O184" s="207">
        <f>SUMIFS('август 2023'!$G$4:$G$1022,'август 2023'!$D$4:$D$1022,$B184,'август 2023'!$J$4:$J$1022,O$1)</f>
        <v>0</v>
      </c>
      <c r="P184" s="207">
        <f>SUMIFS('август 2023'!$G$4:$G$1022,'август 2023'!$D$4:$D$1022,$B184,'август 2023'!$J$4:$J$1022,P$1)</f>
        <v>0</v>
      </c>
      <c r="Q184" s="207">
        <f>SUMIFS('август 2023'!$G$4:$G$1022,'август 2023'!$D$4:$D$1022,$B184,'август 2023'!$J$4:$J$1022,Q$1)</f>
        <v>0</v>
      </c>
      <c r="R184" s="207">
        <f>SUMIFS('август 2023'!$G$4:$G$1022,'август 2023'!$D$4:$D$1022,$B184,'август 2023'!$J$4:$J$1022,R$1)</f>
        <v>0</v>
      </c>
      <c r="S184" s="207">
        <f>SUMIFS('август 2023'!$G$4:$G$1022,'август 2023'!$D$4:$D$1022,$B184,'август 2023'!$J$4:$J$1022,S$1)</f>
        <v>0</v>
      </c>
      <c r="T184" s="207">
        <f>SUMIFS('август 2023'!$G$4:$G$1022,'август 2023'!$D$4:$D$1022,$B184,'август 2023'!$J$4:$J$1022,T$1)</f>
        <v>0</v>
      </c>
      <c r="U184" s="207">
        <f>SUMIFS('август 2023'!$G$4:$G$1022,'август 2023'!$D$4:$D$1022,$B184,'август 2023'!$J$4:$J$1022,U$1)</f>
        <v>0</v>
      </c>
      <c r="V184" s="207">
        <f>SUMIFS('август 2023'!$G$4:$G$1022,'август 2023'!$D$4:$D$1022,$B184,'август 2023'!$J$4:$J$1022,V$1)</f>
        <v>0</v>
      </c>
      <c r="W184" s="207">
        <f>SUMIFS('август 2023'!$G$4:$G$1022,'август 2023'!$D$4:$D$1022,$B184,'август 2023'!$J$4:$J$1022,W$1)</f>
        <v>0</v>
      </c>
      <c r="X184" s="207">
        <f>SUMIFS('август 2023'!$G$4:$G$1022,'август 2023'!$D$4:$D$1022,$B184,'август 2023'!$J$4:$J$1022,X$1)</f>
        <v>0</v>
      </c>
      <c r="Y184" s="207">
        <f>SUMIFS('август 2023'!$G$4:$G$1022,'август 2023'!$D$4:$D$1022,$B184,'август 2023'!$J$4:$J$1022,Y$1)</f>
        <v>0</v>
      </c>
      <c r="Z184" s="207">
        <f>SUMIFS('август 2023'!$G$4:$G$1022,'август 2023'!$D$4:$D$1022,$B184,'август 2023'!$J$4:$J$1022,Z$1)</f>
        <v>0</v>
      </c>
      <c r="AA184" s="207">
        <f>SUMIFS('август 2023'!$G$4:$G$1022,'август 2023'!$D$4:$D$1022,$B184,'август 2023'!$J$4:$J$1022,AA$1)</f>
        <v>0</v>
      </c>
      <c r="AB184" s="207">
        <f>SUMIFS('август 2023'!$G$4:$G$1022,'август 2023'!$D$4:$D$1022,$B184,'август 2023'!$J$4:$J$1022,AB$1)</f>
        <v>0</v>
      </c>
      <c r="AC184" s="207">
        <f>SUMIFS('август 2023'!$G$4:$G$1022,'август 2023'!$D$4:$D$1022,$B184,'август 2023'!$J$4:$J$1022,AC$1)</f>
        <v>0</v>
      </c>
      <c r="AD184" s="207">
        <f>SUMIFS('август 2023'!$G$4:$G$1022,'август 2023'!$D$4:$D$1022,$B184,'август 2023'!$J$4:$J$1022,AD$1)</f>
        <v>0</v>
      </c>
      <c r="AE184" s="207">
        <f>SUMIFS('август 2023'!$G$4:$G$1022,'август 2023'!$D$4:$D$1022,$B184,'август 2023'!$J$4:$J$1022,AE$1)</f>
        <v>0</v>
      </c>
      <c r="AF184" s="207">
        <f>SUMIFS('август 2023'!$G$4:$G$1022,'август 2023'!$D$4:$D$1022,$B184,'август 2023'!$J$4:$J$1022,AF$1)</f>
        <v>0</v>
      </c>
      <c r="AG184" s="207">
        <f>SUMIFS('август 2023'!$G$4:$G$1022,'август 2023'!$D$4:$D$1022,$B184,'август 2023'!$J$4:$J$1022,AG$1)</f>
        <v>0</v>
      </c>
      <c r="AH184" s="207">
        <f>SUMIFS('август 2023'!$G$4:$G$1022,'август 2023'!$D$4:$D$1022,$B184,'август 2023'!$J$4:$J$1022,AH$1)</f>
        <v>0</v>
      </c>
      <c r="AI184" s="220">
        <f t="shared" si="4"/>
        <v>0</v>
      </c>
    </row>
    <row r="185" spans="2:35" ht="15.75" hidden="1" x14ac:dyDescent="0.25">
      <c r="B185" s="212"/>
      <c r="C185" s="211"/>
      <c r="D185" s="207">
        <f>SUMIFS('август 2023'!$G$4:$G$1022,'август 2023'!$D$4:$D$1022,$B185,'август 2023'!$J$4:$J$1022,D$1)</f>
        <v>0</v>
      </c>
      <c r="E185" s="207">
        <f>SUMIFS('август 2023'!$G$4:$G$1022,'август 2023'!$D$4:$D$1022,$B185,'август 2023'!$J$4:$J$1022,E$1)</f>
        <v>0</v>
      </c>
      <c r="F185" s="207">
        <f>SUMIFS('август 2023'!$G$4:$G$1022,'август 2023'!$D$4:$D$1022,$B185,'август 2023'!$J$4:$J$1022,F$1)</f>
        <v>0</v>
      </c>
      <c r="G185" s="207">
        <f>SUMIFS('август 2023'!$G$4:$G$1022,'август 2023'!$D$4:$D$1022,$B185,'август 2023'!$J$4:$J$1022,G$1)</f>
        <v>0</v>
      </c>
      <c r="H185" s="207">
        <f>SUMIFS('август 2023'!$G$4:$G$1022,'август 2023'!$D$4:$D$1022,$B185,'август 2023'!$J$4:$J$1022,H$1)</f>
        <v>0</v>
      </c>
      <c r="I185" s="207">
        <f>SUMIFS('август 2023'!$G$4:$G$1022,'август 2023'!$D$4:$D$1022,$B185,'август 2023'!$J$4:$J$1022,I$1)</f>
        <v>0</v>
      </c>
      <c r="J185" s="207">
        <f>SUMIFS('август 2023'!$G$4:$G$1022,'август 2023'!$D$4:$D$1022,$B185,'август 2023'!$J$4:$J$1022,J$1)</f>
        <v>0</v>
      </c>
      <c r="K185" s="207">
        <f>SUMIFS('август 2023'!$G$4:$G$1022,'август 2023'!$D$4:$D$1022,$B185,'август 2023'!$J$4:$J$1022,K$1)</f>
        <v>0</v>
      </c>
      <c r="L185" s="207">
        <f>SUMIFS('август 2023'!$G$4:$G$1022,'август 2023'!$D$4:$D$1022,$B185,'август 2023'!$J$4:$J$1022,L$1)</f>
        <v>0</v>
      </c>
      <c r="M185" s="207">
        <f>SUMIFS('август 2023'!$G$4:$G$1022,'август 2023'!$D$4:$D$1022,$B185,'август 2023'!$J$4:$J$1022,M$1)</f>
        <v>0</v>
      </c>
      <c r="N185" s="207">
        <f>SUMIFS('август 2023'!$G$4:$G$1022,'август 2023'!$D$4:$D$1022,$B185,'август 2023'!$J$4:$J$1022,N$1)</f>
        <v>0</v>
      </c>
      <c r="O185" s="207">
        <f>SUMIFS('август 2023'!$G$4:$G$1022,'август 2023'!$D$4:$D$1022,$B185,'август 2023'!$J$4:$J$1022,O$1)</f>
        <v>0</v>
      </c>
      <c r="P185" s="207">
        <f>SUMIFS('август 2023'!$G$4:$G$1022,'август 2023'!$D$4:$D$1022,$B185,'август 2023'!$J$4:$J$1022,P$1)</f>
        <v>0</v>
      </c>
      <c r="Q185" s="207">
        <f>SUMIFS('август 2023'!$G$4:$G$1022,'август 2023'!$D$4:$D$1022,$B185,'август 2023'!$J$4:$J$1022,Q$1)</f>
        <v>0</v>
      </c>
      <c r="R185" s="207">
        <f>SUMIFS('август 2023'!$G$4:$G$1022,'август 2023'!$D$4:$D$1022,$B185,'август 2023'!$J$4:$J$1022,R$1)</f>
        <v>0</v>
      </c>
      <c r="S185" s="207">
        <f>SUMIFS('август 2023'!$G$4:$G$1022,'август 2023'!$D$4:$D$1022,$B185,'август 2023'!$J$4:$J$1022,S$1)</f>
        <v>0</v>
      </c>
      <c r="T185" s="207">
        <f>SUMIFS('август 2023'!$G$4:$G$1022,'август 2023'!$D$4:$D$1022,$B185,'август 2023'!$J$4:$J$1022,T$1)</f>
        <v>0</v>
      </c>
      <c r="U185" s="207">
        <f>SUMIFS('август 2023'!$G$4:$G$1022,'август 2023'!$D$4:$D$1022,$B185,'август 2023'!$J$4:$J$1022,U$1)</f>
        <v>0</v>
      </c>
      <c r="V185" s="207">
        <f>SUMIFS('август 2023'!$G$4:$G$1022,'август 2023'!$D$4:$D$1022,$B185,'август 2023'!$J$4:$J$1022,V$1)</f>
        <v>0</v>
      </c>
      <c r="W185" s="207">
        <f>SUMIFS('август 2023'!$G$4:$G$1022,'август 2023'!$D$4:$D$1022,$B185,'август 2023'!$J$4:$J$1022,W$1)</f>
        <v>0</v>
      </c>
      <c r="X185" s="207">
        <f>SUMIFS('август 2023'!$G$4:$G$1022,'август 2023'!$D$4:$D$1022,$B185,'август 2023'!$J$4:$J$1022,X$1)</f>
        <v>0</v>
      </c>
      <c r="Y185" s="207">
        <f>SUMIFS('август 2023'!$G$4:$G$1022,'август 2023'!$D$4:$D$1022,$B185,'август 2023'!$J$4:$J$1022,Y$1)</f>
        <v>0</v>
      </c>
      <c r="Z185" s="207">
        <f>SUMIFS('август 2023'!$G$4:$G$1022,'август 2023'!$D$4:$D$1022,$B185,'август 2023'!$J$4:$J$1022,Z$1)</f>
        <v>0</v>
      </c>
      <c r="AA185" s="207">
        <f>SUMIFS('август 2023'!$G$4:$G$1022,'август 2023'!$D$4:$D$1022,$B185,'август 2023'!$J$4:$J$1022,AA$1)</f>
        <v>0</v>
      </c>
      <c r="AB185" s="207">
        <f>SUMIFS('август 2023'!$G$4:$G$1022,'август 2023'!$D$4:$D$1022,$B185,'август 2023'!$J$4:$J$1022,AB$1)</f>
        <v>0</v>
      </c>
      <c r="AC185" s="207">
        <f>SUMIFS('август 2023'!$G$4:$G$1022,'август 2023'!$D$4:$D$1022,$B185,'август 2023'!$J$4:$J$1022,AC$1)</f>
        <v>0</v>
      </c>
      <c r="AD185" s="207">
        <f>SUMIFS('август 2023'!$G$4:$G$1022,'август 2023'!$D$4:$D$1022,$B185,'август 2023'!$J$4:$J$1022,AD$1)</f>
        <v>0</v>
      </c>
      <c r="AE185" s="207">
        <f>SUMIFS('август 2023'!$G$4:$G$1022,'август 2023'!$D$4:$D$1022,$B185,'август 2023'!$J$4:$J$1022,AE$1)</f>
        <v>0</v>
      </c>
      <c r="AF185" s="207">
        <f>SUMIFS('август 2023'!$G$4:$G$1022,'август 2023'!$D$4:$D$1022,$B185,'август 2023'!$J$4:$J$1022,AF$1)</f>
        <v>0</v>
      </c>
      <c r="AG185" s="207">
        <f>SUMIFS('август 2023'!$G$4:$G$1022,'август 2023'!$D$4:$D$1022,$B185,'август 2023'!$J$4:$J$1022,AG$1)</f>
        <v>0</v>
      </c>
      <c r="AH185" s="207">
        <f>SUMIFS('август 2023'!$G$4:$G$1022,'август 2023'!$D$4:$D$1022,$B185,'август 2023'!$J$4:$J$1022,AH$1)</f>
        <v>0</v>
      </c>
      <c r="AI185" s="220">
        <f t="shared" si="4"/>
        <v>0</v>
      </c>
    </row>
    <row r="186" spans="2:35" ht="15.75" hidden="1" x14ac:dyDescent="0.25">
      <c r="B186" s="212"/>
      <c r="C186" s="211"/>
      <c r="D186" s="207">
        <f>SUMIFS('август 2023'!$G$4:$G$1022,'август 2023'!$D$4:$D$1022,$B186,'август 2023'!$J$4:$J$1022,D$1)</f>
        <v>0</v>
      </c>
      <c r="E186" s="207">
        <f>SUMIFS('август 2023'!$G$4:$G$1022,'август 2023'!$D$4:$D$1022,$B186,'август 2023'!$J$4:$J$1022,E$1)</f>
        <v>0</v>
      </c>
      <c r="F186" s="207">
        <f>SUMIFS('август 2023'!$G$4:$G$1022,'август 2023'!$D$4:$D$1022,$B186,'август 2023'!$J$4:$J$1022,F$1)</f>
        <v>0</v>
      </c>
      <c r="G186" s="207">
        <f>SUMIFS('август 2023'!$G$4:$G$1022,'август 2023'!$D$4:$D$1022,$B186,'август 2023'!$J$4:$J$1022,G$1)</f>
        <v>0</v>
      </c>
      <c r="H186" s="207">
        <f>SUMIFS('август 2023'!$G$4:$G$1022,'август 2023'!$D$4:$D$1022,$B186,'август 2023'!$J$4:$J$1022,H$1)</f>
        <v>0</v>
      </c>
      <c r="I186" s="207">
        <f>SUMIFS('август 2023'!$G$4:$G$1022,'август 2023'!$D$4:$D$1022,$B186,'август 2023'!$J$4:$J$1022,I$1)</f>
        <v>0</v>
      </c>
      <c r="J186" s="207">
        <f>SUMIFS('август 2023'!$G$4:$G$1022,'август 2023'!$D$4:$D$1022,$B186,'август 2023'!$J$4:$J$1022,J$1)</f>
        <v>0</v>
      </c>
      <c r="K186" s="207">
        <f>SUMIFS('август 2023'!$G$4:$G$1022,'август 2023'!$D$4:$D$1022,$B186,'август 2023'!$J$4:$J$1022,K$1)</f>
        <v>0</v>
      </c>
      <c r="L186" s="207">
        <f>SUMIFS('август 2023'!$G$4:$G$1022,'август 2023'!$D$4:$D$1022,$B186,'август 2023'!$J$4:$J$1022,L$1)</f>
        <v>0</v>
      </c>
      <c r="M186" s="207">
        <f>SUMIFS('август 2023'!$G$4:$G$1022,'август 2023'!$D$4:$D$1022,$B186,'август 2023'!$J$4:$J$1022,M$1)</f>
        <v>0</v>
      </c>
      <c r="N186" s="207">
        <f>SUMIFS('август 2023'!$G$4:$G$1022,'август 2023'!$D$4:$D$1022,$B186,'август 2023'!$J$4:$J$1022,N$1)</f>
        <v>0</v>
      </c>
      <c r="O186" s="207">
        <f>SUMIFS('август 2023'!$G$4:$G$1022,'август 2023'!$D$4:$D$1022,$B186,'август 2023'!$J$4:$J$1022,O$1)</f>
        <v>0</v>
      </c>
      <c r="P186" s="207">
        <f>SUMIFS('август 2023'!$G$4:$G$1022,'август 2023'!$D$4:$D$1022,$B186,'август 2023'!$J$4:$J$1022,P$1)</f>
        <v>0</v>
      </c>
      <c r="Q186" s="207">
        <f>SUMIFS('август 2023'!$G$4:$G$1022,'август 2023'!$D$4:$D$1022,$B186,'август 2023'!$J$4:$J$1022,Q$1)</f>
        <v>0</v>
      </c>
      <c r="R186" s="207">
        <f>SUMIFS('август 2023'!$G$4:$G$1022,'август 2023'!$D$4:$D$1022,$B186,'август 2023'!$J$4:$J$1022,R$1)</f>
        <v>0</v>
      </c>
      <c r="S186" s="207">
        <f>SUMIFS('август 2023'!$G$4:$G$1022,'август 2023'!$D$4:$D$1022,$B186,'август 2023'!$J$4:$J$1022,S$1)</f>
        <v>0</v>
      </c>
      <c r="T186" s="207">
        <f>SUMIFS('август 2023'!$G$4:$G$1022,'август 2023'!$D$4:$D$1022,$B186,'август 2023'!$J$4:$J$1022,T$1)</f>
        <v>0</v>
      </c>
      <c r="U186" s="207">
        <f>SUMIFS('август 2023'!$G$4:$G$1022,'август 2023'!$D$4:$D$1022,$B186,'август 2023'!$J$4:$J$1022,U$1)</f>
        <v>0</v>
      </c>
      <c r="V186" s="207">
        <f>SUMIFS('август 2023'!$G$4:$G$1022,'август 2023'!$D$4:$D$1022,$B186,'август 2023'!$J$4:$J$1022,V$1)</f>
        <v>0</v>
      </c>
      <c r="W186" s="207">
        <f>SUMIFS('август 2023'!$G$4:$G$1022,'август 2023'!$D$4:$D$1022,$B186,'август 2023'!$J$4:$J$1022,W$1)</f>
        <v>0</v>
      </c>
      <c r="X186" s="207">
        <f>SUMIFS('август 2023'!$G$4:$G$1022,'август 2023'!$D$4:$D$1022,$B186,'август 2023'!$J$4:$J$1022,X$1)</f>
        <v>0</v>
      </c>
      <c r="Y186" s="207">
        <f>SUMIFS('август 2023'!$G$4:$G$1022,'август 2023'!$D$4:$D$1022,$B186,'август 2023'!$J$4:$J$1022,Y$1)</f>
        <v>0</v>
      </c>
      <c r="Z186" s="207">
        <f>SUMIFS('август 2023'!$G$4:$G$1022,'август 2023'!$D$4:$D$1022,$B186,'август 2023'!$J$4:$J$1022,Z$1)</f>
        <v>0</v>
      </c>
      <c r="AA186" s="207">
        <f>SUMIFS('август 2023'!$G$4:$G$1022,'август 2023'!$D$4:$D$1022,$B186,'август 2023'!$J$4:$J$1022,AA$1)</f>
        <v>0</v>
      </c>
      <c r="AB186" s="207">
        <f>SUMIFS('август 2023'!$G$4:$G$1022,'август 2023'!$D$4:$D$1022,$B186,'август 2023'!$J$4:$J$1022,AB$1)</f>
        <v>0</v>
      </c>
      <c r="AC186" s="207">
        <f>SUMIFS('август 2023'!$G$4:$G$1022,'август 2023'!$D$4:$D$1022,$B186,'август 2023'!$J$4:$J$1022,AC$1)</f>
        <v>0</v>
      </c>
      <c r="AD186" s="207">
        <f>SUMIFS('август 2023'!$G$4:$G$1022,'август 2023'!$D$4:$D$1022,$B186,'август 2023'!$J$4:$J$1022,AD$1)</f>
        <v>0</v>
      </c>
      <c r="AE186" s="207">
        <f>SUMIFS('август 2023'!$G$4:$G$1022,'август 2023'!$D$4:$D$1022,$B186,'август 2023'!$J$4:$J$1022,AE$1)</f>
        <v>0</v>
      </c>
      <c r="AF186" s="207">
        <f>SUMIFS('август 2023'!$G$4:$G$1022,'август 2023'!$D$4:$D$1022,$B186,'август 2023'!$J$4:$J$1022,AF$1)</f>
        <v>0</v>
      </c>
      <c r="AG186" s="207">
        <f>SUMIFS('август 2023'!$G$4:$G$1022,'август 2023'!$D$4:$D$1022,$B186,'август 2023'!$J$4:$J$1022,AG$1)</f>
        <v>0</v>
      </c>
      <c r="AH186" s="207">
        <f>SUMIFS('август 2023'!$G$4:$G$1022,'август 2023'!$D$4:$D$1022,$B186,'август 2023'!$J$4:$J$1022,AH$1)</f>
        <v>0</v>
      </c>
      <c r="AI186" s="220">
        <f t="shared" si="4"/>
        <v>0</v>
      </c>
    </row>
    <row r="187" spans="2:35" ht="15.75" hidden="1" x14ac:dyDescent="0.25">
      <c r="B187" s="212"/>
      <c r="C187" s="211"/>
      <c r="D187" s="207">
        <f>SUMIFS('август 2023'!$G$4:$G$1022,'август 2023'!$D$4:$D$1022,$B187,'август 2023'!$J$4:$J$1022,D$1)</f>
        <v>0</v>
      </c>
      <c r="E187" s="207">
        <f>SUMIFS('август 2023'!$G$4:$G$1022,'август 2023'!$D$4:$D$1022,$B187,'август 2023'!$J$4:$J$1022,E$1)</f>
        <v>0</v>
      </c>
      <c r="F187" s="207">
        <f>SUMIFS('август 2023'!$G$4:$G$1022,'август 2023'!$D$4:$D$1022,$B187,'август 2023'!$J$4:$J$1022,F$1)</f>
        <v>0</v>
      </c>
      <c r="G187" s="207">
        <f>SUMIFS('август 2023'!$G$4:$G$1022,'август 2023'!$D$4:$D$1022,$B187,'август 2023'!$J$4:$J$1022,G$1)</f>
        <v>0</v>
      </c>
      <c r="H187" s="207">
        <f>SUMIFS('август 2023'!$G$4:$G$1022,'август 2023'!$D$4:$D$1022,$B187,'август 2023'!$J$4:$J$1022,H$1)</f>
        <v>0</v>
      </c>
      <c r="I187" s="207">
        <f>SUMIFS('август 2023'!$G$4:$G$1022,'август 2023'!$D$4:$D$1022,$B187,'август 2023'!$J$4:$J$1022,I$1)</f>
        <v>0</v>
      </c>
      <c r="J187" s="207">
        <f>SUMIFS('август 2023'!$G$4:$G$1022,'август 2023'!$D$4:$D$1022,$B187,'август 2023'!$J$4:$J$1022,J$1)</f>
        <v>0</v>
      </c>
      <c r="K187" s="207">
        <f>SUMIFS('август 2023'!$G$4:$G$1022,'август 2023'!$D$4:$D$1022,$B187,'август 2023'!$J$4:$J$1022,K$1)</f>
        <v>0</v>
      </c>
      <c r="L187" s="207">
        <f>SUMIFS('август 2023'!$G$4:$G$1022,'август 2023'!$D$4:$D$1022,$B187,'август 2023'!$J$4:$J$1022,L$1)</f>
        <v>0</v>
      </c>
      <c r="M187" s="207">
        <f>SUMIFS('август 2023'!$G$4:$G$1022,'август 2023'!$D$4:$D$1022,$B187,'август 2023'!$J$4:$J$1022,M$1)</f>
        <v>0</v>
      </c>
      <c r="N187" s="207">
        <f>SUMIFS('август 2023'!$G$4:$G$1022,'август 2023'!$D$4:$D$1022,$B187,'август 2023'!$J$4:$J$1022,N$1)</f>
        <v>0</v>
      </c>
      <c r="O187" s="207">
        <f>SUMIFS('август 2023'!$G$4:$G$1022,'август 2023'!$D$4:$D$1022,$B187,'август 2023'!$J$4:$J$1022,O$1)</f>
        <v>0</v>
      </c>
      <c r="P187" s="207">
        <f>SUMIFS('август 2023'!$G$4:$G$1022,'август 2023'!$D$4:$D$1022,$B187,'август 2023'!$J$4:$J$1022,P$1)</f>
        <v>0</v>
      </c>
      <c r="Q187" s="207">
        <f>SUMIFS('август 2023'!$G$4:$G$1022,'август 2023'!$D$4:$D$1022,$B187,'август 2023'!$J$4:$J$1022,Q$1)</f>
        <v>0</v>
      </c>
      <c r="R187" s="207">
        <f>SUMIFS('август 2023'!$G$4:$G$1022,'август 2023'!$D$4:$D$1022,$B187,'август 2023'!$J$4:$J$1022,R$1)</f>
        <v>0</v>
      </c>
      <c r="S187" s="207">
        <f>SUMIFS('август 2023'!$G$4:$G$1022,'август 2023'!$D$4:$D$1022,$B187,'август 2023'!$J$4:$J$1022,S$1)</f>
        <v>0</v>
      </c>
      <c r="T187" s="207">
        <f>SUMIFS('август 2023'!$G$4:$G$1022,'август 2023'!$D$4:$D$1022,$B187,'август 2023'!$J$4:$J$1022,T$1)</f>
        <v>0</v>
      </c>
      <c r="U187" s="207">
        <f>SUMIFS('август 2023'!$G$4:$G$1022,'август 2023'!$D$4:$D$1022,$B187,'август 2023'!$J$4:$J$1022,U$1)</f>
        <v>0</v>
      </c>
      <c r="V187" s="207">
        <f>SUMIFS('август 2023'!$G$4:$G$1022,'август 2023'!$D$4:$D$1022,$B187,'август 2023'!$J$4:$J$1022,V$1)</f>
        <v>0</v>
      </c>
      <c r="W187" s="207">
        <f>SUMIFS('август 2023'!$G$4:$G$1022,'август 2023'!$D$4:$D$1022,$B187,'август 2023'!$J$4:$J$1022,W$1)</f>
        <v>0</v>
      </c>
      <c r="X187" s="207">
        <f>SUMIFS('август 2023'!$G$4:$G$1022,'август 2023'!$D$4:$D$1022,$B187,'август 2023'!$J$4:$J$1022,X$1)</f>
        <v>0</v>
      </c>
      <c r="Y187" s="207">
        <f>SUMIFS('август 2023'!$G$4:$G$1022,'август 2023'!$D$4:$D$1022,$B187,'август 2023'!$J$4:$J$1022,Y$1)</f>
        <v>0</v>
      </c>
      <c r="Z187" s="207">
        <f>SUMIFS('август 2023'!$G$4:$G$1022,'август 2023'!$D$4:$D$1022,$B187,'август 2023'!$J$4:$J$1022,Z$1)</f>
        <v>0</v>
      </c>
      <c r="AA187" s="207">
        <f>SUMIFS('август 2023'!$G$4:$G$1022,'август 2023'!$D$4:$D$1022,$B187,'август 2023'!$J$4:$J$1022,AA$1)</f>
        <v>0</v>
      </c>
      <c r="AB187" s="207">
        <f>SUMIFS('август 2023'!$G$4:$G$1022,'август 2023'!$D$4:$D$1022,$B187,'август 2023'!$J$4:$J$1022,AB$1)</f>
        <v>0</v>
      </c>
      <c r="AC187" s="207">
        <f>SUMIFS('август 2023'!$G$4:$G$1022,'август 2023'!$D$4:$D$1022,$B187,'август 2023'!$J$4:$J$1022,AC$1)</f>
        <v>0</v>
      </c>
      <c r="AD187" s="207">
        <f>SUMIFS('август 2023'!$G$4:$G$1022,'август 2023'!$D$4:$D$1022,$B187,'август 2023'!$J$4:$J$1022,AD$1)</f>
        <v>0</v>
      </c>
      <c r="AE187" s="207">
        <f>SUMIFS('август 2023'!$G$4:$G$1022,'август 2023'!$D$4:$D$1022,$B187,'август 2023'!$J$4:$J$1022,AE$1)</f>
        <v>0</v>
      </c>
      <c r="AF187" s="207">
        <f>SUMIFS('август 2023'!$G$4:$G$1022,'август 2023'!$D$4:$D$1022,$B187,'август 2023'!$J$4:$J$1022,AF$1)</f>
        <v>0</v>
      </c>
      <c r="AG187" s="207">
        <f>SUMIFS('август 2023'!$G$4:$G$1022,'август 2023'!$D$4:$D$1022,$B187,'август 2023'!$J$4:$J$1022,AG$1)</f>
        <v>0</v>
      </c>
      <c r="AH187" s="207">
        <f>SUMIFS('август 2023'!$G$4:$G$1022,'август 2023'!$D$4:$D$1022,$B187,'август 2023'!$J$4:$J$1022,AH$1)</f>
        <v>0</v>
      </c>
      <c r="AI187" s="220">
        <f t="shared" si="4"/>
        <v>0</v>
      </c>
    </row>
    <row r="188" spans="2:35" ht="15.75" hidden="1" x14ac:dyDescent="0.25">
      <c r="B188" s="212"/>
      <c r="C188" s="211"/>
      <c r="D188" s="207">
        <f>SUMIFS('август 2023'!$G$4:$G$1022,'август 2023'!$D$4:$D$1022,$B188,'август 2023'!$J$4:$J$1022,D$1)</f>
        <v>0</v>
      </c>
      <c r="E188" s="207">
        <f>SUMIFS('август 2023'!$G$4:$G$1022,'август 2023'!$D$4:$D$1022,$B188,'август 2023'!$J$4:$J$1022,E$1)</f>
        <v>0</v>
      </c>
      <c r="F188" s="207">
        <f>SUMIFS('август 2023'!$G$4:$G$1022,'август 2023'!$D$4:$D$1022,$B188,'август 2023'!$J$4:$J$1022,F$1)</f>
        <v>0</v>
      </c>
      <c r="G188" s="207">
        <f>SUMIFS('август 2023'!$G$4:$G$1022,'август 2023'!$D$4:$D$1022,$B188,'август 2023'!$J$4:$J$1022,G$1)</f>
        <v>0</v>
      </c>
      <c r="H188" s="207">
        <f>SUMIFS('август 2023'!$G$4:$G$1022,'август 2023'!$D$4:$D$1022,$B188,'август 2023'!$J$4:$J$1022,H$1)</f>
        <v>0</v>
      </c>
      <c r="I188" s="207">
        <f>SUMIFS('август 2023'!$G$4:$G$1022,'август 2023'!$D$4:$D$1022,$B188,'август 2023'!$J$4:$J$1022,I$1)</f>
        <v>0</v>
      </c>
      <c r="J188" s="207">
        <f>SUMIFS('август 2023'!$G$4:$G$1022,'август 2023'!$D$4:$D$1022,$B188,'август 2023'!$J$4:$J$1022,J$1)</f>
        <v>0</v>
      </c>
      <c r="K188" s="207">
        <f>SUMIFS('август 2023'!$G$4:$G$1022,'август 2023'!$D$4:$D$1022,$B188,'август 2023'!$J$4:$J$1022,K$1)</f>
        <v>0</v>
      </c>
      <c r="L188" s="207">
        <f>SUMIFS('август 2023'!$G$4:$G$1022,'август 2023'!$D$4:$D$1022,$B188,'август 2023'!$J$4:$J$1022,L$1)</f>
        <v>0</v>
      </c>
      <c r="M188" s="207">
        <f>SUMIFS('август 2023'!$G$4:$G$1022,'август 2023'!$D$4:$D$1022,$B188,'август 2023'!$J$4:$J$1022,M$1)</f>
        <v>0</v>
      </c>
      <c r="N188" s="207">
        <f>SUMIFS('август 2023'!$G$4:$G$1022,'август 2023'!$D$4:$D$1022,$B188,'август 2023'!$J$4:$J$1022,N$1)</f>
        <v>0</v>
      </c>
      <c r="O188" s="207">
        <f>SUMIFS('август 2023'!$G$4:$G$1022,'август 2023'!$D$4:$D$1022,$B188,'август 2023'!$J$4:$J$1022,O$1)</f>
        <v>0</v>
      </c>
      <c r="P188" s="207">
        <f>SUMIFS('август 2023'!$G$4:$G$1022,'август 2023'!$D$4:$D$1022,$B188,'август 2023'!$J$4:$J$1022,P$1)</f>
        <v>0</v>
      </c>
      <c r="Q188" s="207">
        <f>SUMIFS('август 2023'!$G$4:$G$1022,'август 2023'!$D$4:$D$1022,$B188,'август 2023'!$J$4:$J$1022,Q$1)</f>
        <v>0</v>
      </c>
      <c r="R188" s="207">
        <f>SUMIFS('август 2023'!$G$4:$G$1022,'август 2023'!$D$4:$D$1022,$B188,'август 2023'!$J$4:$J$1022,R$1)</f>
        <v>0</v>
      </c>
      <c r="S188" s="207">
        <f>SUMIFS('август 2023'!$G$4:$G$1022,'август 2023'!$D$4:$D$1022,$B188,'август 2023'!$J$4:$J$1022,S$1)</f>
        <v>0</v>
      </c>
      <c r="T188" s="207">
        <f>SUMIFS('август 2023'!$G$4:$G$1022,'август 2023'!$D$4:$D$1022,$B188,'август 2023'!$J$4:$J$1022,T$1)</f>
        <v>0</v>
      </c>
      <c r="U188" s="207">
        <f>SUMIFS('август 2023'!$G$4:$G$1022,'август 2023'!$D$4:$D$1022,$B188,'август 2023'!$J$4:$J$1022,U$1)</f>
        <v>0</v>
      </c>
      <c r="V188" s="207">
        <f>SUMIFS('август 2023'!$G$4:$G$1022,'август 2023'!$D$4:$D$1022,$B188,'август 2023'!$J$4:$J$1022,V$1)</f>
        <v>0</v>
      </c>
      <c r="W188" s="207">
        <f>SUMIFS('август 2023'!$G$4:$G$1022,'август 2023'!$D$4:$D$1022,$B188,'август 2023'!$J$4:$J$1022,W$1)</f>
        <v>0</v>
      </c>
      <c r="X188" s="207">
        <f>SUMIFS('август 2023'!$G$4:$G$1022,'август 2023'!$D$4:$D$1022,$B188,'август 2023'!$J$4:$J$1022,X$1)</f>
        <v>0</v>
      </c>
      <c r="Y188" s="207">
        <f>SUMIFS('август 2023'!$G$4:$G$1022,'август 2023'!$D$4:$D$1022,$B188,'август 2023'!$J$4:$J$1022,Y$1)</f>
        <v>0</v>
      </c>
      <c r="Z188" s="207">
        <f>SUMIFS('август 2023'!$G$4:$G$1022,'август 2023'!$D$4:$D$1022,$B188,'август 2023'!$J$4:$J$1022,Z$1)</f>
        <v>0</v>
      </c>
      <c r="AA188" s="207">
        <f>SUMIFS('август 2023'!$G$4:$G$1022,'август 2023'!$D$4:$D$1022,$B188,'август 2023'!$J$4:$J$1022,AA$1)</f>
        <v>0</v>
      </c>
      <c r="AB188" s="207">
        <f>SUMIFS('август 2023'!$G$4:$G$1022,'август 2023'!$D$4:$D$1022,$B188,'август 2023'!$J$4:$J$1022,AB$1)</f>
        <v>0</v>
      </c>
      <c r="AC188" s="207">
        <f>SUMIFS('август 2023'!$G$4:$G$1022,'август 2023'!$D$4:$D$1022,$B188,'август 2023'!$J$4:$J$1022,AC$1)</f>
        <v>0</v>
      </c>
      <c r="AD188" s="207">
        <f>SUMIFS('август 2023'!$G$4:$G$1022,'август 2023'!$D$4:$D$1022,$B188,'август 2023'!$J$4:$J$1022,AD$1)</f>
        <v>0</v>
      </c>
      <c r="AE188" s="207">
        <f>SUMIFS('август 2023'!$G$4:$G$1022,'август 2023'!$D$4:$D$1022,$B188,'август 2023'!$J$4:$J$1022,AE$1)</f>
        <v>0</v>
      </c>
      <c r="AF188" s="207">
        <f>SUMIFS('август 2023'!$G$4:$G$1022,'август 2023'!$D$4:$D$1022,$B188,'август 2023'!$J$4:$J$1022,AF$1)</f>
        <v>0</v>
      </c>
      <c r="AG188" s="207">
        <f>SUMIFS('август 2023'!$G$4:$G$1022,'август 2023'!$D$4:$D$1022,$B188,'август 2023'!$J$4:$J$1022,AG$1)</f>
        <v>0</v>
      </c>
      <c r="AH188" s="207">
        <f>SUMIFS('август 2023'!$G$4:$G$1022,'август 2023'!$D$4:$D$1022,$B188,'август 2023'!$J$4:$J$1022,AH$1)</f>
        <v>0</v>
      </c>
      <c r="AI188" s="220">
        <f t="shared" si="4"/>
        <v>0</v>
      </c>
    </row>
    <row r="189" spans="2:35" ht="15.75" hidden="1" x14ac:dyDescent="0.25">
      <c r="B189" s="212"/>
      <c r="C189" s="211"/>
      <c r="D189" s="207">
        <f>SUMIFS('август 2023'!$G$4:$G$1022,'август 2023'!$D$4:$D$1022,$B189,'август 2023'!$J$4:$J$1022,D$1)</f>
        <v>0</v>
      </c>
      <c r="E189" s="207">
        <f>SUMIFS('август 2023'!$G$4:$G$1022,'август 2023'!$D$4:$D$1022,$B189,'август 2023'!$J$4:$J$1022,E$1)</f>
        <v>0</v>
      </c>
      <c r="F189" s="207">
        <f>SUMIFS('август 2023'!$G$4:$G$1022,'август 2023'!$D$4:$D$1022,$B189,'август 2023'!$J$4:$J$1022,F$1)</f>
        <v>0</v>
      </c>
      <c r="G189" s="207">
        <f>SUMIFS('август 2023'!$G$4:$G$1022,'август 2023'!$D$4:$D$1022,$B189,'август 2023'!$J$4:$J$1022,G$1)</f>
        <v>0</v>
      </c>
      <c r="H189" s="207">
        <f>SUMIFS('август 2023'!$G$4:$G$1022,'август 2023'!$D$4:$D$1022,$B189,'август 2023'!$J$4:$J$1022,H$1)</f>
        <v>0</v>
      </c>
      <c r="I189" s="207">
        <f>SUMIFS('август 2023'!$G$4:$G$1022,'август 2023'!$D$4:$D$1022,$B189,'август 2023'!$J$4:$J$1022,I$1)</f>
        <v>0</v>
      </c>
      <c r="J189" s="207">
        <f>SUMIFS('август 2023'!$G$4:$G$1022,'август 2023'!$D$4:$D$1022,$B189,'август 2023'!$J$4:$J$1022,J$1)</f>
        <v>0</v>
      </c>
      <c r="K189" s="207">
        <f>SUMIFS('август 2023'!$G$4:$G$1022,'август 2023'!$D$4:$D$1022,$B189,'август 2023'!$J$4:$J$1022,K$1)</f>
        <v>0</v>
      </c>
      <c r="L189" s="207">
        <f>SUMIFS('август 2023'!$G$4:$G$1022,'август 2023'!$D$4:$D$1022,$B189,'август 2023'!$J$4:$J$1022,L$1)</f>
        <v>0</v>
      </c>
      <c r="M189" s="207">
        <f>SUMIFS('август 2023'!$G$4:$G$1022,'август 2023'!$D$4:$D$1022,$B189,'август 2023'!$J$4:$J$1022,M$1)</f>
        <v>0</v>
      </c>
      <c r="N189" s="207">
        <f>SUMIFS('август 2023'!$G$4:$G$1022,'август 2023'!$D$4:$D$1022,$B189,'август 2023'!$J$4:$J$1022,N$1)</f>
        <v>0</v>
      </c>
      <c r="O189" s="207">
        <f>SUMIFS('август 2023'!$G$4:$G$1022,'август 2023'!$D$4:$D$1022,$B189,'август 2023'!$J$4:$J$1022,O$1)</f>
        <v>0</v>
      </c>
      <c r="P189" s="207">
        <f>SUMIFS('август 2023'!$G$4:$G$1022,'август 2023'!$D$4:$D$1022,$B189,'август 2023'!$J$4:$J$1022,P$1)</f>
        <v>0</v>
      </c>
      <c r="Q189" s="207">
        <f>SUMIFS('август 2023'!$G$4:$G$1022,'август 2023'!$D$4:$D$1022,$B189,'август 2023'!$J$4:$J$1022,Q$1)</f>
        <v>0</v>
      </c>
      <c r="R189" s="207">
        <f>SUMIFS('август 2023'!$G$4:$G$1022,'август 2023'!$D$4:$D$1022,$B189,'август 2023'!$J$4:$J$1022,R$1)</f>
        <v>0</v>
      </c>
      <c r="S189" s="207">
        <f>SUMIFS('август 2023'!$G$4:$G$1022,'август 2023'!$D$4:$D$1022,$B189,'август 2023'!$J$4:$J$1022,S$1)</f>
        <v>0</v>
      </c>
      <c r="T189" s="207">
        <f>SUMIFS('август 2023'!$G$4:$G$1022,'август 2023'!$D$4:$D$1022,$B189,'август 2023'!$J$4:$J$1022,T$1)</f>
        <v>0</v>
      </c>
      <c r="U189" s="207">
        <f>SUMIFS('август 2023'!$G$4:$G$1022,'август 2023'!$D$4:$D$1022,$B189,'август 2023'!$J$4:$J$1022,U$1)</f>
        <v>0</v>
      </c>
      <c r="V189" s="207">
        <f>SUMIFS('август 2023'!$G$4:$G$1022,'август 2023'!$D$4:$D$1022,$B189,'август 2023'!$J$4:$J$1022,V$1)</f>
        <v>0</v>
      </c>
      <c r="W189" s="207">
        <f>SUMIFS('август 2023'!$G$4:$G$1022,'август 2023'!$D$4:$D$1022,$B189,'август 2023'!$J$4:$J$1022,W$1)</f>
        <v>0</v>
      </c>
      <c r="X189" s="207">
        <f>SUMIFS('август 2023'!$G$4:$G$1022,'август 2023'!$D$4:$D$1022,$B189,'август 2023'!$J$4:$J$1022,X$1)</f>
        <v>0</v>
      </c>
      <c r="Y189" s="207">
        <f>SUMIFS('август 2023'!$G$4:$G$1022,'август 2023'!$D$4:$D$1022,$B189,'август 2023'!$J$4:$J$1022,Y$1)</f>
        <v>0</v>
      </c>
      <c r="Z189" s="207">
        <f>SUMIFS('август 2023'!$G$4:$G$1022,'август 2023'!$D$4:$D$1022,$B189,'август 2023'!$J$4:$J$1022,Z$1)</f>
        <v>0</v>
      </c>
      <c r="AA189" s="207">
        <f>SUMIFS('август 2023'!$G$4:$G$1022,'август 2023'!$D$4:$D$1022,$B189,'август 2023'!$J$4:$J$1022,AA$1)</f>
        <v>0</v>
      </c>
      <c r="AB189" s="207">
        <f>SUMIFS('август 2023'!$G$4:$G$1022,'август 2023'!$D$4:$D$1022,$B189,'август 2023'!$J$4:$J$1022,AB$1)</f>
        <v>0</v>
      </c>
      <c r="AC189" s="207">
        <f>SUMIFS('август 2023'!$G$4:$G$1022,'август 2023'!$D$4:$D$1022,$B189,'август 2023'!$J$4:$J$1022,AC$1)</f>
        <v>0</v>
      </c>
      <c r="AD189" s="207">
        <f>SUMIFS('август 2023'!$G$4:$G$1022,'август 2023'!$D$4:$D$1022,$B189,'август 2023'!$J$4:$J$1022,AD$1)</f>
        <v>0</v>
      </c>
      <c r="AE189" s="207">
        <f>SUMIFS('август 2023'!$G$4:$G$1022,'август 2023'!$D$4:$D$1022,$B189,'август 2023'!$J$4:$J$1022,AE$1)</f>
        <v>0</v>
      </c>
      <c r="AF189" s="207">
        <f>SUMIFS('август 2023'!$G$4:$G$1022,'август 2023'!$D$4:$D$1022,$B189,'август 2023'!$J$4:$J$1022,AF$1)</f>
        <v>0</v>
      </c>
      <c r="AG189" s="207">
        <f>SUMIFS('август 2023'!$G$4:$G$1022,'август 2023'!$D$4:$D$1022,$B189,'август 2023'!$J$4:$J$1022,AG$1)</f>
        <v>0</v>
      </c>
      <c r="AH189" s="207">
        <f>SUMIFS('август 2023'!$G$4:$G$1022,'август 2023'!$D$4:$D$1022,$B189,'август 2023'!$J$4:$J$1022,AH$1)</f>
        <v>0</v>
      </c>
      <c r="AI189" s="220">
        <f t="shared" si="4"/>
        <v>0</v>
      </c>
    </row>
    <row r="190" spans="2:35" ht="15.75" x14ac:dyDescent="0.25">
      <c r="B190" s="212"/>
      <c r="C190" s="221"/>
      <c r="D190" s="207">
        <f>SUMIFS('август 2023'!$G$4:$G$1022,'август 2023'!$D$4:$D$1022,$B190,'август 2023'!$J$4:$J$1022,D$1)</f>
        <v>0</v>
      </c>
      <c r="E190" s="207">
        <f>SUMIFS('август 2023'!$G$4:$G$1022,'август 2023'!$D$4:$D$1022,$B190,'август 2023'!$J$4:$J$1022,E$1)</f>
        <v>0</v>
      </c>
      <c r="F190" s="207">
        <f>SUMIFS('август 2023'!$G$4:$G$1022,'август 2023'!$D$4:$D$1022,$B190,'август 2023'!$J$4:$J$1022,F$1)</f>
        <v>0</v>
      </c>
      <c r="G190" s="207">
        <f>SUMIFS('август 2023'!$G$4:$G$1022,'август 2023'!$D$4:$D$1022,$B190,'август 2023'!$J$4:$J$1022,G$1)</f>
        <v>0</v>
      </c>
      <c r="H190" s="207">
        <f>SUMIFS('август 2023'!$G$4:$G$1022,'август 2023'!$D$4:$D$1022,$B190,'август 2023'!$J$4:$J$1022,H$1)</f>
        <v>0</v>
      </c>
      <c r="I190" s="207">
        <f>SUMIFS('август 2023'!$G$4:$G$1022,'август 2023'!$D$4:$D$1022,$B190,'август 2023'!$J$4:$J$1022,I$1)</f>
        <v>0</v>
      </c>
      <c r="J190" s="207">
        <f>SUMIFS('август 2023'!$G$4:$G$1022,'август 2023'!$D$4:$D$1022,$B190,'август 2023'!$J$4:$J$1022,J$1)</f>
        <v>0</v>
      </c>
      <c r="K190" s="207">
        <f>SUMIFS('август 2023'!$G$4:$G$1022,'август 2023'!$D$4:$D$1022,$B190,'август 2023'!$J$4:$J$1022,K$1)</f>
        <v>0</v>
      </c>
      <c r="L190" s="207">
        <f>SUMIFS('август 2023'!$G$4:$G$1022,'август 2023'!$D$4:$D$1022,$B190,'август 2023'!$J$4:$J$1022,L$1)</f>
        <v>0</v>
      </c>
      <c r="M190" s="207">
        <f>SUMIFS('август 2023'!$G$4:$G$1022,'август 2023'!$D$4:$D$1022,$B190,'август 2023'!$J$4:$J$1022,M$1)</f>
        <v>0</v>
      </c>
      <c r="N190" s="207">
        <f>SUMIFS('август 2023'!$G$4:$G$1022,'август 2023'!$D$4:$D$1022,$B190,'август 2023'!$J$4:$J$1022,N$1)</f>
        <v>0</v>
      </c>
      <c r="O190" s="207">
        <f>SUMIFS('август 2023'!$G$4:$G$1022,'август 2023'!$D$4:$D$1022,$B190,'август 2023'!$J$4:$J$1022,O$1)</f>
        <v>0</v>
      </c>
      <c r="P190" s="207">
        <f>SUMIFS('август 2023'!$G$4:$G$1022,'август 2023'!$D$4:$D$1022,$B190,'август 2023'!$J$4:$J$1022,P$1)</f>
        <v>0</v>
      </c>
      <c r="Q190" s="207">
        <f>SUMIFS('август 2023'!$G$4:$G$1022,'август 2023'!$D$4:$D$1022,$B190,'август 2023'!$J$4:$J$1022,Q$1)</f>
        <v>0</v>
      </c>
      <c r="R190" s="207">
        <f>SUMIFS('август 2023'!$G$4:$G$1022,'август 2023'!$D$4:$D$1022,$B190,'август 2023'!$J$4:$J$1022,R$1)</f>
        <v>0</v>
      </c>
      <c r="S190" s="207">
        <f>SUMIFS('август 2023'!$G$4:$G$1022,'август 2023'!$D$4:$D$1022,$B190,'август 2023'!$J$4:$J$1022,S$1)</f>
        <v>0</v>
      </c>
      <c r="T190" s="207">
        <f>SUMIFS('август 2023'!$G$4:$G$1022,'август 2023'!$D$4:$D$1022,$B190,'август 2023'!$J$4:$J$1022,T$1)</f>
        <v>0</v>
      </c>
      <c r="U190" s="207">
        <f>SUMIFS('август 2023'!$G$4:$G$1022,'август 2023'!$D$4:$D$1022,$B190,'август 2023'!$J$4:$J$1022,U$1)</f>
        <v>0</v>
      </c>
      <c r="V190" s="207">
        <f>SUMIFS('август 2023'!$G$4:$G$1022,'август 2023'!$D$4:$D$1022,$B190,'август 2023'!$J$4:$J$1022,V$1)</f>
        <v>0</v>
      </c>
      <c r="W190" s="207">
        <f>SUMIFS('август 2023'!$G$4:$G$1022,'август 2023'!$D$4:$D$1022,$B190,'август 2023'!$J$4:$J$1022,W$1)</f>
        <v>0</v>
      </c>
      <c r="X190" s="207">
        <f>SUMIFS('август 2023'!$G$4:$G$1022,'август 2023'!$D$4:$D$1022,$B190,'август 2023'!$J$4:$J$1022,X$1)</f>
        <v>0</v>
      </c>
      <c r="Y190" s="207">
        <f>SUMIFS('август 2023'!$G$4:$G$1022,'август 2023'!$D$4:$D$1022,$B190,'август 2023'!$J$4:$J$1022,Y$1)</f>
        <v>0</v>
      </c>
      <c r="Z190" s="207">
        <f>SUMIFS('август 2023'!$G$4:$G$1022,'август 2023'!$D$4:$D$1022,$B190,'август 2023'!$J$4:$J$1022,Z$1)</f>
        <v>0</v>
      </c>
      <c r="AA190" s="207">
        <f>SUMIFS('август 2023'!$G$4:$G$1022,'август 2023'!$D$4:$D$1022,$B190,'август 2023'!$J$4:$J$1022,AA$1)</f>
        <v>0</v>
      </c>
      <c r="AB190" s="207">
        <f>SUMIFS('август 2023'!$G$4:$G$1022,'август 2023'!$D$4:$D$1022,$B190,'август 2023'!$J$4:$J$1022,AB$1)</f>
        <v>0</v>
      </c>
      <c r="AC190" s="207">
        <f>SUMIFS('август 2023'!$G$4:$G$1022,'август 2023'!$D$4:$D$1022,$B190,'август 2023'!$J$4:$J$1022,AC$1)</f>
        <v>0</v>
      </c>
      <c r="AD190" s="207">
        <f>SUMIFS('август 2023'!$G$4:$G$1022,'август 2023'!$D$4:$D$1022,$B190,'август 2023'!$J$4:$J$1022,AD$1)</f>
        <v>0</v>
      </c>
      <c r="AE190" s="207">
        <f>SUMIFS('август 2023'!$G$4:$G$1022,'август 2023'!$D$4:$D$1022,$B190,'август 2023'!$J$4:$J$1022,AE$1)</f>
        <v>0</v>
      </c>
      <c r="AF190" s="207">
        <f>SUMIFS('август 2023'!$G$4:$G$1022,'август 2023'!$D$4:$D$1022,$B190,'август 2023'!$J$4:$J$1022,AF$1)</f>
        <v>0</v>
      </c>
      <c r="AG190" s="207">
        <f>SUMIFS('август 2023'!$G$4:$G$1022,'август 2023'!$D$4:$D$1022,$B190,'август 2023'!$J$4:$J$1022,AG$1)</f>
        <v>0</v>
      </c>
      <c r="AH190" s="207">
        <f>SUMIFS('август 2023'!$G$4:$G$1022,'август 2023'!$D$4:$D$1022,$B190,'август 2023'!$J$4:$J$1022,AH$1)</f>
        <v>0</v>
      </c>
      <c r="AI190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справочник!$E$4:$E$159</xm:f>
          </x14:formula1>
          <xm:sqref>B3:B190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1"/>
  <dimension ref="B1:AI188"/>
  <sheetViews>
    <sheetView showZeros="0" topLeftCell="A54" zoomScale="70" workbookViewId="0">
      <selection activeCell="A66" sqref="A66:XFD66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45108</v>
      </c>
      <c r="C1" s="192"/>
      <c r="D1" s="157">
        <f>B1</f>
        <v>45108</v>
      </c>
      <c r="E1" s="157">
        <f>D1+1</f>
        <v>45109</v>
      </c>
      <c r="F1" s="157">
        <f t="shared" ref="F1:AH1" si="0">E1+1</f>
        <v>45110</v>
      </c>
      <c r="G1" s="157">
        <f t="shared" si="0"/>
        <v>45111</v>
      </c>
      <c r="H1" s="157">
        <f t="shared" si="0"/>
        <v>45112</v>
      </c>
      <c r="I1" s="157">
        <f t="shared" si="0"/>
        <v>45113</v>
      </c>
      <c r="J1" s="157">
        <f t="shared" si="0"/>
        <v>45114</v>
      </c>
      <c r="K1" s="157">
        <f t="shared" si="0"/>
        <v>45115</v>
      </c>
      <c r="L1" s="157">
        <f t="shared" si="0"/>
        <v>45116</v>
      </c>
      <c r="M1" s="157">
        <f t="shared" si="0"/>
        <v>45117</v>
      </c>
      <c r="N1" s="157">
        <f t="shared" si="0"/>
        <v>45118</v>
      </c>
      <c r="O1" s="157">
        <f t="shared" si="0"/>
        <v>45119</v>
      </c>
      <c r="P1" s="157">
        <f t="shared" si="0"/>
        <v>45120</v>
      </c>
      <c r="Q1" s="157">
        <f t="shared" si="0"/>
        <v>45121</v>
      </c>
      <c r="R1" s="157">
        <f t="shared" si="0"/>
        <v>45122</v>
      </c>
      <c r="S1" s="157">
        <f t="shared" si="0"/>
        <v>45123</v>
      </c>
      <c r="T1" s="157">
        <f t="shared" si="0"/>
        <v>45124</v>
      </c>
      <c r="U1" s="157">
        <f t="shared" si="0"/>
        <v>45125</v>
      </c>
      <c r="V1" s="157">
        <f t="shared" si="0"/>
        <v>45126</v>
      </c>
      <c r="W1" s="157">
        <f t="shared" si="0"/>
        <v>45127</v>
      </c>
      <c r="X1" s="157">
        <f t="shared" si="0"/>
        <v>45128</v>
      </c>
      <c r="Y1" s="157">
        <f t="shared" si="0"/>
        <v>45129</v>
      </c>
      <c r="Z1" s="157">
        <f t="shared" si="0"/>
        <v>45130</v>
      </c>
      <c r="AA1" s="157">
        <f t="shared" si="0"/>
        <v>45131</v>
      </c>
      <c r="AB1" s="157">
        <f t="shared" si="0"/>
        <v>45132</v>
      </c>
      <c r="AC1" s="157">
        <f t="shared" si="0"/>
        <v>45133</v>
      </c>
      <c r="AD1" s="157">
        <f t="shared" si="0"/>
        <v>45134</v>
      </c>
      <c r="AE1" s="157">
        <f t="shared" si="0"/>
        <v>45135</v>
      </c>
      <c r="AF1" s="157">
        <f t="shared" si="0"/>
        <v>45136</v>
      </c>
      <c r="AG1" s="157">
        <f t="shared" si="0"/>
        <v>45137</v>
      </c>
      <c r="AH1" s="157">
        <f t="shared" si="0"/>
        <v>45138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SUMIFS('июль 2023'!$G$4:$G$968,'июль 2023'!$D$4:$D$968,$B3,'июль 2023'!$J$4:$J$968,D$1)</f>
        <v>0</v>
      </c>
      <c r="E3" s="198">
        <f>SUMIFS('июль 2023'!$G$4:$G$968,'июль 2023'!$D$4:$D$968,$B3,'июль 2023'!$J$4:$J$968,E$1)</f>
        <v>0</v>
      </c>
      <c r="F3" s="198">
        <f>SUMIFS('июль 2023'!$G$4:$G$968,'июль 2023'!$D$4:$D$968,$B3,'июль 2023'!$J$4:$J$968,F$1)</f>
        <v>0</v>
      </c>
      <c r="G3" s="198">
        <f>SUMIFS('июль 2023'!$G$4:$G$968,'июль 2023'!$D$4:$D$968,$B3,'июль 2023'!$J$4:$J$968,G$1)</f>
        <v>0</v>
      </c>
      <c r="H3" s="198">
        <f>SUMIFS('июль 2023'!$G$4:$G$968,'июль 2023'!$D$4:$D$968,$B3,'июль 2023'!$J$4:$J$968,H$1)</f>
        <v>0</v>
      </c>
      <c r="I3" s="198">
        <f>SUMIFS('июль 2023'!$G$4:$G$968,'июль 2023'!$D$4:$D$968,$B3,'июль 2023'!$J$4:$J$968,I$1)</f>
        <v>0</v>
      </c>
      <c r="J3" s="198">
        <f>SUMIFS('июль 2023'!$G$4:$G$968,'июль 2023'!$D$4:$D$968,$B3,'июль 2023'!$J$4:$J$968,J$1)</f>
        <v>0</v>
      </c>
      <c r="K3" s="198">
        <f>SUMIFS('июль 2023'!$G$4:$G$968,'июль 2023'!$D$4:$D$968,$B3,'июль 2023'!$J$4:$J$968,K$1)</f>
        <v>0</v>
      </c>
      <c r="L3" s="198">
        <f>SUMIFS('июль 2023'!$G$4:$G$968,'июль 2023'!$D$4:$D$968,$B3,'июль 2023'!$J$4:$J$968,L$1)</f>
        <v>0</v>
      </c>
      <c r="M3" s="198">
        <f>SUMIFS('июль 2023'!$G$4:$G$968,'июль 2023'!$D$4:$D$968,$B3,'июль 2023'!$J$4:$J$968,M$1)</f>
        <v>0</v>
      </c>
      <c r="N3" s="198">
        <f>SUMIFS('июль 2023'!$G$4:$G$968,'июль 2023'!$D$4:$D$968,$B3,'июль 2023'!$J$4:$J$968,N$1)</f>
        <v>0</v>
      </c>
      <c r="O3" s="198">
        <f>SUMIFS('июль 2023'!$G$4:$G$968,'июль 2023'!$D$4:$D$968,$B3,'июль 2023'!$J$4:$J$968,O$1)</f>
        <v>0</v>
      </c>
      <c r="P3" s="198">
        <f>SUMIFS('июль 2023'!$G$4:$G$968,'июль 2023'!$D$4:$D$968,$B3,'июль 2023'!$J$4:$J$968,P$1)</f>
        <v>0</v>
      </c>
      <c r="Q3" s="198">
        <f>SUMIFS('июль 2023'!$G$4:$G$968,'июль 2023'!$D$4:$D$968,$B3,'июль 2023'!$J$4:$J$968,Q$1)</f>
        <v>0</v>
      </c>
      <c r="R3" s="198">
        <f>SUMIFS('июль 2023'!$G$4:$G$968,'июль 2023'!$D$4:$D$968,$B3,'июль 2023'!$J$4:$J$968,R$1)</f>
        <v>0</v>
      </c>
      <c r="S3" s="198">
        <f>SUMIFS('июль 2023'!$G$4:$G$968,'июль 2023'!$D$4:$D$968,$B3,'июль 2023'!$J$4:$J$968,S$1)</f>
        <v>0</v>
      </c>
      <c r="T3" s="198">
        <f>SUMIFS('июль 2023'!$G$4:$G$968,'июль 2023'!$D$4:$D$968,$B3,'июль 2023'!$J$4:$J$968,T$1)</f>
        <v>0</v>
      </c>
      <c r="U3" s="198">
        <f>SUMIFS('июль 2023'!$G$4:$G$968,'июль 2023'!$D$4:$D$968,$B3,'июль 2023'!$J$4:$J$968,U$1)</f>
        <v>0</v>
      </c>
      <c r="V3" s="198">
        <f>SUMIFS('июль 2023'!$G$4:$G$968,'июль 2023'!$D$4:$D$968,$B3,'июль 2023'!$J$4:$J$968,V$1)</f>
        <v>0</v>
      </c>
      <c r="W3" s="198">
        <f>SUMIFS('июль 2023'!$G$4:$G$968,'июль 2023'!$D$4:$D$968,$B3,'июль 2023'!$J$4:$J$968,W$1)</f>
        <v>0</v>
      </c>
      <c r="X3" s="198">
        <f>SUMIFS('июль 2023'!$G$4:$G$968,'июль 2023'!$D$4:$D$968,$B3,'июль 2023'!$J$4:$J$968,X$1)</f>
        <v>0</v>
      </c>
      <c r="Y3" s="198">
        <f>SUMIFS('июль 2023'!$G$4:$G$968,'июль 2023'!$D$4:$D$968,$B3,'июль 2023'!$J$4:$J$968,Y$1)</f>
        <v>0</v>
      </c>
      <c r="Z3" s="198">
        <f>SUMIFS('июль 2023'!$G$4:$G$968,'июль 2023'!$D$4:$D$968,$B3,'июль 2023'!$J$4:$J$968,Z$1)</f>
        <v>0</v>
      </c>
      <c r="AA3" s="198">
        <f>SUMIFS('июль 2023'!$G$4:$G$968,'июль 2023'!$D$4:$D$968,$B3,'июль 2023'!$J$4:$J$968,AA$1)</f>
        <v>0</v>
      </c>
      <c r="AB3" s="198">
        <f>SUMIFS('июль 2023'!$G$4:$G$968,'июль 2023'!$D$4:$D$968,$B3,'июль 2023'!$J$4:$J$968,AB$1)</f>
        <v>0</v>
      </c>
      <c r="AC3" s="198">
        <f>SUMIFS('июль 2023'!$G$4:$G$968,'июль 2023'!$D$4:$D$968,$B3,'июль 2023'!$J$4:$J$968,AC$1)</f>
        <v>0</v>
      </c>
      <c r="AD3" s="198">
        <f>SUMIFS('июль 2023'!$G$4:$G$968,'июль 2023'!$D$4:$D$968,$B3,'июль 2023'!$J$4:$J$968,AD$1)</f>
        <v>0</v>
      </c>
      <c r="AE3" s="198">
        <f>SUMIFS('июль 2023'!$G$4:$G$968,'июль 2023'!$D$4:$D$968,$B3,'июль 2023'!$J$4:$J$968,AE$1)</f>
        <v>0</v>
      </c>
      <c r="AF3" s="198">
        <f>SUMIFS('июль 2023'!$G$4:$G$968,'июль 2023'!$D$4:$D$968,$B3,'июль 2023'!$J$4:$J$968,AF$1)</f>
        <v>0</v>
      </c>
      <c r="AG3" s="198">
        <f>SUMIFS('июль 2023'!$G$4:$G$968,'июль 2023'!$D$4:$D$968,$B3,'июль 2023'!$J$4:$J$968,AG$1)</f>
        <v>0</v>
      </c>
      <c r="AH3" s="198">
        <f>SUMIFS('июль 2023'!$G$4:$G$968,'июль 2023'!$D$4:$D$968,$B3,'июль 2023'!$J$4:$J$968,AH$1)</f>
        <v>0</v>
      </c>
      <c r="AI3" s="166">
        <f t="shared" ref="AI3:AI66" si="1">SUM(D3:AH3)</f>
        <v>0</v>
      </c>
    </row>
    <row r="4" spans="2:35" ht="15" customHeight="1" x14ac:dyDescent="0.25">
      <c r="B4" s="199" t="s">
        <v>74</v>
      </c>
      <c r="C4" s="200">
        <v>25</v>
      </c>
      <c r="D4" s="198">
        <f>SUMIFS('июль 2023'!$G$4:$G$968,'июль 2023'!$D$4:$D$968,$B4,'июль 2023'!$J$4:$J$968,D$1)</f>
        <v>0</v>
      </c>
      <c r="E4" s="198">
        <f>SUMIFS('июль 2023'!$G$4:$G$968,'июль 2023'!$D$4:$D$968,$B4,'июль 2023'!$J$4:$J$968,E$1)</f>
        <v>0</v>
      </c>
      <c r="F4" s="198">
        <f>SUMIFS('июль 2023'!$G$4:$G$968,'июль 2023'!$D$4:$D$968,$B4,'июль 2023'!$J$4:$J$968,F$1)</f>
        <v>0</v>
      </c>
      <c r="G4" s="198">
        <f>SUMIFS('июль 2023'!$G$4:$G$968,'июль 2023'!$D$4:$D$968,$B4,'июль 2023'!$J$4:$J$968,G$1)</f>
        <v>800</v>
      </c>
      <c r="H4" s="198">
        <f>SUMIFS('июль 2023'!$G$4:$G$968,'июль 2023'!$D$4:$D$968,$B4,'июль 2023'!$J$4:$J$968,H$1)</f>
        <v>0</v>
      </c>
      <c r="I4" s="198">
        <f>SUMIFS('июль 2023'!$G$4:$G$968,'июль 2023'!$D$4:$D$968,$B4,'июль 2023'!$J$4:$J$968,I$1)</f>
        <v>0</v>
      </c>
      <c r="J4" s="198">
        <f>SUMIFS('июль 2023'!$G$4:$G$968,'июль 2023'!$D$4:$D$968,$B4,'июль 2023'!$J$4:$J$968,J$1)</f>
        <v>0</v>
      </c>
      <c r="K4" s="198">
        <f>SUMIFS('июль 2023'!$G$4:$G$968,'июль 2023'!$D$4:$D$968,$B4,'июль 2023'!$J$4:$J$968,K$1)</f>
        <v>0</v>
      </c>
      <c r="L4" s="198">
        <f>SUMIFS('июль 2023'!$G$4:$G$968,'июль 2023'!$D$4:$D$968,$B4,'июль 2023'!$J$4:$J$968,L$1)</f>
        <v>0</v>
      </c>
      <c r="M4" s="198">
        <f>SUMIFS('июль 2023'!$G$4:$G$968,'июль 2023'!$D$4:$D$968,$B4,'июль 2023'!$J$4:$J$968,M$1)</f>
        <v>0</v>
      </c>
      <c r="N4" s="198">
        <f>SUMIFS('июль 2023'!$G$4:$G$968,'июль 2023'!$D$4:$D$968,$B4,'июль 2023'!$J$4:$J$968,N$1)</f>
        <v>0</v>
      </c>
      <c r="O4" s="198">
        <f>SUMIFS('июль 2023'!$G$4:$G$968,'июль 2023'!$D$4:$D$968,$B4,'июль 2023'!$J$4:$J$968,O$1)</f>
        <v>0</v>
      </c>
      <c r="P4" s="198">
        <f>SUMIFS('июль 2023'!$G$4:$G$968,'июль 2023'!$D$4:$D$968,$B4,'июль 2023'!$J$4:$J$968,P$1)</f>
        <v>0</v>
      </c>
      <c r="Q4" s="198">
        <f>SUMIFS('июль 2023'!$G$4:$G$968,'июль 2023'!$D$4:$D$968,$B4,'июль 2023'!$J$4:$J$968,Q$1)</f>
        <v>0</v>
      </c>
      <c r="R4" s="198">
        <f>SUMIFS('июль 2023'!$G$4:$G$968,'июль 2023'!$D$4:$D$968,$B4,'июль 2023'!$J$4:$J$968,R$1)</f>
        <v>0</v>
      </c>
      <c r="S4" s="198">
        <f>SUMIFS('июль 2023'!$G$4:$G$968,'июль 2023'!$D$4:$D$968,$B4,'июль 2023'!$J$4:$J$968,S$1)</f>
        <v>0</v>
      </c>
      <c r="T4" s="198">
        <f>SUMIFS('июль 2023'!$G$4:$G$968,'июль 2023'!$D$4:$D$968,$B4,'июль 2023'!$J$4:$J$968,T$1)</f>
        <v>0</v>
      </c>
      <c r="U4" s="198">
        <f>SUMIFS('июль 2023'!$G$4:$G$968,'июль 2023'!$D$4:$D$968,$B4,'июль 2023'!$J$4:$J$968,U$1)</f>
        <v>0</v>
      </c>
      <c r="V4" s="198">
        <f>SUMIFS('июль 2023'!$G$4:$G$968,'июль 2023'!$D$4:$D$968,$B4,'июль 2023'!$J$4:$J$968,V$1)</f>
        <v>0</v>
      </c>
      <c r="W4" s="198">
        <f>SUMIFS('июль 2023'!$G$4:$G$968,'июль 2023'!$D$4:$D$968,$B4,'июль 2023'!$J$4:$J$968,W$1)</f>
        <v>0</v>
      </c>
      <c r="X4" s="198">
        <f>SUMIFS('июль 2023'!$G$4:$G$968,'июль 2023'!$D$4:$D$968,$B4,'июль 2023'!$J$4:$J$968,X$1)</f>
        <v>0</v>
      </c>
      <c r="Y4" s="198">
        <f>SUMIFS('июль 2023'!$G$4:$G$968,'июль 2023'!$D$4:$D$968,$B4,'июль 2023'!$J$4:$J$968,Y$1)</f>
        <v>0</v>
      </c>
      <c r="Z4" s="198">
        <f>SUMIFS('июль 2023'!$G$4:$G$968,'июль 2023'!$D$4:$D$968,$B4,'июль 2023'!$J$4:$J$968,Z$1)</f>
        <v>0</v>
      </c>
      <c r="AA4" s="198">
        <f>SUMIFS('июль 2023'!$G$4:$G$968,'июль 2023'!$D$4:$D$968,$B4,'июль 2023'!$J$4:$J$968,AA$1)</f>
        <v>0</v>
      </c>
      <c r="AB4" s="198">
        <f>SUMIFS('июль 2023'!$G$4:$G$968,'июль 2023'!$D$4:$D$968,$B4,'июль 2023'!$J$4:$J$968,AB$1)</f>
        <v>0</v>
      </c>
      <c r="AC4" s="198">
        <f>SUMIFS('июль 2023'!$G$4:$G$968,'июль 2023'!$D$4:$D$968,$B4,'июль 2023'!$J$4:$J$968,AC$1)</f>
        <v>0</v>
      </c>
      <c r="AD4" s="198">
        <f>SUMIFS('июль 2023'!$G$4:$G$968,'июль 2023'!$D$4:$D$968,$B4,'июль 2023'!$J$4:$J$968,AD$1)</f>
        <v>0</v>
      </c>
      <c r="AE4" s="198">
        <f>SUMIFS('июль 2023'!$G$4:$G$968,'июль 2023'!$D$4:$D$968,$B4,'июль 2023'!$J$4:$J$968,AE$1)</f>
        <v>0</v>
      </c>
      <c r="AF4" s="198">
        <f>SUMIFS('июль 2023'!$G$4:$G$968,'июль 2023'!$D$4:$D$968,$B4,'июль 2023'!$J$4:$J$968,AF$1)</f>
        <v>0</v>
      </c>
      <c r="AG4" s="198">
        <f>SUMIFS('июль 2023'!$G$4:$G$968,'июль 2023'!$D$4:$D$968,$B4,'июль 2023'!$J$4:$J$968,AG$1)</f>
        <v>0</v>
      </c>
      <c r="AH4" s="198">
        <f>SUMIFS('июль 2023'!$G$4:$G$968,'июль 2023'!$D$4:$D$968,$B4,'июль 2023'!$J$4:$J$968,AH$1)</f>
        <v>0</v>
      </c>
      <c r="AI4" s="170">
        <f t="shared" si="1"/>
        <v>800</v>
      </c>
    </row>
    <row r="5" spans="2:35" ht="15" customHeight="1" x14ac:dyDescent="0.25">
      <c r="B5" s="199" t="s">
        <v>165</v>
      </c>
      <c r="C5" s="200">
        <v>25</v>
      </c>
      <c r="D5" s="198">
        <f>SUMIFS('июль 2023'!$G$4:$G$968,'июль 2023'!$D$4:$D$968,$B5,'июль 2023'!$J$4:$J$968,D$1)</f>
        <v>0</v>
      </c>
      <c r="E5" s="198">
        <f>SUMIFS('июль 2023'!$G$4:$G$968,'июль 2023'!$D$4:$D$968,$B5,'июль 2023'!$J$4:$J$968,E$1)</f>
        <v>0</v>
      </c>
      <c r="F5" s="198">
        <f>SUMIFS('июль 2023'!$G$4:$G$968,'июль 2023'!$D$4:$D$968,$B5,'июль 2023'!$J$4:$J$968,F$1)</f>
        <v>0</v>
      </c>
      <c r="G5" s="198">
        <f>SUMIFS('июль 2023'!$G$4:$G$968,'июль 2023'!$D$4:$D$968,$B5,'июль 2023'!$J$4:$J$968,G$1)</f>
        <v>0</v>
      </c>
      <c r="H5" s="198">
        <f>SUMIFS('июль 2023'!$G$4:$G$968,'июль 2023'!$D$4:$D$968,$B5,'июль 2023'!$J$4:$J$968,H$1)</f>
        <v>0</v>
      </c>
      <c r="I5" s="198">
        <f>SUMIFS('июль 2023'!$G$4:$G$968,'июль 2023'!$D$4:$D$968,$B5,'июль 2023'!$J$4:$J$968,I$1)</f>
        <v>0</v>
      </c>
      <c r="J5" s="198">
        <f>SUMIFS('июль 2023'!$G$4:$G$968,'июль 2023'!$D$4:$D$968,$B5,'июль 2023'!$J$4:$J$968,J$1)</f>
        <v>0</v>
      </c>
      <c r="K5" s="198">
        <f>SUMIFS('июль 2023'!$G$4:$G$968,'июль 2023'!$D$4:$D$968,$B5,'июль 2023'!$J$4:$J$968,K$1)</f>
        <v>0</v>
      </c>
      <c r="L5" s="198">
        <f>SUMIFS('июль 2023'!$G$4:$G$968,'июль 2023'!$D$4:$D$968,$B5,'июль 2023'!$J$4:$J$968,L$1)</f>
        <v>0</v>
      </c>
      <c r="M5" s="198">
        <f>SUMIFS('июль 2023'!$G$4:$G$968,'июль 2023'!$D$4:$D$968,$B5,'июль 2023'!$J$4:$J$968,M$1)</f>
        <v>0</v>
      </c>
      <c r="N5" s="198">
        <f>SUMIFS('июль 2023'!$G$4:$G$968,'июль 2023'!$D$4:$D$968,$B5,'июль 2023'!$J$4:$J$968,N$1)</f>
        <v>0</v>
      </c>
      <c r="O5" s="198">
        <f>SUMIFS('июль 2023'!$G$4:$G$968,'июль 2023'!$D$4:$D$968,$B5,'июль 2023'!$J$4:$J$968,O$1)</f>
        <v>0</v>
      </c>
      <c r="P5" s="198">
        <f>SUMIFS('июль 2023'!$G$4:$G$968,'июль 2023'!$D$4:$D$968,$B5,'июль 2023'!$J$4:$J$968,P$1)</f>
        <v>0</v>
      </c>
      <c r="Q5" s="198">
        <f>SUMIFS('июль 2023'!$G$4:$G$968,'июль 2023'!$D$4:$D$968,$B5,'июль 2023'!$J$4:$J$968,Q$1)</f>
        <v>0</v>
      </c>
      <c r="R5" s="198">
        <f>SUMIFS('июль 2023'!$G$4:$G$968,'июль 2023'!$D$4:$D$968,$B5,'июль 2023'!$J$4:$J$968,R$1)</f>
        <v>0</v>
      </c>
      <c r="S5" s="198">
        <f>SUMIFS('июль 2023'!$G$4:$G$968,'июль 2023'!$D$4:$D$968,$B5,'июль 2023'!$J$4:$J$968,S$1)</f>
        <v>0</v>
      </c>
      <c r="T5" s="198">
        <f>SUMIFS('июль 2023'!$G$4:$G$968,'июль 2023'!$D$4:$D$968,$B5,'июль 2023'!$J$4:$J$968,T$1)</f>
        <v>0</v>
      </c>
      <c r="U5" s="198">
        <f>SUMIFS('июль 2023'!$G$4:$G$968,'июль 2023'!$D$4:$D$968,$B5,'июль 2023'!$J$4:$J$968,U$1)</f>
        <v>0</v>
      </c>
      <c r="V5" s="198">
        <f>SUMIFS('июль 2023'!$G$4:$G$968,'июль 2023'!$D$4:$D$968,$B5,'июль 2023'!$J$4:$J$968,V$1)</f>
        <v>0</v>
      </c>
      <c r="W5" s="198">
        <f>SUMIFS('июль 2023'!$G$4:$G$968,'июль 2023'!$D$4:$D$968,$B5,'июль 2023'!$J$4:$J$968,W$1)</f>
        <v>40</v>
      </c>
      <c r="X5" s="198">
        <f>SUMIFS('июль 2023'!$G$4:$G$968,'июль 2023'!$D$4:$D$968,$B5,'июль 2023'!$J$4:$J$968,X$1)</f>
        <v>0</v>
      </c>
      <c r="Y5" s="198">
        <f>SUMIFS('июль 2023'!$G$4:$G$968,'июль 2023'!$D$4:$D$968,$B5,'июль 2023'!$J$4:$J$968,Y$1)</f>
        <v>0</v>
      </c>
      <c r="Z5" s="198">
        <f>SUMIFS('июль 2023'!$G$4:$G$968,'июль 2023'!$D$4:$D$968,$B5,'июль 2023'!$J$4:$J$968,Z$1)</f>
        <v>0</v>
      </c>
      <c r="AA5" s="198">
        <f>SUMIFS('июль 2023'!$G$4:$G$968,'июль 2023'!$D$4:$D$968,$B5,'июль 2023'!$J$4:$J$968,AA$1)</f>
        <v>0</v>
      </c>
      <c r="AB5" s="198">
        <f>SUMIFS('июль 2023'!$G$4:$G$968,'июль 2023'!$D$4:$D$968,$B5,'июль 2023'!$J$4:$J$968,AB$1)</f>
        <v>0</v>
      </c>
      <c r="AC5" s="198">
        <f>SUMIFS('июль 2023'!$G$4:$G$968,'июль 2023'!$D$4:$D$968,$B5,'июль 2023'!$J$4:$J$968,AC$1)</f>
        <v>0</v>
      </c>
      <c r="AD5" s="198">
        <f>SUMIFS('июль 2023'!$G$4:$G$968,'июль 2023'!$D$4:$D$968,$B5,'июль 2023'!$J$4:$J$968,AD$1)</f>
        <v>0</v>
      </c>
      <c r="AE5" s="198">
        <f>SUMIFS('июль 2023'!$G$4:$G$968,'июль 2023'!$D$4:$D$968,$B5,'июль 2023'!$J$4:$J$968,AE$1)</f>
        <v>0</v>
      </c>
      <c r="AF5" s="198">
        <f>SUMIFS('июль 2023'!$G$4:$G$968,'июль 2023'!$D$4:$D$968,$B5,'июль 2023'!$J$4:$J$968,AF$1)</f>
        <v>0</v>
      </c>
      <c r="AG5" s="198">
        <f>SUMIFS('июль 2023'!$G$4:$G$968,'июль 2023'!$D$4:$D$968,$B5,'июль 2023'!$J$4:$J$968,AG$1)</f>
        <v>0</v>
      </c>
      <c r="AH5" s="198">
        <f>SUMIFS('июль 2023'!$G$4:$G$968,'июль 2023'!$D$4:$D$968,$B5,'июль 2023'!$J$4:$J$968,AH$1)</f>
        <v>0</v>
      </c>
      <c r="AI5" s="170">
        <f t="shared" si="1"/>
        <v>40</v>
      </c>
    </row>
    <row r="6" spans="2:35" ht="15" customHeight="1" x14ac:dyDescent="0.25">
      <c r="B6" s="199" t="s">
        <v>2084</v>
      </c>
      <c r="C6" s="200">
        <v>22.7</v>
      </c>
      <c r="D6" s="198">
        <f>SUMIFS('июль 2023'!$G$4:$G$968,'июль 2023'!$D$4:$D$968,$B6,'июль 2023'!$J$4:$J$968,D$1)</f>
        <v>0</v>
      </c>
      <c r="E6" s="198">
        <f>SUMIFS('июль 2023'!$G$4:$G$968,'июль 2023'!$D$4:$D$968,$B6,'июль 2023'!$J$4:$J$968,E$1)</f>
        <v>0</v>
      </c>
      <c r="F6" s="198">
        <f>SUMIFS('июль 2023'!$G$4:$G$968,'июль 2023'!$D$4:$D$968,$B6,'июль 2023'!$J$4:$J$968,F$1)</f>
        <v>0</v>
      </c>
      <c r="G6" s="198">
        <f>SUMIFS('июль 2023'!$G$4:$G$968,'июль 2023'!$D$4:$D$968,$B6,'июль 2023'!$J$4:$J$968,G$1)</f>
        <v>0</v>
      </c>
      <c r="H6" s="198">
        <f>SUMIFS('июль 2023'!$G$4:$G$968,'июль 2023'!$D$4:$D$968,$B6,'июль 2023'!$J$4:$J$968,H$1)</f>
        <v>0</v>
      </c>
      <c r="I6" s="198">
        <f>SUMIFS('июль 2023'!$G$4:$G$968,'июль 2023'!$D$4:$D$968,$B6,'июль 2023'!$J$4:$J$968,I$1)</f>
        <v>0</v>
      </c>
      <c r="J6" s="198">
        <f>SUMIFS('июль 2023'!$G$4:$G$968,'июль 2023'!$D$4:$D$968,$B6,'июль 2023'!$J$4:$J$968,J$1)</f>
        <v>0</v>
      </c>
      <c r="K6" s="198">
        <f>SUMIFS('июль 2023'!$G$4:$G$968,'июль 2023'!$D$4:$D$968,$B6,'июль 2023'!$J$4:$J$968,K$1)</f>
        <v>0</v>
      </c>
      <c r="L6" s="198">
        <f>SUMIFS('июль 2023'!$G$4:$G$968,'июль 2023'!$D$4:$D$968,$B6,'июль 2023'!$J$4:$J$968,L$1)</f>
        <v>0</v>
      </c>
      <c r="M6" s="198">
        <f>SUMIFS('июль 2023'!$G$4:$G$968,'июль 2023'!$D$4:$D$968,$B6,'июль 2023'!$J$4:$J$968,M$1)</f>
        <v>0</v>
      </c>
      <c r="N6" s="198">
        <f>SUMIFS('июль 2023'!$G$4:$G$968,'июль 2023'!$D$4:$D$968,$B6,'июль 2023'!$J$4:$J$968,N$1)</f>
        <v>0</v>
      </c>
      <c r="O6" s="198">
        <f>SUMIFS('июль 2023'!$G$4:$G$968,'июль 2023'!$D$4:$D$968,$B6,'июль 2023'!$J$4:$J$968,O$1)</f>
        <v>0</v>
      </c>
      <c r="P6" s="198">
        <f>SUMIFS('июль 2023'!$G$4:$G$968,'июль 2023'!$D$4:$D$968,$B6,'июль 2023'!$J$4:$J$968,P$1)</f>
        <v>0</v>
      </c>
      <c r="Q6" s="198">
        <f>SUMIFS('июль 2023'!$G$4:$G$968,'июль 2023'!$D$4:$D$968,$B6,'июль 2023'!$J$4:$J$968,Q$1)</f>
        <v>0</v>
      </c>
      <c r="R6" s="198">
        <f>SUMIFS('июль 2023'!$G$4:$G$968,'июль 2023'!$D$4:$D$968,$B6,'июль 2023'!$J$4:$J$968,R$1)</f>
        <v>0</v>
      </c>
      <c r="S6" s="198">
        <f>SUMIFS('июль 2023'!$G$4:$G$968,'июль 2023'!$D$4:$D$968,$B6,'июль 2023'!$J$4:$J$968,S$1)</f>
        <v>0</v>
      </c>
      <c r="T6" s="198">
        <f>SUMIFS('июль 2023'!$G$4:$G$968,'июль 2023'!$D$4:$D$968,$B6,'июль 2023'!$J$4:$J$968,T$1)</f>
        <v>0</v>
      </c>
      <c r="U6" s="198">
        <f>SUMIFS('июль 2023'!$G$4:$G$968,'июль 2023'!$D$4:$D$968,$B6,'июль 2023'!$J$4:$J$968,U$1)</f>
        <v>0</v>
      </c>
      <c r="V6" s="198">
        <f>SUMIFS('июль 2023'!$G$4:$G$968,'июль 2023'!$D$4:$D$968,$B6,'июль 2023'!$J$4:$J$968,V$1)</f>
        <v>0</v>
      </c>
      <c r="W6" s="198">
        <f>SUMIFS('июль 2023'!$G$4:$G$968,'июль 2023'!$D$4:$D$968,$B6,'июль 2023'!$J$4:$J$968,W$1)</f>
        <v>0</v>
      </c>
      <c r="X6" s="198">
        <f>SUMIFS('июль 2023'!$G$4:$G$968,'июль 2023'!$D$4:$D$968,$B6,'июль 2023'!$J$4:$J$968,X$1)</f>
        <v>0</v>
      </c>
      <c r="Y6" s="198">
        <f>SUMIFS('июль 2023'!$G$4:$G$968,'июль 2023'!$D$4:$D$968,$B6,'июль 2023'!$J$4:$J$968,Y$1)</f>
        <v>0</v>
      </c>
      <c r="Z6" s="198">
        <f>SUMIFS('июль 2023'!$G$4:$G$968,'июль 2023'!$D$4:$D$968,$B6,'июль 2023'!$J$4:$J$968,Z$1)</f>
        <v>0</v>
      </c>
      <c r="AA6" s="198">
        <f>SUMIFS('июль 2023'!$G$4:$G$968,'июль 2023'!$D$4:$D$968,$B6,'июль 2023'!$J$4:$J$968,AA$1)</f>
        <v>0</v>
      </c>
      <c r="AB6" s="198">
        <f>SUMIFS('июль 2023'!$G$4:$G$968,'июль 2023'!$D$4:$D$968,$B6,'июль 2023'!$J$4:$J$968,AB$1)</f>
        <v>0</v>
      </c>
      <c r="AC6" s="198">
        <f>SUMIFS('июль 2023'!$G$4:$G$968,'июль 2023'!$D$4:$D$968,$B6,'июль 2023'!$J$4:$J$968,AC$1)</f>
        <v>0</v>
      </c>
      <c r="AD6" s="198">
        <f>SUMIFS('июль 2023'!$G$4:$G$968,'июль 2023'!$D$4:$D$968,$B6,'июль 2023'!$J$4:$J$968,AD$1)</f>
        <v>0</v>
      </c>
      <c r="AE6" s="198">
        <f>SUMIFS('июль 2023'!$G$4:$G$968,'июль 2023'!$D$4:$D$968,$B6,'июль 2023'!$J$4:$J$968,AE$1)</f>
        <v>0</v>
      </c>
      <c r="AF6" s="198">
        <f>SUMIFS('июль 2023'!$G$4:$G$968,'июль 2023'!$D$4:$D$968,$B6,'июль 2023'!$J$4:$J$968,AF$1)</f>
        <v>0</v>
      </c>
      <c r="AG6" s="198">
        <f>SUMIFS('июль 2023'!$G$4:$G$968,'июль 2023'!$D$4:$D$968,$B6,'июль 2023'!$J$4:$J$968,AG$1)</f>
        <v>0</v>
      </c>
      <c r="AH6" s="198">
        <f>SUMIFS('июль 2023'!$G$4:$G$968,'июль 2023'!$D$4:$D$968,$B6,'июль 2023'!$J$4:$J$968,AH$1)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SUMIFS('июль 2023'!$G$4:$G$968,'июль 2023'!$D$4:$D$968,$B7,'июль 2023'!$J$4:$J$968,D$1)</f>
        <v>0</v>
      </c>
      <c r="E7" s="198">
        <f>SUMIFS('июль 2023'!$G$4:$G$968,'июль 2023'!$D$4:$D$968,$B7,'июль 2023'!$J$4:$J$968,E$1)</f>
        <v>0</v>
      </c>
      <c r="F7" s="198">
        <f>SUMIFS('июль 2023'!$G$4:$G$968,'июль 2023'!$D$4:$D$968,$B7,'июль 2023'!$J$4:$J$968,F$1)</f>
        <v>0</v>
      </c>
      <c r="G7" s="198">
        <f>SUMIFS('июль 2023'!$G$4:$G$968,'июль 2023'!$D$4:$D$968,$B7,'июль 2023'!$J$4:$J$968,G$1)</f>
        <v>0</v>
      </c>
      <c r="H7" s="198">
        <f>SUMIFS('июль 2023'!$G$4:$G$968,'июль 2023'!$D$4:$D$968,$B7,'июль 2023'!$J$4:$J$968,H$1)</f>
        <v>0</v>
      </c>
      <c r="I7" s="198">
        <f>SUMIFS('июль 2023'!$G$4:$G$968,'июль 2023'!$D$4:$D$968,$B7,'июль 2023'!$J$4:$J$968,I$1)</f>
        <v>0</v>
      </c>
      <c r="J7" s="198">
        <f>SUMIFS('июль 2023'!$G$4:$G$968,'июль 2023'!$D$4:$D$968,$B7,'июль 2023'!$J$4:$J$968,J$1)</f>
        <v>0</v>
      </c>
      <c r="K7" s="198">
        <f>SUMIFS('июль 2023'!$G$4:$G$968,'июль 2023'!$D$4:$D$968,$B7,'июль 2023'!$J$4:$J$968,K$1)</f>
        <v>0</v>
      </c>
      <c r="L7" s="198">
        <f>SUMIFS('июль 2023'!$G$4:$G$968,'июль 2023'!$D$4:$D$968,$B7,'июль 2023'!$J$4:$J$968,L$1)</f>
        <v>0</v>
      </c>
      <c r="M7" s="198">
        <f>SUMIFS('июль 2023'!$G$4:$G$968,'июль 2023'!$D$4:$D$968,$B7,'июль 2023'!$J$4:$J$968,M$1)</f>
        <v>0</v>
      </c>
      <c r="N7" s="198">
        <f>SUMIFS('июль 2023'!$G$4:$G$968,'июль 2023'!$D$4:$D$968,$B7,'июль 2023'!$J$4:$J$968,N$1)</f>
        <v>0</v>
      </c>
      <c r="O7" s="198">
        <f>SUMIFS('июль 2023'!$G$4:$G$968,'июль 2023'!$D$4:$D$968,$B7,'июль 2023'!$J$4:$J$968,O$1)</f>
        <v>0</v>
      </c>
      <c r="P7" s="198">
        <f>SUMIFS('июль 2023'!$G$4:$G$968,'июль 2023'!$D$4:$D$968,$B7,'июль 2023'!$J$4:$J$968,P$1)</f>
        <v>0</v>
      </c>
      <c r="Q7" s="198">
        <f>SUMIFS('июль 2023'!$G$4:$G$968,'июль 2023'!$D$4:$D$968,$B7,'июль 2023'!$J$4:$J$968,Q$1)</f>
        <v>0</v>
      </c>
      <c r="R7" s="198">
        <f>SUMIFS('июль 2023'!$G$4:$G$968,'июль 2023'!$D$4:$D$968,$B7,'июль 2023'!$J$4:$J$968,R$1)</f>
        <v>0</v>
      </c>
      <c r="S7" s="198">
        <f>SUMIFS('июль 2023'!$G$4:$G$968,'июль 2023'!$D$4:$D$968,$B7,'июль 2023'!$J$4:$J$968,S$1)</f>
        <v>0</v>
      </c>
      <c r="T7" s="198">
        <f>SUMIFS('июль 2023'!$G$4:$G$968,'июль 2023'!$D$4:$D$968,$B7,'июль 2023'!$J$4:$J$968,T$1)</f>
        <v>0</v>
      </c>
      <c r="U7" s="198">
        <f>SUMIFS('июль 2023'!$G$4:$G$968,'июль 2023'!$D$4:$D$968,$B7,'июль 2023'!$J$4:$J$968,U$1)</f>
        <v>0</v>
      </c>
      <c r="V7" s="198">
        <f>SUMIFS('июль 2023'!$G$4:$G$968,'июль 2023'!$D$4:$D$968,$B7,'июль 2023'!$J$4:$J$968,V$1)</f>
        <v>0</v>
      </c>
      <c r="W7" s="198">
        <f>SUMIFS('июль 2023'!$G$4:$G$968,'июль 2023'!$D$4:$D$968,$B7,'июль 2023'!$J$4:$J$968,W$1)</f>
        <v>0</v>
      </c>
      <c r="X7" s="198">
        <f>SUMIFS('июль 2023'!$G$4:$G$968,'июль 2023'!$D$4:$D$968,$B7,'июль 2023'!$J$4:$J$968,X$1)</f>
        <v>0</v>
      </c>
      <c r="Y7" s="198">
        <f>SUMIFS('июль 2023'!$G$4:$G$968,'июль 2023'!$D$4:$D$968,$B7,'июль 2023'!$J$4:$J$968,Y$1)</f>
        <v>0</v>
      </c>
      <c r="Z7" s="198">
        <f>SUMIFS('июль 2023'!$G$4:$G$968,'июль 2023'!$D$4:$D$968,$B7,'июль 2023'!$J$4:$J$968,Z$1)</f>
        <v>0</v>
      </c>
      <c r="AA7" s="198">
        <f>SUMIFS('июль 2023'!$G$4:$G$968,'июль 2023'!$D$4:$D$968,$B7,'июль 2023'!$J$4:$J$968,AA$1)</f>
        <v>0</v>
      </c>
      <c r="AB7" s="198">
        <f>SUMIFS('июль 2023'!$G$4:$G$968,'июль 2023'!$D$4:$D$968,$B7,'июль 2023'!$J$4:$J$968,AB$1)</f>
        <v>0</v>
      </c>
      <c r="AC7" s="198">
        <f>SUMIFS('июль 2023'!$G$4:$G$968,'июль 2023'!$D$4:$D$968,$B7,'июль 2023'!$J$4:$J$968,AC$1)</f>
        <v>0</v>
      </c>
      <c r="AD7" s="198">
        <f>SUMIFS('июль 2023'!$G$4:$G$968,'июль 2023'!$D$4:$D$968,$B7,'июль 2023'!$J$4:$J$968,AD$1)</f>
        <v>0</v>
      </c>
      <c r="AE7" s="198">
        <f>SUMIFS('июль 2023'!$G$4:$G$968,'июль 2023'!$D$4:$D$968,$B7,'июль 2023'!$J$4:$J$968,AE$1)</f>
        <v>0</v>
      </c>
      <c r="AF7" s="198">
        <f>SUMIFS('июль 2023'!$G$4:$G$968,'июль 2023'!$D$4:$D$968,$B7,'июль 2023'!$J$4:$J$968,AF$1)</f>
        <v>0</v>
      </c>
      <c r="AG7" s="198">
        <f>SUMIFS('июль 2023'!$G$4:$G$968,'июль 2023'!$D$4:$D$968,$B7,'июль 2023'!$J$4:$J$968,AG$1)</f>
        <v>0</v>
      </c>
      <c r="AH7" s="198">
        <f>SUMIFS('июль 2023'!$G$4:$G$968,'июль 2023'!$D$4:$D$968,$B7,'июль 2023'!$J$4:$J$968,AH$1)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SUMIFS('июль 2023'!$G$4:$G$968,'июль 2023'!$D$4:$D$968,$B8,'июль 2023'!$J$4:$J$968,D$1)</f>
        <v>0</v>
      </c>
      <c r="E8" s="198">
        <f>SUMIFS('июль 2023'!$G$4:$G$968,'июль 2023'!$D$4:$D$968,$B8,'июль 2023'!$J$4:$J$968,E$1)</f>
        <v>0</v>
      </c>
      <c r="F8" s="198">
        <f>SUMIFS('июль 2023'!$G$4:$G$968,'июль 2023'!$D$4:$D$968,$B8,'июль 2023'!$J$4:$J$968,F$1)</f>
        <v>0</v>
      </c>
      <c r="G8" s="198">
        <f>SUMIFS('июль 2023'!$G$4:$G$968,'июль 2023'!$D$4:$D$968,$B8,'июль 2023'!$J$4:$J$968,G$1)</f>
        <v>0</v>
      </c>
      <c r="H8" s="198">
        <f>SUMIFS('июль 2023'!$G$4:$G$968,'июль 2023'!$D$4:$D$968,$B8,'июль 2023'!$J$4:$J$968,H$1)</f>
        <v>0</v>
      </c>
      <c r="I8" s="198">
        <f>SUMIFS('июль 2023'!$G$4:$G$968,'июль 2023'!$D$4:$D$968,$B8,'июль 2023'!$J$4:$J$968,I$1)</f>
        <v>0</v>
      </c>
      <c r="J8" s="198">
        <f>SUMIFS('июль 2023'!$G$4:$G$968,'июль 2023'!$D$4:$D$968,$B8,'июль 2023'!$J$4:$J$968,J$1)</f>
        <v>0</v>
      </c>
      <c r="K8" s="198">
        <f>SUMIFS('июль 2023'!$G$4:$G$968,'июль 2023'!$D$4:$D$968,$B8,'июль 2023'!$J$4:$J$968,K$1)</f>
        <v>0</v>
      </c>
      <c r="L8" s="198">
        <f>SUMIFS('июль 2023'!$G$4:$G$968,'июль 2023'!$D$4:$D$968,$B8,'июль 2023'!$J$4:$J$968,L$1)</f>
        <v>0</v>
      </c>
      <c r="M8" s="198">
        <f>SUMIFS('июль 2023'!$G$4:$G$968,'июль 2023'!$D$4:$D$968,$B8,'июль 2023'!$J$4:$J$968,M$1)</f>
        <v>0</v>
      </c>
      <c r="N8" s="198">
        <f>SUMIFS('июль 2023'!$G$4:$G$968,'июль 2023'!$D$4:$D$968,$B8,'июль 2023'!$J$4:$J$968,N$1)</f>
        <v>0</v>
      </c>
      <c r="O8" s="198">
        <f>SUMIFS('июль 2023'!$G$4:$G$968,'июль 2023'!$D$4:$D$968,$B8,'июль 2023'!$J$4:$J$968,O$1)</f>
        <v>0</v>
      </c>
      <c r="P8" s="198">
        <f>SUMIFS('июль 2023'!$G$4:$G$968,'июль 2023'!$D$4:$D$968,$B8,'июль 2023'!$J$4:$J$968,P$1)</f>
        <v>0</v>
      </c>
      <c r="Q8" s="198">
        <f>SUMIFS('июль 2023'!$G$4:$G$968,'июль 2023'!$D$4:$D$968,$B8,'июль 2023'!$J$4:$J$968,Q$1)</f>
        <v>0</v>
      </c>
      <c r="R8" s="198">
        <f>SUMIFS('июль 2023'!$G$4:$G$968,'июль 2023'!$D$4:$D$968,$B8,'июль 2023'!$J$4:$J$968,R$1)</f>
        <v>0</v>
      </c>
      <c r="S8" s="198">
        <f>SUMIFS('июль 2023'!$G$4:$G$968,'июль 2023'!$D$4:$D$968,$B8,'июль 2023'!$J$4:$J$968,S$1)</f>
        <v>0</v>
      </c>
      <c r="T8" s="198">
        <f>SUMIFS('июль 2023'!$G$4:$G$968,'июль 2023'!$D$4:$D$968,$B8,'июль 2023'!$J$4:$J$968,T$1)</f>
        <v>0</v>
      </c>
      <c r="U8" s="198">
        <f>SUMIFS('июль 2023'!$G$4:$G$968,'июль 2023'!$D$4:$D$968,$B8,'июль 2023'!$J$4:$J$968,U$1)</f>
        <v>0</v>
      </c>
      <c r="V8" s="198">
        <f>SUMIFS('июль 2023'!$G$4:$G$968,'июль 2023'!$D$4:$D$968,$B8,'июль 2023'!$J$4:$J$968,V$1)</f>
        <v>0</v>
      </c>
      <c r="W8" s="198">
        <f>SUMIFS('июль 2023'!$G$4:$G$968,'июль 2023'!$D$4:$D$968,$B8,'июль 2023'!$J$4:$J$968,W$1)</f>
        <v>0</v>
      </c>
      <c r="X8" s="198">
        <f>SUMIFS('июль 2023'!$G$4:$G$968,'июль 2023'!$D$4:$D$968,$B8,'июль 2023'!$J$4:$J$968,X$1)</f>
        <v>0</v>
      </c>
      <c r="Y8" s="198">
        <f>SUMIFS('июль 2023'!$G$4:$G$968,'июль 2023'!$D$4:$D$968,$B8,'июль 2023'!$J$4:$J$968,Y$1)</f>
        <v>0</v>
      </c>
      <c r="Z8" s="198">
        <f>SUMIFS('июль 2023'!$G$4:$G$968,'июль 2023'!$D$4:$D$968,$B8,'июль 2023'!$J$4:$J$968,Z$1)</f>
        <v>0</v>
      </c>
      <c r="AA8" s="198">
        <f>SUMIFS('июль 2023'!$G$4:$G$968,'июль 2023'!$D$4:$D$968,$B8,'июль 2023'!$J$4:$J$968,AA$1)</f>
        <v>0</v>
      </c>
      <c r="AB8" s="198">
        <f>SUMIFS('июль 2023'!$G$4:$G$968,'июль 2023'!$D$4:$D$968,$B8,'июль 2023'!$J$4:$J$968,AB$1)</f>
        <v>0</v>
      </c>
      <c r="AC8" s="198">
        <f>SUMIFS('июль 2023'!$G$4:$G$968,'июль 2023'!$D$4:$D$968,$B8,'июль 2023'!$J$4:$J$968,AC$1)</f>
        <v>0</v>
      </c>
      <c r="AD8" s="198">
        <f>SUMIFS('июль 2023'!$G$4:$G$968,'июль 2023'!$D$4:$D$968,$B8,'июль 2023'!$J$4:$J$968,AD$1)</f>
        <v>0</v>
      </c>
      <c r="AE8" s="198">
        <f>SUMIFS('июль 2023'!$G$4:$G$968,'июль 2023'!$D$4:$D$968,$B8,'июль 2023'!$J$4:$J$968,AE$1)</f>
        <v>0</v>
      </c>
      <c r="AF8" s="198">
        <f>SUMIFS('июль 2023'!$G$4:$G$968,'июль 2023'!$D$4:$D$968,$B8,'июль 2023'!$J$4:$J$968,AF$1)</f>
        <v>0</v>
      </c>
      <c r="AG8" s="198">
        <f>SUMIFS('июль 2023'!$G$4:$G$968,'июль 2023'!$D$4:$D$968,$B8,'июль 2023'!$J$4:$J$968,AG$1)</f>
        <v>0</v>
      </c>
      <c r="AH8" s="198">
        <f>SUMIFS('июль 2023'!$G$4:$G$968,'июль 2023'!$D$4:$D$968,$B8,'июль 2023'!$J$4:$J$968,AH$1)</f>
        <v>0</v>
      </c>
      <c r="AI8" s="170">
        <f t="shared" si="1"/>
        <v>0</v>
      </c>
    </row>
    <row r="9" spans="2:35" ht="15" customHeight="1" x14ac:dyDescent="0.25">
      <c r="B9" s="199" t="s">
        <v>2053</v>
      </c>
      <c r="C9" s="200">
        <v>25</v>
      </c>
      <c r="D9" s="198">
        <f>SUMIFS('июль 2023'!$G$4:$G$968,'июль 2023'!$D$4:$D$968,$B9,'июль 2023'!$J$4:$J$968,D$1)</f>
        <v>0</v>
      </c>
      <c r="E9" s="198">
        <f>SUMIFS('июль 2023'!$G$4:$G$968,'июль 2023'!$D$4:$D$968,$B9,'июль 2023'!$J$4:$J$968,E$1)</f>
        <v>0</v>
      </c>
      <c r="F9" s="198">
        <f>SUMIFS('июль 2023'!$G$4:$G$968,'июль 2023'!$D$4:$D$968,$B9,'июль 2023'!$J$4:$J$968,F$1)</f>
        <v>0</v>
      </c>
      <c r="G9" s="198">
        <f>SUMIFS('июль 2023'!$G$4:$G$968,'июль 2023'!$D$4:$D$968,$B9,'июль 2023'!$J$4:$J$968,G$1)</f>
        <v>0</v>
      </c>
      <c r="H9" s="198">
        <f>SUMIFS('июль 2023'!$G$4:$G$968,'июль 2023'!$D$4:$D$968,$B9,'июль 2023'!$J$4:$J$968,H$1)</f>
        <v>0</v>
      </c>
      <c r="I9" s="198">
        <f>SUMIFS('июль 2023'!$G$4:$G$968,'июль 2023'!$D$4:$D$968,$B9,'июль 2023'!$J$4:$J$968,I$1)</f>
        <v>0</v>
      </c>
      <c r="J9" s="198">
        <f>SUMIFS('июль 2023'!$G$4:$G$968,'июль 2023'!$D$4:$D$968,$B9,'июль 2023'!$J$4:$J$968,J$1)</f>
        <v>0</v>
      </c>
      <c r="K9" s="198">
        <f>SUMIFS('июль 2023'!$G$4:$G$968,'июль 2023'!$D$4:$D$968,$B9,'июль 2023'!$J$4:$J$968,K$1)</f>
        <v>0</v>
      </c>
      <c r="L9" s="198">
        <f>SUMIFS('июль 2023'!$G$4:$G$968,'июль 2023'!$D$4:$D$968,$B9,'июль 2023'!$J$4:$J$968,L$1)</f>
        <v>0</v>
      </c>
      <c r="M9" s="198">
        <f>SUMIFS('июль 2023'!$G$4:$G$968,'июль 2023'!$D$4:$D$968,$B9,'июль 2023'!$J$4:$J$968,M$1)</f>
        <v>0</v>
      </c>
      <c r="N9" s="198">
        <f>SUMIFS('июль 2023'!$G$4:$G$968,'июль 2023'!$D$4:$D$968,$B9,'июль 2023'!$J$4:$J$968,N$1)</f>
        <v>0</v>
      </c>
      <c r="O9" s="198">
        <f>SUMIFS('июль 2023'!$G$4:$G$968,'июль 2023'!$D$4:$D$968,$B9,'июль 2023'!$J$4:$J$968,O$1)</f>
        <v>0</v>
      </c>
      <c r="P9" s="198">
        <f>SUMIFS('июль 2023'!$G$4:$G$968,'июль 2023'!$D$4:$D$968,$B9,'июль 2023'!$J$4:$J$968,P$1)</f>
        <v>0</v>
      </c>
      <c r="Q9" s="198">
        <f>SUMIFS('июль 2023'!$G$4:$G$968,'июль 2023'!$D$4:$D$968,$B9,'июль 2023'!$J$4:$J$968,Q$1)</f>
        <v>0</v>
      </c>
      <c r="R9" s="198">
        <f>SUMIFS('июль 2023'!$G$4:$G$968,'июль 2023'!$D$4:$D$968,$B9,'июль 2023'!$J$4:$J$968,R$1)</f>
        <v>0</v>
      </c>
      <c r="S9" s="198">
        <f>SUMIFS('июль 2023'!$G$4:$G$968,'июль 2023'!$D$4:$D$968,$B9,'июль 2023'!$J$4:$J$968,S$1)</f>
        <v>0</v>
      </c>
      <c r="T9" s="198">
        <f>SUMIFS('июль 2023'!$G$4:$G$968,'июль 2023'!$D$4:$D$968,$B9,'июль 2023'!$J$4:$J$968,T$1)</f>
        <v>0</v>
      </c>
      <c r="U9" s="198">
        <f>SUMIFS('июль 2023'!$G$4:$G$968,'июль 2023'!$D$4:$D$968,$B9,'июль 2023'!$J$4:$J$968,U$1)</f>
        <v>0</v>
      </c>
      <c r="V9" s="198">
        <f>SUMIFS('июль 2023'!$G$4:$G$968,'июль 2023'!$D$4:$D$968,$B9,'июль 2023'!$J$4:$J$968,V$1)</f>
        <v>0</v>
      </c>
      <c r="W9" s="198">
        <f>SUMIFS('июль 2023'!$G$4:$G$968,'июль 2023'!$D$4:$D$968,$B9,'июль 2023'!$J$4:$J$968,W$1)</f>
        <v>0</v>
      </c>
      <c r="X9" s="198">
        <f>SUMIFS('июль 2023'!$G$4:$G$968,'июль 2023'!$D$4:$D$968,$B9,'июль 2023'!$J$4:$J$968,X$1)</f>
        <v>0</v>
      </c>
      <c r="Y9" s="198">
        <f>SUMIFS('июль 2023'!$G$4:$G$968,'июль 2023'!$D$4:$D$968,$B9,'июль 2023'!$J$4:$J$968,Y$1)</f>
        <v>0</v>
      </c>
      <c r="Z9" s="198">
        <f>SUMIFS('июль 2023'!$G$4:$G$968,'июль 2023'!$D$4:$D$968,$B9,'июль 2023'!$J$4:$J$968,Z$1)</f>
        <v>0</v>
      </c>
      <c r="AA9" s="198">
        <f>SUMIFS('июль 2023'!$G$4:$G$968,'июль 2023'!$D$4:$D$968,$B9,'июль 2023'!$J$4:$J$968,AA$1)</f>
        <v>0</v>
      </c>
      <c r="AB9" s="198">
        <f>SUMIFS('июль 2023'!$G$4:$G$968,'июль 2023'!$D$4:$D$968,$B9,'июль 2023'!$J$4:$J$968,AB$1)</f>
        <v>0</v>
      </c>
      <c r="AC9" s="198">
        <f>SUMIFS('июль 2023'!$G$4:$G$968,'июль 2023'!$D$4:$D$968,$B9,'июль 2023'!$J$4:$J$968,AC$1)</f>
        <v>0</v>
      </c>
      <c r="AD9" s="198">
        <f>SUMIFS('июль 2023'!$G$4:$G$968,'июль 2023'!$D$4:$D$968,$B9,'июль 2023'!$J$4:$J$968,AD$1)</f>
        <v>0</v>
      </c>
      <c r="AE9" s="198">
        <f>SUMIFS('июль 2023'!$G$4:$G$968,'июль 2023'!$D$4:$D$968,$B9,'июль 2023'!$J$4:$J$968,AE$1)</f>
        <v>0</v>
      </c>
      <c r="AF9" s="198">
        <f>SUMIFS('июль 2023'!$G$4:$G$968,'июль 2023'!$D$4:$D$968,$B9,'июль 2023'!$J$4:$J$968,AF$1)</f>
        <v>0</v>
      </c>
      <c r="AG9" s="198">
        <f>SUMIFS('июль 2023'!$G$4:$G$968,'июль 2023'!$D$4:$D$968,$B9,'июль 2023'!$J$4:$J$968,AG$1)</f>
        <v>0</v>
      </c>
      <c r="AH9" s="198">
        <f>SUMIFS('июль 2023'!$G$4:$G$968,'июль 2023'!$D$4:$D$968,$B9,'июль 2023'!$J$4:$J$968,AH$1)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SUMIFS('июль 2023'!$G$4:$G$968,'июль 2023'!$D$4:$D$968,$B10,'июль 2023'!$J$4:$J$968,D$1)</f>
        <v>0</v>
      </c>
      <c r="E10" s="198">
        <f>SUMIFS('июль 2023'!$G$4:$G$968,'июль 2023'!$D$4:$D$968,$B10,'июль 2023'!$J$4:$J$968,E$1)</f>
        <v>0</v>
      </c>
      <c r="F10" s="198">
        <f>SUMIFS('июль 2023'!$G$4:$G$968,'июль 2023'!$D$4:$D$968,$B10,'июль 2023'!$J$4:$J$968,F$1)</f>
        <v>0</v>
      </c>
      <c r="G10" s="198">
        <f>SUMIFS('июль 2023'!$G$4:$G$968,'июль 2023'!$D$4:$D$968,$B10,'июль 2023'!$J$4:$J$968,G$1)</f>
        <v>0</v>
      </c>
      <c r="H10" s="198">
        <f>SUMIFS('июль 2023'!$G$4:$G$968,'июль 2023'!$D$4:$D$968,$B10,'июль 2023'!$J$4:$J$968,H$1)</f>
        <v>0</v>
      </c>
      <c r="I10" s="198">
        <f>SUMIFS('июль 2023'!$G$4:$G$968,'июль 2023'!$D$4:$D$968,$B10,'июль 2023'!$J$4:$J$968,I$1)</f>
        <v>0</v>
      </c>
      <c r="J10" s="198">
        <f>SUMIFS('июль 2023'!$G$4:$G$968,'июль 2023'!$D$4:$D$968,$B10,'июль 2023'!$J$4:$J$968,J$1)</f>
        <v>0</v>
      </c>
      <c r="K10" s="198">
        <f>SUMIFS('июль 2023'!$G$4:$G$968,'июль 2023'!$D$4:$D$968,$B10,'июль 2023'!$J$4:$J$968,K$1)</f>
        <v>0</v>
      </c>
      <c r="L10" s="198">
        <f>SUMIFS('июль 2023'!$G$4:$G$968,'июль 2023'!$D$4:$D$968,$B10,'июль 2023'!$J$4:$J$968,L$1)</f>
        <v>0</v>
      </c>
      <c r="M10" s="198">
        <f>SUMIFS('июль 2023'!$G$4:$G$968,'июль 2023'!$D$4:$D$968,$B10,'июль 2023'!$J$4:$J$968,M$1)</f>
        <v>0</v>
      </c>
      <c r="N10" s="198">
        <f>SUMIFS('июль 2023'!$G$4:$G$968,'июль 2023'!$D$4:$D$968,$B10,'июль 2023'!$J$4:$J$968,N$1)</f>
        <v>0</v>
      </c>
      <c r="O10" s="198">
        <f>SUMIFS('июль 2023'!$G$4:$G$968,'июль 2023'!$D$4:$D$968,$B10,'июль 2023'!$J$4:$J$968,O$1)</f>
        <v>0</v>
      </c>
      <c r="P10" s="198">
        <f>SUMIFS('июль 2023'!$G$4:$G$968,'июль 2023'!$D$4:$D$968,$B10,'июль 2023'!$J$4:$J$968,P$1)</f>
        <v>0</v>
      </c>
      <c r="Q10" s="198">
        <f>SUMIFS('июль 2023'!$G$4:$G$968,'июль 2023'!$D$4:$D$968,$B10,'июль 2023'!$J$4:$J$968,Q$1)</f>
        <v>0</v>
      </c>
      <c r="R10" s="198">
        <f>SUMIFS('июль 2023'!$G$4:$G$968,'июль 2023'!$D$4:$D$968,$B10,'июль 2023'!$J$4:$J$968,R$1)</f>
        <v>0</v>
      </c>
      <c r="S10" s="198">
        <f>SUMIFS('июль 2023'!$G$4:$G$968,'июль 2023'!$D$4:$D$968,$B10,'июль 2023'!$J$4:$J$968,S$1)</f>
        <v>0</v>
      </c>
      <c r="T10" s="198">
        <f>SUMIFS('июль 2023'!$G$4:$G$968,'июль 2023'!$D$4:$D$968,$B10,'июль 2023'!$J$4:$J$968,T$1)</f>
        <v>0</v>
      </c>
      <c r="U10" s="198">
        <f>SUMIFS('июль 2023'!$G$4:$G$968,'июль 2023'!$D$4:$D$968,$B10,'июль 2023'!$J$4:$J$968,U$1)</f>
        <v>0</v>
      </c>
      <c r="V10" s="198">
        <f>SUMIFS('июль 2023'!$G$4:$G$968,'июль 2023'!$D$4:$D$968,$B10,'июль 2023'!$J$4:$J$968,V$1)</f>
        <v>0</v>
      </c>
      <c r="W10" s="198">
        <f>SUMIFS('июль 2023'!$G$4:$G$968,'июль 2023'!$D$4:$D$968,$B10,'июль 2023'!$J$4:$J$968,W$1)</f>
        <v>0</v>
      </c>
      <c r="X10" s="198">
        <f>SUMIFS('июль 2023'!$G$4:$G$968,'июль 2023'!$D$4:$D$968,$B10,'июль 2023'!$J$4:$J$968,X$1)</f>
        <v>0</v>
      </c>
      <c r="Y10" s="198">
        <f>SUMIFS('июль 2023'!$G$4:$G$968,'июль 2023'!$D$4:$D$968,$B10,'июль 2023'!$J$4:$J$968,Y$1)</f>
        <v>0</v>
      </c>
      <c r="Z10" s="198">
        <f>SUMIFS('июль 2023'!$G$4:$G$968,'июль 2023'!$D$4:$D$968,$B10,'июль 2023'!$J$4:$J$968,Z$1)</f>
        <v>0</v>
      </c>
      <c r="AA10" s="198">
        <f>SUMIFS('июль 2023'!$G$4:$G$968,'июль 2023'!$D$4:$D$968,$B10,'июль 2023'!$J$4:$J$968,AA$1)</f>
        <v>0</v>
      </c>
      <c r="AB10" s="198">
        <f>SUMIFS('июль 2023'!$G$4:$G$968,'июль 2023'!$D$4:$D$968,$B10,'июль 2023'!$J$4:$J$968,AB$1)</f>
        <v>0</v>
      </c>
      <c r="AC10" s="198">
        <f>SUMIFS('июль 2023'!$G$4:$G$968,'июль 2023'!$D$4:$D$968,$B10,'июль 2023'!$J$4:$J$968,AC$1)</f>
        <v>0</v>
      </c>
      <c r="AD10" s="198">
        <f>SUMIFS('июль 2023'!$G$4:$G$968,'июль 2023'!$D$4:$D$968,$B10,'июль 2023'!$J$4:$J$968,AD$1)</f>
        <v>0</v>
      </c>
      <c r="AE10" s="198">
        <f>SUMIFS('июль 2023'!$G$4:$G$968,'июль 2023'!$D$4:$D$968,$B10,'июль 2023'!$J$4:$J$968,AE$1)</f>
        <v>0</v>
      </c>
      <c r="AF10" s="198">
        <f>SUMIFS('июль 2023'!$G$4:$G$968,'июль 2023'!$D$4:$D$968,$B10,'июль 2023'!$J$4:$J$968,AF$1)</f>
        <v>0</v>
      </c>
      <c r="AG10" s="198">
        <f>SUMIFS('июль 2023'!$G$4:$G$968,'июль 2023'!$D$4:$D$968,$B10,'июль 2023'!$J$4:$J$968,AG$1)</f>
        <v>0</v>
      </c>
      <c r="AH10" s="198">
        <f>SUMIFS('июль 2023'!$G$4:$G$968,'июль 2023'!$D$4:$D$968,$B10,'июль 2023'!$J$4:$J$968,AH$1)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SUMIFS('июль 2023'!$G$4:$G$968,'июль 2023'!$D$4:$D$968,$B11,'июль 2023'!$J$4:$J$968,D$1)</f>
        <v>0</v>
      </c>
      <c r="E11" s="198">
        <f>SUMIFS('июль 2023'!$G$4:$G$968,'июль 2023'!$D$4:$D$968,$B11,'июль 2023'!$J$4:$J$968,E$1)</f>
        <v>0</v>
      </c>
      <c r="F11" s="198">
        <f>SUMIFS('июль 2023'!$G$4:$G$968,'июль 2023'!$D$4:$D$968,$B11,'июль 2023'!$J$4:$J$968,F$1)</f>
        <v>0</v>
      </c>
      <c r="G11" s="198">
        <f>SUMIFS('июль 2023'!$G$4:$G$968,'июль 2023'!$D$4:$D$968,$B11,'июль 2023'!$J$4:$J$968,G$1)</f>
        <v>0</v>
      </c>
      <c r="H11" s="198">
        <f>SUMIFS('июль 2023'!$G$4:$G$968,'июль 2023'!$D$4:$D$968,$B11,'июль 2023'!$J$4:$J$968,H$1)</f>
        <v>0</v>
      </c>
      <c r="I11" s="198">
        <f>SUMIFS('июль 2023'!$G$4:$G$968,'июль 2023'!$D$4:$D$968,$B11,'июль 2023'!$J$4:$J$968,I$1)</f>
        <v>0</v>
      </c>
      <c r="J11" s="198">
        <f>SUMIFS('июль 2023'!$G$4:$G$968,'июль 2023'!$D$4:$D$968,$B11,'июль 2023'!$J$4:$J$968,J$1)</f>
        <v>0</v>
      </c>
      <c r="K11" s="198">
        <f>SUMIFS('июль 2023'!$G$4:$G$968,'июль 2023'!$D$4:$D$968,$B11,'июль 2023'!$J$4:$J$968,K$1)</f>
        <v>0</v>
      </c>
      <c r="L11" s="198">
        <f>SUMIFS('июль 2023'!$G$4:$G$968,'июль 2023'!$D$4:$D$968,$B11,'июль 2023'!$J$4:$J$968,L$1)</f>
        <v>0</v>
      </c>
      <c r="M11" s="198">
        <f>SUMIFS('июль 2023'!$G$4:$G$968,'июль 2023'!$D$4:$D$968,$B11,'июль 2023'!$J$4:$J$968,M$1)</f>
        <v>0</v>
      </c>
      <c r="N11" s="198">
        <f>SUMIFS('июль 2023'!$G$4:$G$968,'июль 2023'!$D$4:$D$968,$B11,'июль 2023'!$J$4:$J$968,N$1)</f>
        <v>0</v>
      </c>
      <c r="O11" s="198">
        <f>SUMIFS('июль 2023'!$G$4:$G$968,'июль 2023'!$D$4:$D$968,$B11,'июль 2023'!$J$4:$J$968,O$1)</f>
        <v>0</v>
      </c>
      <c r="P11" s="198">
        <f>SUMIFS('июль 2023'!$G$4:$G$968,'июль 2023'!$D$4:$D$968,$B11,'июль 2023'!$J$4:$J$968,P$1)</f>
        <v>0</v>
      </c>
      <c r="Q11" s="198">
        <f>SUMIFS('июль 2023'!$G$4:$G$968,'июль 2023'!$D$4:$D$968,$B11,'июль 2023'!$J$4:$J$968,Q$1)</f>
        <v>0</v>
      </c>
      <c r="R11" s="198">
        <f>SUMIFS('июль 2023'!$G$4:$G$968,'июль 2023'!$D$4:$D$968,$B11,'июль 2023'!$J$4:$J$968,R$1)</f>
        <v>0</v>
      </c>
      <c r="S11" s="198">
        <f>SUMIFS('июль 2023'!$G$4:$G$968,'июль 2023'!$D$4:$D$968,$B11,'июль 2023'!$J$4:$J$968,S$1)</f>
        <v>0</v>
      </c>
      <c r="T11" s="198">
        <f>SUMIFS('июль 2023'!$G$4:$G$968,'июль 2023'!$D$4:$D$968,$B11,'июль 2023'!$J$4:$J$968,T$1)</f>
        <v>0</v>
      </c>
      <c r="U11" s="198">
        <f>SUMIFS('июль 2023'!$G$4:$G$968,'июль 2023'!$D$4:$D$968,$B11,'июль 2023'!$J$4:$J$968,U$1)</f>
        <v>0</v>
      </c>
      <c r="V11" s="198">
        <f>SUMIFS('июль 2023'!$G$4:$G$968,'июль 2023'!$D$4:$D$968,$B11,'июль 2023'!$J$4:$J$968,V$1)</f>
        <v>0</v>
      </c>
      <c r="W11" s="198">
        <f>SUMIFS('июль 2023'!$G$4:$G$968,'июль 2023'!$D$4:$D$968,$B11,'июль 2023'!$J$4:$J$968,W$1)</f>
        <v>0</v>
      </c>
      <c r="X11" s="198">
        <f>SUMIFS('июль 2023'!$G$4:$G$968,'июль 2023'!$D$4:$D$968,$B11,'июль 2023'!$J$4:$J$968,X$1)</f>
        <v>0</v>
      </c>
      <c r="Y11" s="198">
        <f>SUMIFS('июль 2023'!$G$4:$G$968,'июль 2023'!$D$4:$D$968,$B11,'июль 2023'!$J$4:$J$968,Y$1)</f>
        <v>0</v>
      </c>
      <c r="Z11" s="198">
        <f>SUMIFS('июль 2023'!$G$4:$G$968,'июль 2023'!$D$4:$D$968,$B11,'июль 2023'!$J$4:$J$968,Z$1)</f>
        <v>0</v>
      </c>
      <c r="AA11" s="198">
        <f>SUMIFS('июль 2023'!$G$4:$G$968,'июль 2023'!$D$4:$D$968,$B11,'июль 2023'!$J$4:$J$968,AA$1)</f>
        <v>0</v>
      </c>
      <c r="AB11" s="198">
        <f>SUMIFS('июль 2023'!$G$4:$G$968,'июль 2023'!$D$4:$D$968,$B11,'июль 2023'!$J$4:$J$968,AB$1)</f>
        <v>0</v>
      </c>
      <c r="AC11" s="198">
        <f>SUMIFS('июль 2023'!$G$4:$G$968,'июль 2023'!$D$4:$D$968,$B11,'июль 2023'!$J$4:$J$968,AC$1)</f>
        <v>0</v>
      </c>
      <c r="AD11" s="198">
        <f>SUMIFS('июль 2023'!$G$4:$G$968,'июль 2023'!$D$4:$D$968,$B11,'июль 2023'!$J$4:$J$968,AD$1)</f>
        <v>0</v>
      </c>
      <c r="AE11" s="198">
        <f>SUMIFS('июль 2023'!$G$4:$G$968,'июль 2023'!$D$4:$D$968,$B11,'июль 2023'!$J$4:$J$968,AE$1)</f>
        <v>0</v>
      </c>
      <c r="AF11" s="198">
        <f>SUMIFS('июль 2023'!$G$4:$G$968,'июль 2023'!$D$4:$D$968,$B11,'июль 2023'!$J$4:$J$968,AF$1)</f>
        <v>0</v>
      </c>
      <c r="AG11" s="198">
        <f>SUMIFS('июль 2023'!$G$4:$G$968,'июль 2023'!$D$4:$D$968,$B11,'июль 2023'!$J$4:$J$968,AG$1)</f>
        <v>0</v>
      </c>
      <c r="AH11" s="198">
        <f>SUMIFS('июль 2023'!$G$4:$G$968,'июль 2023'!$D$4:$D$968,$B11,'июль 2023'!$J$4:$J$968,AH$1)</f>
        <v>0</v>
      </c>
      <c r="AI11" s="170">
        <f t="shared" si="1"/>
        <v>0</v>
      </c>
    </row>
    <row r="12" spans="2:35" ht="15" customHeight="1" x14ac:dyDescent="0.25">
      <c r="B12" s="202" t="s">
        <v>127</v>
      </c>
      <c r="C12" s="203">
        <v>25</v>
      </c>
      <c r="D12" s="198">
        <f>SUMIFS('июль 2023'!$G$4:$G$968,'июль 2023'!$D$4:$D$968,$B12,'июль 2023'!$J$4:$J$968,D$1)</f>
        <v>0</v>
      </c>
      <c r="E12" s="198">
        <f>SUMIFS('июль 2023'!$G$4:$G$968,'июль 2023'!$D$4:$D$968,$B12,'июль 2023'!$J$4:$J$968,E$1)</f>
        <v>0</v>
      </c>
      <c r="F12" s="198">
        <f>SUMIFS('июль 2023'!$G$4:$G$968,'июль 2023'!$D$4:$D$968,$B12,'июль 2023'!$J$4:$J$968,F$1)</f>
        <v>0</v>
      </c>
      <c r="G12" s="198">
        <f>SUMIFS('июль 2023'!$G$4:$G$968,'июль 2023'!$D$4:$D$968,$B12,'июль 2023'!$J$4:$J$968,G$1)</f>
        <v>0</v>
      </c>
      <c r="H12" s="198">
        <f>SUMIFS('июль 2023'!$G$4:$G$968,'июль 2023'!$D$4:$D$968,$B12,'июль 2023'!$J$4:$J$968,H$1)</f>
        <v>0</v>
      </c>
      <c r="I12" s="198">
        <f>SUMIFS('июль 2023'!$G$4:$G$968,'июль 2023'!$D$4:$D$968,$B12,'июль 2023'!$J$4:$J$968,I$1)</f>
        <v>0</v>
      </c>
      <c r="J12" s="198">
        <f>SUMIFS('июль 2023'!$G$4:$G$968,'июль 2023'!$D$4:$D$968,$B12,'июль 2023'!$J$4:$J$968,J$1)</f>
        <v>0</v>
      </c>
      <c r="K12" s="198">
        <f>SUMIFS('июль 2023'!$G$4:$G$968,'июль 2023'!$D$4:$D$968,$B12,'июль 2023'!$J$4:$J$968,K$1)</f>
        <v>0</v>
      </c>
      <c r="L12" s="198">
        <f>SUMIFS('июль 2023'!$G$4:$G$968,'июль 2023'!$D$4:$D$968,$B12,'июль 2023'!$J$4:$J$968,L$1)</f>
        <v>0</v>
      </c>
      <c r="M12" s="198">
        <f>SUMIFS('июль 2023'!$G$4:$G$968,'июль 2023'!$D$4:$D$968,$B12,'июль 2023'!$J$4:$J$968,M$1)</f>
        <v>0</v>
      </c>
      <c r="N12" s="198">
        <f>SUMIFS('июль 2023'!$G$4:$G$968,'июль 2023'!$D$4:$D$968,$B12,'июль 2023'!$J$4:$J$968,N$1)</f>
        <v>0</v>
      </c>
      <c r="O12" s="198">
        <f>SUMIFS('июль 2023'!$G$4:$G$968,'июль 2023'!$D$4:$D$968,$B12,'июль 2023'!$J$4:$J$968,O$1)</f>
        <v>0</v>
      </c>
      <c r="P12" s="198">
        <f>SUMIFS('июль 2023'!$G$4:$G$968,'июль 2023'!$D$4:$D$968,$B12,'июль 2023'!$J$4:$J$968,P$1)</f>
        <v>0</v>
      </c>
      <c r="Q12" s="198">
        <f>SUMIFS('июль 2023'!$G$4:$G$968,'июль 2023'!$D$4:$D$968,$B12,'июль 2023'!$J$4:$J$968,Q$1)</f>
        <v>0</v>
      </c>
      <c r="R12" s="198">
        <f>SUMIFS('июль 2023'!$G$4:$G$968,'июль 2023'!$D$4:$D$968,$B12,'июль 2023'!$J$4:$J$968,R$1)</f>
        <v>0</v>
      </c>
      <c r="S12" s="198">
        <f>SUMIFS('июль 2023'!$G$4:$G$968,'июль 2023'!$D$4:$D$968,$B12,'июль 2023'!$J$4:$J$968,S$1)</f>
        <v>0</v>
      </c>
      <c r="T12" s="198">
        <f>SUMIFS('июль 2023'!$G$4:$G$968,'июль 2023'!$D$4:$D$968,$B12,'июль 2023'!$J$4:$J$968,T$1)</f>
        <v>0</v>
      </c>
      <c r="U12" s="198">
        <f>SUMIFS('июль 2023'!$G$4:$G$968,'июль 2023'!$D$4:$D$968,$B12,'июль 2023'!$J$4:$J$968,U$1)</f>
        <v>0</v>
      </c>
      <c r="V12" s="198">
        <f>SUMIFS('июль 2023'!$G$4:$G$968,'июль 2023'!$D$4:$D$968,$B12,'июль 2023'!$J$4:$J$968,V$1)</f>
        <v>0</v>
      </c>
      <c r="W12" s="198">
        <f>SUMIFS('июль 2023'!$G$4:$G$968,'июль 2023'!$D$4:$D$968,$B12,'июль 2023'!$J$4:$J$968,W$1)</f>
        <v>0</v>
      </c>
      <c r="X12" s="198">
        <f>SUMIFS('июль 2023'!$G$4:$G$968,'июль 2023'!$D$4:$D$968,$B12,'июль 2023'!$J$4:$J$968,X$1)</f>
        <v>0</v>
      </c>
      <c r="Y12" s="198">
        <f>SUMIFS('июль 2023'!$G$4:$G$968,'июль 2023'!$D$4:$D$968,$B12,'июль 2023'!$J$4:$J$968,Y$1)</f>
        <v>0</v>
      </c>
      <c r="Z12" s="198">
        <f>SUMIFS('июль 2023'!$G$4:$G$968,'июль 2023'!$D$4:$D$968,$B12,'июль 2023'!$J$4:$J$968,Z$1)</f>
        <v>0</v>
      </c>
      <c r="AA12" s="198">
        <f>SUMIFS('июль 2023'!$G$4:$G$968,'июль 2023'!$D$4:$D$968,$B12,'июль 2023'!$J$4:$J$968,AA$1)</f>
        <v>0</v>
      </c>
      <c r="AB12" s="198">
        <f>SUMIFS('июль 2023'!$G$4:$G$968,'июль 2023'!$D$4:$D$968,$B12,'июль 2023'!$J$4:$J$968,AB$1)</f>
        <v>0</v>
      </c>
      <c r="AC12" s="198">
        <f>SUMIFS('июль 2023'!$G$4:$G$968,'июль 2023'!$D$4:$D$968,$B12,'июль 2023'!$J$4:$J$968,AC$1)</f>
        <v>0</v>
      </c>
      <c r="AD12" s="198">
        <f>SUMIFS('июль 2023'!$G$4:$G$968,'июль 2023'!$D$4:$D$968,$B12,'июль 2023'!$J$4:$J$968,AD$1)</f>
        <v>0</v>
      </c>
      <c r="AE12" s="198">
        <f>SUMIFS('июль 2023'!$G$4:$G$968,'июль 2023'!$D$4:$D$968,$B12,'июль 2023'!$J$4:$J$968,AE$1)</f>
        <v>0</v>
      </c>
      <c r="AF12" s="198">
        <f>SUMIFS('июль 2023'!$G$4:$G$968,'июль 2023'!$D$4:$D$968,$B12,'июль 2023'!$J$4:$J$968,AF$1)</f>
        <v>0</v>
      </c>
      <c r="AG12" s="198">
        <f>SUMIFS('июль 2023'!$G$4:$G$968,'июль 2023'!$D$4:$D$968,$B12,'июль 2023'!$J$4:$J$968,AG$1)</f>
        <v>0</v>
      </c>
      <c r="AH12" s="198">
        <f>SUMIFS('июль 2023'!$G$4:$G$968,'июль 2023'!$D$4:$D$968,$B12,'июль 2023'!$J$4:$J$968,AH$1)</f>
        <v>0</v>
      </c>
      <c r="AI12" s="170">
        <f t="shared" si="1"/>
        <v>0</v>
      </c>
    </row>
    <row r="13" spans="2:35" ht="15" customHeight="1" x14ac:dyDescent="0.25">
      <c r="B13" s="202" t="s">
        <v>86</v>
      </c>
      <c r="C13" s="203">
        <v>22.7</v>
      </c>
      <c r="D13" s="198">
        <f>SUMIFS('июль 2023'!$G$4:$G$968,'июль 2023'!$D$4:$D$968,$B13,'июль 2023'!$J$4:$J$968,D$1)</f>
        <v>0</v>
      </c>
      <c r="E13" s="198">
        <f>SUMIFS('июль 2023'!$G$4:$G$968,'июль 2023'!$D$4:$D$968,$B13,'июль 2023'!$J$4:$J$968,E$1)</f>
        <v>0</v>
      </c>
      <c r="F13" s="198">
        <f>SUMIFS('июль 2023'!$G$4:$G$968,'июль 2023'!$D$4:$D$968,$B13,'июль 2023'!$J$4:$J$968,F$1)</f>
        <v>480</v>
      </c>
      <c r="G13" s="198">
        <f>SUMIFS('июль 2023'!$G$4:$G$968,'июль 2023'!$D$4:$D$968,$B13,'июль 2023'!$J$4:$J$968,G$1)</f>
        <v>800</v>
      </c>
      <c r="H13" s="198">
        <f>SUMIFS('июль 2023'!$G$4:$G$968,'июль 2023'!$D$4:$D$968,$B13,'июль 2023'!$J$4:$J$968,H$1)</f>
        <v>0</v>
      </c>
      <c r="I13" s="198">
        <f>SUMIFS('июль 2023'!$G$4:$G$968,'июль 2023'!$D$4:$D$968,$B13,'июль 2023'!$J$4:$J$968,I$1)</f>
        <v>0</v>
      </c>
      <c r="J13" s="198">
        <f>SUMIFS('июль 2023'!$G$4:$G$968,'июль 2023'!$D$4:$D$968,$B13,'июль 2023'!$J$4:$J$968,J$1)</f>
        <v>800</v>
      </c>
      <c r="K13" s="198">
        <f>SUMIFS('июль 2023'!$G$4:$G$968,'июль 2023'!$D$4:$D$968,$B13,'июль 2023'!$J$4:$J$968,K$1)</f>
        <v>0</v>
      </c>
      <c r="L13" s="198">
        <f>SUMIFS('июль 2023'!$G$4:$G$968,'июль 2023'!$D$4:$D$968,$B13,'июль 2023'!$J$4:$J$968,L$1)</f>
        <v>0</v>
      </c>
      <c r="M13" s="198">
        <f>SUMIFS('июль 2023'!$G$4:$G$968,'июль 2023'!$D$4:$D$968,$B13,'июль 2023'!$J$4:$J$968,M$1)</f>
        <v>0</v>
      </c>
      <c r="N13" s="198">
        <f>SUMIFS('июль 2023'!$G$4:$G$968,'июль 2023'!$D$4:$D$968,$B13,'июль 2023'!$J$4:$J$968,N$1)</f>
        <v>0</v>
      </c>
      <c r="O13" s="198">
        <f>SUMIFS('июль 2023'!$G$4:$G$968,'июль 2023'!$D$4:$D$968,$B13,'июль 2023'!$J$4:$J$968,O$1)</f>
        <v>0</v>
      </c>
      <c r="P13" s="198">
        <f>SUMIFS('июль 2023'!$G$4:$G$968,'июль 2023'!$D$4:$D$968,$B13,'июль 2023'!$J$4:$J$968,P$1)</f>
        <v>0</v>
      </c>
      <c r="Q13" s="198">
        <f>SUMIFS('июль 2023'!$G$4:$G$968,'июль 2023'!$D$4:$D$968,$B13,'июль 2023'!$J$4:$J$968,Q$1)</f>
        <v>0</v>
      </c>
      <c r="R13" s="198">
        <f>SUMIFS('июль 2023'!$G$4:$G$968,'июль 2023'!$D$4:$D$968,$B13,'июль 2023'!$J$4:$J$968,R$1)</f>
        <v>0</v>
      </c>
      <c r="S13" s="198">
        <f>SUMIFS('июль 2023'!$G$4:$G$968,'июль 2023'!$D$4:$D$968,$B13,'июль 2023'!$J$4:$J$968,S$1)</f>
        <v>0</v>
      </c>
      <c r="T13" s="198">
        <f>SUMIFS('июль 2023'!$G$4:$G$968,'июль 2023'!$D$4:$D$968,$B13,'июль 2023'!$J$4:$J$968,T$1)</f>
        <v>1600</v>
      </c>
      <c r="U13" s="198">
        <f>SUMIFS('июль 2023'!$G$4:$G$968,'июль 2023'!$D$4:$D$968,$B13,'июль 2023'!$J$4:$J$968,U$1)</f>
        <v>0</v>
      </c>
      <c r="V13" s="198">
        <f>SUMIFS('июль 2023'!$G$4:$G$968,'июль 2023'!$D$4:$D$968,$B13,'июль 2023'!$J$4:$J$968,V$1)</f>
        <v>0</v>
      </c>
      <c r="W13" s="198">
        <f>SUMIFS('июль 2023'!$G$4:$G$968,'июль 2023'!$D$4:$D$968,$B13,'июль 2023'!$J$4:$J$968,W$1)</f>
        <v>0</v>
      </c>
      <c r="X13" s="198">
        <f>SUMIFS('июль 2023'!$G$4:$G$968,'июль 2023'!$D$4:$D$968,$B13,'июль 2023'!$J$4:$J$968,X$1)</f>
        <v>0</v>
      </c>
      <c r="Y13" s="198">
        <f>SUMIFS('июль 2023'!$G$4:$G$968,'июль 2023'!$D$4:$D$968,$B13,'июль 2023'!$J$4:$J$968,Y$1)</f>
        <v>0</v>
      </c>
      <c r="Z13" s="198">
        <f>SUMIFS('июль 2023'!$G$4:$G$968,'июль 2023'!$D$4:$D$968,$B13,'июль 2023'!$J$4:$J$968,Z$1)</f>
        <v>0</v>
      </c>
      <c r="AA13" s="198">
        <f>SUMIFS('июль 2023'!$G$4:$G$968,'июль 2023'!$D$4:$D$968,$B13,'июль 2023'!$J$4:$J$968,AA$1)</f>
        <v>0</v>
      </c>
      <c r="AB13" s="198">
        <f>SUMIFS('июль 2023'!$G$4:$G$968,'июль 2023'!$D$4:$D$968,$B13,'июль 2023'!$J$4:$J$968,AB$1)</f>
        <v>0</v>
      </c>
      <c r="AC13" s="198">
        <f>SUMIFS('июль 2023'!$G$4:$G$968,'июль 2023'!$D$4:$D$968,$B13,'июль 2023'!$J$4:$J$968,AC$1)</f>
        <v>0</v>
      </c>
      <c r="AD13" s="198">
        <f>SUMIFS('июль 2023'!$G$4:$G$968,'июль 2023'!$D$4:$D$968,$B13,'июль 2023'!$J$4:$J$968,AD$1)</f>
        <v>0</v>
      </c>
      <c r="AE13" s="198">
        <f>SUMIFS('июль 2023'!$G$4:$G$968,'июль 2023'!$D$4:$D$968,$B13,'июль 2023'!$J$4:$J$968,AE$1)</f>
        <v>0</v>
      </c>
      <c r="AF13" s="198">
        <f>SUMIFS('июль 2023'!$G$4:$G$968,'июль 2023'!$D$4:$D$968,$B13,'июль 2023'!$J$4:$J$968,AF$1)</f>
        <v>0</v>
      </c>
      <c r="AG13" s="198">
        <f>SUMIFS('июль 2023'!$G$4:$G$968,'июль 2023'!$D$4:$D$968,$B13,'июль 2023'!$J$4:$J$968,AG$1)</f>
        <v>0</v>
      </c>
      <c r="AH13" s="198">
        <f>SUMIFS('июль 2023'!$G$4:$G$968,'июль 2023'!$D$4:$D$968,$B13,'июль 2023'!$J$4:$J$968,AH$1)</f>
        <v>0</v>
      </c>
      <c r="AI13" s="170">
        <f t="shared" si="1"/>
        <v>3680</v>
      </c>
    </row>
    <row r="14" spans="2:35" ht="15" customHeight="1" x14ac:dyDescent="0.25">
      <c r="B14" s="199" t="s">
        <v>2103</v>
      </c>
      <c r="C14" s="200">
        <v>25</v>
      </c>
      <c r="D14" s="198">
        <f>SUMIFS('июль 2023'!$G$4:$G$968,'июль 2023'!$D$4:$D$968,$B14,'июль 2023'!$J$4:$J$968,D$1)</f>
        <v>0</v>
      </c>
      <c r="E14" s="198">
        <f>SUMIFS('июль 2023'!$G$4:$G$968,'июль 2023'!$D$4:$D$968,$B14,'июль 2023'!$J$4:$J$968,E$1)</f>
        <v>0</v>
      </c>
      <c r="F14" s="198">
        <f>SUMIFS('июль 2023'!$G$4:$G$968,'июль 2023'!$D$4:$D$968,$B14,'июль 2023'!$J$4:$J$968,F$1)</f>
        <v>0</v>
      </c>
      <c r="G14" s="198">
        <f>SUMIFS('июль 2023'!$G$4:$G$968,'июль 2023'!$D$4:$D$968,$B14,'июль 2023'!$J$4:$J$968,G$1)</f>
        <v>0</v>
      </c>
      <c r="H14" s="198">
        <f>SUMIFS('июль 2023'!$G$4:$G$968,'июль 2023'!$D$4:$D$968,$B14,'июль 2023'!$J$4:$J$968,H$1)</f>
        <v>0</v>
      </c>
      <c r="I14" s="198">
        <f>SUMIFS('июль 2023'!$G$4:$G$968,'июль 2023'!$D$4:$D$968,$B14,'июль 2023'!$J$4:$J$968,I$1)</f>
        <v>0</v>
      </c>
      <c r="J14" s="198">
        <f>SUMIFS('июль 2023'!$G$4:$G$968,'июль 2023'!$D$4:$D$968,$B14,'июль 2023'!$J$4:$J$968,J$1)</f>
        <v>0</v>
      </c>
      <c r="K14" s="198">
        <f>SUMIFS('июль 2023'!$G$4:$G$968,'июль 2023'!$D$4:$D$968,$B14,'июль 2023'!$J$4:$J$968,K$1)</f>
        <v>0</v>
      </c>
      <c r="L14" s="198">
        <f>SUMIFS('июль 2023'!$G$4:$G$968,'июль 2023'!$D$4:$D$968,$B14,'июль 2023'!$J$4:$J$968,L$1)</f>
        <v>0</v>
      </c>
      <c r="M14" s="198">
        <f>SUMIFS('июль 2023'!$G$4:$G$968,'июль 2023'!$D$4:$D$968,$B14,'июль 2023'!$J$4:$J$968,M$1)</f>
        <v>0</v>
      </c>
      <c r="N14" s="198">
        <f>SUMIFS('июль 2023'!$G$4:$G$968,'июль 2023'!$D$4:$D$968,$B14,'июль 2023'!$J$4:$J$968,N$1)</f>
        <v>0</v>
      </c>
      <c r="O14" s="198">
        <f>SUMIFS('июль 2023'!$G$4:$G$968,'июль 2023'!$D$4:$D$968,$B14,'июль 2023'!$J$4:$J$968,O$1)</f>
        <v>0</v>
      </c>
      <c r="P14" s="198">
        <f>SUMIFS('июль 2023'!$G$4:$G$968,'июль 2023'!$D$4:$D$968,$B14,'июль 2023'!$J$4:$J$968,P$1)</f>
        <v>0</v>
      </c>
      <c r="Q14" s="198">
        <f>SUMIFS('июль 2023'!$G$4:$G$968,'июль 2023'!$D$4:$D$968,$B14,'июль 2023'!$J$4:$J$968,Q$1)</f>
        <v>0</v>
      </c>
      <c r="R14" s="198">
        <f>SUMIFS('июль 2023'!$G$4:$G$968,'июль 2023'!$D$4:$D$968,$B14,'июль 2023'!$J$4:$J$968,R$1)</f>
        <v>0</v>
      </c>
      <c r="S14" s="198">
        <f>SUMIFS('июль 2023'!$G$4:$G$968,'июль 2023'!$D$4:$D$968,$B14,'июль 2023'!$J$4:$J$968,S$1)</f>
        <v>0</v>
      </c>
      <c r="T14" s="198">
        <f>SUMIFS('июль 2023'!$G$4:$G$968,'июль 2023'!$D$4:$D$968,$B14,'июль 2023'!$J$4:$J$968,T$1)</f>
        <v>0</v>
      </c>
      <c r="U14" s="198">
        <f>SUMIFS('июль 2023'!$G$4:$G$968,'июль 2023'!$D$4:$D$968,$B14,'июль 2023'!$J$4:$J$968,U$1)</f>
        <v>0</v>
      </c>
      <c r="V14" s="198">
        <f>SUMIFS('июль 2023'!$G$4:$G$968,'июль 2023'!$D$4:$D$968,$B14,'июль 2023'!$J$4:$J$968,V$1)</f>
        <v>0</v>
      </c>
      <c r="W14" s="198">
        <f>SUMIFS('июль 2023'!$G$4:$G$968,'июль 2023'!$D$4:$D$968,$B14,'июль 2023'!$J$4:$J$968,W$1)</f>
        <v>0</v>
      </c>
      <c r="X14" s="198">
        <f>SUMIFS('июль 2023'!$G$4:$G$968,'июль 2023'!$D$4:$D$968,$B14,'июль 2023'!$J$4:$J$968,X$1)</f>
        <v>0</v>
      </c>
      <c r="Y14" s="198">
        <f>SUMIFS('июль 2023'!$G$4:$G$968,'июль 2023'!$D$4:$D$968,$B14,'июль 2023'!$J$4:$J$968,Y$1)</f>
        <v>0</v>
      </c>
      <c r="Z14" s="198">
        <f>SUMIFS('июль 2023'!$G$4:$G$968,'июль 2023'!$D$4:$D$968,$B14,'июль 2023'!$J$4:$J$968,Z$1)</f>
        <v>0</v>
      </c>
      <c r="AA14" s="198">
        <f>SUMIFS('июль 2023'!$G$4:$G$968,'июль 2023'!$D$4:$D$968,$B14,'июль 2023'!$J$4:$J$968,AA$1)</f>
        <v>0</v>
      </c>
      <c r="AB14" s="198">
        <f>SUMIFS('июль 2023'!$G$4:$G$968,'июль 2023'!$D$4:$D$968,$B14,'июль 2023'!$J$4:$J$968,AB$1)</f>
        <v>0</v>
      </c>
      <c r="AC14" s="198">
        <f>SUMIFS('июль 2023'!$G$4:$G$968,'июль 2023'!$D$4:$D$968,$B14,'июль 2023'!$J$4:$J$968,AC$1)</f>
        <v>0</v>
      </c>
      <c r="AD14" s="198">
        <f>SUMIFS('июль 2023'!$G$4:$G$968,'июль 2023'!$D$4:$D$968,$B14,'июль 2023'!$J$4:$J$968,AD$1)</f>
        <v>0</v>
      </c>
      <c r="AE14" s="198">
        <f>SUMIFS('июль 2023'!$G$4:$G$968,'июль 2023'!$D$4:$D$968,$B14,'июль 2023'!$J$4:$J$968,AE$1)</f>
        <v>0</v>
      </c>
      <c r="AF14" s="198">
        <f>SUMIFS('июль 2023'!$G$4:$G$968,'июль 2023'!$D$4:$D$968,$B14,'июль 2023'!$J$4:$J$968,AF$1)</f>
        <v>0</v>
      </c>
      <c r="AG14" s="198">
        <f>SUMIFS('июль 2023'!$G$4:$G$968,'июль 2023'!$D$4:$D$968,$B14,'июль 2023'!$J$4:$J$968,AG$1)</f>
        <v>0</v>
      </c>
      <c r="AH14" s="198">
        <f>SUMIFS('июль 2023'!$G$4:$G$968,'июль 2023'!$D$4:$D$968,$B14,'июль 2023'!$J$4:$J$968,AH$1)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SUMIFS('июль 2023'!$G$4:$G$968,'июль 2023'!$D$4:$D$968,$B15,'июль 2023'!$J$4:$J$968,D$1)</f>
        <v>0</v>
      </c>
      <c r="E15" s="198">
        <f>SUMIFS('июль 2023'!$G$4:$G$968,'июль 2023'!$D$4:$D$968,$B15,'июль 2023'!$J$4:$J$968,E$1)</f>
        <v>0</v>
      </c>
      <c r="F15" s="198">
        <f>SUMIFS('июль 2023'!$G$4:$G$968,'июль 2023'!$D$4:$D$968,$B15,'июль 2023'!$J$4:$J$968,F$1)</f>
        <v>0</v>
      </c>
      <c r="G15" s="198">
        <f>SUMIFS('июль 2023'!$G$4:$G$968,'июль 2023'!$D$4:$D$968,$B15,'июль 2023'!$J$4:$J$968,G$1)</f>
        <v>0</v>
      </c>
      <c r="H15" s="198">
        <f>SUMIFS('июль 2023'!$G$4:$G$968,'июль 2023'!$D$4:$D$968,$B15,'июль 2023'!$J$4:$J$968,H$1)</f>
        <v>0</v>
      </c>
      <c r="I15" s="198">
        <f>SUMIFS('июль 2023'!$G$4:$G$968,'июль 2023'!$D$4:$D$968,$B15,'июль 2023'!$J$4:$J$968,I$1)</f>
        <v>0</v>
      </c>
      <c r="J15" s="198">
        <f>SUMIFS('июль 2023'!$G$4:$G$968,'июль 2023'!$D$4:$D$968,$B15,'июль 2023'!$J$4:$J$968,J$1)</f>
        <v>0</v>
      </c>
      <c r="K15" s="198">
        <f>SUMIFS('июль 2023'!$G$4:$G$968,'июль 2023'!$D$4:$D$968,$B15,'июль 2023'!$J$4:$J$968,K$1)</f>
        <v>0</v>
      </c>
      <c r="L15" s="198">
        <f>SUMIFS('июль 2023'!$G$4:$G$968,'июль 2023'!$D$4:$D$968,$B15,'июль 2023'!$J$4:$J$968,L$1)</f>
        <v>0</v>
      </c>
      <c r="M15" s="198">
        <f>SUMIFS('июль 2023'!$G$4:$G$968,'июль 2023'!$D$4:$D$968,$B15,'июль 2023'!$J$4:$J$968,M$1)</f>
        <v>0</v>
      </c>
      <c r="N15" s="198">
        <f>SUMIFS('июль 2023'!$G$4:$G$968,'июль 2023'!$D$4:$D$968,$B15,'июль 2023'!$J$4:$J$968,N$1)</f>
        <v>0</v>
      </c>
      <c r="O15" s="198">
        <f>SUMIFS('июль 2023'!$G$4:$G$968,'июль 2023'!$D$4:$D$968,$B15,'июль 2023'!$J$4:$J$968,O$1)</f>
        <v>0</v>
      </c>
      <c r="P15" s="198">
        <f>SUMIFS('июль 2023'!$G$4:$G$968,'июль 2023'!$D$4:$D$968,$B15,'июль 2023'!$J$4:$J$968,P$1)</f>
        <v>0</v>
      </c>
      <c r="Q15" s="198">
        <f>SUMIFS('июль 2023'!$G$4:$G$968,'июль 2023'!$D$4:$D$968,$B15,'июль 2023'!$J$4:$J$968,Q$1)</f>
        <v>0</v>
      </c>
      <c r="R15" s="198">
        <f>SUMIFS('июль 2023'!$G$4:$G$968,'июль 2023'!$D$4:$D$968,$B15,'июль 2023'!$J$4:$J$968,R$1)</f>
        <v>0</v>
      </c>
      <c r="S15" s="198">
        <f>SUMIFS('июль 2023'!$G$4:$G$968,'июль 2023'!$D$4:$D$968,$B15,'июль 2023'!$J$4:$J$968,S$1)</f>
        <v>0</v>
      </c>
      <c r="T15" s="198">
        <f>SUMIFS('июль 2023'!$G$4:$G$968,'июль 2023'!$D$4:$D$968,$B15,'июль 2023'!$J$4:$J$968,T$1)</f>
        <v>0</v>
      </c>
      <c r="U15" s="198">
        <f>SUMIFS('июль 2023'!$G$4:$G$968,'июль 2023'!$D$4:$D$968,$B15,'июль 2023'!$J$4:$J$968,U$1)</f>
        <v>0</v>
      </c>
      <c r="V15" s="198">
        <f>SUMIFS('июль 2023'!$G$4:$G$968,'июль 2023'!$D$4:$D$968,$B15,'июль 2023'!$J$4:$J$968,V$1)</f>
        <v>0</v>
      </c>
      <c r="W15" s="198">
        <f>SUMIFS('июль 2023'!$G$4:$G$968,'июль 2023'!$D$4:$D$968,$B15,'июль 2023'!$J$4:$J$968,W$1)</f>
        <v>0</v>
      </c>
      <c r="X15" s="198">
        <f>SUMIFS('июль 2023'!$G$4:$G$968,'июль 2023'!$D$4:$D$968,$B15,'июль 2023'!$J$4:$J$968,X$1)</f>
        <v>0</v>
      </c>
      <c r="Y15" s="198">
        <f>SUMIFS('июль 2023'!$G$4:$G$968,'июль 2023'!$D$4:$D$968,$B15,'июль 2023'!$J$4:$J$968,Y$1)</f>
        <v>0</v>
      </c>
      <c r="Z15" s="198">
        <f>SUMIFS('июль 2023'!$G$4:$G$968,'июль 2023'!$D$4:$D$968,$B15,'июль 2023'!$J$4:$J$968,Z$1)</f>
        <v>0</v>
      </c>
      <c r="AA15" s="198">
        <f>SUMIFS('июль 2023'!$G$4:$G$968,'июль 2023'!$D$4:$D$968,$B15,'июль 2023'!$J$4:$J$968,AA$1)</f>
        <v>0</v>
      </c>
      <c r="AB15" s="198">
        <f>SUMIFS('июль 2023'!$G$4:$G$968,'июль 2023'!$D$4:$D$968,$B15,'июль 2023'!$J$4:$J$968,AB$1)</f>
        <v>0</v>
      </c>
      <c r="AC15" s="198">
        <f>SUMIFS('июль 2023'!$G$4:$G$968,'июль 2023'!$D$4:$D$968,$B15,'июль 2023'!$J$4:$J$968,AC$1)</f>
        <v>0</v>
      </c>
      <c r="AD15" s="198">
        <f>SUMIFS('июль 2023'!$G$4:$G$968,'июль 2023'!$D$4:$D$968,$B15,'июль 2023'!$J$4:$J$968,AD$1)</f>
        <v>0</v>
      </c>
      <c r="AE15" s="198">
        <f>SUMIFS('июль 2023'!$G$4:$G$968,'июль 2023'!$D$4:$D$968,$B15,'июль 2023'!$J$4:$J$968,AE$1)</f>
        <v>0</v>
      </c>
      <c r="AF15" s="198">
        <f>SUMIFS('июль 2023'!$G$4:$G$968,'июль 2023'!$D$4:$D$968,$B15,'июль 2023'!$J$4:$J$968,AF$1)</f>
        <v>0</v>
      </c>
      <c r="AG15" s="198">
        <f>SUMIFS('июль 2023'!$G$4:$G$968,'июль 2023'!$D$4:$D$968,$B15,'июль 2023'!$J$4:$J$968,AG$1)</f>
        <v>0</v>
      </c>
      <c r="AH15" s="198">
        <f>SUMIFS('июль 2023'!$G$4:$G$968,'июль 2023'!$D$4:$D$968,$B15,'июль 2023'!$J$4:$J$968,AH$1)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SUMIFS('июль 2023'!$G$4:$G$968,'июль 2023'!$D$4:$D$968,$B16,'июль 2023'!$J$4:$J$968,D$1)</f>
        <v>0</v>
      </c>
      <c r="E16" s="198">
        <f>SUMIFS('июль 2023'!$G$4:$G$968,'июль 2023'!$D$4:$D$968,$B16,'июль 2023'!$J$4:$J$968,E$1)</f>
        <v>0</v>
      </c>
      <c r="F16" s="198">
        <f>SUMIFS('июль 2023'!$G$4:$G$968,'июль 2023'!$D$4:$D$968,$B16,'июль 2023'!$J$4:$J$968,F$1)</f>
        <v>0</v>
      </c>
      <c r="G16" s="198">
        <f>SUMIFS('июль 2023'!$G$4:$G$968,'июль 2023'!$D$4:$D$968,$B16,'июль 2023'!$J$4:$J$968,G$1)</f>
        <v>0</v>
      </c>
      <c r="H16" s="198">
        <f>SUMIFS('июль 2023'!$G$4:$G$968,'июль 2023'!$D$4:$D$968,$B16,'июль 2023'!$J$4:$J$968,H$1)</f>
        <v>0</v>
      </c>
      <c r="I16" s="198">
        <f>SUMIFS('июль 2023'!$G$4:$G$968,'июль 2023'!$D$4:$D$968,$B16,'июль 2023'!$J$4:$J$968,I$1)</f>
        <v>0</v>
      </c>
      <c r="J16" s="198">
        <f>SUMIFS('июль 2023'!$G$4:$G$968,'июль 2023'!$D$4:$D$968,$B16,'июль 2023'!$J$4:$J$968,J$1)</f>
        <v>0</v>
      </c>
      <c r="K16" s="198">
        <f>SUMIFS('июль 2023'!$G$4:$G$968,'июль 2023'!$D$4:$D$968,$B16,'июль 2023'!$J$4:$J$968,K$1)</f>
        <v>0</v>
      </c>
      <c r="L16" s="198">
        <f>SUMIFS('июль 2023'!$G$4:$G$968,'июль 2023'!$D$4:$D$968,$B16,'июль 2023'!$J$4:$J$968,L$1)</f>
        <v>0</v>
      </c>
      <c r="M16" s="198">
        <f>SUMIFS('июль 2023'!$G$4:$G$968,'июль 2023'!$D$4:$D$968,$B16,'июль 2023'!$J$4:$J$968,M$1)</f>
        <v>0</v>
      </c>
      <c r="N16" s="198">
        <f>SUMIFS('июль 2023'!$G$4:$G$968,'июль 2023'!$D$4:$D$968,$B16,'июль 2023'!$J$4:$J$968,N$1)</f>
        <v>0</v>
      </c>
      <c r="O16" s="198">
        <f>SUMIFS('июль 2023'!$G$4:$G$968,'июль 2023'!$D$4:$D$968,$B16,'июль 2023'!$J$4:$J$968,O$1)</f>
        <v>0</v>
      </c>
      <c r="P16" s="198">
        <f>SUMIFS('июль 2023'!$G$4:$G$968,'июль 2023'!$D$4:$D$968,$B16,'июль 2023'!$J$4:$J$968,P$1)</f>
        <v>0</v>
      </c>
      <c r="Q16" s="198">
        <f>SUMIFS('июль 2023'!$G$4:$G$968,'июль 2023'!$D$4:$D$968,$B16,'июль 2023'!$J$4:$J$968,Q$1)</f>
        <v>0</v>
      </c>
      <c r="R16" s="198">
        <f>SUMIFS('июль 2023'!$G$4:$G$968,'июль 2023'!$D$4:$D$968,$B16,'июль 2023'!$J$4:$J$968,R$1)</f>
        <v>0</v>
      </c>
      <c r="S16" s="198">
        <f>SUMIFS('июль 2023'!$G$4:$G$968,'июль 2023'!$D$4:$D$968,$B16,'июль 2023'!$J$4:$J$968,S$1)</f>
        <v>0</v>
      </c>
      <c r="T16" s="198">
        <f>SUMIFS('июль 2023'!$G$4:$G$968,'июль 2023'!$D$4:$D$968,$B16,'июль 2023'!$J$4:$J$968,T$1)</f>
        <v>0</v>
      </c>
      <c r="U16" s="198">
        <f>SUMIFS('июль 2023'!$G$4:$G$968,'июль 2023'!$D$4:$D$968,$B16,'июль 2023'!$J$4:$J$968,U$1)</f>
        <v>0</v>
      </c>
      <c r="V16" s="198">
        <f>SUMIFS('июль 2023'!$G$4:$G$968,'июль 2023'!$D$4:$D$968,$B16,'июль 2023'!$J$4:$J$968,V$1)</f>
        <v>0</v>
      </c>
      <c r="W16" s="198">
        <f>SUMIFS('июль 2023'!$G$4:$G$968,'июль 2023'!$D$4:$D$968,$B16,'июль 2023'!$J$4:$J$968,W$1)</f>
        <v>0</v>
      </c>
      <c r="X16" s="198">
        <f>SUMIFS('июль 2023'!$G$4:$G$968,'июль 2023'!$D$4:$D$968,$B16,'июль 2023'!$J$4:$J$968,X$1)</f>
        <v>0</v>
      </c>
      <c r="Y16" s="198">
        <f>SUMIFS('июль 2023'!$G$4:$G$968,'июль 2023'!$D$4:$D$968,$B16,'июль 2023'!$J$4:$J$968,Y$1)</f>
        <v>0</v>
      </c>
      <c r="Z16" s="198">
        <f>SUMIFS('июль 2023'!$G$4:$G$968,'июль 2023'!$D$4:$D$968,$B16,'июль 2023'!$J$4:$J$968,Z$1)</f>
        <v>0</v>
      </c>
      <c r="AA16" s="198">
        <f>SUMIFS('июль 2023'!$G$4:$G$968,'июль 2023'!$D$4:$D$968,$B16,'июль 2023'!$J$4:$J$968,AA$1)</f>
        <v>0</v>
      </c>
      <c r="AB16" s="198">
        <f>SUMIFS('июль 2023'!$G$4:$G$968,'июль 2023'!$D$4:$D$968,$B16,'июль 2023'!$J$4:$J$968,AB$1)</f>
        <v>0</v>
      </c>
      <c r="AC16" s="198">
        <f>SUMIFS('июль 2023'!$G$4:$G$968,'июль 2023'!$D$4:$D$968,$B16,'июль 2023'!$J$4:$J$968,AC$1)</f>
        <v>0</v>
      </c>
      <c r="AD16" s="198">
        <f>SUMIFS('июль 2023'!$G$4:$G$968,'июль 2023'!$D$4:$D$968,$B16,'июль 2023'!$J$4:$J$968,AD$1)</f>
        <v>0</v>
      </c>
      <c r="AE16" s="198">
        <f>SUMIFS('июль 2023'!$G$4:$G$968,'июль 2023'!$D$4:$D$968,$B16,'июль 2023'!$J$4:$J$968,AE$1)</f>
        <v>0</v>
      </c>
      <c r="AF16" s="198">
        <f>SUMIFS('июль 2023'!$G$4:$G$968,'июль 2023'!$D$4:$D$968,$B16,'июль 2023'!$J$4:$J$968,AF$1)</f>
        <v>0</v>
      </c>
      <c r="AG16" s="198">
        <f>SUMIFS('июль 2023'!$G$4:$G$968,'июль 2023'!$D$4:$D$968,$B16,'июль 2023'!$J$4:$J$968,AG$1)</f>
        <v>0</v>
      </c>
      <c r="AH16" s="198">
        <f>SUMIFS('июль 2023'!$G$4:$G$968,'июль 2023'!$D$4:$D$968,$B16,'июль 2023'!$J$4:$J$968,AH$1)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SUMIFS('июль 2023'!$G$4:$G$968,'июль 2023'!$D$4:$D$968,$B17,'июль 2023'!$J$4:$J$968,D$1)</f>
        <v>0</v>
      </c>
      <c r="E17" s="198">
        <f>SUMIFS('июль 2023'!$G$4:$G$968,'июль 2023'!$D$4:$D$968,$B17,'июль 2023'!$J$4:$J$968,E$1)</f>
        <v>0</v>
      </c>
      <c r="F17" s="198">
        <f>SUMIFS('июль 2023'!$G$4:$G$968,'июль 2023'!$D$4:$D$968,$B17,'июль 2023'!$J$4:$J$968,F$1)</f>
        <v>0</v>
      </c>
      <c r="G17" s="198">
        <f>SUMIFS('июль 2023'!$G$4:$G$968,'июль 2023'!$D$4:$D$968,$B17,'июль 2023'!$J$4:$J$968,G$1)</f>
        <v>0</v>
      </c>
      <c r="H17" s="198">
        <f>SUMIFS('июль 2023'!$G$4:$G$968,'июль 2023'!$D$4:$D$968,$B17,'июль 2023'!$J$4:$J$968,H$1)</f>
        <v>0</v>
      </c>
      <c r="I17" s="198">
        <f>SUMIFS('июль 2023'!$G$4:$G$968,'июль 2023'!$D$4:$D$968,$B17,'июль 2023'!$J$4:$J$968,I$1)</f>
        <v>0</v>
      </c>
      <c r="J17" s="198">
        <f>SUMIFS('июль 2023'!$G$4:$G$968,'июль 2023'!$D$4:$D$968,$B17,'июль 2023'!$J$4:$J$968,J$1)</f>
        <v>0</v>
      </c>
      <c r="K17" s="198">
        <f>SUMIFS('июль 2023'!$G$4:$G$968,'июль 2023'!$D$4:$D$968,$B17,'июль 2023'!$J$4:$J$968,K$1)</f>
        <v>0</v>
      </c>
      <c r="L17" s="198">
        <f>SUMIFS('июль 2023'!$G$4:$G$968,'июль 2023'!$D$4:$D$968,$B17,'июль 2023'!$J$4:$J$968,L$1)</f>
        <v>0</v>
      </c>
      <c r="M17" s="198">
        <f>SUMIFS('июль 2023'!$G$4:$G$968,'июль 2023'!$D$4:$D$968,$B17,'июль 2023'!$J$4:$J$968,M$1)</f>
        <v>0</v>
      </c>
      <c r="N17" s="198">
        <f>SUMIFS('июль 2023'!$G$4:$G$968,'июль 2023'!$D$4:$D$968,$B17,'июль 2023'!$J$4:$J$968,N$1)</f>
        <v>0</v>
      </c>
      <c r="O17" s="198">
        <f>SUMIFS('июль 2023'!$G$4:$G$968,'июль 2023'!$D$4:$D$968,$B17,'июль 2023'!$J$4:$J$968,O$1)</f>
        <v>0</v>
      </c>
      <c r="P17" s="198">
        <f>SUMIFS('июль 2023'!$G$4:$G$968,'июль 2023'!$D$4:$D$968,$B17,'июль 2023'!$J$4:$J$968,P$1)</f>
        <v>0</v>
      </c>
      <c r="Q17" s="198">
        <f>SUMIFS('июль 2023'!$G$4:$G$968,'июль 2023'!$D$4:$D$968,$B17,'июль 2023'!$J$4:$J$968,Q$1)</f>
        <v>0</v>
      </c>
      <c r="R17" s="198">
        <f>SUMIFS('июль 2023'!$G$4:$G$968,'июль 2023'!$D$4:$D$968,$B17,'июль 2023'!$J$4:$J$968,R$1)</f>
        <v>0</v>
      </c>
      <c r="S17" s="198">
        <f>SUMIFS('июль 2023'!$G$4:$G$968,'июль 2023'!$D$4:$D$968,$B17,'июль 2023'!$J$4:$J$968,S$1)</f>
        <v>0</v>
      </c>
      <c r="T17" s="198">
        <f>SUMIFS('июль 2023'!$G$4:$G$968,'июль 2023'!$D$4:$D$968,$B17,'июль 2023'!$J$4:$J$968,T$1)</f>
        <v>0</v>
      </c>
      <c r="U17" s="198">
        <f>SUMIFS('июль 2023'!$G$4:$G$968,'июль 2023'!$D$4:$D$968,$B17,'июль 2023'!$J$4:$J$968,U$1)</f>
        <v>0</v>
      </c>
      <c r="V17" s="198">
        <f>SUMIFS('июль 2023'!$G$4:$G$968,'июль 2023'!$D$4:$D$968,$B17,'июль 2023'!$J$4:$J$968,V$1)</f>
        <v>0</v>
      </c>
      <c r="W17" s="198">
        <f>SUMIFS('июль 2023'!$G$4:$G$968,'июль 2023'!$D$4:$D$968,$B17,'июль 2023'!$J$4:$J$968,W$1)</f>
        <v>0</v>
      </c>
      <c r="X17" s="198">
        <f>SUMIFS('июль 2023'!$G$4:$G$968,'июль 2023'!$D$4:$D$968,$B17,'июль 2023'!$J$4:$J$968,X$1)</f>
        <v>0</v>
      </c>
      <c r="Y17" s="198">
        <f>SUMIFS('июль 2023'!$G$4:$G$968,'июль 2023'!$D$4:$D$968,$B17,'июль 2023'!$J$4:$J$968,Y$1)</f>
        <v>0</v>
      </c>
      <c r="Z17" s="198">
        <f>SUMIFS('июль 2023'!$G$4:$G$968,'июль 2023'!$D$4:$D$968,$B17,'июль 2023'!$J$4:$J$968,Z$1)</f>
        <v>0</v>
      </c>
      <c r="AA17" s="198">
        <f>SUMIFS('июль 2023'!$G$4:$G$968,'июль 2023'!$D$4:$D$968,$B17,'июль 2023'!$J$4:$J$968,AA$1)</f>
        <v>0</v>
      </c>
      <c r="AB17" s="198">
        <f>SUMIFS('июль 2023'!$G$4:$G$968,'июль 2023'!$D$4:$D$968,$B17,'июль 2023'!$J$4:$J$968,AB$1)</f>
        <v>0</v>
      </c>
      <c r="AC17" s="198">
        <f>SUMIFS('июль 2023'!$G$4:$G$968,'июль 2023'!$D$4:$D$968,$B17,'июль 2023'!$J$4:$J$968,AC$1)</f>
        <v>0</v>
      </c>
      <c r="AD17" s="198">
        <f>SUMIFS('июль 2023'!$G$4:$G$968,'июль 2023'!$D$4:$D$968,$B17,'июль 2023'!$J$4:$J$968,AD$1)</f>
        <v>0</v>
      </c>
      <c r="AE17" s="198">
        <f>SUMIFS('июль 2023'!$G$4:$G$968,'июль 2023'!$D$4:$D$968,$B17,'июль 2023'!$J$4:$J$968,AE$1)</f>
        <v>0</v>
      </c>
      <c r="AF17" s="198">
        <f>SUMIFS('июль 2023'!$G$4:$G$968,'июль 2023'!$D$4:$D$968,$B17,'июль 2023'!$J$4:$J$968,AF$1)</f>
        <v>0</v>
      </c>
      <c r="AG17" s="198">
        <f>SUMIFS('июль 2023'!$G$4:$G$968,'июль 2023'!$D$4:$D$968,$B17,'июль 2023'!$J$4:$J$968,AG$1)</f>
        <v>0</v>
      </c>
      <c r="AH17" s="198">
        <f>SUMIFS('июль 2023'!$G$4:$G$968,'июль 2023'!$D$4:$D$968,$B17,'июль 2023'!$J$4:$J$968,AH$1)</f>
        <v>0</v>
      </c>
      <c r="AI17" s="170">
        <f t="shared" si="1"/>
        <v>0</v>
      </c>
    </row>
    <row r="18" spans="2:35" ht="15" customHeight="1" x14ac:dyDescent="0.25">
      <c r="B18" s="199" t="s">
        <v>2081</v>
      </c>
      <c r="C18" s="200">
        <v>25</v>
      </c>
      <c r="D18" s="198">
        <f>SUMIFS('июль 2023'!$G$4:$G$968,'июль 2023'!$D$4:$D$968,$B18,'июль 2023'!$J$4:$J$968,D$1)</f>
        <v>0</v>
      </c>
      <c r="E18" s="198">
        <f>SUMIFS('июль 2023'!$G$4:$G$968,'июль 2023'!$D$4:$D$968,$B18,'июль 2023'!$J$4:$J$968,E$1)</f>
        <v>0</v>
      </c>
      <c r="F18" s="198">
        <f>SUMIFS('июль 2023'!$G$4:$G$968,'июль 2023'!$D$4:$D$968,$B18,'июль 2023'!$J$4:$J$968,F$1)</f>
        <v>0</v>
      </c>
      <c r="G18" s="198">
        <f>SUMIFS('июль 2023'!$G$4:$G$968,'июль 2023'!$D$4:$D$968,$B18,'июль 2023'!$J$4:$J$968,G$1)</f>
        <v>0</v>
      </c>
      <c r="H18" s="198">
        <f>SUMIFS('июль 2023'!$G$4:$G$968,'июль 2023'!$D$4:$D$968,$B18,'июль 2023'!$J$4:$J$968,H$1)</f>
        <v>0</v>
      </c>
      <c r="I18" s="198">
        <f>SUMIFS('июль 2023'!$G$4:$G$968,'июль 2023'!$D$4:$D$968,$B18,'июль 2023'!$J$4:$J$968,I$1)</f>
        <v>0</v>
      </c>
      <c r="J18" s="198">
        <f>SUMIFS('июль 2023'!$G$4:$G$968,'июль 2023'!$D$4:$D$968,$B18,'июль 2023'!$J$4:$J$968,J$1)</f>
        <v>0</v>
      </c>
      <c r="K18" s="198">
        <f>SUMIFS('июль 2023'!$G$4:$G$968,'июль 2023'!$D$4:$D$968,$B18,'июль 2023'!$J$4:$J$968,K$1)</f>
        <v>0</v>
      </c>
      <c r="L18" s="198">
        <f>SUMIFS('июль 2023'!$G$4:$G$968,'июль 2023'!$D$4:$D$968,$B18,'июль 2023'!$J$4:$J$968,L$1)</f>
        <v>0</v>
      </c>
      <c r="M18" s="198">
        <f>SUMIFS('июль 2023'!$G$4:$G$968,'июль 2023'!$D$4:$D$968,$B18,'июль 2023'!$J$4:$J$968,M$1)</f>
        <v>0</v>
      </c>
      <c r="N18" s="198">
        <f>SUMIFS('июль 2023'!$G$4:$G$968,'июль 2023'!$D$4:$D$968,$B18,'июль 2023'!$J$4:$J$968,N$1)</f>
        <v>0</v>
      </c>
      <c r="O18" s="198">
        <f>SUMIFS('июль 2023'!$G$4:$G$968,'июль 2023'!$D$4:$D$968,$B18,'июль 2023'!$J$4:$J$968,O$1)</f>
        <v>0</v>
      </c>
      <c r="P18" s="198">
        <f>SUMIFS('июль 2023'!$G$4:$G$968,'июль 2023'!$D$4:$D$968,$B18,'июль 2023'!$J$4:$J$968,P$1)</f>
        <v>0</v>
      </c>
      <c r="Q18" s="198">
        <f>SUMIFS('июль 2023'!$G$4:$G$968,'июль 2023'!$D$4:$D$968,$B18,'июль 2023'!$J$4:$J$968,Q$1)</f>
        <v>0</v>
      </c>
      <c r="R18" s="198">
        <f>SUMIFS('июль 2023'!$G$4:$G$968,'июль 2023'!$D$4:$D$968,$B18,'июль 2023'!$J$4:$J$968,R$1)</f>
        <v>0</v>
      </c>
      <c r="S18" s="198">
        <f>SUMIFS('июль 2023'!$G$4:$G$968,'июль 2023'!$D$4:$D$968,$B18,'июль 2023'!$J$4:$J$968,S$1)</f>
        <v>0</v>
      </c>
      <c r="T18" s="198">
        <f>SUMIFS('июль 2023'!$G$4:$G$968,'июль 2023'!$D$4:$D$968,$B18,'июль 2023'!$J$4:$J$968,T$1)</f>
        <v>0</v>
      </c>
      <c r="U18" s="198">
        <f>SUMIFS('июль 2023'!$G$4:$G$968,'июль 2023'!$D$4:$D$968,$B18,'июль 2023'!$J$4:$J$968,U$1)</f>
        <v>0</v>
      </c>
      <c r="V18" s="198">
        <f>SUMIFS('июль 2023'!$G$4:$G$968,'июль 2023'!$D$4:$D$968,$B18,'июль 2023'!$J$4:$J$968,V$1)</f>
        <v>0</v>
      </c>
      <c r="W18" s="198">
        <f>SUMIFS('июль 2023'!$G$4:$G$968,'июль 2023'!$D$4:$D$968,$B18,'июль 2023'!$J$4:$J$968,W$1)</f>
        <v>0</v>
      </c>
      <c r="X18" s="198">
        <f>SUMIFS('июль 2023'!$G$4:$G$968,'июль 2023'!$D$4:$D$968,$B18,'июль 2023'!$J$4:$J$968,X$1)</f>
        <v>0</v>
      </c>
      <c r="Y18" s="198">
        <f>SUMIFS('июль 2023'!$G$4:$G$968,'июль 2023'!$D$4:$D$968,$B18,'июль 2023'!$J$4:$J$968,Y$1)</f>
        <v>0</v>
      </c>
      <c r="Z18" s="198">
        <f>SUMIFS('июль 2023'!$G$4:$G$968,'июль 2023'!$D$4:$D$968,$B18,'июль 2023'!$J$4:$J$968,Z$1)</f>
        <v>0</v>
      </c>
      <c r="AA18" s="198">
        <f>SUMIFS('июль 2023'!$G$4:$G$968,'июль 2023'!$D$4:$D$968,$B18,'июль 2023'!$J$4:$J$968,AA$1)</f>
        <v>0</v>
      </c>
      <c r="AB18" s="198">
        <f>SUMIFS('июль 2023'!$G$4:$G$968,'июль 2023'!$D$4:$D$968,$B18,'июль 2023'!$J$4:$J$968,AB$1)</f>
        <v>0</v>
      </c>
      <c r="AC18" s="198">
        <f>SUMIFS('июль 2023'!$G$4:$G$968,'июль 2023'!$D$4:$D$968,$B18,'июль 2023'!$J$4:$J$968,AC$1)</f>
        <v>0</v>
      </c>
      <c r="AD18" s="198">
        <f>SUMIFS('июль 2023'!$G$4:$G$968,'июль 2023'!$D$4:$D$968,$B18,'июль 2023'!$J$4:$J$968,AD$1)</f>
        <v>0</v>
      </c>
      <c r="AE18" s="198">
        <f>SUMIFS('июль 2023'!$G$4:$G$968,'июль 2023'!$D$4:$D$968,$B18,'июль 2023'!$J$4:$J$968,AE$1)</f>
        <v>0</v>
      </c>
      <c r="AF18" s="198">
        <f>SUMIFS('июль 2023'!$G$4:$G$968,'июль 2023'!$D$4:$D$968,$B18,'июль 2023'!$J$4:$J$968,AF$1)</f>
        <v>0</v>
      </c>
      <c r="AG18" s="198">
        <f>SUMIFS('июль 2023'!$G$4:$G$968,'июль 2023'!$D$4:$D$968,$B18,'июль 2023'!$J$4:$J$968,AG$1)</f>
        <v>0</v>
      </c>
      <c r="AH18" s="198">
        <f>SUMIFS('июль 2023'!$G$4:$G$968,'июль 2023'!$D$4:$D$968,$B18,'июль 2023'!$J$4:$J$968,AH$1)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SUMIFS('июль 2023'!$G$4:$G$968,'июль 2023'!$D$4:$D$968,$B19,'июль 2023'!$J$4:$J$968,D$1)</f>
        <v>0</v>
      </c>
      <c r="E19" s="198">
        <f>SUMIFS('июль 2023'!$G$4:$G$968,'июль 2023'!$D$4:$D$968,$B19,'июль 2023'!$J$4:$J$968,E$1)</f>
        <v>0</v>
      </c>
      <c r="F19" s="198">
        <f>SUMIFS('июль 2023'!$G$4:$G$968,'июль 2023'!$D$4:$D$968,$B19,'июль 2023'!$J$4:$J$968,F$1)</f>
        <v>0</v>
      </c>
      <c r="G19" s="198">
        <f>SUMIFS('июль 2023'!$G$4:$G$968,'июль 2023'!$D$4:$D$968,$B19,'июль 2023'!$J$4:$J$968,G$1)</f>
        <v>0</v>
      </c>
      <c r="H19" s="198">
        <f>SUMIFS('июль 2023'!$G$4:$G$968,'июль 2023'!$D$4:$D$968,$B19,'июль 2023'!$J$4:$J$968,H$1)</f>
        <v>0</v>
      </c>
      <c r="I19" s="198">
        <f>SUMIFS('июль 2023'!$G$4:$G$968,'июль 2023'!$D$4:$D$968,$B19,'июль 2023'!$J$4:$J$968,I$1)</f>
        <v>0</v>
      </c>
      <c r="J19" s="198">
        <f>SUMIFS('июль 2023'!$G$4:$G$968,'июль 2023'!$D$4:$D$968,$B19,'июль 2023'!$J$4:$J$968,J$1)</f>
        <v>0</v>
      </c>
      <c r="K19" s="198">
        <f>SUMIFS('июль 2023'!$G$4:$G$968,'июль 2023'!$D$4:$D$968,$B19,'июль 2023'!$J$4:$J$968,K$1)</f>
        <v>0</v>
      </c>
      <c r="L19" s="198">
        <f>SUMIFS('июль 2023'!$G$4:$G$968,'июль 2023'!$D$4:$D$968,$B19,'июль 2023'!$J$4:$J$968,L$1)</f>
        <v>0</v>
      </c>
      <c r="M19" s="198">
        <f>SUMIFS('июль 2023'!$G$4:$G$968,'июль 2023'!$D$4:$D$968,$B19,'июль 2023'!$J$4:$J$968,M$1)</f>
        <v>800</v>
      </c>
      <c r="N19" s="198">
        <f>SUMIFS('июль 2023'!$G$4:$G$968,'июль 2023'!$D$4:$D$968,$B19,'июль 2023'!$J$4:$J$968,N$1)</f>
        <v>800</v>
      </c>
      <c r="O19" s="198">
        <f>SUMIFS('июль 2023'!$G$4:$G$968,'июль 2023'!$D$4:$D$968,$B19,'июль 2023'!$J$4:$J$968,O$1)</f>
        <v>0</v>
      </c>
      <c r="P19" s="198">
        <f>SUMIFS('июль 2023'!$G$4:$G$968,'июль 2023'!$D$4:$D$968,$B19,'июль 2023'!$J$4:$J$968,P$1)</f>
        <v>0</v>
      </c>
      <c r="Q19" s="198">
        <f>SUMIFS('июль 2023'!$G$4:$G$968,'июль 2023'!$D$4:$D$968,$B19,'июль 2023'!$J$4:$J$968,Q$1)</f>
        <v>0</v>
      </c>
      <c r="R19" s="198">
        <f>SUMIFS('июль 2023'!$G$4:$G$968,'июль 2023'!$D$4:$D$968,$B19,'июль 2023'!$J$4:$J$968,R$1)</f>
        <v>0</v>
      </c>
      <c r="S19" s="198">
        <f>SUMIFS('июль 2023'!$G$4:$G$968,'июль 2023'!$D$4:$D$968,$B19,'июль 2023'!$J$4:$J$968,S$1)</f>
        <v>0</v>
      </c>
      <c r="T19" s="198">
        <f>SUMIFS('июль 2023'!$G$4:$G$968,'июль 2023'!$D$4:$D$968,$B19,'июль 2023'!$J$4:$J$968,T$1)</f>
        <v>0</v>
      </c>
      <c r="U19" s="198">
        <f>SUMIFS('июль 2023'!$G$4:$G$968,'июль 2023'!$D$4:$D$968,$B19,'июль 2023'!$J$4:$J$968,U$1)</f>
        <v>0</v>
      </c>
      <c r="V19" s="198">
        <f>SUMIFS('июль 2023'!$G$4:$G$968,'июль 2023'!$D$4:$D$968,$B19,'июль 2023'!$J$4:$J$968,V$1)</f>
        <v>800</v>
      </c>
      <c r="W19" s="198">
        <f>SUMIFS('июль 2023'!$G$4:$G$968,'июль 2023'!$D$4:$D$968,$B19,'июль 2023'!$J$4:$J$968,W$1)</f>
        <v>0</v>
      </c>
      <c r="X19" s="198">
        <f>SUMIFS('июль 2023'!$G$4:$G$968,'июль 2023'!$D$4:$D$968,$B19,'июль 2023'!$J$4:$J$968,X$1)</f>
        <v>0</v>
      </c>
      <c r="Y19" s="198">
        <f>SUMIFS('июль 2023'!$G$4:$G$968,'июль 2023'!$D$4:$D$968,$B19,'июль 2023'!$J$4:$J$968,Y$1)</f>
        <v>0</v>
      </c>
      <c r="Z19" s="198">
        <f>SUMIFS('июль 2023'!$G$4:$G$968,'июль 2023'!$D$4:$D$968,$B19,'июль 2023'!$J$4:$J$968,Z$1)</f>
        <v>0</v>
      </c>
      <c r="AA19" s="198">
        <f>SUMIFS('июль 2023'!$G$4:$G$968,'июль 2023'!$D$4:$D$968,$B19,'июль 2023'!$J$4:$J$968,AA$1)</f>
        <v>800</v>
      </c>
      <c r="AB19" s="198">
        <f>SUMIFS('июль 2023'!$G$4:$G$968,'июль 2023'!$D$4:$D$968,$B19,'июль 2023'!$J$4:$J$968,AB$1)</f>
        <v>0</v>
      </c>
      <c r="AC19" s="198">
        <f>SUMIFS('июль 2023'!$G$4:$G$968,'июль 2023'!$D$4:$D$968,$B19,'июль 2023'!$J$4:$J$968,AC$1)</f>
        <v>800</v>
      </c>
      <c r="AD19" s="198">
        <f>SUMIFS('июль 2023'!$G$4:$G$968,'июль 2023'!$D$4:$D$968,$B19,'июль 2023'!$J$4:$J$968,AD$1)</f>
        <v>0</v>
      </c>
      <c r="AE19" s="198">
        <f>SUMIFS('июль 2023'!$G$4:$G$968,'июль 2023'!$D$4:$D$968,$B19,'июль 2023'!$J$4:$J$968,AE$1)</f>
        <v>80</v>
      </c>
      <c r="AF19" s="198">
        <f>SUMIFS('июль 2023'!$G$4:$G$968,'июль 2023'!$D$4:$D$968,$B19,'июль 2023'!$J$4:$J$968,AF$1)</f>
        <v>0</v>
      </c>
      <c r="AG19" s="198">
        <f>SUMIFS('июль 2023'!$G$4:$G$968,'июль 2023'!$D$4:$D$968,$B19,'июль 2023'!$J$4:$J$968,AG$1)</f>
        <v>0</v>
      </c>
      <c r="AH19" s="198">
        <f>SUMIFS('июль 2023'!$G$4:$G$968,'июль 2023'!$D$4:$D$968,$B19,'июль 2023'!$J$4:$J$968,AH$1)</f>
        <v>0</v>
      </c>
      <c r="AI19" s="170">
        <f t="shared" si="1"/>
        <v>4080</v>
      </c>
    </row>
    <row r="20" spans="2:35" ht="15" customHeight="1" x14ac:dyDescent="0.25">
      <c r="B20" s="199" t="s">
        <v>445</v>
      </c>
      <c r="C20" s="200">
        <v>25</v>
      </c>
      <c r="D20" s="198">
        <f>SUMIFS('июль 2023'!$G$4:$G$968,'июль 2023'!$D$4:$D$968,$B20,'июль 2023'!$J$4:$J$968,D$1)</f>
        <v>0</v>
      </c>
      <c r="E20" s="198">
        <f>SUMIFS('июль 2023'!$G$4:$G$968,'июль 2023'!$D$4:$D$968,$B20,'июль 2023'!$J$4:$J$968,E$1)</f>
        <v>0</v>
      </c>
      <c r="F20" s="198">
        <f>SUMIFS('июль 2023'!$G$4:$G$968,'июль 2023'!$D$4:$D$968,$B20,'июль 2023'!$J$4:$J$968,F$1)</f>
        <v>0</v>
      </c>
      <c r="G20" s="198">
        <f>SUMIFS('июль 2023'!$G$4:$G$968,'июль 2023'!$D$4:$D$968,$B20,'июль 2023'!$J$4:$J$968,G$1)</f>
        <v>0</v>
      </c>
      <c r="H20" s="198">
        <f>SUMIFS('июль 2023'!$G$4:$G$968,'июль 2023'!$D$4:$D$968,$B20,'июль 2023'!$J$4:$J$968,H$1)</f>
        <v>0</v>
      </c>
      <c r="I20" s="198">
        <f>SUMIFS('июль 2023'!$G$4:$G$968,'июль 2023'!$D$4:$D$968,$B20,'июль 2023'!$J$4:$J$968,I$1)</f>
        <v>0</v>
      </c>
      <c r="J20" s="198">
        <f>SUMIFS('июль 2023'!$G$4:$G$968,'июль 2023'!$D$4:$D$968,$B20,'июль 2023'!$J$4:$J$968,J$1)</f>
        <v>0</v>
      </c>
      <c r="K20" s="198">
        <f>SUMIFS('июль 2023'!$G$4:$G$968,'июль 2023'!$D$4:$D$968,$B20,'июль 2023'!$J$4:$J$968,K$1)</f>
        <v>0</v>
      </c>
      <c r="L20" s="198">
        <f>SUMIFS('июль 2023'!$G$4:$G$968,'июль 2023'!$D$4:$D$968,$B20,'июль 2023'!$J$4:$J$968,L$1)</f>
        <v>0</v>
      </c>
      <c r="M20" s="198">
        <f>SUMIFS('июль 2023'!$G$4:$G$968,'июль 2023'!$D$4:$D$968,$B20,'июль 2023'!$J$4:$J$968,M$1)</f>
        <v>0</v>
      </c>
      <c r="N20" s="198">
        <f>SUMIFS('июль 2023'!$G$4:$G$968,'июль 2023'!$D$4:$D$968,$B20,'июль 2023'!$J$4:$J$968,N$1)</f>
        <v>0</v>
      </c>
      <c r="O20" s="198">
        <f>SUMIFS('июль 2023'!$G$4:$G$968,'июль 2023'!$D$4:$D$968,$B20,'июль 2023'!$J$4:$J$968,O$1)</f>
        <v>0</v>
      </c>
      <c r="P20" s="198">
        <f>SUMIFS('июль 2023'!$G$4:$G$968,'июль 2023'!$D$4:$D$968,$B20,'июль 2023'!$J$4:$J$968,P$1)</f>
        <v>0</v>
      </c>
      <c r="Q20" s="198">
        <f>SUMIFS('июль 2023'!$G$4:$G$968,'июль 2023'!$D$4:$D$968,$B20,'июль 2023'!$J$4:$J$968,Q$1)</f>
        <v>0</v>
      </c>
      <c r="R20" s="198">
        <f>SUMIFS('июль 2023'!$G$4:$G$968,'июль 2023'!$D$4:$D$968,$B20,'июль 2023'!$J$4:$J$968,R$1)</f>
        <v>0</v>
      </c>
      <c r="S20" s="198">
        <f>SUMIFS('июль 2023'!$G$4:$G$968,'июль 2023'!$D$4:$D$968,$B20,'июль 2023'!$J$4:$J$968,S$1)</f>
        <v>0</v>
      </c>
      <c r="T20" s="198">
        <f>SUMIFS('июль 2023'!$G$4:$G$968,'июль 2023'!$D$4:$D$968,$B20,'июль 2023'!$J$4:$J$968,T$1)</f>
        <v>0</v>
      </c>
      <c r="U20" s="198">
        <f>SUMIFS('июль 2023'!$G$4:$G$968,'июль 2023'!$D$4:$D$968,$B20,'июль 2023'!$J$4:$J$968,U$1)</f>
        <v>800</v>
      </c>
      <c r="V20" s="198">
        <f>SUMIFS('июль 2023'!$G$4:$G$968,'июль 2023'!$D$4:$D$968,$B20,'июль 2023'!$J$4:$J$968,V$1)</f>
        <v>0</v>
      </c>
      <c r="W20" s="198">
        <f>SUMIFS('июль 2023'!$G$4:$G$968,'июль 2023'!$D$4:$D$968,$B20,'июль 2023'!$J$4:$J$968,W$1)</f>
        <v>0</v>
      </c>
      <c r="X20" s="198">
        <f>SUMIFS('июль 2023'!$G$4:$G$968,'июль 2023'!$D$4:$D$968,$B20,'июль 2023'!$J$4:$J$968,X$1)</f>
        <v>0</v>
      </c>
      <c r="Y20" s="198">
        <f>SUMIFS('июль 2023'!$G$4:$G$968,'июль 2023'!$D$4:$D$968,$B20,'июль 2023'!$J$4:$J$968,Y$1)</f>
        <v>0</v>
      </c>
      <c r="Z20" s="198">
        <f>SUMIFS('июль 2023'!$G$4:$G$968,'июль 2023'!$D$4:$D$968,$B20,'июль 2023'!$J$4:$J$968,Z$1)</f>
        <v>0</v>
      </c>
      <c r="AA20" s="198">
        <f>SUMIFS('июль 2023'!$G$4:$G$968,'июль 2023'!$D$4:$D$968,$B20,'июль 2023'!$J$4:$J$968,AA$1)</f>
        <v>0</v>
      </c>
      <c r="AB20" s="198">
        <f>SUMIFS('июль 2023'!$G$4:$G$968,'июль 2023'!$D$4:$D$968,$B20,'июль 2023'!$J$4:$J$968,AB$1)</f>
        <v>0</v>
      </c>
      <c r="AC20" s="198">
        <f>SUMIFS('июль 2023'!$G$4:$G$968,'июль 2023'!$D$4:$D$968,$B20,'июль 2023'!$J$4:$J$968,AC$1)</f>
        <v>0</v>
      </c>
      <c r="AD20" s="198">
        <f>SUMIFS('июль 2023'!$G$4:$G$968,'июль 2023'!$D$4:$D$968,$B20,'июль 2023'!$J$4:$J$968,AD$1)</f>
        <v>0</v>
      </c>
      <c r="AE20" s="198">
        <f>SUMIFS('июль 2023'!$G$4:$G$968,'июль 2023'!$D$4:$D$968,$B20,'июль 2023'!$J$4:$J$968,AE$1)</f>
        <v>0</v>
      </c>
      <c r="AF20" s="198">
        <f>SUMIFS('июль 2023'!$G$4:$G$968,'июль 2023'!$D$4:$D$968,$B20,'июль 2023'!$J$4:$J$968,AF$1)</f>
        <v>0</v>
      </c>
      <c r="AG20" s="198">
        <f>SUMIFS('июль 2023'!$G$4:$G$968,'июль 2023'!$D$4:$D$968,$B20,'июль 2023'!$J$4:$J$968,AG$1)</f>
        <v>0</v>
      </c>
      <c r="AH20" s="198">
        <f>SUMIFS('июль 2023'!$G$4:$G$968,'июль 2023'!$D$4:$D$968,$B20,'июль 2023'!$J$4:$J$968,AH$1)</f>
        <v>0</v>
      </c>
      <c r="AI20" s="170">
        <f t="shared" si="1"/>
        <v>800</v>
      </c>
    </row>
    <row r="21" spans="2:35" ht="15" customHeight="1" x14ac:dyDescent="0.25">
      <c r="B21" s="202" t="s">
        <v>186</v>
      </c>
      <c r="C21" s="204">
        <v>22.68</v>
      </c>
      <c r="D21" s="198">
        <f>SUMIFS('июль 2023'!$G$4:$G$968,'июль 2023'!$D$4:$D$968,$B21,'июль 2023'!$J$4:$J$968,D$1)</f>
        <v>0</v>
      </c>
      <c r="E21" s="198">
        <f>SUMIFS('июль 2023'!$G$4:$G$968,'июль 2023'!$D$4:$D$968,$B21,'июль 2023'!$J$4:$J$968,E$1)</f>
        <v>0</v>
      </c>
      <c r="F21" s="198">
        <f>SUMIFS('июль 2023'!$G$4:$G$968,'июль 2023'!$D$4:$D$968,$B21,'июль 2023'!$J$4:$J$968,F$1)</f>
        <v>0</v>
      </c>
      <c r="G21" s="198">
        <f>SUMIFS('июль 2023'!$G$4:$G$968,'июль 2023'!$D$4:$D$968,$B21,'июль 2023'!$J$4:$J$968,G$1)</f>
        <v>0</v>
      </c>
      <c r="H21" s="198">
        <f>SUMIFS('июль 2023'!$G$4:$G$968,'июль 2023'!$D$4:$D$968,$B21,'июль 2023'!$J$4:$J$968,H$1)</f>
        <v>0</v>
      </c>
      <c r="I21" s="198">
        <f>SUMIFS('июль 2023'!$G$4:$G$968,'июль 2023'!$D$4:$D$968,$B21,'июль 2023'!$J$4:$J$968,I$1)</f>
        <v>0</v>
      </c>
      <c r="J21" s="198">
        <f>SUMIFS('июль 2023'!$G$4:$G$968,'июль 2023'!$D$4:$D$968,$B21,'июль 2023'!$J$4:$J$968,J$1)</f>
        <v>0</v>
      </c>
      <c r="K21" s="198">
        <f>SUMIFS('июль 2023'!$G$4:$G$968,'июль 2023'!$D$4:$D$968,$B21,'июль 2023'!$J$4:$J$968,K$1)</f>
        <v>0</v>
      </c>
      <c r="L21" s="198">
        <f>SUMIFS('июль 2023'!$G$4:$G$968,'июль 2023'!$D$4:$D$968,$B21,'июль 2023'!$J$4:$J$968,L$1)</f>
        <v>0</v>
      </c>
      <c r="M21" s="198">
        <f>SUMIFS('июль 2023'!$G$4:$G$968,'июль 2023'!$D$4:$D$968,$B21,'июль 2023'!$J$4:$J$968,M$1)</f>
        <v>0</v>
      </c>
      <c r="N21" s="198">
        <f>SUMIFS('июль 2023'!$G$4:$G$968,'июль 2023'!$D$4:$D$968,$B21,'июль 2023'!$J$4:$J$968,N$1)</f>
        <v>0</v>
      </c>
      <c r="O21" s="198">
        <f>SUMIFS('июль 2023'!$G$4:$G$968,'июль 2023'!$D$4:$D$968,$B21,'июль 2023'!$J$4:$J$968,O$1)</f>
        <v>0</v>
      </c>
      <c r="P21" s="198">
        <f>SUMIFS('июль 2023'!$G$4:$G$968,'июль 2023'!$D$4:$D$968,$B21,'июль 2023'!$J$4:$J$968,P$1)</f>
        <v>0</v>
      </c>
      <c r="Q21" s="198">
        <f>SUMIFS('июль 2023'!$G$4:$G$968,'июль 2023'!$D$4:$D$968,$B21,'июль 2023'!$J$4:$J$968,Q$1)</f>
        <v>0</v>
      </c>
      <c r="R21" s="198">
        <f>SUMIFS('июль 2023'!$G$4:$G$968,'июль 2023'!$D$4:$D$968,$B21,'июль 2023'!$J$4:$J$968,R$1)</f>
        <v>0</v>
      </c>
      <c r="S21" s="198">
        <f>SUMIFS('июль 2023'!$G$4:$G$968,'июль 2023'!$D$4:$D$968,$B21,'июль 2023'!$J$4:$J$968,S$1)</f>
        <v>0</v>
      </c>
      <c r="T21" s="198">
        <f>SUMIFS('июль 2023'!$G$4:$G$968,'июль 2023'!$D$4:$D$968,$B21,'июль 2023'!$J$4:$J$968,T$1)</f>
        <v>0</v>
      </c>
      <c r="U21" s="198">
        <f>SUMIFS('июль 2023'!$G$4:$G$968,'июль 2023'!$D$4:$D$968,$B21,'июль 2023'!$J$4:$J$968,U$1)</f>
        <v>0</v>
      </c>
      <c r="V21" s="198">
        <f>SUMIFS('июль 2023'!$G$4:$G$968,'июль 2023'!$D$4:$D$968,$B21,'июль 2023'!$J$4:$J$968,V$1)</f>
        <v>0</v>
      </c>
      <c r="W21" s="198">
        <f>SUMIFS('июль 2023'!$G$4:$G$968,'июль 2023'!$D$4:$D$968,$B21,'июль 2023'!$J$4:$J$968,W$1)</f>
        <v>0</v>
      </c>
      <c r="X21" s="198">
        <f>SUMIFS('июль 2023'!$G$4:$G$968,'июль 2023'!$D$4:$D$968,$B21,'июль 2023'!$J$4:$J$968,X$1)</f>
        <v>0</v>
      </c>
      <c r="Y21" s="198">
        <f>SUMIFS('июль 2023'!$G$4:$G$968,'июль 2023'!$D$4:$D$968,$B21,'июль 2023'!$J$4:$J$968,Y$1)</f>
        <v>0</v>
      </c>
      <c r="Z21" s="198">
        <f>SUMIFS('июль 2023'!$G$4:$G$968,'июль 2023'!$D$4:$D$968,$B21,'июль 2023'!$J$4:$J$968,Z$1)</f>
        <v>0</v>
      </c>
      <c r="AA21" s="198">
        <f>SUMIFS('июль 2023'!$G$4:$G$968,'июль 2023'!$D$4:$D$968,$B21,'июль 2023'!$J$4:$J$968,AA$1)</f>
        <v>0</v>
      </c>
      <c r="AB21" s="198">
        <f>SUMIFS('июль 2023'!$G$4:$G$968,'июль 2023'!$D$4:$D$968,$B21,'июль 2023'!$J$4:$J$968,AB$1)</f>
        <v>0</v>
      </c>
      <c r="AC21" s="198">
        <f>SUMIFS('июль 2023'!$G$4:$G$968,'июль 2023'!$D$4:$D$968,$B21,'июль 2023'!$J$4:$J$968,AC$1)</f>
        <v>0</v>
      </c>
      <c r="AD21" s="198">
        <f>SUMIFS('июль 2023'!$G$4:$G$968,'июль 2023'!$D$4:$D$968,$B21,'июль 2023'!$J$4:$J$968,AD$1)</f>
        <v>0</v>
      </c>
      <c r="AE21" s="198">
        <f>SUMIFS('июль 2023'!$G$4:$G$968,'июль 2023'!$D$4:$D$968,$B21,'июль 2023'!$J$4:$J$968,AE$1)</f>
        <v>0</v>
      </c>
      <c r="AF21" s="198">
        <f>SUMIFS('июль 2023'!$G$4:$G$968,'июль 2023'!$D$4:$D$968,$B21,'июль 2023'!$J$4:$J$968,AF$1)</f>
        <v>0</v>
      </c>
      <c r="AG21" s="198">
        <f>SUMIFS('июль 2023'!$G$4:$G$968,'июль 2023'!$D$4:$D$968,$B21,'июль 2023'!$J$4:$J$968,AG$1)</f>
        <v>0</v>
      </c>
      <c r="AH21" s="198">
        <f>SUMIFS('июль 2023'!$G$4:$G$968,'июль 2023'!$D$4:$D$968,$B21,'июль 2023'!$J$4:$J$968,AH$1)</f>
        <v>0</v>
      </c>
      <c r="AI21" s="170">
        <f t="shared" si="1"/>
        <v>0</v>
      </c>
    </row>
    <row r="22" spans="2:35" ht="15" hidden="1" customHeight="1" x14ac:dyDescent="0.25">
      <c r="B22" s="202"/>
      <c r="C22" s="200"/>
      <c r="D22" s="198">
        <f>SUMIFS('июль 2023'!$G$4:$G$968,'июль 2023'!$D$4:$D$968,$B22,'июль 2023'!$J$4:$J$968,D$1)</f>
        <v>0</v>
      </c>
      <c r="E22" s="198">
        <f>SUMIFS('июль 2023'!$G$4:$G$968,'июль 2023'!$D$4:$D$968,$B22,'июль 2023'!$J$4:$J$968,E$1)</f>
        <v>0</v>
      </c>
      <c r="F22" s="198">
        <f>SUMIFS('июль 2023'!$G$4:$G$968,'июль 2023'!$D$4:$D$968,$B22,'июль 2023'!$J$4:$J$968,F$1)</f>
        <v>0</v>
      </c>
      <c r="G22" s="198">
        <f>SUMIFS('июль 2023'!$G$4:$G$968,'июль 2023'!$D$4:$D$968,$B22,'июль 2023'!$J$4:$J$968,G$1)</f>
        <v>0</v>
      </c>
      <c r="H22" s="198">
        <f>SUMIFS('июль 2023'!$G$4:$G$968,'июль 2023'!$D$4:$D$968,$B22,'июль 2023'!$J$4:$J$968,H$1)</f>
        <v>0</v>
      </c>
      <c r="I22" s="198">
        <f>SUMIFS('июль 2023'!$G$4:$G$968,'июль 2023'!$D$4:$D$968,$B22,'июль 2023'!$J$4:$J$968,I$1)</f>
        <v>0</v>
      </c>
      <c r="J22" s="198">
        <f>SUMIFS('июль 2023'!$G$4:$G$968,'июль 2023'!$D$4:$D$968,$B22,'июль 2023'!$J$4:$J$968,J$1)</f>
        <v>0</v>
      </c>
      <c r="K22" s="198">
        <f>SUMIFS('июль 2023'!$G$4:$G$968,'июль 2023'!$D$4:$D$968,$B22,'июль 2023'!$J$4:$J$968,K$1)</f>
        <v>0</v>
      </c>
      <c r="L22" s="198">
        <f>SUMIFS('июль 2023'!$G$4:$G$968,'июль 2023'!$D$4:$D$968,$B22,'июль 2023'!$J$4:$J$968,L$1)</f>
        <v>0</v>
      </c>
      <c r="M22" s="198">
        <f>SUMIFS('июль 2023'!$G$4:$G$968,'июль 2023'!$D$4:$D$968,$B22,'июль 2023'!$J$4:$J$968,M$1)</f>
        <v>0</v>
      </c>
      <c r="N22" s="198">
        <f>SUMIFS('июль 2023'!$G$4:$G$968,'июль 2023'!$D$4:$D$968,$B22,'июль 2023'!$J$4:$J$968,N$1)</f>
        <v>0</v>
      </c>
      <c r="O22" s="198">
        <f>SUMIFS('июль 2023'!$G$4:$G$968,'июль 2023'!$D$4:$D$968,$B22,'июль 2023'!$J$4:$J$968,O$1)</f>
        <v>0</v>
      </c>
      <c r="P22" s="198">
        <f>SUMIFS('июль 2023'!$G$4:$G$968,'июль 2023'!$D$4:$D$968,$B22,'июль 2023'!$J$4:$J$968,P$1)</f>
        <v>0</v>
      </c>
      <c r="Q22" s="198">
        <f>SUMIFS('июль 2023'!$G$4:$G$968,'июль 2023'!$D$4:$D$968,$B22,'июль 2023'!$J$4:$J$968,Q$1)</f>
        <v>0</v>
      </c>
      <c r="R22" s="198">
        <f>SUMIFS('июль 2023'!$G$4:$G$968,'июль 2023'!$D$4:$D$968,$B22,'июль 2023'!$J$4:$J$968,R$1)</f>
        <v>0</v>
      </c>
      <c r="S22" s="198">
        <f>SUMIFS('июль 2023'!$G$4:$G$968,'июль 2023'!$D$4:$D$968,$B22,'июль 2023'!$J$4:$J$968,S$1)</f>
        <v>0</v>
      </c>
      <c r="T22" s="198">
        <f>SUMIFS('июль 2023'!$G$4:$G$968,'июль 2023'!$D$4:$D$968,$B22,'июль 2023'!$J$4:$J$968,T$1)</f>
        <v>0</v>
      </c>
      <c r="U22" s="198">
        <f>SUMIFS('июль 2023'!$G$4:$G$968,'июль 2023'!$D$4:$D$968,$B22,'июль 2023'!$J$4:$J$968,U$1)</f>
        <v>0</v>
      </c>
      <c r="V22" s="198">
        <f>SUMIFS('июль 2023'!$G$4:$G$968,'июль 2023'!$D$4:$D$968,$B22,'июль 2023'!$J$4:$J$968,V$1)</f>
        <v>0</v>
      </c>
      <c r="W22" s="198">
        <f>SUMIFS('июль 2023'!$G$4:$G$968,'июль 2023'!$D$4:$D$968,$B22,'июль 2023'!$J$4:$J$968,W$1)</f>
        <v>0</v>
      </c>
      <c r="X22" s="198">
        <f>SUMIFS('июль 2023'!$G$4:$G$968,'июль 2023'!$D$4:$D$968,$B22,'июль 2023'!$J$4:$J$968,X$1)</f>
        <v>0</v>
      </c>
      <c r="Y22" s="198">
        <f>SUMIFS('июль 2023'!$G$4:$G$968,'июль 2023'!$D$4:$D$968,$B22,'июль 2023'!$J$4:$J$968,Y$1)</f>
        <v>0</v>
      </c>
      <c r="Z22" s="198">
        <f>SUMIFS('июль 2023'!$G$4:$G$968,'июль 2023'!$D$4:$D$968,$B22,'июль 2023'!$J$4:$J$968,Z$1)</f>
        <v>0</v>
      </c>
      <c r="AA22" s="198">
        <f>SUMIFS('июль 2023'!$G$4:$G$968,'июль 2023'!$D$4:$D$968,$B22,'июль 2023'!$J$4:$J$968,AA$1)</f>
        <v>0</v>
      </c>
      <c r="AB22" s="198">
        <f>SUMIFS('июль 2023'!$G$4:$G$968,'июль 2023'!$D$4:$D$968,$B22,'июль 2023'!$J$4:$J$968,AB$1)</f>
        <v>0</v>
      </c>
      <c r="AC22" s="198">
        <f>SUMIFS('июль 2023'!$G$4:$G$968,'июль 2023'!$D$4:$D$968,$B22,'июль 2023'!$J$4:$J$968,AC$1)</f>
        <v>0</v>
      </c>
      <c r="AD22" s="198">
        <f>SUMIFS('июль 2023'!$G$4:$G$968,'июль 2023'!$D$4:$D$968,$B22,'июль 2023'!$J$4:$J$968,AD$1)</f>
        <v>0</v>
      </c>
      <c r="AE22" s="198">
        <f>SUMIFS('июль 2023'!$G$4:$G$968,'июль 2023'!$D$4:$D$968,$B22,'июль 2023'!$J$4:$J$968,AE$1)</f>
        <v>0</v>
      </c>
      <c r="AF22" s="198">
        <f>SUMIFS('июль 2023'!$G$4:$G$968,'июль 2023'!$D$4:$D$968,$B22,'июль 2023'!$J$4:$J$968,AF$1)</f>
        <v>0</v>
      </c>
      <c r="AG22" s="198">
        <f>SUMIFS('июль 2023'!$G$4:$G$968,'июль 2023'!$D$4:$D$968,$B22,'июль 2023'!$J$4:$J$968,AG$1)</f>
        <v>0</v>
      </c>
      <c r="AH22" s="198">
        <f>SUMIFS('июль 2023'!$G$4:$G$968,'июль 2023'!$D$4:$D$968,$B22,'июль 2023'!$J$4:$J$968,AH$1)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SUMIFS('июль 2023'!$G$4:$G$968,'июль 2023'!$D$4:$D$968,$B23,'июль 2023'!$J$4:$J$968,D$1)</f>
        <v>0</v>
      </c>
      <c r="E23" s="198">
        <f>SUMIFS('июль 2023'!$G$4:$G$968,'июль 2023'!$D$4:$D$968,$B23,'июль 2023'!$J$4:$J$968,E$1)</f>
        <v>0</v>
      </c>
      <c r="F23" s="198">
        <f>SUMIFS('июль 2023'!$G$4:$G$968,'июль 2023'!$D$4:$D$968,$B23,'июль 2023'!$J$4:$J$968,F$1)</f>
        <v>0</v>
      </c>
      <c r="G23" s="198">
        <f>SUMIFS('июль 2023'!$G$4:$G$968,'июль 2023'!$D$4:$D$968,$B23,'июль 2023'!$J$4:$J$968,G$1)</f>
        <v>0</v>
      </c>
      <c r="H23" s="198">
        <f>SUMIFS('июль 2023'!$G$4:$G$968,'июль 2023'!$D$4:$D$968,$B23,'июль 2023'!$J$4:$J$968,H$1)</f>
        <v>0</v>
      </c>
      <c r="I23" s="198">
        <f>SUMIFS('июль 2023'!$G$4:$G$968,'июль 2023'!$D$4:$D$968,$B23,'июль 2023'!$J$4:$J$968,I$1)</f>
        <v>0</v>
      </c>
      <c r="J23" s="198">
        <f>SUMIFS('июль 2023'!$G$4:$G$968,'июль 2023'!$D$4:$D$968,$B23,'июль 2023'!$J$4:$J$968,J$1)</f>
        <v>0</v>
      </c>
      <c r="K23" s="198">
        <f>SUMIFS('июль 2023'!$G$4:$G$968,'июль 2023'!$D$4:$D$968,$B23,'июль 2023'!$J$4:$J$968,K$1)</f>
        <v>0</v>
      </c>
      <c r="L23" s="198">
        <f>SUMIFS('июль 2023'!$G$4:$G$968,'июль 2023'!$D$4:$D$968,$B23,'июль 2023'!$J$4:$J$968,L$1)</f>
        <v>0</v>
      </c>
      <c r="M23" s="198">
        <f>SUMIFS('июль 2023'!$G$4:$G$968,'июль 2023'!$D$4:$D$968,$B23,'июль 2023'!$J$4:$J$968,M$1)</f>
        <v>0</v>
      </c>
      <c r="N23" s="198">
        <f>SUMIFS('июль 2023'!$G$4:$G$968,'июль 2023'!$D$4:$D$968,$B23,'июль 2023'!$J$4:$J$968,N$1)</f>
        <v>0</v>
      </c>
      <c r="O23" s="198">
        <f>SUMIFS('июль 2023'!$G$4:$G$968,'июль 2023'!$D$4:$D$968,$B23,'июль 2023'!$J$4:$J$968,O$1)</f>
        <v>0</v>
      </c>
      <c r="P23" s="198">
        <f>SUMIFS('июль 2023'!$G$4:$G$968,'июль 2023'!$D$4:$D$968,$B23,'июль 2023'!$J$4:$J$968,P$1)</f>
        <v>0</v>
      </c>
      <c r="Q23" s="198">
        <f>SUMIFS('июль 2023'!$G$4:$G$968,'июль 2023'!$D$4:$D$968,$B23,'июль 2023'!$J$4:$J$968,Q$1)</f>
        <v>0</v>
      </c>
      <c r="R23" s="198">
        <f>SUMIFS('июль 2023'!$G$4:$G$968,'июль 2023'!$D$4:$D$968,$B23,'июль 2023'!$J$4:$J$968,R$1)</f>
        <v>0</v>
      </c>
      <c r="S23" s="198">
        <f>SUMIFS('июль 2023'!$G$4:$G$968,'июль 2023'!$D$4:$D$968,$B23,'июль 2023'!$J$4:$J$968,S$1)</f>
        <v>0</v>
      </c>
      <c r="T23" s="198">
        <f>SUMIFS('июль 2023'!$G$4:$G$968,'июль 2023'!$D$4:$D$968,$B23,'июль 2023'!$J$4:$J$968,T$1)</f>
        <v>0</v>
      </c>
      <c r="U23" s="198">
        <f>SUMIFS('июль 2023'!$G$4:$G$968,'июль 2023'!$D$4:$D$968,$B23,'июль 2023'!$J$4:$J$968,U$1)</f>
        <v>0</v>
      </c>
      <c r="V23" s="198">
        <f>SUMIFS('июль 2023'!$G$4:$G$968,'июль 2023'!$D$4:$D$968,$B23,'июль 2023'!$J$4:$J$968,V$1)</f>
        <v>0</v>
      </c>
      <c r="W23" s="198">
        <f>SUMIFS('июль 2023'!$G$4:$G$968,'июль 2023'!$D$4:$D$968,$B23,'июль 2023'!$J$4:$J$968,W$1)</f>
        <v>0</v>
      </c>
      <c r="X23" s="198">
        <f>SUMIFS('июль 2023'!$G$4:$G$968,'июль 2023'!$D$4:$D$968,$B23,'июль 2023'!$J$4:$J$968,X$1)</f>
        <v>0</v>
      </c>
      <c r="Y23" s="198">
        <f>SUMIFS('июль 2023'!$G$4:$G$968,'июль 2023'!$D$4:$D$968,$B23,'июль 2023'!$J$4:$J$968,Y$1)</f>
        <v>0</v>
      </c>
      <c r="Z23" s="198">
        <f>SUMIFS('июль 2023'!$G$4:$G$968,'июль 2023'!$D$4:$D$968,$B23,'июль 2023'!$J$4:$J$968,Z$1)</f>
        <v>0</v>
      </c>
      <c r="AA23" s="198">
        <f>SUMIFS('июль 2023'!$G$4:$G$968,'июль 2023'!$D$4:$D$968,$B23,'июль 2023'!$J$4:$J$968,AA$1)</f>
        <v>0</v>
      </c>
      <c r="AB23" s="198">
        <f>SUMIFS('июль 2023'!$G$4:$G$968,'июль 2023'!$D$4:$D$968,$B23,'июль 2023'!$J$4:$J$968,AB$1)</f>
        <v>0</v>
      </c>
      <c r="AC23" s="198">
        <f>SUMIFS('июль 2023'!$G$4:$G$968,'июль 2023'!$D$4:$D$968,$B23,'июль 2023'!$J$4:$J$968,AC$1)</f>
        <v>0</v>
      </c>
      <c r="AD23" s="198">
        <f>SUMIFS('июль 2023'!$G$4:$G$968,'июль 2023'!$D$4:$D$968,$B23,'июль 2023'!$J$4:$J$968,AD$1)</f>
        <v>0</v>
      </c>
      <c r="AE23" s="198">
        <f>SUMIFS('июль 2023'!$G$4:$G$968,'июль 2023'!$D$4:$D$968,$B23,'июль 2023'!$J$4:$J$968,AE$1)</f>
        <v>0</v>
      </c>
      <c r="AF23" s="198">
        <f>SUMIFS('июль 2023'!$G$4:$G$968,'июль 2023'!$D$4:$D$968,$B23,'июль 2023'!$J$4:$J$968,AF$1)</f>
        <v>0</v>
      </c>
      <c r="AG23" s="198">
        <f>SUMIFS('июль 2023'!$G$4:$G$968,'июль 2023'!$D$4:$D$968,$B23,'июль 2023'!$J$4:$J$968,AG$1)</f>
        <v>0</v>
      </c>
      <c r="AH23" s="198">
        <f>SUMIFS('июль 2023'!$G$4:$G$968,'июль 2023'!$D$4:$D$968,$B23,'июль 2023'!$J$4:$J$968,AH$1)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SUMIFS('июль 2023'!$G$4:$G$968,'июль 2023'!$D$4:$D$968,$B24,'июль 2023'!$J$4:$J$968,D$1)</f>
        <v>0</v>
      </c>
      <c r="E24" s="198">
        <f>SUMIFS('июль 2023'!$G$4:$G$968,'июль 2023'!$D$4:$D$968,$B24,'июль 2023'!$J$4:$J$968,E$1)</f>
        <v>0</v>
      </c>
      <c r="F24" s="198">
        <f>SUMIFS('июль 2023'!$G$4:$G$968,'июль 2023'!$D$4:$D$968,$B24,'июль 2023'!$J$4:$J$968,F$1)</f>
        <v>0</v>
      </c>
      <c r="G24" s="198">
        <f>SUMIFS('июль 2023'!$G$4:$G$968,'июль 2023'!$D$4:$D$968,$B24,'июль 2023'!$J$4:$J$968,G$1)</f>
        <v>0</v>
      </c>
      <c r="H24" s="198">
        <f>SUMIFS('июль 2023'!$G$4:$G$968,'июль 2023'!$D$4:$D$968,$B24,'июль 2023'!$J$4:$J$968,H$1)</f>
        <v>0</v>
      </c>
      <c r="I24" s="198">
        <f>SUMIFS('июль 2023'!$G$4:$G$968,'июль 2023'!$D$4:$D$968,$B24,'июль 2023'!$J$4:$J$968,I$1)</f>
        <v>0</v>
      </c>
      <c r="J24" s="198">
        <f>SUMIFS('июль 2023'!$G$4:$G$968,'июль 2023'!$D$4:$D$968,$B24,'июль 2023'!$J$4:$J$968,J$1)</f>
        <v>0</v>
      </c>
      <c r="K24" s="198">
        <f>SUMIFS('июль 2023'!$G$4:$G$968,'июль 2023'!$D$4:$D$968,$B24,'июль 2023'!$J$4:$J$968,K$1)</f>
        <v>0</v>
      </c>
      <c r="L24" s="198">
        <f>SUMIFS('июль 2023'!$G$4:$G$968,'июль 2023'!$D$4:$D$968,$B24,'июль 2023'!$J$4:$J$968,L$1)</f>
        <v>0</v>
      </c>
      <c r="M24" s="198">
        <f>SUMIFS('июль 2023'!$G$4:$G$968,'июль 2023'!$D$4:$D$968,$B24,'июль 2023'!$J$4:$J$968,M$1)</f>
        <v>0</v>
      </c>
      <c r="N24" s="198">
        <f>SUMIFS('июль 2023'!$G$4:$G$968,'июль 2023'!$D$4:$D$968,$B24,'июль 2023'!$J$4:$J$968,N$1)</f>
        <v>0</v>
      </c>
      <c r="O24" s="198">
        <f>SUMIFS('июль 2023'!$G$4:$G$968,'июль 2023'!$D$4:$D$968,$B24,'июль 2023'!$J$4:$J$968,O$1)</f>
        <v>0</v>
      </c>
      <c r="P24" s="198">
        <f>SUMIFS('июль 2023'!$G$4:$G$968,'июль 2023'!$D$4:$D$968,$B24,'июль 2023'!$J$4:$J$968,P$1)</f>
        <v>0</v>
      </c>
      <c r="Q24" s="198">
        <f>SUMIFS('июль 2023'!$G$4:$G$968,'июль 2023'!$D$4:$D$968,$B24,'июль 2023'!$J$4:$J$968,Q$1)</f>
        <v>0</v>
      </c>
      <c r="R24" s="198">
        <f>SUMIFS('июль 2023'!$G$4:$G$968,'июль 2023'!$D$4:$D$968,$B24,'июль 2023'!$J$4:$J$968,R$1)</f>
        <v>0</v>
      </c>
      <c r="S24" s="198">
        <f>SUMIFS('июль 2023'!$G$4:$G$968,'июль 2023'!$D$4:$D$968,$B24,'июль 2023'!$J$4:$J$968,S$1)</f>
        <v>0</v>
      </c>
      <c r="T24" s="198">
        <f>SUMIFS('июль 2023'!$G$4:$G$968,'июль 2023'!$D$4:$D$968,$B24,'июль 2023'!$J$4:$J$968,T$1)</f>
        <v>0</v>
      </c>
      <c r="U24" s="198">
        <f>SUMIFS('июль 2023'!$G$4:$G$968,'июль 2023'!$D$4:$D$968,$B24,'июль 2023'!$J$4:$J$968,U$1)</f>
        <v>0</v>
      </c>
      <c r="V24" s="198">
        <f>SUMIFS('июль 2023'!$G$4:$G$968,'июль 2023'!$D$4:$D$968,$B24,'июль 2023'!$J$4:$J$968,V$1)</f>
        <v>0</v>
      </c>
      <c r="W24" s="198">
        <f>SUMIFS('июль 2023'!$G$4:$G$968,'июль 2023'!$D$4:$D$968,$B24,'июль 2023'!$J$4:$J$968,W$1)</f>
        <v>0</v>
      </c>
      <c r="X24" s="198">
        <f>SUMIFS('июль 2023'!$G$4:$G$968,'июль 2023'!$D$4:$D$968,$B24,'июль 2023'!$J$4:$J$968,X$1)</f>
        <v>0</v>
      </c>
      <c r="Y24" s="198">
        <f>SUMIFS('июль 2023'!$G$4:$G$968,'июль 2023'!$D$4:$D$968,$B24,'июль 2023'!$J$4:$J$968,Y$1)</f>
        <v>0</v>
      </c>
      <c r="Z24" s="198">
        <f>SUMIFS('июль 2023'!$G$4:$G$968,'июль 2023'!$D$4:$D$968,$B24,'июль 2023'!$J$4:$J$968,Z$1)</f>
        <v>0</v>
      </c>
      <c r="AA24" s="198">
        <f>SUMIFS('июль 2023'!$G$4:$G$968,'июль 2023'!$D$4:$D$968,$B24,'июль 2023'!$J$4:$J$968,AA$1)</f>
        <v>0</v>
      </c>
      <c r="AB24" s="198">
        <f>SUMIFS('июль 2023'!$G$4:$G$968,'июль 2023'!$D$4:$D$968,$B24,'июль 2023'!$J$4:$J$968,AB$1)</f>
        <v>0</v>
      </c>
      <c r="AC24" s="198">
        <f>SUMIFS('июль 2023'!$G$4:$G$968,'июль 2023'!$D$4:$D$968,$B24,'июль 2023'!$J$4:$J$968,AC$1)</f>
        <v>0</v>
      </c>
      <c r="AD24" s="198">
        <f>SUMIFS('июль 2023'!$G$4:$G$968,'июль 2023'!$D$4:$D$968,$B24,'июль 2023'!$J$4:$J$968,AD$1)</f>
        <v>0</v>
      </c>
      <c r="AE24" s="198">
        <f>SUMIFS('июль 2023'!$G$4:$G$968,'июль 2023'!$D$4:$D$968,$B24,'июль 2023'!$J$4:$J$968,AE$1)</f>
        <v>0</v>
      </c>
      <c r="AF24" s="198">
        <f>SUMIFS('июль 2023'!$G$4:$G$968,'июль 2023'!$D$4:$D$968,$B24,'июль 2023'!$J$4:$J$968,AF$1)</f>
        <v>0</v>
      </c>
      <c r="AG24" s="198">
        <f>SUMIFS('июль 2023'!$G$4:$G$968,'июль 2023'!$D$4:$D$968,$B24,'июль 2023'!$J$4:$J$968,AG$1)</f>
        <v>0</v>
      </c>
      <c r="AH24" s="198">
        <f>SUMIFS('июль 2023'!$G$4:$G$968,'июль 2023'!$D$4:$D$968,$B24,'июль 2023'!$J$4:$J$968,AH$1)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SUMIFS('июль 2023'!$G$4:$G$968,'июль 2023'!$D$4:$D$968,$B25,'июль 2023'!$J$4:$J$968,D$1)</f>
        <v>0</v>
      </c>
      <c r="E25" s="198">
        <f>SUMIFS('июль 2023'!$G$4:$G$968,'июль 2023'!$D$4:$D$968,$B25,'июль 2023'!$J$4:$J$968,E$1)</f>
        <v>0</v>
      </c>
      <c r="F25" s="198">
        <f>SUMIFS('июль 2023'!$G$4:$G$968,'июль 2023'!$D$4:$D$968,$B25,'июль 2023'!$J$4:$J$968,F$1)</f>
        <v>0</v>
      </c>
      <c r="G25" s="198">
        <f>SUMIFS('июль 2023'!$G$4:$G$968,'июль 2023'!$D$4:$D$968,$B25,'июль 2023'!$J$4:$J$968,G$1)</f>
        <v>0</v>
      </c>
      <c r="H25" s="198">
        <f>SUMIFS('июль 2023'!$G$4:$G$968,'июль 2023'!$D$4:$D$968,$B25,'июль 2023'!$J$4:$J$968,H$1)</f>
        <v>0</v>
      </c>
      <c r="I25" s="198">
        <f>SUMIFS('июль 2023'!$G$4:$G$968,'июль 2023'!$D$4:$D$968,$B25,'июль 2023'!$J$4:$J$968,I$1)</f>
        <v>0</v>
      </c>
      <c r="J25" s="198">
        <f>SUMIFS('июль 2023'!$G$4:$G$968,'июль 2023'!$D$4:$D$968,$B25,'июль 2023'!$J$4:$J$968,J$1)</f>
        <v>0</v>
      </c>
      <c r="K25" s="198">
        <f>SUMIFS('июль 2023'!$G$4:$G$968,'июль 2023'!$D$4:$D$968,$B25,'июль 2023'!$J$4:$J$968,K$1)</f>
        <v>0</v>
      </c>
      <c r="L25" s="198">
        <f>SUMIFS('июль 2023'!$G$4:$G$968,'июль 2023'!$D$4:$D$968,$B25,'июль 2023'!$J$4:$J$968,L$1)</f>
        <v>0</v>
      </c>
      <c r="M25" s="198">
        <f>SUMIFS('июль 2023'!$G$4:$G$968,'июль 2023'!$D$4:$D$968,$B25,'июль 2023'!$J$4:$J$968,M$1)</f>
        <v>0</v>
      </c>
      <c r="N25" s="198">
        <f>SUMIFS('июль 2023'!$G$4:$G$968,'июль 2023'!$D$4:$D$968,$B25,'июль 2023'!$J$4:$J$968,N$1)</f>
        <v>0</v>
      </c>
      <c r="O25" s="198">
        <f>SUMIFS('июль 2023'!$G$4:$G$968,'июль 2023'!$D$4:$D$968,$B25,'июль 2023'!$J$4:$J$968,O$1)</f>
        <v>0</v>
      </c>
      <c r="P25" s="198">
        <f>SUMIFS('июль 2023'!$G$4:$G$968,'июль 2023'!$D$4:$D$968,$B25,'июль 2023'!$J$4:$J$968,P$1)</f>
        <v>0</v>
      </c>
      <c r="Q25" s="198">
        <f>SUMIFS('июль 2023'!$G$4:$G$968,'июль 2023'!$D$4:$D$968,$B25,'июль 2023'!$J$4:$J$968,Q$1)</f>
        <v>0</v>
      </c>
      <c r="R25" s="198">
        <f>SUMIFS('июль 2023'!$G$4:$G$968,'июль 2023'!$D$4:$D$968,$B25,'июль 2023'!$J$4:$J$968,R$1)</f>
        <v>0</v>
      </c>
      <c r="S25" s="198">
        <f>SUMIFS('июль 2023'!$G$4:$G$968,'июль 2023'!$D$4:$D$968,$B25,'июль 2023'!$J$4:$J$968,S$1)</f>
        <v>0</v>
      </c>
      <c r="T25" s="198">
        <f>SUMIFS('июль 2023'!$G$4:$G$968,'июль 2023'!$D$4:$D$968,$B25,'июль 2023'!$J$4:$J$968,T$1)</f>
        <v>0</v>
      </c>
      <c r="U25" s="198">
        <f>SUMIFS('июль 2023'!$G$4:$G$968,'июль 2023'!$D$4:$D$968,$B25,'июль 2023'!$J$4:$J$968,U$1)</f>
        <v>0</v>
      </c>
      <c r="V25" s="198">
        <f>SUMIFS('июль 2023'!$G$4:$G$968,'июль 2023'!$D$4:$D$968,$B25,'июль 2023'!$J$4:$J$968,V$1)</f>
        <v>0</v>
      </c>
      <c r="W25" s="198">
        <f>SUMIFS('июль 2023'!$G$4:$G$968,'июль 2023'!$D$4:$D$968,$B25,'июль 2023'!$J$4:$J$968,W$1)</f>
        <v>0</v>
      </c>
      <c r="X25" s="198">
        <f>SUMIFS('июль 2023'!$G$4:$G$968,'июль 2023'!$D$4:$D$968,$B25,'июль 2023'!$J$4:$J$968,X$1)</f>
        <v>0</v>
      </c>
      <c r="Y25" s="198">
        <f>SUMIFS('июль 2023'!$G$4:$G$968,'июль 2023'!$D$4:$D$968,$B25,'июль 2023'!$J$4:$J$968,Y$1)</f>
        <v>0</v>
      </c>
      <c r="Z25" s="198">
        <f>SUMIFS('июль 2023'!$G$4:$G$968,'июль 2023'!$D$4:$D$968,$B25,'июль 2023'!$J$4:$J$968,Z$1)</f>
        <v>0</v>
      </c>
      <c r="AA25" s="198">
        <f>SUMIFS('июль 2023'!$G$4:$G$968,'июль 2023'!$D$4:$D$968,$B25,'июль 2023'!$J$4:$J$968,AA$1)</f>
        <v>0</v>
      </c>
      <c r="AB25" s="198">
        <f>SUMIFS('июль 2023'!$G$4:$G$968,'июль 2023'!$D$4:$D$968,$B25,'июль 2023'!$J$4:$J$968,AB$1)</f>
        <v>0</v>
      </c>
      <c r="AC25" s="198">
        <f>SUMIFS('июль 2023'!$G$4:$G$968,'июль 2023'!$D$4:$D$968,$B25,'июль 2023'!$J$4:$J$968,AC$1)</f>
        <v>0</v>
      </c>
      <c r="AD25" s="198">
        <f>SUMIFS('июль 2023'!$G$4:$G$968,'июль 2023'!$D$4:$D$968,$B25,'июль 2023'!$J$4:$J$968,AD$1)</f>
        <v>0</v>
      </c>
      <c r="AE25" s="198">
        <f>SUMIFS('июль 2023'!$G$4:$G$968,'июль 2023'!$D$4:$D$968,$B25,'июль 2023'!$J$4:$J$968,AE$1)</f>
        <v>0</v>
      </c>
      <c r="AF25" s="198">
        <f>SUMIFS('июль 2023'!$G$4:$G$968,'июль 2023'!$D$4:$D$968,$B25,'июль 2023'!$J$4:$J$968,AF$1)</f>
        <v>0</v>
      </c>
      <c r="AG25" s="198">
        <f>SUMIFS('июль 2023'!$G$4:$G$968,'июль 2023'!$D$4:$D$968,$B25,'июль 2023'!$J$4:$J$968,AG$1)</f>
        <v>0</v>
      </c>
      <c r="AH25" s="198">
        <f>SUMIFS('июль 2023'!$G$4:$G$968,'июль 2023'!$D$4:$D$968,$B25,'июль 2023'!$J$4:$J$968,AH$1)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SUMIFS('июль 2023'!$G$4:$G$968,'июль 2023'!$D$4:$D$968,$B26,'июль 2023'!$J$4:$J$968,D$1)</f>
        <v>0</v>
      </c>
      <c r="E26" s="198">
        <f>SUMIFS('июль 2023'!$G$4:$G$968,'июль 2023'!$D$4:$D$968,$B26,'июль 2023'!$J$4:$J$968,E$1)</f>
        <v>0</v>
      </c>
      <c r="F26" s="198">
        <f>SUMIFS('июль 2023'!$G$4:$G$968,'июль 2023'!$D$4:$D$968,$B26,'июль 2023'!$J$4:$J$968,F$1)</f>
        <v>0</v>
      </c>
      <c r="G26" s="198">
        <f>SUMIFS('июль 2023'!$G$4:$G$968,'июль 2023'!$D$4:$D$968,$B26,'июль 2023'!$J$4:$J$968,G$1)</f>
        <v>0</v>
      </c>
      <c r="H26" s="198">
        <f>SUMIFS('июль 2023'!$G$4:$G$968,'июль 2023'!$D$4:$D$968,$B26,'июль 2023'!$J$4:$J$968,H$1)</f>
        <v>0</v>
      </c>
      <c r="I26" s="198">
        <f>SUMIFS('июль 2023'!$G$4:$G$968,'июль 2023'!$D$4:$D$968,$B26,'июль 2023'!$J$4:$J$968,I$1)</f>
        <v>0</v>
      </c>
      <c r="J26" s="198">
        <f>SUMIFS('июль 2023'!$G$4:$G$968,'июль 2023'!$D$4:$D$968,$B26,'июль 2023'!$J$4:$J$968,J$1)</f>
        <v>0</v>
      </c>
      <c r="K26" s="198">
        <f>SUMIFS('июль 2023'!$G$4:$G$968,'июль 2023'!$D$4:$D$968,$B26,'июль 2023'!$J$4:$J$968,K$1)</f>
        <v>0</v>
      </c>
      <c r="L26" s="198">
        <f>SUMIFS('июль 2023'!$G$4:$G$968,'июль 2023'!$D$4:$D$968,$B26,'июль 2023'!$J$4:$J$968,L$1)</f>
        <v>0</v>
      </c>
      <c r="M26" s="198">
        <f>SUMIFS('июль 2023'!$G$4:$G$968,'июль 2023'!$D$4:$D$968,$B26,'июль 2023'!$J$4:$J$968,M$1)</f>
        <v>0</v>
      </c>
      <c r="N26" s="198">
        <f>SUMIFS('июль 2023'!$G$4:$G$968,'июль 2023'!$D$4:$D$968,$B26,'июль 2023'!$J$4:$J$968,N$1)</f>
        <v>0</v>
      </c>
      <c r="O26" s="198">
        <f>SUMIFS('июль 2023'!$G$4:$G$968,'июль 2023'!$D$4:$D$968,$B26,'июль 2023'!$J$4:$J$968,O$1)</f>
        <v>0</v>
      </c>
      <c r="P26" s="198">
        <f>SUMIFS('июль 2023'!$G$4:$G$968,'июль 2023'!$D$4:$D$968,$B26,'июль 2023'!$J$4:$J$968,P$1)</f>
        <v>0</v>
      </c>
      <c r="Q26" s="198">
        <f>SUMIFS('июль 2023'!$G$4:$G$968,'июль 2023'!$D$4:$D$968,$B26,'июль 2023'!$J$4:$J$968,Q$1)</f>
        <v>0</v>
      </c>
      <c r="R26" s="198">
        <f>SUMIFS('июль 2023'!$G$4:$G$968,'июль 2023'!$D$4:$D$968,$B26,'июль 2023'!$J$4:$J$968,R$1)</f>
        <v>0</v>
      </c>
      <c r="S26" s="198">
        <f>SUMIFS('июль 2023'!$G$4:$G$968,'июль 2023'!$D$4:$D$968,$B26,'июль 2023'!$J$4:$J$968,S$1)</f>
        <v>0</v>
      </c>
      <c r="T26" s="198">
        <f>SUMIFS('июль 2023'!$G$4:$G$968,'июль 2023'!$D$4:$D$968,$B26,'июль 2023'!$J$4:$J$968,T$1)</f>
        <v>0</v>
      </c>
      <c r="U26" s="198">
        <f>SUMIFS('июль 2023'!$G$4:$G$968,'июль 2023'!$D$4:$D$968,$B26,'июль 2023'!$J$4:$J$968,U$1)</f>
        <v>0</v>
      </c>
      <c r="V26" s="198">
        <f>SUMIFS('июль 2023'!$G$4:$G$968,'июль 2023'!$D$4:$D$968,$B26,'июль 2023'!$J$4:$J$968,V$1)</f>
        <v>0</v>
      </c>
      <c r="W26" s="198">
        <f>SUMIFS('июль 2023'!$G$4:$G$968,'июль 2023'!$D$4:$D$968,$B26,'июль 2023'!$J$4:$J$968,W$1)</f>
        <v>0</v>
      </c>
      <c r="X26" s="198">
        <f>SUMIFS('июль 2023'!$G$4:$G$968,'июль 2023'!$D$4:$D$968,$B26,'июль 2023'!$J$4:$J$968,X$1)</f>
        <v>0</v>
      </c>
      <c r="Y26" s="198">
        <f>SUMIFS('июль 2023'!$G$4:$G$968,'июль 2023'!$D$4:$D$968,$B26,'июль 2023'!$J$4:$J$968,Y$1)</f>
        <v>0</v>
      </c>
      <c r="Z26" s="198">
        <f>SUMIFS('июль 2023'!$G$4:$G$968,'июль 2023'!$D$4:$D$968,$B26,'июль 2023'!$J$4:$J$968,Z$1)</f>
        <v>0</v>
      </c>
      <c r="AA26" s="198">
        <f>SUMIFS('июль 2023'!$G$4:$G$968,'июль 2023'!$D$4:$D$968,$B26,'июль 2023'!$J$4:$J$968,AA$1)</f>
        <v>0</v>
      </c>
      <c r="AB26" s="198">
        <f>SUMIFS('июль 2023'!$G$4:$G$968,'июль 2023'!$D$4:$D$968,$B26,'июль 2023'!$J$4:$J$968,AB$1)</f>
        <v>0</v>
      </c>
      <c r="AC26" s="198">
        <f>SUMIFS('июль 2023'!$G$4:$G$968,'июль 2023'!$D$4:$D$968,$B26,'июль 2023'!$J$4:$J$968,AC$1)</f>
        <v>0</v>
      </c>
      <c r="AD26" s="198">
        <f>SUMIFS('июль 2023'!$G$4:$G$968,'июль 2023'!$D$4:$D$968,$B26,'июль 2023'!$J$4:$J$968,AD$1)</f>
        <v>0</v>
      </c>
      <c r="AE26" s="198">
        <f>SUMIFS('июль 2023'!$G$4:$G$968,'июль 2023'!$D$4:$D$968,$B26,'июль 2023'!$J$4:$J$968,AE$1)</f>
        <v>0</v>
      </c>
      <c r="AF26" s="198">
        <f>SUMIFS('июль 2023'!$G$4:$G$968,'июль 2023'!$D$4:$D$968,$B26,'июль 2023'!$J$4:$J$968,AF$1)</f>
        <v>0</v>
      </c>
      <c r="AG26" s="198">
        <f>SUMIFS('июль 2023'!$G$4:$G$968,'июль 2023'!$D$4:$D$968,$B26,'июль 2023'!$J$4:$J$968,AG$1)</f>
        <v>0</v>
      </c>
      <c r="AH26" s="198">
        <f>SUMIFS('июль 2023'!$G$4:$G$968,'июль 2023'!$D$4:$D$968,$B26,'июль 2023'!$J$4:$J$968,AH$1)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SUMIFS('июль 2023'!$G$4:$G$968,'июль 2023'!$D$4:$D$968,$B27,'июль 2023'!$J$4:$J$968,D$1)</f>
        <v>0</v>
      </c>
      <c r="E27" s="198">
        <f>SUMIFS('июль 2023'!$G$4:$G$968,'июль 2023'!$D$4:$D$968,$B27,'июль 2023'!$J$4:$J$968,E$1)</f>
        <v>0</v>
      </c>
      <c r="F27" s="198">
        <f>SUMIFS('июль 2023'!$G$4:$G$968,'июль 2023'!$D$4:$D$968,$B27,'июль 2023'!$J$4:$J$968,F$1)</f>
        <v>0</v>
      </c>
      <c r="G27" s="198">
        <f>SUMIFS('июль 2023'!$G$4:$G$968,'июль 2023'!$D$4:$D$968,$B27,'июль 2023'!$J$4:$J$968,G$1)</f>
        <v>0</v>
      </c>
      <c r="H27" s="198">
        <f>SUMIFS('июль 2023'!$G$4:$G$968,'июль 2023'!$D$4:$D$968,$B27,'июль 2023'!$J$4:$J$968,H$1)</f>
        <v>0</v>
      </c>
      <c r="I27" s="198">
        <f>SUMIFS('июль 2023'!$G$4:$G$968,'июль 2023'!$D$4:$D$968,$B27,'июль 2023'!$J$4:$J$968,I$1)</f>
        <v>0</v>
      </c>
      <c r="J27" s="198">
        <f>SUMIFS('июль 2023'!$G$4:$G$968,'июль 2023'!$D$4:$D$968,$B27,'июль 2023'!$J$4:$J$968,J$1)</f>
        <v>0</v>
      </c>
      <c r="K27" s="198">
        <f>SUMIFS('июль 2023'!$G$4:$G$968,'июль 2023'!$D$4:$D$968,$B27,'июль 2023'!$J$4:$J$968,K$1)</f>
        <v>0</v>
      </c>
      <c r="L27" s="198">
        <f>SUMIFS('июль 2023'!$G$4:$G$968,'июль 2023'!$D$4:$D$968,$B27,'июль 2023'!$J$4:$J$968,L$1)</f>
        <v>0</v>
      </c>
      <c r="M27" s="198">
        <f>SUMIFS('июль 2023'!$G$4:$G$968,'июль 2023'!$D$4:$D$968,$B27,'июль 2023'!$J$4:$J$968,M$1)</f>
        <v>0</v>
      </c>
      <c r="N27" s="198">
        <f>SUMIFS('июль 2023'!$G$4:$G$968,'июль 2023'!$D$4:$D$968,$B27,'июль 2023'!$J$4:$J$968,N$1)</f>
        <v>0</v>
      </c>
      <c r="O27" s="198">
        <f>SUMIFS('июль 2023'!$G$4:$G$968,'июль 2023'!$D$4:$D$968,$B27,'июль 2023'!$J$4:$J$968,O$1)</f>
        <v>0</v>
      </c>
      <c r="P27" s="198">
        <f>SUMIFS('июль 2023'!$G$4:$G$968,'июль 2023'!$D$4:$D$968,$B27,'июль 2023'!$J$4:$J$968,P$1)</f>
        <v>0</v>
      </c>
      <c r="Q27" s="198">
        <f>SUMIFS('июль 2023'!$G$4:$G$968,'июль 2023'!$D$4:$D$968,$B27,'июль 2023'!$J$4:$J$968,Q$1)</f>
        <v>0</v>
      </c>
      <c r="R27" s="198">
        <f>SUMIFS('июль 2023'!$G$4:$G$968,'июль 2023'!$D$4:$D$968,$B27,'июль 2023'!$J$4:$J$968,R$1)</f>
        <v>0</v>
      </c>
      <c r="S27" s="198">
        <f>SUMIFS('июль 2023'!$G$4:$G$968,'июль 2023'!$D$4:$D$968,$B27,'июль 2023'!$J$4:$J$968,S$1)</f>
        <v>0</v>
      </c>
      <c r="T27" s="198">
        <f>SUMIFS('июль 2023'!$G$4:$G$968,'июль 2023'!$D$4:$D$968,$B27,'июль 2023'!$J$4:$J$968,T$1)</f>
        <v>0</v>
      </c>
      <c r="U27" s="198">
        <f>SUMIFS('июль 2023'!$G$4:$G$968,'июль 2023'!$D$4:$D$968,$B27,'июль 2023'!$J$4:$J$968,U$1)</f>
        <v>0</v>
      </c>
      <c r="V27" s="198">
        <f>SUMIFS('июль 2023'!$G$4:$G$968,'июль 2023'!$D$4:$D$968,$B27,'июль 2023'!$J$4:$J$968,V$1)</f>
        <v>0</v>
      </c>
      <c r="W27" s="198">
        <f>SUMIFS('июль 2023'!$G$4:$G$968,'июль 2023'!$D$4:$D$968,$B27,'июль 2023'!$J$4:$J$968,W$1)</f>
        <v>0</v>
      </c>
      <c r="X27" s="198">
        <f>SUMIFS('июль 2023'!$G$4:$G$968,'июль 2023'!$D$4:$D$968,$B27,'июль 2023'!$J$4:$J$968,X$1)</f>
        <v>0</v>
      </c>
      <c r="Y27" s="198">
        <f>SUMIFS('июль 2023'!$G$4:$G$968,'июль 2023'!$D$4:$D$968,$B27,'июль 2023'!$J$4:$J$968,Y$1)</f>
        <v>0</v>
      </c>
      <c r="Z27" s="198">
        <f>SUMIFS('июль 2023'!$G$4:$G$968,'июль 2023'!$D$4:$D$968,$B27,'июль 2023'!$J$4:$J$968,Z$1)</f>
        <v>0</v>
      </c>
      <c r="AA27" s="198">
        <f>SUMIFS('июль 2023'!$G$4:$G$968,'июль 2023'!$D$4:$D$968,$B27,'июль 2023'!$J$4:$J$968,AA$1)</f>
        <v>0</v>
      </c>
      <c r="AB27" s="198">
        <f>SUMIFS('июль 2023'!$G$4:$G$968,'июль 2023'!$D$4:$D$968,$B27,'июль 2023'!$J$4:$J$968,AB$1)</f>
        <v>0</v>
      </c>
      <c r="AC27" s="198">
        <f>SUMIFS('июль 2023'!$G$4:$G$968,'июль 2023'!$D$4:$D$968,$B27,'июль 2023'!$J$4:$J$968,AC$1)</f>
        <v>0</v>
      </c>
      <c r="AD27" s="198">
        <f>SUMIFS('июль 2023'!$G$4:$G$968,'июль 2023'!$D$4:$D$968,$B27,'июль 2023'!$J$4:$J$968,AD$1)</f>
        <v>0</v>
      </c>
      <c r="AE27" s="198">
        <f>SUMIFS('июль 2023'!$G$4:$G$968,'июль 2023'!$D$4:$D$968,$B27,'июль 2023'!$J$4:$J$968,AE$1)</f>
        <v>0</v>
      </c>
      <c r="AF27" s="198">
        <f>SUMIFS('июль 2023'!$G$4:$G$968,'июль 2023'!$D$4:$D$968,$B27,'июль 2023'!$J$4:$J$968,AF$1)</f>
        <v>0</v>
      </c>
      <c r="AG27" s="198">
        <f>SUMIFS('июль 2023'!$G$4:$G$968,'июль 2023'!$D$4:$D$968,$B27,'июль 2023'!$J$4:$J$968,AG$1)</f>
        <v>0</v>
      </c>
      <c r="AH27" s="198">
        <f>SUMIFS('июль 2023'!$G$4:$G$968,'июль 2023'!$D$4:$D$968,$B27,'июль 2023'!$J$4:$J$968,AH$1)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SUMIFS('июль 2023'!$G$4:$G$968,'июль 2023'!$D$4:$D$968,$B28,'июль 2023'!$J$4:$J$968,D$1)</f>
        <v>0</v>
      </c>
      <c r="E28" s="198">
        <f>SUMIFS('июль 2023'!$G$4:$G$968,'июль 2023'!$D$4:$D$968,$B28,'июль 2023'!$J$4:$J$968,E$1)</f>
        <v>0</v>
      </c>
      <c r="F28" s="198">
        <f>SUMIFS('июль 2023'!$G$4:$G$968,'июль 2023'!$D$4:$D$968,$B28,'июль 2023'!$J$4:$J$968,F$1)</f>
        <v>0</v>
      </c>
      <c r="G28" s="198">
        <f>SUMIFS('июль 2023'!$G$4:$G$968,'июль 2023'!$D$4:$D$968,$B28,'июль 2023'!$J$4:$J$968,G$1)</f>
        <v>0</v>
      </c>
      <c r="H28" s="198">
        <f>SUMIFS('июль 2023'!$G$4:$G$968,'июль 2023'!$D$4:$D$968,$B28,'июль 2023'!$J$4:$J$968,H$1)</f>
        <v>0</v>
      </c>
      <c r="I28" s="198">
        <f>SUMIFS('июль 2023'!$G$4:$G$968,'июль 2023'!$D$4:$D$968,$B28,'июль 2023'!$J$4:$J$968,I$1)</f>
        <v>0</v>
      </c>
      <c r="J28" s="198">
        <f>SUMIFS('июль 2023'!$G$4:$G$968,'июль 2023'!$D$4:$D$968,$B28,'июль 2023'!$J$4:$J$968,J$1)</f>
        <v>0</v>
      </c>
      <c r="K28" s="198">
        <f>SUMIFS('июль 2023'!$G$4:$G$968,'июль 2023'!$D$4:$D$968,$B28,'июль 2023'!$J$4:$J$968,K$1)</f>
        <v>0</v>
      </c>
      <c r="L28" s="198">
        <f>SUMIFS('июль 2023'!$G$4:$G$968,'июль 2023'!$D$4:$D$968,$B28,'июль 2023'!$J$4:$J$968,L$1)</f>
        <v>0</v>
      </c>
      <c r="M28" s="198">
        <f>SUMIFS('июль 2023'!$G$4:$G$968,'июль 2023'!$D$4:$D$968,$B28,'июль 2023'!$J$4:$J$968,M$1)</f>
        <v>0</v>
      </c>
      <c r="N28" s="198">
        <f>SUMIFS('июль 2023'!$G$4:$G$968,'июль 2023'!$D$4:$D$968,$B28,'июль 2023'!$J$4:$J$968,N$1)</f>
        <v>0</v>
      </c>
      <c r="O28" s="198">
        <f>SUMIFS('июль 2023'!$G$4:$G$968,'июль 2023'!$D$4:$D$968,$B28,'июль 2023'!$J$4:$J$968,O$1)</f>
        <v>0</v>
      </c>
      <c r="P28" s="198">
        <f>SUMIFS('июль 2023'!$G$4:$G$968,'июль 2023'!$D$4:$D$968,$B28,'июль 2023'!$J$4:$J$968,P$1)</f>
        <v>0</v>
      </c>
      <c r="Q28" s="198">
        <f>SUMIFS('июль 2023'!$G$4:$G$968,'июль 2023'!$D$4:$D$968,$B28,'июль 2023'!$J$4:$J$968,Q$1)</f>
        <v>0</v>
      </c>
      <c r="R28" s="198">
        <f>SUMIFS('июль 2023'!$G$4:$G$968,'июль 2023'!$D$4:$D$968,$B28,'июль 2023'!$J$4:$J$968,R$1)</f>
        <v>0</v>
      </c>
      <c r="S28" s="198">
        <f>SUMIFS('июль 2023'!$G$4:$G$968,'июль 2023'!$D$4:$D$968,$B28,'июль 2023'!$J$4:$J$968,S$1)</f>
        <v>0</v>
      </c>
      <c r="T28" s="198">
        <f>SUMIFS('июль 2023'!$G$4:$G$968,'июль 2023'!$D$4:$D$968,$B28,'июль 2023'!$J$4:$J$968,T$1)</f>
        <v>0</v>
      </c>
      <c r="U28" s="198">
        <f>SUMIFS('июль 2023'!$G$4:$G$968,'июль 2023'!$D$4:$D$968,$B28,'июль 2023'!$J$4:$J$968,U$1)</f>
        <v>0</v>
      </c>
      <c r="V28" s="198">
        <f>SUMIFS('июль 2023'!$G$4:$G$968,'июль 2023'!$D$4:$D$968,$B28,'июль 2023'!$J$4:$J$968,V$1)</f>
        <v>0</v>
      </c>
      <c r="W28" s="198">
        <f>SUMIFS('июль 2023'!$G$4:$G$968,'июль 2023'!$D$4:$D$968,$B28,'июль 2023'!$J$4:$J$968,W$1)</f>
        <v>0</v>
      </c>
      <c r="X28" s="198">
        <f>SUMIFS('июль 2023'!$G$4:$G$968,'июль 2023'!$D$4:$D$968,$B28,'июль 2023'!$J$4:$J$968,X$1)</f>
        <v>0</v>
      </c>
      <c r="Y28" s="198">
        <f>SUMIFS('июль 2023'!$G$4:$G$968,'июль 2023'!$D$4:$D$968,$B28,'июль 2023'!$J$4:$J$968,Y$1)</f>
        <v>0</v>
      </c>
      <c r="Z28" s="198">
        <f>SUMIFS('июль 2023'!$G$4:$G$968,'июль 2023'!$D$4:$D$968,$B28,'июль 2023'!$J$4:$J$968,Z$1)</f>
        <v>0</v>
      </c>
      <c r="AA28" s="198">
        <f>SUMIFS('июль 2023'!$G$4:$G$968,'июль 2023'!$D$4:$D$968,$B28,'июль 2023'!$J$4:$J$968,AA$1)</f>
        <v>0</v>
      </c>
      <c r="AB28" s="198">
        <f>SUMIFS('июль 2023'!$G$4:$G$968,'июль 2023'!$D$4:$D$968,$B28,'июль 2023'!$J$4:$J$968,AB$1)</f>
        <v>0</v>
      </c>
      <c r="AC28" s="198">
        <f>SUMIFS('июль 2023'!$G$4:$G$968,'июль 2023'!$D$4:$D$968,$B28,'июль 2023'!$J$4:$J$968,AC$1)</f>
        <v>0</v>
      </c>
      <c r="AD28" s="198">
        <f>SUMIFS('июль 2023'!$G$4:$G$968,'июль 2023'!$D$4:$D$968,$B28,'июль 2023'!$J$4:$J$968,AD$1)</f>
        <v>0</v>
      </c>
      <c r="AE28" s="198">
        <f>SUMIFS('июль 2023'!$G$4:$G$968,'июль 2023'!$D$4:$D$968,$B28,'июль 2023'!$J$4:$J$968,AE$1)</f>
        <v>0</v>
      </c>
      <c r="AF28" s="198">
        <f>SUMIFS('июль 2023'!$G$4:$G$968,'июль 2023'!$D$4:$D$968,$B28,'июль 2023'!$J$4:$J$968,AF$1)</f>
        <v>0</v>
      </c>
      <c r="AG28" s="198">
        <f>SUMIFS('июль 2023'!$G$4:$G$968,'июль 2023'!$D$4:$D$968,$B28,'июль 2023'!$J$4:$J$968,AG$1)</f>
        <v>0</v>
      </c>
      <c r="AH28" s="198">
        <f>SUMIFS('июль 2023'!$G$4:$G$968,'июль 2023'!$D$4:$D$968,$B28,'июль 2023'!$J$4:$J$968,AH$1)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SUMIFS('июль 2023'!$G$4:$G$968,'июль 2023'!$D$4:$D$968,$B29,'июль 2023'!$J$4:$J$968,D$1)</f>
        <v>0</v>
      </c>
      <c r="E29" s="198">
        <f>SUMIFS('июль 2023'!$G$4:$G$968,'июль 2023'!$D$4:$D$968,$B29,'июль 2023'!$J$4:$J$968,E$1)</f>
        <v>0</v>
      </c>
      <c r="F29" s="198">
        <f>SUMIFS('июль 2023'!$G$4:$G$968,'июль 2023'!$D$4:$D$968,$B29,'июль 2023'!$J$4:$J$968,F$1)</f>
        <v>0</v>
      </c>
      <c r="G29" s="198">
        <f>SUMIFS('июль 2023'!$G$4:$G$968,'июль 2023'!$D$4:$D$968,$B29,'июль 2023'!$J$4:$J$968,G$1)</f>
        <v>0</v>
      </c>
      <c r="H29" s="198">
        <f>SUMIFS('июль 2023'!$G$4:$G$968,'июль 2023'!$D$4:$D$968,$B29,'июль 2023'!$J$4:$J$968,H$1)</f>
        <v>0</v>
      </c>
      <c r="I29" s="198">
        <f>SUMIFS('июль 2023'!$G$4:$G$968,'июль 2023'!$D$4:$D$968,$B29,'июль 2023'!$J$4:$J$968,I$1)</f>
        <v>0</v>
      </c>
      <c r="J29" s="198">
        <f>SUMIFS('июль 2023'!$G$4:$G$968,'июль 2023'!$D$4:$D$968,$B29,'июль 2023'!$J$4:$J$968,J$1)</f>
        <v>0</v>
      </c>
      <c r="K29" s="198">
        <f>SUMIFS('июль 2023'!$G$4:$G$968,'июль 2023'!$D$4:$D$968,$B29,'июль 2023'!$J$4:$J$968,K$1)</f>
        <v>0</v>
      </c>
      <c r="L29" s="198">
        <f>SUMIFS('июль 2023'!$G$4:$G$968,'июль 2023'!$D$4:$D$968,$B29,'июль 2023'!$J$4:$J$968,L$1)</f>
        <v>0</v>
      </c>
      <c r="M29" s="198">
        <f>SUMIFS('июль 2023'!$G$4:$G$968,'июль 2023'!$D$4:$D$968,$B29,'июль 2023'!$J$4:$J$968,M$1)</f>
        <v>0</v>
      </c>
      <c r="N29" s="198">
        <f>SUMIFS('июль 2023'!$G$4:$G$968,'июль 2023'!$D$4:$D$968,$B29,'июль 2023'!$J$4:$J$968,N$1)</f>
        <v>0</v>
      </c>
      <c r="O29" s="198">
        <f>SUMIFS('июль 2023'!$G$4:$G$968,'июль 2023'!$D$4:$D$968,$B29,'июль 2023'!$J$4:$J$968,O$1)</f>
        <v>0</v>
      </c>
      <c r="P29" s="198">
        <f>SUMIFS('июль 2023'!$G$4:$G$968,'июль 2023'!$D$4:$D$968,$B29,'июль 2023'!$J$4:$J$968,P$1)</f>
        <v>0</v>
      </c>
      <c r="Q29" s="198">
        <f>SUMIFS('июль 2023'!$G$4:$G$968,'июль 2023'!$D$4:$D$968,$B29,'июль 2023'!$J$4:$J$968,Q$1)</f>
        <v>0</v>
      </c>
      <c r="R29" s="198">
        <f>SUMIFS('июль 2023'!$G$4:$G$968,'июль 2023'!$D$4:$D$968,$B29,'июль 2023'!$J$4:$J$968,R$1)</f>
        <v>0</v>
      </c>
      <c r="S29" s="198">
        <f>SUMIFS('июль 2023'!$G$4:$G$968,'июль 2023'!$D$4:$D$968,$B29,'июль 2023'!$J$4:$J$968,S$1)</f>
        <v>0</v>
      </c>
      <c r="T29" s="198">
        <f>SUMIFS('июль 2023'!$G$4:$G$968,'июль 2023'!$D$4:$D$968,$B29,'июль 2023'!$J$4:$J$968,T$1)</f>
        <v>0</v>
      </c>
      <c r="U29" s="198">
        <f>SUMIFS('июль 2023'!$G$4:$G$968,'июль 2023'!$D$4:$D$968,$B29,'июль 2023'!$J$4:$J$968,U$1)</f>
        <v>0</v>
      </c>
      <c r="V29" s="198">
        <f>SUMIFS('июль 2023'!$G$4:$G$968,'июль 2023'!$D$4:$D$968,$B29,'июль 2023'!$J$4:$J$968,V$1)</f>
        <v>0</v>
      </c>
      <c r="W29" s="198">
        <f>SUMIFS('июль 2023'!$G$4:$G$968,'июль 2023'!$D$4:$D$968,$B29,'июль 2023'!$J$4:$J$968,W$1)</f>
        <v>0</v>
      </c>
      <c r="X29" s="198">
        <f>SUMIFS('июль 2023'!$G$4:$G$968,'июль 2023'!$D$4:$D$968,$B29,'июль 2023'!$J$4:$J$968,X$1)</f>
        <v>0</v>
      </c>
      <c r="Y29" s="198">
        <f>SUMIFS('июль 2023'!$G$4:$G$968,'июль 2023'!$D$4:$D$968,$B29,'июль 2023'!$J$4:$J$968,Y$1)</f>
        <v>0</v>
      </c>
      <c r="Z29" s="198">
        <f>SUMIFS('июль 2023'!$G$4:$G$968,'июль 2023'!$D$4:$D$968,$B29,'июль 2023'!$J$4:$J$968,Z$1)</f>
        <v>0</v>
      </c>
      <c r="AA29" s="198">
        <f>SUMIFS('июль 2023'!$G$4:$G$968,'июль 2023'!$D$4:$D$968,$B29,'июль 2023'!$J$4:$J$968,AA$1)</f>
        <v>0</v>
      </c>
      <c r="AB29" s="198">
        <f>SUMIFS('июль 2023'!$G$4:$G$968,'июль 2023'!$D$4:$D$968,$B29,'июль 2023'!$J$4:$J$968,AB$1)</f>
        <v>0</v>
      </c>
      <c r="AC29" s="198">
        <f>SUMIFS('июль 2023'!$G$4:$G$968,'июль 2023'!$D$4:$D$968,$B29,'июль 2023'!$J$4:$J$968,AC$1)</f>
        <v>0</v>
      </c>
      <c r="AD29" s="198">
        <f>SUMIFS('июль 2023'!$G$4:$G$968,'июль 2023'!$D$4:$D$968,$B29,'июль 2023'!$J$4:$J$968,AD$1)</f>
        <v>0</v>
      </c>
      <c r="AE29" s="198">
        <f>SUMIFS('июль 2023'!$G$4:$G$968,'июль 2023'!$D$4:$D$968,$B29,'июль 2023'!$J$4:$J$968,AE$1)</f>
        <v>0</v>
      </c>
      <c r="AF29" s="198">
        <f>SUMIFS('июль 2023'!$G$4:$G$968,'июль 2023'!$D$4:$D$968,$B29,'июль 2023'!$J$4:$J$968,AF$1)</f>
        <v>0</v>
      </c>
      <c r="AG29" s="198">
        <f>SUMIFS('июль 2023'!$G$4:$G$968,'июль 2023'!$D$4:$D$968,$B29,'июль 2023'!$J$4:$J$968,AG$1)</f>
        <v>0</v>
      </c>
      <c r="AH29" s="198">
        <f>SUMIFS('июль 2023'!$G$4:$G$968,'июль 2023'!$D$4:$D$968,$B29,'июль 2023'!$J$4:$J$968,AH$1)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SUMIFS('июль 2023'!$G$4:$G$968,'июль 2023'!$D$4:$D$968,$B30,'июль 2023'!$J$4:$J$968,D$1)</f>
        <v>0</v>
      </c>
      <c r="E30" s="198">
        <f>SUMIFS('июль 2023'!$G$4:$G$968,'июль 2023'!$D$4:$D$968,$B30,'июль 2023'!$J$4:$J$968,E$1)</f>
        <v>0</v>
      </c>
      <c r="F30" s="198">
        <f>SUMIFS('июль 2023'!$G$4:$G$968,'июль 2023'!$D$4:$D$968,$B30,'июль 2023'!$J$4:$J$968,F$1)</f>
        <v>0</v>
      </c>
      <c r="G30" s="198">
        <f>SUMIFS('июль 2023'!$G$4:$G$968,'июль 2023'!$D$4:$D$968,$B30,'июль 2023'!$J$4:$J$968,G$1)</f>
        <v>0</v>
      </c>
      <c r="H30" s="198">
        <f>SUMIFS('июль 2023'!$G$4:$G$968,'июль 2023'!$D$4:$D$968,$B30,'июль 2023'!$J$4:$J$968,H$1)</f>
        <v>0</v>
      </c>
      <c r="I30" s="198">
        <f>SUMIFS('июль 2023'!$G$4:$G$968,'июль 2023'!$D$4:$D$968,$B30,'июль 2023'!$J$4:$J$968,I$1)</f>
        <v>0</v>
      </c>
      <c r="J30" s="198">
        <f>SUMIFS('июль 2023'!$G$4:$G$968,'июль 2023'!$D$4:$D$968,$B30,'июль 2023'!$J$4:$J$968,J$1)</f>
        <v>0</v>
      </c>
      <c r="K30" s="198">
        <f>SUMIFS('июль 2023'!$G$4:$G$968,'июль 2023'!$D$4:$D$968,$B30,'июль 2023'!$J$4:$J$968,K$1)</f>
        <v>0</v>
      </c>
      <c r="L30" s="198">
        <f>SUMIFS('июль 2023'!$G$4:$G$968,'июль 2023'!$D$4:$D$968,$B30,'июль 2023'!$J$4:$J$968,L$1)</f>
        <v>0</v>
      </c>
      <c r="M30" s="198">
        <f>SUMIFS('июль 2023'!$G$4:$G$968,'июль 2023'!$D$4:$D$968,$B30,'июль 2023'!$J$4:$J$968,M$1)</f>
        <v>0</v>
      </c>
      <c r="N30" s="198">
        <f>SUMIFS('июль 2023'!$G$4:$G$968,'июль 2023'!$D$4:$D$968,$B30,'июль 2023'!$J$4:$J$968,N$1)</f>
        <v>0</v>
      </c>
      <c r="O30" s="198">
        <f>SUMIFS('июль 2023'!$G$4:$G$968,'июль 2023'!$D$4:$D$968,$B30,'июль 2023'!$J$4:$J$968,O$1)</f>
        <v>0</v>
      </c>
      <c r="P30" s="198">
        <f>SUMIFS('июль 2023'!$G$4:$G$968,'июль 2023'!$D$4:$D$968,$B30,'июль 2023'!$J$4:$J$968,P$1)</f>
        <v>0</v>
      </c>
      <c r="Q30" s="198">
        <f>SUMIFS('июль 2023'!$G$4:$G$968,'июль 2023'!$D$4:$D$968,$B30,'июль 2023'!$J$4:$J$968,Q$1)</f>
        <v>0</v>
      </c>
      <c r="R30" s="198">
        <f>SUMIFS('июль 2023'!$G$4:$G$968,'июль 2023'!$D$4:$D$968,$B30,'июль 2023'!$J$4:$J$968,R$1)</f>
        <v>0</v>
      </c>
      <c r="S30" s="198">
        <f>SUMIFS('июль 2023'!$G$4:$G$968,'июль 2023'!$D$4:$D$968,$B30,'июль 2023'!$J$4:$J$968,S$1)</f>
        <v>0</v>
      </c>
      <c r="T30" s="198">
        <f>SUMIFS('июль 2023'!$G$4:$G$968,'июль 2023'!$D$4:$D$968,$B30,'июль 2023'!$J$4:$J$968,T$1)</f>
        <v>0</v>
      </c>
      <c r="U30" s="198">
        <f>SUMIFS('июль 2023'!$G$4:$G$968,'июль 2023'!$D$4:$D$968,$B30,'июль 2023'!$J$4:$J$968,U$1)</f>
        <v>0</v>
      </c>
      <c r="V30" s="198">
        <f>SUMIFS('июль 2023'!$G$4:$G$968,'июль 2023'!$D$4:$D$968,$B30,'июль 2023'!$J$4:$J$968,V$1)</f>
        <v>0</v>
      </c>
      <c r="W30" s="198">
        <f>SUMIFS('июль 2023'!$G$4:$G$968,'июль 2023'!$D$4:$D$968,$B30,'июль 2023'!$J$4:$J$968,W$1)</f>
        <v>0</v>
      </c>
      <c r="X30" s="198">
        <f>SUMIFS('июль 2023'!$G$4:$G$968,'июль 2023'!$D$4:$D$968,$B30,'июль 2023'!$J$4:$J$968,X$1)</f>
        <v>0</v>
      </c>
      <c r="Y30" s="198">
        <f>SUMIFS('июль 2023'!$G$4:$G$968,'июль 2023'!$D$4:$D$968,$B30,'июль 2023'!$J$4:$J$968,Y$1)</f>
        <v>0</v>
      </c>
      <c r="Z30" s="198">
        <f>SUMIFS('июль 2023'!$G$4:$G$968,'июль 2023'!$D$4:$D$968,$B30,'июль 2023'!$J$4:$J$968,Z$1)</f>
        <v>0</v>
      </c>
      <c r="AA30" s="198">
        <f>SUMIFS('июль 2023'!$G$4:$G$968,'июль 2023'!$D$4:$D$968,$B30,'июль 2023'!$J$4:$J$968,AA$1)</f>
        <v>0</v>
      </c>
      <c r="AB30" s="198">
        <f>SUMIFS('июль 2023'!$G$4:$G$968,'июль 2023'!$D$4:$D$968,$B30,'июль 2023'!$J$4:$J$968,AB$1)</f>
        <v>0</v>
      </c>
      <c r="AC30" s="198">
        <f>SUMIFS('июль 2023'!$G$4:$G$968,'июль 2023'!$D$4:$D$968,$B30,'июль 2023'!$J$4:$J$968,AC$1)</f>
        <v>0</v>
      </c>
      <c r="AD30" s="198">
        <f>SUMIFS('июль 2023'!$G$4:$G$968,'июль 2023'!$D$4:$D$968,$B30,'июль 2023'!$J$4:$J$968,AD$1)</f>
        <v>0</v>
      </c>
      <c r="AE30" s="198">
        <f>SUMIFS('июль 2023'!$G$4:$G$968,'июль 2023'!$D$4:$D$968,$B30,'июль 2023'!$J$4:$J$968,AE$1)</f>
        <v>0</v>
      </c>
      <c r="AF30" s="198">
        <f>SUMIFS('июль 2023'!$G$4:$G$968,'июль 2023'!$D$4:$D$968,$B30,'июль 2023'!$J$4:$J$968,AF$1)</f>
        <v>0</v>
      </c>
      <c r="AG30" s="198">
        <f>SUMIFS('июль 2023'!$G$4:$G$968,'июль 2023'!$D$4:$D$968,$B30,'июль 2023'!$J$4:$J$968,AG$1)</f>
        <v>0</v>
      </c>
      <c r="AH30" s="198">
        <f>SUMIFS('июль 2023'!$G$4:$G$968,'июль 2023'!$D$4:$D$968,$B30,'июль 2023'!$J$4:$J$968,AH$1)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SUMIFS('июль 2023'!$G$4:$G$968,'июль 2023'!$D$4:$D$968,$B31,'июль 2023'!$J$4:$J$968,D$1)</f>
        <v>0</v>
      </c>
      <c r="E31" s="207">
        <f>SUMIFS('июль 2023'!$G$4:$G$968,'июль 2023'!$D$4:$D$968,$B31,'июль 2023'!$J$4:$J$968,E$1)</f>
        <v>0</v>
      </c>
      <c r="F31" s="207">
        <f>SUMIFS('июль 2023'!$G$4:$G$968,'июль 2023'!$D$4:$D$968,$B31,'июль 2023'!$J$4:$J$968,F$1)</f>
        <v>0</v>
      </c>
      <c r="G31" s="207">
        <f>SUMIFS('июль 2023'!$G$4:$G$968,'июль 2023'!$D$4:$D$968,$B31,'июль 2023'!$J$4:$J$968,G$1)</f>
        <v>0</v>
      </c>
      <c r="H31" s="207">
        <f>SUMIFS('июль 2023'!$G$4:$G$968,'июль 2023'!$D$4:$D$968,$B31,'июль 2023'!$J$4:$J$968,H$1)</f>
        <v>0</v>
      </c>
      <c r="I31" s="207">
        <f>SUMIFS('июль 2023'!$G$4:$G$968,'июль 2023'!$D$4:$D$968,$B31,'июль 2023'!$J$4:$J$968,I$1)</f>
        <v>0</v>
      </c>
      <c r="J31" s="207">
        <f>SUMIFS('июль 2023'!$G$4:$G$968,'июль 2023'!$D$4:$D$968,$B31,'июль 2023'!$J$4:$J$968,J$1)</f>
        <v>0</v>
      </c>
      <c r="K31" s="207">
        <f>SUMIFS('июль 2023'!$G$4:$G$968,'июль 2023'!$D$4:$D$968,$B31,'июль 2023'!$J$4:$J$968,K$1)</f>
        <v>0</v>
      </c>
      <c r="L31" s="207">
        <f>SUMIFS('июль 2023'!$G$4:$G$968,'июль 2023'!$D$4:$D$968,$B31,'июль 2023'!$J$4:$J$968,L$1)</f>
        <v>0</v>
      </c>
      <c r="M31" s="207">
        <f>SUMIFS('июль 2023'!$G$4:$G$968,'июль 2023'!$D$4:$D$968,$B31,'июль 2023'!$J$4:$J$968,M$1)</f>
        <v>0</v>
      </c>
      <c r="N31" s="207">
        <f>SUMIFS('июль 2023'!$G$4:$G$968,'июль 2023'!$D$4:$D$968,$B31,'июль 2023'!$J$4:$J$968,N$1)</f>
        <v>0</v>
      </c>
      <c r="O31" s="207">
        <f>SUMIFS('июль 2023'!$G$4:$G$968,'июль 2023'!$D$4:$D$968,$B31,'июль 2023'!$J$4:$J$968,O$1)</f>
        <v>0</v>
      </c>
      <c r="P31" s="207">
        <f>SUMIFS('июль 2023'!$G$4:$G$968,'июль 2023'!$D$4:$D$968,$B31,'июль 2023'!$J$4:$J$968,P$1)</f>
        <v>0</v>
      </c>
      <c r="Q31" s="207">
        <f>SUMIFS('июль 2023'!$G$4:$G$968,'июль 2023'!$D$4:$D$968,$B31,'июль 2023'!$J$4:$J$968,Q$1)</f>
        <v>0</v>
      </c>
      <c r="R31" s="207">
        <f>SUMIFS('июль 2023'!$G$4:$G$968,'июль 2023'!$D$4:$D$968,$B31,'июль 2023'!$J$4:$J$968,R$1)</f>
        <v>0</v>
      </c>
      <c r="S31" s="207">
        <f>SUMIFS('июль 2023'!$G$4:$G$968,'июль 2023'!$D$4:$D$968,$B31,'июль 2023'!$J$4:$J$968,S$1)</f>
        <v>0</v>
      </c>
      <c r="T31" s="207">
        <f>SUMIFS('июль 2023'!$G$4:$G$968,'июль 2023'!$D$4:$D$968,$B31,'июль 2023'!$J$4:$J$968,T$1)</f>
        <v>0</v>
      </c>
      <c r="U31" s="207">
        <f>SUMIFS('июль 2023'!$G$4:$G$968,'июль 2023'!$D$4:$D$968,$B31,'июль 2023'!$J$4:$J$968,U$1)</f>
        <v>0</v>
      </c>
      <c r="V31" s="207">
        <f>SUMIFS('июль 2023'!$G$4:$G$968,'июль 2023'!$D$4:$D$968,$B31,'июль 2023'!$J$4:$J$968,V$1)</f>
        <v>0</v>
      </c>
      <c r="W31" s="207">
        <f>SUMIFS('июль 2023'!$G$4:$G$968,'июль 2023'!$D$4:$D$968,$B31,'июль 2023'!$J$4:$J$968,W$1)</f>
        <v>0</v>
      </c>
      <c r="X31" s="207">
        <f>SUMIFS('июль 2023'!$G$4:$G$968,'июль 2023'!$D$4:$D$968,$B31,'июль 2023'!$J$4:$J$968,X$1)</f>
        <v>0</v>
      </c>
      <c r="Y31" s="207">
        <f>SUMIFS('июль 2023'!$G$4:$G$968,'июль 2023'!$D$4:$D$968,$B31,'июль 2023'!$J$4:$J$968,Y$1)</f>
        <v>0</v>
      </c>
      <c r="Z31" s="207">
        <f>SUMIFS('июль 2023'!$G$4:$G$968,'июль 2023'!$D$4:$D$968,$B31,'июль 2023'!$J$4:$J$968,Z$1)</f>
        <v>0</v>
      </c>
      <c r="AA31" s="207">
        <f>SUMIFS('июль 2023'!$G$4:$G$968,'июль 2023'!$D$4:$D$968,$B31,'июль 2023'!$J$4:$J$968,AA$1)</f>
        <v>0</v>
      </c>
      <c r="AB31" s="207">
        <f>SUMIFS('июль 2023'!$G$4:$G$968,'июль 2023'!$D$4:$D$968,$B31,'июль 2023'!$J$4:$J$968,AB$1)</f>
        <v>0</v>
      </c>
      <c r="AC31" s="207">
        <f>SUMIFS('июль 2023'!$G$4:$G$968,'июль 2023'!$D$4:$D$968,$B31,'июль 2023'!$J$4:$J$968,AC$1)</f>
        <v>0</v>
      </c>
      <c r="AD31" s="207">
        <f>SUMIFS('июль 2023'!$G$4:$G$968,'июль 2023'!$D$4:$D$968,$B31,'июль 2023'!$J$4:$J$968,AD$1)</f>
        <v>0</v>
      </c>
      <c r="AE31" s="207">
        <f>SUMIFS('июль 2023'!$G$4:$G$968,'июль 2023'!$D$4:$D$968,$B31,'июль 2023'!$J$4:$J$968,AE$1)</f>
        <v>0</v>
      </c>
      <c r="AF31" s="207">
        <f>SUMIFS('июль 2023'!$G$4:$G$968,'июль 2023'!$D$4:$D$968,$B31,'июль 2023'!$J$4:$J$968,AF$1)</f>
        <v>0</v>
      </c>
      <c r="AG31" s="207">
        <f>SUMIFS('июль 2023'!$G$4:$G$968,'июль 2023'!$D$4:$D$968,$B31,'июль 2023'!$J$4:$J$968,AG$1)</f>
        <v>0</v>
      </c>
      <c r="AH31" s="207">
        <f>SUMIFS('июль 2023'!$G$4:$G$968,'июль 2023'!$D$4:$D$968,$B31,'июль 2023'!$J$4:$J$968,AH$1)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SUMIFS('июль 2023'!$G$4:$G$968,'июль 2023'!$D$4:$D$968,$B32,'июль 2023'!$J$4:$J$968,D$1)</f>
        <v>0</v>
      </c>
      <c r="E32" s="207">
        <f>SUMIFS('июль 2023'!$G$4:$G$968,'июль 2023'!$D$4:$D$968,$B32,'июль 2023'!$J$4:$J$968,E$1)</f>
        <v>0</v>
      </c>
      <c r="F32" s="207">
        <f>SUMIFS('июль 2023'!$G$4:$G$968,'июль 2023'!$D$4:$D$968,$B32,'июль 2023'!$J$4:$J$968,F$1)</f>
        <v>0</v>
      </c>
      <c r="G32" s="207">
        <f>SUMIFS('июль 2023'!$G$4:$G$968,'июль 2023'!$D$4:$D$968,$B32,'июль 2023'!$J$4:$J$968,G$1)</f>
        <v>0</v>
      </c>
      <c r="H32" s="207">
        <f>SUMIFS('июль 2023'!$G$4:$G$968,'июль 2023'!$D$4:$D$968,$B32,'июль 2023'!$J$4:$J$968,H$1)</f>
        <v>0</v>
      </c>
      <c r="I32" s="207">
        <f>SUMIFS('июль 2023'!$G$4:$G$968,'июль 2023'!$D$4:$D$968,$B32,'июль 2023'!$J$4:$J$968,I$1)</f>
        <v>0</v>
      </c>
      <c r="J32" s="207">
        <f>SUMIFS('июль 2023'!$G$4:$G$968,'июль 2023'!$D$4:$D$968,$B32,'июль 2023'!$J$4:$J$968,J$1)</f>
        <v>0</v>
      </c>
      <c r="K32" s="207">
        <f>SUMIFS('июль 2023'!$G$4:$G$968,'июль 2023'!$D$4:$D$968,$B32,'июль 2023'!$J$4:$J$968,K$1)</f>
        <v>0</v>
      </c>
      <c r="L32" s="207">
        <f>SUMIFS('июль 2023'!$G$4:$G$968,'июль 2023'!$D$4:$D$968,$B32,'июль 2023'!$J$4:$J$968,L$1)</f>
        <v>0</v>
      </c>
      <c r="M32" s="207">
        <f>SUMIFS('июль 2023'!$G$4:$G$968,'июль 2023'!$D$4:$D$968,$B32,'июль 2023'!$J$4:$J$968,M$1)</f>
        <v>0</v>
      </c>
      <c r="N32" s="207">
        <f>SUMIFS('июль 2023'!$G$4:$G$968,'июль 2023'!$D$4:$D$968,$B32,'июль 2023'!$J$4:$J$968,N$1)</f>
        <v>0</v>
      </c>
      <c r="O32" s="207">
        <f>SUMIFS('июль 2023'!$G$4:$G$968,'июль 2023'!$D$4:$D$968,$B32,'июль 2023'!$J$4:$J$968,O$1)</f>
        <v>0</v>
      </c>
      <c r="P32" s="207">
        <f>SUMIFS('июль 2023'!$G$4:$G$968,'июль 2023'!$D$4:$D$968,$B32,'июль 2023'!$J$4:$J$968,P$1)</f>
        <v>0</v>
      </c>
      <c r="Q32" s="207">
        <f>SUMIFS('июль 2023'!$G$4:$G$968,'июль 2023'!$D$4:$D$968,$B32,'июль 2023'!$J$4:$J$968,Q$1)</f>
        <v>0</v>
      </c>
      <c r="R32" s="207">
        <f>SUMIFS('июль 2023'!$G$4:$G$968,'июль 2023'!$D$4:$D$968,$B32,'июль 2023'!$J$4:$J$968,R$1)</f>
        <v>0</v>
      </c>
      <c r="S32" s="207">
        <f>SUMIFS('июль 2023'!$G$4:$G$968,'июль 2023'!$D$4:$D$968,$B32,'июль 2023'!$J$4:$J$968,S$1)</f>
        <v>0</v>
      </c>
      <c r="T32" s="207">
        <f>SUMIFS('июль 2023'!$G$4:$G$968,'июль 2023'!$D$4:$D$968,$B32,'июль 2023'!$J$4:$J$968,T$1)</f>
        <v>0</v>
      </c>
      <c r="U32" s="207">
        <f>SUMIFS('июль 2023'!$G$4:$G$968,'июль 2023'!$D$4:$D$968,$B32,'июль 2023'!$J$4:$J$968,U$1)</f>
        <v>0</v>
      </c>
      <c r="V32" s="207">
        <f>SUMIFS('июль 2023'!$G$4:$G$968,'июль 2023'!$D$4:$D$968,$B32,'июль 2023'!$J$4:$J$968,V$1)</f>
        <v>0</v>
      </c>
      <c r="W32" s="207">
        <f>SUMIFS('июль 2023'!$G$4:$G$968,'июль 2023'!$D$4:$D$968,$B32,'июль 2023'!$J$4:$J$968,W$1)</f>
        <v>0</v>
      </c>
      <c r="X32" s="207">
        <f>SUMIFS('июль 2023'!$G$4:$G$968,'июль 2023'!$D$4:$D$968,$B32,'июль 2023'!$J$4:$J$968,X$1)</f>
        <v>0</v>
      </c>
      <c r="Y32" s="207">
        <f>SUMIFS('июль 2023'!$G$4:$G$968,'июль 2023'!$D$4:$D$968,$B32,'июль 2023'!$J$4:$J$968,Y$1)</f>
        <v>0</v>
      </c>
      <c r="Z32" s="207">
        <f>SUMIFS('июль 2023'!$G$4:$G$968,'июль 2023'!$D$4:$D$968,$B32,'июль 2023'!$J$4:$J$968,Z$1)</f>
        <v>0</v>
      </c>
      <c r="AA32" s="207">
        <f>SUMIFS('июль 2023'!$G$4:$G$968,'июль 2023'!$D$4:$D$968,$B32,'июль 2023'!$J$4:$J$968,AA$1)</f>
        <v>0</v>
      </c>
      <c r="AB32" s="207">
        <f>SUMIFS('июль 2023'!$G$4:$G$968,'июль 2023'!$D$4:$D$968,$B32,'июль 2023'!$J$4:$J$968,AB$1)</f>
        <v>0</v>
      </c>
      <c r="AC32" s="207">
        <f>SUMIFS('июль 2023'!$G$4:$G$968,'июль 2023'!$D$4:$D$968,$B32,'июль 2023'!$J$4:$J$968,AC$1)</f>
        <v>0</v>
      </c>
      <c r="AD32" s="207">
        <f>SUMIFS('июль 2023'!$G$4:$G$968,'июль 2023'!$D$4:$D$968,$B32,'июль 2023'!$J$4:$J$968,AD$1)</f>
        <v>0</v>
      </c>
      <c r="AE32" s="207">
        <f>SUMIFS('июль 2023'!$G$4:$G$968,'июль 2023'!$D$4:$D$968,$B32,'июль 2023'!$J$4:$J$968,AE$1)</f>
        <v>0</v>
      </c>
      <c r="AF32" s="207">
        <f>SUMIFS('июль 2023'!$G$4:$G$968,'июль 2023'!$D$4:$D$968,$B32,'июль 2023'!$J$4:$J$968,AF$1)</f>
        <v>0</v>
      </c>
      <c r="AG32" s="207">
        <f>SUMIFS('июль 2023'!$G$4:$G$968,'июль 2023'!$D$4:$D$968,$B32,'июль 2023'!$J$4:$J$968,AG$1)</f>
        <v>0</v>
      </c>
      <c r="AH32" s="207">
        <f>SUMIFS('июль 2023'!$G$4:$G$968,'июль 2023'!$D$4:$D$968,$B32,'июль 2023'!$J$4:$J$968,AH$1)</f>
        <v>0</v>
      </c>
      <c r="AI32" s="170">
        <f t="shared" si="1"/>
        <v>0</v>
      </c>
    </row>
    <row r="33" spans="2:35" ht="15" customHeight="1" x14ac:dyDescent="0.25">
      <c r="B33" s="209" t="s">
        <v>1344</v>
      </c>
      <c r="C33" s="206">
        <v>20</v>
      </c>
      <c r="D33" s="207">
        <f>SUMIFS('июль 2023'!$G$4:$G$968,'июль 2023'!$D$4:$D$968,$B33,'июль 2023'!$J$4:$J$968,D$1)</f>
        <v>0</v>
      </c>
      <c r="E33" s="207">
        <f>SUMIFS('июль 2023'!$G$4:$G$968,'июль 2023'!$D$4:$D$968,$B33,'июль 2023'!$J$4:$J$968,E$1)</f>
        <v>0</v>
      </c>
      <c r="F33" s="207">
        <f>SUMIFS('июль 2023'!$G$4:$G$968,'июль 2023'!$D$4:$D$968,$B33,'июль 2023'!$J$4:$J$968,F$1)</f>
        <v>0</v>
      </c>
      <c r="G33" s="207">
        <f>SUMIFS('июль 2023'!$G$4:$G$968,'июль 2023'!$D$4:$D$968,$B33,'июль 2023'!$J$4:$J$968,G$1)</f>
        <v>0</v>
      </c>
      <c r="H33" s="207">
        <f>SUMIFS('июль 2023'!$G$4:$G$968,'июль 2023'!$D$4:$D$968,$B33,'июль 2023'!$J$4:$J$968,H$1)</f>
        <v>0</v>
      </c>
      <c r="I33" s="207">
        <f>SUMIFS('июль 2023'!$G$4:$G$968,'июль 2023'!$D$4:$D$968,$B33,'июль 2023'!$J$4:$J$968,I$1)</f>
        <v>0</v>
      </c>
      <c r="J33" s="207">
        <f>SUMIFS('июль 2023'!$G$4:$G$968,'июль 2023'!$D$4:$D$968,$B33,'июль 2023'!$J$4:$J$968,J$1)</f>
        <v>0</v>
      </c>
      <c r="K33" s="207">
        <f>SUMIFS('июль 2023'!$G$4:$G$968,'июль 2023'!$D$4:$D$968,$B33,'июль 2023'!$J$4:$J$968,K$1)</f>
        <v>0</v>
      </c>
      <c r="L33" s="207">
        <f>SUMIFS('июль 2023'!$G$4:$G$968,'июль 2023'!$D$4:$D$968,$B33,'июль 2023'!$J$4:$J$968,L$1)</f>
        <v>0</v>
      </c>
      <c r="M33" s="207">
        <f>SUMIFS('июль 2023'!$G$4:$G$968,'июль 2023'!$D$4:$D$968,$B33,'июль 2023'!$J$4:$J$968,M$1)</f>
        <v>0</v>
      </c>
      <c r="N33" s="207">
        <f>SUMIFS('июль 2023'!$G$4:$G$968,'июль 2023'!$D$4:$D$968,$B33,'июль 2023'!$J$4:$J$968,N$1)</f>
        <v>0</v>
      </c>
      <c r="O33" s="207">
        <f>SUMIFS('июль 2023'!$G$4:$G$968,'июль 2023'!$D$4:$D$968,$B33,'июль 2023'!$J$4:$J$968,O$1)</f>
        <v>0</v>
      </c>
      <c r="P33" s="207">
        <f>SUMIFS('июль 2023'!$G$4:$G$968,'июль 2023'!$D$4:$D$968,$B33,'июль 2023'!$J$4:$J$968,P$1)</f>
        <v>0</v>
      </c>
      <c r="Q33" s="207">
        <f>SUMIFS('июль 2023'!$G$4:$G$968,'июль 2023'!$D$4:$D$968,$B33,'июль 2023'!$J$4:$J$968,Q$1)</f>
        <v>0</v>
      </c>
      <c r="R33" s="207">
        <f>SUMIFS('июль 2023'!$G$4:$G$968,'июль 2023'!$D$4:$D$968,$B33,'июль 2023'!$J$4:$J$968,R$1)</f>
        <v>0</v>
      </c>
      <c r="S33" s="207">
        <f>SUMIFS('июль 2023'!$G$4:$G$968,'июль 2023'!$D$4:$D$968,$B33,'июль 2023'!$J$4:$J$968,S$1)</f>
        <v>0</v>
      </c>
      <c r="T33" s="207">
        <f>SUMIFS('июль 2023'!$G$4:$G$968,'июль 2023'!$D$4:$D$968,$B33,'июль 2023'!$J$4:$J$968,T$1)</f>
        <v>0</v>
      </c>
      <c r="U33" s="207">
        <f>SUMIFS('июль 2023'!$G$4:$G$968,'июль 2023'!$D$4:$D$968,$B33,'июль 2023'!$J$4:$J$968,U$1)</f>
        <v>0</v>
      </c>
      <c r="V33" s="207">
        <f>SUMIFS('июль 2023'!$G$4:$G$968,'июль 2023'!$D$4:$D$968,$B33,'июль 2023'!$J$4:$J$968,V$1)</f>
        <v>0</v>
      </c>
      <c r="W33" s="207">
        <f>SUMIFS('июль 2023'!$G$4:$G$968,'июль 2023'!$D$4:$D$968,$B33,'июль 2023'!$J$4:$J$968,W$1)</f>
        <v>0</v>
      </c>
      <c r="X33" s="207">
        <f>SUMIFS('июль 2023'!$G$4:$G$968,'июль 2023'!$D$4:$D$968,$B33,'июль 2023'!$J$4:$J$968,X$1)</f>
        <v>0</v>
      </c>
      <c r="Y33" s="207">
        <f>SUMIFS('июль 2023'!$G$4:$G$968,'июль 2023'!$D$4:$D$968,$B33,'июль 2023'!$J$4:$J$968,Y$1)</f>
        <v>0</v>
      </c>
      <c r="Z33" s="207">
        <f>SUMIFS('июль 2023'!$G$4:$G$968,'июль 2023'!$D$4:$D$968,$B33,'июль 2023'!$J$4:$J$968,Z$1)</f>
        <v>0</v>
      </c>
      <c r="AA33" s="207">
        <f>SUMIFS('июль 2023'!$G$4:$G$968,'июль 2023'!$D$4:$D$968,$B33,'июль 2023'!$J$4:$J$968,AA$1)</f>
        <v>0</v>
      </c>
      <c r="AB33" s="207">
        <f>SUMIFS('июль 2023'!$G$4:$G$968,'июль 2023'!$D$4:$D$968,$B33,'июль 2023'!$J$4:$J$968,AB$1)</f>
        <v>0</v>
      </c>
      <c r="AC33" s="207">
        <f>SUMIFS('июль 2023'!$G$4:$G$968,'июль 2023'!$D$4:$D$968,$B33,'июль 2023'!$J$4:$J$968,AC$1)</f>
        <v>0</v>
      </c>
      <c r="AD33" s="207">
        <f>SUMIFS('июль 2023'!$G$4:$G$968,'июль 2023'!$D$4:$D$968,$B33,'июль 2023'!$J$4:$J$968,AD$1)</f>
        <v>0</v>
      </c>
      <c r="AE33" s="207">
        <f>SUMIFS('июль 2023'!$G$4:$G$968,'июль 2023'!$D$4:$D$968,$B33,'июль 2023'!$J$4:$J$968,AE$1)</f>
        <v>0</v>
      </c>
      <c r="AF33" s="207">
        <f>SUMIFS('июль 2023'!$G$4:$G$968,'июль 2023'!$D$4:$D$968,$B33,'июль 2023'!$J$4:$J$968,AF$1)</f>
        <v>0</v>
      </c>
      <c r="AG33" s="207">
        <f>SUMIFS('июль 2023'!$G$4:$G$968,'июль 2023'!$D$4:$D$968,$B33,'июль 2023'!$J$4:$J$968,AG$1)</f>
        <v>0</v>
      </c>
      <c r="AH33" s="207">
        <f>SUMIFS('июль 2023'!$G$4:$G$968,'июль 2023'!$D$4:$D$968,$B33,'июль 2023'!$J$4:$J$968,AH$1)</f>
        <v>0</v>
      </c>
      <c r="AI33" s="170">
        <f t="shared" si="1"/>
        <v>0</v>
      </c>
    </row>
    <row r="34" spans="2:35" ht="15" customHeight="1" x14ac:dyDescent="0.25">
      <c r="B34" s="210" t="s">
        <v>754</v>
      </c>
      <c r="C34" s="211">
        <v>20</v>
      </c>
      <c r="D34" s="207">
        <f>SUMIFS('июль 2023'!$G$4:$G$968,'июль 2023'!$D$4:$D$968,$B34,'июль 2023'!$J$4:$J$968,D$1)</f>
        <v>0</v>
      </c>
      <c r="E34" s="207">
        <f>SUMIFS('июль 2023'!$G$4:$G$968,'июль 2023'!$D$4:$D$968,$B34,'июль 2023'!$J$4:$J$968,E$1)</f>
        <v>0</v>
      </c>
      <c r="F34" s="207">
        <f>SUMIFS('июль 2023'!$G$4:$G$968,'июль 2023'!$D$4:$D$968,$B34,'июль 2023'!$J$4:$J$968,F$1)</f>
        <v>0</v>
      </c>
      <c r="G34" s="207">
        <f>SUMIFS('июль 2023'!$G$4:$G$968,'июль 2023'!$D$4:$D$968,$B34,'июль 2023'!$J$4:$J$968,G$1)</f>
        <v>0</v>
      </c>
      <c r="H34" s="207">
        <f>SUMIFS('июль 2023'!$G$4:$G$968,'июль 2023'!$D$4:$D$968,$B34,'июль 2023'!$J$4:$J$968,H$1)</f>
        <v>0</v>
      </c>
      <c r="I34" s="207">
        <f>SUMIFS('июль 2023'!$G$4:$G$968,'июль 2023'!$D$4:$D$968,$B34,'июль 2023'!$J$4:$J$968,I$1)</f>
        <v>0</v>
      </c>
      <c r="J34" s="207">
        <f>SUMIFS('июль 2023'!$G$4:$G$968,'июль 2023'!$D$4:$D$968,$B34,'июль 2023'!$J$4:$J$968,J$1)</f>
        <v>0</v>
      </c>
      <c r="K34" s="207">
        <f>SUMIFS('июль 2023'!$G$4:$G$968,'июль 2023'!$D$4:$D$968,$B34,'июль 2023'!$J$4:$J$968,K$1)</f>
        <v>0</v>
      </c>
      <c r="L34" s="207">
        <f>SUMIFS('июль 2023'!$G$4:$G$968,'июль 2023'!$D$4:$D$968,$B34,'июль 2023'!$J$4:$J$968,L$1)</f>
        <v>0</v>
      </c>
      <c r="M34" s="207">
        <f>SUMIFS('июль 2023'!$G$4:$G$968,'июль 2023'!$D$4:$D$968,$B34,'июль 2023'!$J$4:$J$968,M$1)</f>
        <v>0</v>
      </c>
      <c r="N34" s="207">
        <f>SUMIFS('июль 2023'!$G$4:$G$968,'июль 2023'!$D$4:$D$968,$B34,'июль 2023'!$J$4:$J$968,N$1)</f>
        <v>0</v>
      </c>
      <c r="O34" s="207">
        <f>SUMIFS('июль 2023'!$G$4:$G$968,'июль 2023'!$D$4:$D$968,$B34,'июль 2023'!$J$4:$J$968,O$1)</f>
        <v>0</v>
      </c>
      <c r="P34" s="207">
        <f>SUMIFS('июль 2023'!$G$4:$G$968,'июль 2023'!$D$4:$D$968,$B34,'июль 2023'!$J$4:$J$968,P$1)</f>
        <v>0</v>
      </c>
      <c r="Q34" s="207">
        <f>SUMIFS('июль 2023'!$G$4:$G$968,'июль 2023'!$D$4:$D$968,$B34,'июль 2023'!$J$4:$J$968,Q$1)</f>
        <v>0</v>
      </c>
      <c r="R34" s="207">
        <f>SUMIFS('июль 2023'!$G$4:$G$968,'июль 2023'!$D$4:$D$968,$B34,'июль 2023'!$J$4:$J$968,R$1)</f>
        <v>0</v>
      </c>
      <c r="S34" s="207">
        <f>SUMIFS('июль 2023'!$G$4:$G$968,'июль 2023'!$D$4:$D$968,$B34,'июль 2023'!$J$4:$J$968,S$1)</f>
        <v>0</v>
      </c>
      <c r="T34" s="207">
        <f>SUMIFS('июль 2023'!$G$4:$G$968,'июль 2023'!$D$4:$D$968,$B34,'июль 2023'!$J$4:$J$968,T$1)</f>
        <v>0</v>
      </c>
      <c r="U34" s="207">
        <f>SUMIFS('июль 2023'!$G$4:$G$968,'июль 2023'!$D$4:$D$968,$B34,'июль 2023'!$J$4:$J$968,U$1)</f>
        <v>0</v>
      </c>
      <c r="V34" s="207">
        <f>SUMIFS('июль 2023'!$G$4:$G$968,'июль 2023'!$D$4:$D$968,$B34,'июль 2023'!$J$4:$J$968,V$1)</f>
        <v>0</v>
      </c>
      <c r="W34" s="207">
        <f>SUMIFS('июль 2023'!$G$4:$G$968,'июль 2023'!$D$4:$D$968,$B34,'июль 2023'!$J$4:$J$968,W$1)</f>
        <v>0</v>
      </c>
      <c r="X34" s="207">
        <f>SUMIFS('июль 2023'!$G$4:$G$968,'июль 2023'!$D$4:$D$968,$B34,'июль 2023'!$J$4:$J$968,X$1)</f>
        <v>0</v>
      </c>
      <c r="Y34" s="207">
        <f>SUMIFS('июль 2023'!$G$4:$G$968,'июль 2023'!$D$4:$D$968,$B34,'июль 2023'!$J$4:$J$968,Y$1)</f>
        <v>0</v>
      </c>
      <c r="Z34" s="207">
        <f>SUMIFS('июль 2023'!$G$4:$G$968,'июль 2023'!$D$4:$D$968,$B34,'июль 2023'!$J$4:$J$968,Z$1)</f>
        <v>0</v>
      </c>
      <c r="AA34" s="207">
        <f>SUMIFS('июль 2023'!$G$4:$G$968,'июль 2023'!$D$4:$D$968,$B34,'июль 2023'!$J$4:$J$968,AA$1)</f>
        <v>0</v>
      </c>
      <c r="AB34" s="207">
        <f>SUMIFS('июль 2023'!$G$4:$G$968,'июль 2023'!$D$4:$D$968,$B34,'июль 2023'!$J$4:$J$968,AB$1)</f>
        <v>0</v>
      </c>
      <c r="AC34" s="207">
        <f>SUMIFS('июль 2023'!$G$4:$G$968,'июль 2023'!$D$4:$D$968,$B34,'июль 2023'!$J$4:$J$968,AC$1)</f>
        <v>0</v>
      </c>
      <c r="AD34" s="207">
        <f>SUMIFS('июль 2023'!$G$4:$G$968,'июль 2023'!$D$4:$D$968,$B34,'июль 2023'!$J$4:$J$968,AD$1)</f>
        <v>0</v>
      </c>
      <c r="AE34" s="207">
        <f>SUMIFS('июль 2023'!$G$4:$G$968,'июль 2023'!$D$4:$D$968,$B34,'июль 2023'!$J$4:$J$968,AE$1)</f>
        <v>0</v>
      </c>
      <c r="AF34" s="207">
        <f>SUMIFS('июль 2023'!$G$4:$G$968,'июль 2023'!$D$4:$D$968,$B34,'июль 2023'!$J$4:$J$968,AF$1)</f>
        <v>0</v>
      </c>
      <c r="AG34" s="207">
        <f>SUMIFS('июль 2023'!$G$4:$G$968,'июль 2023'!$D$4:$D$968,$B34,'июль 2023'!$J$4:$J$968,AG$1)</f>
        <v>0</v>
      </c>
      <c r="AH34" s="207">
        <f>SUMIFS('июль 2023'!$G$4:$G$968,'июль 2023'!$D$4:$D$968,$B34,'июль 2023'!$J$4:$J$968,AH$1)</f>
        <v>0</v>
      </c>
      <c r="AI34" s="170">
        <f t="shared" si="1"/>
        <v>0</v>
      </c>
    </row>
    <row r="35" spans="2:35" ht="15" customHeight="1" x14ac:dyDescent="0.25">
      <c r="B35" s="212" t="s">
        <v>1256</v>
      </c>
      <c r="C35" s="213">
        <v>22.68</v>
      </c>
      <c r="D35" s="207">
        <f>SUMIFS('июль 2023'!$G$4:$G$968,'июль 2023'!$D$4:$D$968,$B35,'июль 2023'!$J$4:$J$968,D$1)</f>
        <v>0</v>
      </c>
      <c r="E35" s="207">
        <f>SUMIFS('июль 2023'!$G$4:$G$968,'июль 2023'!$D$4:$D$968,$B35,'июль 2023'!$J$4:$J$968,E$1)</f>
        <v>0</v>
      </c>
      <c r="F35" s="207">
        <f>SUMIFS('июль 2023'!$G$4:$G$968,'июль 2023'!$D$4:$D$968,$B35,'июль 2023'!$J$4:$J$968,F$1)</f>
        <v>0</v>
      </c>
      <c r="G35" s="207">
        <f>SUMIFS('июль 2023'!$G$4:$G$968,'июль 2023'!$D$4:$D$968,$B35,'июль 2023'!$J$4:$J$968,G$1)</f>
        <v>0</v>
      </c>
      <c r="H35" s="207">
        <f>SUMIFS('июль 2023'!$G$4:$G$968,'июль 2023'!$D$4:$D$968,$B35,'июль 2023'!$J$4:$J$968,H$1)</f>
        <v>0</v>
      </c>
      <c r="I35" s="207">
        <f>SUMIFS('июль 2023'!$G$4:$G$968,'июль 2023'!$D$4:$D$968,$B35,'июль 2023'!$J$4:$J$968,I$1)</f>
        <v>0</v>
      </c>
      <c r="J35" s="207">
        <f>SUMIFS('июль 2023'!$G$4:$G$968,'июль 2023'!$D$4:$D$968,$B35,'июль 2023'!$J$4:$J$968,J$1)</f>
        <v>0</v>
      </c>
      <c r="K35" s="207">
        <f>SUMIFS('июль 2023'!$G$4:$G$968,'июль 2023'!$D$4:$D$968,$B35,'июль 2023'!$J$4:$J$968,K$1)</f>
        <v>0</v>
      </c>
      <c r="L35" s="207">
        <f>SUMIFS('июль 2023'!$G$4:$G$968,'июль 2023'!$D$4:$D$968,$B35,'июль 2023'!$J$4:$J$968,L$1)</f>
        <v>0</v>
      </c>
      <c r="M35" s="207">
        <f>SUMIFS('июль 2023'!$G$4:$G$968,'июль 2023'!$D$4:$D$968,$B35,'июль 2023'!$J$4:$J$968,M$1)</f>
        <v>0</v>
      </c>
      <c r="N35" s="207">
        <f>SUMIFS('июль 2023'!$G$4:$G$968,'июль 2023'!$D$4:$D$968,$B35,'июль 2023'!$J$4:$J$968,N$1)</f>
        <v>0</v>
      </c>
      <c r="O35" s="207">
        <f>SUMIFS('июль 2023'!$G$4:$G$968,'июль 2023'!$D$4:$D$968,$B35,'июль 2023'!$J$4:$J$968,O$1)</f>
        <v>0</v>
      </c>
      <c r="P35" s="207">
        <f>SUMIFS('июль 2023'!$G$4:$G$968,'июль 2023'!$D$4:$D$968,$B35,'июль 2023'!$J$4:$J$968,P$1)</f>
        <v>0</v>
      </c>
      <c r="Q35" s="207">
        <f>SUMIFS('июль 2023'!$G$4:$G$968,'июль 2023'!$D$4:$D$968,$B35,'июль 2023'!$J$4:$J$968,Q$1)</f>
        <v>0</v>
      </c>
      <c r="R35" s="207">
        <f>SUMIFS('июль 2023'!$G$4:$G$968,'июль 2023'!$D$4:$D$968,$B35,'июль 2023'!$J$4:$J$968,R$1)</f>
        <v>0</v>
      </c>
      <c r="S35" s="207">
        <f>SUMIFS('июль 2023'!$G$4:$G$968,'июль 2023'!$D$4:$D$968,$B35,'июль 2023'!$J$4:$J$968,S$1)</f>
        <v>0</v>
      </c>
      <c r="T35" s="207">
        <f>SUMIFS('июль 2023'!$G$4:$G$968,'июль 2023'!$D$4:$D$968,$B35,'июль 2023'!$J$4:$J$968,T$1)</f>
        <v>0</v>
      </c>
      <c r="U35" s="207">
        <f>SUMIFS('июль 2023'!$G$4:$G$968,'июль 2023'!$D$4:$D$968,$B35,'июль 2023'!$J$4:$J$968,U$1)</f>
        <v>0</v>
      </c>
      <c r="V35" s="207">
        <f>SUMIFS('июль 2023'!$G$4:$G$968,'июль 2023'!$D$4:$D$968,$B35,'июль 2023'!$J$4:$J$968,V$1)</f>
        <v>0</v>
      </c>
      <c r="W35" s="207">
        <f>SUMIFS('июль 2023'!$G$4:$G$968,'июль 2023'!$D$4:$D$968,$B35,'июль 2023'!$J$4:$J$968,W$1)</f>
        <v>0</v>
      </c>
      <c r="X35" s="207">
        <f>SUMIFS('июль 2023'!$G$4:$G$968,'июль 2023'!$D$4:$D$968,$B35,'июль 2023'!$J$4:$J$968,X$1)</f>
        <v>0</v>
      </c>
      <c r="Y35" s="207">
        <f>SUMIFS('июль 2023'!$G$4:$G$968,'июль 2023'!$D$4:$D$968,$B35,'июль 2023'!$J$4:$J$968,Y$1)</f>
        <v>0</v>
      </c>
      <c r="Z35" s="207">
        <f>SUMIFS('июль 2023'!$G$4:$G$968,'июль 2023'!$D$4:$D$968,$B35,'июль 2023'!$J$4:$J$968,Z$1)</f>
        <v>0</v>
      </c>
      <c r="AA35" s="207">
        <f>SUMIFS('июль 2023'!$G$4:$G$968,'июль 2023'!$D$4:$D$968,$B35,'июль 2023'!$J$4:$J$968,AA$1)</f>
        <v>0</v>
      </c>
      <c r="AB35" s="207">
        <f>SUMIFS('июль 2023'!$G$4:$G$968,'июль 2023'!$D$4:$D$968,$B35,'июль 2023'!$J$4:$J$968,AB$1)</f>
        <v>0</v>
      </c>
      <c r="AC35" s="207">
        <f>SUMIFS('июль 2023'!$G$4:$G$968,'июль 2023'!$D$4:$D$968,$B35,'июль 2023'!$J$4:$J$968,AC$1)</f>
        <v>0</v>
      </c>
      <c r="AD35" s="207">
        <f>SUMIFS('июль 2023'!$G$4:$G$968,'июль 2023'!$D$4:$D$968,$B35,'июль 2023'!$J$4:$J$968,AD$1)</f>
        <v>0</v>
      </c>
      <c r="AE35" s="207">
        <f>SUMIFS('июль 2023'!$G$4:$G$968,'июль 2023'!$D$4:$D$968,$B35,'июль 2023'!$J$4:$J$968,AE$1)</f>
        <v>0</v>
      </c>
      <c r="AF35" s="207">
        <f>SUMIFS('июль 2023'!$G$4:$G$968,'июль 2023'!$D$4:$D$968,$B35,'июль 2023'!$J$4:$J$968,AF$1)</f>
        <v>0</v>
      </c>
      <c r="AG35" s="207">
        <f>SUMIFS('июль 2023'!$G$4:$G$968,'июль 2023'!$D$4:$D$968,$B35,'июль 2023'!$J$4:$J$968,AG$1)</f>
        <v>0</v>
      </c>
      <c r="AH35" s="207">
        <f>SUMIFS('июль 2023'!$G$4:$G$968,'июль 2023'!$D$4:$D$968,$B35,'июль 2023'!$J$4:$J$968,AH$1)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4">
        <v>22.68</v>
      </c>
      <c r="D36" s="207">
        <f>SUMIFS('июль 2023'!$G$4:$G$968,'июль 2023'!$D$4:$D$968,$B36,'июль 2023'!$J$4:$J$968,D$1)</f>
        <v>0</v>
      </c>
      <c r="E36" s="207">
        <f>SUMIFS('июль 2023'!$G$4:$G$968,'июль 2023'!$D$4:$D$968,$B36,'июль 2023'!$J$4:$J$968,E$1)</f>
        <v>0</v>
      </c>
      <c r="F36" s="207">
        <f>SUMIFS('июль 2023'!$G$4:$G$968,'июль 2023'!$D$4:$D$968,$B36,'июль 2023'!$J$4:$J$968,F$1)</f>
        <v>0</v>
      </c>
      <c r="G36" s="207">
        <f>SUMIFS('июль 2023'!$G$4:$G$968,'июль 2023'!$D$4:$D$968,$B36,'июль 2023'!$J$4:$J$968,G$1)</f>
        <v>0</v>
      </c>
      <c r="H36" s="207">
        <f>SUMIFS('июль 2023'!$G$4:$G$968,'июль 2023'!$D$4:$D$968,$B36,'июль 2023'!$J$4:$J$968,H$1)</f>
        <v>0</v>
      </c>
      <c r="I36" s="207">
        <f>SUMIFS('июль 2023'!$G$4:$G$968,'июль 2023'!$D$4:$D$968,$B36,'июль 2023'!$J$4:$J$968,I$1)</f>
        <v>0</v>
      </c>
      <c r="J36" s="207">
        <f>SUMIFS('июль 2023'!$G$4:$G$968,'июль 2023'!$D$4:$D$968,$B36,'июль 2023'!$J$4:$J$968,J$1)</f>
        <v>0</v>
      </c>
      <c r="K36" s="207">
        <f>SUMIFS('июль 2023'!$G$4:$G$968,'июль 2023'!$D$4:$D$968,$B36,'июль 2023'!$J$4:$J$968,K$1)</f>
        <v>0</v>
      </c>
      <c r="L36" s="207">
        <f>SUMIFS('июль 2023'!$G$4:$G$968,'июль 2023'!$D$4:$D$968,$B36,'июль 2023'!$J$4:$J$968,L$1)</f>
        <v>0</v>
      </c>
      <c r="M36" s="207">
        <f>SUMIFS('июль 2023'!$G$4:$G$968,'июль 2023'!$D$4:$D$968,$B36,'июль 2023'!$J$4:$J$968,M$1)</f>
        <v>0</v>
      </c>
      <c r="N36" s="207">
        <f>SUMIFS('июль 2023'!$G$4:$G$968,'июль 2023'!$D$4:$D$968,$B36,'июль 2023'!$J$4:$J$968,N$1)</f>
        <v>0</v>
      </c>
      <c r="O36" s="207">
        <f>SUMIFS('июль 2023'!$G$4:$G$968,'июль 2023'!$D$4:$D$968,$B36,'июль 2023'!$J$4:$J$968,O$1)</f>
        <v>0</v>
      </c>
      <c r="P36" s="207">
        <f>SUMIFS('июль 2023'!$G$4:$G$968,'июль 2023'!$D$4:$D$968,$B36,'июль 2023'!$J$4:$J$968,P$1)</f>
        <v>0</v>
      </c>
      <c r="Q36" s="207">
        <f>SUMIFS('июль 2023'!$G$4:$G$968,'июль 2023'!$D$4:$D$968,$B36,'июль 2023'!$J$4:$J$968,Q$1)</f>
        <v>0</v>
      </c>
      <c r="R36" s="207">
        <f>SUMIFS('июль 2023'!$G$4:$G$968,'июль 2023'!$D$4:$D$968,$B36,'июль 2023'!$J$4:$J$968,R$1)</f>
        <v>0</v>
      </c>
      <c r="S36" s="207">
        <f>SUMIFS('июль 2023'!$G$4:$G$968,'июль 2023'!$D$4:$D$968,$B36,'июль 2023'!$J$4:$J$968,S$1)</f>
        <v>0</v>
      </c>
      <c r="T36" s="207">
        <f>SUMIFS('июль 2023'!$G$4:$G$968,'июль 2023'!$D$4:$D$968,$B36,'июль 2023'!$J$4:$J$968,T$1)</f>
        <v>0</v>
      </c>
      <c r="U36" s="207">
        <f>SUMIFS('июль 2023'!$G$4:$G$968,'июль 2023'!$D$4:$D$968,$B36,'июль 2023'!$J$4:$J$968,U$1)</f>
        <v>0</v>
      </c>
      <c r="V36" s="207">
        <f>SUMIFS('июль 2023'!$G$4:$G$968,'июль 2023'!$D$4:$D$968,$B36,'июль 2023'!$J$4:$J$968,V$1)</f>
        <v>0</v>
      </c>
      <c r="W36" s="207">
        <f>SUMIFS('июль 2023'!$G$4:$G$968,'июль 2023'!$D$4:$D$968,$B36,'июль 2023'!$J$4:$J$968,W$1)</f>
        <v>0</v>
      </c>
      <c r="X36" s="207">
        <f>SUMIFS('июль 2023'!$G$4:$G$968,'июль 2023'!$D$4:$D$968,$B36,'июль 2023'!$J$4:$J$968,X$1)</f>
        <v>0</v>
      </c>
      <c r="Y36" s="207">
        <f>SUMIFS('июль 2023'!$G$4:$G$968,'июль 2023'!$D$4:$D$968,$B36,'июль 2023'!$J$4:$J$968,Y$1)</f>
        <v>0</v>
      </c>
      <c r="Z36" s="207">
        <f>SUMIFS('июль 2023'!$G$4:$G$968,'июль 2023'!$D$4:$D$968,$B36,'июль 2023'!$J$4:$J$968,Z$1)</f>
        <v>0</v>
      </c>
      <c r="AA36" s="207">
        <f>SUMIFS('июль 2023'!$G$4:$G$968,'июль 2023'!$D$4:$D$968,$B36,'июль 2023'!$J$4:$J$968,AA$1)</f>
        <v>0</v>
      </c>
      <c r="AB36" s="207">
        <f>SUMIFS('июль 2023'!$G$4:$G$968,'июль 2023'!$D$4:$D$968,$B36,'июль 2023'!$J$4:$J$968,AB$1)</f>
        <v>0</v>
      </c>
      <c r="AC36" s="207">
        <f>SUMIFS('июль 2023'!$G$4:$G$968,'июль 2023'!$D$4:$D$968,$B36,'июль 2023'!$J$4:$J$968,AC$1)</f>
        <v>0</v>
      </c>
      <c r="AD36" s="207">
        <f>SUMIFS('июль 2023'!$G$4:$G$968,'июль 2023'!$D$4:$D$968,$B36,'июль 2023'!$J$4:$J$968,AD$1)</f>
        <v>0</v>
      </c>
      <c r="AE36" s="207">
        <f>SUMIFS('июль 2023'!$G$4:$G$968,'июль 2023'!$D$4:$D$968,$B36,'июль 2023'!$J$4:$J$968,AE$1)</f>
        <v>0</v>
      </c>
      <c r="AF36" s="207">
        <f>SUMIFS('июль 2023'!$G$4:$G$968,'июль 2023'!$D$4:$D$968,$B36,'июль 2023'!$J$4:$J$968,AF$1)</f>
        <v>0</v>
      </c>
      <c r="AG36" s="207">
        <f>SUMIFS('июль 2023'!$G$4:$G$968,'июль 2023'!$D$4:$D$968,$B36,'июль 2023'!$J$4:$J$968,AG$1)</f>
        <v>0</v>
      </c>
      <c r="AH36" s="207">
        <f>SUMIFS('июль 2023'!$G$4:$G$968,'июль 2023'!$D$4:$D$968,$B36,'июль 2023'!$J$4:$J$968,AH$1)</f>
        <v>0</v>
      </c>
      <c r="AI36" s="170">
        <f t="shared" si="1"/>
        <v>0</v>
      </c>
    </row>
    <row r="37" spans="2:35" ht="15" customHeight="1" x14ac:dyDescent="0.25">
      <c r="B37" s="212" t="s">
        <v>492</v>
      </c>
      <c r="C37" s="215">
        <v>25</v>
      </c>
      <c r="D37" s="207">
        <f>SUMIFS('июль 2023'!$G$4:$G$968,'июль 2023'!$D$4:$D$968,$B37,'июль 2023'!$J$4:$J$968,D$1)</f>
        <v>0</v>
      </c>
      <c r="E37" s="207">
        <f>SUMIFS('июль 2023'!$G$4:$G$968,'июль 2023'!$D$4:$D$968,$B37,'июль 2023'!$J$4:$J$968,E$1)</f>
        <v>0</v>
      </c>
      <c r="F37" s="207">
        <f>SUMIFS('июль 2023'!$G$4:$G$968,'июль 2023'!$D$4:$D$968,$B37,'июль 2023'!$J$4:$J$968,F$1)</f>
        <v>0</v>
      </c>
      <c r="G37" s="207">
        <f>SUMIFS('июль 2023'!$G$4:$G$968,'июль 2023'!$D$4:$D$968,$B37,'июль 2023'!$J$4:$J$968,G$1)</f>
        <v>0</v>
      </c>
      <c r="H37" s="207">
        <f>SUMIFS('июль 2023'!$G$4:$G$968,'июль 2023'!$D$4:$D$968,$B37,'июль 2023'!$J$4:$J$968,H$1)</f>
        <v>0</v>
      </c>
      <c r="I37" s="207">
        <f>SUMIFS('июль 2023'!$G$4:$G$968,'июль 2023'!$D$4:$D$968,$B37,'июль 2023'!$J$4:$J$968,I$1)</f>
        <v>0</v>
      </c>
      <c r="J37" s="207">
        <f>SUMIFS('июль 2023'!$G$4:$G$968,'июль 2023'!$D$4:$D$968,$B37,'июль 2023'!$J$4:$J$968,J$1)</f>
        <v>0</v>
      </c>
      <c r="K37" s="207">
        <f>SUMIFS('июль 2023'!$G$4:$G$968,'июль 2023'!$D$4:$D$968,$B37,'июль 2023'!$J$4:$J$968,K$1)</f>
        <v>0</v>
      </c>
      <c r="L37" s="207">
        <f>SUMIFS('июль 2023'!$G$4:$G$968,'июль 2023'!$D$4:$D$968,$B37,'июль 2023'!$J$4:$J$968,L$1)</f>
        <v>0</v>
      </c>
      <c r="M37" s="207">
        <f>SUMIFS('июль 2023'!$G$4:$G$968,'июль 2023'!$D$4:$D$968,$B37,'июль 2023'!$J$4:$J$968,M$1)</f>
        <v>0</v>
      </c>
      <c r="N37" s="207">
        <f>SUMIFS('июль 2023'!$G$4:$G$968,'июль 2023'!$D$4:$D$968,$B37,'июль 2023'!$J$4:$J$968,N$1)</f>
        <v>0</v>
      </c>
      <c r="O37" s="207">
        <f>SUMIFS('июль 2023'!$G$4:$G$968,'июль 2023'!$D$4:$D$968,$B37,'июль 2023'!$J$4:$J$968,O$1)</f>
        <v>0</v>
      </c>
      <c r="P37" s="207">
        <f>SUMIFS('июль 2023'!$G$4:$G$968,'июль 2023'!$D$4:$D$968,$B37,'июль 2023'!$J$4:$J$968,P$1)</f>
        <v>0</v>
      </c>
      <c r="Q37" s="207">
        <f>SUMIFS('июль 2023'!$G$4:$G$968,'июль 2023'!$D$4:$D$968,$B37,'июль 2023'!$J$4:$J$968,Q$1)</f>
        <v>0</v>
      </c>
      <c r="R37" s="207">
        <f>SUMIFS('июль 2023'!$G$4:$G$968,'июль 2023'!$D$4:$D$968,$B37,'июль 2023'!$J$4:$J$968,R$1)</f>
        <v>0</v>
      </c>
      <c r="S37" s="207">
        <f>SUMIFS('июль 2023'!$G$4:$G$968,'июль 2023'!$D$4:$D$968,$B37,'июль 2023'!$J$4:$J$968,S$1)</f>
        <v>0</v>
      </c>
      <c r="T37" s="207">
        <f>SUMIFS('июль 2023'!$G$4:$G$968,'июль 2023'!$D$4:$D$968,$B37,'июль 2023'!$J$4:$J$968,T$1)</f>
        <v>100</v>
      </c>
      <c r="U37" s="207">
        <f>SUMIFS('июль 2023'!$G$4:$G$968,'июль 2023'!$D$4:$D$968,$B37,'июль 2023'!$J$4:$J$968,U$1)</f>
        <v>0</v>
      </c>
      <c r="V37" s="207">
        <f>SUMIFS('июль 2023'!$G$4:$G$968,'июль 2023'!$D$4:$D$968,$B37,'июль 2023'!$J$4:$J$968,V$1)</f>
        <v>0</v>
      </c>
      <c r="W37" s="207">
        <f>SUMIFS('июль 2023'!$G$4:$G$968,'июль 2023'!$D$4:$D$968,$B37,'июль 2023'!$J$4:$J$968,W$1)</f>
        <v>0</v>
      </c>
      <c r="X37" s="207">
        <f>SUMIFS('июль 2023'!$G$4:$G$968,'июль 2023'!$D$4:$D$968,$B37,'июль 2023'!$J$4:$J$968,X$1)</f>
        <v>0</v>
      </c>
      <c r="Y37" s="207">
        <f>SUMIFS('июль 2023'!$G$4:$G$968,'июль 2023'!$D$4:$D$968,$B37,'июль 2023'!$J$4:$J$968,Y$1)</f>
        <v>0</v>
      </c>
      <c r="Z37" s="207">
        <f>SUMIFS('июль 2023'!$G$4:$G$968,'июль 2023'!$D$4:$D$968,$B37,'июль 2023'!$J$4:$J$968,Z$1)</f>
        <v>0</v>
      </c>
      <c r="AA37" s="207">
        <f>SUMIFS('июль 2023'!$G$4:$G$968,'июль 2023'!$D$4:$D$968,$B37,'июль 2023'!$J$4:$J$968,AA$1)</f>
        <v>0</v>
      </c>
      <c r="AB37" s="207">
        <f>SUMIFS('июль 2023'!$G$4:$G$968,'июль 2023'!$D$4:$D$968,$B37,'июль 2023'!$J$4:$J$968,AB$1)</f>
        <v>160</v>
      </c>
      <c r="AC37" s="207">
        <f>SUMIFS('июль 2023'!$G$4:$G$968,'июль 2023'!$D$4:$D$968,$B37,'июль 2023'!$J$4:$J$968,AC$1)</f>
        <v>0</v>
      </c>
      <c r="AD37" s="207">
        <f>SUMIFS('июль 2023'!$G$4:$G$968,'июль 2023'!$D$4:$D$968,$B37,'июль 2023'!$J$4:$J$968,AD$1)</f>
        <v>0</v>
      </c>
      <c r="AE37" s="207">
        <f>SUMIFS('июль 2023'!$G$4:$G$968,'июль 2023'!$D$4:$D$968,$B37,'июль 2023'!$J$4:$J$968,AE$1)</f>
        <v>0</v>
      </c>
      <c r="AF37" s="207">
        <f>SUMIFS('июль 2023'!$G$4:$G$968,'июль 2023'!$D$4:$D$968,$B37,'июль 2023'!$J$4:$J$968,AF$1)</f>
        <v>0</v>
      </c>
      <c r="AG37" s="207">
        <f>SUMIFS('июль 2023'!$G$4:$G$968,'июль 2023'!$D$4:$D$968,$B37,'июль 2023'!$J$4:$J$968,AG$1)</f>
        <v>0</v>
      </c>
      <c r="AH37" s="207">
        <f>SUMIFS('июль 2023'!$G$4:$G$968,'июль 2023'!$D$4:$D$968,$B37,'июль 2023'!$J$4:$J$968,AH$1)</f>
        <v>0</v>
      </c>
      <c r="AI37" s="170">
        <f t="shared" si="1"/>
        <v>260</v>
      </c>
    </row>
    <row r="38" spans="2:35" ht="15" customHeight="1" x14ac:dyDescent="0.25">
      <c r="B38" s="212" t="s">
        <v>1600</v>
      </c>
      <c r="C38" s="211">
        <v>25</v>
      </c>
      <c r="D38" s="207">
        <f>SUMIFS('июль 2023'!$G$4:$G$968,'июль 2023'!$D$4:$D$968,$B38,'июль 2023'!$J$4:$J$968,D$1)</f>
        <v>0</v>
      </c>
      <c r="E38" s="207">
        <f>SUMIFS('июль 2023'!$G$4:$G$968,'июль 2023'!$D$4:$D$968,$B38,'июль 2023'!$J$4:$J$968,E$1)</f>
        <v>0</v>
      </c>
      <c r="F38" s="207">
        <f>SUMIFS('июль 2023'!$G$4:$G$968,'июль 2023'!$D$4:$D$968,$B38,'июль 2023'!$J$4:$J$968,F$1)</f>
        <v>0</v>
      </c>
      <c r="G38" s="207">
        <f>SUMIFS('июль 2023'!$G$4:$G$968,'июль 2023'!$D$4:$D$968,$B38,'июль 2023'!$J$4:$J$968,G$1)</f>
        <v>0</v>
      </c>
      <c r="H38" s="207">
        <f>SUMIFS('июль 2023'!$G$4:$G$968,'июль 2023'!$D$4:$D$968,$B38,'июль 2023'!$J$4:$J$968,H$1)</f>
        <v>0</v>
      </c>
      <c r="I38" s="207">
        <f>SUMIFS('июль 2023'!$G$4:$G$968,'июль 2023'!$D$4:$D$968,$B38,'июль 2023'!$J$4:$J$968,I$1)</f>
        <v>0</v>
      </c>
      <c r="J38" s="207">
        <f>SUMIFS('июль 2023'!$G$4:$G$968,'июль 2023'!$D$4:$D$968,$B38,'июль 2023'!$J$4:$J$968,J$1)</f>
        <v>0</v>
      </c>
      <c r="K38" s="207">
        <f>SUMIFS('июль 2023'!$G$4:$G$968,'июль 2023'!$D$4:$D$968,$B38,'июль 2023'!$J$4:$J$968,K$1)</f>
        <v>0</v>
      </c>
      <c r="L38" s="207">
        <f>SUMIFS('июль 2023'!$G$4:$G$968,'июль 2023'!$D$4:$D$968,$B38,'июль 2023'!$J$4:$J$968,L$1)</f>
        <v>0</v>
      </c>
      <c r="M38" s="207">
        <f>SUMIFS('июль 2023'!$G$4:$G$968,'июль 2023'!$D$4:$D$968,$B38,'июль 2023'!$J$4:$J$968,M$1)</f>
        <v>0</v>
      </c>
      <c r="N38" s="207">
        <f>SUMIFS('июль 2023'!$G$4:$G$968,'июль 2023'!$D$4:$D$968,$B38,'июль 2023'!$J$4:$J$968,N$1)</f>
        <v>0</v>
      </c>
      <c r="O38" s="207">
        <f>SUMIFS('июль 2023'!$G$4:$G$968,'июль 2023'!$D$4:$D$968,$B38,'июль 2023'!$J$4:$J$968,O$1)</f>
        <v>0</v>
      </c>
      <c r="P38" s="207">
        <f>SUMIFS('июль 2023'!$G$4:$G$968,'июль 2023'!$D$4:$D$968,$B38,'июль 2023'!$J$4:$J$968,P$1)</f>
        <v>0</v>
      </c>
      <c r="Q38" s="207">
        <f>SUMIFS('июль 2023'!$G$4:$G$968,'июль 2023'!$D$4:$D$968,$B38,'июль 2023'!$J$4:$J$968,Q$1)</f>
        <v>0</v>
      </c>
      <c r="R38" s="207">
        <f>SUMIFS('июль 2023'!$G$4:$G$968,'июль 2023'!$D$4:$D$968,$B38,'июль 2023'!$J$4:$J$968,R$1)</f>
        <v>0</v>
      </c>
      <c r="S38" s="207">
        <f>SUMIFS('июль 2023'!$G$4:$G$968,'июль 2023'!$D$4:$D$968,$B38,'июль 2023'!$J$4:$J$968,S$1)</f>
        <v>0</v>
      </c>
      <c r="T38" s="207">
        <f>SUMIFS('июль 2023'!$G$4:$G$968,'июль 2023'!$D$4:$D$968,$B38,'июль 2023'!$J$4:$J$968,T$1)</f>
        <v>0</v>
      </c>
      <c r="U38" s="207">
        <f>SUMIFS('июль 2023'!$G$4:$G$968,'июль 2023'!$D$4:$D$968,$B38,'июль 2023'!$J$4:$J$968,U$1)</f>
        <v>0</v>
      </c>
      <c r="V38" s="207">
        <f>SUMIFS('июль 2023'!$G$4:$G$968,'июль 2023'!$D$4:$D$968,$B38,'июль 2023'!$J$4:$J$968,V$1)</f>
        <v>0</v>
      </c>
      <c r="W38" s="207">
        <f>SUMIFS('июль 2023'!$G$4:$G$968,'июль 2023'!$D$4:$D$968,$B38,'июль 2023'!$J$4:$J$968,W$1)</f>
        <v>0</v>
      </c>
      <c r="X38" s="207">
        <f>SUMIFS('июль 2023'!$G$4:$G$968,'июль 2023'!$D$4:$D$968,$B38,'июль 2023'!$J$4:$J$968,X$1)</f>
        <v>0</v>
      </c>
      <c r="Y38" s="207">
        <f>SUMIFS('июль 2023'!$G$4:$G$968,'июль 2023'!$D$4:$D$968,$B38,'июль 2023'!$J$4:$J$968,Y$1)</f>
        <v>0</v>
      </c>
      <c r="Z38" s="207">
        <f>SUMIFS('июль 2023'!$G$4:$G$968,'июль 2023'!$D$4:$D$968,$B38,'июль 2023'!$J$4:$J$968,Z$1)</f>
        <v>0</v>
      </c>
      <c r="AA38" s="207">
        <f>SUMIFS('июль 2023'!$G$4:$G$968,'июль 2023'!$D$4:$D$968,$B38,'июль 2023'!$J$4:$J$968,AA$1)</f>
        <v>0</v>
      </c>
      <c r="AB38" s="207">
        <f>SUMIFS('июль 2023'!$G$4:$G$968,'июль 2023'!$D$4:$D$968,$B38,'июль 2023'!$J$4:$J$968,AB$1)</f>
        <v>0</v>
      </c>
      <c r="AC38" s="207">
        <f>SUMIFS('июль 2023'!$G$4:$G$968,'июль 2023'!$D$4:$D$968,$B38,'июль 2023'!$J$4:$J$968,AC$1)</f>
        <v>0</v>
      </c>
      <c r="AD38" s="207">
        <f>SUMIFS('июль 2023'!$G$4:$G$968,'июль 2023'!$D$4:$D$968,$B38,'июль 2023'!$J$4:$J$968,AD$1)</f>
        <v>0</v>
      </c>
      <c r="AE38" s="207">
        <f>SUMIFS('июль 2023'!$G$4:$G$968,'июль 2023'!$D$4:$D$968,$B38,'июль 2023'!$J$4:$J$968,AE$1)</f>
        <v>0</v>
      </c>
      <c r="AF38" s="207">
        <f>SUMIFS('июль 2023'!$G$4:$G$968,'июль 2023'!$D$4:$D$968,$B38,'июль 2023'!$J$4:$J$968,AF$1)</f>
        <v>0</v>
      </c>
      <c r="AG38" s="207">
        <f>SUMIFS('июль 2023'!$G$4:$G$968,'июль 2023'!$D$4:$D$968,$B38,'июль 2023'!$J$4:$J$968,AG$1)</f>
        <v>0</v>
      </c>
      <c r="AH38" s="207">
        <f>SUMIFS('июль 2023'!$G$4:$G$968,'июль 2023'!$D$4:$D$968,$B38,'июль 2023'!$J$4:$J$968,AH$1)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SUMIFS('июль 2023'!$G$4:$G$968,'июль 2023'!$D$4:$D$968,$B39,'июль 2023'!$J$4:$J$968,D$1)</f>
        <v>0</v>
      </c>
      <c r="E39" s="207">
        <f>SUMIFS('июль 2023'!$G$4:$G$968,'июль 2023'!$D$4:$D$968,$B39,'июль 2023'!$J$4:$J$968,E$1)</f>
        <v>0</v>
      </c>
      <c r="F39" s="207">
        <f>SUMIFS('июль 2023'!$G$4:$G$968,'июль 2023'!$D$4:$D$968,$B39,'июль 2023'!$J$4:$J$968,F$1)</f>
        <v>0</v>
      </c>
      <c r="G39" s="207">
        <f>SUMIFS('июль 2023'!$G$4:$G$968,'июль 2023'!$D$4:$D$968,$B39,'июль 2023'!$J$4:$J$968,G$1)</f>
        <v>0</v>
      </c>
      <c r="H39" s="207">
        <f>SUMIFS('июль 2023'!$G$4:$G$968,'июль 2023'!$D$4:$D$968,$B39,'июль 2023'!$J$4:$J$968,H$1)</f>
        <v>0</v>
      </c>
      <c r="I39" s="207">
        <f>SUMIFS('июль 2023'!$G$4:$G$968,'июль 2023'!$D$4:$D$968,$B39,'июль 2023'!$J$4:$J$968,I$1)</f>
        <v>0</v>
      </c>
      <c r="J39" s="207">
        <f>SUMIFS('июль 2023'!$G$4:$G$968,'июль 2023'!$D$4:$D$968,$B39,'июль 2023'!$J$4:$J$968,J$1)</f>
        <v>0</v>
      </c>
      <c r="K39" s="207">
        <f>SUMIFS('июль 2023'!$G$4:$G$968,'июль 2023'!$D$4:$D$968,$B39,'июль 2023'!$J$4:$J$968,K$1)</f>
        <v>0</v>
      </c>
      <c r="L39" s="207">
        <f>SUMIFS('июль 2023'!$G$4:$G$968,'июль 2023'!$D$4:$D$968,$B39,'июль 2023'!$J$4:$J$968,L$1)</f>
        <v>0</v>
      </c>
      <c r="M39" s="207">
        <f>SUMIFS('июль 2023'!$G$4:$G$968,'июль 2023'!$D$4:$D$968,$B39,'июль 2023'!$J$4:$J$968,M$1)</f>
        <v>0</v>
      </c>
      <c r="N39" s="207">
        <f>SUMIFS('июль 2023'!$G$4:$G$968,'июль 2023'!$D$4:$D$968,$B39,'июль 2023'!$J$4:$J$968,N$1)</f>
        <v>0</v>
      </c>
      <c r="O39" s="207">
        <f>SUMIFS('июль 2023'!$G$4:$G$968,'июль 2023'!$D$4:$D$968,$B39,'июль 2023'!$J$4:$J$968,O$1)</f>
        <v>0</v>
      </c>
      <c r="P39" s="207">
        <f>SUMIFS('июль 2023'!$G$4:$G$968,'июль 2023'!$D$4:$D$968,$B39,'июль 2023'!$J$4:$J$968,P$1)</f>
        <v>0</v>
      </c>
      <c r="Q39" s="207">
        <f>SUMIFS('июль 2023'!$G$4:$G$968,'июль 2023'!$D$4:$D$968,$B39,'июль 2023'!$J$4:$J$968,Q$1)</f>
        <v>0</v>
      </c>
      <c r="R39" s="207">
        <f>SUMIFS('июль 2023'!$G$4:$G$968,'июль 2023'!$D$4:$D$968,$B39,'июль 2023'!$J$4:$J$968,R$1)</f>
        <v>0</v>
      </c>
      <c r="S39" s="207">
        <f>SUMIFS('июль 2023'!$G$4:$G$968,'июль 2023'!$D$4:$D$968,$B39,'июль 2023'!$J$4:$J$968,S$1)</f>
        <v>0</v>
      </c>
      <c r="T39" s="207">
        <f>SUMIFS('июль 2023'!$G$4:$G$968,'июль 2023'!$D$4:$D$968,$B39,'июль 2023'!$J$4:$J$968,T$1)</f>
        <v>0</v>
      </c>
      <c r="U39" s="207">
        <f>SUMIFS('июль 2023'!$G$4:$G$968,'июль 2023'!$D$4:$D$968,$B39,'июль 2023'!$J$4:$J$968,U$1)</f>
        <v>0</v>
      </c>
      <c r="V39" s="207">
        <f>SUMIFS('июль 2023'!$G$4:$G$968,'июль 2023'!$D$4:$D$968,$B39,'июль 2023'!$J$4:$J$968,V$1)</f>
        <v>0</v>
      </c>
      <c r="W39" s="207">
        <f>SUMIFS('июль 2023'!$G$4:$G$968,'июль 2023'!$D$4:$D$968,$B39,'июль 2023'!$J$4:$J$968,W$1)</f>
        <v>0</v>
      </c>
      <c r="X39" s="207">
        <f>SUMIFS('июль 2023'!$G$4:$G$968,'июль 2023'!$D$4:$D$968,$B39,'июль 2023'!$J$4:$J$968,X$1)</f>
        <v>0</v>
      </c>
      <c r="Y39" s="207">
        <f>SUMIFS('июль 2023'!$G$4:$G$968,'июль 2023'!$D$4:$D$968,$B39,'июль 2023'!$J$4:$J$968,Y$1)</f>
        <v>0</v>
      </c>
      <c r="Z39" s="207">
        <f>SUMIFS('июль 2023'!$G$4:$G$968,'июль 2023'!$D$4:$D$968,$B39,'июль 2023'!$J$4:$J$968,Z$1)</f>
        <v>0</v>
      </c>
      <c r="AA39" s="207">
        <f>SUMIFS('июль 2023'!$G$4:$G$968,'июль 2023'!$D$4:$D$968,$B39,'июль 2023'!$J$4:$J$968,AA$1)</f>
        <v>0</v>
      </c>
      <c r="AB39" s="207">
        <f>SUMIFS('июль 2023'!$G$4:$G$968,'июль 2023'!$D$4:$D$968,$B39,'июль 2023'!$J$4:$J$968,AB$1)</f>
        <v>0</v>
      </c>
      <c r="AC39" s="207">
        <f>SUMIFS('июль 2023'!$G$4:$G$968,'июль 2023'!$D$4:$D$968,$B39,'июль 2023'!$J$4:$J$968,AC$1)</f>
        <v>0</v>
      </c>
      <c r="AD39" s="207">
        <f>SUMIFS('июль 2023'!$G$4:$G$968,'июль 2023'!$D$4:$D$968,$B39,'июль 2023'!$J$4:$J$968,AD$1)</f>
        <v>0</v>
      </c>
      <c r="AE39" s="207">
        <f>SUMIFS('июль 2023'!$G$4:$G$968,'июль 2023'!$D$4:$D$968,$B39,'июль 2023'!$J$4:$J$968,AE$1)</f>
        <v>0</v>
      </c>
      <c r="AF39" s="207">
        <f>SUMIFS('июль 2023'!$G$4:$G$968,'июль 2023'!$D$4:$D$968,$B39,'июль 2023'!$J$4:$J$968,AF$1)</f>
        <v>0</v>
      </c>
      <c r="AG39" s="207">
        <f>SUMIFS('июль 2023'!$G$4:$G$968,'июль 2023'!$D$4:$D$968,$B39,'июль 2023'!$J$4:$J$968,AG$1)</f>
        <v>0</v>
      </c>
      <c r="AH39" s="207">
        <f>SUMIFS('июль 2023'!$G$4:$G$968,'июль 2023'!$D$4:$D$968,$B39,'июль 2023'!$J$4:$J$968,AH$1)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SUMIFS('июль 2023'!$G$4:$G$968,'июль 2023'!$D$4:$D$968,$B40,'июль 2023'!$J$4:$J$968,D$1)</f>
        <v>0</v>
      </c>
      <c r="E40" s="207">
        <f>SUMIFS('июль 2023'!$G$4:$G$968,'июль 2023'!$D$4:$D$968,$B40,'июль 2023'!$J$4:$J$968,E$1)</f>
        <v>0</v>
      </c>
      <c r="F40" s="207">
        <f>SUMIFS('июль 2023'!$G$4:$G$968,'июль 2023'!$D$4:$D$968,$B40,'июль 2023'!$J$4:$J$968,F$1)</f>
        <v>0</v>
      </c>
      <c r="G40" s="207">
        <f>SUMIFS('июль 2023'!$G$4:$G$968,'июль 2023'!$D$4:$D$968,$B40,'июль 2023'!$J$4:$J$968,G$1)</f>
        <v>0</v>
      </c>
      <c r="H40" s="207">
        <f>SUMIFS('июль 2023'!$G$4:$G$968,'июль 2023'!$D$4:$D$968,$B40,'июль 2023'!$J$4:$J$968,H$1)</f>
        <v>0</v>
      </c>
      <c r="I40" s="207">
        <f>SUMIFS('июль 2023'!$G$4:$G$968,'июль 2023'!$D$4:$D$968,$B40,'июль 2023'!$J$4:$J$968,I$1)</f>
        <v>0</v>
      </c>
      <c r="J40" s="207">
        <f>SUMIFS('июль 2023'!$G$4:$G$968,'июль 2023'!$D$4:$D$968,$B40,'июль 2023'!$J$4:$J$968,J$1)</f>
        <v>0</v>
      </c>
      <c r="K40" s="207">
        <f>SUMIFS('июль 2023'!$G$4:$G$968,'июль 2023'!$D$4:$D$968,$B40,'июль 2023'!$J$4:$J$968,K$1)</f>
        <v>0</v>
      </c>
      <c r="L40" s="207">
        <f>SUMIFS('июль 2023'!$G$4:$G$968,'июль 2023'!$D$4:$D$968,$B40,'июль 2023'!$J$4:$J$968,L$1)</f>
        <v>0</v>
      </c>
      <c r="M40" s="207">
        <f>SUMIFS('июль 2023'!$G$4:$G$968,'июль 2023'!$D$4:$D$968,$B40,'июль 2023'!$J$4:$J$968,M$1)</f>
        <v>0</v>
      </c>
      <c r="N40" s="207">
        <f>SUMIFS('июль 2023'!$G$4:$G$968,'июль 2023'!$D$4:$D$968,$B40,'июль 2023'!$J$4:$J$968,N$1)</f>
        <v>0</v>
      </c>
      <c r="O40" s="207">
        <f>SUMIFS('июль 2023'!$G$4:$G$968,'июль 2023'!$D$4:$D$968,$B40,'июль 2023'!$J$4:$J$968,O$1)</f>
        <v>0</v>
      </c>
      <c r="P40" s="207">
        <f>SUMIFS('июль 2023'!$G$4:$G$968,'июль 2023'!$D$4:$D$968,$B40,'июль 2023'!$J$4:$J$968,P$1)</f>
        <v>0</v>
      </c>
      <c r="Q40" s="207">
        <f>SUMIFS('июль 2023'!$G$4:$G$968,'июль 2023'!$D$4:$D$968,$B40,'июль 2023'!$J$4:$J$968,Q$1)</f>
        <v>0</v>
      </c>
      <c r="R40" s="207">
        <f>SUMIFS('июль 2023'!$G$4:$G$968,'июль 2023'!$D$4:$D$968,$B40,'июль 2023'!$J$4:$J$968,R$1)</f>
        <v>0</v>
      </c>
      <c r="S40" s="207">
        <f>SUMIFS('июль 2023'!$G$4:$G$968,'июль 2023'!$D$4:$D$968,$B40,'июль 2023'!$J$4:$J$968,S$1)</f>
        <v>0</v>
      </c>
      <c r="T40" s="207">
        <f>SUMIFS('июль 2023'!$G$4:$G$968,'июль 2023'!$D$4:$D$968,$B40,'июль 2023'!$J$4:$J$968,T$1)</f>
        <v>0</v>
      </c>
      <c r="U40" s="207">
        <f>SUMIFS('июль 2023'!$G$4:$G$968,'июль 2023'!$D$4:$D$968,$B40,'июль 2023'!$J$4:$J$968,U$1)</f>
        <v>0</v>
      </c>
      <c r="V40" s="207">
        <f>SUMIFS('июль 2023'!$G$4:$G$968,'июль 2023'!$D$4:$D$968,$B40,'июль 2023'!$J$4:$J$968,V$1)</f>
        <v>0</v>
      </c>
      <c r="W40" s="207">
        <f>SUMIFS('июль 2023'!$G$4:$G$968,'июль 2023'!$D$4:$D$968,$B40,'июль 2023'!$J$4:$J$968,W$1)</f>
        <v>50</v>
      </c>
      <c r="X40" s="207">
        <f>SUMIFS('июль 2023'!$G$4:$G$968,'июль 2023'!$D$4:$D$968,$B40,'июль 2023'!$J$4:$J$968,X$1)</f>
        <v>0</v>
      </c>
      <c r="Y40" s="207">
        <f>SUMIFS('июль 2023'!$G$4:$G$968,'июль 2023'!$D$4:$D$968,$B40,'июль 2023'!$J$4:$J$968,Y$1)</f>
        <v>0</v>
      </c>
      <c r="Z40" s="207">
        <f>SUMIFS('июль 2023'!$G$4:$G$968,'июль 2023'!$D$4:$D$968,$B40,'июль 2023'!$J$4:$J$968,Z$1)</f>
        <v>0</v>
      </c>
      <c r="AA40" s="207">
        <f>SUMIFS('июль 2023'!$G$4:$G$968,'июль 2023'!$D$4:$D$968,$B40,'июль 2023'!$J$4:$J$968,AA$1)</f>
        <v>0</v>
      </c>
      <c r="AB40" s="207">
        <f>SUMIFS('июль 2023'!$G$4:$G$968,'июль 2023'!$D$4:$D$968,$B40,'июль 2023'!$J$4:$J$968,AB$1)</f>
        <v>0</v>
      </c>
      <c r="AC40" s="207">
        <f>SUMIFS('июль 2023'!$G$4:$G$968,'июль 2023'!$D$4:$D$968,$B40,'июль 2023'!$J$4:$J$968,AC$1)</f>
        <v>0</v>
      </c>
      <c r="AD40" s="207">
        <f>SUMIFS('июль 2023'!$G$4:$G$968,'июль 2023'!$D$4:$D$968,$B40,'июль 2023'!$J$4:$J$968,AD$1)</f>
        <v>0</v>
      </c>
      <c r="AE40" s="207">
        <f>SUMIFS('июль 2023'!$G$4:$G$968,'июль 2023'!$D$4:$D$968,$B40,'июль 2023'!$J$4:$J$968,AE$1)</f>
        <v>0</v>
      </c>
      <c r="AF40" s="207">
        <f>SUMIFS('июль 2023'!$G$4:$G$968,'июль 2023'!$D$4:$D$968,$B40,'июль 2023'!$J$4:$J$968,AF$1)</f>
        <v>0</v>
      </c>
      <c r="AG40" s="207">
        <f>SUMIFS('июль 2023'!$G$4:$G$968,'июль 2023'!$D$4:$D$968,$B40,'июль 2023'!$J$4:$J$968,AG$1)</f>
        <v>0</v>
      </c>
      <c r="AH40" s="207">
        <f>SUMIFS('июль 2023'!$G$4:$G$968,'июль 2023'!$D$4:$D$968,$B40,'июль 2023'!$J$4:$J$968,AH$1)</f>
        <v>0</v>
      </c>
      <c r="AI40" s="170">
        <f t="shared" si="1"/>
        <v>50</v>
      </c>
    </row>
    <row r="41" spans="2:35" ht="15" customHeight="1" x14ac:dyDescent="0.25">
      <c r="B41" s="216" t="s">
        <v>2125</v>
      </c>
      <c r="C41" s="213">
        <v>25</v>
      </c>
      <c r="D41" s="207">
        <f>SUMIFS('июль 2023'!$G$4:$G$968,'июль 2023'!$D$4:$D$968,$B41,'июль 2023'!$J$4:$J$968,D$1)</f>
        <v>0</v>
      </c>
      <c r="E41" s="207">
        <f>SUMIFS('июль 2023'!$G$4:$G$968,'июль 2023'!$D$4:$D$968,$B41,'июль 2023'!$J$4:$J$968,E$1)</f>
        <v>0</v>
      </c>
      <c r="F41" s="207">
        <f>SUMIFS('июль 2023'!$G$4:$G$968,'июль 2023'!$D$4:$D$968,$B41,'июль 2023'!$J$4:$J$968,F$1)</f>
        <v>0</v>
      </c>
      <c r="G41" s="207">
        <f>SUMIFS('июль 2023'!$G$4:$G$968,'июль 2023'!$D$4:$D$968,$B41,'июль 2023'!$J$4:$J$968,G$1)</f>
        <v>0</v>
      </c>
      <c r="H41" s="207">
        <f>SUMIFS('июль 2023'!$G$4:$G$968,'июль 2023'!$D$4:$D$968,$B41,'июль 2023'!$J$4:$J$968,H$1)</f>
        <v>0</v>
      </c>
      <c r="I41" s="207">
        <f>SUMIFS('июль 2023'!$G$4:$G$968,'июль 2023'!$D$4:$D$968,$B41,'июль 2023'!$J$4:$J$968,I$1)</f>
        <v>0</v>
      </c>
      <c r="J41" s="207">
        <f>SUMIFS('июль 2023'!$G$4:$G$968,'июль 2023'!$D$4:$D$968,$B41,'июль 2023'!$J$4:$J$968,J$1)</f>
        <v>0</v>
      </c>
      <c r="K41" s="207">
        <f>SUMIFS('июль 2023'!$G$4:$G$968,'июль 2023'!$D$4:$D$968,$B41,'июль 2023'!$J$4:$J$968,K$1)</f>
        <v>0</v>
      </c>
      <c r="L41" s="207">
        <f>SUMIFS('июль 2023'!$G$4:$G$968,'июль 2023'!$D$4:$D$968,$B41,'июль 2023'!$J$4:$J$968,L$1)</f>
        <v>0</v>
      </c>
      <c r="M41" s="207">
        <f>SUMIFS('июль 2023'!$G$4:$G$968,'июль 2023'!$D$4:$D$968,$B41,'июль 2023'!$J$4:$J$968,M$1)</f>
        <v>0</v>
      </c>
      <c r="N41" s="207">
        <f>SUMIFS('июль 2023'!$G$4:$G$968,'июль 2023'!$D$4:$D$968,$B41,'июль 2023'!$J$4:$J$968,N$1)</f>
        <v>0</v>
      </c>
      <c r="O41" s="207">
        <f>SUMIFS('июль 2023'!$G$4:$G$968,'июль 2023'!$D$4:$D$968,$B41,'июль 2023'!$J$4:$J$968,O$1)</f>
        <v>0</v>
      </c>
      <c r="P41" s="207">
        <f>SUMIFS('июль 2023'!$G$4:$G$968,'июль 2023'!$D$4:$D$968,$B41,'июль 2023'!$J$4:$J$968,P$1)</f>
        <v>0</v>
      </c>
      <c r="Q41" s="207">
        <f>SUMIFS('июль 2023'!$G$4:$G$968,'июль 2023'!$D$4:$D$968,$B41,'июль 2023'!$J$4:$J$968,Q$1)</f>
        <v>0</v>
      </c>
      <c r="R41" s="207">
        <f>SUMIFS('июль 2023'!$G$4:$G$968,'июль 2023'!$D$4:$D$968,$B41,'июль 2023'!$J$4:$J$968,R$1)</f>
        <v>0</v>
      </c>
      <c r="S41" s="207">
        <f>SUMIFS('июль 2023'!$G$4:$G$968,'июль 2023'!$D$4:$D$968,$B41,'июль 2023'!$J$4:$J$968,S$1)</f>
        <v>0</v>
      </c>
      <c r="T41" s="207">
        <f>SUMIFS('июль 2023'!$G$4:$G$968,'июль 2023'!$D$4:$D$968,$B41,'июль 2023'!$J$4:$J$968,T$1)</f>
        <v>0</v>
      </c>
      <c r="U41" s="207">
        <f>SUMIFS('июль 2023'!$G$4:$G$968,'июль 2023'!$D$4:$D$968,$B41,'июль 2023'!$J$4:$J$968,U$1)</f>
        <v>0</v>
      </c>
      <c r="V41" s="207">
        <f>SUMIFS('июль 2023'!$G$4:$G$968,'июль 2023'!$D$4:$D$968,$B41,'июль 2023'!$J$4:$J$968,V$1)</f>
        <v>0</v>
      </c>
      <c r="W41" s="207">
        <f>SUMIFS('июль 2023'!$G$4:$G$968,'июль 2023'!$D$4:$D$968,$B41,'июль 2023'!$J$4:$J$968,W$1)</f>
        <v>0</v>
      </c>
      <c r="X41" s="207">
        <f>SUMIFS('июль 2023'!$G$4:$G$968,'июль 2023'!$D$4:$D$968,$B41,'июль 2023'!$J$4:$J$968,X$1)</f>
        <v>0</v>
      </c>
      <c r="Y41" s="207">
        <f>SUMIFS('июль 2023'!$G$4:$G$968,'июль 2023'!$D$4:$D$968,$B41,'июль 2023'!$J$4:$J$968,Y$1)</f>
        <v>0</v>
      </c>
      <c r="Z41" s="207">
        <f>SUMIFS('июль 2023'!$G$4:$G$968,'июль 2023'!$D$4:$D$968,$B41,'июль 2023'!$J$4:$J$968,Z$1)</f>
        <v>0</v>
      </c>
      <c r="AA41" s="207">
        <f>SUMIFS('июль 2023'!$G$4:$G$968,'июль 2023'!$D$4:$D$968,$B41,'июль 2023'!$J$4:$J$968,AA$1)</f>
        <v>0</v>
      </c>
      <c r="AB41" s="207">
        <f>SUMIFS('июль 2023'!$G$4:$G$968,'июль 2023'!$D$4:$D$968,$B41,'июль 2023'!$J$4:$J$968,AB$1)</f>
        <v>0</v>
      </c>
      <c r="AC41" s="207">
        <f>SUMIFS('июль 2023'!$G$4:$G$968,'июль 2023'!$D$4:$D$968,$B41,'июль 2023'!$J$4:$J$968,AC$1)</f>
        <v>0</v>
      </c>
      <c r="AD41" s="207">
        <f>SUMIFS('июль 2023'!$G$4:$G$968,'июль 2023'!$D$4:$D$968,$B41,'июль 2023'!$J$4:$J$968,AD$1)</f>
        <v>0</v>
      </c>
      <c r="AE41" s="207">
        <f>SUMIFS('июль 2023'!$G$4:$G$968,'июль 2023'!$D$4:$D$968,$B41,'июль 2023'!$J$4:$J$968,AE$1)</f>
        <v>0</v>
      </c>
      <c r="AF41" s="207">
        <f>SUMIFS('июль 2023'!$G$4:$G$968,'июль 2023'!$D$4:$D$968,$B41,'июль 2023'!$J$4:$J$968,AF$1)</f>
        <v>0</v>
      </c>
      <c r="AG41" s="207">
        <f>SUMIFS('июль 2023'!$G$4:$G$968,'июль 2023'!$D$4:$D$968,$B41,'июль 2023'!$J$4:$J$968,AG$1)</f>
        <v>0</v>
      </c>
      <c r="AH41" s="207">
        <f>SUMIFS('июль 2023'!$G$4:$G$968,'июль 2023'!$D$4:$D$968,$B41,'июль 2023'!$J$4:$J$968,AH$1)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SUMIFS('июль 2023'!$G$4:$G$968,'июль 2023'!$D$4:$D$968,$B42,'июль 2023'!$J$4:$J$968,D$1)</f>
        <v>0</v>
      </c>
      <c r="E42" s="207">
        <f>SUMIFS('июль 2023'!$G$4:$G$968,'июль 2023'!$D$4:$D$968,$B42,'июль 2023'!$J$4:$J$968,E$1)</f>
        <v>0</v>
      </c>
      <c r="F42" s="207">
        <f>SUMIFS('июль 2023'!$G$4:$G$968,'июль 2023'!$D$4:$D$968,$B42,'июль 2023'!$J$4:$J$968,F$1)</f>
        <v>0</v>
      </c>
      <c r="G42" s="207">
        <f>SUMIFS('июль 2023'!$G$4:$G$968,'июль 2023'!$D$4:$D$968,$B42,'июль 2023'!$J$4:$J$968,G$1)</f>
        <v>800</v>
      </c>
      <c r="H42" s="207">
        <f>SUMIFS('июль 2023'!$G$4:$G$968,'июль 2023'!$D$4:$D$968,$B42,'июль 2023'!$J$4:$J$968,H$1)</f>
        <v>0</v>
      </c>
      <c r="I42" s="207">
        <f>SUMIFS('июль 2023'!$G$4:$G$968,'июль 2023'!$D$4:$D$968,$B42,'июль 2023'!$J$4:$J$968,I$1)</f>
        <v>0</v>
      </c>
      <c r="J42" s="207">
        <f>SUMIFS('июль 2023'!$G$4:$G$968,'июль 2023'!$D$4:$D$968,$B42,'июль 2023'!$J$4:$J$968,J$1)</f>
        <v>0</v>
      </c>
      <c r="K42" s="207">
        <f>SUMIFS('июль 2023'!$G$4:$G$968,'июль 2023'!$D$4:$D$968,$B42,'июль 2023'!$J$4:$J$968,K$1)</f>
        <v>0</v>
      </c>
      <c r="L42" s="207">
        <f>SUMIFS('июль 2023'!$G$4:$G$968,'июль 2023'!$D$4:$D$968,$B42,'июль 2023'!$J$4:$J$968,L$1)</f>
        <v>0</v>
      </c>
      <c r="M42" s="207">
        <f>SUMIFS('июль 2023'!$G$4:$G$968,'июль 2023'!$D$4:$D$968,$B42,'июль 2023'!$J$4:$J$968,M$1)</f>
        <v>0</v>
      </c>
      <c r="N42" s="207">
        <f>SUMIFS('июль 2023'!$G$4:$G$968,'июль 2023'!$D$4:$D$968,$B42,'июль 2023'!$J$4:$J$968,N$1)</f>
        <v>0</v>
      </c>
      <c r="O42" s="207">
        <f>SUMIFS('июль 2023'!$G$4:$G$968,'июль 2023'!$D$4:$D$968,$B42,'июль 2023'!$J$4:$J$968,O$1)</f>
        <v>0</v>
      </c>
      <c r="P42" s="207">
        <f>SUMIFS('июль 2023'!$G$4:$G$968,'июль 2023'!$D$4:$D$968,$B42,'июль 2023'!$J$4:$J$968,P$1)</f>
        <v>0</v>
      </c>
      <c r="Q42" s="207">
        <f>SUMIFS('июль 2023'!$G$4:$G$968,'июль 2023'!$D$4:$D$968,$B42,'июль 2023'!$J$4:$J$968,Q$1)</f>
        <v>0</v>
      </c>
      <c r="R42" s="207">
        <f>SUMIFS('июль 2023'!$G$4:$G$968,'июль 2023'!$D$4:$D$968,$B42,'июль 2023'!$J$4:$J$968,R$1)</f>
        <v>0</v>
      </c>
      <c r="S42" s="207">
        <f>SUMIFS('июль 2023'!$G$4:$G$968,'июль 2023'!$D$4:$D$968,$B42,'июль 2023'!$J$4:$J$968,S$1)</f>
        <v>0</v>
      </c>
      <c r="T42" s="207">
        <f>SUMIFS('июль 2023'!$G$4:$G$968,'июль 2023'!$D$4:$D$968,$B42,'июль 2023'!$J$4:$J$968,T$1)</f>
        <v>0</v>
      </c>
      <c r="U42" s="207">
        <f>SUMIFS('июль 2023'!$G$4:$G$968,'июль 2023'!$D$4:$D$968,$B42,'июль 2023'!$J$4:$J$968,U$1)</f>
        <v>0</v>
      </c>
      <c r="V42" s="207">
        <f>SUMIFS('июль 2023'!$G$4:$G$968,'июль 2023'!$D$4:$D$968,$B42,'июль 2023'!$J$4:$J$968,V$1)</f>
        <v>0</v>
      </c>
      <c r="W42" s="207">
        <f>SUMIFS('июль 2023'!$G$4:$G$968,'июль 2023'!$D$4:$D$968,$B42,'июль 2023'!$J$4:$J$968,W$1)</f>
        <v>0</v>
      </c>
      <c r="X42" s="207">
        <f>SUMIFS('июль 2023'!$G$4:$G$968,'июль 2023'!$D$4:$D$968,$B42,'июль 2023'!$J$4:$J$968,X$1)</f>
        <v>0</v>
      </c>
      <c r="Y42" s="207">
        <f>SUMIFS('июль 2023'!$G$4:$G$968,'июль 2023'!$D$4:$D$968,$B42,'июль 2023'!$J$4:$J$968,Y$1)</f>
        <v>0</v>
      </c>
      <c r="Z42" s="207">
        <f>SUMIFS('июль 2023'!$G$4:$G$968,'июль 2023'!$D$4:$D$968,$B42,'июль 2023'!$J$4:$J$968,Z$1)</f>
        <v>0</v>
      </c>
      <c r="AA42" s="207">
        <f>SUMIFS('июль 2023'!$G$4:$G$968,'июль 2023'!$D$4:$D$968,$B42,'июль 2023'!$J$4:$J$968,AA$1)</f>
        <v>0</v>
      </c>
      <c r="AB42" s="207">
        <f>SUMIFS('июль 2023'!$G$4:$G$968,'июль 2023'!$D$4:$D$968,$B42,'июль 2023'!$J$4:$J$968,AB$1)</f>
        <v>600</v>
      </c>
      <c r="AC42" s="207">
        <f>SUMIFS('июль 2023'!$G$4:$G$968,'июль 2023'!$D$4:$D$968,$B42,'июль 2023'!$J$4:$J$968,AC$1)</f>
        <v>0</v>
      </c>
      <c r="AD42" s="207">
        <f>SUMIFS('июль 2023'!$G$4:$G$968,'июль 2023'!$D$4:$D$968,$B42,'июль 2023'!$J$4:$J$968,AD$1)</f>
        <v>0</v>
      </c>
      <c r="AE42" s="207">
        <f>SUMIFS('июль 2023'!$G$4:$G$968,'июль 2023'!$D$4:$D$968,$B42,'июль 2023'!$J$4:$J$968,AE$1)</f>
        <v>0</v>
      </c>
      <c r="AF42" s="207">
        <f>SUMIFS('июль 2023'!$G$4:$G$968,'июль 2023'!$D$4:$D$968,$B42,'июль 2023'!$J$4:$J$968,AF$1)</f>
        <v>0</v>
      </c>
      <c r="AG42" s="207">
        <f>SUMIFS('июль 2023'!$G$4:$G$968,'июль 2023'!$D$4:$D$968,$B42,'июль 2023'!$J$4:$J$968,AG$1)</f>
        <v>0</v>
      </c>
      <c r="AH42" s="207">
        <f>SUMIFS('июль 2023'!$G$4:$G$968,'июль 2023'!$D$4:$D$968,$B42,'июль 2023'!$J$4:$J$968,AH$1)</f>
        <v>0</v>
      </c>
      <c r="AI42" s="170">
        <f t="shared" si="1"/>
        <v>1400</v>
      </c>
    </row>
    <row r="43" spans="2:35" ht="15" customHeight="1" x14ac:dyDescent="0.25">
      <c r="B43" s="216" t="s">
        <v>684</v>
      </c>
      <c r="C43" s="213">
        <v>20</v>
      </c>
      <c r="D43" s="207">
        <f>SUMIFS('июль 2023'!$G$4:$G$968,'июль 2023'!$D$4:$D$968,$B43,'июль 2023'!$J$4:$J$968,D$1)</f>
        <v>0</v>
      </c>
      <c r="E43" s="207">
        <f>SUMIFS('июль 2023'!$G$4:$G$968,'июль 2023'!$D$4:$D$968,$B43,'июль 2023'!$J$4:$J$968,E$1)</f>
        <v>0</v>
      </c>
      <c r="F43" s="207">
        <f>SUMIFS('июль 2023'!$G$4:$G$968,'июль 2023'!$D$4:$D$968,$B43,'июль 2023'!$J$4:$J$968,F$1)</f>
        <v>250</v>
      </c>
      <c r="G43" s="207">
        <f>SUMIFS('июль 2023'!$G$4:$G$968,'июль 2023'!$D$4:$D$968,$B43,'июль 2023'!$J$4:$J$968,G$1)</f>
        <v>0</v>
      </c>
      <c r="H43" s="207">
        <f>SUMIFS('июль 2023'!$G$4:$G$968,'июль 2023'!$D$4:$D$968,$B43,'июль 2023'!$J$4:$J$968,H$1)</f>
        <v>0</v>
      </c>
      <c r="I43" s="207">
        <f>SUMIFS('июль 2023'!$G$4:$G$968,'июль 2023'!$D$4:$D$968,$B43,'июль 2023'!$J$4:$J$968,I$1)</f>
        <v>0</v>
      </c>
      <c r="J43" s="207">
        <f>SUMIFS('июль 2023'!$G$4:$G$968,'июль 2023'!$D$4:$D$968,$B43,'июль 2023'!$J$4:$J$968,J$1)</f>
        <v>0</v>
      </c>
      <c r="K43" s="207">
        <f>SUMIFS('июль 2023'!$G$4:$G$968,'июль 2023'!$D$4:$D$968,$B43,'июль 2023'!$J$4:$J$968,K$1)</f>
        <v>0</v>
      </c>
      <c r="L43" s="207">
        <f>SUMIFS('июль 2023'!$G$4:$G$968,'июль 2023'!$D$4:$D$968,$B43,'июль 2023'!$J$4:$J$968,L$1)</f>
        <v>0</v>
      </c>
      <c r="M43" s="207">
        <f>SUMIFS('июль 2023'!$G$4:$G$968,'июль 2023'!$D$4:$D$968,$B43,'июль 2023'!$J$4:$J$968,M$1)</f>
        <v>0</v>
      </c>
      <c r="N43" s="207">
        <f>SUMIFS('июль 2023'!$G$4:$G$968,'июль 2023'!$D$4:$D$968,$B43,'июль 2023'!$J$4:$J$968,N$1)</f>
        <v>0</v>
      </c>
      <c r="O43" s="207">
        <f>SUMIFS('июль 2023'!$G$4:$G$968,'июль 2023'!$D$4:$D$968,$B43,'июль 2023'!$J$4:$J$968,O$1)</f>
        <v>0</v>
      </c>
      <c r="P43" s="207">
        <f>SUMIFS('июль 2023'!$G$4:$G$968,'июль 2023'!$D$4:$D$968,$B43,'июль 2023'!$J$4:$J$968,P$1)</f>
        <v>0</v>
      </c>
      <c r="Q43" s="207">
        <f>SUMIFS('июль 2023'!$G$4:$G$968,'июль 2023'!$D$4:$D$968,$B43,'июль 2023'!$J$4:$J$968,Q$1)</f>
        <v>0</v>
      </c>
      <c r="R43" s="207">
        <f>SUMIFS('июль 2023'!$G$4:$G$968,'июль 2023'!$D$4:$D$968,$B43,'июль 2023'!$J$4:$J$968,R$1)</f>
        <v>0</v>
      </c>
      <c r="S43" s="207">
        <f>SUMIFS('июль 2023'!$G$4:$G$968,'июль 2023'!$D$4:$D$968,$B43,'июль 2023'!$J$4:$J$968,S$1)</f>
        <v>0</v>
      </c>
      <c r="T43" s="207">
        <f>SUMIFS('июль 2023'!$G$4:$G$968,'июль 2023'!$D$4:$D$968,$B43,'июль 2023'!$J$4:$J$968,T$1)</f>
        <v>0</v>
      </c>
      <c r="U43" s="207">
        <f>SUMIFS('июль 2023'!$G$4:$G$968,'июль 2023'!$D$4:$D$968,$B43,'июль 2023'!$J$4:$J$968,U$1)</f>
        <v>0</v>
      </c>
      <c r="V43" s="207">
        <f>SUMIFS('июль 2023'!$G$4:$G$968,'июль 2023'!$D$4:$D$968,$B43,'июль 2023'!$J$4:$J$968,V$1)</f>
        <v>0</v>
      </c>
      <c r="W43" s="207">
        <f>SUMIFS('июль 2023'!$G$4:$G$968,'июль 2023'!$D$4:$D$968,$B43,'июль 2023'!$J$4:$J$968,W$1)</f>
        <v>0</v>
      </c>
      <c r="X43" s="207">
        <f>SUMIFS('июль 2023'!$G$4:$G$968,'июль 2023'!$D$4:$D$968,$B43,'июль 2023'!$J$4:$J$968,X$1)</f>
        <v>0</v>
      </c>
      <c r="Y43" s="207">
        <f>SUMIFS('июль 2023'!$G$4:$G$968,'июль 2023'!$D$4:$D$968,$B43,'июль 2023'!$J$4:$J$968,Y$1)</f>
        <v>0</v>
      </c>
      <c r="Z43" s="207">
        <f>SUMIFS('июль 2023'!$G$4:$G$968,'июль 2023'!$D$4:$D$968,$B43,'июль 2023'!$J$4:$J$968,Z$1)</f>
        <v>0</v>
      </c>
      <c r="AA43" s="207">
        <f>SUMIFS('июль 2023'!$G$4:$G$968,'июль 2023'!$D$4:$D$968,$B43,'июль 2023'!$J$4:$J$968,AA$1)</f>
        <v>0</v>
      </c>
      <c r="AB43" s="207">
        <f>SUMIFS('июль 2023'!$G$4:$G$968,'июль 2023'!$D$4:$D$968,$B43,'июль 2023'!$J$4:$J$968,AB$1)</f>
        <v>0</v>
      </c>
      <c r="AC43" s="207">
        <f>SUMIFS('июль 2023'!$G$4:$G$968,'июль 2023'!$D$4:$D$968,$B43,'июль 2023'!$J$4:$J$968,AC$1)</f>
        <v>0</v>
      </c>
      <c r="AD43" s="207">
        <f>SUMIFS('июль 2023'!$G$4:$G$968,'июль 2023'!$D$4:$D$968,$B43,'июль 2023'!$J$4:$J$968,AD$1)</f>
        <v>0</v>
      </c>
      <c r="AE43" s="207">
        <f>SUMIFS('июль 2023'!$G$4:$G$968,'июль 2023'!$D$4:$D$968,$B43,'июль 2023'!$J$4:$J$968,AE$1)</f>
        <v>0</v>
      </c>
      <c r="AF43" s="207">
        <f>SUMIFS('июль 2023'!$G$4:$G$968,'июль 2023'!$D$4:$D$968,$B43,'июль 2023'!$J$4:$J$968,AF$1)</f>
        <v>0</v>
      </c>
      <c r="AG43" s="207">
        <f>SUMIFS('июль 2023'!$G$4:$G$968,'июль 2023'!$D$4:$D$968,$B43,'июль 2023'!$J$4:$J$968,AG$1)</f>
        <v>0</v>
      </c>
      <c r="AH43" s="207">
        <f>SUMIFS('июль 2023'!$G$4:$G$968,'июль 2023'!$D$4:$D$968,$B43,'июль 2023'!$J$4:$J$968,AH$1)</f>
        <v>0</v>
      </c>
      <c r="AI43" s="170">
        <f t="shared" si="1"/>
        <v>250</v>
      </c>
    </row>
    <row r="44" spans="2:35" ht="15" customHeight="1" x14ac:dyDescent="0.25">
      <c r="B44" s="212" t="s">
        <v>1062</v>
      </c>
      <c r="C44" s="215">
        <v>20</v>
      </c>
      <c r="D44" s="207">
        <f>SUMIFS('июль 2023'!$G$4:$G$968,'июль 2023'!$D$4:$D$968,$B44,'июль 2023'!$J$4:$J$968,D$1)</f>
        <v>0</v>
      </c>
      <c r="E44" s="207">
        <f>SUMIFS('июль 2023'!$G$4:$G$968,'июль 2023'!$D$4:$D$968,$B44,'июль 2023'!$J$4:$J$968,E$1)</f>
        <v>0</v>
      </c>
      <c r="F44" s="207">
        <f>SUMIFS('июль 2023'!$G$4:$G$968,'июль 2023'!$D$4:$D$968,$B44,'июль 2023'!$J$4:$J$968,F$1)</f>
        <v>0</v>
      </c>
      <c r="G44" s="207">
        <f>SUMIFS('июль 2023'!$G$4:$G$968,'июль 2023'!$D$4:$D$968,$B44,'июль 2023'!$J$4:$J$968,G$1)</f>
        <v>0</v>
      </c>
      <c r="H44" s="207">
        <f>SUMIFS('июль 2023'!$G$4:$G$968,'июль 2023'!$D$4:$D$968,$B44,'июль 2023'!$J$4:$J$968,H$1)</f>
        <v>0</v>
      </c>
      <c r="I44" s="207">
        <f>SUMIFS('июль 2023'!$G$4:$G$968,'июль 2023'!$D$4:$D$968,$B44,'июль 2023'!$J$4:$J$968,I$1)</f>
        <v>0</v>
      </c>
      <c r="J44" s="207">
        <f>SUMIFS('июль 2023'!$G$4:$G$968,'июль 2023'!$D$4:$D$968,$B44,'июль 2023'!$J$4:$J$968,J$1)</f>
        <v>0</v>
      </c>
      <c r="K44" s="207">
        <f>SUMIFS('июль 2023'!$G$4:$G$968,'июль 2023'!$D$4:$D$968,$B44,'июль 2023'!$J$4:$J$968,K$1)</f>
        <v>0</v>
      </c>
      <c r="L44" s="207">
        <f>SUMIFS('июль 2023'!$G$4:$G$968,'июль 2023'!$D$4:$D$968,$B44,'июль 2023'!$J$4:$J$968,L$1)</f>
        <v>0</v>
      </c>
      <c r="M44" s="207">
        <f>SUMIFS('июль 2023'!$G$4:$G$968,'июль 2023'!$D$4:$D$968,$B44,'июль 2023'!$J$4:$J$968,M$1)</f>
        <v>0</v>
      </c>
      <c r="N44" s="207">
        <f>SUMIFS('июль 2023'!$G$4:$G$968,'июль 2023'!$D$4:$D$968,$B44,'июль 2023'!$J$4:$J$968,N$1)</f>
        <v>0</v>
      </c>
      <c r="O44" s="207">
        <f>SUMIFS('июль 2023'!$G$4:$G$968,'июль 2023'!$D$4:$D$968,$B44,'июль 2023'!$J$4:$J$968,O$1)</f>
        <v>0</v>
      </c>
      <c r="P44" s="207">
        <f>SUMIFS('июль 2023'!$G$4:$G$968,'июль 2023'!$D$4:$D$968,$B44,'июль 2023'!$J$4:$J$968,P$1)</f>
        <v>0</v>
      </c>
      <c r="Q44" s="207">
        <f>SUMIFS('июль 2023'!$G$4:$G$968,'июль 2023'!$D$4:$D$968,$B44,'июль 2023'!$J$4:$J$968,Q$1)</f>
        <v>0</v>
      </c>
      <c r="R44" s="207">
        <f>SUMIFS('июль 2023'!$G$4:$G$968,'июль 2023'!$D$4:$D$968,$B44,'июль 2023'!$J$4:$J$968,R$1)</f>
        <v>0</v>
      </c>
      <c r="S44" s="207">
        <f>SUMIFS('июль 2023'!$G$4:$G$968,'июль 2023'!$D$4:$D$968,$B44,'июль 2023'!$J$4:$J$968,S$1)</f>
        <v>0</v>
      </c>
      <c r="T44" s="207">
        <f>SUMIFS('июль 2023'!$G$4:$G$968,'июль 2023'!$D$4:$D$968,$B44,'июль 2023'!$J$4:$J$968,T$1)</f>
        <v>0</v>
      </c>
      <c r="U44" s="207">
        <f>SUMIFS('июль 2023'!$G$4:$G$968,'июль 2023'!$D$4:$D$968,$B44,'июль 2023'!$J$4:$J$968,U$1)</f>
        <v>0</v>
      </c>
      <c r="V44" s="207">
        <f>SUMIFS('июль 2023'!$G$4:$G$968,'июль 2023'!$D$4:$D$968,$B44,'июль 2023'!$J$4:$J$968,V$1)</f>
        <v>0</v>
      </c>
      <c r="W44" s="207">
        <f>SUMIFS('июль 2023'!$G$4:$G$968,'июль 2023'!$D$4:$D$968,$B44,'июль 2023'!$J$4:$J$968,W$1)</f>
        <v>0</v>
      </c>
      <c r="X44" s="207">
        <f>SUMIFS('июль 2023'!$G$4:$G$968,'июль 2023'!$D$4:$D$968,$B44,'июль 2023'!$J$4:$J$968,X$1)</f>
        <v>0</v>
      </c>
      <c r="Y44" s="207">
        <f>SUMIFS('июль 2023'!$G$4:$G$968,'июль 2023'!$D$4:$D$968,$B44,'июль 2023'!$J$4:$J$968,Y$1)</f>
        <v>0</v>
      </c>
      <c r="Z44" s="207">
        <f>SUMIFS('июль 2023'!$G$4:$G$968,'июль 2023'!$D$4:$D$968,$B44,'июль 2023'!$J$4:$J$968,Z$1)</f>
        <v>0</v>
      </c>
      <c r="AA44" s="207">
        <f>SUMIFS('июль 2023'!$G$4:$G$968,'июль 2023'!$D$4:$D$968,$B44,'июль 2023'!$J$4:$J$968,AA$1)</f>
        <v>0</v>
      </c>
      <c r="AB44" s="207">
        <f>SUMIFS('июль 2023'!$G$4:$G$968,'июль 2023'!$D$4:$D$968,$B44,'июль 2023'!$J$4:$J$968,AB$1)</f>
        <v>0</v>
      </c>
      <c r="AC44" s="207">
        <f>SUMIFS('июль 2023'!$G$4:$G$968,'июль 2023'!$D$4:$D$968,$B44,'июль 2023'!$J$4:$J$968,AC$1)</f>
        <v>0</v>
      </c>
      <c r="AD44" s="207">
        <f>SUMIFS('июль 2023'!$G$4:$G$968,'июль 2023'!$D$4:$D$968,$B44,'июль 2023'!$J$4:$J$968,AD$1)</f>
        <v>0</v>
      </c>
      <c r="AE44" s="207">
        <f>SUMIFS('июль 2023'!$G$4:$G$968,'июль 2023'!$D$4:$D$968,$B44,'июль 2023'!$J$4:$J$968,AE$1)</f>
        <v>0</v>
      </c>
      <c r="AF44" s="207">
        <f>SUMIFS('июль 2023'!$G$4:$G$968,'июль 2023'!$D$4:$D$968,$B44,'июль 2023'!$J$4:$J$968,AF$1)</f>
        <v>0</v>
      </c>
      <c r="AG44" s="207">
        <f>SUMIFS('июль 2023'!$G$4:$G$968,'июль 2023'!$D$4:$D$968,$B44,'июль 2023'!$J$4:$J$968,AG$1)</f>
        <v>0</v>
      </c>
      <c r="AH44" s="207">
        <f>SUMIFS('июль 2023'!$G$4:$G$968,'июль 2023'!$D$4:$D$968,$B44,'июль 2023'!$J$4:$J$968,AH$1)</f>
        <v>0</v>
      </c>
      <c r="AI44" s="170">
        <f t="shared" si="1"/>
        <v>0</v>
      </c>
    </row>
    <row r="45" spans="2:35" ht="15" customHeight="1" x14ac:dyDescent="0.25">
      <c r="B45" s="212" t="s">
        <v>1084</v>
      </c>
      <c r="C45" s="211">
        <v>20</v>
      </c>
      <c r="D45" s="207">
        <f>SUMIFS('июль 2023'!$G$4:$G$968,'июль 2023'!$D$4:$D$968,$B45,'июль 2023'!$J$4:$J$968,D$1)</f>
        <v>0</v>
      </c>
      <c r="E45" s="207">
        <f>SUMIFS('июль 2023'!$G$4:$G$968,'июль 2023'!$D$4:$D$968,$B45,'июль 2023'!$J$4:$J$968,E$1)</f>
        <v>0</v>
      </c>
      <c r="F45" s="207">
        <f>SUMIFS('июль 2023'!$G$4:$G$968,'июль 2023'!$D$4:$D$968,$B45,'июль 2023'!$J$4:$J$968,F$1)</f>
        <v>0</v>
      </c>
      <c r="G45" s="207">
        <f>SUMIFS('июль 2023'!$G$4:$G$968,'июль 2023'!$D$4:$D$968,$B45,'июль 2023'!$J$4:$J$968,G$1)</f>
        <v>0</v>
      </c>
      <c r="H45" s="207">
        <f>SUMIFS('июль 2023'!$G$4:$G$968,'июль 2023'!$D$4:$D$968,$B45,'июль 2023'!$J$4:$J$968,H$1)</f>
        <v>0</v>
      </c>
      <c r="I45" s="207">
        <f>SUMIFS('июль 2023'!$G$4:$G$968,'июль 2023'!$D$4:$D$968,$B45,'июль 2023'!$J$4:$J$968,I$1)</f>
        <v>0</v>
      </c>
      <c r="J45" s="207">
        <f>SUMIFS('июль 2023'!$G$4:$G$968,'июль 2023'!$D$4:$D$968,$B45,'июль 2023'!$J$4:$J$968,J$1)</f>
        <v>0</v>
      </c>
      <c r="K45" s="207">
        <f>SUMIFS('июль 2023'!$G$4:$G$968,'июль 2023'!$D$4:$D$968,$B45,'июль 2023'!$J$4:$J$968,K$1)</f>
        <v>0</v>
      </c>
      <c r="L45" s="207">
        <f>SUMIFS('июль 2023'!$G$4:$G$968,'июль 2023'!$D$4:$D$968,$B45,'июль 2023'!$J$4:$J$968,L$1)</f>
        <v>0</v>
      </c>
      <c r="M45" s="207">
        <f>SUMIFS('июль 2023'!$G$4:$G$968,'июль 2023'!$D$4:$D$968,$B45,'июль 2023'!$J$4:$J$968,M$1)</f>
        <v>0</v>
      </c>
      <c r="N45" s="207">
        <f>SUMIFS('июль 2023'!$G$4:$G$968,'июль 2023'!$D$4:$D$968,$B45,'июль 2023'!$J$4:$J$968,N$1)</f>
        <v>0</v>
      </c>
      <c r="O45" s="207">
        <f>SUMIFS('июль 2023'!$G$4:$G$968,'июль 2023'!$D$4:$D$968,$B45,'июль 2023'!$J$4:$J$968,O$1)</f>
        <v>0</v>
      </c>
      <c r="P45" s="207">
        <f>SUMIFS('июль 2023'!$G$4:$G$968,'июль 2023'!$D$4:$D$968,$B45,'июль 2023'!$J$4:$J$968,P$1)</f>
        <v>0</v>
      </c>
      <c r="Q45" s="207">
        <f>SUMIFS('июль 2023'!$G$4:$G$968,'июль 2023'!$D$4:$D$968,$B45,'июль 2023'!$J$4:$J$968,Q$1)</f>
        <v>0</v>
      </c>
      <c r="R45" s="207">
        <f>SUMIFS('июль 2023'!$G$4:$G$968,'июль 2023'!$D$4:$D$968,$B45,'июль 2023'!$J$4:$J$968,R$1)</f>
        <v>0</v>
      </c>
      <c r="S45" s="207">
        <f>SUMIFS('июль 2023'!$G$4:$G$968,'июль 2023'!$D$4:$D$968,$B45,'июль 2023'!$J$4:$J$968,S$1)</f>
        <v>0</v>
      </c>
      <c r="T45" s="207">
        <f>SUMIFS('июль 2023'!$G$4:$G$968,'июль 2023'!$D$4:$D$968,$B45,'июль 2023'!$J$4:$J$968,T$1)</f>
        <v>0</v>
      </c>
      <c r="U45" s="207">
        <f>SUMIFS('июль 2023'!$G$4:$G$968,'июль 2023'!$D$4:$D$968,$B45,'июль 2023'!$J$4:$J$968,U$1)</f>
        <v>0</v>
      </c>
      <c r="V45" s="207">
        <f>SUMIFS('июль 2023'!$G$4:$G$968,'июль 2023'!$D$4:$D$968,$B45,'июль 2023'!$J$4:$J$968,V$1)</f>
        <v>0</v>
      </c>
      <c r="W45" s="207">
        <f>SUMIFS('июль 2023'!$G$4:$G$968,'июль 2023'!$D$4:$D$968,$B45,'июль 2023'!$J$4:$J$968,W$1)</f>
        <v>0</v>
      </c>
      <c r="X45" s="207">
        <f>SUMIFS('июль 2023'!$G$4:$G$968,'июль 2023'!$D$4:$D$968,$B45,'июль 2023'!$J$4:$J$968,X$1)</f>
        <v>0</v>
      </c>
      <c r="Y45" s="207">
        <f>SUMIFS('июль 2023'!$G$4:$G$968,'июль 2023'!$D$4:$D$968,$B45,'июль 2023'!$J$4:$J$968,Y$1)</f>
        <v>0</v>
      </c>
      <c r="Z45" s="207">
        <f>SUMIFS('июль 2023'!$G$4:$G$968,'июль 2023'!$D$4:$D$968,$B45,'июль 2023'!$J$4:$J$968,Z$1)</f>
        <v>0</v>
      </c>
      <c r="AA45" s="207">
        <f>SUMIFS('июль 2023'!$G$4:$G$968,'июль 2023'!$D$4:$D$968,$B45,'июль 2023'!$J$4:$J$968,AA$1)</f>
        <v>0</v>
      </c>
      <c r="AB45" s="207">
        <f>SUMIFS('июль 2023'!$G$4:$G$968,'июль 2023'!$D$4:$D$968,$B45,'июль 2023'!$J$4:$J$968,AB$1)</f>
        <v>0</v>
      </c>
      <c r="AC45" s="207">
        <f>SUMIFS('июль 2023'!$G$4:$G$968,'июль 2023'!$D$4:$D$968,$B45,'июль 2023'!$J$4:$J$968,AC$1)</f>
        <v>0</v>
      </c>
      <c r="AD45" s="207">
        <f>SUMIFS('июль 2023'!$G$4:$G$968,'июль 2023'!$D$4:$D$968,$B45,'июль 2023'!$J$4:$J$968,AD$1)</f>
        <v>0</v>
      </c>
      <c r="AE45" s="207">
        <f>SUMIFS('июль 2023'!$G$4:$G$968,'июль 2023'!$D$4:$D$968,$B45,'июль 2023'!$J$4:$J$968,AE$1)</f>
        <v>0</v>
      </c>
      <c r="AF45" s="207">
        <f>SUMIFS('июль 2023'!$G$4:$G$968,'июль 2023'!$D$4:$D$968,$B45,'июль 2023'!$J$4:$J$968,AF$1)</f>
        <v>0</v>
      </c>
      <c r="AG45" s="207">
        <f>SUMIFS('июль 2023'!$G$4:$G$968,'июль 2023'!$D$4:$D$968,$B45,'июль 2023'!$J$4:$J$968,AG$1)</f>
        <v>0</v>
      </c>
      <c r="AH45" s="207">
        <f>SUMIFS('июль 2023'!$G$4:$G$968,'июль 2023'!$D$4:$D$968,$B45,'июль 2023'!$J$4:$J$968,AH$1)</f>
        <v>0</v>
      </c>
      <c r="AI45" s="170">
        <f t="shared" si="1"/>
        <v>0</v>
      </c>
    </row>
    <row r="46" spans="2:35" ht="15" customHeight="1" x14ac:dyDescent="0.25">
      <c r="B46" s="212" t="s">
        <v>440</v>
      </c>
      <c r="C46" s="213">
        <v>20</v>
      </c>
      <c r="D46" s="207">
        <f>SUMIFS('июль 2023'!$G$4:$G$968,'июль 2023'!$D$4:$D$968,$B46,'июль 2023'!$J$4:$J$968,D$1)</f>
        <v>0</v>
      </c>
      <c r="E46" s="207">
        <f>SUMIFS('июль 2023'!$G$4:$G$968,'июль 2023'!$D$4:$D$968,$B46,'июль 2023'!$J$4:$J$968,E$1)</f>
        <v>0</v>
      </c>
      <c r="F46" s="207">
        <f>SUMIFS('июль 2023'!$G$4:$G$968,'июль 2023'!$D$4:$D$968,$B46,'июль 2023'!$J$4:$J$968,F$1)</f>
        <v>0</v>
      </c>
      <c r="G46" s="207">
        <f>SUMIFS('июль 2023'!$G$4:$G$968,'июль 2023'!$D$4:$D$968,$B46,'июль 2023'!$J$4:$J$968,G$1)</f>
        <v>0</v>
      </c>
      <c r="H46" s="207">
        <f>SUMIFS('июль 2023'!$G$4:$G$968,'июль 2023'!$D$4:$D$968,$B46,'июль 2023'!$J$4:$J$968,H$1)</f>
        <v>0</v>
      </c>
      <c r="I46" s="207">
        <f>SUMIFS('июль 2023'!$G$4:$G$968,'июль 2023'!$D$4:$D$968,$B46,'июль 2023'!$J$4:$J$968,I$1)</f>
        <v>0</v>
      </c>
      <c r="J46" s="207">
        <f>SUMIFS('июль 2023'!$G$4:$G$968,'июль 2023'!$D$4:$D$968,$B46,'июль 2023'!$J$4:$J$968,J$1)</f>
        <v>0</v>
      </c>
      <c r="K46" s="207">
        <f>SUMIFS('июль 2023'!$G$4:$G$968,'июль 2023'!$D$4:$D$968,$B46,'июль 2023'!$J$4:$J$968,K$1)</f>
        <v>0</v>
      </c>
      <c r="L46" s="207">
        <f>SUMIFS('июль 2023'!$G$4:$G$968,'июль 2023'!$D$4:$D$968,$B46,'июль 2023'!$J$4:$J$968,L$1)</f>
        <v>0</v>
      </c>
      <c r="M46" s="207">
        <f>SUMIFS('июль 2023'!$G$4:$G$968,'июль 2023'!$D$4:$D$968,$B46,'июль 2023'!$J$4:$J$968,M$1)</f>
        <v>0</v>
      </c>
      <c r="N46" s="207">
        <f>SUMIFS('июль 2023'!$G$4:$G$968,'июль 2023'!$D$4:$D$968,$B46,'июль 2023'!$J$4:$J$968,N$1)</f>
        <v>0</v>
      </c>
      <c r="O46" s="207">
        <f>SUMIFS('июль 2023'!$G$4:$G$968,'июль 2023'!$D$4:$D$968,$B46,'июль 2023'!$J$4:$J$968,O$1)</f>
        <v>0</v>
      </c>
      <c r="P46" s="207">
        <f>SUMIFS('июль 2023'!$G$4:$G$968,'июль 2023'!$D$4:$D$968,$B46,'июль 2023'!$J$4:$J$968,P$1)</f>
        <v>0</v>
      </c>
      <c r="Q46" s="207">
        <f>SUMIFS('июль 2023'!$G$4:$G$968,'июль 2023'!$D$4:$D$968,$B46,'июль 2023'!$J$4:$J$968,Q$1)</f>
        <v>0</v>
      </c>
      <c r="R46" s="207">
        <f>SUMIFS('июль 2023'!$G$4:$G$968,'июль 2023'!$D$4:$D$968,$B46,'июль 2023'!$J$4:$J$968,R$1)</f>
        <v>0</v>
      </c>
      <c r="S46" s="207">
        <f>SUMIFS('июль 2023'!$G$4:$G$968,'июль 2023'!$D$4:$D$968,$B46,'июль 2023'!$J$4:$J$968,S$1)</f>
        <v>0</v>
      </c>
      <c r="T46" s="207">
        <f>SUMIFS('июль 2023'!$G$4:$G$968,'июль 2023'!$D$4:$D$968,$B46,'июль 2023'!$J$4:$J$968,T$1)</f>
        <v>0</v>
      </c>
      <c r="U46" s="207">
        <f>SUMIFS('июль 2023'!$G$4:$G$968,'июль 2023'!$D$4:$D$968,$B46,'июль 2023'!$J$4:$J$968,U$1)</f>
        <v>0</v>
      </c>
      <c r="V46" s="207">
        <f>SUMIFS('июль 2023'!$G$4:$G$968,'июль 2023'!$D$4:$D$968,$B46,'июль 2023'!$J$4:$J$968,V$1)</f>
        <v>10</v>
      </c>
      <c r="W46" s="207">
        <f>SUMIFS('июль 2023'!$G$4:$G$968,'июль 2023'!$D$4:$D$968,$B46,'июль 2023'!$J$4:$J$968,W$1)</f>
        <v>0</v>
      </c>
      <c r="X46" s="207">
        <f>SUMIFS('июль 2023'!$G$4:$G$968,'июль 2023'!$D$4:$D$968,$B46,'июль 2023'!$J$4:$J$968,X$1)</f>
        <v>0</v>
      </c>
      <c r="Y46" s="207">
        <f>SUMIFS('июль 2023'!$G$4:$G$968,'июль 2023'!$D$4:$D$968,$B46,'июль 2023'!$J$4:$J$968,Y$1)</f>
        <v>0</v>
      </c>
      <c r="Z46" s="207">
        <f>SUMIFS('июль 2023'!$G$4:$G$968,'июль 2023'!$D$4:$D$968,$B46,'июль 2023'!$J$4:$J$968,Z$1)</f>
        <v>0</v>
      </c>
      <c r="AA46" s="207">
        <f>SUMIFS('июль 2023'!$G$4:$G$968,'июль 2023'!$D$4:$D$968,$B46,'июль 2023'!$J$4:$J$968,AA$1)</f>
        <v>950</v>
      </c>
      <c r="AB46" s="207">
        <f>SUMIFS('июль 2023'!$G$4:$G$968,'июль 2023'!$D$4:$D$968,$B46,'июль 2023'!$J$4:$J$968,AB$1)</f>
        <v>0</v>
      </c>
      <c r="AC46" s="207">
        <f>SUMIFS('июль 2023'!$G$4:$G$968,'июль 2023'!$D$4:$D$968,$B46,'июль 2023'!$J$4:$J$968,AC$1)</f>
        <v>0</v>
      </c>
      <c r="AD46" s="207">
        <f>SUMIFS('июль 2023'!$G$4:$G$968,'июль 2023'!$D$4:$D$968,$B46,'июль 2023'!$J$4:$J$968,AD$1)</f>
        <v>0</v>
      </c>
      <c r="AE46" s="207">
        <f>SUMIFS('июль 2023'!$G$4:$G$968,'июль 2023'!$D$4:$D$968,$B46,'июль 2023'!$J$4:$J$968,AE$1)</f>
        <v>0</v>
      </c>
      <c r="AF46" s="207">
        <f>SUMIFS('июль 2023'!$G$4:$G$968,'июль 2023'!$D$4:$D$968,$B46,'июль 2023'!$J$4:$J$968,AF$1)</f>
        <v>0</v>
      </c>
      <c r="AG46" s="207">
        <f>SUMIFS('июль 2023'!$G$4:$G$968,'июль 2023'!$D$4:$D$968,$B46,'июль 2023'!$J$4:$J$968,AG$1)</f>
        <v>0</v>
      </c>
      <c r="AH46" s="207">
        <f>SUMIFS('июль 2023'!$G$4:$G$968,'июль 2023'!$D$4:$D$968,$B46,'июль 2023'!$J$4:$J$968,AH$1)</f>
        <v>950</v>
      </c>
      <c r="AI46" s="170">
        <f t="shared" si="1"/>
        <v>1910</v>
      </c>
    </row>
    <row r="47" spans="2:35" ht="15" customHeight="1" x14ac:dyDescent="0.25">
      <c r="B47" s="212" t="s">
        <v>1573</v>
      </c>
      <c r="C47" s="213">
        <v>50</v>
      </c>
      <c r="D47" s="207">
        <f>SUMIFS('июль 2023'!$G$4:$G$968,'июль 2023'!$D$4:$D$968,$B47,'июль 2023'!$J$4:$J$968,D$1)</f>
        <v>0</v>
      </c>
      <c r="E47" s="207">
        <f>SUMIFS('июль 2023'!$G$4:$G$968,'июль 2023'!$D$4:$D$968,$B47,'июль 2023'!$J$4:$J$968,E$1)</f>
        <v>0</v>
      </c>
      <c r="F47" s="207">
        <f>SUMIFS('июль 2023'!$G$4:$G$968,'июль 2023'!$D$4:$D$968,$B47,'июль 2023'!$J$4:$J$968,F$1)</f>
        <v>0</v>
      </c>
      <c r="G47" s="207">
        <f>SUMIFS('июль 2023'!$G$4:$G$968,'июль 2023'!$D$4:$D$968,$B47,'июль 2023'!$J$4:$J$968,G$1)</f>
        <v>0</v>
      </c>
      <c r="H47" s="207">
        <f>SUMIFS('июль 2023'!$G$4:$G$968,'июль 2023'!$D$4:$D$968,$B47,'июль 2023'!$J$4:$J$968,H$1)</f>
        <v>0</v>
      </c>
      <c r="I47" s="207">
        <f>SUMIFS('июль 2023'!$G$4:$G$968,'июль 2023'!$D$4:$D$968,$B47,'июль 2023'!$J$4:$J$968,I$1)</f>
        <v>0</v>
      </c>
      <c r="J47" s="207">
        <f>SUMIFS('июль 2023'!$G$4:$G$968,'июль 2023'!$D$4:$D$968,$B47,'июль 2023'!$J$4:$J$968,J$1)</f>
        <v>0</v>
      </c>
      <c r="K47" s="207">
        <f>SUMIFS('июль 2023'!$G$4:$G$968,'июль 2023'!$D$4:$D$968,$B47,'июль 2023'!$J$4:$J$968,K$1)</f>
        <v>0</v>
      </c>
      <c r="L47" s="207">
        <f>SUMIFS('июль 2023'!$G$4:$G$968,'июль 2023'!$D$4:$D$968,$B47,'июль 2023'!$J$4:$J$968,L$1)</f>
        <v>0</v>
      </c>
      <c r="M47" s="207">
        <f>SUMIFS('июль 2023'!$G$4:$G$968,'июль 2023'!$D$4:$D$968,$B47,'июль 2023'!$J$4:$J$968,M$1)</f>
        <v>0</v>
      </c>
      <c r="N47" s="207">
        <f>SUMIFS('июль 2023'!$G$4:$G$968,'июль 2023'!$D$4:$D$968,$B47,'июль 2023'!$J$4:$J$968,N$1)</f>
        <v>0</v>
      </c>
      <c r="O47" s="207">
        <f>SUMIFS('июль 2023'!$G$4:$G$968,'июль 2023'!$D$4:$D$968,$B47,'июль 2023'!$J$4:$J$968,O$1)</f>
        <v>0</v>
      </c>
      <c r="P47" s="207">
        <f>SUMIFS('июль 2023'!$G$4:$G$968,'июль 2023'!$D$4:$D$968,$B47,'июль 2023'!$J$4:$J$968,P$1)</f>
        <v>0</v>
      </c>
      <c r="Q47" s="207">
        <f>SUMIFS('июль 2023'!$G$4:$G$968,'июль 2023'!$D$4:$D$968,$B47,'июль 2023'!$J$4:$J$968,Q$1)</f>
        <v>0</v>
      </c>
      <c r="R47" s="207">
        <f>SUMIFS('июль 2023'!$G$4:$G$968,'июль 2023'!$D$4:$D$968,$B47,'июль 2023'!$J$4:$J$968,R$1)</f>
        <v>0</v>
      </c>
      <c r="S47" s="207">
        <f>SUMIFS('июль 2023'!$G$4:$G$968,'июль 2023'!$D$4:$D$968,$B47,'июль 2023'!$J$4:$J$968,S$1)</f>
        <v>0</v>
      </c>
      <c r="T47" s="207">
        <f>SUMIFS('июль 2023'!$G$4:$G$968,'июль 2023'!$D$4:$D$968,$B47,'июль 2023'!$J$4:$J$968,T$1)</f>
        <v>0</v>
      </c>
      <c r="U47" s="207">
        <f>SUMIFS('июль 2023'!$G$4:$G$968,'июль 2023'!$D$4:$D$968,$B47,'июль 2023'!$J$4:$J$968,U$1)</f>
        <v>0</v>
      </c>
      <c r="V47" s="207">
        <f>SUMIFS('июль 2023'!$G$4:$G$968,'июль 2023'!$D$4:$D$968,$B47,'июль 2023'!$J$4:$J$968,V$1)</f>
        <v>0</v>
      </c>
      <c r="W47" s="207">
        <f>SUMIFS('июль 2023'!$G$4:$G$968,'июль 2023'!$D$4:$D$968,$B47,'июль 2023'!$J$4:$J$968,W$1)</f>
        <v>0</v>
      </c>
      <c r="X47" s="207">
        <f>SUMIFS('июль 2023'!$G$4:$G$968,'июль 2023'!$D$4:$D$968,$B47,'июль 2023'!$J$4:$J$968,X$1)</f>
        <v>0</v>
      </c>
      <c r="Y47" s="207">
        <f>SUMIFS('июль 2023'!$G$4:$G$968,'июль 2023'!$D$4:$D$968,$B47,'июль 2023'!$J$4:$J$968,Y$1)</f>
        <v>0</v>
      </c>
      <c r="Z47" s="207">
        <f>SUMIFS('июль 2023'!$G$4:$G$968,'июль 2023'!$D$4:$D$968,$B47,'июль 2023'!$J$4:$J$968,Z$1)</f>
        <v>0</v>
      </c>
      <c r="AA47" s="207">
        <f>SUMIFS('июль 2023'!$G$4:$G$968,'июль 2023'!$D$4:$D$968,$B47,'июль 2023'!$J$4:$J$968,AA$1)</f>
        <v>0</v>
      </c>
      <c r="AB47" s="207">
        <f>SUMIFS('июль 2023'!$G$4:$G$968,'июль 2023'!$D$4:$D$968,$B47,'июль 2023'!$J$4:$J$968,AB$1)</f>
        <v>0</v>
      </c>
      <c r="AC47" s="207">
        <f>SUMIFS('июль 2023'!$G$4:$G$968,'июль 2023'!$D$4:$D$968,$B47,'июль 2023'!$J$4:$J$968,AC$1)</f>
        <v>0</v>
      </c>
      <c r="AD47" s="207">
        <f>SUMIFS('июль 2023'!$G$4:$G$968,'июль 2023'!$D$4:$D$968,$B47,'июль 2023'!$J$4:$J$968,AD$1)</f>
        <v>0</v>
      </c>
      <c r="AE47" s="207">
        <f>SUMIFS('июль 2023'!$G$4:$G$968,'июль 2023'!$D$4:$D$968,$B47,'июль 2023'!$J$4:$J$968,AE$1)</f>
        <v>0</v>
      </c>
      <c r="AF47" s="207">
        <f>SUMIFS('июль 2023'!$G$4:$G$968,'июль 2023'!$D$4:$D$968,$B47,'июль 2023'!$J$4:$J$968,AF$1)</f>
        <v>0</v>
      </c>
      <c r="AG47" s="207">
        <f>SUMIFS('июль 2023'!$G$4:$G$968,'июль 2023'!$D$4:$D$968,$B47,'июль 2023'!$J$4:$J$968,AG$1)</f>
        <v>0</v>
      </c>
      <c r="AH47" s="207">
        <f>SUMIFS('июль 2023'!$G$4:$G$968,'июль 2023'!$D$4:$D$968,$B47,'июль 2023'!$J$4:$J$968,AH$1)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SUMIFS('июль 2023'!$G$4:$G$968,'июль 2023'!$D$4:$D$968,$B48,'июль 2023'!$J$4:$J$968,D$1)</f>
        <v>0</v>
      </c>
      <c r="E48" s="207">
        <f>SUMIFS('июль 2023'!$G$4:$G$968,'июль 2023'!$D$4:$D$968,$B48,'июль 2023'!$J$4:$J$968,E$1)</f>
        <v>0</v>
      </c>
      <c r="F48" s="207">
        <f>SUMIFS('июль 2023'!$G$4:$G$968,'июль 2023'!$D$4:$D$968,$B48,'июль 2023'!$J$4:$J$968,F$1)</f>
        <v>0</v>
      </c>
      <c r="G48" s="207">
        <f>SUMIFS('июль 2023'!$G$4:$G$968,'июль 2023'!$D$4:$D$968,$B48,'июль 2023'!$J$4:$J$968,G$1)</f>
        <v>0</v>
      </c>
      <c r="H48" s="207">
        <f>SUMIFS('июль 2023'!$G$4:$G$968,'июль 2023'!$D$4:$D$968,$B48,'июль 2023'!$J$4:$J$968,H$1)</f>
        <v>0</v>
      </c>
      <c r="I48" s="207">
        <f>SUMIFS('июль 2023'!$G$4:$G$968,'июль 2023'!$D$4:$D$968,$B48,'июль 2023'!$J$4:$J$968,I$1)</f>
        <v>0</v>
      </c>
      <c r="J48" s="207">
        <f>SUMIFS('июль 2023'!$G$4:$G$968,'июль 2023'!$D$4:$D$968,$B48,'июль 2023'!$J$4:$J$968,J$1)</f>
        <v>0</v>
      </c>
      <c r="K48" s="207">
        <f>SUMIFS('июль 2023'!$G$4:$G$968,'июль 2023'!$D$4:$D$968,$B48,'июль 2023'!$J$4:$J$968,K$1)</f>
        <v>0</v>
      </c>
      <c r="L48" s="207">
        <f>SUMIFS('июль 2023'!$G$4:$G$968,'июль 2023'!$D$4:$D$968,$B48,'июль 2023'!$J$4:$J$968,L$1)</f>
        <v>0</v>
      </c>
      <c r="M48" s="207">
        <f>SUMIFS('июль 2023'!$G$4:$G$968,'июль 2023'!$D$4:$D$968,$B48,'июль 2023'!$J$4:$J$968,M$1)</f>
        <v>0</v>
      </c>
      <c r="N48" s="207">
        <f>SUMIFS('июль 2023'!$G$4:$G$968,'июль 2023'!$D$4:$D$968,$B48,'июль 2023'!$J$4:$J$968,N$1)</f>
        <v>0</v>
      </c>
      <c r="O48" s="207">
        <f>SUMIFS('июль 2023'!$G$4:$G$968,'июль 2023'!$D$4:$D$968,$B48,'июль 2023'!$J$4:$J$968,O$1)</f>
        <v>0</v>
      </c>
      <c r="P48" s="207">
        <f>SUMIFS('июль 2023'!$G$4:$G$968,'июль 2023'!$D$4:$D$968,$B48,'июль 2023'!$J$4:$J$968,P$1)</f>
        <v>0</v>
      </c>
      <c r="Q48" s="207">
        <f>SUMIFS('июль 2023'!$G$4:$G$968,'июль 2023'!$D$4:$D$968,$B48,'июль 2023'!$J$4:$J$968,Q$1)</f>
        <v>0</v>
      </c>
      <c r="R48" s="207">
        <f>SUMIFS('июль 2023'!$G$4:$G$968,'июль 2023'!$D$4:$D$968,$B48,'июль 2023'!$J$4:$J$968,R$1)</f>
        <v>0</v>
      </c>
      <c r="S48" s="207">
        <f>SUMIFS('июль 2023'!$G$4:$G$968,'июль 2023'!$D$4:$D$968,$B48,'июль 2023'!$J$4:$J$968,S$1)</f>
        <v>0</v>
      </c>
      <c r="T48" s="207">
        <f>SUMIFS('июль 2023'!$G$4:$G$968,'июль 2023'!$D$4:$D$968,$B48,'июль 2023'!$J$4:$J$968,T$1)</f>
        <v>0</v>
      </c>
      <c r="U48" s="207">
        <f>SUMIFS('июль 2023'!$G$4:$G$968,'июль 2023'!$D$4:$D$968,$B48,'июль 2023'!$J$4:$J$968,U$1)</f>
        <v>0</v>
      </c>
      <c r="V48" s="207">
        <f>SUMIFS('июль 2023'!$G$4:$G$968,'июль 2023'!$D$4:$D$968,$B48,'июль 2023'!$J$4:$J$968,V$1)</f>
        <v>0</v>
      </c>
      <c r="W48" s="207">
        <f>SUMIFS('июль 2023'!$G$4:$G$968,'июль 2023'!$D$4:$D$968,$B48,'июль 2023'!$J$4:$J$968,W$1)</f>
        <v>0</v>
      </c>
      <c r="X48" s="207">
        <f>SUMIFS('июль 2023'!$G$4:$G$968,'июль 2023'!$D$4:$D$968,$B48,'июль 2023'!$J$4:$J$968,X$1)</f>
        <v>0</v>
      </c>
      <c r="Y48" s="207">
        <f>SUMIFS('июль 2023'!$G$4:$G$968,'июль 2023'!$D$4:$D$968,$B48,'июль 2023'!$J$4:$J$968,Y$1)</f>
        <v>0</v>
      </c>
      <c r="Z48" s="207">
        <f>SUMIFS('июль 2023'!$G$4:$G$968,'июль 2023'!$D$4:$D$968,$B48,'июль 2023'!$J$4:$J$968,Z$1)</f>
        <v>0</v>
      </c>
      <c r="AA48" s="207">
        <f>SUMIFS('июль 2023'!$G$4:$G$968,'июль 2023'!$D$4:$D$968,$B48,'июль 2023'!$J$4:$J$968,AA$1)</f>
        <v>0</v>
      </c>
      <c r="AB48" s="207">
        <f>SUMIFS('июль 2023'!$G$4:$G$968,'июль 2023'!$D$4:$D$968,$B48,'июль 2023'!$J$4:$J$968,AB$1)</f>
        <v>0</v>
      </c>
      <c r="AC48" s="207">
        <f>SUMIFS('июль 2023'!$G$4:$G$968,'июль 2023'!$D$4:$D$968,$B48,'июль 2023'!$J$4:$J$968,AC$1)</f>
        <v>0</v>
      </c>
      <c r="AD48" s="207">
        <f>SUMIFS('июль 2023'!$G$4:$G$968,'июль 2023'!$D$4:$D$968,$B48,'июль 2023'!$J$4:$J$968,AD$1)</f>
        <v>0</v>
      </c>
      <c r="AE48" s="207">
        <f>SUMIFS('июль 2023'!$G$4:$G$968,'июль 2023'!$D$4:$D$968,$B48,'июль 2023'!$J$4:$J$968,AE$1)</f>
        <v>0</v>
      </c>
      <c r="AF48" s="207">
        <f>SUMIFS('июль 2023'!$G$4:$G$968,'июль 2023'!$D$4:$D$968,$B48,'июль 2023'!$J$4:$J$968,AF$1)</f>
        <v>0</v>
      </c>
      <c r="AG48" s="207">
        <f>SUMIFS('июль 2023'!$G$4:$G$968,'июль 2023'!$D$4:$D$968,$B48,'июль 2023'!$J$4:$J$968,AG$1)</f>
        <v>0</v>
      </c>
      <c r="AH48" s="207">
        <f>SUMIFS('июль 2023'!$G$4:$G$968,'июль 2023'!$D$4:$D$968,$B48,'июль 2023'!$J$4:$J$968,AH$1)</f>
        <v>0</v>
      </c>
      <c r="AI48" s="170">
        <f t="shared" si="1"/>
        <v>0</v>
      </c>
    </row>
    <row r="49" spans="2:35" ht="15" customHeight="1" x14ac:dyDescent="0.25">
      <c r="B49" s="208" t="s">
        <v>1340</v>
      </c>
      <c r="C49" s="213">
        <v>50</v>
      </c>
      <c r="D49" s="207">
        <f>SUMIFS('июль 2023'!$G$4:$G$968,'июль 2023'!$D$4:$D$968,$B49,'июль 2023'!$J$4:$J$968,D$1)</f>
        <v>0</v>
      </c>
      <c r="E49" s="207">
        <f>SUMIFS('июль 2023'!$G$4:$G$968,'июль 2023'!$D$4:$D$968,$B49,'июль 2023'!$J$4:$J$968,E$1)</f>
        <v>0</v>
      </c>
      <c r="F49" s="207">
        <f>SUMIFS('июль 2023'!$G$4:$G$968,'июль 2023'!$D$4:$D$968,$B49,'июль 2023'!$J$4:$J$968,F$1)</f>
        <v>0</v>
      </c>
      <c r="G49" s="207">
        <f>SUMIFS('июль 2023'!$G$4:$G$968,'июль 2023'!$D$4:$D$968,$B49,'июль 2023'!$J$4:$J$968,G$1)</f>
        <v>0</v>
      </c>
      <c r="H49" s="207">
        <f>SUMIFS('июль 2023'!$G$4:$G$968,'июль 2023'!$D$4:$D$968,$B49,'июль 2023'!$J$4:$J$968,H$1)</f>
        <v>0</v>
      </c>
      <c r="I49" s="207">
        <f>SUMIFS('июль 2023'!$G$4:$G$968,'июль 2023'!$D$4:$D$968,$B49,'июль 2023'!$J$4:$J$968,I$1)</f>
        <v>0</v>
      </c>
      <c r="J49" s="207">
        <f>SUMIFS('июль 2023'!$G$4:$G$968,'июль 2023'!$D$4:$D$968,$B49,'июль 2023'!$J$4:$J$968,J$1)</f>
        <v>0</v>
      </c>
      <c r="K49" s="207">
        <f>SUMIFS('июль 2023'!$G$4:$G$968,'июль 2023'!$D$4:$D$968,$B49,'июль 2023'!$J$4:$J$968,K$1)</f>
        <v>0</v>
      </c>
      <c r="L49" s="207">
        <f>SUMIFS('июль 2023'!$G$4:$G$968,'июль 2023'!$D$4:$D$968,$B49,'июль 2023'!$J$4:$J$968,L$1)</f>
        <v>0</v>
      </c>
      <c r="M49" s="207">
        <f>SUMIFS('июль 2023'!$G$4:$G$968,'июль 2023'!$D$4:$D$968,$B49,'июль 2023'!$J$4:$J$968,M$1)</f>
        <v>0</v>
      </c>
      <c r="N49" s="207">
        <f>SUMIFS('июль 2023'!$G$4:$G$968,'июль 2023'!$D$4:$D$968,$B49,'июль 2023'!$J$4:$J$968,N$1)</f>
        <v>0</v>
      </c>
      <c r="O49" s="207">
        <f>SUMIFS('июль 2023'!$G$4:$G$968,'июль 2023'!$D$4:$D$968,$B49,'июль 2023'!$J$4:$J$968,O$1)</f>
        <v>0</v>
      </c>
      <c r="P49" s="207">
        <f>SUMIFS('июль 2023'!$G$4:$G$968,'июль 2023'!$D$4:$D$968,$B49,'июль 2023'!$J$4:$J$968,P$1)</f>
        <v>0</v>
      </c>
      <c r="Q49" s="207">
        <f>SUMIFS('июль 2023'!$G$4:$G$968,'июль 2023'!$D$4:$D$968,$B49,'июль 2023'!$J$4:$J$968,Q$1)</f>
        <v>0</v>
      </c>
      <c r="R49" s="207">
        <f>SUMIFS('июль 2023'!$G$4:$G$968,'июль 2023'!$D$4:$D$968,$B49,'июль 2023'!$J$4:$J$968,R$1)</f>
        <v>0</v>
      </c>
      <c r="S49" s="207">
        <f>SUMIFS('июль 2023'!$G$4:$G$968,'июль 2023'!$D$4:$D$968,$B49,'июль 2023'!$J$4:$J$968,S$1)</f>
        <v>0</v>
      </c>
      <c r="T49" s="207">
        <f>SUMIFS('июль 2023'!$G$4:$G$968,'июль 2023'!$D$4:$D$968,$B49,'июль 2023'!$J$4:$J$968,T$1)</f>
        <v>0</v>
      </c>
      <c r="U49" s="207">
        <f>SUMIFS('июль 2023'!$G$4:$G$968,'июль 2023'!$D$4:$D$968,$B49,'июль 2023'!$J$4:$J$968,U$1)</f>
        <v>0</v>
      </c>
      <c r="V49" s="207">
        <f>SUMIFS('июль 2023'!$G$4:$G$968,'июль 2023'!$D$4:$D$968,$B49,'июль 2023'!$J$4:$J$968,V$1)</f>
        <v>0</v>
      </c>
      <c r="W49" s="207">
        <f>SUMIFS('июль 2023'!$G$4:$G$968,'июль 2023'!$D$4:$D$968,$B49,'июль 2023'!$J$4:$J$968,W$1)</f>
        <v>0</v>
      </c>
      <c r="X49" s="207">
        <f>SUMIFS('июль 2023'!$G$4:$G$968,'июль 2023'!$D$4:$D$968,$B49,'июль 2023'!$J$4:$J$968,X$1)</f>
        <v>0</v>
      </c>
      <c r="Y49" s="207">
        <f>SUMIFS('июль 2023'!$G$4:$G$968,'июль 2023'!$D$4:$D$968,$B49,'июль 2023'!$J$4:$J$968,Y$1)</f>
        <v>0</v>
      </c>
      <c r="Z49" s="207">
        <f>SUMIFS('июль 2023'!$G$4:$G$968,'июль 2023'!$D$4:$D$968,$B49,'июль 2023'!$J$4:$J$968,Z$1)</f>
        <v>0</v>
      </c>
      <c r="AA49" s="207">
        <f>SUMIFS('июль 2023'!$G$4:$G$968,'июль 2023'!$D$4:$D$968,$B49,'июль 2023'!$J$4:$J$968,AA$1)</f>
        <v>0</v>
      </c>
      <c r="AB49" s="207">
        <f>SUMIFS('июль 2023'!$G$4:$G$968,'июль 2023'!$D$4:$D$968,$B49,'июль 2023'!$J$4:$J$968,AB$1)</f>
        <v>0</v>
      </c>
      <c r="AC49" s="207">
        <f>SUMIFS('июль 2023'!$G$4:$G$968,'июль 2023'!$D$4:$D$968,$B49,'июль 2023'!$J$4:$J$968,AC$1)</f>
        <v>0</v>
      </c>
      <c r="AD49" s="207">
        <f>SUMIFS('июль 2023'!$G$4:$G$968,'июль 2023'!$D$4:$D$968,$B49,'июль 2023'!$J$4:$J$968,AD$1)</f>
        <v>0</v>
      </c>
      <c r="AE49" s="207">
        <f>SUMIFS('июль 2023'!$G$4:$G$968,'июль 2023'!$D$4:$D$968,$B49,'июль 2023'!$J$4:$J$968,AE$1)</f>
        <v>0</v>
      </c>
      <c r="AF49" s="207">
        <f>SUMIFS('июль 2023'!$G$4:$G$968,'июль 2023'!$D$4:$D$968,$B49,'июль 2023'!$J$4:$J$968,AF$1)</f>
        <v>0</v>
      </c>
      <c r="AG49" s="207">
        <f>SUMIFS('июль 2023'!$G$4:$G$968,'июль 2023'!$D$4:$D$968,$B49,'июль 2023'!$J$4:$J$968,AG$1)</f>
        <v>0</v>
      </c>
      <c r="AH49" s="207">
        <f>SUMIFS('июль 2023'!$G$4:$G$968,'июль 2023'!$D$4:$D$968,$B49,'июль 2023'!$J$4:$J$968,AH$1)</f>
        <v>0</v>
      </c>
      <c r="AI49" s="170">
        <f t="shared" si="1"/>
        <v>0</v>
      </c>
    </row>
    <row r="50" spans="2:35" ht="15" customHeight="1" x14ac:dyDescent="0.25">
      <c r="B50" s="212" t="s">
        <v>2141</v>
      </c>
      <c r="C50" s="213">
        <v>200</v>
      </c>
      <c r="D50" s="207">
        <f>SUMIFS('июль 2023'!$G$4:$G$968,'июль 2023'!$D$4:$D$968,$B50,'июль 2023'!$J$4:$J$968,D$1)</f>
        <v>0</v>
      </c>
      <c r="E50" s="207">
        <f>SUMIFS('июль 2023'!$G$4:$G$968,'июль 2023'!$D$4:$D$968,$B50,'июль 2023'!$J$4:$J$968,E$1)</f>
        <v>0</v>
      </c>
      <c r="F50" s="207">
        <f>SUMIFS('июль 2023'!$G$4:$G$968,'июль 2023'!$D$4:$D$968,$B50,'июль 2023'!$J$4:$J$968,F$1)</f>
        <v>0</v>
      </c>
      <c r="G50" s="207">
        <f>SUMIFS('июль 2023'!$G$4:$G$968,'июль 2023'!$D$4:$D$968,$B50,'июль 2023'!$J$4:$J$968,G$1)</f>
        <v>0</v>
      </c>
      <c r="H50" s="207">
        <f>SUMIFS('июль 2023'!$G$4:$G$968,'июль 2023'!$D$4:$D$968,$B50,'июль 2023'!$J$4:$J$968,H$1)</f>
        <v>0</v>
      </c>
      <c r="I50" s="207">
        <f>SUMIFS('июль 2023'!$G$4:$G$968,'июль 2023'!$D$4:$D$968,$B50,'июль 2023'!$J$4:$J$968,I$1)</f>
        <v>0</v>
      </c>
      <c r="J50" s="207">
        <f>SUMIFS('июль 2023'!$G$4:$G$968,'июль 2023'!$D$4:$D$968,$B50,'июль 2023'!$J$4:$J$968,J$1)</f>
        <v>0</v>
      </c>
      <c r="K50" s="207">
        <f>SUMIFS('июль 2023'!$G$4:$G$968,'июль 2023'!$D$4:$D$968,$B50,'июль 2023'!$J$4:$J$968,K$1)</f>
        <v>0</v>
      </c>
      <c r="L50" s="207">
        <f>SUMIFS('июль 2023'!$G$4:$G$968,'июль 2023'!$D$4:$D$968,$B50,'июль 2023'!$J$4:$J$968,L$1)</f>
        <v>0</v>
      </c>
      <c r="M50" s="207">
        <f>SUMIFS('июль 2023'!$G$4:$G$968,'июль 2023'!$D$4:$D$968,$B50,'июль 2023'!$J$4:$J$968,M$1)</f>
        <v>0</v>
      </c>
      <c r="N50" s="207">
        <f>SUMIFS('июль 2023'!$G$4:$G$968,'июль 2023'!$D$4:$D$968,$B50,'июль 2023'!$J$4:$J$968,N$1)</f>
        <v>0</v>
      </c>
      <c r="O50" s="207">
        <f>SUMIFS('июль 2023'!$G$4:$G$968,'июль 2023'!$D$4:$D$968,$B50,'июль 2023'!$J$4:$J$968,O$1)</f>
        <v>0</v>
      </c>
      <c r="P50" s="207">
        <f>SUMIFS('июль 2023'!$G$4:$G$968,'июль 2023'!$D$4:$D$968,$B50,'июль 2023'!$J$4:$J$968,P$1)</f>
        <v>0</v>
      </c>
      <c r="Q50" s="207">
        <f>SUMIFS('июль 2023'!$G$4:$G$968,'июль 2023'!$D$4:$D$968,$B50,'июль 2023'!$J$4:$J$968,Q$1)</f>
        <v>0</v>
      </c>
      <c r="R50" s="207">
        <f>SUMIFS('июль 2023'!$G$4:$G$968,'июль 2023'!$D$4:$D$968,$B50,'июль 2023'!$J$4:$J$968,R$1)</f>
        <v>0</v>
      </c>
      <c r="S50" s="207">
        <f>SUMIFS('июль 2023'!$G$4:$G$968,'июль 2023'!$D$4:$D$968,$B50,'июль 2023'!$J$4:$J$968,S$1)</f>
        <v>0</v>
      </c>
      <c r="T50" s="207">
        <f>SUMIFS('июль 2023'!$G$4:$G$968,'июль 2023'!$D$4:$D$968,$B50,'июль 2023'!$J$4:$J$968,T$1)</f>
        <v>0</v>
      </c>
      <c r="U50" s="207">
        <f>SUMIFS('июль 2023'!$G$4:$G$968,'июль 2023'!$D$4:$D$968,$B50,'июль 2023'!$J$4:$J$968,U$1)</f>
        <v>0</v>
      </c>
      <c r="V50" s="207">
        <f>SUMIFS('июль 2023'!$G$4:$G$968,'июль 2023'!$D$4:$D$968,$B50,'июль 2023'!$J$4:$J$968,V$1)</f>
        <v>0</v>
      </c>
      <c r="W50" s="207">
        <f>SUMIFS('июль 2023'!$G$4:$G$968,'июль 2023'!$D$4:$D$968,$B50,'июль 2023'!$J$4:$J$968,W$1)</f>
        <v>0</v>
      </c>
      <c r="X50" s="207">
        <f>SUMIFS('июль 2023'!$G$4:$G$968,'июль 2023'!$D$4:$D$968,$B50,'июль 2023'!$J$4:$J$968,X$1)</f>
        <v>0</v>
      </c>
      <c r="Y50" s="207">
        <f>SUMIFS('июль 2023'!$G$4:$G$968,'июль 2023'!$D$4:$D$968,$B50,'июль 2023'!$J$4:$J$968,Y$1)</f>
        <v>0</v>
      </c>
      <c r="Z50" s="207">
        <f>SUMIFS('июль 2023'!$G$4:$G$968,'июль 2023'!$D$4:$D$968,$B50,'июль 2023'!$J$4:$J$968,Z$1)</f>
        <v>0</v>
      </c>
      <c r="AA50" s="207">
        <f>SUMIFS('июль 2023'!$G$4:$G$968,'июль 2023'!$D$4:$D$968,$B50,'июль 2023'!$J$4:$J$968,AA$1)</f>
        <v>0</v>
      </c>
      <c r="AB50" s="207">
        <f>SUMIFS('июль 2023'!$G$4:$G$968,'июль 2023'!$D$4:$D$968,$B50,'июль 2023'!$J$4:$J$968,AB$1)</f>
        <v>0</v>
      </c>
      <c r="AC50" s="207">
        <f>SUMIFS('июль 2023'!$G$4:$G$968,'июль 2023'!$D$4:$D$968,$B50,'июль 2023'!$J$4:$J$968,AC$1)</f>
        <v>0</v>
      </c>
      <c r="AD50" s="207">
        <f>SUMIFS('июль 2023'!$G$4:$G$968,'июль 2023'!$D$4:$D$968,$B50,'июль 2023'!$J$4:$J$968,AD$1)</f>
        <v>0</v>
      </c>
      <c r="AE50" s="207">
        <f>SUMIFS('июль 2023'!$G$4:$G$968,'июль 2023'!$D$4:$D$968,$B50,'июль 2023'!$J$4:$J$968,AE$1)</f>
        <v>0</v>
      </c>
      <c r="AF50" s="207">
        <f>SUMIFS('июль 2023'!$G$4:$G$968,'июль 2023'!$D$4:$D$968,$B50,'июль 2023'!$J$4:$J$968,AF$1)</f>
        <v>0</v>
      </c>
      <c r="AG50" s="207">
        <f>SUMIFS('июль 2023'!$G$4:$G$968,'июль 2023'!$D$4:$D$968,$B50,'июль 2023'!$J$4:$J$968,AG$1)</f>
        <v>0</v>
      </c>
      <c r="AH50" s="207">
        <f>SUMIFS('июль 2023'!$G$4:$G$968,'июль 2023'!$D$4:$D$968,$B50,'июль 2023'!$J$4:$J$968,AH$1)</f>
        <v>0</v>
      </c>
      <c r="AI50" s="170">
        <f t="shared" si="1"/>
        <v>0</v>
      </c>
    </row>
    <row r="51" spans="2:35" ht="15" customHeight="1" x14ac:dyDescent="0.25">
      <c r="B51" s="212" t="s">
        <v>110</v>
      </c>
      <c r="C51" s="213">
        <v>200</v>
      </c>
      <c r="D51" s="207">
        <f>SUMIFS('июль 2023'!$G$4:$G$968,'июль 2023'!$D$4:$D$968,$B51,'июль 2023'!$J$4:$J$968,D$1)</f>
        <v>0</v>
      </c>
      <c r="E51" s="207">
        <f>SUMIFS('июль 2023'!$G$4:$G$968,'июль 2023'!$D$4:$D$968,$B51,'июль 2023'!$J$4:$J$968,E$1)</f>
        <v>0</v>
      </c>
      <c r="F51" s="207">
        <f>SUMIFS('июль 2023'!$G$4:$G$968,'июль 2023'!$D$4:$D$968,$B51,'июль 2023'!$J$4:$J$968,F$1)</f>
        <v>0</v>
      </c>
      <c r="G51" s="207">
        <f>SUMIFS('июль 2023'!$G$4:$G$968,'июль 2023'!$D$4:$D$968,$B51,'июль 2023'!$J$4:$J$968,G$1)</f>
        <v>0</v>
      </c>
      <c r="H51" s="207">
        <f>SUMIFS('июль 2023'!$G$4:$G$968,'июль 2023'!$D$4:$D$968,$B51,'июль 2023'!$J$4:$J$968,H$1)</f>
        <v>0</v>
      </c>
      <c r="I51" s="207">
        <f>SUMIFS('июль 2023'!$G$4:$G$968,'июль 2023'!$D$4:$D$968,$B51,'июль 2023'!$J$4:$J$968,I$1)</f>
        <v>0</v>
      </c>
      <c r="J51" s="207">
        <f>SUMIFS('июль 2023'!$G$4:$G$968,'июль 2023'!$D$4:$D$968,$B51,'июль 2023'!$J$4:$J$968,J$1)</f>
        <v>0</v>
      </c>
      <c r="K51" s="207">
        <f>SUMIFS('июль 2023'!$G$4:$G$968,'июль 2023'!$D$4:$D$968,$B51,'июль 2023'!$J$4:$J$968,K$1)</f>
        <v>0</v>
      </c>
      <c r="L51" s="207">
        <f>SUMIFS('июль 2023'!$G$4:$G$968,'июль 2023'!$D$4:$D$968,$B51,'июль 2023'!$J$4:$J$968,L$1)</f>
        <v>0</v>
      </c>
      <c r="M51" s="207">
        <f>SUMIFS('июль 2023'!$G$4:$G$968,'июль 2023'!$D$4:$D$968,$B51,'июль 2023'!$J$4:$J$968,M$1)</f>
        <v>8</v>
      </c>
      <c r="N51" s="207">
        <f>SUMIFS('июль 2023'!$G$4:$G$968,'июль 2023'!$D$4:$D$968,$B51,'июль 2023'!$J$4:$J$968,N$1)</f>
        <v>0</v>
      </c>
      <c r="O51" s="207">
        <f>SUMIFS('июль 2023'!$G$4:$G$968,'июль 2023'!$D$4:$D$968,$B51,'июль 2023'!$J$4:$J$968,O$1)</f>
        <v>0</v>
      </c>
      <c r="P51" s="207">
        <f>SUMIFS('июль 2023'!$G$4:$G$968,'июль 2023'!$D$4:$D$968,$B51,'июль 2023'!$J$4:$J$968,P$1)</f>
        <v>88</v>
      </c>
      <c r="Q51" s="207">
        <f>SUMIFS('июль 2023'!$G$4:$G$968,'июль 2023'!$D$4:$D$968,$B51,'июль 2023'!$J$4:$J$968,Q$1)</f>
        <v>0</v>
      </c>
      <c r="R51" s="207">
        <f>SUMIFS('июль 2023'!$G$4:$G$968,'июль 2023'!$D$4:$D$968,$B51,'июль 2023'!$J$4:$J$968,R$1)</f>
        <v>0</v>
      </c>
      <c r="S51" s="207">
        <f>SUMIFS('июль 2023'!$G$4:$G$968,'июль 2023'!$D$4:$D$968,$B51,'июль 2023'!$J$4:$J$968,S$1)</f>
        <v>0</v>
      </c>
      <c r="T51" s="207">
        <f>SUMIFS('июль 2023'!$G$4:$G$968,'июль 2023'!$D$4:$D$968,$B51,'июль 2023'!$J$4:$J$968,T$1)</f>
        <v>5</v>
      </c>
      <c r="U51" s="207">
        <f>SUMIFS('июль 2023'!$G$4:$G$968,'июль 2023'!$D$4:$D$968,$B51,'июль 2023'!$J$4:$J$968,U$1)</f>
        <v>0</v>
      </c>
      <c r="V51" s="207">
        <f>SUMIFS('июль 2023'!$G$4:$G$968,'июль 2023'!$D$4:$D$968,$B51,'июль 2023'!$J$4:$J$968,V$1)</f>
        <v>0</v>
      </c>
      <c r="W51" s="207">
        <f>SUMIFS('июль 2023'!$G$4:$G$968,'июль 2023'!$D$4:$D$968,$B51,'июль 2023'!$J$4:$J$968,W$1)</f>
        <v>0</v>
      </c>
      <c r="X51" s="207">
        <f>SUMIFS('июль 2023'!$G$4:$G$968,'июль 2023'!$D$4:$D$968,$B51,'июль 2023'!$J$4:$J$968,X$1)</f>
        <v>0</v>
      </c>
      <c r="Y51" s="207">
        <f>SUMIFS('июль 2023'!$G$4:$G$968,'июль 2023'!$D$4:$D$968,$B51,'июль 2023'!$J$4:$J$968,Y$1)</f>
        <v>0</v>
      </c>
      <c r="Z51" s="207">
        <f>SUMIFS('июль 2023'!$G$4:$G$968,'июль 2023'!$D$4:$D$968,$B51,'июль 2023'!$J$4:$J$968,Z$1)</f>
        <v>0</v>
      </c>
      <c r="AA51" s="207">
        <f>SUMIFS('июль 2023'!$G$4:$G$968,'июль 2023'!$D$4:$D$968,$B51,'июль 2023'!$J$4:$J$968,AA$1)</f>
        <v>0</v>
      </c>
      <c r="AB51" s="207">
        <f>SUMIFS('июль 2023'!$G$4:$G$968,'июль 2023'!$D$4:$D$968,$B51,'июль 2023'!$J$4:$J$968,AB$1)</f>
        <v>0</v>
      </c>
      <c r="AC51" s="207">
        <f>SUMIFS('июль 2023'!$G$4:$G$968,'июль 2023'!$D$4:$D$968,$B51,'июль 2023'!$J$4:$J$968,AC$1)</f>
        <v>0</v>
      </c>
      <c r="AD51" s="207">
        <f>SUMIFS('июль 2023'!$G$4:$G$968,'июль 2023'!$D$4:$D$968,$B51,'июль 2023'!$J$4:$J$968,AD$1)</f>
        <v>0</v>
      </c>
      <c r="AE51" s="207">
        <f>SUMIFS('июль 2023'!$G$4:$G$968,'июль 2023'!$D$4:$D$968,$B51,'июль 2023'!$J$4:$J$968,AE$1)</f>
        <v>0</v>
      </c>
      <c r="AF51" s="207">
        <f>SUMIFS('июль 2023'!$G$4:$G$968,'июль 2023'!$D$4:$D$968,$B51,'июль 2023'!$J$4:$J$968,AF$1)</f>
        <v>0</v>
      </c>
      <c r="AG51" s="207">
        <f>SUMIFS('июль 2023'!$G$4:$G$968,'июль 2023'!$D$4:$D$968,$B51,'июль 2023'!$J$4:$J$968,AG$1)</f>
        <v>0</v>
      </c>
      <c r="AH51" s="207">
        <f>SUMIFS('июль 2023'!$G$4:$G$968,'июль 2023'!$D$4:$D$968,$B51,'июль 2023'!$J$4:$J$968,AH$1)</f>
        <v>0</v>
      </c>
      <c r="AI51" s="170">
        <f t="shared" si="1"/>
        <v>101</v>
      </c>
    </row>
    <row r="52" spans="2:35" ht="15" customHeight="1" x14ac:dyDescent="0.25">
      <c r="B52" s="212" t="s">
        <v>1415</v>
      </c>
      <c r="C52" s="213">
        <v>200</v>
      </c>
      <c r="D52" s="207">
        <f>SUMIFS('июль 2023'!$G$4:$G$968,'июль 2023'!$D$4:$D$968,$B52,'июль 2023'!$J$4:$J$968,D$1)</f>
        <v>0</v>
      </c>
      <c r="E52" s="207">
        <f>SUMIFS('июль 2023'!$G$4:$G$968,'июль 2023'!$D$4:$D$968,$B52,'июль 2023'!$J$4:$J$968,E$1)</f>
        <v>0</v>
      </c>
      <c r="F52" s="207">
        <f>SUMIFS('июль 2023'!$G$4:$G$968,'июль 2023'!$D$4:$D$968,$B52,'июль 2023'!$J$4:$J$968,F$1)</f>
        <v>0</v>
      </c>
      <c r="G52" s="207">
        <f>SUMIFS('июль 2023'!$G$4:$G$968,'июль 2023'!$D$4:$D$968,$B52,'июль 2023'!$J$4:$J$968,G$1)</f>
        <v>0</v>
      </c>
      <c r="H52" s="207">
        <f>SUMIFS('июль 2023'!$G$4:$G$968,'июль 2023'!$D$4:$D$968,$B52,'июль 2023'!$J$4:$J$968,H$1)</f>
        <v>0</v>
      </c>
      <c r="I52" s="207">
        <f>SUMIFS('июль 2023'!$G$4:$G$968,'июль 2023'!$D$4:$D$968,$B52,'июль 2023'!$J$4:$J$968,I$1)</f>
        <v>0</v>
      </c>
      <c r="J52" s="207">
        <f>SUMIFS('июль 2023'!$G$4:$G$968,'июль 2023'!$D$4:$D$968,$B52,'июль 2023'!$J$4:$J$968,J$1)</f>
        <v>0</v>
      </c>
      <c r="K52" s="207">
        <f>SUMIFS('июль 2023'!$G$4:$G$968,'июль 2023'!$D$4:$D$968,$B52,'июль 2023'!$J$4:$J$968,K$1)</f>
        <v>0</v>
      </c>
      <c r="L52" s="207">
        <f>SUMIFS('июль 2023'!$G$4:$G$968,'июль 2023'!$D$4:$D$968,$B52,'июль 2023'!$J$4:$J$968,L$1)</f>
        <v>0</v>
      </c>
      <c r="M52" s="207">
        <f>SUMIFS('июль 2023'!$G$4:$G$968,'июль 2023'!$D$4:$D$968,$B52,'июль 2023'!$J$4:$J$968,M$1)</f>
        <v>0</v>
      </c>
      <c r="N52" s="207">
        <f>SUMIFS('июль 2023'!$G$4:$G$968,'июль 2023'!$D$4:$D$968,$B52,'июль 2023'!$J$4:$J$968,N$1)</f>
        <v>0</v>
      </c>
      <c r="O52" s="207">
        <f>SUMIFS('июль 2023'!$G$4:$G$968,'июль 2023'!$D$4:$D$968,$B52,'июль 2023'!$J$4:$J$968,O$1)</f>
        <v>0</v>
      </c>
      <c r="P52" s="207">
        <f>SUMIFS('июль 2023'!$G$4:$G$968,'июль 2023'!$D$4:$D$968,$B52,'июль 2023'!$J$4:$J$968,P$1)</f>
        <v>0</v>
      </c>
      <c r="Q52" s="207">
        <f>SUMIFS('июль 2023'!$G$4:$G$968,'июль 2023'!$D$4:$D$968,$B52,'июль 2023'!$J$4:$J$968,Q$1)</f>
        <v>0</v>
      </c>
      <c r="R52" s="207">
        <f>SUMIFS('июль 2023'!$G$4:$G$968,'июль 2023'!$D$4:$D$968,$B52,'июль 2023'!$J$4:$J$968,R$1)</f>
        <v>0</v>
      </c>
      <c r="S52" s="207">
        <f>SUMIFS('июль 2023'!$G$4:$G$968,'июль 2023'!$D$4:$D$968,$B52,'июль 2023'!$J$4:$J$968,S$1)</f>
        <v>0</v>
      </c>
      <c r="T52" s="207">
        <f>SUMIFS('июль 2023'!$G$4:$G$968,'июль 2023'!$D$4:$D$968,$B52,'июль 2023'!$J$4:$J$968,T$1)</f>
        <v>0</v>
      </c>
      <c r="U52" s="207">
        <f>SUMIFS('июль 2023'!$G$4:$G$968,'июль 2023'!$D$4:$D$968,$B52,'июль 2023'!$J$4:$J$968,U$1)</f>
        <v>0</v>
      </c>
      <c r="V52" s="207">
        <f>SUMIFS('июль 2023'!$G$4:$G$968,'июль 2023'!$D$4:$D$968,$B52,'июль 2023'!$J$4:$J$968,V$1)</f>
        <v>0</v>
      </c>
      <c r="W52" s="207">
        <f>SUMIFS('июль 2023'!$G$4:$G$968,'июль 2023'!$D$4:$D$968,$B52,'июль 2023'!$J$4:$J$968,W$1)</f>
        <v>0</v>
      </c>
      <c r="X52" s="207">
        <f>SUMIFS('июль 2023'!$G$4:$G$968,'июль 2023'!$D$4:$D$968,$B52,'июль 2023'!$J$4:$J$968,X$1)</f>
        <v>0</v>
      </c>
      <c r="Y52" s="207">
        <f>SUMIFS('июль 2023'!$G$4:$G$968,'июль 2023'!$D$4:$D$968,$B52,'июль 2023'!$J$4:$J$968,Y$1)</f>
        <v>0</v>
      </c>
      <c r="Z52" s="207">
        <f>SUMIFS('июль 2023'!$G$4:$G$968,'июль 2023'!$D$4:$D$968,$B52,'июль 2023'!$J$4:$J$968,Z$1)</f>
        <v>0</v>
      </c>
      <c r="AA52" s="207">
        <f>SUMIFS('июль 2023'!$G$4:$G$968,'июль 2023'!$D$4:$D$968,$B52,'июль 2023'!$J$4:$J$968,AA$1)</f>
        <v>0</v>
      </c>
      <c r="AB52" s="207">
        <f>SUMIFS('июль 2023'!$G$4:$G$968,'июль 2023'!$D$4:$D$968,$B52,'июль 2023'!$J$4:$J$968,AB$1)</f>
        <v>0</v>
      </c>
      <c r="AC52" s="207">
        <f>SUMIFS('июль 2023'!$G$4:$G$968,'июль 2023'!$D$4:$D$968,$B52,'июль 2023'!$J$4:$J$968,AC$1)</f>
        <v>0</v>
      </c>
      <c r="AD52" s="207">
        <f>SUMIFS('июль 2023'!$G$4:$G$968,'июль 2023'!$D$4:$D$968,$B52,'июль 2023'!$J$4:$J$968,AD$1)</f>
        <v>0</v>
      </c>
      <c r="AE52" s="207">
        <f>SUMIFS('июль 2023'!$G$4:$G$968,'июль 2023'!$D$4:$D$968,$B52,'июль 2023'!$J$4:$J$968,AE$1)</f>
        <v>0</v>
      </c>
      <c r="AF52" s="207">
        <f>SUMIFS('июль 2023'!$G$4:$G$968,'июль 2023'!$D$4:$D$968,$B52,'июль 2023'!$J$4:$J$968,AF$1)</f>
        <v>0</v>
      </c>
      <c r="AG52" s="207">
        <f>SUMIFS('июль 2023'!$G$4:$G$968,'июль 2023'!$D$4:$D$968,$B52,'июль 2023'!$J$4:$J$968,AG$1)</f>
        <v>0</v>
      </c>
      <c r="AH52" s="207">
        <f>SUMIFS('июль 2023'!$G$4:$G$968,'июль 2023'!$D$4:$D$968,$B52,'июль 2023'!$J$4:$J$968,AH$1)</f>
        <v>0</v>
      </c>
      <c r="AI52" s="170">
        <f t="shared" si="1"/>
        <v>0</v>
      </c>
    </row>
    <row r="53" spans="2:35" ht="15" customHeight="1" x14ac:dyDescent="0.25">
      <c r="B53" s="212" t="s">
        <v>2144</v>
      </c>
      <c r="C53" s="213">
        <v>200</v>
      </c>
      <c r="D53" s="207">
        <f>SUMIFS('июль 2023'!$G$4:$G$968,'июль 2023'!$D$4:$D$968,$B53,'июль 2023'!$J$4:$J$968,D$1)</f>
        <v>0</v>
      </c>
      <c r="E53" s="207">
        <f>SUMIFS('июль 2023'!$G$4:$G$968,'июль 2023'!$D$4:$D$968,$B53,'июль 2023'!$J$4:$J$968,E$1)</f>
        <v>0</v>
      </c>
      <c r="F53" s="207">
        <f>SUMIFS('июль 2023'!$G$4:$G$968,'июль 2023'!$D$4:$D$968,$B53,'июль 2023'!$J$4:$J$968,F$1)</f>
        <v>0</v>
      </c>
      <c r="G53" s="207">
        <f>SUMIFS('июль 2023'!$G$4:$G$968,'июль 2023'!$D$4:$D$968,$B53,'июль 2023'!$J$4:$J$968,G$1)</f>
        <v>0</v>
      </c>
      <c r="H53" s="207">
        <f>SUMIFS('июль 2023'!$G$4:$G$968,'июль 2023'!$D$4:$D$968,$B53,'июль 2023'!$J$4:$J$968,H$1)</f>
        <v>0</v>
      </c>
      <c r="I53" s="207">
        <f>SUMIFS('июль 2023'!$G$4:$G$968,'июль 2023'!$D$4:$D$968,$B53,'июль 2023'!$J$4:$J$968,I$1)</f>
        <v>0</v>
      </c>
      <c r="J53" s="207">
        <f>SUMIFS('июль 2023'!$G$4:$G$968,'июль 2023'!$D$4:$D$968,$B53,'июль 2023'!$J$4:$J$968,J$1)</f>
        <v>0</v>
      </c>
      <c r="K53" s="207">
        <f>SUMIFS('июль 2023'!$G$4:$G$968,'июль 2023'!$D$4:$D$968,$B53,'июль 2023'!$J$4:$J$968,K$1)</f>
        <v>0</v>
      </c>
      <c r="L53" s="207">
        <f>SUMIFS('июль 2023'!$G$4:$G$968,'июль 2023'!$D$4:$D$968,$B53,'июль 2023'!$J$4:$J$968,L$1)</f>
        <v>0</v>
      </c>
      <c r="M53" s="207">
        <f>SUMIFS('июль 2023'!$G$4:$G$968,'июль 2023'!$D$4:$D$968,$B53,'июль 2023'!$J$4:$J$968,M$1)</f>
        <v>0</v>
      </c>
      <c r="N53" s="207">
        <f>SUMIFS('июль 2023'!$G$4:$G$968,'июль 2023'!$D$4:$D$968,$B53,'июль 2023'!$J$4:$J$968,N$1)</f>
        <v>0</v>
      </c>
      <c r="O53" s="207">
        <f>SUMIFS('июль 2023'!$G$4:$G$968,'июль 2023'!$D$4:$D$968,$B53,'июль 2023'!$J$4:$J$968,O$1)</f>
        <v>0</v>
      </c>
      <c r="P53" s="207">
        <f>SUMIFS('июль 2023'!$G$4:$G$968,'июль 2023'!$D$4:$D$968,$B53,'июль 2023'!$J$4:$J$968,P$1)</f>
        <v>0</v>
      </c>
      <c r="Q53" s="207">
        <f>SUMIFS('июль 2023'!$G$4:$G$968,'июль 2023'!$D$4:$D$968,$B53,'июль 2023'!$J$4:$J$968,Q$1)</f>
        <v>0</v>
      </c>
      <c r="R53" s="207">
        <f>SUMIFS('июль 2023'!$G$4:$G$968,'июль 2023'!$D$4:$D$968,$B53,'июль 2023'!$J$4:$J$968,R$1)</f>
        <v>0</v>
      </c>
      <c r="S53" s="207">
        <f>SUMIFS('июль 2023'!$G$4:$G$968,'июль 2023'!$D$4:$D$968,$B53,'июль 2023'!$J$4:$J$968,S$1)</f>
        <v>0</v>
      </c>
      <c r="T53" s="207">
        <f>SUMIFS('июль 2023'!$G$4:$G$968,'июль 2023'!$D$4:$D$968,$B53,'июль 2023'!$J$4:$J$968,T$1)</f>
        <v>0</v>
      </c>
      <c r="U53" s="207">
        <f>SUMIFS('июль 2023'!$G$4:$G$968,'июль 2023'!$D$4:$D$968,$B53,'июль 2023'!$J$4:$J$968,U$1)</f>
        <v>0</v>
      </c>
      <c r="V53" s="207">
        <f>SUMIFS('июль 2023'!$G$4:$G$968,'июль 2023'!$D$4:$D$968,$B53,'июль 2023'!$J$4:$J$968,V$1)</f>
        <v>0</v>
      </c>
      <c r="W53" s="207">
        <f>SUMIFS('июль 2023'!$G$4:$G$968,'июль 2023'!$D$4:$D$968,$B53,'июль 2023'!$J$4:$J$968,W$1)</f>
        <v>0</v>
      </c>
      <c r="X53" s="207">
        <f>SUMIFS('июль 2023'!$G$4:$G$968,'июль 2023'!$D$4:$D$968,$B53,'июль 2023'!$J$4:$J$968,X$1)</f>
        <v>0</v>
      </c>
      <c r="Y53" s="207">
        <f>SUMIFS('июль 2023'!$G$4:$G$968,'июль 2023'!$D$4:$D$968,$B53,'июль 2023'!$J$4:$J$968,Y$1)</f>
        <v>0</v>
      </c>
      <c r="Z53" s="207">
        <f>SUMIFS('июль 2023'!$G$4:$G$968,'июль 2023'!$D$4:$D$968,$B53,'июль 2023'!$J$4:$J$968,Z$1)</f>
        <v>0</v>
      </c>
      <c r="AA53" s="207">
        <f>SUMIFS('июль 2023'!$G$4:$G$968,'июль 2023'!$D$4:$D$968,$B53,'июль 2023'!$J$4:$J$968,AA$1)</f>
        <v>0</v>
      </c>
      <c r="AB53" s="207">
        <f>SUMIFS('июль 2023'!$G$4:$G$968,'июль 2023'!$D$4:$D$968,$B53,'июль 2023'!$J$4:$J$968,AB$1)</f>
        <v>0</v>
      </c>
      <c r="AC53" s="207">
        <f>SUMIFS('июль 2023'!$G$4:$G$968,'июль 2023'!$D$4:$D$968,$B53,'июль 2023'!$J$4:$J$968,AC$1)</f>
        <v>0</v>
      </c>
      <c r="AD53" s="207">
        <f>SUMIFS('июль 2023'!$G$4:$G$968,'июль 2023'!$D$4:$D$968,$B53,'июль 2023'!$J$4:$J$968,AD$1)</f>
        <v>0</v>
      </c>
      <c r="AE53" s="207">
        <f>SUMIFS('июль 2023'!$G$4:$G$968,'июль 2023'!$D$4:$D$968,$B53,'июль 2023'!$J$4:$J$968,AE$1)</f>
        <v>0</v>
      </c>
      <c r="AF53" s="207">
        <f>SUMIFS('июль 2023'!$G$4:$G$968,'июль 2023'!$D$4:$D$968,$B53,'июль 2023'!$J$4:$J$968,AF$1)</f>
        <v>0</v>
      </c>
      <c r="AG53" s="207">
        <f>SUMIFS('июль 2023'!$G$4:$G$968,'июль 2023'!$D$4:$D$968,$B53,'июль 2023'!$J$4:$J$968,AG$1)</f>
        <v>0</v>
      </c>
      <c r="AH53" s="207">
        <f>SUMIFS('июль 2023'!$G$4:$G$968,'июль 2023'!$D$4:$D$968,$B53,'июль 2023'!$J$4:$J$968,AH$1)</f>
        <v>0</v>
      </c>
      <c r="AI53" s="170">
        <f t="shared" si="1"/>
        <v>0</v>
      </c>
    </row>
    <row r="54" spans="2:35" ht="15" customHeight="1" x14ac:dyDescent="0.25">
      <c r="B54" s="217" t="s">
        <v>50</v>
      </c>
      <c r="C54" s="213">
        <v>200</v>
      </c>
      <c r="D54" s="207">
        <f>SUMIFS('июль 2023'!$G$4:$G$968,'июль 2023'!$D$4:$D$968,$B54,'июль 2023'!$J$4:$J$968,D$1)</f>
        <v>0</v>
      </c>
      <c r="E54" s="207">
        <f>SUMIFS('июль 2023'!$G$4:$G$968,'июль 2023'!$D$4:$D$968,$B54,'июль 2023'!$J$4:$J$968,E$1)</f>
        <v>0</v>
      </c>
      <c r="F54" s="207">
        <f>SUMIFS('июль 2023'!$G$4:$G$968,'июль 2023'!$D$4:$D$968,$B54,'июль 2023'!$J$4:$J$968,F$1)</f>
        <v>0</v>
      </c>
      <c r="G54" s="207">
        <f>SUMIFS('июль 2023'!$G$4:$G$968,'июль 2023'!$D$4:$D$968,$B54,'июль 2023'!$J$4:$J$968,G$1)</f>
        <v>0</v>
      </c>
      <c r="H54" s="207">
        <f>SUMIFS('июль 2023'!$G$4:$G$968,'июль 2023'!$D$4:$D$968,$B54,'июль 2023'!$J$4:$J$968,H$1)</f>
        <v>0</v>
      </c>
      <c r="I54" s="207">
        <f>SUMIFS('июль 2023'!$G$4:$G$968,'июль 2023'!$D$4:$D$968,$B54,'июль 2023'!$J$4:$J$968,I$1)</f>
        <v>0</v>
      </c>
      <c r="J54" s="207">
        <f>SUMIFS('июль 2023'!$G$4:$G$968,'июль 2023'!$D$4:$D$968,$B54,'июль 2023'!$J$4:$J$968,J$1)</f>
        <v>0</v>
      </c>
      <c r="K54" s="207">
        <f>SUMIFS('июль 2023'!$G$4:$G$968,'июль 2023'!$D$4:$D$968,$B54,'июль 2023'!$J$4:$J$968,K$1)</f>
        <v>0</v>
      </c>
      <c r="L54" s="207">
        <f>SUMIFS('июль 2023'!$G$4:$G$968,'июль 2023'!$D$4:$D$968,$B54,'июль 2023'!$J$4:$J$968,L$1)</f>
        <v>0</v>
      </c>
      <c r="M54" s="207">
        <f>SUMIFS('июль 2023'!$G$4:$G$968,'июль 2023'!$D$4:$D$968,$B54,'июль 2023'!$J$4:$J$968,M$1)</f>
        <v>0</v>
      </c>
      <c r="N54" s="207">
        <f>SUMIFS('июль 2023'!$G$4:$G$968,'июль 2023'!$D$4:$D$968,$B54,'июль 2023'!$J$4:$J$968,N$1)</f>
        <v>0</v>
      </c>
      <c r="O54" s="207">
        <f>SUMIFS('июль 2023'!$G$4:$G$968,'июль 2023'!$D$4:$D$968,$B54,'июль 2023'!$J$4:$J$968,O$1)</f>
        <v>0</v>
      </c>
      <c r="P54" s="207">
        <f>SUMIFS('июль 2023'!$G$4:$G$968,'июль 2023'!$D$4:$D$968,$B54,'июль 2023'!$J$4:$J$968,P$1)</f>
        <v>0</v>
      </c>
      <c r="Q54" s="207">
        <f>SUMIFS('июль 2023'!$G$4:$G$968,'июль 2023'!$D$4:$D$968,$B54,'июль 2023'!$J$4:$J$968,Q$1)</f>
        <v>0</v>
      </c>
      <c r="R54" s="207">
        <f>SUMIFS('июль 2023'!$G$4:$G$968,'июль 2023'!$D$4:$D$968,$B54,'июль 2023'!$J$4:$J$968,R$1)</f>
        <v>0</v>
      </c>
      <c r="S54" s="207">
        <f>SUMIFS('июль 2023'!$G$4:$G$968,'июль 2023'!$D$4:$D$968,$B54,'июль 2023'!$J$4:$J$968,S$1)</f>
        <v>0</v>
      </c>
      <c r="T54" s="207">
        <f>SUMIFS('июль 2023'!$G$4:$G$968,'июль 2023'!$D$4:$D$968,$B54,'июль 2023'!$J$4:$J$968,T$1)</f>
        <v>0</v>
      </c>
      <c r="U54" s="207">
        <f>SUMIFS('июль 2023'!$G$4:$G$968,'июль 2023'!$D$4:$D$968,$B54,'июль 2023'!$J$4:$J$968,U$1)</f>
        <v>0</v>
      </c>
      <c r="V54" s="207">
        <f>SUMIFS('июль 2023'!$G$4:$G$968,'июль 2023'!$D$4:$D$968,$B54,'июль 2023'!$J$4:$J$968,V$1)</f>
        <v>0</v>
      </c>
      <c r="W54" s="207">
        <f>SUMIFS('июль 2023'!$G$4:$G$968,'июль 2023'!$D$4:$D$968,$B54,'июль 2023'!$J$4:$J$968,W$1)</f>
        <v>0</v>
      </c>
      <c r="X54" s="207">
        <f>SUMIFS('июль 2023'!$G$4:$G$968,'июль 2023'!$D$4:$D$968,$B54,'июль 2023'!$J$4:$J$968,X$1)</f>
        <v>0</v>
      </c>
      <c r="Y54" s="207">
        <f>SUMIFS('июль 2023'!$G$4:$G$968,'июль 2023'!$D$4:$D$968,$B54,'июль 2023'!$J$4:$J$968,Y$1)</f>
        <v>0</v>
      </c>
      <c r="Z54" s="207">
        <f>SUMIFS('июль 2023'!$G$4:$G$968,'июль 2023'!$D$4:$D$968,$B54,'июль 2023'!$J$4:$J$968,Z$1)</f>
        <v>0</v>
      </c>
      <c r="AA54" s="207">
        <f>SUMIFS('июль 2023'!$G$4:$G$968,'июль 2023'!$D$4:$D$968,$B54,'июль 2023'!$J$4:$J$968,AA$1)</f>
        <v>0</v>
      </c>
      <c r="AB54" s="207">
        <f>SUMIFS('июль 2023'!$G$4:$G$968,'июль 2023'!$D$4:$D$968,$B54,'июль 2023'!$J$4:$J$968,AB$1)</f>
        <v>0</v>
      </c>
      <c r="AC54" s="207">
        <f>SUMIFS('июль 2023'!$G$4:$G$968,'июль 2023'!$D$4:$D$968,$B54,'июль 2023'!$J$4:$J$968,AC$1)</f>
        <v>0</v>
      </c>
      <c r="AD54" s="207">
        <f>SUMIFS('июль 2023'!$G$4:$G$968,'июль 2023'!$D$4:$D$968,$B54,'июль 2023'!$J$4:$J$968,AD$1)</f>
        <v>0</v>
      </c>
      <c r="AE54" s="207">
        <f>SUMIFS('июль 2023'!$G$4:$G$968,'июль 2023'!$D$4:$D$968,$B54,'июль 2023'!$J$4:$J$968,AE$1)</f>
        <v>0</v>
      </c>
      <c r="AF54" s="207">
        <f>SUMIFS('июль 2023'!$G$4:$G$968,'июль 2023'!$D$4:$D$968,$B54,'июль 2023'!$J$4:$J$968,AF$1)</f>
        <v>0</v>
      </c>
      <c r="AG54" s="207">
        <f>SUMIFS('июль 2023'!$G$4:$G$968,'июль 2023'!$D$4:$D$968,$B54,'июль 2023'!$J$4:$J$968,AG$1)</f>
        <v>0</v>
      </c>
      <c r="AH54" s="207">
        <f>SUMIFS('июль 2023'!$G$4:$G$968,'июль 2023'!$D$4:$D$968,$B54,'июль 2023'!$J$4:$J$968,AH$1)</f>
        <v>0</v>
      </c>
      <c r="AI54" s="170">
        <f t="shared" si="1"/>
        <v>0</v>
      </c>
    </row>
    <row r="55" spans="2:35" ht="15" customHeight="1" x14ac:dyDescent="0.25">
      <c r="B55" s="217" t="s">
        <v>2148</v>
      </c>
      <c r="C55" s="213">
        <v>190</v>
      </c>
      <c r="D55" s="207">
        <f>SUMIFS('июль 2023'!$G$4:$G$968,'июль 2023'!$D$4:$D$968,$B55,'июль 2023'!$J$4:$J$968,D$1)</f>
        <v>0</v>
      </c>
      <c r="E55" s="207">
        <f>SUMIFS('июль 2023'!$G$4:$G$968,'июль 2023'!$D$4:$D$968,$B55,'июль 2023'!$J$4:$J$968,E$1)</f>
        <v>0</v>
      </c>
      <c r="F55" s="207">
        <f>SUMIFS('июль 2023'!$G$4:$G$968,'июль 2023'!$D$4:$D$968,$B55,'июль 2023'!$J$4:$J$968,F$1)</f>
        <v>0</v>
      </c>
      <c r="G55" s="207">
        <f>SUMIFS('июль 2023'!$G$4:$G$968,'июль 2023'!$D$4:$D$968,$B55,'июль 2023'!$J$4:$J$968,G$1)</f>
        <v>0</v>
      </c>
      <c r="H55" s="207">
        <f>SUMIFS('июль 2023'!$G$4:$G$968,'июль 2023'!$D$4:$D$968,$B55,'июль 2023'!$J$4:$J$968,H$1)</f>
        <v>0</v>
      </c>
      <c r="I55" s="207">
        <f>SUMIFS('июль 2023'!$G$4:$G$968,'июль 2023'!$D$4:$D$968,$B55,'июль 2023'!$J$4:$J$968,I$1)</f>
        <v>0</v>
      </c>
      <c r="J55" s="207">
        <f>SUMIFS('июль 2023'!$G$4:$G$968,'июль 2023'!$D$4:$D$968,$B55,'июль 2023'!$J$4:$J$968,J$1)</f>
        <v>0</v>
      </c>
      <c r="K55" s="207">
        <f>SUMIFS('июль 2023'!$G$4:$G$968,'июль 2023'!$D$4:$D$968,$B55,'июль 2023'!$J$4:$J$968,K$1)</f>
        <v>0</v>
      </c>
      <c r="L55" s="207">
        <f>SUMIFS('июль 2023'!$G$4:$G$968,'июль 2023'!$D$4:$D$968,$B55,'июль 2023'!$J$4:$J$968,L$1)</f>
        <v>0</v>
      </c>
      <c r="M55" s="207">
        <f>SUMIFS('июль 2023'!$G$4:$G$968,'июль 2023'!$D$4:$D$968,$B55,'июль 2023'!$J$4:$J$968,M$1)</f>
        <v>0</v>
      </c>
      <c r="N55" s="207">
        <f>SUMIFS('июль 2023'!$G$4:$G$968,'июль 2023'!$D$4:$D$968,$B55,'июль 2023'!$J$4:$J$968,N$1)</f>
        <v>0</v>
      </c>
      <c r="O55" s="207">
        <f>SUMIFS('июль 2023'!$G$4:$G$968,'июль 2023'!$D$4:$D$968,$B55,'июль 2023'!$J$4:$J$968,O$1)</f>
        <v>0</v>
      </c>
      <c r="P55" s="207">
        <f>SUMIFS('июль 2023'!$G$4:$G$968,'июль 2023'!$D$4:$D$968,$B55,'июль 2023'!$J$4:$J$968,P$1)</f>
        <v>0</v>
      </c>
      <c r="Q55" s="207">
        <f>SUMIFS('июль 2023'!$G$4:$G$968,'июль 2023'!$D$4:$D$968,$B55,'июль 2023'!$J$4:$J$968,Q$1)</f>
        <v>0</v>
      </c>
      <c r="R55" s="207">
        <f>SUMIFS('июль 2023'!$G$4:$G$968,'июль 2023'!$D$4:$D$968,$B55,'июль 2023'!$J$4:$J$968,R$1)</f>
        <v>0</v>
      </c>
      <c r="S55" s="207">
        <f>SUMIFS('июль 2023'!$G$4:$G$968,'июль 2023'!$D$4:$D$968,$B55,'июль 2023'!$J$4:$J$968,S$1)</f>
        <v>0</v>
      </c>
      <c r="T55" s="207">
        <f>SUMIFS('июль 2023'!$G$4:$G$968,'июль 2023'!$D$4:$D$968,$B55,'июль 2023'!$J$4:$J$968,T$1)</f>
        <v>0</v>
      </c>
      <c r="U55" s="207">
        <f>SUMIFS('июль 2023'!$G$4:$G$968,'июль 2023'!$D$4:$D$968,$B55,'июль 2023'!$J$4:$J$968,U$1)</f>
        <v>0</v>
      </c>
      <c r="V55" s="207">
        <f>SUMIFS('июль 2023'!$G$4:$G$968,'июль 2023'!$D$4:$D$968,$B55,'июль 2023'!$J$4:$J$968,V$1)</f>
        <v>0</v>
      </c>
      <c r="W55" s="207">
        <f>SUMIFS('июль 2023'!$G$4:$G$968,'июль 2023'!$D$4:$D$968,$B55,'июль 2023'!$J$4:$J$968,W$1)</f>
        <v>0</v>
      </c>
      <c r="X55" s="207">
        <f>SUMIFS('июль 2023'!$G$4:$G$968,'июль 2023'!$D$4:$D$968,$B55,'июль 2023'!$J$4:$J$968,X$1)</f>
        <v>0</v>
      </c>
      <c r="Y55" s="207">
        <f>SUMIFS('июль 2023'!$G$4:$G$968,'июль 2023'!$D$4:$D$968,$B55,'июль 2023'!$J$4:$J$968,Y$1)</f>
        <v>0</v>
      </c>
      <c r="Z55" s="207">
        <f>SUMIFS('июль 2023'!$G$4:$G$968,'июль 2023'!$D$4:$D$968,$B55,'июль 2023'!$J$4:$J$968,Z$1)</f>
        <v>0</v>
      </c>
      <c r="AA55" s="207">
        <f>SUMIFS('июль 2023'!$G$4:$G$968,'июль 2023'!$D$4:$D$968,$B55,'июль 2023'!$J$4:$J$968,AA$1)</f>
        <v>0</v>
      </c>
      <c r="AB55" s="207">
        <f>SUMIFS('июль 2023'!$G$4:$G$968,'июль 2023'!$D$4:$D$968,$B55,'июль 2023'!$J$4:$J$968,AB$1)</f>
        <v>0</v>
      </c>
      <c r="AC55" s="207">
        <f>SUMIFS('июль 2023'!$G$4:$G$968,'июль 2023'!$D$4:$D$968,$B55,'июль 2023'!$J$4:$J$968,AC$1)</f>
        <v>0</v>
      </c>
      <c r="AD55" s="207">
        <f>SUMIFS('июль 2023'!$G$4:$G$968,'июль 2023'!$D$4:$D$968,$B55,'июль 2023'!$J$4:$J$968,AD$1)</f>
        <v>0</v>
      </c>
      <c r="AE55" s="207">
        <f>SUMIFS('июль 2023'!$G$4:$G$968,'июль 2023'!$D$4:$D$968,$B55,'июль 2023'!$J$4:$J$968,AE$1)</f>
        <v>0</v>
      </c>
      <c r="AF55" s="207">
        <f>SUMIFS('июль 2023'!$G$4:$G$968,'июль 2023'!$D$4:$D$968,$B55,'июль 2023'!$J$4:$J$968,AF$1)</f>
        <v>0</v>
      </c>
      <c r="AG55" s="207">
        <f>SUMIFS('июль 2023'!$G$4:$G$968,'июль 2023'!$D$4:$D$968,$B55,'июль 2023'!$J$4:$J$968,AG$1)</f>
        <v>0</v>
      </c>
      <c r="AH55" s="207">
        <f>SUMIFS('июль 2023'!$G$4:$G$968,'июль 2023'!$D$4:$D$968,$B55,'июль 2023'!$J$4:$J$968,AH$1)</f>
        <v>0</v>
      </c>
      <c r="AI55" s="170">
        <f t="shared" si="1"/>
        <v>0</v>
      </c>
    </row>
    <row r="56" spans="2:35" ht="15" customHeight="1" x14ac:dyDescent="0.25">
      <c r="B56" s="217" t="s">
        <v>421</v>
      </c>
      <c r="C56" s="213">
        <v>200</v>
      </c>
      <c r="D56" s="207">
        <f>SUMIFS('июль 2023'!$G$4:$G$968,'июль 2023'!$D$4:$D$968,$B56,'июль 2023'!$J$4:$J$968,D$1)</f>
        <v>0</v>
      </c>
      <c r="E56" s="207">
        <f>SUMIFS('июль 2023'!$G$4:$G$968,'июль 2023'!$D$4:$D$968,$B56,'июль 2023'!$J$4:$J$968,E$1)</f>
        <v>0</v>
      </c>
      <c r="F56" s="207">
        <f>SUMIFS('июль 2023'!$G$4:$G$968,'июль 2023'!$D$4:$D$968,$B56,'июль 2023'!$J$4:$J$968,F$1)</f>
        <v>0</v>
      </c>
      <c r="G56" s="207">
        <f>SUMIFS('июль 2023'!$G$4:$G$968,'июль 2023'!$D$4:$D$968,$B56,'июль 2023'!$J$4:$J$968,G$1)</f>
        <v>0</v>
      </c>
      <c r="H56" s="207">
        <f>SUMIFS('июль 2023'!$G$4:$G$968,'июль 2023'!$D$4:$D$968,$B56,'июль 2023'!$J$4:$J$968,H$1)</f>
        <v>88</v>
      </c>
      <c r="I56" s="207">
        <f>SUMIFS('июль 2023'!$G$4:$G$968,'июль 2023'!$D$4:$D$968,$B56,'июль 2023'!$J$4:$J$968,I$1)</f>
        <v>0</v>
      </c>
      <c r="J56" s="207">
        <f>SUMIFS('июль 2023'!$G$4:$G$968,'июль 2023'!$D$4:$D$968,$B56,'июль 2023'!$J$4:$J$968,J$1)</f>
        <v>0</v>
      </c>
      <c r="K56" s="207">
        <f>SUMIFS('июль 2023'!$G$4:$G$968,'июль 2023'!$D$4:$D$968,$B56,'июль 2023'!$J$4:$J$968,K$1)</f>
        <v>0</v>
      </c>
      <c r="L56" s="207">
        <f>SUMIFS('июль 2023'!$G$4:$G$968,'июль 2023'!$D$4:$D$968,$B56,'июль 2023'!$J$4:$J$968,L$1)</f>
        <v>0</v>
      </c>
      <c r="M56" s="207">
        <f>SUMIFS('июль 2023'!$G$4:$G$968,'июль 2023'!$D$4:$D$968,$B56,'июль 2023'!$J$4:$J$968,M$1)</f>
        <v>0</v>
      </c>
      <c r="N56" s="207">
        <f>SUMIFS('июль 2023'!$G$4:$G$968,'июль 2023'!$D$4:$D$968,$B56,'июль 2023'!$J$4:$J$968,N$1)</f>
        <v>0</v>
      </c>
      <c r="O56" s="207">
        <f>SUMIFS('июль 2023'!$G$4:$G$968,'июль 2023'!$D$4:$D$968,$B56,'июль 2023'!$J$4:$J$968,O$1)</f>
        <v>0</v>
      </c>
      <c r="P56" s="207">
        <f>SUMIFS('июль 2023'!$G$4:$G$968,'июль 2023'!$D$4:$D$968,$B56,'июль 2023'!$J$4:$J$968,P$1)</f>
        <v>0</v>
      </c>
      <c r="Q56" s="207">
        <f>SUMIFS('июль 2023'!$G$4:$G$968,'июль 2023'!$D$4:$D$968,$B56,'июль 2023'!$J$4:$J$968,Q$1)</f>
        <v>88</v>
      </c>
      <c r="R56" s="207">
        <f>SUMIFS('июль 2023'!$G$4:$G$968,'июль 2023'!$D$4:$D$968,$B56,'июль 2023'!$J$4:$J$968,R$1)</f>
        <v>0</v>
      </c>
      <c r="S56" s="207">
        <f>SUMIFS('июль 2023'!$G$4:$G$968,'июль 2023'!$D$4:$D$968,$B56,'июль 2023'!$J$4:$J$968,S$1)</f>
        <v>0</v>
      </c>
      <c r="T56" s="207">
        <f>SUMIFS('июль 2023'!$G$4:$G$968,'июль 2023'!$D$4:$D$968,$B56,'июль 2023'!$J$4:$J$968,T$1)</f>
        <v>176</v>
      </c>
      <c r="U56" s="207">
        <f>SUMIFS('июль 2023'!$G$4:$G$968,'июль 2023'!$D$4:$D$968,$B56,'июль 2023'!$J$4:$J$968,U$1)</f>
        <v>0</v>
      </c>
      <c r="V56" s="207">
        <f>SUMIFS('июль 2023'!$G$4:$G$968,'июль 2023'!$D$4:$D$968,$B56,'июль 2023'!$J$4:$J$968,V$1)</f>
        <v>0</v>
      </c>
      <c r="W56" s="207">
        <f>SUMIFS('июль 2023'!$G$4:$G$968,'июль 2023'!$D$4:$D$968,$B56,'июль 2023'!$J$4:$J$968,W$1)</f>
        <v>0</v>
      </c>
      <c r="X56" s="207">
        <f>SUMIFS('июль 2023'!$G$4:$G$968,'июль 2023'!$D$4:$D$968,$B56,'июль 2023'!$J$4:$J$968,X$1)</f>
        <v>0</v>
      </c>
      <c r="Y56" s="207">
        <f>SUMIFS('июль 2023'!$G$4:$G$968,'июль 2023'!$D$4:$D$968,$B56,'июль 2023'!$J$4:$J$968,Y$1)</f>
        <v>0</v>
      </c>
      <c r="Z56" s="207">
        <f>SUMIFS('июль 2023'!$G$4:$G$968,'июль 2023'!$D$4:$D$968,$B56,'июль 2023'!$J$4:$J$968,Z$1)</f>
        <v>0</v>
      </c>
      <c r="AA56" s="207">
        <f>SUMIFS('июль 2023'!$G$4:$G$968,'июль 2023'!$D$4:$D$968,$B56,'июль 2023'!$J$4:$J$968,AA$1)</f>
        <v>0</v>
      </c>
      <c r="AB56" s="207">
        <f>SUMIFS('июль 2023'!$G$4:$G$968,'июль 2023'!$D$4:$D$968,$B56,'июль 2023'!$J$4:$J$968,AB$1)</f>
        <v>0</v>
      </c>
      <c r="AC56" s="207">
        <f>SUMIFS('июль 2023'!$G$4:$G$968,'июль 2023'!$D$4:$D$968,$B56,'июль 2023'!$J$4:$J$968,AC$1)</f>
        <v>0</v>
      </c>
      <c r="AD56" s="207">
        <f>SUMIFS('июль 2023'!$G$4:$G$968,'июль 2023'!$D$4:$D$968,$B56,'июль 2023'!$J$4:$J$968,AD$1)</f>
        <v>0</v>
      </c>
      <c r="AE56" s="207">
        <f>SUMIFS('июль 2023'!$G$4:$G$968,'июль 2023'!$D$4:$D$968,$B56,'июль 2023'!$J$4:$J$968,AE$1)</f>
        <v>88</v>
      </c>
      <c r="AF56" s="207">
        <f>SUMIFS('июль 2023'!$G$4:$G$968,'июль 2023'!$D$4:$D$968,$B56,'июль 2023'!$J$4:$J$968,AF$1)</f>
        <v>0</v>
      </c>
      <c r="AG56" s="207">
        <f>SUMIFS('июль 2023'!$G$4:$G$968,'июль 2023'!$D$4:$D$968,$B56,'июль 2023'!$J$4:$J$968,AG$1)</f>
        <v>0</v>
      </c>
      <c r="AH56" s="207">
        <f>SUMIFS('июль 2023'!$G$4:$G$968,'июль 2023'!$D$4:$D$968,$B56,'июль 2023'!$J$4:$J$968,AH$1)</f>
        <v>0</v>
      </c>
      <c r="AI56" s="170">
        <f t="shared" si="1"/>
        <v>440</v>
      </c>
    </row>
    <row r="57" spans="2:35" ht="15" customHeight="1" x14ac:dyDescent="0.25">
      <c r="B57" s="217" t="s">
        <v>795</v>
      </c>
      <c r="C57" s="213">
        <v>30</v>
      </c>
      <c r="D57" s="207">
        <f>SUMIFS('июль 2023'!$G$4:$G$968,'июль 2023'!$D$4:$D$968,$B57,'июль 2023'!$J$4:$J$968,D$1)</f>
        <v>0</v>
      </c>
      <c r="E57" s="207">
        <f>SUMIFS('июль 2023'!$G$4:$G$968,'июль 2023'!$D$4:$D$968,$B57,'июль 2023'!$J$4:$J$968,E$1)</f>
        <v>0</v>
      </c>
      <c r="F57" s="207">
        <f>SUMIFS('июль 2023'!$G$4:$G$968,'июль 2023'!$D$4:$D$968,$B57,'июль 2023'!$J$4:$J$968,F$1)</f>
        <v>0</v>
      </c>
      <c r="G57" s="207">
        <f>SUMIFS('июль 2023'!$G$4:$G$968,'июль 2023'!$D$4:$D$968,$B57,'июль 2023'!$J$4:$J$968,G$1)</f>
        <v>0</v>
      </c>
      <c r="H57" s="207">
        <f>SUMIFS('июль 2023'!$G$4:$G$968,'июль 2023'!$D$4:$D$968,$B57,'июль 2023'!$J$4:$J$968,H$1)</f>
        <v>0</v>
      </c>
      <c r="I57" s="207">
        <f>SUMIFS('июль 2023'!$G$4:$G$968,'июль 2023'!$D$4:$D$968,$B57,'июль 2023'!$J$4:$J$968,I$1)</f>
        <v>0</v>
      </c>
      <c r="J57" s="207">
        <f>SUMIFS('июль 2023'!$G$4:$G$968,'июль 2023'!$D$4:$D$968,$B57,'июль 2023'!$J$4:$J$968,J$1)</f>
        <v>0</v>
      </c>
      <c r="K57" s="207">
        <f>SUMIFS('июль 2023'!$G$4:$G$968,'июль 2023'!$D$4:$D$968,$B57,'июль 2023'!$J$4:$J$968,K$1)</f>
        <v>0</v>
      </c>
      <c r="L57" s="207">
        <f>SUMIFS('июль 2023'!$G$4:$G$968,'июль 2023'!$D$4:$D$968,$B57,'июль 2023'!$J$4:$J$968,L$1)</f>
        <v>0</v>
      </c>
      <c r="M57" s="207">
        <f>SUMIFS('июль 2023'!$G$4:$G$968,'июль 2023'!$D$4:$D$968,$B57,'июль 2023'!$J$4:$J$968,M$1)</f>
        <v>0</v>
      </c>
      <c r="N57" s="207">
        <f>SUMIFS('июль 2023'!$G$4:$G$968,'июль 2023'!$D$4:$D$968,$B57,'июль 2023'!$J$4:$J$968,N$1)</f>
        <v>0</v>
      </c>
      <c r="O57" s="207">
        <f>SUMIFS('июль 2023'!$G$4:$G$968,'июль 2023'!$D$4:$D$968,$B57,'июль 2023'!$J$4:$J$968,O$1)</f>
        <v>17</v>
      </c>
      <c r="P57" s="207">
        <f>SUMIFS('июль 2023'!$G$4:$G$968,'июль 2023'!$D$4:$D$968,$B57,'июль 2023'!$J$4:$J$968,P$1)</f>
        <v>0</v>
      </c>
      <c r="Q57" s="207">
        <f>SUMIFS('июль 2023'!$G$4:$G$968,'июль 2023'!$D$4:$D$968,$B57,'июль 2023'!$J$4:$J$968,Q$1)</f>
        <v>0</v>
      </c>
      <c r="R57" s="207">
        <f>SUMIFS('июль 2023'!$G$4:$G$968,'июль 2023'!$D$4:$D$968,$B57,'июль 2023'!$J$4:$J$968,R$1)</f>
        <v>0</v>
      </c>
      <c r="S57" s="207">
        <f>SUMIFS('июль 2023'!$G$4:$G$968,'июль 2023'!$D$4:$D$968,$B57,'июль 2023'!$J$4:$J$968,S$1)</f>
        <v>0</v>
      </c>
      <c r="T57" s="207">
        <f>SUMIFS('июль 2023'!$G$4:$G$968,'июль 2023'!$D$4:$D$968,$B57,'июль 2023'!$J$4:$J$968,T$1)</f>
        <v>0</v>
      </c>
      <c r="U57" s="207">
        <f>SUMIFS('июль 2023'!$G$4:$G$968,'июль 2023'!$D$4:$D$968,$B57,'июль 2023'!$J$4:$J$968,U$1)</f>
        <v>0</v>
      </c>
      <c r="V57" s="207">
        <f>SUMIFS('июль 2023'!$G$4:$G$968,'июль 2023'!$D$4:$D$968,$B57,'июль 2023'!$J$4:$J$968,V$1)</f>
        <v>0</v>
      </c>
      <c r="W57" s="207">
        <f>SUMIFS('июль 2023'!$G$4:$G$968,'июль 2023'!$D$4:$D$968,$B57,'июль 2023'!$J$4:$J$968,W$1)</f>
        <v>0</v>
      </c>
      <c r="X57" s="207">
        <f>SUMIFS('июль 2023'!$G$4:$G$968,'июль 2023'!$D$4:$D$968,$B57,'июль 2023'!$J$4:$J$968,X$1)</f>
        <v>0</v>
      </c>
      <c r="Y57" s="207">
        <f>SUMIFS('июль 2023'!$G$4:$G$968,'июль 2023'!$D$4:$D$968,$B57,'июль 2023'!$J$4:$J$968,Y$1)</f>
        <v>0</v>
      </c>
      <c r="Z57" s="207">
        <f>SUMIFS('июль 2023'!$G$4:$G$968,'июль 2023'!$D$4:$D$968,$B57,'июль 2023'!$J$4:$J$968,Z$1)</f>
        <v>0</v>
      </c>
      <c r="AA57" s="207">
        <f>SUMIFS('июль 2023'!$G$4:$G$968,'июль 2023'!$D$4:$D$968,$B57,'июль 2023'!$J$4:$J$968,AA$1)</f>
        <v>0</v>
      </c>
      <c r="AB57" s="207">
        <f>SUMIFS('июль 2023'!$G$4:$G$968,'июль 2023'!$D$4:$D$968,$B57,'июль 2023'!$J$4:$J$968,AB$1)</f>
        <v>0</v>
      </c>
      <c r="AC57" s="207">
        <f>SUMIFS('июль 2023'!$G$4:$G$968,'июль 2023'!$D$4:$D$968,$B57,'июль 2023'!$J$4:$J$968,AC$1)</f>
        <v>0</v>
      </c>
      <c r="AD57" s="207">
        <f>SUMIFS('июль 2023'!$G$4:$G$968,'июль 2023'!$D$4:$D$968,$B57,'июль 2023'!$J$4:$J$968,AD$1)</f>
        <v>0</v>
      </c>
      <c r="AE57" s="207">
        <f>SUMIFS('июль 2023'!$G$4:$G$968,'июль 2023'!$D$4:$D$968,$B57,'июль 2023'!$J$4:$J$968,AE$1)</f>
        <v>0</v>
      </c>
      <c r="AF57" s="207">
        <f>SUMIFS('июль 2023'!$G$4:$G$968,'июль 2023'!$D$4:$D$968,$B57,'июль 2023'!$J$4:$J$968,AF$1)</f>
        <v>0</v>
      </c>
      <c r="AG57" s="207">
        <f>SUMIFS('июль 2023'!$G$4:$G$968,'июль 2023'!$D$4:$D$968,$B57,'июль 2023'!$J$4:$J$968,AG$1)</f>
        <v>0</v>
      </c>
      <c r="AH57" s="207">
        <f>SUMIFS('июль 2023'!$G$4:$G$968,'июль 2023'!$D$4:$D$968,$B57,'июль 2023'!$J$4:$J$968,AH$1)</f>
        <v>0</v>
      </c>
      <c r="AI57" s="170">
        <f>SUM(D57:AH57)</f>
        <v>17</v>
      </c>
    </row>
    <row r="58" spans="2:35" ht="15" customHeight="1" x14ac:dyDescent="0.25">
      <c r="B58" s="217" t="s">
        <v>222</v>
      </c>
      <c r="C58" s="213">
        <v>50</v>
      </c>
      <c r="D58" s="207">
        <f>SUMIFS('июль 2023'!$G$4:$G$968,'июль 2023'!$D$4:$D$968,$B58,'июль 2023'!$J$4:$J$968,D$1)</f>
        <v>0</v>
      </c>
      <c r="E58" s="207">
        <f>SUMIFS('июль 2023'!$G$4:$G$968,'июль 2023'!$D$4:$D$968,$B58,'июль 2023'!$J$4:$J$968,E$1)</f>
        <v>0</v>
      </c>
      <c r="F58" s="207">
        <f>SUMIFS('июль 2023'!$G$4:$G$968,'июль 2023'!$D$4:$D$968,$B58,'июль 2023'!$J$4:$J$968,F$1)</f>
        <v>0</v>
      </c>
      <c r="G58" s="207">
        <f>SUMIFS('июль 2023'!$G$4:$G$968,'июль 2023'!$D$4:$D$968,$B58,'июль 2023'!$J$4:$J$968,G$1)</f>
        <v>0</v>
      </c>
      <c r="H58" s="207">
        <f>SUMIFS('июль 2023'!$G$4:$G$968,'июль 2023'!$D$4:$D$968,$B58,'июль 2023'!$J$4:$J$968,H$1)</f>
        <v>0</v>
      </c>
      <c r="I58" s="207">
        <f>SUMIFS('июль 2023'!$G$4:$G$968,'июль 2023'!$D$4:$D$968,$B58,'июль 2023'!$J$4:$J$968,I$1)</f>
        <v>0</v>
      </c>
      <c r="J58" s="207">
        <f>SUMIFS('июль 2023'!$G$4:$G$968,'июль 2023'!$D$4:$D$968,$B58,'июль 2023'!$J$4:$J$968,J$1)</f>
        <v>0</v>
      </c>
      <c r="K58" s="207">
        <f>SUMIFS('июль 2023'!$G$4:$G$968,'июль 2023'!$D$4:$D$968,$B58,'июль 2023'!$J$4:$J$968,K$1)</f>
        <v>0</v>
      </c>
      <c r="L58" s="207">
        <f>SUMIFS('июль 2023'!$G$4:$G$968,'июль 2023'!$D$4:$D$968,$B58,'июль 2023'!$J$4:$J$968,L$1)</f>
        <v>0</v>
      </c>
      <c r="M58" s="207">
        <f>SUMIFS('июль 2023'!$G$4:$G$968,'июль 2023'!$D$4:$D$968,$B58,'июль 2023'!$J$4:$J$968,M$1)</f>
        <v>0</v>
      </c>
      <c r="N58" s="207">
        <f>SUMIFS('июль 2023'!$G$4:$G$968,'июль 2023'!$D$4:$D$968,$B58,'июль 2023'!$J$4:$J$968,N$1)</f>
        <v>0</v>
      </c>
      <c r="O58" s="207">
        <f>SUMIFS('июль 2023'!$G$4:$G$968,'июль 2023'!$D$4:$D$968,$B58,'июль 2023'!$J$4:$J$968,O$1)</f>
        <v>0</v>
      </c>
      <c r="P58" s="207">
        <f>SUMIFS('июль 2023'!$G$4:$G$968,'июль 2023'!$D$4:$D$968,$B58,'июль 2023'!$J$4:$J$968,P$1)</f>
        <v>0</v>
      </c>
      <c r="Q58" s="207">
        <f>SUMIFS('июль 2023'!$G$4:$G$968,'июль 2023'!$D$4:$D$968,$B58,'июль 2023'!$J$4:$J$968,Q$1)</f>
        <v>0</v>
      </c>
      <c r="R58" s="207">
        <f>SUMIFS('июль 2023'!$G$4:$G$968,'июль 2023'!$D$4:$D$968,$B58,'июль 2023'!$J$4:$J$968,R$1)</f>
        <v>0</v>
      </c>
      <c r="S58" s="207">
        <f>SUMIFS('июль 2023'!$G$4:$G$968,'июль 2023'!$D$4:$D$968,$B58,'июль 2023'!$J$4:$J$968,S$1)</f>
        <v>0</v>
      </c>
      <c r="T58" s="207">
        <f>SUMIFS('июль 2023'!$G$4:$G$968,'июль 2023'!$D$4:$D$968,$B58,'июль 2023'!$J$4:$J$968,T$1)</f>
        <v>0</v>
      </c>
      <c r="U58" s="207">
        <f>SUMIFS('июль 2023'!$G$4:$G$968,'июль 2023'!$D$4:$D$968,$B58,'июль 2023'!$J$4:$J$968,U$1)</f>
        <v>0</v>
      </c>
      <c r="V58" s="207">
        <f>SUMIFS('июль 2023'!$G$4:$G$968,'июль 2023'!$D$4:$D$968,$B58,'июль 2023'!$J$4:$J$968,V$1)</f>
        <v>0</v>
      </c>
      <c r="W58" s="207">
        <f>SUMIFS('июль 2023'!$G$4:$G$968,'июль 2023'!$D$4:$D$968,$B58,'июль 2023'!$J$4:$J$968,W$1)</f>
        <v>0</v>
      </c>
      <c r="X58" s="207">
        <f>SUMIFS('июль 2023'!$G$4:$G$968,'июль 2023'!$D$4:$D$968,$B58,'июль 2023'!$J$4:$J$968,X$1)</f>
        <v>0</v>
      </c>
      <c r="Y58" s="207">
        <f>SUMIFS('июль 2023'!$G$4:$G$968,'июль 2023'!$D$4:$D$968,$B58,'июль 2023'!$J$4:$J$968,Y$1)</f>
        <v>0</v>
      </c>
      <c r="Z58" s="207">
        <f>SUMIFS('июль 2023'!$G$4:$G$968,'июль 2023'!$D$4:$D$968,$B58,'июль 2023'!$J$4:$J$968,Z$1)</f>
        <v>0</v>
      </c>
      <c r="AA58" s="207">
        <f>SUMIFS('июль 2023'!$G$4:$G$968,'июль 2023'!$D$4:$D$968,$B58,'июль 2023'!$J$4:$J$968,AA$1)</f>
        <v>0</v>
      </c>
      <c r="AB58" s="207">
        <f>SUMIFS('июль 2023'!$G$4:$G$968,'июль 2023'!$D$4:$D$968,$B58,'июль 2023'!$J$4:$J$968,AB$1)</f>
        <v>0</v>
      </c>
      <c r="AC58" s="207">
        <f>SUMIFS('июль 2023'!$G$4:$G$968,'июль 2023'!$D$4:$D$968,$B58,'июль 2023'!$J$4:$J$968,AC$1)</f>
        <v>0</v>
      </c>
      <c r="AD58" s="207">
        <f>SUMIFS('июль 2023'!$G$4:$G$968,'июль 2023'!$D$4:$D$968,$B58,'июль 2023'!$J$4:$J$968,AD$1)</f>
        <v>0</v>
      </c>
      <c r="AE58" s="207">
        <f>SUMIFS('июль 2023'!$G$4:$G$968,'июль 2023'!$D$4:$D$968,$B58,'июль 2023'!$J$4:$J$968,AE$1)</f>
        <v>0</v>
      </c>
      <c r="AF58" s="207">
        <f>SUMIFS('июль 2023'!$G$4:$G$968,'июль 2023'!$D$4:$D$968,$B58,'июль 2023'!$J$4:$J$968,AF$1)</f>
        <v>0</v>
      </c>
      <c r="AG58" s="207">
        <f>SUMIFS('июль 2023'!$G$4:$G$968,'июль 2023'!$D$4:$D$968,$B58,'июль 2023'!$J$4:$J$968,AG$1)</f>
        <v>0</v>
      </c>
      <c r="AH58" s="207">
        <f>SUMIFS('июль 2023'!$G$4:$G$968,'июль 2023'!$D$4:$D$968,$B58,'июль 2023'!$J$4:$J$968,AH$1)</f>
        <v>0</v>
      </c>
      <c r="AI58" s="170">
        <f t="shared" si="1"/>
        <v>0</v>
      </c>
    </row>
    <row r="59" spans="2:35" ht="15" customHeight="1" x14ac:dyDescent="0.25">
      <c r="B59" s="216" t="s">
        <v>66</v>
      </c>
      <c r="C59" s="213">
        <v>200</v>
      </c>
      <c r="D59" s="207">
        <f>SUMIFS('июль 2023'!$G$4:$G$968,'июль 2023'!$D$4:$D$968,$B59,'июль 2023'!$J$4:$J$968,D$1)</f>
        <v>0</v>
      </c>
      <c r="E59" s="207">
        <f>SUMIFS('июль 2023'!$G$4:$G$968,'июль 2023'!$D$4:$D$968,$B59,'июль 2023'!$J$4:$J$968,E$1)</f>
        <v>0</v>
      </c>
      <c r="F59" s="207">
        <f>SUMIFS('июль 2023'!$G$4:$G$968,'июль 2023'!$D$4:$D$968,$B59,'июль 2023'!$J$4:$J$968,F$1)</f>
        <v>0</v>
      </c>
      <c r="G59" s="207">
        <f>SUMIFS('июль 2023'!$G$4:$G$968,'июль 2023'!$D$4:$D$968,$B59,'июль 2023'!$J$4:$J$968,G$1)</f>
        <v>0</v>
      </c>
      <c r="H59" s="207">
        <f>SUMIFS('июль 2023'!$G$4:$G$968,'июль 2023'!$D$4:$D$968,$B59,'июль 2023'!$J$4:$J$968,H$1)</f>
        <v>0</v>
      </c>
      <c r="I59" s="207">
        <f>SUMIFS('июль 2023'!$G$4:$G$968,'июль 2023'!$D$4:$D$968,$B59,'июль 2023'!$J$4:$J$968,I$1)</f>
        <v>0</v>
      </c>
      <c r="J59" s="207">
        <f>SUMIFS('июль 2023'!$G$4:$G$968,'июль 2023'!$D$4:$D$968,$B59,'июль 2023'!$J$4:$J$968,J$1)</f>
        <v>0</v>
      </c>
      <c r="K59" s="207">
        <f>SUMIFS('июль 2023'!$G$4:$G$968,'июль 2023'!$D$4:$D$968,$B59,'июль 2023'!$J$4:$J$968,K$1)</f>
        <v>0</v>
      </c>
      <c r="L59" s="207">
        <f>SUMIFS('июль 2023'!$G$4:$G$968,'июль 2023'!$D$4:$D$968,$B59,'июль 2023'!$J$4:$J$968,L$1)</f>
        <v>0</v>
      </c>
      <c r="M59" s="207">
        <f>SUMIFS('июль 2023'!$G$4:$G$968,'июль 2023'!$D$4:$D$968,$B59,'июль 2023'!$J$4:$J$968,M$1)</f>
        <v>0</v>
      </c>
      <c r="N59" s="207">
        <f>SUMIFS('июль 2023'!$G$4:$G$968,'июль 2023'!$D$4:$D$968,$B59,'июль 2023'!$J$4:$J$968,N$1)</f>
        <v>0</v>
      </c>
      <c r="O59" s="207">
        <f>SUMIFS('июль 2023'!$G$4:$G$968,'июль 2023'!$D$4:$D$968,$B59,'июль 2023'!$J$4:$J$968,O$1)</f>
        <v>0</v>
      </c>
      <c r="P59" s="207">
        <f>SUMIFS('июль 2023'!$G$4:$G$968,'июль 2023'!$D$4:$D$968,$B59,'июль 2023'!$J$4:$J$968,P$1)</f>
        <v>88</v>
      </c>
      <c r="Q59" s="207">
        <f>SUMIFS('июль 2023'!$G$4:$G$968,'июль 2023'!$D$4:$D$968,$B59,'июль 2023'!$J$4:$J$968,Q$1)</f>
        <v>0</v>
      </c>
      <c r="R59" s="207">
        <f>SUMIFS('июль 2023'!$G$4:$G$968,'июль 2023'!$D$4:$D$968,$B59,'июль 2023'!$J$4:$J$968,R$1)</f>
        <v>0</v>
      </c>
      <c r="S59" s="207">
        <f>SUMIFS('июль 2023'!$G$4:$G$968,'июль 2023'!$D$4:$D$968,$B59,'июль 2023'!$J$4:$J$968,S$1)</f>
        <v>0</v>
      </c>
      <c r="T59" s="207">
        <f>SUMIFS('июль 2023'!$G$4:$G$968,'июль 2023'!$D$4:$D$968,$B59,'июль 2023'!$J$4:$J$968,T$1)</f>
        <v>0</v>
      </c>
      <c r="U59" s="207">
        <f>SUMIFS('июль 2023'!$G$4:$G$968,'июль 2023'!$D$4:$D$968,$B59,'июль 2023'!$J$4:$J$968,U$1)</f>
        <v>2</v>
      </c>
      <c r="V59" s="207">
        <f>SUMIFS('июль 2023'!$G$4:$G$968,'июль 2023'!$D$4:$D$968,$B59,'июль 2023'!$J$4:$J$968,V$1)</f>
        <v>1</v>
      </c>
      <c r="W59" s="207">
        <f>SUMIFS('июль 2023'!$G$4:$G$968,'июль 2023'!$D$4:$D$968,$B59,'июль 2023'!$J$4:$J$968,W$1)</f>
        <v>0</v>
      </c>
      <c r="X59" s="207">
        <f>SUMIFS('июль 2023'!$G$4:$G$968,'июль 2023'!$D$4:$D$968,$B59,'июль 2023'!$J$4:$J$968,X$1)</f>
        <v>0</v>
      </c>
      <c r="Y59" s="207">
        <f>SUMIFS('июль 2023'!$G$4:$G$968,'июль 2023'!$D$4:$D$968,$B59,'июль 2023'!$J$4:$J$968,Y$1)</f>
        <v>0</v>
      </c>
      <c r="Z59" s="207">
        <f>SUMIFS('июль 2023'!$G$4:$G$968,'июль 2023'!$D$4:$D$968,$B59,'июль 2023'!$J$4:$J$968,Z$1)</f>
        <v>0</v>
      </c>
      <c r="AA59" s="207">
        <f>SUMIFS('июль 2023'!$G$4:$G$968,'июль 2023'!$D$4:$D$968,$B59,'июль 2023'!$J$4:$J$968,AA$1)</f>
        <v>0</v>
      </c>
      <c r="AB59" s="207">
        <f>SUMIFS('июль 2023'!$G$4:$G$968,'июль 2023'!$D$4:$D$968,$B59,'июль 2023'!$J$4:$J$968,AB$1)</f>
        <v>0</v>
      </c>
      <c r="AC59" s="207">
        <f>SUMIFS('июль 2023'!$G$4:$G$968,'июль 2023'!$D$4:$D$968,$B59,'июль 2023'!$J$4:$J$968,AC$1)</f>
        <v>0</v>
      </c>
      <c r="AD59" s="207">
        <f>SUMIFS('июль 2023'!$G$4:$G$968,'июль 2023'!$D$4:$D$968,$B59,'июль 2023'!$J$4:$J$968,AD$1)</f>
        <v>0</v>
      </c>
      <c r="AE59" s="207">
        <f>SUMIFS('июль 2023'!$G$4:$G$968,'июль 2023'!$D$4:$D$968,$B59,'июль 2023'!$J$4:$J$968,AE$1)</f>
        <v>0</v>
      </c>
      <c r="AF59" s="207">
        <f>SUMIFS('июль 2023'!$G$4:$G$968,'июль 2023'!$D$4:$D$968,$B59,'июль 2023'!$J$4:$J$968,AF$1)</f>
        <v>0</v>
      </c>
      <c r="AG59" s="207">
        <f>SUMIFS('июль 2023'!$G$4:$G$968,'июль 2023'!$D$4:$D$968,$B59,'июль 2023'!$J$4:$J$968,AG$1)</f>
        <v>0</v>
      </c>
      <c r="AH59" s="207">
        <f>SUMIFS('июль 2023'!$G$4:$G$968,'июль 2023'!$D$4:$D$968,$B59,'июль 2023'!$J$4:$J$968,AH$1)</f>
        <v>0</v>
      </c>
      <c r="AI59" s="170">
        <f t="shared" si="1"/>
        <v>91</v>
      </c>
    </row>
    <row r="60" spans="2:35" ht="15" customHeight="1" x14ac:dyDescent="0.25">
      <c r="B60" s="216" t="s">
        <v>38</v>
      </c>
      <c r="C60" s="213">
        <v>200</v>
      </c>
      <c r="D60" s="207">
        <f>SUMIFS('июль 2023'!$G$4:$G$968,'июль 2023'!$D$4:$D$968,$B60,'июль 2023'!$J$4:$J$968,D$1)</f>
        <v>0</v>
      </c>
      <c r="E60" s="207">
        <f>SUMIFS('июль 2023'!$G$4:$G$968,'июль 2023'!$D$4:$D$968,$B60,'июль 2023'!$J$4:$J$968,E$1)</f>
        <v>0</v>
      </c>
      <c r="F60" s="207">
        <f>SUMIFS('июль 2023'!$G$4:$G$968,'июль 2023'!$D$4:$D$968,$B60,'июль 2023'!$J$4:$J$968,F$1)</f>
        <v>0</v>
      </c>
      <c r="G60" s="207">
        <f>SUMIFS('июль 2023'!$G$4:$G$968,'июль 2023'!$D$4:$D$968,$B60,'июль 2023'!$J$4:$J$968,G$1)</f>
        <v>0</v>
      </c>
      <c r="H60" s="207">
        <f>SUMIFS('июль 2023'!$G$4:$G$968,'июль 2023'!$D$4:$D$968,$B60,'июль 2023'!$J$4:$J$968,H$1)</f>
        <v>0</v>
      </c>
      <c r="I60" s="207">
        <f>SUMIFS('июль 2023'!$G$4:$G$968,'июль 2023'!$D$4:$D$968,$B60,'июль 2023'!$J$4:$J$968,I$1)</f>
        <v>0</v>
      </c>
      <c r="J60" s="207">
        <f>SUMIFS('июль 2023'!$G$4:$G$968,'июль 2023'!$D$4:$D$968,$B60,'июль 2023'!$J$4:$J$968,J$1)</f>
        <v>0</v>
      </c>
      <c r="K60" s="207">
        <f>SUMIFS('июль 2023'!$G$4:$G$968,'июль 2023'!$D$4:$D$968,$B60,'июль 2023'!$J$4:$J$968,K$1)</f>
        <v>0</v>
      </c>
      <c r="L60" s="207">
        <f>SUMIFS('июль 2023'!$G$4:$G$968,'июль 2023'!$D$4:$D$968,$B60,'июль 2023'!$J$4:$J$968,L$1)</f>
        <v>0</v>
      </c>
      <c r="M60" s="207">
        <f>SUMIFS('июль 2023'!$G$4:$G$968,'июль 2023'!$D$4:$D$968,$B60,'июль 2023'!$J$4:$J$968,M$1)</f>
        <v>0</v>
      </c>
      <c r="N60" s="207">
        <f>SUMIFS('июль 2023'!$G$4:$G$968,'июль 2023'!$D$4:$D$968,$B60,'июль 2023'!$J$4:$J$968,N$1)</f>
        <v>0</v>
      </c>
      <c r="O60" s="207">
        <f>SUMIFS('июль 2023'!$G$4:$G$968,'июль 2023'!$D$4:$D$968,$B60,'июль 2023'!$J$4:$J$968,O$1)</f>
        <v>0</v>
      </c>
      <c r="P60" s="207">
        <f>SUMIFS('июль 2023'!$G$4:$G$968,'июль 2023'!$D$4:$D$968,$B60,'июль 2023'!$J$4:$J$968,P$1)</f>
        <v>0</v>
      </c>
      <c r="Q60" s="207">
        <f>SUMIFS('июль 2023'!$G$4:$G$968,'июль 2023'!$D$4:$D$968,$B60,'июль 2023'!$J$4:$J$968,Q$1)</f>
        <v>0</v>
      </c>
      <c r="R60" s="207">
        <f>SUMIFS('июль 2023'!$G$4:$G$968,'июль 2023'!$D$4:$D$968,$B60,'июль 2023'!$J$4:$J$968,R$1)</f>
        <v>0</v>
      </c>
      <c r="S60" s="207">
        <f>SUMIFS('июль 2023'!$G$4:$G$968,'июль 2023'!$D$4:$D$968,$B60,'июль 2023'!$J$4:$J$968,S$1)</f>
        <v>0</v>
      </c>
      <c r="T60" s="207">
        <f>SUMIFS('июль 2023'!$G$4:$G$968,'июль 2023'!$D$4:$D$968,$B60,'июль 2023'!$J$4:$J$968,T$1)</f>
        <v>0</v>
      </c>
      <c r="U60" s="207">
        <f>SUMIFS('июль 2023'!$G$4:$G$968,'июль 2023'!$D$4:$D$968,$B60,'июль 2023'!$J$4:$J$968,U$1)</f>
        <v>0</v>
      </c>
      <c r="V60" s="207">
        <f>SUMIFS('июль 2023'!$G$4:$G$968,'июль 2023'!$D$4:$D$968,$B60,'июль 2023'!$J$4:$J$968,V$1)</f>
        <v>0</v>
      </c>
      <c r="W60" s="207">
        <f>SUMIFS('июль 2023'!$G$4:$G$968,'июль 2023'!$D$4:$D$968,$B60,'июль 2023'!$J$4:$J$968,W$1)</f>
        <v>0</v>
      </c>
      <c r="X60" s="207">
        <f>SUMIFS('июль 2023'!$G$4:$G$968,'июль 2023'!$D$4:$D$968,$B60,'июль 2023'!$J$4:$J$968,X$1)</f>
        <v>0</v>
      </c>
      <c r="Y60" s="207">
        <f>SUMIFS('июль 2023'!$G$4:$G$968,'июль 2023'!$D$4:$D$968,$B60,'июль 2023'!$J$4:$J$968,Y$1)</f>
        <v>0</v>
      </c>
      <c r="Z60" s="207">
        <f>SUMIFS('июль 2023'!$G$4:$G$968,'июль 2023'!$D$4:$D$968,$B60,'июль 2023'!$J$4:$J$968,Z$1)</f>
        <v>0</v>
      </c>
      <c r="AA60" s="207">
        <f>SUMIFS('июль 2023'!$G$4:$G$968,'июль 2023'!$D$4:$D$968,$B60,'июль 2023'!$J$4:$J$968,AA$1)</f>
        <v>0</v>
      </c>
      <c r="AB60" s="207">
        <f>SUMIFS('июль 2023'!$G$4:$G$968,'июль 2023'!$D$4:$D$968,$B60,'июль 2023'!$J$4:$J$968,AB$1)</f>
        <v>0</v>
      </c>
      <c r="AC60" s="207">
        <f>SUMIFS('июль 2023'!$G$4:$G$968,'июль 2023'!$D$4:$D$968,$B60,'июль 2023'!$J$4:$J$968,AC$1)</f>
        <v>0</v>
      </c>
      <c r="AD60" s="207">
        <f>SUMIFS('июль 2023'!$G$4:$G$968,'июль 2023'!$D$4:$D$968,$B60,'июль 2023'!$J$4:$J$968,AD$1)</f>
        <v>0</v>
      </c>
      <c r="AE60" s="207">
        <f>SUMIFS('июль 2023'!$G$4:$G$968,'июль 2023'!$D$4:$D$968,$B60,'июль 2023'!$J$4:$J$968,AE$1)</f>
        <v>0</v>
      </c>
      <c r="AF60" s="207">
        <f>SUMIFS('июль 2023'!$G$4:$G$968,'июль 2023'!$D$4:$D$968,$B60,'июль 2023'!$J$4:$J$968,AF$1)</f>
        <v>0</v>
      </c>
      <c r="AG60" s="207">
        <f>SUMIFS('июль 2023'!$G$4:$G$968,'июль 2023'!$D$4:$D$968,$B60,'июль 2023'!$J$4:$J$968,AG$1)</f>
        <v>0</v>
      </c>
      <c r="AH60" s="207">
        <f>SUMIFS('июль 2023'!$G$4:$G$968,'июль 2023'!$D$4:$D$968,$B60,'июль 2023'!$J$4:$J$968,AH$1)</f>
        <v>0</v>
      </c>
      <c r="AI60" s="170">
        <f t="shared" si="1"/>
        <v>0</v>
      </c>
    </row>
    <row r="61" spans="2:35" ht="15.75" x14ac:dyDescent="0.25">
      <c r="B61" s="212" t="s">
        <v>474</v>
      </c>
      <c r="C61" s="211">
        <v>180</v>
      </c>
      <c r="D61" s="207">
        <f>SUMIFS('июль 2023'!$G$4:$G$968,'июль 2023'!$D$4:$D$968,$B61,'июль 2023'!$J$4:$J$968,D$1)</f>
        <v>0</v>
      </c>
      <c r="E61" s="207">
        <f>SUMIFS('июль 2023'!$G$4:$G$968,'июль 2023'!$D$4:$D$968,$B61,'июль 2023'!$J$4:$J$968,E$1)</f>
        <v>0</v>
      </c>
      <c r="F61" s="207">
        <f>SUMIFS('июль 2023'!$G$4:$G$968,'июль 2023'!$D$4:$D$968,$B61,'июль 2023'!$J$4:$J$968,F$1)</f>
        <v>0</v>
      </c>
      <c r="G61" s="207">
        <f>SUMIFS('июль 2023'!$G$4:$G$968,'июль 2023'!$D$4:$D$968,$B61,'июль 2023'!$J$4:$J$968,G$1)</f>
        <v>0</v>
      </c>
      <c r="H61" s="207">
        <f>SUMIFS('июль 2023'!$G$4:$G$968,'июль 2023'!$D$4:$D$968,$B61,'июль 2023'!$J$4:$J$968,H$1)</f>
        <v>0</v>
      </c>
      <c r="I61" s="207">
        <f>SUMIFS('июль 2023'!$G$4:$G$968,'июль 2023'!$D$4:$D$968,$B61,'июль 2023'!$J$4:$J$968,I$1)</f>
        <v>0</v>
      </c>
      <c r="J61" s="207">
        <f>SUMIFS('июль 2023'!$G$4:$G$968,'июль 2023'!$D$4:$D$968,$B61,'июль 2023'!$J$4:$J$968,J$1)</f>
        <v>0</v>
      </c>
      <c r="K61" s="207">
        <f>SUMIFS('июль 2023'!$G$4:$G$968,'июль 2023'!$D$4:$D$968,$B61,'июль 2023'!$J$4:$J$968,K$1)</f>
        <v>0</v>
      </c>
      <c r="L61" s="207">
        <f>SUMIFS('июль 2023'!$G$4:$G$968,'июль 2023'!$D$4:$D$968,$B61,'июль 2023'!$J$4:$J$968,L$1)</f>
        <v>0</v>
      </c>
      <c r="M61" s="207">
        <f>SUMIFS('июль 2023'!$G$4:$G$968,'июль 2023'!$D$4:$D$968,$B61,'июль 2023'!$J$4:$J$968,M$1)</f>
        <v>0</v>
      </c>
      <c r="N61" s="207">
        <f>SUMIFS('июль 2023'!$G$4:$G$968,'июль 2023'!$D$4:$D$968,$B61,'июль 2023'!$J$4:$J$968,N$1)</f>
        <v>0</v>
      </c>
      <c r="O61" s="207">
        <f>SUMIFS('июль 2023'!$G$4:$G$968,'июль 2023'!$D$4:$D$968,$B61,'июль 2023'!$J$4:$J$968,O$1)</f>
        <v>0</v>
      </c>
      <c r="P61" s="207">
        <f>SUMIFS('июль 2023'!$G$4:$G$968,'июль 2023'!$D$4:$D$968,$B61,'июль 2023'!$J$4:$J$968,P$1)</f>
        <v>0</v>
      </c>
      <c r="Q61" s="207">
        <f>SUMIFS('июль 2023'!$G$4:$G$968,'июль 2023'!$D$4:$D$968,$B61,'июль 2023'!$J$4:$J$968,Q$1)</f>
        <v>0</v>
      </c>
      <c r="R61" s="207">
        <f>SUMIFS('июль 2023'!$G$4:$G$968,'июль 2023'!$D$4:$D$968,$B61,'июль 2023'!$J$4:$J$968,R$1)</f>
        <v>0</v>
      </c>
      <c r="S61" s="207">
        <f>SUMIFS('июль 2023'!$G$4:$G$968,'июль 2023'!$D$4:$D$968,$B61,'июль 2023'!$J$4:$J$968,S$1)</f>
        <v>0</v>
      </c>
      <c r="T61" s="207">
        <f>SUMIFS('июль 2023'!$G$4:$G$968,'июль 2023'!$D$4:$D$968,$B61,'июль 2023'!$J$4:$J$968,T$1)</f>
        <v>0</v>
      </c>
      <c r="U61" s="207">
        <f>SUMIFS('июль 2023'!$G$4:$G$968,'июль 2023'!$D$4:$D$968,$B61,'июль 2023'!$J$4:$J$968,U$1)</f>
        <v>0</v>
      </c>
      <c r="V61" s="207">
        <f>SUMIFS('июль 2023'!$G$4:$G$968,'июль 2023'!$D$4:$D$968,$B61,'июль 2023'!$J$4:$J$968,V$1)</f>
        <v>0</v>
      </c>
      <c r="W61" s="207">
        <f>SUMIFS('июль 2023'!$G$4:$G$968,'июль 2023'!$D$4:$D$968,$B61,'июль 2023'!$J$4:$J$968,W$1)</f>
        <v>0</v>
      </c>
      <c r="X61" s="207">
        <f>SUMIFS('июль 2023'!$G$4:$G$968,'июль 2023'!$D$4:$D$968,$B61,'июль 2023'!$J$4:$J$968,X$1)</f>
        <v>0</v>
      </c>
      <c r="Y61" s="207">
        <f>SUMIFS('июль 2023'!$G$4:$G$968,'июль 2023'!$D$4:$D$968,$B61,'июль 2023'!$J$4:$J$968,Y$1)</f>
        <v>0</v>
      </c>
      <c r="Z61" s="207">
        <f>SUMIFS('июль 2023'!$G$4:$G$968,'июль 2023'!$D$4:$D$968,$B61,'июль 2023'!$J$4:$J$968,Z$1)</f>
        <v>0</v>
      </c>
      <c r="AA61" s="207">
        <f>SUMIFS('июль 2023'!$G$4:$G$968,'июль 2023'!$D$4:$D$968,$B61,'июль 2023'!$J$4:$J$968,AA$1)</f>
        <v>0</v>
      </c>
      <c r="AB61" s="207">
        <f>SUMIFS('июль 2023'!$G$4:$G$968,'июль 2023'!$D$4:$D$968,$B61,'июль 2023'!$J$4:$J$968,AB$1)</f>
        <v>0</v>
      </c>
      <c r="AC61" s="207">
        <f>SUMIFS('июль 2023'!$G$4:$G$968,'июль 2023'!$D$4:$D$968,$B61,'июль 2023'!$J$4:$J$968,AC$1)</f>
        <v>0</v>
      </c>
      <c r="AD61" s="207">
        <f>SUMIFS('июль 2023'!$G$4:$G$968,'июль 2023'!$D$4:$D$968,$B61,'июль 2023'!$J$4:$J$968,AD$1)</f>
        <v>0</v>
      </c>
      <c r="AE61" s="207">
        <f>SUMIFS('июль 2023'!$G$4:$G$968,'июль 2023'!$D$4:$D$968,$B61,'июль 2023'!$J$4:$J$968,AE$1)</f>
        <v>0</v>
      </c>
      <c r="AF61" s="207">
        <f>SUMIFS('июль 2023'!$G$4:$G$968,'июль 2023'!$D$4:$D$968,$B61,'июль 2023'!$J$4:$J$968,AF$1)</f>
        <v>0</v>
      </c>
      <c r="AG61" s="207">
        <f>SUMIFS('июль 2023'!$G$4:$G$968,'июль 2023'!$D$4:$D$968,$B61,'июль 2023'!$J$4:$J$968,AG$1)</f>
        <v>0</v>
      </c>
      <c r="AH61" s="207">
        <f>SUMIFS('июль 2023'!$G$4:$G$968,'июль 2023'!$D$4:$D$968,$B61,'июль 2023'!$J$4:$J$968,AH$1)</f>
        <v>0</v>
      </c>
      <c r="AI61" s="170">
        <f t="shared" si="1"/>
        <v>0</v>
      </c>
    </row>
    <row r="62" spans="2:35" ht="15.75" x14ac:dyDescent="0.25">
      <c r="B62" s="216" t="s">
        <v>649</v>
      </c>
      <c r="C62" s="213">
        <v>190</v>
      </c>
      <c r="D62" s="207">
        <f>SUMIFS('июль 2023'!$G$4:$G$968,'июль 2023'!$D$4:$D$968,$B62,'июль 2023'!$J$4:$J$968,D$1)</f>
        <v>0</v>
      </c>
      <c r="E62" s="207">
        <f>SUMIFS('июль 2023'!$G$4:$G$968,'июль 2023'!$D$4:$D$968,$B62,'июль 2023'!$J$4:$J$968,E$1)</f>
        <v>0</v>
      </c>
      <c r="F62" s="207">
        <f>SUMIFS('июль 2023'!$G$4:$G$968,'июль 2023'!$D$4:$D$968,$B62,'июль 2023'!$J$4:$J$968,F$1)</f>
        <v>0</v>
      </c>
      <c r="G62" s="207">
        <f>SUMIFS('июль 2023'!$G$4:$G$968,'июль 2023'!$D$4:$D$968,$B62,'июль 2023'!$J$4:$J$968,G$1)</f>
        <v>0</v>
      </c>
      <c r="H62" s="207">
        <f>SUMIFS('июль 2023'!$G$4:$G$968,'июль 2023'!$D$4:$D$968,$B62,'июль 2023'!$J$4:$J$968,H$1)</f>
        <v>0</v>
      </c>
      <c r="I62" s="207">
        <f>SUMIFS('июль 2023'!$G$4:$G$968,'июль 2023'!$D$4:$D$968,$B62,'июль 2023'!$J$4:$J$968,I$1)</f>
        <v>0</v>
      </c>
      <c r="J62" s="207">
        <f>SUMIFS('июль 2023'!$G$4:$G$968,'июль 2023'!$D$4:$D$968,$B62,'июль 2023'!$J$4:$J$968,J$1)</f>
        <v>0</v>
      </c>
      <c r="K62" s="207">
        <f>SUMIFS('июль 2023'!$G$4:$G$968,'июль 2023'!$D$4:$D$968,$B62,'июль 2023'!$J$4:$J$968,K$1)</f>
        <v>0</v>
      </c>
      <c r="L62" s="207">
        <f>SUMIFS('июль 2023'!$G$4:$G$968,'июль 2023'!$D$4:$D$968,$B62,'июль 2023'!$J$4:$J$968,L$1)</f>
        <v>0</v>
      </c>
      <c r="M62" s="207">
        <f>SUMIFS('июль 2023'!$G$4:$G$968,'июль 2023'!$D$4:$D$968,$B62,'июль 2023'!$J$4:$J$968,M$1)</f>
        <v>0</v>
      </c>
      <c r="N62" s="207">
        <f>SUMIFS('июль 2023'!$G$4:$G$968,'июль 2023'!$D$4:$D$968,$B62,'июль 2023'!$J$4:$J$968,N$1)</f>
        <v>52</v>
      </c>
      <c r="O62" s="207">
        <f>SUMIFS('июль 2023'!$G$4:$G$968,'июль 2023'!$D$4:$D$968,$B62,'июль 2023'!$J$4:$J$968,O$1)</f>
        <v>0</v>
      </c>
      <c r="P62" s="207">
        <f>SUMIFS('июль 2023'!$G$4:$G$968,'июль 2023'!$D$4:$D$968,$B62,'июль 2023'!$J$4:$J$968,P$1)</f>
        <v>0</v>
      </c>
      <c r="Q62" s="207">
        <f>SUMIFS('июль 2023'!$G$4:$G$968,'июль 2023'!$D$4:$D$968,$B62,'июль 2023'!$J$4:$J$968,Q$1)</f>
        <v>0</v>
      </c>
      <c r="R62" s="207">
        <f>SUMIFS('июль 2023'!$G$4:$G$968,'июль 2023'!$D$4:$D$968,$B62,'июль 2023'!$J$4:$J$968,R$1)</f>
        <v>0</v>
      </c>
      <c r="S62" s="207">
        <f>SUMIFS('июль 2023'!$G$4:$G$968,'июль 2023'!$D$4:$D$968,$B62,'июль 2023'!$J$4:$J$968,S$1)</f>
        <v>0</v>
      </c>
      <c r="T62" s="207">
        <f>SUMIFS('июль 2023'!$G$4:$G$968,'июль 2023'!$D$4:$D$968,$B62,'июль 2023'!$J$4:$J$968,T$1)</f>
        <v>0</v>
      </c>
      <c r="U62" s="207">
        <f>SUMIFS('июль 2023'!$G$4:$G$968,'июль 2023'!$D$4:$D$968,$B62,'июль 2023'!$J$4:$J$968,U$1)</f>
        <v>0</v>
      </c>
      <c r="V62" s="207">
        <f>SUMIFS('июль 2023'!$G$4:$G$968,'июль 2023'!$D$4:$D$968,$B62,'июль 2023'!$J$4:$J$968,V$1)</f>
        <v>0</v>
      </c>
      <c r="W62" s="207">
        <f>SUMIFS('июль 2023'!$G$4:$G$968,'июль 2023'!$D$4:$D$968,$B62,'июль 2023'!$J$4:$J$968,W$1)</f>
        <v>0</v>
      </c>
      <c r="X62" s="207">
        <f>SUMIFS('июль 2023'!$G$4:$G$968,'июль 2023'!$D$4:$D$968,$B62,'июль 2023'!$J$4:$J$968,X$1)</f>
        <v>0</v>
      </c>
      <c r="Y62" s="207">
        <f>SUMIFS('июль 2023'!$G$4:$G$968,'июль 2023'!$D$4:$D$968,$B62,'июль 2023'!$J$4:$J$968,Y$1)</f>
        <v>0</v>
      </c>
      <c r="Z62" s="207">
        <f>SUMIFS('июль 2023'!$G$4:$G$968,'июль 2023'!$D$4:$D$968,$B62,'июль 2023'!$J$4:$J$968,Z$1)</f>
        <v>0</v>
      </c>
      <c r="AA62" s="207">
        <f>SUMIFS('июль 2023'!$G$4:$G$968,'июль 2023'!$D$4:$D$968,$B62,'июль 2023'!$J$4:$J$968,AA$1)</f>
        <v>0</v>
      </c>
      <c r="AB62" s="207">
        <f>SUMIFS('июль 2023'!$G$4:$G$968,'июль 2023'!$D$4:$D$968,$B62,'июль 2023'!$J$4:$J$968,AB$1)</f>
        <v>0</v>
      </c>
      <c r="AC62" s="207">
        <f>SUMIFS('июль 2023'!$G$4:$G$968,'июль 2023'!$D$4:$D$968,$B62,'июль 2023'!$J$4:$J$968,AC$1)</f>
        <v>0</v>
      </c>
      <c r="AD62" s="207">
        <f>SUMIFS('июль 2023'!$G$4:$G$968,'июль 2023'!$D$4:$D$968,$B62,'июль 2023'!$J$4:$J$968,AD$1)</f>
        <v>0</v>
      </c>
      <c r="AE62" s="207">
        <f>SUMIFS('июль 2023'!$G$4:$G$968,'июль 2023'!$D$4:$D$968,$B62,'июль 2023'!$J$4:$J$968,AE$1)</f>
        <v>0</v>
      </c>
      <c r="AF62" s="207">
        <f>SUMIFS('июль 2023'!$G$4:$G$968,'июль 2023'!$D$4:$D$968,$B62,'июль 2023'!$J$4:$J$968,AF$1)</f>
        <v>0</v>
      </c>
      <c r="AG62" s="207">
        <f>SUMIFS('июль 2023'!$G$4:$G$968,'июль 2023'!$D$4:$D$968,$B62,'июль 2023'!$J$4:$J$968,AG$1)</f>
        <v>0</v>
      </c>
      <c r="AH62" s="207">
        <f>SUMIFS('июль 2023'!$G$4:$G$968,'июль 2023'!$D$4:$D$968,$B62,'июль 2023'!$J$4:$J$968,AH$1)</f>
        <v>0</v>
      </c>
      <c r="AI62" s="170">
        <f t="shared" si="1"/>
        <v>52</v>
      </c>
    </row>
    <row r="63" spans="2:35" ht="15" customHeight="1" x14ac:dyDescent="0.25">
      <c r="B63" s="216" t="s">
        <v>1449</v>
      </c>
      <c r="C63" s="213">
        <v>190</v>
      </c>
      <c r="D63" s="207">
        <f>SUMIFS('июль 2023'!$G$4:$G$968,'июль 2023'!$D$4:$D$968,$B63,'июль 2023'!$J$4:$J$968,D$1)</f>
        <v>0</v>
      </c>
      <c r="E63" s="207">
        <f>SUMIFS('июль 2023'!$G$4:$G$968,'июль 2023'!$D$4:$D$968,$B63,'июль 2023'!$J$4:$J$968,E$1)</f>
        <v>0</v>
      </c>
      <c r="F63" s="207">
        <f>SUMIFS('июль 2023'!$G$4:$G$968,'июль 2023'!$D$4:$D$968,$B63,'июль 2023'!$J$4:$J$968,F$1)</f>
        <v>0</v>
      </c>
      <c r="G63" s="207">
        <f>SUMIFS('июль 2023'!$G$4:$G$968,'июль 2023'!$D$4:$D$968,$B63,'июль 2023'!$J$4:$J$968,G$1)</f>
        <v>0</v>
      </c>
      <c r="H63" s="207">
        <f>SUMIFS('июль 2023'!$G$4:$G$968,'июль 2023'!$D$4:$D$968,$B63,'июль 2023'!$J$4:$J$968,H$1)</f>
        <v>0</v>
      </c>
      <c r="I63" s="207">
        <f>SUMIFS('июль 2023'!$G$4:$G$968,'июль 2023'!$D$4:$D$968,$B63,'июль 2023'!$J$4:$J$968,I$1)</f>
        <v>0</v>
      </c>
      <c r="J63" s="207">
        <f>SUMIFS('июль 2023'!$G$4:$G$968,'июль 2023'!$D$4:$D$968,$B63,'июль 2023'!$J$4:$J$968,J$1)</f>
        <v>0</v>
      </c>
      <c r="K63" s="207">
        <f>SUMIFS('июль 2023'!$G$4:$G$968,'июль 2023'!$D$4:$D$968,$B63,'июль 2023'!$J$4:$J$968,K$1)</f>
        <v>0</v>
      </c>
      <c r="L63" s="207">
        <f>SUMIFS('июль 2023'!$G$4:$G$968,'июль 2023'!$D$4:$D$968,$B63,'июль 2023'!$J$4:$J$968,L$1)</f>
        <v>0</v>
      </c>
      <c r="M63" s="207">
        <f>SUMIFS('июль 2023'!$G$4:$G$968,'июль 2023'!$D$4:$D$968,$B63,'июль 2023'!$J$4:$J$968,M$1)</f>
        <v>0</v>
      </c>
      <c r="N63" s="207">
        <f>SUMIFS('июль 2023'!$G$4:$G$968,'июль 2023'!$D$4:$D$968,$B63,'июль 2023'!$J$4:$J$968,N$1)</f>
        <v>0</v>
      </c>
      <c r="O63" s="207">
        <f>SUMIFS('июль 2023'!$G$4:$G$968,'июль 2023'!$D$4:$D$968,$B63,'июль 2023'!$J$4:$J$968,O$1)</f>
        <v>0</v>
      </c>
      <c r="P63" s="207">
        <f>SUMIFS('июль 2023'!$G$4:$G$968,'июль 2023'!$D$4:$D$968,$B63,'июль 2023'!$J$4:$J$968,P$1)</f>
        <v>0</v>
      </c>
      <c r="Q63" s="207">
        <f>SUMIFS('июль 2023'!$G$4:$G$968,'июль 2023'!$D$4:$D$968,$B63,'июль 2023'!$J$4:$J$968,Q$1)</f>
        <v>0</v>
      </c>
      <c r="R63" s="207">
        <f>SUMIFS('июль 2023'!$G$4:$G$968,'июль 2023'!$D$4:$D$968,$B63,'июль 2023'!$J$4:$J$968,R$1)</f>
        <v>0</v>
      </c>
      <c r="S63" s="207">
        <f>SUMIFS('июль 2023'!$G$4:$G$968,'июль 2023'!$D$4:$D$968,$B63,'июль 2023'!$J$4:$J$968,S$1)</f>
        <v>0</v>
      </c>
      <c r="T63" s="207">
        <f>SUMIFS('июль 2023'!$G$4:$G$968,'июль 2023'!$D$4:$D$968,$B63,'июль 2023'!$J$4:$J$968,T$1)</f>
        <v>0</v>
      </c>
      <c r="U63" s="207">
        <f>SUMIFS('июль 2023'!$G$4:$G$968,'июль 2023'!$D$4:$D$968,$B63,'июль 2023'!$J$4:$J$968,U$1)</f>
        <v>0</v>
      </c>
      <c r="V63" s="207">
        <f>SUMIFS('июль 2023'!$G$4:$G$968,'июль 2023'!$D$4:$D$968,$B63,'июль 2023'!$J$4:$J$968,V$1)</f>
        <v>0</v>
      </c>
      <c r="W63" s="207">
        <f>SUMIFS('июль 2023'!$G$4:$G$968,'июль 2023'!$D$4:$D$968,$B63,'июль 2023'!$J$4:$J$968,W$1)</f>
        <v>0</v>
      </c>
      <c r="X63" s="207">
        <f>SUMIFS('июль 2023'!$G$4:$G$968,'июль 2023'!$D$4:$D$968,$B63,'июль 2023'!$J$4:$J$968,X$1)</f>
        <v>0</v>
      </c>
      <c r="Y63" s="207">
        <f>SUMIFS('июль 2023'!$G$4:$G$968,'июль 2023'!$D$4:$D$968,$B63,'июль 2023'!$J$4:$J$968,Y$1)</f>
        <v>0</v>
      </c>
      <c r="Z63" s="207">
        <f>SUMIFS('июль 2023'!$G$4:$G$968,'июль 2023'!$D$4:$D$968,$B63,'июль 2023'!$J$4:$J$968,Z$1)</f>
        <v>0</v>
      </c>
      <c r="AA63" s="207">
        <f>SUMIFS('июль 2023'!$G$4:$G$968,'июль 2023'!$D$4:$D$968,$B63,'июль 2023'!$J$4:$J$968,AA$1)</f>
        <v>0</v>
      </c>
      <c r="AB63" s="207">
        <f>SUMIFS('июль 2023'!$G$4:$G$968,'июль 2023'!$D$4:$D$968,$B63,'июль 2023'!$J$4:$J$968,AB$1)</f>
        <v>0</v>
      </c>
      <c r="AC63" s="207">
        <f>SUMIFS('июль 2023'!$G$4:$G$968,'июль 2023'!$D$4:$D$968,$B63,'июль 2023'!$J$4:$J$968,AC$1)</f>
        <v>0</v>
      </c>
      <c r="AD63" s="207">
        <f>SUMIFS('июль 2023'!$G$4:$G$968,'июль 2023'!$D$4:$D$968,$B63,'июль 2023'!$J$4:$J$968,AD$1)</f>
        <v>0</v>
      </c>
      <c r="AE63" s="207">
        <f>SUMIFS('июль 2023'!$G$4:$G$968,'июль 2023'!$D$4:$D$968,$B63,'июль 2023'!$J$4:$J$968,AE$1)</f>
        <v>0</v>
      </c>
      <c r="AF63" s="207">
        <f>SUMIFS('июль 2023'!$G$4:$G$968,'июль 2023'!$D$4:$D$968,$B63,'июль 2023'!$J$4:$J$968,AF$1)</f>
        <v>0</v>
      </c>
      <c r="AG63" s="207">
        <f>SUMIFS('июль 2023'!$G$4:$G$968,'июль 2023'!$D$4:$D$968,$B63,'июль 2023'!$J$4:$J$968,AG$1)</f>
        <v>0</v>
      </c>
      <c r="AH63" s="207">
        <f>SUMIFS('июль 2023'!$G$4:$G$968,'июль 2023'!$D$4:$D$968,$B63,'июль 2023'!$J$4:$J$968,AH$1)</f>
        <v>0</v>
      </c>
      <c r="AI63" s="170">
        <f t="shared" si="1"/>
        <v>0</v>
      </c>
    </row>
    <row r="64" spans="2:35" ht="15" customHeight="1" x14ac:dyDescent="0.25">
      <c r="B64" s="216" t="s">
        <v>702</v>
      </c>
      <c r="C64" s="213">
        <v>900</v>
      </c>
      <c r="D64" s="207">
        <f>SUMIFS('июль 2023'!$G$4:$G$968,'июль 2023'!$D$4:$D$968,$B64,'июль 2023'!$J$4:$J$968,D$1)</f>
        <v>0</v>
      </c>
      <c r="E64" s="207">
        <f>SUMIFS('июль 2023'!$G$4:$G$968,'июль 2023'!$D$4:$D$968,$B64,'июль 2023'!$J$4:$J$968,E$1)</f>
        <v>0</v>
      </c>
      <c r="F64" s="207">
        <f>SUMIFS('июль 2023'!$G$4:$G$968,'июль 2023'!$D$4:$D$968,$B64,'июль 2023'!$J$4:$J$968,F$1)</f>
        <v>0</v>
      </c>
      <c r="G64" s="207">
        <f>SUMIFS('июль 2023'!$G$4:$G$968,'июль 2023'!$D$4:$D$968,$B64,'июль 2023'!$J$4:$J$968,G$1)</f>
        <v>0</v>
      </c>
      <c r="H64" s="207">
        <f>SUMIFS('июль 2023'!$G$4:$G$968,'июль 2023'!$D$4:$D$968,$B64,'июль 2023'!$J$4:$J$968,H$1)</f>
        <v>0</v>
      </c>
      <c r="I64" s="207">
        <f>SUMIFS('июль 2023'!$G$4:$G$968,'июль 2023'!$D$4:$D$968,$B64,'июль 2023'!$J$4:$J$968,I$1)</f>
        <v>0</v>
      </c>
      <c r="J64" s="207">
        <f>SUMIFS('июль 2023'!$G$4:$G$968,'июль 2023'!$D$4:$D$968,$B64,'июль 2023'!$J$4:$J$968,J$1)</f>
        <v>0</v>
      </c>
      <c r="K64" s="207">
        <f>SUMIFS('июль 2023'!$G$4:$G$968,'июль 2023'!$D$4:$D$968,$B64,'июль 2023'!$J$4:$J$968,K$1)</f>
        <v>0</v>
      </c>
      <c r="L64" s="207">
        <f>SUMIFS('июль 2023'!$G$4:$G$968,'июль 2023'!$D$4:$D$968,$B64,'июль 2023'!$J$4:$J$968,L$1)</f>
        <v>0</v>
      </c>
      <c r="M64" s="207">
        <f>SUMIFS('июль 2023'!$G$4:$G$968,'июль 2023'!$D$4:$D$968,$B64,'июль 2023'!$J$4:$J$968,M$1)</f>
        <v>0</v>
      </c>
      <c r="N64" s="207">
        <f>SUMIFS('июль 2023'!$G$4:$G$968,'июль 2023'!$D$4:$D$968,$B64,'июль 2023'!$J$4:$J$968,N$1)</f>
        <v>0</v>
      </c>
      <c r="O64" s="207">
        <f>SUMIFS('июль 2023'!$G$4:$G$968,'июль 2023'!$D$4:$D$968,$B64,'июль 2023'!$J$4:$J$968,O$1)</f>
        <v>0</v>
      </c>
      <c r="P64" s="207">
        <f>SUMIFS('июль 2023'!$G$4:$G$968,'июль 2023'!$D$4:$D$968,$B64,'июль 2023'!$J$4:$J$968,P$1)</f>
        <v>0</v>
      </c>
      <c r="Q64" s="207">
        <f>SUMIFS('июль 2023'!$G$4:$G$968,'июль 2023'!$D$4:$D$968,$B64,'июль 2023'!$J$4:$J$968,Q$1)</f>
        <v>0</v>
      </c>
      <c r="R64" s="207">
        <f>SUMIFS('июль 2023'!$G$4:$G$968,'июль 2023'!$D$4:$D$968,$B64,'июль 2023'!$J$4:$J$968,R$1)</f>
        <v>0</v>
      </c>
      <c r="S64" s="207">
        <f>SUMIFS('июль 2023'!$G$4:$G$968,'июль 2023'!$D$4:$D$968,$B64,'июль 2023'!$J$4:$J$968,S$1)</f>
        <v>0</v>
      </c>
      <c r="T64" s="207">
        <f>SUMIFS('июль 2023'!$G$4:$G$968,'июль 2023'!$D$4:$D$968,$B64,'июль 2023'!$J$4:$J$968,T$1)</f>
        <v>0</v>
      </c>
      <c r="U64" s="207">
        <f>SUMIFS('июль 2023'!$G$4:$G$968,'июль 2023'!$D$4:$D$968,$B64,'июль 2023'!$J$4:$J$968,U$1)</f>
        <v>0</v>
      </c>
      <c r="V64" s="207">
        <f>SUMIFS('июль 2023'!$G$4:$G$968,'июль 2023'!$D$4:$D$968,$B64,'июль 2023'!$J$4:$J$968,V$1)</f>
        <v>0</v>
      </c>
      <c r="W64" s="207">
        <f>SUMIFS('июль 2023'!$G$4:$G$968,'июль 2023'!$D$4:$D$968,$B64,'июль 2023'!$J$4:$J$968,W$1)</f>
        <v>0</v>
      </c>
      <c r="X64" s="207">
        <f>SUMIFS('июль 2023'!$G$4:$G$968,'июль 2023'!$D$4:$D$968,$B64,'июль 2023'!$J$4:$J$968,X$1)</f>
        <v>0</v>
      </c>
      <c r="Y64" s="207">
        <f>SUMIFS('июль 2023'!$G$4:$G$968,'июль 2023'!$D$4:$D$968,$B64,'июль 2023'!$J$4:$J$968,Y$1)</f>
        <v>0</v>
      </c>
      <c r="Z64" s="207">
        <f>SUMIFS('июль 2023'!$G$4:$G$968,'июль 2023'!$D$4:$D$968,$B64,'июль 2023'!$J$4:$J$968,Z$1)</f>
        <v>0</v>
      </c>
      <c r="AA64" s="207">
        <f>SUMIFS('июль 2023'!$G$4:$G$968,'июль 2023'!$D$4:$D$968,$B64,'июль 2023'!$J$4:$J$968,AA$1)</f>
        <v>0</v>
      </c>
      <c r="AB64" s="207">
        <f>SUMIFS('июль 2023'!$G$4:$G$968,'июль 2023'!$D$4:$D$968,$B64,'июль 2023'!$J$4:$J$968,AB$1)</f>
        <v>0</v>
      </c>
      <c r="AC64" s="207">
        <f>SUMIFS('июль 2023'!$G$4:$G$968,'июль 2023'!$D$4:$D$968,$B64,'июль 2023'!$J$4:$J$968,AC$1)</f>
        <v>0</v>
      </c>
      <c r="AD64" s="207">
        <f>SUMIFS('июль 2023'!$G$4:$G$968,'июль 2023'!$D$4:$D$968,$B64,'июль 2023'!$J$4:$J$968,AD$1)</f>
        <v>0</v>
      </c>
      <c r="AE64" s="207">
        <f>SUMIFS('июль 2023'!$G$4:$G$968,'июль 2023'!$D$4:$D$968,$B64,'июль 2023'!$J$4:$J$968,AE$1)</f>
        <v>0</v>
      </c>
      <c r="AF64" s="207">
        <f>SUMIFS('июль 2023'!$G$4:$G$968,'июль 2023'!$D$4:$D$968,$B64,'июль 2023'!$J$4:$J$968,AF$1)</f>
        <v>0</v>
      </c>
      <c r="AG64" s="207">
        <f>SUMIFS('июль 2023'!$G$4:$G$968,'июль 2023'!$D$4:$D$968,$B64,'июль 2023'!$J$4:$J$968,AG$1)</f>
        <v>0</v>
      </c>
      <c r="AH64" s="207">
        <f>SUMIFS('июль 2023'!$G$4:$G$968,'июль 2023'!$D$4:$D$968,$B64,'июль 2023'!$J$4:$J$968,AH$1)</f>
        <v>0</v>
      </c>
      <c r="AI64" s="170">
        <f t="shared" si="1"/>
        <v>0</v>
      </c>
    </row>
    <row r="65" spans="2:35" ht="15" customHeight="1" x14ac:dyDescent="0.25">
      <c r="B65" s="216" t="s">
        <v>282</v>
      </c>
      <c r="C65" s="213">
        <v>190</v>
      </c>
      <c r="D65" s="207">
        <f>SUMIFS('июль 2023'!$G$4:$G$968,'июль 2023'!$D$4:$D$968,$B65,'июль 2023'!$J$4:$J$968,D$1)</f>
        <v>0</v>
      </c>
      <c r="E65" s="207">
        <f>SUMIFS('июль 2023'!$G$4:$G$968,'июль 2023'!$D$4:$D$968,$B65,'июль 2023'!$J$4:$J$968,E$1)</f>
        <v>0</v>
      </c>
      <c r="F65" s="207">
        <f>SUMIFS('июль 2023'!$G$4:$G$968,'июль 2023'!$D$4:$D$968,$B65,'июль 2023'!$J$4:$J$968,F$1)</f>
        <v>0</v>
      </c>
      <c r="G65" s="207">
        <f>SUMIFS('июль 2023'!$G$4:$G$968,'июль 2023'!$D$4:$D$968,$B65,'июль 2023'!$J$4:$J$968,G$1)</f>
        <v>0</v>
      </c>
      <c r="H65" s="207">
        <f>SUMIFS('июль 2023'!$G$4:$G$968,'июль 2023'!$D$4:$D$968,$B65,'июль 2023'!$J$4:$J$968,H$1)</f>
        <v>0</v>
      </c>
      <c r="I65" s="207">
        <f>SUMIFS('июль 2023'!$G$4:$G$968,'июль 2023'!$D$4:$D$968,$B65,'июль 2023'!$J$4:$J$968,I$1)</f>
        <v>0</v>
      </c>
      <c r="J65" s="207">
        <f>SUMIFS('июль 2023'!$G$4:$G$968,'июль 2023'!$D$4:$D$968,$B65,'июль 2023'!$J$4:$J$968,J$1)</f>
        <v>0</v>
      </c>
      <c r="K65" s="207">
        <f>SUMIFS('июль 2023'!$G$4:$G$968,'июль 2023'!$D$4:$D$968,$B65,'июль 2023'!$J$4:$J$968,K$1)</f>
        <v>0</v>
      </c>
      <c r="L65" s="207">
        <f>SUMIFS('июль 2023'!$G$4:$G$968,'июль 2023'!$D$4:$D$968,$B65,'июль 2023'!$J$4:$J$968,L$1)</f>
        <v>0</v>
      </c>
      <c r="M65" s="207">
        <f>SUMIFS('июль 2023'!$G$4:$G$968,'июль 2023'!$D$4:$D$968,$B65,'июль 2023'!$J$4:$J$968,M$1)</f>
        <v>0</v>
      </c>
      <c r="N65" s="207">
        <f>SUMIFS('июль 2023'!$G$4:$G$968,'июль 2023'!$D$4:$D$968,$B65,'июль 2023'!$J$4:$J$968,N$1)</f>
        <v>0</v>
      </c>
      <c r="O65" s="207">
        <f>SUMIFS('июль 2023'!$G$4:$G$968,'июль 2023'!$D$4:$D$968,$B65,'июль 2023'!$J$4:$J$968,O$1)</f>
        <v>0</v>
      </c>
      <c r="P65" s="207">
        <f>SUMIFS('июль 2023'!$G$4:$G$968,'июль 2023'!$D$4:$D$968,$B65,'июль 2023'!$J$4:$J$968,P$1)</f>
        <v>320</v>
      </c>
      <c r="Q65" s="207">
        <f>SUMIFS('июль 2023'!$G$4:$G$968,'июль 2023'!$D$4:$D$968,$B65,'июль 2023'!$J$4:$J$968,Q$1)</f>
        <v>240</v>
      </c>
      <c r="R65" s="207">
        <f>SUMIFS('июль 2023'!$G$4:$G$968,'июль 2023'!$D$4:$D$968,$B65,'июль 2023'!$J$4:$J$968,R$1)</f>
        <v>0</v>
      </c>
      <c r="S65" s="207">
        <f>SUMIFS('июль 2023'!$G$4:$G$968,'июль 2023'!$D$4:$D$968,$B65,'июль 2023'!$J$4:$J$968,S$1)</f>
        <v>0</v>
      </c>
      <c r="T65" s="207">
        <f>SUMIFS('июль 2023'!$G$4:$G$968,'июль 2023'!$D$4:$D$968,$B65,'июль 2023'!$J$4:$J$968,T$1)</f>
        <v>0</v>
      </c>
      <c r="U65" s="207">
        <f>SUMIFS('июль 2023'!$G$4:$G$968,'июль 2023'!$D$4:$D$968,$B65,'июль 2023'!$J$4:$J$968,U$1)</f>
        <v>0</v>
      </c>
      <c r="V65" s="207">
        <f>SUMIFS('июль 2023'!$G$4:$G$968,'июль 2023'!$D$4:$D$968,$B65,'июль 2023'!$J$4:$J$968,V$1)</f>
        <v>0</v>
      </c>
      <c r="W65" s="207">
        <f>SUMIFS('июль 2023'!$G$4:$G$968,'июль 2023'!$D$4:$D$968,$B65,'июль 2023'!$J$4:$J$968,W$1)</f>
        <v>0</v>
      </c>
      <c r="X65" s="207">
        <f>SUMIFS('июль 2023'!$G$4:$G$968,'июль 2023'!$D$4:$D$968,$B65,'июль 2023'!$J$4:$J$968,X$1)</f>
        <v>0</v>
      </c>
      <c r="Y65" s="207">
        <f>SUMIFS('июль 2023'!$G$4:$G$968,'июль 2023'!$D$4:$D$968,$B65,'июль 2023'!$J$4:$J$968,Y$1)</f>
        <v>0</v>
      </c>
      <c r="Z65" s="207">
        <f>SUMIFS('июль 2023'!$G$4:$G$968,'июль 2023'!$D$4:$D$968,$B65,'июль 2023'!$J$4:$J$968,Z$1)</f>
        <v>0</v>
      </c>
      <c r="AA65" s="207">
        <f>SUMIFS('июль 2023'!$G$4:$G$968,'июль 2023'!$D$4:$D$968,$B65,'июль 2023'!$J$4:$J$968,AA$1)</f>
        <v>0</v>
      </c>
      <c r="AB65" s="207">
        <f>SUMIFS('июль 2023'!$G$4:$G$968,'июль 2023'!$D$4:$D$968,$B65,'июль 2023'!$J$4:$J$968,AB$1)</f>
        <v>0</v>
      </c>
      <c r="AC65" s="207">
        <f>SUMIFS('июль 2023'!$G$4:$G$968,'июль 2023'!$D$4:$D$968,$B65,'июль 2023'!$J$4:$J$968,AC$1)</f>
        <v>0</v>
      </c>
      <c r="AD65" s="207">
        <f>SUMIFS('июль 2023'!$G$4:$G$968,'июль 2023'!$D$4:$D$968,$B65,'июль 2023'!$J$4:$J$968,AD$1)</f>
        <v>0</v>
      </c>
      <c r="AE65" s="207">
        <f>SUMIFS('июль 2023'!$G$4:$G$968,'июль 2023'!$D$4:$D$968,$B65,'июль 2023'!$J$4:$J$968,AE$1)</f>
        <v>0</v>
      </c>
      <c r="AF65" s="207">
        <f>SUMIFS('июль 2023'!$G$4:$G$968,'июль 2023'!$D$4:$D$968,$B65,'июль 2023'!$J$4:$J$968,AF$1)</f>
        <v>0</v>
      </c>
      <c r="AG65" s="207">
        <f>SUMIFS('июль 2023'!$G$4:$G$968,'июль 2023'!$D$4:$D$968,$B65,'июль 2023'!$J$4:$J$968,AG$1)</f>
        <v>0</v>
      </c>
      <c r="AH65" s="207">
        <f>SUMIFS('июль 2023'!$G$4:$G$968,'июль 2023'!$D$4:$D$968,$B65,'июль 2023'!$J$4:$J$968,AH$1)</f>
        <v>0</v>
      </c>
      <c r="AI65" s="170">
        <f t="shared" si="1"/>
        <v>560</v>
      </c>
    </row>
    <row r="66" spans="2:35" ht="15" customHeight="1" x14ac:dyDescent="0.25">
      <c r="B66" s="216" t="s">
        <v>1498</v>
      </c>
      <c r="C66" s="213">
        <v>190</v>
      </c>
      <c r="D66" s="207">
        <f>SUMIFS('июль 2023'!$G$4:$G$968,'июль 2023'!$D$4:$D$968,$B66,'июль 2023'!$J$4:$J$968,D$1)</f>
        <v>0</v>
      </c>
      <c r="E66" s="207">
        <f>SUMIFS('июль 2023'!$G$4:$G$968,'июль 2023'!$D$4:$D$968,$B66,'июль 2023'!$J$4:$J$968,E$1)</f>
        <v>0</v>
      </c>
      <c r="F66" s="207">
        <f>SUMIFS('июль 2023'!$G$4:$G$968,'июль 2023'!$D$4:$D$968,$B66,'июль 2023'!$J$4:$J$968,F$1)</f>
        <v>0</v>
      </c>
      <c r="G66" s="207">
        <f>SUMIFS('июль 2023'!$G$4:$G$968,'июль 2023'!$D$4:$D$968,$B66,'июль 2023'!$J$4:$J$968,G$1)</f>
        <v>0</v>
      </c>
      <c r="H66" s="207">
        <f>SUMIFS('июль 2023'!$G$4:$G$968,'июль 2023'!$D$4:$D$968,$B66,'июль 2023'!$J$4:$J$968,H$1)</f>
        <v>0</v>
      </c>
      <c r="I66" s="207">
        <f>SUMIFS('июль 2023'!$G$4:$G$968,'июль 2023'!$D$4:$D$968,$B66,'июль 2023'!$J$4:$J$968,I$1)</f>
        <v>0</v>
      </c>
      <c r="J66" s="207">
        <f>SUMIFS('июль 2023'!$G$4:$G$968,'июль 2023'!$D$4:$D$968,$B66,'июль 2023'!$J$4:$J$968,J$1)</f>
        <v>0</v>
      </c>
      <c r="K66" s="207">
        <f>SUMIFS('июль 2023'!$G$4:$G$968,'июль 2023'!$D$4:$D$968,$B66,'июль 2023'!$J$4:$J$968,K$1)</f>
        <v>0</v>
      </c>
      <c r="L66" s="207">
        <f>SUMIFS('июль 2023'!$G$4:$G$968,'июль 2023'!$D$4:$D$968,$B66,'июль 2023'!$J$4:$J$968,L$1)</f>
        <v>0</v>
      </c>
      <c r="M66" s="207">
        <f>SUMIFS('июль 2023'!$G$4:$G$968,'июль 2023'!$D$4:$D$968,$B66,'июль 2023'!$J$4:$J$968,M$1)</f>
        <v>0</v>
      </c>
      <c r="N66" s="207">
        <f>SUMIFS('июль 2023'!$G$4:$G$968,'июль 2023'!$D$4:$D$968,$B66,'июль 2023'!$J$4:$J$968,N$1)</f>
        <v>0</v>
      </c>
      <c r="O66" s="207">
        <f>SUMIFS('июль 2023'!$G$4:$G$968,'июль 2023'!$D$4:$D$968,$B66,'июль 2023'!$J$4:$J$968,O$1)</f>
        <v>0</v>
      </c>
      <c r="P66" s="207">
        <f>SUMIFS('июль 2023'!$G$4:$G$968,'июль 2023'!$D$4:$D$968,$B66,'июль 2023'!$J$4:$J$968,P$1)</f>
        <v>0</v>
      </c>
      <c r="Q66" s="207">
        <f>SUMIFS('июль 2023'!$G$4:$G$968,'июль 2023'!$D$4:$D$968,$B66,'июль 2023'!$J$4:$J$968,Q$1)</f>
        <v>0</v>
      </c>
      <c r="R66" s="207">
        <f>SUMIFS('июль 2023'!$G$4:$G$968,'июль 2023'!$D$4:$D$968,$B66,'июль 2023'!$J$4:$J$968,R$1)</f>
        <v>0</v>
      </c>
      <c r="S66" s="207">
        <f>SUMIFS('июль 2023'!$G$4:$G$968,'июль 2023'!$D$4:$D$968,$B66,'июль 2023'!$J$4:$J$968,S$1)</f>
        <v>0</v>
      </c>
      <c r="T66" s="207">
        <f>SUMIFS('июль 2023'!$G$4:$G$968,'июль 2023'!$D$4:$D$968,$B66,'июль 2023'!$J$4:$J$968,T$1)</f>
        <v>0</v>
      </c>
      <c r="U66" s="207">
        <f>SUMIFS('июль 2023'!$G$4:$G$968,'июль 2023'!$D$4:$D$968,$B66,'июль 2023'!$J$4:$J$968,U$1)</f>
        <v>0</v>
      </c>
      <c r="V66" s="207">
        <f>SUMIFS('июль 2023'!$G$4:$G$968,'июль 2023'!$D$4:$D$968,$B66,'июль 2023'!$J$4:$J$968,V$1)</f>
        <v>0</v>
      </c>
      <c r="W66" s="207">
        <f>SUMIFS('июль 2023'!$G$4:$G$968,'июль 2023'!$D$4:$D$968,$B66,'июль 2023'!$J$4:$J$968,W$1)</f>
        <v>0</v>
      </c>
      <c r="X66" s="207">
        <f>SUMIFS('июль 2023'!$G$4:$G$968,'июль 2023'!$D$4:$D$968,$B66,'июль 2023'!$J$4:$J$968,X$1)</f>
        <v>0</v>
      </c>
      <c r="Y66" s="207">
        <f>SUMIFS('июль 2023'!$G$4:$G$968,'июль 2023'!$D$4:$D$968,$B66,'июль 2023'!$J$4:$J$968,Y$1)</f>
        <v>0</v>
      </c>
      <c r="Z66" s="207">
        <f>SUMIFS('июль 2023'!$G$4:$G$968,'июль 2023'!$D$4:$D$968,$B66,'июль 2023'!$J$4:$J$968,Z$1)</f>
        <v>0</v>
      </c>
      <c r="AA66" s="207">
        <f>SUMIFS('июль 2023'!$G$4:$G$968,'июль 2023'!$D$4:$D$968,$B66,'июль 2023'!$J$4:$J$968,AA$1)</f>
        <v>0</v>
      </c>
      <c r="AB66" s="207">
        <f>SUMIFS('июль 2023'!$G$4:$G$968,'июль 2023'!$D$4:$D$968,$B66,'июль 2023'!$J$4:$J$968,AB$1)</f>
        <v>0</v>
      </c>
      <c r="AC66" s="207">
        <f>SUMIFS('июль 2023'!$G$4:$G$968,'июль 2023'!$D$4:$D$968,$B66,'июль 2023'!$J$4:$J$968,AC$1)</f>
        <v>0</v>
      </c>
      <c r="AD66" s="207">
        <f>SUMIFS('июль 2023'!$G$4:$G$968,'июль 2023'!$D$4:$D$968,$B66,'июль 2023'!$J$4:$J$968,AD$1)</f>
        <v>0</v>
      </c>
      <c r="AE66" s="207">
        <f>SUMIFS('июль 2023'!$G$4:$G$968,'июль 2023'!$D$4:$D$968,$B66,'июль 2023'!$J$4:$J$968,AE$1)</f>
        <v>0</v>
      </c>
      <c r="AF66" s="207">
        <f>SUMIFS('июль 2023'!$G$4:$G$968,'июль 2023'!$D$4:$D$968,$B66,'июль 2023'!$J$4:$J$968,AF$1)</f>
        <v>0</v>
      </c>
      <c r="AG66" s="207">
        <f>SUMIFS('июль 2023'!$G$4:$G$968,'июль 2023'!$D$4:$D$968,$B66,'июль 2023'!$J$4:$J$968,AG$1)</f>
        <v>0</v>
      </c>
      <c r="AH66" s="207">
        <f>SUMIFS('июль 2023'!$G$4:$G$968,'июль 2023'!$D$4:$D$968,$B66,'июль 2023'!$J$4:$J$968,AH$1)</f>
        <v>0</v>
      </c>
      <c r="AI66" s="170">
        <f t="shared" si="1"/>
        <v>0</v>
      </c>
    </row>
    <row r="67" spans="2:35" ht="15" customHeight="1" x14ac:dyDescent="0.25">
      <c r="B67" s="216" t="s">
        <v>1721</v>
      </c>
      <c r="C67" s="213">
        <v>180</v>
      </c>
      <c r="D67" s="207">
        <f>SUMIFS('июль 2023'!$G$4:$G$968,'июль 2023'!$D$4:$D$968,$B67,'июль 2023'!$J$4:$J$968,D$1)</f>
        <v>0</v>
      </c>
      <c r="E67" s="207">
        <f>SUMIFS('июль 2023'!$G$4:$G$968,'июль 2023'!$D$4:$D$968,$B67,'июль 2023'!$J$4:$J$968,E$1)</f>
        <v>0</v>
      </c>
      <c r="F67" s="207">
        <f>SUMIFS('июль 2023'!$G$4:$G$968,'июль 2023'!$D$4:$D$968,$B67,'июль 2023'!$J$4:$J$968,F$1)</f>
        <v>0</v>
      </c>
      <c r="G67" s="207">
        <f>SUMIFS('июль 2023'!$G$4:$G$968,'июль 2023'!$D$4:$D$968,$B67,'июль 2023'!$J$4:$J$968,G$1)</f>
        <v>0</v>
      </c>
      <c r="H67" s="207">
        <f>SUMIFS('июль 2023'!$G$4:$G$968,'июль 2023'!$D$4:$D$968,$B67,'июль 2023'!$J$4:$J$968,H$1)</f>
        <v>0</v>
      </c>
      <c r="I67" s="207">
        <f>SUMIFS('июль 2023'!$G$4:$G$968,'июль 2023'!$D$4:$D$968,$B67,'июль 2023'!$J$4:$J$968,I$1)</f>
        <v>0</v>
      </c>
      <c r="J67" s="207">
        <f>SUMIFS('июль 2023'!$G$4:$G$968,'июль 2023'!$D$4:$D$968,$B67,'июль 2023'!$J$4:$J$968,J$1)</f>
        <v>0</v>
      </c>
      <c r="K67" s="207">
        <f>SUMIFS('июль 2023'!$G$4:$G$968,'июль 2023'!$D$4:$D$968,$B67,'июль 2023'!$J$4:$J$968,K$1)</f>
        <v>0</v>
      </c>
      <c r="L67" s="207">
        <f>SUMIFS('июль 2023'!$G$4:$G$968,'июль 2023'!$D$4:$D$968,$B67,'июль 2023'!$J$4:$J$968,L$1)</f>
        <v>0</v>
      </c>
      <c r="M67" s="207">
        <f>SUMIFS('июль 2023'!$G$4:$G$968,'июль 2023'!$D$4:$D$968,$B67,'июль 2023'!$J$4:$J$968,M$1)</f>
        <v>0</v>
      </c>
      <c r="N67" s="207">
        <f>SUMIFS('июль 2023'!$G$4:$G$968,'июль 2023'!$D$4:$D$968,$B67,'июль 2023'!$J$4:$J$968,N$1)</f>
        <v>0</v>
      </c>
      <c r="O67" s="207">
        <f>SUMIFS('июль 2023'!$G$4:$G$968,'июль 2023'!$D$4:$D$968,$B67,'июль 2023'!$J$4:$J$968,O$1)</f>
        <v>0</v>
      </c>
      <c r="P67" s="207">
        <f>SUMIFS('июль 2023'!$G$4:$G$968,'июль 2023'!$D$4:$D$968,$B67,'июль 2023'!$J$4:$J$968,P$1)</f>
        <v>0</v>
      </c>
      <c r="Q67" s="207">
        <f>SUMIFS('июль 2023'!$G$4:$G$968,'июль 2023'!$D$4:$D$968,$B67,'июль 2023'!$J$4:$J$968,Q$1)</f>
        <v>0</v>
      </c>
      <c r="R67" s="207">
        <f>SUMIFS('июль 2023'!$G$4:$G$968,'июль 2023'!$D$4:$D$968,$B67,'июль 2023'!$J$4:$J$968,R$1)</f>
        <v>0</v>
      </c>
      <c r="S67" s="207">
        <f>SUMIFS('июль 2023'!$G$4:$G$968,'июль 2023'!$D$4:$D$968,$B67,'июль 2023'!$J$4:$J$968,S$1)</f>
        <v>0</v>
      </c>
      <c r="T67" s="207">
        <f>SUMIFS('июль 2023'!$G$4:$G$968,'июль 2023'!$D$4:$D$968,$B67,'июль 2023'!$J$4:$J$968,T$1)</f>
        <v>0</v>
      </c>
      <c r="U67" s="207">
        <f>SUMIFS('июль 2023'!$G$4:$G$968,'июль 2023'!$D$4:$D$968,$B67,'июль 2023'!$J$4:$J$968,U$1)</f>
        <v>0</v>
      </c>
      <c r="V67" s="207">
        <f>SUMIFS('июль 2023'!$G$4:$G$968,'июль 2023'!$D$4:$D$968,$B67,'июль 2023'!$J$4:$J$968,V$1)</f>
        <v>0</v>
      </c>
      <c r="W67" s="207">
        <f>SUMIFS('июль 2023'!$G$4:$G$968,'июль 2023'!$D$4:$D$968,$B67,'июль 2023'!$J$4:$J$968,W$1)</f>
        <v>0</v>
      </c>
      <c r="X67" s="207">
        <f>SUMIFS('июль 2023'!$G$4:$G$968,'июль 2023'!$D$4:$D$968,$B67,'июль 2023'!$J$4:$J$968,X$1)</f>
        <v>0</v>
      </c>
      <c r="Y67" s="207">
        <f>SUMIFS('июль 2023'!$G$4:$G$968,'июль 2023'!$D$4:$D$968,$B67,'июль 2023'!$J$4:$J$968,Y$1)</f>
        <v>0</v>
      </c>
      <c r="Z67" s="207">
        <f>SUMIFS('июль 2023'!$G$4:$G$968,'июль 2023'!$D$4:$D$968,$B67,'июль 2023'!$J$4:$J$968,Z$1)</f>
        <v>0</v>
      </c>
      <c r="AA67" s="207">
        <f>SUMIFS('июль 2023'!$G$4:$G$968,'июль 2023'!$D$4:$D$968,$B67,'июль 2023'!$J$4:$J$968,AA$1)</f>
        <v>0</v>
      </c>
      <c r="AB67" s="207">
        <f>SUMIFS('июль 2023'!$G$4:$G$968,'июль 2023'!$D$4:$D$968,$B67,'июль 2023'!$J$4:$J$968,AB$1)</f>
        <v>0</v>
      </c>
      <c r="AC67" s="207">
        <f>SUMIFS('июль 2023'!$G$4:$G$968,'июль 2023'!$D$4:$D$968,$B67,'июль 2023'!$J$4:$J$968,AC$1)</f>
        <v>0</v>
      </c>
      <c r="AD67" s="207">
        <f>SUMIFS('июль 2023'!$G$4:$G$968,'июль 2023'!$D$4:$D$968,$B67,'июль 2023'!$J$4:$J$968,AD$1)</f>
        <v>0</v>
      </c>
      <c r="AE67" s="207">
        <f>SUMIFS('июль 2023'!$G$4:$G$968,'июль 2023'!$D$4:$D$968,$B67,'июль 2023'!$J$4:$J$968,AE$1)</f>
        <v>0</v>
      </c>
      <c r="AF67" s="207">
        <f>SUMIFS('июль 2023'!$G$4:$G$968,'июль 2023'!$D$4:$D$968,$B67,'июль 2023'!$J$4:$J$968,AF$1)</f>
        <v>0</v>
      </c>
      <c r="AG67" s="207">
        <f>SUMIFS('июль 2023'!$G$4:$G$968,'июль 2023'!$D$4:$D$968,$B67,'июль 2023'!$J$4:$J$968,AG$1)</f>
        <v>0</v>
      </c>
      <c r="AH67" s="207">
        <f>SUMIFS('июль 2023'!$G$4:$G$968,'июль 2023'!$D$4:$D$968,$B67,'июль 2023'!$J$4:$J$968,AH$1)</f>
        <v>0</v>
      </c>
      <c r="AI67" s="170">
        <f t="shared" ref="AI67:AI128" si="2">SUM(D67:AH67)</f>
        <v>0</v>
      </c>
    </row>
    <row r="68" spans="2:35" ht="15" customHeight="1" x14ac:dyDescent="0.25">
      <c r="B68" s="216" t="s">
        <v>2166</v>
      </c>
      <c r="C68" s="213">
        <v>180</v>
      </c>
      <c r="D68" s="207">
        <f>SUMIFS('июль 2023'!$G$4:$G$968,'июль 2023'!$D$4:$D$968,$B68,'июль 2023'!$J$4:$J$968,D$1)</f>
        <v>0</v>
      </c>
      <c r="E68" s="207">
        <f>SUMIFS('июль 2023'!$G$4:$G$968,'июль 2023'!$D$4:$D$968,$B68,'июль 2023'!$J$4:$J$968,E$1)</f>
        <v>0</v>
      </c>
      <c r="F68" s="207">
        <f>SUMIFS('июль 2023'!$G$4:$G$968,'июль 2023'!$D$4:$D$968,$B68,'июль 2023'!$J$4:$J$968,F$1)</f>
        <v>0</v>
      </c>
      <c r="G68" s="207">
        <f>SUMIFS('июль 2023'!$G$4:$G$968,'июль 2023'!$D$4:$D$968,$B68,'июль 2023'!$J$4:$J$968,G$1)</f>
        <v>0</v>
      </c>
      <c r="H68" s="207">
        <f>SUMIFS('июль 2023'!$G$4:$G$968,'июль 2023'!$D$4:$D$968,$B68,'июль 2023'!$J$4:$J$968,H$1)</f>
        <v>0</v>
      </c>
      <c r="I68" s="207">
        <f>SUMIFS('июль 2023'!$G$4:$G$968,'июль 2023'!$D$4:$D$968,$B68,'июль 2023'!$J$4:$J$968,I$1)</f>
        <v>0</v>
      </c>
      <c r="J68" s="207">
        <f>SUMIFS('июль 2023'!$G$4:$G$968,'июль 2023'!$D$4:$D$968,$B68,'июль 2023'!$J$4:$J$968,J$1)</f>
        <v>0</v>
      </c>
      <c r="K68" s="207">
        <f>SUMIFS('июль 2023'!$G$4:$G$968,'июль 2023'!$D$4:$D$968,$B68,'июль 2023'!$J$4:$J$968,K$1)</f>
        <v>0</v>
      </c>
      <c r="L68" s="207">
        <f>SUMIFS('июль 2023'!$G$4:$G$968,'июль 2023'!$D$4:$D$968,$B68,'июль 2023'!$J$4:$J$968,L$1)</f>
        <v>0</v>
      </c>
      <c r="M68" s="207">
        <f>SUMIFS('июль 2023'!$G$4:$G$968,'июль 2023'!$D$4:$D$968,$B68,'июль 2023'!$J$4:$J$968,M$1)</f>
        <v>0</v>
      </c>
      <c r="N68" s="207">
        <f>SUMIFS('июль 2023'!$G$4:$G$968,'июль 2023'!$D$4:$D$968,$B68,'июль 2023'!$J$4:$J$968,N$1)</f>
        <v>0</v>
      </c>
      <c r="O68" s="207">
        <f>SUMIFS('июль 2023'!$G$4:$G$968,'июль 2023'!$D$4:$D$968,$B68,'июль 2023'!$J$4:$J$968,O$1)</f>
        <v>0</v>
      </c>
      <c r="P68" s="207">
        <f>SUMIFS('июль 2023'!$G$4:$G$968,'июль 2023'!$D$4:$D$968,$B68,'июль 2023'!$J$4:$J$968,P$1)</f>
        <v>0</v>
      </c>
      <c r="Q68" s="207">
        <f>SUMIFS('июль 2023'!$G$4:$G$968,'июль 2023'!$D$4:$D$968,$B68,'июль 2023'!$J$4:$J$968,Q$1)</f>
        <v>0</v>
      </c>
      <c r="R68" s="207">
        <f>SUMIFS('июль 2023'!$G$4:$G$968,'июль 2023'!$D$4:$D$968,$B68,'июль 2023'!$J$4:$J$968,R$1)</f>
        <v>0</v>
      </c>
      <c r="S68" s="207">
        <f>SUMIFS('июль 2023'!$G$4:$G$968,'июль 2023'!$D$4:$D$968,$B68,'июль 2023'!$J$4:$J$968,S$1)</f>
        <v>0</v>
      </c>
      <c r="T68" s="207">
        <f>SUMIFS('июль 2023'!$G$4:$G$968,'июль 2023'!$D$4:$D$968,$B68,'июль 2023'!$J$4:$J$968,T$1)</f>
        <v>0</v>
      </c>
      <c r="U68" s="207">
        <f>SUMIFS('июль 2023'!$G$4:$G$968,'июль 2023'!$D$4:$D$968,$B68,'июль 2023'!$J$4:$J$968,U$1)</f>
        <v>0</v>
      </c>
      <c r="V68" s="207">
        <f>SUMIFS('июль 2023'!$G$4:$G$968,'июль 2023'!$D$4:$D$968,$B68,'июль 2023'!$J$4:$J$968,V$1)</f>
        <v>0</v>
      </c>
      <c r="W68" s="207">
        <f>SUMIFS('июль 2023'!$G$4:$G$968,'июль 2023'!$D$4:$D$968,$B68,'июль 2023'!$J$4:$J$968,W$1)</f>
        <v>0</v>
      </c>
      <c r="X68" s="207">
        <f>SUMIFS('июль 2023'!$G$4:$G$968,'июль 2023'!$D$4:$D$968,$B68,'июль 2023'!$J$4:$J$968,X$1)</f>
        <v>0</v>
      </c>
      <c r="Y68" s="207">
        <f>SUMIFS('июль 2023'!$G$4:$G$968,'июль 2023'!$D$4:$D$968,$B68,'июль 2023'!$J$4:$J$968,Y$1)</f>
        <v>0</v>
      </c>
      <c r="Z68" s="207">
        <f>SUMIFS('июль 2023'!$G$4:$G$968,'июль 2023'!$D$4:$D$968,$B68,'июль 2023'!$J$4:$J$968,Z$1)</f>
        <v>0</v>
      </c>
      <c r="AA68" s="207">
        <f>SUMIFS('июль 2023'!$G$4:$G$968,'июль 2023'!$D$4:$D$968,$B68,'июль 2023'!$J$4:$J$968,AA$1)</f>
        <v>0</v>
      </c>
      <c r="AB68" s="207">
        <f>SUMIFS('июль 2023'!$G$4:$G$968,'июль 2023'!$D$4:$D$968,$B68,'июль 2023'!$J$4:$J$968,AB$1)</f>
        <v>0</v>
      </c>
      <c r="AC68" s="207">
        <f>SUMIFS('июль 2023'!$G$4:$G$968,'июль 2023'!$D$4:$D$968,$B68,'июль 2023'!$J$4:$J$968,AC$1)</f>
        <v>0</v>
      </c>
      <c r="AD68" s="207">
        <f>SUMIFS('июль 2023'!$G$4:$G$968,'июль 2023'!$D$4:$D$968,$B68,'июль 2023'!$J$4:$J$968,AD$1)</f>
        <v>0</v>
      </c>
      <c r="AE68" s="207">
        <f>SUMIFS('июль 2023'!$G$4:$G$968,'июль 2023'!$D$4:$D$968,$B68,'июль 2023'!$J$4:$J$968,AE$1)</f>
        <v>0</v>
      </c>
      <c r="AF68" s="207">
        <f>SUMIFS('июль 2023'!$G$4:$G$968,'июль 2023'!$D$4:$D$968,$B68,'июль 2023'!$J$4:$J$968,AF$1)</f>
        <v>0</v>
      </c>
      <c r="AG68" s="207">
        <f>SUMIFS('июль 2023'!$G$4:$G$968,'июль 2023'!$D$4:$D$968,$B68,'июль 2023'!$J$4:$J$968,AG$1)</f>
        <v>0</v>
      </c>
      <c r="AH68" s="207">
        <f>SUMIFS('июль 2023'!$G$4:$G$968,'июль 2023'!$D$4:$D$968,$B68,'июль 2023'!$J$4:$J$968,AH$1)</f>
        <v>0</v>
      </c>
      <c r="AI68" s="170">
        <f t="shared" si="2"/>
        <v>0</v>
      </c>
    </row>
    <row r="69" spans="2:35" ht="15" customHeight="1" x14ac:dyDescent="0.25">
      <c r="B69" s="216" t="s">
        <v>140</v>
      </c>
      <c r="C69" s="213">
        <v>180</v>
      </c>
      <c r="D69" s="207">
        <f>SUMIFS('июль 2023'!$G$4:$G$968,'июль 2023'!$D$4:$D$968,$B69,'июль 2023'!$J$4:$J$968,D$1)</f>
        <v>0</v>
      </c>
      <c r="E69" s="207">
        <f>SUMIFS('июль 2023'!$G$4:$G$968,'июль 2023'!$D$4:$D$968,$B69,'июль 2023'!$J$4:$J$968,E$1)</f>
        <v>0</v>
      </c>
      <c r="F69" s="207">
        <f>SUMIFS('июль 2023'!$G$4:$G$968,'июль 2023'!$D$4:$D$968,$B69,'июль 2023'!$J$4:$J$968,F$1)</f>
        <v>0</v>
      </c>
      <c r="G69" s="207">
        <f>SUMIFS('июль 2023'!$G$4:$G$968,'июль 2023'!$D$4:$D$968,$B69,'июль 2023'!$J$4:$J$968,G$1)</f>
        <v>0</v>
      </c>
      <c r="H69" s="207">
        <f>SUMIFS('июль 2023'!$G$4:$G$968,'июль 2023'!$D$4:$D$968,$B69,'июль 2023'!$J$4:$J$968,H$1)</f>
        <v>0</v>
      </c>
      <c r="I69" s="207">
        <f>SUMIFS('июль 2023'!$G$4:$G$968,'июль 2023'!$D$4:$D$968,$B69,'июль 2023'!$J$4:$J$968,I$1)</f>
        <v>0</v>
      </c>
      <c r="J69" s="207">
        <f>SUMIFS('июль 2023'!$G$4:$G$968,'июль 2023'!$D$4:$D$968,$B69,'июль 2023'!$J$4:$J$968,J$1)</f>
        <v>0</v>
      </c>
      <c r="K69" s="207">
        <f>SUMIFS('июль 2023'!$G$4:$G$968,'июль 2023'!$D$4:$D$968,$B69,'июль 2023'!$J$4:$J$968,K$1)</f>
        <v>0</v>
      </c>
      <c r="L69" s="207">
        <f>SUMIFS('июль 2023'!$G$4:$G$968,'июль 2023'!$D$4:$D$968,$B69,'июль 2023'!$J$4:$J$968,L$1)</f>
        <v>0</v>
      </c>
      <c r="M69" s="207">
        <f>SUMIFS('июль 2023'!$G$4:$G$968,'июль 2023'!$D$4:$D$968,$B69,'июль 2023'!$J$4:$J$968,M$1)</f>
        <v>0</v>
      </c>
      <c r="N69" s="207">
        <f>SUMIFS('июль 2023'!$G$4:$G$968,'июль 2023'!$D$4:$D$968,$B69,'июль 2023'!$J$4:$J$968,N$1)</f>
        <v>0</v>
      </c>
      <c r="O69" s="207">
        <f>SUMIFS('июль 2023'!$G$4:$G$968,'июль 2023'!$D$4:$D$968,$B69,'июль 2023'!$J$4:$J$968,O$1)</f>
        <v>0</v>
      </c>
      <c r="P69" s="207">
        <f>SUMIFS('июль 2023'!$G$4:$G$968,'июль 2023'!$D$4:$D$968,$B69,'июль 2023'!$J$4:$J$968,P$1)</f>
        <v>0</v>
      </c>
      <c r="Q69" s="207">
        <f>SUMIFS('июль 2023'!$G$4:$G$968,'июль 2023'!$D$4:$D$968,$B69,'июль 2023'!$J$4:$J$968,Q$1)</f>
        <v>0</v>
      </c>
      <c r="R69" s="207">
        <f>SUMIFS('июль 2023'!$G$4:$G$968,'июль 2023'!$D$4:$D$968,$B69,'июль 2023'!$J$4:$J$968,R$1)</f>
        <v>0</v>
      </c>
      <c r="S69" s="207">
        <f>SUMIFS('июль 2023'!$G$4:$G$968,'июль 2023'!$D$4:$D$968,$B69,'июль 2023'!$J$4:$J$968,S$1)</f>
        <v>0</v>
      </c>
      <c r="T69" s="207">
        <f>SUMIFS('июль 2023'!$G$4:$G$968,'июль 2023'!$D$4:$D$968,$B69,'июль 2023'!$J$4:$J$968,T$1)</f>
        <v>0</v>
      </c>
      <c r="U69" s="207">
        <f>SUMIFS('июль 2023'!$G$4:$G$968,'июль 2023'!$D$4:$D$968,$B69,'июль 2023'!$J$4:$J$968,U$1)</f>
        <v>0</v>
      </c>
      <c r="V69" s="207">
        <f>SUMIFS('июль 2023'!$G$4:$G$968,'июль 2023'!$D$4:$D$968,$B69,'июль 2023'!$J$4:$J$968,V$1)</f>
        <v>0</v>
      </c>
      <c r="W69" s="207">
        <f>SUMIFS('июль 2023'!$G$4:$G$968,'июль 2023'!$D$4:$D$968,$B69,'июль 2023'!$J$4:$J$968,W$1)</f>
        <v>0</v>
      </c>
      <c r="X69" s="207">
        <f>SUMIFS('июль 2023'!$G$4:$G$968,'июль 2023'!$D$4:$D$968,$B69,'июль 2023'!$J$4:$J$968,X$1)</f>
        <v>0</v>
      </c>
      <c r="Y69" s="207">
        <f>SUMIFS('июль 2023'!$G$4:$G$968,'июль 2023'!$D$4:$D$968,$B69,'июль 2023'!$J$4:$J$968,Y$1)</f>
        <v>0</v>
      </c>
      <c r="Z69" s="207">
        <f>SUMIFS('июль 2023'!$G$4:$G$968,'июль 2023'!$D$4:$D$968,$B69,'июль 2023'!$J$4:$J$968,Z$1)</f>
        <v>0</v>
      </c>
      <c r="AA69" s="207">
        <f>SUMIFS('июль 2023'!$G$4:$G$968,'июль 2023'!$D$4:$D$968,$B69,'июль 2023'!$J$4:$J$968,AA$1)</f>
        <v>0</v>
      </c>
      <c r="AB69" s="207">
        <f>SUMIFS('июль 2023'!$G$4:$G$968,'июль 2023'!$D$4:$D$968,$B69,'июль 2023'!$J$4:$J$968,AB$1)</f>
        <v>0</v>
      </c>
      <c r="AC69" s="207">
        <f>SUMIFS('июль 2023'!$G$4:$G$968,'июль 2023'!$D$4:$D$968,$B69,'июль 2023'!$J$4:$J$968,AC$1)</f>
        <v>0</v>
      </c>
      <c r="AD69" s="207">
        <f>SUMIFS('июль 2023'!$G$4:$G$968,'июль 2023'!$D$4:$D$968,$B69,'июль 2023'!$J$4:$J$968,AD$1)</f>
        <v>0</v>
      </c>
      <c r="AE69" s="207">
        <f>SUMIFS('июль 2023'!$G$4:$G$968,'июль 2023'!$D$4:$D$968,$B69,'июль 2023'!$J$4:$J$968,AE$1)</f>
        <v>0</v>
      </c>
      <c r="AF69" s="207">
        <f>SUMIFS('июль 2023'!$G$4:$G$968,'июль 2023'!$D$4:$D$968,$B69,'июль 2023'!$J$4:$J$968,AF$1)</f>
        <v>0</v>
      </c>
      <c r="AG69" s="207">
        <f>SUMIFS('июль 2023'!$G$4:$G$968,'июль 2023'!$D$4:$D$968,$B69,'июль 2023'!$J$4:$J$968,AG$1)</f>
        <v>0</v>
      </c>
      <c r="AH69" s="207">
        <f>SUMIFS('июль 2023'!$G$4:$G$968,'июль 2023'!$D$4:$D$968,$B69,'июль 2023'!$J$4:$J$968,AH$1)</f>
        <v>0</v>
      </c>
      <c r="AI69" s="170">
        <f t="shared" si="2"/>
        <v>0</v>
      </c>
    </row>
    <row r="70" spans="2:35" ht="15" customHeight="1" x14ac:dyDescent="0.25">
      <c r="B70" s="216" t="s">
        <v>588</v>
      </c>
      <c r="C70" s="213">
        <v>200</v>
      </c>
      <c r="D70" s="207">
        <f>SUMIFS('июль 2023'!$G$4:$G$968,'июль 2023'!$D$4:$D$968,$B70,'июль 2023'!$J$4:$J$968,D$1)</f>
        <v>0</v>
      </c>
      <c r="E70" s="207">
        <f>SUMIFS('июль 2023'!$G$4:$G$968,'июль 2023'!$D$4:$D$968,$B70,'июль 2023'!$J$4:$J$968,E$1)</f>
        <v>0</v>
      </c>
      <c r="F70" s="207">
        <f>SUMIFS('июль 2023'!$G$4:$G$968,'июль 2023'!$D$4:$D$968,$B70,'июль 2023'!$J$4:$J$968,F$1)</f>
        <v>0</v>
      </c>
      <c r="G70" s="207">
        <f>SUMIFS('июль 2023'!$G$4:$G$968,'июль 2023'!$D$4:$D$968,$B70,'июль 2023'!$J$4:$J$968,G$1)</f>
        <v>0</v>
      </c>
      <c r="H70" s="207">
        <f>SUMIFS('июль 2023'!$G$4:$G$968,'июль 2023'!$D$4:$D$968,$B70,'июль 2023'!$J$4:$J$968,H$1)</f>
        <v>0</v>
      </c>
      <c r="I70" s="207">
        <f>SUMIFS('июль 2023'!$G$4:$G$968,'июль 2023'!$D$4:$D$968,$B70,'июль 2023'!$J$4:$J$968,I$1)</f>
        <v>0</v>
      </c>
      <c r="J70" s="207">
        <f>SUMIFS('июль 2023'!$G$4:$G$968,'июль 2023'!$D$4:$D$968,$B70,'июль 2023'!$J$4:$J$968,J$1)</f>
        <v>0</v>
      </c>
      <c r="K70" s="207">
        <f>SUMIFS('июль 2023'!$G$4:$G$968,'июль 2023'!$D$4:$D$968,$B70,'июль 2023'!$J$4:$J$968,K$1)</f>
        <v>0</v>
      </c>
      <c r="L70" s="207">
        <f>SUMIFS('июль 2023'!$G$4:$G$968,'июль 2023'!$D$4:$D$968,$B70,'июль 2023'!$J$4:$J$968,L$1)</f>
        <v>0</v>
      </c>
      <c r="M70" s="207">
        <f>SUMIFS('июль 2023'!$G$4:$G$968,'июль 2023'!$D$4:$D$968,$B70,'июль 2023'!$J$4:$J$968,M$1)</f>
        <v>0</v>
      </c>
      <c r="N70" s="207">
        <f>SUMIFS('июль 2023'!$G$4:$G$968,'июль 2023'!$D$4:$D$968,$B70,'июль 2023'!$J$4:$J$968,N$1)</f>
        <v>0</v>
      </c>
      <c r="O70" s="207">
        <f>SUMIFS('июль 2023'!$G$4:$G$968,'июль 2023'!$D$4:$D$968,$B70,'июль 2023'!$J$4:$J$968,O$1)</f>
        <v>0</v>
      </c>
      <c r="P70" s="207">
        <f>SUMIFS('июль 2023'!$G$4:$G$968,'июль 2023'!$D$4:$D$968,$B70,'июль 2023'!$J$4:$J$968,P$1)</f>
        <v>0</v>
      </c>
      <c r="Q70" s="207">
        <f>SUMIFS('июль 2023'!$G$4:$G$968,'июль 2023'!$D$4:$D$968,$B70,'июль 2023'!$J$4:$J$968,Q$1)</f>
        <v>0</v>
      </c>
      <c r="R70" s="207">
        <f>SUMIFS('июль 2023'!$G$4:$G$968,'июль 2023'!$D$4:$D$968,$B70,'июль 2023'!$J$4:$J$968,R$1)</f>
        <v>0</v>
      </c>
      <c r="S70" s="207">
        <f>SUMIFS('июль 2023'!$G$4:$G$968,'июль 2023'!$D$4:$D$968,$B70,'июль 2023'!$J$4:$J$968,S$1)</f>
        <v>0</v>
      </c>
      <c r="T70" s="207">
        <f>SUMIFS('июль 2023'!$G$4:$G$968,'июль 2023'!$D$4:$D$968,$B70,'июль 2023'!$J$4:$J$968,T$1)</f>
        <v>0</v>
      </c>
      <c r="U70" s="207">
        <f>SUMIFS('июль 2023'!$G$4:$G$968,'июль 2023'!$D$4:$D$968,$B70,'июль 2023'!$J$4:$J$968,U$1)</f>
        <v>0</v>
      </c>
      <c r="V70" s="207">
        <f>SUMIFS('июль 2023'!$G$4:$G$968,'июль 2023'!$D$4:$D$968,$B70,'июль 2023'!$J$4:$J$968,V$1)</f>
        <v>0</v>
      </c>
      <c r="W70" s="207">
        <f>SUMIFS('июль 2023'!$G$4:$G$968,'июль 2023'!$D$4:$D$968,$B70,'июль 2023'!$J$4:$J$968,W$1)</f>
        <v>0</v>
      </c>
      <c r="X70" s="207">
        <f>SUMIFS('июль 2023'!$G$4:$G$968,'июль 2023'!$D$4:$D$968,$B70,'июль 2023'!$J$4:$J$968,X$1)</f>
        <v>0</v>
      </c>
      <c r="Y70" s="207">
        <f>SUMIFS('июль 2023'!$G$4:$G$968,'июль 2023'!$D$4:$D$968,$B70,'июль 2023'!$J$4:$J$968,Y$1)</f>
        <v>0</v>
      </c>
      <c r="Z70" s="207">
        <f>SUMIFS('июль 2023'!$G$4:$G$968,'июль 2023'!$D$4:$D$968,$B70,'июль 2023'!$J$4:$J$968,Z$1)</f>
        <v>0</v>
      </c>
      <c r="AA70" s="207">
        <f>SUMIFS('июль 2023'!$G$4:$G$968,'июль 2023'!$D$4:$D$968,$B70,'июль 2023'!$J$4:$J$968,AA$1)</f>
        <v>0</v>
      </c>
      <c r="AB70" s="207">
        <f>SUMIFS('июль 2023'!$G$4:$G$968,'июль 2023'!$D$4:$D$968,$B70,'июль 2023'!$J$4:$J$968,AB$1)</f>
        <v>0</v>
      </c>
      <c r="AC70" s="207">
        <f>SUMIFS('июль 2023'!$G$4:$G$968,'июль 2023'!$D$4:$D$968,$B70,'июль 2023'!$J$4:$J$968,AC$1)</f>
        <v>0</v>
      </c>
      <c r="AD70" s="207">
        <f>SUMIFS('июль 2023'!$G$4:$G$968,'июль 2023'!$D$4:$D$968,$B70,'июль 2023'!$J$4:$J$968,AD$1)</f>
        <v>0</v>
      </c>
      <c r="AE70" s="207">
        <f>SUMIFS('июль 2023'!$G$4:$G$968,'июль 2023'!$D$4:$D$968,$B70,'июль 2023'!$J$4:$J$968,AE$1)</f>
        <v>0</v>
      </c>
      <c r="AF70" s="207">
        <f>SUMIFS('июль 2023'!$G$4:$G$968,'июль 2023'!$D$4:$D$968,$B70,'июль 2023'!$J$4:$J$968,AF$1)</f>
        <v>0</v>
      </c>
      <c r="AG70" s="207">
        <f>SUMIFS('июль 2023'!$G$4:$G$968,'июль 2023'!$D$4:$D$968,$B70,'июль 2023'!$J$4:$J$968,AG$1)</f>
        <v>0</v>
      </c>
      <c r="AH70" s="207">
        <f>SUMIFS('июль 2023'!$G$4:$G$968,'июль 2023'!$D$4:$D$968,$B70,'июль 2023'!$J$4:$J$968,AH$1)</f>
        <v>0</v>
      </c>
      <c r="AI70" s="170">
        <f t="shared" si="2"/>
        <v>0</v>
      </c>
    </row>
    <row r="71" spans="2:35" ht="15" customHeight="1" x14ac:dyDescent="0.25">
      <c r="B71" s="216" t="s">
        <v>1779</v>
      </c>
      <c r="C71" s="213">
        <v>180</v>
      </c>
      <c r="D71" s="207">
        <f>SUMIFS('июль 2023'!$G$4:$G$968,'июль 2023'!$D$4:$D$968,$B71,'июль 2023'!$J$4:$J$968,D$1)</f>
        <v>0</v>
      </c>
      <c r="E71" s="207">
        <f>SUMIFS('июль 2023'!$G$4:$G$968,'июль 2023'!$D$4:$D$968,$B71,'июль 2023'!$J$4:$J$968,E$1)</f>
        <v>0</v>
      </c>
      <c r="F71" s="207">
        <f>SUMIFS('июль 2023'!$G$4:$G$968,'июль 2023'!$D$4:$D$968,$B71,'июль 2023'!$J$4:$J$968,F$1)</f>
        <v>0</v>
      </c>
      <c r="G71" s="207">
        <f>SUMIFS('июль 2023'!$G$4:$G$968,'июль 2023'!$D$4:$D$968,$B71,'июль 2023'!$J$4:$J$968,G$1)</f>
        <v>0</v>
      </c>
      <c r="H71" s="207">
        <f>SUMIFS('июль 2023'!$G$4:$G$968,'июль 2023'!$D$4:$D$968,$B71,'июль 2023'!$J$4:$J$968,H$1)</f>
        <v>0</v>
      </c>
      <c r="I71" s="207">
        <f>SUMIFS('июль 2023'!$G$4:$G$968,'июль 2023'!$D$4:$D$968,$B71,'июль 2023'!$J$4:$J$968,I$1)</f>
        <v>0</v>
      </c>
      <c r="J71" s="207">
        <f>SUMIFS('июль 2023'!$G$4:$G$968,'июль 2023'!$D$4:$D$968,$B71,'июль 2023'!$J$4:$J$968,J$1)</f>
        <v>0</v>
      </c>
      <c r="K71" s="207">
        <f>SUMIFS('июль 2023'!$G$4:$G$968,'июль 2023'!$D$4:$D$968,$B71,'июль 2023'!$J$4:$J$968,K$1)</f>
        <v>0</v>
      </c>
      <c r="L71" s="207">
        <f>SUMIFS('июль 2023'!$G$4:$G$968,'июль 2023'!$D$4:$D$968,$B71,'июль 2023'!$J$4:$J$968,L$1)</f>
        <v>0</v>
      </c>
      <c r="M71" s="207">
        <f>SUMIFS('июль 2023'!$G$4:$G$968,'июль 2023'!$D$4:$D$968,$B71,'июль 2023'!$J$4:$J$968,M$1)</f>
        <v>0</v>
      </c>
      <c r="N71" s="207">
        <f>SUMIFS('июль 2023'!$G$4:$G$968,'июль 2023'!$D$4:$D$968,$B71,'июль 2023'!$J$4:$J$968,N$1)</f>
        <v>0</v>
      </c>
      <c r="O71" s="207">
        <f>SUMIFS('июль 2023'!$G$4:$G$968,'июль 2023'!$D$4:$D$968,$B71,'июль 2023'!$J$4:$J$968,O$1)</f>
        <v>0</v>
      </c>
      <c r="P71" s="207">
        <f>SUMIFS('июль 2023'!$G$4:$G$968,'июль 2023'!$D$4:$D$968,$B71,'июль 2023'!$J$4:$J$968,P$1)</f>
        <v>0</v>
      </c>
      <c r="Q71" s="207">
        <f>SUMIFS('июль 2023'!$G$4:$G$968,'июль 2023'!$D$4:$D$968,$B71,'июль 2023'!$J$4:$J$968,Q$1)</f>
        <v>0</v>
      </c>
      <c r="R71" s="207">
        <f>SUMIFS('июль 2023'!$G$4:$G$968,'июль 2023'!$D$4:$D$968,$B71,'июль 2023'!$J$4:$J$968,R$1)</f>
        <v>0</v>
      </c>
      <c r="S71" s="207">
        <f>SUMIFS('июль 2023'!$G$4:$G$968,'июль 2023'!$D$4:$D$968,$B71,'июль 2023'!$J$4:$J$968,S$1)</f>
        <v>0</v>
      </c>
      <c r="T71" s="207">
        <f>SUMIFS('июль 2023'!$G$4:$G$968,'июль 2023'!$D$4:$D$968,$B71,'июль 2023'!$J$4:$J$968,T$1)</f>
        <v>0</v>
      </c>
      <c r="U71" s="207">
        <f>SUMIFS('июль 2023'!$G$4:$G$968,'июль 2023'!$D$4:$D$968,$B71,'июль 2023'!$J$4:$J$968,U$1)</f>
        <v>0</v>
      </c>
      <c r="V71" s="207">
        <f>SUMIFS('июль 2023'!$G$4:$G$968,'июль 2023'!$D$4:$D$968,$B71,'июль 2023'!$J$4:$J$968,V$1)</f>
        <v>0</v>
      </c>
      <c r="W71" s="207">
        <f>SUMIFS('июль 2023'!$G$4:$G$968,'июль 2023'!$D$4:$D$968,$B71,'июль 2023'!$J$4:$J$968,W$1)</f>
        <v>0</v>
      </c>
      <c r="X71" s="207">
        <f>SUMIFS('июль 2023'!$G$4:$G$968,'июль 2023'!$D$4:$D$968,$B71,'июль 2023'!$J$4:$J$968,X$1)</f>
        <v>0</v>
      </c>
      <c r="Y71" s="207">
        <f>SUMIFS('июль 2023'!$G$4:$G$968,'июль 2023'!$D$4:$D$968,$B71,'июль 2023'!$J$4:$J$968,Y$1)</f>
        <v>0</v>
      </c>
      <c r="Z71" s="207">
        <f>SUMIFS('июль 2023'!$G$4:$G$968,'июль 2023'!$D$4:$D$968,$B71,'июль 2023'!$J$4:$J$968,Z$1)</f>
        <v>0</v>
      </c>
      <c r="AA71" s="207">
        <f>SUMIFS('июль 2023'!$G$4:$G$968,'июль 2023'!$D$4:$D$968,$B71,'июль 2023'!$J$4:$J$968,AA$1)</f>
        <v>0</v>
      </c>
      <c r="AB71" s="207">
        <f>SUMIFS('июль 2023'!$G$4:$G$968,'июль 2023'!$D$4:$D$968,$B71,'июль 2023'!$J$4:$J$968,AB$1)</f>
        <v>0</v>
      </c>
      <c r="AC71" s="207">
        <f>SUMIFS('июль 2023'!$G$4:$G$968,'июль 2023'!$D$4:$D$968,$B71,'июль 2023'!$J$4:$J$968,AC$1)</f>
        <v>0</v>
      </c>
      <c r="AD71" s="207">
        <f>SUMIFS('июль 2023'!$G$4:$G$968,'июль 2023'!$D$4:$D$968,$B71,'июль 2023'!$J$4:$J$968,AD$1)</f>
        <v>0</v>
      </c>
      <c r="AE71" s="207">
        <f>SUMIFS('июль 2023'!$G$4:$G$968,'июль 2023'!$D$4:$D$968,$B71,'июль 2023'!$J$4:$J$968,AE$1)</f>
        <v>0</v>
      </c>
      <c r="AF71" s="207">
        <f>SUMIFS('июль 2023'!$G$4:$G$968,'июль 2023'!$D$4:$D$968,$B71,'июль 2023'!$J$4:$J$968,AF$1)</f>
        <v>0</v>
      </c>
      <c r="AG71" s="207">
        <f>SUMIFS('июль 2023'!$G$4:$G$968,'июль 2023'!$D$4:$D$968,$B71,'июль 2023'!$J$4:$J$968,AG$1)</f>
        <v>0</v>
      </c>
      <c r="AH71" s="207">
        <f>SUMIFS('июль 2023'!$G$4:$G$968,'июль 2023'!$D$4:$D$968,$B71,'июль 2023'!$J$4:$J$968,AH$1)</f>
        <v>0</v>
      </c>
      <c r="AI71" s="170">
        <f t="shared" si="2"/>
        <v>0</v>
      </c>
    </row>
    <row r="72" spans="2:35" ht="15" customHeight="1" x14ac:dyDescent="0.25">
      <c r="B72" s="212" t="s">
        <v>634</v>
      </c>
      <c r="C72" s="211">
        <v>200</v>
      </c>
      <c r="D72" s="207">
        <f>SUMIFS('июль 2023'!$G$4:$G$968,'июль 2023'!$D$4:$D$968,$B72,'июль 2023'!$J$4:$J$968,D$1)</f>
        <v>0</v>
      </c>
      <c r="E72" s="207">
        <f>SUMIFS('июль 2023'!$G$4:$G$968,'июль 2023'!$D$4:$D$968,$B72,'июль 2023'!$J$4:$J$968,E$1)</f>
        <v>0</v>
      </c>
      <c r="F72" s="207">
        <f>SUMIFS('июль 2023'!$G$4:$G$968,'июль 2023'!$D$4:$D$968,$B72,'июль 2023'!$J$4:$J$968,F$1)</f>
        <v>0</v>
      </c>
      <c r="G72" s="207">
        <f>SUMIFS('июль 2023'!$G$4:$G$968,'июль 2023'!$D$4:$D$968,$B72,'июль 2023'!$J$4:$J$968,G$1)</f>
        <v>0</v>
      </c>
      <c r="H72" s="207">
        <f>SUMIFS('июль 2023'!$G$4:$G$968,'июль 2023'!$D$4:$D$968,$B72,'июль 2023'!$J$4:$J$968,H$1)</f>
        <v>0</v>
      </c>
      <c r="I72" s="207">
        <f>SUMIFS('июль 2023'!$G$4:$G$968,'июль 2023'!$D$4:$D$968,$B72,'июль 2023'!$J$4:$J$968,I$1)</f>
        <v>0</v>
      </c>
      <c r="J72" s="207">
        <f>SUMIFS('июль 2023'!$G$4:$G$968,'июль 2023'!$D$4:$D$968,$B72,'июль 2023'!$J$4:$J$968,J$1)</f>
        <v>0</v>
      </c>
      <c r="K72" s="207">
        <f>SUMIFS('июль 2023'!$G$4:$G$968,'июль 2023'!$D$4:$D$968,$B72,'июль 2023'!$J$4:$J$968,K$1)</f>
        <v>0</v>
      </c>
      <c r="L72" s="207">
        <f>SUMIFS('июль 2023'!$G$4:$G$968,'июль 2023'!$D$4:$D$968,$B72,'июль 2023'!$J$4:$J$968,L$1)</f>
        <v>0</v>
      </c>
      <c r="M72" s="207">
        <f>SUMIFS('июль 2023'!$G$4:$G$968,'июль 2023'!$D$4:$D$968,$B72,'июль 2023'!$J$4:$J$968,M$1)</f>
        <v>0</v>
      </c>
      <c r="N72" s="207">
        <f>SUMIFS('июль 2023'!$G$4:$G$968,'июль 2023'!$D$4:$D$968,$B72,'июль 2023'!$J$4:$J$968,N$1)</f>
        <v>0</v>
      </c>
      <c r="O72" s="207">
        <f>SUMIFS('июль 2023'!$G$4:$G$968,'июль 2023'!$D$4:$D$968,$B72,'июль 2023'!$J$4:$J$968,O$1)</f>
        <v>0</v>
      </c>
      <c r="P72" s="207">
        <f>SUMIFS('июль 2023'!$G$4:$G$968,'июль 2023'!$D$4:$D$968,$B72,'июль 2023'!$J$4:$J$968,P$1)</f>
        <v>0</v>
      </c>
      <c r="Q72" s="207">
        <f>SUMIFS('июль 2023'!$G$4:$G$968,'июль 2023'!$D$4:$D$968,$B72,'июль 2023'!$J$4:$J$968,Q$1)</f>
        <v>0</v>
      </c>
      <c r="R72" s="207">
        <f>SUMIFS('июль 2023'!$G$4:$G$968,'июль 2023'!$D$4:$D$968,$B72,'июль 2023'!$J$4:$J$968,R$1)</f>
        <v>0</v>
      </c>
      <c r="S72" s="207">
        <f>SUMIFS('июль 2023'!$G$4:$G$968,'июль 2023'!$D$4:$D$968,$B72,'июль 2023'!$J$4:$J$968,S$1)</f>
        <v>0</v>
      </c>
      <c r="T72" s="207">
        <f>SUMIFS('июль 2023'!$G$4:$G$968,'июль 2023'!$D$4:$D$968,$B72,'июль 2023'!$J$4:$J$968,T$1)</f>
        <v>0</v>
      </c>
      <c r="U72" s="207">
        <f>SUMIFS('июль 2023'!$G$4:$G$968,'июль 2023'!$D$4:$D$968,$B72,'июль 2023'!$J$4:$J$968,U$1)</f>
        <v>0</v>
      </c>
      <c r="V72" s="207">
        <f>SUMIFS('июль 2023'!$G$4:$G$968,'июль 2023'!$D$4:$D$968,$B72,'июль 2023'!$J$4:$J$968,V$1)</f>
        <v>0</v>
      </c>
      <c r="W72" s="207">
        <f>SUMIFS('июль 2023'!$G$4:$G$968,'июль 2023'!$D$4:$D$968,$B72,'июль 2023'!$J$4:$J$968,W$1)</f>
        <v>0</v>
      </c>
      <c r="X72" s="207">
        <f>SUMIFS('июль 2023'!$G$4:$G$968,'июль 2023'!$D$4:$D$968,$B72,'июль 2023'!$J$4:$J$968,X$1)</f>
        <v>0</v>
      </c>
      <c r="Y72" s="207">
        <f>SUMIFS('июль 2023'!$G$4:$G$968,'июль 2023'!$D$4:$D$968,$B72,'июль 2023'!$J$4:$J$968,Y$1)</f>
        <v>0</v>
      </c>
      <c r="Z72" s="207">
        <f>SUMIFS('июль 2023'!$G$4:$G$968,'июль 2023'!$D$4:$D$968,$B72,'июль 2023'!$J$4:$J$968,Z$1)</f>
        <v>0</v>
      </c>
      <c r="AA72" s="207">
        <f>SUMIFS('июль 2023'!$G$4:$G$968,'июль 2023'!$D$4:$D$968,$B72,'июль 2023'!$J$4:$J$968,AA$1)</f>
        <v>0</v>
      </c>
      <c r="AB72" s="207">
        <f>SUMIFS('июль 2023'!$G$4:$G$968,'июль 2023'!$D$4:$D$968,$B72,'июль 2023'!$J$4:$J$968,AB$1)</f>
        <v>88</v>
      </c>
      <c r="AC72" s="207">
        <f>SUMIFS('июль 2023'!$G$4:$G$968,'июль 2023'!$D$4:$D$968,$B72,'июль 2023'!$J$4:$J$968,AC$1)</f>
        <v>0</v>
      </c>
      <c r="AD72" s="207">
        <f>SUMIFS('июль 2023'!$G$4:$G$968,'июль 2023'!$D$4:$D$968,$B72,'июль 2023'!$J$4:$J$968,AD$1)</f>
        <v>0</v>
      </c>
      <c r="AE72" s="207">
        <f>SUMIFS('июль 2023'!$G$4:$G$968,'июль 2023'!$D$4:$D$968,$B72,'июль 2023'!$J$4:$J$968,AE$1)</f>
        <v>0</v>
      </c>
      <c r="AF72" s="207">
        <f>SUMIFS('июль 2023'!$G$4:$G$968,'июль 2023'!$D$4:$D$968,$B72,'июль 2023'!$J$4:$J$968,AF$1)</f>
        <v>0</v>
      </c>
      <c r="AG72" s="207">
        <f>SUMIFS('июль 2023'!$G$4:$G$968,'июль 2023'!$D$4:$D$968,$B72,'июль 2023'!$J$4:$J$968,AG$1)</f>
        <v>0</v>
      </c>
      <c r="AH72" s="207">
        <f>SUMIFS('июль 2023'!$G$4:$G$968,'июль 2023'!$D$4:$D$968,$B72,'июль 2023'!$J$4:$J$968,AH$1)</f>
        <v>0</v>
      </c>
      <c r="AI72" s="170">
        <f t="shared" si="2"/>
        <v>88</v>
      </c>
    </row>
    <row r="73" spans="2:35" ht="15" customHeight="1" x14ac:dyDescent="0.25">
      <c r="B73" s="216" t="s">
        <v>498</v>
      </c>
      <c r="C73" s="213">
        <v>185</v>
      </c>
      <c r="D73" s="207">
        <f>SUMIFS('июль 2023'!$G$4:$G$968,'июль 2023'!$D$4:$D$968,$B73,'июль 2023'!$J$4:$J$968,D$1)</f>
        <v>0</v>
      </c>
      <c r="E73" s="207">
        <f>SUMIFS('июль 2023'!$G$4:$G$968,'июль 2023'!$D$4:$D$968,$B73,'июль 2023'!$J$4:$J$968,E$1)</f>
        <v>0</v>
      </c>
      <c r="F73" s="207">
        <f>SUMIFS('июль 2023'!$G$4:$G$968,'июль 2023'!$D$4:$D$968,$B73,'июль 2023'!$J$4:$J$968,F$1)</f>
        <v>0</v>
      </c>
      <c r="G73" s="207">
        <f>SUMIFS('июль 2023'!$G$4:$G$968,'июль 2023'!$D$4:$D$968,$B73,'июль 2023'!$J$4:$J$968,G$1)</f>
        <v>0</v>
      </c>
      <c r="H73" s="207">
        <f>SUMIFS('июль 2023'!$G$4:$G$968,'июль 2023'!$D$4:$D$968,$B73,'июль 2023'!$J$4:$J$968,H$1)</f>
        <v>0</v>
      </c>
      <c r="I73" s="207">
        <f>SUMIFS('июль 2023'!$G$4:$G$968,'июль 2023'!$D$4:$D$968,$B73,'июль 2023'!$J$4:$J$968,I$1)</f>
        <v>0</v>
      </c>
      <c r="J73" s="207">
        <f>SUMIFS('июль 2023'!$G$4:$G$968,'июль 2023'!$D$4:$D$968,$B73,'июль 2023'!$J$4:$J$968,J$1)</f>
        <v>0</v>
      </c>
      <c r="K73" s="207">
        <f>SUMIFS('июль 2023'!$G$4:$G$968,'июль 2023'!$D$4:$D$968,$B73,'июль 2023'!$J$4:$J$968,K$1)</f>
        <v>0</v>
      </c>
      <c r="L73" s="207">
        <f>SUMIFS('июль 2023'!$G$4:$G$968,'июль 2023'!$D$4:$D$968,$B73,'июль 2023'!$J$4:$J$968,L$1)</f>
        <v>0</v>
      </c>
      <c r="M73" s="207">
        <f>SUMIFS('июль 2023'!$G$4:$G$968,'июль 2023'!$D$4:$D$968,$B73,'июль 2023'!$J$4:$J$968,M$1)</f>
        <v>0</v>
      </c>
      <c r="N73" s="207">
        <f>SUMIFS('июль 2023'!$G$4:$G$968,'июль 2023'!$D$4:$D$968,$B73,'июль 2023'!$J$4:$J$968,N$1)</f>
        <v>0</v>
      </c>
      <c r="O73" s="207">
        <f>SUMIFS('июль 2023'!$G$4:$G$968,'июль 2023'!$D$4:$D$968,$B73,'июль 2023'!$J$4:$J$968,O$1)</f>
        <v>0</v>
      </c>
      <c r="P73" s="207">
        <f>SUMIFS('июль 2023'!$G$4:$G$968,'июль 2023'!$D$4:$D$968,$B73,'июль 2023'!$J$4:$J$968,P$1)</f>
        <v>0</v>
      </c>
      <c r="Q73" s="207">
        <f>SUMIFS('июль 2023'!$G$4:$G$968,'июль 2023'!$D$4:$D$968,$B73,'июль 2023'!$J$4:$J$968,Q$1)</f>
        <v>0</v>
      </c>
      <c r="R73" s="207">
        <f>SUMIFS('июль 2023'!$G$4:$G$968,'июль 2023'!$D$4:$D$968,$B73,'июль 2023'!$J$4:$J$968,R$1)</f>
        <v>0</v>
      </c>
      <c r="S73" s="207">
        <f>SUMIFS('июль 2023'!$G$4:$G$968,'июль 2023'!$D$4:$D$968,$B73,'июль 2023'!$J$4:$J$968,S$1)</f>
        <v>0</v>
      </c>
      <c r="T73" s="207">
        <f>SUMIFS('июль 2023'!$G$4:$G$968,'июль 2023'!$D$4:$D$968,$B73,'июль 2023'!$J$4:$J$968,T$1)</f>
        <v>0</v>
      </c>
      <c r="U73" s="207">
        <f>SUMIFS('июль 2023'!$G$4:$G$968,'июль 2023'!$D$4:$D$968,$B73,'июль 2023'!$J$4:$J$968,U$1)</f>
        <v>0</v>
      </c>
      <c r="V73" s="207">
        <f>SUMIFS('июль 2023'!$G$4:$G$968,'июль 2023'!$D$4:$D$968,$B73,'июль 2023'!$J$4:$J$968,V$1)</f>
        <v>0</v>
      </c>
      <c r="W73" s="207">
        <f>SUMIFS('июль 2023'!$G$4:$G$968,'июль 2023'!$D$4:$D$968,$B73,'июль 2023'!$J$4:$J$968,W$1)</f>
        <v>0</v>
      </c>
      <c r="X73" s="207">
        <f>SUMIFS('июль 2023'!$G$4:$G$968,'июль 2023'!$D$4:$D$968,$B73,'июль 2023'!$J$4:$J$968,X$1)</f>
        <v>0</v>
      </c>
      <c r="Y73" s="207">
        <f>SUMIFS('июль 2023'!$G$4:$G$968,'июль 2023'!$D$4:$D$968,$B73,'июль 2023'!$J$4:$J$968,Y$1)</f>
        <v>0</v>
      </c>
      <c r="Z73" s="207">
        <f>SUMIFS('июль 2023'!$G$4:$G$968,'июль 2023'!$D$4:$D$968,$B73,'июль 2023'!$J$4:$J$968,Z$1)</f>
        <v>0</v>
      </c>
      <c r="AA73" s="207">
        <f>SUMIFS('июль 2023'!$G$4:$G$968,'июль 2023'!$D$4:$D$968,$B73,'июль 2023'!$J$4:$J$968,AA$1)</f>
        <v>0</v>
      </c>
      <c r="AB73" s="207">
        <f>SUMIFS('июль 2023'!$G$4:$G$968,'июль 2023'!$D$4:$D$968,$B73,'июль 2023'!$J$4:$J$968,AB$1)</f>
        <v>0</v>
      </c>
      <c r="AC73" s="207">
        <f>SUMIFS('июль 2023'!$G$4:$G$968,'июль 2023'!$D$4:$D$968,$B73,'июль 2023'!$J$4:$J$968,AC$1)</f>
        <v>0</v>
      </c>
      <c r="AD73" s="207">
        <f>SUMIFS('июль 2023'!$G$4:$G$968,'июль 2023'!$D$4:$D$968,$B73,'июль 2023'!$J$4:$J$968,AD$1)</f>
        <v>0</v>
      </c>
      <c r="AE73" s="207">
        <f>SUMIFS('июль 2023'!$G$4:$G$968,'июль 2023'!$D$4:$D$968,$B73,'июль 2023'!$J$4:$J$968,AE$1)</f>
        <v>0</v>
      </c>
      <c r="AF73" s="207">
        <f>SUMIFS('июль 2023'!$G$4:$G$968,'июль 2023'!$D$4:$D$968,$B73,'июль 2023'!$J$4:$J$968,AF$1)</f>
        <v>0</v>
      </c>
      <c r="AG73" s="207">
        <f>SUMIFS('июль 2023'!$G$4:$G$968,'июль 2023'!$D$4:$D$968,$B73,'июль 2023'!$J$4:$J$968,AG$1)</f>
        <v>0</v>
      </c>
      <c r="AH73" s="207">
        <f>SUMIFS('июль 2023'!$G$4:$G$968,'июль 2023'!$D$4:$D$968,$B73,'июль 2023'!$J$4:$J$968,AH$1)</f>
        <v>0</v>
      </c>
      <c r="AI73" s="170">
        <f t="shared" si="2"/>
        <v>0</v>
      </c>
    </row>
    <row r="74" spans="2:35" ht="15" customHeight="1" x14ac:dyDescent="0.25">
      <c r="B74" s="216" t="s">
        <v>155</v>
      </c>
      <c r="C74" s="213">
        <v>185</v>
      </c>
      <c r="D74" s="207">
        <f>SUMIFS('июль 2023'!$G$4:$G$968,'июль 2023'!$D$4:$D$968,$B74,'июль 2023'!$J$4:$J$968,D$1)</f>
        <v>0</v>
      </c>
      <c r="E74" s="207">
        <f>SUMIFS('июль 2023'!$G$4:$G$968,'июль 2023'!$D$4:$D$968,$B74,'июль 2023'!$J$4:$J$968,E$1)</f>
        <v>0</v>
      </c>
      <c r="F74" s="207">
        <f>SUMIFS('июль 2023'!$G$4:$G$968,'июль 2023'!$D$4:$D$968,$B74,'июль 2023'!$J$4:$J$968,F$1)</f>
        <v>0</v>
      </c>
      <c r="G74" s="207">
        <f>SUMIFS('июль 2023'!$G$4:$G$968,'июль 2023'!$D$4:$D$968,$B74,'июль 2023'!$J$4:$J$968,G$1)</f>
        <v>0</v>
      </c>
      <c r="H74" s="207">
        <f>SUMIFS('июль 2023'!$G$4:$G$968,'июль 2023'!$D$4:$D$968,$B74,'июль 2023'!$J$4:$J$968,H$1)</f>
        <v>0</v>
      </c>
      <c r="I74" s="207">
        <f>SUMIFS('июль 2023'!$G$4:$G$968,'июль 2023'!$D$4:$D$968,$B74,'июль 2023'!$J$4:$J$968,I$1)</f>
        <v>0</v>
      </c>
      <c r="J74" s="207">
        <f>SUMIFS('июль 2023'!$G$4:$G$968,'июль 2023'!$D$4:$D$968,$B74,'июль 2023'!$J$4:$J$968,J$1)</f>
        <v>0</v>
      </c>
      <c r="K74" s="207">
        <f>SUMIFS('июль 2023'!$G$4:$G$968,'июль 2023'!$D$4:$D$968,$B74,'июль 2023'!$J$4:$J$968,K$1)</f>
        <v>0</v>
      </c>
      <c r="L74" s="207">
        <f>SUMIFS('июль 2023'!$G$4:$G$968,'июль 2023'!$D$4:$D$968,$B74,'июль 2023'!$J$4:$J$968,L$1)</f>
        <v>0</v>
      </c>
      <c r="M74" s="207">
        <f>SUMIFS('июль 2023'!$G$4:$G$968,'июль 2023'!$D$4:$D$968,$B74,'июль 2023'!$J$4:$J$968,M$1)</f>
        <v>0</v>
      </c>
      <c r="N74" s="207">
        <f>SUMIFS('июль 2023'!$G$4:$G$968,'июль 2023'!$D$4:$D$968,$B74,'июль 2023'!$J$4:$J$968,N$1)</f>
        <v>0</v>
      </c>
      <c r="O74" s="207">
        <f>SUMIFS('июль 2023'!$G$4:$G$968,'июль 2023'!$D$4:$D$968,$B74,'июль 2023'!$J$4:$J$968,O$1)</f>
        <v>0</v>
      </c>
      <c r="P74" s="207">
        <f>SUMIFS('июль 2023'!$G$4:$G$968,'июль 2023'!$D$4:$D$968,$B74,'июль 2023'!$J$4:$J$968,P$1)</f>
        <v>0</v>
      </c>
      <c r="Q74" s="207">
        <f>SUMIFS('июль 2023'!$G$4:$G$968,'июль 2023'!$D$4:$D$968,$B74,'июль 2023'!$J$4:$J$968,Q$1)</f>
        <v>0</v>
      </c>
      <c r="R74" s="207">
        <f>SUMIFS('июль 2023'!$G$4:$G$968,'июль 2023'!$D$4:$D$968,$B74,'июль 2023'!$J$4:$J$968,R$1)</f>
        <v>0</v>
      </c>
      <c r="S74" s="207">
        <f>SUMIFS('июль 2023'!$G$4:$G$968,'июль 2023'!$D$4:$D$968,$B74,'июль 2023'!$J$4:$J$968,S$1)</f>
        <v>0</v>
      </c>
      <c r="T74" s="207">
        <f>SUMIFS('июль 2023'!$G$4:$G$968,'июль 2023'!$D$4:$D$968,$B74,'июль 2023'!$J$4:$J$968,T$1)</f>
        <v>0</v>
      </c>
      <c r="U74" s="207">
        <f>SUMIFS('июль 2023'!$G$4:$G$968,'июль 2023'!$D$4:$D$968,$B74,'июль 2023'!$J$4:$J$968,U$1)</f>
        <v>0</v>
      </c>
      <c r="V74" s="207">
        <f>SUMIFS('июль 2023'!$G$4:$G$968,'июль 2023'!$D$4:$D$968,$B74,'июль 2023'!$J$4:$J$968,V$1)</f>
        <v>0</v>
      </c>
      <c r="W74" s="207">
        <f>SUMIFS('июль 2023'!$G$4:$G$968,'июль 2023'!$D$4:$D$968,$B74,'июль 2023'!$J$4:$J$968,W$1)</f>
        <v>0</v>
      </c>
      <c r="X74" s="207">
        <f>SUMIFS('июль 2023'!$G$4:$G$968,'июль 2023'!$D$4:$D$968,$B74,'июль 2023'!$J$4:$J$968,X$1)</f>
        <v>0</v>
      </c>
      <c r="Y74" s="207">
        <f>SUMIFS('июль 2023'!$G$4:$G$968,'июль 2023'!$D$4:$D$968,$B74,'июль 2023'!$J$4:$J$968,Y$1)</f>
        <v>0</v>
      </c>
      <c r="Z74" s="207">
        <f>SUMIFS('июль 2023'!$G$4:$G$968,'июль 2023'!$D$4:$D$968,$B74,'июль 2023'!$J$4:$J$968,Z$1)</f>
        <v>0</v>
      </c>
      <c r="AA74" s="207">
        <f>SUMIFS('июль 2023'!$G$4:$G$968,'июль 2023'!$D$4:$D$968,$B74,'июль 2023'!$J$4:$J$968,AA$1)</f>
        <v>0</v>
      </c>
      <c r="AB74" s="207">
        <f>SUMIFS('июль 2023'!$G$4:$G$968,'июль 2023'!$D$4:$D$968,$B74,'июль 2023'!$J$4:$J$968,AB$1)</f>
        <v>0</v>
      </c>
      <c r="AC74" s="207">
        <f>SUMIFS('июль 2023'!$G$4:$G$968,'июль 2023'!$D$4:$D$968,$B74,'июль 2023'!$J$4:$J$968,AC$1)</f>
        <v>0</v>
      </c>
      <c r="AD74" s="207">
        <f>SUMIFS('июль 2023'!$G$4:$G$968,'июль 2023'!$D$4:$D$968,$B74,'июль 2023'!$J$4:$J$968,AD$1)</f>
        <v>0</v>
      </c>
      <c r="AE74" s="207">
        <f>SUMIFS('июль 2023'!$G$4:$G$968,'июль 2023'!$D$4:$D$968,$B74,'июль 2023'!$J$4:$J$968,AE$1)</f>
        <v>0</v>
      </c>
      <c r="AF74" s="207">
        <f>SUMIFS('июль 2023'!$G$4:$G$968,'июль 2023'!$D$4:$D$968,$B74,'июль 2023'!$J$4:$J$968,AF$1)</f>
        <v>0</v>
      </c>
      <c r="AG74" s="207">
        <f>SUMIFS('июль 2023'!$G$4:$G$968,'июль 2023'!$D$4:$D$968,$B74,'июль 2023'!$J$4:$J$968,AG$1)</f>
        <v>0</v>
      </c>
      <c r="AH74" s="207">
        <f>SUMIFS('июль 2023'!$G$4:$G$968,'июль 2023'!$D$4:$D$968,$B74,'июль 2023'!$J$4:$J$968,AH$1)</f>
        <v>0</v>
      </c>
      <c r="AI74" s="170">
        <f t="shared" si="2"/>
        <v>0</v>
      </c>
    </row>
    <row r="75" spans="2:35" ht="15" customHeight="1" x14ac:dyDescent="0.25">
      <c r="B75" s="216" t="s">
        <v>2180</v>
      </c>
      <c r="C75" s="213">
        <v>180</v>
      </c>
      <c r="D75" s="207">
        <f>SUMIFS('июль 2023'!$G$4:$G$968,'июль 2023'!$D$4:$D$968,$B75,'июль 2023'!$J$4:$J$968,D$1)</f>
        <v>0</v>
      </c>
      <c r="E75" s="207">
        <f>SUMIFS('июль 2023'!$G$4:$G$968,'июль 2023'!$D$4:$D$968,$B75,'июль 2023'!$J$4:$J$968,E$1)</f>
        <v>0</v>
      </c>
      <c r="F75" s="207">
        <f>SUMIFS('июль 2023'!$G$4:$G$968,'июль 2023'!$D$4:$D$968,$B75,'июль 2023'!$J$4:$J$968,F$1)</f>
        <v>0</v>
      </c>
      <c r="G75" s="207">
        <f>SUMIFS('июль 2023'!$G$4:$G$968,'июль 2023'!$D$4:$D$968,$B75,'июль 2023'!$J$4:$J$968,G$1)</f>
        <v>0</v>
      </c>
      <c r="H75" s="207">
        <f>SUMIFS('июль 2023'!$G$4:$G$968,'июль 2023'!$D$4:$D$968,$B75,'июль 2023'!$J$4:$J$968,H$1)</f>
        <v>0</v>
      </c>
      <c r="I75" s="207">
        <f>SUMIFS('июль 2023'!$G$4:$G$968,'июль 2023'!$D$4:$D$968,$B75,'июль 2023'!$J$4:$J$968,I$1)</f>
        <v>0</v>
      </c>
      <c r="J75" s="207">
        <f>SUMIFS('июль 2023'!$G$4:$G$968,'июль 2023'!$D$4:$D$968,$B75,'июль 2023'!$J$4:$J$968,J$1)</f>
        <v>0</v>
      </c>
      <c r="K75" s="207">
        <f>SUMIFS('июль 2023'!$G$4:$G$968,'июль 2023'!$D$4:$D$968,$B75,'июль 2023'!$J$4:$J$968,K$1)</f>
        <v>0</v>
      </c>
      <c r="L75" s="207">
        <f>SUMIFS('июль 2023'!$G$4:$G$968,'июль 2023'!$D$4:$D$968,$B75,'июль 2023'!$J$4:$J$968,L$1)</f>
        <v>0</v>
      </c>
      <c r="M75" s="207">
        <f>SUMIFS('июль 2023'!$G$4:$G$968,'июль 2023'!$D$4:$D$968,$B75,'июль 2023'!$J$4:$J$968,M$1)</f>
        <v>0</v>
      </c>
      <c r="N75" s="207">
        <f>SUMIFS('июль 2023'!$G$4:$G$968,'июль 2023'!$D$4:$D$968,$B75,'июль 2023'!$J$4:$J$968,N$1)</f>
        <v>0</v>
      </c>
      <c r="O75" s="207">
        <f>SUMIFS('июль 2023'!$G$4:$G$968,'июль 2023'!$D$4:$D$968,$B75,'июль 2023'!$J$4:$J$968,O$1)</f>
        <v>0</v>
      </c>
      <c r="P75" s="207">
        <f>SUMIFS('июль 2023'!$G$4:$G$968,'июль 2023'!$D$4:$D$968,$B75,'июль 2023'!$J$4:$J$968,P$1)</f>
        <v>0</v>
      </c>
      <c r="Q75" s="207">
        <f>SUMIFS('июль 2023'!$G$4:$G$968,'июль 2023'!$D$4:$D$968,$B75,'июль 2023'!$J$4:$J$968,Q$1)</f>
        <v>0</v>
      </c>
      <c r="R75" s="207">
        <f>SUMIFS('июль 2023'!$G$4:$G$968,'июль 2023'!$D$4:$D$968,$B75,'июль 2023'!$J$4:$J$968,R$1)</f>
        <v>0</v>
      </c>
      <c r="S75" s="207">
        <f>SUMIFS('июль 2023'!$G$4:$G$968,'июль 2023'!$D$4:$D$968,$B75,'июль 2023'!$J$4:$J$968,S$1)</f>
        <v>0</v>
      </c>
      <c r="T75" s="207">
        <f>SUMIFS('июль 2023'!$G$4:$G$968,'июль 2023'!$D$4:$D$968,$B75,'июль 2023'!$J$4:$J$968,T$1)</f>
        <v>0</v>
      </c>
      <c r="U75" s="207">
        <f>SUMIFS('июль 2023'!$G$4:$G$968,'июль 2023'!$D$4:$D$968,$B75,'июль 2023'!$J$4:$J$968,U$1)</f>
        <v>0</v>
      </c>
      <c r="V75" s="207">
        <f>SUMIFS('июль 2023'!$G$4:$G$968,'июль 2023'!$D$4:$D$968,$B75,'июль 2023'!$J$4:$J$968,V$1)</f>
        <v>0</v>
      </c>
      <c r="W75" s="207">
        <f>SUMIFS('июль 2023'!$G$4:$G$968,'июль 2023'!$D$4:$D$968,$B75,'июль 2023'!$J$4:$J$968,W$1)</f>
        <v>0</v>
      </c>
      <c r="X75" s="207">
        <f>SUMIFS('июль 2023'!$G$4:$G$968,'июль 2023'!$D$4:$D$968,$B75,'июль 2023'!$J$4:$J$968,X$1)</f>
        <v>0</v>
      </c>
      <c r="Y75" s="207">
        <f>SUMIFS('июль 2023'!$G$4:$G$968,'июль 2023'!$D$4:$D$968,$B75,'июль 2023'!$J$4:$J$968,Y$1)</f>
        <v>0</v>
      </c>
      <c r="Z75" s="207">
        <f>SUMIFS('июль 2023'!$G$4:$G$968,'июль 2023'!$D$4:$D$968,$B75,'июль 2023'!$J$4:$J$968,Z$1)</f>
        <v>0</v>
      </c>
      <c r="AA75" s="207">
        <f>SUMIFS('июль 2023'!$G$4:$G$968,'июль 2023'!$D$4:$D$968,$B75,'июль 2023'!$J$4:$J$968,AA$1)</f>
        <v>0</v>
      </c>
      <c r="AB75" s="207">
        <f>SUMIFS('июль 2023'!$G$4:$G$968,'июль 2023'!$D$4:$D$968,$B75,'июль 2023'!$J$4:$J$968,AB$1)</f>
        <v>0</v>
      </c>
      <c r="AC75" s="207">
        <f>SUMIFS('июль 2023'!$G$4:$G$968,'июль 2023'!$D$4:$D$968,$B75,'июль 2023'!$J$4:$J$968,AC$1)</f>
        <v>0</v>
      </c>
      <c r="AD75" s="207">
        <f>SUMIFS('июль 2023'!$G$4:$G$968,'июль 2023'!$D$4:$D$968,$B75,'июль 2023'!$J$4:$J$968,AD$1)</f>
        <v>0</v>
      </c>
      <c r="AE75" s="207">
        <f>SUMIFS('июль 2023'!$G$4:$G$968,'июль 2023'!$D$4:$D$968,$B75,'июль 2023'!$J$4:$J$968,AE$1)</f>
        <v>0</v>
      </c>
      <c r="AF75" s="207">
        <f>SUMIFS('июль 2023'!$G$4:$G$968,'июль 2023'!$D$4:$D$968,$B75,'июль 2023'!$J$4:$J$968,AF$1)</f>
        <v>0</v>
      </c>
      <c r="AG75" s="207">
        <f>SUMIFS('июль 2023'!$G$4:$G$968,'июль 2023'!$D$4:$D$968,$B75,'июль 2023'!$J$4:$J$968,AG$1)</f>
        <v>0</v>
      </c>
      <c r="AH75" s="207">
        <f>SUMIFS('июль 2023'!$G$4:$G$968,'июль 2023'!$D$4:$D$968,$B75,'июль 2023'!$J$4:$J$968,AH$1)</f>
        <v>0</v>
      </c>
      <c r="AI75" s="170">
        <f t="shared" si="2"/>
        <v>0</v>
      </c>
    </row>
    <row r="76" spans="2:35" ht="15" customHeight="1" x14ac:dyDescent="0.25">
      <c r="B76" s="212" t="s">
        <v>2183</v>
      </c>
      <c r="C76" s="211">
        <v>180</v>
      </c>
      <c r="D76" s="207">
        <f>SUMIFS('июль 2023'!$G$4:$G$968,'июль 2023'!$D$4:$D$968,$B76,'июль 2023'!$J$4:$J$968,D$1)</f>
        <v>0</v>
      </c>
      <c r="E76" s="207">
        <f>SUMIFS('июль 2023'!$G$4:$G$968,'июль 2023'!$D$4:$D$968,$B76,'июль 2023'!$J$4:$J$968,E$1)</f>
        <v>0</v>
      </c>
      <c r="F76" s="207">
        <f>SUMIFS('июль 2023'!$G$4:$G$968,'июль 2023'!$D$4:$D$968,$B76,'июль 2023'!$J$4:$J$968,F$1)</f>
        <v>0</v>
      </c>
      <c r="G76" s="207">
        <f>SUMIFS('июль 2023'!$G$4:$G$968,'июль 2023'!$D$4:$D$968,$B76,'июль 2023'!$J$4:$J$968,G$1)</f>
        <v>0</v>
      </c>
      <c r="H76" s="207">
        <f>SUMIFS('июль 2023'!$G$4:$G$968,'июль 2023'!$D$4:$D$968,$B76,'июль 2023'!$J$4:$J$968,H$1)</f>
        <v>0</v>
      </c>
      <c r="I76" s="207">
        <f>SUMIFS('июль 2023'!$G$4:$G$968,'июль 2023'!$D$4:$D$968,$B76,'июль 2023'!$J$4:$J$968,I$1)</f>
        <v>0</v>
      </c>
      <c r="J76" s="207">
        <f>SUMIFS('июль 2023'!$G$4:$G$968,'июль 2023'!$D$4:$D$968,$B76,'июль 2023'!$J$4:$J$968,J$1)</f>
        <v>0</v>
      </c>
      <c r="K76" s="207">
        <f>SUMIFS('июль 2023'!$G$4:$G$968,'июль 2023'!$D$4:$D$968,$B76,'июль 2023'!$J$4:$J$968,K$1)</f>
        <v>0</v>
      </c>
      <c r="L76" s="207">
        <f>SUMIFS('июль 2023'!$G$4:$G$968,'июль 2023'!$D$4:$D$968,$B76,'июль 2023'!$J$4:$J$968,L$1)</f>
        <v>0</v>
      </c>
      <c r="M76" s="207">
        <f>SUMIFS('июль 2023'!$G$4:$G$968,'июль 2023'!$D$4:$D$968,$B76,'июль 2023'!$J$4:$J$968,M$1)</f>
        <v>0</v>
      </c>
      <c r="N76" s="207">
        <f>SUMIFS('июль 2023'!$G$4:$G$968,'июль 2023'!$D$4:$D$968,$B76,'июль 2023'!$J$4:$J$968,N$1)</f>
        <v>0</v>
      </c>
      <c r="O76" s="207">
        <f>SUMIFS('июль 2023'!$G$4:$G$968,'июль 2023'!$D$4:$D$968,$B76,'июль 2023'!$J$4:$J$968,O$1)</f>
        <v>0</v>
      </c>
      <c r="P76" s="207">
        <f>SUMIFS('июль 2023'!$G$4:$G$968,'июль 2023'!$D$4:$D$968,$B76,'июль 2023'!$J$4:$J$968,P$1)</f>
        <v>0</v>
      </c>
      <c r="Q76" s="207">
        <f>SUMIFS('июль 2023'!$G$4:$G$968,'июль 2023'!$D$4:$D$968,$B76,'июль 2023'!$J$4:$J$968,Q$1)</f>
        <v>0</v>
      </c>
      <c r="R76" s="207">
        <f>SUMIFS('июль 2023'!$G$4:$G$968,'июль 2023'!$D$4:$D$968,$B76,'июль 2023'!$J$4:$J$968,R$1)</f>
        <v>0</v>
      </c>
      <c r="S76" s="207">
        <f>SUMIFS('июль 2023'!$G$4:$G$968,'июль 2023'!$D$4:$D$968,$B76,'июль 2023'!$J$4:$J$968,S$1)</f>
        <v>0</v>
      </c>
      <c r="T76" s="207">
        <f>SUMIFS('июль 2023'!$G$4:$G$968,'июль 2023'!$D$4:$D$968,$B76,'июль 2023'!$J$4:$J$968,T$1)</f>
        <v>0</v>
      </c>
      <c r="U76" s="207">
        <f>SUMIFS('июль 2023'!$G$4:$G$968,'июль 2023'!$D$4:$D$968,$B76,'июль 2023'!$J$4:$J$968,U$1)</f>
        <v>0</v>
      </c>
      <c r="V76" s="207">
        <f>SUMIFS('июль 2023'!$G$4:$G$968,'июль 2023'!$D$4:$D$968,$B76,'июль 2023'!$J$4:$J$968,V$1)</f>
        <v>0</v>
      </c>
      <c r="W76" s="207">
        <f>SUMIFS('июль 2023'!$G$4:$G$968,'июль 2023'!$D$4:$D$968,$B76,'июль 2023'!$J$4:$J$968,W$1)</f>
        <v>0</v>
      </c>
      <c r="X76" s="207">
        <f>SUMIFS('июль 2023'!$G$4:$G$968,'июль 2023'!$D$4:$D$968,$B76,'июль 2023'!$J$4:$J$968,X$1)</f>
        <v>0</v>
      </c>
      <c r="Y76" s="207">
        <f>SUMIFS('июль 2023'!$G$4:$G$968,'июль 2023'!$D$4:$D$968,$B76,'июль 2023'!$J$4:$J$968,Y$1)</f>
        <v>0</v>
      </c>
      <c r="Z76" s="207">
        <f>SUMIFS('июль 2023'!$G$4:$G$968,'июль 2023'!$D$4:$D$968,$B76,'июль 2023'!$J$4:$J$968,Z$1)</f>
        <v>0</v>
      </c>
      <c r="AA76" s="207">
        <f>SUMIFS('июль 2023'!$G$4:$G$968,'июль 2023'!$D$4:$D$968,$B76,'июль 2023'!$J$4:$J$968,AA$1)</f>
        <v>0</v>
      </c>
      <c r="AB76" s="207">
        <f>SUMIFS('июль 2023'!$G$4:$G$968,'июль 2023'!$D$4:$D$968,$B76,'июль 2023'!$J$4:$J$968,AB$1)</f>
        <v>0</v>
      </c>
      <c r="AC76" s="207">
        <f>SUMIFS('июль 2023'!$G$4:$G$968,'июль 2023'!$D$4:$D$968,$B76,'июль 2023'!$J$4:$J$968,AC$1)</f>
        <v>0</v>
      </c>
      <c r="AD76" s="207">
        <f>SUMIFS('июль 2023'!$G$4:$G$968,'июль 2023'!$D$4:$D$968,$B76,'июль 2023'!$J$4:$J$968,AD$1)</f>
        <v>0</v>
      </c>
      <c r="AE76" s="207">
        <f>SUMIFS('июль 2023'!$G$4:$G$968,'июль 2023'!$D$4:$D$968,$B76,'июль 2023'!$J$4:$J$968,AE$1)</f>
        <v>0</v>
      </c>
      <c r="AF76" s="207">
        <f>SUMIFS('июль 2023'!$G$4:$G$968,'июль 2023'!$D$4:$D$968,$B76,'июль 2023'!$J$4:$J$968,AF$1)</f>
        <v>0</v>
      </c>
      <c r="AG76" s="207">
        <f>SUMIFS('июль 2023'!$G$4:$G$968,'июль 2023'!$D$4:$D$968,$B76,'июль 2023'!$J$4:$J$968,AG$1)</f>
        <v>0</v>
      </c>
      <c r="AH76" s="207">
        <f>SUMIFS('июль 2023'!$G$4:$G$968,'июль 2023'!$D$4:$D$968,$B76,'июль 2023'!$J$4:$J$968,AH$1)</f>
        <v>0</v>
      </c>
      <c r="AI76" s="170">
        <f t="shared" si="2"/>
        <v>0</v>
      </c>
    </row>
    <row r="77" spans="2:35" ht="15" customHeight="1" x14ac:dyDescent="0.25">
      <c r="B77" s="212" t="s">
        <v>561</v>
      </c>
      <c r="C77" s="211">
        <v>200</v>
      </c>
      <c r="D77" s="207">
        <f>SUMIFS('июль 2023'!$G$4:$G$968,'июль 2023'!$D$4:$D$968,$B77,'июль 2023'!$J$4:$J$968,D$1)</f>
        <v>0</v>
      </c>
      <c r="E77" s="207">
        <f>SUMIFS('июль 2023'!$G$4:$G$968,'июль 2023'!$D$4:$D$968,$B77,'июль 2023'!$J$4:$J$968,E$1)</f>
        <v>0</v>
      </c>
      <c r="F77" s="207">
        <f>SUMIFS('июль 2023'!$G$4:$G$968,'июль 2023'!$D$4:$D$968,$B77,'июль 2023'!$J$4:$J$968,F$1)</f>
        <v>30</v>
      </c>
      <c r="G77" s="207">
        <f>SUMIFS('июль 2023'!$G$4:$G$968,'июль 2023'!$D$4:$D$968,$B77,'июль 2023'!$J$4:$J$968,G$1)</f>
        <v>0</v>
      </c>
      <c r="H77" s="207">
        <f>SUMIFS('июль 2023'!$G$4:$G$968,'июль 2023'!$D$4:$D$968,$B77,'июль 2023'!$J$4:$J$968,H$1)</f>
        <v>0</v>
      </c>
      <c r="I77" s="207">
        <f>SUMIFS('июль 2023'!$G$4:$G$968,'июль 2023'!$D$4:$D$968,$B77,'июль 2023'!$J$4:$J$968,I$1)</f>
        <v>0</v>
      </c>
      <c r="J77" s="207">
        <f>SUMIFS('июль 2023'!$G$4:$G$968,'июль 2023'!$D$4:$D$968,$B77,'июль 2023'!$J$4:$J$968,J$1)</f>
        <v>0</v>
      </c>
      <c r="K77" s="207">
        <f>SUMIFS('июль 2023'!$G$4:$G$968,'июль 2023'!$D$4:$D$968,$B77,'июль 2023'!$J$4:$J$968,K$1)</f>
        <v>0</v>
      </c>
      <c r="L77" s="207">
        <f>SUMIFS('июль 2023'!$G$4:$G$968,'июль 2023'!$D$4:$D$968,$B77,'июль 2023'!$J$4:$J$968,L$1)</f>
        <v>0</v>
      </c>
      <c r="M77" s="207">
        <f>SUMIFS('июль 2023'!$G$4:$G$968,'июль 2023'!$D$4:$D$968,$B77,'июль 2023'!$J$4:$J$968,M$1)</f>
        <v>0</v>
      </c>
      <c r="N77" s="207">
        <f>SUMIFS('июль 2023'!$G$4:$G$968,'июль 2023'!$D$4:$D$968,$B77,'июль 2023'!$J$4:$J$968,N$1)</f>
        <v>0</v>
      </c>
      <c r="O77" s="207">
        <f>SUMIFS('июль 2023'!$G$4:$G$968,'июль 2023'!$D$4:$D$968,$B77,'июль 2023'!$J$4:$J$968,O$1)</f>
        <v>0</v>
      </c>
      <c r="P77" s="207">
        <f>SUMIFS('июль 2023'!$G$4:$G$968,'июль 2023'!$D$4:$D$968,$B77,'июль 2023'!$J$4:$J$968,P$1)</f>
        <v>0</v>
      </c>
      <c r="Q77" s="207">
        <f>SUMIFS('июль 2023'!$G$4:$G$968,'июль 2023'!$D$4:$D$968,$B77,'июль 2023'!$J$4:$J$968,Q$1)</f>
        <v>0</v>
      </c>
      <c r="R77" s="207">
        <f>SUMIFS('июль 2023'!$G$4:$G$968,'июль 2023'!$D$4:$D$968,$B77,'июль 2023'!$J$4:$J$968,R$1)</f>
        <v>0</v>
      </c>
      <c r="S77" s="207">
        <f>SUMIFS('июль 2023'!$G$4:$G$968,'июль 2023'!$D$4:$D$968,$B77,'июль 2023'!$J$4:$J$968,S$1)</f>
        <v>0</v>
      </c>
      <c r="T77" s="207">
        <f>SUMIFS('июль 2023'!$G$4:$G$968,'июль 2023'!$D$4:$D$968,$B77,'июль 2023'!$J$4:$J$968,T$1)</f>
        <v>0</v>
      </c>
      <c r="U77" s="207">
        <f>SUMIFS('июль 2023'!$G$4:$G$968,'июль 2023'!$D$4:$D$968,$B77,'июль 2023'!$J$4:$J$968,U$1)</f>
        <v>0</v>
      </c>
      <c r="V77" s="207">
        <f>SUMIFS('июль 2023'!$G$4:$G$968,'июль 2023'!$D$4:$D$968,$B77,'июль 2023'!$J$4:$J$968,V$1)</f>
        <v>0</v>
      </c>
      <c r="W77" s="207">
        <f>SUMIFS('июль 2023'!$G$4:$G$968,'июль 2023'!$D$4:$D$968,$B77,'июль 2023'!$J$4:$J$968,W$1)</f>
        <v>0</v>
      </c>
      <c r="X77" s="207">
        <f>SUMIFS('июль 2023'!$G$4:$G$968,'июль 2023'!$D$4:$D$968,$B77,'июль 2023'!$J$4:$J$968,X$1)</f>
        <v>0</v>
      </c>
      <c r="Y77" s="207">
        <f>SUMIFS('июль 2023'!$G$4:$G$968,'июль 2023'!$D$4:$D$968,$B77,'июль 2023'!$J$4:$J$968,Y$1)</f>
        <v>0</v>
      </c>
      <c r="Z77" s="207">
        <f>SUMIFS('июль 2023'!$G$4:$G$968,'июль 2023'!$D$4:$D$968,$B77,'июль 2023'!$J$4:$J$968,Z$1)</f>
        <v>0</v>
      </c>
      <c r="AA77" s="207">
        <f>SUMIFS('июль 2023'!$G$4:$G$968,'июль 2023'!$D$4:$D$968,$B77,'июль 2023'!$J$4:$J$968,AA$1)</f>
        <v>0</v>
      </c>
      <c r="AB77" s="207">
        <f>SUMIFS('июль 2023'!$G$4:$G$968,'июль 2023'!$D$4:$D$968,$B77,'июль 2023'!$J$4:$J$968,AB$1)</f>
        <v>0</v>
      </c>
      <c r="AC77" s="207">
        <f>SUMIFS('июль 2023'!$G$4:$G$968,'июль 2023'!$D$4:$D$968,$B77,'июль 2023'!$J$4:$J$968,AC$1)</f>
        <v>0</v>
      </c>
      <c r="AD77" s="207">
        <f>SUMIFS('июль 2023'!$G$4:$G$968,'июль 2023'!$D$4:$D$968,$B77,'июль 2023'!$J$4:$J$968,AD$1)</f>
        <v>0</v>
      </c>
      <c r="AE77" s="207">
        <f>SUMIFS('июль 2023'!$G$4:$G$968,'июль 2023'!$D$4:$D$968,$B77,'июль 2023'!$J$4:$J$968,AE$1)</f>
        <v>0</v>
      </c>
      <c r="AF77" s="207">
        <f>SUMIFS('июль 2023'!$G$4:$G$968,'июль 2023'!$D$4:$D$968,$B77,'июль 2023'!$J$4:$J$968,AF$1)</f>
        <v>0</v>
      </c>
      <c r="AG77" s="207">
        <f>SUMIFS('июль 2023'!$G$4:$G$968,'июль 2023'!$D$4:$D$968,$B77,'июль 2023'!$J$4:$J$968,AG$1)</f>
        <v>0</v>
      </c>
      <c r="AH77" s="207">
        <f>SUMIFS('июль 2023'!$G$4:$G$968,'июль 2023'!$D$4:$D$968,$B77,'июль 2023'!$J$4:$J$968,AH$1)</f>
        <v>0</v>
      </c>
      <c r="AI77" s="170">
        <f t="shared" si="2"/>
        <v>30</v>
      </c>
    </row>
    <row r="78" spans="2:35" ht="15" customHeight="1" x14ac:dyDescent="0.25">
      <c r="B78" s="216" t="s">
        <v>1372</v>
      </c>
      <c r="C78" s="211">
        <v>180</v>
      </c>
      <c r="D78" s="207">
        <f>SUMIFS('июль 2023'!$G$4:$G$968,'июль 2023'!$D$4:$D$968,$B78,'июль 2023'!$J$4:$J$968,D$1)</f>
        <v>0</v>
      </c>
      <c r="E78" s="207">
        <f>SUMIFS('июль 2023'!$G$4:$G$968,'июль 2023'!$D$4:$D$968,$B78,'июль 2023'!$J$4:$J$968,E$1)</f>
        <v>0</v>
      </c>
      <c r="F78" s="207">
        <f>SUMIFS('июль 2023'!$G$4:$G$968,'июль 2023'!$D$4:$D$968,$B78,'июль 2023'!$J$4:$J$968,F$1)</f>
        <v>0</v>
      </c>
      <c r="G78" s="207">
        <f>SUMIFS('июль 2023'!$G$4:$G$968,'июль 2023'!$D$4:$D$968,$B78,'июль 2023'!$J$4:$J$968,G$1)</f>
        <v>0</v>
      </c>
      <c r="H78" s="207">
        <f>SUMIFS('июль 2023'!$G$4:$G$968,'июль 2023'!$D$4:$D$968,$B78,'июль 2023'!$J$4:$J$968,H$1)</f>
        <v>0</v>
      </c>
      <c r="I78" s="207">
        <f>SUMIFS('июль 2023'!$G$4:$G$968,'июль 2023'!$D$4:$D$968,$B78,'июль 2023'!$J$4:$J$968,I$1)</f>
        <v>0</v>
      </c>
      <c r="J78" s="207">
        <f>SUMIFS('июль 2023'!$G$4:$G$968,'июль 2023'!$D$4:$D$968,$B78,'июль 2023'!$J$4:$J$968,J$1)</f>
        <v>0</v>
      </c>
      <c r="K78" s="207">
        <f>SUMIFS('июль 2023'!$G$4:$G$968,'июль 2023'!$D$4:$D$968,$B78,'июль 2023'!$J$4:$J$968,K$1)</f>
        <v>0</v>
      </c>
      <c r="L78" s="207">
        <f>SUMIFS('июль 2023'!$G$4:$G$968,'июль 2023'!$D$4:$D$968,$B78,'июль 2023'!$J$4:$J$968,L$1)</f>
        <v>0</v>
      </c>
      <c r="M78" s="207">
        <f>SUMIFS('июль 2023'!$G$4:$G$968,'июль 2023'!$D$4:$D$968,$B78,'июль 2023'!$J$4:$J$968,M$1)</f>
        <v>0</v>
      </c>
      <c r="N78" s="207">
        <f>SUMIFS('июль 2023'!$G$4:$G$968,'июль 2023'!$D$4:$D$968,$B78,'июль 2023'!$J$4:$J$968,N$1)</f>
        <v>0</v>
      </c>
      <c r="O78" s="207">
        <f>SUMIFS('июль 2023'!$G$4:$G$968,'июль 2023'!$D$4:$D$968,$B78,'июль 2023'!$J$4:$J$968,O$1)</f>
        <v>0</v>
      </c>
      <c r="P78" s="207">
        <f>SUMIFS('июль 2023'!$G$4:$G$968,'июль 2023'!$D$4:$D$968,$B78,'июль 2023'!$J$4:$J$968,P$1)</f>
        <v>0</v>
      </c>
      <c r="Q78" s="207">
        <f>SUMIFS('июль 2023'!$G$4:$G$968,'июль 2023'!$D$4:$D$968,$B78,'июль 2023'!$J$4:$J$968,Q$1)</f>
        <v>0</v>
      </c>
      <c r="R78" s="207">
        <f>SUMIFS('июль 2023'!$G$4:$G$968,'июль 2023'!$D$4:$D$968,$B78,'июль 2023'!$J$4:$J$968,R$1)</f>
        <v>0</v>
      </c>
      <c r="S78" s="207">
        <f>SUMIFS('июль 2023'!$G$4:$G$968,'июль 2023'!$D$4:$D$968,$B78,'июль 2023'!$J$4:$J$968,S$1)</f>
        <v>0</v>
      </c>
      <c r="T78" s="207">
        <f>SUMIFS('июль 2023'!$G$4:$G$968,'июль 2023'!$D$4:$D$968,$B78,'июль 2023'!$J$4:$J$968,T$1)</f>
        <v>0</v>
      </c>
      <c r="U78" s="207">
        <f>SUMIFS('июль 2023'!$G$4:$G$968,'июль 2023'!$D$4:$D$968,$B78,'июль 2023'!$J$4:$J$968,U$1)</f>
        <v>0</v>
      </c>
      <c r="V78" s="207">
        <f>SUMIFS('июль 2023'!$G$4:$G$968,'июль 2023'!$D$4:$D$968,$B78,'июль 2023'!$J$4:$J$968,V$1)</f>
        <v>0</v>
      </c>
      <c r="W78" s="207">
        <f>SUMIFS('июль 2023'!$G$4:$G$968,'июль 2023'!$D$4:$D$968,$B78,'июль 2023'!$J$4:$J$968,W$1)</f>
        <v>0</v>
      </c>
      <c r="X78" s="207">
        <f>SUMIFS('июль 2023'!$G$4:$G$968,'июль 2023'!$D$4:$D$968,$B78,'июль 2023'!$J$4:$J$968,X$1)</f>
        <v>0</v>
      </c>
      <c r="Y78" s="207">
        <f>SUMIFS('июль 2023'!$G$4:$G$968,'июль 2023'!$D$4:$D$968,$B78,'июль 2023'!$J$4:$J$968,Y$1)</f>
        <v>0</v>
      </c>
      <c r="Z78" s="207">
        <f>SUMIFS('июль 2023'!$G$4:$G$968,'июль 2023'!$D$4:$D$968,$B78,'июль 2023'!$J$4:$J$968,Z$1)</f>
        <v>0</v>
      </c>
      <c r="AA78" s="207">
        <f>SUMIFS('июль 2023'!$G$4:$G$968,'июль 2023'!$D$4:$D$968,$B78,'июль 2023'!$J$4:$J$968,AA$1)</f>
        <v>0</v>
      </c>
      <c r="AB78" s="207">
        <f>SUMIFS('июль 2023'!$G$4:$G$968,'июль 2023'!$D$4:$D$968,$B78,'июль 2023'!$J$4:$J$968,AB$1)</f>
        <v>0</v>
      </c>
      <c r="AC78" s="207">
        <f>SUMIFS('июль 2023'!$G$4:$G$968,'июль 2023'!$D$4:$D$968,$B78,'июль 2023'!$J$4:$J$968,AC$1)</f>
        <v>0</v>
      </c>
      <c r="AD78" s="207">
        <f>SUMIFS('июль 2023'!$G$4:$G$968,'июль 2023'!$D$4:$D$968,$B78,'июль 2023'!$J$4:$J$968,AD$1)</f>
        <v>0</v>
      </c>
      <c r="AE78" s="207">
        <f>SUMIFS('июль 2023'!$G$4:$G$968,'июль 2023'!$D$4:$D$968,$B78,'июль 2023'!$J$4:$J$968,AE$1)</f>
        <v>0</v>
      </c>
      <c r="AF78" s="207">
        <f>SUMIFS('июль 2023'!$G$4:$G$968,'июль 2023'!$D$4:$D$968,$B78,'июль 2023'!$J$4:$J$968,AF$1)</f>
        <v>0</v>
      </c>
      <c r="AG78" s="207">
        <f>SUMIFS('июль 2023'!$G$4:$G$968,'июль 2023'!$D$4:$D$968,$B78,'июль 2023'!$J$4:$J$968,AG$1)</f>
        <v>0</v>
      </c>
      <c r="AH78" s="207">
        <f>SUMIFS('июль 2023'!$G$4:$G$968,'июль 2023'!$D$4:$D$968,$B78,'июль 2023'!$J$4:$J$968,AH$1)</f>
        <v>0</v>
      </c>
      <c r="AI78" s="170">
        <f t="shared" si="2"/>
        <v>0</v>
      </c>
    </row>
    <row r="79" spans="2:35" ht="15" customHeight="1" x14ac:dyDescent="0.25">
      <c r="B79" s="216" t="s">
        <v>1336</v>
      </c>
      <c r="C79" s="213">
        <v>50</v>
      </c>
      <c r="D79" s="207">
        <f>SUMIFS('июль 2023'!$G$4:$G$968,'июль 2023'!$D$4:$D$968,$B79,'июль 2023'!$J$4:$J$968,D$1)</f>
        <v>0</v>
      </c>
      <c r="E79" s="207">
        <f>SUMIFS('июль 2023'!$G$4:$G$968,'июль 2023'!$D$4:$D$968,$B79,'июль 2023'!$J$4:$J$968,E$1)</f>
        <v>0</v>
      </c>
      <c r="F79" s="207">
        <f>SUMIFS('июль 2023'!$G$4:$G$968,'июль 2023'!$D$4:$D$968,$B79,'июль 2023'!$J$4:$J$968,F$1)</f>
        <v>0</v>
      </c>
      <c r="G79" s="207">
        <f>SUMIFS('июль 2023'!$G$4:$G$968,'июль 2023'!$D$4:$D$968,$B79,'июль 2023'!$J$4:$J$968,G$1)</f>
        <v>0</v>
      </c>
      <c r="H79" s="207">
        <f>SUMIFS('июль 2023'!$G$4:$G$968,'июль 2023'!$D$4:$D$968,$B79,'июль 2023'!$J$4:$J$968,H$1)</f>
        <v>0</v>
      </c>
      <c r="I79" s="207">
        <f>SUMIFS('июль 2023'!$G$4:$G$968,'июль 2023'!$D$4:$D$968,$B79,'июль 2023'!$J$4:$J$968,I$1)</f>
        <v>0</v>
      </c>
      <c r="J79" s="207">
        <f>SUMIFS('июль 2023'!$G$4:$G$968,'июль 2023'!$D$4:$D$968,$B79,'июль 2023'!$J$4:$J$968,J$1)</f>
        <v>0</v>
      </c>
      <c r="K79" s="207">
        <f>SUMIFS('июль 2023'!$G$4:$G$968,'июль 2023'!$D$4:$D$968,$B79,'июль 2023'!$J$4:$J$968,K$1)</f>
        <v>0</v>
      </c>
      <c r="L79" s="207">
        <f>SUMIFS('июль 2023'!$G$4:$G$968,'июль 2023'!$D$4:$D$968,$B79,'июль 2023'!$J$4:$J$968,L$1)</f>
        <v>0</v>
      </c>
      <c r="M79" s="207">
        <f>SUMIFS('июль 2023'!$G$4:$G$968,'июль 2023'!$D$4:$D$968,$B79,'июль 2023'!$J$4:$J$968,M$1)</f>
        <v>0</v>
      </c>
      <c r="N79" s="207">
        <f>SUMIFS('июль 2023'!$G$4:$G$968,'июль 2023'!$D$4:$D$968,$B79,'июль 2023'!$J$4:$J$968,N$1)</f>
        <v>0</v>
      </c>
      <c r="O79" s="207">
        <f>SUMIFS('июль 2023'!$G$4:$G$968,'июль 2023'!$D$4:$D$968,$B79,'июль 2023'!$J$4:$J$968,O$1)</f>
        <v>0</v>
      </c>
      <c r="P79" s="207">
        <f>SUMIFS('июль 2023'!$G$4:$G$968,'июль 2023'!$D$4:$D$968,$B79,'июль 2023'!$J$4:$J$968,P$1)</f>
        <v>0</v>
      </c>
      <c r="Q79" s="207">
        <f>SUMIFS('июль 2023'!$G$4:$G$968,'июль 2023'!$D$4:$D$968,$B79,'июль 2023'!$J$4:$J$968,Q$1)</f>
        <v>0</v>
      </c>
      <c r="R79" s="207">
        <f>SUMIFS('июль 2023'!$G$4:$G$968,'июль 2023'!$D$4:$D$968,$B79,'июль 2023'!$J$4:$J$968,R$1)</f>
        <v>0</v>
      </c>
      <c r="S79" s="207">
        <f>SUMIFS('июль 2023'!$G$4:$G$968,'июль 2023'!$D$4:$D$968,$B79,'июль 2023'!$J$4:$J$968,S$1)</f>
        <v>0</v>
      </c>
      <c r="T79" s="207">
        <f>SUMIFS('июль 2023'!$G$4:$G$968,'июль 2023'!$D$4:$D$968,$B79,'июль 2023'!$J$4:$J$968,T$1)</f>
        <v>0</v>
      </c>
      <c r="U79" s="207">
        <f>SUMIFS('июль 2023'!$G$4:$G$968,'июль 2023'!$D$4:$D$968,$B79,'июль 2023'!$J$4:$J$968,U$1)</f>
        <v>0</v>
      </c>
      <c r="V79" s="207">
        <f>SUMIFS('июль 2023'!$G$4:$G$968,'июль 2023'!$D$4:$D$968,$B79,'июль 2023'!$J$4:$J$968,V$1)</f>
        <v>0</v>
      </c>
      <c r="W79" s="207">
        <f>SUMIFS('июль 2023'!$G$4:$G$968,'июль 2023'!$D$4:$D$968,$B79,'июль 2023'!$J$4:$J$968,W$1)</f>
        <v>0</v>
      </c>
      <c r="X79" s="207">
        <f>SUMIFS('июль 2023'!$G$4:$G$968,'июль 2023'!$D$4:$D$968,$B79,'июль 2023'!$J$4:$J$968,X$1)</f>
        <v>0</v>
      </c>
      <c r="Y79" s="207">
        <f>SUMIFS('июль 2023'!$G$4:$G$968,'июль 2023'!$D$4:$D$968,$B79,'июль 2023'!$J$4:$J$968,Y$1)</f>
        <v>0</v>
      </c>
      <c r="Z79" s="207">
        <f>SUMIFS('июль 2023'!$G$4:$G$968,'июль 2023'!$D$4:$D$968,$B79,'июль 2023'!$J$4:$J$968,Z$1)</f>
        <v>0</v>
      </c>
      <c r="AA79" s="207">
        <f>SUMIFS('июль 2023'!$G$4:$G$968,'июль 2023'!$D$4:$D$968,$B79,'июль 2023'!$J$4:$J$968,AA$1)</f>
        <v>0</v>
      </c>
      <c r="AB79" s="207">
        <f>SUMIFS('июль 2023'!$G$4:$G$968,'июль 2023'!$D$4:$D$968,$B79,'июль 2023'!$J$4:$J$968,AB$1)</f>
        <v>0</v>
      </c>
      <c r="AC79" s="207">
        <f>SUMIFS('июль 2023'!$G$4:$G$968,'июль 2023'!$D$4:$D$968,$B79,'июль 2023'!$J$4:$J$968,AC$1)</f>
        <v>0</v>
      </c>
      <c r="AD79" s="207">
        <f>SUMIFS('июль 2023'!$G$4:$G$968,'июль 2023'!$D$4:$D$968,$B79,'июль 2023'!$J$4:$J$968,AD$1)</f>
        <v>0</v>
      </c>
      <c r="AE79" s="207">
        <f>SUMIFS('июль 2023'!$G$4:$G$968,'июль 2023'!$D$4:$D$968,$B79,'июль 2023'!$J$4:$J$968,AE$1)</f>
        <v>0</v>
      </c>
      <c r="AF79" s="207">
        <f>SUMIFS('июль 2023'!$G$4:$G$968,'июль 2023'!$D$4:$D$968,$B79,'июль 2023'!$J$4:$J$968,AF$1)</f>
        <v>0</v>
      </c>
      <c r="AG79" s="207">
        <f>SUMIFS('июль 2023'!$G$4:$G$968,'июль 2023'!$D$4:$D$968,$B79,'июль 2023'!$J$4:$J$968,AG$1)</f>
        <v>0</v>
      </c>
      <c r="AH79" s="207">
        <f>SUMIFS('июль 2023'!$G$4:$G$968,'июль 2023'!$D$4:$D$968,$B79,'июль 2023'!$J$4:$J$968,AH$1)</f>
        <v>0</v>
      </c>
      <c r="AI79" s="170">
        <f t="shared" si="2"/>
        <v>0</v>
      </c>
    </row>
    <row r="80" spans="2:35" ht="15" customHeight="1" x14ac:dyDescent="0.25">
      <c r="B80" s="216" t="s">
        <v>1470</v>
      </c>
      <c r="C80" s="213">
        <v>180</v>
      </c>
      <c r="D80" s="207">
        <f>SUMIFS('июль 2023'!$G$4:$G$968,'июль 2023'!$D$4:$D$968,$B80,'июль 2023'!$J$4:$J$968,D$1)</f>
        <v>0</v>
      </c>
      <c r="E80" s="207">
        <f>SUMIFS('июль 2023'!$G$4:$G$968,'июль 2023'!$D$4:$D$968,$B80,'июль 2023'!$J$4:$J$968,E$1)</f>
        <v>0</v>
      </c>
      <c r="F80" s="207">
        <f>SUMIFS('июль 2023'!$G$4:$G$968,'июль 2023'!$D$4:$D$968,$B80,'июль 2023'!$J$4:$J$968,F$1)</f>
        <v>0</v>
      </c>
      <c r="G80" s="207">
        <f>SUMIFS('июль 2023'!$G$4:$G$968,'июль 2023'!$D$4:$D$968,$B80,'июль 2023'!$J$4:$J$968,G$1)</f>
        <v>0</v>
      </c>
      <c r="H80" s="207">
        <f>SUMIFS('июль 2023'!$G$4:$G$968,'июль 2023'!$D$4:$D$968,$B80,'июль 2023'!$J$4:$J$968,H$1)</f>
        <v>0</v>
      </c>
      <c r="I80" s="207">
        <f>SUMIFS('июль 2023'!$G$4:$G$968,'июль 2023'!$D$4:$D$968,$B80,'июль 2023'!$J$4:$J$968,I$1)</f>
        <v>0</v>
      </c>
      <c r="J80" s="207">
        <f>SUMIFS('июль 2023'!$G$4:$G$968,'июль 2023'!$D$4:$D$968,$B80,'июль 2023'!$J$4:$J$968,J$1)</f>
        <v>0</v>
      </c>
      <c r="K80" s="207">
        <f>SUMIFS('июль 2023'!$G$4:$G$968,'июль 2023'!$D$4:$D$968,$B80,'июль 2023'!$J$4:$J$968,K$1)</f>
        <v>0</v>
      </c>
      <c r="L80" s="207">
        <f>SUMIFS('июль 2023'!$G$4:$G$968,'июль 2023'!$D$4:$D$968,$B80,'июль 2023'!$J$4:$J$968,L$1)</f>
        <v>0</v>
      </c>
      <c r="M80" s="207">
        <f>SUMIFS('июль 2023'!$G$4:$G$968,'июль 2023'!$D$4:$D$968,$B80,'июль 2023'!$J$4:$J$968,M$1)</f>
        <v>0</v>
      </c>
      <c r="N80" s="207">
        <f>SUMIFS('июль 2023'!$G$4:$G$968,'июль 2023'!$D$4:$D$968,$B80,'июль 2023'!$J$4:$J$968,N$1)</f>
        <v>0</v>
      </c>
      <c r="O80" s="207">
        <f>SUMIFS('июль 2023'!$G$4:$G$968,'июль 2023'!$D$4:$D$968,$B80,'июль 2023'!$J$4:$J$968,O$1)</f>
        <v>0</v>
      </c>
      <c r="P80" s="207">
        <f>SUMIFS('июль 2023'!$G$4:$G$968,'июль 2023'!$D$4:$D$968,$B80,'июль 2023'!$J$4:$J$968,P$1)</f>
        <v>0</v>
      </c>
      <c r="Q80" s="207">
        <f>SUMIFS('июль 2023'!$G$4:$G$968,'июль 2023'!$D$4:$D$968,$B80,'июль 2023'!$J$4:$J$968,Q$1)</f>
        <v>0</v>
      </c>
      <c r="R80" s="207">
        <f>SUMIFS('июль 2023'!$G$4:$G$968,'июль 2023'!$D$4:$D$968,$B80,'июль 2023'!$J$4:$J$968,R$1)</f>
        <v>0</v>
      </c>
      <c r="S80" s="207">
        <f>SUMIFS('июль 2023'!$G$4:$G$968,'июль 2023'!$D$4:$D$968,$B80,'июль 2023'!$J$4:$J$968,S$1)</f>
        <v>0</v>
      </c>
      <c r="T80" s="207">
        <f>SUMIFS('июль 2023'!$G$4:$G$968,'июль 2023'!$D$4:$D$968,$B80,'июль 2023'!$J$4:$J$968,T$1)</f>
        <v>0</v>
      </c>
      <c r="U80" s="207">
        <f>SUMIFS('июль 2023'!$G$4:$G$968,'июль 2023'!$D$4:$D$968,$B80,'июль 2023'!$J$4:$J$968,U$1)</f>
        <v>0</v>
      </c>
      <c r="V80" s="207">
        <f>SUMIFS('июль 2023'!$G$4:$G$968,'июль 2023'!$D$4:$D$968,$B80,'июль 2023'!$J$4:$J$968,V$1)</f>
        <v>0</v>
      </c>
      <c r="W80" s="207">
        <f>SUMIFS('июль 2023'!$G$4:$G$968,'июль 2023'!$D$4:$D$968,$B80,'июль 2023'!$J$4:$J$968,W$1)</f>
        <v>0</v>
      </c>
      <c r="X80" s="207">
        <f>SUMIFS('июль 2023'!$G$4:$G$968,'июль 2023'!$D$4:$D$968,$B80,'июль 2023'!$J$4:$J$968,X$1)</f>
        <v>0</v>
      </c>
      <c r="Y80" s="207">
        <f>SUMIFS('июль 2023'!$G$4:$G$968,'июль 2023'!$D$4:$D$968,$B80,'июль 2023'!$J$4:$J$968,Y$1)</f>
        <v>0</v>
      </c>
      <c r="Z80" s="207">
        <f>SUMIFS('июль 2023'!$G$4:$G$968,'июль 2023'!$D$4:$D$968,$B80,'июль 2023'!$J$4:$J$968,Z$1)</f>
        <v>0</v>
      </c>
      <c r="AA80" s="207">
        <f>SUMIFS('июль 2023'!$G$4:$G$968,'июль 2023'!$D$4:$D$968,$B80,'июль 2023'!$J$4:$J$968,AA$1)</f>
        <v>0</v>
      </c>
      <c r="AB80" s="207">
        <f>SUMIFS('июль 2023'!$G$4:$G$968,'июль 2023'!$D$4:$D$968,$B80,'июль 2023'!$J$4:$J$968,AB$1)</f>
        <v>0</v>
      </c>
      <c r="AC80" s="207">
        <f>SUMIFS('июль 2023'!$G$4:$G$968,'июль 2023'!$D$4:$D$968,$B80,'июль 2023'!$J$4:$J$968,AC$1)</f>
        <v>0</v>
      </c>
      <c r="AD80" s="207">
        <f>SUMIFS('июль 2023'!$G$4:$G$968,'июль 2023'!$D$4:$D$968,$B80,'июль 2023'!$J$4:$J$968,AD$1)</f>
        <v>0</v>
      </c>
      <c r="AE80" s="207">
        <f>SUMIFS('июль 2023'!$G$4:$G$968,'июль 2023'!$D$4:$D$968,$B80,'июль 2023'!$J$4:$J$968,AE$1)</f>
        <v>0</v>
      </c>
      <c r="AF80" s="207">
        <f>SUMIFS('июль 2023'!$G$4:$G$968,'июль 2023'!$D$4:$D$968,$B80,'июль 2023'!$J$4:$J$968,AF$1)</f>
        <v>0</v>
      </c>
      <c r="AG80" s="207">
        <f>SUMIFS('июль 2023'!$G$4:$G$968,'июль 2023'!$D$4:$D$968,$B80,'июль 2023'!$J$4:$J$968,AG$1)</f>
        <v>0</v>
      </c>
      <c r="AH80" s="207">
        <f>SUMIFS('июль 2023'!$G$4:$G$968,'июль 2023'!$D$4:$D$968,$B80,'июль 2023'!$J$4:$J$968,AH$1)</f>
        <v>0</v>
      </c>
      <c r="AI80" s="170">
        <f t="shared" si="2"/>
        <v>0</v>
      </c>
    </row>
    <row r="81" spans="2:35" ht="15" customHeight="1" x14ac:dyDescent="0.25">
      <c r="B81" s="216" t="s">
        <v>365</v>
      </c>
      <c r="C81" s="213">
        <v>185</v>
      </c>
      <c r="D81" s="207">
        <f>SUMIFS('июль 2023'!$G$4:$G$968,'июль 2023'!$D$4:$D$968,$B81,'июль 2023'!$J$4:$J$968,D$1)</f>
        <v>0</v>
      </c>
      <c r="E81" s="207">
        <f>SUMIFS('июль 2023'!$G$4:$G$968,'июль 2023'!$D$4:$D$968,$B81,'июль 2023'!$J$4:$J$968,E$1)</f>
        <v>0</v>
      </c>
      <c r="F81" s="207">
        <f>SUMIFS('июль 2023'!$G$4:$G$968,'июль 2023'!$D$4:$D$968,$B81,'июль 2023'!$J$4:$J$968,F$1)</f>
        <v>0</v>
      </c>
      <c r="G81" s="207">
        <f>SUMIFS('июль 2023'!$G$4:$G$968,'июль 2023'!$D$4:$D$968,$B81,'июль 2023'!$J$4:$J$968,G$1)</f>
        <v>0</v>
      </c>
      <c r="H81" s="207">
        <f>SUMIFS('июль 2023'!$G$4:$G$968,'июль 2023'!$D$4:$D$968,$B81,'июль 2023'!$J$4:$J$968,H$1)</f>
        <v>0</v>
      </c>
      <c r="I81" s="207">
        <f>SUMIFS('июль 2023'!$G$4:$G$968,'июль 2023'!$D$4:$D$968,$B81,'июль 2023'!$J$4:$J$968,I$1)</f>
        <v>0</v>
      </c>
      <c r="J81" s="207">
        <f>SUMIFS('июль 2023'!$G$4:$G$968,'июль 2023'!$D$4:$D$968,$B81,'июль 2023'!$J$4:$J$968,J$1)</f>
        <v>0</v>
      </c>
      <c r="K81" s="207">
        <f>SUMIFS('июль 2023'!$G$4:$G$968,'июль 2023'!$D$4:$D$968,$B81,'июль 2023'!$J$4:$J$968,K$1)</f>
        <v>0</v>
      </c>
      <c r="L81" s="207">
        <f>SUMIFS('июль 2023'!$G$4:$G$968,'июль 2023'!$D$4:$D$968,$B81,'июль 2023'!$J$4:$J$968,L$1)</f>
        <v>0</v>
      </c>
      <c r="M81" s="207">
        <f>SUMIFS('июль 2023'!$G$4:$G$968,'июль 2023'!$D$4:$D$968,$B81,'июль 2023'!$J$4:$J$968,M$1)</f>
        <v>0</v>
      </c>
      <c r="N81" s="207">
        <f>SUMIFS('июль 2023'!$G$4:$G$968,'июль 2023'!$D$4:$D$968,$B81,'июль 2023'!$J$4:$J$968,N$1)</f>
        <v>0</v>
      </c>
      <c r="O81" s="207">
        <f>SUMIFS('июль 2023'!$G$4:$G$968,'июль 2023'!$D$4:$D$968,$B81,'июль 2023'!$J$4:$J$968,O$1)</f>
        <v>0</v>
      </c>
      <c r="P81" s="207">
        <f>SUMIFS('июль 2023'!$G$4:$G$968,'июль 2023'!$D$4:$D$968,$B81,'июль 2023'!$J$4:$J$968,P$1)</f>
        <v>0</v>
      </c>
      <c r="Q81" s="207">
        <f>SUMIFS('июль 2023'!$G$4:$G$968,'июль 2023'!$D$4:$D$968,$B81,'июль 2023'!$J$4:$J$968,Q$1)</f>
        <v>0</v>
      </c>
      <c r="R81" s="207">
        <f>SUMIFS('июль 2023'!$G$4:$G$968,'июль 2023'!$D$4:$D$968,$B81,'июль 2023'!$J$4:$J$968,R$1)</f>
        <v>0</v>
      </c>
      <c r="S81" s="207">
        <f>SUMIFS('июль 2023'!$G$4:$G$968,'июль 2023'!$D$4:$D$968,$B81,'июль 2023'!$J$4:$J$968,S$1)</f>
        <v>0</v>
      </c>
      <c r="T81" s="207">
        <f>SUMIFS('июль 2023'!$G$4:$G$968,'июль 2023'!$D$4:$D$968,$B81,'июль 2023'!$J$4:$J$968,T$1)</f>
        <v>7</v>
      </c>
      <c r="U81" s="207">
        <f>SUMIFS('июль 2023'!$G$4:$G$968,'июль 2023'!$D$4:$D$968,$B81,'июль 2023'!$J$4:$J$968,U$1)</f>
        <v>0</v>
      </c>
      <c r="V81" s="207">
        <f>SUMIFS('июль 2023'!$G$4:$G$968,'июль 2023'!$D$4:$D$968,$B81,'июль 2023'!$J$4:$J$968,V$1)</f>
        <v>0</v>
      </c>
      <c r="W81" s="207">
        <f>SUMIFS('июль 2023'!$G$4:$G$968,'июль 2023'!$D$4:$D$968,$B81,'июль 2023'!$J$4:$J$968,W$1)</f>
        <v>0</v>
      </c>
      <c r="X81" s="207">
        <f>SUMIFS('июль 2023'!$G$4:$G$968,'июль 2023'!$D$4:$D$968,$B81,'июль 2023'!$J$4:$J$968,X$1)</f>
        <v>0</v>
      </c>
      <c r="Y81" s="207">
        <f>SUMIFS('июль 2023'!$G$4:$G$968,'июль 2023'!$D$4:$D$968,$B81,'июль 2023'!$J$4:$J$968,Y$1)</f>
        <v>0</v>
      </c>
      <c r="Z81" s="207">
        <f>SUMIFS('июль 2023'!$G$4:$G$968,'июль 2023'!$D$4:$D$968,$B81,'июль 2023'!$J$4:$J$968,Z$1)</f>
        <v>0</v>
      </c>
      <c r="AA81" s="207">
        <f>SUMIFS('июль 2023'!$G$4:$G$968,'июль 2023'!$D$4:$D$968,$B81,'июль 2023'!$J$4:$J$968,AA$1)</f>
        <v>0</v>
      </c>
      <c r="AB81" s="207">
        <f>SUMIFS('июль 2023'!$G$4:$G$968,'июль 2023'!$D$4:$D$968,$B81,'июль 2023'!$J$4:$J$968,AB$1)</f>
        <v>0</v>
      </c>
      <c r="AC81" s="207">
        <f>SUMIFS('июль 2023'!$G$4:$G$968,'июль 2023'!$D$4:$D$968,$B81,'июль 2023'!$J$4:$J$968,AC$1)</f>
        <v>0</v>
      </c>
      <c r="AD81" s="207">
        <f>SUMIFS('июль 2023'!$G$4:$G$968,'июль 2023'!$D$4:$D$968,$B81,'июль 2023'!$J$4:$J$968,AD$1)</f>
        <v>0</v>
      </c>
      <c r="AE81" s="207">
        <f>SUMIFS('июль 2023'!$G$4:$G$968,'июль 2023'!$D$4:$D$968,$B81,'июль 2023'!$J$4:$J$968,AE$1)</f>
        <v>28</v>
      </c>
      <c r="AF81" s="207">
        <f>SUMIFS('июль 2023'!$G$4:$G$968,'июль 2023'!$D$4:$D$968,$B81,'июль 2023'!$J$4:$J$968,AF$1)</f>
        <v>0</v>
      </c>
      <c r="AG81" s="207">
        <f>SUMIFS('июль 2023'!$G$4:$G$968,'июль 2023'!$D$4:$D$968,$B81,'июль 2023'!$J$4:$J$968,AG$1)</f>
        <v>0</v>
      </c>
      <c r="AH81" s="207">
        <f>SUMIFS('июль 2023'!$G$4:$G$968,'июль 2023'!$D$4:$D$968,$B81,'июль 2023'!$J$4:$J$968,AH$1)</f>
        <v>0</v>
      </c>
      <c r="AI81" s="170">
        <f>SUM(D81:AH81)</f>
        <v>35</v>
      </c>
    </row>
    <row r="82" spans="2:35" ht="15" customHeight="1" x14ac:dyDescent="0.25">
      <c r="B82" s="212" t="s">
        <v>2189</v>
      </c>
      <c r="C82" s="211">
        <v>180</v>
      </c>
      <c r="D82" s="207">
        <f>SUMIFS('июль 2023'!$G$4:$G$968,'июль 2023'!$D$4:$D$968,$B82,'июль 2023'!$J$4:$J$968,D$1)</f>
        <v>0</v>
      </c>
      <c r="E82" s="207">
        <f>SUMIFS('июль 2023'!$G$4:$G$968,'июль 2023'!$D$4:$D$968,$B82,'июль 2023'!$J$4:$J$968,E$1)</f>
        <v>0</v>
      </c>
      <c r="F82" s="207">
        <f>SUMIFS('июль 2023'!$G$4:$G$968,'июль 2023'!$D$4:$D$968,$B82,'июль 2023'!$J$4:$J$968,F$1)</f>
        <v>0</v>
      </c>
      <c r="G82" s="207">
        <f>SUMIFS('июль 2023'!$G$4:$G$968,'июль 2023'!$D$4:$D$968,$B82,'июль 2023'!$J$4:$J$968,G$1)</f>
        <v>0</v>
      </c>
      <c r="H82" s="207">
        <f>SUMIFS('июль 2023'!$G$4:$G$968,'июль 2023'!$D$4:$D$968,$B82,'июль 2023'!$J$4:$J$968,H$1)</f>
        <v>0</v>
      </c>
      <c r="I82" s="207">
        <f>SUMIFS('июль 2023'!$G$4:$G$968,'июль 2023'!$D$4:$D$968,$B82,'июль 2023'!$J$4:$J$968,I$1)</f>
        <v>0</v>
      </c>
      <c r="J82" s="207">
        <f>SUMIFS('июль 2023'!$G$4:$G$968,'июль 2023'!$D$4:$D$968,$B82,'июль 2023'!$J$4:$J$968,J$1)</f>
        <v>0</v>
      </c>
      <c r="K82" s="207">
        <f>SUMIFS('июль 2023'!$G$4:$G$968,'июль 2023'!$D$4:$D$968,$B82,'июль 2023'!$J$4:$J$968,K$1)</f>
        <v>0</v>
      </c>
      <c r="L82" s="207">
        <f>SUMIFS('июль 2023'!$G$4:$G$968,'июль 2023'!$D$4:$D$968,$B82,'июль 2023'!$J$4:$J$968,L$1)</f>
        <v>0</v>
      </c>
      <c r="M82" s="207">
        <f>SUMIFS('июль 2023'!$G$4:$G$968,'июль 2023'!$D$4:$D$968,$B82,'июль 2023'!$J$4:$J$968,M$1)</f>
        <v>0</v>
      </c>
      <c r="N82" s="207">
        <f>SUMIFS('июль 2023'!$G$4:$G$968,'июль 2023'!$D$4:$D$968,$B82,'июль 2023'!$J$4:$J$968,N$1)</f>
        <v>0</v>
      </c>
      <c r="O82" s="207">
        <f>SUMIFS('июль 2023'!$G$4:$G$968,'июль 2023'!$D$4:$D$968,$B82,'июль 2023'!$J$4:$J$968,O$1)</f>
        <v>0</v>
      </c>
      <c r="P82" s="207">
        <f>SUMIFS('июль 2023'!$G$4:$G$968,'июль 2023'!$D$4:$D$968,$B82,'июль 2023'!$J$4:$J$968,P$1)</f>
        <v>0</v>
      </c>
      <c r="Q82" s="207">
        <f>SUMIFS('июль 2023'!$G$4:$G$968,'июль 2023'!$D$4:$D$968,$B82,'июль 2023'!$J$4:$J$968,Q$1)</f>
        <v>0</v>
      </c>
      <c r="R82" s="207">
        <f>SUMIFS('июль 2023'!$G$4:$G$968,'июль 2023'!$D$4:$D$968,$B82,'июль 2023'!$J$4:$J$968,R$1)</f>
        <v>0</v>
      </c>
      <c r="S82" s="207">
        <f>SUMIFS('июль 2023'!$G$4:$G$968,'июль 2023'!$D$4:$D$968,$B82,'июль 2023'!$J$4:$J$968,S$1)</f>
        <v>0</v>
      </c>
      <c r="T82" s="207">
        <f>SUMIFS('июль 2023'!$G$4:$G$968,'июль 2023'!$D$4:$D$968,$B82,'июль 2023'!$J$4:$J$968,T$1)</f>
        <v>0</v>
      </c>
      <c r="U82" s="207">
        <f>SUMIFS('июль 2023'!$G$4:$G$968,'июль 2023'!$D$4:$D$968,$B82,'июль 2023'!$J$4:$J$968,U$1)</f>
        <v>0</v>
      </c>
      <c r="V82" s="207">
        <f>SUMIFS('июль 2023'!$G$4:$G$968,'июль 2023'!$D$4:$D$968,$B82,'июль 2023'!$J$4:$J$968,V$1)</f>
        <v>0</v>
      </c>
      <c r="W82" s="207">
        <f>SUMIFS('июль 2023'!$G$4:$G$968,'июль 2023'!$D$4:$D$968,$B82,'июль 2023'!$J$4:$J$968,W$1)</f>
        <v>0</v>
      </c>
      <c r="X82" s="207">
        <f>SUMIFS('июль 2023'!$G$4:$G$968,'июль 2023'!$D$4:$D$968,$B82,'июль 2023'!$J$4:$J$968,X$1)</f>
        <v>0</v>
      </c>
      <c r="Y82" s="207">
        <f>SUMIFS('июль 2023'!$G$4:$G$968,'июль 2023'!$D$4:$D$968,$B82,'июль 2023'!$J$4:$J$968,Y$1)</f>
        <v>0</v>
      </c>
      <c r="Z82" s="207">
        <f>SUMIFS('июль 2023'!$G$4:$G$968,'июль 2023'!$D$4:$D$968,$B82,'июль 2023'!$J$4:$J$968,Z$1)</f>
        <v>0</v>
      </c>
      <c r="AA82" s="207">
        <f>SUMIFS('июль 2023'!$G$4:$G$968,'июль 2023'!$D$4:$D$968,$B82,'июль 2023'!$J$4:$J$968,AA$1)</f>
        <v>0</v>
      </c>
      <c r="AB82" s="207">
        <f>SUMIFS('июль 2023'!$G$4:$G$968,'июль 2023'!$D$4:$D$968,$B82,'июль 2023'!$J$4:$J$968,AB$1)</f>
        <v>0</v>
      </c>
      <c r="AC82" s="207">
        <f>SUMIFS('июль 2023'!$G$4:$G$968,'июль 2023'!$D$4:$D$968,$B82,'июль 2023'!$J$4:$J$968,AC$1)</f>
        <v>0</v>
      </c>
      <c r="AD82" s="207">
        <f>SUMIFS('июль 2023'!$G$4:$G$968,'июль 2023'!$D$4:$D$968,$B82,'июль 2023'!$J$4:$J$968,AD$1)</f>
        <v>0</v>
      </c>
      <c r="AE82" s="207">
        <f>SUMIFS('июль 2023'!$G$4:$G$968,'июль 2023'!$D$4:$D$968,$B82,'июль 2023'!$J$4:$J$968,AE$1)</f>
        <v>0</v>
      </c>
      <c r="AF82" s="207">
        <f>SUMIFS('июль 2023'!$G$4:$G$968,'июль 2023'!$D$4:$D$968,$B82,'июль 2023'!$J$4:$J$968,AF$1)</f>
        <v>0</v>
      </c>
      <c r="AG82" s="207">
        <f>SUMIFS('июль 2023'!$G$4:$G$968,'июль 2023'!$D$4:$D$968,$B82,'июль 2023'!$J$4:$J$968,AG$1)</f>
        <v>0</v>
      </c>
      <c r="AH82" s="207">
        <f>SUMIFS('июль 2023'!$G$4:$G$968,'июль 2023'!$D$4:$D$968,$B82,'июль 2023'!$J$4:$J$968,AH$1)</f>
        <v>0</v>
      </c>
      <c r="AI82" s="170">
        <f t="shared" si="2"/>
        <v>0</v>
      </c>
    </row>
    <row r="83" spans="2:35" ht="15" customHeight="1" x14ac:dyDescent="0.25">
      <c r="B83" s="217" t="s">
        <v>857</v>
      </c>
      <c r="C83" s="213">
        <v>185</v>
      </c>
      <c r="D83" s="207">
        <f>SUMIFS('июль 2023'!$G$4:$G$968,'июль 2023'!$D$4:$D$968,$B83,'июль 2023'!$J$4:$J$968,D$1)</f>
        <v>0</v>
      </c>
      <c r="E83" s="207">
        <f>SUMIFS('июль 2023'!$G$4:$G$968,'июль 2023'!$D$4:$D$968,$B83,'июль 2023'!$J$4:$J$968,E$1)</f>
        <v>0</v>
      </c>
      <c r="F83" s="207">
        <f>SUMIFS('июль 2023'!$G$4:$G$968,'июль 2023'!$D$4:$D$968,$B83,'июль 2023'!$J$4:$J$968,F$1)</f>
        <v>0</v>
      </c>
      <c r="G83" s="207">
        <f>SUMIFS('июль 2023'!$G$4:$G$968,'июль 2023'!$D$4:$D$968,$B83,'июль 2023'!$J$4:$J$968,G$1)</f>
        <v>0</v>
      </c>
      <c r="H83" s="207">
        <f>SUMIFS('июль 2023'!$G$4:$G$968,'июль 2023'!$D$4:$D$968,$B83,'июль 2023'!$J$4:$J$968,H$1)</f>
        <v>0</v>
      </c>
      <c r="I83" s="207">
        <f>SUMIFS('июль 2023'!$G$4:$G$968,'июль 2023'!$D$4:$D$968,$B83,'июль 2023'!$J$4:$J$968,I$1)</f>
        <v>0</v>
      </c>
      <c r="J83" s="207">
        <f>SUMIFS('июль 2023'!$G$4:$G$968,'июль 2023'!$D$4:$D$968,$B83,'июль 2023'!$J$4:$J$968,J$1)</f>
        <v>0</v>
      </c>
      <c r="K83" s="207">
        <f>SUMIFS('июль 2023'!$G$4:$G$968,'июль 2023'!$D$4:$D$968,$B83,'июль 2023'!$J$4:$J$968,K$1)</f>
        <v>0</v>
      </c>
      <c r="L83" s="207">
        <f>SUMIFS('июль 2023'!$G$4:$G$968,'июль 2023'!$D$4:$D$968,$B83,'июль 2023'!$J$4:$J$968,L$1)</f>
        <v>0</v>
      </c>
      <c r="M83" s="207">
        <f>SUMIFS('июль 2023'!$G$4:$G$968,'июль 2023'!$D$4:$D$968,$B83,'июль 2023'!$J$4:$J$968,M$1)</f>
        <v>0</v>
      </c>
      <c r="N83" s="207">
        <f>SUMIFS('июль 2023'!$G$4:$G$968,'июль 2023'!$D$4:$D$968,$B83,'июль 2023'!$J$4:$J$968,N$1)</f>
        <v>0</v>
      </c>
      <c r="O83" s="207">
        <f>SUMIFS('июль 2023'!$G$4:$G$968,'июль 2023'!$D$4:$D$968,$B83,'июль 2023'!$J$4:$J$968,O$1)</f>
        <v>0</v>
      </c>
      <c r="P83" s="207">
        <f>SUMIFS('июль 2023'!$G$4:$G$968,'июль 2023'!$D$4:$D$968,$B83,'июль 2023'!$J$4:$J$968,P$1)</f>
        <v>0</v>
      </c>
      <c r="Q83" s="207">
        <f>SUMIFS('июль 2023'!$G$4:$G$968,'июль 2023'!$D$4:$D$968,$B83,'июль 2023'!$J$4:$J$968,Q$1)</f>
        <v>0</v>
      </c>
      <c r="R83" s="207">
        <f>SUMIFS('июль 2023'!$G$4:$G$968,'июль 2023'!$D$4:$D$968,$B83,'июль 2023'!$J$4:$J$968,R$1)</f>
        <v>0</v>
      </c>
      <c r="S83" s="207">
        <f>SUMIFS('июль 2023'!$G$4:$G$968,'июль 2023'!$D$4:$D$968,$B83,'июль 2023'!$J$4:$J$968,S$1)</f>
        <v>0</v>
      </c>
      <c r="T83" s="207">
        <f>SUMIFS('июль 2023'!$G$4:$G$968,'июль 2023'!$D$4:$D$968,$B83,'июль 2023'!$J$4:$J$968,T$1)</f>
        <v>0</v>
      </c>
      <c r="U83" s="207">
        <f>SUMIFS('июль 2023'!$G$4:$G$968,'июль 2023'!$D$4:$D$968,$B83,'июль 2023'!$J$4:$J$968,U$1)</f>
        <v>0</v>
      </c>
      <c r="V83" s="207">
        <f>SUMIFS('июль 2023'!$G$4:$G$968,'июль 2023'!$D$4:$D$968,$B83,'июль 2023'!$J$4:$J$968,V$1)</f>
        <v>0</v>
      </c>
      <c r="W83" s="207">
        <f>SUMIFS('июль 2023'!$G$4:$G$968,'июль 2023'!$D$4:$D$968,$B83,'июль 2023'!$J$4:$J$968,W$1)</f>
        <v>0</v>
      </c>
      <c r="X83" s="207">
        <f>SUMIFS('июль 2023'!$G$4:$G$968,'июль 2023'!$D$4:$D$968,$B83,'июль 2023'!$J$4:$J$968,X$1)</f>
        <v>0</v>
      </c>
      <c r="Y83" s="207">
        <f>SUMIFS('июль 2023'!$G$4:$G$968,'июль 2023'!$D$4:$D$968,$B83,'июль 2023'!$J$4:$J$968,Y$1)</f>
        <v>0</v>
      </c>
      <c r="Z83" s="207">
        <f>SUMIFS('июль 2023'!$G$4:$G$968,'июль 2023'!$D$4:$D$968,$B83,'июль 2023'!$J$4:$J$968,Z$1)</f>
        <v>0</v>
      </c>
      <c r="AA83" s="207">
        <f>SUMIFS('июль 2023'!$G$4:$G$968,'июль 2023'!$D$4:$D$968,$B83,'июль 2023'!$J$4:$J$968,AA$1)</f>
        <v>0</v>
      </c>
      <c r="AB83" s="207">
        <f>SUMIFS('июль 2023'!$G$4:$G$968,'июль 2023'!$D$4:$D$968,$B83,'июль 2023'!$J$4:$J$968,AB$1)</f>
        <v>0</v>
      </c>
      <c r="AC83" s="207">
        <f>SUMIFS('июль 2023'!$G$4:$G$968,'июль 2023'!$D$4:$D$968,$B83,'июль 2023'!$J$4:$J$968,AC$1)</f>
        <v>0</v>
      </c>
      <c r="AD83" s="207">
        <f>SUMIFS('июль 2023'!$G$4:$G$968,'июль 2023'!$D$4:$D$968,$B83,'июль 2023'!$J$4:$J$968,AD$1)</f>
        <v>0</v>
      </c>
      <c r="AE83" s="207">
        <f>SUMIFS('июль 2023'!$G$4:$G$968,'июль 2023'!$D$4:$D$968,$B83,'июль 2023'!$J$4:$J$968,AE$1)</f>
        <v>0</v>
      </c>
      <c r="AF83" s="207">
        <f>SUMIFS('июль 2023'!$G$4:$G$968,'июль 2023'!$D$4:$D$968,$B83,'июль 2023'!$J$4:$J$968,AF$1)</f>
        <v>0</v>
      </c>
      <c r="AG83" s="207">
        <f>SUMIFS('июль 2023'!$G$4:$G$968,'июль 2023'!$D$4:$D$968,$B83,'июль 2023'!$J$4:$J$968,AG$1)</f>
        <v>0</v>
      </c>
      <c r="AH83" s="207">
        <f>SUMIFS('июль 2023'!$G$4:$G$968,'июль 2023'!$D$4:$D$968,$B83,'июль 2023'!$J$4:$J$968,AH$1)</f>
        <v>0</v>
      </c>
      <c r="AI83" s="170">
        <f t="shared" si="2"/>
        <v>0</v>
      </c>
    </row>
    <row r="84" spans="2:35" ht="15" customHeight="1" x14ac:dyDescent="0.25">
      <c r="B84" s="212" t="s">
        <v>2190</v>
      </c>
      <c r="C84" s="213">
        <v>180</v>
      </c>
      <c r="D84" s="207">
        <f>SUMIFS('июль 2023'!$G$4:$G$968,'июль 2023'!$D$4:$D$968,$B84,'июль 2023'!$J$4:$J$968,D$1)</f>
        <v>0</v>
      </c>
      <c r="E84" s="207">
        <f>SUMIFS('июль 2023'!$G$4:$G$968,'июль 2023'!$D$4:$D$968,$B84,'июль 2023'!$J$4:$J$968,E$1)</f>
        <v>0</v>
      </c>
      <c r="F84" s="207">
        <f>SUMIFS('июль 2023'!$G$4:$G$968,'июль 2023'!$D$4:$D$968,$B84,'июль 2023'!$J$4:$J$968,F$1)</f>
        <v>0</v>
      </c>
      <c r="G84" s="207">
        <f>SUMIFS('июль 2023'!$G$4:$G$968,'июль 2023'!$D$4:$D$968,$B84,'июль 2023'!$J$4:$J$968,G$1)</f>
        <v>0</v>
      </c>
      <c r="H84" s="207">
        <f>SUMIFS('июль 2023'!$G$4:$G$968,'июль 2023'!$D$4:$D$968,$B84,'июль 2023'!$J$4:$J$968,H$1)</f>
        <v>0</v>
      </c>
      <c r="I84" s="207">
        <f>SUMIFS('июль 2023'!$G$4:$G$968,'июль 2023'!$D$4:$D$968,$B84,'июль 2023'!$J$4:$J$968,I$1)</f>
        <v>0</v>
      </c>
      <c r="J84" s="207">
        <f>SUMIFS('июль 2023'!$G$4:$G$968,'июль 2023'!$D$4:$D$968,$B84,'июль 2023'!$J$4:$J$968,J$1)</f>
        <v>0</v>
      </c>
      <c r="K84" s="207">
        <f>SUMIFS('июль 2023'!$G$4:$G$968,'июль 2023'!$D$4:$D$968,$B84,'июль 2023'!$J$4:$J$968,K$1)</f>
        <v>0</v>
      </c>
      <c r="L84" s="207">
        <f>SUMIFS('июль 2023'!$G$4:$G$968,'июль 2023'!$D$4:$D$968,$B84,'июль 2023'!$J$4:$J$968,L$1)</f>
        <v>0</v>
      </c>
      <c r="M84" s="207">
        <f>SUMIFS('июль 2023'!$G$4:$G$968,'июль 2023'!$D$4:$D$968,$B84,'июль 2023'!$J$4:$J$968,M$1)</f>
        <v>0</v>
      </c>
      <c r="N84" s="207">
        <f>SUMIFS('июль 2023'!$G$4:$G$968,'июль 2023'!$D$4:$D$968,$B84,'июль 2023'!$J$4:$J$968,N$1)</f>
        <v>0</v>
      </c>
      <c r="O84" s="207">
        <f>SUMIFS('июль 2023'!$G$4:$G$968,'июль 2023'!$D$4:$D$968,$B84,'июль 2023'!$J$4:$J$968,O$1)</f>
        <v>0</v>
      </c>
      <c r="P84" s="207">
        <f>SUMIFS('июль 2023'!$G$4:$G$968,'июль 2023'!$D$4:$D$968,$B84,'июль 2023'!$J$4:$J$968,P$1)</f>
        <v>0</v>
      </c>
      <c r="Q84" s="207">
        <f>SUMIFS('июль 2023'!$G$4:$G$968,'июль 2023'!$D$4:$D$968,$B84,'июль 2023'!$J$4:$J$968,Q$1)</f>
        <v>0</v>
      </c>
      <c r="R84" s="207">
        <f>SUMIFS('июль 2023'!$G$4:$G$968,'июль 2023'!$D$4:$D$968,$B84,'июль 2023'!$J$4:$J$968,R$1)</f>
        <v>0</v>
      </c>
      <c r="S84" s="207">
        <f>SUMIFS('июль 2023'!$G$4:$G$968,'июль 2023'!$D$4:$D$968,$B84,'июль 2023'!$J$4:$J$968,S$1)</f>
        <v>0</v>
      </c>
      <c r="T84" s="207">
        <f>SUMIFS('июль 2023'!$G$4:$G$968,'июль 2023'!$D$4:$D$968,$B84,'июль 2023'!$J$4:$J$968,T$1)</f>
        <v>0</v>
      </c>
      <c r="U84" s="207">
        <f>SUMIFS('июль 2023'!$G$4:$G$968,'июль 2023'!$D$4:$D$968,$B84,'июль 2023'!$J$4:$J$968,U$1)</f>
        <v>0</v>
      </c>
      <c r="V84" s="207">
        <f>SUMIFS('июль 2023'!$G$4:$G$968,'июль 2023'!$D$4:$D$968,$B84,'июль 2023'!$J$4:$J$968,V$1)</f>
        <v>0</v>
      </c>
      <c r="W84" s="207">
        <f>SUMIFS('июль 2023'!$G$4:$G$968,'июль 2023'!$D$4:$D$968,$B84,'июль 2023'!$J$4:$J$968,W$1)</f>
        <v>0</v>
      </c>
      <c r="X84" s="207">
        <f>SUMIFS('июль 2023'!$G$4:$G$968,'июль 2023'!$D$4:$D$968,$B84,'июль 2023'!$J$4:$J$968,X$1)</f>
        <v>0</v>
      </c>
      <c r="Y84" s="207">
        <f>SUMIFS('июль 2023'!$G$4:$G$968,'июль 2023'!$D$4:$D$968,$B84,'июль 2023'!$J$4:$J$968,Y$1)</f>
        <v>0</v>
      </c>
      <c r="Z84" s="207">
        <f>SUMIFS('июль 2023'!$G$4:$G$968,'июль 2023'!$D$4:$D$968,$B84,'июль 2023'!$J$4:$J$968,Z$1)</f>
        <v>0</v>
      </c>
      <c r="AA84" s="207">
        <f>SUMIFS('июль 2023'!$G$4:$G$968,'июль 2023'!$D$4:$D$968,$B84,'июль 2023'!$J$4:$J$968,AA$1)</f>
        <v>0</v>
      </c>
      <c r="AB84" s="207">
        <f>SUMIFS('июль 2023'!$G$4:$G$968,'июль 2023'!$D$4:$D$968,$B84,'июль 2023'!$J$4:$J$968,AB$1)</f>
        <v>0</v>
      </c>
      <c r="AC84" s="207">
        <f>SUMIFS('июль 2023'!$G$4:$G$968,'июль 2023'!$D$4:$D$968,$B84,'июль 2023'!$J$4:$J$968,AC$1)</f>
        <v>0</v>
      </c>
      <c r="AD84" s="207">
        <f>SUMIFS('июль 2023'!$G$4:$G$968,'июль 2023'!$D$4:$D$968,$B84,'июль 2023'!$J$4:$J$968,AD$1)</f>
        <v>0</v>
      </c>
      <c r="AE84" s="207">
        <f>SUMIFS('июль 2023'!$G$4:$G$968,'июль 2023'!$D$4:$D$968,$B84,'июль 2023'!$J$4:$J$968,AE$1)</f>
        <v>0</v>
      </c>
      <c r="AF84" s="207">
        <f>SUMIFS('июль 2023'!$G$4:$G$968,'июль 2023'!$D$4:$D$968,$B84,'июль 2023'!$J$4:$J$968,AF$1)</f>
        <v>0</v>
      </c>
      <c r="AG84" s="207">
        <f>SUMIFS('июль 2023'!$G$4:$G$968,'июль 2023'!$D$4:$D$968,$B84,'июль 2023'!$J$4:$J$968,AG$1)</f>
        <v>0</v>
      </c>
      <c r="AH84" s="207">
        <f>SUMIFS('июль 2023'!$G$4:$G$968,'июль 2023'!$D$4:$D$968,$B84,'июль 2023'!$J$4:$J$968,AH$1)</f>
        <v>0</v>
      </c>
      <c r="AI84" s="170">
        <f t="shared" si="2"/>
        <v>0</v>
      </c>
    </row>
    <row r="85" spans="2:35" ht="15" customHeight="1" x14ac:dyDescent="0.25">
      <c r="B85" s="212" t="s">
        <v>371</v>
      </c>
      <c r="C85" s="211">
        <v>200</v>
      </c>
      <c r="D85" s="207">
        <f>SUMIFS('июль 2023'!$G$4:$G$968,'июль 2023'!$D$4:$D$968,$B85,'июль 2023'!$J$4:$J$968,D$1)</f>
        <v>0</v>
      </c>
      <c r="E85" s="207">
        <f>SUMIFS('июль 2023'!$G$4:$G$968,'июль 2023'!$D$4:$D$968,$B85,'июль 2023'!$J$4:$J$968,E$1)</f>
        <v>0</v>
      </c>
      <c r="F85" s="207">
        <f>SUMIFS('июль 2023'!$G$4:$G$968,'июль 2023'!$D$4:$D$968,$B85,'июль 2023'!$J$4:$J$968,F$1)</f>
        <v>0</v>
      </c>
      <c r="G85" s="207">
        <f>SUMIFS('июль 2023'!$G$4:$G$968,'июль 2023'!$D$4:$D$968,$B85,'июль 2023'!$J$4:$J$968,G$1)</f>
        <v>0</v>
      </c>
      <c r="H85" s="207">
        <f>SUMIFS('июль 2023'!$G$4:$G$968,'июль 2023'!$D$4:$D$968,$B85,'июль 2023'!$J$4:$J$968,H$1)</f>
        <v>0</v>
      </c>
      <c r="I85" s="207">
        <f>SUMIFS('июль 2023'!$G$4:$G$968,'июль 2023'!$D$4:$D$968,$B85,'июль 2023'!$J$4:$J$968,I$1)</f>
        <v>0</v>
      </c>
      <c r="J85" s="207">
        <f>SUMIFS('июль 2023'!$G$4:$G$968,'июль 2023'!$D$4:$D$968,$B85,'июль 2023'!$J$4:$J$968,J$1)</f>
        <v>0</v>
      </c>
      <c r="K85" s="207">
        <f>SUMIFS('июль 2023'!$G$4:$G$968,'июль 2023'!$D$4:$D$968,$B85,'июль 2023'!$J$4:$J$968,K$1)</f>
        <v>0</v>
      </c>
      <c r="L85" s="207">
        <f>SUMIFS('июль 2023'!$G$4:$G$968,'июль 2023'!$D$4:$D$968,$B85,'июль 2023'!$J$4:$J$968,L$1)</f>
        <v>0</v>
      </c>
      <c r="M85" s="207">
        <f>SUMIFS('июль 2023'!$G$4:$G$968,'июль 2023'!$D$4:$D$968,$B85,'июль 2023'!$J$4:$J$968,M$1)</f>
        <v>0</v>
      </c>
      <c r="N85" s="207">
        <f>SUMIFS('июль 2023'!$G$4:$G$968,'июль 2023'!$D$4:$D$968,$B85,'июль 2023'!$J$4:$J$968,N$1)</f>
        <v>0</v>
      </c>
      <c r="O85" s="207">
        <f>SUMIFS('июль 2023'!$G$4:$G$968,'июль 2023'!$D$4:$D$968,$B85,'июль 2023'!$J$4:$J$968,O$1)</f>
        <v>0</v>
      </c>
      <c r="P85" s="207">
        <f>SUMIFS('июль 2023'!$G$4:$G$968,'июль 2023'!$D$4:$D$968,$B85,'июль 2023'!$J$4:$J$968,P$1)</f>
        <v>0</v>
      </c>
      <c r="Q85" s="207">
        <f>SUMIFS('июль 2023'!$G$4:$G$968,'июль 2023'!$D$4:$D$968,$B85,'июль 2023'!$J$4:$J$968,Q$1)</f>
        <v>0</v>
      </c>
      <c r="R85" s="207">
        <f>SUMIFS('июль 2023'!$G$4:$G$968,'июль 2023'!$D$4:$D$968,$B85,'июль 2023'!$J$4:$J$968,R$1)</f>
        <v>0</v>
      </c>
      <c r="S85" s="207">
        <f>SUMIFS('июль 2023'!$G$4:$G$968,'июль 2023'!$D$4:$D$968,$B85,'июль 2023'!$J$4:$J$968,S$1)</f>
        <v>0</v>
      </c>
      <c r="T85" s="207">
        <f>SUMIFS('июль 2023'!$G$4:$G$968,'июль 2023'!$D$4:$D$968,$B85,'июль 2023'!$J$4:$J$968,T$1)</f>
        <v>0</v>
      </c>
      <c r="U85" s="207">
        <f>SUMIFS('июль 2023'!$G$4:$G$968,'июль 2023'!$D$4:$D$968,$B85,'июль 2023'!$J$4:$J$968,U$1)</f>
        <v>0</v>
      </c>
      <c r="V85" s="207">
        <f>SUMIFS('июль 2023'!$G$4:$G$968,'июль 2023'!$D$4:$D$968,$B85,'июль 2023'!$J$4:$J$968,V$1)</f>
        <v>0</v>
      </c>
      <c r="W85" s="207">
        <f>SUMIFS('июль 2023'!$G$4:$G$968,'июль 2023'!$D$4:$D$968,$B85,'июль 2023'!$J$4:$J$968,W$1)</f>
        <v>0</v>
      </c>
      <c r="X85" s="207">
        <f>SUMIFS('июль 2023'!$G$4:$G$968,'июль 2023'!$D$4:$D$968,$B85,'июль 2023'!$J$4:$J$968,X$1)</f>
        <v>0</v>
      </c>
      <c r="Y85" s="207">
        <f>SUMIFS('июль 2023'!$G$4:$G$968,'июль 2023'!$D$4:$D$968,$B85,'июль 2023'!$J$4:$J$968,Y$1)</f>
        <v>0</v>
      </c>
      <c r="Z85" s="207">
        <f>SUMIFS('июль 2023'!$G$4:$G$968,'июль 2023'!$D$4:$D$968,$B85,'июль 2023'!$J$4:$J$968,Z$1)</f>
        <v>0</v>
      </c>
      <c r="AA85" s="207">
        <f>SUMIFS('июль 2023'!$G$4:$G$968,'июль 2023'!$D$4:$D$968,$B85,'июль 2023'!$J$4:$J$968,AA$1)</f>
        <v>0</v>
      </c>
      <c r="AB85" s="207">
        <f>SUMIFS('июль 2023'!$G$4:$G$968,'июль 2023'!$D$4:$D$968,$B85,'июль 2023'!$J$4:$J$968,AB$1)</f>
        <v>0</v>
      </c>
      <c r="AC85" s="207">
        <f>SUMIFS('июль 2023'!$G$4:$G$968,'июль 2023'!$D$4:$D$968,$B85,'июль 2023'!$J$4:$J$968,AC$1)</f>
        <v>0</v>
      </c>
      <c r="AD85" s="207">
        <f>SUMIFS('июль 2023'!$G$4:$G$968,'июль 2023'!$D$4:$D$968,$B85,'июль 2023'!$J$4:$J$968,AD$1)</f>
        <v>0</v>
      </c>
      <c r="AE85" s="207">
        <f>SUMIFS('июль 2023'!$G$4:$G$968,'июль 2023'!$D$4:$D$968,$B85,'июль 2023'!$J$4:$J$968,AE$1)</f>
        <v>0</v>
      </c>
      <c r="AF85" s="207">
        <f>SUMIFS('июль 2023'!$G$4:$G$968,'июль 2023'!$D$4:$D$968,$B85,'июль 2023'!$J$4:$J$968,AF$1)</f>
        <v>0</v>
      </c>
      <c r="AG85" s="207">
        <f>SUMIFS('июль 2023'!$G$4:$G$968,'июль 2023'!$D$4:$D$968,$B85,'июль 2023'!$J$4:$J$968,AG$1)</f>
        <v>0</v>
      </c>
      <c r="AH85" s="207">
        <f>SUMIFS('июль 2023'!$G$4:$G$968,'июль 2023'!$D$4:$D$968,$B85,'июль 2023'!$J$4:$J$968,AH$1)</f>
        <v>0</v>
      </c>
      <c r="AI85" s="170">
        <f t="shared" si="2"/>
        <v>0</v>
      </c>
    </row>
    <row r="86" spans="2:35" ht="15" customHeight="1" x14ac:dyDescent="0.25">
      <c r="B86" s="212" t="s">
        <v>1608</v>
      </c>
      <c r="C86" s="211">
        <v>950</v>
      </c>
      <c r="D86" s="207">
        <f>SUMIFS('июль 2023'!$G$4:$G$968,'июль 2023'!$D$4:$D$968,$B86,'июль 2023'!$J$4:$J$968,D$1)</f>
        <v>0</v>
      </c>
      <c r="E86" s="207">
        <f>SUMIFS('июль 2023'!$G$4:$G$968,'июль 2023'!$D$4:$D$968,$B86,'июль 2023'!$J$4:$J$968,E$1)</f>
        <v>0</v>
      </c>
      <c r="F86" s="207">
        <f>SUMIFS('июль 2023'!$G$4:$G$968,'июль 2023'!$D$4:$D$968,$B86,'июль 2023'!$J$4:$J$968,F$1)</f>
        <v>0</v>
      </c>
      <c r="G86" s="207">
        <f>SUMIFS('июль 2023'!$G$4:$G$968,'июль 2023'!$D$4:$D$968,$B86,'июль 2023'!$J$4:$J$968,G$1)</f>
        <v>0</v>
      </c>
      <c r="H86" s="207">
        <f>SUMIFS('июль 2023'!$G$4:$G$968,'июль 2023'!$D$4:$D$968,$B86,'июль 2023'!$J$4:$J$968,H$1)</f>
        <v>0</v>
      </c>
      <c r="I86" s="207">
        <f>SUMIFS('июль 2023'!$G$4:$G$968,'июль 2023'!$D$4:$D$968,$B86,'июль 2023'!$J$4:$J$968,I$1)</f>
        <v>0</v>
      </c>
      <c r="J86" s="207">
        <f>SUMIFS('июль 2023'!$G$4:$G$968,'июль 2023'!$D$4:$D$968,$B86,'июль 2023'!$J$4:$J$968,J$1)</f>
        <v>0</v>
      </c>
      <c r="K86" s="207">
        <f>SUMIFS('июль 2023'!$G$4:$G$968,'июль 2023'!$D$4:$D$968,$B86,'июль 2023'!$J$4:$J$968,K$1)</f>
        <v>0</v>
      </c>
      <c r="L86" s="207">
        <f>SUMIFS('июль 2023'!$G$4:$G$968,'июль 2023'!$D$4:$D$968,$B86,'июль 2023'!$J$4:$J$968,L$1)</f>
        <v>0</v>
      </c>
      <c r="M86" s="207">
        <f>SUMIFS('июль 2023'!$G$4:$G$968,'июль 2023'!$D$4:$D$968,$B86,'июль 2023'!$J$4:$J$968,M$1)</f>
        <v>0</v>
      </c>
      <c r="N86" s="207">
        <f>SUMIFS('июль 2023'!$G$4:$G$968,'июль 2023'!$D$4:$D$968,$B86,'июль 2023'!$J$4:$J$968,N$1)</f>
        <v>0</v>
      </c>
      <c r="O86" s="207">
        <f>SUMIFS('июль 2023'!$G$4:$G$968,'июль 2023'!$D$4:$D$968,$B86,'июль 2023'!$J$4:$J$968,O$1)</f>
        <v>0</v>
      </c>
      <c r="P86" s="207">
        <f>SUMIFS('июль 2023'!$G$4:$G$968,'июль 2023'!$D$4:$D$968,$B86,'июль 2023'!$J$4:$J$968,P$1)</f>
        <v>0</v>
      </c>
      <c r="Q86" s="207">
        <f>SUMIFS('июль 2023'!$G$4:$G$968,'июль 2023'!$D$4:$D$968,$B86,'июль 2023'!$J$4:$J$968,Q$1)</f>
        <v>0</v>
      </c>
      <c r="R86" s="207">
        <f>SUMIFS('июль 2023'!$G$4:$G$968,'июль 2023'!$D$4:$D$968,$B86,'июль 2023'!$J$4:$J$968,R$1)</f>
        <v>0</v>
      </c>
      <c r="S86" s="207">
        <f>SUMIFS('июль 2023'!$G$4:$G$968,'июль 2023'!$D$4:$D$968,$B86,'июль 2023'!$J$4:$J$968,S$1)</f>
        <v>0</v>
      </c>
      <c r="T86" s="207">
        <f>SUMIFS('июль 2023'!$G$4:$G$968,'июль 2023'!$D$4:$D$968,$B86,'июль 2023'!$J$4:$J$968,T$1)</f>
        <v>0</v>
      </c>
      <c r="U86" s="207">
        <f>SUMIFS('июль 2023'!$G$4:$G$968,'июль 2023'!$D$4:$D$968,$B86,'июль 2023'!$J$4:$J$968,U$1)</f>
        <v>0</v>
      </c>
      <c r="V86" s="207">
        <f>SUMIFS('июль 2023'!$G$4:$G$968,'июль 2023'!$D$4:$D$968,$B86,'июль 2023'!$J$4:$J$968,V$1)</f>
        <v>0</v>
      </c>
      <c r="W86" s="207">
        <f>SUMIFS('июль 2023'!$G$4:$G$968,'июль 2023'!$D$4:$D$968,$B86,'июль 2023'!$J$4:$J$968,W$1)</f>
        <v>0</v>
      </c>
      <c r="X86" s="207">
        <f>SUMIFS('июль 2023'!$G$4:$G$968,'июль 2023'!$D$4:$D$968,$B86,'июль 2023'!$J$4:$J$968,X$1)</f>
        <v>0</v>
      </c>
      <c r="Y86" s="207">
        <f>SUMIFS('июль 2023'!$G$4:$G$968,'июль 2023'!$D$4:$D$968,$B86,'июль 2023'!$J$4:$J$968,Y$1)</f>
        <v>0</v>
      </c>
      <c r="Z86" s="207">
        <f>SUMIFS('июль 2023'!$G$4:$G$968,'июль 2023'!$D$4:$D$968,$B86,'июль 2023'!$J$4:$J$968,Z$1)</f>
        <v>0</v>
      </c>
      <c r="AA86" s="207">
        <f>SUMIFS('июль 2023'!$G$4:$G$968,'июль 2023'!$D$4:$D$968,$B86,'июль 2023'!$J$4:$J$968,AA$1)</f>
        <v>0</v>
      </c>
      <c r="AB86" s="207">
        <f>SUMIFS('июль 2023'!$G$4:$G$968,'июль 2023'!$D$4:$D$968,$B86,'июль 2023'!$J$4:$J$968,AB$1)</f>
        <v>0</v>
      </c>
      <c r="AC86" s="207">
        <f>SUMIFS('июль 2023'!$G$4:$G$968,'июль 2023'!$D$4:$D$968,$B86,'июль 2023'!$J$4:$J$968,AC$1)</f>
        <v>0</v>
      </c>
      <c r="AD86" s="207">
        <f>SUMIFS('июль 2023'!$G$4:$G$968,'июль 2023'!$D$4:$D$968,$B86,'июль 2023'!$J$4:$J$968,AD$1)</f>
        <v>0</v>
      </c>
      <c r="AE86" s="207">
        <f>SUMIFS('июль 2023'!$G$4:$G$968,'июль 2023'!$D$4:$D$968,$B86,'июль 2023'!$J$4:$J$968,AE$1)</f>
        <v>0</v>
      </c>
      <c r="AF86" s="207">
        <f>SUMIFS('июль 2023'!$G$4:$G$968,'июль 2023'!$D$4:$D$968,$B86,'июль 2023'!$J$4:$J$968,AF$1)</f>
        <v>0</v>
      </c>
      <c r="AG86" s="207">
        <f>SUMIFS('июль 2023'!$G$4:$G$968,'июль 2023'!$D$4:$D$968,$B86,'июль 2023'!$J$4:$J$968,AG$1)</f>
        <v>0</v>
      </c>
      <c r="AH86" s="207">
        <f>SUMIFS('июль 2023'!$G$4:$G$968,'июль 2023'!$D$4:$D$968,$B86,'июль 2023'!$J$4:$J$968,AH$1)</f>
        <v>0</v>
      </c>
      <c r="AI86" s="170">
        <f t="shared" si="2"/>
        <v>0</v>
      </c>
    </row>
    <row r="87" spans="2:35" ht="15" customHeight="1" x14ac:dyDescent="0.25">
      <c r="B87" s="212" t="s">
        <v>468</v>
      </c>
      <c r="C87" s="211">
        <v>180</v>
      </c>
      <c r="D87" s="207">
        <f>SUMIFS('июль 2023'!$G$4:$G$968,'июль 2023'!$D$4:$D$968,$B87,'июль 2023'!$J$4:$J$968,D$1)</f>
        <v>0</v>
      </c>
      <c r="E87" s="207">
        <f>SUMIFS('июль 2023'!$G$4:$G$968,'июль 2023'!$D$4:$D$968,$B87,'июль 2023'!$J$4:$J$968,E$1)</f>
        <v>0</v>
      </c>
      <c r="F87" s="207">
        <f>SUMIFS('июль 2023'!$G$4:$G$968,'июль 2023'!$D$4:$D$968,$B87,'июль 2023'!$J$4:$J$968,F$1)</f>
        <v>0</v>
      </c>
      <c r="G87" s="207">
        <f>SUMIFS('июль 2023'!$G$4:$G$968,'июль 2023'!$D$4:$D$968,$B87,'июль 2023'!$J$4:$J$968,G$1)</f>
        <v>0</v>
      </c>
      <c r="H87" s="207">
        <f>SUMIFS('июль 2023'!$G$4:$G$968,'июль 2023'!$D$4:$D$968,$B87,'июль 2023'!$J$4:$J$968,H$1)</f>
        <v>0</v>
      </c>
      <c r="I87" s="207">
        <f>SUMIFS('июль 2023'!$G$4:$G$968,'июль 2023'!$D$4:$D$968,$B87,'июль 2023'!$J$4:$J$968,I$1)</f>
        <v>0</v>
      </c>
      <c r="J87" s="207">
        <f>SUMIFS('июль 2023'!$G$4:$G$968,'июль 2023'!$D$4:$D$968,$B87,'июль 2023'!$J$4:$J$968,J$1)</f>
        <v>0</v>
      </c>
      <c r="K87" s="207">
        <f>SUMIFS('июль 2023'!$G$4:$G$968,'июль 2023'!$D$4:$D$968,$B87,'июль 2023'!$J$4:$J$968,K$1)</f>
        <v>0</v>
      </c>
      <c r="L87" s="207">
        <f>SUMIFS('июль 2023'!$G$4:$G$968,'июль 2023'!$D$4:$D$968,$B87,'июль 2023'!$J$4:$J$968,L$1)</f>
        <v>0</v>
      </c>
      <c r="M87" s="207">
        <f>SUMIFS('июль 2023'!$G$4:$G$968,'июль 2023'!$D$4:$D$968,$B87,'июль 2023'!$J$4:$J$968,M$1)</f>
        <v>0</v>
      </c>
      <c r="N87" s="207">
        <f>SUMIFS('июль 2023'!$G$4:$G$968,'июль 2023'!$D$4:$D$968,$B87,'июль 2023'!$J$4:$J$968,N$1)</f>
        <v>0</v>
      </c>
      <c r="O87" s="207">
        <f>SUMIFS('июль 2023'!$G$4:$G$968,'июль 2023'!$D$4:$D$968,$B87,'июль 2023'!$J$4:$J$968,O$1)</f>
        <v>0</v>
      </c>
      <c r="P87" s="207">
        <f>SUMIFS('июль 2023'!$G$4:$G$968,'июль 2023'!$D$4:$D$968,$B87,'июль 2023'!$J$4:$J$968,P$1)</f>
        <v>0</v>
      </c>
      <c r="Q87" s="207">
        <f>SUMIFS('июль 2023'!$G$4:$G$968,'июль 2023'!$D$4:$D$968,$B87,'июль 2023'!$J$4:$J$968,Q$1)</f>
        <v>0</v>
      </c>
      <c r="R87" s="207">
        <f>SUMIFS('июль 2023'!$G$4:$G$968,'июль 2023'!$D$4:$D$968,$B87,'июль 2023'!$J$4:$J$968,R$1)</f>
        <v>0</v>
      </c>
      <c r="S87" s="207">
        <f>SUMIFS('июль 2023'!$G$4:$G$968,'июль 2023'!$D$4:$D$968,$B87,'июль 2023'!$J$4:$J$968,S$1)</f>
        <v>0</v>
      </c>
      <c r="T87" s="207">
        <f>SUMIFS('июль 2023'!$G$4:$G$968,'июль 2023'!$D$4:$D$968,$B87,'июль 2023'!$J$4:$J$968,T$1)</f>
        <v>0</v>
      </c>
      <c r="U87" s="207">
        <f>SUMIFS('июль 2023'!$G$4:$G$968,'июль 2023'!$D$4:$D$968,$B87,'июль 2023'!$J$4:$J$968,U$1)</f>
        <v>0</v>
      </c>
      <c r="V87" s="207">
        <f>SUMIFS('июль 2023'!$G$4:$G$968,'июль 2023'!$D$4:$D$968,$B87,'июль 2023'!$J$4:$J$968,V$1)</f>
        <v>0</v>
      </c>
      <c r="W87" s="207">
        <f>SUMIFS('июль 2023'!$G$4:$G$968,'июль 2023'!$D$4:$D$968,$B87,'июль 2023'!$J$4:$J$968,W$1)</f>
        <v>0</v>
      </c>
      <c r="X87" s="207">
        <f>SUMIFS('июль 2023'!$G$4:$G$968,'июль 2023'!$D$4:$D$968,$B87,'июль 2023'!$J$4:$J$968,X$1)</f>
        <v>0</v>
      </c>
      <c r="Y87" s="207">
        <f>SUMIFS('июль 2023'!$G$4:$G$968,'июль 2023'!$D$4:$D$968,$B87,'июль 2023'!$J$4:$J$968,Y$1)</f>
        <v>0</v>
      </c>
      <c r="Z87" s="207">
        <f>SUMIFS('июль 2023'!$G$4:$G$968,'июль 2023'!$D$4:$D$968,$B87,'июль 2023'!$J$4:$J$968,Z$1)</f>
        <v>0</v>
      </c>
      <c r="AA87" s="207">
        <f>SUMIFS('июль 2023'!$G$4:$G$968,'июль 2023'!$D$4:$D$968,$B87,'июль 2023'!$J$4:$J$968,AA$1)</f>
        <v>0</v>
      </c>
      <c r="AB87" s="207">
        <f>SUMIFS('июль 2023'!$G$4:$G$968,'июль 2023'!$D$4:$D$968,$B87,'июль 2023'!$J$4:$J$968,AB$1)</f>
        <v>0</v>
      </c>
      <c r="AC87" s="207">
        <f>SUMIFS('июль 2023'!$G$4:$G$968,'июль 2023'!$D$4:$D$968,$B87,'июль 2023'!$J$4:$J$968,AC$1)</f>
        <v>0</v>
      </c>
      <c r="AD87" s="207">
        <f>SUMIFS('июль 2023'!$G$4:$G$968,'июль 2023'!$D$4:$D$968,$B87,'июль 2023'!$J$4:$J$968,AD$1)</f>
        <v>0</v>
      </c>
      <c r="AE87" s="207">
        <f>SUMIFS('июль 2023'!$G$4:$G$968,'июль 2023'!$D$4:$D$968,$B87,'июль 2023'!$J$4:$J$968,AE$1)</f>
        <v>0</v>
      </c>
      <c r="AF87" s="207">
        <f>SUMIFS('июль 2023'!$G$4:$G$968,'июль 2023'!$D$4:$D$968,$B87,'июль 2023'!$J$4:$J$968,AF$1)</f>
        <v>0</v>
      </c>
      <c r="AG87" s="207">
        <f>SUMIFS('июль 2023'!$G$4:$G$968,'июль 2023'!$D$4:$D$968,$B87,'июль 2023'!$J$4:$J$968,AG$1)</f>
        <v>0</v>
      </c>
      <c r="AH87" s="207">
        <f>SUMIFS('июль 2023'!$G$4:$G$968,'июль 2023'!$D$4:$D$968,$B87,'июль 2023'!$J$4:$J$968,AH$1)</f>
        <v>0</v>
      </c>
      <c r="AI87" s="170">
        <f t="shared" si="2"/>
        <v>0</v>
      </c>
    </row>
    <row r="88" spans="2:35" ht="15" customHeight="1" x14ac:dyDescent="0.25">
      <c r="B88" s="216" t="s">
        <v>1755</v>
      </c>
      <c r="C88" s="213">
        <v>200</v>
      </c>
      <c r="D88" s="207">
        <f>SUMIFS('июль 2023'!$G$4:$G$968,'июль 2023'!$D$4:$D$968,$B88,'июль 2023'!$J$4:$J$968,D$1)</f>
        <v>0</v>
      </c>
      <c r="E88" s="207">
        <f>SUMIFS('июль 2023'!$G$4:$G$968,'июль 2023'!$D$4:$D$968,$B88,'июль 2023'!$J$4:$J$968,E$1)</f>
        <v>0</v>
      </c>
      <c r="F88" s="207">
        <f>SUMIFS('июль 2023'!$G$4:$G$968,'июль 2023'!$D$4:$D$968,$B88,'июль 2023'!$J$4:$J$968,F$1)</f>
        <v>0</v>
      </c>
      <c r="G88" s="207">
        <f>SUMIFS('июль 2023'!$G$4:$G$968,'июль 2023'!$D$4:$D$968,$B88,'июль 2023'!$J$4:$J$968,G$1)</f>
        <v>0</v>
      </c>
      <c r="H88" s="207">
        <f>SUMIFS('июль 2023'!$G$4:$G$968,'июль 2023'!$D$4:$D$968,$B88,'июль 2023'!$J$4:$J$968,H$1)</f>
        <v>0</v>
      </c>
      <c r="I88" s="207">
        <f>SUMIFS('июль 2023'!$G$4:$G$968,'июль 2023'!$D$4:$D$968,$B88,'июль 2023'!$J$4:$J$968,I$1)</f>
        <v>0</v>
      </c>
      <c r="J88" s="207">
        <f>SUMIFS('июль 2023'!$G$4:$G$968,'июль 2023'!$D$4:$D$968,$B88,'июль 2023'!$J$4:$J$968,J$1)</f>
        <v>0</v>
      </c>
      <c r="K88" s="207">
        <f>SUMIFS('июль 2023'!$G$4:$G$968,'июль 2023'!$D$4:$D$968,$B88,'июль 2023'!$J$4:$J$968,K$1)</f>
        <v>0</v>
      </c>
      <c r="L88" s="207">
        <f>SUMIFS('июль 2023'!$G$4:$G$968,'июль 2023'!$D$4:$D$968,$B88,'июль 2023'!$J$4:$J$968,L$1)</f>
        <v>0</v>
      </c>
      <c r="M88" s="207">
        <f>SUMIFS('июль 2023'!$G$4:$G$968,'июль 2023'!$D$4:$D$968,$B88,'июль 2023'!$J$4:$J$968,M$1)</f>
        <v>0</v>
      </c>
      <c r="N88" s="207">
        <f>SUMIFS('июль 2023'!$G$4:$G$968,'июль 2023'!$D$4:$D$968,$B88,'июль 2023'!$J$4:$J$968,N$1)</f>
        <v>0</v>
      </c>
      <c r="O88" s="207">
        <f>SUMIFS('июль 2023'!$G$4:$G$968,'июль 2023'!$D$4:$D$968,$B88,'июль 2023'!$J$4:$J$968,O$1)</f>
        <v>0</v>
      </c>
      <c r="P88" s="207">
        <f>SUMIFS('июль 2023'!$G$4:$G$968,'июль 2023'!$D$4:$D$968,$B88,'июль 2023'!$J$4:$J$968,P$1)</f>
        <v>0</v>
      </c>
      <c r="Q88" s="207">
        <f>SUMIFS('июль 2023'!$G$4:$G$968,'июль 2023'!$D$4:$D$968,$B88,'июль 2023'!$J$4:$J$968,Q$1)</f>
        <v>0</v>
      </c>
      <c r="R88" s="207">
        <f>SUMIFS('июль 2023'!$G$4:$G$968,'июль 2023'!$D$4:$D$968,$B88,'июль 2023'!$J$4:$J$968,R$1)</f>
        <v>0</v>
      </c>
      <c r="S88" s="207">
        <f>SUMIFS('июль 2023'!$G$4:$G$968,'июль 2023'!$D$4:$D$968,$B88,'июль 2023'!$J$4:$J$968,S$1)</f>
        <v>0</v>
      </c>
      <c r="T88" s="207">
        <f>SUMIFS('июль 2023'!$G$4:$G$968,'июль 2023'!$D$4:$D$968,$B88,'июль 2023'!$J$4:$J$968,T$1)</f>
        <v>0</v>
      </c>
      <c r="U88" s="207">
        <f>SUMIFS('июль 2023'!$G$4:$G$968,'июль 2023'!$D$4:$D$968,$B88,'июль 2023'!$J$4:$J$968,U$1)</f>
        <v>0</v>
      </c>
      <c r="V88" s="207">
        <f>SUMIFS('июль 2023'!$G$4:$G$968,'июль 2023'!$D$4:$D$968,$B88,'июль 2023'!$J$4:$J$968,V$1)</f>
        <v>0</v>
      </c>
      <c r="W88" s="207">
        <f>SUMIFS('июль 2023'!$G$4:$G$968,'июль 2023'!$D$4:$D$968,$B88,'июль 2023'!$J$4:$J$968,W$1)</f>
        <v>0</v>
      </c>
      <c r="X88" s="207">
        <f>SUMIFS('июль 2023'!$G$4:$G$968,'июль 2023'!$D$4:$D$968,$B88,'июль 2023'!$J$4:$J$968,X$1)</f>
        <v>0</v>
      </c>
      <c r="Y88" s="207">
        <f>SUMIFS('июль 2023'!$G$4:$G$968,'июль 2023'!$D$4:$D$968,$B88,'июль 2023'!$J$4:$J$968,Y$1)</f>
        <v>0</v>
      </c>
      <c r="Z88" s="207">
        <f>SUMIFS('июль 2023'!$G$4:$G$968,'июль 2023'!$D$4:$D$968,$B88,'июль 2023'!$J$4:$J$968,Z$1)</f>
        <v>0</v>
      </c>
      <c r="AA88" s="207">
        <f>SUMIFS('июль 2023'!$G$4:$G$968,'июль 2023'!$D$4:$D$968,$B88,'июль 2023'!$J$4:$J$968,AA$1)</f>
        <v>0</v>
      </c>
      <c r="AB88" s="207">
        <f>SUMIFS('июль 2023'!$G$4:$G$968,'июль 2023'!$D$4:$D$968,$B88,'июль 2023'!$J$4:$J$968,AB$1)</f>
        <v>0</v>
      </c>
      <c r="AC88" s="207">
        <f>SUMIFS('июль 2023'!$G$4:$G$968,'июль 2023'!$D$4:$D$968,$B88,'июль 2023'!$J$4:$J$968,AC$1)</f>
        <v>0</v>
      </c>
      <c r="AD88" s="207">
        <f>SUMIFS('июль 2023'!$G$4:$G$968,'июль 2023'!$D$4:$D$968,$B88,'июль 2023'!$J$4:$J$968,AD$1)</f>
        <v>0</v>
      </c>
      <c r="AE88" s="207">
        <f>SUMIFS('июль 2023'!$G$4:$G$968,'июль 2023'!$D$4:$D$968,$B88,'июль 2023'!$J$4:$J$968,AE$1)</f>
        <v>0</v>
      </c>
      <c r="AF88" s="207">
        <f>SUMIFS('июль 2023'!$G$4:$G$968,'июль 2023'!$D$4:$D$968,$B88,'июль 2023'!$J$4:$J$968,AF$1)</f>
        <v>0</v>
      </c>
      <c r="AG88" s="207">
        <f>SUMIFS('июль 2023'!$G$4:$G$968,'июль 2023'!$D$4:$D$968,$B88,'июль 2023'!$J$4:$J$968,AG$1)</f>
        <v>0</v>
      </c>
      <c r="AH88" s="207">
        <f>SUMIFS('июль 2023'!$G$4:$G$968,'июль 2023'!$D$4:$D$968,$B88,'июль 2023'!$J$4:$J$968,AH$1)</f>
        <v>0</v>
      </c>
      <c r="AI88" s="170">
        <f t="shared" si="2"/>
        <v>0</v>
      </c>
    </row>
    <row r="89" spans="2:35" ht="15" customHeight="1" x14ac:dyDescent="0.25">
      <c r="B89" s="216" t="s">
        <v>2191</v>
      </c>
      <c r="C89" s="213">
        <v>200</v>
      </c>
      <c r="D89" s="207">
        <f>SUMIFS('июль 2023'!$G$4:$G$968,'июль 2023'!$D$4:$D$968,$B89,'июль 2023'!$J$4:$J$968,D$1)</f>
        <v>0</v>
      </c>
      <c r="E89" s="207">
        <f>SUMIFS('июль 2023'!$G$4:$G$968,'июль 2023'!$D$4:$D$968,$B89,'июль 2023'!$J$4:$J$968,E$1)</f>
        <v>0</v>
      </c>
      <c r="F89" s="207">
        <f>SUMIFS('июль 2023'!$G$4:$G$968,'июль 2023'!$D$4:$D$968,$B89,'июль 2023'!$J$4:$J$968,F$1)</f>
        <v>0</v>
      </c>
      <c r="G89" s="207">
        <f>SUMIFS('июль 2023'!$G$4:$G$968,'июль 2023'!$D$4:$D$968,$B89,'июль 2023'!$J$4:$J$968,G$1)</f>
        <v>0</v>
      </c>
      <c r="H89" s="207">
        <f>SUMIFS('июль 2023'!$G$4:$G$968,'июль 2023'!$D$4:$D$968,$B89,'июль 2023'!$J$4:$J$968,H$1)</f>
        <v>0</v>
      </c>
      <c r="I89" s="207">
        <f>SUMIFS('июль 2023'!$G$4:$G$968,'июль 2023'!$D$4:$D$968,$B89,'июль 2023'!$J$4:$J$968,I$1)</f>
        <v>0</v>
      </c>
      <c r="J89" s="207">
        <f>SUMIFS('июль 2023'!$G$4:$G$968,'июль 2023'!$D$4:$D$968,$B89,'июль 2023'!$J$4:$J$968,J$1)</f>
        <v>0</v>
      </c>
      <c r="K89" s="207">
        <f>SUMIFS('июль 2023'!$G$4:$G$968,'июль 2023'!$D$4:$D$968,$B89,'июль 2023'!$J$4:$J$968,K$1)</f>
        <v>0</v>
      </c>
      <c r="L89" s="207">
        <f>SUMIFS('июль 2023'!$G$4:$G$968,'июль 2023'!$D$4:$D$968,$B89,'июль 2023'!$J$4:$J$968,L$1)</f>
        <v>0</v>
      </c>
      <c r="M89" s="207">
        <f>SUMIFS('июль 2023'!$G$4:$G$968,'июль 2023'!$D$4:$D$968,$B89,'июль 2023'!$J$4:$J$968,M$1)</f>
        <v>0</v>
      </c>
      <c r="N89" s="207">
        <f>SUMIFS('июль 2023'!$G$4:$G$968,'июль 2023'!$D$4:$D$968,$B89,'июль 2023'!$J$4:$J$968,N$1)</f>
        <v>0</v>
      </c>
      <c r="O89" s="207">
        <f>SUMIFS('июль 2023'!$G$4:$G$968,'июль 2023'!$D$4:$D$968,$B89,'июль 2023'!$J$4:$J$968,O$1)</f>
        <v>0</v>
      </c>
      <c r="P89" s="207">
        <f>SUMIFS('июль 2023'!$G$4:$G$968,'июль 2023'!$D$4:$D$968,$B89,'июль 2023'!$J$4:$J$968,P$1)</f>
        <v>0</v>
      </c>
      <c r="Q89" s="207">
        <f>SUMIFS('июль 2023'!$G$4:$G$968,'июль 2023'!$D$4:$D$968,$B89,'июль 2023'!$J$4:$J$968,Q$1)</f>
        <v>0</v>
      </c>
      <c r="R89" s="207">
        <f>SUMIFS('июль 2023'!$G$4:$G$968,'июль 2023'!$D$4:$D$968,$B89,'июль 2023'!$J$4:$J$968,R$1)</f>
        <v>0</v>
      </c>
      <c r="S89" s="207">
        <f>SUMIFS('июль 2023'!$G$4:$G$968,'июль 2023'!$D$4:$D$968,$B89,'июль 2023'!$J$4:$J$968,S$1)</f>
        <v>0</v>
      </c>
      <c r="T89" s="207">
        <f>SUMIFS('июль 2023'!$G$4:$G$968,'июль 2023'!$D$4:$D$968,$B89,'июль 2023'!$J$4:$J$968,T$1)</f>
        <v>0</v>
      </c>
      <c r="U89" s="207">
        <f>SUMIFS('июль 2023'!$G$4:$G$968,'июль 2023'!$D$4:$D$968,$B89,'июль 2023'!$J$4:$J$968,U$1)</f>
        <v>0</v>
      </c>
      <c r="V89" s="207">
        <f>SUMIFS('июль 2023'!$G$4:$G$968,'июль 2023'!$D$4:$D$968,$B89,'июль 2023'!$J$4:$J$968,V$1)</f>
        <v>0</v>
      </c>
      <c r="W89" s="207">
        <f>SUMIFS('июль 2023'!$G$4:$G$968,'июль 2023'!$D$4:$D$968,$B89,'июль 2023'!$J$4:$J$968,W$1)</f>
        <v>0</v>
      </c>
      <c r="X89" s="207">
        <f>SUMIFS('июль 2023'!$G$4:$G$968,'июль 2023'!$D$4:$D$968,$B89,'июль 2023'!$J$4:$J$968,X$1)</f>
        <v>0</v>
      </c>
      <c r="Y89" s="207">
        <f>SUMIFS('июль 2023'!$G$4:$G$968,'июль 2023'!$D$4:$D$968,$B89,'июль 2023'!$J$4:$J$968,Y$1)</f>
        <v>0</v>
      </c>
      <c r="Z89" s="207">
        <f>SUMIFS('июль 2023'!$G$4:$G$968,'июль 2023'!$D$4:$D$968,$B89,'июль 2023'!$J$4:$J$968,Z$1)</f>
        <v>0</v>
      </c>
      <c r="AA89" s="207">
        <f>SUMIFS('июль 2023'!$G$4:$G$968,'июль 2023'!$D$4:$D$968,$B89,'июль 2023'!$J$4:$J$968,AA$1)</f>
        <v>0</v>
      </c>
      <c r="AB89" s="207">
        <f>SUMIFS('июль 2023'!$G$4:$G$968,'июль 2023'!$D$4:$D$968,$B89,'июль 2023'!$J$4:$J$968,AB$1)</f>
        <v>0</v>
      </c>
      <c r="AC89" s="207">
        <f>SUMIFS('июль 2023'!$G$4:$G$968,'июль 2023'!$D$4:$D$968,$B89,'июль 2023'!$J$4:$J$968,AC$1)</f>
        <v>0</v>
      </c>
      <c r="AD89" s="207">
        <f>SUMIFS('июль 2023'!$G$4:$G$968,'июль 2023'!$D$4:$D$968,$B89,'июль 2023'!$J$4:$J$968,AD$1)</f>
        <v>0</v>
      </c>
      <c r="AE89" s="207">
        <f>SUMIFS('июль 2023'!$G$4:$G$968,'июль 2023'!$D$4:$D$968,$B89,'июль 2023'!$J$4:$J$968,AE$1)</f>
        <v>0</v>
      </c>
      <c r="AF89" s="207">
        <f>SUMIFS('июль 2023'!$G$4:$G$968,'июль 2023'!$D$4:$D$968,$B89,'июль 2023'!$J$4:$J$968,AF$1)</f>
        <v>0</v>
      </c>
      <c r="AG89" s="207">
        <f>SUMIFS('июль 2023'!$G$4:$G$968,'июль 2023'!$D$4:$D$968,$B89,'июль 2023'!$J$4:$J$968,AG$1)</f>
        <v>0</v>
      </c>
      <c r="AH89" s="207">
        <f>SUMIFS('июль 2023'!$G$4:$G$968,'июль 2023'!$D$4:$D$968,$B89,'июль 2023'!$J$4:$J$968,AH$1)</f>
        <v>0</v>
      </c>
      <c r="AI89" s="170">
        <f t="shared" si="2"/>
        <v>0</v>
      </c>
    </row>
    <row r="90" spans="2:35" ht="15" customHeight="1" x14ac:dyDescent="0.25">
      <c r="B90" s="216" t="s">
        <v>898</v>
      </c>
      <c r="C90" s="213">
        <v>200</v>
      </c>
      <c r="D90" s="207">
        <f>SUMIFS('июль 2023'!$G$4:$G$968,'июль 2023'!$D$4:$D$968,$B90,'июль 2023'!$J$4:$J$968,D$1)</f>
        <v>0</v>
      </c>
      <c r="E90" s="207">
        <f>SUMIFS('июль 2023'!$G$4:$G$968,'июль 2023'!$D$4:$D$968,$B90,'июль 2023'!$J$4:$J$968,E$1)</f>
        <v>0</v>
      </c>
      <c r="F90" s="207">
        <f>SUMIFS('июль 2023'!$G$4:$G$968,'июль 2023'!$D$4:$D$968,$B90,'июль 2023'!$J$4:$J$968,F$1)</f>
        <v>176</v>
      </c>
      <c r="G90" s="207">
        <f>SUMIFS('июль 2023'!$G$4:$G$968,'июль 2023'!$D$4:$D$968,$B90,'июль 2023'!$J$4:$J$968,G$1)</f>
        <v>0</v>
      </c>
      <c r="H90" s="207">
        <f>SUMIFS('июль 2023'!$G$4:$G$968,'июль 2023'!$D$4:$D$968,$B90,'июль 2023'!$J$4:$J$968,H$1)</f>
        <v>0</v>
      </c>
      <c r="I90" s="207">
        <f>SUMIFS('июль 2023'!$G$4:$G$968,'июль 2023'!$D$4:$D$968,$B90,'июль 2023'!$J$4:$J$968,I$1)</f>
        <v>0</v>
      </c>
      <c r="J90" s="207">
        <f>SUMIFS('июль 2023'!$G$4:$G$968,'июль 2023'!$D$4:$D$968,$B90,'июль 2023'!$J$4:$J$968,J$1)</f>
        <v>0</v>
      </c>
      <c r="K90" s="207">
        <f>SUMIFS('июль 2023'!$G$4:$G$968,'июль 2023'!$D$4:$D$968,$B90,'июль 2023'!$J$4:$J$968,K$1)</f>
        <v>0</v>
      </c>
      <c r="L90" s="207">
        <f>SUMIFS('июль 2023'!$G$4:$G$968,'июль 2023'!$D$4:$D$968,$B90,'июль 2023'!$J$4:$J$968,L$1)</f>
        <v>0</v>
      </c>
      <c r="M90" s="207">
        <f>SUMIFS('июль 2023'!$G$4:$G$968,'июль 2023'!$D$4:$D$968,$B90,'июль 2023'!$J$4:$J$968,M$1)</f>
        <v>0</v>
      </c>
      <c r="N90" s="207">
        <f>SUMIFS('июль 2023'!$G$4:$G$968,'июль 2023'!$D$4:$D$968,$B90,'июль 2023'!$J$4:$J$968,N$1)</f>
        <v>0</v>
      </c>
      <c r="O90" s="207">
        <f>SUMIFS('июль 2023'!$G$4:$G$968,'июль 2023'!$D$4:$D$968,$B90,'июль 2023'!$J$4:$J$968,O$1)</f>
        <v>0</v>
      </c>
      <c r="P90" s="207">
        <f>SUMIFS('июль 2023'!$G$4:$G$968,'июль 2023'!$D$4:$D$968,$B90,'июль 2023'!$J$4:$J$968,P$1)</f>
        <v>0</v>
      </c>
      <c r="Q90" s="207">
        <f>SUMIFS('июль 2023'!$G$4:$G$968,'июль 2023'!$D$4:$D$968,$B90,'июль 2023'!$J$4:$J$968,Q$1)</f>
        <v>0</v>
      </c>
      <c r="R90" s="207">
        <f>SUMIFS('июль 2023'!$G$4:$G$968,'июль 2023'!$D$4:$D$968,$B90,'июль 2023'!$J$4:$J$968,R$1)</f>
        <v>0</v>
      </c>
      <c r="S90" s="207">
        <f>SUMIFS('июль 2023'!$G$4:$G$968,'июль 2023'!$D$4:$D$968,$B90,'июль 2023'!$J$4:$J$968,S$1)</f>
        <v>0</v>
      </c>
      <c r="T90" s="207">
        <f>SUMIFS('июль 2023'!$G$4:$G$968,'июль 2023'!$D$4:$D$968,$B90,'июль 2023'!$J$4:$J$968,T$1)</f>
        <v>0</v>
      </c>
      <c r="U90" s="207">
        <f>SUMIFS('июль 2023'!$G$4:$G$968,'июль 2023'!$D$4:$D$968,$B90,'июль 2023'!$J$4:$J$968,U$1)</f>
        <v>0</v>
      </c>
      <c r="V90" s="207">
        <f>SUMIFS('июль 2023'!$G$4:$G$968,'июль 2023'!$D$4:$D$968,$B90,'июль 2023'!$J$4:$J$968,V$1)</f>
        <v>0</v>
      </c>
      <c r="W90" s="207">
        <f>SUMIFS('июль 2023'!$G$4:$G$968,'июль 2023'!$D$4:$D$968,$B90,'июль 2023'!$J$4:$J$968,W$1)</f>
        <v>0</v>
      </c>
      <c r="X90" s="207">
        <f>SUMIFS('июль 2023'!$G$4:$G$968,'июль 2023'!$D$4:$D$968,$B90,'июль 2023'!$J$4:$J$968,X$1)</f>
        <v>0</v>
      </c>
      <c r="Y90" s="207">
        <f>SUMIFS('июль 2023'!$G$4:$G$968,'июль 2023'!$D$4:$D$968,$B90,'июль 2023'!$J$4:$J$968,Y$1)</f>
        <v>0</v>
      </c>
      <c r="Z90" s="207">
        <f>SUMIFS('июль 2023'!$G$4:$G$968,'июль 2023'!$D$4:$D$968,$B90,'июль 2023'!$J$4:$J$968,Z$1)</f>
        <v>0</v>
      </c>
      <c r="AA90" s="207">
        <f>SUMIFS('июль 2023'!$G$4:$G$968,'июль 2023'!$D$4:$D$968,$B90,'июль 2023'!$J$4:$J$968,AA$1)</f>
        <v>0</v>
      </c>
      <c r="AB90" s="207">
        <f>SUMIFS('июль 2023'!$G$4:$G$968,'июль 2023'!$D$4:$D$968,$B90,'июль 2023'!$J$4:$J$968,AB$1)</f>
        <v>0</v>
      </c>
      <c r="AC90" s="207">
        <f>SUMIFS('июль 2023'!$G$4:$G$968,'июль 2023'!$D$4:$D$968,$B90,'июль 2023'!$J$4:$J$968,AC$1)</f>
        <v>0</v>
      </c>
      <c r="AD90" s="207">
        <f>SUMIFS('июль 2023'!$G$4:$G$968,'июль 2023'!$D$4:$D$968,$B90,'июль 2023'!$J$4:$J$968,AD$1)</f>
        <v>0</v>
      </c>
      <c r="AE90" s="207">
        <f>SUMIFS('июль 2023'!$G$4:$G$968,'июль 2023'!$D$4:$D$968,$B90,'июль 2023'!$J$4:$J$968,AE$1)</f>
        <v>0</v>
      </c>
      <c r="AF90" s="207">
        <f>SUMIFS('июль 2023'!$G$4:$G$968,'июль 2023'!$D$4:$D$968,$B90,'июль 2023'!$J$4:$J$968,AF$1)</f>
        <v>0</v>
      </c>
      <c r="AG90" s="207">
        <f>SUMIFS('июль 2023'!$G$4:$G$968,'июль 2023'!$D$4:$D$968,$B90,'июль 2023'!$J$4:$J$968,AG$1)</f>
        <v>0</v>
      </c>
      <c r="AH90" s="207">
        <f>SUMIFS('июль 2023'!$G$4:$G$968,'июль 2023'!$D$4:$D$968,$B90,'июль 2023'!$J$4:$J$968,AH$1)</f>
        <v>0</v>
      </c>
      <c r="AI90" s="170">
        <f t="shared" si="2"/>
        <v>176</v>
      </c>
    </row>
    <row r="91" spans="2:35" ht="15" customHeight="1" x14ac:dyDescent="0.25">
      <c r="B91" s="216" t="s">
        <v>1725</v>
      </c>
      <c r="C91" s="213">
        <v>180</v>
      </c>
      <c r="D91" s="207">
        <f>SUMIFS('июль 2023'!$G$4:$G$968,'июль 2023'!$D$4:$D$968,$B91,'июль 2023'!$J$4:$J$968,D$1)</f>
        <v>0</v>
      </c>
      <c r="E91" s="207">
        <f>SUMIFS('июль 2023'!$G$4:$G$968,'июль 2023'!$D$4:$D$968,$B91,'июль 2023'!$J$4:$J$968,E$1)</f>
        <v>0</v>
      </c>
      <c r="F91" s="207">
        <f>SUMIFS('июль 2023'!$G$4:$G$968,'июль 2023'!$D$4:$D$968,$B91,'июль 2023'!$J$4:$J$968,F$1)</f>
        <v>0</v>
      </c>
      <c r="G91" s="207">
        <f>SUMIFS('июль 2023'!$G$4:$G$968,'июль 2023'!$D$4:$D$968,$B91,'июль 2023'!$J$4:$J$968,G$1)</f>
        <v>0</v>
      </c>
      <c r="H91" s="207">
        <f>SUMIFS('июль 2023'!$G$4:$G$968,'июль 2023'!$D$4:$D$968,$B91,'июль 2023'!$J$4:$J$968,H$1)</f>
        <v>0</v>
      </c>
      <c r="I91" s="207">
        <f>SUMIFS('июль 2023'!$G$4:$G$968,'июль 2023'!$D$4:$D$968,$B91,'июль 2023'!$J$4:$J$968,I$1)</f>
        <v>0</v>
      </c>
      <c r="J91" s="207">
        <f>SUMIFS('июль 2023'!$G$4:$G$968,'июль 2023'!$D$4:$D$968,$B91,'июль 2023'!$J$4:$J$968,J$1)</f>
        <v>0</v>
      </c>
      <c r="K91" s="207">
        <f>SUMIFS('июль 2023'!$G$4:$G$968,'июль 2023'!$D$4:$D$968,$B91,'июль 2023'!$J$4:$J$968,K$1)</f>
        <v>0</v>
      </c>
      <c r="L91" s="207">
        <f>SUMIFS('июль 2023'!$G$4:$G$968,'июль 2023'!$D$4:$D$968,$B91,'июль 2023'!$J$4:$J$968,L$1)</f>
        <v>0</v>
      </c>
      <c r="M91" s="207">
        <f>SUMIFS('июль 2023'!$G$4:$G$968,'июль 2023'!$D$4:$D$968,$B91,'июль 2023'!$J$4:$J$968,M$1)</f>
        <v>0</v>
      </c>
      <c r="N91" s="207">
        <f>SUMIFS('июль 2023'!$G$4:$G$968,'июль 2023'!$D$4:$D$968,$B91,'июль 2023'!$J$4:$J$968,N$1)</f>
        <v>0</v>
      </c>
      <c r="O91" s="207">
        <f>SUMIFS('июль 2023'!$G$4:$G$968,'июль 2023'!$D$4:$D$968,$B91,'июль 2023'!$J$4:$J$968,O$1)</f>
        <v>0</v>
      </c>
      <c r="P91" s="207">
        <f>SUMIFS('июль 2023'!$G$4:$G$968,'июль 2023'!$D$4:$D$968,$B91,'июль 2023'!$J$4:$J$968,P$1)</f>
        <v>0</v>
      </c>
      <c r="Q91" s="207">
        <f>SUMIFS('июль 2023'!$G$4:$G$968,'июль 2023'!$D$4:$D$968,$B91,'июль 2023'!$J$4:$J$968,Q$1)</f>
        <v>0</v>
      </c>
      <c r="R91" s="207">
        <f>SUMIFS('июль 2023'!$G$4:$G$968,'июль 2023'!$D$4:$D$968,$B91,'июль 2023'!$J$4:$J$968,R$1)</f>
        <v>0</v>
      </c>
      <c r="S91" s="207">
        <f>SUMIFS('июль 2023'!$G$4:$G$968,'июль 2023'!$D$4:$D$968,$B91,'июль 2023'!$J$4:$J$968,S$1)</f>
        <v>0</v>
      </c>
      <c r="T91" s="207">
        <f>SUMIFS('июль 2023'!$G$4:$G$968,'июль 2023'!$D$4:$D$968,$B91,'июль 2023'!$J$4:$J$968,T$1)</f>
        <v>0</v>
      </c>
      <c r="U91" s="207">
        <f>SUMIFS('июль 2023'!$G$4:$G$968,'июль 2023'!$D$4:$D$968,$B91,'июль 2023'!$J$4:$J$968,U$1)</f>
        <v>0</v>
      </c>
      <c r="V91" s="207">
        <f>SUMIFS('июль 2023'!$G$4:$G$968,'июль 2023'!$D$4:$D$968,$B91,'июль 2023'!$J$4:$J$968,V$1)</f>
        <v>0</v>
      </c>
      <c r="W91" s="207">
        <f>SUMIFS('июль 2023'!$G$4:$G$968,'июль 2023'!$D$4:$D$968,$B91,'июль 2023'!$J$4:$J$968,W$1)</f>
        <v>0</v>
      </c>
      <c r="X91" s="207">
        <f>SUMIFS('июль 2023'!$G$4:$G$968,'июль 2023'!$D$4:$D$968,$B91,'июль 2023'!$J$4:$J$968,X$1)</f>
        <v>0</v>
      </c>
      <c r="Y91" s="207">
        <f>SUMIFS('июль 2023'!$G$4:$G$968,'июль 2023'!$D$4:$D$968,$B91,'июль 2023'!$J$4:$J$968,Y$1)</f>
        <v>0</v>
      </c>
      <c r="Z91" s="207">
        <f>SUMIFS('июль 2023'!$G$4:$G$968,'июль 2023'!$D$4:$D$968,$B91,'июль 2023'!$J$4:$J$968,Z$1)</f>
        <v>0</v>
      </c>
      <c r="AA91" s="207">
        <f>SUMIFS('июль 2023'!$G$4:$G$968,'июль 2023'!$D$4:$D$968,$B91,'июль 2023'!$J$4:$J$968,AA$1)</f>
        <v>0</v>
      </c>
      <c r="AB91" s="207">
        <f>SUMIFS('июль 2023'!$G$4:$G$968,'июль 2023'!$D$4:$D$968,$B91,'июль 2023'!$J$4:$J$968,AB$1)</f>
        <v>0</v>
      </c>
      <c r="AC91" s="207">
        <f>SUMIFS('июль 2023'!$G$4:$G$968,'июль 2023'!$D$4:$D$968,$B91,'июль 2023'!$J$4:$J$968,AC$1)</f>
        <v>0</v>
      </c>
      <c r="AD91" s="207">
        <f>SUMIFS('июль 2023'!$G$4:$G$968,'июль 2023'!$D$4:$D$968,$B91,'июль 2023'!$J$4:$J$968,AD$1)</f>
        <v>0</v>
      </c>
      <c r="AE91" s="207">
        <f>SUMIFS('июль 2023'!$G$4:$G$968,'июль 2023'!$D$4:$D$968,$B91,'июль 2023'!$J$4:$J$968,AE$1)</f>
        <v>0</v>
      </c>
      <c r="AF91" s="207">
        <f>SUMIFS('июль 2023'!$G$4:$G$968,'июль 2023'!$D$4:$D$968,$B91,'июль 2023'!$J$4:$J$968,AF$1)</f>
        <v>0</v>
      </c>
      <c r="AG91" s="207">
        <f>SUMIFS('июль 2023'!$G$4:$G$968,'июль 2023'!$D$4:$D$968,$B91,'июль 2023'!$J$4:$J$968,AG$1)</f>
        <v>0</v>
      </c>
      <c r="AH91" s="207">
        <f>SUMIFS('июль 2023'!$G$4:$G$968,'июль 2023'!$D$4:$D$968,$B91,'июль 2023'!$J$4:$J$968,AH$1)</f>
        <v>0</v>
      </c>
      <c r="AI91" s="170">
        <f t="shared" si="2"/>
        <v>0</v>
      </c>
    </row>
    <row r="92" spans="2:35" ht="15" customHeight="1" x14ac:dyDescent="0.25">
      <c r="B92" s="212" t="s">
        <v>864</v>
      </c>
      <c r="C92" s="211">
        <v>18</v>
      </c>
      <c r="D92" s="207">
        <f>SUMIFS('июль 2023'!$G$4:$G$968,'июль 2023'!$D$4:$D$968,$B92,'июль 2023'!$J$4:$J$968,D$1)</f>
        <v>0</v>
      </c>
      <c r="E92" s="207">
        <f>SUMIFS('июль 2023'!$G$4:$G$968,'июль 2023'!$D$4:$D$968,$B92,'июль 2023'!$J$4:$J$968,E$1)</f>
        <v>0</v>
      </c>
      <c r="F92" s="207">
        <f>SUMIFS('июль 2023'!$G$4:$G$968,'июль 2023'!$D$4:$D$968,$B92,'июль 2023'!$J$4:$J$968,F$1)</f>
        <v>0</v>
      </c>
      <c r="G92" s="207">
        <f>SUMIFS('июль 2023'!$G$4:$G$968,'июль 2023'!$D$4:$D$968,$B92,'июль 2023'!$J$4:$J$968,G$1)</f>
        <v>0</v>
      </c>
      <c r="H92" s="207">
        <f>SUMIFS('июль 2023'!$G$4:$G$968,'июль 2023'!$D$4:$D$968,$B92,'июль 2023'!$J$4:$J$968,H$1)</f>
        <v>0</v>
      </c>
      <c r="I92" s="207">
        <f>SUMIFS('июль 2023'!$G$4:$G$968,'июль 2023'!$D$4:$D$968,$B92,'июль 2023'!$J$4:$J$968,I$1)</f>
        <v>0</v>
      </c>
      <c r="J92" s="207">
        <f>SUMIFS('июль 2023'!$G$4:$G$968,'июль 2023'!$D$4:$D$968,$B92,'июль 2023'!$J$4:$J$968,J$1)</f>
        <v>0</v>
      </c>
      <c r="K92" s="207">
        <f>SUMIFS('июль 2023'!$G$4:$G$968,'июль 2023'!$D$4:$D$968,$B92,'июль 2023'!$J$4:$J$968,K$1)</f>
        <v>0</v>
      </c>
      <c r="L92" s="207">
        <f>SUMIFS('июль 2023'!$G$4:$G$968,'июль 2023'!$D$4:$D$968,$B92,'июль 2023'!$J$4:$J$968,L$1)</f>
        <v>0</v>
      </c>
      <c r="M92" s="207">
        <f>SUMIFS('июль 2023'!$G$4:$G$968,'июль 2023'!$D$4:$D$968,$B92,'июль 2023'!$J$4:$J$968,M$1)</f>
        <v>0</v>
      </c>
      <c r="N92" s="207">
        <f>SUMIFS('июль 2023'!$G$4:$G$968,'июль 2023'!$D$4:$D$968,$B92,'июль 2023'!$J$4:$J$968,N$1)</f>
        <v>0</v>
      </c>
      <c r="O92" s="207">
        <f>SUMIFS('июль 2023'!$G$4:$G$968,'июль 2023'!$D$4:$D$968,$B92,'июль 2023'!$J$4:$J$968,O$1)</f>
        <v>0</v>
      </c>
      <c r="P92" s="207">
        <f>SUMIFS('июль 2023'!$G$4:$G$968,'июль 2023'!$D$4:$D$968,$B92,'июль 2023'!$J$4:$J$968,P$1)</f>
        <v>0</v>
      </c>
      <c r="Q92" s="207">
        <f>SUMIFS('июль 2023'!$G$4:$G$968,'июль 2023'!$D$4:$D$968,$B92,'июль 2023'!$J$4:$J$968,Q$1)</f>
        <v>0</v>
      </c>
      <c r="R92" s="207">
        <f>SUMIFS('июль 2023'!$G$4:$G$968,'июль 2023'!$D$4:$D$968,$B92,'июль 2023'!$J$4:$J$968,R$1)</f>
        <v>0</v>
      </c>
      <c r="S92" s="207">
        <f>SUMIFS('июль 2023'!$G$4:$G$968,'июль 2023'!$D$4:$D$968,$B92,'июль 2023'!$J$4:$J$968,S$1)</f>
        <v>0</v>
      </c>
      <c r="T92" s="207">
        <f>SUMIFS('июль 2023'!$G$4:$G$968,'июль 2023'!$D$4:$D$968,$B92,'июль 2023'!$J$4:$J$968,T$1)</f>
        <v>0</v>
      </c>
      <c r="U92" s="207">
        <f>SUMIFS('июль 2023'!$G$4:$G$968,'июль 2023'!$D$4:$D$968,$B92,'июль 2023'!$J$4:$J$968,U$1)</f>
        <v>0</v>
      </c>
      <c r="V92" s="207">
        <f>SUMIFS('июль 2023'!$G$4:$G$968,'июль 2023'!$D$4:$D$968,$B92,'июль 2023'!$J$4:$J$968,V$1)</f>
        <v>0</v>
      </c>
      <c r="W92" s="207">
        <f>SUMIFS('июль 2023'!$G$4:$G$968,'июль 2023'!$D$4:$D$968,$B92,'июль 2023'!$J$4:$J$968,W$1)</f>
        <v>556</v>
      </c>
      <c r="X92" s="207">
        <f>SUMIFS('июль 2023'!$G$4:$G$968,'июль 2023'!$D$4:$D$968,$B92,'июль 2023'!$J$4:$J$968,X$1)</f>
        <v>0</v>
      </c>
      <c r="Y92" s="207">
        <f>SUMIFS('июль 2023'!$G$4:$G$968,'июль 2023'!$D$4:$D$968,$B92,'июль 2023'!$J$4:$J$968,Y$1)</f>
        <v>0</v>
      </c>
      <c r="Z92" s="207">
        <f>SUMIFS('июль 2023'!$G$4:$G$968,'июль 2023'!$D$4:$D$968,$B92,'июль 2023'!$J$4:$J$968,Z$1)</f>
        <v>0</v>
      </c>
      <c r="AA92" s="207">
        <f>SUMIFS('июль 2023'!$G$4:$G$968,'июль 2023'!$D$4:$D$968,$B92,'июль 2023'!$J$4:$J$968,AA$1)</f>
        <v>0</v>
      </c>
      <c r="AB92" s="207">
        <f>SUMIFS('июль 2023'!$G$4:$G$968,'июль 2023'!$D$4:$D$968,$B92,'июль 2023'!$J$4:$J$968,AB$1)</f>
        <v>0</v>
      </c>
      <c r="AC92" s="207">
        <f>SUMIFS('июль 2023'!$G$4:$G$968,'июль 2023'!$D$4:$D$968,$B92,'июль 2023'!$J$4:$J$968,AC$1)</f>
        <v>0</v>
      </c>
      <c r="AD92" s="207">
        <f>SUMIFS('июль 2023'!$G$4:$G$968,'июль 2023'!$D$4:$D$968,$B92,'июль 2023'!$J$4:$J$968,AD$1)</f>
        <v>0</v>
      </c>
      <c r="AE92" s="207">
        <f>SUMIFS('июль 2023'!$G$4:$G$968,'июль 2023'!$D$4:$D$968,$B92,'июль 2023'!$J$4:$J$968,AE$1)</f>
        <v>0</v>
      </c>
      <c r="AF92" s="207">
        <f>SUMIFS('июль 2023'!$G$4:$G$968,'июль 2023'!$D$4:$D$968,$B92,'июль 2023'!$J$4:$J$968,AF$1)</f>
        <v>0</v>
      </c>
      <c r="AG92" s="207">
        <f>SUMIFS('июль 2023'!$G$4:$G$968,'июль 2023'!$D$4:$D$968,$B92,'июль 2023'!$J$4:$J$968,AG$1)</f>
        <v>0</v>
      </c>
      <c r="AH92" s="207">
        <f>SUMIFS('июль 2023'!$G$4:$G$968,'июль 2023'!$D$4:$D$968,$B92,'июль 2023'!$J$4:$J$968,AH$1)</f>
        <v>0</v>
      </c>
      <c r="AI92" s="170">
        <f t="shared" si="2"/>
        <v>556</v>
      </c>
    </row>
    <row r="93" spans="2:35" ht="15" customHeight="1" x14ac:dyDescent="0.25">
      <c r="B93" s="216" t="s">
        <v>610</v>
      </c>
      <c r="C93" s="213">
        <v>180</v>
      </c>
      <c r="D93" s="207">
        <f>SUMIFS('июль 2023'!$G$4:$G$968,'июль 2023'!$D$4:$D$968,$B93,'июль 2023'!$J$4:$J$968,D$1)</f>
        <v>0</v>
      </c>
      <c r="E93" s="207">
        <f>SUMIFS('июль 2023'!$G$4:$G$968,'июль 2023'!$D$4:$D$968,$B93,'июль 2023'!$J$4:$J$968,E$1)</f>
        <v>0</v>
      </c>
      <c r="F93" s="207">
        <f>SUMIFS('июль 2023'!$G$4:$G$968,'июль 2023'!$D$4:$D$968,$B93,'июль 2023'!$J$4:$J$968,F$1)</f>
        <v>0</v>
      </c>
      <c r="G93" s="207">
        <f>SUMIFS('июль 2023'!$G$4:$G$968,'июль 2023'!$D$4:$D$968,$B93,'июль 2023'!$J$4:$J$968,G$1)</f>
        <v>0</v>
      </c>
      <c r="H93" s="207">
        <f>SUMIFS('июль 2023'!$G$4:$G$968,'июль 2023'!$D$4:$D$968,$B93,'июль 2023'!$J$4:$J$968,H$1)</f>
        <v>0</v>
      </c>
      <c r="I93" s="207">
        <f>SUMIFS('июль 2023'!$G$4:$G$968,'июль 2023'!$D$4:$D$968,$B93,'июль 2023'!$J$4:$J$968,I$1)</f>
        <v>0</v>
      </c>
      <c r="J93" s="207">
        <f>SUMIFS('июль 2023'!$G$4:$G$968,'июль 2023'!$D$4:$D$968,$B93,'июль 2023'!$J$4:$J$968,J$1)</f>
        <v>0</v>
      </c>
      <c r="K93" s="207">
        <f>SUMIFS('июль 2023'!$G$4:$G$968,'июль 2023'!$D$4:$D$968,$B93,'июль 2023'!$J$4:$J$968,K$1)</f>
        <v>0</v>
      </c>
      <c r="L93" s="207">
        <f>SUMIFS('июль 2023'!$G$4:$G$968,'июль 2023'!$D$4:$D$968,$B93,'июль 2023'!$J$4:$J$968,L$1)</f>
        <v>0</v>
      </c>
      <c r="M93" s="207">
        <f>SUMIFS('июль 2023'!$G$4:$G$968,'июль 2023'!$D$4:$D$968,$B93,'июль 2023'!$J$4:$J$968,M$1)</f>
        <v>0</v>
      </c>
      <c r="N93" s="207">
        <f>SUMIFS('июль 2023'!$G$4:$G$968,'июль 2023'!$D$4:$D$968,$B93,'июль 2023'!$J$4:$J$968,N$1)</f>
        <v>0</v>
      </c>
      <c r="O93" s="207">
        <f>SUMIFS('июль 2023'!$G$4:$G$968,'июль 2023'!$D$4:$D$968,$B93,'июль 2023'!$J$4:$J$968,O$1)</f>
        <v>0</v>
      </c>
      <c r="P93" s="207">
        <f>SUMIFS('июль 2023'!$G$4:$G$968,'июль 2023'!$D$4:$D$968,$B93,'июль 2023'!$J$4:$J$968,P$1)</f>
        <v>0</v>
      </c>
      <c r="Q93" s="207">
        <f>SUMIFS('июль 2023'!$G$4:$G$968,'июль 2023'!$D$4:$D$968,$B93,'июль 2023'!$J$4:$J$968,Q$1)</f>
        <v>0</v>
      </c>
      <c r="R93" s="207">
        <f>SUMIFS('июль 2023'!$G$4:$G$968,'июль 2023'!$D$4:$D$968,$B93,'июль 2023'!$J$4:$J$968,R$1)</f>
        <v>0</v>
      </c>
      <c r="S93" s="207">
        <f>SUMIFS('июль 2023'!$G$4:$G$968,'июль 2023'!$D$4:$D$968,$B93,'июль 2023'!$J$4:$J$968,S$1)</f>
        <v>0</v>
      </c>
      <c r="T93" s="207">
        <f>SUMIFS('июль 2023'!$G$4:$G$968,'июль 2023'!$D$4:$D$968,$B93,'июль 2023'!$J$4:$J$968,T$1)</f>
        <v>0</v>
      </c>
      <c r="U93" s="207">
        <f>SUMIFS('июль 2023'!$G$4:$G$968,'июль 2023'!$D$4:$D$968,$B93,'июль 2023'!$J$4:$J$968,U$1)</f>
        <v>0</v>
      </c>
      <c r="V93" s="207">
        <f>SUMIFS('июль 2023'!$G$4:$G$968,'июль 2023'!$D$4:$D$968,$B93,'июль 2023'!$J$4:$J$968,V$1)</f>
        <v>0</v>
      </c>
      <c r="W93" s="207">
        <f>SUMIFS('июль 2023'!$G$4:$G$968,'июль 2023'!$D$4:$D$968,$B93,'июль 2023'!$J$4:$J$968,W$1)</f>
        <v>0</v>
      </c>
      <c r="X93" s="207">
        <f>SUMIFS('июль 2023'!$G$4:$G$968,'июль 2023'!$D$4:$D$968,$B93,'июль 2023'!$J$4:$J$968,X$1)</f>
        <v>0</v>
      </c>
      <c r="Y93" s="207">
        <f>SUMIFS('июль 2023'!$G$4:$G$968,'июль 2023'!$D$4:$D$968,$B93,'июль 2023'!$J$4:$J$968,Y$1)</f>
        <v>0</v>
      </c>
      <c r="Z93" s="207">
        <f>SUMIFS('июль 2023'!$G$4:$G$968,'июль 2023'!$D$4:$D$968,$B93,'июль 2023'!$J$4:$J$968,Z$1)</f>
        <v>0</v>
      </c>
      <c r="AA93" s="207">
        <f>SUMIFS('июль 2023'!$G$4:$G$968,'июль 2023'!$D$4:$D$968,$B93,'июль 2023'!$J$4:$J$968,AA$1)</f>
        <v>0</v>
      </c>
      <c r="AB93" s="207">
        <f>SUMIFS('июль 2023'!$G$4:$G$968,'июль 2023'!$D$4:$D$968,$B93,'июль 2023'!$J$4:$J$968,AB$1)</f>
        <v>0</v>
      </c>
      <c r="AC93" s="207">
        <f>SUMIFS('июль 2023'!$G$4:$G$968,'июль 2023'!$D$4:$D$968,$B93,'июль 2023'!$J$4:$J$968,AC$1)</f>
        <v>0</v>
      </c>
      <c r="AD93" s="207">
        <f>SUMIFS('июль 2023'!$G$4:$G$968,'июль 2023'!$D$4:$D$968,$B93,'июль 2023'!$J$4:$J$968,AD$1)</f>
        <v>0</v>
      </c>
      <c r="AE93" s="207">
        <f>SUMIFS('июль 2023'!$G$4:$G$968,'июль 2023'!$D$4:$D$968,$B93,'июль 2023'!$J$4:$J$968,AE$1)</f>
        <v>0</v>
      </c>
      <c r="AF93" s="207">
        <f>SUMIFS('июль 2023'!$G$4:$G$968,'июль 2023'!$D$4:$D$968,$B93,'июль 2023'!$J$4:$J$968,AF$1)</f>
        <v>0</v>
      </c>
      <c r="AG93" s="207">
        <f>SUMIFS('июль 2023'!$G$4:$G$968,'июль 2023'!$D$4:$D$968,$B93,'июль 2023'!$J$4:$J$968,AG$1)</f>
        <v>0</v>
      </c>
      <c r="AH93" s="207">
        <f>SUMIFS('июль 2023'!$G$4:$G$968,'июль 2023'!$D$4:$D$968,$B93,'июль 2023'!$J$4:$J$968,AH$1)</f>
        <v>0</v>
      </c>
      <c r="AI93" s="170">
        <f t="shared" si="2"/>
        <v>0</v>
      </c>
    </row>
    <row r="94" spans="2:35" ht="15" customHeight="1" x14ac:dyDescent="0.25">
      <c r="B94" s="216" t="s">
        <v>2192</v>
      </c>
      <c r="C94" s="213">
        <v>200</v>
      </c>
      <c r="D94" s="207">
        <f>SUMIFS('июль 2023'!$G$4:$G$968,'июль 2023'!$D$4:$D$968,$B94,'июль 2023'!$J$4:$J$968,D$1)</f>
        <v>0</v>
      </c>
      <c r="E94" s="207">
        <f>SUMIFS('июль 2023'!$G$4:$G$968,'июль 2023'!$D$4:$D$968,$B94,'июль 2023'!$J$4:$J$968,E$1)</f>
        <v>0</v>
      </c>
      <c r="F94" s="207">
        <f>SUMIFS('июль 2023'!$G$4:$G$968,'июль 2023'!$D$4:$D$968,$B94,'июль 2023'!$J$4:$J$968,F$1)</f>
        <v>0</v>
      </c>
      <c r="G94" s="207">
        <f>SUMIFS('июль 2023'!$G$4:$G$968,'июль 2023'!$D$4:$D$968,$B94,'июль 2023'!$J$4:$J$968,G$1)</f>
        <v>0</v>
      </c>
      <c r="H94" s="207">
        <f>SUMIFS('июль 2023'!$G$4:$G$968,'июль 2023'!$D$4:$D$968,$B94,'июль 2023'!$J$4:$J$968,H$1)</f>
        <v>0</v>
      </c>
      <c r="I94" s="207">
        <f>SUMIFS('июль 2023'!$G$4:$G$968,'июль 2023'!$D$4:$D$968,$B94,'июль 2023'!$J$4:$J$968,I$1)</f>
        <v>0</v>
      </c>
      <c r="J94" s="207">
        <f>SUMIFS('июль 2023'!$G$4:$G$968,'июль 2023'!$D$4:$D$968,$B94,'июль 2023'!$J$4:$J$968,J$1)</f>
        <v>0</v>
      </c>
      <c r="K94" s="207">
        <f>SUMIFS('июль 2023'!$G$4:$G$968,'июль 2023'!$D$4:$D$968,$B94,'июль 2023'!$J$4:$J$968,K$1)</f>
        <v>0</v>
      </c>
      <c r="L94" s="207">
        <f>SUMIFS('июль 2023'!$G$4:$G$968,'июль 2023'!$D$4:$D$968,$B94,'июль 2023'!$J$4:$J$968,L$1)</f>
        <v>0</v>
      </c>
      <c r="M94" s="207">
        <f>SUMIFS('июль 2023'!$G$4:$G$968,'июль 2023'!$D$4:$D$968,$B94,'июль 2023'!$J$4:$J$968,M$1)</f>
        <v>0</v>
      </c>
      <c r="N94" s="207">
        <f>SUMIFS('июль 2023'!$G$4:$G$968,'июль 2023'!$D$4:$D$968,$B94,'июль 2023'!$J$4:$J$968,N$1)</f>
        <v>0</v>
      </c>
      <c r="O94" s="207">
        <f>SUMIFS('июль 2023'!$G$4:$G$968,'июль 2023'!$D$4:$D$968,$B94,'июль 2023'!$J$4:$J$968,O$1)</f>
        <v>0</v>
      </c>
      <c r="P94" s="207">
        <f>SUMIFS('июль 2023'!$G$4:$G$968,'июль 2023'!$D$4:$D$968,$B94,'июль 2023'!$J$4:$J$968,P$1)</f>
        <v>0</v>
      </c>
      <c r="Q94" s="207">
        <f>SUMIFS('июль 2023'!$G$4:$G$968,'июль 2023'!$D$4:$D$968,$B94,'июль 2023'!$J$4:$J$968,Q$1)</f>
        <v>0</v>
      </c>
      <c r="R94" s="207">
        <f>SUMIFS('июль 2023'!$G$4:$G$968,'июль 2023'!$D$4:$D$968,$B94,'июль 2023'!$J$4:$J$968,R$1)</f>
        <v>0</v>
      </c>
      <c r="S94" s="207">
        <f>SUMIFS('июль 2023'!$G$4:$G$968,'июль 2023'!$D$4:$D$968,$B94,'июль 2023'!$J$4:$J$968,S$1)</f>
        <v>0</v>
      </c>
      <c r="T94" s="207">
        <f>SUMIFS('июль 2023'!$G$4:$G$968,'июль 2023'!$D$4:$D$968,$B94,'июль 2023'!$J$4:$J$968,T$1)</f>
        <v>0</v>
      </c>
      <c r="U94" s="207">
        <f>SUMIFS('июль 2023'!$G$4:$G$968,'июль 2023'!$D$4:$D$968,$B94,'июль 2023'!$J$4:$J$968,U$1)</f>
        <v>0</v>
      </c>
      <c r="V94" s="207">
        <f>SUMIFS('июль 2023'!$G$4:$G$968,'июль 2023'!$D$4:$D$968,$B94,'июль 2023'!$J$4:$J$968,V$1)</f>
        <v>0</v>
      </c>
      <c r="W94" s="207">
        <f>SUMIFS('июль 2023'!$G$4:$G$968,'июль 2023'!$D$4:$D$968,$B94,'июль 2023'!$J$4:$J$968,W$1)</f>
        <v>0</v>
      </c>
      <c r="X94" s="207">
        <f>SUMIFS('июль 2023'!$G$4:$G$968,'июль 2023'!$D$4:$D$968,$B94,'июль 2023'!$J$4:$J$968,X$1)</f>
        <v>0</v>
      </c>
      <c r="Y94" s="207">
        <f>SUMIFS('июль 2023'!$G$4:$G$968,'июль 2023'!$D$4:$D$968,$B94,'июль 2023'!$J$4:$J$968,Y$1)</f>
        <v>0</v>
      </c>
      <c r="Z94" s="207">
        <f>SUMIFS('июль 2023'!$G$4:$G$968,'июль 2023'!$D$4:$D$968,$B94,'июль 2023'!$J$4:$J$968,Z$1)</f>
        <v>0</v>
      </c>
      <c r="AA94" s="207">
        <f>SUMIFS('июль 2023'!$G$4:$G$968,'июль 2023'!$D$4:$D$968,$B94,'июль 2023'!$J$4:$J$968,AA$1)</f>
        <v>0</v>
      </c>
      <c r="AB94" s="207">
        <f>SUMIFS('июль 2023'!$G$4:$G$968,'июль 2023'!$D$4:$D$968,$B94,'июль 2023'!$J$4:$J$968,AB$1)</f>
        <v>0</v>
      </c>
      <c r="AC94" s="207">
        <f>SUMIFS('июль 2023'!$G$4:$G$968,'июль 2023'!$D$4:$D$968,$B94,'июль 2023'!$J$4:$J$968,AC$1)</f>
        <v>0</v>
      </c>
      <c r="AD94" s="207">
        <f>SUMIFS('июль 2023'!$G$4:$G$968,'июль 2023'!$D$4:$D$968,$B94,'июль 2023'!$J$4:$J$968,AD$1)</f>
        <v>0</v>
      </c>
      <c r="AE94" s="207">
        <f>SUMIFS('июль 2023'!$G$4:$G$968,'июль 2023'!$D$4:$D$968,$B94,'июль 2023'!$J$4:$J$968,AE$1)</f>
        <v>0</v>
      </c>
      <c r="AF94" s="207">
        <f>SUMIFS('июль 2023'!$G$4:$G$968,'июль 2023'!$D$4:$D$968,$B94,'июль 2023'!$J$4:$J$968,AF$1)</f>
        <v>0</v>
      </c>
      <c r="AG94" s="207">
        <f>SUMIFS('июль 2023'!$G$4:$G$968,'июль 2023'!$D$4:$D$968,$B94,'июль 2023'!$J$4:$J$968,AG$1)</f>
        <v>0</v>
      </c>
      <c r="AH94" s="207">
        <f>SUMIFS('июль 2023'!$G$4:$G$968,'июль 2023'!$D$4:$D$968,$B94,'июль 2023'!$J$4:$J$968,AH$1)</f>
        <v>0</v>
      </c>
      <c r="AI94" s="170">
        <f t="shared" si="2"/>
        <v>0</v>
      </c>
    </row>
    <row r="95" spans="2:35" ht="15" customHeight="1" x14ac:dyDescent="0.25">
      <c r="B95" s="216" t="s">
        <v>308</v>
      </c>
      <c r="C95" s="213">
        <v>180</v>
      </c>
      <c r="D95" s="207">
        <f>SUMIFS('июль 2023'!$G$4:$G$968,'июль 2023'!$D$4:$D$968,$B95,'июль 2023'!$J$4:$J$968,D$1)</f>
        <v>0</v>
      </c>
      <c r="E95" s="207">
        <f>SUMIFS('июль 2023'!$G$4:$G$968,'июль 2023'!$D$4:$D$968,$B95,'июль 2023'!$J$4:$J$968,E$1)</f>
        <v>0</v>
      </c>
      <c r="F95" s="207">
        <f>SUMIFS('июль 2023'!$G$4:$G$968,'июль 2023'!$D$4:$D$968,$B95,'июль 2023'!$J$4:$J$968,F$1)</f>
        <v>0</v>
      </c>
      <c r="G95" s="207">
        <f>SUMIFS('июль 2023'!$G$4:$G$968,'июль 2023'!$D$4:$D$968,$B95,'июль 2023'!$J$4:$J$968,G$1)</f>
        <v>0</v>
      </c>
      <c r="H95" s="207">
        <f>SUMIFS('июль 2023'!$G$4:$G$968,'июль 2023'!$D$4:$D$968,$B95,'июль 2023'!$J$4:$J$968,H$1)</f>
        <v>0</v>
      </c>
      <c r="I95" s="207">
        <f>SUMIFS('июль 2023'!$G$4:$G$968,'июль 2023'!$D$4:$D$968,$B95,'июль 2023'!$J$4:$J$968,I$1)</f>
        <v>0</v>
      </c>
      <c r="J95" s="207">
        <f>SUMIFS('июль 2023'!$G$4:$G$968,'июль 2023'!$D$4:$D$968,$B95,'июль 2023'!$J$4:$J$968,J$1)</f>
        <v>0</v>
      </c>
      <c r="K95" s="207">
        <f>SUMIFS('июль 2023'!$G$4:$G$968,'июль 2023'!$D$4:$D$968,$B95,'июль 2023'!$J$4:$J$968,K$1)</f>
        <v>0</v>
      </c>
      <c r="L95" s="207">
        <f>SUMIFS('июль 2023'!$G$4:$G$968,'июль 2023'!$D$4:$D$968,$B95,'июль 2023'!$J$4:$J$968,L$1)</f>
        <v>0</v>
      </c>
      <c r="M95" s="207">
        <f>SUMIFS('июль 2023'!$G$4:$G$968,'июль 2023'!$D$4:$D$968,$B95,'июль 2023'!$J$4:$J$968,M$1)</f>
        <v>0</v>
      </c>
      <c r="N95" s="207">
        <f>SUMIFS('июль 2023'!$G$4:$G$968,'июль 2023'!$D$4:$D$968,$B95,'июль 2023'!$J$4:$J$968,N$1)</f>
        <v>0</v>
      </c>
      <c r="O95" s="207">
        <f>SUMIFS('июль 2023'!$G$4:$G$968,'июль 2023'!$D$4:$D$968,$B95,'июль 2023'!$J$4:$J$968,O$1)</f>
        <v>0</v>
      </c>
      <c r="P95" s="207">
        <f>SUMIFS('июль 2023'!$G$4:$G$968,'июль 2023'!$D$4:$D$968,$B95,'июль 2023'!$J$4:$J$968,P$1)</f>
        <v>0</v>
      </c>
      <c r="Q95" s="207">
        <f>SUMIFS('июль 2023'!$G$4:$G$968,'июль 2023'!$D$4:$D$968,$B95,'июль 2023'!$J$4:$J$968,Q$1)</f>
        <v>0</v>
      </c>
      <c r="R95" s="207">
        <f>SUMIFS('июль 2023'!$G$4:$G$968,'июль 2023'!$D$4:$D$968,$B95,'июль 2023'!$J$4:$J$968,R$1)</f>
        <v>0</v>
      </c>
      <c r="S95" s="207">
        <f>SUMIFS('июль 2023'!$G$4:$G$968,'июль 2023'!$D$4:$D$968,$B95,'июль 2023'!$J$4:$J$968,S$1)</f>
        <v>0</v>
      </c>
      <c r="T95" s="207">
        <f>SUMIFS('июль 2023'!$G$4:$G$968,'июль 2023'!$D$4:$D$968,$B95,'июль 2023'!$J$4:$J$968,T$1)</f>
        <v>0</v>
      </c>
      <c r="U95" s="207">
        <f>SUMIFS('июль 2023'!$G$4:$G$968,'июль 2023'!$D$4:$D$968,$B95,'июль 2023'!$J$4:$J$968,U$1)</f>
        <v>0</v>
      </c>
      <c r="V95" s="207">
        <f>SUMIFS('июль 2023'!$G$4:$G$968,'июль 2023'!$D$4:$D$968,$B95,'июль 2023'!$J$4:$J$968,V$1)</f>
        <v>0</v>
      </c>
      <c r="W95" s="207">
        <f>SUMIFS('июль 2023'!$G$4:$G$968,'июль 2023'!$D$4:$D$968,$B95,'июль 2023'!$J$4:$J$968,W$1)</f>
        <v>0</v>
      </c>
      <c r="X95" s="207">
        <f>SUMIFS('июль 2023'!$G$4:$G$968,'июль 2023'!$D$4:$D$968,$B95,'июль 2023'!$J$4:$J$968,X$1)</f>
        <v>0</v>
      </c>
      <c r="Y95" s="207">
        <f>SUMIFS('июль 2023'!$G$4:$G$968,'июль 2023'!$D$4:$D$968,$B95,'июль 2023'!$J$4:$J$968,Y$1)</f>
        <v>0</v>
      </c>
      <c r="Z95" s="207">
        <f>SUMIFS('июль 2023'!$G$4:$G$968,'июль 2023'!$D$4:$D$968,$B95,'июль 2023'!$J$4:$J$968,Z$1)</f>
        <v>0</v>
      </c>
      <c r="AA95" s="207">
        <f>SUMIFS('июль 2023'!$G$4:$G$968,'июль 2023'!$D$4:$D$968,$B95,'июль 2023'!$J$4:$J$968,AA$1)</f>
        <v>0</v>
      </c>
      <c r="AB95" s="207">
        <f>SUMIFS('июль 2023'!$G$4:$G$968,'июль 2023'!$D$4:$D$968,$B95,'июль 2023'!$J$4:$J$968,AB$1)</f>
        <v>0</v>
      </c>
      <c r="AC95" s="207">
        <f>SUMIFS('июль 2023'!$G$4:$G$968,'июль 2023'!$D$4:$D$968,$B95,'июль 2023'!$J$4:$J$968,AC$1)</f>
        <v>0</v>
      </c>
      <c r="AD95" s="207">
        <f>SUMIFS('июль 2023'!$G$4:$G$968,'июль 2023'!$D$4:$D$968,$B95,'июль 2023'!$J$4:$J$968,AD$1)</f>
        <v>0</v>
      </c>
      <c r="AE95" s="207">
        <f>SUMIFS('июль 2023'!$G$4:$G$968,'июль 2023'!$D$4:$D$968,$B95,'июль 2023'!$J$4:$J$968,AE$1)</f>
        <v>88</v>
      </c>
      <c r="AF95" s="207">
        <f>SUMIFS('июль 2023'!$G$4:$G$968,'июль 2023'!$D$4:$D$968,$B95,'июль 2023'!$J$4:$J$968,AF$1)</f>
        <v>0</v>
      </c>
      <c r="AG95" s="207">
        <f>SUMIFS('июль 2023'!$G$4:$G$968,'июль 2023'!$D$4:$D$968,$B95,'июль 2023'!$J$4:$J$968,AG$1)</f>
        <v>0</v>
      </c>
      <c r="AH95" s="207">
        <f>SUMIFS('июль 2023'!$G$4:$G$968,'июль 2023'!$D$4:$D$968,$B95,'июль 2023'!$J$4:$J$968,AH$1)</f>
        <v>0</v>
      </c>
      <c r="AI95" s="170">
        <f t="shared" si="2"/>
        <v>88</v>
      </c>
    </row>
    <row r="96" spans="2:35" ht="15" customHeight="1" x14ac:dyDescent="0.25">
      <c r="B96" s="216" t="s">
        <v>770</v>
      </c>
      <c r="C96" s="213">
        <v>190</v>
      </c>
      <c r="D96" s="207">
        <f>SUMIFS('июль 2023'!$G$4:$G$968,'июль 2023'!$D$4:$D$968,$B96,'июль 2023'!$J$4:$J$968,D$1)</f>
        <v>0</v>
      </c>
      <c r="E96" s="207">
        <f>SUMIFS('июль 2023'!$G$4:$G$968,'июль 2023'!$D$4:$D$968,$B96,'июль 2023'!$J$4:$J$968,E$1)</f>
        <v>0</v>
      </c>
      <c r="F96" s="207">
        <f>SUMIFS('июль 2023'!$G$4:$G$968,'июль 2023'!$D$4:$D$968,$B96,'июль 2023'!$J$4:$J$968,F$1)</f>
        <v>0</v>
      </c>
      <c r="G96" s="207">
        <f>SUMIFS('июль 2023'!$G$4:$G$968,'июль 2023'!$D$4:$D$968,$B96,'июль 2023'!$J$4:$J$968,G$1)</f>
        <v>0</v>
      </c>
      <c r="H96" s="207">
        <f>SUMIFS('июль 2023'!$G$4:$G$968,'июль 2023'!$D$4:$D$968,$B96,'июль 2023'!$J$4:$J$968,H$1)</f>
        <v>0</v>
      </c>
      <c r="I96" s="207">
        <f>SUMIFS('июль 2023'!$G$4:$G$968,'июль 2023'!$D$4:$D$968,$B96,'июль 2023'!$J$4:$J$968,I$1)</f>
        <v>0</v>
      </c>
      <c r="J96" s="207">
        <f>SUMIFS('июль 2023'!$G$4:$G$968,'июль 2023'!$D$4:$D$968,$B96,'июль 2023'!$J$4:$J$968,J$1)</f>
        <v>0</v>
      </c>
      <c r="K96" s="207">
        <f>SUMIFS('июль 2023'!$G$4:$G$968,'июль 2023'!$D$4:$D$968,$B96,'июль 2023'!$J$4:$J$968,K$1)</f>
        <v>0</v>
      </c>
      <c r="L96" s="207">
        <f>SUMIFS('июль 2023'!$G$4:$G$968,'июль 2023'!$D$4:$D$968,$B96,'июль 2023'!$J$4:$J$968,L$1)</f>
        <v>0</v>
      </c>
      <c r="M96" s="207">
        <f>SUMIFS('июль 2023'!$G$4:$G$968,'июль 2023'!$D$4:$D$968,$B96,'июль 2023'!$J$4:$J$968,M$1)</f>
        <v>0</v>
      </c>
      <c r="N96" s="207">
        <f>SUMIFS('июль 2023'!$G$4:$G$968,'июль 2023'!$D$4:$D$968,$B96,'июль 2023'!$J$4:$J$968,N$1)</f>
        <v>0</v>
      </c>
      <c r="O96" s="207">
        <f>SUMIFS('июль 2023'!$G$4:$G$968,'июль 2023'!$D$4:$D$968,$B96,'июль 2023'!$J$4:$J$968,O$1)</f>
        <v>0</v>
      </c>
      <c r="P96" s="207">
        <f>SUMIFS('июль 2023'!$G$4:$G$968,'июль 2023'!$D$4:$D$968,$B96,'июль 2023'!$J$4:$J$968,P$1)</f>
        <v>0</v>
      </c>
      <c r="Q96" s="207">
        <f>SUMIFS('июль 2023'!$G$4:$G$968,'июль 2023'!$D$4:$D$968,$B96,'июль 2023'!$J$4:$J$968,Q$1)</f>
        <v>0</v>
      </c>
      <c r="R96" s="207">
        <f>SUMIFS('июль 2023'!$G$4:$G$968,'июль 2023'!$D$4:$D$968,$B96,'июль 2023'!$J$4:$J$968,R$1)</f>
        <v>0</v>
      </c>
      <c r="S96" s="207">
        <f>SUMIFS('июль 2023'!$G$4:$G$968,'июль 2023'!$D$4:$D$968,$B96,'июль 2023'!$J$4:$J$968,S$1)</f>
        <v>0</v>
      </c>
      <c r="T96" s="207">
        <f>SUMIFS('июль 2023'!$G$4:$G$968,'июль 2023'!$D$4:$D$968,$B96,'июль 2023'!$J$4:$J$968,T$1)</f>
        <v>0</v>
      </c>
      <c r="U96" s="207">
        <f>SUMIFS('июль 2023'!$G$4:$G$968,'июль 2023'!$D$4:$D$968,$B96,'июль 2023'!$J$4:$J$968,U$1)</f>
        <v>0</v>
      </c>
      <c r="V96" s="207">
        <f>SUMIFS('июль 2023'!$G$4:$G$968,'июль 2023'!$D$4:$D$968,$B96,'июль 2023'!$J$4:$J$968,V$1)</f>
        <v>0</v>
      </c>
      <c r="W96" s="207">
        <f>SUMIFS('июль 2023'!$G$4:$G$968,'июль 2023'!$D$4:$D$968,$B96,'июль 2023'!$J$4:$J$968,W$1)</f>
        <v>0</v>
      </c>
      <c r="X96" s="207">
        <f>SUMIFS('июль 2023'!$G$4:$G$968,'июль 2023'!$D$4:$D$968,$B96,'июль 2023'!$J$4:$J$968,X$1)</f>
        <v>0</v>
      </c>
      <c r="Y96" s="207">
        <f>SUMIFS('июль 2023'!$G$4:$G$968,'июль 2023'!$D$4:$D$968,$B96,'июль 2023'!$J$4:$J$968,Y$1)</f>
        <v>0</v>
      </c>
      <c r="Z96" s="207">
        <f>SUMIFS('июль 2023'!$G$4:$G$968,'июль 2023'!$D$4:$D$968,$B96,'июль 2023'!$J$4:$J$968,Z$1)</f>
        <v>0</v>
      </c>
      <c r="AA96" s="207">
        <f>SUMIFS('июль 2023'!$G$4:$G$968,'июль 2023'!$D$4:$D$968,$B96,'июль 2023'!$J$4:$J$968,AA$1)</f>
        <v>0</v>
      </c>
      <c r="AB96" s="207">
        <f>SUMIFS('июль 2023'!$G$4:$G$968,'июль 2023'!$D$4:$D$968,$B96,'июль 2023'!$J$4:$J$968,AB$1)</f>
        <v>0</v>
      </c>
      <c r="AC96" s="207">
        <f>SUMIFS('июль 2023'!$G$4:$G$968,'июль 2023'!$D$4:$D$968,$B96,'июль 2023'!$J$4:$J$968,AC$1)</f>
        <v>0</v>
      </c>
      <c r="AD96" s="207">
        <f>SUMIFS('июль 2023'!$G$4:$G$968,'июль 2023'!$D$4:$D$968,$B96,'июль 2023'!$J$4:$J$968,AD$1)</f>
        <v>0</v>
      </c>
      <c r="AE96" s="207">
        <f>SUMIFS('июль 2023'!$G$4:$G$968,'июль 2023'!$D$4:$D$968,$B96,'июль 2023'!$J$4:$J$968,AE$1)</f>
        <v>0</v>
      </c>
      <c r="AF96" s="207">
        <f>SUMIFS('июль 2023'!$G$4:$G$968,'июль 2023'!$D$4:$D$968,$B96,'июль 2023'!$J$4:$J$968,AF$1)</f>
        <v>0</v>
      </c>
      <c r="AG96" s="207">
        <f>SUMIFS('июль 2023'!$G$4:$G$968,'июль 2023'!$D$4:$D$968,$B96,'июль 2023'!$J$4:$J$968,AG$1)</f>
        <v>0</v>
      </c>
      <c r="AH96" s="207">
        <f>SUMIFS('июль 2023'!$G$4:$G$968,'июль 2023'!$D$4:$D$968,$B96,'июль 2023'!$J$4:$J$968,AH$1)</f>
        <v>0</v>
      </c>
      <c r="AI96" s="170">
        <f t="shared" si="2"/>
        <v>0</v>
      </c>
    </row>
    <row r="97" spans="2:35" ht="15" customHeight="1" x14ac:dyDescent="0.25">
      <c r="B97" s="216" t="s">
        <v>2193</v>
      </c>
      <c r="C97" s="213">
        <v>190</v>
      </c>
      <c r="D97" s="207">
        <f>SUMIFS('июль 2023'!$G$4:$G$968,'июль 2023'!$D$4:$D$968,$B97,'июль 2023'!$J$4:$J$968,D$1)</f>
        <v>0</v>
      </c>
      <c r="E97" s="207">
        <f>SUMIFS('июль 2023'!$G$4:$G$968,'июль 2023'!$D$4:$D$968,$B97,'июль 2023'!$J$4:$J$968,E$1)</f>
        <v>0</v>
      </c>
      <c r="F97" s="207">
        <f>SUMIFS('июль 2023'!$G$4:$G$968,'июль 2023'!$D$4:$D$968,$B97,'июль 2023'!$J$4:$J$968,F$1)</f>
        <v>0</v>
      </c>
      <c r="G97" s="207">
        <f>SUMIFS('июль 2023'!$G$4:$G$968,'июль 2023'!$D$4:$D$968,$B97,'июль 2023'!$J$4:$J$968,G$1)</f>
        <v>0</v>
      </c>
      <c r="H97" s="207">
        <f>SUMIFS('июль 2023'!$G$4:$G$968,'июль 2023'!$D$4:$D$968,$B97,'июль 2023'!$J$4:$J$968,H$1)</f>
        <v>0</v>
      </c>
      <c r="I97" s="207">
        <f>SUMIFS('июль 2023'!$G$4:$G$968,'июль 2023'!$D$4:$D$968,$B97,'июль 2023'!$J$4:$J$968,I$1)</f>
        <v>0</v>
      </c>
      <c r="J97" s="207">
        <f>SUMIFS('июль 2023'!$G$4:$G$968,'июль 2023'!$D$4:$D$968,$B97,'июль 2023'!$J$4:$J$968,J$1)</f>
        <v>0</v>
      </c>
      <c r="K97" s="207">
        <f>SUMIFS('июль 2023'!$G$4:$G$968,'июль 2023'!$D$4:$D$968,$B97,'июль 2023'!$J$4:$J$968,K$1)</f>
        <v>0</v>
      </c>
      <c r="L97" s="207">
        <f>SUMIFS('июль 2023'!$G$4:$G$968,'июль 2023'!$D$4:$D$968,$B97,'июль 2023'!$J$4:$J$968,L$1)</f>
        <v>0</v>
      </c>
      <c r="M97" s="207">
        <f>SUMIFS('июль 2023'!$G$4:$G$968,'июль 2023'!$D$4:$D$968,$B97,'июль 2023'!$J$4:$J$968,M$1)</f>
        <v>0</v>
      </c>
      <c r="N97" s="207">
        <f>SUMIFS('июль 2023'!$G$4:$G$968,'июль 2023'!$D$4:$D$968,$B97,'июль 2023'!$J$4:$J$968,N$1)</f>
        <v>0</v>
      </c>
      <c r="O97" s="207">
        <f>SUMIFS('июль 2023'!$G$4:$G$968,'июль 2023'!$D$4:$D$968,$B97,'июль 2023'!$J$4:$J$968,O$1)</f>
        <v>0</v>
      </c>
      <c r="P97" s="207">
        <f>SUMIFS('июль 2023'!$G$4:$G$968,'июль 2023'!$D$4:$D$968,$B97,'июль 2023'!$J$4:$J$968,P$1)</f>
        <v>0</v>
      </c>
      <c r="Q97" s="207">
        <f>SUMIFS('июль 2023'!$G$4:$G$968,'июль 2023'!$D$4:$D$968,$B97,'июль 2023'!$J$4:$J$968,Q$1)</f>
        <v>0</v>
      </c>
      <c r="R97" s="207">
        <f>SUMIFS('июль 2023'!$G$4:$G$968,'июль 2023'!$D$4:$D$968,$B97,'июль 2023'!$J$4:$J$968,R$1)</f>
        <v>0</v>
      </c>
      <c r="S97" s="207">
        <f>SUMIFS('июль 2023'!$G$4:$G$968,'июль 2023'!$D$4:$D$968,$B97,'июль 2023'!$J$4:$J$968,S$1)</f>
        <v>0</v>
      </c>
      <c r="T97" s="207">
        <f>SUMIFS('июль 2023'!$G$4:$G$968,'июль 2023'!$D$4:$D$968,$B97,'июль 2023'!$J$4:$J$968,T$1)</f>
        <v>0</v>
      </c>
      <c r="U97" s="207">
        <f>SUMIFS('июль 2023'!$G$4:$G$968,'июль 2023'!$D$4:$D$968,$B97,'июль 2023'!$J$4:$J$968,U$1)</f>
        <v>0</v>
      </c>
      <c r="V97" s="207">
        <f>SUMIFS('июль 2023'!$G$4:$G$968,'июль 2023'!$D$4:$D$968,$B97,'июль 2023'!$J$4:$J$968,V$1)</f>
        <v>0</v>
      </c>
      <c r="W97" s="207">
        <f>SUMIFS('июль 2023'!$G$4:$G$968,'июль 2023'!$D$4:$D$968,$B97,'июль 2023'!$J$4:$J$968,W$1)</f>
        <v>0</v>
      </c>
      <c r="X97" s="207">
        <f>SUMIFS('июль 2023'!$G$4:$G$968,'июль 2023'!$D$4:$D$968,$B97,'июль 2023'!$J$4:$J$968,X$1)</f>
        <v>0</v>
      </c>
      <c r="Y97" s="207">
        <f>SUMIFS('июль 2023'!$G$4:$G$968,'июль 2023'!$D$4:$D$968,$B97,'июль 2023'!$J$4:$J$968,Y$1)</f>
        <v>0</v>
      </c>
      <c r="Z97" s="207">
        <f>SUMIFS('июль 2023'!$G$4:$G$968,'июль 2023'!$D$4:$D$968,$B97,'июль 2023'!$J$4:$J$968,Z$1)</f>
        <v>0</v>
      </c>
      <c r="AA97" s="207">
        <f>SUMIFS('июль 2023'!$G$4:$G$968,'июль 2023'!$D$4:$D$968,$B97,'июль 2023'!$J$4:$J$968,AA$1)</f>
        <v>0</v>
      </c>
      <c r="AB97" s="207">
        <f>SUMIFS('июль 2023'!$G$4:$G$968,'июль 2023'!$D$4:$D$968,$B97,'июль 2023'!$J$4:$J$968,AB$1)</f>
        <v>0</v>
      </c>
      <c r="AC97" s="207">
        <f>SUMIFS('июль 2023'!$G$4:$G$968,'июль 2023'!$D$4:$D$968,$B97,'июль 2023'!$J$4:$J$968,AC$1)</f>
        <v>0</v>
      </c>
      <c r="AD97" s="207">
        <f>SUMIFS('июль 2023'!$G$4:$G$968,'июль 2023'!$D$4:$D$968,$B97,'июль 2023'!$J$4:$J$968,AD$1)</f>
        <v>0</v>
      </c>
      <c r="AE97" s="207">
        <f>SUMIFS('июль 2023'!$G$4:$G$968,'июль 2023'!$D$4:$D$968,$B97,'июль 2023'!$J$4:$J$968,AE$1)</f>
        <v>0</v>
      </c>
      <c r="AF97" s="207">
        <f>SUMIFS('июль 2023'!$G$4:$G$968,'июль 2023'!$D$4:$D$968,$B97,'июль 2023'!$J$4:$J$968,AF$1)</f>
        <v>0</v>
      </c>
      <c r="AG97" s="207">
        <f>SUMIFS('июль 2023'!$G$4:$G$968,'июль 2023'!$D$4:$D$968,$B97,'июль 2023'!$J$4:$J$968,AG$1)</f>
        <v>0</v>
      </c>
      <c r="AH97" s="207">
        <f>SUMIFS('июль 2023'!$G$4:$G$968,'июль 2023'!$D$4:$D$968,$B97,'июль 2023'!$J$4:$J$968,AH$1)</f>
        <v>0</v>
      </c>
      <c r="AI97" s="170">
        <f t="shared" si="2"/>
        <v>0</v>
      </c>
    </row>
    <row r="98" spans="2:35" ht="15" customHeight="1" x14ac:dyDescent="0.25">
      <c r="B98" s="216" t="s">
        <v>2194</v>
      </c>
      <c r="C98" s="213">
        <v>20</v>
      </c>
      <c r="D98" s="207">
        <f>SUMIFS('июль 2023'!$G$4:$G$968,'июль 2023'!$D$4:$D$968,$B98,'июль 2023'!$J$4:$J$968,D$1)</f>
        <v>0</v>
      </c>
      <c r="E98" s="207">
        <f>SUMIFS('июль 2023'!$G$4:$G$968,'июль 2023'!$D$4:$D$968,$B98,'июль 2023'!$J$4:$J$968,E$1)</f>
        <v>0</v>
      </c>
      <c r="F98" s="207">
        <f>SUMIFS('июль 2023'!$G$4:$G$968,'июль 2023'!$D$4:$D$968,$B98,'июль 2023'!$J$4:$J$968,F$1)</f>
        <v>0</v>
      </c>
      <c r="G98" s="207">
        <f>SUMIFS('июль 2023'!$G$4:$G$968,'июль 2023'!$D$4:$D$968,$B98,'июль 2023'!$J$4:$J$968,G$1)</f>
        <v>0</v>
      </c>
      <c r="H98" s="207">
        <f>SUMIFS('июль 2023'!$G$4:$G$968,'июль 2023'!$D$4:$D$968,$B98,'июль 2023'!$J$4:$J$968,H$1)</f>
        <v>0</v>
      </c>
      <c r="I98" s="207">
        <f>SUMIFS('июль 2023'!$G$4:$G$968,'июль 2023'!$D$4:$D$968,$B98,'июль 2023'!$J$4:$J$968,I$1)</f>
        <v>0</v>
      </c>
      <c r="J98" s="207">
        <f>SUMIFS('июль 2023'!$G$4:$G$968,'июль 2023'!$D$4:$D$968,$B98,'июль 2023'!$J$4:$J$968,J$1)</f>
        <v>0</v>
      </c>
      <c r="K98" s="207">
        <f>SUMIFS('июль 2023'!$G$4:$G$968,'июль 2023'!$D$4:$D$968,$B98,'июль 2023'!$J$4:$J$968,K$1)</f>
        <v>0</v>
      </c>
      <c r="L98" s="207">
        <f>SUMIFS('июль 2023'!$G$4:$G$968,'июль 2023'!$D$4:$D$968,$B98,'июль 2023'!$J$4:$J$968,L$1)</f>
        <v>0</v>
      </c>
      <c r="M98" s="207">
        <f>SUMIFS('июль 2023'!$G$4:$G$968,'июль 2023'!$D$4:$D$968,$B98,'июль 2023'!$J$4:$J$968,M$1)</f>
        <v>0</v>
      </c>
      <c r="N98" s="207">
        <f>SUMIFS('июль 2023'!$G$4:$G$968,'июль 2023'!$D$4:$D$968,$B98,'июль 2023'!$J$4:$J$968,N$1)</f>
        <v>0</v>
      </c>
      <c r="O98" s="207">
        <f>SUMIFS('июль 2023'!$G$4:$G$968,'июль 2023'!$D$4:$D$968,$B98,'июль 2023'!$J$4:$J$968,O$1)</f>
        <v>0</v>
      </c>
      <c r="P98" s="207">
        <f>SUMIFS('июль 2023'!$G$4:$G$968,'июль 2023'!$D$4:$D$968,$B98,'июль 2023'!$J$4:$J$968,P$1)</f>
        <v>0</v>
      </c>
      <c r="Q98" s="207">
        <f>SUMIFS('июль 2023'!$G$4:$G$968,'июль 2023'!$D$4:$D$968,$B98,'июль 2023'!$J$4:$J$968,Q$1)</f>
        <v>0</v>
      </c>
      <c r="R98" s="207">
        <f>SUMIFS('июль 2023'!$G$4:$G$968,'июль 2023'!$D$4:$D$968,$B98,'июль 2023'!$J$4:$J$968,R$1)</f>
        <v>0</v>
      </c>
      <c r="S98" s="207">
        <f>SUMIFS('июль 2023'!$G$4:$G$968,'июль 2023'!$D$4:$D$968,$B98,'июль 2023'!$J$4:$J$968,S$1)</f>
        <v>0</v>
      </c>
      <c r="T98" s="207">
        <f>SUMIFS('июль 2023'!$G$4:$G$968,'июль 2023'!$D$4:$D$968,$B98,'июль 2023'!$J$4:$J$968,T$1)</f>
        <v>0</v>
      </c>
      <c r="U98" s="207">
        <f>SUMIFS('июль 2023'!$G$4:$G$968,'июль 2023'!$D$4:$D$968,$B98,'июль 2023'!$J$4:$J$968,U$1)</f>
        <v>0</v>
      </c>
      <c r="V98" s="207">
        <f>SUMIFS('июль 2023'!$G$4:$G$968,'июль 2023'!$D$4:$D$968,$B98,'июль 2023'!$J$4:$J$968,V$1)</f>
        <v>0</v>
      </c>
      <c r="W98" s="207">
        <f>SUMIFS('июль 2023'!$G$4:$G$968,'июль 2023'!$D$4:$D$968,$B98,'июль 2023'!$J$4:$J$968,W$1)</f>
        <v>0</v>
      </c>
      <c r="X98" s="207">
        <f>SUMIFS('июль 2023'!$G$4:$G$968,'июль 2023'!$D$4:$D$968,$B98,'июль 2023'!$J$4:$J$968,X$1)</f>
        <v>0</v>
      </c>
      <c r="Y98" s="207">
        <f>SUMIFS('июль 2023'!$G$4:$G$968,'июль 2023'!$D$4:$D$968,$B98,'июль 2023'!$J$4:$J$968,Y$1)</f>
        <v>0</v>
      </c>
      <c r="Z98" s="207">
        <f>SUMIFS('июль 2023'!$G$4:$G$968,'июль 2023'!$D$4:$D$968,$B98,'июль 2023'!$J$4:$J$968,Z$1)</f>
        <v>0</v>
      </c>
      <c r="AA98" s="207">
        <f>SUMIFS('июль 2023'!$G$4:$G$968,'июль 2023'!$D$4:$D$968,$B98,'июль 2023'!$J$4:$J$968,AA$1)</f>
        <v>0</v>
      </c>
      <c r="AB98" s="207">
        <f>SUMIFS('июль 2023'!$G$4:$G$968,'июль 2023'!$D$4:$D$968,$B98,'июль 2023'!$J$4:$J$968,AB$1)</f>
        <v>0</v>
      </c>
      <c r="AC98" s="207">
        <f>SUMIFS('июль 2023'!$G$4:$G$968,'июль 2023'!$D$4:$D$968,$B98,'июль 2023'!$J$4:$J$968,AC$1)</f>
        <v>0</v>
      </c>
      <c r="AD98" s="207">
        <f>SUMIFS('июль 2023'!$G$4:$G$968,'июль 2023'!$D$4:$D$968,$B98,'июль 2023'!$J$4:$J$968,AD$1)</f>
        <v>0</v>
      </c>
      <c r="AE98" s="207">
        <f>SUMIFS('июль 2023'!$G$4:$G$968,'июль 2023'!$D$4:$D$968,$B98,'июль 2023'!$J$4:$J$968,AE$1)</f>
        <v>0</v>
      </c>
      <c r="AF98" s="207">
        <f>SUMIFS('июль 2023'!$G$4:$G$968,'июль 2023'!$D$4:$D$968,$B98,'июль 2023'!$J$4:$J$968,AF$1)</f>
        <v>0</v>
      </c>
      <c r="AG98" s="207">
        <f>SUMIFS('июль 2023'!$G$4:$G$968,'июль 2023'!$D$4:$D$968,$B98,'июль 2023'!$J$4:$J$968,AG$1)</f>
        <v>0</v>
      </c>
      <c r="AH98" s="207">
        <f>SUMIFS('июль 2023'!$G$4:$G$968,'июль 2023'!$D$4:$D$968,$B98,'июль 2023'!$J$4:$J$968,AH$1)</f>
        <v>0</v>
      </c>
      <c r="AI98" s="170">
        <f t="shared" si="2"/>
        <v>0</v>
      </c>
    </row>
    <row r="99" spans="2:35" ht="15" customHeight="1" x14ac:dyDescent="0.25">
      <c r="B99" s="212" t="s">
        <v>2195</v>
      </c>
      <c r="C99" s="211">
        <v>20</v>
      </c>
      <c r="D99" s="207">
        <f>SUMIFS('июль 2023'!$G$4:$G$968,'июль 2023'!$D$4:$D$968,$B99,'июль 2023'!$J$4:$J$968,D$1)</f>
        <v>0</v>
      </c>
      <c r="E99" s="207">
        <f>SUMIFS('июль 2023'!$G$4:$G$968,'июль 2023'!$D$4:$D$968,$B99,'июль 2023'!$J$4:$J$968,E$1)</f>
        <v>0</v>
      </c>
      <c r="F99" s="207">
        <f>SUMIFS('июль 2023'!$G$4:$G$968,'июль 2023'!$D$4:$D$968,$B99,'июль 2023'!$J$4:$J$968,F$1)</f>
        <v>0</v>
      </c>
      <c r="G99" s="207">
        <f>SUMIFS('июль 2023'!$G$4:$G$968,'июль 2023'!$D$4:$D$968,$B99,'июль 2023'!$J$4:$J$968,G$1)</f>
        <v>0</v>
      </c>
      <c r="H99" s="207">
        <f>SUMIFS('июль 2023'!$G$4:$G$968,'июль 2023'!$D$4:$D$968,$B99,'июль 2023'!$J$4:$J$968,H$1)</f>
        <v>0</v>
      </c>
      <c r="I99" s="207">
        <f>SUMIFS('июль 2023'!$G$4:$G$968,'июль 2023'!$D$4:$D$968,$B99,'июль 2023'!$J$4:$J$968,I$1)</f>
        <v>0</v>
      </c>
      <c r="J99" s="207">
        <f>SUMIFS('июль 2023'!$G$4:$G$968,'июль 2023'!$D$4:$D$968,$B99,'июль 2023'!$J$4:$J$968,J$1)</f>
        <v>0</v>
      </c>
      <c r="K99" s="207">
        <f>SUMIFS('июль 2023'!$G$4:$G$968,'июль 2023'!$D$4:$D$968,$B99,'июль 2023'!$J$4:$J$968,K$1)</f>
        <v>0</v>
      </c>
      <c r="L99" s="207">
        <f>SUMIFS('июль 2023'!$G$4:$G$968,'июль 2023'!$D$4:$D$968,$B99,'июль 2023'!$J$4:$J$968,L$1)</f>
        <v>0</v>
      </c>
      <c r="M99" s="207">
        <f>SUMIFS('июль 2023'!$G$4:$G$968,'июль 2023'!$D$4:$D$968,$B99,'июль 2023'!$J$4:$J$968,M$1)</f>
        <v>0</v>
      </c>
      <c r="N99" s="207">
        <f>SUMIFS('июль 2023'!$G$4:$G$968,'июль 2023'!$D$4:$D$968,$B99,'июль 2023'!$J$4:$J$968,N$1)</f>
        <v>0</v>
      </c>
      <c r="O99" s="207">
        <f>SUMIFS('июль 2023'!$G$4:$G$968,'июль 2023'!$D$4:$D$968,$B99,'июль 2023'!$J$4:$J$968,O$1)</f>
        <v>0</v>
      </c>
      <c r="P99" s="207">
        <f>SUMIFS('июль 2023'!$G$4:$G$968,'июль 2023'!$D$4:$D$968,$B99,'июль 2023'!$J$4:$J$968,P$1)</f>
        <v>0</v>
      </c>
      <c r="Q99" s="207">
        <f>SUMIFS('июль 2023'!$G$4:$G$968,'июль 2023'!$D$4:$D$968,$B99,'июль 2023'!$J$4:$J$968,Q$1)</f>
        <v>0</v>
      </c>
      <c r="R99" s="207">
        <f>SUMIFS('июль 2023'!$G$4:$G$968,'июль 2023'!$D$4:$D$968,$B99,'июль 2023'!$J$4:$J$968,R$1)</f>
        <v>0</v>
      </c>
      <c r="S99" s="207">
        <f>SUMIFS('июль 2023'!$G$4:$G$968,'июль 2023'!$D$4:$D$968,$B99,'июль 2023'!$J$4:$J$968,S$1)</f>
        <v>0</v>
      </c>
      <c r="T99" s="207">
        <f>SUMIFS('июль 2023'!$G$4:$G$968,'июль 2023'!$D$4:$D$968,$B99,'июль 2023'!$J$4:$J$968,T$1)</f>
        <v>0</v>
      </c>
      <c r="U99" s="207">
        <f>SUMIFS('июль 2023'!$G$4:$G$968,'июль 2023'!$D$4:$D$968,$B99,'июль 2023'!$J$4:$J$968,U$1)</f>
        <v>0</v>
      </c>
      <c r="V99" s="207">
        <f>SUMIFS('июль 2023'!$G$4:$G$968,'июль 2023'!$D$4:$D$968,$B99,'июль 2023'!$J$4:$J$968,V$1)</f>
        <v>0</v>
      </c>
      <c r="W99" s="207">
        <f>SUMIFS('июль 2023'!$G$4:$G$968,'июль 2023'!$D$4:$D$968,$B99,'июль 2023'!$J$4:$J$968,W$1)</f>
        <v>0</v>
      </c>
      <c r="X99" s="207">
        <f>SUMIFS('июль 2023'!$G$4:$G$968,'июль 2023'!$D$4:$D$968,$B99,'июль 2023'!$J$4:$J$968,X$1)</f>
        <v>0</v>
      </c>
      <c r="Y99" s="207">
        <f>SUMIFS('июль 2023'!$G$4:$G$968,'июль 2023'!$D$4:$D$968,$B99,'июль 2023'!$J$4:$J$968,Y$1)</f>
        <v>0</v>
      </c>
      <c r="Z99" s="207">
        <f>SUMIFS('июль 2023'!$G$4:$G$968,'июль 2023'!$D$4:$D$968,$B99,'июль 2023'!$J$4:$J$968,Z$1)</f>
        <v>0</v>
      </c>
      <c r="AA99" s="207">
        <f>SUMIFS('июль 2023'!$G$4:$G$968,'июль 2023'!$D$4:$D$968,$B99,'июль 2023'!$J$4:$J$968,AA$1)</f>
        <v>0</v>
      </c>
      <c r="AB99" s="207">
        <f>SUMIFS('июль 2023'!$G$4:$G$968,'июль 2023'!$D$4:$D$968,$B99,'июль 2023'!$J$4:$J$968,AB$1)</f>
        <v>0</v>
      </c>
      <c r="AC99" s="207">
        <f>SUMIFS('июль 2023'!$G$4:$G$968,'июль 2023'!$D$4:$D$968,$B99,'июль 2023'!$J$4:$J$968,AC$1)</f>
        <v>0</v>
      </c>
      <c r="AD99" s="207">
        <f>SUMIFS('июль 2023'!$G$4:$G$968,'июль 2023'!$D$4:$D$968,$B99,'июль 2023'!$J$4:$J$968,AD$1)</f>
        <v>0</v>
      </c>
      <c r="AE99" s="207">
        <f>SUMIFS('июль 2023'!$G$4:$G$968,'июль 2023'!$D$4:$D$968,$B99,'июль 2023'!$J$4:$J$968,AE$1)</f>
        <v>0</v>
      </c>
      <c r="AF99" s="207">
        <f>SUMIFS('июль 2023'!$G$4:$G$968,'июль 2023'!$D$4:$D$968,$B99,'июль 2023'!$J$4:$J$968,AF$1)</f>
        <v>0</v>
      </c>
      <c r="AG99" s="207">
        <f>SUMIFS('июль 2023'!$G$4:$G$968,'июль 2023'!$D$4:$D$968,$B99,'июль 2023'!$J$4:$J$968,AG$1)</f>
        <v>0</v>
      </c>
      <c r="AH99" s="207">
        <f>SUMIFS('июль 2023'!$G$4:$G$968,'июль 2023'!$D$4:$D$968,$B99,'июль 2023'!$J$4:$J$968,AH$1)</f>
        <v>0</v>
      </c>
      <c r="AI99" s="170">
        <f t="shared" si="2"/>
        <v>0</v>
      </c>
    </row>
    <row r="100" spans="2:35" ht="15" customHeight="1" x14ac:dyDescent="0.25">
      <c r="B100" s="212" t="s">
        <v>2196</v>
      </c>
      <c r="C100" s="211">
        <v>20</v>
      </c>
      <c r="D100" s="207">
        <f>SUMIFS('июль 2023'!$G$4:$G$968,'июль 2023'!$D$4:$D$968,$B100,'июль 2023'!$J$4:$J$968,D$1)</f>
        <v>0</v>
      </c>
      <c r="E100" s="207">
        <f>SUMIFS('июль 2023'!$G$4:$G$968,'июль 2023'!$D$4:$D$968,$B100,'июль 2023'!$J$4:$J$968,E$1)</f>
        <v>0</v>
      </c>
      <c r="F100" s="207">
        <f>SUMIFS('июль 2023'!$G$4:$G$968,'июль 2023'!$D$4:$D$968,$B100,'июль 2023'!$J$4:$J$968,F$1)</f>
        <v>0</v>
      </c>
      <c r="G100" s="207">
        <f>SUMIFS('июль 2023'!$G$4:$G$968,'июль 2023'!$D$4:$D$968,$B100,'июль 2023'!$J$4:$J$968,G$1)</f>
        <v>0</v>
      </c>
      <c r="H100" s="207">
        <f>SUMIFS('июль 2023'!$G$4:$G$968,'июль 2023'!$D$4:$D$968,$B100,'июль 2023'!$J$4:$J$968,H$1)</f>
        <v>0</v>
      </c>
      <c r="I100" s="207">
        <f>SUMIFS('июль 2023'!$G$4:$G$968,'июль 2023'!$D$4:$D$968,$B100,'июль 2023'!$J$4:$J$968,I$1)</f>
        <v>0</v>
      </c>
      <c r="J100" s="207">
        <f>SUMIFS('июль 2023'!$G$4:$G$968,'июль 2023'!$D$4:$D$968,$B100,'июль 2023'!$J$4:$J$968,J$1)</f>
        <v>0</v>
      </c>
      <c r="K100" s="207">
        <f>SUMIFS('июль 2023'!$G$4:$G$968,'июль 2023'!$D$4:$D$968,$B100,'июль 2023'!$J$4:$J$968,K$1)</f>
        <v>0</v>
      </c>
      <c r="L100" s="207">
        <f>SUMIFS('июль 2023'!$G$4:$G$968,'июль 2023'!$D$4:$D$968,$B100,'июль 2023'!$J$4:$J$968,L$1)</f>
        <v>0</v>
      </c>
      <c r="M100" s="207">
        <f>SUMIFS('июль 2023'!$G$4:$G$968,'июль 2023'!$D$4:$D$968,$B100,'июль 2023'!$J$4:$J$968,M$1)</f>
        <v>0</v>
      </c>
      <c r="N100" s="207">
        <f>SUMIFS('июль 2023'!$G$4:$G$968,'июль 2023'!$D$4:$D$968,$B100,'июль 2023'!$J$4:$J$968,N$1)</f>
        <v>0</v>
      </c>
      <c r="O100" s="207">
        <f>SUMIFS('июль 2023'!$G$4:$G$968,'июль 2023'!$D$4:$D$968,$B100,'июль 2023'!$J$4:$J$968,O$1)</f>
        <v>0</v>
      </c>
      <c r="P100" s="207">
        <f>SUMIFS('июль 2023'!$G$4:$G$968,'июль 2023'!$D$4:$D$968,$B100,'июль 2023'!$J$4:$J$968,P$1)</f>
        <v>0</v>
      </c>
      <c r="Q100" s="207">
        <f>SUMIFS('июль 2023'!$G$4:$G$968,'июль 2023'!$D$4:$D$968,$B100,'июль 2023'!$J$4:$J$968,Q$1)</f>
        <v>0</v>
      </c>
      <c r="R100" s="207">
        <f>SUMIFS('июль 2023'!$G$4:$G$968,'июль 2023'!$D$4:$D$968,$B100,'июль 2023'!$J$4:$J$968,R$1)</f>
        <v>0</v>
      </c>
      <c r="S100" s="207">
        <f>SUMIFS('июль 2023'!$G$4:$G$968,'июль 2023'!$D$4:$D$968,$B100,'июль 2023'!$J$4:$J$968,S$1)</f>
        <v>0</v>
      </c>
      <c r="T100" s="207">
        <f>SUMIFS('июль 2023'!$G$4:$G$968,'июль 2023'!$D$4:$D$968,$B100,'июль 2023'!$J$4:$J$968,T$1)</f>
        <v>0</v>
      </c>
      <c r="U100" s="207">
        <f>SUMIFS('июль 2023'!$G$4:$G$968,'июль 2023'!$D$4:$D$968,$B100,'июль 2023'!$J$4:$J$968,U$1)</f>
        <v>0</v>
      </c>
      <c r="V100" s="207">
        <f>SUMIFS('июль 2023'!$G$4:$G$968,'июль 2023'!$D$4:$D$968,$B100,'июль 2023'!$J$4:$J$968,V$1)</f>
        <v>0</v>
      </c>
      <c r="W100" s="207">
        <f>SUMIFS('июль 2023'!$G$4:$G$968,'июль 2023'!$D$4:$D$968,$B100,'июль 2023'!$J$4:$J$968,W$1)</f>
        <v>0</v>
      </c>
      <c r="X100" s="207">
        <f>SUMIFS('июль 2023'!$G$4:$G$968,'июль 2023'!$D$4:$D$968,$B100,'июль 2023'!$J$4:$J$968,X$1)</f>
        <v>0</v>
      </c>
      <c r="Y100" s="207">
        <f>SUMIFS('июль 2023'!$G$4:$G$968,'июль 2023'!$D$4:$D$968,$B100,'июль 2023'!$J$4:$J$968,Y$1)</f>
        <v>0</v>
      </c>
      <c r="Z100" s="207">
        <f>SUMIFS('июль 2023'!$G$4:$G$968,'июль 2023'!$D$4:$D$968,$B100,'июль 2023'!$J$4:$J$968,Z$1)</f>
        <v>0</v>
      </c>
      <c r="AA100" s="207">
        <f>SUMIFS('июль 2023'!$G$4:$G$968,'июль 2023'!$D$4:$D$968,$B100,'июль 2023'!$J$4:$J$968,AA$1)</f>
        <v>0</v>
      </c>
      <c r="AB100" s="207">
        <f>SUMIFS('июль 2023'!$G$4:$G$968,'июль 2023'!$D$4:$D$968,$B100,'июль 2023'!$J$4:$J$968,AB$1)</f>
        <v>0</v>
      </c>
      <c r="AC100" s="207">
        <f>SUMIFS('июль 2023'!$G$4:$G$968,'июль 2023'!$D$4:$D$968,$B100,'июль 2023'!$J$4:$J$968,AC$1)</f>
        <v>0</v>
      </c>
      <c r="AD100" s="207">
        <f>SUMIFS('июль 2023'!$G$4:$G$968,'июль 2023'!$D$4:$D$968,$B100,'июль 2023'!$J$4:$J$968,AD$1)</f>
        <v>0</v>
      </c>
      <c r="AE100" s="207">
        <f>SUMIFS('июль 2023'!$G$4:$G$968,'июль 2023'!$D$4:$D$968,$B100,'июль 2023'!$J$4:$J$968,AE$1)</f>
        <v>0</v>
      </c>
      <c r="AF100" s="207">
        <f>SUMIFS('июль 2023'!$G$4:$G$968,'июль 2023'!$D$4:$D$968,$B100,'июль 2023'!$J$4:$J$968,AF$1)</f>
        <v>0</v>
      </c>
      <c r="AG100" s="207">
        <f>SUMIFS('июль 2023'!$G$4:$G$968,'июль 2023'!$D$4:$D$968,$B100,'июль 2023'!$J$4:$J$968,AG$1)</f>
        <v>0</v>
      </c>
      <c r="AH100" s="207">
        <f>SUMIFS('июль 2023'!$G$4:$G$968,'июль 2023'!$D$4:$D$968,$B100,'июль 2023'!$J$4:$J$968,AH$1)</f>
        <v>0</v>
      </c>
      <c r="AI100" s="170">
        <f t="shared" si="2"/>
        <v>0</v>
      </c>
    </row>
    <row r="101" spans="2:35" ht="15" customHeight="1" x14ac:dyDescent="0.25">
      <c r="B101" s="212" t="s">
        <v>2197</v>
      </c>
      <c r="C101" s="211">
        <v>20</v>
      </c>
      <c r="D101" s="207">
        <f>SUMIFS('июль 2023'!$G$4:$G$968,'июль 2023'!$D$4:$D$968,$B101,'июль 2023'!$J$4:$J$968,D$1)</f>
        <v>0</v>
      </c>
      <c r="E101" s="207">
        <f>SUMIFS('июль 2023'!$G$4:$G$968,'июль 2023'!$D$4:$D$968,$B101,'июль 2023'!$J$4:$J$968,E$1)</f>
        <v>0</v>
      </c>
      <c r="F101" s="207">
        <f>SUMIFS('июль 2023'!$G$4:$G$968,'июль 2023'!$D$4:$D$968,$B101,'июль 2023'!$J$4:$J$968,F$1)</f>
        <v>0</v>
      </c>
      <c r="G101" s="207">
        <f>SUMIFS('июль 2023'!$G$4:$G$968,'июль 2023'!$D$4:$D$968,$B101,'июль 2023'!$J$4:$J$968,G$1)</f>
        <v>0</v>
      </c>
      <c r="H101" s="207">
        <f>SUMIFS('июль 2023'!$G$4:$G$968,'июль 2023'!$D$4:$D$968,$B101,'июль 2023'!$J$4:$J$968,H$1)</f>
        <v>0</v>
      </c>
      <c r="I101" s="207">
        <f>SUMIFS('июль 2023'!$G$4:$G$968,'июль 2023'!$D$4:$D$968,$B101,'июль 2023'!$J$4:$J$968,I$1)</f>
        <v>0</v>
      </c>
      <c r="J101" s="207">
        <f>SUMIFS('июль 2023'!$G$4:$G$968,'июль 2023'!$D$4:$D$968,$B101,'июль 2023'!$J$4:$J$968,J$1)</f>
        <v>0</v>
      </c>
      <c r="K101" s="207">
        <f>SUMIFS('июль 2023'!$G$4:$G$968,'июль 2023'!$D$4:$D$968,$B101,'июль 2023'!$J$4:$J$968,K$1)</f>
        <v>0</v>
      </c>
      <c r="L101" s="207">
        <f>SUMIFS('июль 2023'!$G$4:$G$968,'июль 2023'!$D$4:$D$968,$B101,'июль 2023'!$J$4:$J$968,L$1)</f>
        <v>0</v>
      </c>
      <c r="M101" s="207">
        <f>SUMIFS('июль 2023'!$G$4:$G$968,'июль 2023'!$D$4:$D$968,$B101,'июль 2023'!$J$4:$J$968,M$1)</f>
        <v>0</v>
      </c>
      <c r="N101" s="207">
        <f>SUMIFS('июль 2023'!$G$4:$G$968,'июль 2023'!$D$4:$D$968,$B101,'июль 2023'!$J$4:$J$968,N$1)</f>
        <v>0</v>
      </c>
      <c r="O101" s="207">
        <f>SUMIFS('июль 2023'!$G$4:$G$968,'июль 2023'!$D$4:$D$968,$B101,'июль 2023'!$J$4:$J$968,O$1)</f>
        <v>0</v>
      </c>
      <c r="P101" s="207">
        <f>SUMIFS('июль 2023'!$G$4:$G$968,'июль 2023'!$D$4:$D$968,$B101,'июль 2023'!$J$4:$J$968,P$1)</f>
        <v>0</v>
      </c>
      <c r="Q101" s="207">
        <f>SUMIFS('июль 2023'!$G$4:$G$968,'июль 2023'!$D$4:$D$968,$B101,'июль 2023'!$J$4:$J$968,Q$1)</f>
        <v>0</v>
      </c>
      <c r="R101" s="207">
        <f>SUMIFS('июль 2023'!$G$4:$G$968,'июль 2023'!$D$4:$D$968,$B101,'июль 2023'!$J$4:$J$968,R$1)</f>
        <v>0</v>
      </c>
      <c r="S101" s="207">
        <f>SUMIFS('июль 2023'!$G$4:$G$968,'июль 2023'!$D$4:$D$968,$B101,'июль 2023'!$J$4:$J$968,S$1)</f>
        <v>0</v>
      </c>
      <c r="T101" s="207">
        <f>SUMIFS('июль 2023'!$G$4:$G$968,'июль 2023'!$D$4:$D$968,$B101,'июль 2023'!$J$4:$J$968,T$1)</f>
        <v>0</v>
      </c>
      <c r="U101" s="207">
        <f>SUMIFS('июль 2023'!$G$4:$G$968,'июль 2023'!$D$4:$D$968,$B101,'июль 2023'!$J$4:$J$968,U$1)</f>
        <v>0</v>
      </c>
      <c r="V101" s="207">
        <f>SUMIFS('июль 2023'!$G$4:$G$968,'июль 2023'!$D$4:$D$968,$B101,'июль 2023'!$J$4:$J$968,V$1)</f>
        <v>0</v>
      </c>
      <c r="W101" s="207">
        <f>SUMIFS('июль 2023'!$G$4:$G$968,'июль 2023'!$D$4:$D$968,$B101,'июль 2023'!$J$4:$J$968,W$1)</f>
        <v>0</v>
      </c>
      <c r="X101" s="207">
        <f>SUMIFS('июль 2023'!$G$4:$G$968,'июль 2023'!$D$4:$D$968,$B101,'июль 2023'!$J$4:$J$968,X$1)</f>
        <v>0</v>
      </c>
      <c r="Y101" s="207">
        <f>SUMIFS('июль 2023'!$G$4:$G$968,'июль 2023'!$D$4:$D$968,$B101,'июль 2023'!$J$4:$J$968,Y$1)</f>
        <v>0</v>
      </c>
      <c r="Z101" s="207">
        <f>SUMIFS('июль 2023'!$G$4:$G$968,'июль 2023'!$D$4:$D$968,$B101,'июль 2023'!$J$4:$J$968,Z$1)</f>
        <v>0</v>
      </c>
      <c r="AA101" s="207">
        <f>SUMIFS('июль 2023'!$G$4:$G$968,'июль 2023'!$D$4:$D$968,$B101,'июль 2023'!$J$4:$J$968,AA$1)</f>
        <v>0</v>
      </c>
      <c r="AB101" s="207">
        <f>SUMIFS('июль 2023'!$G$4:$G$968,'июль 2023'!$D$4:$D$968,$B101,'июль 2023'!$J$4:$J$968,AB$1)</f>
        <v>0</v>
      </c>
      <c r="AC101" s="207">
        <f>SUMIFS('июль 2023'!$G$4:$G$968,'июль 2023'!$D$4:$D$968,$B101,'июль 2023'!$J$4:$J$968,AC$1)</f>
        <v>0</v>
      </c>
      <c r="AD101" s="207">
        <f>SUMIFS('июль 2023'!$G$4:$G$968,'июль 2023'!$D$4:$D$968,$B101,'июль 2023'!$J$4:$J$968,AD$1)</f>
        <v>0</v>
      </c>
      <c r="AE101" s="207">
        <f>SUMIFS('июль 2023'!$G$4:$G$968,'июль 2023'!$D$4:$D$968,$B101,'июль 2023'!$J$4:$J$968,AE$1)</f>
        <v>0</v>
      </c>
      <c r="AF101" s="207">
        <f>SUMIFS('июль 2023'!$G$4:$G$968,'июль 2023'!$D$4:$D$968,$B101,'июль 2023'!$J$4:$J$968,AF$1)</f>
        <v>0</v>
      </c>
      <c r="AG101" s="207">
        <f>SUMIFS('июль 2023'!$G$4:$G$968,'июль 2023'!$D$4:$D$968,$B101,'июль 2023'!$J$4:$J$968,AG$1)</f>
        <v>0</v>
      </c>
      <c r="AH101" s="207">
        <f>SUMIFS('июль 2023'!$G$4:$G$968,'июль 2023'!$D$4:$D$968,$B101,'июль 2023'!$J$4:$J$968,AH$1)</f>
        <v>0</v>
      </c>
      <c r="AI101" s="170">
        <f t="shared" si="2"/>
        <v>0</v>
      </c>
    </row>
    <row r="102" spans="2:35" ht="15" customHeight="1" x14ac:dyDescent="0.25">
      <c r="B102" s="212" t="s">
        <v>147</v>
      </c>
      <c r="C102" s="211">
        <v>200</v>
      </c>
      <c r="D102" s="207">
        <f>SUMIFS('июль 2023'!$G$4:$G$968,'июль 2023'!$D$4:$D$968,$B102,'июль 2023'!$J$4:$J$968,D$1)</f>
        <v>0</v>
      </c>
      <c r="E102" s="207">
        <f>SUMIFS('июль 2023'!$G$4:$G$968,'июль 2023'!$D$4:$D$968,$B102,'июль 2023'!$J$4:$J$968,E$1)</f>
        <v>0</v>
      </c>
      <c r="F102" s="207">
        <f>SUMIFS('июль 2023'!$G$4:$G$968,'июль 2023'!$D$4:$D$968,$B102,'июль 2023'!$J$4:$J$968,F$1)</f>
        <v>0</v>
      </c>
      <c r="G102" s="207">
        <f>SUMIFS('июль 2023'!$G$4:$G$968,'июль 2023'!$D$4:$D$968,$B102,'июль 2023'!$J$4:$J$968,G$1)</f>
        <v>0</v>
      </c>
      <c r="H102" s="207">
        <f>SUMIFS('июль 2023'!$G$4:$G$968,'июль 2023'!$D$4:$D$968,$B102,'июль 2023'!$J$4:$J$968,H$1)</f>
        <v>0</v>
      </c>
      <c r="I102" s="207">
        <f>SUMIFS('июль 2023'!$G$4:$G$968,'июль 2023'!$D$4:$D$968,$B102,'июль 2023'!$J$4:$J$968,I$1)</f>
        <v>0</v>
      </c>
      <c r="J102" s="207">
        <f>SUMIFS('июль 2023'!$G$4:$G$968,'июль 2023'!$D$4:$D$968,$B102,'июль 2023'!$J$4:$J$968,J$1)</f>
        <v>0</v>
      </c>
      <c r="K102" s="207">
        <f>SUMIFS('июль 2023'!$G$4:$G$968,'июль 2023'!$D$4:$D$968,$B102,'июль 2023'!$J$4:$J$968,K$1)</f>
        <v>0</v>
      </c>
      <c r="L102" s="207">
        <f>SUMIFS('июль 2023'!$G$4:$G$968,'июль 2023'!$D$4:$D$968,$B102,'июль 2023'!$J$4:$J$968,L$1)</f>
        <v>0</v>
      </c>
      <c r="M102" s="207">
        <f>SUMIFS('июль 2023'!$G$4:$G$968,'июль 2023'!$D$4:$D$968,$B102,'июль 2023'!$J$4:$J$968,M$1)</f>
        <v>0</v>
      </c>
      <c r="N102" s="207">
        <f>SUMIFS('июль 2023'!$G$4:$G$968,'июль 2023'!$D$4:$D$968,$B102,'июль 2023'!$J$4:$J$968,N$1)</f>
        <v>0</v>
      </c>
      <c r="O102" s="207">
        <f>SUMIFS('июль 2023'!$G$4:$G$968,'июль 2023'!$D$4:$D$968,$B102,'июль 2023'!$J$4:$J$968,O$1)</f>
        <v>0</v>
      </c>
      <c r="P102" s="207">
        <f>SUMIFS('июль 2023'!$G$4:$G$968,'июль 2023'!$D$4:$D$968,$B102,'июль 2023'!$J$4:$J$968,P$1)</f>
        <v>0</v>
      </c>
      <c r="Q102" s="207">
        <f>SUMIFS('июль 2023'!$G$4:$G$968,'июль 2023'!$D$4:$D$968,$B102,'июль 2023'!$J$4:$J$968,Q$1)</f>
        <v>0</v>
      </c>
      <c r="R102" s="207">
        <f>SUMIFS('июль 2023'!$G$4:$G$968,'июль 2023'!$D$4:$D$968,$B102,'июль 2023'!$J$4:$J$968,R$1)</f>
        <v>0</v>
      </c>
      <c r="S102" s="207">
        <f>SUMIFS('июль 2023'!$G$4:$G$968,'июль 2023'!$D$4:$D$968,$B102,'июль 2023'!$J$4:$J$968,S$1)</f>
        <v>0</v>
      </c>
      <c r="T102" s="207">
        <f>SUMIFS('июль 2023'!$G$4:$G$968,'июль 2023'!$D$4:$D$968,$B102,'июль 2023'!$J$4:$J$968,T$1)</f>
        <v>0</v>
      </c>
      <c r="U102" s="207">
        <f>SUMIFS('июль 2023'!$G$4:$G$968,'июль 2023'!$D$4:$D$968,$B102,'июль 2023'!$J$4:$J$968,U$1)</f>
        <v>0</v>
      </c>
      <c r="V102" s="207">
        <f>SUMIFS('июль 2023'!$G$4:$G$968,'июль 2023'!$D$4:$D$968,$B102,'июль 2023'!$J$4:$J$968,V$1)</f>
        <v>0</v>
      </c>
      <c r="W102" s="207">
        <f>SUMIFS('июль 2023'!$G$4:$G$968,'июль 2023'!$D$4:$D$968,$B102,'июль 2023'!$J$4:$J$968,W$1)</f>
        <v>0</v>
      </c>
      <c r="X102" s="207">
        <f>SUMIFS('июль 2023'!$G$4:$G$968,'июль 2023'!$D$4:$D$968,$B102,'июль 2023'!$J$4:$J$968,X$1)</f>
        <v>0</v>
      </c>
      <c r="Y102" s="207">
        <f>SUMIFS('июль 2023'!$G$4:$G$968,'июль 2023'!$D$4:$D$968,$B102,'июль 2023'!$J$4:$J$968,Y$1)</f>
        <v>0</v>
      </c>
      <c r="Z102" s="207">
        <f>SUMIFS('июль 2023'!$G$4:$G$968,'июль 2023'!$D$4:$D$968,$B102,'июль 2023'!$J$4:$J$968,Z$1)</f>
        <v>0</v>
      </c>
      <c r="AA102" s="207">
        <f>SUMIFS('июль 2023'!$G$4:$G$968,'июль 2023'!$D$4:$D$968,$B102,'июль 2023'!$J$4:$J$968,AA$1)</f>
        <v>0</v>
      </c>
      <c r="AB102" s="207">
        <f>SUMIFS('июль 2023'!$G$4:$G$968,'июль 2023'!$D$4:$D$968,$B102,'июль 2023'!$J$4:$J$968,AB$1)</f>
        <v>0</v>
      </c>
      <c r="AC102" s="207">
        <f>SUMIFS('июль 2023'!$G$4:$G$968,'июль 2023'!$D$4:$D$968,$B102,'июль 2023'!$J$4:$J$968,AC$1)</f>
        <v>0</v>
      </c>
      <c r="AD102" s="207">
        <f>SUMIFS('июль 2023'!$G$4:$G$968,'июль 2023'!$D$4:$D$968,$B102,'июль 2023'!$J$4:$J$968,AD$1)</f>
        <v>0</v>
      </c>
      <c r="AE102" s="207">
        <f>SUMIFS('июль 2023'!$G$4:$G$968,'июль 2023'!$D$4:$D$968,$B102,'июль 2023'!$J$4:$J$968,AE$1)</f>
        <v>0</v>
      </c>
      <c r="AF102" s="207">
        <f>SUMIFS('июль 2023'!$G$4:$G$968,'июль 2023'!$D$4:$D$968,$B102,'июль 2023'!$J$4:$J$968,AF$1)</f>
        <v>0</v>
      </c>
      <c r="AG102" s="207">
        <f>SUMIFS('июль 2023'!$G$4:$G$968,'июль 2023'!$D$4:$D$968,$B102,'июль 2023'!$J$4:$J$968,AG$1)</f>
        <v>0</v>
      </c>
      <c r="AH102" s="207">
        <f>SUMIFS('июль 2023'!$G$4:$G$968,'июль 2023'!$D$4:$D$968,$B102,'июль 2023'!$J$4:$J$968,AH$1)</f>
        <v>0</v>
      </c>
      <c r="AI102" s="170">
        <f t="shared" si="2"/>
        <v>0</v>
      </c>
    </row>
    <row r="103" spans="2:35" ht="15" customHeight="1" x14ac:dyDescent="0.25">
      <c r="B103" s="212" t="s">
        <v>2198</v>
      </c>
      <c r="C103" s="211">
        <v>200</v>
      </c>
      <c r="D103" s="207">
        <f>SUMIFS('июль 2023'!$G$4:$G$968,'июль 2023'!$D$4:$D$968,$B103,'июль 2023'!$J$4:$J$968,D$1)</f>
        <v>0</v>
      </c>
      <c r="E103" s="207">
        <f>SUMIFS('июль 2023'!$G$4:$G$968,'июль 2023'!$D$4:$D$968,$B103,'июль 2023'!$J$4:$J$968,E$1)</f>
        <v>0</v>
      </c>
      <c r="F103" s="207">
        <f>SUMIFS('июль 2023'!$G$4:$G$968,'июль 2023'!$D$4:$D$968,$B103,'июль 2023'!$J$4:$J$968,F$1)</f>
        <v>0</v>
      </c>
      <c r="G103" s="207">
        <f>SUMIFS('июль 2023'!$G$4:$G$968,'июль 2023'!$D$4:$D$968,$B103,'июль 2023'!$J$4:$J$968,G$1)</f>
        <v>0</v>
      </c>
      <c r="H103" s="207">
        <f>SUMIFS('июль 2023'!$G$4:$G$968,'июль 2023'!$D$4:$D$968,$B103,'июль 2023'!$J$4:$J$968,H$1)</f>
        <v>0</v>
      </c>
      <c r="I103" s="207">
        <f>SUMIFS('июль 2023'!$G$4:$G$968,'июль 2023'!$D$4:$D$968,$B103,'июль 2023'!$J$4:$J$968,I$1)</f>
        <v>0</v>
      </c>
      <c r="J103" s="207">
        <f>SUMIFS('июль 2023'!$G$4:$G$968,'июль 2023'!$D$4:$D$968,$B103,'июль 2023'!$J$4:$J$968,J$1)</f>
        <v>0</v>
      </c>
      <c r="K103" s="207">
        <f>SUMIFS('июль 2023'!$G$4:$G$968,'июль 2023'!$D$4:$D$968,$B103,'июль 2023'!$J$4:$J$968,K$1)</f>
        <v>0</v>
      </c>
      <c r="L103" s="207">
        <f>SUMIFS('июль 2023'!$G$4:$G$968,'июль 2023'!$D$4:$D$968,$B103,'июль 2023'!$J$4:$J$968,L$1)</f>
        <v>0</v>
      </c>
      <c r="M103" s="207">
        <f>SUMIFS('июль 2023'!$G$4:$G$968,'июль 2023'!$D$4:$D$968,$B103,'июль 2023'!$J$4:$J$968,M$1)</f>
        <v>0</v>
      </c>
      <c r="N103" s="207">
        <f>SUMIFS('июль 2023'!$G$4:$G$968,'июль 2023'!$D$4:$D$968,$B103,'июль 2023'!$J$4:$J$968,N$1)</f>
        <v>0</v>
      </c>
      <c r="O103" s="207">
        <f>SUMIFS('июль 2023'!$G$4:$G$968,'июль 2023'!$D$4:$D$968,$B103,'июль 2023'!$J$4:$J$968,O$1)</f>
        <v>0</v>
      </c>
      <c r="P103" s="207">
        <f>SUMIFS('июль 2023'!$G$4:$G$968,'июль 2023'!$D$4:$D$968,$B103,'июль 2023'!$J$4:$J$968,P$1)</f>
        <v>0</v>
      </c>
      <c r="Q103" s="207">
        <f>SUMIFS('июль 2023'!$G$4:$G$968,'июль 2023'!$D$4:$D$968,$B103,'июль 2023'!$J$4:$J$968,Q$1)</f>
        <v>0</v>
      </c>
      <c r="R103" s="207">
        <f>SUMIFS('июль 2023'!$G$4:$G$968,'июль 2023'!$D$4:$D$968,$B103,'июль 2023'!$J$4:$J$968,R$1)</f>
        <v>0</v>
      </c>
      <c r="S103" s="207">
        <f>SUMIFS('июль 2023'!$G$4:$G$968,'июль 2023'!$D$4:$D$968,$B103,'июль 2023'!$J$4:$J$968,S$1)</f>
        <v>0</v>
      </c>
      <c r="T103" s="207">
        <f>SUMIFS('июль 2023'!$G$4:$G$968,'июль 2023'!$D$4:$D$968,$B103,'июль 2023'!$J$4:$J$968,T$1)</f>
        <v>0</v>
      </c>
      <c r="U103" s="207">
        <f>SUMIFS('июль 2023'!$G$4:$G$968,'июль 2023'!$D$4:$D$968,$B103,'июль 2023'!$J$4:$J$968,U$1)</f>
        <v>0</v>
      </c>
      <c r="V103" s="207">
        <f>SUMIFS('июль 2023'!$G$4:$G$968,'июль 2023'!$D$4:$D$968,$B103,'июль 2023'!$J$4:$J$968,V$1)</f>
        <v>0</v>
      </c>
      <c r="W103" s="207">
        <f>SUMIFS('июль 2023'!$G$4:$G$968,'июль 2023'!$D$4:$D$968,$B103,'июль 2023'!$J$4:$J$968,W$1)</f>
        <v>0</v>
      </c>
      <c r="X103" s="207">
        <f>SUMIFS('июль 2023'!$G$4:$G$968,'июль 2023'!$D$4:$D$968,$B103,'июль 2023'!$J$4:$J$968,X$1)</f>
        <v>0</v>
      </c>
      <c r="Y103" s="207">
        <f>SUMIFS('июль 2023'!$G$4:$G$968,'июль 2023'!$D$4:$D$968,$B103,'июль 2023'!$J$4:$J$968,Y$1)</f>
        <v>0</v>
      </c>
      <c r="Z103" s="207">
        <f>SUMIFS('июль 2023'!$G$4:$G$968,'июль 2023'!$D$4:$D$968,$B103,'июль 2023'!$J$4:$J$968,Z$1)</f>
        <v>0</v>
      </c>
      <c r="AA103" s="207">
        <f>SUMIFS('июль 2023'!$G$4:$G$968,'июль 2023'!$D$4:$D$968,$B103,'июль 2023'!$J$4:$J$968,AA$1)</f>
        <v>0</v>
      </c>
      <c r="AB103" s="207">
        <f>SUMIFS('июль 2023'!$G$4:$G$968,'июль 2023'!$D$4:$D$968,$B103,'июль 2023'!$J$4:$J$968,AB$1)</f>
        <v>0</v>
      </c>
      <c r="AC103" s="207">
        <f>SUMIFS('июль 2023'!$G$4:$G$968,'июль 2023'!$D$4:$D$968,$B103,'июль 2023'!$J$4:$J$968,AC$1)</f>
        <v>0</v>
      </c>
      <c r="AD103" s="207">
        <f>SUMIFS('июль 2023'!$G$4:$G$968,'июль 2023'!$D$4:$D$968,$B103,'июль 2023'!$J$4:$J$968,AD$1)</f>
        <v>0</v>
      </c>
      <c r="AE103" s="207">
        <f>SUMIFS('июль 2023'!$G$4:$G$968,'июль 2023'!$D$4:$D$968,$B103,'июль 2023'!$J$4:$J$968,AE$1)</f>
        <v>0</v>
      </c>
      <c r="AF103" s="207">
        <f>SUMIFS('июль 2023'!$G$4:$G$968,'июль 2023'!$D$4:$D$968,$B103,'июль 2023'!$J$4:$J$968,AF$1)</f>
        <v>0</v>
      </c>
      <c r="AG103" s="207">
        <f>SUMIFS('июль 2023'!$G$4:$G$968,'июль 2023'!$D$4:$D$968,$B103,'июль 2023'!$J$4:$J$968,AG$1)</f>
        <v>0</v>
      </c>
      <c r="AH103" s="207">
        <f>SUMIFS('июль 2023'!$G$4:$G$968,'июль 2023'!$D$4:$D$968,$B103,'июль 2023'!$J$4:$J$968,AH$1)</f>
        <v>0</v>
      </c>
      <c r="AI103" s="170">
        <f t="shared" si="2"/>
        <v>0</v>
      </c>
    </row>
    <row r="104" spans="2:35" ht="15" customHeight="1" x14ac:dyDescent="0.25">
      <c r="B104" s="218" t="s">
        <v>352</v>
      </c>
      <c r="C104" s="219">
        <v>200</v>
      </c>
      <c r="D104" s="207">
        <f>SUMIFS('июль 2023'!$G$4:$G$968,'июль 2023'!$D$4:$D$968,$B104,'июль 2023'!$J$4:$J$968,D$1)</f>
        <v>0</v>
      </c>
      <c r="E104" s="207">
        <f>SUMIFS('июль 2023'!$G$4:$G$968,'июль 2023'!$D$4:$D$968,$B104,'июль 2023'!$J$4:$J$968,E$1)</f>
        <v>0</v>
      </c>
      <c r="F104" s="207">
        <f>SUMIFS('июль 2023'!$G$4:$G$968,'июль 2023'!$D$4:$D$968,$B104,'июль 2023'!$J$4:$J$968,F$1)</f>
        <v>0</v>
      </c>
      <c r="G104" s="207">
        <f>SUMIFS('июль 2023'!$G$4:$G$968,'июль 2023'!$D$4:$D$968,$B104,'июль 2023'!$J$4:$J$968,G$1)</f>
        <v>0</v>
      </c>
      <c r="H104" s="207">
        <f>SUMIFS('июль 2023'!$G$4:$G$968,'июль 2023'!$D$4:$D$968,$B104,'июль 2023'!$J$4:$J$968,H$1)</f>
        <v>0</v>
      </c>
      <c r="I104" s="207">
        <f>SUMIFS('июль 2023'!$G$4:$G$968,'июль 2023'!$D$4:$D$968,$B104,'июль 2023'!$J$4:$J$968,I$1)</f>
        <v>0</v>
      </c>
      <c r="J104" s="207">
        <f>SUMIFS('июль 2023'!$G$4:$G$968,'июль 2023'!$D$4:$D$968,$B104,'июль 2023'!$J$4:$J$968,J$1)</f>
        <v>0</v>
      </c>
      <c r="K104" s="207">
        <f>SUMIFS('июль 2023'!$G$4:$G$968,'июль 2023'!$D$4:$D$968,$B104,'июль 2023'!$J$4:$J$968,K$1)</f>
        <v>0</v>
      </c>
      <c r="L104" s="207">
        <f>SUMIFS('июль 2023'!$G$4:$G$968,'июль 2023'!$D$4:$D$968,$B104,'июль 2023'!$J$4:$J$968,L$1)</f>
        <v>0</v>
      </c>
      <c r="M104" s="207">
        <f>SUMIFS('июль 2023'!$G$4:$G$968,'июль 2023'!$D$4:$D$968,$B104,'июль 2023'!$J$4:$J$968,M$1)</f>
        <v>0</v>
      </c>
      <c r="N104" s="207">
        <f>SUMIFS('июль 2023'!$G$4:$G$968,'июль 2023'!$D$4:$D$968,$B104,'июль 2023'!$J$4:$J$968,N$1)</f>
        <v>0</v>
      </c>
      <c r="O104" s="207">
        <f>SUMIFS('июль 2023'!$G$4:$G$968,'июль 2023'!$D$4:$D$968,$B104,'июль 2023'!$J$4:$J$968,O$1)</f>
        <v>0</v>
      </c>
      <c r="P104" s="207">
        <f>SUMIFS('июль 2023'!$G$4:$G$968,'июль 2023'!$D$4:$D$968,$B104,'июль 2023'!$J$4:$J$968,P$1)</f>
        <v>0</v>
      </c>
      <c r="Q104" s="207">
        <f>SUMIFS('июль 2023'!$G$4:$G$968,'июль 2023'!$D$4:$D$968,$B104,'июль 2023'!$J$4:$J$968,Q$1)</f>
        <v>0</v>
      </c>
      <c r="R104" s="207">
        <f>SUMIFS('июль 2023'!$G$4:$G$968,'июль 2023'!$D$4:$D$968,$B104,'июль 2023'!$J$4:$J$968,R$1)</f>
        <v>0</v>
      </c>
      <c r="S104" s="207">
        <f>SUMIFS('июль 2023'!$G$4:$G$968,'июль 2023'!$D$4:$D$968,$B104,'июль 2023'!$J$4:$J$968,S$1)</f>
        <v>0</v>
      </c>
      <c r="T104" s="207">
        <f>SUMIFS('июль 2023'!$G$4:$G$968,'июль 2023'!$D$4:$D$968,$B104,'июль 2023'!$J$4:$J$968,T$1)</f>
        <v>0</v>
      </c>
      <c r="U104" s="207">
        <f>SUMIFS('июль 2023'!$G$4:$G$968,'июль 2023'!$D$4:$D$968,$B104,'июль 2023'!$J$4:$J$968,U$1)</f>
        <v>0</v>
      </c>
      <c r="V104" s="207">
        <f>SUMIFS('июль 2023'!$G$4:$G$968,'июль 2023'!$D$4:$D$968,$B104,'июль 2023'!$J$4:$J$968,V$1)</f>
        <v>0</v>
      </c>
      <c r="W104" s="207">
        <f>SUMIFS('июль 2023'!$G$4:$G$968,'июль 2023'!$D$4:$D$968,$B104,'июль 2023'!$J$4:$J$968,W$1)</f>
        <v>0</v>
      </c>
      <c r="X104" s="207">
        <f>SUMIFS('июль 2023'!$G$4:$G$968,'июль 2023'!$D$4:$D$968,$B104,'июль 2023'!$J$4:$J$968,X$1)</f>
        <v>0</v>
      </c>
      <c r="Y104" s="207">
        <f>SUMIFS('июль 2023'!$G$4:$G$968,'июль 2023'!$D$4:$D$968,$B104,'июль 2023'!$J$4:$J$968,Y$1)</f>
        <v>0</v>
      </c>
      <c r="Z104" s="207">
        <f>SUMIFS('июль 2023'!$G$4:$G$968,'июль 2023'!$D$4:$D$968,$B104,'июль 2023'!$J$4:$J$968,Z$1)</f>
        <v>0</v>
      </c>
      <c r="AA104" s="207">
        <f>SUMIFS('июль 2023'!$G$4:$G$968,'июль 2023'!$D$4:$D$968,$B104,'июль 2023'!$J$4:$J$968,AA$1)</f>
        <v>0</v>
      </c>
      <c r="AB104" s="207">
        <f>SUMIFS('июль 2023'!$G$4:$G$968,'июль 2023'!$D$4:$D$968,$B104,'июль 2023'!$J$4:$J$968,AB$1)</f>
        <v>0</v>
      </c>
      <c r="AC104" s="207">
        <f>SUMIFS('июль 2023'!$G$4:$G$968,'июль 2023'!$D$4:$D$968,$B104,'июль 2023'!$J$4:$J$968,AC$1)</f>
        <v>0</v>
      </c>
      <c r="AD104" s="207">
        <f>SUMIFS('июль 2023'!$G$4:$G$968,'июль 2023'!$D$4:$D$968,$B104,'июль 2023'!$J$4:$J$968,AD$1)</f>
        <v>0</v>
      </c>
      <c r="AE104" s="207">
        <f>SUMIFS('июль 2023'!$G$4:$G$968,'июль 2023'!$D$4:$D$968,$B104,'июль 2023'!$J$4:$J$968,AE$1)</f>
        <v>0</v>
      </c>
      <c r="AF104" s="207">
        <f>SUMIFS('июль 2023'!$G$4:$G$968,'июль 2023'!$D$4:$D$968,$B104,'июль 2023'!$J$4:$J$968,AF$1)</f>
        <v>0</v>
      </c>
      <c r="AG104" s="207">
        <f>SUMIFS('июль 2023'!$G$4:$G$968,'июль 2023'!$D$4:$D$968,$B104,'июль 2023'!$J$4:$J$968,AG$1)</f>
        <v>0</v>
      </c>
      <c r="AH104" s="207">
        <f>SUMIFS('июль 2023'!$G$4:$G$968,'июль 2023'!$D$4:$D$968,$B104,'июль 2023'!$J$4:$J$968,AH$1)</f>
        <v>0</v>
      </c>
      <c r="AI104" s="170">
        <f t="shared" si="2"/>
        <v>0</v>
      </c>
    </row>
    <row r="105" spans="2:35" ht="15" customHeight="1" x14ac:dyDescent="0.25">
      <c r="B105" s="212" t="s">
        <v>276</v>
      </c>
      <c r="C105" s="213">
        <v>200</v>
      </c>
      <c r="D105" s="207">
        <f>SUMIFS('июль 2023'!$G$4:$G$968,'июль 2023'!$D$4:$D$968,$B105,'июль 2023'!$J$4:$J$968,D$1)</f>
        <v>0</v>
      </c>
      <c r="E105" s="207">
        <f>SUMIFS('июль 2023'!$G$4:$G$968,'июль 2023'!$D$4:$D$968,$B105,'июль 2023'!$J$4:$J$968,E$1)</f>
        <v>0</v>
      </c>
      <c r="F105" s="207">
        <f>SUMIFS('июль 2023'!$G$4:$G$968,'июль 2023'!$D$4:$D$968,$B105,'июль 2023'!$J$4:$J$968,F$1)</f>
        <v>0</v>
      </c>
      <c r="G105" s="207">
        <f>SUMIFS('июль 2023'!$G$4:$G$968,'июль 2023'!$D$4:$D$968,$B105,'июль 2023'!$J$4:$J$968,G$1)</f>
        <v>0</v>
      </c>
      <c r="H105" s="207">
        <f>SUMIFS('июль 2023'!$G$4:$G$968,'июль 2023'!$D$4:$D$968,$B105,'июль 2023'!$J$4:$J$968,H$1)</f>
        <v>0</v>
      </c>
      <c r="I105" s="207">
        <f>SUMIFS('июль 2023'!$G$4:$G$968,'июль 2023'!$D$4:$D$968,$B105,'июль 2023'!$J$4:$J$968,I$1)</f>
        <v>0</v>
      </c>
      <c r="J105" s="207">
        <f>SUMIFS('июль 2023'!$G$4:$G$968,'июль 2023'!$D$4:$D$968,$B105,'июль 2023'!$J$4:$J$968,J$1)</f>
        <v>0</v>
      </c>
      <c r="K105" s="207">
        <f>SUMIFS('июль 2023'!$G$4:$G$968,'июль 2023'!$D$4:$D$968,$B105,'июль 2023'!$J$4:$J$968,K$1)</f>
        <v>0</v>
      </c>
      <c r="L105" s="207">
        <f>SUMIFS('июль 2023'!$G$4:$G$968,'июль 2023'!$D$4:$D$968,$B105,'июль 2023'!$J$4:$J$968,L$1)</f>
        <v>0</v>
      </c>
      <c r="M105" s="207">
        <f>SUMIFS('июль 2023'!$G$4:$G$968,'июль 2023'!$D$4:$D$968,$B105,'июль 2023'!$J$4:$J$968,M$1)</f>
        <v>0</v>
      </c>
      <c r="N105" s="207">
        <f>SUMIFS('июль 2023'!$G$4:$G$968,'июль 2023'!$D$4:$D$968,$B105,'июль 2023'!$J$4:$J$968,N$1)</f>
        <v>0</v>
      </c>
      <c r="O105" s="207">
        <f>SUMIFS('июль 2023'!$G$4:$G$968,'июль 2023'!$D$4:$D$968,$B105,'июль 2023'!$J$4:$J$968,O$1)</f>
        <v>0</v>
      </c>
      <c r="P105" s="207">
        <f>SUMIFS('июль 2023'!$G$4:$G$968,'июль 2023'!$D$4:$D$968,$B105,'июль 2023'!$J$4:$J$968,P$1)</f>
        <v>0</v>
      </c>
      <c r="Q105" s="207">
        <f>SUMIFS('июль 2023'!$G$4:$G$968,'июль 2023'!$D$4:$D$968,$B105,'июль 2023'!$J$4:$J$968,Q$1)</f>
        <v>0</v>
      </c>
      <c r="R105" s="207">
        <f>SUMIFS('июль 2023'!$G$4:$G$968,'июль 2023'!$D$4:$D$968,$B105,'июль 2023'!$J$4:$J$968,R$1)</f>
        <v>0</v>
      </c>
      <c r="S105" s="207">
        <f>SUMIFS('июль 2023'!$G$4:$G$968,'июль 2023'!$D$4:$D$968,$B105,'июль 2023'!$J$4:$J$968,S$1)</f>
        <v>0</v>
      </c>
      <c r="T105" s="207">
        <f>SUMIFS('июль 2023'!$G$4:$G$968,'июль 2023'!$D$4:$D$968,$B105,'июль 2023'!$J$4:$J$968,T$1)</f>
        <v>0</v>
      </c>
      <c r="U105" s="207">
        <f>SUMIFS('июль 2023'!$G$4:$G$968,'июль 2023'!$D$4:$D$968,$B105,'июль 2023'!$J$4:$J$968,U$1)</f>
        <v>0</v>
      </c>
      <c r="V105" s="207">
        <f>SUMIFS('июль 2023'!$G$4:$G$968,'июль 2023'!$D$4:$D$968,$B105,'июль 2023'!$J$4:$J$968,V$1)</f>
        <v>0</v>
      </c>
      <c r="W105" s="207">
        <f>SUMIFS('июль 2023'!$G$4:$G$968,'июль 2023'!$D$4:$D$968,$B105,'июль 2023'!$J$4:$J$968,W$1)</f>
        <v>0</v>
      </c>
      <c r="X105" s="207">
        <f>SUMIFS('июль 2023'!$G$4:$G$968,'июль 2023'!$D$4:$D$968,$B105,'июль 2023'!$J$4:$J$968,X$1)</f>
        <v>0</v>
      </c>
      <c r="Y105" s="207">
        <f>SUMIFS('июль 2023'!$G$4:$G$968,'июль 2023'!$D$4:$D$968,$B105,'июль 2023'!$J$4:$J$968,Y$1)</f>
        <v>0</v>
      </c>
      <c r="Z105" s="207">
        <f>SUMIFS('июль 2023'!$G$4:$G$968,'июль 2023'!$D$4:$D$968,$B105,'июль 2023'!$J$4:$J$968,Z$1)</f>
        <v>0</v>
      </c>
      <c r="AA105" s="207">
        <f>SUMIFS('июль 2023'!$G$4:$G$968,'июль 2023'!$D$4:$D$968,$B105,'июль 2023'!$J$4:$J$968,AA$1)</f>
        <v>0</v>
      </c>
      <c r="AB105" s="207">
        <f>SUMIFS('июль 2023'!$G$4:$G$968,'июль 2023'!$D$4:$D$968,$B105,'июль 2023'!$J$4:$J$968,AB$1)</f>
        <v>0</v>
      </c>
      <c r="AC105" s="207">
        <f>SUMIFS('июль 2023'!$G$4:$G$968,'июль 2023'!$D$4:$D$968,$B105,'июль 2023'!$J$4:$J$968,AC$1)</f>
        <v>0</v>
      </c>
      <c r="AD105" s="207">
        <f>SUMIFS('июль 2023'!$G$4:$G$968,'июль 2023'!$D$4:$D$968,$B105,'июль 2023'!$J$4:$J$968,AD$1)</f>
        <v>0</v>
      </c>
      <c r="AE105" s="207">
        <f>SUMIFS('июль 2023'!$G$4:$G$968,'июль 2023'!$D$4:$D$968,$B105,'июль 2023'!$J$4:$J$968,AE$1)</f>
        <v>0</v>
      </c>
      <c r="AF105" s="207">
        <f>SUMIFS('июль 2023'!$G$4:$G$968,'июль 2023'!$D$4:$D$968,$B105,'июль 2023'!$J$4:$J$968,AF$1)</f>
        <v>0</v>
      </c>
      <c r="AG105" s="207">
        <f>SUMIFS('июль 2023'!$G$4:$G$968,'июль 2023'!$D$4:$D$968,$B105,'июль 2023'!$J$4:$J$968,AG$1)</f>
        <v>0</v>
      </c>
      <c r="AH105" s="207">
        <f>SUMIFS('июль 2023'!$G$4:$G$968,'июль 2023'!$D$4:$D$968,$B105,'июль 2023'!$J$4:$J$968,AH$1)</f>
        <v>0</v>
      </c>
      <c r="AI105" s="170">
        <f t="shared" si="2"/>
        <v>0</v>
      </c>
    </row>
    <row r="106" spans="2:35" ht="15" customHeight="1" x14ac:dyDescent="0.25">
      <c r="B106" s="212" t="s">
        <v>1021</v>
      </c>
      <c r="C106" s="213">
        <v>200</v>
      </c>
      <c r="D106" s="207">
        <f>SUMIFS('июль 2023'!$G$4:$G$968,'июль 2023'!$D$4:$D$968,$B106,'июль 2023'!$J$4:$J$968,D$1)</f>
        <v>0</v>
      </c>
      <c r="E106" s="207">
        <f>SUMIFS('июль 2023'!$G$4:$G$968,'июль 2023'!$D$4:$D$968,$B106,'июль 2023'!$J$4:$J$968,E$1)</f>
        <v>0</v>
      </c>
      <c r="F106" s="207">
        <f>SUMIFS('июль 2023'!$G$4:$G$968,'июль 2023'!$D$4:$D$968,$B106,'июль 2023'!$J$4:$J$968,F$1)</f>
        <v>0</v>
      </c>
      <c r="G106" s="207">
        <f>SUMIFS('июль 2023'!$G$4:$G$968,'июль 2023'!$D$4:$D$968,$B106,'июль 2023'!$J$4:$J$968,G$1)</f>
        <v>0</v>
      </c>
      <c r="H106" s="207">
        <f>SUMIFS('июль 2023'!$G$4:$G$968,'июль 2023'!$D$4:$D$968,$B106,'июль 2023'!$J$4:$J$968,H$1)</f>
        <v>0</v>
      </c>
      <c r="I106" s="207">
        <f>SUMIFS('июль 2023'!$G$4:$G$968,'июль 2023'!$D$4:$D$968,$B106,'июль 2023'!$J$4:$J$968,I$1)</f>
        <v>0</v>
      </c>
      <c r="J106" s="207">
        <f>SUMIFS('июль 2023'!$G$4:$G$968,'июль 2023'!$D$4:$D$968,$B106,'июль 2023'!$J$4:$J$968,J$1)</f>
        <v>0</v>
      </c>
      <c r="K106" s="207">
        <f>SUMIFS('июль 2023'!$G$4:$G$968,'июль 2023'!$D$4:$D$968,$B106,'июль 2023'!$J$4:$J$968,K$1)</f>
        <v>0</v>
      </c>
      <c r="L106" s="207">
        <f>SUMIFS('июль 2023'!$G$4:$G$968,'июль 2023'!$D$4:$D$968,$B106,'июль 2023'!$J$4:$J$968,L$1)</f>
        <v>0</v>
      </c>
      <c r="M106" s="207">
        <f>SUMIFS('июль 2023'!$G$4:$G$968,'июль 2023'!$D$4:$D$968,$B106,'июль 2023'!$J$4:$J$968,M$1)</f>
        <v>0</v>
      </c>
      <c r="N106" s="207">
        <f>SUMIFS('июль 2023'!$G$4:$G$968,'июль 2023'!$D$4:$D$968,$B106,'июль 2023'!$J$4:$J$968,N$1)</f>
        <v>0</v>
      </c>
      <c r="O106" s="207">
        <f>SUMIFS('июль 2023'!$G$4:$G$968,'июль 2023'!$D$4:$D$968,$B106,'июль 2023'!$J$4:$J$968,O$1)</f>
        <v>0</v>
      </c>
      <c r="P106" s="207">
        <f>SUMIFS('июль 2023'!$G$4:$G$968,'июль 2023'!$D$4:$D$968,$B106,'июль 2023'!$J$4:$J$968,P$1)</f>
        <v>0</v>
      </c>
      <c r="Q106" s="207">
        <f>SUMIFS('июль 2023'!$G$4:$G$968,'июль 2023'!$D$4:$D$968,$B106,'июль 2023'!$J$4:$J$968,Q$1)</f>
        <v>0</v>
      </c>
      <c r="R106" s="207">
        <f>SUMIFS('июль 2023'!$G$4:$G$968,'июль 2023'!$D$4:$D$968,$B106,'июль 2023'!$J$4:$J$968,R$1)</f>
        <v>0</v>
      </c>
      <c r="S106" s="207">
        <f>SUMIFS('июль 2023'!$G$4:$G$968,'июль 2023'!$D$4:$D$968,$B106,'июль 2023'!$J$4:$J$968,S$1)</f>
        <v>0</v>
      </c>
      <c r="T106" s="207">
        <f>SUMIFS('июль 2023'!$G$4:$G$968,'июль 2023'!$D$4:$D$968,$B106,'июль 2023'!$J$4:$J$968,T$1)</f>
        <v>0</v>
      </c>
      <c r="U106" s="207">
        <f>SUMIFS('июль 2023'!$G$4:$G$968,'июль 2023'!$D$4:$D$968,$B106,'июль 2023'!$J$4:$J$968,U$1)</f>
        <v>0</v>
      </c>
      <c r="V106" s="207">
        <f>SUMIFS('июль 2023'!$G$4:$G$968,'июль 2023'!$D$4:$D$968,$B106,'июль 2023'!$J$4:$J$968,V$1)</f>
        <v>0</v>
      </c>
      <c r="W106" s="207">
        <f>SUMIFS('июль 2023'!$G$4:$G$968,'июль 2023'!$D$4:$D$968,$B106,'июль 2023'!$J$4:$J$968,W$1)</f>
        <v>16</v>
      </c>
      <c r="X106" s="207">
        <f>SUMIFS('июль 2023'!$G$4:$G$968,'июль 2023'!$D$4:$D$968,$B106,'июль 2023'!$J$4:$J$968,X$1)</f>
        <v>0</v>
      </c>
      <c r="Y106" s="207">
        <f>SUMIFS('июль 2023'!$G$4:$G$968,'июль 2023'!$D$4:$D$968,$B106,'июль 2023'!$J$4:$J$968,Y$1)</f>
        <v>0</v>
      </c>
      <c r="Z106" s="207">
        <f>SUMIFS('июль 2023'!$G$4:$G$968,'июль 2023'!$D$4:$D$968,$B106,'июль 2023'!$J$4:$J$968,Z$1)</f>
        <v>0</v>
      </c>
      <c r="AA106" s="207">
        <f>SUMIFS('июль 2023'!$G$4:$G$968,'июль 2023'!$D$4:$D$968,$B106,'июль 2023'!$J$4:$J$968,AA$1)</f>
        <v>0</v>
      </c>
      <c r="AB106" s="207">
        <f>SUMIFS('июль 2023'!$G$4:$G$968,'июль 2023'!$D$4:$D$968,$B106,'июль 2023'!$J$4:$J$968,AB$1)</f>
        <v>0</v>
      </c>
      <c r="AC106" s="207">
        <f>SUMIFS('июль 2023'!$G$4:$G$968,'июль 2023'!$D$4:$D$968,$B106,'июль 2023'!$J$4:$J$968,AC$1)</f>
        <v>0</v>
      </c>
      <c r="AD106" s="207">
        <f>SUMIFS('июль 2023'!$G$4:$G$968,'июль 2023'!$D$4:$D$968,$B106,'июль 2023'!$J$4:$J$968,AD$1)</f>
        <v>0</v>
      </c>
      <c r="AE106" s="207">
        <f>SUMIFS('июль 2023'!$G$4:$G$968,'июль 2023'!$D$4:$D$968,$B106,'июль 2023'!$J$4:$J$968,AE$1)</f>
        <v>0</v>
      </c>
      <c r="AF106" s="207">
        <f>SUMIFS('июль 2023'!$G$4:$G$968,'июль 2023'!$D$4:$D$968,$B106,'июль 2023'!$J$4:$J$968,AF$1)</f>
        <v>0</v>
      </c>
      <c r="AG106" s="207">
        <f>SUMIFS('июль 2023'!$G$4:$G$968,'июль 2023'!$D$4:$D$968,$B106,'июль 2023'!$J$4:$J$968,AG$1)</f>
        <v>0</v>
      </c>
      <c r="AH106" s="207">
        <f>SUMIFS('июль 2023'!$G$4:$G$968,'июль 2023'!$D$4:$D$968,$B106,'июль 2023'!$J$4:$J$968,AH$1)</f>
        <v>0</v>
      </c>
      <c r="AI106" s="170">
        <f t="shared" si="2"/>
        <v>16</v>
      </c>
    </row>
    <row r="107" spans="2:35" ht="15" customHeight="1" x14ac:dyDescent="0.25">
      <c r="B107" s="212" t="s">
        <v>1023</v>
      </c>
      <c r="C107" s="213">
        <v>25</v>
      </c>
      <c r="D107" s="207">
        <f>SUMIFS('июль 2023'!$G$4:$G$968,'июль 2023'!$D$4:$D$968,$B107,'июль 2023'!$J$4:$J$968,D$1)</f>
        <v>0</v>
      </c>
      <c r="E107" s="207">
        <f>SUMIFS('июль 2023'!$G$4:$G$968,'июль 2023'!$D$4:$D$968,$B107,'июль 2023'!$J$4:$J$968,E$1)</f>
        <v>0</v>
      </c>
      <c r="F107" s="207">
        <f>SUMIFS('июль 2023'!$G$4:$G$968,'июль 2023'!$D$4:$D$968,$B107,'июль 2023'!$J$4:$J$968,F$1)</f>
        <v>0</v>
      </c>
      <c r="G107" s="207">
        <f>SUMIFS('июль 2023'!$G$4:$G$968,'июль 2023'!$D$4:$D$968,$B107,'июль 2023'!$J$4:$J$968,G$1)</f>
        <v>0</v>
      </c>
      <c r="H107" s="207">
        <f>SUMIFS('июль 2023'!$G$4:$G$968,'июль 2023'!$D$4:$D$968,$B107,'июль 2023'!$J$4:$J$968,H$1)</f>
        <v>0</v>
      </c>
      <c r="I107" s="207">
        <f>SUMIFS('июль 2023'!$G$4:$G$968,'июль 2023'!$D$4:$D$968,$B107,'июль 2023'!$J$4:$J$968,I$1)</f>
        <v>0</v>
      </c>
      <c r="J107" s="207">
        <f>SUMIFS('июль 2023'!$G$4:$G$968,'июль 2023'!$D$4:$D$968,$B107,'июль 2023'!$J$4:$J$968,J$1)</f>
        <v>0</v>
      </c>
      <c r="K107" s="207">
        <f>SUMIFS('июль 2023'!$G$4:$G$968,'июль 2023'!$D$4:$D$968,$B107,'июль 2023'!$J$4:$J$968,K$1)</f>
        <v>0</v>
      </c>
      <c r="L107" s="207">
        <f>SUMIFS('июль 2023'!$G$4:$G$968,'июль 2023'!$D$4:$D$968,$B107,'июль 2023'!$J$4:$J$968,L$1)</f>
        <v>0</v>
      </c>
      <c r="M107" s="207">
        <f>SUMIFS('июль 2023'!$G$4:$G$968,'июль 2023'!$D$4:$D$968,$B107,'июль 2023'!$J$4:$J$968,M$1)</f>
        <v>0</v>
      </c>
      <c r="N107" s="207">
        <f>SUMIFS('июль 2023'!$G$4:$G$968,'июль 2023'!$D$4:$D$968,$B107,'июль 2023'!$J$4:$J$968,N$1)</f>
        <v>0</v>
      </c>
      <c r="O107" s="207">
        <f>SUMIFS('июль 2023'!$G$4:$G$968,'июль 2023'!$D$4:$D$968,$B107,'июль 2023'!$J$4:$J$968,O$1)</f>
        <v>0</v>
      </c>
      <c r="P107" s="207">
        <f>SUMIFS('июль 2023'!$G$4:$G$968,'июль 2023'!$D$4:$D$968,$B107,'июль 2023'!$J$4:$J$968,P$1)</f>
        <v>0</v>
      </c>
      <c r="Q107" s="207">
        <f>SUMIFS('июль 2023'!$G$4:$G$968,'июль 2023'!$D$4:$D$968,$B107,'июль 2023'!$J$4:$J$968,Q$1)</f>
        <v>0</v>
      </c>
      <c r="R107" s="207">
        <f>SUMIFS('июль 2023'!$G$4:$G$968,'июль 2023'!$D$4:$D$968,$B107,'июль 2023'!$J$4:$J$968,R$1)</f>
        <v>0</v>
      </c>
      <c r="S107" s="207">
        <f>SUMIFS('июль 2023'!$G$4:$G$968,'июль 2023'!$D$4:$D$968,$B107,'июль 2023'!$J$4:$J$968,S$1)</f>
        <v>0</v>
      </c>
      <c r="T107" s="207">
        <f>SUMIFS('июль 2023'!$G$4:$G$968,'июль 2023'!$D$4:$D$968,$B107,'июль 2023'!$J$4:$J$968,T$1)</f>
        <v>0</v>
      </c>
      <c r="U107" s="207">
        <f>SUMIFS('июль 2023'!$G$4:$G$968,'июль 2023'!$D$4:$D$968,$B107,'июль 2023'!$J$4:$J$968,U$1)</f>
        <v>0</v>
      </c>
      <c r="V107" s="207">
        <f>SUMIFS('июль 2023'!$G$4:$G$968,'июль 2023'!$D$4:$D$968,$B107,'июль 2023'!$J$4:$J$968,V$1)</f>
        <v>0</v>
      </c>
      <c r="W107" s="207">
        <f>SUMIFS('июль 2023'!$G$4:$G$968,'июль 2023'!$D$4:$D$968,$B107,'июль 2023'!$J$4:$J$968,W$1)</f>
        <v>160</v>
      </c>
      <c r="X107" s="207">
        <f>SUMIFS('июль 2023'!$G$4:$G$968,'июль 2023'!$D$4:$D$968,$B107,'июль 2023'!$J$4:$J$968,X$1)</f>
        <v>0</v>
      </c>
      <c r="Y107" s="207">
        <f>SUMIFS('июль 2023'!$G$4:$G$968,'июль 2023'!$D$4:$D$968,$B107,'июль 2023'!$J$4:$J$968,Y$1)</f>
        <v>0</v>
      </c>
      <c r="Z107" s="207">
        <f>SUMIFS('июль 2023'!$G$4:$G$968,'июль 2023'!$D$4:$D$968,$B107,'июль 2023'!$J$4:$J$968,Z$1)</f>
        <v>0</v>
      </c>
      <c r="AA107" s="207">
        <f>SUMIFS('июль 2023'!$G$4:$G$968,'июль 2023'!$D$4:$D$968,$B107,'июль 2023'!$J$4:$J$968,AA$1)</f>
        <v>0</v>
      </c>
      <c r="AB107" s="207">
        <f>SUMIFS('июль 2023'!$G$4:$G$968,'июль 2023'!$D$4:$D$968,$B107,'июль 2023'!$J$4:$J$968,AB$1)</f>
        <v>0</v>
      </c>
      <c r="AC107" s="207">
        <f>SUMIFS('июль 2023'!$G$4:$G$968,'июль 2023'!$D$4:$D$968,$B107,'июль 2023'!$J$4:$J$968,AC$1)</f>
        <v>0</v>
      </c>
      <c r="AD107" s="207">
        <f>SUMIFS('июль 2023'!$G$4:$G$968,'июль 2023'!$D$4:$D$968,$B107,'июль 2023'!$J$4:$J$968,AD$1)</f>
        <v>0</v>
      </c>
      <c r="AE107" s="207">
        <f>SUMIFS('июль 2023'!$G$4:$G$968,'июль 2023'!$D$4:$D$968,$B107,'июль 2023'!$J$4:$J$968,AE$1)</f>
        <v>0</v>
      </c>
      <c r="AF107" s="207">
        <f>SUMIFS('июль 2023'!$G$4:$G$968,'июль 2023'!$D$4:$D$968,$B107,'июль 2023'!$J$4:$J$968,AF$1)</f>
        <v>0</v>
      </c>
      <c r="AG107" s="207">
        <f>SUMIFS('июль 2023'!$G$4:$G$968,'июль 2023'!$D$4:$D$968,$B107,'июль 2023'!$J$4:$J$968,AG$1)</f>
        <v>0</v>
      </c>
      <c r="AH107" s="207">
        <f>SUMIFS('июль 2023'!$G$4:$G$968,'июль 2023'!$D$4:$D$968,$B107,'июль 2023'!$J$4:$J$968,AH$1)</f>
        <v>0</v>
      </c>
      <c r="AI107" s="170">
        <f t="shared" si="2"/>
        <v>160</v>
      </c>
    </row>
    <row r="108" spans="2:35" ht="15" customHeight="1" x14ac:dyDescent="0.25">
      <c r="B108" s="216" t="s">
        <v>2199</v>
      </c>
      <c r="C108" s="213">
        <v>200</v>
      </c>
      <c r="D108" s="207">
        <f>SUMIFS('июль 2023'!$G$4:$G$968,'июль 2023'!$D$4:$D$968,$B108,'июль 2023'!$J$4:$J$968,D$1)</f>
        <v>0</v>
      </c>
      <c r="E108" s="207">
        <f>SUMIFS('июль 2023'!$G$4:$G$968,'июль 2023'!$D$4:$D$968,$B108,'июль 2023'!$J$4:$J$968,E$1)</f>
        <v>0</v>
      </c>
      <c r="F108" s="207">
        <f>SUMIFS('июль 2023'!$G$4:$G$968,'июль 2023'!$D$4:$D$968,$B108,'июль 2023'!$J$4:$J$968,F$1)</f>
        <v>0</v>
      </c>
      <c r="G108" s="207">
        <f>SUMIFS('июль 2023'!$G$4:$G$968,'июль 2023'!$D$4:$D$968,$B108,'июль 2023'!$J$4:$J$968,G$1)</f>
        <v>0</v>
      </c>
      <c r="H108" s="207">
        <f>SUMIFS('июль 2023'!$G$4:$G$968,'июль 2023'!$D$4:$D$968,$B108,'июль 2023'!$J$4:$J$968,H$1)</f>
        <v>0</v>
      </c>
      <c r="I108" s="207">
        <f>SUMIFS('июль 2023'!$G$4:$G$968,'июль 2023'!$D$4:$D$968,$B108,'июль 2023'!$J$4:$J$968,I$1)</f>
        <v>0</v>
      </c>
      <c r="J108" s="207">
        <f>SUMIFS('июль 2023'!$G$4:$G$968,'июль 2023'!$D$4:$D$968,$B108,'июль 2023'!$J$4:$J$968,J$1)</f>
        <v>0</v>
      </c>
      <c r="K108" s="207">
        <f>SUMIFS('июль 2023'!$G$4:$G$968,'июль 2023'!$D$4:$D$968,$B108,'июль 2023'!$J$4:$J$968,K$1)</f>
        <v>0</v>
      </c>
      <c r="L108" s="207">
        <f>SUMIFS('июль 2023'!$G$4:$G$968,'июль 2023'!$D$4:$D$968,$B108,'июль 2023'!$J$4:$J$968,L$1)</f>
        <v>0</v>
      </c>
      <c r="M108" s="207">
        <f>SUMIFS('июль 2023'!$G$4:$G$968,'июль 2023'!$D$4:$D$968,$B108,'июль 2023'!$J$4:$J$968,M$1)</f>
        <v>0</v>
      </c>
      <c r="N108" s="207">
        <f>SUMIFS('июль 2023'!$G$4:$G$968,'июль 2023'!$D$4:$D$968,$B108,'июль 2023'!$J$4:$J$968,N$1)</f>
        <v>0</v>
      </c>
      <c r="O108" s="207">
        <f>SUMIFS('июль 2023'!$G$4:$G$968,'июль 2023'!$D$4:$D$968,$B108,'июль 2023'!$J$4:$J$968,O$1)</f>
        <v>0</v>
      </c>
      <c r="P108" s="207">
        <f>SUMIFS('июль 2023'!$G$4:$G$968,'июль 2023'!$D$4:$D$968,$B108,'июль 2023'!$J$4:$J$968,P$1)</f>
        <v>0</v>
      </c>
      <c r="Q108" s="207">
        <f>SUMIFS('июль 2023'!$G$4:$G$968,'июль 2023'!$D$4:$D$968,$B108,'июль 2023'!$J$4:$J$968,Q$1)</f>
        <v>0</v>
      </c>
      <c r="R108" s="207">
        <f>SUMIFS('июль 2023'!$G$4:$G$968,'июль 2023'!$D$4:$D$968,$B108,'июль 2023'!$J$4:$J$968,R$1)</f>
        <v>0</v>
      </c>
      <c r="S108" s="207">
        <f>SUMIFS('июль 2023'!$G$4:$G$968,'июль 2023'!$D$4:$D$968,$B108,'июль 2023'!$J$4:$J$968,S$1)</f>
        <v>0</v>
      </c>
      <c r="T108" s="207">
        <f>SUMIFS('июль 2023'!$G$4:$G$968,'июль 2023'!$D$4:$D$968,$B108,'июль 2023'!$J$4:$J$968,T$1)</f>
        <v>0</v>
      </c>
      <c r="U108" s="207">
        <f>SUMIFS('июль 2023'!$G$4:$G$968,'июль 2023'!$D$4:$D$968,$B108,'июль 2023'!$J$4:$J$968,U$1)</f>
        <v>0</v>
      </c>
      <c r="V108" s="207">
        <f>SUMIFS('июль 2023'!$G$4:$G$968,'июль 2023'!$D$4:$D$968,$B108,'июль 2023'!$J$4:$J$968,V$1)</f>
        <v>0</v>
      </c>
      <c r="W108" s="207">
        <f>SUMIFS('июль 2023'!$G$4:$G$968,'июль 2023'!$D$4:$D$968,$B108,'июль 2023'!$J$4:$J$968,W$1)</f>
        <v>0</v>
      </c>
      <c r="X108" s="207">
        <f>SUMIFS('июль 2023'!$G$4:$G$968,'июль 2023'!$D$4:$D$968,$B108,'июль 2023'!$J$4:$J$968,X$1)</f>
        <v>0</v>
      </c>
      <c r="Y108" s="207">
        <f>SUMIFS('июль 2023'!$G$4:$G$968,'июль 2023'!$D$4:$D$968,$B108,'июль 2023'!$J$4:$J$968,Y$1)</f>
        <v>0</v>
      </c>
      <c r="Z108" s="207">
        <f>SUMIFS('июль 2023'!$G$4:$G$968,'июль 2023'!$D$4:$D$968,$B108,'июль 2023'!$J$4:$J$968,Z$1)</f>
        <v>0</v>
      </c>
      <c r="AA108" s="207">
        <f>SUMIFS('июль 2023'!$G$4:$G$968,'июль 2023'!$D$4:$D$968,$B108,'июль 2023'!$J$4:$J$968,AA$1)</f>
        <v>0</v>
      </c>
      <c r="AB108" s="207">
        <f>SUMIFS('июль 2023'!$G$4:$G$968,'июль 2023'!$D$4:$D$968,$B108,'июль 2023'!$J$4:$J$968,AB$1)</f>
        <v>0</v>
      </c>
      <c r="AC108" s="207">
        <f>SUMIFS('июль 2023'!$G$4:$G$968,'июль 2023'!$D$4:$D$968,$B108,'июль 2023'!$J$4:$J$968,AC$1)</f>
        <v>0</v>
      </c>
      <c r="AD108" s="207">
        <f>SUMIFS('июль 2023'!$G$4:$G$968,'июль 2023'!$D$4:$D$968,$B108,'июль 2023'!$J$4:$J$968,AD$1)</f>
        <v>0</v>
      </c>
      <c r="AE108" s="207">
        <f>SUMIFS('июль 2023'!$G$4:$G$968,'июль 2023'!$D$4:$D$968,$B108,'июль 2023'!$J$4:$J$968,AE$1)</f>
        <v>0</v>
      </c>
      <c r="AF108" s="207">
        <f>SUMIFS('июль 2023'!$G$4:$G$968,'июль 2023'!$D$4:$D$968,$B108,'июль 2023'!$J$4:$J$968,AF$1)</f>
        <v>0</v>
      </c>
      <c r="AG108" s="207">
        <f>SUMIFS('июль 2023'!$G$4:$G$968,'июль 2023'!$D$4:$D$968,$B108,'июль 2023'!$J$4:$J$968,AG$1)</f>
        <v>0</v>
      </c>
      <c r="AH108" s="207">
        <f>SUMIFS('июль 2023'!$G$4:$G$968,'июль 2023'!$D$4:$D$968,$B108,'июль 2023'!$J$4:$J$968,AH$1)</f>
        <v>0</v>
      </c>
      <c r="AI108" s="170">
        <f t="shared" si="2"/>
        <v>0</v>
      </c>
    </row>
    <row r="109" spans="2:35" ht="15" customHeight="1" x14ac:dyDescent="0.25">
      <c r="B109" s="216" t="s">
        <v>775</v>
      </c>
      <c r="C109" s="213">
        <v>200</v>
      </c>
      <c r="D109" s="207">
        <f>SUMIFS('июль 2023'!$G$4:$G$968,'июль 2023'!$D$4:$D$968,$B109,'июль 2023'!$J$4:$J$968,D$1)</f>
        <v>0</v>
      </c>
      <c r="E109" s="207">
        <f>SUMIFS('июль 2023'!$G$4:$G$968,'июль 2023'!$D$4:$D$968,$B109,'июль 2023'!$J$4:$J$968,E$1)</f>
        <v>0</v>
      </c>
      <c r="F109" s="207">
        <f>SUMIFS('июль 2023'!$G$4:$G$968,'июль 2023'!$D$4:$D$968,$B109,'июль 2023'!$J$4:$J$968,F$1)</f>
        <v>0</v>
      </c>
      <c r="G109" s="207">
        <f>SUMIFS('июль 2023'!$G$4:$G$968,'июль 2023'!$D$4:$D$968,$B109,'июль 2023'!$J$4:$J$968,G$1)</f>
        <v>0</v>
      </c>
      <c r="H109" s="207">
        <f>SUMIFS('июль 2023'!$G$4:$G$968,'июль 2023'!$D$4:$D$968,$B109,'июль 2023'!$J$4:$J$968,H$1)</f>
        <v>0</v>
      </c>
      <c r="I109" s="207">
        <f>SUMIFS('июль 2023'!$G$4:$G$968,'июль 2023'!$D$4:$D$968,$B109,'июль 2023'!$J$4:$J$968,I$1)</f>
        <v>0</v>
      </c>
      <c r="J109" s="207">
        <f>SUMIFS('июль 2023'!$G$4:$G$968,'июль 2023'!$D$4:$D$968,$B109,'июль 2023'!$J$4:$J$968,J$1)</f>
        <v>0</v>
      </c>
      <c r="K109" s="207">
        <f>SUMIFS('июль 2023'!$G$4:$G$968,'июль 2023'!$D$4:$D$968,$B109,'июль 2023'!$J$4:$J$968,K$1)</f>
        <v>0</v>
      </c>
      <c r="L109" s="207">
        <f>SUMIFS('июль 2023'!$G$4:$G$968,'июль 2023'!$D$4:$D$968,$B109,'июль 2023'!$J$4:$J$968,L$1)</f>
        <v>0</v>
      </c>
      <c r="M109" s="207">
        <f>SUMIFS('июль 2023'!$G$4:$G$968,'июль 2023'!$D$4:$D$968,$B109,'июль 2023'!$J$4:$J$968,M$1)</f>
        <v>0</v>
      </c>
      <c r="N109" s="207">
        <f>SUMIFS('июль 2023'!$G$4:$G$968,'июль 2023'!$D$4:$D$968,$B109,'июль 2023'!$J$4:$J$968,N$1)</f>
        <v>0</v>
      </c>
      <c r="O109" s="207">
        <f>SUMIFS('июль 2023'!$G$4:$G$968,'июль 2023'!$D$4:$D$968,$B109,'июль 2023'!$J$4:$J$968,O$1)</f>
        <v>0</v>
      </c>
      <c r="P109" s="207">
        <f>SUMIFS('июль 2023'!$G$4:$G$968,'июль 2023'!$D$4:$D$968,$B109,'июль 2023'!$J$4:$J$968,P$1)</f>
        <v>0</v>
      </c>
      <c r="Q109" s="207">
        <f>SUMIFS('июль 2023'!$G$4:$G$968,'июль 2023'!$D$4:$D$968,$B109,'июль 2023'!$J$4:$J$968,Q$1)</f>
        <v>0</v>
      </c>
      <c r="R109" s="207">
        <f>SUMIFS('июль 2023'!$G$4:$G$968,'июль 2023'!$D$4:$D$968,$B109,'июль 2023'!$J$4:$J$968,R$1)</f>
        <v>0</v>
      </c>
      <c r="S109" s="207">
        <f>SUMIFS('июль 2023'!$G$4:$G$968,'июль 2023'!$D$4:$D$968,$B109,'июль 2023'!$J$4:$J$968,S$1)</f>
        <v>0</v>
      </c>
      <c r="T109" s="207">
        <f>SUMIFS('июль 2023'!$G$4:$G$968,'июль 2023'!$D$4:$D$968,$B109,'июль 2023'!$J$4:$J$968,T$1)</f>
        <v>0</v>
      </c>
      <c r="U109" s="207">
        <f>SUMIFS('июль 2023'!$G$4:$G$968,'июль 2023'!$D$4:$D$968,$B109,'июль 2023'!$J$4:$J$968,U$1)</f>
        <v>0</v>
      </c>
      <c r="V109" s="207">
        <f>SUMIFS('июль 2023'!$G$4:$G$968,'июль 2023'!$D$4:$D$968,$B109,'июль 2023'!$J$4:$J$968,V$1)</f>
        <v>0</v>
      </c>
      <c r="W109" s="207">
        <f>SUMIFS('июль 2023'!$G$4:$G$968,'июль 2023'!$D$4:$D$968,$B109,'июль 2023'!$J$4:$J$968,W$1)</f>
        <v>0</v>
      </c>
      <c r="X109" s="207">
        <f>SUMIFS('июль 2023'!$G$4:$G$968,'июль 2023'!$D$4:$D$968,$B109,'июль 2023'!$J$4:$J$968,X$1)</f>
        <v>0</v>
      </c>
      <c r="Y109" s="207">
        <f>SUMIFS('июль 2023'!$G$4:$G$968,'июль 2023'!$D$4:$D$968,$B109,'июль 2023'!$J$4:$J$968,Y$1)</f>
        <v>0</v>
      </c>
      <c r="Z109" s="207">
        <f>SUMIFS('июль 2023'!$G$4:$G$968,'июль 2023'!$D$4:$D$968,$B109,'июль 2023'!$J$4:$J$968,Z$1)</f>
        <v>0</v>
      </c>
      <c r="AA109" s="207">
        <f>SUMIFS('июль 2023'!$G$4:$G$968,'июль 2023'!$D$4:$D$968,$B109,'июль 2023'!$J$4:$J$968,AA$1)</f>
        <v>0</v>
      </c>
      <c r="AB109" s="207">
        <f>SUMIFS('июль 2023'!$G$4:$G$968,'июль 2023'!$D$4:$D$968,$B109,'июль 2023'!$J$4:$J$968,AB$1)</f>
        <v>0</v>
      </c>
      <c r="AC109" s="207">
        <f>SUMIFS('июль 2023'!$G$4:$G$968,'июль 2023'!$D$4:$D$968,$B109,'июль 2023'!$J$4:$J$968,AC$1)</f>
        <v>0</v>
      </c>
      <c r="AD109" s="207">
        <f>SUMIFS('июль 2023'!$G$4:$G$968,'июль 2023'!$D$4:$D$968,$B109,'июль 2023'!$J$4:$J$968,AD$1)</f>
        <v>0</v>
      </c>
      <c r="AE109" s="207">
        <f>SUMIFS('июль 2023'!$G$4:$G$968,'июль 2023'!$D$4:$D$968,$B109,'июль 2023'!$J$4:$J$968,AE$1)</f>
        <v>0</v>
      </c>
      <c r="AF109" s="207">
        <f>SUMIFS('июль 2023'!$G$4:$G$968,'июль 2023'!$D$4:$D$968,$B109,'июль 2023'!$J$4:$J$968,AF$1)</f>
        <v>0</v>
      </c>
      <c r="AG109" s="207">
        <f>SUMIFS('июль 2023'!$G$4:$G$968,'июль 2023'!$D$4:$D$968,$B109,'июль 2023'!$J$4:$J$968,AG$1)</f>
        <v>0</v>
      </c>
      <c r="AH109" s="207">
        <f>SUMIFS('июль 2023'!$G$4:$G$968,'июль 2023'!$D$4:$D$968,$B109,'июль 2023'!$J$4:$J$968,AH$1)</f>
        <v>0</v>
      </c>
      <c r="AI109" s="170">
        <f>SUM(D109:AH109)</f>
        <v>0</v>
      </c>
    </row>
    <row r="110" spans="2:35" ht="16.899999999999999" customHeight="1" x14ac:dyDescent="0.25">
      <c r="B110" s="212" t="s">
        <v>1094</v>
      </c>
      <c r="C110" s="211">
        <v>25</v>
      </c>
      <c r="D110" s="207">
        <f>SUMIFS('июль 2023'!$G$4:$G$968,'июль 2023'!$D$4:$D$968,$B110,'июль 2023'!$J$4:$J$968,D$1)</f>
        <v>0</v>
      </c>
      <c r="E110" s="207">
        <f>SUMIFS('июль 2023'!$G$4:$G$968,'июль 2023'!$D$4:$D$968,$B110,'июль 2023'!$J$4:$J$968,E$1)</f>
        <v>0</v>
      </c>
      <c r="F110" s="207">
        <f>SUMIFS('июль 2023'!$G$4:$G$968,'июль 2023'!$D$4:$D$968,$B110,'июль 2023'!$J$4:$J$968,F$1)</f>
        <v>0</v>
      </c>
      <c r="G110" s="207">
        <f>SUMIFS('июль 2023'!$G$4:$G$968,'июль 2023'!$D$4:$D$968,$B110,'июль 2023'!$J$4:$J$968,G$1)</f>
        <v>0</v>
      </c>
      <c r="H110" s="207">
        <f>SUMIFS('июль 2023'!$G$4:$G$968,'июль 2023'!$D$4:$D$968,$B110,'июль 2023'!$J$4:$J$968,H$1)</f>
        <v>0</v>
      </c>
      <c r="I110" s="207">
        <f>SUMIFS('июль 2023'!$G$4:$G$968,'июль 2023'!$D$4:$D$968,$B110,'июль 2023'!$J$4:$J$968,I$1)</f>
        <v>0</v>
      </c>
      <c r="J110" s="207">
        <f>SUMIFS('июль 2023'!$G$4:$G$968,'июль 2023'!$D$4:$D$968,$B110,'июль 2023'!$J$4:$J$968,J$1)</f>
        <v>0</v>
      </c>
      <c r="K110" s="207">
        <f>SUMIFS('июль 2023'!$G$4:$G$968,'июль 2023'!$D$4:$D$968,$B110,'июль 2023'!$J$4:$J$968,K$1)</f>
        <v>0</v>
      </c>
      <c r="L110" s="207">
        <f>SUMIFS('июль 2023'!$G$4:$G$968,'июль 2023'!$D$4:$D$968,$B110,'июль 2023'!$J$4:$J$968,L$1)</f>
        <v>0</v>
      </c>
      <c r="M110" s="207">
        <f>SUMIFS('июль 2023'!$G$4:$G$968,'июль 2023'!$D$4:$D$968,$B110,'июль 2023'!$J$4:$J$968,M$1)</f>
        <v>0</v>
      </c>
      <c r="N110" s="207">
        <f>SUMIFS('июль 2023'!$G$4:$G$968,'июль 2023'!$D$4:$D$968,$B110,'июль 2023'!$J$4:$J$968,N$1)</f>
        <v>0</v>
      </c>
      <c r="O110" s="207">
        <f>SUMIFS('июль 2023'!$G$4:$G$968,'июль 2023'!$D$4:$D$968,$B110,'июль 2023'!$J$4:$J$968,O$1)</f>
        <v>0</v>
      </c>
      <c r="P110" s="207">
        <f>SUMIFS('июль 2023'!$G$4:$G$968,'июль 2023'!$D$4:$D$968,$B110,'июль 2023'!$J$4:$J$968,P$1)</f>
        <v>0</v>
      </c>
      <c r="Q110" s="207">
        <f>SUMIFS('июль 2023'!$G$4:$G$968,'июль 2023'!$D$4:$D$968,$B110,'июль 2023'!$J$4:$J$968,Q$1)</f>
        <v>0</v>
      </c>
      <c r="R110" s="207">
        <f>SUMIFS('июль 2023'!$G$4:$G$968,'июль 2023'!$D$4:$D$968,$B110,'июль 2023'!$J$4:$J$968,R$1)</f>
        <v>0</v>
      </c>
      <c r="S110" s="207">
        <f>SUMIFS('июль 2023'!$G$4:$G$968,'июль 2023'!$D$4:$D$968,$B110,'июль 2023'!$J$4:$J$968,S$1)</f>
        <v>0</v>
      </c>
      <c r="T110" s="207">
        <f>SUMIFS('июль 2023'!$G$4:$G$968,'июль 2023'!$D$4:$D$968,$B110,'июль 2023'!$J$4:$J$968,T$1)</f>
        <v>0</v>
      </c>
      <c r="U110" s="207">
        <f>SUMIFS('июль 2023'!$G$4:$G$968,'июль 2023'!$D$4:$D$968,$B110,'июль 2023'!$J$4:$J$968,U$1)</f>
        <v>0</v>
      </c>
      <c r="V110" s="207">
        <f>SUMIFS('июль 2023'!$G$4:$G$968,'июль 2023'!$D$4:$D$968,$B110,'июль 2023'!$J$4:$J$968,V$1)</f>
        <v>0</v>
      </c>
      <c r="W110" s="207">
        <f>SUMIFS('июль 2023'!$G$4:$G$968,'июль 2023'!$D$4:$D$968,$B110,'июль 2023'!$J$4:$J$968,W$1)</f>
        <v>0</v>
      </c>
      <c r="X110" s="207">
        <f>SUMIFS('июль 2023'!$G$4:$G$968,'июль 2023'!$D$4:$D$968,$B110,'июль 2023'!$J$4:$J$968,X$1)</f>
        <v>0</v>
      </c>
      <c r="Y110" s="207">
        <f>SUMIFS('июль 2023'!$G$4:$G$968,'июль 2023'!$D$4:$D$968,$B110,'июль 2023'!$J$4:$J$968,Y$1)</f>
        <v>0</v>
      </c>
      <c r="Z110" s="207">
        <f>SUMIFS('июль 2023'!$G$4:$G$968,'июль 2023'!$D$4:$D$968,$B110,'июль 2023'!$J$4:$J$968,Z$1)</f>
        <v>0</v>
      </c>
      <c r="AA110" s="207">
        <f>SUMIFS('июль 2023'!$G$4:$G$968,'июль 2023'!$D$4:$D$968,$B110,'июль 2023'!$J$4:$J$968,AA$1)</f>
        <v>0</v>
      </c>
      <c r="AB110" s="207">
        <f>SUMIFS('июль 2023'!$G$4:$G$968,'июль 2023'!$D$4:$D$968,$B110,'июль 2023'!$J$4:$J$968,AB$1)</f>
        <v>0</v>
      </c>
      <c r="AC110" s="207">
        <f>SUMIFS('июль 2023'!$G$4:$G$968,'июль 2023'!$D$4:$D$968,$B110,'июль 2023'!$J$4:$J$968,AC$1)</f>
        <v>0</v>
      </c>
      <c r="AD110" s="207">
        <f>SUMIFS('июль 2023'!$G$4:$G$968,'июль 2023'!$D$4:$D$968,$B110,'июль 2023'!$J$4:$J$968,AD$1)</f>
        <v>0</v>
      </c>
      <c r="AE110" s="207">
        <f>SUMIFS('июль 2023'!$G$4:$G$968,'июль 2023'!$D$4:$D$968,$B110,'июль 2023'!$J$4:$J$968,AE$1)</f>
        <v>0</v>
      </c>
      <c r="AF110" s="207">
        <f>SUMIFS('июль 2023'!$G$4:$G$968,'июль 2023'!$D$4:$D$968,$B110,'июль 2023'!$J$4:$J$968,AF$1)</f>
        <v>0</v>
      </c>
      <c r="AG110" s="207">
        <f>SUMIFS('июль 2023'!$G$4:$G$968,'июль 2023'!$D$4:$D$968,$B110,'июль 2023'!$J$4:$J$968,AG$1)</f>
        <v>0</v>
      </c>
      <c r="AH110" s="207">
        <f>SUMIFS('июль 2023'!$G$4:$G$968,'июль 2023'!$D$4:$D$968,$B110,'июль 2023'!$J$4:$J$968,AH$1)</f>
        <v>0</v>
      </c>
      <c r="AI110" s="170">
        <f t="shared" si="2"/>
        <v>0</v>
      </c>
    </row>
    <row r="111" spans="2:35" ht="15" customHeight="1" x14ac:dyDescent="0.25">
      <c r="B111" s="212" t="s">
        <v>191</v>
      </c>
      <c r="C111" s="211">
        <v>25</v>
      </c>
      <c r="D111" s="207">
        <f>SUMIFS('июль 2023'!$G$4:$G$968,'июль 2023'!$D$4:$D$968,$B111,'июль 2023'!$J$4:$J$968,D$1)</f>
        <v>0</v>
      </c>
      <c r="E111" s="207">
        <f>SUMIFS('июль 2023'!$G$4:$G$968,'июль 2023'!$D$4:$D$968,$B111,'июль 2023'!$J$4:$J$968,E$1)</f>
        <v>0</v>
      </c>
      <c r="F111" s="207">
        <f>SUMIFS('июль 2023'!$G$4:$G$968,'июль 2023'!$D$4:$D$968,$B111,'июль 2023'!$J$4:$J$968,F$1)</f>
        <v>0</v>
      </c>
      <c r="G111" s="207">
        <f>SUMIFS('июль 2023'!$G$4:$G$968,'июль 2023'!$D$4:$D$968,$B111,'июль 2023'!$J$4:$J$968,G$1)</f>
        <v>0</v>
      </c>
      <c r="H111" s="207">
        <f>SUMIFS('июль 2023'!$G$4:$G$968,'июль 2023'!$D$4:$D$968,$B111,'июль 2023'!$J$4:$J$968,H$1)</f>
        <v>0</v>
      </c>
      <c r="I111" s="207">
        <f>SUMIFS('июль 2023'!$G$4:$G$968,'июль 2023'!$D$4:$D$968,$B111,'июль 2023'!$J$4:$J$968,I$1)</f>
        <v>0</v>
      </c>
      <c r="J111" s="207">
        <f>SUMIFS('июль 2023'!$G$4:$G$968,'июль 2023'!$D$4:$D$968,$B111,'июль 2023'!$J$4:$J$968,J$1)</f>
        <v>0</v>
      </c>
      <c r="K111" s="207">
        <f>SUMIFS('июль 2023'!$G$4:$G$968,'июль 2023'!$D$4:$D$968,$B111,'июль 2023'!$J$4:$J$968,K$1)</f>
        <v>0</v>
      </c>
      <c r="L111" s="207">
        <f>SUMIFS('июль 2023'!$G$4:$G$968,'июль 2023'!$D$4:$D$968,$B111,'июль 2023'!$J$4:$J$968,L$1)</f>
        <v>0</v>
      </c>
      <c r="M111" s="207">
        <f>SUMIFS('июль 2023'!$G$4:$G$968,'июль 2023'!$D$4:$D$968,$B111,'июль 2023'!$J$4:$J$968,M$1)</f>
        <v>0</v>
      </c>
      <c r="N111" s="207">
        <f>SUMIFS('июль 2023'!$G$4:$G$968,'июль 2023'!$D$4:$D$968,$B111,'июль 2023'!$J$4:$J$968,N$1)</f>
        <v>0</v>
      </c>
      <c r="O111" s="207">
        <f>SUMIFS('июль 2023'!$G$4:$G$968,'июль 2023'!$D$4:$D$968,$B111,'июль 2023'!$J$4:$J$968,O$1)</f>
        <v>0</v>
      </c>
      <c r="P111" s="207">
        <f>SUMIFS('июль 2023'!$G$4:$G$968,'июль 2023'!$D$4:$D$968,$B111,'июль 2023'!$J$4:$J$968,P$1)</f>
        <v>0</v>
      </c>
      <c r="Q111" s="207">
        <f>SUMIFS('июль 2023'!$G$4:$G$968,'июль 2023'!$D$4:$D$968,$B111,'июль 2023'!$J$4:$J$968,Q$1)</f>
        <v>0</v>
      </c>
      <c r="R111" s="207">
        <f>SUMIFS('июль 2023'!$G$4:$G$968,'июль 2023'!$D$4:$D$968,$B111,'июль 2023'!$J$4:$J$968,R$1)</f>
        <v>0</v>
      </c>
      <c r="S111" s="207">
        <f>SUMIFS('июль 2023'!$G$4:$G$968,'июль 2023'!$D$4:$D$968,$B111,'июль 2023'!$J$4:$J$968,S$1)</f>
        <v>0</v>
      </c>
      <c r="T111" s="207">
        <f>SUMIFS('июль 2023'!$G$4:$G$968,'июль 2023'!$D$4:$D$968,$B111,'июль 2023'!$J$4:$J$968,T$1)</f>
        <v>0</v>
      </c>
      <c r="U111" s="207">
        <f>SUMIFS('июль 2023'!$G$4:$G$968,'июль 2023'!$D$4:$D$968,$B111,'июль 2023'!$J$4:$J$968,U$1)</f>
        <v>0</v>
      </c>
      <c r="V111" s="207">
        <f>SUMIFS('июль 2023'!$G$4:$G$968,'июль 2023'!$D$4:$D$968,$B111,'июль 2023'!$J$4:$J$968,V$1)</f>
        <v>0</v>
      </c>
      <c r="W111" s="207">
        <f>SUMIFS('июль 2023'!$G$4:$G$968,'июль 2023'!$D$4:$D$968,$B111,'июль 2023'!$J$4:$J$968,W$1)</f>
        <v>0</v>
      </c>
      <c r="X111" s="207">
        <f>SUMIFS('июль 2023'!$G$4:$G$968,'июль 2023'!$D$4:$D$968,$B111,'июль 2023'!$J$4:$J$968,X$1)</f>
        <v>0</v>
      </c>
      <c r="Y111" s="207">
        <f>SUMIFS('июль 2023'!$G$4:$G$968,'июль 2023'!$D$4:$D$968,$B111,'июль 2023'!$J$4:$J$968,Y$1)</f>
        <v>0</v>
      </c>
      <c r="Z111" s="207">
        <f>SUMIFS('июль 2023'!$G$4:$G$968,'июль 2023'!$D$4:$D$968,$B111,'июль 2023'!$J$4:$J$968,Z$1)</f>
        <v>0</v>
      </c>
      <c r="AA111" s="207">
        <f>SUMIFS('июль 2023'!$G$4:$G$968,'июль 2023'!$D$4:$D$968,$B111,'июль 2023'!$J$4:$J$968,AA$1)</f>
        <v>0</v>
      </c>
      <c r="AB111" s="207">
        <f>SUMIFS('июль 2023'!$G$4:$G$968,'июль 2023'!$D$4:$D$968,$B111,'июль 2023'!$J$4:$J$968,AB$1)</f>
        <v>0</v>
      </c>
      <c r="AC111" s="207">
        <f>SUMIFS('июль 2023'!$G$4:$G$968,'июль 2023'!$D$4:$D$968,$B111,'июль 2023'!$J$4:$J$968,AC$1)</f>
        <v>0</v>
      </c>
      <c r="AD111" s="207">
        <f>SUMIFS('июль 2023'!$G$4:$G$968,'июль 2023'!$D$4:$D$968,$B111,'июль 2023'!$J$4:$J$968,AD$1)</f>
        <v>0</v>
      </c>
      <c r="AE111" s="207">
        <f>SUMIFS('июль 2023'!$G$4:$G$968,'июль 2023'!$D$4:$D$968,$B111,'июль 2023'!$J$4:$J$968,AE$1)</f>
        <v>0</v>
      </c>
      <c r="AF111" s="207">
        <f>SUMIFS('июль 2023'!$G$4:$G$968,'июль 2023'!$D$4:$D$968,$B111,'июль 2023'!$J$4:$J$968,AF$1)</f>
        <v>0</v>
      </c>
      <c r="AG111" s="207">
        <f>SUMIFS('июль 2023'!$G$4:$G$968,'июль 2023'!$D$4:$D$968,$B111,'июль 2023'!$J$4:$J$968,AG$1)</f>
        <v>0</v>
      </c>
      <c r="AH111" s="207">
        <f>SUMIFS('июль 2023'!$G$4:$G$968,'июль 2023'!$D$4:$D$968,$B111,'июль 2023'!$J$4:$J$968,AH$1)</f>
        <v>0</v>
      </c>
      <c r="AI111" s="170">
        <f t="shared" si="2"/>
        <v>0</v>
      </c>
    </row>
    <row r="112" spans="2:35" ht="15" customHeight="1" x14ac:dyDescent="0.25">
      <c r="B112" s="212" t="s">
        <v>525</v>
      </c>
      <c r="C112" s="211">
        <v>25</v>
      </c>
      <c r="D112" s="207">
        <f>SUMIFS('июль 2023'!$G$4:$G$968,'июль 2023'!$D$4:$D$968,$B112,'июль 2023'!$J$4:$J$968,D$1)</f>
        <v>0</v>
      </c>
      <c r="E112" s="207">
        <f>SUMIFS('июль 2023'!$G$4:$G$968,'июль 2023'!$D$4:$D$968,$B112,'июль 2023'!$J$4:$J$968,E$1)</f>
        <v>0</v>
      </c>
      <c r="F112" s="207">
        <f>SUMIFS('июль 2023'!$G$4:$G$968,'июль 2023'!$D$4:$D$968,$B112,'июль 2023'!$J$4:$J$968,F$1)</f>
        <v>0</v>
      </c>
      <c r="G112" s="207">
        <f>SUMIFS('июль 2023'!$G$4:$G$968,'июль 2023'!$D$4:$D$968,$B112,'июль 2023'!$J$4:$J$968,G$1)</f>
        <v>0</v>
      </c>
      <c r="H112" s="207">
        <f>SUMIFS('июль 2023'!$G$4:$G$968,'июль 2023'!$D$4:$D$968,$B112,'июль 2023'!$J$4:$J$968,H$1)</f>
        <v>0</v>
      </c>
      <c r="I112" s="207">
        <f>SUMIFS('июль 2023'!$G$4:$G$968,'июль 2023'!$D$4:$D$968,$B112,'июль 2023'!$J$4:$J$968,I$1)</f>
        <v>0</v>
      </c>
      <c r="J112" s="207">
        <f>SUMIFS('июль 2023'!$G$4:$G$968,'июль 2023'!$D$4:$D$968,$B112,'июль 2023'!$J$4:$J$968,J$1)</f>
        <v>0</v>
      </c>
      <c r="K112" s="207">
        <f>SUMIFS('июль 2023'!$G$4:$G$968,'июль 2023'!$D$4:$D$968,$B112,'июль 2023'!$J$4:$J$968,K$1)</f>
        <v>0</v>
      </c>
      <c r="L112" s="207">
        <f>SUMIFS('июль 2023'!$G$4:$G$968,'июль 2023'!$D$4:$D$968,$B112,'июль 2023'!$J$4:$J$968,L$1)</f>
        <v>0</v>
      </c>
      <c r="M112" s="207">
        <f>SUMIFS('июль 2023'!$G$4:$G$968,'июль 2023'!$D$4:$D$968,$B112,'июль 2023'!$J$4:$J$968,M$1)</f>
        <v>0</v>
      </c>
      <c r="N112" s="207">
        <f>SUMIFS('июль 2023'!$G$4:$G$968,'июль 2023'!$D$4:$D$968,$B112,'июль 2023'!$J$4:$J$968,N$1)</f>
        <v>0</v>
      </c>
      <c r="O112" s="207">
        <f>SUMIFS('июль 2023'!$G$4:$G$968,'июль 2023'!$D$4:$D$968,$B112,'июль 2023'!$J$4:$J$968,O$1)</f>
        <v>0</v>
      </c>
      <c r="P112" s="207">
        <f>SUMIFS('июль 2023'!$G$4:$G$968,'июль 2023'!$D$4:$D$968,$B112,'июль 2023'!$J$4:$J$968,P$1)</f>
        <v>0</v>
      </c>
      <c r="Q112" s="207">
        <f>SUMIFS('июль 2023'!$G$4:$G$968,'июль 2023'!$D$4:$D$968,$B112,'июль 2023'!$J$4:$J$968,Q$1)</f>
        <v>0</v>
      </c>
      <c r="R112" s="207">
        <f>SUMIFS('июль 2023'!$G$4:$G$968,'июль 2023'!$D$4:$D$968,$B112,'июль 2023'!$J$4:$J$968,R$1)</f>
        <v>0</v>
      </c>
      <c r="S112" s="207">
        <f>SUMIFS('июль 2023'!$G$4:$G$968,'июль 2023'!$D$4:$D$968,$B112,'июль 2023'!$J$4:$J$968,S$1)</f>
        <v>0</v>
      </c>
      <c r="T112" s="207">
        <f>SUMIFS('июль 2023'!$G$4:$G$968,'июль 2023'!$D$4:$D$968,$B112,'июль 2023'!$J$4:$J$968,T$1)</f>
        <v>0</v>
      </c>
      <c r="U112" s="207">
        <f>SUMIFS('июль 2023'!$G$4:$G$968,'июль 2023'!$D$4:$D$968,$B112,'июль 2023'!$J$4:$J$968,U$1)</f>
        <v>0</v>
      </c>
      <c r="V112" s="207">
        <f>SUMIFS('июль 2023'!$G$4:$G$968,'июль 2023'!$D$4:$D$968,$B112,'июль 2023'!$J$4:$J$968,V$1)</f>
        <v>0</v>
      </c>
      <c r="W112" s="207">
        <f>SUMIFS('июль 2023'!$G$4:$G$968,'июль 2023'!$D$4:$D$968,$B112,'июль 2023'!$J$4:$J$968,W$1)</f>
        <v>0</v>
      </c>
      <c r="X112" s="207">
        <f>SUMIFS('июль 2023'!$G$4:$G$968,'июль 2023'!$D$4:$D$968,$B112,'июль 2023'!$J$4:$J$968,X$1)</f>
        <v>0</v>
      </c>
      <c r="Y112" s="207">
        <f>SUMIFS('июль 2023'!$G$4:$G$968,'июль 2023'!$D$4:$D$968,$B112,'июль 2023'!$J$4:$J$968,Y$1)</f>
        <v>0</v>
      </c>
      <c r="Z112" s="207">
        <f>SUMIFS('июль 2023'!$G$4:$G$968,'июль 2023'!$D$4:$D$968,$B112,'июль 2023'!$J$4:$J$968,Z$1)</f>
        <v>0</v>
      </c>
      <c r="AA112" s="207">
        <f>SUMIFS('июль 2023'!$G$4:$G$968,'июль 2023'!$D$4:$D$968,$B112,'июль 2023'!$J$4:$J$968,AA$1)</f>
        <v>0</v>
      </c>
      <c r="AB112" s="207">
        <f>SUMIFS('июль 2023'!$G$4:$G$968,'июль 2023'!$D$4:$D$968,$B112,'июль 2023'!$J$4:$J$968,AB$1)</f>
        <v>0</v>
      </c>
      <c r="AC112" s="207">
        <f>SUMIFS('июль 2023'!$G$4:$G$968,'июль 2023'!$D$4:$D$968,$B112,'июль 2023'!$J$4:$J$968,AC$1)</f>
        <v>0</v>
      </c>
      <c r="AD112" s="207">
        <f>SUMIFS('июль 2023'!$G$4:$G$968,'июль 2023'!$D$4:$D$968,$B112,'июль 2023'!$J$4:$J$968,AD$1)</f>
        <v>0</v>
      </c>
      <c r="AE112" s="207">
        <f>SUMIFS('июль 2023'!$G$4:$G$968,'июль 2023'!$D$4:$D$968,$B112,'июль 2023'!$J$4:$J$968,AE$1)</f>
        <v>0</v>
      </c>
      <c r="AF112" s="207">
        <f>SUMIFS('июль 2023'!$G$4:$G$968,'июль 2023'!$D$4:$D$968,$B112,'июль 2023'!$J$4:$J$968,AF$1)</f>
        <v>0</v>
      </c>
      <c r="AG112" s="207">
        <f>SUMIFS('июль 2023'!$G$4:$G$968,'июль 2023'!$D$4:$D$968,$B112,'июль 2023'!$J$4:$J$968,AG$1)</f>
        <v>0</v>
      </c>
      <c r="AH112" s="207">
        <f>SUMIFS('июль 2023'!$G$4:$G$968,'июль 2023'!$D$4:$D$968,$B112,'июль 2023'!$J$4:$J$968,AH$1)</f>
        <v>0</v>
      </c>
      <c r="AI112" s="170">
        <f t="shared" si="2"/>
        <v>0</v>
      </c>
    </row>
    <row r="113" spans="2:35" ht="15" customHeight="1" x14ac:dyDescent="0.25">
      <c r="B113" s="212" t="s">
        <v>1353</v>
      </c>
      <c r="C113" s="211">
        <v>25</v>
      </c>
      <c r="D113" s="207">
        <f>SUMIFS('июль 2023'!$G$4:$G$968,'июль 2023'!$D$4:$D$968,$B113,'июль 2023'!$J$4:$J$968,D$1)</f>
        <v>0</v>
      </c>
      <c r="E113" s="207">
        <f>SUMIFS('июль 2023'!$G$4:$G$968,'июль 2023'!$D$4:$D$968,$B113,'июль 2023'!$J$4:$J$968,E$1)</f>
        <v>0</v>
      </c>
      <c r="F113" s="207">
        <f>SUMIFS('июль 2023'!$G$4:$G$968,'июль 2023'!$D$4:$D$968,$B113,'июль 2023'!$J$4:$J$968,F$1)</f>
        <v>0</v>
      </c>
      <c r="G113" s="207">
        <f>SUMIFS('июль 2023'!$G$4:$G$968,'июль 2023'!$D$4:$D$968,$B113,'июль 2023'!$J$4:$J$968,G$1)</f>
        <v>0</v>
      </c>
      <c r="H113" s="207">
        <f>SUMIFS('июль 2023'!$G$4:$G$968,'июль 2023'!$D$4:$D$968,$B113,'июль 2023'!$J$4:$J$968,H$1)</f>
        <v>0</v>
      </c>
      <c r="I113" s="207">
        <f>SUMIFS('июль 2023'!$G$4:$G$968,'июль 2023'!$D$4:$D$968,$B113,'июль 2023'!$J$4:$J$968,I$1)</f>
        <v>0</v>
      </c>
      <c r="J113" s="207">
        <f>SUMIFS('июль 2023'!$G$4:$G$968,'июль 2023'!$D$4:$D$968,$B113,'июль 2023'!$J$4:$J$968,J$1)</f>
        <v>0</v>
      </c>
      <c r="K113" s="207">
        <f>SUMIFS('июль 2023'!$G$4:$G$968,'июль 2023'!$D$4:$D$968,$B113,'июль 2023'!$J$4:$J$968,K$1)</f>
        <v>0</v>
      </c>
      <c r="L113" s="207">
        <f>SUMIFS('июль 2023'!$G$4:$G$968,'июль 2023'!$D$4:$D$968,$B113,'июль 2023'!$J$4:$J$968,L$1)</f>
        <v>0</v>
      </c>
      <c r="M113" s="207">
        <f>SUMIFS('июль 2023'!$G$4:$G$968,'июль 2023'!$D$4:$D$968,$B113,'июль 2023'!$J$4:$J$968,M$1)</f>
        <v>0</v>
      </c>
      <c r="N113" s="207">
        <f>SUMIFS('июль 2023'!$G$4:$G$968,'июль 2023'!$D$4:$D$968,$B113,'июль 2023'!$J$4:$J$968,N$1)</f>
        <v>0</v>
      </c>
      <c r="O113" s="207">
        <f>SUMIFS('июль 2023'!$G$4:$G$968,'июль 2023'!$D$4:$D$968,$B113,'июль 2023'!$J$4:$J$968,O$1)</f>
        <v>0</v>
      </c>
      <c r="P113" s="207">
        <f>SUMIFS('июль 2023'!$G$4:$G$968,'июль 2023'!$D$4:$D$968,$B113,'июль 2023'!$J$4:$J$968,P$1)</f>
        <v>0</v>
      </c>
      <c r="Q113" s="207">
        <f>SUMIFS('июль 2023'!$G$4:$G$968,'июль 2023'!$D$4:$D$968,$B113,'июль 2023'!$J$4:$J$968,Q$1)</f>
        <v>0</v>
      </c>
      <c r="R113" s="207">
        <f>SUMIFS('июль 2023'!$G$4:$G$968,'июль 2023'!$D$4:$D$968,$B113,'июль 2023'!$J$4:$J$968,R$1)</f>
        <v>0</v>
      </c>
      <c r="S113" s="207">
        <f>SUMIFS('июль 2023'!$G$4:$G$968,'июль 2023'!$D$4:$D$968,$B113,'июль 2023'!$J$4:$J$968,S$1)</f>
        <v>0</v>
      </c>
      <c r="T113" s="207">
        <f>SUMIFS('июль 2023'!$G$4:$G$968,'июль 2023'!$D$4:$D$968,$B113,'июль 2023'!$J$4:$J$968,T$1)</f>
        <v>0</v>
      </c>
      <c r="U113" s="207">
        <f>SUMIFS('июль 2023'!$G$4:$G$968,'июль 2023'!$D$4:$D$968,$B113,'июль 2023'!$J$4:$J$968,U$1)</f>
        <v>0</v>
      </c>
      <c r="V113" s="207">
        <f>SUMIFS('июль 2023'!$G$4:$G$968,'июль 2023'!$D$4:$D$968,$B113,'июль 2023'!$J$4:$J$968,V$1)</f>
        <v>0</v>
      </c>
      <c r="W113" s="207">
        <f>SUMIFS('июль 2023'!$G$4:$G$968,'июль 2023'!$D$4:$D$968,$B113,'июль 2023'!$J$4:$J$968,W$1)</f>
        <v>0</v>
      </c>
      <c r="X113" s="207">
        <f>SUMIFS('июль 2023'!$G$4:$G$968,'июль 2023'!$D$4:$D$968,$B113,'июль 2023'!$J$4:$J$968,X$1)</f>
        <v>0</v>
      </c>
      <c r="Y113" s="207">
        <f>SUMIFS('июль 2023'!$G$4:$G$968,'июль 2023'!$D$4:$D$968,$B113,'июль 2023'!$J$4:$J$968,Y$1)</f>
        <v>0</v>
      </c>
      <c r="Z113" s="207">
        <f>SUMIFS('июль 2023'!$G$4:$G$968,'июль 2023'!$D$4:$D$968,$B113,'июль 2023'!$J$4:$J$968,Z$1)</f>
        <v>0</v>
      </c>
      <c r="AA113" s="207">
        <f>SUMIFS('июль 2023'!$G$4:$G$968,'июль 2023'!$D$4:$D$968,$B113,'июль 2023'!$J$4:$J$968,AA$1)</f>
        <v>0</v>
      </c>
      <c r="AB113" s="207">
        <f>SUMIFS('июль 2023'!$G$4:$G$968,'июль 2023'!$D$4:$D$968,$B113,'июль 2023'!$J$4:$J$968,AB$1)</f>
        <v>0</v>
      </c>
      <c r="AC113" s="207">
        <f>SUMIFS('июль 2023'!$G$4:$G$968,'июль 2023'!$D$4:$D$968,$B113,'июль 2023'!$J$4:$J$968,AC$1)</f>
        <v>0</v>
      </c>
      <c r="AD113" s="207">
        <f>SUMIFS('июль 2023'!$G$4:$G$968,'июль 2023'!$D$4:$D$968,$B113,'июль 2023'!$J$4:$J$968,AD$1)</f>
        <v>0</v>
      </c>
      <c r="AE113" s="207">
        <f>SUMIFS('июль 2023'!$G$4:$G$968,'июль 2023'!$D$4:$D$968,$B113,'июль 2023'!$J$4:$J$968,AE$1)</f>
        <v>0</v>
      </c>
      <c r="AF113" s="207">
        <f>SUMIFS('июль 2023'!$G$4:$G$968,'июль 2023'!$D$4:$D$968,$B113,'июль 2023'!$J$4:$J$968,AF$1)</f>
        <v>0</v>
      </c>
      <c r="AG113" s="207">
        <f>SUMIFS('июль 2023'!$G$4:$G$968,'июль 2023'!$D$4:$D$968,$B113,'июль 2023'!$J$4:$J$968,AG$1)</f>
        <v>0</v>
      </c>
      <c r="AH113" s="207">
        <f>SUMIFS('июль 2023'!$G$4:$G$968,'июль 2023'!$D$4:$D$968,$B113,'июль 2023'!$J$4:$J$968,AH$1)</f>
        <v>0</v>
      </c>
      <c r="AI113" s="170">
        <f t="shared" si="2"/>
        <v>0</v>
      </c>
    </row>
    <row r="114" spans="2:35" ht="15" customHeight="1" x14ac:dyDescent="0.25">
      <c r="B114" s="212"/>
      <c r="C114" s="211"/>
      <c r="D114" s="207">
        <f>SUMIFS('апрель 2023'!$G$4:$G$692,'апрель 2023'!$D$4:$D$692,$B114,'апрель 2023'!$J$4:$J$692,D$1)</f>
        <v>0</v>
      </c>
      <c r="E114" s="207">
        <f>SUMIFS('апрель 2023'!$G$4:$G$692,'апрель 2023'!$D$4:$D$692,$B114,'апрель 2023'!$J$4:$J$692,E$1)</f>
        <v>0</v>
      </c>
      <c r="F114" s="207">
        <f>SUMIFS('апрель 2023'!$G$4:$G$692,'апрель 2023'!$D$4:$D$692,$B114,'апрель 2023'!$J$4:$J$692,F$1)</f>
        <v>0</v>
      </c>
      <c r="G114" s="207">
        <f>SUMIFS('апрель 2023'!$G$4:$G$692,'апрель 2023'!$D$4:$D$692,$B114,'апрель 2023'!$J$4:$J$692,G$1)</f>
        <v>0</v>
      </c>
      <c r="H114" s="207">
        <f>SUMIFS('апрель 2023'!$G$4:$G$692,'апрель 2023'!$D$4:$D$692,$B114,'апрель 2023'!$J$4:$J$692,H$1)</f>
        <v>0</v>
      </c>
      <c r="I114" s="207">
        <f>SUMIFS('апрель 2023'!$G$4:$G$692,'апрель 2023'!$D$4:$D$692,$B114,'апрель 2023'!$J$4:$J$692,I$1)</f>
        <v>0</v>
      </c>
      <c r="J114" s="207">
        <f>SUMIFS('апрель 2023'!$G$4:$G$692,'апрель 2023'!$D$4:$D$692,$B114,'апрель 2023'!$J$4:$J$692,J$1)</f>
        <v>0</v>
      </c>
      <c r="K114" s="207">
        <f>SUMIFS('апрель 2023'!$G$4:$G$692,'апрель 2023'!$D$4:$D$692,$B114,'апрель 2023'!$J$4:$J$692,K$1)</f>
        <v>0</v>
      </c>
      <c r="L114" s="207">
        <f>SUMIFS('апрель 2023'!$G$4:$G$692,'апрель 2023'!$D$4:$D$692,$B114,'апрель 2023'!$J$4:$J$692,L$1)</f>
        <v>0</v>
      </c>
      <c r="M114" s="207">
        <f>SUMIFS('апрель 2023'!$G$4:$G$692,'апрель 2023'!$D$4:$D$692,$B114,'апрель 2023'!$J$4:$J$692,M$1)</f>
        <v>0</v>
      </c>
      <c r="N114" s="207">
        <f>SUMIFS('апрель 2023'!$G$4:$G$692,'апрель 2023'!$D$4:$D$692,$B114,'апрель 2023'!$J$4:$J$692,N$1)</f>
        <v>0</v>
      </c>
      <c r="O114" s="207">
        <f>SUMIFS('апрель 2023'!$G$4:$G$692,'апрель 2023'!$D$4:$D$692,$B114,'апрель 2023'!$J$4:$J$692,O$1)</f>
        <v>0</v>
      </c>
      <c r="P114" s="207">
        <f>SUMIFS('апрель 2023'!$G$4:$G$692,'апрель 2023'!$D$4:$D$692,$B114,'апрель 2023'!$J$4:$J$692,P$1)</f>
        <v>0</v>
      </c>
      <c r="Q114" s="207">
        <f>SUMIFS('апрель 2023'!$G$4:$G$692,'апрель 2023'!$D$4:$D$692,$B114,'апрель 2023'!$J$4:$J$692,Q$1)</f>
        <v>0</v>
      </c>
      <c r="R114" s="207">
        <f>SUMIFS('апрель 2023'!$G$4:$G$692,'апрель 2023'!$D$4:$D$692,$B114,'апрель 2023'!$J$4:$J$692,R$1)</f>
        <v>0</v>
      </c>
      <c r="S114" s="207">
        <f>SUMIFS('апрель 2023'!$G$4:$G$692,'апрель 2023'!$D$4:$D$692,$B114,'апрель 2023'!$J$4:$J$692,S$1)</f>
        <v>0</v>
      </c>
      <c r="T114" s="207">
        <f>SUMIFS('апрель 2023'!$G$4:$G$692,'апрель 2023'!$D$4:$D$692,$B114,'апрель 2023'!$J$4:$J$692,T$1)</f>
        <v>0</v>
      </c>
      <c r="U114" s="207">
        <f>SUMIFS('апрель 2023'!$G$4:$G$692,'апрель 2023'!$D$4:$D$692,$B114,'апрель 2023'!$J$4:$J$692,U$1)</f>
        <v>0</v>
      </c>
      <c r="V114" s="207">
        <f>SUMIFS('апрель 2023'!$G$4:$G$692,'апрель 2023'!$D$4:$D$692,$B114,'апрель 2023'!$J$4:$J$692,V$1)</f>
        <v>0</v>
      </c>
      <c r="W114" s="207">
        <f>SUMIFS('апрель 2023'!$G$4:$G$692,'апрель 2023'!$D$4:$D$692,$B114,'апрель 2023'!$J$4:$J$692,W$1)</f>
        <v>0</v>
      </c>
      <c r="X114" s="207">
        <f>SUMIFS('апрель 2023'!$G$4:$G$692,'апрель 2023'!$D$4:$D$692,$B114,'апрель 2023'!$J$4:$J$692,X$1)</f>
        <v>0</v>
      </c>
      <c r="Y114" s="207">
        <f>SUMIFS('апрель 2023'!$G$4:$G$692,'апрель 2023'!$D$4:$D$692,$B114,'апрель 2023'!$J$4:$J$692,Y$1)</f>
        <v>0</v>
      </c>
      <c r="Z114" s="207">
        <f>SUMIFS('апрель 2023'!$G$4:$G$692,'апрель 2023'!$D$4:$D$692,$B114,'апрель 2023'!$J$4:$J$692,Z$1)</f>
        <v>0</v>
      </c>
      <c r="AA114" s="207">
        <f>SUMIFS('апрель 2023'!$G$4:$G$692,'апрель 2023'!$D$4:$D$692,$B114,'апрель 2023'!$J$4:$J$692,AA$1)</f>
        <v>0</v>
      </c>
      <c r="AB114" s="207">
        <f>SUMIFS('апрель 2023'!$G$4:$G$692,'апрель 2023'!$D$4:$D$692,$B114,'апрель 2023'!$J$4:$J$692,AB$1)</f>
        <v>0</v>
      </c>
      <c r="AC114" s="207">
        <f>SUMIFS('апрель 2023'!$G$4:$G$692,'апрель 2023'!$D$4:$D$692,$B114,'апрель 2023'!$J$4:$J$692,AC$1)</f>
        <v>0</v>
      </c>
      <c r="AD114" s="207">
        <f>SUMIFS('апрель 2023'!$G$4:$G$692,'апрель 2023'!$D$4:$D$692,$B114,'апрель 2023'!$J$4:$J$692,AD$1)</f>
        <v>0</v>
      </c>
      <c r="AE114" s="207">
        <f>SUMIFS('апрель 2023'!$G$4:$G$692,'апрель 2023'!$D$4:$D$692,$B114,'апрель 2023'!$J$4:$J$692,AE$1)</f>
        <v>0</v>
      </c>
      <c r="AF114" s="207">
        <f>SUMIFS('апрель 2023'!$G$4:$G$692,'апрель 2023'!$D$4:$D$692,$B114,'апрель 2023'!$J$4:$J$692,AF$1)</f>
        <v>0</v>
      </c>
      <c r="AG114" s="207">
        <f>SUMIFS('апрель 2023'!$G$4:$G$692,'апрель 2023'!$D$4:$D$692,$B114,'апрель 2023'!$J$4:$J$692,AG$1)</f>
        <v>0</v>
      </c>
      <c r="AH114" s="207">
        <f>SUMIFS('апрель 2023'!$G$4:$G$692,'апрель 2023'!$D$4:$D$692,$B114,'апрель 2023'!$J$4:$J$692,AH$1)</f>
        <v>0</v>
      </c>
      <c r="AI114" s="170">
        <f t="shared" si="2"/>
        <v>0</v>
      </c>
    </row>
    <row r="115" spans="2:35" ht="15" customHeight="1" x14ac:dyDescent="0.25">
      <c r="B115" s="212"/>
      <c r="C115" s="211"/>
      <c r="D115" s="207">
        <f>SUMIFS('апрель 2023'!$G$4:$G$692,'апрель 2023'!$D$4:$D$692,$B115,'апрель 2023'!$J$4:$J$692,D$1)</f>
        <v>0</v>
      </c>
      <c r="E115" s="207">
        <f>SUMIFS('апрель 2023'!$G$4:$G$692,'апрель 2023'!$D$4:$D$692,$B115,'апрель 2023'!$J$4:$J$692,E$1)</f>
        <v>0</v>
      </c>
      <c r="F115" s="207">
        <f>SUMIFS('апрель 2023'!$G$4:$G$692,'апрель 2023'!$D$4:$D$692,$B115,'апрель 2023'!$J$4:$J$692,F$1)</f>
        <v>0</v>
      </c>
      <c r="G115" s="207">
        <f>SUMIFS('апрель 2023'!$G$4:$G$692,'апрель 2023'!$D$4:$D$692,$B115,'апрель 2023'!$J$4:$J$692,G$1)</f>
        <v>0</v>
      </c>
      <c r="H115" s="207">
        <f>SUMIFS('апрель 2023'!$G$4:$G$692,'апрель 2023'!$D$4:$D$692,$B115,'апрель 2023'!$J$4:$J$692,H$1)</f>
        <v>0</v>
      </c>
      <c r="I115" s="207">
        <f>SUMIFS('апрель 2023'!$G$4:$G$692,'апрель 2023'!$D$4:$D$692,$B115,'апрель 2023'!$J$4:$J$692,I$1)</f>
        <v>0</v>
      </c>
      <c r="J115" s="207">
        <f>SUMIFS('апрель 2023'!$G$4:$G$692,'апрель 2023'!$D$4:$D$692,$B115,'апрель 2023'!$J$4:$J$692,J$1)</f>
        <v>0</v>
      </c>
      <c r="K115" s="207">
        <f>SUMIFS('апрель 2023'!$G$4:$G$692,'апрель 2023'!$D$4:$D$692,$B115,'апрель 2023'!$J$4:$J$692,K$1)</f>
        <v>0</v>
      </c>
      <c r="L115" s="207">
        <f>SUMIFS('апрель 2023'!$G$4:$G$692,'апрель 2023'!$D$4:$D$692,$B115,'апрель 2023'!$J$4:$J$692,L$1)</f>
        <v>0</v>
      </c>
      <c r="M115" s="207">
        <f>SUMIFS('апрель 2023'!$G$4:$G$692,'апрель 2023'!$D$4:$D$692,$B115,'апрель 2023'!$J$4:$J$692,M$1)</f>
        <v>0</v>
      </c>
      <c r="N115" s="207">
        <f>SUMIFS('апрель 2023'!$G$4:$G$692,'апрель 2023'!$D$4:$D$692,$B115,'апрель 2023'!$J$4:$J$692,N$1)</f>
        <v>0</v>
      </c>
      <c r="O115" s="207">
        <f>SUMIFS('апрель 2023'!$G$4:$G$692,'апрель 2023'!$D$4:$D$692,$B115,'апрель 2023'!$J$4:$J$692,O$1)</f>
        <v>0</v>
      </c>
      <c r="P115" s="207">
        <f>SUMIFS('апрель 2023'!$G$4:$G$692,'апрель 2023'!$D$4:$D$692,$B115,'апрель 2023'!$J$4:$J$692,P$1)</f>
        <v>0</v>
      </c>
      <c r="Q115" s="207">
        <f>SUMIFS('апрель 2023'!$G$4:$G$692,'апрель 2023'!$D$4:$D$692,$B115,'апрель 2023'!$J$4:$J$692,Q$1)</f>
        <v>0</v>
      </c>
      <c r="R115" s="207">
        <f>SUMIFS('апрель 2023'!$G$4:$G$692,'апрель 2023'!$D$4:$D$692,$B115,'апрель 2023'!$J$4:$J$692,R$1)</f>
        <v>0</v>
      </c>
      <c r="S115" s="207">
        <f>SUMIFS('апрель 2023'!$G$4:$G$692,'апрель 2023'!$D$4:$D$692,$B115,'апрель 2023'!$J$4:$J$692,S$1)</f>
        <v>0</v>
      </c>
      <c r="T115" s="207">
        <f>SUMIFS('апрель 2023'!$G$4:$G$692,'апрель 2023'!$D$4:$D$692,$B115,'апрель 2023'!$J$4:$J$692,T$1)</f>
        <v>0</v>
      </c>
      <c r="U115" s="207">
        <f>SUMIFS('апрель 2023'!$G$4:$G$692,'апрель 2023'!$D$4:$D$692,$B115,'апрель 2023'!$J$4:$J$692,U$1)</f>
        <v>0</v>
      </c>
      <c r="V115" s="207">
        <f>SUMIFS('апрель 2023'!$G$4:$G$692,'апрель 2023'!$D$4:$D$692,$B115,'апрель 2023'!$J$4:$J$692,V$1)</f>
        <v>0</v>
      </c>
      <c r="W115" s="207">
        <f>SUMIFS('апрель 2023'!$G$4:$G$692,'апрель 2023'!$D$4:$D$692,$B115,'апрель 2023'!$J$4:$J$692,W$1)</f>
        <v>0</v>
      </c>
      <c r="X115" s="207">
        <f>SUMIFS('апрель 2023'!$G$4:$G$692,'апрель 2023'!$D$4:$D$692,$B115,'апрель 2023'!$J$4:$J$692,X$1)</f>
        <v>0</v>
      </c>
      <c r="Y115" s="207">
        <f>SUMIFS('апрель 2023'!$G$4:$G$692,'апрель 2023'!$D$4:$D$692,$B115,'апрель 2023'!$J$4:$J$692,Y$1)</f>
        <v>0</v>
      </c>
      <c r="Z115" s="207">
        <f>SUMIFS('апрель 2023'!$G$4:$G$692,'апрель 2023'!$D$4:$D$692,$B115,'апрель 2023'!$J$4:$J$692,Z$1)</f>
        <v>0</v>
      </c>
      <c r="AA115" s="207">
        <f>SUMIFS('апрель 2023'!$G$4:$G$692,'апрель 2023'!$D$4:$D$692,$B115,'апрель 2023'!$J$4:$J$692,AA$1)</f>
        <v>0</v>
      </c>
      <c r="AB115" s="207">
        <f>SUMIFS('апрель 2023'!$G$4:$G$692,'апрель 2023'!$D$4:$D$692,$B115,'апрель 2023'!$J$4:$J$692,AB$1)</f>
        <v>0</v>
      </c>
      <c r="AC115" s="207">
        <f>SUMIFS('апрель 2023'!$G$4:$G$692,'апрель 2023'!$D$4:$D$692,$B115,'апрель 2023'!$J$4:$J$692,AC$1)</f>
        <v>0</v>
      </c>
      <c r="AD115" s="207">
        <f>SUMIFS('апрель 2023'!$G$4:$G$692,'апрель 2023'!$D$4:$D$692,$B115,'апрель 2023'!$J$4:$J$692,AD$1)</f>
        <v>0</v>
      </c>
      <c r="AE115" s="207">
        <f>SUMIFS('апрель 2023'!$G$4:$G$692,'апрель 2023'!$D$4:$D$692,$B115,'апрель 2023'!$J$4:$J$692,AE$1)</f>
        <v>0</v>
      </c>
      <c r="AF115" s="207">
        <f>SUMIFS('апрель 2023'!$G$4:$G$692,'апрель 2023'!$D$4:$D$692,$B115,'апрель 2023'!$J$4:$J$692,AF$1)</f>
        <v>0</v>
      </c>
      <c r="AG115" s="207">
        <f>SUMIFS('апрель 2023'!$G$4:$G$692,'апрель 2023'!$D$4:$D$692,$B115,'апрель 2023'!$J$4:$J$692,AG$1)</f>
        <v>0</v>
      </c>
      <c r="AH115" s="207">
        <f>SUMIFS('апрель 2023'!$G$4:$G$692,'апрель 2023'!$D$4:$D$692,$B115,'апрель 2023'!$J$4:$J$692,AH$1)</f>
        <v>0</v>
      </c>
      <c r="AI115" s="170">
        <f t="shared" si="2"/>
        <v>0</v>
      </c>
    </row>
    <row r="116" spans="2:35" ht="15" customHeight="1" x14ac:dyDescent="0.25">
      <c r="B116" s="212"/>
      <c r="C116" s="213"/>
      <c r="D116" s="207">
        <f>SUMIFS('апрель 2023'!$G$4:$G$692,'апрель 2023'!$D$4:$D$692,$B116,'апрель 2023'!$J$4:$J$692,D$1)</f>
        <v>0</v>
      </c>
      <c r="E116" s="207">
        <f>SUMIFS('апрель 2023'!$G$4:$G$692,'апрель 2023'!$D$4:$D$692,$B116,'апрель 2023'!$J$4:$J$692,E$1)</f>
        <v>0</v>
      </c>
      <c r="F116" s="207">
        <f>SUMIFS('апрель 2023'!$G$4:$G$692,'апрель 2023'!$D$4:$D$692,$B116,'апрель 2023'!$J$4:$J$692,F$1)</f>
        <v>0</v>
      </c>
      <c r="G116" s="207">
        <f>SUMIFS('апрель 2023'!$G$4:$G$692,'апрель 2023'!$D$4:$D$692,$B116,'апрель 2023'!$J$4:$J$692,G$1)</f>
        <v>0</v>
      </c>
      <c r="H116" s="207">
        <f>SUMIFS('апрель 2023'!$G$4:$G$692,'апрель 2023'!$D$4:$D$692,$B116,'апрель 2023'!$J$4:$J$692,H$1)</f>
        <v>0</v>
      </c>
      <c r="I116" s="207">
        <f>SUMIFS('апрель 2023'!$G$4:$G$692,'апрель 2023'!$D$4:$D$692,$B116,'апрель 2023'!$J$4:$J$692,I$1)</f>
        <v>0</v>
      </c>
      <c r="J116" s="207">
        <f>SUMIFS('апрель 2023'!$G$4:$G$692,'апрель 2023'!$D$4:$D$692,$B116,'апрель 2023'!$J$4:$J$692,J$1)</f>
        <v>0</v>
      </c>
      <c r="K116" s="207">
        <f>SUMIFS('апрель 2023'!$G$4:$G$692,'апрель 2023'!$D$4:$D$692,$B116,'апрель 2023'!$J$4:$J$692,K$1)</f>
        <v>0</v>
      </c>
      <c r="L116" s="207">
        <f>SUMIFS('апрель 2023'!$G$4:$G$692,'апрель 2023'!$D$4:$D$692,$B116,'апрель 2023'!$J$4:$J$692,L$1)</f>
        <v>0</v>
      </c>
      <c r="M116" s="207">
        <f>SUMIFS('апрель 2023'!$G$4:$G$692,'апрель 2023'!$D$4:$D$692,$B116,'апрель 2023'!$J$4:$J$692,M$1)</f>
        <v>0</v>
      </c>
      <c r="N116" s="207">
        <f>SUMIFS('апрель 2023'!$G$4:$G$692,'апрель 2023'!$D$4:$D$692,$B116,'апрель 2023'!$J$4:$J$692,N$1)</f>
        <v>0</v>
      </c>
      <c r="O116" s="207">
        <f>SUMIFS('апрель 2023'!$G$4:$G$692,'апрель 2023'!$D$4:$D$692,$B116,'апрель 2023'!$J$4:$J$692,O$1)</f>
        <v>0</v>
      </c>
      <c r="P116" s="207">
        <f>SUMIFS('апрель 2023'!$G$4:$G$692,'апрель 2023'!$D$4:$D$692,$B116,'апрель 2023'!$J$4:$J$692,P$1)</f>
        <v>0</v>
      </c>
      <c r="Q116" s="207">
        <f>SUMIFS('апрель 2023'!$G$4:$G$692,'апрель 2023'!$D$4:$D$692,$B116,'апрель 2023'!$J$4:$J$692,Q$1)</f>
        <v>0</v>
      </c>
      <c r="R116" s="207">
        <f>SUMIFS('апрель 2023'!$G$4:$G$692,'апрель 2023'!$D$4:$D$692,$B116,'апрель 2023'!$J$4:$J$692,R$1)</f>
        <v>0</v>
      </c>
      <c r="S116" s="207">
        <f>SUMIFS('апрель 2023'!$G$4:$G$692,'апрель 2023'!$D$4:$D$692,$B116,'апрель 2023'!$J$4:$J$692,S$1)</f>
        <v>0</v>
      </c>
      <c r="T116" s="207">
        <f>SUMIFS('апрель 2023'!$G$4:$G$692,'апрель 2023'!$D$4:$D$692,$B116,'апрель 2023'!$J$4:$J$692,T$1)</f>
        <v>0</v>
      </c>
      <c r="U116" s="207">
        <f>SUMIFS('апрель 2023'!$G$4:$G$692,'апрель 2023'!$D$4:$D$692,$B116,'апрель 2023'!$J$4:$J$692,U$1)</f>
        <v>0</v>
      </c>
      <c r="V116" s="207">
        <f>SUMIFS('апрель 2023'!$G$4:$G$692,'апрель 2023'!$D$4:$D$692,$B116,'апрель 2023'!$J$4:$J$692,V$1)</f>
        <v>0</v>
      </c>
      <c r="W116" s="207">
        <f>SUMIFS('апрель 2023'!$G$4:$G$692,'апрель 2023'!$D$4:$D$692,$B116,'апрель 2023'!$J$4:$J$692,W$1)</f>
        <v>0</v>
      </c>
      <c r="X116" s="207">
        <f>SUMIFS('апрель 2023'!$G$4:$G$692,'апрель 2023'!$D$4:$D$692,$B116,'апрель 2023'!$J$4:$J$692,X$1)</f>
        <v>0</v>
      </c>
      <c r="Y116" s="207">
        <f>SUMIFS('апрель 2023'!$G$4:$G$692,'апрель 2023'!$D$4:$D$692,$B116,'апрель 2023'!$J$4:$J$692,Y$1)</f>
        <v>0</v>
      </c>
      <c r="Z116" s="207">
        <f>SUMIFS('апрель 2023'!$G$4:$G$692,'апрель 2023'!$D$4:$D$692,$B116,'апрель 2023'!$J$4:$J$692,Z$1)</f>
        <v>0</v>
      </c>
      <c r="AA116" s="207">
        <f>SUMIFS('апрель 2023'!$G$4:$G$692,'апрель 2023'!$D$4:$D$692,$B116,'апрель 2023'!$J$4:$J$692,AA$1)</f>
        <v>0</v>
      </c>
      <c r="AB116" s="207">
        <f>SUMIFS('апрель 2023'!$G$4:$G$692,'апрель 2023'!$D$4:$D$692,$B116,'апрель 2023'!$J$4:$J$692,AB$1)</f>
        <v>0</v>
      </c>
      <c r="AC116" s="207">
        <f>SUMIFS('апрель 2023'!$G$4:$G$692,'апрель 2023'!$D$4:$D$692,$B116,'апрель 2023'!$J$4:$J$692,AC$1)</f>
        <v>0</v>
      </c>
      <c r="AD116" s="207">
        <f>SUMIFS('апрель 2023'!$G$4:$G$692,'апрель 2023'!$D$4:$D$692,$B116,'апрель 2023'!$J$4:$J$692,AD$1)</f>
        <v>0</v>
      </c>
      <c r="AE116" s="207">
        <f>SUMIFS('апрель 2023'!$G$4:$G$692,'апрель 2023'!$D$4:$D$692,$B116,'апрель 2023'!$J$4:$J$692,AE$1)</f>
        <v>0</v>
      </c>
      <c r="AF116" s="207">
        <f>SUMIFS('апрель 2023'!$G$4:$G$692,'апрель 2023'!$D$4:$D$692,$B116,'апрель 2023'!$J$4:$J$692,AF$1)</f>
        <v>0</v>
      </c>
      <c r="AG116" s="207">
        <f>SUMIFS('апрель 2023'!$G$4:$G$692,'апрель 2023'!$D$4:$D$692,$B116,'апрель 2023'!$J$4:$J$692,AG$1)</f>
        <v>0</v>
      </c>
      <c r="AH116" s="207">
        <f>SUMIFS('апрель 2023'!$G$4:$G$692,'апрель 2023'!$D$4:$D$692,$B116,'апрель 2023'!$J$4:$J$692,AH$1)</f>
        <v>0</v>
      </c>
      <c r="AI116" s="170">
        <f t="shared" si="2"/>
        <v>0</v>
      </c>
    </row>
    <row r="117" spans="2:35" ht="15" customHeight="1" x14ac:dyDescent="0.25">
      <c r="B117" s="216"/>
      <c r="C117" s="213"/>
      <c r="D117" s="207">
        <f>SUMIFS('апрель 2023'!$G$4:$G$692,'апрель 2023'!$D$4:$D$692,$B117,'апрель 2023'!$J$4:$J$692,D$1)</f>
        <v>0</v>
      </c>
      <c r="E117" s="207">
        <f>SUMIFS('апрель 2023'!$G$4:$G$692,'апрель 2023'!$D$4:$D$692,$B117,'апрель 2023'!$J$4:$J$692,E$1)</f>
        <v>0</v>
      </c>
      <c r="F117" s="207">
        <f>SUMIFS('апрель 2023'!$G$4:$G$692,'апрель 2023'!$D$4:$D$692,$B117,'апрель 2023'!$J$4:$J$692,F$1)</f>
        <v>0</v>
      </c>
      <c r="G117" s="207">
        <f>SUMIFS('апрель 2023'!$G$4:$G$692,'апрель 2023'!$D$4:$D$692,$B117,'апрель 2023'!$J$4:$J$692,G$1)</f>
        <v>0</v>
      </c>
      <c r="H117" s="207">
        <f>SUMIFS('апрель 2023'!$G$4:$G$692,'апрель 2023'!$D$4:$D$692,$B117,'апрель 2023'!$J$4:$J$692,H$1)</f>
        <v>0</v>
      </c>
      <c r="I117" s="207">
        <f>SUMIFS('апрель 2023'!$G$4:$G$692,'апрель 2023'!$D$4:$D$692,$B117,'апрель 2023'!$J$4:$J$692,I$1)</f>
        <v>0</v>
      </c>
      <c r="J117" s="207">
        <f>SUMIFS('апрель 2023'!$G$4:$G$692,'апрель 2023'!$D$4:$D$692,$B117,'апрель 2023'!$J$4:$J$692,J$1)</f>
        <v>0</v>
      </c>
      <c r="K117" s="207">
        <f>SUMIFS('апрель 2023'!$G$4:$G$692,'апрель 2023'!$D$4:$D$692,$B117,'апрель 2023'!$J$4:$J$692,K$1)</f>
        <v>0</v>
      </c>
      <c r="L117" s="207">
        <f>SUMIFS('апрель 2023'!$G$4:$G$692,'апрель 2023'!$D$4:$D$692,$B117,'апрель 2023'!$J$4:$J$692,L$1)</f>
        <v>0</v>
      </c>
      <c r="M117" s="207">
        <f>SUMIFS('апрель 2023'!$G$4:$G$692,'апрель 2023'!$D$4:$D$692,$B117,'апрель 2023'!$J$4:$J$692,M$1)</f>
        <v>0</v>
      </c>
      <c r="N117" s="207">
        <f>SUMIFS('апрель 2023'!$G$4:$G$692,'апрель 2023'!$D$4:$D$692,$B117,'апрель 2023'!$J$4:$J$692,N$1)</f>
        <v>0</v>
      </c>
      <c r="O117" s="207">
        <f>SUMIFS('апрель 2023'!$G$4:$G$692,'апрель 2023'!$D$4:$D$692,$B117,'апрель 2023'!$J$4:$J$692,O$1)</f>
        <v>0</v>
      </c>
      <c r="P117" s="207">
        <f>SUMIFS('апрель 2023'!$G$4:$G$692,'апрель 2023'!$D$4:$D$692,$B117,'апрель 2023'!$J$4:$J$692,P$1)</f>
        <v>0</v>
      </c>
      <c r="Q117" s="207">
        <f>SUMIFS('апрель 2023'!$G$4:$G$692,'апрель 2023'!$D$4:$D$692,$B117,'апрель 2023'!$J$4:$J$692,Q$1)</f>
        <v>0</v>
      </c>
      <c r="R117" s="207">
        <f>SUMIFS('апрель 2023'!$G$4:$G$692,'апрель 2023'!$D$4:$D$692,$B117,'апрель 2023'!$J$4:$J$692,R$1)</f>
        <v>0</v>
      </c>
      <c r="S117" s="207">
        <f>SUMIFS('апрель 2023'!$G$4:$G$692,'апрель 2023'!$D$4:$D$692,$B117,'апрель 2023'!$J$4:$J$692,S$1)</f>
        <v>0</v>
      </c>
      <c r="T117" s="207">
        <f>SUMIFS('апрель 2023'!$G$4:$G$692,'апрель 2023'!$D$4:$D$692,$B117,'апрель 2023'!$J$4:$J$692,T$1)</f>
        <v>0</v>
      </c>
      <c r="U117" s="207">
        <f>SUMIFS('апрель 2023'!$G$4:$G$692,'апрель 2023'!$D$4:$D$692,$B117,'апрель 2023'!$J$4:$J$692,U$1)</f>
        <v>0</v>
      </c>
      <c r="V117" s="207">
        <f>SUMIFS('апрель 2023'!$G$4:$G$692,'апрель 2023'!$D$4:$D$692,$B117,'апрель 2023'!$J$4:$J$692,V$1)</f>
        <v>0</v>
      </c>
      <c r="W117" s="207">
        <f>SUMIFS('апрель 2023'!$G$4:$G$692,'апрель 2023'!$D$4:$D$692,$B117,'апрель 2023'!$J$4:$J$692,W$1)</f>
        <v>0</v>
      </c>
      <c r="X117" s="207">
        <f>SUMIFS('апрель 2023'!$G$4:$G$692,'апрель 2023'!$D$4:$D$692,$B117,'апрель 2023'!$J$4:$J$692,X$1)</f>
        <v>0</v>
      </c>
      <c r="Y117" s="207">
        <f>SUMIFS('апрель 2023'!$G$4:$G$692,'апрель 2023'!$D$4:$D$692,$B117,'апрель 2023'!$J$4:$J$692,Y$1)</f>
        <v>0</v>
      </c>
      <c r="Z117" s="207">
        <f>SUMIFS('апрель 2023'!$G$4:$G$692,'апрель 2023'!$D$4:$D$692,$B117,'апрель 2023'!$J$4:$J$692,Z$1)</f>
        <v>0</v>
      </c>
      <c r="AA117" s="207">
        <f>SUMIFS('апрель 2023'!$G$4:$G$692,'апрель 2023'!$D$4:$D$692,$B117,'апрель 2023'!$J$4:$J$692,AA$1)</f>
        <v>0</v>
      </c>
      <c r="AB117" s="207">
        <f>SUMIFS('апрель 2023'!$G$4:$G$692,'апрель 2023'!$D$4:$D$692,$B117,'апрель 2023'!$J$4:$J$692,AB$1)</f>
        <v>0</v>
      </c>
      <c r="AC117" s="207">
        <f>SUMIFS('апрель 2023'!$G$4:$G$692,'апрель 2023'!$D$4:$D$692,$B117,'апрель 2023'!$J$4:$J$692,AC$1)</f>
        <v>0</v>
      </c>
      <c r="AD117" s="207">
        <f>SUMIFS('апрель 2023'!$G$4:$G$692,'апрель 2023'!$D$4:$D$692,$B117,'апрель 2023'!$J$4:$J$692,AD$1)</f>
        <v>0</v>
      </c>
      <c r="AE117" s="207">
        <f>SUMIFS('апрель 2023'!$G$4:$G$692,'апрель 2023'!$D$4:$D$692,$B117,'апрель 2023'!$J$4:$J$692,AE$1)</f>
        <v>0</v>
      </c>
      <c r="AF117" s="207">
        <f>SUMIFS('апрель 2023'!$G$4:$G$692,'апрель 2023'!$D$4:$D$692,$B117,'апрель 2023'!$J$4:$J$692,AF$1)</f>
        <v>0</v>
      </c>
      <c r="AG117" s="207">
        <f>SUMIFS('апрель 2023'!$G$4:$G$692,'апрель 2023'!$D$4:$D$692,$B117,'апрель 2023'!$J$4:$J$692,AG$1)</f>
        <v>0</v>
      </c>
      <c r="AH117" s="207">
        <f>SUMIFS('апрель 2023'!$G$4:$G$692,'апрель 2023'!$D$4:$D$692,$B117,'апрель 2023'!$J$4:$J$692,AH$1)</f>
        <v>0</v>
      </c>
      <c r="AI117" s="170">
        <f t="shared" si="2"/>
        <v>0</v>
      </c>
    </row>
    <row r="118" spans="2:35" ht="15" customHeight="1" x14ac:dyDescent="0.25">
      <c r="B118" s="212"/>
      <c r="C118" s="211"/>
      <c r="D118" s="207">
        <f>SUMIFS('апрель 2023'!$G$4:$G$692,'апрель 2023'!$D$4:$D$692,$B118,'апрель 2023'!$J$4:$J$692,D$1)</f>
        <v>0</v>
      </c>
      <c r="E118" s="207">
        <f>SUMIFS('апрель 2023'!$G$4:$G$692,'апрель 2023'!$D$4:$D$692,$B118,'апрель 2023'!$J$4:$J$692,E$1)</f>
        <v>0</v>
      </c>
      <c r="F118" s="207">
        <f>SUMIFS('апрель 2023'!$G$4:$G$692,'апрель 2023'!$D$4:$D$692,$B118,'апрель 2023'!$J$4:$J$692,F$1)</f>
        <v>0</v>
      </c>
      <c r="G118" s="207">
        <f>SUMIFS('апрель 2023'!$G$4:$G$692,'апрель 2023'!$D$4:$D$692,$B118,'апрель 2023'!$J$4:$J$692,G$1)</f>
        <v>0</v>
      </c>
      <c r="H118" s="207">
        <f>SUMIFS('апрель 2023'!$G$4:$G$692,'апрель 2023'!$D$4:$D$692,$B118,'апрель 2023'!$J$4:$J$692,H$1)</f>
        <v>0</v>
      </c>
      <c r="I118" s="207">
        <f>SUMIFS('апрель 2023'!$G$4:$G$692,'апрель 2023'!$D$4:$D$692,$B118,'апрель 2023'!$J$4:$J$692,I$1)</f>
        <v>0</v>
      </c>
      <c r="J118" s="207">
        <f>SUMIFS('апрель 2023'!$G$4:$G$692,'апрель 2023'!$D$4:$D$692,$B118,'апрель 2023'!$J$4:$J$692,J$1)</f>
        <v>0</v>
      </c>
      <c r="K118" s="207">
        <f>SUMIFS('апрель 2023'!$G$4:$G$692,'апрель 2023'!$D$4:$D$692,$B118,'апрель 2023'!$J$4:$J$692,K$1)</f>
        <v>0</v>
      </c>
      <c r="L118" s="207">
        <f>SUMIFS('апрель 2023'!$G$4:$G$692,'апрель 2023'!$D$4:$D$692,$B118,'апрель 2023'!$J$4:$J$692,L$1)</f>
        <v>0</v>
      </c>
      <c r="M118" s="207">
        <f>SUMIFS('апрель 2023'!$G$4:$G$692,'апрель 2023'!$D$4:$D$692,$B118,'апрель 2023'!$J$4:$J$692,M$1)</f>
        <v>0</v>
      </c>
      <c r="N118" s="207">
        <f>SUMIFS('апрель 2023'!$G$4:$G$692,'апрель 2023'!$D$4:$D$692,$B118,'апрель 2023'!$J$4:$J$692,N$1)</f>
        <v>0</v>
      </c>
      <c r="O118" s="207">
        <f>SUMIFS('апрель 2023'!$G$4:$G$692,'апрель 2023'!$D$4:$D$692,$B118,'апрель 2023'!$J$4:$J$692,O$1)</f>
        <v>0</v>
      </c>
      <c r="P118" s="207">
        <f>SUMIFS('апрель 2023'!$G$4:$G$692,'апрель 2023'!$D$4:$D$692,$B118,'апрель 2023'!$J$4:$J$692,P$1)</f>
        <v>0</v>
      </c>
      <c r="Q118" s="207">
        <f>SUMIFS('апрель 2023'!$G$4:$G$692,'апрель 2023'!$D$4:$D$692,$B118,'апрель 2023'!$J$4:$J$692,Q$1)</f>
        <v>0</v>
      </c>
      <c r="R118" s="207">
        <f>SUMIFS('апрель 2023'!$G$4:$G$692,'апрель 2023'!$D$4:$D$692,$B118,'апрель 2023'!$J$4:$J$692,R$1)</f>
        <v>0</v>
      </c>
      <c r="S118" s="207">
        <f>SUMIFS('апрель 2023'!$G$4:$G$692,'апрель 2023'!$D$4:$D$692,$B118,'апрель 2023'!$J$4:$J$692,S$1)</f>
        <v>0</v>
      </c>
      <c r="T118" s="207">
        <f>SUMIFS('апрель 2023'!$G$4:$G$692,'апрель 2023'!$D$4:$D$692,$B118,'апрель 2023'!$J$4:$J$692,T$1)</f>
        <v>0</v>
      </c>
      <c r="U118" s="207">
        <f>SUMIFS('апрель 2023'!$G$4:$G$692,'апрель 2023'!$D$4:$D$692,$B118,'апрель 2023'!$J$4:$J$692,U$1)</f>
        <v>0</v>
      </c>
      <c r="V118" s="207">
        <f>SUMIFS('апрель 2023'!$G$4:$G$692,'апрель 2023'!$D$4:$D$692,$B118,'апрель 2023'!$J$4:$J$692,V$1)</f>
        <v>0</v>
      </c>
      <c r="W118" s="207">
        <f>SUMIFS('апрель 2023'!$G$4:$G$692,'апрель 2023'!$D$4:$D$692,$B118,'апрель 2023'!$J$4:$J$692,W$1)</f>
        <v>0</v>
      </c>
      <c r="X118" s="207">
        <f>SUMIFS('апрель 2023'!$G$4:$G$692,'апрель 2023'!$D$4:$D$692,$B118,'апрель 2023'!$J$4:$J$692,X$1)</f>
        <v>0</v>
      </c>
      <c r="Y118" s="207">
        <f>SUMIFS('апрель 2023'!$G$4:$G$692,'апрель 2023'!$D$4:$D$692,$B118,'апрель 2023'!$J$4:$J$692,Y$1)</f>
        <v>0</v>
      </c>
      <c r="Z118" s="207">
        <f>SUMIFS('апрель 2023'!$G$4:$G$692,'апрель 2023'!$D$4:$D$692,$B118,'апрель 2023'!$J$4:$J$692,Z$1)</f>
        <v>0</v>
      </c>
      <c r="AA118" s="207">
        <f>SUMIFS('апрель 2023'!$G$4:$G$692,'апрель 2023'!$D$4:$D$692,$B118,'апрель 2023'!$J$4:$J$692,AA$1)</f>
        <v>0</v>
      </c>
      <c r="AB118" s="207">
        <f>SUMIFS('апрель 2023'!$G$4:$G$692,'апрель 2023'!$D$4:$D$692,$B118,'апрель 2023'!$J$4:$J$692,AB$1)</f>
        <v>0</v>
      </c>
      <c r="AC118" s="207">
        <f>SUMIFS('апрель 2023'!$G$4:$G$692,'апрель 2023'!$D$4:$D$692,$B118,'апрель 2023'!$J$4:$J$692,AC$1)</f>
        <v>0</v>
      </c>
      <c r="AD118" s="207">
        <f>SUMIFS('апрель 2023'!$G$4:$G$692,'апрель 2023'!$D$4:$D$692,$B118,'апрель 2023'!$J$4:$J$692,AD$1)</f>
        <v>0</v>
      </c>
      <c r="AE118" s="207">
        <f>SUMIFS('апрель 2023'!$G$4:$G$692,'апрель 2023'!$D$4:$D$692,$B118,'апрель 2023'!$J$4:$J$692,AE$1)</f>
        <v>0</v>
      </c>
      <c r="AF118" s="207">
        <f>SUMIFS('апрель 2023'!$G$4:$G$692,'апрель 2023'!$D$4:$D$692,$B118,'апрель 2023'!$J$4:$J$692,AF$1)</f>
        <v>0</v>
      </c>
      <c r="AG118" s="207">
        <f>SUMIFS('апрель 2023'!$G$4:$G$692,'апрель 2023'!$D$4:$D$692,$B118,'апрель 2023'!$J$4:$J$692,AG$1)</f>
        <v>0</v>
      </c>
      <c r="AH118" s="207">
        <f>SUMIFS('апрель 2023'!$G$4:$G$692,'апрель 2023'!$D$4:$D$692,$B118,'апрель 2023'!$J$4:$J$692,AH$1)</f>
        <v>0</v>
      </c>
      <c r="AI118" s="170">
        <f t="shared" si="2"/>
        <v>0</v>
      </c>
    </row>
    <row r="119" spans="2:35" ht="15" customHeight="1" x14ac:dyDescent="0.25">
      <c r="B119" s="212"/>
      <c r="C119" s="211"/>
      <c r="D119" s="207">
        <f>SUMIFS('апрель 2023'!$G$4:$G$692,'апрель 2023'!$D$4:$D$692,$B119,'апрель 2023'!$J$4:$J$692,D$1)</f>
        <v>0</v>
      </c>
      <c r="E119" s="207">
        <f>SUMIFS('апрель 2023'!$G$4:$G$692,'апрель 2023'!$D$4:$D$692,$B119,'апрель 2023'!$J$4:$J$692,E$1)</f>
        <v>0</v>
      </c>
      <c r="F119" s="207">
        <f>SUMIFS('апрель 2023'!$G$4:$G$692,'апрель 2023'!$D$4:$D$692,$B119,'апрель 2023'!$J$4:$J$692,F$1)</f>
        <v>0</v>
      </c>
      <c r="G119" s="207">
        <f>SUMIFS('апрель 2023'!$G$4:$G$692,'апрель 2023'!$D$4:$D$692,$B119,'апрель 2023'!$J$4:$J$692,G$1)</f>
        <v>0</v>
      </c>
      <c r="H119" s="207">
        <f>SUMIFS('апрель 2023'!$G$4:$G$692,'апрель 2023'!$D$4:$D$692,$B119,'апрель 2023'!$J$4:$J$692,H$1)</f>
        <v>0</v>
      </c>
      <c r="I119" s="207">
        <f>SUMIFS('апрель 2023'!$G$4:$G$692,'апрель 2023'!$D$4:$D$692,$B119,'апрель 2023'!$J$4:$J$692,I$1)</f>
        <v>0</v>
      </c>
      <c r="J119" s="207">
        <f>SUMIFS('апрель 2023'!$G$4:$G$692,'апрель 2023'!$D$4:$D$692,$B119,'апрель 2023'!$J$4:$J$692,J$1)</f>
        <v>0</v>
      </c>
      <c r="K119" s="207">
        <f>SUMIFS('апрель 2023'!$G$4:$G$692,'апрель 2023'!$D$4:$D$692,$B119,'апрель 2023'!$J$4:$J$692,K$1)</f>
        <v>0</v>
      </c>
      <c r="L119" s="207">
        <f>SUMIFS('апрель 2023'!$G$4:$G$692,'апрель 2023'!$D$4:$D$692,$B119,'апрель 2023'!$J$4:$J$692,L$1)</f>
        <v>0</v>
      </c>
      <c r="M119" s="207">
        <f>SUMIFS('апрель 2023'!$G$4:$G$692,'апрель 2023'!$D$4:$D$692,$B119,'апрель 2023'!$J$4:$J$692,M$1)</f>
        <v>0</v>
      </c>
      <c r="N119" s="207">
        <f>SUMIFS('апрель 2023'!$G$4:$G$692,'апрель 2023'!$D$4:$D$692,$B119,'апрель 2023'!$J$4:$J$692,N$1)</f>
        <v>0</v>
      </c>
      <c r="O119" s="207">
        <f>SUMIFS('апрель 2023'!$G$4:$G$692,'апрель 2023'!$D$4:$D$692,$B119,'апрель 2023'!$J$4:$J$692,O$1)</f>
        <v>0</v>
      </c>
      <c r="P119" s="207">
        <f>SUMIFS('апрель 2023'!$G$4:$G$692,'апрель 2023'!$D$4:$D$692,$B119,'апрель 2023'!$J$4:$J$692,P$1)</f>
        <v>0</v>
      </c>
      <c r="Q119" s="207">
        <f>SUMIFS('апрель 2023'!$G$4:$G$692,'апрель 2023'!$D$4:$D$692,$B119,'апрель 2023'!$J$4:$J$692,Q$1)</f>
        <v>0</v>
      </c>
      <c r="R119" s="207">
        <f>SUMIFS('апрель 2023'!$G$4:$G$692,'апрель 2023'!$D$4:$D$692,$B119,'апрель 2023'!$J$4:$J$692,R$1)</f>
        <v>0</v>
      </c>
      <c r="S119" s="207">
        <f>SUMIFS('апрель 2023'!$G$4:$G$692,'апрель 2023'!$D$4:$D$692,$B119,'апрель 2023'!$J$4:$J$692,S$1)</f>
        <v>0</v>
      </c>
      <c r="T119" s="207">
        <f>SUMIFS('апрель 2023'!$G$4:$G$692,'апрель 2023'!$D$4:$D$692,$B119,'апрель 2023'!$J$4:$J$692,T$1)</f>
        <v>0</v>
      </c>
      <c r="U119" s="207">
        <f>SUMIFS('апрель 2023'!$G$4:$G$692,'апрель 2023'!$D$4:$D$692,$B119,'апрель 2023'!$J$4:$J$692,U$1)</f>
        <v>0</v>
      </c>
      <c r="V119" s="207">
        <f>SUMIFS('апрель 2023'!$G$4:$G$692,'апрель 2023'!$D$4:$D$692,$B119,'апрель 2023'!$J$4:$J$692,V$1)</f>
        <v>0</v>
      </c>
      <c r="W119" s="207">
        <f>SUMIFS('апрель 2023'!$G$4:$G$692,'апрель 2023'!$D$4:$D$692,$B119,'апрель 2023'!$J$4:$J$692,W$1)</f>
        <v>0</v>
      </c>
      <c r="X119" s="207">
        <f>SUMIFS('апрель 2023'!$G$4:$G$692,'апрель 2023'!$D$4:$D$692,$B119,'апрель 2023'!$J$4:$J$692,X$1)</f>
        <v>0</v>
      </c>
      <c r="Y119" s="207">
        <f>SUMIFS('апрель 2023'!$G$4:$G$692,'апрель 2023'!$D$4:$D$692,$B119,'апрель 2023'!$J$4:$J$692,Y$1)</f>
        <v>0</v>
      </c>
      <c r="Z119" s="207">
        <f>SUMIFS('апрель 2023'!$G$4:$G$692,'апрель 2023'!$D$4:$D$692,$B119,'апрель 2023'!$J$4:$J$692,Z$1)</f>
        <v>0</v>
      </c>
      <c r="AA119" s="207">
        <f>SUMIFS('апрель 2023'!$G$4:$G$692,'апрель 2023'!$D$4:$D$692,$B119,'апрель 2023'!$J$4:$J$692,AA$1)</f>
        <v>0</v>
      </c>
      <c r="AB119" s="207">
        <f>SUMIFS('апрель 2023'!$G$4:$G$692,'апрель 2023'!$D$4:$D$692,$B119,'апрель 2023'!$J$4:$J$692,AB$1)</f>
        <v>0</v>
      </c>
      <c r="AC119" s="207">
        <f>SUMIFS('апрель 2023'!$G$4:$G$692,'апрель 2023'!$D$4:$D$692,$B119,'апрель 2023'!$J$4:$J$692,AC$1)</f>
        <v>0</v>
      </c>
      <c r="AD119" s="207">
        <f>SUMIFS('апрель 2023'!$G$4:$G$692,'апрель 2023'!$D$4:$D$692,$B119,'апрель 2023'!$J$4:$J$692,AD$1)</f>
        <v>0</v>
      </c>
      <c r="AE119" s="207">
        <f>SUMIFS('апрель 2023'!$G$4:$G$692,'апрель 2023'!$D$4:$D$692,$B119,'апрель 2023'!$J$4:$J$692,AE$1)</f>
        <v>0</v>
      </c>
      <c r="AF119" s="207">
        <f>SUMIFS('апрель 2023'!$G$4:$G$692,'апрель 2023'!$D$4:$D$692,$B119,'апрель 2023'!$J$4:$J$692,AF$1)</f>
        <v>0</v>
      </c>
      <c r="AG119" s="207">
        <f>SUMIFS('апрель 2023'!$G$4:$G$692,'апрель 2023'!$D$4:$D$692,$B119,'апрель 2023'!$J$4:$J$692,AG$1)</f>
        <v>0</v>
      </c>
      <c r="AH119" s="207">
        <f>SUMIFS('апрель 2023'!$G$4:$G$692,'апрель 2023'!$D$4:$D$692,$B119,'апрель 2023'!$J$4:$J$692,AH$1)</f>
        <v>0</v>
      </c>
      <c r="AI119" s="170">
        <f t="shared" si="2"/>
        <v>0</v>
      </c>
    </row>
    <row r="120" spans="2:35" ht="15" customHeight="1" x14ac:dyDescent="0.25">
      <c r="B120" s="212"/>
      <c r="C120" s="211"/>
      <c r="D120" s="207">
        <f>SUMIFS('апрель 2023'!$G$4:$G$692,'апрель 2023'!$D$4:$D$692,$B120,'апрель 2023'!$J$4:$J$692,D$1)</f>
        <v>0</v>
      </c>
      <c r="E120" s="207">
        <f>SUMIFS('апрель 2023'!$G$4:$G$692,'апрель 2023'!$D$4:$D$692,$B120,'апрель 2023'!$J$4:$J$692,E$1)</f>
        <v>0</v>
      </c>
      <c r="F120" s="207">
        <f>SUMIFS('апрель 2023'!$G$4:$G$692,'апрель 2023'!$D$4:$D$692,$B120,'апрель 2023'!$J$4:$J$692,F$1)</f>
        <v>0</v>
      </c>
      <c r="G120" s="207">
        <f>SUMIFS('апрель 2023'!$G$4:$G$692,'апрель 2023'!$D$4:$D$692,$B120,'апрель 2023'!$J$4:$J$692,G$1)</f>
        <v>0</v>
      </c>
      <c r="H120" s="207">
        <f>SUMIFS('апрель 2023'!$G$4:$G$692,'апрель 2023'!$D$4:$D$692,$B120,'апрель 2023'!$J$4:$J$692,H$1)</f>
        <v>0</v>
      </c>
      <c r="I120" s="207">
        <f>SUMIFS('апрель 2023'!$G$4:$G$692,'апрель 2023'!$D$4:$D$692,$B120,'апрель 2023'!$J$4:$J$692,I$1)</f>
        <v>0</v>
      </c>
      <c r="J120" s="207">
        <f>SUMIFS('апрель 2023'!$G$4:$G$692,'апрель 2023'!$D$4:$D$692,$B120,'апрель 2023'!$J$4:$J$692,J$1)</f>
        <v>0</v>
      </c>
      <c r="K120" s="207">
        <f>SUMIFS('апрель 2023'!$G$4:$G$692,'апрель 2023'!$D$4:$D$692,$B120,'апрель 2023'!$J$4:$J$692,K$1)</f>
        <v>0</v>
      </c>
      <c r="L120" s="207">
        <f>SUMIFS('апрель 2023'!$G$4:$G$692,'апрель 2023'!$D$4:$D$692,$B120,'апрель 2023'!$J$4:$J$692,L$1)</f>
        <v>0</v>
      </c>
      <c r="M120" s="207">
        <f>SUMIFS('апрель 2023'!$G$4:$G$692,'апрель 2023'!$D$4:$D$692,$B120,'апрель 2023'!$J$4:$J$692,M$1)</f>
        <v>0</v>
      </c>
      <c r="N120" s="207">
        <f>SUMIFS('апрель 2023'!$G$4:$G$692,'апрель 2023'!$D$4:$D$692,$B120,'апрель 2023'!$J$4:$J$692,N$1)</f>
        <v>0</v>
      </c>
      <c r="O120" s="207">
        <f>SUMIFS('апрель 2023'!$G$4:$G$692,'апрель 2023'!$D$4:$D$692,$B120,'апрель 2023'!$J$4:$J$692,O$1)</f>
        <v>0</v>
      </c>
      <c r="P120" s="207">
        <f>SUMIFS('апрель 2023'!$G$4:$G$692,'апрель 2023'!$D$4:$D$692,$B120,'апрель 2023'!$J$4:$J$692,P$1)</f>
        <v>0</v>
      </c>
      <c r="Q120" s="207">
        <f>SUMIFS('апрель 2023'!$G$4:$G$692,'апрель 2023'!$D$4:$D$692,$B120,'апрель 2023'!$J$4:$J$692,Q$1)</f>
        <v>0</v>
      </c>
      <c r="R120" s="207">
        <f>SUMIFS('апрель 2023'!$G$4:$G$692,'апрель 2023'!$D$4:$D$692,$B120,'апрель 2023'!$J$4:$J$692,R$1)</f>
        <v>0</v>
      </c>
      <c r="S120" s="207">
        <f>SUMIFS('апрель 2023'!$G$4:$G$692,'апрель 2023'!$D$4:$D$692,$B120,'апрель 2023'!$J$4:$J$692,S$1)</f>
        <v>0</v>
      </c>
      <c r="T120" s="207">
        <f>SUMIFS('апрель 2023'!$G$4:$G$692,'апрель 2023'!$D$4:$D$692,$B120,'апрель 2023'!$J$4:$J$692,T$1)</f>
        <v>0</v>
      </c>
      <c r="U120" s="207">
        <f>SUMIFS('апрель 2023'!$G$4:$G$692,'апрель 2023'!$D$4:$D$692,$B120,'апрель 2023'!$J$4:$J$692,U$1)</f>
        <v>0</v>
      </c>
      <c r="V120" s="207">
        <f>SUMIFS('апрель 2023'!$G$4:$G$692,'апрель 2023'!$D$4:$D$692,$B120,'апрель 2023'!$J$4:$J$692,V$1)</f>
        <v>0</v>
      </c>
      <c r="W120" s="207">
        <f>SUMIFS('апрель 2023'!$G$4:$G$692,'апрель 2023'!$D$4:$D$692,$B120,'апрель 2023'!$J$4:$J$692,W$1)</f>
        <v>0</v>
      </c>
      <c r="X120" s="207">
        <f>SUMIFS('апрель 2023'!$G$4:$G$692,'апрель 2023'!$D$4:$D$692,$B120,'апрель 2023'!$J$4:$J$692,X$1)</f>
        <v>0</v>
      </c>
      <c r="Y120" s="207">
        <f>SUMIFS('апрель 2023'!$G$4:$G$692,'апрель 2023'!$D$4:$D$692,$B120,'апрель 2023'!$J$4:$J$692,Y$1)</f>
        <v>0</v>
      </c>
      <c r="Z120" s="207">
        <f>SUMIFS('апрель 2023'!$G$4:$G$692,'апрель 2023'!$D$4:$D$692,$B120,'апрель 2023'!$J$4:$J$692,Z$1)</f>
        <v>0</v>
      </c>
      <c r="AA120" s="207">
        <f>SUMIFS('апрель 2023'!$G$4:$G$692,'апрель 2023'!$D$4:$D$692,$B120,'апрель 2023'!$J$4:$J$692,AA$1)</f>
        <v>0</v>
      </c>
      <c r="AB120" s="207">
        <f>SUMIFS('апрель 2023'!$G$4:$G$692,'апрель 2023'!$D$4:$D$692,$B120,'апрель 2023'!$J$4:$J$692,AB$1)</f>
        <v>0</v>
      </c>
      <c r="AC120" s="207">
        <f>SUMIFS('апрель 2023'!$G$4:$G$692,'апрель 2023'!$D$4:$D$692,$B120,'апрель 2023'!$J$4:$J$692,AC$1)</f>
        <v>0</v>
      </c>
      <c r="AD120" s="207">
        <f>SUMIFS('апрель 2023'!$G$4:$G$692,'апрель 2023'!$D$4:$D$692,$B120,'апрель 2023'!$J$4:$J$692,AD$1)</f>
        <v>0</v>
      </c>
      <c r="AE120" s="207">
        <f>SUMIFS('апрель 2023'!$G$4:$G$692,'апрель 2023'!$D$4:$D$692,$B120,'апрель 2023'!$J$4:$J$692,AE$1)</f>
        <v>0</v>
      </c>
      <c r="AF120" s="207">
        <f>SUMIFS('апрель 2023'!$G$4:$G$692,'апрель 2023'!$D$4:$D$692,$B120,'апрель 2023'!$J$4:$J$692,AF$1)</f>
        <v>0</v>
      </c>
      <c r="AG120" s="207">
        <f>SUMIFS('апрель 2023'!$G$4:$G$692,'апрель 2023'!$D$4:$D$692,$B120,'апрель 2023'!$J$4:$J$692,AG$1)</f>
        <v>0</v>
      </c>
      <c r="AH120" s="207">
        <f>SUMIFS('апрель 2023'!$G$4:$G$692,'апрель 2023'!$D$4:$D$692,$B120,'апрель 2023'!$J$4:$J$692,AH$1)</f>
        <v>0</v>
      </c>
      <c r="AI120" s="170">
        <f t="shared" si="2"/>
        <v>0</v>
      </c>
    </row>
    <row r="121" spans="2:35" ht="15" hidden="1" customHeight="1" x14ac:dyDescent="0.25">
      <c r="B121" s="212"/>
      <c r="C121" s="211"/>
      <c r="D121" s="207">
        <f>SUMIFS('апрель 2023'!$G$4:$G$692,'апрель 2023'!$D$4:$D$692,$B121,'апрель 2023'!$J$4:$J$692,D$1)</f>
        <v>0</v>
      </c>
      <c r="E121" s="207">
        <f>SUMIFS('апрель 2023'!$G$4:$G$692,'апрель 2023'!$D$4:$D$692,$B121,'апрель 2023'!$J$4:$J$692,E$1)</f>
        <v>0</v>
      </c>
      <c r="F121" s="207">
        <f>SUMIFS('апрель 2023'!$G$4:$G$692,'апрель 2023'!$D$4:$D$692,$B121,'апрель 2023'!$J$4:$J$692,F$1)</f>
        <v>0</v>
      </c>
      <c r="G121" s="207">
        <f>SUMIFS('апрель 2023'!$G$4:$G$692,'апрель 2023'!$D$4:$D$692,$B121,'апрель 2023'!$J$4:$J$692,G$1)</f>
        <v>0</v>
      </c>
      <c r="H121" s="207">
        <f>SUMIFS('апрель 2023'!$G$4:$G$692,'апрель 2023'!$D$4:$D$692,$B121,'апрель 2023'!$J$4:$J$692,H$1)</f>
        <v>0</v>
      </c>
      <c r="I121" s="207">
        <f>SUMIFS('апрель 2023'!$G$4:$G$692,'апрель 2023'!$D$4:$D$692,$B121,'апрель 2023'!$J$4:$J$692,I$1)</f>
        <v>0</v>
      </c>
      <c r="J121" s="207">
        <f>SUMIFS('апрель 2023'!$G$4:$G$692,'апрель 2023'!$D$4:$D$692,$B121,'апрель 2023'!$J$4:$J$692,J$1)</f>
        <v>0</v>
      </c>
      <c r="K121" s="207">
        <f>SUMIFS('апрель 2023'!$G$4:$G$692,'апрель 2023'!$D$4:$D$692,$B121,'апрель 2023'!$J$4:$J$692,K$1)</f>
        <v>0</v>
      </c>
      <c r="L121" s="207">
        <f>SUMIFS('апрель 2023'!$G$4:$G$692,'апрель 2023'!$D$4:$D$692,$B121,'апрель 2023'!$J$4:$J$692,L$1)</f>
        <v>0</v>
      </c>
      <c r="M121" s="207">
        <f>SUMIFS('апрель 2023'!$G$4:$G$692,'апрель 2023'!$D$4:$D$692,$B121,'апрель 2023'!$J$4:$J$692,M$1)</f>
        <v>0</v>
      </c>
      <c r="N121" s="207">
        <f>SUMIFS('апрель 2023'!$G$4:$G$692,'апрель 2023'!$D$4:$D$692,$B121,'апрель 2023'!$J$4:$J$692,N$1)</f>
        <v>0</v>
      </c>
      <c r="O121" s="207">
        <f>SUMIFS('апрель 2023'!$G$4:$G$692,'апрель 2023'!$D$4:$D$692,$B121,'апрель 2023'!$J$4:$J$692,O$1)</f>
        <v>0</v>
      </c>
      <c r="P121" s="207">
        <f>SUMIFS('апрель 2023'!$G$4:$G$692,'апрель 2023'!$D$4:$D$692,$B121,'апрель 2023'!$J$4:$J$692,P$1)</f>
        <v>0</v>
      </c>
      <c r="Q121" s="207">
        <f>SUMIFS('апрель 2023'!$G$4:$G$692,'апрель 2023'!$D$4:$D$692,$B121,'апрель 2023'!$J$4:$J$692,Q$1)</f>
        <v>0</v>
      </c>
      <c r="R121" s="207">
        <f>SUMIFS('апрель 2023'!$G$4:$G$692,'апрель 2023'!$D$4:$D$692,$B121,'апрель 2023'!$J$4:$J$692,R$1)</f>
        <v>0</v>
      </c>
      <c r="S121" s="207">
        <f>SUMIFS('апрель 2023'!$G$4:$G$692,'апрель 2023'!$D$4:$D$692,$B121,'апрель 2023'!$J$4:$J$692,S$1)</f>
        <v>0</v>
      </c>
      <c r="T121" s="207">
        <f>SUMIFS('апрель 2023'!$G$4:$G$692,'апрель 2023'!$D$4:$D$692,$B121,'апрель 2023'!$J$4:$J$692,T$1)</f>
        <v>0</v>
      </c>
      <c r="U121" s="207">
        <f>SUMIFS('апрель 2023'!$G$4:$G$692,'апрель 2023'!$D$4:$D$692,$B121,'апрель 2023'!$J$4:$J$692,U$1)</f>
        <v>0</v>
      </c>
      <c r="V121" s="207">
        <f>SUMIFS('апрель 2023'!$G$4:$G$692,'апрель 2023'!$D$4:$D$692,$B121,'апрель 2023'!$J$4:$J$692,V$1)</f>
        <v>0</v>
      </c>
      <c r="W121" s="207">
        <f>SUMIFS('апрель 2023'!$G$4:$G$692,'апрель 2023'!$D$4:$D$692,$B121,'апрель 2023'!$J$4:$J$692,W$1)</f>
        <v>0</v>
      </c>
      <c r="X121" s="207">
        <f>SUMIFS('апрель 2023'!$G$4:$G$692,'апрель 2023'!$D$4:$D$692,$B121,'апрель 2023'!$J$4:$J$692,X$1)</f>
        <v>0</v>
      </c>
      <c r="Y121" s="207">
        <f>SUMIFS('апрель 2023'!$G$4:$G$692,'апрель 2023'!$D$4:$D$692,$B121,'апрель 2023'!$J$4:$J$692,Y$1)</f>
        <v>0</v>
      </c>
      <c r="Z121" s="207">
        <f>SUMIFS('апрель 2023'!$G$4:$G$692,'апрель 2023'!$D$4:$D$692,$B121,'апрель 2023'!$J$4:$J$692,Z$1)</f>
        <v>0</v>
      </c>
      <c r="AA121" s="207">
        <f>SUMIFS('апрель 2023'!$G$4:$G$692,'апрель 2023'!$D$4:$D$692,$B121,'апрель 2023'!$J$4:$J$692,AA$1)</f>
        <v>0</v>
      </c>
      <c r="AB121" s="207">
        <f>SUMIFS('апрель 2023'!$G$4:$G$692,'апрель 2023'!$D$4:$D$692,$B121,'апрель 2023'!$J$4:$J$692,AB$1)</f>
        <v>0</v>
      </c>
      <c r="AC121" s="207">
        <f>SUMIFS('апрель 2023'!$G$4:$G$692,'апрель 2023'!$D$4:$D$692,$B121,'апрель 2023'!$J$4:$J$692,AC$1)</f>
        <v>0</v>
      </c>
      <c r="AD121" s="207">
        <f>SUMIFS('апрель 2023'!$G$4:$G$692,'апрель 2023'!$D$4:$D$692,$B121,'апрель 2023'!$J$4:$J$692,AD$1)</f>
        <v>0</v>
      </c>
      <c r="AE121" s="207">
        <f>SUMIFS('апрель 2023'!$G$4:$G$692,'апрель 2023'!$D$4:$D$692,$B121,'апрель 2023'!$J$4:$J$692,AE$1)</f>
        <v>0</v>
      </c>
      <c r="AF121" s="207">
        <f>SUMIFS('апрель 2023'!$G$4:$G$692,'апрель 2023'!$D$4:$D$692,$B121,'апрель 2023'!$J$4:$J$692,AF$1)</f>
        <v>0</v>
      </c>
      <c r="AG121" s="207">
        <f>SUMIFS('апрель 2023'!$G$4:$G$692,'апрель 2023'!$D$4:$D$692,$B121,'апрель 2023'!$J$4:$J$692,AG$1)</f>
        <v>0</v>
      </c>
      <c r="AH121" s="207">
        <f>SUMIFS('апрель 2023'!$G$4:$G$692,'апрель 2023'!$D$4:$D$692,$B121,'апрель 2023'!$J$4:$J$692,AH$1)</f>
        <v>0</v>
      </c>
      <c r="AI121" s="220">
        <f t="shared" si="2"/>
        <v>0</v>
      </c>
    </row>
    <row r="122" spans="2:35" ht="15" hidden="1" customHeight="1" x14ac:dyDescent="0.25">
      <c r="B122" s="212"/>
      <c r="C122" s="211"/>
      <c r="D122" s="207">
        <f>SUMIFS('апрель 2023'!$G$4:$G$692,'апрель 2023'!$D$4:$D$692,$B122,'апрель 2023'!$J$4:$J$692,D$1)</f>
        <v>0</v>
      </c>
      <c r="E122" s="207">
        <f>SUMIFS('апрель 2023'!$G$4:$G$692,'апрель 2023'!$D$4:$D$692,$B122,'апрель 2023'!$J$4:$J$692,E$1)</f>
        <v>0</v>
      </c>
      <c r="F122" s="207">
        <f>SUMIFS('апрель 2023'!$G$4:$G$692,'апрель 2023'!$D$4:$D$692,$B122,'апрель 2023'!$J$4:$J$692,F$1)</f>
        <v>0</v>
      </c>
      <c r="G122" s="207">
        <f>SUMIFS('апрель 2023'!$G$4:$G$692,'апрель 2023'!$D$4:$D$692,$B122,'апрель 2023'!$J$4:$J$692,G$1)</f>
        <v>0</v>
      </c>
      <c r="H122" s="207">
        <f>SUMIFS('апрель 2023'!$G$4:$G$692,'апрель 2023'!$D$4:$D$692,$B122,'апрель 2023'!$J$4:$J$692,H$1)</f>
        <v>0</v>
      </c>
      <c r="I122" s="207">
        <f>SUMIFS('апрель 2023'!$G$4:$G$692,'апрель 2023'!$D$4:$D$692,$B122,'апрель 2023'!$J$4:$J$692,I$1)</f>
        <v>0</v>
      </c>
      <c r="J122" s="207">
        <f>SUMIFS('апрель 2023'!$G$4:$G$692,'апрель 2023'!$D$4:$D$692,$B122,'апрель 2023'!$J$4:$J$692,J$1)</f>
        <v>0</v>
      </c>
      <c r="K122" s="207">
        <f>SUMIFS('апрель 2023'!$G$4:$G$692,'апрель 2023'!$D$4:$D$692,$B122,'апрель 2023'!$J$4:$J$692,K$1)</f>
        <v>0</v>
      </c>
      <c r="L122" s="207">
        <f>SUMIFS('апрель 2023'!$G$4:$G$692,'апрель 2023'!$D$4:$D$692,$B122,'апрель 2023'!$J$4:$J$692,L$1)</f>
        <v>0</v>
      </c>
      <c r="M122" s="207">
        <f>SUMIFS('апрель 2023'!$G$4:$G$692,'апрель 2023'!$D$4:$D$692,$B122,'апрель 2023'!$J$4:$J$692,M$1)</f>
        <v>0</v>
      </c>
      <c r="N122" s="207">
        <f>SUMIFS('апрель 2023'!$G$4:$G$692,'апрель 2023'!$D$4:$D$692,$B122,'апрель 2023'!$J$4:$J$692,N$1)</f>
        <v>0</v>
      </c>
      <c r="O122" s="207">
        <f>SUMIFS('апрель 2023'!$G$4:$G$692,'апрель 2023'!$D$4:$D$692,$B122,'апрель 2023'!$J$4:$J$692,O$1)</f>
        <v>0</v>
      </c>
      <c r="P122" s="207">
        <f>SUMIFS('апрель 2023'!$G$4:$G$692,'апрель 2023'!$D$4:$D$692,$B122,'апрель 2023'!$J$4:$J$692,P$1)</f>
        <v>0</v>
      </c>
      <c r="Q122" s="207">
        <f>SUMIFS('апрель 2023'!$G$4:$G$692,'апрель 2023'!$D$4:$D$692,$B122,'апрель 2023'!$J$4:$J$692,Q$1)</f>
        <v>0</v>
      </c>
      <c r="R122" s="207">
        <f>SUMIFS('апрель 2023'!$G$4:$G$692,'апрель 2023'!$D$4:$D$692,$B122,'апрель 2023'!$J$4:$J$692,R$1)</f>
        <v>0</v>
      </c>
      <c r="S122" s="207">
        <f>SUMIFS('апрель 2023'!$G$4:$G$692,'апрель 2023'!$D$4:$D$692,$B122,'апрель 2023'!$J$4:$J$692,S$1)</f>
        <v>0</v>
      </c>
      <c r="T122" s="207">
        <f>SUMIFS('апрель 2023'!$G$4:$G$692,'апрель 2023'!$D$4:$D$692,$B122,'апрель 2023'!$J$4:$J$692,T$1)</f>
        <v>0</v>
      </c>
      <c r="U122" s="207">
        <f>SUMIFS('апрель 2023'!$G$4:$G$692,'апрель 2023'!$D$4:$D$692,$B122,'апрель 2023'!$J$4:$J$692,U$1)</f>
        <v>0</v>
      </c>
      <c r="V122" s="207">
        <f>SUMIFS('апрель 2023'!$G$4:$G$692,'апрель 2023'!$D$4:$D$692,$B122,'апрель 2023'!$J$4:$J$692,V$1)</f>
        <v>0</v>
      </c>
      <c r="W122" s="207">
        <f>SUMIFS('апрель 2023'!$G$4:$G$692,'апрель 2023'!$D$4:$D$692,$B122,'апрель 2023'!$J$4:$J$692,W$1)</f>
        <v>0</v>
      </c>
      <c r="X122" s="207">
        <f>SUMIFS('апрель 2023'!$G$4:$G$692,'апрель 2023'!$D$4:$D$692,$B122,'апрель 2023'!$J$4:$J$692,X$1)</f>
        <v>0</v>
      </c>
      <c r="Y122" s="207">
        <f>SUMIFS('апрель 2023'!$G$4:$G$692,'апрель 2023'!$D$4:$D$692,$B122,'апрель 2023'!$J$4:$J$692,Y$1)</f>
        <v>0</v>
      </c>
      <c r="Z122" s="207">
        <f>SUMIFS('апрель 2023'!$G$4:$G$692,'апрель 2023'!$D$4:$D$692,$B122,'апрель 2023'!$J$4:$J$692,Z$1)</f>
        <v>0</v>
      </c>
      <c r="AA122" s="207">
        <f>SUMIFS('апрель 2023'!$G$4:$G$692,'апрель 2023'!$D$4:$D$692,$B122,'апрель 2023'!$J$4:$J$692,AA$1)</f>
        <v>0</v>
      </c>
      <c r="AB122" s="207">
        <f>SUMIFS('апрель 2023'!$G$4:$G$692,'апрель 2023'!$D$4:$D$692,$B122,'апрель 2023'!$J$4:$J$692,AB$1)</f>
        <v>0</v>
      </c>
      <c r="AC122" s="207">
        <f>SUMIFS('апрель 2023'!$G$4:$G$692,'апрель 2023'!$D$4:$D$692,$B122,'апрель 2023'!$J$4:$J$692,AC$1)</f>
        <v>0</v>
      </c>
      <c r="AD122" s="207">
        <f>SUMIFS('апрель 2023'!$G$4:$G$692,'апрель 2023'!$D$4:$D$692,$B122,'апрель 2023'!$J$4:$J$692,AD$1)</f>
        <v>0</v>
      </c>
      <c r="AE122" s="207">
        <f>SUMIFS('апрель 2023'!$G$4:$G$692,'апрель 2023'!$D$4:$D$692,$B122,'апрель 2023'!$J$4:$J$692,AE$1)</f>
        <v>0</v>
      </c>
      <c r="AF122" s="207">
        <f>SUMIFS('апрель 2023'!$G$4:$G$692,'апрель 2023'!$D$4:$D$692,$B122,'апрель 2023'!$J$4:$J$692,AF$1)</f>
        <v>0</v>
      </c>
      <c r="AG122" s="207">
        <f>SUMIFS('апрель 2023'!$G$4:$G$692,'апрель 2023'!$D$4:$D$692,$B122,'апрель 2023'!$J$4:$J$692,AG$1)</f>
        <v>0</v>
      </c>
      <c r="AH122" s="207">
        <f>SUMIFS('апрель 2023'!$G$4:$G$692,'апрель 2023'!$D$4:$D$692,$B122,'апрель 2023'!$J$4:$J$692,AH$1)</f>
        <v>0</v>
      </c>
      <c r="AI122" s="220">
        <f t="shared" si="2"/>
        <v>0</v>
      </c>
    </row>
    <row r="123" spans="2:35" ht="15" hidden="1" customHeight="1" x14ac:dyDescent="0.25">
      <c r="B123" s="212"/>
      <c r="C123" s="211"/>
      <c r="D123" s="207">
        <f>SUMIFS('апрель 2023'!$G$4:$G$692,'апрель 2023'!$D$4:$D$692,$B123,'апрель 2023'!$J$4:$J$692,D$1)</f>
        <v>0</v>
      </c>
      <c r="E123" s="207">
        <f>SUMIFS('апрель 2023'!$G$4:$G$692,'апрель 2023'!$D$4:$D$692,$B123,'апрель 2023'!$J$4:$J$692,E$1)</f>
        <v>0</v>
      </c>
      <c r="F123" s="207">
        <f>SUMIFS('апрель 2023'!$G$4:$G$692,'апрель 2023'!$D$4:$D$692,$B123,'апрель 2023'!$J$4:$J$692,F$1)</f>
        <v>0</v>
      </c>
      <c r="G123" s="207">
        <f>SUMIFS('апрель 2023'!$G$4:$G$692,'апрель 2023'!$D$4:$D$692,$B123,'апрель 2023'!$J$4:$J$692,G$1)</f>
        <v>0</v>
      </c>
      <c r="H123" s="207">
        <f>SUMIFS('апрель 2023'!$G$4:$G$692,'апрель 2023'!$D$4:$D$692,$B123,'апрель 2023'!$J$4:$J$692,H$1)</f>
        <v>0</v>
      </c>
      <c r="I123" s="207">
        <f>SUMIFS('апрель 2023'!$G$4:$G$692,'апрель 2023'!$D$4:$D$692,$B123,'апрель 2023'!$J$4:$J$692,I$1)</f>
        <v>0</v>
      </c>
      <c r="J123" s="207">
        <f>SUMIFS('апрель 2023'!$G$4:$G$692,'апрель 2023'!$D$4:$D$692,$B123,'апрель 2023'!$J$4:$J$692,J$1)</f>
        <v>0</v>
      </c>
      <c r="K123" s="207">
        <f>SUMIFS('апрель 2023'!$G$4:$G$692,'апрель 2023'!$D$4:$D$692,$B123,'апрель 2023'!$J$4:$J$692,K$1)</f>
        <v>0</v>
      </c>
      <c r="L123" s="207">
        <f>SUMIFS('апрель 2023'!$G$4:$G$692,'апрель 2023'!$D$4:$D$692,$B123,'апрель 2023'!$J$4:$J$692,L$1)</f>
        <v>0</v>
      </c>
      <c r="M123" s="207">
        <f>SUMIFS('апрель 2023'!$G$4:$G$692,'апрель 2023'!$D$4:$D$692,$B123,'апрель 2023'!$J$4:$J$692,M$1)</f>
        <v>0</v>
      </c>
      <c r="N123" s="207">
        <f>SUMIFS('апрель 2023'!$G$4:$G$692,'апрель 2023'!$D$4:$D$692,$B123,'апрель 2023'!$J$4:$J$692,N$1)</f>
        <v>0</v>
      </c>
      <c r="O123" s="207">
        <f>SUMIFS('апрель 2023'!$G$4:$G$692,'апрель 2023'!$D$4:$D$692,$B123,'апрель 2023'!$J$4:$J$692,O$1)</f>
        <v>0</v>
      </c>
      <c r="P123" s="207">
        <f>SUMIFS('апрель 2023'!$G$4:$G$692,'апрель 2023'!$D$4:$D$692,$B123,'апрель 2023'!$J$4:$J$692,P$1)</f>
        <v>0</v>
      </c>
      <c r="Q123" s="207">
        <f>SUMIFS('апрель 2023'!$G$4:$G$692,'апрель 2023'!$D$4:$D$692,$B123,'апрель 2023'!$J$4:$J$692,Q$1)</f>
        <v>0</v>
      </c>
      <c r="R123" s="207">
        <f>SUMIFS('апрель 2023'!$G$4:$G$692,'апрель 2023'!$D$4:$D$692,$B123,'апрель 2023'!$J$4:$J$692,R$1)</f>
        <v>0</v>
      </c>
      <c r="S123" s="207">
        <f>SUMIFS('апрель 2023'!$G$4:$G$692,'апрель 2023'!$D$4:$D$692,$B123,'апрель 2023'!$J$4:$J$692,S$1)</f>
        <v>0</v>
      </c>
      <c r="T123" s="207">
        <f>SUMIFS('апрель 2023'!$G$4:$G$692,'апрель 2023'!$D$4:$D$692,$B123,'апрель 2023'!$J$4:$J$692,T$1)</f>
        <v>0</v>
      </c>
      <c r="U123" s="207">
        <f>SUMIFS('апрель 2023'!$G$4:$G$692,'апрель 2023'!$D$4:$D$692,$B123,'апрель 2023'!$J$4:$J$692,U$1)</f>
        <v>0</v>
      </c>
      <c r="V123" s="207">
        <f>SUMIFS('апрель 2023'!$G$4:$G$692,'апрель 2023'!$D$4:$D$692,$B123,'апрель 2023'!$J$4:$J$692,V$1)</f>
        <v>0</v>
      </c>
      <c r="W123" s="207">
        <f>SUMIFS('апрель 2023'!$G$4:$G$692,'апрель 2023'!$D$4:$D$692,$B123,'апрель 2023'!$J$4:$J$692,W$1)</f>
        <v>0</v>
      </c>
      <c r="X123" s="207">
        <f>SUMIFS('апрель 2023'!$G$4:$G$692,'апрель 2023'!$D$4:$D$692,$B123,'апрель 2023'!$J$4:$J$692,X$1)</f>
        <v>0</v>
      </c>
      <c r="Y123" s="207">
        <f>SUMIFS('апрель 2023'!$G$4:$G$692,'апрель 2023'!$D$4:$D$692,$B123,'апрель 2023'!$J$4:$J$692,Y$1)</f>
        <v>0</v>
      </c>
      <c r="Z123" s="207">
        <f>SUMIFS('апрель 2023'!$G$4:$G$692,'апрель 2023'!$D$4:$D$692,$B123,'апрель 2023'!$J$4:$J$692,Z$1)</f>
        <v>0</v>
      </c>
      <c r="AA123" s="207">
        <f>SUMIFS('апрель 2023'!$G$4:$G$692,'апрель 2023'!$D$4:$D$692,$B123,'апрель 2023'!$J$4:$J$692,AA$1)</f>
        <v>0</v>
      </c>
      <c r="AB123" s="207">
        <f>SUMIFS('апрель 2023'!$G$4:$G$692,'апрель 2023'!$D$4:$D$692,$B123,'апрель 2023'!$J$4:$J$692,AB$1)</f>
        <v>0</v>
      </c>
      <c r="AC123" s="207">
        <f>SUMIFS('апрель 2023'!$G$4:$G$692,'апрель 2023'!$D$4:$D$692,$B123,'апрель 2023'!$J$4:$J$692,AC$1)</f>
        <v>0</v>
      </c>
      <c r="AD123" s="207">
        <f>SUMIFS('апрель 2023'!$G$4:$G$692,'апрель 2023'!$D$4:$D$692,$B123,'апрель 2023'!$J$4:$J$692,AD$1)</f>
        <v>0</v>
      </c>
      <c r="AE123" s="207">
        <f>SUMIFS('апрель 2023'!$G$4:$G$692,'апрель 2023'!$D$4:$D$692,$B123,'апрель 2023'!$J$4:$J$692,AE$1)</f>
        <v>0</v>
      </c>
      <c r="AF123" s="207">
        <f>SUMIFS('апрель 2023'!$G$4:$G$692,'апрель 2023'!$D$4:$D$692,$B123,'апрель 2023'!$J$4:$J$692,AF$1)</f>
        <v>0</v>
      </c>
      <c r="AG123" s="207">
        <f>SUMIFS('апрель 2023'!$G$4:$G$692,'апрель 2023'!$D$4:$D$692,$B123,'апрель 2023'!$J$4:$J$692,AG$1)</f>
        <v>0</v>
      </c>
      <c r="AH123" s="207">
        <f>SUMIFS('апрель 2023'!$G$4:$G$692,'апрель 2023'!$D$4:$D$692,$B123,'апрель 2023'!$J$4:$J$692,AH$1)</f>
        <v>0</v>
      </c>
      <c r="AI123" s="220">
        <f t="shared" si="2"/>
        <v>0</v>
      </c>
    </row>
    <row r="124" spans="2:35" ht="15" hidden="1" customHeight="1" x14ac:dyDescent="0.25">
      <c r="B124" s="212"/>
      <c r="C124" s="211"/>
      <c r="D124" s="207">
        <f>SUMIFS('апрель 2023'!$G$4:$G$692,'апрель 2023'!$D$4:$D$692,$B124,'апрель 2023'!$J$4:$J$692,D$1)</f>
        <v>0</v>
      </c>
      <c r="E124" s="207">
        <f>SUMIFS('апрель 2023'!$G$4:$G$692,'апрель 2023'!$D$4:$D$692,$B124,'апрель 2023'!$J$4:$J$692,E$1)</f>
        <v>0</v>
      </c>
      <c r="F124" s="207">
        <f>SUMIFS('апрель 2023'!$G$4:$G$692,'апрель 2023'!$D$4:$D$692,$B124,'апрель 2023'!$J$4:$J$692,F$1)</f>
        <v>0</v>
      </c>
      <c r="G124" s="207">
        <f>SUMIFS('апрель 2023'!$G$4:$G$692,'апрель 2023'!$D$4:$D$692,$B124,'апрель 2023'!$J$4:$J$692,G$1)</f>
        <v>0</v>
      </c>
      <c r="H124" s="207">
        <f>SUMIFS('апрель 2023'!$G$4:$G$692,'апрель 2023'!$D$4:$D$692,$B124,'апрель 2023'!$J$4:$J$692,H$1)</f>
        <v>0</v>
      </c>
      <c r="I124" s="207">
        <f>SUMIFS('апрель 2023'!$G$4:$G$692,'апрель 2023'!$D$4:$D$692,$B124,'апрель 2023'!$J$4:$J$692,I$1)</f>
        <v>0</v>
      </c>
      <c r="J124" s="207">
        <f>SUMIFS('апрель 2023'!$G$4:$G$692,'апрель 2023'!$D$4:$D$692,$B124,'апрель 2023'!$J$4:$J$692,J$1)</f>
        <v>0</v>
      </c>
      <c r="K124" s="207">
        <f>SUMIFS('апрель 2023'!$G$4:$G$692,'апрель 2023'!$D$4:$D$692,$B124,'апрель 2023'!$J$4:$J$692,K$1)</f>
        <v>0</v>
      </c>
      <c r="L124" s="207">
        <f>SUMIFS('апрель 2023'!$G$4:$G$692,'апрель 2023'!$D$4:$D$692,$B124,'апрель 2023'!$J$4:$J$692,L$1)</f>
        <v>0</v>
      </c>
      <c r="M124" s="207">
        <f>SUMIFS('апрель 2023'!$G$4:$G$692,'апрель 2023'!$D$4:$D$692,$B124,'апрель 2023'!$J$4:$J$692,M$1)</f>
        <v>0</v>
      </c>
      <c r="N124" s="207">
        <f>SUMIFS('апрель 2023'!$G$4:$G$692,'апрель 2023'!$D$4:$D$692,$B124,'апрель 2023'!$J$4:$J$692,N$1)</f>
        <v>0</v>
      </c>
      <c r="O124" s="207">
        <f>SUMIFS('апрель 2023'!$G$4:$G$692,'апрель 2023'!$D$4:$D$692,$B124,'апрель 2023'!$J$4:$J$692,O$1)</f>
        <v>0</v>
      </c>
      <c r="P124" s="207">
        <f>SUMIFS('апрель 2023'!$G$4:$G$692,'апрель 2023'!$D$4:$D$692,$B124,'апрель 2023'!$J$4:$J$692,P$1)</f>
        <v>0</v>
      </c>
      <c r="Q124" s="207">
        <f>SUMIFS('апрель 2023'!$G$4:$G$692,'апрель 2023'!$D$4:$D$692,$B124,'апрель 2023'!$J$4:$J$692,Q$1)</f>
        <v>0</v>
      </c>
      <c r="R124" s="207">
        <f>SUMIFS('апрель 2023'!$G$4:$G$692,'апрель 2023'!$D$4:$D$692,$B124,'апрель 2023'!$J$4:$J$692,R$1)</f>
        <v>0</v>
      </c>
      <c r="S124" s="207">
        <f>SUMIFS('апрель 2023'!$G$4:$G$692,'апрель 2023'!$D$4:$D$692,$B124,'апрель 2023'!$J$4:$J$692,S$1)</f>
        <v>0</v>
      </c>
      <c r="T124" s="207">
        <f>SUMIFS('апрель 2023'!$G$4:$G$692,'апрель 2023'!$D$4:$D$692,$B124,'апрель 2023'!$J$4:$J$692,T$1)</f>
        <v>0</v>
      </c>
      <c r="U124" s="207">
        <f>SUMIFS('апрель 2023'!$G$4:$G$692,'апрель 2023'!$D$4:$D$692,$B124,'апрель 2023'!$J$4:$J$692,U$1)</f>
        <v>0</v>
      </c>
      <c r="V124" s="207">
        <f>SUMIFS('апрель 2023'!$G$4:$G$692,'апрель 2023'!$D$4:$D$692,$B124,'апрель 2023'!$J$4:$J$692,V$1)</f>
        <v>0</v>
      </c>
      <c r="W124" s="207">
        <f>SUMIFS('апрель 2023'!$G$4:$G$692,'апрель 2023'!$D$4:$D$692,$B124,'апрель 2023'!$J$4:$J$692,W$1)</f>
        <v>0</v>
      </c>
      <c r="X124" s="207">
        <f>SUMIFS('апрель 2023'!$G$4:$G$692,'апрель 2023'!$D$4:$D$692,$B124,'апрель 2023'!$J$4:$J$692,X$1)</f>
        <v>0</v>
      </c>
      <c r="Y124" s="207">
        <f>SUMIFS('апрель 2023'!$G$4:$G$692,'апрель 2023'!$D$4:$D$692,$B124,'апрель 2023'!$J$4:$J$692,Y$1)</f>
        <v>0</v>
      </c>
      <c r="Z124" s="207">
        <f>SUMIFS('апрель 2023'!$G$4:$G$692,'апрель 2023'!$D$4:$D$692,$B124,'апрель 2023'!$J$4:$J$692,Z$1)</f>
        <v>0</v>
      </c>
      <c r="AA124" s="207">
        <f>SUMIFS('апрель 2023'!$G$4:$G$692,'апрель 2023'!$D$4:$D$692,$B124,'апрель 2023'!$J$4:$J$692,AA$1)</f>
        <v>0</v>
      </c>
      <c r="AB124" s="207">
        <f>SUMIFS('апрель 2023'!$G$4:$G$692,'апрель 2023'!$D$4:$D$692,$B124,'апрель 2023'!$J$4:$J$692,AB$1)</f>
        <v>0</v>
      </c>
      <c r="AC124" s="207">
        <f>SUMIFS('апрель 2023'!$G$4:$G$692,'апрель 2023'!$D$4:$D$692,$B124,'апрель 2023'!$J$4:$J$692,AC$1)</f>
        <v>0</v>
      </c>
      <c r="AD124" s="207">
        <f>SUMIFS('апрель 2023'!$G$4:$G$692,'апрель 2023'!$D$4:$D$692,$B124,'апрель 2023'!$J$4:$J$692,AD$1)</f>
        <v>0</v>
      </c>
      <c r="AE124" s="207">
        <f>SUMIFS('апрель 2023'!$G$4:$G$692,'апрель 2023'!$D$4:$D$692,$B124,'апрель 2023'!$J$4:$J$692,AE$1)</f>
        <v>0</v>
      </c>
      <c r="AF124" s="207">
        <f>SUMIFS('апрель 2023'!$G$4:$G$692,'апрель 2023'!$D$4:$D$692,$B124,'апрель 2023'!$J$4:$J$692,AF$1)</f>
        <v>0</v>
      </c>
      <c r="AG124" s="207">
        <f>SUMIFS('апрель 2023'!$G$4:$G$692,'апрель 2023'!$D$4:$D$692,$B124,'апрель 2023'!$J$4:$J$692,AG$1)</f>
        <v>0</v>
      </c>
      <c r="AH124" s="207">
        <f>SUMIFS('апрель 2023'!$G$4:$G$692,'апрель 2023'!$D$4:$D$692,$B124,'апрель 2023'!$J$4:$J$692,AH$1)</f>
        <v>0</v>
      </c>
      <c r="AI124" s="220"/>
    </row>
    <row r="125" spans="2:35" ht="15" hidden="1" customHeight="1" x14ac:dyDescent="0.25">
      <c r="B125" s="212"/>
      <c r="C125" s="211"/>
      <c r="D125" s="207">
        <f>SUMIFS('апрель 2023'!$G$4:$G$692,'апрель 2023'!$D$4:$D$692,$B125,'апрель 2023'!$J$4:$J$692,D$1)</f>
        <v>0</v>
      </c>
      <c r="E125" s="207">
        <f>SUMIFS('апрель 2023'!$G$4:$G$692,'апрель 2023'!$D$4:$D$692,$B125,'апрель 2023'!$J$4:$J$692,E$1)</f>
        <v>0</v>
      </c>
      <c r="F125" s="207">
        <f>SUMIFS('апрель 2023'!$G$4:$G$692,'апрель 2023'!$D$4:$D$692,$B125,'апрель 2023'!$J$4:$J$692,F$1)</f>
        <v>0</v>
      </c>
      <c r="G125" s="207">
        <f>SUMIFS('апрель 2023'!$G$4:$G$692,'апрель 2023'!$D$4:$D$692,$B125,'апрель 2023'!$J$4:$J$692,G$1)</f>
        <v>0</v>
      </c>
      <c r="H125" s="207">
        <f>SUMIFS('апрель 2023'!$G$4:$G$692,'апрель 2023'!$D$4:$D$692,$B125,'апрель 2023'!$J$4:$J$692,H$1)</f>
        <v>0</v>
      </c>
      <c r="I125" s="207">
        <f>SUMIFS('апрель 2023'!$G$4:$G$692,'апрель 2023'!$D$4:$D$692,$B125,'апрель 2023'!$J$4:$J$692,I$1)</f>
        <v>0</v>
      </c>
      <c r="J125" s="207">
        <f>SUMIFS('апрель 2023'!$G$4:$G$692,'апрель 2023'!$D$4:$D$692,$B125,'апрель 2023'!$J$4:$J$692,J$1)</f>
        <v>0</v>
      </c>
      <c r="K125" s="207">
        <f>SUMIFS('апрель 2023'!$G$4:$G$692,'апрель 2023'!$D$4:$D$692,$B125,'апрель 2023'!$J$4:$J$692,K$1)</f>
        <v>0</v>
      </c>
      <c r="L125" s="207">
        <f>SUMIFS('апрель 2023'!$G$4:$G$692,'апрель 2023'!$D$4:$D$692,$B125,'апрель 2023'!$J$4:$J$692,L$1)</f>
        <v>0</v>
      </c>
      <c r="M125" s="207">
        <f>SUMIFS('апрель 2023'!$G$4:$G$692,'апрель 2023'!$D$4:$D$692,$B125,'апрель 2023'!$J$4:$J$692,M$1)</f>
        <v>0</v>
      </c>
      <c r="N125" s="207">
        <f>SUMIFS('апрель 2023'!$G$4:$G$692,'апрель 2023'!$D$4:$D$692,$B125,'апрель 2023'!$J$4:$J$692,N$1)</f>
        <v>0</v>
      </c>
      <c r="O125" s="207">
        <f>SUMIFS('апрель 2023'!$G$4:$G$692,'апрель 2023'!$D$4:$D$692,$B125,'апрель 2023'!$J$4:$J$692,O$1)</f>
        <v>0</v>
      </c>
      <c r="P125" s="207">
        <f>SUMIFS('апрель 2023'!$G$4:$G$692,'апрель 2023'!$D$4:$D$692,$B125,'апрель 2023'!$J$4:$J$692,P$1)</f>
        <v>0</v>
      </c>
      <c r="Q125" s="207">
        <f>SUMIFS('апрель 2023'!$G$4:$G$692,'апрель 2023'!$D$4:$D$692,$B125,'апрель 2023'!$J$4:$J$692,Q$1)</f>
        <v>0</v>
      </c>
      <c r="R125" s="207">
        <f>SUMIFS('апрель 2023'!$G$4:$G$692,'апрель 2023'!$D$4:$D$692,$B125,'апрель 2023'!$J$4:$J$692,R$1)</f>
        <v>0</v>
      </c>
      <c r="S125" s="207">
        <f>SUMIFS('апрель 2023'!$G$4:$G$692,'апрель 2023'!$D$4:$D$692,$B125,'апрель 2023'!$J$4:$J$692,S$1)</f>
        <v>0</v>
      </c>
      <c r="T125" s="207">
        <f>SUMIFS('апрель 2023'!$G$4:$G$692,'апрель 2023'!$D$4:$D$692,$B125,'апрель 2023'!$J$4:$J$692,T$1)</f>
        <v>0</v>
      </c>
      <c r="U125" s="207">
        <f>SUMIFS('апрель 2023'!$G$4:$G$692,'апрель 2023'!$D$4:$D$692,$B125,'апрель 2023'!$J$4:$J$692,U$1)</f>
        <v>0</v>
      </c>
      <c r="V125" s="207">
        <f>SUMIFS('апрель 2023'!$G$4:$G$692,'апрель 2023'!$D$4:$D$692,$B125,'апрель 2023'!$J$4:$J$692,V$1)</f>
        <v>0</v>
      </c>
      <c r="W125" s="207">
        <f>SUMIFS('апрель 2023'!$G$4:$G$692,'апрель 2023'!$D$4:$D$692,$B125,'апрель 2023'!$J$4:$J$692,W$1)</f>
        <v>0</v>
      </c>
      <c r="X125" s="207">
        <f>SUMIFS('апрель 2023'!$G$4:$G$692,'апрель 2023'!$D$4:$D$692,$B125,'апрель 2023'!$J$4:$J$692,X$1)</f>
        <v>0</v>
      </c>
      <c r="Y125" s="207">
        <f>SUMIFS('апрель 2023'!$G$4:$G$692,'апрель 2023'!$D$4:$D$692,$B125,'апрель 2023'!$J$4:$J$692,Y$1)</f>
        <v>0</v>
      </c>
      <c r="Z125" s="207">
        <f>SUMIFS('апрель 2023'!$G$4:$G$692,'апрель 2023'!$D$4:$D$692,$B125,'апрель 2023'!$J$4:$J$692,Z$1)</f>
        <v>0</v>
      </c>
      <c r="AA125" s="207">
        <f>SUMIFS('апрель 2023'!$G$4:$G$692,'апрель 2023'!$D$4:$D$692,$B125,'апрель 2023'!$J$4:$J$692,AA$1)</f>
        <v>0</v>
      </c>
      <c r="AB125" s="207">
        <f>SUMIFS('апрель 2023'!$G$4:$G$692,'апрель 2023'!$D$4:$D$692,$B125,'апрель 2023'!$J$4:$J$692,AB$1)</f>
        <v>0</v>
      </c>
      <c r="AC125" s="207">
        <f>SUMIFS('апрель 2023'!$G$4:$G$692,'апрель 2023'!$D$4:$D$692,$B125,'апрель 2023'!$J$4:$J$692,AC$1)</f>
        <v>0</v>
      </c>
      <c r="AD125" s="207">
        <f>SUMIFS('апрель 2023'!$G$4:$G$692,'апрель 2023'!$D$4:$D$692,$B125,'апрель 2023'!$J$4:$J$692,AD$1)</f>
        <v>0</v>
      </c>
      <c r="AE125" s="207">
        <f>SUMIFS('апрель 2023'!$G$4:$G$692,'апрель 2023'!$D$4:$D$692,$B125,'апрель 2023'!$J$4:$J$692,AE$1)</f>
        <v>0</v>
      </c>
      <c r="AF125" s="207">
        <f>SUMIFS('апрель 2023'!$G$4:$G$692,'апрель 2023'!$D$4:$D$692,$B125,'апрель 2023'!$J$4:$J$692,AF$1)</f>
        <v>0</v>
      </c>
      <c r="AG125" s="207">
        <f>SUMIFS('апрель 2023'!$G$4:$G$692,'апрель 2023'!$D$4:$D$692,$B125,'апрель 2023'!$J$4:$J$692,AG$1)</f>
        <v>0</v>
      </c>
      <c r="AH125" s="207">
        <f>SUMIFS('апрель 2023'!$G$4:$G$692,'апрель 2023'!$D$4:$D$692,$B125,'апрель 2023'!$J$4:$J$692,AH$1)</f>
        <v>0</v>
      </c>
      <c r="AI125" s="220">
        <f t="shared" si="2"/>
        <v>0</v>
      </c>
    </row>
    <row r="126" spans="2:35" ht="15" hidden="1" customHeight="1" x14ac:dyDescent="0.25">
      <c r="B126" s="212"/>
      <c r="C126" s="211"/>
      <c r="D126" s="207">
        <f>SUMIFS('апрель 2023'!$G$4:$G$692,'апрель 2023'!$D$4:$D$692,$B126,'апрель 2023'!$J$4:$J$692,D$1)</f>
        <v>0</v>
      </c>
      <c r="E126" s="207">
        <f>SUMIFS('апрель 2023'!$G$4:$G$692,'апрель 2023'!$D$4:$D$692,$B126,'апрель 2023'!$J$4:$J$692,E$1)</f>
        <v>0</v>
      </c>
      <c r="F126" s="207">
        <f>SUMIFS('апрель 2023'!$G$4:$G$692,'апрель 2023'!$D$4:$D$692,$B126,'апрель 2023'!$J$4:$J$692,F$1)</f>
        <v>0</v>
      </c>
      <c r="G126" s="207">
        <f>SUMIFS('апрель 2023'!$G$4:$G$692,'апрель 2023'!$D$4:$D$692,$B126,'апрель 2023'!$J$4:$J$692,G$1)</f>
        <v>0</v>
      </c>
      <c r="H126" s="207">
        <f>SUMIFS('апрель 2023'!$G$4:$G$692,'апрель 2023'!$D$4:$D$692,$B126,'апрель 2023'!$J$4:$J$692,H$1)</f>
        <v>0</v>
      </c>
      <c r="I126" s="207">
        <f>SUMIFS('апрель 2023'!$G$4:$G$692,'апрель 2023'!$D$4:$D$692,$B126,'апрель 2023'!$J$4:$J$692,I$1)</f>
        <v>0</v>
      </c>
      <c r="J126" s="207">
        <f>SUMIFS('апрель 2023'!$G$4:$G$692,'апрель 2023'!$D$4:$D$692,$B126,'апрель 2023'!$J$4:$J$692,J$1)</f>
        <v>0</v>
      </c>
      <c r="K126" s="207">
        <f>SUMIFS('апрель 2023'!$G$4:$G$692,'апрель 2023'!$D$4:$D$692,$B126,'апрель 2023'!$J$4:$J$692,K$1)</f>
        <v>0</v>
      </c>
      <c r="L126" s="207">
        <f>SUMIFS('апрель 2023'!$G$4:$G$692,'апрель 2023'!$D$4:$D$692,$B126,'апрель 2023'!$J$4:$J$692,L$1)</f>
        <v>0</v>
      </c>
      <c r="M126" s="207">
        <f>SUMIFS('апрель 2023'!$G$4:$G$692,'апрель 2023'!$D$4:$D$692,$B126,'апрель 2023'!$J$4:$J$692,M$1)</f>
        <v>0</v>
      </c>
      <c r="N126" s="207">
        <f>SUMIFS('апрель 2023'!$G$4:$G$692,'апрель 2023'!$D$4:$D$692,$B126,'апрель 2023'!$J$4:$J$692,N$1)</f>
        <v>0</v>
      </c>
      <c r="O126" s="207">
        <f>SUMIFS('апрель 2023'!$G$4:$G$692,'апрель 2023'!$D$4:$D$692,$B126,'апрель 2023'!$J$4:$J$692,O$1)</f>
        <v>0</v>
      </c>
      <c r="P126" s="207">
        <f>SUMIFS('апрель 2023'!$G$4:$G$692,'апрель 2023'!$D$4:$D$692,$B126,'апрель 2023'!$J$4:$J$692,P$1)</f>
        <v>0</v>
      </c>
      <c r="Q126" s="207">
        <f>SUMIFS('апрель 2023'!$G$4:$G$692,'апрель 2023'!$D$4:$D$692,$B126,'апрель 2023'!$J$4:$J$692,Q$1)</f>
        <v>0</v>
      </c>
      <c r="R126" s="207">
        <f>SUMIFS('апрель 2023'!$G$4:$G$692,'апрель 2023'!$D$4:$D$692,$B126,'апрель 2023'!$J$4:$J$692,R$1)</f>
        <v>0</v>
      </c>
      <c r="S126" s="207">
        <f>SUMIFS('апрель 2023'!$G$4:$G$692,'апрель 2023'!$D$4:$D$692,$B126,'апрель 2023'!$J$4:$J$692,S$1)</f>
        <v>0</v>
      </c>
      <c r="T126" s="207">
        <f>SUMIFS('апрель 2023'!$G$4:$G$692,'апрель 2023'!$D$4:$D$692,$B126,'апрель 2023'!$J$4:$J$692,T$1)</f>
        <v>0</v>
      </c>
      <c r="U126" s="207">
        <f>SUMIFS('апрель 2023'!$G$4:$G$692,'апрель 2023'!$D$4:$D$692,$B126,'апрель 2023'!$J$4:$J$692,U$1)</f>
        <v>0</v>
      </c>
      <c r="V126" s="207">
        <f>SUMIFS('апрель 2023'!$G$4:$G$692,'апрель 2023'!$D$4:$D$692,$B126,'апрель 2023'!$J$4:$J$692,V$1)</f>
        <v>0</v>
      </c>
      <c r="W126" s="207">
        <f>SUMIFS('апрель 2023'!$G$4:$G$692,'апрель 2023'!$D$4:$D$692,$B126,'апрель 2023'!$J$4:$J$692,W$1)</f>
        <v>0</v>
      </c>
      <c r="X126" s="207">
        <f>SUMIFS('апрель 2023'!$G$4:$G$692,'апрель 2023'!$D$4:$D$692,$B126,'апрель 2023'!$J$4:$J$692,X$1)</f>
        <v>0</v>
      </c>
      <c r="Y126" s="207">
        <f>SUMIFS('апрель 2023'!$G$4:$G$692,'апрель 2023'!$D$4:$D$692,$B126,'апрель 2023'!$J$4:$J$692,Y$1)</f>
        <v>0</v>
      </c>
      <c r="Z126" s="207">
        <f>SUMIFS('апрель 2023'!$G$4:$G$692,'апрель 2023'!$D$4:$D$692,$B126,'апрель 2023'!$J$4:$J$692,Z$1)</f>
        <v>0</v>
      </c>
      <c r="AA126" s="207">
        <f>SUMIFS('апрель 2023'!$G$4:$G$692,'апрель 2023'!$D$4:$D$692,$B126,'апрель 2023'!$J$4:$J$692,AA$1)</f>
        <v>0</v>
      </c>
      <c r="AB126" s="207">
        <f>SUMIFS('апрель 2023'!$G$4:$G$692,'апрель 2023'!$D$4:$D$692,$B126,'апрель 2023'!$J$4:$J$692,AB$1)</f>
        <v>0</v>
      </c>
      <c r="AC126" s="207">
        <f>SUMIFS('апрель 2023'!$G$4:$G$692,'апрель 2023'!$D$4:$D$692,$B126,'апрель 2023'!$J$4:$J$692,AC$1)</f>
        <v>0</v>
      </c>
      <c r="AD126" s="207">
        <f>SUMIFS('апрель 2023'!$G$4:$G$692,'апрель 2023'!$D$4:$D$692,$B126,'апрель 2023'!$J$4:$J$692,AD$1)</f>
        <v>0</v>
      </c>
      <c r="AE126" s="207">
        <f>SUMIFS('апрель 2023'!$G$4:$G$692,'апрель 2023'!$D$4:$D$692,$B126,'апрель 2023'!$J$4:$J$692,AE$1)</f>
        <v>0</v>
      </c>
      <c r="AF126" s="207">
        <f>SUMIFS('апрель 2023'!$G$4:$G$692,'апрель 2023'!$D$4:$D$692,$B126,'апрель 2023'!$J$4:$J$692,AF$1)</f>
        <v>0</v>
      </c>
      <c r="AG126" s="207">
        <f>SUMIFS('апрель 2023'!$G$4:$G$692,'апрель 2023'!$D$4:$D$692,$B126,'апрель 2023'!$J$4:$J$692,AG$1)</f>
        <v>0</v>
      </c>
      <c r="AH126" s="207">
        <f>SUMIFS('апрель 2023'!$G$4:$G$692,'апрель 2023'!$D$4:$D$692,$B126,'апрель 2023'!$J$4:$J$692,AH$1)</f>
        <v>0</v>
      </c>
      <c r="AI126" s="220">
        <f t="shared" si="2"/>
        <v>0</v>
      </c>
    </row>
    <row r="127" spans="2:35" ht="15" hidden="1" customHeight="1" x14ac:dyDescent="0.25">
      <c r="B127" s="216"/>
      <c r="C127" s="211"/>
      <c r="D127" s="207">
        <f>SUMIFS('апрель 2023'!$G$4:$G$692,'апрель 2023'!$D$4:$D$692,$B127,'апрель 2023'!$J$4:$J$692,D$1)</f>
        <v>0</v>
      </c>
      <c r="E127" s="207">
        <f>SUMIFS('апрель 2023'!$G$4:$G$692,'апрель 2023'!$D$4:$D$692,$B127,'апрель 2023'!$J$4:$J$692,E$1)</f>
        <v>0</v>
      </c>
      <c r="F127" s="207">
        <f>SUMIFS('апрель 2023'!$G$4:$G$692,'апрель 2023'!$D$4:$D$692,$B127,'апрель 2023'!$J$4:$J$692,F$1)</f>
        <v>0</v>
      </c>
      <c r="G127" s="207">
        <f>SUMIFS('апрель 2023'!$G$4:$G$692,'апрель 2023'!$D$4:$D$692,$B127,'апрель 2023'!$J$4:$J$692,G$1)</f>
        <v>0</v>
      </c>
      <c r="H127" s="207">
        <f>SUMIFS('апрель 2023'!$G$4:$G$692,'апрель 2023'!$D$4:$D$692,$B127,'апрель 2023'!$J$4:$J$692,H$1)</f>
        <v>0</v>
      </c>
      <c r="I127" s="207">
        <f>SUMIFS('апрель 2023'!$G$4:$G$692,'апрель 2023'!$D$4:$D$692,$B127,'апрель 2023'!$J$4:$J$692,I$1)</f>
        <v>0</v>
      </c>
      <c r="J127" s="207">
        <f>SUMIFS('апрель 2023'!$G$4:$G$692,'апрель 2023'!$D$4:$D$692,$B127,'апрель 2023'!$J$4:$J$692,J$1)</f>
        <v>0</v>
      </c>
      <c r="K127" s="207">
        <f>SUMIFS('апрель 2023'!$G$4:$G$692,'апрель 2023'!$D$4:$D$692,$B127,'апрель 2023'!$J$4:$J$692,K$1)</f>
        <v>0</v>
      </c>
      <c r="L127" s="207">
        <f>SUMIFS('апрель 2023'!$G$4:$G$692,'апрель 2023'!$D$4:$D$692,$B127,'апрель 2023'!$J$4:$J$692,L$1)</f>
        <v>0</v>
      </c>
      <c r="M127" s="207">
        <f>SUMIFS('апрель 2023'!$G$4:$G$692,'апрель 2023'!$D$4:$D$692,$B127,'апрель 2023'!$J$4:$J$692,M$1)</f>
        <v>0</v>
      </c>
      <c r="N127" s="207">
        <f>SUMIFS('апрель 2023'!$G$4:$G$692,'апрель 2023'!$D$4:$D$692,$B127,'апрель 2023'!$J$4:$J$692,N$1)</f>
        <v>0</v>
      </c>
      <c r="O127" s="207">
        <f>SUMIFS('апрель 2023'!$G$4:$G$692,'апрель 2023'!$D$4:$D$692,$B127,'апрель 2023'!$J$4:$J$692,O$1)</f>
        <v>0</v>
      </c>
      <c r="P127" s="207">
        <f>SUMIFS('апрель 2023'!$G$4:$G$692,'апрель 2023'!$D$4:$D$692,$B127,'апрель 2023'!$J$4:$J$692,P$1)</f>
        <v>0</v>
      </c>
      <c r="Q127" s="207">
        <f>SUMIFS('апрель 2023'!$G$4:$G$692,'апрель 2023'!$D$4:$D$692,$B127,'апрель 2023'!$J$4:$J$692,Q$1)</f>
        <v>0</v>
      </c>
      <c r="R127" s="207">
        <f>SUMIFS('апрель 2023'!$G$4:$G$692,'апрель 2023'!$D$4:$D$692,$B127,'апрель 2023'!$J$4:$J$692,R$1)</f>
        <v>0</v>
      </c>
      <c r="S127" s="207">
        <f>SUMIFS('апрель 2023'!$G$4:$G$692,'апрель 2023'!$D$4:$D$692,$B127,'апрель 2023'!$J$4:$J$692,S$1)</f>
        <v>0</v>
      </c>
      <c r="T127" s="207">
        <f>SUMIFS('апрель 2023'!$G$4:$G$692,'апрель 2023'!$D$4:$D$692,$B127,'апрель 2023'!$J$4:$J$692,T$1)</f>
        <v>0</v>
      </c>
      <c r="U127" s="207">
        <f>SUMIFS('апрель 2023'!$G$4:$G$692,'апрель 2023'!$D$4:$D$692,$B127,'апрель 2023'!$J$4:$J$692,U$1)</f>
        <v>0</v>
      </c>
      <c r="V127" s="207">
        <f>SUMIFS('апрель 2023'!$G$4:$G$692,'апрель 2023'!$D$4:$D$692,$B127,'апрель 2023'!$J$4:$J$692,V$1)</f>
        <v>0</v>
      </c>
      <c r="W127" s="207">
        <f>SUMIFS('апрель 2023'!$G$4:$G$692,'апрель 2023'!$D$4:$D$692,$B127,'апрель 2023'!$J$4:$J$692,W$1)</f>
        <v>0</v>
      </c>
      <c r="X127" s="207">
        <f>SUMIFS('апрель 2023'!$G$4:$G$692,'апрель 2023'!$D$4:$D$692,$B127,'апрель 2023'!$J$4:$J$692,X$1)</f>
        <v>0</v>
      </c>
      <c r="Y127" s="207">
        <f>SUMIFS('апрель 2023'!$G$4:$G$692,'апрель 2023'!$D$4:$D$692,$B127,'апрель 2023'!$J$4:$J$692,Y$1)</f>
        <v>0</v>
      </c>
      <c r="Z127" s="207">
        <f>SUMIFS('апрель 2023'!$G$4:$G$692,'апрель 2023'!$D$4:$D$692,$B127,'апрель 2023'!$J$4:$J$692,Z$1)</f>
        <v>0</v>
      </c>
      <c r="AA127" s="207">
        <f>SUMIFS('апрель 2023'!$G$4:$G$692,'апрель 2023'!$D$4:$D$692,$B127,'апрель 2023'!$J$4:$J$692,AA$1)</f>
        <v>0</v>
      </c>
      <c r="AB127" s="207">
        <f>SUMIFS('апрель 2023'!$G$4:$G$692,'апрель 2023'!$D$4:$D$692,$B127,'апрель 2023'!$J$4:$J$692,AB$1)</f>
        <v>0</v>
      </c>
      <c r="AC127" s="207">
        <f>SUMIFS('апрель 2023'!$G$4:$G$692,'апрель 2023'!$D$4:$D$692,$B127,'апрель 2023'!$J$4:$J$692,AC$1)</f>
        <v>0</v>
      </c>
      <c r="AD127" s="207">
        <f>SUMIFS('апрель 2023'!$G$4:$G$692,'апрель 2023'!$D$4:$D$692,$B127,'апрель 2023'!$J$4:$J$692,AD$1)</f>
        <v>0</v>
      </c>
      <c r="AE127" s="207">
        <f>SUMIFS('апрель 2023'!$G$4:$G$692,'апрель 2023'!$D$4:$D$692,$B127,'апрель 2023'!$J$4:$J$692,AE$1)</f>
        <v>0</v>
      </c>
      <c r="AF127" s="207">
        <f>SUMIFS('апрель 2023'!$G$4:$G$692,'апрель 2023'!$D$4:$D$692,$B127,'апрель 2023'!$J$4:$J$692,AF$1)</f>
        <v>0</v>
      </c>
      <c r="AG127" s="207">
        <f>SUMIFS('апрель 2023'!$G$4:$G$692,'апрель 2023'!$D$4:$D$692,$B127,'апрель 2023'!$J$4:$J$692,AG$1)</f>
        <v>0</v>
      </c>
      <c r="AH127" s="207">
        <f>SUMIFS('апрель 2023'!$G$4:$G$692,'апрель 2023'!$D$4:$D$692,$B127,'апрель 2023'!$J$4:$J$692,AH$1)</f>
        <v>0</v>
      </c>
      <c r="AI127" s="220">
        <f t="shared" si="2"/>
        <v>0</v>
      </c>
    </row>
    <row r="128" spans="2:35" ht="15" hidden="1" customHeight="1" x14ac:dyDescent="0.25">
      <c r="B128" s="216"/>
      <c r="C128" s="213"/>
      <c r="D128" s="207">
        <f>SUMIFS('апрель 2023'!$G$4:$G$692,'апрель 2023'!$D$4:$D$692,$B128,'апрель 2023'!$J$4:$J$692,D$1)</f>
        <v>0</v>
      </c>
      <c r="E128" s="207">
        <f>SUMIFS('апрель 2023'!$G$4:$G$692,'апрель 2023'!$D$4:$D$692,$B128,'апрель 2023'!$J$4:$J$692,E$1)</f>
        <v>0</v>
      </c>
      <c r="F128" s="207">
        <f>SUMIFS('апрель 2023'!$G$4:$G$692,'апрель 2023'!$D$4:$D$692,$B128,'апрель 2023'!$J$4:$J$692,F$1)</f>
        <v>0</v>
      </c>
      <c r="G128" s="207">
        <f>SUMIFS('апрель 2023'!$G$4:$G$692,'апрель 2023'!$D$4:$D$692,$B128,'апрель 2023'!$J$4:$J$692,G$1)</f>
        <v>0</v>
      </c>
      <c r="H128" s="207">
        <f>SUMIFS('апрель 2023'!$G$4:$G$692,'апрель 2023'!$D$4:$D$692,$B128,'апрель 2023'!$J$4:$J$692,H$1)</f>
        <v>0</v>
      </c>
      <c r="I128" s="207">
        <f>SUMIFS('апрель 2023'!$G$4:$G$692,'апрель 2023'!$D$4:$D$692,$B128,'апрель 2023'!$J$4:$J$692,I$1)</f>
        <v>0</v>
      </c>
      <c r="J128" s="207">
        <f>SUMIFS('апрель 2023'!$G$4:$G$692,'апрель 2023'!$D$4:$D$692,$B128,'апрель 2023'!$J$4:$J$692,J$1)</f>
        <v>0</v>
      </c>
      <c r="K128" s="207">
        <f>SUMIFS('апрель 2023'!$G$4:$G$692,'апрель 2023'!$D$4:$D$692,$B128,'апрель 2023'!$J$4:$J$692,K$1)</f>
        <v>0</v>
      </c>
      <c r="L128" s="207">
        <f>SUMIFS('апрель 2023'!$G$4:$G$692,'апрель 2023'!$D$4:$D$692,$B128,'апрель 2023'!$J$4:$J$692,L$1)</f>
        <v>0</v>
      </c>
      <c r="M128" s="207">
        <f>SUMIFS('апрель 2023'!$G$4:$G$692,'апрель 2023'!$D$4:$D$692,$B128,'апрель 2023'!$J$4:$J$692,M$1)</f>
        <v>0</v>
      </c>
      <c r="N128" s="207">
        <f>SUMIFS('апрель 2023'!$G$4:$G$692,'апрель 2023'!$D$4:$D$692,$B128,'апрель 2023'!$J$4:$J$692,N$1)</f>
        <v>0</v>
      </c>
      <c r="O128" s="207">
        <f>SUMIFS('апрель 2023'!$G$4:$G$692,'апрель 2023'!$D$4:$D$692,$B128,'апрель 2023'!$J$4:$J$692,O$1)</f>
        <v>0</v>
      </c>
      <c r="P128" s="207">
        <f>SUMIFS('апрель 2023'!$G$4:$G$692,'апрель 2023'!$D$4:$D$692,$B128,'апрель 2023'!$J$4:$J$692,P$1)</f>
        <v>0</v>
      </c>
      <c r="Q128" s="207">
        <f>SUMIFS('апрель 2023'!$G$4:$G$692,'апрель 2023'!$D$4:$D$692,$B128,'апрель 2023'!$J$4:$J$692,Q$1)</f>
        <v>0</v>
      </c>
      <c r="R128" s="207">
        <f>SUMIFS('апрель 2023'!$G$4:$G$692,'апрель 2023'!$D$4:$D$692,$B128,'апрель 2023'!$J$4:$J$692,R$1)</f>
        <v>0</v>
      </c>
      <c r="S128" s="207">
        <f>SUMIFS('апрель 2023'!$G$4:$G$692,'апрель 2023'!$D$4:$D$692,$B128,'апрель 2023'!$J$4:$J$692,S$1)</f>
        <v>0</v>
      </c>
      <c r="T128" s="207">
        <f>SUMIFS('апрель 2023'!$G$4:$G$692,'апрель 2023'!$D$4:$D$692,$B128,'апрель 2023'!$J$4:$J$692,T$1)</f>
        <v>0</v>
      </c>
      <c r="U128" s="207">
        <f>SUMIFS('апрель 2023'!$G$4:$G$692,'апрель 2023'!$D$4:$D$692,$B128,'апрель 2023'!$J$4:$J$692,U$1)</f>
        <v>0</v>
      </c>
      <c r="V128" s="207">
        <f>SUMIFS('апрель 2023'!$G$4:$G$692,'апрель 2023'!$D$4:$D$692,$B128,'апрель 2023'!$J$4:$J$692,V$1)</f>
        <v>0</v>
      </c>
      <c r="W128" s="207">
        <f>SUMIFS('апрель 2023'!$G$4:$G$692,'апрель 2023'!$D$4:$D$692,$B128,'апрель 2023'!$J$4:$J$692,W$1)</f>
        <v>0</v>
      </c>
      <c r="X128" s="207">
        <f>SUMIFS('апрель 2023'!$G$4:$G$692,'апрель 2023'!$D$4:$D$692,$B128,'апрель 2023'!$J$4:$J$692,X$1)</f>
        <v>0</v>
      </c>
      <c r="Y128" s="207">
        <f>SUMIFS('апрель 2023'!$G$4:$G$692,'апрель 2023'!$D$4:$D$692,$B128,'апрель 2023'!$J$4:$J$692,Y$1)</f>
        <v>0</v>
      </c>
      <c r="Z128" s="207">
        <f>SUMIFS('апрель 2023'!$G$4:$G$692,'апрель 2023'!$D$4:$D$692,$B128,'апрель 2023'!$J$4:$J$692,Z$1)</f>
        <v>0</v>
      </c>
      <c r="AA128" s="207">
        <f>SUMIFS('апрель 2023'!$G$4:$G$692,'апрель 2023'!$D$4:$D$692,$B128,'апрель 2023'!$J$4:$J$692,AA$1)</f>
        <v>0</v>
      </c>
      <c r="AB128" s="207">
        <f>SUMIFS('апрель 2023'!$G$4:$G$692,'апрель 2023'!$D$4:$D$692,$B128,'апрель 2023'!$J$4:$J$692,AB$1)</f>
        <v>0</v>
      </c>
      <c r="AC128" s="207">
        <f>SUMIFS('апрель 2023'!$G$4:$G$692,'апрель 2023'!$D$4:$D$692,$B128,'апрель 2023'!$J$4:$J$692,AC$1)</f>
        <v>0</v>
      </c>
      <c r="AD128" s="207">
        <f>SUMIFS('апрель 2023'!$G$4:$G$692,'апрель 2023'!$D$4:$D$692,$B128,'апрель 2023'!$J$4:$J$692,AD$1)</f>
        <v>0</v>
      </c>
      <c r="AE128" s="207">
        <f>SUMIFS('апрель 2023'!$G$4:$G$692,'апрель 2023'!$D$4:$D$692,$B128,'апрель 2023'!$J$4:$J$692,AE$1)</f>
        <v>0</v>
      </c>
      <c r="AF128" s="207">
        <f>SUMIFS('апрель 2023'!$G$4:$G$692,'апрель 2023'!$D$4:$D$692,$B128,'апрель 2023'!$J$4:$J$692,AF$1)</f>
        <v>0</v>
      </c>
      <c r="AG128" s="207">
        <f>SUMIFS('апрель 2023'!$G$4:$G$692,'апрель 2023'!$D$4:$D$692,$B128,'апрель 2023'!$J$4:$J$692,AG$1)</f>
        <v>0</v>
      </c>
      <c r="AH128" s="207">
        <f>SUMIFS('апрель 2023'!$G$4:$G$692,'апрель 2023'!$D$4:$D$692,$B128,'апрель 2023'!$J$4:$J$692,AH$1)</f>
        <v>0</v>
      </c>
      <c r="AI128" s="220">
        <f t="shared" si="2"/>
        <v>0</v>
      </c>
    </row>
    <row r="129" spans="2:35" ht="15" hidden="1" customHeight="1" x14ac:dyDescent="0.25">
      <c r="B129" s="212"/>
      <c r="C129" s="211"/>
      <c r="D129" s="207">
        <f>SUMIFS('апрель 2023'!$G$4:$G$692,'апрель 2023'!$D$4:$D$692,$B129,'апрель 2023'!$J$4:$J$692,D$1)</f>
        <v>0</v>
      </c>
      <c r="E129" s="207">
        <f>SUMIFS('апрель 2023'!$G$4:$G$692,'апрель 2023'!$D$4:$D$692,$B129,'апрель 2023'!$J$4:$J$692,E$1)</f>
        <v>0</v>
      </c>
      <c r="F129" s="207">
        <f>SUMIFS('апрель 2023'!$G$4:$G$692,'апрель 2023'!$D$4:$D$692,$B129,'апрель 2023'!$J$4:$J$692,F$1)</f>
        <v>0</v>
      </c>
      <c r="G129" s="207">
        <f>SUMIFS('апрель 2023'!$G$4:$G$692,'апрель 2023'!$D$4:$D$692,$B129,'апрель 2023'!$J$4:$J$692,G$1)</f>
        <v>0</v>
      </c>
      <c r="H129" s="207">
        <f>SUMIFS('апрель 2023'!$G$4:$G$692,'апрель 2023'!$D$4:$D$692,$B129,'апрель 2023'!$J$4:$J$692,H$1)</f>
        <v>0</v>
      </c>
      <c r="I129" s="207">
        <f>SUMIFS('апрель 2023'!$G$4:$G$692,'апрель 2023'!$D$4:$D$692,$B129,'апрель 2023'!$J$4:$J$692,I$1)</f>
        <v>0</v>
      </c>
      <c r="J129" s="207">
        <f>SUMIFS('апрель 2023'!$G$4:$G$692,'апрель 2023'!$D$4:$D$692,$B129,'апрель 2023'!$J$4:$J$692,J$1)</f>
        <v>0</v>
      </c>
      <c r="K129" s="207">
        <f>SUMIFS('апрель 2023'!$G$4:$G$692,'апрель 2023'!$D$4:$D$692,$B129,'апрель 2023'!$J$4:$J$692,K$1)</f>
        <v>0</v>
      </c>
      <c r="L129" s="207">
        <f>SUMIFS('апрель 2023'!$G$4:$G$692,'апрель 2023'!$D$4:$D$692,$B129,'апрель 2023'!$J$4:$J$692,L$1)</f>
        <v>0</v>
      </c>
      <c r="M129" s="207">
        <f>SUMIFS('апрель 2023'!$G$4:$G$692,'апрель 2023'!$D$4:$D$692,$B129,'апрель 2023'!$J$4:$J$692,M$1)</f>
        <v>0</v>
      </c>
      <c r="N129" s="207">
        <f>SUMIFS('апрель 2023'!$G$4:$G$692,'апрель 2023'!$D$4:$D$692,$B129,'апрель 2023'!$J$4:$J$692,N$1)</f>
        <v>0</v>
      </c>
      <c r="O129" s="207">
        <f>SUMIFS('апрель 2023'!$G$4:$G$692,'апрель 2023'!$D$4:$D$692,$B129,'апрель 2023'!$J$4:$J$692,O$1)</f>
        <v>0</v>
      </c>
      <c r="P129" s="207">
        <f>SUMIFS('апрель 2023'!$G$4:$G$692,'апрель 2023'!$D$4:$D$692,$B129,'апрель 2023'!$J$4:$J$692,P$1)</f>
        <v>0</v>
      </c>
      <c r="Q129" s="207">
        <f>SUMIFS('апрель 2023'!$G$4:$G$692,'апрель 2023'!$D$4:$D$692,$B129,'апрель 2023'!$J$4:$J$692,Q$1)</f>
        <v>0</v>
      </c>
      <c r="R129" s="207">
        <f>SUMIFS('апрель 2023'!$G$4:$G$692,'апрель 2023'!$D$4:$D$692,$B129,'апрель 2023'!$J$4:$J$692,R$1)</f>
        <v>0</v>
      </c>
      <c r="S129" s="207">
        <f>SUMIFS('апрель 2023'!$G$4:$G$692,'апрель 2023'!$D$4:$D$692,$B129,'апрель 2023'!$J$4:$J$692,S$1)</f>
        <v>0</v>
      </c>
      <c r="T129" s="207">
        <f>SUMIFS('апрель 2023'!$G$4:$G$692,'апрель 2023'!$D$4:$D$692,$B129,'апрель 2023'!$J$4:$J$692,T$1)</f>
        <v>0</v>
      </c>
      <c r="U129" s="207">
        <f>SUMIFS('апрель 2023'!$G$4:$G$692,'апрель 2023'!$D$4:$D$692,$B129,'апрель 2023'!$J$4:$J$692,U$1)</f>
        <v>0</v>
      </c>
      <c r="V129" s="207">
        <f>SUMIFS('апрель 2023'!$G$4:$G$692,'апрель 2023'!$D$4:$D$692,$B129,'апрель 2023'!$J$4:$J$692,V$1)</f>
        <v>0</v>
      </c>
      <c r="W129" s="207">
        <f>SUMIFS('апрель 2023'!$G$4:$G$692,'апрель 2023'!$D$4:$D$692,$B129,'апрель 2023'!$J$4:$J$692,W$1)</f>
        <v>0</v>
      </c>
      <c r="X129" s="207">
        <f>SUMIFS('апрель 2023'!$G$4:$G$692,'апрель 2023'!$D$4:$D$692,$B129,'апрель 2023'!$J$4:$J$692,X$1)</f>
        <v>0</v>
      </c>
      <c r="Y129" s="207">
        <f>SUMIFS('апрель 2023'!$G$4:$G$692,'апрель 2023'!$D$4:$D$692,$B129,'апрель 2023'!$J$4:$J$692,Y$1)</f>
        <v>0</v>
      </c>
      <c r="Z129" s="207">
        <f>SUMIFS('апрель 2023'!$G$4:$G$692,'апрель 2023'!$D$4:$D$692,$B129,'апрель 2023'!$J$4:$J$692,Z$1)</f>
        <v>0</v>
      </c>
      <c r="AA129" s="207">
        <f>SUMIFS('апрель 2023'!$G$4:$G$692,'апрель 2023'!$D$4:$D$692,$B129,'апрель 2023'!$J$4:$J$692,AA$1)</f>
        <v>0</v>
      </c>
      <c r="AB129" s="207">
        <f>SUMIFS('апрель 2023'!$G$4:$G$692,'апрель 2023'!$D$4:$D$692,$B129,'апрель 2023'!$J$4:$J$692,AB$1)</f>
        <v>0</v>
      </c>
      <c r="AC129" s="207">
        <f>SUMIFS('апрель 2023'!$G$4:$G$692,'апрель 2023'!$D$4:$D$692,$B129,'апрель 2023'!$J$4:$J$692,AC$1)</f>
        <v>0</v>
      </c>
      <c r="AD129" s="207">
        <f>SUMIFS('апрель 2023'!$G$4:$G$692,'апрель 2023'!$D$4:$D$692,$B129,'апрель 2023'!$J$4:$J$692,AD$1)</f>
        <v>0</v>
      </c>
      <c r="AE129" s="207">
        <f>SUMIFS('апрель 2023'!$G$4:$G$692,'апрель 2023'!$D$4:$D$692,$B129,'апрель 2023'!$J$4:$J$692,AE$1)</f>
        <v>0</v>
      </c>
      <c r="AF129" s="207">
        <f>SUMIFS('апрель 2023'!$G$4:$G$692,'апрель 2023'!$D$4:$D$692,$B129,'апрель 2023'!$J$4:$J$692,AF$1)</f>
        <v>0</v>
      </c>
      <c r="AG129" s="207">
        <f>SUMIFS('апрель 2023'!$G$4:$G$692,'апрель 2023'!$D$4:$D$692,$B129,'апрель 2023'!$J$4:$J$692,AG$1)</f>
        <v>0</v>
      </c>
      <c r="AH129" s="207">
        <f>SUMIFS('апрель 2023'!$G$4:$G$692,'апрель 2023'!$D$4:$D$692,$B129,'апрель 2023'!$J$4:$J$692,AH$1)</f>
        <v>0</v>
      </c>
      <c r="AI129" s="220"/>
    </row>
    <row r="130" spans="2:35" ht="15" hidden="1" customHeight="1" x14ac:dyDescent="0.25">
      <c r="B130" s="217"/>
      <c r="C130" s="213"/>
      <c r="D130" s="207">
        <f>SUMIFS('апрель 2023'!$G$4:$G$692,'апрель 2023'!$D$4:$D$692,$B130,'апрель 2023'!$J$4:$J$692,D$1)</f>
        <v>0</v>
      </c>
      <c r="E130" s="207">
        <f>SUMIFS('апрель 2023'!$G$4:$G$692,'апрель 2023'!$D$4:$D$692,$B130,'апрель 2023'!$J$4:$J$692,E$1)</f>
        <v>0</v>
      </c>
      <c r="F130" s="207">
        <f>SUMIFS('апрель 2023'!$G$4:$G$692,'апрель 2023'!$D$4:$D$692,$B130,'апрель 2023'!$J$4:$J$692,F$1)</f>
        <v>0</v>
      </c>
      <c r="G130" s="207">
        <f>SUMIFS('апрель 2023'!$G$4:$G$692,'апрель 2023'!$D$4:$D$692,$B130,'апрель 2023'!$J$4:$J$692,G$1)</f>
        <v>0</v>
      </c>
      <c r="H130" s="207">
        <f>SUMIFS('апрель 2023'!$G$4:$G$692,'апрель 2023'!$D$4:$D$692,$B130,'апрель 2023'!$J$4:$J$692,H$1)</f>
        <v>0</v>
      </c>
      <c r="I130" s="207">
        <f>SUMIFS('апрель 2023'!$G$4:$G$692,'апрель 2023'!$D$4:$D$692,$B130,'апрель 2023'!$J$4:$J$692,I$1)</f>
        <v>0</v>
      </c>
      <c r="J130" s="207">
        <f>SUMIFS('апрель 2023'!$G$4:$G$692,'апрель 2023'!$D$4:$D$692,$B130,'апрель 2023'!$J$4:$J$692,J$1)</f>
        <v>0</v>
      </c>
      <c r="K130" s="207">
        <f>SUMIFS('апрель 2023'!$G$4:$G$692,'апрель 2023'!$D$4:$D$692,$B130,'апрель 2023'!$J$4:$J$692,K$1)</f>
        <v>0</v>
      </c>
      <c r="L130" s="207">
        <f>SUMIFS('апрель 2023'!$G$4:$G$692,'апрель 2023'!$D$4:$D$692,$B130,'апрель 2023'!$J$4:$J$692,L$1)</f>
        <v>0</v>
      </c>
      <c r="M130" s="207">
        <f>SUMIFS('апрель 2023'!$G$4:$G$692,'апрель 2023'!$D$4:$D$692,$B130,'апрель 2023'!$J$4:$J$692,M$1)</f>
        <v>0</v>
      </c>
      <c r="N130" s="207">
        <f>SUMIFS('апрель 2023'!$G$4:$G$692,'апрель 2023'!$D$4:$D$692,$B130,'апрель 2023'!$J$4:$J$692,N$1)</f>
        <v>0</v>
      </c>
      <c r="O130" s="207">
        <f>SUMIFS('апрель 2023'!$G$4:$G$692,'апрель 2023'!$D$4:$D$692,$B130,'апрель 2023'!$J$4:$J$692,O$1)</f>
        <v>0</v>
      </c>
      <c r="P130" s="207">
        <f>SUMIFS('апрель 2023'!$G$4:$G$692,'апрель 2023'!$D$4:$D$692,$B130,'апрель 2023'!$J$4:$J$692,P$1)</f>
        <v>0</v>
      </c>
      <c r="Q130" s="207">
        <f>SUMIFS('апрель 2023'!$G$4:$G$692,'апрель 2023'!$D$4:$D$692,$B130,'апрель 2023'!$J$4:$J$692,Q$1)</f>
        <v>0</v>
      </c>
      <c r="R130" s="207">
        <f>SUMIFS('апрель 2023'!$G$4:$G$692,'апрель 2023'!$D$4:$D$692,$B130,'апрель 2023'!$J$4:$J$692,R$1)</f>
        <v>0</v>
      </c>
      <c r="S130" s="207">
        <f>SUMIFS('апрель 2023'!$G$4:$G$692,'апрель 2023'!$D$4:$D$692,$B130,'апрель 2023'!$J$4:$J$692,S$1)</f>
        <v>0</v>
      </c>
      <c r="T130" s="207">
        <f>SUMIFS('апрель 2023'!$G$4:$G$692,'апрель 2023'!$D$4:$D$692,$B130,'апрель 2023'!$J$4:$J$692,T$1)</f>
        <v>0</v>
      </c>
      <c r="U130" s="207">
        <f>SUMIFS('апрель 2023'!$G$4:$G$692,'апрель 2023'!$D$4:$D$692,$B130,'апрель 2023'!$J$4:$J$692,U$1)</f>
        <v>0</v>
      </c>
      <c r="V130" s="207">
        <f>SUMIFS('апрель 2023'!$G$4:$G$692,'апрель 2023'!$D$4:$D$692,$B130,'апрель 2023'!$J$4:$J$692,V$1)</f>
        <v>0</v>
      </c>
      <c r="W130" s="207">
        <f>SUMIFS('апрель 2023'!$G$4:$G$692,'апрель 2023'!$D$4:$D$692,$B130,'апрель 2023'!$J$4:$J$692,W$1)</f>
        <v>0</v>
      </c>
      <c r="X130" s="207">
        <f>SUMIFS('апрель 2023'!$G$4:$G$692,'апрель 2023'!$D$4:$D$692,$B130,'апрель 2023'!$J$4:$J$692,X$1)</f>
        <v>0</v>
      </c>
      <c r="Y130" s="207">
        <f>SUMIFS('апрель 2023'!$G$4:$G$692,'апрель 2023'!$D$4:$D$692,$B130,'апрель 2023'!$J$4:$J$692,Y$1)</f>
        <v>0</v>
      </c>
      <c r="Z130" s="207">
        <f>SUMIFS('апрель 2023'!$G$4:$G$692,'апрель 2023'!$D$4:$D$692,$B130,'апрель 2023'!$J$4:$J$692,Z$1)</f>
        <v>0</v>
      </c>
      <c r="AA130" s="207">
        <f>SUMIFS('апрель 2023'!$G$4:$G$692,'апрель 2023'!$D$4:$D$692,$B130,'апрель 2023'!$J$4:$J$692,AA$1)</f>
        <v>0</v>
      </c>
      <c r="AB130" s="207">
        <f>SUMIFS('апрель 2023'!$G$4:$G$692,'апрель 2023'!$D$4:$D$692,$B130,'апрель 2023'!$J$4:$J$692,AB$1)</f>
        <v>0</v>
      </c>
      <c r="AC130" s="207">
        <f>SUMIFS('апрель 2023'!$G$4:$G$692,'апрель 2023'!$D$4:$D$692,$B130,'апрель 2023'!$J$4:$J$692,AC$1)</f>
        <v>0</v>
      </c>
      <c r="AD130" s="207">
        <f>SUMIFS('апрель 2023'!$G$4:$G$692,'апрель 2023'!$D$4:$D$692,$B130,'апрель 2023'!$J$4:$J$692,AD$1)</f>
        <v>0</v>
      </c>
      <c r="AE130" s="207">
        <f>SUMIFS('апрель 2023'!$G$4:$G$692,'апрель 2023'!$D$4:$D$692,$B130,'апрель 2023'!$J$4:$J$692,AE$1)</f>
        <v>0</v>
      </c>
      <c r="AF130" s="207">
        <f>SUMIFS('апрель 2023'!$G$4:$G$692,'апрель 2023'!$D$4:$D$692,$B130,'апрель 2023'!$J$4:$J$692,AF$1)</f>
        <v>0</v>
      </c>
      <c r="AG130" s="207">
        <f>SUMIFS('апрель 2023'!$G$4:$G$692,'апрель 2023'!$D$4:$D$692,$B130,'апрель 2023'!$J$4:$J$692,AG$1)</f>
        <v>0</v>
      </c>
      <c r="AH130" s="207">
        <f>SUMIFS('апрель 2023'!$G$4:$G$692,'апрель 2023'!$D$4:$D$692,$B130,'апрель 2023'!$J$4:$J$692,AH$1)</f>
        <v>0</v>
      </c>
      <c r="AI130" s="220"/>
    </row>
    <row r="131" spans="2:35" ht="15" hidden="1" customHeight="1" x14ac:dyDescent="0.25">
      <c r="B131" s="212"/>
      <c r="C131" s="213"/>
      <c r="D131" s="207">
        <f>SUMIFS('апрель 2023'!$G$4:$G$692,'апрель 2023'!$D$4:$D$692,$B131,'апрель 2023'!$J$4:$J$692,D$1)</f>
        <v>0</v>
      </c>
      <c r="E131" s="207">
        <f>SUMIFS('апрель 2023'!$G$4:$G$692,'апрель 2023'!$D$4:$D$692,$B131,'апрель 2023'!$J$4:$J$692,E$1)</f>
        <v>0</v>
      </c>
      <c r="F131" s="207">
        <f>SUMIFS('апрель 2023'!$G$4:$G$692,'апрель 2023'!$D$4:$D$692,$B131,'апрель 2023'!$J$4:$J$692,F$1)</f>
        <v>0</v>
      </c>
      <c r="G131" s="207">
        <f>SUMIFS('апрель 2023'!$G$4:$G$692,'апрель 2023'!$D$4:$D$692,$B131,'апрель 2023'!$J$4:$J$692,G$1)</f>
        <v>0</v>
      </c>
      <c r="H131" s="207">
        <f>SUMIFS('апрель 2023'!$G$4:$G$692,'апрель 2023'!$D$4:$D$692,$B131,'апрель 2023'!$J$4:$J$692,H$1)</f>
        <v>0</v>
      </c>
      <c r="I131" s="207">
        <f>SUMIFS('апрель 2023'!$G$4:$G$692,'апрель 2023'!$D$4:$D$692,$B131,'апрель 2023'!$J$4:$J$692,I$1)</f>
        <v>0</v>
      </c>
      <c r="J131" s="207">
        <f>SUMIFS('апрель 2023'!$G$4:$G$692,'апрель 2023'!$D$4:$D$692,$B131,'апрель 2023'!$J$4:$J$692,J$1)</f>
        <v>0</v>
      </c>
      <c r="K131" s="207">
        <f>SUMIFS('апрель 2023'!$G$4:$G$692,'апрель 2023'!$D$4:$D$692,$B131,'апрель 2023'!$J$4:$J$692,K$1)</f>
        <v>0</v>
      </c>
      <c r="L131" s="207">
        <f>SUMIFS('апрель 2023'!$G$4:$G$692,'апрель 2023'!$D$4:$D$692,$B131,'апрель 2023'!$J$4:$J$692,L$1)</f>
        <v>0</v>
      </c>
      <c r="M131" s="207">
        <f>SUMIFS('апрель 2023'!$G$4:$G$692,'апрель 2023'!$D$4:$D$692,$B131,'апрель 2023'!$J$4:$J$692,M$1)</f>
        <v>0</v>
      </c>
      <c r="N131" s="207">
        <f>SUMIFS('апрель 2023'!$G$4:$G$692,'апрель 2023'!$D$4:$D$692,$B131,'апрель 2023'!$J$4:$J$692,N$1)</f>
        <v>0</v>
      </c>
      <c r="O131" s="207">
        <f>SUMIFS('апрель 2023'!$G$4:$G$692,'апрель 2023'!$D$4:$D$692,$B131,'апрель 2023'!$J$4:$J$692,O$1)</f>
        <v>0</v>
      </c>
      <c r="P131" s="207">
        <f>SUMIFS('апрель 2023'!$G$4:$G$692,'апрель 2023'!$D$4:$D$692,$B131,'апрель 2023'!$J$4:$J$692,P$1)</f>
        <v>0</v>
      </c>
      <c r="Q131" s="207">
        <f>SUMIFS('апрель 2023'!$G$4:$G$692,'апрель 2023'!$D$4:$D$692,$B131,'апрель 2023'!$J$4:$J$692,Q$1)</f>
        <v>0</v>
      </c>
      <c r="R131" s="207">
        <f>SUMIFS('апрель 2023'!$G$4:$G$692,'апрель 2023'!$D$4:$D$692,$B131,'апрель 2023'!$J$4:$J$692,R$1)</f>
        <v>0</v>
      </c>
      <c r="S131" s="207">
        <f>SUMIFS('апрель 2023'!$G$4:$G$692,'апрель 2023'!$D$4:$D$692,$B131,'апрель 2023'!$J$4:$J$692,S$1)</f>
        <v>0</v>
      </c>
      <c r="T131" s="207">
        <f>SUMIFS('апрель 2023'!$G$4:$G$692,'апрель 2023'!$D$4:$D$692,$B131,'апрель 2023'!$J$4:$J$692,T$1)</f>
        <v>0</v>
      </c>
      <c r="U131" s="207">
        <f>SUMIFS('апрель 2023'!$G$4:$G$692,'апрель 2023'!$D$4:$D$692,$B131,'апрель 2023'!$J$4:$J$692,U$1)</f>
        <v>0</v>
      </c>
      <c r="V131" s="207">
        <f>SUMIFS('апрель 2023'!$G$4:$G$692,'апрель 2023'!$D$4:$D$692,$B131,'апрель 2023'!$J$4:$J$692,V$1)</f>
        <v>0</v>
      </c>
      <c r="W131" s="207">
        <f>SUMIFS('апрель 2023'!$G$4:$G$692,'апрель 2023'!$D$4:$D$692,$B131,'апрель 2023'!$J$4:$J$692,W$1)</f>
        <v>0</v>
      </c>
      <c r="X131" s="207">
        <f>SUMIFS('апрель 2023'!$G$4:$G$692,'апрель 2023'!$D$4:$D$692,$B131,'апрель 2023'!$J$4:$J$692,X$1)</f>
        <v>0</v>
      </c>
      <c r="Y131" s="207">
        <f>SUMIFS('апрель 2023'!$G$4:$G$692,'апрель 2023'!$D$4:$D$692,$B131,'апрель 2023'!$J$4:$J$692,Y$1)</f>
        <v>0</v>
      </c>
      <c r="Z131" s="207">
        <f>SUMIFS('апрель 2023'!$G$4:$G$692,'апрель 2023'!$D$4:$D$692,$B131,'апрель 2023'!$J$4:$J$692,Z$1)</f>
        <v>0</v>
      </c>
      <c r="AA131" s="207">
        <f>SUMIFS('апрель 2023'!$G$4:$G$692,'апрель 2023'!$D$4:$D$692,$B131,'апрель 2023'!$J$4:$J$692,AA$1)</f>
        <v>0</v>
      </c>
      <c r="AB131" s="207">
        <f>SUMIFS('апрель 2023'!$G$4:$G$692,'апрель 2023'!$D$4:$D$692,$B131,'апрель 2023'!$J$4:$J$692,AB$1)</f>
        <v>0</v>
      </c>
      <c r="AC131" s="207">
        <f>SUMIFS('апрель 2023'!$G$4:$G$692,'апрель 2023'!$D$4:$D$692,$B131,'апрель 2023'!$J$4:$J$692,AC$1)</f>
        <v>0</v>
      </c>
      <c r="AD131" s="207">
        <f>SUMIFS('апрель 2023'!$G$4:$G$692,'апрель 2023'!$D$4:$D$692,$B131,'апрель 2023'!$J$4:$J$692,AD$1)</f>
        <v>0</v>
      </c>
      <c r="AE131" s="207">
        <f>SUMIFS('апрель 2023'!$G$4:$G$692,'апрель 2023'!$D$4:$D$692,$B131,'апрель 2023'!$J$4:$J$692,AE$1)</f>
        <v>0</v>
      </c>
      <c r="AF131" s="207">
        <f>SUMIFS('апрель 2023'!$G$4:$G$692,'апрель 2023'!$D$4:$D$692,$B131,'апрель 2023'!$J$4:$J$692,AF$1)</f>
        <v>0</v>
      </c>
      <c r="AG131" s="207">
        <f>SUMIFS('апрель 2023'!$G$4:$G$692,'апрель 2023'!$D$4:$D$692,$B131,'апрель 2023'!$J$4:$J$692,AG$1)</f>
        <v>0</v>
      </c>
      <c r="AH131" s="207">
        <f>SUMIFS('апрель 2023'!$G$4:$G$692,'апрель 2023'!$D$4:$D$692,$B131,'апрель 2023'!$J$4:$J$692,AH$1)</f>
        <v>0</v>
      </c>
      <c r="AI131" s="220"/>
    </row>
    <row r="132" spans="2:35" ht="15" hidden="1" customHeight="1" x14ac:dyDescent="0.25">
      <c r="B132" s="212"/>
      <c r="C132" s="211"/>
      <c r="D132" s="207">
        <f>SUMIFS('апрель 2023'!$G$4:$G$692,'апрель 2023'!$D$4:$D$692,$B132,'апрель 2023'!$J$4:$J$692,D$1)</f>
        <v>0</v>
      </c>
      <c r="E132" s="207">
        <f>SUMIFS('апрель 2023'!$G$4:$G$692,'апрель 2023'!$D$4:$D$692,$B132,'апрель 2023'!$J$4:$J$692,E$1)</f>
        <v>0</v>
      </c>
      <c r="F132" s="207">
        <f>SUMIFS('апрель 2023'!$G$4:$G$692,'апрель 2023'!$D$4:$D$692,$B132,'апрель 2023'!$J$4:$J$692,F$1)</f>
        <v>0</v>
      </c>
      <c r="G132" s="207">
        <f>SUMIFS('апрель 2023'!$G$4:$G$692,'апрель 2023'!$D$4:$D$692,$B132,'апрель 2023'!$J$4:$J$692,G$1)</f>
        <v>0</v>
      </c>
      <c r="H132" s="207">
        <f>SUMIFS('апрель 2023'!$G$4:$G$692,'апрель 2023'!$D$4:$D$692,$B132,'апрель 2023'!$J$4:$J$692,H$1)</f>
        <v>0</v>
      </c>
      <c r="I132" s="207">
        <f>SUMIFS('апрель 2023'!$G$4:$G$692,'апрель 2023'!$D$4:$D$692,$B132,'апрель 2023'!$J$4:$J$692,I$1)</f>
        <v>0</v>
      </c>
      <c r="J132" s="207">
        <f>SUMIFS('апрель 2023'!$G$4:$G$692,'апрель 2023'!$D$4:$D$692,$B132,'апрель 2023'!$J$4:$J$692,J$1)</f>
        <v>0</v>
      </c>
      <c r="K132" s="207">
        <f>SUMIFS('апрель 2023'!$G$4:$G$692,'апрель 2023'!$D$4:$D$692,$B132,'апрель 2023'!$J$4:$J$692,K$1)</f>
        <v>0</v>
      </c>
      <c r="L132" s="207">
        <f>SUMIFS('апрель 2023'!$G$4:$G$692,'апрель 2023'!$D$4:$D$692,$B132,'апрель 2023'!$J$4:$J$692,L$1)</f>
        <v>0</v>
      </c>
      <c r="M132" s="207">
        <f>SUMIFS('апрель 2023'!$G$4:$G$692,'апрель 2023'!$D$4:$D$692,$B132,'апрель 2023'!$J$4:$J$692,M$1)</f>
        <v>0</v>
      </c>
      <c r="N132" s="207">
        <f>SUMIFS('апрель 2023'!$G$4:$G$692,'апрель 2023'!$D$4:$D$692,$B132,'апрель 2023'!$J$4:$J$692,N$1)</f>
        <v>0</v>
      </c>
      <c r="O132" s="207">
        <f>SUMIFS('апрель 2023'!$G$4:$G$692,'апрель 2023'!$D$4:$D$692,$B132,'апрель 2023'!$J$4:$J$692,O$1)</f>
        <v>0</v>
      </c>
      <c r="P132" s="207">
        <f>SUMIFS('апрель 2023'!$G$4:$G$692,'апрель 2023'!$D$4:$D$692,$B132,'апрель 2023'!$J$4:$J$692,P$1)</f>
        <v>0</v>
      </c>
      <c r="Q132" s="207">
        <f>SUMIFS('апрель 2023'!$G$4:$G$692,'апрель 2023'!$D$4:$D$692,$B132,'апрель 2023'!$J$4:$J$692,Q$1)</f>
        <v>0</v>
      </c>
      <c r="R132" s="207">
        <f>SUMIFS('апрель 2023'!$G$4:$G$692,'апрель 2023'!$D$4:$D$692,$B132,'апрель 2023'!$J$4:$J$692,R$1)</f>
        <v>0</v>
      </c>
      <c r="S132" s="207">
        <f>SUMIFS('апрель 2023'!$G$4:$G$692,'апрель 2023'!$D$4:$D$692,$B132,'апрель 2023'!$J$4:$J$692,S$1)</f>
        <v>0</v>
      </c>
      <c r="T132" s="207">
        <f>SUMIFS('апрель 2023'!$G$4:$G$692,'апрель 2023'!$D$4:$D$692,$B132,'апрель 2023'!$J$4:$J$692,T$1)</f>
        <v>0</v>
      </c>
      <c r="U132" s="207">
        <f>SUMIFS('апрель 2023'!$G$4:$G$692,'апрель 2023'!$D$4:$D$692,$B132,'апрель 2023'!$J$4:$J$692,U$1)</f>
        <v>0</v>
      </c>
      <c r="V132" s="207">
        <f>SUMIFS('апрель 2023'!$G$4:$G$692,'апрель 2023'!$D$4:$D$692,$B132,'апрель 2023'!$J$4:$J$692,V$1)</f>
        <v>0</v>
      </c>
      <c r="W132" s="207">
        <f>SUMIFS('апрель 2023'!$G$4:$G$692,'апрель 2023'!$D$4:$D$692,$B132,'апрель 2023'!$J$4:$J$692,W$1)</f>
        <v>0</v>
      </c>
      <c r="X132" s="207">
        <f>SUMIFS('апрель 2023'!$G$4:$G$692,'апрель 2023'!$D$4:$D$692,$B132,'апрель 2023'!$J$4:$J$692,X$1)</f>
        <v>0</v>
      </c>
      <c r="Y132" s="207">
        <f>SUMIFS('апрель 2023'!$G$4:$G$692,'апрель 2023'!$D$4:$D$692,$B132,'апрель 2023'!$J$4:$J$692,Y$1)</f>
        <v>0</v>
      </c>
      <c r="Z132" s="207">
        <f>SUMIFS('апрель 2023'!$G$4:$G$692,'апрель 2023'!$D$4:$D$692,$B132,'апрель 2023'!$J$4:$J$692,Z$1)</f>
        <v>0</v>
      </c>
      <c r="AA132" s="207">
        <f>SUMIFS('апрель 2023'!$G$4:$G$692,'апрель 2023'!$D$4:$D$692,$B132,'апрель 2023'!$J$4:$J$692,AA$1)</f>
        <v>0</v>
      </c>
      <c r="AB132" s="207">
        <f>SUMIFS('апрель 2023'!$G$4:$G$692,'апрель 2023'!$D$4:$D$692,$B132,'апрель 2023'!$J$4:$J$692,AB$1)</f>
        <v>0</v>
      </c>
      <c r="AC132" s="207">
        <f>SUMIFS('апрель 2023'!$G$4:$G$692,'апрель 2023'!$D$4:$D$692,$B132,'апрель 2023'!$J$4:$J$692,AC$1)</f>
        <v>0</v>
      </c>
      <c r="AD132" s="207">
        <f>SUMIFS('апрель 2023'!$G$4:$G$692,'апрель 2023'!$D$4:$D$692,$B132,'апрель 2023'!$J$4:$J$692,AD$1)</f>
        <v>0</v>
      </c>
      <c r="AE132" s="207">
        <f>SUMIFS('апрель 2023'!$G$4:$G$692,'апрель 2023'!$D$4:$D$692,$B132,'апрель 2023'!$J$4:$J$692,AE$1)</f>
        <v>0</v>
      </c>
      <c r="AF132" s="207">
        <f>SUMIFS('апрель 2023'!$G$4:$G$692,'апрель 2023'!$D$4:$D$692,$B132,'апрель 2023'!$J$4:$J$692,AF$1)</f>
        <v>0</v>
      </c>
      <c r="AG132" s="207">
        <f>SUMIFS('апрель 2023'!$G$4:$G$692,'апрель 2023'!$D$4:$D$692,$B132,'апрель 2023'!$J$4:$J$692,AG$1)</f>
        <v>0</v>
      </c>
      <c r="AH132" s="207">
        <f>SUMIFS('апрель 2023'!$G$4:$G$692,'апрель 2023'!$D$4:$D$692,$B132,'апрель 2023'!$J$4:$J$692,AH$1)</f>
        <v>0</v>
      </c>
      <c r="AI132" s="220"/>
    </row>
    <row r="133" spans="2:35" ht="15" hidden="1" customHeight="1" x14ac:dyDescent="0.25">
      <c r="B133" s="212"/>
      <c r="C133" s="211"/>
      <c r="D133" s="207">
        <f>SUMIFS('апрель 2023'!$G$4:$G$692,'апрель 2023'!$D$4:$D$692,$B133,'апрель 2023'!$J$4:$J$692,D$1)</f>
        <v>0</v>
      </c>
      <c r="E133" s="207">
        <f>SUMIFS('апрель 2023'!$G$4:$G$692,'апрель 2023'!$D$4:$D$692,$B133,'апрель 2023'!$J$4:$J$692,E$1)</f>
        <v>0</v>
      </c>
      <c r="F133" s="207">
        <f>SUMIFS('апрель 2023'!$G$4:$G$692,'апрель 2023'!$D$4:$D$692,$B133,'апрель 2023'!$J$4:$J$692,F$1)</f>
        <v>0</v>
      </c>
      <c r="G133" s="207">
        <f>SUMIFS('апрель 2023'!$G$4:$G$692,'апрель 2023'!$D$4:$D$692,$B133,'апрель 2023'!$J$4:$J$692,G$1)</f>
        <v>0</v>
      </c>
      <c r="H133" s="207">
        <f>SUMIFS('апрель 2023'!$G$4:$G$692,'апрель 2023'!$D$4:$D$692,$B133,'апрель 2023'!$J$4:$J$692,H$1)</f>
        <v>0</v>
      </c>
      <c r="I133" s="207">
        <f>SUMIFS('апрель 2023'!$G$4:$G$692,'апрель 2023'!$D$4:$D$692,$B133,'апрель 2023'!$J$4:$J$692,I$1)</f>
        <v>0</v>
      </c>
      <c r="J133" s="207">
        <f>SUMIFS('апрель 2023'!$G$4:$G$692,'апрель 2023'!$D$4:$D$692,$B133,'апрель 2023'!$J$4:$J$692,J$1)</f>
        <v>0</v>
      </c>
      <c r="K133" s="207">
        <f>SUMIFS('апрель 2023'!$G$4:$G$692,'апрель 2023'!$D$4:$D$692,$B133,'апрель 2023'!$J$4:$J$692,K$1)</f>
        <v>0</v>
      </c>
      <c r="L133" s="207">
        <f>SUMIFS('апрель 2023'!$G$4:$G$692,'апрель 2023'!$D$4:$D$692,$B133,'апрель 2023'!$J$4:$J$692,L$1)</f>
        <v>0</v>
      </c>
      <c r="M133" s="207">
        <f>SUMIFS('апрель 2023'!$G$4:$G$692,'апрель 2023'!$D$4:$D$692,$B133,'апрель 2023'!$J$4:$J$692,M$1)</f>
        <v>0</v>
      </c>
      <c r="N133" s="207">
        <f>SUMIFS('апрель 2023'!$G$4:$G$692,'апрель 2023'!$D$4:$D$692,$B133,'апрель 2023'!$J$4:$J$692,N$1)</f>
        <v>0</v>
      </c>
      <c r="O133" s="207">
        <f>SUMIFS('апрель 2023'!$G$4:$G$692,'апрель 2023'!$D$4:$D$692,$B133,'апрель 2023'!$J$4:$J$692,O$1)</f>
        <v>0</v>
      </c>
      <c r="P133" s="207">
        <f>SUMIFS('апрель 2023'!$G$4:$G$692,'апрель 2023'!$D$4:$D$692,$B133,'апрель 2023'!$J$4:$J$692,P$1)</f>
        <v>0</v>
      </c>
      <c r="Q133" s="207">
        <f>SUMIFS('апрель 2023'!$G$4:$G$692,'апрель 2023'!$D$4:$D$692,$B133,'апрель 2023'!$J$4:$J$692,Q$1)</f>
        <v>0</v>
      </c>
      <c r="R133" s="207">
        <f>SUMIFS('апрель 2023'!$G$4:$G$692,'апрель 2023'!$D$4:$D$692,$B133,'апрель 2023'!$J$4:$J$692,R$1)</f>
        <v>0</v>
      </c>
      <c r="S133" s="207">
        <f>SUMIFS('апрель 2023'!$G$4:$G$692,'апрель 2023'!$D$4:$D$692,$B133,'апрель 2023'!$J$4:$J$692,S$1)</f>
        <v>0</v>
      </c>
      <c r="T133" s="207">
        <f>SUMIFS('апрель 2023'!$G$4:$G$692,'апрель 2023'!$D$4:$D$692,$B133,'апрель 2023'!$J$4:$J$692,T$1)</f>
        <v>0</v>
      </c>
      <c r="U133" s="207">
        <f>SUMIFS('апрель 2023'!$G$4:$G$692,'апрель 2023'!$D$4:$D$692,$B133,'апрель 2023'!$J$4:$J$692,U$1)</f>
        <v>0</v>
      </c>
      <c r="V133" s="207">
        <f>SUMIFS('апрель 2023'!$G$4:$G$692,'апрель 2023'!$D$4:$D$692,$B133,'апрель 2023'!$J$4:$J$692,V$1)</f>
        <v>0</v>
      </c>
      <c r="W133" s="207">
        <f>SUMIFS('апрель 2023'!$G$4:$G$692,'апрель 2023'!$D$4:$D$692,$B133,'апрель 2023'!$J$4:$J$692,W$1)</f>
        <v>0</v>
      </c>
      <c r="X133" s="207">
        <f>SUMIFS('апрель 2023'!$G$4:$G$692,'апрель 2023'!$D$4:$D$692,$B133,'апрель 2023'!$J$4:$J$692,X$1)</f>
        <v>0</v>
      </c>
      <c r="Y133" s="207">
        <f>SUMIFS('апрель 2023'!$G$4:$G$692,'апрель 2023'!$D$4:$D$692,$B133,'апрель 2023'!$J$4:$J$692,Y$1)</f>
        <v>0</v>
      </c>
      <c r="Z133" s="207">
        <f>SUMIFS('апрель 2023'!$G$4:$G$692,'апрель 2023'!$D$4:$D$692,$B133,'апрель 2023'!$J$4:$J$692,Z$1)</f>
        <v>0</v>
      </c>
      <c r="AA133" s="207">
        <f>SUMIFS('апрель 2023'!$G$4:$G$692,'апрель 2023'!$D$4:$D$692,$B133,'апрель 2023'!$J$4:$J$692,AA$1)</f>
        <v>0</v>
      </c>
      <c r="AB133" s="207">
        <f>SUMIFS('апрель 2023'!$G$4:$G$692,'апрель 2023'!$D$4:$D$692,$B133,'апрель 2023'!$J$4:$J$692,AB$1)</f>
        <v>0</v>
      </c>
      <c r="AC133" s="207">
        <f>SUMIFS('апрель 2023'!$G$4:$G$692,'апрель 2023'!$D$4:$D$692,$B133,'апрель 2023'!$J$4:$J$692,AC$1)</f>
        <v>0</v>
      </c>
      <c r="AD133" s="207">
        <f>SUMIFS('апрель 2023'!$G$4:$G$692,'апрель 2023'!$D$4:$D$692,$B133,'апрель 2023'!$J$4:$J$692,AD$1)</f>
        <v>0</v>
      </c>
      <c r="AE133" s="207">
        <f>SUMIFS('апрель 2023'!$G$4:$G$692,'апрель 2023'!$D$4:$D$692,$B133,'апрель 2023'!$J$4:$J$692,AE$1)</f>
        <v>0</v>
      </c>
      <c r="AF133" s="207">
        <f>SUMIFS('апрель 2023'!$G$4:$G$692,'апрель 2023'!$D$4:$D$692,$B133,'апрель 2023'!$J$4:$J$692,AF$1)</f>
        <v>0</v>
      </c>
      <c r="AG133" s="207">
        <f>SUMIFS('апрель 2023'!$G$4:$G$692,'апрель 2023'!$D$4:$D$692,$B133,'апрель 2023'!$J$4:$J$692,AG$1)</f>
        <v>0</v>
      </c>
      <c r="AH133" s="207">
        <f>SUMIFS('апрель 2023'!$G$4:$G$692,'апрель 2023'!$D$4:$D$692,$B133,'апрель 2023'!$J$4:$J$692,AH$1)</f>
        <v>0</v>
      </c>
      <c r="AI133" s="220"/>
    </row>
    <row r="134" spans="2:35" ht="15" hidden="1" customHeight="1" x14ac:dyDescent="0.25">
      <c r="B134" s="212"/>
      <c r="C134" s="211"/>
      <c r="D134" s="207">
        <f>SUMIFS('апрель 2023'!$G$4:$G$692,'апрель 2023'!$D$4:$D$692,$B134,'апрель 2023'!$J$4:$J$692,D$1)</f>
        <v>0</v>
      </c>
      <c r="E134" s="207">
        <f>SUMIFS('апрель 2023'!$G$4:$G$692,'апрель 2023'!$D$4:$D$692,$B134,'апрель 2023'!$J$4:$J$692,E$1)</f>
        <v>0</v>
      </c>
      <c r="F134" s="207">
        <f>SUMIFS('апрель 2023'!$G$4:$G$692,'апрель 2023'!$D$4:$D$692,$B134,'апрель 2023'!$J$4:$J$692,F$1)</f>
        <v>0</v>
      </c>
      <c r="G134" s="207">
        <f>SUMIFS('апрель 2023'!$G$4:$G$692,'апрель 2023'!$D$4:$D$692,$B134,'апрель 2023'!$J$4:$J$692,G$1)</f>
        <v>0</v>
      </c>
      <c r="H134" s="207">
        <f>SUMIFS('апрель 2023'!$G$4:$G$692,'апрель 2023'!$D$4:$D$692,$B134,'апрель 2023'!$J$4:$J$692,H$1)</f>
        <v>0</v>
      </c>
      <c r="I134" s="207">
        <f>SUMIFS('апрель 2023'!$G$4:$G$692,'апрель 2023'!$D$4:$D$692,$B134,'апрель 2023'!$J$4:$J$692,I$1)</f>
        <v>0</v>
      </c>
      <c r="J134" s="207">
        <f>SUMIFS('апрель 2023'!$G$4:$G$692,'апрель 2023'!$D$4:$D$692,$B134,'апрель 2023'!$J$4:$J$692,J$1)</f>
        <v>0</v>
      </c>
      <c r="K134" s="207">
        <f>SUMIFS('апрель 2023'!$G$4:$G$692,'апрель 2023'!$D$4:$D$692,$B134,'апрель 2023'!$J$4:$J$692,K$1)</f>
        <v>0</v>
      </c>
      <c r="L134" s="207">
        <f>SUMIFS('апрель 2023'!$G$4:$G$692,'апрель 2023'!$D$4:$D$692,$B134,'апрель 2023'!$J$4:$J$692,L$1)</f>
        <v>0</v>
      </c>
      <c r="M134" s="207">
        <f>SUMIFS('апрель 2023'!$G$4:$G$692,'апрель 2023'!$D$4:$D$692,$B134,'апрель 2023'!$J$4:$J$692,M$1)</f>
        <v>0</v>
      </c>
      <c r="N134" s="207">
        <f>SUMIFS('апрель 2023'!$G$4:$G$692,'апрель 2023'!$D$4:$D$692,$B134,'апрель 2023'!$J$4:$J$692,N$1)</f>
        <v>0</v>
      </c>
      <c r="O134" s="207">
        <f>SUMIFS('апрель 2023'!$G$4:$G$692,'апрель 2023'!$D$4:$D$692,$B134,'апрель 2023'!$J$4:$J$692,O$1)</f>
        <v>0</v>
      </c>
      <c r="P134" s="207">
        <f>SUMIFS('апрель 2023'!$G$4:$G$692,'апрель 2023'!$D$4:$D$692,$B134,'апрель 2023'!$J$4:$J$692,P$1)</f>
        <v>0</v>
      </c>
      <c r="Q134" s="207">
        <f>SUMIFS('апрель 2023'!$G$4:$G$692,'апрель 2023'!$D$4:$D$692,$B134,'апрель 2023'!$J$4:$J$692,Q$1)</f>
        <v>0</v>
      </c>
      <c r="R134" s="207">
        <f>SUMIFS('апрель 2023'!$G$4:$G$692,'апрель 2023'!$D$4:$D$692,$B134,'апрель 2023'!$J$4:$J$692,R$1)</f>
        <v>0</v>
      </c>
      <c r="S134" s="207">
        <f>SUMIFS('апрель 2023'!$G$4:$G$692,'апрель 2023'!$D$4:$D$692,$B134,'апрель 2023'!$J$4:$J$692,S$1)</f>
        <v>0</v>
      </c>
      <c r="T134" s="207">
        <f>SUMIFS('апрель 2023'!$G$4:$G$692,'апрель 2023'!$D$4:$D$692,$B134,'апрель 2023'!$J$4:$J$692,T$1)</f>
        <v>0</v>
      </c>
      <c r="U134" s="207">
        <f>SUMIFS('апрель 2023'!$G$4:$G$692,'апрель 2023'!$D$4:$D$692,$B134,'апрель 2023'!$J$4:$J$692,U$1)</f>
        <v>0</v>
      </c>
      <c r="V134" s="207">
        <f>SUMIFS('апрель 2023'!$G$4:$G$692,'апрель 2023'!$D$4:$D$692,$B134,'апрель 2023'!$J$4:$J$692,V$1)</f>
        <v>0</v>
      </c>
      <c r="W134" s="207">
        <f>SUMIFS('апрель 2023'!$G$4:$G$692,'апрель 2023'!$D$4:$D$692,$B134,'апрель 2023'!$J$4:$J$692,W$1)</f>
        <v>0</v>
      </c>
      <c r="X134" s="207">
        <f>SUMIFS('апрель 2023'!$G$4:$G$692,'апрель 2023'!$D$4:$D$692,$B134,'апрель 2023'!$J$4:$J$692,X$1)</f>
        <v>0</v>
      </c>
      <c r="Y134" s="207">
        <f>SUMIFS('апрель 2023'!$G$4:$G$692,'апрель 2023'!$D$4:$D$692,$B134,'апрель 2023'!$J$4:$J$692,Y$1)</f>
        <v>0</v>
      </c>
      <c r="Z134" s="207">
        <f>SUMIFS('апрель 2023'!$G$4:$G$692,'апрель 2023'!$D$4:$D$692,$B134,'апрель 2023'!$J$4:$J$692,Z$1)</f>
        <v>0</v>
      </c>
      <c r="AA134" s="207">
        <f>SUMIFS('апрель 2023'!$G$4:$G$692,'апрель 2023'!$D$4:$D$692,$B134,'апрель 2023'!$J$4:$J$692,AA$1)</f>
        <v>0</v>
      </c>
      <c r="AB134" s="207">
        <f>SUMIFS('апрель 2023'!$G$4:$G$692,'апрель 2023'!$D$4:$D$692,$B134,'апрель 2023'!$J$4:$J$692,AB$1)</f>
        <v>0</v>
      </c>
      <c r="AC134" s="207">
        <f>SUMIFS('апрель 2023'!$G$4:$G$692,'апрель 2023'!$D$4:$D$692,$B134,'апрель 2023'!$J$4:$J$692,AC$1)</f>
        <v>0</v>
      </c>
      <c r="AD134" s="207">
        <f>SUMIFS('апрель 2023'!$G$4:$G$692,'апрель 2023'!$D$4:$D$692,$B134,'апрель 2023'!$J$4:$J$692,AD$1)</f>
        <v>0</v>
      </c>
      <c r="AE134" s="207">
        <f>SUMIFS('апрель 2023'!$G$4:$G$692,'апрель 2023'!$D$4:$D$692,$B134,'апрель 2023'!$J$4:$J$692,AE$1)</f>
        <v>0</v>
      </c>
      <c r="AF134" s="207">
        <f>SUMIFS('апрель 2023'!$G$4:$G$692,'апрель 2023'!$D$4:$D$692,$B134,'апрель 2023'!$J$4:$J$692,AF$1)</f>
        <v>0</v>
      </c>
      <c r="AG134" s="207">
        <f>SUMIFS('апрель 2023'!$G$4:$G$692,'апрель 2023'!$D$4:$D$692,$B134,'апрель 2023'!$J$4:$J$692,AG$1)</f>
        <v>0</v>
      </c>
      <c r="AH134" s="207">
        <f>SUMIFS('апрель 2023'!$G$4:$G$692,'апрель 2023'!$D$4:$D$692,$B134,'апрель 2023'!$J$4:$J$692,AH$1)</f>
        <v>0</v>
      </c>
      <c r="AI134" s="220"/>
    </row>
    <row r="135" spans="2:35" ht="15" hidden="1" customHeight="1" x14ac:dyDescent="0.25">
      <c r="B135" s="216"/>
      <c r="C135" s="213"/>
      <c r="D135" s="207">
        <f>SUMIFS('апрель 2023'!$G$4:$G$692,'апрель 2023'!$D$4:$D$692,$B135,'апрель 2023'!$J$4:$J$692,D$1)</f>
        <v>0</v>
      </c>
      <c r="E135" s="207">
        <f>SUMIFS('апрель 2023'!$G$4:$G$692,'апрель 2023'!$D$4:$D$692,$B135,'апрель 2023'!$J$4:$J$692,E$1)</f>
        <v>0</v>
      </c>
      <c r="F135" s="207">
        <f>SUMIFS('апрель 2023'!$G$4:$G$692,'апрель 2023'!$D$4:$D$692,$B135,'апрель 2023'!$J$4:$J$692,F$1)</f>
        <v>0</v>
      </c>
      <c r="G135" s="207">
        <f>SUMIFS('апрель 2023'!$G$4:$G$692,'апрель 2023'!$D$4:$D$692,$B135,'апрель 2023'!$J$4:$J$692,G$1)</f>
        <v>0</v>
      </c>
      <c r="H135" s="207">
        <f>SUMIFS('апрель 2023'!$G$4:$G$692,'апрель 2023'!$D$4:$D$692,$B135,'апрель 2023'!$J$4:$J$692,H$1)</f>
        <v>0</v>
      </c>
      <c r="I135" s="207">
        <f>SUMIFS('апрель 2023'!$G$4:$G$692,'апрель 2023'!$D$4:$D$692,$B135,'апрель 2023'!$J$4:$J$692,I$1)</f>
        <v>0</v>
      </c>
      <c r="J135" s="207">
        <f>SUMIFS('апрель 2023'!$G$4:$G$692,'апрель 2023'!$D$4:$D$692,$B135,'апрель 2023'!$J$4:$J$692,J$1)</f>
        <v>0</v>
      </c>
      <c r="K135" s="207">
        <f>SUMIFS('апрель 2023'!$G$4:$G$692,'апрель 2023'!$D$4:$D$692,$B135,'апрель 2023'!$J$4:$J$692,K$1)</f>
        <v>0</v>
      </c>
      <c r="L135" s="207">
        <f>SUMIFS('апрель 2023'!$G$4:$G$692,'апрель 2023'!$D$4:$D$692,$B135,'апрель 2023'!$J$4:$J$692,L$1)</f>
        <v>0</v>
      </c>
      <c r="M135" s="207">
        <f>SUMIFS('апрель 2023'!$G$4:$G$692,'апрель 2023'!$D$4:$D$692,$B135,'апрель 2023'!$J$4:$J$692,M$1)</f>
        <v>0</v>
      </c>
      <c r="N135" s="207">
        <f>SUMIFS('апрель 2023'!$G$4:$G$692,'апрель 2023'!$D$4:$D$692,$B135,'апрель 2023'!$J$4:$J$692,N$1)</f>
        <v>0</v>
      </c>
      <c r="O135" s="207">
        <f>SUMIFS('апрель 2023'!$G$4:$G$692,'апрель 2023'!$D$4:$D$692,$B135,'апрель 2023'!$J$4:$J$692,O$1)</f>
        <v>0</v>
      </c>
      <c r="P135" s="207">
        <f>SUMIFS('апрель 2023'!$G$4:$G$692,'апрель 2023'!$D$4:$D$692,$B135,'апрель 2023'!$J$4:$J$692,P$1)</f>
        <v>0</v>
      </c>
      <c r="Q135" s="207">
        <f>SUMIFS('апрель 2023'!$G$4:$G$692,'апрель 2023'!$D$4:$D$692,$B135,'апрель 2023'!$J$4:$J$692,Q$1)</f>
        <v>0</v>
      </c>
      <c r="R135" s="207">
        <f>SUMIFS('апрель 2023'!$G$4:$G$692,'апрель 2023'!$D$4:$D$692,$B135,'апрель 2023'!$J$4:$J$692,R$1)</f>
        <v>0</v>
      </c>
      <c r="S135" s="207">
        <f>SUMIFS('апрель 2023'!$G$4:$G$692,'апрель 2023'!$D$4:$D$692,$B135,'апрель 2023'!$J$4:$J$692,S$1)</f>
        <v>0</v>
      </c>
      <c r="T135" s="207">
        <f>SUMIFS('апрель 2023'!$G$4:$G$692,'апрель 2023'!$D$4:$D$692,$B135,'апрель 2023'!$J$4:$J$692,T$1)</f>
        <v>0</v>
      </c>
      <c r="U135" s="207">
        <f>SUMIFS('апрель 2023'!$G$4:$G$692,'апрель 2023'!$D$4:$D$692,$B135,'апрель 2023'!$J$4:$J$692,U$1)</f>
        <v>0</v>
      </c>
      <c r="V135" s="207">
        <f>SUMIFS('апрель 2023'!$G$4:$G$692,'апрель 2023'!$D$4:$D$692,$B135,'апрель 2023'!$J$4:$J$692,V$1)</f>
        <v>0</v>
      </c>
      <c r="W135" s="207">
        <f>SUMIFS('апрель 2023'!$G$4:$G$692,'апрель 2023'!$D$4:$D$692,$B135,'апрель 2023'!$J$4:$J$692,W$1)</f>
        <v>0</v>
      </c>
      <c r="X135" s="207">
        <f>SUMIFS('апрель 2023'!$G$4:$G$692,'апрель 2023'!$D$4:$D$692,$B135,'апрель 2023'!$J$4:$J$692,X$1)</f>
        <v>0</v>
      </c>
      <c r="Y135" s="207">
        <f>SUMIFS('апрель 2023'!$G$4:$G$692,'апрель 2023'!$D$4:$D$692,$B135,'апрель 2023'!$J$4:$J$692,Y$1)</f>
        <v>0</v>
      </c>
      <c r="Z135" s="207">
        <f>SUMIFS('апрель 2023'!$G$4:$G$692,'апрель 2023'!$D$4:$D$692,$B135,'апрель 2023'!$J$4:$J$692,Z$1)</f>
        <v>0</v>
      </c>
      <c r="AA135" s="207">
        <f>SUMIFS('апрель 2023'!$G$4:$G$692,'апрель 2023'!$D$4:$D$692,$B135,'апрель 2023'!$J$4:$J$692,AA$1)</f>
        <v>0</v>
      </c>
      <c r="AB135" s="207">
        <f>SUMIFS('апрель 2023'!$G$4:$G$692,'апрель 2023'!$D$4:$D$692,$B135,'апрель 2023'!$J$4:$J$692,AB$1)</f>
        <v>0</v>
      </c>
      <c r="AC135" s="207">
        <f>SUMIFS('апрель 2023'!$G$4:$G$692,'апрель 2023'!$D$4:$D$692,$B135,'апрель 2023'!$J$4:$J$692,AC$1)</f>
        <v>0</v>
      </c>
      <c r="AD135" s="207">
        <f>SUMIFS('апрель 2023'!$G$4:$G$692,'апрель 2023'!$D$4:$D$692,$B135,'апрель 2023'!$J$4:$J$692,AD$1)</f>
        <v>0</v>
      </c>
      <c r="AE135" s="207">
        <f>SUMIFS('апрель 2023'!$G$4:$G$692,'апрель 2023'!$D$4:$D$692,$B135,'апрель 2023'!$J$4:$J$692,AE$1)</f>
        <v>0</v>
      </c>
      <c r="AF135" s="207">
        <f>SUMIFS('апрель 2023'!$G$4:$G$692,'апрель 2023'!$D$4:$D$692,$B135,'апрель 2023'!$J$4:$J$692,AF$1)</f>
        <v>0</v>
      </c>
      <c r="AG135" s="207">
        <f>SUMIFS('апрель 2023'!$G$4:$G$692,'апрель 2023'!$D$4:$D$692,$B135,'апрель 2023'!$J$4:$J$692,AG$1)</f>
        <v>0</v>
      </c>
      <c r="AH135" s="207">
        <f>SUMIFS('апрель 2023'!$G$4:$G$692,'апрель 2023'!$D$4:$D$692,$B135,'апрель 2023'!$J$4:$J$692,AH$1)</f>
        <v>0</v>
      </c>
      <c r="AI135" s="220">
        <f t="shared" ref="AI135:AI149" si="3">SUM(D135:AH135)</f>
        <v>0</v>
      </c>
    </row>
    <row r="136" spans="2:35" ht="15" hidden="1" customHeight="1" x14ac:dyDescent="0.25">
      <c r="B136" s="216"/>
      <c r="C136" s="213"/>
      <c r="D136" s="207">
        <f>SUMIFS('апрель 2023'!$G$4:$G$692,'апрель 2023'!$D$4:$D$692,$B136,'апрель 2023'!$J$4:$J$692,D$1)</f>
        <v>0</v>
      </c>
      <c r="E136" s="207">
        <f>SUMIFS('апрель 2023'!$G$4:$G$692,'апрель 2023'!$D$4:$D$692,$B136,'апрель 2023'!$J$4:$J$692,E$1)</f>
        <v>0</v>
      </c>
      <c r="F136" s="207">
        <f>SUMIFS('апрель 2023'!$G$4:$G$692,'апрель 2023'!$D$4:$D$692,$B136,'апрель 2023'!$J$4:$J$692,F$1)</f>
        <v>0</v>
      </c>
      <c r="G136" s="207">
        <f>SUMIFS('апрель 2023'!$G$4:$G$692,'апрель 2023'!$D$4:$D$692,$B136,'апрель 2023'!$J$4:$J$692,G$1)</f>
        <v>0</v>
      </c>
      <c r="H136" s="207">
        <f>SUMIFS('апрель 2023'!$G$4:$G$692,'апрель 2023'!$D$4:$D$692,$B136,'апрель 2023'!$J$4:$J$692,H$1)</f>
        <v>0</v>
      </c>
      <c r="I136" s="207">
        <f>SUMIFS('апрель 2023'!$G$4:$G$692,'апрель 2023'!$D$4:$D$692,$B136,'апрель 2023'!$J$4:$J$692,I$1)</f>
        <v>0</v>
      </c>
      <c r="J136" s="207">
        <f>SUMIFS('апрель 2023'!$G$4:$G$692,'апрель 2023'!$D$4:$D$692,$B136,'апрель 2023'!$J$4:$J$692,J$1)</f>
        <v>0</v>
      </c>
      <c r="K136" s="207">
        <f>SUMIFS('апрель 2023'!$G$4:$G$692,'апрель 2023'!$D$4:$D$692,$B136,'апрель 2023'!$J$4:$J$692,K$1)</f>
        <v>0</v>
      </c>
      <c r="L136" s="207">
        <f>SUMIFS('апрель 2023'!$G$4:$G$692,'апрель 2023'!$D$4:$D$692,$B136,'апрель 2023'!$J$4:$J$692,L$1)</f>
        <v>0</v>
      </c>
      <c r="M136" s="207">
        <f>SUMIFS('апрель 2023'!$G$4:$G$692,'апрель 2023'!$D$4:$D$692,$B136,'апрель 2023'!$J$4:$J$692,M$1)</f>
        <v>0</v>
      </c>
      <c r="N136" s="207">
        <f>SUMIFS('апрель 2023'!$G$4:$G$692,'апрель 2023'!$D$4:$D$692,$B136,'апрель 2023'!$J$4:$J$692,N$1)</f>
        <v>0</v>
      </c>
      <c r="O136" s="207">
        <f>SUMIFS('апрель 2023'!$G$4:$G$692,'апрель 2023'!$D$4:$D$692,$B136,'апрель 2023'!$J$4:$J$692,O$1)</f>
        <v>0</v>
      </c>
      <c r="P136" s="207">
        <f>SUMIFS('апрель 2023'!$G$4:$G$692,'апрель 2023'!$D$4:$D$692,$B136,'апрель 2023'!$J$4:$J$692,P$1)</f>
        <v>0</v>
      </c>
      <c r="Q136" s="207">
        <f>SUMIFS('апрель 2023'!$G$4:$G$692,'апрель 2023'!$D$4:$D$692,$B136,'апрель 2023'!$J$4:$J$692,Q$1)</f>
        <v>0</v>
      </c>
      <c r="R136" s="207">
        <f>SUMIFS('апрель 2023'!$G$4:$G$692,'апрель 2023'!$D$4:$D$692,$B136,'апрель 2023'!$J$4:$J$692,R$1)</f>
        <v>0</v>
      </c>
      <c r="S136" s="207">
        <f>SUMIFS('апрель 2023'!$G$4:$G$692,'апрель 2023'!$D$4:$D$692,$B136,'апрель 2023'!$J$4:$J$692,S$1)</f>
        <v>0</v>
      </c>
      <c r="T136" s="207">
        <f>SUMIFS('апрель 2023'!$G$4:$G$692,'апрель 2023'!$D$4:$D$692,$B136,'апрель 2023'!$J$4:$J$692,T$1)</f>
        <v>0</v>
      </c>
      <c r="U136" s="207">
        <f>SUMIFS('апрель 2023'!$G$4:$G$692,'апрель 2023'!$D$4:$D$692,$B136,'апрель 2023'!$J$4:$J$692,U$1)</f>
        <v>0</v>
      </c>
      <c r="V136" s="207">
        <f>SUMIFS('апрель 2023'!$G$4:$G$692,'апрель 2023'!$D$4:$D$692,$B136,'апрель 2023'!$J$4:$J$692,V$1)</f>
        <v>0</v>
      </c>
      <c r="W136" s="207">
        <f>SUMIFS('апрель 2023'!$G$4:$G$692,'апрель 2023'!$D$4:$D$692,$B136,'апрель 2023'!$J$4:$J$692,W$1)</f>
        <v>0</v>
      </c>
      <c r="X136" s="207">
        <f>SUMIFS('апрель 2023'!$G$4:$G$692,'апрель 2023'!$D$4:$D$692,$B136,'апрель 2023'!$J$4:$J$692,X$1)</f>
        <v>0</v>
      </c>
      <c r="Y136" s="207">
        <f>SUMIFS('апрель 2023'!$G$4:$G$692,'апрель 2023'!$D$4:$D$692,$B136,'апрель 2023'!$J$4:$J$692,Y$1)</f>
        <v>0</v>
      </c>
      <c r="Z136" s="207">
        <f>SUMIFS('апрель 2023'!$G$4:$G$692,'апрель 2023'!$D$4:$D$692,$B136,'апрель 2023'!$J$4:$J$692,Z$1)</f>
        <v>0</v>
      </c>
      <c r="AA136" s="207">
        <f>SUMIFS('апрель 2023'!$G$4:$G$692,'апрель 2023'!$D$4:$D$692,$B136,'апрель 2023'!$J$4:$J$692,AA$1)</f>
        <v>0</v>
      </c>
      <c r="AB136" s="207">
        <f>SUMIFS('апрель 2023'!$G$4:$G$692,'апрель 2023'!$D$4:$D$692,$B136,'апрель 2023'!$J$4:$J$692,AB$1)</f>
        <v>0</v>
      </c>
      <c r="AC136" s="207">
        <f>SUMIFS('апрель 2023'!$G$4:$G$692,'апрель 2023'!$D$4:$D$692,$B136,'апрель 2023'!$J$4:$J$692,AC$1)</f>
        <v>0</v>
      </c>
      <c r="AD136" s="207">
        <f>SUMIFS('апрель 2023'!$G$4:$G$692,'апрель 2023'!$D$4:$D$692,$B136,'апрель 2023'!$J$4:$J$692,AD$1)</f>
        <v>0</v>
      </c>
      <c r="AE136" s="207">
        <f>SUMIFS('апрель 2023'!$G$4:$G$692,'апрель 2023'!$D$4:$D$692,$B136,'апрель 2023'!$J$4:$J$692,AE$1)</f>
        <v>0</v>
      </c>
      <c r="AF136" s="207">
        <f>SUMIFS('апрель 2023'!$G$4:$G$692,'апрель 2023'!$D$4:$D$692,$B136,'апрель 2023'!$J$4:$J$692,AF$1)</f>
        <v>0</v>
      </c>
      <c r="AG136" s="207">
        <f>SUMIFS('апрель 2023'!$G$4:$G$692,'апрель 2023'!$D$4:$D$692,$B136,'апрель 2023'!$J$4:$J$692,AG$1)</f>
        <v>0</v>
      </c>
      <c r="AH136" s="207">
        <f>SUMIFS('апрель 2023'!$G$4:$G$692,'апрель 2023'!$D$4:$D$692,$B136,'апрель 2023'!$J$4:$J$692,AH$1)</f>
        <v>0</v>
      </c>
      <c r="AI136" s="220">
        <f t="shared" si="3"/>
        <v>0</v>
      </c>
    </row>
    <row r="137" spans="2:35" ht="15" hidden="1" customHeight="1" x14ac:dyDescent="0.25">
      <c r="B137" s="216"/>
      <c r="C137" s="213"/>
      <c r="D137" s="207">
        <f>SUMIFS('апрель 2023'!$G$4:$G$692,'апрель 2023'!$D$4:$D$692,$B137,'апрель 2023'!$J$4:$J$692,D$1)</f>
        <v>0</v>
      </c>
      <c r="E137" s="207">
        <f>SUMIFS('апрель 2023'!$G$4:$G$692,'апрель 2023'!$D$4:$D$692,$B137,'апрель 2023'!$J$4:$J$692,E$1)</f>
        <v>0</v>
      </c>
      <c r="F137" s="207">
        <f>SUMIFS('апрель 2023'!$G$4:$G$692,'апрель 2023'!$D$4:$D$692,$B137,'апрель 2023'!$J$4:$J$692,F$1)</f>
        <v>0</v>
      </c>
      <c r="G137" s="207">
        <f>SUMIFS('апрель 2023'!$G$4:$G$692,'апрель 2023'!$D$4:$D$692,$B137,'апрель 2023'!$J$4:$J$692,G$1)</f>
        <v>0</v>
      </c>
      <c r="H137" s="207">
        <f>SUMIFS('апрель 2023'!$G$4:$G$692,'апрель 2023'!$D$4:$D$692,$B137,'апрель 2023'!$J$4:$J$692,H$1)</f>
        <v>0</v>
      </c>
      <c r="I137" s="207">
        <f>SUMIFS('апрель 2023'!$G$4:$G$692,'апрель 2023'!$D$4:$D$692,$B137,'апрель 2023'!$J$4:$J$692,I$1)</f>
        <v>0</v>
      </c>
      <c r="J137" s="207">
        <f>SUMIFS('апрель 2023'!$G$4:$G$692,'апрель 2023'!$D$4:$D$692,$B137,'апрель 2023'!$J$4:$J$692,J$1)</f>
        <v>0</v>
      </c>
      <c r="K137" s="207">
        <f>SUMIFS('апрель 2023'!$G$4:$G$692,'апрель 2023'!$D$4:$D$692,$B137,'апрель 2023'!$J$4:$J$692,K$1)</f>
        <v>0</v>
      </c>
      <c r="L137" s="207">
        <f>SUMIFS('апрель 2023'!$G$4:$G$692,'апрель 2023'!$D$4:$D$692,$B137,'апрель 2023'!$J$4:$J$692,L$1)</f>
        <v>0</v>
      </c>
      <c r="M137" s="207">
        <f>SUMIFS('апрель 2023'!$G$4:$G$692,'апрель 2023'!$D$4:$D$692,$B137,'апрель 2023'!$J$4:$J$692,M$1)</f>
        <v>0</v>
      </c>
      <c r="N137" s="207">
        <f>SUMIFS('апрель 2023'!$G$4:$G$692,'апрель 2023'!$D$4:$D$692,$B137,'апрель 2023'!$J$4:$J$692,N$1)</f>
        <v>0</v>
      </c>
      <c r="O137" s="207">
        <f>SUMIFS('апрель 2023'!$G$4:$G$692,'апрель 2023'!$D$4:$D$692,$B137,'апрель 2023'!$J$4:$J$692,O$1)</f>
        <v>0</v>
      </c>
      <c r="P137" s="207">
        <f>SUMIFS('апрель 2023'!$G$4:$G$692,'апрель 2023'!$D$4:$D$692,$B137,'апрель 2023'!$J$4:$J$692,P$1)</f>
        <v>0</v>
      </c>
      <c r="Q137" s="207">
        <f>SUMIFS('апрель 2023'!$G$4:$G$692,'апрель 2023'!$D$4:$D$692,$B137,'апрель 2023'!$J$4:$J$692,Q$1)</f>
        <v>0</v>
      </c>
      <c r="R137" s="207">
        <f>SUMIFS('апрель 2023'!$G$4:$G$692,'апрель 2023'!$D$4:$D$692,$B137,'апрель 2023'!$J$4:$J$692,R$1)</f>
        <v>0</v>
      </c>
      <c r="S137" s="207">
        <f>SUMIFS('апрель 2023'!$G$4:$G$692,'апрель 2023'!$D$4:$D$692,$B137,'апрель 2023'!$J$4:$J$692,S$1)</f>
        <v>0</v>
      </c>
      <c r="T137" s="207">
        <f>SUMIFS('апрель 2023'!$G$4:$G$692,'апрель 2023'!$D$4:$D$692,$B137,'апрель 2023'!$J$4:$J$692,T$1)</f>
        <v>0</v>
      </c>
      <c r="U137" s="207">
        <f>SUMIFS('апрель 2023'!$G$4:$G$692,'апрель 2023'!$D$4:$D$692,$B137,'апрель 2023'!$J$4:$J$692,U$1)</f>
        <v>0</v>
      </c>
      <c r="V137" s="207">
        <f>SUMIFS('апрель 2023'!$G$4:$G$692,'апрель 2023'!$D$4:$D$692,$B137,'апрель 2023'!$J$4:$J$692,V$1)</f>
        <v>0</v>
      </c>
      <c r="W137" s="207">
        <f>SUMIFS('апрель 2023'!$G$4:$G$692,'апрель 2023'!$D$4:$D$692,$B137,'апрель 2023'!$J$4:$J$692,W$1)</f>
        <v>0</v>
      </c>
      <c r="X137" s="207">
        <f>SUMIFS('апрель 2023'!$G$4:$G$692,'апрель 2023'!$D$4:$D$692,$B137,'апрель 2023'!$J$4:$J$692,X$1)</f>
        <v>0</v>
      </c>
      <c r="Y137" s="207">
        <f>SUMIFS('апрель 2023'!$G$4:$G$692,'апрель 2023'!$D$4:$D$692,$B137,'апрель 2023'!$J$4:$J$692,Y$1)</f>
        <v>0</v>
      </c>
      <c r="Z137" s="207">
        <f>SUMIFS('апрель 2023'!$G$4:$G$692,'апрель 2023'!$D$4:$D$692,$B137,'апрель 2023'!$J$4:$J$692,Z$1)</f>
        <v>0</v>
      </c>
      <c r="AA137" s="207">
        <f>SUMIFS('апрель 2023'!$G$4:$G$692,'апрель 2023'!$D$4:$D$692,$B137,'апрель 2023'!$J$4:$J$692,AA$1)</f>
        <v>0</v>
      </c>
      <c r="AB137" s="207">
        <f>SUMIFS('апрель 2023'!$G$4:$G$692,'апрель 2023'!$D$4:$D$692,$B137,'апрель 2023'!$J$4:$J$692,AB$1)</f>
        <v>0</v>
      </c>
      <c r="AC137" s="207">
        <f>SUMIFS('апрель 2023'!$G$4:$G$692,'апрель 2023'!$D$4:$D$692,$B137,'апрель 2023'!$J$4:$J$692,AC$1)</f>
        <v>0</v>
      </c>
      <c r="AD137" s="207">
        <f>SUMIFS('апрель 2023'!$G$4:$G$692,'апрель 2023'!$D$4:$D$692,$B137,'апрель 2023'!$J$4:$J$692,AD$1)</f>
        <v>0</v>
      </c>
      <c r="AE137" s="207">
        <f>SUMIFS('апрель 2023'!$G$4:$G$692,'апрель 2023'!$D$4:$D$692,$B137,'апрель 2023'!$J$4:$J$692,AE$1)</f>
        <v>0</v>
      </c>
      <c r="AF137" s="207">
        <f>SUMIFS('апрель 2023'!$G$4:$G$692,'апрель 2023'!$D$4:$D$692,$B137,'апрель 2023'!$J$4:$J$692,AF$1)</f>
        <v>0</v>
      </c>
      <c r="AG137" s="207">
        <f>SUMIFS('апрель 2023'!$G$4:$G$692,'апрель 2023'!$D$4:$D$692,$B137,'апрель 2023'!$J$4:$J$692,AG$1)</f>
        <v>0</v>
      </c>
      <c r="AH137" s="207">
        <f>SUMIFS('апрель 2023'!$G$4:$G$692,'апрель 2023'!$D$4:$D$692,$B137,'апрель 2023'!$J$4:$J$692,AH$1)</f>
        <v>0</v>
      </c>
      <c r="AI137" s="220">
        <f t="shared" si="3"/>
        <v>0</v>
      </c>
    </row>
    <row r="138" spans="2:35" ht="15" hidden="1" customHeight="1" x14ac:dyDescent="0.25">
      <c r="B138" s="212"/>
      <c r="C138" s="211"/>
      <c r="D138" s="207">
        <f>SUMIFS('апрель 2023'!$G$4:$G$692,'апрель 2023'!$D$4:$D$692,$B138,'апрель 2023'!$J$4:$J$692,D$1)</f>
        <v>0</v>
      </c>
      <c r="E138" s="207">
        <f>SUMIFS('апрель 2023'!$G$4:$G$692,'апрель 2023'!$D$4:$D$692,$B138,'апрель 2023'!$J$4:$J$692,E$1)</f>
        <v>0</v>
      </c>
      <c r="F138" s="207">
        <f>SUMIFS('апрель 2023'!$G$4:$G$692,'апрель 2023'!$D$4:$D$692,$B138,'апрель 2023'!$J$4:$J$692,F$1)</f>
        <v>0</v>
      </c>
      <c r="G138" s="207">
        <f>SUMIFS('апрель 2023'!$G$4:$G$692,'апрель 2023'!$D$4:$D$692,$B138,'апрель 2023'!$J$4:$J$692,G$1)</f>
        <v>0</v>
      </c>
      <c r="H138" s="207">
        <f>SUMIFS('апрель 2023'!$G$4:$G$692,'апрель 2023'!$D$4:$D$692,$B138,'апрель 2023'!$J$4:$J$692,H$1)</f>
        <v>0</v>
      </c>
      <c r="I138" s="207">
        <f>SUMIFS('апрель 2023'!$G$4:$G$692,'апрель 2023'!$D$4:$D$692,$B138,'апрель 2023'!$J$4:$J$692,I$1)</f>
        <v>0</v>
      </c>
      <c r="J138" s="207">
        <f>SUMIFS('апрель 2023'!$G$4:$G$692,'апрель 2023'!$D$4:$D$692,$B138,'апрель 2023'!$J$4:$J$692,J$1)</f>
        <v>0</v>
      </c>
      <c r="K138" s="207">
        <f>SUMIFS('апрель 2023'!$G$4:$G$692,'апрель 2023'!$D$4:$D$692,$B138,'апрель 2023'!$J$4:$J$692,K$1)</f>
        <v>0</v>
      </c>
      <c r="L138" s="207">
        <f>SUMIFS('апрель 2023'!$G$4:$G$692,'апрель 2023'!$D$4:$D$692,$B138,'апрель 2023'!$J$4:$J$692,L$1)</f>
        <v>0</v>
      </c>
      <c r="M138" s="207">
        <f>SUMIFS('апрель 2023'!$G$4:$G$692,'апрель 2023'!$D$4:$D$692,$B138,'апрель 2023'!$J$4:$J$692,M$1)</f>
        <v>0</v>
      </c>
      <c r="N138" s="207">
        <f>SUMIFS('апрель 2023'!$G$4:$G$692,'апрель 2023'!$D$4:$D$692,$B138,'апрель 2023'!$J$4:$J$692,N$1)</f>
        <v>0</v>
      </c>
      <c r="O138" s="207">
        <f>SUMIFS('апрель 2023'!$G$4:$G$692,'апрель 2023'!$D$4:$D$692,$B138,'апрель 2023'!$J$4:$J$692,O$1)</f>
        <v>0</v>
      </c>
      <c r="P138" s="207">
        <f>SUMIFS('апрель 2023'!$G$4:$G$692,'апрель 2023'!$D$4:$D$692,$B138,'апрель 2023'!$J$4:$J$692,P$1)</f>
        <v>0</v>
      </c>
      <c r="Q138" s="207">
        <f>SUMIFS('апрель 2023'!$G$4:$G$692,'апрель 2023'!$D$4:$D$692,$B138,'апрель 2023'!$J$4:$J$692,Q$1)</f>
        <v>0</v>
      </c>
      <c r="R138" s="207">
        <f>SUMIFS('апрель 2023'!$G$4:$G$692,'апрель 2023'!$D$4:$D$692,$B138,'апрель 2023'!$J$4:$J$692,R$1)</f>
        <v>0</v>
      </c>
      <c r="S138" s="207">
        <f>SUMIFS('апрель 2023'!$G$4:$G$692,'апрель 2023'!$D$4:$D$692,$B138,'апрель 2023'!$J$4:$J$692,S$1)</f>
        <v>0</v>
      </c>
      <c r="T138" s="207">
        <f>SUMIFS('апрель 2023'!$G$4:$G$692,'апрель 2023'!$D$4:$D$692,$B138,'апрель 2023'!$J$4:$J$692,T$1)</f>
        <v>0</v>
      </c>
      <c r="U138" s="207">
        <f>SUMIFS('апрель 2023'!$G$4:$G$692,'апрель 2023'!$D$4:$D$692,$B138,'апрель 2023'!$J$4:$J$692,U$1)</f>
        <v>0</v>
      </c>
      <c r="V138" s="207">
        <f>SUMIFS('апрель 2023'!$G$4:$G$692,'апрель 2023'!$D$4:$D$692,$B138,'апрель 2023'!$J$4:$J$692,V$1)</f>
        <v>0</v>
      </c>
      <c r="W138" s="207">
        <f>SUMIFS('апрель 2023'!$G$4:$G$692,'апрель 2023'!$D$4:$D$692,$B138,'апрель 2023'!$J$4:$J$692,W$1)</f>
        <v>0</v>
      </c>
      <c r="X138" s="207">
        <f>SUMIFS('апрель 2023'!$G$4:$G$692,'апрель 2023'!$D$4:$D$692,$B138,'апрель 2023'!$J$4:$J$692,X$1)</f>
        <v>0</v>
      </c>
      <c r="Y138" s="207">
        <f>SUMIFS('апрель 2023'!$G$4:$G$692,'апрель 2023'!$D$4:$D$692,$B138,'апрель 2023'!$J$4:$J$692,Y$1)</f>
        <v>0</v>
      </c>
      <c r="Z138" s="207">
        <f>SUMIFS('апрель 2023'!$G$4:$G$692,'апрель 2023'!$D$4:$D$692,$B138,'апрель 2023'!$J$4:$J$692,Z$1)</f>
        <v>0</v>
      </c>
      <c r="AA138" s="207">
        <f>SUMIFS('апрель 2023'!$G$4:$G$692,'апрель 2023'!$D$4:$D$692,$B138,'апрель 2023'!$J$4:$J$692,AA$1)</f>
        <v>0</v>
      </c>
      <c r="AB138" s="207">
        <f>SUMIFS('апрель 2023'!$G$4:$G$692,'апрель 2023'!$D$4:$D$692,$B138,'апрель 2023'!$J$4:$J$692,AB$1)</f>
        <v>0</v>
      </c>
      <c r="AC138" s="207">
        <f>SUMIFS('апрель 2023'!$G$4:$G$692,'апрель 2023'!$D$4:$D$692,$B138,'апрель 2023'!$J$4:$J$692,AC$1)</f>
        <v>0</v>
      </c>
      <c r="AD138" s="207">
        <f>SUMIFS('апрель 2023'!$G$4:$G$692,'апрель 2023'!$D$4:$D$692,$B138,'апрель 2023'!$J$4:$J$692,AD$1)</f>
        <v>0</v>
      </c>
      <c r="AE138" s="207">
        <f>SUMIFS('апрель 2023'!$G$4:$G$692,'апрель 2023'!$D$4:$D$692,$B138,'апрель 2023'!$J$4:$J$692,AE$1)</f>
        <v>0</v>
      </c>
      <c r="AF138" s="207">
        <f>SUMIFS('апрель 2023'!$G$4:$G$692,'апрель 2023'!$D$4:$D$692,$B138,'апрель 2023'!$J$4:$J$692,AF$1)</f>
        <v>0</v>
      </c>
      <c r="AG138" s="207">
        <f>SUMIFS('апрель 2023'!$G$4:$G$692,'апрель 2023'!$D$4:$D$692,$B138,'апрель 2023'!$J$4:$J$692,AG$1)</f>
        <v>0</v>
      </c>
      <c r="AH138" s="207">
        <f>SUMIFS('апрель 2023'!$G$4:$G$692,'апрель 2023'!$D$4:$D$692,$B138,'апрель 2023'!$J$4:$J$692,AH$1)</f>
        <v>0</v>
      </c>
      <c r="AI138" s="220"/>
    </row>
    <row r="139" spans="2:35" ht="15" hidden="1" customHeight="1" x14ac:dyDescent="0.25">
      <c r="B139" s="212"/>
      <c r="C139" s="211"/>
      <c r="D139" s="207">
        <f>SUMIFS('апрель 2023'!$G$4:$G$692,'апрель 2023'!$D$4:$D$692,$B139,'апрель 2023'!$J$4:$J$692,D$1)</f>
        <v>0</v>
      </c>
      <c r="E139" s="207">
        <f>SUMIFS('апрель 2023'!$G$4:$G$692,'апрель 2023'!$D$4:$D$692,$B139,'апрель 2023'!$J$4:$J$692,E$1)</f>
        <v>0</v>
      </c>
      <c r="F139" s="207">
        <f>SUMIFS('апрель 2023'!$G$4:$G$692,'апрель 2023'!$D$4:$D$692,$B139,'апрель 2023'!$J$4:$J$692,F$1)</f>
        <v>0</v>
      </c>
      <c r="G139" s="207">
        <f>SUMIFS('апрель 2023'!$G$4:$G$692,'апрель 2023'!$D$4:$D$692,$B139,'апрель 2023'!$J$4:$J$692,G$1)</f>
        <v>0</v>
      </c>
      <c r="H139" s="207">
        <f>SUMIFS('апрель 2023'!$G$4:$G$692,'апрель 2023'!$D$4:$D$692,$B139,'апрель 2023'!$J$4:$J$692,H$1)</f>
        <v>0</v>
      </c>
      <c r="I139" s="207">
        <f>SUMIFS('апрель 2023'!$G$4:$G$692,'апрель 2023'!$D$4:$D$692,$B139,'апрель 2023'!$J$4:$J$692,I$1)</f>
        <v>0</v>
      </c>
      <c r="J139" s="207">
        <f>SUMIFS('апрель 2023'!$G$4:$G$692,'апрель 2023'!$D$4:$D$692,$B139,'апрель 2023'!$J$4:$J$692,J$1)</f>
        <v>0</v>
      </c>
      <c r="K139" s="207">
        <f>SUMIFS('апрель 2023'!$G$4:$G$692,'апрель 2023'!$D$4:$D$692,$B139,'апрель 2023'!$J$4:$J$692,K$1)</f>
        <v>0</v>
      </c>
      <c r="L139" s="207">
        <f>SUMIFS('апрель 2023'!$G$4:$G$692,'апрель 2023'!$D$4:$D$692,$B139,'апрель 2023'!$J$4:$J$692,L$1)</f>
        <v>0</v>
      </c>
      <c r="M139" s="207">
        <f>SUMIFS('апрель 2023'!$G$4:$G$692,'апрель 2023'!$D$4:$D$692,$B139,'апрель 2023'!$J$4:$J$692,M$1)</f>
        <v>0</v>
      </c>
      <c r="N139" s="207">
        <f>SUMIFS('апрель 2023'!$G$4:$G$692,'апрель 2023'!$D$4:$D$692,$B139,'апрель 2023'!$J$4:$J$692,N$1)</f>
        <v>0</v>
      </c>
      <c r="O139" s="207">
        <f>SUMIFS('апрель 2023'!$G$4:$G$692,'апрель 2023'!$D$4:$D$692,$B139,'апрель 2023'!$J$4:$J$692,O$1)</f>
        <v>0</v>
      </c>
      <c r="P139" s="207">
        <f>SUMIFS('апрель 2023'!$G$4:$G$692,'апрель 2023'!$D$4:$D$692,$B139,'апрель 2023'!$J$4:$J$692,P$1)</f>
        <v>0</v>
      </c>
      <c r="Q139" s="207">
        <f>SUMIFS('апрель 2023'!$G$4:$G$692,'апрель 2023'!$D$4:$D$692,$B139,'апрель 2023'!$J$4:$J$692,Q$1)</f>
        <v>0</v>
      </c>
      <c r="R139" s="207">
        <f>SUMIFS('апрель 2023'!$G$4:$G$692,'апрель 2023'!$D$4:$D$692,$B139,'апрель 2023'!$J$4:$J$692,R$1)</f>
        <v>0</v>
      </c>
      <c r="S139" s="207">
        <f>SUMIFS('апрель 2023'!$G$4:$G$692,'апрель 2023'!$D$4:$D$692,$B139,'апрель 2023'!$J$4:$J$692,S$1)</f>
        <v>0</v>
      </c>
      <c r="T139" s="207">
        <f>SUMIFS('апрель 2023'!$G$4:$G$692,'апрель 2023'!$D$4:$D$692,$B139,'апрель 2023'!$J$4:$J$692,T$1)</f>
        <v>0</v>
      </c>
      <c r="U139" s="207">
        <f>SUMIFS('апрель 2023'!$G$4:$G$692,'апрель 2023'!$D$4:$D$692,$B139,'апрель 2023'!$J$4:$J$692,U$1)</f>
        <v>0</v>
      </c>
      <c r="V139" s="207">
        <f>SUMIFS('апрель 2023'!$G$4:$G$692,'апрель 2023'!$D$4:$D$692,$B139,'апрель 2023'!$J$4:$J$692,V$1)</f>
        <v>0</v>
      </c>
      <c r="W139" s="207">
        <f>SUMIFS('апрель 2023'!$G$4:$G$692,'апрель 2023'!$D$4:$D$692,$B139,'апрель 2023'!$J$4:$J$692,W$1)</f>
        <v>0</v>
      </c>
      <c r="X139" s="207">
        <f>SUMIFS('апрель 2023'!$G$4:$G$692,'апрель 2023'!$D$4:$D$692,$B139,'апрель 2023'!$J$4:$J$692,X$1)</f>
        <v>0</v>
      </c>
      <c r="Y139" s="207">
        <f>SUMIFS('апрель 2023'!$G$4:$G$692,'апрель 2023'!$D$4:$D$692,$B139,'апрель 2023'!$J$4:$J$692,Y$1)</f>
        <v>0</v>
      </c>
      <c r="Z139" s="207">
        <f>SUMIFS('апрель 2023'!$G$4:$G$692,'апрель 2023'!$D$4:$D$692,$B139,'апрель 2023'!$J$4:$J$692,Z$1)</f>
        <v>0</v>
      </c>
      <c r="AA139" s="207">
        <f>SUMIFS('апрель 2023'!$G$4:$G$692,'апрель 2023'!$D$4:$D$692,$B139,'апрель 2023'!$J$4:$J$692,AA$1)</f>
        <v>0</v>
      </c>
      <c r="AB139" s="207">
        <f>SUMIFS('апрель 2023'!$G$4:$G$692,'апрель 2023'!$D$4:$D$692,$B139,'апрель 2023'!$J$4:$J$692,AB$1)</f>
        <v>0</v>
      </c>
      <c r="AC139" s="207">
        <f>SUMIFS('апрель 2023'!$G$4:$G$692,'апрель 2023'!$D$4:$D$692,$B139,'апрель 2023'!$J$4:$J$692,AC$1)</f>
        <v>0</v>
      </c>
      <c r="AD139" s="207">
        <f>SUMIFS('апрель 2023'!$G$4:$G$692,'апрель 2023'!$D$4:$D$692,$B139,'апрель 2023'!$J$4:$J$692,AD$1)</f>
        <v>0</v>
      </c>
      <c r="AE139" s="207">
        <f>SUMIFS('апрель 2023'!$G$4:$G$692,'апрель 2023'!$D$4:$D$692,$B139,'апрель 2023'!$J$4:$J$692,AE$1)</f>
        <v>0</v>
      </c>
      <c r="AF139" s="207">
        <f>SUMIFS('апрель 2023'!$G$4:$G$692,'апрель 2023'!$D$4:$D$692,$B139,'апрель 2023'!$J$4:$J$692,AF$1)</f>
        <v>0</v>
      </c>
      <c r="AG139" s="207">
        <f>SUMIFS('апрель 2023'!$G$4:$G$692,'апрель 2023'!$D$4:$D$692,$B139,'апрель 2023'!$J$4:$J$692,AG$1)</f>
        <v>0</v>
      </c>
      <c r="AH139" s="207">
        <f>SUMIFS('апрель 2023'!$G$4:$G$692,'апрель 2023'!$D$4:$D$692,$B139,'апрель 2023'!$J$4:$J$692,AH$1)</f>
        <v>0</v>
      </c>
      <c r="AI139" s="220">
        <f t="shared" si="3"/>
        <v>0</v>
      </c>
    </row>
    <row r="140" spans="2:35" ht="15" hidden="1" customHeight="1" x14ac:dyDescent="0.25">
      <c r="B140" s="212"/>
      <c r="C140" s="211"/>
      <c r="D140" s="207">
        <f>SUMIFS('апрель 2023'!$G$4:$G$692,'апрель 2023'!$D$4:$D$692,$B140,'апрель 2023'!$J$4:$J$692,D$1)</f>
        <v>0</v>
      </c>
      <c r="E140" s="207">
        <f>SUMIFS('апрель 2023'!$G$4:$G$692,'апрель 2023'!$D$4:$D$692,$B140,'апрель 2023'!$J$4:$J$692,E$1)</f>
        <v>0</v>
      </c>
      <c r="F140" s="207">
        <f>SUMIFS('апрель 2023'!$G$4:$G$692,'апрель 2023'!$D$4:$D$692,$B140,'апрель 2023'!$J$4:$J$692,F$1)</f>
        <v>0</v>
      </c>
      <c r="G140" s="207">
        <f>SUMIFS('апрель 2023'!$G$4:$G$692,'апрель 2023'!$D$4:$D$692,$B140,'апрель 2023'!$J$4:$J$692,G$1)</f>
        <v>0</v>
      </c>
      <c r="H140" s="207">
        <f>SUMIFS('апрель 2023'!$G$4:$G$692,'апрель 2023'!$D$4:$D$692,$B140,'апрель 2023'!$J$4:$J$692,H$1)</f>
        <v>0</v>
      </c>
      <c r="I140" s="207">
        <f>SUMIFS('апрель 2023'!$G$4:$G$692,'апрель 2023'!$D$4:$D$692,$B140,'апрель 2023'!$J$4:$J$692,I$1)</f>
        <v>0</v>
      </c>
      <c r="J140" s="207">
        <f>SUMIFS('апрель 2023'!$G$4:$G$692,'апрель 2023'!$D$4:$D$692,$B140,'апрель 2023'!$J$4:$J$692,J$1)</f>
        <v>0</v>
      </c>
      <c r="K140" s="207">
        <f>SUMIFS('апрель 2023'!$G$4:$G$692,'апрель 2023'!$D$4:$D$692,$B140,'апрель 2023'!$J$4:$J$692,K$1)</f>
        <v>0</v>
      </c>
      <c r="L140" s="207">
        <f>SUMIFS('апрель 2023'!$G$4:$G$692,'апрель 2023'!$D$4:$D$692,$B140,'апрель 2023'!$J$4:$J$692,L$1)</f>
        <v>0</v>
      </c>
      <c r="M140" s="207">
        <f>SUMIFS('апрель 2023'!$G$4:$G$692,'апрель 2023'!$D$4:$D$692,$B140,'апрель 2023'!$J$4:$J$692,M$1)</f>
        <v>0</v>
      </c>
      <c r="N140" s="207">
        <f>SUMIFS('апрель 2023'!$G$4:$G$692,'апрель 2023'!$D$4:$D$692,$B140,'апрель 2023'!$J$4:$J$692,N$1)</f>
        <v>0</v>
      </c>
      <c r="O140" s="207">
        <f>SUMIFS('апрель 2023'!$G$4:$G$692,'апрель 2023'!$D$4:$D$692,$B140,'апрель 2023'!$J$4:$J$692,O$1)</f>
        <v>0</v>
      </c>
      <c r="P140" s="207">
        <f>SUMIFS('апрель 2023'!$G$4:$G$692,'апрель 2023'!$D$4:$D$692,$B140,'апрель 2023'!$J$4:$J$692,P$1)</f>
        <v>0</v>
      </c>
      <c r="Q140" s="207">
        <f>SUMIFS('апрель 2023'!$G$4:$G$692,'апрель 2023'!$D$4:$D$692,$B140,'апрель 2023'!$J$4:$J$692,Q$1)</f>
        <v>0</v>
      </c>
      <c r="R140" s="207">
        <f>SUMIFS('апрель 2023'!$G$4:$G$692,'апрель 2023'!$D$4:$D$692,$B140,'апрель 2023'!$J$4:$J$692,R$1)</f>
        <v>0</v>
      </c>
      <c r="S140" s="207">
        <f>SUMIFS('апрель 2023'!$G$4:$G$692,'апрель 2023'!$D$4:$D$692,$B140,'апрель 2023'!$J$4:$J$692,S$1)</f>
        <v>0</v>
      </c>
      <c r="T140" s="207">
        <f>SUMIFS('апрель 2023'!$G$4:$G$692,'апрель 2023'!$D$4:$D$692,$B140,'апрель 2023'!$J$4:$J$692,T$1)</f>
        <v>0</v>
      </c>
      <c r="U140" s="207">
        <f>SUMIFS('апрель 2023'!$G$4:$G$692,'апрель 2023'!$D$4:$D$692,$B140,'апрель 2023'!$J$4:$J$692,U$1)</f>
        <v>0</v>
      </c>
      <c r="V140" s="207">
        <f>SUMIFS('апрель 2023'!$G$4:$G$692,'апрель 2023'!$D$4:$D$692,$B140,'апрель 2023'!$J$4:$J$692,V$1)</f>
        <v>0</v>
      </c>
      <c r="W140" s="207">
        <f>SUMIFS('апрель 2023'!$G$4:$G$692,'апрель 2023'!$D$4:$D$692,$B140,'апрель 2023'!$J$4:$J$692,W$1)</f>
        <v>0</v>
      </c>
      <c r="X140" s="207">
        <f>SUMIFS('апрель 2023'!$G$4:$G$692,'апрель 2023'!$D$4:$D$692,$B140,'апрель 2023'!$J$4:$J$692,X$1)</f>
        <v>0</v>
      </c>
      <c r="Y140" s="207">
        <f>SUMIFS('апрель 2023'!$G$4:$G$692,'апрель 2023'!$D$4:$D$692,$B140,'апрель 2023'!$J$4:$J$692,Y$1)</f>
        <v>0</v>
      </c>
      <c r="Z140" s="207">
        <f>SUMIFS('апрель 2023'!$G$4:$G$692,'апрель 2023'!$D$4:$D$692,$B140,'апрель 2023'!$J$4:$J$692,Z$1)</f>
        <v>0</v>
      </c>
      <c r="AA140" s="207">
        <f>SUMIFS('апрель 2023'!$G$4:$G$692,'апрель 2023'!$D$4:$D$692,$B140,'апрель 2023'!$J$4:$J$692,AA$1)</f>
        <v>0</v>
      </c>
      <c r="AB140" s="207">
        <f>SUMIFS('апрель 2023'!$G$4:$G$692,'апрель 2023'!$D$4:$D$692,$B140,'апрель 2023'!$J$4:$J$692,AB$1)</f>
        <v>0</v>
      </c>
      <c r="AC140" s="207">
        <f>SUMIFS('апрель 2023'!$G$4:$G$692,'апрель 2023'!$D$4:$D$692,$B140,'апрель 2023'!$J$4:$J$692,AC$1)</f>
        <v>0</v>
      </c>
      <c r="AD140" s="207">
        <f>SUMIFS('апрель 2023'!$G$4:$G$692,'апрель 2023'!$D$4:$D$692,$B140,'апрель 2023'!$J$4:$J$692,AD$1)</f>
        <v>0</v>
      </c>
      <c r="AE140" s="207">
        <f>SUMIFS('апрель 2023'!$G$4:$G$692,'апрель 2023'!$D$4:$D$692,$B140,'апрель 2023'!$J$4:$J$692,AE$1)</f>
        <v>0</v>
      </c>
      <c r="AF140" s="207">
        <f>SUMIFS('апрель 2023'!$G$4:$G$692,'апрель 2023'!$D$4:$D$692,$B140,'апрель 2023'!$J$4:$J$692,AF$1)</f>
        <v>0</v>
      </c>
      <c r="AG140" s="207">
        <f>SUMIFS('апрель 2023'!$G$4:$G$692,'апрель 2023'!$D$4:$D$692,$B140,'апрель 2023'!$J$4:$J$692,AG$1)</f>
        <v>0</v>
      </c>
      <c r="AH140" s="207">
        <f>SUMIFS('апрель 2023'!$G$4:$G$692,'апрель 2023'!$D$4:$D$692,$B140,'апрель 2023'!$J$4:$J$692,AH$1)</f>
        <v>0</v>
      </c>
      <c r="AI140" s="220">
        <f t="shared" si="3"/>
        <v>0</v>
      </c>
    </row>
    <row r="141" spans="2:35" ht="15" hidden="1" customHeight="1" x14ac:dyDescent="0.25">
      <c r="B141" s="218"/>
      <c r="C141" s="219"/>
      <c r="D141" s="207">
        <f>SUMIFS('апрель 2023'!$G$4:$G$692,'апрель 2023'!$D$4:$D$692,$B141,'апрель 2023'!$J$4:$J$692,D$1)</f>
        <v>0</v>
      </c>
      <c r="E141" s="207">
        <f>SUMIFS('апрель 2023'!$G$4:$G$692,'апрель 2023'!$D$4:$D$692,$B141,'апрель 2023'!$J$4:$J$692,E$1)</f>
        <v>0</v>
      </c>
      <c r="F141" s="207">
        <f>SUMIFS('апрель 2023'!$G$4:$G$692,'апрель 2023'!$D$4:$D$692,$B141,'апрель 2023'!$J$4:$J$692,F$1)</f>
        <v>0</v>
      </c>
      <c r="G141" s="207">
        <f>SUMIFS('апрель 2023'!$G$4:$G$692,'апрель 2023'!$D$4:$D$692,$B141,'апрель 2023'!$J$4:$J$692,G$1)</f>
        <v>0</v>
      </c>
      <c r="H141" s="207">
        <f>SUMIFS('апрель 2023'!$G$4:$G$692,'апрель 2023'!$D$4:$D$692,$B141,'апрель 2023'!$J$4:$J$692,H$1)</f>
        <v>0</v>
      </c>
      <c r="I141" s="207">
        <f>SUMIFS('апрель 2023'!$G$4:$G$692,'апрель 2023'!$D$4:$D$692,$B141,'апрель 2023'!$J$4:$J$692,I$1)</f>
        <v>0</v>
      </c>
      <c r="J141" s="207">
        <f>SUMIFS('апрель 2023'!$G$4:$G$692,'апрель 2023'!$D$4:$D$692,$B141,'апрель 2023'!$J$4:$J$692,J$1)</f>
        <v>0</v>
      </c>
      <c r="K141" s="207">
        <f>SUMIFS('апрель 2023'!$G$4:$G$692,'апрель 2023'!$D$4:$D$692,$B141,'апрель 2023'!$J$4:$J$692,K$1)</f>
        <v>0</v>
      </c>
      <c r="L141" s="207">
        <f>SUMIFS('апрель 2023'!$G$4:$G$692,'апрель 2023'!$D$4:$D$692,$B141,'апрель 2023'!$J$4:$J$692,L$1)</f>
        <v>0</v>
      </c>
      <c r="M141" s="207">
        <f>SUMIFS('апрель 2023'!$G$4:$G$692,'апрель 2023'!$D$4:$D$692,$B141,'апрель 2023'!$J$4:$J$692,M$1)</f>
        <v>0</v>
      </c>
      <c r="N141" s="207">
        <f>SUMIFS('апрель 2023'!$G$4:$G$692,'апрель 2023'!$D$4:$D$692,$B141,'апрель 2023'!$J$4:$J$692,N$1)</f>
        <v>0</v>
      </c>
      <c r="O141" s="207">
        <f>SUMIFS('апрель 2023'!$G$4:$G$692,'апрель 2023'!$D$4:$D$692,$B141,'апрель 2023'!$J$4:$J$692,O$1)</f>
        <v>0</v>
      </c>
      <c r="P141" s="207">
        <f>SUMIFS('апрель 2023'!$G$4:$G$692,'апрель 2023'!$D$4:$D$692,$B141,'апрель 2023'!$J$4:$J$692,P$1)</f>
        <v>0</v>
      </c>
      <c r="Q141" s="207">
        <f>SUMIFS('апрель 2023'!$G$4:$G$692,'апрель 2023'!$D$4:$D$692,$B141,'апрель 2023'!$J$4:$J$692,Q$1)</f>
        <v>0</v>
      </c>
      <c r="R141" s="207">
        <f>SUMIFS('апрель 2023'!$G$4:$G$692,'апрель 2023'!$D$4:$D$692,$B141,'апрель 2023'!$J$4:$J$692,R$1)</f>
        <v>0</v>
      </c>
      <c r="S141" s="207">
        <f>SUMIFS('апрель 2023'!$G$4:$G$692,'апрель 2023'!$D$4:$D$692,$B141,'апрель 2023'!$J$4:$J$692,S$1)</f>
        <v>0</v>
      </c>
      <c r="T141" s="207">
        <f>SUMIFS('апрель 2023'!$G$4:$G$692,'апрель 2023'!$D$4:$D$692,$B141,'апрель 2023'!$J$4:$J$692,T$1)</f>
        <v>0</v>
      </c>
      <c r="U141" s="207">
        <f>SUMIFS('апрель 2023'!$G$4:$G$692,'апрель 2023'!$D$4:$D$692,$B141,'апрель 2023'!$J$4:$J$692,U$1)</f>
        <v>0</v>
      </c>
      <c r="V141" s="207">
        <f>SUMIFS('апрель 2023'!$G$4:$G$692,'апрель 2023'!$D$4:$D$692,$B141,'апрель 2023'!$J$4:$J$692,V$1)</f>
        <v>0</v>
      </c>
      <c r="W141" s="207">
        <f>SUMIFS('апрель 2023'!$G$4:$G$692,'апрель 2023'!$D$4:$D$692,$B141,'апрель 2023'!$J$4:$J$692,W$1)</f>
        <v>0</v>
      </c>
      <c r="X141" s="207">
        <f>SUMIFS('апрель 2023'!$G$4:$G$692,'апрель 2023'!$D$4:$D$692,$B141,'апрель 2023'!$J$4:$J$692,X$1)</f>
        <v>0</v>
      </c>
      <c r="Y141" s="207">
        <f>SUMIFS('апрель 2023'!$G$4:$G$692,'апрель 2023'!$D$4:$D$692,$B141,'апрель 2023'!$J$4:$J$692,Y$1)</f>
        <v>0</v>
      </c>
      <c r="Z141" s="207">
        <f>SUMIFS('апрель 2023'!$G$4:$G$692,'апрель 2023'!$D$4:$D$692,$B141,'апрель 2023'!$J$4:$J$692,Z$1)</f>
        <v>0</v>
      </c>
      <c r="AA141" s="207">
        <f>SUMIFS('апрель 2023'!$G$4:$G$692,'апрель 2023'!$D$4:$D$692,$B141,'апрель 2023'!$J$4:$J$692,AA$1)</f>
        <v>0</v>
      </c>
      <c r="AB141" s="207">
        <f>SUMIFS('апрель 2023'!$G$4:$G$692,'апрель 2023'!$D$4:$D$692,$B141,'апрель 2023'!$J$4:$J$692,AB$1)</f>
        <v>0</v>
      </c>
      <c r="AC141" s="207">
        <f>SUMIFS('апрель 2023'!$G$4:$G$692,'апрель 2023'!$D$4:$D$692,$B141,'апрель 2023'!$J$4:$J$692,AC$1)</f>
        <v>0</v>
      </c>
      <c r="AD141" s="207">
        <f>SUMIFS('апрель 2023'!$G$4:$G$692,'апрель 2023'!$D$4:$D$692,$B141,'апрель 2023'!$J$4:$J$692,AD$1)</f>
        <v>0</v>
      </c>
      <c r="AE141" s="207">
        <f>SUMIFS('апрель 2023'!$G$4:$G$692,'апрель 2023'!$D$4:$D$692,$B141,'апрель 2023'!$J$4:$J$692,AE$1)</f>
        <v>0</v>
      </c>
      <c r="AF141" s="207">
        <f>SUMIFS('апрель 2023'!$G$4:$G$692,'апрель 2023'!$D$4:$D$692,$B141,'апрель 2023'!$J$4:$J$692,AF$1)</f>
        <v>0</v>
      </c>
      <c r="AG141" s="207">
        <f>SUMIFS('апрель 2023'!$G$4:$G$692,'апрель 2023'!$D$4:$D$692,$B141,'апрель 2023'!$J$4:$J$692,AG$1)</f>
        <v>0</v>
      </c>
      <c r="AH141" s="207">
        <f>SUMIFS('апрель 2023'!$G$4:$G$692,'апрель 2023'!$D$4:$D$692,$B141,'апрель 2023'!$J$4:$J$692,AH$1)</f>
        <v>0</v>
      </c>
      <c r="AI141" s="220">
        <f t="shared" si="3"/>
        <v>0</v>
      </c>
    </row>
    <row r="142" spans="2:35" ht="15" hidden="1" customHeight="1" x14ac:dyDescent="0.25">
      <c r="B142" s="212"/>
      <c r="C142" s="213"/>
      <c r="D142" s="207">
        <f>SUMIFS('апрель 2023'!$G$4:$G$692,'апрель 2023'!$D$4:$D$692,$B142,'апрель 2023'!$J$4:$J$692,D$1)</f>
        <v>0</v>
      </c>
      <c r="E142" s="207">
        <f>SUMIFS('апрель 2023'!$G$4:$G$692,'апрель 2023'!$D$4:$D$692,$B142,'апрель 2023'!$J$4:$J$692,E$1)</f>
        <v>0</v>
      </c>
      <c r="F142" s="207">
        <f>SUMIFS('апрель 2023'!$G$4:$G$692,'апрель 2023'!$D$4:$D$692,$B142,'апрель 2023'!$J$4:$J$692,F$1)</f>
        <v>0</v>
      </c>
      <c r="G142" s="207">
        <f>SUMIFS('апрель 2023'!$G$4:$G$692,'апрель 2023'!$D$4:$D$692,$B142,'апрель 2023'!$J$4:$J$692,G$1)</f>
        <v>0</v>
      </c>
      <c r="H142" s="207">
        <f>SUMIFS('апрель 2023'!$G$4:$G$692,'апрель 2023'!$D$4:$D$692,$B142,'апрель 2023'!$J$4:$J$692,H$1)</f>
        <v>0</v>
      </c>
      <c r="I142" s="207">
        <f>SUMIFS('апрель 2023'!$G$4:$G$692,'апрель 2023'!$D$4:$D$692,$B142,'апрель 2023'!$J$4:$J$692,I$1)</f>
        <v>0</v>
      </c>
      <c r="J142" s="207">
        <f>SUMIFS('апрель 2023'!$G$4:$G$692,'апрель 2023'!$D$4:$D$692,$B142,'апрель 2023'!$J$4:$J$692,J$1)</f>
        <v>0</v>
      </c>
      <c r="K142" s="207">
        <f>SUMIFS('апрель 2023'!$G$4:$G$692,'апрель 2023'!$D$4:$D$692,$B142,'апрель 2023'!$J$4:$J$692,K$1)</f>
        <v>0</v>
      </c>
      <c r="L142" s="207">
        <f>SUMIFS('апрель 2023'!$G$4:$G$692,'апрель 2023'!$D$4:$D$692,$B142,'апрель 2023'!$J$4:$J$692,L$1)</f>
        <v>0</v>
      </c>
      <c r="M142" s="207">
        <f>SUMIFS('апрель 2023'!$G$4:$G$692,'апрель 2023'!$D$4:$D$692,$B142,'апрель 2023'!$J$4:$J$692,M$1)</f>
        <v>0</v>
      </c>
      <c r="N142" s="207">
        <f>SUMIFS('апрель 2023'!$G$4:$G$692,'апрель 2023'!$D$4:$D$692,$B142,'апрель 2023'!$J$4:$J$692,N$1)</f>
        <v>0</v>
      </c>
      <c r="O142" s="207">
        <f>SUMIFS('апрель 2023'!$G$4:$G$692,'апрель 2023'!$D$4:$D$692,$B142,'апрель 2023'!$J$4:$J$692,O$1)</f>
        <v>0</v>
      </c>
      <c r="P142" s="207">
        <f>SUMIFS('апрель 2023'!$G$4:$G$692,'апрель 2023'!$D$4:$D$692,$B142,'апрель 2023'!$J$4:$J$692,P$1)</f>
        <v>0</v>
      </c>
      <c r="Q142" s="207">
        <f>SUMIFS('апрель 2023'!$G$4:$G$692,'апрель 2023'!$D$4:$D$692,$B142,'апрель 2023'!$J$4:$J$692,Q$1)</f>
        <v>0</v>
      </c>
      <c r="R142" s="207">
        <f>SUMIFS('апрель 2023'!$G$4:$G$692,'апрель 2023'!$D$4:$D$692,$B142,'апрель 2023'!$J$4:$J$692,R$1)</f>
        <v>0</v>
      </c>
      <c r="S142" s="207">
        <f>SUMIFS('апрель 2023'!$G$4:$G$692,'апрель 2023'!$D$4:$D$692,$B142,'апрель 2023'!$J$4:$J$692,S$1)</f>
        <v>0</v>
      </c>
      <c r="T142" s="207">
        <f>SUMIFS('апрель 2023'!$G$4:$G$692,'апрель 2023'!$D$4:$D$692,$B142,'апрель 2023'!$J$4:$J$692,T$1)</f>
        <v>0</v>
      </c>
      <c r="U142" s="207">
        <f>SUMIFS('апрель 2023'!$G$4:$G$692,'апрель 2023'!$D$4:$D$692,$B142,'апрель 2023'!$J$4:$J$692,U$1)</f>
        <v>0</v>
      </c>
      <c r="V142" s="207">
        <f>SUMIFS('апрель 2023'!$G$4:$G$692,'апрель 2023'!$D$4:$D$692,$B142,'апрель 2023'!$J$4:$J$692,V$1)</f>
        <v>0</v>
      </c>
      <c r="W142" s="207">
        <f>SUMIFS('апрель 2023'!$G$4:$G$692,'апрель 2023'!$D$4:$D$692,$B142,'апрель 2023'!$J$4:$J$692,W$1)</f>
        <v>0</v>
      </c>
      <c r="X142" s="207">
        <f>SUMIFS('апрель 2023'!$G$4:$G$692,'апрель 2023'!$D$4:$D$692,$B142,'апрель 2023'!$J$4:$J$692,X$1)</f>
        <v>0</v>
      </c>
      <c r="Y142" s="207">
        <f>SUMIFS('апрель 2023'!$G$4:$G$692,'апрель 2023'!$D$4:$D$692,$B142,'апрель 2023'!$J$4:$J$692,Y$1)</f>
        <v>0</v>
      </c>
      <c r="Z142" s="207">
        <f>SUMIFS('апрель 2023'!$G$4:$G$692,'апрель 2023'!$D$4:$D$692,$B142,'апрель 2023'!$J$4:$J$692,Z$1)</f>
        <v>0</v>
      </c>
      <c r="AA142" s="207">
        <f>SUMIFS('апрель 2023'!$G$4:$G$692,'апрель 2023'!$D$4:$D$692,$B142,'апрель 2023'!$J$4:$J$692,AA$1)</f>
        <v>0</v>
      </c>
      <c r="AB142" s="207">
        <f>SUMIFS('апрель 2023'!$G$4:$G$692,'апрель 2023'!$D$4:$D$692,$B142,'апрель 2023'!$J$4:$J$692,AB$1)</f>
        <v>0</v>
      </c>
      <c r="AC142" s="207">
        <f>SUMIFS('апрель 2023'!$G$4:$G$692,'апрель 2023'!$D$4:$D$692,$B142,'апрель 2023'!$J$4:$J$692,AC$1)</f>
        <v>0</v>
      </c>
      <c r="AD142" s="207">
        <f>SUMIFS('апрель 2023'!$G$4:$G$692,'апрель 2023'!$D$4:$D$692,$B142,'апрель 2023'!$J$4:$J$692,AD$1)</f>
        <v>0</v>
      </c>
      <c r="AE142" s="207">
        <f>SUMIFS('апрель 2023'!$G$4:$G$692,'апрель 2023'!$D$4:$D$692,$B142,'апрель 2023'!$J$4:$J$692,AE$1)</f>
        <v>0</v>
      </c>
      <c r="AF142" s="207">
        <f>SUMIFS('апрель 2023'!$G$4:$G$692,'апрель 2023'!$D$4:$D$692,$B142,'апрель 2023'!$J$4:$J$692,AF$1)</f>
        <v>0</v>
      </c>
      <c r="AG142" s="207">
        <f>SUMIFS('апрель 2023'!$G$4:$G$692,'апрель 2023'!$D$4:$D$692,$B142,'апрель 2023'!$J$4:$J$692,AG$1)</f>
        <v>0</v>
      </c>
      <c r="AH142" s="207">
        <f>SUMIFS('апрель 2023'!$G$4:$G$692,'апрель 2023'!$D$4:$D$692,$B142,'апрель 2023'!$J$4:$J$692,AH$1)</f>
        <v>0</v>
      </c>
      <c r="AI142" s="220">
        <f t="shared" si="3"/>
        <v>0</v>
      </c>
    </row>
    <row r="143" spans="2:35" ht="15" hidden="1" customHeight="1" x14ac:dyDescent="0.25">
      <c r="B143" s="212"/>
      <c r="C143" s="211"/>
      <c r="D143" s="207">
        <f>SUMIFS('апрель 2023'!$G$4:$G$692,'апрель 2023'!$D$4:$D$692,$B143,'апрель 2023'!$J$4:$J$692,D$1)</f>
        <v>0</v>
      </c>
      <c r="E143" s="207">
        <f>SUMIFS('апрель 2023'!$G$4:$G$692,'апрель 2023'!$D$4:$D$692,$B143,'апрель 2023'!$J$4:$J$692,E$1)</f>
        <v>0</v>
      </c>
      <c r="F143" s="207">
        <f>SUMIFS('апрель 2023'!$G$4:$G$692,'апрель 2023'!$D$4:$D$692,$B143,'апрель 2023'!$J$4:$J$692,F$1)</f>
        <v>0</v>
      </c>
      <c r="G143" s="207">
        <f>SUMIFS('апрель 2023'!$G$4:$G$692,'апрель 2023'!$D$4:$D$692,$B143,'апрель 2023'!$J$4:$J$692,G$1)</f>
        <v>0</v>
      </c>
      <c r="H143" s="207">
        <f>SUMIFS('апрель 2023'!$G$4:$G$692,'апрель 2023'!$D$4:$D$692,$B143,'апрель 2023'!$J$4:$J$692,H$1)</f>
        <v>0</v>
      </c>
      <c r="I143" s="207">
        <f>SUMIFS('апрель 2023'!$G$4:$G$692,'апрель 2023'!$D$4:$D$692,$B143,'апрель 2023'!$J$4:$J$692,I$1)</f>
        <v>0</v>
      </c>
      <c r="J143" s="207">
        <f>SUMIFS('апрель 2023'!$G$4:$G$692,'апрель 2023'!$D$4:$D$692,$B143,'апрель 2023'!$J$4:$J$692,J$1)</f>
        <v>0</v>
      </c>
      <c r="K143" s="207">
        <f>SUMIFS('апрель 2023'!$G$4:$G$692,'апрель 2023'!$D$4:$D$692,$B143,'апрель 2023'!$J$4:$J$692,K$1)</f>
        <v>0</v>
      </c>
      <c r="L143" s="207">
        <f>SUMIFS('апрель 2023'!$G$4:$G$692,'апрель 2023'!$D$4:$D$692,$B143,'апрель 2023'!$J$4:$J$692,L$1)</f>
        <v>0</v>
      </c>
      <c r="M143" s="207">
        <f>SUMIFS('апрель 2023'!$G$4:$G$692,'апрель 2023'!$D$4:$D$692,$B143,'апрель 2023'!$J$4:$J$692,M$1)</f>
        <v>0</v>
      </c>
      <c r="N143" s="207">
        <f>SUMIFS('апрель 2023'!$G$4:$G$692,'апрель 2023'!$D$4:$D$692,$B143,'апрель 2023'!$J$4:$J$692,N$1)</f>
        <v>0</v>
      </c>
      <c r="O143" s="207">
        <f>SUMIFS('апрель 2023'!$G$4:$G$692,'апрель 2023'!$D$4:$D$692,$B143,'апрель 2023'!$J$4:$J$692,O$1)</f>
        <v>0</v>
      </c>
      <c r="P143" s="207">
        <f>SUMIFS('апрель 2023'!$G$4:$G$692,'апрель 2023'!$D$4:$D$692,$B143,'апрель 2023'!$J$4:$J$692,P$1)</f>
        <v>0</v>
      </c>
      <c r="Q143" s="207">
        <f>SUMIFS('апрель 2023'!$G$4:$G$692,'апрель 2023'!$D$4:$D$692,$B143,'апрель 2023'!$J$4:$J$692,Q$1)</f>
        <v>0</v>
      </c>
      <c r="R143" s="207">
        <f>SUMIFS('апрель 2023'!$G$4:$G$692,'апрель 2023'!$D$4:$D$692,$B143,'апрель 2023'!$J$4:$J$692,R$1)</f>
        <v>0</v>
      </c>
      <c r="S143" s="207">
        <f>SUMIFS('апрель 2023'!$G$4:$G$692,'апрель 2023'!$D$4:$D$692,$B143,'апрель 2023'!$J$4:$J$692,S$1)</f>
        <v>0</v>
      </c>
      <c r="T143" s="207">
        <f>SUMIFS('апрель 2023'!$G$4:$G$692,'апрель 2023'!$D$4:$D$692,$B143,'апрель 2023'!$J$4:$J$692,T$1)</f>
        <v>0</v>
      </c>
      <c r="U143" s="207">
        <f>SUMIFS('апрель 2023'!$G$4:$G$692,'апрель 2023'!$D$4:$D$692,$B143,'апрель 2023'!$J$4:$J$692,U$1)</f>
        <v>0</v>
      </c>
      <c r="V143" s="207">
        <f>SUMIFS('апрель 2023'!$G$4:$G$692,'апрель 2023'!$D$4:$D$692,$B143,'апрель 2023'!$J$4:$J$692,V$1)</f>
        <v>0</v>
      </c>
      <c r="W143" s="207">
        <f>SUMIFS('апрель 2023'!$G$4:$G$692,'апрель 2023'!$D$4:$D$692,$B143,'апрель 2023'!$J$4:$J$692,W$1)</f>
        <v>0</v>
      </c>
      <c r="X143" s="207">
        <f>SUMIFS('апрель 2023'!$G$4:$G$692,'апрель 2023'!$D$4:$D$692,$B143,'апрель 2023'!$J$4:$J$692,X$1)</f>
        <v>0</v>
      </c>
      <c r="Y143" s="207">
        <f>SUMIFS('апрель 2023'!$G$4:$G$692,'апрель 2023'!$D$4:$D$692,$B143,'апрель 2023'!$J$4:$J$692,Y$1)</f>
        <v>0</v>
      </c>
      <c r="Z143" s="207">
        <f>SUMIFS('апрель 2023'!$G$4:$G$692,'апрель 2023'!$D$4:$D$692,$B143,'апрель 2023'!$J$4:$J$692,Z$1)</f>
        <v>0</v>
      </c>
      <c r="AA143" s="207">
        <f>SUMIFS('апрель 2023'!$G$4:$G$692,'апрель 2023'!$D$4:$D$692,$B143,'апрель 2023'!$J$4:$J$692,AA$1)</f>
        <v>0</v>
      </c>
      <c r="AB143" s="207">
        <f>SUMIFS('апрель 2023'!$G$4:$G$692,'апрель 2023'!$D$4:$D$692,$B143,'апрель 2023'!$J$4:$J$692,AB$1)</f>
        <v>0</v>
      </c>
      <c r="AC143" s="207">
        <f>SUMIFS('апрель 2023'!$G$4:$G$692,'апрель 2023'!$D$4:$D$692,$B143,'апрель 2023'!$J$4:$J$692,AC$1)</f>
        <v>0</v>
      </c>
      <c r="AD143" s="207">
        <f>SUMIFS('апрель 2023'!$G$4:$G$692,'апрель 2023'!$D$4:$D$692,$B143,'апрель 2023'!$J$4:$J$692,AD$1)</f>
        <v>0</v>
      </c>
      <c r="AE143" s="207">
        <f>SUMIFS('апрель 2023'!$G$4:$G$692,'апрель 2023'!$D$4:$D$692,$B143,'апрель 2023'!$J$4:$J$692,AE$1)</f>
        <v>0</v>
      </c>
      <c r="AF143" s="207">
        <f>SUMIFS('апрель 2023'!$G$4:$G$692,'апрель 2023'!$D$4:$D$692,$B143,'апрель 2023'!$J$4:$J$692,AF$1)</f>
        <v>0</v>
      </c>
      <c r="AG143" s="207">
        <f>SUMIFS('апрель 2023'!$G$4:$G$692,'апрель 2023'!$D$4:$D$692,$B143,'апрель 2023'!$J$4:$J$692,AG$1)</f>
        <v>0</v>
      </c>
      <c r="AH143" s="207">
        <f>SUMIFS('апрель 2023'!$G$4:$G$692,'апрель 2023'!$D$4:$D$692,$B143,'апрель 2023'!$J$4:$J$692,AH$1)</f>
        <v>0</v>
      </c>
      <c r="AI143" s="220">
        <f t="shared" si="3"/>
        <v>0</v>
      </c>
    </row>
    <row r="144" spans="2:35" ht="15" hidden="1" customHeight="1" x14ac:dyDescent="0.25">
      <c r="B144" s="212"/>
      <c r="C144" s="211"/>
      <c r="D144" s="207">
        <f>SUMIFS('апрель 2023'!$G$4:$G$692,'апрель 2023'!$D$4:$D$692,$B144,'апрель 2023'!$J$4:$J$692,D$1)</f>
        <v>0</v>
      </c>
      <c r="E144" s="207">
        <f>SUMIFS('апрель 2023'!$G$4:$G$692,'апрель 2023'!$D$4:$D$692,$B144,'апрель 2023'!$J$4:$J$692,E$1)</f>
        <v>0</v>
      </c>
      <c r="F144" s="207">
        <f>SUMIFS('апрель 2023'!$G$4:$G$692,'апрель 2023'!$D$4:$D$692,$B144,'апрель 2023'!$J$4:$J$692,F$1)</f>
        <v>0</v>
      </c>
      <c r="G144" s="207">
        <f>SUMIFS('апрель 2023'!$G$4:$G$692,'апрель 2023'!$D$4:$D$692,$B144,'апрель 2023'!$J$4:$J$692,G$1)</f>
        <v>0</v>
      </c>
      <c r="H144" s="207">
        <f>SUMIFS('апрель 2023'!$G$4:$G$692,'апрель 2023'!$D$4:$D$692,$B144,'апрель 2023'!$J$4:$J$692,H$1)</f>
        <v>0</v>
      </c>
      <c r="I144" s="207">
        <f>SUMIFS('апрель 2023'!$G$4:$G$692,'апрель 2023'!$D$4:$D$692,$B144,'апрель 2023'!$J$4:$J$692,I$1)</f>
        <v>0</v>
      </c>
      <c r="J144" s="207">
        <f>SUMIFS('апрель 2023'!$G$4:$G$692,'апрель 2023'!$D$4:$D$692,$B144,'апрель 2023'!$J$4:$J$692,J$1)</f>
        <v>0</v>
      </c>
      <c r="K144" s="207">
        <f>SUMIFS('апрель 2023'!$G$4:$G$692,'апрель 2023'!$D$4:$D$692,$B144,'апрель 2023'!$J$4:$J$692,K$1)</f>
        <v>0</v>
      </c>
      <c r="L144" s="207">
        <f>SUMIFS('апрель 2023'!$G$4:$G$692,'апрель 2023'!$D$4:$D$692,$B144,'апрель 2023'!$J$4:$J$692,L$1)</f>
        <v>0</v>
      </c>
      <c r="M144" s="207">
        <f>SUMIFS('апрель 2023'!$G$4:$G$692,'апрель 2023'!$D$4:$D$692,$B144,'апрель 2023'!$J$4:$J$692,M$1)</f>
        <v>0</v>
      </c>
      <c r="N144" s="207">
        <f>SUMIFS('апрель 2023'!$G$4:$G$692,'апрель 2023'!$D$4:$D$692,$B144,'апрель 2023'!$J$4:$J$692,N$1)</f>
        <v>0</v>
      </c>
      <c r="O144" s="207">
        <f>SUMIFS('апрель 2023'!$G$4:$G$692,'апрель 2023'!$D$4:$D$692,$B144,'апрель 2023'!$J$4:$J$692,O$1)</f>
        <v>0</v>
      </c>
      <c r="P144" s="207">
        <f>SUMIFS('апрель 2023'!$G$4:$G$692,'апрель 2023'!$D$4:$D$692,$B144,'апрель 2023'!$J$4:$J$692,P$1)</f>
        <v>0</v>
      </c>
      <c r="Q144" s="207">
        <f>SUMIFS('апрель 2023'!$G$4:$G$692,'апрель 2023'!$D$4:$D$692,$B144,'апрель 2023'!$J$4:$J$692,Q$1)</f>
        <v>0</v>
      </c>
      <c r="R144" s="207">
        <f>SUMIFS('апрель 2023'!$G$4:$G$692,'апрель 2023'!$D$4:$D$692,$B144,'апрель 2023'!$J$4:$J$692,R$1)</f>
        <v>0</v>
      </c>
      <c r="S144" s="207">
        <f>SUMIFS('апрель 2023'!$G$4:$G$692,'апрель 2023'!$D$4:$D$692,$B144,'апрель 2023'!$J$4:$J$692,S$1)</f>
        <v>0</v>
      </c>
      <c r="T144" s="207">
        <f>SUMIFS('апрель 2023'!$G$4:$G$692,'апрель 2023'!$D$4:$D$692,$B144,'апрель 2023'!$J$4:$J$692,T$1)</f>
        <v>0</v>
      </c>
      <c r="U144" s="207">
        <f>SUMIFS('апрель 2023'!$G$4:$G$692,'апрель 2023'!$D$4:$D$692,$B144,'апрель 2023'!$J$4:$J$692,U$1)</f>
        <v>0</v>
      </c>
      <c r="V144" s="207">
        <f>SUMIFS('апрель 2023'!$G$4:$G$692,'апрель 2023'!$D$4:$D$692,$B144,'апрель 2023'!$J$4:$J$692,V$1)</f>
        <v>0</v>
      </c>
      <c r="W144" s="207">
        <f>SUMIFS('апрель 2023'!$G$4:$G$692,'апрель 2023'!$D$4:$D$692,$B144,'апрель 2023'!$J$4:$J$692,W$1)</f>
        <v>0</v>
      </c>
      <c r="X144" s="207">
        <f>SUMIFS('апрель 2023'!$G$4:$G$692,'апрель 2023'!$D$4:$D$692,$B144,'апрель 2023'!$J$4:$J$692,X$1)</f>
        <v>0</v>
      </c>
      <c r="Y144" s="207">
        <f>SUMIFS('апрель 2023'!$G$4:$G$692,'апрель 2023'!$D$4:$D$692,$B144,'апрель 2023'!$J$4:$J$692,Y$1)</f>
        <v>0</v>
      </c>
      <c r="Z144" s="207">
        <f>SUMIFS('апрель 2023'!$G$4:$G$692,'апрель 2023'!$D$4:$D$692,$B144,'апрель 2023'!$J$4:$J$692,Z$1)</f>
        <v>0</v>
      </c>
      <c r="AA144" s="207">
        <f>SUMIFS('апрель 2023'!$G$4:$G$692,'апрель 2023'!$D$4:$D$692,$B144,'апрель 2023'!$J$4:$J$692,AA$1)</f>
        <v>0</v>
      </c>
      <c r="AB144" s="207">
        <f>SUMIFS('апрель 2023'!$G$4:$G$692,'апрель 2023'!$D$4:$D$692,$B144,'апрель 2023'!$J$4:$J$692,AB$1)</f>
        <v>0</v>
      </c>
      <c r="AC144" s="207">
        <f>SUMIFS('апрель 2023'!$G$4:$G$692,'апрель 2023'!$D$4:$D$692,$B144,'апрель 2023'!$J$4:$J$692,AC$1)</f>
        <v>0</v>
      </c>
      <c r="AD144" s="207">
        <f>SUMIFS('апрель 2023'!$G$4:$G$692,'апрель 2023'!$D$4:$D$692,$B144,'апрель 2023'!$J$4:$J$692,AD$1)</f>
        <v>0</v>
      </c>
      <c r="AE144" s="207">
        <f>SUMIFS('апрель 2023'!$G$4:$G$692,'апрель 2023'!$D$4:$D$692,$B144,'апрель 2023'!$J$4:$J$692,AE$1)</f>
        <v>0</v>
      </c>
      <c r="AF144" s="207">
        <f>SUMIFS('апрель 2023'!$G$4:$G$692,'апрель 2023'!$D$4:$D$692,$B144,'апрель 2023'!$J$4:$J$692,AF$1)</f>
        <v>0</v>
      </c>
      <c r="AG144" s="207">
        <f>SUMIFS('апрель 2023'!$G$4:$G$692,'апрель 2023'!$D$4:$D$692,$B144,'апрель 2023'!$J$4:$J$692,AG$1)</f>
        <v>0</v>
      </c>
      <c r="AH144" s="207">
        <f>SUMIFS('апрель 2023'!$G$4:$G$692,'апрель 2023'!$D$4:$D$692,$B144,'апрель 2023'!$J$4:$J$692,AH$1)</f>
        <v>0</v>
      </c>
      <c r="AI144" s="220">
        <f t="shared" si="3"/>
        <v>0</v>
      </c>
    </row>
    <row r="145" spans="2:35" ht="15" hidden="1" customHeight="1" x14ac:dyDescent="0.25">
      <c r="B145" s="212"/>
      <c r="C145" s="215"/>
      <c r="D145" s="207">
        <f>SUMIFS('апрель 2023'!$G$4:$G$692,'апрель 2023'!$D$4:$D$692,$B145,'апрель 2023'!$J$4:$J$692,D$1)</f>
        <v>0</v>
      </c>
      <c r="E145" s="207">
        <f>SUMIFS('апрель 2023'!$G$4:$G$692,'апрель 2023'!$D$4:$D$692,$B145,'апрель 2023'!$J$4:$J$692,E$1)</f>
        <v>0</v>
      </c>
      <c r="F145" s="207">
        <f>SUMIFS('апрель 2023'!$G$4:$G$692,'апрель 2023'!$D$4:$D$692,$B145,'апрель 2023'!$J$4:$J$692,F$1)</f>
        <v>0</v>
      </c>
      <c r="G145" s="207">
        <f>SUMIFS('апрель 2023'!$G$4:$G$692,'апрель 2023'!$D$4:$D$692,$B145,'апрель 2023'!$J$4:$J$692,G$1)</f>
        <v>0</v>
      </c>
      <c r="H145" s="207">
        <f>SUMIFS('апрель 2023'!$G$4:$G$692,'апрель 2023'!$D$4:$D$692,$B145,'апрель 2023'!$J$4:$J$692,H$1)</f>
        <v>0</v>
      </c>
      <c r="I145" s="207">
        <f>SUMIFS('апрель 2023'!$G$4:$G$692,'апрель 2023'!$D$4:$D$692,$B145,'апрель 2023'!$J$4:$J$692,I$1)</f>
        <v>0</v>
      </c>
      <c r="J145" s="207">
        <f>SUMIFS('апрель 2023'!$G$4:$G$692,'апрель 2023'!$D$4:$D$692,$B145,'апрель 2023'!$J$4:$J$692,J$1)</f>
        <v>0</v>
      </c>
      <c r="K145" s="207">
        <f>SUMIFS('апрель 2023'!$G$4:$G$692,'апрель 2023'!$D$4:$D$692,$B145,'апрель 2023'!$J$4:$J$692,K$1)</f>
        <v>0</v>
      </c>
      <c r="L145" s="207">
        <f>SUMIFS('апрель 2023'!$G$4:$G$692,'апрель 2023'!$D$4:$D$692,$B145,'апрель 2023'!$J$4:$J$692,L$1)</f>
        <v>0</v>
      </c>
      <c r="M145" s="207">
        <f>SUMIFS('апрель 2023'!$G$4:$G$692,'апрель 2023'!$D$4:$D$692,$B145,'апрель 2023'!$J$4:$J$692,M$1)</f>
        <v>0</v>
      </c>
      <c r="N145" s="207">
        <f>SUMIFS('апрель 2023'!$G$4:$G$692,'апрель 2023'!$D$4:$D$692,$B145,'апрель 2023'!$J$4:$J$692,N$1)</f>
        <v>0</v>
      </c>
      <c r="O145" s="207">
        <f>SUMIFS('апрель 2023'!$G$4:$G$692,'апрель 2023'!$D$4:$D$692,$B145,'апрель 2023'!$J$4:$J$692,O$1)</f>
        <v>0</v>
      </c>
      <c r="P145" s="207">
        <f>SUMIFS('апрель 2023'!$G$4:$G$692,'апрель 2023'!$D$4:$D$692,$B145,'апрель 2023'!$J$4:$J$692,P$1)</f>
        <v>0</v>
      </c>
      <c r="Q145" s="207">
        <f>SUMIFS('апрель 2023'!$G$4:$G$692,'апрель 2023'!$D$4:$D$692,$B145,'апрель 2023'!$J$4:$J$692,Q$1)</f>
        <v>0</v>
      </c>
      <c r="R145" s="207">
        <f>SUMIFS('апрель 2023'!$G$4:$G$692,'апрель 2023'!$D$4:$D$692,$B145,'апрель 2023'!$J$4:$J$692,R$1)</f>
        <v>0</v>
      </c>
      <c r="S145" s="207">
        <f>SUMIFS('апрель 2023'!$G$4:$G$692,'апрель 2023'!$D$4:$D$692,$B145,'апрель 2023'!$J$4:$J$692,S$1)</f>
        <v>0</v>
      </c>
      <c r="T145" s="207">
        <f>SUMIFS('апрель 2023'!$G$4:$G$692,'апрель 2023'!$D$4:$D$692,$B145,'апрель 2023'!$J$4:$J$692,T$1)</f>
        <v>0</v>
      </c>
      <c r="U145" s="207">
        <f>SUMIFS('апрель 2023'!$G$4:$G$692,'апрель 2023'!$D$4:$D$692,$B145,'апрель 2023'!$J$4:$J$692,U$1)</f>
        <v>0</v>
      </c>
      <c r="V145" s="207">
        <f>SUMIFS('апрель 2023'!$G$4:$G$692,'апрель 2023'!$D$4:$D$692,$B145,'апрель 2023'!$J$4:$J$692,V$1)</f>
        <v>0</v>
      </c>
      <c r="W145" s="207">
        <f>SUMIFS('апрель 2023'!$G$4:$G$692,'апрель 2023'!$D$4:$D$692,$B145,'апрель 2023'!$J$4:$J$692,W$1)</f>
        <v>0</v>
      </c>
      <c r="X145" s="207">
        <f>SUMIFS('апрель 2023'!$G$4:$G$692,'апрель 2023'!$D$4:$D$692,$B145,'апрель 2023'!$J$4:$J$692,X$1)</f>
        <v>0</v>
      </c>
      <c r="Y145" s="207">
        <f>SUMIFS('апрель 2023'!$G$4:$G$692,'апрель 2023'!$D$4:$D$692,$B145,'апрель 2023'!$J$4:$J$692,Y$1)</f>
        <v>0</v>
      </c>
      <c r="Z145" s="207">
        <f>SUMIFS('апрель 2023'!$G$4:$G$692,'апрель 2023'!$D$4:$D$692,$B145,'апрель 2023'!$J$4:$J$692,Z$1)</f>
        <v>0</v>
      </c>
      <c r="AA145" s="207">
        <f>SUMIFS('апрель 2023'!$G$4:$G$692,'апрель 2023'!$D$4:$D$692,$B145,'апрель 2023'!$J$4:$J$692,AA$1)</f>
        <v>0</v>
      </c>
      <c r="AB145" s="207">
        <f>SUMIFS('апрель 2023'!$G$4:$G$692,'апрель 2023'!$D$4:$D$692,$B145,'апрель 2023'!$J$4:$J$692,AB$1)</f>
        <v>0</v>
      </c>
      <c r="AC145" s="207">
        <f>SUMIFS('апрель 2023'!$G$4:$G$692,'апрель 2023'!$D$4:$D$692,$B145,'апрель 2023'!$J$4:$J$692,AC$1)</f>
        <v>0</v>
      </c>
      <c r="AD145" s="207">
        <f>SUMIFS('апрель 2023'!$G$4:$G$692,'апрель 2023'!$D$4:$D$692,$B145,'апрель 2023'!$J$4:$J$692,AD$1)</f>
        <v>0</v>
      </c>
      <c r="AE145" s="207">
        <f>SUMIFS('апрель 2023'!$G$4:$G$692,'апрель 2023'!$D$4:$D$692,$B145,'апрель 2023'!$J$4:$J$692,AE$1)</f>
        <v>0</v>
      </c>
      <c r="AF145" s="207">
        <f>SUMIFS('апрель 2023'!$G$4:$G$692,'апрель 2023'!$D$4:$D$692,$B145,'апрель 2023'!$J$4:$J$692,AF$1)</f>
        <v>0</v>
      </c>
      <c r="AG145" s="207">
        <f>SUMIFS('апрель 2023'!$G$4:$G$692,'апрель 2023'!$D$4:$D$692,$B145,'апрель 2023'!$J$4:$J$692,AG$1)</f>
        <v>0</v>
      </c>
      <c r="AH145" s="207">
        <f>SUMIFS('апрель 2023'!$G$4:$G$692,'апрель 2023'!$D$4:$D$692,$B145,'апрель 2023'!$J$4:$J$692,AH$1)</f>
        <v>0</v>
      </c>
      <c r="AI145" s="220">
        <f t="shared" si="3"/>
        <v>0</v>
      </c>
    </row>
    <row r="146" spans="2:35" ht="15" hidden="1" customHeight="1" x14ac:dyDescent="0.25">
      <c r="B146" s="212"/>
      <c r="C146" s="213"/>
      <c r="D146" s="207">
        <f>SUMIFS('апрель 2023'!$G$4:$G$692,'апрель 2023'!$D$4:$D$692,$B146,'апрель 2023'!$J$4:$J$692,D$1)</f>
        <v>0</v>
      </c>
      <c r="E146" s="207">
        <f>SUMIFS('апрель 2023'!$G$4:$G$692,'апрель 2023'!$D$4:$D$692,$B146,'апрель 2023'!$J$4:$J$692,E$1)</f>
        <v>0</v>
      </c>
      <c r="F146" s="207">
        <f>SUMIFS('апрель 2023'!$G$4:$G$692,'апрель 2023'!$D$4:$D$692,$B146,'апрель 2023'!$J$4:$J$692,F$1)</f>
        <v>0</v>
      </c>
      <c r="G146" s="207">
        <f>SUMIFS('апрель 2023'!$G$4:$G$692,'апрель 2023'!$D$4:$D$692,$B146,'апрель 2023'!$J$4:$J$692,G$1)</f>
        <v>0</v>
      </c>
      <c r="H146" s="207">
        <f>SUMIFS('апрель 2023'!$G$4:$G$692,'апрель 2023'!$D$4:$D$692,$B146,'апрель 2023'!$J$4:$J$692,H$1)</f>
        <v>0</v>
      </c>
      <c r="I146" s="207">
        <f>SUMIFS('апрель 2023'!$G$4:$G$692,'апрель 2023'!$D$4:$D$692,$B146,'апрель 2023'!$J$4:$J$692,I$1)</f>
        <v>0</v>
      </c>
      <c r="J146" s="207">
        <f>SUMIFS('апрель 2023'!$G$4:$G$692,'апрель 2023'!$D$4:$D$692,$B146,'апрель 2023'!$J$4:$J$692,J$1)</f>
        <v>0</v>
      </c>
      <c r="K146" s="207">
        <f>SUMIFS('апрель 2023'!$G$4:$G$692,'апрель 2023'!$D$4:$D$692,$B146,'апрель 2023'!$J$4:$J$692,K$1)</f>
        <v>0</v>
      </c>
      <c r="L146" s="207">
        <f>SUMIFS('апрель 2023'!$G$4:$G$692,'апрель 2023'!$D$4:$D$692,$B146,'апрель 2023'!$J$4:$J$692,L$1)</f>
        <v>0</v>
      </c>
      <c r="M146" s="207">
        <f>SUMIFS('апрель 2023'!$G$4:$G$692,'апрель 2023'!$D$4:$D$692,$B146,'апрель 2023'!$J$4:$J$692,M$1)</f>
        <v>0</v>
      </c>
      <c r="N146" s="207">
        <f>SUMIFS('апрель 2023'!$G$4:$G$692,'апрель 2023'!$D$4:$D$692,$B146,'апрель 2023'!$J$4:$J$692,N$1)</f>
        <v>0</v>
      </c>
      <c r="O146" s="207">
        <f>SUMIFS('апрель 2023'!$G$4:$G$692,'апрель 2023'!$D$4:$D$692,$B146,'апрель 2023'!$J$4:$J$692,O$1)</f>
        <v>0</v>
      </c>
      <c r="P146" s="207">
        <f>SUMIFS('апрель 2023'!$G$4:$G$692,'апрель 2023'!$D$4:$D$692,$B146,'апрель 2023'!$J$4:$J$692,P$1)</f>
        <v>0</v>
      </c>
      <c r="Q146" s="207">
        <f>SUMIFS('апрель 2023'!$G$4:$G$692,'апрель 2023'!$D$4:$D$692,$B146,'апрель 2023'!$J$4:$J$692,Q$1)</f>
        <v>0</v>
      </c>
      <c r="R146" s="207">
        <f>SUMIFS('апрель 2023'!$G$4:$G$692,'апрель 2023'!$D$4:$D$692,$B146,'апрель 2023'!$J$4:$J$692,R$1)</f>
        <v>0</v>
      </c>
      <c r="S146" s="207">
        <f>SUMIFS('апрель 2023'!$G$4:$G$692,'апрель 2023'!$D$4:$D$692,$B146,'апрель 2023'!$J$4:$J$692,S$1)</f>
        <v>0</v>
      </c>
      <c r="T146" s="207">
        <f>SUMIFS('апрель 2023'!$G$4:$G$692,'апрель 2023'!$D$4:$D$692,$B146,'апрель 2023'!$J$4:$J$692,T$1)</f>
        <v>0</v>
      </c>
      <c r="U146" s="207">
        <f>SUMIFS('апрель 2023'!$G$4:$G$692,'апрель 2023'!$D$4:$D$692,$B146,'апрель 2023'!$J$4:$J$692,U$1)</f>
        <v>0</v>
      </c>
      <c r="V146" s="207">
        <f>SUMIFS('апрель 2023'!$G$4:$G$692,'апрель 2023'!$D$4:$D$692,$B146,'апрель 2023'!$J$4:$J$692,V$1)</f>
        <v>0</v>
      </c>
      <c r="W146" s="207">
        <f>SUMIFS('апрель 2023'!$G$4:$G$692,'апрель 2023'!$D$4:$D$692,$B146,'апрель 2023'!$J$4:$J$692,W$1)</f>
        <v>0</v>
      </c>
      <c r="X146" s="207">
        <f>SUMIFS('апрель 2023'!$G$4:$G$692,'апрель 2023'!$D$4:$D$692,$B146,'апрель 2023'!$J$4:$J$692,X$1)</f>
        <v>0</v>
      </c>
      <c r="Y146" s="207">
        <f>SUMIFS('апрель 2023'!$G$4:$G$692,'апрель 2023'!$D$4:$D$692,$B146,'апрель 2023'!$J$4:$J$692,Y$1)</f>
        <v>0</v>
      </c>
      <c r="Z146" s="207">
        <f>SUMIFS('апрель 2023'!$G$4:$G$692,'апрель 2023'!$D$4:$D$692,$B146,'апрель 2023'!$J$4:$J$692,Z$1)</f>
        <v>0</v>
      </c>
      <c r="AA146" s="207">
        <f>SUMIFS('апрель 2023'!$G$4:$G$692,'апрель 2023'!$D$4:$D$692,$B146,'апрель 2023'!$J$4:$J$692,AA$1)</f>
        <v>0</v>
      </c>
      <c r="AB146" s="207">
        <f>SUMIFS('апрель 2023'!$G$4:$G$692,'апрель 2023'!$D$4:$D$692,$B146,'апрель 2023'!$J$4:$J$692,AB$1)</f>
        <v>0</v>
      </c>
      <c r="AC146" s="207">
        <f>SUMIFS('апрель 2023'!$G$4:$G$692,'апрель 2023'!$D$4:$D$692,$B146,'апрель 2023'!$J$4:$J$692,AC$1)</f>
        <v>0</v>
      </c>
      <c r="AD146" s="207">
        <f>SUMIFS('апрель 2023'!$G$4:$G$692,'апрель 2023'!$D$4:$D$692,$B146,'апрель 2023'!$J$4:$J$692,AD$1)</f>
        <v>0</v>
      </c>
      <c r="AE146" s="207">
        <f>SUMIFS('апрель 2023'!$G$4:$G$692,'апрель 2023'!$D$4:$D$692,$B146,'апрель 2023'!$J$4:$J$692,AE$1)</f>
        <v>0</v>
      </c>
      <c r="AF146" s="207">
        <f>SUMIFS('апрель 2023'!$G$4:$G$692,'апрель 2023'!$D$4:$D$692,$B146,'апрель 2023'!$J$4:$J$692,AF$1)</f>
        <v>0</v>
      </c>
      <c r="AG146" s="207">
        <f>SUMIFS('апрель 2023'!$G$4:$G$692,'апрель 2023'!$D$4:$D$692,$B146,'апрель 2023'!$J$4:$J$692,AG$1)</f>
        <v>0</v>
      </c>
      <c r="AH146" s="207">
        <f>SUMIFS('апрель 2023'!$G$4:$G$692,'апрель 2023'!$D$4:$D$692,$B146,'апрель 2023'!$J$4:$J$692,AH$1)</f>
        <v>0</v>
      </c>
      <c r="AI146" s="220">
        <f t="shared" si="3"/>
        <v>0</v>
      </c>
    </row>
    <row r="147" spans="2:35" ht="15" hidden="1" customHeight="1" x14ac:dyDescent="0.25">
      <c r="B147" s="216"/>
      <c r="C147" s="213"/>
      <c r="D147" s="207">
        <f>SUMIFS('апрель 2023'!$G$4:$G$692,'апрель 2023'!$D$4:$D$692,$B147,'апрель 2023'!$J$4:$J$692,D$1)</f>
        <v>0</v>
      </c>
      <c r="E147" s="207">
        <f>SUMIFS('апрель 2023'!$G$4:$G$692,'апрель 2023'!$D$4:$D$692,$B147,'апрель 2023'!$J$4:$J$692,E$1)</f>
        <v>0</v>
      </c>
      <c r="F147" s="207">
        <f>SUMIFS('апрель 2023'!$G$4:$G$692,'апрель 2023'!$D$4:$D$692,$B147,'апрель 2023'!$J$4:$J$692,F$1)</f>
        <v>0</v>
      </c>
      <c r="G147" s="207">
        <f>SUMIFS('апрель 2023'!$G$4:$G$692,'апрель 2023'!$D$4:$D$692,$B147,'апрель 2023'!$J$4:$J$692,G$1)</f>
        <v>0</v>
      </c>
      <c r="H147" s="207">
        <f>SUMIFS('апрель 2023'!$G$4:$G$692,'апрель 2023'!$D$4:$D$692,$B147,'апрель 2023'!$J$4:$J$692,H$1)</f>
        <v>0</v>
      </c>
      <c r="I147" s="207">
        <f>SUMIFS('апрель 2023'!$G$4:$G$692,'апрель 2023'!$D$4:$D$692,$B147,'апрель 2023'!$J$4:$J$692,I$1)</f>
        <v>0</v>
      </c>
      <c r="J147" s="207">
        <f>SUMIFS('апрель 2023'!$G$4:$G$692,'апрель 2023'!$D$4:$D$692,$B147,'апрель 2023'!$J$4:$J$692,J$1)</f>
        <v>0</v>
      </c>
      <c r="K147" s="207">
        <f>SUMIFS('апрель 2023'!$G$4:$G$692,'апрель 2023'!$D$4:$D$692,$B147,'апрель 2023'!$J$4:$J$692,K$1)</f>
        <v>0</v>
      </c>
      <c r="L147" s="207">
        <f>SUMIFS('апрель 2023'!$G$4:$G$692,'апрель 2023'!$D$4:$D$692,$B147,'апрель 2023'!$J$4:$J$692,L$1)</f>
        <v>0</v>
      </c>
      <c r="M147" s="207">
        <f>SUMIFS('апрель 2023'!$G$4:$G$692,'апрель 2023'!$D$4:$D$692,$B147,'апрель 2023'!$J$4:$J$692,M$1)</f>
        <v>0</v>
      </c>
      <c r="N147" s="207">
        <f>SUMIFS('апрель 2023'!$G$4:$G$692,'апрель 2023'!$D$4:$D$692,$B147,'апрель 2023'!$J$4:$J$692,N$1)</f>
        <v>0</v>
      </c>
      <c r="O147" s="207">
        <f>SUMIFS('апрель 2023'!$G$4:$G$692,'апрель 2023'!$D$4:$D$692,$B147,'апрель 2023'!$J$4:$J$692,O$1)</f>
        <v>0</v>
      </c>
      <c r="P147" s="207">
        <f>SUMIFS('апрель 2023'!$G$4:$G$692,'апрель 2023'!$D$4:$D$692,$B147,'апрель 2023'!$J$4:$J$692,P$1)</f>
        <v>0</v>
      </c>
      <c r="Q147" s="207">
        <f>SUMIFS('апрель 2023'!$G$4:$G$692,'апрель 2023'!$D$4:$D$692,$B147,'апрель 2023'!$J$4:$J$692,Q$1)</f>
        <v>0</v>
      </c>
      <c r="R147" s="207">
        <f>SUMIFS('апрель 2023'!$G$4:$G$692,'апрель 2023'!$D$4:$D$692,$B147,'апрель 2023'!$J$4:$J$692,R$1)</f>
        <v>0</v>
      </c>
      <c r="S147" s="207">
        <f>SUMIFS('апрель 2023'!$G$4:$G$692,'апрель 2023'!$D$4:$D$692,$B147,'апрель 2023'!$J$4:$J$692,S$1)</f>
        <v>0</v>
      </c>
      <c r="T147" s="207">
        <f>SUMIFS('апрель 2023'!$G$4:$G$692,'апрель 2023'!$D$4:$D$692,$B147,'апрель 2023'!$J$4:$J$692,T$1)</f>
        <v>0</v>
      </c>
      <c r="U147" s="207">
        <f>SUMIFS('апрель 2023'!$G$4:$G$692,'апрель 2023'!$D$4:$D$692,$B147,'апрель 2023'!$J$4:$J$692,U$1)</f>
        <v>0</v>
      </c>
      <c r="V147" s="207">
        <f>SUMIFS('апрель 2023'!$G$4:$G$692,'апрель 2023'!$D$4:$D$692,$B147,'апрель 2023'!$J$4:$J$692,V$1)</f>
        <v>0</v>
      </c>
      <c r="W147" s="207">
        <f>SUMIFS('апрель 2023'!$G$4:$G$692,'апрель 2023'!$D$4:$D$692,$B147,'апрель 2023'!$J$4:$J$692,W$1)</f>
        <v>0</v>
      </c>
      <c r="X147" s="207">
        <f>SUMIFS('апрель 2023'!$G$4:$G$692,'апрель 2023'!$D$4:$D$692,$B147,'апрель 2023'!$J$4:$J$692,X$1)</f>
        <v>0</v>
      </c>
      <c r="Y147" s="207">
        <f>SUMIFS('апрель 2023'!$G$4:$G$692,'апрель 2023'!$D$4:$D$692,$B147,'апрель 2023'!$J$4:$J$692,Y$1)</f>
        <v>0</v>
      </c>
      <c r="Z147" s="207">
        <f>SUMIFS('апрель 2023'!$G$4:$G$692,'апрель 2023'!$D$4:$D$692,$B147,'апрель 2023'!$J$4:$J$692,Z$1)</f>
        <v>0</v>
      </c>
      <c r="AA147" s="207">
        <f>SUMIFS('апрель 2023'!$G$4:$G$692,'апрель 2023'!$D$4:$D$692,$B147,'апрель 2023'!$J$4:$J$692,AA$1)</f>
        <v>0</v>
      </c>
      <c r="AB147" s="207">
        <f>SUMIFS('апрель 2023'!$G$4:$G$692,'апрель 2023'!$D$4:$D$692,$B147,'апрель 2023'!$J$4:$J$692,AB$1)</f>
        <v>0</v>
      </c>
      <c r="AC147" s="207">
        <f>SUMIFS('апрель 2023'!$G$4:$G$692,'апрель 2023'!$D$4:$D$692,$B147,'апрель 2023'!$J$4:$J$692,AC$1)</f>
        <v>0</v>
      </c>
      <c r="AD147" s="207">
        <f>SUMIFS('апрель 2023'!$G$4:$G$692,'апрель 2023'!$D$4:$D$692,$B147,'апрель 2023'!$J$4:$J$692,AD$1)</f>
        <v>0</v>
      </c>
      <c r="AE147" s="207">
        <f>SUMIFS('апрель 2023'!$G$4:$G$692,'апрель 2023'!$D$4:$D$692,$B147,'апрель 2023'!$J$4:$J$692,AE$1)</f>
        <v>0</v>
      </c>
      <c r="AF147" s="207">
        <f>SUMIFS('апрель 2023'!$G$4:$G$692,'апрель 2023'!$D$4:$D$692,$B147,'апрель 2023'!$J$4:$J$692,AF$1)</f>
        <v>0</v>
      </c>
      <c r="AG147" s="207">
        <f>SUMIFS('апрель 2023'!$G$4:$G$692,'апрель 2023'!$D$4:$D$692,$B147,'апрель 2023'!$J$4:$J$692,AG$1)</f>
        <v>0</v>
      </c>
      <c r="AH147" s="207">
        <f>SUMIFS('апрель 2023'!$G$4:$G$692,'апрель 2023'!$D$4:$D$692,$B147,'апрель 2023'!$J$4:$J$692,AH$1)</f>
        <v>0</v>
      </c>
      <c r="AI147" s="220">
        <f t="shared" si="3"/>
        <v>0</v>
      </c>
    </row>
    <row r="148" spans="2:35" ht="15" hidden="1" customHeight="1" x14ac:dyDescent="0.25">
      <c r="B148" s="212"/>
      <c r="C148" s="211"/>
      <c r="D148" s="207">
        <f>SUMIFS('апрель 2023'!$G$4:$G$692,'апрель 2023'!$D$4:$D$692,$B148,'апрель 2023'!$J$4:$J$692,D$1)</f>
        <v>0</v>
      </c>
      <c r="E148" s="207">
        <f>SUMIFS('апрель 2023'!$G$4:$G$692,'апрель 2023'!$D$4:$D$692,$B148,'апрель 2023'!$J$4:$J$692,E$1)</f>
        <v>0</v>
      </c>
      <c r="F148" s="207">
        <f>SUMIFS('апрель 2023'!$G$4:$G$692,'апрель 2023'!$D$4:$D$692,$B148,'апрель 2023'!$J$4:$J$692,F$1)</f>
        <v>0</v>
      </c>
      <c r="G148" s="207">
        <f>SUMIFS('апрель 2023'!$G$4:$G$692,'апрель 2023'!$D$4:$D$692,$B148,'апрель 2023'!$J$4:$J$692,G$1)</f>
        <v>0</v>
      </c>
      <c r="H148" s="207">
        <f>SUMIFS('апрель 2023'!$G$4:$G$692,'апрель 2023'!$D$4:$D$692,$B148,'апрель 2023'!$J$4:$J$692,H$1)</f>
        <v>0</v>
      </c>
      <c r="I148" s="207">
        <f>SUMIFS('апрель 2023'!$G$4:$G$692,'апрель 2023'!$D$4:$D$692,$B148,'апрель 2023'!$J$4:$J$692,I$1)</f>
        <v>0</v>
      </c>
      <c r="J148" s="207">
        <f>SUMIFS('апрель 2023'!$G$4:$G$692,'апрель 2023'!$D$4:$D$692,$B148,'апрель 2023'!$J$4:$J$692,J$1)</f>
        <v>0</v>
      </c>
      <c r="K148" s="207">
        <f>SUMIFS('апрель 2023'!$G$4:$G$692,'апрель 2023'!$D$4:$D$692,$B148,'апрель 2023'!$J$4:$J$692,K$1)</f>
        <v>0</v>
      </c>
      <c r="L148" s="207">
        <f>SUMIFS('апрель 2023'!$G$4:$G$692,'апрель 2023'!$D$4:$D$692,$B148,'апрель 2023'!$J$4:$J$692,L$1)</f>
        <v>0</v>
      </c>
      <c r="M148" s="207">
        <f>SUMIFS('апрель 2023'!$G$4:$G$692,'апрель 2023'!$D$4:$D$692,$B148,'апрель 2023'!$J$4:$J$692,M$1)</f>
        <v>0</v>
      </c>
      <c r="N148" s="207">
        <f>SUMIFS('апрель 2023'!$G$4:$G$692,'апрель 2023'!$D$4:$D$692,$B148,'апрель 2023'!$J$4:$J$692,N$1)</f>
        <v>0</v>
      </c>
      <c r="O148" s="207">
        <f>SUMIFS('апрель 2023'!$G$4:$G$692,'апрель 2023'!$D$4:$D$692,$B148,'апрель 2023'!$J$4:$J$692,O$1)</f>
        <v>0</v>
      </c>
      <c r="P148" s="207">
        <f>SUMIFS('апрель 2023'!$G$4:$G$692,'апрель 2023'!$D$4:$D$692,$B148,'апрель 2023'!$J$4:$J$692,P$1)</f>
        <v>0</v>
      </c>
      <c r="Q148" s="207">
        <f>SUMIFS('апрель 2023'!$G$4:$G$692,'апрель 2023'!$D$4:$D$692,$B148,'апрель 2023'!$J$4:$J$692,Q$1)</f>
        <v>0</v>
      </c>
      <c r="R148" s="207">
        <f>SUMIFS('апрель 2023'!$G$4:$G$692,'апрель 2023'!$D$4:$D$692,$B148,'апрель 2023'!$J$4:$J$692,R$1)</f>
        <v>0</v>
      </c>
      <c r="S148" s="207">
        <f>SUMIFS('апрель 2023'!$G$4:$G$692,'апрель 2023'!$D$4:$D$692,$B148,'апрель 2023'!$J$4:$J$692,S$1)</f>
        <v>0</v>
      </c>
      <c r="T148" s="207">
        <f>SUMIFS('апрель 2023'!$G$4:$G$692,'апрель 2023'!$D$4:$D$692,$B148,'апрель 2023'!$J$4:$J$692,T$1)</f>
        <v>0</v>
      </c>
      <c r="U148" s="207">
        <f>SUMIFS('апрель 2023'!$G$4:$G$692,'апрель 2023'!$D$4:$D$692,$B148,'апрель 2023'!$J$4:$J$692,U$1)</f>
        <v>0</v>
      </c>
      <c r="V148" s="207">
        <f>SUMIFS('апрель 2023'!$G$4:$G$692,'апрель 2023'!$D$4:$D$692,$B148,'апрель 2023'!$J$4:$J$692,V$1)</f>
        <v>0</v>
      </c>
      <c r="W148" s="207">
        <f>SUMIFS('апрель 2023'!$G$4:$G$692,'апрель 2023'!$D$4:$D$692,$B148,'апрель 2023'!$J$4:$J$692,W$1)</f>
        <v>0</v>
      </c>
      <c r="X148" s="207">
        <f>SUMIFS('апрель 2023'!$G$4:$G$692,'апрель 2023'!$D$4:$D$692,$B148,'апрель 2023'!$J$4:$J$692,X$1)</f>
        <v>0</v>
      </c>
      <c r="Y148" s="207">
        <f>SUMIFS('апрель 2023'!$G$4:$G$692,'апрель 2023'!$D$4:$D$692,$B148,'апрель 2023'!$J$4:$J$692,Y$1)</f>
        <v>0</v>
      </c>
      <c r="Z148" s="207">
        <f>SUMIFS('апрель 2023'!$G$4:$G$692,'апрель 2023'!$D$4:$D$692,$B148,'апрель 2023'!$J$4:$J$692,Z$1)</f>
        <v>0</v>
      </c>
      <c r="AA148" s="207">
        <f>SUMIFS('апрель 2023'!$G$4:$G$692,'апрель 2023'!$D$4:$D$692,$B148,'апрель 2023'!$J$4:$J$692,AA$1)</f>
        <v>0</v>
      </c>
      <c r="AB148" s="207">
        <f>SUMIFS('апрель 2023'!$G$4:$G$692,'апрель 2023'!$D$4:$D$692,$B148,'апрель 2023'!$J$4:$J$692,AB$1)</f>
        <v>0</v>
      </c>
      <c r="AC148" s="207">
        <f>SUMIFS('апрель 2023'!$G$4:$G$692,'апрель 2023'!$D$4:$D$692,$B148,'апрель 2023'!$J$4:$J$692,AC$1)</f>
        <v>0</v>
      </c>
      <c r="AD148" s="207">
        <f>SUMIFS('апрель 2023'!$G$4:$G$692,'апрель 2023'!$D$4:$D$692,$B148,'апрель 2023'!$J$4:$J$692,AD$1)</f>
        <v>0</v>
      </c>
      <c r="AE148" s="207">
        <f>SUMIFS('апрель 2023'!$G$4:$G$692,'апрель 2023'!$D$4:$D$692,$B148,'апрель 2023'!$J$4:$J$692,AE$1)</f>
        <v>0</v>
      </c>
      <c r="AF148" s="207">
        <f>SUMIFS('апрель 2023'!$G$4:$G$692,'апрель 2023'!$D$4:$D$692,$B148,'апрель 2023'!$J$4:$J$692,AF$1)</f>
        <v>0</v>
      </c>
      <c r="AG148" s="207">
        <f>SUMIFS('апрель 2023'!$G$4:$G$692,'апрель 2023'!$D$4:$D$692,$B148,'апрель 2023'!$J$4:$J$692,AG$1)</f>
        <v>0</v>
      </c>
      <c r="AH148" s="207">
        <f>SUMIFS('апрель 2023'!$G$4:$G$692,'апрель 2023'!$D$4:$D$692,$B148,'апрель 2023'!$J$4:$J$692,AH$1)</f>
        <v>0</v>
      </c>
      <c r="AI148" s="220">
        <f t="shared" si="3"/>
        <v>0</v>
      </c>
    </row>
    <row r="149" spans="2:35" ht="15" hidden="1" customHeight="1" x14ac:dyDescent="0.25">
      <c r="B149" s="212"/>
      <c r="C149" s="213"/>
      <c r="D149" s="207">
        <f>SUMIFS('апрель 2023'!$G$4:$G$692,'апрель 2023'!$D$4:$D$692,$B149,'апрель 2023'!$J$4:$J$692,D$1)</f>
        <v>0</v>
      </c>
      <c r="E149" s="207">
        <f>SUMIFS('апрель 2023'!$G$4:$G$692,'апрель 2023'!$D$4:$D$692,$B149,'апрель 2023'!$J$4:$J$692,E$1)</f>
        <v>0</v>
      </c>
      <c r="F149" s="207">
        <f>SUMIFS('апрель 2023'!$G$4:$G$692,'апрель 2023'!$D$4:$D$692,$B149,'апрель 2023'!$J$4:$J$692,F$1)</f>
        <v>0</v>
      </c>
      <c r="G149" s="207">
        <f>SUMIFS('апрель 2023'!$G$4:$G$692,'апрель 2023'!$D$4:$D$692,$B149,'апрель 2023'!$J$4:$J$692,G$1)</f>
        <v>0</v>
      </c>
      <c r="H149" s="207">
        <f>SUMIFS('апрель 2023'!$G$4:$G$692,'апрель 2023'!$D$4:$D$692,$B149,'апрель 2023'!$J$4:$J$692,H$1)</f>
        <v>0</v>
      </c>
      <c r="I149" s="207">
        <f>SUMIFS('апрель 2023'!$G$4:$G$692,'апрель 2023'!$D$4:$D$692,$B149,'апрель 2023'!$J$4:$J$692,I$1)</f>
        <v>0</v>
      </c>
      <c r="J149" s="207">
        <f>SUMIFS('апрель 2023'!$G$4:$G$692,'апрель 2023'!$D$4:$D$692,$B149,'апрель 2023'!$J$4:$J$692,J$1)</f>
        <v>0</v>
      </c>
      <c r="K149" s="207">
        <f>SUMIFS('апрель 2023'!$G$4:$G$692,'апрель 2023'!$D$4:$D$692,$B149,'апрель 2023'!$J$4:$J$692,K$1)</f>
        <v>0</v>
      </c>
      <c r="L149" s="207">
        <f>SUMIFS('апрель 2023'!$G$4:$G$692,'апрель 2023'!$D$4:$D$692,$B149,'апрель 2023'!$J$4:$J$692,L$1)</f>
        <v>0</v>
      </c>
      <c r="M149" s="207">
        <f>SUMIFS('апрель 2023'!$G$4:$G$692,'апрель 2023'!$D$4:$D$692,$B149,'апрель 2023'!$J$4:$J$692,M$1)</f>
        <v>0</v>
      </c>
      <c r="N149" s="207">
        <f>SUMIFS('апрель 2023'!$G$4:$G$692,'апрель 2023'!$D$4:$D$692,$B149,'апрель 2023'!$J$4:$J$692,N$1)</f>
        <v>0</v>
      </c>
      <c r="O149" s="207">
        <f>SUMIFS('апрель 2023'!$G$4:$G$692,'апрель 2023'!$D$4:$D$692,$B149,'апрель 2023'!$J$4:$J$692,O$1)</f>
        <v>0</v>
      </c>
      <c r="P149" s="207">
        <f>SUMIFS('апрель 2023'!$G$4:$G$692,'апрель 2023'!$D$4:$D$692,$B149,'апрель 2023'!$J$4:$J$692,P$1)</f>
        <v>0</v>
      </c>
      <c r="Q149" s="207">
        <f>SUMIFS('апрель 2023'!$G$4:$G$692,'апрель 2023'!$D$4:$D$692,$B149,'апрель 2023'!$J$4:$J$692,Q$1)</f>
        <v>0</v>
      </c>
      <c r="R149" s="207">
        <f>SUMIFS('апрель 2023'!$G$4:$G$692,'апрель 2023'!$D$4:$D$692,$B149,'апрель 2023'!$J$4:$J$692,R$1)</f>
        <v>0</v>
      </c>
      <c r="S149" s="207">
        <f>SUMIFS('апрель 2023'!$G$4:$G$692,'апрель 2023'!$D$4:$D$692,$B149,'апрель 2023'!$J$4:$J$692,S$1)</f>
        <v>0</v>
      </c>
      <c r="T149" s="207">
        <f>SUMIFS('апрель 2023'!$G$4:$G$692,'апрель 2023'!$D$4:$D$692,$B149,'апрель 2023'!$J$4:$J$692,T$1)</f>
        <v>0</v>
      </c>
      <c r="U149" s="207">
        <f>SUMIFS('апрель 2023'!$G$4:$G$692,'апрель 2023'!$D$4:$D$692,$B149,'апрель 2023'!$J$4:$J$692,U$1)</f>
        <v>0</v>
      </c>
      <c r="V149" s="207">
        <f>SUMIFS('апрель 2023'!$G$4:$G$692,'апрель 2023'!$D$4:$D$692,$B149,'апрель 2023'!$J$4:$J$692,V$1)</f>
        <v>0</v>
      </c>
      <c r="W149" s="207">
        <f>SUMIFS('апрель 2023'!$G$4:$G$692,'апрель 2023'!$D$4:$D$692,$B149,'апрель 2023'!$J$4:$J$692,W$1)</f>
        <v>0</v>
      </c>
      <c r="X149" s="207">
        <f>SUMIFS('апрель 2023'!$G$4:$G$692,'апрель 2023'!$D$4:$D$692,$B149,'апрель 2023'!$J$4:$J$692,X$1)</f>
        <v>0</v>
      </c>
      <c r="Y149" s="207">
        <f>SUMIFS('апрель 2023'!$G$4:$G$692,'апрель 2023'!$D$4:$D$692,$B149,'апрель 2023'!$J$4:$J$692,Y$1)</f>
        <v>0</v>
      </c>
      <c r="Z149" s="207">
        <f>SUMIFS('апрель 2023'!$G$4:$G$692,'апрель 2023'!$D$4:$D$692,$B149,'апрель 2023'!$J$4:$J$692,Z$1)</f>
        <v>0</v>
      </c>
      <c r="AA149" s="207">
        <f>SUMIFS('апрель 2023'!$G$4:$G$692,'апрель 2023'!$D$4:$D$692,$B149,'апрель 2023'!$J$4:$J$692,AA$1)</f>
        <v>0</v>
      </c>
      <c r="AB149" s="207">
        <f>SUMIFS('апрель 2023'!$G$4:$G$692,'апрель 2023'!$D$4:$D$692,$B149,'апрель 2023'!$J$4:$J$692,AB$1)</f>
        <v>0</v>
      </c>
      <c r="AC149" s="207">
        <f>SUMIFS('апрель 2023'!$G$4:$G$692,'апрель 2023'!$D$4:$D$692,$B149,'апрель 2023'!$J$4:$J$692,AC$1)</f>
        <v>0</v>
      </c>
      <c r="AD149" s="207">
        <f>SUMIFS('апрель 2023'!$G$4:$G$692,'апрель 2023'!$D$4:$D$692,$B149,'апрель 2023'!$J$4:$J$692,AD$1)</f>
        <v>0</v>
      </c>
      <c r="AE149" s="207">
        <f>SUMIFS('апрель 2023'!$G$4:$G$692,'апрель 2023'!$D$4:$D$692,$B149,'апрель 2023'!$J$4:$J$692,AE$1)</f>
        <v>0</v>
      </c>
      <c r="AF149" s="207">
        <f>SUMIFS('апрель 2023'!$G$4:$G$692,'апрель 2023'!$D$4:$D$692,$B149,'апрель 2023'!$J$4:$J$692,AF$1)</f>
        <v>0</v>
      </c>
      <c r="AG149" s="207">
        <f>SUMIFS('апрель 2023'!$G$4:$G$692,'апрель 2023'!$D$4:$D$692,$B149,'апрель 2023'!$J$4:$J$692,AG$1)</f>
        <v>0</v>
      </c>
      <c r="AH149" s="207">
        <f>SUMIFS('апрель 2023'!$G$4:$G$692,'апрель 2023'!$D$4:$D$692,$B149,'апрель 2023'!$J$4:$J$692,AH$1)</f>
        <v>0</v>
      </c>
      <c r="AI149" s="220">
        <f t="shared" si="3"/>
        <v>0</v>
      </c>
    </row>
    <row r="150" spans="2:35" ht="15" hidden="1" customHeight="1" x14ac:dyDescent="0.25">
      <c r="B150" s="212"/>
      <c r="C150" s="213"/>
      <c r="D150" s="207">
        <f>SUMIFS('апрель 2023'!$G$4:$G$692,'апрель 2023'!$D$4:$D$692,$B150,'апрель 2023'!$J$4:$J$692,D$1)</f>
        <v>0</v>
      </c>
      <c r="E150" s="207">
        <f>SUMIFS('апрель 2023'!$G$4:$G$692,'апрель 2023'!$D$4:$D$692,$B150,'апрель 2023'!$J$4:$J$692,E$1)</f>
        <v>0</v>
      </c>
      <c r="F150" s="207">
        <f>SUMIFS('апрель 2023'!$G$4:$G$692,'апрель 2023'!$D$4:$D$692,$B150,'апрель 2023'!$J$4:$J$692,F$1)</f>
        <v>0</v>
      </c>
      <c r="G150" s="207">
        <f>SUMIFS('апрель 2023'!$G$4:$G$692,'апрель 2023'!$D$4:$D$692,$B150,'апрель 2023'!$J$4:$J$692,G$1)</f>
        <v>0</v>
      </c>
      <c r="H150" s="207">
        <f>SUMIFS('апрель 2023'!$G$4:$G$692,'апрель 2023'!$D$4:$D$692,$B150,'апрель 2023'!$J$4:$J$692,H$1)</f>
        <v>0</v>
      </c>
      <c r="I150" s="207">
        <f>SUMIFS('апрель 2023'!$G$4:$G$692,'апрель 2023'!$D$4:$D$692,$B150,'апрель 2023'!$J$4:$J$692,I$1)</f>
        <v>0</v>
      </c>
      <c r="J150" s="207">
        <f>SUMIFS('апрель 2023'!$G$4:$G$692,'апрель 2023'!$D$4:$D$692,$B150,'апрель 2023'!$J$4:$J$692,J$1)</f>
        <v>0</v>
      </c>
      <c r="K150" s="207">
        <f>SUMIFS('апрель 2023'!$G$4:$G$692,'апрель 2023'!$D$4:$D$692,$B150,'апрель 2023'!$J$4:$J$692,K$1)</f>
        <v>0</v>
      </c>
      <c r="L150" s="207">
        <f>SUMIFS('апрель 2023'!$G$4:$G$692,'апрель 2023'!$D$4:$D$692,$B150,'апрель 2023'!$J$4:$J$692,L$1)</f>
        <v>0</v>
      </c>
      <c r="M150" s="207">
        <f>SUMIFS('апрель 2023'!$G$4:$G$692,'апрель 2023'!$D$4:$D$692,$B150,'апрель 2023'!$J$4:$J$692,M$1)</f>
        <v>0</v>
      </c>
      <c r="N150" s="207">
        <f>SUMIFS('апрель 2023'!$G$4:$G$692,'апрель 2023'!$D$4:$D$692,$B150,'апрель 2023'!$J$4:$J$692,N$1)</f>
        <v>0</v>
      </c>
      <c r="O150" s="207">
        <f>SUMIFS('апрель 2023'!$G$4:$G$692,'апрель 2023'!$D$4:$D$692,$B150,'апрель 2023'!$J$4:$J$692,O$1)</f>
        <v>0</v>
      </c>
      <c r="P150" s="207">
        <f>SUMIFS('апрель 2023'!$G$4:$G$692,'апрель 2023'!$D$4:$D$692,$B150,'апрель 2023'!$J$4:$J$692,P$1)</f>
        <v>0</v>
      </c>
      <c r="Q150" s="207">
        <f>SUMIFS('апрель 2023'!$G$4:$G$692,'апрель 2023'!$D$4:$D$692,$B150,'апрель 2023'!$J$4:$J$692,Q$1)</f>
        <v>0</v>
      </c>
      <c r="R150" s="207">
        <f>SUMIFS('апрель 2023'!$G$4:$G$692,'апрель 2023'!$D$4:$D$692,$B150,'апрель 2023'!$J$4:$J$692,R$1)</f>
        <v>0</v>
      </c>
      <c r="S150" s="207">
        <f>SUMIFS('апрель 2023'!$G$4:$G$692,'апрель 2023'!$D$4:$D$692,$B150,'апрель 2023'!$J$4:$J$692,S$1)</f>
        <v>0</v>
      </c>
      <c r="T150" s="207">
        <f>SUMIFS('апрель 2023'!$G$4:$G$692,'апрель 2023'!$D$4:$D$692,$B150,'апрель 2023'!$J$4:$J$692,T$1)</f>
        <v>0</v>
      </c>
      <c r="U150" s="207">
        <f>SUMIFS('апрель 2023'!$G$4:$G$692,'апрель 2023'!$D$4:$D$692,$B150,'апрель 2023'!$J$4:$J$692,U$1)</f>
        <v>0</v>
      </c>
      <c r="V150" s="207">
        <f>SUMIFS('апрель 2023'!$G$4:$G$692,'апрель 2023'!$D$4:$D$692,$B150,'апрель 2023'!$J$4:$J$692,V$1)</f>
        <v>0</v>
      </c>
      <c r="W150" s="207">
        <f>SUMIFS('апрель 2023'!$G$4:$G$692,'апрель 2023'!$D$4:$D$692,$B150,'апрель 2023'!$J$4:$J$692,W$1)</f>
        <v>0</v>
      </c>
      <c r="X150" s="207">
        <f>SUMIFS('апрель 2023'!$G$4:$G$692,'апрель 2023'!$D$4:$D$692,$B150,'апрель 2023'!$J$4:$J$692,X$1)</f>
        <v>0</v>
      </c>
      <c r="Y150" s="207">
        <f>SUMIFS('апрель 2023'!$G$4:$G$692,'апрель 2023'!$D$4:$D$692,$B150,'апрель 2023'!$J$4:$J$692,Y$1)</f>
        <v>0</v>
      </c>
      <c r="Z150" s="207">
        <f>SUMIFS('апрель 2023'!$G$4:$G$692,'апрель 2023'!$D$4:$D$692,$B150,'апрель 2023'!$J$4:$J$692,Z$1)</f>
        <v>0</v>
      </c>
      <c r="AA150" s="207">
        <f>SUMIFS('апрель 2023'!$G$4:$G$692,'апрель 2023'!$D$4:$D$692,$B150,'апрель 2023'!$J$4:$J$692,AA$1)</f>
        <v>0</v>
      </c>
      <c r="AB150" s="207">
        <f>SUMIFS('апрель 2023'!$G$4:$G$692,'апрель 2023'!$D$4:$D$692,$B150,'апрель 2023'!$J$4:$J$692,AB$1)</f>
        <v>0</v>
      </c>
      <c r="AC150" s="207">
        <f>SUMIFS('апрель 2023'!$G$4:$G$692,'апрель 2023'!$D$4:$D$692,$B150,'апрель 2023'!$J$4:$J$692,AC$1)</f>
        <v>0</v>
      </c>
      <c r="AD150" s="207">
        <f>SUMIFS('апрель 2023'!$G$4:$G$692,'апрель 2023'!$D$4:$D$692,$B150,'апрель 2023'!$J$4:$J$692,AD$1)</f>
        <v>0</v>
      </c>
      <c r="AE150" s="207">
        <f>SUMIFS('апрель 2023'!$G$4:$G$692,'апрель 2023'!$D$4:$D$692,$B150,'апрель 2023'!$J$4:$J$692,AE$1)</f>
        <v>0</v>
      </c>
      <c r="AF150" s="207">
        <f>SUMIFS('апрель 2023'!$G$4:$G$692,'апрель 2023'!$D$4:$D$692,$B150,'апрель 2023'!$J$4:$J$692,AF$1)</f>
        <v>0</v>
      </c>
      <c r="AG150" s="207">
        <f>SUMIFS('апрель 2023'!$G$4:$G$692,'апрель 2023'!$D$4:$D$692,$B150,'апрель 2023'!$J$4:$J$692,AG$1)</f>
        <v>0</v>
      </c>
      <c r="AH150" s="207">
        <f>SUMIFS('апрель 2023'!$G$4:$G$692,'апрель 2023'!$D$4:$D$692,$B150,'апрель 2023'!$J$4:$J$692,AH$1)</f>
        <v>0</v>
      </c>
      <c r="AI150" s="220">
        <f t="shared" ref="AI150:AI188" si="4">SUM(D150:AH150)</f>
        <v>0</v>
      </c>
    </row>
    <row r="151" spans="2:35" ht="15" hidden="1" customHeight="1" x14ac:dyDescent="0.25">
      <c r="B151" s="212"/>
      <c r="C151" s="213"/>
      <c r="D151" s="207">
        <f>SUMIFS('апрель 2023'!$G$4:$G$692,'апрель 2023'!$D$4:$D$692,$B151,'апрель 2023'!$J$4:$J$692,D$1)</f>
        <v>0</v>
      </c>
      <c r="E151" s="207">
        <f>SUMIFS('апрель 2023'!$G$4:$G$692,'апрель 2023'!$D$4:$D$692,$B151,'апрель 2023'!$J$4:$J$692,E$1)</f>
        <v>0</v>
      </c>
      <c r="F151" s="207">
        <f>SUMIFS('апрель 2023'!$G$4:$G$692,'апрель 2023'!$D$4:$D$692,$B151,'апрель 2023'!$J$4:$J$692,F$1)</f>
        <v>0</v>
      </c>
      <c r="G151" s="207">
        <f>SUMIFS('апрель 2023'!$G$4:$G$692,'апрель 2023'!$D$4:$D$692,$B151,'апрель 2023'!$J$4:$J$692,G$1)</f>
        <v>0</v>
      </c>
      <c r="H151" s="207">
        <f>SUMIFS('апрель 2023'!$G$4:$G$692,'апрель 2023'!$D$4:$D$692,$B151,'апрель 2023'!$J$4:$J$692,H$1)</f>
        <v>0</v>
      </c>
      <c r="I151" s="207">
        <f>SUMIFS('апрель 2023'!$G$4:$G$692,'апрель 2023'!$D$4:$D$692,$B151,'апрель 2023'!$J$4:$J$692,I$1)</f>
        <v>0</v>
      </c>
      <c r="J151" s="207">
        <f>SUMIFS('апрель 2023'!$G$4:$G$692,'апрель 2023'!$D$4:$D$692,$B151,'апрель 2023'!$J$4:$J$692,J$1)</f>
        <v>0</v>
      </c>
      <c r="K151" s="207">
        <f>SUMIFS('апрель 2023'!$G$4:$G$692,'апрель 2023'!$D$4:$D$692,$B151,'апрель 2023'!$J$4:$J$692,K$1)</f>
        <v>0</v>
      </c>
      <c r="L151" s="207">
        <f>SUMIFS('апрель 2023'!$G$4:$G$692,'апрель 2023'!$D$4:$D$692,$B151,'апрель 2023'!$J$4:$J$692,L$1)</f>
        <v>0</v>
      </c>
      <c r="M151" s="207">
        <f>SUMIFS('апрель 2023'!$G$4:$G$692,'апрель 2023'!$D$4:$D$692,$B151,'апрель 2023'!$J$4:$J$692,M$1)</f>
        <v>0</v>
      </c>
      <c r="N151" s="207">
        <f>SUMIFS('апрель 2023'!$G$4:$G$692,'апрель 2023'!$D$4:$D$692,$B151,'апрель 2023'!$J$4:$J$692,N$1)</f>
        <v>0</v>
      </c>
      <c r="O151" s="207">
        <f>SUMIFS('апрель 2023'!$G$4:$G$692,'апрель 2023'!$D$4:$D$692,$B151,'апрель 2023'!$J$4:$J$692,O$1)</f>
        <v>0</v>
      </c>
      <c r="P151" s="207">
        <f>SUMIFS('апрель 2023'!$G$4:$G$692,'апрель 2023'!$D$4:$D$692,$B151,'апрель 2023'!$J$4:$J$692,P$1)</f>
        <v>0</v>
      </c>
      <c r="Q151" s="207">
        <f>SUMIFS('апрель 2023'!$G$4:$G$692,'апрель 2023'!$D$4:$D$692,$B151,'апрель 2023'!$J$4:$J$692,Q$1)</f>
        <v>0</v>
      </c>
      <c r="R151" s="207">
        <f>SUMIFS('апрель 2023'!$G$4:$G$692,'апрель 2023'!$D$4:$D$692,$B151,'апрель 2023'!$J$4:$J$692,R$1)</f>
        <v>0</v>
      </c>
      <c r="S151" s="207">
        <f>SUMIFS('апрель 2023'!$G$4:$G$692,'апрель 2023'!$D$4:$D$692,$B151,'апрель 2023'!$J$4:$J$692,S$1)</f>
        <v>0</v>
      </c>
      <c r="T151" s="207">
        <f>SUMIFS('апрель 2023'!$G$4:$G$692,'апрель 2023'!$D$4:$D$692,$B151,'апрель 2023'!$J$4:$J$692,T$1)</f>
        <v>0</v>
      </c>
      <c r="U151" s="207">
        <f>SUMIFS('апрель 2023'!$G$4:$G$692,'апрель 2023'!$D$4:$D$692,$B151,'апрель 2023'!$J$4:$J$692,U$1)</f>
        <v>0</v>
      </c>
      <c r="V151" s="207">
        <f>SUMIFS('апрель 2023'!$G$4:$G$692,'апрель 2023'!$D$4:$D$692,$B151,'апрель 2023'!$J$4:$J$692,V$1)</f>
        <v>0</v>
      </c>
      <c r="W151" s="207">
        <f>SUMIFS('апрель 2023'!$G$4:$G$692,'апрель 2023'!$D$4:$D$692,$B151,'апрель 2023'!$J$4:$J$692,W$1)</f>
        <v>0</v>
      </c>
      <c r="X151" s="207">
        <f>SUMIFS('апрель 2023'!$G$4:$G$692,'апрель 2023'!$D$4:$D$692,$B151,'апрель 2023'!$J$4:$J$692,X$1)</f>
        <v>0</v>
      </c>
      <c r="Y151" s="207">
        <f>SUMIFS('апрель 2023'!$G$4:$G$692,'апрель 2023'!$D$4:$D$692,$B151,'апрель 2023'!$J$4:$J$692,Y$1)</f>
        <v>0</v>
      </c>
      <c r="Z151" s="207">
        <f>SUMIFS('апрель 2023'!$G$4:$G$692,'апрель 2023'!$D$4:$D$692,$B151,'апрель 2023'!$J$4:$J$692,Z$1)</f>
        <v>0</v>
      </c>
      <c r="AA151" s="207">
        <f>SUMIFS('апрель 2023'!$G$4:$G$692,'апрель 2023'!$D$4:$D$692,$B151,'апрель 2023'!$J$4:$J$692,AA$1)</f>
        <v>0</v>
      </c>
      <c r="AB151" s="207">
        <f>SUMIFS('апрель 2023'!$G$4:$G$692,'апрель 2023'!$D$4:$D$692,$B151,'апрель 2023'!$J$4:$J$692,AB$1)</f>
        <v>0</v>
      </c>
      <c r="AC151" s="207">
        <f>SUMIFS('апрель 2023'!$G$4:$G$692,'апрель 2023'!$D$4:$D$692,$B151,'апрель 2023'!$J$4:$J$692,AC$1)</f>
        <v>0</v>
      </c>
      <c r="AD151" s="207">
        <f>SUMIFS('апрель 2023'!$G$4:$G$692,'апрель 2023'!$D$4:$D$692,$B151,'апрель 2023'!$J$4:$J$692,AD$1)</f>
        <v>0</v>
      </c>
      <c r="AE151" s="207">
        <f>SUMIFS('апрель 2023'!$G$4:$G$692,'апрель 2023'!$D$4:$D$692,$B151,'апрель 2023'!$J$4:$J$692,AE$1)</f>
        <v>0</v>
      </c>
      <c r="AF151" s="207">
        <f>SUMIFS('апрель 2023'!$G$4:$G$692,'апрель 2023'!$D$4:$D$692,$B151,'апрель 2023'!$J$4:$J$692,AF$1)</f>
        <v>0</v>
      </c>
      <c r="AG151" s="207">
        <f>SUMIFS('апрель 2023'!$G$4:$G$692,'апрель 2023'!$D$4:$D$692,$B151,'апрель 2023'!$J$4:$J$692,AG$1)</f>
        <v>0</v>
      </c>
      <c r="AH151" s="207">
        <f>SUMIFS('апрель 2023'!$G$4:$G$692,'апрель 2023'!$D$4:$D$692,$B151,'апрель 2023'!$J$4:$J$692,AH$1)</f>
        <v>0</v>
      </c>
      <c r="AI151" s="220">
        <f t="shared" si="4"/>
        <v>0</v>
      </c>
    </row>
    <row r="152" spans="2:35" ht="15.75" hidden="1" x14ac:dyDescent="0.25">
      <c r="B152" s="212"/>
      <c r="C152" s="213"/>
      <c r="D152" s="207">
        <f>SUMIFS('апрель 2023'!$G$4:$G$692,'апрель 2023'!$D$4:$D$692,$B152,'апрель 2023'!$J$4:$J$692,D$1)</f>
        <v>0</v>
      </c>
      <c r="E152" s="207">
        <f>SUMIFS('апрель 2023'!$G$4:$G$692,'апрель 2023'!$D$4:$D$692,$B152,'апрель 2023'!$J$4:$J$692,E$1)</f>
        <v>0</v>
      </c>
      <c r="F152" s="207">
        <f>SUMIFS('апрель 2023'!$G$4:$G$692,'апрель 2023'!$D$4:$D$692,$B152,'апрель 2023'!$J$4:$J$692,F$1)</f>
        <v>0</v>
      </c>
      <c r="G152" s="207">
        <f>SUMIFS('апрель 2023'!$G$4:$G$692,'апрель 2023'!$D$4:$D$692,$B152,'апрель 2023'!$J$4:$J$692,G$1)</f>
        <v>0</v>
      </c>
      <c r="H152" s="207">
        <f>SUMIFS('апрель 2023'!$G$4:$G$692,'апрель 2023'!$D$4:$D$692,$B152,'апрель 2023'!$J$4:$J$692,H$1)</f>
        <v>0</v>
      </c>
      <c r="I152" s="207">
        <f>SUMIFS('апрель 2023'!$G$4:$G$692,'апрель 2023'!$D$4:$D$692,$B152,'апрель 2023'!$J$4:$J$692,I$1)</f>
        <v>0</v>
      </c>
      <c r="J152" s="207">
        <f>SUMIFS('апрель 2023'!$G$4:$G$692,'апрель 2023'!$D$4:$D$692,$B152,'апрель 2023'!$J$4:$J$692,J$1)</f>
        <v>0</v>
      </c>
      <c r="K152" s="207">
        <f>SUMIFS('апрель 2023'!$G$4:$G$692,'апрель 2023'!$D$4:$D$692,$B152,'апрель 2023'!$J$4:$J$692,K$1)</f>
        <v>0</v>
      </c>
      <c r="L152" s="207">
        <f>SUMIFS('апрель 2023'!$G$4:$G$692,'апрель 2023'!$D$4:$D$692,$B152,'апрель 2023'!$J$4:$J$692,L$1)</f>
        <v>0</v>
      </c>
      <c r="M152" s="207">
        <f>SUMIFS('апрель 2023'!$G$4:$G$692,'апрель 2023'!$D$4:$D$692,$B152,'апрель 2023'!$J$4:$J$692,M$1)</f>
        <v>0</v>
      </c>
      <c r="N152" s="207">
        <f>SUMIFS('апрель 2023'!$G$4:$G$692,'апрель 2023'!$D$4:$D$692,$B152,'апрель 2023'!$J$4:$J$692,N$1)</f>
        <v>0</v>
      </c>
      <c r="O152" s="207">
        <f>SUMIFS('апрель 2023'!$G$4:$G$692,'апрель 2023'!$D$4:$D$692,$B152,'апрель 2023'!$J$4:$J$692,O$1)</f>
        <v>0</v>
      </c>
      <c r="P152" s="207">
        <f>SUMIFS('апрель 2023'!$G$4:$G$692,'апрель 2023'!$D$4:$D$692,$B152,'апрель 2023'!$J$4:$J$692,P$1)</f>
        <v>0</v>
      </c>
      <c r="Q152" s="207">
        <f>SUMIFS('апрель 2023'!$G$4:$G$692,'апрель 2023'!$D$4:$D$692,$B152,'апрель 2023'!$J$4:$J$692,Q$1)</f>
        <v>0</v>
      </c>
      <c r="R152" s="207">
        <f>SUMIFS('апрель 2023'!$G$4:$G$692,'апрель 2023'!$D$4:$D$692,$B152,'апрель 2023'!$J$4:$J$692,R$1)</f>
        <v>0</v>
      </c>
      <c r="S152" s="207">
        <f>SUMIFS('апрель 2023'!$G$4:$G$692,'апрель 2023'!$D$4:$D$692,$B152,'апрель 2023'!$J$4:$J$692,S$1)</f>
        <v>0</v>
      </c>
      <c r="T152" s="207">
        <f>SUMIFS('апрель 2023'!$G$4:$G$692,'апрель 2023'!$D$4:$D$692,$B152,'апрель 2023'!$J$4:$J$692,T$1)</f>
        <v>0</v>
      </c>
      <c r="U152" s="207">
        <f>SUMIFS('апрель 2023'!$G$4:$G$692,'апрель 2023'!$D$4:$D$692,$B152,'апрель 2023'!$J$4:$J$692,U$1)</f>
        <v>0</v>
      </c>
      <c r="V152" s="207">
        <f>SUMIFS('апрель 2023'!$G$4:$G$692,'апрель 2023'!$D$4:$D$692,$B152,'апрель 2023'!$J$4:$J$692,V$1)</f>
        <v>0</v>
      </c>
      <c r="W152" s="207">
        <f>SUMIFS('апрель 2023'!$G$4:$G$692,'апрель 2023'!$D$4:$D$692,$B152,'апрель 2023'!$J$4:$J$692,W$1)</f>
        <v>0</v>
      </c>
      <c r="X152" s="207">
        <f>SUMIFS('апрель 2023'!$G$4:$G$692,'апрель 2023'!$D$4:$D$692,$B152,'апрель 2023'!$J$4:$J$692,X$1)</f>
        <v>0</v>
      </c>
      <c r="Y152" s="207">
        <f>SUMIFS('апрель 2023'!$G$4:$G$692,'апрель 2023'!$D$4:$D$692,$B152,'апрель 2023'!$J$4:$J$692,Y$1)</f>
        <v>0</v>
      </c>
      <c r="Z152" s="207">
        <f>SUMIFS('апрель 2023'!$G$4:$G$692,'апрель 2023'!$D$4:$D$692,$B152,'апрель 2023'!$J$4:$J$692,Z$1)</f>
        <v>0</v>
      </c>
      <c r="AA152" s="207">
        <f>SUMIFS('апрель 2023'!$G$4:$G$692,'апрель 2023'!$D$4:$D$692,$B152,'апрель 2023'!$J$4:$J$692,AA$1)</f>
        <v>0</v>
      </c>
      <c r="AB152" s="207">
        <f>SUMIFS('апрель 2023'!$G$4:$G$692,'апрель 2023'!$D$4:$D$692,$B152,'апрель 2023'!$J$4:$J$692,AB$1)</f>
        <v>0</v>
      </c>
      <c r="AC152" s="207">
        <f>SUMIFS('апрель 2023'!$G$4:$G$692,'апрель 2023'!$D$4:$D$692,$B152,'апрель 2023'!$J$4:$J$692,AC$1)</f>
        <v>0</v>
      </c>
      <c r="AD152" s="207">
        <f>SUMIFS('апрель 2023'!$G$4:$G$692,'апрель 2023'!$D$4:$D$692,$B152,'апрель 2023'!$J$4:$J$692,AD$1)</f>
        <v>0</v>
      </c>
      <c r="AE152" s="207">
        <f>SUMIFS('апрель 2023'!$G$4:$G$692,'апрель 2023'!$D$4:$D$692,$B152,'апрель 2023'!$J$4:$J$692,AE$1)</f>
        <v>0</v>
      </c>
      <c r="AF152" s="207">
        <f>SUMIFS('апрель 2023'!$G$4:$G$692,'апрель 2023'!$D$4:$D$692,$B152,'апрель 2023'!$J$4:$J$692,AF$1)</f>
        <v>0</v>
      </c>
      <c r="AG152" s="207">
        <f>SUMIFS('апрель 2023'!$G$4:$G$692,'апрель 2023'!$D$4:$D$692,$B152,'апрель 2023'!$J$4:$J$692,AG$1)</f>
        <v>0</v>
      </c>
      <c r="AH152" s="207">
        <f>SUMIFS('апрель 2023'!$G$4:$G$692,'апрель 2023'!$D$4:$D$692,$B152,'апрель 2023'!$J$4:$J$692,AH$1)</f>
        <v>0</v>
      </c>
      <c r="AI152" s="220">
        <f t="shared" si="4"/>
        <v>0</v>
      </c>
    </row>
    <row r="153" spans="2:35" ht="15.75" hidden="1" x14ac:dyDescent="0.25">
      <c r="B153" s="212"/>
      <c r="C153" s="213"/>
      <c r="D153" s="207">
        <f>SUMIFS('апрель 2023'!$G$4:$G$692,'апрель 2023'!$D$4:$D$692,$B153,'апрель 2023'!$J$4:$J$692,D$1)</f>
        <v>0</v>
      </c>
      <c r="E153" s="207">
        <f>SUMIFS('апрель 2023'!$G$4:$G$692,'апрель 2023'!$D$4:$D$692,$B153,'апрель 2023'!$J$4:$J$692,E$1)</f>
        <v>0</v>
      </c>
      <c r="F153" s="207">
        <f>SUMIFS('апрель 2023'!$G$4:$G$692,'апрель 2023'!$D$4:$D$692,$B153,'апрель 2023'!$J$4:$J$692,F$1)</f>
        <v>0</v>
      </c>
      <c r="G153" s="207">
        <f>SUMIFS('апрель 2023'!$G$4:$G$692,'апрель 2023'!$D$4:$D$692,$B153,'апрель 2023'!$J$4:$J$692,G$1)</f>
        <v>0</v>
      </c>
      <c r="H153" s="207">
        <f>SUMIFS('апрель 2023'!$G$4:$G$692,'апрель 2023'!$D$4:$D$692,$B153,'апрель 2023'!$J$4:$J$692,H$1)</f>
        <v>0</v>
      </c>
      <c r="I153" s="207">
        <f>SUMIFS('апрель 2023'!$G$4:$G$692,'апрель 2023'!$D$4:$D$692,$B153,'апрель 2023'!$J$4:$J$692,I$1)</f>
        <v>0</v>
      </c>
      <c r="J153" s="207">
        <f>SUMIFS('апрель 2023'!$G$4:$G$692,'апрель 2023'!$D$4:$D$692,$B153,'апрель 2023'!$J$4:$J$692,J$1)</f>
        <v>0</v>
      </c>
      <c r="K153" s="207">
        <f>SUMIFS('апрель 2023'!$G$4:$G$692,'апрель 2023'!$D$4:$D$692,$B153,'апрель 2023'!$J$4:$J$692,K$1)</f>
        <v>0</v>
      </c>
      <c r="L153" s="207">
        <f>SUMIFS('апрель 2023'!$G$4:$G$692,'апрель 2023'!$D$4:$D$692,$B153,'апрель 2023'!$J$4:$J$692,L$1)</f>
        <v>0</v>
      </c>
      <c r="M153" s="207">
        <f>SUMIFS('апрель 2023'!$G$4:$G$692,'апрель 2023'!$D$4:$D$692,$B153,'апрель 2023'!$J$4:$J$692,M$1)</f>
        <v>0</v>
      </c>
      <c r="N153" s="207">
        <f>SUMIFS('апрель 2023'!$G$4:$G$692,'апрель 2023'!$D$4:$D$692,$B153,'апрель 2023'!$J$4:$J$692,N$1)</f>
        <v>0</v>
      </c>
      <c r="O153" s="207">
        <f>SUMIFS('апрель 2023'!$G$4:$G$692,'апрель 2023'!$D$4:$D$692,$B153,'апрель 2023'!$J$4:$J$692,O$1)</f>
        <v>0</v>
      </c>
      <c r="P153" s="207">
        <f>SUMIFS('апрель 2023'!$G$4:$G$692,'апрель 2023'!$D$4:$D$692,$B153,'апрель 2023'!$J$4:$J$692,P$1)</f>
        <v>0</v>
      </c>
      <c r="Q153" s="207">
        <f>SUMIFS('апрель 2023'!$G$4:$G$692,'апрель 2023'!$D$4:$D$692,$B153,'апрель 2023'!$J$4:$J$692,Q$1)</f>
        <v>0</v>
      </c>
      <c r="R153" s="207">
        <f>SUMIFS('апрель 2023'!$G$4:$G$692,'апрель 2023'!$D$4:$D$692,$B153,'апрель 2023'!$J$4:$J$692,R$1)</f>
        <v>0</v>
      </c>
      <c r="S153" s="207">
        <f>SUMIFS('апрель 2023'!$G$4:$G$692,'апрель 2023'!$D$4:$D$692,$B153,'апрель 2023'!$J$4:$J$692,S$1)</f>
        <v>0</v>
      </c>
      <c r="T153" s="207">
        <f>SUMIFS('апрель 2023'!$G$4:$G$692,'апрель 2023'!$D$4:$D$692,$B153,'апрель 2023'!$J$4:$J$692,T$1)</f>
        <v>0</v>
      </c>
      <c r="U153" s="207">
        <f>SUMIFS('апрель 2023'!$G$4:$G$692,'апрель 2023'!$D$4:$D$692,$B153,'апрель 2023'!$J$4:$J$692,U$1)</f>
        <v>0</v>
      </c>
      <c r="V153" s="207">
        <f>SUMIFS('апрель 2023'!$G$4:$G$692,'апрель 2023'!$D$4:$D$692,$B153,'апрель 2023'!$J$4:$J$692,V$1)</f>
        <v>0</v>
      </c>
      <c r="W153" s="207">
        <f>SUMIFS('апрель 2023'!$G$4:$G$692,'апрель 2023'!$D$4:$D$692,$B153,'апрель 2023'!$J$4:$J$692,W$1)</f>
        <v>0</v>
      </c>
      <c r="X153" s="207">
        <f>SUMIFS('апрель 2023'!$G$4:$G$692,'апрель 2023'!$D$4:$D$692,$B153,'апрель 2023'!$J$4:$J$692,X$1)</f>
        <v>0</v>
      </c>
      <c r="Y153" s="207">
        <f>SUMIFS('апрель 2023'!$G$4:$G$692,'апрель 2023'!$D$4:$D$692,$B153,'апрель 2023'!$J$4:$J$692,Y$1)</f>
        <v>0</v>
      </c>
      <c r="Z153" s="207">
        <f>SUMIFS('апрель 2023'!$G$4:$G$692,'апрель 2023'!$D$4:$D$692,$B153,'апрель 2023'!$J$4:$J$692,Z$1)</f>
        <v>0</v>
      </c>
      <c r="AA153" s="207">
        <f>SUMIFS('апрель 2023'!$G$4:$G$692,'апрель 2023'!$D$4:$D$692,$B153,'апрель 2023'!$J$4:$J$692,AA$1)</f>
        <v>0</v>
      </c>
      <c r="AB153" s="207">
        <f>SUMIFS('апрель 2023'!$G$4:$G$692,'апрель 2023'!$D$4:$D$692,$B153,'апрель 2023'!$J$4:$J$692,AB$1)</f>
        <v>0</v>
      </c>
      <c r="AC153" s="207">
        <f>SUMIFS('апрель 2023'!$G$4:$G$692,'апрель 2023'!$D$4:$D$692,$B153,'апрель 2023'!$J$4:$J$692,AC$1)</f>
        <v>0</v>
      </c>
      <c r="AD153" s="207">
        <f>SUMIFS('апрель 2023'!$G$4:$G$692,'апрель 2023'!$D$4:$D$692,$B153,'апрель 2023'!$J$4:$J$692,AD$1)</f>
        <v>0</v>
      </c>
      <c r="AE153" s="207">
        <f>SUMIFS('апрель 2023'!$G$4:$G$692,'апрель 2023'!$D$4:$D$692,$B153,'апрель 2023'!$J$4:$J$692,AE$1)</f>
        <v>0</v>
      </c>
      <c r="AF153" s="207">
        <f>SUMIFS('апрель 2023'!$G$4:$G$692,'апрель 2023'!$D$4:$D$692,$B153,'апрель 2023'!$J$4:$J$692,AF$1)</f>
        <v>0</v>
      </c>
      <c r="AG153" s="207">
        <f>SUMIFS('апрель 2023'!$G$4:$G$692,'апрель 2023'!$D$4:$D$692,$B153,'апрель 2023'!$J$4:$J$692,AG$1)</f>
        <v>0</v>
      </c>
      <c r="AH153" s="207">
        <f>SUMIFS('апрель 2023'!$G$4:$G$692,'апрель 2023'!$D$4:$D$692,$B153,'апрель 2023'!$J$4:$J$692,AH$1)</f>
        <v>0</v>
      </c>
      <c r="AI153" s="220">
        <f t="shared" si="4"/>
        <v>0</v>
      </c>
    </row>
    <row r="154" spans="2:35" ht="15.75" hidden="1" x14ac:dyDescent="0.25">
      <c r="B154" s="212"/>
      <c r="C154" s="211"/>
      <c r="D154" s="207">
        <f>SUMIFS('апрель 2023'!$G$4:$G$692,'апрель 2023'!$D$4:$D$692,$B154,'апрель 2023'!$J$4:$J$692,D$1)</f>
        <v>0</v>
      </c>
      <c r="E154" s="207">
        <f>SUMIFS('апрель 2023'!$G$4:$G$692,'апрель 2023'!$D$4:$D$692,$B154,'апрель 2023'!$J$4:$J$692,E$1)</f>
        <v>0</v>
      </c>
      <c r="F154" s="207">
        <f>SUMIFS('апрель 2023'!$G$4:$G$692,'апрель 2023'!$D$4:$D$692,$B154,'апрель 2023'!$J$4:$J$692,F$1)</f>
        <v>0</v>
      </c>
      <c r="G154" s="207">
        <f>SUMIFS('апрель 2023'!$G$4:$G$692,'апрель 2023'!$D$4:$D$692,$B154,'апрель 2023'!$J$4:$J$692,G$1)</f>
        <v>0</v>
      </c>
      <c r="H154" s="207">
        <f>SUMIFS('апрель 2023'!$G$4:$G$692,'апрель 2023'!$D$4:$D$692,$B154,'апрель 2023'!$J$4:$J$692,H$1)</f>
        <v>0</v>
      </c>
      <c r="I154" s="207">
        <f>SUMIFS('апрель 2023'!$G$4:$G$692,'апрель 2023'!$D$4:$D$692,$B154,'апрель 2023'!$J$4:$J$692,I$1)</f>
        <v>0</v>
      </c>
      <c r="J154" s="207">
        <f>SUMIFS('апрель 2023'!$G$4:$G$692,'апрель 2023'!$D$4:$D$692,$B154,'апрель 2023'!$J$4:$J$692,J$1)</f>
        <v>0</v>
      </c>
      <c r="K154" s="207">
        <f>SUMIFS('апрель 2023'!$G$4:$G$692,'апрель 2023'!$D$4:$D$692,$B154,'апрель 2023'!$J$4:$J$692,K$1)</f>
        <v>0</v>
      </c>
      <c r="L154" s="207">
        <f>SUMIFS('апрель 2023'!$G$4:$G$692,'апрель 2023'!$D$4:$D$692,$B154,'апрель 2023'!$J$4:$J$692,L$1)</f>
        <v>0</v>
      </c>
      <c r="M154" s="207">
        <f>SUMIFS('апрель 2023'!$G$4:$G$692,'апрель 2023'!$D$4:$D$692,$B154,'апрель 2023'!$J$4:$J$692,M$1)</f>
        <v>0</v>
      </c>
      <c r="N154" s="207">
        <f>SUMIFS('апрель 2023'!$G$4:$G$692,'апрель 2023'!$D$4:$D$692,$B154,'апрель 2023'!$J$4:$J$692,N$1)</f>
        <v>0</v>
      </c>
      <c r="O154" s="207">
        <f>SUMIFS('апрель 2023'!$G$4:$G$692,'апрель 2023'!$D$4:$D$692,$B154,'апрель 2023'!$J$4:$J$692,O$1)</f>
        <v>0</v>
      </c>
      <c r="P154" s="207">
        <f>SUMIFS('апрель 2023'!$G$4:$G$692,'апрель 2023'!$D$4:$D$692,$B154,'апрель 2023'!$J$4:$J$692,P$1)</f>
        <v>0</v>
      </c>
      <c r="Q154" s="207">
        <f>SUMIFS('апрель 2023'!$G$4:$G$692,'апрель 2023'!$D$4:$D$692,$B154,'апрель 2023'!$J$4:$J$692,Q$1)</f>
        <v>0</v>
      </c>
      <c r="R154" s="207">
        <f>SUMIFS('апрель 2023'!$G$4:$G$692,'апрель 2023'!$D$4:$D$692,$B154,'апрель 2023'!$J$4:$J$692,R$1)</f>
        <v>0</v>
      </c>
      <c r="S154" s="207">
        <f>SUMIFS('апрель 2023'!$G$4:$G$692,'апрель 2023'!$D$4:$D$692,$B154,'апрель 2023'!$J$4:$J$692,S$1)</f>
        <v>0</v>
      </c>
      <c r="T154" s="207">
        <f>SUMIFS('апрель 2023'!$G$4:$G$692,'апрель 2023'!$D$4:$D$692,$B154,'апрель 2023'!$J$4:$J$692,T$1)</f>
        <v>0</v>
      </c>
      <c r="U154" s="207">
        <f>SUMIFS('апрель 2023'!$G$4:$G$692,'апрель 2023'!$D$4:$D$692,$B154,'апрель 2023'!$J$4:$J$692,U$1)</f>
        <v>0</v>
      </c>
      <c r="V154" s="207">
        <f>SUMIFS('апрель 2023'!$G$4:$G$692,'апрель 2023'!$D$4:$D$692,$B154,'апрель 2023'!$J$4:$J$692,V$1)</f>
        <v>0</v>
      </c>
      <c r="W154" s="207">
        <f>SUMIFS('апрель 2023'!$G$4:$G$692,'апрель 2023'!$D$4:$D$692,$B154,'апрель 2023'!$J$4:$J$692,W$1)</f>
        <v>0</v>
      </c>
      <c r="X154" s="207">
        <f>SUMIFS('апрель 2023'!$G$4:$G$692,'апрель 2023'!$D$4:$D$692,$B154,'апрель 2023'!$J$4:$J$692,X$1)</f>
        <v>0</v>
      </c>
      <c r="Y154" s="207">
        <f>SUMIFS('апрель 2023'!$G$4:$G$692,'апрель 2023'!$D$4:$D$692,$B154,'апрель 2023'!$J$4:$J$692,Y$1)</f>
        <v>0</v>
      </c>
      <c r="Z154" s="207">
        <f>SUMIFS('апрель 2023'!$G$4:$G$692,'апрель 2023'!$D$4:$D$692,$B154,'апрель 2023'!$J$4:$J$692,Z$1)</f>
        <v>0</v>
      </c>
      <c r="AA154" s="207">
        <f>SUMIFS('апрель 2023'!$G$4:$G$692,'апрель 2023'!$D$4:$D$692,$B154,'апрель 2023'!$J$4:$J$692,AA$1)</f>
        <v>0</v>
      </c>
      <c r="AB154" s="207">
        <f>SUMIFS('апрель 2023'!$G$4:$G$692,'апрель 2023'!$D$4:$D$692,$B154,'апрель 2023'!$J$4:$J$692,AB$1)</f>
        <v>0</v>
      </c>
      <c r="AC154" s="207">
        <f>SUMIFS('апрель 2023'!$G$4:$G$692,'апрель 2023'!$D$4:$D$692,$B154,'апрель 2023'!$J$4:$J$692,AC$1)</f>
        <v>0</v>
      </c>
      <c r="AD154" s="207">
        <f>SUMIFS('апрель 2023'!$G$4:$G$692,'апрель 2023'!$D$4:$D$692,$B154,'апрель 2023'!$J$4:$J$692,AD$1)</f>
        <v>0</v>
      </c>
      <c r="AE154" s="207">
        <f>SUMIFS('апрель 2023'!$G$4:$G$692,'апрель 2023'!$D$4:$D$692,$B154,'апрель 2023'!$J$4:$J$692,AE$1)</f>
        <v>0</v>
      </c>
      <c r="AF154" s="207">
        <f>SUMIFS('апрель 2023'!$G$4:$G$692,'апрель 2023'!$D$4:$D$692,$B154,'апрель 2023'!$J$4:$J$692,AF$1)</f>
        <v>0</v>
      </c>
      <c r="AG154" s="207">
        <f>SUMIFS('апрель 2023'!$G$4:$G$692,'апрель 2023'!$D$4:$D$692,$B154,'апрель 2023'!$J$4:$J$692,AG$1)</f>
        <v>0</v>
      </c>
      <c r="AH154" s="207">
        <f>SUMIFS('апрель 2023'!$G$4:$G$692,'апрель 2023'!$D$4:$D$692,$B154,'апрель 2023'!$J$4:$J$692,AH$1)</f>
        <v>0</v>
      </c>
      <c r="AI154" s="220">
        <f t="shared" si="4"/>
        <v>0</v>
      </c>
    </row>
    <row r="155" spans="2:35" ht="15.75" hidden="1" x14ac:dyDescent="0.25">
      <c r="B155" s="212"/>
      <c r="C155" s="211"/>
      <c r="D155" s="207">
        <f>SUMIFS('апрель 2023'!$G$4:$G$692,'апрель 2023'!$D$4:$D$692,$B155,'апрель 2023'!$J$4:$J$692,D$1)</f>
        <v>0</v>
      </c>
      <c r="E155" s="207">
        <f>SUMIFS('апрель 2023'!$G$4:$G$692,'апрель 2023'!$D$4:$D$692,$B155,'апрель 2023'!$J$4:$J$692,E$1)</f>
        <v>0</v>
      </c>
      <c r="F155" s="207">
        <f>SUMIFS('апрель 2023'!$G$4:$G$692,'апрель 2023'!$D$4:$D$692,$B155,'апрель 2023'!$J$4:$J$692,F$1)</f>
        <v>0</v>
      </c>
      <c r="G155" s="207">
        <f>SUMIFS('апрель 2023'!$G$4:$G$692,'апрель 2023'!$D$4:$D$692,$B155,'апрель 2023'!$J$4:$J$692,G$1)</f>
        <v>0</v>
      </c>
      <c r="H155" s="207">
        <f>SUMIFS('апрель 2023'!$G$4:$G$692,'апрель 2023'!$D$4:$D$692,$B155,'апрель 2023'!$J$4:$J$692,H$1)</f>
        <v>0</v>
      </c>
      <c r="I155" s="207">
        <f>SUMIFS('апрель 2023'!$G$4:$G$692,'апрель 2023'!$D$4:$D$692,$B155,'апрель 2023'!$J$4:$J$692,I$1)</f>
        <v>0</v>
      </c>
      <c r="J155" s="207">
        <f>SUMIFS('апрель 2023'!$G$4:$G$692,'апрель 2023'!$D$4:$D$692,$B155,'апрель 2023'!$J$4:$J$692,J$1)</f>
        <v>0</v>
      </c>
      <c r="K155" s="207">
        <f>SUMIFS('апрель 2023'!$G$4:$G$692,'апрель 2023'!$D$4:$D$692,$B155,'апрель 2023'!$J$4:$J$692,K$1)</f>
        <v>0</v>
      </c>
      <c r="L155" s="207">
        <f>SUMIFS('апрель 2023'!$G$4:$G$692,'апрель 2023'!$D$4:$D$692,$B155,'апрель 2023'!$J$4:$J$692,L$1)</f>
        <v>0</v>
      </c>
      <c r="M155" s="207">
        <f>SUMIFS('апрель 2023'!$G$4:$G$692,'апрель 2023'!$D$4:$D$692,$B155,'апрель 2023'!$J$4:$J$692,M$1)</f>
        <v>0</v>
      </c>
      <c r="N155" s="207">
        <f>SUMIFS('апрель 2023'!$G$4:$G$692,'апрель 2023'!$D$4:$D$692,$B155,'апрель 2023'!$J$4:$J$692,N$1)</f>
        <v>0</v>
      </c>
      <c r="O155" s="207">
        <f>SUMIFS('апрель 2023'!$G$4:$G$692,'апрель 2023'!$D$4:$D$692,$B155,'апрель 2023'!$J$4:$J$692,O$1)</f>
        <v>0</v>
      </c>
      <c r="P155" s="207">
        <f>SUMIFS('апрель 2023'!$G$4:$G$692,'апрель 2023'!$D$4:$D$692,$B155,'апрель 2023'!$J$4:$J$692,P$1)</f>
        <v>0</v>
      </c>
      <c r="Q155" s="207">
        <f>SUMIFS('апрель 2023'!$G$4:$G$692,'апрель 2023'!$D$4:$D$692,$B155,'апрель 2023'!$J$4:$J$692,Q$1)</f>
        <v>0</v>
      </c>
      <c r="R155" s="207">
        <f>SUMIFS('апрель 2023'!$G$4:$G$692,'апрель 2023'!$D$4:$D$692,$B155,'апрель 2023'!$J$4:$J$692,R$1)</f>
        <v>0</v>
      </c>
      <c r="S155" s="207">
        <f>SUMIFS('апрель 2023'!$G$4:$G$692,'апрель 2023'!$D$4:$D$692,$B155,'апрель 2023'!$J$4:$J$692,S$1)</f>
        <v>0</v>
      </c>
      <c r="T155" s="207">
        <f>SUMIFS('апрель 2023'!$G$4:$G$692,'апрель 2023'!$D$4:$D$692,$B155,'апрель 2023'!$J$4:$J$692,T$1)</f>
        <v>0</v>
      </c>
      <c r="U155" s="207">
        <f>SUMIFS('апрель 2023'!$G$4:$G$692,'апрель 2023'!$D$4:$D$692,$B155,'апрель 2023'!$J$4:$J$692,U$1)</f>
        <v>0</v>
      </c>
      <c r="V155" s="207">
        <f>SUMIFS('апрель 2023'!$G$4:$G$692,'апрель 2023'!$D$4:$D$692,$B155,'апрель 2023'!$J$4:$J$692,V$1)</f>
        <v>0</v>
      </c>
      <c r="W155" s="207">
        <f>SUMIFS('апрель 2023'!$G$4:$G$692,'апрель 2023'!$D$4:$D$692,$B155,'апрель 2023'!$J$4:$J$692,W$1)</f>
        <v>0</v>
      </c>
      <c r="X155" s="207">
        <f>SUMIFS('апрель 2023'!$G$4:$G$692,'апрель 2023'!$D$4:$D$692,$B155,'апрель 2023'!$J$4:$J$692,X$1)</f>
        <v>0</v>
      </c>
      <c r="Y155" s="207">
        <f>SUMIFS('апрель 2023'!$G$4:$G$692,'апрель 2023'!$D$4:$D$692,$B155,'апрель 2023'!$J$4:$J$692,Y$1)</f>
        <v>0</v>
      </c>
      <c r="Z155" s="207">
        <f>SUMIFS('апрель 2023'!$G$4:$G$692,'апрель 2023'!$D$4:$D$692,$B155,'апрель 2023'!$J$4:$J$692,Z$1)</f>
        <v>0</v>
      </c>
      <c r="AA155" s="207">
        <f>SUMIFS('апрель 2023'!$G$4:$G$692,'апрель 2023'!$D$4:$D$692,$B155,'апрель 2023'!$J$4:$J$692,AA$1)</f>
        <v>0</v>
      </c>
      <c r="AB155" s="207">
        <f>SUMIFS('апрель 2023'!$G$4:$G$692,'апрель 2023'!$D$4:$D$692,$B155,'апрель 2023'!$J$4:$J$692,AB$1)</f>
        <v>0</v>
      </c>
      <c r="AC155" s="207">
        <f>SUMIFS('апрель 2023'!$G$4:$G$692,'апрель 2023'!$D$4:$D$692,$B155,'апрель 2023'!$J$4:$J$692,AC$1)</f>
        <v>0</v>
      </c>
      <c r="AD155" s="207">
        <f>SUMIFS('апрель 2023'!$G$4:$G$692,'апрель 2023'!$D$4:$D$692,$B155,'апрель 2023'!$J$4:$J$692,AD$1)</f>
        <v>0</v>
      </c>
      <c r="AE155" s="207">
        <f>SUMIFS('апрель 2023'!$G$4:$G$692,'апрель 2023'!$D$4:$D$692,$B155,'апрель 2023'!$J$4:$J$692,AE$1)</f>
        <v>0</v>
      </c>
      <c r="AF155" s="207">
        <f>SUMIFS('апрель 2023'!$G$4:$G$692,'апрель 2023'!$D$4:$D$692,$B155,'апрель 2023'!$J$4:$J$692,AF$1)</f>
        <v>0</v>
      </c>
      <c r="AG155" s="207">
        <f>SUMIFS('апрель 2023'!$G$4:$G$692,'апрель 2023'!$D$4:$D$692,$B155,'апрель 2023'!$J$4:$J$692,AG$1)</f>
        <v>0</v>
      </c>
      <c r="AH155" s="207">
        <f>SUMIFS('апрель 2023'!$G$4:$G$692,'апрель 2023'!$D$4:$D$692,$B155,'апрель 2023'!$J$4:$J$692,AH$1)</f>
        <v>0</v>
      </c>
      <c r="AI155" s="220">
        <f t="shared" si="4"/>
        <v>0</v>
      </c>
    </row>
    <row r="156" spans="2:35" ht="15.75" hidden="1" x14ac:dyDescent="0.25">
      <c r="B156" s="212"/>
      <c r="C156" s="211"/>
      <c r="D156" s="207">
        <f>SUMIFS('апрель 2023'!$G$4:$G$692,'апрель 2023'!$D$4:$D$692,$B156,'апрель 2023'!$J$4:$J$692,D$1)</f>
        <v>0</v>
      </c>
      <c r="E156" s="207">
        <f>SUMIFS('апрель 2023'!$G$4:$G$692,'апрель 2023'!$D$4:$D$692,$B156,'апрель 2023'!$J$4:$J$692,E$1)</f>
        <v>0</v>
      </c>
      <c r="F156" s="207">
        <f>SUMIFS('апрель 2023'!$G$4:$G$692,'апрель 2023'!$D$4:$D$692,$B156,'апрель 2023'!$J$4:$J$692,F$1)</f>
        <v>0</v>
      </c>
      <c r="G156" s="207">
        <f>SUMIFS('апрель 2023'!$G$4:$G$692,'апрель 2023'!$D$4:$D$692,$B156,'апрель 2023'!$J$4:$J$692,G$1)</f>
        <v>0</v>
      </c>
      <c r="H156" s="207">
        <f>SUMIFS('апрель 2023'!$G$4:$G$692,'апрель 2023'!$D$4:$D$692,$B156,'апрель 2023'!$J$4:$J$692,H$1)</f>
        <v>0</v>
      </c>
      <c r="I156" s="207">
        <f>SUMIFS('апрель 2023'!$G$4:$G$692,'апрель 2023'!$D$4:$D$692,$B156,'апрель 2023'!$J$4:$J$692,I$1)</f>
        <v>0</v>
      </c>
      <c r="J156" s="207">
        <f>SUMIFS('апрель 2023'!$G$4:$G$692,'апрель 2023'!$D$4:$D$692,$B156,'апрель 2023'!$J$4:$J$692,J$1)</f>
        <v>0</v>
      </c>
      <c r="K156" s="207">
        <f>SUMIFS('апрель 2023'!$G$4:$G$692,'апрель 2023'!$D$4:$D$692,$B156,'апрель 2023'!$J$4:$J$692,K$1)</f>
        <v>0</v>
      </c>
      <c r="L156" s="207">
        <f>SUMIFS('апрель 2023'!$G$4:$G$692,'апрель 2023'!$D$4:$D$692,$B156,'апрель 2023'!$J$4:$J$692,L$1)</f>
        <v>0</v>
      </c>
      <c r="M156" s="207">
        <f>SUMIFS('апрель 2023'!$G$4:$G$692,'апрель 2023'!$D$4:$D$692,$B156,'апрель 2023'!$J$4:$J$692,M$1)</f>
        <v>0</v>
      </c>
      <c r="N156" s="207">
        <f>SUMIFS('апрель 2023'!$G$4:$G$692,'апрель 2023'!$D$4:$D$692,$B156,'апрель 2023'!$J$4:$J$692,N$1)</f>
        <v>0</v>
      </c>
      <c r="O156" s="207">
        <f>SUMIFS('апрель 2023'!$G$4:$G$692,'апрель 2023'!$D$4:$D$692,$B156,'апрель 2023'!$J$4:$J$692,O$1)</f>
        <v>0</v>
      </c>
      <c r="P156" s="207">
        <f>SUMIFS('апрель 2023'!$G$4:$G$692,'апрель 2023'!$D$4:$D$692,$B156,'апрель 2023'!$J$4:$J$692,P$1)</f>
        <v>0</v>
      </c>
      <c r="Q156" s="207">
        <f>SUMIFS('апрель 2023'!$G$4:$G$692,'апрель 2023'!$D$4:$D$692,$B156,'апрель 2023'!$J$4:$J$692,Q$1)</f>
        <v>0</v>
      </c>
      <c r="R156" s="207">
        <f>SUMIFS('апрель 2023'!$G$4:$G$692,'апрель 2023'!$D$4:$D$692,$B156,'апрель 2023'!$J$4:$J$692,R$1)</f>
        <v>0</v>
      </c>
      <c r="S156" s="207">
        <f>SUMIFS('апрель 2023'!$G$4:$G$692,'апрель 2023'!$D$4:$D$692,$B156,'апрель 2023'!$J$4:$J$692,S$1)</f>
        <v>0</v>
      </c>
      <c r="T156" s="207">
        <f>SUMIFS('апрель 2023'!$G$4:$G$692,'апрель 2023'!$D$4:$D$692,$B156,'апрель 2023'!$J$4:$J$692,T$1)</f>
        <v>0</v>
      </c>
      <c r="U156" s="207">
        <f>SUMIFS('апрель 2023'!$G$4:$G$692,'апрель 2023'!$D$4:$D$692,$B156,'апрель 2023'!$J$4:$J$692,U$1)</f>
        <v>0</v>
      </c>
      <c r="V156" s="207">
        <f>SUMIFS('апрель 2023'!$G$4:$G$692,'апрель 2023'!$D$4:$D$692,$B156,'апрель 2023'!$J$4:$J$692,V$1)</f>
        <v>0</v>
      </c>
      <c r="W156" s="207">
        <f>SUMIFS('апрель 2023'!$G$4:$G$692,'апрель 2023'!$D$4:$D$692,$B156,'апрель 2023'!$J$4:$J$692,W$1)</f>
        <v>0</v>
      </c>
      <c r="X156" s="207">
        <f>SUMIFS('апрель 2023'!$G$4:$G$692,'апрель 2023'!$D$4:$D$692,$B156,'апрель 2023'!$J$4:$J$692,X$1)</f>
        <v>0</v>
      </c>
      <c r="Y156" s="207">
        <f>SUMIFS('апрель 2023'!$G$4:$G$692,'апрель 2023'!$D$4:$D$692,$B156,'апрель 2023'!$J$4:$J$692,Y$1)</f>
        <v>0</v>
      </c>
      <c r="Z156" s="207">
        <f>SUMIFS('апрель 2023'!$G$4:$G$692,'апрель 2023'!$D$4:$D$692,$B156,'апрель 2023'!$J$4:$J$692,Z$1)</f>
        <v>0</v>
      </c>
      <c r="AA156" s="207">
        <f>SUMIFS('апрель 2023'!$G$4:$G$692,'апрель 2023'!$D$4:$D$692,$B156,'апрель 2023'!$J$4:$J$692,AA$1)</f>
        <v>0</v>
      </c>
      <c r="AB156" s="207">
        <f>SUMIFS('апрель 2023'!$G$4:$G$692,'апрель 2023'!$D$4:$D$692,$B156,'апрель 2023'!$J$4:$J$692,AB$1)</f>
        <v>0</v>
      </c>
      <c r="AC156" s="207">
        <f>SUMIFS('апрель 2023'!$G$4:$G$692,'апрель 2023'!$D$4:$D$692,$B156,'апрель 2023'!$J$4:$J$692,AC$1)</f>
        <v>0</v>
      </c>
      <c r="AD156" s="207">
        <f>SUMIFS('апрель 2023'!$G$4:$G$692,'апрель 2023'!$D$4:$D$692,$B156,'апрель 2023'!$J$4:$J$692,AD$1)</f>
        <v>0</v>
      </c>
      <c r="AE156" s="207">
        <f>SUMIFS('апрель 2023'!$G$4:$G$692,'апрель 2023'!$D$4:$D$692,$B156,'апрель 2023'!$J$4:$J$692,AE$1)</f>
        <v>0</v>
      </c>
      <c r="AF156" s="207">
        <f>SUMIFS('апрель 2023'!$G$4:$G$692,'апрель 2023'!$D$4:$D$692,$B156,'апрель 2023'!$J$4:$J$692,AF$1)</f>
        <v>0</v>
      </c>
      <c r="AG156" s="207">
        <f>SUMIFS('апрель 2023'!$G$4:$G$692,'апрель 2023'!$D$4:$D$692,$B156,'апрель 2023'!$J$4:$J$692,AG$1)</f>
        <v>0</v>
      </c>
      <c r="AH156" s="207">
        <f>SUMIFS('апрель 2023'!$G$4:$G$692,'апрель 2023'!$D$4:$D$692,$B156,'апрель 2023'!$J$4:$J$692,AH$1)</f>
        <v>0</v>
      </c>
      <c r="AI156" s="220">
        <f t="shared" si="4"/>
        <v>0</v>
      </c>
    </row>
    <row r="157" spans="2:35" ht="15.75" hidden="1" x14ac:dyDescent="0.25">
      <c r="B157" s="212"/>
      <c r="C157" s="211"/>
      <c r="D157" s="207">
        <f>SUMIFS('апрель 2023'!$G$4:$G$692,'апрель 2023'!$D$4:$D$692,$B157,'апрель 2023'!$J$4:$J$692,D$1)</f>
        <v>0</v>
      </c>
      <c r="E157" s="207">
        <f>SUMIFS('апрель 2023'!$G$4:$G$692,'апрель 2023'!$D$4:$D$692,$B157,'апрель 2023'!$J$4:$J$692,E$1)</f>
        <v>0</v>
      </c>
      <c r="F157" s="207">
        <f>SUMIFS('апрель 2023'!$G$4:$G$692,'апрель 2023'!$D$4:$D$692,$B157,'апрель 2023'!$J$4:$J$692,F$1)</f>
        <v>0</v>
      </c>
      <c r="G157" s="207">
        <f>SUMIFS('апрель 2023'!$G$4:$G$692,'апрель 2023'!$D$4:$D$692,$B157,'апрель 2023'!$J$4:$J$692,G$1)</f>
        <v>0</v>
      </c>
      <c r="H157" s="207">
        <f>SUMIFS('апрель 2023'!$G$4:$G$692,'апрель 2023'!$D$4:$D$692,$B157,'апрель 2023'!$J$4:$J$692,H$1)</f>
        <v>0</v>
      </c>
      <c r="I157" s="207">
        <f>SUMIFS('апрель 2023'!$G$4:$G$692,'апрель 2023'!$D$4:$D$692,$B157,'апрель 2023'!$J$4:$J$692,I$1)</f>
        <v>0</v>
      </c>
      <c r="J157" s="207">
        <f>SUMIFS('апрель 2023'!$G$4:$G$692,'апрель 2023'!$D$4:$D$692,$B157,'апрель 2023'!$J$4:$J$692,J$1)</f>
        <v>0</v>
      </c>
      <c r="K157" s="207">
        <f>SUMIFS('апрель 2023'!$G$4:$G$692,'апрель 2023'!$D$4:$D$692,$B157,'апрель 2023'!$J$4:$J$692,K$1)</f>
        <v>0</v>
      </c>
      <c r="L157" s="207">
        <f>SUMIFS('апрель 2023'!$G$4:$G$692,'апрель 2023'!$D$4:$D$692,$B157,'апрель 2023'!$J$4:$J$692,L$1)</f>
        <v>0</v>
      </c>
      <c r="M157" s="207">
        <f>SUMIFS('апрель 2023'!$G$4:$G$692,'апрель 2023'!$D$4:$D$692,$B157,'апрель 2023'!$J$4:$J$692,M$1)</f>
        <v>0</v>
      </c>
      <c r="N157" s="207">
        <f>SUMIFS('апрель 2023'!$G$4:$G$692,'апрель 2023'!$D$4:$D$692,$B157,'апрель 2023'!$J$4:$J$692,N$1)</f>
        <v>0</v>
      </c>
      <c r="O157" s="207">
        <f>SUMIFS('апрель 2023'!$G$4:$G$692,'апрель 2023'!$D$4:$D$692,$B157,'апрель 2023'!$J$4:$J$692,O$1)</f>
        <v>0</v>
      </c>
      <c r="P157" s="207">
        <f>SUMIFS('апрель 2023'!$G$4:$G$692,'апрель 2023'!$D$4:$D$692,$B157,'апрель 2023'!$J$4:$J$692,P$1)</f>
        <v>0</v>
      </c>
      <c r="Q157" s="207">
        <f>SUMIFS('апрель 2023'!$G$4:$G$692,'апрель 2023'!$D$4:$D$692,$B157,'апрель 2023'!$J$4:$J$692,Q$1)</f>
        <v>0</v>
      </c>
      <c r="R157" s="207">
        <f>SUMIFS('апрель 2023'!$G$4:$G$692,'апрель 2023'!$D$4:$D$692,$B157,'апрель 2023'!$J$4:$J$692,R$1)</f>
        <v>0</v>
      </c>
      <c r="S157" s="207">
        <f>SUMIFS('апрель 2023'!$G$4:$G$692,'апрель 2023'!$D$4:$D$692,$B157,'апрель 2023'!$J$4:$J$692,S$1)</f>
        <v>0</v>
      </c>
      <c r="T157" s="207">
        <f>SUMIFS('апрель 2023'!$G$4:$G$692,'апрель 2023'!$D$4:$D$692,$B157,'апрель 2023'!$J$4:$J$692,T$1)</f>
        <v>0</v>
      </c>
      <c r="U157" s="207">
        <f>SUMIFS('апрель 2023'!$G$4:$G$692,'апрель 2023'!$D$4:$D$692,$B157,'апрель 2023'!$J$4:$J$692,U$1)</f>
        <v>0</v>
      </c>
      <c r="V157" s="207">
        <f>SUMIFS('апрель 2023'!$G$4:$G$692,'апрель 2023'!$D$4:$D$692,$B157,'апрель 2023'!$J$4:$J$692,V$1)</f>
        <v>0</v>
      </c>
      <c r="W157" s="207">
        <f>SUMIFS('апрель 2023'!$G$4:$G$692,'апрель 2023'!$D$4:$D$692,$B157,'апрель 2023'!$J$4:$J$692,W$1)</f>
        <v>0</v>
      </c>
      <c r="X157" s="207">
        <f>SUMIFS('апрель 2023'!$G$4:$G$692,'апрель 2023'!$D$4:$D$692,$B157,'апрель 2023'!$J$4:$J$692,X$1)</f>
        <v>0</v>
      </c>
      <c r="Y157" s="207">
        <f>SUMIFS('апрель 2023'!$G$4:$G$692,'апрель 2023'!$D$4:$D$692,$B157,'апрель 2023'!$J$4:$J$692,Y$1)</f>
        <v>0</v>
      </c>
      <c r="Z157" s="207">
        <f>SUMIFS('апрель 2023'!$G$4:$G$692,'апрель 2023'!$D$4:$D$692,$B157,'апрель 2023'!$J$4:$J$692,Z$1)</f>
        <v>0</v>
      </c>
      <c r="AA157" s="207">
        <f>SUMIFS('апрель 2023'!$G$4:$G$692,'апрель 2023'!$D$4:$D$692,$B157,'апрель 2023'!$J$4:$J$692,AA$1)</f>
        <v>0</v>
      </c>
      <c r="AB157" s="207">
        <f>SUMIFS('апрель 2023'!$G$4:$G$692,'апрель 2023'!$D$4:$D$692,$B157,'апрель 2023'!$J$4:$J$692,AB$1)</f>
        <v>0</v>
      </c>
      <c r="AC157" s="207">
        <f>SUMIFS('апрель 2023'!$G$4:$G$692,'апрель 2023'!$D$4:$D$692,$B157,'апрель 2023'!$J$4:$J$692,AC$1)</f>
        <v>0</v>
      </c>
      <c r="AD157" s="207">
        <f>SUMIFS('апрель 2023'!$G$4:$G$692,'апрель 2023'!$D$4:$D$692,$B157,'апрель 2023'!$J$4:$J$692,AD$1)</f>
        <v>0</v>
      </c>
      <c r="AE157" s="207">
        <f>SUMIFS('апрель 2023'!$G$4:$G$692,'апрель 2023'!$D$4:$D$692,$B157,'апрель 2023'!$J$4:$J$692,AE$1)</f>
        <v>0</v>
      </c>
      <c r="AF157" s="207">
        <f>SUMIFS('апрель 2023'!$G$4:$G$692,'апрель 2023'!$D$4:$D$692,$B157,'апрель 2023'!$J$4:$J$692,AF$1)</f>
        <v>0</v>
      </c>
      <c r="AG157" s="207">
        <f>SUMIFS('апрель 2023'!$G$4:$G$692,'апрель 2023'!$D$4:$D$692,$B157,'апрель 2023'!$J$4:$J$692,AG$1)</f>
        <v>0</v>
      </c>
      <c r="AH157" s="207">
        <f>SUMIFS('апрель 2023'!$G$4:$G$692,'апрель 2023'!$D$4:$D$692,$B157,'апрель 2023'!$J$4:$J$692,AH$1)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SUMIFS('апрель 2023'!$G$4:$G$692,'апрель 2023'!$D$4:$D$692,$B158,'апрель 2023'!$J$4:$J$692,D$1)</f>
        <v>0</v>
      </c>
      <c r="E158" s="207">
        <f>SUMIFS('апрель 2023'!$G$4:$G$692,'апрель 2023'!$D$4:$D$692,$B158,'апрель 2023'!$J$4:$J$692,E$1)</f>
        <v>0</v>
      </c>
      <c r="F158" s="207">
        <f>SUMIFS('апрель 2023'!$G$4:$G$692,'апрель 2023'!$D$4:$D$692,$B158,'апрель 2023'!$J$4:$J$692,F$1)</f>
        <v>0</v>
      </c>
      <c r="G158" s="207">
        <f>SUMIFS('апрель 2023'!$G$4:$G$692,'апрель 2023'!$D$4:$D$692,$B158,'апрель 2023'!$J$4:$J$692,G$1)</f>
        <v>0</v>
      </c>
      <c r="H158" s="207">
        <f>SUMIFS('апрель 2023'!$G$4:$G$692,'апрель 2023'!$D$4:$D$692,$B158,'апрель 2023'!$J$4:$J$692,H$1)</f>
        <v>0</v>
      </c>
      <c r="I158" s="207">
        <f>SUMIFS('апрель 2023'!$G$4:$G$692,'апрель 2023'!$D$4:$D$692,$B158,'апрель 2023'!$J$4:$J$692,I$1)</f>
        <v>0</v>
      </c>
      <c r="J158" s="207">
        <f>SUMIFS('апрель 2023'!$G$4:$G$692,'апрель 2023'!$D$4:$D$692,$B158,'апрель 2023'!$J$4:$J$692,J$1)</f>
        <v>0</v>
      </c>
      <c r="K158" s="207">
        <f>SUMIFS('апрель 2023'!$G$4:$G$692,'апрель 2023'!$D$4:$D$692,$B158,'апрель 2023'!$J$4:$J$692,K$1)</f>
        <v>0</v>
      </c>
      <c r="L158" s="207">
        <f>SUMIFS('апрель 2023'!$G$4:$G$692,'апрель 2023'!$D$4:$D$692,$B158,'апрель 2023'!$J$4:$J$692,L$1)</f>
        <v>0</v>
      </c>
      <c r="M158" s="207">
        <f>SUMIFS('апрель 2023'!$G$4:$G$692,'апрель 2023'!$D$4:$D$692,$B158,'апрель 2023'!$J$4:$J$692,M$1)</f>
        <v>0</v>
      </c>
      <c r="N158" s="207">
        <f>SUMIFS('апрель 2023'!$G$4:$G$692,'апрель 2023'!$D$4:$D$692,$B158,'апрель 2023'!$J$4:$J$692,N$1)</f>
        <v>0</v>
      </c>
      <c r="O158" s="207">
        <f>SUMIFS('апрель 2023'!$G$4:$G$692,'апрель 2023'!$D$4:$D$692,$B158,'апрель 2023'!$J$4:$J$692,O$1)</f>
        <v>0</v>
      </c>
      <c r="P158" s="207">
        <f>SUMIFS('апрель 2023'!$G$4:$G$692,'апрель 2023'!$D$4:$D$692,$B158,'апрель 2023'!$J$4:$J$692,P$1)</f>
        <v>0</v>
      </c>
      <c r="Q158" s="207">
        <f>SUMIFS('апрель 2023'!$G$4:$G$692,'апрель 2023'!$D$4:$D$692,$B158,'апрель 2023'!$J$4:$J$692,Q$1)</f>
        <v>0</v>
      </c>
      <c r="R158" s="207">
        <f>SUMIFS('апрель 2023'!$G$4:$G$692,'апрель 2023'!$D$4:$D$692,$B158,'апрель 2023'!$J$4:$J$692,R$1)</f>
        <v>0</v>
      </c>
      <c r="S158" s="207">
        <f>SUMIFS('апрель 2023'!$G$4:$G$692,'апрель 2023'!$D$4:$D$692,$B158,'апрель 2023'!$J$4:$J$692,S$1)</f>
        <v>0</v>
      </c>
      <c r="T158" s="207">
        <f>SUMIFS('апрель 2023'!$G$4:$G$692,'апрель 2023'!$D$4:$D$692,$B158,'апрель 2023'!$J$4:$J$692,T$1)</f>
        <v>0</v>
      </c>
      <c r="U158" s="207">
        <f>SUMIFS('апрель 2023'!$G$4:$G$692,'апрель 2023'!$D$4:$D$692,$B158,'апрель 2023'!$J$4:$J$692,U$1)</f>
        <v>0</v>
      </c>
      <c r="V158" s="207">
        <f>SUMIFS('апрель 2023'!$G$4:$G$692,'апрель 2023'!$D$4:$D$692,$B158,'апрель 2023'!$J$4:$J$692,V$1)</f>
        <v>0</v>
      </c>
      <c r="W158" s="207">
        <f>SUMIFS('апрель 2023'!$G$4:$G$692,'апрель 2023'!$D$4:$D$692,$B158,'апрель 2023'!$J$4:$J$692,W$1)</f>
        <v>0</v>
      </c>
      <c r="X158" s="207">
        <f>SUMIFS('апрель 2023'!$G$4:$G$692,'апрель 2023'!$D$4:$D$692,$B158,'апрель 2023'!$J$4:$J$692,X$1)</f>
        <v>0</v>
      </c>
      <c r="Y158" s="207">
        <f>SUMIFS('апрель 2023'!$G$4:$G$692,'апрель 2023'!$D$4:$D$692,$B158,'апрель 2023'!$J$4:$J$692,Y$1)</f>
        <v>0</v>
      </c>
      <c r="Z158" s="207">
        <f>SUMIFS('апрель 2023'!$G$4:$G$692,'апрель 2023'!$D$4:$D$692,$B158,'апрель 2023'!$J$4:$J$692,Z$1)</f>
        <v>0</v>
      </c>
      <c r="AA158" s="207">
        <f>SUMIFS('апрель 2023'!$G$4:$G$692,'апрель 2023'!$D$4:$D$692,$B158,'апрель 2023'!$J$4:$J$692,AA$1)</f>
        <v>0</v>
      </c>
      <c r="AB158" s="207">
        <f>SUMIFS('апрель 2023'!$G$4:$G$692,'апрель 2023'!$D$4:$D$692,$B158,'апрель 2023'!$J$4:$J$692,AB$1)</f>
        <v>0</v>
      </c>
      <c r="AC158" s="207">
        <f>SUMIFS('апрель 2023'!$G$4:$G$692,'апрель 2023'!$D$4:$D$692,$B158,'апрель 2023'!$J$4:$J$692,AC$1)</f>
        <v>0</v>
      </c>
      <c r="AD158" s="207">
        <f>SUMIFS('апрель 2023'!$G$4:$G$692,'апрель 2023'!$D$4:$D$692,$B158,'апрель 2023'!$J$4:$J$692,AD$1)</f>
        <v>0</v>
      </c>
      <c r="AE158" s="207">
        <f>SUMIFS('апрель 2023'!$G$4:$G$692,'апрель 2023'!$D$4:$D$692,$B158,'апрель 2023'!$J$4:$J$692,AE$1)</f>
        <v>0</v>
      </c>
      <c r="AF158" s="207">
        <f>SUMIFS('апрель 2023'!$G$4:$G$692,'апрель 2023'!$D$4:$D$692,$B158,'апрель 2023'!$J$4:$J$692,AF$1)</f>
        <v>0</v>
      </c>
      <c r="AG158" s="207">
        <f>SUMIFS('апрель 2023'!$G$4:$G$692,'апрель 2023'!$D$4:$D$692,$B158,'апрель 2023'!$J$4:$J$692,AG$1)</f>
        <v>0</v>
      </c>
      <c r="AH158" s="207">
        <f>SUMIFS('апрель 2023'!$G$4:$G$692,'апрель 2023'!$D$4:$D$692,$B158,'апрель 2023'!$J$4:$J$692,AH$1)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SUMIFS('апрель 2023'!$G$4:$G$692,'апрель 2023'!$D$4:$D$692,$B159,'апрель 2023'!$J$4:$J$692,D$1)</f>
        <v>0</v>
      </c>
      <c r="E159" s="207">
        <f>SUMIFS('апрель 2023'!$G$4:$G$692,'апрель 2023'!$D$4:$D$692,$B159,'апрель 2023'!$J$4:$J$692,E$1)</f>
        <v>0</v>
      </c>
      <c r="F159" s="207">
        <f>SUMIFS('апрель 2023'!$G$4:$G$692,'апрель 2023'!$D$4:$D$692,$B159,'апрель 2023'!$J$4:$J$692,F$1)</f>
        <v>0</v>
      </c>
      <c r="G159" s="207">
        <f>SUMIFS('апрель 2023'!$G$4:$G$692,'апрель 2023'!$D$4:$D$692,$B159,'апрель 2023'!$J$4:$J$692,G$1)</f>
        <v>0</v>
      </c>
      <c r="H159" s="207">
        <f>SUMIFS('апрель 2023'!$G$4:$G$692,'апрель 2023'!$D$4:$D$692,$B159,'апрель 2023'!$J$4:$J$692,H$1)</f>
        <v>0</v>
      </c>
      <c r="I159" s="207">
        <f>SUMIFS('апрель 2023'!$G$4:$G$692,'апрель 2023'!$D$4:$D$692,$B159,'апрель 2023'!$J$4:$J$692,I$1)</f>
        <v>0</v>
      </c>
      <c r="J159" s="207">
        <f>SUMIFS('апрель 2023'!$G$4:$G$692,'апрель 2023'!$D$4:$D$692,$B159,'апрель 2023'!$J$4:$J$692,J$1)</f>
        <v>0</v>
      </c>
      <c r="K159" s="207">
        <f>SUMIFS('апрель 2023'!$G$4:$G$692,'апрель 2023'!$D$4:$D$692,$B159,'апрель 2023'!$J$4:$J$692,K$1)</f>
        <v>0</v>
      </c>
      <c r="L159" s="207">
        <f>SUMIFS('апрель 2023'!$G$4:$G$692,'апрель 2023'!$D$4:$D$692,$B159,'апрель 2023'!$J$4:$J$692,L$1)</f>
        <v>0</v>
      </c>
      <c r="M159" s="207">
        <f>SUMIFS('апрель 2023'!$G$4:$G$692,'апрель 2023'!$D$4:$D$692,$B159,'апрель 2023'!$J$4:$J$692,M$1)</f>
        <v>0</v>
      </c>
      <c r="N159" s="207">
        <f>SUMIFS('апрель 2023'!$G$4:$G$692,'апрель 2023'!$D$4:$D$692,$B159,'апрель 2023'!$J$4:$J$692,N$1)</f>
        <v>0</v>
      </c>
      <c r="O159" s="207">
        <f>SUMIFS('апрель 2023'!$G$4:$G$692,'апрель 2023'!$D$4:$D$692,$B159,'апрель 2023'!$J$4:$J$692,O$1)</f>
        <v>0</v>
      </c>
      <c r="P159" s="207">
        <f>SUMIFS('апрель 2023'!$G$4:$G$692,'апрель 2023'!$D$4:$D$692,$B159,'апрель 2023'!$J$4:$J$692,P$1)</f>
        <v>0</v>
      </c>
      <c r="Q159" s="207">
        <f>SUMIFS('апрель 2023'!$G$4:$G$692,'апрель 2023'!$D$4:$D$692,$B159,'апрель 2023'!$J$4:$J$692,Q$1)</f>
        <v>0</v>
      </c>
      <c r="R159" s="207">
        <f>SUMIFS('апрель 2023'!$G$4:$G$692,'апрель 2023'!$D$4:$D$692,$B159,'апрель 2023'!$J$4:$J$692,R$1)</f>
        <v>0</v>
      </c>
      <c r="S159" s="207">
        <f>SUMIFS('апрель 2023'!$G$4:$G$692,'апрель 2023'!$D$4:$D$692,$B159,'апрель 2023'!$J$4:$J$692,S$1)</f>
        <v>0</v>
      </c>
      <c r="T159" s="207">
        <f>SUMIFS('апрель 2023'!$G$4:$G$692,'апрель 2023'!$D$4:$D$692,$B159,'апрель 2023'!$J$4:$J$692,T$1)</f>
        <v>0</v>
      </c>
      <c r="U159" s="207">
        <f>SUMIFS('апрель 2023'!$G$4:$G$692,'апрель 2023'!$D$4:$D$692,$B159,'апрель 2023'!$J$4:$J$692,U$1)</f>
        <v>0</v>
      </c>
      <c r="V159" s="207">
        <f>SUMIFS('апрель 2023'!$G$4:$G$692,'апрель 2023'!$D$4:$D$692,$B159,'апрель 2023'!$J$4:$J$692,V$1)</f>
        <v>0</v>
      </c>
      <c r="W159" s="207">
        <f>SUMIFS('апрель 2023'!$G$4:$G$692,'апрель 2023'!$D$4:$D$692,$B159,'апрель 2023'!$J$4:$J$692,W$1)</f>
        <v>0</v>
      </c>
      <c r="X159" s="207">
        <f>SUMIFS('апрель 2023'!$G$4:$G$692,'апрель 2023'!$D$4:$D$692,$B159,'апрель 2023'!$J$4:$J$692,X$1)</f>
        <v>0</v>
      </c>
      <c r="Y159" s="207">
        <f>SUMIFS('апрель 2023'!$G$4:$G$692,'апрель 2023'!$D$4:$D$692,$B159,'апрель 2023'!$J$4:$J$692,Y$1)</f>
        <v>0</v>
      </c>
      <c r="Z159" s="207">
        <f>SUMIFS('апрель 2023'!$G$4:$G$692,'апрель 2023'!$D$4:$D$692,$B159,'апрель 2023'!$J$4:$J$692,Z$1)</f>
        <v>0</v>
      </c>
      <c r="AA159" s="207">
        <f>SUMIFS('апрель 2023'!$G$4:$G$692,'апрель 2023'!$D$4:$D$692,$B159,'апрель 2023'!$J$4:$J$692,AA$1)</f>
        <v>0</v>
      </c>
      <c r="AB159" s="207">
        <f>SUMIFS('апрель 2023'!$G$4:$G$692,'апрель 2023'!$D$4:$D$692,$B159,'апрель 2023'!$J$4:$J$692,AB$1)</f>
        <v>0</v>
      </c>
      <c r="AC159" s="207">
        <f>SUMIFS('апрель 2023'!$G$4:$G$692,'апрель 2023'!$D$4:$D$692,$B159,'апрель 2023'!$J$4:$J$692,AC$1)</f>
        <v>0</v>
      </c>
      <c r="AD159" s="207">
        <f>SUMIFS('апрель 2023'!$G$4:$G$692,'апрель 2023'!$D$4:$D$692,$B159,'апрель 2023'!$J$4:$J$692,AD$1)</f>
        <v>0</v>
      </c>
      <c r="AE159" s="207">
        <f>SUMIFS('апрель 2023'!$G$4:$G$692,'апрель 2023'!$D$4:$D$692,$B159,'апрель 2023'!$J$4:$J$692,AE$1)</f>
        <v>0</v>
      </c>
      <c r="AF159" s="207">
        <f>SUMIFS('апрель 2023'!$G$4:$G$692,'апрель 2023'!$D$4:$D$692,$B159,'апрель 2023'!$J$4:$J$692,AF$1)</f>
        <v>0</v>
      </c>
      <c r="AG159" s="207">
        <f>SUMIFS('апрель 2023'!$G$4:$G$692,'апрель 2023'!$D$4:$D$692,$B159,'апрель 2023'!$J$4:$J$692,AG$1)</f>
        <v>0</v>
      </c>
      <c r="AH159" s="207">
        <f>SUMIFS('апрель 2023'!$G$4:$G$692,'апрель 2023'!$D$4:$D$692,$B159,'апрель 2023'!$J$4:$J$692,AH$1)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SUMIFS('апрель 2023'!$G$4:$G$692,'апрель 2023'!$D$4:$D$692,$B160,'апрель 2023'!$J$4:$J$692,D$1)</f>
        <v>0</v>
      </c>
      <c r="E160" s="207">
        <f>SUMIFS('апрель 2023'!$G$4:$G$692,'апрель 2023'!$D$4:$D$692,$B160,'апрель 2023'!$J$4:$J$692,E$1)</f>
        <v>0</v>
      </c>
      <c r="F160" s="207">
        <f>SUMIFS('апрель 2023'!$G$4:$G$692,'апрель 2023'!$D$4:$D$692,$B160,'апрель 2023'!$J$4:$J$692,F$1)</f>
        <v>0</v>
      </c>
      <c r="G160" s="207">
        <f>SUMIFS('апрель 2023'!$G$4:$G$692,'апрель 2023'!$D$4:$D$692,$B160,'апрель 2023'!$J$4:$J$692,G$1)</f>
        <v>0</v>
      </c>
      <c r="H160" s="207">
        <f>SUMIFS('апрель 2023'!$G$4:$G$692,'апрель 2023'!$D$4:$D$692,$B160,'апрель 2023'!$J$4:$J$692,H$1)</f>
        <v>0</v>
      </c>
      <c r="I160" s="207">
        <f>SUMIFS('апрель 2023'!$G$4:$G$692,'апрель 2023'!$D$4:$D$692,$B160,'апрель 2023'!$J$4:$J$692,I$1)</f>
        <v>0</v>
      </c>
      <c r="J160" s="207">
        <f>SUMIFS('апрель 2023'!$G$4:$G$692,'апрель 2023'!$D$4:$D$692,$B160,'апрель 2023'!$J$4:$J$692,J$1)</f>
        <v>0</v>
      </c>
      <c r="K160" s="207">
        <f>SUMIFS('апрель 2023'!$G$4:$G$692,'апрель 2023'!$D$4:$D$692,$B160,'апрель 2023'!$J$4:$J$692,K$1)</f>
        <v>0</v>
      </c>
      <c r="L160" s="207">
        <f>SUMIFS('апрель 2023'!$G$4:$G$692,'апрель 2023'!$D$4:$D$692,$B160,'апрель 2023'!$J$4:$J$692,L$1)</f>
        <v>0</v>
      </c>
      <c r="M160" s="207">
        <f>SUMIFS('апрель 2023'!$G$4:$G$692,'апрель 2023'!$D$4:$D$692,$B160,'апрель 2023'!$J$4:$J$692,M$1)</f>
        <v>0</v>
      </c>
      <c r="N160" s="207">
        <f>SUMIFS('апрель 2023'!$G$4:$G$692,'апрель 2023'!$D$4:$D$692,$B160,'апрель 2023'!$J$4:$J$692,N$1)</f>
        <v>0</v>
      </c>
      <c r="O160" s="207">
        <f>SUMIFS('апрель 2023'!$G$4:$G$692,'апрель 2023'!$D$4:$D$692,$B160,'апрель 2023'!$J$4:$J$692,O$1)</f>
        <v>0</v>
      </c>
      <c r="P160" s="207">
        <f>SUMIFS('апрель 2023'!$G$4:$G$692,'апрель 2023'!$D$4:$D$692,$B160,'апрель 2023'!$J$4:$J$692,P$1)</f>
        <v>0</v>
      </c>
      <c r="Q160" s="207">
        <f>SUMIFS('апрель 2023'!$G$4:$G$692,'апрель 2023'!$D$4:$D$692,$B160,'апрель 2023'!$J$4:$J$692,Q$1)</f>
        <v>0</v>
      </c>
      <c r="R160" s="207">
        <f>SUMIFS('апрель 2023'!$G$4:$G$692,'апрель 2023'!$D$4:$D$692,$B160,'апрель 2023'!$J$4:$J$692,R$1)</f>
        <v>0</v>
      </c>
      <c r="S160" s="207">
        <f>SUMIFS('апрель 2023'!$G$4:$G$692,'апрель 2023'!$D$4:$D$692,$B160,'апрель 2023'!$J$4:$J$692,S$1)</f>
        <v>0</v>
      </c>
      <c r="T160" s="207">
        <f>SUMIFS('апрель 2023'!$G$4:$G$692,'апрель 2023'!$D$4:$D$692,$B160,'апрель 2023'!$J$4:$J$692,T$1)</f>
        <v>0</v>
      </c>
      <c r="U160" s="207">
        <f>SUMIFS('апрель 2023'!$G$4:$G$692,'апрель 2023'!$D$4:$D$692,$B160,'апрель 2023'!$J$4:$J$692,U$1)</f>
        <v>0</v>
      </c>
      <c r="V160" s="207">
        <f>SUMIFS('апрель 2023'!$G$4:$G$692,'апрель 2023'!$D$4:$D$692,$B160,'апрель 2023'!$J$4:$J$692,V$1)</f>
        <v>0</v>
      </c>
      <c r="W160" s="207">
        <f>SUMIFS('апрель 2023'!$G$4:$G$692,'апрель 2023'!$D$4:$D$692,$B160,'апрель 2023'!$J$4:$J$692,W$1)</f>
        <v>0</v>
      </c>
      <c r="X160" s="207">
        <f>SUMIFS('апрель 2023'!$G$4:$G$692,'апрель 2023'!$D$4:$D$692,$B160,'апрель 2023'!$J$4:$J$692,X$1)</f>
        <v>0</v>
      </c>
      <c r="Y160" s="207">
        <f>SUMIFS('апрель 2023'!$G$4:$G$692,'апрель 2023'!$D$4:$D$692,$B160,'апрель 2023'!$J$4:$J$692,Y$1)</f>
        <v>0</v>
      </c>
      <c r="Z160" s="207">
        <f>SUMIFS('апрель 2023'!$G$4:$G$692,'апрель 2023'!$D$4:$D$692,$B160,'апрель 2023'!$J$4:$J$692,Z$1)</f>
        <v>0</v>
      </c>
      <c r="AA160" s="207">
        <f>SUMIFS('апрель 2023'!$G$4:$G$692,'апрель 2023'!$D$4:$D$692,$B160,'апрель 2023'!$J$4:$J$692,AA$1)</f>
        <v>0</v>
      </c>
      <c r="AB160" s="207">
        <f>SUMIFS('апрель 2023'!$G$4:$G$692,'апрель 2023'!$D$4:$D$692,$B160,'апрель 2023'!$J$4:$J$692,AB$1)</f>
        <v>0</v>
      </c>
      <c r="AC160" s="207">
        <f>SUMIFS('апрель 2023'!$G$4:$G$692,'апрель 2023'!$D$4:$D$692,$B160,'апрель 2023'!$J$4:$J$692,AC$1)</f>
        <v>0</v>
      </c>
      <c r="AD160" s="207">
        <f>SUMIFS('апрель 2023'!$G$4:$G$692,'апрель 2023'!$D$4:$D$692,$B160,'апрель 2023'!$J$4:$J$692,AD$1)</f>
        <v>0</v>
      </c>
      <c r="AE160" s="207">
        <f>SUMIFS('апрель 2023'!$G$4:$G$692,'апрель 2023'!$D$4:$D$692,$B160,'апрель 2023'!$J$4:$J$692,AE$1)</f>
        <v>0</v>
      </c>
      <c r="AF160" s="207">
        <f>SUMIFS('апрель 2023'!$G$4:$G$692,'апрель 2023'!$D$4:$D$692,$B160,'апрель 2023'!$J$4:$J$692,AF$1)</f>
        <v>0</v>
      </c>
      <c r="AG160" s="207">
        <f>SUMIFS('апрель 2023'!$G$4:$G$692,'апрель 2023'!$D$4:$D$692,$B160,'апрель 2023'!$J$4:$J$692,AG$1)</f>
        <v>0</v>
      </c>
      <c r="AH160" s="207">
        <f>SUMIFS('апрель 2023'!$G$4:$G$692,'апрель 2023'!$D$4:$D$692,$B160,'апрель 2023'!$J$4:$J$692,AH$1)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SUMIFS('апрель 2023'!$G$4:$G$692,'апрель 2023'!$D$4:$D$692,$B161,'апрель 2023'!$J$4:$J$692,D$1)</f>
        <v>0</v>
      </c>
      <c r="E161" s="207">
        <f>SUMIFS('апрель 2023'!$G$4:$G$692,'апрель 2023'!$D$4:$D$692,$B161,'апрель 2023'!$J$4:$J$692,E$1)</f>
        <v>0</v>
      </c>
      <c r="F161" s="207">
        <f>SUMIFS('апрель 2023'!$G$4:$G$692,'апрель 2023'!$D$4:$D$692,$B161,'апрель 2023'!$J$4:$J$692,F$1)</f>
        <v>0</v>
      </c>
      <c r="G161" s="207">
        <f>SUMIFS('апрель 2023'!$G$4:$G$692,'апрель 2023'!$D$4:$D$692,$B161,'апрель 2023'!$J$4:$J$692,G$1)</f>
        <v>0</v>
      </c>
      <c r="H161" s="207">
        <f>SUMIFS('апрель 2023'!$G$4:$G$692,'апрель 2023'!$D$4:$D$692,$B161,'апрель 2023'!$J$4:$J$692,H$1)</f>
        <v>0</v>
      </c>
      <c r="I161" s="207">
        <f>SUMIFS('апрель 2023'!$G$4:$G$692,'апрель 2023'!$D$4:$D$692,$B161,'апрель 2023'!$J$4:$J$692,I$1)</f>
        <v>0</v>
      </c>
      <c r="J161" s="207">
        <f>SUMIFS('апрель 2023'!$G$4:$G$692,'апрель 2023'!$D$4:$D$692,$B161,'апрель 2023'!$J$4:$J$692,J$1)</f>
        <v>0</v>
      </c>
      <c r="K161" s="207">
        <f>SUMIFS('апрель 2023'!$G$4:$G$692,'апрель 2023'!$D$4:$D$692,$B161,'апрель 2023'!$J$4:$J$692,K$1)</f>
        <v>0</v>
      </c>
      <c r="L161" s="207">
        <f>SUMIFS('апрель 2023'!$G$4:$G$692,'апрель 2023'!$D$4:$D$692,$B161,'апрель 2023'!$J$4:$J$692,L$1)</f>
        <v>0</v>
      </c>
      <c r="M161" s="207">
        <f>SUMIFS('апрель 2023'!$G$4:$G$692,'апрель 2023'!$D$4:$D$692,$B161,'апрель 2023'!$J$4:$J$692,M$1)</f>
        <v>0</v>
      </c>
      <c r="N161" s="207">
        <f>SUMIFS('апрель 2023'!$G$4:$G$692,'апрель 2023'!$D$4:$D$692,$B161,'апрель 2023'!$J$4:$J$692,N$1)</f>
        <v>0</v>
      </c>
      <c r="O161" s="207">
        <f>SUMIFS('апрель 2023'!$G$4:$G$692,'апрель 2023'!$D$4:$D$692,$B161,'апрель 2023'!$J$4:$J$692,O$1)</f>
        <v>0</v>
      </c>
      <c r="P161" s="207">
        <f>SUMIFS('апрель 2023'!$G$4:$G$692,'апрель 2023'!$D$4:$D$692,$B161,'апрель 2023'!$J$4:$J$692,P$1)</f>
        <v>0</v>
      </c>
      <c r="Q161" s="207">
        <f>SUMIFS('апрель 2023'!$G$4:$G$692,'апрель 2023'!$D$4:$D$692,$B161,'апрель 2023'!$J$4:$J$692,Q$1)</f>
        <v>0</v>
      </c>
      <c r="R161" s="207">
        <f>SUMIFS('апрель 2023'!$G$4:$G$692,'апрель 2023'!$D$4:$D$692,$B161,'апрель 2023'!$J$4:$J$692,R$1)</f>
        <v>0</v>
      </c>
      <c r="S161" s="207">
        <f>SUMIFS('апрель 2023'!$G$4:$G$692,'апрель 2023'!$D$4:$D$692,$B161,'апрель 2023'!$J$4:$J$692,S$1)</f>
        <v>0</v>
      </c>
      <c r="T161" s="207">
        <f>SUMIFS('апрель 2023'!$G$4:$G$692,'апрель 2023'!$D$4:$D$692,$B161,'апрель 2023'!$J$4:$J$692,T$1)</f>
        <v>0</v>
      </c>
      <c r="U161" s="207">
        <f>SUMIFS('апрель 2023'!$G$4:$G$692,'апрель 2023'!$D$4:$D$692,$B161,'апрель 2023'!$J$4:$J$692,U$1)</f>
        <v>0</v>
      </c>
      <c r="V161" s="207">
        <f>SUMIFS('апрель 2023'!$G$4:$G$692,'апрель 2023'!$D$4:$D$692,$B161,'апрель 2023'!$J$4:$J$692,V$1)</f>
        <v>0</v>
      </c>
      <c r="W161" s="207">
        <f>SUMIFS('апрель 2023'!$G$4:$G$692,'апрель 2023'!$D$4:$D$692,$B161,'апрель 2023'!$J$4:$J$692,W$1)</f>
        <v>0</v>
      </c>
      <c r="X161" s="207">
        <f>SUMIFS('апрель 2023'!$G$4:$G$692,'апрель 2023'!$D$4:$D$692,$B161,'апрель 2023'!$J$4:$J$692,X$1)</f>
        <v>0</v>
      </c>
      <c r="Y161" s="207">
        <f>SUMIFS('апрель 2023'!$G$4:$G$692,'апрель 2023'!$D$4:$D$692,$B161,'апрель 2023'!$J$4:$J$692,Y$1)</f>
        <v>0</v>
      </c>
      <c r="Z161" s="207">
        <f>SUMIFS('апрель 2023'!$G$4:$G$692,'апрель 2023'!$D$4:$D$692,$B161,'апрель 2023'!$J$4:$J$692,Z$1)</f>
        <v>0</v>
      </c>
      <c r="AA161" s="207">
        <f>SUMIFS('апрель 2023'!$G$4:$G$692,'апрель 2023'!$D$4:$D$692,$B161,'апрель 2023'!$J$4:$J$692,AA$1)</f>
        <v>0</v>
      </c>
      <c r="AB161" s="207">
        <f>SUMIFS('апрель 2023'!$G$4:$G$692,'апрель 2023'!$D$4:$D$692,$B161,'апрель 2023'!$J$4:$J$692,AB$1)</f>
        <v>0</v>
      </c>
      <c r="AC161" s="207">
        <f>SUMIFS('апрель 2023'!$G$4:$G$692,'апрель 2023'!$D$4:$D$692,$B161,'апрель 2023'!$J$4:$J$692,AC$1)</f>
        <v>0</v>
      </c>
      <c r="AD161" s="207">
        <f>SUMIFS('апрель 2023'!$G$4:$G$692,'апрель 2023'!$D$4:$D$692,$B161,'апрель 2023'!$J$4:$J$692,AD$1)</f>
        <v>0</v>
      </c>
      <c r="AE161" s="207">
        <f>SUMIFS('апрель 2023'!$G$4:$G$692,'апрель 2023'!$D$4:$D$692,$B161,'апрель 2023'!$J$4:$J$692,AE$1)</f>
        <v>0</v>
      </c>
      <c r="AF161" s="207">
        <f>SUMIFS('апрель 2023'!$G$4:$G$692,'апрель 2023'!$D$4:$D$692,$B161,'апрель 2023'!$J$4:$J$692,AF$1)</f>
        <v>0</v>
      </c>
      <c r="AG161" s="207">
        <f>SUMIFS('апрель 2023'!$G$4:$G$692,'апрель 2023'!$D$4:$D$692,$B161,'апрель 2023'!$J$4:$J$692,AG$1)</f>
        <v>0</v>
      </c>
      <c r="AH161" s="207">
        <f>SUMIFS('апрель 2023'!$G$4:$G$692,'апрель 2023'!$D$4:$D$692,$B161,'апрель 2023'!$J$4:$J$692,AH$1)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SUMIFS('апрель 2023'!$G$4:$G$692,'апрель 2023'!$D$4:$D$692,$B162,'апрель 2023'!$J$4:$J$692,D$1)</f>
        <v>0</v>
      </c>
      <c r="E162" s="207">
        <f>SUMIFS('апрель 2023'!$G$4:$G$692,'апрель 2023'!$D$4:$D$692,$B162,'апрель 2023'!$J$4:$J$692,E$1)</f>
        <v>0</v>
      </c>
      <c r="F162" s="207">
        <f>SUMIFS('апрель 2023'!$G$4:$G$692,'апрель 2023'!$D$4:$D$692,$B162,'апрель 2023'!$J$4:$J$692,F$1)</f>
        <v>0</v>
      </c>
      <c r="G162" s="207">
        <f>SUMIFS('апрель 2023'!$G$4:$G$692,'апрель 2023'!$D$4:$D$692,$B162,'апрель 2023'!$J$4:$J$692,G$1)</f>
        <v>0</v>
      </c>
      <c r="H162" s="207">
        <f>SUMIFS('апрель 2023'!$G$4:$G$692,'апрель 2023'!$D$4:$D$692,$B162,'апрель 2023'!$J$4:$J$692,H$1)</f>
        <v>0</v>
      </c>
      <c r="I162" s="207">
        <f>SUMIFS('апрель 2023'!$G$4:$G$692,'апрель 2023'!$D$4:$D$692,$B162,'апрель 2023'!$J$4:$J$692,I$1)</f>
        <v>0</v>
      </c>
      <c r="J162" s="207">
        <f>SUMIFS('апрель 2023'!$G$4:$G$692,'апрель 2023'!$D$4:$D$692,$B162,'апрель 2023'!$J$4:$J$692,J$1)</f>
        <v>0</v>
      </c>
      <c r="K162" s="207">
        <f>SUMIFS('апрель 2023'!$G$4:$G$692,'апрель 2023'!$D$4:$D$692,$B162,'апрель 2023'!$J$4:$J$692,K$1)</f>
        <v>0</v>
      </c>
      <c r="L162" s="207">
        <f>SUMIFS('апрель 2023'!$G$4:$G$692,'апрель 2023'!$D$4:$D$692,$B162,'апрель 2023'!$J$4:$J$692,L$1)</f>
        <v>0</v>
      </c>
      <c r="M162" s="207">
        <f>SUMIFS('апрель 2023'!$G$4:$G$692,'апрель 2023'!$D$4:$D$692,$B162,'апрель 2023'!$J$4:$J$692,M$1)</f>
        <v>0</v>
      </c>
      <c r="N162" s="207">
        <f>SUMIFS('апрель 2023'!$G$4:$G$692,'апрель 2023'!$D$4:$D$692,$B162,'апрель 2023'!$J$4:$J$692,N$1)</f>
        <v>0</v>
      </c>
      <c r="O162" s="207">
        <f>SUMIFS('апрель 2023'!$G$4:$G$692,'апрель 2023'!$D$4:$D$692,$B162,'апрель 2023'!$J$4:$J$692,O$1)</f>
        <v>0</v>
      </c>
      <c r="P162" s="207">
        <f>SUMIFS('апрель 2023'!$G$4:$G$692,'апрель 2023'!$D$4:$D$692,$B162,'апрель 2023'!$J$4:$J$692,P$1)</f>
        <v>0</v>
      </c>
      <c r="Q162" s="207">
        <f>SUMIFS('апрель 2023'!$G$4:$G$692,'апрель 2023'!$D$4:$D$692,$B162,'апрель 2023'!$J$4:$J$692,Q$1)</f>
        <v>0</v>
      </c>
      <c r="R162" s="207">
        <f>SUMIFS('апрель 2023'!$G$4:$G$692,'апрель 2023'!$D$4:$D$692,$B162,'апрель 2023'!$J$4:$J$692,R$1)</f>
        <v>0</v>
      </c>
      <c r="S162" s="207">
        <f>SUMIFS('апрель 2023'!$G$4:$G$692,'апрель 2023'!$D$4:$D$692,$B162,'апрель 2023'!$J$4:$J$692,S$1)</f>
        <v>0</v>
      </c>
      <c r="T162" s="207">
        <f>SUMIFS('апрель 2023'!$G$4:$G$692,'апрель 2023'!$D$4:$D$692,$B162,'апрель 2023'!$J$4:$J$692,T$1)</f>
        <v>0</v>
      </c>
      <c r="U162" s="207">
        <f>SUMIFS('апрель 2023'!$G$4:$G$692,'апрель 2023'!$D$4:$D$692,$B162,'апрель 2023'!$J$4:$J$692,U$1)</f>
        <v>0</v>
      </c>
      <c r="V162" s="207">
        <f>SUMIFS('апрель 2023'!$G$4:$G$692,'апрель 2023'!$D$4:$D$692,$B162,'апрель 2023'!$J$4:$J$692,V$1)</f>
        <v>0</v>
      </c>
      <c r="W162" s="207">
        <f>SUMIFS('апрель 2023'!$G$4:$G$692,'апрель 2023'!$D$4:$D$692,$B162,'апрель 2023'!$J$4:$J$692,W$1)</f>
        <v>0</v>
      </c>
      <c r="X162" s="207">
        <f>SUMIFS('апрель 2023'!$G$4:$G$692,'апрель 2023'!$D$4:$D$692,$B162,'апрель 2023'!$J$4:$J$692,X$1)</f>
        <v>0</v>
      </c>
      <c r="Y162" s="207">
        <f>SUMIFS('апрель 2023'!$G$4:$G$692,'апрель 2023'!$D$4:$D$692,$B162,'апрель 2023'!$J$4:$J$692,Y$1)</f>
        <v>0</v>
      </c>
      <c r="Z162" s="207">
        <f>SUMIFS('апрель 2023'!$G$4:$G$692,'апрель 2023'!$D$4:$D$692,$B162,'апрель 2023'!$J$4:$J$692,Z$1)</f>
        <v>0</v>
      </c>
      <c r="AA162" s="207">
        <f>SUMIFS('апрель 2023'!$G$4:$G$692,'апрель 2023'!$D$4:$D$692,$B162,'апрель 2023'!$J$4:$J$692,AA$1)</f>
        <v>0</v>
      </c>
      <c r="AB162" s="207">
        <f>SUMIFS('апрель 2023'!$G$4:$G$692,'апрель 2023'!$D$4:$D$692,$B162,'апрель 2023'!$J$4:$J$692,AB$1)</f>
        <v>0</v>
      </c>
      <c r="AC162" s="207">
        <f>SUMIFS('апрель 2023'!$G$4:$G$692,'апрель 2023'!$D$4:$D$692,$B162,'апрель 2023'!$J$4:$J$692,AC$1)</f>
        <v>0</v>
      </c>
      <c r="AD162" s="207">
        <f>SUMIFS('апрель 2023'!$G$4:$G$692,'апрель 2023'!$D$4:$D$692,$B162,'апрель 2023'!$J$4:$J$692,AD$1)</f>
        <v>0</v>
      </c>
      <c r="AE162" s="207">
        <f>SUMIFS('апрель 2023'!$G$4:$G$692,'апрель 2023'!$D$4:$D$692,$B162,'апрель 2023'!$J$4:$J$692,AE$1)</f>
        <v>0</v>
      </c>
      <c r="AF162" s="207">
        <f>SUMIFS('апрель 2023'!$G$4:$G$692,'апрель 2023'!$D$4:$D$692,$B162,'апрель 2023'!$J$4:$J$692,AF$1)</f>
        <v>0</v>
      </c>
      <c r="AG162" s="207">
        <f>SUMIFS('апрель 2023'!$G$4:$G$692,'апрель 2023'!$D$4:$D$692,$B162,'апрель 2023'!$J$4:$J$692,AG$1)</f>
        <v>0</v>
      </c>
      <c r="AH162" s="207">
        <f>SUMIFS('апрель 2023'!$G$4:$G$692,'апрель 2023'!$D$4:$D$692,$B162,'апрель 2023'!$J$4:$J$692,AH$1)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SUMIFS('апрель 2023'!$G$4:$G$692,'апрель 2023'!$D$4:$D$692,$B163,'апрель 2023'!$J$4:$J$692,D$1)</f>
        <v>0</v>
      </c>
      <c r="E163" s="207">
        <f>SUMIFS('апрель 2023'!$G$4:$G$692,'апрель 2023'!$D$4:$D$692,$B163,'апрель 2023'!$J$4:$J$692,E$1)</f>
        <v>0</v>
      </c>
      <c r="F163" s="207">
        <f>SUMIFS('апрель 2023'!$G$4:$G$692,'апрель 2023'!$D$4:$D$692,$B163,'апрель 2023'!$J$4:$J$692,F$1)</f>
        <v>0</v>
      </c>
      <c r="G163" s="207">
        <f>SUMIFS('апрель 2023'!$G$4:$G$692,'апрель 2023'!$D$4:$D$692,$B163,'апрель 2023'!$J$4:$J$692,G$1)</f>
        <v>0</v>
      </c>
      <c r="H163" s="207">
        <f>SUMIFS('апрель 2023'!$G$4:$G$692,'апрель 2023'!$D$4:$D$692,$B163,'апрель 2023'!$J$4:$J$692,H$1)</f>
        <v>0</v>
      </c>
      <c r="I163" s="207">
        <f>SUMIFS('апрель 2023'!$G$4:$G$692,'апрель 2023'!$D$4:$D$692,$B163,'апрель 2023'!$J$4:$J$692,I$1)</f>
        <v>0</v>
      </c>
      <c r="J163" s="207">
        <f>SUMIFS('апрель 2023'!$G$4:$G$692,'апрель 2023'!$D$4:$D$692,$B163,'апрель 2023'!$J$4:$J$692,J$1)</f>
        <v>0</v>
      </c>
      <c r="K163" s="207">
        <f>SUMIFS('апрель 2023'!$G$4:$G$692,'апрель 2023'!$D$4:$D$692,$B163,'апрель 2023'!$J$4:$J$692,K$1)</f>
        <v>0</v>
      </c>
      <c r="L163" s="207">
        <f>SUMIFS('апрель 2023'!$G$4:$G$692,'апрель 2023'!$D$4:$D$692,$B163,'апрель 2023'!$J$4:$J$692,L$1)</f>
        <v>0</v>
      </c>
      <c r="M163" s="207">
        <f>SUMIFS('апрель 2023'!$G$4:$G$692,'апрель 2023'!$D$4:$D$692,$B163,'апрель 2023'!$J$4:$J$692,M$1)</f>
        <v>0</v>
      </c>
      <c r="N163" s="207">
        <f>SUMIFS('апрель 2023'!$G$4:$G$692,'апрель 2023'!$D$4:$D$692,$B163,'апрель 2023'!$J$4:$J$692,N$1)</f>
        <v>0</v>
      </c>
      <c r="O163" s="207">
        <f>SUMIFS('апрель 2023'!$G$4:$G$692,'апрель 2023'!$D$4:$D$692,$B163,'апрель 2023'!$J$4:$J$692,O$1)</f>
        <v>0</v>
      </c>
      <c r="P163" s="207">
        <f>SUMIFS('апрель 2023'!$G$4:$G$692,'апрель 2023'!$D$4:$D$692,$B163,'апрель 2023'!$J$4:$J$692,P$1)</f>
        <v>0</v>
      </c>
      <c r="Q163" s="207">
        <f>SUMIFS('апрель 2023'!$G$4:$G$692,'апрель 2023'!$D$4:$D$692,$B163,'апрель 2023'!$J$4:$J$692,Q$1)</f>
        <v>0</v>
      </c>
      <c r="R163" s="207">
        <f>SUMIFS('апрель 2023'!$G$4:$G$692,'апрель 2023'!$D$4:$D$692,$B163,'апрель 2023'!$J$4:$J$692,R$1)</f>
        <v>0</v>
      </c>
      <c r="S163" s="207">
        <f>SUMIFS('апрель 2023'!$G$4:$G$692,'апрель 2023'!$D$4:$D$692,$B163,'апрель 2023'!$J$4:$J$692,S$1)</f>
        <v>0</v>
      </c>
      <c r="T163" s="207">
        <f>SUMIFS('апрель 2023'!$G$4:$G$692,'апрель 2023'!$D$4:$D$692,$B163,'апрель 2023'!$J$4:$J$692,T$1)</f>
        <v>0</v>
      </c>
      <c r="U163" s="207">
        <f>SUMIFS('апрель 2023'!$G$4:$G$692,'апрель 2023'!$D$4:$D$692,$B163,'апрель 2023'!$J$4:$J$692,U$1)</f>
        <v>0</v>
      </c>
      <c r="V163" s="207">
        <f>SUMIFS('апрель 2023'!$G$4:$G$692,'апрель 2023'!$D$4:$D$692,$B163,'апрель 2023'!$J$4:$J$692,V$1)</f>
        <v>0</v>
      </c>
      <c r="W163" s="207">
        <f>SUMIFS('апрель 2023'!$G$4:$G$692,'апрель 2023'!$D$4:$D$692,$B163,'апрель 2023'!$J$4:$J$692,W$1)</f>
        <v>0</v>
      </c>
      <c r="X163" s="207">
        <f>SUMIFS('апрель 2023'!$G$4:$G$692,'апрель 2023'!$D$4:$D$692,$B163,'апрель 2023'!$J$4:$J$692,X$1)</f>
        <v>0</v>
      </c>
      <c r="Y163" s="207">
        <f>SUMIFS('апрель 2023'!$G$4:$G$692,'апрель 2023'!$D$4:$D$692,$B163,'апрель 2023'!$J$4:$J$692,Y$1)</f>
        <v>0</v>
      </c>
      <c r="Z163" s="207">
        <f>SUMIFS('апрель 2023'!$G$4:$G$692,'апрель 2023'!$D$4:$D$692,$B163,'апрель 2023'!$J$4:$J$692,Z$1)</f>
        <v>0</v>
      </c>
      <c r="AA163" s="207">
        <f>SUMIFS('апрель 2023'!$G$4:$G$692,'апрель 2023'!$D$4:$D$692,$B163,'апрель 2023'!$J$4:$J$692,AA$1)</f>
        <v>0</v>
      </c>
      <c r="AB163" s="207">
        <f>SUMIFS('апрель 2023'!$G$4:$G$692,'апрель 2023'!$D$4:$D$692,$B163,'апрель 2023'!$J$4:$J$692,AB$1)</f>
        <v>0</v>
      </c>
      <c r="AC163" s="207">
        <f>SUMIFS('апрель 2023'!$G$4:$G$692,'апрель 2023'!$D$4:$D$692,$B163,'апрель 2023'!$J$4:$J$692,AC$1)</f>
        <v>0</v>
      </c>
      <c r="AD163" s="207">
        <f>SUMIFS('апрель 2023'!$G$4:$G$692,'апрель 2023'!$D$4:$D$692,$B163,'апрель 2023'!$J$4:$J$692,AD$1)</f>
        <v>0</v>
      </c>
      <c r="AE163" s="207">
        <f>SUMIFS('апрель 2023'!$G$4:$G$692,'апрель 2023'!$D$4:$D$692,$B163,'апрель 2023'!$J$4:$J$692,AE$1)</f>
        <v>0</v>
      </c>
      <c r="AF163" s="207">
        <f>SUMIFS('апрель 2023'!$G$4:$G$692,'апрель 2023'!$D$4:$D$692,$B163,'апрель 2023'!$J$4:$J$692,AF$1)</f>
        <v>0</v>
      </c>
      <c r="AG163" s="207">
        <f>SUMIFS('апрель 2023'!$G$4:$G$692,'апрель 2023'!$D$4:$D$692,$B163,'апрель 2023'!$J$4:$J$692,AG$1)</f>
        <v>0</v>
      </c>
      <c r="AH163" s="207">
        <f>SUMIFS('апрель 2023'!$G$4:$G$692,'апрель 2023'!$D$4:$D$692,$B163,'апрель 2023'!$J$4:$J$692,AH$1)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SUMIFS('апрель 2023'!$G$4:$G$692,'апрель 2023'!$D$4:$D$692,$B164,'апрель 2023'!$J$4:$J$692,D$1)</f>
        <v>0</v>
      </c>
      <c r="E164" s="207">
        <f>SUMIFS('апрель 2023'!$G$4:$G$692,'апрель 2023'!$D$4:$D$692,$B164,'апрель 2023'!$J$4:$J$692,E$1)</f>
        <v>0</v>
      </c>
      <c r="F164" s="207">
        <f>SUMIFS('апрель 2023'!$G$4:$G$692,'апрель 2023'!$D$4:$D$692,$B164,'апрель 2023'!$J$4:$J$692,F$1)</f>
        <v>0</v>
      </c>
      <c r="G164" s="207">
        <f>SUMIFS('апрель 2023'!$G$4:$G$692,'апрель 2023'!$D$4:$D$692,$B164,'апрель 2023'!$J$4:$J$692,G$1)</f>
        <v>0</v>
      </c>
      <c r="H164" s="207">
        <f>SUMIFS('апрель 2023'!$G$4:$G$692,'апрель 2023'!$D$4:$D$692,$B164,'апрель 2023'!$J$4:$J$692,H$1)</f>
        <v>0</v>
      </c>
      <c r="I164" s="207">
        <f>SUMIFS('апрель 2023'!$G$4:$G$692,'апрель 2023'!$D$4:$D$692,$B164,'апрель 2023'!$J$4:$J$692,I$1)</f>
        <v>0</v>
      </c>
      <c r="J164" s="207">
        <f>SUMIFS('апрель 2023'!$G$4:$G$692,'апрель 2023'!$D$4:$D$692,$B164,'апрель 2023'!$J$4:$J$692,J$1)</f>
        <v>0</v>
      </c>
      <c r="K164" s="207">
        <f>SUMIFS('апрель 2023'!$G$4:$G$692,'апрель 2023'!$D$4:$D$692,$B164,'апрель 2023'!$J$4:$J$692,K$1)</f>
        <v>0</v>
      </c>
      <c r="L164" s="207">
        <f>SUMIFS('апрель 2023'!$G$4:$G$692,'апрель 2023'!$D$4:$D$692,$B164,'апрель 2023'!$J$4:$J$692,L$1)</f>
        <v>0</v>
      </c>
      <c r="M164" s="207">
        <f>SUMIFS('апрель 2023'!$G$4:$G$692,'апрель 2023'!$D$4:$D$692,$B164,'апрель 2023'!$J$4:$J$692,M$1)</f>
        <v>0</v>
      </c>
      <c r="N164" s="207">
        <f>SUMIFS('апрель 2023'!$G$4:$G$692,'апрель 2023'!$D$4:$D$692,$B164,'апрель 2023'!$J$4:$J$692,N$1)</f>
        <v>0</v>
      </c>
      <c r="O164" s="207">
        <f>SUMIFS('апрель 2023'!$G$4:$G$692,'апрель 2023'!$D$4:$D$692,$B164,'апрель 2023'!$J$4:$J$692,O$1)</f>
        <v>0</v>
      </c>
      <c r="P164" s="207">
        <f>SUMIFS('апрель 2023'!$G$4:$G$692,'апрель 2023'!$D$4:$D$692,$B164,'апрель 2023'!$J$4:$J$692,P$1)</f>
        <v>0</v>
      </c>
      <c r="Q164" s="207">
        <f>SUMIFS('апрель 2023'!$G$4:$G$692,'апрель 2023'!$D$4:$D$692,$B164,'апрель 2023'!$J$4:$J$692,Q$1)</f>
        <v>0</v>
      </c>
      <c r="R164" s="207">
        <f>SUMIFS('апрель 2023'!$G$4:$G$692,'апрель 2023'!$D$4:$D$692,$B164,'апрель 2023'!$J$4:$J$692,R$1)</f>
        <v>0</v>
      </c>
      <c r="S164" s="207">
        <f>SUMIFS('апрель 2023'!$G$4:$G$692,'апрель 2023'!$D$4:$D$692,$B164,'апрель 2023'!$J$4:$J$692,S$1)</f>
        <v>0</v>
      </c>
      <c r="T164" s="207">
        <f>SUMIFS('апрель 2023'!$G$4:$G$692,'апрель 2023'!$D$4:$D$692,$B164,'апрель 2023'!$J$4:$J$692,T$1)</f>
        <v>0</v>
      </c>
      <c r="U164" s="207">
        <f>SUMIFS('апрель 2023'!$G$4:$G$692,'апрель 2023'!$D$4:$D$692,$B164,'апрель 2023'!$J$4:$J$692,U$1)</f>
        <v>0</v>
      </c>
      <c r="V164" s="207">
        <f>SUMIFS('апрель 2023'!$G$4:$G$692,'апрель 2023'!$D$4:$D$692,$B164,'апрель 2023'!$J$4:$J$692,V$1)</f>
        <v>0</v>
      </c>
      <c r="W164" s="207">
        <f>SUMIFS('апрель 2023'!$G$4:$G$692,'апрель 2023'!$D$4:$D$692,$B164,'апрель 2023'!$J$4:$J$692,W$1)</f>
        <v>0</v>
      </c>
      <c r="X164" s="207">
        <f>SUMIFS('апрель 2023'!$G$4:$G$692,'апрель 2023'!$D$4:$D$692,$B164,'апрель 2023'!$J$4:$J$692,X$1)</f>
        <v>0</v>
      </c>
      <c r="Y164" s="207">
        <f>SUMIFS('апрель 2023'!$G$4:$G$692,'апрель 2023'!$D$4:$D$692,$B164,'апрель 2023'!$J$4:$J$692,Y$1)</f>
        <v>0</v>
      </c>
      <c r="Z164" s="207">
        <f>SUMIFS('апрель 2023'!$G$4:$G$692,'апрель 2023'!$D$4:$D$692,$B164,'апрель 2023'!$J$4:$J$692,Z$1)</f>
        <v>0</v>
      </c>
      <c r="AA164" s="207">
        <f>SUMIFS('апрель 2023'!$G$4:$G$692,'апрель 2023'!$D$4:$D$692,$B164,'апрель 2023'!$J$4:$J$692,AA$1)</f>
        <v>0</v>
      </c>
      <c r="AB164" s="207">
        <f>SUMIFS('апрель 2023'!$G$4:$G$692,'апрель 2023'!$D$4:$D$692,$B164,'апрель 2023'!$J$4:$J$692,AB$1)</f>
        <v>0</v>
      </c>
      <c r="AC164" s="207">
        <f>SUMIFS('апрель 2023'!$G$4:$G$692,'апрель 2023'!$D$4:$D$692,$B164,'апрель 2023'!$J$4:$J$692,AC$1)</f>
        <v>0</v>
      </c>
      <c r="AD164" s="207">
        <f>SUMIFS('апрель 2023'!$G$4:$G$692,'апрель 2023'!$D$4:$D$692,$B164,'апрель 2023'!$J$4:$J$692,AD$1)</f>
        <v>0</v>
      </c>
      <c r="AE164" s="207">
        <f>SUMIFS('апрель 2023'!$G$4:$G$692,'апрель 2023'!$D$4:$D$692,$B164,'апрель 2023'!$J$4:$J$692,AE$1)</f>
        <v>0</v>
      </c>
      <c r="AF164" s="207">
        <f>SUMIFS('апрель 2023'!$G$4:$G$692,'апрель 2023'!$D$4:$D$692,$B164,'апрель 2023'!$J$4:$J$692,AF$1)</f>
        <v>0</v>
      </c>
      <c r="AG164" s="207">
        <f>SUMIFS('апрель 2023'!$G$4:$G$692,'апрель 2023'!$D$4:$D$692,$B164,'апрель 2023'!$J$4:$J$692,AG$1)</f>
        <v>0</v>
      </c>
      <c r="AH164" s="207">
        <f>SUMIFS('апрель 2023'!$G$4:$G$692,'апрель 2023'!$D$4:$D$692,$B164,'апрель 2023'!$J$4:$J$692,AH$1)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SUMIFS('апрель 2023'!$G$4:$G$692,'апрель 2023'!$D$4:$D$692,$B165,'апрель 2023'!$J$4:$J$692,D$1)</f>
        <v>0</v>
      </c>
      <c r="E165" s="207">
        <f>SUMIFS('апрель 2023'!$G$4:$G$692,'апрель 2023'!$D$4:$D$692,$B165,'апрель 2023'!$J$4:$J$692,E$1)</f>
        <v>0</v>
      </c>
      <c r="F165" s="207">
        <f>SUMIFS('апрель 2023'!$G$4:$G$692,'апрель 2023'!$D$4:$D$692,$B165,'апрель 2023'!$J$4:$J$692,F$1)</f>
        <v>0</v>
      </c>
      <c r="G165" s="207">
        <f>SUMIFS('апрель 2023'!$G$4:$G$692,'апрель 2023'!$D$4:$D$692,$B165,'апрель 2023'!$J$4:$J$692,G$1)</f>
        <v>0</v>
      </c>
      <c r="H165" s="207">
        <f>SUMIFS('апрель 2023'!$G$4:$G$692,'апрель 2023'!$D$4:$D$692,$B165,'апрель 2023'!$J$4:$J$692,H$1)</f>
        <v>0</v>
      </c>
      <c r="I165" s="207">
        <f>SUMIFS('апрель 2023'!$G$4:$G$692,'апрель 2023'!$D$4:$D$692,$B165,'апрель 2023'!$J$4:$J$692,I$1)</f>
        <v>0</v>
      </c>
      <c r="J165" s="207">
        <f>SUMIFS('апрель 2023'!$G$4:$G$692,'апрель 2023'!$D$4:$D$692,$B165,'апрель 2023'!$J$4:$J$692,J$1)</f>
        <v>0</v>
      </c>
      <c r="K165" s="207">
        <f>SUMIFS('апрель 2023'!$G$4:$G$692,'апрель 2023'!$D$4:$D$692,$B165,'апрель 2023'!$J$4:$J$692,K$1)</f>
        <v>0</v>
      </c>
      <c r="L165" s="207">
        <f>SUMIFS('апрель 2023'!$G$4:$G$692,'апрель 2023'!$D$4:$D$692,$B165,'апрель 2023'!$J$4:$J$692,L$1)</f>
        <v>0</v>
      </c>
      <c r="M165" s="207">
        <f>SUMIFS('апрель 2023'!$G$4:$G$692,'апрель 2023'!$D$4:$D$692,$B165,'апрель 2023'!$J$4:$J$692,M$1)</f>
        <v>0</v>
      </c>
      <c r="N165" s="207">
        <f>SUMIFS('апрель 2023'!$G$4:$G$692,'апрель 2023'!$D$4:$D$692,$B165,'апрель 2023'!$J$4:$J$692,N$1)</f>
        <v>0</v>
      </c>
      <c r="O165" s="207">
        <f>SUMIFS('апрель 2023'!$G$4:$G$692,'апрель 2023'!$D$4:$D$692,$B165,'апрель 2023'!$J$4:$J$692,O$1)</f>
        <v>0</v>
      </c>
      <c r="P165" s="207">
        <f>SUMIFS('апрель 2023'!$G$4:$G$692,'апрель 2023'!$D$4:$D$692,$B165,'апрель 2023'!$J$4:$J$692,P$1)</f>
        <v>0</v>
      </c>
      <c r="Q165" s="207">
        <f>SUMIFS('апрель 2023'!$G$4:$G$692,'апрель 2023'!$D$4:$D$692,$B165,'апрель 2023'!$J$4:$J$692,Q$1)</f>
        <v>0</v>
      </c>
      <c r="R165" s="207">
        <f>SUMIFS('апрель 2023'!$G$4:$G$692,'апрель 2023'!$D$4:$D$692,$B165,'апрель 2023'!$J$4:$J$692,R$1)</f>
        <v>0</v>
      </c>
      <c r="S165" s="207">
        <f>SUMIFS('апрель 2023'!$G$4:$G$692,'апрель 2023'!$D$4:$D$692,$B165,'апрель 2023'!$J$4:$J$692,S$1)</f>
        <v>0</v>
      </c>
      <c r="T165" s="207">
        <f>SUMIFS('апрель 2023'!$G$4:$G$692,'апрель 2023'!$D$4:$D$692,$B165,'апрель 2023'!$J$4:$J$692,T$1)</f>
        <v>0</v>
      </c>
      <c r="U165" s="207">
        <f>SUMIFS('апрель 2023'!$G$4:$G$692,'апрель 2023'!$D$4:$D$692,$B165,'апрель 2023'!$J$4:$J$692,U$1)</f>
        <v>0</v>
      </c>
      <c r="V165" s="207">
        <f>SUMIFS('апрель 2023'!$G$4:$G$692,'апрель 2023'!$D$4:$D$692,$B165,'апрель 2023'!$J$4:$J$692,V$1)</f>
        <v>0</v>
      </c>
      <c r="W165" s="207">
        <f>SUMIFS('апрель 2023'!$G$4:$G$692,'апрель 2023'!$D$4:$D$692,$B165,'апрель 2023'!$J$4:$J$692,W$1)</f>
        <v>0</v>
      </c>
      <c r="X165" s="207">
        <f>SUMIFS('апрель 2023'!$G$4:$G$692,'апрель 2023'!$D$4:$D$692,$B165,'апрель 2023'!$J$4:$J$692,X$1)</f>
        <v>0</v>
      </c>
      <c r="Y165" s="207">
        <f>SUMIFS('апрель 2023'!$G$4:$G$692,'апрель 2023'!$D$4:$D$692,$B165,'апрель 2023'!$J$4:$J$692,Y$1)</f>
        <v>0</v>
      </c>
      <c r="Z165" s="207">
        <f>SUMIFS('апрель 2023'!$G$4:$G$692,'апрель 2023'!$D$4:$D$692,$B165,'апрель 2023'!$J$4:$J$692,Z$1)</f>
        <v>0</v>
      </c>
      <c r="AA165" s="207">
        <f>SUMIFS('апрель 2023'!$G$4:$G$692,'апрель 2023'!$D$4:$D$692,$B165,'апрель 2023'!$J$4:$J$692,AA$1)</f>
        <v>0</v>
      </c>
      <c r="AB165" s="207">
        <f>SUMIFS('апрель 2023'!$G$4:$G$692,'апрель 2023'!$D$4:$D$692,$B165,'апрель 2023'!$J$4:$J$692,AB$1)</f>
        <v>0</v>
      </c>
      <c r="AC165" s="207">
        <f>SUMIFS('апрель 2023'!$G$4:$G$692,'апрель 2023'!$D$4:$D$692,$B165,'апрель 2023'!$J$4:$J$692,AC$1)</f>
        <v>0</v>
      </c>
      <c r="AD165" s="207">
        <f>SUMIFS('апрель 2023'!$G$4:$G$692,'апрель 2023'!$D$4:$D$692,$B165,'апрель 2023'!$J$4:$J$692,AD$1)</f>
        <v>0</v>
      </c>
      <c r="AE165" s="207">
        <f>SUMIFS('апрель 2023'!$G$4:$G$692,'апрель 2023'!$D$4:$D$692,$B165,'апрель 2023'!$J$4:$J$692,AE$1)</f>
        <v>0</v>
      </c>
      <c r="AF165" s="207">
        <f>SUMIFS('апрель 2023'!$G$4:$G$692,'апрель 2023'!$D$4:$D$692,$B165,'апрель 2023'!$J$4:$J$692,AF$1)</f>
        <v>0</v>
      </c>
      <c r="AG165" s="207">
        <f>SUMIFS('апрель 2023'!$G$4:$G$692,'апрель 2023'!$D$4:$D$692,$B165,'апрель 2023'!$J$4:$J$692,AG$1)</f>
        <v>0</v>
      </c>
      <c r="AH165" s="207">
        <f>SUMIFS('апрель 2023'!$G$4:$G$692,'апрель 2023'!$D$4:$D$692,$B165,'апрель 2023'!$J$4:$J$692,AH$1)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SUMIFS('апрель 2023'!$G$4:$G$692,'апрель 2023'!$D$4:$D$692,$B166,'апрель 2023'!$J$4:$J$692,D$1)</f>
        <v>0</v>
      </c>
      <c r="E166" s="207">
        <f>SUMIFS('апрель 2023'!$G$4:$G$692,'апрель 2023'!$D$4:$D$692,$B166,'апрель 2023'!$J$4:$J$692,E$1)</f>
        <v>0</v>
      </c>
      <c r="F166" s="207">
        <f>SUMIFS('апрель 2023'!$G$4:$G$692,'апрель 2023'!$D$4:$D$692,$B166,'апрель 2023'!$J$4:$J$692,F$1)</f>
        <v>0</v>
      </c>
      <c r="G166" s="207">
        <f>SUMIFS('апрель 2023'!$G$4:$G$692,'апрель 2023'!$D$4:$D$692,$B166,'апрель 2023'!$J$4:$J$692,G$1)</f>
        <v>0</v>
      </c>
      <c r="H166" s="207">
        <f>SUMIFS('апрель 2023'!$G$4:$G$692,'апрель 2023'!$D$4:$D$692,$B166,'апрель 2023'!$J$4:$J$692,H$1)</f>
        <v>0</v>
      </c>
      <c r="I166" s="207">
        <f>SUMIFS('апрель 2023'!$G$4:$G$692,'апрель 2023'!$D$4:$D$692,$B166,'апрель 2023'!$J$4:$J$692,I$1)</f>
        <v>0</v>
      </c>
      <c r="J166" s="207">
        <f>SUMIFS('апрель 2023'!$G$4:$G$692,'апрель 2023'!$D$4:$D$692,$B166,'апрель 2023'!$J$4:$J$692,J$1)</f>
        <v>0</v>
      </c>
      <c r="K166" s="207">
        <f>SUMIFS('апрель 2023'!$G$4:$G$692,'апрель 2023'!$D$4:$D$692,$B166,'апрель 2023'!$J$4:$J$692,K$1)</f>
        <v>0</v>
      </c>
      <c r="L166" s="207">
        <f>SUMIFS('апрель 2023'!$G$4:$G$692,'апрель 2023'!$D$4:$D$692,$B166,'апрель 2023'!$J$4:$J$692,L$1)</f>
        <v>0</v>
      </c>
      <c r="M166" s="207">
        <f>SUMIFS('апрель 2023'!$G$4:$G$692,'апрель 2023'!$D$4:$D$692,$B166,'апрель 2023'!$J$4:$J$692,M$1)</f>
        <v>0</v>
      </c>
      <c r="N166" s="207">
        <f>SUMIFS('апрель 2023'!$G$4:$G$692,'апрель 2023'!$D$4:$D$692,$B166,'апрель 2023'!$J$4:$J$692,N$1)</f>
        <v>0</v>
      </c>
      <c r="O166" s="207">
        <f>SUMIFS('апрель 2023'!$G$4:$G$692,'апрель 2023'!$D$4:$D$692,$B166,'апрель 2023'!$J$4:$J$692,O$1)</f>
        <v>0</v>
      </c>
      <c r="P166" s="207">
        <f>SUMIFS('апрель 2023'!$G$4:$G$692,'апрель 2023'!$D$4:$D$692,$B166,'апрель 2023'!$J$4:$J$692,P$1)</f>
        <v>0</v>
      </c>
      <c r="Q166" s="207">
        <f>SUMIFS('апрель 2023'!$G$4:$G$692,'апрель 2023'!$D$4:$D$692,$B166,'апрель 2023'!$J$4:$J$692,Q$1)</f>
        <v>0</v>
      </c>
      <c r="R166" s="207">
        <f>SUMIFS('апрель 2023'!$G$4:$G$692,'апрель 2023'!$D$4:$D$692,$B166,'апрель 2023'!$J$4:$J$692,R$1)</f>
        <v>0</v>
      </c>
      <c r="S166" s="207">
        <f>SUMIFS('апрель 2023'!$G$4:$G$692,'апрель 2023'!$D$4:$D$692,$B166,'апрель 2023'!$J$4:$J$692,S$1)</f>
        <v>0</v>
      </c>
      <c r="T166" s="207">
        <f>SUMIFS('апрель 2023'!$G$4:$G$692,'апрель 2023'!$D$4:$D$692,$B166,'апрель 2023'!$J$4:$J$692,T$1)</f>
        <v>0</v>
      </c>
      <c r="U166" s="207">
        <f>SUMIFS('апрель 2023'!$G$4:$G$692,'апрель 2023'!$D$4:$D$692,$B166,'апрель 2023'!$J$4:$J$692,U$1)</f>
        <v>0</v>
      </c>
      <c r="V166" s="207">
        <f>SUMIFS('апрель 2023'!$G$4:$G$692,'апрель 2023'!$D$4:$D$692,$B166,'апрель 2023'!$J$4:$J$692,V$1)</f>
        <v>0</v>
      </c>
      <c r="W166" s="207">
        <f>SUMIFS('апрель 2023'!$G$4:$G$692,'апрель 2023'!$D$4:$D$692,$B166,'апрель 2023'!$J$4:$J$692,W$1)</f>
        <v>0</v>
      </c>
      <c r="X166" s="207">
        <f>SUMIFS('апрель 2023'!$G$4:$G$692,'апрель 2023'!$D$4:$D$692,$B166,'апрель 2023'!$J$4:$J$692,X$1)</f>
        <v>0</v>
      </c>
      <c r="Y166" s="207">
        <f>SUMIFS('апрель 2023'!$G$4:$G$692,'апрель 2023'!$D$4:$D$692,$B166,'апрель 2023'!$J$4:$J$692,Y$1)</f>
        <v>0</v>
      </c>
      <c r="Z166" s="207">
        <f>SUMIFS('апрель 2023'!$G$4:$G$692,'апрель 2023'!$D$4:$D$692,$B166,'апрель 2023'!$J$4:$J$692,Z$1)</f>
        <v>0</v>
      </c>
      <c r="AA166" s="207">
        <f>SUMIFS('апрель 2023'!$G$4:$G$692,'апрель 2023'!$D$4:$D$692,$B166,'апрель 2023'!$J$4:$J$692,AA$1)</f>
        <v>0</v>
      </c>
      <c r="AB166" s="207">
        <f>SUMIFS('апрель 2023'!$G$4:$G$692,'апрель 2023'!$D$4:$D$692,$B166,'апрель 2023'!$J$4:$J$692,AB$1)</f>
        <v>0</v>
      </c>
      <c r="AC166" s="207">
        <f>SUMIFS('апрель 2023'!$G$4:$G$692,'апрель 2023'!$D$4:$D$692,$B166,'апрель 2023'!$J$4:$J$692,AC$1)</f>
        <v>0</v>
      </c>
      <c r="AD166" s="207">
        <f>SUMIFS('апрель 2023'!$G$4:$G$692,'апрель 2023'!$D$4:$D$692,$B166,'апрель 2023'!$J$4:$J$692,AD$1)</f>
        <v>0</v>
      </c>
      <c r="AE166" s="207">
        <f>SUMIFS('апрель 2023'!$G$4:$G$692,'апрель 2023'!$D$4:$D$692,$B166,'апрель 2023'!$J$4:$J$692,AE$1)</f>
        <v>0</v>
      </c>
      <c r="AF166" s="207">
        <f>SUMIFS('апрель 2023'!$G$4:$G$692,'апрель 2023'!$D$4:$D$692,$B166,'апрель 2023'!$J$4:$J$692,AF$1)</f>
        <v>0</v>
      </c>
      <c r="AG166" s="207">
        <f>SUMIFS('апрель 2023'!$G$4:$G$692,'апрель 2023'!$D$4:$D$692,$B166,'апрель 2023'!$J$4:$J$692,AG$1)</f>
        <v>0</v>
      </c>
      <c r="AH166" s="207">
        <f>SUMIFS('апрель 2023'!$G$4:$G$692,'апрель 2023'!$D$4:$D$692,$B166,'апрель 2023'!$J$4:$J$692,AH$1)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SUMIFS('апрель 2023'!$G$4:$G$692,'апрель 2023'!$D$4:$D$692,$B167,'апрель 2023'!$J$4:$J$692,D$1)</f>
        <v>0</v>
      </c>
      <c r="E167" s="207">
        <f>SUMIFS('апрель 2023'!$G$4:$G$692,'апрель 2023'!$D$4:$D$692,$B167,'апрель 2023'!$J$4:$J$692,E$1)</f>
        <v>0</v>
      </c>
      <c r="F167" s="207">
        <f>SUMIFS('апрель 2023'!$G$4:$G$692,'апрель 2023'!$D$4:$D$692,$B167,'апрель 2023'!$J$4:$J$692,F$1)</f>
        <v>0</v>
      </c>
      <c r="G167" s="207">
        <f>SUMIFS('апрель 2023'!$G$4:$G$692,'апрель 2023'!$D$4:$D$692,$B167,'апрель 2023'!$J$4:$J$692,G$1)</f>
        <v>0</v>
      </c>
      <c r="H167" s="207">
        <f>SUMIFS('апрель 2023'!$G$4:$G$692,'апрель 2023'!$D$4:$D$692,$B167,'апрель 2023'!$J$4:$J$692,H$1)</f>
        <v>0</v>
      </c>
      <c r="I167" s="207">
        <f>SUMIFS('апрель 2023'!$G$4:$G$692,'апрель 2023'!$D$4:$D$692,$B167,'апрель 2023'!$J$4:$J$692,I$1)</f>
        <v>0</v>
      </c>
      <c r="J167" s="207">
        <f>SUMIFS('апрель 2023'!$G$4:$G$692,'апрель 2023'!$D$4:$D$692,$B167,'апрель 2023'!$J$4:$J$692,J$1)</f>
        <v>0</v>
      </c>
      <c r="K167" s="207">
        <f>SUMIFS('апрель 2023'!$G$4:$G$692,'апрель 2023'!$D$4:$D$692,$B167,'апрель 2023'!$J$4:$J$692,K$1)</f>
        <v>0</v>
      </c>
      <c r="L167" s="207">
        <f>SUMIFS('апрель 2023'!$G$4:$G$692,'апрель 2023'!$D$4:$D$692,$B167,'апрель 2023'!$J$4:$J$692,L$1)</f>
        <v>0</v>
      </c>
      <c r="M167" s="207">
        <f>SUMIFS('апрель 2023'!$G$4:$G$692,'апрель 2023'!$D$4:$D$692,$B167,'апрель 2023'!$J$4:$J$692,M$1)</f>
        <v>0</v>
      </c>
      <c r="N167" s="207">
        <f>SUMIFS('апрель 2023'!$G$4:$G$692,'апрель 2023'!$D$4:$D$692,$B167,'апрель 2023'!$J$4:$J$692,N$1)</f>
        <v>0</v>
      </c>
      <c r="O167" s="207">
        <f>SUMIFS('апрель 2023'!$G$4:$G$692,'апрель 2023'!$D$4:$D$692,$B167,'апрель 2023'!$J$4:$J$692,O$1)</f>
        <v>0</v>
      </c>
      <c r="P167" s="207">
        <f>SUMIFS('апрель 2023'!$G$4:$G$692,'апрель 2023'!$D$4:$D$692,$B167,'апрель 2023'!$J$4:$J$692,P$1)</f>
        <v>0</v>
      </c>
      <c r="Q167" s="207">
        <f>SUMIFS('апрель 2023'!$G$4:$G$692,'апрель 2023'!$D$4:$D$692,$B167,'апрель 2023'!$J$4:$J$692,Q$1)</f>
        <v>0</v>
      </c>
      <c r="R167" s="207">
        <f>SUMIFS('апрель 2023'!$G$4:$G$692,'апрель 2023'!$D$4:$D$692,$B167,'апрель 2023'!$J$4:$J$692,R$1)</f>
        <v>0</v>
      </c>
      <c r="S167" s="207">
        <f>SUMIFS('апрель 2023'!$G$4:$G$692,'апрель 2023'!$D$4:$D$692,$B167,'апрель 2023'!$J$4:$J$692,S$1)</f>
        <v>0</v>
      </c>
      <c r="T167" s="207">
        <f>SUMIFS('апрель 2023'!$G$4:$G$692,'апрель 2023'!$D$4:$D$692,$B167,'апрель 2023'!$J$4:$J$692,T$1)</f>
        <v>0</v>
      </c>
      <c r="U167" s="207">
        <f>SUMIFS('апрель 2023'!$G$4:$G$692,'апрель 2023'!$D$4:$D$692,$B167,'апрель 2023'!$J$4:$J$692,U$1)</f>
        <v>0</v>
      </c>
      <c r="V167" s="207">
        <f>SUMIFS('апрель 2023'!$G$4:$G$692,'апрель 2023'!$D$4:$D$692,$B167,'апрель 2023'!$J$4:$J$692,V$1)</f>
        <v>0</v>
      </c>
      <c r="W167" s="207">
        <f>SUMIFS('апрель 2023'!$G$4:$G$692,'апрель 2023'!$D$4:$D$692,$B167,'апрель 2023'!$J$4:$J$692,W$1)</f>
        <v>0</v>
      </c>
      <c r="X167" s="207">
        <f>SUMIFS('апрель 2023'!$G$4:$G$692,'апрель 2023'!$D$4:$D$692,$B167,'апрель 2023'!$J$4:$J$692,X$1)</f>
        <v>0</v>
      </c>
      <c r="Y167" s="207">
        <f>SUMIFS('апрель 2023'!$G$4:$G$692,'апрель 2023'!$D$4:$D$692,$B167,'апрель 2023'!$J$4:$J$692,Y$1)</f>
        <v>0</v>
      </c>
      <c r="Z167" s="207">
        <f>SUMIFS('апрель 2023'!$G$4:$G$692,'апрель 2023'!$D$4:$D$692,$B167,'апрель 2023'!$J$4:$J$692,Z$1)</f>
        <v>0</v>
      </c>
      <c r="AA167" s="207">
        <f>SUMIFS('апрель 2023'!$G$4:$G$692,'апрель 2023'!$D$4:$D$692,$B167,'апрель 2023'!$J$4:$J$692,AA$1)</f>
        <v>0</v>
      </c>
      <c r="AB167" s="207">
        <f>SUMIFS('апрель 2023'!$G$4:$G$692,'апрель 2023'!$D$4:$D$692,$B167,'апрель 2023'!$J$4:$J$692,AB$1)</f>
        <v>0</v>
      </c>
      <c r="AC167" s="207">
        <f>SUMIFS('апрель 2023'!$G$4:$G$692,'апрель 2023'!$D$4:$D$692,$B167,'апрель 2023'!$J$4:$J$692,AC$1)</f>
        <v>0</v>
      </c>
      <c r="AD167" s="207">
        <f>SUMIFS('апрель 2023'!$G$4:$G$692,'апрель 2023'!$D$4:$D$692,$B167,'апрель 2023'!$J$4:$J$692,AD$1)</f>
        <v>0</v>
      </c>
      <c r="AE167" s="207">
        <f>SUMIFS('апрель 2023'!$G$4:$G$692,'апрель 2023'!$D$4:$D$692,$B167,'апрель 2023'!$J$4:$J$692,AE$1)</f>
        <v>0</v>
      </c>
      <c r="AF167" s="207">
        <f>SUMIFS('апрель 2023'!$G$4:$G$692,'апрель 2023'!$D$4:$D$692,$B167,'апрель 2023'!$J$4:$J$692,AF$1)</f>
        <v>0</v>
      </c>
      <c r="AG167" s="207">
        <f>SUMIFS('апрель 2023'!$G$4:$G$692,'апрель 2023'!$D$4:$D$692,$B167,'апрель 2023'!$J$4:$J$692,AG$1)</f>
        <v>0</v>
      </c>
      <c r="AH167" s="207">
        <f>SUMIFS('апрель 2023'!$G$4:$G$692,'апрель 2023'!$D$4:$D$692,$B167,'апрель 2023'!$J$4:$J$692,AH$1)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SUMIFS('апрель 2023'!$G$4:$G$692,'апрель 2023'!$D$4:$D$692,$B168,'апрель 2023'!$J$4:$J$692,D$1)</f>
        <v>0</v>
      </c>
      <c r="E168" s="207">
        <f>SUMIFS('апрель 2023'!$G$4:$G$692,'апрель 2023'!$D$4:$D$692,$B168,'апрель 2023'!$J$4:$J$692,E$1)</f>
        <v>0</v>
      </c>
      <c r="F168" s="207">
        <f>SUMIFS('апрель 2023'!$G$4:$G$692,'апрель 2023'!$D$4:$D$692,$B168,'апрель 2023'!$J$4:$J$692,F$1)</f>
        <v>0</v>
      </c>
      <c r="G168" s="207">
        <f>SUMIFS('апрель 2023'!$G$4:$G$692,'апрель 2023'!$D$4:$D$692,$B168,'апрель 2023'!$J$4:$J$692,G$1)</f>
        <v>0</v>
      </c>
      <c r="H168" s="207">
        <f>SUMIFS('апрель 2023'!$G$4:$G$692,'апрель 2023'!$D$4:$D$692,$B168,'апрель 2023'!$J$4:$J$692,H$1)</f>
        <v>0</v>
      </c>
      <c r="I168" s="207">
        <f>SUMIFS('апрель 2023'!$G$4:$G$692,'апрель 2023'!$D$4:$D$692,$B168,'апрель 2023'!$J$4:$J$692,I$1)</f>
        <v>0</v>
      </c>
      <c r="J168" s="207">
        <f>SUMIFS('апрель 2023'!$G$4:$G$692,'апрель 2023'!$D$4:$D$692,$B168,'апрель 2023'!$J$4:$J$692,J$1)</f>
        <v>0</v>
      </c>
      <c r="K168" s="207">
        <f>SUMIFS('апрель 2023'!$G$4:$G$692,'апрель 2023'!$D$4:$D$692,$B168,'апрель 2023'!$J$4:$J$692,K$1)</f>
        <v>0</v>
      </c>
      <c r="L168" s="207">
        <f>SUMIFS('апрель 2023'!$G$4:$G$692,'апрель 2023'!$D$4:$D$692,$B168,'апрель 2023'!$J$4:$J$692,L$1)</f>
        <v>0</v>
      </c>
      <c r="M168" s="207">
        <f>SUMIFS('апрель 2023'!$G$4:$G$692,'апрель 2023'!$D$4:$D$692,$B168,'апрель 2023'!$J$4:$J$692,M$1)</f>
        <v>0</v>
      </c>
      <c r="N168" s="207">
        <f>SUMIFS('апрель 2023'!$G$4:$G$692,'апрель 2023'!$D$4:$D$692,$B168,'апрель 2023'!$J$4:$J$692,N$1)</f>
        <v>0</v>
      </c>
      <c r="O168" s="207">
        <f>SUMIFS('апрель 2023'!$G$4:$G$692,'апрель 2023'!$D$4:$D$692,$B168,'апрель 2023'!$J$4:$J$692,O$1)</f>
        <v>0</v>
      </c>
      <c r="P168" s="207">
        <f>SUMIFS('апрель 2023'!$G$4:$G$692,'апрель 2023'!$D$4:$D$692,$B168,'апрель 2023'!$J$4:$J$692,P$1)</f>
        <v>0</v>
      </c>
      <c r="Q168" s="207">
        <f>SUMIFS('апрель 2023'!$G$4:$G$692,'апрель 2023'!$D$4:$D$692,$B168,'апрель 2023'!$J$4:$J$692,Q$1)</f>
        <v>0</v>
      </c>
      <c r="R168" s="207">
        <f>SUMIFS('апрель 2023'!$G$4:$G$692,'апрель 2023'!$D$4:$D$692,$B168,'апрель 2023'!$J$4:$J$692,R$1)</f>
        <v>0</v>
      </c>
      <c r="S168" s="207">
        <f>SUMIFS('апрель 2023'!$G$4:$G$692,'апрель 2023'!$D$4:$D$692,$B168,'апрель 2023'!$J$4:$J$692,S$1)</f>
        <v>0</v>
      </c>
      <c r="T168" s="207">
        <f>SUMIFS('апрель 2023'!$G$4:$G$692,'апрель 2023'!$D$4:$D$692,$B168,'апрель 2023'!$J$4:$J$692,T$1)</f>
        <v>0</v>
      </c>
      <c r="U168" s="207">
        <f>SUMIFS('апрель 2023'!$G$4:$G$692,'апрель 2023'!$D$4:$D$692,$B168,'апрель 2023'!$J$4:$J$692,U$1)</f>
        <v>0</v>
      </c>
      <c r="V168" s="207">
        <f>SUMIFS('апрель 2023'!$G$4:$G$692,'апрель 2023'!$D$4:$D$692,$B168,'апрель 2023'!$J$4:$J$692,V$1)</f>
        <v>0</v>
      </c>
      <c r="W168" s="207">
        <f>SUMIFS('апрель 2023'!$G$4:$G$692,'апрель 2023'!$D$4:$D$692,$B168,'апрель 2023'!$J$4:$J$692,W$1)</f>
        <v>0</v>
      </c>
      <c r="X168" s="207">
        <f>SUMIFS('апрель 2023'!$G$4:$G$692,'апрель 2023'!$D$4:$D$692,$B168,'апрель 2023'!$J$4:$J$692,X$1)</f>
        <v>0</v>
      </c>
      <c r="Y168" s="207">
        <f>SUMIFS('апрель 2023'!$G$4:$G$692,'апрель 2023'!$D$4:$D$692,$B168,'апрель 2023'!$J$4:$J$692,Y$1)</f>
        <v>0</v>
      </c>
      <c r="Z168" s="207">
        <f>SUMIFS('апрель 2023'!$G$4:$G$692,'апрель 2023'!$D$4:$D$692,$B168,'апрель 2023'!$J$4:$J$692,Z$1)</f>
        <v>0</v>
      </c>
      <c r="AA168" s="207">
        <f>SUMIFS('апрель 2023'!$G$4:$G$692,'апрель 2023'!$D$4:$D$692,$B168,'апрель 2023'!$J$4:$J$692,AA$1)</f>
        <v>0</v>
      </c>
      <c r="AB168" s="207">
        <f>SUMIFS('апрель 2023'!$G$4:$G$692,'апрель 2023'!$D$4:$D$692,$B168,'апрель 2023'!$J$4:$J$692,AB$1)</f>
        <v>0</v>
      </c>
      <c r="AC168" s="207">
        <f>SUMIFS('апрель 2023'!$G$4:$G$692,'апрель 2023'!$D$4:$D$692,$B168,'апрель 2023'!$J$4:$J$692,AC$1)</f>
        <v>0</v>
      </c>
      <c r="AD168" s="207">
        <f>SUMIFS('апрель 2023'!$G$4:$G$692,'апрель 2023'!$D$4:$D$692,$B168,'апрель 2023'!$J$4:$J$692,AD$1)</f>
        <v>0</v>
      </c>
      <c r="AE168" s="207">
        <f>SUMIFS('апрель 2023'!$G$4:$G$692,'апрель 2023'!$D$4:$D$692,$B168,'апрель 2023'!$J$4:$J$692,AE$1)</f>
        <v>0</v>
      </c>
      <c r="AF168" s="207">
        <f>SUMIFS('апрель 2023'!$G$4:$G$692,'апрель 2023'!$D$4:$D$692,$B168,'апрель 2023'!$J$4:$J$692,AF$1)</f>
        <v>0</v>
      </c>
      <c r="AG168" s="207">
        <f>SUMIFS('апрель 2023'!$G$4:$G$692,'апрель 2023'!$D$4:$D$692,$B168,'апрель 2023'!$J$4:$J$692,AG$1)</f>
        <v>0</v>
      </c>
      <c r="AH168" s="207">
        <f>SUMIFS('апрель 2023'!$G$4:$G$692,'апрель 2023'!$D$4:$D$692,$B168,'апрель 2023'!$J$4:$J$692,AH$1)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SUMIFS('апрель 2023'!$G$4:$G$692,'апрель 2023'!$D$4:$D$692,$B169,'апрель 2023'!$J$4:$J$692,D$1)</f>
        <v>0</v>
      </c>
      <c r="E169" s="207">
        <f>SUMIFS('апрель 2023'!$G$4:$G$692,'апрель 2023'!$D$4:$D$692,$B169,'апрель 2023'!$J$4:$J$692,E$1)</f>
        <v>0</v>
      </c>
      <c r="F169" s="207">
        <f>SUMIFS('апрель 2023'!$G$4:$G$692,'апрель 2023'!$D$4:$D$692,$B169,'апрель 2023'!$J$4:$J$692,F$1)</f>
        <v>0</v>
      </c>
      <c r="G169" s="207">
        <f>SUMIFS('апрель 2023'!$G$4:$G$692,'апрель 2023'!$D$4:$D$692,$B169,'апрель 2023'!$J$4:$J$692,G$1)</f>
        <v>0</v>
      </c>
      <c r="H169" s="207">
        <f>SUMIFS('апрель 2023'!$G$4:$G$692,'апрель 2023'!$D$4:$D$692,$B169,'апрель 2023'!$J$4:$J$692,H$1)</f>
        <v>0</v>
      </c>
      <c r="I169" s="207">
        <f>SUMIFS('апрель 2023'!$G$4:$G$692,'апрель 2023'!$D$4:$D$692,$B169,'апрель 2023'!$J$4:$J$692,I$1)</f>
        <v>0</v>
      </c>
      <c r="J169" s="207">
        <f>SUMIFS('апрель 2023'!$G$4:$G$692,'апрель 2023'!$D$4:$D$692,$B169,'апрель 2023'!$J$4:$J$692,J$1)</f>
        <v>0</v>
      </c>
      <c r="K169" s="207">
        <f>SUMIFS('апрель 2023'!$G$4:$G$692,'апрель 2023'!$D$4:$D$692,$B169,'апрель 2023'!$J$4:$J$692,K$1)</f>
        <v>0</v>
      </c>
      <c r="L169" s="207">
        <f>SUMIFS('апрель 2023'!$G$4:$G$692,'апрель 2023'!$D$4:$D$692,$B169,'апрель 2023'!$J$4:$J$692,L$1)</f>
        <v>0</v>
      </c>
      <c r="M169" s="207">
        <f>SUMIFS('апрель 2023'!$G$4:$G$692,'апрель 2023'!$D$4:$D$692,$B169,'апрель 2023'!$J$4:$J$692,M$1)</f>
        <v>0</v>
      </c>
      <c r="N169" s="207">
        <f>SUMIFS('апрель 2023'!$G$4:$G$692,'апрель 2023'!$D$4:$D$692,$B169,'апрель 2023'!$J$4:$J$692,N$1)</f>
        <v>0</v>
      </c>
      <c r="O169" s="207">
        <f>SUMIFS('апрель 2023'!$G$4:$G$692,'апрель 2023'!$D$4:$D$692,$B169,'апрель 2023'!$J$4:$J$692,O$1)</f>
        <v>0</v>
      </c>
      <c r="P169" s="207">
        <f>SUMIFS('апрель 2023'!$G$4:$G$692,'апрель 2023'!$D$4:$D$692,$B169,'апрель 2023'!$J$4:$J$692,P$1)</f>
        <v>0</v>
      </c>
      <c r="Q169" s="207">
        <f>SUMIFS('апрель 2023'!$G$4:$G$692,'апрель 2023'!$D$4:$D$692,$B169,'апрель 2023'!$J$4:$J$692,Q$1)</f>
        <v>0</v>
      </c>
      <c r="R169" s="207">
        <f>SUMIFS('апрель 2023'!$G$4:$G$692,'апрель 2023'!$D$4:$D$692,$B169,'апрель 2023'!$J$4:$J$692,R$1)</f>
        <v>0</v>
      </c>
      <c r="S169" s="207">
        <f>SUMIFS('апрель 2023'!$G$4:$G$692,'апрель 2023'!$D$4:$D$692,$B169,'апрель 2023'!$J$4:$J$692,S$1)</f>
        <v>0</v>
      </c>
      <c r="T169" s="207">
        <f>SUMIFS('апрель 2023'!$G$4:$G$692,'апрель 2023'!$D$4:$D$692,$B169,'апрель 2023'!$J$4:$J$692,T$1)</f>
        <v>0</v>
      </c>
      <c r="U169" s="207">
        <f>SUMIFS('апрель 2023'!$G$4:$G$692,'апрель 2023'!$D$4:$D$692,$B169,'апрель 2023'!$J$4:$J$692,U$1)</f>
        <v>0</v>
      </c>
      <c r="V169" s="207">
        <f>SUMIFS('апрель 2023'!$G$4:$G$692,'апрель 2023'!$D$4:$D$692,$B169,'апрель 2023'!$J$4:$J$692,V$1)</f>
        <v>0</v>
      </c>
      <c r="W169" s="207">
        <f>SUMIFS('апрель 2023'!$G$4:$G$692,'апрель 2023'!$D$4:$D$692,$B169,'апрель 2023'!$J$4:$J$692,W$1)</f>
        <v>0</v>
      </c>
      <c r="X169" s="207">
        <f>SUMIFS('апрель 2023'!$G$4:$G$692,'апрель 2023'!$D$4:$D$692,$B169,'апрель 2023'!$J$4:$J$692,X$1)</f>
        <v>0</v>
      </c>
      <c r="Y169" s="207">
        <f>SUMIFS('апрель 2023'!$G$4:$G$692,'апрель 2023'!$D$4:$D$692,$B169,'апрель 2023'!$J$4:$J$692,Y$1)</f>
        <v>0</v>
      </c>
      <c r="Z169" s="207">
        <f>SUMIFS('апрель 2023'!$G$4:$G$692,'апрель 2023'!$D$4:$D$692,$B169,'апрель 2023'!$J$4:$J$692,Z$1)</f>
        <v>0</v>
      </c>
      <c r="AA169" s="207">
        <f>SUMIFS('апрель 2023'!$G$4:$G$692,'апрель 2023'!$D$4:$D$692,$B169,'апрель 2023'!$J$4:$J$692,AA$1)</f>
        <v>0</v>
      </c>
      <c r="AB169" s="207">
        <f>SUMIFS('апрель 2023'!$G$4:$G$692,'апрель 2023'!$D$4:$D$692,$B169,'апрель 2023'!$J$4:$J$692,AB$1)</f>
        <v>0</v>
      </c>
      <c r="AC169" s="207">
        <f>SUMIFS('апрель 2023'!$G$4:$G$692,'апрель 2023'!$D$4:$D$692,$B169,'апрель 2023'!$J$4:$J$692,AC$1)</f>
        <v>0</v>
      </c>
      <c r="AD169" s="207">
        <f>SUMIFS('апрель 2023'!$G$4:$G$692,'апрель 2023'!$D$4:$D$692,$B169,'апрель 2023'!$J$4:$J$692,AD$1)</f>
        <v>0</v>
      </c>
      <c r="AE169" s="207">
        <f>SUMIFS('апрель 2023'!$G$4:$G$692,'апрель 2023'!$D$4:$D$692,$B169,'апрель 2023'!$J$4:$J$692,AE$1)</f>
        <v>0</v>
      </c>
      <c r="AF169" s="207">
        <f>SUMIFS('апрель 2023'!$G$4:$G$692,'апрель 2023'!$D$4:$D$692,$B169,'апрель 2023'!$J$4:$J$692,AF$1)</f>
        <v>0</v>
      </c>
      <c r="AG169" s="207">
        <f>SUMIFS('апрель 2023'!$G$4:$G$692,'апрель 2023'!$D$4:$D$692,$B169,'апрель 2023'!$J$4:$J$692,AG$1)</f>
        <v>0</v>
      </c>
      <c r="AH169" s="207">
        <f>SUMIFS('апрель 2023'!$G$4:$G$692,'апрель 2023'!$D$4:$D$692,$B169,'апрель 2023'!$J$4:$J$692,AH$1)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SUMIFS('апрель 2023'!$G$4:$G$692,'апрель 2023'!$D$4:$D$692,$B170,'апрель 2023'!$J$4:$J$692,D$1)</f>
        <v>0</v>
      </c>
      <c r="E170" s="207">
        <f>SUMIFS('апрель 2023'!$G$4:$G$692,'апрель 2023'!$D$4:$D$692,$B170,'апрель 2023'!$J$4:$J$692,E$1)</f>
        <v>0</v>
      </c>
      <c r="F170" s="207">
        <f>SUMIFS('апрель 2023'!$G$4:$G$692,'апрель 2023'!$D$4:$D$692,$B170,'апрель 2023'!$J$4:$J$692,F$1)</f>
        <v>0</v>
      </c>
      <c r="G170" s="207">
        <f>SUMIFS('апрель 2023'!$G$4:$G$692,'апрель 2023'!$D$4:$D$692,$B170,'апрель 2023'!$J$4:$J$692,G$1)</f>
        <v>0</v>
      </c>
      <c r="H170" s="207">
        <f>SUMIFS('апрель 2023'!$G$4:$G$692,'апрель 2023'!$D$4:$D$692,$B170,'апрель 2023'!$J$4:$J$692,H$1)</f>
        <v>0</v>
      </c>
      <c r="I170" s="207">
        <f>SUMIFS('апрель 2023'!$G$4:$G$692,'апрель 2023'!$D$4:$D$692,$B170,'апрель 2023'!$J$4:$J$692,I$1)</f>
        <v>0</v>
      </c>
      <c r="J170" s="207">
        <f>SUMIFS('апрель 2023'!$G$4:$G$692,'апрель 2023'!$D$4:$D$692,$B170,'апрель 2023'!$J$4:$J$692,J$1)</f>
        <v>0</v>
      </c>
      <c r="K170" s="207">
        <f>SUMIFS('апрель 2023'!$G$4:$G$692,'апрель 2023'!$D$4:$D$692,$B170,'апрель 2023'!$J$4:$J$692,K$1)</f>
        <v>0</v>
      </c>
      <c r="L170" s="207">
        <f>SUMIFS('апрель 2023'!$G$4:$G$692,'апрель 2023'!$D$4:$D$692,$B170,'апрель 2023'!$J$4:$J$692,L$1)</f>
        <v>0</v>
      </c>
      <c r="M170" s="207">
        <f>SUMIFS('апрель 2023'!$G$4:$G$692,'апрель 2023'!$D$4:$D$692,$B170,'апрель 2023'!$J$4:$J$692,M$1)</f>
        <v>0</v>
      </c>
      <c r="N170" s="207">
        <f>SUMIFS('апрель 2023'!$G$4:$G$692,'апрель 2023'!$D$4:$D$692,$B170,'апрель 2023'!$J$4:$J$692,N$1)</f>
        <v>0</v>
      </c>
      <c r="O170" s="207">
        <f>SUMIFS('апрель 2023'!$G$4:$G$692,'апрель 2023'!$D$4:$D$692,$B170,'апрель 2023'!$J$4:$J$692,O$1)</f>
        <v>0</v>
      </c>
      <c r="P170" s="207">
        <f>SUMIFS('апрель 2023'!$G$4:$G$692,'апрель 2023'!$D$4:$D$692,$B170,'апрель 2023'!$J$4:$J$692,P$1)</f>
        <v>0</v>
      </c>
      <c r="Q170" s="207">
        <f>SUMIFS('апрель 2023'!$G$4:$G$692,'апрель 2023'!$D$4:$D$692,$B170,'апрель 2023'!$J$4:$J$692,Q$1)</f>
        <v>0</v>
      </c>
      <c r="R170" s="207">
        <f>SUMIFS('апрель 2023'!$G$4:$G$692,'апрель 2023'!$D$4:$D$692,$B170,'апрель 2023'!$J$4:$J$692,R$1)</f>
        <v>0</v>
      </c>
      <c r="S170" s="207">
        <f>SUMIFS('апрель 2023'!$G$4:$G$692,'апрель 2023'!$D$4:$D$692,$B170,'апрель 2023'!$J$4:$J$692,S$1)</f>
        <v>0</v>
      </c>
      <c r="T170" s="207">
        <f>SUMIFS('апрель 2023'!$G$4:$G$692,'апрель 2023'!$D$4:$D$692,$B170,'апрель 2023'!$J$4:$J$692,T$1)</f>
        <v>0</v>
      </c>
      <c r="U170" s="207">
        <f>SUMIFS('апрель 2023'!$G$4:$G$692,'апрель 2023'!$D$4:$D$692,$B170,'апрель 2023'!$J$4:$J$692,U$1)</f>
        <v>0</v>
      </c>
      <c r="V170" s="207">
        <f>SUMIFS('апрель 2023'!$G$4:$G$692,'апрель 2023'!$D$4:$D$692,$B170,'апрель 2023'!$J$4:$J$692,V$1)</f>
        <v>0</v>
      </c>
      <c r="W170" s="207">
        <f>SUMIFS('апрель 2023'!$G$4:$G$692,'апрель 2023'!$D$4:$D$692,$B170,'апрель 2023'!$J$4:$J$692,W$1)</f>
        <v>0</v>
      </c>
      <c r="X170" s="207">
        <f>SUMIFS('апрель 2023'!$G$4:$G$692,'апрель 2023'!$D$4:$D$692,$B170,'апрель 2023'!$J$4:$J$692,X$1)</f>
        <v>0</v>
      </c>
      <c r="Y170" s="207">
        <f>SUMIFS('апрель 2023'!$G$4:$G$692,'апрель 2023'!$D$4:$D$692,$B170,'апрель 2023'!$J$4:$J$692,Y$1)</f>
        <v>0</v>
      </c>
      <c r="Z170" s="207">
        <f>SUMIFS('апрель 2023'!$G$4:$G$692,'апрель 2023'!$D$4:$D$692,$B170,'апрель 2023'!$J$4:$J$692,Z$1)</f>
        <v>0</v>
      </c>
      <c r="AA170" s="207">
        <f>SUMIFS('апрель 2023'!$G$4:$G$692,'апрель 2023'!$D$4:$D$692,$B170,'апрель 2023'!$J$4:$J$692,AA$1)</f>
        <v>0</v>
      </c>
      <c r="AB170" s="207">
        <f>SUMIFS('апрель 2023'!$G$4:$G$692,'апрель 2023'!$D$4:$D$692,$B170,'апрель 2023'!$J$4:$J$692,AB$1)</f>
        <v>0</v>
      </c>
      <c r="AC170" s="207">
        <f>SUMIFS('апрель 2023'!$G$4:$G$692,'апрель 2023'!$D$4:$D$692,$B170,'апрель 2023'!$J$4:$J$692,AC$1)</f>
        <v>0</v>
      </c>
      <c r="AD170" s="207">
        <f>SUMIFS('апрель 2023'!$G$4:$G$692,'апрель 2023'!$D$4:$D$692,$B170,'апрель 2023'!$J$4:$J$692,AD$1)</f>
        <v>0</v>
      </c>
      <c r="AE170" s="207">
        <f>SUMIFS('апрель 2023'!$G$4:$G$692,'апрель 2023'!$D$4:$D$692,$B170,'апрель 2023'!$J$4:$J$692,AE$1)</f>
        <v>0</v>
      </c>
      <c r="AF170" s="207">
        <f>SUMIFS('апрель 2023'!$G$4:$G$692,'апрель 2023'!$D$4:$D$692,$B170,'апрель 2023'!$J$4:$J$692,AF$1)</f>
        <v>0</v>
      </c>
      <c r="AG170" s="207">
        <f>SUMIFS('апрель 2023'!$G$4:$G$692,'апрель 2023'!$D$4:$D$692,$B170,'апрель 2023'!$J$4:$J$692,AG$1)</f>
        <v>0</v>
      </c>
      <c r="AH170" s="207">
        <f>SUMIFS('апрель 2023'!$G$4:$G$692,'апрель 2023'!$D$4:$D$692,$B170,'апрель 2023'!$J$4:$J$692,AH$1)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SUMIFS('апрель 2023'!$G$4:$G$692,'апрель 2023'!$D$4:$D$692,$B171,'апрель 2023'!$J$4:$J$692,D$1)</f>
        <v>0</v>
      </c>
      <c r="E171" s="207">
        <f>SUMIFS('апрель 2023'!$G$4:$G$692,'апрель 2023'!$D$4:$D$692,$B171,'апрель 2023'!$J$4:$J$692,E$1)</f>
        <v>0</v>
      </c>
      <c r="F171" s="207">
        <f>SUMIFS('апрель 2023'!$G$4:$G$692,'апрель 2023'!$D$4:$D$692,$B171,'апрель 2023'!$J$4:$J$692,F$1)</f>
        <v>0</v>
      </c>
      <c r="G171" s="207">
        <f>SUMIFS('апрель 2023'!$G$4:$G$692,'апрель 2023'!$D$4:$D$692,$B171,'апрель 2023'!$J$4:$J$692,G$1)</f>
        <v>0</v>
      </c>
      <c r="H171" s="207">
        <f>SUMIFS('апрель 2023'!$G$4:$G$692,'апрель 2023'!$D$4:$D$692,$B171,'апрель 2023'!$J$4:$J$692,H$1)</f>
        <v>0</v>
      </c>
      <c r="I171" s="207">
        <f>SUMIFS('апрель 2023'!$G$4:$G$692,'апрель 2023'!$D$4:$D$692,$B171,'апрель 2023'!$J$4:$J$692,I$1)</f>
        <v>0</v>
      </c>
      <c r="J171" s="207">
        <f>SUMIFS('апрель 2023'!$G$4:$G$692,'апрель 2023'!$D$4:$D$692,$B171,'апрель 2023'!$J$4:$J$692,J$1)</f>
        <v>0</v>
      </c>
      <c r="K171" s="207">
        <f>SUMIFS('апрель 2023'!$G$4:$G$692,'апрель 2023'!$D$4:$D$692,$B171,'апрель 2023'!$J$4:$J$692,K$1)</f>
        <v>0</v>
      </c>
      <c r="L171" s="207">
        <f>SUMIFS('апрель 2023'!$G$4:$G$692,'апрель 2023'!$D$4:$D$692,$B171,'апрель 2023'!$J$4:$J$692,L$1)</f>
        <v>0</v>
      </c>
      <c r="M171" s="207">
        <f>SUMIFS('апрель 2023'!$G$4:$G$692,'апрель 2023'!$D$4:$D$692,$B171,'апрель 2023'!$J$4:$J$692,M$1)</f>
        <v>0</v>
      </c>
      <c r="N171" s="207">
        <f>SUMIFS('апрель 2023'!$G$4:$G$692,'апрель 2023'!$D$4:$D$692,$B171,'апрель 2023'!$J$4:$J$692,N$1)</f>
        <v>0</v>
      </c>
      <c r="O171" s="207">
        <f>SUMIFS('апрель 2023'!$G$4:$G$692,'апрель 2023'!$D$4:$D$692,$B171,'апрель 2023'!$J$4:$J$692,O$1)</f>
        <v>0</v>
      </c>
      <c r="P171" s="207">
        <f>SUMIFS('апрель 2023'!$G$4:$G$692,'апрель 2023'!$D$4:$D$692,$B171,'апрель 2023'!$J$4:$J$692,P$1)</f>
        <v>0</v>
      </c>
      <c r="Q171" s="207">
        <f>SUMIFS('апрель 2023'!$G$4:$G$692,'апрель 2023'!$D$4:$D$692,$B171,'апрель 2023'!$J$4:$J$692,Q$1)</f>
        <v>0</v>
      </c>
      <c r="R171" s="207">
        <f>SUMIFS('апрель 2023'!$G$4:$G$692,'апрель 2023'!$D$4:$D$692,$B171,'апрель 2023'!$J$4:$J$692,R$1)</f>
        <v>0</v>
      </c>
      <c r="S171" s="207">
        <f>SUMIFS('апрель 2023'!$G$4:$G$692,'апрель 2023'!$D$4:$D$692,$B171,'апрель 2023'!$J$4:$J$692,S$1)</f>
        <v>0</v>
      </c>
      <c r="T171" s="207">
        <f>SUMIFS('апрель 2023'!$G$4:$G$692,'апрель 2023'!$D$4:$D$692,$B171,'апрель 2023'!$J$4:$J$692,T$1)</f>
        <v>0</v>
      </c>
      <c r="U171" s="207">
        <f>SUMIFS('апрель 2023'!$G$4:$G$692,'апрель 2023'!$D$4:$D$692,$B171,'апрель 2023'!$J$4:$J$692,U$1)</f>
        <v>0</v>
      </c>
      <c r="V171" s="207">
        <f>SUMIFS('апрель 2023'!$G$4:$G$692,'апрель 2023'!$D$4:$D$692,$B171,'апрель 2023'!$J$4:$J$692,V$1)</f>
        <v>0</v>
      </c>
      <c r="W171" s="207">
        <f>SUMIFS('апрель 2023'!$G$4:$G$692,'апрель 2023'!$D$4:$D$692,$B171,'апрель 2023'!$J$4:$J$692,W$1)</f>
        <v>0</v>
      </c>
      <c r="X171" s="207">
        <f>SUMIFS('апрель 2023'!$G$4:$G$692,'апрель 2023'!$D$4:$D$692,$B171,'апрель 2023'!$J$4:$J$692,X$1)</f>
        <v>0</v>
      </c>
      <c r="Y171" s="207">
        <f>SUMIFS('апрель 2023'!$G$4:$G$692,'апрель 2023'!$D$4:$D$692,$B171,'апрель 2023'!$J$4:$J$692,Y$1)</f>
        <v>0</v>
      </c>
      <c r="Z171" s="207">
        <f>SUMIFS('апрель 2023'!$G$4:$G$692,'апрель 2023'!$D$4:$D$692,$B171,'апрель 2023'!$J$4:$J$692,Z$1)</f>
        <v>0</v>
      </c>
      <c r="AA171" s="207">
        <f>SUMIFS('апрель 2023'!$G$4:$G$692,'апрель 2023'!$D$4:$D$692,$B171,'апрель 2023'!$J$4:$J$692,AA$1)</f>
        <v>0</v>
      </c>
      <c r="AB171" s="207">
        <f>SUMIFS('апрель 2023'!$G$4:$G$692,'апрель 2023'!$D$4:$D$692,$B171,'апрель 2023'!$J$4:$J$692,AB$1)</f>
        <v>0</v>
      </c>
      <c r="AC171" s="207">
        <f>SUMIFS('апрель 2023'!$G$4:$G$692,'апрель 2023'!$D$4:$D$692,$B171,'апрель 2023'!$J$4:$J$692,AC$1)</f>
        <v>0</v>
      </c>
      <c r="AD171" s="207">
        <f>SUMIFS('апрель 2023'!$G$4:$G$692,'апрель 2023'!$D$4:$D$692,$B171,'апрель 2023'!$J$4:$J$692,AD$1)</f>
        <v>0</v>
      </c>
      <c r="AE171" s="207">
        <f>SUMIFS('апрель 2023'!$G$4:$G$692,'апрель 2023'!$D$4:$D$692,$B171,'апрель 2023'!$J$4:$J$692,AE$1)</f>
        <v>0</v>
      </c>
      <c r="AF171" s="207">
        <f>SUMIFS('апрель 2023'!$G$4:$G$692,'апрель 2023'!$D$4:$D$692,$B171,'апрель 2023'!$J$4:$J$692,AF$1)</f>
        <v>0</v>
      </c>
      <c r="AG171" s="207">
        <f>SUMIFS('апрель 2023'!$G$4:$G$692,'апрель 2023'!$D$4:$D$692,$B171,'апрель 2023'!$J$4:$J$692,AG$1)</f>
        <v>0</v>
      </c>
      <c r="AH171" s="207">
        <f>SUMIFS('апрель 2023'!$G$4:$G$692,'апрель 2023'!$D$4:$D$692,$B171,'апрель 2023'!$J$4:$J$692,AH$1)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SUMIFS('апрель 2023'!$G$4:$G$692,'апрель 2023'!$D$4:$D$692,$B172,'апрель 2023'!$J$4:$J$692,D$1)</f>
        <v>0</v>
      </c>
      <c r="E172" s="207">
        <f>SUMIFS('апрель 2023'!$G$4:$G$692,'апрель 2023'!$D$4:$D$692,$B172,'апрель 2023'!$J$4:$J$692,E$1)</f>
        <v>0</v>
      </c>
      <c r="F172" s="207">
        <f>SUMIFS('апрель 2023'!$G$4:$G$692,'апрель 2023'!$D$4:$D$692,$B172,'апрель 2023'!$J$4:$J$692,F$1)</f>
        <v>0</v>
      </c>
      <c r="G172" s="207">
        <f>SUMIFS('апрель 2023'!$G$4:$G$692,'апрель 2023'!$D$4:$D$692,$B172,'апрель 2023'!$J$4:$J$692,G$1)</f>
        <v>0</v>
      </c>
      <c r="H172" s="207">
        <f>SUMIFS('апрель 2023'!$G$4:$G$692,'апрель 2023'!$D$4:$D$692,$B172,'апрель 2023'!$J$4:$J$692,H$1)</f>
        <v>0</v>
      </c>
      <c r="I172" s="207">
        <f>SUMIFS('апрель 2023'!$G$4:$G$692,'апрель 2023'!$D$4:$D$692,$B172,'апрель 2023'!$J$4:$J$692,I$1)</f>
        <v>0</v>
      </c>
      <c r="J172" s="207">
        <f>SUMIFS('апрель 2023'!$G$4:$G$692,'апрель 2023'!$D$4:$D$692,$B172,'апрель 2023'!$J$4:$J$692,J$1)</f>
        <v>0</v>
      </c>
      <c r="K172" s="207">
        <f>SUMIFS('апрель 2023'!$G$4:$G$692,'апрель 2023'!$D$4:$D$692,$B172,'апрель 2023'!$J$4:$J$692,K$1)</f>
        <v>0</v>
      </c>
      <c r="L172" s="207">
        <f>SUMIFS('апрель 2023'!$G$4:$G$692,'апрель 2023'!$D$4:$D$692,$B172,'апрель 2023'!$J$4:$J$692,L$1)</f>
        <v>0</v>
      </c>
      <c r="M172" s="207">
        <f>SUMIFS('апрель 2023'!$G$4:$G$692,'апрель 2023'!$D$4:$D$692,$B172,'апрель 2023'!$J$4:$J$692,M$1)</f>
        <v>0</v>
      </c>
      <c r="N172" s="207">
        <f>SUMIFS('апрель 2023'!$G$4:$G$692,'апрель 2023'!$D$4:$D$692,$B172,'апрель 2023'!$J$4:$J$692,N$1)</f>
        <v>0</v>
      </c>
      <c r="O172" s="207">
        <f>SUMIFS('апрель 2023'!$G$4:$G$692,'апрель 2023'!$D$4:$D$692,$B172,'апрель 2023'!$J$4:$J$692,O$1)</f>
        <v>0</v>
      </c>
      <c r="P172" s="207">
        <f>SUMIFS('апрель 2023'!$G$4:$G$692,'апрель 2023'!$D$4:$D$692,$B172,'апрель 2023'!$J$4:$J$692,P$1)</f>
        <v>0</v>
      </c>
      <c r="Q172" s="207">
        <f>SUMIFS('апрель 2023'!$G$4:$G$692,'апрель 2023'!$D$4:$D$692,$B172,'апрель 2023'!$J$4:$J$692,Q$1)</f>
        <v>0</v>
      </c>
      <c r="R172" s="207">
        <f>SUMIFS('апрель 2023'!$G$4:$G$692,'апрель 2023'!$D$4:$D$692,$B172,'апрель 2023'!$J$4:$J$692,R$1)</f>
        <v>0</v>
      </c>
      <c r="S172" s="207">
        <f>SUMIFS('апрель 2023'!$G$4:$G$692,'апрель 2023'!$D$4:$D$692,$B172,'апрель 2023'!$J$4:$J$692,S$1)</f>
        <v>0</v>
      </c>
      <c r="T172" s="207">
        <f>SUMIFS('апрель 2023'!$G$4:$G$692,'апрель 2023'!$D$4:$D$692,$B172,'апрель 2023'!$J$4:$J$692,T$1)</f>
        <v>0</v>
      </c>
      <c r="U172" s="207">
        <f>SUMIFS('апрель 2023'!$G$4:$G$692,'апрель 2023'!$D$4:$D$692,$B172,'апрель 2023'!$J$4:$J$692,U$1)</f>
        <v>0</v>
      </c>
      <c r="V172" s="207">
        <f>SUMIFS('апрель 2023'!$G$4:$G$692,'апрель 2023'!$D$4:$D$692,$B172,'апрель 2023'!$J$4:$J$692,V$1)</f>
        <v>0</v>
      </c>
      <c r="W172" s="207">
        <f>SUMIFS('апрель 2023'!$G$4:$G$692,'апрель 2023'!$D$4:$D$692,$B172,'апрель 2023'!$J$4:$J$692,W$1)</f>
        <v>0</v>
      </c>
      <c r="X172" s="207">
        <f>SUMIFS('апрель 2023'!$G$4:$G$692,'апрель 2023'!$D$4:$D$692,$B172,'апрель 2023'!$J$4:$J$692,X$1)</f>
        <v>0</v>
      </c>
      <c r="Y172" s="207">
        <f>SUMIFS('апрель 2023'!$G$4:$G$692,'апрель 2023'!$D$4:$D$692,$B172,'апрель 2023'!$J$4:$J$692,Y$1)</f>
        <v>0</v>
      </c>
      <c r="Z172" s="207">
        <f>SUMIFS('апрель 2023'!$G$4:$G$692,'апрель 2023'!$D$4:$D$692,$B172,'апрель 2023'!$J$4:$J$692,Z$1)</f>
        <v>0</v>
      </c>
      <c r="AA172" s="207">
        <f>SUMIFS('апрель 2023'!$G$4:$G$692,'апрель 2023'!$D$4:$D$692,$B172,'апрель 2023'!$J$4:$J$692,AA$1)</f>
        <v>0</v>
      </c>
      <c r="AB172" s="207">
        <f>SUMIFS('апрель 2023'!$G$4:$G$692,'апрель 2023'!$D$4:$D$692,$B172,'апрель 2023'!$J$4:$J$692,AB$1)</f>
        <v>0</v>
      </c>
      <c r="AC172" s="207">
        <f>SUMIFS('апрель 2023'!$G$4:$G$692,'апрель 2023'!$D$4:$D$692,$B172,'апрель 2023'!$J$4:$J$692,AC$1)</f>
        <v>0</v>
      </c>
      <c r="AD172" s="207">
        <f>SUMIFS('апрель 2023'!$G$4:$G$692,'апрель 2023'!$D$4:$D$692,$B172,'апрель 2023'!$J$4:$J$692,AD$1)</f>
        <v>0</v>
      </c>
      <c r="AE172" s="207">
        <f>SUMIFS('апрель 2023'!$G$4:$G$692,'апрель 2023'!$D$4:$D$692,$B172,'апрель 2023'!$J$4:$J$692,AE$1)</f>
        <v>0</v>
      </c>
      <c r="AF172" s="207">
        <f>SUMIFS('апрель 2023'!$G$4:$G$692,'апрель 2023'!$D$4:$D$692,$B172,'апрель 2023'!$J$4:$J$692,AF$1)</f>
        <v>0</v>
      </c>
      <c r="AG172" s="207">
        <f>SUMIFS('апрель 2023'!$G$4:$G$692,'апрель 2023'!$D$4:$D$692,$B172,'апрель 2023'!$J$4:$J$692,AG$1)</f>
        <v>0</v>
      </c>
      <c r="AH172" s="207">
        <f>SUMIFS('апрель 2023'!$G$4:$G$692,'апрель 2023'!$D$4:$D$692,$B172,'апрель 2023'!$J$4:$J$692,AH$1)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SUMIFS('апрель 2023'!$G$4:$G$692,'апрель 2023'!$D$4:$D$692,$B173,'апрель 2023'!$J$4:$J$692,D$1)</f>
        <v>0</v>
      </c>
      <c r="E173" s="207">
        <f>SUMIFS('апрель 2023'!$G$4:$G$692,'апрель 2023'!$D$4:$D$692,$B173,'апрель 2023'!$J$4:$J$692,E$1)</f>
        <v>0</v>
      </c>
      <c r="F173" s="207">
        <f>SUMIFS('апрель 2023'!$G$4:$G$692,'апрель 2023'!$D$4:$D$692,$B173,'апрель 2023'!$J$4:$J$692,F$1)</f>
        <v>0</v>
      </c>
      <c r="G173" s="207">
        <f>SUMIFS('апрель 2023'!$G$4:$G$692,'апрель 2023'!$D$4:$D$692,$B173,'апрель 2023'!$J$4:$J$692,G$1)</f>
        <v>0</v>
      </c>
      <c r="H173" s="207">
        <f>SUMIFS('апрель 2023'!$G$4:$G$692,'апрель 2023'!$D$4:$D$692,$B173,'апрель 2023'!$J$4:$J$692,H$1)</f>
        <v>0</v>
      </c>
      <c r="I173" s="207">
        <f>SUMIFS('апрель 2023'!$G$4:$G$692,'апрель 2023'!$D$4:$D$692,$B173,'апрель 2023'!$J$4:$J$692,I$1)</f>
        <v>0</v>
      </c>
      <c r="J173" s="207">
        <f>SUMIFS('апрель 2023'!$G$4:$G$692,'апрель 2023'!$D$4:$D$692,$B173,'апрель 2023'!$J$4:$J$692,J$1)</f>
        <v>0</v>
      </c>
      <c r="K173" s="207">
        <f>SUMIFS('апрель 2023'!$G$4:$G$692,'апрель 2023'!$D$4:$D$692,$B173,'апрель 2023'!$J$4:$J$692,K$1)</f>
        <v>0</v>
      </c>
      <c r="L173" s="207">
        <f>SUMIFS('апрель 2023'!$G$4:$G$692,'апрель 2023'!$D$4:$D$692,$B173,'апрель 2023'!$J$4:$J$692,L$1)</f>
        <v>0</v>
      </c>
      <c r="M173" s="207">
        <f>SUMIFS('апрель 2023'!$G$4:$G$692,'апрель 2023'!$D$4:$D$692,$B173,'апрель 2023'!$J$4:$J$692,M$1)</f>
        <v>0</v>
      </c>
      <c r="N173" s="207">
        <f>SUMIFS('апрель 2023'!$G$4:$G$692,'апрель 2023'!$D$4:$D$692,$B173,'апрель 2023'!$J$4:$J$692,N$1)</f>
        <v>0</v>
      </c>
      <c r="O173" s="207">
        <f>SUMIFS('апрель 2023'!$G$4:$G$692,'апрель 2023'!$D$4:$D$692,$B173,'апрель 2023'!$J$4:$J$692,O$1)</f>
        <v>0</v>
      </c>
      <c r="P173" s="207">
        <f>SUMIFS('апрель 2023'!$G$4:$G$692,'апрель 2023'!$D$4:$D$692,$B173,'апрель 2023'!$J$4:$J$692,P$1)</f>
        <v>0</v>
      </c>
      <c r="Q173" s="207">
        <f>SUMIFS('апрель 2023'!$G$4:$G$692,'апрель 2023'!$D$4:$D$692,$B173,'апрель 2023'!$J$4:$J$692,Q$1)</f>
        <v>0</v>
      </c>
      <c r="R173" s="207">
        <f>SUMIFS('апрель 2023'!$G$4:$G$692,'апрель 2023'!$D$4:$D$692,$B173,'апрель 2023'!$J$4:$J$692,R$1)</f>
        <v>0</v>
      </c>
      <c r="S173" s="207">
        <f>SUMIFS('апрель 2023'!$G$4:$G$692,'апрель 2023'!$D$4:$D$692,$B173,'апрель 2023'!$J$4:$J$692,S$1)</f>
        <v>0</v>
      </c>
      <c r="T173" s="207">
        <f>SUMIFS('апрель 2023'!$G$4:$G$692,'апрель 2023'!$D$4:$D$692,$B173,'апрель 2023'!$J$4:$J$692,T$1)</f>
        <v>0</v>
      </c>
      <c r="U173" s="207">
        <f>SUMIFS('апрель 2023'!$G$4:$G$692,'апрель 2023'!$D$4:$D$692,$B173,'апрель 2023'!$J$4:$J$692,U$1)</f>
        <v>0</v>
      </c>
      <c r="V173" s="207">
        <f>SUMIFS('апрель 2023'!$G$4:$G$692,'апрель 2023'!$D$4:$D$692,$B173,'апрель 2023'!$J$4:$J$692,V$1)</f>
        <v>0</v>
      </c>
      <c r="W173" s="207">
        <f>SUMIFS('апрель 2023'!$G$4:$G$692,'апрель 2023'!$D$4:$D$692,$B173,'апрель 2023'!$J$4:$J$692,W$1)</f>
        <v>0</v>
      </c>
      <c r="X173" s="207">
        <f>SUMIFS('апрель 2023'!$G$4:$G$692,'апрель 2023'!$D$4:$D$692,$B173,'апрель 2023'!$J$4:$J$692,X$1)</f>
        <v>0</v>
      </c>
      <c r="Y173" s="207">
        <f>SUMIFS('апрель 2023'!$G$4:$G$692,'апрель 2023'!$D$4:$D$692,$B173,'апрель 2023'!$J$4:$J$692,Y$1)</f>
        <v>0</v>
      </c>
      <c r="Z173" s="207">
        <f>SUMIFS('апрель 2023'!$G$4:$G$692,'апрель 2023'!$D$4:$D$692,$B173,'апрель 2023'!$J$4:$J$692,Z$1)</f>
        <v>0</v>
      </c>
      <c r="AA173" s="207">
        <f>SUMIFS('апрель 2023'!$G$4:$G$692,'апрель 2023'!$D$4:$D$692,$B173,'апрель 2023'!$J$4:$J$692,AA$1)</f>
        <v>0</v>
      </c>
      <c r="AB173" s="207">
        <f>SUMIFS('апрель 2023'!$G$4:$G$692,'апрель 2023'!$D$4:$D$692,$B173,'апрель 2023'!$J$4:$J$692,AB$1)</f>
        <v>0</v>
      </c>
      <c r="AC173" s="207">
        <f>SUMIFS('апрель 2023'!$G$4:$G$692,'апрель 2023'!$D$4:$D$692,$B173,'апрель 2023'!$J$4:$J$692,AC$1)</f>
        <v>0</v>
      </c>
      <c r="AD173" s="207">
        <f>SUMIFS('апрель 2023'!$G$4:$G$692,'апрель 2023'!$D$4:$D$692,$B173,'апрель 2023'!$J$4:$J$692,AD$1)</f>
        <v>0</v>
      </c>
      <c r="AE173" s="207">
        <f>SUMIFS('апрель 2023'!$G$4:$G$692,'апрель 2023'!$D$4:$D$692,$B173,'апрель 2023'!$J$4:$J$692,AE$1)</f>
        <v>0</v>
      </c>
      <c r="AF173" s="207">
        <f>SUMIFS('апрель 2023'!$G$4:$G$692,'апрель 2023'!$D$4:$D$692,$B173,'апрель 2023'!$J$4:$J$692,AF$1)</f>
        <v>0</v>
      </c>
      <c r="AG173" s="207">
        <f>SUMIFS('апрель 2023'!$G$4:$G$692,'апрель 2023'!$D$4:$D$692,$B173,'апрель 2023'!$J$4:$J$692,AG$1)</f>
        <v>0</v>
      </c>
      <c r="AH173" s="207">
        <f>SUMIFS('апрель 2023'!$G$4:$G$692,'апрель 2023'!$D$4:$D$692,$B173,'апрель 2023'!$J$4:$J$692,AH$1)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SUMIFS('апрель 2023'!$G$4:$G$692,'апрель 2023'!$D$4:$D$692,$B174,'апрель 2023'!$J$4:$J$692,D$1)</f>
        <v>0</v>
      </c>
      <c r="E174" s="207">
        <f>SUMIFS('апрель 2023'!$G$4:$G$692,'апрель 2023'!$D$4:$D$692,$B174,'апрель 2023'!$J$4:$J$692,E$1)</f>
        <v>0</v>
      </c>
      <c r="F174" s="207">
        <f>SUMIFS('апрель 2023'!$G$4:$G$692,'апрель 2023'!$D$4:$D$692,$B174,'апрель 2023'!$J$4:$J$692,F$1)</f>
        <v>0</v>
      </c>
      <c r="G174" s="207">
        <f>SUMIFS('апрель 2023'!$G$4:$G$692,'апрель 2023'!$D$4:$D$692,$B174,'апрель 2023'!$J$4:$J$692,G$1)</f>
        <v>0</v>
      </c>
      <c r="H174" s="207">
        <f>SUMIFS('апрель 2023'!$G$4:$G$692,'апрель 2023'!$D$4:$D$692,$B174,'апрель 2023'!$J$4:$J$692,H$1)</f>
        <v>0</v>
      </c>
      <c r="I174" s="207">
        <f>SUMIFS('апрель 2023'!$G$4:$G$692,'апрель 2023'!$D$4:$D$692,$B174,'апрель 2023'!$J$4:$J$692,I$1)</f>
        <v>0</v>
      </c>
      <c r="J174" s="207">
        <f>SUMIFS('апрель 2023'!$G$4:$G$692,'апрель 2023'!$D$4:$D$692,$B174,'апрель 2023'!$J$4:$J$692,J$1)</f>
        <v>0</v>
      </c>
      <c r="K174" s="207">
        <f>SUMIFS('апрель 2023'!$G$4:$G$692,'апрель 2023'!$D$4:$D$692,$B174,'апрель 2023'!$J$4:$J$692,K$1)</f>
        <v>0</v>
      </c>
      <c r="L174" s="207">
        <f>SUMIFS('апрель 2023'!$G$4:$G$692,'апрель 2023'!$D$4:$D$692,$B174,'апрель 2023'!$J$4:$J$692,L$1)</f>
        <v>0</v>
      </c>
      <c r="M174" s="207">
        <f>SUMIFS('апрель 2023'!$G$4:$G$692,'апрель 2023'!$D$4:$D$692,$B174,'апрель 2023'!$J$4:$J$692,M$1)</f>
        <v>0</v>
      </c>
      <c r="N174" s="207">
        <f>SUMIFS('апрель 2023'!$G$4:$G$692,'апрель 2023'!$D$4:$D$692,$B174,'апрель 2023'!$J$4:$J$692,N$1)</f>
        <v>0</v>
      </c>
      <c r="O174" s="207">
        <f>SUMIFS('апрель 2023'!$G$4:$G$692,'апрель 2023'!$D$4:$D$692,$B174,'апрель 2023'!$J$4:$J$692,O$1)</f>
        <v>0</v>
      </c>
      <c r="P174" s="207">
        <f>SUMIFS('апрель 2023'!$G$4:$G$692,'апрель 2023'!$D$4:$D$692,$B174,'апрель 2023'!$J$4:$J$692,P$1)</f>
        <v>0</v>
      </c>
      <c r="Q174" s="207">
        <f>SUMIFS('апрель 2023'!$G$4:$G$692,'апрель 2023'!$D$4:$D$692,$B174,'апрель 2023'!$J$4:$J$692,Q$1)</f>
        <v>0</v>
      </c>
      <c r="R174" s="207">
        <f>SUMIFS('апрель 2023'!$G$4:$G$692,'апрель 2023'!$D$4:$D$692,$B174,'апрель 2023'!$J$4:$J$692,R$1)</f>
        <v>0</v>
      </c>
      <c r="S174" s="207">
        <f>SUMIFS('апрель 2023'!$G$4:$G$692,'апрель 2023'!$D$4:$D$692,$B174,'апрель 2023'!$J$4:$J$692,S$1)</f>
        <v>0</v>
      </c>
      <c r="T174" s="207">
        <f>SUMIFS('апрель 2023'!$G$4:$G$692,'апрель 2023'!$D$4:$D$692,$B174,'апрель 2023'!$J$4:$J$692,T$1)</f>
        <v>0</v>
      </c>
      <c r="U174" s="207">
        <f>SUMIFS('апрель 2023'!$G$4:$G$692,'апрель 2023'!$D$4:$D$692,$B174,'апрель 2023'!$J$4:$J$692,U$1)</f>
        <v>0</v>
      </c>
      <c r="V174" s="207">
        <f>SUMIFS('апрель 2023'!$G$4:$G$692,'апрель 2023'!$D$4:$D$692,$B174,'апрель 2023'!$J$4:$J$692,V$1)</f>
        <v>0</v>
      </c>
      <c r="W174" s="207">
        <f>SUMIFS('апрель 2023'!$G$4:$G$692,'апрель 2023'!$D$4:$D$692,$B174,'апрель 2023'!$J$4:$J$692,W$1)</f>
        <v>0</v>
      </c>
      <c r="X174" s="207">
        <f>SUMIFS('апрель 2023'!$G$4:$G$692,'апрель 2023'!$D$4:$D$692,$B174,'апрель 2023'!$J$4:$J$692,X$1)</f>
        <v>0</v>
      </c>
      <c r="Y174" s="207">
        <f>SUMIFS('апрель 2023'!$G$4:$G$692,'апрель 2023'!$D$4:$D$692,$B174,'апрель 2023'!$J$4:$J$692,Y$1)</f>
        <v>0</v>
      </c>
      <c r="Z174" s="207">
        <f>SUMIFS('апрель 2023'!$G$4:$G$692,'апрель 2023'!$D$4:$D$692,$B174,'апрель 2023'!$J$4:$J$692,Z$1)</f>
        <v>0</v>
      </c>
      <c r="AA174" s="207">
        <f>SUMIFS('апрель 2023'!$G$4:$G$692,'апрель 2023'!$D$4:$D$692,$B174,'апрель 2023'!$J$4:$J$692,AA$1)</f>
        <v>0</v>
      </c>
      <c r="AB174" s="207">
        <f>SUMIFS('апрель 2023'!$G$4:$G$692,'апрель 2023'!$D$4:$D$692,$B174,'апрель 2023'!$J$4:$J$692,AB$1)</f>
        <v>0</v>
      </c>
      <c r="AC174" s="207">
        <f>SUMIFS('апрель 2023'!$G$4:$G$692,'апрель 2023'!$D$4:$D$692,$B174,'апрель 2023'!$J$4:$J$692,AC$1)</f>
        <v>0</v>
      </c>
      <c r="AD174" s="207">
        <f>SUMIFS('апрель 2023'!$G$4:$G$692,'апрель 2023'!$D$4:$D$692,$B174,'апрель 2023'!$J$4:$J$692,AD$1)</f>
        <v>0</v>
      </c>
      <c r="AE174" s="207">
        <f>SUMIFS('апрель 2023'!$G$4:$G$692,'апрель 2023'!$D$4:$D$692,$B174,'апрель 2023'!$J$4:$J$692,AE$1)</f>
        <v>0</v>
      </c>
      <c r="AF174" s="207">
        <f>SUMIFS('апрель 2023'!$G$4:$G$692,'апрель 2023'!$D$4:$D$692,$B174,'апрель 2023'!$J$4:$J$692,AF$1)</f>
        <v>0</v>
      </c>
      <c r="AG174" s="207">
        <f>SUMIFS('апрель 2023'!$G$4:$G$692,'апрель 2023'!$D$4:$D$692,$B174,'апрель 2023'!$J$4:$J$692,AG$1)</f>
        <v>0</v>
      </c>
      <c r="AH174" s="207">
        <f>SUMIFS('апрель 2023'!$G$4:$G$692,'апрель 2023'!$D$4:$D$692,$B174,'апрель 2023'!$J$4:$J$692,AH$1)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SUMIFS('апрель 2023'!$G$4:$G$692,'апрель 2023'!$D$4:$D$692,$B175,'апрель 2023'!$J$4:$J$692,D$1)</f>
        <v>0</v>
      </c>
      <c r="E175" s="207">
        <f>SUMIFS('апрель 2023'!$G$4:$G$692,'апрель 2023'!$D$4:$D$692,$B175,'апрель 2023'!$J$4:$J$692,E$1)</f>
        <v>0</v>
      </c>
      <c r="F175" s="207">
        <f>SUMIFS('апрель 2023'!$G$4:$G$692,'апрель 2023'!$D$4:$D$692,$B175,'апрель 2023'!$J$4:$J$692,F$1)</f>
        <v>0</v>
      </c>
      <c r="G175" s="207">
        <f>SUMIFS('апрель 2023'!$G$4:$G$692,'апрель 2023'!$D$4:$D$692,$B175,'апрель 2023'!$J$4:$J$692,G$1)</f>
        <v>0</v>
      </c>
      <c r="H175" s="207">
        <f>SUMIFS('апрель 2023'!$G$4:$G$692,'апрель 2023'!$D$4:$D$692,$B175,'апрель 2023'!$J$4:$J$692,H$1)</f>
        <v>0</v>
      </c>
      <c r="I175" s="207">
        <f>SUMIFS('апрель 2023'!$G$4:$G$692,'апрель 2023'!$D$4:$D$692,$B175,'апрель 2023'!$J$4:$J$692,I$1)</f>
        <v>0</v>
      </c>
      <c r="J175" s="207">
        <f>SUMIFS('апрель 2023'!$G$4:$G$692,'апрель 2023'!$D$4:$D$692,$B175,'апрель 2023'!$J$4:$J$692,J$1)</f>
        <v>0</v>
      </c>
      <c r="K175" s="207">
        <f>SUMIFS('апрель 2023'!$G$4:$G$692,'апрель 2023'!$D$4:$D$692,$B175,'апрель 2023'!$J$4:$J$692,K$1)</f>
        <v>0</v>
      </c>
      <c r="L175" s="207">
        <f>SUMIFS('апрель 2023'!$G$4:$G$692,'апрель 2023'!$D$4:$D$692,$B175,'апрель 2023'!$J$4:$J$692,L$1)</f>
        <v>0</v>
      </c>
      <c r="M175" s="207">
        <f>SUMIFS('апрель 2023'!$G$4:$G$692,'апрель 2023'!$D$4:$D$692,$B175,'апрель 2023'!$J$4:$J$692,M$1)</f>
        <v>0</v>
      </c>
      <c r="N175" s="207">
        <f>SUMIFS('апрель 2023'!$G$4:$G$692,'апрель 2023'!$D$4:$D$692,$B175,'апрель 2023'!$J$4:$J$692,N$1)</f>
        <v>0</v>
      </c>
      <c r="O175" s="207">
        <f>SUMIFS('апрель 2023'!$G$4:$G$692,'апрель 2023'!$D$4:$D$692,$B175,'апрель 2023'!$J$4:$J$692,O$1)</f>
        <v>0</v>
      </c>
      <c r="P175" s="207">
        <f>SUMIFS('апрель 2023'!$G$4:$G$692,'апрель 2023'!$D$4:$D$692,$B175,'апрель 2023'!$J$4:$J$692,P$1)</f>
        <v>0</v>
      </c>
      <c r="Q175" s="207">
        <f>SUMIFS('апрель 2023'!$G$4:$G$692,'апрель 2023'!$D$4:$D$692,$B175,'апрель 2023'!$J$4:$J$692,Q$1)</f>
        <v>0</v>
      </c>
      <c r="R175" s="207">
        <f>SUMIFS('апрель 2023'!$G$4:$G$692,'апрель 2023'!$D$4:$D$692,$B175,'апрель 2023'!$J$4:$J$692,R$1)</f>
        <v>0</v>
      </c>
      <c r="S175" s="207">
        <f>SUMIFS('апрель 2023'!$G$4:$G$692,'апрель 2023'!$D$4:$D$692,$B175,'апрель 2023'!$J$4:$J$692,S$1)</f>
        <v>0</v>
      </c>
      <c r="T175" s="207">
        <f>SUMIFS('апрель 2023'!$G$4:$G$692,'апрель 2023'!$D$4:$D$692,$B175,'апрель 2023'!$J$4:$J$692,T$1)</f>
        <v>0</v>
      </c>
      <c r="U175" s="207">
        <f>SUMIFS('апрель 2023'!$G$4:$G$692,'апрель 2023'!$D$4:$D$692,$B175,'апрель 2023'!$J$4:$J$692,U$1)</f>
        <v>0</v>
      </c>
      <c r="V175" s="207">
        <f>SUMIFS('апрель 2023'!$G$4:$G$692,'апрель 2023'!$D$4:$D$692,$B175,'апрель 2023'!$J$4:$J$692,V$1)</f>
        <v>0</v>
      </c>
      <c r="W175" s="207">
        <f>SUMIFS('апрель 2023'!$G$4:$G$692,'апрель 2023'!$D$4:$D$692,$B175,'апрель 2023'!$J$4:$J$692,W$1)</f>
        <v>0</v>
      </c>
      <c r="X175" s="207">
        <f>SUMIFS('апрель 2023'!$G$4:$G$692,'апрель 2023'!$D$4:$D$692,$B175,'апрель 2023'!$J$4:$J$692,X$1)</f>
        <v>0</v>
      </c>
      <c r="Y175" s="207">
        <f>SUMIFS('апрель 2023'!$G$4:$G$692,'апрель 2023'!$D$4:$D$692,$B175,'апрель 2023'!$J$4:$J$692,Y$1)</f>
        <v>0</v>
      </c>
      <c r="Z175" s="207">
        <f>SUMIFS('апрель 2023'!$G$4:$G$692,'апрель 2023'!$D$4:$D$692,$B175,'апрель 2023'!$J$4:$J$692,Z$1)</f>
        <v>0</v>
      </c>
      <c r="AA175" s="207">
        <f>SUMIFS('апрель 2023'!$G$4:$G$692,'апрель 2023'!$D$4:$D$692,$B175,'апрель 2023'!$J$4:$J$692,AA$1)</f>
        <v>0</v>
      </c>
      <c r="AB175" s="207">
        <f>SUMIFS('апрель 2023'!$G$4:$G$692,'апрель 2023'!$D$4:$D$692,$B175,'апрель 2023'!$J$4:$J$692,AB$1)</f>
        <v>0</v>
      </c>
      <c r="AC175" s="207">
        <f>SUMIFS('апрель 2023'!$G$4:$G$692,'апрель 2023'!$D$4:$D$692,$B175,'апрель 2023'!$J$4:$J$692,AC$1)</f>
        <v>0</v>
      </c>
      <c r="AD175" s="207">
        <f>SUMIFS('апрель 2023'!$G$4:$G$692,'апрель 2023'!$D$4:$D$692,$B175,'апрель 2023'!$J$4:$J$692,AD$1)</f>
        <v>0</v>
      </c>
      <c r="AE175" s="207">
        <f>SUMIFS('апрель 2023'!$G$4:$G$692,'апрель 2023'!$D$4:$D$692,$B175,'апрель 2023'!$J$4:$J$692,AE$1)</f>
        <v>0</v>
      </c>
      <c r="AF175" s="207">
        <f>SUMIFS('апрель 2023'!$G$4:$G$692,'апрель 2023'!$D$4:$D$692,$B175,'апрель 2023'!$J$4:$J$692,AF$1)</f>
        <v>0</v>
      </c>
      <c r="AG175" s="207">
        <f>SUMIFS('апрель 2023'!$G$4:$G$692,'апрель 2023'!$D$4:$D$692,$B175,'апрель 2023'!$J$4:$J$692,AG$1)</f>
        <v>0</v>
      </c>
      <c r="AH175" s="207">
        <f>SUMIFS('апрель 2023'!$G$4:$G$692,'апрель 2023'!$D$4:$D$692,$B175,'апрель 2023'!$J$4:$J$692,AH$1)</f>
        <v>0</v>
      </c>
      <c r="AI175" s="220">
        <f t="shared" si="4"/>
        <v>0</v>
      </c>
    </row>
    <row r="176" spans="2:35" ht="15.75" hidden="1" x14ac:dyDescent="0.25">
      <c r="B176" s="212"/>
      <c r="C176" s="211"/>
      <c r="D176" s="207">
        <f>SUMIFS('апрель 2023'!$G$4:$G$692,'апрель 2023'!$D$4:$D$692,$B176,'апрель 2023'!$J$4:$J$692,D$1)</f>
        <v>0</v>
      </c>
      <c r="E176" s="207">
        <f>SUMIFS('апрель 2023'!$G$4:$G$692,'апрель 2023'!$D$4:$D$692,$B176,'апрель 2023'!$J$4:$J$692,E$1)</f>
        <v>0</v>
      </c>
      <c r="F176" s="207">
        <f>SUMIFS('апрель 2023'!$G$4:$G$692,'апрель 2023'!$D$4:$D$692,$B176,'апрель 2023'!$J$4:$J$692,F$1)</f>
        <v>0</v>
      </c>
      <c r="G176" s="207">
        <f>SUMIFS('апрель 2023'!$G$4:$G$692,'апрель 2023'!$D$4:$D$692,$B176,'апрель 2023'!$J$4:$J$692,G$1)</f>
        <v>0</v>
      </c>
      <c r="H176" s="207">
        <f>SUMIFS('апрель 2023'!$G$4:$G$692,'апрель 2023'!$D$4:$D$692,$B176,'апрель 2023'!$J$4:$J$692,H$1)</f>
        <v>0</v>
      </c>
      <c r="I176" s="207">
        <f>SUMIFS('апрель 2023'!$G$4:$G$692,'апрель 2023'!$D$4:$D$692,$B176,'апрель 2023'!$J$4:$J$692,I$1)</f>
        <v>0</v>
      </c>
      <c r="J176" s="207">
        <f>SUMIFS('апрель 2023'!$G$4:$G$692,'апрель 2023'!$D$4:$D$692,$B176,'апрель 2023'!$J$4:$J$692,J$1)</f>
        <v>0</v>
      </c>
      <c r="K176" s="207">
        <f>SUMIFS('апрель 2023'!$G$4:$G$692,'апрель 2023'!$D$4:$D$692,$B176,'апрель 2023'!$J$4:$J$692,K$1)</f>
        <v>0</v>
      </c>
      <c r="L176" s="207">
        <f>SUMIFS('апрель 2023'!$G$4:$G$692,'апрель 2023'!$D$4:$D$692,$B176,'апрель 2023'!$J$4:$J$692,L$1)</f>
        <v>0</v>
      </c>
      <c r="M176" s="207">
        <f>SUMIFS('апрель 2023'!$G$4:$G$692,'апрель 2023'!$D$4:$D$692,$B176,'апрель 2023'!$J$4:$J$692,M$1)</f>
        <v>0</v>
      </c>
      <c r="N176" s="207">
        <f>SUMIFS('апрель 2023'!$G$4:$G$692,'апрель 2023'!$D$4:$D$692,$B176,'апрель 2023'!$J$4:$J$692,N$1)</f>
        <v>0</v>
      </c>
      <c r="O176" s="207">
        <f>SUMIFS('апрель 2023'!$G$4:$G$692,'апрель 2023'!$D$4:$D$692,$B176,'апрель 2023'!$J$4:$J$692,O$1)</f>
        <v>0</v>
      </c>
      <c r="P176" s="207">
        <f>SUMIFS('апрель 2023'!$G$4:$G$692,'апрель 2023'!$D$4:$D$692,$B176,'апрель 2023'!$J$4:$J$692,P$1)</f>
        <v>0</v>
      </c>
      <c r="Q176" s="207">
        <f>SUMIFS('апрель 2023'!$G$4:$G$692,'апрель 2023'!$D$4:$D$692,$B176,'апрель 2023'!$J$4:$J$692,Q$1)</f>
        <v>0</v>
      </c>
      <c r="R176" s="207">
        <f>SUMIFS('апрель 2023'!$G$4:$G$692,'апрель 2023'!$D$4:$D$692,$B176,'апрель 2023'!$J$4:$J$692,R$1)</f>
        <v>0</v>
      </c>
      <c r="S176" s="207">
        <f>SUMIFS('апрель 2023'!$G$4:$G$692,'апрель 2023'!$D$4:$D$692,$B176,'апрель 2023'!$J$4:$J$692,S$1)</f>
        <v>0</v>
      </c>
      <c r="T176" s="207">
        <f>SUMIFS('апрель 2023'!$G$4:$G$692,'апрель 2023'!$D$4:$D$692,$B176,'апрель 2023'!$J$4:$J$692,T$1)</f>
        <v>0</v>
      </c>
      <c r="U176" s="207">
        <f>SUMIFS('апрель 2023'!$G$4:$G$692,'апрель 2023'!$D$4:$D$692,$B176,'апрель 2023'!$J$4:$J$692,U$1)</f>
        <v>0</v>
      </c>
      <c r="V176" s="207">
        <f>SUMIFS('апрель 2023'!$G$4:$G$692,'апрель 2023'!$D$4:$D$692,$B176,'апрель 2023'!$J$4:$J$692,V$1)</f>
        <v>0</v>
      </c>
      <c r="W176" s="207">
        <f>SUMIFS('апрель 2023'!$G$4:$G$692,'апрель 2023'!$D$4:$D$692,$B176,'апрель 2023'!$J$4:$J$692,W$1)</f>
        <v>0</v>
      </c>
      <c r="X176" s="207">
        <f>SUMIFS('апрель 2023'!$G$4:$G$692,'апрель 2023'!$D$4:$D$692,$B176,'апрель 2023'!$J$4:$J$692,X$1)</f>
        <v>0</v>
      </c>
      <c r="Y176" s="207">
        <f>SUMIFS('апрель 2023'!$G$4:$G$692,'апрель 2023'!$D$4:$D$692,$B176,'апрель 2023'!$J$4:$J$692,Y$1)</f>
        <v>0</v>
      </c>
      <c r="Z176" s="207">
        <f>SUMIFS('апрель 2023'!$G$4:$G$692,'апрель 2023'!$D$4:$D$692,$B176,'апрель 2023'!$J$4:$J$692,Z$1)</f>
        <v>0</v>
      </c>
      <c r="AA176" s="207">
        <f>SUMIFS('апрель 2023'!$G$4:$G$692,'апрель 2023'!$D$4:$D$692,$B176,'апрель 2023'!$J$4:$J$692,AA$1)</f>
        <v>0</v>
      </c>
      <c r="AB176" s="207">
        <f>SUMIFS('апрель 2023'!$G$4:$G$692,'апрель 2023'!$D$4:$D$692,$B176,'апрель 2023'!$J$4:$J$692,AB$1)</f>
        <v>0</v>
      </c>
      <c r="AC176" s="207">
        <f>SUMIFS('апрель 2023'!$G$4:$G$692,'апрель 2023'!$D$4:$D$692,$B176,'апрель 2023'!$J$4:$J$692,AC$1)</f>
        <v>0</v>
      </c>
      <c r="AD176" s="207">
        <f>SUMIFS('апрель 2023'!$G$4:$G$692,'апрель 2023'!$D$4:$D$692,$B176,'апрель 2023'!$J$4:$J$692,AD$1)</f>
        <v>0</v>
      </c>
      <c r="AE176" s="207">
        <f>SUMIFS('апрель 2023'!$G$4:$G$692,'апрель 2023'!$D$4:$D$692,$B176,'апрель 2023'!$J$4:$J$692,AE$1)</f>
        <v>0</v>
      </c>
      <c r="AF176" s="207">
        <f>SUMIFS('апрель 2023'!$G$4:$G$692,'апрель 2023'!$D$4:$D$692,$B176,'апрель 2023'!$J$4:$J$692,AF$1)</f>
        <v>0</v>
      </c>
      <c r="AG176" s="207">
        <f>SUMIFS('апрель 2023'!$G$4:$G$692,'апрель 2023'!$D$4:$D$692,$B176,'апрель 2023'!$J$4:$J$692,AG$1)</f>
        <v>0</v>
      </c>
      <c r="AH176" s="207">
        <f>SUMIFS('апрель 2023'!$G$4:$G$692,'апрель 2023'!$D$4:$D$692,$B176,'апрель 2023'!$J$4:$J$692,AH$1)</f>
        <v>0</v>
      </c>
      <c r="AI176" s="220">
        <f t="shared" si="4"/>
        <v>0</v>
      </c>
    </row>
    <row r="177" spans="2:35" ht="15.75" hidden="1" x14ac:dyDescent="0.25">
      <c r="B177" s="212"/>
      <c r="C177" s="211"/>
      <c r="D177" s="207">
        <f>SUMIFS('апрель 2023'!$G$4:$G$692,'апрель 2023'!$D$4:$D$692,$B177,'апрель 2023'!$J$4:$J$692,D$1)</f>
        <v>0</v>
      </c>
      <c r="E177" s="207">
        <f>SUMIFS('апрель 2023'!$G$4:$G$692,'апрель 2023'!$D$4:$D$692,$B177,'апрель 2023'!$J$4:$J$692,E$1)</f>
        <v>0</v>
      </c>
      <c r="F177" s="207">
        <f>SUMIFS('апрель 2023'!$G$4:$G$692,'апрель 2023'!$D$4:$D$692,$B177,'апрель 2023'!$J$4:$J$692,F$1)</f>
        <v>0</v>
      </c>
      <c r="G177" s="207">
        <f>SUMIFS('апрель 2023'!$G$4:$G$692,'апрель 2023'!$D$4:$D$692,$B177,'апрель 2023'!$J$4:$J$692,G$1)</f>
        <v>0</v>
      </c>
      <c r="H177" s="207">
        <f>SUMIFS('апрель 2023'!$G$4:$G$692,'апрель 2023'!$D$4:$D$692,$B177,'апрель 2023'!$J$4:$J$692,H$1)</f>
        <v>0</v>
      </c>
      <c r="I177" s="207">
        <f>SUMIFS('апрель 2023'!$G$4:$G$692,'апрель 2023'!$D$4:$D$692,$B177,'апрель 2023'!$J$4:$J$692,I$1)</f>
        <v>0</v>
      </c>
      <c r="J177" s="207">
        <f>SUMIFS('апрель 2023'!$G$4:$G$692,'апрель 2023'!$D$4:$D$692,$B177,'апрель 2023'!$J$4:$J$692,J$1)</f>
        <v>0</v>
      </c>
      <c r="K177" s="207">
        <f>SUMIFS('апрель 2023'!$G$4:$G$692,'апрель 2023'!$D$4:$D$692,$B177,'апрель 2023'!$J$4:$J$692,K$1)</f>
        <v>0</v>
      </c>
      <c r="L177" s="207">
        <f>SUMIFS('апрель 2023'!$G$4:$G$692,'апрель 2023'!$D$4:$D$692,$B177,'апрель 2023'!$J$4:$J$692,L$1)</f>
        <v>0</v>
      </c>
      <c r="M177" s="207">
        <f>SUMIFS('апрель 2023'!$G$4:$G$692,'апрель 2023'!$D$4:$D$692,$B177,'апрель 2023'!$J$4:$J$692,M$1)</f>
        <v>0</v>
      </c>
      <c r="N177" s="207">
        <f>SUMIFS('апрель 2023'!$G$4:$G$692,'апрель 2023'!$D$4:$D$692,$B177,'апрель 2023'!$J$4:$J$692,N$1)</f>
        <v>0</v>
      </c>
      <c r="O177" s="207">
        <f>SUMIFS('апрель 2023'!$G$4:$G$692,'апрель 2023'!$D$4:$D$692,$B177,'апрель 2023'!$J$4:$J$692,O$1)</f>
        <v>0</v>
      </c>
      <c r="P177" s="207">
        <f>SUMIFS('апрель 2023'!$G$4:$G$692,'апрель 2023'!$D$4:$D$692,$B177,'апрель 2023'!$J$4:$J$692,P$1)</f>
        <v>0</v>
      </c>
      <c r="Q177" s="207">
        <f>SUMIFS('апрель 2023'!$G$4:$G$692,'апрель 2023'!$D$4:$D$692,$B177,'апрель 2023'!$J$4:$J$692,Q$1)</f>
        <v>0</v>
      </c>
      <c r="R177" s="207">
        <f>SUMIFS('апрель 2023'!$G$4:$G$692,'апрель 2023'!$D$4:$D$692,$B177,'апрель 2023'!$J$4:$J$692,R$1)</f>
        <v>0</v>
      </c>
      <c r="S177" s="207">
        <f>SUMIFS('апрель 2023'!$G$4:$G$692,'апрель 2023'!$D$4:$D$692,$B177,'апрель 2023'!$J$4:$J$692,S$1)</f>
        <v>0</v>
      </c>
      <c r="T177" s="207">
        <f>SUMIFS('апрель 2023'!$G$4:$G$692,'апрель 2023'!$D$4:$D$692,$B177,'апрель 2023'!$J$4:$J$692,T$1)</f>
        <v>0</v>
      </c>
      <c r="U177" s="207">
        <f>SUMIFS('апрель 2023'!$G$4:$G$692,'апрель 2023'!$D$4:$D$692,$B177,'апрель 2023'!$J$4:$J$692,U$1)</f>
        <v>0</v>
      </c>
      <c r="V177" s="207">
        <f>SUMIFS('апрель 2023'!$G$4:$G$692,'апрель 2023'!$D$4:$D$692,$B177,'апрель 2023'!$J$4:$J$692,V$1)</f>
        <v>0</v>
      </c>
      <c r="W177" s="207">
        <f>SUMIFS('апрель 2023'!$G$4:$G$692,'апрель 2023'!$D$4:$D$692,$B177,'апрель 2023'!$J$4:$J$692,W$1)</f>
        <v>0</v>
      </c>
      <c r="X177" s="207">
        <f>SUMIFS('апрель 2023'!$G$4:$G$692,'апрель 2023'!$D$4:$D$692,$B177,'апрель 2023'!$J$4:$J$692,X$1)</f>
        <v>0</v>
      </c>
      <c r="Y177" s="207">
        <f>SUMIFS('апрель 2023'!$G$4:$G$692,'апрель 2023'!$D$4:$D$692,$B177,'апрель 2023'!$J$4:$J$692,Y$1)</f>
        <v>0</v>
      </c>
      <c r="Z177" s="207">
        <f>SUMIFS('апрель 2023'!$G$4:$G$692,'апрель 2023'!$D$4:$D$692,$B177,'апрель 2023'!$J$4:$J$692,Z$1)</f>
        <v>0</v>
      </c>
      <c r="AA177" s="207">
        <f>SUMIFS('апрель 2023'!$G$4:$G$692,'апрель 2023'!$D$4:$D$692,$B177,'апрель 2023'!$J$4:$J$692,AA$1)</f>
        <v>0</v>
      </c>
      <c r="AB177" s="207">
        <f>SUMIFS('апрель 2023'!$G$4:$G$692,'апрель 2023'!$D$4:$D$692,$B177,'апрель 2023'!$J$4:$J$692,AB$1)</f>
        <v>0</v>
      </c>
      <c r="AC177" s="207">
        <f>SUMIFS('апрель 2023'!$G$4:$G$692,'апрель 2023'!$D$4:$D$692,$B177,'апрель 2023'!$J$4:$J$692,AC$1)</f>
        <v>0</v>
      </c>
      <c r="AD177" s="207">
        <f>SUMIFS('апрель 2023'!$G$4:$G$692,'апрель 2023'!$D$4:$D$692,$B177,'апрель 2023'!$J$4:$J$692,AD$1)</f>
        <v>0</v>
      </c>
      <c r="AE177" s="207">
        <f>SUMIFS('апрель 2023'!$G$4:$G$692,'апрель 2023'!$D$4:$D$692,$B177,'апрель 2023'!$J$4:$J$692,AE$1)</f>
        <v>0</v>
      </c>
      <c r="AF177" s="207">
        <f>SUMIFS('апрель 2023'!$G$4:$G$692,'апрель 2023'!$D$4:$D$692,$B177,'апрель 2023'!$J$4:$J$692,AF$1)</f>
        <v>0</v>
      </c>
      <c r="AG177" s="207">
        <f>SUMIFS('апрель 2023'!$G$4:$G$692,'апрель 2023'!$D$4:$D$692,$B177,'апрель 2023'!$J$4:$J$692,AG$1)</f>
        <v>0</v>
      </c>
      <c r="AH177" s="207">
        <f>SUMIFS('апрель 2023'!$G$4:$G$692,'апрель 2023'!$D$4:$D$692,$B177,'апрель 2023'!$J$4:$J$692,AH$1)</f>
        <v>0</v>
      </c>
      <c r="AI177" s="220">
        <f t="shared" si="4"/>
        <v>0</v>
      </c>
    </row>
    <row r="178" spans="2:35" ht="15.75" hidden="1" x14ac:dyDescent="0.25">
      <c r="B178" s="212"/>
      <c r="C178" s="211"/>
      <c r="D178" s="207">
        <f>SUMIFS('апрель 2023'!$G$4:$G$692,'апрель 2023'!$D$4:$D$692,$B178,'апрель 2023'!$J$4:$J$692,D$1)</f>
        <v>0</v>
      </c>
      <c r="E178" s="207">
        <f>SUMIFS('апрель 2023'!$G$4:$G$692,'апрель 2023'!$D$4:$D$692,$B178,'апрель 2023'!$J$4:$J$692,E$1)</f>
        <v>0</v>
      </c>
      <c r="F178" s="207">
        <f>SUMIFS('апрель 2023'!$G$4:$G$692,'апрель 2023'!$D$4:$D$692,$B178,'апрель 2023'!$J$4:$J$692,F$1)</f>
        <v>0</v>
      </c>
      <c r="G178" s="207">
        <f>SUMIFS('апрель 2023'!$G$4:$G$692,'апрель 2023'!$D$4:$D$692,$B178,'апрель 2023'!$J$4:$J$692,G$1)</f>
        <v>0</v>
      </c>
      <c r="H178" s="207">
        <f>SUMIFS('апрель 2023'!$G$4:$G$692,'апрель 2023'!$D$4:$D$692,$B178,'апрель 2023'!$J$4:$J$692,H$1)</f>
        <v>0</v>
      </c>
      <c r="I178" s="207">
        <f>SUMIFS('апрель 2023'!$G$4:$G$692,'апрель 2023'!$D$4:$D$692,$B178,'апрель 2023'!$J$4:$J$692,I$1)</f>
        <v>0</v>
      </c>
      <c r="J178" s="207">
        <f>SUMIFS('апрель 2023'!$G$4:$G$692,'апрель 2023'!$D$4:$D$692,$B178,'апрель 2023'!$J$4:$J$692,J$1)</f>
        <v>0</v>
      </c>
      <c r="K178" s="207">
        <f>SUMIFS('апрель 2023'!$G$4:$G$692,'апрель 2023'!$D$4:$D$692,$B178,'апрель 2023'!$J$4:$J$692,K$1)</f>
        <v>0</v>
      </c>
      <c r="L178" s="207">
        <f>SUMIFS('апрель 2023'!$G$4:$G$692,'апрель 2023'!$D$4:$D$692,$B178,'апрель 2023'!$J$4:$J$692,L$1)</f>
        <v>0</v>
      </c>
      <c r="M178" s="207">
        <f>SUMIFS('апрель 2023'!$G$4:$G$692,'апрель 2023'!$D$4:$D$692,$B178,'апрель 2023'!$J$4:$J$692,M$1)</f>
        <v>0</v>
      </c>
      <c r="N178" s="207">
        <f>SUMIFS('апрель 2023'!$G$4:$G$692,'апрель 2023'!$D$4:$D$692,$B178,'апрель 2023'!$J$4:$J$692,N$1)</f>
        <v>0</v>
      </c>
      <c r="O178" s="207">
        <f>SUMIFS('апрель 2023'!$G$4:$G$692,'апрель 2023'!$D$4:$D$692,$B178,'апрель 2023'!$J$4:$J$692,O$1)</f>
        <v>0</v>
      </c>
      <c r="P178" s="207">
        <f>SUMIFS('апрель 2023'!$G$4:$G$692,'апрель 2023'!$D$4:$D$692,$B178,'апрель 2023'!$J$4:$J$692,P$1)</f>
        <v>0</v>
      </c>
      <c r="Q178" s="207">
        <f>SUMIFS('апрель 2023'!$G$4:$G$692,'апрель 2023'!$D$4:$D$692,$B178,'апрель 2023'!$J$4:$J$692,Q$1)</f>
        <v>0</v>
      </c>
      <c r="R178" s="207">
        <f>SUMIFS('апрель 2023'!$G$4:$G$692,'апрель 2023'!$D$4:$D$692,$B178,'апрель 2023'!$J$4:$J$692,R$1)</f>
        <v>0</v>
      </c>
      <c r="S178" s="207">
        <f>SUMIFS('апрель 2023'!$G$4:$G$692,'апрель 2023'!$D$4:$D$692,$B178,'апрель 2023'!$J$4:$J$692,S$1)</f>
        <v>0</v>
      </c>
      <c r="T178" s="207">
        <f>SUMIFS('апрель 2023'!$G$4:$G$692,'апрель 2023'!$D$4:$D$692,$B178,'апрель 2023'!$J$4:$J$692,T$1)</f>
        <v>0</v>
      </c>
      <c r="U178" s="207">
        <f>SUMIFS('апрель 2023'!$G$4:$G$692,'апрель 2023'!$D$4:$D$692,$B178,'апрель 2023'!$J$4:$J$692,U$1)</f>
        <v>0</v>
      </c>
      <c r="V178" s="207">
        <f>SUMIFS('апрель 2023'!$G$4:$G$692,'апрель 2023'!$D$4:$D$692,$B178,'апрель 2023'!$J$4:$J$692,V$1)</f>
        <v>0</v>
      </c>
      <c r="W178" s="207">
        <f>SUMIFS('апрель 2023'!$G$4:$G$692,'апрель 2023'!$D$4:$D$692,$B178,'апрель 2023'!$J$4:$J$692,W$1)</f>
        <v>0</v>
      </c>
      <c r="X178" s="207">
        <f>SUMIFS('апрель 2023'!$G$4:$G$692,'апрель 2023'!$D$4:$D$692,$B178,'апрель 2023'!$J$4:$J$692,X$1)</f>
        <v>0</v>
      </c>
      <c r="Y178" s="207">
        <f>SUMIFS('апрель 2023'!$G$4:$G$692,'апрель 2023'!$D$4:$D$692,$B178,'апрель 2023'!$J$4:$J$692,Y$1)</f>
        <v>0</v>
      </c>
      <c r="Z178" s="207">
        <f>SUMIFS('апрель 2023'!$G$4:$G$692,'апрель 2023'!$D$4:$D$692,$B178,'апрель 2023'!$J$4:$J$692,Z$1)</f>
        <v>0</v>
      </c>
      <c r="AA178" s="207">
        <f>SUMIFS('апрель 2023'!$G$4:$G$692,'апрель 2023'!$D$4:$D$692,$B178,'апрель 2023'!$J$4:$J$692,AA$1)</f>
        <v>0</v>
      </c>
      <c r="AB178" s="207">
        <f>SUMIFS('апрель 2023'!$G$4:$G$692,'апрель 2023'!$D$4:$D$692,$B178,'апрель 2023'!$J$4:$J$692,AB$1)</f>
        <v>0</v>
      </c>
      <c r="AC178" s="207">
        <f>SUMIFS('апрель 2023'!$G$4:$G$692,'апрель 2023'!$D$4:$D$692,$B178,'апрель 2023'!$J$4:$J$692,AC$1)</f>
        <v>0</v>
      </c>
      <c r="AD178" s="207">
        <f>SUMIFS('апрель 2023'!$G$4:$G$692,'апрель 2023'!$D$4:$D$692,$B178,'апрель 2023'!$J$4:$J$692,AD$1)</f>
        <v>0</v>
      </c>
      <c r="AE178" s="207">
        <f>SUMIFS('апрель 2023'!$G$4:$G$692,'апрель 2023'!$D$4:$D$692,$B178,'апрель 2023'!$J$4:$J$692,AE$1)</f>
        <v>0</v>
      </c>
      <c r="AF178" s="207">
        <f>SUMIFS('апрель 2023'!$G$4:$G$692,'апрель 2023'!$D$4:$D$692,$B178,'апрель 2023'!$J$4:$J$692,AF$1)</f>
        <v>0</v>
      </c>
      <c r="AG178" s="207">
        <f>SUMIFS('апрель 2023'!$G$4:$G$692,'апрель 2023'!$D$4:$D$692,$B178,'апрель 2023'!$J$4:$J$692,AG$1)</f>
        <v>0</v>
      </c>
      <c r="AH178" s="207">
        <f>SUMIFS('апрель 2023'!$G$4:$G$692,'апрель 2023'!$D$4:$D$692,$B178,'апрель 2023'!$J$4:$J$692,AH$1)</f>
        <v>0</v>
      </c>
      <c r="AI178" s="220">
        <f t="shared" si="4"/>
        <v>0</v>
      </c>
    </row>
    <row r="179" spans="2:35" ht="15.75" hidden="1" x14ac:dyDescent="0.25">
      <c r="B179" s="212"/>
      <c r="C179" s="211"/>
      <c r="D179" s="207">
        <f>SUMIFS('апрель 2023'!$G$4:$G$692,'апрель 2023'!$D$4:$D$692,$B179,'апрель 2023'!$J$4:$J$692,D$1)</f>
        <v>0</v>
      </c>
      <c r="E179" s="207">
        <f>SUMIFS('апрель 2023'!$G$4:$G$692,'апрель 2023'!$D$4:$D$692,$B179,'апрель 2023'!$J$4:$J$692,E$1)</f>
        <v>0</v>
      </c>
      <c r="F179" s="207">
        <f>SUMIFS('апрель 2023'!$G$4:$G$692,'апрель 2023'!$D$4:$D$692,$B179,'апрель 2023'!$J$4:$J$692,F$1)</f>
        <v>0</v>
      </c>
      <c r="G179" s="207">
        <f>SUMIFS('апрель 2023'!$G$4:$G$692,'апрель 2023'!$D$4:$D$692,$B179,'апрель 2023'!$J$4:$J$692,G$1)</f>
        <v>0</v>
      </c>
      <c r="H179" s="207">
        <f>SUMIFS('апрель 2023'!$G$4:$G$692,'апрель 2023'!$D$4:$D$692,$B179,'апрель 2023'!$J$4:$J$692,H$1)</f>
        <v>0</v>
      </c>
      <c r="I179" s="207">
        <f>SUMIFS('апрель 2023'!$G$4:$G$692,'апрель 2023'!$D$4:$D$692,$B179,'апрель 2023'!$J$4:$J$692,I$1)</f>
        <v>0</v>
      </c>
      <c r="J179" s="207">
        <f>SUMIFS('апрель 2023'!$G$4:$G$692,'апрель 2023'!$D$4:$D$692,$B179,'апрель 2023'!$J$4:$J$692,J$1)</f>
        <v>0</v>
      </c>
      <c r="K179" s="207">
        <f>SUMIFS('апрель 2023'!$G$4:$G$692,'апрель 2023'!$D$4:$D$692,$B179,'апрель 2023'!$J$4:$J$692,K$1)</f>
        <v>0</v>
      </c>
      <c r="L179" s="207">
        <f>SUMIFS('апрель 2023'!$G$4:$G$692,'апрель 2023'!$D$4:$D$692,$B179,'апрель 2023'!$J$4:$J$692,L$1)</f>
        <v>0</v>
      </c>
      <c r="M179" s="207">
        <f>SUMIFS('апрель 2023'!$G$4:$G$692,'апрель 2023'!$D$4:$D$692,$B179,'апрель 2023'!$J$4:$J$692,M$1)</f>
        <v>0</v>
      </c>
      <c r="N179" s="207">
        <f>SUMIFS('апрель 2023'!$G$4:$G$692,'апрель 2023'!$D$4:$D$692,$B179,'апрель 2023'!$J$4:$J$692,N$1)</f>
        <v>0</v>
      </c>
      <c r="O179" s="207">
        <f>SUMIFS('апрель 2023'!$G$4:$G$692,'апрель 2023'!$D$4:$D$692,$B179,'апрель 2023'!$J$4:$J$692,O$1)</f>
        <v>0</v>
      </c>
      <c r="P179" s="207">
        <f>SUMIFS('апрель 2023'!$G$4:$G$692,'апрель 2023'!$D$4:$D$692,$B179,'апрель 2023'!$J$4:$J$692,P$1)</f>
        <v>0</v>
      </c>
      <c r="Q179" s="207">
        <f>SUMIFS('апрель 2023'!$G$4:$G$692,'апрель 2023'!$D$4:$D$692,$B179,'апрель 2023'!$J$4:$J$692,Q$1)</f>
        <v>0</v>
      </c>
      <c r="R179" s="207">
        <f>SUMIFS('апрель 2023'!$G$4:$G$692,'апрель 2023'!$D$4:$D$692,$B179,'апрель 2023'!$J$4:$J$692,R$1)</f>
        <v>0</v>
      </c>
      <c r="S179" s="207">
        <f>SUMIFS('апрель 2023'!$G$4:$G$692,'апрель 2023'!$D$4:$D$692,$B179,'апрель 2023'!$J$4:$J$692,S$1)</f>
        <v>0</v>
      </c>
      <c r="T179" s="207">
        <f>SUMIFS('апрель 2023'!$G$4:$G$692,'апрель 2023'!$D$4:$D$692,$B179,'апрель 2023'!$J$4:$J$692,T$1)</f>
        <v>0</v>
      </c>
      <c r="U179" s="207">
        <f>SUMIFS('апрель 2023'!$G$4:$G$692,'апрель 2023'!$D$4:$D$692,$B179,'апрель 2023'!$J$4:$J$692,U$1)</f>
        <v>0</v>
      </c>
      <c r="V179" s="207">
        <f>SUMIFS('апрель 2023'!$G$4:$G$692,'апрель 2023'!$D$4:$D$692,$B179,'апрель 2023'!$J$4:$J$692,V$1)</f>
        <v>0</v>
      </c>
      <c r="W179" s="207">
        <f>SUMIFS('апрель 2023'!$G$4:$G$692,'апрель 2023'!$D$4:$D$692,$B179,'апрель 2023'!$J$4:$J$692,W$1)</f>
        <v>0</v>
      </c>
      <c r="X179" s="207">
        <f>SUMIFS('апрель 2023'!$G$4:$G$692,'апрель 2023'!$D$4:$D$692,$B179,'апрель 2023'!$J$4:$J$692,X$1)</f>
        <v>0</v>
      </c>
      <c r="Y179" s="207">
        <f>SUMIFS('апрель 2023'!$G$4:$G$692,'апрель 2023'!$D$4:$D$692,$B179,'апрель 2023'!$J$4:$J$692,Y$1)</f>
        <v>0</v>
      </c>
      <c r="Z179" s="207">
        <f>SUMIFS('апрель 2023'!$G$4:$G$692,'апрель 2023'!$D$4:$D$692,$B179,'апрель 2023'!$J$4:$J$692,Z$1)</f>
        <v>0</v>
      </c>
      <c r="AA179" s="207">
        <f>SUMIFS('апрель 2023'!$G$4:$G$692,'апрель 2023'!$D$4:$D$692,$B179,'апрель 2023'!$J$4:$J$692,AA$1)</f>
        <v>0</v>
      </c>
      <c r="AB179" s="207">
        <f>SUMIFS('апрель 2023'!$G$4:$G$692,'апрель 2023'!$D$4:$D$692,$B179,'апрель 2023'!$J$4:$J$692,AB$1)</f>
        <v>0</v>
      </c>
      <c r="AC179" s="207">
        <f>SUMIFS('апрель 2023'!$G$4:$G$692,'апрель 2023'!$D$4:$D$692,$B179,'апрель 2023'!$J$4:$J$692,AC$1)</f>
        <v>0</v>
      </c>
      <c r="AD179" s="207">
        <f>SUMIFS('апрель 2023'!$G$4:$G$692,'апрель 2023'!$D$4:$D$692,$B179,'апрель 2023'!$J$4:$J$692,AD$1)</f>
        <v>0</v>
      </c>
      <c r="AE179" s="207">
        <f>SUMIFS('апрель 2023'!$G$4:$G$692,'апрель 2023'!$D$4:$D$692,$B179,'апрель 2023'!$J$4:$J$692,AE$1)</f>
        <v>0</v>
      </c>
      <c r="AF179" s="207">
        <f>SUMIFS('апрель 2023'!$G$4:$G$692,'апрель 2023'!$D$4:$D$692,$B179,'апрель 2023'!$J$4:$J$692,AF$1)</f>
        <v>0</v>
      </c>
      <c r="AG179" s="207">
        <f>SUMIFS('апрель 2023'!$G$4:$G$692,'апрель 2023'!$D$4:$D$692,$B179,'апрель 2023'!$J$4:$J$692,AG$1)</f>
        <v>0</v>
      </c>
      <c r="AH179" s="207">
        <f>SUMIFS('апрель 2023'!$G$4:$G$692,'апрель 2023'!$D$4:$D$692,$B179,'апрель 2023'!$J$4:$J$692,AH$1)</f>
        <v>0</v>
      </c>
      <c r="AI179" s="220">
        <f t="shared" si="4"/>
        <v>0</v>
      </c>
    </row>
    <row r="180" spans="2:35" ht="15.75" hidden="1" x14ac:dyDescent="0.25">
      <c r="B180" s="212"/>
      <c r="C180" s="211"/>
      <c r="D180" s="207">
        <f>SUMIFS('апрель 2023'!$G$4:$G$692,'апрель 2023'!$D$4:$D$692,$B180,'апрель 2023'!$J$4:$J$692,D$1)</f>
        <v>0</v>
      </c>
      <c r="E180" s="207">
        <f>SUMIFS('апрель 2023'!$G$4:$G$692,'апрель 2023'!$D$4:$D$692,$B180,'апрель 2023'!$J$4:$J$692,E$1)</f>
        <v>0</v>
      </c>
      <c r="F180" s="207">
        <f>SUMIFS('апрель 2023'!$G$4:$G$692,'апрель 2023'!$D$4:$D$692,$B180,'апрель 2023'!$J$4:$J$692,F$1)</f>
        <v>0</v>
      </c>
      <c r="G180" s="207">
        <f>SUMIFS('апрель 2023'!$G$4:$G$692,'апрель 2023'!$D$4:$D$692,$B180,'апрель 2023'!$J$4:$J$692,G$1)</f>
        <v>0</v>
      </c>
      <c r="H180" s="207">
        <f>SUMIFS('апрель 2023'!$G$4:$G$692,'апрель 2023'!$D$4:$D$692,$B180,'апрель 2023'!$J$4:$J$692,H$1)</f>
        <v>0</v>
      </c>
      <c r="I180" s="207">
        <f>SUMIFS('апрель 2023'!$G$4:$G$692,'апрель 2023'!$D$4:$D$692,$B180,'апрель 2023'!$J$4:$J$692,I$1)</f>
        <v>0</v>
      </c>
      <c r="J180" s="207">
        <f>SUMIFS('апрель 2023'!$G$4:$G$692,'апрель 2023'!$D$4:$D$692,$B180,'апрель 2023'!$J$4:$J$692,J$1)</f>
        <v>0</v>
      </c>
      <c r="K180" s="207">
        <f>SUMIFS('апрель 2023'!$G$4:$G$692,'апрель 2023'!$D$4:$D$692,$B180,'апрель 2023'!$J$4:$J$692,K$1)</f>
        <v>0</v>
      </c>
      <c r="L180" s="207">
        <f>SUMIFS('апрель 2023'!$G$4:$G$692,'апрель 2023'!$D$4:$D$692,$B180,'апрель 2023'!$J$4:$J$692,L$1)</f>
        <v>0</v>
      </c>
      <c r="M180" s="207">
        <f>SUMIFS('апрель 2023'!$G$4:$G$692,'апрель 2023'!$D$4:$D$692,$B180,'апрель 2023'!$J$4:$J$692,M$1)</f>
        <v>0</v>
      </c>
      <c r="N180" s="207">
        <f>SUMIFS('апрель 2023'!$G$4:$G$692,'апрель 2023'!$D$4:$D$692,$B180,'апрель 2023'!$J$4:$J$692,N$1)</f>
        <v>0</v>
      </c>
      <c r="O180" s="207">
        <f>SUMIFS('апрель 2023'!$G$4:$G$692,'апрель 2023'!$D$4:$D$692,$B180,'апрель 2023'!$J$4:$J$692,O$1)</f>
        <v>0</v>
      </c>
      <c r="P180" s="207">
        <f>SUMIFS('апрель 2023'!$G$4:$G$692,'апрель 2023'!$D$4:$D$692,$B180,'апрель 2023'!$J$4:$J$692,P$1)</f>
        <v>0</v>
      </c>
      <c r="Q180" s="207">
        <f>SUMIFS('апрель 2023'!$G$4:$G$692,'апрель 2023'!$D$4:$D$692,$B180,'апрель 2023'!$J$4:$J$692,Q$1)</f>
        <v>0</v>
      </c>
      <c r="R180" s="207">
        <f>SUMIFS('апрель 2023'!$G$4:$G$692,'апрель 2023'!$D$4:$D$692,$B180,'апрель 2023'!$J$4:$J$692,R$1)</f>
        <v>0</v>
      </c>
      <c r="S180" s="207">
        <f>SUMIFS('апрель 2023'!$G$4:$G$692,'апрель 2023'!$D$4:$D$692,$B180,'апрель 2023'!$J$4:$J$692,S$1)</f>
        <v>0</v>
      </c>
      <c r="T180" s="207">
        <f>SUMIFS('апрель 2023'!$G$4:$G$692,'апрель 2023'!$D$4:$D$692,$B180,'апрель 2023'!$J$4:$J$692,T$1)</f>
        <v>0</v>
      </c>
      <c r="U180" s="207">
        <f>SUMIFS('апрель 2023'!$G$4:$G$692,'апрель 2023'!$D$4:$D$692,$B180,'апрель 2023'!$J$4:$J$692,U$1)</f>
        <v>0</v>
      </c>
      <c r="V180" s="207">
        <f>SUMIFS('апрель 2023'!$G$4:$G$692,'апрель 2023'!$D$4:$D$692,$B180,'апрель 2023'!$J$4:$J$692,V$1)</f>
        <v>0</v>
      </c>
      <c r="W180" s="207">
        <f>SUMIFS('апрель 2023'!$G$4:$G$692,'апрель 2023'!$D$4:$D$692,$B180,'апрель 2023'!$J$4:$J$692,W$1)</f>
        <v>0</v>
      </c>
      <c r="X180" s="207">
        <f>SUMIFS('апрель 2023'!$G$4:$G$692,'апрель 2023'!$D$4:$D$692,$B180,'апрель 2023'!$J$4:$J$692,X$1)</f>
        <v>0</v>
      </c>
      <c r="Y180" s="207">
        <f>SUMIFS('апрель 2023'!$G$4:$G$692,'апрель 2023'!$D$4:$D$692,$B180,'апрель 2023'!$J$4:$J$692,Y$1)</f>
        <v>0</v>
      </c>
      <c r="Z180" s="207">
        <f>SUMIFS('апрель 2023'!$G$4:$G$692,'апрель 2023'!$D$4:$D$692,$B180,'апрель 2023'!$J$4:$J$692,Z$1)</f>
        <v>0</v>
      </c>
      <c r="AA180" s="207">
        <f>SUMIFS('апрель 2023'!$G$4:$G$692,'апрель 2023'!$D$4:$D$692,$B180,'апрель 2023'!$J$4:$J$692,AA$1)</f>
        <v>0</v>
      </c>
      <c r="AB180" s="207">
        <f>SUMIFS('апрель 2023'!$G$4:$G$692,'апрель 2023'!$D$4:$D$692,$B180,'апрель 2023'!$J$4:$J$692,AB$1)</f>
        <v>0</v>
      </c>
      <c r="AC180" s="207">
        <f>SUMIFS('апрель 2023'!$G$4:$G$692,'апрель 2023'!$D$4:$D$692,$B180,'апрель 2023'!$J$4:$J$692,AC$1)</f>
        <v>0</v>
      </c>
      <c r="AD180" s="207">
        <f>SUMIFS('апрель 2023'!$G$4:$G$692,'апрель 2023'!$D$4:$D$692,$B180,'апрель 2023'!$J$4:$J$692,AD$1)</f>
        <v>0</v>
      </c>
      <c r="AE180" s="207">
        <f>SUMIFS('апрель 2023'!$G$4:$G$692,'апрель 2023'!$D$4:$D$692,$B180,'апрель 2023'!$J$4:$J$692,AE$1)</f>
        <v>0</v>
      </c>
      <c r="AF180" s="207">
        <f>SUMIFS('апрель 2023'!$G$4:$G$692,'апрель 2023'!$D$4:$D$692,$B180,'апрель 2023'!$J$4:$J$692,AF$1)</f>
        <v>0</v>
      </c>
      <c r="AG180" s="207">
        <f>SUMIFS('апрель 2023'!$G$4:$G$692,'апрель 2023'!$D$4:$D$692,$B180,'апрель 2023'!$J$4:$J$692,AG$1)</f>
        <v>0</v>
      </c>
      <c r="AH180" s="207">
        <f>SUMIFS('апрель 2023'!$G$4:$G$692,'апрель 2023'!$D$4:$D$692,$B180,'апрель 2023'!$J$4:$J$692,AH$1)</f>
        <v>0</v>
      </c>
      <c r="AI180" s="220">
        <f t="shared" si="4"/>
        <v>0</v>
      </c>
    </row>
    <row r="181" spans="2:35" ht="15.75" hidden="1" x14ac:dyDescent="0.25">
      <c r="B181" s="212"/>
      <c r="C181" s="211"/>
      <c r="D181" s="207">
        <f>SUMIFS('апрель 2023'!$G$4:$G$692,'апрель 2023'!$D$4:$D$692,$B181,'апрель 2023'!$J$4:$J$692,D$1)</f>
        <v>0</v>
      </c>
      <c r="E181" s="207">
        <f>SUMIFS('апрель 2023'!$G$4:$G$692,'апрель 2023'!$D$4:$D$692,$B181,'апрель 2023'!$J$4:$J$692,E$1)</f>
        <v>0</v>
      </c>
      <c r="F181" s="207">
        <f>SUMIFS('апрель 2023'!$G$4:$G$692,'апрель 2023'!$D$4:$D$692,$B181,'апрель 2023'!$J$4:$J$692,F$1)</f>
        <v>0</v>
      </c>
      <c r="G181" s="207">
        <f>SUMIFS('апрель 2023'!$G$4:$G$692,'апрель 2023'!$D$4:$D$692,$B181,'апрель 2023'!$J$4:$J$692,G$1)</f>
        <v>0</v>
      </c>
      <c r="H181" s="207">
        <f>SUMIFS('апрель 2023'!$G$4:$G$692,'апрель 2023'!$D$4:$D$692,$B181,'апрель 2023'!$J$4:$J$692,H$1)</f>
        <v>0</v>
      </c>
      <c r="I181" s="207">
        <f>SUMIFS('апрель 2023'!$G$4:$G$692,'апрель 2023'!$D$4:$D$692,$B181,'апрель 2023'!$J$4:$J$692,I$1)</f>
        <v>0</v>
      </c>
      <c r="J181" s="207">
        <f>SUMIFS('апрель 2023'!$G$4:$G$692,'апрель 2023'!$D$4:$D$692,$B181,'апрель 2023'!$J$4:$J$692,J$1)</f>
        <v>0</v>
      </c>
      <c r="K181" s="207">
        <f>SUMIFS('апрель 2023'!$G$4:$G$692,'апрель 2023'!$D$4:$D$692,$B181,'апрель 2023'!$J$4:$J$692,K$1)</f>
        <v>0</v>
      </c>
      <c r="L181" s="207">
        <f>SUMIFS('апрель 2023'!$G$4:$G$692,'апрель 2023'!$D$4:$D$692,$B181,'апрель 2023'!$J$4:$J$692,L$1)</f>
        <v>0</v>
      </c>
      <c r="M181" s="207">
        <f>SUMIFS('апрель 2023'!$G$4:$G$692,'апрель 2023'!$D$4:$D$692,$B181,'апрель 2023'!$J$4:$J$692,M$1)</f>
        <v>0</v>
      </c>
      <c r="N181" s="207">
        <f>SUMIFS('апрель 2023'!$G$4:$G$692,'апрель 2023'!$D$4:$D$692,$B181,'апрель 2023'!$J$4:$J$692,N$1)</f>
        <v>0</v>
      </c>
      <c r="O181" s="207">
        <f>SUMIFS('апрель 2023'!$G$4:$G$692,'апрель 2023'!$D$4:$D$692,$B181,'апрель 2023'!$J$4:$J$692,O$1)</f>
        <v>0</v>
      </c>
      <c r="P181" s="207">
        <f>SUMIFS('апрель 2023'!$G$4:$G$692,'апрель 2023'!$D$4:$D$692,$B181,'апрель 2023'!$J$4:$J$692,P$1)</f>
        <v>0</v>
      </c>
      <c r="Q181" s="207">
        <f>SUMIFS('апрель 2023'!$G$4:$G$692,'апрель 2023'!$D$4:$D$692,$B181,'апрель 2023'!$J$4:$J$692,Q$1)</f>
        <v>0</v>
      </c>
      <c r="R181" s="207">
        <f>SUMIFS('апрель 2023'!$G$4:$G$692,'апрель 2023'!$D$4:$D$692,$B181,'апрель 2023'!$J$4:$J$692,R$1)</f>
        <v>0</v>
      </c>
      <c r="S181" s="207">
        <f>SUMIFS('апрель 2023'!$G$4:$G$692,'апрель 2023'!$D$4:$D$692,$B181,'апрель 2023'!$J$4:$J$692,S$1)</f>
        <v>0</v>
      </c>
      <c r="T181" s="207">
        <f>SUMIFS('апрель 2023'!$G$4:$G$692,'апрель 2023'!$D$4:$D$692,$B181,'апрель 2023'!$J$4:$J$692,T$1)</f>
        <v>0</v>
      </c>
      <c r="U181" s="207">
        <f>SUMIFS('апрель 2023'!$G$4:$G$692,'апрель 2023'!$D$4:$D$692,$B181,'апрель 2023'!$J$4:$J$692,U$1)</f>
        <v>0</v>
      </c>
      <c r="V181" s="207">
        <f>SUMIFS('апрель 2023'!$G$4:$G$692,'апрель 2023'!$D$4:$D$692,$B181,'апрель 2023'!$J$4:$J$692,V$1)</f>
        <v>0</v>
      </c>
      <c r="W181" s="207">
        <f>SUMIFS('апрель 2023'!$G$4:$G$692,'апрель 2023'!$D$4:$D$692,$B181,'апрель 2023'!$J$4:$J$692,W$1)</f>
        <v>0</v>
      </c>
      <c r="X181" s="207">
        <f>SUMIFS('апрель 2023'!$G$4:$G$692,'апрель 2023'!$D$4:$D$692,$B181,'апрель 2023'!$J$4:$J$692,X$1)</f>
        <v>0</v>
      </c>
      <c r="Y181" s="207">
        <f>SUMIFS('апрель 2023'!$G$4:$G$692,'апрель 2023'!$D$4:$D$692,$B181,'апрель 2023'!$J$4:$J$692,Y$1)</f>
        <v>0</v>
      </c>
      <c r="Z181" s="207">
        <f>SUMIFS('апрель 2023'!$G$4:$G$692,'апрель 2023'!$D$4:$D$692,$B181,'апрель 2023'!$J$4:$J$692,Z$1)</f>
        <v>0</v>
      </c>
      <c r="AA181" s="207">
        <f>SUMIFS('апрель 2023'!$G$4:$G$692,'апрель 2023'!$D$4:$D$692,$B181,'апрель 2023'!$J$4:$J$692,AA$1)</f>
        <v>0</v>
      </c>
      <c r="AB181" s="207">
        <f>SUMIFS('апрель 2023'!$G$4:$G$692,'апрель 2023'!$D$4:$D$692,$B181,'апрель 2023'!$J$4:$J$692,AB$1)</f>
        <v>0</v>
      </c>
      <c r="AC181" s="207">
        <f>SUMIFS('апрель 2023'!$G$4:$G$692,'апрель 2023'!$D$4:$D$692,$B181,'апрель 2023'!$J$4:$J$692,AC$1)</f>
        <v>0</v>
      </c>
      <c r="AD181" s="207">
        <f>SUMIFS('апрель 2023'!$G$4:$G$692,'апрель 2023'!$D$4:$D$692,$B181,'апрель 2023'!$J$4:$J$692,AD$1)</f>
        <v>0</v>
      </c>
      <c r="AE181" s="207">
        <f>SUMIFS('апрель 2023'!$G$4:$G$692,'апрель 2023'!$D$4:$D$692,$B181,'апрель 2023'!$J$4:$J$692,AE$1)</f>
        <v>0</v>
      </c>
      <c r="AF181" s="207">
        <f>SUMIFS('апрель 2023'!$G$4:$G$692,'апрель 2023'!$D$4:$D$692,$B181,'апрель 2023'!$J$4:$J$692,AF$1)</f>
        <v>0</v>
      </c>
      <c r="AG181" s="207">
        <f>SUMIFS('апрель 2023'!$G$4:$G$692,'апрель 2023'!$D$4:$D$692,$B181,'апрель 2023'!$J$4:$J$692,AG$1)</f>
        <v>0</v>
      </c>
      <c r="AH181" s="207">
        <f>SUMIFS('апрель 2023'!$G$4:$G$692,'апрель 2023'!$D$4:$D$692,$B181,'апрель 2023'!$J$4:$J$692,AH$1)</f>
        <v>0</v>
      </c>
      <c r="AI181" s="220">
        <f t="shared" si="4"/>
        <v>0</v>
      </c>
    </row>
    <row r="182" spans="2:35" ht="15.75" hidden="1" x14ac:dyDescent="0.25">
      <c r="B182" s="212"/>
      <c r="C182" s="211"/>
      <c r="D182" s="207">
        <f>SUMIFS('апрель 2023'!$G$4:$G$692,'апрель 2023'!$D$4:$D$692,$B182,'апрель 2023'!$J$4:$J$692,D$1)</f>
        <v>0</v>
      </c>
      <c r="E182" s="207">
        <f>SUMIFS('апрель 2023'!$G$4:$G$692,'апрель 2023'!$D$4:$D$692,$B182,'апрель 2023'!$J$4:$J$692,E$1)</f>
        <v>0</v>
      </c>
      <c r="F182" s="207">
        <f>SUMIFS('апрель 2023'!$G$4:$G$692,'апрель 2023'!$D$4:$D$692,$B182,'апрель 2023'!$J$4:$J$692,F$1)</f>
        <v>0</v>
      </c>
      <c r="G182" s="207">
        <f>SUMIFS('апрель 2023'!$G$4:$G$692,'апрель 2023'!$D$4:$D$692,$B182,'апрель 2023'!$J$4:$J$692,G$1)</f>
        <v>0</v>
      </c>
      <c r="H182" s="207">
        <f>SUMIFS('апрель 2023'!$G$4:$G$692,'апрель 2023'!$D$4:$D$692,$B182,'апрель 2023'!$J$4:$J$692,H$1)</f>
        <v>0</v>
      </c>
      <c r="I182" s="207">
        <f>SUMIFS('апрель 2023'!$G$4:$G$692,'апрель 2023'!$D$4:$D$692,$B182,'апрель 2023'!$J$4:$J$692,I$1)</f>
        <v>0</v>
      </c>
      <c r="J182" s="207">
        <f>SUMIFS('апрель 2023'!$G$4:$G$692,'апрель 2023'!$D$4:$D$692,$B182,'апрель 2023'!$J$4:$J$692,J$1)</f>
        <v>0</v>
      </c>
      <c r="K182" s="207">
        <f>SUMIFS('апрель 2023'!$G$4:$G$692,'апрель 2023'!$D$4:$D$692,$B182,'апрель 2023'!$J$4:$J$692,K$1)</f>
        <v>0</v>
      </c>
      <c r="L182" s="207">
        <f>SUMIFS('апрель 2023'!$G$4:$G$692,'апрель 2023'!$D$4:$D$692,$B182,'апрель 2023'!$J$4:$J$692,L$1)</f>
        <v>0</v>
      </c>
      <c r="M182" s="207">
        <f>SUMIFS('апрель 2023'!$G$4:$G$692,'апрель 2023'!$D$4:$D$692,$B182,'апрель 2023'!$J$4:$J$692,M$1)</f>
        <v>0</v>
      </c>
      <c r="N182" s="207">
        <f>SUMIFS('апрель 2023'!$G$4:$G$692,'апрель 2023'!$D$4:$D$692,$B182,'апрель 2023'!$J$4:$J$692,N$1)</f>
        <v>0</v>
      </c>
      <c r="O182" s="207">
        <f>SUMIFS('апрель 2023'!$G$4:$G$692,'апрель 2023'!$D$4:$D$692,$B182,'апрель 2023'!$J$4:$J$692,O$1)</f>
        <v>0</v>
      </c>
      <c r="P182" s="207">
        <f>SUMIFS('апрель 2023'!$G$4:$G$692,'апрель 2023'!$D$4:$D$692,$B182,'апрель 2023'!$J$4:$J$692,P$1)</f>
        <v>0</v>
      </c>
      <c r="Q182" s="207">
        <f>SUMIFS('апрель 2023'!$G$4:$G$692,'апрель 2023'!$D$4:$D$692,$B182,'апрель 2023'!$J$4:$J$692,Q$1)</f>
        <v>0</v>
      </c>
      <c r="R182" s="207">
        <f>SUMIFS('апрель 2023'!$G$4:$G$692,'апрель 2023'!$D$4:$D$692,$B182,'апрель 2023'!$J$4:$J$692,R$1)</f>
        <v>0</v>
      </c>
      <c r="S182" s="207">
        <f>SUMIFS('апрель 2023'!$G$4:$G$692,'апрель 2023'!$D$4:$D$692,$B182,'апрель 2023'!$J$4:$J$692,S$1)</f>
        <v>0</v>
      </c>
      <c r="T182" s="207">
        <f>SUMIFS('апрель 2023'!$G$4:$G$692,'апрель 2023'!$D$4:$D$692,$B182,'апрель 2023'!$J$4:$J$692,T$1)</f>
        <v>0</v>
      </c>
      <c r="U182" s="207">
        <f>SUMIFS('апрель 2023'!$G$4:$G$692,'апрель 2023'!$D$4:$D$692,$B182,'апрель 2023'!$J$4:$J$692,U$1)</f>
        <v>0</v>
      </c>
      <c r="V182" s="207">
        <f>SUMIFS('апрель 2023'!$G$4:$G$692,'апрель 2023'!$D$4:$D$692,$B182,'апрель 2023'!$J$4:$J$692,V$1)</f>
        <v>0</v>
      </c>
      <c r="W182" s="207">
        <f>SUMIFS('апрель 2023'!$G$4:$G$692,'апрель 2023'!$D$4:$D$692,$B182,'апрель 2023'!$J$4:$J$692,W$1)</f>
        <v>0</v>
      </c>
      <c r="X182" s="207">
        <f>SUMIFS('апрель 2023'!$G$4:$G$692,'апрель 2023'!$D$4:$D$692,$B182,'апрель 2023'!$J$4:$J$692,X$1)</f>
        <v>0</v>
      </c>
      <c r="Y182" s="207">
        <f>SUMIFS('апрель 2023'!$G$4:$G$692,'апрель 2023'!$D$4:$D$692,$B182,'апрель 2023'!$J$4:$J$692,Y$1)</f>
        <v>0</v>
      </c>
      <c r="Z182" s="207">
        <f>SUMIFS('апрель 2023'!$G$4:$G$692,'апрель 2023'!$D$4:$D$692,$B182,'апрель 2023'!$J$4:$J$692,Z$1)</f>
        <v>0</v>
      </c>
      <c r="AA182" s="207">
        <f>SUMIFS('апрель 2023'!$G$4:$G$692,'апрель 2023'!$D$4:$D$692,$B182,'апрель 2023'!$J$4:$J$692,AA$1)</f>
        <v>0</v>
      </c>
      <c r="AB182" s="207">
        <f>SUMIFS('апрель 2023'!$G$4:$G$692,'апрель 2023'!$D$4:$D$692,$B182,'апрель 2023'!$J$4:$J$692,AB$1)</f>
        <v>0</v>
      </c>
      <c r="AC182" s="207">
        <f>SUMIFS('апрель 2023'!$G$4:$G$692,'апрель 2023'!$D$4:$D$692,$B182,'апрель 2023'!$J$4:$J$692,AC$1)</f>
        <v>0</v>
      </c>
      <c r="AD182" s="207">
        <f>SUMIFS('апрель 2023'!$G$4:$G$692,'апрель 2023'!$D$4:$D$692,$B182,'апрель 2023'!$J$4:$J$692,AD$1)</f>
        <v>0</v>
      </c>
      <c r="AE182" s="207">
        <f>SUMIFS('апрель 2023'!$G$4:$G$692,'апрель 2023'!$D$4:$D$692,$B182,'апрель 2023'!$J$4:$J$692,AE$1)</f>
        <v>0</v>
      </c>
      <c r="AF182" s="207">
        <f>SUMIFS('апрель 2023'!$G$4:$G$692,'апрель 2023'!$D$4:$D$692,$B182,'апрель 2023'!$J$4:$J$692,AF$1)</f>
        <v>0</v>
      </c>
      <c r="AG182" s="207">
        <f>SUMIFS('апрель 2023'!$G$4:$G$692,'апрель 2023'!$D$4:$D$692,$B182,'апрель 2023'!$J$4:$J$692,AG$1)</f>
        <v>0</v>
      </c>
      <c r="AH182" s="207">
        <f>SUMIFS('апрель 2023'!$G$4:$G$692,'апрель 2023'!$D$4:$D$692,$B182,'апрель 2023'!$J$4:$J$692,AH$1)</f>
        <v>0</v>
      </c>
      <c r="AI182" s="220">
        <f t="shared" si="4"/>
        <v>0</v>
      </c>
    </row>
    <row r="183" spans="2:35" ht="15.75" hidden="1" x14ac:dyDescent="0.25">
      <c r="B183" s="212"/>
      <c r="C183" s="211"/>
      <c r="D183" s="207">
        <f>SUMIFS('апрель 2023'!$G$4:$G$692,'апрель 2023'!$D$4:$D$692,$B183,'апрель 2023'!$J$4:$J$692,D$1)</f>
        <v>0</v>
      </c>
      <c r="E183" s="207">
        <f>SUMIFS('апрель 2023'!$G$4:$G$692,'апрель 2023'!$D$4:$D$692,$B183,'апрель 2023'!$J$4:$J$692,E$1)</f>
        <v>0</v>
      </c>
      <c r="F183" s="207">
        <f>SUMIFS('апрель 2023'!$G$4:$G$692,'апрель 2023'!$D$4:$D$692,$B183,'апрель 2023'!$J$4:$J$692,F$1)</f>
        <v>0</v>
      </c>
      <c r="G183" s="207">
        <f>SUMIFS('апрель 2023'!$G$4:$G$692,'апрель 2023'!$D$4:$D$692,$B183,'апрель 2023'!$J$4:$J$692,G$1)</f>
        <v>0</v>
      </c>
      <c r="H183" s="207">
        <f>SUMIFS('апрель 2023'!$G$4:$G$692,'апрель 2023'!$D$4:$D$692,$B183,'апрель 2023'!$J$4:$J$692,H$1)</f>
        <v>0</v>
      </c>
      <c r="I183" s="207">
        <f>SUMIFS('апрель 2023'!$G$4:$G$692,'апрель 2023'!$D$4:$D$692,$B183,'апрель 2023'!$J$4:$J$692,I$1)</f>
        <v>0</v>
      </c>
      <c r="J183" s="207">
        <f>SUMIFS('апрель 2023'!$G$4:$G$692,'апрель 2023'!$D$4:$D$692,$B183,'апрель 2023'!$J$4:$J$692,J$1)</f>
        <v>0</v>
      </c>
      <c r="K183" s="207">
        <f>SUMIFS('апрель 2023'!$G$4:$G$692,'апрель 2023'!$D$4:$D$692,$B183,'апрель 2023'!$J$4:$J$692,K$1)</f>
        <v>0</v>
      </c>
      <c r="L183" s="207">
        <f>SUMIFS('апрель 2023'!$G$4:$G$692,'апрель 2023'!$D$4:$D$692,$B183,'апрель 2023'!$J$4:$J$692,L$1)</f>
        <v>0</v>
      </c>
      <c r="M183" s="207">
        <f>SUMIFS('апрель 2023'!$G$4:$G$692,'апрель 2023'!$D$4:$D$692,$B183,'апрель 2023'!$J$4:$J$692,M$1)</f>
        <v>0</v>
      </c>
      <c r="N183" s="207">
        <f>SUMIFS('апрель 2023'!$G$4:$G$692,'апрель 2023'!$D$4:$D$692,$B183,'апрель 2023'!$J$4:$J$692,N$1)</f>
        <v>0</v>
      </c>
      <c r="O183" s="207">
        <f>SUMIFS('апрель 2023'!$G$4:$G$692,'апрель 2023'!$D$4:$D$692,$B183,'апрель 2023'!$J$4:$J$692,O$1)</f>
        <v>0</v>
      </c>
      <c r="P183" s="207">
        <f>SUMIFS('апрель 2023'!$G$4:$G$692,'апрель 2023'!$D$4:$D$692,$B183,'апрель 2023'!$J$4:$J$692,P$1)</f>
        <v>0</v>
      </c>
      <c r="Q183" s="207">
        <f>SUMIFS('апрель 2023'!$G$4:$G$692,'апрель 2023'!$D$4:$D$692,$B183,'апрель 2023'!$J$4:$J$692,Q$1)</f>
        <v>0</v>
      </c>
      <c r="R183" s="207">
        <f>SUMIFS('апрель 2023'!$G$4:$G$692,'апрель 2023'!$D$4:$D$692,$B183,'апрель 2023'!$J$4:$J$692,R$1)</f>
        <v>0</v>
      </c>
      <c r="S183" s="207">
        <f>SUMIFS('апрель 2023'!$G$4:$G$692,'апрель 2023'!$D$4:$D$692,$B183,'апрель 2023'!$J$4:$J$692,S$1)</f>
        <v>0</v>
      </c>
      <c r="T183" s="207">
        <f>SUMIFS('апрель 2023'!$G$4:$G$692,'апрель 2023'!$D$4:$D$692,$B183,'апрель 2023'!$J$4:$J$692,T$1)</f>
        <v>0</v>
      </c>
      <c r="U183" s="207">
        <f>SUMIFS('апрель 2023'!$G$4:$G$692,'апрель 2023'!$D$4:$D$692,$B183,'апрель 2023'!$J$4:$J$692,U$1)</f>
        <v>0</v>
      </c>
      <c r="V183" s="207">
        <f>SUMIFS('апрель 2023'!$G$4:$G$692,'апрель 2023'!$D$4:$D$692,$B183,'апрель 2023'!$J$4:$J$692,V$1)</f>
        <v>0</v>
      </c>
      <c r="W183" s="207">
        <f>SUMIFS('апрель 2023'!$G$4:$G$692,'апрель 2023'!$D$4:$D$692,$B183,'апрель 2023'!$J$4:$J$692,W$1)</f>
        <v>0</v>
      </c>
      <c r="X183" s="207">
        <f>SUMIFS('апрель 2023'!$G$4:$G$692,'апрель 2023'!$D$4:$D$692,$B183,'апрель 2023'!$J$4:$J$692,X$1)</f>
        <v>0</v>
      </c>
      <c r="Y183" s="207">
        <f>SUMIFS('апрель 2023'!$G$4:$G$692,'апрель 2023'!$D$4:$D$692,$B183,'апрель 2023'!$J$4:$J$692,Y$1)</f>
        <v>0</v>
      </c>
      <c r="Z183" s="207">
        <f>SUMIFS('апрель 2023'!$G$4:$G$692,'апрель 2023'!$D$4:$D$692,$B183,'апрель 2023'!$J$4:$J$692,Z$1)</f>
        <v>0</v>
      </c>
      <c r="AA183" s="207">
        <f>SUMIFS('апрель 2023'!$G$4:$G$692,'апрель 2023'!$D$4:$D$692,$B183,'апрель 2023'!$J$4:$J$692,AA$1)</f>
        <v>0</v>
      </c>
      <c r="AB183" s="207">
        <f>SUMIFS('апрель 2023'!$G$4:$G$692,'апрель 2023'!$D$4:$D$692,$B183,'апрель 2023'!$J$4:$J$692,AB$1)</f>
        <v>0</v>
      </c>
      <c r="AC183" s="207">
        <f>SUMIFS('апрель 2023'!$G$4:$G$692,'апрель 2023'!$D$4:$D$692,$B183,'апрель 2023'!$J$4:$J$692,AC$1)</f>
        <v>0</v>
      </c>
      <c r="AD183" s="207">
        <f>SUMIFS('апрель 2023'!$G$4:$G$692,'апрель 2023'!$D$4:$D$692,$B183,'апрель 2023'!$J$4:$J$692,AD$1)</f>
        <v>0</v>
      </c>
      <c r="AE183" s="207">
        <f>SUMIFS('апрель 2023'!$G$4:$G$692,'апрель 2023'!$D$4:$D$692,$B183,'апрель 2023'!$J$4:$J$692,AE$1)</f>
        <v>0</v>
      </c>
      <c r="AF183" s="207">
        <f>SUMIFS('апрель 2023'!$G$4:$G$692,'апрель 2023'!$D$4:$D$692,$B183,'апрель 2023'!$J$4:$J$692,AF$1)</f>
        <v>0</v>
      </c>
      <c r="AG183" s="207">
        <f>SUMIFS('апрель 2023'!$G$4:$G$692,'апрель 2023'!$D$4:$D$692,$B183,'апрель 2023'!$J$4:$J$692,AG$1)</f>
        <v>0</v>
      </c>
      <c r="AH183" s="207">
        <f>SUMIFS('апрель 2023'!$G$4:$G$692,'апрель 2023'!$D$4:$D$692,$B183,'апрель 2023'!$J$4:$J$692,AH$1)</f>
        <v>0</v>
      </c>
      <c r="AI183" s="220">
        <f t="shared" si="4"/>
        <v>0</v>
      </c>
    </row>
    <row r="184" spans="2:35" ht="15.75" hidden="1" x14ac:dyDescent="0.25">
      <c r="B184" s="212"/>
      <c r="C184" s="211"/>
      <c r="D184" s="207">
        <f>SUMIFS('апрель 2023'!$G$4:$G$692,'апрель 2023'!$D$4:$D$692,$B184,'апрель 2023'!$J$4:$J$692,D$1)</f>
        <v>0</v>
      </c>
      <c r="E184" s="207">
        <f>SUMIFS('апрель 2023'!$G$4:$G$692,'апрель 2023'!$D$4:$D$692,$B184,'апрель 2023'!$J$4:$J$692,E$1)</f>
        <v>0</v>
      </c>
      <c r="F184" s="207">
        <f>SUMIFS('апрель 2023'!$G$4:$G$692,'апрель 2023'!$D$4:$D$692,$B184,'апрель 2023'!$J$4:$J$692,F$1)</f>
        <v>0</v>
      </c>
      <c r="G184" s="207">
        <f>SUMIFS('апрель 2023'!$G$4:$G$692,'апрель 2023'!$D$4:$D$692,$B184,'апрель 2023'!$J$4:$J$692,G$1)</f>
        <v>0</v>
      </c>
      <c r="H184" s="207">
        <f>SUMIFS('апрель 2023'!$G$4:$G$692,'апрель 2023'!$D$4:$D$692,$B184,'апрель 2023'!$J$4:$J$692,H$1)</f>
        <v>0</v>
      </c>
      <c r="I184" s="207">
        <f>SUMIFS('апрель 2023'!$G$4:$G$692,'апрель 2023'!$D$4:$D$692,$B184,'апрель 2023'!$J$4:$J$692,I$1)</f>
        <v>0</v>
      </c>
      <c r="J184" s="207">
        <f>SUMIFS('апрель 2023'!$G$4:$G$692,'апрель 2023'!$D$4:$D$692,$B184,'апрель 2023'!$J$4:$J$692,J$1)</f>
        <v>0</v>
      </c>
      <c r="K184" s="207">
        <f>SUMIFS('апрель 2023'!$G$4:$G$692,'апрель 2023'!$D$4:$D$692,$B184,'апрель 2023'!$J$4:$J$692,K$1)</f>
        <v>0</v>
      </c>
      <c r="L184" s="207">
        <f>SUMIFS('апрель 2023'!$G$4:$G$692,'апрель 2023'!$D$4:$D$692,$B184,'апрель 2023'!$J$4:$J$692,L$1)</f>
        <v>0</v>
      </c>
      <c r="M184" s="207">
        <f>SUMIFS('апрель 2023'!$G$4:$G$692,'апрель 2023'!$D$4:$D$692,$B184,'апрель 2023'!$J$4:$J$692,M$1)</f>
        <v>0</v>
      </c>
      <c r="N184" s="207">
        <f>SUMIFS('апрель 2023'!$G$4:$G$692,'апрель 2023'!$D$4:$D$692,$B184,'апрель 2023'!$J$4:$J$692,N$1)</f>
        <v>0</v>
      </c>
      <c r="O184" s="207">
        <f>SUMIFS('апрель 2023'!$G$4:$G$692,'апрель 2023'!$D$4:$D$692,$B184,'апрель 2023'!$J$4:$J$692,O$1)</f>
        <v>0</v>
      </c>
      <c r="P184" s="207">
        <f>SUMIFS('апрель 2023'!$G$4:$G$692,'апрель 2023'!$D$4:$D$692,$B184,'апрель 2023'!$J$4:$J$692,P$1)</f>
        <v>0</v>
      </c>
      <c r="Q184" s="207">
        <f>SUMIFS('апрель 2023'!$G$4:$G$692,'апрель 2023'!$D$4:$D$692,$B184,'апрель 2023'!$J$4:$J$692,Q$1)</f>
        <v>0</v>
      </c>
      <c r="R184" s="207">
        <f>SUMIFS('апрель 2023'!$G$4:$G$692,'апрель 2023'!$D$4:$D$692,$B184,'апрель 2023'!$J$4:$J$692,R$1)</f>
        <v>0</v>
      </c>
      <c r="S184" s="207">
        <f>SUMIFS('апрель 2023'!$G$4:$G$692,'апрель 2023'!$D$4:$D$692,$B184,'апрель 2023'!$J$4:$J$692,S$1)</f>
        <v>0</v>
      </c>
      <c r="T184" s="207">
        <f>SUMIFS('апрель 2023'!$G$4:$G$692,'апрель 2023'!$D$4:$D$692,$B184,'апрель 2023'!$J$4:$J$692,T$1)</f>
        <v>0</v>
      </c>
      <c r="U184" s="207">
        <f>SUMIFS('апрель 2023'!$G$4:$G$692,'апрель 2023'!$D$4:$D$692,$B184,'апрель 2023'!$J$4:$J$692,U$1)</f>
        <v>0</v>
      </c>
      <c r="V184" s="207">
        <f>SUMIFS('апрель 2023'!$G$4:$G$692,'апрель 2023'!$D$4:$D$692,$B184,'апрель 2023'!$J$4:$J$692,V$1)</f>
        <v>0</v>
      </c>
      <c r="W184" s="207">
        <f>SUMIFS('апрель 2023'!$G$4:$G$692,'апрель 2023'!$D$4:$D$692,$B184,'апрель 2023'!$J$4:$J$692,W$1)</f>
        <v>0</v>
      </c>
      <c r="X184" s="207">
        <f>SUMIFS('апрель 2023'!$G$4:$G$692,'апрель 2023'!$D$4:$D$692,$B184,'апрель 2023'!$J$4:$J$692,X$1)</f>
        <v>0</v>
      </c>
      <c r="Y184" s="207">
        <f>SUMIFS('апрель 2023'!$G$4:$G$692,'апрель 2023'!$D$4:$D$692,$B184,'апрель 2023'!$J$4:$J$692,Y$1)</f>
        <v>0</v>
      </c>
      <c r="Z184" s="207">
        <f>SUMIFS('апрель 2023'!$G$4:$G$692,'апрель 2023'!$D$4:$D$692,$B184,'апрель 2023'!$J$4:$J$692,Z$1)</f>
        <v>0</v>
      </c>
      <c r="AA184" s="207">
        <f>SUMIFS('апрель 2023'!$G$4:$G$692,'апрель 2023'!$D$4:$D$692,$B184,'апрель 2023'!$J$4:$J$692,AA$1)</f>
        <v>0</v>
      </c>
      <c r="AB184" s="207">
        <f>SUMIFS('апрель 2023'!$G$4:$G$692,'апрель 2023'!$D$4:$D$692,$B184,'апрель 2023'!$J$4:$J$692,AB$1)</f>
        <v>0</v>
      </c>
      <c r="AC184" s="207">
        <f>SUMIFS('апрель 2023'!$G$4:$G$692,'апрель 2023'!$D$4:$D$692,$B184,'апрель 2023'!$J$4:$J$692,AC$1)</f>
        <v>0</v>
      </c>
      <c r="AD184" s="207">
        <f>SUMIFS('апрель 2023'!$G$4:$G$692,'апрель 2023'!$D$4:$D$692,$B184,'апрель 2023'!$J$4:$J$692,AD$1)</f>
        <v>0</v>
      </c>
      <c r="AE184" s="207">
        <f>SUMIFS('апрель 2023'!$G$4:$G$692,'апрель 2023'!$D$4:$D$692,$B184,'апрель 2023'!$J$4:$J$692,AE$1)</f>
        <v>0</v>
      </c>
      <c r="AF184" s="207">
        <f>SUMIFS('апрель 2023'!$G$4:$G$692,'апрель 2023'!$D$4:$D$692,$B184,'апрель 2023'!$J$4:$J$692,AF$1)</f>
        <v>0</v>
      </c>
      <c r="AG184" s="207">
        <f>SUMIFS('апрель 2023'!$G$4:$G$692,'апрель 2023'!$D$4:$D$692,$B184,'апрель 2023'!$J$4:$J$692,AG$1)</f>
        <v>0</v>
      </c>
      <c r="AH184" s="207">
        <f>SUMIFS('апрель 2023'!$G$4:$G$692,'апрель 2023'!$D$4:$D$692,$B184,'апрель 2023'!$J$4:$J$692,AH$1)</f>
        <v>0</v>
      </c>
      <c r="AI184" s="220">
        <f t="shared" si="4"/>
        <v>0</v>
      </c>
    </row>
    <row r="185" spans="2:35" ht="15.75" hidden="1" x14ac:dyDescent="0.25">
      <c r="B185" s="212"/>
      <c r="C185" s="211"/>
      <c r="D185" s="207">
        <f>SUMIFS('апрель 2023'!$G$4:$G$692,'апрель 2023'!$D$4:$D$692,$B185,'апрель 2023'!$J$4:$J$692,D$1)</f>
        <v>0</v>
      </c>
      <c r="E185" s="207">
        <f>SUMIFS('апрель 2023'!$G$4:$G$692,'апрель 2023'!$D$4:$D$692,$B185,'апрель 2023'!$J$4:$J$692,E$1)</f>
        <v>0</v>
      </c>
      <c r="F185" s="207">
        <f>SUMIFS('апрель 2023'!$G$4:$G$692,'апрель 2023'!$D$4:$D$692,$B185,'апрель 2023'!$J$4:$J$692,F$1)</f>
        <v>0</v>
      </c>
      <c r="G185" s="207">
        <f>SUMIFS('апрель 2023'!$G$4:$G$692,'апрель 2023'!$D$4:$D$692,$B185,'апрель 2023'!$J$4:$J$692,G$1)</f>
        <v>0</v>
      </c>
      <c r="H185" s="207">
        <f>SUMIFS('апрель 2023'!$G$4:$G$692,'апрель 2023'!$D$4:$D$692,$B185,'апрель 2023'!$J$4:$J$692,H$1)</f>
        <v>0</v>
      </c>
      <c r="I185" s="207">
        <f>SUMIFS('апрель 2023'!$G$4:$G$692,'апрель 2023'!$D$4:$D$692,$B185,'апрель 2023'!$J$4:$J$692,I$1)</f>
        <v>0</v>
      </c>
      <c r="J185" s="207">
        <f>SUMIFS('апрель 2023'!$G$4:$G$692,'апрель 2023'!$D$4:$D$692,$B185,'апрель 2023'!$J$4:$J$692,J$1)</f>
        <v>0</v>
      </c>
      <c r="K185" s="207">
        <f>SUMIFS('апрель 2023'!$G$4:$G$692,'апрель 2023'!$D$4:$D$692,$B185,'апрель 2023'!$J$4:$J$692,K$1)</f>
        <v>0</v>
      </c>
      <c r="L185" s="207">
        <f>SUMIFS('апрель 2023'!$G$4:$G$692,'апрель 2023'!$D$4:$D$692,$B185,'апрель 2023'!$J$4:$J$692,L$1)</f>
        <v>0</v>
      </c>
      <c r="M185" s="207">
        <f>SUMIFS('апрель 2023'!$G$4:$G$692,'апрель 2023'!$D$4:$D$692,$B185,'апрель 2023'!$J$4:$J$692,M$1)</f>
        <v>0</v>
      </c>
      <c r="N185" s="207">
        <f>SUMIFS('апрель 2023'!$G$4:$G$692,'апрель 2023'!$D$4:$D$692,$B185,'апрель 2023'!$J$4:$J$692,N$1)</f>
        <v>0</v>
      </c>
      <c r="O185" s="207">
        <f>SUMIFS('апрель 2023'!$G$4:$G$692,'апрель 2023'!$D$4:$D$692,$B185,'апрель 2023'!$J$4:$J$692,O$1)</f>
        <v>0</v>
      </c>
      <c r="P185" s="207">
        <f>SUMIFS('апрель 2023'!$G$4:$G$692,'апрель 2023'!$D$4:$D$692,$B185,'апрель 2023'!$J$4:$J$692,P$1)</f>
        <v>0</v>
      </c>
      <c r="Q185" s="207">
        <f>SUMIFS('апрель 2023'!$G$4:$G$692,'апрель 2023'!$D$4:$D$692,$B185,'апрель 2023'!$J$4:$J$692,Q$1)</f>
        <v>0</v>
      </c>
      <c r="R185" s="207">
        <f>SUMIFS('апрель 2023'!$G$4:$G$692,'апрель 2023'!$D$4:$D$692,$B185,'апрель 2023'!$J$4:$J$692,R$1)</f>
        <v>0</v>
      </c>
      <c r="S185" s="207">
        <f>SUMIFS('апрель 2023'!$G$4:$G$692,'апрель 2023'!$D$4:$D$692,$B185,'апрель 2023'!$J$4:$J$692,S$1)</f>
        <v>0</v>
      </c>
      <c r="T185" s="207">
        <f>SUMIFS('апрель 2023'!$G$4:$G$692,'апрель 2023'!$D$4:$D$692,$B185,'апрель 2023'!$J$4:$J$692,T$1)</f>
        <v>0</v>
      </c>
      <c r="U185" s="207">
        <f>SUMIFS('апрель 2023'!$G$4:$G$692,'апрель 2023'!$D$4:$D$692,$B185,'апрель 2023'!$J$4:$J$692,U$1)</f>
        <v>0</v>
      </c>
      <c r="V185" s="207">
        <f>SUMIFS('апрель 2023'!$G$4:$G$692,'апрель 2023'!$D$4:$D$692,$B185,'апрель 2023'!$J$4:$J$692,V$1)</f>
        <v>0</v>
      </c>
      <c r="W185" s="207">
        <f>SUMIFS('апрель 2023'!$G$4:$G$692,'апрель 2023'!$D$4:$D$692,$B185,'апрель 2023'!$J$4:$J$692,W$1)</f>
        <v>0</v>
      </c>
      <c r="X185" s="207">
        <f>SUMIFS('апрель 2023'!$G$4:$G$692,'апрель 2023'!$D$4:$D$692,$B185,'апрель 2023'!$J$4:$J$692,X$1)</f>
        <v>0</v>
      </c>
      <c r="Y185" s="207">
        <f>SUMIFS('апрель 2023'!$G$4:$G$692,'апрель 2023'!$D$4:$D$692,$B185,'апрель 2023'!$J$4:$J$692,Y$1)</f>
        <v>0</v>
      </c>
      <c r="Z185" s="207">
        <f>SUMIFS('апрель 2023'!$G$4:$G$692,'апрель 2023'!$D$4:$D$692,$B185,'апрель 2023'!$J$4:$J$692,Z$1)</f>
        <v>0</v>
      </c>
      <c r="AA185" s="207">
        <f>SUMIFS('апрель 2023'!$G$4:$G$692,'апрель 2023'!$D$4:$D$692,$B185,'апрель 2023'!$J$4:$J$692,AA$1)</f>
        <v>0</v>
      </c>
      <c r="AB185" s="207">
        <f>SUMIFS('апрель 2023'!$G$4:$G$692,'апрель 2023'!$D$4:$D$692,$B185,'апрель 2023'!$J$4:$J$692,AB$1)</f>
        <v>0</v>
      </c>
      <c r="AC185" s="207">
        <f>SUMIFS('апрель 2023'!$G$4:$G$692,'апрель 2023'!$D$4:$D$692,$B185,'апрель 2023'!$J$4:$J$692,AC$1)</f>
        <v>0</v>
      </c>
      <c r="AD185" s="207">
        <f>SUMIFS('апрель 2023'!$G$4:$G$692,'апрель 2023'!$D$4:$D$692,$B185,'апрель 2023'!$J$4:$J$692,AD$1)</f>
        <v>0</v>
      </c>
      <c r="AE185" s="207">
        <f>SUMIFS('апрель 2023'!$G$4:$G$692,'апрель 2023'!$D$4:$D$692,$B185,'апрель 2023'!$J$4:$J$692,AE$1)</f>
        <v>0</v>
      </c>
      <c r="AF185" s="207">
        <f>SUMIFS('апрель 2023'!$G$4:$G$692,'апрель 2023'!$D$4:$D$692,$B185,'апрель 2023'!$J$4:$J$692,AF$1)</f>
        <v>0</v>
      </c>
      <c r="AG185" s="207">
        <f>SUMIFS('апрель 2023'!$G$4:$G$692,'апрель 2023'!$D$4:$D$692,$B185,'апрель 2023'!$J$4:$J$692,AG$1)</f>
        <v>0</v>
      </c>
      <c r="AH185" s="207">
        <f>SUMIFS('апрель 2023'!$G$4:$G$692,'апрель 2023'!$D$4:$D$692,$B185,'апрель 2023'!$J$4:$J$692,AH$1)</f>
        <v>0</v>
      </c>
      <c r="AI185" s="220">
        <f t="shared" si="4"/>
        <v>0</v>
      </c>
    </row>
    <row r="186" spans="2:35" ht="15.75" hidden="1" x14ac:dyDescent="0.25">
      <c r="B186" s="212"/>
      <c r="C186" s="211"/>
      <c r="D186" s="207">
        <f>SUMIFS('апрель 2023'!$G$4:$G$692,'апрель 2023'!$D$4:$D$692,$B186,'апрель 2023'!$J$4:$J$692,D$1)</f>
        <v>0</v>
      </c>
      <c r="E186" s="207">
        <f>SUMIFS('апрель 2023'!$G$4:$G$692,'апрель 2023'!$D$4:$D$692,$B186,'апрель 2023'!$J$4:$J$692,E$1)</f>
        <v>0</v>
      </c>
      <c r="F186" s="207">
        <f>SUMIFS('апрель 2023'!$G$4:$G$692,'апрель 2023'!$D$4:$D$692,$B186,'апрель 2023'!$J$4:$J$692,F$1)</f>
        <v>0</v>
      </c>
      <c r="G186" s="207">
        <f>SUMIFS('апрель 2023'!$G$4:$G$692,'апрель 2023'!$D$4:$D$692,$B186,'апрель 2023'!$J$4:$J$692,G$1)</f>
        <v>0</v>
      </c>
      <c r="H186" s="207">
        <f>SUMIFS('апрель 2023'!$G$4:$G$692,'апрель 2023'!$D$4:$D$692,$B186,'апрель 2023'!$J$4:$J$692,H$1)</f>
        <v>0</v>
      </c>
      <c r="I186" s="207">
        <f>SUMIFS('апрель 2023'!$G$4:$G$692,'апрель 2023'!$D$4:$D$692,$B186,'апрель 2023'!$J$4:$J$692,I$1)</f>
        <v>0</v>
      </c>
      <c r="J186" s="207">
        <f>SUMIFS('апрель 2023'!$G$4:$G$692,'апрель 2023'!$D$4:$D$692,$B186,'апрель 2023'!$J$4:$J$692,J$1)</f>
        <v>0</v>
      </c>
      <c r="K186" s="207">
        <f>SUMIFS('апрель 2023'!$G$4:$G$692,'апрель 2023'!$D$4:$D$692,$B186,'апрель 2023'!$J$4:$J$692,K$1)</f>
        <v>0</v>
      </c>
      <c r="L186" s="207">
        <f>SUMIFS('апрель 2023'!$G$4:$G$692,'апрель 2023'!$D$4:$D$692,$B186,'апрель 2023'!$J$4:$J$692,L$1)</f>
        <v>0</v>
      </c>
      <c r="M186" s="207">
        <f>SUMIFS('апрель 2023'!$G$4:$G$692,'апрель 2023'!$D$4:$D$692,$B186,'апрель 2023'!$J$4:$J$692,M$1)</f>
        <v>0</v>
      </c>
      <c r="N186" s="207">
        <f>SUMIFS('апрель 2023'!$G$4:$G$692,'апрель 2023'!$D$4:$D$692,$B186,'апрель 2023'!$J$4:$J$692,N$1)</f>
        <v>0</v>
      </c>
      <c r="O186" s="207">
        <f>SUMIFS('апрель 2023'!$G$4:$G$692,'апрель 2023'!$D$4:$D$692,$B186,'апрель 2023'!$J$4:$J$692,O$1)</f>
        <v>0</v>
      </c>
      <c r="P186" s="207">
        <f>SUMIFS('апрель 2023'!$G$4:$G$692,'апрель 2023'!$D$4:$D$692,$B186,'апрель 2023'!$J$4:$J$692,P$1)</f>
        <v>0</v>
      </c>
      <c r="Q186" s="207">
        <f>SUMIFS('апрель 2023'!$G$4:$G$692,'апрель 2023'!$D$4:$D$692,$B186,'апрель 2023'!$J$4:$J$692,Q$1)</f>
        <v>0</v>
      </c>
      <c r="R186" s="207">
        <f>SUMIFS('апрель 2023'!$G$4:$G$692,'апрель 2023'!$D$4:$D$692,$B186,'апрель 2023'!$J$4:$J$692,R$1)</f>
        <v>0</v>
      </c>
      <c r="S186" s="207">
        <f>SUMIFS('апрель 2023'!$G$4:$G$692,'апрель 2023'!$D$4:$D$692,$B186,'апрель 2023'!$J$4:$J$692,S$1)</f>
        <v>0</v>
      </c>
      <c r="T186" s="207">
        <f>SUMIFS('апрель 2023'!$G$4:$G$692,'апрель 2023'!$D$4:$D$692,$B186,'апрель 2023'!$J$4:$J$692,T$1)</f>
        <v>0</v>
      </c>
      <c r="U186" s="207">
        <f>SUMIFS('апрель 2023'!$G$4:$G$692,'апрель 2023'!$D$4:$D$692,$B186,'апрель 2023'!$J$4:$J$692,U$1)</f>
        <v>0</v>
      </c>
      <c r="V186" s="207">
        <f>SUMIFS('апрель 2023'!$G$4:$G$692,'апрель 2023'!$D$4:$D$692,$B186,'апрель 2023'!$J$4:$J$692,V$1)</f>
        <v>0</v>
      </c>
      <c r="W186" s="207">
        <f>SUMIFS('апрель 2023'!$G$4:$G$692,'апрель 2023'!$D$4:$D$692,$B186,'апрель 2023'!$J$4:$J$692,W$1)</f>
        <v>0</v>
      </c>
      <c r="X186" s="207">
        <f>SUMIFS('апрель 2023'!$G$4:$G$692,'апрель 2023'!$D$4:$D$692,$B186,'апрель 2023'!$J$4:$J$692,X$1)</f>
        <v>0</v>
      </c>
      <c r="Y186" s="207">
        <f>SUMIFS('апрель 2023'!$G$4:$G$692,'апрель 2023'!$D$4:$D$692,$B186,'апрель 2023'!$J$4:$J$692,Y$1)</f>
        <v>0</v>
      </c>
      <c r="Z186" s="207">
        <f>SUMIFS('апрель 2023'!$G$4:$G$692,'апрель 2023'!$D$4:$D$692,$B186,'апрель 2023'!$J$4:$J$692,Z$1)</f>
        <v>0</v>
      </c>
      <c r="AA186" s="207">
        <f>SUMIFS('апрель 2023'!$G$4:$G$692,'апрель 2023'!$D$4:$D$692,$B186,'апрель 2023'!$J$4:$J$692,AA$1)</f>
        <v>0</v>
      </c>
      <c r="AB186" s="207">
        <f>SUMIFS('апрель 2023'!$G$4:$G$692,'апрель 2023'!$D$4:$D$692,$B186,'апрель 2023'!$J$4:$J$692,AB$1)</f>
        <v>0</v>
      </c>
      <c r="AC186" s="207">
        <f>SUMIFS('апрель 2023'!$G$4:$G$692,'апрель 2023'!$D$4:$D$692,$B186,'апрель 2023'!$J$4:$J$692,AC$1)</f>
        <v>0</v>
      </c>
      <c r="AD186" s="207">
        <f>SUMIFS('апрель 2023'!$G$4:$G$692,'апрель 2023'!$D$4:$D$692,$B186,'апрель 2023'!$J$4:$J$692,AD$1)</f>
        <v>0</v>
      </c>
      <c r="AE186" s="207">
        <f>SUMIFS('апрель 2023'!$G$4:$G$692,'апрель 2023'!$D$4:$D$692,$B186,'апрель 2023'!$J$4:$J$692,AE$1)</f>
        <v>0</v>
      </c>
      <c r="AF186" s="207">
        <f>SUMIFS('апрель 2023'!$G$4:$G$692,'апрель 2023'!$D$4:$D$692,$B186,'апрель 2023'!$J$4:$J$692,AF$1)</f>
        <v>0</v>
      </c>
      <c r="AG186" s="207">
        <f>SUMIFS('апрель 2023'!$G$4:$G$692,'апрель 2023'!$D$4:$D$692,$B186,'апрель 2023'!$J$4:$J$692,AG$1)</f>
        <v>0</v>
      </c>
      <c r="AH186" s="207">
        <f>SUMIFS('апрель 2023'!$G$4:$G$692,'апрель 2023'!$D$4:$D$692,$B186,'апрель 2023'!$J$4:$J$692,AH$1)</f>
        <v>0</v>
      </c>
      <c r="AI186" s="220">
        <f t="shared" si="4"/>
        <v>0</v>
      </c>
    </row>
    <row r="187" spans="2:35" ht="15.75" hidden="1" x14ac:dyDescent="0.25">
      <c r="B187" s="212"/>
      <c r="C187" s="211"/>
      <c r="D187" s="207">
        <f>SUMIFS('апрель 2023'!$G$4:$G$692,'апрель 2023'!$D$4:$D$692,$B187,'апрель 2023'!$J$4:$J$692,D$1)</f>
        <v>0</v>
      </c>
      <c r="E187" s="207">
        <f>SUMIFS('апрель 2023'!$G$4:$G$692,'апрель 2023'!$D$4:$D$692,$B187,'апрель 2023'!$J$4:$J$692,E$1)</f>
        <v>0</v>
      </c>
      <c r="F187" s="207">
        <f>SUMIFS('апрель 2023'!$G$4:$G$692,'апрель 2023'!$D$4:$D$692,$B187,'апрель 2023'!$J$4:$J$692,F$1)</f>
        <v>0</v>
      </c>
      <c r="G187" s="207">
        <f>SUMIFS('апрель 2023'!$G$4:$G$692,'апрель 2023'!$D$4:$D$692,$B187,'апрель 2023'!$J$4:$J$692,G$1)</f>
        <v>0</v>
      </c>
      <c r="H187" s="207">
        <f>SUMIFS('апрель 2023'!$G$4:$G$692,'апрель 2023'!$D$4:$D$692,$B187,'апрель 2023'!$J$4:$J$692,H$1)</f>
        <v>0</v>
      </c>
      <c r="I187" s="207">
        <f>SUMIFS('апрель 2023'!$G$4:$G$692,'апрель 2023'!$D$4:$D$692,$B187,'апрель 2023'!$J$4:$J$692,I$1)</f>
        <v>0</v>
      </c>
      <c r="J187" s="207">
        <f>SUMIFS('апрель 2023'!$G$4:$G$692,'апрель 2023'!$D$4:$D$692,$B187,'апрель 2023'!$J$4:$J$692,J$1)</f>
        <v>0</v>
      </c>
      <c r="K187" s="207">
        <f>SUMIFS('апрель 2023'!$G$4:$G$692,'апрель 2023'!$D$4:$D$692,$B187,'апрель 2023'!$J$4:$J$692,K$1)</f>
        <v>0</v>
      </c>
      <c r="L187" s="207">
        <f>SUMIFS('апрель 2023'!$G$4:$G$692,'апрель 2023'!$D$4:$D$692,$B187,'апрель 2023'!$J$4:$J$692,L$1)</f>
        <v>0</v>
      </c>
      <c r="M187" s="207">
        <f>SUMIFS('апрель 2023'!$G$4:$G$692,'апрель 2023'!$D$4:$D$692,$B187,'апрель 2023'!$J$4:$J$692,M$1)</f>
        <v>0</v>
      </c>
      <c r="N187" s="207">
        <f>SUMIFS('апрель 2023'!$G$4:$G$692,'апрель 2023'!$D$4:$D$692,$B187,'апрель 2023'!$J$4:$J$692,N$1)</f>
        <v>0</v>
      </c>
      <c r="O187" s="207">
        <f>SUMIFS('апрель 2023'!$G$4:$G$692,'апрель 2023'!$D$4:$D$692,$B187,'апрель 2023'!$J$4:$J$692,O$1)</f>
        <v>0</v>
      </c>
      <c r="P187" s="207">
        <f>SUMIFS('апрель 2023'!$G$4:$G$692,'апрель 2023'!$D$4:$D$692,$B187,'апрель 2023'!$J$4:$J$692,P$1)</f>
        <v>0</v>
      </c>
      <c r="Q187" s="207">
        <f>SUMIFS('апрель 2023'!$G$4:$G$692,'апрель 2023'!$D$4:$D$692,$B187,'апрель 2023'!$J$4:$J$692,Q$1)</f>
        <v>0</v>
      </c>
      <c r="R187" s="207">
        <f>SUMIFS('апрель 2023'!$G$4:$G$692,'апрель 2023'!$D$4:$D$692,$B187,'апрель 2023'!$J$4:$J$692,R$1)</f>
        <v>0</v>
      </c>
      <c r="S187" s="207">
        <f>SUMIFS('апрель 2023'!$G$4:$G$692,'апрель 2023'!$D$4:$D$692,$B187,'апрель 2023'!$J$4:$J$692,S$1)</f>
        <v>0</v>
      </c>
      <c r="T187" s="207">
        <f>SUMIFS('апрель 2023'!$G$4:$G$692,'апрель 2023'!$D$4:$D$692,$B187,'апрель 2023'!$J$4:$J$692,T$1)</f>
        <v>0</v>
      </c>
      <c r="U187" s="207">
        <f>SUMIFS('апрель 2023'!$G$4:$G$692,'апрель 2023'!$D$4:$D$692,$B187,'апрель 2023'!$J$4:$J$692,U$1)</f>
        <v>0</v>
      </c>
      <c r="V187" s="207">
        <f>SUMIFS('апрель 2023'!$G$4:$G$692,'апрель 2023'!$D$4:$D$692,$B187,'апрель 2023'!$J$4:$J$692,V$1)</f>
        <v>0</v>
      </c>
      <c r="W187" s="207">
        <f>SUMIFS('апрель 2023'!$G$4:$G$692,'апрель 2023'!$D$4:$D$692,$B187,'апрель 2023'!$J$4:$J$692,W$1)</f>
        <v>0</v>
      </c>
      <c r="X187" s="207">
        <f>SUMIFS('апрель 2023'!$G$4:$G$692,'апрель 2023'!$D$4:$D$692,$B187,'апрель 2023'!$J$4:$J$692,X$1)</f>
        <v>0</v>
      </c>
      <c r="Y187" s="207">
        <f>SUMIFS('апрель 2023'!$G$4:$G$692,'апрель 2023'!$D$4:$D$692,$B187,'апрель 2023'!$J$4:$J$692,Y$1)</f>
        <v>0</v>
      </c>
      <c r="Z187" s="207">
        <f>SUMIFS('апрель 2023'!$G$4:$G$692,'апрель 2023'!$D$4:$D$692,$B187,'апрель 2023'!$J$4:$J$692,Z$1)</f>
        <v>0</v>
      </c>
      <c r="AA187" s="207">
        <f>SUMIFS('апрель 2023'!$G$4:$G$692,'апрель 2023'!$D$4:$D$692,$B187,'апрель 2023'!$J$4:$J$692,AA$1)</f>
        <v>0</v>
      </c>
      <c r="AB187" s="207">
        <f>SUMIFS('апрель 2023'!$G$4:$G$692,'апрель 2023'!$D$4:$D$692,$B187,'апрель 2023'!$J$4:$J$692,AB$1)</f>
        <v>0</v>
      </c>
      <c r="AC187" s="207">
        <f>SUMIFS('апрель 2023'!$G$4:$G$692,'апрель 2023'!$D$4:$D$692,$B187,'апрель 2023'!$J$4:$J$692,AC$1)</f>
        <v>0</v>
      </c>
      <c r="AD187" s="207">
        <f>SUMIFS('апрель 2023'!$G$4:$G$692,'апрель 2023'!$D$4:$D$692,$B187,'апрель 2023'!$J$4:$J$692,AD$1)</f>
        <v>0</v>
      </c>
      <c r="AE187" s="207">
        <f>SUMIFS('апрель 2023'!$G$4:$G$692,'апрель 2023'!$D$4:$D$692,$B187,'апрель 2023'!$J$4:$J$692,AE$1)</f>
        <v>0</v>
      </c>
      <c r="AF187" s="207">
        <f>SUMIFS('апрель 2023'!$G$4:$G$692,'апрель 2023'!$D$4:$D$692,$B187,'апрель 2023'!$J$4:$J$692,AF$1)</f>
        <v>0</v>
      </c>
      <c r="AG187" s="207">
        <f>SUMIFS('апрель 2023'!$G$4:$G$692,'апрель 2023'!$D$4:$D$692,$B187,'апрель 2023'!$J$4:$J$692,AG$1)</f>
        <v>0</v>
      </c>
      <c r="AH187" s="207">
        <f>SUMIFS('апрель 2023'!$G$4:$G$692,'апрель 2023'!$D$4:$D$692,$B187,'апрель 2023'!$J$4:$J$692,AH$1)</f>
        <v>0</v>
      </c>
      <c r="AI187" s="220">
        <f t="shared" si="4"/>
        <v>0</v>
      </c>
    </row>
    <row r="188" spans="2:35" ht="15.75" x14ac:dyDescent="0.25">
      <c r="B188" s="212"/>
      <c r="C188" s="221"/>
      <c r="D188" s="207">
        <f>SUMIFS('апрель 2023'!$G$4:$G$692,'апрель 2023'!$D$4:$D$692,$B188,'апрель 2023'!$J$4:$J$692,D$1)</f>
        <v>0</v>
      </c>
      <c r="E188" s="207">
        <f>SUMIFS('апрель 2023'!$G$4:$G$692,'апрель 2023'!$D$4:$D$692,$B188,'апрель 2023'!$J$4:$J$692,E$1)</f>
        <v>0</v>
      </c>
      <c r="F188" s="207">
        <f>SUMIFS('апрель 2023'!$G$4:$G$692,'апрель 2023'!$D$4:$D$692,$B188,'апрель 2023'!$J$4:$J$692,F$1)</f>
        <v>0</v>
      </c>
      <c r="G188" s="207">
        <f>SUMIFS('апрель 2023'!$G$4:$G$692,'апрель 2023'!$D$4:$D$692,$B188,'апрель 2023'!$J$4:$J$692,G$1)</f>
        <v>0</v>
      </c>
      <c r="H188" s="207">
        <f>SUMIFS('апрель 2023'!$G$4:$G$692,'апрель 2023'!$D$4:$D$692,$B188,'апрель 2023'!$J$4:$J$692,H$1)</f>
        <v>0</v>
      </c>
      <c r="I188" s="207">
        <f>SUMIFS('апрель 2023'!$G$4:$G$692,'апрель 2023'!$D$4:$D$692,$B188,'апрель 2023'!$J$4:$J$692,I$1)</f>
        <v>0</v>
      </c>
      <c r="J188" s="207">
        <f>SUMIFS('апрель 2023'!$G$4:$G$692,'апрель 2023'!$D$4:$D$692,$B188,'апрель 2023'!$J$4:$J$692,J$1)</f>
        <v>0</v>
      </c>
      <c r="K188" s="207">
        <f>SUMIFS('апрель 2023'!$G$4:$G$692,'апрель 2023'!$D$4:$D$692,$B188,'апрель 2023'!$J$4:$J$692,K$1)</f>
        <v>0</v>
      </c>
      <c r="L188" s="207">
        <f>SUMIFS('апрель 2023'!$G$4:$G$692,'апрель 2023'!$D$4:$D$692,$B188,'апрель 2023'!$J$4:$J$692,L$1)</f>
        <v>0</v>
      </c>
      <c r="M188" s="207">
        <f>SUMIFS('апрель 2023'!$G$4:$G$692,'апрель 2023'!$D$4:$D$692,$B188,'апрель 2023'!$J$4:$J$692,M$1)</f>
        <v>0</v>
      </c>
      <c r="N188" s="207">
        <f>SUMIFS('апрель 2023'!$G$4:$G$692,'апрель 2023'!$D$4:$D$692,$B188,'апрель 2023'!$J$4:$J$692,N$1)</f>
        <v>0</v>
      </c>
      <c r="O188" s="207">
        <f>SUMIFS('апрель 2023'!$G$4:$G$692,'апрель 2023'!$D$4:$D$692,$B188,'апрель 2023'!$J$4:$J$692,O$1)</f>
        <v>0</v>
      </c>
      <c r="P188" s="207">
        <f>SUMIFS('апрель 2023'!$G$4:$G$692,'апрель 2023'!$D$4:$D$692,$B188,'апрель 2023'!$J$4:$J$692,P$1)</f>
        <v>0</v>
      </c>
      <c r="Q188" s="207">
        <f>SUMIFS('апрель 2023'!$G$4:$G$692,'апрель 2023'!$D$4:$D$692,$B188,'апрель 2023'!$J$4:$J$692,Q$1)</f>
        <v>0</v>
      </c>
      <c r="R188" s="207">
        <f>SUMIFS('апрель 2023'!$G$4:$G$692,'апрель 2023'!$D$4:$D$692,$B188,'апрель 2023'!$J$4:$J$692,R$1)</f>
        <v>0</v>
      </c>
      <c r="S188" s="207">
        <f>SUMIFS('апрель 2023'!$G$4:$G$692,'апрель 2023'!$D$4:$D$692,$B188,'апрель 2023'!$J$4:$J$692,S$1)</f>
        <v>0</v>
      </c>
      <c r="T188" s="207">
        <f>SUMIFS('апрель 2023'!$G$4:$G$692,'апрель 2023'!$D$4:$D$692,$B188,'апрель 2023'!$J$4:$J$692,T$1)</f>
        <v>0</v>
      </c>
      <c r="U188" s="207">
        <f>SUMIFS('апрель 2023'!$G$4:$G$692,'апрель 2023'!$D$4:$D$692,$B188,'апрель 2023'!$J$4:$J$692,U$1)</f>
        <v>0</v>
      </c>
      <c r="V188" s="207">
        <f>SUMIFS('апрель 2023'!$G$4:$G$692,'апрель 2023'!$D$4:$D$692,$B188,'апрель 2023'!$J$4:$J$692,V$1)</f>
        <v>0</v>
      </c>
      <c r="W188" s="207">
        <f>SUMIFS('апрель 2023'!$G$4:$G$692,'апрель 2023'!$D$4:$D$692,$B188,'апрель 2023'!$J$4:$J$692,W$1)</f>
        <v>0</v>
      </c>
      <c r="X188" s="207">
        <f>SUMIFS('апрель 2023'!$G$4:$G$692,'апрель 2023'!$D$4:$D$692,$B188,'апрель 2023'!$J$4:$J$692,X$1)</f>
        <v>0</v>
      </c>
      <c r="Y188" s="207">
        <f>SUMIFS('апрель 2023'!$G$4:$G$692,'апрель 2023'!$D$4:$D$692,$B188,'апрель 2023'!$J$4:$J$692,Y$1)</f>
        <v>0</v>
      </c>
      <c r="Z188" s="207">
        <f>SUMIFS('апрель 2023'!$G$4:$G$692,'апрель 2023'!$D$4:$D$692,$B188,'апрель 2023'!$J$4:$J$692,Z$1)</f>
        <v>0</v>
      </c>
      <c r="AA188" s="207">
        <f>SUMIFS('апрель 2023'!$G$4:$G$692,'апрель 2023'!$D$4:$D$692,$B188,'апрель 2023'!$J$4:$J$692,AA$1)</f>
        <v>0</v>
      </c>
      <c r="AB188" s="207">
        <f>SUMIFS('апрель 2023'!$G$4:$G$692,'апрель 2023'!$D$4:$D$692,$B188,'апрель 2023'!$J$4:$J$692,AB$1)</f>
        <v>0</v>
      </c>
      <c r="AC188" s="207">
        <f>SUMIFS('апрель 2023'!$G$4:$G$692,'апрель 2023'!$D$4:$D$692,$B188,'апрель 2023'!$J$4:$J$692,AC$1)</f>
        <v>0</v>
      </c>
      <c r="AD188" s="207">
        <f>SUMIFS('апрель 2023'!$G$4:$G$692,'апрель 2023'!$D$4:$D$692,$B188,'апрель 2023'!$J$4:$J$692,AD$1)</f>
        <v>0</v>
      </c>
      <c r="AE188" s="207">
        <f>SUMIFS('апрель 2023'!$G$4:$G$692,'апрель 2023'!$D$4:$D$692,$B188,'апрель 2023'!$J$4:$J$692,AE$1)</f>
        <v>0</v>
      </c>
      <c r="AF188" s="207">
        <f>SUMIFS('апрель 2023'!$G$4:$G$692,'апрель 2023'!$D$4:$D$692,$B188,'апрель 2023'!$J$4:$J$692,AF$1)</f>
        <v>0</v>
      </c>
      <c r="AG188" s="207">
        <f>SUMIFS('апрель 2023'!$G$4:$G$692,'апрель 2023'!$D$4:$D$692,$B188,'апрель 2023'!$J$4:$J$692,AG$1)</f>
        <v>0</v>
      </c>
      <c r="AH188" s="207">
        <f>SUMIFS('апрель 2023'!$G$4:$G$692,'апрель 2023'!$D$4:$D$692,$B188,'апрель 2023'!$J$4:$J$692,AH$1)</f>
        <v>0</v>
      </c>
      <c r="AI188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0000000}">
          <x14:formula1>
            <xm:f>справочник!$E$4:$E$159</xm:f>
          </x14:formula1>
          <xm:sqref>B3:B188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12"/>
  <dimension ref="B1:AI185"/>
  <sheetViews>
    <sheetView showZeros="0" topLeftCell="A18" zoomScale="70" workbookViewId="0">
      <selection activeCell="A65" sqref="A65:XFD65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45078</v>
      </c>
      <c r="C1" s="192"/>
      <c r="D1" s="157">
        <f>B1</f>
        <v>45078</v>
      </c>
      <c r="E1" s="157">
        <f>D1+1</f>
        <v>45079</v>
      </c>
      <c r="F1" s="157">
        <f t="shared" ref="F1:AH1" si="0">E1+1</f>
        <v>45080</v>
      </c>
      <c r="G1" s="157">
        <f t="shared" si="0"/>
        <v>45081</v>
      </c>
      <c r="H1" s="157">
        <f t="shared" si="0"/>
        <v>45082</v>
      </c>
      <c r="I1" s="157">
        <f t="shared" si="0"/>
        <v>45083</v>
      </c>
      <c r="J1" s="157">
        <f t="shared" si="0"/>
        <v>45084</v>
      </c>
      <c r="K1" s="157">
        <f t="shared" si="0"/>
        <v>45085</v>
      </c>
      <c r="L1" s="157">
        <f t="shared" si="0"/>
        <v>45086</v>
      </c>
      <c r="M1" s="157">
        <f t="shared" si="0"/>
        <v>45087</v>
      </c>
      <c r="N1" s="157">
        <f t="shared" si="0"/>
        <v>45088</v>
      </c>
      <c r="O1" s="157">
        <f t="shared" si="0"/>
        <v>45089</v>
      </c>
      <c r="P1" s="157">
        <f t="shared" si="0"/>
        <v>45090</v>
      </c>
      <c r="Q1" s="157">
        <f t="shared" si="0"/>
        <v>45091</v>
      </c>
      <c r="R1" s="157">
        <f t="shared" si="0"/>
        <v>45092</v>
      </c>
      <c r="S1" s="157">
        <f t="shared" si="0"/>
        <v>45093</v>
      </c>
      <c r="T1" s="157">
        <f t="shared" si="0"/>
        <v>45094</v>
      </c>
      <c r="U1" s="157">
        <f t="shared" si="0"/>
        <v>45095</v>
      </c>
      <c r="V1" s="157">
        <f t="shared" si="0"/>
        <v>45096</v>
      </c>
      <c r="W1" s="157">
        <f t="shared" si="0"/>
        <v>45097</v>
      </c>
      <c r="X1" s="157">
        <f t="shared" si="0"/>
        <v>45098</v>
      </c>
      <c r="Y1" s="157">
        <f t="shared" si="0"/>
        <v>45099</v>
      </c>
      <c r="Z1" s="157">
        <f t="shared" si="0"/>
        <v>45100</v>
      </c>
      <c r="AA1" s="157">
        <f t="shared" si="0"/>
        <v>45101</v>
      </c>
      <c r="AB1" s="157">
        <f t="shared" si="0"/>
        <v>45102</v>
      </c>
      <c r="AC1" s="157">
        <f t="shared" si="0"/>
        <v>45103</v>
      </c>
      <c r="AD1" s="157">
        <f t="shared" si="0"/>
        <v>45104</v>
      </c>
      <c r="AE1" s="157">
        <f t="shared" si="0"/>
        <v>45105</v>
      </c>
      <c r="AF1" s="157">
        <f t="shared" si="0"/>
        <v>45106</v>
      </c>
      <c r="AG1" s="157">
        <f t="shared" si="0"/>
        <v>45107</v>
      </c>
      <c r="AH1" s="157">
        <f t="shared" si="0"/>
        <v>45108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SUMIFS('июнь 2023'!$G$4:$G$886,'июнь 2023'!$D$4:$D$886,$B3,'июнь 2023'!$J$4:$J$886,D$1)</f>
        <v>875</v>
      </c>
      <c r="E3" s="198">
        <f>SUMIFS('июнь 2023'!$G$4:$G$886,'июнь 2023'!$D$4:$D$886,$B3,'июнь 2023'!$J$4:$J$886,E$1)</f>
        <v>0</v>
      </c>
      <c r="F3" s="198">
        <f>SUMIFS('июнь 2023'!$G$4:$G$886,'июнь 2023'!$D$4:$D$886,$B3,'июнь 2023'!$J$4:$J$886,F$1)</f>
        <v>0</v>
      </c>
      <c r="G3" s="198">
        <f>SUMIFS('июнь 2023'!$G$4:$G$886,'июнь 2023'!$D$4:$D$886,$B3,'июнь 2023'!$J$4:$J$886,G$1)</f>
        <v>0</v>
      </c>
      <c r="H3" s="198">
        <f>SUMIFS('июнь 2023'!$G$4:$G$886,'июнь 2023'!$D$4:$D$886,$B3,'июнь 2023'!$J$4:$J$886,H$1)</f>
        <v>875</v>
      </c>
      <c r="I3" s="198">
        <f>SUMIFS('июнь 2023'!$G$4:$G$886,'июнь 2023'!$D$4:$D$886,$B3,'июнь 2023'!$J$4:$J$886,I$1)</f>
        <v>875</v>
      </c>
      <c r="J3" s="198">
        <f>SUMIFS('июнь 2023'!$G$4:$G$886,'июнь 2023'!$D$4:$D$886,$B3,'июнь 2023'!$J$4:$J$886,J$1)</f>
        <v>1750</v>
      </c>
      <c r="K3" s="198">
        <f>SUMIFS('июнь 2023'!$G$4:$G$886,'июнь 2023'!$D$4:$D$886,$B3,'июнь 2023'!$J$4:$J$886,K$1)</f>
        <v>0</v>
      </c>
      <c r="L3" s="198">
        <f>SUMIFS('июнь 2023'!$G$4:$G$886,'июнь 2023'!$D$4:$D$886,$B3,'июнь 2023'!$J$4:$J$886,L$1)</f>
        <v>2625</v>
      </c>
      <c r="M3" s="198">
        <f>SUMIFS('июнь 2023'!$G$4:$G$886,'июнь 2023'!$D$4:$D$886,$B3,'июнь 2023'!$J$4:$J$886,M$1)</f>
        <v>0</v>
      </c>
      <c r="N3" s="198">
        <f>SUMIFS('июнь 2023'!$G$4:$G$886,'июнь 2023'!$D$4:$D$886,$B3,'июнь 2023'!$J$4:$J$886,N$1)</f>
        <v>0</v>
      </c>
      <c r="O3" s="198">
        <f>SUMIFS('июнь 2023'!$G$4:$G$886,'июнь 2023'!$D$4:$D$886,$B3,'июнь 2023'!$J$4:$J$886,O$1)</f>
        <v>0</v>
      </c>
      <c r="P3" s="198">
        <f>SUMIFS('июнь 2023'!$G$4:$G$886,'июнь 2023'!$D$4:$D$886,$B3,'июнь 2023'!$J$4:$J$886,P$1)</f>
        <v>0</v>
      </c>
      <c r="Q3" s="198">
        <f>SUMIFS('июнь 2023'!$G$4:$G$886,'июнь 2023'!$D$4:$D$886,$B3,'июнь 2023'!$J$4:$J$886,Q$1)</f>
        <v>875</v>
      </c>
      <c r="R3" s="198">
        <f>SUMIFS('июнь 2023'!$G$4:$G$886,'июнь 2023'!$D$4:$D$886,$B3,'июнь 2023'!$J$4:$J$886,R$1)</f>
        <v>875</v>
      </c>
      <c r="S3" s="198">
        <f>SUMIFS('июнь 2023'!$G$4:$G$886,'июнь 2023'!$D$4:$D$886,$B3,'июнь 2023'!$J$4:$J$886,S$1)</f>
        <v>875</v>
      </c>
      <c r="T3" s="198">
        <f>SUMIFS('июнь 2023'!$G$4:$G$886,'июнь 2023'!$D$4:$D$886,$B3,'июнь 2023'!$J$4:$J$886,T$1)</f>
        <v>0</v>
      </c>
      <c r="U3" s="198">
        <f>SUMIFS('июнь 2023'!$G$4:$G$886,'июнь 2023'!$D$4:$D$886,$B3,'июнь 2023'!$J$4:$J$886,U$1)</f>
        <v>0</v>
      </c>
      <c r="V3" s="198">
        <f>SUMIFS('июнь 2023'!$G$4:$G$886,'июнь 2023'!$D$4:$D$886,$B3,'июнь 2023'!$J$4:$J$886,V$1)</f>
        <v>875</v>
      </c>
      <c r="W3" s="198">
        <f>SUMIFS('июнь 2023'!$G$4:$G$886,'июнь 2023'!$D$4:$D$886,$B3,'июнь 2023'!$J$4:$J$886,W$1)</f>
        <v>0</v>
      </c>
      <c r="X3" s="198">
        <f>SUMIFS('июнь 2023'!$G$4:$G$886,'июнь 2023'!$D$4:$D$886,$B3,'июнь 2023'!$J$4:$J$886,X$1)</f>
        <v>0</v>
      </c>
      <c r="Y3" s="198">
        <f>SUMIFS('июнь 2023'!$G$4:$G$886,'июнь 2023'!$D$4:$D$886,$B3,'июнь 2023'!$J$4:$J$886,Y$1)</f>
        <v>0</v>
      </c>
      <c r="Z3" s="198">
        <f>SUMIFS('июнь 2023'!$G$4:$G$886,'июнь 2023'!$D$4:$D$886,$B3,'июнь 2023'!$J$4:$J$886,Z$1)</f>
        <v>875</v>
      </c>
      <c r="AA3" s="198">
        <f>SUMIFS('июнь 2023'!$G$4:$G$886,'июнь 2023'!$D$4:$D$886,$B3,'июнь 2023'!$J$4:$J$886,AA$1)</f>
        <v>0</v>
      </c>
      <c r="AB3" s="198">
        <f>SUMIFS('июнь 2023'!$G$4:$G$886,'июнь 2023'!$D$4:$D$886,$B3,'июнь 2023'!$J$4:$J$886,AB$1)</f>
        <v>0</v>
      </c>
      <c r="AC3" s="198">
        <f>SUMIFS('июнь 2023'!$G$4:$G$886,'июнь 2023'!$D$4:$D$886,$B3,'июнь 2023'!$J$4:$J$886,AC$1)</f>
        <v>2625</v>
      </c>
      <c r="AD3" s="198">
        <f>SUMIFS('июнь 2023'!$G$4:$G$886,'июнь 2023'!$D$4:$D$886,$B3,'июнь 2023'!$J$4:$J$886,AD$1)</f>
        <v>2625</v>
      </c>
      <c r="AE3" s="198">
        <f>SUMIFS('июнь 2023'!$G$4:$G$886,'июнь 2023'!$D$4:$D$886,$B3,'июнь 2023'!$J$4:$J$886,AE$1)</f>
        <v>1750</v>
      </c>
      <c r="AF3" s="198">
        <f>SUMIFS('июнь 2023'!$G$4:$G$886,'июнь 2023'!$D$4:$D$886,$B3,'июнь 2023'!$J$4:$J$886,AF$1)</f>
        <v>2625</v>
      </c>
      <c r="AG3" s="198">
        <f>SUMIFS('июнь 2023'!$G$4:$G$886,'июнь 2023'!$D$4:$D$886,$B3,'июнь 2023'!$J$4:$J$886,AG$1)</f>
        <v>2625</v>
      </c>
      <c r="AH3" s="198">
        <f>SUMIFS('июнь 2023'!$G$4:$G$886,'июнь 2023'!$D$4:$D$886,$B3,'июнь 2023'!$J$4:$J$886,AH$1)</f>
        <v>0</v>
      </c>
      <c r="AI3" s="166">
        <f t="shared" ref="AI3:AI66" si="1">SUM(D3:AH3)</f>
        <v>23625</v>
      </c>
    </row>
    <row r="4" spans="2:35" ht="15" customHeight="1" x14ac:dyDescent="0.25">
      <c r="B4" s="199" t="s">
        <v>74</v>
      </c>
      <c r="C4" s="200">
        <v>25</v>
      </c>
      <c r="D4" s="198">
        <f>SUMIFS('июнь 2023'!$G$4:$G$886,'июнь 2023'!$D$4:$D$886,$B4,'июнь 2023'!$J$4:$J$886,D$1)</f>
        <v>0</v>
      </c>
      <c r="E4" s="198">
        <f>SUMIFS('июнь 2023'!$G$4:$G$886,'июнь 2023'!$D$4:$D$886,$B4,'июнь 2023'!$J$4:$J$886,E$1)</f>
        <v>0</v>
      </c>
      <c r="F4" s="198">
        <f>SUMIFS('июнь 2023'!$G$4:$G$886,'июнь 2023'!$D$4:$D$886,$B4,'июнь 2023'!$J$4:$J$886,F$1)</f>
        <v>0</v>
      </c>
      <c r="G4" s="198">
        <f>SUMIFS('июнь 2023'!$G$4:$G$886,'июнь 2023'!$D$4:$D$886,$B4,'июнь 2023'!$J$4:$J$886,G$1)</f>
        <v>0</v>
      </c>
      <c r="H4" s="198">
        <f>SUMIFS('июнь 2023'!$G$4:$G$886,'июнь 2023'!$D$4:$D$886,$B4,'июнь 2023'!$J$4:$J$886,H$1)</f>
        <v>0</v>
      </c>
      <c r="I4" s="198">
        <f>SUMIFS('июнь 2023'!$G$4:$G$886,'июнь 2023'!$D$4:$D$886,$B4,'июнь 2023'!$J$4:$J$886,I$1)</f>
        <v>0</v>
      </c>
      <c r="J4" s="198">
        <f>SUMIFS('июнь 2023'!$G$4:$G$886,'июнь 2023'!$D$4:$D$886,$B4,'июнь 2023'!$J$4:$J$886,J$1)</f>
        <v>0</v>
      </c>
      <c r="K4" s="198">
        <f>SUMIFS('июнь 2023'!$G$4:$G$886,'июнь 2023'!$D$4:$D$886,$B4,'июнь 2023'!$J$4:$J$886,K$1)</f>
        <v>0</v>
      </c>
      <c r="L4" s="198">
        <f>SUMIFS('июнь 2023'!$G$4:$G$886,'июнь 2023'!$D$4:$D$886,$B4,'июнь 2023'!$J$4:$J$886,L$1)</f>
        <v>0</v>
      </c>
      <c r="M4" s="198">
        <f>SUMIFS('июнь 2023'!$G$4:$G$886,'июнь 2023'!$D$4:$D$886,$B4,'июнь 2023'!$J$4:$J$886,M$1)</f>
        <v>0</v>
      </c>
      <c r="N4" s="198">
        <f>SUMIFS('июнь 2023'!$G$4:$G$886,'июнь 2023'!$D$4:$D$886,$B4,'июнь 2023'!$J$4:$J$886,N$1)</f>
        <v>0</v>
      </c>
      <c r="O4" s="198">
        <f>SUMIFS('июнь 2023'!$G$4:$G$886,'июнь 2023'!$D$4:$D$886,$B4,'июнь 2023'!$J$4:$J$886,O$1)</f>
        <v>0</v>
      </c>
      <c r="P4" s="198">
        <f>SUMIFS('июнь 2023'!$G$4:$G$886,'июнь 2023'!$D$4:$D$886,$B4,'июнь 2023'!$J$4:$J$886,P$1)</f>
        <v>0</v>
      </c>
      <c r="Q4" s="198">
        <f>SUMIFS('июнь 2023'!$G$4:$G$886,'июнь 2023'!$D$4:$D$886,$B4,'июнь 2023'!$J$4:$J$886,Q$1)</f>
        <v>440</v>
      </c>
      <c r="R4" s="198">
        <f>SUMIFS('июнь 2023'!$G$4:$G$886,'июнь 2023'!$D$4:$D$886,$B4,'июнь 2023'!$J$4:$J$886,R$1)</f>
        <v>0</v>
      </c>
      <c r="S4" s="198">
        <f>SUMIFS('июнь 2023'!$G$4:$G$886,'июнь 2023'!$D$4:$D$886,$B4,'июнь 2023'!$J$4:$J$886,S$1)</f>
        <v>0</v>
      </c>
      <c r="T4" s="198">
        <f>SUMIFS('июнь 2023'!$G$4:$G$886,'июнь 2023'!$D$4:$D$886,$B4,'июнь 2023'!$J$4:$J$886,T$1)</f>
        <v>0</v>
      </c>
      <c r="U4" s="198">
        <f>SUMIFS('июнь 2023'!$G$4:$G$886,'июнь 2023'!$D$4:$D$886,$B4,'июнь 2023'!$J$4:$J$886,U$1)</f>
        <v>0</v>
      </c>
      <c r="V4" s="198">
        <f>SUMIFS('июнь 2023'!$G$4:$G$886,'июнь 2023'!$D$4:$D$886,$B4,'июнь 2023'!$J$4:$J$886,V$1)</f>
        <v>40</v>
      </c>
      <c r="W4" s="198">
        <f>SUMIFS('июнь 2023'!$G$4:$G$886,'июнь 2023'!$D$4:$D$886,$B4,'июнь 2023'!$J$4:$J$886,W$1)</f>
        <v>0</v>
      </c>
      <c r="X4" s="198">
        <f>SUMIFS('июнь 2023'!$G$4:$G$886,'июнь 2023'!$D$4:$D$886,$B4,'июнь 2023'!$J$4:$J$886,X$1)</f>
        <v>0</v>
      </c>
      <c r="Y4" s="198">
        <f>SUMIFS('июнь 2023'!$G$4:$G$886,'июнь 2023'!$D$4:$D$886,$B4,'июнь 2023'!$J$4:$J$886,Y$1)</f>
        <v>0</v>
      </c>
      <c r="Z4" s="198">
        <f>SUMIFS('июнь 2023'!$G$4:$G$886,'июнь 2023'!$D$4:$D$886,$B4,'июнь 2023'!$J$4:$J$886,Z$1)</f>
        <v>0</v>
      </c>
      <c r="AA4" s="198">
        <f>SUMIFS('июнь 2023'!$G$4:$G$886,'июнь 2023'!$D$4:$D$886,$B4,'июнь 2023'!$J$4:$J$886,AA$1)</f>
        <v>0</v>
      </c>
      <c r="AB4" s="198">
        <f>SUMIFS('июнь 2023'!$G$4:$G$886,'июнь 2023'!$D$4:$D$886,$B4,'июнь 2023'!$J$4:$J$886,AB$1)</f>
        <v>0</v>
      </c>
      <c r="AC4" s="198">
        <f>SUMIFS('июнь 2023'!$G$4:$G$886,'июнь 2023'!$D$4:$D$886,$B4,'июнь 2023'!$J$4:$J$886,AC$1)</f>
        <v>0</v>
      </c>
      <c r="AD4" s="198">
        <f>SUMIFS('июнь 2023'!$G$4:$G$886,'июнь 2023'!$D$4:$D$886,$B4,'июнь 2023'!$J$4:$J$886,AD$1)</f>
        <v>0</v>
      </c>
      <c r="AE4" s="198">
        <f>SUMIFS('июнь 2023'!$G$4:$G$886,'июнь 2023'!$D$4:$D$886,$B4,'июнь 2023'!$J$4:$J$886,AE$1)</f>
        <v>0</v>
      </c>
      <c r="AF4" s="198">
        <f>SUMIFS('июнь 2023'!$G$4:$G$886,'июнь 2023'!$D$4:$D$886,$B4,'июнь 2023'!$J$4:$J$886,AF$1)</f>
        <v>0</v>
      </c>
      <c r="AG4" s="198">
        <f>SUMIFS('июнь 2023'!$G$4:$G$886,'июнь 2023'!$D$4:$D$886,$B4,'июнь 2023'!$J$4:$J$886,AG$1)</f>
        <v>0</v>
      </c>
      <c r="AH4" s="198">
        <f>SUMIFS('июнь 2023'!$G$4:$G$886,'июнь 2023'!$D$4:$D$886,$B4,'июнь 2023'!$J$4:$J$886,AH$1)</f>
        <v>0</v>
      </c>
      <c r="AI4" s="170">
        <f t="shared" si="1"/>
        <v>480</v>
      </c>
    </row>
    <row r="5" spans="2:35" ht="15" customHeight="1" x14ac:dyDescent="0.25">
      <c r="B5" s="199" t="s">
        <v>165</v>
      </c>
      <c r="C5" s="200">
        <v>25</v>
      </c>
      <c r="D5" s="198">
        <f>SUMIFS('июнь 2023'!$G$4:$G$886,'июнь 2023'!$D$4:$D$886,$B5,'июнь 2023'!$J$4:$J$886,D$1)</f>
        <v>0</v>
      </c>
      <c r="E5" s="198">
        <f>SUMIFS('июнь 2023'!$G$4:$G$886,'июнь 2023'!$D$4:$D$886,$B5,'июнь 2023'!$J$4:$J$886,E$1)</f>
        <v>0</v>
      </c>
      <c r="F5" s="198">
        <f>SUMIFS('июнь 2023'!$G$4:$G$886,'июнь 2023'!$D$4:$D$886,$B5,'июнь 2023'!$J$4:$J$886,F$1)</f>
        <v>0</v>
      </c>
      <c r="G5" s="198">
        <f>SUMIFS('июнь 2023'!$G$4:$G$886,'июнь 2023'!$D$4:$D$886,$B5,'июнь 2023'!$J$4:$J$886,G$1)</f>
        <v>0</v>
      </c>
      <c r="H5" s="198">
        <f>SUMIFS('июнь 2023'!$G$4:$G$886,'июнь 2023'!$D$4:$D$886,$B5,'июнь 2023'!$J$4:$J$886,H$1)</f>
        <v>0</v>
      </c>
      <c r="I5" s="198">
        <f>SUMIFS('июнь 2023'!$G$4:$G$886,'июнь 2023'!$D$4:$D$886,$B5,'июнь 2023'!$J$4:$J$886,I$1)</f>
        <v>0</v>
      </c>
      <c r="J5" s="198">
        <f>SUMIFS('июнь 2023'!$G$4:$G$886,'июнь 2023'!$D$4:$D$886,$B5,'июнь 2023'!$J$4:$J$886,J$1)</f>
        <v>0</v>
      </c>
      <c r="K5" s="198">
        <f>SUMIFS('июнь 2023'!$G$4:$G$886,'июнь 2023'!$D$4:$D$886,$B5,'июнь 2023'!$J$4:$J$886,K$1)</f>
        <v>0</v>
      </c>
      <c r="L5" s="198">
        <f>SUMIFS('июнь 2023'!$G$4:$G$886,'июнь 2023'!$D$4:$D$886,$B5,'июнь 2023'!$J$4:$J$886,L$1)</f>
        <v>0</v>
      </c>
      <c r="M5" s="198">
        <f>SUMIFS('июнь 2023'!$G$4:$G$886,'июнь 2023'!$D$4:$D$886,$B5,'июнь 2023'!$J$4:$J$886,M$1)</f>
        <v>0</v>
      </c>
      <c r="N5" s="198">
        <f>SUMIFS('июнь 2023'!$G$4:$G$886,'июнь 2023'!$D$4:$D$886,$B5,'июнь 2023'!$J$4:$J$886,N$1)</f>
        <v>0</v>
      </c>
      <c r="O5" s="198">
        <f>SUMIFS('июнь 2023'!$G$4:$G$886,'июнь 2023'!$D$4:$D$886,$B5,'июнь 2023'!$J$4:$J$886,O$1)</f>
        <v>0</v>
      </c>
      <c r="P5" s="198">
        <f>SUMIFS('июнь 2023'!$G$4:$G$886,'июнь 2023'!$D$4:$D$886,$B5,'июнь 2023'!$J$4:$J$886,P$1)</f>
        <v>0</v>
      </c>
      <c r="Q5" s="198">
        <f>SUMIFS('июнь 2023'!$G$4:$G$886,'июнь 2023'!$D$4:$D$886,$B5,'июнь 2023'!$J$4:$J$886,Q$1)</f>
        <v>0</v>
      </c>
      <c r="R5" s="198">
        <f>SUMIFS('июнь 2023'!$G$4:$G$886,'июнь 2023'!$D$4:$D$886,$B5,'июнь 2023'!$J$4:$J$886,R$1)</f>
        <v>0</v>
      </c>
      <c r="S5" s="198">
        <f>SUMIFS('июнь 2023'!$G$4:$G$886,'июнь 2023'!$D$4:$D$886,$B5,'июнь 2023'!$J$4:$J$886,S$1)</f>
        <v>0</v>
      </c>
      <c r="T5" s="198">
        <f>SUMIFS('июнь 2023'!$G$4:$G$886,'июнь 2023'!$D$4:$D$886,$B5,'июнь 2023'!$J$4:$J$886,T$1)</f>
        <v>0</v>
      </c>
      <c r="U5" s="198">
        <f>SUMIFS('июнь 2023'!$G$4:$G$886,'июнь 2023'!$D$4:$D$886,$B5,'июнь 2023'!$J$4:$J$886,U$1)</f>
        <v>0</v>
      </c>
      <c r="V5" s="198">
        <f>SUMIFS('июнь 2023'!$G$4:$G$886,'июнь 2023'!$D$4:$D$886,$B5,'июнь 2023'!$J$4:$J$886,V$1)</f>
        <v>0</v>
      </c>
      <c r="W5" s="198">
        <f>SUMIFS('июнь 2023'!$G$4:$G$886,'июнь 2023'!$D$4:$D$886,$B5,'июнь 2023'!$J$4:$J$886,W$1)</f>
        <v>0</v>
      </c>
      <c r="X5" s="198">
        <f>SUMIFS('июнь 2023'!$G$4:$G$886,'июнь 2023'!$D$4:$D$886,$B5,'июнь 2023'!$J$4:$J$886,X$1)</f>
        <v>0</v>
      </c>
      <c r="Y5" s="198">
        <f>SUMIFS('июнь 2023'!$G$4:$G$886,'июнь 2023'!$D$4:$D$886,$B5,'июнь 2023'!$J$4:$J$886,Y$1)</f>
        <v>0</v>
      </c>
      <c r="Z5" s="198">
        <f>SUMIFS('июнь 2023'!$G$4:$G$886,'июнь 2023'!$D$4:$D$886,$B5,'июнь 2023'!$J$4:$J$886,Z$1)</f>
        <v>0</v>
      </c>
      <c r="AA5" s="198">
        <f>SUMIFS('июнь 2023'!$G$4:$G$886,'июнь 2023'!$D$4:$D$886,$B5,'июнь 2023'!$J$4:$J$886,AA$1)</f>
        <v>0</v>
      </c>
      <c r="AB5" s="198">
        <f>SUMIFS('июнь 2023'!$G$4:$G$886,'июнь 2023'!$D$4:$D$886,$B5,'июнь 2023'!$J$4:$J$886,AB$1)</f>
        <v>0</v>
      </c>
      <c r="AC5" s="198">
        <f>SUMIFS('июнь 2023'!$G$4:$G$886,'июнь 2023'!$D$4:$D$886,$B5,'июнь 2023'!$J$4:$J$886,AC$1)</f>
        <v>0</v>
      </c>
      <c r="AD5" s="198">
        <f>SUMIFS('июнь 2023'!$G$4:$G$886,'июнь 2023'!$D$4:$D$886,$B5,'июнь 2023'!$J$4:$J$886,AD$1)</f>
        <v>0</v>
      </c>
      <c r="AE5" s="198">
        <f>SUMIFS('июнь 2023'!$G$4:$G$886,'июнь 2023'!$D$4:$D$886,$B5,'июнь 2023'!$J$4:$J$886,AE$1)</f>
        <v>0</v>
      </c>
      <c r="AF5" s="198">
        <f>SUMIFS('июнь 2023'!$G$4:$G$886,'июнь 2023'!$D$4:$D$886,$B5,'июнь 2023'!$J$4:$J$886,AF$1)</f>
        <v>0</v>
      </c>
      <c r="AG5" s="198">
        <f>SUMIFS('июнь 2023'!$G$4:$G$886,'июнь 2023'!$D$4:$D$886,$B5,'июнь 2023'!$J$4:$J$886,AG$1)</f>
        <v>0</v>
      </c>
      <c r="AH5" s="198">
        <f>SUMIFS('июнь 2023'!$G$4:$G$886,'июнь 2023'!$D$4:$D$886,$B5,'июнь 2023'!$J$4:$J$886,AH$1)</f>
        <v>0</v>
      </c>
      <c r="AI5" s="170">
        <f t="shared" si="1"/>
        <v>0</v>
      </c>
    </row>
    <row r="6" spans="2:35" ht="15" customHeight="1" x14ac:dyDescent="0.25">
      <c r="B6" s="199" t="s">
        <v>2084</v>
      </c>
      <c r="C6" s="200">
        <v>22.7</v>
      </c>
      <c r="D6" s="198">
        <f>SUMIFS('июнь 2023'!$G$4:$G$886,'июнь 2023'!$D$4:$D$886,$B6,'июнь 2023'!$J$4:$J$886,D$1)</f>
        <v>0</v>
      </c>
      <c r="E6" s="198">
        <f>SUMIFS('июнь 2023'!$G$4:$G$886,'июнь 2023'!$D$4:$D$886,$B6,'июнь 2023'!$J$4:$J$886,E$1)</f>
        <v>0</v>
      </c>
      <c r="F6" s="198">
        <f>SUMIFS('июнь 2023'!$G$4:$G$886,'июнь 2023'!$D$4:$D$886,$B6,'июнь 2023'!$J$4:$J$886,F$1)</f>
        <v>0</v>
      </c>
      <c r="G6" s="198">
        <f>SUMIFS('июнь 2023'!$G$4:$G$886,'июнь 2023'!$D$4:$D$886,$B6,'июнь 2023'!$J$4:$J$886,G$1)</f>
        <v>0</v>
      </c>
      <c r="H6" s="198">
        <f>SUMIFS('июнь 2023'!$G$4:$G$886,'июнь 2023'!$D$4:$D$886,$B6,'июнь 2023'!$J$4:$J$886,H$1)</f>
        <v>0</v>
      </c>
      <c r="I6" s="198">
        <f>SUMIFS('июнь 2023'!$G$4:$G$886,'июнь 2023'!$D$4:$D$886,$B6,'июнь 2023'!$J$4:$J$886,I$1)</f>
        <v>0</v>
      </c>
      <c r="J6" s="198">
        <f>SUMIFS('июнь 2023'!$G$4:$G$886,'июнь 2023'!$D$4:$D$886,$B6,'июнь 2023'!$J$4:$J$886,J$1)</f>
        <v>0</v>
      </c>
      <c r="K6" s="198">
        <f>SUMIFS('июнь 2023'!$G$4:$G$886,'июнь 2023'!$D$4:$D$886,$B6,'июнь 2023'!$J$4:$J$886,K$1)</f>
        <v>0</v>
      </c>
      <c r="L6" s="198">
        <f>SUMIFS('июнь 2023'!$G$4:$G$886,'июнь 2023'!$D$4:$D$886,$B6,'июнь 2023'!$J$4:$J$886,L$1)</f>
        <v>0</v>
      </c>
      <c r="M6" s="198">
        <f>SUMIFS('июнь 2023'!$G$4:$G$886,'июнь 2023'!$D$4:$D$886,$B6,'июнь 2023'!$J$4:$J$886,M$1)</f>
        <v>0</v>
      </c>
      <c r="N6" s="198">
        <f>SUMIFS('июнь 2023'!$G$4:$G$886,'июнь 2023'!$D$4:$D$886,$B6,'июнь 2023'!$J$4:$J$886,N$1)</f>
        <v>0</v>
      </c>
      <c r="O6" s="198">
        <f>SUMIFS('июнь 2023'!$G$4:$G$886,'июнь 2023'!$D$4:$D$886,$B6,'июнь 2023'!$J$4:$J$886,O$1)</f>
        <v>0</v>
      </c>
      <c r="P6" s="198">
        <f>SUMIFS('июнь 2023'!$G$4:$G$886,'июнь 2023'!$D$4:$D$886,$B6,'июнь 2023'!$J$4:$J$886,P$1)</f>
        <v>0</v>
      </c>
      <c r="Q6" s="198">
        <f>SUMIFS('июнь 2023'!$G$4:$G$886,'июнь 2023'!$D$4:$D$886,$B6,'июнь 2023'!$J$4:$J$886,Q$1)</f>
        <v>0</v>
      </c>
      <c r="R6" s="198">
        <f>SUMIFS('июнь 2023'!$G$4:$G$886,'июнь 2023'!$D$4:$D$886,$B6,'июнь 2023'!$J$4:$J$886,R$1)</f>
        <v>0</v>
      </c>
      <c r="S6" s="198">
        <f>SUMIFS('июнь 2023'!$G$4:$G$886,'июнь 2023'!$D$4:$D$886,$B6,'июнь 2023'!$J$4:$J$886,S$1)</f>
        <v>0</v>
      </c>
      <c r="T6" s="198">
        <f>SUMIFS('июнь 2023'!$G$4:$G$886,'июнь 2023'!$D$4:$D$886,$B6,'июнь 2023'!$J$4:$J$886,T$1)</f>
        <v>0</v>
      </c>
      <c r="U6" s="198">
        <f>SUMIFS('июнь 2023'!$G$4:$G$886,'июнь 2023'!$D$4:$D$886,$B6,'июнь 2023'!$J$4:$J$886,U$1)</f>
        <v>0</v>
      </c>
      <c r="V6" s="198">
        <f>SUMIFS('июнь 2023'!$G$4:$G$886,'июнь 2023'!$D$4:$D$886,$B6,'июнь 2023'!$J$4:$J$886,V$1)</f>
        <v>0</v>
      </c>
      <c r="W6" s="198">
        <f>SUMIFS('июнь 2023'!$G$4:$G$886,'июнь 2023'!$D$4:$D$886,$B6,'июнь 2023'!$J$4:$J$886,W$1)</f>
        <v>0</v>
      </c>
      <c r="X6" s="198">
        <f>SUMIFS('июнь 2023'!$G$4:$G$886,'июнь 2023'!$D$4:$D$886,$B6,'июнь 2023'!$J$4:$J$886,X$1)</f>
        <v>0</v>
      </c>
      <c r="Y6" s="198">
        <f>SUMIFS('июнь 2023'!$G$4:$G$886,'июнь 2023'!$D$4:$D$886,$B6,'июнь 2023'!$J$4:$J$886,Y$1)</f>
        <v>0</v>
      </c>
      <c r="Z6" s="198">
        <f>SUMIFS('июнь 2023'!$G$4:$G$886,'июнь 2023'!$D$4:$D$886,$B6,'июнь 2023'!$J$4:$J$886,Z$1)</f>
        <v>0</v>
      </c>
      <c r="AA6" s="198">
        <f>SUMIFS('июнь 2023'!$G$4:$G$886,'июнь 2023'!$D$4:$D$886,$B6,'июнь 2023'!$J$4:$J$886,AA$1)</f>
        <v>0</v>
      </c>
      <c r="AB6" s="198">
        <f>SUMIFS('июнь 2023'!$G$4:$G$886,'июнь 2023'!$D$4:$D$886,$B6,'июнь 2023'!$J$4:$J$886,AB$1)</f>
        <v>0</v>
      </c>
      <c r="AC6" s="198">
        <f>SUMIFS('июнь 2023'!$G$4:$G$886,'июнь 2023'!$D$4:$D$886,$B6,'июнь 2023'!$J$4:$J$886,AC$1)</f>
        <v>0</v>
      </c>
      <c r="AD6" s="198">
        <f>SUMIFS('июнь 2023'!$G$4:$G$886,'июнь 2023'!$D$4:$D$886,$B6,'июнь 2023'!$J$4:$J$886,AD$1)</f>
        <v>0</v>
      </c>
      <c r="AE6" s="198">
        <f>SUMIFS('июнь 2023'!$G$4:$G$886,'июнь 2023'!$D$4:$D$886,$B6,'июнь 2023'!$J$4:$J$886,AE$1)</f>
        <v>0</v>
      </c>
      <c r="AF6" s="198">
        <f>SUMIFS('июнь 2023'!$G$4:$G$886,'июнь 2023'!$D$4:$D$886,$B6,'июнь 2023'!$J$4:$J$886,AF$1)</f>
        <v>0</v>
      </c>
      <c r="AG6" s="198">
        <f>SUMIFS('июнь 2023'!$G$4:$G$886,'июнь 2023'!$D$4:$D$886,$B6,'июнь 2023'!$J$4:$J$886,AG$1)</f>
        <v>0</v>
      </c>
      <c r="AH6" s="198">
        <f>SUMIFS('июнь 2023'!$G$4:$G$886,'июнь 2023'!$D$4:$D$886,$B6,'июнь 2023'!$J$4:$J$886,AH$1)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SUMIFS('июнь 2023'!$G$4:$G$886,'июнь 2023'!$D$4:$D$886,$B7,'июнь 2023'!$J$4:$J$886,D$1)</f>
        <v>0</v>
      </c>
      <c r="E7" s="198">
        <f>SUMIFS('июнь 2023'!$G$4:$G$886,'июнь 2023'!$D$4:$D$886,$B7,'июнь 2023'!$J$4:$J$886,E$1)</f>
        <v>0</v>
      </c>
      <c r="F7" s="198">
        <f>SUMIFS('июнь 2023'!$G$4:$G$886,'июнь 2023'!$D$4:$D$886,$B7,'июнь 2023'!$J$4:$J$886,F$1)</f>
        <v>0</v>
      </c>
      <c r="G7" s="198">
        <f>SUMIFS('июнь 2023'!$G$4:$G$886,'июнь 2023'!$D$4:$D$886,$B7,'июнь 2023'!$J$4:$J$886,G$1)</f>
        <v>0</v>
      </c>
      <c r="H7" s="198">
        <f>SUMIFS('июнь 2023'!$G$4:$G$886,'июнь 2023'!$D$4:$D$886,$B7,'июнь 2023'!$J$4:$J$886,H$1)</f>
        <v>0</v>
      </c>
      <c r="I7" s="198">
        <f>SUMIFS('июнь 2023'!$G$4:$G$886,'июнь 2023'!$D$4:$D$886,$B7,'июнь 2023'!$J$4:$J$886,I$1)</f>
        <v>0</v>
      </c>
      <c r="J7" s="198">
        <f>SUMIFS('июнь 2023'!$G$4:$G$886,'июнь 2023'!$D$4:$D$886,$B7,'июнь 2023'!$J$4:$J$886,J$1)</f>
        <v>0</v>
      </c>
      <c r="K7" s="198">
        <f>SUMIFS('июнь 2023'!$G$4:$G$886,'июнь 2023'!$D$4:$D$886,$B7,'июнь 2023'!$J$4:$J$886,K$1)</f>
        <v>0</v>
      </c>
      <c r="L7" s="198">
        <f>SUMIFS('июнь 2023'!$G$4:$G$886,'июнь 2023'!$D$4:$D$886,$B7,'июнь 2023'!$J$4:$J$886,L$1)</f>
        <v>0</v>
      </c>
      <c r="M7" s="198">
        <f>SUMIFS('июнь 2023'!$G$4:$G$886,'июнь 2023'!$D$4:$D$886,$B7,'июнь 2023'!$J$4:$J$886,M$1)</f>
        <v>0</v>
      </c>
      <c r="N7" s="198">
        <f>SUMIFS('июнь 2023'!$G$4:$G$886,'июнь 2023'!$D$4:$D$886,$B7,'июнь 2023'!$J$4:$J$886,N$1)</f>
        <v>0</v>
      </c>
      <c r="O7" s="198">
        <f>SUMIFS('июнь 2023'!$G$4:$G$886,'июнь 2023'!$D$4:$D$886,$B7,'июнь 2023'!$J$4:$J$886,O$1)</f>
        <v>0</v>
      </c>
      <c r="P7" s="198">
        <f>SUMIFS('июнь 2023'!$G$4:$G$886,'июнь 2023'!$D$4:$D$886,$B7,'июнь 2023'!$J$4:$J$886,P$1)</f>
        <v>0</v>
      </c>
      <c r="Q7" s="198">
        <f>SUMIFS('июнь 2023'!$G$4:$G$886,'июнь 2023'!$D$4:$D$886,$B7,'июнь 2023'!$J$4:$J$886,Q$1)</f>
        <v>0</v>
      </c>
      <c r="R7" s="198">
        <f>SUMIFS('июнь 2023'!$G$4:$G$886,'июнь 2023'!$D$4:$D$886,$B7,'июнь 2023'!$J$4:$J$886,R$1)</f>
        <v>0</v>
      </c>
      <c r="S7" s="198">
        <f>SUMIFS('июнь 2023'!$G$4:$G$886,'июнь 2023'!$D$4:$D$886,$B7,'июнь 2023'!$J$4:$J$886,S$1)</f>
        <v>0</v>
      </c>
      <c r="T7" s="198">
        <f>SUMIFS('июнь 2023'!$G$4:$G$886,'июнь 2023'!$D$4:$D$886,$B7,'июнь 2023'!$J$4:$J$886,T$1)</f>
        <v>0</v>
      </c>
      <c r="U7" s="198">
        <f>SUMIFS('июнь 2023'!$G$4:$G$886,'июнь 2023'!$D$4:$D$886,$B7,'июнь 2023'!$J$4:$J$886,U$1)</f>
        <v>0</v>
      </c>
      <c r="V7" s="198">
        <f>SUMIFS('июнь 2023'!$G$4:$G$886,'июнь 2023'!$D$4:$D$886,$B7,'июнь 2023'!$J$4:$J$886,V$1)</f>
        <v>0</v>
      </c>
      <c r="W7" s="198">
        <f>SUMIFS('июнь 2023'!$G$4:$G$886,'июнь 2023'!$D$4:$D$886,$B7,'июнь 2023'!$J$4:$J$886,W$1)</f>
        <v>0</v>
      </c>
      <c r="X7" s="198">
        <f>SUMIFS('июнь 2023'!$G$4:$G$886,'июнь 2023'!$D$4:$D$886,$B7,'июнь 2023'!$J$4:$J$886,X$1)</f>
        <v>0</v>
      </c>
      <c r="Y7" s="198">
        <f>SUMIFS('июнь 2023'!$G$4:$G$886,'июнь 2023'!$D$4:$D$886,$B7,'июнь 2023'!$J$4:$J$886,Y$1)</f>
        <v>0</v>
      </c>
      <c r="Z7" s="198">
        <f>SUMIFS('июнь 2023'!$G$4:$G$886,'июнь 2023'!$D$4:$D$886,$B7,'июнь 2023'!$J$4:$J$886,Z$1)</f>
        <v>0</v>
      </c>
      <c r="AA7" s="198">
        <f>SUMIFS('июнь 2023'!$G$4:$G$886,'июнь 2023'!$D$4:$D$886,$B7,'июнь 2023'!$J$4:$J$886,AA$1)</f>
        <v>0</v>
      </c>
      <c r="AB7" s="198">
        <f>SUMIFS('июнь 2023'!$G$4:$G$886,'июнь 2023'!$D$4:$D$886,$B7,'июнь 2023'!$J$4:$J$886,AB$1)</f>
        <v>0</v>
      </c>
      <c r="AC7" s="198">
        <f>SUMIFS('июнь 2023'!$G$4:$G$886,'июнь 2023'!$D$4:$D$886,$B7,'июнь 2023'!$J$4:$J$886,AC$1)</f>
        <v>0</v>
      </c>
      <c r="AD7" s="198">
        <f>SUMIFS('июнь 2023'!$G$4:$G$886,'июнь 2023'!$D$4:$D$886,$B7,'июнь 2023'!$J$4:$J$886,AD$1)</f>
        <v>0</v>
      </c>
      <c r="AE7" s="198">
        <f>SUMIFS('июнь 2023'!$G$4:$G$886,'июнь 2023'!$D$4:$D$886,$B7,'июнь 2023'!$J$4:$J$886,AE$1)</f>
        <v>0</v>
      </c>
      <c r="AF7" s="198">
        <f>SUMIFS('июнь 2023'!$G$4:$G$886,'июнь 2023'!$D$4:$D$886,$B7,'июнь 2023'!$J$4:$J$886,AF$1)</f>
        <v>0</v>
      </c>
      <c r="AG7" s="198">
        <f>SUMIFS('июнь 2023'!$G$4:$G$886,'июнь 2023'!$D$4:$D$886,$B7,'июнь 2023'!$J$4:$J$886,AG$1)</f>
        <v>0</v>
      </c>
      <c r="AH7" s="198">
        <f>SUMIFS('июнь 2023'!$G$4:$G$886,'июнь 2023'!$D$4:$D$886,$B7,'июнь 2023'!$J$4:$J$886,AH$1)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SUMIFS('июнь 2023'!$G$4:$G$886,'июнь 2023'!$D$4:$D$886,$B8,'июнь 2023'!$J$4:$J$886,D$1)</f>
        <v>0</v>
      </c>
      <c r="E8" s="198">
        <f>SUMIFS('июнь 2023'!$G$4:$G$886,'июнь 2023'!$D$4:$D$886,$B8,'июнь 2023'!$J$4:$J$886,E$1)</f>
        <v>0</v>
      </c>
      <c r="F8" s="198">
        <f>SUMIFS('июнь 2023'!$G$4:$G$886,'июнь 2023'!$D$4:$D$886,$B8,'июнь 2023'!$J$4:$J$886,F$1)</f>
        <v>0</v>
      </c>
      <c r="G8" s="198">
        <f>SUMIFS('июнь 2023'!$G$4:$G$886,'июнь 2023'!$D$4:$D$886,$B8,'июнь 2023'!$J$4:$J$886,G$1)</f>
        <v>0</v>
      </c>
      <c r="H8" s="198">
        <f>SUMIFS('июнь 2023'!$G$4:$G$886,'июнь 2023'!$D$4:$D$886,$B8,'июнь 2023'!$J$4:$J$886,H$1)</f>
        <v>0</v>
      </c>
      <c r="I8" s="198">
        <f>SUMIFS('июнь 2023'!$G$4:$G$886,'июнь 2023'!$D$4:$D$886,$B8,'июнь 2023'!$J$4:$J$886,I$1)</f>
        <v>0</v>
      </c>
      <c r="J8" s="198">
        <f>SUMIFS('июнь 2023'!$G$4:$G$886,'июнь 2023'!$D$4:$D$886,$B8,'июнь 2023'!$J$4:$J$886,J$1)</f>
        <v>0</v>
      </c>
      <c r="K8" s="198">
        <f>SUMIFS('июнь 2023'!$G$4:$G$886,'июнь 2023'!$D$4:$D$886,$B8,'июнь 2023'!$J$4:$J$886,K$1)</f>
        <v>0</v>
      </c>
      <c r="L8" s="198">
        <f>SUMIFS('июнь 2023'!$G$4:$G$886,'июнь 2023'!$D$4:$D$886,$B8,'июнь 2023'!$J$4:$J$886,L$1)</f>
        <v>0</v>
      </c>
      <c r="M8" s="198">
        <f>SUMIFS('июнь 2023'!$G$4:$G$886,'июнь 2023'!$D$4:$D$886,$B8,'июнь 2023'!$J$4:$J$886,M$1)</f>
        <v>0</v>
      </c>
      <c r="N8" s="198">
        <f>SUMIFS('июнь 2023'!$G$4:$G$886,'июнь 2023'!$D$4:$D$886,$B8,'июнь 2023'!$J$4:$J$886,N$1)</f>
        <v>0</v>
      </c>
      <c r="O8" s="198">
        <f>SUMIFS('июнь 2023'!$G$4:$G$886,'июнь 2023'!$D$4:$D$886,$B8,'июнь 2023'!$J$4:$J$886,O$1)</f>
        <v>0</v>
      </c>
      <c r="P8" s="198">
        <f>SUMIFS('июнь 2023'!$G$4:$G$886,'июнь 2023'!$D$4:$D$886,$B8,'июнь 2023'!$J$4:$J$886,P$1)</f>
        <v>0</v>
      </c>
      <c r="Q8" s="198">
        <f>SUMIFS('июнь 2023'!$G$4:$G$886,'июнь 2023'!$D$4:$D$886,$B8,'июнь 2023'!$J$4:$J$886,Q$1)</f>
        <v>0</v>
      </c>
      <c r="R8" s="198">
        <f>SUMIFS('июнь 2023'!$G$4:$G$886,'июнь 2023'!$D$4:$D$886,$B8,'июнь 2023'!$J$4:$J$886,R$1)</f>
        <v>0</v>
      </c>
      <c r="S8" s="198">
        <f>SUMIFS('июнь 2023'!$G$4:$G$886,'июнь 2023'!$D$4:$D$886,$B8,'июнь 2023'!$J$4:$J$886,S$1)</f>
        <v>0</v>
      </c>
      <c r="T8" s="198">
        <f>SUMIFS('июнь 2023'!$G$4:$G$886,'июнь 2023'!$D$4:$D$886,$B8,'июнь 2023'!$J$4:$J$886,T$1)</f>
        <v>0</v>
      </c>
      <c r="U8" s="198">
        <f>SUMIFS('июнь 2023'!$G$4:$G$886,'июнь 2023'!$D$4:$D$886,$B8,'июнь 2023'!$J$4:$J$886,U$1)</f>
        <v>0</v>
      </c>
      <c r="V8" s="198">
        <f>SUMIFS('июнь 2023'!$G$4:$G$886,'июнь 2023'!$D$4:$D$886,$B8,'июнь 2023'!$J$4:$J$886,V$1)</f>
        <v>0</v>
      </c>
      <c r="W8" s="198">
        <f>SUMIFS('июнь 2023'!$G$4:$G$886,'июнь 2023'!$D$4:$D$886,$B8,'июнь 2023'!$J$4:$J$886,W$1)</f>
        <v>0</v>
      </c>
      <c r="X8" s="198">
        <f>SUMIFS('июнь 2023'!$G$4:$G$886,'июнь 2023'!$D$4:$D$886,$B8,'июнь 2023'!$J$4:$J$886,X$1)</f>
        <v>0</v>
      </c>
      <c r="Y8" s="198">
        <f>SUMIFS('июнь 2023'!$G$4:$G$886,'июнь 2023'!$D$4:$D$886,$B8,'июнь 2023'!$J$4:$J$886,Y$1)</f>
        <v>0</v>
      </c>
      <c r="Z8" s="198">
        <f>SUMIFS('июнь 2023'!$G$4:$G$886,'июнь 2023'!$D$4:$D$886,$B8,'июнь 2023'!$J$4:$J$886,Z$1)</f>
        <v>0</v>
      </c>
      <c r="AA8" s="198">
        <f>SUMIFS('июнь 2023'!$G$4:$G$886,'июнь 2023'!$D$4:$D$886,$B8,'июнь 2023'!$J$4:$J$886,AA$1)</f>
        <v>0</v>
      </c>
      <c r="AB8" s="198">
        <f>SUMIFS('июнь 2023'!$G$4:$G$886,'июнь 2023'!$D$4:$D$886,$B8,'июнь 2023'!$J$4:$J$886,AB$1)</f>
        <v>0</v>
      </c>
      <c r="AC8" s="198">
        <f>SUMIFS('июнь 2023'!$G$4:$G$886,'июнь 2023'!$D$4:$D$886,$B8,'июнь 2023'!$J$4:$J$886,AC$1)</f>
        <v>0</v>
      </c>
      <c r="AD8" s="198">
        <f>SUMIFS('июнь 2023'!$G$4:$G$886,'июнь 2023'!$D$4:$D$886,$B8,'июнь 2023'!$J$4:$J$886,AD$1)</f>
        <v>0</v>
      </c>
      <c r="AE8" s="198">
        <f>SUMIFS('июнь 2023'!$G$4:$G$886,'июнь 2023'!$D$4:$D$886,$B8,'июнь 2023'!$J$4:$J$886,AE$1)</f>
        <v>0</v>
      </c>
      <c r="AF8" s="198">
        <f>SUMIFS('июнь 2023'!$G$4:$G$886,'июнь 2023'!$D$4:$D$886,$B8,'июнь 2023'!$J$4:$J$886,AF$1)</f>
        <v>0</v>
      </c>
      <c r="AG8" s="198">
        <f>SUMIFS('июнь 2023'!$G$4:$G$886,'июнь 2023'!$D$4:$D$886,$B8,'июнь 2023'!$J$4:$J$886,AG$1)</f>
        <v>0</v>
      </c>
      <c r="AH8" s="198">
        <f>SUMIFS('июнь 2023'!$G$4:$G$886,'июнь 2023'!$D$4:$D$886,$B8,'июнь 2023'!$J$4:$J$886,AH$1)</f>
        <v>0</v>
      </c>
      <c r="AI8" s="170">
        <f t="shared" si="1"/>
        <v>0</v>
      </c>
    </row>
    <row r="9" spans="2:35" ht="15" customHeight="1" x14ac:dyDescent="0.25">
      <c r="B9" s="199" t="s">
        <v>2053</v>
      </c>
      <c r="C9" s="200">
        <v>25</v>
      </c>
      <c r="D9" s="198">
        <f>SUMIFS('июнь 2023'!$G$4:$G$886,'июнь 2023'!$D$4:$D$886,$B9,'июнь 2023'!$J$4:$J$886,D$1)</f>
        <v>0</v>
      </c>
      <c r="E9" s="198">
        <f>SUMIFS('июнь 2023'!$G$4:$G$886,'июнь 2023'!$D$4:$D$886,$B9,'июнь 2023'!$J$4:$J$886,E$1)</f>
        <v>0</v>
      </c>
      <c r="F9" s="198">
        <f>SUMIFS('июнь 2023'!$G$4:$G$886,'июнь 2023'!$D$4:$D$886,$B9,'июнь 2023'!$J$4:$J$886,F$1)</f>
        <v>0</v>
      </c>
      <c r="G9" s="198">
        <f>SUMIFS('июнь 2023'!$G$4:$G$886,'июнь 2023'!$D$4:$D$886,$B9,'июнь 2023'!$J$4:$J$886,G$1)</f>
        <v>0</v>
      </c>
      <c r="H9" s="198">
        <f>SUMIFS('июнь 2023'!$G$4:$G$886,'июнь 2023'!$D$4:$D$886,$B9,'июнь 2023'!$J$4:$J$886,H$1)</f>
        <v>0</v>
      </c>
      <c r="I9" s="198">
        <f>SUMIFS('июнь 2023'!$G$4:$G$886,'июнь 2023'!$D$4:$D$886,$B9,'июнь 2023'!$J$4:$J$886,I$1)</f>
        <v>0</v>
      </c>
      <c r="J9" s="198">
        <f>SUMIFS('июнь 2023'!$G$4:$G$886,'июнь 2023'!$D$4:$D$886,$B9,'июнь 2023'!$J$4:$J$886,J$1)</f>
        <v>0</v>
      </c>
      <c r="K9" s="198">
        <f>SUMIFS('июнь 2023'!$G$4:$G$886,'июнь 2023'!$D$4:$D$886,$B9,'июнь 2023'!$J$4:$J$886,K$1)</f>
        <v>0</v>
      </c>
      <c r="L9" s="198">
        <f>SUMIFS('июнь 2023'!$G$4:$G$886,'июнь 2023'!$D$4:$D$886,$B9,'июнь 2023'!$J$4:$J$886,L$1)</f>
        <v>0</v>
      </c>
      <c r="M9" s="198">
        <f>SUMIFS('июнь 2023'!$G$4:$G$886,'июнь 2023'!$D$4:$D$886,$B9,'июнь 2023'!$J$4:$J$886,M$1)</f>
        <v>0</v>
      </c>
      <c r="N9" s="198">
        <f>SUMIFS('июнь 2023'!$G$4:$G$886,'июнь 2023'!$D$4:$D$886,$B9,'июнь 2023'!$J$4:$J$886,N$1)</f>
        <v>0</v>
      </c>
      <c r="O9" s="198">
        <f>SUMIFS('июнь 2023'!$G$4:$G$886,'июнь 2023'!$D$4:$D$886,$B9,'июнь 2023'!$J$4:$J$886,O$1)</f>
        <v>0</v>
      </c>
      <c r="P9" s="198">
        <f>SUMIFS('июнь 2023'!$G$4:$G$886,'июнь 2023'!$D$4:$D$886,$B9,'июнь 2023'!$J$4:$J$886,P$1)</f>
        <v>0</v>
      </c>
      <c r="Q9" s="198">
        <f>SUMIFS('июнь 2023'!$G$4:$G$886,'июнь 2023'!$D$4:$D$886,$B9,'июнь 2023'!$J$4:$J$886,Q$1)</f>
        <v>0</v>
      </c>
      <c r="R9" s="198">
        <f>SUMIFS('июнь 2023'!$G$4:$G$886,'июнь 2023'!$D$4:$D$886,$B9,'июнь 2023'!$J$4:$J$886,R$1)</f>
        <v>0</v>
      </c>
      <c r="S9" s="198">
        <f>SUMIFS('июнь 2023'!$G$4:$G$886,'июнь 2023'!$D$4:$D$886,$B9,'июнь 2023'!$J$4:$J$886,S$1)</f>
        <v>0</v>
      </c>
      <c r="T9" s="198">
        <f>SUMIFS('июнь 2023'!$G$4:$G$886,'июнь 2023'!$D$4:$D$886,$B9,'июнь 2023'!$J$4:$J$886,T$1)</f>
        <v>0</v>
      </c>
      <c r="U9" s="198">
        <f>SUMIFS('июнь 2023'!$G$4:$G$886,'июнь 2023'!$D$4:$D$886,$B9,'июнь 2023'!$J$4:$J$886,U$1)</f>
        <v>0</v>
      </c>
      <c r="V9" s="198">
        <f>SUMIFS('июнь 2023'!$G$4:$G$886,'июнь 2023'!$D$4:$D$886,$B9,'июнь 2023'!$J$4:$J$886,V$1)</f>
        <v>0</v>
      </c>
      <c r="W9" s="198">
        <f>SUMIFS('июнь 2023'!$G$4:$G$886,'июнь 2023'!$D$4:$D$886,$B9,'июнь 2023'!$J$4:$J$886,W$1)</f>
        <v>0</v>
      </c>
      <c r="X9" s="198">
        <f>SUMIFS('июнь 2023'!$G$4:$G$886,'июнь 2023'!$D$4:$D$886,$B9,'июнь 2023'!$J$4:$J$886,X$1)</f>
        <v>0</v>
      </c>
      <c r="Y9" s="198">
        <f>SUMIFS('июнь 2023'!$G$4:$G$886,'июнь 2023'!$D$4:$D$886,$B9,'июнь 2023'!$J$4:$J$886,Y$1)</f>
        <v>0</v>
      </c>
      <c r="Z9" s="198">
        <f>SUMIFS('июнь 2023'!$G$4:$G$886,'июнь 2023'!$D$4:$D$886,$B9,'июнь 2023'!$J$4:$J$886,Z$1)</f>
        <v>0</v>
      </c>
      <c r="AA9" s="198">
        <f>SUMIFS('июнь 2023'!$G$4:$G$886,'июнь 2023'!$D$4:$D$886,$B9,'июнь 2023'!$J$4:$J$886,AA$1)</f>
        <v>0</v>
      </c>
      <c r="AB9" s="198">
        <f>SUMIFS('июнь 2023'!$G$4:$G$886,'июнь 2023'!$D$4:$D$886,$B9,'июнь 2023'!$J$4:$J$886,AB$1)</f>
        <v>0</v>
      </c>
      <c r="AC9" s="198">
        <f>SUMIFS('июнь 2023'!$G$4:$G$886,'июнь 2023'!$D$4:$D$886,$B9,'июнь 2023'!$J$4:$J$886,AC$1)</f>
        <v>0</v>
      </c>
      <c r="AD9" s="198">
        <f>SUMIFS('июнь 2023'!$G$4:$G$886,'июнь 2023'!$D$4:$D$886,$B9,'июнь 2023'!$J$4:$J$886,AD$1)</f>
        <v>0</v>
      </c>
      <c r="AE9" s="198">
        <f>SUMIFS('июнь 2023'!$G$4:$G$886,'июнь 2023'!$D$4:$D$886,$B9,'июнь 2023'!$J$4:$J$886,AE$1)</f>
        <v>0</v>
      </c>
      <c r="AF9" s="198">
        <f>SUMIFS('июнь 2023'!$G$4:$G$886,'июнь 2023'!$D$4:$D$886,$B9,'июнь 2023'!$J$4:$J$886,AF$1)</f>
        <v>0</v>
      </c>
      <c r="AG9" s="198">
        <f>SUMIFS('июнь 2023'!$G$4:$G$886,'июнь 2023'!$D$4:$D$886,$B9,'июнь 2023'!$J$4:$J$886,AG$1)</f>
        <v>0</v>
      </c>
      <c r="AH9" s="198">
        <f>SUMIFS('июнь 2023'!$G$4:$G$886,'июнь 2023'!$D$4:$D$886,$B9,'июнь 2023'!$J$4:$J$886,AH$1)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SUMIFS('июнь 2023'!$G$4:$G$886,'июнь 2023'!$D$4:$D$886,$B10,'июнь 2023'!$J$4:$J$886,D$1)</f>
        <v>0</v>
      </c>
      <c r="E10" s="198">
        <f>SUMIFS('июнь 2023'!$G$4:$G$886,'июнь 2023'!$D$4:$D$886,$B10,'июнь 2023'!$J$4:$J$886,E$1)</f>
        <v>0</v>
      </c>
      <c r="F10" s="198">
        <f>SUMIFS('июнь 2023'!$G$4:$G$886,'июнь 2023'!$D$4:$D$886,$B10,'июнь 2023'!$J$4:$J$886,F$1)</f>
        <v>0</v>
      </c>
      <c r="G10" s="198">
        <f>SUMIFS('июнь 2023'!$G$4:$G$886,'июнь 2023'!$D$4:$D$886,$B10,'июнь 2023'!$J$4:$J$886,G$1)</f>
        <v>0</v>
      </c>
      <c r="H10" s="198">
        <f>SUMIFS('июнь 2023'!$G$4:$G$886,'июнь 2023'!$D$4:$D$886,$B10,'июнь 2023'!$J$4:$J$886,H$1)</f>
        <v>0</v>
      </c>
      <c r="I10" s="198">
        <f>SUMIFS('июнь 2023'!$G$4:$G$886,'июнь 2023'!$D$4:$D$886,$B10,'июнь 2023'!$J$4:$J$886,I$1)</f>
        <v>0</v>
      </c>
      <c r="J10" s="198">
        <f>SUMIFS('июнь 2023'!$G$4:$G$886,'июнь 2023'!$D$4:$D$886,$B10,'июнь 2023'!$J$4:$J$886,J$1)</f>
        <v>0</v>
      </c>
      <c r="K10" s="198">
        <f>SUMIFS('июнь 2023'!$G$4:$G$886,'июнь 2023'!$D$4:$D$886,$B10,'июнь 2023'!$J$4:$J$886,K$1)</f>
        <v>0</v>
      </c>
      <c r="L10" s="198">
        <f>SUMIFS('июнь 2023'!$G$4:$G$886,'июнь 2023'!$D$4:$D$886,$B10,'июнь 2023'!$J$4:$J$886,L$1)</f>
        <v>0</v>
      </c>
      <c r="M10" s="198">
        <f>SUMIFS('июнь 2023'!$G$4:$G$886,'июнь 2023'!$D$4:$D$886,$B10,'июнь 2023'!$J$4:$J$886,M$1)</f>
        <v>0</v>
      </c>
      <c r="N10" s="198">
        <f>SUMIFS('июнь 2023'!$G$4:$G$886,'июнь 2023'!$D$4:$D$886,$B10,'июнь 2023'!$J$4:$J$886,N$1)</f>
        <v>0</v>
      </c>
      <c r="O10" s="198">
        <f>SUMIFS('июнь 2023'!$G$4:$G$886,'июнь 2023'!$D$4:$D$886,$B10,'июнь 2023'!$J$4:$J$886,O$1)</f>
        <v>0</v>
      </c>
      <c r="P10" s="198">
        <f>SUMIFS('июнь 2023'!$G$4:$G$886,'июнь 2023'!$D$4:$D$886,$B10,'июнь 2023'!$J$4:$J$886,P$1)</f>
        <v>0</v>
      </c>
      <c r="Q10" s="198">
        <f>SUMIFS('июнь 2023'!$G$4:$G$886,'июнь 2023'!$D$4:$D$886,$B10,'июнь 2023'!$J$4:$J$886,Q$1)</f>
        <v>0</v>
      </c>
      <c r="R10" s="198">
        <f>SUMIFS('июнь 2023'!$G$4:$G$886,'июнь 2023'!$D$4:$D$886,$B10,'июнь 2023'!$J$4:$J$886,R$1)</f>
        <v>0</v>
      </c>
      <c r="S10" s="198">
        <f>SUMIFS('июнь 2023'!$G$4:$G$886,'июнь 2023'!$D$4:$D$886,$B10,'июнь 2023'!$J$4:$J$886,S$1)</f>
        <v>0</v>
      </c>
      <c r="T10" s="198">
        <f>SUMIFS('июнь 2023'!$G$4:$G$886,'июнь 2023'!$D$4:$D$886,$B10,'июнь 2023'!$J$4:$J$886,T$1)</f>
        <v>0</v>
      </c>
      <c r="U10" s="198">
        <f>SUMIFS('июнь 2023'!$G$4:$G$886,'июнь 2023'!$D$4:$D$886,$B10,'июнь 2023'!$J$4:$J$886,U$1)</f>
        <v>0</v>
      </c>
      <c r="V10" s="198">
        <f>SUMIFS('июнь 2023'!$G$4:$G$886,'июнь 2023'!$D$4:$D$886,$B10,'июнь 2023'!$J$4:$J$886,V$1)</f>
        <v>0</v>
      </c>
      <c r="W10" s="198">
        <f>SUMIFS('июнь 2023'!$G$4:$G$886,'июнь 2023'!$D$4:$D$886,$B10,'июнь 2023'!$J$4:$J$886,W$1)</f>
        <v>0</v>
      </c>
      <c r="X10" s="198">
        <f>SUMIFS('июнь 2023'!$G$4:$G$886,'июнь 2023'!$D$4:$D$886,$B10,'июнь 2023'!$J$4:$J$886,X$1)</f>
        <v>0</v>
      </c>
      <c r="Y10" s="198">
        <f>SUMIFS('июнь 2023'!$G$4:$G$886,'июнь 2023'!$D$4:$D$886,$B10,'июнь 2023'!$J$4:$J$886,Y$1)</f>
        <v>0</v>
      </c>
      <c r="Z10" s="198">
        <f>SUMIFS('июнь 2023'!$G$4:$G$886,'июнь 2023'!$D$4:$D$886,$B10,'июнь 2023'!$J$4:$J$886,Z$1)</f>
        <v>0</v>
      </c>
      <c r="AA10" s="198">
        <f>SUMIFS('июнь 2023'!$G$4:$G$886,'июнь 2023'!$D$4:$D$886,$B10,'июнь 2023'!$J$4:$J$886,AA$1)</f>
        <v>0</v>
      </c>
      <c r="AB10" s="198">
        <f>SUMIFS('июнь 2023'!$G$4:$G$886,'июнь 2023'!$D$4:$D$886,$B10,'июнь 2023'!$J$4:$J$886,AB$1)</f>
        <v>0</v>
      </c>
      <c r="AC10" s="198">
        <f>SUMIFS('июнь 2023'!$G$4:$G$886,'июнь 2023'!$D$4:$D$886,$B10,'июнь 2023'!$J$4:$J$886,AC$1)</f>
        <v>0</v>
      </c>
      <c r="AD10" s="198">
        <f>SUMIFS('июнь 2023'!$G$4:$G$886,'июнь 2023'!$D$4:$D$886,$B10,'июнь 2023'!$J$4:$J$886,AD$1)</f>
        <v>0</v>
      </c>
      <c r="AE10" s="198">
        <f>SUMIFS('июнь 2023'!$G$4:$G$886,'июнь 2023'!$D$4:$D$886,$B10,'июнь 2023'!$J$4:$J$886,AE$1)</f>
        <v>0</v>
      </c>
      <c r="AF10" s="198">
        <f>SUMIFS('июнь 2023'!$G$4:$G$886,'июнь 2023'!$D$4:$D$886,$B10,'июнь 2023'!$J$4:$J$886,AF$1)</f>
        <v>0</v>
      </c>
      <c r="AG10" s="198">
        <f>SUMIFS('июнь 2023'!$G$4:$G$886,'июнь 2023'!$D$4:$D$886,$B10,'июнь 2023'!$J$4:$J$886,AG$1)</f>
        <v>0</v>
      </c>
      <c r="AH10" s="198">
        <f>SUMIFS('июнь 2023'!$G$4:$G$886,'июнь 2023'!$D$4:$D$886,$B10,'июнь 2023'!$J$4:$J$886,AH$1)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SUMIFS('июнь 2023'!$G$4:$G$886,'июнь 2023'!$D$4:$D$886,$B11,'июнь 2023'!$J$4:$J$886,D$1)</f>
        <v>0</v>
      </c>
      <c r="E11" s="198">
        <f>SUMIFS('июнь 2023'!$G$4:$G$886,'июнь 2023'!$D$4:$D$886,$B11,'июнь 2023'!$J$4:$J$886,E$1)</f>
        <v>0</v>
      </c>
      <c r="F11" s="198">
        <f>SUMIFS('июнь 2023'!$G$4:$G$886,'июнь 2023'!$D$4:$D$886,$B11,'июнь 2023'!$J$4:$J$886,F$1)</f>
        <v>0</v>
      </c>
      <c r="G11" s="198">
        <f>SUMIFS('июнь 2023'!$G$4:$G$886,'июнь 2023'!$D$4:$D$886,$B11,'июнь 2023'!$J$4:$J$886,G$1)</f>
        <v>0</v>
      </c>
      <c r="H11" s="198">
        <f>SUMIFS('июнь 2023'!$G$4:$G$886,'июнь 2023'!$D$4:$D$886,$B11,'июнь 2023'!$J$4:$J$886,H$1)</f>
        <v>0</v>
      </c>
      <c r="I11" s="198">
        <f>SUMIFS('июнь 2023'!$G$4:$G$886,'июнь 2023'!$D$4:$D$886,$B11,'июнь 2023'!$J$4:$J$886,I$1)</f>
        <v>0</v>
      </c>
      <c r="J11" s="198">
        <f>SUMIFS('июнь 2023'!$G$4:$G$886,'июнь 2023'!$D$4:$D$886,$B11,'июнь 2023'!$J$4:$J$886,J$1)</f>
        <v>0</v>
      </c>
      <c r="K11" s="198">
        <f>SUMIFS('июнь 2023'!$G$4:$G$886,'июнь 2023'!$D$4:$D$886,$B11,'июнь 2023'!$J$4:$J$886,K$1)</f>
        <v>0</v>
      </c>
      <c r="L11" s="198">
        <f>SUMIFS('июнь 2023'!$G$4:$G$886,'июнь 2023'!$D$4:$D$886,$B11,'июнь 2023'!$J$4:$J$886,L$1)</f>
        <v>0</v>
      </c>
      <c r="M11" s="198">
        <f>SUMIFS('июнь 2023'!$G$4:$G$886,'июнь 2023'!$D$4:$D$886,$B11,'июнь 2023'!$J$4:$J$886,M$1)</f>
        <v>0</v>
      </c>
      <c r="N11" s="198">
        <f>SUMIFS('июнь 2023'!$G$4:$G$886,'июнь 2023'!$D$4:$D$886,$B11,'июнь 2023'!$J$4:$J$886,N$1)</f>
        <v>0</v>
      </c>
      <c r="O11" s="198">
        <f>SUMIFS('июнь 2023'!$G$4:$G$886,'июнь 2023'!$D$4:$D$886,$B11,'июнь 2023'!$J$4:$J$886,O$1)</f>
        <v>0</v>
      </c>
      <c r="P11" s="198">
        <f>SUMIFS('июнь 2023'!$G$4:$G$886,'июнь 2023'!$D$4:$D$886,$B11,'июнь 2023'!$J$4:$J$886,P$1)</f>
        <v>0</v>
      </c>
      <c r="Q11" s="198">
        <f>SUMIFS('июнь 2023'!$G$4:$G$886,'июнь 2023'!$D$4:$D$886,$B11,'июнь 2023'!$J$4:$J$886,Q$1)</f>
        <v>0</v>
      </c>
      <c r="R11" s="198">
        <f>SUMIFS('июнь 2023'!$G$4:$G$886,'июнь 2023'!$D$4:$D$886,$B11,'июнь 2023'!$J$4:$J$886,R$1)</f>
        <v>0</v>
      </c>
      <c r="S11" s="198">
        <f>SUMIFS('июнь 2023'!$G$4:$G$886,'июнь 2023'!$D$4:$D$886,$B11,'июнь 2023'!$J$4:$J$886,S$1)</f>
        <v>0</v>
      </c>
      <c r="T11" s="198">
        <f>SUMIFS('июнь 2023'!$G$4:$G$886,'июнь 2023'!$D$4:$D$886,$B11,'июнь 2023'!$J$4:$J$886,T$1)</f>
        <v>0</v>
      </c>
      <c r="U11" s="198">
        <f>SUMIFS('июнь 2023'!$G$4:$G$886,'июнь 2023'!$D$4:$D$886,$B11,'июнь 2023'!$J$4:$J$886,U$1)</f>
        <v>0</v>
      </c>
      <c r="V11" s="198">
        <f>SUMIFS('июнь 2023'!$G$4:$G$886,'июнь 2023'!$D$4:$D$886,$B11,'июнь 2023'!$J$4:$J$886,V$1)</f>
        <v>0</v>
      </c>
      <c r="W11" s="198">
        <f>SUMIFS('июнь 2023'!$G$4:$G$886,'июнь 2023'!$D$4:$D$886,$B11,'июнь 2023'!$J$4:$J$886,W$1)</f>
        <v>0</v>
      </c>
      <c r="X11" s="198">
        <f>SUMIFS('июнь 2023'!$G$4:$G$886,'июнь 2023'!$D$4:$D$886,$B11,'июнь 2023'!$J$4:$J$886,X$1)</f>
        <v>0</v>
      </c>
      <c r="Y11" s="198">
        <f>SUMIFS('июнь 2023'!$G$4:$G$886,'июнь 2023'!$D$4:$D$886,$B11,'июнь 2023'!$J$4:$J$886,Y$1)</f>
        <v>0</v>
      </c>
      <c r="Z11" s="198">
        <f>SUMIFS('июнь 2023'!$G$4:$G$886,'июнь 2023'!$D$4:$D$886,$B11,'июнь 2023'!$J$4:$J$886,Z$1)</f>
        <v>0</v>
      </c>
      <c r="AA11" s="198">
        <f>SUMIFS('июнь 2023'!$G$4:$G$886,'июнь 2023'!$D$4:$D$886,$B11,'июнь 2023'!$J$4:$J$886,AA$1)</f>
        <v>0</v>
      </c>
      <c r="AB11" s="198">
        <f>SUMIFS('июнь 2023'!$G$4:$G$886,'июнь 2023'!$D$4:$D$886,$B11,'июнь 2023'!$J$4:$J$886,AB$1)</f>
        <v>0</v>
      </c>
      <c r="AC11" s="198">
        <f>SUMIFS('июнь 2023'!$G$4:$G$886,'июнь 2023'!$D$4:$D$886,$B11,'июнь 2023'!$J$4:$J$886,AC$1)</f>
        <v>0</v>
      </c>
      <c r="AD11" s="198">
        <f>SUMIFS('июнь 2023'!$G$4:$G$886,'июнь 2023'!$D$4:$D$886,$B11,'июнь 2023'!$J$4:$J$886,AD$1)</f>
        <v>0</v>
      </c>
      <c r="AE11" s="198">
        <f>SUMIFS('июнь 2023'!$G$4:$G$886,'июнь 2023'!$D$4:$D$886,$B11,'июнь 2023'!$J$4:$J$886,AE$1)</f>
        <v>0</v>
      </c>
      <c r="AF11" s="198">
        <f>SUMIFS('июнь 2023'!$G$4:$G$886,'июнь 2023'!$D$4:$D$886,$B11,'июнь 2023'!$J$4:$J$886,AF$1)</f>
        <v>0</v>
      </c>
      <c r="AG11" s="198">
        <f>SUMIFS('июнь 2023'!$G$4:$G$886,'июнь 2023'!$D$4:$D$886,$B11,'июнь 2023'!$J$4:$J$886,AG$1)</f>
        <v>0</v>
      </c>
      <c r="AH11" s="198">
        <f>SUMIFS('июнь 2023'!$G$4:$G$886,'июнь 2023'!$D$4:$D$886,$B11,'июнь 2023'!$J$4:$J$886,AH$1)</f>
        <v>0</v>
      </c>
      <c r="AI11" s="170">
        <f>SUM(D11:AH11)</f>
        <v>0</v>
      </c>
    </row>
    <row r="12" spans="2:35" ht="15" customHeight="1" x14ac:dyDescent="0.25">
      <c r="B12" s="202" t="s">
        <v>127</v>
      </c>
      <c r="C12" s="203">
        <v>25</v>
      </c>
      <c r="D12" s="198">
        <f>SUMIFS('июнь 2023'!$G$4:$G$886,'июнь 2023'!$D$4:$D$886,$B12,'июнь 2023'!$J$4:$J$886,D$1)</f>
        <v>0</v>
      </c>
      <c r="E12" s="198">
        <f>SUMIFS('июнь 2023'!$G$4:$G$886,'июнь 2023'!$D$4:$D$886,$B12,'июнь 2023'!$J$4:$J$886,E$1)</f>
        <v>800</v>
      </c>
      <c r="F12" s="198">
        <f>SUMIFS('июнь 2023'!$G$4:$G$886,'июнь 2023'!$D$4:$D$886,$B12,'июнь 2023'!$J$4:$J$886,F$1)</f>
        <v>0</v>
      </c>
      <c r="G12" s="198">
        <f>SUMIFS('июнь 2023'!$G$4:$G$886,'июнь 2023'!$D$4:$D$886,$B12,'июнь 2023'!$J$4:$J$886,G$1)</f>
        <v>0</v>
      </c>
      <c r="H12" s="198">
        <f>SUMIFS('июнь 2023'!$G$4:$G$886,'июнь 2023'!$D$4:$D$886,$B12,'июнь 2023'!$J$4:$J$886,H$1)</f>
        <v>0</v>
      </c>
      <c r="I12" s="198">
        <f>SUMIFS('июнь 2023'!$G$4:$G$886,'июнь 2023'!$D$4:$D$886,$B12,'июнь 2023'!$J$4:$J$886,I$1)</f>
        <v>0</v>
      </c>
      <c r="J12" s="198">
        <f>SUMIFS('июнь 2023'!$G$4:$G$886,'июнь 2023'!$D$4:$D$886,$B12,'июнь 2023'!$J$4:$J$886,J$1)</f>
        <v>0</v>
      </c>
      <c r="K12" s="198">
        <f>SUMIFS('июнь 2023'!$G$4:$G$886,'июнь 2023'!$D$4:$D$886,$B12,'июнь 2023'!$J$4:$J$886,K$1)</f>
        <v>0</v>
      </c>
      <c r="L12" s="198">
        <f>SUMIFS('июнь 2023'!$G$4:$G$886,'июнь 2023'!$D$4:$D$886,$B12,'июнь 2023'!$J$4:$J$886,L$1)</f>
        <v>0</v>
      </c>
      <c r="M12" s="198">
        <f>SUMIFS('июнь 2023'!$G$4:$G$886,'июнь 2023'!$D$4:$D$886,$B12,'июнь 2023'!$J$4:$J$886,M$1)</f>
        <v>0</v>
      </c>
      <c r="N12" s="198">
        <f>SUMIFS('июнь 2023'!$G$4:$G$886,'июнь 2023'!$D$4:$D$886,$B12,'июнь 2023'!$J$4:$J$886,N$1)</f>
        <v>0</v>
      </c>
      <c r="O12" s="198">
        <f>SUMIFS('июнь 2023'!$G$4:$G$886,'июнь 2023'!$D$4:$D$886,$B12,'июнь 2023'!$J$4:$J$886,O$1)</f>
        <v>0</v>
      </c>
      <c r="P12" s="198">
        <f>SUMIFS('июнь 2023'!$G$4:$G$886,'июнь 2023'!$D$4:$D$886,$B12,'июнь 2023'!$J$4:$J$886,P$1)</f>
        <v>0</v>
      </c>
      <c r="Q12" s="198">
        <f>SUMIFS('июнь 2023'!$G$4:$G$886,'июнь 2023'!$D$4:$D$886,$B12,'июнь 2023'!$J$4:$J$886,Q$1)</f>
        <v>0</v>
      </c>
      <c r="R12" s="198">
        <f>SUMIFS('июнь 2023'!$G$4:$G$886,'июнь 2023'!$D$4:$D$886,$B12,'июнь 2023'!$J$4:$J$886,R$1)</f>
        <v>0</v>
      </c>
      <c r="S12" s="198">
        <f>SUMIFS('июнь 2023'!$G$4:$G$886,'июнь 2023'!$D$4:$D$886,$B12,'июнь 2023'!$J$4:$J$886,S$1)</f>
        <v>0</v>
      </c>
      <c r="T12" s="198">
        <f>SUMIFS('июнь 2023'!$G$4:$G$886,'июнь 2023'!$D$4:$D$886,$B12,'июнь 2023'!$J$4:$J$886,T$1)</f>
        <v>0</v>
      </c>
      <c r="U12" s="198">
        <f>SUMIFS('июнь 2023'!$G$4:$G$886,'июнь 2023'!$D$4:$D$886,$B12,'июнь 2023'!$J$4:$J$886,U$1)</f>
        <v>0</v>
      </c>
      <c r="V12" s="198">
        <f>SUMIFS('июнь 2023'!$G$4:$G$886,'июнь 2023'!$D$4:$D$886,$B12,'июнь 2023'!$J$4:$J$886,V$1)</f>
        <v>0</v>
      </c>
      <c r="W12" s="198">
        <f>SUMIFS('июнь 2023'!$G$4:$G$886,'июнь 2023'!$D$4:$D$886,$B12,'июнь 2023'!$J$4:$J$886,W$1)</f>
        <v>0</v>
      </c>
      <c r="X12" s="198">
        <f>SUMIFS('июнь 2023'!$G$4:$G$886,'июнь 2023'!$D$4:$D$886,$B12,'июнь 2023'!$J$4:$J$886,X$1)</f>
        <v>0</v>
      </c>
      <c r="Y12" s="198">
        <f>SUMIFS('июнь 2023'!$G$4:$G$886,'июнь 2023'!$D$4:$D$886,$B12,'июнь 2023'!$J$4:$J$886,Y$1)</f>
        <v>0</v>
      </c>
      <c r="Z12" s="198">
        <f>SUMIFS('июнь 2023'!$G$4:$G$886,'июнь 2023'!$D$4:$D$886,$B12,'июнь 2023'!$J$4:$J$886,Z$1)</f>
        <v>0</v>
      </c>
      <c r="AA12" s="198">
        <f>SUMIFS('июнь 2023'!$G$4:$G$886,'июнь 2023'!$D$4:$D$886,$B12,'июнь 2023'!$J$4:$J$886,AA$1)</f>
        <v>0</v>
      </c>
      <c r="AB12" s="198">
        <f>SUMIFS('июнь 2023'!$G$4:$G$886,'июнь 2023'!$D$4:$D$886,$B12,'июнь 2023'!$J$4:$J$886,AB$1)</f>
        <v>0</v>
      </c>
      <c r="AC12" s="198">
        <f>SUMIFS('июнь 2023'!$G$4:$G$886,'июнь 2023'!$D$4:$D$886,$B12,'июнь 2023'!$J$4:$J$886,AC$1)</f>
        <v>0</v>
      </c>
      <c r="AD12" s="198">
        <f>SUMIFS('июнь 2023'!$G$4:$G$886,'июнь 2023'!$D$4:$D$886,$B12,'июнь 2023'!$J$4:$J$886,AD$1)</f>
        <v>0</v>
      </c>
      <c r="AE12" s="198">
        <f>SUMIFS('июнь 2023'!$G$4:$G$886,'июнь 2023'!$D$4:$D$886,$B12,'июнь 2023'!$J$4:$J$886,AE$1)</f>
        <v>0</v>
      </c>
      <c r="AF12" s="198">
        <f>SUMIFS('июнь 2023'!$G$4:$G$886,'июнь 2023'!$D$4:$D$886,$B12,'июнь 2023'!$J$4:$J$886,AF$1)</f>
        <v>0</v>
      </c>
      <c r="AG12" s="198">
        <f>SUMIFS('июнь 2023'!$G$4:$G$886,'июнь 2023'!$D$4:$D$886,$B12,'июнь 2023'!$J$4:$J$886,AG$1)</f>
        <v>0</v>
      </c>
      <c r="AH12" s="198">
        <f>SUMIFS('июнь 2023'!$G$4:$G$886,'июнь 2023'!$D$4:$D$886,$B12,'июнь 2023'!$J$4:$J$886,AH$1)</f>
        <v>0</v>
      </c>
      <c r="AI12" s="170">
        <f t="shared" si="1"/>
        <v>800</v>
      </c>
    </row>
    <row r="13" spans="2:35" ht="15" customHeight="1" x14ac:dyDescent="0.25">
      <c r="B13" s="202" t="s">
        <v>86</v>
      </c>
      <c r="C13" s="203">
        <v>22.7</v>
      </c>
      <c r="D13" s="198">
        <f>SUMIFS('июнь 2023'!$G$4:$G$886,'июнь 2023'!$D$4:$D$886,$B13,'июнь 2023'!$J$4:$J$886,D$1)</f>
        <v>0</v>
      </c>
      <c r="E13" s="198">
        <f>SUMIFS('июнь 2023'!$G$4:$G$886,'июнь 2023'!$D$4:$D$886,$B13,'июнь 2023'!$J$4:$J$886,E$1)</f>
        <v>0</v>
      </c>
      <c r="F13" s="198">
        <f>SUMIFS('июнь 2023'!$G$4:$G$886,'июнь 2023'!$D$4:$D$886,$B13,'июнь 2023'!$J$4:$J$886,F$1)</f>
        <v>0</v>
      </c>
      <c r="G13" s="198">
        <f>SUMIFS('июнь 2023'!$G$4:$G$886,'июнь 2023'!$D$4:$D$886,$B13,'июнь 2023'!$J$4:$J$886,G$1)</f>
        <v>0</v>
      </c>
      <c r="H13" s="198">
        <f>SUMIFS('июнь 2023'!$G$4:$G$886,'июнь 2023'!$D$4:$D$886,$B13,'июнь 2023'!$J$4:$J$886,H$1)</f>
        <v>800</v>
      </c>
      <c r="I13" s="198">
        <f>SUMIFS('июнь 2023'!$G$4:$G$886,'июнь 2023'!$D$4:$D$886,$B13,'июнь 2023'!$J$4:$J$886,I$1)</f>
        <v>0</v>
      </c>
      <c r="J13" s="198">
        <f>SUMIFS('июнь 2023'!$G$4:$G$886,'июнь 2023'!$D$4:$D$886,$B13,'июнь 2023'!$J$4:$J$886,J$1)</f>
        <v>0</v>
      </c>
      <c r="K13" s="198">
        <f>SUMIFS('июнь 2023'!$G$4:$G$886,'июнь 2023'!$D$4:$D$886,$B13,'июнь 2023'!$J$4:$J$886,K$1)</f>
        <v>800</v>
      </c>
      <c r="L13" s="198">
        <f>SUMIFS('июнь 2023'!$G$4:$G$886,'июнь 2023'!$D$4:$D$886,$B13,'июнь 2023'!$J$4:$J$886,L$1)</f>
        <v>0</v>
      </c>
      <c r="M13" s="198">
        <f>SUMIFS('июнь 2023'!$G$4:$G$886,'июнь 2023'!$D$4:$D$886,$B13,'июнь 2023'!$J$4:$J$886,M$1)</f>
        <v>0</v>
      </c>
      <c r="N13" s="198">
        <f>SUMIFS('июнь 2023'!$G$4:$G$886,'июнь 2023'!$D$4:$D$886,$B13,'июнь 2023'!$J$4:$J$886,N$1)</f>
        <v>0</v>
      </c>
      <c r="O13" s="198">
        <f>SUMIFS('июнь 2023'!$G$4:$G$886,'июнь 2023'!$D$4:$D$886,$B13,'июнь 2023'!$J$4:$J$886,O$1)</f>
        <v>0</v>
      </c>
      <c r="P13" s="198">
        <f>SUMIFS('июнь 2023'!$G$4:$G$886,'июнь 2023'!$D$4:$D$886,$B13,'июнь 2023'!$J$4:$J$886,P$1)</f>
        <v>0</v>
      </c>
      <c r="Q13" s="198">
        <f>SUMIFS('июнь 2023'!$G$4:$G$886,'июнь 2023'!$D$4:$D$886,$B13,'июнь 2023'!$J$4:$J$886,Q$1)</f>
        <v>0</v>
      </c>
      <c r="R13" s="198">
        <f>SUMIFS('июнь 2023'!$G$4:$G$886,'июнь 2023'!$D$4:$D$886,$B13,'июнь 2023'!$J$4:$J$886,R$1)</f>
        <v>1600</v>
      </c>
      <c r="S13" s="198">
        <f>SUMIFS('июнь 2023'!$G$4:$G$886,'июнь 2023'!$D$4:$D$886,$B13,'июнь 2023'!$J$4:$J$886,S$1)</f>
        <v>0</v>
      </c>
      <c r="T13" s="198">
        <f>SUMIFS('июнь 2023'!$G$4:$G$886,'июнь 2023'!$D$4:$D$886,$B13,'июнь 2023'!$J$4:$J$886,T$1)</f>
        <v>0</v>
      </c>
      <c r="U13" s="198">
        <f>SUMIFS('июнь 2023'!$G$4:$G$886,'июнь 2023'!$D$4:$D$886,$B13,'июнь 2023'!$J$4:$J$886,U$1)</f>
        <v>0</v>
      </c>
      <c r="V13" s="198">
        <f>SUMIFS('июнь 2023'!$G$4:$G$886,'июнь 2023'!$D$4:$D$886,$B13,'июнь 2023'!$J$4:$J$886,V$1)</f>
        <v>0</v>
      </c>
      <c r="W13" s="198">
        <f>SUMIFS('июнь 2023'!$G$4:$G$886,'июнь 2023'!$D$4:$D$886,$B13,'июнь 2023'!$J$4:$J$886,W$1)</f>
        <v>0</v>
      </c>
      <c r="X13" s="198">
        <f>SUMIFS('июнь 2023'!$G$4:$G$886,'июнь 2023'!$D$4:$D$886,$B13,'июнь 2023'!$J$4:$J$886,X$1)</f>
        <v>0</v>
      </c>
      <c r="Y13" s="198">
        <f>SUMIFS('июнь 2023'!$G$4:$G$886,'июнь 2023'!$D$4:$D$886,$B13,'июнь 2023'!$J$4:$J$886,Y$1)</f>
        <v>0</v>
      </c>
      <c r="Z13" s="198">
        <f>SUMIFS('июнь 2023'!$G$4:$G$886,'июнь 2023'!$D$4:$D$886,$B13,'июнь 2023'!$J$4:$J$886,Z$1)</f>
        <v>0</v>
      </c>
      <c r="AA13" s="198">
        <f>SUMIFS('июнь 2023'!$G$4:$G$886,'июнь 2023'!$D$4:$D$886,$B13,'июнь 2023'!$J$4:$J$886,AA$1)</f>
        <v>0</v>
      </c>
      <c r="AB13" s="198">
        <f>SUMIFS('июнь 2023'!$G$4:$G$886,'июнь 2023'!$D$4:$D$886,$B13,'июнь 2023'!$J$4:$J$886,AB$1)</f>
        <v>0</v>
      </c>
      <c r="AC13" s="198">
        <f>SUMIFS('июнь 2023'!$G$4:$G$886,'июнь 2023'!$D$4:$D$886,$B13,'июнь 2023'!$J$4:$J$886,AC$1)</f>
        <v>0</v>
      </c>
      <c r="AD13" s="198">
        <f>SUMIFS('июнь 2023'!$G$4:$G$886,'июнь 2023'!$D$4:$D$886,$B13,'июнь 2023'!$J$4:$J$886,AD$1)</f>
        <v>0</v>
      </c>
      <c r="AE13" s="198">
        <f>SUMIFS('июнь 2023'!$G$4:$G$886,'июнь 2023'!$D$4:$D$886,$B13,'июнь 2023'!$J$4:$J$886,AE$1)</f>
        <v>0</v>
      </c>
      <c r="AF13" s="198">
        <f>SUMIFS('июнь 2023'!$G$4:$G$886,'июнь 2023'!$D$4:$D$886,$B13,'июнь 2023'!$J$4:$J$886,AF$1)</f>
        <v>0</v>
      </c>
      <c r="AG13" s="198">
        <f>SUMIFS('июнь 2023'!$G$4:$G$886,'июнь 2023'!$D$4:$D$886,$B13,'июнь 2023'!$J$4:$J$886,AG$1)</f>
        <v>0</v>
      </c>
      <c r="AH13" s="198">
        <f>SUMIFS('июнь 2023'!$G$4:$G$886,'июнь 2023'!$D$4:$D$886,$B13,'июнь 2023'!$J$4:$J$886,AH$1)</f>
        <v>0</v>
      </c>
      <c r="AI13" s="170">
        <f t="shared" si="1"/>
        <v>3200</v>
      </c>
    </row>
    <row r="14" spans="2:35" ht="15" customHeight="1" x14ac:dyDescent="0.25">
      <c r="B14" s="199" t="s">
        <v>2103</v>
      </c>
      <c r="C14" s="200">
        <v>25</v>
      </c>
      <c r="D14" s="198">
        <f>SUMIFS('июнь 2023'!$G$4:$G$886,'июнь 2023'!$D$4:$D$886,$B14,'июнь 2023'!$J$4:$J$886,D$1)</f>
        <v>0</v>
      </c>
      <c r="E14" s="198">
        <f>SUMIFS('июнь 2023'!$G$4:$G$886,'июнь 2023'!$D$4:$D$886,$B14,'июнь 2023'!$J$4:$J$886,E$1)</f>
        <v>0</v>
      </c>
      <c r="F14" s="198">
        <f>SUMIFS('июнь 2023'!$G$4:$G$886,'июнь 2023'!$D$4:$D$886,$B14,'июнь 2023'!$J$4:$J$886,F$1)</f>
        <v>0</v>
      </c>
      <c r="G14" s="198">
        <f>SUMIFS('июнь 2023'!$G$4:$G$886,'июнь 2023'!$D$4:$D$886,$B14,'июнь 2023'!$J$4:$J$886,G$1)</f>
        <v>0</v>
      </c>
      <c r="H14" s="198">
        <f>SUMIFS('июнь 2023'!$G$4:$G$886,'июнь 2023'!$D$4:$D$886,$B14,'июнь 2023'!$J$4:$J$886,H$1)</f>
        <v>0</v>
      </c>
      <c r="I14" s="198">
        <f>SUMIFS('июнь 2023'!$G$4:$G$886,'июнь 2023'!$D$4:$D$886,$B14,'июнь 2023'!$J$4:$J$886,I$1)</f>
        <v>0</v>
      </c>
      <c r="J14" s="198">
        <f>SUMIFS('июнь 2023'!$G$4:$G$886,'июнь 2023'!$D$4:$D$886,$B14,'июнь 2023'!$J$4:$J$886,J$1)</f>
        <v>0</v>
      </c>
      <c r="K14" s="198">
        <f>SUMIFS('июнь 2023'!$G$4:$G$886,'июнь 2023'!$D$4:$D$886,$B14,'июнь 2023'!$J$4:$J$886,K$1)</f>
        <v>0</v>
      </c>
      <c r="L14" s="198">
        <f>SUMIFS('июнь 2023'!$G$4:$G$886,'июнь 2023'!$D$4:$D$886,$B14,'июнь 2023'!$J$4:$J$886,L$1)</f>
        <v>0</v>
      </c>
      <c r="M14" s="198">
        <f>SUMIFS('июнь 2023'!$G$4:$G$886,'июнь 2023'!$D$4:$D$886,$B14,'июнь 2023'!$J$4:$J$886,M$1)</f>
        <v>0</v>
      </c>
      <c r="N14" s="198">
        <f>SUMIFS('июнь 2023'!$G$4:$G$886,'июнь 2023'!$D$4:$D$886,$B14,'июнь 2023'!$J$4:$J$886,N$1)</f>
        <v>0</v>
      </c>
      <c r="O14" s="198">
        <f>SUMIFS('июнь 2023'!$G$4:$G$886,'июнь 2023'!$D$4:$D$886,$B14,'июнь 2023'!$J$4:$J$886,O$1)</f>
        <v>0</v>
      </c>
      <c r="P14" s="198">
        <f>SUMIFS('июнь 2023'!$G$4:$G$886,'июнь 2023'!$D$4:$D$886,$B14,'июнь 2023'!$J$4:$J$886,P$1)</f>
        <v>0</v>
      </c>
      <c r="Q14" s="198">
        <f>SUMIFS('июнь 2023'!$G$4:$G$886,'июнь 2023'!$D$4:$D$886,$B14,'июнь 2023'!$J$4:$J$886,Q$1)</f>
        <v>0</v>
      </c>
      <c r="R14" s="198">
        <f>SUMIFS('июнь 2023'!$G$4:$G$886,'июнь 2023'!$D$4:$D$886,$B14,'июнь 2023'!$J$4:$J$886,R$1)</f>
        <v>0</v>
      </c>
      <c r="S14" s="198">
        <f>SUMIFS('июнь 2023'!$G$4:$G$886,'июнь 2023'!$D$4:$D$886,$B14,'июнь 2023'!$J$4:$J$886,S$1)</f>
        <v>0</v>
      </c>
      <c r="T14" s="198">
        <f>SUMIFS('июнь 2023'!$G$4:$G$886,'июнь 2023'!$D$4:$D$886,$B14,'июнь 2023'!$J$4:$J$886,T$1)</f>
        <v>0</v>
      </c>
      <c r="U14" s="198">
        <f>SUMIFS('июнь 2023'!$G$4:$G$886,'июнь 2023'!$D$4:$D$886,$B14,'июнь 2023'!$J$4:$J$886,U$1)</f>
        <v>0</v>
      </c>
      <c r="V14" s="198">
        <f>SUMIFS('июнь 2023'!$G$4:$G$886,'июнь 2023'!$D$4:$D$886,$B14,'июнь 2023'!$J$4:$J$886,V$1)</f>
        <v>0</v>
      </c>
      <c r="W14" s="198">
        <f>SUMIFS('июнь 2023'!$G$4:$G$886,'июнь 2023'!$D$4:$D$886,$B14,'июнь 2023'!$J$4:$J$886,W$1)</f>
        <v>0</v>
      </c>
      <c r="X14" s="198">
        <f>SUMIFS('июнь 2023'!$G$4:$G$886,'июнь 2023'!$D$4:$D$886,$B14,'июнь 2023'!$J$4:$J$886,X$1)</f>
        <v>0</v>
      </c>
      <c r="Y14" s="198">
        <f>SUMIFS('июнь 2023'!$G$4:$G$886,'июнь 2023'!$D$4:$D$886,$B14,'июнь 2023'!$J$4:$J$886,Y$1)</f>
        <v>0</v>
      </c>
      <c r="Z14" s="198">
        <f>SUMIFS('июнь 2023'!$G$4:$G$886,'июнь 2023'!$D$4:$D$886,$B14,'июнь 2023'!$J$4:$J$886,Z$1)</f>
        <v>0</v>
      </c>
      <c r="AA14" s="198">
        <f>SUMIFS('июнь 2023'!$G$4:$G$886,'июнь 2023'!$D$4:$D$886,$B14,'июнь 2023'!$J$4:$J$886,AA$1)</f>
        <v>0</v>
      </c>
      <c r="AB14" s="198">
        <f>SUMIFS('июнь 2023'!$G$4:$G$886,'июнь 2023'!$D$4:$D$886,$B14,'июнь 2023'!$J$4:$J$886,AB$1)</f>
        <v>0</v>
      </c>
      <c r="AC14" s="198">
        <f>SUMIFS('июнь 2023'!$G$4:$G$886,'июнь 2023'!$D$4:$D$886,$B14,'июнь 2023'!$J$4:$J$886,AC$1)</f>
        <v>0</v>
      </c>
      <c r="AD14" s="198">
        <f>SUMIFS('июнь 2023'!$G$4:$G$886,'июнь 2023'!$D$4:$D$886,$B14,'июнь 2023'!$J$4:$J$886,AD$1)</f>
        <v>0</v>
      </c>
      <c r="AE14" s="198">
        <f>SUMIFS('июнь 2023'!$G$4:$G$886,'июнь 2023'!$D$4:$D$886,$B14,'июнь 2023'!$J$4:$J$886,AE$1)</f>
        <v>0</v>
      </c>
      <c r="AF14" s="198">
        <f>SUMIFS('июнь 2023'!$G$4:$G$886,'июнь 2023'!$D$4:$D$886,$B14,'июнь 2023'!$J$4:$J$886,AF$1)</f>
        <v>0</v>
      </c>
      <c r="AG14" s="198">
        <f>SUMIFS('июнь 2023'!$G$4:$G$886,'июнь 2023'!$D$4:$D$886,$B14,'июнь 2023'!$J$4:$J$886,AG$1)</f>
        <v>0</v>
      </c>
      <c r="AH14" s="198">
        <f>SUMIFS('июнь 2023'!$G$4:$G$886,'июнь 2023'!$D$4:$D$886,$B14,'июнь 2023'!$J$4:$J$886,AH$1)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SUMIFS('июнь 2023'!$G$4:$G$886,'июнь 2023'!$D$4:$D$886,$B15,'июнь 2023'!$J$4:$J$886,D$1)</f>
        <v>0</v>
      </c>
      <c r="E15" s="198">
        <f>SUMIFS('июнь 2023'!$G$4:$G$886,'июнь 2023'!$D$4:$D$886,$B15,'июнь 2023'!$J$4:$J$886,E$1)</f>
        <v>0</v>
      </c>
      <c r="F15" s="198">
        <f>SUMIFS('июнь 2023'!$G$4:$G$886,'июнь 2023'!$D$4:$D$886,$B15,'июнь 2023'!$J$4:$J$886,F$1)</f>
        <v>0</v>
      </c>
      <c r="G15" s="198">
        <f>SUMIFS('июнь 2023'!$G$4:$G$886,'июнь 2023'!$D$4:$D$886,$B15,'июнь 2023'!$J$4:$J$886,G$1)</f>
        <v>0</v>
      </c>
      <c r="H15" s="198">
        <f>SUMIFS('июнь 2023'!$G$4:$G$886,'июнь 2023'!$D$4:$D$886,$B15,'июнь 2023'!$J$4:$J$886,H$1)</f>
        <v>0</v>
      </c>
      <c r="I15" s="198">
        <f>SUMIFS('июнь 2023'!$G$4:$G$886,'июнь 2023'!$D$4:$D$886,$B15,'июнь 2023'!$J$4:$J$886,I$1)</f>
        <v>0</v>
      </c>
      <c r="J15" s="198">
        <f>SUMIFS('июнь 2023'!$G$4:$G$886,'июнь 2023'!$D$4:$D$886,$B15,'июнь 2023'!$J$4:$J$886,J$1)</f>
        <v>0</v>
      </c>
      <c r="K15" s="198">
        <f>SUMIFS('июнь 2023'!$G$4:$G$886,'июнь 2023'!$D$4:$D$886,$B15,'июнь 2023'!$J$4:$J$886,K$1)</f>
        <v>0</v>
      </c>
      <c r="L15" s="198">
        <f>SUMIFS('июнь 2023'!$G$4:$G$886,'июнь 2023'!$D$4:$D$886,$B15,'июнь 2023'!$J$4:$J$886,L$1)</f>
        <v>0</v>
      </c>
      <c r="M15" s="198">
        <f>SUMIFS('июнь 2023'!$G$4:$G$886,'июнь 2023'!$D$4:$D$886,$B15,'июнь 2023'!$J$4:$J$886,M$1)</f>
        <v>0</v>
      </c>
      <c r="N15" s="198">
        <f>SUMIFS('июнь 2023'!$G$4:$G$886,'июнь 2023'!$D$4:$D$886,$B15,'июнь 2023'!$J$4:$J$886,N$1)</f>
        <v>0</v>
      </c>
      <c r="O15" s="198">
        <f>SUMIFS('июнь 2023'!$G$4:$G$886,'июнь 2023'!$D$4:$D$886,$B15,'июнь 2023'!$J$4:$J$886,O$1)</f>
        <v>0</v>
      </c>
      <c r="P15" s="198">
        <f>SUMIFS('июнь 2023'!$G$4:$G$886,'июнь 2023'!$D$4:$D$886,$B15,'июнь 2023'!$J$4:$J$886,P$1)</f>
        <v>0</v>
      </c>
      <c r="Q15" s="198">
        <f>SUMIFS('июнь 2023'!$G$4:$G$886,'июнь 2023'!$D$4:$D$886,$B15,'июнь 2023'!$J$4:$J$886,Q$1)</f>
        <v>0</v>
      </c>
      <c r="R15" s="198">
        <f>SUMIFS('июнь 2023'!$G$4:$G$886,'июнь 2023'!$D$4:$D$886,$B15,'июнь 2023'!$J$4:$J$886,R$1)</f>
        <v>0</v>
      </c>
      <c r="S15" s="198">
        <f>SUMIFS('июнь 2023'!$G$4:$G$886,'июнь 2023'!$D$4:$D$886,$B15,'июнь 2023'!$J$4:$J$886,S$1)</f>
        <v>0</v>
      </c>
      <c r="T15" s="198">
        <f>SUMIFS('июнь 2023'!$G$4:$G$886,'июнь 2023'!$D$4:$D$886,$B15,'июнь 2023'!$J$4:$J$886,T$1)</f>
        <v>0</v>
      </c>
      <c r="U15" s="198">
        <f>SUMIFS('июнь 2023'!$G$4:$G$886,'июнь 2023'!$D$4:$D$886,$B15,'июнь 2023'!$J$4:$J$886,U$1)</f>
        <v>0</v>
      </c>
      <c r="V15" s="198">
        <f>SUMIFS('июнь 2023'!$G$4:$G$886,'июнь 2023'!$D$4:$D$886,$B15,'июнь 2023'!$J$4:$J$886,V$1)</f>
        <v>0</v>
      </c>
      <c r="W15" s="198">
        <f>SUMIFS('июнь 2023'!$G$4:$G$886,'июнь 2023'!$D$4:$D$886,$B15,'июнь 2023'!$J$4:$J$886,W$1)</f>
        <v>0</v>
      </c>
      <c r="X15" s="198">
        <f>SUMIFS('июнь 2023'!$G$4:$G$886,'июнь 2023'!$D$4:$D$886,$B15,'июнь 2023'!$J$4:$J$886,X$1)</f>
        <v>0</v>
      </c>
      <c r="Y15" s="198">
        <f>SUMIFS('июнь 2023'!$G$4:$G$886,'июнь 2023'!$D$4:$D$886,$B15,'июнь 2023'!$J$4:$J$886,Y$1)</f>
        <v>0</v>
      </c>
      <c r="Z15" s="198">
        <f>SUMIFS('июнь 2023'!$G$4:$G$886,'июнь 2023'!$D$4:$D$886,$B15,'июнь 2023'!$J$4:$J$886,Z$1)</f>
        <v>0</v>
      </c>
      <c r="AA15" s="198">
        <f>SUMIFS('июнь 2023'!$G$4:$G$886,'июнь 2023'!$D$4:$D$886,$B15,'июнь 2023'!$J$4:$J$886,AA$1)</f>
        <v>0</v>
      </c>
      <c r="AB15" s="198">
        <f>SUMIFS('июнь 2023'!$G$4:$G$886,'июнь 2023'!$D$4:$D$886,$B15,'июнь 2023'!$J$4:$J$886,AB$1)</f>
        <v>0</v>
      </c>
      <c r="AC15" s="198">
        <f>SUMIFS('июнь 2023'!$G$4:$G$886,'июнь 2023'!$D$4:$D$886,$B15,'июнь 2023'!$J$4:$J$886,AC$1)</f>
        <v>0</v>
      </c>
      <c r="AD15" s="198">
        <f>SUMIFS('июнь 2023'!$G$4:$G$886,'июнь 2023'!$D$4:$D$886,$B15,'июнь 2023'!$J$4:$J$886,AD$1)</f>
        <v>0</v>
      </c>
      <c r="AE15" s="198">
        <f>SUMIFS('июнь 2023'!$G$4:$G$886,'июнь 2023'!$D$4:$D$886,$B15,'июнь 2023'!$J$4:$J$886,AE$1)</f>
        <v>0</v>
      </c>
      <c r="AF15" s="198">
        <f>SUMIFS('июнь 2023'!$G$4:$G$886,'июнь 2023'!$D$4:$D$886,$B15,'июнь 2023'!$J$4:$J$886,AF$1)</f>
        <v>0</v>
      </c>
      <c r="AG15" s="198">
        <f>SUMIFS('июнь 2023'!$G$4:$G$886,'июнь 2023'!$D$4:$D$886,$B15,'июнь 2023'!$J$4:$J$886,AG$1)</f>
        <v>0</v>
      </c>
      <c r="AH15" s="198">
        <f>SUMIFS('июнь 2023'!$G$4:$G$886,'июнь 2023'!$D$4:$D$886,$B15,'июнь 2023'!$J$4:$J$886,AH$1)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SUMIFS('июнь 2023'!$G$4:$G$886,'июнь 2023'!$D$4:$D$886,$B16,'июнь 2023'!$J$4:$J$886,D$1)</f>
        <v>0</v>
      </c>
      <c r="E16" s="198">
        <f>SUMIFS('июнь 2023'!$G$4:$G$886,'июнь 2023'!$D$4:$D$886,$B16,'июнь 2023'!$J$4:$J$886,E$1)</f>
        <v>0</v>
      </c>
      <c r="F16" s="198">
        <f>SUMIFS('июнь 2023'!$G$4:$G$886,'июнь 2023'!$D$4:$D$886,$B16,'июнь 2023'!$J$4:$J$886,F$1)</f>
        <v>0</v>
      </c>
      <c r="G16" s="198">
        <f>SUMIFS('июнь 2023'!$G$4:$G$886,'июнь 2023'!$D$4:$D$886,$B16,'июнь 2023'!$J$4:$J$886,G$1)</f>
        <v>0</v>
      </c>
      <c r="H16" s="198">
        <f>SUMIFS('июнь 2023'!$G$4:$G$886,'июнь 2023'!$D$4:$D$886,$B16,'июнь 2023'!$J$4:$J$886,H$1)</f>
        <v>0</v>
      </c>
      <c r="I16" s="198">
        <f>SUMIFS('июнь 2023'!$G$4:$G$886,'июнь 2023'!$D$4:$D$886,$B16,'июнь 2023'!$J$4:$J$886,I$1)</f>
        <v>0</v>
      </c>
      <c r="J16" s="198">
        <f>SUMIFS('июнь 2023'!$G$4:$G$886,'июнь 2023'!$D$4:$D$886,$B16,'июнь 2023'!$J$4:$J$886,J$1)</f>
        <v>0</v>
      </c>
      <c r="K16" s="198">
        <f>SUMIFS('июнь 2023'!$G$4:$G$886,'июнь 2023'!$D$4:$D$886,$B16,'июнь 2023'!$J$4:$J$886,K$1)</f>
        <v>0</v>
      </c>
      <c r="L16" s="198">
        <f>SUMIFS('июнь 2023'!$G$4:$G$886,'июнь 2023'!$D$4:$D$886,$B16,'июнь 2023'!$J$4:$J$886,L$1)</f>
        <v>0</v>
      </c>
      <c r="M16" s="198">
        <f>SUMIFS('июнь 2023'!$G$4:$G$886,'июнь 2023'!$D$4:$D$886,$B16,'июнь 2023'!$J$4:$J$886,M$1)</f>
        <v>0</v>
      </c>
      <c r="N16" s="198">
        <f>SUMIFS('июнь 2023'!$G$4:$G$886,'июнь 2023'!$D$4:$D$886,$B16,'июнь 2023'!$J$4:$J$886,N$1)</f>
        <v>0</v>
      </c>
      <c r="O16" s="198">
        <f>SUMIFS('июнь 2023'!$G$4:$G$886,'июнь 2023'!$D$4:$D$886,$B16,'июнь 2023'!$J$4:$J$886,O$1)</f>
        <v>0</v>
      </c>
      <c r="P16" s="198">
        <f>SUMIFS('июнь 2023'!$G$4:$G$886,'июнь 2023'!$D$4:$D$886,$B16,'июнь 2023'!$J$4:$J$886,P$1)</f>
        <v>0</v>
      </c>
      <c r="Q16" s="198">
        <f>SUMIFS('июнь 2023'!$G$4:$G$886,'июнь 2023'!$D$4:$D$886,$B16,'июнь 2023'!$J$4:$J$886,Q$1)</f>
        <v>0</v>
      </c>
      <c r="R16" s="198">
        <f>SUMIFS('июнь 2023'!$G$4:$G$886,'июнь 2023'!$D$4:$D$886,$B16,'июнь 2023'!$J$4:$J$886,R$1)</f>
        <v>0</v>
      </c>
      <c r="S16" s="198">
        <f>SUMIFS('июнь 2023'!$G$4:$G$886,'июнь 2023'!$D$4:$D$886,$B16,'июнь 2023'!$J$4:$J$886,S$1)</f>
        <v>0</v>
      </c>
      <c r="T16" s="198">
        <f>SUMIFS('июнь 2023'!$G$4:$G$886,'июнь 2023'!$D$4:$D$886,$B16,'июнь 2023'!$J$4:$J$886,T$1)</f>
        <v>0</v>
      </c>
      <c r="U16" s="198">
        <f>SUMIFS('июнь 2023'!$G$4:$G$886,'июнь 2023'!$D$4:$D$886,$B16,'июнь 2023'!$J$4:$J$886,U$1)</f>
        <v>0</v>
      </c>
      <c r="V16" s="198">
        <f>SUMIFS('июнь 2023'!$G$4:$G$886,'июнь 2023'!$D$4:$D$886,$B16,'июнь 2023'!$J$4:$J$886,V$1)</f>
        <v>0</v>
      </c>
      <c r="W16" s="198">
        <f>SUMIFS('июнь 2023'!$G$4:$G$886,'июнь 2023'!$D$4:$D$886,$B16,'июнь 2023'!$J$4:$J$886,W$1)</f>
        <v>0</v>
      </c>
      <c r="X16" s="198">
        <f>SUMIFS('июнь 2023'!$G$4:$G$886,'июнь 2023'!$D$4:$D$886,$B16,'июнь 2023'!$J$4:$J$886,X$1)</f>
        <v>0</v>
      </c>
      <c r="Y16" s="198">
        <f>SUMIFS('июнь 2023'!$G$4:$G$886,'июнь 2023'!$D$4:$D$886,$B16,'июнь 2023'!$J$4:$J$886,Y$1)</f>
        <v>0</v>
      </c>
      <c r="Z16" s="198">
        <f>SUMIFS('июнь 2023'!$G$4:$G$886,'июнь 2023'!$D$4:$D$886,$B16,'июнь 2023'!$J$4:$J$886,Z$1)</f>
        <v>0</v>
      </c>
      <c r="AA16" s="198">
        <f>SUMIFS('июнь 2023'!$G$4:$G$886,'июнь 2023'!$D$4:$D$886,$B16,'июнь 2023'!$J$4:$J$886,AA$1)</f>
        <v>0</v>
      </c>
      <c r="AB16" s="198">
        <f>SUMIFS('июнь 2023'!$G$4:$G$886,'июнь 2023'!$D$4:$D$886,$B16,'июнь 2023'!$J$4:$J$886,AB$1)</f>
        <v>0</v>
      </c>
      <c r="AC16" s="198">
        <f>SUMIFS('июнь 2023'!$G$4:$G$886,'июнь 2023'!$D$4:$D$886,$B16,'июнь 2023'!$J$4:$J$886,AC$1)</f>
        <v>0</v>
      </c>
      <c r="AD16" s="198">
        <f>SUMIFS('июнь 2023'!$G$4:$G$886,'июнь 2023'!$D$4:$D$886,$B16,'июнь 2023'!$J$4:$J$886,AD$1)</f>
        <v>0</v>
      </c>
      <c r="AE16" s="198">
        <f>SUMIFS('июнь 2023'!$G$4:$G$886,'июнь 2023'!$D$4:$D$886,$B16,'июнь 2023'!$J$4:$J$886,AE$1)</f>
        <v>0</v>
      </c>
      <c r="AF16" s="198">
        <f>SUMIFS('июнь 2023'!$G$4:$G$886,'июнь 2023'!$D$4:$D$886,$B16,'июнь 2023'!$J$4:$J$886,AF$1)</f>
        <v>0</v>
      </c>
      <c r="AG16" s="198">
        <f>SUMIFS('июнь 2023'!$G$4:$G$886,'июнь 2023'!$D$4:$D$886,$B16,'июнь 2023'!$J$4:$J$886,AG$1)</f>
        <v>0</v>
      </c>
      <c r="AH16" s="198">
        <f>SUMIFS('июнь 2023'!$G$4:$G$886,'июнь 2023'!$D$4:$D$886,$B16,'июнь 2023'!$J$4:$J$886,AH$1)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SUMIFS('июнь 2023'!$G$4:$G$886,'июнь 2023'!$D$4:$D$886,$B17,'июнь 2023'!$J$4:$J$886,D$1)</f>
        <v>0</v>
      </c>
      <c r="E17" s="198">
        <f>SUMIFS('июнь 2023'!$G$4:$G$886,'июнь 2023'!$D$4:$D$886,$B17,'июнь 2023'!$J$4:$J$886,E$1)</f>
        <v>0</v>
      </c>
      <c r="F17" s="198">
        <f>SUMIFS('июнь 2023'!$G$4:$G$886,'июнь 2023'!$D$4:$D$886,$B17,'июнь 2023'!$J$4:$J$886,F$1)</f>
        <v>0</v>
      </c>
      <c r="G17" s="198">
        <f>SUMIFS('июнь 2023'!$G$4:$G$886,'июнь 2023'!$D$4:$D$886,$B17,'июнь 2023'!$J$4:$J$886,G$1)</f>
        <v>0</v>
      </c>
      <c r="H17" s="198">
        <f>SUMIFS('июнь 2023'!$G$4:$G$886,'июнь 2023'!$D$4:$D$886,$B17,'июнь 2023'!$J$4:$J$886,H$1)</f>
        <v>1600</v>
      </c>
      <c r="I17" s="198">
        <f>SUMIFS('июнь 2023'!$G$4:$G$886,'июнь 2023'!$D$4:$D$886,$B17,'июнь 2023'!$J$4:$J$886,I$1)</f>
        <v>0</v>
      </c>
      <c r="J17" s="198">
        <f>SUMIFS('июнь 2023'!$G$4:$G$886,'июнь 2023'!$D$4:$D$886,$B17,'июнь 2023'!$J$4:$J$886,J$1)</f>
        <v>0</v>
      </c>
      <c r="K17" s="198">
        <f>SUMIFS('июнь 2023'!$G$4:$G$886,'июнь 2023'!$D$4:$D$886,$B17,'июнь 2023'!$J$4:$J$886,K$1)</f>
        <v>0</v>
      </c>
      <c r="L17" s="198">
        <f>SUMIFS('июнь 2023'!$G$4:$G$886,'июнь 2023'!$D$4:$D$886,$B17,'июнь 2023'!$J$4:$J$886,L$1)</f>
        <v>0</v>
      </c>
      <c r="M17" s="198">
        <f>SUMIFS('июнь 2023'!$G$4:$G$886,'июнь 2023'!$D$4:$D$886,$B17,'июнь 2023'!$J$4:$J$886,M$1)</f>
        <v>0</v>
      </c>
      <c r="N17" s="198">
        <f>SUMIFS('июнь 2023'!$G$4:$G$886,'июнь 2023'!$D$4:$D$886,$B17,'июнь 2023'!$J$4:$J$886,N$1)</f>
        <v>0</v>
      </c>
      <c r="O17" s="198">
        <f>SUMIFS('июнь 2023'!$G$4:$G$886,'июнь 2023'!$D$4:$D$886,$B17,'июнь 2023'!$J$4:$J$886,O$1)</f>
        <v>0</v>
      </c>
      <c r="P17" s="198">
        <f>SUMIFS('июнь 2023'!$G$4:$G$886,'июнь 2023'!$D$4:$D$886,$B17,'июнь 2023'!$J$4:$J$886,P$1)</f>
        <v>0</v>
      </c>
      <c r="Q17" s="198">
        <f>SUMIFS('июнь 2023'!$G$4:$G$886,'июнь 2023'!$D$4:$D$886,$B17,'июнь 2023'!$J$4:$J$886,Q$1)</f>
        <v>0</v>
      </c>
      <c r="R17" s="198">
        <f>SUMIFS('июнь 2023'!$G$4:$G$886,'июнь 2023'!$D$4:$D$886,$B17,'июнь 2023'!$J$4:$J$886,R$1)</f>
        <v>0</v>
      </c>
      <c r="S17" s="198">
        <f>SUMIFS('июнь 2023'!$G$4:$G$886,'июнь 2023'!$D$4:$D$886,$B17,'июнь 2023'!$J$4:$J$886,S$1)</f>
        <v>0</v>
      </c>
      <c r="T17" s="198">
        <f>SUMIFS('июнь 2023'!$G$4:$G$886,'июнь 2023'!$D$4:$D$886,$B17,'июнь 2023'!$J$4:$J$886,T$1)</f>
        <v>0</v>
      </c>
      <c r="U17" s="198">
        <f>SUMIFS('июнь 2023'!$G$4:$G$886,'июнь 2023'!$D$4:$D$886,$B17,'июнь 2023'!$J$4:$J$886,U$1)</f>
        <v>0</v>
      </c>
      <c r="V17" s="198">
        <f>SUMIFS('июнь 2023'!$G$4:$G$886,'июнь 2023'!$D$4:$D$886,$B17,'июнь 2023'!$J$4:$J$886,V$1)</f>
        <v>0</v>
      </c>
      <c r="W17" s="198">
        <f>SUMIFS('июнь 2023'!$G$4:$G$886,'июнь 2023'!$D$4:$D$886,$B17,'июнь 2023'!$J$4:$J$886,W$1)</f>
        <v>0</v>
      </c>
      <c r="X17" s="198">
        <f>SUMIFS('июнь 2023'!$G$4:$G$886,'июнь 2023'!$D$4:$D$886,$B17,'июнь 2023'!$J$4:$J$886,X$1)</f>
        <v>0</v>
      </c>
      <c r="Y17" s="198">
        <f>SUMIFS('июнь 2023'!$G$4:$G$886,'июнь 2023'!$D$4:$D$886,$B17,'июнь 2023'!$J$4:$J$886,Y$1)</f>
        <v>0</v>
      </c>
      <c r="Z17" s="198">
        <f>SUMIFS('июнь 2023'!$G$4:$G$886,'июнь 2023'!$D$4:$D$886,$B17,'июнь 2023'!$J$4:$J$886,Z$1)</f>
        <v>0</v>
      </c>
      <c r="AA17" s="198">
        <f>SUMIFS('июнь 2023'!$G$4:$G$886,'июнь 2023'!$D$4:$D$886,$B17,'июнь 2023'!$J$4:$J$886,AA$1)</f>
        <v>0</v>
      </c>
      <c r="AB17" s="198">
        <f>SUMIFS('июнь 2023'!$G$4:$G$886,'июнь 2023'!$D$4:$D$886,$B17,'июнь 2023'!$J$4:$J$886,AB$1)</f>
        <v>0</v>
      </c>
      <c r="AC17" s="198">
        <f>SUMIFS('июнь 2023'!$G$4:$G$886,'июнь 2023'!$D$4:$D$886,$B17,'июнь 2023'!$J$4:$J$886,AC$1)</f>
        <v>0</v>
      </c>
      <c r="AD17" s="198">
        <f>SUMIFS('июнь 2023'!$G$4:$G$886,'июнь 2023'!$D$4:$D$886,$B17,'июнь 2023'!$J$4:$J$886,AD$1)</f>
        <v>0</v>
      </c>
      <c r="AE17" s="198">
        <f>SUMIFS('июнь 2023'!$G$4:$G$886,'июнь 2023'!$D$4:$D$886,$B17,'июнь 2023'!$J$4:$J$886,AE$1)</f>
        <v>0</v>
      </c>
      <c r="AF17" s="198">
        <f>SUMIFS('июнь 2023'!$G$4:$G$886,'июнь 2023'!$D$4:$D$886,$B17,'июнь 2023'!$J$4:$J$886,AF$1)</f>
        <v>0</v>
      </c>
      <c r="AG17" s="198">
        <f>SUMIFS('июнь 2023'!$G$4:$G$886,'июнь 2023'!$D$4:$D$886,$B17,'июнь 2023'!$J$4:$J$886,AG$1)</f>
        <v>0</v>
      </c>
      <c r="AH17" s="198">
        <f>SUMIFS('июнь 2023'!$G$4:$G$886,'июнь 2023'!$D$4:$D$886,$B17,'июнь 2023'!$J$4:$J$886,AH$1)</f>
        <v>0</v>
      </c>
      <c r="AI17" s="170">
        <f t="shared" si="1"/>
        <v>1600</v>
      </c>
    </row>
    <row r="18" spans="2:35" ht="15" customHeight="1" x14ac:dyDescent="0.25">
      <c r="B18" s="199" t="s">
        <v>2081</v>
      </c>
      <c r="C18" s="200">
        <v>25</v>
      </c>
      <c r="D18" s="198">
        <f>SUMIFS('июнь 2023'!$G$4:$G$886,'июнь 2023'!$D$4:$D$886,$B18,'июнь 2023'!$J$4:$J$886,D$1)</f>
        <v>0</v>
      </c>
      <c r="E18" s="198">
        <f>SUMIFS('июнь 2023'!$G$4:$G$886,'июнь 2023'!$D$4:$D$886,$B18,'июнь 2023'!$J$4:$J$886,E$1)</f>
        <v>0</v>
      </c>
      <c r="F18" s="198">
        <f>SUMIFS('июнь 2023'!$G$4:$G$886,'июнь 2023'!$D$4:$D$886,$B18,'июнь 2023'!$J$4:$J$886,F$1)</f>
        <v>0</v>
      </c>
      <c r="G18" s="198">
        <f>SUMIFS('июнь 2023'!$G$4:$G$886,'июнь 2023'!$D$4:$D$886,$B18,'июнь 2023'!$J$4:$J$886,G$1)</f>
        <v>0</v>
      </c>
      <c r="H18" s="198">
        <f>SUMIFS('июнь 2023'!$G$4:$G$886,'июнь 2023'!$D$4:$D$886,$B18,'июнь 2023'!$J$4:$J$886,H$1)</f>
        <v>0</v>
      </c>
      <c r="I18" s="198">
        <f>SUMIFS('июнь 2023'!$G$4:$G$886,'июнь 2023'!$D$4:$D$886,$B18,'июнь 2023'!$J$4:$J$886,I$1)</f>
        <v>0</v>
      </c>
      <c r="J18" s="198">
        <f>SUMIFS('июнь 2023'!$G$4:$G$886,'июнь 2023'!$D$4:$D$886,$B18,'июнь 2023'!$J$4:$J$886,J$1)</f>
        <v>0</v>
      </c>
      <c r="K18" s="198">
        <f>SUMIFS('июнь 2023'!$G$4:$G$886,'июнь 2023'!$D$4:$D$886,$B18,'июнь 2023'!$J$4:$J$886,K$1)</f>
        <v>0</v>
      </c>
      <c r="L18" s="198">
        <f>SUMIFS('июнь 2023'!$G$4:$G$886,'июнь 2023'!$D$4:$D$886,$B18,'июнь 2023'!$J$4:$J$886,L$1)</f>
        <v>0</v>
      </c>
      <c r="M18" s="198">
        <f>SUMIFS('июнь 2023'!$G$4:$G$886,'июнь 2023'!$D$4:$D$886,$B18,'июнь 2023'!$J$4:$J$886,M$1)</f>
        <v>0</v>
      </c>
      <c r="N18" s="198">
        <f>SUMIFS('июнь 2023'!$G$4:$G$886,'июнь 2023'!$D$4:$D$886,$B18,'июнь 2023'!$J$4:$J$886,N$1)</f>
        <v>0</v>
      </c>
      <c r="O18" s="198">
        <f>SUMIFS('июнь 2023'!$G$4:$G$886,'июнь 2023'!$D$4:$D$886,$B18,'июнь 2023'!$J$4:$J$886,O$1)</f>
        <v>0</v>
      </c>
      <c r="P18" s="198">
        <f>SUMIFS('июнь 2023'!$G$4:$G$886,'июнь 2023'!$D$4:$D$886,$B18,'июнь 2023'!$J$4:$J$886,P$1)</f>
        <v>0</v>
      </c>
      <c r="Q18" s="198">
        <f>SUMIFS('июнь 2023'!$G$4:$G$886,'июнь 2023'!$D$4:$D$886,$B18,'июнь 2023'!$J$4:$J$886,Q$1)</f>
        <v>0</v>
      </c>
      <c r="R18" s="198">
        <f>SUMIFS('июнь 2023'!$G$4:$G$886,'июнь 2023'!$D$4:$D$886,$B18,'июнь 2023'!$J$4:$J$886,R$1)</f>
        <v>0</v>
      </c>
      <c r="S18" s="198">
        <f>SUMIFS('июнь 2023'!$G$4:$G$886,'июнь 2023'!$D$4:$D$886,$B18,'июнь 2023'!$J$4:$J$886,S$1)</f>
        <v>0</v>
      </c>
      <c r="T18" s="198">
        <f>SUMIFS('июнь 2023'!$G$4:$G$886,'июнь 2023'!$D$4:$D$886,$B18,'июнь 2023'!$J$4:$J$886,T$1)</f>
        <v>0</v>
      </c>
      <c r="U18" s="198">
        <f>SUMIFS('июнь 2023'!$G$4:$G$886,'июнь 2023'!$D$4:$D$886,$B18,'июнь 2023'!$J$4:$J$886,U$1)</f>
        <v>0</v>
      </c>
      <c r="V18" s="198">
        <f>SUMIFS('июнь 2023'!$G$4:$G$886,'июнь 2023'!$D$4:$D$886,$B18,'июнь 2023'!$J$4:$J$886,V$1)</f>
        <v>0</v>
      </c>
      <c r="W18" s="198">
        <f>SUMIFS('июнь 2023'!$G$4:$G$886,'июнь 2023'!$D$4:$D$886,$B18,'июнь 2023'!$J$4:$J$886,W$1)</f>
        <v>0</v>
      </c>
      <c r="X18" s="198">
        <f>SUMIFS('июнь 2023'!$G$4:$G$886,'июнь 2023'!$D$4:$D$886,$B18,'июнь 2023'!$J$4:$J$886,X$1)</f>
        <v>0</v>
      </c>
      <c r="Y18" s="198">
        <f>SUMIFS('июнь 2023'!$G$4:$G$886,'июнь 2023'!$D$4:$D$886,$B18,'июнь 2023'!$J$4:$J$886,Y$1)</f>
        <v>0</v>
      </c>
      <c r="Z18" s="198">
        <f>SUMIFS('июнь 2023'!$G$4:$G$886,'июнь 2023'!$D$4:$D$886,$B18,'июнь 2023'!$J$4:$J$886,Z$1)</f>
        <v>0</v>
      </c>
      <c r="AA18" s="198">
        <f>SUMIFS('июнь 2023'!$G$4:$G$886,'июнь 2023'!$D$4:$D$886,$B18,'июнь 2023'!$J$4:$J$886,AA$1)</f>
        <v>0</v>
      </c>
      <c r="AB18" s="198">
        <f>SUMIFS('июнь 2023'!$G$4:$G$886,'июнь 2023'!$D$4:$D$886,$B18,'июнь 2023'!$J$4:$J$886,AB$1)</f>
        <v>0</v>
      </c>
      <c r="AC18" s="198">
        <f>SUMIFS('июнь 2023'!$G$4:$G$886,'июнь 2023'!$D$4:$D$886,$B18,'июнь 2023'!$J$4:$J$886,AC$1)</f>
        <v>0</v>
      </c>
      <c r="AD18" s="198">
        <f>SUMIFS('июнь 2023'!$G$4:$G$886,'июнь 2023'!$D$4:$D$886,$B18,'июнь 2023'!$J$4:$J$886,AD$1)</f>
        <v>0</v>
      </c>
      <c r="AE18" s="198">
        <f>SUMIFS('июнь 2023'!$G$4:$G$886,'июнь 2023'!$D$4:$D$886,$B18,'июнь 2023'!$J$4:$J$886,AE$1)</f>
        <v>0</v>
      </c>
      <c r="AF18" s="198">
        <f>SUMIFS('июнь 2023'!$G$4:$G$886,'июнь 2023'!$D$4:$D$886,$B18,'июнь 2023'!$J$4:$J$886,AF$1)</f>
        <v>0</v>
      </c>
      <c r="AG18" s="198">
        <f>SUMIFS('июнь 2023'!$G$4:$G$886,'июнь 2023'!$D$4:$D$886,$B18,'июнь 2023'!$J$4:$J$886,AG$1)</f>
        <v>0</v>
      </c>
      <c r="AH18" s="198">
        <f>SUMIFS('июнь 2023'!$G$4:$G$886,'июнь 2023'!$D$4:$D$886,$B18,'июнь 2023'!$J$4:$J$886,AH$1)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SUMIFS('июнь 2023'!$G$4:$G$886,'июнь 2023'!$D$4:$D$886,$B19,'июнь 2023'!$J$4:$J$886,D$1)</f>
        <v>0</v>
      </c>
      <c r="E19" s="198">
        <f>SUMIFS('июнь 2023'!$G$4:$G$886,'июнь 2023'!$D$4:$D$886,$B19,'июнь 2023'!$J$4:$J$886,E$1)</f>
        <v>0</v>
      </c>
      <c r="F19" s="198">
        <f>SUMIFS('июнь 2023'!$G$4:$G$886,'июнь 2023'!$D$4:$D$886,$B19,'июнь 2023'!$J$4:$J$886,F$1)</f>
        <v>0</v>
      </c>
      <c r="G19" s="198">
        <f>SUMIFS('июнь 2023'!$G$4:$G$886,'июнь 2023'!$D$4:$D$886,$B19,'июнь 2023'!$J$4:$J$886,G$1)</f>
        <v>0</v>
      </c>
      <c r="H19" s="198">
        <f>SUMIFS('июнь 2023'!$G$4:$G$886,'июнь 2023'!$D$4:$D$886,$B19,'июнь 2023'!$J$4:$J$886,H$1)</f>
        <v>0</v>
      </c>
      <c r="I19" s="198">
        <f>SUMIFS('июнь 2023'!$G$4:$G$886,'июнь 2023'!$D$4:$D$886,$B19,'июнь 2023'!$J$4:$J$886,I$1)</f>
        <v>0</v>
      </c>
      <c r="J19" s="198">
        <f>SUMIFS('июнь 2023'!$G$4:$G$886,'июнь 2023'!$D$4:$D$886,$B19,'июнь 2023'!$J$4:$J$886,J$1)</f>
        <v>0</v>
      </c>
      <c r="K19" s="198">
        <f>SUMIFS('июнь 2023'!$G$4:$G$886,'июнь 2023'!$D$4:$D$886,$B19,'июнь 2023'!$J$4:$J$886,K$1)</f>
        <v>0</v>
      </c>
      <c r="L19" s="198">
        <f>SUMIFS('июнь 2023'!$G$4:$G$886,'июнь 2023'!$D$4:$D$886,$B19,'июнь 2023'!$J$4:$J$886,L$1)</f>
        <v>0</v>
      </c>
      <c r="M19" s="198">
        <f>SUMIFS('июнь 2023'!$G$4:$G$886,'июнь 2023'!$D$4:$D$886,$B19,'июнь 2023'!$J$4:$J$886,M$1)</f>
        <v>0</v>
      </c>
      <c r="N19" s="198">
        <f>SUMIFS('июнь 2023'!$G$4:$G$886,'июнь 2023'!$D$4:$D$886,$B19,'июнь 2023'!$J$4:$J$886,N$1)</f>
        <v>0</v>
      </c>
      <c r="O19" s="198">
        <f>SUMIFS('июнь 2023'!$G$4:$G$886,'июнь 2023'!$D$4:$D$886,$B19,'июнь 2023'!$J$4:$J$886,O$1)</f>
        <v>0</v>
      </c>
      <c r="P19" s="198">
        <f>SUMIFS('июнь 2023'!$G$4:$G$886,'июнь 2023'!$D$4:$D$886,$B19,'июнь 2023'!$J$4:$J$886,P$1)</f>
        <v>0</v>
      </c>
      <c r="Q19" s="198">
        <f>SUMIFS('июнь 2023'!$G$4:$G$886,'июнь 2023'!$D$4:$D$886,$B19,'июнь 2023'!$J$4:$J$886,Q$1)</f>
        <v>0</v>
      </c>
      <c r="R19" s="198">
        <f>SUMIFS('июнь 2023'!$G$4:$G$886,'июнь 2023'!$D$4:$D$886,$B19,'июнь 2023'!$J$4:$J$886,R$1)</f>
        <v>0</v>
      </c>
      <c r="S19" s="198">
        <f>SUMIFS('июнь 2023'!$G$4:$G$886,'июнь 2023'!$D$4:$D$886,$B19,'июнь 2023'!$J$4:$J$886,S$1)</f>
        <v>0</v>
      </c>
      <c r="T19" s="198">
        <f>SUMIFS('июнь 2023'!$G$4:$G$886,'июнь 2023'!$D$4:$D$886,$B19,'июнь 2023'!$J$4:$J$886,T$1)</f>
        <v>0</v>
      </c>
      <c r="U19" s="198">
        <f>SUMIFS('июнь 2023'!$G$4:$G$886,'июнь 2023'!$D$4:$D$886,$B19,'июнь 2023'!$J$4:$J$886,U$1)</f>
        <v>0</v>
      </c>
      <c r="V19" s="198">
        <f>SUMIFS('июнь 2023'!$G$4:$G$886,'июнь 2023'!$D$4:$D$886,$B19,'июнь 2023'!$J$4:$J$886,V$1)</f>
        <v>0</v>
      </c>
      <c r="W19" s="198">
        <f>SUMIFS('июнь 2023'!$G$4:$G$886,'июнь 2023'!$D$4:$D$886,$B19,'июнь 2023'!$J$4:$J$886,W$1)</f>
        <v>0</v>
      </c>
      <c r="X19" s="198">
        <f>SUMIFS('июнь 2023'!$G$4:$G$886,'июнь 2023'!$D$4:$D$886,$B19,'июнь 2023'!$J$4:$J$886,X$1)</f>
        <v>0</v>
      </c>
      <c r="Y19" s="198">
        <f>SUMIFS('июнь 2023'!$G$4:$G$886,'июнь 2023'!$D$4:$D$886,$B19,'июнь 2023'!$J$4:$J$886,Y$1)</f>
        <v>0</v>
      </c>
      <c r="Z19" s="198">
        <f>SUMIFS('июнь 2023'!$G$4:$G$886,'июнь 2023'!$D$4:$D$886,$B19,'июнь 2023'!$J$4:$J$886,Z$1)</f>
        <v>0</v>
      </c>
      <c r="AA19" s="198">
        <f>SUMIFS('июнь 2023'!$G$4:$G$886,'июнь 2023'!$D$4:$D$886,$B19,'июнь 2023'!$J$4:$J$886,AA$1)</f>
        <v>0</v>
      </c>
      <c r="AB19" s="198">
        <f>SUMIFS('июнь 2023'!$G$4:$G$886,'июнь 2023'!$D$4:$D$886,$B19,'июнь 2023'!$J$4:$J$886,AB$1)</f>
        <v>0</v>
      </c>
      <c r="AC19" s="198">
        <f>SUMIFS('июнь 2023'!$G$4:$G$886,'июнь 2023'!$D$4:$D$886,$B19,'июнь 2023'!$J$4:$J$886,AC$1)</f>
        <v>0</v>
      </c>
      <c r="AD19" s="198">
        <f>SUMIFS('июнь 2023'!$G$4:$G$886,'июнь 2023'!$D$4:$D$886,$B19,'июнь 2023'!$J$4:$J$886,AD$1)</f>
        <v>0</v>
      </c>
      <c r="AE19" s="198">
        <f>SUMIFS('июнь 2023'!$G$4:$G$886,'июнь 2023'!$D$4:$D$886,$B19,'июнь 2023'!$J$4:$J$886,AE$1)</f>
        <v>0</v>
      </c>
      <c r="AF19" s="198">
        <f>SUMIFS('июнь 2023'!$G$4:$G$886,'июнь 2023'!$D$4:$D$886,$B19,'июнь 2023'!$J$4:$J$886,AF$1)</f>
        <v>0</v>
      </c>
      <c r="AG19" s="198">
        <f>SUMIFS('июнь 2023'!$G$4:$G$886,'июнь 2023'!$D$4:$D$886,$B19,'июнь 2023'!$J$4:$J$886,AG$1)</f>
        <v>0</v>
      </c>
      <c r="AH19" s="198">
        <f>SUMIFS('июнь 2023'!$G$4:$G$886,'июнь 2023'!$D$4:$D$886,$B19,'июнь 2023'!$J$4:$J$886,AH$1)</f>
        <v>0</v>
      </c>
      <c r="AI19" s="170">
        <f t="shared" si="1"/>
        <v>0</v>
      </c>
    </row>
    <row r="20" spans="2:35" ht="15" customHeight="1" x14ac:dyDescent="0.25">
      <c r="B20" s="199" t="s">
        <v>445</v>
      </c>
      <c r="C20" s="200">
        <v>25</v>
      </c>
      <c r="D20" s="198">
        <f>SUMIFS('июнь 2023'!$G$4:$G$886,'июнь 2023'!$D$4:$D$886,$B20,'июнь 2023'!$J$4:$J$886,D$1)</f>
        <v>0</v>
      </c>
      <c r="E20" s="198">
        <f>SUMIFS('июнь 2023'!$G$4:$G$886,'июнь 2023'!$D$4:$D$886,$B20,'июнь 2023'!$J$4:$J$886,E$1)</f>
        <v>0</v>
      </c>
      <c r="F20" s="198">
        <f>SUMIFS('июнь 2023'!$G$4:$G$886,'июнь 2023'!$D$4:$D$886,$B20,'июнь 2023'!$J$4:$J$886,F$1)</f>
        <v>0</v>
      </c>
      <c r="G20" s="198">
        <f>SUMIFS('июнь 2023'!$G$4:$G$886,'июнь 2023'!$D$4:$D$886,$B20,'июнь 2023'!$J$4:$J$886,G$1)</f>
        <v>0</v>
      </c>
      <c r="H20" s="198">
        <f>SUMIFS('июнь 2023'!$G$4:$G$886,'июнь 2023'!$D$4:$D$886,$B20,'июнь 2023'!$J$4:$J$886,H$1)</f>
        <v>0</v>
      </c>
      <c r="I20" s="198">
        <f>SUMIFS('июнь 2023'!$G$4:$G$886,'июнь 2023'!$D$4:$D$886,$B20,'июнь 2023'!$J$4:$J$886,I$1)</f>
        <v>0</v>
      </c>
      <c r="J20" s="198">
        <f>SUMIFS('июнь 2023'!$G$4:$G$886,'июнь 2023'!$D$4:$D$886,$B20,'июнь 2023'!$J$4:$J$886,J$1)</f>
        <v>0</v>
      </c>
      <c r="K20" s="198">
        <f>SUMIFS('июнь 2023'!$G$4:$G$886,'июнь 2023'!$D$4:$D$886,$B20,'июнь 2023'!$J$4:$J$886,K$1)</f>
        <v>0</v>
      </c>
      <c r="L20" s="198">
        <f>SUMIFS('июнь 2023'!$G$4:$G$886,'июнь 2023'!$D$4:$D$886,$B20,'июнь 2023'!$J$4:$J$886,L$1)</f>
        <v>0</v>
      </c>
      <c r="M20" s="198">
        <f>SUMIFS('июнь 2023'!$G$4:$G$886,'июнь 2023'!$D$4:$D$886,$B20,'июнь 2023'!$J$4:$J$886,M$1)</f>
        <v>0</v>
      </c>
      <c r="N20" s="198">
        <f>SUMIFS('июнь 2023'!$G$4:$G$886,'июнь 2023'!$D$4:$D$886,$B20,'июнь 2023'!$J$4:$J$886,N$1)</f>
        <v>0</v>
      </c>
      <c r="O20" s="198">
        <f>SUMIFS('июнь 2023'!$G$4:$G$886,'июнь 2023'!$D$4:$D$886,$B20,'июнь 2023'!$J$4:$J$886,O$1)</f>
        <v>0</v>
      </c>
      <c r="P20" s="198">
        <f>SUMIFS('июнь 2023'!$G$4:$G$886,'июнь 2023'!$D$4:$D$886,$B20,'июнь 2023'!$J$4:$J$886,P$1)</f>
        <v>0</v>
      </c>
      <c r="Q20" s="198">
        <f>SUMIFS('июнь 2023'!$G$4:$G$886,'июнь 2023'!$D$4:$D$886,$B20,'июнь 2023'!$J$4:$J$886,Q$1)</f>
        <v>0</v>
      </c>
      <c r="R20" s="198">
        <f>SUMIFS('июнь 2023'!$G$4:$G$886,'июнь 2023'!$D$4:$D$886,$B20,'июнь 2023'!$J$4:$J$886,R$1)</f>
        <v>0</v>
      </c>
      <c r="S20" s="198">
        <f>SUMIFS('июнь 2023'!$G$4:$G$886,'июнь 2023'!$D$4:$D$886,$B20,'июнь 2023'!$J$4:$J$886,S$1)</f>
        <v>0</v>
      </c>
      <c r="T20" s="198">
        <f>SUMIFS('июнь 2023'!$G$4:$G$886,'июнь 2023'!$D$4:$D$886,$B20,'июнь 2023'!$J$4:$J$886,T$1)</f>
        <v>0</v>
      </c>
      <c r="U20" s="198">
        <f>SUMIFS('июнь 2023'!$G$4:$G$886,'июнь 2023'!$D$4:$D$886,$B20,'июнь 2023'!$J$4:$J$886,U$1)</f>
        <v>0</v>
      </c>
      <c r="V20" s="198">
        <f>SUMIFS('июнь 2023'!$G$4:$G$886,'июнь 2023'!$D$4:$D$886,$B20,'июнь 2023'!$J$4:$J$886,V$1)</f>
        <v>0</v>
      </c>
      <c r="W20" s="198">
        <f>SUMIFS('июнь 2023'!$G$4:$G$886,'июнь 2023'!$D$4:$D$886,$B20,'июнь 2023'!$J$4:$J$886,W$1)</f>
        <v>0</v>
      </c>
      <c r="X20" s="198">
        <f>SUMIFS('июнь 2023'!$G$4:$G$886,'июнь 2023'!$D$4:$D$886,$B20,'июнь 2023'!$J$4:$J$886,X$1)</f>
        <v>0</v>
      </c>
      <c r="Y20" s="198">
        <f>SUMIFS('июнь 2023'!$G$4:$G$886,'июнь 2023'!$D$4:$D$886,$B20,'июнь 2023'!$J$4:$J$886,Y$1)</f>
        <v>0</v>
      </c>
      <c r="Z20" s="198">
        <f>SUMIFS('июнь 2023'!$G$4:$G$886,'июнь 2023'!$D$4:$D$886,$B20,'июнь 2023'!$J$4:$J$886,Z$1)</f>
        <v>0</v>
      </c>
      <c r="AA20" s="198">
        <f>SUMIFS('июнь 2023'!$G$4:$G$886,'июнь 2023'!$D$4:$D$886,$B20,'июнь 2023'!$J$4:$J$886,AA$1)</f>
        <v>0</v>
      </c>
      <c r="AB20" s="198">
        <f>SUMIFS('июнь 2023'!$G$4:$G$886,'июнь 2023'!$D$4:$D$886,$B20,'июнь 2023'!$J$4:$J$886,AB$1)</f>
        <v>0</v>
      </c>
      <c r="AC20" s="198">
        <f>SUMIFS('июнь 2023'!$G$4:$G$886,'июнь 2023'!$D$4:$D$886,$B20,'июнь 2023'!$J$4:$J$886,AC$1)</f>
        <v>0</v>
      </c>
      <c r="AD20" s="198">
        <f>SUMIFS('июнь 2023'!$G$4:$G$886,'июнь 2023'!$D$4:$D$886,$B20,'июнь 2023'!$J$4:$J$886,AD$1)</f>
        <v>0</v>
      </c>
      <c r="AE20" s="198">
        <f>SUMIFS('июнь 2023'!$G$4:$G$886,'июнь 2023'!$D$4:$D$886,$B20,'июнь 2023'!$J$4:$J$886,AE$1)</f>
        <v>0</v>
      </c>
      <c r="AF20" s="198">
        <f>SUMIFS('июнь 2023'!$G$4:$G$886,'июнь 2023'!$D$4:$D$886,$B20,'июнь 2023'!$J$4:$J$886,AF$1)</f>
        <v>0</v>
      </c>
      <c r="AG20" s="198">
        <f>SUMIFS('июнь 2023'!$G$4:$G$886,'июнь 2023'!$D$4:$D$886,$B20,'июнь 2023'!$J$4:$J$886,AG$1)</f>
        <v>0</v>
      </c>
      <c r="AH20" s="198">
        <f>SUMIFS('июнь 2023'!$G$4:$G$886,'июнь 2023'!$D$4:$D$886,$B20,'июнь 2023'!$J$4:$J$886,AH$1)</f>
        <v>0</v>
      </c>
      <c r="AI20" s="170">
        <f t="shared" si="1"/>
        <v>0</v>
      </c>
    </row>
    <row r="21" spans="2:35" ht="15" customHeight="1" x14ac:dyDescent="0.25">
      <c r="B21" s="202" t="s">
        <v>186</v>
      </c>
      <c r="C21" s="204">
        <v>22.68</v>
      </c>
      <c r="D21" s="198">
        <f>SUMIFS('июнь 2023'!$G$4:$G$886,'июнь 2023'!$D$4:$D$886,$B21,'июнь 2023'!$J$4:$J$886,D$1)</f>
        <v>0</v>
      </c>
      <c r="E21" s="198">
        <f>SUMIFS('июнь 2023'!$G$4:$G$886,'июнь 2023'!$D$4:$D$886,$B21,'июнь 2023'!$J$4:$J$886,E$1)</f>
        <v>0</v>
      </c>
      <c r="F21" s="198">
        <f>SUMIFS('июнь 2023'!$G$4:$G$886,'июнь 2023'!$D$4:$D$886,$B21,'июнь 2023'!$J$4:$J$886,F$1)</f>
        <v>0</v>
      </c>
      <c r="G21" s="198">
        <f>SUMIFS('июнь 2023'!$G$4:$G$886,'июнь 2023'!$D$4:$D$886,$B21,'июнь 2023'!$J$4:$J$886,G$1)</f>
        <v>0</v>
      </c>
      <c r="H21" s="198">
        <f>SUMIFS('июнь 2023'!$G$4:$G$886,'июнь 2023'!$D$4:$D$886,$B21,'июнь 2023'!$J$4:$J$886,H$1)</f>
        <v>0</v>
      </c>
      <c r="I21" s="198">
        <f>SUMIFS('июнь 2023'!$G$4:$G$886,'июнь 2023'!$D$4:$D$886,$B21,'июнь 2023'!$J$4:$J$886,I$1)</f>
        <v>0</v>
      </c>
      <c r="J21" s="198">
        <f>SUMIFS('июнь 2023'!$G$4:$G$886,'июнь 2023'!$D$4:$D$886,$B21,'июнь 2023'!$J$4:$J$886,J$1)</f>
        <v>0</v>
      </c>
      <c r="K21" s="198">
        <f>SUMIFS('июнь 2023'!$G$4:$G$886,'июнь 2023'!$D$4:$D$886,$B21,'июнь 2023'!$J$4:$J$886,K$1)</f>
        <v>0</v>
      </c>
      <c r="L21" s="198">
        <f>SUMIFS('июнь 2023'!$G$4:$G$886,'июнь 2023'!$D$4:$D$886,$B21,'июнь 2023'!$J$4:$J$886,L$1)</f>
        <v>0</v>
      </c>
      <c r="M21" s="198">
        <f>SUMIFS('июнь 2023'!$G$4:$G$886,'июнь 2023'!$D$4:$D$886,$B21,'июнь 2023'!$J$4:$J$886,M$1)</f>
        <v>0</v>
      </c>
      <c r="N21" s="198">
        <f>SUMIFS('июнь 2023'!$G$4:$G$886,'июнь 2023'!$D$4:$D$886,$B21,'июнь 2023'!$J$4:$J$886,N$1)</f>
        <v>0</v>
      </c>
      <c r="O21" s="198">
        <f>SUMIFS('июнь 2023'!$G$4:$G$886,'июнь 2023'!$D$4:$D$886,$B21,'июнь 2023'!$J$4:$J$886,O$1)</f>
        <v>0</v>
      </c>
      <c r="P21" s="198">
        <f>SUMIFS('июнь 2023'!$G$4:$G$886,'июнь 2023'!$D$4:$D$886,$B21,'июнь 2023'!$J$4:$J$886,P$1)</f>
        <v>0</v>
      </c>
      <c r="Q21" s="198">
        <f>SUMIFS('июнь 2023'!$G$4:$G$886,'июнь 2023'!$D$4:$D$886,$B21,'июнь 2023'!$J$4:$J$886,Q$1)</f>
        <v>0</v>
      </c>
      <c r="R21" s="198">
        <f>SUMIFS('июнь 2023'!$G$4:$G$886,'июнь 2023'!$D$4:$D$886,$B21,'июнь 2023'!$J$4:$J$886,R$1)</f>
        <v>0</v>
      </c>
      <c r="S21" s="198">
        <f>SUMIFS('июнь 2023'!$G$4:$G$886,'июнь 2023'!$D$4:$D$886,$B21,'июнь 2023'!$J$4:$J$886,S$1)</f>
        <v>0</v>
      </c>
      <c r="T21" s="198">
        <f>SUMIFS('июнь 2023'!$G$4:$G$886,'июнь 2023'!$D$4:$D$886,$B21,'июнь 2023'!$J$4:$J$886,T$1)</f>
        <v>0</v>
      </c>
      <c r="U21" s="198">
        <f>SUMIFS('июнь 2023'!$G$4:$G$886,'июнь 2023'!$D$4:$D$886,$B21,'июнь 2023'!$J$4:$J$886,U$1)</f>
        <v>0</v>
      </c>
      <c r="V21" s="198">
        <f>SUMIFS('июнь 2023'!$G$4:$G$886,'июнь 2023'!$D$4:$D$886,$B21,'июнь 2023'!$J$4:$J$886,V$1)</f>
        <v>0</v>
      </c>
      <c r="W21" s="198">
        <f>SUMIFS('июнь 2023'!$G$4:$G$886,'июнь 2023'!$D$4:$D$886,$B21,'июнь 2023'!$J$4:$J$886,W$1)</f>
        <v>0</v>
      </c>
      <c r="X21" s="198">
        <f>SUMIFS('июнь 2023'!$G$4:$G$886,'июнь 2023'!$D$4:$D$886,$B21,'июнь 2023'!$J$4:$J$886,X$1)</f>
        <v>0</v>
      </c>
      <c r="Y21" s="198">
        <f>SUMIFS('июнь 2023'!$G$4:$G$886,'июнь 2023'!$D$4:$D$886,$B21,'июнь 2023'!$J$4:$J$886,Y$1)</f>
        <v>0</v>
      </c>
      <c r="Z21" s="198">
        <f>SUMIFS('июнь 2023'!$G$4:$G$886,'июнь 2023'!$D$4:$D$886,$B21,'июнь 2023'!$J$4:$J$886,Z$1)</f>
        <v>0</v>
      </c>
      <c r="AA21" s="198">
        <f>SUMIFS('июнь 2023'!$G$4:$G$886,'июнь 2023'!$D$4:$D$886,$B21,'июнь 2023'!$J$4:$J$886,AA$1)</f>
        <v>0</v>
      </c>
      <c r="AB21" s="198">
        <f>SUMIFS('июнь 2023'!$G$4:$G$886,'июнь 2023'!$D$4:$D$886,$B21,'июнь 2023'!$J$4:$J$886,AB$1)</f>
        <v>0</v>
      </c>
      <c r="AC21" s="198">
        <f>SUMIFS('июнь 2023'!$G$4:$G$886,'июнь 2023'!$D$4:$D$886,$B21,'июнь 2023'!$J$4:$J$886,AC$1)</f>
        <v>0</v>
      </c>
      <c r="AD21" s="198">
        <f>SUMIFS('июнь 2023'!$G$4:$G$886,'июнь 2023'!$D$4:$D$886,$B21,'июнь 2023'!$J$4:$J$886,AD$1)</f>
        <v>0</v>
      </c>
      <c r="AE21" s="198">
        <f>SUMIFS('июнь 2023'!$G$4:$G$886,'июнь 2023'!$D$4:$D$886,$B21,'июнь 2023'!$J$4:$J$886,AE$1)</f>
        <v>0</v>
      </c>
      <c r="AF21" s="198">
        <f>SUMIFS('июнь 2023'!$G$4:$G$886,'июнь 2023'!$D$4:$D$886,$B21,'июнь 2023'!$J$4:$J$886,AF$1)</f>
        <v>0</v>
      </c>
      <c r="AG21" s="198">
        <f>SUMIFS('июнь 2023'!$G$4:$G$886,'июнь 2023'!$D$4:$D$886,$B21,'июнь 2023'!$J$4:$J$886,AG$1)</f>
        <v>0</v>
      </c>
      <c r="AH21" s="198">
        <f>SUMIFS('июнь 2023'!$G$4:$G$886,'июнь 2023'!$D$4:$D$886,$B21,'июнь 2023'!$J$4:$J$886,AH$1)</f>
        <v>0</v>
      </c>
      <c r="AI21" s="170">
        <f t="shared" si="1"/>
        <v>0</v>
      </c>
    </row>
    <row r="22" spans="2:35" ht="15" hidden="1" customHeight="1" x14ac:dyDescent="0.25">
      <c r="B22" s="202"/>
      <c r="C22" s="200"/>
      <c r="D22" s="198">
        <f>SUMIFS('июнь 2023'!$G$4:$G$886,'июнь 2023'!$D$4:$D$886,$B22,'июнь 2023'!$J$4:$J$886,D$1)</f>
        <v>0</v>
      </c>
      <c r="E22" s="198">
        <f>SUMIFS('июнь 2023'!$G$4:$G$886,'июнь 2023'!$D$4:$D$886,$B22,'июнь 2023'!$J$4:$J$886,E$1)</f>
        <v>0</v>
      </c>
      <c r="F22" s="198">
        <f>SUMIFS('июнь 2023'!$G$4:$G$886,'июнь 2023'!$D$4:$D$886,$B22,'июнь 2023'!$J$4:$J$886,F$1)</f>
        <v>0</v>
      </c>
      <c r="G22" s="198">
        <f>SUMIFS('июнь 2023'!$G$4:$G$886,'июнь 2023'!$D$4:$D$886,$B22,'июнь 2023'!$J$4:$J$886,G$1)</f>
        <v>0</v>
      </c>
      <c r="H22" s="198">
        <f>SUMIFS('июнь 2023'!$G$4:$G$886,'июнь 2023'!$D$4:$D$886,$B22,'июнь 2023'!$J$4:$J$886,H$1)</f>
        <v>0</v>
      </c>
      <c r="I22" s="198">
        <f>SUMIFS('июнь 2023'!$G$4:$G$886,'июнь 2023'!$D$4:$D$886,$B22,'июнь 2023'!$J$4:$J$886,I$1)</f>
        <v>0</v>
      </c>
      <c r="J22" s="198">
        <f>SUMIFS('июнь 2023'!$G$4:$G$886,'июнь 2023'!$D$4:$D$886,$B22,'июнь 2023'!$J$4:$J$886,J$1)</f>
        <v>0</v>
      </c>
      <c r="K22" s="198">
        <f>SUMIFS('июнь 2023'!$G$4:$G$886,'июнь 2023'!$D$4:$D$886,$B22,'июнь 2023'!$J$4:$J$886,K$1)</f>
        <v>0</v>
      </c>
      <c r="L22" s="198">
        <f>SUMIFS('июнь 2023'!$G$4:$G$886,'июнь 2023'!$D$4:$D$886,$B22,'июнь 2023'!$J$4:$J$886,L$1)</f>
        <v>0</v>
      </c>
      <c r="M22" s="198">
        <f>SUMIFS('июнь 2023'!$G$4:$G$886,'июнь 2023'!$D$4:$D$886,$B22,'июнь 2023'!$J$4:$J$886,M$1)</f>
        <v>0</v>
      </c>
      <c r="N22" s="198">
        <f>SUMIFS('июнь 2023'!$G$4:$G$886,'июнь 2023'!$D$4:$D$886,$B22,'июнь 2023'!$J$4:$J$886,N$1)</f>
        <v>0</v>
      </c>
      <c r="O22" s="198">
        <f>SUMIFS('июнь 2023'!$G$4:$G$886,'июнь 2023'!$D$4:$D$886,$B22,'июнь 2023'!$J$4:$J$886,O$1)</f>
        <v>0</v>
      </c>
      <c r="P22" s="198">
        <f>SUMIFS('июнь 2023'!$G$4:$G$886,'июнь 2023'!$D$4:$D$886,$B22,'июнь 2023'!$J$4:$J$886,P$1)</f>
        <v>0</v>
      </c>
      <c r="Q22" s="198">
        <f>SUMIFS('июнь 2023'!$G$4:$G$886,'июнь 2023'!$D$4:$D$886,$B22,'июнь 2023'!$J$4:$J$886,Q$1)</f>
        <v>0</v>
      </c>
      <c r="R22" s="198">
        <f>SUMIFS('июнь 2023'!$G$4:$G$886,'июнь 2023'!$D$4:$D$886,$B22,'июнь 2023'!$J$4:$J$886,R$1)</f>
        <v>0</v>
      </c>
      <c r="S22" s="198">
        <f>SUMIFS('июнь 2023'!$G$4:$G$886,'июнь 2023'!$D$4:$D$886,$B22,'июнь 2023'!$J$4:$J$886,S$1)</f>
        <v>0</v>
      </c>
      <c r="T22" s="198">
        <f>SUMIFS('июнь 2023'!$G$4:$G$886,'июнь 2023'!$D$4:$D$886,$B22,'июнь 2023'!$J$4:$J$886,T$1)</f>
        <v>0</v>
      </c>
      <c r="U22" s="198">
        <f>SUMIFS('июнь 2023'!$G$4:$G$886,'июнь 2023'!$D$4:$D$886,$B22,'июнь 2023'!$J$4:$J$886,U$1)</f>
        <v>0</v>
      </c>
      <c r="V22" s="198">
        <f>SUMIFS('июнь 2023'!$G$4:$G$886,'июнь 2023'!$D$4:$D$886,$B22,'июнь 2023'!$J$4:$J$886,V$1)</f>
        <v>0</v>
      </c>
      <c r="W22" s="198">
        <f>SUMIFS('июнь 2023'!$G$4:$G$886,'июнь 2023'!$D$4:$D$886,$B22,'июнь 2023'!$J$4:$J$886,W$1)</f>
        <v>0</v>
      </c>
      <c r="X22" s="198">
        <f>SUMIFS('июнь 2023'!$G$4:$G$886,'июнь 2023'!$D$4:$D$886,$B22,'июнь 2023'!$J$4:$J$886,X$1)</f>
        <v>0</v>
      </c>
      <c r="Y22" s="198">
        <f>SUMIFS('июнь 2023'!$G$4:$G$886,'июнь 2023'!$D$4:$D$886,$B22,'июнь 2023'!$J$4:$J$886,Y$1)</f>
        <v>0</v>
      </c>
      <c r="Z22" s="198">
        <f>SUMIFS('июнь 2023'!$G$4:$G$886,'июнь 2023'!$D$4:$D$886,$B22,'июнь 2023'!$J$4:$J$886,Z$1)</f>
        <v>0</v>
      </c>
      <c r="AA22" s="198">
        <f>SUMIFS('июнь 2023'!$G$4:$G$886,'июнь 2023'!$D$4:$D$886,$B22,'июнь 2023'!$J$4:$J$886,AA$1)</f>
        <v>0</v>
      </c>
      <c r="AB22" s="198">
        <f>SUMIFS('июнь 2023'!$G$4:$G$886,'июнь 2023'!$D$4:$D$886,$B22,'июнь 2023'!$J$4:$J$886,AB$1)</f>
        <v>0</v>
      </c>
      <c r="AC22" s="198">
        <f>SUMIFS('июнь 2023'!$G$4:$G$886,'июнь 2023'!$D$4:$D$886,$B22,'июнь 2023'!$J$4:$J$886,AC$1)</f>
        <v>0</v>
      </c>
      <c r="AD22" s="198">
        <f>SUMIFS('июнь 2023'!$G$4:$G$886,'июнь 2023'!$D$4:$D$886,$B22,'июнь 2023'!$J$4:$J$886,AD$1)</f>
        <v>0</v>
      </c>
      <c r="AE22" s="198">
        <f>SUMIFS('июнь 2023'!$G$4:$G$886,'июнь 2023'!$D$4:$D$886,$B22,'июнь 2023'!$J$4:$J$886,AE$1)</f>
        <v>0</v>
      </c>
      <c r="AF22" s="198">
        <f>SUMIFS('июнь 2023'!$G$4:$G$886,'июнь 2023'!$D$4:$D$886,$B22,'июнь 2023'!$J$4:$J$886,AF$1)</f>
        <v>0</v>
      </c>
      <c r="AG22" s="198">
        <f>SUMIFS('июнь 2023'!$G$4:$G$886,'июнь 2023'!$D$4:$D$886,$B22,'июнь 2023'!$J$4:$J$886,AG$1)</f>
        <v>0</v>
      </c>
      <c r="AH22" s="198">
        <f>SUMIFS('июнь 2023'!$G$4:$G$886,'июнь 2023'!$D$4:$D$886,$B22,'июнь 2023'!$J$4:$J$886,AH$1)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SUMIFS('июнь 2023'!$G$4:$G$886,'июнь 2023'!$D$4:$D$886,$B23,'июнь 2023'!$J$4:$J$886,D$1)</f>
        <v>0</v>
      </c>
      <c r="E23" s="198">
        <f>SUMIFS('июнь 2023'!$G$4:$G$886,'июнь 2023'!$D$4:$D$886,$B23,'июнь 2023'!$J$4:$J$886,E$1)</f>
        <v>0</v>
      </c>
      <c r="F23" s="198">
        <f>SUMIFS('июнь 2023'!$G$4:$G$886,'июнь 2023'!$D$4:$D$886,$B23,'июнь 2023'!$J$4:$J$886,F$1)</f>
        <v>0</v>
      </c>
      <c r="G23" s="198">
        <f>SUMIFS('июнь 2023'!$G$4:$G$886,'июнь 2023'!$D$4:$D$886,$B23,'июнь 2023'!$J$4:$J$886,G$1)</f>
        <v>0</v>
      </c>
      <c r="H23" s="198">
        <f>SUMIFS('июнь 2023'!$G$4:$G$886,'июнь 2023'!$D$4:$D$886,$B23,'июнь 2023'!$J$4:$J$886,H$1)</f>
        <v>0</v>
      </c>
      <c r="I23" s="198">
        <f>SUMIFS('июнь 2023'!$G$4:$G$886,'июнь 2023'!$D$4:$D$886,$B23,'июнь 2023'!$J$4:$J$886,I$1)</f>
        <v>0</v>
      </c>
      <c r="J23" s="198">
        <f>SUMIFS('июнь 2023'!$G$4:$G$886,'июнь 2023'!$D$4:$D$886,$B23,'июнь 2023'!$J$4:$J$886,J$1)</f>
        <v>0</v>
      </c>
      <c r="K23" s="198">
        <f>SUMIFS('июнь 2023'!$G$4:$G$886,'июнь 2023'!$D$4:$D$886,$B23,'июнь 2023'!$J$4:$J$886,K$1)</f>
        <v>0</v>
      </c>
      <c r="L23" s="198">
        <f>SUMIFS('июнь 2023'!$G$4:$G$886,'июнь 2023'!$D$4:$D$886,$B23,'июнь 2023'!$J$4:$J$886,L$1)</f>
        <v>0</v>
      </c>
      <c r="M23" s="198">
        <f>SUMIFS('июнь 2023'!$G$4:$G$886,'июнь 2023'!$D$4:$D$886,$B23,'июнь 2023'!$J$4:$J$886,M$1)</f>
        <v>0</v>
      </c>
      <c r="N23" s="198">
        <f>SUMIFS('июнь 2023'!$G$4:$G$886,'июнь 2023'!$D$4:$D$886,$B23,'июнь 2023'!$J$4:$J$886,N$1)</f>
        <v>0</v>
      </c>
      <c r="O23" s="198">
        <f>SUMIFS('июнь 2023'!$G$4:$G$886,'июнь 2023'!$D$4:$D$886,$B23,'июнь 2023'!$J$4:$J$886,O$1)</f>
        <v>0</v>
      </c>
      <c r="P23" s="198">
        <f>SUMIFS('июнь 2023'!$G$4:$G$886,'июнь 2023'!$D$4:$D$886,$B23,'июнь 2023'!$J$4:$J$886,P$1)</f>
        <v>0</v>
      </c>
      <c r="Q23" s="198">
        <f>SUMIFS('июнь 2023'!$G$4:$G$886,'июнь 2023'!$D$4:$D$886,$B23,'июнь 2023'!$J$4:$J$886,Q$1)</f>
        <v>0</v>
      </c>
      <c r="R23" s="198">
        <f>SUMIFS('июнь 2023'!$G$4:$G$886,'июнь 2023'!$D$4:$D$886,$B23,'июнь 2023'!$J$4:$J$886,R$1)</f>
        <v>0</v>
      </c>
      <c r="S23" s="198">
        <f>SUMIFS('июнь 2023'!$G$4:$G$886,'июнь 2023'!$D$4:$D$886,$B23,'июнь 2023'!$J$4:$J$886,S$1)</f>
        <v>0</v>
      </c>
      <c r="T23" s="198">
        <f>SUMIFS('июнь 2023'!$G$4:$G$886,'июнь 2023'!$D$4:$D$886,$B23,'июнь 2023'!$J$4:$J$886,T$1)</f>
        <v>0</v>
      </c>
      <c r="U23" s="198">
        <f>SUMIFS('июнь 2023'!$G$4:$G$886,'июнь 2023'!$D$4:$D$886,$B23,'июнь 2023'!$J$4:$J$886,U$1)</f>
        <v>0</v>
      </c>
      <c r="V23" s="198">
        <f>SUMIFS('июнь 2023'!$G$4:$G$886,'июнь 2023'!$D$4:$D$886,$B23,'июнь 2023'!$J$4:$J$886,V$1)</f>
        <v>0</v>
      </c>
      <c r="W23" s="198">
        <f>SUMIFS('июнь 2023'!$G$4:$G$886,'июнь 2023'!$D$4:$D$886,$B23,'июнь 2023'!$J$4:$J$886,W$1)</f>
        <v>0</v>
      </c>
      <c r="X23" s="198">
        <f>SUMIFS('июнь 2023'!$G$4:$G$886,'июнь 2023'!$D$4:$D$886,$B23,'июнь 2023'!$J$4:$J$886,X$1)</f>
        <v>0</v>
      </c>
      <c r="Y23" s="198">
        <f>SUMIFS('июнь 2023'!$G$4:$G$886,'июнь 2023'!$D$4:$D$886,$B23,'июнь 2023'!$J$4:$J$886,Y$1)</f>
        <v>0</v>
      </c>
      <c r="Z23" s="198">
        <f>SUMIFS('июнь 2023'!$G$4:$G$886,'июнь 2023'!$D$4:$D$886,$B23,'июнь 2023'!$J$4:$J$886,Z$1)</f>
        <v>0</v>
      </c>
      <c r="AA23" s="198">
        <f>SUMIFS('июнь 2023'!$G$4:$G$886,'июнь 2023'!$D$4:$D$886,$B23,'июнь 2023'!$J$4:$J$886,AA$1)</f>
        <v>0</v>
      </c>
      <c r="AB23" s="198">
        <f>SUMIFS('июнь 2023'!$G$4:$G$886,'июнь 2023'!$D$4:$D$886,$B23,'июнь 2023'!$J$4:$J$886,AB$1)</f>
        <v>0</v>
      </c>
      <c r="AC23" s="198">
        <f>SUMIFS('июнь 2023'!$G$4:$G$886,'июнь 2023'!$D$4:$D$886,$B23,'июнь 2023'!$J$4:$J$886,AC$1)</f>
        <v>0</v>
      </c>
      <c r="AD23" s="198">
        <f>SUMIFS('июнь 2023'!$G$4:$G$886,'июнь 2023'!$D$4:$D$886,$B23,'июнь 2023'!$J$4:$J$886,AD$1)</f>
        <v>0</v>
      </c>
      <c r="AE23" s="198">
        <f>SUMIFS('июнь 2023'!$G$4:$G$886,'июнь 2023'!$D$4:$D$886,$B23,'июнь 2023'!$J$4:$J$886,AE$1)</f>
        <v>0</v>
      </c>
      <c r="AF23" s="198">
        <f>SUMIFS('июнь 2023'!$G$4:$G$886,'июнь 2023'!$D$4:$D$886,$B23,'июнь 2023'!$J$4:$J$886,AF$1)</f>
        <v>0</v>
      </c>
      <c r="AG23" s="198">
        <f>SUMIFS('июнь 2023'!$G$4:$G$886,'июнь 2023'!$D$4:$D$886,$B23,'июнь 2023'!$J$4:$J$886,AG$1)</f>
        <v>0</v>
      </c>
      <c r="AH23" s="198">
        <f>SUMIFS('июнь 2023'!$G$4:$G$886,'июнь 2023'!$D$4:$D$886,$B23,'июнь 2023'!$J$4:$J$886,AH$1)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SUMIFS('июнь 2023'!$G$4:$G$886,'июнь 2023'!$D$4:$D$886,$B24,'июнь 2023'!$J$4:$J$886,D$1)</f>
        <v>0</v>
      </c>
      <c r="E24" s="198">
        <f>SUMIFS('июнь 2023'!$G$4:$G$886,'июнь 2023'!$D$4:$D$886,$B24,'июнь 2023'!$J$4:$J$886,E$1)</f>
        <v>0</v>
      </c>
      <c r="F24" s="198">
        <f>SUMIFS('июнь 2023'!$G$4:$G$886,'июнь 2023'!$D$4:$D$886,$B24,'июнь 2023'!$J$4:$J$886,F$1)</f>
        <v>0</v>
      </c>
      <c r="G24" s="198">
        <f>SUMIFS('июнь 2023'!$G$4:$G$886,'июнь 2023'!$D$4:$D$886,$B24,'июнь 2023'!$J$4:$J$886,G$1)</f>
        <v>0</v>
      </c>
      <c r="H24" s="198">
        <f>SUMIFS('июнь 2023'!$G$4:$G$886,'июнь 2023'!$D$4:$D$886,$B24,'июнь 2023'!$J$4:$J$886,H$1)</f>
        <v>0</v>
      </c>
      <c r="I24" s="198">
        <f>SUMIFS('июнь 2023'!$G$4:$G$886,'июнь 2023'!$D$4:$D$886,$B24,'июнь 2023'!$J$4:$J$886,I$1)</f>
        <v>0</v>
      </c>
      <c r="J24" s="198">
        <f>SUMIFS('июнь 2023'!$G$4:$G$886,'июнь 2023'!$D$4:$D$886,$B24,'июнь 2023'!$J$4:$J$886,J$1)</f>
        <v>0</v>
      </c>
      <c r="K24" s="198">
        <f>SUMIFS('июнь 2023'!$G$4:$G$886,'июнь 2023'!$D$4:$D$886,$B24,'июнь 2023'!$J$4:$J$886,K$1)</f>
        <v>0</v>
      </c>
      <c r="L24" s="198">
        <f>SUMIFS('июнь 2023'!$G$4:$G$886,'июнь 2023'!$D$4:$D$886,$B24,'июнь 2023'!$J$4:$J$886,L$1)</f>
        <v>0</v>
      </c>
      <c r="M24" s="198">
        <f>SUMIFS('июнь 2023'!$G$4:$G$886,'июнь 2023'!$D$4:$D$886,$B24,'июнь 2023'!$J$4:$J$886,M$1)</f>
        <v>0</v>
      </c>
      <c r="N24" s="198">
        <f>SUMIFS('июнь 2023'!$G$4:$G$886,'июнь 2023'!$D$4:$D$886,$B24,'июнь 2023'!$J$4:$J$886,N$1)</f>
        <v>0</v>
      </c>
      <c r="O24" s="198">
        <f>SUMIFS('июнь 2023'!$G$4:$G$886,'июнь 2023'!$D$4:$D$886,$B24,'июнь 2023'!$J$4:$J$886,O$1)</f>
        <v>0</v>
      </c>
      <c r="P24" s="198">
        <f>SUMIFS('июнь 2023'!$G$4:$G$886,'июнь 2023'!$D$4:$D$886,$B24,'июнь 2023'!$J$4:$J$886,P$1)</f>
        <v>0</v>
      </c>
      <c r="Q24" s="198">
        <f>SUMIFS('июнь 2023'!$G$4:$G$886,'июнь 2023'!$D$4:$D$886,$B24,'июнь 2023'!$J$4:$J$886,Q$1)</f>
        <v>0</v>
      </c>
      <c r="R24" s="198">
        <f>SUMIFS('июнь 2023'!$G$4:$G$886,'июнь 2023'!$D$4:$D$886,$B24,'июнь 2023'!$J$4:$J$886,R$1)</f>
        <v>0</v>
      </c>
      <c r="S24" s="198">
        <f>SUMIFS('июнь 2023'!$G$4:$G$886,'июнь 2023'!$D$4:$D$886,$B24,'июнь 2023'!$J$4:$J$886,S$1)</f>
        <v>0</v>
      </c>
      <c r="T24" s="198">
        <f>SUMIFS('июнь 2023'!$G$4:$G$886,'июнь 2023'!$D$4:$D$886,$B24,'июнь 2023'!$J$4:$J$886,T$1)</f>
        <v>0</v>
      </c>
      <c r="U24" s="198">
        <f>SUMIFS('июнь 2023'!$G$4:$G$886,'июнь 2023'!$D$4:$D$886,$B24,'июнь 2023'!$J$4:$J$886,U$1)</f>
        <v>0</v>
      </c>
      <c r="V24" s="198">
        <f>SUMIFS('июнь 2023'!$G$4:$G$886,'июнь 2023'!$D$4:$D$886,$B24,'июнь 2023'!$J$4:$J$886,V$1)</f>
        <v>0</v>
      </c>
      <c r="W24" s="198">
        <f>SUMIFS('июнь 2023'!$G$4:$G$886,'июнь 2023'!$D$4:$D$886,$B24,'июнь 2023'!$J$4:$J$886,W$1)</f>
        <v>0</v>
      </c>
      <c r="X24" s="198">
        <f>SUMIFS('июнь 2023'!$G$4:$G$886,'июнь 2023'!$D$4:$D$886,$B24,'июнь 2023'!$J$4:$J$886,X$1)</f>
        <v>0</v>
      </c>
      <c r="Y24" s="198">
        <f>SUMIFS('июнь 2023'!$G$4:$G$886,'июнь 2023'!$D$4:$D$886,$B24,'июнь 2023'!$J$4:$J$886,Y$1)</f>
        <v>0</v>
      </c>
      <c r="Z24" s="198">
        <f>SUMIFS('июнь 2023'!$G$4:$G$886,'июнь 2023'!$D$4:$D$886,$B24,'июнь 2023'!$J$4:$J$886,Z$1)</f>
        <v>0</v>
      </c>
      <c r="AA24" s="198">
        <f>SUMIFS('июнь 2023'!$G$4:$G$886,'июнь 2023'!$D$4:$D$886,$B24,'июнь 2023'!$J$4:$J$886,AA$1)</f>
        <v>0</v>
      </c>
      <c r="AB24" s="198">
        <f>SUMIFS('июнь 2023'!$G$4:$G$886,'июнь 2023'!$D$4:$D$886,$B24,'июнь 2023'!$J$4:$J$886,AB$1)</f>
        <v>0</v>
      </c>
      <c r="AC24" s="198">
        <f>SUMIFS('июнь 2023'!$G$4:$G$886,'июнь 2023'!$D$4:$D$886,$B24,'июнь 2023'!$J$4:$J$886,AC$1)</f>
        <v>0</v>
      </c>
      <c r="AD24" s="198">
        <f>SUMIFS('июнь 2023'!$G$4:$G$886,'июнь 2023'!$D$4:$D$886,$B24,'июнь 2023'!$J$4:$J$886,AD$1)</f>
        <v>0</v>
      </c>
      <c r="AE24" s="198">
        <f>SUMIFS('июнь 2023'!$G$4:$G$886,'июнь 2023'!$D$4:$D$886,$B24,'июнь 2023'!$J$4:$J$886,AE$1)</f>
        <v>0</v>
      </c>
      <c r="AF24" s="198">
        <f>SUMIFS('июнь 2023'!$G$4:$G$886,'июнь 2023'!$D$4:$D$886,$B24,'июнь 2023'!$J$4:$J$886,AF$1)</f>
        <v>0</v>
      </c>
      <c r="AG24" s="198">
        <f>SUMIFS('июнь 2023'!$G$4:$G$886,'июнь 2023'!$D$4:$D$886,$B24,'июнь 2023'!$J$4:$J$886,AG$1)</f>
        <v>0</v>
      </c>
      <c r="AH24" s="198">
        <f>SUMIFS('июнь 2023'!$G$4:$G$886,'июнь 2023'!$D$4:$D$886,$B24,'июнь 2023'!$J$4:$J$886,AH$1)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SUMIFS('июнь 2023'!$G$4:$G$886,'июнь 2023'!$D$4:$D$886,$B25,'июнь 2023'!$J$4:$J$886,D$1)</f>
        <v>0</v>
      </c>
      <c r="E25" s="198">
        <f>SUMIFS('июнь 2023'!$G$4:$G$886,'июнь 2023'!$D$4:$D$886,$B25,'июнь 2023'!$J$4:$J$886,E$1)</f>
        <v>0</v>
      </c>
      <c r="F25" s="198">
        <f>SUMIFS('июнь 2023'!$G$4:$G$886,'июнь 2023'!$D$4:$D$886,$B25,'июнь 2023'!$J$4:$J$886,F$1)</f>
        <v>0</v>
      </c>
      <c r="G25" s="198">
        <f>SUMIFS('июнь 2023'!$G$4:$G$886,'июнь 2023'!$D$4:$D$886,$B25,'июнь 2023'!$J$4:$J$886,G$1)</f>
        <v>0</v>
      </c>
      <c r="H25" s="198">
        <f>SUMIFS('июнь 2023'!$G$4:$G$886,'июнь 2023'!$D$4:$D$886,$B25,'июнь 2023'!$J$4:$J$886,H$1)</f>
        <v>0</v>
      </c>
      <c r="I25" s="198">
        <f>SUMIFS('июнь 2023'!$G$4:$G$886,'июнь 2023'!$D$4:$D$886,$B25,'июнь 2023'!$J$4:$J$886,I$1)</f>
        <v>0</v>
      </c>
      <c r="J25" s="198">
        <f>SUMIFS('июнь 2023'!$G$4:$G$886,'июнь 2023'!$D$4:$D$886,$B25,'июнь 2023'!$J$4:$J$886,J$1)</f>
        <v>0</v>
      </c>
      <c r="K25" s="198">
        <f>SUMIFS('июнь 2023'!$G$4:$G$886,'июнь 2023'!$D$4:$D$886,$B25,'июнь 2023'!$J$4:$J$886,K$1)</f>
        <v>0</v>
      </c>
      <c r="L25" s="198">
        <f>SUMIFS('июнь 2023'!$G$4:$G$886,'июнь 2023'!$D$4:$D$886,$B25,'июнь 2023'!$J$4:$J$886,L$1)</f>
        <v>0</v>
      </c>
      <c r="M25" s="198">
        <f>SUMIFS('июнь 2023'!$G$4:$G$886,'июнь 2023'!$D$4:$D$886,$B25,'июнь 2023'!$J$4:$J$886,M$1)</f>
        <v>0</v>
      </c>
      <c r="N25" s="198">
        <f>SUMIFS('июнь 2023'!$G$4:$G$886,'июнь 2023'!$D$4:$D$886,$B25,'июнь 2023'!$J$4:$J$886,N$1)</f>
        <v>0</v>
      </c>
      <c r="O25" s="198">
        <f>SUMIFS('июнь 2023'!$G$4:$G$886,'июнь 2023'!$D$4:$D$886,$B25,'июнь 2023'!$J$4:$J$886,O$1)</f>
        <v>0</v>
      </c>
      <c r="P25" s="198">
        <f>SUMIFS('июнь 2023'!$G$4:$G$886,'июнь 2023'!$D$4:$D$886,$B25,'июнь 2023'!$J$4:$J$886,P$1)</f>
        <v>0</v>
      </c>
      <c r="Q25" s="198">
        <f>SUMIFS('июнь 2023'!$G$4:$G$886,'июнь 2023'!$D$4:$D$886,$B25,'июнь 2023'!$J$4:$J$886,Q$1)</f>
        <v>0</v>
      </c>
      <c r="R25" s="198">
        <f>SUMIFS('июнь 2023'!$G$4:$G$886,'июнь 2023'!$D$4:$D$886,$B25,'июнь 2023'!$J$4:$J$886,R$1)</f>
        <v>0</v>
      </c>
      <c r="S25" s="198">
        <f>SUMIFS('июнь 2023'!$G$4:$G$886,'июнь 2023'!$D$4:$D$886,$B25,'июнь 2023'!$J$4:$J$886,S$1)</f>
        <v>0</v>
      </c>
      <c r="T25" s="198">
        <f>SUMIFS('июнь 2023'!$G$4:$G$886,'июнь 2023'!$D$4:$D$886,$B25,'июнь 2023'!$J$4:$J$886,T$1)</f>
        <v>0</v>
      </c>
      <c r="U25" s="198">
        <f>SUMIFS('июнь 2023'!$G$4:$G$886,'июнь 2023'!$D$4:$D$886,$B25,'июнь 2023'!$J$4:$J$886,U$1)</f>
        <v>0</v>
      </c>
      <c r="V25" s="198">
        <f>SUMIFS('июнь 2023'!$G$4:$G$886,'июнь 2023'!$D$4:$D$886,$B25,'июнь 2023'!$J$4:$J$886,V$1)</f>
        <v>0</v>
      </c>
      <c r="W25" s="198">
        <f>SUMIFS('июнь 2023'!$G$4:$G$886,'июнь 2023'!$D$4:$D$886,$B25,'июнь 2023'!$J$4:$J$886,W$1)</f>
        <v>0</v>
      </c>
      <c r="X25" s="198">
        <f>SUMIFS('июнь 2023'!$G$4:$G$886,'июнь 2023'!$D$4:$D$886,$B25,'июнь 2023'!$J$4:$J$886,X$1)</f>
        <v>0</v>
      </c>
      <c r="Y25" s="198">
        <f>SUMIFS('июнь 2023'!$G$4:$G$886,'июнь 2023'!$D$4:$D$886,$B25,'июнь 2023'!$J$4:$J$886,Y$1)</f>
        <v>0</v>
      </c>
      <c r="Z25" s="198">
        <f>SUMIFS('июнь 2023'!$G$4:$G$886,'июнь 2023'!$D$4:$D$886,$B25,'июнь 2023'!$J$4:$J$886,Z$1)</f>
        <v>0</v>
      </c>
      <c r="AA25" s="198">
        <f>SUMIFS('июнь 2023'!$G$4:$G$886,'июнь 2023'!$D$4:$D$886,$B25,'июнь 2023'!$J$4:$J$886,AA$1)</f>
        <v>0</v>
      </c>
      <c r="AB25" s="198">
        <f>SUMIFS('июнь 2023'!$G$4:$G$886,'июнь 2023'!$D$4:$D$886,$B25,'июнь 2023'!$J$4:$J$886,AB$1)</f>
        <v>0</v>
      </c>
      <c r="AC25" s="198">
        <f>SUMIFS('июнь 2023'!$G$4:$G$886,'июнь 2023'!$D$4:$D$886,$B25,'июнь 2023'!$J$4:$J$886,AC$1)</f>
        <v>0</v>
      </c>
      <c r="AD25" s="198">
        <f>SUMIFS('июнь 2023'!$G$4:$G$886,'июнь 2023'!$D$4:$D$886,$B25,'июнь 2023'!$J$4:$J$886,AD$1)</f>
        <v>0</v>
      </c>
      <c r="AE25" s="198">
        <f>SUMIFS('июнь 2023'!$G$4:$G$886,'июнь 2023'!$D$4:$D$886,$B25,'июнь 2023'!$J$4:$J$886,AE$1)</f>
        <v>0</v>
      </c>
      <c r="AF25" s="198">
        <f>SUMIFS('июнь 2023'!$G$4:$G$886,'июнь 2023'!$D$4:$D$886,$B25,'июнь 2023'!$J$4:$J$886,AF$1)</f>
        <v>0</v>
      </c>
      <c r="AG25" s="198">
        <f>SUMIFS('июнь 2023'!$G$4:$G$886,'июнь 2023'!$D$4:$D$886,$B25,'июнь 2023'!$J$4:$J$886,AG$1)</f>
        <v>0</v>
      </c>
      <c r="AH25" s="198">
        <f>SUMIFS('июнь 2023'!$G$4:$G$886,'июнь 2023'!$D$4:$D$886,$B25,'июнь 2023'!$J$4:$J$886,AH$1)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SUMIFS('июнь 2023'!$G$4:$G$886,'июнь 2023'!$D$4:$D$886,$B26,'июнь 2023'!$J$4:$J$886,D$1)</f>
        <v>0</v>
      </c>
      <c r="E26" s="198">
        <f>SUMIFS('июнь 2023'!$G$4:$G$886,'июнь 2023'!$D$4:$D$886,$B26,'июнь 2023'!$J$4:$J$886,E$1)</f>
        <v>0</v>
      </c>
      <c r="F26" s="198">
        <f>SUMIFS('июнь 2023'!$G$4:$G$886,'июнь 2023'!$D$4:$D$886,$B26,'июнь 2023'!$J$4:$J$886,F$1)</f>
        <v>0</v>
      </c>
      <c r="G26" s="198">
        <f>SUMIFS('июнь 2023'!$G$4:$G$886,'июнь 2023'!$D$4:$D$886,$B26,'июнь 2023'!$J$4:$J$886,G$1)</f>
        <v>0</v>
      </c>
      <c r="H26" s="198">
        <f>SUMIFS('июнь 2023'!$G$4:$G$886,'июнь 2023'!$D$4:$D$886,$B26,'июнь 2023'!$J$4:$J$886,H$1)</f>
        <v>0</v>
      </c>
      <c r="I26" s="198">
        <f>SUMIFS('июнь 2023'!$G$4:$G$886,'июнь 2023'!$D$4:$D$886,$B26,'июнь 2023'!$J$4:$J$886,I$1)</f>
        <v>0</v>
      </c>
      <c r="J26" s="198">
        <f>SUMIFS('июнь 2023'!$G$4:$G$886,'июнь 2023'!$D$4:$D$886,$B26,'июнь 2023'!$J$4:$J$886,J$1)</f>
        <v>0</v>
      </c>
      <c r="K26" s="198">
        <f>SUMIFS('июнь 2023'!$G$4:$G$886,'июнь 2023'!$D$4:$D$886,$B26,'июнь 2023'!$J$4:$J$886,K$1)</f>
        <v>0</v>
      </c>
      <c r="L26" s="198">
        <f>SUMIFS('июнь 2023'!$G$4:$G$886,'июнь 2023'!$D$4:$D$886,$B26,'июнь 2023'!$J$4:$J$886,L$1)</f>
        <v>0</v>
      </c>
      <c r="M26" s="198">
        <f>SUMIFS('июнь 2023'!$G$4:$G$886,'июнь 2023'!$D$4:$D$886,$B26,'июнь 2023'!$J$4:$J$886,M$1)</f>
        <v>0</v>
      </c>
      <c r="N26" s="198">
        <f>SUMIFS('июнь 2023'!$G$4:$G$886,'июнь 2023'!$D$4:$D$886,$B26,'июнь 2023'!$J$4:$J$886,N$1)</f>
        <v>0</v>
      </c>
      <c r="O26" s="198">
        <f>SUMIFS('июнь 2023'!$G$4:$G$886,'июнь 2023'!$D$4:$D$886,$B26,'июнь 2023'!$J$4:$J$886,O$1)</f>
        <v>0</v>
      </c>
      <c r="P26" s="198">
        <f>SUMIFS('июнь 2023'!$G$4:$G$886,'июнь 2023'!$D$4:$D$886,$B26,'июнь 2023'!$J$4:$J$886,P$1)</f>
        <v>0</v>
      </c>
      <c r="Q26" s="198">
        <f>SUMIFS('июнь 2023'!$G$4:$G$886,'июнь 2023'!$D$4:$D$886,$B26,'июнь 2023'!$J$4:$J$886,Q$1)</f>
        <v>0</v>
      </c>
      <c r="R26" s="198">
        <f>SUMIFS('июнь 2023'!$G$4:$G$886,'июнь 2023'!$D$4:$D$886,$B26,'июнь 2023'!$J$4:$J$886,R$1)</f>
        <v>0</v>
      </c>
      <c r="S26" s="198">
        <f>SUMIFS('июнь 2023'!$G$4:$G$886,'июнь 2023'!$D$4:$D$886,$B26,'июнь 2023'!$J$4:$J$886,S$1)</f>
        <v>0</v>
      </c>
      <c r="T26" s="198">
        <f>SUMIFS('июнь 2023'!$G$4:$G$886,'июнь 2023'!$D$4:$D$886,$B26,'июнь 2023'!$J$4:$J$886,T$1)</f>
        <v>0</v>
      </c>
      <c r="U26" s="198">
        <f>SUMIFS('июнь 2023'!$G$4:$G$886,'июнь 2023'!$D$4:$D$886,$B26,'июнь 2023'!$J$4:$J$886,U$1)</f>
        <v>0</v>
      </c>
      <c r="V26" s="198">
        <f>SUMIFS('июнь 2023'!$G$4:$G$886,'июнь 2023'!$D$4:$D$886,$B26,'июнь 2023'!$J$4:$J$886,V$1)</f>
        <v>0</v>
      </c>
      <c r="W26" s="198">
        <f>SUMIFS('июнь 2023'!$G$4:$G$886,'июнь 2023'!$D$4:$D$886,$B26,'июнь 2023'!$J$4:$J$886,W$1)</f>
        <v>0</v>
      </c>
      <c r="X26" s="198">
        <f>SUMIFS('июнь 2023'!$G$4:$G$886,'июнь 2023'!$D$4:$D$886,$B26,'июнь 2023'!$J$4:$J$886,X$1)</f>
        <v>0</v>
      </c>
      <c r="Y26" s="198">
        <f>SUMIFS('июнь 2023'!$G$4:$G$886,'июнь 2023'!$D$4:$D$886,$B26,'июнь 2023'!$J$4:$J$886,Y$1)</f>
        <v>0</v>
      </c>
      <c r="Z26" s="198">
        <f>SUMIFS('июнь 2023'!$G$4:$G$886,'июнь 2023'!$D$4:$D$886,$B26,'июнь 2023'!$J$4:$J$886,Z$1)</f>
        <v>0</v>
      </c>
      <c r="AA26" s="198">
        <f>SUMIFS('июнь 2023'!$G$4:$G$886,'июнь 2023'!$D$4:$D$886,$B26,'июнь 2023'!$J$4:$J$886,AA$1)</f>
        <v>0</v>
      </c>
      <c r="AB26" s="198">
        <f>SUMIFS('июнь 2023'!$G$4:$G$886,'июнь 2023'!$D$4:$D$886,$B26,'июнь 2023'!$J$4:$J$886,AB$1)</f>
        <v>0</v>
      </c>
      <c r="AC26" s="198">
        <f>SUMIFS('июнь 2023'!$G$4:$G$886,'июнь 2023'!$D$4:$D$886,$B26,'июнь 2023'!$J$4:$J$886,AC$1)</f>
        <v>0</v>
      </c>
      <c r="AD26" s="198">
        <f>SUMIFS('июнь 2023'!$G$4:$G$886,'июнь 2023'!$D$4:$D$886,$B26,'июнь 2023'!$J$4:$J$886,AD$1)</f>
        <v>0</v>
      </c>
      <c r="AE26" s="198">
        <f>SUMIFS('июнь 2023'!$G$4:$G$886,'июнь 2023'!$D$4:$D$886,$B26,'июнь 2023'!$J$4:$J$886,AE$1)</f>
        <v>0</v>
      </c>
      <c r="AF26" s="198">
        <f>SUMIFS('июнь 2023'!$G$4:$G$886,'июнь 2023'!$D$4:$D$886,$B26,'июнь 2023'!$J$4:$J$886,AF$1)</f>
        <v>0</v>
      </c>
      <c r="AG26" s="198">
        <f>SUMIFS('июнь 2023'!$G$4:$G$886,'июнь 2023'!$D$4:$D$886,$B26,'июнь 2023'!$J$4:$J$886,AG$1)</f>
        <v>0</v>
      </c>
      <c r="AH26" s="198">
        <f>SUMIFS('июнь 2023'!$G$4:$G$886,'июнь 2023'!$D$4:$D$886,$B26,'июнь 2023'!$J$4:$J$886,AH$1)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SUMIFS('июнь 2023'!$G$4:$G$886,'июнь 2023'!$D$4:$D$886,$B27,'июнь 2023'!$J$4:$J$886,D$1)</f>
        <v>0</v>
      </c>
      <c r="E27" s="198">
        <f>SUMIFS('июнь 2023'!$G$4:$G$886,'июнь 2023'!$D$4:$D$886,$B27,'июнь 2023'!$J$4:$J$886,E$1)</f>
        <v>0</v>
      </c>
      <c r="F27" s="198">
        <f>SUMIFS('июнь 2023'!$G$4:$G$886,'июнь 2023'!$D$4:$D$886,$B27,'июнь 2023'!$J$4:$J$886,F$1)</f>
        <v>0</v>
      </c>
      <c r="G27" s="198">
        <f>SUMIFS('июнь 2023'!$G$4:$G$886,'июнь 2023'!$D$4:$D$886,$B27,'июнь 2023'!$J$4:$J$886,G$1)</f>
        <v>0</v>
      </c>
      <c r="H27" s="198">
        <f>SUMIFS('июнь 2023'!$G$4:$G$886,'июнь 2023'!$D$4:$D$886,$B27,'июнь 2023'!$J$4:$J$886,H$1)</f>
        <v>0</v>
      </c>
      <c r="I27" s="198">
        <f>SUMIFS('июнь 2023'!$G$4:$G$886,'июнь 2023'!$D$4:$D$886,$B27,'июнь 2023'!$J$4:$J$886,I$1)</f>
        <v>0</v>
      </c>
      <c r="J27" s="198">
        <f>SUMIFS('июнь 2023'!$G$4:$G$886,'июнь 2023'!$D$4:$D$886,$B27,'июнь 2023'!$J$4:$J$886,J$1)</f>
        <v>0</v>
      </c>
      <c r="K27" s="198">
        <f>SUMIFS('июнь 2023'!$G$4:$G$886,'июнь 2023'!$D$4:$D$886,$B27,'июнь 2023'!$J$4:$J$886,K$1)</f>
        <v>0</v>
      </c>
      <c r="L27" s="198">
        <f>SUMIFS('июнь 2023'!$G$4:$G$886,'июнь 2023'!$D$4:$D$886,$B27,'июнь 2023'!$J$4:$J$886,L$1)</f>
        <v>0</v>
      </c>
      <c r="M27" s="198">
        <f>SUMIFS('июнь 2023'!$G$4:$G$886,'июнь 2023'!$D$4:$D$886,$B27,'июнь 2023'!$J$4:$J$886,M$1)</f>
        <v>0</v>
      </c>
      <c r="N27" s="198">
        <f>SUMIFS('июнь 2023'!$G$4:$G$886,'июнь 2023'!$D$4:$D$886,$B27,'июнь 2023'!$J$4:$J$886,N$1)</f>
        <v>0</v>
      </c>
      <c r="O27" s="198">
        <f>SUMIFS('июнь 2023'!$G$4:$G$886,'июнь 2023'!$D$4:$D$886,$B27,'июнь 2023'!$J$4:$J$886,O$1)</f>
        <v>0</v>
      </c>
      <c r="P27" s="198">
        <f>SUMIFS('июнь 2023'!$G$4:$G$886,'июнь 2023'!$D$4:$D$886,$B27,'июнь 2023'!$J$4:$J$886,P$1)</f>
        <v>0</v>
      </c>
      <c r="Q27" s="198">
        <f>SUMIFS('июнь 2023'!$G$4:$G$886,'июнь 2023'!$D$4:$D$886,$B27,'июнь 2023'!$J$4:$J$886,Q$1)</f>
        <v>0</v>
      </c>
      <c r="R27" s="198">
        <f>SUMIFS('июнь 2023'!$G$4:$G$886,'июнь 2023'!$D$4:$D$886,$B27,'июнь 2023'!$J$4:$J$886,R$1)</f>
        <v>0</v>
      </c>
      <c r="S27" s="198">
        <f>SUMIFS('июнь 2023'!$G$4:$G$886,'июнь 2023'!$D$4:$D$886,$B27,'июнь 2023'!$J$4:$J$886,S$1)</f>
        <v>0</v>
      </c>
      <c r="T27" s="198">
        <f>SUMIFS('июнь 2023'!$G$4:$G$886,'июнь 2023'!$D$4:$D$886,$B27,'июнь 2023'!$J$4:$J$886,T$1)</f>
        <v>0</v>
      </c>
      <c r="U27" s="198">
        <f>SUMIFS('июнь 2023'!$G$4:$G$886,'июнь 2023'!$D$4:$D$886,$B27,'июнь 2023'!$J$4:$J$886,U$1)</f>
        <v>0</v>
      </c>
      <c r="V27" s="198">
        <f>SUMIFS('июнь 2023'!$G$4:$G$886,'июнь 2023'!$D$4:$D$886,$B27,'июнь 2023'!$J$4:$J$886,V$1)</f>
        <v>0</v>
      </c>
      <c r="W27" s="198">
        <f>SUMIFS('июнь 2023'!$G$4:$G$886,'июнь 2023'!$D$4:$D$886,$B27,'июнь 2023'!$J$4:$J$886,W$1)</f>
        <v>0</v>
      </c>
      <c r="X27" s="198">
        <f>SUMIFS('июнь 2023'!$G$4:$G$886,'июнь 2023'!$D$4:$D$886,$B27,'июнь 2023'!$J$4:$J$886,X$1)</f>
        <v>0</v>
      </c>
      <c r="Y27" s="198">
        <f>SUMIFS('июнь 2023'!$G$4:$G$886,'июнь 2023'!$D$4:$D$886,$B27,'июнь 2023'!$J$4:$J$886,Y$1)</f>
        <v>0</v>
      </c>
      <c r="Z27" s="198">
        <f>SUMIFS('июнь 2023'!$G$4:$G$886,'июнь 2023'!$D$4:$D$886,$B27,'июнь 2023'!$J$4:$J$886,Z$1)</f>
        <v>0</v>
      </c>
      <c r="AA27" s="198">
        <f>SUMIFS('июнь 2023'!$G$4:$G$886,'июнь 2023'!$D$4:$D$886,$B27,'июнь 2023'!$J$4:$J$886,AA$1)</f>
        <v>0</v>
      </c>
      <c r="AB27" s="198">
        <f>SUMIFS('июнь 2023'!$G$4:$G$886,'июнь 2023'!$D$4:$D$886,$B27,'июнь 2023'!$J$4:$J$886,AB$1)</f>
        <v>0</v>
      </c>
      <c r="AC27" s="198">
        <f>SUMIFS('июнь 2023'!$G$4:$G$886,'июнь 2023'!$D$4:$D$886,$B27,'июнь 2023'!$J$4:$J$886,AC$1)</f>
        <v>0</v>
      </c>
      <c r="AD27" s="198">
        <f>SUMIFS('июнь 2023'!$G$4:$G$886,'июнь 2023'!$D$4:$D$886,$B27,'июнь 2023'!$J$4:$J$886,AD$1)</f>
        <v>0</v>
      </c>
      <c r="AE27" s="198">
        <f>SUMIFS('июнь 2023'!$G$4:$G$886,'июнь 2023'!$D$4:$D$886,$B27,'июнь 2023'!$J$4:$J$886,AE$1)</f>
        <v>0</v>
      </c>
      <c r="AF27" s="198">
        <f>SUMIFS('июнь 2023'!$G$4:$G$886,'июнь 2023'!$D$4:$D$886,$B27,'июнь 2023'!$J$4:$J$886,AF$1)</f>
        <v>0</v>
      </c>
      <c r="AG27" s="198">
        <f>SUMIFS('июнь 2023'!$G$4:$G$886,'июнь 2023'!$D$4:$D$886,$B27,'июнь 2023'!$J$4:$J$886,AG$1)</f>
        <v>0</v>
      </c>
      <c r="AH27" s="198">
        <f>SUMIFS('июнь 2023'!$G$4:$G$886,'июнь 2023'!$D$4:$D$886,$B27,'июнь 2023'!$J$4:$J$886,AH$1)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SUMIFS('июнь 2023'!$G$4:$G$886,'июнь 2023'!$D$4:$D$886,$B28,'июнь 2023'!$J$4:$J$886,D$1)</f>
        <v>0</v>
      </c>
      <c r="E28" s="198">
        <f>SUMIFS('июнь 2023'!$G$4:$G$886,'июнь 2023'!$D$4:$D$886,$B28,'июнь 2023'!$J$4:$J$886,E$1)</f>
        <v>0</v>
      </c>
      <c r="F28" s="198">
        <f>SUMIFS('июнь 2023'!$G$4:$G$886,'июнь 2023'!$D$4:$D$886,$B28,'июнь 2023'!$J$4:$J$886,F$1)</f>
        <v>0</v>
      </c>
      <c r="G28" s="198">
        <f>SUMIFS('июнь 2023'!$G$4:$G$886,'июнь 2023'!$D$4:$D$886,$B28,'июнь 2023'!$J$4:$J$886,G$1)</f>
        <v>0</v>
      </c>
      <c r="H28" s="198">
        <f>SUMIFS('июнь 2023'!$G$4:$G$886,'июнь 2023'!$D$4:$D$886,$B28,'июнь 2023'!$J$4:$J$886,H$1)</f>
        <v>0</v>
      </c>
      <c r="I28" s="198">
        <f>SUMIFS('июнь 2023'!$G$4:$G$886,'июнь 2023'!$D$4:$D$886,$B28,'июнь 2023'!$J$4:$J$886,I$1)</f>
        <v>0</v>
      </c>
      <c r="J28" s="198">
        <f>SUMIFS('июнь 2023'!$G$4:$G$886,'июнь 2023'!$D$4:$D$886,$B28,'июнь 2023'!$J$4:$J$886,J$1)</f>
        <v>0</v>
      </c>
      <c r="K28" s="198">
        <f>SUMIFS('июнь 2023'!$G$4:$G$886,'июнь 2023'!$D$4:$D$886,$B28,'июнь 2023'!$J$4:$J$886,K$1)</f>
        <v>0</v>
      </c>
      <c r="L28" s="198">
        <f>SUMIFS('июнь 2023'!$G$4:$G$886,'июнь 2023'!$D$4:$D$886,$B28,'июнь 2023'!$J$4:$J$886,L$1)</f>
        <v>0</v>
      </c>
      <c r="M28" s="198">
        <f>SUMIFS('июнь 2023'!$G$4:$G$886,'июнь 2023'!$D$4:$D$886,$B28,'июнь 2023'!$J$4:$J$886,M$1)</f>
        <v>0</v>
      </c>
      <c r="N28" s="198">
        <f>SUMIFS('июнь 2023'!$G$4:$G$886,'июнь 2023'!$D$4:$D$886,$B28,'июнь 2023'!$J$4:$J$886,N$1)</f>
        <v>0</v>
      </c>
      <c r="O28" s="198">
        <f>SUMIFS('июнь 2023'!$G$4:$G$886,'июнь 2023'!$D$4:$D$886,$B28,'июнь 2023'!$J$4:$J$886,O$1)</f>
        <v>0</v>
      </c>
      <c r="P28" s="198">
        <f>SUMIFS('июнь 2023'!$G$4:$G$886,'июнь 2023'!$D$4:$D$886,$B28,'июнь 2023'!$J$4:$J$886,P$1)</f>
        <v>0</v>
      </c>
      <c r="Q28" s="198">
        <f>SUMIFS('июнь 2023'!$G$4:$G$886,'июнь 2023'!$D$4:$D$886,$B28,'июнь 2023'!$J$4:$J$886,Q$1)</f>
        <v>0</v>
      </c>
      <c r="R28" s="198">
        <f>SUMIFS('июнь 2023'!$G$4:$G$886,'июнь 2023'!$D$4:$D$886,$B28,'июнь 2023'!$J$4:$J$886,R$1)</f>
        <v>0</v>
      </c>
      <c r="S28" s="198">
        <f>SUMIFS('июнь 2023'!$G$4:$G$886,'июнь 2023'!$D$4:$D$886,$B28,'июнь 2023'!$J$4:$J$886,S$1)</f>
        <v>0</v>
      </c>
      <c r="T28" s="198">
        <f>SUMIFS('июнь 2023'!$G$4:$G$886,'июнь 2023'!$D$4:$D$886,$B28,'июнь 2023'!$J$4:$J$886,T$1)</f>
        <v>0</v>
      </c>
      <c r="U28" s="198">
        <f>SUMIFS('июнь 2023'!$G$4:$G$886,'июнь 2023'!$D$4:$D$886,$B28,'июнь 2023'!$J$4:$J$886,U$1)</f>
        <v>0</v>
      </c>
      <c r="V28" s="198">
        <f>SUMIFS('июнь 2023'!$G$4:$G$886,'июнь 2023'!$D$4:$D$886,$B28,'июнь 2023'!$J$4:$J$886,V$1)</f>
        <v>0</v>
      </c>
      <c r="W28" s="198">
        <f>SUMIFS('июнь 2023'!$G$4:$G$886,'июнь 2023'!$D$4:$D$886,$B28,'июнь 2023'!$J$4:$J$886,W$1)</f>
        <v>0</v>
      </c>
      <c r="X28" s="198">
        <f>SUMIFS('июнь 2023'!$G$4:$G$886,'июнь 2023'!$D$4:$D$886,$B28,'июнь 2023'!$J$4:$J$886,X$1)</f>
        <v>0</v>
      </c>
      <c r="Y28" s="198">
        <f>SUMIFS('июнь 2023'!$G$4:$G$886,'июнь 2023'!$D$4:$D$886,$B28,'июнь 2023'!$J$4:$J$886,Y$1)</f>
        <v>0</v>
      </c>
      <c r="Z28" s="198">
        <f>SUMIFS('июнь 2023'!$G$4:$G$886,'июнь 2023'!$D$4:$D$886,$B28,'июнь 2023'!$J$4:$J$886,Z$1)</f>
        <v>0</v>
      </c>
      <c r="AA28" s="198">
        <f>SUMIFS('июнь 2023'!$G$4:$G$886,'июнь 2023'!$D$4:$D$886,$B28,'июнь 2023'!$J$4:$J$886,AA$1)</f>
        <v>0</v>
      </c>
      <c r="AB28" s="198">
        <f>SUMIFS('июнь 2023'!$G$4:$G$886,'июнь 2023'!$D$4:$D$886,$B28,'июнь 2023'!$J$4:$J$886,AB$1)</f>
        <v>0</v>
      </c>
      <c r="AC28" s="198">
        <f>SUMIFS('июнь 2023'!$G$4:$G$886,'июнь 2023'!$D$4:$D$886,$B28,'июнь 2023'!$J$4:$J$886,AC$1)</f>
        <v>0</v>
      </c>
      <c r="AD28" s="198">
        <f>SUMIFS('июнь 2023'!$G$4:$G$886,'июнь 2023'!$D$4:$D$886,$B28,'июнь 2023'!$J$4:$J$886,AD$1)</f>
        <v>0</v>
      </c>
      <c r="AE28" s="198">
        <f>SUMIFS('июнь 2023'!$G$4:$G$886,'июнь 2023'!$D$4:$D$886,$B28,'июнь 2023'!$J$4:$J$886,AE$1)</f>
        <v>0</v>
      </c>
      <c r="AF28" s="198">
        <f>SUMIFS('июнь 2023'!$G$4:$G$886,'июнь 2023'!$D$4:$D$886,$B28,'июнь 2023'!$J$4:$J$886,AF$1)</f>
        <v>0</v>
      </c>
      <c r="AG28" s="198">
        <f>SUMIFS('июнь 2023'!$G$4:$G$886,'июнь 2023'!$D$4:$D$886,$B28,'июнь 2023'!$J$4:$J$886,AG$1)</f>
        <v>0</v>
      </c>
      <c r="AH28" s="198">
        <f>SUMIFS('июнь 2023'!$G$4:$G$886,'июнь 2023'!$D$4:$D$886,$B28,'июнь 2023'!$J$4:$J$886,AH$1)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SUMIFS('июнь 2023'!$G$4:$G$886,'июнь 2023'!$D$4:$D$886,$B29,'июнь 2023'!$J$4:$J$886,D$1)</f>
        <v>0</v>
      </c>
      <c r="E29" s="198">
        <f>SUMIFS('июнь 2023'!$G$4:$G$886,'июнь 2023'!$D$4:$D$886,$B29,'июнь 2023'!$J$4:$J$886,E$1)</f>
        <v>0</v>
      </c>
      <c r="F29" s="198">
        <f>SUMIFS('июнь 2023'!$G$4:$G$886,'июнь 2023'!$D$4:$D$886,$B29,'июнь 2023'!$J$4:$J$886,F$1)</f>
        <v>0</v>
      </c>
      <c r="G29" s="198">
        <f>SUMIFS('июнь 2023'!$G$4:$G$886,'июнь 2023'!$D$4:$D$886,$B29,'июнь 2023'!$J$4:$J$886,G$1)</f>
        <v>0</v>
      </c>
      <c r="H29" s="198">
        <f>SUMIFS('июнь 2023'!$G$4:$G$886,'июнь 2023'!$D$4:$D$886,$B29,'июнь 2023'!$J$4:$J$886,H$1)</f>
        <v>0</v>
      </c>
      <c r="I29" s="198">
        <f>SUMIFS('июнь 2023'!$G$4:$G$886,'июнь 2023'!$D$4:$D$886,$B29,'июнь 2023'!$J$4:$J$886,I$1)</f>
        <v>0</v>
      </c>
      <c r="J29" s="198">
        <f>SUMIFS('июнь 2023'!$G$4:$G$886,'июнь 2023'!$D$4:$D$886,$B29,'июнь 2023'!$J$4:$J$886,J$1)</f>
        <v>0</v>
      </c>
      <c r="K29" s="198">
        <f>SUMIFS('июнь 2023'!$G$4:$G$886,'июнь 2023'!$D$4:$D$886,$B29,'июнь 2023'!$J$4:$J$886,K$1)</f>
        <v>0</v>
      </c>
      <c r="L29" s="198">
        <f>SUMIFS('июнь 2023'!$G$4:$G$886,'июнь 2023'!$D$4:$D$886,$B29,'июнь 2023'!$J$4:$J$886,L$1)</f>
        <v>0</v>
      </c>
      <c r="M29" s="198">
        <f>SUMIFS('июнь 2023'!$G$4:$G$886,'июнь 2023'!$D$4:$D$886,$B29,'июнь 2023'!$J$4:$J$886,M$1)</f>
        <v>0</v>
      </c>
      <c r="N29" s="198">
        <f>SUMIFS('июнь 2023'!$G$4:$G$886,'июнь 2023'!$D$4:$D$886,$B29,'июнь 2023'!$J$4:$J$886,N$1)</f>
        <v>0</v>
      </c>
      <c r="O29" s="198">
        <f>SUMIFS('июнь 2023'!$G$4:$G$886,'июнь 2023'!$D$4:$D$886,$B29,'июнь 2023'!$J$4:$J$886,O$1)</f>
        <v>0</v>
      </c>
      <c r="P29" s="198">
        <f>SUMIFS('июнь 2023'!$G$4:$G$886,'июнь 2023'!$D$4:$D$886,$B29,'июнь 2023'!$J$4:$J$886,P$1)</f>
        <v>0</v>
      </c>
      <c r="Q29" s="198">
        <f>SUMIFS('июнь 2023'!$G$4:$G$886,'июнь 2023'!$D$4:$D$886,$B29,'июнь 2023'!$J$4:$J$886,Q$1)</f>
        <v>0</v>
      </c>
      <c r="R29" s="198">
        <f>SUMIFS('июнь 2023'!$G$4:$G$886,'июнь 2023'!$D$4:$D$886,$B29,'июнь 2023'!$J$4:$J$886,R$1)</f>
        <v>0</v>
      </c>
      <c r="S29" s="198">
        <f>SUMIFS('июнь 2023'!$G$4:$G$886,'июнь 2023'!$D$4:$D$886,$B29,'июнь 2023'!$J$4:$J$886,S$1)</f>
        <v>0</v>
      </c>
      <c r="T29" s="198">
        <f>SUMIFS('июнь 2023'!$G$4:$G$886,'июнь 2023'!$D$4:$D$886,$B29,'июнь 2023'!$J$4:$J$886,T$1)</f>
        <v>0</v>
      </c>
      <c r="U29" s="198">
        <f>SUMIFS('июнь 2023'!$G$4:$G$886,'июнь 2023'!$D$4:$D$886,$B29,'июнь 2023'!$J$4:$J$886,U$1)</f>
        <v>0</v>
      </c>
      <c r="V29" s="198">
        <f>SUMIFS('июнь 2023'!$G$4:$G$886,'июнь 2023'!$D$4:$D$886,$B29,'июнь 2023'!$J$4:$J$886,V$1)</f>
        <v>0</v>
      </c>
      <c r="W29" s="198">
        <f>SUMIFS('июнь 2023'!$G$4:$G$886,'июнь 2023'!$D$4:$D$886,$B29,'июнь 2023'!$J$4:$J$886,W$1)</f>
        <v>0</v>
      </c>
      <c r="X29" s="198">
        <f>SUMIFS('июнь 2023'!$G$4:$G$886,'июнь 2023'!$D$4:$D$886,$B29,'июнь 2023'!$J$4:$J$886,X$1)</f>
        <v>0</v>
      </c>
      <c r="Y29" s="198">
        <f>SUMIFS('июнь 2023'!$G$4:$G$886,'июнь 2023'!$D$4:$D$886,$B29,'июнь 2023'!$J$4:$J$886,Y$1)</f>
        <v>0</v>
      </c>
      <c r="Z29" s="198">
        <f>SUMIFS('июнь 2023'!$G$4:$G$886,'июнь 2023'!$D$4:$D$886,$B29,'июнь 2023'!$J$4:$J$886,Z$1)</f>
        <v>0</v>
      </c>
      <c r="AA29" s="198">
        <f>SUMIFS('июнь 2023'!$G$4:$G$886,'июнь 2023'!$D$4:$D$886,$B29,'июнь 2023'!$J$4:$J$886,AA$1)</f>
        <v>0</v>
      </c>
      <c r="AB29" s="198">
        <f>SUMIFS('июнь 2023'!$G$4:$G$886,'июнь 2023'!$D$4:$D$886,$B29,'июнь 2023'!$J$4:$J$886,AB$1)</f>
        <v>0</v>
      </c>
      <c r="AC29" s="198">
        <f>SUMIFS('июнь 2023'!$G$4:$G$886,'июнь 2023'!$D$4:$D$886,$B29,'июнь 2023'!$J$4:$J$886,AC$1)</f>
        <v>0</v>
      </c>
      <c r="AD29" s="198">
        <f>SUMIFS('июнь 2023'!$G$4:$G$886,'июнь 2023'!$D$4:$D$886,$B29,'июнь 2023'!$J$4:$J$886,AD$1)</f>
        <v>0</v>
      </c>
      <c r="AE29" s="198">
        <f>SUMIFS('июнь 2023'!$G$4:$G$886,'июнь 2023'!$D$4:$D$886,$B29,'июнь 2023'!$J$4:$J$886,AE$1)</f>
        <v>0</v>
      </c>
      <c r="AF29" s="198">
        <f>SUMIFS('июнь 2023'!$G$4:$G$886,'июнь 2023'!$D$4:$D$886,$B29,'июнь 2023'!$J$4:$J$886,AF$1)</f>
        <v>0</v>
      </c>
      <c r="AG29" s="198">
        <f>SUMIFS('июнь 2023'!$G$4:$G$886,'июнь 2023'!$D$4:$D$886,$B29,'июнь 2023'!$J$4:$J$886,AG$1)</f>
        <v>0</v>
      </c>
      <c r="AH29" s="198">
        <f>SUMIFS('июнь 2023'!$G$4:$G$886,'июнь 2023'!$D$4:$D$886,$B29,'июнь 2023'!$J$4:$J$886,AH$1)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SUMIFS('июнь 2023'!$G$4:$G$886,'июнь 2023'!$D$4:$D$886,$B30,'июнь 2023'!$J$4:$J$886,D$1)</f>
        <v>0</v>
      </c>
      <c r="E30" s="198">
        <f>SUMIFS('июнь 2023'!$G$4:$G$886,'июнь 2023'!$D$4:$D$886,$B30,'июнь 2023'!$J$4:$J$886,E$1)</f>
        <v>0</v>
      </c>
      <c r="F30" s="198">
        <f>SUMIFS('июнь 2023'!$G$4:$G$886,'июнь 2023'!$D$4:$D$886,$B30,'июнь 2023'!$J$4:$J$886,F$1)</f>
        <v>0</v>
      </c>
      <c r="G30" s="198">
        <f>SUMIFS('июнь 2023'!$G$4:$G$886,'июнь 2023'!$D$4:$D$886,$B30,'июнь 2023'!$J$4:$J$886,G$1)</f>
        <v>0</v>
      </c>
      <c r="H30" s="198">
        <f>SUMIFS('июнь 2023'!$G$4:$G$886,'июнь 2023'!$D$4:$D$886,$B30,'июнь 2023'!$J$4:$J$886,H$1)</f>
        <v>0</v>
      </c>
      <c r="I30" s="198">
        <f>SUMIFS('июнь 2023'!$G$4:$G$886,'июнь 2023'!$D$4:$D$886,$B30,'июнь 2023'!$J$4:$J$886,I$1)</f>
        <v>0</v>
      </c>
      <c r="J30" s="198">
        <f>SUMIFS('июнь 2023'!$G$4:$G$886,'июнь 2023'!$D$4:$D$886,$B30,'июнь 2023'!$J$4:$J$886,J$1)</f>
        <v>0</v>
      </c>
      <c r="K30" s="198">
        <f>SUMIFS('июнь 2023'!$G$4:$G$886,'июнь 2023'!$D$4:$D$886,$B30,'июнь 2023'!$J$4:$J$886,K$1)</f>
        <v>0</v>
      </c>
      <c r="L30" s="198">
        <f>SUMIFS('июнь 2023'!$G$4:$G$886,'июнь 2023'!$D$4:$D$886,$B30,'июнь 2023'!$J$4:$J$886,L$1)</f>
        <v>0</v>
      </c>
      <c r="M30" s="198">
        <f>SUMIFS('июнь 2023'!$G$4:$G$886,'июнь 2023'!$D$4:$D$886,$B30,'июнь 2023'!$J$4:$J$886,M$1)</f>
        <v>0</v>
      </c>
      <c r="N30" s="198">
        <f>SUMIFS('июнь 2023'!$G$4:$G$886,'июнь 2023'!$D$4:$D$886,$B30,'июнь 2023'!$J$4:$J$886,N$1)</f>
        <v>0</v>
      </c>
      <c r="O30" s="198">
        <f>SUMIFS('июнь 2023'!$G$4:$G$886,'июнь 2023'!$D$4:$D$886,$B30,'июнь 2023'!$J$4:$J$886,O$1)</f>
        <v>0</v>
      </c>
      <c r="P30" s="198">
        <f>SUMIFS('июнь 2023'!$G$4:$G$886,'июнь 2023'!$D$4:$D$886,$B30,'июнь 2023'!$J$4:$J$886,P$1)</f>
        <v>0</v>
      </c>
      <c r="Q30" s="198">
        <f>SUMIFS('июнь 2023'!$G$4:$G$886,'июнь 2023'!$D$4:$D$886,$B30,'июнь 2023'!$J$4:$J$886,Q$1)</f>
        <v>0</v>
      </c>
      <c r="R30" s="198">
        <f>SUMIFS('июнь 2023'!$G$4:$G$886,'июнь 2023'!$D$4:$D$886,$B30,'июнь 2023'!$J$4:$J$886,R$1)</f>
        <v>0</v>
      </c>
      <c r="S30" s="198">
        <f>SUMIFS('июнь 2023'!$G$4:$G$886,'июнь 2023'!$D$4:$D$886,$B30,'июнь 2023'!$J$4:$J$886,S$1)</f>
        <v>0</v>
      </c>
      <c r="T30" s="198">
        <f>SUMIFS('июнь 2023'!$G$4:$G$886,'июнь 2023'!$D$4:$D$886,$B30,'июнь 2023'!$J$4:$J$886,T$1)</f>
        <v>0</v>
      </c>
      <c r="U30" s="198">
        <f>SUMIFS('июнь 2023'!$G$4:$G$886,'июнь 2023'!$D$4:$D$886,$B30,'июнь 2023'!$J$4:$J$886,U$1)</f>
        <v>0</v>
      </c>
      <c r="V30" s="198">
        <f>SUMIFS('июнь 2023'!$G$4:$G$886,'июнь 2023'!$D$4:$D$886,$B30,'июнь 2023'!$J$4:$J$886,V$1)</f>
        <v>0</v>
      </c>
      <c r="W30" s="198">
        <f>SUMIFS('июнь 2023'!$G$4:$G$886,'июнь 2023'!$D$4:$D$886,$B30,'июнь 2023'!$J$4:$J$886,W$1)</f>
        <v>0</v>
      </c>
      <c r="X30" s="198">
        <f>SUMIFS('июнь 2023'!$G$4:$G$886,'июнь 2023'!$D$4:$D$886,$B30,'июнь 2023'!$J$4:$J$886,X$1)</f>
        <v>0</v>
      </c>
      <c r="Y30" s="198">
        <f>SUMIFS('июнь 2023'!$G$4:$G$886,'июнь 2023'!$D$4:$D$886,$B30,'июнь 2023'!$J$4:$J$886,Y$1)</f>
        <v>0</v>
      </c>
      <c r="Z30" s="198">
        <f>SUMIFS('июнь 2023'!$G$4:$G$886,'июнь 2023'!$D$4:$D$886,$B30,'июнь 2023'!$J$4:$J$886,Z$1)</f>
        <v>0</v>
      </c>
      <c r="AA30" s="198">
        <f>SUMIFS('июнь 2023'!$G$4:$G$886,'июнь 2023'!$D$4:$D$886,$B30,'июнь 2023'!$J$4:$J$886,AA$1)</f>
        <v>0</v>
      </c>
      <c r="AB30" s="198">
        <f>SUMIFS('июнь 2023'!$G$4:$G$886,'июнь 2023'!$D$4:$D$886,$B30,'июнь 2023'!$J$4:$J$886,AB$1)</f>
        <v>0</v>
      </c>
      <c r="AC30" s="198">
        <f>SUMIFS('июнь 2023'!$G$4:$G$886,'июнь 2023'!$D$4:$D$886,$B30,'июнь 2023'!$J$4:$J$886,AC$1)</f>
        <v>0</v>
      </c>
      <c r="AD30" s="198">
        <f>SUMIFS('июнь 2023'!$G$4:$G$886,'июнь 2023'!$D$4:$D$886,$B30,'июнь 2023'!$J$4:$J$886,AD$1)</f>
        <v>0</v>
      </c>
      <c r="AE30" s="198">
        <f>SUMIFS('июнь 2023'!$G$4:$G$886,'июнь 2023'!$D$4:$D$886,$B30,'июнь 2023'!$J$4:$J$886,AE$1)</f>
        <v>0</v>
      </c>
      <c r="AF30" s="198">
        <f>SUMIFS('июнь 2023'!$G$4:$G$886,'июнь 2023'!$D$4:$D$886,$B30,'июнь 2023'!$J$4:$J$886,AF$1)</f>
        <v>0</v>
      </c>
      <c r="AG30" s="198">
        <f>SUMIFS('июнь 2023'!$G$4:$G$886,'июнь 2023'!$D$4:$D$886,$B30,'июнь 2023'!$J$4:$J$886,AG$1)</f>
        <v>0</v>
      </c>
      <c r="AH30" s="198">
        <f>SUMIFS('июнь 2023'!$G$4:$G$886,'июнь 2023'!$D$4:$D$886,$B30,'июнь 2023'!$J$4:$J$886,AH$1)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SUMIFS('июнь 2023'!$G$4:$G$886,'июнь 2023'!$D$4:$D$886,$B31,'июнь 2023'!$J$4:$J$886,D$1)</f>
        <v>0</v>
      </c>
      <c r="E31" s="207">
        <f>SUMIFS('июнь 2023'!$G$4:$G$886,'июнь 2023'!$D$4:$D$886,$B31,'июнь 2023'!$J$4:$J$886,E$1)</f>
        <v>0</v>
      </c>
      <c r="F31" s="207">
        <f>SUMIFS('июнь 2023'!$G$4:$G$886,'июнь 2023'!$D$4:$D$886,$B31,'июнь 2023'!$J$4:$J$886,F$1)</f>
        <v>0</v>
      </c>
      <c r="G31" s="207">
        <f>SUMIFS('июнь 2023'!$G$4:$G$886,'июнь 2023'!$D$4:$D$886,$B31,'июнь 2023'!$J$4:$J$886,G$1)</f>
        <v>0</v>
      </c>
      <c r="H31" s="207">
        <f>SUMIFS('июнь 2023'!$G$4:$G$886,'июнь 2023'!$D$4:$D$886,$B31,'июнь 2023'!$J$4:$J$886,H$1)</f>
        <v>0</v>
      </c>
      <c r="I31" s="207">
        <f>SUMIFS('июнь 2023'!$G$4:$G$886,'июнь 2023'!$D$4:$D$886,$B31,'июнь 2023'!$J$4:$J$886,I$1)</f>
        <v>0</v>
      </c>
      <c r="J31" s="207">
        <f>SUMIFS('июнь 2023'!$G$4:$G$886,'июнь 2023'!$D$4:$D$886,$B31,'июнь 2023'!$J$4:$J$886,J$1)</f>
        <v>0</v>
      </c>
      <c r="K31" s="207">
        <f>SUMIFS('июнь 2023'!$G$4:$G$886,'июнь 2023'!$D$4:$D$886,$B31,'июнь 2023'!$J$4:$J$886,K$1)</f>
        <v>0</v>
      </c>
      <c r="L31" s="207">
        <f>SUMIFS('июнь 2023'!$G$4:$G$886,'июнь 2023'!$D$4:$D$886,$B31,'июнь 2023'!$J$4:$J$886,L$1)</f>
        <v>0</v>
      </c>
      <c r="M31" s="207">
        <f>SUMIFS('июнь 2023'!$G$4:$G$886,'июнь 2023'!$D$4:$D$886,$B31,'июнь 2023'!$J$4:$J$886,M$1)</f>
        <v>0</v>
      </c>
      <c r="N31" s="207">
        <f>SUMIFS('июнь 2023'!$G$4:$G$886,'июнь 2023'!$D$4:$D$886,$B31,'июнь 2023'!$J$4:$J$886,N$1)</f>
        <v>0</v>
      </c>
      <c r="O31" s="207">
        <f>SUMIFS('июнь 2023'!$G$4:$G$886,'июнь 2023'!$D$4:$D$886,$B31,'июнь 2023'!$J$4:$J$886,O$1)</f>
        <v>0</v>
      </c>
      <c r="P31" s="207">
        <f>SUMIFS('июнь 2023'!$G$4:$G$886,'июнь 2023'!$D$4:$D$886,$B31,'июнь 2023'!$J$4:$J$886,P$1)</f>
        <v>0</v>
      </c>
      <c r="Q31" s="207">
        <f>SUMIFS('июнь 2023'!$G$4:$G$886,'июнь 2023'!$D$4:$D$886,$B31,'июнь 2023'!$J$4:$J$886,Q$1)</f>
        <v>0</v>
      </c>
      <c r="R31" s="207">
        <f>SUMIFS('июнь 2023'!$G$4:$G$886,'июнь 2023'!$D$4:$D$886,$B31,'июнь 2023'!$J$4:$J$886,R$1)</f>
        <v>0</v>
      </c>
      <c r="S31" s="207">
        <f>SUMIFS('июнь 2023'!$G$4:$G$886,'июнь 2023'!$D$4:$D$886,$B31,'июнь 2023'!$J$4:$J$886,S$1)</f>
        <v>0</v>
      </c>
      <c r="T31" s="207">
        <f>SUMIFS('июнь 2023'!$G$4:$G$886,'июнь 2023'!$D$4:$D$886,$B31,'июнь 2023'!$J$4:$J$886,T$1)</f>
        <v>0</v>
      </c>
      <c r="U31" s="207">
        <f>SUMIFS('июнь 2023'!$G$4:$G$886,'июнь 2023'!$D$4:$D$886,$B31,'июнь 2023'!$J$4:$J$886,U$1)</f>
        <v>0</v>
      </c>
      <c r="V31" s="207">
        <f>SUMIFS('июнь 2023'!$G$4:$G$886,'июнь 2023'!$D$4:$D$886,$B31,'июнь 2023'!$J$4:$J$886,V$1)</f>
        <v>0</v>
      </c>
      <c r="W31" s="207">
        <f>SUMIFS('июнь 2023'!$G$4:$G$886,'июнь 2023'!$D$4:$D$886,$B31,'июнь 2023'!$J$4:$J$886,W$1)</f>
        <v>0</v>
      </c>
      <c r="X31" s="207">
        <f>SUMIFS('июнь 2023'!$G$4:$G$886,'июнь 2023'!$D$4:$D$886,$B31,'июнь 2023'!$J$4:$J$886,X$1)</f>
        <v>0</v>
      </c>
      <c r="Y31" s="207">
        <f>SUMIFS('июнь 2023'!$G$4:$G$886,'июнь 2023'!$D$4:$D$886,$B31,'июнь 2023'!$J$4:$J$886,Y$1)</f>
        <v>0</v>
      </c>
      <c r="Z31" s="207">
        <f>SUMIFS('июнь 2023'!$G$4:$G$886,'июнь 2023'!$D$4:$D$886,$B31,'июнь 2023'!$J$4:$J$886,Z$1)</f>
        <v>0</v>
      </c>
      <c r="AA31" s="207">
        <f>SUMIFS('июнь 2023'!$G$4:$G$886,'июнь 2023'!$D$4:$D$886,$B31,'июнь 2023'!$J$4:$J$886,AA$1)</f>
        <v>0</v>
      </c>
      <c r="AB31" s="207">
        <f>SUMIFS('июнь 2023'!$G$4:$G$886,'июнь 2023'!$D$4:$D$886,$B31,'июнь 2023'!$J$4:$J$886,AB$1)</f>
        <v>0</v>
      </c>
      <c r="AC31" s="207">
        <f>SUMIFS('июнь 2023'!$G$4:$G$886,'июнь 2023'!$D$4:$D$886,$B31,'июнь 2023'!$J$4:$J$886,AC$1)</f>
        <v>0</v>
      </c>
      <c r="AD31" s="207">
        <f>SUMIFS('июнь 2023'!$G$4:$G$886,'июнь 2023'!$D$4:$D$886,$B31,'июнь 2023'!$J$4:$J$886,AD$1)</f>
        <v>0</v>
      </c>
      <c r="AE31" s="207">
        <f>SUMIFS('июнь 2023'!$G$4:$G$886,'июнь 2023'!$D$4:$D$886,$B31,'июнь 2023'!$J$4:$J$886,AE$1)</f>
        <v>0</v>
      </c>
      <c r="AF31" s="207">
        <f>SUMIFS('июнь 2023'!$G$4:$G$886,'июнь 2023'!$D$4:$D$886,$B31,'июнь 2023'!$J$4:$J$886,AF$1)</f>
        <v>0</v>
      </c>
      <c r="AG31" s="207">
        <f>SUMIFS('июнь 2023'!$G$4:$G$886,'июнь 2023'!$D$4:$D$886,$B31,'июнь 2023'!$J$4:$J$886,AG$1)</f>
        <v>0</v>
      </c>
      <c r="AH31" s="207">
        <f>SUMIFS('июнь 2023'!$G$4:$G$886,'июнь 2023'!$D$4:$D$886,$B31,'июнь 2023'!$J$4:$J$886,AH$1)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SUMIFS('июнь 2023'!$G$4:$G$886,'июнь 2023'!$D$4:$D$886,$B32,'июнь 2023'!$J$4:$J$886,D$1)</f>
        <v>0</v>
      </c>
      <c r="E32" s="207">
        <f>SUMIFS('июнь 2023'!$G$4:$G$886,'июнь 2023'!$D$4:$D$886,$B32,'июнь 2023'!$J$4:$J$886,E$1)</f>
        <v>0</v>
      </c>
      <c r="F32" s="207">
        <f>SUMIFS('июнь 2023'!$G$4:$G$886,'июнь 2023'!$D$4:$D$886,$B32,'июнь 2023'!$J$4:$J$886,F$1)</f>
        <v>0</v>
      </c>
      <c r="G32" s="207">
        <f>SUMIFS('июнь 2023'!$G$4:$G$886,'июнь 2023'!$D$4:$D$886,$B32,'июнь 2023'!$J$4:$J$886,G$1)</f>
        <v>0</v>
      </c>
      <c r="H32" s="207">
        <f>SUMIFS('июнь 2023'!$G$4:$G$886,'июнь 2023'!$D$4:$D$886,$B32,'июнь 2023'!$J$4:$J$886,H$1)</f>
        <v>0</v>
      </c>
      <c r="I32" s="207">
        <f>SUMIFS('июнь 2023'!$G$4:$G$886,'июнь 2023'!$D$4:$D$886,$B32,'июнь 2023'!$J$4:$J$886,I$1)</f>
        <v>0</v>
      </c>
      <c r="J32" s="207">
        <f>SUMIFS('июнь 2023'!$G$4:$G$886,'июнь 2023'!$D$4:$D$886,$B32,'июнь 2023'!$J$4:$J$886,J$1)</f>
        <v>0</v>
      </c>
      <c r="K32" s="207">
        <f>SUMIFS('июнь 2023'!$G$4:$G$886,'июнь 2023'!$D$4:$D$886,$B32,'июнь 2023'!$J$4:$J$886,K$1)</f>
        <v>0</v>
      </c>
      <c r="L32" s="207">
        <f>SUMIFS('июнь 2023'!$G$4:$G$886,'июнь 2023'!$D$4:$D$886,$B32,'июнь 2023'!$J$4:$J$886,L$1)</f>
        <v>0</v>
      </c>
      <c r="M32" s="207">
        <f>SUMIFS('июнь 2023'!$G$4:$G$886,'июнь 2023'!$D$4:$D$886,$B32,'июнь 2023'!$J$4:$J$886,M$1)</f>
        <v>0</v>
      </c>
      <c r="N32" s="207">
        <f>SUMIFS('июнь 2023'!$G$4:$G$886,'июнь 2023'!$D$4:$D$886,$B32,'июнь 2023'!$J$4:$J$886,N$1)</f>
        <v>0</v>
      </c>
      <c r="O32" s="207">
        <f>SUMIFS('июнь 2023'!$G$4:$G$886,'июнь 2023'!$D$4:$D$886,$B32,'июнь 2023'!$J$4:$J$886,O$1)</f>
        <v>0</v>
      </c>
      <c r="P32" s="207">
        <f>SUMIFS('июнь 2023'!$G$4:$G$886,'июнь 2023'!$D$4:$D$886,$B32,'июнь 2023'!$J$4:$J$886,P$1)</f>
        <v>0</v>
      </c>
      <c r="Q32" s="207">
        <f>SUMIFS('июнь 2023'!$G$4:$G$886,'июнь 2023'!$D$4:$D$886,$B32,'июнь 2023'!$J$4:$J$886,Q$1)</f>
        <v>0</v>
      </c>
      <c r="R32" s="207">
        <f>SUMIFS('июнь 2023'!$G$4:$G$886,'июнь 2023'!$D$4:$D$886,$B32,'июнь 2023'!$J$4:$J$886,R$1)</f>
        <v>0</v>
      </c>
      <c r="S32" s="207">
        <f>SUMIFS('июнь 2023'!$G$4:$G$886,'июнь 2023'!$D$4:$D$886,$B32,'июнь 2023'!$J$4:$J$886,S$1)</f>
        <v>0</v>
      </c>
      <c r="T32" s="207">
        <f>SUMIFS('июнь 2023'!$G$4:$G$886,'июнь 2023'!$D$4:$D$886,$B32,'июнь 2023'!$J$4:$J$886,T$1)</f>
        <v>0</v>
      </c>
      <c r="U32" s="207">
        <f>SUMIFS('июнь 2023'!$G$4:$G$886,'июнь 2023'!$D$4:$D$886,$B32,'июнь 2023'!$J$4:$J$886,U$1)</f>
        <v>0</v>
      </c>
      <c r="V32" s="207">
        <f>SUMIFS('июнь 2023'!$G$4:$G$886,'июнь 2023'!$D$4:$D$886,$B32,'июнь 2023'!$J$4:$J$886,V$1)</f>
        <v>0</v>
      </c>
      <c r="W32" s="207">
        <f>SUMIFS('июнь 2023'!$G$4:$G$886,'июнь 2023'!$D$4:$D$886,$B32,'июнь 2023'!$J$4:$J$886,W$1)</f>
        <v>0</v>
      </c>
      <c r="X32" s="207">
        <f>SUMIFS('июнь 2023'!$G$4:$G$886,'июнь 2023'!$D$4:$D$886,$B32,'июнь 2023'!$J$4:$J$886,X$1)</f>
        <v>0</v>
      </c>
      <c r="Y32" s="207">
        <f>SUMIFS('июнь 2023'!$G$4:$G$886,'июнь 2023'!$D$4:$D$886,$B32,'июнь 2023'!$J$4:$J$886,Y$1)</f>
        <v>0</v>
      </c>
      <c r="Z32" s="207">
        <f>SUMIFS('июнь 2023'!$G$4:$G$886,'июнь 2023'!$D$4:$D$886,$B32,'июнь 2023'!$J$4:$J$886,Z$1)</f>
        <v>0</v>
      </c>
      <c r="AA32" s="207">
        <f>SUMIFS('июнь 2023'!$G$4:$G$886,'июнь 2023'!$D$4:$D$886,$B32,'июнь 2023'!$J$4:$J$886,AA$1)</f>
        <v>0</v>
      </c>
      <c r="AB32" s="207">
        <f>SUMIFS('июнь 2023'!$G$4:$G$886,'июнь 2023'!$D$4:$D$886,$B32,'июнь 2023'!$J$4:$J$886,AB$1)</f>
        <v>0</v>
      </c>
      <c r="AC32" s="207">
        <f>SUMIFS('июнь 2023'!$G$4:$G$886,'июнь 2023'!$D$4:$D$886,$B32,'июнь 2023'!$J$4:$J$886,AC$1)</f>
        <v>0</v>
      </c>
      <c r="AD32" s="207">
        <f>SUMIFS('июнь 2023'!$G$4:$G$886,'июнь 2023'!$D$4:$D$886,$B32,'июнь 2023'!$J$4:$J$886,AD$1)</f>
        <v>0</v>
      </c>
      <c r="AE32" s="207">
        <f>SUMIFS('июнь 2023'!$G$4:$G$886,'июнь 2023'!$D$4:$D$886,$B32,'июнь 2023'!$J$4:$J$886,AE$1)</f>
        <v>0</v>
      </c>
      <c r="AF32" s="207">
        <f>SUMIFS('июнь 2023'!$G$4:$G$886,'июнь 2023'!$D$4:$D$886,$B32,'июнь 2023'!$J$4:$J$886,AF$1)</f>
        <v>0</v>
      </c>
      <c r="AG32" s="207">
        <f>SUMIFS('июнь 2023'!$G$4:$G$886,'июнь 2023'!$D$4:$D$886,$B32,'июнь 2023'!$J$4:$J$886,AG$1)</f>
        <v>0</v>
      </c>
      <c r="AH32" s="207">
        <f>SUMIFS('июнь 2023'!$G$4:$G$886,'июнь 2023'!$D$4:$D$886,$B32,'июнь 2023'!$J$4:$J$886,AH$1)</f>
        <v>0</v>
      </c>
      <c r="AI32" s="170">
        <f t="shared" si="1"/>
        <v>0</v>
      </c>
    </row>
    <row r="33" spans="2:35" ht="15" customHeight="1" x14ac:dyDescent="0.25">
      <c r="B33" s="209" t="s">
        <v>1344</v>
      </c>
      <c r="C33" s="206">
        <v>20</v>
      </c>
      <c r="D33" s="207">
        <f>SUMIFS('июнь 2023'!$G$4:$G$886,'июнь 2023'!$D$4:$D$886,$B33,'июнь 2023'!$J$4:$J$886,D$1)</f>
        <v>0</v>
      </c>
      <c r="E33" s="207">
        <f>SUMIFS('июнь 2023'!$G$4:$G$886,'июнь 2023'!$D$4:$D$886,$B33,'июнь 2023'!$J$4:$J$886,E$1)</f>
        <v>0</v>
      </c>
      <c r="F33" s="207">
        <f>SUMIFS('июнь 2023'!$G$4:$G$886,'июнь 2023'!$D$4:$D$886,$B33,'июнь 2023'!$J$4:$J$886,F$1)</f>
        <v>0</v>
      </c>
      <c r="G33" s="207">
        <f>SUMIFS('июнь 2023'!$G$4:$G$886,'июнь 2023'!$D$4:$D$886,$B33,'июнь 2023'!$J$4:$J$886,G$1)</f>
        <v>0</v>
      </c>
      <c r="H33" s="207">
        <f>SUMIFS('июнь 2023'!$G$4:$G$886,'июнь 2023'!$D$4:$D$886,$B33,'июнь 2023'!$J$4:$J$886,H$1)</f>
        <v>0</v>
      </c>
      <c r="I33" s="207">
        <f>SUMIFS('июнь 2023'!$G$4:$G$886,'июнь 2023'!$D$4:$D$886,$B33,'июнь 2023'!$J$4:$J$886,I$1)</f>
        <v>0</v>
      </c>
      <c r="J33" s="207">
        <f>SUMIFS('июнь 2023'!$G$4:$G$886,'июнь 2023'!$D$4:$D$886,$B33,'июнь 2023'!$J$4:$J$886,J$1)</f>
        <v>0</v>
      </c>
      <c r="K33" s="207">
        <f>SUMIFS('июнь 2023'!$G$4:$G$886,'июнь 2023'!$D$4:$D$886,$B33,'июнь 2023'!$J$4:$J$886,K$1)</f>
        <v>0</v>
      </c>
      <c r="L33" s="207">
        <f>SUMIFS('июнь 2023'!$G$4:$G$886,'июнь 2023'!$D$4:$D$886,$B33,'июнь 2023'!$J$4:$J$886,L$1)</f>
        <v>0</v>
      </c>
      <c r="M33" s="207">
        <f>SUMIFS('июнь 2023'!$G$4:$G$886,'июнь 2023'!$D$4:$D$886,$B33,'июнь 2023'!$J$4:$J$886,M$1)</f>
        <v>0</v>
      </c>
      <c r="N33" s="207">
        <f>SUMIFS('июнь 2023'!$G$4:$G$886,'июнь 2023'!$D$4:$D$886,$B33,'июнь 2023'!$J$4:$J$886,N$1)</f>
        <v>0</v>
      </c>
      <c r="O33" s="207">
        <f>SUMIFS('июнь 2023'!$G$4:$G$886,'июнь 2023'!$D$4:$D$886,$B33,'июнь 2023'!$J$4:$J$886,O$1)</f>
        <v>0</v>
      </c>
      <c r="P33" s="207">
        <f>SUMIFS('июнь 2023'!$G$4:$G$886,'июнь 2023'!$D$4:$D$886,$B33,'июнь 2023'!$J$4:$J$886,P$1)</f>
        <v>0</v>
      </c>
      <c r="Q33" s="207">
        <f>SUMIFS('июнь 2023'!$G$4:$G$886,'июнь 2023'!$D$4:$D$886,$B33,'июнь 2023'!$J$4:$J$886,Q$1)</f>
        <v>0</v>
      </c>
      <c r="R33" s="207">
        <f>SUMIFS('июнь 2023'!$G$4:$G$886,'июнь 2023'!$D$4:$D$886,$B33,'июнь 2023'!$J$4:$J$886,R$1)</f>
        <v>0</v>
      </c>
      <c r="S33" s="207">
        <f>SUMIFS('июнь 2023'!$G$4:$G$886,'июнь 2023'!$D$4:$D$886,$B33,'июнь 2023'!$J$4:$J$886,S$1)</f>
        <v>0</v>
      </c>
      <c r="T33" s="207">
        <f>SUMIFS('июнь 2023'!$G$4:$G$886,'июнь 2023'!$D$4:$D$886,$B33,'июнь 2023'!$J$4:$J$886,T$1)</f>
        <v>0</v>
      </c>
      <c r="U33" s="207">
        <f>SUMIFS('июнь 2023'!$G$4:$G$886,'июнь 2023'!$D$4:$D$886,$B33,'июнь 2023'!$J$4:$J$886,U$1)</f>
        <v>0</v>
      </c>
      <c r="V33" s="207">
        <f>SUMIFS('июнь 2023'!$G$4:$G$886,'июнь 2023'!$D$4:$D$886,$B33,'июнь 2023'!$J$4:$J$886,V$1)</f>
        <v>0</v>
      </c>
      <c r="W33" s="207">
        <f>SUMIFS('июнь 2023'!$G$4:$G$886,'июнь 2023'!$D$4:$D$886,$B33,'июнь 2023'!$J$4:$J$886,W$1)</f>
        <v>0</v>
      </c>
      <c r="X33" s="207">
        <f>SUMIFS('июнь 2023'!$G$4:$G$886,'июнь 2023'!$D$4:$D$886,$B33,'июнь 2023'!$J$4:$J$886,X$1)</f>
        <v>0</v>
      </c>
      <c r="Y33" s="207">
        <f>SUMIFS('июнь 2023'!$G$4:$G$886,'июнь 2023'!$D$4:$D$886,$B33,'июнь 2023'!$J$4:$J$886,Y$1)</f>
        <v>0</v>
      </c>
      <c r="Z33" s="207">
        <f>SUMIFS('июнь 2023'!$G$4:$G$886,'июнь 2023'!$D$4:$D$886,$B33,'июнь 2023'!$J$4:$J$886,Z$1)</f>
        <v>0</v>
      </c>
      <c r="AA33" s="207">
        <f>SUMIFS('июнь 2023'!$G$4:$G$886,'июнь 2023'!$D$4:$D$886,$B33,'июнь 2023'!$J$4:$J$886,AA$1)</f>
        <v>0</v>
      </c>
      <c r="AB33" s="207">
        <f>SUMIFS('июнь 2023'!$G$4:$G$886,'июнь 2023'!$D$4:$D$886,$B33,'июнь 2023'!$J$4:$J$886,AB$1)</f>
        <v>0</v>
      </c>
      <c r="AC33" s="207">
        <f>SUMIFS('июнь 2023'!$G$4:$G$886,'июнь 2023'!$D$4:$D$886,$B33,'июнь 2023'!$J$4:$J$886,AC$1)</f>
        <v>0</v>
      </c>
      <c r="AD33" s="207">
        <f>SUMIFS('июнь 2023'!$G$4:$G$886,'июнь 2023'!$D$4:$D$886,$B33,'июнь 2023'!$J$4:$J$886,AD$1)</f>
        <v>0</v>
      </c>
      <c r="AE33" s="207">
        <f>SUMIFS('июнь 2023'!$G$4:$G$886,'июнь 2023'!$D$4:$D$886,$B33,'июнь 2023'!$J$4:$J$886,AE$1)</f>
        <v>0</v>
      </c>
      <c r="AF33" s="207">
        <f>SUMIFS('июнь 2023'!$G$4:$G$886,'июнь 2023'!$D$4:$D$886,$B33,'июнь 2023'!$J$4:$J$886,AF$1)</f>
        <v>0</v>
      </c>
      <c r="AG33" s="207">
        <f>SUMIFS('июнь 2023'!$G$4:$G$886,'июнь 2023'!$D$4:$D$886,$B33,'июнь 2023'!$J$4:$J$886,AG$1)</f>
        <v>0</v>
      </c>
      <c r="AH33" s="207">
        <f>SUMIFS('июнь 2023'!$G$4:$G$886,'июнь 2023'!$D$4:$D$886,$B33,'июнь 2023'!$J$4:$J$886,AH$1)</f>
        <v>0</v>
      </c>
      <c r="AI33" s="170">
        <f t="shared" si="1"/>
        <v>0</v>
      </c>
    </row>
    <row r="34" spans="2:35" ht="15" customHeight="1" x14ac:dyDescent="0.25">
      <c r="B34" s="210" t="s">
        <v>754</v>
      </c>
      <c r="C34" s="211">
        <v>20</v>
      </c>
      <c r="D34" s="207">
        <f>SUMIFS('июнь 2023'!$G$4:$G$886,'июнь 2023'!$D$4:$D$886,$B34,'июнь 2023'!$J$4:$J$886,D$1)</f>
        <v>0</v>
      </c>
      <c r="E34" s="207">
        <f>SUMIFS('июнь 2023'!$G$4:$G$886,'июнь 2023'!$D$4:$D$886,$B34,'июнь 2023'!$J$4:$J$886,E$1)</f>
        <v>0</v>
      </c>
      <c r="F34" s="207">
        <f>SUMIFS('июнь 2023'!$G$4:$G$886,'июнь 2023'!$D$4:$D$886,$B34,'июнь 2023'!$J$4:$J$886,F$1)</f>
        <v>0</v>
      </c>
      <c r="G34" s="207">
        <f>SUMIFS('июнь 2023'!$G$4:$G$886,'июнь 2023'!$D$4:$D$886,$B34,'июнь 2023'!$J$4:$J$886,G$1)</f>
        <v>0</v>
      </c>
      <c r="H34" s="207">
        <f>SUMIFS('июнь 2023'!$G$4:$G$886,'июнь 2023'!$D$4:$D$886,$B34,'июнь 2023'!$J$4:$J$886,H$1)</f>
        <v>0</v>
      </c>
      <c r="I34" s="207">
        <f>SUMIFS('июнь 2023'!$G$4:$G$886,'июнь 2023'!$D$4:$D$886,$B34,'июнь 2023'!$J$4:$J$886,I$1)</f>
        <v>0</v>
      </c>
      <c r="J34" s="207">
        <f>SUMIFS('июнь 2023'!$G$4:$G$886,'июнь 2023'!$D$4:$D$886,$B34,'июнь 2023'!$J$4:$J$886,J$1)</f>
        <v>0</v>
      </c>
      <c r="K34" s="207">
        <f>SUMIFS('июнь 2023'!$G$4:$G$886,'июнь 2023'!$D$4:$D$886,$B34,'июнь 2023'!$J$4:$J$886,K$1)</f>
        <v>0</v>
      </c>
      <c r="L34" s="207">
        <f>SUMIFS('июнь 2023'!$G$4:$G$886,'июнь 2023'!$D$4:$D$886,$B34,'июнь 2023'!$J$4:$J$886,L$1)</f>
        <v>0</v>
      </c>
      <c r="M34" s="207">
        <f>SUMIFS('июнь 2023'!$G$4:$G$886,'июнь 2023'!$D$4:$D$886,$B34,'июнь 2023'!$J$4:$J$886,M$1)</f>
        <v>0</v>
      </c>
      <c r="N34" s="207">
        <f>SUMIFS('июнь 2023'!$G$4:$G$886,'июнь 2023'!$D$4:$D$886,$B34,'июнь 2023'!$J$4:$J$886,N$1)</f>
        <v>0</v>
      </c>
      <c r="O34" s="207">
        <f>SUMIFS('июнь 2023'!$G$4:$G$886,'июнь 2023'!$D$4:$D$886,$B34,'июнь 2023'!$J$4:$J$886,O$1)</f>
        <v>0</v>
      </c>
      <c r="P34" s="207">
        <f>SUMIFS('июнь 2023'!$G$4:$G$886,'июнь 2023'!$D$4:$D$886,$B34,'июнь 2023'!$J$4:$J$886,P$1)</f>
        <v>0</v>
      </c>
      <c r="Q34" s="207">
        <f>SUMIFS('июнь 2023'!$G$4:$G$886,'июнь 2023'!$D$4:$D$886,$B34,'июнь 2023'!$J$4:$J$886,Q$1)</f>
        <v>0</v>
      </c>
      <c r="R34" s="207">
        <f>SUMIFS('июнь 2023'!$G$4:$G$886,'июнь 2023'!$D$4:$D$886,$B34,'июнь 2023'!$J$4:$J$886,R$1)</f>
        <v>0</v>
      </c>
      <c r="S34" s="207">
        <f>SUMIFS('июнь 2023'!$G$4:$G$886,'июнь 2023'!$D$4:$D$886,$B34,'июнь 2023'!$J$4:$J$886,S$1)</f>
        <v>0</v>
      </c>
      <c r="T34" s="207">
        <f>SUMIFS('июнь 2023'!$G$4:$G$886,'июнь 2023'!$D$4:$D$886,$B34,'июнь 2023'!$J$4:$J$886,T$1)</f>
        <v>0</v>
      </c>
      <c r="U34" s="207">
        <f>SUMIFS('июнь 2023'!$G$4:$G$886,'июнь 2023'!$D$4:$D$886,$B34,'июнь 2023'!$J$4:$J$886,U$1)</f>
        <v>0</v>
      </c>
      <c r="V34" s="207">
        <f>SUMIFS('июнь 2023'!$G$4:$G$886,'июнь 2023'!$D$4:$D$886,$B34,'июнь 2023'!$J$4:$J$886,V$1)</f>
        <v>0</v>
      </c>
      <c r="W34" s="207">
        <f>SUMIFS('июнь 2023'!$G$4:$G$886,'июнь 2023'!$D$4:$D$886,$B34,'июнь 2023'!$J$4:$J$886,W$1)</f>
        <v>0</v>
      </c>
      <c r="X34" s="207">
        <f>SUMIFS('июнь 2023'!$G$4:$G$886,'июнь 2023'!$D$4:$D$886,$B34,'июнь 2023'!$J$4:$J$886,X$1)</f>
        <v>0</v>
      </c>
      <c r="Y34" s="207">
        <f>SUMIFS('июнь 2023'!$G$4:$G$886,'июнь 2023'!$D$4:$D$886,$B34,'июнь 2023'!$J$4:$J$886,Y$1)</f>
        <v>0</v>
      </c>
      <c r="Z34" s="207">
        <f>SUMIFS('июнь 2023'!$G$4:$G$886,'июнь 2023'!$D$4:$D$886,$B34,'июнь 2023'!$J$4:$J$886,Z$1)</f>
        <v>0</v>
      </c>
      <c r="AA34" s="207">
        <f>SUMIFS('июнь 2023'!$G$4:$G$886,'июнь 2023'!$D$4:$D$886,$B34,'июнь 2023'!$J$4:$J$886,AA$1)</f>
        <v>0</v>
      </c>
      <c r="AB34" s="207">
        <f>SUMIFS('июнь 2023'!$G$4:$G$886,'июнь 2023'!$D$4:$D$886,$B34,'июнь 2023'!$J$4:$J$886,AB$1)</f>
        <v>0</v>
      </c>
      <c r="AC34" s="207">
        <f>SUMIFS('июнь 2023'!$G$4:$G$886,'июнь 2023'!$D$4:$D$886,$B34,'июнь 2023'!$J$4:$J$886,AC$1)</f>
        <v>0</v>
      </c>
      <c r="AD34" s="207">
        <f>SUMIFS('июнь 2023'!$G$4:$G$886,'июнь 2023'!$D$4:$D$886,$B34,'июнь 2023'!$J$4:$J$886,AD$1)</f>
        <v>0</v>
      </c>
      <c r="AE34" s="207">
        <f>SUMIFS('июнь 2023'!$G$4:$G$886,'июнь 2023'!$D$4:$D$886,$B34,'июнь 2023'!$J$4:$J$886,AE$1)</f>
        <v>0</v>
      </c>
      <c r="AF34" s="207">
        <f>SUMIFS('июнь 2023'!$G$4:$G$886,'июнь 2023'!$D$4:$D$886,$B34,'июнь 2023'!$J$4:$J$886,AF$1)</f>
        <v>0</v>
      </c>
      <c r="AG34" s="207">
        <f>SUMIFS('июнь 2023'!$G$4:$G$886,'июнь 2023'!$D$4:$D$886,$B34,'июнь 2023'!$J$4:$J$886,AG$1)</f>
        <v>0</v>
      </c>
      <c r="AH34" s="207">
        <f>SUMIFS('июнь 2023'!$G$4:$G$886,'июнь 2023'!$D$4:$D$886,$B34,'июнь 2023'!$J$4:$J$886,AH$1)</f>
        <v>0</v>
      </c>
      <c r="AI34" s="170">
        <f t="shared" si="1"/>
        <v>0</v>
      </c>
    </row>
    <row r="35" spans="2:35" ht="15" customHeight="1" x14ac:dyDescent="0.25">
      <c r="B35" s="212" t="s">
        <v>1256</v>
      </c>
      <c r="C35" s="213">
        <v>22.68</v>
      </c>
      <c r="D35" s="207">
        <f>SUMIFS('июнь 2023'!$G$4:$G$886,'июнь 2023'!$D$4:$D$886,$B35,'июнь 2023'!$J$4:$J$886,D$1)</f>
        <v>0</v>
      </c>
      <c r="E35" s="207">
        <f>SUMIFS('июнь 2023'!$G$4:$G$886,'июнь 2023'!$D$4:$D$886,$B35,'июнь 2023'!$J$4:$J$886,E$1)</f>
        <v>0</v>
      </c>
      <c r="F35" s="207">
        <f>SUMIFS('июнь 2023'!$G$4:$G$886,'июнь 2023'!$D$4:$D$886,$B35,'июнь 2023'!$J$4:$J$886,F$1)</f>
        <v>0</v>
      </c>
      <c r="G35" s="207">
        <f>SUMIFS('июнь 2023'!$G$4:$G$886,'июнь 2023'!$D$4:$D$886,$B35,'июнь 2023'!$J$4:$J$886,G$1)</f>
        <v>0</v>
      </c>
      <c r="H35" s="207">
        <f>SUMIFS('июнь 2023'!$G$4:$G$886,'июнь 2023'!$D$4:$D$886,$B35,'июнь 2023'!$J$4:$J$886,H$1)</f>
        <v>0</v>
      </c>
      <c r="I35" s="207">
        <f>SUMIFS('июнь 2023'!$G$4:$G$886,'июнь 2023'!$D$4:$D$886,$B35,'июнь 2023'!$J$4:$J$886,I$1)</f>
        <v>0</v>
      </c>
      <c r="J35" s="207">
        <f>SUMIFS('июнь 2023'!$G$4:$G$886,'июнь 2023'!$D$4:$D$886,$B35,'июнь 2023'!$J$4:$J$886,J$1)</f>
        <v>0</v>
      </c>
      <c r="K35" s="207">
        <f>SUMIFS('июнь 2023'!$G$4:$G$886,'июнь 2023'!$D$4:$D$886,$B35,'июнь 2023'!$J$4:$J$886,K$1)</f>
        <v>0</v>
      </c>
      <c r="L35" s="207">
        <f>SUMIFS('июнь 2023'!$G$4:$G$886,'июнь 2023'!$D$4:$D$886,$B35,'июнь 2023'!$J$4:$J$886,L$1)</f>
        <v>0</v>
      </c>
      <c r="M35" s="207">
        <f>SUMIFS('июнь 2023'!$G$4:$G$886,'июнь 2023'!$D$4:$D$886,$B35,'июнь 2023'!$J$4:$J$886,M$1)</f>
        <v>0</v>
      </c>
      <c r="N35" s="207">
        <f>SUMIFS('июнь 2023'!$G$4:$G$886,'июнь 2023'!$D$4:$D$886,$B35,'июнь 2023'!$J$4:$J$886,N$1)</f>
        <v>0</v>
      </c>
      <c r="O35" s="207">
        <f>SUMIFS('июнь 2023'!$G$4:$G$886,'июнь 2023'!$D$4:$D$886,$B35,'июнь 2023'!$J$4:$J$886,O$1)</f>
        <v>0</v>
      </c>
      <c r="P35" s="207">
        <f>SUMIFS('июнь 2023'!$G$4:$G$886,'июнь 2023'!$D$4:$D$886,$B35,'июнь 2023'!$J$4:$J$886,P$1)</f>
        <v>0</v>
      </c>
      <c r="Q35" s="207">
        <f>SUMIFS('июнь 2023'!$G$4:$G$886,'июнь 2023'!$D$4:$D$886,$B35,'июнь 2023'!$J$4:$J$886,Q$1)</f>
        <v>0</v>
      </c>
      <c r="R35" s="207">
        <f>SUMIFS('июнь 2023'!$G$4:$G$886,'июнь 2023'!$D$4:$D$886,$B35,'июнь 2023'!$J$4:$J$886,R$1)</f>
        <v>0</v>
      </c>
      <c r="S35" s="207">
        <f>SUMIFS('июнь 2023'!$G$4:$G$886,'июнь 2023'!$D$4:$D$886,$B35,'июнь 2023'!$J$4:$J$886,S$1)</f>
        <v>0</v>
      </c>
      <c r="T35" s="207">
        <f>SUMIFS('июнь 2023'!$G$4:$G$886,'июнь 2023'!$D$4:$D$886,$B35,'июнь 2023'!$J$4:$J$886,T$1)</f>
        <v>0</v>
      </c>
      <c r="U35" s="207">
        <f>SUMIFS('июнь 2023'!$G$4:$G$886,'июнь 2023'!$D$4:$D$886,$B35,'июнь 2023'!$J$4:$J$886,U$1)</f>
        <v>0</v>
      </c>
      <c r="V35" s="207">
        <f>SUMIFS('июнь 2023'!$G$4:$G$886,'июнь 2023'!$D$4:$D$886,$B35,'июнь 2023'!$J$4:$J$886,V$1)</f>
        <v>0</v>
      </c>
      <c r="W35" s="207">
        <f>SUMIFS('июнь 2023'!$G$4:$G$886,'июнь 2023'!$D$4:$D$886,$B35,'июнь 2023'!$J$4:$J$886,W$1)</f>
        <v>0</v>
      </c>
      <c r="X35" s="207">
        <f>SUMIFS('июнь 2023'!$G$4:$G$886,'июнь 2023'!$D$4:$D$886,$B35,'июнь 2023'!$J$4:$J$886,X$1)</f>
        <v>0</v>
      </c>
      <c r="Y35" s="207">
        <f>SUMIFS('июнь 2023'!$G$4:$G$886,'июнь 2023'!$D$4:$D$886,$B35,'июнь 2023'!$J$4:$J$886,Y$1)</f>
        <v>0</v>
      </c>
      <c r="Z35" s="207">
        <f>SUMIFS('июнь 2023'!$G$4:$G$886,'июнь 2023'!$D$4:$D$886,$B35,'июнь 2023'!$J$4:$J$886,Z$1)</f>
        <v>0</v>
      </c>
      <c r="AA35" s="207">
        <f>SUMIFS('июнь 2023'!$G$4:$G$886,'июнь 2023'!$D$4:$D$886,$B35,'июнь 2023'!$J$4:$J$886,AA$1)</f>
        <v>0</v>
      </c>
      <c r="AB35" s="207">
        <f>SUMIFS('июнь 2023'!$G$4:$G$886,'июнь 2023'!$D$4:$D$886,$B35,'июнь 2023'!$J$4:$J$886,AB$1)</f>
        <v>0</v>
      </c>
      <c r="AC35" s="207">
        <f>SUMIFS('июнь 2023'!$G$4:$G$886,'июнь 2023'!$D$4:$D$886,$B35,'июнь 2023'!$J$4:$J$886,AC$1)</f>
        <v>0</v>
      </c>
      <c r="AD35" s="207">
        <f>SUMIFS('июнь 2023'!$G$4:$G$886,'июнь 2023'!$D$4:$D$886,$B35,'июнь 2023'!$J$4:$J$886,AD$1)</f>
        <v>0</v>
      </c>
      <c r="AE35" s="207">
        <f>SUMIFS('июнь 2023'!$G$4:$G$886,'июнь 2023'!$D$4:$D$886,$B35,'июнь 2023'!$J$4:$J$886,AE$1)</f>
        <v>0</v>
      </c>
      <c r="AF35" s="207">
        <f>SUMIFS('июнь 2023'!$G$4:$G$886,'июнь 2023'!$D$4:$D$886,$B35,'июнь 2023'!$J$4:$J$886,AF$1)</f>
        <v>0</v>
      </c>
      <c r="AG35" s="207">
        <f>SUMIFS('июнь 2023'!$G$4:$G$886,'июнь 2023'!$D$4:$D$886,$B35,'июнь 2023'!$J$4:$J$886,AG$1)</f>
        <v>0</v>
      </c>
      <c r="AH35" s="207">
        <f>SUMIFS('июнь 2023'!$G$4:$G$886,'июнь 2023'!$D$4:$D$886,$B35,'июнь 2023'!$J$4:$J$886,AH$1)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4">
        <v>22.68</v>
      </c>
      <c r="D36" s="207">
        <f>SUMIFS('июнь 2023'!$G$4:$G$886,'июнь 2023'!$D$4:$D$886,$B36,'июнь 2023'!$J$4:$J$886,D$1)</f>
        <v>0</v>
      </c>
      <c r="E36" s="207">
        <f>SUMIFS('июнь 2023'!$G$4:$G$886,'июнь 2023'!$D$4:$D$886,$B36,'июнь 2023'!$J$4:$J$886,E$1)</f>
        <v>0</v>
      </c>
      <c r="F36" s="207">
        <f>SUMIFS('июнь 2023'!$G$4:$G$886,'июнь 2023'!$D$4:$D$886,$B36,'июнь 2023'!$J$4:$J$886,F$1)</f>
        <v>0</v>
      </c>
      <c r="G36" s="207">
        <f>SUMIFS('июнь 2023'!$G$4:$G$886,'июнь 2023'!$D$4:$D$886,$B36,'июнь 2023'!$J$4:$J$886,G$1)</f>
        <v>0</v>
      </c>
      <c r="H36" s="207">
        <f>SUMIFS('июнь 2023'!$G$4:$G$886,'июнь 2023'!$D$4:$D$886,$B36,'июнь 2023'!$J$4:$J$886,H$1)</f>
        <v>800</v>
      </c>
      <c r="I36" s="207">
        <f>SUMIFS('июнь 2023'!$G$4:$G$886,'июнь 2023'!$D$4:$D$886,$B36,'июнь 2023'!$J$4:$J$886,I$1)</f>
        <v>0</v>
      </c>
      <c r="J36" s="207">
        <f>SUMIFS('июнь 2023'!$G$4:$G$886,'июнь 2023'!$D$4:$D$886,$B36,'июнь 2023'!$J$4:$J$886,J$1)</f>
        <v>0</v>
      </c>
      <c r="K36" s="207">
        <f>SUMIFS('июнь 2023'!$G$4:$G$886,'июнь 2023'!$D$4:$D$886,$B36,'июнь 2023'!$J$4:$J$886,K$1)</f>
        <v>0</v>
      </c>
      <c r="L36" s="207">
        <f>SUMIFS('июнь 2023'!$G$4:$G$886,'июнь 2023'!$D$4:$D$886,$B36,'июнь 2023'!$J$4:$J$886,L$1)</f>
        <v>0</v>
      </c>
      <c r="M36" s="207">
        <f>SUMIFS('июнь 2023'!$G$4:$G$886,'июнь 2023'!$D$4:$D$886,$B36,'июнь 2023'!$J$4:$J$886,M$1)</f>
        <v>0</v>
      </c>
      <c r="N36" s="207">
        <f>SUMIFS('июнь 2023'!$G$4:$G$886,'июнь 2023'!$D$4:$D$886,$B36,'июнь 2023'!$J$4:$J$886,N$1)</f>
        <v>0</v>
      </c>
      <c r="O36" s="207">
        <f>SUMIFS('июнь 2023'!$G$4:$G$886,'июнь 2023'!$D$4:$D$886,$B36,'июнь 2023'!$J$4:$J$886,O$1)</f>
        <v>0</v>
      </c>
      <c r="P36" s="207">
        <f>SUMIFS('июнь 2023'!$G$4:$G$886,'июнь 2023'!$D$4:$D$886,$B36,'июнь 2023'!$J$4:$J$886,P$1)</f>
        <v>0</v>
      </c>
      <c r="Q36" s="207">
        <f>SUMIFS('июнь 2023'!$G$4:$G$886,'июнь 2023'!$D$4:$D$886,$B36,'июнь 2023'!$J$4:$J$886,Q$1)</f>
        <v>0</v>
      </c>
      <c r="R36" s="207">
        <f>SUMIFS('июнь 2023'!$G$4:$G$886,'июнь 2023'!$D$4:$D$886,$B36,'июнь 2023'!$J$4:$J$886,R$1)</f>
        <v>0</v>
      </c>
      <c r="S36" s="207">
        <f>SUMIFS('июнь 2023'!$G$4:$G$886,'июнь 2023'!$D$4:$D$886,$B36,'июнь 2023'!$J$4:$J$886,S$1)</f>
        <v>0</v>
      </c>
      <c r="T36" s="207">
        <f>SUMIFS('июнь 2023'!$G$4:$G$886,'июнь 2023'!$D$4:$D$886,$B36,'июнь 2023'!$J$4:$J$886,T$1)</f>
        <v>0</v>
      </c>
      <c r="U36" s="207">
        <f>SUMIFS('июнь 2023'!$G$4:$G$886,'июнь 2023'!$D$4:$D$886,$B36,'июнь 2023'!$J$4:$J$886,U$1)</f>
        <v>0</v>
      </c>
      <c r="V36" s="207">
        <f>SUMIFS('июнь 2023'!$G$4:$G$886,'июнь 2023'!$D$4:$D$886,$B36,'июнь 2023'!$J$4:$J$886,V$1)</f>
        <v>0</v>
      </c>
      <c r="W36" s="207">
        <f>SUMIFS('июнь 2023'!$G$4:$G$886,'июнь 2023'!$D$4:$D$886,$B36,'июнь 2023'!$J$4:$J$886,W$1)</f>
        <v>0</v>
      </c>
      <c r="X36" s="207">
        <f>SUMIFS('июнь 2023'!$G$4:$G$886,'июнь 2023'!$D$4:$D$886,$B36,'июнь 2023'!$J$4:$J$886,X$1)</f>
        <v>0</v>
      </c>
      <c r="Y36" s="207">
        <f>SUMIFS('июнь 2023'!$G$4:$G$886,'июнь 2023'!$D$4:$D$886,$B36,'июнь 2023'!$J$4:$J$886,Y$1)</f>
        <v>0</v>
      </c>
      <c r="Z36" s="207">
        <f>SUMIFS('июнь 2023'!$G$4:$G$886,'июнь 2023'!$D$4:$D$886,$B36,'июнь 2023'!$J$4:$J$886,Z$1)</f>
        <v>0</v>
      </c>
      <c r="AA36" s="207">
        <f>SUMIFS('июнь 2023'!$G$4:$G$886,'июнь 2023'!$D$4:$D$886,$B36,'июнь 2023'!$J$4:$J$886,AA$1)</f>
        <v>0</v>
      </c>
      <c r="AB36" s="207">
        <f>SUMIFS('июнь 2023'!$G$4:$G$886,'июнь 2023'!$D$4:$D$886,$B36,'июнь 2023'!$J$4:$J$886,AB$1)</f>
        <v>0</v>
      </c>
      <c r="AC36" s="207">
        <f>SUMIFS('июнь 2023'!$G$4:$G$886,'июнь 2023'!$D$4:$D$886,$B36,'июнь 2023'!$J$4:$J$886,AC$1)</f>
        <v>0</v>
      </c>
      <c r="AD36" s="207">
        <f>SUMIFS('июнь 2023'!$G$4:$G$886,'июнь 2023'!$D$4:$D$886,$B36,'июнь 2023'!$J$4:$J$886,AD$1)</f>
        <v>0</v>
      </c>
      <c r="AE36" s="207">
        <f>SUMIFS('июнь 2023'!$G$4:$G$886,'июнь 2023'!$D$4:$D$886,$B36,'июнь 2023'!$J$4:$J$886,AE$1)</f>
        <v>0</v>
      </c>
      <c r="AF36" s="207">
        <f>SUMIFS('июнь 2023'!$G$4:$G$886,'июнь 2023'!$D$4:$D$886,$B36,'июнь 2023'!$J$4:$J$886,AF$1)</f>
        <v>0</v>
      </c>
      <c r="AG36" s="207">
        <f>SUMIFS('июнь 2023'!$G$4:$G$886,'июнь 2023'!$D$4:$D$886,$B36,'июнь 2023'!$J$4:$J$886,AG$1)</f>
        <v>0</v>
      </c>
      <c r="AH36" s="207">
        <f>SUMIFS('июнь 2023'!$G$4:$G$886,'июнь 2023'!$D$4:$D$886,$B36,'июнь 2023'!$J$4:$J$886,AH$1)</f>
        <v>0</v>
      </c>
      <c r="AI36" s="170">
        <f t="shared" si="1"/>
        <v>800</v>
      </c>
    </row>
    <row r="37" spans="2:35" ht="15" customHeight="1" x14ac:dyDescent="0.25">
      <c r="B37" s="212" t="s">
        <v>492</v>
      </c>
      <c r="C37" s="215">
        <v>25</v>
      </c>
      <c r="D37" s="207">
        <f>SUMIFS('июнь 2023'!$G$4:$G$886,'июнь 2023'!$D$4:$D$886,$B37,'июнь 2023'!$J$4:$J$886,D$1)</f>
        <v>800</v>
      </c>
      <c r="E37" s="207">
        <f>SUMIFS('июнь 2023'!$G$4:$G$886,'июнь 2023'!$D$4:$D$886,$B37,'июнь 2023'!$J$4:$J$886,E$1)</f>
        <v>0</v>
      </c>
      <c r="F37" s="207">
        <f>SUMIFS('июнь 2023'!$G$4:$G$886,'июнь 2023'!$D$4:$D$886,$B37,'июнь 2023'!$J$4:$J$886,F$1)</f>
        <v>0</v>
      </c>
      <c r="G37" s="207">
        <f>SUMIFS('июнь 2023'!$G$4:$G$886,'июнь 2023'!$D$4:$D$886,$B37,'июнь 2023'!$J$4:$J$886,G$1)</f>
        <v>0</v>
      </c>
      <c r="H37" s="207">
        <f>SUMIFS('июнь 2023'!$G$4:$G$886,'июнь 2023'!$D$4:$D$886,$B37,'июнь 2023'!$J$4:$J$886,H$1)</f>
        <v>0</v>
      </c>
      <c r="I37" s="207">
        <f>SUMIFS('июнь 2023'!$G$4:$G$886,'июнь 2023'!$D$4:$D$886,$B37,'июнь 2023'!$J$4:$J$886,I$1)</f>
        <v>0</v>
      </c>
      <c r="J37" s="207">
        <f>SUMIFS('июнь 2023'!$G$4:$G$886,'июнь 2023'!$D$4:$D$886,$B37,'июнь 2023'!$J$4:$J$886,J$1)</f>
        <v>0</v>
      </c>
      <c r="K37" s="207">
        <f>SUMIFS('июнь 2023'!$G$4:$G$886,'июнь 2023'!$D$4:$D$886,$B37,'июнь 2023'!$J$4:$J$886,K$1)</f>
        <v>0</v>
      </c>
      <c r="L37" s="207">
        <f>SUMIFS('июнь 2023'!$G$4:$G$886,'июнь 2023'!$D$4:$D$886,$B37,'июнь 2023'!$J$4:$J$886,L$1)</f>
        <v>0</v>
      </c>
      <c r="M37" s="207">
        <f>SUMIFS('июнь 2023'!$G$4:$G$886,'июнь 2023'!$D$4:$D$886,$B37,'июнь 2023'!$J$4:$J$886,M$1)</f>
        <v>0</v>
      </c>
      <c r="N37" s="207">
        <f>SUMIFS('июнь 2023'!$G$4:$G$886,'июнь 2023'!$D$4:$D$886,$B37,'июнь 2023'!$J$4:$J$886,N$1)</f>
        <v>0</v>
      </c>
      <c r="O37" s="207">
        <f>SUMIFS('июнь 2023'!$G$4:$G$886,'июнь 2023'!$D$4:$D$886,$B37,'июнь 2023'!$J$4:$J$886,O$1)</f>
        <v>0</v>
      </c>
      <c r="P37" s="207">
        <f>SUMIFS('июнь 2023'!$G$4:$G$886,'июнь 2023'!$D$4:$D$886,$B37,'июнь 2023'!$J$4:$J$886,P$1)</f>
        <v>0</v>
      </c>
      <c r="Q37" s="207">
        <f>SUMIFS('июнь 2023'!$G$4:$G$886,'июнь 2023'!$D$4:$D$886,$B37,'июнь 2023'!$J$4:$J$886,Q$1)</f>
        <v>0</v>
      </c>
      <c r="R37" s="207">
        <f>SUMIFS('июнь 2023'!$G$4:$G$886,'июнь 2023'!$D$4:$D$886,$B37,'июнь 2023'!$J$4:$J$886,R$1)</f>
        <v>0</v>
      </c>
      <c r="S37" s="207">
        <f>SUMIFS('июнь 2023'!$G$4:$G$886,'июнь 2023'!$D$4:$D$886,$B37,'июнь 2023'!$J$4:$J$886,S$1)</f>
        <v>0</v>
      </c>
      <c r="T37" s="207">
        <f>SUMIFS('июнь 2023'!$G$4:$G$886,'июнь 2023'!$D$4:$D$886,$B37,'июнь 2023'!$J$4:$J$886,T$1)</f>
        <v>0</v>
      </c>
      <c r="U37" s="207">
        <f>SUMIFS('июнь 2023'!$G$4:$G$886,'июнь 2023'!$D$4:$D$886,$B37,'июнь 2023'!$J$4:$J$886,U$1)</f>
        <v>0</v>
      </c>
      <c r="V37" s="207">
        <f>SUMIFS('июнь 2023'!$G$4:$G$886,'июнь 2023'!$D$4:$D$886,$B37,'июнь 2023'!$J$4:$J$886,V$1)</f>
        <v>0</v>
      </c>
      <c r="W37" s="207">
        <f>SUMIFS('июнь 2023'!$G$4:$G$886,'июнь 2023'!$D$4:$D$886,$B37,'июнь 2023'!$J$4:$J$886,W$1)</f>
        <v>0</v>
      </c>
      <c r="X37" s="207">
        <f>SUMIFS('июнь 2023'!$G$4:$G$886,'июнь 2023'!$D$4:$D$886,$B37,'июнь 2023'!$J$4:$J$886,X$1)</f>
        <v>0</v>
      </c>
      <c r="Y37" s="207">
        <f>SUMIFS('июнь 2023'!$G$4:$G$886,'июнь 2023'!$D$4:$D$886,$B37,'июнь 2023'!$J$4:$J$886,Y$1)</f>
        <v>0</v>
      </c>
      <c r="Z37" s="207">
        <f>SUMIFS('июнь 2023'!$G$4:$G$886,'июнь 2023'!$D$4:$D$886,$B37,'июнь 2023'!$J$4:$J$886,Z$1)</f>
        <v>0</v>
      </c>
      <c r="AA37" s="207">
        <f>SUMIFS('июнь 2023'!$G$4:$G$886,'июнь 2023'!$D$4:$D$886,$B37,'июнь 2023'!$J$4:$J$886,AA$1)</f>
        <v>0</v>
      </c>
      <c r="AB37" s="207">
        <f>SUMIFS('июнь 2023'!$G$4:$G$886,'июнь 2023'!$D$4:$D$886,$B37,'июнь 2023'!$J$4:$J$886,AB$1)</f>
        <v>0</v>
      </c>
      <c r="AC37" s="207">
        <f>SUMIFS('июнь 2023'!$G$4:$G$886,'июнь 2023'!$D$4:$D$886,$B37,'июнь 2023'!$J$4:$J$886,AC$1)</f>
        <v>120</v>
      </c>
      <c r="AD37" s="207">
        <f>SUMIFS('июнь 2023'!$G$4:$G$886,'июнь 2023'!$D$4:$D$886,$B37,'июнь 2023'!$J$4:$J$886,AD$1)</f>
        <v>0</v>
      </c>
      <c r="AE37" s="207">
        <f>SUMIFS('июнь 2023'!$G$4:$G$886,'июнь 2023'!$D$4:$D$886,$B37,'июнь 2023'!$J$4:$J$886,AE$1)</f>
        <v>0</v>
      </c>
      <c r="AF37" s="207">
        <f>SUMIFS('июнь 2023'!$G$4:$G$886,'июнь 2023'!$D$4:$D$886,$B37,'июнь 2023'!$J$4:$J$886,AF$1)</f>
        <v>0</v>
      </c>
      <c r="AG37" s="207">
        <f>SUMIFS('июнь 2023'!$G$4:$G$886,'июнь 2023'!$D$4:$D$886,$B37,'июнь 2023'!$J$4:$J$886,AG$1)</f>
        <v>0</v>
      </c>
      <c r="AH37" s="207">
        <f>SUMIFS('июнь 2023'!$G$4:$G$886,'июнь 2023'!$D$4:$D$886,$B37,'июнь 2023'!$J$4:$J$886,AH$1)</f>
        <v>0</v>
      </c>
      <c r="AI37" s="170">
        <f t="shared" si="1"/>
        <v>920</v>
      </c>
    </row>
    <row r="38" spans="2:35" ht="15" customHeight="1" x14ac:dyDescent="0.25">
      <c r="B38" s="212" t="s">
        <v>1600</v>
      </c>
      <c r="C38" s="211">
        <v>25</v>
      </c>
      <c r="D38" s="207">
        <f>SUMIFS('июнь 2023'!$G$4:$G$886,'июнь 2023'!$D$4:$D$886,$B38,'июнь 2023'!$J$4:$J$886,D$1)</f>
        <v>0</v>
      </c>
      <c r="E38" s="207">
        <f>SUMIFS('июнь 2023'!$G$4:$G$886,'июнь 2023'!$D$4:$D$886,$B38,'июнь 2023'!$J$4:$J$886,E$1)</f>
        <v>0</v>
      </c>
      <c r="F38" s="207">
        <f>SUMIFS('июнь 2023'!$G$4:$G$886,'июнь 2023'!$D$4:$D$886,$B38,'июнь 2023'!$J$4:$J$886,F$1)</f>
        <v>0</v>
      </c>
      <c r="G38" s="207">
        <f>SUMIFS('июнь 2023'!$G$4:$G$886,'июнь 2023'!$D$4:$D$886,$B38,'июнь 2023'!$J$4:$J$886,G$1)</f>
        <v>0</v>
      </c>
      <c r="H38" s="207">
        <f>SUMIFS('июнь 2023'!$G$4:$G$886,'июнь 2023'!$D$4:$D$886,$B38,'июнь 2023'!$J$4:$J$886,H$1)</f>
        <v>0</v>
      </c>
      <c r="I38" s="207">
        <f>SUMIFS('июнь 2023'!$G$4:$G$886,'июнь 2023'!$D$4:$D$886,$B38,'июнь 2023'!$J$4:$J$886,I$1)</f>
        <v>0</v>
      </c>
      <c r="J38" s="207">
        <f>SUMIFS('июнь 2023'!$G$4:$G$886,'июнь 2023'!$D$4:$D$886,$B38,'июнь 2023'!$J$4:$J$886,J$1)</f>
        <v>0</v>
      </c>
      <c r="K38" s="207">
        <f>SUMIFS('июнь 2023'!$G$4:$G$886,'июнь 2023'!$D$4:$D$886,$B38,'июнь 2023'!$J$4:$J$886,K$1)</f>
        <v>0</v>
      </c>
      <c r="L38" s="207">
        <f>SUMIFS('июнь 2023'!$G$4:$G$886,'июнь 2023'!$D$4:$D$886,$B38,'июнь 2023'!$J$4:$J$886,L$1)</f>
        <v>0</v>
      </c>
      <c r="M38" s="207">
        <f>SUMIFS('июнь 2023'!$G$4:$G$886,'июнь 2023'!$D$4:$D$886,$B38,'июнь 2023'!$J$4:$J$886,M$1)</f>
        <v>0</v>
      </c>
      <c r="N38" s="207">
        <f>SUMIFS('июнь 2023'!$G$4:$G$886,'июнь 2023'!$D$4:$D$886,$B38,'июнь 2023'!$J$4:$J$886,N$1)</f>
        <v>0</v>
      </c>
      <c r="O38" s="207">
        <f>SUMIFS('июнь 2023'!$G$4:$G$886,'июнь 2023'!$D$4:$D$886,$B38,'июнь 2023'!$J$4:$J$886,O$1)</f>
        <v>0</v>
      </c>
      <c r="P38" s="207">
        <f>SUMIFS('июнь 2023'!$G$4:$G$886,'июнь 2023'!$D$4:$D$886,$B38,'июнь 2023'!$J$4:$J$886,P$1)</f>
        <v>0</v>
      </c>
      <c r="Q38" s="207">
        <f>SUMIFS('июнь 2023'!$G$4:$G$886,'июнь 2023'!$D$4:$D$886,$B38,'июнь 2023'!$J$4:$J$886,Q$1)</f>
        <v>0</v>
      </c>
      <c r="R38" s="207">
        <f>SUMIFS('июнь 2023'!$G$4:$G$886,'июнь 2023'!$D$4:$D$886,$B38,'июнь 2023'!$J$4:$J$886,R$1)</f>
        <v>0</v>
      </c>
      <c r="S38" s="207">
        <f>SUMIFS('июнь 2023'!$G$4:$G$886,'июнь 2023'!$D$4:$D$886,$B38,'июнь 2023'!$J$4:$J$886,S$1)</f>
        <v>0</v>
      </c>
      <c r="T38" s="207">
        <f>SUMIFS('июнь 2023'!$G$4:$G$886,'июнь 2023'!$D$4:$D$886,$B38,'июнь 2023'!$J$4:$J$886,T$1)</f>
        <v>0</v>
      </c>
      <c r="U38" s="207">
        <f>SUMIFS('июнь 2023'!$G$4:$G$886,'июнь 2023'!$D$4:$D$886,$B38,'июнь 2023'!$J$4:$J$886,U$1)</f>
        <v>0</v>
      </c>
      <c r="V38" s="207">
        <f>SUMIFS('июнь 2023'!$G$4:$G$886,'июнь 2023'!$D$4:$D$886,$B38,'июнь 2023'!$J$4:$J$886,V$1)</f>
        <v>0</v>
      </c>
      <c r="W38" s="207">
        <f>SUMIFS('июнь 2023'!$G$4:$G$886,'июнь 2023'!$D$4:$D$886,$B38,'июнь 2023'!$J$4:$J$886,W$1)</f>
        <v>0</v>
      </c>
      <c r="X38" s="207">
        <f>SUMIFS('июнь 2023'!$G$4:$G$886,'июнь 2023'!$D$4:$D$886,$B38,'июнь 2023'!$J$4:$J$886,X$1)</f>
        <v>0</v>
      </c>
      <c r="Y38" s="207">
        <f>SUMIFS('июнь 2023'!$G$4:$G$886,'июнь 2023'!$D$4:$D$886,$B38,'июнь 2023'!$J$4:$J$886,Y$1)</f>
        <v>0</v>
      </c>
      <c r="Z38" s="207">
        <f>SUMIFS('июнь 2023'!$G$4:$G$886,'июнь 2023'!$D$4:$D$886,$B38,'июнь 2023'!$J$4:$J$886,Z$1)</f>
        <v>0</v>
      </c>
      <c r="AA38" s="207">
        <f>SUMIFS('июнь 2023'!$G$4:$G$886,'июнь 2023'!$D$4:$D$886,$B38,'июнь 2023'!$J$4:$J$886,AA$1)</f>
        <v>0</v>
      </c>
      <c r="AB38" s="207">
        <f>SUMIFS('июнь 2023'!$G$4:$G$886,'июнь 2023'!$D$4:$D$886,$B38,'июнь 2023'!$J$4:$J$886,AB$1)</f>
        <v>0</v>
      </c>
      <c r="AC38" s="207">
        <f>SUMIFS('июнь 2023'!$G$4:$G$886,'июнь 2023'!$D$4:$D$886,$B38,'июнь 2023'!$J$4:$J$886,AC$1)</f>
        <v>0</v>
      </c>
      <c r="AD38" s="207">
        <f>SUMIFS('июнь 2023'!$G$4:$G$886,'июнь 2023'!$D$4:$D$886,$B38,'июнь 2023'!$J$4:$J$886,AD$1)</f>
        <v>0</v>
      </c>
      <c r="AE38" s="207">
        <f>SUMIFS('июнь 2023'!$G$4:$G$886,'июнь 2023'!$D$4:$D$886,$B38,'июнь 2023'!$J$4:$J$886,AE$1)</f>
        <v>0</v>
      </c>
      <c r="AF38" s="207">
        <f>SUMIFS('июнь 2023'!$G$4:$G$886,'июнь 2023'!$D$4:$D$886,$B38,'июнь 2023'!$J$4:$J$886,AF$1)</f>
        <v>0</v>
      </c>
      <c r="AG38" s="207">
        <f>SUMIFS('июнь 2023'!$G$4:$G$886,'июнь 2023'!$D$4:$D$886,$B38,'июнь 2023'!$J$4:$J$886,AG$1)</f>
        <v>0</v>
      </c>
      <c r="AH38" s="207">
        <f>SUMIFS('июнь 2023'!$G$4:$G$886,'июнь 2023'!$D$4:$D$886,$B38,'июнь 2023'!$J$4:$J$886,AH$1)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SUMIFS('июнь 2023'!$G$4:$G$886,'июнь 2023'!$D$4:$D$886,$B39,'июнь 2023'!$J$4:$J$886,D$1)</f>
        <v>0</v>
      </c>
      <c r="E39" s="207">
        <f>SUMIFS('июнь 2023'!$G$4:$G$886,'июнь 2023'!$D$4:$D$886,$B39,'июнь 2023'!$J$4:$J$886,E$1)</f>
        <v>0</v>
      </c>
      <c r="F39" s="207">
        <f>SUMIFS('июнь 2023'!$G$4:$G$886,'июнь 2023'!$D$4:$D$886,$B39,'июнь 2023'!$J$4:$J$886,F$1)</f>
        <v>0</v>
      </c>
      <c r="G39" s="207">
        <f>SUMIFS('июнь 2023'!$G$4:$G$886,'июнь 2023'!$D$4:$D$886,$B39,'июнь 2023'!$J$4:$J$886,G$1)</f>
        <v>0</v>
      </c>
      <c r="H39" s="207">
        <f>SUMIFS('июнь 2023'!$G$4:$G$886,'июнь 2023'!$D$4:$D$886,$B39,'июнь 2023'!$J$4:$J$886,H$1)</f>
        <v>0</v>
      </c>
      <c r="I39" s="207">
        <f>SUMIFS('июнь 2023'!$G$4:$G$886,'июнь 2023'!$D$4:$D$886,$B39,'июнь 2023'!$J$4:$J$886,I$1)</f>
        <v>0</v>
      </c>
      <c r="J39" s="207">
        <f>SUMIFS('июнь 2023'!$G$4:$G$886,'июнь 2023'!$D$4:$D$886,$B39,'июнь 2023'!$J$4:$J$886,J$1)</f>
        <v>0</v>
      </c>
      <c r="K39" s="207">
        <f>SUMIFS('июнь 2023'!$G$4:$G$886,'июнь 2023'!$D$4:$D$886,$B39,'июнь 2023'!$J$4:$J$886,K$1)</f>
        <v>0</v>
      </c>
      <c r="L39" s="207">
        <f>SUMIFS('июнь 2023'!$G$4:$G$886,'июнь 2023'!$D$4:$D$886,$B39,'июнь 2023'!$J$4:$J$886,L$1)</f>
        <v>0</v>
      </c>
      <c r="M39" s="207">
        <f>SUMIFS('июнь 2023'!$G$4:$G$886,'июнь 2023'!$D$4:$D$886,$B39,'июнь 2023'!$J$4:$J$886,M$1)</f>
        <v>0</v>
      </c>
      <c r="N39" s="207">
        <f>SUMIFS('июнь 2023'!$G$4:$G$886,'июнь 2023'!$D$4:$D$886,$B39,'июнь 2023'!$J$4:$J$886,N$1)</f>
        <v>0</v>
      </c>
      <c r="O39" s="207">
        <f>SUMIFS('июнь 2023'!$G$4:$G$886,'июнь 2023'!$D$4:$D$886,$B39,'июнь 2023'!$J$4:$J$886,O$1)</f>
        <v>0</v>
      </c>
      <c r="P39" s="207">
        <f>SUMIFS('июнь 2023'!$G$4:$G$886,'июнь 2023'!$D$4:$D$886,$B39,'июнь 2023'!$J$4:$J$886,P$1)</f>
        <v>0</v>
      </c>
      <c r="Q39" s="207">
        <f>SUMIFS('июнь 2023'!$G$4:$G$886,'июнь 2023'!$D$4:$D$886,$B39,'июнь 2023'!$J$4:$J$886,Q$1)</f>
        <v>0</v>
      </c>
      <c r="R39" s="207">
        <f>SUMIFS('июнь 2023'!$G$4:$G$886,'июнь 2023'!$D$4:$D$886,$B39,'июнь 2023'!$J$4:$J$886,R$1)</f>
        <v>0</v>
      </c>
      <c r="S39" s="207">
        <f>SUMIFS('июнь 2023'!$G$4:$G$886,'июнь 2023'!$D$4:$D$886,$B39,'июнь 2023'!$J$4:$J$886,S$1)</f>
        <v>0</v>
      </c>
      <c r="T39" s="207">
        <f>SUMIFS('июнь 2023'!$G$4:$G$886,'июнь 2023'!$D$4:$D$886,$B39,'июнь 2023'!$J$4:$J$886,T$1)</f>
        <v>0</v>
      </c>
      <c r="U39" s="207">
        <f>SUMIFS('июнь 2023'!$G$4:$G$886,'июнь 2023'!$D$4:$D$886,$B39,'июнь 2023'!$J$4:$J$886,U$1)</f>
        <v>0</v>
      </c>
      <c r="V39" s="207">
        <f>SUMIFS('июнь 2023'!$G$4:$G$886,'июнь 2023'!$D$4:$D$886,$B39,'июнь 2023'!$J$4:$J$886,V$1)</f>
        <v>0</v>
      </c>
      <c r="W39" s="207">
        <f>SUMIFS('июнь 2023'!$G$4:$G$886,'июнь 2023'!$D$4:$D$886,$B39,'июнь 2023'!$J$4:$J$886,W$1)</f>
        <v>0</v>
      </c>
      <c r="X39" s="207">
        <f>SUMIFS('июнь 2023'!$G$4:$G$886,'июнь 2023'!$D$4:$D$886,$B39,'июнь 2023'!$J$4:$J$886,X$1)</f>
        <v>0</v>
      </c>
      <c r="Y39" s="207">
        <f>SUMIFS('июнь 2023'!$G$4:$G$886,'июнь 2023'!$D$4:$D$886,$B39,'июнь 2023'!$J$4:$J$886,Y$1)</f>
        <v>0</v>
      </c>
      <c r="Z39" s="207">
        <f>SUMIFS('июнь 2023'!$G$4:$G$886,'июнь 2023'!$D$4:$D$886,$B39,'июнь 2023'!$J$4:$J$886,Z$1)</f>
        <v>0</v>
      </c>
      <c r="AA39" s="207">
        <f>SUMIFS('июнь 2023'!$G$4:$G$886,'июнь 2023'!$D$4:$D$886,$B39,'июнь 2023'!$J$4:$J$886,AA$1)</f>
        <v>0</v>
      </c>
      <c r="AB39" s="207">
        <f>SUMIFS('июнь 2023'!$G$4:$G$886,'июнь 2023'!$D$4:$D$886,$B39,'июнь 2023'!$J$4:$J$886,AB$1)</f>
        <v>0</v>
      </c>
      <c r="AC39" s="207">
        <f>SUMIFS('июнь 2023'!$G$4:$G$886,'июнь 2023'!$D$4:$D$886,$B39,'июнь 2023'!$J$4:$J$886,AC$1)</f>
        <v>0</v>
      </c>
      <c r="AD39" s="207">
        <f>SUMIFS('июнь 2023'!$G$4:$G$886,'июнь 2023'!$D$4:$D$886,$B39,'июнь 2023'!$J$4:$J$886,AD$1)</f>
        <v>0</v>
      </c>
      <c r="AE39" s="207">
        <f>SUMIFS('июнь 2023'!$G$4:$G$886,'июнь 2023'!$D$4:$D$886,$B39,'июнь 2023'!$J$4:$J$886,AE$1)</f>
        <v>0</v>
      </c>
      <c r="AF39" s="207">
        <f>SUMIFS('июнь 2023'!$G$4:$G$886,'июнь 2023'!$D$4:$D$886,$B39,'июнь 2023'!$J$4:$J$886,AF$1)</f>
        <v>0</v>
      </c>
      <c r="AG39" s="207">
        <f>SUMIFS('июнь 2023'!$G$4:$G$886,'июнь 2023'!$D$4:$D$886,$B39,'июнь 2023'!$J$4:$J$886,AG$1)</f>
        <v>0</v>
      </c>
      <c r="AH39" s="207">
        <f>SUMIFS('июнь 2023'!$G$4:$G$886,'июнь 2023'!$D$4:$D$886,$B39,'июнь 2023'!$J$4:$J$886,AH$1)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SUMIFS('июнь 2023'!$G$4:$G$886,'июнь 2023'!$D$4:$D$886,$B40,'июнь 2023'!$J$4:$J$886,D$1)</f>
        <v>0</v>
      </c>
      <c r="E40" s="207">
        <f>SUMIFS('июнь 2023'!$G$4:$G$886,'июнь 2023'!$D$4:$D$886,$B40,'июнь 2023'!$J$4:$J$886,E$1)</f>
        <v>0</v>
      </c>
      <c r="F40" s="207">
        <f>SUMIFS('июнь 2023'!$G$4:$G$886,'июнь 2023'!$D$4:$D$886,$B40,'июнь 2023'!$J$4:$J$886,F$1)</f>
        <v>0</v>
      </c>
      <c r="G40" s="207">
        <f>SUMIFS('июнь 2023'!$G$4:$G$886,'июнь 2023'!$D$4:$D$886,$B40,'июнь 2023'!$J$4:$J$886,G$1)</f>
        <v>0</v>
      </c>
      <c r="H40" s="207">
        <f>SUMIFS('июнь 2023'!$G$4:$G$886,'июнь 2023'!$D$4:$D$886,$B40,'июнь 2023'!$J$4:$J$886,H$1)</f>
        <v>0</v>
      </c>
      <c r="I40" s="207">
        <f>SUMIFS('июнь 2023'!$G$4:$G$886,'июнь 2023'!$D$4:$D$886,$B40,'июнь 2023'!$J$4:$J$886,I$1)</f>
        <v>20</v>
      </c>
      <c r="J40" s="207">
        <f>SUMIFS('июнь 2023'!$G$4:$G$886,'июнь 2023'!$D$4:$D$886,$B40,'июнь 2023'!$J$4:$J$886,J$1)</f>
        <v>0</v>
      </c>
      <c r="K40" s="207">
        <f>SUMIFS('июнь 2023'!$G$4:$G$886,'июнь 2023'!$D$4:$D$886,$B40,'июнь 2023'!$J$4:$J$886,K$1)</f>
        <v>0</v>
      </c>
      <c r="L40" s="207">
        <f>SUMIFS('июнь 2023'!$G$4:$G$886,'июнь 2023'!$D$4:$D$886,$B40,'июнь 2023'!$J$4:$J$886,L$1)</f>
        <v>0</v>
      </c>
      <c r="M40" s="207">
        <f>SUMIFS('июнь 2023'!$G$4:$G$886,'июнь 2023'!$D$4:$D$886,$B40,'июнь 2023'!$J$4:$J$886,M$1)</f>
        <v>0</v>
      </c>
      <c r="N40" s="207">
        <f>SUMIFS('июнь 2023'!$G$4:$G$886,'июнь 2023'!$D$4:$D$886,$B40,'июнь 2023'!$J$4:$J$886,N$1)</f>
        <v>0</v>
      </c>
      <c r="O40" s="207">
        <f>SUMIFS('июнь 2023'!$G$4:$G$886,'июнь 2023'!$D$4:$D$886,$B40,'июнь 2023'!$J$4:$J$886,O$1)</f>
        <v>0</v>
      </c>
      <c r="P40" s="207">
        <f>SUMIFS('июнь 2023'!$G$4:$G$886,'июнь 2023'!$D$4:$D$886,$B40,'июнь 2023'!$J$4:$J$886,P$1)</f>
        <v>0</v>
      </c>
      <c r="Q40" s="207">
        <f>SUMIFS('июнь 2023'!$G$4:$G$886,'июнь 2023'!$D$4:$D$886,$B40,'июнь 2023'!$J$4:$J$886,Q$1)</f>
        <v>0</v>
      </c>
      <c r="R40" s="207">
        <f>SUMIFS('июнь 2023'!$G$4:$G$886,'июнь 2023'!$D$4:$D$886,$B40,'июнь 2023'!$J$4:$J$886,R$1)</f>
        <v>0</v>
      </c>
      <c r="S40" s="207">
        <f>SUMIFS('июнь 2023'!$G$4:$G$886,'июнь 2023'!$D$4:$D$886,$B40,'июнь 2023'!$J$4:$J$886,S$1)</f>
        <v>0</v>
      </c>
      <c r="T40" s="207">
        <f>SUMIFS('июнь 2023'!$G$4:$G$886,'июнь 2023'!$D$4:$D$886,$B40,'июнь 2023'!$J$4:$J$886,T$1)</f>
        <v>0</v>
      </c>
      <c r="U40" s="207">
        <f>SUMIFS('июнь 2023'!$G$4:$G$886,'июнь 2023'!$D$4:$D$886,$B40,'июнь 2023'!$J$4:$J$886,U$1)</f>
        <v>0</v>
      </c>
      <c r="V40" s="207">
        <f>SUMIFS('июнь 2023'!$G$4:$G$886,'июнь 2023'!$D$4:$D$886,$B40,'июнь 2023'!$J$4:$J$886,V$1)</f>
        <v>16</v>
      </c>
      <c r="W40" s="207">
        <f>SUMIFS('июнь 2023'!$G$4:$G$886,'июнь 2023'!$D$4:$D$886,$B40,'июнь 2023'!$J$4:$J$886,W$1)</f>
        <v>0</v>
      </c>
      <c r="X40" s="207">
        <f>SUMIFS('июнь 2023'!$G$4:$G$886,'июнь 2023'!$D$4:$D$886,$B40,'июнь 2023'!$J$4:$J$886,X$1)</f>
        <v>0</v>
      </c>
      <c r="Y40" s="207">
        <f>SUMIFS('июнь 2023'!$G$4:$G$886,'июнь 2023'!$D$4:$D$886,$B40,'июнь 2023'!$J$4:$J$886,Y$1)</f>
        <v>0</v>
      </c>
      <c r="Z40" s="207">
        <f>SUMIFS('июнь 2023'!$G$4:$G$886,'июнь 2023'!$D$4:$D$886,$B40,'июнь 2023'!$J$4:$J$886,Z$1)</f>
        <v>0</v>
      </c>
      <c r="AA40" s="207">
        <f>SUMIFS('июнь 2023'!$G$4:$G$886,'июнь 2023'!$D$4:$D$886,$B40,'июнь 2023'!$J$4:$J$886,AA$1)</f>
        <v>0</v>
      </c>
      <c r="AB40" s="207">
        <f>SUMIFS('июнь 2023'!$G$4:$G$886,'июнь 2023'!$D$4:$D$886,$B40,'июнь 2023'!$J$4:$J$886,AB$1)</f>
        <v>0</v>
      </c>
      <c r="AC40" s="207">
        <f>SUMIFS('июнь 2023'!$G$4:$G$886,'июнь 2023'!$D$4:$D$886,$B40,'июнь 2023'!$J$4:$J$886,AC$1)</f>
        <v>24</v>
      </c>
      <c r="AD40" s="207">
        <f>SUMIFS('июнь 2023'!$G$4:$G$886,'июнь 2023'!$D$4:$D$886,$B40,'июнь 2023'!$J$4:$J$886,AD$1)</f>
        <v>0</v>
      </c>
      <c r="AE40" s="207">
        <f>SUMIFS('июнь 2023'!$G$4:$G$886,'июнь 2023'!$D$4:$D$886,$B40,'июнь 2023'!$J$4:$J$886,AE$1)</f>
        <v>0</v>
      </c>
      <c r="AF40" s="207">
        <f>SUMIFS('июнь 2023'!$G$4:$G$886,'июнь 2023'!$D$4:$D$886,$B40,'июнь 2023'!$J$4:$J$886,AF$1)</f>
        <v>0</v>
      </c>
      <c r="AG40" s="207">
        <f>SUMIFS('июнь 2023'!$G$4:$G$886,'июнь 2023'!$D$4:$D$886,$B40,'июнь 2023'!$J$4:$J$886,AG$1)</f>
        <v>0</v>
      </c>
      <c r="AH40" s="207">
        <f>SUMIFS('июнь 2023'!$G$4:$G$886,'июнь 2023'!$D$4:$D$886,$B40,'июнь 2023'!$J$4:$J$886,AH$1)</f>
        <v>0</v>
      </c>
      <c r="AI40" s="170">
        <f t="shared" si="1"/>
        <v>60</v>
      </c>
    </row>
    <row r="41" spans="2:35" ht="15" customHeight="1" x14ac:dyDescent="0.25">
      <c r="B41" s="216" t="s">
        <v>2125</v>
      </c>
      <c r="C41" s="213">
        <v>25</v>
      </c>
      <c r="D41" s="207">
        <f>SUMIFS('июнь 2023'!$G$4:$G$886,'июнь 2023'!$D$4:$D$886,$B41,'июнь 2023'!$J$4:$J$886,D$1)</f>
        <v>0</v>
      </c>
      <c r="E41" s="207">
        <f>SUMIFS('июнь 2023'!$G$4:$G$886,'июнь 2023'!$D$4:$D$886,$B41,'июнь 2023'!$J$4:$J$886,E$1)</f>
        <v>0</v>
      </c>
      <c r="F41" s="207">
        <f>SUMIFS('июнь 2023'!$G$4:$G$886,'июнь 2023'!$D$4:$D$886,$B41,'июнь 2023'!$J$4:$J$886,F$1)</f>
        <v>0</v>
      </c>
      <c r="G41" s="207">
        <f>SUMIFS('июнь 2023'!$G$4:$G$886,'июнь 2023'!$D$4:$D$886,$B41,'июнь 2023'!$J$4:$J$886,G$1)</f>
        <v>0</v>
      </c>
      <c r="H41" s="207">
        <f>SUMIFS('июнь 2023'!$G$4:$G$886,'июнь 2023'!$D$4:$D$886,$B41,'июнь 2023'!$J$4:$J$886,H$1)</f>
        <v>0</v>
      </c>
      <c r="I41" s="207">
        <f>SUMIFS('июнь 2023'!$G$4:$G$886,'июнь 2023'!$D$4:$D$886,$B41,'июнь 2023'!$J$4:$J$886,I$1)</f>
        <v>0</v>
      </c>
      <c r="J41" s="207">
        <f>SUMIFS('июнь 2023'!$G$4:$G$886,'июнь 2023'!$D$4:$D$886,$B41,'июнь 2023'!$J$4:$J$886,J$1)</f>
        <v>0</v>
      </c>
      <c r="K41" s="207">
        <f>SUMIFS('июнь 2023'!$G$4:$G$886,'июнь 2023'!$D$4:$D$886,$B41,'июнь 2023'!$J$4:$J$886,K$1)</f>
        <v>0</v>
      </c>
      <c r="L41" s="207">
        <f>SUMIFS('июнь 2023'!$G$4:$G$886,'июнь 2023'!$D$4:$D$886,$B41,'июнь 2023'!$J$4:$J$886,L$1)</f>
        <v>0</v>
      </c>
      <c r="M41" s="207">
        <f>SUMIFS('июнь 2023'!$G$4:$G$886,'июнь 2023'!$D$4:$D$886,$B41,'июнь 2023'!$J$4:$J$886,M$1)</f>
        <v>0</v>
      </c>
      <c r="N41" s="207">
        <f>SUMIFS('июнь 2023'!$G$4:$G$886,'июнь 2023'!$D$4:$D$886,$B41,'июнь 2023'!$J$4:$J$886,N$1)</f>
        <v>0</v>
      </c>
      <c r="O41" s="207">
        <f>SUMIFS('июнь 2023'!$G$4:$G$886,'июнь 2023'!$D$4:$D$886,$B41,'июнь 2023'!$J$4:$J$886,O$1)</f>
        <v>0</v>
      </c>
      <c r="P41" s="207">
        <f>SUMIFS('июнь 2023'!$G$4:$G$886,'июнь 2023'!$D$4:$D$886,$B41,'июнь 2023'!$J$4:$J$886,P$1)</f>
        <v>0</v>
      </c>
      <c r="Q41" s="207">
        <f>SUMIFS('июнь 2023'!$G$4:$G$886,'июнь 2023'!$D$4:$D$886,$B41,'июнь 2023'!$J$4:$J$886,Q$1)</f>
        <v>0</v>
      </c>
      <c r="R41" s="207">
        <f>SUMIFS('июнь 2023'!$G$4:$G$886,'июнь 2023'!$D$4:$D$886,$B41,'июнь 2023'!$J$4:$J$886,R$1)</f>
        <v>0</v>
      </c>
      <c r="S41" s="207">
        <f>SUMIFS('июнь 2023'!$G$4:$G$886,'июнь 2023'!$D$4:$D$886,$B41,'июнь 2023'!$J$4:$J$886,S$1)</f>
        <v>0</v>
      </c>
      <c r="T41" s="207">
        <f>SUMIFS('июнь 2023'!$G$4:$G$886,'июнь 2023'!$D$4:$D$886,$B41,'июнь 2023'!$J$4:$J$886,T$1)</f>
        <v>0</v>
      </c>
      <c r="U41" s="207">
        <f>SUMIFS('июнь 2023'!$G$4:$G$886,'июнь 2023'!$D$4:$D$886,$B41,'июнь 2023'!$J$4:$J$886,U$1)</f>
        <v>0</v>
      </c>
      <c r="V41" s="207">
        <f>SUMIFS('июнь 2023'!$G$4:$G$886,'июнь 2023'!$D$4:$D$886,$B41,'июнь 2023'!$J$4:$J$886,V$1)</f>
        <v>0</v>
      </c>
      <c r="W41" s="207">
        <f>SUMIFS('июнь 2023'!$G$4:$G$886,'июнь 2023'!$D$4:$D$886,$B41,'июнь 2023'!$J$4:$J$886,W$1)</f>
        <v>0</v>
      </c>
      <c r="X41" s="207">
        <f>SUMIFS('июнь 2023'!$G$4:$G$886,'июнь 2023'!$D$4:$D$886,$B41,'июнь 2023'!$J$4:$J$886,X$1)</f>
        <v>0</v>
      </c>
      <c r="Y41" s="207">
        <f>SUMIFS('июнь 2023'!$G$4:$G$886,'июнь 2023'!$D$4:$D$886,$B41,'июнь 2023'!$J$4:$J$886,Y$1)</f>
        <v>0</v>
      </c>
      <c r="Z41" s="207">
        <f>SUMIFS('июнь 2023'!$G$4:$G$886,'июнь 2023'!$D$4:$D$886,$B41,'июнь 2023'!$J$4:$J$886,Z$1)</f>
        <v>0</v>
      </c>
      <c r="AA41" s="207">
        <f>SUMIFS('июнь 2023'!$G$4:$G$886,'июнь 2023'!$D$4:$D$886,$B41,'июнь 2023'!$J$4:$J$886,AA$1)</f>
        <v>0</v>
      </c>
      <c r="AB41" s="207">
        <f>SUMIFS('июнь 2023'!$G$4:$G$886,'июнь 2023'!$D$4:$D$886,$B41,'июнь 2023'!$J$4:$J$886,AB$1)</f>
        <v>0</v>
      </c>
      <c r="AC41" s="207">
        <f>SUMIFS('июнь 2023'!$G$4:$G$886,'июнь 2023'!$D$4:$D$886,$B41,'июнь 2023'!$J$4:$J$886,AC$1)</f>
        <v>0</v>
      </c>
      <c r="AD41" s="207">
        <f>SUMIFS('июнь 2023'!$G$4:$G$886,'июнь 2023'!$D$4:$D$886,$B41,'июнь 2023'!$J$4:$J$886,AD$1)</f>
        <v>0</v>
      </c>
      <c r="AE41" s="207">
        <f>SUMIFS('июнь 2023'!$G$4:$G$886,'июнь 2023'!$D$4:$D$886,$B41,'июнь 2023'!$J$4:$J$886,AE$1)</f>
        <v>0</v>
      </c>
      <c r="AF41" s="207">
        <f>SUMIFS('июнь 2023'!$G$4:$G$886,'июнь 2023'!$D$4:$D$886,$B41,'июнь 2023'!$J$4:$J$886,AF$1)</f>
        <v>0</v>
      </c>
      <c r="AG41" s="207">
        <f>SUMIFS('июнь 2023'!$G$4:$G$886,'июнь 2023'!$D$4:$D$886,$B41,'июнь 2023'!$J$4:$J$886,AG$1)</f>
        <v>0</v>
      </c>
      <c r="AH41" s="207">
        <f>SUMIFS('июнь 2023'!$G$4:$G$886,'июнь 2023'!$D$4:$D$886,$B41,'июнь 2023'!$J$4:$J$886,AH$1)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SUMIFS('июнь 2023'!$G$4:$G$886,'июнь 2023'!$D$4:$D$886,$B42,'июнь 2023'!$J$4:$J$886,D$1)</f>
        <v>0</v>
      </c>
      <c r="E42" s="207">
        <f>SUMIFS('июнь 2023'!$G$4:$G$886,'июнь 2023'!$D$4:$D$886,$B42,'июнь 2023'!$J$4:$J$886,E$1)</f>
        <v>0</v>
      </c>
      <c r="F42" s="207">
        <f>SUMIFS('июнь 2023'!$G$4:$G$886,'июнь 2023'!$D$4:$D$886,$B42,'июнь 2023'!$J$4:$J$886,F$1)</f>
        <v>0</v>
      </c>
      <c r="G42" s="207">
        <f>SUMIFS('июнь 2023'!$G$4:$G$886,'июнь 2023'!$D$4:$D$886,$B42,'июнь 2023'!$J$4:$J$886,G$1)</f>
        <v>0</v>
      </c>
      <c r="H42" s="207">
        <f>SUMIFS('июнь 2023'!$G$4:$G$886,'июнь 2023'!$D$4:$D$886,$B42,'июнь 2023'!$J$4:$J$886,H$1)</f>
        <v>0</v>
      </c>
      <c r="I42" s="207">
        <f>SUMIFS('июнь 2023'!$G$4:$G$886,'июнь 2023'!$D$4:$D$886,$B42,'июнь 2023'!$J$4:$J$886,I$1)</f>
        <v>0</v>
      </c>
      <c r="J42" s="207">
        <f>SUMIFS('июнь 2023'!$G$4:$G$886,'июнь 2023'!$D$4:$D$886,$B42,'июнь 2023'!$J$4:$J$886,J$1)</f>
        <v>0</v>
      </c>
      <c r="K42" s="207">
        <f>SUMIFS('июнь 2023'!$G$4:$G$886,'июнь 2023'!$D$4:$D$886,$B42,'июнь 2023'!$J$4:$J$886,K$1)</f>
        <v>0</v>
      </c>
      <c r="L42" s="207">
        <f>SUMIFS('июнь 2023'!$G$4:$G$886,'июнь 2023'!$D$4:$D$886,$B42,'июнь 2023'!$J$4:$J$886,L$1)</f>
        <v>0</v>
      </c>
      <c r="M42" s="207">
        <f>SUMIFS('июнь 2023'!$G$4:$G$886,'июнь 2023'!$D$4:$D$886,$B42,'июнь 2023'!$J$4:$J$886,M$1)</f>
        <v>0</v>
      </c>
      <c r="N42" s="207">
        <f>SUMIFS('июнь 2023'!$G$4:$G$886,'июнь 2023'!$D$4:$D$886,$B42,'июнь 2023'!$J$4:$J$886,N$1)</f>
        <v>0</v>
      </c>
      <c r="O42" s="207">
        <f>SUMIFS('июнь 2023'!$G$4:$G$886,'июнь 2023'!$D$4:$D$886,$B42,'июнь 2023'!$J$4:$J$886,O$1)</f>
        <v>0</v>
      </c>
      <c r="P42" s="207">
        <f>SUMIFS('июнь 2023'!$G$4:$G$886,'июнь 2023'!$D$4:$D$886,$B42,'июнь 2023'!$J$4:$J$886,P$1)</f>
        <v>0</v>
      </c>
      <c r="Q42" s="207">
        <f>SUMIFS('июнь 2023'!$G$4:$G$886,'июнь 2023'!$D$4:$D$886,$B42,'июнь 2023'!$J$4:$J$886,Q$1)</f>
        <v>0</v>
      </c>
      <c r="R42" s="207">
        <f>SUMIFS('июнь 2023'!$G$4:$G$886,'июнь 2023'!$D$4:$D$886,$B42,'июнь 2023'!$J$4:$J$886,R$1)</f>
        <v>0</v>
      </c>
      <c r="S42" s="207">
        <f>SUMIFS('июнь 2023'!$G$4:$G$886,'июнь 2023'!$D$4:$D$886,$B42,'июнь 2023'!$J$4:$J$886,S$1)</f>
        <v>0</v>
      </c>
      <c r="T42" s="207">
        <f>SUMIFS('июнь 2023'!$G$4:$G$886,'июнь 2023'!$D$4:$D$886,$B42,'июнь 2023'!$J$4:$J$886,T$1)</f>
        <v>0</v>
      </c>
      <c r="U42" s="207">
        <f>SUMIFS('июнь 2023'!$G$4:$G$886,'июнь 2023'!$D$4:$D$886,$B42,'июнь 2023'!$J$4:$J$886,U$1)</f>
        <v>0</v>
      </c>
      <c r="V42" s="207">
        <f>SUMIFS('июнь 2023'!$G$4:$G$886,'июнь 2023'!$D$4:$D$886,$B42,'июнь 2023'!$J$4:$J$886,V$1)</f>
        <v>0</v>
      </c>
      <c r="W42" s="207">
        <f>SUMIFS('июнь 2023'!$G$4:$G$886,'июнь 2023'!$D$4:$D$886,$B42,'июнь 2023'!$J$4:$J$886,W$1)</f>
        <v>0</v>
      </c>
      <c r="X42" s="207">
        <f>SUMIFS('июнь 2023'!$G$4:$G$886,'июнь 2023'!$D$4:$D$886,$B42,'июнь 2023'!$J$4:$J$886,X$1)</f>
        <v>0</v>
      </c>
      <c r="Y42" s="207">
        <f>SUMIFS('июнь 2023'!$G$4:$G$886,'июнь 2023'!$D$4:$D$886,$B42,'июнь 2023'!$J$4:$J$886,Y$1)</f>
        <v>0</v>
      </c>
      <c r="Z42" s="207">
        <f>SUMIFS('июнь 2023'!$G$4:$G$886,'июнь 2023'!$D$4:$D$886,$B42,'июнь 2023'!$J$4:$J$886,Z$1)</f>
        <v>0</v>
      </c>
      <c r="AA42" s="207">
        <f>SUMIFS('июнь 2023'!$G$4:$G$886,'июнь 2023'!$D$4:$D$886,$B42,'июнь 2023'!$J$4:$J$886,AA$1)</f>
        <v>0</v>
      </c>
      <c r="AB42" s="207">
        <f>SUMIFS('июнь 2023'!$G$4:$G$886,'июнь 2023'!$D$4:$D$886,$B42,'июнь 2023'!$J$4:$J$886,AB$1)</f>
        <v>0</v>
      </c>
      <c r="AC42" s="207">
        <f>SUMIFS('июнь 2023'!$G$4:$G$886,'июнь 2023'!$D$4:$D$886,$B42,'июнь 2023'!$J$4:$J$886,AC$1)</f>
        <v>0</v>
      </c>
      <c r="AD42" s="207">
        <f>SUMIFS('июнь 2023'!$G$4:$G$886,'июнь 2023'!$D$4:$D$886,$B42,'июнь 2023'!$J$4:$J$886,AD$1)</f>
        <v>0</v>
      </c>
      <c r="AE42" s="207">
        <f>SUMIFS('июнь 2023'!$G$4:$G$886,'июнь 2023'!$D$4:$D$886,$B42,'июнь 2023'!$J$4:$J$886,AE$1)</f>
        <v>0</v>
      </c>
      <c r="AF42" s="207">
        <f>SUMIFS('июнь 2023'!$G$4:$G$886,'июнь 2023'!$D$4:$D$886,$B42,'июнь 2023'!$J$4:$J$886,AF$1)</f>
        <v>0</v>
      </c>
      <c r="AG42" s="207">
        <f>SUMIFS('июнь 2023'!$G$4:$G$886,'июнь 2023'!$D$4:$D$886,$B42,'июнь 2023'!$J$4:$J$886,AG$1)</f>
        <v>0</v>
      </c>
      <c r="AH42" s="207">
        <f>SUMIFS('июнь 2023'!$G$4:$G$886,'июнь 2023'!$D$4:$D$886,$B42,'июнь 2023'!$J$4:$J$886,AH$1)</f>
        <v>0</v>
      </c>
      <c r="AI42" s="170">
        <f t="shared" si="1"/>
        <v>0</v>
      </c>
    </row>
    <row r="43" spans="2:35" ht="15" customHeight="1" x14ac:dyDescent="0.25">
      <c r="B43" s="216" t="s">
        <v>684</v>
      </c>
      <c r="C43" s="213">
        <v>20</v>
      </c>
      <c r="D43" s="207">
        <f>SUMIFS('июнь 2023'!$G$4:$G$886,'июнь 2023'!$D$4:$D$886,$B43,'июнь 2023'!$J$4:$J$886,D$1)</f>
        <v>0</v>
      </c>
      <c r="E43" s="207">
        <f>SUMIFS('июнь 2023'!$G$4:$G$886,'июнь 2023'!$D$4:$D$886,$B43,'июнь 2023'!$J$4:$J$886,E$1)</f>
        <v>0</v>
      </c>
      <c r="F43" s="207">
        <f>SUMIFS('июнь 2023'!$G$4:$G$886,'июнь 2023'!$D$4:$D$886,$B43,'июнь 2023'!$J$4:$J$886,F$1)</f>
        <v>0</v>
      </c>
      <c r="G43" s="207">
        <f>SUMIFS('июнь 2023'!$G$4:$G$886,'июнь 2023'!$D$4:$D$886,$B43,'июнь 2023'!$J$4:$J$886,G$1)</f>
        <v>0</v>
      </c>
      <c r="H43" s="207">
        <f>SUMIFS('июнь 2023'!$G$4:$G$886,'июнь 2023'!$D$4:$D$886,$B43,'июнь 2023'!$J$4:$J$886,H$1)</f>
        <v>0</v>
      </c>
      <c r="I43" s="207">
        <f>SUMIFS('июнь 2023'!$G$4:$G$886,'июнь 2023'!$D$4:$D$886,$B43,'июнь 2023'!$J$4:$J$886,I$1)</f>
        <v>0</v>
      </c>
      <c r="J43" s="207">
        <f>SUMIFS('июнь 2023'!$G$4:$G$886,'июнь 2023'!$D$4:$D$886,$B43,'июнь 2023'!$J$4:$J$886,J$1)</f>
        <v>0</v>
      </c>
      <c r="K43" s="207">
        <f>SUMIFS('июнь 2023'!$G$4:$G$886,'июнь 2023'!$D$4:$D$886,$B43,'июнь 2023'!$J$4:$J$886,K$1)</f>
        <v>0</v>
      </c>
      <c r="L43" s="207">
        <f>SUMIFS('июнь 2023'!$G$4:$G$886,'июнь 2023'!$D$4:$D$886,$B43,'июнь 2023'!$J$4:$J$886,L$1)</f>
        <v>0</v>
      </c>
      <c r="M43" s="207">
        <f>SUMIFS('июнь 2023'!$G$4:$G$886,'июнь 2023'!$D$4:$D$886,$B43,'июнь 2023'!$J$4:$J$886,M$1)</f>
        <v>0</v>
      </c>
      <c r="N43" s="207">
        <f>SUMIFS('июнь 2023'!$G$4:$G$886,'июнь 2023'!$D$4:$D$886,$B43,'июнь 2023'!$J$4:$J$886,N$1)</f>
        <v>0</v>
      </c>
      <c r="O43" s="207">
        <f>SUMIFS('июнь 2023'!$G$4:$G$886,'июнь 2023'!$D$4:$D$886,$B43,'июнь 2023'!$J$4:$J$886,O$1)</f>
        <v>0</v>
      </c>
      <c r="P43" s="207">
        <f>SUMIFS('июнь 2023'!$G$4:$G$886,'июнь 2023'!$D$4:$D$886,$B43,'июнь 2023'!$J$4:$J$886,P$1)</f>
        <v>0</v>
      </c>
      <c r="Q43" s="207">
        <f>SUMIFS('июнь 2023'!$G$4:$G$886,'июнь 2023'!$D$4:$D$886,$B43,'июнь 2023'!$J$4:$J$886,Q$1)</f>
        <v>0</v>
      </c>
      <c r="R43" s="207">
        <f>SUMIFS('июнь 2023'!$G$4:$G$886,'июнь 2023'!$D$4:$D$886,$B43,'июнь 2023'!$J$4:$J$886,R$1)</f>
        <v>0</v>
      </c>
      <c r="S43" s="207">
        <f>SUMIFS('июнь 2023'!$G$4:$G$886,'июнь 2023'!$D$4:$D$886,$B43,'июнь 2023'!$J$4:$J$886,S$1)</f>
        <v>0</v>
      </c>
      <c r="T43" s="207">
        <f>SUMIFS('июнь 2023'!$G$4:$G$886,'июнь 2023'!$D$4:$D$886,$B43,'июнь 2023'!$J$4:$J$886,T$1)</f>
        <v>0</v>
      </c>
      <c r="U43" s="207">
        <f>SUMIFS('июнь 2023'!$G$4:$G$886,'июнь 2023'!$D$4:$D$886,$B43,'июнь 2023'!$J$4:$J$886,U$1)</f>
        <v>0</v>
      </c>
      <c r="V43" s="207">
        <f>SUMIFS('июнь 2023'!$G$4:$G$886,'июнь 2023'!$D$4:$D$886,$B43,'июнь 2023'!$J$4:$J$886,V$1)</f>
        <v>0</v>
      </c>
      <c r="W43" s="207">
        <f>SUMIFS('июнь 2023'!$G$4:$G$886,'июнь 2023'!$D$4:$D$886,$B43,'июнь 2023'!$J$4:$J$886,W$1)</f>
        <v>0</v>
      </c>
      <c r="X43" s="207">
        <f>SUMIFS('июнь 2023'!$G$4:$G$886,'июнь 2023'!$D$4:$D$886,$B43,'июнь 2023'!$J$4:$J$886,X$1)</f>
        <v>0</v>
      </c>
      <c r="Y43" s="207">
        <f>SUMIFS('июнь 2023'!$G$4:$G$886,'июнь 2023'!$D$4:$D$886,$B43,'июнь 2023'!$J$4:$J$886,Y$1)</f>
        <v>0</v>
      </c>
      <c r="Z43" s="207">
        <f>SUMIFS('июнь 2023'!$G$4:$G$886,'июнь 2023'!$D$4:$D$886,$B43,'июнь 2023'!$J$4:$J$886,Z$1)</f>
        <v>0</v>
      </c>
      <c r="AA43" s="207">
        <f>SUMIFS('июнь 2023'!$G$4:$G$886,'июнь 2023'!$D$4:$D$886,$B43,'июнь 2023'!$J$4:$J$886,AA$1)</f>
        <v>0</v>
      </c>
      <c r="AB43" s="207">
        <f>SUMIFS('июнь 2023'!$G$4:$G$886,'июнь 2023'!$D$4:$D$886,$B43,'июнь 2023'!$J$4:$J$886,AB$1)</f>
        <v>0</v>
      </c>
      <c r="AC43" s="207">
        <f>SUMIFS('июнь 2023'!$G$4:$G$886,'июнь 2023'!$D$4:$D$886,$B43,'июнь 2023'!$J$4:$J$886,AC$1)</f>
        <v>0</v>
      </c>
      <c r="AD43" s="207">
        <f>SUMIFS('июнь 2023'!$G$4:$G$886,'июнь 2023'!$D$4:$D$886,$B43,'июнь 2023'!$J$4:$J$886,AD$1)</f>
        <v>0</v>
      </c>
      <c r="AE43" s="207">
        <f>SUMIFS('июнь 2023'!$G$4:$G$886,'июнь 2023'!$D$4:$D$886,$B43,'июнь 2023'!$J$4:$J$886,AE$1)</f>
        <v>0</v>
      </c>
      <c r="AF43" s="207">
        <f>SUMIFS('июнь 2023'!$G$4:$G$886,'июнь 2023'!$D$4:$D$886,$B43,'июнь 2023'!$J$4:$J$886,AF$1)</f>
        <v>0</v>
      </c>
      <c r="AG43" s="207">
        <f>SUMIFS('июнь 2023'!$G$4:$G$886,'июнь 2023'!$D$4:$D$886,$B43,'июнь 2023'!$J$4:$J$886,AG$1)</f>
        <v>0</v>
      </c>
      <c r="AH43" s="207">
        <f>SUMIFS('июнь 2023'!$G$4:$G$886,'июнь 2023'!$D$4:$D$886,$B43,'июнь 2023'!$J$4:$J$886,AH$1)</f>
        <v>0</v>
      </c>
      <c r="AI43" s="170">
        <f t="shared" si="1"/>
        <v>0</v>
      </c>
    </row>
    <row r="44" spans="2:35" ht="15" customHeight="1" x14ac:dyDescent="0.25">
      <c r="B44" s="212" t="s">
        <v>1062</v>
      </c>
      <c r="C44" s="215">
        <v>20</v>
      </c>
      <c r="D44" s="207">
        <f>SUMIFS('июнь 2023'!$G$4:$G$886,'июнь 2023'!$D$4:$D$886,$B44,'июнь 2023'!$J$4:$J$886,D$1)</f>
        <v>80</v>
      </c>
      <c r="E44" s="207">
        <f>SUMIFS('июнь 2023'!$G$4:$G$886,'июнь 2023'!$D$4:$D$886,$B44,'июнь 2023'!$J$4:$J$886,E$1)</f>
        <v>0</v>
      </c>
      <c r="F44" s="207">
        <f>SUMIFS('июнь 2023'!$G$4:$G$886,'июнь 2023'!$D$4:$D$886,$B44,'июнь 2023'!$J$4:$J$886,F$1)</f>
        <v>0</v>
      </c>
      <c r="G44" s="207">
        <f>SUMIFS('июнь 2023'!$G$4:$G$886,'июнь 2023'!$D$4:$D$886,$B44,'июнь 2023'!$J$4:$J$886,G$1)</f>
        <v>0</v>
      </c>
      <c r="H44" s="207">
        <f>SUMIFS('июнь 2023'!$G$4:$G$886,'июнь 2023'!$D$4:$D$886,$B44,'июнь 2023'!$J$4:$J$886,H$1)</f>
        <v>0</v>
      </c>
      <c r="I44" s="207">
        <f>SUMIFS('июнь 2023'!$G$4:$G$886,'июнь 2023'!$D$4:$D$886,$B44,'июнь 2023'!$J$4:$J$886,I$1)</f>
        <v>0</v>
      </c>
      <c r="J44" s="207">
        <f>SUMIFS('июнь 2023'!$G$4:$G$886,'июнь 2023'!$D$4:$D$886,$B44,'июнь 2023'!$J$4:$J$886,J$1)</f>
        <v>0</v>
      </c>
      <c r="K44" s="207">
        <f>SUMIFS('июнь 2023'!$G$4:$G$886,'июнь 2023'!$D$4:$D$886,$B44,'июнь 2023'!$J$4:$J$886,K$1)</f>
        <v>0</v>
      </c>
      <c r="L44" s="207">
        <f>SUMIFS('июнь 2023'!$G$4:$G$886,'июнь 2023'!$D$4:$D$886,$B44,'июнь 2023'!$J$4:$J$886,L$1)</f>
        <v>0</v>
      </c>
      <c r="M44" s="207">
        <f>SUMIFS('июнь 2023'!$G$4:$G$886,'июнь 2023'!$D$4:$D$886,$B44,'июнь 2023'!$J$4:$J$886,M$1)</f>
        <v>0</v>
      </c>
      <c r="N44" s="207">
        <f>SUMIFS('июнь 2023'!$G$4:$G$886,'июнь 2023'!$D$4:$D$886,$B44,'июнь 2023'!$J$4:$J$886,N$1)</f>
        <v>0</v>
      </c>
      <c r="O44" s="207">
        <f>SUMIFS('июнь 2023'!$G$4:$G$886,'июнь 2023'!$D$4:$D$886,$B44,'июнь 2023'!$J$4:$J$886,O$1)</f>
        <v>0</v>
      </c>
      <c r="P44" s="207">
        <f>SUMIFS('июнь 2023'!$G$4:$G$886,'июнь 2023'!$D$4:$D$886,$B44,'июнь 2023'!$J$4:$J$886,P$1)</f>
        <v>0</v>
      </c>
      <c r="Q44" s="207">
        <f>SUMIFS('июнь 2023'!$G$4:$G$886,'июнь 2023'!$D$4:$D$886,$B44,'июнь 2023'!$J$4:$J$886,Q$1)</f>
        <v>0</v>
      </c>
      <c r="R44" s="207">
        <f>SUMIFS('июнь 2023'!$G$4:$G$886,'июнь 2023'!$D$4:$D$886,$B44,'июнь 2023'!$J$4:$J$886,R$1)</f>
        <v>0</v>
      </c>
      <c r="S44" s="207">
        <f>SUMIFS('июнь 2023'!$G$4:$G$886,'июнь 2023'!$D$4:$D$886,$B44,'июнь 2023'!$J$4:$J$886,S$1)</f>
        <v>0</v>
      </c>
      <c r="T44" s="207">
        <f>SUMIFS('июнь 2023'!$G$4:$G$886,'июнь 2023'!$D$4:$D$886,$B44,'июнь 2023'!$J$4:$J$886,T$1)</f>
        <v>0</v>
      </c>
      <c r="U44" s="207">
        <f>SUMIFS('июнь 2023'!$G$4:$G$886,'июнь 2023'!$D$4:$D$886,$B44,'июнь 2023'!$J$4:$J$886,U$1)</f>
        <v>0</v>
      </c>
      <c r="V44" s="207">
        <f>SUMIFS('июнь 2023'!$G$4:$G$886,'июнь 2023'!$D$4:$D$886,$B44,'июнь 2023'!$J$4:$J$886,V$1)</f>
        <v>0</v>
      </c>
      <c r="W44" s="207">
        <f>SUMIFS('июнь 2023'!$G$4:$G$886,'июнь 2023'!$D$4:$D$886,$B44,'июнь 2023'!$J$4:$J$886,W$1)</f>
        <v>0</v>
      </c>
      <c r="X44" s="207">
        <f>SUMIFS('июнь 2023'!$G$4:$G$886,'июнь 2023'!$D$4:$D$886,$B44,'июнь 2023'!$J$4:$J$886,X$1)</f>
        <v>0</v>
      </c>
      <c r="Y44" s="207">
        <f>SUMIFS('июнь 2023'!$G$4:$G$886,'июнь 2023'!$D$4:$D$886,$B44,'июнь 2023'!$J$4:$J$886,Y$1)</f>
        <v>0</v>
      </c>
      <c r="Z44" s="207">
        <f>SUMIFS('июнь 2023'!$G$4:$G$886,'июнь 2023'!$D$4:$D$886,$B44,'июнь 2023'!$J$4:$J$886,Z$1)</f>
        <v>0</v>
      </c>
      <c r="AA44" s="207">
        <f>SUMIFS('июнь 2023'!$G$4:$G$886,'июнь 2023'!$D$4:$D$886,$B44,'июнь 2023'!$J$4:$J$886,AA$1)</f>
        <v>0</v>
      </c>
      <c r="AB44" s="207">
        <f>SUMIFS('июнь 2023'!$G$4:$G$886,'июнь 2023'!$D$4:$D$886,$B44,'июнь 2023'!$J$4:$J$886,AB$1)</f>
        <v>0</v>
      </c>
      <c r="AC44" s="207">
        <f>SUMIFS('июнь 2023'!$G$4:$G$886,'июнь 2023'!$D$4:$D$886,$B44,'июнь 2023'!$J$4:$J$886,AC$1)</f>
        <v>0</v>
      </c>
      <c r="AD44" s="207">
        <f>SUMIFS('июнь 2023'!$G$4:$G$886,'июнь 2023'!$D$4:$D$886,$B44,'июнь 2023'!$J$4:$J$886,AD$1)</f>
        <v>0</v>
      </c>
      <c r="AE44" s="207">
        <f>SUMIFS('июнь 2023'!$G$4:$G$886,'июнь 2023'!$D$4:$D$886,$B44,'июнь 2023'!$J$4:$J$886,AE$1)</f>
        <v>0</v>
      </c>
      <c r="AF44" s="207">
        <f>SUMIFS('июнь 2023'!$G$4:$G$886,'июнь 2023'!$D$4:$D$886,$B44,'июнь 2023'!$J$4:$J$886,AF$1)</f>
        <v>0</v>
      </c>
      <c r="AG44" s="207">
        <f>SUMIFS('июнь 2023'!$G$4:$G$886,'июнь 2023'!$D$4:$D$886,$B44,'июнь 2023'!$J$4:$J$886,AG$1)</f>
        <v>0</v>
      </c>
      <c r="AH44" s="207">
        <f>SUMIFS('июнь 2023'!$G$4:$G$886,'июнь 2023'!$D$4:$D$886,$B44,'июнь 2023'!$J$4:$J$886,AH$1)</f>
        <v>0</v>
      </c>
      <c r="AI44" s="170">
        <f t="shared" si="1"/>
        <v>80</v>
      </c>
    </row>
    <row r="45" spans="2:35" ht="15" customHeight="1" x14ac:dyDescent="0.25">
      <c r="B45" s="212" t="s">
        <v>1084</v>
      </c>
      <c r="C45" s="211">
        <v>20</v>
      </c>
      <c r="D45" s="207">
        <f>SUMIFS('июнь 2023'!$G$4:$G$886,'июнь 2023'!$D$4:$D$886,$B45,'июнь 2023'!$J$4:$J$886,D$1)</f>
        <v>0</v>
      </c>
      <c r="E45" s="207">
        <f>SUMIFS('июнь 2023'!$G$4:$G$886,'июнь 2023'!$D$4:$D$886,$B45,'июнь 2023'!$J$4:$J$886,E$1)</f>
        <v>50</v>
      </c>
      <c r="F45" s="207">
        <f>SUMIFS('июнь 2023'!$G$4:$G$886,'июнь 2023'!$D$4:$D$886,$B45,'июнь 2023'!$J$4:$J$886,F$1)</f>
        <v>0</v>
      </c>
      <c r="G45" s="207">
        <f>SUMIFS('июнь 2023'!$G$4:$G$886,'июнь 2023'!$D$4:$D$886,$B45,'июнь 2023'!$J$4:$J$886,G$1)</f>
        <v>0</v>
      </c>
      <c r="H45" s="207">
        <f>SUMIFS('июнь 2023'!$G$4:$G$886,'июнь 2023'!$D$4:$D$886,$B45,'июнь 2023'!$J$4:$J$886,H$1)</f>
        <v>0</v>
      </c>
      <c r="I45" s="207">
        <f>SUMIFS('июнь 2023'!$G$4:$G$886,'июнь 2023'!$D$4:$D$886,$B45,'июнь 2023'!$J$4:$J$886,I$1)</f>
        <v>0</v>
      </c>
      <c r="J45" s="207">
        <f>SUMIFS('июнь 2023'!$G$4:$G$886,'июнь 2023'!$D$4:$D$886,$B45,'июнь 2023'!$J$4:$J$886,J$1)</f>
        <v>0</v>
      </c>
      <c r="K45" s="207">
        <f>SUMIFS('июнь 2023'!$G$4:$G$886,'июнь 2023'!$D$4:$D$886,$B45,'июнь 2023'!$J$4:$J$886,K$1)</f>
        <v>0</v>
      </c>
      <c r="L45" s="207">
        <f>SUMIFS('июнь 2023'!$G$4:$G$886,'июнь 2023'!$D$4:$D$886,$B45,'июнь 2023'!$J$4:$J$886,L$1)</f>
        <v>0</v>
      </c>
      <c r="M45" s="207">
        <f>SUMIFS('июнь 2023'!$G$4:$G$886,'июнь 2023'!$D$4:$D$886,$B45,'июнь 2023'!$J$4:$J$886,M$1)</f>
        <v>0</v>
      </c>
      <c r="N45" s="207">
        <f>SUMIFS('июнь 2023'!$G$4:$G$886,'июнь 2023'!$D$4:$D$886,$B45,'июнь 2023'!$J$4:$J$886,N$1)</f>
        <v>0</v>
      </c>
      <c r="O45" s="207">
        <f>SUMIFS('июнь 2023'!$G$4:$G$886,'июнь 2023'!$D$4:$D$886,$B45,'июнь 2023'!$J$4:$J$886,O$1)</f>
        <v>0</v>
      </c>
      <c r="P45" s="207">
        <f>SUMIFS('июнь 2023'!$G$4:$G$886,'июнь 2023'!$D$4:$D$886,$B45,'июнь 2023'!$J$4:$J$886,P$1)</f>
        <v>0</v>
      </c>
      <c r="Q45" s="207">
        <f>SUMIFS('июнь 2023'!$G$4:$G$886,'июнь 2023'!$D$4:$D$886,$B45,'июнь 2023'!$J$4:$J$886,Q$1)</f>
        <v>0</v>
      </c>
      <c r="R45" s="207">
        <f>SUMIFS('июнь 2023'!$G$4:$G$886,'июнь 2023'!$D$4:$D$886,$B45,'июнь 2023'!$J$4:$J$886,R$1)</f>
        <v>0</v>
      </c>
      <c r="S45" s="207">
        <f>SUMIFS('июнь 2023'!$G$4:$G$886,'июнь 2023'!$D$4:$D$886,$B45,'июнь 2023'!$J$4:$J$886,S$1)</f>
        <v>0</v>
      </c>
      <c r="T45" s="207">
        <f>SUMIFS('июнь 2023'!$G$4:$G$886,'июнь 2023'!$D$4:$D$886,$B45,'июнь 2023'!$J$4:$J$886,T$1)</f>
        <v>0</v>
      </c>
      <c r="U45" s="207">
        <f>SUMIFS('июнь 2023'!$G$4:$G$886,'июнь 2023'!$D$4:$D$886,$B45,'июнь 2023'!$J$4:$J$886,U$1)</f>
        <v>0</v>
      </c>
      <c r="V45" s="207">
        <f>SUMIFS('июнь 2023'!$G$4:$G$886,'июнь 2023'!$D$4:$D$886,$B45,'июнь 2023'!$J$4:$J$886,V$1)</f>
        <v>0</v>
      </c>
      <c r="W45" s="207">
        <f>SUMIFS('июнь 2023'!$G$4:$G$886,'июнь 2023'!$D$4:$D$886,$B45,'июнь 2023'!$J$4:$J$886,W$1)</f>
        <v>0</v>
      </c>
      <c r="X45" s="207">
        <f>SUMIFS('июнь 2023'!$G$4:$G$886,'июнь 2023'!$D$4:$D$886,$B45,'июнь 2023'!$J$4:$J$886,X$1)</f>
        <v>0</v>
      </c>
      <c r="Y45" s="207">
        <f>SUMIFS('июнь 2023'!$G$4:$G$886,'июнь 2023'!$D$4:$D$886,$B45,'июнь 2023'!$J$4:$J$886,Y$1)</f>
        <v>0</v>
      </c>
      <c r="Z45" s="207">
        <f>SUMIFS('июнь 2023'!$G$4:$G$886,'июнь 2023'!$D$4:$D$886,$B45,'июнь 2023'!$J$4:$J$886,Z$1)</f>
        <v>0</v>
      </c>
      <c r="AA45" s="207">
        <f>SUMIFS('июнь 2023'!$G$4:$G$886,'июнь 2023'!$D$4:$D$886,$B45,'июнь 2023'!$J$4:$J$886,AA$1)</f>
        <v>0</v>
      </c>
      <c r="AB45" s="207">
        <f>SUMIFS('июнь 2023'!$G$4:$G$886,'июнь 2023'!$D$4:$D$886,$B45,'июнь 2023'!$J$4:$J$886,AB$1)</f>
        <v>0</v>
      </c>
      <c r="AC45" s="207">
        <f>SUMIFS('июнь 2023'!$G$4:$G$886,'июнь 2023'!$D$4:$D$886,$B45,'июнь 2023'!$J$4:$J$886,AC$1)</f>
        <v>0</v>
      </c>
      <c r="AD45" s="207">
        <f>SUMIFS('июнь 2023'!$G$4:$G$886,'июнь 2023'!$D$4:$D$886,$B45,'июнь 2023'!$J$4:$J$886,AD$1)</f>
        <v>0</v>
      </c>
      <c r="AE45" s="207">
        <f>SUMIFS('июнь 2023'!$G$4:$G$886,'июнь 2023'!$D$4:$D$886,$B45,'июнь 2023'!$J$4:$J$886,AE$1)</f>
        <v>0</v>
      </c>
      <c r="AF45" s="207">
        <f>SUMIFS('июнь 2023'!$G$4:$G$886,'июнь 2023'!$D$4:$D$886,$B45,'июнь 2023'!$J$4:$J$886,AF$1)</f>
        <v>0</v>
      </c>
      <c r="AG45" s="207">
        <f>SUMIFS('июнь 2023'!$G$4:$G$886,'июнь 2023'!$D$4:$D$886,$B45,'июнь 2023'!$J$4:$J$886,AG$1)</f>
        <v>0</v>
      </c>
      <c r="AH45" s="207">
        <f>SUMIFS('июнь 2023'!$G$4:$G$886,'июнь 2023'!$D$4:$D$886,$B45,'июнь 2023'!$J$4:$J$886,AH$1)</f>
        <v>0</v>
      </c>
      <c r="AI45" s="170">
        <f t="shared" si="1"/>
        <v>50</v>
      </c>
    </row>
    <row r="46" spans="2:35" ht="15" customHeight="1" x14ac:dyDescent="0.25">
      <c r="B46" s="212" t="s">
        <v>440</v>
      </c>
      <c r="C46" s="213">
        <v>20</v>
      </c>
      <c r="D46" s="207">
        <f>SUMIFS('июнь 2023'!$G$4:$G$886,'июнь 2023'!$D$4:$D$886,$B46,'июнь 2023'!$J$4:$J$886,D$1)</f>
        <v>0</v>
      </c>
      <c r="E46" s="207">
        <f>SUMIFS('июнь 2023'!$G$4:$G$886,'июнь 2023'!$D$4:$D$886,$B46,'июнь 2023'!$J$4:$J$886,E$1)</f>
        <v>0</v>
      </c>
      <c r="F46" s="207">
        <f>SUMIFS('июнь 2023'!$G$4:$G$886,'июнь 2023'!$D$4:$D$886,$B46,'июнь 2023'!$J$4:$J$886,F$1)</f>
        <v>0</v>
      </c>
      <c r="G46" s="207">
        <f>SUMIFS('июнь 2023'!$G$4:$G$886,'июнь 2023'!$D$4:$D$886,$B46,'июнь 2023'!$J$4:$J$886,G$1)</f>
        <v>0</v>
      </c>
      <c r="H46" s="207">
        <f>SUMIFS('июнь 2023'!$G$4:$G$886,'июнь 2023'!$D$4:$D$886,$B46,'июнь 2023'!$J$4:$J$886,H$1)</f>
        <v>0</v>
      </c>
      <c r="I46" s="207">
        <f>SUMIFS('июнь 2023'!$G$4:$G$886,'июнь 2023'!$D$4:$D$886,$B46,'июнь 2023'!$J$4:$J$886,I$1)</f>
        <v>0</v>
      </c>
      <c r="J46" s="207">
        <f>SUMIFS('июнь 2023'!$G$4:$G$886,'июнь 2023'!$D$4:$D$886,$B46,'июнь 2023'!$J$4:$J$886,J$1)</f>
        <v>0</v>
      </c>
      <c r="K46" s="207">
        <f>SUMIFS('июнь 2023'!$G$4:$G$886,'июнь 2023'!$D$4:$D$886,$B46,'июнь 2023'!$J$4:$J$886,K$1)</f>
        <v>0</v>
      </c>
      <c r="L46" s="207">
        <f>SUMIFS('июнь 2023'!$G$4:$G$886,'июнь 2023'!$D$4:$D$886,$B46,'июнь 2023'!$J$4:$J$886,L$1)</f>
        <v>0</v>
      </c>
      <c r="M46" s="207">
        <f>SUMIFS('июнь 2023'!$G$4:$G$886,'июнь 2023'!$D$4:$D$886,$B46,'июнь 2023'!$J$4:$J$886,M$1)</f>
        <v>0</v>
      </c>
      <c r="N46" s="207">
        <f>SUMIFS('июнь 2023'!$G$4:$G$886,'июнь 2023'!$D$4:$D$886,$B46,'июнь 2023'!$J$4:$J$886,N$1)</f>
        <v>0</v>
      </c>
      <c r="O46" s="207">
        <f>SUMIFS('июнь 2023'!$G$4:$G$886,'июнь 2023'!$D$4:$D$886,$B46,'июнь 2023'!$J$4:$J$886,O$1)</f>
        <v>0</v>
      </c>
      <c r="P46" s="207">
        <f>SUMIFS('июнь 2023'!$G$4:$G$886,'июнь 2023'!$D$4:$D$886,$B46,'июнь 2023'!$J$4:$J$886,P$1)</f>
        <v>0</v>
      </c>
      <c r="Q46" s="207">
        <f>SUMIFS('июнь 2023'!$G$4:$G$886,'июнь 2023'!$D$4:$D$886,$B46,'июнь 2023'!$J$4:$J$886,Q$1)</f>
        <v>0</v>
      </c>
      <c r="R46" s="207">
        <f>SUMIFS('июнь 2023'!$G$4:$G$886,'июнь 2023'!$D$4:$D$886,$B46,'июнь 2023'!$J$4:$J$886,R$1)</f>
        <v>0</v>
      </c>
      <c r="S46" s="207">
        <f>SUMIFS('июнь 2023'!$G$4:$G$886,'июнь 2023'!$D$4:$D$886,$B46,'июнь 2023'!$J$4:$J$886,S$1)</f>
        <v>0</v>
      </c>
      <c r="T46" s="207">
        <f>SUMIFS('июнь 2023'!$G$4:$G$886,'июнь 2023'!$D$4:$D$886,$B46,'июнь 2023'!$J$4:$J$886,T$1)</f>
        <v>0</v>
      </c>
      <c r="U46" s="207">
        <f>SUMIFS('июнь 2023'!$G$4:$G$886,'июнь 2023'!$D$4:$D$886,$B46,'июнь 2023'!$J$4:$J$886,U$1)</f>
        <v>0</v>
      </c>
      <c r="V46" s="207">
        <f>SUMIFS('июнь 2023'!$G$4:$G$886,'июнь 2023'!$D$4:$D$886,$B46,'июнь 2023'!$J$4:$J$886,V$1)</f>
        <v>0</v>
      </c>
      <c r="W46" s="207">
        <f>SUMIFS('июнь 2023'!$G$4:$G$886,'июнь 2023'!$D$4:$D$886,$B46,'июнь 2023'!$J$4:$J$886,W$1)</f>
        <v>0</v>
      </c>
      <c r="X46" s="207">
        <f>SUMIFS('июнь 2023'!$G$4:$G$886,'июнь 2023'!$D$4:$D$886,$B46,'июнь 2023'!$J$4:$J$886,X$1)</f>
        <v>0</v>
      </c>
      <c r="Y46" s="207">
        <f>SUMIFS('июнь 2023'!$G$4:$G$886,'июнь 2023'!$D$4:$D$886,$B46,'июнь 2023'!$J$4:$J$886,Y$1)</f>
        <v>0</v>
      </c>
      <c r="Z46" s="207">
        <f>SUMIFS('июнь 2023'!$G$4:$G$886,'июнь 2023'!$D$4:$D$886,$B46,'июнь 2023'!$J$4:$J$886,Z$1)</f>
        <v>0</v>
      </c>
      <c r="AA46" s="207">
        <f>SUMIFS('июнь 2023'!$G$4:$G$886,'июнь 2023'!$D$4:$D$886,$B46,'июнь 2023'!$J$4:$J$886,AA$1)</f>
        <v>0</v>
      </c>
      <c r="AB46" s="207">
        <f>SUMIFS('июнь 2023'!$G$4:$G$886,'июнь 2023'!$D$4:$D$886,$B46,'июнь 2023'!$J$4:$J$886,AB$1)</f>
        <v>0</v>
      </c>
      <c r="AC46" s="207">
        <f>SUMIFS('июнь 2023'!$G$4:$G$886,'июнь 2023'!$D$4:$D$886,$B46,'июнь 2023'!$J$4:$J$886,AC$1)</f>
        <v>0</v>
      </c>
      <c r="AD46" s="207">
        <f>SUMIFS('июнь 2023'!$G$4:$G$886,'июнь 2023'!$D$4:$D$886,$B46,'июнь 2023'!$J$4:$J$886,AD$1)</f>
        <v>0</v>
      </c>
      <c r="AE46" s="207">
        <f>SUMIFS('июнь 2023'!$G$4:$G$886,'июнь 2023'!$D$4:$D$886,$B46,'июнь 2023'!$J$4:$J$886,AE$1)</f>
        <v>0</v>
      </c>
      <c r="AF46" s="207">
        <f>SUMIFS('июнь 2023'!$G$4:$G$886,'июнь 2023'!$D$4:$D$886,$B46,'июнь 2023'!$J$4:$J$886,AF$1)</f>
        <v>0</v>
      </c>
      <c r="AG46" s="207">
        <f>SUMIFS('июнь 2023'!$G$4:$G$886,'июнь 2023'!$D$4:$D$886,$B46,'июнь 2023'!$J$4:$J$886,AG$1)</f>
        <v>0</v>
      </c>
      <c r="AH46" s="207">
        <f>SUMIFS('июнь 2023'!$G$4:$G$886,'июнь 2023'!$D$4:$D$886,$B46,'июнь 2023'!$J$4:$J$886,AH$1)</f>
        <v>0</v>
      </c>
      <c r="AI46" s="170">
        <f t="shared" si="1"/>
        <v>0</v>
      </c>
    </row>
    <row r="47" spans="2:35" ht="15" customHeight="1" x14ac:dyDescent="0.25">
      <c r="B47" s="212" t="s">
        <v>1573</v>
      </c>
      <c r="C47" s="213">
        <v>50</v>
      </c>
      <c r="D47" s="207">
        <f>SUMIFS('июнь 2023'!$G$4:$G$886,'июнь 2023'!$D$4:$D$886,$B47,'июнь 2023'!$J$4:$J$886,D$1)</f>
        <v>0</v>
      </c>
      <c r="E47" s="207">
        <f>SUMIFS('июнь 2023'!$G$4:$G$886,'июнь 2023'!$D$4:$D$886,$B47,'июнь 2023'!$J$4:$J$886,E$1)</f>
        <v>0</v>
      </c>
      <c r="F47" s="207">
        <f>SUMIFS('июнь 2023'!$G$4:$G$886,'июнь 2023'!$D$4:$D$886,$B47,'июнь 2023'!$J$4:$J$886,F$1)</f>
        <v>0</v>
      </c>
      <c r="G47" s="207">
        <f>SUMIFS('июнь 2023'!$G$4:$G$886,'июнь 2023'!$D$4:$D$886,$B47,'июнь 2023'!$J$4:$J$886,G$1)</f>
        <v>0</v>
      </c>
      <c r="H47" s="207">
        <f>SUMIFS('июнь 2023'!$G$4:$G$886,'июнь 2023'!$D$4:$D$886,$B47,'июнь 2023'!$J$4:$J$886,H$1)</f>
        <v>0</v>
      </c>
      <c r="I47" s="207">
        <f>SUMIFS('июнь 2023'!$G$4:$G$886,'июнь 2023'!$D$4:$D$886,$B47,'июнь 2023'!$J$4:$J$886,I$1)</f>
        <v>0</v>
      </c>
      <c r="J47" s="207">
        <f>SUMIFS('июнь 2023'!$G$4:$G$886,'июнь 2023'!$D$4:$D$886,$B47,'июнь 2023'!$J$4:$J$886,J$1)</f>
        <v>0</v>
      </c>
      <c r="K47" s="207">
        <f>SUMIFS('июнь 2023'!$G$4:$G$886,'июнь 2023'!$D$4:$D$886,$B47,'июнь 2023'!$J$4:$J$886,K$1)</f>
        <v>0</v>
      </c>
      <c r="L47" s="207">
        <f>SUMIFS('июнь 2023'!$G$4:$G$886,'июнь 2023'!$D$4:$D$886,$B47,'июнь 2023'!$J$4:$J$886,L$1)</f>
        <v>0</v>
      </c>
      <c r="M47" s="207">
        <f>SUMIFS('июнь 2023'!$G$4:$G$886,'июнь 2023'!$D$4:$D$886,$B47,'июнь 2023'!$J$4:$J$886,M$1)</f>
        <v>0</v>
      </c>
      <c r="N47" s="207">
        <f>SUMIFS('июнь 2023'!$G$4:$G$886,'июнь 2023'!$D$4:$D$886,$B47,'июнь 2023'!$J$4:$J$886,N$1)</f>
        <v>0</v>
      </c>
      <c r="O47" s="207">
        <f>SUMIFS('июнь 2023'!$G$4:$G$886,'июнь 2023'!$D$4:$D$886,$B47,'июнь 2023'!$J$4:$J$886,O$1)</f>
        <v>0</v>
      </c>
      <c r="P47" s="207">
        <f>SUMIFS('июнь 2023'!$G$4:$G$886,'июнь 2023'!$D$4:$D$886,$B47,'июнь 2023'!$J$4:$J$886,P$1)</f>
        <v>0</v>
      </c>
      <c r="Q47" s="207">
        <f>SUMIFS('июнь 2023'!$G$4:$G$886,'июнь 2023'!$D$4:$D$886,$B47,'июнь 2023'!$J$4:$J$886,Q$1)</f>
        <v>0</v>
      </c>
      <c r="R47" s="207">
        <f>SUMIFS('июнь 2023'!$G$4:$G$886,'июнь 2023'!$D$4:$D$886,$B47,'июнь 2023'!$J$4:$J$886,R$1)</f>
        <v>0</v>
      </c>
      <c r="S47" s="207">
        <f>SUMIFS('июнь 2023'!$G$4:$G$886,'июнь 2023'!$D$4:$D$886,$B47,'июнь 2023'!$J$4:$J$886,S$1)</f>
        <v>0</v>
      </c>
      <c r="T47" s="207">
        <f>SUMIFS('июнь 2023'!$G$4:$G$886,'июнь 2023'!$D$4:$D$886,$B47,'июнь 2023'!$J$4:$J$886,T$1)</f>
        <v>0</v>
      </c>
      <c r="U47" s="207">
        <f>SUMIFS('июнь 2023'!$G$4:$G$886,'июнь 2023'!$D$4:$D$886,$B47,'июнь 2023'!$J$4:$J$886,U$1)</f>
        <v>0</v>
      </c>
      <c r="V47" s="207">
        <f>SUMIFS('июнь 2023'!$G$4:$G$886,'июнь 2023'!$D$4:$D$886,$B47,'июнь 2023'!$J$4:$J$886,V$1)</f>
        <v>0</v>
      </c>
      <c r="W47" s="207">
        <f>SUMIFS('июнь 2023'!$G$4:$G$886,'июнь 2023'!$D$4:$D$886,$B47,'июнь 2023'!$J$4:$J$886,W$1)</f>
        <v>0</v>
      </c>
      <c r="X47" s="207">
        <f>SUMIFS('июнь 2023'!$G$4:$G$886,'июнь 2023'!$D$4:$D$886,$B47,'июнь 2023'!$J$4:$J$886,X$1)</f>
        <v>0</v>
      </c>
      <c r="Y47" s="207">
        <f>SUMIFS('июнь 2023'!$G$4:$G$886,'июнь 2023'!$D$4:$D$886,$B47,'июнь 2023'!$J$4:$J$886,Y$1)</f>
        <v>0</v>
      </c>
      <c r="Z47" s="207">
        <f>SUMIFS('июнь 2023'!$G$4:$G$886,'июнь 2023'!$D$4:$D$886,$B47,'июнь 2023'!$J$4:$J$886,Z$1)</f>
        <v>0</v>
      </c>
      <c r="AA47" s="207">
        <f>SUMIFS('июнь 2023'!$G$4:$G$886,'июнь 2023'!$D$4:$D$886,$B47,'июнь 2023'!$J$4:$J$886,AA$1)</f>
        <v>0</v>
      </c>
      <c r="AB47" s="207">
        <f>SUMIFS('июнь 2023'!$G$4:$G$886,'июнь 2023'!$D$4:$D$886,$B47,'июнь 2023'!$J$4:$J$886,AB$1)</f>
        <v>0</v>
      </c>
      <c r="AC47" s="207">
        <f>SUMIFS('июнь 2023'!$G$4:$G$886,'июнь 2023'!$D$4:$D$886,$B47,'июнь 2023'!$J$4:$J$886,AC$1)</f>
        <v>0</v>
      </c>
      <c r="AD47" s="207">
        <f>SUMIFS('июнь 2023'!$G$4:$G$886,'июнь 2023'!$D$4:$D$886,$B47,'июнь 2023'!$J$4:$J$886,AD$1)</f>
        <v>0</v>
      </c>
      <c r="AE47" s="207">
        <f>SUMIFS('июнь 2023'!$G$4:$G$886,'июнь 2023'!$D$4:$D$886,$B47,'июнь 2023'!$J$4:$J$886,AE$1)</f>
        <v>0</v>
      </c>
      <c r="AF47" s="207">
        <f>SUMIFS('июнь 2023'!$G$4:$G$886,'июнь 2023'!$D$4:$D$886,$B47,'июнь 2023'!$J$4:$J$886,AF$1)</f>
        <v>0</v>
      </c>
      <c r="AG47" s="207">
        <f>SUMIFS('июнь 2023'!$G$4:$G$886,'июнь 2023'!$D$4:$D$886,$B47,'июнь 2023'!$J$4:$J$886,AG$1)</f>
        <v>0</v>
      </c>
      <c r="AH47" s="207">
        <f>SUMIFS('июнь 2023'!$G$4:$G$886,'июнь 2023'!$D$4:$D$886,$B47,'июнь 2023'!$J$4:$J$886,AH$1)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SUMIFS('июнь 2023'!$G$4:$G$886,'июнь 2023'!$D$4:$D$886,$B48,'июнь 2023'!$J$4:$J$886,D$1)</f>
        <v>0</v>
      </c>
      <c r="E48" s="207">
        <f>SUMIFS('июнь 2023'!$G$4:$G$886,'июнь 2023'!$D$4:$D$886,$B48,'июнь 2023'!$J$4:$J$886,E$1)</f>
        <v>0</v>
      </c>
      <c r="F48" s="207">
        <f>SUMIFS('июнь 2023'!$G$4:$G$886,'июнь 2023'!$D$4:$D$886,$B48,'июнь 2023'!$J$4:$J$886,F$1)</f>
        <v>0</v>
      </c>
      <c r="G48" s="207">
        <f>SUMIFS('июнь 2023'!$G$4:$G$886,'июнь 2023'!$D$4:$D$886,$B48,'июнь 2023'!$J$4:$J$886,G$1)</f>
        <v>0</v>
      </c>
      <c r="H48" s="207">
        <f>SUMIFS('июнь 2023'!$G$4:$G$886,'июнь 2023'!$D$4:$D$886,$B48,'июнь 2023'!$J$4:$J$886,H$1)</f>
        <v>0</v>
      </c>
      <c r="I48" s="207">
        <f>SUMIFS('июнь 2023'!$G$4:$G$886,'июнь 2023'!$D$4:$D$886,$B48,'июнь 2023'!$J$4:$J$886,I$1)</f>
        <v>0</v>
      </c>
      <c r="J48" s="207">
        <f>SUMIFS('июнь 2023'!$G$4:$G$886,'июнь 2023'!$D$4:$D$886,$B48,'июнь 2023'!$J$4:$J$886,J$1)</f>
        <v>0</v>
      </c>
      <c r="K48" s="207">
        <f>SUMIFS('июнь 2023'!$G$4:$G$886,'июнь 2023'!$D$4:$D$886,$B48,'июнь 2023'!$J$4:$J$886,K$1)</f>
        <v>0</v>
      </c>
      <c r="L48" s="207">
        <f>SUMIFS('июнь 2023'!$G$4:$G$886,'июнь 2023'!$D$4:$D$886,$B48,'июнь 2023'!$J$4:$J$886,L$1)</f>
        <v>0</v>
      </c>
      <c r="M48" s="207">
        <f>SUMIFS('июнь 2023'!$G$4:$G$886,'июнь 2023'!$D$4:$D$886,$B48,'июнь 2023'!$J$4:$J$886,M$1)</f>
        <v>0</v>
      </c>
      <c r="N48" s="207">
        <f>SUMIFS('июнь 2023'!$G$4:$G$886,'июнь 2023'!$D$4:$D$886,$B48,'июнь 2023'!$J$4:$J$886,N$1)</f>
        <v>0</v>
      </c>
      <c r="O48" s="207">
        <f>SUMIFS('июнь 2023'!$G$4:$G$886,'июнь 2023'!$D$4:$D$886,$B48,'июнь 2023'!$J$4:$J$886,O$1)</f>
        <v>0</v>
      </c>
      <c r="P48" s="207">
        <f>SUMIFS('июнь 2023'!$G$4:$G$886,'июнь 2023'!$D$4:$D$886,$B48,'июнь 2023'!$J$4:$J$886,P$1)</f>
        <v>0</v>
      </c>
      <c r="Q48" s="207">
        <f>SUMIFS('июнь 2023'!$G$4:$G$886,'июнь 2023'!$D$4:$D$886,$B48,'июнь 2023'!$J$4:$J$886,Q$1)</f>
        <v>0</v>
      </c>
      <c r="R48" s="207">
        <f>SUMIFS('июнь 2023'!$G$4:$G$886,'июнь 2023'!$D$4:$D$886,$B48,'июнь 2023'!$J$4:$J$886,R$1)</f>
        <v>0</v>
      </c>
      <c r="S48" s="207">
        <f>SUMIFS('июнь 2023'!$G$4:$G$886,'июнь 2023'!$D$4:$D$886,$B48,'июнь 2023'!$J$4:$J$886,S$1)</f>
        <v>0</v>
      </c>
      <c r="T48" s="207">
        <f>SUMIFS('июнь 2023'!$G$4:$G$886,'июнь 2023'!$D$4:$D$886,$B48,'июнь 2023'!$J$4:$J$886,T$1)</f>
        <v>0</v>
      </c>
      <c r="U48" s="207">
        <f>SUMIFS('июнь 2023'!$G$4:$G$886,'июнь 2023'!$D$4:$D$886,$B48,'июнь 2023'!$J$4:$J$886,U$1)</f>
        <v>0</v>
      </c>
      <c r="V48" s="207">
        <f>SUMIFS('июнь 2023'!$G$4:$G$886,'июнь 2023'!$D$4:$D$886,$B48,'июнь 2023'!$J$4:$J$886,V$1)</f>
        <v>0</v>
      </c>
      <c r="W48" s="207">
        <f>SUMIFS('июнь 2023'!$G$4:$G$886,'июнь 2023'!$D$4:$D$886,$B48,'июнь 2023'!$J$4:$J$886,W$1)</f>
        <v>0</v>
      </c>
      <c r="X48" s="207">
        <f>SUMIFS('июнь 2023'!$G$4:$G$886,'июнь 2023'!$D$4:$D$886,$B48,'июнь 2023'!$J$4:$J$886,X$1)</f>
        <v>0</v>
      </c>
      <c r="Y48" s="207">
        <f>SUMIFS('июнь 2023'!$G$4:$G$886,'июнь 2023'!$D$4:$D$886,$B48,'июнь 2023'!$J$4:$J$886,Y$1)</f>
        <v>0</v>
      </c>
      <c r="Z48" s="207">
        <f>SUMIFS('июнь 2023'!$G$4:$G$886,'июнь 2023'!$D$4:$D$886,$B48,'июнь 2023'!$J$4:$J$886,Z$1)</f>
        <v>0</v>
      </c>
      <c r="AA48" s="207">
        <f>SUMIFS('июнь 2023'!$G$4:$G$886,'июнь 2023'!$D$4:$D$886,$B48,'июнь 2023'!$J$4:$J$886,AA$1)</f>
        <v>0</v>
      </c>
      <c r="AB48" s="207">
        <f>SUMIFS('июнь 2023'!$G$4:$G$886,'июнь 2023'!$D$4:$D$886,$B48,'июнь 2023'!$J$4:$J$886,AB$1)</f>
        <v>0</v>
      </c>
      <c r="AC48" s="207">
        <f>SUMIFS('июнь 2023'!$G$4:$G$886,'июнь 2023'!$D$4:$D$886,$B48,'июнь 2023'!$J$4:$J$886,AC$1)</f>
        <v>0</v>
      </c>
      <c r="AD48" s="207">
        <f>SUMIFS('июнь 2023'!$G$4:$G$886,'июнь 2023'!$D$4:$D$886,$B48,'июнь 2023'!$J$4:$J$886,AD$1)</f>
        <v>0</v>
      </c>
      <c r="AE48" s="207">
        <f>SUMIFS('июнь 2023'!$G$4:$G$886,'июнь 2023'!$D$4:$D$886,$B48,'июнь 2023'!$J$4:$J$886,AE$1)</f>
        <v>0</v>
      </c>
      <c r="AF48" s="207">
        <f>SUMIFS('июнь 2023'!$G$4:$G$886,'июнь 2023'!$D$4:$D$886,$B48,'июнь 2023'!$J$4:$J$886,AF$1)</f>
        <v>0</v>
      </c>
      <c r="AG48" s="207">
        <f>SUMIFS('июнь 2023'!$G$4:$G$886,'июнь 2023'!$D$4:$D$886,$B48,'июнь 2023'!$J$4:$J$886,AG$1)</f>
        <v>0</v>
      </c>
      <c r="AH48" s="207">
        <f>SUMIFS('июнь 2023'!$G$4:$G$886,'июнь 2023'!$D$4:$D$886,$B48,'июнь 2023'!$J$4:$J$886,AH$1)</f>
        <v>0</v>
      </c>
      <c r="AI48" s="170">
        <f t="shared" si="1"/>
        <v>0</v>
      </c>
    </row>
    <row r="49" spans="2:35" ht="15" customHeight="1" x14ac:dyDescent="0.25">
      <c r="B49" s="208" t="s">
        <v>1340</v>
      </c>
      <c r="C49" s="213">
        <v>50</v>
      </c>
      <c r="D49" s="207">
        <f>SUMIFS('июнь 2023'!$G$4:$G$886,'июнь 2023'!$D$4:$D$886,$B49,'июнь 2023'!$J$4:$J$886,D$1)</f>
        <v>0</v>
      </c>
      <c r="E49" s="207">
        <f>SUMIFS('июнь 2023'!$G$4:$G$886,'июнь 2023'!$D$4:$D$886,$B49,'июнь 2023'!$J$4:$J$886,E$1)</f>
        <v>0</v>
      </c>
      <c r="F49" s="207">
        <f>SUMIFS('июнь 2023'!$G$4:$G$886,'июнь 2023'!$D$4:$D$886,$B49,'июнь 2023'!$J$4:$J$886,F$1)</f>
        <v>0</v>
      </c>
      <c r="G49" s="207">
        <f>SUMIFS('июнь 2023'!$G$4:$G$886,'июнь 2023'!$D$4:$D$886,$B49,'июнь 2023'!$J$4:$J$886,G$1)</f>
        <v>0</v>
      </c>
      <c r="H49" s="207">
        <f>SUMIFS('июнь 2023'!$G$4:$G$886,'июнь 2023'!$D$4:$D$886,$B49,'июнь 2023'!$J$4:$J$886,H$1)</f>
        <v>0</v>
      </c>
      <c r="I49" s="207">
        <f>SUMIFS('июнь 2023'!$G$4:$G$886,'июнь 2023'!$D$4:$D$886,$B49,'июнь 2023'!$J$4:$J$886,I$1)</f>
        <v>0</v>
      </c>
      <c r="J49" s="207">
        <f>SUMIFS('июнь 2023'!$G$4:$G$886,'июнь 2023'!$D$4:$D$886,$B49,'июнь 2023'!$J$4:$J$886,J$1)</f>
        <v>0</v>
      </c>
      <c r="K49" s="207">
        <f>SUMIFS('июнь 2023'!$G$4:$G$886,'июнь 2023'!$D$4:$D$886,$B49,'июнь 2023'!$J$4:$J$886,K$1)</f>
        <v>0</v>
      </c>
      <c r="L49" s="207">
        <f>SUMIFS('июнь 2023'!$G$4:$G$886,'июнь 2023'!$D$4:$D$886,$B49,'июнь 2023'!$J$4:$J$886,L$1)</f>
        <v>0</v>
      </c>
      <c r="M49" s="207">
        <f>SUMIFS('июнь 2023'!$G$4:$G$886,'июнь 2023'!$D$4:$D$886,$B49,'июнь 2023'!$J$4:$J$886,M$1)</f>
        <v>0</v>
      </c>
      <c r="N49" s="207">
        <f>SUMIFS('июнь 2023'!$G$4:$G$886,'июнь 2023'!$D$4:$D$886,$B49,'июнь 2023'!$J$4:$J$886,N$1)</f>
        <v>0</v>
      </c>
      <c r="O49" s="207">
        <f>SUMIFS('июнь 2023'!$G$4:$G$886,'июнь 2023'!$D$4:$D$886,$B49,'июнь 2023'!$J$4:$J$886,O$1)</f>
        <v>0</v>
      </c>
      <c r="P49" s="207">
        <f>SUMIFS('июнь 2023'!$G$4:$G$886,'июнь 2023'!$D$4:$D$886,$B49,'июнь 2023'!$J$4:$J$886,P$1)</f>
        <v>0</v>
      </c>
      <c r="Q49" s="207">
        <f>SUMIFS('июнь 2023'!$G$4:$G$886,'июнь 2023'!$D$4:$D$886,$B49,'июнь 2023'!$J$4:$J$886,Q$1)</f>
        <v>0</v>
      </c>
      <c r="R49" s="207">
        <f>SUMIFS('июнь 2023'!$G$4:$G$886,'июнь 2023'!$D$4:$D$886,$B49,'июнь 2023'!$J$4:$J$886,R$1)</f>
        <v>0</v>
      </c>
      <c r="S49" s="207">
        <f>SUMIFS('июнь 2023'!$G$4:$G$886,'июнь 2023'!$D$4:$D$886,$B49,'июнь 2023'!$J$4:$J$886,S$1)</f>
        <v>0</v>
      </c>
      <c r="T49" s="207">
        <f>SUMIFS('июнь 2023'!$G$4:$G$886,'июнь 2023'!$D$4:$D$886,$B49,'июнь 2023'!$J$4:$J$886,T$1)</f>
        <v>0</v>
      </c>
      <c r="U49" s="207">
        <f>SUMIFS('июнь 2023'!$G$4:$G$886,'июнь 2023'!$D$4:$D$886,$B49,'июнь 2023'!$J$4:$J$886,U$1)</f>
        <v>0</v>
      </c>
      <c r="V49" s="207">
        <f>SUMIFS('июнь 2023'!$G$4:$G$886,'июнь 2023'!$D$4:$D$886,$B49,'июнь 2023'!$J$4:$J$886,V$1)</f>
        <v>0</v>
      </c>
      <c r="W49" s="207">
        <f>SUMIFS('июнь 2023'!$G$4:$G$886,'июнь 2023'!$D$4:$D$886,$B49,'июнь 2023'!$J$4:$J$886,W$1)</f>
        <v>0</v>
      </c>
      <c r="X49" s="207">
        <f>SUMIFS('июнь 2023'!$G$4:$G$886,'июнь 2023'!$D$4:$D$886,$B49,'июнь 2023'!$J$4:$J$886,X$1)</f>
        <v>0</v>
      </c>
      <c r="Y49" s="207">
        <f>SUMIFS('июнь 2023'!$G$4:$G$886,'июнь 2023'!$D$4:$D$886,$B49,'июнь 2023'!$J$4:$J$886,Y$1)</f>
        <v>0</v>
      </c>
      <c r="Z49" s="207">
        <f>SUMIFS('июнь 2023'!$G$4:$G$886,'июнь 2023'!$D$4:$D$886,$B49,'июнь 2023'!$J$4:$J$886,Z$1)</f>
        <v>0</v>
      </c>
      <c r="AA49" s="207">
        <f>SUMIFS('июнь 2023'!$G$4:$G$886,'июнь 2023'!$D$4:$D$886,$B49,'июнь 2023'!$J$4:$J$886,AA$1)</f>
        <v>0</v>
      </c>
      <c r="AB49" s="207">
        <f>SUMIFS('июнь 2023'!$G$4:$G$886,'июнь 2023'!$D$4:$D$886,$B49,'июнь 2023'!$J$4:$J$886,AB$1)</f>
        <v>0</v>
      </c>
      <c r="AC49" s="207">
        <f>SUMIFS('июнь 2023'!$G$4:$G$886,'июнь 2023'!$D$4:$D$886,$B49,'июнь 2023'!$J$4:$J$886,AC$1)</f>
        <v>0</v>
      </c>
      <c r="AD49" s="207">
        <f>SUMIFS('июнь 2023'!$G$4:$G$886,'июнь 2023'!$D$4:$D$886,$B49,'июнь 2023'!$J$4:$J$886,AD$1)</f>
        <v>0</v>
      </c>
      <c r="AE49" s="207">
        <f>SUMIFS('июнь 2023'!$G$4:$G$886,'июнь 2023'!$D$4:$D$886,$B49,'июнь 2023'!$J$4:$J$886,AE$1)</f>
        <v>0</v>
      </c>
      <c r="AF49" s="207">
        <f>SUMIFS('июнь 2023'!$G$4:$G$886,'июнь 2023'!$D$4:$D$886,$B49,'июнь 2023'!$J$4:$J$886,AF$1)</f>
        <v>0</v>
      </c>
      <c r="AG49" s="207">
        <f>SUMIFS('июнь 2023'!$G$4:$G$886,'июнь 2023'!$D$4:$D$886,$B49,'июнь 2023'!$J$4:$J$886,AG$1)</f>
        <v>0</v>
      </c>
      <c r="AH49" s="207">
        <f>SUMIFS('июнь 2023'!$G$4:$G$886,'июнь 2023'!$D$4:$D$886,$B49,'июнь 2023'!$J$4:$J$886,AH$1)</f>
        <v>0</v>
      </c>
      <c r="AI49" s="170">
        <f t="shared" si="1"/>
        <v>0</v>
      </c>
    </row>
    <row r="50" spans="2:35" ht="15" customHeight="1" x14ac:dyDescent="0.25">
      <c r="B50" s="212" t="s">
        <v>2141</v>
      </c>
      <c r="C50" s="213">
        <v>200</v>
      </c>
      <c r="D50" s="207">
        <f>SUMIFS('июнь 2023'!$G$4:$G$886,'июнь 2023'!$D$4:$D$886,$B50,'июнь 2023'!$J$4:$J$886,D$1)</f>
        <v>0</v>
      </c>
      <c r="E50" s="207">
        <f>SUMIFS('июнь 2023'!$G$4:$G$886,'июнь 2023'!$D$4:$D$886,$B50,'июнь 2023'!$J$4:$J$886,E$1)</f>
        <v>0</v>
      </c>
      <c r="F50" s="207">
        <f>SUMIFS('июнь 2023'!$G$4:$G$886,'июнь 2023'!$D$4:$D$886,$B50,'июнь 2023'!$J$4:$J$886,F$1)</f>
        <v>0</v>
      </c>
      <c r="G50" s="207">
        <f>SUMIFS('июнь 2023'!$G$4:$G$886,'июнь 2023'!$D$4:$D$886,$B50,'июнь 2023'!$J$4:$J$886,G$1)</f>
        <v>0</v>
      </c>
      <c r="H50" s="207">
        <f>SUMIFS('июнь 2023'!$G$4:$G$886,'июнь 2023'!$D$4:$D$886,$B50,'июнь 2023'!$J$4:$J$886,H$1)</f>
        <v>0</v>
      </c>
      <c r="I50" s="207">
        <f>SUMIFS('июнь 2023'!$G$4:$G$886,'июнь 2023'!$D$4:$D$886,$B50,'июнь 2023'!$J$4:$J$886,I$1)</f>
        <v>0</v>
      </c>
      <c r="J50" s="207">
        <f>SUMIFS('июнь 2023'!$G$4:$G$886,'июнь 2023'!$D$4:$D$886,$B50,'июнь 2023'!$J$4:$J$886,J$1)</f>
        <v>0</v>
      </c>
      <c r="K50" s="207">
        <f>SUMIFS('июнь 2023'!$G$4:$G$886,'июнь 2023'!$D$4:$D$886,$B50,'июнь 2023'!$J$4:$J$886,K$1)</f>
        <v>0</v>
      </c>
      <c r="L50" s="207">
        <f>SUMIFS('июнь 2023'!$G$4:$G$886,'июнь 2023'!$D$4:$D$886,$B50,'июнь 2023'!$J$4:$J$886,L$1)</f>
        <v>0</v>
      </c>
      <c r="M50" s="207">
        <f>SUMIFS('июнь 2023'!$G$4:$G$886,'июнь 2023'!$D$4:$D$886,$B50,'июнь 2023'!$J$4:$J$886,M$1)</f>
        <v>0</v>
      </c>
      <c r="N50" s="207">
        <f>SUMIFS('июнь 2023'!$G$4:$G$886,'июнь 2023'!$D$4:$D$886,$B50,'июнь 2023'!$J$4:$J$886,N$1)</f>
        <v>0</v>
      </c>
      <c r="O50" s="207">
        <f>SUMIFS('июнь 2023'!$G$4:$G$886,'июнь 2023'!$D$4:$D$886,$B50,'июнь 2023'!$J$4:$J$886,O$1)</f>
        <v>0</v>
      </c>
      <c r="P50" s="207">
        <f>SUMIFS('июнь 2023'!$G$4:$G$886,'июнь 2023'!$D$4:$D$886,$B50,'июнь 2023'!$J$4:$J$886,P$1)</f>
        <v>0</v>
      </c>
      <c r="Q50" s="207">
        <f>SUMIFS('июнь 2023'!$G$4:$G$886,'июнь 2023'!$D$4:$D$886,$B50,'июнь 2023'!$J$4:$J$886,Q$1)</f>
        <v>0</v>
      </c>
      <c r="R50" s="207">
        <f>SUMIFS('июнь 2023'!$G$4:$G$886,'июнь 2023'!$D$4:$D$886,$B50,'июнь 2023'!$J$4:$J$886,R$1)</f>
        <v>0</v>
      </c>
      <c r="S50" s="207">
        <f>SUMIFS('июнь 2023'!$G$4:$G$886,'июнь 2023'!$D$4:$D$886,$B50,'июнь 2023'!$J$4:$J$886,S$1)</f>
        <v>0</v>
      </c>
      <c r="T50" s="207">
        <f>SUMIFS('июнь 2023'!$G$4:$G$886,'июнь 2023'!$D$4:$D$886,$B50,'июнь 2023'!$J$4:$J$886,T$1)</f>
        <v>0</v>
      </c>
      <c r="U50" s="207">
        <f>SUMIFS('июнь 2023'!$G$4:$G$886,'июнь 2023'!$D$4:$D$886,$B50,'июнь 2023'!$J$4:$J$886,U$1)</f>
        <v>0</v>
      </c>
      <c r="V50" s="207">
        <f>SUMIFS('июнь 2023'!$G$4:$G$886,'июнь 2023'!$D$4:$D$886,$B50,'июнь 2023'!$J$4:$J$886,V$1)</f>
        <v>0</v>
      </c>
      <c r="W50" s="207">
        <f>SUMIFS('июнь 2023'!$G$4:$G$886,'июнь 2023'!$D$4:$D$886,$B50,'июнь 2023'!$J$4:$J$886,W$1)</f>
        <v>0</v>
      </c>
      <c r="X50" s="207">
        <f>SUMIFS('июнь 2023'!$G$4:$G$886,'июнь 2023'!$D$4:$D$886,$B50,'июнь 2023'!$J$4:$J$886,X$1)</f>
        <v>0</v>
      </c>
      <c r="Y50" s="207">
        <f>SUMIFS('июнь 2023'!$G$4:$G$886,'июнь 2023'!$D$4:$D$886,$B50,'июнь 2023'!$J$4:$J$886,Y$1)</f>
        <v>0</v>
      </c>
      <c r="Z50" s="207">
        <f>SUMIFS('июнь 2023'!$G$4:$G$886,'июнь 2023'!$D$4:$D$886,$B50,'июнь 2023'!$J$4:$J$886,Z$1)</f>
        <v>0</v>
      </c>
      <c r="AA50" s="207">
        <f>SUMIFS('июнь 2023'!$G$4:$G$886,'июнь 2023'!$D$4:$D$886,$B50,'июнь 2023'!$J$4:$J$886,AA$1)</f>
        <v>0</v>
      </c>
      <c r="AB50" s="207">
        <f>SUMIFS('июнь 2023'!$G$4:$G$886,'июнь 2023'!$D$4:$D$886,$B50,'июнь 2023'!$J$4:$J$886,AB$1)</f>
        <v>0</v>
      </c>
      <c r="AC50" s="207">
        <f>SUMIFS('июнь 2023'!$G$4:$G$886,'июнь 2023'!$D$4:$D$886,$B50,'июнь 2023'!$J$4:$J$886,AC$1)</f>
        <v>0</v>
      </c>
      <c r="AD50" s="207">
        <f>SUMIFS('июнь 2023'!$G$4:$G$886,'июнь 2023'!$D$4:$D$886,$B50,'июнь 2023'!$J$4:$J$886,AD$1)</f>
        <v>0</v>
      </c>
      <c r="AE50" s="207">
        <f>SUMIFS('июнь 2023'!$G$4:$G$886,'июнь 2023'!$D$4:$D$886,$B50,'июнь 2023'!$J$4:$J$886,AE$1)</f>
        <v>0</v>
      </c>
      <c r="AF50" s="207">
        <f>SUMIFS('июнь 2023'!$G$4:$G$886,'июнь 2023'!$D$4:$D$886,$B50,'июнь 2023'!$J$4:$J$886,AF$1)</f>
        <v>0</v>
      </c>
      <c r="AG50" s="207">
        <f>SUMIFS('июнь 2023'!$G$4:$G$886,'июнь 2023'!$D$4:$D$886,$B50,'июнь 2023'!$J$4:$J$886,AG$1)</f>
        <v>0</v>
      </c>
      <c r="AH50" s="207">
        <f>SUMIFS('июнь 2023'!$G$4:$G$886,'июнь 2023'!$D$4:$D$886,$B50,'июнь 2023'!$J$4:$J$886,AH$1)</f>
        <v>0</v>
      </c>
      <c r="AI50" s="170">
        <f t="shared" si="1"/>
        <v>0</v>
      </c>
    </row>
    <row r="51" spans="2:35" ht="15" customHeight="1" x14ac:dyDescent="0.25">
      <c r="B51" s="212" t="s">
        <v>110</v>
      </c>
      <c r="C51" s="213">
        <v>200</v>
      </c>
      <c r="D51" s="207">
        <f>SUMIFS('июнь 2023'!$G$4:$G$886,'июнь 2023'!$D$4:$D$886,$B51,'июнь 2023'!$J$4:$J$886,D$1)</f>
        <v>0</v>
      </c>
      <c r="E51" s="207">
        <f>SUMIFS('июнь 2023'!$G$4:$G$886,'июнь 2023'!$D$4:$D$886,$B51,'июнь 2023'!$J$4:$J$886,E$1)</f>
        <v>0</v>
      </c>
      <c r="F51" s="207">
        <f>SUMIFS('июнь 2023'!$G$4:$G$886,'июнь 2023'!$D$4:$D$886,$B51,'июнь 2023'!$J$4:$J$886,F$1)</f>
        <v>0</v>
      </c>
      <c r="G51" s="207">
        <f>SUMIFS('июнь 2023'!$G$4:$G$886,'июнь 2023'!$D$4:$D$886,$B51,'июнь 2023'!$J$4:$J$886,G$1)</f>
        <v>0</v>
      </c>
      <c r="H51" s="207">
        <f>SUMIFS('июнь 2023'!$G$4:$G$886,'июнь 2023'!$D$4:$D$886,$B51,'июнь 2023'!$J$4:$J$886,H$1)</f>
        <v>0</v>
      </c>
      <c r="I51" s="207">
        <f>SUMIFS('июнь 2023'!$G$4:$G$886,'июнь 2023'!$D$4:$D$886,$B51,'июнь 2023'!$J$4:$J$886,I$1)</f>
        <v>15</v>
      </c>
      <c r="J51" s="207">
        <f>SUMIFS('июнь 2023'!$G$4:$G$886,'июнь 2023'!$D$4:$D$886,$B51,'июнь 2023'!$J$4:$J$886,J$1)</f>
        <v>0</v>
      </c>
      <c r="K51" s="207">
        <f>SUMIFS('июнь 2023'!$G$4:$G$886,'июнь 2023'!$D$4:$D$886,$B51,'июнь 2023'!$J$4:$J$886,K$1)</f>
        <v>0</v>
      </c>
      <c r="L51" s="207">
        <f>SUMIFS('июнь 2023'!$G$4:$G$886,'июнь 2023'!$D$4:$D$886,$B51,'июнь 2023'!$J$4:$J$886,L$1)</f>
        <v>0</v>
      </c>
      <c r="M51" s="207">
        <f>SUMIFS('июнь 2023'!$G$4:$G$886,'июнь 2023'!$D$4:$D$886,$B51,'июнь 2023'!$J$4:$J$886,M$1)</f>
        <v>0</v>
      </c>
      <c r="N51" s="207">
        <f>SUMIFS('июнь 2023'!$G$4:$G$886,'июнь 2023'!$D$4:$D$886,$B51,'июнь 2023'!$J$4:$J$886,N$1)</f>
        <v>0</v>
      </c>
      <c r="O51" s="207">
        <f>SUMIFS('июнь 2023'!$G$4:$G$886,'июнь 2023'!$D$4:$D$886,$B51,'июнь 2023'!$J$4:$J$886,O$1)</f>
        <v>0</v>
      </c>
      <c r="P51" s="207">
        <f>SUMIFS('июнь 2023'!$G$4:$G$886,'июнь 2023'!$D$4:$D$886,$B51,'июнь 2023'!$J$4:$J$886,P$1)</f>
        <v>88</v>
      </c>
      <c r="Q51" s="207">
        <f>SUMIFS('июнь 2023'!$G$4:$G$886,'июнь 2023'!$D$4:$D$886,$B51,'июнь 2023'!$J$4:$J$886,Q$1)</f>
        <v>0</v>
      </c>
      <c r="R51" s="207">
        <f>SUMIFS('июнь 2023'!$G$4:$G$886,'июнь 2023'!$D$4:$D$886,$B51,'июнь 2023'!$J$4:$J$886,R$1)</f>
        <v>0</v>
      </c>
      <c r="S51" s="207">
        <f>SUMIFS('июнь 2023'!$G$4:$G$886,'июнь 2023'!$D$4:$D$886,$B51,'июнь 2023'!$J$4:$J$886,S$1)</f>
        <v>0</v>
      </c>
      <c r="T51" s="207">
        <f>SUMIFS('июнь 2023'!$G$4:$G$886,'июнь 2023'!$D$4:$D$886,$B51,'июнь 2023'!$J$4:$J$886,T$1)</f>
        <v>0</v>
      </c>
      <c r="U51" s="207">
        <f>SUMIFS('июнь 2023'!$G$4:$G$886,'июнь 2023'!$D$4:$D$886,$B51,'июнь 2023'!$J$4:$J$886,U$1)</f>
        <v>0</v>
      </c>
      <c r="V51" s="207">
        <f>SUMIFS('июнь 2023'!$G$4:$G$886,'июнь 2023'!$D$4:$D$886,$B51,'июнь 2023'!$J$4:$J$886,V$1)</f>
        <v>15</v>
      </c>
      <c r="W51" s="207">
        <f>SUMIFS('июнь 2023'!$G$4:$G$886,'июнь 2023'!$D$4:$D$886,$B51,'июнь 2023'!$J$4:$J$886,W$1)</f>
        <v>0</v>
      </c>
      <c r="X51" s="207">
        <f>SUMIFS('июнь 2023'!$G$4:$G$886,'июнь 2023'!$D$4:$D$886,$B51,'июнь 2023'!$J$4:$J$886,X$1)</f>
        <v>23</v>
      </c>
      <c r="Y51" s="207">
        <f>SUMIFS('июнь 2023'!$G$4:$G$886,'июнь 2023'!$D$4:$D$886,$B51,'июнь 2023'!$J$4:$J$886,Y$1)</f>
        <v>0</v>
      </c>
      <c r="Z51" s="207">
        <f>SUMIFS('июнь 2023'!$G$4:$G$886,'июнь 2023'!$D$4:$D$886,$B51,'июнь 2023'!$J$4:$J$886,Z$1)</f>
        <v>0</v>
      </c>
      <c r="AA51" s="207">
        <f>SUMIFS('июнь 2023'!$G$4:$G$886,'июнь 2023'!$D$4:$D$886,$B51,'июнь 2023'!$J$4:$J$886,AA$1)</f>
        <v>0</v>
      </c>
      <c r="AB51" s="207">
        <f>SUMIFS('июнь 2023'!$G$4:$G$886,'июнь 2023'!$D$4:$D$886,$B51,'июнь 2023'!$J$4:$J$886,AB$1)</f>
        <v>0</v>
      </c>
      <c r="AC51" s="207">
        <f>SUMIFS('июнь 2023'!$G$4:$G$886,'июнь 2023'!$D$4:$D$886,$B51,'июнь 2023'!$J$4:$J$886,AC$1)</f>
        <v>0</v>
      </c>
      <c r="AD51" s="207">
        <f>SUMIFS('июнь 2023'!$G$4:$G$886,'июнь 2023'!$D$4:$D$886,$B51,'июнь 2023'!$J$4:$J$886,AD$1)</f>
        <v>0</v>
      </c>
      <c r="AE51" s="207">
        <f>SUMIFS('июнь 2023'!$G$4:$G$886,'июнь 2023'!$D$4:$D$886,$B51,'июнь 2023'!$J$4:$J$886,AE$1)</f>
        <v>0</v>
      </c>
      <c r="AF51" s="207">
        <f>SUMIFS('июнь 2023'!$G$4:$G$886,'июнь 2023'!$D$4:$D$886,$B51,'июнь 2023'!$J$4:$J$886,AF$1)</f>
        <v>0</v>
      </c>
      <c r="AG51" s="207">
        <f>SUMIFS('июнь 2023'!$G$4:$G$886,'июнь 2023'!$D$4:$D$886,$B51,'июнь 2023'!$J$4:$J$886,AG$1)</f>
        <v>0</v>
      </c>
      <c r="AH51" s="207">
        <f>SUMIFS('июнь 2023'!$G$4:$G$886,'июнь 2023'!$D$4:$D$886,$B51,'июнь 2023'!$J$4:$J$886,AH$1)</f>
        <v>0</v>
      </c>
      <c r="AI51" s="170">
        <f t="shared" si="1"/>
        <v>141</v>
      </c>
    </row>
    <row r="52" spans="2:35" ht="15" customHeight="1" x14ac:dyDescent="0.25">
      <c r="B52" s="212" t="s">
        <v>1415</v>
      </c>
      <c r="C52" s="213">
        <v>200</v>
      </c>
      <c r="D52" s="207">
        <f>SUMIFS('июнь 2023'!$G$4:$G$886,'июнь 2023'!$D$4:$D$886,$B52,'июнь 2023'!$J$4:$J$886,D$1)</f>
        <v>0</v>
      </c>
      <c r="E52" s="207">
        <f>SUMIFS('июнь 2023'!$G$4:$G$886,'июнь 2023'!$D$4:$D$886,$B52,'июнь 2023'!$J$4:$J$886,E$1)</f>
        <v>0</v>
      </c>
      <c r="F52" s="207">
        <f>SUMIFS('июнь 2023'!$G$4:$G$886,'июнь 2023'!$D$4:$D$886,$B52,'июнь 2023'!$J$4:$J$886,F$1)</f>
        <v>0</v>
      </c>
      <c r="G52" s="207">
        <f>SUMIFS('июнь 2023'!$G$4:$G$886,'июнь 2023'!$D$4:$D$886,$B52,'июнь 2023'!$J$4:$J$886,G$1)</f>
        <v>0</v>
      </c>
      <c r="H52" s="207">
        <f>SUMIFS('июнь 2023'!$G$4:$G$886,'июнь 2023'!$D$4:$D$886,$B52,'июнь 2023'!$J$4:$J$886,H$1)</f>
        <v>0</v>
      </c>
      <c r="I52" s="207">
        <f>SUMIFS('июнь 2023'!$G$4:$G$886,'июнь 2023'!$D$4:$D$886,$B52,'июнь 2023'!$J$4:$J$886,I$1)</f>
        <v>0</v>
      </c>
      <c r="J52" s="207">
        <f>SUMIFS('июнь 2023'!$G$4:$G$886,'июнь 2023'!$D$4:$D$886,$B52,'июнь 2023'!$J$4:$J$886,J$1)</f>
        <v>0</v>
      </c>
      <c r="K52" s="207">
        <f>SUMIFS('июнь 2023'!$G$4:$G$886,'июнь 2023'!$D$4:$D$886,$B52,'июнь 2023'!$J$4:$J$886,K$1)</f>
        <v>0</v>
      </c>
      <c r="L52" s="207">
        <f>SUMIFS('июнь 2023'!$G$4:$G$886,'июнь 2023'!$D$4:$D$886,$B52,'июнь 2023'!$J$4:$J$886,L$1)</f>
        <v>0</v>
      </c>
      <c r="M52" s="207">
        <f>SUMIFS('июнь 2023'!$G$4:$G$886,'июнь 2023'!$D$4:$D$886,$B52,'июнь 2023'!$J$4:$J$886,M$1)</f>
        <v>0</v>
      </c>
      <c r="N52" s="207">
        <f>SUMIFS('июнь 2023'!$G$4:$G$886,'июнь 2023'!$D$4:$D$886,$B52,'июнь 2023'!$J$4:$J$886,N$1)</f>
        <v>0</v>
      </c>
      <c r="O52" s="207">
        <f>SUMIFS('июнь 2023'!$G$4:$G$886,'июнь 2023'!$D$4:$D$886,$B52,'июнь 2023'!$J$4:$J$886,O$1)</f>
        <v>0</v>
      </c>
      <c r="P52" s="207">
        <f>SUMIFS('июнь 2023'!$G$4:$G$886,'июнь 2023'!$D$4:$D$886,$B52,'июнь 2023'!$J$4:$J$886,P$1)</f>
        <v>0</v>
      </c>
      <c r="Q52" s="207">
        <f>SUMIFS('июнь 2023'!$G$4:$G$886,'июнь 2023'!$D$4:$D$886,$B52,'июнь 2023'!$J$4:$J$886,Q$1)</f>
        <v>0</v>
      </c>
      <c r="R52" s="207">
        <f>SUMIFS('июнь 2023'!$G$4:$G$886,'июнь 2023'!$D$4:$D$886,$B52,'июнь 2023'!$J$4:$J$886,R$1)</f>
        <v>0</v>
      </c>
      <c r="S52" s="207">
        <f>SUMIFS('июнь 2023'!$G$4:$G$886,'июнь 2023'!$D$4:$D$886,$B52,'июнь 2023'!$J$4:$J$886,S$1)</f>
        <v>0</v>
      </c>
      <c r="T52" s="207">
        <f>SUMIFS('июнь 2023'!$G$4:$G$886,'июнь 2023'!$D$4:$D$886,$B52,'июнь 2023'!$J$4:$J$886,T$1)</f>
        <v>0</v>
      </c>
      <c r="U52" s="207">
        <f>SUMIFS('июнь 2023'!$G$4:$G$886,'июнь 2023'!$D$4:$D$886,$B52,'июнь 2023'!$J$4:$J$886,U$1)</f>
        <v>0</v>
      </c>
      <c r="V52" s="207">
        <f>SUMIFS('июнь 2023'!$G$4:$G$886,'июнь 2023'!$D$4:$D$886,$B52,'июнь 2023'!$J$4:$J$886,V$1)</f>
        <v>0</v>
      </c>
      <c r="W52" s="207">
        <f>SUMIFS('июнь 2023'!$G$4:$G$886,'июнь 2023'!$D$4:$D$886,$B52,'июнь 2023'!$J$4:$J$886,W$1)</f>
        <v>0</v>
      </c>
      <c r="X52" s="207">
        <f>SUMIFS('июнь 2023'!$G$4:$G$886,'июнь 2023'!$D$4:$D$886,$B52,'июнь 2023'!$J$4:$J$886,X$1)</f>
        <v>0</v>
      </c>
      <c r="Y52" s="207">
        <f>SUMIFS('июнь 2023'!$G$4:$G$886,'июнь 2023'!$D$4:$D$886,$B52,'июнь 2023'!$J$4:$J$886,Y$1)</f>
        <v>0</v>
      </c>
      <c r="Z52" s="207">
        <f>SUMIFS('июнь 2023'!$G$4:$G$886,'июнь 2023'!$D$4:$D$886,$B52,'июнь 2023'!$J$4:$J$886,Z$1)</f>
        <v>0</v>
      </c>
      <c r="AA52" s="207">
        <f>SUMIFS('июнь 2023'!$G$4:$G$886,'июнь 2023'!$D$4:$D$886,$B52,'июнь 2023'!$J$4:$J$886,AA$1)</f>
        <v>0</v>
      </c>
      <c r="AB52" s="207">
        <f>SUMIFS('июнь 2023'!$G$4:$G$886,'июнь 2023'!$D$4:$D$886,$B52,'июнь 2023'!$J$4:$J$886,AB$1)</f>
        <v>0</v>
      </c>
      <c r="AC52" s="207">
        <f>SUMIFS('июнь 2023'!$G$4:$G$886,'июнь 2023'!$D$4:$D$886,$B52,'июнь 2023'!$J$4:$J$886,AC$1)</f>
        <v>0</v>
      </c>
      <c r="AD52" s="207">
        <f>SUMIFS('июнь 2023'!$G$4:$G$886,'июнь 2023'!$D$4:$D$886,$B52,'июнь 2023'!$J$4:$J$886,AD$1)</f>
        <v>0</v>
      </c>
      <c r="AE52" s="207">
        <f>SUMIFS('июнь 2023'!$G$4:$G$886,'июнь 2023'!$D$4:$D$886,$B52,'июнь 2023'!$J$4:$J$886,AE$1)</f>
        <v>0</v>
      </c>
      <c r="AF52" s="207">
        <f>SUMIFS('июнь 2023'!$G$4:$G$886,'июнь 2023'!$D$4:$D$886,$B52,'июнь 2023'!$J$4:$J$886,AF$1)</f>
        <v>0</v>
      </c>
      <c r="AG52" s="207">
        <f>SUMIFS('июнь 2023'!$G$4:$G$886,'июнь 2023'!$D$4:$D$886,$B52,'июнь 2023'!$J$4:$J$886,AG$1)</f>
        <v>0</v>
      </c>
      <c r="AH52" s="207">
        <f>SUMIFS('июнь 2023'!$G$4:$G$886,'июнь 2023'!$D$4:$D$886,$B52,'июнь 2023'!$J$4:$J$886,AH$1)</f>
        <v>0</v>
      </c>
      <c r="AI52" s="170">
        <f>SUM(D52:AH52)</f>
        <v>0</v>
      </c>
    </row>
    <row r="53" spans="2:35" ht="15" customHeight="1" x14ac:dyDescent="0.25">
      <c r="B53" s="212" t="s">
        <v>2144</v>
      </c>
      <c r="C53" s="213">
        <v>200</v>
      </c>
      <c r="D53" s="207">
        <f>SUMIFS('июнь 2023'!$G$4:$G$886,'июнь 2023'!$D$4:$D$886,$B53,'июнь 2023'!$J$4:$J$886,D$1)</f>
        <v>0</v>
      </c>
      <c r="E53" s="207">
        <f>SUMIFS('июнь 2023'!$G$4:$G$886,'июнь 2023'!$D$4:$D$886,$B53,'июнь 2023'!$J$4:$J$886,E$1)</f>
        <v>0</v>
      </c>
      <c r="F53" s="207">
        <f>SUMIFS('июнь 2023'!$G$4:$G$886,'июнь 2023'!$D$4:$D$886,$B53,'июнь 2023'!$J$4:$J$886,F$1)</f>
        <v>0</v>
      </c>
      <c r="G53" s="207">
        <f>SUMIFS('июнь 2023'!$G$4:$G$886,'июнь 2023'!$D$4:$D$886,$B53,'июнь 2023'!$J$4:$J$886,G$1)</f>
        <v>0</v>
      </c>
      <c r="H53" s="207">
        <f>SUMIFS('июнь 2023'!$G$4:$G$886,'июнь 2023'!$D$4:$D$886,$B53,'июнь 2023'!$J$4:$J$886,H$1)</f>
        <v>0</v>
      </c>
      <c r="I53" s="207">
        <f>SUMIFS('июнь 2023'!$G$4:$G$886,'июнь 2023'!$D$4:$D$886,$B53,'июнь 2023'!$J$4:$J$886,I$1)</f>
        <v>0</v>
      </c>
      <c r="J53" s="207">
        <f>SUMIFS('июнь 2023'!$G$4:$G$886,'июнь 2023'!$D$4:$D$886,$B53,'июнь 2023'!$J$4:$J$886,J$1)</f>
        <v>0</v>
      </c>
      <c r="K53" s="207">
        <f>SUMIFS('июнь 2023'!$G$4:$G$886,'июнь 2023'!$D$4:$D$886,$B53,'июнь 2023'!$J$4:$J$886,K$1)</f>
        <v>0</v>
      </c>
      <c r="L53" s="207">
        <f>SUMIFS('июнь 2023'!$G$4:$G$886,'июнь 2023'!$D$4:$D$886,$B53,'июнь 2023'!$J$4:$J$886,L$1)</f>
        <v>0</v>
      </c>
      <c r="M53" s="207">
        <f>SUMIFS('июнь 2023'!$G$4:$G$886,'июнь 2023'!$D$4:$D$886,$B53,'июнь 2023'!$J$4:$J$886,M$1)</f>
        <v>0</v>
      </c>
      <c r="N53" s="207">
        <f>SUMIFS('июнь 2023'!$G$4:$G$886,'июнь 2023'!$D$4:$D$886,$B53,'июнь 2023'!$J$4:$J$886,N$1)</f>
        <v>0</v>
      </c>
      <c r="O53" s="207">
        <f>SUMIFS('июнь 2023'!$G$4:$G$886,'июнь 2023'!$D$4:$D$886,$B53,'июнь 2023'!$J$4:$J$886,O$1)</f>
        <v>0</v>
      </c>
      <c r="P53" s="207">
        <f>SUMIFS('июнь 2023'!$G$4:$G$886,'июнь 2023'!$D$4:$D$886,$B53,'июнь 2023'!$J$4:$J$886,P$1)</f>
        <v>0</v>
      </c>
      <c r="Q53" s="207">
        <f>SUMIFS('июнь 2023'!$G$4:$G$886,'июнь 2023'!$D$4:$D$886,$B53,'июнь 2023'!$J$4:$J$886,Q$1)</f>
        <v>0</v>
      </c>
      <c r="R53" s="207">
        <f>SUMIFS('июнь 2023'!$G$4:$G$886,'июнь 2023'!$D$4:$D$886,$B53,'июнь 2023'!$J$4:$J$886,R$1)</f>
        <v>0</v>
      </c>
      <c r="S53" s="207">
        <f>SUMIFS('июнь 2023'!$G$4:$G$886,'июнь 2023'!$D$4:$D$886,$B53,'июнь 2023'!$J$4:$J$886,S$1)</f>
        <v>0</v>
      </c>
      <c r="T53" s="207">
        <f>SUMIFS('июнь 2023'!$G$4:$G$886,'июнь 2023'!$D$4:$D$886,$B53,'июнь 2023'!$J$4:$J$886,T$1)</f>
        <v>0</v>
      </c>
      <c r="U53" s="207">
        <f>SUMIFS('июнь 2023'!$G$4:$G$886,'июнь 2023'!$D$4:$D$886,$B53,'июнь 2023'!$J$4:$J$886,U$1)</f>
        <v>0</v>
      </c>
      <c r="V53" s="207">
        <f>SUMIFS('июнь 2023'!$G$4:$G$886,'июнь 2023'!$D$4:$D$886,$B53,'июнь 2023'!$J$4:$J$886,V$1)</f>
        <v>0</v>
      </c>
      <c r="W53" s="207">
        <f>SUMIFS('июнь 2023'!$G$4:$G$886,'июнь 2023'!$D$4:$D$886,$B53,'июнь 2023'!$J$4:$J$886,W$1)</f>
        <v>0</v>
      </c>
      <c r="X53" s="207">
        <f>SUMIFS('июнь 2023'!$G$4:$G$886,'июнь 2023'!$D$4:$D$886,$B53,'июнь 2023'!$J$4:$J$886,X$1)</f>
        <v>0</v>
      </c>
      <c r="Y53" s="207">
        <f>SUMIFS('июнь 2023'!$G$4:$G$886,'июнь 2023'!$D$4:$D$886,$B53,'июнь 2023'!$J$4:$J$886,Y$1)</f>
        <v>0</v>
      </c>
      <c r="Z53" s="207">
        <f>SUMIFS('июнь 2023'!$G$4:$G$886,'июнь 2023'!$D$4:$D$886,$B53,'июнь 2023'!$J$4:$J$886,Z$1)</f>
        <v>0</v>
      </c>
      <c r="AA53" s="207">
        <f>SUMIFS('июнь 2023'!$G$4:$G$886,'июнь 2023'!$D$4:$D$886,$B53,'июнь 2023'!$J$4:$J$886,AA$1)</f>
        <v>0</v>
      </c>
      <c r="AB53" s="207">
        <f>SUMIFS('июнь 2023'!$G$4:$G$886,'июнь 2023'!$D$4:$D$886,$B53,'июнь 2023'!$J$4:$J$886,AB$1)</f>
        <v>0</v>
      </c>
      <c r="AC53" s="207">
        <f>SUMIFS('июнь 2023'!$G$4:$G$886,'июнь 2023'!$D$4:$D$886,$B53,'июнь 2023'!$J$4:$J$886,AC$1)</f>
        <v>0</v>
      </c>
      <c r="AD53" s="207">
        <f>SUMIFS('июнь 2023'!$G$4:$G$886,'июнь 2023'!$D$4:$D$886,$B53,'июнь 2023'!$J$4:$J$886,AD$1)</f>
        <v>0</v>
      </c>
      <c r="AE53" s="207">
        <f>SUMIFS('июнь 2023'!$G$4:$G$886,'июнь 2023'!$D$4:$D$886,$B53,'июнь 2023'!$J$4:$J$886,AE$1)</f>
        <v>0</v>
      </c>
      <c r="AF53" s="207">
        <f>SUMIFS('июнь 2023'!$G$4:$G$886,'июнь 2023'!$D$4:$D$886,$B53,'июнь 2023'!$J$4:$J$886,AF$1)</f>
        <v>0</v>
      </c>
      <c r="AG53" s="207">
        <f>SUMIFS('июнь 2023'!$G$4:$G$886,'июнь 2023'!$D$4:$D$886,$B53,'июнь 2023'!$J$4:$J$886,AG$1)</f>
        <v>0</v>
      </c>
      <c r="AH53" s="207">
        <f>SUMIFS('июнь 2023'!$G$4:$G$886,'июнь 2023'!$D$4:$D$886,$B53,'июнь 2023'!$J$4:$J$886,AH$1)</f>
        <v>0</v>
      </c>
      <c r="AI53" s="170">
        <f t="shared" si="1"/>
        <v>0</v>
      </c>
    </row>
    <row r="54" spans="2:35" ht="15" customHeight="1" x14ac:dyDescent="0.25">
      <c r="B54" s="217" t="s">
        <v>50</v>
      </c>
      <c r="C54" s="213">
        <v>200</v>
      </c>
      <c r="D54" s="207">
        <f>SUMIFS('июнь 2023'!$G$4:$G$886,'июнь 2023'!$D$4:$D$886,$B54,'июнь 2023'!$J$4:$J$886,D$1)</f>
        <v>0</v>
      </c>
      <c r="E54" s="207">
        <f>SUMIFS('июнь 2023'!$G$4:$G$886,'июнь 2023'!$D$4:$D$886,$B54,'июнь 2023'!$J$4:$J$886,E$1)</f>
        <v>0</v>
      </c>
      <c r="F54" s="207">
        <f>SUMIFS('июнь 2023'!$G$4:$G$886,'июнь 2023'!$D$4:$D$886,$B54,'июнь 2023'!$J$4:$J$886,F$1)</f>
        <v>0</v>
      </c>
      <c r="G54" s="207">
        <f>SUMIFS('июнь 2023'!$G$4:$G$886,'июнь 2023'!$D$4:$D$886,$B54,'июнь 2023'!$J$4:$J$886,G$1)</f>
        <v>0</v>
      </c>
      <c r="H54" s="207">
        <f>SUMIFS('июнь 2023'!$G$4:$G$886,'июнь 2023'!$D$4:$D$886,$B54,'июнь 2023'!$J$4:$J$886,H$1)</f>
        <v>0</v>
      </c>
      <c r="I54" s="207">
        <f>SUMIFS('июнь 2023'!$G$4:$G$886,'июнь 2023'!$D$4:$D$886,$B54,'июнь 2023'!$J$4:$J$886,I$1)</f>
        <v>0</v>
      </c>
      <c r="J54" s="207">
        <f>SUMIFS('июнь 2023'!$G$4:$G$886,'июнь 2023'!$D$4:$D$886,$B54,'июнь 2023'!$J$4:$J$886,J$1)</f>
        <v>0</v>
      </c>
      <c r="K54" s="207">
        <f>SUMIFS('июнь 2023'!$G$4:$G$886,'июнь 2023'!$D$4:$D$886,$B54,'июнь 2023'!$J$4:$J$886,K$1)</f>
        <v>0</v>
      </c>
      <c r="L54" s="207">
        <f>SUMIFS('июнь 2023'!$G$4:$G$886,'июнь 2023'!$D$4:$D$886,$B54,'июнь 2023'!$J$4:$J$886,L$1)</f>
        <v>0</v>
      </c>
      <c r="M54" s="207">
        <f>SUMIFS('июнь 2023'!$G$4:$G$886,'июнь 2023'!$D$4:$D$886,$B54,'июнь 2023'!$J$4:$J$886,M$1)</f>
        <v>0</v>
      </c>
      <c r="N54" s="207">
        <f>SUMIFS('июнь 2023'!$G$4:$G$886,'июнь 2023'!$D$4:$D$886,$B54,'июнь 2023'!$J$4:$J$886,N$1)</f>
        <v>0</v>
      </c>
      <c r="O54" s="207">
        <f>SUMIFS('июнь 2023'!$G$4:$G$886,'июнь 2023'!$D$4:$D$886,$B54,'июнь 2023'!$J$4:$J$886,O$1)</f>
        <v>0</v>
      </c>
      <c r="P54" s="207">
        <f>SUMIFS('июнь 2023'!$G$4:$G$886,'июнь 2023'!$D$4:$D$886,$B54,'июнь 2023'!$J$4:$J$886,P$1)</f>
        <v>0</v>
      </c>
      <c r="Q54" s="207">
        <f>SUMIFS('июнь 2023'!$G$4:$G$886,'июнь 2023'!$D$4:$D$886,$B54,'июнь 2023'!$J$4:$J$886,Q$1)</f>
        <v>0</v>
      </c>
      <c r="R54" s="207">
        <f>SUMIFS('июнь 2023'!$G$4:$G$886,'июнь 2023'!$D$4:$D$886,$B54,'июнь 2023'!$J$4:$J$886,R$1)</f>
        <v>0</v>
      </c>
      <c r="S54" s="207">
        <f>SUMIFS('июнь 2023'!$G$4:$G$886,'июнь 2023'!$D$4:$D$886,$B54,'июнь 2023'!$J$4:$J$886,S$1)</f>
        <v>0</v>
      </c>
      <c r="T54" s="207">
        <f>SUMIFS('июнь 2023'!$G$4:$G$886,'июнь 2023'!$D$4:$D$886,$B54,'июнь 2023'!$J$4:$J$886,T$1)</f>
        <v>0</v>
      </c>
      <c r="U54" s="207">
        <f>SUMIFS('июнь 2023'!$G$4:$G$886,'июнь 2023'!$D$4:$D$886,$B54,'июнь 2023'!$J$4:$J$886,U$1)</f>
        <v>0</v>
      </c>
      <c r="V54" s="207">
        <f>SUMIFS('июнь 2023'!$G$4:$G$886,'июнь 2023'!$D$4:$D$886,$B54,'июнь 2023'!$J$4:$J$886,V$1)</f>
        <v>0</v>
      </c>
      <c r="W54" s="207">
        <f>SUMIFS('июнь 2023'!$G$4:$G$886,'июнь 2023'!$D$4:$D$886,$B54,'июнь 2023'!$J$4:$J$886,W$1)</f>
        <v>0</v>
      </c>
      <c r="X54" s="207">
        <f>SUMIFS('июнь 2023'!$G$4:$G$886,'июнь 2023'!$D$4:$D$886,$B54,'июнь 2023'!$J$4:$J$886,X$1)</f>
        <v>0</v>
      </c>
      <c r="Y54" s="207">
        <f>SUMIFS('июнь 2023'!$G$4:$G$886,'июнь 2023'!$D$4:$D$886,$B54,'июнь 2023'!$J$4:$J$886,Y$1)</f>
        <v>0</v>
      </c>
      <c r="Z54" s="207">
        <f>SUMIFS('июнь 2023'!$G$4:$G$886,'июнь 2023'!$D$4:$D$886,$B54,'июнь 2023'!$J$4:$J$886,Z$1)</f>
        <v>0</v>
      </c>
      <c r="AA54" s="207">
        <f>SUMIFS('июнь 2023'!$G$4:$G$886,'июнь 2023'!$D$4:$D$886,$B54,'июнь 2023'!$J$4:$J$886,AA$1)</f>
        <v>0</v>
      </c>
      <c r="AB54" s="207">
        <f>SUMIFS('июнь 2023'!$G$4:$G$886,'июнь 2023'!$D$4:$D$886,$B54,'июнь 2023'!$J$4:$J$886,AB$1)</f>
        <v>0</v>
      </c>
      <c r="AC54" s="207">
        <f>SUMIFS('июнь 2023'!$G$4:$G$886,'июнь 2023'!$D$4:$D$886,$B54,'июнь 2023'!$J$4:$J$886,AC$1)</f>
        <v>0</v>
      </c>
      <c r="AD54" s="207">
        <f>SUMIFS('июнь 2023'!$G$4:$G$886,'июнь 2023'!$D$4:$D$886,$B54,'июнь 2023'!$J$4:$J$886,AD$1)</f>
        <v>0</v>
      </c>
      <c r="AE54" s="207">
        <f>SUMIFS('июнь 2023'!$G$4:$G$886,'июнь 2023'!$D$4:$D$886,$B54,'июнь 2023'!$J$4:$J$886,AE$1)</f>
        <v>0</v>
      </c>
      <c r="AF54" s="207">
        <f>SUMIFS('июнь 2023'!$G$4:$G$886,'июнь 2023'!$D$4:$D$886,$B54,'июнь 2023'!$J$4:$J$886,AF$1)</f>
        <v>0</v>
      </c>
      <c r="AG54" s="207">
        <f>SUMIFS('июнь 2023'!$G$4:$G$886,'июнь 2023'!$D$4:$D$886,$B54,'июнь 2023'!$J$4:$J$886,AG$1)</f>
        <v>0</v>
      </c>
      <c r="AH54" s="207">
        <f>SUMIFS('июнь 2023'!$G$4:$G$886,'июнь 2023'!$D$4:$D$886,$B54,'июнь 2023'!$J$4:$J$886,AH$1)</f>
        <v>0</v>
      </c>
      <c r="AI54" s="170">
        <f t="shared" si="1"/>
        <v>0</v>
      </c>
    </row>
    <row r="55" spans="2:35" ht="15" customHeight="1" x14ac:dyDescent="0.25">
      <c r="B55" s="217" t="s">
        <v>2148</v>
      </c>
      <c r="C55" s="213">
        <v>190</v>
      </c>
      <c r="D55" s="207">
        <f>SUMIFS('июнь 2023'!$G$4:$G$886,'июнь 2023'!$D$4:$D$886,$B55,'июнь 2023'!$J$4:$J$886,D$1)</f>
        <v>0</v>
      </c>
      <c r="E55" s="207">
        <f>SUMIFS('июнь 2023'!$G$4:$G$886,'июнь 2023'!$D$4:$D$886,$B55,'июнь 2023'!$J$4:$J$886,E$1)</f>
        <v>0</v>
      </c>
      <c r="F55" s="207">
        <f>SUMIFS('июнь 2023'!$G$4:$G$886,'июнь 2023'!$D$4:$D$886,$B55,'июнь 2023'!$J$4:$J$886,F$1)</f>
        <v>0</v>
      </c>
      <c r="G55" s="207">
        <f>SUMIFS('июнь 2023'!$G$4:$G$886,'июнь 2023'!$D$4:$D$886,$B55,'июнь 2023'!$J$4:$J$886,G$1)</f>
        <v>0</v>
      </c>
      <c r="H55" s="207">
        <f>SUMIFS('июнь 2023'!$G$4:$G$886,'июнь 2023'!$D$4:$D$886,$B55,'июнь 2023'!$J$4:$J$886,H$1)</f>
        <v>0</v>
      </c>
      <c r="I55" s="207">
        <f>SUMIFS('июнь 2023'!$G$4:$G$886,'июнь 2023'!$D$4:$D$886,$B55,'июнь 2023'!$J$4:$J$886,I$1)</f>
        <v>0</v>
      </c>
      <c r="J55" s="207">
        <f>SUMIFS('июнь 2023'!$G$4:$G$886,'июнь 2023'!$D$4:$D$886,$B55,'июнь 2023'!$J$4:$J$886,J$1)</f>
        <v>0</v>
      </c>
      <c r="K55" s="207">
        <f>SUMIFS('июнь 2023'!$G$4:$G$886,'июнь 2023'!$D$4:$D$886,$B55,'июнь 2023'!$J$4:$J$886,K$1)</f>
        <v>0</v>
      </c>
      <c r="L55" s="207">
        <f>SUMIFS('июнь 2023'!$G$4:$G$886,'июнь 2023'!$D$4:$D$886,$B55,'июнь 2023'!$J$4:$J$886,L$1)</f>
        <v>0</v>
      </c>
      <c r="M55" s="207">
        <f>SUMIFS('июнь 2023'!$G$4:$G$886,'июнь 2023'!$D$4:$D$886,$B55,'июнь 2023'!$J$4:$J$886,M$1)</f>
        <v>0</v>
      </c>
      <c r="N55" s="207">
        <f>SUMIFS('июнь 2023'!$G$4:$G$886,'июнь 2023'!$D$4:$D$886,$B55,'июнь 2023'!$J$4:$J$886,N$1)</f>
        <v>0</v>
      </c>
      <c r="O55" s="207">
        <f>SUMIFS('июнь 2023'!$G$4:$G$886,'июнь 2023'!$D$4:$D$886,$B55,'июнь 2023'!$J$4:$J$886,O$1)</f>
        <v>0</v>
      </c>
      <c r="P55" s="207">
        <f>SUMIFS('июнь 2023'!$G$4:$G$886,'июнь 2023'!$D$4:$D$886,$B55,'июнь 2023'!$J$4:$J$886,P$1)</f>
        <v>0</v>
      </c>
      <c r="Q55" s="207">
        <f>SUMIFS('июнь 2023'!$G$4:$G$886,'июнь 2023'!$D$4:$D$886,$B55,'июнь 2023'!$J$4:$J$886,Q$1)</f>
        <v>0</v>
      </c>
      <c r="R55" s="207">
        <f>SUMIFS('июнь 2023'!$G$4:$G$886,'июнь 2023'!$D$4:$D$886,$B55,'июнь 2023'!$J$4:$J$886,R$1)</f>
        <v>0</v>
      </c>
      <c r="S55" s="207">
        <f>SUMIFS('июнь 2023'!$G$4:$G$886,'июнь 2023'!$D$4:$D$886,$B55,'июнь 2023'!$J$4:$J$886,S$1)</f>
        <v>0</v>
      </c>
      <c r="T55" s="207">
        <f>SUMIFS('июнь 2023'!$G$4:$G$886,'июнь 2023'!$D$4:$D$886,$B55,'июнь 2023'!$J$4:$J$886,T$1)</f>
        <v>0</v>
      </c>
      <c r="U55" s="207">
        <f>SUMIFS('июнь 2023'!$G$4:$G$886,'июнь 2023'!$D$4:$D$886,$B55,'июнь 2023'!$J$4:$J$886,U$1)</f>
        <v>0</v>
      </c>
      <c r="V55" s="207">
        <f>SUMIFS('июнь 2023'!$G$4:$G$886,'июнь 2023'!$D$4:$D$886,$B55,'июнь 2023'!$J$4:$J$886,V$1)</f>
        <v>0</v>
      </c>
      <c r="W55" s="207">
        <f>SUMIFS('июнь 2023'!$G$4:$G$886,'июнь 2023'!$D$4:$D$886,$B55,'июнь 2023'!$J$4:$J$886,W$1)</f>
        <v>0</v>
      </c>
      <c r="X55" s="207">
        <f>SUMIFS('июнь 2023'!$G$4:$G$886,'июнь 2023'!$D$4:$D$886,$B55,'июнь 2023'!$J$4:$J$886,X$1)</f>
        <v>0</v>
      </c>
      <c r="Y55" s="207">
        <f>SUMIFS('июнь 2023'!$G$4:$G$886,'июнь 2023'!$D$4:$D$886,$B55,'июнь 2023'!$J$4:$J$886,Y$1)</f>
        <v>0</v>
      </c>
      <c r="Z55" s="207">
        <f>SUMIFS('июнь 2023'!$G$4:$G$886,'июнь 2023'!$D$4:$D$886,$B55,'июнь 2023'!$J$4:$J$886,Z$1)</f>
        <v>0</v>
      </c>
      <c r="AA55" s="207">
        <f>SUMIFS('июнь 2023'!$G$4:$G$886,'июнь 2023'!$D$4:$D$886,$B55,'июнь 2023'!$J$4:$J$886,AA$1)</f>
        <v>0</v>
      </c>
      <c r="AB55" s="207">
        <f>SUMIFS('июнь 2023'!$G$4:$G$886,'июнь 2023'!$D$4:$D$886,$B55,'июнь 2023'!$J$4:$J$886,AB$1)</f>
        <v>0</v>
      </c>
      <c r="AC55" s="207">
        <f>SUMIFS('июнь 2023'!$G$4:$G$886,'июнь 2023'!$D$4:$D$886,$B55,'июнь 2023'!$J$4:$J$886,AC$1)</f>
        <v>0</v>
      </c>
      <c r="AD55" s="207">
        <f>SUMIFS('июнь 2023'!$G$4:$G$886,'июнь 2023'!$D$4:$D$886,$B55,'июнь 2023'!$J$4:$J$886,AD$1)</f>
        <v>0</v>
      </c>
      <c r="AE55" s="207">
        <f>SUMIFS('июнь 2023'!$G$4:$G$886,'июнь 2023'!$D$4:$D$886,$B55,'июнь 2023'!$J$4:$J$886,AE$1)</f>
        <v>0</v>
      </c>
      <c r="AF55" s="207">
        <f>SUMIFS('июнь 2023'!$G$4:$G$886,'июнь 2023'!$D$4:$D$886,$B55,'июнь 2023'!$J$4:$J$886,AF$1)</f>
        <v>0</v>
      </c>
      <c r="AG55" s="207">
        <f>SUMIFS('июнь 2023'!$G$4:$G$886,'июнь 2023'!$D$4:$D$886,$B55,'июнь 2023'!$J$4:$J$886,AG$1)</f>
        <v>0</v>
      </c>
      <c r="AH55" s="207">
        <f>SUMIFS('июнь 2023'!$G$4:$G$886,'июнь 2023'!$D$4:$D$886,$B55,'июнь 2023'!$J$4:$J$886,AH$1)</f>
        <v>0</v>
      </c>
      <c r="AI55" s="170">
        <f t="shared" si="1"/>
        <v>0</v>
      </c>
    </row>
    <row r="56" spans="2:35" ht="15" customHeight="1" x14ac:dyDescent="0.25">
      <c r="B56" s="217" t="s">
        <v>421</v>
      </c>
      <c r="C56" s="213">
        <v>200</v>
      </c>
      <c r="D56" s="207">
        <f>SUMIFS('июнь 2023'!$G$4:$G$886,'июнь 2023'!$D$4:$D$886,$B56,'июнь 2023'!$J$4:$J$886,D$1)</f>
        <v>0</v>
      </c>
      <c r="E56" s="207">
        <f>SUMIFS('июнь 2023'!$G$4:$G$886,'июнь 2023'!$D$4:$D$886,$B56,'июнь 2023'!$J$4:$J$886,E$1)</f>
        <v>0</v>
      </c>
      <c r="F56" s="207">
        <f>SUMIFS('июнь 2023'!$G$4:$G$886,'июнь 2023'!$D$4:$D$886,$B56,'июнь 2023'!$J$4:$J$886,F$1)</f>
        <v>0</v>
      </c>
      <c r="G56" s="207">
        <f>SUMIFS('июнь 2023'!$G$4:$G$886,'июнь 2023'!$D$4:$D$886,$B56,'июнь 2023'!$J$4:$J$886,G$1)</f>
        <v>0</v>
      </c>
      <c r="H56" s="207">
        <f>SUMIFS('июнь 2023'!$G$4:$G$886,'июнь 2023'!$D$4:$D$886,$B56,'июнь 2023'!$J$4:$J$886,H$1)</f>
        <v>0</v>
      </c>
      <c r="I56" s="207">
        <f>SUMIFS('июнь 2023'!$G$4:$G$886,'июнь 2023'!$D$4:$D$886,$B56,'июнь 2023'!$J$4:$J$886,I$1)</f>
        <v>0</v>
      </c>
      <c r="J56" s="207">
        <f>SUMIFS('июнь 2023'!$G$4:$G$886,'июнь 2023'!$D$4:$D$886,$B56,'июнь 2023'!$J$4:$J$886,J$1)</f>
        <v>0</v>
      </c>
      <c r="K56" s="207">
        <f>SUMIFS('июнь 2023'!$G$4:$G$886,'июнь 2023'!$D$4:$D$886,$B56,'июнь 2023'!$J$4:$J$886,K$1)</f>
        <v>0</v>
      </c>
      <c r="L56" s="207">
        <f>SUMIFS('июнь 2023'!$G$4:$G$886,'июнь 2023'!$D$4:$D$886,$B56,'июнь 2023'!$J$4:$J$886,L$1)</f>
        <v>0</v>
      </c>
      <c r="M56" s="207">
        <f>SUMIFS('июнь 2023'!$G$4:$G$886,'июнь 2023'!$D$4:$D$886,$B56,'июнь 2023'!$J$4:$J$886,M$1)</f>
        <v>0</v>
      </c>
      <c r="N56" s="207">
        <f>SUMIFS('июнь 2023'!$G$4:$G$886,'июнь 2023'!$D$4:$D$886,$B56,'июнь 2023'!$J$4:$J$886,N$1)</f>
        <v>0</v>
      </c>
      <c r="O56" s="207">
        <f>SUMIFS('июнь 2023'!$G$4:$G$886,'июнь 2023'!$D$4:$D$886,$B56,'июнь 2023'!$J$4:$J$886,O$1)</f>
        <v>0</v>
      </c>
      <c r="P56" s="207">
        <f>SUMIFS('июнь 2023'!$G$4:$G$886,'июнь 2023'!$D$4:$D$886,$B56,'июнь 2023'!$J$4:$J$886,P$1)</f>
        <v>0</v>
      </c>
      <c r="Q56" s="207">
        <f>SUMIFS('июнь 2023'!$G$4:$G$886,'июнь 2023'!$D$4:$D$886,$B56,'июнь 2023'!$J$4:$J$886,Q$1)</f>
        <v>0</v>
      </c>
      <c r="R56" s="207">
        <f>SUMIFS('июнь 2023'!$G$4:$G$886,'июнь 2023'!$D$4:$D$886,$B56,'июнь 2023'!$J$4:$J$886,R$1)</f>
        <v>0</v>
      </c>
      <c r="S56" s="207">
        <f>SUMIFS('июнь 2023'!$G$4:$G$886,'июнь 2023'!$D$4:$D$886,$B56,'июнь 2023'!$J$4:$J$886,S$1)</f>
        <v>0</v>
      </c>
      <c r="T56" s="207">
        <f>SUMIFS('июнь 2023'!$G$4:$G$886,'июнь 2023'!$D$4:$D$886,$B56,'июнь 2023'!$J$4:$J$886,T$1)</f>
        <v>0</v>
      </c>
      <c r="U56" s="207">
        <f>SUMIFS('июнь 2023'!$G$4:$G$886,'июнь 2023'!$D$4:$D$886,$B56,'июнь 2023'!$J$4:$J$886,U$1)</f>
        <v>0</v>
      </c>
      <c r="V56" s="207">
        <f>SUMIFS('июнь 2023'!$G$4:$G$886,'июнь 2023'!$D$4:$D$886,$B56,'июнь 2023'!$J$4:$J$886,V$1)</f>
        <v>88</v>
      </c>
      <c r="W56" s="207">
        <f>SUMIFS('июнь 2023'!$G$4:$G$886,'июнь 2023'!$D$4:$D$886,$B56,'июнь 2023'!$J$4:$J$886,W$1)</f>
        <v>0</v>
      </c>
      <c r="X56" s="207">
        <f>SUMIFS('июнь 2023'!$G$4:$G$886,'июнь 2023'!$D$4:$D$886,$B56,'июнь 2023'!$J$4:$J$886,X$1)</f>
        <v>0</v>
      </c>
      <c r="Y56" s="207">
        <f>SUMIFS('июнь 2023'!$G$4:$G$886,'июнь 2023'!$D$4:$D$886,$B56,'июнь 2023'!$J$4:$J$886,Y$1)</f>
        <v>0</v>
      </c>
      <c r="Z56" s="207">
        <f>SUMIFS('июнь 2023'!$G$4:$G$886,'июнь 2023'!$D$4:$D$886,$B56,'июнь 2023'!$J$4:$J$886,Z$1)</f>
        <v>0</v>
      </c>
      <c r="AA56" s="207">
        <f>SUMIFS('июнь 2023'!$G$4:$G$886,'июнь 2023'!$D$4:$D$886,$B56,'июнь 2023'!$J$4:$J$886,AA$1)</f>
        <v>0</v>
      </c>
      <c r="AB56" s="207">
        <f>SUMIFS('июнь 2023'!$G$4:$G$886,'июнь 2023'!$D$4:$D$886,$B56,'июнь 2023'!$J$4:$J$886,AB$1)</f>
        <v>0</v>
      </c>
      <c r="AC56" s="207">
        <f>SUMIFS('июнь 2023'!$G$4:$G$886,'июнь 2023'!$D$4:$D$886,$B56,'июнь 2023'!$J$4:$J$886,AC$1)</f>
        <v>0</v>
      </c>
      <c r="AD56" s="207">
        <f>SUMIFS('июнь 2023'!$G$4:$G$886,'июнь 2023'!$D$4:$D$886,$B56,'июнь 2023'!$J$4:$J$886,AD$1)</f>
        <v>0</v>
      </c>
      <c r="AE56" s="207">
        <f>SUMIFS('июнь 2023'!$G$4:$G$886,'июнь 2023'!$D$4:$D$886,$B56,'июнь 2023'!$J$4:$J$886,AE$1)</f>
        <v>0</v>
      </c>
      <c r="AF56" s="207">
        <f>SUMIFS('июнь 2023'!$G$4:$G$886,'июнь 2023'!$D$4:$D$886,$B56,'июнь 2023'!$J$4:$J$886,AF$1)</f>
        <v>0</v>
      </c>
      <c r="AG56" s="207">
        <f>SUMIFS('июнь 2023'!$G$4:$G$886,'июнь 2023'!$D$4:$D$886,$B56,'июнь 2023'!$J$4:$J$886,AG$1)</f>
        <v>0</v>
      </c>
      <c r="AH56" s="207">
        <f>SUMIFS('июнь 2023'!$G$4:$G$886,'июнь 2023'!$D$4:$D$886,$B56,'июнь 2023'!$J$4:$J$886,AH$1)</f>
        <v>0</v>
      </c>
      <c r="AI56" s="170">
        <f t="shared" si="1"/>
        <v>88</v>
      </c>
    </row>
    <row r="57" spans="2:35" ht="15" customHeight="1" x14ac:dyDescent="0.25">
      <c r="B57" s="217" t="s">
        <v>222</v>
      </c>
      <c r="C57" s="213">
        <v>50</v>
      </c>
      <c r="D57" s="207">
        <f>SUMIFS('июнь 2023'!$G$4:$G$886,'июнь 2023'!$D$4:$D$886,$B57,'июнь 2023'!$J$4:$J$886,D$1)</f>
        <v>0</v>
      </c>
      <c r="E57" s="207">
        <f>SUMIFS('июнь 2023'!$G$4:$G$886,'июнь 2023'!$D$4:$D$886,$B57,'июнь 2023'!$J$4:$J$886,E$1)</f>
        <v>0</v>
      </c>
      <c r="F57" s="207">
        <f>SUMIFS('июнь 2023'!$G$4:$G$886,'июнь 2023'!$D$4:$D$886,$B57,'июнь 2023'!$J$4:$J$886,F$1)</f>
        <v>0</v>
      </c>
      <c r="G57" s="207">
        <f>SUMIFS('июнь 2023'!$G$4:$G$886,'июнь 2023'!$D$4:$D$886,$B57,'июнь 2023'!$J$4:$J$886,G$1)</f>
        <v>0</v>
      </c>
      <c r="H57" s="207">
        <f>SUMIFS('июнь 2023'!$G$4:$G$886,'июнь 2023'!$D$4:$D$886,$B57,'июнь 2023'!$J$4:$J$886,H$1)</f>
        <v>0</v>
      </c>
      <c r="I57" s="207">
        <f>SUMIFS('июнь 2023'!$G$4:$G$886,'июнь 2023'!$D$4:$D$886,$B57,'июнь 2023'!$J$4:$J$886,I$1)</f>
        <v>0</v>
      </c>
      <c r="J57" s="207">
        <f>SUMIFS('июнь 2023'!$G$4:$G$886,'июнь 2023'!$D$4:$D$886,$B57,'июнь 2023'!$J$4:$J$886,J$1)</f>
        <v>0</v>
      </c>
      <c r="K57" s="207">
        <f>SUMIFS('июнь 2023'!$G$4:$G$886,'июнь 2023'!$D$4:$D$886,$B57,'июнь 2023'!$J$4:$J$886,K$1)</f>
        <v>0</v>
      </c>
      <c r="L57" s="207">
        <f>SUMIFS('июнь 2023'!$G$4:$G$886,'июнь 2023'!$D$4:$D$886,$B57,'июнь 2023'!$J$4:$J$886,L$1)</f>
        <v>0</v>
      </c>
      <c r="M57" s="207">
        <f>SUMIFS('июнь 2023'!$G$4:$G$886,'июнь 2023'!$D$4:$D$886,$B57,'июнь 2023'!$J$4:$J$886,M$1)</f>
        <v>0</v>
      </c>
      <c r="N57" s="207">
        <f>SUMIFS('июнь 2023'!$G$4:$G$886,'июнь 2023'!$D$4:$D$886,$B57,'июнь 2023'!$J$4:$J$886,N$1)</f>
        <v>0</v>
      </c>
      <c r="O57" s="207">
        <f>SUMIFS('июнь 2023'!$G$4:$G$886,'июнь 2023'!$D$4:$D$886,$B57,'июнь 2023'!$J$4:$J$886,O$1)</f>
        <v>0</v>
      </c>
      <c r="P57" s="207">
        <f>SUMIFS('июнь 2023'!$G$4:$G$886,'июнь 2023'!$D$4:$D$886,$B57,'июнь 2023'!$J$4:$J$886,P$1)</f>
        <v>0</v>
      </c>
      <c r="Q57" s="207">
        <f>SUMIFS('июнь 2023'!$G$4:$G$886,'июнь 2023'!$D$4:$D$886,$B57,'июнь 2023'!$J$4:$J$886,Q$1)</f>
        <v>0</v>
      </c>
      <c r="R57" s="207">
        <f>SUMIFS('июнь 2023'!$G$4:$G$886,'июнь 2023'!$D$4:$D$886,$B57,'июнь 2023'!$J$4:$J$886,R$1)</f>
        <v>0</v>
      </c>
      <c r="S57" s="207">
        <f>SUMIFS('июнь 2023'!$G$4:$G$886,'июнь 2023'!$D$4:$D$886,$B57,'июнь 2023'!$J$4:$J$886,S$1)</f>
        <v>0</v>
      </c>
      <c r="T57" s="207">
        <f>SUMIFS('июнь 2023'!$G$4:$G$886,'июнь 2023'!$D$4:$D$886,$B57,'июнь 2023'!$J$4:$J$886,T$1)</f>
        <v>0</v>
      </c>
      <c r="U57" s="207">
        <f>SUMIFS('июнь 2023'!$G$4:$G$886,'июнь 2023'!$D$4:$D$886,$B57,'июнь 2023'!$J$4:$J$886,U$1)</f>
        <v>0</v>
      </c>
      <c r="V57" s="207">
        <f>SUMIFS('июнь 2023'!$G$4:$G$886,'июнь 2023'!$D$4:$D$886,$B57,'июнь 2023'!$J$4:$J$886,V$1)</f>
        <v>0</v>
      </c>
      <c r="W57" s="207">
        <f>SUMIFS('июнь 2023'!$G$4:$G$886,'июнь 2023'!$D$4:$D$886,$B57,'июнь 2023'!$J$4:$J$886,W$1)</f>
        <v>0</v>
      </c>
      <c r="X57" s="207">
        <f>SUMIFS('июнь 2023'!$G$4:$G$886,'июнь 2023'!$D$4:$D$886,$B57,'июнь 2023'!$J$4:$J$886,X$1)</f>
        <v>0</v>
      </c>
      <c r="Y57" s="207">
        <f>SUMIFS('июнь 2023'!$G$4:$G$886,'июнь 2023'!$D$4:$D$886,$B57,'июнь 2023'!$J$4:$J$886,Y$1)</f>
        <v>0</v>
      </c>
      <c r="Z57" s="207">
        <f>SUMIFS('июнь 2023'!$G$4:$G$886,'июнь 2023'!$D$4:$D$886,$B57,'июнь 2023'!$J$4:$J$886,Z$1)</f>
        <v>0</v>
      </c>
      <c r="AA57" s="207">
        <f>SUMIFS('июнь 2023'!$G$4:$G$886,'июнь 2023'!$D$4:$D$886,$B57,'июнь 2023'!$J$4:$J$886,AA$1)</f>
        <v>0</v>
      </c>
      <c r="AB57" s="207">
        <f>SUMIFS('июнь 2023'!$G$4:$G$886,'июнь 2023'!$D$4:$D$886,$B57,'июнь 2023'!$J$4:$J$886,AB$1)</f>
        <v>0</v>
      </c>
      <c r="AC57" s="207">
        <f>SUMIFS('июнь 2023'!$G$4:$G$886,'июнь 2023'!$D$4:$D$886,$B57,'июнь 2023'!$J$4:$J$886,AC$1)</f>
        <v>0</v>
      </c>
      <c r="AD57" s="207">
        <f>SUMIFS('июнь 2023'!$G$4:$G$886,'июнь 2023'!$D$4:$D$886,$B57,'июнь 2023'!$J$4:$J$886,AD$1)</f>
        <v>0</v>
      </c>
      <c r="AE57" s="207">
        <f>SUMIFS('июнь 2023'!$G$4:$G$886,'июнь 2023'!$D$4:$D$886,$B57,'июнь 2023'!$J$4:$J$886,AE$1)</f>
        <v>0</v>
      </c>
      <c r="AF57" s="207">
        <f>SUMIFS('июнь 2023'!$G$4:$G$886,'июнь 2023'!$D$4:$D$886,$B57,'июнь 2023'!$J$4:$J$886,AF$1)</f>
        <v>0</v>
      </c>
      <c r="AG57" s="207">
        <f>SUMIFS('июнь 2023'!$G$4:$G$886,'июнь 2023'!$D$4:$D$886,$B57,'июнь 2023'!$J$4:$J$886,AG$1)</f>
        <v>0</v>
      </c>
      <c r="AH57" s="207">
        <f>SUMIFS('июнь 2023'!$G$4:$G$886,'июнь 2023'!$D$4:$D$886,$B57,'июнь 2023'!$J$4:$J$886,AH$1)</f>
        <v>0</v>
      </c>
      <c r="AI57" s="170">
        <f t="shared" si="1"/>
        <v>0</v>
      </c>
    </row>
    <row r="58" spans="2:35" ht="15" customHeight="1" x14ac:dyDescent="0.25">
      <c r="B58" s="216" t="s">
        <v>66</v>
      </c>
      <c r="C58" s="213">
        <v>200</v>
      </c>
      <c r="D58" s="207">
        <f>SUMIFS('июнь 2023'!$G$4:$G$886,'июнь 2023'!$D$4:$D$886,$B58,'июнь 2023'!$J$4:$J$886,D$1)</f>
        <v>0</v>
      </c>
      <c r="E58" s="207">
        <f>SUMIFS('июнь 2023'!$G$4:$G$886,'июнь 2023'!$D$4:$D$886,$B58,'июнь 2023'!$J$4:$J$886,E$1)</f>
        <v>0</v>
      </c>
      <c r="F58" s="207">
        <f>SUMIFS('июнь 2023'!$G$4:$G$886,'июнь 2023'!$D$4:$D$886,$B58,'июнь 2023'!$J$4:$J$886,F$1)</f>
        <v>0</v>
      </c>
      <c r="G58" s="207">
        <f>SUMIFS('июнь 2023'!$G$4:$G$886,'июнь 2023'!$D$4:$D$886,$B58,'июнь 2023'!$J$4:$J$886,G$1)</f>
        <v>0</v>
      </c>
      <c r="H58" s="207">
        <f>SUMIFS('июнь 2023'!$G$4:$G$886,'июнь 2023'!$D$4:$D$886,$B58,'июнь 2023'!$J$4:$J$886,H$1)</f>
        <v>0</v>
      </c>
      <c r="I58" s="207">
        <f>SUMIFS('июнь 2023'!$G$4:$G$886,'июнь 2023'!$D$4:$D$886,$B58,'июнь 2023'!$J$4:$J$886,I$1)</f>
        <v>0</v>
      </c>
      <c r="J58" s="207">
        <f>SUMIFS('июнь 2023'!$G$4:$G$886,'июнь 2023'!$D$4:$D$886,$B58,'июнь 2023'!$J$4:$J$886,J$1)</f>
        <v>0</v>
      </c>
      <c r="K58" s="207">
        <f>SUMIFS('июнь 2023'!$G$4:$G$886,'июнь 2023'!$D$4:$D$886,$B58,'июнь 2023'!$J$4:$J$886,K$1)</f>
        <v>0</v>
      </c>
      <c r="L58" s="207">
        <f>SUMIFS('июнь 2023'!$G$4:$G$886,'июнь 2023'!$D$4:$D$886,$B58,'июнь 2023'!$J$4:$J$886,L$1)</f>
        <v>0</v>
      </c>
      <c r="M58" s="207">
        <f>SUMIFS('июнь 2023'!$G$4:$G$886,'июнь 2023'!$D$4:$D$886,$B58,'июнь 2023'!$J$4:$J$886,M$1)</f>
        <v>0</v>
      </c>
      <c r="N58" s="207">
        <f>SUMIFS('июнь 2023'!$G$4:$G$886,'июнь 2023'!$D$4:$D$886,$B58,'июнь 2023'!$J$4:$J$886,N$1)</f>
        <v>0</v>
      </c>
      <c r="O58" s="207">
        <f>SUMIFS('июнь 2023'!$G$4:$G$886,'июнь 2023'!$D$4:$D$886,$B58,'июнь 2023'!$J$4:$J$886,O$1)</f>
        <v>0</v>
      </c>
      <c r="P58" s="207">
        <f>SUMIFS('июнь 2023'!$G$4:$G$886,'июнь 2023'!$D$4:$D$886,$B58,'июнь 2023'!$J$4:$J$886,P$1)</f>
        <v>0</v>
      </c>
      <c r="Q58" s="207">
        <f>SUMIFS('июнь 2023'!$G$4:$G$886,'июнь 2023'!$D$4:$D$886,$B58,'июнь 2023'!$J$4:$J$886,Q$1)</f>
        <v>40</v>
      </c>
      <c r="R58" s="207">
        <f>SUMIFS('июнь 2023'!$G$4:$G$886,'июнь 2023'!$D$4:$D$886,$B58,'июнь 2023'!$J$4:$J$886,R$1)</f>
        <v>0</v>
      </c>
      <c r="S58" s="207">
        <f>SUMIFS('июнь 2023'!$G$4:$G$886,'июнь 2023'!$D$4:$D$886,$B58,'июнь 2023'!$J$4:$J$886,S$1)</f>
        <v>0</v>
      </c>
      <c r="T58" s="207">
        <f>SUMIFS('июнь 2023'!$G$4:$G$886,'июнь 2023'!$D$4:$D$886,$B58,'июнь 2023'!$J$4:$J$886,T$1)</f>
        <v>0</v>
      </c>
      <c r="U58" s="207">
        <f>SUMIFS('июнь 2023'!$G$4:$G$886,'июнь 2023'!$D$4:$D$886,$B58,'июнь 2023'!$J$4:$J$886,U$1)</f>
        <v>0</v>
      </c>
      <c r="V58" s="207">
        <f>SUMIFS('июнь 2023'!$G$4:$G$886,'июнь 2023'!$D$4:$D$886,$B58,'июнь 2023'!$J$4:$J$886,V$1)</f>
        <v>0</v>
      </c>
      <c r="W58" s="207">
        <f>SUMIFS('июнь 2023'!$G$4:$G$886,'июнь 2023'!$D$4:$D$886,$B58,'июнь 2023'!$J$4:$J$886,W$1)</f>
        <v>0</v>
      </c>
      <c r="X58" s="207">
        <f>SUMIFS('июнь 2023'!$G$4:$G$886,'июнь 2023'!$D$4:$D$886,$B58,'июнь 2023'!$J$4:$J$886,X$1)</f>
        <v>0</v>
      </c>
      <c r="Y58" s="207">
        <f>SUMIFS('июнь 2023'!$G$4:$G$886,'июнь 2023'!$D$4:$D$886,$B58,'июнь 2023'!$J$4:$J$886,Y$1)</f>
        <v>0</v>
      </c>
      <c r="Z58" s="207">
        <f>SUMIFS('июнь 2023'!$G$4:$G$886,'июнь 2023'!$D$4:$D$886,$B58,'июнь 2023'!$J$4:$J$886,Z$1)</f>
        <v>0</v>
      </c>
      <c r="AA58" s="207">
        <f>SUMIFS('июнь 2023'!$G$4:$G$886,'июнь 2023'!$D$4:$D$886,$B58,'июнь 2023'!$J$4:$J$886,AA$1)</f>
        <v>0</v>
      </c>
      <c r="AB58" s="207">
        <f>SUMIFS('июнь 2023'!$G$4:$G$886,'июнь 2023'!$D$4:$D$886,$B58,'июнь 2023'!$J$4:$J$886,AB$1)</f>
        <v>0</v>
      </c>
      <c r="AC58" s="207">
        <f>SUMIFS('июнь 2023'!$G$4:$G$886,'июнь 2023'!$D$4:$D$886,$B58,'июнь 2023'!$J$4:$J$886,AC$1)</f>
        <v>37</v>
      </c>
      <c r="AD58" s="207">
        <f>SUMIFS('июнь 2023'!$G$4:$G$886,'июнь 2023'!$D$4:$D$886,$B58,'июнь 2023'!$J$4:$J$886,AD$1)</f>
        <v>0</v>
      </c>
      <c r="AE58" s="207">
        <f>SUMIFS('июнь 2023'!$G$4:$G$886,'июнь 2023'!$D$4:$D$886,$B58,'июнь 2023'!$J$4:$J$886,AE$1)</f>
        <v>0</v>
      </c>
      <c r="AF58" s="207">
        <f>SUMIFS('июнь 2023'!$G$4:$G$886,'июнь 2023'!$D$4:$D$886,$B58,'июнь 2023'!$J$4:$J$886,AF$1)</f>
        <v>0</v>
      </c>
      <c r="AG58" s="207">
        <f>SUMIFS('июнь 2023'!$G$4:$G$886,'июнь 2023'!$D$4:$D$886,$B58,'июнь 2023'!$J$4:$J$886,AG$1)</f>
        <v>0</v>
      </c>
      <c r="AH58" s="207">
        <f>SUMIFS('июнь 2023'!$G$4:$G$886,'июнь 2023'!$D$4:$D$886,$B58,'июнь 2023'!$J$4:$J$886,AH$1)</f>
        <v>0</v>
      </c>
      <c r="AI58" s="170">
        <f t="shared" si="1"/>
        <v>77</v>
      </c>
    </row>
    <row r="59" spans="2:35" ht="15" customHeight="1" x14ac:dyDescent="0.25">
      <c r="B59" s="216" t="s">
        <v>38</v>
      </c>
      <c r="C59" s="213">
        <v>200</v>
      </c>
      <c r="D59" s="207">
        <f>SUMIFS('июнь 2023'!$G$4:$G$886,'июнь 2023'!$D$4:$D$886,$B59,'июнь 2023'!$J$4:$J$886,D$1)</f>
        <v>0</v>
      </c>
      <c r="E59" s="207">
        <f>SUMIFS('июнь 2023'!$G$4:$G$886,'июнь 2023'!$D$4:$D$886,$B59,'июнь 2023'!$J$4:$J$886,E$1)</f>
        <v>0</v>
      </c>
      <c r="F59" s="207">
        <f>SUMIFS('июнь 2023'!$G$4:$G$886,'июнь 2023'!$D$4:$D$886,$B59,'июнь 2023'!$J$4:$J$886,F$1)</f>
        <v>0</v>
      </c>
      <c r="G59" s="207">
        <f>SUMIFS('июнь 2023'!$G$4:$G$886,'июнь 2023'!$D$4:$D$886,$B59,'июнь 2023'!$J$4:$J$886,G$1)</f>
        <v>0</v>
      </c>
      <c r="H59" s="207">
        <f>SUMIFS('июнь 2023'!$G$4:$G$886,'июнь 2023'!$D$4:$D$886,$B59,'июнь 2023'!$J$4:$J$886,H$1)</f>
        <v>0</v>
      </c>
      <c r="I59" s="207">
        <f>SUMIFS('июнь 2023'!$G$4:$G$886,'июнь 2023'!$D$4:$D$886,$B59,'июнь 2023'!$J$4:$J$886,I$1)</f>
        <v>0</v>
      </c>
      <c r="J59" s="207">
        <f>SUMIFS('июнь 2023'!$G$4:$G$886,'июнь 2023'!$D$4:$D$886,$B59,'июнь 2023'!$J$4:$J$886,J$1)</f>
        <v>0</v>
      </c>
      <c r="K59" s="207">
        <f>SUMIFS('июнь 2023'!$G$4:$G$886,'июнь 2023'!$D$4:$D$886,$B59,'июнь 2023'!$J$4:$J$886,K$1)</f>
        <v>0</v>
      </c>
      <c r="L59" s="207">
        <f>SUMIFS('июнь 2023'!$G$4:$G$886,'июнь 2023'!$D$4:$D$886,$B59,'июнь 2023'!$J$4:$J$886,L$1)</f>
        <v>0</v>
      </c>
      <c r="M59" s="207">
        <f>SUMIFS('июнь 2023'!$G$4:$G$886,'июнь 2023'!$D$4:$D$886,$B59,'июнь 2023'!$J$4:$J$886,M$1)</f>
        <v>0</v>
      </c>
      <c r="N59" s="207">
        <f>SUMIFS('июнь 2023'!$G$4:$G$886,'июнь 2023'!$D$4:$D$886,$B59,'июнь 2023'!$J$4:$J$886,N$1)</f>
        <v>0</v>
      </c>
      <c r="O59" s="207">
        <f>SUMIFS('июнь 2023'!$G$4:$G$886,'июнь 2023'!$D$4:$D$886,$B59,'июнь 2023'!$J$4:$J$886,O$1)</f>
        <v>0</v>
      </c>
      <c r="P59" s="207">
        <f>SUMIFS('июнь 2023'!$G$4:$G$886,'июнь 2023'!$D$4:$D$886,$B59,'июнь 2023'!$J$4:$J$886,P$1)</f>
        <v>0</v>
      </c>
      <c r="Q59" s="207">
        <f>SUMIFS('июнь 2023'!$G$4:$G$886,'июнь 2023'!$D$4:$D$886,$B59,'июнь 2023'!$J$4:$J$886,Q$1)</f>
        <v>0</v>
      </c>
      <c r="R59" s="207">
        <f>SUMIFS('июнь 2023'!$G$4:$G$886,'июнь 2023'!$D$4:$D$886,$B59,'июнь 2023'!$J$4:$J$886,R$1)</f>
        <v>0</v>
      </c>
      <c r="S59" s="207">
        <f>SUMIFS('июнь 2023'!$G$4:$G$886,'июнь 2023'!$D$4:$D$886,$B59,'июнь 2023'!$J$4:$J$886,S$1)</f>
        <v>0</v>
      </c>
      <c r="T59" s="207">
        <f>SUMIFS('июнь 2023'!$G$4:$G$886,'июнь 2023'!$D$4:$D$886,$B59,'июнь 2023'!$J$4:$J$886,T$1)</f>
        <v>0</v>
      </c>
      <c r="U59" s="207">
        <f>SUMIFS('июнь 2023'!$G$4:$G$886,'июнь 2023'!$D$4:$D$886,$B59,'июнь 2023'!$J$4:$J$886,U$1)</f>
        <v>0</v>
      </c>
      <c r="V59" s="207">
        <f>SUMIFS('июнь 2023'!$G$4:$G$886,'июнь 2023'!$D$4:$D$886,$B59,'июнь 2023'!$J$4:$J$886,V$1)</f>
        <v>0</v>
      </c>
      <c r="W59" s="207">
        <f>SUMIFS('июнь 2023'!$G$4:$G$886,'июнь 2023'!$D$4:$D$886,$B59,'июнь 2023'!$J$4:$J$886,W$1)</f>
        <v>0</v>
      </c>
      <c r="X59" s="207">
        <f>SUMIFS('июнь 2023'!$G$4:$G$886,'июнь 2023'!$D$4:$D$886,$B59,'июнь 2023'!$J$4:$J$886,X$1)</f>
        <v>0</v>
      </c>
      <c r="Y59" s="207">
        <f>SUMIFS('июнь 2023'!$G$4:$G$886,'июнь 2023'!$D$4:$D$886,$B59,'июнь 2023'!$J$4:$J$886,Y$1)</f>
        <v>0</v>
      </c>
      <c r="Z59" s="207">
        <f>SUMIFS('июнь 2023'!$G$4:$G$886,'июнь 2023'!$D$4:$D$886,$B59,'июнь 2023'!$J$4:$J$886,Z$1)</f>
        <v>0</v>
      </c>
      <c r="AA59" s="207">
        <f>SUMIFS('июнь 2023'!$G$4:$G$886,'июнь 2023'!$D$4:$D$886,$B59,'июнь 2023'!$J$4:$J$886,AA$1)</f>
        <v>0</v>
      </c>
      <c r="AB59" s="207">
        <f>SUMIFS('июнь 2023'!$G$4:$G$886,'июнь 2023'!$D$4:$D$886,$B59,'июнь 2023'!$J$4:$J$886,AB$1)</f>
        <v>0</v>
      </c>
      <c r="AC59" s="207">
        <f>SUMIFS('июнь 2023'!$G$4:$G$886,'июнь 2023'!$D$4:$D$886,$B59,'июнь 2023'!$J$4:$J$886,AC$1)</f>
        <v>0</v>
      </c>
      <c r="AD59" s="207">
        <f>SUMIFS('июнь 2023'!$G$4:$G$886,'июнь 2023'!$D$4:$D$886,$B59,'июнь 2023'!$J$4:$J$886,AD$1)</f>
        <v>0</v>
      </c>
      <c r="AE59" s="207">
        <f>SUMIFS('июнь 2023'!$G$4:$G$886,'июнь 2023'!$D$4:$D$886,$B59,'июнь 2023'!$J$4:$J$886,AE$1)</f>
        <v>0</v>
      </c>
      <c r="AF59" s="207">
        <f>SUMIFS('июнь 2023'!$G$4:$G$886,'июнь 2023'!$D$4:$D$886,$B59,'июнь 2023'!$J$4:$J$886,AF$1)</f>
        <v>0</v>
      </c>
      <c r="AG59" s="207">
        <f>SUMIFS('июнь 2023'!$G$4:$G$886,'июнь 2023'!$D$4:$D$886,$B59,'июнь 2023'!$J$4:$J$886,AG$1)</f>
        <v>0</v>
      </c>
      <c r="AH59" s="207">
        <f>SUMIFS('июнь 2023'!$G$4:$G$886,'июнь 2023'!$D$4:$D$886,$B59,'июнь 2023'!$J$4:$J$886,AH$1)</f>
        <v>0</v>
      </c>
      <c r="AI59" s="170">
        <f t="shared" si="1"/>
        <v>0</v>
      </c>
    </row>
    <row r="60" spans="2:35" ht="15.75" x14ac:dyDescent="0.25">
      <c r="B60" s="212" t="s">
        <v>474</v>
      </c>
      <c r="C60" s="211">
        <v>180</v>
      </c>
      <c r="D60" s="207">
        <f>SUMIFS('июнь 2023'!$G$4:$G$886,'июнь 2023'!$D$4:$D$886,$B60,'июнь 2023'!$J$4:$J$886,D$1)</f>
        <v>0</v>
      </c>
      <c r="E60" s="207">
        <f>SUMIFS('июнь 2023'!$G$4:$G$886,'июнь 2023'!$D$4:$D$886,$B60,'июнь 2023'!$J$4:$J$886,E$1)</f>
        <v>0</v>
      </c>
      <c r="F60" s="207">
        <f>SUMIFS('июнь 2023'!$G$4:$G$886,'июнь 2023'!$D$4:$D$886,$B60,'июнь 2023'!$J$4:$J$886,F$1)</f>
        <v>0</v>
      </c>
      <c r="G60" s="207">
        <f>SUMIFS('июнь 2023'!$G$4:$G$886,'июнь 2023'!$D$4:$D$886,$B60,'июнь 2023'!$J$4:$J$886,G$1)</f>
        <v>0</v>
      </c>
      <c r="H60" s="207">
        <f>SUMIFS('июнь 2023'!$G$4:$G$886,'июнь 2023'!$D$4:$D$886,$B60,'июнь 2023'!$J$4:$J$886,H$1)</f>
        <v>0</v>
      </c>
      <c r="I60" s="207">
        <f>SUMIFS('июнь 2023'!$G$4:$G$886,'июнь 2023'!$D$4:$D$886,$B60,'июнь 2023'!$J$4:$J$886,I$1)</f>
        <v>0</v>
      </c>
      <c r="J60" s="207">
        <f>SUMIFS('июнь 2023'!$G$4:$G$886,'июнь 2023'!$D$4:$D$886,$B60,'июнь 2023'!$J$4:$J$886,J$1)</f>
        <v>0</v>
      </c>
      <c r="K60" s="207">
        <f>SUMIFS('июнь 2023'!$G$4:$G$886,'июнь 2023'!$D$4:$D$886,$B60,'июнь 2023'!$J$4:$J$886,K$1)</f>
        <v>0</v>
      </c>
      <c r="L60" s="207">
        <f>SUMIFS('июнь 2023'!$G$4:$G$886,'июнь 2023'!$D$4:$D$886,$B60,'июнь 2023'!$J$4:$J$886,L$1)</f>
        <v>0</v>
      </c>
      <c r="M60" s="207">
        <f>SUMIFS('июнь 2023'!$G$4:$G$886,'июнь 2023'!$D$4:$D$886,$B60,'июнь 2023'!$J$4:$J$886,M$1)</f>
        <v>0</v>
      </c>
      <c r="N60" s="207">
        <f>SUMIFS('июнь 2023'!$G$4:$G$886,'июнь 2023'!$D$4:$D$886,$B60,'июнь 2023'!$J$4:$J$886,N$1)</f>
        <v>0</v>
      </c>
      <c r="O60" s="207">
        <f>SUMIFS('июнь 2023'!$G$4:$G$886,'июнь 2023'!$D$4:$D$886,$B60,'июнь 2023'!$J$4:$J$886,O$1)</f>
        <v>0</v>
      </c>
      <c r="P60" s="207">
        <f>SUMIFS('июнь 2023'!$G$4:$G$886,'июнь 2023'!$D$4:$D$886,$B60,'июнь 2023'!$J$4:$J$886,P$1)</f>
        <v>0</v>
      </c>
      <c r="Q60" s="207">
        <f>SUMIFS('июнь 2023'!$G$4:$G$886,'июнь 2023'!$D$4:$D$886,$B60,'июнь 2023'!$J$4:$J$886,Q$1)</f>
        <v>0</v>
      </c>
      <c r="R60" s="207">
        <f>SUMIFS('июнь 2023'!$G$4:$G$886,'июнь 2023'!$D$4:$D$886,$B60,'июнь 2023'!$J$4:$J$886,R$1)</f>
        <v>0</v>
      </c>
      <c r="S60" s="207">
        <f>SUMIFS('июнь 2023'!$G$4:$G$886,'июнь 2023'!$D$4:$D$886,$B60,'июнь 2023'!$J$4:$J$886,S$1)</f>
        <v>0</v>
      </c>
      <c r="T60" s="207">
        <f>SUMIFS('июнь 2023'!$G$4:$G$886,'июнь 2023'!$D$4:$D$886,$B60,'июнь 2023'!$J$4:$J$886,T$1)</f>
        <v>0</v>
      </c>
      <c r="U60" s="207">
        <f>SUMIFS('июнь 2023'!$G$4:$G$886,'июнь 2023'!$D$4:$D$886,$B60,'июнь 2023'!$J$4:$J$886,U$1)</f>
        <v>0</v>
      </c>
      <c r="V60" s="207">
        <f>SUMIFS('июнь 2023'!$G$4:$G$886,'июнь 2023'!$D$4:$D$886,$B60,'июнь 2023'!$J$4:$J$886,V$1)</f>
        <v>0</v>
      </c>
      <c r="W60" s="207">
        <f>SUMIFS('июнь 2023'!$G$4:$G$886,'июнь 2023'!$D$4:$D$886,$B60,'июнь 2023'!$J$4:$J$886,W$1)</f>
        <v>0</v>
      </c>
      <c r="X60" s="207">
        <f>SUMIFS('июнь 2023'!$G$4:$G$886,'июнь 2023'!$D$4:$D$886,$B60,'июнь 2023'!$J$4:$J$886,X$1)</f>
        <v>0</v>
      </c>
      <c r="Y60" s="207">
        <f>SUMIFS('июнь 2023'!$G$4:$G$886,'июнь 2023'!$D$4:$D$886,$B60,'июнь 2023'!$J$4:$J$886,Y$1)</f>
        <v>0</v>
      </c>
      <c r="Z60" s="207">
        <f>SUMIFS('июнь 2023'!$G$4:$G$886,'июнь 2023'!$D$4:$D$886,$B60,'июнь 2023'!$J$4:$J$886,Z$1)</f>
        <v>0</v>
      </c>
      <c r="AA60" s="207">
        <f>SUMIFS('июнь 2023'!$G$4:$G$886,'июнь 2023'!$D$4:$D$886,$B60,'июнь 2023'!$J$4:$J$886,AA$1)</f>
        <v>0</v>
      </c>
      <c r="AB60" s="207">
        <f>SUMIFS('июнь 2023'!$G$4:$G$886,'июнь 2023'!$D$4:$D$886,$B60,'июнь 2023'!$J$4:$J$886,AB$1)</f>
        <v>0</v>
      </c>
      <c r="AC60" s="207">
        <f>SUMIFS('июнь 2023'!$G$4:$G$886,'июнь 2023'!$D$4:$D$886,$B60,'июнь 2023'!$J$4:$J$886,AC$1)</f>
        <v>0</v>
      </c>
      <c r="AD60" s="207">
        <f>SUMIFS('июнь 2023'!$G$4:$G$886,'июнь 2023'!$D$4:$D$886,$B60,'июнь 2023'!$J$4:$J$886,AD$1)</f>
        <v>0</v>
      </c>
      <c r="AE60" s="207">
        <f>SUMIFS('июнь 2023'!$G$4:$G$886,'июнь 2023'!$D$4:$D$886,$B60,'июнь 2023'!$J$4:$J$886,AE$1)</f>
        <v>40</v>
      </c>
      <c r="AF60" s="207">
        <f>SUMIFS('июнь 2023'!$G$4:$G$886,'июнь 2023'!$D$4:$D$886,$B60,'июнь 2023'!$J$4:$J$886,AF$1)</f>
        <v>0</v>
      </c>
      <c r="AG60" s="207">
        <f>SUMIFS('июнь 2023'!$G$4:$G$886,'июнь 2023'!$D$4:$D$886,$B60,'июнь 2023'!$J$4:$J$886,AG$1)</f>
        <v>0</v>
      </c>
      <c r="AH60" s="207">
        <f>SUMIFS('июнь 2023'!$G$4:$G$886,'июнь 2023'!$D$4:$D$886,$B60,'июнь 2023'!$J$4:$J$886,AH$1)</f>
        <v>0</v>
      </c>
      <c r="AI60" s="170">
        <f t="shared" si="1"/>
        <v>40</v>
      </c>
    </row>
    <row r="61" spans="2:35" ht="15.75" x14ac:dyDescent="0.25">
      <c r="B61" s="216" t="s">
        <v>649</v>
      </c>
      <c r="C61" s="213">
        <v>190</v>
      </c>
      <c r="D61" s="207">
        <f>SUMIFS('июнь 2023'!$G$4:$G$886,'июнь 2023'!$D$4:$D$886,$B61,'июнь 2023'!$J$4:$J$886,D$1)</f>
        <v>0</v>
      </c>
      <c r="E61" s="207">
        <f>SUMIFS('июнь 2023'!$G$4:$G$886,'июнь 2023'!$D$4:$D$886,$B61,'июнь 2023'!$J$4:$J$886,E$1)</f>
        <v>0</v>
      </c>
      <c r="F61" s="207">
        <f>SUMIFS('июнь 2023'!$G$4:$G$886,'июнь 2023'!$D$4:$D$886,$B61,'июнь 2023'!$J$4:$J$886,F$1)</f>
        <v>0</v>
      </c>
      <c r="G61" s="207">
        <f>SUMIFS('июнь 2023'!$G$4:$G$886,'июнь 2023'!$D$4:$D$886,$B61,'июнь 2023'!$J$4:$J$886,G$1)</f>
        <v>0</v>
      </c>
      <c r="H61" s="207">
        <f>SUMIFS('июнь 2023'!$G$4:$G$886,'июнь 2023'!$D$4:$D$886,$B61,'июнь 2023'!$J$4:$J$886,H$1)</f>
        <v>0</v>
      </c>
      <c r="I61" s="207">
        <f>SUMIFS('июнь 2023'!$G$4:$G$886,'июнь 2023'!$D$4:$D$886,$B61,'июнь 2023'!$J$4:$J$886,I$1)</f>
        <v>0</v>
      </c>
      <c r="J61" s="207">
        <f>SUMIFS('июнь 2023'!$G$4:$G$886,'июнь 2023'!$D$4:$D$886,$B61,'июнь 2023'!$J$4:$J$886,J$1)</f>
        <v>0</v>
      </c>
      <c r="K61" s="207">
        <f>SUMIFS('июнь 2023'!$G$4:$G$886,'июнь 2023'!$D$4:$D$886,$B61,'июнь 2023'!$J$4:$J$886,K$1)</f>
        <v>0</v>
      </c>
      <c r="L61" s="207">
        <f>SUMIFS('июнь 2023'!$G$4:$G$886,'июнь 2023'!$D$4:$D$886,$B61,'июнь 2023'!$J$4:$J$886,L$1)</f>
        <v>88</v>
      </c>
      <c r="M61" s="207">
        <f>SUMIFS('июнь 2023'!$G$4:$G$886,'июнь 2023'!$D$4:$D$886,$B61,'июнь 2023'!$J$4:$J$886,M$1)</f>
        <v>0</v>
      </c>
      <c r="N61" s="207">
        <f>SUMIFS('июнь 2023'!$G$4:$G$886,'июнь 2023'!$D$4:$D$886,$B61,'июнь 2023'!$J$4:$J$886,N$1)</f>
        <v>0</v>
      </c>
      <c r="O61" s="207">
        <f>SUMIFS('июнь 2023'!$G$4:$G$886,'июнь 2023'!$D$4:$D$886,$B61,'июнь 2023'!$J$4:$J$886,O$1)</f>
        <v>0</v>
      </c>
      <c r="P61" s="207">
        <f>SUMIFS('июнь 2023'!$G$4:$G$886,'июнь 2023'!$D$4:$D$886,$B61,'июнь 2023'!$J$4:$J$886,P$1)</f>
        <v>0</v>
      </c>
      <c r="Q61" s="207">
        <f>SUMIFS('июнь 2023'!$G$4:$G$886,'июнь 2023'!$D$4:$D$886,$B61,'июнь 2023'!$J$4:$J$886,Q$1)</f>
        <v>0</v>
      </c>
      <c r="R61" s="207">
        <f>SUMIFS('июнь 2023'!$G$4:$G$886,'июнь 2023'!$D$4:$D$886,$B61,'июнь 2023'!$J$4:$J$886,R$1)</f>
        <v>0</v>
      </c>
      <c r="S61" s="207">
        <f>SUMIFS('июнь 2023'!$G$4:$G$886,'июнь 2023'!$D$4:$D$886,$B61,'июнь 2023'!$J$4:$J$886,S$1)</f>
        <v>0</v>
      </c>
      <c r="T61" s="207">
        <f>SUMIFS('июнь 2023'!$G$4:$G$886,'июнь 2023'!$D$4:$D$886,$B61,'июнь 2023'!$J$4:$J$886,T$1)</f>
        <v>0</v>
      </c>
      <c r="U61" s="207">
        <f>SUMIFS('июнь 2023'!$G$4:$G$886,'июнь 2023'!$D$4:$D$886,$B61,'июнь 2023'!$J$4:$J$886,U$1)</f>
        <v>0</v>
      </c>
      <c r="V61" s="207">
        <f>SUMIFS('июнь 2023'!$G$4:$G$886,'июнь 2023'!$D$4:$D$886,$B61,'июнь 2023'!$J$4:$J$886,V$1)</f>
        <v>0</v>
      </c>
      <c r="W61" s="207">
        <f>SUMIFS('июнь 2023'!$G$4:$G$886,'июнь 2023'!$D$4:$D$886,$B61,'июнь 2023'!$J$4:$J$886,W$1)</f>
        <v>0</v>
      </c>
      <c r="X61" s="207">
        <f>SUMIFS('июнь 2023'!$G$4:$G$886,'июнь 2023'!$D$4:$D$886,$B61,'июнь 2023'!$J$4:$J$886,X$1)</f>
        <v>0</v>
      </c>
      <c r="Y61" s="207">
        <f>SUMIFS('июнь 2023'!$G$4:$G$886,'июнь 2023'!$D$4:$D$886,$B61,'июнь 2023'!$J$4:$J$886,Y$1)</f>
        <v>0</v>
      </c>
      <c r="Z61" s="207">
        <f>SUMIFS('июнь 2023'!$G$4:$G$886,'июнь 2023'!$D$4:$D$886,$B61,'июнь 2023'!$J$4:$J$886,Z$1)</f>
        <v>40</v>
      </c>
      <c r="AA61" s="207">
        <f>SUMIFS('июнь 2023'!$G$4:$G$886,'июнь 2023'!$D$4:$D$886,$B61,'июнь 2023'!$J$4:$J$886,AA$1)</f>
        <v>0</v>
      </c>
      <c r="AB61" s="207">
        <f>SUMIFS('июнь 2023'!$G$4:$G$886,'июнь 2023'!$D$4:$D$886,$B61,'июнь 2023'!$J$4:$J$886,AB$1)</f>
        <v>0</v>
      </c>
      <c r="AC61" s="207">
        <f>SUMIFS('июнь 2023'!$G$4:$G$886,'июнь 2023'!$D$4:$D$886,$B61,'июнь 2023'!$J$4:$J$886,AC$1)</f>
        <v>0</v>
      </c>
      <c r="AD61" s="207">
        <f>SUMIFS('июнь 2023'!$G$4:$G$886,'июнь 2023'!$D$4:$D$886,$B61,'июнь 2023'!$J$4:$J$886,AD$1)</f>
        <v>0</v>
      </c>
      <c r="AE61" s="207">
        <f>SUMIFS('июнь 2023'!$G$4:$G$886,'июнь 2023'!$D$4:$D$886,$B61,'июнь 2023'!$J$4:$J$886,AE$1)</f>
        <v>0</v>
      </c>
      <c r="AF61" s="207">
        <f>SUMIFS('июнь 2023'!$G$4:$G$886,'июнь 2023'!$D$4:$D$886,$B61,'июнь 2023'!$J$4:$J$886,AF$1)</f>
        <v>0</v>
      </c>
      <c r="AG61" s="207">
        <f>SUMIFS('июнь 2023'!$G$4:$G$886,'июнь 2023'!$D$4:$D$886,$B61,'июнь 2023'!$J$4:$J$886,AG$1)</f>
        <v>0</v>
      </c>
      <c r="AH61" s="207">
        <f>SUMIFS('июнь 2023'!$G$4:$G$886,'июнь 2023'!$D$4:$D$886,$B61,'июнь 2023'!$J$4:$J$886,AH$1)</f>
        <v>0</v>
      </c>
      <c r="AI61" s="170">
        <f t="shared" si="1"/>
        <v>128</v>
      </c>
    </row>
    <row r="62" spans="2:35" ht="15" customHeight="1" x14ac:dyDescent="0.25">
      <c r="B62" s="216" t="s">
        <v>1449</v>
      </c>
      <c r="C62" s="213">
        <v>190</v>
      </c>
      <c r="D62" s="207">
        <f>SUMIFS('июнь 2023'!$G$4:$G$886,'июнь 2023'!$D$4:$D$886,$B62,'июнь 2023'!$J$4:$J$886,D$1)</f>
        <v>0</v>
      </c>
      <c r="E62" s="207">
        <f>SUMIFS('июнь 2023'!$G$4:$G$886,'июнь 2023'!$D$4:$D$886,$B62,'июнь 2023'!$J$4:$J$886,E$1)</f>
        <v>0</v>
      </c>
      <c r="F62" s="207">
        <f>SUMIFS('июнь 2023'!$G$4:$G$886,'июнь 2023'!$D$4:$D$886,$B62,'июнь 2023'!$J$4:$J$886,F$1)</f>
        <v>0</v>
      </c>
      <c r="G62" s="207">
        <f>SUMIFS('июнь 2023'!$G$4:$G$886,'июнь 2023'!$D$4:$D$886,$B62,'июнь 2023'!$J$4:$J$886,G$1)</f>
        <v>0</v>
      </c>
      <c r="H62" s="207">
        <f>SUMIFS('июнь 2023'!$G$4:$G$886,'июнь 2023'!$D$4:$D$886,$B62,'июнь 2023'!$J$4:$J$886,H$1)</f>
        <v>0</v>
      </c>
      <c r="I62" s="207">
        <f>SUMIFS('июнь 2023'!$G$4:$G$886,'июнь 2023'!$D$4:$D$886,$B62,'июнь 2023'!$J$4:$J$886,I$1)</f>
        <v>0</v>
      </c>
      <c r="J62" s="207">
        <f>SUMIFS('июнь 2023'!$G$4:$G$886,'июнь 2023'!$D$4:$D$886,$B62,'июнь 2023'!$J$4:$J$886,J$1)</f>
        <v>0</v>
      </c>
      <c r="K62" s="207">
        <f>SUMIFS('июнь 2023'!$G$4:$G$886,'июнь 2023'!$D$4:$D$886,$B62,'июнь 2023'!$J$4:$J$886,K$1)</f>
        <v>0</v>
      </c>
      <c r="L62" s="207">
        <f>SUMIFS('июнь 2023'!$G$4:$G$886,'июнь 2023'!$D$4:$D$886,$B62,'июнь 2023'!$J$4:$J$886,L$1)</f>
        <v>0</v>
      </c>
      <c r="M62" s="207">
        <f>SUMIFS('июнь 2023'!$G$4:$G$886,'июнь 2023'!$D$4:$D$886,$B62,'июнь 2023'!$J$4:$J$886,M$1)</f>
        <v>0</v>
      </c>
      <c r="N62" s="207">
        <f>SUMIFS('июнь 2023'!$G$4:$G$886,'июнь 2023'!$D$4:$D$886,$B62,'июнь 2023'!$J$4:$J$886,N$1)</f>
        <v>0</v>
      </c>
      <c r="O62" s="207">
        <f>SUMIFS('июнь 2023'!$G$4:$G$886,'июнь 2023'!$D$4:$D$886,$B62,'июнь 2023'!$J$4:$J$886,O$1)</f>
        <v>0</v>
      </c>
      <c r="P62" s="207">
        <f>SUMIFS('июнь 2023'!$G$4:$G$886,'июнь 2023'!$D$4:$D$886,$B62,'июнь 2023'!$J$4:$J$886,P$1)</f>
        <v>0</v>
      </c>
      <c r="Q62" s="207">
        <f>SUMIFS('июнь 2023'!$G$4:$G$886,'июнь 2023'!$D$4:$D$886,$B62,'июнь 2023'!$J$4:$J$886,Q$1)</f>
        <v>0</v>
      </c>
      <c r="R62" s="207">
        <f>SUMIFS('июнь 2023'!$G$4:$G$886,'июнь 2023'!$D$4:$D$886,$B62,'июнь 2023'!$J$4:$J$886,R$1)</f>
        <v>0</v>
      </c>
      <c r="S62" s="207">
        <f>SUMIFS('июнь 2023'!$G$4:$G$886,'июнь 2023'!$D$4:$D$886,$B62,'июнь 2023'!$J$4:$J$886,S$1)</f>
        <v>0</v>
      </c>
      <c r="T62" s="207">
        <f>SUMIFS('июнь 2023'!$G$4:$G$886,'июнь 2023'!$D$4:$D$886,$B62,'июнь 2023'!$J$4:$J$886,T$1)</f>
        <v>0</v>
      </c>
      <c r="U62" s="207">
        <f>SUMIFS('июнь 2023'!$G$4:$G$886,'июнь 2023'!$D$4:$D$886,$B62,'июнь 2023'!$J$4:$J$886,U$1)</f>
        <v>0</v>
      </c>
      <c r="V62" s="207">
        <f>SUMIFS('июнь 2023'!$G$4:$G$886,'июнь 2023'!$D$4:$D$886,$B62,'июнь 2023'!$J$4:$J$886,V$1)</f>
        <v>0</v>
      </c>
      <c r="W62" s="207">
        <f>SUMIFS('июнь 2023'!$G$4:$G$886,'июнь 2023'!$D$4:$D$886,$B62,'июнь 2023'!$J$4:$J$886,W$1)</f>
        <v>0</v>
      </c>
      <c r="X62" s="207">
        <f>SUMIFS('июнь 2023'!$G$4:$G$886,'июнь 2023'!$D$4:$D$886,$B62,'июнь 2023'!$J$4:$J$886,X$1)</f>
        <v>0</v>
      </c>
      <c r="Y62" s="207">
        <f>SUMIFS('июнь 2023'!$G$4:$G$886,'июнь 2023'!$D$4:$D$886,$B62,'июнь 2023'!$J$4:$J$886,Y$1)</f>
        <v>0</v>
      </c>
      <c r="Z62" s="207">
        <f>SUMIFS('июнь 2023'!$G$4:$G$886,'июнь 2023'!$D$4:$D$886,$B62,'июнь 2023'!$J$4:$J$886,Z$1)</f>
        <v>0</v>
      </c>
      <c r="AA62" s="207">
        <f>SUMIFS('июнь 2023'!$G$4:$G$886,'июнь 2023'!$D$4:$D$886,$B62,'июнь 2023'!$J$4:$J$886,AA$1)</f>
        <v>0</v>
      </c>
      <c r="AB62" s="207">
        <f>SUMIFS('июнь 2023'!$G$4:$G$886,'июнь 2023'!$D$4:$D$886,$B62,'июнь 2023'!$J$4:$J$886,AB$1)</f>
        <v>0</v>
      </c>
      <c r="AC62" s="207">
        <f>SUMIFS('июнь 2023'!$G$4:$G$886,'июнь 2023'!$D$4:$D$886,$B62,'июнь 2023'!$J$4:$J$886,AC$1)</f>
        <v>0</v>
      </c>
      <c r="AD62" s="207">
        <f>SUMIFS('июнь 2023'!$G$4:$G$886,'июнь 2023'!$D$4:$D$886,$B62,'июнь 2023'!$J$4:$J$886,AD$1)</f>
        <v>0</v>
      </c>
      <c r="AE62" s="207">
        <f>SUMIFS('июнь 2023'!$G$4:$G$886,'июнь 2023'!$D$4:$D$886,$B62,'июнь 2023'!$J$4:$J$886,AE$1)</f>
        <v>0</v>
      </c>
      <c r="AF62" s="207">
        <f>SUMIFS('июнь 2023'!$G$4:$G$886,'июнь 2023'!$D$4:$D$886,$B62,'июнь 2023'!$J$4:$J$886,AF$1)</f>
        <v>0</v>
      </c>
      <c r="AG62" s="207">
        <f>SUMIFS('июнь 2023'!$G$4:$G$886,'июнь 2023'!$D$4:$D$886,$B62,'июнь 2023'!$J$4:$J$886,AG$1)</f>
        <v>0</v>
      </c>
      <c r="AH62" s="207">
        <f>SUMIFS('июнь 2023'!$G$4:$G$886,'июнь 2023'!$D$4:$D$886,$B62,'июнь 2023'!$J$4:$J$886,AH$1)</f>
        <v>0</v>
      </c>
      <c r="AI62" s="170">
        <f t="shared" si="1"/>
        <v>0</v>
      </c>
    </row>
    <row r="63" spans="2:35" ht="15" customHeight="1" x14ac:dyDescent="0.25">
      <c r="B63" s="216" t="s">
        <v>702</v>
      </c>
      <c r="C63" s="213">
        <v>900</v>
      </c>
      <c r="D63" s="207">
        <f>SUMIFS('июнь 2023'!$G$4:$G$886,'июнь 2023'!$D$4:$D$886,$B63,'июнь 2023'!$J$4:$J$886,D$1)</f>
        <v>0</v>
      </c>
      <c r="E63" s="207">
        <f>SUMIFS('июнь 2023'!$G$4:$G$886,'июнь 2023'!$D$4:$D$886,$B63,'июнь 2023'!$J$4:$J$886,E$1)</f>
        <v>0</v>
      </c>
      <c r="F63" s="207">
        <f>SUMIFS('июнь 2023'!$G$4:$G$886,'июнь 2023'!$D$4:$D$886,$B63,'июнь 2023'!$J$4:$J$886,F$1)</f>
        <v>0</v>
      </c>
      <c r="G63" s="207">
        <f>SUMIFS('июнь 2023'!$G$4:$G$886,'июнь 2023'!$D$4:$D$886,$B63,'июнь 2023'!$J$4:$J$886,G$1)</f>
        <v>0</v>
      </c>
      <c r="H63" s="207">
        <f>SUMIFS('июнь 2023'!$G$4:$G$886,'июнь 2023'!$D$4:$D$886,$B63,'июнь 2023'!$J$4:$J$886,H$1)</f>
        <v>0</v>
      </c>
      <c r="I63" s="207">
        <f>SUMIFS('июнь 2023'!$G$4:$G$886,'июнь 2023'!$D$4:$D$886,$B63,'июнь 2023'!$J$4:$J$886,I$1)</f>
        <v>0</v>
      </c>
      <c r="J63" s="207">
        <f>SUMIFS('июнь 2023'!$G$4:$G$886,'июнь 2023'!$D$4:$D$886,$B63,'июнь 2023'!$J$4:$J$886,J$1)</f>
        <v>0</v>
      </c>
      <c r="K63" s="207">
        <f>SUMIFS('июнь 2023'!$G$4:$G$886,'июнь 2023'!$D$4:$D$886,$B63,'июнь 2023'!$J$4:$J$886,K$1)</f>
        <v>0</v>
      </c>
      <c r="L63" s="207">
        <f>SUMIFS('июнь 2023'!$G$4:$G$886,'июнь 2023'!$D$4:$D$886,$B63,'июнь 2023'!$J$4:$J$886,L$1)</f>
        <v>0</v>
      </c>
      <c r="M63" s="207">
        <f>SUMIFS('июнь 2023'!$G$4:$G$886,'июнь 2023'!$D$4:$D$886,$B63,'июнь 2023'!$J$4:$J$886,M$1)</f>
        <v>0</v>
      </c>
      <c r="N63" s="207">
        <f>SUMIFS('июнь 2023'!$G$4:$G$886,'июнь 2023'!$D$4:$D$886,$B63,'июнь 2023'!$J$4:$J$886,N$1)</f>
        <v>0</v>
      </c>
      <c r="O63" s="207">
        <f>SUMIFS('июнь 2023'!$G$4:$G$886,'июнь 2023'!$D$4:$D$886,$B63,'июнь 2023'!$J$4:$J$886,O$1)</f>
        <v>0</v>
      </c>
      <c r="P63" s="207">
        <f>SUMIFS('июнь 2023'!$G$4:$G$886,'июнь 2023'!$D$4:$D$886,$B63,'июнь 2023'!$J$4:$J$886,P$1)</f>
        <v>0</v>
      </c>
      <c r="Q63" s="207">
        <f>SUMIFS('июнь 2023'!$G$4:$G$886,'июнь 2023'!$D$4:$D$886,$B63,'июнь 2023'!$J$4:$J$886,Q$1)</f>
        <v>0</v>
      </c>
      <c r="R63" s="207">
        <f>SUMIFS('июнь 2023'!$G$4:$G$886,'июнь 2023'!$D$4:$D$886,$B63,'июнь 2023'!$J$4:$J$886,R$1)</f>
        <v>0</v>
      </c>
      <c r="S63" s="207">
        <f>SUMIFS('июнь 2023'!$G$4:$G$886,'июнь 2023'!$D$4:$D$886,$B63,'июнь 2023'!$J$4:$J$886,S$1)</f>
        <v>0</v>
      </c>
      <c r="T63" s="207">
        <f>SUMIFS('июнь 2023'!$G$4:$G$886,'июнь 2023'!$D$4:$D$886,$B63,'июнь 2023'!$J$4:$J$886,T$1)</f>
        <v>0</v>
      </c>
      <c r="U63" s="207">
        <f>SUMIFS('июнь 2023'!$G$4:$G$886,'июнь 2023'!$D$4:$D$886,$B63,'июнь 2023'!$J$4:$J$886,U$1)</f>
        <v>0</v>
      </c>
      <c r="V63" s="207">
        <f>SUMIFS('июнь 2023'!$G$4:$G$886,'июнь 2023'!$D$4:$D$886,$B63,'июнь 2023'!$J$4:$J$886,V$1)</f>
        <v>0</v>
      </c>
      <c r="W63" s="207">
        <f>SUMIFS('июнь 2023'!$G$4:$G$886,'июнь 2023'!$D$4:$D$886,$B63,'июнь 2023'!$J$4:$J$886,W$1)</f>
        <v>0</v>
      </c>
      <c r="X63" s="207">
        <f>SUMIFS('июнь 2023'!$G$4:$G$886,'июнь 2023'!$D$4:$D$886,$B63,'июнь 2023'!$J$4:$J$886,X$1)</f>
        <v>0</v>
      </c>
      <c r="Y63" s="207">
        <f>SUMIFS('июнь 2023'!$G$4:$G$886,'июнь 2023'!$D$4:$D$886,$B63,'июнь 2023'!$J$4:$J$886,Y$1)</f>
        <v>0</v>
      </c>
      <c r="Z63" s="207">
        <f>SUMIFS('июнь 2023'!$G$4:$G$886,'июнь 2023'!$D$4:$D$886,$B63,'июнь 2023'!$J$4:$J$886,Z$1)</f>
        <v>0</v>
      </c>
      <c r="AA63" s="207">
        <f>SUMIFS('июнь 2023'!$G$4:$G$886,'июнь 2023'!$D$4:$D$886,$B63,'июнь 2023'!$J$4:$J$886,AA$1)</f>
        <v>0</v>
      </c>
      <c r="AB63" s="207">
        <f>SUMIFS('июнь 2023'!$G$4:$G$886,'июнь 2023'!$D$4:$D$886,$B63,'июнь 2023'!$J$4:$J$886,AB$1)</f>
        <v>0</v>
      </c>
      <c r="AC63" s="207">
        <f>SUMIFS('июнь 2023'!$G$4:$G$886,'июнь 2023'!$D$4:$D$886,$B63,'июнь 2023'!$J$4:$J$886,AC$1)</f>
        <v>0</v>
      </c>
      <c r="AD63" s="207">
        <f>SUMIFS('июнь 2023'!$G$4:$G$886,'июнь 2023'!$D$4:$D$886,$B63,'июнь 2023'!$J$4:$J$886,AD$1)</f>
        <v>0</v>
      </c>
      <c r="AE63" s="207">
        <f>SUMIFS('июнь 2023'!$G$4:$G$886,'июнь 2023'!$D$4:$D$886,$B63,'июнь 2023'!$J$4:$J$886,AE$1)</f>
        <v>0</v>
      </c>
      <c r="AF63" s="207">
        <f>SUMIFS('июнь 2023'!$G$4:$G$886,'июнь 2023'!$D$4:$D$886,$B63,'июнь 2023'!$J$4:$J$886,AF$1)</f>
        <v>0</v>
      </c>
      <c r="AG63" s="207">
        <f>SUMIFS('июнь 2023'!$G$4:$G$886,'июнь 2023'!$D$4:$D$886,$B63,'июнь 2023'!$J$4:$J$886,AG$1)</f>
        <v>0</v>
      </c>
      <c r="AH63" s="207">
        <f>SUMIFS('июнь 2023'!$G$4:$G$886,'июнь 2023'!$D$4:$D$886,$B63,'июнь 2023'!$J$4:$J$886,AH$1)</f>
        <v>0</v>
      </c>
      <c r="AI63" s="170">
        <f t="shared" si="1"/>
        <v>0</v>
      </c>
    </row>
    <row r="64" spans="2:35" ht="15" customHeight="1" x14ac:dyDescent="0.25">
      <c r="B64" s="216" t="s">
        <v>282</v>
      </c>
      <c r="C64" s="213">
        <v>190</v>
      </c>
      <c r="D64" s="207">
        <f>SUMIFS('июнь 2023'!$G$4:$G$886,'июнь 2023'!$D$4:$D$886,$B64,'июнь 2023'!$J$4:$J$886,D$1)</f>
        <v>80</v>
      </c>
      <c r="E64" s="207">
        <f>SUMIFS('июнь 2023'!$G$4:$G$886,'июнь 2023'!$D$4:$D$886,$B64,'июнь 2023'!$J$4:$J$886,E$1)</f>
        <v>56</v>
      </c>
      <c r="F64" s="207">
        <f>SUMIFS('июнь 2023'!$G$4:$G$886,'июнь 2023'!$D$4:$D$886,$B64,'июнь 2023'!$J$4:$J$886,F$1)</f>
        <v>0</v>
      </c>
      <c r="G64" s="207">
        <f>SUMIFS('июнь 2023'!$G$4:$G$886,'июнь 2023'!$D$4:$D$886,$B64,'июнь 2023'!$J$4:$J$886,G$1)</f>
        <v>0</v>
      </c>
      <c r="H64" s="207">
        <f>SUMIFS('июнь 2023'!$G$4:$G$886,'июнь 2023'!$D$4:$D$886,$B64,'июнь 2023'!$J$4:$J$886,H$1)</f>
        <v>0</v>
      </c>
      <c r="I64" s="207">
        <f>SUMIFS('июнь 2023'!$G$4:$G$886,'июнь 2023'!$D$4:$D$886,$B64,'июнь 2023'!$J$4:$J$886,I$1)</f>
        <v>0</v>
      </c>
      <c r="J64" s="207">
        <f>SUMIFS('июнь 2023'!$G$4:$G$886,'июнь 2023'!$D$4:$D$886,$B64,'июнь 2023'!$J$4:$J$886,J$1)</f>
        <v>0</v>
      </c>
      <c r="K64" s="207">
        <f>SUMIFS('июнь 2023'!$G$4:$G$886,'июнь 2023'!$D$4:$D$886,$B64,'июнь 2023'!$J$4:$J$886,K$1)</f>
        <v>0</v>
      </c>
      <c r="L64" s="207">
        <f>SUMIFS('июнь 2023'!$G$4:$G$886,'июнь 2023'!$D$4:$D$886,$B64,'июнь 2023'!$J$4:$J$886,L$1)</f>
        <v>0</v>
      </c>
      <c r="M64" s="207">
        <f>SUMIFS('июнь 2023'!$G$4:$G$886,'июнь 2023'!$D$4:$D$886,$B64,'июнь 2023'!$J$4:$J$886,M$1)</f>
        <v>0</v>
      </c>
      <c r="N64" s="207">
        <f>SUMIFS('июнь 2023'!$G$4:$G$886,'июнь 2023'!$D$4:$D$886,$B64,'июнь 2023'!$J$4:$J$886,N$1)</f>
        <v>80</v>
      </c>
      <c r="O64" s="207">
        <f>SUMIFS('июнь 2023'!$G$4:$G$886,'июнь 2023'!$D$4:$D$886,$B64,'июнь 2023'!$J$4:$J$886,O$1)</f>
        <v>0</v>
      </c>
      <c r="P64" s="207">
        <f>SUMIFS('июнь 2023'!$G$4:$G$886,'июнь 2023'!$D$4:$D$886,$B64,'июнь 2023'!$J$4:$J$886,P$1)</f>
        <v>0</v>
      </c>
      <c r="Q64" s="207">
        <f>SUMIFS('июнь 2023'!$G$4:$G$886,'июнь 2023'!$D$4:$D$886,$B64,'июнь 2023'!$J$4:$J$886,Q$1)</f>
        <v>0</v>
      </c>
      <c r="R64" s="207">
        <f>SUMIFS('июнь 2023'!$G$4:$G$886,'июнь 2023'!$D$4:$D$886,$B64,'июнь 2023'!$J$4:$J$886,R$1)</f>
        <v>0</v>
      </c>
      <c r="S64" s="207">
        <f>SUMIFS('июнь 2023'!$G$4:$G$886,'июнь 2023'!$D$4:$D$886,$B64,'июнь 2023'!$J$4:$J$886,S$1)</f>
        <v>0</v>
      </c>
      <c r="T64" s="207">
        <f>SUMIFS('июнь 2023'!$G$4:$G$886,'июнь 2023'!$D$4:$D$886,$B64,'июнь 2023'!$J$4:$J$886,T$1)</f>
        <v>0</v>
      </c>
      <c r="U64" s="207">
        <f>SUMIFS('июнь 2023'!$G$4:$G$886,'июнь 2023'!$D$4:$D$886,$B64,'июнь 2023'!$J$4:$J$886,U$1)</f>
        <v>0</v>
      </c>
      <c r="V64" s="207">
        <f>SUMIFS('июнь 2023'!$G$4:$G$886,'июнь 2023'!$D$4:$D$886,$B64,'июнь 2023'!$J$4:$J$886,V$1)</f>
        <v>0</v>
      </c>
      <c r="W64" s="207">
        <f>SUMIFS('июнь 2023'!$G$4:$G$886,'июнь 2023'!$D$4:$D$886,$B64,'июнь 2023'!$J$4:$J$886,W$1)</f>
        <v>0</v>
      </c>
      <c r="X64" s="207">
        <f>SUMIFS('июнь 2023'!$G$4:$G$886,'июнь 2023'!$D$4:$D$886,$B64,'июнь 2023'!$J$4:$J$886,X$1)</f>
        <v>0</v>
      </c>
      <c r="Y64" s="207">
        <f>SUMIFS('июнь 2023'!$G$4:$G$886,'июнь 2023'!$D$4:$D$886,$B64,'июнь 2023'!$J$4:$J$886,Y$1)</f>
        <v>0</v>
      </c>
      <c r="Z64" s="207">
        <f>SUMIFS('июнь 2023'!$G$4:$G$886,'июнь 2023'!$D$4:$D$886,$B64,'июнь 2023'!$J$4:$J$886,Z$1)</f>
        <v>0</v>
      </c>
      <c r="AA64" s="207">
        <f>SUMIFS('июнь 2023'!$G$4:$G$886,'июнь 2023'!$D$4:$D$886,$B64,'июнь 2023'!$J$4:$J$886,AA$1)</f>
        <v>0</v>
      </c>
      <c r="AB64" s="207">
        <f>SUMIFS('июнь 2023'!$G$4:$G$886,'июнь 2023'!$D$4:$D$886,$B64,'июнь 2023'!$J$4:$J$886,AB$1)</f>
        <v>0</v>
      </c>
      <c r="AC64" s="207">
        <f>SUMIFS('июнь 2023'!$G$4:$G$886,'июнь 2023'!$D$4:$D$886,$B64,'июнь 2023'!$J$4:$J$886,AC$1)</f>
        <v>0</v>
      </c>
      <c r="AD64" s="207">
        <f>SUMIFS('июнь 2023'!$G$4:$G$886,'июнь 2023'!$D$4:$D$886,$B64,'июнь 2023'!$J$4:$J$886,AD$1)</f>
        <v>0</v>
      </c>
      <c r="AE64" s="207">
        <f>SUMIFS('июнь 2023'!$G$4:$G$886,'июнь 2023'!$D$4:$D$886,$B64,'июнь 2023'!$J$4:$J$886,AE$1)</f>
        <v>0</v>
      </c>
      <c r="AF64" s="207">
        <f>SUMIFS('июнь 2023'!$G$4:$G$886,'июнь 2023'!$D$4:$D$886,$B64,'июнь 2023'!$J$4:$J$886,AF$1)</f>
        <v>0</v>
      </c>
      <c r="AG64" s="207">
        <f>SUMIFS('июнь 2023'!$G$4:$G$886,'июнь 2023'!$D$4:$D$886,$B64,'июнь 2023'!$J$4:$J$886,AG$1)</f>
        <v>0</v>
      </c>
      <c r="AH64" s="207">
        <f>SUMIFS('июнь 2023'!$G$4:$G$886,'июнь 2023'!$D$4:$D$886,$B64,'июнь 2023'!$J$4:$J$886,AH$1)</f>
        <v>0</v>
      </c>
      <c r="AI64" s="170">
        <f t="shared" si="1"/>
        <v>216</v>
      </c>
    </row>
    <row r="65" spans="2:35" ht="15" customHeight="1" x14ac:dyDescent="0.25">
      <c r="B65" s="216" t="s">
        <v>1498</v>
      </c>
      <c r="C65" s="213">
        <v>190</v>
      </c>
      <c r="D65" s="207">
        <f>SUMIFS('июнь 2023'!$G$4:$G$886,'июнь 2023'!$D$4:$D$886,$B65,'июнь 2023'!$J$4:$J$886,D$1)</f>
        <v>0</v>
      </c>
      <c r="E65" s="207">
        <f>SUMIFS('июнь 2023'!$G$4:$G$886,'июнь 2023'!$D$4:$D$886,$B65,'июнь 2023'!$J$4:$J$886,E$1)</f>
        <v>0</v>
      </c>
      <c r="F65" s="207">
        <f>SUMIFS('июнь 2023'!$G$4:$G$886,'июнь 2023'!$D$4:$D$886,$B65,'июнь 2023'!$J$4:$J$886,F$1)</f>
        <v>0</v>
      </c>
      <c r="G65" s="207">
        <f>SUMIFS('июнь 2023'!$G$4:$G$886,'июнь 2023'!$D$4:$D$886,$B65,'июнь 2023'!$J$4:$J$886,G$1)</f>
        <v>0</v>
      </c>
      <c r="H65" s="207">
        <f>SUMIFS('июнь 2023'!$G$4:$G$886,'июнь 2023'!$D$4:$D$886,$B65,'июнь 2023'!$J$4:$J$886,H$1)</f>
        <v>0</v>
      </c>
      <c r="I65" s="207">
        <f>SUMIFS('июнь 2023'!$G$4:$G$886,'июнь 2023'!$D$4:$D$886,$B65,'июнь 2023'!$J$4:$J$886,I$1)</f>
        <v>0</v>
      </c>
      <c r="J65" s="207">
        <f>SUMIFS('июнь 2023'!$G$4:$G$886,'июнь 2023'!$D$4:$D$886,$B65,'июнь 2023'!$J$4:$J$886,J$1)</f>
        <v>0</v>
      </c>
      <c r="K65" s="207">
        <f>SUMIFS('июнь 2023'!$G$4:$G$886,'июнь 2023'!$D$4:$D$886,$B65,'июнь 2023'!$J$4:$J$886,K$1)</f>
        <v>0</v>
      </c>
      <c r="L65" s="207">
        <f>SUMIFS('июнь 2023'!$G$4:$G$886,'июнь 2023'!$D$4:$D$886,$B65,'июнь 2023'!$J$4:$J$886,L$1)</f>
        <v>0</v>
      </c>
      <c r="M65" s="207">
        <f>SUMIFS('июнь 2023'!$G$4:$G$886,'июнь 2023'!$D$4:$D$886,$B65,'июнь 2023'!$J$4:$J$886,M$1)</f>
        <v>0</v>
      </c>
      <c r="N65" s="207">
        <f>SUMIFS('июнь 2023'!$G$4:$G$886,'июнь 2023'!$D$4:$D$886,$B65,'июнь 2023'!$J$4:$J$886,N$1)</f>
        <v>0</v>
      </c>
      <c r="O65" s="207">
        <f>SUMIFS('июнь 2023'!$G$4:$G$886,'июнь 2023'!$D$4:$D$886,$B65,'июнь 2023'!$J$4:$J$886,O$1)</f>
        <v>0</v>
      </c>
      <c r="P65" s="207">
        <f>SUMIFS('июнь 2023'!$G$4:$G$886,'июнь 2023'!$D$4:$D$886,$B65,'июнь 2023'!$J$4:$J$886,P$1)</f>
        <v>0</v>
      </c>
      <c r="Q65" s="207">
        <f>SUMIFS('июнь 2023'!$G$4:$G$886,'июнь 2023'!$D$4:$D$886,$B65,'июнь 2023'!$J$4:$J$886,Q$1)</f>
        <v>0</v>
      </c>
      <c r="R65" s="207">
        <f>SUMIFS('июнь 2023'!$G$4:$G$886,'июнь 2023'!$D$4:$D$886,$B65,'июнь 2023'!$J$4:$J$886,R$1)</f>
        <v>0</v>
      </c>
      <c r="S65" s="207">
        <f>SUMIFS('июнь 2023'!$G$4:$G$886,'июнь 2023'!$D$4:$D$886,$B65,'июнь 2023'!$J$4:$J$886,S$1)</f>
        <v>0</v>
      </c>
      <c r="T65" s="207">
        <f>SUMIFS('июнь 2023'!$G$4:$G$886,'июнь 2023'!$D$4:$D$886,$B65,'июнь 2023'!$J$4:$J$886,T$1)</f>
        <v>0</v>
      </c>
      <c r="U65" s="207">
        <f>SUMIFS('июнь 2023'!$G$4:$G$886,'июнь 2023'!$D$4:$D$886,$B65,'июнь 2023'!$J$4:$J$886,U$1)</f>
        <v>0</v>
      </c>
      <c r="V65" s="207">
        <f>SUMIFS('июнь 2023'!$G$4:$G$886,'июнь 2023'!$D$4:$D$886,$B65,'июнь 2023'!$J$4:$J$886,V$1)</f>
        <v>0</v>
      </c>
      <c r="W65" s="207">
        <f>SUMIFS('июнь 2023'!$G$4:$G$886,'июнь 2023'!$D$4:$D$886,$B65,'июнь 2023'!$J$4:$J$886,W$1)</f>
        <v>0</v>
      </c>
      <c r="X65" s="207">
        <f>SUMIFS('июнь 2023'!$G$4:$G$886,'июнь 2023'!$D$4:$D$886,$B65,'июнь 2023'!$J$4:$J$886,X$1)</f>
        <v>0</v>
      </c>
      <c r="Y65" s="207">
        <f>SUMIFS('июнь 2023'!$G$4:$G$886,'июнь 2023'!$D$4:$D$886,$B65,'июнь 2023'!$J$4:$J$886,Y$1)</f>
        <v>0</v>
      </c>
      <c r="Z65" s="207">
        <f>SUMIFS('июнь 2023'!$G$4:$G$886,'июнь 2023'!$D$4:$D$886,$B65,'июнь 2023'!$J$4:$J$886,Z$1)</f>
        <v>0</v>
      </c>
      <c r="AA65" s="207">
        <f>SUMIFS('июнь 2023'!$G$4:$G$886,'июнь 2023'!$D$4:$D$886,$B65,'июнь 2023'!$J$4:$J$886,AA$1)</f>
        <v>0</v>
      </c>
      <c r="AB65" s="207">
        <f>SUMIFS('июнь 2023'!$G$4:$G$886,'июнь 2023'!$D$4:$D$886,$B65,'июнь 2023'!$J$4:$J$886,AB$1)</f>
        <v>0</v>
      </c>
      <c r="AC65" s="207">
        <f>SUMIFS('июнь 2023'!$G$4:$G$886,'июнь 2023'!$D$4:$D$886,$B65,'июнь 2023'!$J$4:$J$886,AC$1)</f>
        <v>0</v>
      </c>
      <c r="AD65" s="207">
        <f>SUMIFS('июнь 2023'!$G$4:$G$886,'июнь 2023'!$D$4:$D$886,$B65,'июнь 2023'!$J$4:$J$886,AD$1)</f>
        <v>0</v>
      </c>
      <c r="AE65" s="207">
        <f>SUMIFS('июнь 2023'!$G$4:$G$886,'июнь 2023'!$D$4:$D$886,$B65,'июнь 2023'!$J$4:$J$886,AE$1)</f>
        <v>0</v>
      </c>
      <c r="AF65" s="207">
        <f>SUMIFS('июнь 2023'!$G$4:$G$886,'июнь 2023'!$D$4:$D$886,$B65,'июнь 2023'!$J$4:$J$886,AF$1)</f>
        <v>0</v>
      </c>
      <c r="AG65" s="207">
        <f>SUMIFS('июнь 2023'!$G$4:$G$886,'июнь 2023'!$D$4:$D$886,$B65,'июнь 2023'!$J$4:$J$886,AG$1)</f>
        <v>0</v>
      </c>
      <c r="AH65" s="207">
        <f>SUMIFS('июнь 2023'!$G$4:$G$886,'июнь 2023'!$D$4:$D$886,$B65,'июнь 2023'!$J$4:$J$886,AH$1)</f>
        <v>0</v>
      </c>
      <c r="AI65" s="170">
        <f t="shared" si="1"/>
        <v>0</v>
      </c>
    </row>
    <row r="66" spans="2:35" ht="15" customHeight="1" x14ac:dyDescent="0.25">
      <c r="B66" s="216" t="s">
        <v>1721</v>
      </c>
      <c r="C66" s="213">
        <v>180</v>
      </c>
      <c r="D66" s="207">
        <f>SUMIFS('июнь 2023'!$G$4:$G$886,'июнь 2023'!$D$4:$D$886,$B66,'июнь 2023'!$J$4:$J$886,D$1)</f>
        <v>0</v>
      </c>
      <c r="E66" s="207">
        <f>SUMIFS('июнь 2023'!$G$4:$G$886,'июнь 2023'!$D$4:$D$886,$B66,'июнь 2023'!$J$4:$J$886,E$1)</f>
        <v>0</v>
      </c>
      <c r="F66" s="207">
        <f>SUMIFS('июнь 2023'!$G$4:$G$886,'июнь 2023'!$D$4:$D$886,$B66,'июнь 2023'!$J$4:$J$886,F$1)</f>
        <v>0</v>
      </c>
      <c r="G66" s="207">
        <f>SUMIFS('июнь 2023'!$G$4:$G$886,'июнь 2023'!$D$4:$D$886,$B66,'июнь 2023'!$J$4:$J$886,G$1)</f>
        <v>0</v>
      </c>
      <c r="H66" s="207">
        <f>SUMIFS('июнь 2023'!$G$4:$G$886,'июнь 2023'!$D$4:$D$886,$B66,'июнь 2023'!$J$4:$J$886,H$1)</f>
        <v>0</v>
      </c>
      <c r="I66" s="207">
        <f>SUMIFS('июнь 2023'!$G$4:$G$886,'июнь 2023'!$D$4:$D$886,$B66,'июнь 2023'!$J$4:$J$886,I$1)</f>
        <v>0</v>
      </c>
      <c r="J66" s="207">
        <f>SUMIFS('июнь 2023'!$G$4:$G$886,'июнь 2023'!$D$4:$D$886,$B66,'июнь 2023'!$J$4:$J$886,J$1)</f>
        <v>0</v>
      </c>
      <c r="K66" s="207">
        <f>SUMIFS('июнь 2023'!$G$4:$G$886,'июнь 2023'!$D$4:$D$886,$B66,'июнь 2023'!$J$4:$J$886,K$1)</f>
        <v>0</v>
      </c>
      <c r="L66" s="207">
        <f>SUMIFS('июнь 2023'!$G$4:$G$886,'июнь 2023'!$D$4:$D$886,$B66,'июнь 2023'!$J$4:$J$886,L$1)</f>
        <v>0</v>
      </c>
      <c r="M66" s="207">
        <f>SUMIFS('июнь 2023'!$G$4:$G$886,'июнь 2023'!$D$4:$D$886,$B66,'июнь 2023'!$J$4:$J$886,M$1)</f>
        <v>0</v>
      </c>
      <c r="N66" s="207">
        <f>SUMIFS('июнь 2023'!$G$4:$G$886,'июнь 2023'!$D$4:$D$886,$B66,'июнь 2023'!$J$4:$J$886,N$1)</f>
        <v>0</v>
      </c>
      <c r="O66" s="207">
        <f>SUMIFS('июнь 2023'!$G$4:$G$886,'июнь 2023'!$D$4:$D$886,$B66,'июнь 2023'!$J$4:$J$886,O$1)</f>
        <v>0</v>
      </c>
      <c r="P66" s="207">
        <f>SUMIFS('июнь 2023'!$G$4:$G$886,'июнь 2023'!$D$4:$D$886,$B66,'июнь 2023'!$J$4:$J$886,P$1)</f>
        <v>0</v>
      </c>
      <c r="Q66" s="207">
        <f>SUMIFS('июнь 2023'!$G$4:$G$886,'июнь 2023'!$D$4:$D$886,$B66,'июнь 2023'!$J$4:$J$886,Q$1)</f>
        <v>0</v>
      </c>
      <c r="R66" s="207">
        <f>SUMIFS('июнь 2023'!$G$4:$G$886,'июнь 2023'!$D$4:$D$886,$B66,'июнь 2023'!$J$4:$J$886,R$1)</f>
        <v>0</v>
      </c>
      <c r="S66" s="207">
        <f>SUMIFS('июнь 2023'!$G$4:$G$886,'июнь 2023'!$D$4:$D$886,$B66,'июнь 2023'!$J$4:$J$886,S$1)</f>
        <v>0</v>
      </c>
      <c r="T66" s="207">
        <f>SUMIFS('июнь 2023'!$G$4:$G$886,'июнь 2023'!$D$4:$D$886,$B66,'июнь 2023'!$J$4:$J$886,T$1)</f>
        <v>0</v>
      </c>
      <c r="U66" s="207">
        <f>SUMIFS('июнь 2023'!$G$4:$G$886,'июнь 2023'!$D$4:$D$886,$B66,'июнь 2023'!$J$4:$J$886,U$1)</f>
        <v>0</v>
      </c>
      <c r="V66" s="207">
        <f>SUMIFS('июнь 2023'!$G$4:$G$886,'июнь 2023'!$D$4:$D$886,$B66,'июнь 2023'!$J$4:$J$886,V$1)</f>
        <v>0</v>
      </c>
      <c r="W66" s="207">
        <f>SUMIFS('июнь 2023'!$G$4:$G$886,'июнь 2023'!$D$4:$D$886,$B66,'июнь 2023'!$J$4:$J$886,W$1)</f>
        <v>0</v>
      </c>
      <c r="X66" s="207">
        <f>SUMIFS('июнь 2023'!$G$4:$G$886,'июнь 2023'!$D$4:$D$886,$B66,'июнь 2023'!$J$4:$J$886,X$1)</f>
        <v>0</v>
      </c>
      <c r="Y66" s="207">
        <f>SUMIFS('июнь 2023'!$G$4:$G$886,'июнь 2023'!$D$4:$D$886,$B66,'июнь 2023'!$J$4:$J$886,Y$1)</f>
        <v>0</v>
      </c>
      <c r="Z66" s="207">
        <f>SUMIFS('июнь 2023'!$G$4:$G$886,'июнь 2023'!$D$4:$D$886,$B66,'июнь 2023'!$J$4:$J$886,Z$1)</f>
        <v>0</v>
      </c>
      <c r="AA66" s="207">
        <f>SUMIFS('июнь 2023'!$G$4:$G$886,'июнь 2023'!$D$4:$D$886,$B66,'июнь 2023'!$J$4:$J$886,AA$1)</f>
        <v>0</v>
      </c>
      <c r="AB66" s="207">
        <f>SUMIFS('июнь 2023'!$G$4:$G$886,'июнь 2023'!$D$4:$D$886,$B66,'июнь 2023'!$J$4:$J$886,AB$1)</f>
        <v>0</v>
      </c>
      <c r="AC66" s="207">
        <f>SUMIFS('июнь 2023'!$G$4:$G$886,'июнь 2023'!$D$4:$D$886,$B66,'июнь 2023'!$J$4:$J$886,AC$1)</f>
        <v>0</v>
      </c>
      <c r="AD66" s="207">
        <f>SUMIFS('июнь 2023'!$G$4:$G$886,'июнь 2023'!$D$4:$D$886,$B66,'июнь 2023'!$J$4:$J$886,AD$1)</f>
        <v>0</v>
      </c>
      <c r="AE66" s="207">
        <f>SUMIFS('июнь 2023'!$G$4:$G$886,'июнь 2023'!$D$4:$D$886,$B66,'июнь 2023'!$J$4:$J$886,AE$1)</f>
        <v>0</v>
      </c>
      <c r="AF66" s="207">
        <f>SUMIFS('июнь 2023'!$G$4:$G$886,'июнь 2023'!$D$4:$D$886,$B66,'июнь 2023'!$J$4:$J$886,AF$1)</f>
        <v>0</v>
      </c>
      <c r="AG66" s="207">
        <f>SUMIFS('июнь 2023'!$G$4:$G$886,'июнь 2023'!$D$4:$D$886,$B66,'июнь 2023'!$J$4:$J$886,AG$1)</f>
        <v>0</v>
      </c>
      <c r="AH66" s="207">
        <f>SUMIFS('июнь 2023'!$G$4:$G$886,'июнь 2023'!$D$4:$D$886,$B66,'июнь 2023'!$J$4:$J$886,AH$1)</f>
        <v>0</v>
      </c>
      <c r="AI66" s="170">
        <f t="shared" si="1"/>
        <v>0</v>
      </c>
    </row>
    <row r="67" spans="2:35" ht="15" customHeight="1" x14ac:dyDescent="0.25">
      <c r="B67" s="216" t="s">
        <v>2166</v>
      </c>
      <c r="C67" s="213">
        <v>180</v>
      </c>
      <c r="D67" s="207">
        <f>SUMIFS('июнь 2023'!$G$4:$G$886,'июнь 2023'!$D$4:$D$886,$B67,'июнь 2023'!$J$4:$J$886,D$1)</f>
        <v>0</v>
      </c>
      <c r="E67" s="207">
        <f>SUMIFS('июнь 2023'!$G$4:$G$886,'июнь 2023'!$D$4:$D$886,$B67,'июнь 2023'!$J$4:$J$886,E$1)</f>
        <v>0</v>
      </c>
      <c r="F67" s="207">
        <f>SUMIFS('июнь 2023'!$G$4:$G$886,'июнь 2023'!$D$4:$D$886,$B67,'июнь 2023'!$J$4:$J$886,F$1)</f>
        <v>0</v>
      </c>
      <c r="G67" s="207">
        <f>SUMIFS('июнь 2023'!$G$4:$G$886,'июнь 2023'!$D$4:$D$886,$B67,'июнь 2023'!$J$4:$J$886,G$1)</f>
        <v>0</v>
      </c>
      <c r="H67" s="207">
        <f>SUMIFS('июнь 2023'!$G$4:$G$886,'июнь 2023'!$D$4:$D$886,$B67,'июнь 2023'!$J$4:$J$886,H$1)</f>
        <v>0</v>
      </c>
      <c r="I67" s="207">
        <f>SUMIFS('июнь 2023'!$G$4:$G$886,'июнь 2023'!$D$4:$D$886,$B67,'июнь 2023'!$J$4:$J$886,I$1)</f>
        <v>0</v>
      </c>
      <c r="J67" s="207">
        <f>SUMIFS('июнь 2023'!$G$4:$G$886,'июнь 2023'!$D$4:$D$886,$B67,'июнь 2023'!$J$4:$J$886,J$1)</f>
        <v>0</v>
      </c>
      <c r="K67" s="207">
        <f>SUMIFS('июнь 2023'!$G$4:$G$886,'июнь 2023'!$D$4:$D$886,$B67,'июнь 2023'!$J$4:$J$886,K$1)</f>
        <v>0</v>
      </c>
      <c r="L67" s="207">
        <f>SUMIFS('июнь 2023'!$G$4:$G$886,'июнь 2023'!$D$4:$D$886,$B67,'июнь 2023'!$J$4:$J$886,L$1)</f>
        <v>0</v>
      </c>
      <c r="M67" s="207">
        <f>SUMIFS('июнь 2023'!$G$4:$G$886,'июнь 2023'!$D$4:$D$886,$B67,'июнь 2023'!$J$4:$J$886,M$1)</f>
        <v>0</v>
      </c>
      <c r="N67" s="207">
        <f>SUMIFS('июнь 2023'!$G$4:$G$886,'июнь 2023'!$D$4:$D$886,$B67,'июнь 2023'!$J$4:$J$886,N$1)</f>
        <v>0</v>
      </c>
      <c r="O67" s="207">
        <f>SUMIFS('июнь 2023'!$G$4:$G$886,'июнь 2023'!$D$4:$D$886,$B67,'июнь 2023'!$J$4:$J$886,O$1)</f>
        <v>0</v>
      </c>
      <c r="P67" s="207">
        <f>SUMIFS('июнь 2023'!$G$4:$G$886,'июнь 2023'!$D$4:$D$886,$B67,'июнь 2023'!$J$4:$J$886,P$1)</f>
        <v>0</v>
      </c>
      <c r="Q67" s="207">
        <f>SUMIFS('июнь 2023'!$G$4:$G$886,'июнь 2023'!$D$4:$D$886,$B67,'июнь 2023'!$J$4:$J$886,Q$1)</f>
        <v>0</v>
      </c>
      <c r="R67" s="207">
        <f>SUMIFS('июнь 2023'!$G$4:$G$886,'июнь 2023'!$D$4:$D$886,$B67,'июнь 2023'!$J$4:$J$886,R$1)</f>
        <v>0</v>
      </c>
      <c r="S67" s="207">
        <f>SUMIFS('июнь 2023'!$G$4:$G$886,'июнь 2023'!$D$4:$D$886,$B67,'июнь 2023'!$J$4:$J$886,S$1)</f>
        <v>0</v>
      </c>
      <c r="T67" s="207">
        <f>SUMIFS('июнь 2023'!$G$4:$G$886,'июнь 2023'!$D$4:$D$886,$B67,'июнь 2023'!$J$4:$J$886,T$1)</f>
        <v>0</v>
      </c>
      <c r="U67" s="207">
        <f>SUMIFS('июнь 2023'!$G$4:$G$886,'июнь 2023'!$D$4:$D$886,$B67,'июнь 2023'!$J$4:$J$886,U$1)</f>
        <v>0</v>
      </c>
      <c r="V67" s="207">
        <f>SUMIFS('июнь 2023'!$G$4:$G$886,'июнь 2023'!$D$4:$D$886,$B67,'июнь 2023'!$J$4:$J$886,V$1)</f>
        <v>0</v>
      </c>
      <c r="W67" s="207">
        <f>SUMIFS('июнь 2023'!$G$4:$G$886,'июнь 2023'!$D$4:$D$886,$B67,'июнь 2023'!$J$4:$J$886,W$1)</f>
        <v>0</v>
      </c>
      <c r="X67" s="207">
        <f>SUMIFS('июнь 2023'!$G$4:$G$886,'июнь 2023'!$D$4:$D$886,$B67,'июнь 2023'!$J$4:$J$886,X$1)</f>
        <v>0</v>
      </c>
      <c r="Y67" s="207">
        <f>SUMIFS('июнь 2023'!$G$4:$G$886,'июнь 2023'!$D$4:$D$886,$B67,'июнь 2023'!$J$4:$J$886,Y$1)</f>
        <v>0</v>
      </c>
      <c r="Z67" s="207">
        <f>SUMIFS('июнь 2023'!$G$4:$G$886,'июнь 2023'!$D$4:$D$886,$B67,'июнь 2023'!$J$4:$J$886,Z$1)</f>
        <v>0</v>
      </c>
      <c r="AA67" s="207">
        <f>SUMIFS('июнь 2023'!$G$4:$G$886,'июнь 2023'!$D$4:$D$886,$B67,'июнь 2023'!$J$4:$J$886,AA$1)</f>
        <v>0</v>
      </c>
      <c r="AB67" s="207">
        <f>SUMIFS('июнь 2023'!$G$4:$G$886,'июнь 2023'!$D$4:$D$886,$B67,'июнь 2023'!$J$4:$J$886,AB$1)</f>
        <v>0</v>
      </c>
      <c r="AC67" s="207">
        <f>SUMIFS('июнь 2023'!$G$4:$G$886,'июнь 2023'!$D$4:$D$886,$B67,'июнь 2023'!$J$4:$J$886,AC$1)</f>
        <v>0</v>
      </c>
      <c r="AD67" s="207">
        <f>SUMIFS('июнь 2023'!$G$4:$G$886,'июнь 2023'!$D$4:$D$886,$B67,'июнь 2023'!$J$4:$J$886,AD$1)</f>
        <v>0</v>
      </c>
      <c r="AE67" s="207">
        <f>SUMIFS('июнь 2023'!$G$4:$G$886,'июнь 2023'!$D$4:$D$886,$B67,'июнь 2023'!$J$4:$J$886,AE$1)</f>
        <v>0</v>
      </c>
      <c r="AF67" s="207">
        <f>SUMIFS('июнь 2023'!$G$4:$G$886,'июнь 2023'!$D$4:$D$886,$B67,'июнь 2023'!$J$4:$J$886,AF$1)</f>
        <v>0</v>
      </c>
      <c r="AG67" s="207">
        <f>SUMIFS('июнь 2023'!$G$4:$G$886,'июнь 2023'!$D$4:$D$886,$B67,'июнь 2023'!$J$4:$J$886,AG$1)</f>
        <v>0</v>
      </c>
      <c r="AH67" s="207">
        <f>SUMIFS('июнь 2023'!$G$4:$G$886,'июнь 2023'!$D$4:$D$886,$B67,'июнь 2023'!$J$4:$J$886,AH$1)</f>
        <v>0</v>
      </c>
      <c r="AI67" s="170">
        <f t="shared" ref="AI67:AI125" si="2">SUM(D67:AH67)</f>
        <v>0</v>
      </c>
    </row>
    <row r="68" spans="2:35" ht="15" customHeight="1" x14ac:dyDescent="0.25">
      <c r="B68" s="216" t="s">
        <v>140</v>
      </c>
      <c r="C68" s="213">
        <v>180</v>
      </c>
      <c r="D68" s="207">
        <f>SUMIFS('июнь 2023'!$G$4:$G$886,'июнь 2023'!$D$4:$D$886,$B68,'июнь 2023'!$J$4:$J$886,D$1)</f>
        <v>0</v>
      </c>
      <c r="E68" s="207">
        <f>SUMIFS('июнь 2023'!$G$4:$G$886,'июнь 2023'!$D$4:$D$886,$B68,'июнь 2023'!$J$4:$J$886,E$1)</f>
        <v>0</v>
      </c>
      <c r="F68" s="207">
        <f>SUMIFS('июнь 2023'!$G$4:$G$886,'июнь 2023'!$D$4:$D$886,$B68,'июнь 2023'!$J$4:$J$886,F$1)</f>
        <v>0</v>
      </c>
      <c r="G68" s="207">
        <f>SUMIFS('июнь 2023'!$G$4:$G$886,'июнь 2023'!$D$4:$D$886,$B68,'июнь 2023'!$J$4:$J$886,G$1)</f>
        <v>0</v>
      </c>
      <c r="H68" s="207">
        <f>SUMIFS('июнь 2023'!$G$4:$G$886,'июнь 2023'!$D$4:$D$886,$B68,'июнь 2023'!$J$4:$J$886,H$1)</f>
        <v>0</v>
      </c>
      <c r="I68" s="207">
        <f>SUMIFS('июнь 2023'!$G$4:$G$886,'июнь 2023'!$D$4:$D$886,$B68,'июнь 2023'!$J$4:$J$886,I$1)</f>
        <v>0</v>
      </c>
      <c r="J68" s="207">
        <f>SUMIFS('июнь 2023'!$G$4:$G$886,'июнь 2023'!$D$4:$D$886,$B68,'июнь 2023'!$J$4:$J$886,J$1)</f>
        <v>0</v>
      </c>
      <c r="K68" s="207">
        <f>SUMIFS('июнь 2023'!$G$4:$G$886,'июнь 2023'!$D$4:$D$886,$B68,'июнь 2023'!$J$4:$J$886,K$1)</f>
        <v>0</v>
      </c>
      <c r="L68" s="207">
        <f>SUMIFS('июнь 2023'!$G$4:$G$886,'июнь 2023'!$D$4:$D$886,$B68,'июнь 2023'!$J$4:$J$886,L$1)</f>
        <v>0</v>
      </c>
      <c r="M68" s="207">
        <f>SUMIFS('июнь 2023'!$G$4:$G$886,'июнь 2023'!$D$4:$D$886,$B68,'июнь 2023'!$J$4:$J$886,M$1)</f>
        <v>0</v>
      </c>
      <c r="N68" s="207">
        <f>SUMIFS('июнь 2023'!$G$4:$G$886,'июнь 2023'!$D$4:$D$886,$B68,'июнь 2023'!$J$4:$J$886,N$1)</f>
        <v>0</v>
      </c>
      <c r="O68" s="207">
        <f>SUMIFS('июнь 2023'!$G$4:$G$886,'июнь 2023'!$D$4:$D$886,$B68,'июнь 2023'!$J$4:$J$886,O$1)</f>
        <v>0</v>
      </c>
      <c r="P68" s="207">
        <f>SUMIFS('июнь 2023'!$G$4:$G$886,'июнь 2023'!$D$4:$D$886,$B68,'июнь 2023'!$J$4:$J$886,P$1)</f>
        <v>0</v>
      </c>
      <c r="Q68" s="207">
        <f>SUMIFS('июнь 2023'!$G$4:$G$886,'июнь 2023'!$D$4:$D$886,$B68,'июнь 2023'!$J$4:$J$886,Q$1)</f>
        <v>0</v>
      </c>
      <c r="R68" s="207">
        <f>SUMIFS('июнь 2023'!$G$4:$G$886,'июнь 2023'!$D$4:$D$886,$B68,'июнь 2023'!$J$4:$J$886,R$1)</f>
        <v>0</v>
      </c>
      <c r="S68" s="207">
        <f>SUMIFS('июнь 2023'!$G$4:$G$886,'июнь 2023'!$D$4:$D$886,$B68,'июнь 2023'!$J$4:$J$886,S$1)</f>
        <v>0</v>
      </c>
      <c r="T68" s="207">
        <f>SUMIFS('июнь 2023'!$G$4:$G$886,'июнь 2023'!$D$4:$D$886,$B68,'июнь 2023'!$J$4:$J$886,T$1)</f>
        <v>0</v>
      </c>
      <c r="U68" s="207">
        <f>SUMIFS('июнь 2023'!$G$4:$G$886,'июнь 2023'!$D$4:$D$886,$B68,'июнь 2023'!$J$4:$J$886,U$1)</f>
        <v>0</v>
      </c>
      <c r="V68" s="207">
        <f>SUMIFS('июнь 2023'!$G$4:$G$886,'июнь 2023'!$D$4:$D$886,$B68,'июнь 2023'!$J$4:$J$886,V$1)</f>
        <v>0</v>
      </c>
      <c r="W68" s="207">
        <f>SUMIFS('июнь 2023'!$G$4:$G$886,'июнь 2023'!$D$4:$D$886,$B68,'июнь 2023'!$J$4:$J$886,W$1)</f>
        <v>0</v>
      </c>
      <c r="X68" s="207">
        <f>SUMIFS('июнь 2023'!$G$4:$G$886,'июнь 2023'!$D$4:$D$886,$B68,'июнь 2023'!$J$4:$J$886,X$1)</f>
        <v>0</v>
      </c>
      <c r="Y68" s="207">
        <f>SUMIFS('июнь 2023'!$G$4:$G$886,'июнь 2023'!$D$4:$D$886,$B68,'июнь 2023'!$J$4:$J$886,Y$1)</f>
        <v>0</v>
      </c>
      <c r="Z68" s="207">
        <f>SUMIFS('июнь 2023'!$G$4:$G$886,'июнь 2023'!$D$4:$D$886,$B68,'июнь 2023'!$J$4:$J$886,Z$1)</f>
        <v>0</v>
      </c>
      <c r="AA68" s="207">
        <f>SUMIFS('июнь 2023'!$G$4:$G$886,'июнь 2023'!$D$4:$D$886,$B68,'июнь 2023'!$J$4:$J$886,AA$1)</f>
        <v>0</v>
      </c>
      <c r="AB68" s="207">
        <f>SUMIFS('июнь 2023'!$G$4:$G$886,'июнь 2023'!$D$4:$D$886,$B68,'июнь 2023'!$J$4:$J$886,AB$1)</f>
        <v>0</v>
      </c>
      <c r="AC68" s="207">
        <f>SUMIFS('июнь 2023'!$G$4:$G$886,'июнь 2023'!$D$4:$D$886,$B68,'июнь 2023'!$J$4:$J$886,AC$1)</f>
        <v>0</v>
      </c>
      <c r="AD68" s="207">
        <f>SUMIFS('июнь 2023'!$G$4:$G$886,'июнь 2023'!$D$4:$D$886,$B68,'июнь 2023'!$J$4:$J$886,AD$1)</f>
        <v>0</v>
      </c>
      <c r="AE68" s="207">
        <f>SUMIFS('июнь 2023'!$G$4:$G$886,'июнь 2023'!$D$4:$D$886,$B68,'июнь 2023'!$J$4:$J$886,AE$1)</f>
        <v>0</v>
      </c>
      <c r="AF68" s="207">
        <f>SUMIFS('июнь 2023'!$G$4:$G$886,'июнь 2023'!$D$4:$D$886,$B68,'июнь 2023'!$J$4:$J$886,AF$1)</f>
        <v>0</v>
      </c>
      <c r="AG68" s="207">
        <f>SUMIFS('июнь 2023'!$G$4:$G$886,'июнь 2023'!$D$4:$D$886,$B68,'июнь 2023'!$J$4:$J$886,AG$1)</f>
        <v>0</v>
      </c>
      <c r="AH68" s="207">
        <f>SUMIFS('июнь 2023'!$G$4:$G$886,'июнь 2023'!$D$4:$D$886,$B68,'июнь 2023'!$J$4:$J$886,AH$1)</f>
        <v>0</v>
      </c>
      <c r="AI68" s="170">
        <f t="shared" si="2"/>
        <v>0</v>
      </c>
    </row>
    <row r="69" spans="2:35" ht="15" customHeight="1" x14ac:dyDescent="0.25">
      <c r="B69" s="216" t="s">
        <v>588</v>
      </c>
      <c r="C69" s="213">
        <v>200</v>
      </c>
      <c r="D69" s="207">
        <f>SUMIFS('июнь 2023'!$G$4:$G$886,'июнь 2023'!$D$4:$D$886,$B69,'июнь 2023'!$J$4:$J$886,D$1)</f>
        <v>0</v>
      </c>
      <c r="E69" s="207">
        <f>SUMIFS('июнь 2023'!$G$4:$G$886,'июнь 2023'!$D$4:$D$886,$B69,'июнь 2023'!$J$4:$J$886,E$1)</f>
        <v>0</v>
      </c>
      <c r="F69" s="207">
        <f>SUMIFS('июнь 2023'!$G$4:$G$886,'июнь 2023'!$D$4:$D$886,$B69,'июнь 2023'!$J$4:$J$886,F$1)</f>
        <v>0</v>
      </c>
      <c r="G69" s="207">
        <f>SUMIFS('июнь 2023'!$G$4:$G$886,'июнь 2023'!$D$4:$D$886,$B69,'июнь 2023'!$J$4:$J$886,G$1)</f>
        <v>0</v>
      </c>
      <c r="H69" s="207">
        <f>SUMIFS('июнь 2023'!$G$4:$G$886,'июнь 2023'!$D$4:$D$886,$B69,'июнь 2023'!$J$4:$J$886,H$1)</f>
        <v>0</v>
      </c>
      <c r="I69" s="207">
        <f>SUMIFS('июнь 2023'!$G$4:$G$886,'июнь 2023'!$D$4:$D$886,$B69,'июнь 2023'!$J$4:$J$886,I$1)</f>
        <v>0</v>
      </c>
      <c r="J69" s="207">
        <f>SUMIFS('июнь 2023'!$G$4:$G$886,'июнь 2023'!$D$4:$D$886,$B69,'июнь 2023'!$J$4:$J$886,J$1)</f>
        <v>0</v>
      </c>
      <c r="K69" s="207">
        <f>SUMIFS('июнь 2023'!$G$4:$G$886,'июнь 2023'!$D$4:$D$886,$B69,'июнь 2023'!$J$4:$J$886,K$1)</f>
        <v>0</v>
      </c>
      <c r="L69" s="207">
        <f>SUMIFS('июнь 2023'!$G$4:$G$886,'июнь 2023'!$D$4:$D$886,$B69,'июнь 2023'!$J$4:$J$886,L$1)</f>
        <v>0</v>
      </c>
      <c r="M69" s="207">
        <f>SUMIFS('июнь 2023'!$G$4:$G$886,'июнь 2023'!$D$4:$D$886,$B69,'июнь 2023'!$J$4:$J$886,M$1)</f>
        <v>0</v>
      </c>
      <c r="N69" s="207">
        <f>SUMIFS('июнь 2023'!$G$4:$G$886,'июнь 2023'!$D$4:$D$886,$B69,'июнь 2023'!$J$4:$J$886,N$1)</f>
        <v>0</v>
      </c>
      <c r="O69" s="207">
        <f>SUMIFS('июнь 2023'!$G$4:$G$886,'июнь 2023'!$D$4:$D$886,$B69,'июнь 2023'!$J$4:$J$886,O$1)</f>
        <v>0</v>
      </c>
      <c r="P69" s="207">
        <f>SUMIFS('июнь 2023'!$G$4:$G$886,'июнь 2023'!$D$4:$D$886,$B69,'июнь 2023'!$J$4:$J$886,P$1)</f>
        <v>0</v>
      </c>
      <c r="Q69" s="207">
        <f>SUMIFS('июнь 2023'!$G$4:$G$886,'июнь 2023'!$D$4:$D$886,$B69,'июнь 2023'!$J$4:$J$886,Q$1)</f>
        <v>0</v>
      </c>
      <c r="R69" s="207">
        <f>SUMIFS('июнь 2023'!$G$4:$G$886,'июнь 2023'!$D$4:$D$886,$B69,'июнь 2023'!$J$4:$J$886,R$1)</f>
        <v>0</v>
      </c>
      <c r="S69" s="207">
        <f>SUMIFS('июнь 2023'!$G$4:$G$886,'июнь 2023'!$D$4:$D$886,$B69,'июнь 2023'!$J$4:$J$886,S$1)</f>
        <v>0</v>
      </c>
      <c r="T69" s="207">
        <f>SUMIFS('июнь 2023'!$G$4:$G$886,'июнь 2023'!$D$4:$D$886,$B69,'июнь 2023'!$J$4:$J$886,T$1)</f>
        <v>0</v>
      </c>
      <c r="U69" s="207">
        <f>SUMIFS('июнь 2023'!$G$4:$G$886,'июнь 2023'!$D$4:$D$886,$B69,'июнь 2023'!$J$4:$J$886,U$1)</f>
        <v>0</v>
      </c>
      <c r="V69" s="207">
        <f>SUMIFS('июнь 2023'!$G$4:$G$886,'июнь 2023'!$D$4:$D$886,$B69,'июнь 2023'!$J$4:$J$886,V$1)</f>
        <v>0</v>
      </c>
      <c r="W69" s="207">
        <f>SUMIFS('июнь 2023'!$G$4:$G$886,'июнь 2023'!$D$4:$D$886,$B69,'июнь 2023'!$J$4:$J$886,W$1)</f>
        <v>0</v>
      </c>
      <c r="X69" s="207">
        <f>SUMIFS('июнь 2023'!$G$4:$G$886,'июнь 2023'!$D$4:$D$886,$B69,'июнь 2023'!$J$4:$J$886,X$1)</f>
        <v>0</v>
      </c>
      <c r="Y69" s="207">
        <f>SUMIFS('июнь 2023'!$G$4:$G$886,'июнь 2023'!$D$4:$D$886,$B69,'июнь 2023'!$J$4:$J$886,Y$1)</f>
        <v>0</v>
      </c>
      <c r="Z69" s="207">
        <f>SUMIFS('июнь 2023'!$G$4:$G$886,'июнь 2023'!$D$4:$D$886,$B69,'июнь 2023'!$J$4:$J$886,Z$1)</f>
        <v>0</v>
      </c>
      <c r="AA69" s="207">
        <f>SUMIFS('июнь 2023'!$G$4:$G$886,'июнь 2023'!$D$4:$D$886,$B69,'июнь 2023'!$J$4:$J$886,AA$1)</f>
        <v>0</v>
      </c>
      <c r="AB69" s="207">
        <f>SUMIFS('июнь 2023'!$G$4:$G$886,'июнь 2023'!$D$4:$D$886,$B69,'июнь 2023'!$J$4:$J$886,AB$1)</f>
        <v>0</v>
      </c>
      <c r="AC69" s="207">
        <f>SUMIFS('июнь 2023'!$G$4:$G$886,'июнь 2023'!$D$4:$D$886,$B69,'июнь 2023'!$J$4:$J$886,AC$1)</f>
        <v>0</v>
      </c>
      <c r="AD69" s="207">
        <f>SUMIFS('июнь 2023'!$G$4:$G$886,'июнь 2023'!$D$4:$D$886,$B69,'июнь 2023'!$J$4:$J$886,AD$1)</f>
        <v>0</v>
      </c>
      <c r="AE69" s="207">
        <f>SUMIFS('июнь 2023'!$G$4:$G$886,'июнь 2023'!$D$4:$D$886,$B69,'июнь 2023'!$J$4:$J$886,AE$1)</f>
        <v>0</v>
      </c>
      <c r="AF69" s="207">
        <f>SUMIFS('июнь 2023'!$G$4:$G$886,'июнь 2023'!$D$4:$D$886,$B69,'июнь 2023'!$J$4:$J$886,AF$1)</f>
        <v>0</v>
      </c>
      <c r="AG69" s="207">
        <f>SUMIFS('июнь 2023'!$G$4:$G$886,'июнь 2023'!$D$4:$D$886,$B69,'июнь 2023'!$J$4:$J$886,AG$1)</f>
        <v>0</v>
      </c>
      <c r="AH69" s="207">
        <f>SUMIFS('июнь 2023'!$G$4:$G$886,'июнь 2023'!$D$4:$D$886,$B69,'июнь 2023'!$J$4:$J$886,AH$1)</f>
        <v>0</v>
      </c>
      <c r="AI69" s="170">
        <f t="shared" si="2"/>
        <v>0</v>
      </c>
    </row>
    <row r="70" spans="2:35" ht="15" customHeight="1" x14ac:dyDescent="0.25">
      <c r="B70" s="216" t="s">
        <v>1779</v>
      </c>
      <c r="C70" s="213">
        <v>180</v>
      </c>
      <c r="D70" s="207">
        <f>SUMIFS('июнь 2023'!$G$4:$G$886,'июнь 2023'!$D$4:$D$886,$B70,'июнь 2023'!$J$4:$J$886,D$1)</f>
        <v>0</v>
      </c>
      <c r="E70" s="207">
        <f>SUMIFS('июнь 2023'!$G$4:$G$886,'июнь 2023'!$D$4:$D$886,$B70,'июнь 2023'!$J$4:$J$886,E$1)</f>
        <v>0</v>
      </c>
      <c r="F70" s="207">
        <f>SUMIFS('июнь 2023'!$G$4:$G$886,'июнь 2023'!$D$4:$D$886,$B70,'июнь 2023'!$J$4:$J$886,F$1)</f>
        <v>0</v>
      </c>
      <c r="G70" s="207">
        <f>SUMIFS('июнь 2023'!$G$4:$G$886,'июнь 2023'!$D$4:$D$886,$B70,'июнь 2023'!$J$4:$J$886,G$1)</f>
        <v>0</v>
      </c>
      <c r="H70" s="207">
        <f>SUMIFS('июнь 2023'!$G$4:$G$886,'июнь 2023'!$D$4:$D$886,$B70,'июнь 2023'!$J$4:$J$886,H$1)</f>
        <v>0</v>
      </c>
      <c r="I70" s="207">
        <f>SUMIFS('июнь 2023'!$G$4:$G$886,'июнь 2023'!$D$4:$D$886,$B70,'июнь 2023'!$J$4:$J$886,I$1)</f>
        <v>0</v>
      </c>
      <c r="J70" s="207">
        <f>SUMIFS('июнь 2023'!$G$4:$G$886,'июнь 2023'!$D$4:$D$886,$B70,'июнь 2023'!$J$4:$J$886,J$1)</f>
        <v>0</v>
      </c>
      <c r="K70" s="207">
        <f>SUMIFS('июнь 2023'!$G$4:$G$886,'июнь 2023'!$D$4:$D$886,$B70,'июнь 2023'!$J$4:$J$886,K$1)</f>
        <v>0</v>
      </c>
      <c r="L70" s="207">
        <f>SUMIFS('июнь 2023'!$G$4:$G$886,'июнь 2023'!$D$4:$D$886,$B70,'июнь 2023'!$J$4:$J$886,L$1)</f>
        <v>0</v>
      </c>
      <c r="M70" s="207">
        <f>SUMIFS('июнь 2023'!$G$4:$G$886,'июнь 2023'!$D$4:$D$886,$B70,'июнь 2023'!$J$4:$J$886,M$1)</f>
        <v>0</v>
      </c>
      <c r="N70" s="207">
        <f>SUMIFS('июнь 2023'!$G$4:$G$886,'июнь 2023'!$D$4:$D$886,$B70,'июнь 2023'!$J$4:$J$886,N$1)</f>
        <v>0</v>
      </c>
      <c r="O70" s="207">
        <f>SUMIFS('июнь 2023'!$G$4:$G$886,'июнь 2023'!$D$4:$D$886,$B70,'июнь 2023'!$J$4:$J$886,O$1)</f>
        <v>0</v>
      </c>
      <c r="P70" s="207">
        <f>SUMIFS('июнь 2023'!$G$4:$G$886,'июнь 2023'!$D$4:$D$886,$B70,'июнь 2023'!$J$4:$J$886,P$1)</f>
        <v>0</v>
      </c>
      <c r="Q70" s="207">
        <f>SUMIFS('июнь 2023'!$G$4:$G$886,'июнь 2023'!$D$4:$D$886,$B70,'июнь 2023'!$J$4:$J$886,Q$1)</f>
        <v>0</v>
      </c>
      <c r="R70" s="207">
        <f>SUMIFS('июнь 2023'!$G$4:$G$886,'июнь 2023'!$D$4:$D$886,$B70,'июнь 2023'!$J$4:$J$886,R$1)</f>
        <v>0</v>
      </c>
      <c r="S70" s="207">
        <f>SUMIFS('июнь 2023'!$G$4:$G$886,'июнь 2023'!$D$4:$D$886,$B70,'июнь 2023'!$J$4:$J$886,S$1)</f>
        <v>0</v>
      </c>
      <c r="T70" s="207">
        <f>SUMIFS('июнь 2023'!$G$4:$G$886,'июнь 2023'!$D$4:$D$886,$B70,'июнь 2023'!$J$4:$J$886,T$1)</f>
        <v>0</v>
      </c>
      <c r="U70" s="207">
        <f>SUMIFS('июнь 2023'!$G$4:$G$886,'июнь 2023'!$D$4:$D$886,$B70,'июнь 2023'!$J$4:$J$886,U$1)</f>
        <v>0</v>
      </c>
      <c r="V70" s="207">
        <f>SUMIFS('июнь 2023'!$G$4:$G$886,'июнь 2023'!$D$4:$D$886,$B70,'июнь 2023'!$J$4:$J$886,V$1)</f>
        <v>0</v>
      </c>
      <c r="W70" s="207">
        <f>SUMIFS('июнь 2023'!$G$4:$G$886,'июнь 2023'!$D$4:$D$886,$B70,'июнь 2023'!$J$4:$J$886,W$1)</f>
        <v>0</v>
      </c>
      <c r="X70" s="207">
        <f>SUMIFS('июнь 2023'!$G$4:$G$886,'июнь 2023'!$D$4:$D$886,$B70,'июнь 2023'!$J$4:$J$886,X$1)</f>
        <v>0</v>
      </c>
      <c r="Y70" s="207">
        <f>SUMIFS('июнь 2023'!$G$4:$G$886,'июнь 2023'!$D$4:$D$886,$B70,'июнь 2023'!$J$4:$J$886,Y$1)</f>
        <v>0</v>
      </c>
      <c r="Z70" s="207">
        <f>SUMIFS('июнь 2023'!$G$4:$G$886,'июнь 2023'!$D$4:$D$886,$B70,'июнь 2023'!$J$4:$J$886,Z$1)</f>
        <v>0</v>
      </c>
      <c r="AA70" s="207">
        <f>SUMIFS('июнь 2023'!$G$4:$G$886,'июнь 2023'!$D$4:$D$886,$B70,'июнь 2023'!$J$4:$J$886,AA$1)</f>
        <v>0</v>
      </c>
      <c r="AB70" s="207">
        <f>SUMIFS('июнь 2023'!$G$4:$G$886,'июнь 2023'!$D$4:$D$886,$B70,'июнь 2023'!$J$4:$J$886,AB$1)</f>
        <v>0</v>
      </c>
      <c r="AC70" s="207">
        <f>SUMIFS('июнь 2023'!$G$4:$G$886,'июнь 2023'!$D$4:$D$886,$B70,'июнь 2023'!$J$4:$J$886,AC$1)</f>
        <v>0</v>
      </c>
      <c r="AD70" s="207">
        <f>SUMIFS('июнь 2023'!$G$4:$G$886,'июнь 2023'!$D$4:$D$886,$B70,'июнь 2023'!$J$4:$J$886,AD$1)</f>
        <v>0</v>
      </c>
      <c r="AE70" s="207">
        <f>SUMIFS('июнь 2023'!$G$4:$G$886,'июнь 2023'!$D$4:$D$886,$B70,'июнь 2023'!$J$4:$J$886,AE$1)</f>
        <v>0</v>
      </c>
      <c r="AF70" s="207">
        <f>SUMIFS('июнь 2023'!$G$4:$G$886,'июнь 2023'!$D$4:$D$886,$B70,'июнь 2023'!$J$4:$J$886,AF$1)</f>
        <v>0</v>
      </c>
      <c r="AG70" s="207">
        <f>SUMIFS('июнь 2023'!$G$4:$G$886,'июнь 2023'!$D$4:$D$886,$B70,'июнь 2023'!$J$4:$J$886,AG$1)</f>
        <v>0</v>
      </c>
      <c r="AH70" s="207">
        <f>SUMIFS('июнь 2023'!$G$4:$G$886,'июнь 2023'!$D$4:$D$886,$B70,'июнь 2023'!$J$4:$J$886,AH$1)</f>
        <v>0</v>
      </c>
      <c r="AI70" s="170">
        <f t="shared" si="2"/>
        <v>0</v>
      </c>
    </row>
    <row r="71" spans="2:35" ht="15" customHeight="1" x14ac:dyDescent="0.25">
      <c r="B71" s="212" t="s">
        <v>634</v>
      </c>
      <c r="C71" s="211">
        <v>200</v>
      </c>
      <c r="D71" s="207">
        <f>SUMIFS('июнь 2023'!$G$4:$G$886,'июнь 2023'!$D$4:$D$886,$B71,'июнь 2023'!$J$4:$J$886,D$1)</f>
        <v>0</v>
      </c>
      <c r="E71" s="207">
        <f>SUMIFS('июнь 2023'!$G$4:$G$886,'июнь 2023'!$D$4:$D$886,$B71,'июнь 2023'!$J$4:$J$886,E$1)</f>
        <v>0</v>
      </c>
      <c r="F71" s="207">
        <f>SUMIFS('июнь 2023'!$G$4:$G$886,'июнь 2023'!$D$4:$D$886,$B71,'июнь 2023'!$J$4:$J$886,F$1)</f>
        <v>0</v>
      </c>
      <c r="G71" s="207">
        <f>SUMIFS('июнь 2023'!$G$4:$G$886,'июнь 2023'!$D$4:$D$886,$B71,'июнь 2023'!$J$4:$J$886,G$1)</f>
        <v>0</v>
      </c>
      <c r="H71" s="207">
        <f>SUMIFS('июнь 2023'!$G$4:$G$886,'июнь 2023'!$D$4:$D$886,$B71,'июнь 2023'!$J$4:$J$886,H$1)</f>
        <v>0</v>
      </c>
      <c r="I71" s="207">
        <f>SUMIFS('июнь 2023'!$G$4:$G$886,'июнь 2023'!$D$4:$D$886,$B71,'июнь 2023'!$J$4:$J$886,I$1)</f>
        <v>0</v>
      </c>
      <c r="J71" s="207">
        <f>SUMIFS('июнь 2023'!$G$4:$G$886,'июнь 2023'!$D$4:$D$886,$B71,'июнь 2023'!$J$4:$J$886,J$1)</f>
        <v>0</v>
      </c>
      <c r="K71" s="207">
        <f>SUMIFS('июнь 2023'!$G$4:$G$886,'июнь 2023'!$D$4:$D$886,$B71,'июнь 2023'!$J$4:$J$886,K$1)</f>
        <v>0</v>
      </c>
      <c r="L71" s="207">
        <f>SUMIFS('июнь 2023'!$G$4:$G$886,'июнь 2023'!$D$4:$D$886,$B71,'июнь 2023'!$J$4:$J$886,L$1)</f>
        <v>0</v>
      </c>
      <c r="M71" s="207">
        <f>SUMIFS('июнь 2023'!$G$4:$G$886,'июнь 2023'!$D$4:$D$886,$B71,'июнь 2023'!$J$4:$J$886,M$1)</f>
        <v>0</v>
      </c>
      <c r="N71" s="207">
        <f>SUMIFS('июнь 2023'!$G$4:$G$886,'июнь 2023'!$D$4:$D$886,$B71,'июнь 2023'!$J$4:$J$886,N$1)</f>
        <v>0</v>
      </c>
      <c r="O71" s="207">
        <f>SUMIFS('июнь 2023'!$G$4:$G$886,'июнь 2023'!$D$4:$D$886,$B71,'июнь 2023'!$J$4:$J$886,O$1)</f>
        <v>0</v>
      </c>
      <c r="P71" s="207">
        <f>SUMIFS('июнь 2023'!$G$4:$G$886,'июнь 2023'!$D$4:$D$886,$B71,'июнь 2023'!$J$4:$J$886,P$1)</f>
        <v>0</v>
      </c>
      <c r="Q71" s="207">
        <f>SUMIFS('июнь 2023'!$G$4:$G$886,'июнь 2023'!$D$4:$D$886,$B71,'июнь 2023'!$J$4:$J$886,Q$1)</f>
        <v>0</v>
      </c>
      <c r="R71" s="207">
        <f>SUMIFS('июнь 2023'!$G$4:$G$886,'июнь 2023'!$D$4:$D$886,$B71,'июнь 2023'!$J$4:$J$886,R$1)</f>
        <v>0</v>
      </c>
      <c r="S71" s="207">
        <f>SUMIFS('июнь 2023'!$G$4:$G$886,'июнь 2023'!$D$4:$D$886,$B71,'июнь 2023'!$J$4:$J$886,S$1)</f>
        <v>0</v>
      </c>
      <c r="T71" s="207">
        <f>SUMIFS('июнь 2023'!$G$4:$G$886,'июнь 2023'!$D$4:$D$886,$B71,'июнь 2023'!$J$4:$J$886,T$1)</f>
        <v>0</v>
      </c>
      <c r="U71" s="207">
        <f>SUMIFS('июнь 2023'!$G$4:$G$886,'июнь 2023'!$D$4:$D$886,$B71,'июнь 2023'!$J$4:$J$886,U$1)</f>
        <v>0</v>
      </c>
      <c r="V71" s="207">
        <f>SUMIFS('июнь 2023'!$G$4:$G$886,'июнь 2023'!$D$4:$D$886,$B71,'июнь 2023'!$J$4:$J$886,V$1)</f>
        <v>0</v>
      </c>
      <c r="W71" s="207">
        <f>SUMIFS('июнь 2023'!$G$4:$G$886,'июнь 2023'!$D$4:$D$886,$B71,'июнь 2023'!$J$4:$J$886,W$1)</f>
        <v>0</v>
      </c>
      <c r="X71" s="207">
        <f>SUMIFS('июнь 2023'!$G$4:$G$886,'июнь 2023'!$D$4:$D$886,$B71,'июнь 2023'!$J$4:$J$886,X$1)</f>
        <v>0</v>
      </c>
      <c r="Y71" s="207">
        <f>SUMIFS('июнь 2023'!$G$4:$G$886,'июнь 2023'!$D$4:$D$886,$B71,'июнь 2023'!$J$4:$J$886,Y$1)</f>
        <v>0</v>
      </c>
      <c r="Z71" s="207">
        <f>SUMIFS('июнь 2023'!$G$4:$G$886,'июнь 2023'!$D$4:$D$886,$B71,'июнь 2023'!$J$4:$J$886,Z$1)</f>
        <v>0</v>
      </c>
      <c r="AA71" s="207">
        <f>SUMIFS('июнь 2023'!$G$4:$G$886,'июнь 2023'!$D$4:$D$886,$B71,'июнь 2023'!$J$4:$J$886,AA$1)</f>
        <v>0</v>
      </c>
      <c r="AB71" s="207">
        <f>SUMIFS('июнь 2023'!$G$4:$G$886,'июнь 2023'!$D$4:$D$886,$B71,'июнь 2023'!$J$4:$J$886,AB$1)</f>
        <v>0</v>
      </c>
      <c r="AC71" s="207">
        <f>SUMIFS('июнь 2023'!$G$4:$G$886,'июнь 2023'!$D$4:$D$886,$B71,'июнь 2023'!$J$4:$J$886,AC$1)</f>
        <v>0</v>
      </c>
      <c r="AD71" s="207">
        <f>SUMIFS('июнь 2023'!$G$4:$G$886,'июнь 2023'!$D$4:$D$886,$B71,'июнь 2023'!$J$4:$J$886,AD$1)</f>
        <v>0</v>
      </c>
      <c r="AE71" s="207">
        <f>SUMIFS('июнь 2023'!$G$4:$G$886,'июнь 2023'!$D$4:$D$886,$B71,'июнь 2023'!$J$4:$J$886,AE$1)</f>
        <v>0</v>
      </c>
      <c r="AF71" s="207">
        <f>SUMIFS('июнь 2023'!$G$4:$G$886,'июнь 2023'!$D$4:$D$886,$B71,'июнь 2023'!$J$4:$J$886,AF$1)</f>
        <v>0</v>
      </c>
      <c r="AG71" s="207">
        <f>SUMIFS('июнь 2023'!$G$4:$G$886,'июнь 2023'!$D$4:$D$886,$B71,'июнь 2023'!$J$4:$J$886,AG$1)</f>
        <v>0</v>
      </c>
      <c r="AH71" s="207">
        <f>SUMIFS('июнь 2023'!$G$4:$G$886,'июнь 2023'!$D$4:$D$886,$B71,'июнь 2023'!$J$4:$J$886,AH$1)</f>
        <v>0</v>
      </c>
      <c r="AI71" s="170">
        <f t="shared" si="2"/>
        <v>0</v>
      </c>
    </row>
    <row r="72" spans="2:35" ht="15" customHeight="1" x14ac:dyDescent="0.25">
      <c r="B72" s="216" t="s">
        <v>498</v>
      </c>
      <c r="C72" s="213">
        <v>185</v>
      </c>
      <c r="D72" s="207">
        <f>SUMIFS('июнь 2023'!$G$4:$G$886,'июнь 2023'!$D$4:$D$886,$B72,'июнь 2023'!$J$4:$J$886,D$1)</f>
        <v>0</v>
      </c>
      <c r="E72" s="207">
        <f>SUMIFS('июнь 2023'!$G$4:$G$886,'июнь 2023'!$D$4:$D$886,$B72,'июнь 2023'!$J$4:$J$886,E$1)</f>
        <v>0</v>
      </c>
      <c r="F72" s="207">
        <f>SUMIFS('июнь 2023'!$G$4:$G$886,'июнь 2023'!$D$4:$D$886,$B72,'июнь 2023'!$J$4:$J$886,F$1)</f>
        <v>0</v>
      </c>
      <c r="G72" s="207">
        <f>SUMIFS('июнь 2023'!$G$4:$G$886,'июнь 2023'!$D$4:$D$886,$B72,'июнь 2023'!$J$4:$J$886,G$1)</f>
        <v>0</v>
      </c>
      <c r="H72" s="207">
        <f>SUMIFS('июнь 2023'!$G$4:$G$886,'июнь 2023'!$D$4:$D$886,$B72,'июнь 2023'!$J$4:$J$886,H$1)</f>
        <v>0</v>
      </c>
      <c r="I72" s="207">
        <f>SUMIFS('июнь 2023'!$G$4:$G$886,'июнь 2023'!$D$4:$D$886,$B72,'июнь 2023'!$J$4:$J$886,I$1)</f>
        <v>0</v>
      </c>
      <c r="J72" s="207">
        <f>SUMIFS('июнь 2023'!$G$4:$G$886,'июнь 2023'!$D$4:$D$886,$B72,'июнь 2023'!$J$4:$J$886,J$1)</f>
        <v>0</v>
      </c>
      <c r="K72" s="207">
        <f>SUMIFS('июнь 2023'!$G$4:$G$886,'июнь 2023'!$D$4:$D$886,$B72,'июнь 2023'!$J$4:$J$886,K$1)</f>
        <v>0</v>
      </c>
      <c r="L72" s="207">
        <f>SUMIFS('июнь 2023'!$G$4:$G$886,'июнь 2023'!$D$4:$D$886,$B72,'июнь 2023'!$J$4:$J$886,L$1)</f>
        <v>0</v>
      </c>
      <c r="M72" s="207">
        <f>SUMIFS('июнь 2023'!$G$4:$G$886,'июнь 2023'!$D$4:$D$886,$B72,'июнь 2023'!$J$4:$J$886,M$1)</f>
        <v>0</v>
      </c>
      <c r="N72" s="207">
        <f>SUMIFS('июнь 2023'!$G$4:$G$886,'июнь 2023'!$D$4:$D$886,$B72,'июнь 2023'!$J$4:$J$886,N$1)</f>
        <v>0</v>
      </c>
      <c r="O72" s="207">
        <f>SUMIFS('июнь 2023'!$G$4:$G$886,'июнь 2023'!$D$4:$D$886,$B72,'июнь 2023'!$J$4:$J$886,O$1)</f>
        <v>0</v>
      </c>
      <c r="P72" s="207">
        <f>SUMIFS('июнь 2023'!$G$4:$G$886,'июнь 2023'!$D$4:$D$886,$B72,'июнь 2023'!$J$4:$J$886,P$1)</f>
        <v>0</v>
      </c>
      <c r="Q72" s="207">
        <f>SUMIFS('июнь 2023'!$G$4:$G$886,'июнь 2023'!$D$4:$D$886,$B72,'июнь 2023'!$J$4:$J$886,Q$1)</f>
        <v>0</v>
      </c>
      <c r="R72" s="207">
        <f>SUMIFS('июнь 2023'!$G$4:$G$886,'июнь 2023'!$D$4:$D$886,$B72,'июнь 2023'!$J$4:$J$886,R$1)</f>
        <v>0</v>
      </c>
      <c r="S72" s="207">
        <f>SUMIFS('июнь 2023'!$G$4:$G$886,'июнь 2023'!$D$4:$D$886,$B72,'июнь 2023'!$J$4:$J$886,S$1)</f>
        <v>0</v>
      </c>
      <c r="T72" s="207">
        <f>SUMIFS('июнь 2023'!$G$4:$G$886,'июнь 2023'!$D$4:$D$886,$B72,'июнь 2023'!$J$4:$J$886,T$1)</f>
        <v>0</v>
      </c>
      <c r="U72" s="207">
        <f>SUMIFS('июнь 2023'!$G$4:$G$886,'июнь 2023'!$D$4:$D$886,$B72,'июнь 2023'!$J$4:$J$886,U$1)</f>
        <v>0</v>
      </c>
      <c r="V72" s="207">
        <f>SUMIFS('июнь 2023'!$G$4:$G$886,'июнь 2023'!$D$4:$D$886,$B72,'июнь 2023'!$J$4:$J$886,V$1)</f>
        <v>0</v>
      </c>
      <c r="W72" s="207">
        <f>SUMIFS('июнь 2023'!$G$4:$G$886,'июнь 2023'!$D$4:$D$886,$B72,'июнь 2023'!$J$4:$J$886,W$1)</f>
        <v>0</v>
      </c>
      <c r="X72" s="207">
        <f>SUMIFS('июнь 2023'!$G$4:$G$886,'июнь 2023'!$D$4:$D$886,$B72,'июнь 2023'!$J$4:$J$886,X$1)</f>
        <v>0</v>
      </c>
      <c r="Y72" s="207">
        <f>SUMIFS('июнь 2023'!$G$4:$G$886,'июнь 2023'!$D$4:$D$886,$B72,'июнь 2023'!$J$4:$J$886,Y$1)</f>
        <v>0</v>
      </c>
      <c r="Z72" s="207">
        <f>SUMIFS('июнь 2023'!$G$4:$G$886,'июнь 2023'!$D$4:$D$886,$B72,'июнь 2023'!$J$4:$J$886,Z$1)</f>
        <v>0</v>
      </c>
      <c r="AA72" s="207">
        <f>SUMIFS('июнь 2023'!$G$4:$G$886,'июнь 2023'!$D$4:$D$886,$B72,'июнь 2023'!$J$4:$J$886,AA$1)</f>
        <v>0</v>
      </c>
      <c r="AB72" s="207">
        <f>SUMIFS('июнь 2023'!$G$4:$G$886,'июнь 2023'!$D$4:$D$886,$B72,'июнь 2023'!$J$4:$J$886,AB$1)</f>
        <v>0</v>
      </c>
      <c r="AC72" s="207">
        <f>SUMIFS('июнь 2023'!$G$4:$G$886,'июнь 2023'!$D$4:$D$886,$B72,'июнь 2023'!$J$4:$J$886,AC$1)</f>
        <v>0</v>
      </c>
      <c r="AD72" s="207">
        <f>SUMIFS('июнь 2023'!$G$4:$G$886,'июнь 2023'!$D$4:$D$886,$B72,'июнь 2023'!$J$4:$J$886,AD$1)</f>
        <v>0</v>
      </c>
      <c r="AE72" s="207">
        <f>SUMIFS('июнь 2023'!$G$4:$G$886,'июнь 2023'!$D$4:$D$886,$B72,'июнь 2023'!$J$4:$J$886,AE$1)</f>
        <v>0</v>
      </c>
      <c r="AF72" s="207">
        <f>SUMIFS('июнь 2023'!$G$4:$G$886,'июнь 2023'!$D$4:$D$886,$B72,'июнь 2023'!$J$4:$J$886,AF$1)</f>
        <v>0</v>
      </c>
      <c r="AG72" s="207">
        <f>SUMIFS('июнь 2023'!$G$4:$G$886,'июнь 2023'!$D$4:$D$886,$B72,'июнь 2023'!$J$4:$J$886,AG$1)</f>
        <v>0</v>
      </c>
      <c r="AH72" s="207">
        <f>SUMIFS('июнь 2023'!$G$4:$G$886,'июнь 2023'!$D$4:$D$886,$B72,'июнь 2023'!$J$4:$J$886,AH$1)</f>
        <v>0</v>
      </c>
      <c r="AI72" s="170">
        <f t="shared" si="2"/>
        <v>0</v>
      </c>
    </row>
    <row r="73" spans="2:35" ht="15" customHeight="1" x14ac:dyDescent="0.25">
      <c r="B73" s="216" t="s">
        <v>155</v>
      </c>
      <c r="C73" s="213">
        <v>185</v>
      </c>
      <c r="D73" s="207">
        <f>SUMIFS('июнь 2023'!$G$4:$G$886,'июнь 2023'!$D$4:$D$886,$B73,'июнь 2023'!$J$4:$J$886,D$1)</f>
        <v>0</v>
      </c>
      <c r="E73" s="207">
        <f>SUMIFS('июнь 2023'!$G$4:$G$886,'июнь 2023'!$D$4:$D$886,$B73,'июнь 2023'!$J$4:$J$886,E$1)</f>
        <v>0</v>
      </c>
      <c r="F73" s="207">
        <f>SUMIFS('июнь 2023'!$G$4:$G$886,'июнь 2023'!$D$4:$D$886,$B73,'июнь 2023'!$J$4:$J$886,F$1)</f>
        <v>0</v>
      </c>
      <c r="G73" s="207">
        <f>SUMIFS('июнь 2023'!$G$4:$G$886,'июнь 2023'!$D$4:$D$886,$B73,'июнь 2023'!$J$4:$J$886,G$1)</f>
        <v>0</v>
      </c>
      <c r="H73" s="207">
        <f>SUMIFS('июнь 2023'!$G$4:$G$886,'июнь 2023'!$D$4:$D$886,$B73,'июнь 2023'!$J$4:$J$886,H$1)</f>
        <v>0</v>
      </c>
      <c r="I73" s="207">
        <f>SUMIFS('июнь 2023'!$G$4:$G$886,'июнь 2023'!$D$4:$D$886,$B73,'июнь 2023'!$J$4:$J$886,I$1)</f>
        <v>0</v>
      </c>
      <c r="J73" s="207">
        <f>SUMIFS('июнь 2023'!$G$4:$G$886,'июнь 2023'!$D$4:$D$886,$B73,'июнь 2023'!$J$4:$J$886,J$1)</f>
        <v>0</v>
      </c>
      <c r="K73" s="207">
        <f>SUMIFS('июнь 2023'!$G$4:$G$886,'июнь 2023'!$D$4:$D$886,$B73,'июнь 2023'!$J$4:$J$886,K$1)</f>
        <v>0</v>
      </c>
      <c r="L73" s="207">
        <f>SUMIFS('июнь 2023'!$G$4:$G$886,'июнь 2023'!$D$4:$D$886,$B73,'июнь 2023'!$J$4:$J$886,L$1)</f>
        <v>0</v>
      </c>
      <c r="M73" s="207">
        <f>SUMIFS('июнь 2023'!$G$4:$G$886,'июнь 2023'!$D$4:$D$886,$B73,'июнь 2023'!$J$4:$J$886,M$1)</f>
        <v>0</v>
      </c>
      <c r="N73" s="207">
        <f>SUMIFS('июнь 2023'!$G$4:$G$886,'июнь 2023'!$D$4:$D$886,$B73,'июнь 2023'!$J$4:$J$886,N$1)</f>
        <v>0</v>
      </c>
      <c r="O73" s="207">
        <f>SUMIFS('июнь 2023'!$G$4:$G$886,'июнь 2023'!$D$4:$D$886,$B73,'июнь 2023'!$J$4:$J$886,O$1)</f>
        <v>0</v>
      </c>
      <c r="P73" s="207">
        <f>SUMIFS('июнь 2023'!$G$4:$G$886,'июнь 2023'!$D$4:$D$886,$B73,'июнь 2023'!$J$4:$J$886,P$1)</f>
        <v>0</v>
      </c>
      <c r="Q73" s="207">
        <f>SUMIFS('июнь 2023'!$G$4:$G$886,'июнь 2023'!$D$4:$D$886,$B73,'июнь 2023'!$J$4:$J$886,Q$1)</f>
        <v>0</v>
      </c>
      <c r="R73" s="207">
        <f>SUMIFS('июнь 2023'!$G$4:$G$886,'июнь 2023'!$D$4:$D$886,$B73,'июнь 2023'!$J$4:$J$886,R$1)</f>
        <v>0</v>
      </c>
      <c r="S73" s="207">
        <f>SUMIFS('июнь 2023'!$G$4:$G$886,'июнь 2023'!$D$4:$D$886,$B73,'июнь 2023'!$J$4:$J$886,S$1)</f>
        <v>0</v>
      </c>
      <c r="T73" s="207">
        <f>SUMIFS('июнь 2023'!$G$4:$G$886,'июнь 2023'!$D$4:$D$886,$B73,'июнь 2023'!$J$4:$J$886,T$1)</f>
        <v>0</v>
      </c>
      <c r="U73" s="207">
        <f>SUMIFS('июнь 2023'!$G$4:$G$886,'июнь 2023'!$D$4:$D$886,$B73,'июнь 2023'!$J$4:$J$886,U$1)</f>
        <v>0</v>
      </c>
      <c r="V73" s="207">
        <f>SUMIFS('июнь 2023'!$G$4:$G$886,'июнь 2023'!$D$4:$D$886,$B73,'июнь 2023'!$J$4:$J$886,V$1)</f>
        <v>0</v>
      </c>
      <c r="W73" s="207">
        <f>SUMIFS('июнь 2023'!$G$4:$G$886,'июнь 2023'!$D$4:$D$886,$B73,'июнь 2023'!$J$4:$J$886,W$1)</f>
        <v>0</v>
      </c>
      <c r="X73" s="207">
        <f>SUMIFS('июнь 2023'!$G$4:$G$886,'июнь 2023'!$D$4:$D$886,$B73,'июнь 2023'!$J$4:$J$886,X$1)</f>
        <v>0</v>
      </c>
      <c r="Y73" s="207">
        <f>SUMIFS('июнь 2023'!$G$4:$G$886,'июнь 2023'!$D$4:$D$886,$B73,'июнь 2023'!$J$4:$J$886,Y$1)</f>
        <v>0</v>
      </c>
      <c r="Z73" s="207">
        <f>SUMIFS('июнь 2023'!$G$4:$G$886,'июнь 2023'!$D$4:$D$886,$B73,'июнь 2023'!$J$4:$J$886,Z$1)</f>
        <v>0</v>
      </c>
      <c r="AA73" s="207">
        <f>SUMIFS('июнь 2023'!$G$4:$G$886,'июнь 2023'!$D$4:$D$886,$B73,'июнь 2023'!$J$4:$J$886,AA$1)</f>
        <v>0</v>
      </c>
      <c r="AB73" s="207">
        <f>SUMIFS('июнь 2023'!$G$4:$G$886,'июнь 2023'!$D$4:$D$886,$B73,'июнь 2023'!$J$4:$J$886,AB$1)</f>
        <v>0</v>
      </c>
      <c r="AC73" s="207">
        <f>SUMIFS('июнь 2023'!$G$4:$G$886,'июнь 2023'!$D$4:$D$886,$B73,'июнь 2023'!$J$4:$J$886,AC$1)</f>
        <v>0</v>
      </c>
      <c r="AD73" s="207">
        <f>SUMIFS('июнь 2023'!$G$4:$G$886,'июнь 2023'!$D$4:$D$886,$B73,'июнь 2023'!$J$4:$J$886,AD$1)</f>
        <v>0</v>
      </c>
      <c r="AE73" s="207">
        <f>SUMIFS('июнь 2023'!$G$4:$G$886,'июнь 2023'!$D$4:$D$886,$B73,'июнь 2023'!$J$4:$J$886,AE$1)</f>
        <v>0</v>
      </c>
      <c r="AF73" s="207">
        <f>SUMIFS('июнь 2023'!$G$4:$G$886,'июнь 2023'!$D$4:$D$886,$B73,'июнь 2023'!$J$4:$J$886,AF$1)</f>
        <v>0</v>
      </c>
      <c r="AG73" s="207">
        <f>SUMIFS('июнь 2023'!$G$4:$G$886,'июнь 2023'!$D$4:$D$886,$B73,'июнь 2023'!$J$4:$J$886,AG$1)</f>
        <v>0</v>
      </c>
      <c r="AH73" s="207">
        <f>SUMIFS('июнь 2023'!$G$4:$G$886,'июнь 2023'!$D$4:$D$886,$B73,'июнь 2023'!$J$4:$J$886,AH$1)</f>
        <v>0</v>
      </c>
      <c r="AI73" s="170">
        <f t="shared" si="2"/>
        <v>0</v>
      </c>
    </row>
    <row r="74" spans="2:35" ht="15" customHeight="1" x14ac:dyDescent="0.25">
      <c r="B74" s="216" t="s">
        <v>2180</v>
      </c>
      <c r="C74" s="213">
        <v>180</v>
      </c>
      <c r="D74" s="207">
        <f>SUMIFS('июнь 2023'!$G$4:$G$886,'июнь 2023'!$D$4:$D$886,$B74,'июнь 2023'!$J$4:$J$886,D$1)</f>
        <v>0</v>
      </c>
      <c r="E74" s="207">
        <f>SUMIFS('июнь 2023'!$G$4:$G$886,'июнь 2023'!$D$4:$D$886,$B74,'июнь 2023'!$J$4:$J$886,E$1)</f>
        <v>0</v>
      </c>
      <c r="F74" s="207">
        <f>SUMIFS('июнь 2023'!$G$4:$G$886,'июнь 2023'!$D$4:$D$886,$B74,'июнь 2023'!$J$4:$J$886,F$1)</f>
        <v>0</v>
      </c>
      <c r="G74" s="207">
        <f>SUMIFS('июнь 2023'!$G$4:$G$886,'июнь 2023'!$D$4:$D$886,$B74,'июнь 2023'!$J$4:$J$886,G$1)</f>
        <v>0</v>
      </c>
      <c r="H74" s="207">
        <f>SUMIFS('июнь 2023'!$G$4:$G$886,'июнь 2023'!$D$4:$D$886,$B74,'июнь 2023'!$J$4:$J$886,H$1)</f>
        <v>0</v>
      </c>
      <c r="I74" s="207">
        <f>SUMIFS('июнь 2023'!$G$4:$G$886,'июнь 2023'!$D$4:$D$886,$B74,'июнь 2023'!$J$4:$J$886,I$1)</f>
        <v>0</v>
      </c>
      <c r="J74" s="207">
        <f>SUMIFS('июнь 2023'!$G$4:$G$886,'июнь 2023'!$D$4:$D$886,$B74,'июнь 2023'!$J$4:$J$886,J$1)</f>
        <v>0</v>
      </c>
      <c r="K74" s="207">
        <f>SUMIFS('июнь 2023'!$G$4:$G$886,'июнь 2023'!$D$4:$D$886,$B74,'июнь 2023'!$J$4:$J$886,K$1)</f>
        <v>0</v>
      </c>
      <c r="L74" s="207">
        <f>SUMIFS('июнь 2023'!$G$4:$G$886,'июнь 2023'!$D$4:$D$886,$B74,'июнь 2023'!$J$4:$J$886,L$1)</f>
        <v>0</v>
      </c>
      <c r="M74" s="207">
        <f>SUMIFS('июнь 2023'!$G$4:$G$886,'июнь 2023'!$D$4:$D$886,$B74,'июнь 2023'!$J$4:$J$886,M$1)</f>
        <v>0</v>
      </c>
      <c r="N74" s="207">
        <f>SUMIFS('июнь 2023'!$G$4:$G$886,'июнь 2023'!$D$4:$D$886,$B74,'июнь 2023'!$J$4:$J$886,N$1)</f>
        <v>0</v>
      </c>
      <c r="O74" s="207">
        <f>SUMIFS('июнь 2023'!$G$4:$G$886,'июнь 2023'!$D$4:$D$886,$B74,'июнь 2023'!$J$4:$J$886,O$1)</f>
        <v>0</v>
      </c>
      <c r="P74" s="207">
        <f>SUMIFS('июнь 2023'!$G$4:$G$886,'июнь 2023'!$D$4:$D$886,$B74,'июнь 2023'!$J$4:$J$886,P$1)</f>
        <v>0</v>
      </c>
      <c r="Q74" s="207">
        <f>SUMIFS('июнь 2023'!$G$4:$G$886,'июнь 2023'!$D$4:$D$886,$B74,'июнь 2023'!$J$4:$J$886,Q$1)</f>
        <v>0</v>
      </c>
      <c r="R74" s="207">
        <f>SUMIFS('июнь 2023'!$G$4:$G$886,'июнь 2023'!$D$4:$D$886,$B74,'июнь 2023'!$J$4:$J$886,R$1)</f>
        <v>0</v>
      </c>
      <c r="S74" s="207">
        <f>SUMIFS('июнь 2023'!$G$4:$G$886,'июнь 2023'!$D$4:$D$886,$B74,'июнь 2023'!$J$4:$J$886,S$1)</f>
        <v>0</v>
      </c>
      <c r="T74" s="207">
        <f>SUMIFS('июнь 2023'!$G$4:$G$886,'июнь 2023'!$D$4:$D$886,$B74,'июнь 2023'!$J$4:$J$886,T$1)</f>
        <v>0</v>
      </c>
      <c r="U74" s="207">
        <f>SUMIFS('июнь 2023'!$G$4:$G$886,'июнь 2023'!$D$4:$D$886,$B74,'июнь 2023'!$J$4:$J$886,U$1)</f>
        <v>0</v>
      </c>
      <c r="V74" s="207">
        <f>SUMIFS('июнь 2023'!$G$4:$G$886,'июнь 2023'!$D$4:$D$886,$B74,'июнь 2023'!$J$4:$J$886,V$1)</f>
        <v>0</v>
      </c>
      <c r="W74" s="207">
        <f>SUMIFS('июнь 2023'!$G$4:$G$886,'июнь 2023'!$D$4:$D$886,$B74,'июнь 2023'!$J$4:$J$886,W$1)</f>
        <v>0</v>
      </c>
      <c r="X74" s="207">
        <f>SUMIFS('июнь 2023'!$G$4:$G$886,'июнь 2023'!$D$4:$D$886,$B74,'июнь 2023'!$J$4:$J$886,X$1)</f>
        <v>0</v>
      </c>
      <c r="Y74" s="207">
        <f>SUMIFS('июнь 2023'!$G$4:$G$886,'июнь 2023'!$D$4:$D$886,$B74,'июнь 2023'!$J$4:$J$886,Y$1)</f>
        <v>0</v>
      </c>
      <c r="Z74" s="207">
        <f>SUMIFS('июнь 2023'!$G$4:$G$886,'июнь 2023'!$D$4:$D$886,$B74,'июнь 2023'!$J$4:$J$886,Z$1)</f>
        <v>0</v>
      </c>
      <c r="AA74" s="207">
        <f>SUMIFS('июнь 2023'!$G$4:$G$886,'июнь 2023'!$D$4:$D$886,$B74,'июнь 2023'!$J$4:$J$886,AA$1)</f>
        <v>0</v>
      </c>
      <c r="AB74" s="207">
        <f>SUMIFS('июнь 2023'!$G$4:$G$886,'июнь 2023'!$D$4:$D$886,$B74,'июнь 2023'!$J$4:$J$886,AB$1)</f>
        <v>0</v>
      </c>
      <c r="AC74" s="207">
        <f>SUMIFS('июнь 2023'!$G$4:$G$886,'июнь 2023'!$D$4:$D$886,$B74,'июнь 2023'!$J$4:$J$886,AC$1)</f>
        <v>0</v>
      </c>
      <c r="AD74" s="207">
        <f>SUMIFS('июнь 2023'!$G$4:$G$886,'июнь 2023'!$D$4:$D$886,$B74,'июнь 2023'!$J$4:$J$886,AD$1)</f>
        <v>0</v>
      </c>
      <c r="AE74" s="207">
        <f>SUMIFS('июнь 2023'!$G$4:$G$886,'июнь 2023'!$D$4:$D$886,$B74,'июнь 2023'!$J$4:$J$886,AE$1)</f>
        <v>0</v>
      </c>
      <c r="AF74" s="207">
        <f>SUMIFS('июнь 2023'!$G$4:$G$886,'июнь 2023'!$D$4:$D$886,$B74,'июнь 2023'!$J$4:$J$886,AF$1)</f>
        <v>0</v>
      </c>
      <c r="AG74" s="207">
        <f>SUMIFS('июнь 2023'!$G$4:$G$886,'июнь 2023'!$D$4:$D$886,$B74,'июнь 2023'!$J$4:$J$886,AG$1)</f>
        <v>0</v>
      </c>
      <c r="AH74" s="207">
        <f>SUMIFS('июнь 2023'!$G$4:$G$886,'июнь 2023'!$D$4:$D$886,$B74,'июнь 2023'!$J$4:$J$886,AH$1)</f>
        <v>0</v>
      </c>
      <c r="AI74" s="170">
        <f t="shared" si="2"/>
        <v>0</v>
      </c>
    </row>
    <row r="75" spans="2:35" ht="15" customHeight="1" x14ac:dyDescent="0.25">
      <c r="B75" s="212" t="s">
        <v>2183</v>
      </c>
      <c r="C75" s="211">
        <v>180</v>
      </c>
      <c r="D75" s="207">
        <f>SUMIFS('июнь 2023'!$G$4:$G$886,'июнь 2023'!$D$4:$D$886,$B75,'июнь 2023'!$J$4:$J$886,D$1)</f>
        <v>0</v>
      </c>
      <c r="E75" s="207">
        <f>SUMIFS('июнь 2023'!$G$4:$G$886,'июнь 2023'!$D$4:$D$886,$B75,'июнь 2023'!$J$4:$J$886,E$1)</f>
        <v>0</v>
      </c>
      <c r="F75" s="207">
        <f>SUMIFS('июнь 2023'!$G$4:$G$886,'июнь 2023'!$D$4:$D$886,$B75,'июнь 2023'!$J$4:$J$886,F$1)</f>
        <v>0</v>
      </c>
      <c r="G75" s="207">
        <f>SUMIFS('июнь 2023'!$G$4:$G$886,'июнь 2023'!$D$4:$D$886,$B75,'июнь 2023'!$J$4:$J$886,G$1)</f>
        <v>0</v>
      </c>
      <c r="H75" s="207">
        <f>SUMIFS('июнь 2023'!$G$4:$G$886,'июнь 2023'!$D$4:$D$886,$B75,'июнь 2023'!$J$4:$J$886,H$1)</f>
        <v>0</v>
      </c>
      <c r="I75" s="207">
        <f>SUMIFS('июнь 2023'!$G$4:$G$886,'июнь 2023'!$D$4:$D$886,$B75,'июнь 2023'!$J$4:$J$886,I$1)</f>
        <v>0</v>
      </c>
      <c r="J75" s="207">
        <f>SUMIFS('июнь 2023'!$G$4:$G$886,'июнь 2023'!$D$4:$D$886,$B75,'июнь 2023'!$J$4:$J$886,J$1)</f>
        <v>0</v>
      </c>
      <c r="K75" s="207">
        <f>SUMIFS('июнь 2023'!$G$4:$G$886,'июнь 2023'!$D$4:$D$886,$B75,'июнь 2023'!$J$4:$J$886,K$1)</f>
        <v>0</v>
      </c>
      <c r="L75" s="207">
        <f>SUMIFS('июнь 2023'!$G$4:$G$886,'июнь 2023'!$D$4:$D$886,$B75,'июнь 2023'!$J$4:$J$886,L$1)</f>
        <v>0</v>
      </c>
      <c r="M75" s="207">
        <f>SUMIFS('июнь 2023'!$G$4:$G$886,'июнь 2023'!$D$4:$D$886,$B75,'июнь 2023'!$J$4:$J$886,M$1)</f>
        <v>0</v>
      </c>
      <c r="N75" s="207">
        <f>SUMIFS('июнь 2023'!$G$4:$G$886,'июнь 2023'!$D$4:$D$886,$B75,'июнь 2023'!$J$4:$J$886,N$1)</f>
        <v>0</v>
      </c>
      <c r="O75" s="207">
        <f>SUMIFS('июнь 2023'!$G$4:$G$886,'июнь 2023'!$D$4:$D$886,$B75,'июнь 2023'!$J$4:$J$886,O$1)</f>
        <v>0</v>
      </c>
      <c r="P75" s="207">
        <f>SUMIFS('июнь 2023'!$G$4:$G$886,'июнь 2023'!$D$4:$D$886,$B75,'июнь 2023'!$J$4:$J$886,P$1)</f>
        <v>0</v>
      </c>
      <c r="Q75" s="207">
        <f>SUMIFS('июнь 2023'!$G$4:$G$886,'июнь 2023'!$D$4:$D$886,$B75,'июнь 2023'!$J$4:$J$886,Q$1)</f>
        <v>0</v>
      </c>
      <c r="R75" s="207">
        <f>SUMIFS('июнь 2023'!$G$4:$G$886,'июнь 2023'!$D$4:$D$886,$B75,'июнь 2023'!$J$4:$J$886,R$1)</f>
        <v>0</v>
      </c>
      <c r="S75" s="207">
        <f>SUMIFS('июнь 2023'!$G$4:$G$886,'июнь 2023'!$D$4:$D$886,$B75,'июнь 2023'!$J$4:$J$886,S$1)</f>
        <v>0</v>
      </c>
      <c r="T75" s="207">
        <f>SUMIFS('июнь 2023'!$G$4:$G$886,'июнь 2023'!$D$4:$D$886,$B75,'июнь 2023'!$J$4:$J$886,T$1)</f>
        <v>0</v>
      </c>
      <c r="U75" s="207">
        <f>SUMIFS('июнь 2023'!$G$4:$G$886,'июнь 2023'!$D$4:$D$886,$B75,'июнь 2023'!$J$4:$J$886,U$1)</f>
        <v>0</v>
      </c>
      <c r="V75" s="207">
        <f>SUMIFS('июнь 2023'!$G$4:$G$886,'июнь 2023'!$D$4:$D$886,$B75,'июнь 2023'!$J$4:$J$886,V$1)</f>
        <v>0</v>
      </c>
      <c r="W75" s="207">
        <f>SUMIFS('июнь 2023'!$G$4:$G$886,'июнь 2023'!$D$4:$D$886,$B75,'июнь 2023'!$J$4:$J$886,W$1)</f>
        <v>0</v>
      </c>
      <c r="X75" s="207">
        <f>SUMIFS('июнь 2023'!$G$4:$G$886,'июнь 2023'!$D$4:$D$886,$B75,'июнь 2023'!$J$4:$J$886,X$1)</f>
        <v>0</v>
      </c>
      <c r="Y75" s="207">
        <f>SUMIFS('июнь 2023'!$G$4:$G$886,'июнь 2023'!$D$4:$D$886,$B75,'июнь 2023'!$J$4:$J$886,Y$1)</f>
        <v>0</v>
      </c>
      <c r="Z75" s="207">
        <f>SUMIFS('июнь 2023'!$G$4:$G$886,'июнь 2023'!$D$4:$D$886,$B75,'июнь 2023'!$J$4:$J$886,Z$1)</f>
        <v>0</v>
      </c>
      <c r="AA75" s="207">
        <f>SUMIFS('июнь 2023'!$G$4:$G$886,'июнь 2023'!$D$4:$D$886,$B75,'июнь 2023'!$J$4:$J$886,AA$1)</f>
        <v>0</v>
      </c>
      <c r="AB75" s="207">
        <f>SUMIFS('июнь 2023'!$G$4:$G$886,'июнь 2023'!$D$4:$D$886,$B75,'июнь 2023'!$J$4:$J$886,AB$1)</f>
        <v>0</v>
      </c>
      <c r="AC75" s="207">
        <f>SUMIFS('июнь 2023'!$G$4:$G$886,'июнь 2023'!$D$4:$D$886,$B75,'июнь 2023'!$J$4:$J$886,AC$1)</f>
        <v>0</v>
      </c>
      <c r="AD75" s="207">
        <f>SUMIFS('июнь 2023'!$G$4:$G$886,'июнь 2023'!$D$4:$D$886,$B75,'июнь 2023'!$J$4:$J$886,AD$1)</f>
        <v>0</v>
      </c>
      <c r="AE75" s="207">
        <f>SUMIFS('июнь 2023'!$G$4:$G$886,'июнь 2023'!$D$4:$D$886,$B75,'июнь 2023'!$J$4:$J$886,AE$1)</f>
        <v>0</v>
      </c>
      <c r="AF75" s="207">
        <f>SUMIFS('июнь 2023'!$G$4:$G$886,'июнь 2023'!$D$4:$D$886,$B75,'июнь 2023'!$J$4:$J$886,AF$1)</f>
        <v>0</v>
      </c>
      <c r="AG75" s="207">
        <f>SUMIFS('июнь 2023'!$G$4:$G$886,'июнь 2023'!$D$4:$D$886,$B75,'июнь 2023'!$J$4:$J$886,AG$1)</f>
        <v>0</v>
      </c>
      <c r="AH75" s="207">
        <f>SUMIFS('июнь 2023'!$G$4:$G$886,'июнь 2023'!$D$4:$D$886,$B75,'июнь 2023'!$J$4:$J$886,AH$1)</f>
        <v>0</v>
      </c>
      <c r="AI75" s="170">
        <f t="shared" si="2"/>
        <v>0</v>
      </c>
    </row>
    <row r="76" spans="2:35" ht="15" customHeight="1" x14ac:dyDescent="0.25">
      <c r="B76" s="212" t="s">
        <v>561</v>
      </c>
      <c r="C76" s="211">
        <v>200</v>
      </c>
      <c r="D76" s="207">
        <f>SUMIFS('июнь 2023'!$G$4:$G$886,'июнь 2023'!$D$4:$D$886,$B76,'июнь 2023'!$J$4:$J$886,D$1)</f>
        <v>0</v>
      </c>
      <c r="E76" s="207">
        <f>SUMIFS('июнь 2023'!$G$4:$G$886,'июнь 2023'!$D$4:$D$886,$B76,'июнь 2023'!$J$4:$J$886,E$1)</f>
        <v>0</v>
      </c>
      <c r="F76" s="207">
        <f>SUMIFS('июнь 2023'!$G$4:$G$886,'июнь 2023'!$D$4:$D$886,$B76,'июнь 2023'!$J$4:$J$886,F$1)</f>
        <v>0</v>
      </c>
      <c r="G76" s="207">
        <f>SUMIFS('июнь 2023'!$G$4:$G$886,'июнь 2023'!$D$4:$D$886,$B76,'июнь 2023'!$J$4:$J$886,G$1)</f>
        <v>0</v>
      </c>
      <c r="H76" s="207">
        <f>SUMIFS('июнь 2023'!$G$4:$G$886,'июнь 2023'!$D$4:$D$886,$B76,'июнь 2023'!$J$4:$J$886,H$1)</f>
        <v>0</v>
      </c>
      <c r="I76" s="207">
        <f>SUMIFS('июнь 2023'!$G$4:$G$886,'июнь 2023'!$D$4:$D$886,$B76,'июнь 2023'!$J$4:$J$886,I$1)</f>
        <v>0</v>
      </c>
      <c r="J76" s="207">
        <f>SUMIFS('июнь 2023'!$G$4:$G$886,'июнь 2023'!$D$4:$D$886,$B76,'июнь 2023'!$J$4:$J$886,J$1)</f>
        <v>0</v>
      </c>
      <c r="K76" s="207">
        <f>SUMIFS('июнь 2023'!$G$4:$G$886,'июнь 2023'!$D$4:$D$886,$B76,'июнь 2023'!$J$4:$J$886,K$1)</f>
        <v>0</v>
      </c>
      <c r="L76" s="207">
        <f>SUMIFS('июнь 2023'!$G$4:$G$886,'июнь 2023'!$D$4:$D$886,$B76,'июнь 2023'!$J$4:$J$886,L$1)</f>
        <v>0</v>
      </c>
      <c r="M76" s="207">
        <f>SUMIFS('июнь 2023'!$G$4:$G$886,'июнь 2023'!$D$4:$D$886,$B76,'июнь 2023'!$J$4:$J$886,M$1)</f>
        <v>0</v>
      </c>
      <c r="N76" s="207">
        <f>SUMIFS('июнь 2023'!$G$4:$G$886,'июнь 2023'!$D$4:$D$886,$B76,'июнь 2023'!$J$4:$J$886,N$1)</f>
        <v>0</v>
      </c>
      <c r="O76" s="207">
        <f>SUMIFS('июнь 2023'!$G$4:$G$886,'июнь 2023'!$D$4:$D$886,$B76,'июнь 2023'!$J$4:$J$886,O$1)</f>
        <v>0</v>
      </c>
      <c r="P76" s="207">
        <f>SUMIFS('июнь 2023'!$G$4:$G$886,'июнь 2023'!$D$4:$D$886,$B76,'июнь 2023'!$J$4:$J$886,P$1)</f>
        <v>0</v>
      </c>
      <c r="Q76" s="207">
        <f>SUMIFS('июнь 2023'!$G$4:$G$886,'июнь 2023'!$D$4:$D$886,$B76,'июнь 2023'!$J$4:$J$886,Q$1)</f>
        <v>0</v>
      </c>
      <c r="R76" s="207">
        <f>SUMIFS('июнь 2023'!$G$4:$G$886,'июнь 2023'!$D$4:$D$886,$B76,'июнь 2023'!$J$4:$J$886,R$1)</f>
        <v>0</v>
      </c>
      <c r="S76" s="207">
        <f>SUMIFS('июнь 2023'!$G$4:$G$886,'июнь 2023'!$D$4:$D$886,$B76,'июнь 2023'!$J$4:$J$886,S$1)</f>
        <v>0</v>
      </c>
      <c r="T76" s="207">
        <f>SUMIFS('июнь 2023'!$G$4:$G$886,'июнь 2023'!$D$4:$D$886,$B76,'июнь 2023'!$J$4:$J$886,T$1)</f>
        <v>0</v>
      </c>
      <c r="U76" s="207">
        <f>SUMIFS('июнь 2023'!$G$4:$G$886,'июнь 2023'!$D$4:$D$886,$B76,'июнь 2023'!$J$4:$J$886,U$1)</f>
        <v>0</v>
      </c>
      <c r="V76" s="207">
        <f>SUMIFS('июнь 2023'!$G$4:$G$886,'июнь 2023'!$D$4:$D$886,$B76,'июнь 2023'!$J$4:$J$886,V$1)</f>
        <v>0</v>
      </c>
      <c r="W76" s="207">
        <f>SUMIFS('июнь 2023'!$G$4:$G$886,'июнь 2023'!$D$4:$D$886,$B76,'июнь 2023'!$J$4:$J$886,W$1)</f>
        <v>0</v>
      </c>
      <c r="X76" s="207">
        <f>SUMIFS('июнь 2023'!$G$4:$G$886,'июнь 2023'!$D$4:$D$886,$B76,'июнь 2023'!$J$4:$J$886,X$1)</f>
        <v>0</v>
      </c>
      <c r="Y76" s="207">
        <f>SUMIFS('июнь 2023'!$G$4:$G$886,'июнь 2023'!$D$4:$D$886,$B76,'июнь 2023'!$J$4:$J$886,Y$1)</f>
        <v>0</v>
      </c>
      <c r="Z76" s="207">
        <f>SUMIFS('июнь 2023'!$G$4:$G$886,'июнь 2023'!$D$4:$D$886,$B76,'июнь 2023'!$J$4:$J$886,Z$1)</f>
        <v>0</v>
      </c>
      <c r="AA76" s="207">
        <f>SUMIFS('июнь 2023'!$G$4:$G$886,'июнь 2023'!$D$4:$D$886,$B76,'июнь 2023'!$J$4:$J$886,AA$1)</f>
        <v>0</v>
      </c>
      <c r="AB76" s="207">
        <f>SUMIFS('июнь 2023'!$G$4:$G$886,'июнь 2023'!$D$4:$D$886,$B76,'июнь 2023'!$J$4:$J$886,AB$1)</f>
        <v>0</v>
      </c>
      <c r="AC76" s="207">
        <f>SUMIFS('июнь 2023'!$G$4:$G$886,'июнь 2023'!$D$4:$D$886,$B76,'июнь 2023'!$J$4:$J$886,AC$1)</f>
        <v>0</v>
      </c>
      <c r="AD76" s="207">
        <f>SUMIFS('июнь 2023'!$G$4:$G$886,'июнь 2023'!$D$4:$D$886,$B76,'июнь 2023'!$J$4:$J$886,AD$1)</f>
        <v>0</v>
      </c>
      <c r="AE76" s="207">
        <f>SUMIFS('июнь 2023'!$G$4:$G$886,'июнь 2023'!$D$4:$D$886,$B76,'июнь 2023'!$J$4:$J$886,AE$1)</f>
        <v>0</v>
      </c>
      <c r="AF76" s="207">
        <f>SUMIFS('июнь 2023'!$G$4:$G$886,'июнь 2023'!$D$4:$D$886,$B76,'июнь 2023'!$J$4:$J$886,AF$1)</f>
        <v>0</v>
      </c>
      <c r="AG76" s="207">
        <f>SUMIFS('июнь 2023'!$G$4:$G$886,'июнь 2023'!$D$4:$D$886,$B76,'июнь 2023'!$J$4:$J$886,AG$1)</f>
        <v>0</v>
      </c>
      <c r="AH76" s="207">
        <f>SUMIFS('июнь 2023'!$G$4:$G$886,'июнь 2023'!$D$4:$D$886,$B76,'июнь 2023'!$J$4:$J$886,AH$1)</f>
        <v>0</v>
      </c>
      <c r="AI76" s="170">
        <f t="shared" si="2"/>
        <v>0</v>
      </c>
    </row>
    <row r="77" spans="2:35" ht="15" customHeight="1" x14ac:dyDescent="0.25">
      <c r="B77" s="216" t="s">
        <v>1372</v>
      </c>
      <c r="C77" s="211">
        <v>180</v>
      </c>
      <c r="D77" s="207">
        <f>SUMIFS('июнь 2023'!$G$4:$G$886,'июнь 2023'!$D$4:$D$886,$B77,'июнь 2023'!$J$4:$J$886,D$1)</f>
        <v>0</v>
      </c>
      <c r="E77" s="207">
        <f>SUMIFS('июнь 2023'!$G$4:$G$886,'июнь 2023'!$D$4:$D$886,$B77,'июнь 2023'!$J$4:$J$886,E$1)</f>
        <v>0</v>
      </c>
      <c r="F77" s="207">
        <f>SUMIFS('июнь 2023'!$G$4:$G$886,'июнь 2023'!$D$4:$D$886,$B77,'июнь 2023'!$J$4:$J$886,F$1)</f>
        <v>0</v>
      </c>
      <c r="G77" s="207">
        <f>SUMIFS('июнь 2023'!$G$4:$G$886,'июнь 2023'!$D$4:$D$886,$B77,'июнь 2023'!$J$4:$J$886,G$1)</f>
        <v>0</v>
      </c>
      <c r="H77" s="207">
        <f>SUMIFS('июнь 2023'!$G$4:$G$886,'июнь 2023'!$D$4:$D$886,$B77,'июнь 2023'!$J$4:$J$886,H$1)</f>
        <v>0</v>
      </c>
      <c r="I77" s="207">
        <f>SUMIFS('июнь 2023'!$G$4:$G$886,'июнь 2023'!$D$4:$D$886,$B77,'июнь 2023'!$J$4:$J$886,I$1)</f>
        <v>0</v>
      </c>
      <c r="J77" s="207">
        <f>SUMIFS('июнь 2023'!$G$4:$G$886,'июнь 2023'!$D$4:$D$886,$B77,'июнь 2023'!$J$4:$J$886,J$1)</f>
        <v>0</v>
      </c>
      <c r="K77" s="207">
        <f>SUMIFS('июнь 2023'!$G$4:$G$886,'июнь 2023'!$D$4:$D$886,$B77,'июнь 2023'!$J$4:$J$886,K$1)</f>
        <v>0</v>
      </c>
      <c r="L77" s="207">
        <f>SUMIFS('июнь 2023'!$G$4:$G$886,'июнь 2023'!$D$4:$D$886,$B77,'июнь 2023'!$J$4:$J$886,L$1)</f>
        <v>0</v>
      </c>
      <c r="M77" s="207">
        <f>SUMIFS('июнь 2023'!$G$4:$G$886,'июнь 2023'!$D$4:$D$886,$B77,'июнь 2023'!$J$4:$J$886,M$1)</f>
        <v>0</v>
      </c>
      <c r="N77" s="207">
        <f>SUMIFS('июнь 2023'!$G$4:$G$886,'июнь 2023'!$D$4:$D$886,$B77,'июнь 2023'!$J$4:$J$886,N$1)</f>
        <v>0</v>
      </c>
      <c r="O77" s="207">
        <f>SUMIFS('июнь 2023'!$G$4:$G$886,'июнь 2023'!$D$4:$D$886,$B77,'июнь 2023'!$J$4:$J$886,O$1)</f>
        <v>0</v>
      </c>
      <c r="P77" s="207">
        <f>SUMIFS('июнь 2023'!$G$4:$G$886,'июнь 2023'!$D$4:$D$886,$B77,'июнь 2023'!$J$4:$J$886,P$1)</f>
        <v>0</v>
      </c>
      <c r="Q77" s="207">
        <f>SUMIFS('июнь 2023'!$G$4:$G$886,'июнь 2023'!$D$4:$D$886,$B77,'июнь 2023'!$J$4:$J$886,Q$1)</f>
        <v>0</v>
      </c>
      <c r="R77" s="207">
        <f>SUMIFS('июнь 2023'!$G$4:$G$886,'июнь 2023'!$D$4:$D$886,$B77,'июнь 2023'!$J$4:$J$886,R$1)</f>
        <v>0</v>
      </c>
      <c r="S77" s="207">
        <f>SUMIFS('июнь 2023'!$G$4:$G$886,'июнь 2023'!$D$4:$D$886,$B77,'июнь 2023'!$J$4:$J$886,S$1)</f>
        <v>0</v>
      </c>
      <c r="T77" s="207">
        <f>SUMIFS('июнь 2023'!$G$4:$G$886,'июнь 2023'!$D$4:$D$886,$B77,'июнь 2023'!$J$4:$J$886,T$1)</f>
        <v>0</v>
      </c>
      <c r="U77" s="207">
        <f>SUMIFS('июнь 2023'!$G$4:$G$886,'июнь 2023'!$D$4:$D$886,$B77,'июнь 2023'!$J$4:$J$886,U$1)</f>
        <v>0</v>
      </c>
      <c r="V77" s="207">
        <f>SUMIFS('июнь 2023'!$G$4:$G$886,'июнь 2023'!$D$4:$D$886,$B77,'июнь 2023'!$J$4:$J$886,V$1)</f>
        <v>0</v>
      </c>
      <c r="W77" s="207">
        <f>SUMIFS('июнь 2023'!$G$4:$G$886,'июнь 2023'!$D$4:$D$886,$B77,'июнь 2023'!$J$4:$J$886,W$1)</f>
        <v>0</v>
      </c>
      <c r="X77" s="207">
        <f>SUMIFS('июнь 2023'!$G$4:$G$886,'июнь 2023'!$D$4:$D$886,$B77,'июнь 2023'!$J$4:$J$886,X$1)</f>
        <v>0</v>
      </c>
      <c r="Y77" s="207">
        <f>SUMIFS('июнь 2023'!$G$4:$G$886,'июнь 2023'!$D$4:$D$886,$B77,'июнь 2023'!$J$4:$J$886,Y$1)</f>
        <v>0</v>
      </c>
      <c r="Z77" s="207">
        <f>SUMIFS('июнь 2023'!$G$4:$G$886,'июнь 2023'!$D$4:$D$886,$B77,'июнь 2023'!$J$4:$J$886,Z$1)</f>
        <v>0</v>
      </c>
      <c r="AA77" s="207">
        <f>SUMIFS('июнь 2023'!$G$4:$G$886,'июнь 2023'!$D$4:$D$886,$B77,'июнь 2023'!$J$4:$J$886,AA$1)</f>
        <v>0</v>
      </c>
      <c r="AB77" s="207">
        <f>SUMIFS('июнь 2023'!$G$4:$G$886,'июнь 2023'!$D$4:$D$886,$B77,'июнь 2023'!$J$4:$J$886,AB$1)</f>
        <v>0</v>
      </c>
      <c r="AC77" s="207">
        <f>SUMIFS('июнь 2023'!$G$4:$G$886,'июнь 2023'!$D$4:$D$886,$B77,'июнь 2023'!$J$4:$J$886,AC$1)</f>
        <v>0</v>
      </c>
      <c r="AD77" s="207">
        <f>SUMIFS('июнь 2023'!$G$4:$G$886,'июнь 2023'!$D$4:$D$886,$B77,'июнь 2023'!$J$4:$J$886,AD$1)</f>
        <v>0</v>
      </c>
      <c r="AE77" s="207">
        <f>SUMIFS('июнь 2023'!$G$4:$G$886,'июнь 2023'!$D$4:$D$886,$B77,'июнь 2023'!$J$4:$J$886,AE$1)</f>
        <v>0</v>
      </c>
      <c r="AF77" s="207">
        <f>SUMIFS('июнь 2023'!$G$4:$G$886,'июнь 2023'!$D$4:$D$886,$B77,'июнь 2023'!$J$4:$J$886,AF$1)</f>
        <v>0</v>
      </c>
      <c r="AG77" s="207">
        <f>SUMIFS('июнь 2023'!$G$4:$G$886,'июнь 2023'!$D$4:$D$886,$B77,'июнь 2023'!$J$4:$J$886,AG$1)</f>
        <v>0</v>
      </c>
      <c r="AH77" s="207">
        <f>SUMIFS('июнь 2023'!$G$4:$G$886,'июнь 2023'!$D$4:$D$886,$B77,'июнь 2023'!$J$4:$J$886,AH$1)</f>
        <v>0</v>
      </c>
      <c r="AI77" s="170">
        <f t="shared" si="2"/>
        <v>0</v>
      </c>
    </row>
    <row r="78" spans="2:35" ht="15" customHeight="1" x14ac:dyDescent="0.25">
      <c r="B78" s="216" t="s">
        <v>1336</v>
      </c>
      <c r="C78" s="213">
        <v>50</v>
      </c>
      <c r="D78" s="207">
        <f>SUMIFS('июнь 2023'!$G$4:$G$886,'июнь 2023'!$D$4:$D$886,$B78,'июнь 2023'!$J$4:$J$886,D$1)</f>
        <v>0</v>
      </c>
      <c r="E78" s="207">
        <f>SUMIFS('июнь 2023'!$G$4:$G$886,'июнь 2023'!$D$4:$D$886,$B78,'июнь 2023'!$J$4:$J$886,E$1)</f>
        <v>0</v>
      </c>
      <c r="F78" s="207">
        <f>SUMIFS('июнь 2023'!$G$4:$G$886,'июнь 2023'!$D$4:$D$886,$B78,'июнь 2023'!$J$4:$J$886,F$1)</f>
        <v>0</v>
      </c>
      <c r="G78" s="207">
        <f>SUMIFS('июнь 2023'!$G$4:$G$886,'июнь 2023'!$D$4:$D$886,$B78,'июнь 2023'!$J$4:$J$886,G$1)</f>
        <v>0</v>
      </c>
      <c r="H78" s="207">
        <f>SUMIFS('июнь 2023'!$G$4:$G$886,'июнь 2023'!$D$4:$D$886,$B78,'июнь 2023'!$J$4:$J$886,H$1)</f>
        <v>0</v>
      </c>
      <c r="I78" s="207">
        <f>SUMIFS('июнь 2023'!$G$4:$G$886,'июнь 2023'!$D$4:$D$886,$B78,'июнь 2023'!$J$4:$J$886,I$1)</f>
        <v>0</v>
      </c>
      <c r="J78" s="207">
        <f>SUMIFS('июнь 2023'!$G$4:$G$886,'июнь 2023'!$D$4:$D$886,$B78,'июнь 2023'!$J$4:$J$886,J$1)</f>
        <v>0</v>
      </c>
      <c r="K78" s="207">
        <f>SUMIFS('июнь 2023'!$G$4:$G$886,'июнь 2023'!$D$4:$D$886,$B78,'июнь 2023'!$J$4:$J$886,K$1)</f>
        <v>0</v>
      </c>
      <c r="L78" s="207">
        <f>SUMIFS('июнь 2023'!$G$4:$G$886,'июнь 2023'!$D$4:$D$886,$B78,'июнь 2023'!$J$4:$J$886,L$1)</f>
        <v>0</v>
      </c>
      <c r="M78" s="207">
        <f>SUMIFS('июнь 2023'!$G$4:$G$886,'июнь 2023'!$D$4:$D$886,$B78,'июнь 2023'!$J$4:$J$886,M$1)</f>
        <v>0</v>
      </c>
      <c r="N78" s="207">
        <f>SUMIFS('июнь 2023'!$G$4:$G$886,'июнь 2023'!$D$4:$D$886,$B78,'июнь 2023'!$J$4:$J$886,N$1)</f>
        <v>0</v>
      </c>
      <c r="O78" s="207">
        <f>SUMIFS('июнь 2023'!$G$4:$G$886,'июнь 2023'!$D$4:$D$886,$B78,'июнь 2023'!$J$4:$J$886,O$1)</f>
        <v>0</v>
      </c>
      <c r="P78" s="207">
        <f>SUMIFS('июнь 2023'!$G$4:$G$886,'июнь 2023'!$D$4:$D$886,$B78,'июнь 2023'!$J$4:$J$886,P$1)</f>
        <v>0</v>
      </c>
      <c r="Q78" s="207">
        <f>SUMIFS('июнь 2023'!$G$4:$G$886,'июнь 2023'!$D$4:$D$886,$B78,'июнь 2023'!$J$4:$J$886,Q$1)</f>
        <v>0</v>
      </c>
      <c r="R78" s="207">
        <f>SUMIFS('июнь 2023'!$G$4:$G$886,'июнь 2023'!$D$4:$D$886,$B78,'июнь 2023'!$J$4:$J$886,R$1)</f>
        <v>0</v>
      </c>
      <c r="S78" s="207">
        <f>SUMIFS('июнь 2023'!$G$4:$G$886,'июнь 2023'!$D$4:$D$886,$B78,'июнь 2023'!$J$4:$J$886,S$1)</f>
        <v>0</v>
      </c>
      <c r="T78" s="207">
        <f>SUMIFS('июнь 2023'!$G$4:$G$886,'июнь 2023'!$D$4:$D$886,$B78,'июнь 2023'!$J$4:$J$886,T$1)</f>
        <v>0</v>
      </c>
      <c r="U78" s="207">
        <f>SUMIFS('июнь 2023'!$G$4:$G$886,'июнь 2023'!$D$4:$D$886,$B78,'июнь 2023'!$J$4:$J$886,U$1)</f>
        <v>0</v>
      </c>
      <c r="V78" s="207">
        <f>SUMIFS('июнь 2023'!$G$4:$G$886,'июнь 2023'!$D$4:$D$886,$B78,'июнь 2023'!$J$4:$J$886,V$1)</f>
        <v>0</v>
      </c>
      <c r="W78" s="207">
        <f>SUMIFS('июнь 2023'!$G$4:$G$886,'июнь 2023'!$D$4:$D$886,$B78,'июнь 2023'!$J$4:$J$886,W$1)</f>
        <v>0</v>
      </c>
      <c r="X78" s="207">
        <f>SUMIFS('июнь 2023'!$G$4:$G$886,'июнь 2023'!$D$4:$D$886,$B78,'июнь 2023'!$J$4:$J$886,X$1)</f>
        <v>0</v>
      </c>
      <c r="Y78" s="207">
        <f>SUMIFS('июнь 2023'!$G$4:$G$886,'июнь 2023'!$D$4:$D$886,$B78,'июнь 2023'!$J$4:$J$886,Y$1)</f>
        <v>0</v>
      </c>
      <c r="Z78" s="207">
        <f>SUMIFS('июнь 2023'!$G$4:$G$886,'июнь 2023'!$D$4:$D$886,$B78,'июнь 2023'!$J$4:$J$886,Z$1)</f>
        <v>0</v>
      </c>
      <c r="AA78" s="207">
        <f>SUMIFS('июнь 2023'!$G$4:$G$886,'июнь 2023'!$D$4:$D$886,$B78,'июнь 2023'!$J$4:$J$886,AA$1)</f>
        <v>0</v>
      </c>
      <c r="AB78" s="207">
        <f>SUMIFS('июнь 2023'!$G$4:$G$886,'июнь 2023'!$D$4:$D$886,$B78,'июнь 2023'!$J$4:$J$886,AB$1)</f>
        <v>0</v>
      </c>
      <c r="AC78" s="207">
        <f>SUMIFS('июнь 2023'!$G$4:$G$886,'июнь 2023'!$D$4:$D$886,$B78,'июнь 2023'!$J$4:$J$886,AC$1)</f>
        <v>0</v>
      </c>
      <c r="AD78" s="207">
        <f>SUMIFS('июнь 2023'!$G$4:$G$886,'июнь 2023'!$D$4:$D$886,$B78,'июнь 2023'!$J$4:$J$886,AD$1)</f>
        <v>0</v>
      </c>
      <c r="AE78" s="207">
        <f>SUMIFS('июнь 2023'!$G$4:$G$886,'июнь 2023'!$D$4:$D$886,$B78,'июнь 2023'!$J$4:$J$886,AE$1)</f>
        <v>0</v>
      </c>
      <c r="AF78" s="207">
        <f>SUMIFS('июнь 2023'!$G$4:$G$886,'июнь 2023'!$D$4:$D$886,$B78,'июнь 2023'!$J$4:$J$886,AF$1)</f>
        <v>0</v>
      </c>
      <c r="AG78" s="207">
        <f>SUMIFS('июнь 2023'!$G$4:$G$886,'июнь 2023'!$D$4:$D$886,$B78,'июнь 2023'!$J$4:$J$886,AG$1)</f>
        <v>0</v>
      </c>
      <c r="AH78" s="207">
        <f>SUMIFS('июнь 2023'!$G$4:$G$886,'июнь 2023'!$D$4:$D$886,$B78,'июнь 2023'!$J$4:$J$886,AH$1)</f>
        <v>0</v>
      </c>
      <c r="AI78" s="170">
        <f t="shared" si="2"/>
        <v>0</v>
      </c>
    </row>
    <row r="79" spans="2:35" ht="15" customHeight="1" x14ac:dyDescent="0.25">
      <c r="B79" s="216" t="s">
        <v>1470</v>
      </c>
      <c r="C79" s="213">
        <v>180</v>
      </c>
      <c r="D79" s="207">
        <f>SUMIFS('июнь 2023'!$G$4:$G$886,'июнь 2023'!$D$4:$D$886,$B79,'июнь 2023'!$J$4:$J$886,D$1)</f>
        <v>0</v>
      </c>
      <c r="E79" s="207">
        <f>SUMIFS('июнь 2023'!$G$4:$G$886,'июнь 2023'!$D$4:$D$886,$B79,'июнь 2023'!$J$4:$J$886,E$1)</f>
        <v>0</v>
      </c>
      <c r="F79" s="207">
        <f>SUMIFS('июнь 2023'!$G$4:$G$886,'июнь 2023'!$D$4:$D$886,$B79,'июнь 2023'!$J$4:$J$886,F$1)</f>
        <v>0</v>
      </c>
      <c r="G79" s="207">
        <f>SUMIFS('июнь 2023'!$G$4:$G$886,'июнь 2023'!$D$4:$D$886,$B79,'июнь 2023'!$J$4:$J$886,G$1)</f>
        <v>0</v>
      </c>
      <c r="H79" s="207">
        <f>SUMIFS('июнь 2023'!$G$4:$G$886,'июнь 2023'!$D$4:$D$886,$B79,'июнь 2023'!$J$4:$J$886,H$1)</f>
        <v>0</v>
      </c>
      <c r="I79" s="207">
        <f>SUMIFS('июнь 2023'!$G$4:$G$886,'июнь 2023'!$D$4:$D$886,$B79,'июнь 2023'!$J$4:$J$886,I$1)</f>
        <v>0</v>
      </c>
      <c r="J79" s="207">
        <f>SUMIFS('июнь 2023'!$G$4:$G$886,'июнь 2023'!$D$4:$D$886,$B79,'июнь 2023'!$J$4:$J$886,J$1)</f>
        <v>0</v>
      </c>
      <c r="K79" s="207">
        <f>SUMIFS('июнь 2023'!$G$4:$G$886,'июнь 2023'!$D$4:$D$886,$B79,'июнь 2023'!$J$4:$J$886,K$1)</f>
        <v>0</v>
      </c>
      <c r="L79" s="207">
        <f>SUMIFS('июнь 2023'!$G$4:$G$886,'июнь 2023'!$D$4:$D$886,$B79,'июнь 2023'!$J$4:$J$886,L$1)</f>
        <v>0</v>
      </c>
      <c r="M79" s="207">
        <f>SUMIFS('июнь 2023'!$G$4:$G$886,'июнь 2023'!$D$4:$D$886,$B79,'июнь 2023'!$J$4:$J$886,M$1)</f>
        <v>0</v>
      </c>
      <c r="N79" s="207">
        <f>SUMIFS('июнь 2023'!$G$4:$G$886,'июнь 2023'!$D$4:$D$886,$B79,'июнь 2023'!$J$4:$J$886,N$1)</f>
        <v>0</v>
      </c>
      <c r="O79" s="207">
        <f>SUMIFS('июнь 2023'!$G$4:$G$886,'июнь 2023'!$D$4:$D$886,$B79,'июнь 2023'!$J$4:$J$886,O$1)</f>
        <v>0</v>
      </c>
      <c r="P79" s="207">
        <f>SUMIFS('июнь 2023'!$G$4:$G$886,'июнь 2023'!$D$4:$D$886,$B79,'июнь 2023'!$J$4:$J$886,P$1)</f>
        <v>0</v>
      </c>
      <c r="Q79" s="207">
        <f>SUMIFS('июнь 2023'!$G$4:$G$886,'июнь 2023'!$D$4:$D$886,$B79,'июнь 2023'!$J$4:$J$886,Q$1)</f>
        <v>0</v>
      </c>
      <c r="R79" s="207">
        <f>SUMIFS('июнь 2023'!$G$4:$G$886,'июнь 2023'!$D$4:$D$886,$B79,'июнь 2023'!$J$4:$J$886,R$1)</f>
        <v>0</v>
      </c>
      <c r="S79" s="207">
        <f>SUMIFS('июнь 2023'!$G$4:$G$886,'июнь 2023'!$D$4:$D$886,$B79,'июнь 2023'!$J$4:$J$886,S$1)</f>
        <v>0</v>
      </c>
      <c r="T79" s="207">
        <f>SUMIFS('июнь 2023'!$G$4:$G$886,'июнь 2023'!$D$4:$D$886,$B79,'июнь 2023'!$J$4:$J$886,T$1)</f>
        <v>0</v>
      </c>
      <c r="U79" s="207">
        <f>SUMIFS('июнь 2023'!$G$4:$G$886,'июнь 2023'!$D$4:$D$886,$B79,'июнь 2023'!$J$4:$J$886,U$1)</f>
        <v>0</v>
      </c>
      <c r="V79" s="207">
        <f>SUMIFS('июнь 2023'!$G$4:$G$886,'июнь 2023'!$D$4:$D$886,$B79,'июнь 2023'!$J$4:$J$886,V$1)</f>
        <v>0</v>
      </c>
      <c r="W79" s="207">
        <f>SUMIFS('июнь 2023'!$G$4:$G$886,'июнь 2023'!$D$4:$D$886,$B79,'июнь 2023'!$J$4:$J$886,W$1)</f>
        <v>0</v>
      </c>
      <c r="X79" s="207">
        <f>SUMIFS('июнь 2023'!$G$4:$G$886,'июнь 2023'!$D$4:$D$886,$B79,'июнь 2023'!$J$4:$J$886,X$1)</f>
        <v>0</v>
      </c>
      <c r="Y79" s="207">
        <f>SUMIFS('июнь 2023'!$G$4:$G$886,'июнь 2023'!$D$4:$D$886,$B79,'июнь 2023'!$J$4:$J$886,Y$1)</f>
        <v>0</v>
      </c>
      <c r="Z79" s="207">
        <f>SUMIFS('июнь 2023'!$G$4:$G$886,'июнь 2023'!$D$4:$D$886,$B79,'июнь 2023'!$J$4:$J$886,Z$1)</f>
        <v>0</v>
      </c>
      <c r="AA79" s="207">
        <f>SUMIFS('июнь 2023'!$G$4:$G$886,'июнь 2023'!$D$4:$D$886,$B79,'июнь 2023'!$J$4:$J$886,AA$1)</f>
        <v>0</v>
      </c>
      <c r="AB79" s="207">
        <f>SUMIFS('июнь 2023'!$G$4:$G$886,'июнь 2023'!$D$4:$D$886,$B79,'июнь 2023'!$J$4:$J$886,AB$1)</f>
        <v>0</v>
      </c>
      <c r="AC79" s="207">
        <f>SUMIFS('июнь 2023'!$G$4:$G$886,'июнь 2023'!$D$4:$D$886,$B79,'июнь 2023'!$J$4:$J$886,AC$1)</f>
        <v>0</v>
      </c>
      <c r="AD79" s="207">
        <f>SUMIFS('июнь 2023'!$G$4:$G$886,'июнь 2023'!$D$4:$D$886,$B79,'июнь 2023'!$J$4:$J$886,AD$1)</f>
        <v>0</v>
      </c>
      <c r="AE79" s="207">
        <f>SUMIFS('июнь 2023'!$G$4:$G$886,'июнь 2023'!$D$4:$D$886,$B79,'июнь 2023'!$J$4:$J$886,AE$1)</f>
        <v>0</v>
      </c>
      <c r="AF79" s="207">
        <f>SUMIFS('июнь 2023'!$G$4:$G$886,'июнь 2023'!$D$4:$D$886,$B79,'июнь 2023'!$J$4:$J$886,AF$1)</f>
        <v>0</v>
      </c>
      <c r="AG79" s="207">
        <f>SUMIFS('июнь 2023'!$G$4:$G$886,'июнь 2023'!$D$4:$D$886,$B79,'июнь 2023'!$J$4:$J$886,AG$1)</f>
        <v>0</v>
      </c>
      <c r="AH79" s="207">
        <f>SUMIFS('июнь 2023'!$G$4:$G$886,'июнь 2023'!$D$4:$D$886,$B79,'июнь 2023'!$J$4:$J$886,AH$1)</f>
        <v>0</v>
      </c>
      <c r="AI79" s="170">
        <f t="shared" si="2"/>
        <v>0</v>
      </c>
    </row>
    <row r="80" spans="2:35" ht="15" customHeight="1" x14ac:dyDescent="0.25">
      <c r="B80" s="212" t="s">
        <v>2189</v>
      </c>
      <c r="C80" s="211">
        <v>180</v>
      </c>
      <c r="D80" s="207">
        <f>SUMIFS('июнь 2023'!$G$4:$G$886,'июнь 2023'!$D$4:$D$886,$B80,'июнь 2023'!$J$4:$J$886,D$1)</f>
        <v>0</v>
      </c>
      <c r="E80" s="207">
        <f>SUMIFS('июнь 2023'!$G$4:$G$886,'июнь 2023'!$D$4:$D$886,$B80,'июнь 2023'!$J$4:$J$886,E$1)</f>
        <v>0</v>
      </c>
      <c r="F80" s="207">
        <f>SUMIFS('июнь 2023'!$G$4:$G$886,'июнь 2023'!$D$4:$D$886,$B80,'июнь 2023'!$J$4:$J$886,F$1)</f>
        <v>0</v>
      </c>
      <c r="G80" s="207">
        <f>SUMIFS('июнь 2023'!$G$4:$G$886,'июнь 2023'!$D$4:$D$886,$B80,'июнь 2023'!$J$4:$J$886,G$1)</f>
        <v>0</v>
      </c>
      <c r="H80" s="207">
        <f>SUMIFS('июнь 2023'!$G$4:$G$886,'июнь 2023'!$D$4:$D$886,$B80,'июнь 2023'!$J$4:$J$886,H$1)</f>
        <v>0</v>
      </c>
      <c r="I80" s="207">
        <f>SUMIFS('июнь 2023'!$G$4:$G$886,'июнь 2023'!$D$4:$D$886,$B80,'июнь 2023'!$J$4:$J$886,I$1)</f>
        <v>0</v>
      </c>
      <c r="J80" s="207">
        <f>SUMIFS('июнь 2023'!$G$4:$G$886,'июнь 2023'!$D$4:$D$886,$B80,'июнь 2023'!$J$4:$J$886,J$1)</f>
        <v>0</v>
      </c>
      <c r="K80" s="207">
        <f>SUMIFS('июнь 2023'!$G$4:$G$886,'июнь 2023'!$D$4:$D$886,$B80,'июнь 2023'!$J$4:$J$886,K$1)</f>
        <v>0</v>
      </c>
      <c r="L80" s="207">
        <f>SUMIFS('июнь 2023'!$G$4:$G$886,'июнь 2023'!$D$4:$D$886,$B80,'июнь 2023'!$J$4:$J$886,L$1)</f>
        <v>0</v>
      </c>
      <c r="M80" s="207">
        <f>SUMIFS('июнь 2023'!$G$4:$G$886,'июнь 2023'!$D$4:$D$886,$B80,'июнь 2023'!$J$4:$J$886,M$1)</f>
        <v>0</v>
      </c>
      <c r="N80" s="207">
        <f>SUMIFS('июнь 2023'!$G$4:$G$886,'июнь 2023'!$D$4:$D$886,$B80,'июнь 2023'!$J$4:$J$886,N$1)</f>
        <v>0</v>
      </c>
      <c r="O80" s="207">
        <f>SUMIFS('июнь 2023'!$G$4:$G$886,'июнь 2023'!$D$4:$D$886,$B80,'июнь 2023'!$J$4:$J$886,O$1)</f>
        <v>0</v>
      </c>
      <c r="P80" s="207">
        <f>SUMIFS('июнь 2023'!$G$4:$G$886,'июнь 2023'!$D$4:$D$886,$B80,'июнь 2023'!$J$4:$J$886,P$1)</f>
        <v>0</v>
      </c>
      <c r="Q80" s="207">
        <f>SUMIFS('июнь 2023'!$G$4:$G$886,'июнь 2023'!$D$4:$D$886,$B80,'июнь 2023'!$J$4:$J$886,Q$1)</f>
        <v>0</v>
      </c>
      <c r="R80" s="207">
        <f>SUMIFS('июнь 2023'!$G$4:$G$886,'июнь 2023'!$D$4:$D$886,$B80,'июнь 2023'!$J$4:$J$886,R$1)</f>
        <v>0</v>
      </c>
      <c r="S80" s="207">
        <f>SUMIFS('июнь 2023'!$G$4:$G$886,'июнь 2023'!$D$4:$D$886,$B80,'июнь 2023'!$J$4:$J$886,S$1)</f>
        <v>0</v>
      </c>
      <c r="T80" s="207">
        <f>SUMIFS('июнь 2023'!$G$4:$G$886,'июнь 2023'!$D$4:$D$886,$B80,'июнь 2023'!$J$4:$J$886,T$1)</f>
        <v>0</v>
      </c>
      <c r="U80" s="207">
        <f>SUMIFS('июнь 2023'!$G$4:$G$886,'июнь 2023'!$D$4:$D$886,$B80,'июнь 2023'!$J$4:$J$886,U$1)</f>
        <v>0</v>
      </c>
      <c r="V80" s="207">
        <f>SUMIFS('июнь 2023'!$G$4:$G$886,'июнь 2023'!$D$4:$D$886,$B80,'июнь 2023'!$J$4:$J$886,V$1)</f>
        <v>0</v>
      </c>
      <c r="W80" s="207">
        <f>SUMIFS('июнь 2023'!$G$4:$G$886,'июнь 2023'!$D$4:$D$886,$B80,'июнь 2023'!$J$4:$J$886,W$1)</f>
        <v>0</v>
      </c>
      <c r="X80" s="207">
        <f>SUMIFS('июнь 2023'!$G$4:$G$886,'июнь 2023'!$D$4:$D$886,$B80,'июнь 2023'!$J$4:$J$886,X$1)</f>
        <v>0</v>
      </c>
      <c r="Y80" s="207">
        <f>SUMIFS('июнь 2023'!$G$4:$G$886,'июнь 2023'!$D$4:$D$886,$B80,'июнь 2023'!$J$4:$J$886,Y$1)</f>
        <v>0</v>
      </c>
      <c r="Z80" s="207">
        <f>SUMIFS('июнь 2023'!$G$4:$G$886,'июнь 2023'!$D$4:$D$886,$B80,'июнь 2023'!$J$4:$J$886,Z$1)</f>
        <v>0</v>
      </c>
      <c r="AA80" s="207">
        <f>SUMIFS('июнь 2023'!$G$4:$G$886,'июнь 2023'!$D$4:$D$886,$B80,'июнь 2023'!$J$4:$J$886,AA$1)</f>
        <v>0</v>
      </c>
      <c r="AB80" s="207">
        <f>SUMIFS('июнь 2023'!$G$4:$G$886,'июнь 2023'!$D$4:$D$886,$B80,'июнь 2023'!$J$4:$J$886,AB$1)</f>
        <v>0</v>
      </c>
      <c r="AC80" s="207">
        <f>SUMIFS('июнь 2023'!$G$4:$G$886,'июнь 2023'!$D$4:$D$886,$B80,'июнь 2023'!$J$4:$J$886,AC$1)</f>
        <v>0</v>
      </c>
      <c r="AD80" s="207">
        <f>SUMIFS('июнь 2023'!$G$4:$G$886,'июнь 2023'!$D$4:$D$886,$B80,'июнь 2023'!$J$4:$J$886,AD$1)</f>
        <v>0</v>
      </c>
      <c r="AE80" s="207">
        <f>SUMIFS('июнь 2023'!$G$4:$G$886,'июнь 2023'!$D$4:$D$886,$B80,'июнь 2023'!$J$4:$J$886,AE$1)</f>
        <v>0</v>
      </c>
      <c r="AF80" s="207">
        <f>SUMIFS('июнь 2023'!$G$4:$G$886,'июнь 2023'!$D$4:$D$886,$B80,'июнь 2023'!$J$4:$J$886,AF$1)</f>
        <v>0</v>
      </c>
      <c r="AG80" s="207">
        <f>SUMIFS('июнь 2023'!$G$4:$G$886,'июнь 2023'!$D$4:$D$886,$B80,'июнь 2023'!$J$4:$J$886,AG$1)</f>
        <v>0</v>
      </c>
      <c r="AH80" s="207">
        <f>SUMIFS('июнь 2023'!$G$4:$G$886,'июнь 2023'!$D$4:$D$886,$B80,'июнь 2023'!$J$4:$J$886,AH$1)</f>
        <v>0</v>
      </c>
      <c r="AI80" s="170">
        <f t="shared" si="2"/>
        <v>0</v>
      </c>
    </row>
    <row r="81" spans="2:35" ht="15" customHeight="1" x14ac:dyDescent="0.25">
      <c r="B81" s="217" t="s">
        <v>857</v>
      </c>
      <c r="C81" s="213">
        <v>185</v>
      </c>
      <c r="D81" s="207">
        <f>SUMIFS('июнь 2023'!$G$4:$G$886,'июнь 2023'!$D$4:$D$886,$B81,'июнь 2023'!$J$4:$J$886,D$1)</f>
        <v>0</v>
      </c>
      <c r="E81" s="207">
        <f>SUMIFS('июнь 2023'!$G$4:$G$886,'июнь 2023'!$D$4:$D$886,$B81,'июнь 2023'!$J$4:$J$886,E$1)</f>
        <v>0</v>
      </c>
      <c r="F81" s="207">
        <f>SUMIFS('июнь 2023'!$G$4:$G$886,'июнь 2023'!$D$4:$D$886,$B81,'июнь 2023'!$J$4:$J$886,F$1)</f>
        <v>0</v>
      </c>
      <c r="G81" s="207">
        <f>SUMIFS('июнь 2023'!$G$4:$G$886,'июнь 2023'!$D$4:$D$886,$B81,'июнь 2023'!$J$4:$J$886,G$1)</f>
        <v>0</v>
      </c>
      <c r="H81" s="207">
        <f>SUMIFS('июнь 2023'!$G$4:$G$886,'июнь 2023'!$D$4:$D$886,$B81,'июнь 2023'!$J$4:$J$886,H$1)</f>
        <v>0</v>
      </c>
      <c r="I81" s="207">
        <f>SUMIFS('июнь 2023'!$G$4:$G$886,'июнь 2023'!$D$4:$D$886,$B81,'июнь 2023'!$J$4:$J$886,I$1)</f>
        <v>0</v>
      </c>
      <c r="J81" s="207">
        <f>SUMIFS('июнь 2023'!$G$4:$G$886,'июнь 2023'!$D$4:$D$886,$B81,'июнь 2023'!$J$4:$J$886,J$1)</f>
        <v>0</v>
      </c>
      <c r="K81" s="207">
        <f>SUMIFS('июнь 2023'!$G$4:$G$886,'июнь 2023'!$D$4:$D$886,$B81,'июнь 2023'!$J$4:$J$886,K$1)</f>
        <v>0</v>
      </c>
      <c r="L81" s="207">
        <f>SUMIFS('июнь 2023'!$G$4:$G$886,'июнь 2023'!$D$4:$D$886,$B81,'июнь 2023'!$J$4:$J$886,L$1)</f>
        <v>0</v>
      </c>
      <c r="M81" s="207">
        <f>SUMIFS('июнь 2023'!$G$4:$G$886,'июнь 2023'!$D$4:$D$886,$B81,'июнь 2023'!$J$4:$J$886,M$1)</f>
        <v>0</v>
      </c>
      <c r="N81" s="207">
        <f>SUMIFS('июнь 2023'!$G$4:$G$886,'июнь 2023'!$D$4:$D$886,$B81,'июнь 2023'!$J$4:$J$886,N$1)</f>
        <v>0</v>
      </c>
      <c r="O81" s="207">
        <f>SUMIFS('июнь 2023'!$G$4:$G$886,'июнь 2023'!$D$4:$D$886,$B81,'июнь 2023'!$J$4:$J$886,O$1)</f>
        <v>0</v>
      </c>
      <c r="P81" s="207">
        <f>SUMIFS('июнь 2023'!$G$4:$G$886,'июнь 2023'!$D$4:$D$886,$B81,'июнь 2023'!$J$4:$J$886,P$1)</f>
        <v>0</v>
      </c>
      <c r="Q81" s="207">
        <f>SUMIFS('июнь 2023'!$G$4:$G$886,'июнь 2023'!$D$4:$D$886,$B81,'июнь 2023'!$J$4:$J$886,Q$1)</f>
        <v>0</v>
      </c>
      <c r="R81" s="207">
        <f>SUMIFS('июнь 2023'!$G$4:$G$886,'июнь 2023'!$D$4:$D$886,$B81,'июнь 2023'!$J$4:$J$886,R$1)</f>
        <v>0</v>
      </c>
      <c r="S81" s="207">
        <f>SUMIFS('июнь 2023'!$G$4:$G$886,'июнь 2023'!$D$4:$D$886,$B81,'июнь 2023'!$J$4:$J$886,S$1)</f>
        <v>0</v>
      </c>
      <c r="T81" s="207">
        <f>SUMIFS('июнь 2023'!$G$4:$G$886,'июнь 2023'!$D$4:$D$886,$B81,'июнь 2023'!$J$4:$J$886,T$1)</f>
        <v>0</v>
      </c>
      <c r="U81" s="207">
        <f>SUMIFS('июнь 2023'!$G$4:$G$886,'июнь 2023'!$D$4:$D$886,$B81,'июнь 2023'!$J$4:$J$886,U$1)</f>
        <v>0</v>
      </c>
      <c r="V81" s="207">
        <f>SUMIFS('июнь 2023'!$G$4:$G$886,'июнь 2023'!$D$4:$D$886,$B81,'июнь 2023'!$J$4:$J$886,V$1)</f>
        <v>0</v>
      </c>
      <c r="W81" s="207">
        <f>SUMIFS('июнь 2023'!$G$4:$G$886,'июнь 2023'!$D$4:$D$886,$B81,'июнь 2023'!$J$4:$J$886,W$1)</f>
        <v>0</v>
      </c>
      <c r="X81" s="207">
        <f>SUMIFS('июнь 2023'!$G$4:$G$886,'июнь 2023'!$D$4:$D$886,$B81,'июнь 2023'!$J$4:$J$886,X$1)</f>
        <v>0</v>
      </c>
      <c r="Y81" s="207">
        <f>SUMIFS('июнь 2023'!$G$4:$G$886,'июнь 2023'!$D$4:$D$886,$B81,'июнь 2023'!$J$4:$J$886,Y$1)</f>
        <v>0</v>
      </c>
      <c r="Z81" s="207">
        <f>SUMIFS('июнь 2023'!$G$4:$G$886,'июнь 2023'!$D$4:$D$886,$B81,'июнь 2023'!$J$4:$J$886,Z$1)</f>
        <v>0</v>
      </c>
      <c r="AA81" s="207">
        <f>SUMIFS('июнь 2023'!$G$4:$G$886,'июнь 2023'!$D$4:$D$886,$B81,'июнь 2023'!$J$4:$J$886,AA$1)</f>
        <v>0</v>
      </c>
      <c r="AB81" s="207">
        <f>SUMIFS('июнь 2023'!$G$4:$G$886,'июнь 2023'!$D$4:$D$886,$B81,'июнь 2023'!$J$4:$J$886,AB$1)</f>
        <v>0</v>
      </c>
      <c r="AC81" s="207">
        <f>SUMIFS('июнь 2023'!$G$4:$G$886,'июнь 2023'!$D$4:$D$886,$B81,'июнь 2023'!$J$4:$J$886,AC$1)</f>
        <v>0</v>
      </c>
      <c r="AD81" s="207">
        <f>SUMIFS('июнь 2023'!$G$4:$G$886,'июнь 2023'!$D$4:$D$886,$B81,'июнь 2023'!$J$4:$J$886,AD$1)</f>
        <v>0</v>
      </c>
      <c r="AE81" s="207">
        <f>SUMIFS('июнь 2023'!$G$4:$G$886,'июнь 2023'!$D$4:$D$886,$B81,'июнь 2023'!$J$4:$J$886,AE$1)</f>
        <v>0</v>
      </c>
      <c r="AF81" s="207">
        <f>SUMIFS('июнь 2023'!$G$4:$G$886,'июнь 2023'!$D$4:$D$886,$B81,'июнь 2023'!$J$4:$J$886,AF$1)</f>
        <v>0</v>
      </c>
      <c r="AG81" s="207">
        <f>SUMIFS('июнь 2023'!$G$4:$G$886,'июнь 2023'!$D$4:$D$886,$B81,'июнь 2023'!$J$4:$J$886,AG$1)</f>
        <v>0</v>
      </c>
      <c r="AH81" s="207">
        <f>SUMIFS('июнь 2023'!$G$4:$G$886,'июнь 2023'!$D$4:$D$886,$B81,'июнь 2023'!$J$4:$J$886,AH$1)</f>
        <v>0</v>
      </c>
      <c r="AI81" s="170">
        <f t="shared" si="2"/>
        <v>0</v>
      </c>
    </row>
    <row r="82" spans="2:35" ht="15" customHeight="1" x14ac:dyDescent="0.25">
      <c r="B82" s="212" t="s">
        <v>2190</v>
      </c>
      <c r="C82" s="213">
        <v>180</v>
      </c>
      <c r="D82" s="207">
        <f>SUMIFS('июнь 2023'!$G$4:$G$886,'июнь 2023'!$D$4:$D$886,$B82,'июнь 2023'!$J$4:$J$886,D$1)</f>
        <v>0</v>
      </c>
      <c r="E82" s="207">
        <f>SUMIFS('июнь 2023'!$G$4:$G$886,'июнь 2023'!$D$4:$D$886,$B82,'июнь 2023'!$J$4:$J$886,E$1)</f>
        <v>0</v>
      </c>
      <c r="F82" s="207">
        <f>SUMIFS('июнь 2023'!$G$4:$G$886,'июнь 2023'!$D$4:$D$886,$B82,'июнь 2023'!$J$4:$J$886,F$1)</f>
        <v>0</v>
      </c>
      <c r="G82" s="207">
        <f>SUMIFS('июнь 2023'!$G$4:$G$886,'июнь 2023'!$D$4:$D$886,$B82,'июнь 2023'!$J$4:$J$886,G$1)</f>
        <v>0</v>
      </c>
      <c r="H82" s="207">
        <f>SUMIFS('июнь 2023'!$G$4:$G$886,'июнь 2023'!$D$4:$D$886,$B82,'июнь 2023'!$J$4:$J$886,H$1)</f>
        <v>0</v>
      </c>
      <c r="I82" s="207">
        <f>SUMIFS('июнь 2023'!$G$4:$G$886,'июнь 2023'!$D$4:$D$886,$B82,'июнь 2023'!$J$4:$J$886,I$1)</f>
        <v>0</v>
      </c>
      <c r="J82" s="207">
        <f>SUMIFS('июнь 2023'!$G$4:$G$886,'июнь 2023'!$D$4:$D$886,$B82,'июнь 2023'!$J$4:$J$886,J$1)</f>
        <v>0</v>
      </c>
      <c r="K82" s="207">
        <f>SUMIFS('июнь 2023'!$G$4:$G$886,'июнь 2023'!$D$4:$D$886,$B82,'июнь 2023'!$J$4:$J$886,K$1)</f>
        <v>0</v>
      </c>
      <c r="L82" s="207">
        <f>SUMIFS('июнь 2023'!$G$4:$G$886,'июнь 2023'!$D$4:$D$886,$B82,'июнь 2023'!$J$4:$J$886,L$1)</f>
        <v>0</v>
      </c>
      <c r="M82" s="207">
        <f>SUMIFS('июнь 2023'!$G$4:$G$886,'июнь 2023'!$D$4:$D$886,$B82,'июнь 2023'!$J$4:$J$886,M$1)</f>
        <v>0</v>
      </c>
      <c r="N82" s="207">
        <f>SUMIFS('июнь 2023'!$G$4:$G$886,'июнь 2023'!$D$4:$D$886,$B82,'июнь 2023'!$J$4:$J$886,N$1)</f>
        <v>0</v>
      </c>
      <c r="O82" s="207">
        <f>SUMIFS('июнь 2023'!$G$4:$G$886,'июнь 2023'!$D$4:$D$886,$B82,'июнь 2023'!$J$4:$J$886,O$1)</f>
        <v>0</v>
      </c>
      <c r="P82" s="207">
        <f>SUMIFS('июнь 2023'!$G$4:$G$886,'июнь 2023'!$D$4:$D$886,$B82,'июнь 2023'!$J$4:$J$886,P$1)</f>
        <v>0</v>
      </c>
      <c r="Q82" s="207">
        <f>SUMIFS('июнь 2023'!$G$4:$G$886,'июнь 2023'!$D$4:$D$886,$B82,'июнь 2023'!$J$4:$J$886,Q$1)</f>
        <v>0</v>
      </c>
      <c r="R82" s="207">
        <f>SUMIFS('июнь 2023'!$G$4:$G$886,'июнь 2023'!$D$4:$D$886,$B82,'июнь 2023'!$J$4:$J$886,R$1)</f>
        <v>0</v>
      </c>
      <c r="S82" s="207">
        <f>SUMIFS('июнь 2023'!$G$4:$G$886,'июнь 2023'!$D$4:$D$886,$B82,'июнь 2023'!$J$4:$J$886,S$1)</f>
        <v>0</v>
      </c>
      <c r="T82" s="207">
        <f>SUMIFS('июнь 2023'!$G$4:$G$886,'июнь 2023'!$D$4:$D$886,$B82,'июнь 2023'!$J$4:$J$886,T$1)</f>
        <v>0</v>
      </c>
      <c r="U82" s="207">
        <f>SUMIFS('июнь 2023'!$G$4:$G$886,'июнь 2023'!$D$4:$D$886,$B82,'июнь 2023'!$J$4:$J$886,U$1)</f>
        <v>0</v>
      </c>
      <c r="V82" s="207">
        <f>SUMIFS('июнь 2023'!$G$4:$G$886,'июнь 2023'!$D$4:$D$886,$B82,'июнь 2023'!$J$4:$J$886,V$1)</f>
        <v>0</v>
      </c>
      <c r="W82" s="207">
        <f>SUMIFS('июнь 2023'!$G$4:$G$886,'июнь 2023'!$D$4:$D$886,$B82,'июнь 2023'!$J$4:$J$886,W$1)</f>
        <v>0</v>
      </c>
      <c r="X82" s="207">
        <f>SUMIFS('июнь 2023'!$G$4:$G$886,'июнь 2023'!$D$4:$D$886,$B82,'июнь 2023'!$J$4:$J$886,X$1)</f>
        <v>0</v>
      </c>
      <c r="Y82" s="207">
        <f>SUMIFS('июнь 2023'!$G$4:$G$886,'июнь 2023'!$D$4:$D$886,$B82,'июнь 2023'!$J$4:$J$886,Y$1)</f>
        <v>0</v>
      </c>
      <c r="Z82" s="207">
        <f>SUMIFS('июнь 2023'!$G$4:$G$886,'июнь 2023'!$D$4:$D$886,$B82,'июнь 2023'!$J$4:$J$886,Z$1)</f>
        <v>0</v>
      </c>
      <c r="AA82" s="207">
        <f>SUMIFS('июнь 2023'!$G$4:$G$886,'июнь 2023'!$D$4:$D$886,$B82,'июнь 2023'!$J$4:$J$886,AA$1)</f>
        <v>0</v>
      </c>
      <c r="AB82" s="207">
        <f>SUMIFS('июнь 2023'!$G$4:$G$886,'июнь 2023'!$D$4:$D$886,$B82,'июнь 2023'!$J$4:$J$886,AB$1)</f>
        <v>0</v>
      </c>
      <c r="AC82" s="207">
        <f>SUMIFS('июнь 2023'!$G$4:$G$886,'июнь 2023'!$D$4:$D$886,$B82,'июнь 2023'!$J$4:$J$886,AC$1)</f>
        <v>0</v>
      </c>
      <c r="AD82" s="207">
        <f>SUMIFS('июнь 2023'!$G$4:$G$886,'июнь 2023'!$D$4:$D$886,$B82,'июнь 2023'!$J$4:$J$886,AD$1)</f>
        <v>0</v>
      </c>
      <c r="AE82" s="207">
        <f>SUMIFS('июнь 2023'!$G$4:$G$886,'июнь 2023'!$D$4:$D$886,$B82,'июнь 2023'!$J$4:$J$886,AE$1)</f>
        <v>0</v>
      </c>
      <c r="AF82" s="207">
        <f>SUMIFS('июнь 2023'!$G$4:$G$886,'июнь 2023'!$D$4:$D$886,$B82,'июнь 2023'!$J$4:$J$886,AF$1)</f>
        <v>0</v>
      </c>
      <c r="AG82" s="207">
        <f>SUMIFS('июнь 2023'!$G$4:$G$886,'июнь 2023'!$D$4:$D$886,$B82,'июнь 2023'!$J$4:$J$886,AG$1)</f>
        <v>0</v>
      </c>
      <c r="AH82" s="207">
        <f>SUMIFS('июнь 2023'!$G$4:$G$886,'июнь 2023'!$D$4:$D$886,$B82,'июнь 2023'!$J$4:$J$886,AH$1)</f>
        <v>0</v>
      </c>
      <c r="AI82" s="170">
        <f t="shared" si="2"/>
        <v>0</v>
      </c>
    </row>
    <row r="83" spans="2:35" ht="15" customHeight="1" x14ac:dyDescent="0.25">
      <c r="B83" s="212" t="s">
        <v>371</v>
      </c>
      <c r="C83" s="211">
        <v>200</v>
      </c>
      <c r="D83" s="207">
        <f>SUMIFS('июнь 2023'!$G$4:$G$886,'июнь 2023'!$D$4:$D$886,$B83,'июнь 2023'!$J$4:$J$886,D$1)</f>
        <v>0</v>
      </c>
      <c r="E83" s="207">
        <f>SUMIFS('июнь 2023'!$G$4:$G$886,'июнь 2023'!$D$4:$D$886,$B83,'июнь 2023'!$J$4:$J$886,E$1)</f>
        <v>0</v>
      </c>
      <c r="F83" s="207">
        <f>SUMIFS('июнь 2023'!$G$4:$G$886,'июнь 2023'!$D$4:$D$886,$B83,'июнь 2023'!$J$4:$J$886,F$1)</f>
        <v>0</v>
      </c>
      <c r="G83" s="207">
        <f>SUMIFS('июнь 2023'!$G$4:$G$886,'июнь 2023'!$D$4:$D$886,$B83,'июнь 2023'!$J$4:$J$886,G$1)</f>
        <v>0</v>
      </c>
      <c r="H83" s="207">
        <f>SUMIFS('июнь 2023'!$G$4:$G$886,'июнь 2023'!$D$4:$D$886,$B83,'июнь 2023'!$J$4:$J$886,H$1)</f>
        <v>0</v>
      </c>
      <c r="I83" s="207">
        <f>SUMIFS('июнь 2023'!$G$4:$G$886,'июнь 2023'!$D$4:$D$886,$B83,'июнь 2023'!$J$4:$J$886,I$1)</f>
        <v>0</v>
      </c>
      <c r="J83" s="207">
        <f>SUMIFS('июнь 2023'!$G$4:$G$886,'июнь 2023'!$D$4:$D$886,$B83,'июнь 2023'!$J$4:$J$886,J$1)</f>
        <v>88</v>
      </c>
      <c r="K83" s="207">
        <f>SUMIFS('июнь 2023'!$G$4:$G$886,'июнь 2023'!$D$4:$D$886,$B83,'июнь 2023'!$J$4:$J$886,K$1)</f>
        <v>0</v>
      </c>
      <c r="L83" s="207">
        <f>SUMIFS('июнь 2023'!$G$4:$G$886,'июнь 2023'!$D$4:$D$886,$B83,'июнь 2023'!$J$4:$J$886,L$1)</f>
        <v>0</v>
      </c>
      <c r="M83" s="207">
        <f>SUMIFS('июнь 2023'!$G$4:$G$886,'июнь 2023'!$D$4:$D$886,$B83,'июнь 2023'!$J$4:$J$886,M$1)</f>
        <v>0</v>
      </c>
      <c r="N83" s="207">
        <f>SUMIFS('июнь 2023'!$G$4:$G$886,'июнь 2023'!$D$4:$D$886,$B83,'июнь 2023'!$J$4:$J$886,N$1)</f>
        <v>0</v>
      </c>
      <c r="O83" s="207">
        <f>SUMIFS('июнь 2023'!$G$4:$G$886,'июнь 2023'!$D$4:$D$886,$B83,'июнь 2023'!$J$4:$J$886,O$1)</f>
        <v>0</v>
      </c>
      <c r="P83" s="207">
        <f>SUMIFS('июнь 2023'!$G$4:$G$886,'июнь 2023'!$D$4:$D$886,$B83,'июнь 2023'!$J$4:$J$886,P$1)</f>
        <v>0</v>
      </c>
      <c r="Q83" s="207">
        <f>SUMIFS('июнь 2023'!$G$4:$G$886,'июнь 2023'!$D$4:$D$886,$B83,'июнь 2023'!$J$4:$J$886,Q$1)</f>
        <v>0</v>
      </c>
      <c r="R83" s="207">
        <f>SUMIFS('июнь 2023'!$G$4:$G$886,'июнь 2023'!$D$4:$D$886,$B83,'июнь 2023'!$J$4:$J$886,R$1)</f>
        <v>0</v>
      </c>
      <c r="S83" s="207">
        <f>SUMIFS('июнь 2023'!$G$4:$G$886,'июнь 2023'!$D$4:$D$886,$B83,'июнь 2023'!$J$4:$J$886,S$1)</f>
        <v>0</v>
      </c>
      <c r="T83" s="207">
        <f>SUMIFS('июнь 2023'!$G$4:$G$886,'июнь 2023'!$D$4:$D$886,$B83,'июнь 2023'!$J$4:$J$886,T$1)</f>
        <v>0</v>
      </c>
      <c r="U83" s="207">
        <f>SUMIFS('июнь 2023'!$G$4:$G$886,'июнь 2023'!$D$4:$D$886,$B83,'июнь 2023'!$J$4:$J$886,U$1)</f>
        <v>0</v>
      </c>
      <c r="V83" s="207">
        <f>SUMIFS('июнь 2023'!$G$4:$G$886,'июнь 2023'!$D$4:$D$886,$B83,'июнь 2023'!$J$4:$J$886,V$1)</f>
        <v>0</v>
      </c>
      <c r="W83" s="207">
        <f>SUMIFS('июнь 2023'!$G$4:$G$886,'июнь 2023'!$D$4:$D$886,$B83,'июнь 2023'!$J$4:$J$886,W$1)</f>
        <v>0</v>
      </c>
      <c r="X83" s="207">
        <f>SUMIFS('июнь 2023'!$G$4:$G$886,'июнь 2023'!$D$4:$D$886,$B83,'июнь 2023'!$J$4:$J$886,X$1)</f>
        <v>0</v>
      </c>
      <c r="Y83" s="207">
        <f>SUMIFS('июнь 2023'!$G$4:$G$886,'июнь 2023'!$D$4:$D$886,$B83,'июнь 2023'!$J$4:$J$886,Y$1)</f>
        <v>0</v>
      </c>
      <c r="Z83" s="207">
        <f>SUMIFS('июнь 2023'!$G$4:$G$886,'июнь 2023'!$D$4:$D$886,$B83,'июнь 2023'!$J$4:$J$886,Z$1)</f>
        <v>0</v>
      </c>
      <c r="AA83" s="207">
        <f>SUMIFS('июнь 2023'!$G$4:$G$886,'июнь 2023'!$D$4:$D$886,$B83,'июнь 2023'!$J$4:$J$886,AA$1)</f>
        <v>0</v>
      </c>
      <c r="AB83" s="207">
        <f>SUMIFS('июнь 2023'!$G$4:$G$886,'июнь 2023'!$D$4:$D$886,$B83,'июнь 2023'!$J$4:$J$886,AB$1)</f>
        <v>0</v>
      </c>
      <c r="AC83" s="207">
        <f>SUMIFS('июнь 2023'!$G$4:$G$886,'июнь 2023'!$D$4:$D$886,$B83,'июнь 2023'!$J$4:$J$886,AC$1)</f>
        <v>0</v>
      </c>
      <c r="AD83" s="207">
        <f>SUMIFS('июнь 2023'!$G$4:$G$886,'июнь 2023'!$D$4:$D$886,$B83,'июнь 2023'!$J$4:$J$886,AD$1)</f>
        <v>0</v>
      </c>
      <c r="AE83" s="207">
        <f>SUMIFS('июнь 2023'!$G$4:$G$886,'июнь 2023'!$D$4:$D$886,$B83,'июнь 2023'!$J$4:$J$886,AE$1)</f>
        <v>0</v>
      </c>
      <c r="AF83" s="207">
        <f>SUMIFS('июнь 2023'!$G$4:$G$886,'июнь 2023'!$D$4:$D$886,$B83,'июнь 2023'!$J$4:$J$886,AF$1)</f>
        <v>0</v>
      </c>
      <c r="AG83" s="207">
        <f>SUMIFS('июнь 2023'!$G$4:$G$886,'июнь 2023'!$D$4:$D$886,$B83,'июнь 2023'!$J$4:$J$886,AG$1)</f>
        <v>0</v>
      </c>
      <c r="AH83" s="207">
        <f>SUMIFS('июнь 2023'!$G$4:$G$886,'июнь 2023'!$D$4:$D$886,$B83,'июнь 2023'!$J$4:$J$886,AH$1)</f>
        <v>0</v>
      </c>
      <c r="AI83" s="170">
        <f t="shared" si="2"/>
        <v>88</v>
      </c>
    </row>
    <row r="84" spans="2:35" ht="15" customHeight="1" x14ac:dyDescent="0.25">
      <c r="B84" s="212" t="s">
        <v>1608</v>
      </c>
      <c r="C84" s="211">
        <v>950</v>
      </c>
      <c r="D84" s="207">
        <f>SUMIFS('июнь 2023'!$G$4:$G$886,'июнь 2023'!$D$4:$D$886,$B84,'июнь 2023'!$J$4:$J$886,D$1)</f>
        <v>0</v>
      </c>
      <c r="E84" s="207">
        <f>SUMIFS('июнь 2023'!$G$4:$G$886,'июнь 2023'!$D$4:$D$886,$B84,'июнь 2023'!$J$4:$J$886,E$1)</f>
        <v>0</v>
      </c>
      <c r="F84" s="207">
        <f>SUMIFS('июнь 2023'!$G$4:$G$886,'июнь 2023'!$D$4:$D$886,$B84,'июнь 2023'!$J$4:$J$886,F$1)</f>
        <v>0</v>
      </c>
      <c r="G84" s="207">
        <f>SUMIFS('июнь 2023'!$G$4:$G$886,'июнь 2023'!$D$4:$D$886,$B84,'июнь 2023'!$J$4:$J$886,G$1)</f>
        <v>0</v>
      </c>
      <c r="H84" s="207">
        <f>SUMIFS('июнь 2023'!$G$4:$G$886,'июнь 2023'!$D$4:$D$886,$B84,'июнь 2023'!$J$4:$J$886,H$1)</f>
        <v>0</v>
      </c>
      <c r="I84" s="207">
        <f>SUMIFS('июнь 2023'!$G$4:$G$886,'июнь 2023'!$D$4:$D$886,$B84,'июнь 2023'!$J$4:$J$886,I$1)</f>
        <v>0</v>
      </c>
      <c r="J84" s="207">
        <f>SUMIFS('июнь 2023'!$G$4:$G$886,'июнь 2023'!$D$4:$D$886,$B84,'июнь 2023'!$J$4:$J$886,J$1)</f>
        <v>0</v>
      </c>
      <c r="K84" s="207">
        <f>SUMIFS('июнь 2023'!$G$4:$G$886,'июнь 2023'!$D$4:$D$886,$B84,'июнь 2023'!$J$4:$J$886,K$1)</f>
        <v>0</v>
      </c>
      <c r="L84" s="207">
        <f>SUMIFS('июнь 2023'!$G$4:$G$886,'июнь 2023'!$D$4:$D$886,$B84,'июнь 2023'!$J$4:$J$886,L$1)</f>
        <v>0</v>
      </c>
      <c r="M84" s="207">
        <f>SUMIFS('июнь 2023'!$G$4:$G$886,'июнь 2023'!$D$4:$D$886,$B84,'июнь 2023'!$J$4:$J$886,M$1)</f>
        <v>0</v>
      </c>
      <c r="N84" s="207">
        <f>SUMIFS('июнь 2023'!$G$4:$G$886,'июнь 2023'!$D$4:$D$886,$B84,'июнь 2023'!$J$4:$J$886,N$1)</f>
        <v>0</v>
      </c>
      <c r="O84" s="207">
        <f>SUMIFS('июнь 2023'!$G$4:$G$886,'июнь 2023'!$D$4:$D$886,$B84,'июнь 2023'!$J$4:$J$886,O$1)</f>
        <v>0</v>
      </c>
      <c r="P84" s="207">
        <f>SUMIFS('июнь 2023'!$G$4:$G$886,'июнь 2023'!$D$4:$D$886,$B84,'июнь 2023'!$J$4:$J$886,P$1)</f>
        <v>0</v>
      </c>
      <c r="Q84" s="207">
        <f>SUMIFS('июнь 2023'!$G$4:$G$886,'июнь 2023'!$D$4:$D$886,$B84,'июнь 2023'!$J$4:$J$886,Q$1)</f>
        <v>0</v>
      </c>
      <c r="R84" s="207">
        <f>SUMIFS('июнь 2023'!$G$4:$G$886,'июнь 2023'!$D$4:$D$886,$B84,'июнь 2023'!$J$4:$J$886,R$1)</f>
        <v>0</v>
      </c>
      <c r="S84" s="207">
        <f>SUMIFS('июнь 2023'!$G$4:$G$886,'июнь 2023'!$D$4:$D$886,$B84,'июнь 2023'!$J$4:$J$886,S$1)</f>
        <v>0</v>
      </c>
      <c r="T84" s="207">
        <f>SUMIFS('июнь 2023'!$G$4:$G$886,'июнь 2023'!$D$4:$D$886,$B84,'июнь 2023'!$J$4:$J$886,T$1)</f>
        <v>0</v>
      </c>
      <c r="U84" s="207">
        <f>SUMIFS('июнь 2023'!$G$4:$G$886,'июнь 2023'!$D$4:$D$886,$B84,'июнь 2023'!$J$4:$J$886,U$1)</f>
        <v>0</v>
      </c>
      <c r="V84" s="207">
        <f>SUMIFS('июнь 2023'!$G$4:$G$886,'июнь 2023'!$D$4:$D$886,$B84,'июнь 2023'!$J$4:$J$886,V$1)</f>
        <v>0</v>
      </c>
      <c r="W84" s="207">
        <f>SUMIFS('июнь 2023'!$G$4:$G$886,'июнь 2023'!$D$4:$D$886,$B84,'июнь 2023'!$J$4:$J$886,W$1)</f>
        <v>0</v>
      </c>
      <c r="X84" s="207">
        <f>SUMIFS('июнь 2023'!$G$4:$G$886,'июнь 2023'!$D$4:$D$886,$B84,'июнь 2023'!$J$4:$J$886,X$1)</f>
        <v>0</v>
      </c>
      <c r="Y84" s="207">
        <f>SUMIFS('июнь 2023'!$G$4:$G$886,'июнь 2023'!$D$4:$D$886,$B84,'июнь 2023'!$J$4:$J$886,Y$1)</f>
        <v>0</v>
      </c>
      <c r="Z84" s="207">
        <f>SUMIFS('июнь 2023'!$G$4:$G$886,'июнь 2023'!$D$4:$D$886,$B84,'июнь 2023'!$J$4:$J$886,Z$1)</f>
        <v>0</v>
      </c>
      <c r="AA84" s="207">
        <f>SUMIFS('июнь 2023'!$G$4:$G$886,'июнь 2023'!$D$4:$D$886,$B84,'июнь 2023'!$J$4:$J$886,AA$1)</f>
        <v>0</v>
      </c>
      <c r="AB84" s="207">
        <f>SUMIFS('июнь 2023'!$G$4:$G$886,'июнь 2023'!$D$4:$D$886,$B84,'июнь 2023'!$J$4:$J$886,AB$1)</f>
        <v>0</v>
      </c>
      <c r="AC84" s="207">
        <f>SUMIFS('июнь 2023'!$G$4:$G$886,'июнь 2023'!$D$4:$D$886,$B84,'июнь 2023'!$J$4:$J$886,AC$1)</f>
        <v>0</v>
      </c>
      <c r="AD84" s="207">
        <f>SUMIFS('июнь 2023'!$G$4:$G$886,'июнь 2023'!$D$4:$D$886,$B84,'июнь 2023'!$J$4:$J$886,AD$1)</f>
        <v>0</v>
      </c>
      <c r="AE84" s="207">
        <f>SUMIFS('июнь 2023'!$G$4:$G$886,'июнь 2023'!$D$4:$D$886,$B84,'июнь 2023'!$J$4:$J$886,AE$1)</f>
        <v>0</v>
      </c>
      <c r="AF84" s="207">
        <f>SUMIFS('июнь 2023'!$G$4:$G$886,'июнь 2023'!$D$4:$D$886,$B84,'июнь 2023'!$J$4:$J$886,AF$1)</f>
        <v>0</v>
      </c>
      <c r="AG84" s="207">
        <f>SUMIFS('июнь 2023'!$G$4:$G$886,'июнь 2023'!$D$4:$D$886,$B84,'июнь 2023'!$J$4:$J$886,AG$1)</f>
        <v>0</v>
      </c>
      <c r="AH84" s="207">
        <f>SUMIFS('июнь 2023'!$G$4:$G$886,'июнь 2023'!$D$4:$D$886,$B84,'июнь 2023'!$J$4:$J$886,AH$1)</f>
        <v>0</v>
      </c>
      <c r="AI84" s="170">
        <f t="shared" si="2"/>
        <v>0</v>
      </c>
    </row>
    <row r="85" spans="2:35" ht="15" customHeight="1" x14ac:dyDescent="0.25">
      <c r="B85" s="212" t="s">
        <v>468</v>
      </c>
      <c r="C85" s="211">
        <v>180</v>
      </c>
      <c r="D85" s="207">
        <f>SUMIFS('июнь 2023'!$G$4:$G$886,'июнь 2023'!$D$4:$D$886,$B85,'июнь 2023'!$J$4:$J$886,D$1)</f>
        <v>0</v>
      </c>
      <c r="E85" s="207">
        <f>SUMIFS('июнь 2023'!$G$4:$G$886,'июнь 2023'!$D$4:$D$886,$B85,'июнь 2023'!$J$4:$J$886,E$1)</f>
        <v>0</v>
      </c>
      <c r="F85" s="207">
        <f>SUMIFS('июнь 2023'!$G$4:$G$886,'июнь 2023'!$D$4:$D$886,$B85,'июнь 2023'!$J$4:$J$886,F$1)</f>
        <v>0</v>
      </c>
      <c r="G85" s="207">
        <f>SUMIFS('июнь 2023'!$G$4:$G$886,'июнь 2023'!$D$4:$D$886,$B85,'июнь 2023'!$J$4:$J$886,G$1)</f>
        <v>0</v>
      </c>
      <c r="H85" s="207">
        <f>SUMIFS('июнь 2023'!$G$4:$G$886,'июнь 2023'!$D$4:$D$886,$B85,'июнь 2023'!$J$4:$J$886,H$1)</f>
        <v>0</v>
      </c>
      <c r="I85" s="207">
        <f>SUMIFS('июнь 2023'!$G$4:$G$886,'июнь 2023'!$D$4:$D$886,$B85,'июнь 2023'!$J$4:$J$886,I$1)</f>
        <v>0</v>
      </c>
      <c r="J85" s="207">
        <f>SUMIFS('июнь 2023'!$G$4:$G$886,'июнь 2023'!$D$4:$D$886,$B85,'июнь 2023'!$J$4:$J$886,J$1)</f>
        <v>0</v>
      </c>
      <c r="K85" s="207">
        <f>SUMIFS('июнь 2023'!$G$4:$G$886,'июнь 2023'!$D$4:$D$886,$B85,'июнь 2023'!$J$4:$J$886,K$1)</f>
        <v>0</v>
      </c>
      <c r="L85" s="207">
        <f>SUMIFS('июнь 2023'!$G$4:$G$886,'июнь 2023'!$D$4:$D$886,$B85,'июнь 2023'!$J$4:$J$886,L$1)</f>
        <v>0</v>
      </c>
      <c r="M85" s="207">
        <f>SUMIFS('июнь 2023'!$G$4:$G$886,'июнь 2023'!$D$4:$D$886,$B85,'июнь 2023'!$J$4:$J$886,M$1)</f>
        <v>0</v>
      </c>
      <c r="N85" s="207">
        <f>SUMIFS('июнь 2023'!$G$4:$G$886,'июнь 2023'!$D$4:$D$886,$B85,'июнь 2023'!$J$4:$J$886,N$1)</f>
        <v>0</v>
      </c>
      <c r="O85" s="207">
        <f>SUMIFS('июнь 2023'!$G$4:$G$886,'июнь 2023'!$D$4:$D$886,$B85,'июнь 2023'!$J$4:$J$886,O$1)</f>
        <v>0</v>
      </c>
      <c r="P85" s="207">
        <f>SUMIFS('июнь 2023'!$G$4:$G$886,'июнь 2023'!$D$4:$D$886,$B85,'июнь 2023'!$J$4:$J$886,P$1)</f>
        <v>0</v>
      </c>
      <c r="Q85" s="207">
        <f>SUMIFS('июнь 2023'!$G$4:$G$886,'июнь 2023'!$D$4:$D$886,$B85,'июнь 2023'!$J$4:$J$886,Q$1)</f>
        <v>0</v>
      </c>
      <c r="R85" s="207">
        <f>SUMIFS('июнь 2023'!$G$4:$G$886,'июнь 2023'!$D$4:$D$886,$B85,'июнь 2023'!$J$4:$J$886,R$1)</f>
        <v>0</v>
      </c>
      <c r="S85" s="207">
        <f>SUMIFS('июнь 2023'!$G$4:$G$886,'июнь 2023'!$D$4:$D$886,$B85,'июнь 2023'!$J$4:$J$886,S$1)</f>
        <v>0</v>
      </c>
      <c r="T85" s="207">
        <f>SUMIFS('июнь 2023'!$G$4:$G$886,'июнь 2023'!$D$4:$D$886,$B85,'июнь 2023'!$J$4:$J$886,T$1)</f>
        <v>0</v>
      </c>
      <c r="U85" s="207">
        <f>SUMIFS('июнь 2023'!$G$4:$G$886,'июнь 2023'!$D$4:$D$886,$B85,'июнь 2023'!$J$4:$J$886,U$1)</f>
        <v>0</v>
      </c>
      <c r="V85" s="207">
        <f>SUMIFS('июнь 2023'!$G$4:$G$886,'июнь 2023'!$D$4:$D$886,$B85,'июнь 2023'!$J$4:$J$886,V$1)</f>
        <v>0</v>
      </c>
      <c r="W85" s="207">
        <f>SUMIFS('июнь 2023'!$G$4:$G$886,'июнь 2023'!$D$4:$D$886,$B85,'июнь 2023'!$J$4:$J$886,W$1)</f>
        <v>0</v>
      </c>
      <c r="X85" s="207">
        <f>SUMIFS('июнь 2023'!$G$4:$G$886,'июнь 2023'!$D$4:$D$886,$B85,'июнь 2023'!$J$4:$J$886,X$1)</f>
        <v>0</v>
      </c>
      <c r="Y85" s="207">
        <f>SUMIFS('июнь 2023'!$G$4:$G$886,'июнь 2023'!$D$4:$D$886,$B85,'июнь 2023'!$J$4:$J$886,Y$1)</f>
        <v>0</v>
      </c>
      <c r="Z85" s="207">
        <f>SUMIFS('июнь 2023'!$G$4:$G$886,'июнь 2023'!$D$4:$D$886,$B85,'июнь 2023'!$J$4:$J$886,Z$1)</f>
        <v>0</v>
      </c>
      <c r="AA85" s="207">
        <f>SUMIFS('июнь 2023'!$G$4:$G$886,'июнь 2023'!$D$4:$D$886,$B85,'июнь 2023'!$J$4:$J$886,AA$1)</f>
        <v>0</v>
      </c>
      <c r="AB85" s="207">
        <f>SUMIFS('июнь 2023'!$G$4:$G$886,'июнь 2023'!$D$4:$D$886,$B85,'июнь 2023'!$J$4:$J$886,AB$1)</f>
        <v>0</v>
      </c>
      <c r="AC85" s="207">
        <f>SUMIFS('июнь 2023'!$G$4:$G$886,'июнь 2023'!$D$4:$D$886,$B85,'июнь 2023'!$J$4:$J$886,AC$1)</f>
        <v>0</v>
      </c>
      <c r="AD85" s="207">
        <f>SUMIFS('июнь 2023'!$G$4:$G$886,'июнь 2023'!$D$4:$D$886,$B85,'июнь 2023'!$J$4:$J$886,AD$1)</f>
        <v>0</v>
      </c>
      <c r="AE85" s="207">
        <f>SUMIFS('июнь 2023'!$G$4:$G$886,'июнь 2023'!$D$4:$D$886,$B85,'июнь 2023'!$J$4:$J$886,AE$1)</f>
        <v>18</v>
      </c>
      <c r="AF85" s="207">
        <f>SUMIFS('июнь 2023'!$G$4:$G$886,'июнь 2023'!$D$4:$D$886,$B85,'июнь 2023'!$J$4:$J$886,AF$1)</f>
        <v>0</v>
      </c>
      <c r="AG85" s="207">
        <f>SUMIFS('июнь 2023'!$G$4:$G$886,'июнь 2023'!$D$4:$D$886,$B85,'июнь 2023'!$J$4:$J$886,AG$1)</f>
        <v>0</v>
      </c>
      <c r="AH85" s="207">
        <f>SUMIFS('июнь 2023'!$G$4:$G$886,'июнь 2023'!$D$4:$D$886,$B85,'июнь 2023'!$J$4:$J$886,AH$1)</f>
        <v>0</v>
      </c>
      <c r="AI85" s="170">
        <f t="shared" si="2"/>
        <v>18</v>
      </c>
    </row>
    <row r="86" spans="2:35" ht="15" customHeight="1" x14ac:dyDescent="0.25">
      <c r="B86" s="216" t="s">
        <v>1755</v>
      </c>
      <c r="C86" s="213">
        <v>200</v>
      </c>
      <c r="D86" s="207">
        <f>SUMIFS('июнь 2023'!$G$4:$G$886,'июнь 2023'!$D$4:$D$886,$B86,'июнь 2023'!$J$4:$J$886,D$1)</f>
        <v>0</v>
      </c>
      <c r="E86" s="207">
        <f>SUMIFS('июнь 2023'!$G$4:$G$886,'июнь 2023'!$D$4:$D$886,$B86,'июнь 2023'!$J$4:$J$886,E$1)</f>
        <v>0</v>
      </c>
      <c r="F86" s="207">
        <f>SUMIFS('июнь 2023'!$G$4:$G$886,'июнь 2023'!$D$4:$D$886,$B86,'июнь 2023'!$J$4:$J$886,F$1)</f>
        <v>0</v>
      </c>
      <c r="G86" s="207">
        <f>SUMIFS('июнь 2023'!$G$4:$G$886,'июнь 2023'!$D$4:$D$886,$B86,'июнь 2023'!$J$4:$J$886,G$1)</f>
        <v>0</v>
      </c>
      <c r="H86" s="207">
        <f>SUMIFS('июнь 2023'!$G$4:$G$886,'июнь 2023'!$D$4:$D$886,$B86,'июнь 2023'!$J$4:$J$886,H$1)</f>
        <v>0</v>
      </c>
      <c r="I86" s="207">
        <f>SUMIFS('июнь 2023'!$G$4:$G$886,'июнь 2023'!$D$4:$D$886,$B86,'июнь 2023'!$J$4:$J$886,I$1)</f>
        <v>0</v>
      </c>
      <c r="J86" s="207">
        <f>SUMIFS('июнь 2023'!$G$4:$G$886,'июнь 2023'!$D$4:$D$886,$B86,'июнь 2023'!$J$4:$J$886,J$1)</f>
        <v>0</v>
      </c>
      <c r="K86" s="207">
        <f>SUMIFS('июнь 2023'!$G$4:$G$886,'июнь 2023'!$D$4:$D$886,$B86,'июнь 2023'!$J$4:$J$886,K$1)</f>
        <v>0</v>
      </c>
      <c r="L86" s="207">
        <f>SUMIFS('июнь 2023'!$G$4:$G$886,'июнь 2023'!$D$4:$D$886,$B86,'июнь 2023'!$J$4:$J$886,L$1)</f>
        <v>0</v>
      </c>
      <c r="M86" s="207">
        <f>SUMIFS('июнь 2023'!$G$4:$G$886,'июнь 2023'!$D$4:$D$886,$B86,'июнь 2023'!$J$4:$J$886,M$1)</f>
        <v>0</v>
      </c>
      <c r="N86" s="207">
        <f>SUMIFS('июнь 2023'!$G$4:$G$886,'июнь 2023'!$D$4:$D$886,$B86,'июнь 2023'!$J$4:$J$886,N$1)</f>
        <v>0</v>
      </c>
      <c r="O86" s="207">
        <f>SUMIFS('июнь 2023'!$G$4:$G$886,'июнь 2023'!$D$4:$D$886,$B86,'июнь 2023'!$J$4:$J$886,O$1)</f>
        <v>0</v>
      </c>
      <c r="P86" s="207">
        <f>SUMIFS('июнь 2023'!$G$4:$G$886,'июнь 2023'!$D$4:$D$886,$B86,'июнь 2023'!$J$4:$J$886,P$1)</f>
        <v>0</v>
      </c>
      <c r="Q86" s="207">
        <f>SUMIFS('июнь 2023'!$G$4:$G$886,'июнь 2023'!$D$4:$D$886,$B86,'июнь 2023'!$J$4:$J$886,Q$1)</f>
        <v>0</v>
      </c>
      <c r="R86" s="207">
        <f>SUMIFS('июнь 2023'!$G$4:$G$886,'июнь 2023'!$D$4:$D$886,$B86,'июнь 2023'!$J$4:$J$886,R$1)</f>
        <v>0</v>
      </c>
      <c r="S86" s="207">
        <f>SUMIFS('июнь 2023'!$G$4:$G$886,'июнь 2023'!$D$4:$D$886,$B86,'июнь 2023'!$J$4:$J$886,S$1)</f>
        <v>0</v>
      </c>
      <c r="T86" s="207">
        <f>SUMIFS('июнь 2023'!$G$4:$G$886,'июнь 2023'!$D$4:$D$886,$B86,'июнь 2023'!$J$4:$J$886,T$1)</f>
        <v>0</v>
      </c>
      <c r="U86" s="207">
        <f>SUMIFS('июнь 2023'!$G$4:$G$886,'июнь 2023'!$D$4:$D$886,$B86,'июнь 2023'!$J$4:$J$886,U$1)</f>
        <v>0</v>
      </c>
      <c r="V86" s="207">
        <f>SUMIFS('июнь 2023'!$G$4:$G$886,'июнь 2023'!$D$4:$D$886,$B86,'июнь 2023'!$J$4:$J$886,V$1)</f>
        <v>0</v>
      </c>
      <c r="W86" s="207">
        <f>SUMIFS('июнь 2023'!$G$4:$G$886,'июнь 2023'!$D$4:$D$886,$B86,'июнь 2023'!$J$4:$J$886,W$1)</f>
        <v>0</v>
      </c>
      <c r="X86" s="207">
        <f>SUMIFS('июнь 2023'!$G$4:$G$886,'июнь 2023'!$D$4:$D$886,$B86,'июнь 2023'!$J$4:$J$886,X$1)</f>
        <v>0</v>
      </c>
      <c r="Y86" s="207">
        <f>SUMIFS('июнь 2023'!$G$4:$G$886,'июнь 2023'!$D$4:$D$886,$B86,'июнь 2023'!$J$4:$J$886,Y$1)</f>
        <v>0</v>
      </c>
      <c r="Z86" s="207">
        <f>SUMIFS('июнь 2023'!$G$4:$G$886,'июнь 2023'!$D$4:$D$886,$B86,'июнь 2023'!$J$4:$J$886,Z$1)</f>
        <v>0</v>
      </c>
      <c r="AA86" s="207">
        <f>SUMIFS('июнь 2023'!$G$4:$G$886,'июнь 2023'!$D$4:$D$886,$B86,'июнь 2023'!$J$4:$J$886,AA$1)</f>
        <v>0</v>
      </c>
      <c r="AB86" s="207">
        <f>SUMIFS('июнь 2023'!$G$4:$G$886,'июнь 2023'!$D$4:$D$886,$B86,'июнь 2023'!$J$4:$J$886,AB$1)</f>
        <v>0</v>
      </c>
      <c r="AC86" s="207">
        <f>SUMIFS('июнь 2023'!$G$4:$G$886,'июнь 2023'!$D$4:$D$886,$B86,'июнь 2023'!$J$4:$J$886,AC$1)</f>
        <v>0</v>
      </c>
      <c r="AD86" s="207">
        <f>SUMIFS('июнь 2023'!$G$4:$G$886,'июнь 2023'!$D$4:$D$886,$B86,'июнь 2023'!$J$4:$J$886,AD$1)</f>
        <v>0</v>
      </c>
      <c r="AE86" s="207">
        <f>SUMIFS('июнь 2023'!$G$4:$G$886,'июнь 2023'!$D$4:$D$886,$B86,'июнь 2023'!$J$4:$J$886,AE$1)</f>
        <v>0</v>
      </c>
      <c r="AF86" s="207">
        <f>SUMIFS('июнь 2023'!$G$4:$G$886,'июнь 2023'!$D$4:$D$886,$B86,'июнь 2023'!$J$4:$J$886,AF$1)</f>
        <v>0</v>
      </c>
      <c r="AG86" s="207">
        <f>SUMIFS('июнь 2023'!$G$4:$G$886,'июнь 2023'!$D$4:$D$886,$B86,'июнь 2023'!$J$4:$J$886,AG$1)</f>
        <v>0</v>
      </c>
      <c r="AH86" s="207">
        <f>SUMIFS('июнь 2023'!$G$4:$G$886,'июнь 2023'!$D$4:$D$886,$B86,'июнь 2023'!$J$4:$J$886,AH$1)</f>
        <v>0</v>
      </c>
      <c r="AI86" s="170">
        <f t="shared" si="2"/>
        <v>0</v>
      </c>
    </row>
    <row r="87" spans="2:35" ht="15" customHeight="1" x14ac:dyDescent="0.25">
      <c r="B87" s="216" t="s">
        <v>2191</v>
      </c>
      <c r="C87" s="213">
        <v>200</v>
      </c>
      <c r="D87" s="207">
        <f>SUMIFS('июнь 2023'!$G$4:$G$886,'июнь 2023'!$D$4:$D$886,$B87,'июнь 2023'!$J$4:$J$886,D$1)</f>
        <v>0</v>
      </c>
      <c r="E87" s="207">
        <f>SUMIFS('июнь 2023'!$G$4:$G$886,'июнь 2023'!$D$4:$D$886,$B87,'июнь 2023'!$J$4:$J$886,E$1)</f>
        <v>0</v>
      </c>
      <c r="F87" s="207">
        <f>SUMIFS('июнь 2023'!$G$4:$G$886,'июнь 2023'!$D$4:$D$886,$B87,'июнь 2023'!$J$4:$J$886,F$1)</f>
        <v>0</v>
      </c>
      <c r="G87" s="207">
        <f>SUMIFS('июнь 2023'!$G$4:$G$886,'июнь 2023'!$D$4:$D$886,$B87,'июнь 2023'!$J$4:$J$886,G$1)</f>
        <v>0</v>
      </c>
      <c r="H87" s="207">
        <f>SUMIFS('июнь 2023'!$G$4:$G$886,'июнь 2023'!$D$4:$D$886,$B87,'июнь 2023'!$J$4:$J$886,H$1)</f>
        <v>0</v>
      </c>
      <c r="I87" s="207">
        <f>SUMIFS('июнь 2023'!$G$4:$G$886,'июнь 2023'!$D$4:$D$886,$B87,'июнь 2023'!$J$4:$J$886,I$1)</f>
        <v>0</v>
      </c>
      <c r="J87" s="207">
        <f>SUMIFS('июнь 2023'!$G$4:$G$886,'июнь 2023'!$D$4:$D$886,$B87,'июнь 2023'!$J$4:$J$886,J$1)</f>
        <v>0</v>
      </c>
      <c r="K87" s="207">
        <f>SUMIFS('июнь 2023'!$G$4:$G$886,'июнь 2023'!$D$4:$D$886,$B87,'июнь 2023'!$J$4:$J$886,K$1)</f>
        <v>0</v>
      </c>
      <c r="L87" s="207">
        <f>SUMIFS('июнь 2023'!$G$4:$G$886,'июнь 2023'!$D$4:$D$886,$B87,'июнь 2023'!$J$4:$J$886,L$1)</f>
        <v>0</v>
      </c>
      <c r="M87" s="207">
        <f>SUMIFS('июнь 2023'!$G$4:$G$886,'июнь 2023'!$D$4:$D$886,$B87,'июнь 2023'!$J$4:$J$886,M$1)</f>
        <v>0</v>
      </c>
      <c r="N87" s="207">
        <f>SUMIFS('июнь 2023'!$G$4:$G$886,'июнь 2023'!$D$4:$D$886,$B87,'июнь 2023'!$J$4:$J$886,N$1)</f>
        <v>0</v>
      </c>
      <c r="O87" s="207">
        <f>SUMIFS('июнь 2023'!$G$4:$G$886,'июнь 2023'!$D$4:$D$886,$B87,'июнь 2023'!$J$4:$J$886,O$1)</f>
        <v>0</v>
      </c>
      <c r="P87" s="207">
        <f>SUMIFS('июнь 2023'!$G$4:$G$886,'июнь 2023'!$D$4:$D$886,$B87,'июнь 2023'!$J$4:$J$886,P$1)</f>
        <v>0</v>
      </c>
      <c r="Q87" s="207">
        <f>SUMIFS('июнь 2023'!$G$4:$G$886,'июнь 2023'!$D$4:$D$886,$B87,'июнь 2023'!$J$4:$J$886,Q$1)</f>
        <v>0</v>
      </c>
      <c r="R87" s="207">
        <f>SUMIFS('июнь 2023'!$G$4:$G$886,'июнь 2023'!$D$4:$D$886,$B87,'июнь 2023'!$J$4:$J$886,R$1)</f>
        <v>0</v>
      </c>
      <c r="S87" s="207">
        <f>SUMIFS('июнь 2023'!$G$4:$G$886,'июнь 2023'!$D$4:$D$886,$B87,'июнь 2023'!$J$4:$J$886,S$1)</f>
        <v>0</v>
      </c>
      <c r="T87" s="207">
        <f>SUMIFS('июнь 2023'!$G$4:$G$886,'июнь 2023'!$D$4:$D$886,$B87,'июнь 2023'!$J$4:$J$886,T$1)</f>
        <v>0</v>
      </c>
      <c r="U87" s="207">
        <f>SUMIFS('июнь 2023'!$G$4:$G$886,'июнь 2023'!$D$4:$D$886,$B87,'июнь 2023'!$J$4:$J$886,U$1)</f>
        <v>0</v>
      </c>
      <c r="V87" s="207">
        <f>SUMIFS('июнь 2023'!$G$4:$G$886,'июнь 2023'!$D$4:$D$886,$B87,'июнь 2023'!$J$4:$J$886,V$1)</f>
        <v>0</v>
      </c>
      <c r="W87" s="207">
        <f>SUMIFS('июнь 2023'!$G$4:$G$886,'июнь 2023'!$D$4:$D$886,$B87,'июнь 2023'!$J$4:$J$886,W$1)</f>
        <v>0</v>
      </c>
      <c r="X87" s="207">
        <f>SUMIFS('июнь 2023'!$G$4:$G$886,'июнь 2023'!$D$4:$D$886,$B87,'июнь 2023'!$J$4:$J$886,X$1)</f>
        <v>0</v>
      </c>
      <c r="Y87" s="207">
        <f>SUMIFS('июнь 2023'!$G$4:$G$886,'июнь 2023'!$D$4:$D$886,$B87,'июнь 2023'!$J$4:$J$886,Y$1)</f>
        <v>0</v>
      </c>
      <c r="Z87" s="207">
        <f>SUMIFS('июнь 2023'!$G$4:$G$886,'июнь 2023'!$D$4:$D$886,$B87,'июнь 2023'!$J$4:$J$886,Z$1)</f>
        <v>0</v>
      </c>
      <c r="AA87" s="207">
        <f>SUMIFS('июнь 2023'!$G$4:$G$886,'июнь 2023'!$D$4:$D$886,$B87,'июнь 2023'!$J$4:$J$886,AA$1)</f>
        <v>0</v>
      </c>
      <c r="AB87" s="207">
        <f>SUMIFS('июнь 2023'!$G$4:$G$886,'июнь 2023'!$D$4:$D$886,$B87,'июнь 2023'!$J$4:$J$886,AB$1)</f>
        <v>0</v>
      </c>
      <c r="AC87" s="207">
        <f>SUMIFS('июнь 2023'!$G$4:$G$886,'июнь 2023'!$D$4:$D$886,$B87,'июнь 2023'!$J$4:$J$886,AC$1)</f>
        <v>0</v>
      </c>
      <c r="AD87" s="207">
        <f>SUMIFS('июнь 2023'!$G$4:$G$886,'июнь 2023'!$D$4:$D$886,$B87,'июнь 2023'!$J$4:$J$886,AD$1)</f>
        <v>0</v>
      </c>
      <c r="AE87" s="207">
        <f>SUMIFS('июнь 2023'!$G$4:$G$886,'июнь 2023'!$D$4:$D$886,$B87,'июнь 2023'!$J$4:$J$886,AE$1)</f>
        <v>0</v>
      </c>
      <c r="AF87" s="207">
        <f>SUMIFS('июнь 2023'!$G$4:$G$886,'июнь 2023'!$D$4:$D$886,$B87,'июнь 2023'!$J$4:$J$886,AF$1)</f>
        <v>0</v>
      </c>
      <c r="AG87" s="207">
        <f>SUMIFS('июнь 2023'!$G$4:$G$886,'июнь 2023'!$D$4:$D$886,$B87,'июнь 2023'!$J$4:$J$886,AG$1)</f>
        <v>0</v>
      </c>
      <c r="AH87" s="207">
        <f>SUMIFS('июнь 2023'!$G$4:$G$886,'июнь 2023'!$D$4:$D$886,$B87,'июнь 2023'!$J$4:$J$886,AH$1)</f>
        <v>0</v>
      </c>
      <c r="AI87" s="170">
        <f t="shared" si="2"/>
        <v>0</v>
      </c>
    </row>
    <row r="88" spans="2:35" ht="15" customHeight="1" x14ac:dyDescent="0.25">
      <c r="B88" s="216" t="s">
        <v>898</v>
      </c>
      <c r="C88" s="213">
        <v>200</v>
      </c>
      <c r="D88" s="207">
        <f>SUMIFS('июнь 2023'!$G$4:$G$886,'июнь 2023'!$D$4:$D$886,$B88,'июнь 2023'!$J$4:$J$886,D$1)</f>
        <v>0</v>
      </c>
      <c r="E88" s="207">
        <f>SUMIFS('июнь 2023'!$G$4:$G$886,'июнь 2023'!$D$4:$D$886,$B88,'июнь 2023'!$J$4:$J$886,E$1)</f>
        <v>0</v>
      </c>
      <c r="F88" s="207">
        <f>SUMIFS('июнь 2023'!$G$4:$G$886,'июнь 2023'!$D$4:$D$886,$B88,'июнь 2023'!$J$4:$J$886,F$1)</f>
        <v>0</v>
      </c>
      <c r="G88" s="207">
        <f>SUMIFS('июнь 2023'!$G$4:$G$886,'июнь 2023'!$D$4:$D$886,$B88,'июнь 2023'!$J$4:$J$886,G$1)</f>
        <v>0</v>
      </c>
      <c r="H88" s="207">
        <f>SUMIFS('июнь 2023'!$G$4:$G$886,'июнь 2023'!$D$4:$D$886,$B88,'июнь 2023'!$J$4:$J$886,H$1)</f>
        <v>0</v>
      </c>
      <c r="I88" s="207">
        <f>SUMIFS('июнь 2023'!$G$4:$G$886,'июнь 2023'!$D$4:$D$886,$B88,'июнь 2023'!$J$4:$J$886,I$1)</f>
        <v>0</v>
      </c>
      <c r="J88" s="207">
        <f>SUMIFS('июнь 2023'!$G$4:$G$886,'июнь 2023'!$D$4:$D$886,$B88,'июнь 2023'!$J$4:$J$886,J$1)</f>
        <v>0</v>
      </c>
      <c r="K88" s="207">
        <f>SUMIFS('июнь 2023'!$G$4:$G$886,'июнь 2023'!$D$4:$D$886,$B88,'июнь 2023'!$J$4:$J$886,K$1)</f>
        <v>0</v>
      </c>
      <c r="L88" s="207">
        <f>SUMIFS('июнь 2023'!$G$4:$G$886,'июнь 2023'!$D$4:$D$886,$B88,'июнь 2023'!$J$4:$J$886,L$1)</f>
        <v>0</v>
      </c>
      <c r="M88" s="207">
        <f>SUMIFS('июнь 2023'!$G$4:$G$886,'июнь 2023'!$D$4:$D$886,$B88,'июнь 2023'!$J$4:$J$886,M$1)</f>
        <v>0</v>
      </c>
      <c r="N88" s="207">
        <f>SUMIFS('июнь 2023'!$G$4:$G$886,'июнь 2023'!$D$4:$D$886,$B88,'июнь 2023'!$J$4:$J$886,N$1)</f>
        <v>0</v>
      </c>
      <c r="O88" s="207">
        <f>SUMIFS('июнь 2023'!$G$4:$G$886,'июнь 2023'!$D$4:$D$886,$B88,'июнь 2023'!$J$4:$J$886,O$1)</f>
        <v>0</v>
      </c>
      <c r="P88" s="207">
        <f>SUMIFS('июнь 2023'!$G$4:$G$886,'июнь 2023'!$D$4:$D$886,$B88,'июнь 2023'!$J$4:$J$886,P$1)</f>
        <v>0</v>
      </c>
      <c r="Q88" s="207">
        <f>SUMIFS('июнь 2023'!$G$4:$G$886,'июнь 2023'!$D$4:$D$886,$B88,'июнь 2023'!$J$4:$J$886,Q$1)</f>
        <v>0</v>
      </c>
      <c r="R88" s="207">
        <f>SUMIFS('июнь 2023'!$G$4:$G$886,'июнь 2023'!$D$4:$D$886,$B88,'июнь 2023'!$J$4:$J$886,R$1)</f>
        <v>0</v>
      </c>
      <c r="S88" s="207">
        <f>SUMIFS('июнь 2023'!$G$4:$G$886,'июнь 2023'!$D$4:$D$886,$B88,'июнь 2023'!$J$4:$J$886,S$1)</f>
        <v>0</v>
      </c>
      <c r="T88" s="207">
        <f>SUMIFS('июнь 2023'!$G$4:$G$886,'июнь 2023'!$D$4:$D$886,$B88,'июнь 2023'!$J$4:$J$886,T$1)</f>
        <v>0</v>
      </c>
      <c r="U88" s="207">
        <f>SUMIFS('июнь 2023'!$G$4:$G$886,'июнь 2023'!$D$4:$D$886,$B88,'июнь 2023'!$J$4:$J$886,U$1)</f>
        <v>0</v>
      </c>
      <c r="V88" s="207">
        <f>SUMIFS('июнь 2023'!$G$4:$G$886,'июнь 2023'!$D$4:$D$886,$B88,'июнь 2023'!$J$4:$J$886,V$1)</f>
        <v>0</v>
      </c>
      <c r="W88" s="207">
        <f>SUMIFS('июнь 2023'!$G$4:$G$886,'июнь 2023'!$D$4:$D$886,$B88,'июнь 2023'!$J$4:$J$886,W$1)</f>
        <v>0</v>
      </c>
      <c r="X88" s="207">
        <f>SUMIFS('июнь 2023'!$G$4:$G$886,'июнь 2023'!$D$4:$D$886,$B88,'июнь 2023'!$J$4:$J$886,X$1)</f>
        <v>0</v>
      </c>
      <c r="Y88" s="207">
        <f>SUMIFS('июнь 2023'!$G$4:$G$886,'июнь 2023'!$D$4:$D$886,$B88,'июнь 2023'!$J$4:$J$886,Y$1)</f>
        <v>0</v>
      </c>
      <c r="Z88" s="207">
        <f>SUMIFS('июнь 2023'!$G$4:$G$886,'июнь 2023'!$D$4:$D$886,$B88,'июнь 2023'!$J$4:$J$886,Z$1)</f>
        <v>0</v>
      </c>
      <c r="AA88" s="207">
        <f>SUMIFS('июнь 2023'!$G$4:$G$886,'июнь 2023'!$D$4:$D$886,$B88,'июнь 2023'!$J$4:$J$886,AA$1)</f>
        <v>0</v>
      </c>
      <c r="AB88" s="207">
        <f>SUMIFS('июнь 2023'!$G$4:$G$886,'июнь 2023'!$D$4:$D$886,$B88,'июнь 2023'!$J$4:$J$886,AB$1)</f>
        <v>0</v>
      </c>
      <c r="AC88" s="207">
        <f>SUMIFS('июнь 2023'!$G$4:$G$886,'июнь 2023'!$D$4:$D$886,$B88,'июнь 2023'!$J$4:$J$886,AC$1)</f>
        <v>0</v>
      </c>
      <c r="AD88" s="207">
        <f>SUMIFS('июнь 2023'!$G$4:$G$886,'июнь 2023'!$D$4:$D$886,$B88,'июнь 2023'!$J$4:$J$886,AD$1)</f>
        <v>0</v>
      </c>
      <c r="AE88" s="207">
        <f>SUMIFS('июнь 2023'!$G$4:$G$886,'июнь 2023'!$D$4:$D$886,$B88,'июнь 2023'!$J$4:$J$886,AE$1)</f>
        <v>0</v>
      </c>
      <c r="AF88" s="207">
        <f>SUMIFS('июнь 2023'!$G$4:$G$886,'июнь 2023'!$D$4:$D$886,$B88,'июнь 2023'!$J$4:$J$886,AF$1)</f>
        <v>0</v>
      </c>
      <c r="AG88" s="207">
        <f>SUMIFS('июнь 2023'!$G$4:$G$886,'июнь 2023'!$D$4:$D$886,$B88,'июнь 2023'!$J$4:$J$886,AG$1)</f>
        <v>0</v>
      </c>
      <c r="AH88" s="207">
        <f>SUMIFS('июнь 2023'!$G$4:$G$886,'июнь 2023'!$D$4:$D$886,$B88,'июнь 2023'!$J$4:$J$886,AH$1)</f>
        <v>0</v>
      </c>
      <c r="AI88" s="170">
        <f t="shared" si="2"/>
        <v>0</v>
      </c>
    </row>
    <row r="89" spans="2:35" ht="15" customHeight="1" x14ac:dyDescent="0.25">
      <c r="B89" s="216" t="s">
        <v>1725</v>
      </c>
      <c r="C89" s="213">
        <v>180</v>
      </c>
      <c r="D89" s="207">
        <f>SUMIFS('июнь 2023'!$G$4:$G$886,'июнь 2023'!$D$4:$D$886,$B89,'июнь 2023'!$J$4:$J$886,D$1)</f>
        <v>0</v>
      </c>
      <c r="E89" s="207">
        <f>SUMIFS('июнь 2023'!$G$4:$G$886,'июнь 2023'!$D$4:$D$886,$B89,'июнь 2023'!$J$4:$J$886,E$1)</f>
        <v>0</v>
      </c>
      <c r="F89" s="207">
        <f>SUMIFS('июнь 2023'!$G$4:$G$886,'июнь 2023'!$D$4:$D$886,$B89,'июнь 2023'!$J$4:$J$886,F$1)</f>
        <v>0</v>
      </c>
      <c r="G89" s="207">
        <f>SUMIFS('июнь 2023'!$G$4:$G$886,'июнь 2023'!$D$4:$D$886,$B89,'июнь 2023'!$J$4:$J$886,G$1)</f>
        <v>0</v>
      </c>
      <c r="H89" s="207">
        <f>SUMIFS('июнь 2023'!$G$4:$G$886,'июнь 2023'!$D$4:$D$886,$B89,'июнь 2023'!$J$4:$J$886,H$1)</f>
        <v>0</v>
      </c>
      <c r="I89" s="207">
        <f>SUMIFS('июнь 2023'!$G$4:$G$886,'июнь 2023'!$D$4:$D$886,$B89,'июнь 2023'!$J$4:$J$886,I$1)</f>
        <v>0</v>
      </c>
      <c r="J89" s="207">
        <f>SUMIFS('июнь 2023'!$G$4:$G$886,'июнь 2023'!$D$4:$D$886,$B89,'июнь 2023'!$J$4:$J$886,J$1)</f>
        <v>0</v>
      </c>
      <c r="K89" s="207">
        <f>SUMIFS('июнь 2023'!$G$4:$G$886,'июнь 2023'!$D$4:$D$886,$B89,'июнь 2023'!$J$4:$J$886,K$1)</f>
        <v>0</v>
      </c>
      <c r="L89" s="207">
        <f>SUMIFS('июнь 2023'!$G$4:$G$886,'июнь 2023'!$D$4:$D$886,$B89,'июнь 2023'!$J$4:$J$886,L$1)</f>
        <v>0</v>
      </c>
      <c r="M89" s="207">
        <f>SUMIFS('июнь 2023'!$G$4:$G$886,'июнь 2023'!$D$4:$D$886,$B89,'июнь 2023'!$J$4:$J$886,M$1)</f>
        <v>0</v>
      </c>
      <c r="N89" s="207">
        <f>SUMIFS('июнь 2023'!$G$4:$G$886,'июнь 2023'!$D$4:$D$886,$B89,'июнь 2023'!$J$4:$J$886,N$1)</f>
        <v>0</v>
      </c>
      <c r="O89" s="207">
        <f>SUMIFS('июнь 2023'!$G$4:$G$886,'июнь 2023'!$D$4:$D$886,$B89,'июнь 2023'!$J$4:$J$886,O$1)</f>
        <v>0</v>
      </c>
      <c r="P89" s="207">
        <f>SUMIFS('июнь 2023'!$G$4:$G$886,'июнь 2023'!$D$4:$D$886,$B89,'июнь 2023'!$J$4:$J$886,P$1)</f>
        <v>0</v>
      </c>
      <c r="Q89" s="207">
        <f>SUMIFS('июнь 2023'!$G$4:$G$886,'июнь 2023'!$D$4:$D$886,$B89,'июнь 2023'!$J$4:$J$886,Q$1)</f>
        <v>0</v>
      </c>
      <c r="R89" s="207">
        <f>SUMIFS('июнь 2023'!$G$4:$G$886,'июнь 2023'!$D$4:$D$886,$B89,'июнь 2023'!$J$4:$J$886,R$1)</f>
        <v>0</v>
      </c>
      <c r="S89" s="207">
        <f>SUMIFS('июнь 2023'!$G$4:$G$886,'июнь 2023'!$D$4:$D$886,$B89,'июнь 2023'!$J$4:$J$886,S$1)</f>
        <v>0</v>
      </c>
      <c r="T89" s="207">
        <f>SUMIFS('июнь 2023'!$G$4:$G$886,'июнь 2023'!$D$4:$D$886,$B89,'июнь 2023'!$J$4:$J$886,T$1)</f>
        <v>0</v>
      </c>
      <c r="U89" s="207">
        <f>SUMIFS('июнь 2023'!$G$4:$G$886,'июнь 2023'!$D$4:$D$886,$B89,'июнь 2023'!$J$4:$J$886,U$1)</f>
        <v>0</v>
      </c>
      <c r="V89" s="207">
        <f>SUMIFS('июнь 2023'!$G$4:$G$886,'июнь 2023'!$D$4:$D$886,$B89,'июнь 2023'!$J$4:$J$886,V$1)</f>
        <v>0</v>
      </c>
      <c r="W89" s="207">
        <f>SUMIFS('июнь 2023'!$G$4:$G$886,'июнь 2023'!$D$4:$D$886,$B89,'июнь 2023'!$J$4:$J$886,W$1)</f>
        <v>0</v>
      </c>
      <c r="X89" s="207">
        <f>SUMIFS('июнь 2023'!$G$4:$G$886,'июнь 2023'!$D$4:$D$886,$B89,'июнь 2023'!$J$4:$J$886,X$1)</f>
        <v>0</v>
      </c>
      <c r="Y89" s="207">
        <f>SUMIFS('июнь 2023'!$G$4:$G$886,'июнь 2023'!$D$4:$D$886,$B89,'июнь 2023'!$J$4:$J$886,Y$1)</f>
        <v>0</v>
      </c>
      <c r="Z89" s="207">
        <f>SUMIFS('июнь 2023'!$G$4:$G$886,'июнь 2023'!$D$4:$D$886,$B89,'июнь 2023'!$J$4:$J$886,Z$1)</f>
        <v>0</v>
      </c>
      <c r="AA89" s="207">
        <f>SUMIFS('июнь 2023'!$G$4:$G$886,'июнь 2023'!$D$4:$D$886,$B89,'июнь 2023'!$J$4:$J$886,AA$1)</f>
        <v>0</v>
      </c>
      <c r="AB89" s="207">
        <f>SUMIFS('июнь 2023'!$G$4:$G$886,'июнь 2023'!$D$4:$D$886,$B89,'июнь 2023'!$J$4:$J$886,AB$1)</f>
        <v>0</v>
      </c>
      <c r="AC89" s="207">
        <f>SUMIFS('июнь 2023'!$G$4:$G$886,'июнь 2023'!$D$4:$D$886,$B89,'июнь 2023'!$J$4:$J$886,AC$1)</f>
        <v>0</v>
      </c>
      <c r="AD89" s="207">
        <f>SUMIFS('июнь 2023'!$G$4:$G$886,'июнь 2023'!$D$4:$D$886,$B89,'июнь 2023'!$J$4:$J$886,AD$1)</f>
        <v>0</v>
      </c>
      <c r="AE89" s="207">
        <f>SUMIFS('июнь 2023'!$G$4:$G$886,'июнь 2023'!$D$4:$D$886,$B89,'июнь 2023'!$J$4:$J$886,AE$1)</f>
        <v>0</v>
      </c>
      <c r="AF89" s="207">
        <f>SUMIFS('июнь 2023'!$G$4:$G$886,'июнь 2023'!$D$4:$D$886,$B89,'июнь 2023'!$J$4:$J$886,AF$1)</f>
        <v>0</v>
      </c>
      <c r="AG89" s="207">
        <f>SUMIFS('июнь 2023'!$G$4:$G$886,'июнь 2023'!$D$4:$D$886,$B89,'июнь 2023'!$J$4:$J$886,AG$1)</f>
        <v>0</v>
      </c>
      <c r="AH89" s="207">
        <f>SUMIFS('июнь 2023'!$G$4:$G$886,'июнь 2023'!$D$4:$D$886,$B89,'июнь 2023'!$J$4:$J$886,AH$1)</f>
        <v>0</v>
      </c>
      <c r="AI89" s="170">
        <f t="shared" si="2"/>
        <v>0</v>
      </c>
    </row>
    <row r="90" spans="2:35" ht="15" customHeight="1" x14ac:dyDescent="0.25">
      <c r="B90" s="212" t="s">
        <v>864</v>
      </c>
      <c r="C90" s="211">
        <v>18</v>
      </c>
      <c r="D90" s="207">
        <f>SUMIFS('июнь 2023'!$G$4:$G$886,'июнь 2023'!$D$4:$D$886,$B90,'июнь 2023'!$J$4:$J$886,D$1)</f>
        <v>0</v>
      </c>
      <c r="E90" s="207">
        <f>SUMIFS('июнь 2023'!$G$4:$G$886,'июнь 2023'!$D$4:$D$886,$B90,'июнь 2023'!$J$4:$J$886,E$1)</f>
        <v>0</v>
      </c>
      <c r="F90" s="207">
        <f>SUMIFS('июнь 2023'!$G$4:$G$886,'июнь 2023'!$D$4:$D$886,$B90,'июнь 2023'!$J$4:$J$886,F$1)</f>
        <v>0</v>
      </c>
      <c r="G90" s="207">
        <f>SUMIFS('июнь 2023'!$G$4:$G$886,'июнь 2023'!$D$4:$D$886,$B90,'июнь 2023'!$J$4:$J$886,G$1)</f>
        <v>0</v>
      </c>
      <c r="H90" s="207">
        <f>SUMIFS('июнь 2023'!$G$4:$G$886,'июнь 2023'!$D$4:$D$886,$B90,'июнь 2023'!$J$4:$J$886,H$1)</f>
        <v>0</v>
      </c>
      <c r="I90" s="207">
        <f>SUMIFS('июнь 2023'!$G$4:$G$886,'июнь 2023'!$D$4:$D$886,$B90,'июнь 2023'!$J$4:$J$886,I$1)</f>
        <v>0</v>
      </c>
      <c r="J90" s="207">
        <f>SUMIFS('июнь 2023'!$G$4:$G$886,'июнь 2023'!$D$4:$D$886,$B90,'июнь 2023'!$J$4:$J$886,J$1)</f>
        <v>0</v>
      </c>
      <c r="K90" s="207">
        <f>SUMIFS('июнь 2023'!$G$4:$G$886,'июнь 2023'!$D$4:$D$886,$B90,'июнь 2023'!$J$4:$J$886,K$1)</f>
        <v>0</v>
      </c>
      <c r="L90" s="207">
        <f>SUMIFS('июнь 2023'!$G$4:$G$886,'июнь 2023'!$D$4:$D$886,$B90,'июнь 2023'!$J$4:$J$886,L$1)</f>
        <v>0</v>
      </c>
      <c r="M90" s="207">
        <f>SUMIFS('июнь 2023'!$G$4:$G$886,'июнь 2023'!$D$4:$D$886,$B90,'июнь 2023'!$J$4:$J$886,M$1)</f>
        <v>0</v>
      </c>
      <c r="N90" s="207">
        <f>SUMIFS('июнь 2023'!$G$4:$G$886,'июнь 2023'!$D$4:$D$886,$B90,'июнь 2023'!$J$4:$J$886,N$1)</f>
        <v>0</v>
      </c>
      <c r="O90" s="207">
        <f>SUMIFS('июнь 2023'!$G$4:$G$886,'июнь 2023'!$D$4:$D$886,$B90,'июнь 2023'!$J$4:$J$886,O$1)</f>
        <v>0</v>
      </c>
      <c r="P90" s="207">
        <f>SUMIFS('июнь 2023'!$G$4:$G$886,'июнь 2023'!$D$4:$D$886,$B90,'июнь 2023'!$J$4:$J$886,P$1)</f>
        <v>0</v>
      </c>
      <c r="Q90" s="207">
        <f>SUMIFS('июнь 2023'!$G$4:$G$886,'июнь 2023'!$D$4:$D$886,$B90,'июнь 2023'!$J$4:$J$886,Q$1)</f>
        <v>0</v>
      </c>
      <c r="R90" s="207">
        <f>SUMIFS('июнь 2023'!$G$4:$G$886,'июнь 2023'!$D$4:$D$886,$B90,'июнь 2023'!$J$4:$J$886,R$1)</f>
        <v>0</v>
      </c>
      <c r="S90" s="207">
        <f>SUMIFS('июнь 2023'!$G$4:$G$886,'июнь 2023'!$D$4:$D$886,$B90,'июнь 2023'!$J$4:$J$886,S$1)</f>
        <v>0</v>
      </c>
      <c r="T90" s="207">
        <f>SUMIFS('июнь 2023'!$G$4:$G$886,'июнь 2023'!$D$4:$D$886,$B90,'июнь 2023'!$J$4:$J$886,T$1)</f>
        <v>0</v>
      </c>
      <c r="U90" s="207">
        <f>SUMIFS('июнь 2023'!$G$4:$G$886,'июнь 2023'!$D$4:$D$886,$B90,'июнь 2023'!$J$4:$J$886,U$1)</f>
        <v>0</v>
      </c>
      <c r="V90" s="207">
        <f>SUMIFS('июнь 2023'!$G$4:$G$886,'июнь 2023'!$D$4:$D$886,$B90,'июнь 2023'!$J$4:$J$886,V$1)</f>
        <v>0</v>
      </c>
      <c r="W90" s="207">
        <f>SUMIFS('июнь 2023'!$G$4:$G$886,'июнь 2023'!$D$4:$D$886,$B90,'июнь 2023'!$J$4:$J$886,W$1)</f>
        <v>0</v>
      </c>
      <c r="X90" s="207">
        <f>SUMIFS('июнь 2023'!$G$4:$G$886,'июнь 2023'!$D$4:$D$886,$B90,'июнь 2023'!$J$4:$J$886,X$1)</f>
        <v>0</v>
      </c>
      <c r="Y90" s="207">
        <f>SUMIFS('июнь 2023'!$G$4:$G$886,'июнь 2023'!$D$4:$D$886,$B90,'июнь 2023'!$J$4:$J$886,Y$1)</f>
        <v>0</v>
      </c>
      <c r="Z90" s="207">
        <f>SUMIFS('июнь 2023'!$G$4:$G$886,'июнь 2023'!$D$4:$D$886,$B90,'июнь 2023'!$J$4:$J$886,Z$1)</f>
        <v>0</v>
      </c>
      <c r="AA90" s="207">
        <f>SUMIFS('июнь 2023'!$G$4:$G$886,'июнь 2023'!$D$4:$D$886,$B90,'июнь 2023'!$J$4:$J$886,AA$1)</f>
        <v>0</v>
      </c>
      <c r="AB90" s="207">
        <f>SUMIFS('июнь 2023'!$G$4:$G$886,'июнь 2023'!$D$4:$D$886,$B90,'июнь 2023'!$J$4:$J$886,AB$1)</f>
        <v>0</v>
      </c>
      <c r="AC90" s="207">
        <f>SUMIFS('июнь 2023'!$G$4:$G$886,'июнь 2023'!$D$4:$D$886,$B90,'июнь 2023'!$J$4:$J$886,AC$1)</f>
        <v>0</v>
      </c>
      <c r="AD90" s="207">
        <f>SUMIFS('июнь 2023'!$G$4:$G$886,'июнь 2023'!$D$4:$D$886,$B90,'июнь 2023'!$J$4:$J$886,AD$1)</f>
        <v>0</v>
      </c>
      <c r="AE90" s="207">
        <f>SUMIFS('июнь 2023'!$G$4:$G$886,'июнь 2023'!$D$4:$D$886,$B90,'июнь 2023'!$J$4:$J$886,AE$1)</f>
        <v>278</v>
      </c>
      <c r="AF90" s="207">
        <f>SUMIFS('июнь 2023'!$G$4:$G$886,'июнь 2023'!$D$4:$D$886,$B90,'июнь 2023'!$J$4:$J$886,AF$1)</f>
        <v>0</v>
      </c>
      <c r="AG90" s="207">
        <f>SUMIFS('июнь 2023'!$G$4:$G$886,'июнь 2023'!$D$4:$D$886,$B90,'июнь 2023'!$J$4:$J$886,AG$1)</f>
        <v>0</v>
      </c>
      <c r="AH90" s="207">
        <f>SUMIFS('июнь 2023'!$G$4:$G$886,'июнь 2023'!$D$4:$D$886,$B90,'июнь 2023'!$J$4:$J$886,AH$1)</f>
        <v>0</v>
      </c>
      <c r="AI90" s="170">
        <f t="shared" si="2"/>
        <v>278</v>
      </c>
    </row>
    <row r="91" spans="2:35" ht="15" customHeight="1" x14ac:dyDescent="0.25">
      <c r="B91" s="216" t="s">
        <v>610</v>
      </c>
      <c r="C91" s="213">
        <v>180</v>
      </c>
      <c r="D91" s="207">
        <f>SUMIFS('июнь 2023'!$G$4:$G$886,'июнь 2023'!$D$4:$D$886,$B91,'июнь 2023'!$J$4:$J$886,D$1)</f>
        <v>0</v>
      </c>
      <c r="E91" s="207">
        <f>SUMIFS('июнь 2023'!$G$4:$G$886,'июнь 2023'!$D$4:$D$886,$B91,'июнь 2023'!$J$4:$J$886,E$1)</f>
        <v>0</v>
      </c>
      <c r="F91" s="207">
        <f>SUMIFS('июнь 2023'!$G$4:$G$886,'июнь 2023'!$D$4:$D$886,$B91,'июнь 2023'!$J$4:$J$886,F$1)</f>
        <v>0</v>
      </c>
      <c r="G91" s="207">
        <f>SUMIFS('июнь 2023'!$G$4:$G$886,'июнь 2023'!$D$4:$D$886,$B91,'июнь 2023'!$J$4:$J$886,G$1)</f>
        <v>0</v>
      </c>
      <c r="H91" s="207">
        <f>SUMIFS('июнь 2023'!$G$4:$G$886,'июнь 2023'!$D$4:$D$886,$B91,'июнь 2023'!$J$4:$J$886,H$1)</f>
        <v>0</v>
      </c>
      <c r="I91" s="207">
        <f>SUMIFS('июнь 2023'!$G$4:$G$886,'июнь 2023'!$D$4:$D$886,$B91,'июнь 2023'!$J$4:$J$886,I$1)</f>
        <v>0</v>
      </c>
      <c r="J91" s="207">
        <f>SUMIFS('июнь 2023'!$G$4:$G$886,'июнь 2023'!$D$4:$D$886,$B91,'июнь 2023'!$J$4:$J$886,J$1)</f>
        <v>0</v>
      </c>
      <c r="K91" s="207">
        <f>SUMIFS('июнь 2023'!$G$4:$G$886,'июнь 2023'!$D$4:$D$886,$B91,'июнь 2023'!$J$4:$J$886,K$1)</f>
        <v>0</v>
      </c>
      <c r="L91" s="207">
        <f>SUMIFS('июнь 2023'!$G$4:$G$886,'июнь 2023'!$D$4:$D$886,$B91,'июнь 2023'!$J$4:$J$886,L$1)</f>
        <v>0</v>
      </c>
      <c r="M91" s="207">
        <f>SUMIFS('июнь 2023'!$G$4:$G$886,'июнь 2023'!$D$4:$D$886,$B91,'июнь 2023'!$J$4:$J$886,M$1)</f>
        <v>0</v>
      </c>
      <c r="N91" s="207">
        <f>SUMIFS('июнь 2023'!$G$4:$G$886,'июнь 2023'!$D$4:$D$886,$B91,'июнь 2023'!$J$4:$J$886,N$1)</f>
        <v>0</v>
      </c>
      <c r="O91" s="207">
        <f>SUMIFS('июнь 2023'!$G$4:$G$886,'июнь 2023'!$D$4:$D$886,$B91,'июнь 2023'!$J$4:$J$886,O$1)</f>
        <v>0</v>
      </c>
      <c r="P91" s="207">
        <f>SUMIFS('июнь 2023'!$G$4:$G$886,'июнь 2023'!$D$4:$D$886,$B91,'июнь 2023'!$J$4:$J$886,P$1)</f>
        <v>0</v>
      </c>
      <c r="Q91" s="207">
        <f>SUMIFS('июнь 2023'!$G$4:$G$886,'июнь 2023'!$D$4:$D$886,$B91,'июнь 2023'!$J$4:$J$886,Q$1)</f>
        <v>0</v>
      </c>
      <c r="R91" s="207">
        <f>SUMIFS('июнь 2023'!$G$4:$G$886,'июнь 2023'!$D$4:$D$886,$B91,'июнь 2023'!$J$4:$J$886,R$1)</f>
        <v>0</v>
      </c>
      <c r="S91" s="207">
        <f>SUMIFS('июнь 2023'!$G$4:$G$886,'июнь 2023'!$D$4:$D$886,$B91,'июнь 2023'!$J$4:$J$886,S$1)</f>
        <v>0</v>
      </c>
      <c r="T91" s="207">
        <f>SUMIFS('июнь 2023'!$G$4:$G$886,'июнь 2023'!$D$4:$D$886,$B91,'июнь 2023'!$J$4:$J$886,T$1)</f>
        <v>0</v>
      </c>
      <c r="U91" s="207">
        <f>SUMIFS('июнь 2023'!$G$4:$G$886,'июнь 2023'!$D$4:$D$886,$B91,'июнь 2023'!$J$4:$J$886,U$1)</f>
        <v>0</v>
      </c>
      <c r="V91" s="207">
        <f>SUMIFS('июнь 2023'!$G$4:$G$886,'июнь 2023'!$D$4:$D$886,$B91,'июнь 2023'!$J$4:$J$886,V$1)</f>
        <v>0</v>
      </c>
      <c r="W91" s="207">
        <f>SUMIFS('июнь 2023'!$G$4:$G$886,'июнь 2023'!$D$4:$D$886,$B91,'июнь 2023'!$J$4:$J$886,W$1)</f>
        <v>0</v>
      </c>
      <c r="X91" s="207">
        <f>SUMIFS('июнь 2023'!$G$4:$G$886,'июнь 2023'!$D$4:$D$886,$B91,'июнь 2023'!$J$4:$J$886,X$1)</f>
        <v>0</v>
      </c>
      <c r="Y91" s="207">
        <f>SUMIFS('июнь 2023'!$G$4:$G$886,'июнь 2023'!$D$4:$D$886,$B91,'июнь 2023'!$J$4:$J$886,Y$1)</f>
        <v>0</v>
      </c>
      <c r="Z91" s="207">
        <f>SUMIFS('июнь 2023'!$G$4:$G$886,'июнь 2023'!$D$4:$D$886,$B91,'июнь 2023'!$J$4:$J$886,Z$1)</f>
        <v>0</v>
      </c>
      <c r="AA91" s="207">
        <f>SUMIFS('июнь 2023'!$G$4:$G$886,'июнь 2023'!$D$4:$D$886,$B91,'июнь 2023'!$J$4:$J$886,AA$1)</f>
        <v>0</v>
      </c>
      <c r="AB91" s="207">
        <f>SUMIFS('июнь 2023'!$G$4:$G$886,'июнь 2023'!$D$4:$D$886,$B91,'июнь 2023'!$J$4:$J$886,AB$1)</f>
        <v>0</v>
      </c>
      <c r="AC91" s="207">
        <f>SUMIFS('июнь 2023'!$G$4:$G$886,'июнь 2023'!$D$4:$D$886,$B91,'июнь 2023'!$J$4:$J$886,AC$1)</f>
        <v>0</v>
      </c>
      <c r="AD91" s="207">
        <f>SUMIFS('июнь 2023'!$G$4:$G$886,'июнь 2023'!$D$4:$D$886,$B91,'июнь 2023'!$J$4:$J$886,AD$1)</f>
        <v>0</v>
      </c>
      <c r="AE91" s="207">
        <f>SUMIFS('июнь 2023'!$G$4:$G$886,'июнь 2023'!$D$4:$D$886,$B91,'июнь 2023'!$J$4:$J$886,AE$1)</f>
        <v>0</v>
      </c>
      <c r="AF91" s="207">
        <f>SUMIFS('июнь 2023'!$G$4:$G$886,'июнь 2023'!$D$4:$D$886,$B91,'июнь 2023'!$J$4:$J$886,AF$1)</f>
        <v>0</v>
      </c>
      <c r="AG91" s="207">
        <f>SUMIFS('июнь 2023'!$G$4:$G$886,'июнь 2023'!$D$4:$D$886,$B91,'июнь 2023'!$J$4:$J$886,AG$1)</f>
        <v>0</v>
      </c>
      <c r="AH91" s="207">
        <f>SUMIFS('июнь 2023'!$G$4:$G$886,'июнь 2023'!$D$4:$D$886,$B91,'июнь 2023'!$J$4:$J$886,AH$1)</f>
        <v>0</v>
      </c>
      <c r="AI91" s="170">
        <f t="shared" si="2"/>
        <v>0</v>
      </c>
    </row>
    <row r="92" spans="2:35" ht="15" customHeight="1" x14ac:dyDescent="0.25">
      <c r="B92" s="216" t="s">
        <v>2192</v>
      </c>
      <c r="C92" s="213">
        <v>200</v>
      </c>
      <c r="D92" s="207">
        <f>SUMIFS('июнь 2023'!$G$4:$G$886,'июнь 2023'!$D$4:$D$886,$B92,'июнь 2023'!$J$4:$J$886,D$1)</f>
        <v>0</v>
      </c>
      <c r="E92" s="207">
        <f>SUMIFS('июнь 2023'!$G$4:$G$886,'июнь 2023'!$D$4:$D$886,$B92,'июнь 2023'!$J$4:$J$886,E$1)</f>
        <v>0</v>
      </c>
      <c r="F92" s="207">
        <f>SUMIFS('июнь 2023'!$G$4:$G$886,'июнь 2023'!$D$4:$D$886,$B92,'июнь 2023'!$J$4:$J$886,F$1)</f>
        <v>0</v>
      </c>
      <c r="G92" s="207">
        <f>SUMIFS('июнь 2023'!$G$4:$G$886,'июнь 2023'!$D$4:$D$886,$B92,'июнь 2023'!$J$4:$J$886,G$1)</f>
        <v>0</v>
      </c>
      <c r="H92" s="207">
        <f>SUMIFS('июнь 2023'!$G$4:$G$886,'июнь 2023'!$D$4:$D$886,$B92,'июнь 2023'!$J$4:$J$886,H$1)</f>
        <v>0</v>
      </c>
      <c r="I92" s="207">
        <f>SUMIFS('июнь 2023'!$G$4:$G$886,'июнь 2023'!$D$4:$D$886,$B92,'июнь 2023'!$J$4:$J$886,I$1)</f>
        <v>0</v>
      </c>
      <c r="J92" s="207">
        <f>SUMIFS('июнь 2023'!$G$4:$G$886,'июнь 2023'!$D$4:$D$886,$B92,'июнь 2023'!$J$4:$J$886,J$1)</f>
        <v>0</v>
      </c>
      <c r="K92" s="207">
        <f>SUMIFS('июнь 2023'!$G$4:$G$886,'июнь 2023'!$D$4:$D$886,$B92,'июнь 2023'!$J$4:$J$886,K$1)</f>
        <v>0</v>
      </c>
      <c r="L92" s="207">
        <f>SUMIFS('июнь 2023'!$G$4:$G$886,'июнь 2023'!$D$4:$D$886,$B92,'июнь 2023'!$J$4:$J$886,L$1)</f>
        <v>0</v>
      </c>
      <c r="M92" s="207">
        <f>SUMIFS('июнь 2023'!$G$4:$G$886,'июнь 2023'!$D$4:$D$886,$B92,'июнь 2023'!$J$4:$J$886,M$1)</f>
        <v>0</v>
      </c>
      <c r="N92" s="207">
        <f>SUMIFS('июнь 2023'!$G$4:$G$886,'июнь 2023'!$D$4:$D$886,$B92,'июнь 2023'!$J$4:$J$886,N$1)</f>
        <v>0</v>
      </c>
      <c r="O92" s="207">
        <f>SUMIFS('июнь 2023'!$G$4:$G$886,'июнь 2023'!$D$4:$D$886,$B92,'июнь 2023'!$J$4:$J$886,O$1)</f>
        <v>0</v>
      </c>
      <c r="P92" s="207">
        <f>SUMIFS('июнь 2023'!$G$4:$G$886,'июнь 2023'!$D$4:$D$886,$B92,'июнь 2023'!$J$4:$J$886,P$1)</f>
        <v>0</v>
      </c>
      <c r="Q92" s="207">
        <f>SUMIFS('июнь 2023'!$G$4:$G$886,'июнь 2023'!$D$4:$D$886,$B92,'июнь 2023'!$J$4:$J$886,Q$1)</f>
        <v>0</v>
      </c>
      <c r="R92" s="207">
        <f>SUMIFS('июнь 2023'!$G$4:$G$886,'июнь 2023'!$D$4:$D$886,$B92,'июнь 2023'!$J$4:$J$886,R$1)</f>
        <v>0</v>
      </c>
      <c r="S92" s="207">
        <f>SUMIFS('июнь 2023'!$G$4:$G$886,'июнь 2023'!$D$4:$D$886,$B92,'июнь 2023'!$J$4:$J$886,S$1)</f>
        <v>0</v>
      </c>
      <c r="T92" s="207">
        <f>SUMIFS('июнь 2023'!$G$4:$G$886,'июнь 2023'!$D$4:$D$886,$B92,'июнь 2023'!$J$4:$J$886,T$1)</f>
        <v>0</v>
      </c>
      <c r="U92" s="207">
        <f>SUMIFS('июнь 2023'!$G$4:$G$886,'июнь 2023'!$D$4:$D$886,$B92,'июнь 2023'!$J$4:$J$886,U$1)</f>
        <v>0</v>
      </c>
      <c r="V92" s="207">
        <f>SUMIFS('июнь 2023'!$G$4:$G$886,'июнь 2023'!$D$4:$D$886,$B92,'июнь 2023'!$J$4:$J$886,V$1)</f>
        <v>0</v>
      </c>
      <c r="W92" s="207">
        <f>SUMIFS('июнь 2023'!$G$4:$G$886,'июнь 2023'!$D$4:$D$886,$B92,'июнь 2023'!$J$4:$J$886,W$1)</f>
        <v>0</v>
      </c>
      <c r="X92" s="207">
        <f>SUMIFS('июнь 2023'!$G$4:$G$886,'июнь 2023'!$D$4:$D$886,$B92,'июнь 2023'!$J$4:$J$886,X$1)</f>
        <v>0</v>
      </c>
      <c r="Y92" s="207">
        <f>SUMIFS('июнь 2023'!$G$4:$G$886,'июнь 2023'!$D$4:$D$886,$B92,'июнь 2023'!$J$4:$J$886,Y$1)</f>
        <v>0</v>
      </c>
      <c r="Z92" s="207">
        <f>SUMIFS('июнь 2023'!$G$4:$G$886,'июнь 2023'!$D$4:$D$886,$B92,'июнь 2023'!$J$4:$J$886,Z$1)</f>
        <v>0</v>
      </c>
      <c r="AA92" s="207">
        <f>SUMIFS('июнь 2023'!$G$4:$G$886,'июнь 2023'!$D$4:$D$886,$B92,'июнь 2023'!$J$4:$J$886,AA$1)</f>
        <v>0</v>
      </c>
      <c r="AB92" s="207">
        <f>SUMIFS('июнь 2023'!$G$4:$G$886,'июнь 2023'!$D$4:$D$886,$B92,'июнь 2023'!$J$4:$J$886,AB$1)</f>
        <v>0</v>
      </c>
      <c r="AC92" s="207">
        <f>SUMIFS('июнь 2023'!$G$4:$G$886,'июнь 2023'!$D$4:$D$886,$B92,'июнь 2023'!$J$4:$J$886,AC$1)</f>
        <v>0</v>
      </c>
      <c r="AD92" s="207">
        <f>SUMIFS('июнь 2023'!$G$4:$G$886,'июнь 2023'!$D$4:$D$886,$B92,'июнь 2023'!$J$4:$J$886,AD$1)</f>
        <v>0</v>
      </c>
      <c r="AE92" s="207">
        <f>SUMIFS('июнь 2023'!$G$4:$G$886,'июнь 2023'!$D$4:$D$886,$B92,'июнь 2023'!$J$4:$J$886,AE$1)</f>
        <v>0</v>
      </c>
      <c r="AF92" s="207">
        <f>SUMIFS('июнь 2023'!$G$4:$G$886,'июнь 2023'!$D$4:$D$886,$B92,'июнь 2023'!$J$4:$J$886,AF$1)</f>
        <v>0</v>
      </c>
      <c r="AG92" s="207">
        <f>SUMIFS('июнь 2023'!$G$4:$G$886,'июнь 2023'!$D$4:$D$886,$B92,'июнь 2023'!$J$4:$J$886,AG$1)</f>
        <v>0</v>
      </c>
      <c r="AH92" s="207">
        <f>SUMIFS('июнь 2023'!$G$4:$G$886,'июнь 2023'!$D$4:$D$886,$B92,'июнь 2023'!$J$4:$J$886,AH$1)</f>
        <v>0</v>
      </c>
      <c r="AI92" s="170">
        <f t="shared" si="2"/>
        <v>0</v>
      </c>
    </row>
    <row r="93" spans="2:35" ht="15" customHeight="1" x14ac:dyDescent="0.25">
      <c r="B93" s="216" t="s">
        <v>308</v>
      </c>
      <c r="C93" s="213">
        <v>180</v>
      </c>
      <c r="D93" s="207">
        <f>SUMIFS('июнь 2023'!$G$4:$G$886,'июнь 2023'!$D$4:$D$886,$B93,'июнь 2023'!$J$4:$J$886,D$1)</f>
        <v>0</v>
      </c>
      <c r="E93" s="207">
        <f>SUMIFS('июнь 2023'!$G$4:$G$886,'июнь 2023'!$D$4:$D$886,$B93,'июнь 2023'!$J$4:$J$886,E$1)</f>
        <v>0</v>
      </c>
      <c r="F93" s="207">
        <f>SUMIFS('июнь 2023'!$G$4:$G$886,'июнь 2023'!$D$4:$D$886,$B93,'июнь 2023'!$J$4:$J$886,F$1)</f>
        <v>0</v>
      </c>
      <c r="G93" s="207">
        <f>SUMIFS('июнь 2023'!$G$4:$G$886,'июнь 2023'!$D$4:$D$886,$B93,'июнь 2023'!$J$4:$J$886,G$1)</f>
        <v>0</v>
      </c>
      <c r="H93" s="207">
        <f>SUMIFS('июнь 2023'!$G$4:$G$886,'июнь 2023'!$D$4:$D$886,$B93,'июнь 2023'!$J$4:$J$886,H$1)</f>
        <v>0</v>
      </c>
      <c r="I93" s="207">
        <f>SUMIFS('июнь 2023'!$G$4:$G$886,'июнь 2023'!$D$4:$D$886,$B93,'июнь 2023'!$J$4:$J$886,I$1)</f>
        <v>0</v>
      </c>
      <c r="J93" s="207">
        <f>SUMIFS('июнь 2023'!$G$4:$G$886,'июнь 2023'!$D$4:$D$886,$B93,'июнь 2023'!$J$4:$J$886,J$1)</f>
        <v>0</v>
      </c>
      <c r="K93" s="207">
        <f>SUMIFS('июнь 2023'!$G$4:$G$886,'июнь 2023'!$D$4:$D$886,$B93,'июнь 2023'!$J$4:$J$886,K$1)</f>
        <v>0</v>
      </c>
      <c r="L93" s="207">
        <f>SUMIFS('июнь 2023'!$G$4:$G$886,'июнь 2023'!$D$4:$D$886,$B93,'июнь 2023'!$J$4:$J$886,L$1)</f>
        <v>0</v>
      </c>
      <c r="M93" s="207">
        <f>SUMIFS('июнь 2023'!$G$4:$G$886,'июнь 2023'!$D$4:$D$886,$B93,'июнь 2023'!$J$4:$J$886,M$1)</f>
        <v>0</v>
      </c>
      <c r="N93" s="207">
        <f>SUMIFS('июнь 2023'!$G$4:$G$886,'июнь 2023'!$D$4:$D$886,$B93,'июнь 2023'!$J$4:$J$886,N$1)</f>
        <v>0</v>
      </c>
      <c r="O93" s="207">
        <f>SUMIFS('июнь 2023'!$G$4:$G$886,'июнь 2023'!$D$4:$D$886,$B93,'июнь 2023'!$J$4:$J$886,O$1)</f>
        <v>0</v>
      </c>
      <c r="P93" s="207">
        <f>SUMIFS('июнь 2023'!$G$4:$G$886,'июнь 2023'!$D$4:$D$886,$B93,'июнь 2023'!$J$4:$J$886,P$1)</f>
        <v>0</v>
      </c>
      <c r="Q93" s="207">
        <f>SUMIFS('июнь 2023'!$G$4:$G$886,'июнь 2023'!$D$4:$D$886,$B93,'июнь 2023'!$J$4:$J$886,Q$1)</f>
        <v>0</v>
      </c>
      <c r="R93" s="207">
        <f>SUMIFS('июнь 2023'!$G$4:$G$886,'июнь 2023'!$D$4:$D$886,$B93,'июнь 2023'!$J$4:$J$886,R$1)</f>
        <v>0</v>
      </c>
      <c r="S93" s="207">
        <f>SUMIFS('июнь 2023'!$G$4:$G$886,'июнь 2023'!$D$4:$D$886,$B93,'июнь 2023'!$J$4:$J$886,S$1)</f>
        <v>0</v>
      </c>
      <c r="T93" s="207">
        <f>SUMIFS('июнь 2023'!$G$4:$G$886,'июнь 2023'!$D$4:$D$886,$B93,'июнь 2023'!$J$4:$J$886,T$1)</f>
        <v>0</v>
      </c>
      <c r="U93" s="207">
        <f>SUMIFS('июнь 2023'!$G$4:$G$886,'июнь 2023'!$D$4:$D$886,$B93,'июнь 2023'!$J$4:$J$886,U$1)</f>
        <v>0</v>
      </c>
      <c r="V93" s="207">
        <f>SUMIFS('июнь 2023'!$G$4:$G$886,'июнь 2023'!$D$4:$D$886,$B93,'июнь 2023'!$J$4:$J$886,V$1)</f>
        <v>0</v>
      </c>
      <c r="W93" s="207">
        <f>SUMIFS('июнь 2023'!$G$4:$G$886,'июнь 2023'!$D$4:$D$886,$B93,'июнь 2023'!$J$4:$J$886,W$1)</f>
        <v>0</v>
      </c>
      <c r="X93" s="207">
        <f>SUMIFS('июнь 2023'!$G$4:$G$886,'июнь 2023'!$D$4:$D$886,$B93,'июнь 2023'!$J$4:$J$886,X$1)</f>
        <v>0</v>
      </c>
      <c r="Y93" s="207">
        <f>SUMIFS('июнь 2023'!$G$4:$G$886,'июнь 2023'!$D$4:$D$886,$B93,'июнь 2023'!$J$4:$J$886,Y$1)</f>
        <v>0</v>
      </c>
      <c r="Z93" s="207">
        <f>SUMIFS('июнь 2023'!$G$4:$G$886,'июнь 2023'!$D$4:$D$886,$B93,'июнь 2023'!$J$4:$J$886,Z$1)</f>
        <v>0</v>
      </c>
      <c r="AA93" s="207">
        <f>SUMIFS('июнь 2023'!$G$4:$G$886,'июнь 2023'!$D$4:$D$886,$B93,'июнь 2023'!$J$4:$J$886,AA$1)</f>
        <v>0</v>
      </c>
      <c r="AB93" s="207">
        <f>SUMIFS('июнь 2023'!$G$4:$G$886,'июнь 2023'!$D$4:$D$886,$B93,'июнь 2023'!$J$4:$J$886,AB$1)</f>
        <v>0</v>
      </c>
      <c r="AC93" s="207">
        <f>SUMIFS('июнь 2023'!$G$4:$G$886,'июнь 2023'!$D$4:$D$886,$B93,'июнь 2023'!$J$4:$J$886,AC$1)</f>
        <v>0</v>
      </c>
      <c r="AD93" s="207">
        <f>SUMIFS('июнь 2023'!$G$4:$G$886,'июнь 2023'!$D$4:$D$886,$B93,'июнь 2023'!$J$4:$J$886,AD$1)</f>
        <v>0</v>
      </c>
      <c r="AE93" s="207">
        <f>SUMIFS('июнь 2023'!$G$4:$G$886,'июнь 2023'!$D$4:$D$886,$B93,'июнь 2023'!$J$4:$J$886,AE$1)</f>
        <v>0</v>
      </c>
      <c r="AF93" s="207">
        <f>SUMIFS('июнь 2023'!$G$4:$G$886,'июнь 2023'!$D$4:$D$886,$B93,'июнь 2023'!$J$4:$J$886,AF$1)</f>
        <v>0</v>
      </c>
      <c r="AG93" s="207">
        <f>SUMIFS('июнь 2023'!$G$4:$G$886,'июнь 2023'!$D$4:$D$886,$B93,'июнь 2023'!$J$4:$J$886,AG$1)</f>
        <v>0</v>
      </c>
      <c r="AH93" s="207">
        <f>SUMIFS('июнь 2023'!$G$4:$G$886,'июнь 2023'!$D$4:$D$886,$B93,'июнь 2023'!$J$4:$J$886,AH$1)</f>
        <v>0</v>
      </c>
      <c r="AI93" s="170">
        <f t="shared" si="2"/>
        <v>0</v>
      </c>
    </row>
    <row r="94" spans="2:35" ht="15" customHeight="1" x14ac:dyDescent="0.25">
      <c r="B94" s="216" t="s">
        <v>770</v>
      </c>
      <c r="C94" s="213">
        <v>190</v>
      </c>
      <c r="D94" s="207">
        <f>SUMIFS('июнь 2023'!$G$4:$G$886,'июнь 2023'!$D$4:$D$886,$B94,'июнь 2023'!$J$4:$J$886,D$1)</f>
        <v>0</v>
      </c>
      <c r="E94" s="207">
        <f>SUMIFS('июнь 2023'!$G$4:$G$886,'июнь 2023'!$D$4:$D$886,$B94,'июнь 2023'!$J$4:$J$886,E$1)</f>
        <v>0</v>
      </c>
      <c r="F94" s="207">
        <f>SUMIFS('июнь 2023'!$G$4:$G$886,'июнь 2023'!$D$4:$D$886,$B94,'июнь 2023'!$J$4:$J$886,F$1)</f>
        <v>0</v>
      </c>
      <c r="G94" s="207">
        <f>SUMIFS('июнь 2023'!$G$4:$G$886,'июнь 2023'!$D$4:$D$886,$B94,'июнь 2023'!$J$4:$J$886,G$1)</f>
        <v>0</v>
      </c>
      <c r="H94" s="207">
        <f>SUMIFS('июнь 2023'!$G$4:$G$886,'июнь 2023'!$D$4:$D$886,$B94,'июнь 2023'!$J$4:$J$886,H$1)</f>
        <v>0</v>
      </c>
      <c r="I94" s="207">
        <f>SUMIFS('июнь 2023'!$G$4:$G$886,'июнь 2023'!$D$4:$D$886,$B94,'июнь 2023'!$J$4:$J$886,I$1)</f>
        <v>0</v>
      </c>
      <c r="J94" s="207">
        <f>SUMIFS('июнь 2023'!$G$4:$G$886,'июнь 2023'!$D$4:$D$886,$B94,'июнь 2023'!$J$4:$J$886,J$1)</f>
        <v>0</v>
      </c>
      <c r="K94" s="207">
        <f>SUMIFS('июнь 2023'!$G$4:$G$886,'июнь 2023'!$D$4:$D$886,$B94,'июнь 2023'!$J$4:$J$886,K$1)</f>
        <v>0</v>
      </c>
      <c r="L94" s="207">
        <f>SUMIFS('июнь 2023'!$G$4:$G$886,'июнь 2023'!$D$4:$D$886,$B94,'июнь 2023'!$J$4:$J$886,L$1)</f>
        <v>0</v>
      </c>
      <c r="M94" s="207">
        <f>SUMIFS('июнь 2023'!$G$4:$G$886,'июнь 2023'!$D$4:$D$886,$B94,'июнь 2023'!$J$4:$J$886,M$1)</f>
        <v>0</v>
      </c>
      <c r="N94" s="207">
        <f>SUMIFS('июнь 2023'!$G$4:$G$886,'июнь 2023'!$D$4:$D$886,$B94,'июнь 2023'!$J$4:$J$886,N$1)</f>
        <v>0</v>
      </c>
      <c r="O94" s="207">
        <f>SUMIFS('июнь 2023'!$G$4:$G$886,'июнь 2023'!$D$4:$D$886,$B94,'июнь 2023'!$J$4:$J$886,O$1)</f>
        <v>0</v>
      </c>
      <c r="P94" s="207">
        <f>SUMIFS('июнь 2023'!$G$4:$G$886,'июнь 2023'!$D$4:$D$886,$B94,'июнь 2023'!$J$4:$J$886,P$1)</f>
        <v>0</v>
      </c>
      <c r="Q94" s="207">
        <f>SUMIFS('июнь 2023'!$G$4:$G$886,'июнь 2023'!$D$4:$D$886,$B94,'июнь 2023'!$J$4:$J$886,Q$1)</f>
        <v>0</v>
      </c>
      <c r="R94" s="207">
        <f>SUMIFS('июнь 2023'!$G$4:$G$886,'июнь 2023'!$D$4:$D$886,$B94,'июнь 2023'!$J$4:$J$886,R$1)</f>
        <v>0</v>
      </c>
      <c r="S94" s="207">
        <f>SUMIFS('июнь 2023'!$G$4:$G$886,'июнь 2023'!$D$4:$D$886,$B94,'июнь 2023'!$J$4:$J$886,S$1)</f>
        <v>0</v>
      </c>
      <c r="T94" s="207">
        <f>SUMIFS('июнь 2023'!$G$4:$G$886,'июнь 2023'!$D$4:$D$886,$B94,'июнь 2023'!$J$4:$J$886,T$1)</f>
        <v>0</v>
      </c>
      <c r="U94" s="207">
        <f>SUMIFS('июнь 2023'!$G$4:$G$886,'июнь 2023'!$D$4:$D$886,$B94,'июнь 2023'!$J$4:$J$886,U$1)</f>
        <v>0</v>
      </c>
      <c r="V94" s="207">
        <f>SUMIFS('июнь 2023'!$G$4:$G$886,'июнь 2023'!$D$4:$D$886,$B94,'июнь 2023'!$J$4:$J$886,V$1)</f>
        <v>0</v>
      </c>
      <c r="W94" s="207">
        <f>SUMIFS('июнь 2023'!$G$4:$G$886,'июнь 2023'!$D$4:$D$886,$B94,'июнь 2023'!$J$4:$J$886,W$1)</f>
        <v>0</v>
      </c>
      <c r="X94" s="207">
        <f>SUMIFS('июнь 2023'!$G$4:$G$886,'июнь 2023'!$D$4:$D$886,$B94,'июнь 2023'!$J$4:$J$886,X$1)</f>
        <v>30</v>
      </c>
      <c r="Y94" s="207">
        <f>SUMIFS('июнь 2023'!$G$4:$G$886,'июнь 2023'!$D$4:$D$886,$B94,'июнь 2023'!$J$4:$J$886,Y$1)</f>
        <v>0</v>
      </c>
      <c r="Z94" s="207">
        <f>SUMIFS('июнь 2023'!$G$4:$G$886,'июнь 2023'!$D$4:$D$886,$B94,'июнь 2023'!$J$4:$J$886,Z$1)</f>
        <v>0</v>
      </c>
      <c r="AA94" s="207">
        <f>SUMIFS('июнь 2023'!$G$4:$G$886,'июнь 2023'!$D$4:$D$886,$B94,'июнь 2023'!$J$4:$J$886,AA$1)</f>
        <v>0</v>
      </c>
      <c r="AB94" s="207">
        <f>SUMIFS('июнь 2023'!$G$4:$G$886,'июнь 2023'!$D$4:$D$886,$B94,'июнь 2023'!$J$4:$J$886,AB$1)</f>
        <v>0</v>
      </c>
      <c r="AC94" s="207">
        <f>SUMIFS('июнь 2023'!$G$4:$G$886,'июнь 2023'!$D$4:$D$886,$B94,'июнь 2023'!$J$4:$J$886,AC$1)</f>
        <v>0</v>
      </c>
      <c r="AD94" s="207">
        <f>SUMIFS('июнь 2023'!$G$4:$G$886,'июнь 2023'!$D$4:$D$886,$B94,'июнь 2023'!$J$4:$J$886,AD$1)</f>
        <v>0</v>
      </c>
      <c r="AE94" s="207">
        <f>SUMIFS('июнь 2023'!$G$4:$G$886,'июнь 2023'!$D$4:$D$886,$B94,'июнь 2023'!$J$4:$J$886,AE$1)</f>
        <v>0</v>
      </c>
      <c r="AF94" s="207">
        <f>SUMIFS('июнь 2023'!$G$4:$G$886,'июнь 2023'!$D$4:$D$886,$B94,'июнь 2023'!$J$4:$J$886,AF$1)</f>
        <v>0</v>
      </c>
      <c r="AG94" s="207">
        <f>SUMIFS('июнь 2023'!$G$4:$G$886,'июнь 2023'!$D$4:$D$886,$B94,'июнь 2023'!$J$4:$J$886,AG$1)</f>
        <v>0</v>
      </c>
      <c r="AH94" s="207">
        <f>SUMIFS('июнь 2023'!$G$4:$G$886,'июнь 2023'!$D$4:$D$886,$B94,'июнь 2023'!$J$4:$J$886,AH$1)</f>
        <v>0</v>
      </c>
      <c r="AI94" s="170">
        <f t="shared" si="2"/>
        <v>30</v>
      </c>
    </row>
    <row r="95" spans="2:35" ht="15" customHeight="1" x14ac:dyDescent="0.25">
      <c r="B95" s="216" t="s">
        <v>2193</v>
      </c>
      <c r="C95" s="213">
        <v>190</v>
      </c>
      <c r="D95" s="207">
        <f>SUMIFS('июнь 2023'!$G$4:$G$886,'июнь 2023'!$D$4:$D$886,$B95,'июнь 2023'!$J$4:$J$886,D$1)</f>
        <v>0</v>
      </c>
      <c r="E95" s="207">
        <f>SUMIFS('июнь 2023'!$G$4:$G$886,'июнь 2023'!$D$4:$D$886,$B95,'июнь 2023'!$J$4:$J$886,E$1)</f>
        <v>0</v>
      </c>
      <c r="F95" s="207">
        <f>SUMIFS('июнь 2023'!$G$4:$G$886,'июнь 2023'!$D$4:$D$886,$B95,'июнь 2023'!$J$4:$J$886,F$1)</f>
        <v>0</v>
      </c>
      <c r="G95" s="207">
        <f>SUMIFS('июнь 2023'!$G$4:$G$886,'июнь 2023'!$D$4:$D$886,$B95,'июнь 2023'!$J$4:$J$886,G$1)</f>
        <v>0</v>
      </c>
      <c r="H95" s="207">
        <f>SUMIFS('июнь 2023'!$G$4:$G$886,'июнь 2023'!$D$4:$D$886,$B95,'июнь 2023'!$J$4:$J$886,H$1)</f>
        <v>0</v>
      </c>
      <c r="I95" s="207">
        <f>SUMIFS('июнь 2023'!$G$4:$G$886,'июнь 2023'!$D$4:$D$886,$B95,'июнь 2023'!$J$4:$J$886,I$1)</f>
        <v>0</v>
      </c>
      <c r="J95" s="207">
        <f>SUMIFS('июнь 2023'!$G$4:$G$886,'июнь 2023'!$D$4:$D$886,$B95,'июнь 2023'!$J$4:$J$886,J$1)</f>
        <v>0</v>
      </c>
      <c r="K95" s="207">
        <f>SUMIFS('июнь 2023'!$G$4:$G$886,'июнь 2023'!$D$4:$D$886,$B95,'июнь 2023'!$J$4:$J$886,K$1)</f>
        <v>0</v>
      </c>
      <c r="L95" s="207">
        <f>SUMIFS('июнь 2023'!$G$4:$G$886,'июнь 2023'!$D$4:$D$886,$B95,'июнь 2023'!$J$4:$J$886,L$1)</f>
        <v>0</v>
      </c>
      <c r="M95" s="207">
        <f>SUMIFS('июнь 2023'!$G$4:$G$886,'июнь 2023'!$D$4:$D$886,$B95,'июнь 2023'!$J$4:$J$886,M$1)</f>
        <v>0</v>
      </c>
      <c r="N95" s="207">
        <f>SUMIFS('июнь 2023'!$G$4:$G$886,'июнь 2023'!$D$4:$D$886,$B95,'июнь 2023'!$J$4:$J$886,N$1)</f>
        <v>0</v>
      </c>
      <c r="O95" s="207">
        <f>SUMIFS('июнь 2023'!$G$4:$G$886,'июнь 2023'!$D$4:$D$886,$B95,'июнь 2023'!$J$4:$J$886,O$1)</f>
        <v>0</v>
      </c>
      <c r="P95" s="207">
        <f>SUMIFS('июнь 2023'!$G$4:$G$886,'июнь 2023'!$D$4:$D$886,$B95,'июнь 2023'!$J$4:$J$886,P$1)</f>
        <v>0</v>
      </c>
      <c r="Q95" s="207">
        <f>SUMIFS('июнь 2023'!$G$4:$G$886,'июнь 2023'!$D$4:$D$886,$B95,'июнь 2023'!$J$4:$J$886,Q$1)</f>
        <v>0</v>
      </c>
      <c r="R95" s="207">
        <f>SUMIFS('июнь 2023'!$G$4:$G$886,'июнь 2023'!$D$4:$D$886,$B95,'июнь 2023'!$J$4:$J$886,R$1)</f>
        <v>0</v>
      </c>
      <c r="S95" s="207">
        <f>SUMIFS('июнь 2023'!$G$4:$G$886,'июнь 2023'!$D$4:$D$886,$B95,'июнь 2023'!$J$4:$J$886,S$1)</f>
        <v>0</v>
      </c>
      <c r="T95" s="207">
        <f>SUMIFS('июнь 2023'!$G$4:$G$886,'июнь 2023'!$D$4:$D$886,$B95,'июнь 2023'!$J$4:$J$886,T$1)</f>
        <v>0</v>
      </c>
      <c r="U95" s="207">
        <f>SUMIFS('июнь 2023'!$G$4:$G$886,'июнь 2023'!$D$4:$D$886,$B95,'июнь 2023'!$J$4:$J$886,U$1)</f>
        <v>0</v>
      </c>
      <c r="V95" s="207">
        <f>SUMIFS('июнь 2023'!$G$4:$G$886,'июнь 2023'!$D$4:$D$886,$B95,'июнь 2023'!$J$4:$J$886,V$1)</f>
        <v>0</v>
      </c>
      <c r="W95" s="207">
        <f>SUMIFS('июнь 2023'!$G$4:$G$886,'июнь 2023'!$D$4:$D$886,$B95,'июнь 2023'!$J$4:$J$886,W$1)</f>
        <v>0</v>
      </c>
      <c r="X95" s="207">
        <f>SUMIFS('июнь 2023'!$G$4:$G$886,'июнь 2023'!$D$4:$D$886,$B95,'июнь 2023'!$J$4:$J$886,X$1)</f>
        <v>0</v>
      </c>
      <c r="Y95" s="207">
        <f>SUMIFS('июнь 2023'!$G$4:$G$886,'июнь 2023'!$D$4:$D$886,$B95,'июнь 2023'!$J$4:$J$886,Y$1)</f>
        <v>0</v>
      </c>
      <c r="Z95" s="207">
        <f>SUMIFS('июнь 2023'!$G$4:$G$886,'июнь 2023'!$D$4:$D$886,$B95,'июнь 2023'!$J$4:$J$886,Z$1)</f>
        <v>0</v>
      </c>
      <c r="AA95" s="207">
        <f>SUMIFS('июнь 2023'!$G$4:$G$886,'июнь 2023'!$D$4:$D$886,$B95,'июнь 2023'!$J$4:$J$886,AA$1)</f>
        <v>0</v>
      </c>
      <c r="AB95" s="207">
        <f>SUMIFS('июнь 2023'!$G$4:$G$886,'июнь 2023'!$D$4:$D$886,$B95,'июнь 2023'!$J$4:$J$886,AB$1)</f>
        <v>0</v>
      </c>
      <c r="AC95" s="207">
        <f>SUMIFS('июнь 2023'!$G$4:$G$886,'июнь 2023'!$D$4:$D$886,$B95,'июнь 2023'!$J$4:$J$886,AC$1)</f>
        <v>0</v>
      </c>
      <c r="AD95" s="207">
        <f>SUMIFS('июнь 2023'!$G$4:$G$886,'июнь 2023'!$D$4:$D$886,$B95,'июнь 2023'!$J$4:$J$886,AD$1)</f>
        <v>0</v>
      </c>
      <c r="AE95" s="207">
        <f>SUMIFS('июнь 2023'!$G$4:$G$886,'июнь 2023'!$D$4:$D$886,$B95,'июнь 2023'!$J$4:$J$886,AE$1)</f>
        <v>0</v>
      </c>
      <c r="AF95" s="207">
        <f>SUMIFS('июнь 2023'!$G$4:$G$886,'июнь 2023'!$D$4:$D$886,$B95,'июнь 2023'!$J$4:$J$886,AF$1)</f>
        <v>0</v>
      </c>
      <c r="AG95" s="207">
        <f>SUMIFS('июнь 2023'!$G$4:$G$886,'июнь 2023'!$D$4:$D$886,$B95,'июнь 2023'!$J$4:$J$886,AG$1)</f>
        <v>0</v>
      </c>
      <c r="AH95" s="207">
        <f>SUMIFS('июнь 2023'!$G$4:$G$886,'июнь 2023'!$D$4:$D$886,$B95,'июнь 2023'!$J$4:$J$886,AH$1)</f>
        <v>0</v>
      </c>
      <c r="AI95" s="170">
        <f t="shared" si="2"/>
        <v>0</v>
      </c>
    </row>
    <row r="96" spans="2:35" ht="15" customHeight="1" x14ac:dyDescent="0.25">
      <c r="B96" s="216" t="s">
        <v>2194</v>
      </c>
      <c r="C96" s="213">
        <v>20</v>
      </c>
      <c r="D96" s="207">
        <f>SUMIFS('июнь 2023'!$G$4:$G$886,'июнь 2023'!$D$4:$D$886,$B96,'июнь 2023'!$J$4:$J$886,D$1)</f>
        <v>0</v>
      </c>
      <c r="E96" s="207">
        <f>SUMIFS('июнь 2023'!$G$4:$G$886,'июнь 2023'!$D$4:$D$886,$B96,'июнь 2023'!$J$4:$J$886,E$1)</f>
        <v>0</v>
      </c>
      <c r="F96" s="207">
        <f>SUMIFS('июнь 2023'!$G$4:$G$886,'июнь 2023'!$D$4:$D$886,$B96,'июнь 2023'!$J$4:$J$886,F$1)</f>
        <v>0</v>
      </c>
      <c r="G96" s="207">
        <f>SUMIFS('июнь 2023'!$G$4:$G$886,'июнь 2023'!$D$4:$D$886,$B96,'июнь 2023'!$J$4:$J$886,G$1)</f>
        <v>0</v>
      </c>
      <c r="H96" s="207">
        <f>SUMIFS('июнь 2023'!$G$4:$G$886,'июнь 2023'!$D$4:$D$886,$B96,'июнь 2023'!$J$4:$J$886,H$1)</f>
        <v>0</v>
      </c>
      <c r="I96" s="207">
        <f>SUMIFS('июнь 2023'!$G$4:$G$886,'июнь 2023'!$D$4:$D$886,$B96,'июнь 2023'!$J$4:$J$886,I$1)</f>
        <v>0</v>
      </c>
      <c r="J96" s="207">
        <f>SUMIFS('июнь 2023'!$G$4:$G$886,'июнь 2023'!$D$4:$D$886,$B96,'июнь 2023'!$J$4:$J$886,J$1)</f>
        <v>0</v>
      </c>
      <c r="K96" s="207">
        <f>SUMIFS('июнь 2023'!$G$4:$G$886,'июнь 2023'!$D$4:$D$886,$B96,'июнь 2023'!$J$4:$J$886,K$1)</f>
        <v>0</v>
      </c>
      <c r="L96" s="207">
        <f>SUMIFS('июнь 2023'!$G$4:$G$886,'июнь 2023'!$D$4:$D$886,$B96,'июнь 2023'!$J$4:$J$886,L$1)</f>
        <v>0</v>
      </c>
      <c r="M96" s="207">
        <f>SUMIFS('июнь 2023'!$G$4:$G$886,'июнь 2023'!$D$4:$D$886,$B96,'июнь 2023'!$J$4:$J$886,M$1)</f>
        <v>0</v>
      </c>
      <c r="N96" s="207">
        <f>SUMIFS('июнь 2023'!$G$4:$G$886,'июнь 2023'!$D$4:$D$886,$B96,'июнь 2023'!$J$4:$J$886,N$1)</f>
        <v>0</v>
      </c>
      <c r="O96" s="207">
        <f>SUMIFS('июнь 2023'!$G$4:$G$886,'июнь 2023'!$D$4:$D$886,$B96,'июнь 2023'!$J$4:$J$886,O$1)</f>
        <v>0</v>
      </c>
      <c r="P96" s="207">
        <f>SUMIFS('июнь 2023'!$G$4:$G$886,'июнь 2023'!$D$4:$D$886,$B96,'июнь 2023'!$J$4:$J$886,P$1)</f>
        <v>0</v>
      </c>
      <c r="Q96" s="207">
        <f>SUMIFS('июнь 2023'!$G$4:$G$886,'июнь 2023'!$D$4:$D$886,$B96,'июнь 2023'!$J$4:$J$886,Q$1)</f>
        <v>0</v>
      </c>
      <c r="R96" s="207">
        <f>SUMIFS('июнь 2023'!$G$4:$G$886,'июнь 2023'!$D$4:$D$886,$B96,'июнь 2023'!$J$4:$J$886,R$1)</f>
        <v>0</v>
      </c>
      <c r="S96" s="207">
        <f>SUMIFS('июнь 2023'!$G$4:$G$886,'июнь 2023'!$D$4:$D$886,$B96,'июнь 2023'!$J$4:$J$886,S$1)</f>
        <v>0</v>
      </c>
      <c r="T96" s="207">
        <f>SUMIFS('июнь 2023'!$G$4:$G$886,'июнь 2023'!$D$4:$D$886,$B96,'июнь 2023'!$J$4:$J$886,T$1)</f>
        <v>0</v>
      </c>
      <c r="U96" s="207">
        <f>SUMIFS('июнь 2023'!$G$4:$G$886,'июнь 2023'!$D$4:$D$886,$B96,'июнь 2023'!$J$4:$J$886,U$1)</f>
        <v>0</v>
      </c>
      <c r="V96" s="207">
        <f>SUMIFS('июнь 2023'!$G$4:$G$886,'июнь 2023'!$D$4:$D$886,$B96,'июнь 2023'!$J$4:$J$886,V$1)</f>
        <v>0</v>
      </c>
      <c r="W96" s="207">
        <f>SUMIFS('июнь 2023'!$G$4:$G$886,'июнь 2023'!$D$4:$D$886,$B96,'июнь 2023'!$J$4:$J$886,W$1)</f>
        <v>0</v>
      </c>
      <c r="X96" s="207">
        <f>SUMIFS('июнь 2023'!$G$4:$G$886,'июнь 2023'!$D$4:$D$886,$B96,'июнь 2023'!$J$4:$J$886,X$1)</f>
        <v>0</v>
      </c>
      <c r="Y96" s="207">
        <f>SUMIFS('июнь 2023'!$G$4:$G$886,'июнь 2023'!$D$4:$D$886,$B96,'июнь 2023'!$J$4:$J$886,Y$1)</f>
        <v>0</v>
      </c>
      <c r="Z96" s="207">
        <f>SUMIFS('июнь 2023'!$G$4:$G$886,'июнь 2023'!$D$4:$D$886,$B96,'июнь 2023'!$J$4:$J$886,Z$1)</f>
        <v>0</v>
      </c>
      <c r="AA96" s="207">
        <f>SUMIFS('июнь 2023'!$G$4:$G$886,'июнь 2023'!$D$4:$D$886,$B96,'июнь 2023'!$J$4:$J$886,AA$1)</f>
        <v>0</v>
      </c>
      <c r="AB96" s="207">
        <f>SUMIFS('июнь 2023'!$G$4:$G$886,'июнь 2023'!$D$4:$D$886,$B96,'июнь 2023'!$J$4:$J$886,AB$1)</f>
        <v>0</v>
      </c>
      <c r="AC96" s="207">
        <f>SUMIFS('июнь 2023'!$G$4:$G$886,'июнь 2023'!$D$4:$D$886,$B96,'июнь 2023'!$J$4:$J$886,AC$1)</f>
        <v>0</v>
      </c>
      <c r="AD96" s="207">
        <f>SUMIFS('июнь 2023'!$G$4:$G$886,'июнь 2023'!$D$4:$D$886,$B96,'июнь 2023'!$J$4:$J$886,AD$1)</f>
        <v>0</v>
      </c>
      <c r="AE96" s="207">
        <f>SUMIFS('июнь 2023'!$G$4:$G$886,'июнь 2023'!$D$4:$D$886,$B96,'июнь 2023'!$J$4:$J$886,AE$1)</f>
        <v>0</v>
      </c>
      <c r="AF96" s="207">
        <f>SUMIFS('июнь 2023'!$G$4:$G$886,'июнь 2023'!$D$4:$D$886,$B96,'июнь 2023'!$J$4:$J$886,AF$1)</f>
        <v>0</v>
      </c>
      <c r="AG96" s="207">
        <f>SUMIFS('июнь 2023'!$G$4:$G$886,'июнь 2023'!$D$4:$D$886,$B96,'июнь 2023'!$J$4:$J$886,AG$1)</f>
        <v>0</v>
      </c>
      <c r="AH96" s="207">
        <f>SUMIFS('июнь 2023'!$G$4:$G$886,'июнь 2023'!$D$4:$D$886,$B96,'июнь 2023'!$J$4:$J$886,AH$1)</f>
        <v>0</v>
      </c>
      <c r="AI96" s="170">
        <f t="shared" si="2"/>
        <v>0</v>
      </c>
    </row>
    <row r="97" spans="2:35" ht="15" customHeight="1" x14ac:dyDescent="0.25">
      <c r="B97" s="212" t="s">
        <v>2195</v>
      </c>
      <c r="C97" s="211">
        <v>20</v>
      </c>
      <c r="D97" s="207">
        <f>SUMIFS('июнь 2023'!$G$4:$G$886,'июнь 2023'!$D$4:$D$886,$B97,'июнь 2023'!$J$4:$J$886,D$1)</f>
        <v>0</v>
      </c>
      <c r="E97" s="207">
        <f>SUMIFS('июнь 2023'!$G$4:$G$886,'июнь 2023'!$D$4:$D$886,$B97,'июнь 2023'!$J$4:$J$886,E$1)</f>
        <v>0</v>
      </c>
      <c r="F97" s="207">
        <f>SUMIFS('июнь 2023'!$G$4:$G$886,'июнь 2023'!$D$4:$D$886,$B97,'июнь 2023'!$J$4:$J$886,F$1)</f>
        <v>0</v>
      </c>
      <c r="G97" s="207">
        <f>SUMIFS('июнь 2023'!$G$4:$G$886,'июнь 2023'!$D$4:$D$886,$B97,'июнь 2023'!$J$4:$J$886,G$1)</f>
        <v>0</v>
      </c>
      <c r="H97" s="207">
        <f>SUMIFS('июнь 2023'!$G$4:$G$886,'июнь 2023'!$D$4:$D$886,$B97,'июнь 2023'!$J$4:$J$886,H$1)</f>
        <v>0</v>
      </c>
      <c r="I97" s="207">
        <f>SUMIFS('июнь 2023'!$G$4:$G$886,'июнь 2023'!$D$4:$D$886,$B97,'июнь 2023'!$J$4:$J$886,I$1)</f>
        <v>0</v>
      </c>
      <c r="J97" s="207">
        <f>SUMIFS('июнь 2023'!$G$4:$G$886,'июнь 2023'!$D$4:$D$886,$B97,'июнь 2023'!$J$4:$J$886,J$1)</f>
        <v>0</v>
      </c>
      <c r="K97" s="207">
        <f>SUMIFS('июнь 2023'!$G$4:$G$886,'июнь 2023'!$D$4:$D$886,$B97,'июнь 2023'!$J$4:$J$886,K$1)</f>
        <v>0</v>
      </c>
      <c r="L97" s="207">
        <f>SUMIFS('июнь 2023'!$G$4:$G$886,'июнь 2023'!$D$4:$D$886,$B97,'июнь 2023'!$J$4:$J$886,L$1)</f>
        <v>0</v>
      </c>
      <c r="M97" s="207">
        <f>SUMIFS('июнь 2023'!$G$4:$G$886,'июнь 2023'!$D$4:$D$886,$B97,'июнь 2023'!$J$4:$J$886,M$1)</f>
        <v>0</v>
      </c>
      <c r="N97" s="207">
        <f>SUMIFS('июнь 2023'!$G$4:$G$886,'июнь 2023'!$D$4:$D$886,$B97,'июнь 2023'!$J$4:$J$886,N$1)</f>
        <v>0</v>
      </c>
      <c r="O97" s="207">
        <f>SUMIFS('июнь 2023'!$G$4:$G$886,'июнь 2023'!$D$4:$D$886,$B97,'июнь 2023'!$J$4:$J$886,O$1)</f>
        <v>0</v>
      </c>
      <c r="P97" s="207">
        <f>SUMIFS('июнь 2023'!$G$4:$G$886,'июнь 2023'!$D$4:$D$886,$B97,'июнь 2023'!$J$4:$J$886,P$1)</f>
        <v>0</v>
      </c>
      <c r="Q97" s="207">
        <f>SUMIFS('июнь 2023'!$G$4:$G$886,'июнь 2023'!$D$4:$D$886,$B97,'июнь 2023'!$J$4:$J$886,Q$1)</f>
        <v>0</v>
      </c>
      <c r="R97" s="207">
        <f>SUMIFS('июнь 2023'!$G$4:$G$886,'июнь 2023'!$D$4:$D$886,$B97,'июнь 2023'!$J$4:$J$886,R$1)</f>
        <v>0</v>
      </c>
      <c r="S97" s="207">
        <f>SUMIFS('июнь 2023'!$G$4:$G$886,'июнь 2023'!$D$4:$D$886,$B97,'июнь 2023'!$J$4:$J$886,S$1)</f>
        <v>0</v>
      </c>
      <c r="T97" s="207">
        <f>SUMIFS('июнь 2023'!$G$4:$G$886,'июнь 2023'!$D$4:$D$886,$B97,'июнь 2023'!$J$4:$J$886,T$1)</f>
        <v>0</v>
      </c>
      <c r="U97" s="207">
        <f>SUMIFS('июнь 2023'!$G$4:$G$886,'июнь 2023'!$D$4:$D$886,$B97,'июнь 2023'!$J$4:$J$886,U$1)</f>
        <v>0</v>
      </c>
      <c r="V97" s="207">
        <f>SUMIFS('июнь 2023'!$G$4:$G$886,'июнь 2023'!$D$4:$D$886,$B97,'июнь 2023'!$J$4:$J$886,V$1)</f>
        <v>0</v>
      </c>
      <c r="W97" s="207">
        <f>SUMIFS('июнь 2023'!$G$4:$G$886,'июнь 2023'!$D$4:$D$886,$B97,'июнь 2023'!$J$4:$J$886,W$1)</f>
        <v>0</v>
      </c>
      <c r="X97" s="207">
        <f>SUMIFS('июнь 2023'!$G$4:$G$886,'июнь 2023'!$D$4:$D$886,$B97,'июнь 2023'!$J$4:$J$886,X$1)</f>
        <v>0</v>
      </c>
      <c r="Y97" s="207">
        <f>SUMIFS('июнь 2023'!$G$4:$G$886,'июнь 2023'!$D$4:$D$886,$B97,'июнь 2023'!$J$4:$J$886,Y$1)</f>
        <v>0</v>
      </c>
      <c r="Z97" s="207">
        <f>SUMIFS('июнь 2023'!$G$4:$G$886,'июнь 2023'!$D$4:$D$886,$B97,'июнь 2023'!$J$4:$J$886,Z$1)</f>
        <v>0</v>
      </c>
      <c r="AA97" s="207">
        <f>SUMIFS('июнь 2023'!$G$4:$G$886,'июнь 2023'!$D$4:$D$886,$B97,'июнь 2023'!$J$4:$J$886,AA$1)</f>
        <v>0</v>
      </c>
      <c r="AB97" s="207">
        <f>SUMIFS('июнь 2023'!$G$4:$G$886,'июнь 2023'!$D$4:$D$886,$B97,'июнь 2023'!$J$4:$J$886,AB$1)</f>
        <v>0</v>
      </c>
      <c r="AC97" s="207">
        <f>SUMIFS('июнь 2023'!$G$4:$G$886,'июнь 2023'!$D$4:$D$886,$B97,'июнь 2023'!$J$4:$J$886,AC$1)</f>
        <v>0</v>
      </c>
      <c r="AD97" s="207">
        <f>SUMIFS('июнь 2023'!$G$4:$G$886,'июнь 2023'!$D$4:$D$886,$B97,'июнь 2023'!$J$4:$J$886,AD$1)</f>
        <v>0</v>
      </c>
      <c r="AE97" s="207">
        <f>SUMIFS('июнь 2023'!$G$4:$G$886,'июнь 2023'!$D$4:$D$886,$B97,'июнь 2023'!$J$4:$J$886,AE$1)</f>
        <v>0</v>
      </c>
      <c r="AF97" s="207">
        <f>SUMIFS('июнь 2023'!$G$4:$G$886,'июнь 2023'!$D$4:$D$886,$B97,'июнь 2023'!$J$4:$J$886,AF$1)</f>
        <v>0</v>
      </c>
      <c r="AG97" s="207">
        <f>SUMIFS('июнь 2023'!$G$4:$G$886,'июнь 2023'!$D$4:$D$886,$B97,'июнь 2023'!$J$4:$J$886,AG$1)</f>
        <v>0</v>
      </c>
      <c r="AH97" s="207">
        <f>SUMIFS('июнь 2023'!$G$4:$G$886,'июнь 2023'!$D$4:$D$886,$B97,'июнь 2023'!$J$4:$J$886,AH$1)</f>
        <v>0</v>
      </c>
      <c r="AI97" s="170">
        <f t="shared" si="2"/>
        <v>0</v>
      </c>
    </row>
    <row r="98" spans="2:35" ht="15" customHeight="1" x14ac:dyDescent="0.25">
      <c r="B98" s="212" t="s">
        <v>2196</v>
      </c>
      <c r="C98" s="211">
        <v>20</v>
      </c>
      <c r="D98" s="207">
        <f>SUMIFS('июнь 2023'!$G$4:$G$886,'июнь 2023'!$D$4:$D$886,$B98,'июнь 2023'!$J$4:$J$886,D$1)</f>
        <v>0</v>
      </c>
      <c r="E98" s="207">
        <f>SUMIFS('июнь 2023'!$G$4:$G$886,'июнь 2023'!$D$4:$D$886,$B98,'июнь 2023'!$J$4:$J$886,E$1)</f>
        <v>0</v>
      </c>
      <c r="F98" s="207">
        <f>SUMIFS('июнь 2023'!$G$4:$G$886,'июнь 2023'!$D$4:$D$886,$B98,'июнь 2023'!$J$4:$J$886,F$1)</f>
        <v>0</v>
      </c>
      <c r="G98" s="207">
        <f>SUMIFS('июнь 2023'!$G$4:$G$886,'июнь 2023'!$D$4:$D$886,$B98,'июнь 2023'!$J$4:$J$886,G$1)</f>
        <v>0</v>
      </c>
      <c r="H98" s="207">
        <f>SUMIFS('июнь 2023'!$G$4:$G$886,'июнь 2023'!$D$4:$D$886,$B98,'июнь 2023'!$J$4:$J$886,H$1)</f>
        <v>0</v>
      </c>
      <c r="I98" s="207">
        <f>SUMIFS('июнь 2023'!$G$4:$G$886,'июнь 2023'!$D$4:$D$886,$B98,'июнь 2023'!$J$4:$J$886,I$1)</f>
        <v>0</v>
      </c>
      <c r="J98" s="207">
        <f>SUMIFS('июнь 2023'!$G$4:$G$886,'июнь 2023'!$D$4:$D$886,$B98,'июнь 2023'!$J$4:$J$886,J$1)</f>
        <v>0</v>
      </c>
      <c r="K98" s="207">
        <f>SUMIFS('июнь 2023'!$G$4:$G$886,'июнь 2023'!$D$4:$D$886,$B98,'июнь 2023'!$J$4:$J$886,K$1)</f>
        <v>0</v>
      </c>
      <c r="L98" s="207">
        <f>SUMIFS('июнь 2023'!$G$4:$G$886,'июнь 2023'!$D$4:$D$886,$B98,'июнь 2023'!$J$4:$J$886,L$1)</f>
        <v>0</v>
      </c>
      <c r="M98" s="207">
        <f>SUMIFS('июнь 2023'!$G$4:$G$886,'июнь 2023'!$D$4:$D$886,$B98,'июнь 2023'!$J$4:$J$886,M$1)</f>
        <v>0</v>
      </c>
      <c r="N98" s="207">
        <f>SUMIFS('июнь 2023'!$G$4:$G$886,'июнь 2023'!$D$4:$D$886,$B98,'июнь 2023'!$J$4:$J$886,N$1)</f>
        <v>0</v>
      </c>
      <c r="O98" s="207">
        <f>SUMIFS('июнь 2023'!$G$4:$G$886,'июнь 2023'!$D$4:$D$886,$B98,'июнь 2023'!$J$4:$J$886,O$1)</f>
        <v>0</v>
      </c>
      <c r="P98" s="207">
        <f>SUMIFS('июнь 2023'!$G$4:$G$886,'июнь 2023'!$D$4:$D$886,$B98,'июнь 2023'!$J$4:$J$886,P$1)</f>
        <v>0</v>
      </c>
      <c r="Q98" s="207">
        <f>SUMIFS('июнь 2023'!$G$4:$G$886,'июнь 2023'!$D$4:$D$886,$B98,'июнь 2023'!$J$4:$J$886,Q$1)</f>
        <v>0</v>
      </c>
      <c r="R98" s="207">
        <f>SUMIFS('июнь 2023'!$G$4:$G$886,'июнь 2023'!$D$4:$D$886,$B98,'июнь 2023'!$J$4:$J$886,R$1)</f>
        <v>0</v>
      </c>
      <c r="S98" s="207">
        <f>SUMIFS('июнь 2023'!$G$4:$G$886,'июнь 2023'!$D$4:$D$886,$B98,'июнь 2023'!$J$4:$J$886,S$1)</f>
        <v>0</v>
      </c>
      <c r="T98" s="207">
        <f>SUMIFS('июнь 2023'!$G$4:$G$886,'июнь 2023'!$D$4:$D$886,$B98,'июнь 2023'!$J$4:$J$886,T$1)</f>
        <v>0</v>
      </c>
      <c r="U98" s="207">
        <f>SUMIFS('июнь 2023'!$G$4:$G$886,'июнь 2023'!$D$4:$D$886,$B98,'июнь 2023'!$J$4:$J$886,U$1)</f>
        <v>0</v>
      </c>
      <c r="V98" s="207">
        <f>SUMIFS('июнь 2023'!$G$4:$G$886,'июнь 2023'!$D$4:$D$886,$B98,'июнь 2023'!$J$4:$J$886,V$1)</f>
        <v>0</v>
      </c>
      <c r="W98" s="207">
        <f>SUMIFS('июнь 2023'!$G$4:$G$886,'июнь 2023'!$D$4:$D$886,$B98,'июнь 2023'!$J$4:$J$886,W$1)</f>
        <v>0</v>
      </c>
      <c r="X98" s="207">
        <f>SUMIFS('июнь 2023'!$G$4:$G$886,'июнь 2023'!$D$4:$D$886,$B98,'июнь 2023'!$J$4:$J$886,X$1)</f>
        <v>0</v>
      </c>
      <c r="Y98" s="207">
        <f>SUMIFS('июнь 2023'!$G$4:$G$886,'июнь 2023'!$D$4:$D$886,$B98,'июнь 2023'!$J$4:$J$886,Y$1)</f>
        <v>0</v>
      </c>
      <c r="Z98" s="207">
        <f>SUMIFS('июнь 2023'!$G$4:$G$886,'июнь 2023'!$D$4:$D$886,$B98,'июнь 2023'!$J$4:$J$886,Z$1)</f>
        <v>0</v>
      </c>
      <c r="AA98" s="207">
        <f>SUMIFS('июнь 2023'!$G$4:$G$886,'июнь 2023'!$D$4:$D$886,$B98,'июнь 2023'!$J$4:$J$886,AA$1)</f>
        <v>0</v>
      </c>
      <c r="AB98" s="207">
        <f>SUMIFS('июнь 2023'!$G$4:$G$886,'июнь 2023'!$D$4:$D$886,$B98,'июнь 2023'!$J$4:$J$886,AB$1)</f>
        <v>0</v>
      </c>
      <c r="AC98" s="207">
        <f>SUMIFS('июнь 2023'!$G$4:$G$886,'июнь 2023'!$D$4:$D$886,$B98,'июнь 2023'!$J$4:$J$886,AC$1)</f>
        <v>0</v>
      </c>
      <c r="AD98" s="207">
        <f>SUMIFS('июнь 2023'!$G$4:$G$886,'июнь 2023'!$D$4:$D$886,$B98,'июнь 2023'!$J$4:$J$886,AD$1)</f>
        <v>0</v>
      </c>
      <c r="AE98" s="207">
        <f>SUMIFS('июнь 2023'!$G$4:$G$886,'июнь 2023'!$D$4:$D$886,$B98,'июнь 2023'!$J$4:$J$886,AE$1)</f>
        <v>0</v>
      </c>
      <c r="AF98" s="207">
        <f>SUMIFS('июнь 2023'!$G$4:$G$886,'июнь 2023'!$D$4:$D$886,$B98,'июнь 2023'!$J$4:$J$886,AF$1)</f>
        <v>0</v>
      </c>
      <c r="AG98" s="207">
        <f>SUMIFS('июнь 2023'!$G$4:$G$886,'июнь 2023'!$D$4:$D$886,$B98,'июнь 2023'!$J$4:$J$886,AG$1)</f>
        <v>0</v>
      </c>
      <c r="AH98" s="207">
        <f>SUMIFS('июнь 2023'!$G$4:$G$886,'июнь 2023'!$D$4:$D$886,$B98,'июнь 2023'!$J$4:$J$886,AH$1)</f>
        <v>0</v>
      </c>
      <c r="AI98" s="170">
        <f t="shared" si="2"/>
        <v>0</v>
      </c>
    </row>
    <row r="99" spans="2:35" ht="15" customHeight="1" x14ac:dyDescent="0.25">
      <c r="B99" s="212" t="s">
        <v>2197</v>
      </c>
      <c r="C99" s="211">
        <v>20</v>
      </c>
      <c r="D99" s="207">
        <f>SUMIFS('июнь 2023'!$G$4:$G$886,'июнь 2023'!$D$4:$D$886,$B99,'июнь 2023'!$J$4:$J$886,D$1)</f>
        <v>0</v>
      </c>
      <c r="E99" s="207">
        <f>SUMIFS('июнь 2023'!$G$4:$G$886,'июнь 2023'!$D$4:$D$886,$B99,'июнь 2023'!$J$4:$J$886,E$1)</f>
        <v>0</v>
      </c>
      <c r="F99" s="207">
        <f>SUMIFS('июнь 2023'!$G$4:$G$886,'июнь 2023'!$D$4:$D$886,$B99,'июнь 2023'!$J$4:$J$886,F$1)</f>
        <v>0</v>
      </c>
      <c r="G99" s="207">
        <f>SUMIFS('июнь 2023'!$G$4:$G$886,'июнь 2023'!$D$4:$D$886,$B99,'июнь 2023'!$J$4:$J$886,G$1)</f>
        <v>0</v>
      </c>
      <c r="H99" s="207">
        <f>SUMIFS('июнь 2023'!$G$4:$G$886,'июнь 2023'!$D$4:$D$886,$B99,'июнь 2023'!$J$4:$J$886,H$1)</f>
        <v>0</v>
      </c>
      <c r="I99" s="207">
        <f>SUMIFS('июнь 2023'!$G$4:$G$886,'июнь 2023'!$D$4:$D$886,$B99,'июнь 2023'!$J$4:$J$886,I$1)</f>
        <v>0</v>
      </c>
      <c r="J99" s="207">
        <f>SUMIFS('июнь 2023'!$G$4:$G$886,'июнь 2023'!$D$4:$D$886,$B99,'июнь 2023'!$J$4:$J$886,J$1)</f>
        <v>0</v>
      </c>
      <c r="K99" s="207">
        <f>SUMIFS('июнь 2023'!$G$4:$G$886,'июнь 2023'!$D$4:$D$886,$B99,'июнь 2023'!$J$4:$J$886,K$1)</f>
        <v>0</v>
      </c>
      <c r="L99" s="207">
        <f>SUMIFS('июнь 2023'!$G$4:$G$886,'июнь 2023'!$D$4:$D$886,$B99,'июнь 2023'!$J$4:$J$886,L$1)</f>
        <v>0</v>
      </c>
      <c r="M99" s="207">
        <f>SUMIFS('июнь 2023'!$G$4:$G$886,'июнь 2023'!$D$4:$D$886,$B99,'июнь 2023'!$J$4:$J$886,M$1)</f>
        <v>0</v>
      </c>
      <c r="N99" s="207">
        <f>SUMIFS('июнь 2023'!$G$4:$G$886,'июнь 2023'!$D$4:$D$886,$B99,'июнь 2023'!$J$4:$J$886,N$1)</f>
        <v>0</v>
      </c>
      <c r="O99" s="207">
        <f>SUMIFS('июнь 2023'!$G$4:$G$886,'июнь 2023'!$D$4:$D$886,$B99,'июнь 2023'!$J$4:$J$886,O$1)</f>
        <v>0</v>
      </c>
      <c r="P99" s="207">
        <f>SUMIFS('июнь 2023'!$G$4:$G$886,'июнь 2023'!$D$4:$D$886,$B99,'июнь 2023'!$J$4:$J$886,P$1)</f>
        <v>0</v>
      </c>
      <c r="Q99" s="207">
        <f>SUMIFS('июнь 2023'!$G$4:$G$886,'июнь 2023'!$D$4:$D$886,$B99,'июнь 2023'!$J$4:$J$886,Q$1)</f>
        <v>0</v>
      </c>
      <c r="R99" s="207">
        <f>SUMIFS('июнь 2023'!$G$4:$G$886,'июнь 2023'!$D$4:$D$886,$B99,'июнь 2023'!$J$4:$J$886,R$1)</f>
        <v>0</v>
      </c>
      <c r="S99" s="207">
        <f>SUMIFS('июнь 2023'!$G$4:$G$886,'июнь 2023'!$D$4:$D$886,$B99,'июнь 2023'!$J$4:$J$886,S$1)</f>
        <v>0</v>
      </c>
      <c r="T99" s="207">
        <f>SUMIFS('июнь 2023'!$G$4:$G$886,'июнь 2023'!$D$4:$D$886,$B99,'июнь 2023'!$J$4:$J$886,T$1)</f>
        <v>0</v>
      </c>
      <c r="U99" s="207">
        <f>SUMIFS('июнь 2023'!$G$4:$G$886,'июнь 2023'!$D$4:$D$886,$B99,'июнь 2023'!$J$4:$J$886,U$1)</f>
        <v>0</v>
      </c>
      <c r="V99" s="207">
        <f>SUMIFS('июнь 2023'!$G$4:$G$886,'июнь 2023'!$D$4:$D$886,$B99,'июнь 2023'!$J$4:$J$886,V$1)</f>
        <v>0</v>
      </c>
      <c r="W99" s="207">
        <f>SUMIFS('июнь 2023'!$G$4:$G$886,'июнь 2023'!$D$4:$D$886,$B99,'июнь 2023'!$J$4:$J$886,W$1)</f>
        <v>0</v>
      </c>
      <c r="X99" s="207">
        <f>SUMIFS('июнь 2023'!$G$4:$G$886,'июнь 2023'!$D$4:$D$886,$B99,'июнь 2023'!$J$4:$J$886,X$1)</f>
        <v>0</v>
      </c>
      <c r="Y99" s="207">
        <f>SUMIFS('июнь 2023'!$G$4:$G$886,'июнь 2023'!$D$4:$D$886,$B99,'июнь 2023'!$J$4:$J$886,Y$1)</f>
        <v>0</v>
      </c>
      <c r="Z99" s="207">
        <f>SUMIFS('июнь 2023'!$G$4:$G$886,'июнь 2023'!$D$4:$D$886,$B99,'июнь 2023'!$J$4:$J$886,Z$1)</f>
        <v>0</v>
      </c>
      <c r="AA99" s="207">
        <f>SUMIFS('июнь 2023'!$G$4:$G$886,'июнь 2023'!$D$4:$D$886,$B99,'июнь 2023'!$J$4:$J$886,AA$1)</f>
        <v>0</v>
      </c>
      <c r="AB99" s="207">
        <f>SUMIFS('июнь 2023'!$G$4:$G$886,'июнь 2023'!$D$4:$D$886,$B99,'июнь 2023'!$J$4:$J$886,AB$1)</f>
        <v>0</v>
      </c>
      <c r="AC99" s="207">
        <f>SUMIFS('июнь 2023'!$G$4:$G$886,'июнь 2023'!$D$4:$D$886,$B99,'июнь 2023'!$J$4:$J$886,AC$1)</f>
        <v>0</v>
      </c>
      <c r="AD99" s="207">
        <f>SUMIFS('июнь 2023'!$G$4:$G$886,'июнь 2023'!$D$4:$D$886,$B99,'июнь 2023'!$J$4:$J$886,AD$1)</f>
        <v>0</v>
      </c>
      <c r="AE99" s="207">
        <f>SUMIFS('июнь 2023'!$G$4:$G$886,'июнь 2023'!$D$4:$D$886,$B99,'июнь 2023'!$J$4:$J$886,AE$1)</f>
        <v>0</v>
      </c>
      <c r="AF99" s="207">
        <f>SUMIFS('июнь 2023'!$G$4:$G$886,'июнь 2023'!$D$4:$D$886,$B99,'июнь 2023'!$J$4:$J$886,AF$1)</f>
        <v>0</v>
      </c>
      <c r="AG99" s="207">
        <f>SUMIFS('июнь 2023'!$G$4:$G$886,'июнь 2023'!$D$4:$D$886,$B99,'июнь 2023'!$J$4:$J$886,AG$1)</f>
        <v>0</v>
      </c>
      <c r="AH99" s="207">
        <f>SUMIFS('июнь 2023'!$G$4:$G$886,'июнь 2023'!$D$4:$D$886,$B99,'июнь 2023'!$J$4:$J$886,AH$1)</f>
        <v>0</v>
      </c>
      <c r="AI99" s="170">
        <f t="shared" si="2"/>
        <v>0</v>
      </c>
    </row>
    <row r="100" spans="2:35" ht="15" customHeight="1" x14ac:dyDescent="0.25">
      <c r="B100" s="212" t="s">
        <v>147</v>
      </c>
      <c r="C100" s="211">
        <v>200</v>
      </c>
      <c r="D100" s="207">
        <f>SUMIFS('июнь 2023'!$G$4:$G$886,'июнь 2023'!$D$4:$D$886,$B100,'июнь 2023'!$J$4:$J$886,D$1)</f>
        <v>0</v>
      </c>
      <c r="E100" s="207">
        <f>SUMIFS('июнь 2023'!$G$4:$G$886,'июнь 2023'!$D$4:$D$886,$B100,'июнь 2023'!$J$4:$J$886,E$1)</f>
        <v>0</v>
      </c>
      <c r="F100" s="207">
        <f>SUMIFS('июнь 2023'!$G$4:$G$886,'июнь 2023'!$D$4:$D$886,$B100,'июнь 2023'!$J$4:$J$886,F$1)</f>
        <v>0</v>
      </c>
      <c r="G100" s="207">
        <f>SUMIFS('июнь 2023'!$G$4:$G$886,'июнь 2023'!$D$4:$D$886,$B100,'июнь 2023'!$J$4:$J$886,G$1)</f>
        <v>0</v>
      </c>
      <c r="H100" s="207">
        <f>SUMIFS('июнь 2023'!$G$4:$G$886,'июнь 2023'!$D$4:$D$886,$B100,'июнь 2023'!$J$4:$J$886,H$1)</f>
        <v>0</v>
      </c>
      <c r="I100" s="207">
        <f>SUMIFS('июнь 2023'!$G$4:$G$886,'июнь 2023'!$D$4:$D$886,$B100,'июнь 2023'!$J$4:$J$886,I$1)</f>
        <v>0</v>
      </c>
      <c r="J100" s="207">
        <f>SUMIFS('июнь 2023'!$G$4:$G$886,'июнь 2023'!$D$4:$D$886,$B100,'июнь 2023'!$J$4:$J$886,J$1)</f>
        <v>0</v>
      </c>
      <c r="K100" s="207">
        <f>SUMIFS('июнь 2023'!$G$4:$G$886,'июнь 2023'!$D$4:$D$886,$B100,'июнь 2023'!$J$4:$J$886,K$1)</f>
        <v>0</v>
      </c>
      <c r="L100" s="207">
        <f>SUMIFS('июнь 2023'!$G$4:$G$886,'июнь 2023'!$D$4:$D$886,$B100,'июнь 2023'!$J$4:$J$886,L$1)</f>
        <v>0</v>
      </c>
      <c r="M100" s="207">
        <f>SUMIFS('июнь 2023'!$G$4:$G$886,'июнь 2023'!$D$4:$D$886,$B100,'июнь 2023'!$J$4:$J$886,M$1)</f>
        <v>0</v>
      </c>
      <c r="N100" s="207">
        <f>SUMIFS('июнь 2023'!$G$4:$G$886,'июнь 2023'!$D$4:$D$886,$B100,'июнь 2023'!$J$4:$J$886,N$1)</f>
        <v>0</v>
      </c>
      <c r="O100" s="207">
        <f>SUMIFS('июнь 2023'!$G$4:$G$886,'июнь 2023'!$D$4:$D$886,$B100,'июнь 2023'!$J$4:$J$886,O$1)</f>
        <v>0</v>
      </c>
      <c r="P100" s="207">
        <f>SUMIFS('июнь 2023'!$G$4:$G$886,'июнь 2023'!$D$4:$D$886,$B100,'июнь 2023'!$J$4:$J$886,P$1)</f>
        <v>0</v>
      </c>
      <c r="Q100" s="207">
        <f>SUMIFS('июнь 2023'!$G$4:$G$886,'июнь 2023'!$D$4:$D$886,$B100,'июнь 2023'!$J$4:$J$886,Q$1)</f>
        <v>0</v>
      </c>
      <c r="R100" s="207">
        <f>SUMIFS('июнь 2023'!$G$4:$G$886,'июнь 2023'!$D$4:$D$886,$B100,'июнь 2023'!$J$4:$J$886,R$1)</f>
        <v>0</v>
      </c>
      <c r="S100" s="207">
        <f>SUMIFS('июнь 2023'!$G$4:$G$886,'июнь 2023'!$D$4:$D$886,$B100,'июнь 2023'!$J$4:$J$886,S$1)</f>
        <v>0</v>
      </c>
      <c r="T100" s="207">
        <f>SUMIFS('июнь 2023'!$G$4:$G$886,'июнь 2023'!$D$4:$D$886,$B100,'июнь 2023'!$J$4:$J$886,T$1)</f>
        <v>0</v>
      </c>
      <c r="U100" s="207">
        <f>SUMIFS('июнь 2023'!$G$4:$G$886,'июнь 2023'!$D$4:$D$886,$B100,'июнь 2023'!$J$4:$J$886,U$1)</f>
        <v>0</v>
      </c>
      <c r="V100" s="207">
        <f>SUMIFS('июнь 2023'!$G$4:$G$886,'июнь 2023'!$D$4:$D$886,$B100,'июнь 2023'!$J$4:$J$886,V$1)</f>
        <v>0</v>
      </c>
      <c r="W100" s="207">
        <f>SUMIFS('июнь 2023'!$G$4:$G$886,'июнь 2023'!$D$4:$D$886,$B100,'июнь 2023'!$J$4:$J$886,W$1)</f>
        <v>0</v>
      </c>
      <c r="X100" s="207">
        <f>SUMIFS('июнь 2023'!$G$4:$G$886,'июнь 2023'!$D$4:$D$886,$B100,'июнь 2023'!$J$4:$J$886,X$1)</f>
        <v>0</v>
      </c>
      <c r="Y100" s="207">
        <f>SUMIFS('июнь 2023'!$G$4:$G$886,'июнь 2023'!$D$4:$D$886,$B100,'июнь 2023'!$J$4:$J$886,Y$1)</f>
        <v>0</v>
      </c>
      <c r="Z100" s="207">
        <f>SUMIFS('июнь 2023'!$G$4:$G$886,'июнь 2023'!$D$4:$D$886,$B100,'июнь 2023'!$J$4:$J$886,Z$1)</f>
        <v>0</v>
      </c>
      <c r="AA100" s="207">
        <f>SUMIFS('июнь 2023'!$G$4:$G$886,'июнь 2023'!$D$4:$D$886,$B100,'июнь 2023'!$J$4:$J$886,AA$1)</f>
        <v>0</v>
      </c>
      <c r="AB100" s="207">
        <f>SUMIFS('июнь 2023'!$G$4:$G$886,'июнь 2023'!$D$4:$D$886,$B100,'июнь 2023'!$J$4:$J$886,AB$1)</f>
        <v>0</v>
      </c>
      <c r="AC100" s="207">
        <f>SUMIFS('июнь 2023'!$G$4:$G$886,'июнь 2023'!$D$4:$D$886,$B100,'июнь 2023'!$J$4:$J$886,AC$1)</f>
        <v>0</v>
      </c>
      <c r="AD100" s="207">
        <f>SUMIFS('июнь 2023'!$G$4:$G$886,'июнь 2023'!$D$4:$D$886,$B100,'июнь 2023'!$J$4:$J$886,AD$1)</f>
        <v>0</v>
      </c>
      <c r="AE100" s="207">
        <f>SUMIFS('июнь 2023'!$G$4:$G$886,'июнь 2023'!$D$4:$D$886,$B100,'июнь 2023'!$J$4:$J$886,AE$1)</f>
        <v>0</v>
      </c>
      <c r="AF100" s="207">
        <f>SUMIFS('июнь 2023'!$G$4:$G$886,'июнь 2023'!$D$4:$D$886,$B100,'июнь 2023'!$J$4:$J$886,AF$1)</f>
        <v>0</v>
      </c>
      <c r="AG100" s="207">
        <f>SUMIFS('июнь 2023'!$G$4:$G$886,'июнь 2023'!$D$4:$D$886,$B100,'июнь 2023'!$J$4:$J$886,AG$1)</f>
        <v>0</v>
      </c>
      <c r="AH100" s="207">
        <f>SUMIFS('июнь 2023'!$G$4:$G$886,'июнь 2023'!$D$4:$D$886,$B100,'июнь 2023'!$J$4:$J$886,AH$1)</f>
        <v>0</v>
      </c>
      <c r="AI100" s="170">
        <f t="shared" si="2"/>
        <v>0</v>
      </c>
    </row>
    <row r="101" spans="2:35" ht="15" customHeight="1" x14ac:dyDescent="0.25">
      <c r="B101" s="212" t="s">
        <v>2198</v>
      </c>
      <c r="C101" s="211">
        <v>200</v>
      </c>
      <c r="D101" s="207">
        <f>SUMIFS('июнь 2023'!$G$4:$G$886,'июнь 2023'!$D$4:$D$886,$B101,'июнь 2023'!$J$4:$J$886,D$1)</f>
        <v>0</v>
      </c>
      <c r="E101" s="207">
        <f>SUMIFS('июнь 2023'!$G$4:$G$886,'июнь 2023'!$D$4:$D$886,$B101,'июнь 2023'!$J$4:$J$886,E$1)</f>
        <v>0</v>
      </c>
      <c r="F101" s="207">
        <f>SUMIFS('июнь 2023'!$G$4:$G$886,'июнь 2023'!$D$4:$D$886,$B101,'июнь 2023'!$J$4:$J$886,F$1)</f>
        <v>0</v>
      </c>
      <c r="G101" s="207">
        <f>SUMIFS('июнь 2023'!$G$4:$G$886,'июнь 2023'!$D$4:$D$886,$B101,'июнь 2023'!$J$4:$J$886,G$1)</f>
        <v>0</v>
      </c>
      <c r="H101" s="207">
        <f>SUMIFS('июнь 2023'!$G$4:$G$886,'июнь 2023'!$D$4:$D$886,$B101,'июнь 2023'!$J$4:$J$886,H$1)</f>
        <v>0</v>
      </c>
      <c r="I101" s="207">
        <f>SUMIFS('июнь 2023'!$G$4:$G$886,'июнь 2023'!$D$4:$D$886,$B101,'июнь 2023'!$J$4:$J$886,I$1)</f>
        <v>0</v>
      </c>
      <c r="J101" s="207">
        <f>SUMIFS('июнь 2023'!$G$4:$G$886,'июнь 2023'!$D$4:$D$886,$B101,'июнь 2023'!$J$4:$J$886,J$1)</f>
        <v>0</v>
      </c>
      <c r="K101" s="207">
        <f>SUMIFS('июнь 2023'!$G$4:$G$886,'июнь 2023'!$D$4:$D$886,$B101,'июнь 2023'!$J$4:$J$886,K$1)</f>
        <v>0</v>
      </c>
      <c r="L101" s="207">
        <f>SUMIFS('июнь 2023'!$G$4:$G$886,'июнь 2023'!$D$4:$D$886,$B101,'июнь 2023'!$J$4:$J$886,L$1)</f>
        <v>0</v>
      </c>
      <c r="M101" s="207">
        <f>SUMIFS('июнь 2023'!$G$4:$G$886,'июнь 2023'!$D$4:$D$886,$B101,'июнь 2023'!$J$4:$J$886,M$1)</f>
        <v>0</v>
      </c>
      <c r="N101" s="207">
        <f>SUMIFS('июнь 2023'!$G$4:$G$886,'июнь 2023'!$D$4:$D$886,$B101,'июнь 2023'!$J$4:$J$886,N$1)</f>
        <v>0</v>
      </c>
      <c r="O101" s="207">
        <f>SUMIFS('июнь 2023'!$G$4:$G$886,'июнь 2023'!$D$4:$D$886,$B101,'июнь 2023'!$J$4:$J$886,O$1)</f>
        <v>0</v>
      </c>
      <c r="P101" s="207">
        <f>SUMIFS('июнь 2023'!$G$4:$G$886,'июнь 2023'!$D$4:$D$886,$B101,'июнь 2023'!$J$4:$J$886,P$1)</f>
        <v>0</v>
      </c>
      <c r="Q101" s="207">
        <f>SUMIFS('июнь 2023'!$G$4:$G$886,'июнь 2023'!$D$4:$D$886,$B101,'июнь 2023'!$J$4:$J$886,Q$1)</f>
        <v>0</v>
      </c>
      <c r="R101" s="207">
        <f>SUMIFS('июнь 2023'!$G$4:$G$886,'июнь 2023'!$D$4:$D$886,$B101,'июнь 2023'!$J$4:$J$886,R$1)</f>
        <v>0</v>
      </c>
      <c r="S101" s="207">
        <f>SUMIFS('июнь 2023'!$G$4:$G$886,'июнь 2023'!$D$4:$D$886,$B101,'июнь 2023'!$J$4:$J$886,S$1)</f>
        <v>0</v>
      </c>
      <c r="T101" s="207">
        <f>SUMIFS('июнь 2023'!$G$4:$G$886,'июнь 2023'!$D$4:$D$886,$B101,'июнь 2023'!$J$4:$J$886,T$1)</f>
        <v>0</v>
      </c>
      <c r="U101" s="207">
        <f>SUMIFS('июнь 2023'!$G$4:$G$886,'июнь 2023'!$D$4:$D$886,$B101,'июнь 2023'!$J$4:$J$886,U$1)</f>
        <v>0</v>
      </c>
      <c r="V101" s="207">
        <f>SUMIFS('июнь 2023'!$G$4:$G$886,'июнь 2023'!$D$4:$D$886,$B101,'июнь 2023'!$J$4:$J$886,V$1)</f>
        <v>0</v>
      </c>
      <c r="W101" s="207">
        <f>SUMIFS('июнь 2023'!$G$4:$G$886,'июнь 2023'!$D$4:$D$886,$B101,'июнь 2023'!$J$4:$J$886,W$1)</f>
        <v>0</v>
      </c>
      <c r="X101" s="207">
        <f>SUMIFS('июнь 2023'!$G$4:$G$886,'июнь 2023'!$D$4:$D$886,$B101,'июнь 2023'!$J$4:$J$886,X$1)</f>
        <v>0</v>
      </c>
      <c r="Y101" s="207">
        <f>SUMIFS('июнь 2023'!$G$4:$G$886,'июнь 2023'!$D$4:$D$886,$B101,'июнь 2023'!$J$4:$J$886,Y$1)</f>
        <v>0</v>
      </c>
      <c r="Z101" s="207">
        <f>SUMIFS('июнь 2023'!$G$4:$G$886,'июнь 2023'!$D$4:$D$886,$B101,'июнь 2023'!$J$4:$J$886,Z$1)</f>
        <v>0</v>
      </c>
      <c r="AA101" s="207">
        <f>SUMIFS('июнь 2023'!$G$4:$G$886,'июнь 2023'!$D$4:$D$886,$B101,'июнь 2023'!$J$4:$J$886,AA$1)</f>
        <v>0</v>
      </c>
      <c r="AB101" s="207">
        <f>SUMIFS('июнь 2023'!$G$4:$G$886,'июнь 2023'!$D$4:$D$886,$B101,'июнь 2023'!$J$4:$J$886,AB$1)</f>
        <v>0</v>
      </c>
      <c r="AC101" s="207">
        <f>SUMIFS('июнь 2023'!$G$4:$G$886,'июнь 2023'!$D$4:$D$886,$B101,'июнь 2023'!$J$4:$J$886,AC$1)</f>
        <v>0</v>
      </c>
      <c r="AD101" s="207">
        <f>SUMIFS('июнь 2023'!$G$4:$G$886,'июнь 2023'!$D$4:$D$886,$B101,'июнь 2023'!$J$4:$J$886,AD$1)</f>
        <v>0</v>
      </c>
      <c r="AE101" s="207">
        <f>SUMIFS('июнь 2023'!$G$4:$G$886,'июнь 2023'!$D$4:$D$886,$B101,'июнь 2023'!$J$4:$J$886,AE$1)</f>
        <v>0</v>
      </c>
      <c r="AF101" s="207">
        <f>SUMIFS('июнь 2023'!$G$4:$G$886,'июнь 2023'!$D$4:$D$886,$B101,'июнь 2023'!$J$4:$J$886,AF$1)</f>
        <v>0</v>
      </c>
      <c r="AG101" s="207">
        <f>SUMIFS('июнь 2023'!$G$4:$G$886,'июнь 2023'!$D$4:$D$886,$B101,'июнь 2023'!$J$4:$J$886,AG$1)</f>
        <v>0</v>
      </c>
      <c r="AH101" s="207">
        <f>SUMIFS('июнь 2023'!$G$4:$G$886,'июнь 2023'!$D$4:$D$886,$B101,'июнь 2023'!$J$4:$J$886,AH$1)</f>
        <v>0</v>
      </c>
      <c r="AI101" s="170">
        <f t="shared" si="2"/>
        <v>0</v>
      </c>
    </row>
    <row r="102" spans="2:35" ht="15" customHeight="1" x14ac:dyDescent="0.25">
      <c r="B102" s="218" t="s">
        <v>352</v>
      </c>
      <c r="C102" s="219">
        <v>200</v>
      </c>
      <c r="D102" s="207">
        <f>SUMIFS('июнь 2023'!$G$4:$G$886,'июнь 2023'!$D$4:$D$886,$B102,'июнь 2023'!$J$4:$J$886,D$1)</f>
        <v>0</v>
      </c>
      <c r="E102" s="207">
        <f>SUMIFS('июнь 2023'!$G$4:$G$886,'июнь 2023'!$D$4:$D$886,$B102,'июнь 2023'!$J$4:$J$886,E$1)</f>
        <v>0</v>
      </c>
      <c r="F102" s="207">
        <f>SUMIFS('июнь 2023'!$G$4:$G$886,'июнь 2023'!$D$4:$D$886,$B102,'июнь 2023'!$J$4:$J$886,F$1)</f>
        <v>0</v>
      </c>
      <c r="G102" s="207">
        <f>SUMIFS('июнь 2023'!$G$4:$G$886,'июнь 2023'!$D$4:$D$886,$B102,'июнь 2023'!$J$4:$J$886,G$1)</f>
        <v>0</v>
      </c>
      <c r="H102" s="207">
        <f>SUMIFS('июнь 2023'!$G$4:$G$886,'июнь 2023'!$D$4:$D$886,$B102,'июнь 2023'!$J$4:$J$886,H$1)</f>
        <v>0</v>
      </c>
      <c r="I102" s="207">
        <f>SUMIFS('июнь 2023'!$G$4:$G$886,'июнь 2023'!$D$4:$D$886,$B102,'июнь 2023'!$J$4:$J$886,I$1)</f>
        <v>0</v>
      </c>
      <c r="J102" s="207">
        <f>SUMIFS('июнь 2023'!$G$4:$G$886,'июнь 2023'!$D$4:$D$886,$B102,'июнь 2023'!$J$4:$J$886,J$1)</f>
        <v>0</v>
      </c>
      <c r="K102" s="207">
        <f>SUMIFS('июнь 2023'!$G$4:$G$886,'июнь 2023'!$D$4:$D$886,$B102,'июнь 2023'!$J$4:$J$886,K$1)</f>
        <v>0</v>
      </c>
      <c r="L102" s="207">
        <f>SUMIFS('июнь 2023'!$G$4:$G$886,'июнь 2023'!$D$4:$D$886,$B102,'июнь 2023'!$J$4:$J$886,L$1)</f>
        <v>0</v>
      </c>
      <c r="M102" s="207">
        <f>SUMIFS('июнь 2023'!$G$4:$G$886,'июнь 2023'!$D$4:$D$886,$B102,'июнь 2023'!$J$4:$J$886,M$1)</f>
        <v>0</v>
      </c>
      <c r="N102" s="207">
        <f>SUMIFS('июнь 2023'!$G$4:$G$886,'июнь 2023'!$D$4:$D$886,$B102,'июнь 2023'!$J$4:$J$886,N$1)</f>
        <v>0</v>
      </c>
      <c r="O102" s="207">
        <f>SUMIFS('июнь 2023'!$G$4:$G$886,'июнь 2023'!$D$4:$D$886,$B102,'июнь 2023'!$J$4:$J$886,O$1)</f>
        <v>0</v>
      </c>
      <c r="P102" s="207">
        <f>SUMIFS('июнь 2023'!$G$4:$G$886,'июнь 2023'!$D$4:$D$886,$B102,'июнь 2023'!$J$4:$J$886,P$1)</f>
        <v>0</v>
      </c>
      <c r="Q102" s="207">
        <f>SUMIFS('июнь 2023'!$G$4:$G$886,'июнь 2023'!$D$4:$D$886,$B102,'июнь 2023'!$J$4:$J$886,Q$1)</f>
        <v>0</v>
      </c>
      <c r="R102" s="207">
        <f>SUMIFS('июнь 2023'!$G$4:$G$886,'июнь 2023'!$D$4:$D$886,$B102,'июнь 2023'!$J$4:$J$886,R$1)</f>
        <v>0</v>
      </c>
      <c r="S102" s="207">
        <f>SUMIFS('июнь 2023'!$G$4:$G$886,'июнь 2023'!$D$4:$D$886,$B102,'июнь 2023'!$J$4:$J$886,S$1)</f>
        <v>0</v>
      </c>
      <c r="T102" s="207">
        <f>SUMIFS('июнь 2023'!$G$4:$G$886,'июнь 2023'!$D$4:$D$886,$B102,'июнь 2023'!$J$4:$J$886,T$1)</f>
        <v>0</v>
      </c>
      <c r="U102" s="207">
        <f>SUMIFS('июнь 2023'!$G$4:$G$886,'июнь 2023'!$D$4:$D$886,$B102,'июнь 2023'!$J$4:$J$886,U$1)</f>
        <v>0</v>
      </c>
      <c r="V102" s="207">
        <f>SUMIFS('июнь 2023'!$G$4:$G$886,'июнь 2023'!$D$4:$D$886,$B102,'июнь 2023'!$J$4:$J$886,V$1)</f>
        <v>0</v>
      </c>
      <c r="W102" s="207">
        <f>SUMIFS('июнь 2023'!$G$4:$G$886,'июнь 2023'!$D$4:$D$886,$B102,'июнь 2023'!$J$4:$J$886,W$1)</f>
        <v>0</v>
      </c>
      <c r="X102" s="207">
        <f>SUMIFS('июнь 2023'!$G$4:$G$886,'июнь 2023'!$D$4:$D$886,$B102,'июнь 2023'!$J$4:$J$886,X$1)</f>
        <v>0</v>
      </c>
      <c r="Y102" s="207">
        <f>SUMIFS('июнь 2023'!$G$4:$G$886,'июнь 2023'!$D$4:$D$886,$B102,'июнь 2023'!$J$4:$J$886,Y$1)</f>
        <v>0</v>
      </c>
      <c r="Z102" s="207">
        <f>SUMIFS('июнь 2023'!$G$4:$G$886,'июнь 2023'!$D$4:$D$886,$B102,'июнь 2023'!$J$4:$J$886,Z$1)</f>
        <v>0</v>
      </c>
      <c r="AA102" s="207">
        <f>SUMIFS('июнь 2023'!$G$4:$G$886,'июнь 2023'!$D$4:$D$886,$B102,'июнь 2023'!$J$4:$J$886,AA$1)</f>
        <v>0</v>
      </c>
      <c r="AB102" s="207">
        <f>SUMIFS('июнь 2023'!$G$4:$G$886,'июнь 2023'!$D$4:$D$886,$B102,'июнь 2023'!$J$4:$J$886,AB$1)</f>
        <v>0</v>
      </c>
      <c r="AC102" s="207">
        <f>SUMIFS('июнь 2023'!$G$4:$G$886,'июнь 2023'!$D$4:$D$886,$B102,'июнь 2023'!$J$4:$J$886,AC$1)</f>
        <v>0</v>
      </c>
      <c r="AD102" s="207">
        <f>SUMIFS('июнь 2023'!$G$4:$G$886,'июнь 2023'!$D$4:$D$886,$B102,'июнь 2023'!$J$4:$J$886,AD$1)</f>
        <v>0</v>
      </c>
      <c r="AE102" s="207">
        <f>SUMIFS('июнь 2023'!$G$4:$G$886,'июнь 2023'!$D$4:$D$886,$B102,'июнь 2023'!$J$4:$J$886,AE$1)</f>
        <v>0</v>
      </c>
      <c r="AF102" s="207">
        <f>SUMIFS('июнь 2023'!$G$4:$G$886,'июнь 2023'!$D$4:$D$886,$B102,'июнь 2023'!$J$4:$J$886,AF$1)</f>
        <v>0</v>
      </c>
      <c r="AG102" s="207">
        <f>SUMIFS('июнь 2023'!$G$4:$G$886,'июнь 2023'!$D$4:$D$886,$B102,'июнь 2023'!$J$4:$J$886,AG$1)</f>
        <v>0</v>
      </c>
      <c r="AH102" s="207">
        <f>SUMIFS('июнь 2023'!$G$4:$G$886,'июнь 2023'!$D$4:$D$886,$B102,'июнь 2023'!$J$4:$J$886,AH$1)</f>
        <v>0</v>
      </c>
      <c r="AI102" s="170">
        <f t="shared" si="2"/>
        <v>0</v>
      </c>
    </row>
    <row r="103" spans="2:35" ht="15" customHeight="1" x14ac:dyDescent="0.25">
      <c r="B103" s="212" t="s">
        <v>276</v>
      </c>
      <c r="C103" s="213">
        <v>200</v>
      </c>
      <c r="D103" s="207">
        <f>SUMIFS('июнь 2023'!$G$4:$G$886,'июнь 2023'!$D$4:$D$886,$B103,'июнь 2023'!$J$4:$J$886,D$1)</f>
        <v>0</v>
      </c>
      <c r="E103" s="207">
        <f>SUMIFS('июнь 2023'!$G$4:$G$886,'июнь 2023'!$D$4:$D$886,$B103,'июнь 2023'!$J$4:$J$886,E$1)</f>
        <v>0</v>
      </c>
      <c r="F103" s="207">
        <f>SUMIFS('июнь 2023'!$G$4:$G$886,'июнь 2023'!$D$4:$D$886,$B103,'июнь 2023'!$J$4:$J$886,F$1)</f>
        <v>0</v>
      </c>
      <c r="G103" s="207">
        <f>SUMIFS('июнь 2023'!$G$4:$G$886,'июнь 2023'!$D$4:$D$886,$B103,'июнь 2023'!$J$4:$J$886,G$1)</f>
        <v>0</v>
      </c>
      <c r="H103" s="207">
        <f>SUMIFS('июнь 2023'!$G$4:$G$886,'июнь 2023'!$D$4:$D$886,$B103,'июнь 2023'!$J$4:$J$886,H$1)</f>
        <v>0</v>
      </c>
      <c r="I103" s="207">
        <f>SUMIFS('июнь 2023'!$G$4:$G$886,'июнь 2023'!$D$4:$D$886,$B103,'июнь 2023'!$J$4:$J$886,I$1)</f>
        <v>0</v>
      </c>
      <c r="J103" s="207">
        <f>SUMIFS('июнь 2023'!$G$4:$G$886,'июнь 2023'!$D$4:$D$886,$B103,'июнь 2023'!$J$4:$J$886,J$1)</f>
        <v>0</v>
      </c>
      <c r="K103" s="207">
        <f>SUMIFS('июнь 2023'!$G$4:$G$886,'июнь 2023'!$D$4:$D$886,$B103,'июнь 2023'!$J$4:$J$886,K$1)</f>
        <v>0</v>
      </c>
      <c r="L103" s="207">
        <f>SUMIFS('июнь 2023'!$G$4:$G$886,'июнь 2023'!$D$4:$D$886,$B103,'июнь 2023'!$J$4:$J$886,L$1)</f>
        <v>0</v>
      </c>
      <c r="M103" s="207">
        <f>SUMIFS('июнь 2023'!$G$4:$G$886,'июнь 2023'!$D$4:$D$886,$B103,'июнь 2023'!$J$4:$J$886,M$1)</f>
        <v>0</v>
      </c>
      <c r="N103" s="207">
        <f>SUMIFS('июнь 2023'!$G$4:$G$886,'июнь 2023'!$D$4:$D$886,$B103,'июнь 2023'!$J$4:$J$886,N$1)</f>
        <v>0</v>
      </c>
      <c r="O103" s="207">
        <f>SUMIFS('июнь 2023'!$G$4:$G$886,'июнь 2023'!$D$4:$D$886,$B103,'июнь 2023'!$J$4:$J$886,O$1)</f>
        <v>0</v>
      </c>
      <c r="P103" s="207">
        <f>SUMIFS('июнь 2023'!$G$4:$G$886,'июнь 2023'!$D$4:$D$886,$B103,'июнь 2023'!$J$4:$J$886,P$1)</f>
        <v>0</v>
      </c>
      <c r="Q103" s="207">
        <f>SUMIFS('июнь 2023'!$G$4:$G$886,'июнь 2023'!$D$4:$D$886,$B103,'июнь 2023'!$J$4:$J$886,Q$1)</f>
        <v>0</v>
      </c>
      <c r="R103" s="207">
        <f>SUMIFS('июнь 2023'!$G$4:$G$886,'июнь 2023'!$D$4:$D$886,$B103,'июнь 2023'!$J$4:$J$886,R$1)</f>
        <v>0</v>
      </c>
      <c r="S103" s="207">
        <f>SUMIFS('июнь 2023'!$G$4:$G$886,'июнь 2023'!$D$4:$D$886,$B103,'июнь 2023'!$J$4:$J$886,S$1)</f>
        <v>0</v>
      </c>
      <c r="T103" s="207">
        <f>SUMIFS('июнь 2023'!$G$4:$G$886,'июнь 2023'!$D$4:$D$886,$B103,'июнь 2023'!$J$4:$J$886,T$1)</f>
        <v>0</v>
      </c>
      <c r="U103" s="207">
        <f>SUMIFS('июнь 2023'!$G$4:$G$886,'июнь 2023'!$D$4:$D$886,$B103,'июнь 2023'!$J$4:$J$886,U$1)</f>
        <v>0</v>
      </c>
      <c r="V103" s="207">
        <f>SUMIFS('июнь 2023'!$G$4:$G$886,'июнь 2023'!$D$4:$D$886,$B103,'июнь 2023'!$J$4:$J$886,V$1)</f>
        <v>0</v>
      </c>
      <c r="W103" s="207">
        <f>SUMIFS('июнь 2023'!$G$4:$G$886,'июнь 2023'!$D$4:$D$886,$B103,'июнь 2023'!$J$4:$J$886,W$1)</f>
        <v>0</v>
      </c>
      <c r="X103" s="207">
        <f>SUMIFS('июнь 2023'!$G$4:$G$886,'июнь 2023'!$D$4:$D$886,$B103,'июнь 2023'!$J$4:$J$886,X$1)</f>
        <v>0</v>
      </c>
      <c r="Y103" s="207">
        <f>SUMIFS('июнь 2023'!$G$4:$G$886,'июнь 2023'!$D$4:$D$886,$B103,'июнь 2023'!$J$4:$J$886,Y$1)</f>
        <v>0</v>
      </c>
      <c r="Z103" s="207">
        <f>SUMIFS('июнь 2023'!$G$4:$G$886,'июнь 2023'!$D$4:$D$886,$B103,'июнь 2023'!$J$4:$J$886,Z$1)</f>
        <v>0</v>
      </c>
      <c r="AA103" s="207">
        <f>SUMIFS('июнь 2023'!$G$4:$G$886,'июнь 2023'!$D$4:$D$886,$B103,'июнь 2023'!$J$4:$J$886,AA$1)</f>
        <v>0</v>
      </c>
      <c r="AB103" s="207">
        <f>SUMIFS('июнь 2023'!$G$4:$G$886,'июнь 2023'!$D$4:$D$886,$B103,'июнь 2023'!$J$4:$J$886,AB$1)</f>
        <v>0</v>
      </c>
      <c r="AC103" s="207">
        <f>SUMIFS('июнь 2023'!$G$4:$G$886,'июнь 2023'!$D$4:$D$886,$B103,'июнь 2023'!$J$4:$J$886,AC$1)</f>
        <v>0</v>
      </c>
      <c r="AD103" s="207">
        <f>SUMIFS('июнь 2023'!$G$4:$G$886,'июнь 2023'!$D$4:$D$886,$B103,'июнь 2023'!$J$4:$J$886,AD$1)</f>
        <v>0</v>
      </c>
      <c r="AE103" s="207">
        <f>SUMIFS('июнь 2023'!$G$4:$G$886,'июнь 2023'!$D$4:$D$886,$B103,'июнь 2023'!$J$4:$J$886,AE$1)</f>
        <v>0</v>
      </c>
      <c r="AF103" s="207">
        <f>SUMIFS('июнь 2023'!$G$4:$G$886,'июнь 2023'!$D$4:$D$886,$B103,'июнь 2023'!$J$4:$J$886,AF$1)</f>
        <v>0</v>
      </c>
      <c r="AG103" s="207">
        <f>SUMIFS('июнь 2023'!$G$4:$G$886,'июнь 2023'!$D$4:$D$886,$B103,'июнь 2023'!$J$4:$J$886,AG$1)</f>
        <v>0</v>
      </c>
      <c r="AH103" s="207">
        <f>SUMIFS('июнь 2023'!$G$4:$G$886,'июнь 2023'!$D$4:$D$886,$B103,'июнь 2023'!$J$4:$J$886,AH$1)</f>
        <v>0</v>
      </c>
      <c r="AI103" s="170">
        <f t="shared" si="2"/>
        <v>0</v>
      </c>
    </row>
    <row r="104" spans="2:35" ht="15" customHeight="1" x14ac:dyDescent="0.25">
      <c r="B104" s="212" t="s">
        <v>1021</v>
      </c>
      <c r="C104" s="213">
        <v>200</v>
      </c>
      <c r="D104" s="207">
        <f>SUMIFS('июнь 2023'!$G$4:$G$886,'июнь 2023'!$D$4:$D$886,$B104,'июнь 2023'!$J$4:$J$886,D$1)</f>
        <v>0</v>
      </c>
      <c r="E104" s="207">
        <f>SUMIFS('июнь 2023'!$G$4:$G$886,'июнь 2023'!$D$4:$D$886,$B104,'июнь 2023'!$J$4:$J$886,E$1)</f>
        <v>0</v>
      </c>
      <c r="F104" s="207">
        <f>SUMIFS('июнь 2023'!$G$4:$G$886,'июнь 2023'!$D$4:$D$886,$B104,'июнь 2023'!$J$4:$J$886,F$1)</f>
        <v>0</v>
      </c>
      <c r="G104" s="207">
        <f>SUMIFS('июнь 2023'!$G$4:$G$886,'июнь 2023'!$D$4:$D$886,$B104,'июнь 2023'!$J$4:$J$886,G$1)</f>
        <v>0</v>
      </c>
      <c r="H104" s="207">
        <f>SUMIFS('июнь 2023'!$G$4:$G$886,'июнь 2023'!$D$4:$D$886,$B104,'июнь 2023'!$J$4:$J$886,H$1)</f>
        <v>0</v>
      </c>
      <c r="I104" s="207">
        <f>SUMIFS('июнь 2023'!$G$4:$G$886,'июнь 2023'!$D$4:$D$886,$B104,'июнь 2023'!$J$4:$J$886,I$1)</f>
        <v>8</v>
      </c>
      <c r="J104" s="207">
        <f>SUMIFS('июнь 2023'!$G$4:$G$886,'июнь 2023'!$D$4:$D$886,$B104,'июнь 2023'!$J$4:$J$886,J$1)</f>
        <v>0</v>
      </c>
      <c r="K104" s="207">
        <f>SUMIFS('июнь 2023'!$G$4:$G$886,'июнь 2023'!$D$4:$D$886,$B104,'июнь 2023'!$J$4:$J$886,K$1)</f>
        <v>0</v>
      </c>
      <c r="L104" s="207">
        <f>SUMIFS('июнь 2023'!$G$4:$G$886,'июнь 2023'!$D$4:$D$886,$B104,'июнь 2023'!$J$4:$J$886,L$1)</f>
        <v>0</v>
      </c>
      <c r="M104" s="207">
        <f>SUMIFS('июнь 2023'!$G$4:$G$886,'июнь 2023'!$D$4:$D$886,$B104,'июнь 2023'!$J$4:$J$886,M$1)</f>
        <v>0</v>
      </c>
      <c r="N104" s="207">
        <f>SUMIFS('июнь 2023'!$G$4:$G$886,'июнь 2023'!$D$4:$D$886,$B104,'июнь 2023'!$J$4:$J$886,N$1)</f>
        <v>0</v>
      </c>
      <c r="O104" s="207">
        <f>SUMIFS('июнь 2023'!$G$4:$G$886,'июнь 2023'!$D$4:$D$886,$B104,'июнь 2023'!$J$4:$J$886,O$1)</f>
        <v>0</v>
      </c>
      <c r="P104" s="207">
        <f>SUMIFS('июнь 2023'!$G$4:$G$886,'июнь 2023'!$D$4:$D$886,$B104,'июнь 2023'!$J$4:$J$886,P$1)</f>
        <v>0</v>
      </c>
      <c r="Q104" s="207">
        <f>SUMIFS('июнь 2023'!$G$4:$G$886,'июнь 2023'!$D$4:$D$886,$B104,'июнь 2023'!$J$4:$J$886,Q$1)</f>
        <v>0</v>
      </c>
      <c r="R104" s="207">
        <f>SUMIFS('июнь 2023'!$G$4:$G$886,'июнь 2023'!$D$4:$D$886,$B104,'июнь 2023'!$J$4:$J$886,R$1)</f>
        <v>0</v>
      </c>
      <c r="S104" s="207">
        <f>SUMIFS('июнь 2023'!$G$4:$G$886,'июнь 2023'!$D$4:$D$886,$B104,'июнь 2023'!$J$4:$J$886,S$1)</f>
        <v>0</v>
      </c>
      <c r="T104" s="207">
        <f>SUMIFS('июнь 2023'!$G$4:$G$886,'июнь 2023'!$D$4:$D$886,$B104,'июнь 2023'!$J$4:$J$886,T$1)</f>
        <v>0</v>
      </c>
      <c r="U104" s="207">
        <f>SUMIFS('июнь 2023'!$G$4:$G$886,'июнь 2023'!$D$4:$D$886,$B104,'июнь 2023'!$J$4:$J$886,U$1)</f>
        <v>0</v>
      </c>
      <c r="V104" s="207">
        <f>SUMIFS('июнь 2023'!$G$4:$G$886,'июнь 2023'!$D$4:$D$886,$B104,'июнь 2023'!$J$4:$J$886,V$1)</f>
        <v>0</v>
      </c>
      <c r="W104" s="207">
        <f>SUMIFS('июнь 2023'!$G$4:$G$886,'июнь 2023'!$D$4:$D$886,$B104,'июнь 2023'!$J$4:$J$886,W$1)</f>
        <v>0</v>
      </c>
      <c r="X104" s="207">
        <f>SUMIFS('июнь 2023'!$G$4:$G$886,'июнь 2023'!$D$4:$D$886,$B104,'июнь 2023'!$J$4:$J$886,X$1)</f>
        <v>0</v>
      </c>
      <c r="Y104" s="207">
        <f>SUMIFS('июнь 2023'!$G$4:$G$886,'июнь 2023'!$D$4:$D$886,$B104,'июнь 2023'!$J$4:$J$886,Y$1)</f>
        <v>0</v>
      </c>
      <c r="Z104" s="207">
        <f>SUMIFS('июнь 2023'!$G$4:$G$886,'июнь 2023'!$D$4:$D$886,$B104,'июнь 2023'!$J$4:$J$886,Z$1)</f>
        <v>0</v>
      </c>
      <c r="AA104" s="207">
        <f>SUMIFS('июнь 2023'!$G$4:$G$886,'июнь 2023'!$D$4:$D$886,$B104,'июнь 2023'!$J$4:$J$886,AA$1)</f>
        <v>0</v>
      </c>
      <c r="AB104" s="207">
        <f>SUMIFS('июнь 2023'!$G$4:$G$886,'июнь 2023'!$D$4:$D$886,$B104,'июнь 2023'!$J$4:$J$886,AB$1)</f>
        <v>0</v>
      </c>
      <c r="AC104" s="207">
        <f>SUMIFS('июнь 2023'!$G$4:$G$886,'июнь 2023'!$D$4:$D$886,$B104,'июнь 2023'!$J$4:$J$886,AC$1)</f>
        <v>0</v>
      </c>
      <c r="AD104" s="207">
        <f>SUMIFS('июнь 2023'!$G$4:$G$886,'июнь 2023'!$D$4:$D$886,$B104,'июнь 2023'!$J$4:$J$886,AD$1)</f>
        <v>0</v>
      </c>
      <c r="AE104" s="207">
        <f>SUMIFS('июнь 2023'!$G$4:$G$886,'июнь 2023'!$D$4:$D$886,$B104,'июнь 2023'!$J$4:$J$886,AE$1)</f>
        <v>0</v>
      </c>
      <c r="AF104" s="207">
        <f>SUMIFS('июнь 2023'!$G$4:$G$886,'июнь 2023'!$D$4:$D$886,$B104,'июнь 2023'!$J$4:$J$886,AF$1)</f>
        <v>0</v>
      </c>
      <c r="AG104" s="207">
        <f>SUMIFS('июнь 2023'!$G$4:$G$886,'июнь 2023'!$D$4:$D$886,$B104,'июнь 2023'!$J$4:$J$886,AG$1)</f>
        <v>0</v>
      </c>
      <c r="AH104" s="207">
        <f>SUMIFS('июнь 2023'!$G$4:$G$886,'июнь 2023'!$D$4:$D$886,$B104,'июнь 2023'!$J$4:$J$886,AH$1)</f>
        <v>0</v>
      </c>
      <c r="AI104" s="170">
        <f t="shared" si="2"/>
        <v>8</v>
      </c>
    </row>
    <row r="105" spans="2:35" ht="15" customHeight="1" x14ac:dyDescent="0.25">
      <c r="B105" s="212" t="s">
        <v>1023</v>
      </c>
      <c r="C105" s="213">
        <v>25</v>
      </c>
      <c r="D105" s="207">
        <f>SUMIFS('июнь 2023'!$G$4:$G$886,'июнь 2023'!$D$4:$D$886,$B105,'июнь 2023'!$J$4:$J$886,D$1)</f>
        <v>0</v>
      </c>
      <c r="E105" s="207">
        <f>SUMIFS('июнь 2023'!$G$4:$G$886,'июнь 2023'!$D$4:$D$886,$B105,'июнь 2023'!$J$4:$J$886,E$1)</f>
        <v>0</v>
      </c>
      <c r="F105" s="207">
        <f>SUMIFS('июнь 2023'!$G$4:$G$886,'июнь 2023'!$D$4:$D$886,$B105,'июнь 2023'!$J$4:$J$886,F$1)</f>
        <v>0</v>
      </c>
      <c r="G105" s="207">
        <f>SUMIFS('июнь 2023'!$G$4:$G$886,'июнь 2023'!$D$4:$D$886,$B105,'июнь 2023'!$J$4:$J$886,G$1)</f>
        <v>0</v>
      </c>
      <c r="H105" s="207">
        <f>SUMIFS('июнь 2023'!$G$4:$G$886,'июнь 2023'!$D$4:$D$886,$B105,'июнь 2023'!$J$4:$J$886,H$1)</f>
        <v>0</v>
      </c>
      <c r="I105" s="207">
        <f>SUMIFS('июнь 2023'!$G$4:$G$886,'июнь 2023'!$D$4:$D$886,$B105,'июнь 2023'!$J$4:$J$886,I$1)</f>
        <v>0</v>
      </c>
      <c r="J105" s="207">
        <f>SUMIFS('июнь 2023'!$G$4:$G$886,'июнь 2023'!$D$4:$D$886,$B105,'июнь 2023'!$J$4:$J$886,J$1)</f>
        <v>0</v>
      </c>
      <c r="K105" s="207">
        <f>SUMIFS('июнь 2023'!$G$4:$G$886,'июнь 2023'!$D$4:$D$886,$B105,'июнь 2023'!$J$4:$J$886,K$1)</f>
        <v>0</v>
      </c>
      <c r="L105" s="207">
        <f>SUMIFS('июнь 2023'!$G$4:$G$886,'июнь 2023'!$D$4:$D$886,$B105,'июнь 2023'!$J$4:$J$886,L$1)</f>
        <v>0</v>
      </c>
      <c r="M105" s="207">
        <f>SUMIFS('июнь 2023'!$G$4:$G$886,'июнь 2023'!$D$4:$D$886,$B105,'июнь 2023'!$J$4:$J$886,M$1)</f>
        <v>0</v>
      </c>
      <c r="N105" s="207">
        <f>SUMIFS('июнь 2023'!$G$4:$G$886,'июнь 2023'!$D$4:$D$886,$B105,'июнь 2023'!$J$4:$J$886,N$1)</f>
        <v>0</v>
      </c>
      <c r="O105" s="207">
        <f>SUMIFS('июнь 2023'!$G$4:$G$886,'июнь 2023'!$D$4:$D$886,$B105,'июнь 2023'!$J$4:$J$886,O$1)</f>
        <v>0</v>
      </c>
      <c r="P105" s="207">
        <f>SUMIFS('июнь 2023'!$G$4:$G$886,'июнь 2023'!$D$4:$D$886,$B105,'июнь 2023'!$J$4:$J$886,P$1)</f>
        <v>0</v>
      </c>
      <c r="Q105" s="207">
        <f>SUMIFS('июнь 2023'!$G$4:$G$886,'июнь 2023'!$D$4:$D$886,$B105,'июнь 2023'!$J$4:$J$886,Q$1)</f>
        <v>0</v>
      </c>
      <c r="R105" s="207">
        <f>SUMIFS('июнь 2023'!$G$4:$G$886,'июнь 2023'!$D$4:$D$886,$B105,'июнь 2023'!$J$4:$J$886,R$1)</f>
        <v>0</v>
      </c>
      <c r="S105" s="207">
        <f>SUMIFS('июнь 2023'!$G$4:$G$886,'июнь 2023'!$D$4:$D$886,$B105,'июнь 2023'!$J$4:$J$886,S$1)</f>
        <v>0</v>
      </c>
      <c r="T105" s="207">
        <f>SUMIFS('июнь 2023'!$G$4:$G$886,'июнь 2023'!$D$4:$D$886,$B105,'июнь 2023'!$J$4:$J$886,T$1)</f>
        <v>0</v>
      </c>
      <c r="U105" s="207">
        <f>SUMIFS('июнь 2023'!$G$4:$G$886,'июнь 2023'!$D$4:$D$886,$B105,'июнь 2023'!$J$4:$J$886,U$1)</f>
        <v>0</v>
      </c>
      <c r="V105" s="207">
        <f>SUMIFS('июнь 2023'!$G$4:$G$886,'июнь 2023'!$D$4:$D$886,$B105,'июнь 2023'!$J$4:$J$886,V$1)</f>
        <v>0</v>
      </c>
      <c r="W105" s="207">
        <f>SUMIFS('июнь 2023'!$G$4:$G$886,'июнь 2023'!$D$4:$D$886,$B105,'июнь 2023'!$J$4:$J$886,W$1)</f>
        <v>0</v>
      </c>
      <c r="X105" s="207">
        <f>SUMIFS('июнь 2023'!$G$4:$G$886,'июнь 2023'!$D$4:$D$886,$B105,'июнь 2023'!$J$4:$J$886,X$1)</f>
        <v>0</v>
      </c>
      <c r="Y105" s="207">
        <f>SUMIFS('июнь 2023'!$G$4:$G$886,'июнь 2023'!$D$4:$D$886,$B105,'июнь 2023'!$J$4:$J$886,Y$1)</f>
        <v>0</v>
      </c>
      <c r="Z105" s="207">
        <f>SUMIFS('июнь 2023'!$G$4:$G$886,'июнь 2023'!$D$4:$D$886,$B105,'июнь 2023'!$J$4:$J$886,Z$1)</f>
        <v>0</v>
      </c>
      <c r="AA105" s="207">
        <f>SUMIFS('июнь 2023'!$G$4:$G$886,'июнь 2023'!$D$4:$D$886,$B105,'июнь 2023'!$J$4:$J$886,AA$1)</f>
        <v>0</v>
      </c>
      <c r="AB105" s="207">
        <f>SUMIFS('июнь 2023'!$G$4:$G$886,'июнь 2023'!$D$4:$D$886,$B105,'июнь 2023'!$J$4:$J$886,AB$1)</f>
        <v>0</v>
      </c>
      <c r="AC105" s="207">
        <f>SUMIFS('июнь 2023'!$G$4:$G$886,'июнь 2023'!$D$4:$D$886,$B105,'июнь 2023'!$J$4:$J$886,AC$1)</f>
        <v>0</v>
      </c>
      <c r="AD105" s="207">
        <f>SUMIFS('июнь 2023'!$G$4:$G$886,'июнь 2023'!$D$4:$D$886,$B105,'июнь 2023'!$J$4:$J$886,AD$1)</f>
        <v>0</v>
      </c>
      <c r="AE105" s="207">
        <f>SUMIFS('июнь 2023'!$G$4:$G$886,'июнь 2023'!$D$4:$D$886,$B105,'июнь 2023'!$J$4:$J$886,AE$1)</f>
        <v>0</v>
      </c>
      <c r="AF105" s="207">
        <f>SUMIFS('июнь 2023'!$G$4:$G$886,'июнь 2023'!$D$4:$D$886,$B105,'июнь 2023'!$J$4:$J$886,AF$1)</f>
        <v>0</v>
      </c>
      <c r="AG105" s="207">
        <f>SUMIFS('июнь 2023'!$G$4:$G$886,'июнь 2023'!$D$4:$D$886,$B105,'июнь 2023'!$J$4:$J$886,AG$1)</f>
        <v>0</v>
      </c>
      <c r="AH105" s="207">
        <f>SUMIFS('июнь 2023'!$G$4:$G$886,'июнь 2023'!$D$4:$D$886,$B105,'июнь 2023'!$J$4:$J$886,AH$1)</f>
        <v>0</v>
      </c>
      <c r="AI105" s="170">
        <f t="shared" si="2"/>
        <v>0</v>
      </c>
    </row>
    <row r="106" spans="2:35" ht="15" customHeight="1" x14ac:dyDescent="0.25">
      <c r="B106" s="216" t="s">
        <v>2199</v>
      </c>
      <c r="C106" s="213">
        <v>200</v>
      </c>
      <c r="D106" s="207">
        <f>SUMIFS('июнь 2023'!$G$4:$G$886,'июнь 2023'!$D$4:$D$886,$B106,'июнь 2023'!$J$4:$J$886,D$1)</f>
        <v>0</v>
      </c>
      <c r="E106" s="207">
        <f>SUMIFS('июнь 2023'!$G$4:$G$886,'июнь 2023'!$D$4:$D$886,$B106,'июнь 2023'!$J$4:$J$886,E$1)</f>
        <v>0</v>
      </c>
      <c r="F106" s="207">
        <f>SUMIFS('июнь 2023'!$G$4:$G$886,'июнь 2023'!$D$4:$D$886,$B106,'июнь 2023'!$J$4:$J$886,F$1)</f>
        <v>0</v>
      </c>
      <c r="G106" s="207">
        <f>SUMIFS('июнь 2023'!$G$4:$G$886,'июнь 2023'!$D$4:$D$886,$B106,'июнь 2023'!$J$4:$J$886,G$1)</f>
        <v>0</v>
      </c>
      <c r="H106" s="207">
        <f>SUMIFS('июнь 2023'!$G$4:$G$886,'июнь 2023'!$D$4:$D$886,$B106,'июнь 2023'!$J$4:$J$886,H$1)</f>
        <v>0</v>
      </c>
      <c r="I106" s="207">
        <f>SUMIFS('июнь 2023'!$G$4:$G$886,'июнь 2023'!$D$4:$D$886,$B106,'июнь 2023'!$J$4:$J$886,I$1)</f>
        <v>0</v>
      </c>
      <c r="J106" s="207">
        <f>SUMIFS('июнь 2023'!$G$4:$G$886,'июнь 2023'!$D$4:$D$886,$B106,'июнь 2023'!$J$4:$J$886,J$1)</f>
        <v>0</v>
      </c>
      <c r="K106" s="207">
        <f>SUMIFS('июнь 2023'!$G$4:$G$886,'июнь 2023'!$D$4:$D$886,$B106,'июнь 2023'!$J$4:$J$886,K$1)</f>
        <v>0</v>
      </c>
      <c r="L106" s="207">
        <f>SUMIFS('июнь 2023'!$G$4:$G$886,'июнь 2023'!$D$4:$D$886,$B106,'июнь 2023'!$J$4:$J$886,L$1)</f>
        <v>0</v>
      </c>
      <c r="M106" s="207">
        <f>SUMIFS('июнь 2023'!$G$4:$G$886,'июнь 2023'!$D$4:$D$886,$B106,'июнь 2023'!$J$4:$J$886,M$1)</f>
        <v>0</v>
      </c>
      <c r="N106" s="207">
        <f>SUMIFS('июнь 2023'!$G$4:$G$886,'июнь 2023'!$D$4:$D$886,$B106,'июнь 2023'!$J$4:$J$886,N$1)</f>
        <v>0</v>
      </c>
      <c r="O106" s="207">
        <f>SUMIFS('июнь 2023'!$G$4:$G$886,'июнь 2023'!$D$4:$D$886,$B106,'июнь 2023'!$J$4:$J$886,O$1)</f>
        <v>0</v>
      </c>
      <c r="P106" s="207">
        <f>SUMIFS('июнь 2023'!$G$4:$G$886,'июнь 2023'!$D$4:$D$886,$B106,'июнь 2023'!$J$4:$J$886,P$1)</f>
        <v>0</v>
      </c>
      <c r="Q106" s="207">
        <f>SUMIFS('июнь 2023'!$G$4:$G$886,'июнь 2023'!$D$4:$D$886,$B106,'июнь 2023'!$J$4:$J$886,Q$1)</f>
        <v>0</v>
      </c>
      <c r="R106" s="207">
        <f>SUMIFS('июнь 2023'!$G$4:$G$886,'июнь 2023'!$D$4:$D$886,$B106,'июнь 2023'!$J$4:$J$886,R$1)</f>
        <v>0</v>
      </c>
      <c r="S106" s="207">
        <f>SUMIFS('июнь 2023'!$G$4:$G$886,'июнь 2023'!$D$4:$D$886,$B106,'июнь 2023'!$J$4:$J$886,S$1)</f>
        <v>0</v>
      </c>
      <c r="T106" s="207">
        <f>SUMIFS('июнь 2023'!$G$4:$G$886,'июнь 2023'!$D$4:$D$886,$B106,'июнь 2023'!$J$4:$J$886,T$1)</f>
        <v>0</v>
      </c>
      <c r="U106" s="207">
        <f>SUMIFS('июнь 2023'!$G$4:$G$886,'июнь 2023'!$D$4:$D$886,$B106,'июнь 2023'!$J$4:$J$886,U$1)</f>
        <v>0</v>
      </c>
      <c r="V106" s="207">
        <f>SUMIFS('июнь 2023'!$G$4:$G$886,'июнь 2023'!$D$4:$D$886,$B106,'июнь 2023'!$J$4:$J$886,V$1)</f>
        <v>0</v>
      </c>
      <c r="W106" s="207">
        <f>SUMIFS('июнь 2023'!$G$4:$G$886,'июнь 2023'!$D$4:$D$886,$B106,'июнь 2023'!$J$4:$J$886,W$1)</f>
        <v>0</v>
      </c>
      <c r="X106" s="207">
        <f>SUMIFS('июнь 2023'!$G$4:$G$886,'июнь 2023'!$D$4:$D$886,$B106,'июнь 2023'!$J$4:$J$886,X$1)</f>
        <v>0</v>
      </c>
      <c r="Y106" s="207">
        <f>SUMIFS('июнь 2023'!$G$4:$G$886,'июнь 2023'!$D$4:$D$886,$B106,'июнь 2023'!$J$4:$J$886,Y$1)</f>
        <v>0</v>
      </c>
      <c r="Z106" s="207">
        <f>SUMIFS('июнь 2023'!$G$4:$G$886,'июнь 2023'!$D$4:$D$886,$B106,'июнь 2023'!$J$4:$J$886,Z$1)</f>
        <v>0</v>
      </c>
      <c r="AA106" s="207">
        <f>SUMIFS('июнь 2023'!$G$4:$G$886,'июнь 2023'!$D$4:$D$886,$B106,'июнь 2023'!$J$4:$J$886,AA$1)</f>
        <v>0</v>
      </c>
      <c r="AB106" s="207">
        <f>SUMIFS('июнь 2023'!$G$4:$G$886,'июнь 2023'!$D$4:$D$886,$B106,'июнь 2023'!$J$4:$J$886,AB$1)</f>
        <v>0</v>
      </c>
      <c r="AC106" s="207">
        <f>SUMIFS('июнь 2023'!$G$4:$G$886,'июнь 2023'!$D$4:$D$886,$B106,'июнь 2023'!$J$4:$J$886,AC$1)</f>
        <v>0</v>
      </c>
      <c r="AD106" s="207">
        <f>SUMIFS('июнь 2023'!$G$4:$G$886,'июнь 2023'!$D$4:$D$886,$B106,'июнь 2023'!$J$4:$J$886,AD$1)</f>
        <v>0</v>
      </c>
      <c r="AE106" s="207">
        <f>SUMIFS('июнь 2023'!$G$4:$G$886,'июнь 2023'!$D$4:$D$886,$B106,'июнь 2023'!$J$4:$J$886,AE$1)</f>
        <v>0</v>
      </c>
      <c r="AF106" s="207">
        <f>SUMIFS('июнь 2023'!$G$4:$G$886,'июнь 2023'!$D$4:$D$886,$B106,'июнь 2023'!$J$4:$J$886,AF$1)</f>
        <v>0</v>
      </c>
      <c r="AG106" s="207">
        <f>SUMIFS('июнь 2023'!$G$4:$G$886,'июнь 2023'!$D$4:$D$886,$B106,'июнь 2023'!$J$4:$J$886,AG$1)</f>
        <v>0</v>
      </c>
      <c r="AH106" s="207">
        <f>SUMIFS('июнь 2023'!$G$4:$G$886,'июнь 2023'!$D$4:$D$886,$B106,'июнь 2023'!$J$4:$J$886,AH$1)</f>
        <v>0</v>
      </c>
      <c r="AI106" s="170">
        <f t="shared" si="2"/>
        <v>0</v>
      </c>
    </row>
    <row r="107" spans="2:35" ht="16.899999999999999" customHeight="1" x14ac:dyDescent="0.25">
      <c r="B107" s="212" t="s">
        <v>1094</v>
      </c>
      <c r="C107" s="211">
        <v>25</v>
      </c>
      <c r="D107" s="207">
        <f>SUMIFS('июнь 2023'!$G$4:$G$886,'июнь 2023'!$D$4:$D$886,$B107,'июнь 2023'!$J$4:$J$886,D$1)</f>
        <v>0</v>
      </c>
      <c r="E107" s="207">
        <f>SUMIFS('июнь 2023'!$G$4:$G$886,'июнь 2023'!$D$4:$D$886,$B107,'июнь 2023'!$J$4:$J$886,E$1)</f>
        <v>0</v>
      </c>
      <c r="F107" s="207">
        <f>SUMIFS('июнь 2023'!$G$4:$G$886,'июнь 2023'!$D$4:$D$886,$B107,'июнь 2023'!$J$4:$J$886,F$1)</f>
        <v>0</v>
      </c>
      <c r="G107" s="207">
        <f>SUMIFS('июнь 2023'!$G$4:$G$886,'июнь 2023'!$D$4:$D$886,$B107,'июнь 2023'!$J$4:$J$886,G$1)</f>
        <v>0</v>
      </c>
      <c r="H107" s="207">
        <f>SUMIFS('июнь 2023'!$G$4:$G$886,'июнь 2023'!$D$4:$D$886,$B107,'июнь 2023'!$J$4:$J$886,H$1)</f>
        <v>72</v>
      </c>
      <c r="I107" s="207">
        <f>SUMIFS('июнь 2023'!$G$4:$G$886,'июнь 2023'!$D$4:$D$886,$B107,'июнь 2023'!$J$4:$J$886,I$1)</f>
        <v>0</v>
      </c>
      <c r="J107" s="207">
        <f>SUMIFS('июнь 2023'!$G$4:$G$886,'июнь 2023'!$D$4:$D$886,$B107,'июнь 2023'!$J$4:$J$886,J$1)</f>
        <v>0</v>
      </c>
      <c r="K107" s="207">
        <f>SUMIFS('июнь 2023'!$G$4:$G$886,'июнь 2023'!$D$4:$D$886,$B107,'июнь 2023'!$J$4:$J$886,K$1)</f>
        <v>0</v>
      </c>
      <c r="L107" s="207">
        <f>SUMIFS('июнь 2023'!$G$4:$G$886,'июнь 2023'!$D$4:$D$886,$B107,'июнь 2023'!$J$4:$J$886,L$1)</f>
        <v>28</v>
      </c>
      <c r="M107" s="207">
        <f>SUMIFS('июнь 2023'!$G$4:$G$886,'июнь 2023'!$D$4:$D$886,$B107,'июнь 2023'!$J$4:$J$886,M$1)</f>
        <v>0</v>
      </c>
      <c r="N107" s="207">
        <f>SUMIFS('июнь 2023'!$G$4:$G$886,'июнь 2023'!$D$4:$D$886,$B107,'июнь 2023'!$J$4:$J$886,N$1)</f>
        <v>0</v>
      </c>
      <c r="O107" s="207">
        <f>SUMIFS('июнь 2023'!$G$4:$G$886,'июнь 2023'!$D$4:$D$886,$B107,'июнь 2023'!$J$4:$J$886,O$1)</f>
        <v>0</v>
      </c>
      <c r="P107" s="207">
        <f>SUMIFS('июнь 2023'!$G$4:$G$886,'июнь 2023'!$D$4:$D$886,$B107,'июнь 2023'!$J$4:$J$886,P$1)</f>
        <v>0</v>
      </c>
      <c r="Q107" s="207">
        <f>SUMIFS('июнь 2023'!$G$4:$G$886,'июнь 2023'!$D$4:$D$886,$B107,'июнь 2023'!$J$4:$J$886,Q$1)</f>
        <v>0</v>
      </c>
      <c r="R107" s="207">
        <f>SUMIFS('июнь 2023'!$G$4:$G$886,'июнь 2023'!$D$4:$D$886,$B107,'июнь 2023'!$J$4:$J$886,R$1)</f>
        <v>0</v>
      </c>
      <c r="S107" s="207">
        <f>SUMIFS('июнь 2023'!$G$4:$G$886,'июнь 2023'!$D$4:$D$886,$B107,'июнь 2023'!$J$4:$J$886,S$1)</f>
        <v>0</v>
      </c>
      <c r="T107" s="207">
        <f>SUMIFS('июнь 2023'!$G$4:$G$886,'июнь 2023'!$D$4:$D$886,$B107,'июнь 2023'!$J$4:$J$886,T$1)</f>
        <v>0</v>
      </c>
      <c r="U107" s="207">
        <f>SUMIFS('июнь 2023'!$G$4:$G$886,'июнь 2023'!$D$4:$D$886,$B107,'июнь 2023'!$J$4:$J$886,U$1)</f>
        <v>0</v>
      </c>
      <c r="V107" s="207">
        <f>SUMIFS('июнь 2023'!$G$4:$G$886,'июнь 2023'!$D$4:$D$886,$B107,'июнь 2023'!$J$4:$J$886,V$1)</f>
        <v>420</v>
      </c>
      <c r="W107" s="207">
        <f>SUMIFS('июнь 2023'!$G$4:$G$886,'июнь 2023'!$D$4:$D$886,$B107,'июнь 2023'!$J$4:$J$886,W$1)</f>
        <v>0</v>
      </c>
      <c r="X107" s="207">
        <f>SUMIFS('июнь 2023'!$G$4:$G$886,'июнь 2023'!$D$4:$D$886,$B107,'июнь 2023'!$J$4:$J$886,X$1)</f>
        <v>0</v>
      </c>
      <c r="Y107" s="207">
        <f>SUMIFS('июнь 2023'!$G$4:$G$886,'июнь 2023'!$D$4:$D$886,$B107,'июнь 2023'!$J$4:$J$886,Y$1)</f>
        <v>0</v>
      </c>
      <c r="Z107" s="207">
        <f>SUMIFS('июнь 2023'!$G$4:$G$886,'июнь 2023'!$D$4:$D$886,$B107,'июнь 2023'!$J$4:$J$886,Z$1)</f>
        <v>0</v>
      </c>
      <c r="AA107" s="207">
        <f>SUMIFS('июнь 2023'!$G$4:$G$886,'июнь 2023'!$D$4:$D$886,$B107,'июнь 2023'!$J$4:$J$886,AA$1)</f>
        <v>0</v>
      </c>
      <c r="AB107" s="207">
        <f>SUMIFS('июнь 2023'!$G$4:$G$886,'июнь 2023'!$D$4:$D$886,$B107,'июнь 2023'!$J$4:$J$886,AB$1)</f>
        <v>0</v>
      </c>
      <c r="AC107" s="207">
        <f>SUMIFS('июнь 2023'!$G$4:$G$886,'июнь 2023'!$D$4:$D$886,$B107,'июнь 2023'!$J$4:$J$886,AC$1)</f>
        <v>0</v>
      </c>
      <c r="AD107" s="207">
        <f>SUMIFS('июнь 2023'!$G$4:$G$886,'июнь 2023'!$D$4:$D$886,$B107,'июнь 2023'!$J$4:$J$886,AD$1)</f>
        <v>0</v>
      </c>
      <c r="AE107" s="207">
        <f>SUMIFS('июнь 2023'!$G$4:$G$886,'июнь 2023'!$D$4:$D$886,$B107,'июнь 2023'!$J$4:$J$886,AE$1)</f>
        <v>0</v>
      </c>
      <c r="AF107" s="207">
        <f>SUMIFS('июнь 2023'!$G$4:$G$886,'июнь 2023'!$D$4:$D$886,$B107,'июнь 2023'!$J$4:$J$886,AF$1)</f>
        <v>0</v>
      </c>
      <c r="AG107" s="207">
        <f>SUMIFS('июнь 2023'!$G$4:$G$886,'июнь 2023'!$D$4:$D$886,$B107,'июнь 2023'!$J$4:$J$886,AG$1)</f>
        <v>0</v>
      </c>
      <c r="AH107" s="207">
        <f>SUMIFS('июнь 2023'!$G$4:$G$886,'июнь 2023'!$D$4:$D$886,$B107,'июнь 2023'!$J$4:$J$886,AH$1)</f>
        <v>0</v>
      </c>
      <c r="AI107" s="170">
        <f t="shared" si="2"/>
        <v>520</v>
      </c>
    </row>
    <row r="108" spans="2:35" ht="15" customHeight="1" x14ac:dyDescent="0.25">
      <c r="B108" s="212" t="s">
        <v>191</v>
      </c>
      <c r="C108" s="211">
        <v>25</v>
      </c>
      <c r="D108" s="207">
        <f>SUMIFS('июнь 2023'!$G$4:$G$886,'июнь 2023'!$D$4:$D$886,$B108,'июнь 2023'!$J$4:$J$886,D$1)</f>
        <v>480</v>
      </c>
      <c r="E108" s="207">
        <f>SUMIFS('июнь 2023'!$G$4:$G$886,'июнь 2023'!$D$4:$D$886,$B108,'июнь 2023'!$J$4:$J$886,E$1)</f>
        <v>104</v>
      </c>
      <c r="F108" s="207">
        <f>SUMIFS('июнь 2023'!$G$4:$G$886,'июнь 2023'!$D$4:$D$886,$B108,'июнь 2023'!$J$4:$J$886,F$1)</f>
        <v>0</v>
      </c>
      <c r="G108" s="207">
        <f>SUMIFS('июнь 2023'!$G$4:$G$886,'июнь 2023'!$D$4:$D$886,$B108,'июнь 2023'!$J$4:$J$886,G$1)</f>
        <v>0</v>
      </c>
      <c r="H108" s="207">
        <f>SUMIFS('июнь 2023'!$G$4:$G$886,'июнь 2023'!$D$4:$D$886,$B108,'июнь 2023'!$J$4:$J$886,H$1)</f>
        <v>0</v>
      </c>
      <c r="I108" s="207">
        <f>SUMIFS('июнь 2023'!$G$4:$G$886,'июнь 2023'!$D$4:$D$886,$B108,'июнь 2023'!$J$4:$J$886,I$1)</f>
        <v>0</v>
      </c>
      <c r="J108" s="207">
        <f>SUMIFS('июнь 2023'!$G$4:$G$886,'июнь 2023'!$D$4:$D$886,$B108,'июнь 2023'!$J$4:$J$886,J$1)</f>
        <v>0</v>
      </c>
      <c r="K108" s="207">
        <f>SUMIFS('июнь 2023'!$G$4:$G$886,'июнь 2023'!$D$4:$D$886,$B108,'июнь 2023'!$J$4:$J$886,K$1)</f>
        <v>0</v>
      </c>
      <c r="L108" s="207">
        <f>SUMIFS('июнь 2023'!$G$4:$G$886,'июнь 2023'!$D$4:$D$886,$B108,'июнь 2023'!$J$4:$J$886,L$1)</f>
        <v>0</v>
      </c>
      <c r="M108" s="207">
        <f>SUMIFS('июнь 2023'!$G$4:$G$886,'июнь 2023'!$D$4:$D$886,$B108,'июнь 2023'!$J$4:$J$886,M$1)</f>
        <v>0</v>
      </c>
      <c r="N108" s="207">
        <f>SUMIFS('июнь 2023'!$G$4:$G$886,'июнь 2023'!$D$4:$D$886,$B108,'июнь 2023'!$J$4:$J$886,N$1)</f>
        <v>480</v>
      </c>
      <c r="O108" s="207">
        <f>SUMIFS('июнь 2023'!$G$4:$G$886,'июнь 2023'!$D$4:$D$886,$B108,'июнь 2023'!$J$4:$J$886,O$1)</f>
        <v>0</v>
      </c>
      <c r="P108" s="207">
        <f>SUMIFS('июнь 2023'!$G$4:$G$886,'июнь 2023'!$D$4:$D$886,$B108,'июнь 2023'!$J$4:$J$886,P$1)</f>
        <v>0</v>
      </c>
      <c r="Q108" s="207">
        <f>SUMIFS('июнь 2023'!$G$4:$G$886,'июнь 2023'!$D$4:$D$886,$B108,'июнь 2023'!$J$4:$J$886,Q$1)</f>
        <v>0</v>
      </c>
      <c r="R108" s="207">
        <f>SUMIFS('июнь 2023'!$G$4:$G$886,'июнь 2023'!$D$4:$D$886,$B108,'июнь 2023'!$J$4:$J$886,R$1)</f>
        <v>0</v>
      </c>
      <c r="S108" s="207">
        <f>SUMIFS('июнь 2023'!$G$4:$G$886,'июнь 2023'!$D$4:$D$886,$B108,'июнь 2023'!$J$4:$J$886,S$1)</f>
        <v>0</v>
      </c>
      <c r="T108" s="207">
        <f>SUMIFS('июнь 2023'!$G$4:$G$886,'июнь 2023'!$D$4:$D$886,$B108,'июнь 2023'!$J$4:$J$886,T$1)</f>
        <v>0</v>
      </c>
      <c r="U108" s="207">
        <f>SUMIFS('июнь 2023'!$G$4:$G$886,'июнь 2023'!$D$4:$D$886,$B108,'июнь 2023'!$J$4:$J$886,U$1)</f>
        <v>0</v>
      </c>
      <c r="V108" s="207">
        <f>SUMIFS('июнь 2023'!$G$4:$G$886,'июнь 2023'!$D$4:$D$886,$B108,'июнь 2023'!$J$4:$J$886,V$1)</f>
        <v>0</v>
      </c>
      <c r="W108" s="207">
        <f>SUMIFS('июнь 2023'!$G$4:$G$886,'июнь 2023'!$D$4:$D$886,$B108,'июнь 2023'!$J$4:$J$886,W$1)</f>
        <v>0</v>
      </c>
      <c r="X108" s="207">
        <f>SUMIFS('июнь 2023'!$G$4:$G$886,'июнь 2023'!$D$4:$D$886,$B108,'июнь 2023'!$J$4:$J$886,X$1)</f>
        <v>0</v>
      </c>
      <c r="Y108" s="207">
        <f>SUMIFS('июнь 2023'!$G$4:$G$886,'июнь 2023'!$D$4:$D$886,$B108,'июнь 2023'!$J$4:$J$886,Y$1)</f>
        <v>0</v>
      </c>
      <c r="Z108" s="207">
        <f>SUMIFS('июнь 2023'!$G$4:$G$886,'июнь 2023'!$D$4:$D$886,$B108,'июнь 2023'!$J$4:$J$886,Z$1)</f>
        <v>0</v>
      </c>
      <c r="AA108" s="207">
        <f>SUMIFS('июнь 2023'!$G$4:$G$886,'июнь 2023'!$D$4:$D$886,$B108,'июнь 2023'!$J$4:$J$886,AA$1)</f>
        <v>0</v>
      </c>
      <c r="AB108" s="207">
        <f>SUMIFS('июнь 2023'!$G$4:$G$886,'июнь 2023'!$D$4:$D$886,$B108,'июнь 2023'!$J$4:$J$886,AB$1)</f>
        <v>0</v>
      </c>
      <c r="AC108" s="207">
        <f>SUMIFS('июнь 2023'!$G$4:$G$886,'июнь 2023'!$D$4:$D$886,$B108,'июнь 2023'!$J$4:$J$886,AC$1)</f>
        <v>0</v>
      </c>
      <c r="AD108" s="207">
        <f>SUMIFS('июнь 2023'!$G$4:$G$886,'июнь 2023'!$D$4:$D$886,$B108,'июнь 2023'!$J$4:$J$886,AD$1)</f>
        <v>0</v>
      </c>
      <c r="AE108" s="207">
        <f>SUMIFS('июнь 2023'!$G$4:$G$886,'июнь 2023'!$D$4:$D$886,$B108,'июнь 2023'!$J$4:$J$886,AE$1)</f>
        <v>0</v>
      </c>
      <c r="AF108" s="207">
        <f>SUMIFS('июнь 2023'!$G$4:$G$886,'июнь 2023'!$D$4:$D$886,$B108,'июнь 2023'!$J$4:$J$886,AF$1)</f>
        <v>0</v>
      </c>
      <c r="AG108" s="207">
        <f>SUMIFS('июнь 2023'!$G$4:$G$886,'июнь 2023'!$D$4:$D$886,$B108,'июнь 2023'!$J$4:$J$886,AG$1)</f>
        <v>0</v>
      </c>
      <c r="AH108" s="207">
        <f>SUMIFS('июнь 2023'!$G$4:$G$886,'июнь 2023'!$D$4:$D$886,$B108,'июнь 2023'!$J$4:$J$886,AH$1)</f>
        <v>0</v>
      </c>
      <c r="AI108" s="170">
        <f t="shared" si="2"/>
        <v>1064</v>
      </c>
    </row>
    <row r="109" spans="2:35" ht="15" customHeight="1" x14ac:dyDescent="0.25">
      <c r="B109" s="212" t="s">
        <v>525</v>
      </c>
      <c r="C109" s="211">
        <v>25</v>
      </c>
      <c r="D109" s="207">
        <f>SUMIFS('июнь 2023'!$G$4:$G$886,'июнь 2023'!$D$4:$D$886,$B109,'июнь 2023'!$J$4:$J$886,D$1)</f>
        <v>0</v>
      </c>
      <c r="E109" s="207">
        <f>SUMIFS('июнь 2023'!$G$4:$G$886,'июнь 2023'!$D$4:$D$886,$B109,'июнь 2023'!$J$4:$J$886,E$1)</f>
        <v>0</v>
      </c>
      <c r="F109" s="207">
        <f>SUMIFS('июнь 2023'!$G$4:$G$886,'июнь 2023'!$D$4:$D$886,$B109,'июнь 2023'!$J$4:$J$886,F$1)</f>
        <v>0</v>
      </c>
      <c r="G109" s="207">
        <f>SUMIFS('июнь 2023'!$G$4:$G$886,'июнь 2023'!$D$4:$D$886,$B109,'июнь 2023'!$J$4:$J$886,G$1)</f>
        <v>0</v>
      </c>
      <c r="H109" s="207">
        <f>SUMIFS('июнь 2023'!$G$4:$G$886,'июнь 2023'!$D$4:$D$886,$B109,'июнь 2023'!$J$4:$J$886,H$1)</f>
        <v>0</v>
      </c>
      <c r="I109" s="207">
        <f>SUMIFS('июнь 2023'!$G$4:$G$886,'июнь 2023'!$D$4:$D$886,$B109,'июнь 2023'!$J$4:$J$886,I$1)</f>
        <v>0</v>
      </c>
      <c r="J109" s="207">
        <f>SUMIFS('июнь 2023'!$G$4:$G$886,'июнь 2023'!$D$4:$D$886,$B109,'июнь 2023'!$J$4:$J$886,J$1)</f>
        <v>0</v>
      </c>
      <c r="K109" s="207">
        <f>SUMIFS('июнь 2023'!$G$4:$G$886,'июнь 2023'!$D$4:$D$886,$B109,'июнь 2023'!$J$4:$J$886,K$1)</f>
        <v>0</v>
      </c>
      <c r="L109" s="207">
        <f>SUMIFS('июнь 2023'!$G$4:$G$886,'июнь 2023'!$D$4:$D$886,$B109,'июнь 2023'!$J$4:$J$886,L$1)</f>
        <v>0</v>
      </c>
      <c r="M109" s="207">
        <f>SUMIFS('июнь 2023'!$G$4:$G$886,'июнь 2023'!$D$4:$D$886,$B109,'июнь 2023'!$J$4:$J$886,M$1)</f>
        <v>0</v>
      </c>
      <c r="N109" s="207">
        <f>SUMIFS('июнь 2023'!$G$4:$G$886,'июнь 2023'!$D$4:$D$886,$B109,'июнь 2023'!$J$4:$J$886,N$1)</f>
        <v>0</v>
      </c>
      <c r="O109" s="207">
        <f>SUMIFS('июнь 2023'!$G$4:$G$886,'июнь 2023'!$D$4:$D$886,$B109,'июнь 2023'!$J$4:$J$886,O$1)</f>
        <v>0</v>
      </c>
      <c r="P109" s="207">
        <f>SUMIFS('июнь 2023'!$G$4:$G$886,'июнь 2023'!$D$4:$D$886,$B109,'июнь 2023'!$J$4:$J$886,P$1)</f>
        <v>0</v>
      </c>
      <c r="Q109" s="207">
        <f>SUMIFS('июнь 2023'!$G$4:$G$886,'июнь 2023'!$D$4:$D$886,$B109,'июнь 2023'!$J$4:$J$886,Q$1)</f>
        <v>0</v>
      </c>
      <c r="R109" s="207">
        <f>SUMIFS('июнь 2023'!$G$4:$G$886,'июнь 2023'!$D$4:$D$886,$B109,'июнь 2023'!$J$4:$J$886,R$1)</f>
        <v>0</v>
      </c>
      <c r="S109" s="207">
        <f>SUMIFS('июнь 2023'!$G$4:$G$886,'июнь 2023'!$D$4:$D$886,$B109,'июнь 2023'!$J$4:$J$886,S$1)</f>
        <v>0</v>
      </c>
      <c r="T109" s="207">
        <f>SUMIFS('июнь 2023'!$G$4:$G$886,'июнь 2023'!$D$4:$D$886,$B109,'июнь 2023'!$J$4:$J$886,T$1)</f>
        <v>0</v>
      </c>
      <c r="U109" s="207">
        <f>SUMIFS('июнь 2023'!$G$4:$G$886,'июнь 2023'!$D$4:$D$886,$B109,'июнь 2023'!$J$4:$J$886,U$1)</f>
        <v>0</v>
      </c>
      <c r="V109" s="207">
        <f>SUMIFS('июнь 2023'!$G$4:$G$886,'июнь 2023'!$D$4:$D$886,$B109,'июнь 2023'!$J$4:$J$886,V$1)</f>
        <v>0</v>
      </c>
      <c r="W109" s="207">
        <f>SUMIFS('июнь 2023'!$G$4:$G$886,'июнь 2023'!$D$4:$D$886,$B109,'июнь 2023'!$J$4:$J$886,W$1)</f>
        <v>0</v>
      </c>
      <c r="X109" s="207">
        <f>SUMIFS('июнь 2023'!$G$4:$G$886,'июнь 2023'!$D$4:$D$886,$B109,'июнь 2023'!$J$4:$J$886,X$1)</f>
        <v>0</v>
      </c>
      <c r="Y109" s="207">
        <f>SUMIFS('июнь 2023'!$G$4:$G$886,'июнь 2023'!$D$4:$D$886,$B109,'июнь 2023'!$J$4:$J$886,Y$1)</f>
        <v>0</v>
      </c>
      <c r="Z109" s="207">
        <f>SUMIFS('июнь 2023'!$G$4:$G$886,'июнь 2023'!$D$4:$D$886,$B109,'июнь 2023'!$J$4:$J$886,Z$1)</f>
        <v>0</v>
      </c>
      <c r="AA109" s="207">
        <f>SUMIFS('июнь 2023'!$G$4:$G$886,'июнь 2023'!$D$4:$D$886,$B109,'июнь 2023'!$J$4:$J$886,AA$1)</f>
        <v>0</v>
      </c>
      <c r="AB109" s="207">
        <f>SUMIFS('июнь 2023'!$G$4:$G$886,'июнь 2023'!$D$4:$D$886,$B109,'июнь 2023'!$J$4:$J$886,AB$1)</f>
        <v>0</v>
      </c>
      <c r="AC109" s="207">
        <f>SUMIFS('июнь 2023'!$G$4:$G$886,'июнь 2023'!$D$4:$D$886,$B109,'июнь 2023'!$J$4:$J$886,AC$1)</f>
        <v>0</v>
      </c>
      <c r="AD109" s="207">
        <f>SUMIFS('июнь 2023'!$G$4:$G$886,'июнь 2023'!$D$4:$D$886,$B109,'июнь 2023'!$J$4:$J$886,AD$1)</f>
        <v>0</v>
      </c>
      <c r="AE109" s="207">
        <f>SUMIFS('июнь 2023'!$G$4:$G$886,'июнь 2023'!$D$4:$D$886,$B109,'июнь 2023'!$J$4:$J$886,AE$1)</f>
        <v>0</v>
      </c>
      <c r="AF109" s="207">
        <f>SUMIFS('июнь 2023'!$G$4:$G$886,'июнь 2023'!$D$4:$D$886,$B109,'июнь 2023'!$J$4:$J$886,AF$1)</f>
        <v>0</v>
      </c>
      <c r="AG109" s="207">
        <f>SUMIFS('июнь 2023'!$G$4:$G$886,'июнь 2023'!$D$4:$D$886,$B109,'июнь 2023'!$J$4:$J$886,AG$1)</f>
        <v>0</v>
      </c>
      <c r="AH109" s="207">
        <f>SUMIFS('июнь 2023'!$G$4:$G$886,'июнь 2023'!$D$4:$D$886,$B109,'июнь 2023'!$J$4:$J$886,AH$1)</f>
        <v>0</v>
      </c>
      <c r="AI109" s="170">
        <f t="shared" si="2"/>
        <v>0</v>
      </c>
    </row>
    <row r="110" spans="2:35" ht="15" customHeight="1" x14ac:dyDescent="0.25">
      <c r="B110" s="212" t="s">
        <v>1353</v>
      </c>
      <c r="C110" s="211">
        <v>25</v>
      </c>
      <c r="D110" s="207">
        <f>SUMIFS('июнь 2023'!$G$4:$G$886,'июнь 2023'!$D$4:$D$886,$B110,'июнь 2023'!$J$4:$J$886,D$1)</f>
        <v>0</v>
      </c>
      <c r="E110" s="207">
        <f>SUMIFS('июнь 2023'!$G$4:$G$886,'июнь 2023'!$D$4:$D$886,$B110,'июнь 2023'!$J$4:$J$886,E$1)</f>
        <v>0</v>
      </c>
      <c r="F110" s="207">
        <f>SUMIFS('июнь 2023'!$G$4:$G$886,'июнь 2023'!$D$4:$D$886,$B110,'июнь 2023'!$J$4:$J$886,F$1)</f>
        <v>0</v>
      </c>
      <c r="G110" s="207">
        <f>SUMIFS('июнь 2023'!$G$4:$G$886,'июнь 2023'!$D$4:$D$886,$B110,'июнь 2023'!$J$4:$J$886,G$1)</f>
        <v>0</v>
      </c>
      <c r="H110" s="207">
        <f>SUMIFS('июнь 2023'!$G$4:$G$886,'июнь 2023'!$D$4:$D$886,$B110,'июнь 2023'!$J$4:$J$886,H$1)</f>
        <v>0</v>
      </c>
      <c r="I110" s="207">
        <f>SUMIFS('июнь 2023'!$G$4:$G$886,'июнь 2023'!$D$4:$D$886,$B110,'июнь 2023'!$J$4:$J$886,I$1)</f>
        <v>0</v>
      </c>
      <c r="J110" s="207">
        <f>SUMIFS('июнь 2023'!$G$4:$G$886,'июнь 2023'!$D$4:$D$886,$B110,'июнь 2023'!$J$4:$J$886,J$1)</f>
        <v>0</v>
      </c>
      <c r="K110" s="207">
        <f>SUMIFS('июнь 2023'!$G$4:$G$886,'июнь 2023'!$D$4:$D$886,$B110,'июнь 2023'!$J$4:$J$886,K$1)</f>
        <v>0</v>
      </c>
      <c r="L110" s="207">
        <f>SUMIFS('июнь 2023'!$G$4:$G$886,'июнь 2023'!$D$4:$D$886,$B110,'июнь 2023'!$J$4:$J$886,L$1)</f>
        <v>0</v>
      </c>
      <c r="M110" s="207">
        <f>SUMIFS('июнь 2023'!$G$4:$G$886,'июнь 2023'!$D$4:$D$886,$B110,'июнь 2023'!$J$4:$J$886,M$1)</f>
        <v>0</v>
      </c>
      <c r="N110" s="207">
        <f>SUMIFS('июнь 2023'!$G$4:$G$886,'июнь 2023'!$D$4:$D$886,$B110,'июнь 2023'!$J$4:$J$886,N$1)</f>
        <v>0</v>
      </c>
      <c r="O110" s="207">
        <f>SUMIFS('июнь 2023'!$G$4:$G$886,'июнь 2023'!$D$4:$D$886,$B110,'июнь 2023'!$J$4:$J$886,O$1)</f>
        <v>0</v>
      </c>
      <c r="P110" s="207">
        <f>SUMIFS('июнь 2023'!$G$4:$G$886,'июнь 2023'!$D$4:$D$886,$B110,'июнь 2023'!$J$4:$J$886,P$1)</f>
        <v>0</v>
      </c>
      <c r="Q110" s="207">
        <f>SUMIFS('июнь 2023'!$G$4:$G$886,'июнь 2023'!$D$4:$D$886,$B110,'июнь 2023'!$J$4:$J$886,Q$1)</f>
        <v>0</v>
      </c>
      <c r="R110" s="207">
        <f>SUMIFS('июнь 2023'!$G$4:$G$886,'июнь 2023'!$D$4:$D$886,$B110,'июнь 2023'!$J$4:$J$886,R$1)</f>
        <v>0</v>
      </c>
      <c r="S110" s="207">
        <f>SUMIFS('июнь 2023'!$G$4:$G$886,'июнь 2023'!$D$4:$D$886,$B110,'июнь 2023'!$J$4:$J$886,S$1)</f>
        <v>0</v>
      </c>
      <c r="T110" s="207">
        <f>SUMIFS('июнь 2023'!$G$4:$G$886,'июнь 2023'!$D$4:$D$886,$B110,'июнь 2023'!$J$4:$J$886,T$1)</f>
        <v>0</v>
      </c>
      <c r="U110" s="207">
        <f>SUMIFS('июнь 2023'!$G$4:$G$886,'июнь 2023'!$D$4:$D$886,$B110,'июнь 2023'!$J$4:$J$886,U$1)</f>
        <v>0</v>
      </c>
      <c r="V110" s="207">
        <f>SUMIFS('июнь 2023'!$G$4:$G$886,'июнь 2023'!$D$4:$D$886,$B110,'июнь 2023'!$J$4:$J$886,V$1)</f>
        <v>0</v>
      </c>
      <c r="W110" s="207">
        <f>SUMIFS('июнь 2023'!$G$4:$G$886,'июнь 2023'!$D$4:$D$886,$B110,'июнь 2023'!$J$4:$J$886,W$1)</f>
        <v>0</v>
      </c>
      <c r="X110" s="207">
        <f>SUMIFS('июнь 2023'!$G$4:$G$886,'июнь 2023'!$D$4:$D$886,$B110,'июнь 2023'!$J$4:$J$886,X$1)</f>
        <v>0</v>
      </c>
      <c r="Y110" s="207">
        <f>SUMIFS('июнь 2023'!$G$4:$G$886,'июнь 2023'!$D$4:$D$886,$B110,'июнь 2023'!$J$4:$J$886,Y$1)</f>
        <v>0</v>
      </c>
      <c r="Z110" s="207">
        <f>SUMIFS('июнь 2023'!$G$4:$G$886,'июнь 2023'!$D$4:$D$886,$B110,'июнь 2023'!$J$4:$J$886,Z$1)</f>
        <v>0</v>
      </c>
      <c r="AA110" s="207">
        <f>SUMIFS('июнь 2023'!$G$4:$G$886,'июнь 2023'!$D$4:$D$886,$B110,'июнь 2023'!$J$4:$J$886,AA$1)</f>
        <v>0</v>
      </c>
      <c r="AB110" s="207">
        <f>SUMIFS('июнь 2023'!$G$4:$G$886,'июнь 2023'!$D$4:$D$886,$B110,'июнь 2023'!$J$4:$J$886,AB$1)</f>
        <v>0</v>
      </c>
      <c r="AC110" s="207">
        <f>SUMIFS('июнь 2023'!$G$4:$G$886,'июнь 2023'!$D$4:$D$886,$B110,'июнь 2023'!$J$4:$J$886,AC$1)</f>
        <v>0</v>
      </c>
      <c r="AD110" s="207">
        <f>SUMIFS('июнь 2023'!$G$4:$G$886,'июнь 2023'!$D$4:$D$886,$B110,'июнь 2023'!$J$4:$J$886,AD$1)</f>
        <v>0</v>
      </c>
      <c r="AE110" s="207">
        <f>SUMIFS('июнь 2023'!$G$4:$G$886,'июнь 2023'!$D$4:$D$886,$B110,'июнь 2023'!$J$4:$J$886,AE$1)</f>
        <v>0</v>
      </c>
      <c r="AF110" s="207">
        <f>SUMIFS('июнь 2023'!$G$4:$G$886,'июнь 2023'!$D$4:$D$886,$B110,'июнь 2023'!$J$4:$J$886,AF$1)</f>
        <v>0</v>
      </c>
      <c r="AG110" s="207">
        <f>SUMIFS('июнь 2023'!$G$4:$G$886,'июнь 2023'!$D$4:$D$886,$B110,'июнь 2023'!$J$4:$J$886,AG$1)</f>
        <v>0</v>
      </c>
      <c r="AH110" s="207">
        <f>SUMIFS('июнь 2023'!$G$4:$G$886,'июнь 2023'!$D$4:$D$886,$B110,'июнь 2023'!$J$4:$J$886,AH$1)</f>
        <v>0</v>
      </c>
      <c r="AI110" s="170">
        <f t="shared" si="2"/>
        <v>0</v>
      </c>
    </row>
    <row r="111" spans="2:35" ht="15" customHeight="1" x14ac:dyDescent="0.25">
      <c r="B111" s="212"/>
      <c r="C111" s="211"/>
      <c r="D111" s="207">
        <f>SUMIFS('апрель 2023'!$G$4:$G$692,'апрель 2023'!$D$4:$D$692,$B111,'апрель 2023'!$J$4:$J$692,D$1)</f>
        <v>0</v>
      </c>
      <c r="E111" s="207">
        <f>SUMIFS('апрель 2023'!$G$4:$G$692,'апрель 2023'!$D$4:$D$692,$B111,'апрель 2023'!$J$4:$J$692,E$1)</f>
        <v>0</v>
      </c>
      <c r="F111" s="207">
        <f>SUMIFS('апрель 2023'!$G$4:$G$692,'апрель 2023'!$D$4:$D$692,$B111,'апрель 2023'!$J$4:$J$692,F$1)</f>
        <v>0</v>
      </c>
      <c r="G111" s="207">
        <f>SUMIFS('апрель 2023'!$G$4:$G$692,'апрель 2023'!$D$4:$D$692,$B111,'апрель 2023'!$J$4:$J$692,G$1)</f>
        <v>0</v>
      </c>
      <c r="H111" s="207">
        <f>SUMIFS('апрель 2023'!$G$4:$G$692,'апрель 2023'!$D$4:$D$692,$B111,'апрель 2023'!$J$4:$J$692,H$1)</f>
        <v>0</v>
      </c>
      <c r="I111" s="207">
        <f>SUMIFS('апрель 2023'!$G$4:$G$692,'апрель 2023'!$D$4:$D$692,$B111,'апрель 2023'!$J$4:$J$692,I$1)</f>
        <v>0</v>
      </c>
      <c r="J111" s="207">
        <f>SUMIFS('апрель 2023'!$G$4:$G$692,'апрель 2023'!$D$4:$D$692,$B111,'апрель 2023'!$J$4:$J$692,J$1)</f>
        <v>0</v>
      </c>
      <c r="K111" s="207">
        <f>SUMIFS('апрель 2023'!$G$4:$G$692,'апрель 2023'!$D$4:$D$692,$B111,'апрель 2023'!$J$4:$J$692,K$1)</f>
        <v>0</v>
      </c>
      <c r="L111" s="207">
        <f>SUMIFS('апрель 2023'!$G$4:$G$692,'апрель 2023'!$D$4:$D$692,$B111,'апрель 2023'!$J$4:$J$692,L$1)</f>
        <v>0</v>
      </c>
      <c r="M111" s="207">
        <f>SUMIFS('апрель 2023'!$G$4:$G$692,'апрель 2023'!$D$4:$D$692,$B111,'апрель 2023'!$J$4:$J$692,M$1)</f>
        <v>0</v>
      </c>
      <c r="N111" s="207">
        <f>SUMIFS('апрель 2023'!$G$4:$G$692,'апрель 2023'!$D$4:$D$692,$B111,'апрель 2023'!$J$4:$J$692,N$1)</f>
        <v>0</v>
      </c>
      <c r="O111" s="207">
        <f>SUMIFS('апрель 2023'!$G$4:$G$692,'апрель 2023'!$D$4:$D$692,$B111,'апрель 2023'!$J$4:$J$692,O$1)</f>
        <v>0</v>
      </c>
      <c r="P111" s="207">
        <f>SUMIFS('апрель 2023'!$G$4:$G$692,'апрель 2023'!$D$4:$D$692,$B111,'апрель 2023'!$J$4:$J$692,P$1)</f>
        <v>0</v>
      </c>
      <c r="Q111" s="207">
        <f>SUMIFS('апрель 2023'!$G$4:$G$692,'апрель 2023'!$D$4:$D$692,$B111,'апрель 2023'!$J$4:$J$692,Q$1)</f>
        <v>0</v>
      </c>
      <c r="R111" s="207">
        <f>SUMIFS('апрель 2023'!$G$4:$G$692,'апрель 2023'!$D$4:$D$692,$B111,'апрель 2023'!$J$4:$J$692,R$1)</f>
        <v>0</v>
      </c>
      <c r="S111" s="207">
        <f>SUMIFS('апрель 2023'!$G$4:$G$692,'апрель 2023'!$D$4:$D$692,$B111,'апрель 2023'!$J$4:$J$692,S$1)</f>
        <v>0</v>
      </c>
      <c r="T111" s="207">
        <f>SUMIFS('апрель 2023'!$G$4:$G$692,'апрель 2023'!$D$4:$D$692,$B111,'апрель 2023'!$J$4:$J$692,T$1)</f>
        <v>0</v>
      </c>
      <c r="U111" s="207">
        <f>SUMIFS('апрель 2023'!$G$4:$G$692,'апрель 2023'!$D$4:$D$692,$B111,'апрель 2023'!$J$4:$J$692,U$1)</f>
        <v>0</v>
      </c>
      <c r="V111" s="207">
        <f>SUMIFS('апрель 2023'!$G$4:$G$692,'апрель 2023'!$D$4:$D$692,$B111,'апрель 2023'!$J$4:$J$692,V$1)</f>
        <v>0</v>
      </c>
      <c r="W111" s="207">
        <f>SUMIFS('апрель 2023'!$G$4:$G$692,'апрель 2023'!$D$4:$D$692,$B111,'апрель 2023'!$J$4:$J$692,W$1)</f>
        <v>0</v>
      </c>
      <c r="X111" s="207">
        <f>SUMIFS('апрель 2023'!$G$4:$G$692,'апрель 2023'!$D$4:$D$692,$B111,'апрель 2023'!$J$4:$J$692,X$1)</f>
        <v>0</v>
      </c>
      <c r="Y111" s="207">
        <f>SUMIFS('апрель 2023'!$G$4:$G$692,'апрель 2023'!$D$4:$D$692,$B111,'апрель 2023'!$J$4:$J$692,Y$1)</f>
        <v>0</v>
      </c>
      <c r="Z111" s="207">
        <f>SUMIFS('апрель 2023'!$G$4:$G$692,'апрель 2023'!$D$4:$D$692,$B111,'апрель 2023'!$J$4:$J$692,Z$1)</f>
        <v>0</v>
      </c>
      <c r="AA111" s="207">
        <f>SUMIFS('апрель 2023'!$G$4:$G$692,'апрель 2023'!$D$4:$D$692,$B111,'апрель 2023'!$J$4:$J$692,AA$1)</f>
        <v>0</v>
      </c>
      <c r="AB111" s="207">
        <f>SUMIFS('апрель 2023'!$G$4:$G$692,'апрель 2023'!$D$4:$D$692,$B111,'апрель 2023'!$J$4:$J$692,AB$1)</f>
        <v>0</v>
      </c>
      <c r="AC111" s="207">
        <f>SUMIFS('апрель 2023'!$G$4:$G$692,'апрель 2023'!$D$4:$D$692,$B111,'апрель 2023'!$J$4:$J$692,AC$1)</f>
        <v>0</v>
      </c>
      <c r="AD111" s="207">
        <f>SUMIFS('апрель 2023'!$G$4:$G$692,'апрель 2023'!$D$4:$D$692,$B111,'апрель 2023'!$J$4:$J$692,AD$1)</f>
        <v>0</v>
      </c>
      <c r="AE111" s="207">
        <f>SUMIFS('апрель 2023'!$G$4:$G$692,'апрель 2023'!$D$4:$D$692,$B111,'апрель 2023'!$J$4:$J$692,AE$1)</f>
        <v>0</v>
      </c>
      <c r="AF111" s="207">
        <f>SUMIFS('апрель 2023'!$G$4:$G$692,'апрель 2023'!$D$4:$D$692,$B111,'апрель 2023'!$J$4:$J$692,AF$1)</f>
        <v>0</v>
      </c>
      <c r="AG111" s="207">
        <f>SUMIFS('апрель 2023'!$G$4:$G$692,'апрель 2023'!$D$4:$D$692,$B111,'апрель 2023'!$J$4:$J$692,AG$1)</f>
        <v>0</v>
      </c>
      <c r="AH111" s="207">
        <f>SUMIFS('апрель 2023'!$G$4:$G$692,'апрель 2023'!$D$4:$D$692,$B111,'апрель 2023'!$J$4:$J$692,AH$1)</f>
        <v>0</v>
      </c>
      <c r="AI111" s="170">
        <f t="shared" si="2"/>
        <v>0</v>
      </c>
    </row>
    <row r="112" spans="2:35" ht="15" customHeight="1" x14ac:dyDescent="0.25">
      <c r="B112" s="212"/>
      <c r="C112" s="211"/>
      <c r="D112" s="207">
        <f>SUMIFS('апрель 2023'!$G$4:$G$692,'апрель 2023'!$D$4:$D$692,$B112,'апрель 2023'!$J$4:$J$692,D$1)</f>
        <v>0</v>
      </c>
      <c r="E112" s="207">
        <f>SUMIFS('апрель 2023'!$G$4:$G$692,'апрель 2023'!$D$4:$D$692,$B112,'апрель 2023'!$J$4:$J$692,E$1)</f>
        <v>0</v>
      </c>
      <c r="F112" s="207">
        <f>SUMIFS('апрель 2023'!$G$4:$G$692,'апрель 2023'!$D$4:$D$692,$B112,'апрель 2023'!$J$4:$J$692,F$1)</f>
        <v>0</v>
      </c>
      <c r="G112" s="207">
        <f>SUMIFS('апрель 2023'!$G$4:$G$692,'апрель 2023'!$D$4:$D$692,$B112,'апрель 2023'!$J$4:$J$692,G$1)</f>
        <v>0</v>
      </c>
      <c r="H112" s="207">
        <f>SUMIFS('апрель 2023'!$G$4:$G$692,'апрель 2023'!$D$4:$D$692,$B112,'апрель 2023'!$J$4:$J$692,H$1)</f>
        <v>0</v>
      </c>
      <c r="I112" s="207">
        <f>SUMIFS('апрель 2023'!$G$4:$G$692,'апрель 2023'!$D$4:$D$692,$B112,'апрель 2023'!$J$4:$J$692,I$1)</f>
        <v>0</v>
      </c>
      <c r="J112" s="207">
        <f>SUMIFS('апрель 2023'!$G$4:$G$692,'апрель 2023'!$D$4:$D$692,$B112,'апрель 2023'!$J$4:$J$692,J$1)</f>
        <v>0</v>
      </c>
      <c r="K112" s="207">
        <f>SUMIFS('апрель 2023'!$G$4:$G$692,'апрель 2023'!$D$4:$D$692,$B112,'апрель 2023'!$J$4:$J$692,K$1)</f>
        <v>0</v>
      </c>
      <c r="L112" s="207">
        <f>SUMIFS('апрель 2023'!$G$4:$G$692,'апрель 2023'!$D$4:$D$692,$B112,'апрель 2023'!$J$4:$J$692,L$1)</f>
        <v>0</v>
      </c>
      <c r="M112" s="207">
        <f>SUMIFS('апрель 2023'!$G$4:$G$692,'апрель 2023'!$D$4:$D$692,$B112,'апрель 2023'!$J$4:$J$692,M$1)</f>
        <v>0</v>
      </c>
      <c r="N112" s="207">
        <f>SUMIFS('апрель 2023'!$G$4:$G$692,'апрель 2023'!$D$4:$D$692,$B112,'апрель 2023'!$J$4:$J$692,N$1)</f>
        <v>0</v>
      </c>
      <c r="O112" s="207">
        <f>SUMIFS('апрель 2023'!$G$4:$G$692,'апрель 2023'!$D$4:$D$692,$B112,'апрель 2023'!$J$4:$J$692,O$1)</f>
        <v>0</v>
      </c>
      <c r="P112" s="207">
        <f>SUMIFS('апрель 2023'!$G$4:$G$692,'апрель 2023'!$D$4:$D$692,$B112,'апрель 2023'!$J$4:$J$692,P$1)</f>
        <v>0</v>
      </c>
      <c r="Q112" s="207">
        <f>SUMIFS('апрель 2023'!$G$4:$G$692,'апрель 2023'!$D$4:$D$692,$B112,'апрель 2023'!$J$4:$J$692,Q$1)</f>
        <v>0</v>
      </c>
      <c r="R112" s="207">
        <f>SUMIFS('апрель 2023'!$G$4:$G$692,'апрель 2023'!$D$4:$D$692,$B112,'апрель 2023'!$J$4:$J$692,R$1)</f>
        <v>0</v>
      </c>
      <c r="S112" s="207">
        <f>SUMIFS('апрель 2023'!$G$4:$G$692,'апрель 2023'!$D$4:$D$692,$B112,'апрель 2023'!$J$4:$J$692,S$1)</f>
        <v>0</v>
      </c>
      <c r="T112" s="207">
        <f>SUMIFS('апрель 2023'!$G$4:$G$692,'апрель 2023'!$D$4:$D$692,$B112,'апрель 2023'!$J$4:$J$692,T$1)</f>
        <v>0</v>
      </c>
      <c r="U112" s="207">
        <f>SUMIFS('апрель 2023'!$G$4:$G$692,'апрель 2023'!$D$4:$D$692,$B112,'апрель 2023'!$J$4:$J$692,U$1)</f>
        <v>0</v>
      </c>
      <c r="V112" s="207">
        <f>SUMIFS('апрель 2023'!$G$4:$G$692,'апрель 2023'!$D$4:$D$692,$B112,'апрель 2023'!$J$4:$J$692,V$1)</f>
        <v>0</v>
      </c>
      <c r="W112" s="207">
        <f>SUMIFS('апрель 2023'!$G$4:$G$692,'апрель 2023'!$D$4:$D$692,$B112,'апрель 2023'!$J$4:$J$692,W$1)</f>
        <v>0</v>
      </c>
      <c r="X112" s="207">
        <f>SUMIFS('апрель 2023'!$G$4:$G$692,'апрель 2023'!$D$4:$D$692,$B112,'апрель 2023'!$J$4:$J$692,X$1)</f>
        <v>0</v>
      </c>
      <c r="Y112" s="207">
        <f>SUMIFS('апрель 2023'!$G$4:$G$692,'апрель 2023'!$D$4:$D$692,$B112,'апрель 2023'!$J$4:$J$692,Y$1)</f>
        <v>0</v>
      </c>
      <c r="Z112" s="207">
        <f>SUMIFS('апрель 2023'!$G$4:$G$692,'апрель 2023'!$D$4:$D$692,$B112,'апрель 2023'!$J$4:$J$692,Z$1)</f>
        <v>0</v>
      </c>
      <c r="AA112" s="207">
        <f>SUMIFS('апрель 2023'!$G$4:$G$692,'апрель 2023'!$D$4:$D$692,$B112,'апрель 2023'!$J$4:$J$692,AA$1)</f>
        <v>0</v>
      </c>
      <c r="AB112" s="207">
        <f>SUMIFS('апрель 2023'!$G$4:$G$692,'апрель 2023'!$D$4:$D$692,$B112,'апрель 2023'!$J$4:$J$692,AB$1)</f>
        <v>0</v>
      </c>
      <c r="AC112" s="207">
        <f>SUMIFS('апрель 2023'!$G$4:$G$692,'апрель 2023'!$D$4:$D$692,$B112,'апрель 2023'!$J$4:$J$692,AC$1)</f>
        <v>0</v>
      </c>
      <c r="AD112" s="207">
        <f>SUMIFS('апрель 2023'!$G$4:$G$692,'апрель 2023'!$D$4:$D$692,$B112,'апрель 2023'!$J$4:$J$692,AD$1)</f>
        <v>0</v>
      </c>
      <c r="AE112" s="207">
        <f>SUMIFS('апрель 2023'!$G$4:$G$692,'апрель 2023'!$D$4:$D$692,$B112,'апрель 2023'!$J$4:$J$692,AE$1)</f>
        <v>0</v>
      </c>
      <c r="AF112" s="207">
        <f>SUMIFS('апрель 2023'!$G$4:$G$692,'апрель 2023'!$D$4:$D$692,$B112,'апрель 2023'!$J$4:$J$692,AF$1)</f>
        <v>0</v>
      </c>
      <c r="AG112" s="207">
        <f>SUMIFS('апрель 2023'!$G$4:$G$692,'апрель 2023'!$D$4:$D$692,$B112,'апрель 2023'!$J$4:$J$692,AG$1)</f>
        <v>0</v>
      </c>
      <c r="AH112" s="207">
        <f>SUMIFS('апрель 2023'!$G$4:$G$692,'апрель 2023'!$D$4:$D$692,$B112,'апрель 2023'!$J$4:$J$692,AH$1)</f>
        <v>0</v>
      </c>
      <c r="AI112" s="170">
        <f t="shared" si="2"/>
        <v>0</v>
      </c>
    </row>
    <row r="113" spans="2:35" ht="15" customHeight="1" x14ac:dyDescent="0.25">
      <c r="B113" s="212"/>
      <c r="C113" s="213"/>
      <c r="D113" s="207">
        <f>SUMIFS('апрель 2023'!$G$4:$G$692,'апрель 2023'!$D$4:$D$692,$B113,'апрель 2023'!$J$4:$J$692,D$1)</f>
        <v>0</v>
      </c>
      <c r="E113" s="207">
        <f>SUMIFS('апрель 2023'!$G$4:$G$692,'апрель 2023'!$D$4:$D$692,$B113,'апрель 2023'!$J$4:$J$692,E$1)</f>
        <v>0</v>
      </c>
      <c r="F113" s="207">
        <f>SUMIFS('апрель 2023'!$G$4:$G$692,'апрель 2023'!$D$4:$D$692,$B113,'апрель 2023'!$J$4:$J$692,F$1)</f>
        <v>0</v>
      </c>
      <c r="G113" s="207">
        <f>SUMIFS('апрель 2023'!$G$4:$G$692,'апрель 2023'!$D$4:$D$692,$B113,'апрель 2023'!$J$4:$J$692,G$1)</f>
        <v>0</v>
      </c>
      <c r="H113" s="207">
        <f>SUMIFS('апрель 2023'!$G$4:$G$692,'апрель 2023'!$D$4:$D$692,$B113,'апрель 2023'!$J$4:$J$692,H$1)</f>
        <v>0</v>
      </c>
      <c r="I113" s="207">
        <f>SUMIFS('апрель 2023'!$G$4:$G$692,'апрель 2023'!$D$4:$D$692,$B113,'апрель 2023'!$J$4:$J$692,I$1)</f>
        <v>0</v>
      </c>
      <c r="J113" s="207">
        <f>SUMIFS('апрель 2023'!$G$4:$G$692,'апрель 2023'!$D$4:$D$692,$B113,'апрель 2023'!$J$4:$J$692,J$1)</f>
        <v>0</v>
      </c>
      <c r="K113" s="207">
        <f>SUMIFS('апрель 2023'!$G$4:$G$692,'апрель 2023'!$D$4:$D$692,$B113,'апрель 2023'!$J$4:$J$692,K$1)</f>
        <v>0</v>
      </c>
      <c r="L113" s="207">
        <f>SUMIFS('апрель 2023'!$G$4:$G$692,'апрель 2023'!$D$4:$D$692,$B113,'апрель 2023'!$J$4:$J$692,L$1)</f>
        <v>0</v>
      </c>
      <c r="M113" s="207">
        <f>SUMIFS('апрель 2023'!$G$4:$G$692,'апрель 2023'!$D$4:$D$692,$B113,'апрель 2023'!$J$4:$J$692,M$1)</f>
        <v>0</v>
      </c>
      <c r="N113" s="207">
        <f>SUMIFS('апрель 2023'!$G$4:$G$692,'апрель 2023'!$D$4:$D$692,$B113,'апрель 2023'!$J$4:$J$692,N$1)</f>
        <v>0</v>
      </c>
      <c r="O113" s="207">
        <f>SUMIFS('апрель 2023'!$G$4:$G$692,'апрель 2023'!$D$4:$D$692,$B113,'апрель 2023'!$J$4:$J$692,O$1)</f>
        <v>0</v>
      </c>
      <c r="P113" s="207">
        <f>SUMIFS('апрель 2023'!$G$4:$G$692,'апрель 2023'!$D$4:$D$692,$B113,'апрель 2023'!$J$4:$J$692,P$1)</f>
        <v>0</v>
      </c>
      <c r="Q113" s="207">
        <f>SUMIFS('апрель 2023'!$G$4:$G$692,'апрель 2023'!$D$4:$D$692,$B113,'апрель 2023'!$J$4:$J$692,Q$1)</f>
        <v>0</v>
      </c>
      <c r="R113" s="207">
        <f>SUMIFS('апрель 2023'!$G$4:$G$692,'апрель 2023'!$D$4:$D$692,$B113,'апрель 2023'!$J$4:$J$692,R$1)</f>
        <v>0</v>
      </c>
      <c r="S113" s="207">
        <f>SUMIFS('апрель 2023'!$G$4:$G$692,'апрель 2023'!$D$4:$D$692,$B113,'апрель 2023'!$J$4:$J$692,S$1)</f>
        <v>0</v>
      </c>
      <c r="T113" s="207">
        <f>SUMIFS('апрель 2023'!$G$4:$G$692,'апрель 2023'!$D$4:$D$692,$B113,'апрель 2023'!$J$4:$J$692,T$1)</f>
        <v>0</v>
      </c>
      <c r="U113" s="207">
        <f>SUMIFS('апрель 2023'!$G$4:$G$692,'апрель 2023'!$D$4:$D$692,$B113,'апрель 2023'!$J$4:$J$692,U$1)</f>
        <v>0</v>
      </c>
      <c r="V113" s="207">
        <f>SUMIFS('апрель 2023'!$G$4:$G$692,'апрель 2023'!$D$4:$D$692,$B113,'апрель 2023'!$J$4:$J$692,V$1)</f>
        <v>0</v>
      </c>
      <c r="W113" s="207">
        <f>SUMIFS('апрель 2023'!$G$4:$G$692,'апрель 2023'!$D$4:$D$692,$B113,'апрель 2023'!$J$4:$J$692,W$1)</f>
        <v>0</v>
      </c>
      <c r="X113" s="207">
        <f>SUMIFS('апрель 2023'!$G$4:$G$692,'апрель 2023'!$D$4:$D$692,$B113,'апрель 2023'!$J$4:$J$692,X$1)</f>
        <v>0</v>
      </c>
      <c r="Y113" s="207">
        <f>SUMIFS('апрель 2023'!$G$4:$G$692,'апрель 2023'!$D$4:$D$692,$B113,'апрель 2023'!$J$4:$J$692,Y$1)</f>
        <v>0</v>
      </c>
      <c r="Z113" s="207">
        <f>SUMIFS('апрель 2023'!$G$4:$G$692,'апрель 2023'!$D$4:$D$692,$B113,'апрель 2023'!$J$4:$J$692,Z$1)</f>
        <v>0</v>
      </c>
      <c r="AA113" s="207">
        <f>SUMIFS('апрель 2023'!$G$4:$G$692,'апрель 2023'!$D$4:$D$692,$B113,'апрель 2023'!$J$4:$J$692,AA$1)</f>
        <v>0</v>
      </c>
      <c r="AB113" s="207">
        <f>SUMIFS('апрель 2023'!$G$4:$G$692,'апрель 2023'!$D$4:$D$692,$B113,'апрель 2023'!$J$4:$J$692,AB$1)</f>
        <v>0</v>
      </c>
      <c r="AC113" s="207">
        <f>SUMIFS('апрель 2023'!$G$4:$G$692,'апрель 2023'!$D$4:$D$692,$B113,'апрель 2023'!$J$4:$J$692,AC$1)</f>
        <v>0</v>
      </c>
      <c r="AD113" s="207">
        <f>SUMIFS('апрель 2023'!$G$4:$G$692,'апрель 2023'!$D$4:$D$692,$B113,'апрель 2023'!$J$4:$J$692,AD$1)</f>
        <v>0</v>
      </c>
      <c r="AE113" s="207">
        <f>SUMIFS('апрель 2023'!$G$4:$G$692,'апрель 2023'!$D$4:$D$692,$B113,'апрель 2023'!$J$4:$J$692,AE$1)</f>
        <v>0</v>
      </c>
      <c r="AF113" s="207">
        <f>SUMIFS('апрель 2023'!$G$4:$G$692,'апрель 2023'!$D$4:$D$692,$B113,'апрель 2023'!$J$4:$J$692,AF$1)</f>
        <v>0</v>
      </c>
      <c r="AG113" s="207">
        <f>SUMIFS('апрель 2023'!$G$4:$G$692,'апрель 2023'!$D$4:$D$692,$B113,'апрель 2023'!$J$4:$J$692,AG$1)</f>
        <v>0</v>
      </c>
      <c r="AH113" s="207">
        <f>SUMIFS('апрель 2023'!$G$4:$G$692,'апрель 2023'!$D$4:$D$692,$B113,'апрель 2023'!$J$4:$J$692,AH$1)</f>
        <v>0</v>
      </c>
      <c r="AI113" s="170">
        <f t="shared" si="2"/>
        <v>0</v>
      </c>
    </row>
    <row r="114" spans="2:35" ht="15" customHeight="1" x14ac:dyDescent="0.25">
      <c r="B114" s="216"/>
      <c r="C114" s="213"/>
      <c r="D114" s="207">
        <f>SUMIFS('апрель 2023'!$G$4:$G$692,'апрель 2023'!$D$4:$D$692,$B114,'апрель 2023'!$J$4:$J$692,D$1)</f>
        <v>0</v>
      </c>
      <c r="E114" s="207">
        <f>SUMIFS('апрель 2023'!$G$4:$G$692,'апрель 2023'!$D$4:$D$692,$B114,'апрель 2023'!$J$4:$J$692,E$1)</f>
        <v>0</v>
      </c>
      <c r="F114" s="207">
        <f>SUMIFS('апрель 2023'!$G$4:$G$692,'апрель 2023'!$D$4:$D$692,$B114,'апрель 2023'!$J$4:$J$692,F$1)</f>
        <v>0</v>
      </c>
      <c r="G114" s="207">
        <f>SUMIFS('апрель 2023'!$G$4:$G$692,'апрель 2023'!$D$4:$D$692,$B114,'апрель 2023'!$J$4:$J$692,G$1)</f>
        <v>0</v>
      </c>
      <c r="H114" s="207">
        <f>SUMIFS('апрель 2023'!$G$4:$G$692,'апрель 2023'!$D$4:$D$692,$B114,'апрель 2023'!$J$4:$J$692,H$1)</f>
        <v>0</v>
      </c>
      <c r="I114" s="207">
        <f>SUMIFS('апрель 2023'!$G$4:$G$692,'апрель 2023'!$D$4:$D$692,$B114,'апрель 2023'!$J$4:$J$692,I$1)</f>
        <v>0</v>
      </c>
      <c r="J114" s="207">
        <f>SUMIFS('апрель 2023'!$G$4:$G$692,'апрель 2023'!$D$4:$D$692,$B114,'апрель 2023'!$J$4:$J$692,J$1)</f>
        <v>0</v>
      </c>
      <c r="K114" s="207">
        <f>SUMIFS('апрель 2023'!$G$4:$G$692,'апрель 2023'!$D$4:$D$692,$B114,'апрель 2023'!$J$4:$J$692,K$1)</f>
        <v>0</v>
      </c>
      <c r="L114" s="207">
        <f>SUMIFS('апрель 2023'!$G$4:$G$692,'апрель 2023'!$D$4:$D$692,$B114,'апрель 2023'!$J$4:$J$692,L$1)</f>
        <v>0</v>
      </c>
      <c r="M114" s="207">
        <f>SUMIFS('апрель 2023'!$G$4:$G$692,'апрель 2023'!$D$4:$D$692,$B114,'апрель 2023'!$J$4:$J$692,M$1)</f>
        <v>0</v>
      </c>
      <c r="N114" s="207">
        <f>SUMIFS('апрель 2023'!$G$4:$G$692,'апрель 2023'!$D$4:$D$692,$B114,'апрель 2023'!$J$4:$J$692,N$1)</f>
        <v>0</v>
      </c>
      <c r="O114" s="207">
        <f>SUMIFS('апрель 2023'!$G$4:$G$692,'апрель 2023'!$D$4:$D$692,$B114,'апрель 2023'!$J$4:$J$692,O$1)</f>
        <v>0</v>
      </c>
      <c r="P114" s="207">
        <f>SUMIFS('апрель 2023'!$G$4:$G$692,'апрель 2023'!$D$4:$D$692,$B114,'апрель 2023'!$J$4:$J$692,P$1)</f>
        <v>0</v>
      </c>
      <c r="Q114" s="207">
        <f>SUMIFS('апрель 2023'!$G$4:$G$692,'апрель 2023'!$D$4:$D$692,$B114,'апрель 2023'!$J$4:$J$692,Q$1)</f>
        <v>0</v>
      </c>
      <c r="R114" s="207">
        <f>SUMIFS('апрель 2023'!$G$4:$G$692,'апрель 2023'!$D$4:$D$692,$B114,'апрель 2023'!$J$4:$J$692,R$1)</f>
        <v>0</v>
      </c>
      <c r="S114" s="207">
        <f>SUMIFS('апрель 2023'!$G$4:$G$692,'апрель 2023'!$D$4:$D$692,$B114,'апрель 2023'!$J$4:$J$692,S$1)</f>
        <v>0</v>
      </c>
      <c r="T114" s="207">
        <f>SUMIFS('апрель 2023'!$G$4:$G$692,'апрель 2023'!$D$4:$D$692,$B114,'апрель 2023'!$J$4:$J$692,T$1)</f>
        <v>0</v>
      </c>
      <c r="U114" s="207">
        <f>SUMIFS('апрель 2023'!$G$4:$G$692,'апрель 2023'!$D$4:$D$692,$B114,'апрель 2023'!$J$4:$J$692,U$1)</f>
        <v>0</v>
      </c>
      <c r="V114" s="207">
        <f>SUMIFS('апрель 2023'!$G$4:$G$692,'апрель 2023'!$D$4:$D$692,$B114,'апрель 2023'!$J$4:$J$692,V$1)</f>
        <v>0</v>
      </c>
      <c r="W114" s="207">
        <f>SUMIFS('апрель 2023'!$G$4:$G$692,'апрель 2023'!$D$4:$D$692,$B114,'апрель 2023'!$J$4:$J$692,W$1)</f>
        <v>0</v>
      </c>
      <c r="X114" s="207">
        <f>SUMIFS('апрель 2023'!$G$4:$G$692,'апрель 2023'!$D$4:$D$692,$B114,'апрель 2023'!$J$4:$J$692,X$1)</f>
        <v>0</v>
      </c>
      <c r="Y114" s="207">
        <f>SUMIFS('апрель 2023'!$G$4:$G$692,'апрель 2023'!$D$4:$D$692,$B114,'апрель 2023'!$J$4:$J$692,Y$1)</f>
        <v>0</v>
      </c>
      <c r="Z114" s="207">
        <f>SUMIFS('апрель 2023'!$G$4:$G$692,'апрель 2023'!$D$4:$D$692,$B114,'апрель 2023'!$J$4:$J$692,Z$1)</f>
        <v>0</v>
      </c>
      <c r="AA114" s="207">
        <f>SUMIFS('апрель 2023'!$G$4:$G$692,'апрель 2023'!$D$4:$D$692,$B114,'апрель 2023'!$J$4:$J$692,AA$1)</f>
        <v>0</v>
      </c>
      <c r="AB114" s="207">
        <f>SUMIFS('апрель 2023'!$G$4:$G$692,'апрель 2023'!$D$4:$D$692,$B114,'апрель 2023'!$J$4:$J$692,AB$1)</f>
        <v>0</v>
      </c>
      <c r="AC114" s="207">
        <f>SUMIFS('апрель 2023'!$G$4:$G$692,'апрель 2023'!$D$4:$D$692,$B114,'апрель 2023'!$J$4:$J$692,AC$1)</f>
        <v>0</v>
      </c>
      <c r="AD114" s="207">
        <f>SUMIFS('апрель 2023'!$G$4:$G$692,'апрель 2023'!$D$4:$D$692,$B114,'апрель 2023'!$J$4:$J$692,AD$1)</f>
        <v>0</v>
      </c>
      <c r="AE114" s="207">
        <f>SUMIFS('апрель 2023'!$G$4:$G$692,'апрель 2023'!$D$4:$D$692,$B114,'апрель 2023'!$J$4:$J$692,AE$1)</f>
        <v>0</v>
      </c>
      <c r="AF114" s="207">
        <f>SUMIFS('апрель 2023'!$G$4:$G$692,'апрель 2023'!$D$4:$D$692,$B114,'апрель 2023'!$J$4:$J$692,AF$1)</f>
        <v>0</v>
      </c>
      <c r="AG114" s="207">
        <f>SUMIFS('апрель 2023'!$G$4:$G$692,'апрель 2023'!$D$4:$D$692,$B114,'апрель 2023'!$J$4:$J$692,AG$1)</f>
        <v>0</v>
      </c>
      <c r="AH114" s="207">
        <f>SUMIFS('апрель 2023'!$G$4:$G$692,'апрель 2023'!$D$4:$D$692,$B114,'апрель 2023'!$J$4:$J$692,AH$1)</f>
        <v>0</v>
      </c>
      <c r="AI114" s="170">
        <f t="shared" si="2"/>
        <v>0</v>
      </c>
    </row>
    <row r="115" spans="2:35" ht="15" customHeight="1" x14ac:dyDescent="0.25">
      <c r="B115" s="212"/>
      <c r="C115" s="211"/>
      <c r="D115" s="207">
        <f>SUMIFS('апрель 2023'!$G$4:$G$692,'апрель 2023'!$D$4:$D$692,$B115,'апрель 2023'!$J$4:$J$692,D$1)</f>
        <v>0</v>
      </c>
      <c r="E115" s="207">
        <f>SUMIFS('апрель 2023'!$G$4:$G$692,'апрель 2023'!$D$4:$D$692,$B115,'апрель 2023'!$J$4:$J$692,E$1)</f>
        <v>0</v>
      </c>
      <c r="F115" s="207">
        <f>SUMIFS('апрель 2023'!$G$4:$G$692,'апрель 2023'!$D$4:$D$692,$B115,'апрель 2023'!$J$4:$J$692,F$1)</f>
        <v>0</v>
      </c>
      <c r="G115" s="207">
        <f>SUMIFS('апрель 2023'!$G$4:$G$692,'апрель 2023'!$D$4:$D$692,$B115,'апрель 2023'!$J$4:$J$692,G$1)</f>
        <v>0</v>
      </c>
      <c r="H115" s="207">
        <f>SUMIFS('апрель 2023'!$G$4:$G$692,'апрель 2023'!$D$4:$D$692,$B115,'апрель 2023'!$J$4:$J$692,H$1)</f>
        <v>0</v>
      </c>
      <c r="I115" s="207">
        <f>SUMIFS('апрель 2023'!$G$4:$G$692,'апрель 2023'!$D$4:$D$692,$B115,'апрель 2023'!$J$4:$J$692,I$1)</f>
        <v>0</v>
      </c>
      <c r="J115" s="207">
        <f>SUMIFS('апрель 2023'!$G$4:$G$692,'апрель 2023'!$D$4:$D$692,$B115,'апрель 2023'!$J$4:$J$692,J$1)</f>
        <v>0</v>
      </c>
      <c r="K115" s="207">
        <f>SUMIFS('апрель 2023'!$G$4:$G$692,'апрель 2023'!$D$4:$D$692,$B115,'апрель 2023'!$J$4:$J$692,K$1)</f>
        <v>0</v>
      </c>
      <c r="L115" s="207">
        <f>SUMIFS('апрель 2023'!$G$4:$G$692,'апрель 2023'!$D$4:$D$692,$B115,'апрель 2023'!$J$4:$J$692,L$1)</f>
        <v>0</v>
      </c>
      <c r="M115" s="207">
        <f>SUMIFS('апрель 2023'!$G$4:$G$692,'апрель 2023'!$D$4:$D$692,$B115,'апрель 2023'!$J$4:$J$692,M$1)</f>
        <v>0</v>
      </c>
      <c r="N115" s="207">
        <f>SUMIFS('апрель 2023'!$G$4:$G$692,'апрель 2023'!$D$4:$D$692,$B115,'апрель 2023'!$J$4:$J$692,N$1)</f>
        <v>0</v>
      </c>
      <c r="O115" s="207">
        <f>SUMIFS('апрель 2023'!$G$4:$G$692,'апрель 2023'!$D$4:$D$692,$B115,'апрель 2023'!$J$4:$J$692,O$1)</f>
        <v>0</v>
      </c>
      <c r="P115" s="207">
        <f>SUMIFS('апрель 2023'!$G$4:$G$692,'апрель 2023'!$D$4:$D$692,$B115,'апрель 2023'!$J$4:$J$692,P$1)</f>
        <v>0</v>
      </c>
      <c r="Q115" s="207">
        <f>SUMIFS('апрель 2023'!$G$4:$G$692,'апрель 2023'!$D$4:$D$692,$B115,'апрель 2023'!$J$4:$J$692,Q$1)</f>
        <v>0</v>
      </c>
      <c r="R115" s="207">
        <f>SUMIFS('апрель 2023'!$G$4:$G$692,'апрель 2023'!$D$4:$D$692,$B115,'апрель 2023'!$J$4:$J$692,R$1)</f>
        <v>0</v>
      </c>
      <c r="S115" s="207">
        <f>SUMIFS('апрель 2023'!$G$4:$G$692,'апрель 2023'!$D$4:$D$692,$B115,'апрель 2023'!$J$4:$J$692,S$1)</f>
        <v>0</v>
      </c>
      <c r="T115" s="207">
        <f>SUMIFS('апрель 2023'!$G$4:$G$692,'апрель 2023'!$D$4:$D$692,$B115,'апрель 2023'!$J$4:$J$692,T$1)</f>
        <v>0</v>
      </c>
      <c r="U115" s="207">
        <f>SUMIFS('апрель 2023'!$G$4:$G$692,'апрель 2023'!$D$4:$D$692,$B115,'апрель 2023'!$J$4:$J$692,U$1)</f>
        <v>0</v>
      </c>
      <c r="V115" s="207">
        <f>SUMIFS('апрель 2023'!$G$4:$G$692,'апрель 2023'!$D$4:$D$692,$B115,'апрель 2023'!$J$4:$J$692,V$1)</f>
        <v>0</v>
      </c>
      <c r="W115" s="207">
        <f>SUMIFS('апрель 2023'!$G$4:$G$692,'апрель 2023'!$D$4:$D$692,$B115,'апрель 2023'!$J$4:$J$692,W$1)</f>
        <v>0</v>
      </c>
      <c r="X115" s="207">
        <f>SUMIFS('апрель 2023'!$G$4:$G$692,'апрель 2023'!$D$4:$D$692,$B115,'апрель 2023'!$J$4:$J$692,X$1)</f>
        <v>0</v>
      </c>
      <c r="Y115" s="207">
        <f>SUMIFS('апрель 2023'!$G$4:$G$692,'апрель 2023'!$D$4:$D$692,$B115,'апрель 2023'!$J$4:$J$692,Y$1)</f>
        <v>0</v>
      </c>
      <c r="Z115" s="207">
        <f>SUMIFS('апрель 2023'!$G$4:$G$692,'апрель 2023'!$D$4:$D$692,$B115,'апрель 2023'!$J$4:$J$692,Z$1)</f>
        <v>0</v>
      </c>
      <c r="AA115" s="207">
        <f>SUMIFS('апрель 2023'!$G$4:$G$692,'апрель 2023'!$D$4:$D$692,$B115,'апрель 2023'!$J$4:$J$692,AA$1)</f>
        <v>0</v>
      </c>
      <c r="AB115" s="207">
        <f>SUMIFS('апрель 2023'!$G$4:$G$692,'апрель 2023'!$D$4:$D$692,$B115,'апрель 2023'!$J$4:$J$692,AB$1)</f>
        <v>0</v>
      </c>
      <c r="AC115" s="207">
        <f>SUMIFS('апрель 2023'!$G$4:$G$692,'апрель 2023'!$D$4:$D$692,$B115,'апрель 2023'!$J$4:$J$692,AC$1)</f>
        <v>0</v>
      </c>
      <c r="AD115" s="207">
        <f>SUMIFS('апрель 2023'!$G$4:$G$692,'апрель 2023'!$D$4:$D$692,$B115,'апрель 2023'!$J$4:$J$692,AD$1)</f>
        <v>0</v>
      </c>
      <c r="AE115" s="207">
        <f>SUMIFS('апрель 2023'!$G$4:$G$692,'апрель 2023'!$D$4:$D$692,$B115,'апрель 2023'!$J$4:$J$692,AE$1)</f>
        <v>0</v>
      </c>
      <c r="AF115" s="207">
        <f>SUMIFS('апрель 2023'!$G$4:$G$692,'апрель 2023'!$D$4:$D$692,$B115,'апрель 2023'!$J$4:$J$692,AF$1)</f>
        <v>0</v>
      </c>
      <c r="AG115" s="207">
        <f>SUMIFS('апрель 2023'!$G$4:$G$692,'апрель 2023'!$D$4:$D$692,$B115,'апрель 2023'!$J$4:$J$692,AG$1)</f>
        <v>0</v>
      </c>
      <c r="AH115" s="207">
        <f>SUMIFS('апрель 2023'!$G$4:$G$692,'апрель 2023'!$D$4:$D$692,$B115,'апрель 2023'!$J$4:$J$692,AH$1)</f>
        <v>0</v>
      </c>
      <c r="AI115" s="170">
        <f t="shared" si="2"/>
        <v>0</v>
      </c>
    </row>
    <row r="116" spans="2:35" ht="15" customHeight="1" x14ac:dyDescent="0.25">
      <c r="B116" s="212"/>
      <c r="C116" s="211"/>
      <c r="D116" s="207">
        <f>SUMIFS('апрель 2023'!$G$4:$G$692,'апрель 2023'!$D$4:$D$692,$B116,'апрель 2023'!$J$4:$J$692,D$1)</f>
        <v>0</v>
      </c>
      <c r="E116" s="207">
        <f>SUMIFS('апрель 2023'!$G$4:$G$692,'апрель 2023'!$D$4:$D$692,$B116,'апрель 2023'!$J$4:$J$692,E$1)</f>
        <v>0</v>
      </c>
      <c r="F116" s="207">
        <f>SUMIFS('апрель 2023'!$G$4:$G$692,'апрель 2023'!$D$4:$D$692,$B116,'апрель 2023'!$J$4:$J$692,F$1)</f>
        <v>0</v>
      </c>
      <c r="G116" s="207">
        <f>SUMIFS('апрель 2023'!$G$4:$G$692,'апрель 2023'!$D$4:$D$692,$B116,'апрель 2023'!$J$4:$J$692,G$1)</f>
        <v>0</v>
      </c>
      <c r="H116" s="207">
        <f>SUMIFS('апрель 2023'!$G$4:$G$692,'апрель 2023'!$D$4:$D$692,$B116,'апрель 2023'!$J$4:$J$692,H$1)</f>
        <v>0</v>
      </c>
      <c r="I116" s="207">
        <f>SUMIFS('апрель 2023'!$G$4:$G$692,'апрель 2023'!$D$4:$D$692,$B116,'апрель 2023'!$J$4:$J$692,I$1)</f>
        <v>0</v>
      </c>
      <c r="J116" s="207">
        <f>SUMIFS('апрель 2023'!$G$4:$G$692,'апрель 2023'!$D$4:$D$692,$B116,'апрель 2023'!$J$4:$J$692,J$1)</f>
        <v>0</v>
      </c>
      <c r="K116" s="207">
        <f>SUMIFS('апрель 2023'!$G$4:$G$692,'апрель 2023'!$D$4:$D$692,$B116,'апрель 2023'!$J$4:$J$692,K$1)</f>
        <v>0</v>
      </c>
      <c r="L116" s="207">
        <f>SUMIFS('апрель 2023'!$G$4:$G$692,'апрель 2023'!$D$4:$D$692,$B116,'апрель 2023'!$J$4:$J$692,L$1)</f>
        <v>0</v>
      </c>
      <c r="M116" s="207">
        <f>SUMIFS('апрель 2023'!$G$4:$G$692,'апрель 2023'!$D$4:$D$692,$B116,'апрель 2023'!$J$4:$J$692,M$1)</f>
        <v>0</v>
      </c>
      <c r="N116" s="207">
        <f>SUMIFS('апрель 2023'!$G$4:$G$692,'апрель 2023'!$D$4:$D$692,$B116,'апрель 2023'!$J$4:$J$692,N$1)</f>
        <v>0</v>
      </c>
      <c r="O116" s="207">
        <f>SUMIFS('апрель 2023'!$G$4:$G$692,'апрель 2023'!$D$4:$D$692,$B116,'апрель 2023'!$J$4:$J$692,O$1)</f>
        <v>0</v>
      </c>
      <c r="P116" s="207">
        <f>SUMIFS('апрель 2023'!$G$4:$G$692,'апрель 2023'!$D$4:$D$692,$B116,'апрель 2023'!$J$4:$J$692,P$1)</f>
        <v>0</v>
      </c>
      <c r="Q116" s="207">
        <f>SUMIFS('апрель 2023'!$G$4:$G$692,'апрель 2023'!$D$4:$D$692,$B116,'апрель 2023'!$J$4:$J$692,Q$1)</f>
        <v>0</v>
      </c>
      <c r="R116" s="207">
        <f>SUMIFS('апрель 2023'!$G$4:$G$692,'апрель 2023'!$D$4:$D$692,$B116,'апрель 2023'!$J$4:$J$692,R$1)</f>
        <v>0</v>
      </c>
      <c r="S116" s="207">
        <f>SUMIFS('апрель 2023'!$G$4:$G$692,'апрель 2023'!$D$4:$D$692,$B116,'апрель 2023'!$J$4:$J$692,S$1)</f>
        <v>0</v>
      </c>
      <c r="T116" s="207">
        <f>SUMIFS('апрель 2023'!$G$4:$G$692,'апрель 2023'!$D$4:$D$692,$B116,'апрель 2023'!$J$4:$J$692,T$1)</f>
        <v>0</v>
      </c>
      <c r="U116" s="207">
        <f>SUMIFS('апрель 2023'!$G$4:$G$692,'апрель 2023'!$D$4:$D$692,$B116,'апрель 2023'!$J$4:$J$692,U$1)</f>
        <v>0</v>
      </c>
      <c r="V116" s="207">
        <f>SUMIFS('апрель 2023'!$G$4:$G$692,'апрель 2023'!$D$4:$D$692,$B116,'апрель 2023'!$J$4:$J$692,V$1)</f>
        <v>0</v>
      </c>
      <c r="W116" s="207">
        <f>SUMIFS('апрель 2023'!$G$4:$G$692,'апрель 2023'!$D$4:$D$692,$B116,'апрель 2023'!$J$4:$J$692,W$1)</f>
        <v>0</v>
      </c>
      <c r="X116" s="207">
        <f>SUMIFS('апрель 2023'!$G$4:$G$692,'апрель 2023'!$D$4:$D$692,$B116,'апрель 2023'!$J$4:$J$692,X$1)</f>
        <v>0</v>
      </c>
      <c r="Y116" s="207">
        <f>SUMIFS('апрель 2023'!$G$4:$G$692,'апрель 2023'!$D$4:$D$692,$B116,'апрель 2023'!$J$4:$J$692,Y$1)</f>
        <v>0</v>
      </c>
      <c r="Z116" s="207">
        <f>SUMIFS('апрель 2023'!$G$4:$G$692,'апрель 2023'!$D$4:$D$692,$B116,'апрель 2023'!$J$4:$J$692,Z$1)</f>
        <v>0</v>
      </c>
      <c r="AA116" s="207">
        <f>SUMIFS('апрель 2023'!$G$4:$G$692,'апрель 2023'!$D$4:$D$692,$B116,'апрель 2023'!$J$4:$J$692,AA$1)</f>
        <v>0</v>
      </c>
      <c r="AB116" s="207">
        <f>SUMIFS('апрель 2023'!$G$4:$G$692,'апрель 2023'!$D$4:$D$692,$B116,'апрель 2023'!$J$4:$J$692,AB$1)</f>
        <v>0</v>
      </c>
      <c r="AC116" s="207">
        <f>SUMIFS('апрель 2023'!$G$4:$G$692,'апрель 2023'!$D$4:$D$692,$B116,'апрель 2023'!$J$4:$J$692,AC$1)</f>
        <v>0</v>
      </c>
      <c r="AD116" s="207">
        <f>SUMIFS('апрель 2023'!$G$4:$G$692,'апрель 2023'!$D$4:$D$692,$B116,'апрель 2023'!$J$4:$J$692,AD$1)</f>
        <v>0</v>
      </c>
      <c r="AE116" s="207">
        <f>SUMIFS('апрель 2023'!$G$4:$G$692,'апрель 2023'!$D$4:$D$692,$B116,'апрель 2023'!$J$4:$J$692,AE$1)</f>
        <v>0</v>
      </c>
      <c r="AF116" s="207">
        <f>SUMIFS('апрель 2023'!$G$4:$G$692,'апрель 2023'!$D$4:$D$692,$B116,'апрель 2023'!$J$4:$J$692,AF$1)</f>
        <v>0</v>
      </c>
      <c r="AG116" s="207">
        <f>SUMIFS('апрель 2023'!$G$4:$G$692,'апрель 2023'!$D$4:$D$692,$B116,'апрель 2023'!$J$4:$J$692,AG$1)</f>
        <v>0</v>
      </c>
      <c r="AH116" s="207">
        <f>SUMIFS('апрель 2023'!$G$4:$G$692,'апрель 2023'!$D$4:$D$692,$B116,'апрель 2023'!$J$4:$J$692,AH$1)</f>
        <v>0</v>
      </c>
      <c r="AI116" s="170">
        <f t="shared" si="2"/>
        <v>0</v>
      </c>
    </row>
    <row r="117" spans="2:35" ht="15" customHeight="1" x14ac:dyDescent="0.25">
      <c r="B117" s="212"/>
      <c r="C117" s="211"/>
      <c r="D117" s="207">
        <f>SUMIFS('апрель 2023'!$G$4:$G$692,'апрель 2023'!$D$4:$D$692,$B117,'апрель 2023'!$J$4:$J$692,D$1)</f>
        <v>0</v>
      </c>
      <c r="E117" s="207">
        <f>SUMIFS('апрель 2023'!$G$4:$G$692,'апрель 2023'!$D$4:$D$692,$B117,'апрель 2023'!$J$4:$J$692,E$1)</f>
        <v>0</v>
      </c>
      <c r="F117" s="207">
        <f>SUMIFS('апрель 2023'!$G$4:$G$692,'апрель 2023'!$D$4:$D$692,$B117,'апрель 2023'!$J$4:$J$692,F$1)</f>
        <v>0</v>
      </c>
      <c r="G117" s="207">
        <f>SUMIFS('апрель 2023'!$G$4:$G$692,'апрель 2023'!$D$4:$D$692,$B117,'апрель 2023'!$J$4:$J$692,G$1)</f>
        <v>0</v>
      </c>
      <c r="H117" s="207">
        <f>SUMIFS('апрель 2023'!$G$4:$G$692,'апрель 2023'!$D$4:$D$692,$B117,'апрель 2023'!$J$4:$J$692,H$1)</f>
        <v>0</v>
      </c>
      <c r="I117" s="207">
        <f>SUMIFS('апрель 2023'!$G$4:$G$692,'апрель 2023'!$D$4:$D$692,$B117,'апрель 2023'!$J$4:$J$692,I$1)</f>
        <v>0</v>
      </c>
      <c r="J117" s="207">
        <f>SUMIFS('апрель 2023'!$G$4:$G$692,'апрель 2023'!$D$4:$D$692,$B117,'апрель 2023'!$J$4:$J$692,J$1)</f>
        <v>0</v>
      </c>
      <c r="K117" s="207">
        <f>SUMIFS('апрель 2023'!$G$4:$G$692,'апрель 2023'!$D$4:$D$692,$B117,'апрель 2023'!$J$4:$J$692,K$1)</f>
        <v>0</v>
      </c>
      <c r="L117" s="207">
        <f>SUMIFS('апрель 2023'!$G$4:$G$692,'апрель 2023'!$D$4:$D$692,$B117,'апрель 2023'!$J$4:$J$692,L$1)</f>
        <v>0</v>
      </c>
      <c r="M117" s="207">
        <f>SUMIFS('апрель 2023'!$G$4:$G$692,'апрель 2023'!$D$4:$D$692,$B117,'апрель 2023'!$J$4:$J$692,M$1)</f>
        <v>0</v>
      </c>
      <c r="N117" s="207">
        <f>SUMIFS('апрель 2023'!$G$4:$G$692,'апрель 2023'!$D$4:$D$692,$B117,'апрель 2023'!$J$4:$J$692,N$1)</f>
        <v>0</v>
      </c>
      <c r="O117" s="207">
        <f>SUMIFS('апрель 2023'!$G$4:$G$692,'апрель 2023'!$D$4:$D$692,$B117,'апрель 2023'!$J$4:$J$692,O$1)</f>
        <v>0</v>
      </c>
      <c r="P117" s="207">
        <f>SUMIFS('апрель 2023'!$G$4:$G$692,'апрель 2023'!$D$4:$D$692,$B117,'апрель 2023'!$J$4:$J$692,P$1)</f>
        <v>0</v>
      </c>
      <c r="Q117" s="207">
        <f>SUMIFS('апрель 2023'!$G$4:$G$692,'апрель 2023'!$D$4:$D$692,$B117,'апрель 2023'!$J$4:$J$692,Q$1)</f>
        <v>0</v>
      </c>
      <c r="R117" s="207">
        <f>SUMIFS('апрель 2023'!$G$4:$G$692,'апрель 2023'!$D$4:$D$692,$B117,'апрель 2023'!$J$4:$J$692,R$1)</f>
        <v>0</v>
      </c>
      <c r="S117" s="207">
        <f>SUMIFS('апрель 2023'!$G$4:$G$692,'апрель 2023'!$D$4:$D$692,$B117,'апрель 2023'!$J$4:$J$692,S$1)</f>
        <v>0</v>
      </c>
      <c r="T117" s="207">
        <f>SUMIFS('апрель 2023'!$G$4:$G$692,'апрель 2023'!$D$4:$D$692,$B117,'апрель 2023'!$J$4:$J$692,T$1)</f>
        <v>0</v>
      </c>
      <c r="U117" s="207">
        <f>SUMIFS('апрель 2023'!$G$4:$G$692,'апрель 2023'!$D$4:$D$692,$B117,'апрель 2023'!$J$4:$J$692,U$1)</f>
        <v>0</v>
      </c>
      <c r="V117" s="207">
        <f>SUMIFS('апрель 2023'!$G$4:$G$692,'апрель 2023'!$D$4:$D$692,$B117,'апрель 2023'!$J$4:$J$692,V$1)</f>
        <v>0</v>
      </c>
      <c r="W117" s="207">
        <f>SUMIFS('апрель 2023'!$G$4:$G$692,'апрель 2023'!$D$4:$D$692,$B117,'апрель 2023'!$J$4:$J$692,W$1)</f>
        <v>0</v>
      </c>
      <c r="X117" s="207">
        <f>SUMIFS('апрель 2023'!$G$4:$G$692,'апрель 2023'!$D$4:$D$692,$B117,'апрель 2023'!$J$4:$J$692,X$1)</f>
        <v>0</v>
      </c>
      <c r="Y117" s="207">
        <f>SUMIFS('апрель 2023'!$G$4:$G$692,'апрель 2023'!$D$4:$D$692,$B117,'апрель 2023'!$J$4:$J$692,Y$1)</f>
        <v>0</v>
      </c>
      <c r="Z117" s="207">
        <f>SUMIFS('апрель 2023'!$G$4:$G$692,'апрель 2023'!$D$4:$D$692,$B117,'апрель 2023'!$J$4:$J$692,Z$1)</f>
        <v>0</v>
      </c>
      <c r="AA117" s="207">
        <f>SUMIFS('апрель 2023'!$G$4:$G$692,'апрель 2023'!$D$4:$D$692,$B117,'апрель 2023'!$J$4:$J$692,AA$1)</f>
        <v>0</v>
      </c>
      <c r="AB117" s="207">
        <f>SUMIFS('апрель 2023'!$G$4:$G$692,'апрель 2023'!$D$4:$D$692,$B117,'апрель 2023'!$J$4:$J$692,AB$1)</f>
        <v>0</v>
      </c>
      <c r="AC117" s="207">
        <f>SUMIFS('апрель 2023'!$G$4:$G$692,'апрель 2023'!$D$4:$D$692,$B117,'апрель 2023'!$J$4:$J$692,AC$1)</f>
        <v>0</v>
      </c>
      <c r="AD117" s="207">
        <f>SUMIFS('апрель 2023'!$G$4:$G$692,'апрель 2023'!$D$4:$D$692,$B117,'апрель 2023'!$J$4:$J$692,AD$1)</f>
        <v>0</v>
      </c>
      <c r="AE117" s="207">
        <f>SUMIFS('апрель 2023'!$G$4:$G$692,'апрель 2023'!$D$4:$D$692,$B117,'апрель 2023'!$J$4:$J$692,AE$1)</f>
        <v>0</v>
      </c>
      <c r="AF117" s="207">
        <f>SUMIFS('апрель 2023'!$G$4:$G$692,'апрель 2023'!$D$4:$D$692,$B117,'апрель 2023'!$J$4:$J$692,AF$1)</f>
        <v>0</v>
      </c>
      <c r="AG117" s="207">
        <f>SUMIFS('апрель 2023'!$G$4:$G$692,'апрель 2023'!$D$4:$D$692,$B117,'апрель 2023'!$J$4:$J$692,AG$1)</f>
        <v>0</v>
      </c>
      <c r="AH117" s="207">
        <f>SUMIFS('апрель 2023'!$G$4:$G$692,'апрель 2023'!$D$4:$D$692,$B117,'апрель 2023'!$J$4:$J$692,AH$1)</f>
        <v>0</v>
      </c>
      <c r="AI117" s="170">
        <f t="shared" si="2"/>
        <v>0</v>
      </c>
    </row>
    <row r="118" spans="2:35" ht="15" hidden="1" customHeight="1" x14ac:dyDescent="0.25">
      <c r="B118" s="212"/>
      <c r="C118" s="211"/>
      <c r="D118" s="207">
        <f>SUMIFS('апрель 2023'!$G$4:$G$692,'апрель 2023'!$D$4:$D$692,$B118,'апрель 2023'!$J$4:$J$692,D$1)</f>
        <v>0</v>
      </c>
      <c r="E118" s="207">
        <f>SUMIFS('апрель 2023'!$G$4:$G$692,'апрель 2023'!$D$4:$D$692,$B118,'апрель 2023'!$J$4:$J$692,E$1)</f>
        <v>0</v>
      </c>
      <c r="F118" s="207">
        <f>SUMIFS('апрель 2023'!$G$4:$G$692,'апрель 2023'!$D$4:$D$692,$B118,'апрель 2023'!$J$4:$J$692,F$1)</f>
        <v>0</v>
      </c>
      <c r="G118" s="207">
        <f>SUMIFS('апрель 2023'!$G$4:$G$692,'апрель 2023'!$D$4:$D$692,$B118,'апрель 2023'!$J$4:$J$692,G$1)</f>
        <v>0</v>
      </c>
      <c r="H118" s="207">
        <f>SUMIFS('апрель 2023'!$G$4:$G$692,'апрель 2023'!$D$4:$D$692,$B118,'апрель 2023'!$J$4:$J$692,H$1)</f>
        <v>0</v>
      </c>
      <c r="I118" s="207">
        <f>SUMIFS('апрель 2023'!$G$4:$G$692,'апрель 2023'!$D$4:$D$692,$B118,'апрель 2023'!$J$4:$J$692,I$1)</f>
        <v>0</v>
      </c>
      <c r="J118" s="207">
        <f>SUMIFS('апрель 2023'!$G$4:$G$692,'апрель 2023'!$D$4:$D$692,$B118,'апрель 2023'!$J$4:$J$692,J$1)</f>
        <v>0</v>
      </c>
      <c r="K118" s="207">
        <f>SUMIFS('апрель 2023'!$G$4:$G$692,'апрель 2023'!$D$4:$D$692,$B118,'апрель 2023'!$J$4:$J$692,K$1)</f>
        <v>0</v>
      </c>
      <c r="L118" s="207">
        <f>SUMIFS('апрель 2023'!$G$4:$G$692,'апрель 2023'!$D$4:$D$692,$B118,'апрель 2023'!$J$4:$J$692,L$1)</f>
        <v>0</v>
      </c>
      <c r="M118" s="207">
        <f>SUMIFS('апрель 2023'!$G$4:$G$692,'апрель 2023'!$D$4:$D$692,$B118,'апрель 2023'!$J$4:$J$692,M$1)</f>
        <v>0</v>
      </c>
      <c r="N118" s="207">
        <f>SUMIFS('апрель 2023'!$G$4:$G$692,'апрель 2023'!$D$4:$D$692,$B118,'апрель 2023'!$J$4:$J$692,N$1)</f>
        <v>0</v>
      </c>
      <c r="O118" s="207">
        <f>SUMIFS('апрель 2023'!$G$4:$G$692,'апрель 2023'!$D$4:$D$692,$B118,'апрель 2023'!$J$4:$J$692,O$1)</f>
        <v>0</v>
      </c>
      <c r="P118" s="207">
        <f>SUMIFS('апрель 2023'!$G$4:$G$692,'апрель 2023'!$D$4:$D$692,$B118,'апрель 2023'!$J$4:$J$692,P$1)</f>
        <v>0</v>
      </c>
      <c r="Q118" s="207">
        <f>SUMIFS('апрель 2023'!$G$4:$G$692,'апрель 2023'!$D$4:$D$692,$B118,'апрель 2023'!$J$4:$J$692,Q$1)</f>
        <v>0</v>
      </c>
      <c r="R118" s="207">
        <f>SUMIFS('апрель 2023'!$G$4:$G$692,'апрель 2023'!$D$4:$D$692,$B118,'апрель 2023'!$J$4:$J$692,R$1)</f>
        <v>0</v>
      </c>
      <c r="S118" s="207">
        <f>SUMIFS('апрель 2023'!$G$4:$G$692,'апрель 2023'!$D$4:$D$692,$B118,'апрель 2023'!$J$4:$J$692,S$1)</f>
        <v>0</v>
      </c>
      <c r="T118" s="207">
        <f>SUMIFS('апрель 2023'!$G$4:$G$692,'апрель 2023'!$D$4:$D$692,$B118,'апрель 2023'!$J$4:$J$692,T$1)</f>
        <v>0</v>
      </c>
      <c r="U118" s="207">
        <f>SUMIFS('апрель 2023'!$G$4:$G$692,'апрель 2023'!$D$4:$D$692,$B118,'апрель 2023'!$J$4:$J$692,U$1)</f>
        <v>0</v>
      </c>
      <c r="V118" s="207">
        <f>SUMIFS('апрель 2023'!$G$4:$G$692,'апрель 2023'!$D$4:$D$692,$B118,'апрель 2023'!$J$4:$J$692,V$1)</f>
        <v>0</v>
      </c>
      <c r="W118" s="207">
        <f>SUMIFS('апрель 2023'!$G$4:$G$692,'апрель 2023'!$D$4:$D$692,$B118,'апрель 2023'!$J$4:$J$692,W$1)</f>
        <v>0</v>
      </c>
      <c r="X118" s="207">
        <f>SUMIFS('апрель 2023'!$G$4:$G$692,'апрель 2023'!$D$4:$D$692,$B118,'апрель 2023'!$J$4:$J$692,X$1)</f>
        <v>0</v>
      </c>
      <c r="Y118" s="207">
        <f>SUMIFS('апрель 2023'!$G$4:$G$692,'апрель 2023'!$D$4:$D$692,$B118,'апрель 2023'!$J$4:$J$692,Y$1)</f>
        <v>0</v>
      </c>
      <c r="Z118" s="207">
        <f>SUMIFS('апрель 2023'!$G$4:$G$692,'апрель 2023'!$D$4:$D$692,$B118,'апрель 2023'!$J$4:$J$692,Z$1)</f>
        <v>0</v>
      </c>
      <c r="AA118" s="207">
        <f>SUMIFS('апрель 2023'!$G$4:$G$692,'апрель 2023'!$D$4:$D$692,$B118,'апрель 2023'!$J$4:$J$692,AA$1)</f>
        <v>0</v>
      </c>
      <c r="AB118" s="207">
        <f>SUMIFS('апрель 2023'!$G$4:$G$692,'апрель 2023'!$D$4:$D$692,$B118,'апрель 2023'!$J$4:$J$692,AB$1)</f>
        <v>0</v>
      </c>
      <c r="AC118" s="207">
        <f>SUMIFS('апрель 2023'!$G$4:$G$692,'апрель 2023'!$D$4:$D$692,$B118,'апрель 2023'!$J$4:$J$692,AC$1)</f>
        <v>0</v>
      </c>
      <c r="AD118" s="207">
        <f>SUMIFS('апрель 2023'!$G$4:$G$692,'апрель 2023'!$D$4:$D$692,$B118,'апрель 2023'!$J$4:$J$692,AD$1)</f>
        <v>0</v>
      </c>
      <c r="AE118" s="207">
        <f>SUMIFS('апрель 2023'!$G$4:$G$692,'апрель 2023'!$D$4:$D$692,$B118,'апрель 2023'!$J$4:$J$692,AE$1)</f>
        <v>0</v>
      </c>
      <c r="AF118" s="207">
        <f>SUMIFS('апрель 2023'!$G$4:$G$692,'апрель 2023'!$D$4:$D$692,$B118,'апрель 2023'!$J$4:$J$692,AF$1)</f>
        <v>0</v>
      </c>
      <c r="AG118" s="207">
        <f>SUMIFS('апрель 2023'!$G$4:$G$692,'апрель 2023'!$D$4:$D$692,$B118,'апрель 2023'!$J$4:$J$692,AG$1)</f>
        <v>0</v>
      </c>
      <c r="AH118" s="207">
        <f>SUMIFS('апрель 2023'!$G$4:$G$692,'апрель 2023'!$D$4:$D$692,$B118,'апрель 2023'!$J$4:$J$692,AH$1)</f>
        <v>0</v>
      </c>
      <c r="AI118" s="220">
        <f t="shared" si="2"/>
        <v>0</v>
      </c>
    </row>
    <row r="119" spans="2:35" ht="15" hidden="1" customHeight="1" x14ac:dyDescent="0.25">
      <c r="B119" s="212"/>
      <c r="C119" s="211"/>
      <c r="D119" s="207">
        <f>SUMIFS('апрель 2023'!$G$4:$G$692,'апрель 2023'!$D$4:$D$692,$B119,'апрель 2023'!$J$4:$J$692,D$1)</f>
        <v>0</v>
      </c>
      <c r="E119" s="207">
        <f>SUMIFS('апрель 2023'!$G$4:$G$692,'апрель 2023'!$D$4:$D$692,$B119,'апрель 2023'!$J$4:$J$692,E$1)</f>
        <v>0</v>
      </c>
      <c r="F119" s="207">
        <f>SUMIFS('апрель 2023'!$G$4:$G$692,'апрель 2023'!$D$4:$D$692,$B119,'апрель 2023'!$J$4:$J$692,F$1)</f>
        <v>0</v>
      </c>
      <c r="G119" s="207">
        <f>SUMIFS('апрель 2023'!$G$4:$G$692,'апрель 2023'!$D$4:$D$692,$B119,'апрель 2023'!$J$4:$J$692,G$1)</f>
        <v>0</v>
      </c>
      <c r="H119" s="207">
        <f>SUMIFS('апрель 2023'!$G$4:$G$692,'апрель 2023'!$D$4:$D$692,$B119,'апрель 2023'!$J$4:$J$692,H$1)</f>
        <v>0</v>
      </c>
      <c r="I119" s="207">
        <f>SUMIFS('апрель 2023'!$G$4:$G$692,'апрель 2023'!$D$4:$D$692,$B119,'апрель 2023'!$J$4:$J$692,I$1)</f>
        <v>0</v>
      </c>
      <c r="J119" s="207">
        <f>SUMIFS('апрель 2023'!$G$4:$G$692,'апрель 2023'!$D$4:$D$692,$B119,'апрель 2023'!$J$4:$J$692,J$1)</f>
        <v>0</v>
      </c>
      <c r="K119" s="207">
        <f>SUMIFS('апрель 2023'!$G$4:$G$692,'апрель 2023'!$D$4:$D$692,$B119,'апрель 2023'!$J$4:$J$692,K$1)</f>
        <v>0</v>
      </c>
      <c r="L119" s="207">
        <f>SUMIFS('апрель 2023'!$G$4:$G$692,'апрель 2023'!$D$4:$D$692,$B119,'апрель 2023'!$J$4:$J$692,L$1)</f>
        <v>0</v>
      </c>
      <c r="M119" s="207">
        <f>SUMIFS('апрель 2023'!$G$4:$G$692,'апрель 2023'!$D$4:$D$692,$B119,'апрель 2023'!$J$4:$J$692,M$1)</f>
        <v>0</v>
      </c>
      <c r="N119" s="207">
        <f>SUMIFS('апрель 2023'!$G$4:$G$692,'апрель 2023'!$D$4:$D$692,$B119,'апрель 2023'!$J$4:$J$692,N$1)</f>
        <v>0</v>
      </c>
      <c r="O119" s="207">
        <f>SUMIFS('апрель 2023'!$G$4:$G$692,'апрель 2023'!$D$4:$D$692,$B119,'апрель 2023'!$J$4:$J$692,O$1)</f>
        <v>0</v>
      </c>
      <c r="P119" s="207">
        <f>SUMIFS('апрель 2023'!$G$4:$G$692,'апрель 2023'!$D$4:$D$692,$B119,'апрель 2023'!$J$4:$J$692,P$1)</f>
        <v>0</v>
      </c>
      <c r="Q119" s="207">
        <f>SUMIFS('апрель 2023'!$G$4:$G$692,'апрель 2023'!$D$4:$D$692,$B119,'апрель 2023'!$J$4:$J$692,Q$1)</f>
        <v>0</v>
      </c>
      <c r="R119" s="207">
        <f>SUMIFS('апрель 2023'!$G$4:$G$692,'апрель 2023'!$D$4:$D$692,$B119,'апрель 2023'!$J$4:$J$692,R$1)</f>
        <v>0</v>
      </c>
      <c r="S119" s="207">
        <f>SUMIFS('апрель 2023'!$G$4:$G$692,'апрель 2023'!$D$4:$D$692,$B119,'апрель 2023'!$J$4:$J$692,S$1)</f>
        <v>0</v>
      </c>
      <c r="T119" s="207">
        <f>SUMIFS('апрель 2023'!$G$4:$G$692,'апрель 2023'!$D$4:$D$692,$B119,'апрель 2023'!$J$4:$J$692,T$1)</f>
        <v>0</v>
      </c>
      <c r="U119" s="207">
        <f>SUMIFS('апрель 2023'!$G$4:$G$692,'апрель 2023'!$D$4:$D$692,$B119,'апрель 2023'!$J$4:$J$692,U$1)</f>
        <v>0</v>
      </c>
      <c r="V119" s="207">
        <f>SUMIFS('апрель 2023'!$G$4:$G$692,'апрель 2023'!$D$4:$D$692,$B119,'апрель 2023'!$J$4:$J$692,V$1)</f>
        <v>0</v>
      </c>
      <c r="W119" s="207">
        <f>SUMIFS('апрель 2023'!$G$4:$G$692,'апрель 2023'!$D$4:$D$692,$B119,'апрель 2023'!$J$4:$J$692,W$1)</f>
        <v>0</v>
      </c>
      <c r="X119" s="207">
        <f>SUMIFS('апрель 2023'!$G$4:$G$692,'апрель 2023'!$D$4:$D$692,$B119,'апрель 2023'!$J$4:$J$692,X$1)</f>
        <v>0</v>
      </c>
      <c r="Y119" s="207">
        <f>SUMIFS('апрель 2023'!$G$4:$G$692,'апрель 2023'!$D$4:$D$692,$B119,'апрель 2023'!$J$4:$J$692,Y$1)</f>
        <v>0</v>
      </c>
      <c r="Z119" s="207">
        <f>SUMIFS('апрель 2023'!$G$4:$G$692,'апрель 2023'!$D$4:$D$692,$B119,'апрель 2023'!$J$4:$J$692,Z$1)</f>
        <v>0</v>
      </c>
      <c r="AA119" s="207">
        <f>SUMIFS('апрель 2023'!$G$4:$G$692,'апрель 2023'!$D$4:$D$692,$B119,'апрель 2023'!$J$4:$J$692,AA$1)</f>
        <v>0</v>
      </c>
      <c r="AB119" s="207">
        <f>SUMIFS('апрель 2023'!$G$4:$G$692,'апрель 2023'!$D$4:$D$692,$B119,'апрель 2023'!$J$4:$J$692,AB$1)</f>
        <v>0</v>
      </c>
      <c r="AC119" s="207">
        <f>SUMIFS('апрель 2023'!$G$4:$G$692,'апрель 2023'!$D$4:$D$692,$B119,'апрель 2023'!$J$4:$J$692,AC$1)</f>
        <v>0</v>
      </c>
      <c r="AD119" s="207">
        <f>SUMIFS('апрель 2023'!$G$4:$G$692,'апрель 2023'!$D$4:$D$692,$B119,'апрель 2023'!$J$4:$J$692,AD$1)</f>
        <v>0</v>
      </c>
      <c r="AE119" s="207">
        <f>SUMIFS('апрель 2023'!$G$4:$G$692,'апрель 2023'!$D$4:$D$692,$B119,'апрель 2023'!$J$4:$J$692,AE$1)</f>
        <v>0</v>
      </c>
      <c r="AF119" s="207">
        <f>SUMIFS('апрель 2023'!$G$4:$G$692,'апрель 2023'!$D$4:$D$692,$B119,'апрель 2023'!$J$4:$J$692,AF$1)</f>
        <v>0</v>
      </c>
      <c r="AG119" s="207">
        <f>SUMIFS('апрель 2023'!$G$4:$G$692,'апрель 2023'!$D$4:$D$692,$B119,'апрель 2023'!$J$4:$J$692,AG$1)</f>
        <v>0</v>
      </c>
      <c r="AH119" s="207">
        <f>SUMIFS('апрель 2023'!$G$4:$G$692,'апрель 2023'!$D$4:$D$692,$B119,'апрель 2023'!$J$4:$J$692,AH$1)</f>
        <v>0</v>
      </c>
      <c r="AI119" s="220">
        <f t="shared" si="2"/>
        <v>0</v>
      </c>
    </row>
    <row r="120" spans="2:35" ht="15" hidden="1" customHeight="1" x14ac:dyDescent="0.25">
      <c r="B120" s="212"/>
      <c r="C120" s="211"/>
      <c r="D120" s="207">
        <f>SUMIFS('апрель 2023'!$G$4:$G$692,'апрель 2023'!$D$4:$D$692,$B120,'апрель 2023'!$J$4:$J$692,D$1)</f>
        <v>0</v>
      </c>
      <c r="E120" s="207">
        <f>SUMIFS('апрель 2023'!$G$4:$G$692,'апрель 2023'!$D$4:$D$692,$B120,'апрель 2023'!$J$4:$J$692,E$1)</f>
        <v>0</v>
      </c>
      <c r="F120" s="207">
        <f>SUMIFS('апрель 2023'!$G$4:$G$692,'апрель 2023'!$D$4:$D$692,$B120,'апрель 2023'!$J$4:$J$692,F$1)</f>
        <v>0</v>
      </c>
      <c r="G120" s="207">
        <f>SUMIFS('апрель 2023'!$G$4:$G$692,'апрель 2023'!$D$4:$D$692,$B120,'апрель 2023'!$J$4:$J$692,G$1)</f>
        <v>0</v>
      </c>
      <c r="H120" s="207">
        <f>SUMIFS('апрель 2023'!$G$4:$G$692,'апрель 2023'!$D$4:$D$692,$B120,'апрель 2023'!$J$4:$J$692,H$1)</f>
        <v>0</v>
      </c>
      <c r="I120" s="207">
        <f>SUMIFS('апрель 2023'!$G$4:$G$692,'апрель 2023'!$D$4:$D$692,$B120,'апрель 2023'!$J$4:$J$692,I$1)</f>
        <v>0</v>
      </c>
      <c r="J120" s="207">
        <f>SUMIFS('апрель 2023'!$G$4:$G$692,'апрель 2023'!$D$4:$D$692,$B120,'апрель 2023'!$J$4:$J$692,J$1)</f>
        <v>0</v>
      </c>
      <c r="K120" s="207">
        <f>SUMIFS('апрель 2023'!$G$4:$G$692,'апрель 2023'!$D$4:$D$692,$B120,'апрель 2023'!$J$4:$J$692,K$1)</f>
        <v>0</v>
      </c>
      <c r="L120" s="207">
        <f>SUMIFS('апрель 2023'!$G$4:$G$692,'апрель 2023'!$D$4:$D$692,$B120,'апрель 2023'!$J$4:$J$692,L$1)</f>
        <v>0</v>
      </c>
      <c r="M120" s="207">
        <f>SUMIFS('апрель 2023'!$G$4:$G$692,'апрель 2023'!$D$4:$D$692,$B120,'апрель 2023'!$J$4:$J$692,M$1)</f>
        <v>0</v>
      </c>
      <c r="N120" s="207">
        <f>SUMIFS('апрель 2023'!$G$4:$G$692,'апрель 2023'!$D$4:$D$692,$B120,'апрель 2023'!$J$4:$J$692,N$1)</f>
        <v>0</v>
      </c>
      <c r="O120" s="207">
        <f>SUMIFS('апрель 2023'!$G$4:$G$692,'апрель 2023'!$D$4:$D$692,$B120,'апрель 2023'!$J$4:$J$692,O$1)</f>
        <v>0</v>
      </c>
      <c r="P120" s="207">
        <f>SUMIFS('апрель 2023'!$G$4:$G$692,'апрель 2023'!$D$4:$D$692,$B120,'апрель 2023'!$J$4:$J$692,P$1)</f>
        <v>0</v>
      </c>
      <c r="Q120" s="207">
        <f>SUMIFS('апрель 2023'!$G$4:$G$692,'апрель 2023'!$D$4:$D$692,$B120,'апрель 2023'!$J$4:$J$692,Q$1)</f>
        <v>0</v>
      </c>
      <c r="R120" s="207">
        <f>SUMIFS('апрель 2023'!$G$4:$G$692,'апрель 2023'!$D$4:$D$692,$B120,'апрель 2023'!$J$4:$J$692,R$1)</f>
        <v>0</v>
      </c>
      <c r="S120" s="207">
        <f>SUMIFS('апрель 2023'!$G$4:$G$692,'апрель 2023'!$D$4:$D$692,$B120,'апрель 2023'!$J$4:$J$692,S$1)</f>
        <v>0</v>
      </c>
      <c r="T120" s="207">
        <f>SUMIFS('апрель 2023'!$G$4:$G$692,'апрель 2023'!$D$4:$D$692,$B120,'апрель 2023'!$J$4:$J$692,T$1)</f>
        <v>0</v>
      </c>
      <c r="U120" s="207">
        <f>SUMIFS('апрель 2023'!$G$4:$G$692,'апрель 2023'!$D$4:$D$692,$B120,'апрель 2023'!$J$4:$J$692,U$1)</f>
        <v>0</v>
      </c>
      <c r="V120" s="207">
        <f>SUMIFS('апрель 2023'!$G$4:$G$692,'апрель 2023'!$D$4:$D$692,$B120,'апрель 2023'!$J$4:$J$692,V$1)</f>
        <v>0</v>
      </c>
      <c r="W120" s="207">
        <f>SUMIFS('апрель 2023'!$G$4:$G$692,'апрель 2023'!$D$4:$D$692,$B120,'апрель 2023'!$J$4:$J$692,W$1)</f>
        <v>0</v>
      </c>
      <c r="X120" s="207">
        <f>SUMIFS('апрель 2023'!$G$4:$G$692,'апрель 2023'!$D$4:$D$692,$B120,'апрель 2023'!$J$4:$J$692,X$1)</f>
        <v>0</v>
      </c>
      <c r="Y120" s="207">
        <f>SUMIFS('апрель 2023'!$G$4:$G$692,'апрель 2023'!$D$4:$D$692,$B120,'апрель 2023'!$J$4:$J$692,Y$1)</f>
        <v>0</v>
      </c>
      <c r="Z120" s="207">
        <f>SUMIFS('апрель 2023'!$G$4:$G$692,'апрель 2023'!$D$4:$D$692,$B120,'апрель 2023'!$J$4:$J$692,Z$1)</f>
        <v>0</v>
      </c>
      <c r="AA120" s="207">
        <f>SUMIFS('апрель 2023'!$G$4:$G$692,'апрель 2023'!$D$4:$D$692,$B120,'апрель 2023'!$J$4:$J$692,AA$1)</f>
        <v>0</v>
      </c>
      <c r="AB120" s="207">
        <f>SUMIFS('апрель 2023'!$G$4:$G$692,'апрель 2023'!$D$4:$D$692,$B120,'апрель 2023'!$J$4:$J$692,AB$1)</f>
        <v>0</v>
      </c>
      <c r="AC120" s="207">
        <f>SUMIFS('апрель 2023'!$G$4:$G$692,'апрель 2023'!$D$4:$D$692,$B120,'апрель 2023'!$J$4:$J$692,AC$1)</f>
        <v>0</v>
      </c>
      <c r="AD120" s="207">
        <f>SUMIFS('апрель 2023'!$G$4:$G$692,'апрель 2023'!$D$4:$D$692,$B120,'апрель 2023'!$J$4:$J$692,AD$1)</f>
        <v>0</v>
      </c>
      <c r="AE120" s="207">
        <f>SUMIFS('апрель 2023'!$G$4:$G$692,'апрель 2023'!$D$4:$D$692,$B120,'апрель 2023'!$J$4:$J$692,AE$1)</f>
        <v>0</v>
      </c>
      <c r="AF120" s="207">
        <f>SUMIFS('апрель 2023'!$G$4:$G$692,'апрель 2023'!$D$4:$D$692,$B120,'апрель 2023'!$J$4:$J$692,AF$1)</f>
        <v>0</v>
      </c>
      <c r="AG120" s="207">
        <f>SUMIFS('апрель 2023'!$G$4:$G$692,'апрель 2023'!$D$4:$D$692,$B120,'апрель 2023'!$J$4:$J$692,AG$1)</f>
        <v>0</v>
      </c>
      <c r="AH120" s="207">
        <f>SUMIFS('апрель 2023'!$G$4:$G$692,'апрель 2023'!$D$4:$D$692,$B120,'апрель 2023'!$J$4:$J$692,AH$1)</f>
        <v>0</v>
      </c>
      <c r="AI120" s="220">
        <f t="shared" si="2"/>
        <v>0</v>
      </c>
    </row>
    <row r="121" spans="2:35" ht="15" hidden="1" customHeight="1" x14ac:dyDescent="0.25">
      <c r="B121" s="212"/>
      <c r="C121" s="211"/>
      <c r="D121" s="207">
        <f>SUMIFS('апрель 2023'!$G$4:$G$692,'апрель 2023'!$D$4:$D$692,$B121,'апрель 2023'!$J$4:$J$692,D$1)</f>
        <v>0</v>
      </c>
      <c r="E121" s="207">
        <f>SUMIFS('апрель 2023'!$G$4:$G$692,'апрель 2023'!$D$4:$D$692,$B121,'апрель 2023'!$J$4:$J$692,E$1)</f>
        <v>0</v>
      </c>
      <c r="F121" s="207">
        <f>SUMIFS('апрель 2023'!$G$4:$G$692,'апрель 2023'!$D$4:$D$692,$B121,'апрель 2023'!$J$4:$J$692,F$1)</f>
        <v>0</v>
      </c>
      <c r="G121" s="207">
        <f>SUMIFS('апрель 2023'!$G$4:$G$692,'апрель 2023'!$D$4:$D$692,$B121,'апрель 2023'!$J$4:$J$692,G$1)</f>
        <v>0</v>
      </c>
      <c r="H121" s="207">
        <f>SUMIFS('апрель 2023'!$G$4:$G$692,'апрель 2023'!$D$4:$D$692,$B121,'апрель 2023'!$J$4:$J$692,H$1)</f>
        <v>0</v>
      </c>
      <c r="I121" s="207">
        <f>SUMIFS('апрель 2023'!$G$4:$G$692,'апрель 2023'!$D$4:$D$692,$B121,'апрель 2023'!$J$4:$J$692,I$1)</f>
        <v>0</v>
      </c>
      <c r="J121" s="207">
        <f>SUMIFS('апрель 2023'!$G$4:$G$692,'апрель 2023'!$D$4:$D$692,$B121,'апрель 2023'!$J$4:$J$692,J$1)</f>
        <v>0</v>
      </c>
      <c r="K121" s="207">
        <f>SUMIFS('апрель 2023'!$G$4:$G$692,'апрель 2023'!$D$4:$D$692,$B121,'апрель 2023'!$J$4:$J$692,K$1)</f>
        <v>0</v>
      </c>
      <c r="L121" s="207">
        <f>SUMIFS('апрель 2023'!$G$4:$G$692,'апрель 2023'!$D$4:$D$692,$B121,'апрель 2023'!$J$4:$J$692,L$1)</f>
        <v>0</v>
      </c>
      <c r="M121" s="207">
        <f>SUMIFS('апрель 2023'!$G$4:$G$692,'апрель 2023'!$D$4:$D$692,$B121,'апрель 2023'!$J$4:$J$692,M$1)</f>
        <v>0</v>
      </c>
      <c r="N121" s="207">
        <f>SUMIFS('апрель 2023'!$G$4:$G$692,'апрель 2023'!$D$4:$D$692,$B121,'апрель 2023'!$J$4:$J$692,N$1)</f>
        <v>0</v>
      </c>
      <c r="O121" s="207">
        <f>SUMIFS('апрель 2023'!$G$4:$G$692,'апрель 2023'!$D$4:$D$692,$B121,'апрель 2023'!$J$4:$J$692,O$1)</f>
        <v>0</v>
      </c>
      <c r="P121" s="207">
        <f>SUMIFS('апрель 2023'!$G$4:$G$692,'апрель 2023'!$D$4:$D$692,$B121,'апрель 2023'!$J$4:$J$692,P$1)</f>
        <v>0</v>
      </c>
      <c r="Q121" s="207">
        <f>SUMIFS('апрель 2023'!$G$4:$G$692,'апрель 2023'!$D$4:$D$692,$B121,'апрель 2023'!$J$4:$J$692,Q$1)</f>
        <v>0</v>
      </c>
      <c r="R121" s="207">
        <f>SUMIFS('апрель 2023'!$G$4:$G$692,'апрель 2023'!$D$4:$D$692,$B121,'апрель 2023'!$J$4:$J$692,R$1)</f>
        <v>0</v>
      </c>
      <c r="S121" s="207">
        <f>SUMIFS('апрель 2023'!$G$4:$G$692,'апрель 2023'!$D$4:$D$692,$B121,'апрель 2023'!$J$4:$J$692,S$1)</f>
        <v>0</v>
      </c>
      <c r="T121" s="207">
        <f>SUMIFS('апрель 2023'!$G$4:$G$692,'апрель 2023'!$D$4:$D$692,$B121,'апрель 2023'!$J$4:$J$692,T$1)</f>
        <v>0</v>
      </c>
      <c r="U121" s="207">
        <f>SUMIFS('апрель 2023'!$G$4:$G$692,'апрель 2023'!$D$4:$D$692,$B121,'апрель 2023'!$J$4:$J$692,U$1)</f>
        <v>0</v>
      </c>
      <c r="V121" s="207">
        <f>SUMIFS('апрель 2023'!$G$4:$G$692,'апрель 2023'!$D$4:$D$692,$B121,'апрель 2023'!$J$4:$J$692,V$1)</f>
        <v>0</v>
      </c>
      <c r="W121" s="207">
        <f>SUMIFS('апрель 2023'!$G$4:$G$692,'апрель 2023'!$D$4:$D$692,$B121,'апрель 2023'!$J$4:$J$692,W$1)</f>
        <v>0</v>
      </c>
      <c r="X121" s="207">
        <f>SUMIFS('апрель 2023'!$G$4:$G$692,'апрель 2023'!$D$4:$D$692,$B121,'апрель 2023'!$J$4:$J$692,X$1)</f>
        <v>0</v>
      </c>
      <c r="Y121" s="207">
        <f>SUMIFS('апрель 2023'!$G$4:$G$692,'апрель 2023'!$D$4:$D$692,$B121,'апрель 2023'!$J$4:$J$692,Y$1)</f>
        <v>0</v>
      </c>
      <c r="Z121" s="207">
        <f>SUMIFS('апрель 2023'!$G$4:$G$692,'апрель 2023'!$D$4:$D$692,$B121,'апрель 2023'!$J$4:$J$692,Z$1)</f>
        <v>0</v>
      </c>
      <c r="AA121" s="207">
        <f>SUMIFS('апрель 2023'!$G$4:$G$692,'апрель 2023'!$D$4:$D$692,$B121,'апрель 2023'!$J$4:$J$692,AA$1)</f>
        <v>0</v>
      </c>
      <c r="AB121" s="207">
        <f>SUMIFS('апрель 2023'!$G$4:$G$692,'апрель 2023'!$D$4:$D$692,$B121,'апрель 2023'!$J$4:$J$692,AB$1)</f>
        <v>0</v>
      </c>
      <c r="AC121" s="207">
        <f>SUMIFS('апрель 2023'!$G$4:$G$692,'апрель 2023'!$D$4:$D$692,$B121,'апрель 2023'!$J$4:$J$692,AC$1)</f>
        <v>0</v>
      </c>
      <c r="AD121" s="207">
        <f>SUMIFS('апрель 2023'!$G$4:$G$692,'апрель 2023'!$D$4:$D$692,$B121,'апрель 2023'!$J$4:$J$692,AD$1)</f>
        <v>0</v>
      </c>
      <c r="AE121" s="207">
        <f>SUMIFS('апрель 2023'!$G$4:$G$692,'апрель 2023'!$D$4:$D$692,$B121,'апрель 2023'!$J$4:$J$692,AE$1)</f>
        <v>0</v>
      </c>
      <c r="AF121" s="207">
        <f>SUMIFS('апрель 2023'!$G$4:$G$692,'апрель 2023'!$D$4:$D$692,$B121,'апрель 2023'!$J$4:$J$692,AF$1)</f>
        <v>0</v>
      </c>
      <c r="AG121" s="207">
        <f>SUMIFS('апрель 2023'!$G$4:$G$692,'апрель 2023'!$D$4:$D$692,$B121,'апрель 2023'!$J$4:$J$692,AG$1)</f>
        <v>0</v>
      </c>
      <c r="AH121" s="207">
        <f>SUMIFS('апрель 2023'!$G$4:$G$692,'апрель 2023'!$D$4:$D$692,$B121,'апрель 2023'!$J$4:$J$692,AH$1)</f>
        <v>0</v>
      </c>
      <c r="AI121" s="220"/>
    </row>
    <row r="122" spans="2:35" ht="15" hidden="1" customHeight="1" x14ac:dyDescent="0.25">
      <c r="B122" s="212"/>
      <c r="C122" s="211"/>
      <c r="D122" s="207">
        <f>SUMIFS('апрель 2023'!$G$4:$G$692,'апрель 2023'!$D$4:$D$692,$B122,'апрель 2023'!$J$4:$J$692,D$1)</f>
        <v>0</v>
      </c>
      <c r="E122" s="207">
        <f>SUMIFS('апрель 2023'!$G$4:$G$692,'апрель 2023'!$D$4:$D$692,$B122,'апрель 2023'!$J$4:$J$692,E$1)</f>
        <v>0</v>
      </c>
      <c r="F122" s="207">
        <f>SUMIFS('апрель 2023'!$G$4:$G$692,'апрель 2023'!$D$4:$D$692,$B122,'апрель 2023'!$J$4:$J$692,F$1)</f>
        <v>0</v>
      </c>
      <c r="G122" s="207">
        <f>SUMIFS('апрель 2023'!$G$4:$G$692,'апрель 2023'!$D$4:$D$692,$B122,'апрель 2023'!$J$4:$J$692,G$1)</f>
        <v>0</v>
      </c>
      <c r="H122" s="207">
        <f>SUMIFS('апрель 2023'!$G$4:$G$692,'апрель 2023'!$D$4:$D$692,$B122,'апрель 2023'!$J$4:$J$692,H$1)</f>
        <v>0</v>
      </c>
      <c r="I122" s="207">
        <f>SUMIFS('апрель 2023'!$G$4:$G$692,'апрель 2023'!$D$4:$D$692,$B122,'апрель 2023'!$J$4:$J$692,I$1)</f>
        <v>0</v>
      </c>
      <c r="J122" s="207">
        <f>SUMIFS('апрель 2023'!$G$4:$G$692,'апрель 2023'!$D$4:$D$692,$B122,'апрель 2023'!$J$4:$J$692,J$1)</f>
        <v>0</v>
      </c>
      <c r="K122" s="207">
        <f>SUMIFS('апрель 2023'!$G$4:$G$692,'апрель 2023'!$D$4:$D$692,$B122,'апрель 2023'!$J$4:$J$692,K$1)</f>
        <v>0</v>
      </c>
      <c r="L122" s="207">
        <f>SUMIFS('апрель 2023'!$G$4:$G$692,'апрель 2023'!$D$4:$D$692,$B122,'апрель 2023'!$J$4:$J$692,L$1)</f>
        <v>0</v>
      </c>
      <c r="M122" s="207">
        <f>SUMIFS('апрель 2023'!$G$4:$G$692,'апрель 2023'!$D$4:$D$692,$B122,'апрель 2023'!$J$4:$J$692,M$1)</f>
        <v>0</v>
      </c>
      <c r="N122" s="207">
        <f>SUMIFS('апрель 2023'!$G$4:$G$692,'апрель 2023'!$D$4:$D$692,$B122,'апрель 2023'!$J$4:$J$692,N$1)</f>
        <v>0</v>
      </c>
      <c r="O122" s="207">
        <f>SUMIFS('апрель 2023'!$G$4:$G$692,'апрель 2023'!$D$4:$D$692,$B122,'апрель 2023'!$J$4:$J$692,O$1)</f>
        <v>0</v>
      </c>
      <c r="P122" s="207">
        <f>SUMIFS('апрель 2023'!$G$4:$G$692,'апрель 2023'!$D$4:$D$692,$B122,'апрель 2023'!$J$4:$J$692,P$1)</f>
        <v>0</v>
      </c>
      <c r="Q122" s="207">
        <f>SUMIFS('апрель 2023'!$G$4:$G$692,'апрель 2023'!$D$4:$D$692,$B122,'апрель 2023'!$J$4:$J$692,Q$1)</f>
        <v>0</v>
      </c>
      <c r="R122" s="207">
        <f>SUMIFS('апрель 2023'!$G$4:$G$692,'апрель 2023'!$D$4:$D$692,$B122,'апрель 2023'!$J$4:$J$692,R$1)</f>
        <v>0</v>
      </c>
      <c r="S122" s="207">
        <f>SUMIFS('апрель 2023'!$G$4:$G$692,'апрель 2023'!$D$4:$D$692,$B122,'апрель 2023'!$J$4:$J$692,S$1)</f>
        <v>0</v>
      </c>
      <c r="T122" s="207">
        <f>SUMIFS('апрель 2023'!$G$4:$G$692,'апрель 2023'!$D$4:$D$692,$B122,'апрель 2023'!$J$4:$J$692,T$1)</f>
        <v>0</v>
      </c>
      <c r="U122" s="207">
        <f>SUMIFS('апрель 2023'!$G$4:$G$692,'апрель 2023'!$D$4:$D$692,$B122,'апрель 2023'!$J$4:$J$692,U$1)</f>
        <v>0</v>
      </c>
      <c r="V122" s="207">
        <f>SUMIFS('апрель 2023'!$G$4:$G$692,'апрель 2023'!$D$4:$D$692,$B122,'апрель 2023'!$J$4:$J$692,V$1)</f>
        <v>0</v>
      </c>
      <c r="W122" s="207">
        <f>SUMIFS('апрель 2023'!$G$4:$G$692,'апрель 2023'!$D$4:$D$692,$B122,'апрель 2023'!$J$4:$J$692,W$1)</f>
        <v>0</v>
      </c>
      <c r="X122" s="207">
        <f>SUMIFS('апрель 2023'!$G$4:$G$692,'апрель 2023'!$D$4:$D$692,$B122,'апрель 2023'!$J$4:$J$692,X$1)</f>
        <v>0</v>
      </c>
      <c r="Y122" s="207">
        <f>SUMIFS('апрель 2023'!$G$4:$G$692,'апрель 2023'!$D$4:$D$692,$B122,'апрель 2023'!$J$4:$J$692,Y$1)</f>
        <v>0</v>
      </c>
      <c r="Z122" s="207">
        <f>SUMIFS('апрель 2023'!$G$4:$G$692,'апрель 2023'!$D$4:$D$692,$B122,'апрель 2023'!$J$4:$J$692,Z$1)</f>
        <v>0</v>
      </c>
      <c r="AA122" s="207">
        <f>SUMIFS('апрель 2023'!$G$4:$G$692,'апрель 2023'!$D$4:$D$692,$B122,'апрель 2023'!$J$4:$J$692,AA$1)</f>
        <v>0</v>
      </c>
      <c r="AB122" s="207">
        <f>SUMIFS('апрель 2023'!$G$4:$G$692,'апрель 2023'!$D$4:$D$692,$B122,'апрель 2023'!$J$4:$J$692,AB$1)</f>
        <v>0</v>
      </c>
      <c r="AC122" s="207">
        <f>SUMIFS('апрель 2023'!$G$4:$G$692,'апрель 2023'!$D$4:$D$692,$B122,'апрель 2023'!$J$4:$J$692,AC$1)</f>
        <v>0</v>
      </c>
      <c r="AD122" s="207">
        <f>SUMIFS('апрель 2023'!$G$4:$G$692,'апрель 2023'!$D$4:$D$692,$B122,'апрель 2023'!$J$4:$J$692,AD$1)</f>
        <v>0</v>
      </c>
      <c r="AE122" s="207">
        <f>SUMIFS('апрель 2023'!$G$4:$G$692,'апрель 2023'!$D$4:$D$692,$B122,'апрель 2023'!$J$4:$J$692,AE$1)</f>
        <v>0</v>
      </c>
      <c r="AF122" s="207">
        <f>SUMIFS('апрель 2023'!$G$4:$G$692,'апрель 2023'!$D$4:$D$692,$B122,'апрель 2023'!$J$4:$J$692,AF$1)</f>
        <v>0</v>
      </c>
      <c r="AG122" s="207">
        <f>SUMIFS('апрель 2023'!$G$4:$G$692,'апрель 2023'!$D$4:$D$692,$B122,'апрель 2023'!$J$4:$J$692,AG$1)</f>
        <v>0</v>
      </c>
      <c r="AH122" s="207">
        <f>SUMIFS('апрель 2023'!$G$4:$G$692,'апрель 2023'!$D$4:$D$692,$B122,'апрель 2023'!$J$4:$J$692,AH$1)</f>
        <v>0</v>
      </c>
      <c r="AI122" s="220">
        <f t="shared" si="2"/>
        <v>0</v>
      </c>
    </row>
    <row r="123" spans="2:35" ht="15" hidden="1" customHeight="1" x14ac:dyDescent="0.25">
      <c r="B123" s="212"/>
      <c r="C123" s="211"/>
      <c r="D123" s="207">
        <f>SUMIFS('апрель 2023'!$G$4:$G$692,'апрель 2023'!$D$4:$D$692,$B123,'апрель 2023'!$J$4:$J$692,D$1)</f>
        <v>0</v>
      </c>
      <c r="E123" s="207">
        <f>SUMIFS('апрель 2023'!$G$4:$G$692,'апрель 2023'!$D$4:$D$692,$B123,'апрель 2023'!$J$4:$J$692,E$1)</f>
        <v>0</v>
      </c>
      <c r="F123" s="207">
        <f>SUMIFS('апрель 2023'!$G$4:$G$692,'апрель 2023'!$D$4:$D$692,$B123,'апрель 2023'!$J$4:$J$692,F$1)</f>
        <v>0</v>
      </c>
      <c r="G123" s="207">
        <f>SUMIFS('апрель 2023'!$G$4:$G$692,'апрель 2023'!$D$4:$D$692,$B123,'апрель 2023'!$J$4:$J$692,G$1)</f>
        <v>0</v>
      </c>
      <c r="H123" s="207">
        <f>SUMIFS('апрель 2023'!$G$4:$G$692,'апрель 2023'!$D$4:$D$692,$B123,'апрель 2023'!$J$4:$J$692,H$1)</f>
        <v>0</v>
      </c>
      <c r="I123" s="207">
        <f>SUMIFS('апрель 2023'!$G$4:$G$692,'апрель 2023'!$D$4:$D$692,$B123,'апрель 2023'!$J$4:$J$692,I$1)</f>
        <v>0</v>
      </c>
      <c r="J123" s="207">
        <f>SUMIFS('апрель 2023'!$G$4:$G$692,'апрель 2023'!$D$4:$D$692,$B123,'апрель 2023'!$J$4:$J$692,J$1)</f>
        <v>0</v>
      </c>
      <c r="K123" s="207">
        <f>SUMIFS('апрель 2023'!$G$4:$G$692,'апрель 2023'!$D$4:$D$692,$B123,'апрель 2023'!$J$4:$J$692,K$1)</f>
        <v>0</v>
      </c>
      <c r="L123" s="207">
        <f>SUMIFS('апрель 2023'!$G$4:$G$692,'апрель 2023'!$D$4:$D$692,$B123,'апрель 2023'!$J$4:$J$692,L$1)</f>
        <v>0</v>
      </c>
      <c r="M123" s="207">
        <f>SUMIFS('апрель 2023'!$G$4:$G$692,'апрель 2023'!$D$4:$D$692,$B123,'апрель 2023'!$J$4:$J$692,M$1)</f>
        <v>0</v>
      </c>
      <c r="N123" s="207">
        <f>SUMIFS('апрель 2023'!$G$4:$G$692,'апрель 2023'!$D$4:$D$692,$B123,'апрель 2023'!$J$4:$J$692,N$1)</f>
        <v>0</v>
      </c>
      <c r="O123" s="207">
        <f>SUMIFS('апрель 2023'!$G$4:$G$692,'апрель 2023'!$D$4:$D$692,$B123,'апрель 2023'!$J$4:$J$692,O$1)</f>
        <v>0</v>
      </c>
      <c r="P123" s="207">
        <f>SUMIFS('апрель 2023'!$G$4:$G$692,'апрель 2023'!$D$4:$D$692,$B123,'апрель 2023'!$J$4:$J$692,P$1)</f>
        <v>0</v>
      </c>
      <c r="Q123" s="207">
        <f>SUMIFS('апрель 2023'!$G$4:$G$692,'апрель 2023'!$D$4:$D$692,$B123,'апрель 2023'!$J$4:$J$692,Q$1)</f>
        <v>0</v>
      </c>
      <c r="R123" s="207">
        <f>SUMIFS('апрель 2023'!$G$4:$G$692,'апрель 2023'!$D$4:$D$692,$B123,'апрель 2023'!$J$4:$J$692,R$1)</f>
        <v>0</v>
      </c>
      <c r="S123" s="207">
        <f>SUMIFS('апрель 2023'!$G$4:$G$692,'апрель 2023'!$D$4:$D$692,$B123,'апрель 2023'!$J$4:$J$692,S$1)</f>
        <v>0</v>
      </c>
      <c r="T123" s="207">
        <f>SUMIFS('апрель 2023'!$G$4:$G$692,'апрель 2023'!$D$4:$D$692,$B123,'апрель 2023'!$J$4:$J$692,T$1)</f>
        <v>0</v>
      </c>
      <c r="U123" s="207">
        <f>SUMIFS('апрель 2023'!$G$4:$G$692,'апрель 2023'!$D$4:$D$692,$B123,'апрель 2023'!$J$4:$J$692,U$1)</f>
        <v>0</v>
      </c>
      <c r="V123" s="207">
        <f>SUMIFS('апрель 2023'!$G$4:$G$692,'апрель 2023'!$D$4:$D$692,$B123,'апрель 2023'!$J$4:$J$692,V$1)</f>
        <v>0</v>
      </c>
      <c r="W123" s="207">
        <f>SUMIFS('апрель 2023'!$G$4:$G$692,'апрель 2023'!$D$4:$D$692,$B123,'апрель 2023'!$J$4:$J$692,W$1)</f>
        <v>0</v>
      </c>
      <c r="X123" s="207">
        <f>SUMIFS('апрель 2023'!$G$4:$G$692,'апрель 2023'!$D$4:$D$692,$B123,'апрель 2023'!$J$4:$J$692,X$1)</f>
        <v>0</v>
      </c>
      <c r="Y123" s="207">
        <f>SUMIFS('апрель 2023'!$G$4:$G$692,'апрель 2023'!$D$4:$D$692,$B123,'апрель 2023'!$J$4:$J$692,Y$1)</f>
        <v>0</v>
      </c>
      <c r="Z123" s="207">
        <f>SUMIFS('апрель 2023'!$G$4:$G$692,'апрель 2023'!$D$4:$D$692,$B123,'апрель 2023'!$J$4:$J$692,Z$1)</f>
        <v>0</v>
      </c>
      <c r="AA123" s="207">
        <f>SUMIFS('апрель 2023'!$G$4:$G$692,'апрель 2023'!$D$4:$D$692,$B123,'апрель 2023'!$J$4:$J$692,AA$1)</f>
        <v>0</v>
      </c>
      <c r="AB123" s="207">
        <f>SUMIFS('апрель 2023'!$G$4:$G$692,'апрель 2023'!$D$4:$D$692,$B123,'апрель 2023'!$J$4:$J$692,AB$1)</f>
        <v>0</v>
      </c>
      <c r="AC123" s="207">
        <f>SUMIFS('апрель 2023'!$G$4:$G$692,'апрель 2023'!$D$4:$D$692,$B123,'апрель 2023'!$J$4:$J$692,AC$1)</f>
        <v>0</v>
      </c>
      <c r="AD123" s="207">
        <f>SUMIFS('апрель 2023'!$G$4:$G$692,'апрель 2023'!$D$4:$D$692,$B123,'апрель 2023'!$J$4:$J$692,AD$1)</f>
        <v>0</v>
      </c>
      <c r="AE123" s="207">
        <f>SUMIFS('апрель 2023'!$G$4:$G$692,'апрель 2023'!$D$4:$D$692,$B123,'апрель 2023'!$J$4:$J$692,AE$1)</f>
        <v>0</v>
      </c>
      <c r="AF123" s="207">
        <f>SUMIFS('апрель 2023'!$G$4:$G$692,'апрель 2023'!$D$4:$D$692,$B123,'апрель 2023'!$J$4:$J$692,AF$1)</f>
        <v>0</v>
      </c>
      <c r="AG123" s="207">
        <f>SUMIFS('апрель 2023'!$G$4:$G$692,'апрель 2023'!$D$4:$D$692,$B123,'апрель 2023'!$J$4:$J$692,AG$1)</f>
        <v>0</v>
      </c>
      <c r="AH123" s="207">
        <f>SUMIFS('апрель 2023'!$G$4:$G$692,'апрель 2023'!$D$4:$D$692,$B123,'апрель 2023'!$J$4:$J$692,AH$1)</f>
        <v>0</v>
      </c>
      <c r="AI123" s="220">
        <f t="shared" si="2"/>
        <v>0</v>
      </c>
    </row>
    <row r="124" spans="2:35" ht="15" hidden="1" customHeight="1" x14ac:dyDescent="0.25">
      <c r="B124" s="216"/>
      <c r="C124" s="211"/>
      <c r="D124" s="207">
        <f>SUMIFS('апрель 2023'!$G$4:$G$692,'апрель 2023'!$D$4:$D$692,$B124,'апрель 2023'!$J$4:$J$692,D$1)</f>
        <v>0</v>
      </c>
      <c r="E124" s="207">
        <f>SUMIFS('апрель 2023'!$G$4:$G$692,'апрель 2023'!$D$4:$D$692,$B124,'апрель 2023'!$J$4:$J$692,E$1)</f>
        <v>0</v>
      </c>
      <c r="F124" s="207">
        <f>SUMIFS('апрель 2023'!$G$4:$G$692,'апрель 2023'!$D$4:$D$692,$B124,'апрель 2023'!$J$4:$J$692,F$1)</f>
        <v>0</v>
      </c>
      <c r="G124" s="207">
        <f>SUMIFS('апрель 2023'!$G$4:$G$692,'апрель 2023'!$D$4:$D$692,$B124,'апрель 2023'!$J$4:$J$692,G$1)</f>
        <v>0</v>
      </c>
      <c r="H124" s="207">
        <f>SUMIFS('апрель 2023'!$G$4:$G$692,'апрель 2023'!$D$4:$D$692,$B124,'апрель 2023'!$J$4:$J$692,H$1)</f>
        <v>0</v>
      </c>
      <c r="I124" s="207">
        <f>SUMIFS('апрель 2023'!$G$4:$G$692,'апрель 2023'!$D$4:$D$692,$B124,'апрель 2023'!$J$4:$J$692,I$1)</f>
        <v>0</v>
      </c>
      <c r="J124" s="207">
        <f>SUMIFS('апрель 2023'!$G$4:$G$692,'апрель 2023'!$D$4:$D$692,$B124,'апрель 2023'!$J$4:$J$692,J$1)</f>
        <v>0</v>
      </c>
      <c r="K124" s="207">
        <f>SUMIFS('апрель 2023'!$G$4:$G$692,'апрель 2023'!$D$4:$D$692,$B124,'апрель 2023'!$J$4:$J$692,K$1)</f>
        <v>0</v>
      </c>
      <c r="L124" s="207">
        <f>SUMIFS('апрель 2023'!$G$4:$G$692,'апрель 2023'!$D$4:$D$692,$B124,'апрель 2023'!$J$4:$J$692,L$1)</f>
        <v>0</v>
      </c>
      <c r="M124" s="207">
        <f>SUMIFS('апрель 2023'!$G$4:$G$692,'апрель 2023'!$D$4:$D$692,$B124,'апрель 2023'!$J$4:$J$692,M$1)</f>
        <v>0</v>
      </c>
      <c r="N124" s="207">
        <f>SUMIFS('апрель 2023'!$G$4:$G$692,'апрель 2023'!$D$4:$D$692,$B124,'апрель 2023'!$J$4:$J$692,N$1)</f>
        <v>0</v>
      </c>
      <c r="O124" s="207">
        <f>SUMIFS('апрель 2023'!$G$4:$G$692,'апрель 2023'!$D$4:$D$692,$B124,'апрель 2023'!$J$4:$J$692,O$1)</f>
        <v>0</v>
      </c>
      <c r="P124" s="207">
        <f>SUMIFS('апрель 2023'!$G$4:$G$692,'апрель 2023'!$D$4:$D$692,$B124,'апрель 2023'!$J$4:$J$692,P$1)</f>
        <v>0</v>
      </c>
      <c r="Q124" s="207">
        <f>SUMIFS('апрель 2023'!$G$4:$G$692,'апрель 2023'!$D$4:$D$692,$B124,'апрель 2023'!$J$4:$J$692,Q$1)</f>
        <v>0</v>
      </c>
      <c r="R124" s="207">
        <f>SUMIFS('апрель 2023'!$G$4:$G$692,'апрель 2023'!$D$4:$D$692,$B124,'апрель 2023'!$J$4:$J$692,R$1)</f>
        <v>0</v>
      </c>
      <c r="S124" s="207">
        <f>SUMIFS('апрель 2023'!$G$4:$G$692,'апрель 2023'!$D$4:$D$692,$B124,'апрель 2023'!$J$4:$J$692,S$1)</f>
        <v>0</v>
      </c>
      <c r="T124" s="207">
        <f>SUMIFS('апрель 2023'!$G$4:$G$692,'апрель 2023'!$D$4:$D$692,$B124,'апрель 2023'!$J$4:$J$692,T$1)</f>
        <v>0</v>
      </c>
      <c r="U124" s="207">
        <f>SUMIFS('апрель 2023'!$G$4:$G$692,'апрель 2023'!$D$4:$D$692,$B124,'апрель 2023'!$J$4:$J$692,U$1)</f>
        <v>0</v>
      </c>
      <c r="V124" s="207">
        <f>SUMIFS('апрель 2023'!$G$4:$G$692,'апрель 2023'!$D$4:$D$692,$B124,'апрель 2023'!$J$4:$J$692,V$1)</f>
        <v>0</v>
      </c>
      <c r="W124" s="207">
        <f>SUMIFS('апрель 2023'!$G$4:$G$692,'апрель 2023'!$D$4:$D$692,$B124,'апрель 2023'!$J$4:$J$692,W$1)</f>
        <v>0</v>
      </c>
      <c r="X124" s="207">
        <f>SUMIFS('апрель 2023'!$G$4:$G$692,'апрель 2023'!$D$4:$D$692,$B124,'апрель 2023'!$J$4:$J$692,X$1)</f>
        <v>0</v>
      </c>
      <c r="Y124" s="207">
        <f>SUMIFS('апрель 2023'!$G$4:$G$692,'апрель 2023'!$D$4:$D$692,$B124,'апрель 2023'!$J$4:$J$692,Y$1)</f>
        <v>0</v>
      </c>
      <c r="Z124" s="207">
        <f>SUMIFS('апрель 2023'!$G$4:$G$692,'апрель 2023'!$D$4:$D$692,$B124,'апрель 2023'!$J$4:$J$692,Z$1)</f>
        <v>0</v>
      </c>
      <c r="AA124" s="207">
        <f>SUMIFS('апрель 2023'!$G$4:$G$692,'апрель 2023'!$D$4:$D$692,$B124,'апрель 2023'!$J$4:$J$692,AA$1)</f>
        <v>0</v>
      </c>
      <c r="AB124" s="207">
        <f>SUMIFS('апрель 2023'!$G$4:$G$692,'апрель 2023'!$D$4:$D$692,$B124,'апрель 2023'!$J$4:$J$692,AB$1)</f>
        <v>0</v>
      </c>
      <c r="AC124" s="207">
        <f>SUMIFS('апрель 2023'!$G$4:$G$692,'апрель 2023'!$D$4:$D$692,$B124,'апрель 2023'!$J$4:$J$692,AC$1)</f>
        <v>0</v>
      </c>
      <c r="AD124" s="207">
        <f>SUMIFS('апрель 2023'!$G$4:$G$692,'апрель 2023'!$D$4:$D$692,$B124,'апрель 2023'!$J$4:$J$692,AD$1)</f>
        <v>0</v>
      </c>
      <c r="AE124" s="207">
        <f>SUMIFS('апрель 2023'!$G$4:$G$692,'апрель 2023'!$D$4:$D$692,$B124,'апрель 2023'!$J$4:$J$692,AE$1)</f>
        <v>0</v>
      </c>
      <c r="AF124" s="207">
        <f>SUMIFS('апрель 2023'!$G$4:$G$692,'апрель 2023'!$D$4:$D$692,$B124,'апрель 2023'!$J$4:$J$692,AF$1)</f>
        <v>0</v>
      </c>
      <c r="AG124" s="207">
        <f>SUMIFS('апрель 2023'!$G$4:$G$692,'апрель 2023'!$D$4:$D$692,$B124,'апрель 2023'!$J$4:$J$692,AG$1)</f>
        <v>0</v>
      </c>
      <c r="AH124" s="207">
        <f>SUMIFS('апрель 2023'!$G$4:$G$692,'апрель 2023'!$D$4:$D$692,$B124,'апрель 2023'!$J$4:$J$692,AH$1)</f>
        <v>0</v>
      </c>
      <c r="AI124" s="220">
        <f t="shared" si="2"/>
        <v>0</v>
      </c>
    </row>
    <row r="125" spans="2:35" ht="15" hidden="1" customHeight="1" x14ac:dyDescent="0.25">
      <c r="B125" s="216"/>
      <c r="C125" s="213"/>
      <c r="D125" s="207">
        <f>SUMIFS('апрель 2023'!$G$4:$G$692,'апрель 2023'!$D$4:$D$692,$B125,'апрель 2023'!$J$4:$J$692,D$1)</f>
        <v>0</v>
      </c>
      <c r="E125" s="207">
        <f>SUMIFS('апрель 2023'!$G$4:$G$692,'апрель 2023'!$D$4:$D$692,$B125,'апрель 2023'!$J$4:$J$692,E$1)</f>
        <v>0</v>
      </c>
      <c r="F125" s="207">
        <f>SUMIFS('апрель 2023'!$G$4:$G$692,'апрель 2023'!$D$4:$D$692,$B125,'апрель 2023'!$J$4:$J$692,F$1)</f>
        <v>0</v>
      </c>
      <c r="G125" s="207">
        <f>SUMIFS('апрель 2023'!$G$4:$G$692,'апрель 2023'!$D$4:$D$692,$B125,'апрель 2023'!$J$4:$J$692,G$1)</f>
        <v>0</v>
      </c>
      <c r="H125" s="207">
        <f>SUMIFS('апрель 2023'!$G$4:$G$692,'апрель 2023'!$D$4:$D$692,$B125,'апрель 2023'!$J$4:$J$692,H$1)</f>
        <v>0</v>
      </c>
      <c r="I125" s="207">
        <f>SUMIFS('апрель 2023'!$G$4:$G$692,'апрель 2023'!$D$4:$D$692,$B125,'апрель 2023'!$J$4:$J$692,I$1)</f>
        <v>0</v>
      </c>
      <c r="J125" s="207">
        <f>SUMIFS('апрель 2023'!$G$4:$G$692,'апрель 2023'!$D$4:$D$692,$B125,'апрель 2023'!$J$4:$J$692,J$1)</f>
        <v>0</v>
      </c>
      <c r="K125" s="207">
        <f>SUMIFS('апрель 2023'!$G$4:$G$692,'апрель 2023'!$D$4:$D$692,$B125,'апрель 2023'!$J$4:$J$692,K$1)</f>
        <v>0</v>
      </c>
      <c r="L125" s="207">
        <f>SUMIFS('апрель 2023'!$G$4:$G$692,'апрель 2023'!$D$4:$D$692,$B125,'апрель 2023'!$J$4:$J$692,L$1)</f>
        <v>0</v>
      </c>
      <c r="M125" s="207">
        <f>SUMIFS('апрель 2023'!$G$4:$G$692,'апрель 2023'!$D$4:$D$692,$B125,'апрель 2023'!$J$4:$J$692,M$1)</f>
        <v>0</v>
      </c>
      <c r="N125" s="207">
        <f>SUMIFS('апрель 2023'!$G$4:$G$692,'апрель 2023'!$D$4:$D$692,$B125,'апрель 2023'!$J$4:$J$692,N$1)</f>
        <v>0</v>
      </c>
      <c r="O125" s="207">
        <f>SUMIFS('апрель 2023'!$G$4:$G$692,'апрель 2023'!$D$4:$D$692,$B125,'апрель 2023'!$J$4:$J$692,O$1)</f>
        <v>0</v>
      </c>
      <c r="P125" s="207">
        <f>SUMIFS('апрель 2023'!$G$4:$G$692,'апрель 2023'!$D$4:$D$692,$B125,'апрель 2023'!$J$4:$J$692,P$1)</f>
        <v>0</v>
      </c>
      <c r="Q125" s="207">
        <f>SUMIFS('апрель 2023'!$G$4:$G$692,'апрель 2023'!$D$4:$D$692,$B125,'апрель 2023'!$J$4:$J$692,Q$1)</f>
        <v>0</v>
      </c>
      <c r="R125" s="207">
        <f>SUMIFS('апрель 2023'!$G$4:$G$692,'апрель 2023'!$D$4:$D$692,$B125,'апрель 2023'!$J$4:$J$692,R$1)</f>
        <v>0</v>
      </c>
      <c r="S125" s="207">
        <f>SUMIFS('апрель 2023'!$G$4:$G$692,'апрель 2023'!$D$4:$D$692,$B125,'апрель 2023'!$J$4:$J$692,S$1)</f>
        <v>0</v>
      </c>
      <c r="T125" s="207">
        <f>SUMIFS('апрель 2023'!$G$4:$G$692,'апрель 2023'!$D$4:$D$692,$B125,'апрель 2023'!$J$4:$J$692,T$1)</f>
        <v>0</v>
      </c>
      <c r="U125" s="207">
        <f>SUMIFS('апрель 2023'!$G$4:$G$692,'апрель 2023'!$D$4:$D$692,$B125,'апрель 2023'!$J$4:$J$692,U$1)</f>
        <v>0</v>
      </c>
      <c r="V125" s="207">
        <f>SUMIFS('апрель 2023'!$G$4:$G$692,'апрель 2023'!$D$4:$D$692,$B125,'апрель 2023'!$J$4:$J$692,V$1)</f>
        <v>0</v>
      </c>
      <c r="W125" s="207">
        <f>SUMIFS('апрель 2023'!$G$4:$G$692,'апрель 2023'!$D$4:$D$692,$B125,'апрель 2023'!$J$4:$J$692,W$1)</f>
        <v>0</v>
      </c>
      <c r="X125" s="207">
        <f>SUMIFS('апрель 2023'!$G$4:$G$692,'апрель 2023'!$D$4:$D$692,$B125,'апрель 2023'!$J$4:$J$692,X$1)</f>
        <v>0</v>
      </c>
      <c r="Y125" s="207">
        <f>SUMIFS('апрель 2023'!$G$4:$G$692,'апрель 2023'!$D$4:$D$692,$B125,'апрель 2023'!$J$4:$J$692,Y$1)</f>
        <v>0</v>
      </c>
      <c r="Z125" s="207">
        <f>SUMIFS('апрель 2023'!$G$4:$G$692,'апрель 2023'!$D$4:$D$692,$B125,'апрель 2023'!$J$4:$J$692,Z$1)</f>
        <v>0</v>
      </c>
      <c r="AA125" s="207">
        <f>SUMIFS('апрель 2023'!$G$4:$G$692,'апрель 2023'!$D$4:$D$692,$B125,'апрель 2023'!$J$4:$J$692,AA$1)</f>
        <v>0</v>
      </c>
      <c r="AB125" s="207">
        <f>SUMIFS('апрель 2023'!$G$4:$G$692,'апрель 2023'!$D$4:$D$692,$B125,'апрель 2023'!$J$4:$J$692,AB$1)</f>
        <v>0</v>
      </c>
      <c r="AC125" s="207">
        <f>SUMIFS('апрель 2023'!$G$4:$G$692,'апрель 2023'!$D$4:$D$692,$B125,'апрель 2023'!$J$4:$J$692,AC$1)</f>
        <v>0</v>
      </c>
      <c r="AD125" s="207">
        <f>SUMIFS('апрель 2023'!$G$4:$G$692,'апрель 2023'!$D$4:$D$692,$B125,'апрель 2023'!$J$4:$J$692,AD$1)</f>
        <v>0</v>
      </c>
      <c r="AE125" s="207">
        <f>SUMIFS('апрель 2023'!$G$4:$G$692,'апрель 2023'!$D$4:$D$692,$B125,'апрель 2023'!$J$4:$J$692,AE$1)</f>
        <v>0</v>
      </c>
      <c r="AF125" s="207">
        <f>SUMIFS('апрель 2023'!$G$4:$G$692,'апрель 2023'!$D$4:$D$692,$B125,'апрель 2023'!$J$4:$J$692,AF$1)</f>
        <v>0</v>
      </c>
      <c r="AG125" s="207">
        <f>SUMIFS('апрель 2023'!$G$4:$G$692,'апрель 2023'!$D$4:$D$692,$B125,'апрель 2023'!$J$4:$J$692,AG$1)</f>
        <v>0</v>
      </c>
      <c r="AH125" s="207">
        <f>SUMIFS('апрель 2023'!$G$4:$G$692,'апрель 2023'!$D$4:$D$692,$B125,'апрель 2023'!$J$4:$J$692,AH$1)</f>
        <v>0</v>
      </c>
      <c r="AI125" s="220">
        <f t="shared" si="2"/>
        <v>0</v>
      </c>
    </row>
    <row r="126" spans="2:35" ht="15" hidden="1" customHeight="1" x14ac:dyDescent="0.25">
      <c r="B126" s="212"/>
      <c r="C126" s="211"/>
      <c r="D126" s="207">
        <f>SUMIFS('апрель 2023'!$G$4:$G$692,'апрель 2023'!$D$4:$D$692,$B126,'апрель 2023'!$J$4:$J$692,D$1)</f>
        <v>0</v>
      </c>
      <c r="E126" s="207">
        <f>SUMIFS('апрель 2023'!$G$4:$G$692,'апрель 2023'!$D$4:$D$692,$B126,'апрель 2023'!$J$4:$J$692,E$1)</f>
        <v>0</v>
      </c>
      <c r="F126" s="207">
        <f>SUMIFS('апрель 2023'!$G$4:$G$692,'апрель 2023'!$D$4:$D$692,$B126,'апрель 2023'!$J$4:$J$692,F$1)</f>
        <v>0</v>
      </c>
      <c r="G126" s="207">
        <f>SUMIFS('апрель 2023'!$G$4:$G$692,'апрель 2023'!$D$4:$D$692,$B126,'апрель 2023'!$J$4:$J$692,G$1)</f>
        <v>0</v>
      </c>
      <c r="H126" s="207">
        <f>SUMIFS('апрель 2023'!$G$4:$G$692,'апрель 2023'!$D$4:$D$692,$B126,'апрель 2023'!$J$4:$J$692,H$1)</f>
        <v>0</v>
      </c>
      <c r="I126" s="207">
        <f>SUMIFS('апрель 2023'!$G$4:$G$692,'апрель 2023'!$D$4:$D$692,$B126,'апрель 2023'!$J$4:$J$692,I$1)</f>
        <v>0</v>
      </c>
      <c r="J126" s="207">
        <f>SUMIFS('апрель 2023'!$G$4:$G$692,'апрель 2023'!$D$4:$D$692,$B126,'апрель 2023'!$J$4:$J$692,J$1)</f>
        <v>0</v>
      </c>
      <c r="K126" s="207">
        <f>SUMIFS('апрель 2023'!$G$4:$G$692,'апрель 2023'!$D$4:$D$692,$B126,'апрель 2023'!$J$4:$J$692,K$1)</f>
        <v>0</v>
      </c>
      <c r="L126" s="207">
        <f>SUMIFS('апрель 2023'!$G$4:$G$692,'апрель 2023'!$D$4:$D$692,$B126,'апрель 2023'!$J$4:$J$692,L$1)</f>
        <v>0</v>
      </c>
      <c r="M126" s="207">
        <f>SUMIFS('апрель 2023'!$G$4:$G$692,'апрель 2023'!$D$4:$D$692,$B126,'апрель 2023'!$J$4:$J$692,M$1)</f>
        <v>0</v>
      </c>
      <c r="N126" s="207">
        <f>SUMIFS('апрель 2023'!$G$4:$G$692,'апрель 2023'!$D$4:$D$692,$B126,'апрель 2023'!$J$4:$J$692,N$1)</f>
        <v>0</v>
      </c>
      <c r="O126" s="207">
        <f>SUMIFS('апрель 2023'!$G$4:$G$692,'апрель 2023'!$D$4:$D$692,$B126,'апрель 2023'!$J$4:$J$692,O$1)</f>
        <v>0</v>
      </c>
      <c r="P126" s="207">
        <f>SUMIFS('апрель 2023'!$G$4:$G$692,'апрель 2023'!$D$4:$D$692,$B126,'апрель 2023'!$J$4:$J$692,P$1)</f>
        <v>0</v>
      </c>
      <c r="Q126" s="207">
        <f>SUMIFS('апрель 2023'!$G$4:$G$692,'апрель 2023'!$D$4:$D$692,$B126,'апрель 2023'!$J$4:$J$692,Q$1)</f>
        <v>0</v>
      </c>
      <c r="R126" s="207">
        <f>SUMIFS('апрель 2023'!$G$4:$G$692,'апрель 2023'!$D$4:$D$692,$B126,'апрель 2023'!$J$4:$J$692,R$1)</f>
        <v>0</v>
      </c>
      <c r="S126" s="207">
        <f>SUMIFS('апрель 2023'!$G$4:$G$692,'апрель 2023'!$D$4:$D$692,$B126,'апрель 2023'!$J$4:$J$692,S$1)</f>
        <v>0</v>
      </c>
      <c r="T126" s="207">
        <f>SUMIFS('апрель 2023'!$G$4:$G$692,'апрель 2023'!$D$4:$D$692,$B126,'апрель 2023'!$J$4:$J$692,T$1)</f>
        <v>0</v>
      </c>
      <c r="U126" s="207">
        <f>SUMIFS('апрель 2023'!$G$4:$G$692,'апрель 2023'!$D$4:$D$692,$B126,'апрель 2023'!$J$4:$J$692,U$1)</f>
        <v>0</v>
      </c>
      <c r="V126" s="207">
        <f>SUMIFS('апрель 2023'!$G$4:$G$692,'апрель 2023'!$D$4:$D$692,$B126,'апрель 2023'!$J$4:$J$692,V$1)</f>
        <v>0</v>
      </c>
      <c r="W126" s="207">
        <f>SUMIFS('апрель 2023'!$G$4:$G$692,'апрель 2023'!$D$4:$D$692,$B126,'апрель 2023'!$J$4:$J$692,W$1)</f>
        <v>0</v>
      </c>
      <c r="X126" s="207">
        <f>SUMIFS('апрель 2023'!$G$4:$G$692,'апрель 2023'!$D$4:$D$692,$B126,'апрель 2023'!$J$4:$J$692,X$1)</f>
        <v>0</v>
      </c>
      <c r="Y126" s="207">
        <f>SUMIFS('апрель 2023'!$G$4:$G$692,'апрель 2023'!$D$4:$D$692,$B126,'апрель 2023'!$J$4:$J$692,Y$1)</f>
        <v>0</v>
      </c>
      <c r="Z126" s="207">
        <f>SUMIFS('апрель 2023'!$G$4:$G$692,'апрель 2023'!$D$4:$D$692,$B126,'апрель 2023'!$J$4:$J$692,Z$1)</f>
        <v>0</v>
      </c>
      <c r="AA126" s="207">
        <f>SUMIFS('апрель 2023'!$G$4:$G$692,'апрель 2023'!$D$4:$D$692,$B126,'апрель 2023'!$J$4:$J$692,AA$1)</f>
        <v>0</v>
      </c>
      <c r="AB126" s="207">
        <f>SUMIFS('апрель 2023'!$G$4:$G$692,'апрель 2023'!$D$4:$D$692,$B126,'апрель 2023'!$J$4:$J$692,AB$1)</f>
        <v>0</v>
      </c>
      <c r="AC126" s="207">
        <f>SUMIFS('апрель 2023'!$G$4:$G$692,'апрель 2023'!$D$4:$D$692,$B126,'апрель 2023'!$J$4:$J$692,AC$1)</f>
        <v>0</v>
      </c>
      <c r="AD126" s="207">
        <f>SUMIFS('апрель 2023'!$G$4:$G$692,'апрель 2023'!$D$4:$D$692,$B126,'апрель 2023'!$J$4:$J$692,AD$1)</f>
        <v>0</v>
      </c>
      <c r="AE126" s="207">
        <f>SUMIFS('апрель 2023'!$G$4:$G$692,'апрель 2023'!$D$4:$D$692,$B126,'апрель 2023'!$J$4:$J$692,AE$1)</f>
        <v>0</v>
      </c>
      <c r="AF126" s="207">
        <f>SUMIFS('апрель 2023'!$G$4:$G$692,'апрель 2023'!$D$4:$D$692,$B126,'апрель 2023'!$J$4:$J$692,AF$1)</f>
        <v>0</v>
      </c>
      <c r="AG126" s="207">
        <f>SUMIFS('апрель 2023'!$G$4:$G$692,'апрель 2023'!$D$4:$D$692,$B126,'апрель 2023'!$J$4:$J$692,AG$1)</f>
        <v>0</v>
      </c>
      <c r="AH126" s="207">
        <f>SUMIFS('апрель 2023'!$G$4:$G$692,'апрель 2023'!$D$4:$D$692,$B126,'апрель 2023'!$J$4:$J$692,AH$1)</f>
        <v>0</v>
      </c>
      <c r="AI126" s="220"/>
    </row>
    <row r="127" spans="2:35" ht="15" hidden="1" customHeight="1" x14ac:dyDescent="0.25">
      <c r="B127" s="217"/>
      <c r="C127" s="213"/>
      <c r="D127" s="207">
        <f>SUMIFS('апрель 2023'!$G$4:$G$692,'апрель 2023'!$D$4:$D$692,$B127,'апрель 2023'!$J$4:$J$692,D$1)</f>
        <v>0</v>
      </c>
      <c r="E127" s="207">
        <f>SUMIFS('апрель 2023'!$G$4:$G$692,'апрель 2023'!$D$4:$D$692,$B127,'апрель 2023'!$J$4:$J$692,E$1)</f>
        <v>0</v>
      </c>
      <c r="F127" s="207">
        <f>SUMIFS('апрель 2023'!$G$4:$G$692,'апрель 2023'!$D$4:$D$692,$B127,'апрель 2023'!$J$4:$J$692,F$1)</f>
        <v>0</v>
      </c>
      <c r="G127" s="207">
        <f>SUMIFS('апрель 2023'!$G$4:$G$692,'апрель 2023'!$D$4:$D$692,$B127,'апрель 2023'!$J$4:$J$692,G$1)</f>
        <v>0</v>
      </c>
      <c r="H127" s="207">
        <f>SUMIFS('апрель 2023'!$G$4:$G$692,'апрель 2023'!$D$4:$D$692,$B127,'апрель 2023'!$J$4:$J$692,H$1)</f>
        <v>0</v>
      </c>
      <c r="I127" s="207">
        <f>SUMIFS('апрель 2023'!$G$4:$G$692,'апрель 2023'!$D$4:$D$692,$B127,'апрель 2023'!$J$4:$J$692,I$1)</f>
        <v>0</v>
      </c>
      <c r="J127" s="207">
        <f>SUMIFS('апрель 2023'!$G$4:$G$692,'апрель 2023'!$D$4:$D$692,$B127,'апрель 2023'!$J$4:$J$692,J$1)</f>
        <v>0</v>
      </c>
      <c r="K127" s="207">
        <f>SUMIFS('апрель 2023'!$G$4:$G$692,'апрель 2023'!$D$4:$D$692,$B127,'апрель 2023'!$J$4:$J$692,K$1)</f>
        <v>0</v>
      </c>
      <c r="L127" s="207">
        <f>SUMIFS('апрель 2023'!$G$4:$G$692,'апрель 2023'!$D$4:$D$692,$B127,'апрель 2023'!$J$4:$J$692,L$1)</f>
        <v>0</v>
      </c>
      <c r="M127" s="207">
        <f>SUMIFS('апрель 2023'!$G$4:$G$692,'апрель 2023'!$D$4:$D$692,$B127,'апрель 2023'!$J$4:$J$692,M$1)</f>
        <v>0</v>
      </c>
      <c r="N127" s="207">
        <f>SUMIFS('апрель 2023'!$G$4:$G$692,'апрель 2023'!$D$4:$D$692,$B127,'апрель 2023'!$J$4:$J$692,N$1)</f>
        <v>0</v>
      </c>
      <c r="O127" s="207">
        <f>SUMIFS('апрель 2023'!$G$4:$G$692,'апрель 2023'!$D$4:$D$692,$B127,'апрель 2023'!$J$4:$J$692,O$1)</f>
        <v>0</v>
      </c>
      <c r="P127" s="207">
        <f>SUMIFS('апрель 2023'!$G$4:$G$692,'апрель 2023'!$D$4:$D$692,$B127,'апрель 2023'!$J$4:$J$692,P$1)</f>
        <v>0</v>
      </c>
      <c r="Q127" s="207">
        <f>SUMIFS('апрель 2023'!$G$4:$G$692,'апрель 2023'!$D$4:$D$692,$B127,'апрель 2023'!$J$4:$J$692,Q$1)</f>
        <v>0</v>
      </c>
      <c r="R127" s="207">
        <f>SUMIFS('апрель 2023'!$G$4:$G$692,'апрель 2023'!$D$4:$D$692,$B127,'апрель 2023'!$J$4:$J$692,R$1)</f>
        <v>0</v>
      </c>
      <c r="S127" s="207">
        <f>SUMIFS('апрель 2023'!$G$4:$G$692,'апрель 2023'!$D$4:$D$692,$B127,'апрель 2023'!$J$4:$J$692,S$1)</f>
        <v>0</v>
      </c>
      <c r="T127" s="207">
        <f>SUMIFS('апрель 2023'!$G$4:$G$692,'апрель 2023'!$D$4:$D$692,$B127,'апрель 2023'!$J$4:$J$692,T$1)</f>
        <v>0</v>
      </c>
      <c r="U127" s="207">
        <f>SUMIFS('апрель 2023'!$G$4:$G$692,'апрель 2023'!$D$4:$D$692,$B127,'апрель 2023'!$J$4:$J$692,U$1)</f>
        <v>0</v>
      </c>
      <c r="V127" s="207">
        <f>SUMIFS('апрель 2023'!$G$4:$G$692,'апрель 2023'!$D$4:$D$692,$B127,'апрель 2023'!$J$4:$J$692,V$1)</f>
        <v>0</v>
      </c>
      <c r="W127" s="207">
        <f>SUMIFS('апрель 2023'!$G$4:$G$692,'апрель 2023'!$D$4:$D$692,$B127,'апрель 2023'!$J$4:$J$692,W$1)</f>
        <v>0</v>
      </c>
      <c r="X127" s="207">
        <f>SUMIFS('апрель 2023'!$G$4:$G$692,'апрель 2023'!$D$4:$D$692,$B127,'апрель 2023'!$J$4:$J$692,X$1)</f>
        <v>0</v>
      </c>
      <c r="Y127" s="207">
        <f>SUMIFS('апрель 2023'!$G$4:$G$692,'апрель 2023'!$D$4:$D$692,$B127,'апрель 2023'!$J$4:$J$692,Y$1)</f>
        <v>0</v>
      </c>
      <c r="Z127" s="207">
        <f>SUMIFS('апрель 2023'!$G$4:$G$692,'апрель 2023'!$D$4:$D$692,$B127,'апрель 2023'!$J$4:$J$692,Z$1)</f>
        <v>0</v>
      </c>
      <c r="AA127" s="207">
        <f>SUMIFS('апрель 2023'!$G$4:$G$692,'апрель 2023'!$D$4:$D$692,$B127,'апрель 2023'!$J$4:$J$692,AA$1)</f>
        <v>0</v>
      </c>
      <c r="AB127" s="207">
        <f>SUMIFS('апрель 2023'!$G$4:$G$692,'апрель 2023'!$D$4:$D$692,$B127,'апрель 2023'!$J$4:$J$692,AB$1)</f>
        <v>0</v>
      </c>
      <c r="AC127" s="207">
        <f>SUMIFS('апрель 2023'!$G$4:$G$692,'апрель 2023'!$D$4:$D$692,$B127,'апрель 2023'!$J$4:$J$692,AC$1)</f>
        <v>0</v>
      </c>
      <c r="AD127" s="207">
        <f>SUMIFS('апрель 2023'!$G$4:$G$692,'апрель 2023'!$D$4:$D$692,$B127,'апрель 2023'!$J$4:$J$692,AD$1)</f>
        <v>0</v>
      </c>
      <c r="AE127" s="207">
        <f>SUMIFS('апрель 2023'!$G$4:$G$692,'апрель 2023'!$D$4:$D$692,$B127,'апрель 2023'!$J$4:$J$692,AE$1)</f>
        <v>0</v>
      </c>
      <c r="AF127" s="207">
        <f>SUMIFS('апрель 2023'!$G$4:$G$692,'апрель 2023'!$D$4:$D$692,$B127,'апрель 2023'!$J$4:$J$692,AF$1)</f>
        <v>0</v>
      </c>
      <c r="AG127" s="207">
        <f>SUMIFS('апрель 2023'!$G$4:$G$692,'апрель 2023'!$D$4:$D$692,$B127,'апрель 2023'!$J$4:$J$692,AG$1)</f>
        <v>0</v>
      </c>
      <c r="AH127" s="207">
        <f>SUMIFS('апрель 2023'!$G$4:$G$692,'апрель 2023'!$D$4:$D$692,$B127,'апрель 2023'!$J$4:$J$692,AH$1)</f>
        <v>0</v>
      </c>
      <c r="AI127" s="220"/>
    </row>
    <row r="128" spans="2:35" ht="15" hidden="1" customHeight="1" x14ac:dyDescent="0.25">
      <c r="B128" s="212"/>
      <c r="C128" s="213"/>
      <c r="D128" s="207">
        <f>SUMIFS('апрель 2023'!$G$4:$G$692,'апрель 2023'!$D$4:$D$692,$B128,'апрель 2023'!$J$4:$J$692,D$1)</f>
        <v>0</v>
      </c>
      <c r="E128" s="207">
        <f>SUMIFS('апрель 2023'!$G$4:$G$692,'апрель 2023'!$D$4:$D$692,$B128,'апрель 2023'!$J$4:$J$692,E$1)</f>
        <v>0</v>
      </c>
      <c r="F128" s="207">
        <f>SUMIFS('апрель 2023'!$G$4:$G$692,'апрель 2023'!$D$4:$D$692,$B128,'апрель 2023'!$J$4:$J$692,F$1)</f>
        <v>0</v>
      </c>
      <c r="G128" s="207">
        <f>SUMIFS('апрель 2023'!$G$4:$G$692,'апрель 2023'!$D$4:$D$692,$B128,'апрель 2023'!$J$4:$J$692,G$1)</f>
        <v>0</v>
      </c>
      <c r="H128" s="207">
        <f>SUMIFS('апрель 2023'!$G$4:$G$692,'апрель 2023'!$D$4:$D$692,$B128,'апрель 2023'!$J$4:$J$692,H$1)</f>
        <v>0</v>
      </c>
      <c r="I128" s="207">
        <f>SUMIFS('апрель 2023'!$G$4:$G$692,'апрель 2023'!$D$4:$D$692,$B128,'апрель 2023'!$J$4:$J$692,I$1)</f>
        <v>0</v>
      </c>
      <c r="J128" s="207">
        <f>SUMIFS('апрель 2023'!$G$4:$G$692,'апрель 2023'!$D$4:$D$692,$B128,'апрель 2023'!$J$4:$J$692,J$1)</f>
        <v>0</v>
      </c>
      <c r="K128" s="207">
        <f>SUMIFS('апрель 2023'!$G$4:$G$692,'апрель 2023'!$D$4:$D$692,$B128,'апрель 2023'!$J$4:$J$692,K$1)</f>
        <v>0</v>
      </c>
      <c r="L128" s="207">
        <f>SUMIFS('апрель 2023'!$G$4:$G$692,'апрель 2023'!$D$4:$D$692,$B128,'апрель 2023'!$J$4:$J$692,L$1)</f>
        <v>0</v>
      </c>
      <c r="M128" s="207">
        <f>SUMIFS('апрель 2023'!$G$4:$G$692,'апрель 2023'!$D$4:$D$692,$B128,'апрель 2023'!$J$4:$J$692,M$1)</f>
        <v>0</v>
      </c>
      <c r="N128" s="207">
        <f>SUMIFS('апрель 2023'!$G$4:$G$692,'апрель 2023'!$D$4:$D$692,$B128,'апрель 2023'!$J$4:$J$692,N$1)</f>
        <v>0</v>
      </c>
      <c r="O128" s="207">
        <f>SUMIFS('апрель 2023'!$G$4:$G$692,'апрель 2023'!$D$4:$D$692,$B128,'апрель 2023'!$J$4:$J$692,O$1)</f>
        <v>0</v>
      </c>
      <c r="P128" s="207">
        <f>SUMIFS('апрель 2023'!$G$4:$G$692,'апрель 2023'!$D$4:$D$692,$B128,'апрель 2023'!$J$4:$J$692,P$1)</f>
        <v>0</v>
      </c>
      <c r="Q128" s="207">
        <f>SUMIFS('апрель 2023'!$G$4:$G$692,'апрель 2023'!$D$4:$D$692,$B128,'апрель 2023'!$J$4:$J$692,Q$1)</f>
        <v>0</v>
      </c>
      <c r="R128" s="207">
        <f>SUMIFS('апрель 2023'!$G$4:$G$692,'апрель 2023'!$D$4:$D$692,$B128,'апрель 2023'!$J$4:$J$692,R$1)</f>
        <v>0</v>
      </c>
      <c r="S128" s="207">
        <f>SUMIFS('апрель 2023'!$G$4:$G$692,'апрель 2023'!$D$4:$D$692,$B128,'апрель 2023'!$J$4:$J$692,S$1)</f>
        <v>0</v>
      </c>
      <c r="T128" s="207">
        <f>SUMIFS('апрель 2023'!$G$4:$G$692,'апрель 2023'!$D$4:$D$692,$B128,'апрель 2023'!$J$4:$J$692,T$1)</f>
        <v>0</v>
      </c>
      <c r="U128" s="207">
        <f>SUMIFS('апрель 2023'!$G$4:$G$692,'апрель 2023'!$D$4:$D$692,$B128,'апрель 2023'!$J$4:$J$692,U$1)</f>
        <v>0</v>
      </c>
      <c r="V128" s="207">
        <f>SUMIFS('апрель 2023'!$G$4:$G$692,'апрель 2023'!$D$4:$D$692,$B128,'апрель 2023'!$J$4:$J$692,V$1)</f>
        <v>0</v>
      </c>
      <c r="W128" s="207">
        <f>SUMIFS('апрель 2023'!$G$4:$G$692,'апрель 2023'!$D$4:$D$692,$B128,'апрель 2023'!$J$4:$J$692,W$1)</f>
        <v>0</v>
      </c>
      <c r="X128" s="207">
        <f>SUMIFS('апрель 2023'!$G$4:$G$692,'апрель 2023'!$D$4:$D$692,$B128,'апрель 2023'!$J$4:$J$692,X$1)</f>
        <v>0</v>
      </c>
      <c r="Y128" s="207">
        <f>SUMIFS('апрель 2023'!$G$4:$G$692,'апрель 2023'!$D$4:$D$692,$B128,'апрель 2023'!$J$4:$J$692,Y$1)</f>
        <v>0</v>
      </c>
      <c r="Z128" s="207">
        <f>SUMIFS('апрель 2023'!$G$4:$G$692,'апрель 2023'!$D$4:$D$692,$B128,'апрель 2023'!$J$4:$J$692,Z$1)</f>
        <v>0</v>
      </c>
      <c r="AA128" s="207">
        <f>SUMIFS('апрель 2023'!$G$4:$G$692,'апрель 2023'!$D$4:$D$692,$B128,'апрель 2023'!$J$4:$J$692,AA$1)</f>
        <v>0</v>
      </c>
      <c r="AB128" s="207">
        <f>SUMIFS('апрель 2023'!$G$4:$G$692,'апрель 2023'!$D$4:$D$692,$B128,'апрель 2023'!$J$4:$J$692,AB$1)</f>
        <v>0</v>
      </c>
      <c r="AC128" s="207">
        <f>SUMIFS('апрель 2023'!$G$4:$G$692,'апрель 2023'!$D$4:$D$692,$B128,'апрель 2023'!$J$4:$J$692,AC$1)</f>
        <v>0</v>
      </c>
      <c r="AD128" s="207">
        <f>SUMIFS('апрель 2023'!$G$4:$G$692,'апрель 2023'!$D$4:$D$692,$B128,'апрель 2023'!$J$4:$J$692,AD$1)</f>
        <v>0</v>
      </c>
      <c r="AE128" s="207">
        <f>SUMIFS('апрель 2023'!$G$4:$G$692,'апрель 2023'!$D$4:$D$692,$B128,'апрель 2023'!$J$4:$J$692,AE$1)</f>
        <v>0</v>
      </c>
      <c r="AF128" s="207">
        <f>SUMIFS('апрель 2023'!$G$4:$G$692,'апрель 2023'!$D$4:$D$692,$B128,'апрель 2023'!$J$4:$J$692,AF$1)</f>
        <v>0</v>
      </c>
      <c r="AG128" s="207">
        <f>SUMIFS('апрель 2023'!$G$4:$G$692,'апрель 2023'!$D$4:$D$692,$B128,'апрель 2023'!$J$4:$J$692,AG$1)</f>
        <v>0</v>
      </c>
      <c r="AH128" s="207">
        <f>SUMIFS('апрель 2023'!$G$4:$G$692,'апрель 2023'!$D$4:$D$692,$B128,'апрель 2023'!$J$4:$J$692,AH$1)</f>
        <v>0</v>
      </c>
      <c r="AI128" s="220"/>
    </row>
    <row r="129" spans="2:35" ht="15" hidden="1" customHeight="1" x14ac:dyDescent="0.25">
      <c r="B129" s="212"/>
      <c r="C129" s="211"/>
      <c r="D129" s="207">
        <f>SUMIFS('апрель 2023'!$G$4:$G$692,'апрель 2023'!$D$4:$D$692,$B129,'апрель 2023'!$J$4:$J$692,D$1)</f>
        <v>0</v>
      </c>
      <c r="E129" s="207">
        <f>SUMIFS('апрель 2023'!$G$4:$G$692,'апрель 2023'!$D$4:$D$692,$B129,'апрель 2023'!$J$4:$J$692,E$1)</f>
        <v>0</v>
      </c>
      <c r="F129" s="207">
        <f>SUMIFS('апрель 2023'!$G$4:$G$692,'апрель 2023'!$D$4:$D$692,$B129,'апрель 2023'!$J$4:$J$692,F$1)</f>
        <v>0</v>
      </c>
      <c r="G129" s="207">
        <f>SUMIFS('апрель 2023'!$G$4:$G$692,'апрель 2023'!$D$4:$D$692,$B129,'апрель 2023'!$J$4:$J$692,G$1)</f>
        <v>0</v>
      </c>
      <c r="H129" s="207">
        <f>SUMIFS('апрель 2023'!$G$4:$G$692,'апрель 2023'!$D$4:$D$692,$B129,'апрель 2023'!$J$4:$J$692,H$1)</f>
        <v>0</v>
      </c>
      <c r="I129" s="207">
        <f>SUMIFS('апрель 2023'!$G$4:$G$692,'апрель 2023'!$D$4:$D$692,$B129,'апрель 2023'!$J$4:$J$692,I$1)</f>
        <v>0</v>
      </c>
      <c r="J129" s="207">
        <f>SUMIFS('апрель 2023'!$G$4:$G$692,'апрель 2023'!$D$4:$D$692,$B129,'апрель 2023'!$J$4:$J$692,J$1)</f>
        <v>0</v>
      </c>
      <c r="K129" s="207">
        <f>SUMIFS('апрель 2023'!$G$4:$G$692,'апрель 2023'!$D$4:$D$692,$B129,'апрель 2023'!$J$4:$J$692,K$1)</f>
        <v>0</v>
      </c>
      <c r="L129" s="207">
        <f>SUMIFS('апрель 2023'!$G$4:$G$692,'апрель 2023'!$D$4:$D$692,$B129,'апрель 2023'!$J$4:$J$692,L$1)</f>
        <v>0</v>
      </c>
      <c r="M129" s="207">
        <f>SUMIFS('апрель 2023'!$G$4:$G$692,'апрель 2023'!$D$4:$D$692,$B129,'апрель 2023'!$J$4:$J$692,M$1)</f>
        <v>0</v>
      </c>
      <c r="N129" s="207">
        <f>SUMIFS('апрель 2023'!$G$4:$G$692,'апрель 2023'!$D$4:$D$692,$B129,'апрель 2023'!$J$4:$J$692,N$1)</f>
        <v>0</v>
      </c>
      <c r="O129" s="207">
        <f>SUMIFS('апрель 2023'!$G$4:$G$692,'апрель 2023'!$D$4:$D$692,$B129,'апрель 2023'!$J$4:$J$692,O$1)</f>
        <v>0</v>
      </c>
      <c r="P129" s="207">
        <f>SUMIFS('апрель 2023'!$G$4:$G$692,'апрель 2023'!$D$4:$D$692,$B129,'апрель 2023'!$J$4:$J$692,P$1)</f>
        <v>0</v>
      </c>
      <c r="Q129" s="207">
        <f>SUMIFS('апрель 2023'!$G$4:$G$692,'апрель 2023'!$D$4:$D$692,$B129,'апрель 2023'!$J$4:$J$692,Q$1)</f>
        <v>0</v>
      </c>
      <c r="R129" s="207">
        <f>SUMIFS('апрель 2023'!$G$4:$G$692,'апрель 2023'!$D$4:$D$692,$B129,'апрель 2023'!$J$4:$J$692,R$1)</f>
        <v>0</v>
      </c>
      <c r="S129" s="207">
        <f>SUMIFS('апрель 2023'!$G$4:$G$692,'апрель 2023'!$D$4:$D$692,$B129,'апрель 2023'!$J$4:$J$692,S$1)</f>
        <v>0</v>
      </c>
      <c r="T129" s="207">
        <f>SUMIFS('апрель 2023'!$G$4:$G$692,'апрель 2023'!$D$4:$D$692,$B129,'апрель 2023'!$J$4:$J$692,T$1)</f>
        <v>0</v>
      </c>
      <c r="U129" s="207">
        <f>SUMIFS('апрель 2023'!$G$4:$G$692,'апрель 2023'!$D$4:$D$692,$B129,'апрель 2023'!$J$4:$J$692,U$1)</f>
        <v>0</v>
      </c>
      <c r="V129" s="207">
        <f>SUMIFS('апрель 2023'!$G$4:$G$692,'апрель 2023'!$D$4:$D$692,$B129,'апрель 2023'!$J$4:$J$692,V$1)</f>
        <v>0</v>
      </c>
      <c r="W129" s="207">
        <f>SUMIFS('апрель 2023'!$G$4:$G$692,'апрель 2023'!$D$4:$D$692,$B129,'апрель 2023'!$J$4:$J$692,W$1)</f>
        <v>0</v>
      </c>
      <c r="X129" s="207">
        <f>SUMIFS('апрель 2023'!$G$4:$G$692,'апрель 2023'!$D$4:$D$692,$B129,'апрель 2023'!$J$4:$J$692,X$1)</f>
        <v>0</v>
      </c>
      <c r="Y129" s="207">
        <f>SUMIFS('апрель 2023'!$G$4:$G$692,'апрель 2023'!$D$4:$D$692,$B129,'апрель 2023'!$J$4:$J$692,Y$1)</f>
        <v>0</v>
      </c>
      <c r="Z129" s="207">
        <f>SUMIFS('апрель 2023'!$G$4:$G$692,'апрель 2023'!$D$4:$D$692,$B129,'апрель 2023'!$J$4:$J$692,Z$1)</f>
        <v>0</v>
      </c>
      <c r="AA129" s="207">
        <f>SUMIFS('апрель 2023'!$G$4:$G$692,'апрель 2023'!$D$4:$D$692,$B129,'апрель 2023'!$J$4:$J$692,AA$1)</f>
        <v>0</v>
      </c>
      <c r="AB129" s="207">
        <f>SUMIFS('апрель 2023'!$G$4:$G$692,'апрель 2023'!$D$4:$D$692,$B129,'апрель 2023'!$J$4:$J$692,AB$1)</f>
        <v>0</v>
      </c>
      <c r="AC129" s="207">
        <f>SUMIFS('апрель 2023'!$G$4:$G$692,'апрель 2023'!$D$4:$D$692,$B129,'апрель 2023'!$J$4:$J$692,AC$1)</f>
        <v>0</v>
      </c>
      <c r="AD129" s="207">
        <f>SUMIFS('апрель 2023'!$G$4:$G$692,'апрель 2023'!$D$4:$D$692,$B129,'апрель 2023'!$J$4:$J$692,AD$1)</f>
        <v>0</v>
      </c>
      <c r="AE129" s="207">
        <f>SUMIFS('апрель 2023'!$G$4:$G$692,'апрель 2023'!$D$4:$D$692,$B129,'апрель 2023'!$J$4:$J$692,AE$1)</f>
        <v>0</v>
      </c>
      <c r="AF129" s="207">
        <f>SUMIFS('апрель 2023'!$G$4:$G$692,'апрель 2023'!$D$4:$D$692,$B129,'апрель 2023'!$J$4:$J$692,AF$1)</f>
        <v>0</v>
      </c>
      <c r="AG129" s="207">
        <f>SUMIFS('апрель 2023'!$G$4:$G$692,'апрель 2023'!$D$4:$D$692,$B129,'апрель 2023'!$J$4:$J$692,AG$1)</f>
        <v>0</v>
      </c>
      <c r="AH129" s="207">
        <f>SUMIFS('апрель 2023'!$G$4:$G$692,'апрель 2023'!$D$4:$D$692,$B129,'апрель 2023'!$J$4:$J$692,AH$1)</f>
        <v>0</v>
      </c>
      <c r="AI129" s="220"/>
    </row>
    <row r="130" spans="2:35" ht="15" hidden="1" customHeight="1" x14ac:dyDescent="0.25">
      <c r="B130" s="212"/>
      <c r="C130" s="211"/>
      <c r="D130" s="207">
        <f>SUMIFS('апрель 2023'!$G$4:$G$692,'апрель 2023'!$D$4:$D$692,$B130,'апрель 2023'!$J$4:$J$692,D$1)</f>
        <v>0</v>
      </c>
      <c r="E130" s="207">
        <f>SUMIFS('апрель 2023'!$G$4:$G$692,'апрель 2023'!$D$4:$D$692,$B130,'апрель 2023'!$J$4:$J$692,E$1)</f>
        <v>0</v>
      </c>
      <c r="F130" s="207">
        <f>SUMIFS('апрель 2023'!$G$4:$G$692,'апрель 2023'!$D$4:$D$692,$B130,'апрель 2023'!$J$4:$J$692,F$1)</f>
        <v>0</v>
      </c>
      <c r="G130" s="207">
        <f>SUMIFS('апрель 2023'!$G$4:$G$692,'апрель 2023'!$D$4:$D$692,$B130,'апрель 2023'!$J$4:$J$692,G$1)</f>
        <v>0</v>
      </c>
      <c r="H130" s="207">
        <f>SUMIFS('апрель 2023'!$G$4:$G$692,'апрель 2023'!$D$4:$D$692,$B130,'апрель 2023'!$J$4:$J$692,H$1)</f>
        <v>0</v>
      </c>
      <c r="I130" s="207">
        <f>SUMIFS('апрель 2023'!$G$4:$G$692,'апрель 2023'!$D$4:$D$692,$B130,'апрель 2023'!$J$4:$J$692,I$1)</f>
        <v>0</v>
      </c>
      <c r="J130" s="207">
        <f>SUMIFS('апрель 2023'!$G$4:$G$692,'апрель 2023'!$D$4:$D$692,$B130,'апрель 2023'!$J$4:$J$692,J$1)</f>
        <v>0</v>
      </c>
      <c r="K130" s="207">
        <f>SUMIFS('апрель 2023'!$G$4:$G$692,'апрель 2023'!$D$4:$D$692,$B130,'апрель 2023'!$J$4:$J$692,K$1)</f>
        <v>0</v>
      </c>
      <c r="L130" s="207">
        <f>SUMIFS('апрель 2023'!$G$4:$G$692,'апрель 2023'!$D$4:$D$692,$B130,'апрель 2023'!$J$4:$J$692,L$1)</f>
        <v>0</v>
      </c>
      <c r="M130" s="207">
        <f>SUMIFS('апрель 2023'!$G$4:$G$692,'апрель 2023'!$D$4:$D$692,$B130,'апрель 2023'!$J$4:$J$692,M$1)</f>
        <v>0</v>
      </c>
      <c r="N130" s="207">
        <f>SUMIFS('апрель 2023'!$G$4:$G$692,'апрель 2023'!$D$4:$D$692,$B130,'апрель 2023'!$J$4:$J$692,N$1)</f>
        <v>0</v>
      </c>
      <c r="O130" s="207">
        <f>SUMIFS('апрель 2023'!$G$4:$G$692,'апрель 2023'!$D$4:$D$692,$B130,'апрель 2023'!$J$4:$J$692,O$1)</f>
        <v>0</v>
      </c>
      <c r="P130" s="207">
        <f>SUMIFS('апрель 2023'!$G$4:$G$692,'апрель 2023'!$D$4:$D$692,$B130,'апрель 2023'!$J$4:$J$692,P$1)</f>
        <v>0</v>
      </c>
      <c r="Q130" s="207">
        <f>SUMIFS('апрель 2023'!$G$4:$G$692,'апрель 2023'!$D$4:$D$692,$B130,'апрель 2023'!$J$4:$J$692,Q$1)</f>
        <v>0</v>
      </c>
      <c r="R130" s="207">
        <f>SUMIFS('апрель 2023'!$G$4:$G$692,'апрель 2023'!$D$4:$D$692,$B130,'апрель 2023'!$J$4:$J$692,R$1)</f>
        <v>0</v>
      </c>
      <c r="S130" s="207">
        <f>SUMIFS('апрель 2023'!$G$4:$G$692,'апрель 2023'!$D$4:$D$692,$B130,'апрель 2023'!$J$4:$J$692,S$1)</f>
        <v>0</v>
      </c>
      <c r="T130" s="207">
        <f>SUMIFS('апрель 2023'!$G$4:$G$692,'апрель 2023'!$D$4:$D$692,$B130,'апрель 2023'!$J$4:$J$692,T$1)</f>
        <v>0</v>
      </c>
      <c r="U130" s="207">
        <f>SUMIFS('апрель 2023'!$G$4:$G$692,'апрель 2023'!$D$4:$D$692,$B130,'апрель 2023'!$J$4:$J$692,U$1)</f>
        <v>0</v>
      </c>
      <c r="V130" s="207">
        <f>SUMIFS('апрель 2023'!$G$4:$G$692,'апрель 2023'!$D$4:$D$692,$B130,'апрель 2023'!$J$4:$J$692,V$1)</f>
        <v>0</v>
      </c>
      <c r="W130" s="207">
        <f>SUMIFS('апрель 2023'!$G$4:$G$692,'апрель 2023'!$D$4:$D$692,$B130,'апрель 2023'!$J$4:$J$692,W$1)</f>
        <v>0</v>
      </c>
      <c r="X130" s="207">
        <f>SUMIFS('апрель 2023'!$G$4:$G$692,'апрель 2023'!$D$4:$D$692,$B130,'апрель 2023'!$J$4:$J$692,X$1)</f>
        <v>0</v>
      </c>
      <c r="Y130" s="207">
        <f>SUMIFS('апрель 2023'!$G$4:$G$692,'апрель 2023'!$D$4:$D$692,$B130,'апрель 2023'!$J$4:$J$692,Y$1)</f>
        <v>0</v>
      </c>
      <c r="Z130" s="207">
        <f>SUMIFS('апрель 2023'!$G$4:$G$692,'апрель 2023'!$D$4:$D$692,$B130,'апрель 2023'!$J$4:$J$692,Z$1)</f>
        <v>0</v>
      </c>
      <c r="AA130" s="207">
        <f>SUMIFS('апрель 2023'!$G$4:$G$692,'апрель 2023'!$D$4:$D$692,$B130,'апрель 2023'!$J$4:$J$692,AA$1)</f>
        <v>0</v>
      </c>
      <c r="AB130" s="207">
        <f>SUMIFS('апрель 2023'!$G$4:$G$692,'апрель 2023'!$D$4:$D$692,$B130,'апрель 2023'!$J$4:$J$692,AB$1)</f>
        <v>0</v>
      </c>
      <c r="AC130" s="207">
        <f>SUMIFS('апрель 2023'!$G$4:$G$692,'апрель 2023'!$D$4:$D$692,$B130,'апрель 2023'!$J$4:$J$692,AC$1)</f>
        <v>0</v>
      </c>
      <c r="AD130" s="207">
        <f>SUMIFS('апрель 2023'!$G$4:$G$692,'апрель 2023'!$D$4:$D$692,$B130,'апрель 2023'!$J$4:$J$692,AD$1)</f>
        <v>0</v>
      </c>
      <c r="AE130" s="207">
        <f>SUMIFS('апрель 2023'!$G$4:$G$692,'апрель 2023'!$D$4:$D$692,$B130,'апрель 2023'!$J$4:$J$692,AE$1)</f>
        <v>0</v>
      </c>
      <c r="AF130" s="207">
        <f>SUMIFS('апрель 2023'!$G$4:$G$692,'апрель 2023'!$D$4:$D$692,$B130,'апрель 2023'!$J$4:$J$692,AF$1)</f>
        <v>0</v>
      </c>
      <c r="AG130" s="207">
        <f>SUMIFS('апрель 2023'!$G$4:$G$692,'апрель 2023'!$D$4:$D$692,$B130,'апрель 2023'!$J$4:$J$692,AG$1)</f>
        <v>0</v>
      </c>
      <c r="AH130" s="207">
        <f>SUMIFS('апрель 2023'!$G$4:$G$692,'апрель 2023'!$D$4:$D$692,$B130,'апрель 2023'!$J$4:$J$692,AH$1)</f>
        <v>0</v>
      </c>
      <c r="AI130" s="220"/>
    </row>
    <row r="131" spans="2:35" ht="15" hidden="1" customHeight="1" x14ac:dyDescent="0.25">
      <c r="B131" s="212"/>
      <c r="C131" s="211"/>
      <c r="D131" s="207">
        <f>SUMIFS('апрель 2023'!$G$4:$G$692,'апрель 2023'!$D$4:$D$692,$B131,'апрель 2023'!$J$4:$J$692,D$1)</f>
        <v>0</v>
      </c>
      <c r="E131" s="207">
        <f>SUMIFS('апрель 2023'!$G$4:$G$692,'апрель 2023'!$D$4:$D$692,$B131,'апрель 2023'!$J$4:$J$692,E$1)</f>
        <v>0</v>
      </c>
      <c r="F131" s="207">
        <f>SUMIFS('апрель 2023'!$G$4:$G$692,'апрель 2023'!$D$4:$D$692,$B131,'апрель 2023'!$J$4:$J$692,F$1)</f>
        <v>0</v>
      </c>
      <c r="G131" s="207">
        <f>SUMIFS('апрель 2023'!$G$4:$G$692,'апрель 2023'!$D$4:$D$692,$B131,'апрель 2023'!$J$4:$J$692,G$1)</f>
        <v>0</v>
      </c>
      <c r="H131" s="207">
        <f>SUMIFS('апрель 2023'!$G$4:$G$692,'апрель 2023'!$D$4:$D$692,$B131,'апрель 2023'!$J$4:$J$692,H$1)</f>
        <v>0</v>
      </c>
      <c r="I131" s="207">
        <f>SUMIFS('апрель 2023'!$G$4:$G$692,'апрель 2023'!$D$4:$D$692,$B131,'апрель 2023'!$J$4:$J$692,I$1)</f>
        <v>0</v>
      </c>
      <c r="J131" s="207">
        <f>SUMIFS('апрель 2023'!$G$4:$G$692,'апрель 2023'!$D$4:$D$692,$B131,'апрель 2023'!$J$4:$J$692,J$1)</f>
        <v>0</v>
      </c>
      <c r="K131" s="207">
        <f>SUMIFS('апрель 2023'!$G$4:$G$692,'апрель 2023'!$D$4:$D$692,$B131,'апрель 2023'!$J$4:$J$692,K$1)</f>
        <v>0</v>
      </c>
      <c r="L131" s="207">
        <f>SUMIFS('апрель 2023'!$G$4:$G$692,'апрель 2023'!$D$4:$D$692,$B131,'апрель 2023'!$J$4:$J$692,L$1)</f>
        <v>0</v>
      </c>
      <c r="M131" s="207">
        <f>SUMIFS('апрель 2023'!$G$4:$G$692,'апрель 2023'!$D$4:$D$692,$B131,'апрель 2023'!$J$4:$J$692,M$1)</f>
        <v>0</v>
      </c>
      <c r="N131" s="207">
        <f>SUMIFS('апрель 2023'!$G$4:$G$692,'апрель 2023'!$D$4:$D$692,$B131,'апрель 2023'!$J$4:$J$692,N$1)</f>
        <v>0</v>
      </c>
      <c r="O131" s="207">
        <f>SUMIFS('апрель 2023'!$G$4:$G$692,'апрель 2023'!$D$4:$D$692,$B131,'апрель 2023'!$J$4:$J$692,O$1)</f>
        <v>0</v>
      </c>
      <c r="P131" s="207">
        <f>SUMIFS('апрель 2023'!$G$4:$G$692,'апрель 2023'!$D$4:$D$692,$B131,'апрель 2023'!$J$4:$J$692,P$1)</f>
        <v>0</v>
      </c>
      <c r="Q131" s="207">
        <f>SUMIFS('апрель 2023'!$G$4:$G$692,'апрель 2023'!$D$4:$D$692,$B131,'апрель 2023'!$J$4:$J$692,Q$1)</f>
        <v>0</v>
      </c>
      <c r="R131" s="207">
        <f>SUMIFS('апрель 2023'!$G$4:$G$692,'апрель 2023'!$D$4:$D$692,$B131,'апрель 2023'!$J$4:$J$692,R$1)</f>
        <v>0</v>
      </c>
      <c r="S131" s="207">
        <f>SUMIFS('апрель 2023'!$G$4:$G$692,'апрель 2023'!$D$4:$D$692,$B131,'апрель 2023'!$J$4:$J$692,S$1)</f>
        <v>0</v>
      </c>
      <c r="T131" s="207">
        <f>SUMIFS('апрель 2023'!$G$4:$G$692,'апрель 2023'!$D$4:$D$692,$B131,'апрель 2023'!$J$4:$J$692,T$1)</f>
        <v>0</v>
      </c>
      <c r="U131" s="207">
        <f>SUMIFS('апрель 2023'!$G$4:$G$692,'апрель 2023'!$D$4:$D$692,$B131,'апрель 2023'!$J$4:$J$692,U$1)</f>
        <v>0</v>
      </c>
      <c r="V131" s="207">
        <f>SUMIFS('апрель 2023'!$G$4:$G$692,'апрель 2023'!$D$4:$D$692,$B131,'апрель 2023'!$J$4:$J$692,V$1)</f>
        <v>0</v>
      </c>
      <c r="W131" s="207">
        <f>SUMIFS('апрель 2023'!$G$4:$G$692,'апрель 2023'!$D$4:$D$692,$B131,'апрель 2023'!$J$4:$J$692,W$1)</f>
        <v>0</v>
      </c>
      <c r="X131" s="207">
        <f>SUMIFS('апрель 2023'!$G$4:$G$692,'апрель 2023'!$D$4:$D$692,$B131,'апрель 2023'!$J$4:$J$692,X$1)</f>
        <v>0</v>
      </c>
      <c r="Y131" s="207">
        <f>SUMIFS('апрель 2023'!$G$4:$G$692,'апрель 2023'!$D$4:$D$692,$B131,'апрель 2023'!$J$4:$J$692,Y$1)</f>
        <v>0</v>
      </c>
      <c r="Z131" s="207">
        <f>SUMIFS('апрель 2023'!$G$4:$G$692,'апрель 2023'!$D$4:$D$692,$B131,'апрель 2023'!$J$4:$J$692,Z$1)</f>
        <v>0</v>
      </c>
      <c r="AA131" s="207">
        <f>SUMIFS('апрель 2023'!$G$4:$G$692,'апрель 2023'!$D$4:$D$692,$B131,'апрель 2023'!$J$4:$J$692,AA$1)</f>
        <v>0</v>
      </c>
      <c r="AB131" s="207">
        <f>SUMIFS('апрель 2023'!$G$4:$G$692,'апрель 2023'!$D$4:$D$692,$B131,'апрель 2023'!$J$4:$J$692,AB$1)</f>
        <v>0</v>
      </c>
      <c r="AC131" s="207">
        <f>SUMIFS('апрель 2023'!$G$4:$G$692,'апрель 2023'!$D$4:$D$692,$B131,'апрель 2023'!$J$4:$J$692,AC$1)</f>
        <v>0</v>
      </c>
      <c r="AD131" s="207">
        <f>SUMIFS('апрель 2023'!$G$4:$G$692,'апрель 2023'!$D$4:$D$692,$B131,'апрель 2023'!$J$4:$J$692,AD$1)</f>
        <v>0</v>
      </c>
      <c r="AE131" s="207">
        <f>SUMIFS('апрель 2023'!$G$4:$G$692,'апрель 2023'!$D$4:$D$692,$B131,'апрель 2023'!$J$4:$J$692,AE$1)</f>
        <v>0</v>
      </c>
      <c r="AF131" s="207">
        <f>SUMIFS('апрель 2023'!$G$4:$G$692,'апрель 2023'!$D$4:$D$692,$B131,'апрель 2023'!$J$4:$J$692,AF$1)</f>
        <v>0</v>
      </c>
      <c r="AG131" s="207">
        <f>SUMIFS('апрель 2023'!$G$4:$G$692,'апрель 2023'!$D$4:$D$692,$B131,'апрель 2023'!$J$4:$J$692,AG$1)</f>
        <v>0</v>
      </c>
      <c r="AH131" s="207">
        <f>SUMIFS('апрель 2023'!$G$4:$G$692,'апрель 2023'!$D$4:$D$692,$B131,'апрель 2023'!$J$4:$J$692,AH$1)</f>
        <v>0</v>
      </c>
      <c r="AI131" s="220"/>
    </row>
    <row r="132" spans="2:35" ht="15" hidden="1" customHeight="1" x14ac:dyDescent="0.25">
      <c r="B132" s="216"/>
      <c r="C132" s="213"/>
      <c r="D132" s="207">
        <f>SUMIFS('апрель 2023'!$G$4:$G$692,'апрель 2023'!$D$4:$D$692,$B132,'апрель 2023'!$J$4:$J$692,D$1)</f>
        <v>0</v>
      </c>
      <c r="E132" s="207">
        <f>SUMIFS('апрель 2023'!$G$4:$G$692,'апрель 2023'!$D$4:$D$692,$B132,'апрель 2023'!$J$4:$J$692,E$1)</f>
        <v>0</v>
      </c>
      <c r="F132" s="207">
        <f>SUMIFS('апрель 2023'!$G$4:$G$692,'апрель 2023'!$D$4:$D$692,$B132,'апрель 2023'!$J$4:$J$692,F$1)</f>
        <v>0</v>
      </c>
      <c r="G132" s="207">
        <f>SUMIFS('апрель 2023'!$G$4:$G$692,'апрель 2023'!$D$4:$D$692,$B132,'апрель 2023'!$J$4:$J$692,G$1)</f>
        <v>0</v>
      </c>
      <c r="H132" s="207">
        <f>SUMIFS('апрель 2023'!$G$4:$G$692,'апрель 2023'!$D$4:$D$692,$B132,'апрель 2023'!$J$4:$J$692,H$1)</f>
        <v>0</v>
      </c>
      <c r="I132" s="207">
        <f>SUMIFS('апрель 2023'!$G$4:$G$692,'апрель 2023'!$D$4:$D$692,$B132,'апрель 2023'!$J$4:$J$692,I$1)</f>
        <v>0</v>
      </c>
      <c r="J132" s="207">
        <f>SUMIFS('апрель 2023'!$G$4:$G$692,'апрель 2023'!$D$4:$D$692,$B132,'апрель 2023'!$J$4:$J$692,J$1)</f>
        <v>0</v>
      </c>
      <c r="K132" s="207">
        <f>SUMIFS('апрель 2023'!$G$4:$G$692,'апрель 2023'!$D$4:$D$692,$B132,'апрель 2023'!$J$4:$J$692,K$1)</f>
        <v>0</v>
      </c>
      <c r="L132" s="207">
        <f>SUMIFS('апрель 2023'!$G$4:$G$692,'апрель 2023'!$D$4:$D$692,$B132,'апрель 2023'!$J$4:$J$692,L$1)</f>
        <v>0</v>
      </c>
      <c r="M132" s="207">
        <f>SUMIFS('апрель 2023'!$G$4:$G$692,'апрель 2023'!$D$4:$D$692,$B132,'апрель 2023'!$J$4:$J$692,M$1)</f>
        <v>0</v>
      </c>
      <c r="N132" s="207">
        <f>SUMIFS('апрель 2023'!$G$4:$G$692,'апрель 2023'!$D$4:$D$692,$B132,'апрель 2023'!$J$4:$J$692,N$1)</f>
        <v>0</v>
      </c>
      <c r="O132" s="207">
        <f>SUMIFS('апрель 2023'!$G$4:$G$692,'апрель 2023'!$D$4:$D$692,$B132,'апрель 2023'!$J$4:$J$692,O$1)</f>
        <v>0</v>
      </c>
      <c r="P132" s="207">
        <f>SUMIFS('апрель 2023'!$G$4:$G$692,'апрель 2023'!$D$4:$D$692,$B132,'апрель 2023'!$J$4:$J$692,P$1)</f>
        <v>0</v>
      </c>
      <c r="Q132" s="207">
        <f>SUMIFS('апрель 2023'!$G$4:$G$692,'апрель 2023'!$D$4:$D$692,$B132,'апрель 2023'!$J$4:$J$692,Q$1)</f>
        <v>0</v>
      </c>
      <c r="R132" s="207">
        <f>SUMIFS('апрель 2023'!$G$4:$G$692,'апрель 2023'!$D$4:$D$692,$B132,'апрель 2023'!$J$4:$J$692,R$1)</f>
        <v>0</v>
      </c>
      <c r="S132" s="207">
        <f>SUMIFS('апрель 2023'!$G$4:$G$692,'апрель 2023'!$D$4:$D$692,$B132,'апрель 2023'!$J$4:$J$692,S$1)</f>
        <v>0</v>
      </c>
      <c r="T132" s="207">
        <f>SUMIFS('апрель 2023'!$G$4:$G$692,'апрель 2023'!$D$4:$D$692,$B132,'апрель 2023'!$J$4:$J$692,T$1)</f>
        <v>0</v>
      </c>
      <c r="U132" s="207">
        <f>SUMIFS('апрель 2023'!$G$4:$G$692,'апрель 2023'!$D$4:$D$692,$B132,'апрель 2023'!$J$4:$J$692,U$1)</f>
        <v>0</v>
      </c>
      <c r="V132" s="207">
        <f>SUMIFS('апрель 2023'!$G$4:$G$692,'апрель 2023'!$D$4:$D$692,$B132,'апрель 2023'!$J$4:$J$692,V$1)</f>
        <v>0</v>
      </c>
      <c r="W132" s="207">
        <f>SUMIFS('апрель 2023'!$G$4:$G$692,'апрель 2023'!$D$4:$D$692,$B132,'апрель 2023'!$J$4:$J$692,W$1)</f>
        <v>0</v>
      </c>
      <c r="X132" s="207">
        <f>SUMIFS('апрель 2023'!$G$4:$G$692,'апрель 2023'!$D$4:$D$692,$B132,'апрель 2023'!$J$4:$J$692,X$1)</f>
        <v>0</v>
      </c>
      <c r="Y132" s="207">
        <f>SUMIFS('апрель 2023'!$G$4:$G$692,'апрель 2023'!$D$4:$D$692,$B132,'апрель 2023'!$J$4:$J$692,Y$1)</f>
        <v>0</v>
      </c>
      <c r="Z132" s="207">
        <f>SUMIFS('апрель 2023'!$G$4:$G$692,'апрель 2023'!$D$4:$D$692,$B132,'апрель 2023'!$J$4:$J$692,Z$1)</f>
        <v>0</v>
      </c>
      <c r="AA132" s="207">
        <f>SUMIFS('апрель 2023'!$G$4:$G$692,'апрель 2023'!$D$4:$D$692,$B132,'апрель 2023'!$J$4:$J$692,AA$1)</f>
        <v>0</v>
      </c>
      <c r="AB132" s="207">
        <f>SUMIFS('апрель 2023'!$G$4:$G$692,'апрель 2023'!$D$4:$D$692,$B132,'апрель 2023'!$J$4:$J$692,AB$1)</f>
        <v>0</v>
      </c>
      <c r="AC132" s="207">
        <f>SUMIFS('апрель 2023'!$G$4:$G$692,'апрель 2023'!$D$4:$D$692,$B132,'апрель 2023'!$J$4:$J$692,AC$1)</f>
        <v>0</v>
      </c>
      <c r="AD132" s="207">
        <f>SUMIFS('апрель 2023'!$G$4:$G$692,'апрель 2023'!$D$4:$D$692,$B132,'апрель 2023'!$J$4:$J$692,AD$1)</f>
        <v>0</v>
      </c>
      <c r="AE132" s="207">
        <f>SUMIFS('апрель 2023'!$G$4:$G$692,'апрель 2023'!$D$4:$D$692,$B132,'апрель 2023'!$J$4:$J$692,AE$1)</f>
        <v>0</v>
      </c>
      <c r="AF132" s="207">
        <f>SUMIFS('апрель 2023'!$G$4:$G$692,'апрель 2023'!$D$4:$D$692,$B132,'апрель 2023'!$J$4:$J$692,AF$1)</f>
        <v>0</v>
      </c>
      <c r="AG132" s="207">
        <f>SUMIFS('апрель 2023'!$G$4:$G$692,'апрель 2023'!$D$4:$D$692,$B132,'апрель 2023'!$J$4:$J$692,AG$1)</f>
        <v>0</v>
      </c>
      <c r="AH132" s="207">
        <f>SUMIFS('апрель 2023'!$G$4:$G$692,'апрель 2023'!$D$4:$D$692,$B132,'апрель 2023'!$J$4:$J$692,AH$1)</f>
        <v>0</v>
      </c>
      <c r="AI132" s="220">
        <f t="shared" ref="AI132:AI146" si="3">SUM(D132:AH132)</f>
        <v>0</v>
      </c>
    </row>
    <row r="133" spans="2:35" ht="15" hidden="1" customHeight="1" x14ac:dyDescent="0.25">
      <c r="B133" s="216"/>
      <c r="C133" s="213"/>
      <c r="D133" s="207">
        <f>SUMIFS('апрель 2023'!$G$4:$G$692,'апрель 2023'!$D$4:$D$692,$B133,'апрель 2023'!$J$4:$J$692,D$1)</f>
        <v>0</v>
      </c>
      <c r="E133" s="207">
        <f>SUMIFS('апрель 2023'!$G$4:$G$692,'апрель 2023'!$D$4:$D$692,$B133,'апрель 2023'!$J$4:$J$692,E$1)</f>
        <v>0</v>
      </c>
      <c r="F133" s="207">
        <f>SUMIFS('апрель 2023'!$G$4:$G$692,'апрель 2023'!$D$4:$D$692,$B133,'апрель 2023'!$J$4:$J$692,F$1)</f>
        <v>0</v>
      </c>
      <c r="G133" s="207">
        <f>SUMIFS('апрель 2023'!$G$4:$G$692,'апрель 2023'!$D$4:$D$692,$B133,'апрель 2023'!$J$4:$J$692,G$1)</f>
        <v>0</v>
      </c>
      <c r="H133" s="207">
        <f>SUMIFS('апрель 2023'!$G$4:$G$692,'апрель 2023'!$D$4:$D$692,$B133,'апрель 2023'!$J$4:$J$692,H$1)</f>
        <v>0</v>
      </c>
      <c r="I133" s="207">
        <f>SUMIFS('апрель 2023'!$G$4:$G$692,'апрель 2023'!$D$4:$D$692,$B133,'апрель 2023'!$J$4:$J$692,I$1)</f>
        <v>0</v>
      </c>
      <c r="J133" s="207">
        <f>SUMIFS('апрель 2023'!$G$4:$G$692,'апрель 2023'!$D$4:$D$692,$B133,'апрель 2023'!$J$4:$J$692,J$1)</f>
        <v>0</v>
      </c>
      <c r="K133" s="207">
        <f>SUMIFS('апрель 2023'!$G$4:$G$692,'апрель 2023'!$D$4:$D$692,$B133,'апрель 2023'!$J$4:$J$692,K$1)</f>
        <v>0</v>
      </c>
      <c r="L133" s="207">
        <f>SUMIFS('апрель 2023'!$G$4:$G$692,'апрель 2023'!$D$4:$D$692,$B133,'апрель 2023'!$J$4:$J$692,L$1)</f>
        <v>0</v>
      </c>
      <c r="M133" s="207">
        <f>SUMIFS('апрель 2023'!$G$4:$G$692,'апрель 2023'!$D$4:$D$692,$B133,'апрель 2023'!$J$4:$J$692,M$1)</f>
        <v>0</v>
      </c>
      <c r="N133" s="207">
        <f>SUMIFS('апрель 2023'!$G$4:$G$692,'апрель 2023'!$D$4:$D$692,$B133,'апрель 2023'!$J$4:$J$692,N$1)</f>
        <v>0</v>
      </c>
      <c r="O133" s="207">
        <f>SUMIFS('апрель 2023'!$G$4:$G$692,'апрель 2023'!$D$4:$D$692,$B133,'апрель 2023'!$J$4:$J$692,O$1)</f>
        <v>0</v>
      </c>
      <c r="P133" s="207">
        <f>SUMIFS('апрель 2023'!$G$4:$G$692,'апрель 2023'!$D$4:$D$692,$B133,'апрель 2023'!$J$4:$J$692,P$1)</f>
        <v>0</v>
      </c>
      <c r="Q133" s="207">
        <f>SUMIFS('апрель 2023'!$G$4:$G$692,'апрель 2023'!$D$4:$D$692,$B133,'апрель 2023'!$J$4:$J$692,Q$1)</f>
        <v>0</v>
      </c>
      <c r="R133" s="207">
        <f>SUMIFS('апрель 2023'!$G$4:$G$692,'апрель 2023'!$D$4:$D$692,$B133,'апрель 2023'!$J$4:$J$692,R$1)</f>
        <v>0</v>
      </c>
      <c r="S133" s="207">
        <f>SUMIFS('апрель 2023'!$G$4:$G$692,'апрель 2023'!$D$4:$D$692,$B133,'апрель 2023'!$J$4:$J$692,S$1)</f>
        <v>0</v>
      </c>
      <c r="T133" s="207">
        <f>SUMIFS('апрель 2023'!$G$4:$G$692,'апрель 2023'!$D$4:$D$692,$B133,'апрель 2023'!$J$4:$J$692,T$1)</f>
        <v>0</v>
      </c>
      <c r="U133" s="207">
        <f>SUMIFS('апрель 2023'!$G$4:$G$692,'апрель 2023'!$D$4:$D$692,$B133,'апрель 2023'!$J$4:$J$692,U$1)</f>
        <v>0</v>
      </c>
      <c r="V133" s="207">
        <f>SUMIFS('апрель 2023'!$G$4:$G$692,'апрель 2023'!$D$4:$D$692,$B133,'апрель 2023'!$J$4:$J$692,V$1)</f>
        <v>0</v>
      </c>
      <c r="W133" s="207">
        <f>SUMIFS('апрель 2023'!$G$4:$G$692,'апрель 2023'!$D$4:$D$692,$B133,'апрель 2023'!$J$4:$J$692,W$1)</f>
        <v>0</v>
      </c>
      <c r="X133" s="207">
        <f>SUMIFS('апрель 2023'!$G$4:$G$692,'апрель 2023'!$D$4:$D$692,$B133,'апрель 2023'!$J$4:$J$692,X$1)</f>
        <v>0</v>
      </c>
      <c r="Y133" s="207">
        <f>SUMIFS('апрель 2023'!$G$4:$G$692,'апрель 2023'!$D$4:$D$692,$B133,'апрель 2023'!$J$4:$J$692,Y$1)</f>
        <v>0</v>
      </c>
      <c r="Z133" s="207">
        <f>SUMIFS('апрель 2023'!$G$4:$G$692,'апрель 2023'!$D$4:$D$692,$B133,'апрель 2023'!$J$4:$J$692,Z$1)</f>
        <v>0</v>
      </c>
      <c r="AA133" s="207">
        <f>SUMIFS('апрель 2023'!$G$4:$G$692,'апрель 2023'!$D$4:$D$692,$B133,'апрель 2023'!$J$4:$J$692,AA$1)</f>
        <v>0</v>
      </c>
      <c r="AB133" s="207">
        <f>SUMIFS('апрель 2023'!$G$4:$G$692,'апрель 2023'!$D$4:$D$692,$B133,'апрель 2023'!$J$4:$J$692,AB$1)</f>
        <v>0</v>
      </c>
      <c r="AC133" s="207">
        <f>SUMIFS('апрель 2023'!$G$4:$G$692,'апрель 2023'!$D$4:$D$692,$B133,'апрель 2023'!$J$4:$J$692,AC$1)</f>
        <v>0</v>
      </c>
      <c r="AD133" s="207">
        <f>SUMIFS('апрель 2023'!$G$4:$G$692,'апрель 2023'!$D$4:$D$692,$B133,'апрель 2023'!$J$4:$J$692,AD$1)</f>
        <v>0</v>
      </c>
      <c r="AE133" s="207">
        <f>SUMIFS('апрель 2023'!$G$4:$G$692,'апрель 2023'!$D$4:$D$692,$B133,'апрель 2023'!$J$4:$J$692,AE$1)</f>
        <v>0</v>
      </c>
      <c r="AF133" s="207">
        <f>SUMIFS('апрель 2023'!$G$4:$G$692,'апрель 2023'!$D$4:$D$692,$B133,'апрель 2023'!$J$4:$J$692,AF$1)</f>
        <v>0</v>
      </c>
      <c r="AG133" s="207">
        <f>SUMIFS('апрель 2023'!$G$4:$G$692,'апрель 2023'!$D$4:$D$692,$B133,'апрель 2023'!$J$4:$J$692,AG$1)</f>
        <v>0</v>
      </c>
      <c r="AH133" s="207">
        <f>SUMIFS('апрель 2023'!$G$4:$G$692,'апрель 2023'!$D$4:$D$692,$B133,'апрель 2023'!$J$4:$J$692,AH$1)</f>
        <v>0</v>
      </c>
      <c r="AI133" s="220">
        <f t="shared" si="3"/>
        <v>0</v>
      </c>
    </row>
    <row r="134" spans="2:35" ht="15" hidden="1" customHeight="1" x14ac:dyDescent="0.25">
      <c r="B134" s="216"/>
      <c r="C134" s="213"/>
      <c r="D134" s="207">
        <f>SUMIFS('апрель 2023'!$G$4:$G$692,'апрель 2023'!$D$4:$D$692,$B134,'апрель 2023'!$J$4:$J$692,D$1)</f>
        <v>0</v>
      </c>
      <c r="E134" s="207">
        <f>SUMIFS('апрель 2023'!$G$4:$G$692,'апрель 2023'!$D$4:$D$692,$B134,'апрель 2023'!$J$4:$J$692,E$1)</f>
        <v>0</v>
      </c>
      <c r="F134" s="207">
        <f>SUMIFS('апрель 2023'!$G$4:$G$692,'апрель 2023'!$D$4:$D$692,$B134,'апрель 2023'!$J$4:$J$692,F$1)</f>
        <v>0</v>
      </c>
      <c r="G134" s="207">
        <f>SUMIFS('апрель 2023'!$G$4:$G$692,'апрель 2023'!$D$4:$D$692,$B134,'апрель 2023'!$J$4:$J$692,G$1)</f>
        <v>0</v>
      </c>
      <c r="H134" s="207">
        <f>SUMIFS('апрель 2023'!$G$4:$G$692,'апрель 2023'!$D$4:$D$692,$B134,'апрель 2023'!$J$4:$J$692,H$1)</f>
        <v>0</v>
      </c>
      <c r="I134" s="207">
        <f>SUMIFS('апрель 2023'!$G$4:$G$692,'апрель 2023'!$D$4:$D$692,$B134,'апрель 2023'!$J$4:$J$692,I$1)</f>
        <v>0</v>
      </c>
      <c r="J134" s="207">
        <f>SUMIFS('апрель 2023'!$G$4:$G$692,'апрель 2023'!$D$4:$D$692,$B134,'апрель 2023'!$J$4:$J$692,J$1)</f>
        <v>0</v>
      </c>
      <c r="K134" s="207">
        <f>SUMIFS('апрель 2023'!$G$4:$G$692,'апрель 2023'!$D$4:$D$692,$B134,'апрель 2023'!$J$4:$J$692,K$1)</f>
        <v>0</v>
      </c>
      <c r="L134" s="207">
        <f>SUMIFS('апрель 2023'!$G$4:$G$692,'апрель 2023'!$D$4:$D$692,$B134,'апрель 2023'!$J$4:$J$692,L$1)</f>
        <v>0</v>
      </c>
      <c r="M134" s="207">
        <f>SUMIFS('апрель 2023'!$G$4:$G$692,'апрель 2023'!$D$4:$D$692,$B134,'апрель 2023'!$J$4:$J$692,M$1)</f>
        <v>0</v>
      </c>
      <c r="N134" s="207">
        <f>SUMIFS('апрель 2023'!$G$4:$G$692,'апрель 2023'!$D$4:$D$692,$B134,'апрель 2023'!$J$4:$J$692,N$1)</f>
        <v>0</v>
      </c>
      <c r="O134" s="207">
        <f>SUMIFS('апрель 2023'!$G$4:$G$692,'апрель 2023'!$D$4:$D$692,$B134,'апрель 2023'!$J$4:$J$692,O$1)</f>
        <v>0</v>
      </c>
      <c r="P134" s="207">
        <f>SUMIFS('апрель 2023'!$G$4:$G$692,'апрель 2023'!$D$4:$D$692,$B134,'апрель 2023'!$J$4:$J$692,P$1)</f>
        <v>0</v>
      </c>
      <c r="Q134" s="207">
        <f>SUMIFS('апрель 2023'!$G$4:$G$692,'апрель 2023'!$D$4:$D$692,$B134,'апрель 2023'!$J$4:$J$692,Q$1)</f>
        <v>0</v>
      </c>
      <c r="R134" s="207">
        <f>SUMIFS('апрель 2023'!$G$4:$G$692,'апрель 2023'!$D$4:$D$692,$B134,'апрель 2023'!$J$4:$J$692,R$1)</f>
        <v>0</v>
      </c>
      <c r="S134" s="207">
        <f>SUMIFS('апрель 2023'!$G$4:$G$692,'апрель 2023'!$D$4:$D$692,$B134,'апрель 2023'!$J$4:$J$692,S$1)</f>
        <v>0</v>
      </c>
      <c r="T134" s="207">
        <f>SUMIFS('апрель 2023'!$G$4:$G$692,'апрель 2023'!$D$4:$D$692,$B134,'апрель 2023'!$J$4:$J$692,T$1)</f>
        <v>0</v>
      </c>
      <c r="U134" s="207">
        <f>SUMIFS('апрель 2023'!$G$4:$G$692,'апрель 2023'!$D$4:$D$692,$B134,'апрель 2023'!$J$4:$J$692,U$1)</f>
        <v>0</v>
      </c>
      <c r="V134" s="207">
        <f>SUMIFS('апрель 2023'!$G$4:$G$692,'апрель 2023'!$D$4:$D$692,$B134,'апрель 2023'!$J$4:$J$692,V$1)</f>
        <v>0</v>
      </c>
      <c r="W134" s="207">
        <f>SUMIFS('апрель 2023'!$G$4:$G$692,'апрель 2023'!$D$4:$D$692,$B134,'апрель 2023'!$J$4:$J$692,W$1)</f>
        <v>0</v>
      </c>
      <c r="X134" s="207">
        <f>SUMIFS('апрель 2023'!$G$4:$G$692,'апрель 2023'!$D$4:$D$692,$B134,'апрель 2023'!$J$4:$J$692,X$1)</f>
        <v>0</v>
      </c>
      <c r="Y134" s="207">
        <f>SUMIFS('апрель 2023'!$G$4:$G$692,'апрель 2023'!$D$4:$D$692,$B134,'апрель 2023'!$J$4:$J$692,Y$1)</f>
        <v>0</v>
      </c>
      <c r="Z134" s="207">
        <f>SUMIFS('апрель 2023'!$G$4:$G$692,'апрель 2023'!$D$4:$D$692,$B134,'апрель 2023'!$J$4:$J$692,Z$1)</f>
        <v>0</v>
      </c>
      <c r="AA134" s="207">
        <f>SUMIFS('апрель 2023'!$G$4:$G$692,'апрель 2023'!$D$4:$D$692,$B134,'апрель 2023'!$J$4:$J$692,AA$1)</f>
        <v>0</v>
      </c>
      <c r="AB134" s="207">
        <f>SUMIFS('апрель 2023'!$G$4:$G$692,'апрель 2023'!$D$4:$D$692,$B134,'апрель 2023'!$J$4:$J$692,AB$1)</f>
        <v>0</v>
      </c>
      <c r="AC134" s="207">
        <f>SUMIFS('апрель 2023'!$G$4:$G$692,'апрель 2023'!$D$4:$D$692,$B134,'апрель 2023'!$J$4:$J$692,AC$1)</f>
        <v>0</v>
      </c>
      <c r="AD134" s="207">
        <f>SUMIFS('апрель 2023'!$G$4:$G$692,'апрель 2023'!$D$4:$D$692,$B134,'апрель 2023'!$J$4:$J$692,AD$1)</f>
        <v>0</v>
      </c>
      <c r="AE134" s="207">
        <f>SUMIFS('апрель 2023'!$G$4:$G$692,'апрель 2023'!$D$4:$D$692,$B134,'апрель 2023'!$J$4:$J$692,AE$1)</f>
        <v>0</v>
      </c>
      <c r="AF134" s="207">
        <f>SUMIFS('апрель 2023'!$G$4:$G$692,'апрель 2023'!$D$4:$D$692,$B134,'апрель 2023'!$J$4:$J$692,AF$1)</f>
        <v>0</v>
      </c>
      <c r="AG134" s="207">
        <f>SUMIFS('апрель 2023'!$G$4:$G$692,'апрель 2023'!$D$4:$D$692,$B134,'апрель 2023'!$J$4:$J$692,AG$1)</f>
        <v>0</v>
      </c>
      <c r="AH134" s="207">
        <f>SUMIFS('апрель 2023'!$G$4:$G$692,'апрель 2023'!$D$4:$D$692,$B134,'апрель 2023'!$J$4:$J$692,AH$1)</f>
        <v>0</v>
      </c>
      <c r="AI134" s="220">
        <f t="shared" si="3"/>
        <v>0</v>
      </c>
    </row>
    <row r="135" spans="2:35" ht="15" hidden="1" customHeight="1" x14ac:dyDescent="0.25">
      <c r="B135" s="212"/>
      <c r="C135" s="211"/>
      <c r="D135" s="207">
        <f>SUMIFS('апрель 2023'!$G$4:$G$692,'апрель 2023'!$D$4:$D$692,$B135,'апрель 2023'!$J$4:$J$692,D$1)</f>
        <v>0</v>
      </c>
      <c r="E135" s="207">
        <f>SUMIFS('апрель 2023'!$G$4:$G$692,'апрель 2023'!$D$4:$D$692,$B135,'апрель 2023'!$J$4:$J$692,E$1)</f>
        <v>0</v>
      </c>
      <c r="F135" s="207">
        <f>SUMIFS('апрель 2023'!$G$4:$G$692,'апрель 2023'!$D$4:$D$692,$B135,'апрель 2023'!$J$4:$J$692,F$1)</f>
        <v>0</v>
      </c>
      <c r="G135" s="207">
        <f>SUMIFS('апрель 2023'!$G$4:$G$692,'апрель 2023'!$D$4:$D$692,$B135,'апрель 2023'!$J$4:$J$692,G$1)</f>
        <v>0</v>
      </c>
      <c r="H135" s="207">
        <f>SUMIFS('апрель 2023'!$G$4:$G$692,'апрель 2023'!$D$4:$D$692,$B135,'апрель 2023'!$J$4:$J$692,H$1)</f>
        <v>0</v>
      </c>
      <c r="I135" s="207">
        <f>SUMIFS('апрель 2023'!$G$4:$G$692,'апрель 2023'!$D$4:$D$692,$B135,'апрель 2023'!$J$4:$J$692,I$1)</f>
        <v>0</v>
      </c>
      <c r="J135" s="207">
        <f>SUMIFS('апрель 2023'!$G$4:$G$692,'апрель 2023'!$D$4:$D$692,$B135,'апрель 2023'!$J$4:$J$692,J$1)</f>
        <v>0</v>
      </c>
      <c r="K135" s="207">
        <f>SUMIFS('апрель 2023'!$G$4:$G$692,'апрель 2023'!$D$4:$D$692,$B135,'апрель 2023'!$J$4:$J$692,K$1)</f>
        <v>0</v>
      </c>
      <c r="L135" s="207">
        <f>SUMIFS('апрель 2023'!$G$4:$G$692,'апрель 2023'!$D$4:$D$692,$B135,'апрель 2023'!$J$4:$J$692,L$1)</f>
        <v>0</v>
      </c>
      <c r="M135" s="207">
        <f>SUMIFS('апрель 2023'!$G$4:$G$692,'апрель 2023'!$D$4:$D$692,$B135,'апрель 2023'!$J$4:$J$692,M$1)</f>
        <v>0</v>
      </c>
      <c r="N135" s="207">
        <f>SUMIFS('апрель 2023'!$G$4:$G$692,'апрель 2023'!$D$4:$D$692,$B135,'апрель 2023'!$J$4:$J$692,N$1)</f>
        <v>0</v>
      </c>
      <c r="O135" s="207">
        <f>SUMIFS('апрель 2023'!$G$4:$G$692,'апрель 2023'!$D$4:$D$692,$B135,'апрель 2023'!$J$4:$J$692,O$1)</f>
        <v>0</v>
      </c>
      <c r="P135" s="207">
        <f>SUMIFS('апрель 2023'!$G$4:$G$692,'апрель 2023'!$D$4:$D$692,$B135,'апрель 2023'!$J$4:$J$692,P$1)</f>
        <v>0</v>
      </c>
      <c r="Q135" s="207">
        <f>SUMIFS('апрель 2023'!$G$4:$G$692,'апрель 2023'!$D$4:$D$692,$B135,'апрель 2023'!$J$4:$J$692,Q$1)</f>
        <v>0</v>
      </c>
      <c r="R135" s="207">
        <f>SUMIFS('апрель 2023'!$G$4:$G$692,'апрель 2023'!$D$4:$D$692,$B135,'апрель 2023'!$J$4:$J$692,R$1)</f>
        <v>0</v>
      </c>
      <c r="S135" s="207">
        <f>SUMIFS('апрель 2023'!$G$4:$G$692,'апрель 2023'!$D$4:$D$692,$B135,'апрель 2023'!$J$4:$J$692,S$1)</f>
        <v>0</v>
      </c>
      <c r="T135" s="207">
        <f>SUMIFS('апрель 2023'!$G$4:$G$692,'апрель 2023'!$D$4:$D$692,$B135,'апрель 2023'!$J$4:$J$692,T$1)</f>
        <v>0</v>
      </c>
      <c r="U135" s="207">
        <f>SUMIFS('апрель 2023'!$G$4:$G$692,'апрель 2023'!$D$4:$D$692,$B135,'апрель 2023'!$J$4:$J$692,U$1)</f>
        <v>0</v>
      </c>
      <c r="V135" s="207">
        <f>SUMIFS('апрель 2023'!$G$4:$G$692,'апрель 2023'!$D$4:$D$692,$B135,'апрель 2023'!$J$4:$J$692,V$1)</f>
        <v>0</v>
      </c>
      <c r="W135" s="207">
        <f>SUMIFS('апрель 2023'!$G$4:$G$692,'апрель 2023'!$D$4:$D$692,$B135,'апрель 2023'!$J$4:$J$692,W$1)</f>
        <v>0</v>
      </c>
      <c r="X135" s="207">
        <f>SUMIFS('апрель 2023'!$G$4:$G$692,'апрель 2023'!$D$4:$D$692,$B135,'апрель 2023'!$J$4:$J$692,X$1)</f>
        <v>0</v>
      </c>
      <c r="Y135" s="207">
        <f>SUMIFS('апрель 2023'!$G$4:$G$692,'апрель 2023'!$D$4:$D$692,$B135,'апрель 2023'!$J$4:$J$692,Y$1)</f>
        <v>0</v>
      </c>
      <c r="Z135" s="207">
        <f>SUMIFS('апрель 2023'!$G$4:$G$692,'апрель 2023'!$D$4:$D$692,$B135,'апрель 2023'!$J$4:$J$692,Z$1)</f>
        <v>0</v>
      </c>
      <c r="AA135" s="207">
        <f>SUMIFS('апрель 2023'!$G$4:$G$692,'апрель 2023'!$D$4:$D$692,$B135,'апрель 2023'!$J$4:$J$692,AA$1)</f>
        <v>0</v>
      </c>
      <c r="AB135" s="207">
        <f>SUMIFS('апрель 2023'!$G$4:$G$692,'апрель 2023'!$D$4:$D$692,$B135,'апрель 2023'!$J$4:$J$692,AB$1)</f>
        <v>0</v>
      </c>
      <c r="AC135" s="207">
        <f>SUMIFS('апрель 2023'!$G$4:$G$692,'апрель 2023'!$D$4:$D$692,$B135,'апрель 2023'!$J$4:$J$692,AC$1)</f>
        <v>0</v>
      </c>
      <c r="AD135" s="207">
        <f>SUMIFS('апрель 2023'!$G$4:$G$692,'апрель 2023'!$D$4:$D$692,$B135,'апрель 2023'!$J$4:$J$692,AD$1)</f>
        <v>0</v>
      </c>
      <c r="AE135" s="207">
        <f>SUMIFS('апрель 2023'!$G$4:$G$692,'апрель 2023'!$D$4:$D$692,$B135,'апрель 2023'!$J$4:$J$692,AE$1)</f>
        <v>0</v>
      </c>
      <c r="AF135" s="207">
        <f>SUMIFS('апрель 2023'!$G$4:$G$692,'апрель 2023'!$D$4:$D$692,$B135,'апрель 2023'!$J$4:$J$692,AF$1)</f>
        <v>0</v>
      </c>
      <c r="AG135" s="207">
        <f>SUMIFS('апрель 2023'!$G$4:$G$692,'апрель 2023'!$D$4:$D$692,$B135,'апрель 2023'!$J$4:$J$692,AG$1)</f>
        <v>0</v>
      </c>
      <c r="AH135" s="207">
        <f>SUMIFS('апрель 2023'!$G$4:$G$692,'апрель 2023'!$D$4:$D$692,$B135,'апрель 2023'!$J$4:$J$692,AH$1)</f>
        <v>0</v>
      </c>
      <c r="AI135" s="220"/>
    </row>
    <row r="136" spans="2:35" ht="15" hidden="1" customHeight="1" x14ac:dyDescent="0.25">
      <c r="B136" s="212"/>
      <c r="C136" s="211"/>
      <c r="D136" s="207">
        <f>SUMIFS('апрель 2023'!$G$4:$G$692,'апрель 2023'!$D$4:$D$692,$B136,'апрель 2023'!$J$4:$J$692,D$1)</f>
        <v>0</v>
      </c>
      <c r="E136" s="207">
        <f>SUMIFS('апрель 2023'!$G$4:$G$692,'апрель 2023'!$D$4:$D$692,$B136,'апрель 2023'!$J$4:$J$692,E$1)</f>
        <v>0</v>
      </c>
      <c r="F136" s="207">
        <f>SUMIFS('апрель 2023'!$G$4:$G$692,'апрель 2023'!$D$4:$D$692,$B136,'апрель 2023'!$J$4:$J$692,F$1)</f>
        <v>0</v>
      </c>
      <c r="G136" s="207">
        <f>SUMIFS('апрель 2023'!$G$4:$G$692,'апрель 2023'!$D$4:$D$692,$B136,'апрель 2023'!$J$4:$J$692,G$1)</f>
        <v>0</v>
      </c>
      <c r="H136" s="207">
        <f>SUMIFS('апрель 2023'!$G$4:$G$692,'апрель 2023'!$D$4:$D$692,$B136,'апрель 2023'!$J$4:$J$692,H$1)</f>
        <v>0</v>
      </c>
      <c r="I136" s="207">
        <f>SUMIFS('апрель 2023'!$G$4:$G$692,'апрель 2023'!$D$4:$D$692,$B136,'апрель 2023'!$J$4:$J$692,I$1)</f>
        <v>0</v>
      </c>
      <c r="J136" s="207">
        <f>SUMIFS('апрель 2023'!$G$4:$G$692,'апрель 2023'!$D$4:$D$692,$B136,'апрель 2023'!$J$4:$J$692,J$1)</f>
        <v>0</v>
      </c>
      <c r="K136" s="207">
        <f>SUMIFS('апрель 2023'!$G$4:$G$692,'апрель 2023'!$D$4:$D$692,$B136,'апрель 2023'!$J$4:$J$692,K$1)</f>
        <v>0</v>
      </c>
      <c r="L136" s="207">
        <f>SUMIFS('апрель 2023'!$G$4:$G$692,'апрель 2023'!$D$4:$D$692,$B136,'апрель 2023'!$J$4:$J$692,L$1)</f>
        <v>0</v>
      </c>
      <c r="M136" s="207">
        <f>SUMIFS('апрель 2023'!$G$4:$G$692,'апрель 2023'!$D$4:$D$692,$B136,'апрель 2023'!$J$4:$J$692,M$1)</f>
        <v>0</v>
      </c>
      <c r="N136" s="207">
        <f>SUMIFS('апрель 2023'!$G$4:$G$692,'апрель 2023'!$D$4:$D$692,$B136,'апрель 2023'!$J$4:$J$692,N$1)</f>
        <v>0</v>
      </c>
      <c r="O136" s="207">
        <f>SUMIFS('апрель 2023'!$G$4:$G$692,'апрель 2023'!$D$4:$D$692,$B136,'апрель 2023'!$J$4:$J$692,O$1)</f>
        <v>0</v>
      </c>
      <c r="P136" s="207">
        <f>SUMIFS('апрель 2023'!$G$4:$G$692,'апрель 2023'!$D$4:$D$692,$B136,'апрель 2023'!$J$4:$J$692,P$1)</f>
        <v>0</v>
      </c>
      <c r="Q136" s="207">
        <f>SUMIFS('апрель 2023'!$G$4:$G$692,'апрель 2023'!$D$4:$D$692,$B136,'апрель 2023'!$J$4:$J$692,Q$1)</f>
        <v>0</v>
      </c>
      <c r="R136" s="207">
        <f>SUMIFS('апрель 2023'!$G$4:$G$692,'апрель 2023'!$D$4:$D$692,$B136,'апрель 2023'!$J$4:$J$692,R$1)</f>
        <v>0</v>
      </c>
      <c r="S136" s="207">
        <f>SUMIFS('апрель 2023'!$G$4:$G$692,'апрель 2023'!$D$4:$D$692,$B136,'апрель 2023'!$J$4:$J$692,S$1)</f>
        <v>0</v>
      </c>
      <c r="T136" s="207">
        <f>SUMIFS('апрель 2023'!$G$4:$G$692,'апрель 2023'!$D$4:$D$692,$B136,'апрель 2023'!$J$4:$J$692,T$1)</f>
        <v>0</v>
      </c>
      <c r="U136" s="207">
        <f>SUMIFS('апрель 2023'!$G$4:$G$692,'апрель 2023'!$D$4:$D$692,$B136,'апрель 2023'!$J$4:$J$692,U$1)</f>
        <v>0</v>
      </c>
      <c r="V136" s="207">
        <f>SUMIFS('апрель 2023'!$G$4:$G$692,'апрель 2023'!$D$4:$D$692,$B136,'апрель 2023'!$J$4:$J$692,V$1)</f>
        <v>0</v>
      </c>
      <c r="W136" s="207">
        <f>SUMIFS('апрель 2023'!$G$4:$G$692,'апрель 2023'!$D$4:$D$692,$B136,'апрель 2023'!$J$4:$J$692,W$1)</f>
        <v>0</v>
      </c>
      <c r="X136" s="207">
        <f>SUMIFS('апрель 2023'!$G$4:$G$692,'апрель 2023'!$D$4:$D$692,$B136,'апрель 2023'!$J$4:$J$692,X$1)</f>
        <v>0</v>
      </c>
      <c r="Y136" s="207">
        <f>SUMIFS('апрель 2023'!$G$4:$G$692,'апрель 2023'!$D$4:$D$692,$B136,'апрель 2023'!$J$4:$J$692,Y$1)</f>
        <v>0</v>
      </c>
      <c r="Z136" s="207">
        <f>SUMIFS('апрель 2023'!$G$4:$G$692,'апрель 2023'!$D$4:$D$692,$B136,'апрель 2023'!$J$4:$J$692,Z$1)</f>
        <v>0</v>
      </c>
      <c r="AA136" s="207">
        <f>SUMIFS('апрель 2023'!$G$4:$G$692,'апрель 2023'!$D$4:$D$692,$B136,'апрель 2023'!$J$4:$J$692,AA$1)</f>
        <v>0</v>
      </c>
      <c r="AB136" s="207">
        <f>SUMIFS('апрель 2023'!$G$4:$G$692,'апрель 2023'!$D$4:$D$692,$B136,'апрель 2023'!$J$4:$J$692,AB$1)</f>
        <v>0</v>
      </c>
      <c r="AC136" s="207">
        <f>SUMIFS('апрель 2023'!$G$4:$G$692,'апрель 2023'!$D$4:$D$692,$B136,'апрель 2023'!$J$4:$J$692,AC$1)</f>
        <v>0</v>
      </c>
      <c r="AD136" s="207">
        <f>SUMIFS('апрель 2023'!$G$4:$G$692,'апрель 2023'!$D$4:$D$692,$B136,'апрель 2023'!$J$4:$J$692,AD$1)</f>
        <v>0</v>
      </c>
      <c r="AE136" s="207">
        <f>SUMIFS('апрель 2023'!$G$4:$G$692,'апрель 2023'!$D$4:$D$692,$B136,'апрель 2023'!$J$4:$J$692,AE$1)</f>
        <v>0</v>
      </c>
      <c r="AF136" s="207">
        <f>SUMIFS('апрель 2023'!$G$4:$G$692,'апрель 2023'!$D$4:$D$692,$B136,'апрель 2023'!$J$4:$J$692,AF$1)</f>
        <v>0</v>
      </c>
      <c r="AG136" s="207">
        <f>SUMIFS('апрель 2023'!$G$4:$G$692,'апрель 2023'!$D$4:$D$692,$B136,'апрель 2023'!$J$4:$J$692,AG$1)</f>
        <v>0</v>
      </c>
      <c r="AH136" s="207">
        <f>SUMIFS('апрель 2023'!$G$4:$G$692,'апрель 2023'!$D$4:$D$692,$B136,'апрель 2023'!$J$4:$J$692,AH$1)</f>
        <v>0</v>
      </c>
      <c r="AI136" s="220">
        <f t="shared" si="3"/>
        <v>0</v>
      </c>
    </row>
    <row r="137" spans="2:35" ht="15" hidden="1" customHeight="1" x14ac:dyDescent="0.25">
      <c r="B137" s="212"/>
      <c r="C137" s="211"/>
      <c r="D137" s="207">
        <f>SUMIFS('апрель 2023'!$G$4:$G$692,'апрель 2023'!$D$4:$D$692,$B137,'апрель 2023'!$J$4:$J$692,D$1)</f>
        <v>0</v>
      </c>
      <c r="E137" s="207">
        <f>SUMIFS('апрель 2023'!$G$4:$G$692,'апрель 2023'!$D$4:$D$692,$B137,'апрель 2023'!$J$4:$J$692,E$1)</f>
        <v>0</v>
      </c>
      <c r="F137" s="207">
        <f>SUMIFS('апрель 2023'!$G$4:$G$692,'апрель 2023'!$D$4:$D$692,$B137,'апрель 2023'!$J$4:$J$692,F$1)</f>
        <v>0</v>
      </c>
      <c r="G137" s="207">
        <f>SUMIFS('апрель 2023'!$G$4:$G$692,'апрель 2023'!$D$4:$D$692,$B137,'апрель 2023'!$J$4:$J$692,G$1)</f>
        <v>0</v>
      </c>
      <c r="H137" s="207">
        <f>SUMIFS('апрель 2023'!$G$4:$G$692,'апрель 2023'!$D$4:$D$692,$B137,'апрель 2023'!$J$4:$J$692,H$1)</f>
        <v>0</v>
      </c>
      <c r="I137" s="207">
        <f>SUMIFS('апрель 2023'!$G$4:$G$692,'апрель 2023'!$D$4:$D$692,$B137,'апрель 2023'!$J$4:$J$692,I$1)</f>
        <v>0</v>
      </c>
      <c r="J137" s="207">
        <f>SUMIFS('апрель 2023'!$G$4:$G$692,'апрель 2023'!$D$4:$D$692,$B137,'апрель 2023'!$J$4:$J$692,J$1)</f>
        <v>0</v>
      </c>
      <c r="K137" s="207">
        <f>SUMIFS('апрель 2023'!$G$4:$G$692,'апрель 2023'!$D$4:$D$692,$B137,'апрель 2023'!$J$4:$J$692,K$1)</f>
        <v>0</v>
      </c>
      <c r="L137" s="207">
        <f>SUMIFS('апрель 2023'!$G$4:$G$692,'апрель 2023'!$D$4:$D$692,$B137,'апрель 2023'!$J$4:$J$692,L$1)</f>
        <v>0</v>
      </c>
      <c r="M137" s="207">
        <f>SUMIFS('апрель 2023'!$G$4:$G$692,'апрель 2023'!$D$4:$D$692,$B137,'апрель 2023'!$J$4:$J$692,M$1)</f>
        <v>0</v>
      </c>
      <c r="N137" s="207">
        <f>SUMIFS('апрель 2023'!$G$4:$G$692,'апрель 2023'!$D$4:$D$692,$B137,'апрель 2023'!$J$4:$J$692,N$1)</f>
        <v>0</v>
      </c>
      <c r="O137" s="207">
        <f>SUMIFS('апрель 2023'!$G$4:$G$692,'апрель 2023'!$D$4:$D$692,$B137,'апрель 2023'!$J$4:$J$692,O$1)</f>
        <v>0</v>
      </c>
      <c r="P137" s="207">
        <f>SUMIFS('апрель 2023'!$G$4:$G$692,'апрель 2023'!$D$4:$D$692,$B137,'апрель 2023'!$J$4:$J$692,P$1)</f>
        <v>0</v>
      </c>
      <c r="Q137" s="207">
        <f>SUMIFS('апрель 2023'!$G$4:$G$692,'апрель 2023'!$D$4:$D$692,$B137,'апрель 2023'!$J$4:$J$692,Q$1)</f>
        <v>0</v>
      </c>
      <c r="R137" s="207">
        <f>SUMIFS('апрель 2023'!$G$4:$G$692,'апрель 2023'!$D$4:$D$692,$B137,'апрель 2023'!$J$4:$J$692,R$1)</f>
        <v>0</v>
      </c>
      <c r="S137" s="207">
        <f>SUMIFS('апрель 2023'!$G$4:$G$692,'апрель 2023'!$D$4:$D$692,$B137,'апрель 2023'!$J$4:$J$692,S$1)</f>
        <v>0</v>
      </c>
      <c r="T137" s="207">
        <f>SUMIFS('апрель 2023'!$G$4:$G$692,'апрель 2023'!$D$4:$D$692,$B137,'апрель 2023'!$J$4:$J$692,T$1)</f>
        <v>0</v>
      </c>
      <c r="U137" s="207">
        <f>SUMIFS('апрель 2023'!$G$4:$G$692,'апрель 2023'!$D$4:$D$692,$B137,'апрель 2023'!$J$4:$J$692,U$1)</f>
        <v>0</v>
      </c>
      <c r="V137" s="207">
        <f>SUMIFS('апрель 2023'!$G$4:$G$692,'апрель 2023'!$D$4:$D$692,$B137,'апрель 2023'!$J$4:$J$692,V$1)</f>
        <v>0</v>
      </c>
      <c r="W137" s="207">
        <f>SUMIFS('апрель 2023'!$G$4:$G$692,'апрель 2023'!$D$4:$D$692,$B137,'апрель 2023'!$J$4:$J$692,W$1)</f>
        <v>0</v>
      </c>
      <c r="X137" s="207">
        <f>SUMIFS('апрель 2023'!$G$4:$G$692,'апрель 2023'!$D$4:$D$692,$B137,'апрель 2023'!$J$4:$J$692,X$1)</f>
        <v>0</v>
      </c>
      <c r="Y137" s="207">
        <f>SUMIFS('апрель 2023'!$G$4:$G$692,'апрель 2023'!$D$4:$D$692,$B137,'апрель 2023'!$J$4:$J$692,Y$1)</f>
        <v>0</v>
      </c>
      <c r="Z137" s="207">
        <f>SUMIFS('апрель 2023'!$G$4:$G$692,'апрель 2023'!$D$4:$D$692,$B137,'апрель 2023'!$J$4:$J$692,Z$1)</f>
        <v>0</v>
      </c>
      <c r="AA137" s="207">
        <f>SUMIFS('апрель 2023'!$G$4:$G$692,'апрель 2023'!$D$4:$D$692,$B137,'апрель 2023'!$J$4:$J$692,AA$1)</f>
        <v>0</v>
      </c>
      <c r="AB137" s="207">
        <f>SUMIFS('апрель 2023'!$G$4:$G$692,'апрель 2023'!$D$4:$D$692,$B137,'апрель 2023'!$J$4:$J$692,AB$1)</f>
        <v>0</v>
      </c>
      <c r="AC137" s="207">
        <f>SUMIFS('апрель 2023'!$G$4:$G$692,'апрель 2023'!$D$4:$D$692,$B137,'апрель 2023'!$J$4:$J$692,AC$1)</f>
        <v>0</v>
      </c>
      <c r="AD137" s="207">
        <f>SUMIFS('апрель 2023'!$G$4:$G$692,'апрель 2023'!$D$4:$D$692,$B137,'апрель 2023'!$J$4:$J$692,AD$1)</f>
        <v>0</v>
      </c>
      <c r="AE137" s="207">
        <f>SUMIFS('апрель 2023'!$G$4:$G$692,'апрель 2023'!$D$4:$D$692,$B137,'апрель 2023'!$J$4:$J$692,AE$1)</f>
        <v>0</v>
      </c>
      <c r="AF137" s="207">
        <f>SUMIFS('апрель 2023'!$G$4:$G$692,'апрель 2023'!$D$4:$D$692,$B137,'апрель 2023'!$J$4:$J$692,AF$1)</f>
        <v>0</v>
      </c>
      <c r="AG137" s="207">
        <f>SUMIFS('апрель 2023'!$G$4:$G$692,'апрель 2023'!$D$4:$D$692,$B137,'апрель 2023'!$J$4:$J$692,AG$1)</f>
        <v>0</v>
      </c>
      <c r="AH137" s="207">
        <f>SUMIFS('апрель 2023'!$G$4:$G$692,'апрель 2023'!$D$4:$D$692,$B137,'апрель 2023'!$J$4:$J$692,AH$1)</f>
        <v>0</v>
      </c>
      <c r="AI137" s="220">
        <f t="shared" si="3"/>
        <v>0</v>
      </c>
    </row>
    <row r="138" spans="2:35" ht="15" hidden="1" customHeight="1" x14ac:dyDescent="0.25">
      <c r="B138" s="218"/>
      <c r="C138" s="219"/>
      <c r="D138" s="207">
        <f>SUMIFS('апрель 2023'!$G$4:$G$692,'апрель 2023'!$D$4:$D$692,$B138,'апрель 2023'!$J$4:$J$692,D$1)</f>
        <v>0</v>
      </c>
      <c r="E138" s="207">
        <f>SUMIFS('апрель 2023'!$G$4:$G$692,'апрель 2023'!$D$4:$D$692,$B138,'апрель 2023'!$J$4:$J$692,E$1)</f>
        <v>0</v>
      </c>
      <c r="F138" s="207">
        <f>SUMIFS('апрель 2023'!$G$4:$G$692,'апрель 2023'!$D$4:$D$692,$B138,'апрель 2023'!$J$4:$J$692,F$1)</f>
        <v>0</v>
      </c>
      <c r="G138" s="207">
        <f>SUMIFS('апрель 2023'!$G$4:$G$692,'апрель 2023'!$D$4:$D$692,$B138,'апрель 2023'!$J$4:$J$692,G$1)</f>
        <v>0</v>
      </c>
      <c r="H138" s="207">
        <f>SUMIFS('апрель 2023'!$G$4:$G$692,'апрель 2023'!$D$4:$D$692,$B138,'апрель 2023'!$J$4:$J$692,H$1)</f>
        <v>0</v>
      </c>
      <c r="I138" s="207">
        <f>SUMIFS('апрель 2023'!$G$4:$G$692,'апрель 2023'!$D$4:$D$692,$B138,'апрель 2023'!$J$4:$J$692,I$1)</f>
        <v>0</v>
      </c>
      <c r="J138" s="207">
        <f>SUMIFS('апрель 2023'!$G$4:$G$692,'апрель 2023'!$D$4:$D$692,$B138,'апрель 2023'!$J$4:$J$692,J$1)</f>
        <v>0</v>
      </c>
      <c r="K138" s="207">
        <f>SUMIFS('апрель 2023'!$G$4:$G$692,'апрель 2023'!$D$4:$D$692,$B138,'апрель 2023'!$J$4:$J$692,K$1)</f>
        <v>0</v>
      </c>
      <c r="L138" s="207">
        <f>SUMIFS('апрель 2023'!$G$4:$G$692,'апрель 2023'!$D$4:$D$692,$B138,'апрель 2023'!$J$4:$J$692,L$1)</f>
        <v>0</v>
      </c>
      <c r="M138" s="207">
        <f>SUMIFS('апрель 2023'!$G$4:$G$692,'апрель 2023'!$D$4:$D$692,$B138,'апрель 2023'!$J$4:$J$692,M$1)</f>
        <v>0</v>
      </c>
      <c r="N138" s="207">
        <f>SUMIFS('апрель 2023'!$G$4:$G$692,'апрель 2023'!$D$4:$D$692,$B138,'апрель 2023'!$J$4:$J$692,N$1)</f>
        <v>0</v>
      </c>
      <c r="O138" s="207">
        <f>SUMIFS('апрель 2023'!$G$4:$G$692,'апрель 2023'!$D$4:$D$692,$B138,'апрель 2023'!$J$4:$J$692,O$1)</f>
        <v>0</v>
      </c>
      <c r="P138" s="207">
        <f>SUMIFS('апрель 2023'!$G$4:$G$692,'апрель 2023'!$D$4:$D$692,$B138,'апрель 2023'!$J$4:$J$692,P$1)</f>
        <v>0</v>
      </c>
      <c r="Q138" s="207">
        <f>SUMIFS('апрель 2023'!$G$4:$G$692,'апрель 2023'!$D$4:$D$692,$B138,'апрель 2023'!$J$4:$J$692,Q$1)</f>
        <v>0</v>
      </c>
      <c r="R138" s="207">
        <f>SUMIFS('апрель 2023'!$G$4:$G$692,'апрель 2023'!$D$4:$D$692,$B138,'апрель 2023'!$J$4:$J$692,R$1)</f>
        <v>0</v>
      </c>
      <c r="S138" s="207">
        <f>SUMIFS('апрель 2023'!$G$4:$G$692,'апрель 2023'!$D$4:$D$692,$B138,'апрель 2023'!$J$4:$J$692,S$1)</f>
        <v>0</v>
      </c>
      <c r="T138" s="207">
        <f>SUMIFS('апрель 2023'!$G$4:$G$692,'апрель 2023'!$D$4:$D$692,$B138,'апрель 2023'!$J$4:$J$692,T$1)</f>
        <v>0</v>
      </c>
      <c r="U138" s="207">
        <f>SUMIFS('апрель 2023'!$G$4:$G$692,'апрель 2023'!$D$4:$D$692,$B138,'апрель 2023'!$J$4:$J$692,U$1)</f>
        <v>0</v>
      </c>
      <c r="V138" s="207">
        <f>SUMIFS('апрель 2023'!$G$4:$G$692,'апрель 2023'!$D$4:$D$692,$B138,'апрель 2023'!$J$4:$J$692,V$1)</f>
        <v>0</v>
      </c>
      <c r="W138" s="207">
        <f>SUMIFS('апрель 2023'!$G$4:$G$692,'апрель 2023'!$D$4:$D$692,$B138,'апрель 2023'!$J$4:$J$692,W$1)</f>
        <v>0</v>
      </c>
      <c r="X138" s="207">
        <f>SUMIFS('апрель 2023'!$G$4:$G$692,'апрель 2023'!$D$4:$D$692,$B138,'апрель 2023'!$J$4:$J$692,X$1)</f>
        <v>0</v>
      </c>
      <c r="Y138" s="207">
        <f>SUMIFS('апрель 2023'!$G$4:$G$692,'апрель 2023'!$D$4:$D$692,$B138,'апрель 2023'!$J$4:$J$692,Y$1)</f>
        <v>0</v>
      </c>
      <c r="Z138" s="207">
        <f>SUMIFS('апрель 2023'!$G$4:$G$692,'апрель 2023'!$D$4:$D$692,$B138,'апрель 2023'!$J$4:$J$692,Z$1)</f>
        <v>0</v>
      </c>
      <c r="AA138" s="207">
        <f>SUMIFS('апрель 2023'!$G$4:$G$692,'апрель 2023'!$D$4:$D$692,$B138,'апрель 2023'!$J$4:$J$692,AA$1)</f>
        <v>0</v>
      </c>
      <c r="AB138" s="207">
        <f>SUMIFS('апрель 2023'!$G$4:$G$692,'апрель 2023'!$D$4:$D$692,$B138,'апрель 2023'!$J$4:$J$692,AB$1)</f>
        <v>0</v>
      </c>
      <c r="AC138" s="207">
        <f>SUMIFS('апрель 2023'!$G$4:$G$692,'апрель 2023'!$D$4:$D$692,$B138,'апрель 2023'!$J$4:$J$692,AC$1)</f>
        <v>0</v>
      </c>
      <c r="AD138" s="207">
        <f>SUMIFS('апрель 2023'!$G$4:$G$692,'апрель 2023'!$D$4:$D$692,$B138,'апрель 2023'!$J$4:$J$692,AD$1)</f>
        <v>0</v>
      </c>
      <c r="AE138" s="207">
        <f>SUMIFS('апрель 2023'!$G$4:$G$692,'апрель 2023'!$D$4:$D$692,$B138,'апрель 2023'!$J$4:$J$692,AE$1)</f>
        <v>0</v>
      </c>
      <c r="AF138" s="207">
        <f>SUMIFS('апрель 2023'!$G$4:$G$692,'апрель 2023'!$D$4:$D$692,$B138,'апрель 2023'!$J$4:$J$692,AF$1)</f>
        <v>0</v>
      </c>
      <c r="AG138" s="207">
        <f>SUMIFS('апрель 2023'!$G$4:$G$692,'апрель 2023'!$D$4:$D$692,$B138,'апрель 2023'!$J$4:$J$692,AG$1)</f>
        <v>0</v>
      </c>
      <c r="AH138" s="207">
        <f>SUMIFS('апрель 2023'!$G$4:$G$692,'апрель 2023'!$D$4:$D$692,$B138,'апрель 2023'!$J$4:$J$692,AH$1)</f>
        <v>0</v>
      </c>
      <c r="AI138" s="220">
        <f t="shared" si="3"/>
        <v>0</v>
      </c>
    </row>
    <row r="139" spans="2:35" ht="15" hidden="1" customHeight="1" x14ac:dyDescent="0.25">
      <c r="B139" s="212"/>
      <c r="C139" s="213"/>
      <c r="D139" s="207">
        <f>SUMIFS('апрель 2023'!$G$4:$G$692,'апрель 2023'!$D$4:$D$692,$B139,'апрель 2023'!$J$4:$J$692,D$1)</f>
        <v>0</v>
      </c>
      <c r="E139" s="207">
        <f>SUMIFS('апрель 2023'!$G$4:$G$692,'апрель 2023'!$D$4:$D$692,$B139,'апрель 2023'!$J$4:$J$692,E$1)</f>
        <v>0</v>
      </c>
      <c r="F139" s="207">
        <f>SUMIFS('апрель 2023'!$G$4:$G$692,'апрель 2023'!$D$4:$D$692,$B139,'апрель 2023'!$J$4:$J$692,F$1)</f>
        <v>0</v>
      </c>
      <c r="G139" s="207">
        <f>SUMIFS('апрель 2023'!$G$4:$G$692,'апрель 2023'!$D$4:$D$692,$B139,'апрель 2023'!$J$4:$J$692,G$1)</f>
        <v>0</v>
      </c>
      <c r="H139" s="207">
        <f>SUMIFS('апрель 2023'!$G$4:$G$692,'апрель 2023'!$D$4:$D$692,$B139,'апрель 2023'!$J$4:$J$692,H$1)</f>
        <v>0</v>
      </c>
      <c r="I139" s="207">
        <f>SUMIFS('апрель 2023'!$G$4:$G$692,'апрель 2023'!$D$4:$D$692,$B139,'апрель 2023'!$J$4:$J$692,I$1)</f>
        <v>0</v>
      </c>
      <c r="J139" s="207">
        <f>SUMIFS('апрель 2023'!$G$4:$G$692,'апрель 2023'!$D$4:$D$692,$B139,'апрель 2023'!$J$4:$J$692,J$1)</f>
        <v>0</v>
      </c>
      <c r="K139" s="207">
        <f>SUMIFS('апрель 2023'!$G$4:$G$692,'апрель 2023'!$D$4:$D$692,$B139,'апрель 2023'!$J$4:$J$692,K$1)</f>
        <v>0</v>
      </c>
      <c r="L139" s="207">
        <f>SUMIFS('апрель 2023'!$G$4:$G$692,'апрель 2023'!$D$4:$D$692,$B139,'апрель 2023'!$J$4:$J$692,L$1)</f>
        <v>0</v>
      </c>
      <c r="M139" s="207">
        <f>SUMIFS('апрель 2023'!$G$4:$G$692,'апрель 2023'!$D$4:$D$692,$B139,'апрель 2023'!$J$4:$J$692,M$1)</f>
        <v>0</v>
      </c>
      <c r="N139" s="207">
        <f>SUMIFS('апрель 2023'!$G$4:$G$692,'апрель 2023'!$D$4:$D$692,$B139,'апрель 2023'!$J$4:$J$692,N$1)</f>
        <v>0</v>
      </c>
      <c r="O139" s="207">
        <f>SUMIFS('апрель 2023'!$G$4:$G$692,'апрель 2023'!$D$4:$D$692,$B139,'апрель 2023'!$J$4:$J$692,O$1)</f>
        <v>0</v>
      </c>
      <c r="P139" s="207">
        <f>SUMIFS('апрель 2023'!$G$4:$G$692,'апрель 2023'!$D$4:$D$692,$B139,'апрель 2023'!$J$4:$J$692,P$1)</f>
        <v>0</v>
      </c>
      <c r="Q139" s="207">
        <f>SUMIFS('апрель 2023'!$G$4:$G$692,'апрель 2023'!$D$4:$D$692,$B139,'апрель 2023'!$J$4:$J$692,Q$1)</f>
        <v>0</v>
      </c>
      <c r="R139" s="207">
        <f>SUMIFS('апрель 2023'!$G$4:$G$692,'апрель 2023'!$D$4:$D$692,$B139,'апрель 2023'!$J$4:$J$692,R$1)</f>
        <v>0</v>
      </c>
      <c r="S139" s="207">
        <f>SUMIFS('апрель 2023'!$G$4:$G$692,'апрель 2023'!$D$4:$D$692,$B139,'апрель 2023'!$J$4:$J$692,S$1)</f>
        <v>0</v>
      </c>
      <c r="T139" s="207">
        <f>SUMIFS('апрель 2023'!$G$4:$G$692,'апрель 2023'!$D$4:$D$692,$B139,'апрель 2023'!$J$4:$J$692,T$1)</f>
        <v>0</v>
      </c>
      <c r="U139" s="207">
        <f>SUMIFS('апрель 2023'!$G$4:$G$692,'апрель 2023'!$D$4:$D$692,$B139,'апрель 2023'!$J$4:$J$692,U$1)</f>
        <v>0</v>
      </c>
      <c r="V139" s="207">
        <f>SUMIFS('апрель 2023'!$G$4:$G$692,'апрель 2023'!$D$4:$D$692,$B139,'апрель 2023'!$J$4:$J$692,V$1)</f>
        <v>0</v>
      </c>
      <c r="W139" s="207">
        <f>SUMIFS('апрель 2023'!$G$4:$G$692,'апрель 2023'!$D$4:$D$692,$B139,'апрель 2023'!$J$4:$J$692,W$1)</f>
        <v>0</v>
      </c>
      <c r="X139" s="207">
        <f>SUMIFS('апрель 2023'!$G$4:$G$692,'апрель 2023'!$D$4:$D$692,$B139,'апрель 2023'!$J$4:$J$692,X$1)</f>
        <v>0</v>
      </c>
      <c r="Y139" s="207">
        <f>SUMIFS('апрель 2023'!$G$4:$G$692,'апрель 2023'!$D$4:$D$692,$B139,'апрель 2023'!$J$4:$J$692,Y$1)</f>
        <v>0</v>
      </c>
      <c r="Z139" s="207">
        <f>SUMIFS('апрель 2023'!$G$4:$G$692,'апрель 2023'!$D$4:$D$692,$B139,'апрель 2023'!$J$4:$J$692,Z$1)</f>
        <v>0</v>
      </c>
      <c r="AA139" s="207">
        <f>SUMIFS('апрель 2023'!$G$4:$G$692,'апрель 2023'!$D$4:$D$692,$B139,'апрель 2023'!$J$4:$J$692,AA$1)</f>
        <v>0</v>
      </c>
      <c r="AB139" s="207">
        <f>SUMIFS('апрель 2023'!$G$4:$G$692,'апрель 2023'!$D$4:$D$692,$B139,'апрель 2023'!$J$4:$J$692,AB$1)</f>
        <v>0</v>
      </c>
      <c r="AC139" s="207">
        <f>SUMIFS('апрель 2023'!$G$4:$G$692,'апрель 2023'!$D$4:$D$692,$B139,'апрель 2023'!$J$4:$J$692,AC$1)</f>
        <v>0</v>
      </c>
      <c r="AD139" s="207">
        <f>SUMIFS('апрель 2023'!$G$4:$G$692,'апрель 2023'!$D$4:$D$692,$B139,'апрель 2023'!$J$4:$J$692,AD$1)</f>
        <v>0</v>
      </c>
      <c r="AE139" s="207">
        <f>SUMIFS('апрель 2023'!$G$4:$G$692,'апрель 2023'!$D$4:$D$692,$B139,'апрель 2023'!$J$4:$J$692,AE$1)</f>
        <v>0</v>
      </c>
      <c r="AF139" s="207">
        <f>SUMIFS('апрель 2023'!$G$4:$G$692,'апрель 2023'!$D$4:$D$692,$B139,'апрель 2023'!$J$4:$J$692,AF$1)</f>
        <v>0</v>
      </c>
      <c r="AG139" s="207">
        <f>SUMIFS('апрель 2023'!$G$4:$G$692,'апрель 2023'!$D$4:$D$692,$B139,'апрель 2023'!$J$4:$J$692,AG$1)</f>
        <v>0</v>
      </c>
      <c r="AH139" s="207">
        <f>SUMIFS('апрель 2023'!$G$4:$G$692,'апрель 2023'!$D$4:$D$692,$B139,'апрель 2023'!$J$4:$J$692,AH$1)</f>
        <v>0</v>
      </c>
      <c r="AI139" s="220">
        <f t="shared" si="3"/>
        <v>0</v>
      </c>
    </row>
    <row r="140" spans="2:35" ht="15" hidden="1" customHeight="1" x14ac:dyDescent="0.25">
      <c r="B140" s="212"/>
      <c r="C140" s="211"/>
      <c r="D140" s="207">
        <f>SUMIFS('апрель 2023'!$G$4:$G$692,'апрель 2023'!$D$4:$D$692,$B140,'апрель 2023'!$J$4:$J$692,D$1)</f>
        <v>0</v>
      </c>
      <c r="E140" s="207">
        <f>SUMIFS('апрель 2023'!$G$4:$G$692,'апрель 2023'!$D$4:$D$692,$B140,'апрель 2023'!$J$4:$J$692,E$1)</f>
        <v>0</v>
      </c>
      <c r="F140" s="207">
        <f>SUMIFS('апрель 2023'!$G$4:$G$692,'апрель 2023'!$D$4:$D$692,$B140,'апрель 2023'!$J$4:$J$692,F$1)</f>
        <v>0</v>
      </c>
      <c r="G140" s="207">
        <f>SUMIFS('апрель 2023'!$G$4:$G$692,'апрель 2023'!$D$4:$D$692,$B140,'апрель 2023'!$J$4:$J$692,G$1)</f>
        <v>0</v>
      </c>
      <c r="H140" s="207">
        <f>SUMIFS('апрель 2023'!$G$4:$G$692,'апрель 2023'!$D$4:$D$692,$B140,'апрель 2023'!$J$4:$J$692,H$1)</f>
        <v>0</v>
      </c>
      <c r="I140" s="207">
        <f>SUMIFS('апрель 2023'!$G$4:$G$692,'апрель 2023'!$D$4:$D$692,$B140,'апрель 2023'!$J$4:$J$692,I$1)</f>
        <v>0</v>
      </c>
      <c r="J140" s="207">
        <f>SUMIFS('апрель 2023'!$G$4:$G$692,'апрель 2023'!$D$4:$D$692,$B140,'апрель 2023'!$J$4:$J$692,J$1)</f>
        <v>0</v>
      </c>
      <c r="K140" s="207">
        <f>SUMIFS('апрель 2023'!$G$4:$G$692,'апрель 2023'!$D$4:$D$692,$B140,'апрель 2023'!$J$4:$J$692,K$1)</f>
        <v>0</v>
      </c>
      <c r="L140" s="207">
        <f>SUMIFS('апрель 2023'!$G$4:$G$692,'апрель 2023'!$D$4:$D$692,$B140,'апрель 2023'!$J$4:$J$692,L$1)</f>
        <v>0</v>
      </c>
      <c r="M140" s="207">
        <f>SUMIFS('апрель 2023'!$G$4:$G$692,'апрель 2023'!$D$4:$D$692,$B140,'апрель 2023'!$J$4:$J$692,M$1)</f>
        <v>0</v>
      </c>
      <c r="N140" s="207">
        <f>SUMIFS('апрель 2023'!$G$4:$G$692,'апрель 2023'!$D$4:$D$692,$B140,'апрель 2023'!$J$4:$J$692,N$1)</f>
        <v>0</v>
      </c>
      <c r="O140" s="207">
        <f>SUMIFS('апрель 2023'!$G$4:$G$692,'апрель 2023'!$D$4:$D$692,$B140,'апрель 2023'!$J$4:$J$692,O$1)</f>
        <v>0</v>
      </c>
      <c r="P140" s="207">
        <f>SUMIFS('апрель 2023'!$G$4:$G$692,'апрель 2023'!$D$4:$D$692,$B140,'апрель 2023'!$J$4:$J$692,P$1)</f>
        <v>0</v>
      </c>
      <c r="Q140" s="207">
        <f>SUMIFS('апрель 2023'!$G$4:$G$692,'апрель 2023'!$D$4:$D$692,$B140,'апрель 2023'!$J$4:$J$692,Q$1)</f>
        <v>0</v>
      </c>
      <c r="R140" s="207">
        <f>SUMIFS('апрель 2023'!$G$4:$G$692,'апрель 2023'!$D$4:$D$692,$B140,'апрель 2023'!$J$4:$J$692,R$1)</f>
        <v>0</v>
      </c>
      <c r="S140" s="207">
        <f>SUMIFS('апрель 2023'!$G$4:$G$692,'апрель 2023'!$D$4:$D$692,$B140,'апрель 2023'!$J$4:$J$692,S$1)</f>
        <v>0</v>
      </c>
      <c r="T140" s="207">
        <f>SUMIFS('апрель 2023'!$G$4:$G$692,'апрель 2023'!$D$4:$D$692,$B140,'апрель 2023'!$J$4:$J$692,T$1)</f>
        <v>0</v>
      </c>
      <c r="U140" s="207">
        <f>SUMIFS('апрель 2023'!$G$4:$G$692,'апрель 2023'!$D$4:$D$692,$B140,'апрель 2023'!$J$4:$J$692,U$1)</f>
        <v>0</v>
      </c>
      <c r="V140" s="207">
        <f>SUMIFS('апрель 2023'!$G$4:$G$692,'апрель 2023'!$D$4:$D$692,$B140,'апрель 2023'!$J$4:$J$692,V$1)</f>
        <v>0</v>
      </c>
      <c r="W140" s="207">
        <f>SUMIFS('апрель 2023'!$G$4:$G$692,'апрель 2023'!$D$4:$D$692,$B140,'апрель 2023'!$J$4:$J$692,W$1)</f>
        <v>0</v>
      </c>
      <c r="X140" s="207">
        <f>SUMIFS('апрель 2023'!$G$4:$G$692,'апрель 2023'!$D$4:$D$692,$B140,'апрель 2023'!$J$4:$J$692,X$1)</f>
        <v>0</v>
      </c>
      <c r="Y140" s="207">
        <f>SUMIFS('апрель 2023'!$G$4:$G$692,'апрель 2023'!$D$4:$D$692,$B140,'апрель 2023'!$J$4:$J$692,Y$1)</f>
        <v>0</v>
      </c>
      <c r="Z140" s="207">
        <f>SUMIFS('апрель 2023'!$G$4:$G$692,'апрель 2023'!$D$4:$D$692,$B140,'апрель 2023'!$J$4:$J$692,Z$1)</f>
        <v>0</v>
      </c>
      <c r="AA140" s="207">
        <f>SUMIFS('апрель 2023'!$G$4:$G$692,'апрель 2023'!$D$4:$D$692,$B140,'апрель 2023'!$J$4:$J$692,AA$1)</f>
        <v>0</v>
      </c>
      <c r="AB140" s="207">
        <f>SUMIFS('апрель 2023'!$G$4:$G$692,'апрель 2023'!$D$4:$D$692,$B140,'апрель 2023'!$J$4:$J$692,AB$1)</f>
        <v>0</v>
      </c>
      <c r="AC140" s="207">
        <f>SUMIFS('апрель 2023'!$G$4:$G$692,'апрель 2023'!$D$4:$D$692,$B140,'апрель 2023'!$J$4:$J$692,AC$1)</f>
        <v>0</v>
      </c>
      <c r="AD140" s="207">
        <f>SUMIFS('апрель 2023'!$G$4:$G$692,'апрель 2023'!$D$4:$D$692,$B140,'апрель 2023'!$J$4:$J$692,AD$1)</f>
        <v>0</v>
      </c>
      <c r="AE140" s="207">
        <f>SUMIFS('апрель 2023'!$G$4:$G$692,'апрель 2023'!$D$4:$D$692,$B140,'апрель 2023'!$J$4:$J$692,AE$1)</f>
        <v>0</v>
      </c>
      <c r="AF140" s="207">
        <f>SUMIFS('апрель 2023'!$G$4:$G$692,'апрель 2023'!$D$4:$D$692,$B140,'апрель 2023'!$J$4:$J$692,AF$1)</f>
        <v>0</v>
      </c>
      <c r="AG140" s="207">
        <f>SUMIFS('апрель 2023'!$G$4:$G$692,'апрель 2023'!$D$4:$D$692,$B140,'апрель 2023'!$J$4:$J$692,AG$1)</f>
        <v>0</v>
      </c>
      <c r="AH140" s="207">
        <f>SUMIFS('апрель 2023'!$G$4:$G$692,'апрель 2023'!$D$4:$D$692,$B140,'апрель 2023'!$J$4:$J$692,AH$1)</f>
        <v>0</v>
      </c>
      <c r="AI140" s="220">
        <f t="shared" si="3"/>
        <v>0</v>
      </c>
    </row>
    <row r="141" spans="2:35" ht="15" hidden="1" customHeight="1" x14ac:dyDescent="0.25">
      <c r="B141" s="212"/>
      <c r="C141" s="211"/>
      <c r="D141" s="207">
        <f>SUMIFS('апрель 2023'!$G$4:$G$692,'апрель 2023'!$D$4:$D$692,$B141,'апрель 2023'!$J$4:$J$692,D$1)</f>
        <v>0</v>
      </c>
      <c r="E141" s="207">
        <f>SUMIFS('апрель 2023'!$G$4:$G$692,'апрель 2023'!$D$4:$D$692,$B141,'апрель 2023'!$J$4:$J$692,E$1)</f>
        <v>0</v>
      </c>
      <c r="F141" s="207">
        <f>SUMIFS('апрель 2023'!$G$4:$G$692,'апрель 2023'!$D$4:$D$692,$B141,'апрель 2023'!$J$4:$J$692,F$1)</f>
        <v>0</v>
      </c>
      <c r="G141" s="207">
        <f>SUMIFS('апрель 2023'!$G$4:$G$692,'апрель 2023'!$D$4:$D$692,$B141,'апрель 2023'!$J$4:$J$692,G$1)</f>
        <v>0</v>
      </c>
      <c r="H141" s="207">
        <f>SUMIFS('апрель 2023'!$G$4:$G$692,'апрель 2023'!$D$4:$D$692,$B141,'апрель 2023'!$J$4:$J$692,H$1)</f>
        <v>0</v>
      </c>
      <c r="I141" s="207">
        <f>SUMIFS('апрель 2023'!$G$4:$G$692,'апрель 2023'!$D$4:$D$692,$B141,'апрель 2023'!$J$4:$J$692,I$1)</f>
        <v>0</v>
      </c>
      <c r="J141" s="207">
        <f>SUMIFS('апрель 2023'!$G$4:$G$692,'апрель 2023'!$D$4:$D$692,$B141,'апрель 2023'!$J$4:$J$692,J$1)</f>
        <v>0</v>
      </c>
      <c r="K141" s="207">
        <f>SUMIFS('апрель 2023'!$G$4:$G$692,'апрель 2023'!$D$4:$D$692,$B141,'апрель 2023'!$J$4:$J$692,K$1)</f>
        <v>0</v>
      </c>
      <c r="L141" s="207">
        <f>SUMIFS('апрель 2023'!$G$4:$G$692,'апрель 2023'!$D$4:$D$692,$B141,'апрель 2023'!$J$4:$J$692,L$1)</f>
        <v>0</v>
      </c>
      <c r="M141" s="207">
        <f>SUMIFS('апрель 2023'!$G$4:$G$692,'апрель 2023'!$D$4:$D$692,$B141,'апрель 2023'!$J$4:$J$692,M$1)</f>
        <v>0</v>
      </c>
      <c r="N141" s="207">
        <f>SUMIFS('апрель 2023'!$G$4:$G$692,'апрель 2023'!$D$4:$D$692,$B141,'апрель 2023'!$J$4:$J$692,N$1)</f>
        <v>0</v>
      </c>
      <c r="O141" s="207">
        <f>SUMIFS('апрель 2023'!$G$4:$G$692,'апрель 2023'!$D$4:$D$692,$B141,'апрель 2023'!$J$4:$J$692,O$1)</f>
        <v>0</v>
      </c>
      <c r="P141" s="207">
        <f>SUMIFS('апрель 2023'!$G$4:$G$692,'апрель 2023'!$D$4:$D$692,$B141,'апрель 2023'!$J$4:$J$692,P$1)</f>
        <v>0</v>
      </c>
      <c r="Q141" s="207">
        <f>SUMIFS('апрель 2023'!$G$4:$G$692,'апрель 2023'!$D$4:$D$692,$B141,'апрель 2023'!$J$4:$J$692,Q$1)</f>
        <v>0</v>
      </c>
      <c r="R141" s="207">
        <f>SUMIFS('апрель 2023'!$G$4:$G$692,'апрель 2023'!$D$4:$D$692,$B141,'апрель 2023'!$J$4:$J$692,R$1)</f>
        <v>0</v>
      </c>
      <c r="S141" s="207">
        <f>SUMIFS('апрель 2023'!$G$4:$G$692,'апрель 2023'!$D$4:$D$692,$B141,'апрель 2023'!$J$4:$J$692,S$1)</f>
        <v>0</v>
      </c>
      <c r="T141" s="207">
        <f>SUMIFS('апрель 2023'!$G$4:$G$692,'апрель 2023'!$D$4:$D$692,$B141,'апрель 2023'!$J$4:$J$692,T$1)</f>
        <v>0</v>
      </c>
      <c r="U141" s="207">
        <f>SUMIFS('апрель 2023'!$G$4:$G$692,'апрель 2023'!$D$4:$D$692,$B141,'апрель 2023'!$J$4:$J$692,U$1)</f>
        <v>0</v>
      </c>
      <c r="V141" s="207">
        <f>SUMIFS('апрель 2023'!$G$4:$G$692,'апрель 2023'!$D$4:$D$692,$B141,'апрель 2023'!$J$4:$J$692,V$1)</f>
        <v>0</v>
      </c>
      <c r="W141" s="207">
        <f>SUMIFS('апрель 2023'!$G$4:$G$692,'апрель 2023'!$D$4:$D$692,$B141,'апрель 2023'!$J$4:$J$692,W$1)</f>
        <v>0</v>
      </c>
      <c r="X141" s="207">
        <f>SUMIFS('апрель 2023'!$G$4:$G$692,'апрель 2023'!$D$4:$D$692,$B141,'апрель 2023'!$J$4:$J$692,X$1)</f>
        <v>0</v>
      </c>
      <c r="Y141" s="207">
        <f>SUMIFS('апрель 2023'!$G$4:$G$692,'апрель 2023'!$D$4:$D$692,$B141,'апрель 2023'!$J$4:$J$692,Y$1)</f>
        <v>0</v>
      </c>
      <c r="Z141" s="207">
        <f>SUMIFS('апрель 2023'!$G$4:$G$692,'апрель 2023'!$D$4:$D$692,$B141,'апрель 2023'!$J$4:$J$692,Z$1)</f>
        <v>0</v>
      </c>
      <c r="AA141" s="207">
        <f>SUMIFS('апрель 2023'!$G$4:$G$692,'апрель 2023'!$D$4:$D$692,$B141,'апрель 2023'!$J$4:$J$692,AA$1)</f>
        <v>0</v>
      </c>
      <c r="AB141" s="207">
        <f>SUMIFS('апрель 2023'!$G$4:$G$692,'апрель 2023'!$D$4:$D$692,$B141,'апрель 2023'!$J$4:$J$692,AB$1)</f>
        <v>0</v>
      </c>
      <c r="AC141" s="207">
        <f>SUMIFS('апрель 2023'!$G$4:$G$692,'апрель 2023'!$D$4:$D$692,$B141,'апрель 2023'!$J$4:$J$692,AC$1)</f>
        <v>0</v>
      </c>
      <c r="AD141" s="207">
        <f>SUMIFS('апрель 2023'!$G$4:$G$692,'апрель 2023'!$D$4:$D$692,$B141,'апрель 2023'!$J$4:$J$692,AD$1)</f>
        <v>0</v>
      </c>
      <c r="AE141" s="207">
        <f>SUMIFS('апрель 2023'!$G$4:$G$692,'апрель 2023'!$D$4:$D$692,$B141,'апрель 2023'!$J$4:$J$692,AE$1)</f>
        <v>0</v>
      </c>
      <c r="AF141" s="207">
        <f>SUMIFS('апрель 2023'!$G$4:$G$692,'апрель 2023'!$D$4:$D$692,$B141,'апрель 2023'!$J$4:$J$692,AF$1)</f>
        <v>0</v>
      </c>
      <c r="AG141" s="207">
        <f>SUMIFS('апрель 2023'!$G$4:$G$692,'апрель 2023'!$D$4:$D$692,$B141,'апрель 2023'!$J$4:$J$692,AG$1)</f>
        <v>0</v>
      </c>
      <c r="AH141" s="207">
        <f>SUMIFS('апрель 2023'!$G$4:$G$692,'апрель 2023'!$D$4:$D$692,$B141,'апрель 2023'!$J$4:$J$692,AH$1)</f>
        <v>0</v>
      </c>
      <c r="AI141" s="220">
        <f t="shared" si="3"/>
        <v>0</v>
      </c>
    </row>
    <row r="142" spans="2:35" ht="15" hidden="1" customHeight="1" x14ac:dyDescent="0.25">
      <c r="B142" s="212"/>
      <c r="C142" s="215"/>
      <c r="D142" s="207">
        <f>SUMIFS('апрель 2023'!$G$4:$G$692,'апрель 2023'!$D$4:$D$692,$B142,'апрель 2023'!$J$4:$J$692,D$1)</f>
        <v>0</v>
      </c>
      <c r="E142" s="207">
        <f>SUMIFS('апрель 2023'!$G$4:$G$692,'апрель 2023'!$D$4:$D$692,$B142,'апрель 2023'!$J$4:$J$692,E$1)</f>
        <v>0</v>
      </c>
      <c r="F142" s="207">
        <f>SUMIFS('апрель 2023'!$G$4:$G$692,'апрель 2023'!$D$4:$D$692,$B142,'апрель 2023'!$J$4:$J$692,F$1)</f>
        <v>0</v>
      </c>
      <c r="G142" s="207">
        <f>SUMIFS('апрель 2023'!$G$4:$G$692,'апрель 2023'!$D$4:$D$692,$B142,'апрель 2023'!$J$4:$J$692,G$1)</f>
        <v>0</v>
      </c>
      <c r="H142" s="207">
        <f>SUMIFS('апрель 2023'!$G$4:$G$692,'апрель 2023'!$D$4:$D$692,$B142,'апрель 2023'!$J$4:$J$692,H$1)</f>
        <v>0</v>
      </c>
      <c r="I142" s="207">
        <f>SUMIFS('апрель 2023'!$G$4:$G$692,'апрель 2023'!$D$4:$D$692,$B142,'апрель 2023'!$J$4:$J$692,I$1)</f>
        <v>0</v>
      </c>
      <c r="J142" s="207">
        <f>SUMIFS('апрель 2023'!$G$4:$G$692,'апрель 2023'!$D$4:$D$692,$B142,'апрель 2023'!$J$4:$J$692,J$1)</f>
        <v>0</v>
      </c>
      <c r="K142" s="207">
        <f>SUMIFS('апрель 2023'!$G$4:$G$692,'апрель 2023'!$D$4:$D$692,$B142,'апрель 2023'!$J$4:$J$692,K$1)</f>
        <v>0</v>
      </c>
      <c r="L142" s="207">
        <f>SUMIFS('апрель 2023'!$G$4:$G$692,'апрель 2023'!$D$4:$D$692,$B142,'апрель 2023'!$J$4:$J$692,L$1)</f>
        <v>0</v>
      </c>
      <c r="M142" s="207">
        <f>SUMIFS('апрель 2023'!$G$4:$G$692,'апрель 2023'!$D$4:$D$692,$B142,'апрель 2023'!$J$4:$J$692,M$1)</f>
        <v>0</v>
      </c>
      <c r="N142" s="207">
        <f>SUMIFS('апрель 2023'!$G$4:$G$692,'апрель 2023'!$D$4:$D$692,$B142,'апрель 2023'!$J$4:$J$692,N$1)</f>
        <v>0</v>
      </c>
      <c r="O142" s="207">
        <f>SUMIFS('апрель 2023'!$G$4:$G$692,'апрель 2023'!$D$4:$D$692,$B142,'апрель 2023'!$J$4:$J$692,O$1)</f>
        <v>0</v>
      </c>
      <c r="P142" s="207">
        <f>SUMIFS('апрель 2023'!$G$4:$G$692,'апрель 2023'!$D$4:$D$692,$B142,'апрель 2023'!$J$4:$J$692,P$1)</f>
        <v>0</v>
      </c>
      <c r="Q142" s="207">
        <f>SUMIFS('апрель 2023'!$G$4:$G$692,'апрель 2023'!$D$4:$D$692,$B142,'апрель 2023'!$J$4:$J$692,Q$1)</f>
        <v>0</v>
      </c>
      <c r="R142" s="207">
        <f>SUMIFS('апрель 2023'!$G$4:$G$692,'апрель 2023'!$D$4:$D$692,$B142,'апрель 2023'!$J$4:$J$692,R$1)</f>
        <v>0</v>
      </c>
      <c r="S142" s="207">
        <f>SUMIFS('апрель 2023'!$G$4:$G$692,'апрель 2023'!$D$4:$D$692,$B142,'апрель 2023'!$J$4:$J$692,S$1)</f>
        <v>0</v>
      </c>
      <c r="T142" s="207">
        <f>SUMIFS('апрель 2023'!$G$4:$G$692,'апрель 2023'!$D$4:$D$692,$B142,'апрель 2023'!$J$4:$J$692,T$1)</f>
        <v>0</v>
      </c>
      <c r="U142" s="207">
        <f>SUMIFS('апрель 2023'!$G$4:$G$692,'апрель 2023'!$D$4:$D$692,$B142,'апрель 2023'!$J$4:$J$692,U$1)</f>
        <v>0</v>
      </c>
      <c r="V142" s="207">
        <f>SUMIFS('апрель 2023'!$G$4:$G$692,'апрель 2023'!$D$4:$D$692,$B142,'апрель 2023'!$J$4:$J$692,V$1)</f>
        <v>0</v>
      </c>
      <c r="W142" s="207">
        <f>SUMIFS('апрель 2023'!$G$4:$G$692,'апрель 2023'!$D$4:$D$692,$B142,'апрель 2023'!$J$4:$J$692,W$1)</f>
        <v>0</v>
      </c>
      <c r="X142" s="207">
        <f>SUMIFS('апрель 2023'!$G$4:$G$692,'апрель 2023'!$D$4:$D$692,$B142,'апрель 2023'!$J$4:$J$692,X$1)</f>
        <v>0</v>
      </c>
      <c r="Y142" s="207">
        <f>SUMIFS('апрель 2023'!$G$4:$G$692,'апрель 2023'!$D$4:$D$692,$B142,'апрель 2023'!$J$4:$J$692,Y$1)</f>
        <v>0</v>
      </c>
      <c r="Z142" s="207">
        <f>SUMIFS('апрель 2023'!$G$4:$G$692,'апрель 2023'!$D$4:$D$692,$B142,'апрель 2023'!$J$4:$J$692,Z$1)</f>
        <v>0</v>
      </c>
      <c r="AA142" s="207">
        <f>SUMIFS('апрель 2023'!$G$4:$G$692,'апрель 2023'!$D$4:$D$692,$B142,'апрель 2023'!$J$4:$J$692,AA$1)</f>
        <v>0</v>
      </c>
      <c r="AB142" s="207">
        <f>SUMIFS('апрель 2023'!$G$4:$G$692,'апрель 2023'!$D$4:$D$692,$B142,'апрель 2023'!$J$4:$J$692,AB$1)</f>
        <v>0</v>
      </c>
      <c r="AC142" s="207">
        <f>SUMIFS('апрель 2023'!$G$4:$G$692,'апрель 2023'!$D$4:$D$692,$B142,'апрель 2023'!$J$4:$J$692,AC$1)</f>
        <v>0</v>
      </c>
      <c r="AD142" s="207">
        <f>SUMIFS('апрель 2023'!$G$4:$G$692,'апрель 2023'!$D$4:$D$692,$B142,'апрель 2023'!$J$4:$J$692,AD$1)</f>
        <v>0</v>
      </c>
      <c r="AE142" s="207">
        <f>SUMIFS('апрель 2023'!$G$4:$G$692,'апрель 2023'!$D$4:$D$692,$B142,'апрель 2023'!$J$4:$J$692,AE$1)</f>
        <v>0</v>
      </c>
      <c r="AF142" s="207">
        <f>SUMIFS('апрель 2023'!$G$4:$G$692,'апрель 2023'!$D$4:$D$692,$B142,'апрель 2023'!$J$4:$J$692,AF$1)</f>
        <v>0</v>
      </c>
      <c r="AG142" s="207">
        <f>SUMIFS('апрель 2023'!$G$4:$G$692,'апрель 2023'!$D$4:$D$692,$B142,'апрель 2023'!$J$4:$J$692,AG$1)</f>
        <v>0</v>
      </c>
      <c r="AH142" s="207">
        <f>SUMIFS('апрель 2023'!$G$4:$G$692,'апрель 2023'!$D$4:$D$692,$B142,'апрель 2023'!$J$4:$J$692,AH$1)</f>
        <v>0</v>
      </c>
      <c r="AI142" s="220">
        <f t="shared" si="3"/>
        <v>0</v>
      </c>
    </row>
    <row r="143" spans="2:35" ht="15" hidden="1" customHeight="1" x14ac:dyDescent="0.25">
      <c r="B143" s="212"/>
      <c r="C143" s="213"/>
      <c r="D143" s="207">
        <f>SUMIFS('апрель 2023'!$G$4:$G$692,'апрель 2023'!$D$4:$D$692,$B143,'апрель 2023'!$J$4:$J$692,D$1)</f>
        <v>0</v>
      </c>
      <c r="E143" s="207">
        <f>SUMIFS('апрель 2023'!$G$4:$G$692,'апрель 2023'!$D$4:$D$692,$B143,'апрель 2023'!$J$4:$J$692,E$1)</f>
        <v>0</v>
      </c>
      <c r="F143" s="207">
        <f>SUMIFS('апрель 2023'!$G$4:$G$692,'апрель 2023'!$D$4:$D$692,$B143,'апрель 2023'!$J$4:$J$692,F$1)</f>
        <v>0</v>
      </c>
      <c r="G143" s="207">
        <f>SUMIFS('апрель 2023'!$G$4:$G$692,'апрель 2023'!$D$4:$D$692,$B143,'апрель 2023'!$J$4:$J$692,G$1)</f>
        <v>0</v>
      </c>
      <c r="H143" s="207">
        <f>SUMIFS('апрель 2023'!$G$4:$G$692,'апрель 2023'!$D$4:$D$692,$B143,'апрель 2023'!$J$4:$J$692,H$1)</f>
        <v>0</v>
      </c>
      <c r="I143" s="207">
        <f>SUMIFS('апрель 2023'!$G$4:$G$692,'апрель 2023'!$D$4:$D$692,$B143,'апрель 2023'!$J$4:$J$692,I$1)</f>
        <v>0</v>
      </c>
      <c r="J143" s="207">
        <f>SUMIFS('апрель 2023'!$G$4:$G$692,'апрель 2023'!$D$4:$D$692,$B143,'апрель 2023'!$J$4:$J$692,J$1)</f>
        <v>0</v>
      </c>
      <c r="K143" s="207">
        <f>SUMIFS('апрель 2023'!$G$4:$G$692,'апрель 2023'!$D$4:$D$692,$B143,'апрель 2023'!$J$4:$J$692,K$1)</f>
        <v>0</v>
      </c>
      <c r="L143" s="207">
        <f>SUMIFS('апрель 2023'!$G$4:$G$692,'апрель 2023'!$D$4:$D$692,$B143,'апрель 2023'!$J$4:$J$692,L$1)</f>
        <v>0</v>
      </c>
      <c r="M143" s="207">
        <f>SUMIFS('апрель 2023'!$G$4:$G$692,'апрель 2023'!$D$4:$D$692,$B143,'апрель 2023'!$J$4:$J$692,M$1)</f>
        <v>0</v>
      </c>
      <c r="N143" s="207">
        <f>SUMIFS('апрель 2023'!$G$4:$G$692,'апрель 2023'!$D$4:$D$692,$B143,'апрель 2023'!$J$4:$J$692,N$1)</f>
        <v>0</v>
      </c>
      <c r="O143" s="207">
        <f>SUMIFS('апрель 2023'!$G$4:$G$692,'апрель 2023'!$D$4:$D$692,$B143,'апрель 2023'!$J$4:$J$692,O$1)</f>
        <v>0</v>
      </c>
      <c r="P143" s="207">
        <f>SUMIFS('апрель 2023'!$G$4:$G$692,'апрель 2023'!$D$4:$D$692,$B143,'апрель 2023'!$J$4:$J$692,P$1)</f>
        <v>0</v>
      </c>
      <c r="Q143" s="207">
        <f>SUMIFS('апрель 2023'!$G$4:$G$692,'апрель 2023'!$D$4:$D$692,$B143,'апрель 2023'!$J$4:$J$692,Q$1)</f>
        <v>0</v>
      </c>
      <c r="R143" s="207">
        <f>SUMIFS('апрель 2023'!$G$4:$G$692,'апрель 2023'!$D$4:$D$692,$B143,'апрель 2023'!$J$4:$J$692,R$1)</f>
        <v>0</v>
      </c>
      <c r="S143" s="207">
        <f>SUMIFS('апрель 2023'!$G$4:$G$692,'апрель 2023'!$D$4:$D$692,$B143,'апрель 2023'!$J$4:$J$692,S$1)</f>
        <v>0</v>
      </c>
      <c r="T143" s="207">
        <f>SUMIFS('апрель 2023'!$G$4:$G$692,'апрель 2023'!$D$4:$D$692,$B143,'апрель 2023'!$J$4:$J$692,T$1)</f>
        <v>0</v>
      </c>
      <c r="U143" s="207">
        <f>SUMIFS('апрель 2023'!$G$4:$G$692,'апрель 2023'!$D$4:$D$692,$B143,'апрель 2023'!$J$4:$J$692,U$1)</f>
        <v>0</v>
      </c>
      <c r="V143" s="207">
        <f>SUMIFS('апрель 2023'!$G$4:$G$692,'апрель 2023'!$D$4:$D$692,$B143,'апрель 2023'!$J$4:$J$692,V$1)</f>
        <v>0</v>
      </c>
      <c r="W143" s="207">
        <f>SUMIFS('апрель 2023'!$G$4:$G$692,'апрель 2023'!$D$4:$D$692,$B143,'апрель 2023'!$J$4:$J$692,W$1)</f>
        <v>0</v>
      </c>
      <c r="X143" s="207">
        <f>SUMIFS('апрель 2023'!$G$4:$G$692,'апрель 2023'!$D$4:$D$692,$B143,'апрель 2023'!$J$4:$J$692,X$1)</f>
        <v>0</v>
      </c>
      <c r="Y143" s="207">
        <f>SUMIFS('апрель 2023'!$G$4:$G$692,'апрель 2023'!$D$4:$D$692,$B143,'апрель 2023'!$J$4:$J$692,Y$1)</f>
        <v>0</v>
      </c>
      <c r="Z143" s="207">
        <f>SUMIFS('апрель 2023'!$G$4:$G$692,'апрель 2023'!$D$4:$D$692,$B143,'апрель 2023'!$J$4:$J$692,Z$1)</f>
        <v>0</v>
      </c>
      <c r="AA143" s="207">
        <f>SUMIFS('апрель 2023'!$G$4:$G$692,'апрель 2023'!$D$4:$D$692,$B143,'апрель 2023'!$J$4:$J$692,AA$1)</f>
        <v>0</v>
      </c>
      <c r="AB143" s="207">
        <f>SUMIFS('апрель 2023'!$G$4:$G$692,'апрель 2023'!$D$4:$D$692,$B143,'апрель 2023'!$J$4:$J$692,AB$1)</f>
        <v>0</v>
      </c>
      <c r="AC143" s="207">
        <f>SUMIFS('апрель 2023'!$G$4:$G$692,'апрель 2023'!$D$4:$D$692,$B143,'апрель 2023'!$J$4:$J$692,AC$1)</f>
        <v>0</v>
      </c>
      <c r="AD143" s="207">
        <f>SUMIFS('апрель 2023'!$G$4:$G$692,'апрель 2023'!$D$4:$D$692,$B143,'апрель 2023'!$J$4:$J$692,AD$1)</f>
        <v>0</v>
      </c>
      <c r="AE143" s="207">
        <f>SUMIFS('апрель 2023'!$G$4:$G$692,'апрель 2023'!$D$4:$D$692,$B143,'апрель 2023'!$J$4:$J$692,AE$1)</f>
        <v>0</v>
      </c>
      <c r="AF143" s="207">
        <f>SUMIFS('апрель 2023'!$G$4:$G$692,'апрель 2023'!$D$4:$D$692,$B143,'апрель 2023'!$J$4:$J$692,AF$1)</f>
        <v>0</v>
      </c>
      <c r="AG143" s="207">
        <f>SUMIFS('апрель 2023'!$G$4:$G$692,'апрель 2023'!$D$4:$D$692,$B143,'апрель 2023'!$J$4:$J$692,AG$1)</f>
        <v>0</v>
      </c>
      <c r="AH143" s="207">
        <f>SUMIFS('апрель 2023'!$G$4:$G$692,'апрель 2023'!$D$4:$D$692,$B143,'апрель 2023'!$J$4:$J$692,AH$1)</f>
        <v>0</v>
      </c>
      <c r="AI143" s="220">
        <f t="shared" si="3"/>
        <v>0</v>
      </c>
    </row>
    <row r="144" spans="2:35" ht="15" hidden="1" customHeight="1" x14ac:dyDescent="0.25">
      <c r="B144" s="216"/>
      <c r="C144" s="213"/>
      <c r="D144" s="207">
        <f>SUMIFS('апрель 2023'!$G$4:$G$692,'апрель 2023'!$D$4:$D$692,$B144,'апрель 2023'!$J$4:$J$692,D$1)</f>
        <v>0</v>
      </c>
      <c r="E144" s="207">
        <f>SUMIFS('апрель 2023'!$G$4:$G$692,'апрель 2023'!$D$4:$D$692,$B144,'апрель 2023'!$J$4:$J$692,E$1)</f>
        <v>0</v>
      </c>
      <c r="F144" s="207">
        <f>SUMIFS('апрель 2023'!$G$4:$G$692,'апрель 2023'!$D$4:$D$692,$B144,'апрель 2023'!$J$4:$J$692,F$1)</f>
        <v>0</v>
      </c>
      <c r="G144" s="207">
        <f>SUMIFS('апрель 2023'!$G$4:$G$692,'апрель 2023'!$D$4:$D$692,$B144,'апрель 2023'!$J$4:$J$692,G$1)</f>
        <v>0</v>
      </c>
      <c r="H144" s="207">
        <f>SUMIFS('апрель 2023'!$G$4:$G$692,'апрель 2023'!$D$4:$D$692,$B144,'апрель 2023'!$J$4:$J$692,H$1)</f>
        <v>0</v>
      </c>
      <c r="I144" s="207">
        <f>SUMIFS('апрель 2023'!$G$4:$G$692,'апрель 2023'!$D$4:$D$692,$B144,'апрель 2023'!$J$4:$J$692,I$1)</f>
        <v>0</v>
      </c>
      <c r="J144" s="207">
        <f>SUMIFS('апрель 2023'!$G$4:$G$692,'апрель 2023'!$D$4:$D$692,$B144,'апрель 2023'!$J$4:$J$692,J$1)</f>
        <v>0</v>
      </c>
      <c r="K144" s="207">
        <f>SUMIFS('апрель 2023'!$G$4:$G$692,'апрель 2023'!$D$4:$D$692,$B144,'апрель 2023'!$J$4:$J$692,K$1)</f>
        <v>0</v>
      </c>
      <c r="L144" s="207">
        <f>SUMIFS('апрель 2023'!$G$4:$G$692,'апрель 2023'!$D$4:$D$692,$B144,'апрель 2023'!$J$4:$J$692,L$1)</f>
        <v>0</v>
      </c>
      <c r="M144" s="207">
        <f>SUMIFS('апрель 2023'!$G$4:$G$692,'апрель 2023'!$D$4:$D$692,$B144,'апрель 2023'!$J$4:$J$692,M$1)</f>
        <v>0</v>
      </c>
      <c r="N144" s="207">
        <f>SUMIFS('апрель 2023'!$G$4:$G$692,'апрель 2023'!$D$4:$D$692,$B144,'апрель 2023'!$J$4:$J$692,N$1)</f>
        <v>0</v>
      </c>
      <c r="O144" s="207">
        <f>SUMIFS('апрель 2023'!$G$4:$G$692,'апрель 2023'!$D$4:$D$692,$B144,'апрель 2023'!$J$4:$J$692,O$1)</f>
        <v>0</v>
      </c>
      <c r="P144" s="207">
        <f>SUMIFS('апрель 2023'!$G$4:$G$692,'апрель 2023'!$D$4:$D$692,$B144,'апрель 2023'!$J$4:$J$692,P$1)</f>
        <v>0</v>
      </c>
      <c r="Q144" s="207">
        <f>SUMIFS('апрель 2023'!$G$4:$G$692,'апрель 2023'!$D$4:$D$692,$B144,'апрель 2023'!$J$4:$J$692,Q$1)</f>
        <v>0</v>
      </c>
      <c r="R144" s="207">
        <f>SUMIFS('апрель 2023'!$G$4:$G$692,'апрель 2023'!$D$4:$D$692,$B144,'апрель 2023'!$J$4:$J$692,R$1)</f>
        <v>0</v>
      </c>
      <c r="S144" s="207">
        <f>SUMIFS('апрель 2023'!$G$4:$G$692,'апрель 2023'!$D$4:$D$692,$B144,'апрель 2023'!$J$4:$J$692,S$1)</f>
        <v>0</v>
      </c>
      <c r="T144" s="207">
        <f>SUMIFS('апрель 2023'!$G$4:$G$692,'апрель 2023'!$D$4:$D$692,$B144,'апрель 2023'!$J$4:$J$692,T$1)</f>
        <v>0</v>
      </c>
      <c r="U144" s="207">
        <f>SUMIFS('апрель 2023'!$G$4:$G$692,'апрель 2023'!$D$4:$D$692,$B144,'апрель 2023'!$J$4:$J$692,U$1)</f>
        <v>0</v>
      </c>
      <c r="V144" s="207">
        <f>SUMIFS('апрель 2023'!$G$4:$G$692,'апрель 2023'!$D$4:$D$692,$B144,'апрель 2023'!$J$4:$J$692,V$1)</f>
        <v>0</v>
      </c>
      <c r="W144" s="207">
        <f>SUMIFS('апрель 2023'!$G$4:$G$692,'апрель 2023'!$D$4:$D$692,$B144,'апрель 2023'!$J$4:$J$692,W$1)</f>
        <v>0</v>
      </c>
      <c r="X144" s="207">
        <f>SUMIFS('апрель 2023'!$G$4:$G$692,'апрель 2023'!$D$4:$D$692,$B144,'апрель 2023'!$J$4:$J$692,X$1)</f>
        <v>0</v>
      </c>
      <c r="Y144" s="207">
        <f>SUMIFS('апрель 2023'!$G$4:$G$692,'апрель 2023'!$D$4:$D$692,$B144,'апрель 2023'!$J$4:$J$692,Y$1)</f>
        <v>0</v>
      </c>
      <c r="Z144" s="207">
        <f>SUMIFS('апрель 2023'!$G$4:$G$692,'апрель 2023'!$D$4:$D$692,$B144,'апрель 2023'!$J$4:$J$692,Z$1)</f>
        <v>0</v>
      </c>
      <c r="AA144" s="207">
        <f>SUMIFS('апрель 2023'!$G$4:$G$692,'апрель 2023'!$D$4:$D$692,$B144,'апрель 2023'!$J$4:$J$692,AA$1)</f>
        <v>0</v>
      </c>
      <c r="AB144" s="207">
        <f>SUMIFS('апрель 2023'!$G$4:$G$692,'апрель 2023'!$D$4:$D$692,$B144,'апрель 2023'!$J$4:$J$692,AB$1)</f>
        <v>0</v>
      </c>
      <c r="AC144" s="207">
        <f>SUMIFS('апрель 2023'!$G$4:$G$692,'апрель 2023'!$D$4:$D$692,$B144,'апрель 2023'!$J$4:$J$692,AC$1)</f>
        <v>0</v>
      </c>
      <c r="AD144" s="207">
        <f>SUMIFS('апрель 2023'!$G$4:$G$692,'апрель 2023'!$D$4:$D$692,$B144,'апрель 2023'!$J$4:$J$692,AD$1)</f>
        <v>0</v>
      </c>
      <c r="AE144" s="207">
        <f>SUMIFS('апрель 2023'!$G$4:$G$692,'апрель 2023'!$D$4:$D$692,$B144,'апрель 2023'!$J$4:$J$692,AE$1)</f>
        <v>0</v>
      </c>
      <c r="AF144" s="207">
        <f>SUMIFS('апрель 2023'!$G$4:$G$692,'апрель 2023'!$D$4:$D$692,$B144,'апрель 2023'!$J$4:$J$692,AF$1)</f>
        <v>0</v>
      </c>
      <c r="AG144" s="207">
        <f>SUMIFS('апрель 2023'!$G$4:$G$692,'апрель 2023'!$D$4:$D$692,$B144,'апрель 2023'!$J$4:$J$692,AG$1)</f>
        <v>0</v>
      </c>
      <c r="AH144" s="207">
        <f>SUMIFS('апрель 2023'!$G$4:$G$692,'апрель 2023'!$D$4:$D$692,$B144,'апрель 2023'!$J$4:$J$692,AH$1)</f>
        <v>0</v>
      </c>
      <c r="AI144" s="220">
        <f t="shared" si="3"/>
        <v>0</v>
      </c>
    </row>
    <row r="145" spans="2:35" ht="15" hidden="1" customHeight="1" x14ac:dyDescent="0.25">
      <c r="B145" s="212"/>
      <c r="C145" s="211"/>
      <c r="D145" s="207">
        <f>SUMIFS('апрель 2023'!$G$4:$G$692,'апрель 2023'!$D$4:$D$692,$B145,'апрель 2023'!$J$4:$J$692,D$1)</f>
        <v>0</v>
      </c>
      <c r="E145" s="207">
        <f>SUMIFS('апрель 2023'!$G$4:$G$692,'апрель 2023'!$D$4:$D$692,$B145,'апрель 2023'!$J$4:$J$692,E$1)</f>
        <v>0</v>
      </c>
      <c r="F145" s="207">
        <f>SUMIFS('апрель 2023'!$G$4:$G$692,'апрель 2023'!$D$4:$D$692,$B145,'апрель 2023'!$J$4:$J$692,F$1)</f>
        <v>0</v>
      </c>
      <c r="G145" s="207">
        <f>SUMIFS('апрель 2023'!$G$4:$G$692,'апрель 2023'!$D$4:$D$692,$B145,'апрель 2023'!$J$4:$J$692,G$1)</f>
        <v>0</v>
      </c>
      <c r="H145" s="207">
        <f>SUMIFS('апрель 2023'!$G$4:$G$692,'апрель 2023'!$D$4:$D$692,$B145,'апрель 2023'!$J$4:$J$692,H$1)</f>
        <v>0</v>
      </c>
      <c r="I145" s="207">
        <f>SUMIFS('апрель 2023'!$G$4:$G$692,'апрель 2023'!$D$4:$D$692,$B145,'апрель 2023'!$J$4:$J$692,I$1)</f>
        <v>0</v>
      </c>
      <c r="J145" s="207">
        <f>SUMIFS('апрель 2023'!$G$4:$G$692,'апрель 2023'!$D$4:$D$692,$B145,'апрель 2023'!$J$4:$J$692,J$1)</f>
        <v>0</v>
      </c>
      <c r="K145" s="207">
        <f>SUMIFS('апрель 2023'!$G$4:$G$692,'апрель 2023'!$D$4:$D$692,$B145,'апрель 2023'!$J$4:$J$692,K$1)</f>
        <v>0</v>
      </c>
      <c r="L145" s="207">
        <f>SUMIFS('апрель 2023'!$G$4:$G$692,'апрель 2023'!$D$4:$D$692,$B145,'апрель 2023'!$J$4:$J$692,L$1)</f>
        <v>0</v>
      </c>
      <c r="M145" s="207">
        <f>SUMIFS('апрель 2023'!$G$4:$G$692,'апрель 2023'!$D$4:$D$692,$B145,'апрель 2023'!$J$4:$J$692,M$1)</f>
        <v>0</v>
      </c>
      <c r="N145" s="207">
        <f>SUMIFS('апрель 2023'!$G$4:$G$692,'апрель 2023'!$D$4:$D$692,$B145,'апрель 2023'!$J$4:$J$692,N$1)</f>
        <v>0</v>
      </c>
      <c r="O145" s="207">
        <f>SUMIFS('апрель 2023'!$G$4:$G$692,'апрель 2023'!$D$4:$D$692,$B145,'апрель 2023'!$J$4:$J$692,O$1)</f>
        <v>0</v>
      </c>
      <c r="P145" s="207">
        <f>SUMIFS('апрель 2023'!$G$4:$G$692,'апрель 2023'!$D$4:$D$692,$B145,'апрель 2023'!$J$4:$J$692,P$1)</f>
        <v>0</v>
      </c>
      <c r="Q145" s="207">
        <f>SUMIFS('апрель 2023'!$G$4:$G$692,'апрель 2023'!$D$4:$D$692,$B145,'апрель 2023'!$J$4:$J$692,Q$1)</f>
        <v>0</v>
      </c>
      <c r="R145" s="207">
        <f>SUMIFS('апрель 2023'!$G$4:$G$692,'апрель 2023'!$D$4:$D$692,$B145,'апрель 2023'!$J$4:$J$692,R$1)</f>
        <v>0</v>
      </c>
      <c r="S145" s="207">
        <f>SUMIFS('апрель 2023'!$G$4:$G$692,'апрель 2023'!$D$4:$D$692,$B145,'апрель 2023'!$J$4:$J$692,S$1)</f>
        <v>0</v>
      </c>
      <c r="T145" s="207">
        <f>SUMIFS('апрель 2023'!$G$4:$G$692,'апрель 2023'!$D$4:$D$692,$B145,'апрель 2023'!$J$4:$J$692,T$1)</f>
        <v>0</v>
      </c>
      <c r="U145" s="207">
        <f>SUMIFS('апрель 2023'!$G$4:$G$692,'апрель 2023'!$D$4:$D$692,$B145,'апрель 2023'!$J$4:$J$692,U$1)</f>
        <v>0</v>
      </c>
      <c r="V145" s="207">
        <f>SUMIFS('апрель 2023'!$G$4:$G$692,'апрель 2023'!$D$4:$D$692,$B145,'апрель 2023'!$J$4:$J$692,V$1)</f>
        <v>0</v>
      </c>
      <c r="W145" s="207">
        <f>SUMIFS('апрель 2023'!$G$4:$G$692,'апрель 2023'!$D$4:$D$692,$B145,'апрель 2023'!$J$4:$J$692,W$1)</f>
        <v>0</v>
      </c>
      <c r="X145" s="207">
        <f>SUMIFS('апрель 2023'!$G$4:$G$692,'апрель 2023'!$D$4:$D$692,$B145,'апрель 2023'!$J$4:$J$692,X$1)</f>
        <v>0</v>
      </c>
      <c r="Y145" s="207">
        <f>SUMIFS('апрель 2023'!$G$4:$G$692,'апрель 2023'!$D$4:$D$692,$B145,'апрель 2023'!$J$4:$J$692,Y$1)</f>
        <v>0</v>
      </c>
      <c r="Z145" s="207">
        <f>SUMIFS('апрель 2023'!$G$4:$G$692,'апрель 2023'!$D$4:$D$692,$B145,'апрель 2023'!$J$4:$J$692,Z$1)</f>
        <v>0</v>
      </c>
      <c r="AA145" s="207">
        <f>SUMIFS('апрель 2023'!$G$4:$G$692,'апрель 2023'!$D$4:$D$692,$B145,'апрель 2023'!$J$4:$J$692,AA$1)</f>
        <v>0</v>
      </c>
      <c r="AB145" s="207">
        <f>SUMIFS('апрель 2023'!$G$4:$G$692,'апрель 2023'!$D$4:$D$692,$B145,'апрель 2023'!$J$4:$J$692,AB$1)</f>
        <v>0</v>
      </c>
      <c r="AC145" s="207">
        <f>SUMIFS('апрель 2023'!$G$4:$G$692,'апрель 2023'!$D$4:$D$692,$B145,'апрель 2023'!$J$4:$J$692,AC$1)</f>
        <v>0</v>
      </c>
      <c r="AD145" s="207">
        <f>SUMIFS('апрель 2023'!$G$4:$G$692,'апрель 2023'!$D$4:$D$692,$B145,'апрель 2023'!$J$4:$J$692,AD$1)</f>
        <v>0</v>
      </c>
      <c r="AE145" s="207">
        <f>SUMIFS('апрель 2023'!$G$4:$G$692,'апрель 2023'!$D$4:$D$692,$B145,'апрель 2023'!$J$4:$J$692,AE$1)</f>
        <v>0</v>
      </c>
      <c r="AF145" s="207">
        <f>SUMIFS('апрель 2023'!$G$4:$G$692,'апрель 2023'!$D$4:$D$692,$B145,'апрель 2023'!$J$4:$J$692,AF$1)</f>
        <v>0</v>
      </c>
      <c r="AG145" s="207">
        <f>SUMIFS('апрель 2023'!$G$4:$G$692,'апрель 2023'!$D$4:$D$692,$B145,'апрель 2023'!$J$4:$J$692,AG$1)</f>
        <v>0</v>
      </c>
      <c r="AH145" s="207">
        <f>SUMIFS('апрель 2023'!$G$4:$G$692,'апрель 2023'!$D$4:$D$692,$B145,'апрель 2023'!$J$4:$J$692,AH$1)</f>
        <v>0</v>
      </c>
      <c r="AI145" s="220">
        <f t="shared" si="3"/>
        <v>0</v>
      </c>
    </row>
    <row r="146" spans="2:35" ht="15" hidden="1" customHeight="1" x14ac:dyDescent="0.25">
      <c r="B146" s="212"/>
      <c r="C146" s="213"/>
      <c r="D146" s="207">
        <f>SUMIFS('апрель 2023'!$G$4:$G$692,'апрель 2023'!$D$4:$D$692,$B146,'апрель 2023'!$J$4:$J$692,D$1)</f>
        <v>0</v>
      </c>
      <c r="E146" s="207">
        <f>SUMIFS('апрель 2023'!$G$4:$G$692,'апрель 2023'!$D$4:$D$692,$B146,'апрель 2023'!$J$4:$J$692,E$1)</f>
        <v>0</v>
      </c>
      <c r="F146" s="207">
        <f>SUMIFS('апрель 2023'!$G$4:$G$692,'апрель 2023'!$D$4:$D$692,$B146,'апрель 2023'!$J$4:$J$692,F$1)</f>
        <v>0</v>
      </c>
      <c r="G146" s="207">
        <f>SUMIFS('апрель 2023'!$G$4:$G$692,'апрель 2023'!$D$4:$D$692,$B146,'апрель 2023'!$J$4:$J$692,G$1)</f>
        <v>0</v>
      </c>
      <c r="H146" s="207">
        <f>SUMIFS('апрель 2023'!$G$4:$G$692,'апрель 2023'!$D$4:$D$692,$B146,'апрель 2023'!$J$4:$J$692,H$1)</f>
        <v>0</v>
      </c>
      <c r="I146" s="207">
        <f>SUMIFS('апрель 2023'!$G$4:$G$692,'апрель 2023'!$D$4:$D$692,$B146,'апрель 2023'!$J$4:$J$692,I$1)</f>
        <v>0</v>
      </c>
      <c r="J146" s="207">
        <f>SUMIFS('апрель 2023'!$G$4:$G$692,'апрель 2023'!$D$4:$D$692,$B146,'апрель 2023'!$J$4:$J$692,J$1)</f>
        <v>0</v>
      </c>
      <c r="K146" s="207">
        <f>SUMIFS('апрель 2023'!$G$4:$G$692,'апрель 2023'!$D$4:$D$692,$B146,'апрель 2023'!$J$4:$J$692,K$1)</f>
        <v>0</v>
      </c>
      <c r="L146" s="207">
        <f>SUMIFS('апрель 2023'!$G$4:$G$692,'апрель 2023'!$D$4:$D$692,$B146,'апрель 2023'!$J$4:$J$692,L$1)</f>
        <v>0</v>
      </c>
      <c r="M146" s="207">
        <f>SUMIFS('апрель 2023'!$G$4:$G$692,'апрель 2023'!$D$4:$D$692,$B146,'апрель 2023'!$J$4:$J$692,M$1)</f>
        <v>0</v>
      </c>
      <c r="N146" s="207">
        <f>SUMIFS('апрель 2023'!$G$4:$G$692,'апрель 2023'!$D$4:$D$692,$B146,'апрель 2023'!$J$4:$J$692,N$1)</f>
        <v>0</v>
      </c>
      <c r="O146" s="207">
        <f>SUMIFS('апрель 2023'!$G$4:$G$692,'апрель 2023'!$D$4:$D$692,$B146,'апрель 2023'!$J$4:$J$692,O$1)</f>
        <v>0</v>
      </c>
      <c r="P146" s="207">
        <f>SUMIFS('апрель 2023'!$G$4:$G$692,'апрель 2023'!$D$4:$D$692,$B146,'апрель 2023'!$J$4:$J$692,P$1)</f>
        <v>0</v>
      </c>
      <c r="Q146" s="207">
        <f>SUMIFS('апрель 2023'!$G$4:$G$692,'апрель 2023'!$D$4:$D$692,$B146,'апрель 2023'!$J$4:$J$692,Q$1)</f>
        <v>0</v>
      </c>
      <c r="R146" s="207">
        <f>SUMIFS('апрель 2023'!$G$4:$G$692,'апрель 2023'!$D$4:$D$692,$B146,'апрель 2023'!$J$4:$J$692,R$1)</f>
        <v>0</v>
      </c>
      <c r="S146" s="207">
        <f>SUMIFS('апрель 2023'!$G$4:$G$692,'апрель 2023'!$D$4:$D$692,$B146,'апрель 2023'!$J$4:$J$692,S$1)</f>
        <v>0</v>
      </c>
      <c r="T146" s="207">
        <f>SUMIFS('апрель 2023'!$G$4:$G$692,'апрель 2023'!$D$4:$D$692,$B146,'апрель 2023'!$J$4:$J$692,T$1)</f>
        <v>0</v>
      </c>
      <c r="U146" s="207">
        <f>SUMIFS('апрель 2023'!$G$4:$G$692,'апрель 2023'!$D$4:$D$692,$B146,'апрель 2023'!$J$4:$J$692,U$1)</f>
        <v>0</v>
      </c>
      <c r="V146" s="207">
        <f>SUMIFS('апрель 2023'!$G$4:$G$692,'апрель 2023'!$D$4:$D$692,$B146,'апрель 2023'!$J$4:$J$692,V$1)</f>
        <v>0</v>
      </c>
      <c r="W146" s="207">
        <f>SUMIFS('апрель 2023'!$G$4:$G$692,'апрель 2023'!$D$4:$D$692,$B146,'апрель 2023'!$J$4:$J$692,W$1)</f>
        <v>0</v>
      </c>
      <c r="X146" s="207">
        <f>SUMIFS('апрель 2023'!$G$4:$G$692,'апрель 2023'!$D$4:$D$692,$B146,'апрель 2023'!$J$4:$J$692,X$1)</f>
        <v>0</v>
      </c>
      <c r="Y146" s="207">
        <f>SUMIFS('апрель 2023'!$G$4:$G$692,'апрель 2023'!$D$4:$D$692,$B146,'апрель 2023'!$J$4:$J$692,Y$1)</f>
        <v>0</v>
      </c>
      <c r="Z146" s="207">
        <f>SUMIFS('апрель 2023'!$G$4:$G$692,'апрель 2023'!$D$4:$D$692,$B146,'апрель 2023'!$J$4:$J$692,Z$1)</f>
        <v>0</v>
      </c>
      <c r="AA146" s="207">
        <f>SUMIFS('апрель 2023'!$G$4:$G$692,'апрель 2023'!$D$4:$D$692,$B146,'апрель 2023'!$J$4:$J$692,AA$1)</f>
        <v>0</v>
      </c>
      <c r="AB146" s="207">
        <f>SUMIFS('апрель 2023'!$G$4:$G$692,'апрель 2023'!$D$4:$D$692,$B146,'апрель 2023'!$J$4:$J$692,AB$1)</f>
        <v>0</v>
      </c>
      <c r="AC146" s="207">
        <f>SUMIFS('апрель 2023'!$G$4:$G$692,'апрель 2023'!$D$4:$D$692,$B146,'апрель 2023'!$J$4:$J$692,AC$1)</f>
        <v>0</v>
      </c>
      <c r="AD146" s="207">
        <f>SUMIFS('апрель 2023'!$G$4:$G$692,'апрель 2023'!$D$4:$D$692,$B146,'апрель 2023'!$J$4:$J$692,AD$1)</f>
        <v>0</v>
      </c>
      <c r="AE146" s="207">
        <f>SUMIFS('апрель 2023'!$G$4:$G$692,'апрель 2023'!$D$4:$D$692,$B146,'апрель 2023'!$J$4:$J$692,AE$1)</f>
        <v>0</v>
      </c>
      <c r="AF146" s="207">
        <f>SUMIFS('апрель 2023'!$G$4:$G$692,'апрель 2023'!$D$4:$D$692,$B146,'апрель 2023'!$J$4:$J$692,AF$1)</f>
        <v>0</v>
      </c>
      <c r="AG146" s="207">
        <f>SUMIFS('апрель 2023'!$G$4:$G$692,'апрель 2023'!$D$4:$D$692,$B146,'апрель 2023'!$J$4:$J$692,AG$1)</f>
        <v>0</v>
      </c>
      <c r="AH146" s="207">
        <f>SUMIFS('апрель 2023'!$G$4:$G$692,'апрель 2023'!$D$4:$D$692,$B146,'апрель 2023'!$J$4:$J$692,AH$1)</f>
        <v>0</v>
      </c>
      <c r="AI146" s="220">
        <f t="shared" si="3"/>
        <v>0</v>
      </c>
    </row>
    <row r="147" spans="2:35" ht="15" hidden="1" customHeight="1" x14ac:dyDescent="0.25">
      <c r="B147" s="212"/>
      <c r="C147" s="213"/>
      <c r="D147" s="207">
        <f>SUMIFS('апрель 2023'!$G$4:$G$692,'апрель 2023'!$D$4:$D$692,$B147,'апрель 2023'!$J$4:$J$692,D$1)</f>
        <v>0</v>
      </c>
      <c r="E147" s="207">
        <f>SUMIFS('апрель 2023'!$G$4:$G$692,'апрель 2023'!$D$4:$D$692,$B147,'апрель 2023'!$J$4:$J$692,E$1)</f>
        <v>0</v>
      </c>
      <c r="F147" s="207">
        <f>SUMIFS('апрель 2023'!$G$4:$G$692,'апрель 2023'!$D$4:$D$692,$B147,'апрель 2023'!$J$4:$J$692,F$1)</f>
        <v>0</v>
      </c>
      <c r="G147" s="207">
        <f>SUMIFS('апрель 2023'!$G$4:$G$692,'апрель 2023'!$D$4:$D$692,$B147,'апрель 2023'!$J$4:$J$692,G$1)</f>
        <v>0</v>
      </c>
      <c r="H147" s="207">
        <f>SUMIFS('апрель 2023'!$G$4:$G$692,'апрель 2023'!$D$4:$D$692,$B147,'апрель 2023'!$J$4:$J$692,H$1)</f>
        <v>0</v>
      </c>
      <c r="I147" s="207">
        <f>SUMIFS('апрель 2023'!$G$4:$G$692,'апрель 2023'!$D$4:$D$692,$B147,'апрель 2023'!$J$4:$J$692,I$1)</f>
        <v>0</v>
      </c>
      <c r="J147" s="207">
        <f>SUMIFS('апрель 2023'!$G$4:$G$692,'апрель 2023'!$D$4:$D$692,$B147,'апрель 2023'!$J$4:$J$692,J$1)</f>
        <v>0</v>
      </c>
      <c r="K147" s="207">
        <f>SUMIFS('апрель 2023'!$G$4:$G$692,'апрель 2023'!$D$4:$D$692,$B147,'апрель 2023'!$J$4:$J$692,K$1)</f>
        <v>0</v>
      </c>
      <c r="L147" s="207">
        <f>SUMIFS('апрель 2023'!$G$4:$G$692,'апрель 2023'!$D$4:$D$692,$B147,'апрель 2023'!$J$4:$J$692,L$1)</f>
        <v>0</v>
      </c>
      <c r="M147" s="207">
        <f>SUMIFS('апрель 2023'!$G$4:$G$692,'апрель 2023'!$D$4:$D$692,$B147,'апрель 2023'!$J$4:$J$692,M$1)</f>
        <v>0</v>
      </c>
      <c r="N147" s="207">
        <f>SUMIFS('апрель 2023'!$G$4:$G$692,'апрель 2023'!$D$4:$D$692,$B147,'апрель 2023'!$J$4:$J$692,N$1)</f>
        <v>0</v>
      </c>
      <c r="O147" s="207">
        <f>SUMIFS('апрель 2023'!$G$4:$G$692,'апрель 2023'!$D$4:$D$692,$B147,'апрель 2023'!$J$4:$J$692,O$1)</f>
        <v>0</v>
      </c>
      <c r="P147" s="207">
        <f>SUMIFS('апрель 2023'!$G$4:$G$692,'апрель 2023'!$D$4:$D$692,$B147,'апрель 2023'!$J$4:$J$692,P$1)</f>
        <v>0</v>
      </c>
      <c r="Q147" s="207">
        <f>SUMIFS('апрель 2023'!$G$4:$G$692,'апрель 2023'!$D$4:$D$692,$B147,'апрель 2023'!$J$4:$J$692,Q$1)</f>
        <v>0</v>
      </c>
      <c r="R147" s="207">
        <f>SUMIFS('апрель 2023'!$G$4:$G$692,'апрель 2023'!$D$4:$D$692,$B147,'апрель 2023'!$J$4:$J$692,R$1)</f>
        <v>0</v>
      </c>
      <c r="S147" s="207">
        <f>SUMIFS('апрель 2023'!$G$4:$G$692,'апрель 2023'!$D$4:$D$692,$B147,'апрель 2023'!$J$4:$J$692,S$1)</f>
        <v>0</v>
      </c>
      <c r="T147" s="207">
        <f>SUMIFS('апрель 2023'!$G$4:$G$692,'апрель 2023'!$D$4:$D$692,$B147,'апрель 2023'!$J$4:$J$692,T$1)</f>
        <v>0</v>
      </c>
      <c r="U147" s="207">
        <f>SUMIFS('апрель 2023'!$G$4:$G$692,'апрель 2023'!$D$4:$D$692,$B147,'апрель 2023'!$J$4:$J$692,U$1)</f>
        <v>0</v>
      </c>
      <c r="V147" s="207">
        <f>SUMIFS('апрель 2023'!$G$4:$G$692,'апрель 2023'!$D$4:$D$692,$B147,'апрель 2023'!$J$4:$J$692,V$1)</f>
        <v>0</v>
      </c>
      <c r="W147" s="207">
        <f>SUMIFS('апрель 2023'!$G$4:$G$692,'апрель 2023'!$D$4:$D$692,$B147,'апрель 2023'!$J$4:$J$692,W$1)</f>
        <v>0</v>
      </c>
      <c r="X147" s="207">
        <f>SUMIFS('апрель 2023'!$G$4:$G$692,'апрель 2023'!$D$4:$D$692,$B147,'апрель 2023'!$J$4:$J$692,X$1)</f>
        <v>0</v>
      </c>
      <c r="Y147" s="207">
        <f>SUMIFS('апрель 2023'!$G$4:$G$692,'апрель 2023'!$D$4:$D$692,$B147,'апрель 2023'!$J$4:$J$692,Y$1)</f>
        <v>0</v>
      </c>
      <c r="Z147" s="207">
        <f>SUMIFS('апрель 2023'!$G$4:$G$692,'апрель 2023'!$D$4:$D$692,$B147,'апрель 2023'!$J$4:$J$692,Z$1)</f>
        <v>0</v>
      </c>
      <c r="AA147" s="207">
        <f>SUMIFS('апрель 2023'!$G$4:$G$692,'апрель 2023'!$D$4:$D$692,$B147,'апрель 2023'!$J$4:$J$692,AA$1)</f>
        <v>0</v>
      </c>
      <c r="AB147" s="207">
        <f>SUMIFS('апрель 2023'!$G$4:$G$692,'апрель 2023'!$D$4:$D$692,$B147,'апрель 2023'!$J$4:$J$692,AB$1)</f>
        <v>0</v>
      </c>
      <c r="AC147" s="207">
        <f>SUMIFS('апрель 2023'!$G$4:$G$692,'апрель 2023'!$D$4:$D$692,$B147,'апрель 2023'!$J$4:$J$692,AC$1)</f>
        <v>0</v>
      </c>
      <c r="AD147" s="207">
        <f>SUMIFS('апрель 2023'!$G$4:$G$692,'апрель 2023'!$D$4:$D$692,$B147,'апрель 2023'!$J$4:$J$692,AD$1)</f>
        <v>0</v>
      </c>
      <c r="AE147" s="207">
        <f>SUMIFS('апрель 2023'!$G$4:$G$692,'апрель 2023'!$D$4:$D$692,$B147,'апрель 2023'!$J$4:$J$692,AE$1)</f>
        <v>0</v>
      </c>
      <c r="AF147" s="207">
        <f>SUMIFS('апрель 2023'!$G$4:$G$692,'апрель 2023'!$D$4:$D$692,$B147,'апрель 2023'!$J$4:$J$692,AF$1)</f>
        <v>0</v>
      </c>
      <c r="AG147" s="207">
        <f>SUMIFS('апрель 2023'!$G$4:$G$692,'апрель 2023'!$D$4:$D$692,$B147,'апрель 2023'!$J$4:$J$692,AG$1)</f>
        <v>0</v>
      </c>
      <c r="AH147" s="207">
        <f>SUMIFS('апрель 2023'!$G$4:$G$692,'апрель 2023'!$D$4:$D$692,$B147,'апрель 2023'!$J$4:$J$692,AH$1)</f>
        <v>0</v>
      </c>
      <c r="AI147" s="220">
        <f t="shared" ref="AI147:AI185" si="4">SUM(D147:AH147)</f>
        <v>0</v>
      </c>
    </row>
    <row r="148" spans="2:35" ht="15" hidden="1" customHeight="1" x14ac:dyDescent="0.25">
      <c r="B148" s="212"/>
      <c r="C148" s="213"/>
      <c r="D148" s="207">
        <f>SUMIFS('апрель 2023'!$G$4:$G$692,'апрель 2023'!$D$4:$D$692,$B148,'апрель 2023'!$J$4:$J$692,D$1)</f>
        <v>0</v>
      </c>
      <c r="E148" s="207">
        <f>SUMIFS('апрель 2023'!$G$4:$G$692,'апрель 2023'!$D$4:$D$692,$B148,'апрель 2023'!$J$4:$J$692,E$1)</f>
        <v>0</v>
      </c>
      <c r="F148" s="207">
        <f>SUMIFS('апрель 2023'!$G$4:$G$692,'апрель 2023'!$D$4:$D$692,$B148,'апрель 2023'!$J$4:$J$692,F$1)</f>
        <v>0</v>
      </c>
      <c r="G148" s="207">
        <f>SUMIFS('апрель 2023'!$G$4:$G$692,'апрель 2023'!$D$4:$D$692,$B148,'апрель 2023'!$J$4:$J$692,G$1)</f>
        <v>0</v>
      </c>
      <c r="H148" s="207">
        <f>SUMIFS('апрель 2023'!$G$4:$G$692,'апрель 2023'!$D$4:$D$692,$B148,'апрель 2023'!$J$4:$J$692,H$1)</f>
        <v>0</v>
      </c>
      <c r="I148" s="207">
        <f>SUMIFS('апрель 2023'!$G$4:$G$692,'апрель 2023'!$D$4:$D$692,$B148,'апрель 2023'!$J$4:$J$692,I$1)</f>
        <v>0</v>
      </c>
      <c r="J148" s="207">
        <f>SUMIFS('апрель 2023'!$G$4:$G$692,'апрель 2023'!$D$4:$D$692,$B148,'апрель 2023'!$J$4:$J$692,J$1)</f>
        <v>0</v>
      </c>
      <c r="K148" s="207">
        <f>SUMIFS('апрель 2023'!$G$4:$G$692,'апрель 2023'!$D$4:$D$692,$B148,'апрель 2023'!$J$4:$J$692,K$1)</f>
        <v>0</v>
      </c>
      <c r="L148" s="207">
        <f>SUMIFS('апрель 2023'!$G$4:$G$692,'апрель 2023'!$D$4:$D$692,$B148,'апрель 2023'!$J$4:$J$692,L$1)</f>
        <v>0</v>
      </c>
      <c r="M148" s="207">
        <f>SUMIFS('апрель 2023'!$G$4:$G$692,'апрель 2023'!$D$4:$D$692,$B148,'апрель 2023'!$J$4:$J$692,M$1)</f>
        <v>0</v>
      </c>
      <c r="N148" s="207">
        <f>SUMIFS('апрель 2023'!$G$4:$G$692,'апрель 2023'!$D$4:$D$692,$B148,'апрель 2023'!$J$4:$J$692,N$1)</f>
        <v>0</v>
      </c>
      <c r="O148" s="207">
        <f>SUMIFS('апрель 2023'!$G$4:$G$692,'апрель 2023'!$D$4:$D$692,$B148,'апрель 2023'!$J$4:$J$692,O$1)</f>
        <v>0</v>
      </c>
      <c r="P148" s="207">
        <f>SUMIFS('апрель 2023'!$G$4:$G$692,'апрель 2023'!$D$4:$D$692,$B148,'апрель 2023'!$J$4:$J$692,P$1)</f>
        <v>0</v>
      </c>
      <c r="Q148" s="207">
        <f>SUMIFS('апрель 2023'!$G$4:$G$692,'апрель 2023'!$D$4:$D$692,$B148,'апрель 2023'!$J$4:$J$692,Q$1)</f>
        <v>0</v>
      </c>
      <c r="R148" s="207">
        <f>SUMIFS('апрель 2023'!$G$4:$G$692,'апрель 2023'!$D$4:$D$692,$B148,'апрель 2023'!$J$4:$J$692,R$1)</f>
        <v>0</v>
      </c>
      <c r="S148" s="207">
        <f>SUMIFS('апрель 2023'!$G$4:$G$692,'апрель 2023'!$D$4:$D$692,$B148,'апрель 2023'!$J$4:$J$692,S$1)</f>
        <v>0</v>
      </c>
      <c r="T148" s="207">
        <f>SUMIFS('апрель 2023'!$G$4:$G$692,'апрель 2023'!$D$4:$D$692,$B148,'апрель 2023'!$J$4:$J$692,T$1)</f>
        <v>0</v>
      </c>
      <c r="U148" s="207">
        <f>SUMIFS('апрель 2023'!$G$4:$G$692,'апрель 2023'!$D$4:$D$692,$B148,'апрель 2023'!$J$4:$J$692,U$1)</f>
        <v>0</v>
      </c>
      <c r="V148" s="207">
        <f>SUMIFS('апрель 2023'!$G$4:$G$692,'апрель 2023'!$D$4:$D$692,$B148,'апрель 2023'!$J$4:$J$692,V$1)</f>
        <v>0</v>
      </c>
      <c r="W148" s="207">
        <f>SUMIFS('апрель 2023'!$G$4:$G$692,'апрель 2023'!$D$4:$D$692,$B148,'апрель 2023'!$J$4:$J$692,W$1)</f>
        <v>0</v>
      </c>
      <c r="X148" s="207">
        <f>SUMIFS('апрель 2023'!$G$4:$G$692,'апрель 2023'!$D$4:$D$692,$B148,'апрель 2023'!$J$4:$J$692,X$1)</f>
        <v>0</v>
      </c>
      <c r="Y148" s="207">
        <f>SUMIFS('апрель 2023'!$G$4:$G$692,'апрель 2023'!$D$4:$D$692,$B148,'апрель 2023'!$J$4:$J$692,Y$1)</f>
        <v>0</v>
      </c>
      <c r="Z148" s="207">
        <f>SUMIFS('апрель 2023'!$G$4:$G$692,'апрель 2023'!$D$4:$D$692,$B148,'апрель 2023'!$J$4:$J$692,Z$1)</f>
        <v>0</v>
      </c>
      <c r="AA148" s="207">
        <f>SUMIFS('апрель 2023'!$G$4:$G$692,'апрель 2023'!$D$4:$D$692,$B148,'апрель 2023'!$J$4:$J$692,AA$1)</f>
        <v>0</v>
      </c>
      <c r="AB148" s="207">
        <f>SUMIFS('апрель 2023'!$G$4:$G$692,'апрель 2023'!$D$4:$D$692,$B148,'апрель 2023'!$J$4:$J$692,AB$1)</f>
        <v>0</v>
      </c>
      <c r="AC148" s="207">
        <f>SUMIFS('апрель 2023'!$G$4:$G$692,'апрель 2023'!$D$4:$D$692,$B148,'апрель 2023'!$J$4:$J$692,AC$1)</f>
        <v>0</v>
      </c>
      <c r="AD148" s="207">
        <f>SUMIFS('апрель 2023'!$G$4:$G$692,'апрель 2023'!$D$4:$D$692,$B148,'апрель 2023'!$J$4:$J$692,AD$1)</f>
        <v>0</v>
      </c>
      <c r="AE148" s="207">
        <f>SUMIFS('апрель 2023'!$G$4:$G$692,'апрель 2023'!$D$4:$D$692,$B148,'апрель 2023'!$J$4:$J$692,AE$1)</f>
        <v>0</v>
      </c>
      <c r="AF148" s="207">
        <f>SUMIFS('апрель 2023'!$G$4:$G$692,'апрель 2023'!$D$4:$D$692,$B148,'апрель 2023'!$J$4:$J$692,AF$1)</f>
        <v>0</v>
      </c>
      <c r="AG148" s="207">
        <f>SUMIFS('апрель 2023'!$G$4:$G$692,'апрель 2023'!$D$4:$D$692,$B148,'апрель 2023'!$J$4:$J$692,AG$1)</f>
        <v>0</v>
      </c>
      <c r="AH148" s="207">
        <f>SUMIFS('апрель 2023'!$G$4:$G$692,'апрель 2023'!$D$4:$D$692,$B148,'апрель 2023'!$J$4:$J$692,AH$1)</f>
        <v>0</v>
      </c>
      <c r="AI148" s="220">
        <f t="shared" si="4"/>
        <v>0</v>
      </c>
    </row>
    <row r="149" spans="2:35" ht="15.75" hidden="1" x14ac:dyDescent="0.25">
      <c r="B149" s="212"/>
      <c r="C149" s="213"/>
      <c r="D149" s="207">
        <f>SUMIFS('апрель 2023'!$G$4:$G$692,'апрель 2023'!$D$4:$D$692,$B149,'апрель 2023'!$J$4:$J$692,D$1)</f>
        <v>0</v>
      </c>
      <c r="E149" s="207">
        <f>SUMIFS('апрель 2023'!$G$4:$G$692,'апрель 2023'!$D$4:$D$692,$B149,'апрель 2023'!$J$4:$J$692,E$1)</f>
        <v>0</v>
      </c>
      <c r="F149" s="207">
        <f>SUMIFS('апрель 2023'!$G$4:$G$692,'апрель 2023'!$D$4:$D$692,$B149,'апрель 2023'!$J$4:$J$692,F$1)</f>
        <v>0</v>
      </c>
      <c r="G149" s="207">
        <f>SUMIFS('апрель 2023'!$G$4:$G$692,'апрель 2023'!$D$4:$D$692,$B149,'апрель 2023'!$J$4:$J$692,G$1)</f>
        <v>0</v>
      </c>
      <c r="H149" s="207">
        <f>SUMIFS('апрель 2023'!$G$4:$G$692,'апрель 2023'!$D$4:$D$692,$B149,'апрель 2023'!$J$4:$J$692,H$1)</f>
        <v>0</v>
      </c>
      <c r="I149" s="207">
        <f>SUMIFS('апрель 2023'!$G$4:$G$692,'апрель 2023'!$D$4:$D$692,$B149,'апрель 2023'!$J$4:$J$692,I$1)</f>
        <v>0</v>
      </c>
      <c r="J149" s="207">
        <f>SUMIFS('апрель 2023'!$G$4:$G$692,'апрель 2023'!$D$4:$D$692,$B149,'апрель 2023'!$J$4:$J$692,J$1)</f>
        <v>0</v>
      </c>
      <c r="K149" s="207">
        <f>SUMIFS('апрель 2023'!$G$4:$G$692,'апрель 2023'!$D$4:$D$692,$B149,'апрель 2023'!$J$4:$J$692,K$1)</f>
        <v>0</v>
      </c>
      <c r="L149" s="207">
        <f>SUMIFS('апрель 2023'!$G$4:$G$692,'апрель 2023'!$D$4:$D$692,$B149,'апрель 2023'!$J$4:$J$692,L$1)</f>
        <v>0</v>
      </c>
      <c r="M149" s="207">
        <f>SUMIFS('апрель 2023'!$G$4:$G$692,'апрель 2023'!$D$4:$D$692,$B149,'апрель 2023'!$J$4:$J$692,M$1)</f>
        <v>0</v>
      </c>
      <c r="N149" s="207">
        <f>SUMIFS('апрель 2023'!$G$4:$G$692,'апрель 2023'!$D$4:$D$692,$B149,'апрель 2023'!$J$4:$J$692,N$1)</f>
        <v>0</v>
      </c>
      <c r="O149" s="207">
        <f>SUMIFS('апрель 2023'!$G$4:$G$692,'апрель 2023'!$D$4:$D$692,$B149,'апрель 2023'!$J$4:$J$692,O$1)</f>
        <v>0</v>
      </c>
      <c r="P149" s="207">
        <f>SUMIFS('апрель 2023'!$G$4:$G$692,'апрель 2023'!$D$4:$D$692,$B149,'апрель 2023'!$J$4:$J$692,P$1)</f>
        <v>0</v>
      </c>
      <c r="Q149" s="207">
        <f>SUMIFS('апрель 2023'!$G$4:$G$692,'апрель 2023'!$D$4:$D$692,$B149,'апрель 2023'!$J$4:$J$692,Q$1)</f>
        <v>0</v>
      </c>
      <c r="R149" s="207">
        <f>SUMIFS('апрель 2023'!$G$4:$G$692,'апрель 2023'!$D$4:$D$692,$B149,'апрель 2023'!$J$4:$J$692,R$1)</f>
        <v>0</v>
      </c>
      <c r="S149" s="207">
        <f>SUMIFS('апрель 2023'!$G$4:$G$692,'апрель 2023'!$D$4:$D$692,$B149,'апрель 2023'!$J$4:$J$692,S$1)</f>
        <v>0</v>
      </c>
      <c r="T149" s="207">
        <f>SUMIFS('апрель 2023'!$G$4:$G$692,'апрель 2023'!$D$4:$D$692,$B149,'апрель 2023'!$J$4:$J$692,T$1)</f>
        <v>0</v>
      </c>
      <c r="U149" s="207">
        <f>SUMIFS('апрель 2023'!$G$4:$G$692,'апрель 2023'!$D$4:$D$692,$B149,'апрель 2023'!$J$4:$J$692,U$1)</f>
        <v>0</v>
      </c>
      <c r="V149" s="207">
        <f>SUMIFS('апрель 2023'!$G$4:$G$692,'апрель 2023'!$D$4:$D$692,$B149,'апрель 2023'!$J$4:$J$692,V$1)</f>
        <v>0</v>
      </c>
      <c r="W149" s="207">
        <f>SUMIFS('апрель 2023'!$G$4:$G$692,'апрель 2023'!$D$4:$D$692,$B149,'апрель 2023'!$J$4:$J$692,W$1)</f>
        <v>0</v>
      </c>
      <c r="X149" s="207">
        <f>SUMIFS('апрель 2023'!$G$4:$G$692,'апрель 2023'!$D$4:$D$692,$B149,'апрель 2023'!$J$4:$J$692,X$1)</f>
        <v>0</v>
      </c>
      <c r="Y149" s="207">
        <f>SUMIFS('апрель 2023'!$G$4:$G$692,'апрель 2023'!$D$4:$D$692,$B149,'апрель 2023'!$J$4:$J$692,Y$1)</f>
        <v>0</v>
      </c>
      <c r="Z149" s="207">
        <f>SUMIFS('апрель 2023'!$G$4:$G$692,'апрель 2023'!$D$4:$D$692,$B149,'апрель 2023'!$J$4:$J$692,Z$1)</f>
        <v>0</v>
      </c>
      <c r="AA149" s="207">
        <f>SUMIFS('апрель 2023'!$G$4:$G$692,'апрель 2023'!$D$4:$D$692,$B149,'апрель 2023'!$J$4:$J$692,AA$1)</f>
        <v>0</v>
      </c>
      <c r="AB149" s="207">
        <f>SUMIFS('апрель 2023'!$G$4:$G$692,'апрель 2023'!$D$4:$D$692,$B149,'апрель 2023'!$J$4:$J$692,AB$1)</f>
        <v>0</v>
      </c>
      <c r="AC149" s="207">
        <f>SUMIFS('апрель 2023'!$G$4:$G$692,'апрель 2023'!$D$4:$D$692,$B149,'апрель 2023'!$J$4:$J$692,AC$1)</f>
        <v>0</v>
      </c>
      <c r="AD149" s="207">
        <f>SUMIFS('апрель 2023'!$G$4:$G$692,'апрель 2023'!$D$4:$D$692,$B149,'апрель 2023'!$J$4:$J$692,AD$1)</f>
        <v>0</v>
      </c>
      <c r="AE149" s="207">
        <f>SUMIFS('апрель 2023'!$G$4:$G$692,'апрель 2023'!$D$4:$D$692,$B149,'апрель 2023'!$J$4:$J$692,AE$1)</f>
        <v>0</v>
      </c>
      <c r="AF149" s="207">
        <f>SUMIFS('апрель 2023'!$G$4:$G$692,'апрель 2023'!$D$4:$D$692,$B149,'апрель 2023'!$J$4:$J$692,AF$1)</f>
        <v>0</v>
      </c>
      <c r="AG149" s="207">
        <f>SUMIFS('апрель 2023'!$G$4:$G$692,'апрель 2023'!$D$4:$D$692,$B149,'апрель 2023'!$J$4:$J$692,AG$1)</f>
        <v>0</v>
      </c>
      <c r="AH149" s="207">
        <f>SUMIFS('апрель 2023'!$G$4:$G$692,'апрель 2023'!$D$4:$D$692,$B149,'апрель 2023'!$J$4:$J$692,AH$1)</f>
        <v>0</v>
      </c>
      <c r="AI149" s="220">
        <f t="shared" si="4"/>
        <v>0</v>
      </c>
    </row>
    <row r="150" spans="2:35" ht="15.75" hidden="1" x14ac:dyDescent="0.25">
      <c r="B150" s="212"/>
      <c r="C150" s="213"/>
      <c r="D150" s="207">
        <f>SUMIFS('апрель 2023'!$G$4:$G$692,'апрель 2023'!$D$4:$D$692,$B150,'апрель 2023'!$J$4:$J$692,D$1)</f>
        <v>0</v>
      </c>
      <c r="E150" s="207">
        <f>SUMIFS('апрель 2023'!$G$4:$G$692,'апрель 2023'!$D$4:$D$692,$B150,'апрель 2023'!$J$4:$J$692,E$1)</f>
        <v>0</v>
      </c>
      <c r="F150" s="207">
        <f>SUMIFS('апрель 2023'!$G$4:$G$692,'апрель 2023'!$D$4:$D$692,$B150,'апрель 2023'!$J$4:$J$692,F$1)</f>
        <v>0</v>
      </c>
      <c r="G150" s="207">
        <f>SUMIFS('апрель 2023'!$G$4:$G$692,'апрель 2023'!$D$4:$D$692,$B150,'апрель 2023'!$J$4:$J$692,G$1)</f>
        <v>0</v>
      </c>
      <c r="H150" s="207">
        <f>SUMIFS('апрель 2023'!$G$4:$G$692,'апрель 2023'!$D$4:$D$692,$B150,'апрель 2023'!$J$4:$J$692,H$1)</f>
        <v>0</v>
      </c>
      <c r="I150" s="207">
        <f>SUMIFS('апрель 2023'!$G$4:$G$692,'апрель 2023'!$D$4:$D$692,$B150,'апрель 2023'!$J$4:$J$692,I$1)</f>
        <v>0</v>
      </c>
      <c r="J150" s="207">
        <f>SUMIFS('апрель 2023'!$G$4:$G$692,'апрель 2023'!$D$4:$D$692,$B150,'апрель 2023'!$J$4:$J$692,J$1)</f>
        <v>0</v>
      </c>
      <c r="K150" s="207">
        <f>SUMIFS('апрель 2023'!$G$4:$G$692,'апрель 2023'!$D$4:$D$692,$B150,'апрель 2023'!$J$4:$J$692,K$1)</f>
        <v>0</v>
      </c>
      <c r="L150" s="207">
        <f>SUMIFS('апрель 2023'!$G$4:$G$692,'апрель 2023'!$D$4:$D$692,$B150,'апрель 2023'!$J$4:$J$692,L$1)</f>
        <v>0</v>
      </c>
      <c r="M150" s="207">
        <f>SUMIFS('апрель 2023'!$G$4:$G$692,'апрель 2023'!$D$4:$D$692,$B150,'апрель 2023'!$J$4:$J$692,M$1)</f>
        <v>0</v>
      </c>
      <c r="N150" s="207">
        <f>SUMIFS('апрель 2023'!$G$4:$G$692,'апрель 2023'!$D$4:$D$692,$B150,'апрель 2023'!$J$4:$J$692,N$1)</f>
        <v>0</v>
      </c>
      <c r="O150" s="207">
        <f>SUMIFS('апрель 2023'!$G$4:$G$692,'апрель 2023'!$D$4:$D$692,$B150,'апрель 2023'!$J$4:$J$692,O$1)</f>
        <v>0</v>
      </c>
      <c r="P150" s="207">
        <f>SUMIFS('апрель 2023'!$G$4:$G$692,'апрель 2023'!$D$4:$D$692,$B150,'апрель 2023'!$J$4:$J$692,P$1)</f>
        <v>0</v>
      </c>
      <c r="Q150" s="207">
        <f>SUMIFS('апрель 2023'!$G$4:$G$692,'апрель 2023'!$D$4:$D$692,$B150,'апрель 2023'!$J$4:$J$692,Q$1)</f>
        <v>0</v>
      </c>
      <c r="R150" s="207">
        <f>SUMIFS('апрель 2023'!$G$4:$G$692,'апрель 2023'!$D$4:$D$692,$B150,'апрель 2023'!$J$4:$J$692,R$1)</f>
        <v>0</v>
      </c>
      <c r="S150" s="207">
        <f>SUMIFS('апрель 2023'!$G$4:$G$692,'апрель 2023'!$D$4:$D$692,$B150,'апрель 2023'!$J$4:$J$692,S$1)</f>
        <v>0</v>
      </c>
      <c r="T150" s="207">
        <f>SUMIFS('апрель 2023'!$G$4:$G$692,'апрель 2023'!$D$4:$D$692,$B150,'апрель 2023'!$J$4:$J$692,T$1)</f>
        <v>0</v>
      </c>
      <c r="U150" s="207">
        <f>SUMIFS('апрель 2023'!$G$4:$G$692,'апрель 2023'!$D$4:$D$692,$B150,'апрель 2023'!$J$4:$J$692,U$1)</f>
        <v>0</v>
      </c>
      <c r="V150" s="207">
        <f>SUMIFS('апрель 2023'!$G$4:$G$692,'апрель 2023'!$D$4:$D$692,$B150,'апрель 2023'!$J$4:$J$692,V$1)</f>
        <v>0</v>
      </c>
      <c r="W150" s="207">
        <f>SUMIFS('апрель 2023'!$G$4:$G$692,'апрель 2023'!$D$4:$D$692,$B150,'апрель 2023'!$J$4:$J$692,W$1)</f>
        <v>0</v>
      </c>
      <c r="X150" s="207">
        <f>SUMIFS('апрель 2023'!$G$4:$G$692,'апрель 2023'!$D$4:$D$692,$B150,'апрель 2023'!$J$4:$J$692,X$1)</f>
        <v>0</v>
      </c>
      <c r="Y150" s="207">
        <f>SUMIFS('апрель 2023'!$G$4:$G$692,'апрель 2023'!$D$4:$D$692,$B150,'апрель 2023'!$J$4:$J$692,Y$1)</f>
        <v>0</v>
      </c>
      <c r="Z150" s="207">
        <f>SUMIFS('апрель 2023'!$G$4:$G$692,'апрель 2023'!$D$4:$D$692,$B150,'апрель 2023'!$J$4:$J$692,Z$1)</f>
        <v>0</v>
      </c>
      <c r="AA150" s="207">
        <f>SUMIFS('апрель 2023'!$G$4:$G$692,'апрель 2023'!$D$4:$D$692,$B150,'апрель 2023'!$J$4:$J$692,AA$1)</f>
        <v>0</v>
      </c>
      <c r="AB150" s="207">
        <f>SUMIFS('апрель 2023'!$G$4:$G$692,'апрель 2023'!$D$4:$D$692,$B150,'апрель 2023'!$J$4:$J$692,AB$1)</f>
        <v>0</v>
      </c>
      <c r="AC150" s="207">
        <f>SUMIFS('апрель 2023'!$G$4:$G$692,'апрель 2023'!$D$4:$D$692,$B150,'апрель 2023'!$J$4:$J$692,AC$1)</f>
        <v>0</v>
      </c>
      <c r="AD150" s="207">
        <f>SUMIFS('апрель 2023'!$G$4:$G$692,'апрель 2023'!$D$4:$D$692,$B150,'апрель 2023'!$J$4:$J$692,AD$1)</f>
        <v>0</v>
      </c>
      <c r="AE150" s="207">
        <f>SUMIFS('апрель 2023'!$G$4:$G$692,'апрель 2023'!$D$4:$D$692,$B150,'апрель 2023'!$J$4:$J$692,AE$1)</f>
        <v>0</v>
      </c>
      <c r="AF150" s="207">
        <f>SUMIFS('апрель 2023'!$G$4:$G$692,'апрель 2023'!$D$4:$D$692,$B150,'апрель 2023'!$J$4:$J$692,AF$1)</f>
        <v>0</v>
      </c>
      <c r="AG150" s="207">
        <f>SUMIFS('апрель 2023'!$G$4:$G$692,'апрель 2023'!$D$4:$D$692,$B150,'апрель 2023'!$J$4:$J$692,AG$1)</f>
        <v>0</v>
      </c>
      <c r="AH150" s="207">
        <f>SUMIFS('апрель 2023'!$G$4:$G$692,'апрель 2023'!$D$4:$D$692,$B150,'апрель 2023'!$J$4:$J$692,AH$1)</f>
        <v>0</v>
      </c>
      <c r="AI150" s="220">
        <f t="shared" si="4"/>
        <v>0</v>
      </c>
    </row>
    <row r="151" spans="2:35" ht="15.75" hidden="1" x14ac:dyDescent="0.25">
      <c r="B151" s="212"/>
      <c r="C151" s="211"/>
      <c r="D151" s="207">
        <f>SUMIFS('апрель 2023'!$G$4:$G$692,'апрель 2023'!$D$4:$D$692,$B151,'апрель 2023'!$J$4:$J$692,D$1)</f>
        <v>0</v>
      </c>
      <c r="E151" s="207">
        <f>SUMIFS('апрель 2023'!$G$4:$G$692,'апрель 2023'!$D$4:$D$692,$B151,'апрель 2023'!$J$4:$J$692,E$1)</f>
        <v>0</v>
      </c>
      <c r="F151" s="207">
        <f>SUMIFS('апрель 2023'!$G$4:$G$692,'апрель 2023'!$D$4:$D$692,$B151,'апрель 2023'!$J$4:$J$692,F$1)</f>
        <v>0</v>
      </c>
      <c r="G151" s="207">
        <f>SUMIFS('апрель 2023'!$G$4:$G$692,'апрель 2023'!$D$4:$D$692,$B151,'апрель 2023'!$J$4:$J$692,G$1)</f>
        <v>0</v>
      </c>
      <c r="H151" s="207">
        <f>SUMIFS('апрель 2023'!$G$4:$G$692,'апрель 2023'!$D$4:$D$692,$B151,'апрель 2023'!$J$4:$J$692,H$1)</f>
        <v>0</v>
      </c>
      <c r="I151" s="207">
        <f>SUMIFS('апрель 2023'!$G$4:$G$692,'апрель 2023'!$D$4:$D$692,$B151,'апрель 2023'!$J$4:$J$692,I$1)</f>
        <v>0</v>
      </c>
      <c r="J151" s="207">
        <f>SUMIFS('апрель 2023'!$G$4:$G$692,'апрель 2023'!$D$4:$D$692,$B151,'апрель 2023'!$J$4:$J$692,J$1)</f>
        <v>0</v>
      </c>
      <c r="K151" s="207">
        <f>SUMIFS('апрель 2023'!$G$4:$G$692,'апрель 2023'!$D$4:$D$692,$B151,'апрель 2023'!$J$4:$J$692,K$1)</f>
        <v>0</v>
      </c>
      <c r="L151" s="207">
        <f>SUMIFS('апрель 2023'!$G$4:$G$692,'апрель 2023'!$D$4:$D$692,$B151,'апрель 2023'!$J$4:$J$692,L$1)</f>
        <v>0</v>
      </c>
      <c r="M151" s="207">
        <f>SUMIFS('апрель 2023'!$G$4:$G$692,'апрель 2023'!$D$4:$D$692,$B151,'апрель 2023'!$J$4:$J$692,M$1)</f>
        <v>0</v>
      </c>
      <c r="N151" s="207">
        <f>SUMIFS('апрель 2023'!$G$4:$G$692,'апрель 2023'!$D$4:$D$692,$B151,'апрель 2023'!$J$4:$J$692,N$1)</f>
        <v>0</v>
      </c>
      <c r="O151" s="207">
        <f>SUMIFS('апрель 2023'!$G$4:$G$692,'апрель 2023'!$D$4:$D$692,$B151,'апрель 2023'!$J$4:$J$692,O$1)</f>
        <v>0</v>
      </c>
      <c r="P151" s="207">
        <f>SUMIFS('апрель 2023'!$G$4:$G$692,'апрель 2023'!$D$4:$D$692,$B151,'апрель 2023'!$J$4:$J$692,P$1)</f>
        <v>0</v>
      </c>
      <c r="Q151" s="207">
        <f>SUMIFS('апрель 2023'!$G$4:$G$692,'апрель 2023'!$D$4:$D$692,$B151,'апрель 2023'!$J$4:$J$692,Q$1)</f>
        <v>0</v>
      </c>
      <c r="R151" s="207">
        <f>SUMIFS('апрель 2023'!$G$4:$G$692,'апрель 2023'!$D$4:$D$692,$B151,'апрель 2023'!$J$4:$J$692,R$1)</f>
        <v>0</v>
      </c>
      <c r="S151" s="207">
        <f>SUMIFS('апрель 2023'!$G$4:$G$692,'апрель 2023'!$D$4:$D$692,$B151,'апрель 2023'!$J$4:$J$692,S$1)</f>
        <v>0</v>
      </c>
      <c r="T151" s="207">
        <f>SUMIFS('апрель 2023'!$G$4:$G$692,'апрель 2023'!$D$4:$D$692,$B151,'апрель 2023'!$J$4:$J$692,T$1)</f>
        <v>0</v>
      </c>
      <c r="U151" s="207">
        <f>SUMIFS('апрель 2023'!$G$4:$G$692,'апрель 2023'!$D$4:$D$692,$B151,'апрель 2023'!$J$4:$J$692,U$1)</f>
        <v>0</v>
      </c>
      <c r="V151" s="207">
        <f>SUMIFS('апрель 2023'!$G$4:$G$692,'апрель 2023'!$D$4:$D$692,$B151,'апрель 2023'!$J$4:$J$692,V$1)</f>
        <v>0</v>
      </c>
      <c r="W151" s="207">
        <f>SUMIFS('апрель 2023'!$G$4:$G$692,'апрель 2023'!$D$4:$D$692,$B151,'апрель 2023'!$J$4:$J$692,W$1)</f>
        <v>0</v>
      </c>
      <c r="X151" s="207">
        <f>SUMIFS('апрель 2023'!$G$4:$G$692,'апрель 2023'!$D$4:$D$692,$B151,'апрель 2023'!$J$4:$J$692,X$1)</f>
        <v>0</v>
      </c>
      <c r="Y151" s="207">
        <f>SUMIFS('апрель 2023'!$G$4:$G$692,'апрель 2023'!$D$4:$D$692,$B151,'апрель 2023'!$J$4:$J$692,Y$1)</f>
        <v>0</v>
      </c>
      <c r="Z151" s="207">
        <f>SUMIFS('апрель 2023'!$G$4:$G$692,'апрель 2023'!$D$4:$D$692,$B151,'апрель 2023'!$J$4:$J$692,Z$1)</f>
        <v>0</v>
      </c>
      <c r="AA151" s="207">
        <f>SUMIFS('апрель 2023'!$G$4:$G$692,'апрель 2023'!$D$4:$D$692,$B151,'апрель 2023'!$J$4:$J$692,AA$1)</f>
        <v>0</v>
      </c>
      <c r="AB151" s="207">
        <f>SUMIFS('апрель 2023'!$G$4:$G$692,'апрель 2023'!$D$4:$D$692,$B151,'апрель 2023'!$J$4:$J$692,AB$1)</f>
        <v>0</v>
      </c>
      <c r="AC151" s="207">
        <f>SUMIFS('апрель 2023'!$G$4:$G$692,'апрель 2023'!$D$4:$D$692,$B151,'апрель 2023'!$J$4:$J$692,AC$1)</f>
        <v>0</v>
      </c>
      <c r="AD151" s="207">
        <f>SUMIFS('апрель 2023'!$G$4:$G$692,'апрель 2023'!$D$4:$D$692,$B151,'апрель 2023'!$J$4:$J$692,AD$1)</f>
        <v>0</v>
      </c>
      <c r="AE151" s="207">
        <f>SUMIFS('апрель 2023'!$G$4:$G$692,'апрель 2023'!$D$4:$D$692,$B151,'апрель 2023'!$J$4:$J$692,AE$1)</f>
        <v>0</v>
      </c>
      <c r="AF151" s="207">
        <f>SUMIFS('апрель 2023'!$G$4:$G$692,'апрель 2023'!$D$4:$D$692,$B151,'апрель 2023'!$J$4:$J$692,AF$1)</f>
        <v>0</v>
      </c>
      <c r="AG151" s="207">
        <f>SUMIFS('апрель 2023'!$G$4:$G$692,'апрель 2023'!$D$4:$D$692,$B151,'апрель 2023'!$J$4:$J$692,AG$1)</f>
        <v>0</v>
      </c>
      <c r="AH151" s="207">
        <f>SUMIFS('апрель 2023'!$G$4:$G$692,'апрель 2023'!$D$4:$D$692,$B151,'апрель 2023'!$J$4:$J$692,AH$1)</f>
        <v>0</v>
      </c>
      <c r="AI151" s="220">
        <f t="shared" si="4"/>
        <v>0</v>
      </c>
    </row>
    <row r="152" spans="2:35" ht="15.75" hidden="1" x14ac:dyDescent="0.25">
      <c r="B152" s="212"/>
      <c r="C152" s="211"/>
      <c r="D152" s="207">
        <f>SUMIFS('апрель 2023'!$G$4:$G$692,'апрель 2023'!$D$4:$D$692,$B152,'апрель 2023'!$J$4:$J$692,D$1)</f>
        <v>0</v>
      </c>
      <c r="E152" s="207">
        <f>SUMIFS('апрель 2023'!$G$4:$G$692,'апрель 2023'!$D$4:$D$692,$B152,'апрель 2023'!$J$4:$J$692,E$1)</f>
        <v>0</v>
      </c>
      <c r="F152" s="207">
        <f>SUMIFS('апрель 2023'!$G$4:$G$692,'апрель 2023'!$D$4:$D$692,$B152,'апрель 2023'!$J$4:$J$692,F$1)</f>
        <v>0</v>
      </c>
      <c r="G152" s="207">
        <f>SUMIFS('апрель 2023'!$G$4:$G$692,'апрель 2023'!$D$4:$D$692,$B152,'апрель 2023'!$J$4:$J$692,G$1)</f>
        <v>0</v>
      </c>
      <c r="H152" s="207">
        <f>SUMIFS('апрель 2023'!$G$4:$G$692,'апрель 2023'!$D$4:$D$692,$B152,'апрель 2023'!$J$4:$J$692,H$1)</f>
        <v>0</v>
      </c>
      <c r="I152" s="207">
        <f>SUMIFS('апрель 2023'!$G$4:$G$692,'апрель 2023'!$D$4:$D$692,$B152,'апрель 2023'!$J$4:$J$692,I$1)</f>
        <v>0</v>
      </c>
      <c r="J152" s="207">
        <f>SUMIFS('апрель 2023'!$G$4:$G$692,'апрель 2023'!$D$4:$D$692,$B152,'апрель 2023'!$J$4:$J$692,J$1)</f>
        <v>0</v>
      </c>
      <c r="K152" s="207">
        <f>SUMIFS('апрель 2023'!$G$4:$G$692,'апрель 2023'!$D$4:$D$692,$B152,'апрель 2023'!$J$4:$J$692,K$1)</f>
        <v>0</v>
      </c>
      <c r="L152" s="207">
        <f>SUMIFS('апрель 2023'!$G$4:$G$692,'апрель 2023'!$D$4:$D$692,$B152,'апрель 2023'!$J$4:$J$692,L$1)</f>
        <v>0</v>
      </c>
      <c r="M152" s="207">
        <f>SUMIFS('апрель 2023'!$G$4:$G$692,'апрель 2023'!$D$4:$D$692,$B152,'апрель 2023'!$J$4:$J$692,M$1)</f>
        <v>0</v>
      </c>
      <c r="N152" s="207">
        <f>SUMIFS('апрель 2023'!$G$4:$G$692,'апрель 2023'!$D$4:$D$692,$B152,'апрель 2023'!$J$4:$J$692,N$1)</f>
        <v>0</v>
      </c>
      <c r="O152" s="207">
        <f>SUMIFS('апрель 2023'!$G$4:$G$692,'апрель 2023'!$D$4:$D$692,$B152,'апрель 2023'!$J$4:$J$692,O$1)</f>
        <v>0</v>
      </c>
      <c r="P152" s="207">
        <f>SUMIFS('апрель 2023'!$G$4:$G$692,'апрель 2023'!$D$4:$D$692,$B152,'апрель 2023'!$J$4:$J$692,P$1)</f>
        <v>0</v>
      </c>
      <c r="Q152" s="207">
        <f>SUMIFS('апрель 2023'!$G$4:$G$692,'апрель 2023'!$D$4:$D$692,$B152,'апрель 2023'!$J$4:$J$692,Q$1)</f>
        <v>0</v>
      </c>
      <c r="R152" s="207">
        <f>SUMIFS('апрель 2023'!$G$4:$G$692,'апрель 2023'!$D$4:$D$692,$B152,'апрель 2023'!$J$4:$J$692,R$1)</f>
        <v>0</v>
      </c>
      <c r="S152" s="207">
        <f>SUMIFS('апрель 2023'!$G$4:$G$692,'апрель 2023'!$D$4:$D$692,$B152,'апрель 2023'!$J$4:$J$692,S$1)</f>
        <v>0</v>
      </c>
      <c r="T152" s="207">
        <f>SUMIFS('апрель 2023'!$G$4:$G$692,'апрель 2023'!$D$4:$D$692,$B152,'апрель 2023'!$J$4:$J$692,T$1)</f>
        <v>0</v>
      </c>
      <c r="U152" s="207">
        <f>SUMIFS('апрель 2023'!$G$4:$G$692,'апрель 2023'!$D$4:$D$692,$B152,'апрель 2023'!$J$4:$J$692,U$1)</f>
        <v>0</v>
      </c>
      <c r="V152" s="207">
        <f>SUMIFS('апрель 2023'!$G$4:$G$692,'апрель 2023'!$D$4:$D$692,$B152,'апрель 2023'!$J$4:$J$692,V$1)</f>
        <v>0</v>
      </c>
      <c r="W152" s="207">
        <f>SUMIFS('апрель 2023'!$G$4:$G$692,'апрель 2023'!$D$4:$D$692,$B152,'апрель 2023'!$J$4:$J$692,W$1)</f>
        <v>0</v>
      </c>
      <c r="X152" s="207">
        <f>SUMIFS('апрель 2023'!$G$4:$G$692,'апрель 2023'!$D$4:$D$692,$B152,'апрель 2023'!$J$4:$J$692,X$1)</f>
        <v>0</v>
      </c>
      <c r="Y152" s="207">
        <f>SUMIFS('апрель 2023'!$G$4:$G$692,'апрель 2023'!$D$4:$D$692,$B152,'апрель 2023'!$J$4:$J$692,Y$1)</f>
        <v>0</v>
      </c>
      <c r="Z152" s="207">
        <f>SUMIFS('апрель 2023'!$G$4:$G$692,'апрель 2023'!$D$4:$D$692,$B152,'апрель 2023'!$J$4:$J$692,Z$1)</f>
        <v>0</v>
      </c>
      <c r="AA152" s="207">
        <f>SUMIFS('апрель 2023'!$G$4:$G$692,'апрель 2023'!$D$4:$D$692,$B152,'апрель 2023'!$J$4:$J$692,AA$1)</f>
        <v>0</v>
      </c>
      <c r="AB152" s="207">
        <f>SUMIFS('апрель 2023'!$G$4:$G$692,'апрель 2023'!$D$4:$D$692,$B152,'апрель 2023'!$J$4:$J$692,AB$1)</f>
        <v>0</v>
      </c>
      <c r="AC152" s="207">
        <f>SUMIFS('апрель 2023'!$G$4:$G$692,'апрель 2023'!$D$4:$D$692,$B152,'апрель 2023'!$J$4:$J$692,AC$1)</f>
        <v>0</v>
      </c>
      <c r="AD152" s="207">
        <f>SUMIFS('апрель 2023'!$G$4:$G$692,'апрель 2023'!$D$4:$D$692,$B152,'апрель 2023'!$J$4:$J$692,AD$1)</f>
        <v>0</v>
      </c>
      <c r="AE152" s="207">
        <f>SUMIFS('апрель 2023'!$G$4:$G$692,'апрель 2023'!$D$4:$D$692,$B152,'апрель 2023'!$J$4:$J$692,AE$1)</f>
        <v>0</v>
      </c>
      <c r="AF152" s="207">
        <f>SUMIFS('апрель 2023'!$G$4:$G$692,'апрель 2023'!$D$4:$D$692,$B152,'апрель 2023'!$J$4:$J$692,AF$1)</f>
        <v>0</v>
      </c>
      <c r="AG152" s="207">
        <f>SUMIFS('апрель 2023'!$G$4:$G$692,'апрель 2023'!$D$4:$D$692,$B152,'апрель 2023'!$J$4:$J$692,AG$1)</f>
        <v>0</v>
      </c>
      <c r="AH152" s="207">
        <f>SUMIFS('апрель 2023'!$G$4:$G$692,'апрель 2023'!$D$4:$D$692,$B152,'апрель 2023'!$J$4:$J$692,AH$1)</f>
        <v>0</v>
      </c>
      <c r="AI152" s="220">
        <f t="shared" si="4"/>
        <v>0</v>
      </c>
    </row>
    <row r="153" spans="2:35" ht="15.75" hidden="1" x14ac:dyDescent="0.25">
      <c r="B153" s="212"/>
      <c r="C153" s="211"/>
      <c r="D153" s="207">
        <f>SUMIFS('апрель 2023'!$G$4:$G$692,'апрель 2023'!$D$4:$D$692,$B153,'апрель 2023'!$J$4:$J$692,D$1)</f>
        <v>0</v>
      </c>
      <c r="E153" s="207">
        <f>SUMIFS('апрель 2023'!$G$4:$G$692,'апрель 2023'!$D$4:$D$692,$B153,'апрель 2023'!$J$4:$J$692,E$1)</f>
        <v>0</v>
      </c>
      <c r="F153" s="207">
        <f>SUMIFS('апрель 2023'!$G$4:$G$692,'апрель 2023'!$D$4:$D$692,$B153,'апрель 2023'!$J$4:$J$692,F$1)</f>
        <v>0</v>
      </c>
      <c r="G153" s="207">
        <f>SUMIFS('апрель 2023'!$G$4:$G$692,'апрель 2023'!$D$4:$D$692,$B153,'апрель 2023'!$J$4:$J$692,G$1)</f>
        <v>0</v>
      </c>
      <c r="H153" s="207">
        <f>SUMIFS('апрель 2023'!$G$4:$G$692,'апрель 2023'!$D$4:$D$692,$B153,'апрель 2023'!$J$4:$J$692,H$1)</f>
        <v>0</v>
      </c>
      <c r="I153" s="207">
        <f>SUMIFS('апрель 2023'!$G$4:$G$692,'апрель 2023'!$D$4:$D$692,$B153,'апрель 2023'!$J$4:$J$692,I$1)</f>
        <v>0</v>
      </c>
      <c r="J153" s="207">
        <f>SUMIFS('апрель 2023'!$G$4:$G$692,'апрель 2023'!$D$4:$D$692,$B153,'апрель 2023'!$J$4:$J$692,J$1)</f>
        <v>0</v>
      </c>
      <c r="K153" s="207">
        <f>SUMIFS('апрель 2023'!$G$4:$G$692,'апрель 2023'!$D$4:$D$692,$B153,'апрель 2023'!$J$4:$J$692,K$1)</f>
        <v>0</v>
      </c>
      <c r="L153" s="207">
        <f>SUMIFS('апрель 2023'!$G$4:$G$692,'апрель 2023'!$D$4:$D$692,$B153,'апрель 2023'!$J$4:$J$692,L$1)</f>
        <v>0</v>
      </c>
      <c r="M153" s="207">
        <f>SUMIFS('апрель 2023'!$G$4:$G$692,'апрель 2023'!$D$4:$D$692,$B153,'апрель 2023'!$J$4:$J$692,M$1)</f>
        <v>0</v>
      </c>
      <c r="N153" s="207">
        <f>SUMIFS('апрель 2023'!$G$4:$G$692,'апрель 2023'!$D$4:$D$692,$B153,'апрель 2023'!$J$4:$J$692,N$1)</f>
        <v>0</v>
      </c>
      <c r="O153" s="207">
        <f>SUMIFS('апрель 2023'!$G$4:$G$692,'апрель 2023'!$D$4:$D$692,$B153,'апрель 2023'!$J$4:$J$692,O$1)</f>
        <v>0</v>
      </c>
      <c r="P153" s="207">
        <f>SUMIFS('апрель 2023'!$G$4:$G$692,'апрель 2023'!$D$4:$D$692,$B153,'апрель 2023'!$J$4:$J$692,P$1)</f>
        <v>0</v>
      </c>
      <c r="Q153" s="207">
        <f>SUMIFS('апрель 2023'!$G$4:$G$692,'апрель 2023'!$D$4:$D$692,$B153,'апрель 2023'!$J$4:$J$692,Q$1)</f>
        <v>0</v>
      </c>
      <c r="R153" s="207">
        <f>SUMIFS('апрель 2023'!$G$4:$G$692,'апрель 2023'!$D$4:$D$692,$B153,'апрель 2023'!$J$4:$J$692,R$1)</f>
        <v>0</v>
      </c>
      <c r="S153" s="207">
        <f>SUMIFS('апрель 2023'!$G$4:$G$692,'апрель 2023'!$D$4:$D$692,$B153,'апрель 2023'!$J$4:$J$692,S$1)</f>
        <v>0</v>
      </c>
      <c r="T153" s="207">
        <f>SUMIFS('апрель 2023'!$G$4:$G$692,'апрель 2023'!$D$4:$D$692,$B153,'апрель 2023'!$J$4:$J$692,T$1)</f>
        <v>0</v>
      </c>
      <c r="U153" s="207">
        <f>SUMIFS('апрель 2023'!$G$4:$G$692,'апрель 2023'!$D$4:$D$692,$B153,'апрель 2023'!$J$4:$J$692,U$1)</f>
        <v>0</v>
      </c>
      <c r="V153" s="207">
        <f>SUMIFS('апрель 2023'!$G$4:$G$692,'апрель 2023'!$D$4:$D$692,$B153,'апрель 2023'!$J$4:$J$692,V$1)</f>
        <v>0</v>
      </c>
      <c r="W153" s="207">
        <f>SUMIFS('апрель 2023'!$G$4:$G$692,'апрель 2023'!$D$4:$D$692,$B153,'апрель 2023'!$J$4:$J$692,W$1)</f>
        <v>0</v>
      </c>
      <c r="X153" s="207">
        <f>SUMIFS('апрель 2023'!$G$4:$G$692,'апрель 2023'!$D$4:$D$692,$B153,'апрель 2023'!$J$4:$J$692,X$1)</f>
        <v>0</v>
      </c>
      <c r="Y153" s="207">
        <f>SUMIFS('апрель 2023'!$G$4:$G$692,'апрель 2023'!$D$4:$D$692,$B153,'апрель 2023'!$J$4:$J$692,Y$1)</f>
        <v>0</v>
      </c>
      <c r="Z153" s="207">
        <f>SUMIFS('апрель 2023'!$G$4:$G$692,'апрель 2023'!$D$4:$D$692,$B153,'апрель 2023'!$J$4:$J$692,Z$1)</f>
        <v>0</v>
      </c>
      <c r="AA153" s="207">
        <f>SUMIFS('апрель 2023'!$G$4:$G$692,'апрель 2023'!$D$4:$D$692,$B153,'апрель 2023'!$J$4:$J$692,AA$1)</f>
        <v>0</v>
      </c>
      <c r="AB153" s="207">
        <f>SUMIFS('апрель 2023'!$G$4:$G$692,'апрель 2023'!$D$4:$D$692,$B153,'апрель 2023'!$J$4:$J$692,AB$1)</f>
        <v>0</v>
      </c>
      <c r="AC153" s="207">
        <f>SUMIFS('апрель 2023'!$G$4:$G$692,'апрель 2023'!$D$4:$D$692,$B153,'апрель 2023'!$J$4:$J$692,AC$1)</f>
        <v>0</v>
      </c>
      <c r="AD153" s="207">
        <f>SUMIFS('апрель 2023'!$G$4:$G$692,'апрель 2023'!$D$4:$D$692,$B153,'апрель 2023'!$J$4:$J$692,AD$1)</f>
        <v>0</v>
      </c>
      <c r="AE153" s="207">
        <f>SUMIFS('апрель 2023'!$G$4:$G$692,'апрель 2023'!$D$4:$D$692,$B153,'апрель 2023'!$J$4:$J$692,AE$1)</f>
        <v>0</v>
      </c>
      <c r="AF153" s="207">
        <f>SUMIFS('апрель 2023'!$G$4:$G$692,'апрель 2023'!$D$4:$D$692,$B153,'апрель 2023'!$J$4:$J$692,AF$1)</f>
        <v>0</v>
      </c>
      <c r="AG153" s="207">
        <f>SUMIFS('апрель 2023'!$G$4:$G$692,'апрель 2023'!$D$4:$D$692,$B153,'апрель 2023'!$J$4:$J$692,AG$1)</f>
        <v>0</v>
      </c>
      <c r="AH153" s="207">
        <f>SUMIFS('апрель 2023'!$G$4:$G$692,'апрель 2023'!$D$4:$D$692,$B153,'апрель 2023'!$J$4:$J$692,AH$1)</f>
        <v>0</v>
      </c>
      <c r="AI153" s="220">
        <f t="shared" si="4"/>
        <v>0</v>
      </c>
    </row>
    <row r="154" spans="2:35" ht="15.75" hidden="1" x14ac:dyDescent="0.25">
      <c r="B154" s="212"/>
      <c r="C154" s="211"/>
      <c r="D154" s="207">
        <f>SUMIFS('апрель 2023'!$G$4:$G$692,'апрель 2023'!$D$4:$D$692,$B154,'апрель 2023'!$J$4:$J$692,D$1)</f>
        <v>0</v>
      </c>
      <c r="E154" s="207">
        <f>SUMIFS('апрель 2023'!$G$4:$G$692,'апрель 2023'!$D$4:$D$692,$B154,'апрель 2023'!$J$4:$J$692,E$1)</f>
        <v>0</v>
      </c>
      <c r="F154" s="207">
        <f>SUMIFS('апрель 2023'!$G$4:$G$692,'апрель 2023'!$D$4:$D$692,$B154,'апрель 2023'!$J$4:$J$692,F$1)</f>
        <v>0</v>
      </c>
      <c r="G154" s="207">
        <f>SUMIFS('апрель 2023'!$G$4:$G$692,'апрель 2023'!$D$4:$D$692,$B154,'апрель 2023'!$J$4:$J$692,G$1)</f>
        <v>0</v>
      </c>
      <c r="H154" s="207">
        <f>SUMIFS('апрель 2023'!$G$4:$G$692,'апрель 2023'!$D$4:$D$692,$B154,'апрель 2023'!$J$4:$J$692,H$1)</f>
        <v>0</v>
      </c>
      <c r="I154" s="207">
        <f>SUMIFS('апрель 2023'!$G$4:$G$692,'апрель 2023'!$D$4:$D$692,$B154,'апрель 2023'!$J$4:$J$692,I$1)</f>
        <v>0</v>
      </c>
      <c r="J154" s="207">
        <f>SUMIFS('апрель 2023'!$G$4:$G$692,'апрель 2023'!$D$4:$D$692,$B154,'апрель 2023'!$J$4:$J$692,J$1)</f>
        <v>0</v>
      </c>
      <c r="K154" s="207">
        <f>SUMIFS('апрель 2023'!$G$4:$G$692,'апрель 2023'!$D$4:$D$692,$B154,'апрель 2023'!$J$4:$J$692,K$1)</f>
        <v>0</v>
      </c>
      <c r="L154" s="207">
        <f>SUMIFS('апрель 2023'!$G$4:$G$692,'апрель 2023'!$D$4:$D$692,$B154,'апрель 2023'!$J$4:$J$692,L$1)</f>
        <v>0</v>
      </c>
      <c r="M154" s="207">
        <f>SUMIFS('апрель 2023'!$G$4:$G$692,'апрель 2023'!$D$4:$D$692,$B154,'апрель 2023'!$J$4:$J$692,M$1)</f>
        <v>0</v>
      </c>
      <c r="N154" s="207">
        <f>SUMIFS('апрель 2023'!$G$4:$G$692,'апрель 2023'!$D$4:$D$692,$B154,'апрель 2023'!$J$4:$J$692,N$1)</f>
        <v>0</v>
      </c>
      <c r="O154" s="207">
        <f>SUMIFS('апрель 2023'!$G$4:$G$692,'апрель 2023'!$D$4:$D$692,$B154,'апрель 2023'!$J$4:$J$692,O$1)</f>
        <v>0</v>
      </c>
      <c r="P154" s="207">
        <f>SUMIFS('апрель 2023'!$G$4:$G$692,'апрель 2023'!$D$4:$D$692,$B154,'апрель 2023'!$J$4:$J$692,P$1)</f>
        <v>0</v>
      </c>
      <c r="Q154" s="207">
        <f>SUMIFS('апрель 2023'!$G$4:$G$692,'апрель 2023'!$D$4:$D$692,$B154,'апрель 2023'!$J$4:$J$692,Q$1)</f>
        <v>0</v>
      </c>
      <c r="R154" s="207">
        <f>SUMIFS('апрель 2023'!$G$4:$G$692,'апрель 2023'!$D$4:$D$692,$B154,'апрель 2023'!$J$4:$J$692,R$1)</f>
        <v>0</v>
      </c>
      <c r="S154" s="207">
        <f>SUMIFS('апрель 2023'!$G$4:$G$692,'апрель 2023'!$D$4:$D$692,$B154,'апрель 2023'!$J$4:$J$692,S$1)</f>
        <v>0</v>
      </c>
      <c r="T154" s="207">
        <f>SUMIFS('апрель 2023'!$G$4:$G$692,'апрель 2023'!$D$4:$D$692,$B154,'апрель 2023'!$J$4:$J$692,T$1)</f>
        <v>0</v>
      </c>
      <c r="U154" s="207">
        <f>SUMIFS('апрель 2023'!$G$4:$G$692,'апрель 2023'!$D$4:$D$692,$B154,'апрель 2023'!$J$4:$J$692,U$1)</f>
        <v>0</v>
      </c>
      <c r="V154" s="207">
        <f>SUMIFS('апрель 2023'!$G$4:$G$692,'апрель 2023'!$D$4:$D$692,$B154,'апрель 2023'!$J$4:$J$692,V$1)</f>
        <v>0</v>
      </c>
      <c r="W154" s="207">
        <f>SUMIFS('апрель 2023'!$G$4:$G$692,'апрель 2023'!$D$4:$D$692,$B154,'апрель 2023'!$J$4:$J$692,W$1)</f>
        <v>0</v>
      </c>
      <c r="X154" s="207">
        <f>SUMIFS('апрель 2023'!$G$4:$G$692,'апрель 2023'!$D$4:$D$692,$B154,'апрель 2023'!$J$4:$J$692,X$1)</f>
        <v>0</v>
      </c>
      <c r="Y154" s="207">
        <f>SUMIFS('апрель 2023'!$G$4:$G$692,'апрель 2023'!$D$4:$D$692,$B154,'апрель 2023'!$J$4:$J$692,Y$1)</f>
        <v>0</v>
      </c>
      <c r="Z154" s="207">
        <f>SUMIFS('апрель 2023'!$G$4:$G$692,'апрель 2023'!$D$4:$D$692,$B154,'апрель 2023'!$J$4:$J$692,Z$1)</f>
        <v>0</v>
      </c>
      <c r="AA154" s="207">
        <f>SUMIFS('апрель 2023'!$G$4:$G$692,'апрель 2023'!$D$4:$D$692,$B154,'апрель 2023'!$J$4:$J$692,AA$1)</f>
        <v>0</v>
      </c>
      <c r="AB154" s="207">
        <f>SUMIFS('апрель 2023'!$G$4:$G$692,'апрель 2023'!$D$4:$D$692,$B154,'апрель 2023'!$J$4:$J$692,AB$1)</f>
        <v>0</v>
      </c>
      <c r="AC154" s="207">
        <f>SUMIFS('апрель 2023'!$G$4:$G$692,'апрель 2023'!$D$4:$D$692,$B154,'апрель 2023'!$J$4:$J$692,AC$1)</f>
        <v>0</v>
      </c>
      <c r="AD154" s="207">
        <f>SUMIFS('апрель 2023'!$G$4:$G$692,'апрель 2023'!$D$4:$D$692,$B154,'апрель 2023'!$J$4:$J$692,AD$1)</f>
        <v>0</v>
      </c>
      <c r="AE154" s="207">
        <f>SUMIFS('апрель 2023'!$G$4:$G$692,'апрель 2023'!$D$4:$D$692,$B154,'апрель 2023'!$J$4:$J$692,AE$1)</f>
        <v>0</v>
      </c>
      <c r="AF154" s="207">
        <f>SUMIFS('апрель 2023'!$G$4:$G$692,'апрель 2023'!$D$4:$D$692,$B154,'апрель 2023'!$J$4:$J$692,AF$1)</f>
        <v>0</v>
      </c>
      <c r="AG154" s="207">
        <f>SUMIFS('апрель 2023'!$G$4:$G$692,'апрель 2023'!$D$4:$D$692,$B154,'апрель 2023'!$J$4:$J$692,AG$1)</f>
        <v>0</v>
      </c>
      <c r="AH154" s="207">
        <f>SUMIFS('апрель 2023'!$G$4:$G$692,'апрель 2023'!$D$4:$D$692,$B154,'апрель 2023'!$J$4:$J$692,AH$1)</f>
        <v>0</v>
      </c>
      <c r="AI154" s="220">
        <f t="shared" si="4"/>
        <v>0</v>
      </c>
    </row>
    <row r="155" spans="2:35" ht="15.75" hidden="1" x14ac:dyDescent="0.25">
      <c r="B155" s="212"/>
      <c r="C155" s="211"/>
      <c r="D155" s="207">
        <f>SUMIFS('апрель 2023'!$G$4:$G$692,'апрель 2023'!$D$4:$D$692,$B155,'апрель 2023'!$J$4:$J$692,D$1)</f>
        <v>0</v>
      </c>
      <c r="E155" s="207">
        <f>SUMIFS('апрель 2023'!$G$4:$G$692,'апрель 2023'!$D$4:$D$692,$B155,'апрель 2023'!$J$4:$J$692,E$1)</f>
        <v>0</v>
      </c>
      <c r="F155" s="207">
        <f>SUMIFS('апрель 2023'!$G$4:$G$692,'апрель 2023'!$D$4:$D$692,$B155,'апрель 2023'!$J$4:$J$692,F$1)</f>
        <v>0</v>
      </c>
      <c r="G155" s="207">
        <f>SUMIFS('апрель 2023'!$G$4:$G$692,'апрель 2023'!$D$4:$D$692,$B155,'апрель 2023'!$J$4:$J$692,G$1)</f>
        <v>0</v>
      </c>
      <c r="H155" s="207">
        <f>SUMIFS('апрель 2023'!$G$4:$G$692,'апрель 2023'!$D$4:$D$692,$B155,'апрель 2023'!$J$4:$J$692,H$1)</f>
        <v>0</v>
      </c>
      <c r="I155" s="207">
        <f>SUMIFS('апрель 2023'!$G$4:$G$692,'апрель 2023'!$D$4:$D$692,$B155,'апрель 2023'!$J$4:$J$692,I$1)</f>
        <v>0</v>
      </c>
      <c r="J155" s="207">
        <f>SUMIFS('апрель 2023'!$G$4:$G$692,'апрель 2023'!$D$4:$D$692,$B155,'апрель 2023'!$J$4:$J$692,J$1)</f>
        <v>0</v>
      </c>
      <c r="K155" s="207">
        <f>SUMIFS('апрель 2023'!$G$4:$G$692,'апрель 2023'!$D$4:$D$692,$B155,'апрель 2023'!$J$4:$J$692,K$1)</f>
        <v>0</v>
      </c>
      <c r="L155" s="207">
        <f>SUMIFS('апрель 2023'!$G$4:$G$692,'апрель 2023'!$D$4:$D$692,$B155,'апрель 2023'!$J$4:$J$692,L$1)</f>
        <v>0</v>
      </c>
      <c r="M155" s="207">
        <f>SUMIFS('апрель 2023'!$G$4:$G$692,'апрель 2023'!$D$4:$D$692,$B155,'апрель 2023'!$J$4:$J$692,M$1)</f>
        <v>0</v>
      </c>
      <c r="N155" s="207">
        <f>SUMIFS('апрель 2023'!$G$4:$G$692,'апрель 2023'!$D$4:$D$692,$B155,'апрель 2023'!$J$4:$J$692,N$1)</f>
        <v>0</v>
      </c>
      <c r="O155" s="207">
        <f>SUMIFS('апрель 2023'!$G$4:$G$692,'апрель 2023'!$D$4:$D$692,$B155,'апрель 2023'!$J$4:$J$692,O$1)</f>
        <v>0</v>
      </c>
      <c r="P155" s="207">
        <f>SUMIFS('апрель 2023'!$G$4:$G$692,'апрель 2023'!$D$4:$D$692,$B155,'апрель 2023'!$J$4:$J$692,P$1)</f>
        <v>0</v>
      </c>
      <c r="Q155" s="207">
        <f>SUMIFS('апрель 2023'!$G$4:$G$692,'апрель 2023'!$D$4:$D$692,$B155,'апрель 2023'!$J$4:$J$692,Q$1)</f>
        <v>0</v>
      </c>
      <c r="R155" s="207">
        <f>SUMIFS('апрель 2023'!$G$4:$G$692,'апрель 2023'!$D$4:$D$692,$B155,'апрель 2023'!$J$4:$J$692,R$1)</f>
        <v>0</v>
      </c>
      <c r="S155" s="207">
        <f>SUMIFS('апрель 2023'!$G$4:$G$692,'апрель 2023'!$D$4:$D$692,$B155,'апрель 2023'!$J$4:$J$692,S$1)</f>
        <v>0</v>
      </c>
      <c r="T155" s="207">
        <f>SUMIFS('апрель 2023'!$G$4:$G$692,'апрель 2023'!$D$4:$D$692,$B155,'апрель 2023'!$J$4:$J$692,T$1)</f>
        <v>0</v>
      </c>
      <c r="U155" s="207">
        <f>SUMIFS('апрель 2023'!$G$4:$G$692,'апрель 2023'!$D$4:$D$692,$B155,'апрель 2023'!$J$4:$J$692,U$1)</f>
        <v>0</v>
      </c>
      <c r="V155" s="207">
        <f>SUMIFS('апрель 2023'!$G$4:$G$692,'апрель 2023'!$D$4:$D$692,$B155,'апрель 2023'!$J$4:$J$692,V$1)</f>
        <v>0</v>
      </c>
      <c r="W155" s="207">
        <f>SUMIFS('апрель 2023'!$G$4:$G$692,'апрель 2023'!$D$4:$D$692,$B155,'апрель 2023'!$J$4:$J$692,W$1)</f>
        <v>0</v>
      </c>
      <c r="X155" s="207">
        <f>SUMIFS('апрель 2023'!$G$4:$G$692,'апрель 2023'!$D$4:$D$692,$B155,'апрель 2023'!$J$4:$J$692,X$1)</f>
        <v>0</v>
      </c>
      <c r="Y155" s="207">
        <f>SUMIFS('апрель 2023'!$G$4:$G$692,'апрель 2023'!$D$4:$D$692,$B155,'апрель 2023'!$J$4:$J$692,Y$1)</f>
        <v>0</v>
      </c>
      <c r="Z155" s="207">
        <f>SUMIFS('апрель 2023'!$G$4:$G$692,'апрель 2023'!$D$4:$D$692,$B155,'апрель 2023'!$J$4:$J$692,Z$1)</f>
        <v>0</v>
      </c>
      <c r="AA155" s="207">
        <f>SUMIFS('апрель 2023'!$G$4:$G$692,'апрель 2023'!$D$4:$D$692,$B155,'апрель 2023'!$J$4:$J$692,AA$1)</f>
        <v>0</v>
      </c>
      <c r="AB155" s="207">
        <f>SUMIFS('апрель 2023'!$G$4:$G$692,'апрель 2023'!$D$4:$D$692,$B155,'апрель 2023'!$J$4:$J$692,AB$1)</f>
        <v>0</v>
      </c>
      <c r="AC155" s="207">
        <f>SUMIFS('апрель 2023'!$G$4:$G$692,'апрель 2023'!$D$4:$D$692,$B155,'апрель 2023'!$J$4:$J$692,AC$1)</f>
        <v>0</v>
      </c>
      <c r="AD155" s="207">
        <f>SUMIFS('апрель 2023'!$G$4:$G$692,'апрель 2023'!$D$4:$D$692,$B155,'апрель 2023'!$J$4:$J$692,AD$1)</f>
        <v>0</v>
      </c>
      <c r="AE155" s="207">
        <f>SUMIFS('апрель 2023'!$G$4:$G$692,'апрель 2023'!$D$4:$D$692,$B155,'апрель 2023'!$J$4:$J$692,AE$1)</f>
        <v>0</v>
      </c>
      <c r="AF155" s="207">
        <f>SUMIFS('апрель 2023'!$G$4:$G$692,'апрель 2023'!$D$4:$D$692,$B155,'апрель 2023'!$J$4:$J$692,AF$1)</f>
        <v>0</v>
      </c>
      <c r="AG155" s="207">
        <f>SUMIFS('апрель 2023'!$G$4:$G$692,'апрель 2023'!$D$4:$D$692,$B155,'апрель 2023'!$J$4:$J$692,AG$1)</f>
        <v>0</v>
      </c>
      <c r="AH155" s="207">
        <f>SUMIFS('апрель 2023'!$G$4:$G$692,'апрель 2023'!$D$4:$D$692,$B155,'апрель 2023'!$J$4:$J$692,AH$1)</f>
        <v>0</v>
      </c>
      <c r="AI155" s="220">
        <f t="shared" si="4"/>
        <v>0</v>
      </c>
    </row>
    <row r="156" spans="2:35" ht="15.75" hidden="1" x14ac:dyDescent="0.25">
      <c r="B156" s="212"/>
      <c r="C156" s="211"/>
      <c r="D156" s="207">
        <f>SUMIFS('апрель 2023'!$G$4:$G$692,'апрель 2023'!$D$4:$D$692,$B156,'апрель 2023'!$J$4:$J$692,D$1)</f>
        <v>0</v>
      </c>
      <c r="E156" s="207">
        <f>SUMIFS('апрель 2023'!$G$4:$G$692,'апрель 2023'!$D$4:$D$692,$B156,'апрель 2023'!$J$4:$J$692,E$1)</f>
        <v>0</v>
      </c>
      <c r="F156" s="207">
        <f>SUMIFS('апрель 2023'!$G$4:$G$692,'апрель 2023'!$D$4:$D$692,$B156,'апрель 2023'!$J$4:$J$692,F$1)</f>
        <v>0</v>
      </c>
      <c r="G156" s="207">
        <f>SUMIFS('апрель 2023'!$G$4:$G$692,'апрель 2023'!$D$4:$D$692,$B156,'апрель 2023'!$J$4:$J$692,G$1)</f>
        <v>0</v>
      </c>
      <c r="H156" s="207">
        <f>SUMIFS('апрель 2023'!$G$4:$G$692,'апрель 2023'!$D$4:$D$692,$B156,'апрель 2023'!$J$4:$J$692,H$1)</f>
        <v>0</v>
      </c>
      <c r="I156" s="207">
        <f>SUMIFS('апрель 2023'!$G$4:$G$692,'апрель 2023'!$D$4:$D$692,$B156,'апрель 2023'!$J$4:$J$692,I$1)</f>
        <v>0</v>
      </c>
      <c r="J156" s="207">
        <f>SUMIFS('апрель 2023'!$G$4:$G$692,'апрель 2023'!$D$4:$D$692,$B156,'апрель 2023'!$J$4:$J$692,J$1)</f>
        <v>0</v>
      </c>
      <c r="K156" s="207">
        <f>SUMIFS('апрель 2023'!$G$4:$G$692,'апрель 2023'!$D$4:$D$692,$B156,'апрель 2023'!$J$4:$J$692,K$1)</f>
        <v>0</v>
      </c>
      <c r="L156" s="207">
        <f>SUMIFS('апрель 2023'!$G$4:$G$692,'апрель 2023'!$D$4:$D$692,$B156,'апрель 2023'!$J$4:$J$692,L$1)</f>
        <v>0</v>
      </c>
      <c r="M156" s="207">
        <f>SUMIFS('апрель 2023'!$G$4:$G$692,'апрель 2023'!$D$4:$D$692,$B156,'апрель 2023'!$J$4:$J$692,M$1)</f>
        <v>0</v>
      </c>
      <c r="N156" s="207">
        <f>SUMIFS('апрель 2023'!$G$4:$G$692,'апрель 2023'!$D$4:$D$692,$B156,'апрель 2023'!$J$4:$J$692,N$1)</f>
        <v>0</v>
      </c>
      <c r="O156" s="207">
        <f>SUMIFS('апрель 2023'!$G$4:$G$692,'апрель 2023'!$D$4:$D$692,$B156,'апрель 2023'!$J$4:$J$692,O$1)</f>
        <v>0</v>
      </c>
      <c r="P156" s="207">
        <f>SUMIFS('апрель 2023'!$G$4:$G$692,'апрель 2023'!$D$4:$D$692,$B156,'апрель 2023'!$J$4:$J$692,P$1)</f>
        <v>0</v>
      </c>
      <c r="Q156" s="207">
        <f>SUMIFS('апрель 2023'!$G$4:$G$692,'апрель 2023'!$D$4:$D$692,$B156,'апрель 2023'!$J$4:$J$692,Q$1)</f>
        <v>0</v>
      </c>
      <c r="R156" s="207">
        <f>SUMIFS('апрель 2023'!$G$4:$G$692,'апрель 2023'!$D$4:$D$692,$B156,'апрель 2023'!$J$4:$J$692,R$1)</f>
        <v>0</v>
      </c>
      <c r="S156" s="207">
        <f>SUMIFS('апрель 2023'!$G$4:$G$692,'апрель 2023'!$D$4:$D$692,$B156,'апрель 2023'!$J$4:$J$692,S$1)</f>
        <v>0</v>
      </c>
      <c r="T156" s="207">
        <f>SUMIFS('апрель 2023'!$G$4:$G$692,'апрель 2023'!$D$4:$D$692,$B156,'апрель 2023'!$J$4:$J$692,T$1)</f>
        <v>0</v>
      </c>
      <c r="U156" s="207">
        <f>SUMIFS('апрель 2023'!$G$4:$G$692,'апрель 2023'!$D$4:$D$692,$B156,'апрель 2023'!$J$4:$J$692,U$1)</f>
        <v>0</v>
      </c>
      <c r="V156" s="207">
        <f>SUMIFS('апрель 2023'!$G$4:$G$692,'апрель 2023'!$D$4:$D$692,$B156,'апрель 2023'!$J$4:$J$692,V$1)</f>
        <v>0</v>
      </c>
      <c r="W156" s="207">
        <f>SUMIFS('апрель 2023'!$G$4:$G$692,'апрель 2023'!$D$4:$D$692,$B156,'апрель 2023'!$J$4:$J$692,W$1)</f>
        <v>0</v>
      </c>
      <c r="X156" s="207">
        <f>SUMIFS('апрель 2023'!$G$4:$G$692,'апрель 2023'!$D$4:$D$692,$B156,'апрель 2023'!$J$4:$J$692,X$1)</f>
        <v>0</v>
      </c>
      <c r="Y156" s="207">
        <f>SUMIFS('апрель 2023'!$G$4:$G$692,'апрель 2023'!$D$4:$D$692,$B156,'апрель 2023'!$J$4:$J$692,Y$1)</f>
        <v>0</v>
      </c>
      <c r="Z156" s="207">
        <f>SUMIFS('апрель 2023'!$G$4:$G$692,'апрель 2023'!$D$4:$D$692,$B156,'апрель 2023'!$J$4:$J$692,Z$1)</f>
        <v>0</v>
      </c>
      <c r="AA156" s="207">
        <f>SUMIFS('апрель 2023'!$G$4:$G$692,'апрель 2023'!$D$4:$D$692,$B156,'апрель 2023'!$J$4:$J$692,AA$1)</f>
        <v>0</v>
      </c>
      <c r="AB156" s="207">
        <f>SUMIFS('апрель 2023'!$G$4:$G$692,'апрель 2023'!$D$4:$D$692,$B156,'апрель 2023'!$J$4:$J$692,AB$1)</f>
        <v>0</v>
      </c>
      <c r="AC156" s="207">
        <f>SUMIFS('апрель 2023'!$G$4:$G$692,'апрель 2023'!$D$4:$D$692,$B156,'апрель 2023'!$J$4:$J$692,AC$1)</f>
        <v>0</v>
      </c>
      <c r="AD156" s="207">
        <f>SUMIFS('апрель 2023'!$G$4:$G$692,'апрель 2023'!$D$4:$D$692,$B156,'апрель 2023'!$J$4:$J$692,AD$1)</f>
        <v>0</v>
      </c>
      <c r="AE156" s="207">
        <f>SUMIFS('апрель 2023'!$G$4:$G$692,'апрель 2023'!$D$4:$D$692,$B156,'апрель 2023'!$J$4:$J$692,AE$1)</f>
        <v>0</v>
      </c>
      <c r="AF156" s="207">
        <f>SUMIFS('апрель 2023'!$G$4:$G$692,'апрель 2023'!$D$4:$D$692,$B156,'апрель 2023'!$J$4:$J$692,AF$1)</f>
        <v>0</v>
      </c>
      <c r="AG156" s="207">
        <f>SUMIFS('апрель 2023'!$G$4:$G$692,'апрель 2023'!$D$4:$D$692,$B156,'апрель 2023'!$J$4:$J$692,AG$1)</f>
        <v>0</v>
      </c>
      <c r="AH156" s="207">
        <f>SUMIFS('апрель 2023'!$G$4:$G$692,'апрель 2023'!$D$4:$D$692,$B156,'апрель 2023'!$J$4:$J$692,AH$1)</f>
        <v>0</v>
      </c>
      <c r="AI156" s="220">
        <f t="shared" si="4"/>
        <v>0</v>
      </c>
    </row>
    <row r="157" spans="2:35" ht="15.75" hidden="1" x14ac:dyDescent="0.25">
      <c r="B157" s="212"/>
      <c r="C157" s="211"/>
      <c r="D157" s="207">
        <f>SUMIFS('апрель 2023'!$G$4:$G$692,'апрель 2023'!$D$4:$D$692,$B157,'апрель 2023'!$J$4:$J$692,D$1)</f>
        <v>0</v>
      </c>
      <c r="E157" s="207">
        <f>SUMIFS('апрель 2023'!$G$4:$G$692,'апрель 2023'!$D$4:$D$692,$B157,'апрель 2023'!$J$4:$J$692,E$1)</f>
        <v>0</v>
      </c>
      <c r="F157" s="207">
        <f>SUMIFS('апрель 2023'!$G$4:$G$692,'апрель 2023'!$D$4:$D$692,$B157,'апрель 2023'!$J$4:$J$692,F$1)</f>
        <v>0</v>
      </c>
      <c r="G157" s="207">
        <f>SUMIFS('апрель 2023'!$G$4:$G$692,'апрель 2023'!$D$4:$D$692,$B157,'апрель 2023'!$J$4:$J$692,G$1)</f>
        <v>0</v>
      </c>
      <c r="H157" s="207">
        <f>SUMIFS('апрель 2023'!$G$4:$G$692,'апрель 2023'!$D$4:$D$692,$B157,'апрель 2023'!$J$4:$J$692,H$1)</f>
        <v>0</v>
      </c>
      <c r="I157" s="207">
        <f>SUMIFS('апрель 2023'!$G$4:$G$692,'апрель 2023'!$D$4:$D$692,$B157,'апрель 2023'!$J$4:$J$692,I$1)</f>
        <v>0</v>
      </c>
      <c r="J157" s="207">
        <f>SUMIFS('апрель 2023'!$G$4:$G$692,'апрель 2023'!$D$4:$D$692,$B157,'апрель 2023'!$J$4:$J$692,J$1)</f>
        <v>0</v>
      </c>
      <c r="K157" s="207">
        <f>SUMIFS('апрель 2023'!$G$4:$G$692,'апрель 2023'!$D$4:$D$692,$B157,'апрель 2023'!$J$4:$J$692,K$1)</f>
        <v>0</v>
      </c>
      <c r="L157" s="207">
        <f>SUMIFS('апрель 2023'!$G$4:$G$692,'апрель 2023'!$D$4:$D$692,$B157,'апрель 2023'!$J$4:$J$692,L$1)</f>
        <v>0</v>
      </c>
      <c r="M157" s="207">
        <f>SUMIFS('апрель 2023'!$G$4:$G$692,'апрель 2023'!$D$4:$D$692,$B157,'апрель 2023'!$J$4:$J$692,M$1)</f>
        <v>0</v>
      </c>
      <c r="N157" s="207">
        <f>SUMIFS('апрель 2023'!$G$4:$G$692,'апрель 2023'!$D$4:$D$692,$B157,'апрель 2023'!$J$4:$J$692,N$1)</f>
        <v>0</v>
      </c>
      <c r="O157" s="207">
        <f>SUMIFS('апрель 2023'!$G$4:$G$692,'апрель 2023'!$D$4:$D$692,$B157,'апрель 2023'!$J$4:$J$692,O$1)</f>
        <v>0</v>
      </c>
      <c r="P157" s="207">
        <f>SUMIFS('апрель 2023'!$G$4:$G$692,'апрель 2023'!$D$4:$D$692,$B157,'апрель 2023'!$J$4:$J$692,P$1)</f>
        <v>0</v>
      </c>
      <c r="Q157" s="207">
        <f>SUMIFS('апрель 2023'!$G$4:$G$692,'апрель 2023'!$D$4:$D$692,$B157,'апрель 2023'!$J$4:$J$692,Q$1)</f>
        <v>0</v>
      </c>
      <c r="R157" s="207">
        <f>SUMIFS('апрель 2023'!$G$4:$G$692,'апрель 2023'!$D$4:$D$692,$B157,'апрель 2023'!$J$4:$J$692,R$1)</f>
        <v>0</v>
      </c>
      <c r="S157" s="207">
        <f>SUMIFS('апрель 2023'!$G$4:$G$692,'апрель 2023'!$D$4:$D$692,$B157,'апрель 2023'!$J$4:$J$692,S$1)</f>
        <v>0</v>
      </c>
      <c r="T157" s="207">
        <f>SUMIFS('апрель 2023'!$G$4:$G$692,'апрель 2023'!$D$4:$D$692,$B157,'апрель 2023'!$J$4:$J$692,T$1)</f>
        <v>0</v>
      </c>
      <c r="U157" s="207">
        <f>SUMIFS('апрель 2023'!$G$4:$G$692,'апрель 2023'!$D$4:$D$692,$B157,'апрель 2023'!$J$4:$J$692,U$1)</f>
        <v>0</v>
      </c>
      <c r="V157" s="207">
        <f>SUMIFS('апрель 2023'!$G$4:$G$692,'апрель 2023'!$D$4:$D$692,$B157,'апрель 2023'!$J$4:$J$692,V$1)</f>
        <v>0</v>
      </c>
      <c r="W157" s="207">
        <f>SUMIFS('апрель 2023'!$G$4:$G$692,'апрель 2023'!$D$4:$D$692,$B157,'апрель 2023'!$J$4:$J$692,W$1)</f>
        <v>0</v>
      </c>
      <c r="X157" s="207">
        <f>SUMIFS('апрель 2023'!$G$4:$G$692,'апрель 2023'!$D$4:$D$692,$B157,'апрель 2023'!$J$4:$J$692,X$1)</f>
        <v>0</v>
      </c>
      <c r="Y157" s="207">
        <f>SUMIFS('апрель 2023'!$G$4:$G$692,'апрель 2023'!$D$4:$D$692,$B157,'апрель 2023'!$J$4:$J$692,Y$1)</f>
        <v>0</v>
      </c>
      <c r="Z157" s="207">
        <f>SUMIFS('апрель 2023'!$G$4:$G$692,'апрель 2023'!$D$4:$D$692,$B157,'апрель 2023'!$J$4:$J$692,Z$1)</f>
        <v>0</v>
      </c>
      <c r="AA157" s="207">
        <f>SUMIFS('апрель 2023'!$G$4:$G$692,'апрель 2023'!$D$4:$D$692,$B157,'апрель 2023'!$J$4:$J$692,AA$1)</f>
        <v>0</v>
      </c>
      <c r="AB157" s="207">
        <f>SUMIFS('апрель 2023'!$G$4:$G$692,'апрель 2023'!$D$4:$D$692,$B157,'апрель 2023'!$J$4:$J$692,AB$1)</f>
        <v>0</v>
      </c>
      <c r="AC157" s="207">
        <f>SUMIFS('апрель 2023'!$G$4:$G$692,'апрель 2023'!$D$4:$D$692,$B157,'апрель 2023'!$J$4:$J$692,AC$1)</f>
        <v>0</v>
      </c>
      <c r="AD157" s="207">
        <f>SUMIFS('апрель 2023'!$G$4:$G$692,'апрель 2023'!$D$4:$D$692,$B157,'апрель 2023'!$J$4:$J$692,AD$1)</f>
        <v>0</v>
      </c>
      <c r="AE157" s="207">
        <f>SUMIFS('апрель 2023'!$G$4:$G$692,'апрель 2023'!$D$4:$D$692,$B157,'апрель 2023'!$J$4:$J$692,AE$1)</f>
        <v>0</v>
      </c>
      <c r="AF157" s="207">
        <f>SUMIFS('апрель 2023'!$G$4:$G$692,'апрель 2023'!$D$4:$D$692,$B157,'апрель 2023'!$J$4:$J$692,AF$1)</f>
        <v>0</v>
      </c>
      <c r="AG157" s="207">
        <f>SUMIFS('апрель 2023'!$G$4:$G$692,'апрель 2023'!$D$4:$D$692,$B157,'апрель 2023'!$J$4:$J$692,AG$1)</f>
        <v>0</v>
      </c>
      <c r="AH157" s="207">
        <f>SUMIFS('апрель 2023'!$G$4:$G$692,'апрель 2023'!$D$4:$D$692,$B157,'апрель 2023'!$J$4:$J$692,AH$1)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SUMIFS('апрель 2023'!$G$4:$G$692,'апрель 2023'!$D$4:$D$692,$B158,'апрель 2023'!$J$4:$J$692,D$1)</f>
        <v>0</v>
      </c>
      <c r="E158" s="207">
        <f>SUMIFS('апрель 2023'!$G$4:$G$692,'апрель 2023'!$D$4:$D$692,$B158,'апрель 2023'!$J$4:$J$692,E$1)</f>
        <v>0</v>
      </c>
      <c r="F158" s="207">
        <f>SUMIFS('апрель 2023'!$G$4:$G$692,'апрель 2023'!$D$4:$D$692,$B158,'апрель 2023'!$J$4:$J$692,F$1)</f>
        <v>0</v>
      </c>
      <c r="G158" s="207">
        <f>SUMIFS('апрель 2023'!$G$4:$G$692,'апрель 2023'!$D$4:$D$692,$B158,'апрель 2023'!$J$4:$J$692,G$1)</f>
        <v>0</v>
      </c>
      <c r="H158" s="207">
        <f>SUMIFS('апрель 2023'!$G$4:$G$692,'апрель 2023'!$D$4:$D$692,$B158,'апрель 2023'!$J$4:$J$692,H$1)</f>
        <v>0</v>
      </c>
      <c r="I158" s="207">
        <f>SUMIFS('апрель 2023'!$G$4:$G$692,'апрель 2023'!$D$4:$D$692,$B158,'апрель 2023'!$J$4:$J$692,I$1)</f>
        <v>0</v>
      </c>
      <c r="J158" s="207">
        <f>SUMIFS('апрель 2023'!$G$4:$G$692,'апрель 2023'!$D$4:$D$692,$B158,'апрель 2023'!$J$4:$J$692,J$1)</f>
        <v>0</v>
      </c>
      <c r="K158" s="207">
        <f>SUMIFS('апрель 2023'!$G$4:$G$692,'апрель 2023'!$D$4:$D$692,$B158,'апрель 2023'!$J$4:$J$692,K$1)</f>
        <v>0</v>
      </c>
      <c r="L158" s="207">
        <f>SUMIFS('апрель 2023'!$G$4:$G$692,'апрель 2023'!$D$4:$D$692,$B158,'апрель 2023'!$J$4:$J$692,L$1)</f>
        <v>0</v>
      </c>
      <c r="M158" s="207">
        <f>SUMIFS('апрель 2023'!$G$4:$G$692,'апрель 2023'!$D$4:$D$692,$B158,'апрель 2023'!$J$4:$J$692,M$1)</f>
        <v>0</v>
      </c>
      <c r="N158" s="207">
        <f>SUMIFS('апрель 2023'!$G$4:$G$692,'апрель 2023'!$D$4:$D$692,$B158,'апрель 2023'!$J$4:$J$692,N$1)</f>
        <v>0</v>
      </c>
      <c r="O158" s="207">
        <f>SUMIFS('апрель 2023'!$G$4:$G$692,'апрель 2023'!$D$4:$D$692,$B158,'апрель 2023'!$J$4:$J$692,O$1)</f>
        <v>0</v>
      </c>
      <c r="P158" s="207">
        <f>SUMIFS('апрель 2023'!$G$4:$G$692,'апрель 2023'!$D$4:$D$692,$B158,'апрель 2023'!$J$4:$J$692,P$1)</f>
        <v>0</v>
      </c>
      <c r="Q158" s="207">
        <f>SUMIFS('апрель 2023'!$G$4:$G$692,'апрель 2023'!$D$4:$D$692,$B158,'апрель 2023'!$J$4:$J$692,Q$1)</f>
        <v>0</v>
      </c>
      <c r="R158" s="207">
        <f>SUMIFS('апрель 2023'!$G$4:$G$692,'апрель 2023'!$D$4:$D$692,$B158,'апрель 2023'!$J$4:$J$692,R$1)</f>
        <v>0</v>
      </c>
      <c r="S158" s="207">
        <f>SUMIFS('апрель 2023'!$G$4:$G$692,'апрель 2023'!$D$4:$D$692,$B158,'апрель 2023'!$J$4:$J$692,S$1)</f>
        <v>0</v>
      </c>
      <c r="T158" s="207">
        <f>SUMIFS('апрель 2023'!$G$4:$G$692,'апрель 2023'!$D$4:$D$692,$B158,'апрель 2023'!$J$4:$J$692,T$1)</f>
        <v>0</v>
      </c>
      <c r="U158" s="207">
        <f>SUMIFS('апрель 2023'!$G$4:$G$692,'апрель 2023'!$D$4:$D$692,$B158,'апрель 2023'!$J$4:$J$692,U$1)</f>
        <v>0</v>
      </c>
      <c r="V158" s="207">
        <f>SUMIFS('апрель 2023'!$G$4:$G$692,'апрель 2023'!$D$4:$D$692,$B158,'апрель 2023'!$J$4:$J$692,V$1)</f>
        <v>0</v>
      </c>
      <c r="W158" s="207">
        <f>SUMIFS('апрель 2023'!$G$4:$G$692,'апрель 2023'!$D$4:$D$692,$B158,'апрель 2023'!$J$4:$J$692,W$1)</f>
        <v>0</v>
      </c>
      <c r="X158" s="207">
        <f>SUMIFS('апрель 2023'!$G$4:$G$692,'апрель 2023'!$D$4:$D$692,$B158,'апрель 2023'!$J$4:$J$692,X$1)</f>
        <v>0</v>
      </c>
      <c r="Y158" s="207">
        <f>SUMIFS('апрель 2023'!$G$4:$G$692,'апрель 2023'!$D$4:$D$692,$B158,'апрель 2023'!$J$4:$J$692,Y$1)</f>
        <v>0</v>
      </c>
      <c r="Z158" s="207">
        <f>SUMIFS('апрель 2023'!$G$4:$G$692,'апрель 2023'!$D$4:$D$692,$B158,'апрель 2023'!$J$4:$J$692,Z$1)</f>
        <v>0</v>
      </c>
      <c r="AA158" s="207">
        <f>SUMIFS('апрель 2023'!$G$4:$G$692,'апрель 2023'!$D$4:$D$692,$B158,'апрель 2023'!$J$4:$J$692,AA$1)</f>
        <v>0</v>
      </c>
      <c r="AB158" s="207">
        <f>SUMIFS('апрель 2023'!$G$4:$G$692,'апрель 2023'!$D$4:$D$692,$B158,'апрель 2023'!$J$4:$J$692,AB$1)</f>
        <v>0</v>
      </c>
      <c r="AC158" s="207">
        <f>SUMIFS('апрель 2023'!$G$4:$G$692,'апрель 2023'!$D$4:$D$692,$B158,'апрель 2023'!$J$4:$J$692,AC$1)</f>
        <v>0</v>
      </c>
      <c r="AD158" s="207">
        <f>SUMIFS('апрель 2023'!$G$4:$G$692,'апрель 2023'!$D$4:$D$692,$B158,'апрель 2023'!$J$4:$J$692,AD$1)</f>
        <v>0</v>
      </c>
      <c r="AE158" s="207">
        <f>SUMIFS('апрель 2023'!$G$4:$G$692,'апрель 2023'!$D$4:$D$692,$B158,'апрель 2023'!$J$4:$J$692,AE$1)</f>
        <v>0</v>
      </c>
      <c r="AF158" s="207">
        <f>SUMIFS('апрель 2023'!$G$4:$G$692,'апрель 2023'!$D$4:$D$692,$B158,'апрель 2023'!$J$4:$J$692,AF$1)</f>
        <v>0</v>
      </c>
      <c r="AG158" s="207">
        <f>SUMIFS('апрель 2023'!$G$4:$G$692,'апрель 2023'!$D$4:$D$692,$B158,'апрель 2023'!$J$4:$J$692,AG$1)</f>
        <v>0</v>
      </c>
      <c r="AH158" s="207">
        <f>SUMIFS('апрель 2023'!$G$4:$G$692,'апрель 2023'!$D$4:$D$692,$B158,'апрель 2023'!$J$4:$J$692,AH$1)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SUMIFS('апрель 2023'!$G$4:$G$692,'апрель 2023'!$D$4:$D$692,$B159,'апрель 2023'!$J$4:$J$692,D$1)</f>
        <v>0</v>
      </c>
      <c r="E159" s="207">
        <f>SUMIFS('апрель 2023'!$G$4:$G$692,'апрель 2023'!$D$4:$D$692,$B159,'апрель 2023'!$J$4:$J$692,E$1)</f>
        <v>0</v>
      </c>
      <c r="F159" s="207">
        <f>SUMIFS('апрель 2023'!$G$4:$G$692,'апрель 2023'!$D$4:$D$692,$B159,'апрель 2023'!$J$4:$J$692,F$1)</f>
        <v>0</v>
      </c>
      <c r="G159" s="207">
        <f>SUMIFS('апрель 2023'!$G$4:$G$692,'апрель 2023'!$D$4:$D$692,$B159,'апрель 2023'!$J$4:$J$692,G$1)</f>
        <v>0</v>
      </c>
      <c r="H159" s="207">
        <f>SUMIFS('апрель 2023'!$G$4:$G$692,'апрель 2023'!$D$4:$D$692,$B159,'апрель 2023'!$J$4:$J$692,H$1)</f>
        <v>0</v>
      </c>
      <c r="I159" s="207">
        <f>SUMIFS('апрель 2023'!$G$4:$G$692,'апрель 2023'!$D$4:$D$692,$B159,'апрель 2023'!$J$4:$J$692,I$1)</f>
        <v>0</v>
      </c>
      <c r="J159" s="207">
        <f>SUMIFS('апрель 2023'!$G$4:$G$692,'апрель 2023'!$D$4:$D$692,$B159,'апрель 2023'!$J$4:$J$692,J$1)</f>
        <v>0</v>
      </c>
      <c r="K159" s="207">
        <f>SUMIFS('апрель 2023'!$G$4:$G$692,'апрель 2023'!$D$4:$D$692,$B159,'апрель 2023'!$J$4:$J$692,K$1)</f>
        <v>0</v>
      </c>
      <c r="L159" s="207">
        <f>SUMIFS('апрель 2023'!$G$4:$G$692,'апрель 2023'!$D$4:$D$692,$B159,'апрель 2023'!$J$4:$J$692,L$1)</f>
        <v>0</v>
      </c>
      <c r="M159" s="207">
        <f>SUMIFS('апрель 2023'!$G$4:$G$692,'апрель 2023'!$D$4:$D$692,$B159,'апрель 2023'!$J$4:$J$692,M$1)</f>
        <v>0</v>
      </c>
      <c r="N159" s="207">
        <f>SUMIFS('апрель 2023'!$G$4:$G$692,'апрель 2023'!$D$4:$D$692,$B159,'апрель 2023'!$J$4:$J$692,N$1)</f>
        <v>0</v>
      </c>
      <c r="O159" s="207">
        <f>SUMIFS('апрель 2023'!$G$4:$G$692,'апрель 2023'!$D$4:$D$692,$B159,'апрель 2023'!$J$4:$J$692,O$1)</f>
        <v>0</v>
      </c>
      <c r="P159" s="207">
        <f>SUMIFS('апрель 2023'!$G$4:$G$692,'апрель 2023'!$D$4:$D$692,$B159,'апрель 2023'!$J$4:$J$692,P$1)</f>
        <v>0</v>
      </c>
      <c r="Q159" s="207">
        <f>SUMIFS('апрель 2023'!$G$4:$G$692,'апрель 2023'!$D$4:$D$692,$B159,'апрель 2023'!$J$4:$J$692,Q$1)</f>
        <v>0</v>
      </c>
      <c r="R159" s="207">
        <f>SUMIFS('апрель 2023'!$G$4:$G$692,'апрель 2023'!$D$4:$D$692,$B159,'апрель 2023'!$J$4:$J$692,R$1)</f>
        <v>0</v>
      </c>
      <c r="S159" s="207">
        <f>SUMIFS('апрель 2023'!$G$4:$G$692,'апрель 2023'!$D$4:$D$692,$B159,'апрель 2023'!$J$4:$J$692,S$1)</f>
        <v>0</v>
      </c>
      <c r="T159" s="207">
        <f>SUMIFS('апрель 2023'!$G$4:$G$692,'апрель 2023'!$D$4:$D$692,$B159,'апрель 2023'!$J$4:$J$692,T$1)</f>
        <v>0</v>
      </c>
      <c r="U159" s="207">
        <f>SUMIFS('апрель 2023'!$G$4:$G$692,'апрель 2023'!$D$4:$D$692,$B159,'апрель 2023'!$J$4:$J$692,U$1)</f>
        <v>0</v>
      </c>
      <c r="V159" s="207">
        <f>SUMIFS('апрель 2023'!$G$4:$G$692,'апрель 2023'!$D$4:$D$692,$B159,'апрель 2023'!$J$4:$J$692,V$1)</f>
        <v>0</v>
      </c>
      <c r="W159" s="207">
        <f>SUMIFS('апрель 2023'!$G$4:$G$692,'апрель 2023'!$D$4:$D$692,$B159,'апрель 2023'!$J$4:$J$692,W$1)</f>
        <v>0</v>
      </c>
      <c r="X159" s="207">
        <f>SUMIFS('апрель 2023'!$G$4:$G$692,'апрель 2023'!$D$4:$D$692,$B159,'апрель 2023'!$J$4:$J$692,X$1)</f>
        <v>0</v>
      </c>
      <c r="Y159" s="207">
        <f>SUMIFS('апрель 2023'!$G$4:$G$692,'апрель 2023'!$D$4:$D$692,$B159,'апрель 2023'!$J$4:$J$692,Y$1)</f>
        <v>0</v>
      </c>
      <c r="Z159" s="207">
        <f>SUMIFS('апрель 2023'!$G$4:$G$692,'апрель 2023'!$D$4:$D$692,$B159,'апрель 2023'!$J$4:$J$692,Z$1)</f>
        <v>0</v>
      </c>
      <c r="AA159" s="207">
        <f>SUMIFS('апрель 2023'!$G$4:$G$692,'апрель 2023'!$D$4:$D$692,$B159,'апрель 2023'!$J$4:$J$692,AA$1)</f>
        <v>0</v>
      </c>
      <c r="AB159" s="207">
        <f>SUMIFS('апрель 2023'!$G$4:$G$692,'апрель 2023'!$D$4:$D$692,$B159,'апрель 2023'!$J$4:$J$692,AB$1)</f>
        <v>0</v>
      </c>
      <c r="AC159" s="207">
        <f>SUMIFS('апрель 2023'!$G$4:$G$692,'апрель 2023'!$D$4:$D$692,$B159,'апрель 2023'!$J$4:$J$692,AC$1)</f>
        <v>0</v>
      </c>
      <c r="AD159" s="207">
        <f>SUMIFS('апрель 2023'!$G$4:$G$692,'апрель 2023'!$D$4:$D$692,$B159,'апрель 2023'!$J$4:$J$692,AD$1)</f>
        <v>0</v>
      </c>
      <c r="AE159" s="207">
        <f>SUMIFS('апрель 2023'!$G$4:$G$692,'апрель 2023'!$D$4:$D$692,$B159,'апрель 2023'!$J$4:$J$692,AE$1)</f>
        <v>0</v>
      </c>
      <c r="AF159" s="207">
        <f>SUMIFS('апрель 2023'!$G$4:$G$692,'апрель 2023'!$D$4:$D$692,$B159,'апрель 2023'!$J$4:$J$692,AF$1)</f>
        <v>0</v>
      </c>
      <c r="AG159" s="207">
        <f>SUMIFS('апрель 2023'!$G$4:$G$692,'апрель 2023'!$D$4:$D$692,$B159,'апрель 2023'!$J$4:$J$692,AG$1)</f>
        <v>0</v>
      </c>
      <c r="AH159" s="207">
        <f>SUMIFS('апрель 2023'!$G$4:$G$692,'апрель 2023'!$D$4:$D$692,$B159,'апрель 2023'!$J$4:$J$692,AH$1)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SUMIFS('апрель 2023'!$G$4:$G$692,'апрель 2023'!$D$4:$D$692,$B160,'апрель 2023'!$J$4:$J$692,D$1)</f>
        <v>0</v>
      </c>
      <c r="E160" s="207">
        <f>SUMIFS('апрель 2023'!$G$4:$G$692,'апрель 2023'!$D$4:$D$692,$B160,'апрель 2023'!$J$4:$J$692,E$1)</f>
        <v>0</v>
      </c>
      <c r="F160" s="207">
        <f>SUMIFS('апрель 2023'!$G$4:$G$692,'апрель 2023'!$D$4:$D$692,$B160,'апрель 2023'!$J$4:$J$692,F$1)</f>
        <v>0</v>
      </c>
      <c r="G160" s="207">
        <f>SUMIFS('апрель 2023'!$G$4:$G$692,'апрель 2023'!$D$4:$D$692,$B160,'апрель 2023'!$J$4:$J$692,G$1)</f>
        <v>0</v>
      </c>
      <c r="H160" s="207">
        <f>SUMIFS('апрель 2023'!$G$4:$G$692,'апрель 2023'!$D$4:$D$692,$B160,'апрель 2023'!$J$4:$J$692,H$1)</f>
        <v>0</v>
      </c>
      <c r="I160" s="207">
        <f>SUMIFS('апрель 2023'!$G$4:$G$692,'апрель 2023'!$D$4:$D$692,$B160,'апрель 2023'!$J$4:$J$692,I$1)</f>
        <v>0</v>
      </c>
      <c r="J160" s="207">
        <f>SUMIFS('апрель 2023'!$G$4:$G$692,'апрель 2023'!$D$4:$D$692,$B160,'апрель 2023'!$J$4:$J$692,J$1)</f>
        <v>0</v>
      </c>
      <c r="K160" s="207">
        <f>SUMIFS('апрель 2023'!$G$4:$G$692,'апрель 2023'!$D$4:$D$692,$B160,'апрель 2023'!$J$4:$J$692,K$1)</f>
        <v>0</v>
      </c>
      <c r="L160" s="207">
        <f>SUMIFS('апрель 2023'!$G$4:$G$692,'апрель 2023'!$D$4:$D$692,$B160,'апрель 2023'!$J$4:$J$692,L$1)</f>
        <v>0</v>
      </c>
      <c r="M160" s="207">
        <f>SUMIFS('апрель 2023'!$G$4:$G$692,'апрель 2023'!$D$4:$D$692,$B160,'апрель 2023'!$J$4:$J$692,M$1)</f>
        <v>0</v>
      </c>
      <c r="N160" s="207">
        <f>SUMIFS('апрель 2023'!$G$4:$G$692,'апрель 2023'!$D$4:$D$692,$B160,'апрель 2023'!$J$4:$J$692,N$1)</f>
        <v>0</v>
      </c>
      <c r="O160" s="207">
        <f>SUMIFS('апрель 2023'!$G$4:$G$692,'апрель 2023'!$D$4:$D$692,$B160,'апрель 2023'!$J$4:$J$692,O$1)</f>
        <v>0</v>
      </c>
      <c r="P160" s="207">
        <f>SUMIFS('апрель 2023'!$G$4:$G$692,'апрель 2023'!$D$4:$D$692,$B160,'апрель 2023'!$J$4:$J$692,P$1)</f>
        <v>0</v>
      </c>
      <c r="Q160" s="207">
        <f>SUMIFS('апрель 2023'!$G$4:$G$692,'апрель 2023'!$D$4:$D$692,$B160,'апрель 2023'!$J$4:$J$692,Q$1)</f>
        <v>0</v>
      </c>
      <c r="R160" s="207">
        <f>SUMIFS('апрель 2023'!$G$4:$G$692,'апрель 2023'!$D$4:$D$692,$B160,'апрель 2023'!$J$4:$J$692,R$1)</f>
        <v>0</v>
      </c>
      <c r="S160" s="207">
        <f>SUMIFS('апрель 2023'!$G$4:$G$692,'апрель 2023'!$D$4:$D$692,$B160,'апрель 2023'!$J$4:$J$692,S$1)</f>
        <v>0</v>
      </c>
      <c r="T160" s="207">
        <f>SUMIFS('апрель 2023'!$G$4:$G$692,'апрель 2023'!$D$4:$D$692,$B160,'апрель 2023'!$J$4:$J$692,T$1)</f>
        <v>0</v>
      </c>
      <c r="U160" s="207">
        <f>SUMIFS('апрель 2023'!$G$4:$G$692,'апрель 2023'!$D$4:$D$692,$B160,'апрель 2023'!$J$4:$J$692,U$1)</f>
        <v>0</v>
      </c>
      <c r="V160" s="207">
        <f>SUMIFS('апрель 2023'!$G$4:$G$692,'апрель 2023'!$D$4:$D$692,$B160,'апрель 2023'!$J$4:$J$692,V$1)</f>
        <v>0</v>
      </c>
      <c r="W160" s="207">
        <f>SUMIFS('апрель 2023'!$G$4:$G$692,'апрель 2023'!$D$4:$D$692,$B160,'апрель 2023'!$J$4:$J$692,W$1)</f>
        <v>0</v>
      </c>
      <c r="X160" s="207">
        <f>SUMIFS('апрель 2023'!$G$4:$G$692,'апрель 2023'!$D$4:$D$692,$B160,'апрель 2023'!$J$4:$J$692,X$1)</f>
        <v>0</v>
      </c>
      <c r="Y160" s="207">
        <f>SUMIFS('апрель 2023'!$G$4:$G$692,'апрель 2023'!$D$4:$D$692,$B160,'апрель 2023'!$J$4:$J$692,Y$1)</f>
        <v>0</v>
      </c>
      <c r="Z160" s="207">
        <f>SUMIFS('апрель 2023'!$G$4:$G$692,'апрель 2023'!$D$4:$D$692,$B160,'апрель 2023'!$J$4:$J$692,Z$1)</f>
        <v>0</v>
      </c>
      <c r="AA160" s="207">
        <f>SUMIFS('апрель 2023'!$G$4:$G$692,'апрель 2023'!$D$4:$D$692,$B160,'апрель 2023'!$J$4:$J$692,AA$1)</f>
        <v>0</v>
      </c>
      <c r="AB160" s="207">
        <f>SUMIFS('апрель 2023'!$G$4:$G$692,'апрель 2023'!$D$4:$D$692,$B160,'апрель 2023'!$J$4:$J$692,AB$1)</f>
        <v>0</v>
      </c>
      <c r="AC160" s="207">
        <f>SUMIFS('апрель 2023'!$G$4:$G$692,'апрель 2023'!$D$4:$D$692,$B160,'апрель 2023'!$J$4:$J$692,AC$1)</f>
        <v>0</v>
      </c>
      <c r="AD160" s="207">
        <f>SUMIFS('апрель 2023'!$G$4:$G$692,'апрель 2023'!$D$4:$D$692,$B160,'апрель 2023'!$J$4:$J$692,AD$1)</f>
        <v>0</v>
      </c>
      <c r="AE160" s="207">
        <f>SUMIFS('апрель 2023'!$G$4:$G$692,'апрель 2023'!$D$4:$D$692,$B160,'апрель 2023'!$J$4:$J$692,AE$1)</f>
        <v>0</v>
      </c>
      <c r="AF160" s="207">
        <f>SUMIFS('апрель 2023'!$G$4:$G$692,'апрель 2023'!$D$4:$D$692,$B160,'апрель 2023'!$J$4:$J$692,AF$1)</f>
        <v>0</v>
      </c>
      <c r="AG160" s="207">
        <f>SUMIFS('апрель 2023'!$G$4:$G$692,'апрель 2023'!$D$4:$D$692,$B160,'апрель 2023'!$J$4:$J$692,AG$1)</f>
        <v>0</v>
      </c>
      <c r="AH160" s="207">
        <f>SUMIFS('апрель 2023'!$G$4:$G$692,'апрель 2023'!$D$4:$D$692,$B160,'апрель 2023'!$J$4:$J$692,AH$1)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SUMIFS('апрель 2023'!$G$4:$G$692,'апрель 2023'!$D$4:$D$692,$B161,'апрель 2023'!$J$4:$J$692,D$1)</f>
        <v>0</v>
      </c>
      <c r="E161" s="207">
        <f>SUMIFS('апрель 2023'!$G$4:$G$692,'апрель 2023'!$D$4:$D$692,$B161,'апрель 2023'!$J$4:$J$692,E$1)</f>
        <v>0</v>
      </c>
      <c r="F161" s="207">
        <f>SUMIFS('апрель 2023'!$G$4:$G$692,'апрель 2023'!$D$4:$D$692,$B161,'апрель 2023'!$J$4:$J$692,F$1)</f>
        <v>0</v>
      </c>
      <c r="G161" s="207">
        <f>SUMIFS('апрель 2023'!$G$4:$G$692,'апрель 2023'!$D$4:$D$692,$B161,'апрель 2023'!$J$4:$J$692,G$1)</f>
        <v>0</v>
      </c>
      <c r="H161" s="207">
        <f>SUMIFS('апрель 2023'!$G$4:$G$692,'апрель 2023'!$D$4:$D$692,$B161,'апрель 2023'!$J$4:$J$692,H$1)</f>
        <v>0</v>
      </c>
      <c r="I161" s="207">
        <f>SUMIFS('апрель 2023'!$G$4:$G$692,'апрель 2023'!$D$4:$D$692,$B161,'апрель 2023'!$J$4:$J$692,I$1)</f>
        <v>0</v>
      </c>
      <c r="J161" s="207">
        <f>SUMIFS('апрель 2023'!$G$4:$G$692,'апрель 2023'!$D$4:$D$692,$B161,'апрель 2023'!$J$4:$J$692,J$1)</f>
        <v>0</v>
      </c>
      <c r="K161" s="207">
        <f>SUMIFS('апрель 2023'!$G$4:$G$692,'апрель 2023'!$D$4:$D$692,$B161,'апрель 2023'!$J$4:$J$692,K$1)</f>
        <v>0</v>
      </c>
      <c r="L161" s="207">
        <f>SUMIFS('апрель 2023'!$G$4:$G$692,'апрель 2023'!$D$4:$D$692,$B161,'апрель 2023'!$J$4:$J$692,L$1)</f>
        <v>0</v>
      </c>
      <c r="M161" s="207">
        <f>SUMIFS('апрель 2023'!$G$4:$G$692,'апрель 2023'!$D$4:$D$692,$B161,'апрель 2023'!$J$4:$J$692,M$1)</f>
        <v>0</v>
      </c>
      <c r="N161" s="207">
        <f>SUMIFS('апрель 2023'!$G$4:$G$692,'апрель 2023'!$D$4:$D$692,$B161,'апрель 2023'!$J$4:$J$692,N$1)</f>
        <v>0</v>
      </c>
      <c r="O161" s="207">
        <f>SUMIFS('апрель 2023'!$G$4:$G$692,'апрель 2023'!$D$4:$D$692,$B161,'апрель 2023'!$J$4:$J$692,O$1)</f>
        <v>0</v>
      </c>
      <c r="P161" s="207">
        <f>SUMIFS('апрель 2023'!$G$4:$G$692,'апрель 2023'!$D$4:$D$692,$B161,'апрель 2023'!$J$4:$J$692,P$1)</f>
        <v>0</v>
      </c>
      <c r="Q161" s="207">
        <f>SUMIFS('апрель 2023'!$G$4:$G$692,'апрель 2023'!$D$4:$D$692,$B161,'апрель 2023'!$J$4:$J$692,Q$1)</f>
        <v>0</v>
      </c>
      <c r="R161" s="207">
        <f>SUMIFS('апрель 2023'!$G$4:$G$692,'апрель 2023'!$D$4:$D$692,$B161,'апрель 2023'!$J$4:$J$692,R$1)</f>
        <v>0</v>
      </c>
      <c r="S161" s="207">
        <f>SUMIFS('апрель 2023'!$G$4:$G$692,'апрель 2023'!$D$4:$D$692,$B161,'апрель 2023'!$J$4:$J$692,S$1)</f>
        <v>0</v>
      </c>
      <c r="T161" s="207">
        <f>SUMIFS('апрель 2023'!$G$4:$G$692,'апрель 2023'!$D$4:$D$692,$B161,'апрель 2023'!$J$4:$J$692,T$1)</f>
        <v>0</v>
      </c>
      <c r="U161" s="207">
        <f>SUMIFS('апрель 2023'!$G$4:$G$692,'апрель 2023'!$D$4:$D$692,$B161,'апрель 2023'!$J$4:$J$692,U$1)</f>
        <v>0</v>
      </c>
      <c r="V161" s="207">
        <f>SUMIFS('апрель 2023'!$G$4:$G$692,'апрель 2023'!$D$4:$D$692,$B161,'апрель 2023'!$J$4:$J$692,V$1)</f>
        <v>0</v>
      </c>
      <c r="W161" s="207">
        <f>SUMIFS('апрель 2023'!$G$4:$G$692,'апрель 2023'!$D$4:$D$692,$B161,'апрель 2023'!$J$4:$J$692,W$1)</f>
        <v>0</v>
      </c>
      <c r="X161" s="207">
        <f>SUMIFS('апрель 2023'!$G$4:$G$692,'апрель 2023'!$D$4:$D$692,$B161,'апрель 2023'!$J$4:$J$692,X$1)</f>
        <v>0</v>
      </c>
      <c r="Y161" s="207">
        <f>SUMIFS('апрель 2023'!$G$4:$G$692,'апрель 2023'!$D$4:$D$692,$B161,'апрель 2023'!$J$4:$J$692,Y$1)</f>
        <v>0</v>
      </c>
      <c r="Z161" s="207">
        <f>SUMIFS('апрель 2023'!$G$4:$G$692,'апрель 2023'!$D$4:$D$692,$B161,'апрель 2023'!$J$4:$J$692,Z$1)</f>
        <v>0</v>
      </c>
      <c r="AA161" s="207">
        <f>SUMIFS('апрель 2023'!$G$4:$G$692,'апрель 2023'!$D$4:$D$692,$B161,'апрель 2023'!$J$4:$J$692,AA$1)</f>
        <v>0</v>
      </c>
      <c r="AB161" s="207">
        <f>SUMIFS('апрель 2023'!$G$4:$G$692,'апрель 2023'!$D$4:$D$692,$B161,'апрель 2023'!$J$4:$J$692,AB$1)</f>
        <v>0</v>
      </c>
      <c r="AC161" s="207">
        <f>SUMIFS('апрель 2023'!$G$4:$G$692,'апрель 2023'!$D$4:$D$692,$B161,'апрель 2023'!$J$4:$J$692,AC$1)</f>
        <v>0</v>
      </c>
      <c r="AD161" s="207">
        <f>SUMIFS('апрель 2023'!$G$4:$G$692,'апрель 2023'!$D$4:$D$692,$B161,'апрель 2023'!$J$4:$J$692,AD$1)</f>
        <v>0</v>
      </c>
      <c r="AE161" s="207">
        <f>SUMIFS('апрель 2023'!$G$4:$G$692,'апрель 2023'!$D$4:$D$692,$B161,'апрель 2023'!$J$4:$J$692,AE$1)</f>
        <v>0</v>
      </c>
      <c r="AF161" s="207">
        <f>SUMIFS('апрель 2023'!$G$4:$G$692,'апрель 2023'!$D$4:$D$692,$B161,'апрель 2023'!$J$4:$J$692,AF$1)</f>
        <v>0</v>
      </c>
      <c r="AG161" s="207">
        <f>SUMIFS('апрель 2023'!$G$4:$G$692,'апрель 2023'!$D$4:$D$692,$B161,'апрель 2023'!$J$4:$J$692,AG$1)</f>
        <v>0</v>
      </c>
      <c r="AH161" s="207">
        <f>SUMIFS('апрель 2023'!$G$4:$G$692,'апрель 2023'!$D$4:$D$692,$B161,'апрель 2023'!$J$4:$J$692,AH$1)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SUMIFS('апрель 2023'!$G$4:$G$692,'апрель 2023'!$D$4:$D$692,$B162,'апрель 2023'!$J$4:$J$692,D$1)</f>
        <v>0</v>
      </c>
      <c r="E162" s="207">
        <f>SUMIFS('апрель 2023'!$G$4:$G$692,'апрель 2023'!$D$4:$D$692,$B162,'апрель 2023'!$J$4:$J$692,E$1)</f>
        <v>0</v>
      </c>
      <c r="F162" s="207">
        <f>SUMIFS('апрель 2023'!$G$4:$G$692,'апрель 2023'!$D$4:$D$692,$B162,'апрель 2023'!$J$4:$J$692,F$1)</f>
        <v>0</v>
      </c>
      <c r="G162" s="207">
        <f>SUMIFS('апрель 2023'!$G$4:$G$692,'апрель 2023'!$D$4:$D$692,$B162,'апрель 2023'!$J$4:$J$692,G$1)</f>
        <v>0</v>
      </c>
      <c r="H162" s="207">
        <f>SUMIFS('апрель 2023'!$G$4:$G$692,'апрель 2023'!$D$4:$D$692,$B162,'апрель 2023'!$J$4:$J$692,H$1)</f>
        <v>0</v>
      </c>
      <c r="I162" s="207">
        <f>SUMIFS('апрель 2023'!$G$4:$G$692,'апрель 2023'!$D$4:$D$692,$B162,'апрель 2023'!$J$4:$J$692,I$1)</f>
        <v>0</v>
      </c>
      <c r="J162" s="207">
        <f>SUMIFS('апрель 2023'!$G$4:$G$692,'апрель 2023'!$D$4:$D$692,$B162,'апрель 2023'!$J$4:$J$692,J$1)</f>
        <v>0</v>
      </c>
      <c r="K162" s="207">
        <f>SUMIFS('апрель 2023'!$G$4:$G$692,'апрель 2023'!$D$4:$D$692,$B162,'апрель 2023'!$J$4:$J$692,K$1)</f>
        <v>0</v>
      </c>
      <c r="L162" s="207">
        <f>SUMIFS('апрель 2023'!$G$4:$G$692,'апрель 2023'!$D$4:$D$692,$B162,'апрель 2023'!$J$4:$J$692,L$1)</f>
        <v>0</v>
      </c>
      <c r="M162" s="207">
        <f>SUMIFS('апрель 2023'!$G$4:$G$692,'апрель 2023'!$D$4:$D$692,$B162,'апрель 2023'!$J$4:$J$692,M$1)</f>
        <v>0</v>
      </c>
      <c r="N162" s="207">
        <f>SUMIFS('апрель 2023'!$G$4:$G$692,'апрель 2023'!$D$4:$D$692,$B162,'апрель 2023'!$J$4:$J$692,N$1)</f>
        <v>0</v>
      </c>
      <c r="O162" s="207">
        <f>SUMIFS('апрель 2023'!$G$4:$G$692,'апрель 2023'!$D$4:$D$692,$B162,'апрель 2023'!$J$4:$J$692,O$1)</f>
        <v>0</v>
      </c>
      <c r="P162" s="207">
        <f>SUMIFS('апрель 2023'!$G$4:$G$692,'апрель 2023'!$D$4:$D$692,$B162,'апрель 2023'!$J$4:$J$692,P$1)</f>
        <v>0</v>
      </c>
      <c r="Q162" s="207">
        <f>SUMIFS('апрель 2023'!$G$4:$G$692,'апрель 2023'!$D$4:$D$692,$B162,'апрель 2023'!$J$4:$J$692,Q$1)</f>
        <v>0</v>
      </c>
      <c r="R162" s="207">
        <f>SUMIFS('апрель 2023'!$G$4:$G$692,'апрель 2023'!$D$4:$D$692,$B162,'апрель 2023'!$J$4:$J$692,R$1)</f>
        <v>0</v>
      </c>
      <c r="S162" s="207">
        <f>SUMIFS('апрель 2023'!$G$4:$G$692,'апрель 2023'!$D$4:$D$692,$B162,'апрель 2023'!$J$4:$J$692,S$1)</f>
        <v>0</v>
      </c>
      <c r="T162" s="207">
        <f>SUMIFS('апрель 2023'!$G$4:$G$692,'апрель 2023'!$D$4:$D$692,$B162,'апрель 2023'!$J$4:$J$692,T$1)</f>
        <v>0</v>
      </c>
      <c r="U162" s="207">
        <f>SUMIFS('апрель 2023'!$G$4:$G$692,'апрель 2023'!$D$4:$D$692,$B162,'апрель 2023'!$J$4:$J$692,U$1)</f>
        <v>0</v>
      </c>
      <c r="V162" s="207">
        <f>SUMIFS('апрель 2023'!$G$4:$G$692,'апрель 2023'!$D$4:$D$692,$B162,'апрель 2023'!$J$4:$J$692,V$1)</f>
        <v>0</v>
      </c>
      <c r="W162" s="207">
        <f>SUMIFS('апрель 2023'!$G$4:$G$692,'апрель 2023'!$D$4:$D$692,$B162,'апрель 2023'!$J$4:$J$692,W$1)</f>
        <v>0</v>
      </c>
      <c r="X162" s="207">
        <f>SUMIFS('апрель 2023'!$G$4:$G$692,'апрель 2023'!$D$4:$D$692,$B162,'апрель 2023'!$J$4:$J$692,X$1)</f>
        <v>0</v>
      </c>
      <c r="Y162" s="207">
        <f>SUMIFS('апрель 2023'!$G$4:$G$692,'апрель 2023'!$D$4:$D$692,$B162,'апрель 2023'!$J$4:$J$692,Y$1)</f>
        <v>0</v>
      </c>
      <c r="Z162" s="207">
        <f>SUMIFS('апрель 2023'!$G$4:$G$692,'апрель 2023'!$D$4:$D$692,$B162,'апрель 2023'!$J$4:$J$692,Z$1)</f>
        <v>0</v>
      </c>
      <c r="AA162" s="207">
        <f>SUMIFS('апрель 2023'!$G$4:$G$692,'апрель 2023'!$D$4:$D$692,$B162,'апрель 2023'!$J$4:$J$692,AA$1)</f>
        <v>0</v>
      </c>
      <c r="AB162" s="207">
        <f>SUMIFS('апрель 2023'!$G$4:$G$692,'апрель 2023'!$D$4:$D$692,$B162,'апрель 2023'!$J$4:$J$692,AB$1)</f>
        <v>0</v>
      </c>
      <c r="AC162" s="207">
        <f>SUMIFS('апрель 2023'!$G$4:$G$692,'апрель 2023'!$D$4:$D$692,$B162,'апрель 2023'!$J$4:$J$692,AC$1)</f>
        <v>0</v>
      </c>
      <c r="AD162" s="207">
        <f>SUMIFS('апрель 2023'!$G$4:$G$692,'апрель 2023'!$D$4:$D$692,$B162,'апрель 2023'!$J$4:$J$692,AD$1)</f>
        <v>0</v>
      </c>
      <c r="AE162" s="207">
        <f>SUMIFS('апрель 2023'!$G$4:$G$692,'апрель 2023'!$D$4:$D$692,$B162,'апрель 2023'!$J$4:$J$692,AE$1)</f>
        <v>0</v>
      </c>
      <c r="AF162" s="207">
        <f>SUMIFS('апрель 2023'!$G$4:$G$692,'апрель 2023'!$D$4:$D$692,$B162,'апрель 2023'!$J$4:$J$692,AF$1)</f>
        <v>0</v>
      </c>
      <c r="AG162" s="207">
        <f>SUMIFS('апрель 2023'!$G$4:$G$692,'апрель 2023'!$D$4:$D$692,$B162,'апрель 2023'!$J$4:$J$692,AG$1)</f>
        <v>0</v>
      </c>
      <c r="AH162" s="207">
        <f>SUMIFS('апрель 2023'!$G$4:$G$692,'апрель 2023'!$D$4:$D$692,$B162,'апрель 2023'!$J$4:$J$692,AH$1)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SUMIFS('апрель 2023'!$G$4:$G$692,'апрель 2023'!$D$4:$D$692,$B163,'апрель 2023'!$J$4:$J$692,D$1)</f>
        <v>0</v>
      </c>
      <c r="E163" s="207">
        <f>SUMIFS('апрель 2023'!$G$4:$G$692,'апрель 2023'!$D$4:$D$692,$B163,'апрель 2023'!$J$4:$J$692,E$1)</f>
        <v>0</v>
      </c>
      <c r="F163" s="207">
        <f>SUMIFS('апрель 2023'!$G$4:$G$692,'апрель 2023'!$D$4:$D$692,$B163,'апрель 2023'!$J$4:$J$692,F$1)</f>
        <v>0</v>
      </c>
      <c r="G163" s="207">
        <f>SUMIFS('апрель 2023'!$G$4:$G$692,'апрель 2023'!$D$4:$D$692,$B163,'апрель 2023'!$J$4:$J$692,G$1)</f>
        <v>0</v>
      </c>
      <c r="H163" s="207">
        <f>SUMIFS('апрель 2023'!$G$4:$G$692,'апрель 2023'!$D$4:$D$692,$B163,'апрель 2023'!$J$4:$J$692,H$1)</f>
        <v>0</v>
      </c>
      <c r="I163" s="207">
        <f>SUMIFS('апрель 2023'!$G$4:$G$692,'апрель 2023'!$D$4:$D$692,$B163,'апрель 2023'!$J$4:$J$692,I$1)</f>
        <v>0</v>
      </c>
      <c r="J163" s="207">
        <f>SUMIFS('апрель 2023'!$G$4:$G$692,'апрель 2023'!$D$4:$D$692,$B163,'апрель 2023'!$J$4:$J$692,J$1)</f>
        <v>0</v>
      </c>
      <c r="K163" s="207">
        <f>SUMIFS('апрель 2023'!$G$4:$G$692,'апрель 2023'!$D$4:$D$692,$B163,'апрель 2023'!$J$4:$J$692,K$1)</f>
        <v>0</v>
      </c>
      <c r="L163" s="207">
        <f>SUMIFS('апрель 2023'!$G$4:$G$692,'апрель 2023'!$D$4:$D$692,$B163,'апрель 2023'!$J$4:$J$692,L$1)</f>
        <v>0</v>
      </c>
      <c r="M163" s="207">
        <f>SUMIFS('апрель 2023'!$G$4:$G$692,'апрель 2023'!$D$4:$D$692,$B163,'апрель 2023'!$J$4:$J$692,M$1)</f>
        <v>0</v>
      </c>
      <c r="N163" s="207">
        <f>SUMIFS('апрель 2023'!$G$4:$G$692,'апрель 2023'!$D$4:$D$692,$B163,'апрель 2023'!$J$4:$J$692,N$1)</f>
        <v>0</v>
      </c>
      <c r="O163" s="207">
        <f>SUMIFS('апрель 2023'!$G$4:$G$692,'апрель 2023'!$D$4:$D$692,$B163,'апрель 2023'!$J$4:$J$692,O$1)</f>
        <v>0</v>
      </c>
      <c r="P163" s="207">
        <f>SUMIFS('апрель 2023'!$G$4:$G$692,'апрель 2023'!$D$4:$D$692,$B163,'апрель 2023'!$J$4:$J$692,P$1)</f>
        <v>0</v>
      </c>
      <c r="Q163" s="207">
        <f>SUMIFS('апрель 2023'!$G$4:$G$692,'апрель 2023'!$D$4:$D$692,$B163,'апрель 2023'!$J$4:$J$692,Q$1)</f>
        <v>0</v>
      </c>
      <c r="R163" s="207">
        <f>SUMIFS('апрель 2023'!$G$4:$G$692,'апрель 2023'!$D$4:$D$692,$B163,'апрель 2023'!$J$4:$J$692,R$1)</f>
        <v>0</v>
      </c>
      <c r="S163" s="207">
        <f>SUMIFS('апрель 2023'!$G$4:$G$692,'апрель 2023'!$D$4:$D$692,$B163,'апрель 2023'!$J$4:$J$692,S$1)</f>
        <v>0</v>
      </c>
      <c r="T163" s="207">
        <f>SUMIFS('апрель 2023'!$G$4:$G$692,'апрель 2023'!$D$4:$D$692,$B163,'апрель 2023'!$J$4:$J$692,T$1)</f>
        <v>0</v>
      </c>
      <c r="U163" s="207">
        <f>SUMIFS('апрель 2023'!$G$4:$G$692,'апрель 2023'!$D$4:$D$692,$B163,'апрель 2023'!$J$4:$J$692,U$1)</f>
        <v>0</v>
      </c>
      <c r="V163" s="207">
        <f>SUMIFS('апрель 2023'!$G$4:$G$692,'апрель 2023'!$D$4:$D$692,$B163,'апрель 2023'!$J$4:$J$692,V$1)</f>
        <v>0</v>
      </c>
      <c r="W163" s="207">
        <f>SUMIFS('апрель 2023'!$G$4:$G$692,'апрель 2023'!$D$4:$D$692,$B163,'апрель 2023'!$J$4:$J$692,W$1)</f>
        <v>0</v>
      </c>
      <c r="X163" s="207">
        <f>SUMIFS('апрель 2023'!$G$4:$G$692,'апрель 2023'!$D$4:$D$692,$B163,'апрель 2023'!$J$4:$J$692,X$1)</f>
        <v>0</v>
      </c>
      <c r="Y163" s="207">
        <f>SUMIFS('апрель 2023'!$G$4:$G$692,'апрель 2023'!$D$4:$D$692,$B163,'апрель 2023'!$J$4:$J$692,Y$1)</f>
        <v>0</v>
      </c>
      <c r="Z163" s="207">
        <f>SUMIFS('апрель 2023'!$G$4:$G$692,'апрель 2023'!$D$4:$D$692,$B163,'апрель 2023'!$J$4:$J$692,Z$1)</f>
        <v>0</v>
      </c>
      <c r="AA163" s="207">
        <f>SUMIFS('апрель 2023'!$G$4:$G$692,'апрель 2023'!$D$4:$D$692,$B163,'апрель 2023'!$J$4:$J$692,AA$1)</f>
        <v>0</v>
      </c>
      <c r="AB163" s="207">
        <f>SUMIFS('апрель 2023'!$G$4:$G$692,'апрель 2023'!$D$4:$D$692,$B163,'апрель 2023'!$J$4:$J$692,AB$1)</f>
        <v>0</v>
      </c>
      <c r="AC163" s="207">
        <f>SUMIFS('апрель 2023'!$G$4:$G$692,'апрель 2023'!$D$4:$D$692,$B163,'апрель 2023'!$J$4:$J$692,AC$1)</f>
        <v>0</v>
      </c>
      <c r="AD163" s="207">
        <f>SUMIFS('апрель 2023'!$G$4:$G$692,'апрель 2023'!$D$4:$D$692,$B163,'апрель 2023'!$J$4:$J$692,AD$1)</f>
        <v>0</v>
      </c>
      <c r="AE163" s="207">
        <f>SUMIFS('апрель 2023'!$G$4:$G$692,'апрель 2023'!$D$4:$D$692,$B163,'апрель 2023'!$J$4:$J$692,AE$1)</f>
        <v>0</v>
      </c>
      <c r="AF163" s="207">
        <f>SUMIFS('апрель 2023'!$G$4:$G$692,'апрель 2023'!$D$4:$D$692,$B163,'апрель 2023'!$J$4:$J$692,AF$1)</f>
        <v>0</v>
      </c>
      <c r="AG163" s="207">
        <f>SUMIFS('апрель 2023'!$G$4:$G$692,'апрель 2023'!$D$4:$D$692,$B163,'апрель 2023'!$J$4:$J$692,AG$1)</f>
        <v>0</v>
      </c>
      <c r="AH163" s="207">
        <f>SUMIFS('апрель 2023'!$G$4:$G$692,'апрель 2023'!$D$4:$D$692,$B163,'апрель 2023'!$J$4:$J$692,AH$1)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SUMIFS('апрель 2023'!$G$4:$G$692,'апрель 2023'!$D$4:$D$692,$B164,'апрель 2023'!$J$4:$J$692,D$1)</f>
        <v>0</v>
      </c>
      <c r="E164" s="207">
        <f>SUMIFS('апрель 2023'!$G$4:$G$692,'апрель 2023'!$D$4:$D$692,$B164,'апрель 2023'!$J$4:$J$692,E$1)</f>
        <v>0</v>
      </c>
      <c r="F164" s="207">
        <f>SUMIFS('апрель 2023'!$G$4:$G$692,'апрель 2023'!$D$4:$D$692,$B164,'апрель 2023'!$J$4:$J$692,F$1)</f>
        <v>0</v>
      </c>
      <c r="G164" s="207">
        <f>SUMIFS('апрель 2023'!$G$4:$G$692,'апрель 2023'!$D$4:$D$692,$B164,'апрель 2023'!$J$4:$J$692,G$1)</f>
        <v>0</v>
      </c>
      <c r="H164" s="207">
        <f>SUMIFS('апрель 2023'!$G$4:$G$692,'апрель 2023'!$D$4:$D$692,$B164,'апрель 2023'!$J$4:$J$692,H$1)</f>
        <v>0</v>
      </c>
      <c r="I164" s="207">
        <f>SUMIFS('апрель 2023'!$G$4:$G$692,'апрель 2023'!$D$4:$D$692,$B164,'апрель 2023'!$J$4:$J$692,I$1)</f>
        <v>0</v>
      </c>
      <c r="J164" s="207">
        <f>SUMIFS('апрель 2023'!$G$4:$G$692,'апрель 2023'!$D$4:$D$692,$B164,'апрель 2023'!$J$4:$J$692,J$1)</f>
        <v>0</v>
      </c>
      <c r="K164" s="207">
        <f>SUMIFS('апрель 2023'!$G$4:$G$692,'апрель 2023'!$D$4:$D$692,$B164,'апрель 2023'!$J$4:$J$692,K$1)</f>
        <v>0</v>
      </c>
      <c r="L164" s="207">
        <f>SUMIFS('апрель 2023'!$G$4:$G$692,'апрель 2023'!$D$4:$D$692,$B164,'апрель 2023'!$J$4:$J$692,L$1)</f>
        <v>0</v>
      </c>
      <c r="M164" s="207">
        <f>SUMIFS('апрель 2023'!$G$4:$G$692,'апрель 2023'!$D$4:$D$692,$B164,'апрель 2023'!$J$4:$J$692,M$1)</f>
        <v>0</v>
      </c>
      <c r="N164" s="207">
        <f>SUMIFS('апрель 2023'!$G$4:$G$692,'апрель 2023'!$D$4:$D$692,$B164,'апрель 2023'!$J$4:$J$692,N$1)</f>
        <v>0</v>
      </c>
      <c r="O164" s="207">
        <f>SUMIFS('апрель 2023'!$G$4:$G$692,'апрель 2023'!$D$4:$D$692,$B164,'апрель 2023'!$J$4:$J$692,O$1)</f>
        <v>0</v>
      </c>
      <c r="P164" s="207">
        <f>SUMIFS('апрель 2023'!$G$4:$G$692,'апрель 2023'!$D$4:$D$692,$B164,'апрель 2023'!$J$4:$J$692,P$1)</f>
        <v>0</v>
      </c>
      <c r="Q164" s="207">
        <f>SUMIFS('апрель 2023'!$G$4:$G$692,'апрель 2023'!$D$4:$D$692,$B164,'апрель 2023'!$J$4:$J$692,Q$1)</f>
        <v>0</v>
      </c>
      <c r="R164" s="207">
        <f>SUMIFS('апрель 2023'!$G$4:$G$692,'апрель 2023'!$D$4:$D$692,$B164,'апрель 2023'!$J$4:$J$692,R$1)</f>
        <v>0</v>
      </c>
      <c r="S164" s="207">
        <f>SUMIFS('апрель 2023'!$G$4:$G$692,'апрель 2023'!$D$4:$D$692,$B164,'апрель 2023'!$J$4:$J$692,S$1)</f>
        <v>0</v>
      </c>
      <c r="T164" s="207">
        <f>SUMIFS('апрель 2023'!$G$4:$G$692,'апрель 2023'!$D$4:$D$692,$B164,'апрель 2023'!$J$4:$J$692,T$1)</f>
        <v>0</v>
      </c>
      <c r="U164" s="207">
        <f>SUMIFS('апрель 2023'!$G$4:$G$692,'апрель 2023'!$D$4:$D$692,$B164,'апрель 2023'!$J$4:$J$692,U$1)</f>
        <v>0</v>
      </c>
      <c r="V164" s="207">
        <f>SUMIFS('апрель 2023'!$G$4:$G$692,'апрель 2023'!$D$4:$D$692,$B164,'апрель 2023'!$J$4:$J$692,V$1)</f>
        <v>0</v>
      </c>
      <c r="W164" s="207">
        <f>SUMIFS('апрель 2023'!$G$4:$G$692,'апрель 2023'!$D$4:$D$692,$B164,'апрель 2023'!$J$4:$J$692,W$1)</f>
        <v>0</v>
      </c>
      <c r="X164" s="207">
        <f>SUMIFS('апрель 2023'!$G$4:$G$692,'апрель 2023'!$D$4:$D$692,$B164,'апрель 2023'!$J$4:$J$692,X$1)</f>
        <v>0</v>
      </c>
      <c r="Y164" s="207">
        <f>SUMIFS('апрель 2023'!$G$4:$G$692,'апрель 2023'!$D$4:$D$692,$B164,'апрель 2023'!$J$4:$J$692,Y$1)</f>
        <v>0</v>
      </c>
      <c r="Z164" s="207">
        <f>SUMIFS('апрель 2023'!$G$4:$G$692,'апрель 2023'!$D$4:$D$692,$B164,'апрель 2023'!$J$4:$J$692,Z$1)</f>
        <v>0</v>
      </c>
      <c r="AA164" s="207">
        <f>SUMIFS('апрель 2023'!$G$4:$G$692,'апрель 2023'!$D$4:$D$692,$B164,'апрель 2023'!$J$4:$J$692,AA$1)</f>
        <v>0</v>
      </c>
      <c r="AB164" s="207">
        <f>SUMIFS('апрель 2023'!$G$4:$G$692,'апрель 2023'!$D$4:$D$692,$B164,'апрель 2023'!$J$4:$J$692,AB$1)</f>
        <v>0</v>
      </c>
      <c r="AC164" s="207">
        <f>SUMIFS('апрель 2023'!$G$4:$G$692,'апрель 2023'!$D$4:$D$692,$B164,'апрель 2023'!$J$4:$J$692,AC$1)</f>
        <v>0</v>
      </c>
      <c r="AD164" s="207">
        <f>SUMIFS('апрель 2023'!$G$4:$G$692,'апрель 2023'!$D$4:$D$692,$B164,'апрель 2023'!$J$4:$J$692,AD$1)</f>
        <v>0</v>
      </c>
      <c r="AE164" s="207">
        <f>SUMIFS('апрель 2023'!$G$4:$G$692,'апрель 2023'!$D$4:$D$692,$B164,'апрель 2023'!$J$4:$J$692,AE$1)</f>
        <v>0</v>
      </c>
      <c r="AF164" s="207">
        <f>SUMIFS('апрель 2023'!$G$4:$G$692,'апрель 2023'!$D$4:$D$692,$B164,'апрель 2023'!$J$4:$J$692,AF$1)</f>
        <v>0</v>
      </c>
      <c r="AG164" s="207">
        <f>SUMIFS('апрель 2023'!$G$4:$G$692,'апрель 2023'!$D$4:$D$692,$B164,'апрель 2023'!$J$4:$J$692,AG$1)</f>
        <v>0</v>
      </c>
      <c r="AH164" s="207">
        <f>SUMIFS('апрель 2023'!$G$4:$G$692,'апрель 2023'!$D$4:$D$692,$B164,'апрель 2023'!$J$4:$J$692,AH$1)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SUMIFS('апрель 2023'!$G$4:$G$692,'апрель 2023'!$D$4:$D$692,$B165,'апрель 2023'!$J$4:$J$692,D$1)</f>
        <v>0</v>
      </c>
      <c r="E165" s="207">
        <f>SUMIFS('апрель 2023'!$G$4:$G$692,'апрель 2023'!$D$4:$D$692,$B165,'апрель 2023'!$J$4:$J$692,E$1)</f>
        <v>0</v>
      </c>
      <c r="F165" s="207">
        <f>SUMIFS('апрель 2023'!$G$4:$G$692,'апрель 2023'!$D$4:$D$692,$B165,'апрель 2023'!$J$4:$J$692,F$1)</f>
        <v>0</v>
      </c>
      <c r="G165" s="207">
        <f>SUMIFS('апрель 2023'!$G$4:$G$692,'апрель 2023'!$D$4:$D$692,$B165,'апрель 2023'!$J$4:$J$692,G$1)</f>
        <v>0</v>
      </c>
      <c r="H165" s="207">
        <f>SUMIFS('апрель 2023'!$G$4:$G$692,'апрель 2023'!$D$4:$D$692,$B165,'апрель 2023'!$J$4:$J$692,H$1)</f>
        <v>0</v>
      </c>
      <c r="I165" s="207">
        <f>SUMIFS('апрель 2023'!$G$4:$G$692,'апрель 2023'!$D$4:$D$692,$B165,'апрель 2023'!$J$4:$J$692,I$1)</f>
        <v>0</v>
      </c>
      <c r="J165" s="207">
        <f>SUMIFS('апрель 2023'!$G$4:$G$692,'апрель 2023'!$D$4:$D$692,$B165,'апрель 2023'!$J$4:$J$692,J$1)</f>
        <v>0</v>
      </c>
      <c r="K165" s="207">
        <f>SUMIFS('апрель 2023'!$G$4:$G$692,'апрель 2023'!$D$4:$D$692,$B165,'апрель 2023'!$J$4:$J$692,K$1)</f>
        <v>0</v>
      </c>
      <c r="L165" s="207">
        <f>SUMIFS('апрель 2023'!$G$4:$G$692,'апрель 2023'!$D$4:$D$692,$B165,'апрель 2023'!$J$4:$J$692,L$1)</f>
        <v>0</v>
      </c>
      <c r="M165" s="207">
        <f>SUMIFS('апрель 2023'!$G$4:$G$692,'апрель 2023'!$D$4:$D$692,$B165,'апрель 2023'!$J$4:$J$692,M$1)</f>
        <v>0</v>
      </c>
      <c r="N165" s="207">
        <f>SUMIFS('апрель 2023'!$G$4:$G$692,'апрель 2023'!$D$4:$D$692,$B165,'апрель 2023'!$J$4:$J$692,N$1)</f>
        <v>0</v>
      </c>
      <c r="O165" s="207">
        <f>SUMIFS('апрель 2023'!$G$4:$G$692,'апрель 2023'!$D$4:$D$692,$B165,'апрель 2023'!$J$4:$J$692,O$1)</f>
        <v>0</v>
      </c>
      <c r="P165" s="207">
        <f>SUMIFS('апрель 2023'!$G$4:$G$692,'апрель 2023'!$D$4:$D$692,$B165,'апрель 2023'!$J$4:$J$692,P$1)</f>
        <v>0</v>
      </c>
      <c r="Q165" s="207">
        <f>SUMIFS('апрель 2023'!$G$4:$G$692,'апрель 2023'!$D$4:$D$692,$B165,'апрель 2023'!$J$4:$J$692,Q$1)</f>
        <v>0</v>
      </c>
      <c r="R165" s="207">
        <f>SUMIFS('апрель 2023'!$G$4:$G$692,'апрель 2023'!$D$4:$D$692,$B165,'апрель 2023'!$J$4:$J$692,R$1)</f>
        <v>0</v>
      </c>
      <c r="S165" s="207">
        <f>SUMIFS('апрель 2023'!$G$4:$G$692,'апрель 2023'!$D$4:$D$692,$B165,'апрель 2023'!$J$4:$J$692,S$1)</f>
        <v>0</v>
      </c>
      <c r="T165" s="207">
        <f>SUMIFS('апрель 2023'!$G$4:$G$692,'апрель 2023'!$D$4:$D$692,$B165,'апрель 2023'!$J$4:$J$692,T$1)</f>
        <v>0</v>
      </c>
      <c r="U165" s="207">
        <f>SUMIFS('апрель 2023'!$G$4:$G$692,'апрель 2023'!$D$4:$D$692,$B165,'апрель 2023'!$J$4:$J$692,U$1)</f>
        <v>0</v>
      </c>
      <c r="V165" s="207">
        <f>SUMIFS('апрель 2023'!$G$4:$G$692,'апрель 2023'!$D$4:$D$692,$B165,'апрель 2023'!$J$4:$J$692,V$1)</f>
        <v>0</v>
      </c>
      <c r="W165" s="207">
        <f>SUMIFS('апрель 2023'!$G$4:$G$692,'апрель 2023'!$D$4:$D$692,$B165,'апрель 2023'!$J$4:$J$692,W$1)</f>
        <v>0</v>
      </c>
      <c r="X165" s="207">
        <f>SUMIFS('апрель 2023'!$G$4:$G$692,'апрель 2023'!$D$4:$D$692,$B165,'апрель 2023'!$J$4:$J$692,X$1)</f>
        <v>0</v>
      </c>
      <c r="Y165" s="207">
        <f>SUMIFS('апрель 2023'!$G$4:$G$692,'апрель 2023'!$D$4:$D$692,$B165,'апрель 2023'!$J$4:$J$692,Y$1)</f>
        <v>0</v>
      </c>
      <c r="Z165" s="207">
        <f>SUMIFS('апрель 2023'!$G$4:$G$692,'апрель 2023'!$D$4:$D$692,$B165,'апрель 2023'!$J$4:$J$692,Z$1)</f>
        <v>0</v>
      </c>
      <c r="AA165" s="207">
        <f>SUMIFS('апрель 2023'!$G$4:$G$692,'апрель 2023'!$D$4:$D$692,$B165,'апрель 2023'!$J$4:$J$692,AA$1)</f>
        <v>0</v>
      </c>
      <c r="AB165" s="207">
        <f>SUMIFS('апрель 2023'!$G$4:$G$692,'апрель 2023'!$D$4:$D$692,$B165,'апрель 2023'!$J$4:$J$692,AB$1)</f>
        <v>0</v>
      </c>
      <c r="AC165" s="207">
        <f>SUMIFS('апрель 2023'!$G$4:$G$692,'апрель 2023'!$D$4:$D$692,$B165,'апрель 2023'!$J$4:$J$692,AC$1)</f>
        <v>0</v>
      </c>
      <c r="AD165" s="207">
        <f>SUMIFS('апрель 2023'!$G$4:$G$692,'апрель 2023'!$D$4:$D$692,$B165,'апрель 2023'!$J$4:$J$692,AD$1)</f>
        <v>0</v>
      </c>
      <c r="AE165" s="207">
        <f>SUMIFS('апрель 2023'!$G$4:$G$692,'апрель 2023'!$D$4:$D$692,$B165,'апрель 2023'!$J$4:$J$692,AE$1)</f>
        <v>0</v>
      </c>
      <c r="AF165" s="207">
        <f>SUMIFS('апрель 2023'!$G$4:$G$692,'апрель 2023'!$D$4:$D$692,$B165,'апрель 2023'!$J$4:$J$692,AF$1)</f>
        <v>0</v>
      </c>
      <c r="AG165" s="207">
        <f>SUMIFS('апрель 2023'!$G$4:$G$692,'апрель 2023'!$D$4:$D$692,$B165,'апрель 2023'!$J$4:$J$692,AG$1)</f>
        <v>0</v>
      </c>
      <c r="AH165" s="207">
        <f>SUMIFS('апрель 2023'!$G$4:$G$692,'апрель 2023'!$D$4:$D$692,$B165,'апрель 2023'!$J$4:$J$692,AH$1)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SUMIFS('апрель 2023'!$G$4:$G$692,'апрель 2023'!$D$4:$D$692,$B166,'апрель 2023'!$J$4:$J$692,D$1)</f>
        <v>0</v>
      </c>
      <c r="E166" s="207">
        <f>SUMIFS('апрель 2023'!$G$4:$G$692,'апрель 2023'!$D$4:$D$692,$B166,'апрель 2023'!$J$4:$J$692,E$1)</f>
        <v>0</v>
      </c>
      <c r="F166" s="207">
        <f>SUMIFS('апрель 2023'!$G$4:$G$692,'апрель 2023'!$D$4:$D$692,$B166,'апрель 2023'!$J$4:$J$692,F$1)</f>
        <v>0</v>
      </c>
      <c r="G166" s="207">
        <f>SUMIFS('апрель 2023'!$G$4:$G$692,'апрель 2023'!$D$4:$D$692,$B166,'апрель 2023'!$J$4:$J$692,G$1)</f>
        <v>0</v>
      </c>
      <c r="H166" s="207">
        <f>SUMIFS('апрель 2023'!$G$4:$G$692,'апрель 2023'!$D$4:$D$692,$B166,'апрель 2023'!$J$4:$J$692,H$1)</f>
        <v>0</v>
      </c>
      <c r="I166" s="207">
        <f>SUMIFS('апрель 2023'!$G$4:$G$692,'апрель 2023'!$D$4:$D$692,$B166,'апрель 2023'!$J$4:$J$692,I$1)</f>
        <v>0</v>
      </c>
      <c r="J166" s="207">
        <f>SUMIFS('апрель 2023'!$G$4:$G$692,'апрель 2023'!$D$4:$D$692,$B166,'апрель 2023'!$J$4:$J$692,J$1)</f>
        <v>0</v>
      </c>
      <c r="K166" s="207">
        <f>SUMIFS('апрель 2023'!$G$4:$G$692,'апрель 2023'!$D$4:$D$692,$B166,'апрель 2023'!$J$4:$J$692,K$1)</f>
        <v>0</v>
      </c>
      <c r="L166" s="207">
        <f>SUMIFS('апрель 2023'!$G$4:$G$692,'апрель 2023'!$D$4:$D$692,$B166,'апрель 2023'!$J$4:$J$692,L$1)</f>
        <v>0</v>
      </c>
      <c r="M166" s="207">
        <f>SUMIFS('апрель 2023'!$G$4:$G$692,'апрель 2023'!$D$4:$D$692,$B166,'апрель 2023'!$J$4:$J$692,M$1)</f>
        <v>0</v>
      </c>
      <c r="N166" s="207">
        <f>SUMIFS('апрель 2023'!$G$4:$G$692,'апрель 2023'!$D$4:$D$692,$B166,'апрель 2023'!$J$4:$J$692,N$1)</f>
        <v>0</v>
      </c>
      <c r="O166" s="207">
        <f>SUMIFS('апрель 2023'!$G$4:$G$692,'апрель 2023'!$D$4:$D$692,$B166,'апрель 2023'!$J$4:$J$692,O$1)</f>
        <v>0</v>
      </c>
      <c r="P166" s="207">
        <f>SUMIFS('апрель 2023'!$G$4:$G$692,'апрель 2023'!$D$4:$D$692,$B166,'апрель 2023'!$J$4:$J$692,P$1)</f>
        <v>0</v>
      </c>
      <c r="Q166" s="207">
        <f>SUMIFS('апрель 2023'!$G$4:$G$692,'апрель 2023'!$D$4:$D$692,$B166,'апрель 2023'!$J$4:$J$692,Q$1)</f>
        <v>0</v>
      </c>
      <c r="R166" s="207">
        <f>SUMIFS('апрель 2023'!$G$4:$G$692,'апрель 2023'!$D$4:$D$692,$B166,'апрель 2023'!$J$4:$J$692,R$1)</f>
        <v>0</v>
      </c>
      <c r="S166" s="207">
        <f>SUMIFS('апрель 2023'!$G$4:$G$692,'апрель 2023'!$D$4:$D$692,$B166,'апрель 2023'!$J$4:$J$692,S$1)</f>
        <v>0</v>
      </c>
      <c r="T166" s="207">
        <f>SUMIFS('апрель 2023'!$G$4:$G$692,'апрель 2023'!$D$4:$D$692,$B166,'апрель 2023'!$J$4:$J$692,T$1)</f>
        <v>0</v>
      </c>
      <c r="U166" s="207">
        <f>SUMIFS('апрель 2023'!$G$4:$G$692,'апрель 2023'!$D$4:$D$692,$B166,'апрель 2023'!$J$4:$J$692,U$1)</f>
        <v>0</v>
      </c>
      <c r="V166" s="207">
        <f>SUMIFS('апрель 2023'!$G$4:$G$692,'апрель 2023'!$D$4:$D$692,$B166,'апрель 2023'!$J$4:$J$692,V$1)</f>
        <v>0</v>
      </c>
      <c r="W166" s="207">
        <f>SUMIFS('апрель 2023'!$G$4:$G$692,'апрель 2023'!$D$4:$D$692,$B166,'апрель 2023'!$J$4:$J$692,W$1)</f>
        <v>0</v>
      </c>
      <c r="X166" s="207">
        <f>SUMIFS('апрель 2023'!$G$4:$G$692,'апрель 2023'!$D$4:$D$692,$B166,'апрель 2023'!$J$4:$J$692,X$1)</f>
        <v>0</v>
      </c>
      <c r="Y166" s="207">
        <f>SUMIFS('апрель 2023'!$G$4:$G$692,'апрель 2023'!$D$4:$D$692,$B166,'апрель 2023'!$J$4:$J$692,Y$1)</f>
        <v>0</v>
      </c>
      <c r="Z166" s="207">
        <f>SUMIFS('апрель 2023'!$G$4:$G$692,'апрель 2023'!$D$4:$D$692,$B166,'апрель 2023'!$J$4:$J$692,Z$1)</f>
        <v>0</v>
      </c>
      <c r="AA166" s="207">
        <f>SUMIFS('апрель 2023'!$G$4:$G$692,'апрель 2023'!$D$4:$D$692,$B166,'апрель 2023'!$J$4:$J$692,AA$1)</f>
        <v>0</v>
      </c>
      <c r="AB166" s="207">
        <f>SUMIFS('апрель 2023'!$G$4:$G$692,'апрель 2023'!$D$4:$D$692,$B166,'апрель 2023'!$J$4:$J$692,AB$1)</f>
        <v>0</v>
      </c>
      <c r="AC166" s="207">
        <f>SUMIFS('апрель 2023'!$G$4:$G$692,'апрель 2023'!$D$4:$D$692,$B166,'апрель 2023'!$J$4:$J$692,AC$1)</f>
        <v>0</v>
      </c>
      <c r="AD166" s="207">
        <f>SUMIFS('апрель 2023'!$G$4:$G$692,'апрель 2023'!$D$4:$D$692,$B166,'апрель 2023'!$J$4:$J$692,AD$1)</f>
        <v>0</v>
      </c>
      <c r="AE166" s="207">
        <f>SUMIFS('апрель 2023'!$G$4:$G$692,'апрель 2023'!$D$4:$D$692,$B166,'апрель 2023'!$J$4:$J$692,AE$1)</f>
        <v>0</v>
      </c>
      <c r="AF166" s="207">
        <f>SUMIFS('апрель 2023'!$G$4:$G$692,'апрель 2023'!$D$4:$D$692,$B166,'апрель 2023'!$J$4:$J$692,AF$1)</f>
        <v>0</v>
      </c>
      <c r="AG166" s="207">
        <f>SUMIFS('апрель 2023'!$G$4:$G$692,'апрель 2023'!$D$4:$D$692,$B166,'апрель 2023'!$J$4:$J$692,AG$1)</f>
        <v>0</v>
      </c>
      <c r="AH166" s="207">
        <f>SUMIFS('апрель 2023'!$G$4:$G$692,'апрель 2023'!$D$4:$D$692,$B166,'апрель 2023'!$J$4:$J$692,AH$1)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SUMIFS('апрель 2023'!$G$4:$G$692,'апрель 2023'!$D$4:$D$692,$B167,'апрель 2023'!$J$4:$J$692,D$1)</f>
        <v>0</v>
      </c>
      <c r="E167" s="207">
        <f>SUMIFS('апрель 2023'!$G$4:$G$692,'апрель 2023'!$D$4:$D$692,$B167,'апрель 2023'!$J$4:$J$692,E$1)</f>
        <v>0</v>
      </c>
      <c r="F167" s="207">
        <f>SUMIFS('апрель 2023'!$G$4:$G$692,'апрель 2023'!$D$4:$D$692,$B167,'апрель 2023'!$J$4:$J$692,F$1)</f>
        <v>0</v>
      </c>
      <c r="G167" s="207">
        <f>SUMIFS('апрель 2023'!$G$4:$G$692,'апрель 2023'!$D$4:$D$692,$B167,'апрель 2023'!$J$4:$J$692,G$1)</f>
        <v>0</v>
      </c>
      <c r="H167" s="207">
        <f>SUMIFS('апрель 2023'!$G$4:$G$692,'апрель 2023'!$D$4:$D$692,$B167,'апрель 2023'!$J$4:$J$692,H$1)</f>
        <v>0</v>
      </c>
      <c r="I167" s="207">
        <f>SUMIFS('апрель 2023'!$G$4:$G$692,'апрель 2023'!$D$4:$D$692,$B167,'апрель 2023'!$J$4:$J$692,I$1)</f>
        <v>0</v>
      </c>
      <c r="J167" s="207">
        <f>SUMIFS('апрель 2023'!$G$4:$G$692,'апрель 2023'!$D$4:$D$692,$B167,'апрель 2023'!$J$4:$J$692,J$1)</f>
        <v>0</v>
      </c>
      <c r="K167" s="207">
        <f>SUMIFS('апрель 2023'!$G$4:$G$692,'апрель 2023'!$D$4:$D$692,$B167,'апрель 2023'!$J$4:$J$692,K$1)</f>
        <v>0</v>
      </c>
      <c r="L167" s="207">
        <f>SUMIFS('апрель 2023'!$G$4:$G$692,'апрель 2023'!$D$4:$D$692,$B167,'апрель 2023'!$J$4:$J$692,L$1)</f>
        <v>0</v>
      </c>
      <c r="M167" s="207">
        <f>SUMIFS('апрель 2023'!$G$4:$G$692,'апрель 2023'!$D$4:$D$692,$B167,'апрель 2023'!$J$4:$J$692,M$1)</f>
        <v>0</v>
      </c>
      <c r="N167" s="207">
        <f>SUMIFS('апрель 2023'!$G$4:$G$692,'апрель 2023'!$D$4:$D$692,$B167,'апрель 2023'!$J$4:$J$692,N$1)</f>
        <v>0</v>
      </c>
      <c r="O167" s="207">
        <f>SUMIFS('апрель 2023'!$G$4:$G$692,'апрель 2023'!$D$4:$D$692,$B167,'апрель 2023'!$J$4:$J$692,O$1)</f>
        <v>0</v>
      </c>
      <c r="P167" s="207">
        <f>SUMIFS('апрель 2023'!$G$4:$G$692,'апрель 2023'!$D$4:$D$692,$B167,'апрель 2023'!$J$4:$J$692,P$1)</f>
        <v>0</v>
      </c>
      <c r="Q167" s="207">
        <f>SUMIFS('апрель 2023'!$G$4:$G$692,'апрель 2023'!$D$4:$D$692,$B167,'апрель 2023'!$J$4:$J$692,Q$1)</f>
        <v>0</v>
      </c>
      <c r="R167" s="207">
        <f>SUMIFS('апрель 2023'!$G$4:$G$692,'апрель 2023'!$D$4:$D$692,$B167,'апрель 2023'!$J$4:$J$692,R$1)</f>
        <v>0</v>
      </c>
      <c r="S167" s="207">
        <f>SUMIFS('апрель 2023'!$G$4:$G$692,'апрель 2023'!$D$4:$D$692,$B167,'апрель 2023'!$J$4:$J$692,S$1)</f>
        <v>0</v>
      </c>
      <c r="T167" s="207">
        <f>SUMIFS('апрель 2023'!$G$4:$G$692,'апрель 2023'!$D$4:$D$692,$B167,'апрель 2023'!$J$4:$J$692,T$1)</f>
        <v>0</v>
      </c>
      <c r="U167" s="207">
        <f>SUMIFS('апрель 2023'!$G$4:$G$692,'апрель 2023'!$D$4:$D$692,$B167,'апрель 2023'!$J$4:$J$692,U$1)</f>
        <v>0</v>
      </c>
      <c r="V167" s="207">
        <f>SUMIFS('апрель 2023'!$G$4:$G$692,'апрель 2023'!$D$4:$D$692,$B167,'апрель 2023'!$J$4:$J$692,V$1)</f>
        <v>0</v>
      </c>
      <c r="W167" s="207">
        <f>SUMIFS('апрель 2023'!$G$4:$G$692,'апрель 2023'!$D$4:$D$692,$B167,'апрель 2023'!$J$4:$J$692,W$1)</f>
        <v>0</v>
      </c>
      <c r="X167" s="207">
        <f>SUMIFS('апрель 2023'!$G$4:$G$692,'апрель 2023'!$D$4:$D$692,$B167,'апрель 2023'!$J$4:$J$692,X$1)</f>
        <v>0</v>
      </c>
      <c r="Y167" s="207">
        <f>SUMIFS('апрель 2023'!$G$4:$G$692,'апрель 2023'!$D$4:$D$692,$B167,'апрель 2023'!$J$4:$J$692,Y$1)</f>
        <v>0</v>
      </c>
      <c r="Z167" s="207">
        <f>SUMIFS('апрель 2023'!$G$4:$G$692,'апрель 2023'!$D$4:$D$692,$B167,'апрель 2023'!$J$4:$J$692,Z$1)</f>
        <v>0</v>
      </c>
      <c r="AA167" s="207">
        <f>SUMIFS('апрель 2023'!$G$4:$G$692,'апрель 2023'!$D$4:$D$692,$B167,'апрель 2023'!$J$4:$J$692,AA$1)</f>
        <v>0</v>
      </c>
      <c r="AB167" s="207">
        <f>SUMIFS('апрель 2023'!$G$4:$G$692,'апрель 2023'!$D$4:$D$692,$B167,'апрель 2023'!$J$4:$J$692,AB$1)</f>
        <v>0</v>
      </c>
      <c r="AC167" s="207">
        <f>SUMIFS('апрель 2023'!$G$4:$G$692,'апрель 2023'!$D$4:$D$692,$B167,'апрель 2023'!$J$4:$J$692,AC$1)</f>
        <v>0</v>
      </c>
      <c r="AD167" s="207">
        <f>SUMIFS('апрель 2023'!$G$4:$G$692,'апрель 2023'!$D$4:$D$692,$B167,'апрель 2023'!$J$4:$J$692,AD$1)</f>
        <v>0</v>
      </c>
      <c r="AE167" s="207">
        <f>SUMIFS('апрель 2023'!$G$4:$G$692,'апрель 2023'!$D$4:$D$692,$B167,'апрель 2023'!$J$4:$J$692,AE$1)</f>
        <v>0</v>
      </c>
      <c r="AF167" s="207">
        <f>SUMIFS('апрель 2023'!$G$4:$G$692,'апрель 2023'!$D$4:$D$692,$B167,'апрель 2023'!$J$4:$J$692,AF$1)</f>
        <v>0</v>
      </c>
      <c r="AG167" s="207">
        <f>SUMIFS('апрель 2023'!$G$4:$G$692,'апрель 2023'!$D$4:$D$692,$B167,'апрель 2023'!$J$4:$J$692,AG$1)</f>
        <v>0</v>
      </c>
      <c r="AH167" s="207">
        <f>SUMIFS('апрель 2023'!$G$4:$G$692,'апрель 2023'!$D$4:$D$692,$B167,'апрель 2023'!$J$4:$J$692,AH$1)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SUMIFS('апрель 2023'!$G$4:$G$692,'апрель 2023'!$D$4:$D$692,$B168,'апрель 2023'!$J$4:$J$692,D$1)</f>
        <v>0</v>
      </c>
      <c r="E168" s="207">
        <f>SUMIFS('апрель 2023'!$G$4:$G$692,'апрель 2023'!$D$4:$D$692,$B168,'апрель 2023'!$J$4:$J$692,E$1)</f>
        <v>0</v>
      </c>
      <c r="F168" s="207">
        <f>SUMIFS('апрель 2023'!$G$4:$G$692,'апрель 2023'!$D$4:$D$692,$B168,'апрель 2023'!$J$4:$J$692,F$1)</f>
        <v>0</v>
      </c>
      <c r="G168" s="207">
        <f>SUMIFS('апрель 2023'!$G$4:$G$692,'апрель 2023'!$D$4:$D$692,$B168,'апрель 2023'!$J$4:$J$692,G$1)</f>
        <v>0</v>
      </c>
      <c r="H168" s="207">
        <f>SUMIFS('апрель 2023'!$G$4:$G$692,'апрель 2023'!$D$4:$D$692,$B168,'апрель 2023'!$J$4:$J$692,H$1)</f>
        <v>0</v>
      </c>
      <c r="I168" s="207">
        <f>SUMIFS('апрель 2023'!$G$4:$G$692,'апрель 2023'!$D$4:$D$692,$B168,'апрель 2023'!$J$4:$J$692,I$1)</f>
        <v>0</v>
      </c>
      <c r="J168" s="207">
        <f>SUMIFS('апрель 2023'!$G$4:$G$692,'апрель 2023'!$D$4:$D$692,$B168,'апрель 2023'!$J$4:$J$692,J$1)</f>
        <v>0</v>
      </c>
      <c r="K168" s="207">
        <f>SUMIFS('апрель 2023'!$G$4:$G$692,'апрель 2023'!$D$4:$D$692,$B168,'апрель 2023'!$J$4:$J$692,K$1)</f>
        <v>0</v>
      </c>
      <c r="L168" s="207">
        <f>SUMIFS('апрель 2023'!$G$4:$G$692,'апрель 2023'!$D$4:$D$692,$B168,'апрель 2023'!$J$4:$J$692,L$1)</f>
        <v>0</v>
      </c>
      <c r="M168" s="207">
        <f>SUMIFS('апрель 2023'!$G$4:$G$692,'апрель 2023'!$D$4:$D$692,$B168,'апрель 2023'!$J$4:$J$692,M$1)</f>
        <v>0</v>
      </c>
      <c r="N168" s="207">
        <f>SUMIFS('апрель 2023'!$G$4:$G$692,'апрель 2023'!$D$4:$D$692,$B168,'апрель 2023'!$J$4:$J$692,N$1)</f>
        <v>0</v>
      </c>
      <c r="O168" s="207">
        <f>SUMIFS('апрель 2023'!$G$4:$G$692,'апрель 2023'!$D$4:$D$692,$B168,'апрель 2023'!$J$4:$J$692,O$1)</f>
        <v>0</v>
      </c>
      <c r="P168" s="207">
        <f>SUMIFS('апрель 2023'!$G$4:$G$692,'апрель 2023'!$D$4:$D$692,$B168,'апрель 2023'!$J$4:$J$692,P$1)</f>
        <v>0</v>
      </c>
      <c r="Q168" s="207">
        <f>SUMIFS('апрель 2023'!$G$4:$G$692,'апрель 2023'!$D$4:$D$692,$B168,'апрель 2023'!$J$4:$J$692,Q$1)</f>
        <v>0</v>
      </c>
      <c r="R168" s="207">
        <f>SUMIFS('апрель 2023'!$G$4:$G$692,'апрель 2023'!$D$4:$D$692,$B168,'апрель 2023'!$J$4:$J$692,R$1)</f>
        <v>0</v>
      </c>
      <c r="S168" s="207">
        <f>SUMIFS('апрель 2023'!$G$4:$G$692,'апрель 2023'!$D$4:$D$692,$B168,'апрель 2023'!$J$4:$J$692,S$1)</f>
        <v>0</v>
      </c>
      <c r="T168" s="207">
        <f>SUMIFS('апрель 2023'!$G$4:$G$692,'апрель 2023'!$D$4:$D$692,$B168,'апрель 2023'!$J$4:$J$692,T$1)</f>
        <v>0</v>
      </c>
      <c r="U168" s="207">
        <f>SUMIFS('апрель 2023'!$G$4:$G$692,'апрель 2023'!$D$4:$D$692,$B168,'апрель 2023'!$J$4:$J$692,U$1)</f>
        <v>0</v>
      </c>
      <c r="V168" s="207">
        <f>SUMIFS('апрель 2023'!$G$4:$G$692,'апрель 2023'!$D$4:$D$692,$B168,'апрель 2023'!$J$4:$J$692,V$1)</f>
        <v>0</v>
      </c>
      <c r="W168" s="207">
        <f>SUMIFS('апрель 2023'!$G$4:$G$692,'апрель 2023'!$D$4:$D$692,$B168,'апрель 2023'!$J$4:$J$692,W$1)</f>
        <v>0</v>
      </c>
      <c r="X168" s="207">
        <f>SUMIFS('апрель 2023'!$G$4:$G$692,'апрель 2023'!$D$4:$D$692,$B168,'апрель 2023'!$J$4:$J$692,X$1)</f>
        <v>0</v>
      </c>
      <c r="Y168" s="207">
        <f>SUMIFS('апрель 2023'!$G$4:$G$692,'апрель 2023'!$D$4:$D$692,$B168,'апрель 2023'!$J$4:$J$692,Y$1)</f>
        <v>0</v>
      </c>
      <c r="Z168" s="207">
        <f>SUMIFS('апрель 2023'!$G$4:$G$692,'апрель 2023'!$D$4:$D$692,$B168,'апрель 2023'!$J$4:$J$692,Z$1)</f>
        <v>0</v>
      </c>
      <c r="AA168" s="207">
        <f>SUMIFS('апрель 2023'!$G$4:$G$692,'апрель 2023'!$D$4:$D$692,$B168,'апрель 2023'!$J$4:$J$692,AA$1)</f>
        <v>0</v>
      </c>
      <c r="AB168" s="207">
        <f>SUMIFS('апрель 2023'!$G$4:$G$692,'апрель 2023'!$D$4:$D$692,$B168,'апрель 2023'!$J$4:$J$692,AB$1)</f>
        <v>0</v>
      </c>
      <c r="AC168" s="207">
        <f>SUMIFS('апрель 2023'!$G$4:$G$692,'апрель 2023'!$D$4:$D$692,$B168,'апрель 2023'!$J$4:$J$692,AC$1)</f>
        <v>0</v>
      </c>
      <c r="AD168" s="207">
        <f>SUMIFS('апрель 2023'!$G$4:$G$692,'апрель 2023'!$D$4:$D$692,$B168,'апрель 2023'!$J$4:$J$692,AD$1)</f>
        <v>0</v>
      </c>
      <c r="AE168" s="207">
        <f>SUMIFS('апрель 2023'!$G$4:$G$692,'апрель 2023'!$D$4:$D$692,$B168,'апрель 2023'!$J$4:$J$692,AE$1)</f>
        <v>0</v>
      </c>
      <c r="AF168" s="207">
        <f>SUMIFS('апрель 2023'!$G$4:$G$692,'апрель 2023'!$D$4:$D$692,$B168,'апрель 2023'!$J$4:$J$692,AF$1)</f>
        <v>0</v>
      </c>
      <c r="AG168" s="207">
        <f>SUMIFS('апрель 2023'!$G$4:$G$692,'апрель 2023'!$D$4:$D$692,$B168,'апрель 2023'!$J$4:$J$692,AG$1)</f>
        <v>0</v>
      </c>
      <c r="AH168" s="207">
        <f>SUMIFS('апрель 2023'!$G$4:$G$692,'апрель 2023'!$D$4:$D$692,$B168,'апрель 2023'!$J$4:$J$692,AH$1)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SUMIFS('апрель 2023'!$G$4:$G$692,'апрель 2023'!$D$4:$D$692,$B169,'апрель 2023'!$J$4:$J$692,D$1)</f>
        <v>0</v>
      </c>
      <c r="E169" s="207">
        <f>SUMIFS('апрель 2023'!$G$4:$G$692,'апрель 2023'!$D$4:$D$692,$B169,'апрель 2023'!$J$4:$J$692,E$1)</f>
        <v>0</v>
      </c>
      <c r="F169" s="207">
        <f>SUMIFS('апрель 2023'!$G$4:$G$692,'апрель 2023'!$D$4:$D$692,$B169,'апрель 2023'!$J$4:$J$692,F$1)</f>
        <v>0</v>
      </c>
      <c r="G169" s="207">
        <f>SUMIFS('апрель 2023'!$G$4:$G$692,'апрель 2023'!$D$4:$D$692,$B169,'апрель 2023'!$J$4:$J$692,G$1)</f>
        <v>0</v>
      </c>
      <c r="H169" s="207">
        <f>SUMIFS('апрель 2023'!$G$4:$G$692,'апрель 2023'!$D$4:$D$692,$B169,'апрель 2023'!$J$4:$J$692,H$1)</f>
        <v>0</v>
      </c>
      <c r="I169" s="207">
        <f>SUMIFS('апрель 2023'!$G$4:$G$692,'апрель 2023'!$D$4:$D$692,$B169,'апрель 2023'!$J$4:$J$692,I$1)</f>
        <v>0</v>
      </c>
      <c r="J169" s="207">
        <f>SUMIFS('апрель 2023'!$G$4:$G$692,'апрель 2023'!$D$4:$D$692,$B169,'апрель 2023'!$J$4:$J$692,J$1)</f>
        <v>0</v>
      </c>
      <c r="K169" s="207">
        <f>SUMIFS('апрель 2023'!$G$4:$G$692,'апрель 2023'!$D$4:$D$692,$B169,'апрель 2023'!$J$4:$J$692,K$1)</f>
        <v>0</v>
      </c>
      <c r="L169" s="207">
        <f>SUMIFS('апрель 2023'!$G$4:$G$692,'апрель 2023'!$D$4:$D$692,$B169,'апрель 2023'!$J$4:$J$692,L$1)</f>
        <v>0</v>
      </c>
      <c r="M169" s="207">
        <f>SUMIFS('апрель 2023'!$G$4:$G$692,'апрель 2023'!$D$4:$D$692,$B169,'апрель 2023'!$J$4:$J$692,M$1)</f>
        <v>0</v>
      </c>
      <c r="N169" s="207">
        <f>SUMIFS('апрель 2023'!$G$4:$G$692,'апрель 2023'!$D$4:$D$692,$B169,'апрель 2023'!$J$4:$J$692,N$1)</f>
        <v>0</v>
      </c>
      <c r="O169" s="207">
        <f>SUMIFS('апрель 2023'!$G$4:$G$692,'апрель 2023'!$D$4:$D$692,$B169,'апрель 2023'!$J$4:$J$692,O$1)</f>
        <v>0</v>
      </c>
      <c r="P169" s="207">
        <f>SUMIFS('апрель 2023'!$G$4:$G$692,'апрель 2023'!$D$4:$D$692,$B169,'апрель 2023'!$J$4:$J$692,P$1)</f>
        <v>0</v>
      </c>
      <c r="Q169" s="207">
        <f>SUMIFS('апрель 2023'!$G$4:$G$692,'апрель 2023'!$D$4:$D$692,$B169,'апрель 2023'!$J$4:$J$692,Q$1)</f>
        <v>0</v>
      </c>
      <c r="R169" s="207">
        <f>SUMIFS('апрель 2023'!$G$4:$G$692,'апрель 2023'!$D$4:$D$692,$B169,'апрель 2023'!$J$4:$J$692,R$1)</f>
        <v>0</v>
      </c>
      <c r="S169" s="207">
        <f>SUMIFS('апрель 2023'!$G$4:$G$692,'апрель 2023'!$D$4:$D$692,$B169,'апрель 2023'!$J$4:$J$692,S$1)</f>
        <v>0</v>
      </c>
      <c r="T169" s="207">
        <f>SUMIFS('апрель 2023'!$G$4:$G$692,'апрель 2023'!$D$4:$D$692,$B169,'апрель 2023'!$J$4:$J$692,T$1)</f>
        <v>0</v>
      </c>
      <c r="U169" s="207">
        <f>SUMIFS('апрель 2023'!$G$4:$G$692,'апрель 2023'!$D$4:$D$692,$B169,'апрель 2023'!$J$4:$J$692,U$1)</f>
        <v>0</v>
      </c>
      <c r="V169" s="207">
        <f>SUMIFS('апрель 2023'!$G$4:$G$692,'апрель 2023'!$D$4:$D$692,$B169,'апрель 2023'!$J$4:$J$692,V$1)</f>
        <v>0</v>
      </c>
      <c r="W169" s="207">
        <f>SUMIFS('апрель 2023'!$G$4:$G$692,'апрель 2023'!$D$4:$D$692,$B169,'апрель 2023'!$J$4:$J$692,W$1)</f>
        <v>0</v>
      </c>
      <c r="X169" s="207">
        <f>SUMIFS('апрель 2023'!$G$4:$G$692,'апрель 2023'!$D$4:$D$692,$B169,'апрель 2023'!$J$4:$J$692,X$1)</f>
        <v>0</v>
      </c>
      <c r="Y169" s="207">
        <f>SUMIFS('апрель 2023'!$G$4:$G$692,'апрель 2023'!$D$4:$D$692,$B169,'апрель 2023'!$J$4:$J$692,Y$1)</f>
        <v>0</v>
      </c>
      <c r="Z169" s="207">
        <f>SUMIFS('апрель 2023'!$G$4:$G$692,'апрель 2023'!$D$4:$D$692,$B169,'апрель 2023'!$J$4:$J$692,Z$1)</f>
        <v>0</v>
      </c>
      <c r="AA169" s="207">
        <f>SUMIFS('апрель 2023'!$G$4:$G$692,'апрель 2023'!$D$4:$D$692,$B169,'апрель 2023'!$J$4:$J$692,AA$1)</f>
        <v>0</v>
      </c>
      <c r="AB169" s="207">
        <f>SUMIFS('апрель 2023'!$G$4:$G$692,'апрель 2023'!$D$4:$D$692,$B169,'апрель 2023'!$J$4:$J$692,AB$1)</f>
        <v>0</v>
      </c>
      <c r="AC169" s="207">
        <f>SUMIFS('апрель 2023'!$G$4:$G$692,'апрель 2023'!$D$4:$D$692,$B169,'апрель 2023'!$J$4:$J$692,AC$1)</f>
        <v>0</v>
      </c>
      <c r="AD169" s="207">
        <f>SUMIFS('апрель 2023'!$G$4:$G$692,'апрель 2023'!$D$4:$D$692,$B169,'апрель 2023'!$J$4:$J$692,AD$1)</f>
        <v>0</v>
      </c>
      <c r="AE169" s="207">
        <f>SUMIFS('апрель 2023'!$G$4:$G$692,'апрель 2023'!$D$4:$D$692,$B169,'апрель 2023'!$J$4:$J$692,AE$1)</f>
        <v>0</v>
      </c>
      <c r="AF169" s="207">
        <f>SUMIFS('апрель 2023'!$G$4:$G$692,'апрель 2023'!$D$4:$D$692,$B169,'апрель 2023'!$J$4:$J$692,AF$1)</f>
        <v>0</v>
      </c>
      <c r="AG169" s="207">
        <f>SUMIFS('апрель 2023'!$G$4:$G$692,'апрель 2023'!$D$4:$D$692,$B169,'апрель 2023'!$J$4:$J$692,AG$1)</f>
        <v>0</v>
      </c>
      <c r="AH169" s="207">
        <f>SUMIFS('апрель 2023'!$G$4:$G$692,'апрель 2023'!$D$4:$D$692,$B169,'апрель 2023'!$J$4:$J$692,AH$1)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SUMIFS('апрель 2023'!$G$4:$G$692,'апрель 2023'!$D$4:$D$692,$B170,'апрель 2023'!$J$4:$J$692,D$1)</f>
        <v>0</v>
      </c>
      <c r="E170" s="207">
        <f>SUMIFS('апрель 2023'!$G$4:$G$692,'апрель 2023'!$D$4:$D$692,$B170,'апрель 2023'!$J$4:$J$692,E$1)</f>
        <v>0</v>
      </c>
      <c r="F170" s="207">
        <f>SUMIFS('апрель 2023'!$G$4:$G$692,'апрель 2023'!$D$4:$D$692,$B170,'апрель 2023'!$J$4:$J$692,F$1)</f>
        <v>0</v>
      </c>
      <c r="G170" s="207">
        <f>SUMIFS('апрель 2023'!$G$4:$G$692,'апрель 2023'!$D$4:$D$692,$B170,'апрель 2023'!$J$4:$J$692,G$1)</f>
        <v>0</v>
      </c>
      <c r="H170" s="207">
        <f>SUMIFS('апрель 2023'!$G$4:$G$692,'апрель 2023'!$D$4:$D$692,$B170,'апрель 2023'!$J$4:$J$692,H$1)</f>
        <v>0</v>
      </c>
      <c r="I170" s="207">
        <f>SUMIFS('апрель 2023'!$G$4:$G$692,'апрель 2023'!$D$4:$D$692,$B170,'апрель 2023'!$J$4:$J$692,I$1)</f>
        <v>0</v>
      </c>
      <c r="J170" s="207">
        <f>SUMIFS('апрель 2023'!$G$4:$G$692,'апрель 2023'!$D$4:$D$692,$B170,'апрель 2023'!$J$4:$J$692,J$1)</f>
        <v>0</v>
      </c>
      <c r="K170" s="207">
        <f>SUMIFS('апрель 2023'!$G$4:$G$692,'апрель 2023'!$D$4:$D$692,$B170,'апрель 2023'!$J$4:$J$692,K$1)</f>
        <v>0</v>
      </c>
      <c r="L170" s="207">
        <f>SUMIFS('апрель 2023'!$G$4:$G$692,'апрель 2023'!$D$4:$D$692,$B170,'апрель 2023'!$J$4:$J$692,L$1)</f>
        <v>0</v>
      </c>
      <c r="M170" s="207">
        <f>SUMIFS('апрель 2023'!$G$4:$G$692,'апрель 2023'!$D$4:$D$692,$B170,'апрель 2023'!$J$4:$J$692,M$1)</f>
        <v>0</v>
      </c>
      <c r="N170" s="207">
        <f>SUMIFS('апрель 2023'!$G$4:$G$692,'апрель 2023'!$D$4:$D$692,$B170,'апрель 2023'!$J$4:$J$692,N$1)</f>
        <v>0</v>
      </c>
      <c r="O170" s="207">
        <f>SUMIFS('апрель 2023'!$G$4:$G$692,'апрель 2023'!$D$4:$D$692,$B170,'апрель 2023'!$J$4:$J$692,O$1)</f>
        <v>0</v>
      </c>
      <c r="P170" s="207">
        <f>SUMIFS('апрель 2023'!$G$4:$G$692,'апрель 2023'!$D$4:$D$692,$B170,'апрель 2023'!$J$4:$J$692,P$1)</f>
        <v>0</v>
      </c>
      <c r="Q170" s="207">
        <f>SUMIFS('апрель 2023'!$G$4:$G$692,'апрель 2023'!$D$4:$D$692,$B170,'апрель 2023'!$J$4:$J$692,Q$1)</f>
        <v>0</v>
      </c>
      <c r="R170" s="207">
        <f>SUMIFS('апрель 2023'!$G$4:$G$692,'апрель 2023'!$D$4:$D$692,$B170,'апрель 2023'!$J$4:$J$692,R$1)</f>
        <v>0</v>
      </c>
      <c r="S170" s="207">
        <f>SUMIFS('апрель 2023'!$G$4:$G$692,'апрель 2023'!$D$4:$D$692,$B170,'апрель 2023'!$J$4:$J$692,S$1)</f>
        <v>0</v>
      </c>
      <c r="T170" s="207">
        <f>SUMIFS('апрель 2023'!$G$4:$G$692,'апрель 2023'!$D$4:$D$692,$B170,'апрель 2023'!$J$4:$J$692,T$1)</f>
        <v>0</v>
      </c>
      <c r="U170" s="207">
        <f>SUMIFS('апрель 2023'!$G$4:$G$692,'апрель 2023'!$D$4:$D$692,$B170,'апрель 2023'!$J$4:$J$692,U$1)</f>
        <v>0</v>
      </c>
      <c r="V170" s="207">
        <f>SUMIFS('апрель 2023'!$G$4:$G$692,'апрель 2023'!$D$4:$D$692,$B170,'апрель 2023'!$J$4:$J$692,V$1)</f>
        <v>0</v>
      </c>
      <c r="W170" s="207">
        <f>SUMIFS('апрель 2023'!$G$4:$G$692,'апрель 2023'!$D$4:$D$692,$B170,'апрель 2023'!$J$4:$J$692,W$1)</f>
        <v>0</v>
      </c>
      <c r="X170" s="207">
        <f>SUMIFS('апрель 2023'!$G$4:$G$692,'апрель 2023'!$D$4:$D$692,$B170,'апрель 2023'!$J$4:$J$692,X$1)</f>
        <v>0</v>
      </c>
      <c r="Y170" s="207">
        <f>SUMIFS('апрель 2023'!$G$4:$G$692,'апрель 2023'!$D$4:$D$692,$B170,'апрель 2023'!$J$4:$J$692,Y$1)</f>
        <v>0</v>
      </c>
      <c r="Z170" s="207">
        <f>SUMIFS('апрель 2023'!$G$4:$G$692,'апрель 2023'!$D$4:$D$692,$B170,'апрель 2023'!$J$4:$J$692,Z$1)</f>
        <v>0</v>
      </c>
      <c r="AA170" s="207">
        <f>SUMIFS('апрель 2023'!$G$4:$G$692,'апрель 2023'!$D$4:$D$692,$B170,'апрель 2023'!$J$4:$J$692,AA$1)</f>
        <v>0</v>
      </c>
      <c r="AB170" s="207">
        <f>SUMIFS('апрель 2023'!$G$4:$G$692,'апрель 2023'!$D$4:$D$692,$B170,'апрель 2023'!$J$4:$J$692,AB$1)</f>
        <v>0</v>
      </c>
      <c r="AC170" s="207">
        <f>SUMIFS('апрель 2023'!$G$4:$G$692,'апрель 2023'!$D$4:$D$692,$B170,'апрель 2023'!$J$4:$J$692,AC$1)</f>
        <v>0</v>
      </c>
      <c r="AD170" s="207">
        <f>SUMIFS('апрель 2023'!$G$4:$G$692,'апрель 2023'!$D$4:$D$692,$B170,'апрель 2023'!$J$4:$J$692,AD$1)</f>
        <v>0</v>
      </c>
      <c r="AE170" s="207">
        <f>SUMIFS('апрель 2023'!$G$4:$G$692,'апрель 2023'!$D$4:$D$692,$B170,'апрель 2023'!$J$4:$J$692,AE$1)</f>
        <v>0</v>
      </c>
      <c r="AF170" s="207">
        <f>SUMIFS('апрель 2023'!$G$4:$G$692,'апрель 2023'!$D$4:$D$692,$B170,'апрель 2023'!$J$4:$J$692,AF$1)</f>
        <v>0</v>
      </c>
      <c r="AG170" s="207">
        <f>SUMIFS('апрель 2023'!$G$4:$G$692,'апрель 2023'!$D$4:$D$692,$B170,'апрель 2023'!$J$4:$J$692,AG$1)</f>
        <v>0</v>
      </c>
      <c r="AH170" s="207">
        <f>SUMIFS('апрель 2023'!$G$4:$G$692,'апрель 2023'!$D$4:$D$692,$B170,'апрель 2023'!$J$4:$J$692,AH$1)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SUMIFS('апрель 2023'!$G$4:$G$692,'апрель 2023'!$D$4:$D$692,$B171,'апрель 2023'!$J$4:$J$692,D$1)</f>
        <v>0</v>
      </c>
      <c r="E171" s="207">
        <f>SUMIFS('апрель 2023'!$G$4:$G$692,'апрель 2023'!$D$4:$D$692,$B171,'апрель 2023'!$J$4:$J$692,E$1)</f>
        <v>0</v>
      </c>
      <c r="F171" s="207">
        <f>SUMIFS('апрель 2023'!$G$4:$G$692,'апрель 2023'!$D$4:$D$692,$B171,'апрель 2023'!$J$4:$J$692,F$1)</f>
        <v>0</v>
      </c>
      <c r="G171" s="207">
        <f>SUMIFS('апрель 2023'!$G$4:$G$692,'апрель 2023'!$D$4:$D$692,$B171,'апрель 2023'!$J$4:$J$692,G$1)</f>
        <v>0</v>
      </c>
      <c r="H171" s="207">
        <f>SUMIFS('апрель 2023'!$G$4:$G$692,'апрель 2023'!$D$4:$D$692,$B171,'апрель 2023'!$J$4:$J$692,H$1)</f>
        <v>0</v>
      </c>
      <c r="I171" s="207">
        <f>SUMIFS('апрель 2023'!$G$4:$G$692,'апрель 2023'!$D$4:$D$692,$B171,'апрель 2023'!$J$4:$J$692,I$1)</f>
        <v>0</v>
      </c>
      <c r="J171" s="207">
        <f>SUMIFS('апрель 2023'!$G$4:$G$692,'апрель 2023'!$D$4:$D$692,$B171,'апрель 2023'!$J$4:$J$692,J$1)</f>
        <v>0</v>
      </c>
      <c r="K171" s="207">
        <f>SUMIFS('апрель 2023'!$G$4:$G$692,'апрель 2023'!$D$4:$D$692,$B171,'апрель 2023'!$J$4:$J$692,K$1)</f>
        <v>0</v>
      </c>
      <c r="L171" s="207">
        <f>SUMIFS('апрель 2023'!$G$4:$G$692,'апрель 2023'!$D$4:$D$692,$B171,'апрель 2023'!$J$4:$J$692,L$1)</f>
        <v>0</v>
      </c>
      <c r="M171" s="207">
        <f>SUMIFS('апрель 2023'!$G$4:$G$692,'апрель 2023'!$D$4:$D$692,$B171,'апрель 2023'!$J$4:$J$692,M$1)</f>
        <v>0</v>
      </c>
      <c r="N171" s="207">
        <f>SUMIFS('апрель 2023'!$G$4:$G$692,'апрель 2023'!$D$4:$D$692,$B171,'апрель 2023'!$J$4:$J$692,N$1)</f>
        <v>0</v>
      </c>
      <c r="O171" s="207">
        <f>SUMIFS('апрель 2023'!$G$4:$G$692,'апрель 2023'!$D$4:$D$692,$B171,'апрель 2023'!$J$4:$J$692,O$1)</f>
        <v>0</v>
      </c>
      <c r="P171" s="207">
        <f>SUMIFS('апрель 2023'!$G$4:$G$692,'апрель 2023'!$D$4:$D$692,$B171,'апрель 2023'!$J$4:$J$692,P$1)</f>
        <v>0</v>
      </c>
      <c r="Q171" s="207">
        <f>SUMIFS('апрель 2023'!$G$4:$G$692,'апрель 2023'!$D$4:$D$692,$B171,'апрель 2023'!$J$4:$J$692,Q$1)</f>
        <v>0</v>
      </c>
      <c r="R171" s="207">
        <f>SUMIFS('апрель 2023'!$G$4:$G$692,'апрель 2023'!$D$4:$D$692,$B171,'апрель 2023'!$J$4:$J$692,R$1)</f>
        <v>0</v>
      </c>
      <c r="S171" s="207">
        <f>SUMIFS('апрель 2023'!$G$4:$G$692,'апрель 2023'!$D$4:$D$692,$B171,'апрель 2023'!$J$4:$J$692,S$1)</f>
        <v>0</v>
      </c>
      <c r="T171" s="207">
        <f>SUMIFS('апрель 2023'!$G$4:$G$692,'апрель 2023'!$D$4:$D$692,$B171,'апрель 2023'!$J$4:$J$692,T$1)</f>
        <v>0</v>
      </c>
      <c r="U171" s="207">
        <f>SUMIFS('апрель 2023'!$G$4:$G$692,'апрель 2023'!$D$4:$D$692,$B171,'апрель 2023'!$J$4:$J$692,U$1)</f>
        <v>0</v>
      </c>
      <c r="V171" s="207">
        <f>SUMIFS('апрель 2023'!$G$4:$G$692,'апрель 2023'!$D$4:$D$692,$B171,'апрель 2023'!$J$4:$J$692,V$1)</f>
        <v>0</v>
      </c>
      <c r="W171" s="207">
        <f>SUMIFS('апрель 2023'!$G$4:$G$692,'апрель 2023'!$D$4:$D$692,$B171,'апрель 2023'!$J$4:$J$692,W$1)</f>
        <v>0</v>
      </c>
      <c r="X171" s="207">
        <f>SUMIFS('апрель 2023'!$G$4:$G$692,'апрель 2023'!$D$4:$D$692,$B171,'апрель 2023'!$J$4:$J$692,X$1)</f>
        <v>0</v>
      </c>
      <c r="Y171" s="207">
        <f>SUMIFS('апрель 2023'!$G$4:$G$692,'апрель 2023'!$D$4:$D$692,$B171,'апрель 2023'!$J$4:$J$692,Y$1)</f>
        <v>0</v>
      </c>
      <c r="Z171" s="207">
        <f>SUMIFS('апрель 2023'!$G$4:$G$692,'апрель 2023'!$D$4:$D$692,$B171,'апрель 2023'!$J$4:$J$692,Z$1)</f>
        <v>0</v>
      </c>
      <c r="AA171" s="207">
        <f>SUMIFS('апрель 2023'!$G$4:$G$692,'апрель 2023'!$D$4:$D$692,$B171,'апрель 2023'!$J$4:$J$692,AA$1)</f>
        <v>0</v>
      </c>
      <c r="AB171" s="207">
        <f>SUMIFS('апрель 2023'!$G$4:$G$692,'апрель 2023'!$D$4:$D$692,$B171,'апрель 2023'!$J$4:$J$692,AB$1)</f>
        <v>0</v>
      </c>
      <c r="AC171" s="207">
        <f>SUMIFS('апрель 2023'!$G$4:$G$692,'апрель 2023'!$D$4:$D$692,$B171,'апрель 2023'!$J$4:$J$692,AC$1)</f>
        <v>0</v>
      </c>
      <c r="AD171" s="207">
        <f>SUMIFS('апрель 2023'!$G$4:$G$692,'апрель 2023'!$D$4:$D$692,$B171,'апрель 2023'!$J$4:$J$692,AD$1)</f>
        <v>0</v>
      </c>
      <c r="AE171" s="207">
        <f>SUMIFS('апрель 2023'!$G$4:$G$692,'апрель 2023'!$D$4:$D$692,$B171,'апрель 2023'!$J$4:$J$692,AE$1)</f>
        <v>0</v>
      </c>
      <c r="AF171" s="207">
        <f>SUMIFS('апрель 2023'!$G$4:$G$692,'апрель 2023'!$D$4:$D$692,$B171,'апрель 2023'!$J$4:$J$692,AF$1)</f>
        <v>0</v>
      </c>
      <c r="AG171" s="207">
        <f>SUMIFS('апрель 2023'!$G$4:$G$692,'апрель 2023'!$D$4:$D$692,$B171,'апрель 2023'!$J$4:$J$692,AG$1)</f>
        <v>0</v>
      </c>
      <c r="AH171" s="207">
        <f>SUMIFS('апрель 2023'!$G$4:$G$692,'апрель 2023'!$D$4:$D$692,$B171,'апрель 2023'!$J$4:$J$692,AH$1)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SUMIFS('апрель 2023'!$G$4:$G$692,'апрель 2023'!$D$4:$D$692,$B172,'апрель 2023'!$J$4:$J$692,D$1)</f>
        <v>0</v>
      </c>
      <c r="E172" s="207">
        <f>SUMIFS('апрель 2023'!$G$4:$G$692,'апрель 2023'!$D$4:$D$692,$B172,'апрель 2023'!$J$4:$J$692,E$1)</f>
        <v>0</v>
      </c>
      <c r="F172" s="207">
        <f>SUMIFS('апрель 2023'!$G$4:$G$692,'апрель 2023'!$D$4:$D$692,$B172,'апрель 2023'!$J$4:$J$692,F$1)</f>
        <v>0</v>
      </c>
      <c r="G172" s="207">
        <f>SUMIFS('апрель 2023'!$G$4:$G$692,'апрель 2023'!$D$4:$D$692,$B172,'апрель 2023'!$J$4:$J$692,G$1)</f>
        <v>0</v>
      </c>
      <c r="H172" s="207">
        <f>SUMIFS('апрель 2023'!$G$4:$G$692,'апрель 2023'!$D$4:$D$692,$B172,'апрель 2023'!$J$4:$J$692,H$1)</f>
        <v>0</v>
      </c>
      <c r="I172" s="207">
        <f>SUMIFS('апрель 2023'!$G$4:$G$692,'апрель 2023'!$D$4:$D$692,$B172,'апрель 2023'!$J$4:$J$692,I$1)</f>
        <v>0</v>
      </c>
      <c r="J172" s="207">
        <f>SUMIFS('апрель 2023'!$G$4:$G$692,'апрель 2023'!$D$4:$D$692,$B172,'апрель 2023'!$J$4:$J$692,J$1)</f>
        <v>0</v>
      </c>
      <c r="K172" s="207">
        <f>SUMIFS('апрель 2023'!$G$4:$G$692,'апрель 2023'!$D$4:$D$692,$B172,'апрель 2023'!$J$4:$J$692,K$1)</f>
        <v>0</v>
      </c>
      <c r="L172" s="207">
        <f>SUMIFS('апрель 2023'!$G$4:$G$692,'апрель 2023'!$D$4:$D$692,$B172,'апрель 2023'!$J$4:$J$692,L$1)</f>
        <v>0</v>
      </c>
      <c r="M172" s="207">
        <f>SUMIFS('апрель 2023'!$G$4:$G$692,'апрель 2023'!$D$4:$D$692,$B172,'апрель 2023'!$J$4:$J$692,M$1)</f>
        <v>0</v>
      </c>
      <c r="N172" s="207">
        <f>SUMIFS('апрель 2023'!$G$4:$G$692,'апрель 2023'!$D$4:$D$692,$B172,'апрель 2023'!$J$4:$J$692,N$1)</f>
        <v>0</v>
      </c>
      <c r="O172" s="207">
        <f>SUMIFS('апрель 2023'!$G$4:$G$692,'апрель 2023'!$D$4:$D$692,$B172,'апрель 2023'!$J$4:$J$692,O$1)</f>
        <v>0</v>
      </c>
      <c r="P172" s="207">
        <f>SUMIFS('апрель 2023'!$G$4:$G$692,'апрель 2023'!$D$4:$D$692,$B172,'апрель 2023'!$J$4:$J$692,P$1)</f>
        <v>0</v>
      </c>
      <c r="Q172" s="207">
        <f>SUMIFS('апрель 2023'!$G$4:$G$692,'апрель 2023'!$D$4:$D$692,$B172,'апрель 2023'!$J$4:$J$692,Q$1)</f>
        <v>0</v>
      </c>
      <c r="R172" s="207">
        <f>SUMIFS('апрель 2023'!$G$4:$G$692,'апрель 2023'!$D$4:$D$692,$B172,'апрель 2023'!$J$4:$J$692,R$1)</f>
        <v>0</v>
      </c>
      <c r="S172" s="207">
        <f>SUMIFS('апрель 2023'!$G$4:$G$692,'апрель 2023'!$D$4:$D$692,$B172,'апрель 2023'!$J$4:$J$692,S$1)</f>
        <v>0</v>
      </c>
      <c r="T172" s="207">
        <f>SUMIFS('апрель 2023'!$G$4:$G$692,'апрель 2023'!$D$4:$D$692,$B172,'апрель 2023'!$J$4:$J$692,T$1)</f>
        <v>0</v>
      </c>
      <c r="U172" s="207">
        <f>SUMIFS('апрель 2023'!$G$4:$G$692,'апрель 2023'!$D$4:$D$692,$B172,'апрель 2023'!$J$4:$J$692,U$1)</f>
        <v>0</v>
      </c>
      <c r="V172" s="207">
        <f>SUMIFS('апрель 2023'!$G$4:$G$692,'апрель 2023'!$D$4:$D$692,$B172,'апрель 2023'!$J$4:$J$692,V$1)</f>
        <v>0</v>
      </c>
      <c r="W172" s="207">
        <f>SUMIFS('апрель 2023'!$G$4:$G$692,'апрель 2023'!$D$4:$D$692,$B172,'апрель 2023'!$J$4:$J$692,W$1)</f>
        <v>0</v>
      </c>
      <c r="X172" s="207">
        <f>SUMIFS('апрель 2023'!$G$4:$G$692,'апрель 2023'!$D$4:$D$692,$B172,'апрель 2023'!$J$4:$J$692,X$1)</f>
        <v>0</v>
      </c>
      <c r="Y172" s="207">
        <f>SUMIFS('апрель 2023'!$G$4:$G$692,'апрель 2023'!$D$4:$D$692,$B172,'апрель 2023'!$J$4:$J$692,Y$1)</f>
        <v>0</v>
      </c>
      <c r="Z172" s="207">
        <f>SUMIFS('апрель 2023'!$G$4:$G$692,'апрель 2023'!$D$4:$D$692,$B172,'апрель 2023'!$J$4:$J$692,Z$1)</f>
        <v>0</v>
      </c>
      <c r="AA172" s="207">
        <f>SUMIFS('апрель 2023'!$G$4:$G$692,'апрель 2023'!$D$4:$D$692,$B172,'апрель 2023'!$J$4:$J$692,AA$1)</f>
        <v>0</v>
      </c>
      <c r="AB172" s="207">
        <f>SUMIFS('апрель 2023'!$G$4:$G$692,'апрель 2023'!$D$4:$D$692,$B172,'апрель 2023'!$J$4:$J$692,AB$1)</f>
        <v>0</v>
      </c>
      <c r="AC172" s="207">
        <f>SUMIFS('апрель 2023'!$G$4:$G$692,'апрель 2023'!$D$4:$D$692,$B172,'апрель 2023'!$J$4:$J$692,AC$1)</f>
        <v>0</v>
      </c>
      <c r="AD172" s="207">
        <f>SUMIFS('апрель 2023'!$G$4:$G$692,'апрель 2023'!$D$4:$D$692,$B172,'апрель 2023'!$J$4:$J$692,AD$1)</f>
        <v>0</v>
      </c>
      <c r="AE172" s="207">
        <f>SUMIFS('апрель 2023'!$G$4:$G$692,'апрель 2023'!$D$4:$D$692,$B172,'апрель 2023'!$J$4:$J$692,AE$1)</f>
        <v>0</v>
      </c>
      <c r="AF172" s="207">
        <f>SUMIFS('апрель 2023'!$G$4:$G$692,'апрель 2023'!$D$4:$D$692,$B172,'апрель 2023'!$J$4:$J$692,AF$1)</f>
        <v>0</v>
      </c>
      <c r="AG172" s="207">
        <f>SUMIFS('апрель 2023'!$G$4:$G$692,'апрель 2023'!$D$4:$D$692,$B172,'апрель 2023'!$J$4:$J$692,AG$1)</f>
        <v>0</v>
      </c>
      <c r="AH172" s="207">
        <f>SUMIFS('апрель 2023'!$G$4:$G$692,'апрель 2023'!$D$4:$D$692,$B172,'апрель 2023'!$J$4:$J$692,AH$1)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SUMIFS('апрель 2023'!$G$4:$G$692,'апрель 2023'!$D$4:$D$692,$B173,'апрель 2023'!$J$4:$J$692,D$1)</f>
        <v>0</v>
      </c>
      <c r="E173" s="207">
        <f>SUMIFS('апрель 2023'!$G$4:$G$692,'апрель 2023'!$D$4:$D$692,$B173,'апрель 2023'!$J$4:$J$692,E$1)</f>
        <v>0</v>
      </c>
      <c r="F173" s="207">
        <f>SUMIFS('апрель 2023'!$G$4:$G$692,'апрель 2023'!$D$4:$D$692,$B173,'апрель 2023'!$J$4:$J$692,F$1)</f>
        <v>0</v>
      </c>
      <c r="G173" s="207">
        <f>SUMIFS('апрель 2023'!$G$4:$G$692,'апрель 2023'!$D$4:$D$692,$B173,'апрель 2023'!$J$4:$J$692,G$1)</f>
        <v>0</v>
      </c>
      <c r="H173" s="207">
        <f>SUMIFS('апрель 2023'!$G$4:$G$692,'апрель 2023'!$D$4:$D$692,$B173,'апрель 2023'!$J$4:$J$692,H$1)</f>
        <v>0</v>
      </c>
      <c r="I173" s="207">
        <f>SUMIFS('апрель 2023'!$G$4:$G$692,'апрель 2023'!$D$4:$D$692,$B173,'апрель 2023'!$J$4:$J$692,I$1)</f>
        <v>0</v>
      </c>
      <c r="J173" s="207">
        <f>SUMIFS('апрель 2023'!$G$4:$G$692,'апрель 2023'!$D$4:$D$692,$B173,'апрель 2023'!$J$4:$J$692,J$1)</f>
        <v>0</v>
      </c>
      <c r="K173" s="207">
        <f>SUMIFS('апрель 2023'!$G$4:$G$692,'апрель 2023'!$D$4:$D$692,$B173,'апрель 2023'!$J$4:$J$692,K$1)</f>
        <v>0</v>
      </c>
      <c r="L173" s="207">
        <f>SUMIFS('апрель 2023'!$G$4:$G$692,'апрель 2023'!$D$4:$D$692,$B173,'апрель 2023'!$J$4:$J$692,L$1)</f>
        <v>0</v>
      </c>
      <c r="M173" s="207">
        <f>SUMIFS('апрель 2023'!$G$4:$G$692,'апрель 2023'!$D$4:$D$692,$B173,'апрель 2023'!$J$4:$J$692,M$1)</f>
        <v>0</v>
      </c>
      <c r="N173" s="207">
        <f>SUMIFS('апрель 2023'!$G$4:$G$692,'апрель 2023'!$D$4:$D$692,$B173,'апрель 2023'!$J$4:$J$692,N$1)</f>
        <v>0</v>
      </c>
      <c r="O173" s="207">
        <f>SUMIFS('апрель 2023'!$G$4:$G$692,'апрель 2023'!$D$4:$D$692,$B173,'апрель 2023'!$J$4:$J$692,O$1)</f>
        <v>0</v>
      </c>
      <c r="P173" s="207">
        <f>SUMIFS('апрель 2023'!$G$4:$G$692,'апрель 2023'!$D$4:$D$692,$B173,'апрель 2023'!$J$4:$J$692,P$1)</f>
        <v>0</v>
      </c>
      <c r="Q173" s="207">
        <f>SUMIFS('апрель 2023'!$G$4:$G$692,'апрель 2023'!$D$4:$D$692,$B173,'апрель 2023'!$J$4:$J$692,Q$1)</f>
        <v>0</v>
      </c>
      <c r="R173" s="207">
        <f>SUMIFS('апрель 2023'!$G$4:$G$692,'апрель 2023'!$D$4:$D$692,$B173,'апрель 2023'!$J$4:$J$692,R$1)</f>
        <v>0</v>
      </c>
      <c r="S173" s="207">
        <f>SUMIFS('апрель 2023'!$G$4:$G$692,'апрель 2023'!$D$4:$D$692,$B173,'апрель 2023'!$J$4:$J$692,S$1)</f>
        <v>0</v>
      </c>
      <c r="T173" s="207">
        <f>SUMIFS('апрель 2023'!$G$4:$G$692,'апрель 2023'!$D$4:$D$692,$B173,'апрель 2023'!$J$4:$J$692,T$1)</f>
        <v>0</v>
      </c>
      <c r="U173" s="207">
        <f>SUMIFS('апрель 2023'!$G$4:$G$692,'апрель 2023'!$D$4:$D$692,$B173,'апрель 2023'!$J$4:$J$692,U$1)</f>
        <v>0</v>
      </c>
      <c r="V173" s="207">
        <f>SUMIFS('апрель 2023'!$G$4:$G$692,'апрель 2023'!$D$4:$D$692,$B173,'апрель 2023'!$J$4:$J$692,V$1)</f>
        <v>0</v>
      </c>
      <c r="W173" s="207">
        <f>SUMIFS('апрель 2023'!$G$4:$G$692,'апрель 2023'!$D$4:$D$692,$B173,'апрель 2023'!$J$4:$J$692,W$1)</f>
        <v>0</v>
      </c>
      <c r="X173" s="207">
        <f>SUMIFS('апрель 2023'!$G$4:$G$692,'апрель 2023'!$D$4:$D$692,$B173,'апрель 2023'!$J$4:$J$692,X$1)</f>
        <v>0</v>
      </c>
      <c r="Y173" s="207">
        <f>SUMIFS('апрель 2023'!$G$4:$G$692,'апрель 2023'!$D$4:$D$692,$B173,'апрель 2023'!$J$4:$J$692,Y$1)</f>
        <v>0</v>
      </c>
      <c r="Z173" s="207">
        <f>SUMIFS('апрель 2023'!$G$4:$G$692,'апрель 2023'!$D$4:$D$692,$B173,'апрель 2023'!$J$4:$J$692,Z$1)</f>
        <v>0</v>
      </c>
      <c r="AA173" s="207">
        <f>SUMIFS('апрель 2023'!$G$4:$G$692,'апрель 2023'!$D$4:$D$692,$B173,'апрель 2023'!$J$4:$J$692,AA$1)</f>
        <v>0</v>
      </c>
      <c r="AB173" s="207">
        <f>SUMIFS('апрель 2023'!$G$4:$G$692,'апрель 2023'!$D$4:$D$692,$B173,'апрель 2023'!$J$4:$J$692,AB$1)</f>
        <v>0</v>
      </c>
      <c r="AC173" s="207">
        <f>SUMIFS('апрель 2023'!$G$4:$G$692,'апрель 2023'!$D$4:$D$692,$B173,'апрель 2023'!$J$4:$J$692,AC$1)</f>
        <v>0</v>
      </c>
      <c r="AD173" s="207">
        <f>SUMIFS('апрель 2023'!$G$4:$G$692,'апрель 2023'!$D$4:$D$692,$B173,'апрель 2023'!$J$4:$J$692,AD$1)</f>
        <v>0</v>
      </c>
      <c r="AE173" s="207">
        <f>SUMIFS('апрель 2023'!$G$4:$G$692,'апрель 2023'!$D$4:$D$692,$B173,'апрель 2023'!$J$4:$J$692,AE$1)</f>
        <v>0</v>
      </c>
      <c r="AF173" s="207">
        <f>SUMIFS('апрель 2023'!$G$4:$G$692,'апрель 2023'!$D$4:$D$692,$B173,'апрель 2023'!$J$4:$J$692,AF$1)</f>
        <v>0</v>
      </c>
      <c r="AG173" s="207">
        <f>SUMIFS('апрель 2023'!$G$4:$G$692,'апрель 2023'!$D$4:$D$692,$B173,'апрель 2023'!$J$4:$J$692,AG$1)</f>
        <v>0</v>
      </c>
      <c r="AH173" s="207">
        <f>SUMIFS('апрель 2023'!$G$4:$G$692,'апрель 2023'!$D$4:$D$692,$B173,'апрель 2023'!$J$4:$J$692,AH$1)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SUMIFS('апрель 2023'!$G$4:$G$692,'апрель 2023'!$D$4:$D$692,$B174,'апрель 2023'!$J$4:$J$692,D$1)</f>
        <v>0</v>
      </c>
      <c r="E174" s="207">
        <f>SUMIFS('апрель 2023'!$G$4:$G$692,'апрель 2023'!$D$4:$D$692,$B174,'апрель 2023'!$J$4:$J$692,E$1)</f>
        <v>0</v>
      </c>
      <c r="F174" s="207">
        <f>SUMIFS('апрель 2023'!$G$4:$G$692,'апрель 2023'!$D$4:$D$692,$B174,'апрель 2023'!$J$4:$J$692,F$1)</f>
        <v>0</v>
      </c>
      <c r="G174" s="207">
        <f>SUMIFS('апрель 2023'!$G$4:$G$692,'апрель 2023'!$D$4:$D$692,$B174,'апрель 2023'!$J$4:$J$692,G$1)</f>
        <v>0</v>
      </c>
      <c r="H174" s="207">
        <f>SUMIFS('апрель 2023'!$G$4:$G$692,'апрель 2023'!$D$4:$D$692,$B174,'апрель 2023'!$J$4:$J$692,H$1)</f>
        <v>0</v>
      </c>
      <c r="I174" s="207">
        <f>SUMIFS('апрель 2023'!$G$4:$G$692,'апрель 2023'!$D$4:$D$692,$B174,'апрель 2023'!$J$4:$J$692,I$1)</f>
        <v>0</v>
      </c>
      <c r="J174" s="207">
        <f>SUMIFS('апрель 2023'!$G$4:$G$692,'апрель 2023'!$D$4:$D$692,$B174,'апрель 2023'!$J$4:$J$692,J$1)</f>
        <v>0</v>
      </c>
      <c r="K174" s="207">
        <f>SUMIFS('апрель 2023'!$G$4:$G$692,'апрель 2023'!$D$4:$D$692,$B174,'апрель 2023'!$J$4:$J$692,K$1)</f>
        <v>0</v>
      </c>
      <c r="L174" s="207">
        <f>SUMIFS('апрель 2023'!$G$4:$G$692,'апрель 2023'!$D$4:$D$692,$B174,'апрель 2023'!$J$4:$J$692,L$1)</f>
        <v>0</v>
      </c>
      <c r="M174" s="207">
        <f>SUMIFS('апрель 2023'!$G$4:$G$692,'апрель 2023'!$D$4:$D$692,$B174,'апрель 2023'!$J$4:$J$692,M$1)</f>
        <v>0</v>
      </c>
      <c r="N174" s="207">
        <f>SUMIFS('апрель 2023'!$G$4:$G$692,'апрель 2023'!$D$4:$D$692,$B174,'апрель 2023'!$J$4:$J$692,N$1)</f>
        <v>0</v>
      </c>
      <c r="O174" s="207">
        <f>SUMIFS('апрель 2023'!$G$4:$G$692,'апрель 2023'!$D$4:$D$692,$B174,'апрель 2023'!$J$4:$J$692,O$1)</f>
        <v>0</v>
      </c>
      <c r="P174" s="207">
        <f>SUMIFS('апрель 2023'!$G$4:$G$692,'апрель 2023'!$D$4:$D$692,$B174,'апрель 2023'!$J$4:$J$692,P$1)</f>
        <v>0</v>
      </c>
      <c r="Q174" s="207">
        <f>SUMIFS('апрель 2023'!$G$4:$G$692,'апрель 2023'!$D$4:$D$692,$B174,'апрель 2023'!$J$4:$J$692,Q$1)</f>
        <v>0</v>
      </c>
      <c r="R174" s="207">
        <f>SUMIFS('апрель 2023'!$G$4:$G$692,'апрель 2023'!$D$4:$D$692,$B174,'апрель 2023'!$J$4:$J$692,R$1)</f>
        <v>0</v>
      </c>
      <c r="S174" s="207">
        <f>SUMIFS('апрель 2023'!$G$4:$G$692,'апрель 2023'!$D$4:$D$692,$B174,'апрель 2023'!$J$4:$J$692,S$1)</f>
        <v>0</v>
      </c>
      <c r="T174" s="207">
        <f>SUMIFS('апрель 2023'!$G$4:$G$692,'апрель 2023'!$D$4:$D$692,$B174,'апрель 2023'!$J$4:$J$692,T$1)</f>
        <v>0</v>
      </c>
      <c r="U174" s="207">
        <f>SUMIFS('апрель 2023'!$G$4:$G$692,'апрель 2023'!$D$4:$D$692,$B174,'апрель 2023'!$J$4:$J$692,U$1)</f>
        <v>0</v>
      </c>
      <c r="V174" s="207">
        <f>SUMIFS('апрель 2023'!$G$4:$G$692,'апрель 2023'!$D$4:$D$692,$B174,'апрель 2023'!$J$4:$J$692,V$1)</f>
        <v>0</v>
      </c>
      <c r="W174" s="207">
        <f>SUMIFS('апрель 2023'!$G$4:$G$692,'апрель 2023'!$D$4:$D$692,$B174,'апрель 2023'!$J$4:$J$692,W$1)</f>
        <v>0</v>
      </c>
      <c r="X174" s="207">
        <f>SUMIFS('апрель 2023'!$G$4:$G$692,'апрель 2023'!$D$4:$D$692,$B174,'апрель 2023'!$J$4:$J$692,X$1)</f>
        <v>0</v>
      </c>
      <c r="Y174" s="207">
        <f>SUMIFS('апрель 2023'!$G$4:$G$692,'апрель 2023'!$D$4:$D$692,$B174,'апрель 2023'!$J$4:$J$692,Y$1)</f>
        <v>0</v>
      </c>
      <c r="Z174" s="207">
        <f>SUMIFS('апрель 2023'!$G$4:$G$692,'апрель 2023'!$D$4:$D$692,$B174,'апрель 2023'!$J$4:$J$692,Z$1)</f>
        <v>0</v>
      </c>
      <c r="AA174" s="207">
        <f>SUMIFS('апрель 2023'!$G$4:$G$692,'апрель 2023'!$D$4:$D$692,$B174,'апрель 2023'!$J$4:$J$692,AA$1)</f>
        <v>0</v>
      </c>
      <c r="AB174" s="207">
        <f>SUMIFS('апрель 2023'!$G$4:$G$692,'апрель 2023'!$D$4:$D$692,$B174,'апрель 2023'!$J$4:$J$692,AB$1)</f>
        <v>0</v>
      </c>
      <c r="AC174" s="207">
        <f>SUMIFS('апрель 2023'!$G$4:$G$692,'апрель 2023'!$D$4:$D$692,$B174,'апрель 2023'!$J$4:$J$692,AC$1)</f>
        <v>0</v>
      </c>
      <c r="AD174" s="207">
        <f>SUMIFS('апрель 2023'!$G$4:$G$692,'апрель 2023'!$D$4:$D$692,$B174,'апрель 2023'!$J$4:$J$692,AD$1)</f>
        <v>0</v>
      </c>
      <c r="AE174" s="207">
        <f>SUMIFS('апрель 2023'!$G$4:$G$692,'апрель 2023'!$D$4:$D$692,$B174,'апрель 2023'!$J$4:$J$692,AE$1)</f>
        <v>0</v>
      </c>
      <c r="AF174" s="207">
        <f>SUMIFS('апрель 2023'!$G$4:$G$692,'апрель 2023'!$D$4:$D$692,$B174,'апрель 2023'!$J$4:$J$692,AF$1)</f>
        <v>0</v>
      </c>
      <c r="AG174" s="207">
        <f>SUMIFS('апрель 2023'!$G$4:$G$692,'апрель 2023'!$D$4:$D$692,$B174,'апрель 2023'!$J$4:$J$692,AG$1)</f>
        <v>0</v>
      </c>
      <c r="AH174" s="207">
        <f>SUMIFS('апрель 2023'!$G$4:$G$692,'апрель 2023'!$D$4:$D$692,$B174,'апрель 2023'!$J$4:$J$692,AH$1)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SUMIFS('апрель 2023'!$G$4:$G$692,'апрель 2023'!$D$4:$D$692,$B175,'апрель 2023'!$J$4:$J$692,D$1)</f>
        <v>0</v>
      </c>
      <c r="E175" s="207">
        <f>SUMIFS('апрель 2023'!$G$4:$G$692,'апрель 2023'!$D$4:$D$692,$B175,'апрель 2023'!$J$4:$J$692,E$1)</f>
        <v>0</v>
      </c>
      <c r="F175" s="207">
        <f>SUMIFS('апрель 2023'!$G$4:$G$692,'апрель 2023'!$D$4:$D$692,$B175,'апрель 2023'!$J$4:$J$692,F$1)</f>
        <v>0</v>
      </c>
      <c r="G175" s="207">
        <f>SUMIFS('апрель 2023'!$G$4:$G$692,'апрель 2023'!$D$4:$D$692,$B175,'апрель 2023'!$J$4:$J$692,G$1)</f>
        <v>0</v>
      </c>
      <c r="H175" s="207">
        <f>SUMIFS('апрель 2023'!$G$4:$G$692,'апрель 2023'!$D$4:$D$692,$B175,'апрель 2023'!$J$4:$J$692,H$1)</f>
        <v>0</v>
      </c>
      <c r="I175" s="207">
        <f>SUMIFS('апрель 2023'!$G$4:$G$692,'апрель 2023'!$D$4:$D$692,$B175,'апрель 2023'!$J$4:$J$692,I$1)</f>
        <v>0</v>
      </c>
      <c r="J175" s="207">
        <f>SUMIFS('апрель 2023'!$G$4:$G$692,'апрель 2023'!$D$4:$D$692,$B175,'апрель 2023'!$J$4:$J$692,J$1)</f>
        <v>0</v>
      </c>
      <c r="K175" s="207">
        <f>SUMIFS('апрель 2023'!$G$4:$G$692,'апрель 2023'!$D$4:$D$692,$B175,'апрель 2023'!$J$4:$J$692,K$1)</f>
        <v>0</v>
      </c>
      <c r="L175" s="207">
        <f>SUMIFS('апрель 2023'!$G$4:$G$692,'апрель 2023'!$D$4:$D$692,$B175,'апрель 2023'!$J$4:$J$692,L$1)</f>
        <v>0</v>
      </c>
      <c r="M175" s="207">
        <f>SUMIFS('апрель 2023'!$G$4:$G$692,'апрель 2023'!$D$4:$D$692,$B175,'апрель 2023'!$J$4:$J$692,M$1)</f>
        <v>0</v>
      </c>
      <c r="N175" s="207">
        <f>SUMIFS('апрель 2023'!$G$4:$G$692,'апрель 2023'!$D$4:$D$692,$B175,'апрель 2023'!$J$4:$J$692,N$1)</f>
        <v>0</v>
      </c>
      <c r="O175" s="207">
        <f>SUMIFS('апрель 2023'!$G$4:$G$692,'апрель 2023'!$D$4:$D$692,$B175,'апрель 2023'!$J$4:$J$692,O$1)</f>
        <v>0</v>
      </c>
      <c r="P175" s="207">
        <f>SUMIFS('апрель 2023'!$G$4:$G$692,'апрель 2023'!$D$4:$D$692,$B175,'апрель 2023'!$J$4:$J$692,P$1)</f>
        <v>0</v>
      </c>
      <c r="Q175" s="207">
        <f>SUMIFS('апрель 2023'!$G$4:$G$692,'апрель 2023'!$D$4:$D$692,$B175,'апрель 2023'!$J$4:$J$692,Q$1)</f>
        <v>0</v>
      </c>
      <c r="R175" s="207">
        <f>SUMIFS('апрель 2023'!$G$4:$G$692,'апрель 2023'!$D$4:$D$692,$B175,'апрель 2023'!$J$4:$J$692,R$1)</f>
        <v>0</v>
      </c>
      <c r="S175" s="207">
        <f>SUMIFS('апрель 2023'!$G$4:$G$692,'апрель 2023'!$D$4:$D$692,$B175,'апрель 2023'!$J$4:$J$692,S$1)</f>
        <v>0</v>
      </c>
      <c r="T175" s="207">
        <f>SUMIFS('апрель 2023'!$G$4:$G$692,'апрель 2023'!$D$4:$D$692,$B175,'апрель 2023'!$J$4:$J$692,T$1)</f>
        <v>0</v>
      </c>
      <c r="U175" s="207">
        <f>SUMIFS('апрель 2023'!$G$4:$G$692,'апрель 2023'!$D$4:$D$692,$B175,'апрель 2023'!$J$4:$J$692,U$1)</f>
        <v>0</v>
      </c>
      <c r="V175" s="207">
        <f>SUMIFS('апрель 2023'!$G$4:$G$692,'апрель 2023'!$D$4:$D$692,$B175,'апрель 2023'!$J$4:$J$692,V$1)</f>
        <v>0</v>
      </c>
      <c r="W175" s="207">
        <f>SUMIFS('апрель 2023'!$G$4:$G$692,'апрель 2023'!$D$4:$D$692,$B175,'апрель 2023'!$J$4:$J$692,W$1)</f>
        <v>0</v>
      </c>
      <c r="X175" s="207">
        <f>SUMIFS('апрель 2023'!$G$4:$G$692,'апрель 2023'!$D$4:$D$692,$B175,'апрель 2023'!$J$4:$J$692,X$1)</f>
        <v>0</v>
      </c>
      <c r="Y175" s="207">
        <f>SUMIFS('апрель 2023'!$G$4:$G$692,'апрель 2023'!$D$4:$D$692,$B175,'апрель 2023'!$J$4:$J$692,Y$1)</f>
        <v>0</v>
      </c>
      <c r="Z175" s="207">
        <f>SUMIFS('апрель 2023'!$G$4:$G$692,'апрель 2023'!$D$4:$D$692,$B175,'апрель 2023'!$J$4:$J$692,Z$1)</f>
        <v>0</v>
      </c>
      <c r="AA175" s="207">
        <f>SUMIFS('апрель 2023'!$G$4:$G$692,'апрель 2023'!$D$4:$D$692,$B175,'апрель 2023'!$J$4:$J$692,AA$1)</f>
        <v>0</v>
      </c>
      <c r="AB175" s="207">
        <f>SUMIFS('апрель 2023'!$G$4:$G$692,'апрель 2023'!$D$4:$D$692,$B175,'апрель 2023'!$J$4:$J$692,AB$1)</f>
        <v>0</v>
      </c>
      <c r="AC175" s="207">
        <f>SUMIFS('апрель 2023'!$G$4:$G$692,'апрель 2023'!$D$4:$D$692,$B175,'апрель 2023'!$J$4:$J$692,AC$1)</f>
        <v>0</v>
      </c>
      <c r="AD175" s="207">
        <f>SUMIFS('апрель 2023'!$G$4:$G$692,'апрель 2023'!$D$4:$D$692,$B175,'апрель 2023'!$J$4:$J$692,AD$1)</f>
        <v>0</v>
      </c>
      <c r="AE175" s="207">
        <f>SUMIFS('апрель 2023'!$G$4:$G$692,'апрель 2023'!$D$4:$D$692,$B175,'апрель 2023'!$J$4:$J$692,AE$1)</f>
        <v>0</v>
      </c>
      <c r="AF175" s="207">
        <f>SUMIFS('апрель 2023'!$G$4:$G$692,'апрель 2023'!$D$4:$D$692,$B175,'апрель 2023'!$J$4:$J$692,AF$1)</f>
        <v>0</v>
      </c>
      <c r="AG175" s="207">
        <f>SUMIFS('апрель 2023'!$G$4:$G$692,'апрель 2023'!$D$4:$D$692,$B175,'апрель 2023'!$J$4:$J$692,AG$1)</f>
        <v>0</v>
      </c>
      <c r="AH175" s="207">
        <f>SUMIFS('апрель 2023'!$G$4:$G$692,'апрель 2023'!$D$4:$D$692,$B175,'апрель 2023'!$J$4:$J$692,AH$1)</f>
        <v>0</v>
      </c>
      <c r="AI175" s="220">
        <f t="shared" si="4"/>
        <v>0</v>
      </c>
    </row>
    <row r="176" spans="2:35" ht="15.75" hidden="1" x14ac:dyDescent="0.25">
      <c r="B176" s="212"/>
      <c r="C176" s="211"/>
      <c r="D176" s="207">
        <f>SUMIFS('апрель 2023'!$G$4:$G$692,'апрель 2023'!$D$4:$D$692,$B176,'апрель 2023'!$J$4:$J$692,D$1)</f>
        <v>0</v>
      </c>
      <c r="E176" s="207">
        <f>SUMIFS('апрель 2023'!$G$4:$G$692,'апрель 2023'!$D$4:$D$692,$B176,'апрель 2023'!$J$4:$J$692,E$1)</f>
        <v>0</v>
      </c>
      <c r="F176" s="207">
        <f>SUMIFS('апрель 2023'!$G$4:$G$692,'апрель 2023'!$D$4:$D$692,$B176,'апрель 2023'!$J$4:$J$692,F$1)</f>
        <v>0</v>
      </c>
      <c r="G176" s="207">
        <f>SUMIFS('апрель 2023'!$G$4:$G$692,'апрель 2023'!$D$4:$D$692,$B176,'апрель 2023'!$J$4:$J$692,G$1)</f>
        <v>0</v>
      </c>
      <c r="H176" s="207">
        <f>SUMIFS('апрель 2023'!$G$4:$G$692,'апрель 2023'!$D$4:$D$692,$B176,'апрель 2023'!$J$4:$J$692,H$1)</f>
        <v>0</v>
      </c>
      <c r="I176" s="207">
        <f>SUMIFS('апрель 2023'!$G$4:$G$692,'апрель 2023'!$D$4:$D$692,$B176,'апрель 2023'!$J$4:$J$692,I$1)</f>
        <v>0</v>
      </c>
      <c r="J176" s="207">
        <f>SUMIFS('апрель 2023'!$G$4:$G$692,'апрель 2023'!$D$4:$D$692,$B176,'апрель 2023'!$J$4:$J$692,J$1)</f>
        <v>0</v>
      </c>
      <c r="K176" s="207">
        <f>SUMIFS('апрель 2023'!$G$4:$G$692,'апрель 2023'!$D$4:$D$692,$B176,'апрель 2023'!$J$4:$J$692,K$1)</f>
        <v>0</v>
      </c>
      <c r="L176" s="207">
        <f>SUMIFS('апрель 2023'!$G$4:$G$692,'апрель 2023'!$D$4:$D$692,$B176,'апрель 2023'!$J$4:$J$692,L$1)</f>
        <v>0</v>
      </c>
      <c r="M176" s="207">
        <f>SUMIFS('апрель 2023'!$G$4:$G$692,'апрель 2023'!$D$4:$D$692,$B176,'апрель 2023'!$J$4:$J$692,M$1)</f>
        <v>0</v>
      </c>
      <c r="N176" s="207">
        <f>SUMIFS('апрель 2023'!$G$4:$G$692,'апрель 2023'!$D$4:$D$692,$B176,'апрель 2023'!$J$4:$J$692,N$1)</f>
        <v>0</v>
      </c>
      <c r="O176" s="207">
        <f>SUMIFS('апрель 2023'!$G$4:$G$692,'апрель 2023'!$D$4:$D$692,$B176,'апрель 2023'!$J$4:$J$692,O$1)</f>
        <v>0</v>
      </c>
      <c r="P176" s="207">
        <f>SUMIFS('апрель 2023'!$G$4:$G$692,'апрель 2023'!$D$4:$D$692,$B176,'апрель 2023'!$J$4:$J$692,P$1)</f>
        <v>0</v>
      </c>
      <c r="Q176" s="207">
        <f>SUMIFS('апрель 2023'!$G$4:$G$692,'апрель 2023'!$D$4:$D$692,$B176,'апрель 2023'!$J$4:$J$692,Q$1)</f>
        <v>0</v>
      </c>
      <c r="R176" s="207">
        <f>SUMIFS('апрель 2023'!$G$4:$G$692,'апрель 2023'!$D$4:$D$692,$B176,'апрель 2023'!$J$4:$J$692,R$1)</f>
        <v>0</v>
      </c>
      <c r="S176" s="207">
        <f>SUMIFS('апрель 2023'!$G$4:$G$692,'апрель 2023'!$D$4:$D$692,$B176,'апрель 2023'!$J$4:$J$692,S$1)</f>
        <v>0</v>
      </c>
      <c r="T176" s="207">
        <f>SUMIFS('апрель 2023'!$G$4:$G$692,'апрель 2023'!$D$4:$D$692,$B176,'апрель 2023'!$J$4:$J$692,T$1)</f>
        <v>0</v>
      </c>
      <c r="U176" s="207">
        <f>SUMIFS('апрель 2023'!$G$4:$G$692,'апрель 2023'!$D$4:$D$692,$B176,'апрель 2023'!$J$4:$J$692,U$1)</f>
        <v>0</v>
      </c>
      <c r="V176" s="207">
        <f>SUMIFS('апрель 2023'!$G$4:$G$692,'апрель 2023'!$D$4:$D$692,$B176,'апрель 2023'!$J$4:$J$692,V$1)</f>
        <v>0</v>
      </c>
      <c r="W176" s="207">
        <f>SUMIFS('апрель 2023'!$G$4:$G$692,'апрель 2023'!$D$4:$D$692,$B176,'апрель 2023'!$J$4:$J$692,W$1)</f>
        <v>0</v>
      </c>
      <c r="X176" s="207">
        <f>SUMIFS('апрель 2023'!$G$4:$G$692,'апрель 2023'!$D$4:$D$692,$B176,'апрель 2023'!$J$4:$J$692,X$1)</f>
        <v>0</v>
      </c>
      <c r="Y176" s="207">
        <f>SUMIFS('апрель 2023'!$G$4:$G$692,'апрель 2023'!$D$4:$D$692,$B176,'апрель 2023'!$J$4:$J$692,Y$1)</f>
        <v>0</v>
      </c>
      <c r="Z176" s="207">
        <f>SUMIFS('апрель 2023'!$G$4:$G$692,'апрель 2023'!$D$4:$D$692,$B176,'апрель 2023'!$J$4:$J$692,Z$1)</f>
        <v>0</v>
      </c>
      <c r="AA176" s="207">
        <f>SUMIFS('апрель 2023'!$G$4:$G$692,'апрель 2023'!$D$4:$D$692,$B176,'апрель 2023'!$J$4:$J$692,AA$1)</f>
        <v>0</v>
      </c>
      <c r="AB176" s="207">
        <f>SUMIFS('апрель 2023'!$G$4:$G$692,'апрель 2023'!$D$4:$D$692,$B176,'апрель 2023'!$J$4:$J$692,AB$1)</f>
        <v>0</v>
      </c>
      <c r="AC176" s="207">
        <f>SUMIFS('апрель 2023'!$G$4:$G$692,'апрель 2023'!$D$4:$D$692,$B176,'апрель 2023'!$J$4:$J$692,AC$1)</f>
        <v>0</v>
      </c>
      <c r="AD176" s="207">
        <f>SUMIFS('апрель 2023'!$G$4:$G$692,'апрель 2023'!$D$4:$D$692,$B176,'апрель 2023'!$J$4:$J$692,AD$1)</f>
        <v>0</v>
      </c>
      <c r="AE176" s="207">
        <f>SUMIFS('апрель 2023'!$G$4:$G$692,'апрель 2023'!$D$4:$D$692,$B176,'апрель 2023'!$J$4:$J$692,AE$1)</f>
        <v>0</v>
      </c>
      <c r="AF176" s="207">
        <f>SUMIFS('апрель 2023'!$G$4:$G$692,'апрель 2023'!$D$4:$D$692,$B176,'апрель 2023'!$J$4:$J$692,AF$1)</f>
        <v>0</v>
      </c>
      <c r="AG176" s="207">
        <f>SUMIFS('апрель 2023'!$G$4:$G$692,'апрель 2023'!$D$4:$D$692,$B176,'апрель 2023'!$J$4:$J$692,AG$1)</f>
        <v>0</v>
      </c>
      <c r="AH176" s="207">
        <f>SUMIFS('апрель 2023'!$G$4:$G$692,'апрель 2023'!$D$4:$D$692,$B176,'апрель 2023'!$J$4:$J$692,AH$1)</f>
        <v>0</v>
      </c>
      <c r="AI176" s="220">
        <f t="shared" si="4"/>
        <v>0</v>
      </c>
    </row>
    <row r="177" spans="2:35" ht="15.75" hidden="1" x14ac:dyDescent="0.25">
      <c r="B177" s="212"/>
      <c r="C177" s="211"/>
      <c r="D177" s="207">
        <f>SUMIFS('апрель 2023'!$G$4:$G$692,'апрель 2023'!$D$4:$D$692,$B177,'апрель 2023'!$J$4:$J$692,D$1)</f>
        <v>0</v>
      </c>
      <c r="E177" s="207">
        <f>SUMIFS('апрель 2023'!$G$4:$G$692,'апрель 2023'!$D$4:$D$692,$B177,'апрель 2023'!$J$4:$J$692,E$1)</f>
        <v>0</v>
      </c>
      <c r="F177" s="207">
        <f>SUMIFS('апрель 2023'!$G$4:$G$692,'апрель 2023'!$D$4:$D$692,$B177,'апрель 2023'!$J$4:$J$692,F$1)</f>
        <v>0</v>
      </c>
      <c r="G177" s="207">
        <f>SUMIFS('апрель 2023'!$G$4:$G$692,'апрель 2023'!$D$4:$D$692,$B177,'апрель 2023'!$J$4:$J$692,G$1)</f>
        <v>0</v>
      </c>
      <c r="H177" s="207">
        <f>SUMIFS('апрель 2023'!$G$4:$G$692,'апрель 2023'!$D$4:$D$692,$B177,'апрель 2023'!$J$4:$J$692,H$1)</f>
        <v>0</v>
      </c>
      <c r="I177" s="207">
        <f>SUMIFS('апрель 2023'!$G$4:$G$692,'апрель 2023'!$D$4:$D$692,$B177,'апрель 2023'!$J$4:$J$692,I$1)</f>
        <v>0</v>
      </c>
      <c r="J177" s="207">
        <f>SUMIFS('апрель 2023'!$G$4:$G$692,'апрель 2023'!$D$4:$D$692,$B177,'апрель 2023'!$J$4:$J$692,J$1)</f>
        <v>0</v>
      </c>
      <c r="K177" s="207">
        <f>SUMIFS('апрель 2023'!$G$4:$G$692,'апрель 2023'!$D$4:$D$692,$B177,'апрель 2023'!$J$4:$J$692,K$1)</f>
        <v>0</v>
      </c>
      <c r="L177" s="207">
        <f>SUMIFS('апрель 2023'!$G$4:$G$692,'апрель 2023'!$D$4:$D$692,$B177,'апрель 2023'!$J$4:$J$692,L$1)</f>
        <v>0</v>
      </c>
      <c r="M177" s="207">
        <f>SUMIFS('апрель 2023'!$G$4:$G$692,'апрель 2023'!$D$4:$D$692,$B177,'апрель 2023'!$J$4:$J$692,M$1)</f>
        <v>0</v>
      </c>
      <c r="N177" s="207">
        <f>SUMIFS('апрель 2023'!$G$4:$G$692,'апрель 2023'!$D$4:$D$692,$B177,'апрель 2023'!$J$4:$J$692,N$1)</f>
        <v>0</v>
      </c>
      <c r="O177" s="207">
        <f>SUMIFS('апрель 2023'!$G$4:$G$692,'апрель 2023'!$D$4:$D$692,$B177,'апрель 2023'!$J$4:$J$692,O$1)</f>
        <v>0</v>
      </c>
      <c r="P177" s="207">
        <f>SUMIFS('апрель 2023'!$G$4:$G$692,'апрель 2023'!$D$4:$D$692,$B177,'апрель 2023'!$J$4:$J$692,P$1)</f>
        <v>0</v>
      </c>
      <c r="Q177" s="207">
        <f>SUMIFS('апрель 2023'!$G$4:$G$692,'апрель 2023'!$D$4:$D$692,$B177,'апрель 2023'!$J$4:$J$692,Q$1)</f>
        <v>0</v>
      </c>
      <c r="R177" s="207">
        <f>SUMIFS('апрель 2023'!$G$4:$G$692,'апрель 2023'!$D$4:$D$692,$B177,'апрель 2023'!$J$4:$J$692,R$1)</f>
        <v>0</v>
      </c>
      <c r="S177" s="207">
        <f>SUMIFS('апрель 2023'!$G$4:$G$692,'апрель 2023'!$D$4:$D$692,$B177,'апрель 2023'!$J$4:$J$692,S$1)</f>
        <v>0</v>
      </c>
      <c r="T177" s="207">
        <f>SUMIFS('апрель 2023'!$G$4:$G$692,'апрель 2023'!$D$4:$D$692,$B177,'апрель 2023'!$J$4:$J$692,T$1)</f>
        <v>0</v>
      </c>
      <c r="U177" s="207">
        <f>SUMIFS('апрель 2023'!$G$4:$G$692,'апрель 2023'!$D$4:$D$692,$B177,'апрель 2023'!$J$4:$J$692,U$1)</f>
        <v>0</v>
      </c>
      <c r="V177" s="207">
        <f>SUMIFS('апрель 2023'!$G$4:$G$692,'апрель 2023'!$D$4:$D$692,$B177,'апрель 2023'!$J$4:$J$692,V$1)</f>
        <v>0</v>
      </c>
      <c r="W177" s="207">
        <f>SUMIFS('апрель 2023'!$G$4:$G$692,'апрель 2023'!$D$4:$D$692,$B177,'апрель 2023'!$J$4:$J$692,W$1)</f>
        <v>0</v>
      </c>
      <c r="X177" s="207">
        <f>SUMIFS('апрель 2023'!$G$4:$G$692,'апрель 2023'!$D$4:$D$692,$B177,'апрель 2023'!$J$4:$J$692,X$1)</f>
        <v>0</v>
      </c>
      <c r="Y177" s="207">
        <f>SUMIFS('апрель 2023'!$G$4:$G$692,'апрель 2023'!$D$4:$D$692,$B177,'апрель 2023'!$J$4:$J$692,Y$1)</f>
        <v>0</v>
      </c>
      <c r="Z177" s="207">
        <f>SUMIFS('апрель 2023'!$G$4:$G$692,'апрель 2023'!$D$4:$D$692,$B177,'апрель 2023'!$J$4:$J$692,Z$1)</f>
        <v>0</v>
      </c>
      <c r="AA177" s="207">
        <f>SUMIFS('апрель 2023'!$G$4:$G$692,'апрель 2023'!$D$4:$D$692,$B177,'апрель 2023'!$J$4:$J$692,AA$1)</f>
        <v>0</v>
      </c>
      <c r="AB177" s="207">
        <f>SUMIFS('апрель 2023'!$G$4:$G$692,'апрель 2023'!$D$4:$D$692,$B177,'апрель 2023'!$J$4:$J$692,AB$1)</f>
        <v>0</v>
      </c>
      <c r="AC177" s="207">
        <f>SUMIFS('апрель 2023'!$G$4:$G$692,'апрель 2023'!$D$4:$D$692,$B177,'апрель 2023'!$J$4:$J$692,AC$1)</f>
        <v>0</v>
      </c>
      <c r="AD177" s="207">
        <f>SUMIFS('апрель 2023'!$G$4:$G$692,'апрель 2023'!$D$4:$D$692,$B177,'апрель 2023'!$J$4:$J$692,AD$1)</f>
        <v>0</v>
      </c>
      <c r="AE177" s="207">
        <f>SUMIFS('апрель 2023'!$G$4:$G$692,'апрель 2023'!$D$4:$D$692,$B177,'апрель 2023'!$J$4:$J$692,AE$1)</f>
        <v>0</v>
      </c>
      <c r="AF177" s="207">
        <f>SUMIFS('апрель 2023'!$G$4:$G$692,'апрель 2023'!$D$4:$D$692,$B177,'апрель 2023'!$J$4:$J$692,AF$1)</f>
        <v>0</v>
      </c>
      <c r="AG177" s="207">
        <f>SUMIFS('апрель 2023'!$G$4:$G$692,'апрель 2023'!$D$4:$D$692,$B177,'апрель 2023'!$J$4:$J$692,AG$1)</f>
        <v>0</v>
      </c>
      <c r="AH177" s="207">
        <f>SUMIFS('апрель 2023'!$G$4:$G$692,'апрель 2023'!$D$4:$D$692,$B177,'апрель 2023'!$J$4:$J$692,AH$1)</f>
        <v>0</v>
      </c>
      <c r="AI177" s="220">
        <f t="shared" si="4"/>
        <v>0</v>
      </c>
    </row>
    <row r="178" spans="2:35" ht="15.75" hidden="1" x14ac:dyDescent="0.25">
      <c r="B178" s="212"/>
      <c r="C178" s="211"/>
      <c r="D178" s="207">
        <f>SUMIFS('апрель 2023'!$G$4:$G$692,'апрель 2023'!$D$4:$D$692,$B178,'апрель 2023'!$J$4:$J$692,D$1)</f>
        <v>0</v>
      </c>
      <c r="E178" s="207">
        <f>SUMIFS('апрель 2023'!$G$4:$G$692,'апрель 2023'!$D$4:$D$692,$B178,'апрель 2023'!$J$4:$J$692,E$1)</f>
        <v>0</v>
      </c>
      <c r="F178" s="207">
        <f>SUMIFS('апрель 2023'!$G$4:$G$692,'апрель 2023'!$D$4:$D$692,$B178,'апрель 2023'!$J$4:$J$692,F$1)</f>
        <v>0</v>
      </c>
      <c r="G178" s="207">
        <f>SUMIFS('апрель 2023'!$G$4:$G$692,'апрель 2023'!$D$4:$D$692,$B178,'апрель 2023'!$J$4:$J$692,G$1)</f>
        <v>0</v>
      </c>
      <c r="H178" s="207">
        <f>SUMIFS('апрель 2023'!$G$4:$G$692,'апрель 2023'!$D$4:$D$692,$B178,'апрель 2023'!$J$4:$J$692,H$1)</f>
        <v>0</v>
      </c>
      <c r="I178" s="207">
        <f>SUMIFS('апрель 2023'!$G$4:$G$692,'апрель 2023'!$D$4:$D$692,$B178,'апрель 2023'!$J$4:$J$692,I$1)</f>
        <v>0</v>
      </c>
      <c r="J178" s="207">
        <f>SUMIFS('апрель 2023'!$G$4:$G$692,'апрель 2023'!$D$4:$D$692,$B178,'апрель 2023'!$J$4:$J$692,J$1)</f>
        <v>0</v>
      </c>
      <c r="K178" s="207">
        <f>SUMIFS('апрель 2023'!$G$4:$G$692,'апрель 2023'!$D$4:$D$692,$B178,'апрель 2023'!$J$4:$J$692,K$1)</f>
        <v>0</v>
      </c>
      <c r="L178" s="207">
        <f>SUMIFS('апрель 2023'!$G$4:$G$692,'апрель 2023'!$D$4:$D$692,$B178,'апрель 2023'!$J$4:$J$692,L$1)</f>
        <v>0</v>
      </c>
      <c r="M178" s="207">
        <f>SUMIFS('апрель 2023'!$G$4:$G$692,'апрель 2023'!$D$4:$D$692,$B178,'апрель 2023'!$J$4:$J$692,M$1)</f>
        <v>0</v>
      </c>
      <c r="N178" s="207">
        <f>SUMIFS('апрель 2023'!$G$4:$G$692,'апрель 2023'!$D$4:$D$692,$B178,'апрель 2023'!$J$4:$J$692,N$1)</f>
        <v>0</v>
      </c>
      <c r="O178" s="207">
        <f>SUMIFS('апрель 2023'!$G$4:$G$692,'апрель 2023'!$D$4:$D$692,$B178,'апрель 2023'!$J$4:$J$692,O$1)</f>
        <v>0</v>
      </c>
      <c r="P178" s="207">
        <f>SUMIFS('апрель 2023'!$G$4:$G$692,'апрель 2023'!$D$4:$D$692,$B178,'апрель 2023'!$J$4:$J$692,P$1)</f>
        <v>0</v>
      </c>
      <c r="Q178" s="207">
        <f>SUMIFS('апрель 2023'!$G$4:$G$692,'апрель 2023'!$D$4:$D$692,$B178,'апрель 2023'!$J$4:$J$692,Q$1)</f>
        <v>0</v>
      </c>
      <c r="R178" s="207">
        <f>SUMIFS('апрель 2023'!$G$4:$G$692,'апрель 2023'!$D$4:$D$692,$B178,'апрель 2023'!$J$4:$J$692,R$1)</f>
        <v>0</v>
      </c>
      <c r="S178" s="207">
        <f>SUMIFS('апрель 2023'!$G$4:$G$692,'апрель 2023'!$D$4:$D$692,$B178,'апрель 2023'!$J$4:$J$692,S$1)</f>
        <v>0</v>
      </c>
      <c r="T178" s="207">
        <f>SUMIFS('апрель 2023'!$G$4:$G$692,'апрель 2023'!$D$4:$D$692,$B178,'апрель 2023'!$J$4:$J$692,T$1)</f>
        <v>0</v>
      </c>
      <c r="U178" s="207">
        <f>SUMIFS('апрель 2023'!$G$4:$G$692,'апрель 2023'!$D$4:$D$692,$B178,'апрель 2023'!$J$4:$J$692,U$1)</f>
        <v>0</v>
      </c>
      <c r="V178" s="207">
        <f>SUMIFS('апрель 2023'!$G$4:$G$692,'апрель 2023'!$D$4:$D$692,$B178,'апрель 2023'!$J$4:$J$692,V$1)</f>
        <v>0</v>
      </c>
      <c r="W178" s="207">
        <f>SUMIFS('апрель 2023'!$G$4:$G$692,'апрель 2023'!$D$4:$D$692,$B178,'апрель 2023'!$J$4:$J$692,W$1)</f>
        <v>0</v>
      </c>
      <c r="X178" s="207">
        <f>SUMIFS('апрель 2023'!$G$4:$G$692,'апрель 2023'!$D$4:$D$692,$B178,'апрель 2023'!$J$4:$J$692,X$1)</f>
        <v>0</v>
      </c>
      <c r="Y178" s="207">
        <f>SUMIFS('апрель 2023'!$G$4:$G$692,'апрель 2023'!$D$4:$D$692,$B178,'апрель 2023'!$J$4:$J$692,Y$1)</f>
        <v>0</v>
      </c>
      <c r="Z178" s="207">
        <f>SUMIFS('апрель 2023'!$G$4:$G$692,'апрель 2023'!$D$4:$D$692,$B178,'апрель 2023'!$J$4:$J$692,Z$1)</f>
        <v>0</v>
      </c>
      <c r="AA178" s="207">
        <f>SUMIFS('апрель 2023'!$G$4:$G$692,'апрель 2023'!$D$4:$D$692,$B178,'апрель 2023'!$J$4:$J$692,AA$1)</f>
        <v>0</v>
      </c>
      <c r="AB178" s="207">
        <f>SUMIFS('апрель 2023'!$G$4:$G$692,'апрель 2023'!$D$4:$D$692,$B178,'апрель 2023'!$J$4:$J$692,AB$1)</f>
        <v>0</v>
      </c>
      <c r="AC178" s="207">
        <f>SUMIFS('апрель 2023'!$G$4:$G$692,'апрель 2023'!$D$4:$D$692,$B178,'апрель 2023'!$J$4:$J$692,AC$1)</f>
        <v>0</v>
      </c>
      <c r="AD178" s="207">
        <f>SUMIFS('апрель 2023'!$G$4:$G$692,'апрель 2023'!$D$4:$D$692,$B178,'апрель 2023'!$J$4:$J$692,AD$1)</f>
        <v>0</v>
      </c>
      <c r="AE178" s="207">
        <f>SUMIFS('апрель 2023'!$G$4:$G$692,'апрель 2023'!$D$4:$D$692,$B178,'апрель 2023'!$J$4:$J$692,AE$1)</f>
        <v>0</v>
      </c>
      <c r="AF178" s="207">
        <f>SUMIFS('апрель 2023'!$G$4:$G$692,'апрель 2023'!$D$4:$D$692,$B178,'апрель 2023'!$J$4:$J$692,AF$1)</f>
        <v>0</v>
      </c>
      <c r="AG178" s="207">
        <f>SUMIFS('апрель 2023'!$G$4:$G$692,'апрель 2023'!$D$4:$D$692,$B178,'апрель 2023'!$J$4:$J$692,AG$1)</f>
        <v>0</v>
      </c>
      <c r="AH178" s="207">
        <f>SUMIFS('апрель 2023'!$G$4:$G$692,'апрель 2023'!$D$4:$D$692,$B178,'апрель 2023'!$J$4:$J$692,AH$1)</f>
        <v>0</v>
      </c>
      <c r="AI178" s="220">
        <f t="shared" si="4"/>
        <v>0</v>
      </c>
    </row>
    <row r="179" spans="2:35" ht="15.75" hidden="1" x14ac:dyDescent="0.25">
      <c r="B179" s="212"/>
      <c r="C179" s="211"/>
      <c r="D179" s="207">
        <f>SUMIFS('апрель 2023'!$G$4:$G$692,'апрель 2023'!$D$4:$D$692,$B179,'апрель 2023'!$J$4:$J$692,D$1)</f>
        <v>0</v>
      </c>
      <c r="E179" s="207">
        <f>SUMIFS('апрель 2023'!$G$4:$G$692,'апрель 2023'!$D$4:$D$692,$B179,'апрель 2023'!$J$4:$J$692,E$1)</f>
        <v>0</v>
      </c>
      <c r="F179" s="207">
        <f>SUMIFS('апрель 2023'!$G$4:$G$692,'апрель 2023'!$D$4:$D$692,$B179,'апрель 2023'!$J$4:$J$692,F$1)</f>
        <v>0</v>
      </c>
      <c r="G179" s="207">
        <f>SUMIFS('апрель 2023'!$G$4:$G$692,'апрель 2023'!$D$4:$D$692,$B179,'апрель 2023'!$J$4:$J$692,G$1)</f>
        <v>0</v>
      </c>
      <c r="H179" s="207">
        <f>SUMIFS('апрель 2023'!$G$4:$G$692,'апрель 2023'!$D$4:$D$692,$B179,'апрель 2023'!$J$4:$J$692,H$1)</f>
        <v>0</v>
      </c>
      <c r="I179" s="207">
        <f>SUMIFS('апрель 2023'!$G$4:$G$692,'апрель 2023'!$D$4:$D$692,$B179,'апрель 2023'!$J$4:$J$692,I$1)</f>
        <v>0</v>
      </c>
      <c r="J179" s="207">
        <f>SUMIFS('апрель 2023'!$G$4:$G$692,'апрель 2023'!$D$4:$D$692,$B179,'апрель 2023'!$J$4:$J$692,J$1)</f>
        <v>0</v>
      </c>
      <c r="K179" s="207">
        <f>SUMIFS('апрель 2023'!$G$4:$G$692,'апрель 2023'!$D$4:$D$692,$B179,'апрель 2023'!$J$4:$J$692,K$1)</f>
        <v>0</v>
      </c>
      <c r="L179" s="207">
        <f>SUMIFS('апрель 2023'!$G$4:$G$692,'апрель 2023'!$D$4:$D$692,$B179,'апрель 2023'!$J$4:$J$692,L$1)</f>
        <v>0</v>
      </c>
      <c r="M179" s="207">
        <f>SUMIFS('апрель 2023'!$G$4:$G$692,'апрель 2023'!$D$4:$D$692,$B179,'апрель 2023'!$J$4:$J$692,M$1)</f>
        <v>0</v>
      </c>
      <c r="N179" s="207">
        <f>SUMIFS('апрель 2023'!$G$4:$G$692,'апрель 2023'!$D$4:$D$692,$B179,'апрель 2023'!$J$4:$J$692,N$1)</f>
        <v>0</v>
      </c>
      <c r="O179" s="207">
        <f>SUMIFS('апрель 2023'!$G$4:$G$692,'апрель 2023'!$D$4:$D$692,$B179,'апрель 2023'!$J$4:$J$692,O$1)</f>
        <v>0</v>
      </c>
      <c r="P179" s="207">
        <f>SUMIFS('апрель 2023'!$G$4:$G$692,'апрель 2023'!$D$4:$D$692,$B179,'апрель 2023'!$J$4:$J$692,P$1)</f>
        <v>0</v>
      </c>
      <c r="Q179" s="207">
        <f>SUMIFS('апрель 2023'!$G$4:$G$692,'апрель 2023'!$D$4:$D$692,$B179,'апрель 2023'!$J$4:$J$692,Q$1)</f>
        <v>0</v>
      </c>
      <c r="R179" s="207">
        <f>SUMIFS('апрель 2023'!$G$4:$G$692,'апрель 2023'!$D$4:$D$692,$B179,'апрель 2023'!$J$4:$J$692,R$1)</f>
        <v>0</v>
      </c>
      <c r="S179" s="207">
        <f>SUMIFS('апрель 2023'!$G$4:$G$692,'апрель 2023'!$D$4:$D$692,$B179,'апрель 2023'!$J$4:$J$692,S$1)</f>
        <v>0</v>
      </c>
      <c r="T179" s="207">
        <f>SUMIFS('апрель 2023'!$G$4:$G$692,'апрель 2023'!$D$4:$D$692,$B179,'апрель 2023'!$J$4:$J$692,T$1)</f>
        <v>0</v>
      </c>
      <c r="U179" s="207">
        <f>SUMIFS('апрель 2023'!$G$4:$G$692,'апрель 2023'!$D$4:$D$692,$B179,'апрель 2023'!$J$4:$J$692,U$1)</f>
        <v>0</v>
      </c>
      <c r="V179" s="207">
        <f>SUMIFS('апрель 2023'!$G$4:$G$692,'апрель 2023'!$D$4:$D$692,$B179,'апрель 2023'!$J$4:$J$692,V$1)</f>
        <v>0</v>
      </c>
      <c r="W179" s="207">
        <f>SUMIFS('апрель 2023'!$G$4:$G$692,'апрель 2023'!$D$4:$D$692,$B179,'апрель 2023'!$J$4:$J$692,W$1)</f>
        <v>0</v>
      </c>
      <c r="X179" s="207">
        <f>SUMIFS('апрель 2023'!$G$4:$G$692,'апрель 2023'!$D$4:$D$692,$B179,'апрель 2023'!$J$4:$J$692,X$1)</f>
        <v>0</v>
      </c>
      <c r="Y179" s="207">
        <f>SUMIFS('апрель 2023'!$G$4:$G$692,'апрель 2023'!$D$4:$D$692,$B179,'апрель 2023'!$J$4:$J$692,Y$1)</f>
        <v>0</v>
      </c>
      <c r="Z179" s="207">
        <f>SUMIFS('апрель 2023'!$G$4:$G$692,'апрель 2023'!$D$4:$D$692,$B179,'апрель 2023'!$J$4:$J$692,Z$1)</f>
        <v>0</v>
      </c>
      <c r="AA179" s="207">
        <f>SUMIFS('апрель 2023'!$G$4:$G$692,'апрель 2023'!$D$4:$D$692,$B179,'апрель 2023'!$J$4:$J$692,AA$1)</f>
        <v>0</v>
      </c>
      <c r="AB179" s="207">
        <f>SUMIFS('апрель 2023'!$G$4:$G$692,'апрель 2023'!$D$4:$D$692,$B179,'апрель 2023'!$J$4:$J$692,AB$1)</f>
        <v>0</v>
      </c>
      <c r="AC179" s="207">
        <f>SUMIFS('апрель 2023'!$G$4:$G$692,'апрель 2023'!$D$4:$D$692,$B179,'апрель 2023'!$J$4:$J$692,AC$1)</f>
        <v>0</v>
      </c>
      <c r="AD179" s="207">
        <f>SUMIFS('апрель 2023'!$G$4:$G$692,'апрель 2023'!$D$4:$D$692,$B179,'апрель 2023'!$J$4:$J$692,AD$1)</f>
        <v>0</v>
      </c>
      <c r="AE179" s="207">
        <f>SUMIFS('апрель 2023'!$G$4:$G$692,'апрель 2023'!$D$4:$D$692,$B179,'апрель 2023'!$J$4:$J$692,AE$1)</f>
        <v>0</v>
      </c>
      <c r="AF179" s="207">
        <f>SUMIFS('апрель 2023'!$G$4:$G$692,'апрель 2023'!$D$4:$D$692,$B179,'апрель 2023'!$J$4:$J$692,AF$1)</f>
        <v>0</v>
      </c>
      <c r="AG179" s="207">
        <f>SUMIFS('апрель 2023'!$G$4:$G$692,'апрель 2023'!$D$4:$D$692,$B179,'апрель 2023'!$J$4:$J$692,AG$1)</f>
        <v>0</v>
      </c>
      <c r="AH179" s="207">
        <f>SUMIFS('апрель 2023'!$G$4:$G$692,'апрель 2023'!$D$4:$D$692,$B179,'апрель 2023'!$J$4:$J$692,AH$1)</f>
        <v>0</v>
      </c>
      <c r="AI179" s="220">
        <f t="shared" si="4"/>
        <v>0</v>
      </c>
    </row>
    <row r="180" spans="2:35" ht="15.75" hidden="1" x14ac:dyDescent="0.25">
      <c r="B180" s="212"/>
      <c r="C180" s="211"/>
      <c r="D180" s="207">
        <f>SUMIFS('апрель 2023'!$G$4:$G$692,'апрель 2023'!$D$4:$D$692,$B180,'апрель 2023'!$J$4:$J$692,D$1)</f>
        <v>0</v>
      </c>
      <c r="E180" s="207">
        <f>SUMIFS('апрель 2023'!$G$4:$G$692,'апрель 2023'!$D$4:$D$692,$B180,'апрель 2023'!$J$4:$J$692,E$1)</f>
        <v>0</v>
      </c>
      <c r="F180" s="207">
        <f>SUMIFS('апрель 2023'!$G$4:$G$692,'апрель 2023'!$D$4:$D$692,$B180,'апрель 2023'!$J$4:$J$692,F$1)</f>
        <v>0</v>
      </c>
      <c r="G180" s="207">
        <f>SUMIFS('апрель 2023'!$G$4:$G$692,'апрель 2023'!$D$4:$D$692,$B180,'апрель 2023'!$J$4:$J$692,G$1)</f>
        <v>0</v>
      </c>
      <c r="H180" s="207">
        <f>SUMIFS('апрель 2023'!$G$4:$G$692,'апрель 2023'!$D$4:$D$692,$B180,'апрель 2023'!$J$4:$J$692,H$1)</f>
        <v>0</v>
      </c>
      <c r="I180" s="207">
        <f>SUMIFS('апрель 2023'!$G$4:$G$692,'апрель 2023'!$D$4:$D$692,$B180,'апрель 2023'!$J$4:$J$692,I$1)</f>
        <v>0</v>
      </c>
      <c r="J180" s="207">
        <f>SUMIFS('апрель 2023'!$G$4:$G$692,'апрель 2023'!$D$4:$D$692,$B180,'апрель 2023'!$J$4:$J$692,J$1)</f>
        <v>0</v>
      </c>
      <c r="K180" s="207">
        <f>SUMIFS('апрель 2023'!$G$4:$G$692,'апрель 2023'!$D$4:$D$692,$B180,'апрель 2023'!$J$4:$J$692,K$1)</f>
        <v>0</v>
      </c>
      <c r="L180" s="207">
        <f>SUMIFS('апрель 2023'!$G$4:$G$692,'апрель 2023'!$D$4:$D$692,$B180,'апрель 2023'!$J$4:$J$692,L$1)</f>
        <v>0</v>
      </c>
      <c r="M180" s="207">
        <f>SUMIFS('апрель 2023'!$G$4:$G$692,'апрель 2023'!$D$4:$D$692,$B180,'апрель 2023'!$J$4:$J$692,M$1)</f>
        <v>0</v>
      </c>
      <c r="N180" s="207">
        <f>SUMIFS('апрель 2023'!$G$4:$G$692,'апрель 2023'!$D$4:$D$692,$B180,'апрель 2023'!$J$4:$J$692,N$1)</f>
        <v>0</v>
      </c>
      <c r="O180" s="207">
        <f>SUMIFS('апрель 2023'!$G$4:$G$692,'апрель 2023'!$D$4:$D$692,$B180,'апрель 2023'!$J$4:$J$692,O$1)</f>
        <v>0</v>
      </c>
      <c r="P180" s="207">
        <f>SUMIFS('апрель 2023'!$G$4:$G$692,'апрель 2023'!$D$4:$D$692,$B180,'апрель 2023'!$J$4:$J$692,P$1)</f>
        <v>0</v>
      </c>
      <c r="Q180" s="207">
        <f>SUMIFS('апрель 2023'!$G$4:$G$692,'апрель 2023'!$D$4:$D$692,$B180,'апрель 2023'!$J$4:$J$692,Q$1)</f>
        <v>0</v>
      </c>
      <c r="R180" s="207">
        <f>SUMIFS('апрель 2023'!$G$4:$G$692,'апрель 2023'!$D$4:$D$692,$B180,'апрель 2023'!$J$4:$J$692,R$1)</f>
        <v>0</v>
      </c>
      <c r="S180" s="207">
        <f>SUMIFS('апрель 2023'!$G$4:$G$692,'апрель 2023'!$D$4:$D$692,$B180,'апрель 2023'!$J$4:$J$692,S$1)</f>
        <v>0</v>
      </c>
      <c r="T180" s="207">
        <f>SUMIFS('апрель 2023'!$G$4:$G$692,'апрель 2023'!$D$4:$D$692,$B180,'апрель 2023'!$J$4:$J$692,T$1)</f>
        <v>0</v>
      </c>
      <c r="U180" s="207">
        <f>SUMIFS('апрель 2023'!$G$4:$G$692,'апрель 2023'!$D$4:$D$692,$B180,'апрель 2023'!$J$4:$J$692,U$1)</f>
        <v>0</v>
      </c>
      <c r="V180" s="207">
        <f>SUMIFS('апрель 2023'!$G$4:$G$692,'апрель 2023'!$D$4:$D$692,$B180,'апрель 2023'!$J$4:$J$692,V$1)</f>
        <v>0</v>
      </c>
      <c r="W180" s="207">
        <f>SUMIFS('апрель 2023'!$G$4:$G$692,'апрель 2023'!$D$4:$D$692,$B180,'апрель 2023'!$J$4:$J$692,W$1)</f>
        <v>0</v>
      </c>
      <c r="X180" s="207">
        <f>SUMIFS('апрель 2023'!$G$4:$G$692,'апрель 2023'!$D$4:$D$692,$B180,'апрель 2023'!$J$4:$J$692,X$1)</f>
        <v>0</v>
      </c>
      <c r="Y180" s="207">
        <f>SUMIFS('апрель 2023'!$G$4:$G$692,'апрель 2023'!$D$4:$D$692,$B180,'апрель 2023'!$J$4:$J$692,Y$1)</f>
        <v>0</v>
      </c>
      <c r="Z180" s="207">
        <f>SUMIFS('апрель 2023'!$G$4:$G$692,'апрель 2023'!$D$4:$D$692,$B180,'апрель 2023'!$J$4:$J$692,Z$1)</f>
        <v>0</v>
      </c>
      <c r="AA180" s="207">
        <f>SUMIFS('апрель 2023'!$G$4:$G$692,'апрель 2023'!$D$4:$D$692,$B180,'апрель 2023'!$J$4:$J$692,AA$1)</f>
        <v>0</v>
      </c>
      <c r="AB180" s="207">
        <f>SUMIFS('апрель 2023'!$G$4:$G$692,'апрель 2023'!$D$4:$D$692,$B180,'апрель 2023'!$J$4:$J$692,AB$1)</f>
        <v>0</v>
      </c>
      <c r="AC180" s="207">
        <f>SUMIFS('апрель 2023'!$G$4:$G$692,'апрель 2023'!$D$4:$D$692,$B180,'апрель 2023'!$J$4:$J$692,AC$1)</f>
        <v>0</v>
      </c>
      <c r="AD180" s="207">
        <f>SUMIFS('апрель 2023'!$G$4:$G$692,'апрель 2023'!$D$4:$D$692,$B180,'апрель 2023'!$J$4:$J$692,AD$1)</f>
        <v>0</v>
      </c>
      <c r="AE180" s="207">
        <f>SUMIFS('апрель 2023'!$G$4:$G$692,'апрель 2023'!$D$4:$D$692,$B180,'апрель 2023'!$J$4:$J$692,AE$1)</f>
        <v>0</v>
      </c>
      <c r="AF180" s="207">
        <f>SUMIFS('апрель 2023'!$G$4:$G$692,'апрель 2023'!$D$4:$D$692,$B180,'апрель 2023'!$J$4:$J$692,AF$1)</f>
        <v>0</v>
      </c>
      <c r="AG180" s="207">
        <f>SUMIFS('апрель 2023'!$G$4:$G$692,'апрель 2023'!$D$4:$D$692,$B180,'апрель 2023'!$J$4:$J$692,AG$1)</f>
        <v>0</v>
      </c>
      <c r="AH180" s="207">
        <f>SUMIFS('апрель 2023'!$G$4:$G$692,'апрель 2023'!$D$4:$D$692,$B180,'апрель 2023'!$J$4:$J$692,AH$1)</f>
        <v>0</v>
      </c>
      <c r="AI180" s="220">
        <f t="shared" si="4"/>
        <v>0</v>
      </c>
    </row>
    <row r="181" spans="2:35" ht="15.75" hidden="1" x14ac:dyDescent="0.25">
      <c r="B181" s="212"/>
      <c r="C181" s="211"/>
      <c r="D181" s="207">
        <f>SUMIFS('апрель 2023'!$G$4:$G$692,'апрель 2023'!$D$4:$D$692,$B181,'апрель 2023'!$J$4:$J$692,D$1)</f>
        <v>0</v>
      </c>
      <c r="E181" s="207">
        <f>SUMIFS('апрель 2023'!$G$4:$G$692,'апрель 2023'!$D$4:$D$692,$B181,'апрель 2023'!$J$4:$J$692,E$1)</f>
        <v>0</v>
      </c>
      <c r="F181" s="207">
        <f>SUMIFS('апрель 2023'!$G$4:$G$692,'апрель 2023'!$D$4:$D$692,$B181,'апрель 2023'!$J$4:$J$692,F$1)</f>
        <v>0</v>
      </c>
      <c r="G181" s="207">
        <f>SUMIFS('апрель 2023'!$G$4:$G$692,'апрель 2023'!$D$4:$D$692,$B181,'апрель 2023'!$J$4:$J$692,G$1)</f>
        <v>0</v>
      </c>
      <c r="H181" s="207">
        <f>SUMIFS('апрель 2023'!$G$4:$G$692,'апрель 2023'!$D$4:$D$692,$B181,'апрель 2023'!$J$4:$J$692,H$1)</f>
        <v>0</v>
      </c>
      <c r="I181" s="207">
        <f>SUMIFS('апрель 2023'!$G$4:$G$692,'апрель 2023'!$D$4:$D$692,$B181,'апрель 2023'!$J$4:$J$692,I$1)</f>
        <v>0</v>
      </c>
      <c r="J181" s="207">
        <f>SUMIFS('апрель 2023'!$G$4:$G$692,'апрель 2023'!$D$4:$D$692,$B181,'апрель 2023'!$J$4:$J$692,J$1)</f>
        <v>0</v>
      </c>
      <c r="K181" s="207">
        <f>SUMIFS('апрель 2023'!$G$4:$G$692,'апрель 2023'!$D$4:$D$692,$B181,'апрель 2023'!$J$4:$J$692,K$1)</f>
        <v>0</v>
      </c>
      <c r="L181" s="207">
        <f>SUMIFS('апрель 2023'!$G$4:$G$692,'апрель 2023'!$D$4:$D$692,$B181,'апрель 2023'!$J$4:$J$692,L$1)</f>
        <v>0</v>
      </c>
      <c r="M181" s="207">
        <f>SUMIFS('апрель 2023'!$G$4:$G$692,'апрель 2023'!$D$4:$D$692,$B181,'апрель 2023'!$J$4:$J$692,M$1)</f>
        <v>0</v>
      </c>
      <c r="N181" s="207">
        <f>SUMIFS('апрель 2023'!$G$4:$G$692,'апрель 2023'!$D$4:$D$692,$B181,'апрель 2023'!$J$4:$J$692,N$1)</f>
        <v>0</v>
      </c>
      <c r="O181" s="207">
        <f>SUMIFS('апрель 2023'!$G$4:$G$692,'апрель 2023'!$D$4:$D$692,$B181,'апрель 2023'!$J$4:$J$692,O$1)</f>
        <v>0</v>
      </c>
      <c r="P181" s="207">
        <f>SUMIFS('апрель 2023'!$G$4:$G$692,'апрель 2023'!$D$4:$D$692,$B181,'апрель 2023'!$J$4:$J$692,P$1)</f>
        <v>0</v>
      </c>
      <c r="Q181" s="207">
        <f>SUMIFS('апрель 2023'!$G$4:$G$692,'апрель 2023'!$D$4:$D$692,$B181,'апрель 2023'!$J$4:$J$692,Q$1)</f>
        <v>0</v>
      </c>
      <c r="R181" s="207">
        <f>SUMIFS('апрель 2023'!$G$4:$G$692,'апрель 2023'!$D$4:$D$692,$B181,'апрель 2023'!$J$4:$J$692,R$1)</f>
        <v>0</v>
      </c>
      <c r="S181" s="207">
        <f>SUMIFS('апрель 2023'!$G$4:$G$692,'апрель 2023'!$D$4:$D$692,$B181,'апрель 2023'!$J$4:$J$692,S$1)</f>
        <v>0</v>
      </c>
      <c r="T181" s="207">
        <f>SUMIFS('апрель 2023'!$G$4:$G$692,'апрель 2023'!$D$4:$D$692,$B181,'апрель 2023'!$J$4:$J$692,T$1)</f>
        <v>0</v>
      </c>
      <c r="U181" s="207">
        <f>SUMIFS('апрель 2023'!$G$4:$G$692,'апрель 2023'!$D$4:$D$692,$B181,'апрель 2023'!$J$4:$J$692,U$1)</f>
        <v>0</v>
      </c>
      <c r="V181" s="207">
        <f>SUMIFS('апрель 2023'!$G$4:$G$692,'апрель 2023'!$D$4:$D$692,$B181,'апрель 2023'!$J$4:$J$692,V$1)</f>
        <v>0</v>
      </c>
      <c r="W181" s="207">
        <f>SUMIFS('апрель 2023'!$G$4:$G$692,'апрель 2023'!$D$4:$D$692,$B181,'апрель 2023'!$J$4:$J$692,W$1)</f>
        <v>0</v>
      </c>
      <c r="X181" s="207">
        <f>SUMIFS('апрель 2023'!$G$4:$G$692,'апрель 2023'!$D$4:$D$692,$B181,'апрель 2023'!$J$4:$J$692,X$1)</f>
        <v>0</v>
      </c>
      <c r="Y181" s="207">
        <f>SUMIFS('апрель 2023'!$G$4:$G$692,'апрель 2023'!$D$4:$D$692,$B181,'апрель 2023'!$J$4:$J$692,Y$1)</f>
        <v>0</v>
      </c>
      <c r="Z181" s="207">
        <f>SUMIFS('апрель 2023'!$G$4:$G$692,'апрель 2023'!$D$4:$D$692,$B181,'апрель 2023'!$J$4:$J$692,Z$1)</f>
        <v>0</v>
      </c>
      <c r="AA181" s="207">
        <f>SUMIFS('апрель 2023'!$G$4:$G$692,'апрель 2023'!$D$4:$D$692,$B181,'апрель 2023'!$J$4:$J$692,AA$1)</f>
        <v>0</v>
      </c>
      <c r="AB181" s="207">
        <f>SUMIFS('апрель 2023'!$G$4:$G$692,'апрель 2023'!$D$4:$D$692,$B181,'апрель 2023'!$J$4:$J$692,AB$1)</f>
        <v>0</v>
      </c>
      <c r="AC181" s="207">
        <f>SUMIFS('апрель 2023'!$G$4:$G$692,'апрель 2023'!$D$4:$D$692,$B181,'апрель 2023'!$J$4:$J$692,AC$1)</f>
        <v>0</v>
      </c>
      <c r="AD181" s="207">
        <f>SUMIFS('апрель 2023'!$G$4:$G$692,'апрель 2023'!$D$4:$D$692,$B181,'апрель 2023'!$J$4:$J$692,AD$1)</f>
        <v>0</v>
      </c>
      <c r="AE181" s="207">
        <f>SUMIFS('апрель 2023'!$G$4:$G$692,'апрель 2023'!$D$4:$D$692,$B181,'апрель 2023'!$J$4:$J$692,AE$1)</f>
        <v>0</v>
      </c>
      <c r="AF181" s="207">
        <f>SUMIFS('апрель 2023'!$G$4:$G$692,'апрель 2023'!$D$4:$D$692,$B181,'апрель 2023'!$J$4:$J$692,AF$1)</f>
        <v>0</v>
      </c>
      <c r="AG181" s="207">
        <f>SUMIFS('апрель 2023'!$G$4:$G$692,'апрель 2023'!$D$4:$D$692,$B181,'апрель 2023'!$J$4:$J$692,AG$1)</f>
        <v>0</v>
      </c>
      <c r="AH181" s="207">
        <f>SUMIFS('апрель 2023'!$G$4:$G$692,'апрель 2023'!$D$4:$D$692,$B181,'апрель 2023'!$J$4:$J$692,AH$1)</f>
        <v>0</v>
      </c>
      <c r="AI181" s="220">
        <f t="shared" si="4"/>
        <v>0</v>
      </c>
    </row>
    <row r="182" spans="2:35" ht="15.75" hidden="1" x14ac:dyDescent="0.25">
      <c r="B182" s="212"/>
      <c r="C182" s="211"/>
      <c r="D182" s="207">
        <f>SUMIFS('апрель 2023'!$G$4:$G$692,'апрель 2023'!$D$4:$D$692,$B182,'апрель 2023'!$J$4:$J$692,D$1)</f>
        <v>0</v>
      </c>
      <c r="E182" s="207">
        <f>SUMIFS('апрель 2023'!$G$4:$G$692,'апрель 2023'!$D$4:$D$692,$B182,'апрель 2023'!$J$4:$J$692,E$1)</f>
        <v>0</v>
      </c>
      <c r="F182" s="207">
        <f>SUMIFS('апрель 2023'!$G$4:$G$692,'апрель 2023'!$D$4:$D$692,$B182,'апрель 2023'!$J$4:$J$692,F$1)</f>
        <v>0</v>
      </c>
      <c r="G182" s="207">
        <f>SUMIFS('апрель 2023'!$G$4:$G$692,'апрель 2023'!$D$4:$D$692,$B182,'апрель 2023'!$J$4:$J$692,G$1)</f>
        <v>0</v>
      </c>
      <c r="H182" s="207">
        <f>SUMIFS('апрель 2023'!$G$4:$G$692,'апрель 2023'!$D$4:$D$692,$B182,'апрель 2023'!$J$4:$J$692,H$1)</f>
        <v>0</v>
      </c>
      <c r="I182" s="207">
        <f>SUMIFS('апрель 2023'!$G$4:$G$692,'апрель 2023'!$D$4:$D$692,$B182,'апрель 2023'!$J$4:$J$692,I$1)</f>
        <v>0</v>
      </c>
      <c r="J182" s="207">
        <f>SUMIFS('апрель 2023'!$G$4:$G$692,'апрель 2023'!$D$4:$D$692,$B182,'апрель 2023'!$J$4:$J$692,J$1)</f>
        <v>0</v>
      </c>
      <c r="K182" s="207">
        <f>SUMIFS('апрель 2023'!$G$4:$G$692,'апрель 2023'!$D$4:$D$692,$B182,'апрель 2023'!$J$4:$J$692,K$1)</f>
        <v>0</v>
      </c>
      <c r="L182" s="207">
        <f>SUMIFS('апрель 2023'!$G$4:$G$692,'апрель 2023'!$D$4:$D$692,$B182,'апрель 2023'!$J$4:$J$692,L$1)</f>
        <v>0</v>
      </c>
      <c r="M182" s="207">
        <f>SUMIFS('апрель 2023'!$G$4:$G$692,'апрель 2023'!$D$4:$D$692,$B182,'апрель 2023'!$J$4:$J$692,M$1)</f>
        <v>0</v>
      </c>
      <c r="N182" s="207">
        <f>SUMIFS('апрель 2023'!$G$4:$G$692,'апрель 2023'!$D$4:$D$692,$B182,'апрель 2023'!$J$4:$J$692,N$1)</f>
        <v>0</v>
      </c>
      <c r="O182" s="207">
        <f>SUMIFS('апрель 2023'!$G$4:$G$692,'апрель 2023'!$D$4:$D$692,$B182,'апрель 2023'!$J$4:$J$692,O$1)</f>
        <v>0</v>
      </c>
      <c r="P182" s="207">
        <f>SUMIFS('апрель 2023'!$G$4:$G$692,'апрель 2023'!$D$4:$D$692,$B182,'апрель 2023'!$J$4:$J$692,P$1)</f>
        <v>0</v>
      </c>
      <c r="Q182" s="207">
        <f>SUMIFS('апрель 2023'!$G$4:$G$692,'апрель 2023'!$D$4:$D$692,$B182,'апрель 2023'!$J$4:$J$692,Q$1)</f>
        <v>0</v>
      </c>
      <c r="R182" s="207">
        <f>SUMIFS('апрель 2023'!$G$4:$G$692,'апрель 2023'!$D$4:$D$692,$B182,'апрель 2023'!$J$4:$J$692,R$1)</f>
        <v>0</v>
      </c>
      <c r="S182" s="207">
        <f>SUMIFS('апрель 2023'!$G$4:$G$692,'апрель 2023'!$D$4:$D$692,$B182,'апрель 2023'!$J$4:$J$692,S$1)</f>
        <v>0</v>
      </c>
      <c r="T182" s="207">
        <f>SUMIFS('апрель 2023'!$G$4:$G$692,'апрель 2023'!$D$4:$D$692,$B182,'апрель 2023'!$J$4:$J$692,T$1)</f>
        <v>0</v>
      </c>
      <c r="U182" s="207">
        <f>SUMIFS('апрель 2023'!$G$4:$G$692,'апрель 2023'!$D$4:$D$692,$B182,'апрель 2023'!$J$4:$J$692,U$1)</f>
        <v>0</v>
      </c>
      <c r="V182" s="207">
        <f>SUMIFS('апрель 2023'!$G$4:$G$692,'апрель 2023'!$D$4:$D$692,$B182,'апрель 2023'!$J$4:$J$692,V$1)</f>
        <v>0</v>
      </c>
      <c r="W182" s="207">
        <f>SUMIFS('апрель 2023'!$G$4:$G$692,'апрель 2023'!$D$4:$D$692,$B182,'апрель 2023'!$J$4:$J$692,W$1)</f>
        <v>0</v>
      </c>
      <c r="X182" s="207">
        <f>SUMIFS('апрель 2023'!$G$4:$G$692,'апрель 2023'!$D$4:$D$692,$B182,'апрель 2023'!$J$4:$J$692,X$1)</f>
        <v>0</v>
      </c>
      <c r="Y182" s="207">
        <f>SUMIFS('апрель 2023'!$G$4:$G$692,'апрель 2023'!$D$4:$D$692,$B182,'апрель 2023'!$J$4:$J$692,Y$1)</f>
        <v>0</v>
      </c>
      <c r="Z182" s="207">
        <f>SUMIFS('апрель 2023'!$G$4:$G$692,'апрель 2023'!$D$4:$D$692,$B182,'апрель 2023'!$J$4:$J$692,Z$1)</f>
        <v>0</v>
      </c>
      <c r="AA182" s="207">
        <f>SUMIFS('апрель 2023'!$G$4:$G$692,'апрель 2023'!$D$4:$D$692,$B182,'апрель 2023'!$J$4:$J$692,AA$1)</f>
        <v>0</v>
      </c>
      <c r="AB182" s="207">
        <f>SUMIFS('апрель 2023'!$G$4:$G$692,'апрель 2023'!$D$4:$D$692,$B182,'апрель 2023'!$J$4:$J$692,AB$1)</f>
        <v>0</v>
      </c>
      <c r="AC182" s="207">
        <f>SUMIFS('апрель 2023'!$G$4:$G$692,'апрель 2023'!$D$4:$D$692,$B182,'апрель 2023'!$J$4:$J$692,AC$1)</f>
        <v>0</v>
      </c>
      <c r="AD182" s="207">
        <f>SUMIFS('апрель 2023'!$G$4:$G$692,'апрель 2023'!$D$4:$D$692,$B182,'апрель 2023'!$J$4:$J$692,AD$1)</f>
        <v>0</v>
      </c>
      <c r="AE182" s="207">
        <f>SUMIFS('апрель 2023'!$G$4:$G$692,'апрель 2023'!$D$4:$D$692,$B182,'апрель 2023'!$J$4:$J$692,AE$1)</f>
        <v>0</v>
      </c>
      <c r="AF182" s="207">
        <f>SUMIFS('апрель 2023'!$G$4:$G$692,'апрель 2023'!$D$4:$D$692,$B182,'апрель 2023'!$J$4:$J$692,AF$1)</f>
        <v>0</v>
      </c>
      <c r="AG182" s="207">
        <f>SUMIFS('апрель 2023'!$G$4:$G$692,'апрель 2023'!$D$4:$D$692,$B182,'апрель 2023'!$J$4:$J$692,AG$1)</f>
        <v>0</v>
      </c>
      <c r="AH182" s="207">
        <f>SUMIFS('апрель 2023'!$G$4:$G$692,'апрель 2023'!$D$4:$D$692,$B182,'апрель 2023'!$J$4:$J$692,AH$1)</f>
        <v>0</v>
      </c>
      <c r="AI182" s="220">
        <f t="shared" si="4"/>
        <v>0</v>
      </c>
    </row>
    <row r="183" spans="2:35" ht="15.75" hidden="1" x14ac:dyDescent="0.25">
      <c r="B183" s="212"/>
      <c r="C183" s="211"/>
      <c r="D183" s="207">
        <f>SUMIFS('апрель 2023'!$G$4:$G$692,'апрель 2023'!$D$4:$D$692,$B183,'апрель 2023'!$J$4:$J$692,D$1)</f>
        <v>0</v>
      </c>
      <c r="E183" s="207">
        <f>SUMIFS('апрель 2023'!$G$4:$G$692,'апрель 2023'!$D$4:$D$692,$B183,'апрель 2023'!$J$4:$J$692,E$1)</f>
        <v>0</v>
      </c>
      <c r="F183" s="207">
        <f>SUMIFS('апрель 2023'!$G$4:$G$692,'апрель 2023'!$D$4:$D$692,$B183,'апрель 2023'!$J$4:$J$692,F$1)</f>
        <v>0</v>
      </c>
      <c r="G183" s="207">
        <f>SUMIFS('апрель 2023'!$G$4:$G$692,'апрель 2023'!$D$4:$D$692,$B183,'апрель 2023'!$J$4:$J$692,G$1)</f>
        <v>0</v>
      </c>
      <c r="H183" s="207">
        <f>SUMIFS('апрель 2023'!$G$4:$G$692,'апрель 2023'!$D$4:$D$692,$B183,'апрель 2023'!$J$4:$J$692,H$1)</f>
        <v>0</v>
      </c>
      <c r="I183" s="207">
        <f>SUMIFS('апрель 2023'!$G$4:$G$692,'апрель 2023'!$D$4:$D$692,$B183,'апрель 2023'!$J$4:$J$692,I$1)</f>
        <v>0</v>
      </c>
      <c r="J183" s="207">
        <f>SUMIFS('апрель 2023'!$G$4:$G$692,'апрель 2023'!$D$4:$D$692,$B183,'апрель 2023'!$J$4:$J$692,J$1)</f>
        <v>0</v>
      </c>
      <c r="K183" s="207">
        <f>SUMIFS('апрель 2023'!$G$4:$G$692,'апрель 2023'!$D$4:$D$692,$B183,'апрель 2023'!$J$4:$J$692,K$1)</f>
        <v>0</v>
      </c>
      <c r="L183" s="207">
        <f>SUMIFS('апрель 2023'!$G$4:$G$692,'апрель 2023'!$D$4:$D$692,$B183,'апрель 2023'!$J$4:$J$692,L$1)</f>
        <v>0</v>
      </c>
      <c r="M183" s="207">
        <f>SUMIFS('апрель 2023'!$G$4:$G$692,'апрель 2023'!$D$4:$D$692,$B183,'апрель 2023'!$J$4:$J$692,M$1)</f>
        <v>0</v>
      </c>
      <c r="N183" s="207">
        <f>SUMIFS('апрель 2023'!$G$4:$G$692,'апрель 2023'!$D$4:$D$692,$B183,'апрель 2023'!$J$4:$J$692,N$1)</f>
        <v>0</v>
      </c>
      <c r="O183" s="207">
        <f>SUMIFS('апрель 2023'!$G$4:$G$692,'апрель 2023'!$D$4:$D$692,$B183,'апрель 2023'!$J$4:$J$692,O$1)</f>
        <v>0</v>
      </c>
      <c r="P183" s="207">
        <f>SUMIFS('апрель 2023'!$G$4:$G$692,'апрель 2023'!$D$4:$D$692,$B183,'апрель 2023'!$J$4:$J$692,P$1)</f>
        <v>0</v>
      </c>
      <c r="Q183" s="207">
        <f>SUMIFS('апрель 2023'!$G$4:$G$692,'апрель 2023'!$D$4:$D$692,$B183,'апрель 2023'!$J$4:$J$692,Q$1)</f>
        <v>0</v>
      </c>
      <c r="R183" s="207">
        <f>SUMIFS('апрель 2023'!$G$4:$G$692,'апрель 2023'!$D$4:$D$692,$B183,'апрель 2023'!$J$4:$J$692,R$1)</f>
        <v>0</v>
      </c>
      <c r="S183" s="207">
        <f>SUMIFS('апрель 2023'!$G$4:$G$692,'апрель 2023'!$D$4:$D$692,$B183,'апрель 2023'!$J$4:$J$692,S$1)</f>
        <v>0</v>
      </c>
      <c r="T183" s="207">
        <f>SUMIFS('апрель 2023'!$G$4:$G$692,'апрель 2023'!$D$4:$D$692,$B183,'апрель 2023'!$J$4:$J$692,T$1)</f>
        <v>0</v>
      </c>
      <c r="U183" s="207">
        <f>SUMIFS('апрель 2023'!$G$4:$G$692,'апрель 2023'!$D$4:$D$692,$B183,'апрель 2023'!$J$4:$J$692,U$1)</f>
        <v>0</v>
      </c>
      <c r="V183" s="207">
        <f>SUMIFS('апрель 2023'!$G$4:$G$692,'апрель 2023'!$D$4:$D$692,$B183,'апрель 2023'!$J$4:$J$692,V$1)</f>
        <v>0</v>
      </c>
      <c r="W183" s="207">
        <f>SUMIFS('апрель 2023'!$G$4:$G$692,'апрель 2023'!$D$4:$D$692,$B183,'апрель 2023'!$J$4:$J$692,W$1)</f>
        <v>0</v>
      </c>
      <c r="X183" s="207">
        <f>SUMIFS('апрель 2023'!$G$4:$G$692,'апрель 2023'!$D$4:$D$692,$B183,'апрель 2023'!$J$4:$J$692,X$1)</f>
        <v>0</v>
      </c>
      <c r="Y183" s="207">
        <f>SUMIFS('апрель 2023'!$G$4:$G$692,'апрель 2023'!$D$4:$D$692,$B183,'апрель 2023'!$J$4:$J$692,Y$1)</f>
        <v>0</v>
      </c>
      <c r="Z183" s="207">
        <f>SUMIFS('апрель 2023'!$G$4:$G$692,'апрель 2023'!$D$4:$D$692,$B183,'апрель 2023'!$J$4:$J$692,Z$1)</f>
        <v>0</v>
      </c>
      <c r="AA183" s="207">
        <f>SUMIFS('апрель 2023'!$G$4:$G$692,'апрель 2023'!$D$4:$D$692,$B183,'апрель 2023'!$J$4:$J$692,AA$1)</f>
        <v>0</v>
      </c>
      <c r="AB183" s="207">
        <f>SUMIFS('апрель 2023'!$G$4:$G$692,'апрель 2023'!$D$4:$D$692,$B183,'апрель 2023'!$J$4:$J$692,AB$1)</f>
        <v>0</v>
      </c>
      <c r="AC183" s="207">
        <f>SUMIFS('апрель 2023'!$G$4:$G$692,'апрель 2023'!$D$4:$D$692,$B183,'апрель 2023'!$J$4:$J$692,AC$1)</f>
        <v>0</v>
      </c>
      <c r="AD183" s="207">
        <f>SUMIFS('апрель 2023'!$G$4:$G$692,'апрель 2023'!$D$4:$D$692,$B183,'апрель 2023'!$J$4:$J$692,AD$1)</f>
        <v>0</v>
      </c>
      <c r="AE183" s="207">
        <f>SUMIFS('апрель 2023'!$G$4:$G$692,'апрель 2023'!$D$4:$D$692,$B183,'апрель 2023'!$J$4:$J$692,AE$1)</f>
        <v>0</v>
      </c>
      <c r="AF183" s="207">
        <f>SUMIFS('апрель 2023'!$G$4:$G$692,'апрель 2023'!$D$4:$D$692,$B183,'апрель 2023'!$J$4:$J$692,AF$1)</f>
        <v>0</v>
      </c>
      <c r="AG183" s="207">
        <f>SUMIFS('апрель 2023'!$G$4:$G$692,'апрель 2023'!$D$4:$D$692,$B183,'апрель 2023'!$J$4:$J$692,AG$1)</f>
        <v>0</v>
      </c>
      <c r="AH183" s="207">
        <f>SUMIFS('апрель 2023'!$G$4:$G$692,'апрель 2023'!$D$4:$D$692,$B183,'апрель 2023'!$J$4:$J$692,AH$1)</f>
        <v>0</v>
      </c>
      <c r="AI183" s="220">
        <f t="shared" si="4"/>
        <v>0</v>
      </c>
    </row>
    <row r="184" spans="2:35" ht="15.75" hidden="1" x14ac:dyDescent="0.25">
      <c r="B184" s="212"/>
      <c r="C184" s="211"/>
      <c r="D184" s="207">
        <f>SUMIFS('апрель 2023'!$G$4:$G$692,'апрель 2023'!$D$4:$D$692,$B184,'апрель 2023'!$J$4:$J$692,D$1)</f>
        <v>0</v>
      </c>
      <c r="E184" s="207">
        <f>SUMIFS('апрель 2023'!$G$4:$G$692,'апрель 2023'!$D$4:$D$692,$B184,'апрель 2023'!$J$4:$J$692,E$1)</f>
        <v>0</v>
      </c>
      <c r="F184" s="207">
        <f>SUMIFS('апрель 2023'!$G$4:$G$692,'апрель 2023'!$D$4:$D$692,$B184,'апрель 2023'!$J$4:$J$692,F$1)</f>
        <v>0</v>
      </c>
      <c r="G184" s="207">
        <f>SUMIFS('апрель 2023'!$G$4:$G$692,'апрель 2023'!$D$4:$D$692,$B184,'апрель 2023'!$J$4:$J$692,G$1)</f>
        <v>0</v>
      </c>
      <c r="H184" s="207">
        <f>SUMIFS('апрель 2023'!$G$4:$G$692,'апрель 2023'!$D$4:$D$692,$B184,'апрель 2023'!$J$4:$J$692,H$1)</f>
        <v>0</v>
      </c>
      <c r="I184" s="207">
        <f>SUMIFS('апрель 2023'!$G$4:$G$692,'апрель 2023'!$D$4:$D$692,$B184,'апрель 2023'!$J$4:$J$692,I$1)</f>
        <v>0</v>
      </c>
      <c r="J184" s="207">
        <f>SUMIFS('апрель 2023'!$G$4:$G$692,'апрель 2023'!$D$4:$D$692,$B184,'апрель 2023'!$J$4:$J$692,J$1)</f>
        <v>0</v>
      </c>
      <c r="K184" s="207">
        <f>SUMIFS('апрель 2023'!$G$4:$G$692,'апрель 2023'!$D$4:$D$692,$B184,'апрель 2023'!$J$4:$J$692,K$1)</f>
        <v>0</v>
      </c>
      <c r="L184" s="207">
        <f>SUMIFS('апрель 2023'!$G$4:$G$692,'апрель 2023'!$D$4:$D$692,$B184,'апрель 2023'!$J$4:$J$692,L$1)</f>
        <v>0</v>
      </c>
      <c r="M184" s="207">
        <f>SUMIFS('апрель 2023'!$G$4:$G$692,'апрель 2023'!$D$4:$D$692,$B184,'апрель 2023'!$J$4:$J$692,M$1)</f>
        <v>0</v>
      </c>
      <c r="N184" s="207">
        <f>SUMIFS('апрель 2023'!$G$4:$G$692,'апрель 2023'!$D$4:$D$692,$B184,'апрель 2023'!$J$4:$J$692,N$1)</f>
        <v>0</v>
      </c>
      <c r="O184" s="207">
        <f>SUMIFS('апрель 2023'!$G$4:$G$692,'апрель 2023'!$D$4:$D$692,$B184,'апрель 2023'!$J$4:$J$692,O$1)</f>
        <v>0</v>
      </c>
      <c r="P184" s="207">
        <f>SUMIFS('апрель 2023'!$G$4:$G$692,'апрель 2023'!$D$4:$D$692,$B184,'апрель 2023'!$J$4:$J$692,P$1)</f>
        <v>0</v>
      </c>
      <c r="Q184" s="207">
        <f>SUMIFS('апрель 2023'!$G$4:$G$692,'апрель 2023'!$D$4:$D$692,$B184,'апрель 2023'!$J$4:$J$692,Q$1)</f>
        <v>0</v>
      </c>
      <c r="R184" s="207">
        <f>SUMIFS('апрель 2023'!$G$4:$G$692,'апрель 2023'!$D$4:$D$692,$B184,'апрель 2023'!$J$4:$J$692,R$1)</f>
        <v>0</v>
      </c>
      <c r="S184" s="207">
        <f>SUMIFS('апрель 2023'!$G$4:$G$692,'апрель 2023'!$D$4:$D$692,$B184,'апрель 2023'!$J$4:$J$692,S$1)</f>
        <v>0</v>
      </c>
      <c r="T184" s="207">
        <f>SUMIFS('апрель 2023'!$G$4:$G$692,'апрель 2023'!$D$4:$D$692,$B184,'апрель 2023'!$J$4:$J$692,T$1)</f>
        <v>0</v>
      </c>
      <c r="U184" s="207">
        <f>SUMIFS('апрель 2023'!$G$4:$G$692,'апрель 2023'!$D$4:$D$692,$B184,'апрель 2023'!$J$4:$J$692,U$1)</f>
        <v>0</v>
      </c>
      <c r="V184" s="207">
        <f>SUMIFS('апрель 2023'!$G$4:$G$692,'апрель 2023'!$D$4:$D$692,$B184,'апрель 2023'!$J$4:$J$692,V$1)</f>
        <v>0</v>
      </c>
      <c r="W184" s="207">
        <f>SUMIFS('апрель 2023'!$G$4:$G$692,'апрель 2023'!$D$4:$D$692,$B184,'апрель 2023'!$J$4:$J$692,W$1)</f>
        <v>0</v>
      </c>
      <c r="X184" s="207">
        <f>SUMIFS('апрель 2023'!$G$4:$G$692,'апрель 2023'!$D$4:$D$692,$B184,'апрель 2023'!$J$4:$J$692,X$1)</f>
        <v>0</v>
      </c>
      <c r="Y184" s="207">
        <f>SUMIFS('апрель 2023'!$G$4:$G$692,'апрель 2023'!$D$4:$D$692,$B184,'апрель 2023'!$J$4:$J$692,Y$1)</f>
        <v>0</v>
      </c>
      <c r="Z184" s="207">
        <f>SUMIFS('апрель 2023'!$G$4:$G$692,'апрель 2023'!$D$4:$D$692,$B184,'апрель 2023'!$J$4:$J$692,Z$1)</f>
        <v>0</v>
      </c>
      <c r="AA184" s="207">
        <f>SUMIFS('апрель 2023'!$G$4:$G$692,'апрель 2023'!$D$4:$D$692,$B184,'апрель 2023'!$J$4:$J$692,AA$1)</f>
        <v>0</v>
      </c>
      <c r="AB184" s="207">
        <f>SUMIFS('апрель 2023'!$G$4:$G$692,'апрель 2023'!$D$4:$D$692,$B184,'апрель 2023'!$J$4:$J$692,AB$1)</f>
        <v>0</v>
      </c>
      <c r="AC184" s="207">
        <f>SUMIFS('апрель 2023'!$G$4:$G$692,'апрель 2023'!$D$4:$D$692,$B184,'апрель 2023'!$J$4:$J$692,AC$1)</f>
        <v>0</v>
      </c>
      <c r="AD184" s="207">
        <f>SUMIFS('апрель 2023'!$G$4:$G$692,'апрель 2023'!$D$4:$D$692,$B184,'апрель 2023'!$J$4:$J$692,AD$1)</f>
        <v>0</v>
      </c>
      <c r="AE184" s="207">
        <f>SUMIFS('апрель 2023'!$G$4:$G$692,'апрель 2023'!$D$4:$D$692,$B184,'апрель 2023'!$J$4:$J$692,AE$1)</f>
        <v>0</v>
      </c>
      <c r="AF184" s="207">
        <f>SUMIFS('апрель 2023'!$G$4:$G$692,'апрель 2023'!$D$4:$D$692,$B184,'апрель 2023'!$J$4:$J$692,AF$1)</f>
        <v>0</v>
      </c>
      <c r="AG184" s="207">
        <f>SUMIFS('апрель 2023'!$G$4:$G$692,'апрель 2023'!$D$4:$D$692,$B184,'апрель 2023'!$J$4:$J$692,AG$1)</f>
        <v>0</v>
      </c>
      <c r="AH184" s="207">
        <f>SUMIFS('апрель 2023'!$G$4:$G$692,'апрель 2023'!$D$4:$D$692,$B184,'апрель 2023'!$J$4:$J$692,AH$1)</f>
        <v>0</v>
      </c>
      <c r="AI184" s="220">
        <f t="shared" si="4"/>
        <v>0</v>
      </c>
    </row>
    <row r="185" spans="2:35" ht="15.75" x14ac:dyDescent="0.25">
      <c r="B185" s="212"/>
      <c r="C185" s="221"/>
      <c r="D185" s="207">
        <f>SUMIFS('апрель 2023'!$G$4:$G$692,'апрель 2023'!$D$4:$D$692,$B185,'апрель 2023'!$J$4:$J$692,D$1)</f>
        <v>0</v>
      </c>
      <c r="E185" s="207">
        <f>SUMIFS('апрель 2023'!$G$4:$G$692,'апрель 2023'!$D$4:$D$692,$B185,'апрель 2023'!$J$4:$J$692,E$1)</f>
        <v>0</v>
      </c>
      <c r="F185" s="207">
        <f>SUMIFS('апрель 2023'!$G$4:$G$692,'апрель 2023'!$D$4:$D$692,$B185,'апрель 2023'!$J$4:$J$692,F$1)</f>
        <v>0</v>
      </c>
      <c r="G185" s="207">
        <f>SUMIFS('апрель 2023'!$G$4:$G$692,'апрель 2023'!$D$4:$D$692,$B185,'апрель 2023'!$J$4:$J$692,G$1)</f>
        <v>0</v>
      </c>
      <c r="H185" s="207">
        <f>SUMIFS('апрель 2023'!$G$4:$G$692,'апрель 2023'!$D$4:$D$692,$B185,'апрель 2023'!$J$4:$J$692,H$1)</f>
        <v>0</v>
      </c>
      <c r="I185" s="207">
        <f>SUMIFS('апрель 2023'!$G$4:$G$692,'апрель 2023'!$D$4:$D$692,$B185,'апрель 2023'!$J$4:$J$692,I$1)</f>
        <v>0</v>
      </c>
      <c r="J185" s="207">
        <f>SUMIFS('апрель 2023'!$G$4:$G$692,'апрель 2023'!$D$4:$D$692,$B185,'апрель 2023'!$J$4:$J$692,J$1)</f>
        <v>0</v>
      </c>
      <c r="K185" s="207">
        <f>SUMIFS('апрель 2023'!$G$4:$G$692,'апрель 2023'!$D$4:$D$692,$B185,'апрель 2023'!$J$4:$J$692,K$1)</f>
        <v>0</v>
      </c>
      <c r="L185" s="207">
        <f>SUMIFS('апрель 2023'!$G$4:$G$692,'апрель 2023'!$D$4:$D$692,$B185,'апрель 2023'!$J$4:$J$692,L$1)</f>
        <v>0</v>
      </c>
      <c r="M185" s="207">
        <f>SUMIFS('апрель 2023'!$G$4:$G$692,'апрель 2023'!$D$4:$D$692,$B185,'апрель 2023'!$J$4:$J$692,M$1)</f>
        <v>0</v>
      </c>
      <c r="N185" s="207">
        <f>SUMIFS('апрель 2023'!$G$4:$G$692,'апрель 2023'!$D$4:$D$692,$B185,'апрель 2023'!$J$4:$J$692,N$1)</f>
        <v>0</v>
      </c>
      <c r="O185" s="207">
        <f>SUMIFS('апрель 2023'!$G$4:$G$692,'апрель 2023'!$D$4:$D$692,$B185,'апрель 2023'!$J$4:$J$692,O$1)</f>
        <v>0</v>
      </c>
      <c r="P185" s="207">
        <f>SUMIFS('апрель 2023'!$G$4:$G$692,'апрель 2023'!$D$4:$D$692,$B185,'апрель 2023'!$J$4:$J$692,P$1)</f>
        <v>0</v>
      </c>
      <c r="Q185" s="207">
        <f>SUMIFS('апрель 2023'!$G$4:$G$692,'апрель 2023'!$D$4:$D$692,$B185,'апрель 2023'!$J$4:$J$692,Q$1)</f>
        <v>0</v>
      </c>
      <c r="R185" s="207">
        <f>SUMIFS('апрель 2023'!$G$4:$G$692,'апрель 2023'!$D$4:$D$692,$B185,'апрель 2023'!$J$4:$J$692,R$1)</f>
        <v>0</v>
      </c>
      <c r="S185" s="207">
        <f>SUMIFS('апрель 2023'!$G$4:$G$692,'апрель 2023'!$D$4:$D$692,$B185,'апрель 2023'!$J$4:$J$692,S$1)</f>
        <v>0</v>
      </c>
      <c r="T185" s="207">
        <f>SUMIFS('апрель 2023'!$G$4:$G$692,'апрель 2023'!$D$4:$D$692,$B185,'апрель 2023'!$J$4:$J$692,T$1)</f>
        <v>0</v>
      </c>
      <c r="U185" s="207">
        <f>SUMIFS('апрель 2023'!$G$4:$G$692,'апрель 2023'!$D$4:$D$692,$B185,'апрель 2023'!$J$4:$J$692,U$1)</f>
        <v>0</v>
      </c>
      <c r="V185" s="207">
        <f>SUMIFS('апрель 2023'!$G$4:$G$692,'апрель 2023'!$D$4:$D$692,$B185,'апрель 2023'!$J$4:$J$692,V$1)</f>
        <v>0</v>
      </c>
      <c r="W185" s="207">
        <f>SUMIFS('апрель 2023'!$G$4:$G$692,'апрель 2023'!$D$4:$D$692,$B185,'апрель 2023'!$J$4:$J$692,W$1)</f>
        <v>0</v>
      </c>
      <c r="X185" s="207">
        <f>SUMIFS('апрель 2023'!$G$4:$G$692,'апрель 2023'!$D$4:$D$692,$B185,'апрель 2023'!$J$4:$J$692,X$1)</f>
        <v>0</v>
      </c>
      <c r="Y185" s="207">
        <f>SUMIFS('апрель 2023'!$G$4:$G$692,'апрель 2023'!$D$4:$D$692,$B185,'апрель 2023'!$J$4:$J$692,Y$1)</f>
        <v>0</v>
      </c>
      <c r="Z185" s="207">
        <f>SUMIFS('апрель 2023'!$G$4:$G$692,'апрель 2023'!$D$4:$D$692,$B185,'апрель 2023'!$J$4:$J$692,Z$1)</f>
        <v>0</v>
      </c>
      <c r="AA185" s="207">
        <f>SUMIFS('апрель 2023'!$G$4:$G$692,'апрель 2023'!$D$4:$D$692,$B185,'апрель 2023'!$J$4:$J$692,AA$1)</f>
        <v>0</v>
      </c>
      <c r="AB185" s="207">
        <f>SUMIFS('апрель 2023'!$G$4:$G$692,'апрель 2023'!$D$4:$D$692,$B185,'апрель 2023'!$J$4:$J$692,AB$1)</f>
        <v>0</v>
      </c>
      <c r="AC185" s="207">
        <f>SUMIFS('апрель 2023'!$G$4:$G$692,'апрель 2023'!$D$4:$D$692,$B185,'апрель 2023'!$J$4:$J$692,AC$1)</f>
        <v>0</v>
      </c>
      <c r="AD185" s="207">
        <f>SUMIFS('апрель 2023'!$G$4:$G$692,'апрель 2023'!$D$4:$D$692,$B185,'апрель 2023'!$J$4:$J$692,AD$1)</f>
        <v>0</v>
      </c>
      <c r="AE185" s="207">
        <f>SUMIFS('апрель 2023'!$G$4:$G$692,'апрель 2023'!$D$4:$D$692,$B185,'апрель 2023'!$J$4:$J$692,AE$1)</f>
        <v>0</v>
      </c>
      <c r="AF185" s="207">
        <f>SUMIFS('апрель 2023'!$G$4:$G$692,'апрель 2023'!$D$4:$D$692,$B185,'апрель 2023'!$J$4:$J$692,AF$1)</f>
        <v>0</v>
      </c>
      <c r="AG185" s="207">
        <f>SUMIFS('апрель 2023'!$G$4:$G$692,'апрель 2023'!$D$4:$D$692,$B185,'апрель 2023'!$J$4:$J$692,AG$1)</f>
        <v>0</v>
      </c>
      <c r="AH185" s="207">
        <f>SUMIFS('апрель 2023'!$G$4:$G$692,'апрель 2023'!$D$4:$D$692,$B185,'апрель 2023'!$J$4:$J$692,AH$1)</f>
        <v>0</v>
      </c>
      <c r="AI185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0000000}">
          <x14:formula1>
            <xm:f>справочник!$E$4:$E$159</xm:f>
          </x14:formula1>
          <xm:sqref>B3:B185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13"/>
  <dimension ref="B1:AI185"/>
  <sheetViews>
    <sheetView showZeros="0" topLeftCell="A45" zoomScale="70" workbookViewId="0">
      <selection activeCell="A88" sqref="A88:XFD88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45047</v>
      </c>
      <c r="C1" s="192"/>
      <c r="D1" s="157">
        <f>B1</f>
        <v>45047</v>
      </c>
      <c r="E1" s="157">
        <f>D1+1</f>
        <v>45048</v>
      </c>
      <c r="F1" s="157">
        <f t="shared" ref="F1:AH1" si="0">E1+1</f>
        <v>45049</v>
      </c>
      <c r="G1" s="157">
        <f t="shared" si="0"/>
        <v>45050</v>
      </c>
      <c r="H1" s="157">
        <f t="shared" si="0"/>
        <v>45051</v>
      </c>
      <c r="I1" s="157">
        <f t="shared" si="0"/>
        <v>45052</v>
      </c>
      <c r="J1" s="157">
        <f t="shared" si="0"/>
        <v>45053</v>
      </c>
      <c r="K1" s="157">
        <f t="shared" si="0"/>
        <v>45054</v>
      </c>
      <c r="L1" s="157">
        <f t="shared" si="0"/>
        <v>45055</v>
      </c>
      <c r="M1" s="157">
        <f t="shared" si="0"/>
        <v>45056</v>
      </c>
      <c r="N1" s="157">
        <f t="shared" si="0"/>
        <v>45057</v>
      </c>
      <c r="O1" s="157">
        <f t="shared" si="0"/>
        <v>45058</v>
      </c>
      <c r="P1" s="157">
        <f t="shared" si="0"/>
        <v>45059</v>
      </c>
      <c r="Q1" s="157">
        <f t="shared" si="0"/>
        <v>45060</v>
      </c>
      <c r="R1" s="157">
        <f t="shared" si="0"/>
        <v>45061</v>
      </c>
      <c r="S1" s="157">
        <f t="shared" si="0"/>
        <v>45062</v>
      </c>
      <c r="T1" s="157">
        <f t="shared" si="0"/>
        <v>45063</v>
      </c>
      <c r="U1" s="157">
        <f t="shared" si="0"/>
        <v>45064</v>
      </c>
      <c r="V1" s="157">
        <f t="shared" si="0"/>
        <v>45065</v>
      </c>
      <c r="W1" s="157">
        <f t="shared" si="0"/>
        <v>45066</v>
      </c>
      <c r="X1" s="157">
        <f t="shared" si="0"/>
        <v>45067</v>
      </c>
      <c r="Y1" s="157">
        <f t="shared" si="0"/>
        <v>45068</v>
      </c>
      <c r="Z1" s="157">
        <f t="shared" si="0"/>
        <v>45069</v>
      </c>
      <c r="AA1" s="157">
        <f t="shared" si="0"/>
        <v>45070</v>
      </c>
      <c r="AB1" s="157">
        <f t="shared" si="0"/>
        <v>45071</v>
      </c>
      <c r="AC1" s="157">
        <f t="shared" si="0"/>
        <v>45072</v>
      </c>
      <c r="AD1" s="157">
        <f t="shared" si="0"/>
        <v>45073</v>
      </c>
      <c r="AE1" s="157">
        <f t="shared" si="0"/>
        <v>45074</v>
      </c>
      <c r="AF1" s="157">
        <f t="shared" si="0"/>
        <v>45075</v>
      </c>
      <c r="AG1" s="157">
        <f t="shared" si="0"/>
        <v>45076</v>
      </c>
      <c r="AH1" s="157">
        <f t="shared" si="0"/>
        <v>45077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SUMIFS('май 2023'!$G$4:$G$815,'май 2023'!$D$4:$D$815,$B3,'май 2023'!$J$4:$J$815,D$1)</f>
        <v>0</v>
      </c>
      <c r="E3" s="198">
        <f>SUMIFS('май 2023'!$G$4:$G$815,'май 2023'!$D$4:$D$815,$B3,'май 2023'!$J$4:$J$815,E$1)</f>
        <v>0</v>
      </c>
      <c r="F3" s="198">
        <f>SUMIFS('май 2023'!$G$4:$G$815,'май 2023'!$D$4:$D$815,$B3,'май 2023'!$J$4:$J$815,F$1)</f>
        <v>0</v>
      </c>
      <c r="G3" s="198">
        <f>SUMIFS('май 2023'!$G$4:$G$815,'май 2023'!$D$4:$D$815,$B3,'май 2023'!$J$4:$J$815,G$1)</f>
        <v>0</v>
      </c>
      <c r="H3" s="198">
        <f>SUMIFS('май 2023'!$G$4:$G$815,'май 2023'!$D$4:$D$815,$B3,'май 2023'!$J$4:$J$815,H$1)</f>
        <v>0</v>
      </c>
      <c r="I3" s="198">
        <f>SUMIFS('май 2023'!$G$4:$G$815,'май 2023'!$D$4:$D$815,$B3,'май 2023'!$J$4:$J$815,I$1)</f>
        <v>0</v>
      </c>
      <c r="J3" s="198">
        <f>SUMIFS('май 2023'!$G$4:$G$815,'май 2023'!$D$4:$D$815,$B3,'май 2023'!$J$4:$J$815,J$1)</f>
        <v>0</v>
      </c>
      <c r="K3" s="198">
        <f>SUMIFS('май 2023'!$G$4:$G$815,'май 2023'!$D$4:$D$815,$B3,'май 2023'!$J$4:$J$815,K$1)</f>
        <v>0</v>
      </c>
      <c r="L3" s="198">
        <f>SUMIFS('май 2023'!$G$4:$G$815,'май 2023'!$D$4:$D$815,$B3,'май 2023'!$J$4:$J$815,L$1)</f>
        <v>0</v>
      </c>
      <c r="M3" s="198">
        <f>SUMIFS('май 2023'!$G$4:$G$815,'май 2023'!$D$4:$D$815,$B3,'май 2023'!$J$4:$J$815,M$1)</f>
        <v>0</v>
      </c>
      <c r="N3" s="198">
        <f>SUMIFS('май 2023'!$G$4:$G$815,'май 2023'!$D$4:$D$815,$B3,'май 2023'!$J$4:$J$815,N$1)</f>
        <v>945</v>
      </c>
      <c r="O3" s="198">
        <f>SUMIFS('май 2023'!$G$4:$G$815,'май 2023'!$D$4:$D$815,$B3,'май 2023'!$J$4:$J$815,O$1)</f>
        <v>945</v>
      </c>
      <c r="P3" s="198">
        <f>SUMIFS('май 2023'!$G$4:$G$815,'май 2023'!$D$4:$D$815,$B3,'май 2023'!$J$4:$J$815,P$1)</f>
        <v>0</v>
      </c>
      <c r="Q3" s="198">
        <f>SUMIFS('май 2023'!$G$4:$G$815,'май 2023'!$D$4:$D$815,$B3,'май 2023'!$J$4:$J$815,Q$1)</f>
        <v>0</v>
      </c>
      <c r="R3" s="198">
        <f>SUMIFS('май 2023'!$G$4:$G$815,'май 2023'!$D$4:$D$815,$B3,'май 2023'!$J$4:$J$815,R$1)</f>
        <v>875</v>
      </c>
      <c r="S3" s="198">
        <f>SUMIFS('май 2023'!$G$4:$G$815,'май 2023'!$D$4:$D$815,$B3,'май 2023'!$J$4:$J$815,S$1)</f>
        <v>0</v>
      </c>
      <c r="T3" s="198">
        <f>SUMIFS('май 2023'!$G$4:$G$815,'май 2023'!$D$4:$D$815,$B3,'май 2023'!$J$4:$J$815,T$1)</f>
        <v>0</v>
      </c>
      <c r="U3" s="198">
        <f>SUMIFS('май 2023'!$G$4:$G$815,'май 2023'!$D$4:$D$815,$B3,'май 2023'!$J$4:$J$815,U$1)</f>
        <v>875</v>
      </c>
      <c r="V3" s="198">
        <f>SUMIFS('май 2023'!$G$4:$G$815,'май 2023'!$D$4:$D$815,$B3,'май 2023'!$J$4:$J$815,V$1)</f>
        <v>0</v>
      </c>
      <c r="W3" s="198">
        <f>SUMIFS('май 2023'!$G$4:$G$815,'май 2023'!$D$4:$D$815,$B3,'май 2023'!$J$4:$J$815,W$1)</f>
        <v>0</v>
      </c>
      <c r="X3" s="198">
        <f>SUMIFS('май 2023'!$G$4:$G$815,'май 2023'!$D$4:$D$815,$B3,'май 2023'!$J$4:$J$815,X$1)</f>
        <v>0</v>
      </c>
      <c r="Y3" s="198">
        <f>SUMIFS('май 2023'!$G$4:$G$815,'май 2023'!$D$4:$D$815,$B3,'май 2023'!$J$4:$J$815,Y$1)</f>
        <v>0</v>
      </c>
      <c r="Z3" s="198">
        <f>SUMIFS('май 2023'!$G$4:$G$815,'май 2023'!$D$4:$D$815,$B3,'май 2023'!$J$4:$J$815,Z$1)</f>
        <v>0</v>
      </c>
      <c r="AA3" s="198">
        <f>SUMIFS('май 2023'!$G$4:$G$815,'май 2023'!$D$4:$D$815,$B3,'май 2023'!$J$4:$J$815,AA$1)</f>
        <v>0</v>
      </c>
      <c r="AB3" s="198">
        <f>SUMIFS('май 2023'!$G$4:$G$815,'май 2023'!$D$4:$D$815,$B3,'май 2023'!$J$4:$J$815,AB$1)</f>
        <v>0</v>
      </c>
      <c r="AC3" s="198">
        <f>SUMIFS('май 2023'!$G$4:$G$815,'май 2023'!$D$4:$D$815,$B3,'май 2023'!$J$4:$J$815,AC$1)</f>
        <v>525</v>
      </c>
      <c r="AD3" s="198">
        <f>SUMIFS('май 2023'!$G$4:$G$815,'май 2023'!$D$4:$D$815,$B3,'май 2023'!$J$4:$J$815,AD$1)</f>
        <v>0</v>
      </c>
      <c r="AE3" s="198">
        <f>SUMIFS('май 2023'!$G$4:$G$815,'май 2023'!$D$4:$D$815,$B3,'май 2023'!$J$4:$J$815,AE$1)</f>
        <v>0</v>
      </c>
      <c r="AF3" s="198">
        <f>SUMIFS('май 2023'!$G$4:$G$815,'май 2023'!$D$4:$D$815,$B3,'май 2023'!$J$4:$J$815,AF$1)</f>
        <v>0</v>
      </c>
      <c r="AG3" s="198">
        <f>SUMIFS('май 2023'!$G$4:$G$815,'май 2023'!$D$4:$D$815,$B3,'май 2023'!$J$4:$J$815,AG$1)</f>
        <v>0</v>
      </c>
      <c r="AH3" s="198">
        <f>SUMIFS('май 2023'!$G$4:$G$815,'май 2023'!$D$4:$D$815,$B3,'май 2023'!$J$4:$J$815,AH$1)</f>
        <v>1750</v>
      </c>
      <c r="AI3" s="166">
        <f t="shared" ref="AI3:AI66" si="1">SUM(D3:AH3)</f>
        <v>5915</v>
      </c>
    </row>
    <row r="4" spans="2:35" ht="15" customHeight="1" x14ac:dyDescent="0.25">
      <c r="B4" s="199" t="s">
        <v>74</v>
      </c>
      <c r="C4" s="200">
        <v>25</v>
      </c>
      <c r="D4" s="198">
        <f>SUMIFS('май 2023'!$G$4:$G$815,'май 2023'!$D$4:$D$815,$B4,'май 2023'!$J$4:$J$815,D$1)</f>
        <v>0</v>
      </c>
      <c r="E4" s="198">
        <f>SUMIFS('май 2023'!$G$4:$G$815,'май 2023'!$D$4:$D$815,$B4,'май 2023'!$J$4:$J$815,E$1)</f>
        <v>0</v>
      </c>
      <c r="F4" s="198">
        <f>SUMIFS('май 2023'!$G$4:$G$815,'май 2023'!$D$4:$D$815,$B4,'май 2023'!$J$4:$J$815,F$1)</f>
        <v>0</v>
      </c>
      <c r="G4" s="198">
        <f>SUMIFS('май 2023'!$G$4:$G$815,'май 2023'!$D$4:$D$815,$B4,'май 2023'!$J$4:$J$815,G$1)</f>
        <v>0</v>
      </c>
      <c r="H4" s="198">
        <f>SUMIFS('май 2023'!$G$4:$G$815,'май 2023'!$D$4:$D$815,$B4,'май 2023'!$J$4:$J$815,H$1)</f>
        <v>0</v>
      </c>
      <c r="I4" s="198">
        <f>SUMIFS('май 2023'!$G$4:$G$815,'май 2023'!$D$4:$D$815,$B4,'май 2023'!$J$4:$J$815,I$1)</f>
        <v>0</v>
      </c>
      <c r="J4" s="198">
        <f>SUMIFS('май 2023'!$G$4:$G$815,'май 2023'!$D$4:$D$815,$B4,'май 2023'!$J$4:$J$815,J$1)</f>
        <v>0</v>
      </c>
      <c r="K4" s="198">
        <f>SUMIFS('май 2023'!$G$4:$G$815,'май 2023'!$D$4:$D$815,$B4,'май 2023'!$J$4:$J$815,K$1)</f>
        <v>0</v>
      </c>
      <c r="L4" s="198">
        <f>SUMIFS('май 2023'!$G$4:$G$815,'май 2023'!$D$4:$D$815,$B4,'май 2023'!$J$4:$J$815,L$1)</f>
        <v>0</v>
      </c>
      <c r="M4" s="198">
        <f>SUMIFS('май 2023'!$G$4:$G$815,'май 2023'!$D$4:$D$815,$B4,'май 2023'!$J$4:$J$815,M$1)</f>
        <v>0</v>
      </c>
      <c r="N4" s="198">
        <f>SUMIFS('май 2023'!$G$4:$G$815,'май 2023'!$D$4:$D$815,$B4,'май 2023'!$J$4:$J$815,N$1)</f>
        <v>0</v>
      </c>
      <c r="O4" s="198">
        <f>SUMIFS('май 2023'!$G$4:$G$815,'май 2023'!$D$4:$D$815,$B4,'май 2023'!$J$4:$J$815,O$1)</f>
        <v>0</v>
      </c>
      <c r="P4" s="198">
        <f>SUMIFS('май 2023'!$G$4:$G$815,'май 2023'!$D$4:$D$815,$B4,'май 2023'!$J$4:$J$815,P$1)</f>
        <v>0</v>
      </c>
      <c r="Q4" s="198">
        <f>SUMIFS('май 2023'!$G$4:$G$815,'май 2023'!$D$4:$D$815,$B4,'май 2023'!$J$4:$J$815,Q$1)</f>
        <v>0</v>
      </c>
      <c r="R4" s="198">
        <f>SUMIFS('май 2023'!$G$4:$G$815,'май 2023'!$D$4:$D$815,$B4,'май 2023'!$J$4:$J$815,R$1)</f>
        <v>0</v>
      </c>
      <c r="S4" s="198">
        <f>SUMIFS('май 2023'!$G$4:$G$815,'май 2023'!$D$4:$D$815,$B4,'май 2023'!$J$4:$J$815,S$1)</f>
        <v>0</v>
      </c>
      <c r="T4" s="198">
        <f>SUMIFS('май 2023'!$G$4:$G$815,'май 2023'!$D$4:$D$815,$B4,'май 2023'!$J$4:$J$815,T$1)</f>
        <v>0</v>
      </c>
      <c r="U4" s="198">
        <f>SUMIFS('май 2023'!$G$4:$G$815,'май 2023'!$D$4:$D$815,$B4,'май 2023'!$J$4:$J$815,U$1)</f>
        <v>0</v>
      </c>
      <c r="V4" s="198">
        <f>SUMIFS('май 2023'!$G$4:$G$815,'май 2023'!$D$4:$D$815,$B4,'май 2023'!$J$4:$J$815,V$1)</f>
        <v>800</v>
      </c>
      <c r="W4" s="198">
        <f>SUMIFS('май 2023'!$G$4:$G$815,'май 2023'!$D$4:$D$815,$B4,'май 2023'!$J$4:$J$815,W$1)</f>
        <v>0</v>
      </c>
      <c r="X4" s="198">
        <f>SUMIFS('май 2023'!$G$4:$G$815,'май 2023'!$D$4:$D$815,$B4,'май 2023'!$J$4:$J$815,X$1)</f>
        <v>0</v>
      </c>
      <c r="Y4" s="198">
        <f>SUMIFS('май 2023'!$G$4:$G$815,'май 2023'!$D$4:$D$815,$B4,'май 2023'!$J$4:$J$815,Y$1)</f>
        <v>0</v>
      </c>
      <c r="Z4" s="198">
        <f>SUMIFS('май 2023'!$G$4:$G$815,'май 2023'!$D$4:$D$815,$B4,'май 2023'!$J$4:$J$815,Z$1)</f>
        <v>0</v>
      </c>
      <c r="AA4" s="198">
        <f>SUMIFS('май 2023'!$G$4:$G$815,'май 2023'!$D$4:$D$815,$B4,'май 2023'!$J$4:$J$815,AA$1)</f>
        <v>0</v>
      </c>
      <c r="AB4" s="198">
        <f>SUMIFS('май 2023'!$G$4:$G$815,'май 2023'!$D$4:$D$815,$B4,'май 2023'!$J$4:$J$815,AB$1)</f>
        <v>0</v>
      </c>
      <c r="AC4" s="198">
        <f>SUMIFS('май 2023'!$G$4:$G$815,'май 2023'!$D$4:$D$815,$B4,'май 2023'!$J$4:$J$815,AC$1)</f>
        <v>0</v>
      </c>
      <c r="AD4" s="198">
        <f>SUMIFS('май 2023'!$G$4:$G$815,'май 2023'!$D$4:$D$815,$B4,'май 2023'!$J$4:$J$815,AD$1)</f>
        <v>0</v>
      </c>
      <c r="AE4" s="198">
        <f>SUMIFS('май 2023'!$G$4:$G$815,'май 2023'!$D$4:$D$815,$B4,'май 2023'!$J$4:$J$815,AE$1)</f>
        <v>0</v>
      </c>
      <c r="AF4" s="198">
        <f>SUMIFS('май 2023'!$G$4:$G$815,'май 2023'!$D$4:$D$815,$B4,'май 2023'!$J$4:$J$815,AF$1)</f>
        <v>0</v>
      </c>
      <c r="AG4" s="198">
        <f>SUMIFS('май 2023'!$G$4:$G$815,'май 2023'!$D$4:$D$815,$B4,'май 2023'!$J$4:$J$815,AG$1)</f>
        <v>0</v>
      </c>
      <c r="AH4" s="198">
        <f>SUMIFS('май 2023'!$G$4:$G$815,'май 2023'!$D$4:$D$815,$B4,'май 2023'!$J$4:$J$815,AH$1)</f>
        <v>0</v>
      </c>
      <c r="AI4" s="170">
        <f t="shared" si="1"/>
        <v>800</v>
      </c>
    </row>
    <row r="5" spans="2:35" ht="15" customHeight="1" x14ac:dyDescent="0.25">
      <c r="B5" s="199" t="s">
        <v>165</v>
      </c>
      <c r="C5" s="200">
        <v>25</v>
      </c>
      <c r="D5" s="198">
        <f>SUMIFS('май 2023'!$G$4:$G$815,'май 2023'!$D$4:$D$815,$B5,'май 2023'!$J$4:$J$815,D$1)</f>
        <v>0</v>
      </c>
      <c r="E5" s="198">
        <f>SUMIFS('май 2023'!$G$4:$G$815,'май 2023'!$D$4:$D$815,$B5,'май 2023'!$J$4:$J$815,E$1)</f>
        <v>800</v>
      </c>
      <c r="F5" s="198">
        <f>SUMIFS('май 2023'!$G$4:$G$815,'май 2023'!$D$4:$D$815,$B5,'май 2023'!$J$4:$J$815,F$1)</f>
        <v>0</v>
      </c>
      <c r="G5" s="198">
        <f>SUMIFS('май 2023'!$G$4:$G$815,'май 2023'!$D$4:$D$815,$B5,'май 2023'!$J$4:$J$815,G$1)</f>
        <v>0</v>
      </c>
      <c r="H5" s="198">
        <f>SUMIFS('май 2023'!$G$4:$G$815,'май 2023'!$D$4:$D$815,$B5,'май 2023'!$J$4:$J$815,H$1)</f>
        <v>800</v>
      </c>
      <c r="I5" s="198">
        <f>SUMIFS('май 2023'!$G$4:$G$815,'май 2023'!$D$4:$D$815,$B5,'май 2023'!$J$4:$J$815,I$1)</f>
        <v>0</v>
      </c>
      <c r="J5" s="198">
        <f>SUMIFS('май 2023'!$G$4:$G$815,'май 2023'!$D$4:$D$815,$B5,'май 2023'!$J$4:$J$815,J$1)</f>
        <v>0</v>
      </c>
      <c r="K5" s="198">
        <f>SUMIFS('май 2023'!$G$4:$G$815,'май 2023'!$D$4:$D$815,$B5,'май 2023'!$J$4:$J$815,K$1)</f>
        <v>0</v>
      </c>
      <c r="L5" s="198">
        <f>SUMIFS('май 2023'!$G$4:$G$815,'май 2023'!$D$4:$D$815,$B5,'май 2023'!$J$4:$J$815,L$1)</f>
        <v>0</v>
      </c>
      <c r="M5" s="198">
        <f>SUMIFS('май 2023'!$G$4:$G$815,'май 2023'!$D$4:$D$815,$B5,'май 2023'!$J$4:$J$815,M$1)</f>
        <v>800</v>
      </c>
      <c r="N5" s="198">
        <f>SUMIFS('май 2023'!$G$4:$G$815,'май 2023'!$D$4:$D$815,$B5,'май 2023'!$J$4:$J$815,N$1)</f>
        <v>0</v>
      </c>
      <c r="O5" s="198">
        <f>SUMIFS('май 2023'!$G$4:$G$815,'май 2023'!$D$4:$D$815,$B5,'май 2023'!$J$4:$J$815,O$1)</f>
        <v>80</v>
      </c>
      <c r="P5" s="198">
        <f>SUMIFS('май 2023'!$G$4:$G$815,'май 2023'!$D$4:$D$815,$B5,'май 2023'!$J$4:$J$815,P$1)</f>
        <v>0</v>
      </c>
      <c r="Q5" s="198">
        <f>SUMIFS('май 2023'!$G$4:$G$815,'май 2023'!$D$4:$D$815,$B5,'май 2023'!$J$4:$J$815,Q$1)</f>
        <v>0</v>
      </c>
      <c r="R5" s="198">
        <f>SUMIFS('май 2023'!$G$4:$G$815,'май 2023'!$D$4:$D$815,$B5,'май 2023'!$J$4:$J$815,R$1)</f>
        <v>0</v>
      </c>
      <c r="S5" s="198">
        <f>SUMIFS('май 2023'!$G$4:$G$815,'май 2023'!$D$4:$D$815,$B5,'май 2023'!$J$4:$J$815,S$1)</f>
        <v>0</v>
      </c>
      <c r="T5" s="198">
        <f>SUMIFS('май 2023'!$G$4:$G$815,'май 2023'!$D$4:$D$815,$B5,'май 2023'!$J$4:$J$815,T$1)</f>
        <v>0</v>
      </c>
      <c r="U5" s="198">
        <f>SUMIFS('май 2023'!$G$4:$G$815,'май 2023'!$D$4:$D$815,$B5,'май 2023'!$J$4:$J$815,U$1)</f>
        <v>0</v>
      </c>
      <c r="V5" s="198">
        <f>SUMIFS('май 2023'!$G$4:$G$815,'май 2023'!$D$4:$D$815,$B5,'май 2023'!$J$4:$J$815,V$1)</f>
        <v>0</v>
      </c>
      <c r="W5" s="198">
        <f>SUMIFS('май 2023'!$G$4:$G$815,'май 2023'!$D$4:$D$815,$B5,'май 2023'!$J$4:$J$815,W$1)</f>
        <v>0</v>
      </c>
      <c r="X5" s="198">
        <f>SUMIFS('май 2023'!$G$4:$G$815,'май 2023'!$D$4:$D$815,$B5,'май 2023'!$J$4:$J$815,X$1)</f>
        <v>0</v>
      </c>
      <c r="Y5" s="198">
        <f>SUMIFS('май 2023'!$G$4:$G$815,'май 2023'!$D$4:$D$815,$B5,'май 2023'!$J$4:$J$815,Y$1)</f>
        <v>0</v>
      </c>
      <c r="Z5" s="198">
        <f>SUMIFS('май 2023'!$G$4:$G$815,'май 2023'!$D$4:$D$815,$B5,'май 2023'!$J$4:$J$815,Z$1)</f>
        <v>0</v>
      </c>
      <c r="AA5" s="198">
        <f>SUMIFS('май 2023'!$G$4:$G$815,'май 2023'!$D$4:$D$815,$B5,'май 2023'!$J$4:$J$815,AA$1)</f>
        <v>0</v>
      </c>
      <c r="AB5" s="198">
        <f>SUMIFS('май 2023'!$G$4:$G$815,'май 2023'!$D$4:$D$815,$B5,'май 2023'!$J$4:$J$815,AB$1)</f>
        <v>0</v>
      </c>
      <c r="AC5" s="198">
        <f>SUMIFS('май 2023'!$G$4:$G$815,'май 2023'!$D$4:$D$815,$B5,'май 2023'!$J$4:$J$815,AC$1)</f>
        <v>0</v>
      </c>
      <c r="AD5" s="198">
        <f>SUMIFS('май 2023'!$G$4:$G$815,'май 2023'!$D$4:$D$815,$B5,'май 2023'!$J$4:$J$815,AD$1)</f>
        <v>0</v>
      </c>
      <c r="AE5" s="198">
        <f>SUMIFS('май 2023'!$G$4:$G$815,'май 2023'!$D$4:$D$815,$B5,'май 2023'!$J$4:$J$815,AE$1)</f>
        <v>0</v>
      </c>
      <c r="AF5" s="198">
        <f>SUMIFS('май 2023'!$G$4:$G$815,'май 2023'!$D$4:$D$815,$B5,'май 2023'!$J$4:$J$815,AF$1)</f>
        <v>0</v>
      </c>
      <c r="AG5" s="198">
        <f>SUMIFS('май 2023'!$G$4:$G$815,'май 2023'!$D$4:$D$815,$B5,'май 2023'!$J$4:$J$815,AG$1)</f>
        <v>0</v>
      </c>
      <c r="AH5" s="198">
        <f>SUMIFS('май 2023'!$G$4:$G$815,'май 2023'!$D$4:$D$815,$B5,'май 2023'!$J$4:$J$815,AH$1)</f>
        <v>0</v>
      </c>
      <c r="AI5" s="170">
        <f t="shared" si="1"/>
        <v>2480</v>
      </c>
    </row>
    <row r="6" spans="2:35" ht="15" customHeight="1" x14ac:dyDescent="0.25">
      <c r="B6" s="199" t="s">
        <v>2084</v>
      </c>
      <c r="C6" s="200">
        <v>22.7</v>
      </c>
      <c r="D6" s="198">
        <f>SUMIFS('май 2023'!$G$4:$G$815,'май 2023'!$D$4:$D$815,$B6,'май 2023'!$J$4:$J$815,D$1)</f>
        <v>0</v>
      </c>
      <c r="E6" s="198">
        <f>SUMIFS('май 2023'!$G$4:$G$815,'май 2023'!$D$4:$D$815,$B6,'май 2023'!$J$4:$J$815,E$1)</f>
        <v>0</v>
      </c>
      <c r="F6" s="198">
        <f>SUMIFS('май 2023'!$G$4:$G$815,'май 2023'!$D$4:$D$815,$B6,'май 2023'!$J$4:$J$815,F$1)</f>
        <v>0</v>
      </c>
      <c r="G6" s="198">
        <f>SUMIFS('май 2023'!$G$4:$G$815,'май 2023'!$D$4:$D$815,$B6,'май 2023'!$J$4:$J$815,G$1)</f>
        <v>0</v>
      </c>
      <c r="H6" s="198">
        <f>SUMIFS('май 2023'!$G$4:$G$815,'май 2023'!$D$4:$D$815,$B6,'май 2023'!$J$4:$J$815,H$1)</f>
        <v>0</v>
      </c>
      <c r="I6" s="198">
        <f>SUMIFS('май 2023'!$G$4:$G$815,'май 2023'!$D$4:$D$815,$B6,'май 2023'!$J$4:$J$815,I$1)</f>
        <v>0</v>
      </c>
      <c r="J6" s="198">
        <f>SUMIFS('май 2023'!$G$4:$G$815,'май 2023'!$D$4:$D$815,$B6,'май 2023'!$J$4:$J$815,J$1)</f>
        <v>0</v>
      </c>
      <c r="K6" s="198">
        <f>SUMIFS('май 2023'!$G$4:$G$815,'май 2023'!$D$4:$D$815,$B6,'май 2023'!$J$4:$J$815,K$1)</f>
        <v>0</v>
      </c>
      <c r="L6" s="198">
        <f>SUMIFS('май 2023'!$G$4:$G$815,'май 2023'!$D$4:$D$815,$B6,'май 2023'!$J$4:$J$815,L$1)</f>
        <v>0</v>
      </c>
      <c r="M6" s="198">
        <f>SUMIFS('май 2023'!$G$4:$G$815,'май 2023'!$D$4:$D$815,$B6,'май 2023'!$J$4:$J$815,M$1)</f>
        <v>0</v>
      </c>
      <c r="N6" s="198">
        <f>SUMIFS('май 2023'!$G$4:$G$815,'май 2023'!$D$4:$D$815,$B6,'май 2023'!$J$4:$J$815,N$1)</f>
        <v>0</v>
      </c>
      <c r="O6" s="198">
        <f>SUMIFS('май 2023'!$G$4:$G$815,'май 2023'!$D$4:$D$815,$B6,'май 2023'!$J$4:$J$815,O$1)</f>
        <v>0</v>
      </c>
      <c r="P6" s="198">
        <f>SUMIFS('май 2023'!$G$4:$G$815,'май 2023'!$D$4:$D$815,$B6,'май 2023'!$J$4:$J$815,P$1)</f>
        <v>0</v>
      </c>
      <c r="Q6" s="198">
        <f>SUMIFS('май 2023'!$G$4:$G$815,'май 2023'!$D$4:$D$815,$B6,'май 2023'!$J$4:$J$815,Q$1)</f>
        <v>0</v>
      </c>
      <c r="R6" s="198">
        <f>SUMIFS('май 2023'!$G$4:$G$815,'май 2023'!$D$4:$D$815,$B6,'май 2023'!$J$4:$J$815,R$1)</f>
        <v>0</v>
      </c>
      <c r="S6" s="198">
        <f>SUMIFS('май 2023'!$G$4:$G$815,'май 2023'!$D$4:$D$815,$B6,'май 2023'!$J$4:$J$815,S$1)</f>
        <v>0</v>
      </c>
      <c r="T6" s="198">
        <f>SUMIFS('май 2023'!$G$4:$G$815,'май 2023'!$D$4:$D$815,$B6,'май 2023'!$J$4:$J$815,T$1)</f>
        <v>0</v>
      </c>
      <c r="U6" s="198">
        <f>SUMIFS('май 2023'!$G$4:$G$815,'май 2023'!$D$4:$D$815,$B6,'май 2023'!$J$4:$J$815,U$1)</f>
        <v>0</v>
      </c>
      <c r="V6" s="198">
        <f>SUMIFS('май 2023'!$G$4:$G$815,'май 2023'!$D$4:$D$815,$B6,'май 2023'!$J$4:$J$815,V$1)</f>
        <v>0</v>
      </c>
      <c r="W6" s="198">
        <f>SUMIFS('май 2023'!$G$4:$G$815,'май 2023'!$D$4:$D$815,$B6,'май 2023'!$J$4:$J$815,W$1)</f>
        <v>0</v>
      </c>
      <c r="X6" s="198">
        <f>SUMIFS('май 2023'!$G$4:$G$815,'май 2023'!$D$4:$D$815,$B6,'май 2023'!$J$4:$J$815,X$1)</f>
        <v>0</v>
      </c>
      <c r="Y6" s="198">
        <f>SUMIFS('май 2023'!$G$4:$G$815,'май 2023'!$D$4:$D$815,$B6,'май 2023'!$J$4:$J$815,Y$1)</f>
        <v>0</v>
      </c>
      <c r="Z6" s="198">
        <f>SUMIFS('май 2023'!$G$4:$G$815,'май 2023'!$D$4:$D$815,$B6,'май 2023'!$J$4:$J$815,Z$1)</f>
        <v>0</v>
      </c>
      <c r="AA6" s="198">
        <f>SUMIFS('май 2023'!$G$4:$G$815,'май 2023'!$D$4:$D$815,$B6,'май 2023'!$J$4:$J$815,AA$1)</f>
        <v>0</v>
      </c>
      <c r="AB6" s="198">
        <f>SUMIFS('май 2023'!$G$4:$G$815,'май 2023'!$D$4:$D$815,$B6,'май 2023'!$J$4:$J$815,AB$1)</f>
        <v>0</v>
      </c>
      <c r="AC6" s="198">
        <f>SUMIFS('май 2023'!$G$4:$G$815,'май 2023'!$D$4:$D$815,$B6,'май 2023'!$J$4:$J$815,AC$1)</f>
        <v>0</v>
      </c>
      <c r="AD6" s="198">
        <f>SUMIFS('май 2023'!$G$4:$G$815,'май 2023'!$D$4:$D$815,$B6,'май 2023'!$J$4:$J$815,AD$1)</f>
        <v>0</v>
      </c>
      <c r="AE6" s="198">
        <f>SUMIFS('май 2023'!$G$4:$G$815,'май 2023'!$D$4:$D$815,$B6,'май 2023'!$J$4:$J$815,AE$1)</f>
        <v>0</v>
      </c>
      <c r="AF6" s="198">
        <f>SUMIFS('май 2023'!$G$4:$G$815,'май 2023'!$D$4:$D$815,$B6,'май 2023'!$J$4:$J$815,AF$1)</f>
        <v>0</v>
      </c>
      <c r="AG6" s="198">
        <f>SUMIFS('май 2023'!$G$4:$G$815,'май 2023'!$D$4:$D$815,$B6,'май 2023'!$J$4:$J$815,AG$1)</f>
        <v>0</v>
      </c>
      <c r="AH6" s="198">
        <f>SUMIFS('май 2023'!$G$4:$G$815,'май 2023'!$D$4:$D$815,$B6,'май 2023'!$J$4:$J$815,AH$1)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SUMIFS('май 2023'!$G$4:$G$815,'май 2023'!$D$4:$D$815,$B7,'май 2023'!$J$4:$J$815,D$1)</f>
        <v>0</v>
      </c>
      <c r="E7" s="198">
        <f>SUMIFS('май 2023'!$G$4:$G$815,'май 2023'!$D$4:$D$815,$B7,'май 2023'!$J$4:$J$815,E$1)</f>
        <v>0</v>
      </c>
      <c r="F7" s="198">
        <f>SUMIFS('май 2023'!$G$4:$G$815,'май 2023'!$D$4:$D$815,$B7,'май 2023'!$J$4:$J$815,F$1)</f>
        <v>0</v>
      </c>
      <c r="G7" s="198">
        <f>SUMIFS('май 2023'!$G$4:$G$815,'май 2023'!$D$4:$D$815,$B7,'май 2023'!$J$4:$J$815,G$1)</f>
        <v>0</v>
      </c>
      <c r="H7" s="198">
        <f>SUMIFS('май 2023'!$G$4:$G$815,'май 2023'!$D$4:$D$815,$B7,'май 2023'!$J$4:$J$815,H$1)</f>
        <v>0</v>
      </c>
      <c r="I7" s="198">
        <f>SUMIFS('май 2023'!$G$4:$G$815,'май 2023'!$D$4:$D$815,$B7,'май 2023'!$J$4:$J$815,I$1)</f>
        <v>0</v>
      </c>
      <c r="J7" s="198">
        <f>SUMIFS('май 2023'!$G$4:$G$815,'май 2023'!$D$4:$D$815,$B7,'май 2023'!$J$4:$J$815,J$1)</f>
        <v>0</v>
      </c>
      <c r="K7" s="198">
        <f>SUMIFS('май 2023'!$G$4:$G$815,'май 2023'!$D$4:$D$815,$B7,'май 2023'!$J$4:$J$815,K$1)</f>
        <v>0</v>
      </c>
      <c r="L7" s="198">
        <f>SUMIFS('май 2023'!$G$4:$G$815,'май 2023'!$D$4:$D$815,$B7,'май 2023'!$J$4:$J$815,L$1)</f>
        <v>0</v>
      </c>
      <c r="M7" s="198">
        <f>SUMIFS('май 2023'!$G$4:$G$815,'май 2023'!$D$4:$D$815,$B7,'май 2023'!$J$4:$J$815,M$1)</f>
        <v>0</v>
      </c>
      <c r="N7" s="198">
        <f>SUMIFS('май 2023'!$G$4:$G$815,'май 2023'!$D$4:$D$815,$B7,'май 2023'!$J$4:$J$815,N$1)</f>
        <v>0</v>
      </c>
      <c r="O7" s="198">
        <f>SUMIFS('май 2023'!$G$4:$G$815,'май 2023'!$D$4:$D$815,$B7,'май 2023'!$J$4:$J$815,O$1)</f>
        <v>0</v>
      </c>
      <c r="P7" s="198">
        <f>SUMIFS('май 2023'!$G$4:$G$815,'май 2023'!$D$4:$D$815,$B7,'май 2023'!$J$4:$J$815,P$1)</f>
        <v>0</v>
      </c>
      <c r="Q7" s="198">
        <f>SUMIFS('май 2023'!$G$4:$G$815,'май 2023'!$D$4:$D$815,$B7,'май 2023'!$J$4:$J$815,Q$1)</f>
        <v>0</v>
      </c>
      <c r="R7" s="198">
        <f>SUMIFS('май 2023'!$G$4:$G$815,'май 2023'!$D$4:$D$815,$B7,'май 2023'!$J$4:$J$815,R$1)</f>
        <v>0</v>
      </c>
      <c r="S7" s="198">
        <f>SUMIFS('май 2023'!$G$4:$G$815,'май 2023'!$D$4:$D$815,$B7,'май 2023'!$J$4:$J$815,S$1)</f>
        <v>0</v>
      </c>
      <c r="T7" s="198">
        <f>SUMIFS('май 2023'!$G$4:$G$815,'май 2023'!$D$4:$D$815,$B7,'май 2023'!$J$4:$J$815,T$1)</f>
        <v>0</v>
      </c>
      <c r="U7" s="198">
        <f>SUMIFS('май 2023'!$G$4:$G$815,'май 2023'!$D$4:$D$815,$B7,'май 2023'!$J$4:$J$815,U$1)</f>
        <v>0</v>
      </c>
      <c r="V7" s="198">
        <f>SUMIFS('май 2023'!$G$4:$G$815,'май 2023'!$D$4:$D$815,$B7,'май 2023'!$J$4:$J$815,V$1)</f>
        <v>0</v>
      </c>
      <c r="W7" s="198">
        <f>SUMIFS('май 2023'!$G$4:$G$815,'май 2023'!$D$4:$D$815,$B7,'май 2023'!$J$4:$J$815,W$1)</f>
        <v>0</v>
      </c>
      <c r="X7" s="198">
        <f>SUMIFS('май 2023'!$G$4:$G$815,'май 2023'!$D$4:$D$815,$B7,'май 2023'!$J$4:$J$815,X$1)</f>
        <v>0</v>
      </c>
      <c r="Y7" s="198">
        <f>SUMIFS('май 2023'!$G$4:$G$815,'май 2023'!$D$4:$D$815,$B7,'май 2023'!$J$4:$J$815,Y$1)</f>
        <v>0</v>
      </c>
      <c r="Z7" s="198">
        <f>SUMIFS('май 2023'!$G$4:$G$815,'май 2023'!$D$4:$D$815,$B7,'май 2023'!$J$4:$J$815,Z$1)</f>
        <v>0</v>
      </c>
      <c r="AA7" s="198">
        <f>SUMIFS('май 2023'!$G$4:$G$815,'май 2023'!$D$4:$D$815,$B7,'май 2023'!$J$4:$J$815,AA$1)</f>
        <v>0</v>
      </c>
      <c r="AB7" s="198">
        <f>SUMIFS('май 2023'!$G$4:$G$815,'май 2023'!$D$4:$D$815,$B7,'май 2023'!$J$4:$J$815,AB$1)</f>
        <v>0</v>
      </c>
      <c r="AC7" s="198">
        <f>SUMIFS('май 2023'!$G$4:$G$815,'май 2023'!$D$4:$D$815,$B7,'май 2023'!$J$4:$J$815,AC$1)</f>
        <v>0</v>
      </c>
      <c r="AD7" s="198">
        <f>SUMIFS('май 2023'!$G$4:$G$815,'май 2023'!$D$4:$D$815,$B7,'май 2023'!$J$4:$J$815,AD$1)</f>
        <v>0</v>
      </c>
      <c r="AE7" s="198">
        <f>SUMIFS('май 2023'!$G$4:$G$815,'май 2023'!$D$4:$D$815,$B7,'май 2023'!$J$4:$J$815,AE$1)</f>
        <v>0</v>
      </c>
      <c r="AF7" s="198">
        <f>SUMIFS('май 2023'!$G$4:$G$815,'май 2023'!$D$4:$D$815,$B7,'май 2023'!$J$4:$J$815,AF$1)</f>
        <v>0</v>
      </c>
      <c r="AG7" s="198">
        <f>SUMIFS('май 2023'!$G$4:$G$815,'май 2023'!$D$4:$D$815,$B7,'май 2023'!$J$4:$J$815,AG$1)</f>
        <v>0</v>
      </c>
      <c r="AH7" s="198">
        <f>SUMIFS('май 2023'!$G$4:$G$815,'май 2023'!$D$4:$D$815,$B7,'май 2023'!$J$4:$J$815,AH$1)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SUMIFS('май 2023'!$G$4:$G$815,'май 2023'!$D$4:$D$815,$B8,'май 2023'!$J$4:$J$815,D$1)</f>
        <v>0</v>
      </c>
      <c r="E8" s="198">
        <f>SUMIFS('май 2023'!$G$4:$G$815,'май 2023'!$D$4:$D$815,$B8,'май 2023'!$J$4:$J$815,E$1)</f>
        <v>0</v>
      </c>
      <c r="F8" s="198">
        <f>SUMIFS('май 2023'!$G$4:$G$815,'май 2023'!$D$4:$D$815,$B8,'май 2023'!$J$4:$J$815,F$1)</f>
        <v>0</v>
      </c>
      <c r="G8" s="198">
        <f>SUMIFS('май 2023'!$G$4:$G$815,'май 2023'!$D$4:$D$815,$B8,'май 2023'!$J$4:$J$815,G$1)</f>
        <v>0</v>
      </c>
      <c r="H8" s="198">
        <f>SUMIFS('май 2023'!$G$4:$G$815,'май 2023'!$D$4:$D$815,$B8,'май 2023'!$J$4:$J$815,H$1)</f>
        <v>0</v>
      </c>
      <c r="I8" s="198">
        <f>SUMIFS('май 2023'!$G$4:$G$815,'май 2023'!$D$4:$D$815,$B8,'май 2023'!$J$4:$J$815,I$1)</f>
        <v>0</v>
      </c>
      <c r="J8" s="198">
        <f>SUMIFS('май 2023'!$G$4:$G$815,'май 2023'!$D$4:$D$815,$B8,'май 2023'!$J$4:$J$815,J$1)</f>
        <v>0</v>
      </c>
      <c r="K8" s="198">
        <f>SUMIFS('май 2023'!$G$4:$G$815,'май 2023'!$D$4:$D$815,$B8,'май 2023'!$J$4:$J$815,K$1)</f>
        <v>0</v>
      </c>
      <c r="L8" s="198">
        <f>SUMIFS('май 2023'!$G$4:$G$815,'май 2023'!$D$4:$D$815,$B8,'май 2023'!$J$4:$J$815,L$1)</f>
        <v>0</v>
      </c>
      <c r="M8" s="198">
        <f>SUMIFS('май 2023'!$G$4:$G$815,'май 2023'!$D$4:$D$815,$B8,'май 2023'!$J$4:$J$815,M$1)</f>
        <v>0</v>
      </c>
      <c r="N8" s="198">
        <f>SUMIFS('май 2023'!$G$4:$G$815,'май 2023'!$D$4:$D$815,$B8,'май 2023'!$J$4:$J$815,N$1)</f>
        <v>0</v>
      </c>
      <c r="O8" s="198">
        <f>SUMIFS('май 2023'!$G$4:$G$815,'май 2023'!$D$4:$D$815,$B8,'май 2023'!$J$4:$J$815,O$1)</f>
        <v>0</v>
      </c>
      <c r="P8" s="198">
        <f>SUMIFS('май 2023'!$G$4:$G$815,'май 2023'!$D$4:$D$815,$B8,'май 2023'!$J$4:$J$815,P$1)</f>
        <v>0</v>
      </c>
      <c r="Q8" s="198">
        <f>SUMIFS('май 2023'!$G$4:$G$815,'май 2023'!$D$4:$D$815,$B8,'май 2023'!$J$4:$J$815,Q$1)</f>
        <v>0</v>
      </c>
      <c r="R8" s="198">
        <f>SUMIFS('май 2023'!$G$4:$G$815,'май 2023'!$D$4:$D$815,$B8,'май 2023'!$J$4:$J$815,R$1)</f>
        <v>0</v>
      </c>
      <c r="S8" s="198">
        <f>SUMIFS('май 2023'!$G$4:$G$815,'май 2023'!$D$4:$D$815,$B8,'май 2023'!$J$4:$J$815,S$1)</f>
        <v>0</v>
      </c>
      <c r="T8" s="198">
        <f>SUMIFS('май 2023'!$G$4:$G$815,'май 2023'!$D$4:$D$815,$B8,'май 2023'!$J$4:$J$815,T$1)</f>
        <v>0</v>
      </c>
      <c r="U8" s="198">
        <f>SUMIFS('май 2023'!$G$4:$G$815,'май 2023'!$D$4:$D$815,$B8,'май 2023'!$J$4:$J$815,U$1)</f>
        <v>0</v>
      </c>
      <c r="V8" s="198">
        <f>SUMIFS('май 2023'!$G$4:$G$815,'май 2023'!$D$4:$D$815,$B8,'май 2023'!$J$4:$J$815,V$1)</f>
        <v>0</v>
      </c>
      <c r="W8" s="198">
        <f>SUMIFS('май 2023'!$G$4:$G$815,'май 2023'!$D$4:$D$815,$B8,'май 2023'!$J$4:$J$815,W$1)</f>
        <v>0</v>
      </c>
      <c r="X8" s="198">
        <f>SUMIFS('май 2023'!$G$4:$G$815,'май 2023'!$D$4:$D$815,$B8,'май 2023'!$J$4:$J$815,X$1)</f>
        <v>0</v>
      </c>
      <c r="Y8" s="198">
        <f>SUMIFS('май 2023'!$G$4:$G$815,'май 2023'!$D$4:$D$815,$B8,'май 2023'!$J$4:$J$815,Y$1)</f>
        <v>0</v>
      </c>
      <c r="Z8" s="198">
        <f>SUMIFS('май 2023'!$G$4:$G$815,'май 2023'!$D$4:$D$815,$B8,'май 2023'!$J$4:$J$815,Z$1)</f>
        <v>0</v>
      </c>
      <c r="AA8" s="198">
        <f>SUMIFS('май 2023'!$G$4:$G$815,'май 2023'!$D$4:$D$815,$B8,'май 2023'!$J$4:$J$815,AA$1)</f>
        <v>0</v>
      </c>
      <c r="AB8" s="198">
        <f>SUMIFS('май 2023'!$G$4:$G$815,'май 2023'!$D$4:$D$815,$B8,'май 2023'!$J$4:$J$815,AB$1)</f>
        <v>0</v>
      </c>
      <c r="AC8" s="198">
        <f>SUMIFS('май 2023'!$G$4:$G$815,'май 2023'!$D$4:$D$815,$B8,'май 2023'!$J$4:$J$815,AC$1)</f>
        <v>0</v>
      </c>
      <c r="AD8" s="198">
        <f>SUMIFS('май 2023'!$G$4:$G$815,'май 2023'!$D$4:$D$815,$B8,'май 2023'!$J$4:$J$815,AD$1)</f>
        <v>0</v>
      </c>
      <c r="AE8" s="198">
        <f>SUMIFS('май 2023'!$G$4:$G$815,'май 2023'!$D$4:$D$815,$B8,'май 2023'!$J$4:$J$815,AE$1)</f>
        <v>0</v>
      </c>
      <c r="AF8" s="198">
        <f>SUMIFS('май 2023'!$G$4:$G$815,'май 2023'!$D$4:$D$815,$B8,'май 2023'!$J$4:$J$815,AF$1)</f>
        <v>875</v>
      </c>
      <c r="AG8" s="198">
        <f>SUMIFS('май 2023'!$G$4:$G$815,'май 2023'!$D$4:$D$815,$B8,'май 2023'!$J$4:$J$815,AG$1)</f>
        <v>875</v>
      </c>
      <c r="AH8" s="198">
        <f>SUMIFS('май 2023'!$G$4:$G$815,'май 2023'!$D$4:$D$815,$B8,'май 2023'!$J$4:$J$815,AH$1)</f>
        <v>875</v>
      </c>
      <c r="AI8" s="170">
        <f t="shared" si="1"/>
        <v>2625</v>
      </c>
    </row>
    <row r="9" spans="2:35" ht="15" customHeight="1" x14ac:dyDescent="0.25">
      <c r="B9" s="199" t="s">
        <v>2053</v>
      </c>
      <c r="C9" s="200">
        <v>25</v>
      </c>
      <c r="D9" s="198">
        <f>SUMIFS('май 2023'!$G$4:$G$815,'май 2023'!$D$4:$D$815,$B9,'май 2023'!$J$4:$J$815,D$1)</f>
        <v>0</v>
      </c>
      <c r="E9" s="198">
        <f>SUMIFS('май 2023'!$G$4:$G$815,'май 2023'!$D$4:$D$815,$B9,'май 2023'!$J$4:$J$815,E$1)</f>
        <v>0</v>
      </c>
      <c r="F9" s="198">
        <f>SUMIFS('май 2023'!$G$4:$G$815,'май 2023'!$D$4:$D$815,$B9,'май 2023'!$J$4:$J$815,F$1)</f>
        <v>0</v>
      </c>
      <c r="G9" s="198">
        <f>SUMIFS('май 2023'!$G$4:$G$815,'май 2023'!$D$4:$D$815,$B9,'май 2023'!$J$4:$J$815,G$1)</f>
        <v>0</v>
      </c>
      <c r="H9" s="198">
        <f>SUMIFS('май 2023'!$G$4:$G$815,'май 2023'!$D$4:$D$815,$B9,'май 2023'!$J$4:$J$815,H$1)</f>
        <v>0</v>
      </c>
      <c r="I9" s="198">
        <f>SUMIFS('май 2023'!$G$4:$G$815,'май 2023'!$D$4:$D$815,$B9,'май 2023'!$J$4:$J$815,I$1)</f>
        <v>0</v>
      </c>
      <c r="J9" s="198">
        <f>SUMIFS('май 2023'!$G$4:$G$815,'май 2023'!$D$4:$D$815,$B9,'май 2023'!$J$4:$J$815,J$1)</f>
        <v>0</v>
      </c>
      <c r="K9" s="198">
        <f>SUMIFS('май 2023'!$G$4:$G$815,'май 2023'!$D$4:$D$815,$B9,'май 2023'!$J$4:$J$815,K$1)</f>
        <v>0</v>
      </c>
      <c r="L9" s="198">
        <f>SUMIFS('май 2023'!$G$4:$G$815,'май 2023'!$D$4:$D$815,$B9,'май 2023'!$J$4:$J$815,L$1)</f>
        <v>0</v>
      </c>
      <c r="M9" s="198">
        <f>SUMIFS('май 2023'!$G$4:$G$815,'май 2023'!$D$4:$D$815,$B9,'май 2023'!$J$4:$J$815,M$1)</f>
        <v>0</v>
      </c>
      <c r="N9" s="198">
        <f>SUMIFS('май 2023'!$G$4:$G$815,'май 2023'!$D$4:$D$815,$B9,'май 2023'!$J$4:$J$815,N$1)</f>
        <v>0</v>
      </c>
      <c r="O9" s="198">
        <f>SUMIFS('май 2023'!$G$4:$G$815,'май 2023'!$D$4:$D$815,$B9,'май 2023'!$J$4:$J$815,O$1)</f>
        <v>0</v>
      </c>
      <c r="P9" s="198">
        <f>SUMIFS('май 2023'!$G$4:$G$815,'май 2023'!$D$4:$D$815,$B9,'май 2023'!$J$4:$J$815,P$1)</f>
        <v>0</v>
      </c>
      <c r="Q9" s="198">
        <f>SUMIFS('май 2023'!$G$4:$G$815,'май 2023'!$D$4:$D$815,$B9,'май 2023'!$J$4:$J$815,Q$1)</f>
        <v>0</v>
      </c>
      <c r="R9" s="198">
        <f>SUMIFS('май 2023'!$G$4:$G$815,'май 2023'!$D$4:$D$815,$B9,'май 2023'!$J$4:$J$815,R$1)</f>
        <v>0</v>
      </c>
      <c r="S9" s="198">
        <f>SUMIFS('май 2023'!$G$4:$G$815,'май 2023'!$D$4:$D$815,$B9,'май 2023'!$J$4:$J$815,S$1)</f>
        <v>0</v>
      </c>
      <c r="T9" s="198">
        <f>SUMIFS('май 2023'!$G$4:$G$815,'май 2023'!$D$4:$D$815,$B9,'май 2023'!$J$4:$J$815,T$1)</f>
        <v>0</v>
      </c>
      <c r="U9" s="198">
        <f>SUMIFS('май 2023'!$G$4:$G$815,'май 2023'!$D$4:$D$815,$B9,'май 2023'!$J$4:$J$815,U$1)</f>
        <v>0</v>
      </c>
      <c r="V9" s="198">
        <f>SUMIFS('май 2023'!$G$4:$G$815,'май 2023'!$D$4:$D$815,$B9,'май 2023'!$J$4:$J$815,V$1)</f>
        <v>0</v>
      </c>
      <c r="W9" s="198">
        <f>SUMIFS('май 2023'!$G$4:$G$815,'май 2023'!$D$4:$D$815,$B9,'май 2023'!$J$4:$J$815,W$1)</f>
        <v>0</v>
      </c>
      <c r="X9" s="198">
        <f>SUMIFS('май 2023'!$G$4:$G$815,'май 2023'!$D$4:$D$815,$B9,'май 2023'!$J$4:$J$815,X$1)</f>
        <v>0</v>
      </c>
      <c r="Y9" s="198">
        <f>SUMIFS('май 2023'!$G$4:$G$815,'май 2023'!$D$4:$D$815,$B9,'май 2023'!$J$4:$J$815,Y$1)</f>
        <v>0</v>
      </c>
      <c r="Z9" s="198">
        <f>SUMIFS('май 2023'!$G$4:$G$815,'май 2023'!$D$4:$D$815,$B9,'май 2023'!$J$4:$J$815,Z$1)</f>
        <v>0</v>
      </c>
      <c r="AA9" s="198">
        <f>SUMIFS('май 2023'!$G$4:$G$815,'май 2023'!$D$4:$D$815,$B9,'май 2023'!$J$4:$J$815,AA$1)</f>
        <v>0</v>
      </c>
      <c r="AB9" s="198">
        <f>SUMIFS('май 2023'!$G$4:$G$815,'май 2023'!$D$4:$D$815,$B9,'май 2023'!$J$4:$J$815,AB$1)</f>
        <v>0</v>
      </c>
      <c r="AC9" s="198">
        <f>SUMIFS('май 2023'!$G$4:$G$815,'май 2023'!$D$4:$D$815,$B9,'май 2023'!$J$4:$J$815,AC$1)</f>
        <v>0</v>
      </c>
      <c r="AD9" s="198">
        <f>SUMIFS('май 2023'!$G$4:$G$815,'май 2023'!$D$4:$D$815,$B9,'май 2023'!$J$4:$J$815,AD$1)</f>
        <v>0</v>
      </c>
      <c r="AE9" s="198">
        <f>SUMIFS('май 2023'!$G$4:$G$815,'май 2023'!$D$4:$D$815,$B9,'май 2023'!$J$4:$J$815,AE$1)</f>
        <v>0</v>
      </c>
      <c r="AF9" s="198">
        <f>SUMIFS('май 2023'!$G$4:$G$815,'май 2023'!$D$4:$D$815,$B9,'май 2023'!$J$4:$J$815,AF$1)</f>
        <v>0</v>
      </c>
      <c r="AG9" s="198">
        <f>SUMIFS('май 2023'!$G$4:$G$815,'май 2023'!$D$4:$D$815,$B9,'май 2023'!$J$4:$J$815,AG$1)</f>
        <v>0</v>
      </c>
      <c r="AH9" s="198">
        <f>SUMIFS('май 2023'!$G$4:$G$815,'май 2023'!$D$4:$D$815,$B9,'май 2023'!$J$4:$J$815,AH$1)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SUMIFS('май 2023'!$G$4:$G$815,'май 2023'!$D$4:$D$815,$B10,'май 2023'!$J$4:$J$815,D$1)</f>
        <v>0</v>
      </c>
      <c r="E10" s="198">
        <f>SUMIFS('май 2023'!$G$4:$G$815,'май 2023'!$D$4:$D$815,$B10,'май 2023'!$J$4:$J$815,E$1)</f>
        <v>0</v>
      </c>
      <c r="F10" s="198">
        <f>SUMIFS('май 2023'!$G$4:$G$815,'май 2023'!$D$4:$D$815,$B10,'май 2023'!$J$4:$J$815,F$1)</f>
        <v>0</v>
      </c>
      <c r="G10" s="198">
        <f>SUMIFS('май 2023'!$G$4:$G$815,'май 2023'!$D$4:$D$815,$B10,'май 2023'!$J$4:$J$815,G$1)</f>
        <v>0</v>
      </c>
      <c r="H10" s="198">
        <f>SUMIFS('май 2023'!$G$4:$G$815,'май 2023'!$D$4:$D$815,$B10,'май 2023'!$J$4:$J$815,H$1)</f>
        <v>0</v>
      </c>
      <c r="I10" s="198">
        <f>SUMIFS('май 2023'!$G$4:$G$815,'май 2023'!$D$4:$D$815,$B10,'май 2023'!$J$4:$J$815,I$1)</f>
        <v>0</v>
      </c>
      <c r="J10" s="198">
        <f>SUMIFS('май 2023'!$G$4:$G$815,'май 2023'!$D$4:$D$815,$B10,'май 2023'!$J$4:$J$815,J$1)</f>
        <v>0</v>
      </c>
      <c r="K10" s="198">
        <f>SUMIFS('май 2023'!$G$4:$G$815,'май 2023'!$D$4:$D$815,$B10,'май 2023'!$J$4:$J$815,K$1)</f>
        <v>0</v>
      </c>
      <c r="L10" s="198">
        <f>SUMIFS('май 2023'!$G$4:$G$815,'май 2023'!$D$4:$D$815,$B10,'май 2023'!$J$4:$J$815,L$1)</f>
        <v>0</v>
      </c>
      <c r="M10" s="198">
        <f>SUMIFS('май 2023'!$G$4:$G$815,'май 2023'!$D$4:$D$815,$B10,'май 2023'!$J$4:$J$815,M$1)</f>
        <v>0</v>
      </c>
      <c r="N10" s="198">
        <f>SUMIFS('май 2023'!$G$4:$G$815,'май 2023'!$D$4:$D$815,$B10,'май 2023'!$J$4:$J$815,N$1)</f>
        <v>0</v>
      </c>
      <c r="O10" s="198">
        <f>SUMIFS('май 2023'!$G$4:$G$815,'май 2023'!$D$4:$D$815,$B10,'май 2023'!$J$4:$J$815,O$1)</f>
        <v>0</v>
      </c>
      <c r="P10" s="198">
        <f>SUMIFS('май 2023'!$G$4:$G$815,'май 2023'!$D$4:$D$815,$B10,'май 2023'!$J$4:$J$815,P$1)</f>
        <v>0</v>
      </c>
      <c r="Q10" s="198">
        <f>SUMIFS('май 2023'!$G$4:$G$815,'май 2023'!$D$4:$D$815,$B10,'май 2023'!$J$4:$J$815,Q$1)</f>
        <v>0</v>
      </c>
      <c r="R10" s="198">
        <f>SUMIFS('май 2023'!$G$4:$G$815,'май 2023'!$D$4:$D$815,$B10,'май 2023'!$J$4:$J$815,R$1)</f>
        <v>0</v>
      </c>
      <c r="S10" s="198">
        <f>SUMIFS('май 2023'!$G$4:$G$815,'май 2023'!$D$4:$D$815,$B10,'май 2023'!$J$4:$J$815,S$1)</f>
        <v>0</v>
      </c>
      <c r="T10" s="198">
        <f>SUMIFS('май 2023'!$G$4:$G$815,'май 2023'!$D$4:$D$815,$B10,'май 2023'!$J$4:$J$815,T$1)</f>
        <v>0</v>
      </c>
      <c r="U10" s="198">
        <f>SUMIFS('май 2023'!$G$4:$G$815,'май 2023'!$D$4:$D$815,$B10,'май 2023'!$J$4:$J$815,U$1)</f>
        <v>0</v>
      </c>
      <c r="V10" s="198">
        <f>SUMIFS('май 2023'!$G$4:$G$815,'май 2023'!$D$4:$D$815,$B10,'май 2023'!$J$4:$J$815,V$1)</f>
        <v>0</v>
      </c>
      <c r="W10" s="198">
        <f>SUMIFS('май 2023'!$G$4:$G$815,'май 2023'!$D$4:$D$815,$B10,'май 2023'!$J$4:$J$815,W$1)</f>
        <v>0</v>
      </c>
      <c r="X10" s="198">
        <f>SUMIFS('май 2023'!$G$4:$G$815,'май 2023'!$D$4:$D$815,$B10,'май 2023'!$J$4:$J$815,X$1)</f>
        <v>0</v>
      </c>
      <c r="Y10" s="198">
        <f>SUMIFS('май 2023'!$G$4:$G$815,'май 2023'!$D$4:$D$815,$B10,'май 2023'!$J$4:$J$815,Y$1)</f>
        <v>0</v>
      </c>
      <c r="Z10" s="198">
        <f>SUMIFS('май 2023'!$G$4:$G$815,'май 2023'!$D$4:$D$815,$B10,'май 2023'!$J$4:$J$815,Z$1)</f>
        <v>0</v>
      </c>
      <c r="AA10" s="198">
        <f>SUMIFS('май 2023'!$G$4:$G$815,'май 2023'!$D$4:$D$815,$B10,'май 2023'!$J$4:$J$815,AA$1)</f>
        <v>0</v>
      </c>
      <c r="AB10" s="198">
        <f>SUMIFS('май 2023'!$G$4:$G$815,'май 2023'!$D$4:$D$815,$B10,'май 2023'!$J$4:$J$815,AB$1)</f>
        <v>0</v>
      </c>
      <c r="AC10" s="198">
        <f>SUMIFS('май 2023'!$G$4:$G$815,'май 2023'!$D$4:$D$815,$B10,'май 2023'!$J$4:$J$815,AC$1)</f>
        <v>0</v>
      </c>
      <c r="AD10" s="198">
        <f>SUMIFS('май 2023'!$G$4:$G$815,'май 2023'!$D$4:$D$815,$B10,'май 2023'!$J$4:$J$815,AD$1)</f>
        <v>0</v>
      </c>
      <c r="AE10" s="198">
        <f>SUMIFS('май 2023'!$G$4:$G$815,'май 2023'!$D$4:$D$815,$B10,'май 2023'!$J$4:$J$815,AE$1)</f>
        <v>0</v>
      </c>
      <c r="AF10" s="198">
        <f>SUMIFS('май 2023'!$G$4:$G$815,'май 2023'!$D$4:$D$815,$B10,'май 2023'!$J$4:$J$815,AF$1)</f>
        <v>0</v>
      </c>
      <c r="AG10" s="198">
        <f>SUMIFS('май 2023'!$G$4:$G$815,'май 2023'!$D$4:$D$815,$B10,'май 2023'!$J$4:$J$815,AG$1)</f>
        <v>0</v>
      </c>
      <c r="AH10" s="198">
        <f>SUMIFS('май 2023'!$G$4:$G$815,'май 2023'!$D$4:$D$815,$B10,'май 2023'!$J$4:$J$815,AH$1)</f>
        <v>0</v>
      </c>
      <c r="AI10" s="170">
        <f t="shared" si="1"/>
        <v>0</v>
      </c>
    </row>
    <row r="11" spans="2:35" ht="15" customHeight="1" x14ac:dyDescent="0.25">
      <c r="B11" s="202" t="s">
        <v>1342</v>
      </c>
      <c r="C11" s="203">
        <v>22.7</v>
      </c>
      <c r="D11" s="198">
        <f>SUMIFS('май 2023'!$G$4:$G$815,'май 2023'!$D$4:$D$815,$B11,'май 2023'!$J$4:$J$815,D$1)</f>
        <v>0</v>
      </c>
      <c r="E11" s="198">
        <f>SUMIFS('май 2023'!$G$4:$G$815,'май 2023'!$D$4:$D$815,$B11,'май 2023'!$J$4:$J$815,E$1)</f>
        <v>0</v>
      </c>
      <c r="F11" s="198">
        <f>SUMIFS('май 2023'!$G$4:$G$815,'май 2023'!$D$4:$D$815,$B11,'май 2023'!$J$4:$J$815,F$1)</f>
        <v>0</v>
      </c>
      <c r="G11" s="198">
        <f>SUMIFS('май 2023'!$G$4:$G$815,'май 2023'!$D$4:$D$815,$B11,'май 2023'!$J$4:$J$815,G$1)</f>
        <v>0</v>
      </c>
      <c r="H11" s="198">
        <f>SUMIFS('май 2023'!$G$4:$G$815,'май 2023'!$D$4:$D$815,$B11,'май 2023'!$J$4:$J$815,H$1)</f>
        <v>0</v>
      </c>
      <c r="I11" s="198">
        <f>SUMIFS('май 2023'!$G$4:$G$815,'май 2023'!$D$4:$D$815,$B11,'май 2023'!$J$4:$J$815,I$1)</f>
        <v>0</v>
      </c>
      <c r="J11" s="198">
        <f>SUMIFS('май 2023'!$G$4:$G$815,'май 2023'!$D$4:$D$815,$B11,'май 2023'!$J$4:$J$815,J$1)</f>
        <v>0</v>
      </c>
      <c r="K11" s="198">
        <f>SUMIFS('май 2023'!$G$4:$G$815,'май 2023'!$D$4:$D$815,$B11,'май 2023'!$J$4:$J$815,K$1)</f>
        <v>0</v>
      </c>
      <c r="L11" s="198">
        <f>SUMIFS('май 2023'!$G$4:$G$815,'май 2023'!$D$4:$D$815,$B11,'май 2023'!$J$4:$J$815,L$1)</f>
        <v>0</v>
      </c>
      <c r="M11" s="198">
        <f>SUMIFS('май 2023'!$G$4:$G$815,'май 2023'!$D$4:$D$815,$B11,'май 2023'!$J$4:$J$815,M$1)</f>
        <v>0</v>
      </c>
      <c r="N11" s="198">
        <f>SUMIFS('май 2023'!$G$4:$G$815,'май 2023'!$D$4:$D$815,$B11,'май 2023'!$J$4:$J$815,N$1)</f>
        <v>0</v>
      </c>
      <c r="O11" s="198">
        <f>SUMIFS('май 2023'!$G$4:$G$815,'май 2023'!$D$4:$D$815,$B11,'май 2023'!$J$4:$J$815,O$1)</f>
        <v>0</v>
      </c>
      <c r="P11" s="198">
        <f>SUMIFS('май 2023'!$G$4:$G$815,'май 2023'!$D$4:$D$815,$B11,'май 2023'!$J$4:$J$815,P$1)</f>
        <v>0</v>
      </c>
      <c r="Q11" s="198">
        <f>SUMIFS('май 2023'!$G$4:$G$815,'май 2023'!$D$4:$D$815,$B11,'май 2023'!$J$4:$J$815,Q$1)</f>
        <v>0</v>
      </c>
      <c r="R11" s="198">
        <f>SUMIFS('май 2023'!$G$4:$G$815,'май 2023'!$D$4:$D$815,$B11,'май 2023'!$J$4:$J$815,R$1)</f>
        <v>0</v>
      </c>
      <c r="S11" s="198">
        <f>SUMIFS('май 2023'!$G$4:$G$815,'май 2023'!$D$4:$D$815,$B11,'май 2023'!$J$4:$J$815,S$1)</f>
        <v>0</v>
      </c>
      <c r="T11" s="198">
        <f>SUMIFS('май 2023'!$G$4:$G$815,'май 2023'!$D$4:$D$815,$B11,'май 2023'!$J$4:$J$815,T$1)</f>
        <v>760</v>
      </c>
      <c r="U11" s="198">
        <f>SUMIFS('май 2023'!$G$4:$G$815,'май 2023'!$D$4:$D$815,$B11,'май 2023'!$J$4:$J$815,U$1)</f>
        <v>0</v>
      </c>
      <c r="V11" s="198">
        <f>SUMIFS('май 2023'!$G$4:$G$815,'май 2023'!$D$4:$D$815,$B11,'май 2023'!$J$4:$J$815,V$1)</f>
        <v>0</v>
      </c>
      <c r="W11" s="198">
        <f>SUMIFS('май 2023'!$G$4:$G$815,'май 2023'!$D$4:$D$815,$B11,'май 2023'!$J$4:$J$815,W$1)</f>
        <v>0</v>
      </c>
      <c r="X11" s="198">
        <f>SUMIFS('май 2023'!$G$4:$G$815,'май 2023'!$D$4:$D$815,$B11,'май 2023'!$J$4:$J$815,X$1)</f>
        <v>0</v>
      </c>
      <c r="Y11" s="198">
        <f>SUMIFS('май 2023'!$G$4:$G$815,'май 2023'!$D$4:$D$815,$B11,'май 2023'!$J$4:$J$815,Y$1)</f>
        <v>0</v>
      </c>
      <c r="Z11" s="198">
        <f>SUMIFS('май 2023'!$G$4:$G$815,'май 2023'!$D$4:$D$815,$B11,'май 2023'!$J$4:$J$815,Z$1)</f>
        <v>0</v>
      </c>
      <c r="AA11" s="198">
        <f>SUMIFS('май 2023'!$G$4:$G$815,'май 2023'!$D$4:$D$815,$B11,'май 2023'!$J$4:$J$815,AA$1)</f>
        <v>0</v>
      </c>
      <c r="AB11" s="198">
        <f>SUMIFS('май 2023'!$G$4:$G$815,'май 2023'!$D$4:$D$815,$B11,'май 2023'!$J$4:$J$815,AB$1)</f>
        <v>0</v>
      </c>
      <c r="AC11" s="198">
        <f>SUMIFS('май 2023'!$G$4:$G$815,'май 2023'!$D$4:$D$815,$B11,'май 2023'!$J$4:$J$815,AC$1)</f>
        <v>0</v>
      </c>
      <c r="AD11" s="198">
        <f>SUMIFS('май 2023'!$G$4:$G$815,'май 2023'!$D$4:$D$815,$B11,'май 2023'!$J$4:$J$815,AD$1)</f>
        <v>0</v>
      </c>
      <c r="AE11" s="198">
        <f>SUMIFS('май 2023'!$G$4:$G$815,'май 2023'!$D$4:$D$815,$B11,'май 2023'!$J$4:$J$815,AE$1)</f>
        <v>0</v>
      </c>
      <c r="AF11" s="198">
        <f>SUMIFS('май 2023'!$G$4:$G$815,'май 2023'!$D$4:$D$815,$B11,'май 2023'!$J$4:$J$815,AF$1)</f>
        <v>0</v>
      </c>
      <c r="AG11" s="198">
        <f>SUMIFS('май 2023'!$G$4:$G$815,'май 2023'!$D$4:$D$815,$B11,'май 2023'!$J$4:$J$815,AG$1)</f>
        <v>0</v>
      </c>
      <c r="AH11" s="198">
        <f>SUMIFS('май 2023'!$G$4:$G$815,'май 2023'!$D$4:$D$815,$B11,'май 2023'!$J$4:$J$815,AH$1)</f>
        <v>0</v>
      </c>
      <c r="AI11" s="170">
        <f t="shared" ref="AI11:AI12" si="2">SUM(D11:AH11)</f>
        <v>760</v>
      </c>
    </row>
    <row r="12" spans="2:35" ht="15" customHeight="1" x14ac:dyDescent="0.25">
      <c r="B12" s="202" t="s">
        <v>127</v>
      </c>
      <c r="C12" s="203">
        <v>25</v>
      </c>
      <c r="D12" s="198">
        <f>SUMIFS('май 2023'!$G$4:$G$815,'май 2023'!$D$4:$D$815,$B12,'май 2023'!$J$4:$J$815,D$1)</f>
        <v>0</v>
      </c>
      <c r="E12" s="198">
        <f>SUMIFS('май 2023'!$G$4:$G$815,'май 2023'!$D$4:$D$815,$B12,'май 2023'!$J$4:$J$815,E$1)</f>
        <v>0</v>
      </c>
      <c r="F12" s="198">
        <f>SUMIFS('май 2023'!$G$4:$G$815,'май 2023'!$D$4:$D$815,$B12,'май 2023'!$J$4:$J$815,F$1)</f>
        <v>0</v>
      </c>
      <c r="G12" s="198">
        <f>SUMIFS('май 2023'!$G$4:$G$815,'май 2023'!$D$4:$D$815,$B12,'май 2023'!$J$4:$J$815,G$1)</f>
        <v>0</v>
      </c>
      <c r="H12" s="198">
        <f>SUMIFS('май 2023'!$G$4:$G$815,'май 2023'!$D$4:$D$815,$B12,'май 2023'!$J$4:$J$815,H$1)</f>
        <v>0</v>
      </c>
      <c r="I12" s="198">
        <f>SUMIFS('май 2023'!$G$4:$G$815,'май 2023'!$D$4:$D$815,$B12,'май 2023'!$J$4:$J$815,I$1)</f>
        <v>0</v>
      </c>
      <c r="J12" s="198">
        <f>SUMIFS('май 2023'!$G$4:$G$815,'май 2023'!$D$4:$D$815,$B12,'май 2023'!$J$4:$J$815,J$1)</f>
        <v>0</v>
      </c>
      <c r="K12" s="198">
        <f>SUMIFS('май 2023'!$G$4:$G$815,'май 2023'!$D$4:$D$815,$B12,'май 2023'!$J$4:$J$815,K$1)</f>
        <v>0</v>
      </c>
      <c r="L12" s="198">
        <f>SUMIFS('май 2023'!$G$4:$G$815,'май 2023'!$D$4:$D$815,$B12,'май 2023'!$J$4:$J$815,L$1)</f>
        <v>0</v>
      </c>
      <c r="M12" s="198">
        <f>SUMIFS('май 2023'!$G$4:$G$815,'май 2023'!$D$4:$D$815,$B12,'май 2023'!$J$4:$J$815,M$1)</f>
        <v>0</v>
      </c>
      <c r="N12" s="198">
        <f>SUMIFS('май 2023'!$G$4:$G$815,'май 2023'!$D$4:$D$815,$B12,'май 2023'!$J$4:$J$815,N$1)</f>
        <v>0</v>
      </c>
      <c r="O12" s="198">
        <f>SUMIFS('май 2023'!$G$4:$G$815,'май 2023'!$D$4:$D$815,$B12,'май 2023'!$J$4:$J$815,O$1)</f>
        <v>0</v>
      </c>
      <c r="P12" s="198">
        <f>SUMIFS('май 2023'!$G$4:$G$815,'май 2023'!$D$4:$D$815,$B12,'май 2023'!$J$4:$J$815,P$1)</f>
        <v>0</v>
      </c>
      <c r="Q12" s="198">
        <f>SUMIFS('май 2023'!$G$4:$G$815,'май 2023'!$D$4:$D$815,$B12,'май 2023'!$J$4:$J$815,Q$1)</f>
        <v>0</v>
      </c>
      <c r="R12" s="198">
        <f>SUMIFS('май 2023'!$G$4:$G$815,'май 2023'!$D$4:$D$815,$B12,'май 2023'!$J$4:$J$815,R$1)</f>
        <v>0</v>
      </c>
      <c r="S12" s="198">
        <f>SUMIFS('май 2023'!$G$4:$G$815,'май 2023'!$D$4:$D$815,$B12,'май 2023'!$J$4:$J$815,S$1)</f>
        <v>0</v>
      </c>
      <c r="T12" s="198">
        <f>SUMIFS('май 2023'!$G$4:$G$815,'май 2023'!$D$4:$D$815,$B12,'май 2023'!$J$4:$J$815,T$1)</f>
        <v>0</v>
      </c>
      <c r="U12" s="198">
        <f>SUMIFS('май 2023'!$G$4:$G$815,'май 2023'!$D$4:$D$815,$B12,'май 2023'!$J$4:$J$815,U$1)</f>
        <v>0</v>
      </c>
      <c r="V12" s="198">
        <f>SUMIFS('май 2023'!$G$4:$G$815,'май 2023'!$D$4:$D$815,$B12,'май 2023'!$J$4:$J$815,V$1)</f>
        <v>0</v>
      </c>
      <c r="W12" s="198">
        <f>SUMIFS('май 2023'!$G$4:$G$815,'май 2023'!$D$4:$D$815,$B12,'май 2023'!$J$4:$J$815,W$1)</f>
        <v>0</v>
      </c>
      <c r="X12" s="198">
        <f>SUMIFS('май 2023'!$G$4:$G$815,'май 2023'!$D$4:$D$815,$B12,'май 2023'!$J$4:$J$815,X$1)</f>
        <v>0</v>
      </c>
      <c r="Y12" s="198">
        <f>SUMIFS('май 2023'!$G$4:$G$815,'май 2023'!$D$4:$D$815,$B12,'май 2023'!$J$4:$J$815,Y$1)</f>
        <v>0</v>
      </c>
      <c r="Z12" s="198">
        <f>SUMIFS('май 2023'!$G$4:$G$815,'май 2023'!$D$4:$D$815,$B12,'май 2023'!$J$4:$J$815,Z$1)</f>
        <v>0</v>
      </c>
      <c r="AA12" s="198">
        <f>SUMIFS('май 2023'!$G$4:$G$815,'май 2023'!$D$4:$D$815,$B12,'май 2023'!$J$4:$J$815,AA$1)</f>
        <v>0</v>
      </c>
      <c r="AB12" s="198">
        <f>SUMIFS('май 2023'!$G$4:$G$815,'май 2023'!$D$4:$D$815,$B12,'май 2023'!$J$4:$J$815,AB$1)</f>
        <v>0</v>
      </c>
      <c r="AC12" s="198">
        <f>SUMIFS('май 2023'!$G$4:$G$815,'май 2023'!$D$4:$D$815,$B12,'май 2023'!$J$4:$J$815,AC$1)</f>
        <v>0</v>
      </c>
      <c r="AD12" s="198">
        <f>SUMIFS('май 2023'!$G$4:$G$815,'май 2023'!$D$4:$D$815,$B12,'май 2023'!$J$4:$J$815,AD$1)</f>
        <v>0</v>
      </c>
      <c r="AE12" s="198">
        <f>SUMIFS('май 2023'!$G$4:$G$815,'май 2023'!$D$4:$D$815,$B12,'май 2023'!$J$4:$J$815,AE$1)</f>
        <v>0</v>
      </c>
      <c r="AF12" s="198">
        <f>SUMIFS('май 2023'!$G$4:$G$815,'май 2023'!$D$4:$D$815,$B12,'май 2023'!$J$4:$J$815,AF$1)</f>
        <v>0</v>
      </c>
      <c r="AG12" s="198">
        <f>SUMIFS('май 2023'!$G$4:$G$815,'май 2023'!$D$4:$D$815,$B12,'май 2023'!$J$4:$J$815,AG$1)</f>
        <v>0</v>
      </c>
      <c r="AH12" s="198">
        <f>SUMIFS('май 2023'!$G$4:$G$815,'май 2023'!$D$4:$D$815,$B12,'май 2023'!$J$4:$J$815,AH$1)</f>
        <v>0</v>
      </c>
      <c r="AI12" s="170">
        <f t="shared" si="2"/>
        <v>0</v>
      </c>
    </row>
    <row r="13" spans="2:35" ht="15" customHeight="1" x14ac:dyDescent="0.25">
      <c r="B13" s="202" t="s">
        <v>86</v>
      </c>
      <c r="C13" s="203">
        <v>22.7</v>
      </c>
      <c r="D13" s="198">
        <f>SUMIFS('май 2023'!$G$4:$G$815,'май 2023'!$D$4:$D$815,$B13,'май 2023'!$J$4:$J$815,D$1)</f>
        <v>0</v>
      </c>
      <c r="E13" s="198">
        <f>SUMIFS('май 2023'!$G$4:$G$815,'май 2023'!$D$4:$D$815,$B13,'май 2023'!$J$4:$J$815,E$1)</f>
        <v>0</v>
      </c>
      <c r="F13" s="198">
        <f>SUMIFS('май 2023'!$G$4:$G$815,'май 2023'!$D$4:$D$815,$B13,'май 2023'!$J$4:$J$815,F$1)</f>
        <v>0</v>
      </c>
      <c r="G13" s="198">
        <f>SUMIFS('май 2023'!$G$4:$G$815,'май 2023'!$D$4:$D$815,$B13,'май 2023'!$J$4:$J$815,G$1)</f>
        <v>0</v>
      </c>
      <c r="H13" s="198">
        <f>SUMIFS('май 2023'!$G$4:$G$815,'май 2023'!$D$4:$D$815,$B13,'май 2023'!$J$4:$J$815,H$1)</f>
        <v>800</v>
      </c>
      <c r="I13" s="198">
        <f>SUMIFS('май 2023'!$G$4:$G$815,'май 2023'!$D$4:$D$815,$B13,'май 2023'!$J$4:$J$815,I$1)</f>
        <v>0</v>
      </c>
      <c r="J13" s="198">
        <f>SUMIFS('май 2023'!$G$4:$G$815,'май 2023'!$D$4:$D$815,$B13,'май 2023'!$J$4:$J$815,J$1)</f>
        <v>0</v>
      </c>
      <c r="K13" s="198">
        <f>SUMIFS('май 2023'!$G$4:$G$815,'май 2023'!$D$4:$D$815,$B13,'май 2023'!$J$4:$J$815,K$1)</f>
        <v>0</v>
      </c>
      <c r="L13" s="198">
        <f>SUMIFS('май 2023'!$G$4:$G$815,'май 2023'!$D$4:$D$815,$B13,'май 2023'!$J$4:$J$815,L$1)</f>
        <v>0</v>
      </c>
      <c r="M13" s="198">
        <f>SUMIFS('май 2023'!$G$4:$G$815,'май 2023'!$D$4:$D$815,$B13,'май 2023'!$J$4:$J$815,M$1)</f>
        <v>0</v>
      </c>
      <c r="N13" s="198">
        <f>SUMIFS('май 2023'!$G$4:$G$815,'май 2023'!$D$4:$D$815,$B13,'май 2023'!$J$4:$J$815,N$1)</f>
        <v>0</v>
      </c>
      <c r="O13" s="198">
        <f>SUMIFS('май 2023'!$G$4:$G$815,'май 2023'!$D$4:$D$815,$B13,'май 2023'!$J$4:$J$815,O$1)</f>
        <v>0</v>
      </c>
      <c r="P13" s="198">
        <f>SUMIFS('май 2023'!$G$4:$G$815,'май 2023'!$D$4:$D$815,$B13,'май 2023'!$J$4:$J$815,P$1)</f>
        <v>0</v>
      </c>
      <c r="Q13" s="198">
        <f>SUMIFS('май 2023'!$G$4:$G$815,'май 2023'!$D$4:$D$815,$B13,'май 2023'!$J$4:$J$815,Q$1)</f>
        <v>0</v>
      </c>
      <c r="R13" s="198">
        <f>SUMIFS('май 2023'!$G$4:$G$815,'май 2023'!$D$4:$D$815,$B13,'май 2023'!$J$4:$J$815,R$1)</f>
        <v>0</v>
      </c>
      <c r="S13" s="198">
        <f>SUMIFS('май 2023'!$G$4:$G$815,'май 2023'!$D$4:$D$815,$B13,'май 2023'!$J$4:$J$815,S$1)</f>
        <v>0</v>
      </c>
      <c r="T13" s="198">
        <f>SUMIFS('май 2023'!$G$4:$G$815,'май 2023'!$D$4:$D$815,$B13,'май 2023'!$J$4:$J$815,T$1)</f>
        <v>0</v>
      </c>
      <c r="U13" s="198">
        <f>SUMIFS('май 2023'!$G$4:$G$815,'май 2023'!$D$4:$D$815,$B13,'май 2023'!$J$4:$J$815,U$1)</f>
        <v>0</v>
      </c>
      <c r="V13" s="198">
        <f>SUMIFS('май 2023'!$G$4:$G$815,'май 2023'!$D$4:$D$815,$B13,'май 2023'!$J$4:$J$815,V$1)</f>
        <v>0</v>
      </c>
      <c r="W13" s="198">
        <f>SUMIFS('май 2023'!$G$4:$G$815,'май 2023'!$D$4:$D$815,$B13,'май 2023'!$J$4:$J$815,W$1)</f>
        <v>0</v>
      </c>
      <c r="X13" s="198">
        <f>SUMIFS('май 2023'!$G$4:$G$815,'май 2023'!$D$4:$D$815,$B13,'май 2023'!$J$4:$J$815,X$1)</f>
        <v>0</v>
      </c>
      <c r="Y13" s="198">
        <f>SUMIFS('май 2023'!$G$4:$G$815,'май 2023'!$D$4:$D$815,$B13,'май 2023'!$J$4:$J$815,Y$1)</f>
        <v>0</v>
      </c>
      <c r="Z13" s="198">
        <f>SUMIFS('май 2023'!$G$4:$G$815,'май 2023'!$D$4:$D$815,$B13,'май 2023'!$J$4:$J$815,Z$1)</f>
        <v>0</v>
      </c>
      <c r="AA13" s="198">
        <f>SUMIFS('май 2023'!$G$4:$G$815,'май 2023'!$D$4:$D$815,$B13,'май 2023'!$J$4:$J$815,AA$1)</f>
        <v>0</v>
      </c>
      <c r="AB13" s="198">
        <f>SUMIFS('май 2023'!$G$4:$G$815,'май 2023'!$D$4:$D$815,$B13,'май 2023'!$J$4:$J$815,AB$1)</f>
        <v>0</v>
      </c>
      <c r="AC13" s="198">
        <f>SUMIFS('май 2023'!$G$4:$G$815,'май 2023'!$D$4:$D$815,$B13,'май 2023'!$J$4:$J$815,AC$1)</f>
        <v>800</v>
      </c>
      <c r="AD13" s="198">
        <f>SUMIFS('май 2023'!$G$4:$G$815,'май 2023'!$D$4:$D$815,$B13,'май 2023'!$J$4:$J$815,AD$1)</f>
        <v>0</v>
      </c>
      <c r="AE13" s="198">
        <f>SUMIFS('май 2023'!$G$4:$G$815,'май 2023'!$D$4:$D$815,$B13,'май 2023'!$J$4:$J$815,AE$1)</f>
        <v>0</v>
      </c>
      <c r="AF13" s="198">
        <f>SUMIFS('май 2023'!$G$4:$G$815,'май 2023'!$D$4:$D$815,$B13,'май 2023'!$J$4:$J$815,AF$1)</f>
        <v>0</v>
      </c>
      <c r="AG13" s="198">
        <f>SUMIFS('май 2023'!$G$4:$G$815,'май 2023'!$D$4:$D$815,$B13,'май 2023'!$J$4:$J$815,AG$1)</f>
        <v>0</v>
      </c>
      <c r="AH13" s="198">
        <f>SUMIFS('май 2023'!$G$4:$G$815,'май 2023'!$D$4:$D$815,$B13,'май 2023'!$J$4:$J$815,AH$1)</f>
        <v>0</v>
      </c>
      <c r="AI13" s="170">
        <f t="shared" si="1"/>
        <v>1600</v>
      </c>
    </row>
    <row r="14" spans="2:35" ht="15" customHeight="1" x14ac:dyDescent="0.25">
      <c r="B14" s="199" t="s">
        <v>2103</v>
      </c>
      <c r="C14" s="200">
        <v>25</v>
      </c>
      <c r="D14" s="198">
        <f>SUMIFS('май 2023'!$G$4:$G$815,'май 2023'!$D$4:$D$815,$B14,'май 2023'!$J$4:$J$815,D$1)</f>
        <v>0</v>
      </c>
      <c r="E14" s="198">
        <f>SUMIFS('май 2023'!$G$4:$G$815,'май 2023'!$D$4:$D$815,$B14,'май 2023'!$J$4:$J$815,E$1)</f>
        <v>0</v>
      </c>
      <c r="F14" s="198">
        <f>SUMIFS('май 2023'!$G$4:$G$815,'май 2023'!$D$4:$D$815,$B14,'май 2023'!$J$4:$J$815,F$1)</f>
        <v>0</v>
      </c>
      <c r="G14" s="198">
        <f>SUMIFS('май 2023'!$G$4:$G$815,'май 2023'!$D$4:$D$815,$B14,'май 2023'!$J$4:$J$815,G$1)</f>
        <v>0</v>
      </c>
      <c r="H14" s="198">
        <f>SUMIFS('май 2023'!$G$4:$G$815,'май 2023'!$D$4:$D$815,$B14,'май 2023'!$J$4:$J$815,H$1)</f>
        <v>0</v>
      </c>
      <c r="I14" s="198">
        <f>SUMIFS('май 2023'!$G$4:$G$815,'май 2023'!$D$4:$D$815,$B14,'май 2023'!$J$4:$J$815,I$1)</f>
        <v>0</v>
      </c>
      <c r="J14" s="198">
        <f>SUMIFS('май 2023'!$G$4:$G$815,'май 2023'!$D$4:$D$815,$B14,'май 2023'!$J$4:$J$815,J$1)</f>
        <v>0</v>
      </c>
      <c r="K14" s="198">
        <f>SUMIFS('май 2023'!$G$4:$G$815,'май 2023'!$D$4:$D$815,$B14,'май 2023'!$J$4:$J$815,K$1)</f>
        <v>0</v>
      </c>
      <c r="L14" s="198">
        <f>SUMIFS('май 2023'!$G$4:$G$815,'май 2023'!$D$4:$D$815,$B14,'май 2023'!$J$4:$J$815,L$1)</f>
        <v>0</v>
      </c>
      <c r="M14" s="198">
        <f>SUMIFS('май 2023'!$G$4:$G$815,'май 2023'!$D$4:$D$815,$B14,'май 2023'!$J$4:$J$815,M$1)</f>
        <v>0</v>
      </c>
      <c r="N14" s="198">
        <f>SUMIFS('май 2023'!$G$4:$G$815,'май 2023'!$D$4:$D$815,$B14,'май 2023'!$J$4:$J$815,N$1)</f>
        <v>0</v>
      </c>
      <c r="O14" s="198">
        <f>SUMIFS('май 2023'!$G$4:$G$815,'май 2023'!$D$4:$D$815,$B14,'май 2023'!$J$4:$J$815,O$1)</f>
        <v>0</v>
      </c>
      <c r="P14" s="198">
        <f>SUMIFS('май 2023'!$G$4:$G$815,'май 2023'!$D$4:$D$815,$B14,'май 2023'!$J$4:$J$815,P$1)</f>
        <v>0</v>
      </c>
      <c r="Q14" s="198">
        <f>SUMIFS('май 2023'!$G$4:$G$815,'май 2023'!$D$4:$D$815,$B14,'май 2023'!$J$4:$J$815,Q$1)</f>
        <v>0</v>
      </c>
      <c r="R14" s="198">
        <f>SUMIFS('май 2023'!$G$4:$G$815,'май 2023'!$D$4:$D$815,$B14,'май 2023'!$J$4:$J$815,R$1)</f>
        <v>0</v>
      </c>
      <c r="S14" s="198">
        <f>SUMIFS('май 2023'!$G$4:$G$815,'май 2023'!$D$4:$D$815,$B14,'май 2023'!$J$4:$J$815,S$1)</f>
        <v>0</v>
      </c>
      <c r="T14" s="198">
        <f>SUMIFS('май 2023'!$G$4:$G$815,'май 2023'!$D$4:$D$815,$B14,'май 2023'!$J$4:$J$815,T$1)</f>
        <v>0</v>
      </c>
      <c r="U14" s="198">
        <f>SUMIFS('май 2023'!$G$4:$G$815,'май 2023'!$D$4:$D$815,$B14,'май 2023'!$J$4:$J$815,U$1)</f>
        <v>0</v>
      </c>
      <c r="V14" s="198">
        <f>SUMIFS('май 2023'!$G$4:$G$815,'май 2023'!$D$4:$D$815,$B14,'май 2023'!$J$4:$J$815,V$1)</f>
        <v>0</v>
      </c>
      <c r="W14" s="198">
        <f>SUMIFS('май 2023'!$G$4:$G$815,'май 2023'!$D$4:$D$815,$B14,'май 2023'!$J$4:$J$815,W$1)</f>
        <v>0</v>
      </c>
      <c r="X14" s="198">
        <f>SUMIFS('май 2023'!$G$4:$G$815,'май 2023'!$D$4:$D$815,$B14,'май 2023'!$J$4:$J$815,X$1)</f>
        <v>0</v>
      </c>
      <c r="Y14" s="198">
        <f>SUMIFS('май 2023'!$G$4:$G$815,'май 2023'!$D$4:$D$815,$B14,'май 2023'!$J$4:$J$815,Y$1)</f>
        <v>0</v>
      </c>
      <c r="Z14" s="198">
        <f>SUMIFS('май 2023'!$G$4:$G$815,'май 2023'!$D$4:$D$815,$B14,'май 2023'!$J$4:$J$815,Z$1)</f>
        <v>0</v>
      </c>
      <c r="AA14" s="198">
        <f>SUMIFS('май 2023'!$G$4:$G$815,'май 2023'!$D$4:$D$815,$B14,'май 2023'!$J$4:$J$815,AA$1)</f>
        <v>0</v>
      </c>
      <c r="AB14" s="198">
        <f>SUMIFS('май 2023'!$G$4:$G$815,'май 2023'!$D$4:$D$815,$B14,'май 2023'!$J$4:$J$815,AB$1)</f>
        <v>0</v>
      </c>
      <c r="AC14" s="198">
        <f>SUMIFS('май 2023'!$G$4:$G$815,'май 2023'!$D$4:$D$815,$B14,'май 2023'!$J$4:$J$815,AC$1)</f>
        <v>0</v>
      </c>
      <c r="AD14" s="198">
        <f>SUMIFS('май 2023'!$G$4:$G$815,'май 2023'!$D$4:$D$815,$B14,'май 2023'!$J$4:$J$815,AD$1)</f>
        <v>0</v>
      </c>
      <c r="AE14" s="198">
        <f>SUMIFS('май 2023'!$G$4:$G$815,'май 2023'!$D$4:$D$815,$B14,'май 2023'!$J$4:$J$815,AE$1)</f>
        <v>0</v>
      </c>
      <c r="AF14" s="198">
        <f>SUMIFS('май 2023'!$G$4:$G$815,'май 2023'!$D$4:$D$815,$B14,'май 2023'!$J$4:$J$815,AF$1)</f>
        <v>0</v>
      </c>
      <c r="AG14" s="198">
        <f>SUMIFS('май 2023'!$G$4:$G$815,'май 2023'!$D$4:$D$815,$B14,'май 2023'!$J$4:$J$815,AG$1)</f>
        <v>0</v>
      </c>
      <c r="AH14" s="198">
        <f>SUMIFS('май 2023'!$G$4:$G$815,'май 2023'!$D$4:$D$815,$B14,'май 2023'!$J$4:$J$815,AH$1)</f>
        <v>0</v>
      </c>
      <c r="AI14" s="170">
        <f t="shared" si="1"/>
        <v>0</v>
      </c>
    </row>
    <row r="15" spans="2:35" ht="15" customHeight="1" x14ac:dyDescent="0.25">
      <c r="B15" s="202" t="s">
        <v>1985</v>
      </c>
      <c r="C15" s="203">
        <v>25</v>
      </c>
      <c r="D15" s="198">
        <f>SUMIFS('май 2023'!$G$4:$G$815,'май 2023'!$D$4:$D$815,$B15,'май 2023'!$J$4:$J$815,D$1)</f>
        <v>0</v>
      </c>
      <c r="E15" s="198">
        <f>SUMIFS('май 2023'!$G$4:$G$815,'май 2023'!$D$4:$D$815,$B15,'май 2023'!$J$4:$J$815,E$1)</f>
        <v>0</v>
      </c>
      <c r="F15" s="198">
        <f>SUMIFS('май 2023'!$G$4:$G$815,'май 2023'!$D$4:$D$815,$B15,'май 2023'!$J$4:$J$815,F$1)</f>
        <v>0</v>
      </c>
      <c r="G15" s="198">
        <f>SUMIFS('май 2023'!$G$4:$G$815,'май 2023'!$D$4:$D$815,$B15,'май 2023'!$J$4:$J$815,G$1)</f>
        <v>0</v>
      </c>
      <c r="H15" s="198">
        <f>SUMIFS('май 2023'!$G$4:$G$815,'май 2023'!$D$4:$D$815,$B15,'май 2023'!$J$4:$J$815,H$1)</f>
        <v>0</v>
      </c>
      <c r="I15" s="198">
        <f>SUMIFS('май 2023'!$G$4:$G$815,'май 2023'!$D$4:$D$815,$B15,'май 2023'!$J$4:$J$815,I$1)</f>
        <v>0</v>
      </c>
      <c r="J15" s="198">
        <f>SUMIFS('май 2023'!$G$4:$G$815,'май 2023'!$D$4:$D$815,$B15,'май 2023'!$J$4:$J$815,J$1)</f>
        <v>0</v>
      </c>
      <c r="K15" s="198">
        <f>SUMIFS('май 2023'!$G$4:$G$815,'май 2023'!$D$4:$D$815,$B15,'май 2023'!$J$4:$J$815,K$1)</f>
        <v>0</v>
      </c>
      <c r="L15" s="198">
        <f>SUMIFS('май 2023'!$G$4:$G$815,'май 2023'!$D$4:$D$815,$B15,'май 2023'!$J$4:$J$815,L$1)</f>
        <v>0</v>
      </c>
      <c r="M15" s="198">
        <f>SUMIFS('май 2023'!$G$4:$G$815,'май 2023'!$D$4:$D$815,$B15,'май 2023'!$J$4:$J$815,M$1)</f>
        <v>0</v>
      </c>
      <c r="N15" s="198">
        <f>SUMIFS('май 2023'!$G$4:$G$815,'май 2023'!$D$4:$D$815,$B15,'май 2023'!$J$4:$J$815,N$1)</f>
        <v>0</v>
      </c>
      <c r="O15" s="198">
        <f>SUMIFS('май 2023'!$G$4:$G$815,'май 2023'!$D$4:$D$815,$B15,'май 2023'!$J$4:$J$815,O$1)</f>
        <v>0</v>
      </c>
      <c r="P15" s="198">
        <f>SUMIFS('май 2023'!$G$4:$G$815,'май 2023'!$D$4:$D$815,$B15,'май 2023'!$J$4:$J$815,P$1)</f>
        <v>0</v>
      </c>
      <c r="Q15" s="198">
        <f>SUMIFS('май 2023'!$G$4:$G$815,'май 2023'!$D$4:$D$815,$B15,'май 2023'!$J$4:$J$815,Q$1)</f>
        <v>0</v>
      </c>
      <c r="R15" s="198">
        <f>SUMIFS('май 2023'!$G$4:$G$815,'май 2023'!$D$4:$D$815,$B15,'май 2023'!$J$4:$J$815,R$1)</f>
        <v>0</v>
      </c>
      <c r="S15" s="198">
        <f>SUMIFS('май 2023'!$G$4:$G$815,'май 2023'!$D$4:$D$815,$B15,'май 2023'!$J$4:$J$815,S$1)</f>
        <v>0</v>
      </c>
      <c r="T15" s="198">
        <f>SUMIFS('май 2023'!$G$4:$G$815,'май 2023'!$D$4:$D$815,$B15,'май 2023'!$J$4:$J$815,T$1)</f>
        <v>0</v>
      </c>
      <c r="U15" s="198">
        <f>SUMIFS('май 2023'!$G$4:$G$815,'май 2023'!$D$4:$D$815,$B15,'май 2023'!$J$4:$J$815,U$1)</f>
        <v>0</v>
      </c>
      <c r="V15" s="198">
        <f>SUMIFS('май 2023'!$G$4:$G$815,'май 2023'!$D$4:$D$815,$B15,'май 2023'!$J$4:$J$815,V$1)</f>
        <v>0</v>
      </c>
      <c r="W15" s="198">
        <f>SUMIFS('май 2023'!$G$4:$G$815,'май 2023'!$D$4:$D$815,$B15,'май 2023'!$J$4:$J$815,W$1)</f>
        <v>0</v>
      </c>
      <c r="X15" s="198">
        <f>SUMIFS('май 2023'!$G$4:$G$815,'май 2023'!$D$4:$D$815,$B15,'май 2023'!$J$4:$J$815,X$1)</f>
        <v>0</v>
      </c>
      <c r="Y15" s="198">
        <f>SUMIFS('май 2023'!$G$4:$G$815,'май 2023'!$D$4:$D$815,$B15,'май 2023'!$J$4:$J$815,Y$1)</f>
        <v>0</v>
      </c>
      <c r="Z15" s="198">
        <f>SUMIFS('май 2023'!$G$4:$G$815,'май 2023'!$D$4:$D$815,$B15,'май 2023'!$J$4:$J$815,Z$1)</f>
        <v>0</v>
      </c>
      <c r="AA15" s="198">
        <f>SUMIFS('май 2023'!$G$4:$G$815,'май 2023'!$D$4:$D$815,$B15,'май 2023'!$J$4:$J$815,AA$1)</f>
        <v>0</v>
      </c>
      <c r="AB15" s="198">
        <f>SUMIFS('май 2023'!$G$4:$G$815,'май 2023'!$D$4:$D$815,$B15,'май 2023'!$J$4:$J$815,AB$1)</f>
        <v>0</v>
      </c>
      <c r="AC15" s="198">
        <f>SUMIFS('май 2023'!$G$4:$G$815,'май 2023'!$D$4:$D$815,$B15,'май 2023'!$J$4:$J$815,AC$1)</f>
        <v>0</v>
      </c>
      <c r="AD15" s="198">
        <f>SUMIFS('май 2023'!$G$4:$G$815,'май 2023'!$D$4:$D$815,$B15,'май 2023'!$J$4:$J$815,AD$1)</f>
        <v>0</v>
      </c>
      <c r="AE15" s="198">
        <f>SUMIFS('май 2023'!$G$4:$G$815,'май 2023'!$D$4:$D$815,$B15,'май 2023'!$J$4:$J$815,AE$1)</f>
        <v>0</v>
      </c>
      <c r="AF15" s="198">
        <f>SUMIFS('май 2023'!$G$4:$G$815,'май 2023'!$D$4:$D$815,$B15,'май 2023'!$J$4:$J$815,AF$1)</f>
        <v>0</v>
      </c>
      <c r="AG15" s="198">
        <f>SUMIFS('май 2023'!$G$4:$G$815,'май 2023'!$D$4:$D$815,$B15,'май 2023'!$J$4:$J$815,AG$1)</f>
        <v>0</v>
      </c>
      <c r="AH15" s="198">
        <f>SUMIFS('май 2023'!$G$4:$G$815,'май 2023'!$D$4:$D$815,$B15,'май 2023'!$J$4:$J$815,AH$1)</f>
        <v>0</v>
      </c>
      <c r="AI15" s="170">
        <f t="shared" si="1"/>
        <v>0</v>
      </c>
    </row>
    <row r="16" spans="2:35" ht="15" customHeight="1" x14ac:dyDescent="0.25">
      <c r="B16" s="202" t="s">
        <v>2104</v>
      </c>
      <c r="C16" s="203">
        <v>25</v>
      </c>
      <c r="D16" s="198">
        <f>SUMIFS('май 2023'!$G$4:$G$815,'май 2023'!$D$4:$D$815,$B16,'май 2023'!$J$4:$J$815,D$1)</f>
        <v>0</v>
      </c>
      <c r="E16" s="198">
        <f>SUMIFS('май 2023'!$G$4:$G$815,'май 2023'!$D$4:$D$815,$B16,'май 2023'!$J$4:$J$815,E$1)</f>
        <v>0</v>
      </c>
      <c r="F16" s="198">
        <f>SUMIFS('май 2023'!$G$4:$G$815,'май 2023'!$D$4:$D$815,$B16,'май 2023'!$J$4:$J$815,F$1)</f>
        <v>0</v>
      </c>
      <c r="G16" s="198">
        <f>SUMIFS('май 2023'!$G$4:$G$815,'май 2023'!$D$4:$D$815,$B16,'май 2023'!$J$4:$J$815,G$1)</f>
        <v>0</v>
      </c>
      <c r="H16" s="198">
        <f>SUMIFS('май 2023'!$G$4:$G$815,'май 2023'!$D$4:$D$815,$B16,'май 2023'!$J$4:$J$815,H$1)</f>
        <v>0</v>
      </c>
      <c r="I16" s="198">
        <f>SUMIFS('май 2023'!$G$4:$G$815,'май 2023'!$D$4:$D$815,$B16,'май 2023'!$J$4:$J$815,I$1)</f>
        <v>0</v>
      </c>
      <c r="J16" s="198">
        <f>SUMIFS('май 2023'!$G$4:$G$815,'май 2023'!$D$4:$D$815,$B16,'май 2023'!$J$4:$J$815,J$1)</f>
        <v>0</v>
      </c>
      <c r="K16" s="198">
        <f>SUMIFS('май 2023'!$G$4:$G$815,'май 2023'!$D$4:$D$815,$B16,'май 2023'!$J$4:$J$815,K$1)</f>
        <v>0</v>
      </c>
      <c r="L16" s="198">
        <f>SUMIFS('май 2023'!$G$4:$G$815,'май 2023'!$D$4:$D$815,$B16,'май 2023'!$J$4:$J$815,L$1)</f>
        <v>0</v>
      </c>
      <c r="M16" s="198">
        <f>SUMIFS('май 2023'!$G$4:$G$815,'май 2023'!$D$4:$D$815,$B16,'май 2023'!$J$4:$J$815,M$1)</f>
        <v>0</v>
      </c>
      <c r="N16" s="198">
        <f>SUMIFS('май 2023'!$G$4:$G$815,'май 2023'!$D$4:$D$815,$B16,'май 2023'!$J$4:$J$815,N$1)</f>
        <v>0</v>
      </c>
      <c r="O16" s="198">
        <f>SUMIFS('май 2023'!$G$4:$G$815,'май 2023'!$D$4:$D$815,$B16,'май 2023'!$J$4:$J$815,O$1)</f>
        <v>0</v>
      </c>
      <c r="P16" s="198">
        <f>SUMIFS('май 2023'!$G$4:$G$815,'май 2023'!$D$4:$D$815,$B16,'май 2023'!$J$4:$J$815,P$1)</f>
        <v>0</v>
      </c>
      <c r="Q16" s="198">
        <f>SUMIFS('май 2023'!$G$4:$G$815,'май 2023'!$D$4:$D$815,$B16,'май 2023'!$J$4:$J$815,Q$1)</f>
        <v>0</v>
      </c>
      <c r="R16" s="198">
        <f>SUMIFS('май 2023'!$G$4:$G$815,'май 2023'!$D$4:$D$815,$B16,'май 2023'!$J$4:$J$815,R$1)</f>
        <v>0</v>
      </c>
      <c r="S16" s="198">
        <f>SUMIFS('май 2023'!$G$4:$G$815,'май 2023'!$D$4:$D$815,$B16,'май 2023'!$J$4:$J$815,S$1)</f>
        <v>0</v>
      </c>
      <c r="T16" s="198">
        <f>SUMIFS('май 2023'!$G$4:$G$815,'май 2023'!$D$4:$D$815,$B16,'май 2023'!$J$4:$J$815,T$1)</f>
        <v>0</v>
      </c>
      <c r="U16" s="198">
        <f>SUMIFS('май 2023'!$G$4:$G$815,'май 2023'!$D$4:$D$815,$B16,'май 2023'!$J$4:$J$815,U$1)</f>
        <v>0</v>
      </c>
      <c r="V16" s="198">
        <f>SUMIFS('май 2023'!$G$4:$G$815,'май 2023'!$D$4:$D$815,$B16,'май 2023'!$J$4:$J$815,V$1)</f>
        <v>0</v>
      </c>
      <c r="W16" s="198">
        <f>SUMIFS('май 2023'!$G$4:$G$815,'май 2023'!$D$4:$D$815,$B16,'май 2023'!$J$4:$J$815,W$1)</f>
        <v>0</v>
      </c>
      <c r="X16" s="198">
        <f>SUMIFS('май 2023'!$G$4:$G$815,'май 2023'!$D$4:$D$815,$B16,'май 2023'!$J$4:$J$815,X$1)</f>
        <v>0</v>
      </c>
      <c r="Y16" s="198">
        <f>SUMIFS('май 2023'!$G$4:$G$815,'май 2023'!$D$4:$D$815,$B16,'май 2023'!$J$4:$J$815,Y$1)</f>
        <v>0</v>
      </c>
      <c r="Z16" s="198">
        <f>SUMIFS('май 2023'!$G$4:$G$815,'май 2023'!$D$4:$D$815,$B16,'май 2023'!$J$4:$J$815,Z$1)</f>
        <v>0</v>
      </c>
      <c r="AA16" s="198">
        <f>SUMIFS('май 2023'!$G$4:$G$815,'май 2023'!$D$4:$D$815,$B16,'май 2023'!$J$4:$J$815,AA$1)</f>
        <v>0</v>
      </c>
      <c r="AB16" s="198">
        <f>SUMIFS('май 2023'!$G$4:$G$815,'май 2023'!$D$4:$D$815,$B16,'май 2023'!$J$4:$J$815,AB$1)</f>
        <v>0</v>
      </c>
      <c r="AC16" s="198">
        <f>SUMIFS('май 2023'!$G$4:$G$815,'май 2023'!$D$4:$D$815,$B16,'май 2023'!$J$4:$J$815,AC$1)</f>
        <v>0</v>
      </c>
      <c r="AD16" s="198">
        <f>SUMIFS('май 2023'!$G$4:$G$815,'май 2023'!$D$4:$D$815,$B16,'май 2023'!$J$4:$J$815,AD$1)</f>
        <v>0</v>
      </c>
      <c r="AE16" s="198">
        <f>SUMIFS('май 2023'!$G$4:$G$815,'май 2023'!$D$4:$D$815,$B16,'май 2023'!$J$4:$J$815,AE$1)</f>
        <v>0</v>
      </c>
      <c r="AF16" s="198">
        <f>SUMIFS('май 2023'!$G$4:$G$815,'май 2023'!$D$4:$D$815,$B16,'май 2023'!$J$4:$J$815,AF$1)</f>
        <v>0</v>
      </c>
      <c r="AG16" s="198">
        <f>SUMIFS('май 2023'!$G$4:$G$815,'май 2023'!$D$4:$D$815,$B16,'май 2023'!$J$4:$J$815,AG$1)</f>
        <v>0</v>
      </c>
      <c r="AH16" s="198">
        <f>SUMIFS('май 2023'!$G$4:$G$815,'май 2023'!$D$4:$D$815,$B16,'май 2023'!$J$4:$J$815,AH$1)</f>
        <v>0</v>
      </c>
      <c r="AI16" s="170">
        <f t="shared" si="1"/>
        <v>0</v>
      </c>
    </row>
    <row r="17" spans="2:35" ht="15" customHeight="1" x14ac:dyDescent="0.25">
      <c r="B17" s="199" t="s">
        <v>571</v>
      </c>
      <c r="C17" s="200">
        <v>25</v>
      </c>
      <c r="D17" s="198">
        <f>SUMIFS('май 2023'!$G$4:$G$815,'май 2023'!$D$4:$D$815,$B17,'май 2023'!$J$4:$J$815,D$1)</f>
        <v>0</v>
      </c>
      <c r="E17" s="198">
        <f>SUMIFS('май 2023'!$G$4:$G$815,'май 2023'!$D$4:$D$815,$B17,'май 2023'!$J$4:$J$815,E$1)</f>
        <v>0</v>
      </c>
      <c r="F17" s="198">
        <f>SUMIFS('май 2023'!$G$4:$G$815,'май 2023'!$D$4:$D$815,$B17,'май 2023'!$J$4:$J$815,F$1)</f>
        <v>0</v>
      </c>
      <c r="G17" s="198">
        <f>SUMIFS('май 2023'!$G$4:$G$815,'май 2023'!$D$4:$D$815,$B17,'май 2023'!$J$4:$J$815,G$1)</f>
        <v>0</v>
      </c>
      <c r="H17" s="198">
        <f>SUMIFS('май 2023'!$G$4:$G$815,'май 2023'!$D$4:$D$815,$B17,'май 2023'!$J$4:$J$815,H$1)</f>
        <v>0</v>
      </c>
      <c r="I17" s="198">
        <f>SUMIFS('май 2023'!$G$4:$G$815,'май 2023'!$D$4:$D$815,$B17,'май 2023'!$J$4:$J$815,I$1)</f>
        <v>0</v>
      </c>
      <c r="J17" s="198">
        <f>SUMIFS('май 2023'!$G$4:$G$815,'май 2023'!$D$4:$D$815,$B17,'май 2023'!$J$4:$J$815,J$1)</f>
        <v>0</v>
      </c>
      <c r="K17" s="198">
        <f>SUMIFS('май 2023'!$G$4:$G$815,'май 2023'!$D$4:$D$815,$B17,'май 2023'!$J$4:$J$815,K$1)</f>
        <v>0</v>
      </c>
      <c r="L17" s="198">
        <f>SUMIFS('май 2023'!$G$4:$G$815,'май 2023'!$D$4:$D$815,$B17,'май 2023'!$J$4:$J$815,L$1)</f>
        <v>0</v>
      </c>
      <c r="M17" s="198">
        <f>SUMIFS('май 2023'!$G$4:$G$815,'май 2023'!$D$4:$D$815,$B17,'май 2023'!$J$4:$J$815,M$1)</f>
        <v>0</v>
      </c>
      <c r="N17" s="198">
        <f>SUMIFS('май 2023'!$G$4:$G$815,'май 2023'!$D$4:$D$815,$B17,'май 2023'!$J$4:$J$815,N$1)</f>
        <v>0</v>
      </c>
      <c r="O17" s="198">
        <f>SUMIFS('май 2023'!$G$4:$G$815,'май 2023'!$D$4:$D$815,$B17,'май 2023'!$J$4:$J$815,O$1)</f>
        <v>0</v>
      </c>
      <c r="P17" s="198">
        <f>SUMIFS('май 2023'!$G$4:$G$815,'май 2023'!$D$4:$D$815,$B17,'май 2023'!$J$4:$J$815,P$1)</f>
        <v>0</v>
      </c>
      <c r="Q17" s="198">
        <f>SUMIFS('май 2023'!$G$4:$G$815,'май 2023'!$D$4:$D$815,$B17,'май 2023'!$J$4:$J$815,Q$1)</f>
        <v>0</v>
      </c>
      <c r="R17" s="198">
        <f>SUMIFS('май 2023'!$G$4:$G$815,'май 2023'!$D$4:$D$815,$B17,'май 2023'!$J$4:$J$815,R$1)</f>
        <v>0</v>
      </c>
      <c r="S17" s="198">
        <f>SUMIFS('май 2023'!$G$4:$G$815,'май 2023'!$D$4:$D$815,$B17,'май 2023'!$J$4:$J$815,S$1)</f>
        <v>0</v>
      </c>
      <c r="T17" s="198">
        <f>SUMIFS('май 2023'!$G$4:$G$815,'май 2023'!$D$4:$D$815,$B17,'май 2023'!$J$4:$J$815,T$1)</f>
        <v>0</v>
      </c>
      <c r="U17" s="198">
        <f>SUMIFS('май 2023'!$G$4:$G$815,'май 2023'!$D$4:$D$815,$B17,'май 2023'!$J$4:$J$815,U$1)</f>
        <v>0</v>
      </c>
      <c r="V17" s="198">
        <f>SUMIFS('май 2023'!$G$4:$G$815,'май 2023'!$D$4:$D$815,$B17,'май 2023'!$J$4:$J$815,V$1)</f>
        <v>0</v>
      </c>
      <c r="W17" s="198">
        <f>SUMIFS('май 2023'!$G$4:$G$815,'май 2023'!$D$4:$D$815,$B17,'май 2023'!$J$4:$J$815,W$1)</f>
        <v>0</v>
      </c>
      <c r="X17" s="198">
        <f>SUMIFS('май 2023'!$G$4:$G$815,'май 2023'!$D$4:$D$815,$B17,'май 2023'!$J$4:$J$815,X$1)</f>
        <v>0</v>
      </c>
      <c r="Y17" s="198">
        <f>SUMIFS('май 2023'!$G$4:$G$815,'май 2023'!$D$4:$D$815,$B17,'май 2023'!$J$4:$J$815,Y$1)</f>
        <v>0</v>
      </c>
      <c r="Z17" s="198">
        <f>SUMIFS('май 2023'!$G$4:$G$815,'май 2023'!$D$4:$D$815,$B17,'май 2023'!$J$4:$J$815,Z$1)</f>
        <v>0</v>
      </c>
      <c r="AA17" s="198">
        <f>SUMIFS('май 2023'!$G$4:$G$815,'май 2023'!$D$4:$D$815,$B17,'май 2023'!$J$4:$J$815,AA$1)</f>
        <v>0</v>
      </c>
      <c r="AB17" s="198">
        <f>SUMIFS('май 2023'!$G$4:$G$815,'май 2023'!$D$4:$D$815,$B17,'май 2023'!$J$4:$J$815,AB$1)</f>
        <v>0</v>
      </c>
      <c r="AC17" s="198">
        <f>SUMIFS('май 2023'!$G$4:$G$815,'май 2023'!$D$4:$D$815,$B17,'май 2023'!$J$4:$J$815,AC$1)</f>
        <v>0</v>
      </c>
      <c r="AD17" s="198">
        <f>SUMIFS('май 2023'!$G$4:$G$815,'май 2023'!$D$4:$D$815,$B17,'май 2023'!$J$4:$J$815,AD$1)</f>
        <v>0</v>
      </c>
      <c r="AE17" s="198">
        <f>SUMIFS('май 2023'!$G$4:$G$815,'май 2023'!$D$4:$D$815,$B17,'май 2023'!$J$4:$J$815,AE$1)</f>
        <v>0</v>
      </c>
      <c r="AF17" s="198">
        <f>SUMIFS('май 2023'!$G$4:$G$815,'май 2023'!$D$4:$D$815,$B17,'май 2023'!$J$4:$J$815,AF$1)</f>
        <v>0</v>
      </c>
      <c r="AG17" s="198">
        <f>SUMIFS('май 2023'!$G$4:$G$815,'май 2023'!$D$4:$D$815,$B17,'май 2023'!$J$4:$J$815,AG$1)</f>
        <v>0</v>
      </c>
      <c r="AH17" s="198">
        <f>SUMIFS('май 2023'!$G$4:$G$815,'май 2023'!$D$4:$D$815,$B17,'май 2023'!$J$4:$J$815,AH$1)</f>
        <v>0</v>
      </c>
      <c r="AI17" s="170">
        <f t="shared" si="1"/>
        <v>0</v>
      </c>
    </row>
    <row r="18" spans="2:35" ht="15" customHeight="1" x14ac:dyDescent="0.25">
      <c r="B18" s="199" t="s">
        <v>2081</v>
      </c>
      <c r="C18" s="200">
        <v>25</v>
      </c>
      <c r="D18" s="198">
        <f>SUMIFS('май 2023'!$G$4:$G$815,'май 2023'!$D$4:$D$815,$B18,'май 2023'!$J$4:$J$815,D$1)</f>
        <v>0</v>
      </c>
      <c r="E18" s="198">
        <f>SUMIFS('май 2023'!$G$4:$G$815,'май 2023'!$D$4:$D$815,$B18,'май 2023'!$J$4:$J$815,E$1)</f>
        <v>0</v>
      </c>
      <c r="F18" s="198">
        <f>SUMIFS('май 2023'!$G$4:$G$815,'май 2023'!$D$4:$D$815,$B18,'май 2023'!$J$4:$J$815,F$1)</f>
        <v>0</v>
      </c>
      <c r="G18" s="198">
        <f>SUMIFS('май 2023'!$G$4:$G$815,'май 2023'!$D$4:$D$815,$B18,'май 2023'!$J$4:$J$815,G$1)</f>
        <v>0</v>
      </c>
      <c r="H18" s="198">
        <f>SUMIFS('май 2023'!$G$4:$G$815,'май 2023'!$D$4:$D$815,$B18,'май 2023'!$J$4:$J$815,H$1)</f>
        <v>0</v>
      </c>
      <c r="I18" s="198">
        <f>SUMIFS('май 2023'!$G$4:$G$815,'май 2023'!$D$4:$D$815,$B18,'май 2023'!$J$4:$J$815,I$1)</f>
        <v>0</v>
      </c>
      <c r="J18" s="198">
        <f>SUMIFS('май 2023'!$G$4:$G$815,'май 2023'!$D$4:$D$815,$B18,'май 2023'!$J$4:$J$815,J$1)</f>
        <v>0</v>
      </c>
      <c r="K18" s="198">
        <f>SUMIFS('май 2023'!$G$4:$G$815,'май 2023'!$D$4:$D$815,$B18,'май 2023'!$J$4:$J$815,K$1)</f>
        <v>0</v>
      </c>
      <c r="L18" s="198">
        <f>SUMIFS('май 2023'!$G$4:$G$815,'май 2023'!$D$4:$D$815,$B18,'май 2023'!$J$4:$J$815,L$1)</f>
        <v>0</v>
      </c>
      <c r="M18" s="198">
        <f>SUMIFS('май 2023'!$G$4:$G$815,'май 2023'!$D$4:$D$815,$B18,'май 2023'!$J$4:$J$815,M$1)</f>
        <v>0</v>
      </c>
      <c r="N18" s="198">
        <f>SUMIFS('май 2023'!$G$4:$G$815,'май 2023'!$D$4:$D$815,$B18,'май 2023'!$J$4:$J$815,N$1)</f>
        <v>0</v>
      </c>
      <c r="O18" s="198">
        <f>SUMIFS('май 2023'!$G$4:$G$815,'май 2023'!$D$4:$D$815,$B18,'май 2023'!$J$4:$J$815,O$1)</f>
        <v>0</v>
      </c>
      <c r="P18" s="198">
        <f>SUMIFS('май 2023'!$G$4:$G$815,'май 2023'!$D$4:$D$815,$B18,'май 2023'!$J$4:$J$815,P$1)</f>
        <v>0</v>
      </c>
      <c r="Q18" s="198">
        <f>SUMIFS('май 2023'!$G$4:$G$815,'май 2023'!$D$4:$D$815,$B18,'май 2023'!$J$4:$J$815,Q$1)</f>
        <v>0</v>
      </c>
      <c r="R18" s="198">
        <f>SUMIFS('май 2023'!$G$4:$G$815,'май 2023'!$D$4:$D$815,$B18,'май 2023'!$J$4:$J$815,R$1)</f>
        <v>0</v>
      </c>
      <c r="S18" s="198">
        <f>SUMIFS('май 2023'!$G$4:$G$815,'май 2023'!$D$4:$D$815,$B18,'май 2023'!$J$4:$J$815,S$1)</f>
        <v>0</v>
      </c>
      <c r="T18" s="198">
        <f>SUMIFS('май 2023'!$G$4:$G$815,'май 2023'!$D$4:$D$815,$B18,'май 2023'!$J$4:$J$815,T$1)</f>
        <v>0</v>
      </c>
      <c r="U18" s="198">
        <f>SUMIFS('май 2023'!$G$4:$G$815,'май 2023'!$D$4:$D$815,$B18,'май 2023'!$J$4:$J$815,U$1)</f>
        <v>0</v>
      </c>
      <c r="V18" s="198">
        <f>SUMIFS('май 2023'!$G$4:$G$815,'май 2023'!$D$4:$D$815,$B18,'май 2023'!$J$4:$J$815,V$1)</f>
        <v>0</v>
      </c>
      <c r="W18" s="198">
        <f>SUMIFS('май 2023'!$G$4:$G$815,'май 2023'!$D$4:$D$815,$B18,'май 2023'!$J$4:$J$815,W$1)</f>
        <v>0</v>
      </c>
      <c r="X18" s="198">
        <f>SUMIFS('май 2023'!$G$4:$G$815,'май 2023'!$D$4:$D$815,$B18,'май 2023'!$J$4:$J$815,X$1)</f>
        <v>0</v>
      </c>
      <c r="Y18" s="198">
        <f>SUMIFS('май 2023'!$G$4:$G$815,'май 2023'!$D$4:$D$815,$B18,'май 2023'!$J$4:$J$815,Y$1)</f>
        <v>0</v>
      </c>
      <c r="Z18" s="198">
        <f>SUMIFS('май 2023'!$G$4:$G$815,'май 2023'!$D$4:$D$815,$B18,'май 2023'!$J$4:$J$815,Z$1)</f>
        <v>0</v>
      </c>
      <c r="AA18" s="198">
        <f>SUMIFS('май 2023'!$G$4:$G$815,'май 2023'!$D$4:$D$815,$B18,'май 2023'!$J$4:$J$815,AA$1)</f>
        <v>0</v>
      </c>
      <c r="AB18" s="198">
        <f>SUMIFS('май 2023'!$G$4:$G$815,'май 2023'!$D$4:$D$815,$B18,'май 2023'!$J$4:$J$815,AB$1)</f>
        <v>0</v>
      </c>
      <c r="AC18" s="198">
        <f>SUMIFS('май 2023'!$G$4:$G$815,'май 2023'!$D$4:$D$815,$B18,'май 2023'!$J$4:$J$815,AC$1)</f>
        <v>0</v>
      </c>
      <c r="AD18" s="198">
        <f>SUMIFS('май 2023'!$G$4:$G$815,'май 2023'!$D$4:$D$815,$B18,'май 2023'!$J$4:$J$815,AD$1)</f>
        <v>0</v>
      </c>
      <c r="AE18" s="198">
        <f>SUMIFS('май 2023'!$G$4:$G$815,'май 2023'!$D$4:$D$815,$B18,'май 2023'!$J$4:$J$815,AE$1)</f>
        <v>0</v>
      </c>
      <c r="AF18" s="198">
        <f>SUMIFS('май 2023'!$G$4:$G$815,'май 2023'!$D$4:$D$815,$B18,'май 2023'!$J$4:$J$815,AF$1)</f>
        <v>0</v>
      </c>
      <c r="AG18" s="198">
        <f>SUMIFS('май 2023'!$G$4:$G$815,'май 2023'!$D$4:$D$815,$B18,'май 2023'!$J$4:$J$815,AG$1)</f>
        <v>0</v>
      </c>
      <c r="AH18" s="198">
        <f>SUMIFS('май 2023'!$G$4:$G$815,'май 2023'!$D$4:$D$815,$B18,'май 2023'!$J$4:$J$815,AH$1)</f>
        <v>0</v>
      </c>
      <c r="AI18" s="170">
        <f t="shared" si="1"/>
        <v>0</v>
      </c>
    </row>
    <row r="19" spans="2:35" ht="15" customHeight="1" x14ac:dyDescent="0.25">
      <c r="B19" s="199" t="s">
        <v>27</v>
      </c>
      <c r="C19" s="200">
        <v>25</v>
      </c>
      <c r="D19" s="198">
        <f>SUMIFS('май 2023'!$G$4:$G$815,'май 2023'!$D$4:$D$815,$B19,'май 2023'!$J$4:$J$815,D$1)</f>
        <v>0</v>
      </c>
      <c r="E19" s="198">
        <f>SUMIFS('май 2023'!$G$4:$G$815,'май 2023'!$D$4:$D$815,$B19,'май 2023'!$J$4:$J$815,E$1)</f>
        <v>0</v>
      </c>
      <c r="F19" s="198">
        <f>SUMIFS('май 2023'!$G$4:$G$815,'май 2023'!$D$4:$D$815,$B19,'май 2023'!$J$4:$J$815,F$1)</f>
        <v>0</v>
      </c>
      <c r="G19" s="198">
        <f>SUMIFS('май 2023'!$G$4:$G$815,'май 2023'!$D$4:$D$815,$B19,'май 2023'!$J$4:$J$815,G$1)</f>
        <v>0</v>
      </c>
      <c r="H19" s="198">
        <f>SUMIFS('май 2023'!$G$4:$G$815,'май 2023'!$D$4:$D$815,$B19,'май 2023'!$J$4:$J$815,H$1)</f>
        <v>0</v>
      </c>
      <c r="I19" s="198">
        <f>SUMIFS('май 2023'!$G$4:$G$815,'май 2023'!$D$4:$D$815,$B19,'май 2023'!$J$4:$J$815,I$1)</f>
        <v>0</v>
      </c>
      <c r="J19" s="198">
        <f>SUMIFS('май 2023'!$G$4:$G$815,'май 2023'!$D$4:$D$815,$B19,'май 2023'!$J$4:$J$815,J$1)</f>
        <v>0</v>
      </c>
      <c r="K19" s="198">
        <f>SUMIFS('май 2023'!$G$4:$G$815,'май 2023'!$D$4:$D$815,$B19,'май 2023'!$J$4:$J$815,K$1)</f>
        <v>0</v>
      </c>
      <c r="L19" s="198">
        <f>SUMIFS('май 2023'!$G$4:$G$815,'май 2023'!$D$4:$D$815,$B19,'май 2023'!$J$4:$J$815,L$1)</f>
        <v>0</v>
      </c>
      <c r="M19" s="198">
        <f>SUMIFS('май 2023'!$G$4:$G$815,'май 2023'!$D$4:$D$815,$B19,'май 2023'!$J$4:$J$815,M$1)</f>
        <v>0</v>
      </c>
      <c r="N19" s="198">
        <f>SUMIFS('май 2023'!$G$4:$G$815,'май 2023'!$D$4:$D$815,$B19,'май 2023'!$J$4:$J$815,N$1)</f>
        <v>0</v>
      </c>
      <c r="O19" s="198">
        <f>SUMIFS('май 2023'!$G$4:$G$815,'май 2023'!$D$4:$D$815,$B19,'май 2023'!$J$4:$J$815,O$1)</f>
        <v>0</v>
      </c>
      <c r="P19" s="198">
        <f>SUMIFS('май 2023'!$G$4:$G$815,'май 2023'!$D$4:$D$815,$B19,'май 2023'!$J$4:$J$815,P$1)</f>
        <v>0</v>
      </c>
      <c r="Q19" s="198">
        <f>SUMIFS('май 2023'!$G$4:$G$815,'май 2023'!$D$4:$D$815,$B19,'май 2023'!$J$4:$J$815,Q$1)</f>
        <v>0</v>
      </c>
      <c r="R19" s="198">
        <f>SUMIFS('май 2023'!$G$4:$G$815,'май 2023'!$D$4:$D$815,$B19,'май 2023'!$J$4:$J$815,R$1)</f>
        <v>0</v>
      </c>
      <c r="S19" s="198">
        <f>SUMIFS('май 2023'!$G$4:$G$815,'май 2023'!$D$4:$D$815,$B19,'май 2023'!$J$4:$J$815,S$1)</f>
        <v>0</v>
      </c>
      <c r="T19" s="198">
        <f>SUMIFS('май 2023'!$G$4:$G$815,'май 2023'!$D$4:$D$815,$B19,'май 2023'!$J$4:$J$815,T$1)</f>
        <v>0</v>
      </c>
      <c r="U19" s="198">
        <f>SUMIFS('май 2023'!$G$4:$G$815,'май 2023'!$D$4:$D$815,$B19,'май 2023'!$J$4:$J$815,U$1)</f>
        <v>0</v>
      </c>
      <c r="V19" s="198">
        <f>SUMIFS('май 2023'!$G$4:$G$815,'май 2023'!$D$4:$D$815,$B19,'май 2023'!$J$4:$J$815,V$1)</f>
        <v>0</v>
      </c>
      <c r="W19" s="198">
        <f>SUMIFS('май 2023'!$G$4:$G$815,'май 2023'!$D$4:$D$815,$B19,'май 2023'!$J$4:$J$815,W$1)</f>
        <v>0</v>
      </c>
      <c r="X19" s="198">
        <f>SUMIFS('май 2023'!$G$4:$G$815,'май 2023'!$D$4:$D$815,$B19,'май 2023'!$J$4:$J$815,X$1)</f>
        <v>0</v>
      </c>
      <c r="Y19" s="198">
        <f>SUMIFS('май 2023'!$G$4:$G$815,'май 2023'!$D$4:$D$815,$B19,'май 2023'!$J$4:$J$815,Y$1)</f>
        <v>0</v>
      </c>
      <c r="Z19" s="198">
        <f>SUMIFS('май 2023'!$G$4:$G$815,'май 2023'!$D$4:$D$815,$B19,'май 2023'!$J$4:$J$815,Z$1)</f>
        <v>0</v>
      </c>
      <c r="AA19" s="198">
        <f>SUMIFS('май 2023'!$G$4:$G$815,'май 2023'!$D$4:$D$815,$B19,'май 2023'!$J$4:$J$815,AA$1)</f>
        <v>0</v>
      </c>
      <c r="AB19" s="198">
        <f>SUMIFS('май 2023'!$G$4:$G$815,'май 2023'!$D$4:$D$815,$B19,'май 2023'!$J$4:$J$815,AB$1)</f>
        <v>0</v>
      </c>
      <c r="AC19" s="198">
        <f>SUMIFS('май 2023'!$G$4:$G$815,'май 2023'!$D$4:$D$815,$B19,'май 2023'!$J$4:$J$815,AC$1)</f>
        <v>0</v>
      </c>
      <c r="AD19" s="198">
        <f>SUMIFS('май 2023'!$G$4:$G$815,'май 2023'!$D$4:$D$815,$B19,'май 2023'!$J$4:$J$815,AD$1)</f>
        <v>0</v>
      </c>
      <c r="AE19" s="198">
        <f>SUMIFS('май 2023'!$G$4:$G$815,'май 2023'!$D$4:$D$815,$B19,'май 2023'!$J$4:$J$815,AE$1)</f>
        <v>0</v>
      </c>
      <c r="AF19" s="198">
        <f>SUMIFS('май 2023'!$G$4:$G$815,'май 2023'!$D$4:$D$815,$B19,'май 2023'!$J$4:$J$815,AF$1)</f>
        <v>0</v>
      </c>
      <c r="AG19" s="198">
        <f>SUMIFS('май 2023'!$G$4:$G$815,'май 2023'!$D$4:$D$815,$B19,'май 2023'!$J$4:$J$815,AG$1)</f>
        <v>0</v>
      </c>
      <c r="AH19" s="198">
        <f>SUMIFS('май 2023'!$G$4:$G$815,'май 2023'!$D$4:$D$815,$B19,'май 2023'!$J$4:$J$815,AH$1)</f>
        <v>0</v>
      </c>
      <c r="AI19" s="170">
        <f t="shared" si="1"/>
        <v>0</v>
      </c>
    </row>
    <row r="20" spans="2:35" ht="15" customHeight="1" x14ac:dyDescent="0.25">
      <c r="B20" s="199" t="s">
        <v>445</v>
      </c>
      <c r="C20" s="200">
        <v>25</v>
      </c>
      <c r="D20" s="198">
        <f>SUMIFS('май 2023'!$G$4:$G$815,'май 2023'!$D$4:$D$815,$B20,'май 2023'!$J$4:$J$815,D$1)</f>
        <v>0</v>
      </c>
      <c r="E20" s="198">
        <f>SUMIFS('май 2023'!$G$4:$G$815,'май 2023'!$D$4:$D$815,$B20,'май 2023'!$J$4:$J$815,E$1)</f>
        <v>0</v>
      </c>
      <c r="F20" s="198">
        <f>SUMIFS('май 2023'!$G$4:$G$815,'май 2023'!$D$4:$D$815,$B20,'май 2023'!$J$4:$J$815,F$1)</f>
        <v>0</v>
      </c>
      <c r="G20" s="198">
        <f>SUMIFS('май 2023'!$G$4:$G$815,'май 2023'!$D$4:$D$815,$B20,'май 2023'!$J$4:$J$815,G$1)</f>
        <v>0</v>
      </c>
      <c r="H20" s="198">
        <f>SUMIFS('май 2023'!$G$4:$G$815,'май 2023'!$D$4:$D$815,$B20,'май 2023'!$J$4:$J$815,H$1)</f>
        <v>0</v>
      </c>
      <c r="I20" s="198">
        <f>SUMIFS('май 2023'!$G$4:$G$815,'май 2023'!$D$4:$D$815,$B20,'май 2023'!$J$4:$J$815,I$1)</f>
        <v>0</v>
      </c>
      <c r="J20" s="198">
        <f>SUMIFS('май 2023'!$G$4:$G$815,'май 2023'!$D$4:$D$815,$B20,'май 2023'!$J$4:$J$815,J$1)</f>
        <v>0</v>
      </c>
      <c r="K20" s="198">
        <f>SUMIFS('май 2023'!$G$4:$G$815,'май 2023'!$D$4:$D$815,$B20,'май 2023'!$J$4:$J$815,K$1)</f>
        <v>0</v>
      </c>
      <c r="L20" s="198">
        <f>SUMIFS('май 2023'!$G$4:$G$815,'май 2023'!$D$4:$D$815,$B20,'май 2023'!$J$4:$J$815,L$1)</f>
        <v>0</v>
      </c>
      <c r="M20" s="198">
        <f>SUMIFS('май 2023'!$G$4:$G$815,'май 2023'!$D$4:$D$815,$B20,'май 2023'!$J$4:$J$815,M$1)</f>
        <v>0</v>
      </c>
      <c r="N20" s="198">
        <f>SUMIFS('май 2023'!$G$4:$G$815,'май 2023'!$D$4:$D$815,$B20,'май 2023'!$J$4:$J$815,N$1)</f>
        <v>0</v>
      </c>
      <c r="O20" s="198">
        <f>SUMIFS('май 2023'!$G$4:$G$815,'май 2023'!$D$4:$D$815,$B20,'май 2023'!$J$4:$J$815,O$1)</f>
        <v>0</v>
      </c>
      <c r="P20" s="198">
        <f>SUMIFS('май 2023'!$G$4:$G$815,'май 2023'!$D$4:$D$815,$B20,'май 2023'!$J$4:$J$815,P$1)</f>
        <v>0</v>
      </c>
      <c r="Q20" s="198">
        <f>SUMIFS('май 2023'!$G$4:$G$815,'май 2023'!$D$4:$D$815,$B20,'май 2023'!$J$4:$J$815,Q$1)</f>
        <v>0</v>
      </c>
      <c r="R20" s="198">
        <f>SUMIFS('май 2023'!$G$4:$G$815,'май 2023'!$D$4:$D$815,$B20,'май 2023'!$J$4:$J$815,R$1)</f>
        <v>0</v>
      </c>
      <c r="S20" s="198">
        <f>SUMIFS('май 2023'!$G$4:$G$815,'май 2023'!$D$4:$D$815,$B20,'май 2023'!$J$4:$J$815,S$1)</f>
        <v>0</v>
      </c>
      <c r="T20" s="198">
        <f>SUMIFS('май 2023'!$G$4:$G$815,'май 2023'!$D$4:$D$815,$B20,'май 2023'!$J$4:$J$815,T$1)</f>
        <v>0</v>
      </c>
      <c r="U20" s="198">
        <f>SUMIFS('май 2023'!$G$4:$G$815,'май 2023'!$D$4:$D$815,$B20,'май 2023'!$J$4:$J$815,U$1)</f>
        <v>0</v>
      </c>
      <c r="V20" s="198">
        <f>SUMIFS('май 2023'!$G$4:$G$815,'май 2023'!$D$4:$D$815,$B20,'май 2023'!$J$4:$J$815,V$1)</f>
        <v>0</v>
      </c>
      <c r="W20" s="198">
        <f>SUMIFS('май 2023'!$G$4:$G$815,'май 2023'!$D$4:$D$815,$B20,'май 2023'!$J$4:$J$815,W$1)</f>
        <v>0</v>
      </c>
      <c r="X20" s="198">
        <f>SUMIFS('май 2023'!$G$4:$G$815,'май 2023'!$D$4:$D$815,$B20,'май 2023'!$J$4:$J$815,X$1)</f>
        <v>0</v>
      </c>
      <c r="Y20" s="198">
        <f>SUMIFS('май 2023'!$G$4:$G$815,'май 2023'!$D$4:$D$815,$B20,'май 2023'!$J$4:$J$815,Y$1)</f>
        <v>0</v>
      </c>
      <c r="Z20" s="198">
        <f>SUMIFS('май 2023'!$G$4:$G$815,'май 2023'!$D$4:$D$815,$B20,'май 2023'!$J$4:$J$815,Z$1)</f>
        <v>0</v>
      </c>
      <c r="AA20" s="198">
        <f>SUMIFS('май 2023'!$G$4:$G$815,'май 2023'!$D$4:$D$815,$B20,'май 2023'!$J$4:$J$815,AA$1)</f>
        <v>0</v>
      </c>
      <c r="AB20" s="198">
        <f>SUMIFS('май 2023'!$G$4:$G$815,'май 2023'!$D$4:$D$815,$B20,'май 2023'!$J$4:$J$815,AB$1)</f>
        <v>0</v>
      </c>
      <c r="AC20" s="198">
        <f>SUMIFS('май 2023'!$G$4:$G$815,'май 2023'!$D$4:$D$815,$B20,'май 2023'!$J$4:$J$815,AC$1)</f>
        <v>0</v>
      </c>
      <c r="AD20" s="198">
        <f>SUMIFS('май 2023'!$G$4:$G$815,'май 2023'!$D$4:$D$815,$B20,'май 2023'!$J$4:$J$815,AD$1)</f>
        <v>0</v>
      </c>
      <c r="AE20" s="198">
        <f>SUMIFS('май 2023'!$G$4:$G$815,'май 2023'!$D$4:$D$815,$B20,'май 2023'!$J$4:$J$815,AE$1)</f>
        <v>0</v>
      </c>
      <c r="AF20" s="198">
        <f>SUMIFS('май 2023'!$G$4:$G$815,'май 2023'!$D$4:$D$815,$B20,'май 2023'!$J$4:$J$815,AF$1)</f>
        <v>0</v>
      </c>
      <c r="AG20" s="198">
        <f>SUMIFS('май 2023'!$G$4:$G$815,'май 2023'!$D$4:$D$815,$B20,'май 2023'!$J$4:$J$815,AG$1)</f>
        <v>0</v>
      </c>
      <c r="AH20" s="198">
        <f>SUMIFS('май 2023'!$G$4:$G$815,'май 2023'!$D$4:$D$815,$B20,'май 2023'!$J$4:$J$815,AH$1)</f>
        <v>0</v>
      </c>
      <c r="AI20" s="170">
        <f t="shared" si="1"/>
        <v>0</v>
      </c>
    </row>
    <row r="21" spans="2:35" ht="15" customHeight="1" x14ac:dyDescent="0.25">
      <c r="B21" s="202" t="s">
        <v>186</v>
      </c>
      <c r="C21" s="204">
        <v>22.68</v>
      </c>
      <c r="D21" s="198">
        <f>SUMIFS('май 2023'!$G$4:$G$815,'май 2023'!$D$4:$D$815,$B21,'май 2023'!$J$4:$J$815,D$1)</f>
        <v>0</v>
      </c>
      <c r="E21" s="198">
        <f>SUMIFS('май 2023'!$G$4:$G$815,'май 2023'!$D$4:$D$815,$B21,'май 2023'!$J$4:$J$815,E$1)</f>
        <v>0</v>
      </c>
      <c r="F21" s="198">
        <f>SUMIFS('май 2023'!$G$4:$G$815,'май 2023'!$D$4:$D$815,$B21,'май 2023'!$J$4:$J$815,F$1)</f>
        <v>0</v>
      </c>
      <c r="G21" s="198">
        <f>SUMIFS('май 2023'!$G$4:$G$815,'май 2023'!$D$4:$D$815,$B21,'май 2023'!$J$4:$J$815,G$1)</f>
        <v>0</v>
      </c>
      <c r="H21" s="198">
        <f>SUMIFS('май 2023'!$G$4:$G$815,'май 2023'!$D$4:$D$815,$B21,'май 2023'!$J$4:$J$815,H$1)</f>
        <v>0</v>
      </c>
      <c r="I21" s="198">
        <f>SUMIFS('май 2023'!$G$4:$G$815,'май 2023'!$D$4:$D$815,$B21,'май 2023'!$J$4:$J$815,I$1)</f>
        <v>0</v>
      </c>
      <c r="J21" s="198">
        <f>SUMIFS('май 2023'!$G$4:$G$815,'май 2023'!$D$4:$D$815,$B21,'май 2023'!$J$4:$J$815,J$1)</f>
        <v>0</v>
      </c>
      <c r="K21" s="198">
        <f>SUMIFS('май 2023'!$G$4:$G$815,'май 2023'!$D$4:$D$815,$B21,'май 2023'!$J$4:$J$815,K$1)</f>
        <v>0</v>
      </c>
      <c r="L21" s="198">
        <f>SUMIFS('май 2023'!$G$4:$G$815,'май 2023'!$D$4:$D$815,$B21,'май 2023'!$J$4:$J$815,L$1)</f>
        <v>0</v>
      </c>
      <c r="M21" s="198">
        <f>SUMIFS('май 2023'!$G$4:$G$815,'май 2023'!$D$4:$D$815,$B21,'май 2023'!$J$4:$J$815,M$1)</f>
        <v>0</v>
      </c>
      <c r="N21" s="198">
        <f>SUMIFS('май 2023'!$G$4:$G$815,'май 2023'!$D$4:$D$815,$B21,'май 2023'!$J$4:$J$815,N$1)</f>
        <v>0</v>
      </c>
      <c r="O21" s="198">
        <f>SUMIFS('май 2023'!$G$4:$G$815,'май 2023'!$D$4:$D$815,$B21,'май 2023'!$J$4:$J$815,O$1)</f>
        <v>0</v>
      </c>
      <c r="P21" s="198">
        <f>SUMIFS('май 2023'!$G$4:$G$815,'май 2023'!$D$4:$D$815,$B21,'май 2023'!$J$4:$J$815,P$1)</f>
        <v>0</v>
      </c>
      <c r="Q21" s="198">
        <f>SUMIFS('май 2023'!$G$4:$G$815,'май 2023'!$D$4:$D$815,$B21,'май 2023'!$J$4:$J$815,Q$1)</f>
        <v>0</v>
      </c>
      <c r="R21" s="198">
        <f>SUMIFS('май 2023'!$G$4:$G$815,'май 2023'!$D$4:$D$815,$B21,'май 2023'!$J$4:$J$815,R$1)</f>
        <v>0</v>
      </c>
      <c r="S21" s="198">
        <f>SUMIFS('май 2023'!$G$4:$G$815,'май 2023'!$D$4:$D$815,$B21,'май 2023'!$J$4:$J$815,S$1)</f>
        <v>0</v>
      </c>
      <c r="T21" s="198">
        <f>SUMIFS('май 2023'!$G$4:$G$815,'май 2023'!$D$4:$D$815,$B21,'май 2023'!$J$4:$J$815,T$1)</f>
        <v>0</v>
      </c>
      <c r="U21" s="198">
        <f>SUMIFS('май 2023'!$G$4:$G$815,'май 2023'!$D$4:$D$815,$B21,'май 2023'!$J$4:$J$815,U$1)</f>
        <v>0</v>
      </c>
      <c r="V21" s="198">
        <f>SUMIFS('май 2023'!$G$4:$G$815,'май 2023'!$D$4:$D$815,$B21,'май 2023'!$J$4:$J$815,V$1)</f>
        <v>0</v>
      </c>
      <c r="W21" s="198">
        <f>SUMIFS('май 2023'!$G$4:$G$815,'май 2023'!$D$4:$D$815,$B21,'май 2023'!$J$4:$J$815,W$1)</f>
        <v>0</v>
      </c>
      <c r="X21" s="198">
        <f>SUMIFS('май 2023'!$G$4:$G$815,'май 2023'!$D$4:$D$815,$B21,'май 2023'!$J$4:$J$815,X$1)</f>
        <v>0</v>
      </c>
      <c r="Y21" s="198">
        <f>SUMIFS('май 2023'!$G$4:$G$815,'май 2023'!$D$4:$D$815,$B21,'май 2023'!$J$4:$J$815,Y$1)</f>
        <v>0</v>
      </c>
      <c r="Z21" s="198">
        <f>SUMIFS('май 2023'!$G$4:$G$815,'май 2023'!$D$4:$D$815,$B21,'май 2023'!$J$4:$J$815,Z$1)</f>
        <v>0</v>
      </c>
      <c r="AA21" s="198">
        <f>SUMIFS('май 2023'!$G$4:$G$815,'май 2023'!$D$4:$D$815,$B21,'май 2023'!$J$4:$J$815,AA$1)</f>
        <v>0</v>
      </c>
      <c r="AB21" s="198">
        <f>SUMIFS('май 2023'!$G$4:$G$815,'май 2023'!$D$4:$D$815,$B21,'май 2023'!$J$4:$J$815,AB$1)</f>
        <v>2275</v>
      </c>
      <c r="AC21" s="198">
        <f>SUMIFS('май 2023'!$G$4:$G$815,'май 2023'!$D$4:$D$815,$B21,'май 2023'!$J$4:$J$815,AC$1)</f>
        <v>0</v>
      </c>
      <c r="AD21" s="198">
        <f>SUMIFS('май 2023'!$G$4:$G$815,'май 2023'!$D$4:$D$815,$B21,'май 2023'!$J$4:$J$815,AD$1)</f>
        <v>0</v>
      </c>
      <c r="AE21" s="198">
        <f>SUMIFS('май 2023'!$G$4:$G$815,'май 2023'!$D$4:$D$815,$B21,'май 2023'!$J$4:$J$815,AE$1)</f>
        <v>0</v>
      </c>
      <c r="AF21" s="198">
        <f>SUMIFS('май 2023'!$G$4:$G$815,'май 2023'!$D$4:$D$815,$B21,'май 2023'!$J$4:$J$815,AF$1)</f>
        <v>275</v>
      </c>
      <c r="AG21" s="198">
        <f>SUMIFS('май 2023'!$G$4:$G$815,'май 2023'!$D$4:$D$815,$B21,'май 2023'!$J$4:$J$815,AG$1)</f>
        <v>0</v>
      </c>
      <c r="AH21" s="198">
        <f>SUMIFS('май 2023'!$G$4:$G$815,'май 2023'!$D$4:$D$815,$B21,'май 2023'!$J$4:$J$815,AH$1)</f>
        <v>0</v>
      </c>
      <c r="AI21" s="170">
        <f t="shared" si="1"/>
        <v>2550</v>
      </c>
    </row>
    <row r="22" spans="2:35" ht="15" hidden="1" customHeight="1" x14ac:dyDescent="0.25">
      <c r="B22" s="202"/>
      <c r="C22" s="200"/>
      <c r="D22" s="198">
        <f>SUMIFS('май 2023'!$G$4:$G$815,'май 2023'!$D$4:$D$815,$B22,'май 2023'!$J$4:$J$815,D$1)</f>
        <v>0</v>
      </c>
      <c r="E22" s="198">
        <f>SUMIFS('май 2023'!$G$4:$G$815,'май 2023'!$D$4:$D$815,$B22,'май 2023'!$J$4:$J$815,E$1)</f>
        <v>0</v>
      </c>
      <c r="F22" s="198">
        <f>SUMIFS('май 2023'!$G$4:$G$815,'май 2023'!$D$4:$D$815,$B22,'май 2023'!$J$4:$J$815,F$1)</f>
        <v>0</v>
      </c>
      <c r="G22" s="198">
        <f>SUMIFS('май 2023'!$G$4:$G$815,'май 2023'!$D$4:$D$815,$B22,'май 2023'!$J$4:$J$815,G$1)</f>
        <v>0</v>
      </c>
      <c r="H22" s="198">
        <f>SUMIFS('май 2023'!$G$4:$G$815,'май 2023'!$D$4:$D$815,$B22,'май 2023'!$J$4:$J$815,H$1)</f>
        <v>0</v>
      </c>
      <c r="I22" s="198">
        <f>SUMIFS('май 2023'!$G$4:$G$815,'май 2023'!$D$4:$D$815,$B22,'май 2023'!$J$4:$J$815,I$1)</f>
        <v>0</v>
      </c>
      <c r="J22" s="198">
        <f>SUMIFS('май 2023'!$G$4:$G$815,'май 2023'!$D$4:$D$815,$B22,'май 2023'!$J$4:$J$815,J$1)</f>
        <v>0</v>
      </c>
      <c r="K22" s="198">
        <f>SUMIFS('май 2023'!$G$4:$G$815,'май 2023'!$D$4:$D$815,$B22,'май 2023'!$J$4:$J$815,K$1)</f>
        <v>0</v>
      </c>
      <c r="L22" s="198">
        <f>SUMIFS('май 2023'!$G$4:$G$815,'май 2023'!$D$4:$D$815,$B22,'май 2023'!$J$4:$J$815,L$1)</f>
        <v>0</v>
      </c>
      <c r="M22" s="198">
        <f>SUMIFS('май 2023'!$G$4:$G$815,'май 2023'!$D$4:$D$815,$B22,'май 2023'!$J$4:$J$815,M$1)</f>
        <v>0</v>
      </c>
      <c r="N22" s="198">
        <f>SUMIFS('май 2023'!$G$4:$G$815,'май 2023'!$D$4:$D$815,$B22,'май 2023'!$J$4:$J$815,N$1)</f>
        <v>0</v>
      </c>
      <c r="O22" s="198">
        <f>SUMIFS('май 2023'!$G$4:$G$815,'май 2023'!$D$4:$D$815,$B22,'май 2023'!$J$4:$J$815,O$1)</f>
        <v>0</v>
      </c>
      <c r="P22" s="198">
        <f>SUMIFS('май 2023'!$G$4:$G$815,'май 2023'!$D$4:$D$815,$B22,'май 2023'!$J$4:$J$815,P$1)</f>
        <v>0</v>
      </c>
      <c r="Q22" s="198">
        <f>SUMIFS('май 2023'!$G$4:$G$815,'май 2023'!$D$4:$D$815,$B22,'май 2023'!$J$4:$J$815,Q$1)</f>
        <v>0</v>
      </c>
      <c r="R22" s="198">
        <f>SUMIFS('май 2023'!$G$4:$G$815,'май 2023'!$D$4:$D$815,$B22,'май 2023'!$J$4:$J$815,R$1)</f>
        <v>0</v>
      </c>
      <c r="S22" s="198">
        <f>SUMIFS('май 2023'!$G$4:$G$815,'май 2023'!$D$4:$D$815,$B22,'май 2023'!$J$4:$J$815,S$1)</f>
        <v>0</v>
      </c>
      <c r="T22" s="198">
        <f>SUMIFS('май 2023'!$G$4:$G$815,'май 2023'!$D$4:$D$815,$B22,'май 2023'!$J$4:$J$815,T$1)</f>
        <v>0</v>
      </c>
      <c r="U22" s="198">
        <f>SUMIFS('май 2023'!$G$4:$G$815,'май 2023'!$D$4:$D$815,$B22,'май 2023'!$J$4:$J$815,U$1)</f>
        <v>0</v>
      </c>
      <c r="V22" s="198">
        <f>SUMIFS('май 2023'!$G$4:$G$815,'май 2023'!$D$4:$D$815,$B22,'май 2023'!$J$4:$J$815,V$1)</f>
        <v>0</v>
      </c>
      <c r="W22" s="198">
        <f>SUMIFS('май 2023'!$G$4:$G$815,'май 2023'!$D$4:$D$815,$B22,'май 2023'!$J$4:$J$815,W$1)</f>
        <v>0</v>
      </c>
      <c r="X22" s="198">
        <f>SUMIFS('май 2023'!$G$4:$G$815,'май 2023'!$D$4:$D$815,$B22,'май 2023'!$J$4:$J$815,X$1)</f>
        <v>0</v>
      </c>
      <c r="Y22" s="198">
        <f>SUMIFS('май 2023'!$G$4:$G$815,'май 2023'!$D$4:$D$815,$B22,'май 2023'!$J$4:$J$815,Y$1)</f>
        <v>0</v>
      </c>
      <c r="Z22" s="198">
        <f>SUMIFS('май 2023'!$G$4:$G$815,'май 2023'!$D$4:$D$815,$B22,'май 2023'!$J$4:$J$815,Z$1)</f>
        <v>0</v>
      </c>
      <c r="AA22" s="198">
        <f>SUMIFS('май 2023'!$G$4:$G$815,'май 2023'!$D$4:$D$815,$B22,'май 2023'!$J$4:$J$815,AA$1)</f>
        <v>0</v>
      </c>
      <c r="AB22" s="198">
        <f>SUMIFS('май 2023'!$G$4:$G$815,'май 2023'!$D$4:$D$815,$B22,'май 2023'!$J$4:$J$815,AB$1)</f>
        <v>0</v>
      </c>
      <c r="AC22" s="198">
        <f>SUMIFS('май 2023'!$G$4:$G$815,'май 2023'!$D$4:$D$815,$B22,'май 2023'!$J$4:$J$815,AC$1)</f>
        <v>0</v>
      </c>
      <c r="AD22" s="198">
        <f>SUMIFS('май 2023'!$G$4:$G$815,'май 2023'!$D$4:$D$815,$B22,'май 2023'!$J$4:$J$815,AD$1)</f>
        <v>0</v>
      </c>
      <c r="AE22" s="198">
        <f>SUMIFS('май 2023'!$G$4:$G$815,'май 2023'!$D$4:$D$815,$B22,'май 2023'!$J$4:$J$815,AE$1)</f>
        <v>0</v>
      </c>
      <c r="AF22" s="198">
        <f>SUMIFS('май 2023'!$G$4:$G$815,'май 2023'!$D$4:$D$815,$B22,'май 2023'!$J$4:$J$815,AF$1)</f>
        <v>0</v>
      </c>
      <c r="AG22" s="198">
        <f>SUMIFS('май 2023'!$G$4:$G$815,'май 2023'!$D$4:$D$815,$B22,'май 2023'!$J$4:$J$815,AG$1)</f>
        <v>0</v>
      </c>
      <c r="AH22" s="198">
        <f>SUMIFS('май 2023'!$G$4:$G$815,'май 2023'!$D$4:$D$815,$B22,'май 2023'!$J$4:$J$815,AH$1)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SUMIFS('май 2023'!$G$4:$G$815,'май 2023'!$D$4:$D$815,$B23,'май 2023'!$J$4:$J$815,D$1)</f>
        <v>0</v>
      </c>
      <c r="E23" s="198">
        <f>SUMIFS('май 2023'!$G$4:$G$815,'май 2023'!$D$4:$D$815,$B23,'май 2023'!$J$4:$J$815,E$1)</f>
        <v>0</v>
      </c>
      <c r="F23" s="198">
        <f>SUMIFS('май 2023'!$G$4:$G$815,'май 2023'!$D$4:$D$815,$B23,'май 2023'!$J$4:$J$815,F$1)</f>
        <v>0</v>
      </c>
      <c r="G23" s="198">
        <f>SUMIFS('май 2023'!$G$4:$G$815,'май 2023'!$D$4:$D$815,$B23,'май 2023'!$J$4:$J$815,G$1)</f>
        <v>0</v>
      </c>
      <c r="H23" s="198">
        <f>SUMIFS('май 2023'!$G$4:$G$815,'май 2023'!$D$4:$D$815,$B23,'май 2023'!$J$4:$J$815,H$1)</f>
        <v>0</v>
      </c>
      <c r="I23" s="198">
        <f>SUMIFS('май 2023'!$G$4:$G$815,'май 2023'!$D$4:$D$815,$B23,'май 2023'!$J$4:$J$815,I$1)</f>
        <v>0</v>
      </c>
      <c r="J23" s="198">
        <f>SUMIFS('май 2023'!$G$4:$G$815,'май 2023'!$D$4:$D$815,$B23,'май 2023'!$J$4:$J$815,J$1)</f>
        <v>0</v>
      </c>
      <c r="K23" s="198">
        <f>SUMIFS('май 2023'!$G$4:$G$815,'май 2023'!$D$4:$D$815,$B23,'май 2023'!$J$4:$J$815,K$1)</f>
        <v>0</v>
      </c>
      <c r="L23" s="198">
        <f>SUMIFS('май 2023'!$G$4:$G$815,'май 2023'!$D$4:$D$815,$B23,'май 2023'!$J$4:$J$815,L$1)</f>
        <v>0</v>
      </c>
      <c r="M23" s="198">
        <f>SUMIFS('май 2023'!$G$4:$G$815,'май 2023'!$D$4:$D$815,$B23,'май 2023'!$J$4:$J$815,M$1)</f>
        <v>0</v>
      </c>
      <c r="N23" s="198">
        <f>SUMIFS('май 2023'!$G$4:$G$815,'май 2023'!$D$4:$D$815,$B23,'май 2023'!$J$4:$J$815,N$1)</f>
        <v>0</v>
      </c>
      <c r="O23" s="198">
        <f>SUMIFS('май 2023'!$G$4:$G$815,'май 2023'!$D$4:$D$815,$B23,'май 2023'!$J$4:$J$815,O$1)</f>
        <v>0</v>
      </c>
      <c r="P23" s="198">
        <f>SUMIFS('май 2023'!$G$4:$G$815,'май 2023'!$D$4:$D$815,$B23,'май 2023'!$J$4:$J$815,P$1)</f>
        <v>0</v>
      </c>
      <c r="Q23" s="198">
        <f>SUMIFS('май 2023'!$G$4:$G$815,'май 2023'!$D$4:$D$815,$B23,'май 2023'!$J$4:$J$815,Q$1)</f>
        <v>0</v>
      </c>
      <c r="R23" s="198">
        <f>SUMIFS('май 2023'!$G$4:$G$815,'май 2023'!$D$4:$D$815,$B23,'май 2023'!$J$4:$J$815,R$1)</f>
        <v>0</v>
      </c>
      <c r="S23" s="198">
        <f>SUMIFS('май 2023'!$G$4:$G$815,'май 2023'!$D$4:$D$815,$B23,'май 2023'!$J$4:$J$815,S$1)</f>
        <v>0</v>
      </c>
      <c r="T23" s="198">
        <f>SUMIFS('май 2023'!$G$4:$G$815,'май 2023'!$D$4:$D$815,$B23,'май 2023'!$J$4:$J$815,T$1)</f>
        <v>0</v>
      </c>
      <c r="U23" s="198">
        <f>SUMIFS('май 2023'!$G$4:$G$815,'май 2023'!$D$4:$D$815,$B23,'май 2023'!$J$4:$J$815,U$1)</f>
        <v>0</v>
      </c>
      <c r="V23" s="198">
        <f>SUMIFS('май 2023'!$G$4:$G$815,'май 2023'!$D$4:$D$815,$B23,'май 2023'!$J$4:$J$815,V$1)</f>
        <v>0</v>
      </c>
      <c r="W23" s="198">
        <f>SUMIFS('май 2023'!$G$4:$G$815,'май 2023'!$D$4:$D$815,$B23,'май 2023'!$J$4:$J$815,W$1)</f>
        <v>0</v>
      </c>
      <c r="X23" s="198">
        <f>SUMIFS('май 2023'!$G$4:$G$815,'май 2023'!$D$4:$D$815,$B23,'май 2023'!$J$4:$J$815,X$1)</f>
        <v>0</v>
      </c>
      <c r="Y23" s="198">
        <f>SUMIFS('май 2023'!$G$4:$G$815,'май 2023'!$D$4:$D$815,$B23,'май 2023'!$J$4:$J$815,Y$1)</f>
        <v>0</v>
      </c>
      <c r="Z23" s="198">
        <f>SUMIFS('май 2023'!$G$4:$G$815,'май 2023'!$D$4:$D$815,$B23,'май 2023'!$J$4:$J$815,Z$1)</f>
        <v>0</v>
      </c>
      <c r="AA23" s="198">
        <f>SUMIFS('май 2023'!$G$4:$G$815,'май 2023'!$D$4:$D$815,$B23,'май 2023'!$J$4:$J$815,AA$1)</f>
        <v>0</v>
      </c>
      <c r="AB23" s="198">
        <f>SUMIFS('май 2023'!$G$4:$G$815,'май 2023'!$D$4:$D$815,$B23,'май 2023'!$J$4:$J$815,AB$1)</f>
        <v>0</v>
      </c>
      <c r="AC23" s="198">
        <f>SUMIFS('май 2023'!$G$4:$G$815,'май 2023'!$D$4:$D$815,$B23,'май 2023'!$J$4:$J$815,AC$1)</f>
        <v>0</v>
      </c>
      <c r="AD23" s="198">
        <f>SUMIFS('май 2023'!$G$4:$G$815,'май 2023'!$D$4:$D$815,$B23,'май 2023'!$J$4:$J$815,AD$1)</f>
        <v>0</v>
      </c>
      <c r="AE23" s="198">
        <f>SUMIFS('май 2023'!$G$4:$G$815,'май 2023'!$D$4:$D$815,$B23,'май 2023'!$J$4:$J$815,AE$1)</f>
        <v>0</v>
      </c>
      <c r="AF23" s="198">
        <f>SUMIFS('май 2023'!$G$4:$G$815,'май 2023'!$D$4:$D$815,$B23,'май 2023'!$J$4:$J$815,AF$1)</f>
        <v>0</v>
      </c>
      <c r="AG23" s="198">
        <f>SUMIFS('май 2023'!$G$4:$G$815,'май 2023'!$D$4:$D$815,$B23,'май 2023'!$J$4:$J$815,AG$1)</f>
        <v>0</v>
      </c>
      <c r="AH23" s="198">
        <f>SUMIFS('май 2023'!$G$4:$G$815,'май 2023'!$D$4:$D$815,$B23,'май 2023'!$J$4:$J$815,AH$1)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SUMIFS('май 2023'!$G$4:$G$815,'май 2023'!$D$4:$D$815,$B24,'май 2023'!$J$4:$J$815,D$1)</f>
        <v>0</v>
      </c>
      <c r="E24" s="198">
        <f>SUMIFS('май 2023'!$G$4:$G$815,'май 2023'!$D$4:$D$815,$B24,'май 2023'!$J$4:$J$815,E$1)</f>
        <v>0</v>
      </c>
      <c r="F24" s="198">
        <f>SUMIFS('май 2023'!$G$4:$G$815,'май 2023'!$D$4:$D$815,$B24,'май 2023'!$J$4:$J$815,F$1)</f>
        <v>0</v>
      </c>
      <c r="G24" s="198">
        <f>SUMIFS('май 2023'!$G$4:$G$815,'май 2023'!$D$4:$D$815,$B24,'май 2023'!$J$4:$J$815,G$1)</f>
        <v>0</v>
      </c>
      <c r="H24" s="198">
        <f>SUMIFS('май 2023'!$G$4:$G$815,'май 2023'!$D$4:$D$815,$B24,'май 2023'!$J$4:$J$815,H$1)</f>
        <v>0</v>
      </c>
      <c r="I24" s="198">
        <f>SUMIFS('май 2023'!$G$4:$G$815,'май 2023'!$D$4:$D$815,$B24,'май 2023'!$J$4:$J$815,I$1)</f>
        <v>0</v>
      </c>
      <c r="J24" s="198">
        <f>SUMIFS('май 2023'!$G$4:$G$815,'май 2023'!$D$4:$D$815,$B24,'май 2023'!$J$4:$J$815,J$1)</f>
        <v>0</v>
      </c>
      <c r="K24" s="198">
        <f>SUMIFS('май 2023'!$G$4:$G$815,'май 2023'!$D$4:$D$815,$B24,'май 2023'!$J$4:$J$815,K$1)</f>
        <v>0</v>
      </c>
      <c r="L24" s="198">
        <f>SUMIFS('май 2023'!$G$4:$G$815,'май 2023'!$D$4:$D$815,$B24,'май 2023'!$J$4:$J$815,L$1)</f>
        <v>0</v>
      </c>
      <c r="M24" s="198">
        <f>SUMIFS('май 2023'!$G$4:$G$815,'май 2023'!$D$4:$D$815,$B24,'май 2023'!$J$4:$J$815,M$1)</f>
        <v>0</v>
      </c>
      <c r="N24" s="198">
        <f>SUMIFS('май 2023'!$G$4:$G$815,'май 2023'!$D$4:$D$815,$B24,'май 2023'!$J$4:$J$815,N$1)</f>
        <v>0</v>
      </c>
      <c r="O24" s="198">
        <f>SUMIFS('май 2023'!$G$4:$G$815,'май 2023'!$D$4:$D$815,$B24,'май 2023'!$J$4:$J$815,O$1)</f>
        <v>0</v>
      </c>
      <c r="P24" s="198">
        <f>SUMIFS('май 2023'!$G$4:$G$815,'май 2023'!$D$4:$D$815,$B24,'май 2023'!$J$4:$J$815,P$1)</f>
        <v>0</v>
      </c>
      <c r="Q24" s="198">
        <f>SUMIFS('май 2023'!$G$4:$G$815,'май 2023'!$D$4:$D$815,$B24,'май 2023'!$J$4:$J$815,Q$1)</f>
        <v>0</v>
      </c>
      <c r="R24" s="198">
        <f>SUMIFS('май 2023'!$G$4:$G$815,'май 2023'!$D$4:$D$815,$B24,'май 2023'!$J$4:$J$815,R$1)</f>
        <v>0</v>
      </c>
      <c r="S24" s="198">
        <f>SUMIFS('май 2023'!$G$4:$G$815,'май 2023'!$D$4:$D$815,$B24,'май 2023'!$J$4:$J$815,S$1)</f>
        <v>0</v>
      </c>
      <c r="T24" s="198">
        <f>SUMIFS('май 2023'!$G$4:$G$815,'май 2023'!$D$4:$D$815,$B24,'май 2023'!$J$4:$J$815,T$1)</f>
        <v>0</v>
      </c>
      <c r="U24" s="198">
        <f>SUMIFS('май 2023'!$G$4:$G$815,'май 2023'!$D$4:$D$815,$B24,'май 2023'!$J$4:$J$815,U$1)</f>
        <v>0</v>
      </c>
      <c r="V24" s="198">
        <f>SUMIFS('май 2023'!$G$4:$G$815,'май 2023'!$D$4:$D$815,$B24,'май 2023'!$J$4:$J$815,V$1)</f>
        <v>0</v>
      </c>
      <c r="W24" s="198">
        <f>SUMIFS('май 2023'!$G$4:$G$815,'май 2023'!$D$4:$D$815,$B24,'май 2023'!$J$4:$J$815,W$1)</f>
        <v>0</v>
      </c>
      <c r="X24" s="198">
        <f>SUMIFS('май 2023'!$G$4:$G$815,'май 2023'!$D$4:$D$815,$B24,'май 2023'!$J$4:$J$815,X$1)</f>
        <v>0</v>
      </c>
      <c r="Y24" s="198">
        <f>SUMIFS('май 2023'!$G$4:$G$815,'май 2023'!$D$4:$D$815,$B24,'май 2023'!$J$4:$J$815,Y$1)</f>
        <v>0</v>
      </c>
      <c r="Z24" s="198">
        <f>SUMIFS('май 2023'!$G$4:$G$815,'май 2023'!$D$4:$D$815,$B24,'май 2023'!$J$4:$J$815,Z$1)</f>
        <v>0</v>
      </c>
      <c r="AA24" s="198">
        <f>SUMIFS('май 2023'!$G$4:$G$815,'май 2023'!$D$4:$D$815,$B24,'май 2023'!$J$4:$J$815,AA$1)</f>
        <v>0</v>
      </c>
      <c r="AB24" s="198">
        <f>SUMIFS('май 2023'!$G$4:$G$815,'май 2023'!$D$4:$D$815,$B24,'май 2023'!$J$4:$J$815,AB$1)</f>
        <v>0</v>
      </c>
      <c r="AC24" s="198">
        <f>SUMIFS('май 2023'!$G$4:$G$815,'май 2023'!$D$4:$D$815,$B24,'май 2023'!$J$4:$J$815,AC$1)</f>
        <v>0</v>
      </c>
      <c r="AD24" s="198">
        <f>SUMIFS('май 2023'!$G$4:$G$815,'май 2023'!$D$4:$D$815,$B24,'май 2023'!$J$4:$J$815,AD$1)</f>
        <v>0</v>
      </c>
      <c r="AE24" s="198">
        <f>SUMIFS('май 2023'!$G$4:$G$815,'май 2023'!$D$4:$D$815,$B24,'май 2023'!$J$4:$J$815,AE$1)</f>
        <v>0</v>
      </c>
      <c r="AF24" s="198">
        <f>SUMIFS('май 2023'!$G$4:$G$815,'май 2023'!$D$4:$D$815,$B24,'май 2023'!$J$4:$J$815,AF$1)</f>
        <v>0</v>
      </c>
      <c r="AG24" s="198">
        <f>SUMIFS('май 2023'!$G$4:$G$815,'май 2023'!$D$4:$D$815,$B24,'май 2023'!$J$4:$J$815,AG$1)</f>
        <v>0</v>
      </c>
      <c r="AH24" s="198">
        <f>SUMIFS('май 2023'!$G$4:$G$815,'май 2023'!$D$4:$D$815,$B24,'май 2023'!$J$4:$J$815,AH$1)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SUMIFS('май 2023'!$G$4:$G$815,'май 2023'!$D$4:$D$815,$B25,'май 2023'!$J$4:$J$815,D$1)</f>
        <v>0</v>
      </c>
      <c r="E25" s="198">
        <f>SUMIFS('май 2023'!$G$4:$G$815,'май 2023'!$D$4:$D$815,$B25,'май 2023'!$J$4:$J$815,E$1)</f>
        <v>0</v>
      </c>
      <c r="F25" s="198">
        <f>SUMIFS('май 2023'!$G$4:$G$815,'май 2023'!$D$4:$D$815,$B25,'май 2023'!$J$4:$J$815,F$1)</f>
        <v>0</v>
      </c>
      <c r="G25" s="198">
        <f>SUMIFS('май 2023'!$G$4:$G$815,'май 2023'!$D$4:$D$815,$B25,'май 2023'!$J$4:$J$815,G$1)</f>
        <v>0</v>
      </c>
      <c r="H25" s="198">
        <f>SUMIFS('май 2023'!$G$4:$G$815,'май 2023'!$D$4:$D$815,$B25,'май 2023'!$J$4:$J$815,H$1)</f>
        <v>0</v>
      </c>
      <c r="I25" s="198">
        <f>SUMIFS('май 2023'!$G$4:$G$815,'май 2023'!$D$4:$D$815,$B25,'май 2023'!$J$4:$J$815,I$1)</f>
        <v>0</v>
      </c>
      <c r="J25" s="198">
        <f>SUMIFS('май 2023'!$G$4:$G$815,'май 2023'!$D$4:$D$815,$B25,'май 2023'!$J$4:$J$815,J$1)</f>
        <v>0</v>
      </c>
      <c r="K25" s="198">
        <f>SUMIFS('май 2023'!$G$4:$G$815,'май 2023'!$D$4:$D$815,$B25,'май 2023'!$J$4:$J$815,K$1)</f>
        <v>0</v>
      </c>
      <c r="L25" s="198">
        <f>SUMIFS('май 2023'!$G$4:$G$815,'май 2023'!$D$4:$D$815,$B25,'май 2023'!$J$4:$J$815,L$1)</f>
        <v>0</v>
      </c>
      <c r="M25" s="198">
        <f>SUMIFS('май 2023'!$G$4:$G$815,'май 2023'!$D$4:$D$815,$B25,'май 2023'!$J$4:$J$815,M$1)</f>
        <v>0</v>
      </c>
      <c r="N25" s="198">
        <f>SUMIFS('май 2023'!$G$4:$G$815,'май 2023'!$D$4:$D$815,$B25,'май 2023'!$J$4:$J$815,N$1)</f>
        <v>0</v>
      </c>
      <c r="O25" s="198">
        <f>SUMIFS('май 2023'!$G$4:$G$815,'май 2023'!$D$4:$D$815,$B25,'май 2023'!$J$4:$J$815,O$1)</f>
        <v>0</v>
      </c>
      <c r="P25" s="198">
        <f>SUMIFS('май 2023'!$G$4:$G$815,'май 2023'!$D$4:$D$815,$B25,'май 2023'!$J$4:$J$815,P$1)</f>
        <v>0</v>
      </c>
      <c r="Q25" s="198">
        <f>SUMIFS('май 2023'!$G$4:$G$815,'май 2023'!$D$4:$D$815,$B25,'май 2023'!$J$4:$J$815,Q$1)</f>
        <v>0</v>
      </c>
      <c r="R25" s="198">
        <f>SUMIFS('май 2023'!$G$4:$G$815,'май 2023'!$D$4:$D$815,$B25,'май 2023'!$J$4:$J$815,R$1)</f>
        <v>0</v>
      </c>
      <c r="S25" s="198">
        <f>SUMIFS('май 2023'!$G$4:$G$815,'май 2023'!$D$4:$D$815,$B25,'май 2023'!$J$4:$J$815,S$1)</f>
        <v>0</v>
      </c>
      <c r="T25" s="198">
        <f>SUMIFS('май 2023'!$G$4:$G$815,'май 2023'!$D$4:$D$815,$B25,'май 2023'!$J$4:$J$815,T$1)</f>
        <v>0</v>
      </c>
      <c r="U25" s="198">
        <f>SUMIFS('май 2023'!$G$4:$G$815,'май 2023'!$D$4:$D$815,$B25,'май 2023'!$J$4:$J$815,U$1)</f>
        <v>0</v>
      </c>
      <c r="V25" s="198">
        <f>SUMIFS('май 2023'!$G$4:$G$815,'май 2023'!$D$4:$D$815,$B25,'май 2023'!$J$4:$J$815,V$1)</f>
        <v>0</v>
      </c>
      <c r="W25" s="198">
        <f>SUMIFS('май 2023'!$G$4:$G$815,'май 2023'!$D$4:$D$815,$B25,'май 2023'!$J$4:$J$815,W$1)</f>
        <v>0</v>
      </c>
      <c r="X25" s="198">
        <f>SUMIFS('май 2023'!$G$4:$G$815,'май 2023'!$D$4:$D$815,$B25,'май 2023'!$J$4:$J$815,X$1)</f>
        <v>0</v>
      </c>
      <c r="Y25" s="198">
        <f>SUMIFS('май 2023'!$G$4:$G$815,'май 2023'!$D$4:$D$815,$B25,'май 2023'!$J$4:$J$815,Y$1)</f>
        <v>0</v>
      </c>
      <c r="Z25" s="198">
        <f>SUMIFS('май 2023'!$G$4:$G$815,'май 2023'!$D$4:$D$815,$B25,'май 2023'!$J$4:$J$815,Z$1)</f>
        <v>0</v>
      </c>
      <c r="AA25" s="198">
        <f>SUMIFS('май 2023'!$G$4:$G$815,'май 2023'!$D$4:$D$815,$B25,'май 2023'!$J$4:$J$815,AA$1)</f>
        <v>0</v>
      </c>
      <c r="AB25" s="198">
        <f>SUMIFS('май 2023'!$G$4:$G$815,'май 2023'!$D$4:$D$815,$B25,'май 2023'!$J$4:$J$815,AB$1)</f>
        <v>0</v>
      </c>
      <c r="AC25" s="198">
        <f>SUMIFS('май 2023'!$G$4:$G$815,'май 2023'!$D$4:$D$815,$B25,'май 2023'!$J$4:$J$815,AC$1)</f>
        <v>0</v>
      </c>
      <c r="AD25" s="198">
        <f>SUMIFS('май 2023'!$G$4:$G$815,'май 2023'!$D$4:$D$815,$B25,'май 2023'!$J$4:$J$815,AD$1)</f>
        <v>0</v>
      </c>
      <c r="AE25" s="198">
        <f>SUMIFS('май 2023'!$G$4:$G$815,'май 2023'!$D$4:$D$815,$B25,'май 2023'!$J$4:$J$815,AE$1)</f>
        <v>0</v>
      </c>
      <c r="AF25" s="198">
        <f>SUMIFS('май 2023'!$G$4:$G$815,'май 2023'!$D$4:$D$815,$B25,'май 2023'!$J$4:$J$815,AF$1)</f>
        <v>0</v>
      </c>
      <c r="AG25" s="198">
        <f>SUMIFS('май 2023'!$G$4:$G$815,'май 2023'!$D$4:$D$815,$B25,'май 2023'!$J$4:$J$815,AG$1)</f>
        <v>0</v>
      </c>
      <c r="AH25" s="198">
        <f>SUMIFS('май 2023'!$G$4:$G$815,'май 2023'!$D$4:$D$815,$B25,'май 2023'!$J$4:$J$815,AH$1)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SUMIFS('май 2023'!$G$4:$G$815,'май 2023'!$D$4:$D$815,$B26,'май 2023'!$J$4:$J$815,D$1)</f>
        <v>0</v>
      </c>
      <c r="E26" s="198">
        <f>SUMIFS('май 2023'!$G$4:$G$815,'май 2023'!$D$4:$D$815,$B26,'май 2023'!$J$4:$J$815,E$1)</f>
        <v>0</v>
      </c>
      <c r="F26" s="198">
        <f>SUMIFS('май 2023'!$G$4:$G$815,'май 2023'!$D$4:$D$815,$B26,'май 2023'!$J$4:$J$815,F$1)</f>
        <v>0</v>
      </c>
      <c r="G26" s="198">
        <f>SUMIFS('май 2023'!$G$4:$G$815,'май 2023'!$D$4:$D$815,$B26,'май 2023'!$J$4:$J$815,G$1)</f>
        <v>0</v>
      </c>
      <c r="H26" s="198">
        <f>SUMIFS('май 2023'!$G$4:$G$815,'май 2023'!$D$4:$D$815,$B26,'май 2023'!$J$4:$J$815,H$1)</f>
        <v>0</v>
      </c>
      <c r="I26" s="198">
        <f>SUMIFS('май 2023'!$G$4:$G$815,'май 2023'!$D$4:$D$815,$B26,'май 2023'!$J$4:$J$815,I$1)</f>
        <v>0</v>
      </c>
      <c r="J26" s="198">
        <f>SUMIFS('май 2023'!$G$4:$G$815,'май 2023'!$D$4:$D$815,$B26,'май 2023'!$J$4:$J$815,J$1)</f>
        <v>0</v>
      </c>
      <c r="K26" s="198">
        <f>SUMIFS('май 2023'!$G$4:$G$815,'май 2023'!$D$4:$D$815,$B26,'май 2023'!$J$4:$J$815,K$1)</f>
        <v>0</v>
      </c>
      <c r="L26" s="198">
        <f>SUMIFS('май 2023'!$G$4:$G$815,'май 2023'!$D$4:$D$815,$B26,'май 2023'!$J$4:$J$815,L$1)</f>
        <v>0</v>
      </c>
      <c r="M26" s="198">
        <f>SUMIFS('май 2023'!$G$4:$G$815,'май 2023'!$D$4:$D$815,$B26,'май 2023'!$J$4:$J$815,M$1)</f>
        <v>0</v>
      </c>
      <c r="N26" s="198">
        <f>SUMIFS('май 2023'!$G$4:$G$815,'май 2023'!$D$4:$D$815,$B26,'май 2023'!$J$4:$J$815,N$1)</f>
        <v>0</v>
      </c>
      <c r="O26" s="198">
        <f>SUMIFS('май 2023'!$G$4:$G$815,'май 2023'!$D$4:$D$815,$B26,'май 2023'!$J$4:$J$815,O$1)</f>
        <v>0</v>
      </c>
      <c r="P26" s="198">
        <f>SUMIFS('май 2023'!$G$4:$G$815,'май 2023'!$D$4:$D$815,$B26,'май 2023'!$J$4:$J$815,P$1)</f>
        <v>0</v>
      </c>
      <c r="Q26" s="198">
        <f>SUMIFS('май 2023'!$G$4:$G$815,'май 2023'!$D$4:$D$815,$B26,'май 2023'!$J$4:$J$815,Q$1)</f>
        <v>0</v>
      </c>
      <c r="R26" s="198">
        <f>SUMIFS('май 2023'!$G$4:$G$815,'май 2023'!$D$4:$D$815,$B26,'май 2023'!$J$4:$J$815,R$1)</f>
        <v>0</v>
      </c>
      <c r="S26" s="198">
        <f>SUMIFS('май 2023'!$G$4:$G$815,'май 2023'!$D$4:$D$815,$B26,'май 2023'!$J$4:$J$815,S$1)</f>
        <v>0</v>
      </c>
      <c r="T26" s="198">
        <f>SUMIFS('май 2023'!$G$4:$G$815,'май 2023'!$D$4:$D$815,$B26,'май 2023'!$J$4:$J$815,T$1)</f>
        <v>0</v>
      </c>
      <c r="U26" s="198">
        <f>SUMIFS('май 2023'!$G$4:$G$815,'май 2023'!$D$4:$D$815,$B26,'май 2023'!$J$4:$J$815,U$1)</f>
        <v>0</v>
      </c>
      <c r="V26" s="198">
        <f>SUMIFS('май 2023'!$G$4:$G$815,'май 2023'!$D$4:$D$815,$B26,'май 2023'!$J$4:$J$815,V$1)</f>
        <v>0</v>
      </c>
      <c r="W26" s="198">
        <f>SUMIFS('май 2023'!$G$4:$G$815,'май 2023'!$D$4:$D$815,$B26,'май 2023'!$J$4:$J$815,W$1)</f>
        <v>0</v>
      </c>
      <c r="X26" s="198">
        <f>SUMIFS('май 2023'!$G$4:$G$815,'май 2023'!$D$4:$D$815,$B26,'май 2023'!$J$4:$J$815,X$1)</f>
        <v>0</v>
      </c>
      <c r="Y26" s="198">
        <f>SUMIFS('май 2023'!$G$4:$G$815,'май 2023'!$D$4:$D$815,$B26,'май 2023'!$J$4:$J$815,Y$1)</f>
        <v>0</v>
      </c>
      <c r="Z26" s="198">
        <f>SUMIFS('май 2023'!$G$4:$G$815,'май 2023'!$D$4:$D$815,$B26,'май 2023'!$J$4:$J$815,Z$1)</f>
        <v>0</v>
      </c>
      <c r="AA26" s="198">
        <f>SUMIFS('май 2023'!$G$4:$G$815,'май 2023'!$D$4:$D$815,$B26,'май 2023'!$J$4:$J$815,AA$1)</f>
        <v>0</v>
      </c>
      <c r="AB26" s="198">
        <f>SUMIFS('май 2023'!$G$4:$G$815,'май 2023'!$D$4:$D$815,$B26,'май 2023'!$J$4:$J$815,AB$1)</f>
        <v>0</v>
      </c>
      <c r="AC26" s="198">
        <f>SUMIFS('май 2023'!$G$4:$G$815,'май 2023'!$D$4:$D$815,$B26,'май 2023'!$J$4:$J$815,AC$1)</f>
        <v>0</v>
      </c>
      <c r="AD26" s="198">
        <f>SUMIFS('май 2023'!$G$4:$G$815,'май 2023'!$D$4:$D$815,$B26,'май 2023'!$J$4:$J$815,AD$1)</f>
        <v>0</v>
      </c>
      <c r="AE26" s="198">
        <f>SUMIFS('май 2023'!$G$4:$G$815,'май 2023'!$D$4:$D$815,$B26,'май 2023'!$J$4:$J$815,AE$1)</f>
        <v>0</v>
      </c>
      <c r="AF26" s="198">
        <f>SUMIFS('май 2023'!$G$4:$G$815,'май 2023'!$D$4:$D$815,$B26,'май 2023'!$J$4:$J$815,AF$1)</f>
        <v>0</v>
      </c>
      <c r="AG26" s="198">
        <f>SUMIFS('май 2023'!$G$4:$G$815,'май 2023'!$D$4:$D$815,$B26,'май 2023'!$J$4:$J$815,AG$1)</f>
        <v>0</v>
      </c>
      <c r="AH26" s="198">
        <f>SUMIFS('май 2023'!$G$4:$G$815,'май 2023'!$D$4:$D$815,$B26,'май 2023'!$J$4:$J$815,AH$1)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SUMIFS('май 2023'!$G$4:$G$815,'май 2023'!$D$4:$D$815,$B27,'май 2023'!$J$4:$J$815,D$1)</f>
        <v>0</v>
      </c>
      <c r="E27" s="198">
        <f>SUMIFS('май 2023'!$G$4:$G$815,'май 2023'!$D$4:$D$815,$B27,'май 2023'!$J$4:$J$815,E$1)</f>
        <v>0</v>
      </c>
      <c r="F27" s="198">
        <f>SUMIFS('май 2023'!$G$4:$G$815,'май 2023'!$D$4:$D$815,$B27,'май 2023'!$J$4:$J$815,F$1)</f>
        <v>0</v>
      </c>
      <c r="G27" s="198">
        <f>SUMIFS('май 2023'!$G$4:$G$815,'май 2023'!$D$4:$D$815,$B27,'май 2023'!$J$4:$J$815,G$1)</f>
        <v>0</v>
      </c>
      <c r="H27" s="198">
        <f>SUMIFS('май 2023'!$G$4:$G$815,'май 2023'!$D$4:$D$815,$B27,'май 2023'!$J$4:$J$815,H$1)</f>
        <v>0</v>
      </c>
      <c r="I27" s="198">
        <f>SUMIFS('май 2023'!$G$4:$G$815,'май 2023'!$D$4:$D$815,$B27,'май 2023'!$J$4:$J$815,I$1)</f>
        <v>0</v>
      </c>
      <c r="J27" s="198">
        <f>SUMIFS('май 2023'!$G$4:$G$815,'май 2023'!$D$4:$D$815,$B27,'май 2023'!$J$4:$J$815,J$1)</f>
        <v>0</v>
      </c>
      <c r="K27" s="198">
        <f>SUMIFS('май 2023'!$G$4:$G$815,'май 2023'!$D$4:$D$815,$B27,'май 2023'!$J$4:$J$815,K$1)</f>
        <v>0</v>
      </c>
      <c r="L27" s="198">
        <f>SUMIFS('май 2023'!$G$4:$G$815,'май 2023'!$D$4:$D$815,$B27,'май 2023'!$J$4:$J$815,L$1)</f>
        <v>0</v>
      </c>
      <c r="M27" s="198">
        <f>SUMIFS('май 2023'!$G$4:$G$815,'май 2023'!$D$4:$D$815,$B27,'май 2023'!$J$4:$J$815,M$1)</f>
        <v>0</v>
      </c>
      <c r="N27" s="198">
        <f>SUMIFS('май 2023'!$G$4:$G$815,'май 2023'!$D$4:$D$815,$B27,'май 2023'!$J$4:$J$815,N$1)</f>
        <v>0</v>
      </c>
      <c r="O27" s="198">
        <f>SUMIFS('май 2023'!$G$4:$G$815,'май 2023'!$D$4:$D$815,$B27,'май 2023'!$J$4:$J$815,O$1)</f>
        <v>0</v>
      </c>
      <c r="P27" s="198">
        <f>SUMIFS('май 2023'!$G$4:$G$815,'май 2023'!$D$4:$D$815,$B27,'май 2023'!$J$4:$J$815,P$1)</f>
        <v>0</v>
      </c>
      <c r="Q27" s="198">
        <f>SUMIFS('май 2023'!$G$4:$G$815,'май 2023'!$D$4:$D$815,$B27,'май 2023'!$J$4:$J$815,Q$1)</f>
        <v>0</v>
      </c>
      <c r="R27" s="198">
        <f>SUMIFS('май 2023'!$G$4:$G$815,'май 2023'!$D$4:$D$815,$B27,'май 2023'!$J$4:$J$815,R$1)</f>
        <v>0</v>
      </c>
      <c r="S27" s="198">
        <f>SUMIFS('май 2023'!$G$4:$G$815,'май 2023'!$D$4:$D$815,$B27,'май 2023'!$J$4:$J$815,S$1)</f>
        <v>0</v>
      </c>
      <c r="T27" s="198">
        <f>SUMIFS('май 2023'!$G$4:$G$815,'май 2023'!$D$4:$D$815,$B27,'май 2023'!$J$4:$J$815,T$1)</f>
        <v>0</v>
      </c>
      <c r="U27" s="198">
        <f>SUMIFS('май 2023'!$G$4:$G$815,'май 2023'!$D$4:$D$815,$B27,'май 2023'!$J$4:$J$815,U$1)</f>
        <v>0</v>
      </c>
      <c r="V27" s="198">
        <f>SUMIFS('май 2023'!$G$4:$G$815,'май 2023'!$D$4:$D$815,$B27,'май 2023'!$J$4:$J$815,V$1)</f>
        <v>0</v>
      </c>
      <c r="W27" s="198">
        <f>SUMIFS('май 2023'!$G$4:$G$815,'май 2023'!$D$4:$D$815,$B27,'май 2023'!$J$4:$J$815,W$1)</f>
        <v>0</v>
      </c>
      <c r="X27" s="198">
        <f>SUMIFS('май 2023'!$G$4:$G$815,'май 2023'!$D$4:$D$815,$B27,'май 2023'!$J$4:$J$815,X$1)</f>
        <v>0</v>
      </c>
      <c r="Y27" s="198">
        <f>SUMIFS('май 2023'!$G$4:$G$815,'май 2023'!$D$4:$D$815,$B27,'май 2023'!$J$4:$J$815,Y$1)</f>
        <v>0</v>
      </c>
      <c r="Z27" s="198">
        <f>SUMIFS('май 2023'!$G$4:$G$815,'май 2023'!$D$4:$D$815,$B27,'май 2023'!$J$4:$J$815,Z$1)</f>
        <v>0</v>
      </c>
      <c r="AA27" s="198">
        <f>SUMIFS('май 2023'!$G$4:$G$815,'май 2023'!$D$4:$D$815,$B27,'май 2023'!$J$4:$J$815,AA$1)</f>
        <v>0</v>
      </c>
      <c r="AB27" s="198">
        <f>SUMIFS('май 2023'!$G$4:$G$815,'май 2023'!$D$4:$D$815,$B27,'май 2023'!$J$4:$J$815,AB$1)</f>
        <v>0</v>
      </c>
      <c r="AC27" s="198">
        <f>SUMIFS('май 2023'!$G$4:$G$815,'май 2023'!$D$4:$D$815,$B27,'май 2023'!$J$4:$J$815,AC$1)</f>
        <v>0</v>
      </c>
      <c r="AD27" s="198">
        <f>SUMIFS('май 2023'!$G$4:$G$815,'май 2023'!$D$4:$D$815,$B27,'май 2023'!$J$4:$J$815,AD$1)</f>
        <v>0</v>
      </c>
      <c r="AE27" s="198">
        <f>SUMIFS('май 2023'!$G$4:$G$815,'май 2023'!$D$4:$D$815,$B27,'май 2023'!$J$4:$J$815,AE$1)</f>
        <v>0</v>
      </c>
      <c r="AF27" s="198">
        <f>SUMIFS('май 2023'!$G$4:$G$815,'май 2023'!$D$4:$D$815,$B27,'май 2023'!$J$4:$J$815,AF$1)</f>
        <v>0</v>
      </c>
      <c r="AG27" s="198">
        <f>SUMIFS('май 2023'!$G$4:$G$815,'май 2023'!$D$4:$D$815,$B27,'май 2023'!$J$4:$J$815,AG$1)</f>
        <v>0</v>
      </c>
      <c r="AH27" s="198">
        <f>SUMIFS('май 2023'!$G$4:$G$815,'май 2023'!$D$4:$D$815,$B27,'май 2023'!$J$4:$J$815,AH$1)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SUMIFS('май 2023'!$G$4:$G$815,'май 2023'!$D$4:$D$815,$B28,'май 2023'!$J$4:$J$815,D$1)</f>
        <v>0</v>
      </c>
      <c r="E28" s="198">
        <f>SUMIFS('май 2023'!$G$4:$G$815,'май 2023'!$D$4:$D$815,$B28,'май 2023'!$J$4:$J$815,E$1)</f>
        <v>0</v>
      </c>
      <c r="F28" s="198">
        <f>SUMIFS('май 2023'!$G$4:$G$815,'май 2023'!$D$4:$D$815,$B28,'май 2023'!$J$4:$J$815,F$1)</f>
        <v>0</v>
      </c>
      <c r="G28" s="198">
        <f>SUMIFS('май 2023'!$G$4:$G$815,'май 2023'!$D$4:$D$815,$B28,'май 2023'!$J$4:$J$815,G$1)</f>
        <v>0</v>
      </c>
      <c r="H28" s="198">
        <f>SUMIFS('май 2023'!$G$4:$G$815,'май 2023'!$D$4:$D$815,$B28,'май 2023'!$J$4:$J$815,H$1)</f>
        <v>0</v>
      </c>
      <c r="I28" s="198">
        <f>SUMIFS('май 2023'!$G$4:$G$815,'май 2023'!$D$4:$D$815,$B28,'май 2023'!$J$4:$J$815,I$1)</f>
        <v>0</v>
      </c>
      <c r="J28" s="198">
        <f>SUMIFS('май 2023'!$G$4:$G$815,'май 2023'!$D$4:$D$815,$B28,'май 2023'!$J$4:$J$815,J$1)</f>
        <v>0</v>
      </c>
      <c r="K28" s="198">
        <f>SUMIFS('май 2023'!$G$4:$G$815,'май 2023'!$D$4:$D$815,$B28,'май 2023'!$J$4:$J$815,K$1)</f>
        <v>0</v>
      </c>
      <c r="L28" s="198">
        <f>SUMIFS('май 2023'!$G$4:$G$815,'май 2023'!$D$4:$D$815,$B28,'май 2023'!$J$4:$J$815,L$1)</f>
        <v>0</v>
      </c>
      <c r="M28" s="198">
        <f>SUMIFS('май 2023'!$G$4:$G$815,'май 2023'!$D$4:$D$815,$B28,'май 2023'!$J$4:$J$815,M$1)</f>
        <v>0</v>
      </c>
      <c r="N28" s="198">
        <f>SUMIFS('май 2023'!$G$4:$G$815,'май 2023'!$D$4:$D$815,$B28,'май 2023'!$J$4:$J$815,N$1)</f>
        <v>0</v>
      </c>
      <c r="O28" s="198">
        <f>SUMIFS('май 2023'!$G$4:$G$815,'май 2023'!$D$4:$D$815,$B28,'май 2023'!$J$4:$J$815,O$1)</f>
        <v>0</v>
      </c>
      <c r="P28" s="198">
        <f>SUMIFS('май 2023'!$G$4:$G$815,'май 2023'!$D$4:$D$815,$B28,'май 2023'!$J$4:$J$815,P$1)</f>
        <v>0</v>
      </c>
      <c r="Q28" s="198">
        <f>SUMIFS('май 2023'!$G$4:$G$815,'май 2023'!$D$4:$D$815,$B28,'май 2023'!$J$4:$J$815,Q$1)</f>
        <v>0</v>
      </c>
      <c r="R28" s="198">
        <f>SUMIFS('май 2023'!$G$4:$G$815,'май 2023'!$D$4:$D$815,$B28,'май 2023'!$J$4:$J$815,R$1)</f>
        <v>0</v>
      </c>
      <c r="S28" s="198">
        <f>SUMIFS('май 2023'!$G$4:$G$815,'май 2023'!$D$4:$D$815,$B28,'май 2023'!$J$4:$J$815,S$1)</f>
        <v>0</v>
      </c>
      <c r="T28" s="198">
        <f>SUMIFS('май 2023'!$G$4:$G$815,'май 2023'!$D$4:$D$815,$B28,'май 2023'!$J$4:$J$815,T$1)</f>
        <v>0</v>
      </c>
      <c r="U28" s="198">
        <f>SUMIFS('май 2023'!$G$4:$G$815,'май 2023'!$D$4:$D$815,$B28,'май 2023'!$J$4:$J$815,U$1)</f>
        <v>0</v>
      </c>
      <c r="V28" s="198">
        <f>SUMIFS('май 2023'!$G$4:$G$815,'май 2023'!$D$4:$D$815,$B28,'май 2023'!$J$4:$J$815,V$1)</f>
        <v>0</v>
      </c>
      <c r="W28" s="198">
        <f>SUMIFS('май 2023'!$G$4:$G$815,'май 2023'!$D$4:$D$815,$B28,'май 2023'!$J$4:$J$815,W$1)</f>
        <v>0</v>
      </c>
      <c r="X28" s="198">
        <f>SUMIFS('май 2023'!$G$4:$G$815,'май 2023'!$D$4:$D$815,$B28,'май 2023'!$J$4:$J$815,X$1)</f>
        <v>0</v>
      </c>
      <c r="Y28" s="198">
        <f>SUMIFS('май 2023'!$G$4:$G$815,'май 2023'!$D$4:$D$815,$B28,'май 2023'!$J$4:$J$815,Y$1)</f>
        <v>0</v>
      </c>
      <c r="Z28" s="198">
        <f>SUMIFS('май 2023'!$G$4:$G$815,'май 2023'!$D$4:$D$815,$B28,'май 2023'!$J$4:$J$815,Z$1)</f>
        <v>0</v>
      </c>
      <c r="AA28" s="198">
        <f>SUMIFS('май 2023'!$G$4:$G$815,'май 2023'!$D$4:$D$815,$B28,'май 2023'!$J$4:$J$815,AA$1)</f>
        <v>0</v>
      </c>
      <c r="AB28" s="198">
        <f>SUMIFS('май 2023'!$G$4:$G$815,'май 2023'!$D$4:$D$815,$B28,'май 2023'!$J$4:$J$815,AB$1)</f>
        <v>0</v>
      </c>
      <c r="AC28" s="198">
        <f>SUMIFS('май 2023'!$G$4:$G$815,'май 2023'!$D$4:$D$815,$B28,'май 2023'!$J$4:$J$815,AC$1)</f>
        <v>0</v>
      </c>
      <c r="AD28" s="198">
        <f>SUMIFS('май 2023'!$G$4:$G$815,'май 2023'!$D$4:$D$815,$B28,'май 2023'!$J$4:$J$815,AD$1)</f>
        <v>0</v>
      </c>
      <c r="AE28" s="198">
        <f>SUMIFS('май 2023'!$G$4:$G$815,'май 2023'!$D$4:$D$815,$B28,'май 2023'!$J$4:$J$815,AE$1)</f>
        <v>0</v>
      </c>
      <c r="AF28" s="198">
        <f>SUMIFS('май 2023'!$G$4:$G$815,'май 2023'!$D$4:$D$815,$B28,'май 2023'!$J$4:$J$815,AF$1)</f>
        <v>0</v>
      </c>
      <c r="AG28" s="198">
        <f>SUMIFS('май 2023'!$G$4:$G$815,'май 2023'!$D$4:$D$815,$B28,'май 2023'!$J$4:$J$815,AG$1)</f>
        <v>0</v>
      </c>
      <c r="AH28" s="198">
        <f>SUMIFS('май 2023'!$G$4:$G$815,'май 2023'!$D$4:$D$815,$B28,'май 2023'!$J$4:$J$815,AH$1)</f>
        <v>0</v>
      </c>
      <c r="AI28" s="170">
        <f t="shared" si="1"/>
        <v>0</v>
      </c>
    </row>
    <row r="29" spans="2:35" ht="15" hidden="1" customHeight="1" x14ac:dyDescent="0.25">
      <c r="B29" s="202"/>
      <c r="C29" s="200"/>
      <c r="D29" s="198">
        <f>SUMIFS('май 2023'!$G$4:$G$815,'май 2023'!$D$4:$D$815,$B29,'май 2023'!$J$4:$J$815,D$1)</f>
        <v>0</v>
      </c>
      <c r="E29" s="198">
        <f>SUMIFS('май 2023'!$G$4:$G$815,'май 2023'!$D$4:$D$815,$B29,'май 2023'!$J$4:$J$815,E$1)</f>
        <v>0</v>
      </c>
      <c r="F29" s="198">
        <f>SUMIFS('май 2023'!$G$4:$G$815,'май 2023'!$D$4:$D$815,$B29,'май 2023'!$J$4:$J$815,F$1)</f>
        <v>0</v>
      </c>
      <c r="G29" s="198">
        <f>SUMIFS('май 2023'!$G$4:$G$815,'май 2023'!$D$4:$D$815,$B29,'май 2023'!$J$4:$J$815,G$1)</f>
        <v>0</v>
      </c>
      <c r="H29" s="198">
        <f>SUMIFS('май 2023'!$G$4:$G$815,'май 2023'!$D$4:$D$815,$B29,'май 2023'!$J$4:$J$815,H$1)</f>
        <v>0</v>
      </c>
      <c r="I29" s="198">
        <f>SUMIFS('май 2023'!$G$4:$G$815,'май 2023'!$D$4:$D$815,$B29,'май 2023'!$J$4:$J$815,I$1)</f>
        <v>0</v>
      </c>
      <c r="J29" s="198">
        <f>SUMIFS('май 2023'!$G$4:$G$815,'май 2023'!$D$4:$D$815,$B29,'май 2023'!$J$4:$J$815,J$1)</f>
        <v>0</v>
      </c>
      <c r="K29" s="198">
        <f>SUMIFS('май 2023'!$G$4:$G$815,'май 2023'!$D$4:$D$815,$B29,'май 2023'!$J$4:$J$815,K$1)</f>
        <v>0</v>
      </c>
      <c r="L29" s="198">
        <f>SUMIFS('май 2023'!$G$4:$G$815,'май 2023'!$D$4:$D$815,$B29,'май 2023'!$J$4:$J$815,L$1)</f>
        <v>0</v>
      </c>
      <c r="M29" s="198">
        <f>SUMIFS('май 2023'!$G$4:$G$815,'май 2023'!$D$4:$D$815,$B29,'май 2023'!$J$4:$J$815,M$1)</f>
        <v>0</v>
      </c>
      <c r="N29" s="198">
        <f>SUMIFS('май 2023'!$G$4:$G$815,'май 2023'!$D$4:$D$815,$B29,'май 2023'!$J$4:$J$815,N$1)</f>
        <v>0</v>
      </c>
      <c r="O29" s="198">
        <f>SUMIFS('май 2023'!$G$4:$G$815,'май 2023'!$D$4:$D$815,$B29,'май 2023'!$J$4:$J$815,O$1)</f>
        <v>0</v>
      </c>
      <c r="P29" s="198">
        <f>SUMIFS('май 2023'!$G$4:$G$815,'май 2023'!$D$4:$D$815,$B29,'май 2023'!$J$4:$J$815,P$1)</f>
        <v>0</v>
      </c>
      <c r="Q29" s="198">
        <f>SUMIFS('май 2023'!$G$4:$G$815,'май 2023'!$D$4:$D$815,$B29,'май 2023'!$J$4:$J$815,Q$1)</f>
        <v>0</v>
      </c>
      <c r="R29" s="198">
        <f>SUMIFS('май 2023'!$G$4:$G$815,'май 2023'!$D$4:$D$815,$B29,'май 2023'!$J$4:$J$815,R$1)</f>
        <v>0</v>
      </c>
      <c r="S29" s="198">
        <f>SUMIFS('май 2023'!$G$4:$G$815,'май 2023'!$D$4:$D$815,$B29,'май 2023'!$J$4:$J$815,S$1)</f>
        <v>0</v>
      </c>
      <c r="T29" s="198">
        <f>SUMIFS('май 2023'!$G$4:$G$815,'май 2023'!$D$4:$D$815,$B29,'май 2023'!$J$4:$J$815,T$1)</f>
        <v>0</v>
      </c>
      <c r="U29" s="198">
        <f>SUMIFS('май 2023'!$G$4:$G$815,'май 2023'!$D$4:$D$815,$B29,'май 2023'!$J$4:$J$815,U$1)</f>
        <v>0</v>
      </c>
      <c r="V29" s="198">
        <f>SUMIFS('май 2023'!$G$4:$G$815,'май 2023'!$D$4:$D$815,$B29,'май 2023'!$J$4:$J$815,V$1)</f>
        <v>0</v>
      </c>
      <c r="W29" s="198">
        <f>SUMIFS('май 2023'!$G$4:$G$815,'май 2023'!$D$4:$D$815,$B29,'май 2023'!$J$4:$J$815,W$1)</f>
        <v>0</v>
      </c>
      <c r="X29" s="198">
        <f>SUMIFS('май 2023'!$G$4:$G$815,'май 2023'!$D$4:$D$815,$B29,'май 2023'!$J$4:$J$815,X$1)</f>
        <v>0</v>
      </c>
      <c r="Y29" s="198">
        <f>SUMIFS('май 2023'!$G$4:$G$815,'май 2023'!$D$4:$D$815,$B29,'май 2023'!$J$4:$J$815,Y$1)</f>
        <v>0</v>
      </c>
      <c r="Z29" s="198">
        <f>SUMIFS('май 2023'!$G$4:$G$815,'май 2023'!$D$4:$D$815,$B29,'май 2023'!$J$4:$J$815,Z$1)</f>
        <v>0</v>
      </c>
      <c r="AA29" s="198">
        <f>SUMIFS('май 2023'!$G$4:$G$815,'май 2023'!$D$4:$D$815,$B29,'май 2023'!$J$4:$J$815,AA$1)</f>
        <v>0</v>
      </c>
      <c r="AB29" s="198">
        <f>SUMIFS('май 2023'!$G$4:$G$815,'май 2023'!$D$4:$D$815,$B29,'май 2023'!$J$4:$J$815,AB$1)</f>
        <v>0</v>
      </c>
      <c r="AC29" s="198">
        <f>SUMIFS('май 2023'!$G$4:$G$815,'май 2023'!$D$4:$D$815,$B29,'май 2023'!$J$4:$J$815,AC$1)</f>
        <v>0</v>
      </c>
      <c r="AD29" s="198">
        <f>SUMIFS('май 2023'!$G$4:$G$815,'май 2023'!$D$4:$D$815,$B29,'май 2023'!$J$4:$J$815,AD$1)</f>
        <v>0</v>
      </c>
      <c r="AE29" s="198">
        <f>SUMIFS('май 2023'!$G$4:$G$815,'май 2023'!$D$4:$D$815,$B29,'май 2023'!$J$4:$J$815,AE$1)</f>
        <v>0</v>
      </c>
      <c r="AF29" s="198">
        <f>SUMIFS('май 2023'!$G$4:$G$815,'май 2023'!$D$4:$D$815,$B29,'май 2023'!$J$4:$J$815,AF$1)</f>
        <v>0</v>
      </c>
      <c r="AG29" s="198">
        <f>SUMIFS('май 2023'!$G$4:$G$815,'май 2023'!$D$4:$D$815,$B29,'май 2023'!$J$4:$J$815,AG$1)</f>
        <v>0</v>
      </c>
      <c r="AH29" s="198">
        <f>SUMIFS('май 2023'!$G$4:$G$815,'май 2023'!$D$4:$D$815,$B29,'май 2023'!$J$4:$J$815,AH$1)</f>
        <v>0</v>
      </c>
      <c r="AI29" s="170">
        <f t="shared" si="1"/>
        <v>0</v>
      </c>
    </row>
    <row r="30" spans="2:35" ht="15" customHeight="1" x14ac:dyDescent="0.25">
      <c r="B30" s="202"/>
      <c r="C30" s="200"/>
      <c r="D30" s="198">
        <f>SUMIFS('май 2023'!$G$4:$G$815,'май 2023'!$D$4:$D$815,$B30,'май 2023'!$J$4:$J$815,D$1)</f>
        <v>0</v>
      </c>
      <c r="E30" s="198">
        <f>SUMIFS('май 2023'!$G$4:$G$815,'май 2023'!$D$4:$D$815,$B30,'май 2023'!$J$4:$J$815,E$1)</f>
        <v>0</v>
      </c>
      <c r="F30" s="198">
        <f>SUMIFS('май 2023'!$G$4:$G$815,'май 2023'!$D$4:$D$815,$B30,'май 2023'!$J$4:$J$815,F$1)</f>
        <v>0</v>
      </c>
      <c r="G30" s="198">
        <f>SUMIFS('май 2023'!$G$4:$G$815,'май 2023'!$D$4:$D$815,$B30,'май 2023'!$J$4:$J$815,G$1)</f>
        <v>0</v>
      </c>
      <c r="H30" s="198">
        <f>SUMIFS('май 2023'!$G$4:$G$815,'май 2023'!$D$4:$D$815,$B30,'май 2023'!$J$4:$J$815,H$1)</f>
        <v>0</v>
      </c>
      <c r="I30" s="198">
        <f>SUMIFS('май 2023'!$G$4:$G$815,'май 2023'!$D$4:$D$815,$B30,'май 2023'!$J$4:$J$815,I$1)</f>
        <v>0</v>
      </c>
      <c r="J30" s="198">
        <f>SUMIFS('май 2023'!$G$4:$G$815,'май 2023'!$D$4:$D$815,$B30,'май 2023'!$J$4:$J$815,J$1)</f>
        <v>0</v>
      </c>
      <c r="K30" s="198">
        <f>SUMIFS('май 2023'!$G$4:$G$815,'май 2023'!$D$4:$D$815,$B30,'май 2023'!$J$4:$J$815,K$1)</f>
        <v>0</v>
      </c>
      <c r="L30" s="198">
        <f>SUMIFS('май 2023'!$G$4:$G$815,'май 2023'!$D$4:$D$815,$B30,'май 2023'!$J$4:$J$815,L$1)</f>
        <v>0</v>
      </c>
      <c r="M30" s="198">
        <f>SUMIFS('май 2023'!$G$4:$G$815,'май 2023'!$D$4:$D$815,$B30,'май 2023'!$J$4:$J$815,M$1)</f>
        <v>0</v>
      </c>
      <c r="N30" s="198">
        <f>SUMIFS('май 2023'!$G$4:$G$815,'май 2023'!$D$4:$D$815,$B30,'май 2023'!$J$4:$J$815,N$1)</f>
        <v>0</v>
      </c>
      <c r="O30" s="198">
        <f>SUMIFS('май 2023'!$G$4:$G$815,'май 2023'!$D$4:$D$815,$B30,'май 2023'!$J$4:$J$815,O$1)</f>
        <v>0</v>
      </c>
      <c r="P30" s="198">
        <f>SUMIFS('май 2023'!$G$4:$G$815,'май 2023'!$D$4:$D$815,$B30,'май 2023'!$J$4:$J$815,P$1)</f>
        <v>0</v>
      </c>
      <c r="Q30" s="198">
        <f>SUMIFS('май 2023'!$G$4:$G$815,'май 2023'!$D$4:$D$815,$B30,'май 2023'!$J$4:$J$815,Q$1)</f>
        <v>0</v>
      </c>
      <c r="R30" s="198">
        <f>SUMIFS('май 2023'!$G$4:$G$815,'май 2023'!$D$4:$D$815,$B30,'май 2023'!$J$4:$J$815,R$1)</f>
        <v>0</v>
      </c>
      <c r="S30" s="198">
        <f>SUMIFS('май 2023'!$G$4:$G$815,'май 2023'!$D$4:$D$815,$B30,'май 2023'!$J$4:$J$815,S$1)</f>
        <v>0</v>
      </c>
      <c r="T30" s="198">
        <f>SUMIFS('май 2023'!$G$4:$G$815,'май 2023'!$D$4:$D$815,$B30,'май 2023'!$J$4:$J$815,T$1)</f>
        <v>0</v>
      </c>
      <c r="U30" s="198">
        <f>SUMIFS('май 2023'!$G$4:$G$815,'май 2023'!$D$4:$D$815,$B30,'май 2023'!$J$4:$J$815,U$1)</f>
        <v>0</v>
      </c>
      <c r="V30" s="198">
        <f>SUMIFS('май 2023'!$G$4:$G$815,'май 2023'!$D$4:$D$815,$B30,'май 2023'!$J$4:$J$815,V$1)</f>
        <v>0</v>
      </c>
      <c r="W30" s="198">
        <f>SUMIFS('май 2023'!$G$4:$G$815,'май 2023'!$D$4:$D$815,$B30,'май 2023'!$J$4:$J$815,W$1)</f>
        <v>0</v>
      </c>
      <c r="X30" s="198">
        <f>SUMIFS('май 2023'!$G$4:$G$815,'май 2023'!$D$4:$D$815,$B30,'май 2023'!$J$4:$J$815,X$1)</f>
        <v>0</v>
      </c>
      <c r="Y30" s="198">
        <f>SUMIFS('май 2023'!$G$4:$G$815,'май 2023'!$D$4:$D$815,$B30,'май 2023'!$J$4:$J$815,Y$1)</f>
        <v>0</v>
      </c>
      <c r="Z30" s="198">
        <f>SUMIFS('май 2023'!$G$4:$G$815,'май 2023'!$D$4:$D$815,$B30,'май 2023'!$J$4:$J$815,Z$1)</f>
        <v>0</v>
      </c>
      <c r="AA30" s="198">
        <f>SUMIFS('май 2023'!$G$4:$G$815,'май 2023'!$D$4:$D$815,$B30,'май 2023'!$J$4:$J$815,AA$1)</f>
        <v>0</v>
      </c>
      <c r="AB30" s="198">
        <f>SUMIFS('май 2023'!$G$4:$G$815,'май 2023'!$D$4:$D$815,$B30,'май 2023'!$J$4:$J$815,AB$1)</f>
        <v>0</v>
      </c>
      <c r="AC30" s="198">
        <f>SUMIFS('май 2023'!$G$4:$G$815,'май 2023'!$D$4:$D$815,$B30,'май 2023'!$J$4:$J$815,AC$1)</f>
        <v>0</v>
      </c>
      <c r="AD30" s="198">
        <f>SUMIFS('май 2023'!$G$4:$G$815,'май 2023'!$D$4:$D$815,$B30,'май 2023'!$J$4:$J$815,AD$1)</f>
        <v>0</v>
      </c>
      <c r="AE30" s="198">
        <f>SUMIFS('май 2023'!$G$4:$G$815,'май 2023'!$D$4:$D$815,$B30,'май 2023'!$J$4:$J$815,AE$1)</f>
        <v>0</v>
      </c>
      <c r="AF30" s="198">
        <f>SUMIFS('май 2023'!$G$4:$G$815,'май 2023'!$D$4:$D$815,$B30,'май 2023'!$J$4:$J$815,AF$1)</f>
        <v>0</v>
      </c>
      <c r="AG30" s="198">
        <f>SUMIFS('май 2023'!$G$4:$G$815,'май 2023'!$D$4:$D$815,$B30,'май 2023'!$J$4:$J$815,AG$1)</f>
        <v>0</v>
      </c>
      <c r="AH30" s="198">
        <f>SUMIFS('май 2023'!$G$4:$G$815,'май 2023'!$D$4:$D$815,$B30,'май 2023'!$J$4:$J$815,AH$1)</f>
        <v>0</v>
      </c>
      <c r="AI30" s="170">
        <f t="shared" si="1"/>
        <v>0</v>
      </c>
    </row>
    <row r="31" spans="2:35" ht="15" customHeight="1" x14ac:dyDescent="0.25">
      <c r="B31" s="205" t="s">
        <v>2107</v>
      </c>
      <c r="C31" s="206">
        <v>25</v>
      </c>
      <c r="D31" s="207">
        <f>SUMIFS('май 2023'!$G$4:$G$815,'май 2023'!$D$4:$D$815,$B31,'май 2023'!$J$4:$J$815,D$1)</f>
        <v>0</v>
      </c>
      <c r="E31" s="207">
        <f>SUMIFS('май 2023'!$G$4:$G$815,'май 2023'!$D$4:$D$815,$B31,'май 2023'!$J$4:$J$815,E$1)</f>
        <v>0</v>
      </c>
      <c r="F31" s="207">
        <f>SUMIFS('май 2023'!$G$4:$G$815,'май 2023'!$D$4:$D$815,$B31,'май 2023'!$J$4:$J$815,F$1)</f>
        <v>0</v>
      </c>
      <c r="G31" s="207">
        <f>SUMIFS('май 2023'!$G$4:$G$815,'май 2023'!$D$4:$D$815,$B31,'май 2023'!$J$4:$J$815,G$1)</f>
        <v>0</v>
      </c>
      <c r="H31" s="207">
        <f>SUMIFS('май 2023'!$G$4:$G$815,'май 2023'!$D$4:$D$815,$B31,'май 2023'!$J$4:$J$815,H$1)</f>
        <v>0</v>
      </c>
      <c r="I31" s="207">
        <f>SUMIFS('май 2023'!$G$4:$G$815,'май 2023'!$D$4:$D$815,$B31,'май 2023'!$J$4:$J$815,I$1)</f>
        <v>0</v>
      </c>
      <c r="J31" s="207">
        <f>SUMIFS('май 2023'!$G$4:$G$815,'май 2023'!$D$4:$D$815,$B31,'май 2023'!$J$4:$J$815,J$1)</f>
        <v>0</v>
      </c>
      <c r="K31" s="207">
        <f>SUMIFS('май 2023'!$G$4:$G$815,'май 2023'!$D$4:$D$815,$B31,'май 2023'!$J$4:$J$815,K$1)</f>
        <v>0</v>
      </c>
      <c r="L31" s="207">
        <f>SUMIFS('май 2023'!$G$4:$G$815,'май 2023'!$D$4:$D$815,$B31,'май 2023'!$J$4:$J$815,L$1)</f>
        <v>0</v>
      </c>
      <c r="M31" s="207">
        <f>SUMIFS('май 2023'!$G$4:$G$815,'май 2023'!$D$4:$D$815,$B31,'май 2023'!$J$4:$J$815,M$1)</f>
        <v>0</v>
      </c>
      <c r="N31" s="207">
        <f>SUMIFS('май 2023'!$G$4:$G$815,'май 2023'!$D$4:$D$815,$B31,'май 2023'!$J$4:$J$815,N$1)</f>
        <v>0</v>
      </c>
      <c r="O31" s="207">
        <f>SUMIFS('май 2023'!$G$4:$G$815,'май 2023'!$D$4:$D$815,$B31,'май 2023'!$J$4:$J$815,O$1)</f>
        <v>0</v>
      </c>
      <c r="P31" s="207">
        <f>SUMIFS('май 2023'!$G$4:$G$815,'май 2023'!$D$4:$D$815,$B31,'май 2023'!$J$4:$J$815,P$1)</f>
        <v>0</v>
      </c>
      <c r="Q31" s="207">
        <f>SUMIFS('май 2023'!$G$4:$G$815,'май 2023'!$D$4:$D$815,$B31,'май 2023'!$J$4:$J$815,Q$1)</f>
        <v>0</v>
      </c>
      <c r="R31" s="207">
        <f>SUMIFS('май 2023'!$G$4:$G$815,'май 2023'!$D$4:$D$815,$B31,'май 2023'!$J$4:$J$815,R$1)</f>
        <v>0</v>
      </c>
      <c r="S31" s="207">
        <f>SUMIFS('май 2023'!$G$4:$G$815,'май 2023'!$D$4:$D$815,$B31,'май 2023'!$J$4:$J$815,S$1)</f>
        <v>0</v>
      </c>
      <c r="T31" s="207">
        <f>SUMIFS('май 2023'!$G$4:$G$815,'май 2023'!$D$4:$D$815,$B31,'май 2023'!$J$4:$J$815,T$1)</f>
        <v>0</v>
      </c>
      <c r="U31" s="207">
        <f>SUMIFS('май 2023'!$G$4:$G$815,'май 2023'!$D$4:$D$815,$B31,'май 2023'!$J$4:$J$815,U$1)</f>
        <v>0</v>
      </c>
      <c r="V31" s="207">
        <f>SUMIFS('май 2023'!$G$4:$G$815,'май 2023'!$D$4:$D$815,$B31,'май 2023'!$J$4:$J$815,V$1)</f>
        <v>0</v>
      </c>
      <c r="W31" s="207">
        <f>SUMIFS('май 2023'!$G$4:$G$815,'май 2023'!$D$4:$D$815,$B31,'май 2023'!$J$4:$J$815,W$1)</f>
        <v>0</v>
      </c>
      <c r="X31" s="207">
        <f>SUMIFS('май 2023'!$G$4:$G$815,'май 2023'!$D$4:$D$815,$B31,'май 2023'!$J$4:$J$815,X$1)</f>
        <v>0</v>
      </c>
      <c r="Y31" s="207">
        <f>SUMIFS('май 2023'!$G$4:$G$815,'май 2023'!$D$4:$D$815,$B31,'май 2023'!$J$4:$J$815,Y$1)</f>
        <v>0</v>
      </c>
      <c r="Z31" s="207">
        <f>SUMIFS('май 2023'!$G$4:$G$815,'май 2023'!$D$4:$D$815,$B31,'май 2023'!$J$4:$J$815,Z$1)</f>
        <v>0</v>
      </c>
      <c r="AA31" s="207">
        <f>SUMIFS('май 2023'!$G$4:$G$815,'май 2023'!$D$4:$D$815,$B31,'май 2023'!$J$4:$J$815,AA$1)</f>
        <v>0</v>
      </c>
      <c r="AB31" s="207">
        <f>SUMIFS('май 2023'!$G$4:$G$815,'май 2023'!$D$4:$D$815,$B31,'май 2023'!$J$4:$J$815,AB$1)</f>
        <v>0</v>
      </c>
      <c r="AC31" s="207">
        <f>SUMIFS('май 2023'!$G$4:$G$815,'май 2023'!$D$4:$D$815,$B31,'май 2023'!$J$4:$J$815,AC$1)</f>
        <v>0</v>
      </c>
      <c r="AD31" s="207">
        <f>SUMIFS('май 2023'!$G$4:$G$815,'май 2023'!$D$4:$D$815,$B31,'май 2023'!$J$4:$J$815,AD$1)</f>
        <v>0</v>
      </c>
      <c r="AE31" s="207">
        <f>SUMIFS('май 2023'!$G$4:$G$815,'май 2023'!$D$4:$D$815,$B31,'май 2023'!$J$4:$J$815,AE$1)</f>
        <v>0</v>
      </c>
      <c r="AF31" s="207">
        <f>SUMIFS('май 2023'!$G$4:$G$815,'май 2023'!$D$4:$D$815,$B31,'май 2023'!$J$4:$J$815,AF$1)</f>
        <v>0</v>
      </c>
      <c r="AG31" s="207">
        <f>SUMIFS('май 2023'!$G$4:$G$815,'май 2023'!$D$4:$D$815,$B31,'май 2023'!$J$4:$J$815,AG$1)</f>
        <v>0</v>
      </c>
      <c r="AH31" s="207">
        <f>SUMIFS('май 2023'!$G$4:$G$815,'май 2023'!$D$4:$D$815,$B31,'май 2023'!$J$4:$J$815,AH$1)</f>
        <v>0</v>
      </c>
      <c r="AI31" s="170">
        <f t="shared" si="1"/>
        <v>0</v>
      </c>
    </row>
    <row r="32" spans="2:35" ht="15" customHeight="1" x14ac:dyDescent="0.25">
      <c r="B32" s="208" t="s">
        <v>1392</v>
      </c>
      <c r="C32" s="206">
        <v>25</v>
      </c>
      <c r="D32" s="207">
        <f>SUMIFS('май 2023'!$G$4:$G$815,'май 2023'!$D$4:$D$815,$B32,'май 2023'!$J$4:$J$815,D$1)</f>
        <v>0</v>
      </c>
      <c r="E32" s="207">
        <f>SUMIFS('май 2023'!$G$4:$G$815,'май 2023'!$D$4:$D$815,$B32,'май 2023'!$J$4:$J$815,E$1)</f>
        <v>0</v>
      </c>
      <c r="F32" s="207">
        <f>SUMIFS('май 2023'!$G$4:$G$815,'май 2023'!$D$4:$D$815,$B32,'май 2023'!$J$4:$J$815,F$1)</f>
        <v>0</v>
      </c>
      <c r="G32" s="207">
        <f>SUMIFS('май 2023'!$G$4:$G$815,'май 2023'!$D$4:$D$815,$B32,'май 2023'!$J$4:$J$815,G$1)</f>
        <v>0</v>
      </c>
      <c r="H32" s="207">
        <f>SUMIFS('май 2023'!$G$4:$G$815,'май 2023'!$D$4:$D$815,$B32,'май 2023'!$J$4:$J$815,H$1)</f>
        <v>0</v>
      </c>
      <c r="I32" s="207">
        <f>SUMIFS('май 2023'!$G$4:$G$815,'май 2023'!$D$4:$D$815,$B32,'май 2023'!$J$4:$J$815,I$1)</f>
        <v>0</v>
      </c>
      <c r="J32" s="207">
        <f>SUMIFS('май 2023'!$G$4:$G$815,'май 2023'!$D$4:$D$815,$B32,'май 2023'!$J$4:$J$815,J$1)</f>
        <v>0</v>
      </c>
      <c r="K32" s="207">
        <f>SUMIFS('май 2023'!$G$4:$G$815,'май 2023'!$D$4:$D$815,$B32,'май 2023'!$J$4:$J$815,K$1)</f>
        <v>0</v>
      </c>
      <c r="L32" s="207">
        <f>SUMIFS('май 2023'!$G$4:$G$815,'май 2023'!$D$4:$D$815,$B32,'май 2023'!$J$4:$J$815,L$1)</f>
        <v>0</v>
      </c>
      <c r="M32" s="207">
        <f>SUMIFS('май 2023'!$G$4:$G$815,'май 2023'!$D$4:$D$815,$B32,'май 2023'!$J$4:$J$815,M$1)</f>
        <v>0</v>
      </c>
      <c r="N32" s="207">
        <f>SUMIFS('май 2023'!$G$4:$G$815,'май 2023'!$D$4:$D$815,$B32,'май 2023'!$J$4:$J$815,N$1)</f>
        <v>0</v>
      </c>
      <c r="O32" s="207">
        <f>SUMIFS('май 2023'!$G$4:$G$815,'май 2023'!$D$4:$D$815,$B32,'май 2023'!$J$4:$J$815,O$1)</f>
        <v>0</v>
      </c>
      <c r="P32" s="207">
        <f>SUMIFS('май 2023'!$G$4:$G$815,'май 2023'!$D$4:$D$815,$B32,'май 2023'!$J$4:$J$815,P$1)</f>
        <v>0</v>
      </c>
      <c r="Q32" s="207">
        <f>SUMIFS('май 2023'!$G$4:$G$815,'май 2023'!$D$4:$D$815,$B32,'май 2023'!$J$4:$J$815,Q$1)</f>
        <v>0</v>
      </c>
      <c r="R32" s="207">
        <f>SUMIFS('май 2023'!$G$4:$G$815,'май 2023'!$D$4:$D$815,$B32,'май 2023'!$J$4:$J$815,R$1)</f>
        <v>0</v>
      </c>
      <c r="S32" s="207">
        <f>SUMIFS('май 2023'!$G$4:$G$815,'май 2023'!$D$4:$D$815,$B32,'май 2023'!$J$4:$J$815,S$1)</f>
        <v>0</v>
      </c>
      <c r="T32" s="207">
        <f>SUMIFS('май 2023'!$G$4:$G$815,'май 2023'!$D$4:$D$815,$B32,'май 2023'!$J$4:$J$815,T$1)</f>
        <v>0</v>
      </c>
      <c r="U32" s="207">
        <f>SUMIFS('май 2023'!$G$4:$G$815,'май 2023'!$D$4:$D$815,$B32,'май 2023'!$J$4:$J$815,U$1)</f>
        <v>0</v>
      </c>
      <c r="V32" s="207">
        <f>SUMIFS('май 2023'!$G$4:$G$815,'май 2023'!$D$4:$D$815,$B32,'май 2023'!$J$4:$J$815,V$1)</f>
        <v>0</v>
      </c>
      <c r="W32" s="207">
        <f>SUMIFS('май 2023'!$G$4:$G$815,'май 2023'!$D$4:$D$815,$B32,'май 2023'!$J$4:$J$815,W$1)</f>
        <v>0</v>
      </c>
      <c r="X32" s="207">
        <f>SUMIFS('май 2023'!$G$4:$G$815,'май 2023'!$D$4:$D$815,$B32,'май 2023'!$J$4:$J$815,X$1)</f>
        <v>0</v>
      </c>
      <c r="Y32" s="207">
        <f>SUMIFS('май 2023'!$G$4:$G$815,'май 2023'!$D$4:$D$815,$B32,'май 2023'!$J$4:$J$815,Y$1)</f>
        <v>0</v>
      </c>
      <c r="Z32" s="207">
        <f>SUMIFS('май 2023'!$G$4:$G$815,'май 2023'!$D$4:$D$815,$B32,'май 2023'!$J$4:$J$815,Z$1)</f>
        <v>0</v>
      </c>
      <c r="AA32" s="207">
        <f>SUMIFS('май 2023'!$G$4:$G$815,'май 2023'!$D$4:$D$815,$B32,'май 2023'!$J$4:$J$815,AA$1)</f>
        <v>0</v>
      </c>
      <c r="AB32" s="207">
        <f>SUMIFS('май 2023'!$G$4:$G$815,'май 2023'!$D$4:$D$815,$B32,'май 2023'!$J$4:$J$815,AB$1)</f>
        <v>0</v>
      </c>
      <c r="AC32" s="207">
        <f>SUMIFS('май 2023'!$G$4:$G$815,'май 2023'!$D$4:$D$815,$B32,'май 2023'!$J$4:$J$815,AC$1)</f>
        <v>0</v>
      </c>
      <c r="AD32" s="207">
        <f>SUMIFS('май 2023'!$G$4:$G$815,'май 2023'!$D$4:$D$815,$B32,'май 2023'!$J$4:$J$815,AD$1)</f>
        <v>0</v>
      </c>
      <c r="AE32" s="207">
        <f>SUMIFS('май 2023'!$G$4:$G$815,'май 2023'!$D$4:$D$815,$B32,'май 2023'!$J$4:$J$815,AE$1)</f>
        <v>0</v>
      </c>
      <c r="AF32" s="207">
        <f>SUMIFS('май 2023'!$G$4:$G$815,'май 2023'!$D$4:$D$815,$B32,'май 2023'!$J$4:$J$815,AF$1)</f>
        <v>300</v>
      </c>
      <c r="AG32" s="207">
        <f>SUMIFS('май 2023'!$G$4:$G$815,'май 2023'!$D$4:$D$815,$B32,'май 2023'!$J$4:$J$815,AG$1)</f>
        <v>0</v>
      </c>
      <c r="AH32" s="207">
        <f>SUMIFS('май 2023'!$G$4:$G$815,'май 2023'!$D$4:$D$815,$B32,'май 2023'!$J$4:$J$815,AH$1)</f>
        <v>0</v>
      </c>
      <c r="AI32" s="170">
        <f t="shared" si="1"/>
        <v>300</v>
      </c>
    </row>
    <row r="33" spans="2:35" ht="15" customHeight="1" x14ac:dyDescent="0.25">
      <c r="B33" s="209" t="s">
        <v>1344</v>
      </c>
      <c r="C33" s="206">
        <v>20</v>
      </c>
      <c r="D33" s="207">
        <f>SUMIFS('май 2023'!$G$4:$G$815,'май 2023'!$D$4:$D$815,$B33,'май 2023'!$J$4:$J$815,D$1)</f>
        <v>0</v>
      </c>
      <c r="E33" s="207">
        <f>SUMIFS('май 2023'!$G$4:$G$815,'май 2023'!$D$4:$D$815,$B33,'май 2023'!$J$4:$J$815,E$1)</f>
        <v>0</v>
      </c>
      <c r="F33" s="207">
        <f>SUMIFS('май 2023'!$G$4:$G$815,'май 2023'!$D$4:$D$815,$B33,'май 2023'!$J$4:$J$815,F$1)</f>
        <v>0</v>
      </c>
      <c r="G33" s="207">
        <f>SUMIFS('май 2023'!$G$4:$G$815,'май 2023'!$D$4:$D$815,$B33,'май 2023'!$J$4:$J$815,G$1)</f>
        <v>0</v>
      </c>
      <c r="H33" s="207">
        <f>SUMIFS('май 2023'!$G$4:$G$815,'май 2023'!$D$4:$D$815,$B33,'май 2023'!$J$4:$J$815,H$1)</f>
        <v>0</v>
      </c>
      <c r="I33" s="207">
        <f>SUMIFS('май 2023'!$G$4:$G$815,'май 2023'!$D$4:$D$815,$B33,'май 2023'!$J$4:$J$815,I$1)</f>
        <v>0</v>
      </c>
      <c r="J33" s="207">
        <f>SUMIFS('май 2023'!$G$4:$G$815,'май 2023'!$D$4:$D$815,$B33,'май 2023'!$J$4:$J$815,J$1)</f>
        <v>0</v>
      </c>
      <c r="K33" s="207">
        <f>SUMIFS('май 2023'!$G$4:$G$815,'май 2023'!$D$4:$D$815,$B33,'май 2023'!$J$4:$J$815,K$1)</f>
        <v>0</v>
      </c>
      <c r="L33" s="207">
        <f>SUMIFS('май 2023'!$G$4:$G$815,'май 2023'!$D$4:$D$815,$B33,'май 2023'!$J$4:$J$815,L$1)</f>
        <v>0</v>
      </c>
      <c r="M33" s="207">
        <f>SUMIFS('май 2023'!$G$4:$G$815,'май 2023'!$D$4:$D$815,$B33,'май 2023'!$J$4:$J$815,M$1)</f>
        <v>0</v>
      </c>
      <c r="N33" s="207">
        <f>SUMIFS('май 2023'!$G$4:$G$815,'май 2023'!$D$4:$D$815,$B33,'май 2023'!$J$4:$J$815,N$1)</f>
        <v>0</v>
      </c>
      <c r="O33" s="207">
        <f>SUMIFS('май 2023'!$G$4:$G$815,'май 2023'!$D$4:$D$815,$B33,'май 2023'!$J$4:$J$815,O$1)</f>
        <v>0</v>
      </c>
      <c r="P33" s="207">
        <f>SUMIFS('май 2023'!$G$4:$G$815,'май 2023'!$D$4:$D$815,$B33,'май 2023'!$J$4:$J$815,P$1)</f>
        <v>0</v>
      </c>
      <c r="Q33" s="207">
        <f>SUMIFS('май 2023'!$G$4:$G$815,'май 2023'!$D$4:$D$815,$B33,'май 2023'!$J$4:$J$815,Q$1)</f>
        <v>0</v>
      </c>
      <c r="R33" s="207">
        <f>SUMIFS('май 2023'!$G$4:$G$815,'май 2023'!$D$4:$D$815,$B33,'май 2023'!$J$4:$J$815,R$1)</f>
        <v>0</v>
      </c>
      <c r="S33" s="207">
        <f>SUMIFS('май 2023'!$G$4:$G$815,'май 2023'!$D$4:$D$815,$B33,'май 2023'!$J$4:$J$815,S$1)</f>
        <v>0</v>
      </c>
      <c r="T33" s="207">
        <f>SUMIFS('май 2023'!$G$4:$G$815,'май 2023'!$D$4:$D$815,$B33,'май 2023'!$J$4:$J$815,T$1)</f>
        <v>100</v>
      </c>
      <c r="U33" s="207">
        <f>SUMIFS('май 2023'!$G$4:$G$815,'май 2023'!$D$4:$D$815,$B33,'май 2023'!$J$4:$J$815,U$1)</f>
        <v>0</v>
      </c>
      <c r="V33" s="207">
        <f>SUMIFS('май 2023'!$G$4:$G$815,'май 2023'!$D$4:$D$815,$B33,'май 2023'!$J$4:$J$815,V$1)</f>
        <v>0</v>
      </c>
      <c r="W33" s="207">
        <f>SUMIFS('май 2023'!$G$4:$G$815,'май 2023'!$D$4:$D$815,$B33,'май 2023'!$J$4:$J$815,W$1)</f>
        <v>0</v>
      </c>
      <c r="X33" s="207">
        <f>SUMIFS('май 2023'!$G$4:$G$815,'май 2023'!$D$4:$D$815,$B33,'май 2023'!$J$4:$J$815,X$1)</f>
        <v>0</v>
      </c>
      <c r="Y33" s="207">
        <f>SUMIFS('май 2023'!$G$4:$G$815,'май 2023'!$D$4:$D$815,$B33,'май 2023'!$J$4:$J$815,Y$1)</f>
        <v>0</v>
      </c>
      <c r="Z33" s="207">
        <f>SUMIFS('май 2023'!$G$4:$G$815,'май 2023'!$D$4:$D$815,$B33,'май 2023'!$J$4:$J$815,Z$1)</f>
        <v>0</v>
      </c>
      <c r="AA33" s="207">
        <f>SUMIFS('май 2023'!$G$4:$G$815,'май 2023'!$D$4:$D$815,$B33,'май 2023'!$J$4:$J$815,AA$1)</f>
        <v>0</v>
      </c>
      <c r="AB33" s="207">
        <f>SUMIFS('май 2023'!$G$4:$G$815,'май 2023'!$D$4:$D$815,$B33,'май 2023'!$J$4:$J$815,AB$1)</f>
        <v>0</v>
      </c>
      <c r="AC33" s="207">
        <f>SUMIFS('май 2023'!$G$4:$G$815,'май 2023'!$D$4:$D$815,$B33,'май 2023'!$J$4:$J$815,AC$1)</f>
        <v>0</v>
      </c>
      <c r="AD33" s="207">
        <f>SUMIFS('май 2023'!$G$4:$G$815,'май 2023'!$D$4:$D$815,$B33,'май 2023'!$J$4:$J$815,AD$1)</f>
        <v>0</v>
      </c>
      <c r="AE33" s="207">
        <f>SUMIFS('май 2023'!$G$4:$G$815,'май 2023'!$D$4:$D$815,$B33,'май 2023'!$J$4:$J$815,AE$1)</f>
        <v>0</v>
      </c>
      <c r="AF33" s="207">
        <f>SUMIFS('май 2023'!$G$4:$G$815,'май 2023'!$D$4:$D$815,$B33,'май 2023'!$J$4:$J$815,AF$1)</f>
        <v>0</v>
      </c>
      <c r="AG33" s="207">
        <f>SUMIFS('май 2023'!$G$4:$G$815,'май 2023'!$D$4:$D$815,$B33,'май 2023'!$J$4:$J$815,AG$1)</f>
        <v>0</v>
      </c>
      <c r="AH33" s="207">
        <f>SUMIFS('май 2023'!$G$4:$G$815,'май 2023'!$D$4:$D$815,$B33,'май 2023'!$J$4:$J$815,AH$1)</f>
        <v>0</v>
      </c>
      <c r="AI33" s="170">
        <f t="shared" si="1"/>
        <v>100</v>
      </c>
    </row>
    <row r="34" spans="2:35" ht="15" customHeight="1" x14ac:dyDescent="0.25">
      <c r="B34" s="210" t="s">
        <v>754</v>
      </c>
      <c r="C34" s="211">
        <v>20</v>
      </c>
      <c r="D34" s="207">
        <f>SUMIFS('май 2023'!$G$4:$G$815,'май 2023'!$D$4:$D$815,$B34,'май 2023'!$J$4:$J$815,D$1)</f>
        <v>0</v>
      </c>
      <c r="E34" s="207">
        <f>SUMIFS('май 2023'!$G$4:$G$815,'май 2023'!$D$4:$D$815,$B34,'май 2023'!$J$4:$J$815,E$1)</f>
        <v>0</v>
      </c>
      <c r="F34" s="207">
        <f>SUMIFS('май 2023'!$G$4:$G$815,'май 2023'!$D$4:$D$815,$B34,'май 2023'!$J$4:$J$815,F$1)</f>
        <v>0</v>
      </c>
      <c r="G34" s="207">
        <f>SUMIFS('май 2023'!$G$4:$G$815,'май 2023'!$D$4:$D$815,$B34,'май 2023'!$J$4:$J$815,G$1)</f>
        <v>0</v>
      </c>
      <c r="H34" s="207">
        <f>SUMIFS('май 2023'!$G$4:$G$815,'май 2023'!$D$4:$D$815,$B34,'май 2023'!$J$4:$J$815,H$1)</f>
        <v>0</v>
      </c>
      <c r="I34" s="207">
        <f>SUMIFS('май 2023'!$G$4:$G$815,'май 2023'!$D$4:$D$815,$B34,'май 2023'!$J$4:$J$815,I$1)</f>
        <v>0</v>
      </c>
      <c r="J34" s="207">
        <f>SUMIFS('май 2023'!$G$4:$G$815,'май 2023'!$D$4:$D$815,$B34,'май 2023'!$J$4:$J$815,J$1)</f>
        <v>0</v>
      </c>
      <c r="K34" s="207">
        <f>SUMIFS('май 2023'!$G$4:$G$815,'май 2023'!$D$4:$D$815,$B34,'май 2023'!$J$4:$J$815,K$1)</f>
        <v>0</v>
      </c>
      <c r="L34" s="207">
        <f>SUMIFS('май 2023'!$G$4:$G$815,'май 2023'!$D$4:$D$815,$B34,'май 2023'!$J$4:$J$815,L$1)</f>
        <v>0</v>
      </c>
      <c r="M34" s="207">
        <f>SUMIFS('май 2023'!$G$4:$G$815,'май 2023'!$D$4:$D$815,$B34,'май 2023'!$J$4:$J$815,M$1)</f>
        <v>0</v>
      </c>
      <c r="N34" s="207">
        <f>SUMIFS('май 2023'!$G$4:$G$815,'май 2023'!$D$4:$D$815,$B34,'май 2023'!$J$4:$J$815,N$1)</f>
        <v>0</v>
      </c>
      <c r="O34" s="207">
        <f>SUMIFS('май 2023'!$G$4:$G$815,'май 2023'!$D$4:$D$815,$B34,'май 2023'!$J$4:$J$815,O$1)</f>
        <v>0</v>
      </c>
      <c r="P34" s="207">
        <f>SUMIFS('май 2023'!$G$4:$G$815,'май 2023'!$D$4:$D$815,$B34,'май 2023'!$J$4:$J$815,P$1)</f>
        <v>0</v>
      </c>
      <c r="Q34" s="207">
        <f>SUMIFS('май 2023'!$G$4:$G$815,'май 2023'!$D$4:$D$815,$B34,'май 2023'!$J$4:$J$815,Q$1)</f>
        <v>0</v>
      </c>
      <c r="R34" s="207">
        <f>SUMIFS('май 2023'!$G$4:$G$815,'май 2023'!$D$4:$D$815,$B34,'май 2023'!$J$4:$J$815,R$1)</f>
        <v>0</v>
      </c>
      <c r="S34" s="207">
        <f>SUMIFS('май 2023'!$G$4:$G$815,'май 2023'!$D$4:$D$815,$B34,'май 2023'!$J$4:$J$815,S$1)</f>
        <v>0</v>
      </c>
      <c r="T34" s="207">
        <f>SUMIFS('май 2023'!$G$4:$G$815,'май 2023'!$D$4:$D$815,$B34,'май 2023'!$J$4:$J$815,T$1)</f>
        <v>0</v>
      </c>
      <c r="U34" s="207">
        <f>SUMIFS('май 2023'!$G$4:$G$815,'май 2023'!$D$4:$D$815,$B34,'май 2023'!$J$4:$J$815,U$1)</f>
        <v>0</v>
      </c>
      <c r="V34" s="207">
        <f>SUMIFS('май 2023'!$G$4:$G$815,'май 2023'!$D$4:$D$815,$B34,'май 2023'!$J$4:$J$815,V$1)</f>
        <v>0</v>
      </c>
      <c r="W34" s="207">
        <f>SUMIFS('май 2023'!$G$4:$G$815,'май 2023'!$D$4:$D$815,$B34,'май 2023'!$J$4:$J$815,W$1)</f>
        <v>0</v>
      </c>
      <c r="X34" s="207">
        <f>SUMIFS('май 2023'!$G$4:$G$815,'май 2023'!$D$4:$D$815,$B34,'май 2023'!$J$4:$J$815,X$1)</f>
        <v>0</v>
      </c>
      <c r="Y34" s="207">
        <f>SUMIFS('май 2023'!$G$4:$G$815,'май 2023'!$D$4:$D$815,$B34,'май 2023'!$J$4:$J$815,Y$1)</f>
        <v>0</v>
      </c>
      <c r="Z34" s="207">
        <f>SUMIFS('май 2023'!$G$4:$G$815,'май 2023'!$D$4:$D$815,$B34,'май 2023'!$J$4:$J$815,Z$1)</f>
        <v>0</v>
      </c>
      <c r="AA34" s="207">
        <f>SUMIFS('май 2023'!$G$4:$G$815,'май 2023'!$D$4:$D$815,$B34,'май 2023'!$J$4:$J$815,AA$1)</f>
        <v>0</v>
      </c>
      <c r="AB34" s="207">
        <f>SUMIFS('май 2023'!$G$4:$G$815,'май 2023'!$D$4:$D$815,$B34,'май 2023'!$J$4:$J$815,AB$1)</f>
        <v>0</v>
      </c>
      <c r="AC34" s="207">
        <f>SUMIFS('май 2023'!$G$4:$G$815,'май 2023'!$D$4:$D$815,$B34,'май 2023'!$J$4:$J$815,AC$1)</f>
        <v>0</v>
      </c>
      <c r="AD34" s="207">
        <f>SUMIFS('май 2023'!$G$4:$G$815,'май 2023'!$D$4:$D$815,$B34,'май 2023'!$J$4:$J$815,AD$1)</f>
        <v>0</v>
      </c>
      <c r="AE34" s="207">
        <f>SUMIFS('май 2023'!$G$4:$G$815,'май 2023'!$D$4:$D$815,$B34,'май 2023'!$J$4:$J$815,AE$1)</f>
        <v>0</v>
      </c>
      <c r="AF34" s="207">
        <f>SUMIFS('май 2023'!$G$4:$G$815,'май 2023'!$D$4:$D$815,$B34,'май 2023'!$J$4:$J$815,AF$1)</f>
        <v>0</v>
      </c>
      <c r="AG34" s="207">
        <f>SUMIFS('май 2023'!$G$4:$G$815,'май 2023'!$D$4:$D$815,$B34,'май 2023'!$J$4:$J$815,AG$1)</f>
        <v>0</v>
      </c>
      <c r="AH34" s="207">
        <f>SUMIFS('май 2023'!$G$4:$G$815,'май 2023'!$D$4:$D$815,$B34,'май 2023'!$J$4:$J$815,AH$1)</f>
        <v>0</v>
      </c>
      <c r="AI34" s="170">
        <f t="shared" si="1"/>
        <v>0</v>
      </c>
    </row>
    <row r="35" spans="2:35" ht="15" customHeight="1" x14ac:dyDescent="0.25">
      <c r="B35" s="212" t="s">
        <v>1256</v>
      </c>
      <c r="C35" s="213">
        <v>22.68</v>
      </c>
      <c r="D35" s="207">
        <f>SUMIFS('май 2023'!$G$4:$G$815,'май 2023'!$D$4:$D$815,$B35,'май 2023'!$J$4:$J$815,D$1)</f>
        <v>0</v>
      </c>
      <c r="E35" s="207">
        <f>SUMIFS('май 2023'!$G$4:$G$815,'май 2023'!$D$4:$D$815,$B35,'май 2023'!$J$4:$J$815,E$1)</f>
        <v>2400</v>
      </c>
      <c r="F35" s="207">
        <f>SUMIFS('май 2023'!$G$4:$G$815,'май 2023'!$D$4:$D$815,$B35,'май 2023'!$J$4:$J$815,F$1)</f>
        <v>0</v>
      </c>
      <c r="G35" s="207">
        <f>SUMIFS('май 2023'!$G$4:$G$815,'май 2023'!$D$4:$D$815,$B35,'май 2023'!$J$4:$J$815,G$1)</f>
        <v>0</v>
      </c>
      <c r="H35" s="207">
        <f>SUMIFS('май 2023'!$G$4:$G$815,'май 2023'!$D$4:$D$815,$B35,'май 2023'!$J$4:$J$815,H$1)</f>
        <v>0</v>
      </c>
      <c r="I35" s="207">
        <f>SUMIFS('май 2023'!$G$4:$G$815,'май 2023'!$D$4:$D$815,$B35,'май 2023'!$J$4:$J$815,I$1)</f>
        <v>0</v>
      </c>
      <c r="J35" s="207">
        <f>SUMIFS('май 2023'!$G$4:$G$815,'май 2023'!$D$4:$D$815,$B35,'май 2023'!$J$4:$J$815,J$1)</f>
        <v>0</v>
      </c>
      <c r="K35" s="207">
        <f>SUMIFS('май 2023'!$G$4:$G$815,'май 2023'!$D$4:$D$815,$B35,'май 2023'!$J$4:$J$815,K$1)</f>
        <v>0</v>
      </c>
      <c r="L35" s="207">
        <f>SUMIFS('май 2023'!$G$4:$G$815,'май 2023'!$D$4:$D$815,$B35,'май 2023'!$J$4:$J$815,L$1)</f>
        <v>0</v>
      </c>
      <c r="M35" s="207">
        <f>SUMIFS('май 2023'!$G$4:$G$815,'май 2023'!$D$4:$D$815,$B35,'май 2023'!$J$4:$J$815,M$1)</f>
        <v>0</v>
      </c>
      <c r="N35" s="207">
        <f>SUMIFS('май 2023'!$G$4:$G$815,'май 2023'!$D$4:$D$815,$B35,'май 2023'!$J$4:$J$815,N$1)</f>
        <v>0</v>
      </c>
      <c r="O35" s="207">
        <f>SUMIFS('май 2023'!$G$4:$G$815,'май 2023'!$D$4:$D$815,$B35,'май 2023'!$J$4:$J$815,O$1)</f>
        <v>0</v>
      </c>
      <c r="P35" s="207">
        <f>SUMIFS('май 2023'!$G$4:$G$815,'май 2023'!$D$4:$D$815,$B35,'май 2023'!$J$4:$J$815,P$1)</f>
        <v>0</v>
      </c>
      <c r="Q35" s="207">
        <f>SUMIFS('май 2023'!$G$4:$G$815,'май 2023'!$D$4:$D$815,$B35,'май 2023'!$J$4:$J$815,Q$1)</f>
        <v>0</v>
      </c>
      <c r="R35" s="207">
        <f>SUMIFS('май 2023'!$G$4:$G$815,'май 2023'!$D$4:$D$815,$B35,'май 2023'!$J$4:$J$815,R$1)</f>
        <v>0</v>
      </c>
      <c r="S35" s="207">
        <f>SUMIFS('май 2023'!$G$4:$G$815,'май 2023'!$D$4:$D$815,$B35,'май 2023'!$J$4:$J$815,S$1)</f>
        <v>0</v>
      </c>
      <c r="T35" s="207">
        <f>SUMIFS('май 2023'!$G$4:$G$815,'май 2023'!$D$4:$D$815,$B35,'май 2023'!$J$4:$J$815,T$1)</f>
        <v>0</v>
      </c>
      <c r="U35" s="207">
        <f>SUMIFS('май 2023'!$G$4:$G$815,'май 2023'!$D$4:$D$815,$B35,'май 2023'!$J$4:$J$815,U$1)</f>
        <v>0</v>
      </c>
      <c r="V35" s="207">
        <f>SUMIFS('май 2023'!$G$4:$G$815,'май 2023'!$D$4:$D$815,$B35,'май 2023'!$J$4:$J$815,V$1)</f>
        <v>0</v>
      </c>
      <c r="W35" s="207">
        <f>SUMIFS('май 2023'!$G$4:$G$815,'май 2023'!$D$4:$D$815,$B35,'май 2023'!$J$4:$J$815,W$1)</f>
        <v>0</v>
      </c>
      <c r="X35" s="207">
        <f>SUMIFS('май 2023'!$G$4:$G$815,'май 2023'!$D$4:$D$815,$B35,'май 2023'!$J$4:$J$815,X$1)</f>
        <v>0</v>
      </c>
      <c r="Y35" s="207">
        <f>SUMIFS('май 2023'!$G$4:$G$815,'май 2023'!$D$4:$D$815,$B35,'май 2023'!$J$4:$J$815,Y$1)</f>
        <v>0</v>
      </c>
      <c r="Z35" s="207">
        <f>SUMIFS('май 2023'!$G$4:$G$815,'май 2023'!$D$4:$D$815,$B35,'май 2023'!$J$4:$J$815,Z$1)</f>
        <v>0</v>
      </c>
      <c r="AA35" s="207">
        <f>SUMIFS('май 2023'!$G$4:$G$815,'май 2023'!$D$4:$D$815,$B35,'май 2023'!$J$4:$J$815,AA$1)</f>
        <v>0</v>
      </c>
      <c r="AB35" s="207">
        <f>SUMIFS('май 2023'!$G$4:$G$815,'май 2023'!$D$4:$D$815,$B35,'май 2023'!$J$4:$J$815,AB$1)</f>
        <v>0</v>
      </c>
      <c r="AC35" s="207">
        <f>SUMIFS('май 2023'!$G$4:$G$815,'май 2023'!$D$4:$D$815,$B35,'май 2023'!$J$4:$J$815,AC$1)</f>
        <v>0</v>
      </c>
      <c r="AD35" s="207">
        <f>SUMIFS('май 2023'!$G$4:$G$815,'май 2023'!$D$4:$D$815,$B35,'май 2023'!$J$4:$J$815,AD$1)</f>
        <v>0</v>
      </c>
      <c r="AE35" s="207">
        <f>SUMIFS('май 2023'!$G$4:$G$815,'май 2023'!$D$4:$D$815,$B35,'май 2023'!$J$4:$J$815,AE$1)</f>
        <v>0</v>
      </c>
      <c r="AF35" s="207">
        <f>SUMIFS('май 2023'!$G$4:$G$815,'май 2023'!$D$4:$D$815,$B35,'май 2023'!$J$4:$J$815,AF$1)</f>
        <v>0</v>
      </c>
      <c r="AG35" s="207">
        <f>SUMIFS('май 2023'!$G$4:$G$815,'май 2023'!$D$4:$D$815,$B35,'май 2023'!$J$4:$J$815,AG$1)</f>
        <v>0</v>
      </c>
      <c r="AH35" s="207">
        <f>SUMIFS('май 2023'!$G$4:$G$815,'май 2023'!$D$4:$D$815,$B35,'май 2023'!$J$4:$J$815,AH$1)</f>
        <v>0</v>
      </c>
      <c r="AI35" s="170">
        <f t="shared" si="1"/>
        <v>2400</v>
      </c>
    </row>
    <row r="36" spans="2:35" ht="15" customHeight="1" x14ac:dyDescent="0.25">
      <c r="B36" s="212" t="s">
        <v>1088</v>
      </c>
      <c r="C36" s="214">
        <v>22.68</v>
      </c>
      <c r="D36" s="207">
        <f>SUMIFS('май 2023'!$G$4:$G$815,'май 2023'!$D$4:$D$815,$B36,'май 2023'!$J$4:$J$815,D$1)</f>
        <v>0</v>
      </c>
      <c r="E36" s="207">
        <f>SUMIFS('май 2023'!$G$4:$G$815,'май 2023'!$D$4:$D$815,$B36,'май 2023'!$J$4:$J$815,E$1)</f>
        <v>0</v>
      </c>
      <c r="F36" s="207">
        <f>SUMIFS('май 2023'!$G$4:$G$815,'май 2023'!$D$4:$D$815,$B36,'май 2023'!$J$4:$J$815,F$1)</f>
        <v>0</v>
      </c>
      <c r="G36" s="207">
        <f>SUMIFS('май 2023'!$G$4:$G$815,'май 2023'!$D$4:$D$815,$B36,'май 2023'!$J$4:$J$815,G$1)</f>
        <v>0</v>
      </c>
      <c r="H36" s="207">
        <f>SUMIFS('май 2023'!$G$4:$G$815,'май 2023'!$D$4:$D$815,$B36,'май 2023'!$J$4:$J$815,H$1)</f>
        <v>0</v>
      </c>
      <c r="I36" s="207">
        <f>SUMIFS('май 2023'!$G$4:$G$815,'май 2023'!$D$4:$D$815,$B36,'май 2023'!$J$4:$J$815,I$1)</f>
        <v>0</v>
      </c>
      <c r="J36" s="207">
        <f>SUMIFS('май 2023'!$G$4:$G$815,'май 2023'!$D$4:$D$815,$B36,'май 2023'!$J$4:$J$815,J$1)</f>
        <v>0</v>
      </c>
      <c r="K36" s="207">
        <f>SUMIFS('май 2023'!$G$4:$G$815,'май 2023'!$D$4:$D$815,$B36,'май 2023'!$J$4:$J$815,K$1)</f>
        <v>0</v>
      </c>
      <c r="L36" s="207">
        <f>SUMIFS('май 2023'!$G$4:$G$815,'май 2023'!$D$4:$D$815,$B36,'май 2023'!$J$4:$J$815,L$1)</f>
        <v>0</v>
      </c>
      <c r="M36" s="207">
        <f>SUMIFS('май 2023'!$G$4:$G$815,'май 2023'!$D$4:$D$815,$B36,'май 2023'!$J$4:$J$815,M$1)</f>
        <v>0</v>
      </c>
      <c r="N36" s="207">
        <f>SUMIFS('май 2023'!$G$4:$G$815,'май 2023'!$D$4:$D$815,$B36,'май 2023'!$J$4:$J$815,N$1)</f>
        <v>0</v>
      </c>
      <c r="O36" s="207">
        <f>SUMIFS('май 2023'!$G$4:$G$815,'май 2023'!$D$4:$D$815,$B36,'май 2023'!$J$4:$J$815,O$1)</f>
        <v>0</v>
      </c>
      <c r="P36" s="207">
        <f>SUMIFS('май 2023'!$G$4:$G$815,'май 2023'!$D$4:$D$815,$B36,'май 2023'!$J$4:$J$815,P$1)</f>
        <v>0</v>
      </c>
      <c r="Q36" s="207">
        <f>SUMIFS('май 2023'!$G$4:$G$815,'май 2023'!$D$4:$D$815,$B36,'май 2023'!$J$4:$J$815,Q$1)</f>
        <v>0</v>
      </c>
      <c r="R36" s="207">
        <f>SUMIFS('май 2023'!$G$4:$G$815,'май 2023'!$D$4:$D$815,$B36,'май 2023'!$J$4:$J$815,R$1)</f>
        <v>800</v>
      </c>
      <c r="S36" s="207">
        <f>SUMIFS('май 2023'!$G$4:$G$815,'май 2023'!$D$4:$D$815,$B36,'май 2023'!$J$4:$J$815,S$1)</f>
        <v>0</v>
      </c>
      <c r="T36" s="207">
        <f>SUMIFS('май 2023'!$G$4:$G$815,'май 2023'!$D$4:$D$815,$B36,'май 2023'!$J$4:$J$815,T$1)</f>
        <v>0</v>
      </c>
      <c r="U36" s="207">
        <f>SUMIFS('май 2023'!$G$4:$G$815,'май 2023'!$D$4:$D$815,$B36,'май 2023'!$J$4:$J$815,U$1)</f>
        <v>0</v>
      </c>
      <c r="V36" s="207">
        <f>SUMIFS('май 2023'!$G$4:$G$815,'май 2023'!$D$4:$D$815,$B36,'май 2023'!$J$4:$J$815,V$1)</f>
        <v>0</v>
      </c>
      <c r="W36" s="207">
        <f>SUMIFS('май 2023'!$G$4:$G$815,'май 2023'!$D$4:$D$815,$B36,'май 2023'!$J$4:$J$815,W$1)</f>
        <v>0</v>
      </c>
      <c r="X36" s="207">
        <f>SUMIFS('май 2023'!$G$4:$G$815,'май 2023'!$D$4:$D$815,$B36,'май 2023'!$J$4:$J$815,X$1)</f>
        <v>0</v>
      </c>
      <c r="Y36" s="207">
        <f>SUMIFS('май 2023'!$G$4:$G$815,'май 2023'!$D$4:$D$815,$B36,'май 2023'!$J$4:$J$815,Y$1)</f>
        <v>800</v>
      </c>
      <c r="Z36" s="207">
        <f>SUMIFS('май 2023'!$G$4:$G$815,'май 2023'!$D$4:$D$815,$B36,'май 2023'!$J$4:$J$815,Z$1)</f>
        <v>0</v>
      </c>
      <c r="AA36" s="207">
        <f>SUMIFS('май 2023'!$G$4:$G$815,'май 2023'!$D$4:$D$815,$B36,'май 2023'!$J$4:$J$815,AA$1)</f>
        <v>0</v>
      </c>
      <c r="AB36" s="207">
        <f>SUMIFS('май 2023'!$G$4:$G$815,'май 2023'!$D$4:$D$815,$B36,'май 2023'!$J$4:$J$815,AB$1)</f>
        <v>0</v>
      </c>
      <c r="AC36" s="207">
        <f>SUMIFS('май 2023'!$G$4:$G$815,'май 2023'!$D$4:$D$815,$B36,'май 2023'!$J$4:$J$815,AC$1)</f>
        <v>0</v>
      </c>
      <c r="AD36" s="207">
        <f>SUMIFS('май 2023'!$G$4:$G$815,'май 2023'!$D$4:$D$815,$B36,'май 2023'!$J$4:$J$815,AD$1)</f>
        <v>0</v>
      </c>
      <c r="AE36" s="207">
        <f>SUMIFS('май 2023'!$G$4:$G$815,'май 2023'!$D$4:$D$815,$B36,'май 2023'!$J$4:$J$815,AE$1)</f>
        <v>0</v>
      </c>
      <c r="AF36" s="207">
        <f>SUMIFS('май 2023'!$G$4:$G$815,'май 2023'!$D$4:$D$815,$B36,'май 2023'!$J$4:$J$815,AF$1)</f>
        <v>0</v>
      </c>
      <c r="AG36" s="207">
        <f>SUMIFS('май 2023'!$G$4:$G$815,'май 2023'!$D$4:$D$815,$B36,'май 2023'!$J$4:$J$815,AG$1)</f>
        <v>0</v>
      </c>
      <c r="AH36" s="207">
        <f>SUMIFS('май 2023'!$G$4:$G$815,'май 2023'!$D$4:$D$815,$B36,'май 2023'!$J$4:$J$815,AH$1)</f>
        <v>0</v>
      </c>
      <c r="AI36" s="170">
        <f t="shared" si="1"/>
        <v>1600</v>
      </c>
    </row>
    <row r="37" spans="2:35" ht="15" customHeight="1" x14ac:dyDescent="0.25">
      <c r="B37" s="212" t="s">
        <v>492</v>
      </c>
      <c r="C37" s="215">
        <v>25</v>
      </c>
      <c r="D37" s="207">
        <f>SUMIFS('май 2023'!$G$4:$G$815,'май 2023'!$D$4:$D$815,$B37,'май 2023'!$J$4:$J$815,D$1)</f>
        <v>0</v>
      </c>
      <c r="E37" s="207">
        <f>SUMIFS('май 2023'!$G$4:$G$815,'май 2023'!$D$4:$D$815,$B37,'май 2023'!$J$4:$J$815,E$1)</f>
        <v>0</v>
      </c>
      <c r="F37" s="207">
        <f>SUMIFS('май 2023'!$G$4:$G$815,'май 2023'!$D$4:$D$815,$B37,'май 2023'!$J$4:$J$815,F$1)</f>
        <v>0</v>
      </c>
      <c r="G37" s="207">
        <f>SUMIFS('май 2023'!$G$4:$G$815,'май 2023'!$D$4:$D$815,$B37,'май 2023'!$J$4:$J$815,G$1)</f>
        <v>0</v>
      </c>
      <c r="H37" s="207">
        <f>SUMIFS('май 2023'!$G$4:$G$815,'май 2023'!$D$4:$D$815,$B37,'май 2023'!$J$4:$J$815,H$1)</f>
        <v>0</v>
      </c>
      <c r="I37" s="207">
        <f>SUMIFS('май 2023'!$G$4:$G$815,'май 2023'!$D$4:$D$815,$B37,'май 2023'!$J$4:$J$815,I$1)</f>
        <v>0</v>
      </c>
      <c r="J37" s="207">
        <f>SUMIFS('май 2023'!$G$4:$G$815,'май 2023'!$D$4:$D$815,$B37,'май 2023'!$J$4:$J$815,J$1)</f>
        <v>0</v>
      </c>
      <c r="K37" s="207">
        <f>SUMIFS('май 2023'!$G$4:$G$815,'май 2023'!$D$4:$D$815,$B37,'май 2023'!$J$4:$J$815,K$1)</f>
        <v>0</v>
      </c>
      <c r="L37" s="207">
        <f>SUMIFS('май 2023'!$G$4:$G$815,'май 2023'!$D$4:$D$815,$B37,'май 2023'!$J$4:$J$815,L$1)</f>
        <v>0</v>
      </c>
      <c r="M37" s="207">
        <f>SUMIFS('май 2023'!$G$4:$G$815,'май 2023'!$D$4:$D$815,$B37,'май 2023'!$J$4:$J$815,M$1)</f>
        <v>0</v>
      </c>
      <c r="N37" s="207">
        <f>SUMIFS('май 2023'!$G$4:$G$815,'май 2023'!$D$4:$D$815,$B37,'май 2023'!$J$4:$J$815,N$1)</f>
        <v>0</v>
      </c>
      <c r="O37" s="207">
        <f>SUMIFS('май 2023'!$G$4:$G$815,'май 2023'!$D$4:$D$815,$B37,'май 2023'!$J$4:$J$815,O$1)</f>
        <v>40</v>
      </c>
      <c r="P37" s="207">
        <f>SUMIFS('май 2023'!$G$4:$G$815,'май 2023'!$D$4:$D$815,$B37,'май 2023'!$J$4:$J$815,P$1)</f>
        <v>0</v>
      </c>
      <c r="Q37" s="207">
        <f>SUMIFS('май 2023'!$G$4:$G$815,'май 2023'!$D$4:$D$815,$B37,'май 2023'!$J$4:$J$815,Q$1)</f>
        <v>0</v>
      </c>
      <c r="R37" s="207">
        <f>SUMIFS('май 2023'!$G$4:$G$815,'май 2023'!$D$4:$D$815,$B37,'май 2023'!$J$4:$J$815,R$1)</f>
        <v>0</v>
      </c>
      <c r="S37" s="207">
        <f>SUMIFS('май 2023'!$G$4:$G$815,'май 2023'!$D$4:$D$815,$B37,'май 2023'!$J$4:$J$815,S$1)</f>
        <v>0</v>
      </c>
      <c r="T37" s="207">
        <f>SUMIFS('май 2023'!$G$4:$G$815,'май 2023'!$D$4:$D$815,$B37,'май 2023'!$J$4:$J$815,T$1)</f>
        <v>0</v>
      </c>
      <c r="U37" s="207">
        <f>SUMIFS('май 2023'!$G$4:$G$815,'май 2023'!$D$4:$D$815,$B37,'май 2023'!$J$4:$J$815,U$1)</f>
        <v>0</v>
      </c>
      <c r="V37" s="207">
        <f>SUMIFS('май 2023'!$G$4:$G$815,'май 2023'!$D$4:$D$815,$B37,'май 2023'!$J$4:$J$815,V$1)</f>
        <v>0</v>
      </c>
      <c r="W37" s="207">
        <f>SUMIFS('май 2023'!$G$4:$G$815,'май 2023'!$D$4:$D$815,$B37,'май 2023'!$J$4:$J$815,W$1)</f>
        <v>0</v>
      </c>
      <c r="X37" s="207">
        <f>SUMIFS('май 2023'!$G$4:$G$815,'май 2023'!$D$4:$D$815,$B37,'май 2023'!$J$4:$J$815,X$1)</f>
        <v>0</v>
      </c>
      <c r="Y37" s="207">
        <f>SUMIFS('май 2023'!$G$4:$G$815,'май 2023'!$D$4:$D$815,$B37,'май 2023'!$J$4:$J$815,Y$1)</f>
        <v>0</v>
      </c>
      <c r="Z37" s="207">
        <f>SUMIFS('май 2023'!$G$4:$G$815,'май 2023'!$D$4:$D$815,$B37,'май 2023'!$J$4:$J$815,Z$1)</f>
        <v>0</v>
      </c>
      <c r="AA37" s="207">
        <f>SUMIFS('май 2023'!$G$4:$G$815,'май 2023'!$D$4:$D$815,$B37,'май 2023'!$J$4:$J$815,AA$1)</f>
        <v>0</v>
      </c>
      <c r="AB37" s="207">
        <f>SUMIFS('май 2023'!$G$4:$G$815,'май 2023'!$D$4:$D$815,$B37,'май 2023'!$J$4:$J$815,AB$1)</f>
        <v>0</v>
      </c>
      <c r="AC37" s="207">
        <f>SUMIFS('май 2023'!$G$4:$G$815,'май 2023'!$D$4:$D$815,$B37,'май 2023'!$J$4:$J$815,AC$1)</f>
        <v>0</v>
      </c>
      <c r="AD37" s="207">
        <f>SUMIFS('май 2023'!$G$4:$G$815,'май 2023'!$D$4:$D$815,$B37,'май 2023'!$J$4:$J$815,AD$1)</f>
        <v>0</v>
      </c>
      <c r="AE37" s="207">
        <f>SUMIFS('май 2023'!$G$4:$G$815,'май 2023'!$D$4:$D$815,$B37,'май 2023'!$J$4:$J$815,AE$1)</f>
        <v>0</v>
      </c>
      <c r="AF37" s="207">
        <f>SUMIFS('май 2023'!$G$4:$G$815,'май 2023'!$D$4:$D$815,$B37,'май 2023'!$J$4:$J$815,AF$1)</f>
        <v>0</v>
      </c>
      <c r="AG37" s="207">
        <f>SUMIFS('май 2023'!$G$4:$G$815,'май 2023'!$D$4:$D$815,$B37,'май 2023'!$J$4:$J$815,AG$1)</f>
        <v>0</v>
      </c>
      <c r="AH37" s="207">
        <f>SUMIFS('май 2023'!$G$4:$G$815,'май 2023'!$D$4:$D$815,$B37,'май 2023'!$J$4:$J$815,AH$1)</f>
        <v>0</v>
      </c>
      <c r="AI37" s="170">
        <f t="shared" si="1"/>
        <v>40</v>
      </c>
    </row>
    <row r="38" spans="2:35" ht="15" customHeight="1" x14ac:dyDescent="0.25">
      <c r="B38" s="212" t="s">
        <v>1600</v>
      </c>
      <c r="C38" s="211">
        <v>25</v>
      </c>
      <c r="D38" s="207">
        <f>SUMIFS('май 2023'!$G$4:$G$815,'май 2023'!$D$4:$D$815,$B38,'май 2023'!$J$4:$J$815,D$1)</f>
        <v>0</v>
      </c>
      <c r="E38" s="207">
        <f>SUMIFS('май 2023'!$G$4:$G$815,'май 2023'!$D$4:$D$815,$B38,'май 2023'!$J$4:$J$815,E$1)</f>
        <v>0</v>
      </c>
      <c r="F38" s="207">
        <f>SUMIFS('май 2023'!$G$4:$G$815,'май 2023'!$D$4:$D$815,$B38,'май 2023'!$J$4:$J$815,F$1)</f>
        <v>0</v>
      </c>
      <c r="G38" s="207">
        <f>SUMIFS('май 2023'!$G$4:$G$815,'май 2023'!$D$4:$D$815,$B38,'май 2023'!$J$4:$J$815,G$1)</f>
        <v>0</v>
      </c>
      <c r="H38" s="207">
        <f>SUMIFS('май 2023'!$G$4:$G$815,'май 2023'!$D$4:$D$815,$B38,'май 2023'!$J$4:$J$815,H$1)</f>
        <v>0</v>
      </c>
      <c r="I38" s="207">
        <f>SUMIFS('май 2023'!$G$4:$G$815,'май 2023'!$D$4:$D$815,$B38,'май 2023'!$J$4:$J$815,I$1)</f>
        <v>0</v>
      </c>
      <c r="J38" s="207">
        <f>SUMIFS('май 2023'!$G$4:$G$815,'май 2023'!$D$4:$D$815,$B38,'май 2023'!$J$4:$J$815,J$1)</f>
        <v>0</v>
      </c>
      <c r="K38" s="207">
        <f>SUMIFS('май 2023'!$G$4:$G$815,'май 2023'!$D$4:$D$815,$B38,'май 2023'!$J$4:$J$815,K$1)</f>
        <v>0</v>
      </c>
      <c r="L38" s="207">
        <f>SUMIFS('май 2023'!$G$4:$G$815,'май 2023'!$D$4:$D$815,$B38,'май 2023'!$J$4:$J$815,L$1)</f>
        <v>0</v>
      </c>
      <c r="M38" s="207">
        <f>SUMIFS('май 2023'!$G$4:$G$815,'май 2023'!$D$4:$D$815,$B38,'май 2023'!$J$4:$J$815,M$1)</f>
        <v>0</v>
      </c>
      <c r="N38" s="207">
        <f>SUMIFS('май 2023'!$G$4:$G$815,'май 2023'!$D$4:$D$815,$B38,'май 2023'!$J$4:$J$815,N$1)</f>
        <v>0</v>
      </c>
      <c r="O38" s="207">
        <f>SUMIFS('май 2023'!$G$4:$G$815,'май 2023'!$D$4:$D$815,$B38,'май 2023'!$J$4:$J$815,O$1)</f>
        <v>0</v>
      </c>
      <c r="P38" s="207">
        <f>SUMIFS('май 2023'!$G$4:$G$815,'май 2023'!$D$4:$D$815,$B38,'май 2023'!$J$4:$J$815,P$1)</f>
        <v>0</v>
      </c>
      <c r="Q38" s="207">
        <f>SUMIFS('май 2023'!$G$4:$G$815,'май 2023'!$D$4:$D$815,$B38,'май 2023'!$J$4:$J$815,Q$1)</f>
        <v>0</v>
      </c>
      <c r="R38" s="207">
        <f>SUMIFS('май 2023'!$G$4:$G$815,'май 2023'!$D$4:$D$815,$B38,'май 2023'!$J$4:$J$815,R$1)</f>
        <v>0</v>
      </c>
      <c r="S38" s="207">
        <f>SUMIFS('май 2023'!$G$4:$G$815,'май 2023'!$D$4:$D$815,$B38,'май 2023'!$J$4:$J$815,S$1)</f>
        <v>0</v>
      </c>
      <c r="T38" s="207">
        <f>SUMIFS('май 2023'!$G$4:$G$815,'май 2023'!$D$4:$D$815,$B38,'май 2023'!$J$4:$J$815,T$1)</f>
        <v>0</v>
      </c>
      <c r="U38" s="207">
        <f>SUMIFS('май 2023'!$G$4:$G$815,'май 2023'!$D$4:$D$815,$B38,'май 2023'!$J$4:$J$815,U$1)</f>
        <v>0</v>
      </c>
      <c r="V38" s="207">
        <f>SUMIFS('май 2023'!$G$4:$G$815,'май 2023'!$D$4:$D$815,$B38,'май 2023'!$J$4:$J$815,V$1)</f>
        <v>0</v>
      </c>
      <c r="W38" s="207">
        <f>SUMIFS('май 2023'!$G$4:$G$815,'май 2023'!$D$4:$D$815,$B38,'май 2023'!$J$4:$J$815,W$1)</f>
        <v>0</v>
      </c>
      <c r="X38" s="207">
        <f>SUMIFS('май 2023'!$G$4:$G$815,'май 2023'!$D$4:$D$815,$B38,'май 2023'!$J$4:$J$815,X$1)</f>
        <v>0</v>
      </c>
      <c r="Y38" s="207">
        <f>SUMIFS('май 2023'!$G$4:$G$815,'май 2023'!$D$4:$D$815,$B38,'май 2023'!$J$4:$J$815,Y$1)</f>
        <v>0</v>
      </c>
      <c r="Z38" s="207">
        <f>SUMIFS('май 2023'!$G$4:$G$815,'май 2023'!$D$4:$D$815,$B38,'май 2023'!$J$4:$J$815,Z$1)</f>
        <v>0</v>
      </c>
      <c r="AA38" s="207">
        <f>SUMIFS('май 2023'!$G$4:$G$815,'май 2023'!$D$4:$D$815,$B38,'май 2023'!$J$4:$J$815,AA$1)</f>
        <v>0</v>
      </c>
      <c r="AB38" s="207">
        <f>SUMIFS('май 2023'!$G$4:$G$815,'май 2023'!$D$4:$D$815,$B38,'май 2023'!$J$4:$J$815,AB$1)</f>
        <v>0</v>
      </c>
      <c r="AC38" s="207">
        <f>SUMIFS('май 2023'!$G$4:$G$815,'май 2023'!$D$4:$D$815,$B38,'май 2023'!$J$4:$J$815,AC$1)</f>
        <v>0</v>
      </c>
      <c r="AD38" s="207">
        <f>SUMIFS('май 2023'!$G$4:$G$815,'май 2023'!$D$4:$D$815,$B38,'май 2023'!$J$4:$J$815,AD$1)</f>
        <v>0</v>
      </c>
      <c r="AE38" s="207">
        <f>SUMIFS('май 2023'!$G$4:$G$815,'май 2023'!$D$4:$D$815,$B38,'май 2023'!$J$4:$J$815,AE$1)</f>
        <v>0</v>
      </c>
      <c r="AF38" s="207">
        <f>SUMIFS('май 2023'!$G$4:$G$815,'май 2023'!$D$4:$D$815,$B38,'май 2023'!$J$4:$J$815,AF$1)</f>
        <v>0</v>
      </c>
      <c r="AG38" s="207">
        <f>SUMIFS('май 2023'!$G$4:$G$815,'май 2023'!$D$4:$D$815,$B38,'май 2023'!$J$4:$J$815,AG$1)</f>
        <v>0</v>
      </c>
      <c r="AH38" s="207">
        <f>SUMIFS('май 2023'!$G$4:$G$815,'май 2023'!$D$4:$D$815,$B38,'май 2023'!$J$4:$J$815,AH$1)</f>
        <v>0</v>
      </c>
      <c r="AI38" s="170">
        <f t="shared" si="1"/>
        <v>0</v>
      </c>
    </row>
    <row r="39" spans="2:35" ht="15" customHeight="1" x14ac:dyDescent="0.25">
      <c r="B39" s="216" t="s">
        <v>1531</v>
      </c>
      <c r="C39" s="213">
        <v>14</v>
      </c>
      <c r="D39" s="207">
        <f>SUMIFS('май 2023'!$G$4:$G$815,'май 2023'!$D$4:$D$815,$B39,'май 2023'!$J$4:$J$815,D$1)</f>
        <v>0</v>
      </c>
      <c r="E39" s="207">
        <f>SUMIFS('май 2023'!$G$4:$G$815,'май 2023'!$D$4:$D$815,$B39,'май 2023'!$J$4:$J$815,E$1)</f>
        <v>0</v>
      </c>
      <c r="F39" s="207">
        <f>SUMIFS('май 2023'!$G$4:$G$815,'май 2023'!$D$4:$D$815,$B39,'май 2023'!$J$4:$J$815,F$1)</f>
        <v>0</v>
      </c>
      <c r="G39" s="207">
        <f>SUMIFS('май 2023'!$G$4:$G$815,'май 2023'!$D$4:$D$815,$B39,'май 2023'!$J$4:$J$815,G$1)</f>
        <v>0</v>
      </c>
      <c r="H39" s="207">
        <f>SUMIFS('май 2023'!$G$4:$G$815,'май 2023'!$D$4:$D$815,$B39,'май 2023'!$J$4:$J$815,H$1)</f>
        <v>0</v>
      </c>
      <c r="I39" s="207">
        <f>SUMIFS('май 2023'!$G$4:$G$815,'май 2023'!$D$4:$D$815,$B39,'май 2023'!$J$4:$J$815,I$1)</f>
        <v>0</v>
      </c>
      <c r="J39" s="207">
        <f>SUMIFS('май 2023'!$G$4:$G$815,'май 2023'!$D$4:$D$815,$B39,'май 2023'!$J$4:$J$815,J$1)</f>
        <v>0</v>
      </c>
      <c r="K39" s="207">
        <f>SUMIFS('май 2023'!$G$4:$G$815,'май 2023'!$D$4:$D$815,$B39,'май 2023'!$J$4:$J$815,K$1)</f>
        <v>0</v>
      </c>
      <c r="L39" s="207">
        <f>SUMIFS('май 2023'!$G$4:$G$815,'май 2023'!$D$4:$D$815,$B39,'май 2023'!$J$4:$J$815,L$1)</f>
        <v>0</v>
      </c>
      <c r="M39" s="207">
        <f>SUMIFS('май 2023'!$G$4:$G$815,'май 2023'!$D$4:$D$815,$B39,'май 2023'!$J$4:$J$815,M$1)</f>
        <v>0</v>
      </c>
      <c r="N39" s="207">
        <f>SUMIFS('май 2023'!$G$4:$G$815,'май 2023'!$D$4:$D$815,$B39,'май 2023'!$J$4:$J$815,N$1)</f>
        <v>0</v>
      </c>
      <c r="O39" s="207">
        <f>SUMIFS('май 2023'!$G$4:$G$815,'май 2023'!$D$4:$D$815,$B39,'май 2023'!$J$4:$J$815,O$1)</f>
        <v>0</v>
      </c>
      <c r="P39" s="207">
        <f>SUMIFS('май 2023'!$G$4:$G$815,'май 2023'!$D$4:$D$815,$B39,'май 2023'!$J$4:$J$815,P$1)</f>
        <v>0</v>
      </c>
      <c r="Q39" s="207">
        <f>SUMIFS('май 2023'!$G$4:$G$815,'май 2023'!$D$4:$D$815,$B39,'май 2023'!$J$4:$J$815,Q$1)</f>
        <v>0</v>
      </c>
      <c r="R39" s="207">
        <f>SUMIFS('май 2023'!$G$4:$G$815,'май 2023'!$D$4:$D$815,$B39,'май 2023'!$J$4:$J$815,R$1)</f>
        <v>0</v>
      </c>
      <c r="S39" s="207">
        <f>SUMIFS('май 2023'!$G$4:$G$815,'май 2023'!$D$4:$D$815,$B39,'май 2023'!$J$4:$J$815,S$1)</f>
        <v>0</v>
      </c>
      <c r="T39" s="207">
        <f>SUMIFS('май 2023'!$G$4:$G$815,'май 2023'!$D$4:$D$815,$B39,'май 2023'!$J$4:$J$815,T$1)</f>
        <v>0</v>
      </c>
      <c r="U39" s="207">
        <f>SUMIFS('май 2023'!$G$4:$G$815,'май 2023'!$D$4:$D$815,$B39,'май 2023'!$J$4:$J$815,U$1)</f>
        <v>0</v>
      </c>
      <c r="V39" s="207">
        <f>SUMIFS('май 2023'!$G$4:$G$815,'май 2023'!$D$4:$D$815,$B39,'май 2023'!$J$4:$J$815,V$1)</f>
        <v>0</v>
      </c>
      <c r="W39" s="207">
        <f>SUMIFS('май 2023'!$G$4:$G$815,'май 2023'!$D$4:$D$815,$B39,'май 2023'!$J$4:$J$815,W$1)</f>
        <v>0</v>
      </c>
      <c r="X39" s="207">
        <f>SUMIFS('май 2023'!$G$4:$G$815,'май 2023'!$D$4:$D$815,$B39,'май 2023'!$J$4:$J$815,X$1)</f>
        <v>0</v>
      </c>
      <c r="Y39" s="207">
        <f>SUMIFS('май 2023'!$G$4:$G$815,'май 2023'!$D$4:$D$815,$B39,'май 2023'!$J$4:$J$815,Y$1)</f>
        <v>0</v>
      </c>
      <c r="Z39" s="207">
        <f>SUMIFS('май 2023'!$G$4:$G$815,'май 2023'!$D$4:$D$815,$B39,'май 2023'!$J$4:$J$815,Z$1)</f>
        <v>0</v>
      </c>
      <c r="AA39" s="207">
        <f>SUMIFS('май 2023'!$G$4:$G$815,'май 2023'!$D$4:$D$815,$B39,'май 2023'!$J$4:$J$815,AA$1)</f>
        <v>0</v>
      </c>
      <c r="AB39" s="207">
        <f>SUMIFS('май 2023'!$G$4:$G$815,'май 2023'!$D$4:$D$815,$B39,'май 2023'!$J$4:$J$815,AB$1)</f>
        <v>0</v>
      </c>
      <c r="AC39" s="207">
        <f>SUMIFS('май 2023'!$G$4:$G$815,'май 2023'!$D$4:$D$815,$B39,'май 2023'!$J$4:$J$815,AC$1)</f>
        <v>0</v>
      </c>
      <c r="AD39" s="207">
        <f>SUMIFS('май 2023'!$G$4:$G$815,'май 2023'!$D$4:$D$815,$B39,'май 2023'!$J$4:$J$815,AD$1)</f>
        <v>0</v>
      </c>
      <c r="AE39" s="207">
        <f>SUMIFS('май 2023'!$G$4:$G$815,'май 2023'!$D$4:$D$815,$B39,'май 2023'!$J$4:$J$815,AE$1)</f>
        <v>0</v>
      </c>
      <c r="AF39" s="207">
        <f>SUMIFS('май 2023'!$G$4:$G$815,'май 2023'!$D$4:$D$815,$B39,'май 2023'!$J$4:$J$815,AF$1)</f>
        <v>0</v>
      </c>
      <c r="AG39" s="207">
        <f>SUMIFS('май 2023'!$G$4:$G$815,'май 2023'!$D$4:$D$815,$B39,'май 2023'!$J$4:$J$815,AG$1)</f>
        <v>0</v>
      </c>
      <c r="AH39" s="207">
        <f>SUMIFS('май 2023'!$G$4:$G$815,'май 2023'!$D$4:$D$815,$B39,'май 2023'!$J$4:$J$815,AH$1)</f>
        <v>0</v>
      </c>
      <c r="AI39" s="170">
        <f t="shared" si="1"/>
        <v>0</v>
      </c>
    </row>
    <row r="40" spans="2:35" ht="15" customHeight="1" x14ac:dyDescent="0.25">
      <c r="B40" s="212" t="s">
        <v>680</v>
      </c>
      <c r="C40" s="215">
        <v>200</v>
      </c>
      <c r="D40" s="207">
        <f>SUMIFS('май 2023'!$G$4:$G$815,'май 2023'!$D$4:$D$815,$B40,'май 2023'!$J$4:$J$815,D$1)</f>
        <v>0</v>
      </c>
      <c r="E40" s="207">
        <f>SUMIFS('май 2023'!$G$4:$G$815,'май 2023'!$D$4:$D$815,$B40,'май 2023'!$J$4:$J$815,E$1)</f>
        <v>0</v>
      </c>
      <c r="F40" s="207">
        <f>SUMIFS('май 2023'!$G$4:$G$815,'май 2023'!$D$4:$D$815,$B40,'май 2023'!$J$4:$J$815,F$1)</f>
        <v>0</v>
      </c>
      <c r="G40" s="207">
        <f>SUMIFS('май 2023'!$G$4:$G$815,'май 2023'!$D$4:$D$815,$B40,'май 2023'!$J$4:$J$815,G$1)</f>
        <v>0</v>
      </c>
      <c r="H40" s="207">
        <f>SUMIFS('май 2023'!$G$4:$G$815,'май 2023'!$D$4:$D$815,$B40,'май 2023'!$J$4:$J$815,H$1)</f>
        <v>0</v>
      </c>
      <c r="I40" s="207">
        <f>SUMIFS('май 2023'!$G$4:$G$815,'май 2023'!$D$4:$D$815,$B40,'май 2023'!$J$4:$J$815,I$1)</f>
        <v>0</v>
      </c>
      <c r="J40" s="207">
        <f>SUMIFS('май 2023'!$G$4:$G$815,'май 2023'!$D$4:$D$815,$B40,'май 2023'!$J$4:$J$815,J$1)</f>
        <v>0</v>
      </c>
      <c r="K40" s="207">
        <f>SUMIFS('май 2023'!$G$4:$G$815,'май 2023'!$D$4:$D$815,$B40,'май 2023'!$J$4:$J$815,K$1)</f>
        <v>0</v>
      </c>
      <c r="L40" s="207">
        <f>SUMIFS('май 2023'!$G$4:$G$815,'май 2023'!$D$4:$D$815,$B40,'май 2023'!$J$4:$J$815,L$1)</f>
        <v>0</v>
      </c>
      <c r="M40" s="207">
        <f>SUMIFS('май 2023'!$G$4:$G$815,'май 2023'!$D$4:$D$815,$B40,'май 2023'!$J$4:$J$815,M$1)</f>
        <v>47</v>
      </c>
      <c r="N40" s="207">
        <f>SUMIFS('май 2023'!$G$4:$G$815,'май 2023'!$D$4:$D$815,$B40,'май 2023'!$J$4:$J$815,N$1)</f>
        <v>0</v>
      </c>
      <c r="O40" s="207">
        <f>SUMIFS('май 2023'!$G$4:$G$815,'май 2023'!$D$4:$D$815,$B40,'май 2023'!$J$4:$J$815,O$1)</f>
        <v>0</v>
      </c>
      <c r="P40" s="207">
        <f>SUMIFS('май 2023'!$G$4:$G$815,'май 2023'!$D$4:$D$815,$B40,'май 2023'!$J$4:$J$815,P$1)</f>
        <v>0</v>
      </c>
      <c r="Q40" s="207">
        <f>SUMIFS('май 2023'!$G$4:$G$815,'май 2023'!$D$4:$D$815,$B40,'май 2023'!$J$4:$J$815,Q$1)</f>
        <v>0</v>
      </c>
      <c r="R40" s="207">
        <f>SUMIFS('май 2023'!$G$4:$G$815,'май 2023'!$D$4:$D$815,$B40,'май 2023'!$J$4:$J$815,R$1)</f>
        <v>0</v>
      </c>
      <c r="S40" s="207">
        <f>SUMIFS('май 2023'!$G$4:$G$815,'май 2023'!$D$4:$D$815,$B40,'май 2023'!$J$4:$J$815,S$1)</f>
        <v>0</v>
      </c>
      <c r="T40" s="207">
        <f>SUMIFS('май 2023'!$G$4:$G$815,'май 2023'!$D$4:$D$815,$B40,'май 2023'!$J$4:$J$815,T$1)</f>
        <v>0</v>
      </c>
      <c r="U40" s="207">
        <f>SUMIFS('май 2023'!$G$4:$G$815,'май 2023'!$D$4:$D$815,$B40,'май 2023'!$J$4:$J$815,U$1)</f>
        <v>0</v>
      </c>
      <c r="V40" s="207">
        <f>SUMIFS('май 2023'!$G$4:$G$815,'май 2023'!$D$4:$D$815,$B40,'май 2023'!$J$4:$J$815,V$1)</f>
        <v>0</v>
      </c>
      <c r="W40" s="207">
        <f>SUMIFS('май 2023'!$G$4:$G$815,'май 2023'!$D$4:$D$815,$B40,'май 2023'!$J$4:$J$815,W$1)</f>
        <v>0</v>
      </c>
      <c r="X40" s="207">
        <f>SUMIFS('май 2023'!$G$4:$G$815,'май 2023'!$D$4:$D$815,$B40,'май 2023'!$J$4:$J$815,X$1)</f>
        <v>0</v>
      </c>
      <c r="Y40" s="207">
        <f>SUMIFS('май 2023'!$G$4:$G$815,'май 2023'!$D$4:$D$815,$B40,'май 2023'!$J$4:$J$815,Y$1)</f>
        <v>0</v>
      </c>
      <c r="Z40" s="207">
        <f>SUMIFS('май 2023'!$G$4:$G$815,'май 2023'!$D$4:$D$815,$B40,'май 2023'!$J$4:$J$815,Z$1)</f>
        <v>0</v>
      </c>
      <c r="AA40" s="207">
        <f>SUMIFS('май 2023'!$G$4:$G$815,'май 2023'!$D$4:$D$815,$B40,'май 2023'!$J$4:$J$815,AA$1)</f>
        <v>0</v>
      </c>
      <c r="AB40" s="207">
        <f>SUMIFS('май 2023'!$G$4:$G$815,'май 2023'!$D$4:$D$815,$B40,'май 2023'!$J$4:$J$815,AB$1)</f>
        <v>0</v>
      </c>
      <c r="AC40" s="207">
        <f>SUMIFS('май 2023'!$G$4:$G$815,'май 2023'!$D$4:$D$815,$B40,'май 2023'!$J$4:$J$815,AC$1)</f>
        <v>0</v>
      </c>
      <c r="AD40" s="207">
        <f>SUMIFS('май 2023'!$G$4:$G$815,'май 2023'!$D$4:$D$815,$B40,'май 2023'!$J$4:$J$815,AD$1)</f>
        <v>0</v>
      </c>
      <c r="AE40" s="207">
        <f>SUMIFS('май 2023'!$G$4:$G$815,'май 2023'!$D$4:$D$815,$B40,'май 2023'!$J$4:$J$815,AE$1)</f>
        <v>0</v>
      </c>
      <c r="AF40" s="207">
        <f>SUMIFS('май 2023'!$G$4:$G$815,'май 2023'!$D$4:$D$815,$B40,'май 2023'!$J$4:$J$815,AF$1)</f>
        <v>0</v>
      </c>
      <c r="AG40" s="207">
        <f>SUMIFS('май 2023'!$G$4:$G$815,'май 2023'!$D$4:$D$815,$B40,'май 2023'!$J$4:$J$815,AG$1)</f>
        <v>0</v>
      </c>
      <c r="AH40" s="207">
        <f>SUMIFS('май 2023'!$G$4:$G$815,'май 2023'!$D$4:$D$815,$B40,'май 2023'!$J$4:$J$815,AH$1)</f>
        <v>0</v>
      </c>
      <c r="AI40" s="170">
        <f t="shared" si="1"/>
        <v>47</v>
      </c>
    </row>
    <row r="41" spans="2:35" ht="15" customHeight="1" x14ac:dyDescent="0.25">
      <c r="B41" s="216" t="s">
        <v>2125</v>
      </c>
      <c r="C41" s="213">
        <v>25</v>
      </c>
      <c r="D41" s="207">
        <f>SUMIFS('май 2023'!$G$4:$G$815,'май 2023'!$D$4:$D$815,$B41,'май 2023'!$J$4:$J$815,D$1)</f>
        <v>0</v>
      </c>
      <c r="E41" s="207">
        <f>SUMIFS('май 2023'!$G$4:$G$815,'май 2023'!$D$4:$D$815,$B41,'май 2023'!$J$4:$J$815,E$1)</f>
        <v>0</v>
      </c>
      <c r="F41" s="207">
        <f>SUMIFS('май 2023'!$G$4:$G$815,'май 2023'!$D$4:$D$815,$B41,'май 2023'!$J$4:$J$815,F$1)</f>
        <v>0</v>
      </c>
      <c r="G41" s="207">
        <f>SUMIFS('май 2023'!$G$4:$G$815,'май 2023'!$D$4:$D$815,$B41,'май 2023'!$J$4:$J$815,G$1)</f>
        <v>0</v>
      </c>
      <c r="H41" s="207">
        <f>SUMIFS('май 2023'!$G$4:$G$815,'май 2023'!$D$4:$D$815,$B41,'май 2023'!$J$4:$J$815,H$1)</f>
        <v>0</v>
      </c>
      <c r="I41" s="207">
        <f>SUMIFS('май 2023'!$G$4:$G$815,'май 2023'!$D$4:$D$815,$B41,'май 2023'!$J$4:$J$815,I$1)</f>
        <v>0</v>
      </c>
      <c r="J41" s="207">
        <f>SUMIFS('май 2023'!$G$4:$G$815,'май 2023'!$D$4:$D$815,$B41,'май 2023'!$J$4:$J$815,J$1)</f>
        <v>0</v>
      </c>
      <c r="K41" s="207">
        <f>SUMIFS('май 2023'!$G$4:$G$815,'май 2023'!$D$4:$D$815,$B41,'май 2023'!$J$4:$J$815,K$1)</f>
        <v>0</v>
      </c>
      <c r="L41" s="207">
        <f>SUMIFS('май 2023'!$G$4:$G$815,'май 2023'!$D$4:$D$815,$B41,'май 2023'!$J$4:$J$815,L$1)</f>
        <v>0</v>
      </c>
      <c r="M41" s="207">
        <f>SUMIFS('май 2023'!$G$4:$G$815,'май 2023'!$D$4:$D$815,$B41,'май 2023'!$J$4:$J$815,M$1)</f>
        <v>0</v>
      </c>
      <c r="N41" s="207">
        <f>SUMIFS('май 2023'!$G$4:$G$815,'май 2023'!$D$4:$D$815,$B41,'май 2023'!$J$4:$J$815,N$1)</f>
        <v>0</v>
      </c>
      <c r="O41" s="207">
        <f>SUMIFS('май 2023'!$G$4:$G$815,'май 2023'!$D$4:$D$815,$B41,'май 2023'!$J$4:$J$815,O$1)</f>
        <v>0</v>
      </c>
      <c r="P41" s="207">
        <f>SUMIFS('май 2023'!$G$4:$G$815,'май 2023'!$D$4:$D$815,$B41,'май 2023'!$J$4:$J$815,P$1)</f>
        <v>0</v>
      </c>
      <c r="Q41" s="207">
        <f>SUMIFS('май 2023'!$G$4:$G$815,'май 2023'!$D$4:$D$815,$B41,'май 2023'!$J$4:$J$815,Q$1)</f>
        <v>0</v>
      </c>
      <c r="R41" s="207">
        <f>SUMIFS('май 2023'!$G$4:$G$815,'май 2023'!$D$4:$D$815,$B41,'май 2023'!$J$4:$J$815,R$1)</f>
        <v>0</v>
      </c>
      <c r="S41" s="207">
        <f>SUMIFS('май 2023'!$G$4:$G$815,'май 2023'!$D$4:$D$815,$B41,'май 2023'!$J$4:$J$815,S$1)</f>
        <v>0</v>
      </c>
      <c r="T41" s="207">
        <f>SUMIFS('май 2023'!$G$4:$G$815,'май 2023'!$D$4:$D$815,$B41,'май 2023'!$J$4:$J$815,T$1)</f>
        <v>0</v>
      </c>
      <c r="U41" s="207">
        <f>SUMIFS('май 2023'!$G$4:$G$815,'май 2023'!$D$4:$D$815,$B41,'май 2023'!$J$4:$J$815,U$1)</f>
        <v>0</v>
      </c>
      <c r="V41" s="207">
        <f>SUMIFS('май 2023'!$G$4:$G$815,'май 2023'!$D$4:$D$815,$B41,'май 2023'!$J$4:$J$815,V$1)</f>
        <v>0</v>
      </c>
      <c r="W41" s="207">
        <f>SUMIFS('май 2023'!$G$4:$G$815,'май 2023'!$D$4:$D$815,$B41,'май 2023'!$J$4:$J$815,W$1)</f>
        <v>0</v>
      </c>
      <c r="X41" s="207">
        <f>SUMIFS('май 2023'!$G$4:$G$815,'май 2023'!$D$4:$D$815,$B41,'май 2023'!$J$4:$J$815,X$1)</f>
        <v>0</v>
      </c>
      <c r="Y41" s="207">
        <f>SUMIFS('май 2023'!$G$4:$G$815,'май 2023'!$D$4:$D$815,$B41,'май 2023'!$J$4:$J$815,Y$1)</f>
        <v>0</v>
      </c>
      <c r="Z41" s="207">
        <f>SUMIFS('май 2023'!$G$4:$G$815,'май 2023'!$D$4:$D$815,$B41,'май 2023'!$J$4:$J$815,Z$1)</f>
        <v>0</v>
      </c>
      <c r="AA41" s="207">
        <f>SUMIFS('май 2023'!$G$4:$G$815,'май 2023'!$D$4:$D$815,$B41,'май 2023'!$J$4:$J$815,AA$1)</f>
        <v>0</v>
      </c>
      <c r="AB41" s="207">
        <f>SUMIFS('май 2023'!$G$4:$G$815,'май 2023'!$D$4:$D$815,$B41,'май 2023'!$J$4:$J$815,AB$1)</f>
        <v>0</v>
      </c>
      <c r="AC41" s="207">
        <f>SUMIFS('май 2023'!$G$4:$G$815,'май 2023'!$D$4:$D$815,$B41,'май 2023'!$J$4:$J$815,AC$1)</f>
        <v>0</v>
      </c>
      <c r="AD41" s="207">
        <f>SUMIFS('май 2023'!$G$4:$G$815,'май 2023'!$D$4:$D$815,$B41,'май 2023'!$J$4:$J$815,AD$1)</f>
        <v>0</v>
      </c>
      <c r="AE41" s="207">
        <f>SUMIFS('май 2023'!$G$4:$G$815,'май 2023'!$D$4:$D$815,$B41,'май 2023'!$J$4:$J$815,AE$1)</f>
        <v>0</v>
      </c>
      <c r="AF41" s="207">
        <f>SUMIFS('май 2023'!$G$4:$G$815,'май 2023'!$D$4:$D$815,$B41,'май 2023'!$J$4:$J$815,AF$1)</f>
        <v>0</v>
      </c>
      <c r="AG41" s="207">
        <f>SUMIFS('май 2023'!$G$4:$G$815,'май 2023'!$D$4:$D$815,$B41,'май 2023'!$J$4:$J$815,AG$1)</f>
        <v>0</v>
      </c>
      <c r="AH41" s="207">
        <f>SUMIFS('май 2023'!$G$4:$G$815,'май 2023'!$D$4:$D$815,$B41,'май 2023'!$J$4:$J$815,AH$1)</f>
        <v>0</v>
      </c>
      <c r="AI41" s="170">
        <f t="shared" si="1"/>
        <v>0</v>
      </c>
    </row>
    <row r="42" spans="2:35" ht="15" customHeight="1" x14ac:dyDescent="0.25">
      <c r="B42" s="216" t="s">
        <v>98</v>
      </c>
      <c r="C42" s="213">
        <v>25</v>
      </c>
      <c r="D42" s="207">
        <f>SUMIFS('май 2023'!$G$4:$G$815,'май 2023'!$D$4:$D$815,$B42,'май 2023'!$J$4:$J$815,D$1)</f>
        <v>0</v>
      </c>
      <c r="E42" s="207">
        <f>SUMIFS('май 2023'!$G$4:$G$815,'май 2023'!$D$4:$D$815,$B42,'май 2023'!$J$4:$J$815,E$1)</f>
        <v>0</v>
      </c>
      <c r="F42" s="207">
        <f>SUMIFS('май 2023'!$G$4:$G$815,'май 2023'!$D$4:$D$815,$B42,'май 2023'!$J$4:$J$815,F$1)</f>
        <v>0</v>
      </c>
      <c r="G42" s="207">
        <f>SUMIFS('май 2023'!$G$4:$G$815,'май 2023'!$D$4:$D$815,$B42,'май 2023'!$J$4:$J$815,G$1)</f>
        <v>0</v>
      </c>
      <c r="H42" s="207">
        <f>SUMIFS('май 2023'!$G$4:$G$815,'май 2023'!$D$4:$D$815,$B42,'май 2023'!$J$4:$J$815,H$1)</f>
        <v>0</v>
      </c>
      <c r="I42" s="207">
        <f>SUMIFS('май 2023'!$G$4:$G$815,'май 2023'!$D$4:$D$815,$B42,'май 2023'!$J$4:$J$815,I$1)</f>
        <v>0</v>
      </c>
      <c r="J42" s="207">
        <f>SUMIFS('май 2023'!$G$4:$G$815,'май 2023'!$D$4:$D$815,$B42,'май 2023'!$J$4:$J$815,J$1)</f>
        <v>0</v>
      </c>
      <c r="K42" s="207">
        <f>SUMIFS('май 2023'!$G$4:$G$815,'май 2023'!$D$4:$D$815,$B42,'май 2023'!$J$4:$J$815,K$1)</f>
        <v>0</v>
      </c>
      <c r="L42" s="207">
        <f>SUMIFS('май 2023'!$G$4:$G$815,'май 2023'!$D$4:$D$815,$B42,'май 2023'!$J$4:$J$815,L$1)</f>
        <v>0</v>
      </c>
      <c r="M42" s="207">
        <f>SUMIFS('май 2023'!$G$4:$G$815,'май 2023'!$D$4:$D$815,$B42,'май 2023'!$J$4:$J$815,M$1)</f>
        <v>0</v>
      </c>
      <c r="N42" s="207">
        <f>SUMIFS('май 2023'!$G$4:$G$815,'май 2023'!$D$4:$D$815,$B42,'май 2023'!$J$4:$J$815,N$1)</f>
        <v>0</v>
      </c>
      <c r="O42" s="207">
        <f>SUMIFS('май 2023'!$G$4:$G$815,'май 2023'!$D$4:$D$815,$B42,'май 2023'!$J$4:$J$815,O$1)</f>
        <v>0</v>
      </c>
      <c r="P42" s="207">
        <f>SUMIFS('май 2023'!$G$4:$G$815,'май 2023'!$D$4:$D$815,$B42,'май 2023'!$J$4:$J$815,P$1)</f>
        <v>0</v>
      </c>
      <c r="Q42" s="207">
        <f>SUMIFS('май 2023'!$G$4:$G$815,'май 2023'!$D$4:$D$815,$B42,'май 2023'!$J$4:$J$815,Q$1)</f>
        <v>0</v>
      </c>
      <c r="R42" s="207">
        <f>SUMIFS('май 2023'!$G$4:$G$815,'май 2023'!$D$4:$D$815,$B42,'май 2023'!$J$4:$J$815,R$1)</f>
        <v>0</v>
      </c>
      <c r="S42" s="207">
        <f>SUMIFS('май 2023'!$G$4:$G$815,'май 2023'!$D$4:$D$815,$B42,'май 2023'!$J$4:$J$815,S$1)</f>
        <v>0</v>
      </c>
      <c r="T42" s="207">
        <f>SUMIFS('май 2023'!$G$4:$G$815,'май 2023'!$D$4:$D$815,$B42,'май 2023'!$J$4:$J$815,T$1)</f>
        <v>0</v>
      </c>
      <c r="U42" s="207">
        <f>SUMIFS('май 2023'!$G$4:$G$815,'май 2023'!$D$4:$D$815,$B42,'май 2023'!$J$4:$J$815,U$1)</f>
        <v>0</v>
      </c>
      <c r="V42" s="207">
        <f>SUMIFS('май 2023'!$G$4:$G$815,'май 2023'!$D$4:$D$815,$B42,'май 2023'!$J$4:$J$815,V$1)</f>
        <v>0</v>
      </c>
      <c r="W42" s="207">
        <f>SUMIFS('май 2023'!$G$4:$G$815,'май 2023'!$D$4:$D$815,$B42,'май 2023'!$J$4:$J$815,W$1)</f>
        <v>0</v>
      </c>
      <c r="X42" s="207">
        <f>SUMIFS('май 2023'!$G$4:$G$815,'май 2023'!$D$4:$D$815,$B42,'май 2023'!$J$4:$J$815,X$1)</f>
        <v>0</v>
      </c>
      <c r="Y42" s="207">
        <f>SUMIFS('май 2023'!$G$4:$G$815,'май 2023'!$D$4:$D$815,$B42,'май 2023'!$J$4:$J$815,Y$1)</f>
        <v>0</v>
      </c>
      <c r="Z42" s="207">
        <f>SUMIFS('май 2023'!$G$4:$G$815,'май 2023'!$D$4:$D$815,$B42,'май 2023'!$J$4:$J$815,Z$1)</f>
        <v>0</v>
      </c>
      <c r="AA42" s="207">
        <f>SUMIFS('май 2023'!$G$4:$G$815,'май 2023'!$D$4:$D$815,$B42,'май 2023'!$J$4:$J$815,AA$1)</f>
        <v>0</v>
      </c>
      <c r="AB42" s="207">
        <f>SUMIFS('май 2023'!$G$4:$G$815,'май 2023'!$D$4:$D$815,$B42,'май 2023'!$J$4:$J$815,AB$1)</f>
        <v>0</v>
      </c>
      <c r="AC42" s="207">
        <f>SUMIFS('май 2023'!$G$4:$G$815,'май 2023'!$D$4:$D$815,$B42,'май 2023'!$J$4:$J$815,AC$1)</f>
        <v>0</v>
      </c>
      <c r="AD42" s="207">
        <f>SUMIFS('май 2023'!$G$4:$G$815,'май 2023'!$D$4:$D$815,$B42,'май 2023'!$J$4:$J$815,AD$1)</f>
        <v>0</v>
      </c>
      <c r="AE42" s="207">
        <f>SUMIFS('май 2023'!$G$4:$G$815,'май 2023'!$D$4:$D$815,$B42,'май 2023'!$J$4:$J$815,AE$1)</f>
        <v>0</v>
      </c>
      <c r="AF42" s="207">
        <f>SUMIFS('май 2023'!$G$4:$G$815,'май 2023'!$D$4:$D$815,$B42,'май 2023'!$J$4:$J$815,AF$1)</f>
        <v>0</v>
      </c>
      <c r="AG42" s="207">
        <f>SUMIFS('май 2023'!$G$4:$G$815,'май 2023'!$D$4:$D$815,$B42,'май 2023'!$J$4:$J$815,AG$1)</f>
        <v>0</v>
      </c>
      <c r="AH42" s="207">
        <f>SUMIFS('май 2023'!$G$4:$G$815,'май 2023'!$D$4:$D$815,$B42,'май 2023'!$J$4:$J$815,AH$1)</f>
        <v>0</v>
      </c>
      <c r="AI42" s="170">
        <f t="shared" si="1"/>
        <v>0</v>
      </c>
    </row>
    <row r="43" spans="2:35" ht="15" customHeight="1" x14ac:dyDescent="0.25">
      <c r="B43" s="216" t="s">
        <v>684</v>
      </c>
      <c r="C43" s="213">
        <v>20</v>
      </c>
      <c r="D43" s="207">
        <f>SUMIFS('май 2023'!$G$4:$G$815,'май 2023'!$D$4:$D$815,$B43,'май 2023'!$J$4:$J$815,D$1)</f>
        <v>0</v>
      </c>
      <c r="E43" s="207">
        <f>SUMIFS('май 2023'!$G$4:$G$815,'май 2023'!$D$4:$D$815,$B43,'май 2023'!$J$4:$J$815,E$1)</f>
        <v>0</v>
      </c>
      <c r="F43" s="207">
        <f>SUMIFS('май 2023'!$G$4:$G$815,'май 2023'!$D$4:$D$815,$B43,'май 2023'!$J$4:$J$815,F$1)</f>
        <v>0</v>
      </c>
      <c r="G43" s="207">
        <f>SUMIFS('май 2023'!$G$4:$G$815,'май 2023'!$D$4:$D$815,$B43,'май 2023'!$J$4:$J$815,G$1)</f>
        <v>0</v>
      </c>
      <c r="H43" s="207">
        <f>SUMIFS('май 2023'!$G$4:$G$815,'май 2023'!$D$4:$D$815,$B43,'май 2023'!$J$4:$J$815,H$1)</f>
        <v>0</v>
      </c>
      <c r="I43" s="207">
        <f>SUMIFS('май 2023'!$G$4:$G$815,'май 2023'!$D$4:$D$815,$B43,'май 2023'!$J$4:$J$815,I$1)</f>
        <v>0</v>
      </c>
      <c r="J43" s="207">
        <f>SUMIFS('май 2023'!$G$4:$G$815,'май 2023'!$D$4:$D$815,$B43,'май 2023'!$J$4:$J$815,J$1)</f>
        <v>0</v>
      </c>
      <c r="K43" s="207">
        <f>SUMIFS('май 2023'!$G$4:$G$815,'май 2023'!$D$4:$D$815,$B43,'май 2023'!$J$4:$J$815,K$1)</f>
        <v>0</v>
      </c>
      <c r="L43" s="207">
        <f>SUMIFS('май 2023'!$G$4:$G$815,'май 2023'!$D$4:$D$815,$B43,'май 2023'!$J$4:$J$815,L$1)</f>
        <v>0</v>
      </c>
      <c r="M43" s="207">
        <f>SUMIFS('май 2023'!$G$4:$G$815,'май 2023'!$D$4:$D$815,$B43,'май 2023'!$J$4:$J$815,M$1)</f>
        <v>0</v>
      </c>
      <c r="N43" s="207">
        <f>SUMIFS('май 2023'!$G$4:$G$815,'май 2023'!$D$4:$D$815,$B43,'май 2023'!$J$4:$J$815,N$1)</f>
        <v>0</v>
      </c>
      <c r="O43" s="207">
        <f>SUMIFS('май 2023'!$G$4:$G$815,'май 2023'!$D$4:$D$815,$B43,'май 2023'!$J$4:$J$815,O$1)</f>
        <v>0</v>
      </c>
      <c r="P43" s="207">
        <f>SUMIFS('май 2023'!$G$4:$G$815,'май 2023'!$D$4:$D$815,$B43,'май 2023'!$J$4:$J$815,P$1)</f>
        <v>0</v>
      </c>
      <c r="Q43" s="207">
        <f>SUMIFS('май 2023'!$G$4:$G$815,'май 2023'!$D$4:$D$815,$B43,'май 2023'!$J$4:$J$815,Q$1)</f>
        <v>0</v>
      </c>
      <c r="R43" s="207">
        <f>SUMIFS('май 2023'!$G$4:$G$815,'май 2023'!$D$4:$D$815,$B43,'май 2023'!$J$4:$J$815,R$1)</f>
        <v>0</v>
      </c>
      <c r="S43" s="207">
        <f>SUMIFS('май 2023'!$G$4:$G$815,'май 2023'!$D$4:$D$815,$B43,'май 2023'!$J$4:$J$815,S$1)</f>
        <v>0</v>
      </c>
      <c r="T43" s="207">
        <f>SUMIFS('май 2023'!$G$4:$G$815,'май 2023'!$D$4:$D$815,$B43,'май 2023'!$J$4:$J$815,T$1)</f>
        <v>0</v>
      </c>
      <c r="U43" s="207">
        <f>SUMIFS('май 2023'!$G$4:$G$815,'май 2023'!$D$4:$D$815,$B43,'май 2023'!$J$4:$J$815,U$1)</f>
        <v>0</v>
      </c>
      <c r="V43" s="207">
        <f>SUMIFS('май 2023'!$G$4:$G$815,'май 2023'!$D$4:$D$815,$B43,'май 2023'!$J$4:$J$815,V$1)</f>
        <v>0</v>
      </c>
      <c r="W43" s="207">
        <f>SUMIFS('май 2023'!$G$4:$G$815,'май 2023'!$D$4:$D$815,$B43,'май 2023'!$J$4:$J$815,W$1)</f>
        <v>0</v>
      </c>
      <c r="X43" s="207">
        <f>SUMIFS('май 2023'!$G$4:$G$815,'май 2023'!$D$4:$D$815,$B43,'май 2023'!$J$4:$J$815,X$1)</f>
        <v>0</v>
      </c>
      <c r="Y43" s="207">
        <f>SUMIFS('май 2023'!$G$4:$G$815,'май 2023'!$D$4:$D$815,$B43,'май 2023'!$J$4:$J$815,Y$1)</f>
        <v>0</v>
      </c>
      <c r="Z43" s="207">
        <f>SUMIFS('май 2023'!$G$4:$G$815,'май 2023'!$D$4:$D$815,$B43,'май 2023'!$J$4:$J$815,Z$1)</f>
        <v>0</v>
      </c>
      <c r="AA43" s="207">
        <f>SUMIFS('май 2023'!$G$4:$G$815,'май 2023'!$D$4:$D$815,$B43,'май 2023'!$J$4:$J$815,AA$1)</f>
        <v>0</v>
      </c>
      <c r="AB43" s="207">
        <f>SUMIFS('май 2023'!$G$4:$G$815,'май 2023'!$D$4:$D$815,$B43,'май 2023'!$J$4:$J$815,AB$1)</f>
        <v>0</v>
      </c>
      <c r="AC43" s="207">
        <f>SUMIFS('май 2023'!$G$4:$G$815,'май 2023'!$D$4:$D$815,$B43,'май 2023'!$J$4:$J$815,AC$1)</f>
        <v>0</v>
      </c>
      <c r="AD43" s="207">
        <f>SUMIFS('май 2023'!$G$4:$G$815,'май 2023'!$D$4:$D$815,$B43,'май 2023'!$J$4:$J$815,AD$1)</f>
        <v>0</v>
      </c>
      <c r="AE43" s="207">
        <f>SUMIFS('май 2023'!$G$4:$G$815,'май 2023'!$D$4:$D$815,$B43,'май 2023'!$J$4:$J$815,AE$1)</f>
        <v>0</v>
      </c>
      <c r="AF43" s="207">
        <f>SUMIFS('май 2023'!$G$4:$G$815,'май 2023'!$D$4:$D$815,$B43,'май 2023'!$J$4:$J$815,AF$1)</f>
        <v>0</v>
      </c>
      <c r="AG43" s="207">
        <f>SUMIFS('май 2023'!$G$4:$G$815,'май 2023'!$D$4:$D$815,$B43,'май 2023'!$J$4:$J$815,AG$1)</f>
        <v>0</v>
      </c>
      <c r="AH43" s="207">
        <f>SUMIFS('май 2023'!$G$4:$G$815,'май 2023'!$D$4:$D$815,$B43,'май 2023'!$J$4:$J$815,AH$1)</f>
        <v>0</v>
      </c>
      <c r="AI43" s="170">
        <f t="shared" si="1"/>
        <v>0</v>
      </c>
    </row>
    <row r="44" spans="2:35" ht="15" customHeight="1" x14ac:dyDescent="0.25">
      <c r="B44" s="212" t="s">
        <v>1062</v>
      </c>
      <c r="C44" s="215">
        <v>20</v>
      </c>
      <c r="D44" s="207">
        <f>SUMIFS('май 2023'!$G$4:$G$815,'май 2023'!$D$4:$D$815,$B44,'май 2023'!$J$4:$J$815,D$1)</f>
        <v>0</v>
      </c>
      <c r="E44" s="207">
        <f>SUMIFS('май 2023'!$G$4:$G$815,'май 2023'!$D$4:$D$815,$B44,'май 2023'!$J$4:$J$815,E$1)</f>
        <v>0</v>
      </c>
      <c r="F44" s="207">
        <f>SUMIFS('май 2023'!$G$4:$G$815,'май 2023'!$D$4:$D$815,$B44,'май 2023'!$J$4:$J$815,F$1)</f>
        <v>0</v>
      </c>
      <c r="G44" s="207">
        <f>SUMIFS('май 2023'!$G$4:$G$815,'май 2023'!$D$4:$D$815,$B44,'май 2023'!$J$4:$J$815,G$1)</f>
        <v>0</v>
      </c>
      <c r="H44" s="207">
        <f>SUMIFS('май 2023'!$G$4:$G$815,'май 2023'!$D$4:$D$815,$B44,'май 2023'!$J$4:$J$815,H$1)</f>
        <v>0</v>
      </c>
      <c r="I44" s="207">
        <f>SUMIFS('май 2023'!$G$4:$G$815,'май 2023'!$D$4:$D$815,$B44,'май 2023'!$J$4:$J$815,I$1)</f>
        <v>0</v>
      </c>
      <c r="J44" s="207">
        <f>SUMIFS('май 2023'!$G$4:$G$815,'май 2023'!$D$4:$D$815,$B44,'май 2023'!$J$4:$J$815,J$1)</f>
        <v>0</v>
      </c>
      <c r="K44" s="207">
        <f>SUMIFS('май 2023'!$G$4:$G$815,'май 2023'!$D$4:$D$815,$B44,'май 2023'!$J$4:$J$815,K$1)</f>
        <v>0</v>
      </c>
      <c r="L44" s="207">
        <f>SUMIFS('май 2023'!$G$4:$G$815,'май 2023'!$D$4:$D$815,$B44,'май 2023'!$J$4:$J$815,L$1)</f>
        <v>0</v>
      </c>
      <c r="M44" s="207">
        <f>SUMIFS('май 2023'!$G$4:$G$815,'май 2023'!$D$4:$D$815,$B44,'май 2023'!$J$4:$J$815,M$1)</f>
        <v>0</v>
      </c>
      <c r="N44" s="207">
        <f>SUMIFS('май 2023'!$G$4:$G$815,'май 2023'!$D$4:$D$815,$B44,'май 2023'!$J$4:$J$815,N$1)</f>
        <v>0</v>
      </c>
      <c r="O44" s="207">
        <f>SUMIFS('май 2023'!$G$4:$G$815,'май 2023'!$D$4:$D$815,$B44,'май 2023'!$J$4:$J$815,O$1)</f>
        <v>0</v>
      </c>
      <c r="P44" s="207">
        <f>SUMIFS('май 2023'!$G$4:$G$815,'май 2023'!$D$4:$D$815,$B44,'май 2023'!$J$4:$J$815,P$1)</f>
        <v>0</v>
      </c>
      <c r="Q44" s="207">
        <f>SUMIFS('май 2023'!$G$4:$G$815,'май 2023'!$D$4:$D$815,$B44,'май 2023'!$J$4:$J$815,Q$1)</f>
        <v>0</v>
      </c>
      <c r="R44" s="207">
        <f>SUMIFS('май 2023'!$G$4:$G$815,'май 2023'!$D$4:$D$815,$B44,'май 2023'!$J$4:$J$815,R$1)</f>
        <v>0</v>
      </c>
      <c r="S44" s="207">
        <f>SUMIFS('май 2023'!$G$4:$G$815,'май 2023'!$D$4:$D$815,$B44,'май 2023'!$J$4:$J$815,S$1)</f>
        <v>0</v>
      </c>
      <c r="T44" s="207">
        <f>SUMIFS('май 2023'!$G$4:$G$815,'май 2023'!$D$4:$D$815,$B44,'май 2023'!$J$4:$J$815,T$1)</f>
        <v>0</v>
      </c>
      <c r="U44" s="207">
        <f>SUMIFS('май 2023'!$G$4:$G$815,'май 2023'!$D$4:$D$815,$B44,'май 2023'!$J$4:$J$815,U$1)</f>
        <v>0</v>
      </c>
      <c r="V44" s="207">
        <f>SUMIFS('май 2023'!$G$4:$G$815,'май 2023'!$D$4:$D$815,$B44,'май 2023'!$J$4:$J$815,V$1)</f>
        <v>0</v>
      </c>
      <c r="W44" s="207">
        <f>SUMIFS('май 2023'!$G$4:$G$815,'май 2023'!$D$4:$D$815,$B44,'май 2023'!$J$4:$J$815,W$1)</f>
        <v>0</v>
      </c>
      <c r="X44" s="207">
        <f>SUMIFS('май 2023'!$G$4:$G$815,'май 2023'!$D$4:$D$815,$B44,'май 2023'!$J$4:$J$815,X$1)</f>
        <v>0</v>
      </c>
      <c r="Y44" s="207">
        <f>SUMIFS('май 2023'!$G$4:$G$815,'май 2023'!$D$4:$D$815,$B44,'май 2023'!$J$4:$J$815,Y$1)</f>
        <v>0</v>
      </c>
      <c r="Z44" s="207">
        <f>SUMIFS('май 2023'!$G$4:$G$815,'май 2023'!$D$4:$D$815,$B44,'май 2023'!$J$4:$J$815,Z$1)</f>
        <v>0</v>
      </c>
      <c r="AA44" s="207">
        <f>SUMIFS('май 2023'!$G$4:$G$815,'май 2023'!$D$4:$D$815,$B44,'май 2023'!$J$4:$J$815,AA$1)</f>
        <v>0</v>
      </c>
      <c r="AB44" s="207">
        <f>SUMIFS('май 2023'!$G$4:$G$815,'май 2023'!$D$4:$D$815,$B44,'май 2023'!$J$4:$J$815,AB$1)</f>
        <v>0</v>
      </c>
      <c r="AC44" s="207">
        <f>SUMIFS('май 2023'!$G$4:$G$815,'май 2023'!$D$4:$D$815,$B44,'май 2023'!$J$4:$J$815,AC$1)</f>
        <v>0</v>
      </c>
      <c r="AD44" s="207">
        <f>SUMIFS('май 2023'!$G$4:$G$815,'май 2023'!$D$4:$D$815,$B44,'май 2023'!$J$4:$J$815,AD$1)</f>
        <v>0</v>
      </c>
      <c r="AE44" s="207">
        <f>SUMIFS('май 2023'!$G$4:$G$815,'май 2023'!$D$4:$D$815,$B44,'май 2023'!$J$4:$J$815,AE$1)</f>
        <v>0</v>
      </c>
      <c r="AF44" s="207">
        <f>SUMIFS('май 2023'!$G$4:$G$815,'май 2023'!$D$4:$D$815,$B44,'май 2023'!$J$4:$J$815,AF$1)</f>
        <v>0</v>
      </c>
      <c r="AG44" s="207">
        <f>SUMIFS('май 2023'!$G$4:$G$815,'май 2023'!$D$4:$D$815,$B44,'май 2023'!$J$4:$J$815,AG$1)</f>
        <v>0</v>
      </c>
      <c r="AH44" s="207">
        <f>SUMIFS('май 2023'!$G$4:$G$815,'май 2023'!$D$4:$D$815,$B44,'май 2023'!$J$4:$J$815,AH$1)</f>
        <v>0</v>
      </c>
      <c r="AI44" s="170">
        <f t="shared" si="1"/>
        <v>0</v>
      </c>
    </row>
    <row r="45" spans="2:35" ht="15" customHeight="1" x14ac:dyDescent="0.25">
      <c r="B45" s="212" t="s">
        <v>1084</v>
      </c>
      <c r="C45" s="211">
        <v>20</v>
      </c>
      <c r="D45" s="207">
        <f>SUMIFS('май 2023'!$G$4:$G$815,'май 2023'!$D$4:$D$815,$B45,'май 2023'!$J$4:$J$815,D$1)</f>
        <v>0</v>
      </c>
      <c r="E45" s="207">
        <f>SUMIFS('май 2023'!$G$4:$G$815,'май 2023'!$D$4:$D$815,$B45,'май 2023'!$J$4:$J$815,E$1)</f>
        <v>0</v>
      </c>
      <c r="F45" s="207">
        <f>SUMIFS('май 2023'!$G$4:$G$815,'май 2023'!$D$4:$D$815,$B45,'май 2023'!$J$4:$J$815,F$1)</f>
        <v>0</v>
      </c>
      <c r="G45" s="207">
        <f>SUMIFS('май 2023'!$G$4:$G$815,'май 2023'!$D$4:$D$815,$B45,'май 2023'!$J$4:$J$815,G$1)</f>
        <v>0</v>
      </c>
      <c r="H45" s="207">
        <f>SUMIFS('май 2023'!$G$4:$G$815,'май 2023'!$D$4:$D$815,$B45,'май 2023'!$J$4:$J$815,H$1)</f>
        <v>0</v>
      </c>
      <c r="I45" s="207">
        <f>SUMIFS('май 2023'!$G$4:$G$815,'май 2023'!$D$4:$D$815,$B45,'май 2023'!$J$4:$J$815,I$1)</f>
        <v>0</v>
      </c>
      <c r="J45" s="207">
        <f>SUMIFS('май 2023'!$G$4:$G$815,'май 2023'!$D$4:$D$815,$B45,'май 2023'!$J$4:$J$815,J$1)</f>
        <v>0</v>
      </c>
      <c r="K45" s="207">
        <f>SUMIFS('май 2023'!$G$4:$G$815,'май 2023'!$D$4:$D$815,$B45,'май 2023'!$J$4:$J$815,K$1)</f>
        <v>0</v>
      </c>
      <c r="L45" s="207">
        <f>SUMIFS('май 2023'!$G$4:$G$815,'май 2023'!$D$4:$D$815,$B45,'май 2023'!$J$4:$J$815,L$1)</f>
        <v>0</v>
      </c>
      <c r="M45" s="207">
        <f>SUMIFS('май 2023'!$G$4:$G$815,'май 2023'!$D$4:$D$815,$B45,'май 2023'!$J$4:$J$815,M$1)</f>
        <v>0</v>
      </c>
      <c r="N45" s="207">
        <f>SUMIFS('май 2023'!$G$4:$G$815,'май 2023'!$D$4:$D$815,$B45,'май 2023'!$J$4:$J$815,N$1)</f>
        <v>0</v>
      </c>
      <c r="O45" s="207">
        <f>SUMIFS('май 2023'!$G$4:$G$815,'май 2023'!$D$4:$D$815,$B45,'май 2023'!$J$4:$J$815,O$1)</f>
        <v>0</v>
      </c>
      <c r="P45" s="207">
        <f>SUMIFS('май 2023'!$G$4:$G$815,'май 2023'!$D$4:$D$815,$B45,'май 2023'!$J$4:$J$815,P$1)</f>
        <v>0</v>
      </c>
      <c r="Q45" s="207">
        <f>SUMIFS('май 2023'!$G$4:$G$815,'май 2023'!$D$4:$D$815,$B45,'май 2023'!$J$4:$J$815,Q$1)</f>
        <v>0</v>
      </c>
      <c r="R45" s="207">
        <f>SUMIFS('май 2023'!$G$4:$G$815,'май 2023'!$D$4:$D$815,$B45,'май 2023'!$J$4:$J$815,R$1)</f>
        <v>0</v>
      </c>
      <c r="S45" s="207">
        <f>SUMIFS('май 2023'!$G$4:$G$815,'май 2023'!$D$4:$D$815,$B45,'май 2023'!$J$4:$J$815,S$1)</f>
        <v>0</v>
      </c>
      <c r="T45" s="207">
        <f>SUMIFS('май 2023'!$G$4:$G$815,'май 2023'!$D$4:$D$815,$B45,'май 2023'!$J$4:$J$815,T$1)</f>
        <v>0</v>
      </c>
      <c r="U45" s="207">
        <f>SUMIFS('май 2023'!$G$4:$G$815,'май 2023'!$D$4:$D$815,$B45,'май 2023'!$J$4:$J$815,U$1)</f>
        <v>0</v>
      </c>
      <c r="V45" s="207">
        <f>SUMIFS('май 2023'!$G$4:$G$815,'май 2023'!$D$4:$D$815,$B45,'май 2023'!$J$4:$J$815,V$1)</f>
        <v>0</v>
      </c>
      <c r="W45" s="207">
        <f>SUMIFS('май 2023'!$G$4:$G$815,'май 2023'!$D$4:$D$815,$B45,'май 2023'!$J$4:$J$815,W$1)</f>
        <v>0</v>
      </c>
      <c r="X45" s="207">
        <f>SUMIFS('май 2023'!$G$4:$G$815,'май 2023'!$D$4:$D$815,$B45,'май 2023'!$J$4:$J$815,X$1)</f>
        <v>0</v>
      </c>
      <c r="Y45" s="207">
        <f>SUMIFS('май 2023'!$G$4:$G$815,'май 2023'!$D$4:$D$815,$B45,'май 2023'!$J$4:$J$815,Y$1)</f>
        <v>0</v>
      </c>
      <c r="Z45" s="207">
        <f>SUMIFS('май 2023'!$G$4:$G$815,'май 2023'!$D$4:$D$815,$B45,'май 2023'!$J$4:$J$815,Z$1)</f>
        <v>0</v>
      </c>
      <c r="AA45" s="207">
        <f>SUMIFS('май 2023'!$G$4:$G$815,'май 2023'!$D$4:$D$815,$B45,'май 2023'!$J$4:$J$815,AA$1)</f>
        <v>0</v>
      </c>
      <c r="AB45" s="207">
        <f>SUMIFS('май 2023'!$G$4:$G$815,'май 2023'!$D$4:$D$815,$B45,'май 2023'!$J$4:$J$815,AB$1)</f>
        <v>0</v>
      </c>
      <c r="AC45" s="207">
        <f>SUMIFS('май 2023'!$G$4:$G$815,'май 2023'!$D$4:$D$815,$B45,'май 2023'!$J$4:$J$815,AC$1)</f>
        <v>0</v>
      </c>
      <c r="AD45" s="207">
        <f>SUMIFS('май 2023'!$G$4:$G$815,'май 2023'!$D$4:$D$815,$B45,'май 2023'!$J$4:$J$815,AD$1)</f>
        <v>0</v>
      </c>
      <c r="AE45" s="207">
        <f>SUMIFS('май 2023'!$G$4:$G$815,'май 2023'!$D$4:$D$815,$B45,'май 2023'!$J$4:$J$815,AE$1)</f>
        <v>0</v>
      </c>
      <c r="AF45" s="207">
        <f>SUMIFS('май 2023'!$G$4:$G$815,'май 2023'!$D$4:$D$815,$B45,'май 2023'!$J$4:$J$815,AF$1)</f>
        <v>0</v>
      </c>
      <c r="AG45" s="207">
        <f>SUMIFS('май 2023'!$G$4:$G$815,'май 2023'!$D$4:$D$815,$B45,'май 2023'!$J$4:$J$815,AG$1)</f>
        <v>0</v>
      </c>
      <c r="AH45" s="207">
        <f>SUMIFS('май 2023'!$G$4:$G$815,'май 2023'!$D$4:$D$815,$B45,'май 2023'!$J$4:$J$815,AH$1)</f>
        <v>0</v>
      </c>
      <c r="AI45" s="170">
        <f t="shared" si="1"/>
        <v>0</v>
      </c>
    </row>
    <row r="46" spans="2:35" ht="15" customHeight="1" x14ac:dyDescent="0.25">
      <c r="B46" s="212" t="s">
        <v>440</v>
      </c>
      <c r="C46" s="213">
        <v>20</v>
      </c>
      <c r="D46" s="207">
        <f>SUMIFS('май 2023'!$G$4:$G$815,'май 2023'!$D$4:$D$815,$B46,'май 2023'!$J$4:$J$815,D$1)</f>
        <v>0</v>
      </c>
      <c r="E46" s="207">
        <f>SUMIFS('май 2023'!$G$4:$G$815,'май 2023'!$D$4:$D$815,$B46,'май 2023'!$J$4:$J$815,E$1)</f>
        <v>0</v>
      </c>
      <c r="F46" s="207">
        <f>SUMIFS('май 2023'!$G$4:$G$815,'май 2023'!$D$4:$D$815,$B46,'май 2023'!$J$4:$J$815,F$1)</f>
        <v>0</v>
      </c>
      <c r="G46" s="207">
        <f>SUMIFS('май 2023'!$G$4:$G$815,'май 2023'!$D$4:$D$815,$B46,'май 2023'!$J$4:$J$815,G$1)</f>
        <v>0</v>
      </c>
      <c r="H46" s="207">
        <f>SUMIFS('май 2023'!$G$4:$G$815,'май 2023'!$D$4:$D$815,$B46,'май 2023'!$J$4:$J$815,H$1)</f>
        <v>0</v>
      </c>
      <c r="I46" s="207">
        <f>SUMIFS('май 2023'!$G$4:$G$815,'май 2023'!$D$4:$D$815,$B46,'май 2023'!$J$4:$J$815,I$1)</f>
        <v>0</v>
      </c>
      <c r="J46" s="207">
        <f>SUMIFS('май 2023'!$G$4:$G$815,'май 2023'!$D$4:$D$815,$B46,'май 2023'!$J$4:$J$815,J$1)</f>
        <v>0</v>
      </c>
      <c r="K46" s="207">
        <f>SUMIFS('май 2023'!$G$4:$G$815,'май 2023'!$D$4:$D$815,$B46,'май 2023'!$J$4:$J$815,K$1)</f>
        <v>0</v>
      </c>
      <c r="L46" s="207">
        <f>SUMIFS('май 2023'!$G$4:$G$815,'май 2023'!$D$4:$D$815,$B46,'май 2023'!$J$4:$J$815,L$1)</f>
        <v>0</v>
      </c>
      <c r="M46" s="207">
        <f>SUMIFS('май 2023'!$G$4:$G$815,'май 2023'!$D$4:$D$815,$B46,'май 2023'!$J$4:$J$815,M$1)</f>
        <v>0</v>
      </c>
      <c r="N46" s="207">
        <f>SUMIFS('май 2023'!$G$4:$G$815,'май 2023'!$D$4:$D$815,$B46,'май 2023'!$J$4:$J$815,N$1)</f>
        <v>0</v>
      </c>
      <c r="O46" s="207">
        <f>SUMIFS('май 2023'!$G$4:$G$815,'май 2023'!$D$4:$D$815,$B46,'май 2023'!$J$4:$J$815,O$1)</f>
        <v>0</v>
      </c>
      <c r="P46" s="207">
        <f>SUMIFS('май 2023'!$G$4:$G$815,'май 2023'!$D$4:$D$815,$B46,'май 2023'!$J$4:$J$815,P$1)</f>
        <v>0</v>
      </c>
      <c r="Q46" s="207">
        <f>SUMIFS('май 2023'!$G$4:$G$815,'май 2023'!$D$4:$D$815,$B46,'май 2023'!$J$4:$J$815,Q$1)</f>
        <v>0</v>
      </c>
      <c r="R46" s="207">
        <f>SUMIFS('май 2023'!$G$4:$G$815,'май 2023'!$D$4:$D$815,$B46,'май 2023'!$J$4:$J$815,R$1)</f>
        <v>0</v>
      </c>
      <c r="S46" s="207">
        <f>SUMIFS('май 2023'!$G$4:$G$815,'май 2023'!$D$4:$D$815,$B46,'май 2023'!$J$4:$J$815,S$1)</f>
        <v>0</v>
      </c>
      <c r="T46" s="207">
        <f>SUMIFS('май 2023'!$G$4:$G$815,'май 2023'!$D$4:$D$815,$B46,'май 2023'!$J$4:$J$815,T$1)</f>
        <v>0</v>
      </c>
      <c r="U46" s="207">
        <f>SUMIFS('май 2023'!$G$4:$G$815,'май 2023'!$D$4:$D$815,$B46,'май 2023'!$J$4:$J$815,U$1)</f>
        <v>0</v>
      </c>
      <c r="V46" s="207">
        <f>SUMIFS('май 2023'!$G$4:$G$815,'май 2023'!$D$4:$D$815,$B46,'май 2023'!$J$4:$J$815,V$1)</f>
        <v>0</v>
      </c>
      <c r="W46" s="207">
        <f>SUMIFS('май 2023'!$G$4:$G$815,'май 2023'!$D$4:$D$815,$B46,'май 2023'!$J$4:$J$815,W$1)</f>
        <v>0</v>
      </c>
      <c r="X46" s="207">
        <f>SUMIFS('май 2023'!$G$4:$G$815,'май 2023'!$D$4:$D$815,$B46,'май 2023'!$J$4:$J$815,X$1)</f>
        <v>0</v>
      </c>
      <c r="Y46" s="207">
        <f>SUMIFS('май 2023'!$G$4:$G$815,'май 2023'!$D$4:$D$815,$B46,'май 2023'!$J$4:$J$815,Y$1)</f>
        <v>0</v>
      </c>
      <c r="Z46" s="207">
        <f>SUMIFS('май 2023'!$G$4:$G$815,'май 2023'!$D$4:$D$815,$B46,'май 2023'!$J$4:$J$815,Z$1)</f>
        <v>0</v>
      </c>
      <c r="AA46" s="207">
        <f>SUMIFS('май 2023'!$G$4:$G$815,'май 2023'!$D$4:$D$815,$B46,'май 2023'!$J$4:$J$815,AA$1)</f>
        <v>0</v>
      </c>
      <c r="AB46" s="207">
        <f>SUMIFS('май 2023'!$G$4:$G$815,'май 2023'!$D$4:$D$815,$B46,'май 2023'!$J$4:$J$815,AB$1)</f>
        <v>0</v>
      </c>
      <c r="AC46" s="207">
        <f>SUMIFS('май 2023'!$G$4:$G$815,'май 2023'!$D$4:$D$815,$B46,'май 2023'!$J$4:$J$815,AC$1)</f>
        <v>0</v>
      </c>
      <c r="AD46" s="207">
        <f>SUMIFS('май 2023'!$G$4:$G$815,'май 2023'!$D$4:$D$815,$B46,'май 2023'!$J$4:$J$815,AD$1)</f>
        <v>0</v>
      </c>
      <c r="AE46" s="207">
        <f>SUMIFS('май 2023'!$G$4:$G$815,'май 2023'!$D$4:$D$815,$B46,'май 2023'!$J$4:$J$815,AE$1)</f>
        <v>0</v>
      </c>
      <c r="AF46" s="207">
        <f>SUMIFS('май 2023'!$G$4:$G$815,'май 2023'!$D$4:$D$815,$B46,'май 2023'!$J$4:$J$815,AF$1)</f>
        <v>0</v>
      </c>
      <c r="AG46" s="207">
        <f>SUMIFS('май 2023'!$G$4:$G$815,'май 2023'!$D$4:$D$815,$B46,'май 2023'!$J$4:$J$815,AG$1)</f>
        <v>0</v>
      </c>
      <c r="AH46" s="207">
        <f>SUMIFS('май 2023'!$G$4:$G$815,'май 2023'!$D$4:$D$815,$B46,'май 2023'!$J$4:$J$815,AH$1)</f>
        <v>0</v>
      </c>
      <c r="AI46" s="170">
        <f t="shared" si="1"/>
        <v>0</v>
      </c>
    </row>
    <row r="47" spans="2:35" ht="15" customHeight="1" x14ac:dyDescent="0.25">
      <c r="B47" s="212" t="s">
        <v>1573</v>
      </c>
      <c r="C47" s="213">
        <v>50</v>
      </c>
      <c r="D47" s="207">
        <f>SUMIFS('май 2023'!$G$4:$G$815,'май 2023'!$D$4:$D$815,$B47,'май 2023'!$J$4:$J$815,D$1)</f>
        <v>0</v>
      </c>
      <c r="E47" s="207">
        <f>SUMIFS('май 2023'!$G$4:$G$815,'май 2023'!$D$4:$D$815,$B47,'май 2023'!$J$4:$J$815,E$1)</f>
        <v>0</v>
      </c>
      <c r="F47" s="207">
        <f>SUMIFS('май 2023'!$G$4:$G$815,'май 2023'!$D$4:$D$815,$B47,'май 2023'!$J$4:$J$815,F$1)</f>
        <v>0</v>
      </c>
      <c r="G47" s="207">
        <f>SUMIFS('май 2023'!$G$4:$G$815,'май 2023'!$D$4:$D$815,$B47,'май 2023'!$J$4:$J$815,G$1)</f>
        <v>0</v>
      </c>
      <c r="H47" s="207">
        <f>SUMIFS('май 2023'!$G$4:$G$815,'май 2023'!$D$4:$D$815,$B47,'май 2023'!$J$4:$J$815,H$1)</f>
        <v>0</v>
      </c>
      <c r="I47" s="207">
        <f>SUMIFS('май 2023'!$G$4:$G$815,'май 2023'!$D$4:$D$815,$B47,'май 2023'!$J$4:$J$815,I$1)</f>
        <v>0</v>
      </c>
      <c r="J47" s="207">
        <f>SUMIFS('май 2023'!$G$4:$G$815,'май 2023'!$D$4:$D$815,$B47,'май 2023'!$J$4:$J$815,J$1)</f>
        <v>0</v>
      </c>
      <c r="K47" s="207">
        <f>SUMIFS('май 2023'!$G$4:$G$815,'май 2023'!$D$4:$D$815,$B47,'май 2023'!$J$4:$J$815,K$1)</f>
        <v>0</v>
      </c>
      <c r="L47" s="207">
        <f>SUMIFS('май 2023'!$G$4:$G$815,'май 2023'!$D$4:$D$815,$B47,'май 2023'!$J$4:$J$815,L$1)</f>
        <v>0</v>
      </c>
      <c r="M47" s="207">
        <f>SUMIFS('май 2023'!$G$4:$G$815,'май 2023'!$D$4:$D$815,$B47,'май 2023'!$J$4:$J$815,M$1)</f>
        <v>0</v>
      </c>
      <c r="N47" s="207">
        <f>SUMIFS('май 2023'!$G$4:$G$815,'май 2023'!$D$4:$D$815,$B47,'май 2023'!$J$4:$J$815,N$1)</f>
        <v>0</v>
      </c>
      <c r="O47" s="207">
        <f>SUMIFS('май 2023'!$G$4:$G$815,'май 2023'!$D$4:$D$815,$B47,'май 2023'!$J$4:$J$815,O$1)</f>
        <v>0</v>
      </c>
      <c r="P47" s="207">
        <f>SUMIFS('май 2023'!$G$4:$G$815,'май 2023'!$D$4:$D$815,$B47,'май 2023'!$J$4:$J$815,P$1)</f>
        <v>0</v>
      </c>
      <c r="Q47" s="207">
        <f>SUMIFS('май 2023'!$G$4:$G$815,'май 2023'!$D$4:$D$815,$B47,'май 2023'!$J$4:$J$815,Q$1)</f>
        <v>0</v>
      </c>
      <c r="R47" s="207">
        <f>SUMIFS('май 2023'!$G$4:$G$815,'май 2023'!$D$4:$D$815,$B47,'май 2023'!$J$4:$J$815,R$1)</f>
        <v>0</v>
      </c>
      <c r="S47" s="207">
        <f>SUMIFS('май 2023'!$G$4:$G$815,'май 2023'!$D$4:$D$815,$B47,'май 2023'!$J$4:$J$815,S$1)</f>
        <v>0</v>
      </c>
      <c r="T47" s="207">
        <f>SUMIFS('май 2023'!$G$4:$G$815,'май 2023'!$D$4:$D$815,$B47,'май 2023'!$J$4:$J$815,T$1)</f>
        <v>0</v>
      </c>
      <c r="U47" s="207">
        <f>SUMIFS('май 2023'!$G$4:$G$815,'май 2023'!$D$4:$D$815,$B47,'май 2023'!$J$4:$J$815,U$1)</f>
        <v>0</v>
      </c>
      <c r="V47" s="207">
        <f>SUMIFS('май 2023'!$G$4:$G$815,'май 2023'!$D$4:$D$815,$B47,'май 2023'!$J$4:$J$815,V$1)</f>
        <v>0</v>
      </c>
      <c r="W47" s="207">
        <f>SUMIFS('май 2023'!$G$4:$G$815,'май 2023'!$D$4:$D$815,$B47,'май 2023'!$J$4:$J$815,W$1)</f>
        <v>0</v>
      </c>
      <c r="X47" s="207">
        <f>SUMIFS('май 2023'!$G$4:$G$815,'май 2023'!$D$4:$D$815,$B47,'май 2023'!$J$4:$J$815,X$1)</f>
        <v>0</v>
      </c>
      <c r="Y47" s="207">
        <f>SUMIFS('май 2023'!$G$4:$G$815,'май 2023'!$D$4:$D$815,$B47,'май 2023'!$J$4:$J$815,Y$1)</f>
        <v>0</v>
      </c>
      <c r="Z47" s="207">
        <f>SUMIFS('май 2023'!$G$4:$G$815,'май 2023'!$D$4:$D$815,$B47,'май 2023'!$J$4:$J$815,Z$1)</f>
        <v>0</v>
      </c>
      <c r="AA47" s="207">
        <f>SUMIFS('май 2023'!$G$4:$G$815,'май 2023'!$D$4:$D$815,$B47,'май 2023'!$J$4:$J$815,AA$1)</f>
        <v>0</v>
      </c>
      <c r="AB47" s="207">
        <f>SUMIFS('май 2023'!$G$4:$G$815,'май 2023'!$D$4:$D$815,$B47,'май 2023'!$J$4:$J$815,AB$1)</f>
        <v>0</v>
      </c>
      <c r="AC47" s="207">
        <f>SUMIFS('май 2023'!$G$4:$G$815,'май 2023'!$D$4:$D$815,$B47,'май 2023'!$J$4:$J$815,AC$1)</f>
        <v>0</v>
      </c>
      <c r="AD47" s="207">
        <f>SUMIFS('май 2023'!$G$4:$G$815,'май 2023'!$D$4:$D$815,$B47,'май 2023'!$J$4:$J$815,AD$1)</f>
        <v>0</v>
      </c>
      <c r="AE47" s="207">
        <f>SUMIFS('май 2023'!$G$4:$G$815,'май 2023'!$D$4:$D$815,$B47,'май 2023'!$J$4:$J$815,AE$1)</f>
        <v>0</v>
      </c>
      <c r="AF47" s="207">
        <f>SUMIFS('май 2023'!$G$4:$G$815,'май 2023'!$D$4:$D$815,$B47,'май 2023'!$J$4:$J$815,AF$1)</f>
        <v>0</v>
      </c>
      <c r="AG47" s="207">
        <f>SUMIFS('май 2023'!$G$4:$G$815,'май 2023'!$D$4:$D$815,$B47,'май 2023'!$J$4:$J$815,AG$1)</f>
        <v>0</v>
      </c>
      <c r="AH47" s="207">
        <f>SUMIFS('май 2023'!$G$4:$G$815,'май 2023'!$D$4:$D$815,$B47,'май 2023'!$J$4:$J$815,AH$1)</f>
        <v>0</v>
      </c>
      <c r="AI47" s="170">
        <f t="shared" si="1"/>
        <v>0</v>
      </c>
    </row>
    <row r="48" spans="2:35" ht="15" customHeight="1" x14ac:dyDescent="0.25">
      <c r="B48" s="212" t="s">
        <v>1418</v>
      </c>
      <c r="C48" s="213">
        <v>200</v>
      </c>
      <c r="D48" s="207">
        <f>SUMIFS('май 2023'!$G$4:$G$815,'май 2023'!$D$4:$D$815,$B48,'май 2023'!$J$4:$J$815,D$1)</f>
        <v>0</v>
      </c>
      <c r="E48" s="207">
        <f>SUMIFS('май 2023'!$G$4:$G$815,'май 2023'!$D$4:$D$815,$B48,'май 2023'!$J$4:$J$815,E$1)</f>
        <v>0</v>
      </c>
      <c r="F48" s="207">
        <f>SUMIFS('май 2023'!$G$4:$G$815,'май 2023'!$D$4:$D$815,$B48,'май 2023'!$J$4:$J$815,F$1)</f>
        <v>0</v>
      </c>
      <c r="G48" s="207">
        <f>SUMIFS('май 2023'!$G$4:$G$815,'май 2023'!$D$4:$D$815,$B48,'май 2023'!$J$4:$J$815,G$1)</f>
        <v>0</v>
      </c>
      <c r="H48" s="207">
        <f>SUMIFS('май 2023'!$G$4:$G$815,'май 2023'!$D$4:$D$815,$B48,'май 2023'!$J$4:$J$815,H$1)</f>
        <v>0</v>
      </c>
      <c r="I48" s="207">
        <f>SUMIFS('май 2023'!$G$4:$G$815,'май 2023'!$D$4:$D$815,$B48,'май 2023'!$J$4:$J$815,I$1)</f>
        <v>0</v>
      </c>
      <c r="J48" s="207">
        <f>SUMIFS('май 2023'!$G$4:$G$815,'май 2023'!$D$4:$D$815,$B48,'май 2023'!$J$4:$J$815,J$1)</f>
        <v>0</v>
      </c>
      <c r="K48" s="207">
        <f>SUMIFS('май 2023'!$G$4:$G$815,'май 2023'!$D$4:$D$815,$B48,'май 2023'!$J$4:$J$815,K$1)</f>
        <v>0</v>
      </c>
      <c r="L48" s="207">
        <f>SUMIFS('май 2023'!$G$4:$G$815,'май 2023'!$D$4:$D$815,$B48,'май 2023'!$J$4:$J$815,L$1)</f>
        <v>0</v>
      </c>
      <c r="M48" s="207">
        <f>SUMIFS('май 2023'!$G$4:$G$815,'май 2023'!$D$4:$D$815,$B48,'май 2023'!$J$4:$J$815,M$1)</f>
        <v>0</v>
      </c>
      <c r="N48" s="207">
        <f>SUMIFS('май 2023'!$G$4:$G$815,'май 2023'!$D$4:$D$815,$B48,'май 2023'!$J$4:$J$815,N$1)</f>
        <v>0</v>
      </c>
      <c r="O48" s="207">
        <f>SUMIFS('май 2023'!$G$4:$G$815,'май 2023'!$D$4:$D$815,$B48,'май 2023'!$J$4:$J$815,O$1)</f>
        <v>0</v>
      </c>
      <c r="P48" s="207">
        <f>SUMIFS('май 2023'!$G$4:$G$815,'май 2023'!$D$4:$D$815,$B48,'май 2023'!$J$4:$J$815,P$1)</f>
        <v>0</v>
      </c>
      <c r="Q48" s="207">
        <f>SUMIFS('май 2023'!$G$4:$G$815,'май 2023'!$D$4:$D$815,$B48,'май 2023'!$J$4:$J$815,Q$1)</f>
        <v>0</v>
      </c>
      <c r="R48" s="207">
        <f>SUMIFS('май 2023'!$G$4:$G$815,'май 2023'!$D$4:$D$815,$B48,'май 2023'!$J$4:$J$815,R$1)</f>
        <v>0</v>
      </c>
      <c r="S48" s="207">
        <f>SUMIFS('май 2023'!$G$4:$G$815,'май 2023'!$D$4:$D$815,$B48,'май 2023'!$J$4:$J$815,S$1)</f>
        <v>0</v>
      </c>
      <c r="T48" s="207">
        <f>SUMIFS('май 2023'!$G$4:$G$815,'май 2023'!$D$4:$D$815,$B48,'май 2023'!$J$4:$J$815,T$1)</f>
        <v>0</v>
      </c>
      <c r="U48" s="207">
        <f>SUMIFS('май 2023'!$G$4:$G$815,'май 2023'!$D$4:$D$815,$B48,'май 2023'!$J$4:$J$815,U$1)</f>
        <v>0</v>
      </c>
      <c r="V48" s="207">
        <f>SUMIFS('май 2023'!$G$4:$G$815,'май 2023'!$D$4:$D$815,$B48,'май 2023'!$J$4:$J$815,V$1)</f>
        <v>0</v>
      </c>
      <c r="W48" s="207">
        <f>SUMIFS('май 2023'!$G$4:$G$815,'май 2023'!$D$4:$D$815,$B48,'май 2023'!$J$4:$J$815,W$1)</f>
        <v>0</v>
      </c>
      <c r="X48" s="207">
        <f>SUMIFS('май 2023'!$G$4:$G$815,'май 2023'!$D$4:$D$815,$B48,'май 2023'!$J$4:$J$815,X$1)</f>
        <v>0</v>
      </c>
      <c r="Y48" s="207">
        <f>SUMIFS('май 2023'!$G$4:$G$815,'май 2023'!$D$4:$D$815,$B48,'май 2023'!$J$4:$J$815,Y$1)</f>
        <v>0</v>
      </c>
      <c r="Z48" s="207">
        <f>SUMIFS('май 2023'!$G$4:$G$815,'май 2023'!$D$4:$D$815,$B48,'май 2023'!$J$4:$J$815,Z$1)</f>
        <v>0</v>
      </c>
      <c r="AA48" s="207">
        <f>SUMIFS('май 2023'!$G$4:$G$815,'май 2023'!$D$4:$D$815,$B48,'май 2023'!$J$4:$J$815,AA$1)</f>
        <v>0</v>
      </c>
      <c r="AB48" s="207">
        <f>SUMIFS('май 2023'!$G$4:$G$815,'май 2023'!$D$4:$D$815,$B48,'май 2023'!$J$4:$J$815,AB$1)</f>
        <v>0</v>
      </c>
      <c r="AC48" s="207">
        <f>SUMIFS('май 2023'!$G$4:$G$815,'май 2023'!$D$4:$D$815,$B48,'май 2023'!$J$4:$J$815,AC$1)</f>
        <v>0</v>
      </c>
      <c r="AD48" s="207">
        <f>SUMIFS('май 2023'!$G$4:$G$815,'май 2023'!$D$4:$D$815,$B48,'май 2023'!$J$4:$J$815,AD$1)</f>
        <v>0</v>
      </c>
      <c r="AE48" s="207">
        <f>SUMIFS('май 2023'!$G$4:$G$815,'май 2023'!$D$4:$D$815,$B48,'май 2023'!$J$4:$J$815,AE$1)</f>
        <v>0</v>
      </c>
      <c r="AF48" s="207">
        <f>SUMIFS('май 2023'!$G$4:$G$815,'май 2023'!$D$4:$D$815,$B48,'май 2023'!$J$4:$J$815,AF$1)</f>
        <v>0</v>
      </c>
      <c r="AG48" s="207">
        <f>SUMIFS('май 2023'!$G$4:$G$815,'май 2023'!$D$4:$D$815,$B48,'май 2023'!$J$4:$J$815,AG$1)</f>
        <v>0</v>
      </c>
      <c r="AH48" s="207">
        <f>SUMIFS('май 2023'!$G$4:$G$815,'май 2023'!$D$4:$D$815,$B48,'май 2023'!$J$4:$J$815,AH$1)</f>
        <v>0</v>
      </c>
      <c r="AI48" s="170">
        <f t="shared" si="1"/>
        <v>0</v>
      </c>
    </row>
    <row r="49" spans="2:35" ht="15" customHeight="1" x14ac:dyDescent="0.25">
      <c r="B49" s="208" t="s">
        <v>1340</v>
      </c>
      <c r="C49" s="213">
        <v>50</v>
      </c>
      <c r="D49" s="207">
        <f>SUMIFS('май 2023'!$G$4:$G$815,'май 2023'!$D$4:$D$815,$B49,'май 2023'!$J$4:$J$815,D$1)</f>
        <v>0</v>
      </c>
      <c r="E49" s="207">
        <f>SUMIFS('май 2023'!$G$4:$G$815,'май 2023'!$D$4:$D$815,$B49,'май 2023'!$J$4:$J$815,E$1)</f>
        <v>0</v>
      </c>
      <c r="F49" s="207">
        <f>SUMIFS('май 2023'!$G$4:$G$815,'май 2023'!$D$4:$D$815,$B49,'май 2023'!$J$4:$J$815,F$1)</f>
        <v>0</v>
      </c>
      <c r="G49" s="207">
        <f>SUMIFS('май 2023'!$G$4:$G$815,'май 2023'!$D$4:$D$815,$B49,'май 2023'!$J$4:$J$815,G$1)</f>
        <v>0</v>
      </c>
      <c r="H49" s="207">
        <f>SUMIFS('май 2023'!$G$4:$G$815,'май 2023'!$D$4:$D$815,$B49,'май 2023'!$J$4:$J$815,H$1)</f>
        <v>0</v>
      </c>
      <c r="I49" s="207">
        <f>SUMIFS('май 2023'!$G$4:$G$815,'май 2023'!$D$4:$D$815,$B49,'май 2023'!$J$4:$J$815,I$1)</f>
        <v>0</v>
      </c>
      <c r="J49" s="207">
        <f>SUMIFS('май 2023'!$G$4:$G$815,'май 2023'!$D$4:$D$815,$B49,'май 2023'!$J$4:$J$815,J$1)</f>
        <v>0</v>
      </c>
      <c r="K49" s="207">
        <f>SUMIFS('май 2023'!$G$4:$G$815,'май 2023'!$D$4:$D$815,$B49,'май 2023'!$J$4:$J$815,K$1)</f>
        <v>0</v>
      </c>
      <c r="L49" s="207">
        <f>SUMIFS('май 2023'!$G$4:$G$815,'май 2023'!$D$4:$D$815,$B49,'май 2023'!$J$4:$J$815,L$1)</f>
        <v>0</v>
      </c>
      <c r="M49" s="207">
        <f>SUMIFS('май 2023'!$G$4:$G$815,'май 2023'!$D$4:$D$815,$B49,'май 2023'!$J$4:$J$815,M$1)</f>
        <v>0</v>
      </c>
      <c r="N49" s="207">
        <f>SUMIFS('май 2023'!$G$4:$G$815,'май 2023'!$D$4:$D$815,$B49,'май 2023'!$J$4:$J$815,N$1)</f>
        <v>0</v>
      </c>
      <c r="O49" s="207">
        <f>SUMIFS('май 2023'!$G$4:$G$815,'май 2023'!$D$4:$D$815,$B49,'май 2023'!$J$4:$J$815,O$1)</f>
        <v>0</v>
      </c>
      <c r="P49" s="207">
        <f>SUMIFS('май 2023'!$G$4:$G$815,'май 2023'!$D$4:$D$815,$B49,'май 2023'!$J$4:$J$815,P$1)</f>
        <v>0</v>
      </c>
      <c r="Q49" s="207">
        <f>SUMIFS('май 2023'!$G$4:$G$815,'май 2023'!$D$4:$D$815,$B49,'май 2023'!$J$4:$J$815,Q$1)</f>
        <v>0</v>
      </c>
      <c r="R49" s="207">
        <f>SUMIFS('май 2023'!$G$4:$G$815,'май 2023'!$D$4:$D$815,$B49,'май 2023'!$J$4:$J$815,R$1)</f>
        <v>0</v>
      </c>
      <c r="S49" s="207">
        <f>SUMIFS('май 2023'!$G$4:$G$815,'май 2023'!$D$4:$D$815,$B49,'май 2023'!$J$4:$J$815,S$1)</f>
        <v>0</v>
      </c>
      <c r="T49" s="207">
        <f>SUMIFS('май 2023'!$G$4:$G$815,'май 2023'!$D$4:$D$815,$B49,'май 2023'!$J$4:$J$815,T$1)</f>
        <v>40</v>
      </c>
      <c r="U49" s="207">
        <f>SUMIFS('май 2023'!$G$4:$G$815,'май 2023'!$D$4:$D$815,$B49,'май 2023'!$J$4:$J$815,U$1)</f>
        <v>0</v>
      </c>
      <c r="V49" s="207">
        <f>SUMIFS('май 2023'!$G$4:$G$815,'май 2023'!$D$4:$D$815,$B49,'май 2023'!$J$4:$J$815,V$1)</f>
        <v>0</v>
      </c>
      <c r="W49" s="207">
        <f>SUMIFS('май 2023'!$G$4:$G$815,'май 2023'!$D$4:$D$815,$B49,'май 2023'!$J$4:$J$815,W$1)</f>
        <v>0</v>
      </c>
      <c r="X49" s="207">
        <f>SUMIFS('май 2023'!$G$4:$G$815,'май 2023'!$D$4:$D$815,$B49,'май 2023'!$J$4:$J$815,X$1)</f>
        <v>0</v>
      </c>
      <c r="Y49" s="207">
        <f>SUMIFS('май 2023'!$G$4:$G$815,'май 2023'!$D$4:$D$815,$B49,'май 2023'!$J$4:$J$815,Y$1)</f>
        <v>0</v>
      </c>
      <c r="Z49" s="207">
        <f>SUMIFS('май 2023'!$G$4:$G$815,'май 2023'!$D$4:$D$815,$B49,'май 2023'!$J$4:$J$815,Z$1)</f>
        <v>0</v>
      </c>
      <c r="AA49" s="207">
        <f>SUMIFS('май 2023'!$G$4:$G$815,'май 2023'!$D$4:$D$815,$B49,'май 2023'!$J$4:$J$815,AA$1)</f>
        <v>0</v>
      </c>
      <c r="AB49" s="207">
        <f>SUMIFS('май 2023'!$G$4:$G$815,'май 2023'!$D$4:$D$815,$B49,'май 2023'!$J$4:$J$815,AB$1)</f>
        <v>0</v>
      </c>
      <c r="AC49" s="207">
        <f>SUMIFS('май 2023'!$G$4:$G$815,'май 2023'!$D$4:$D$815,$B49,'май 2023'!$J$4:$J$815,AC$1)</f>
        <v>0</v>
      </c>
      <c r="AD49" s="207">
        <f>SUMIFS('май 2023'!$G$4:$G$815,'май 2023'!$D$4:$D$815,$B49,'май 2023'!$J$4:$J$815,AD$1)</f>
        <v>0</v>
      </c>
      <c r="AE49" s="207">
        <f>SUMIFS('май 2023'!$G$4:$G$815,'май 2023'!$D$4:$D$815,$B49,'май 2023'!$J$4:$J$815,AE$1)</f>
        <v>0</v>
      </c>
      <c r="AF49" s="207">
        <f>SUMIFS('май 2023'!$G$4:$G$815,'май 2023'!$D$4:$D$815,$B49,'май 2023'!$J$4:$J$815,AF$1)</f>
        <v>0</v>
      </c>
      <c r="AG49" s="207">
        <f>SUMIFS('май 2023'!$G$4:$G$815,'май 2023'!$D$4:$D$815,$B49,'май 2023'!$J$4:$J$815,AG$1)</f>
        <v>0</v>
      </c>
      <c r="AH49" s="207">
        <f>SUMIFS('май 2023'!$G$4:$G$815,'май 2023'!$D$4:$D$815,$B49,'май 2023'!$J$4:$J$815,AH$1)</f>
        <v>0</v>
      </c>
      <c r="AI49" s="170">
        <f t="shared" si="1"/>
        <v>40</v>
      </c>
    </row>
    <row r="50" spans="2:35" ht="15" customHeight="1" x14ac:dyDescent="0.25">
      <c r="B50" s="212" t="s">
        <v>2141</v>
      </c>
      <c r="C50" s="213">
        <v>200</v>
      </c>
      <c r="D50" s="207">
        <f>SUMIFS('май 2023'!$G$4:$G$815,'май 2023'!$D$4:$D$815,$B50,'май 2023'!$J$4:$J$815,D$1)</f>
        <v>0</v>
      </c>
      <c r="E50" s="207">
        <f>SUMIFS('май 2023'!$G$4:$G$815,'май 2023'!$D$4:$D$815,$B50,'май 2023'!$J$4:$J$815,E$1)</f>
        <v>0</v>
      </c>
      <c r="F50" s="207">
        <f>SUMIFS('май 2023'!$G$4:$G$815,'май 2023'!$D$4:$D$815,$B50,'май 2023'!$J$4:$J$815,F$1)</f>
        <v>0</v>
      </c>
      <c r="G50" s="207">
        <f>SUMIFS('май 2023'!$G$4:$G$815,'май 2023'!$D$4:$D$815,$B50,'май 2023'!$J$4:$J$815,G$1)</f>
        <v>0</v>
      </c>
      <c r="H50" s="207">
        <f>SUMIFS('май 2023'!$G$4:$G$815,'май 2023'!$D$4:$D$815,$B50,'май 2023'!$J$4:$J$815,H$1)</f>
        <v>0</v>
      </c>
      <c r="I50" s="207">
        <f>SUMIFS('май 2023'!$G$4:$G$815,'май 2023'!$D$4:$D$815,$B50,'май 2023'!$J$4:$J$815,I$1)</f>
        <v>0</v>
      </c>
      <c r="J50" s="207">
        <f>SUMIFS('май 2023'!$G$4:$G$815,'май 2023'!$D$4:$D$815,$B50,'май 2023'!$J$4:$J$815,J$1)</f>
        <v>0</v>
      </c>
      <c r="K50" s="207">
        <f>SUMIFS('май 2023'!$G$4:$G$815,'май 2023'!$D$4:$D$815,$B50,'май 2023'!$J$4:$J$815,K$1)</f>
        <v>0</v>
      </c>
      <c r="L50" s="207">
        <f>SUMIFS('май 2023'!$G$4:$G$815,'май 2023'!$D$4:$D$815,$B50,'май 2023'!$J$4:$J$815,L$1)</f>
        <v>0</v>
      </c>
      <c r="M50" s="207">
        <f>SUMIFS('май 2023'!$G$4:$G$815,'май 2023'!$D$4:$D$815,$B50,'май 2023'!$J$4:$J$815,M$1)</f>
        <v>0</v>
      </c>
      <c r="N50" s="207">
        <f>SUMIFS('май 2023'!$G$4:$G$815,'май 2023'!$D$4:$D$815,$B50,'май 2023'!$J$4:$J$815,N$1)</f>
        <v>0</v>
      </c>
      <c r="O50" s="207">
        <f>SUMIFS('май 2023'!$G$4:$G$815,'май 2023'!$D$4:$D$815,$B50,'май 2023'!$J$4:$J$815,O$1)</f>
        <v>0</v>
      </c>
      <c r="P50" s="207">
        <f>SUMIFS('май 2023'!$G$4:$G$815,'май 2023'!$D$4:$D$815,$B50,'май 2023'!$J$4:$J$815,P$1)</f>
        <v>0</v>
      </c>
      <c r="Q50" s="207">
        <f>SUMIFS('май 2023'!$G$4:$G$815,'май 2023'!$D$4:$D$815,$B50,'май 2023'!$J$4:$J$815,Q$1)</f>
        <v>0</v>
      </c>
      <c r="R50" s="207">
        <f>SUMIFS('май 2023'!$G$4:$G$815,'май 2023'!$D$4:$D$815,$B50,'май 2023'!$J$4:$J$815,R$1)</f>
        <v>0</v>
      </c>
      <c r="S50" s="207">
        <f>SUMIFS('май 2023'!$G$4:$G$815,'май 2023'!$D$4:$D$815,$B50,'май 2023'!$J$4:$J$815,S$1)</f>
        <v>0</v>
      </c>
      <c r="T50" s="207">
        <f>SUMIFS('май 2023'!$G$4:$G$815,'май 2023'!$D$4:$D$815,$B50,'май 2023'!$J$4:$J$815,T$1)</f>
        <v>0</v>
      </c>
      <c r="U50" s="207">
        <f>SUMIFS('май 2023'!$G$4:$G$815,'май 2023'!$D$4:$D$815,$B50,'май 2023'!$J$4:$J$815,U$1)</f>
        <v>0</v>
      </c>
      <c r="V50" s="207">
        <f>SUMIFS('май 2023'!$G$4:$G$815,'май 2023'!$D$4:$D$815,$B50,'май 2023'!$J$4:$J$815,V$1)</f>
        <v>0</v>
      </c>
      <c r="W50" s="207">
        <f>SUMIFS('май 2023'!$G$4:$G$815,'май 2023'!$D$4:$D$815,$B50,'май 2023'!$J$4:$J$815,W$1)</f>
        <v>0</v>
      </c>
      <c r="X50" s="207">
        <f>SUMIFS('май 2023'!$G$4:$G$815,'май 2023'!$D$4:$D$815,$B50,'май 2023'!$J$4:$J$815,X$1)</f>
        <v>0</v>
      </c>
      <c r="Y50" s="207">
        <f>SUMIFS('май 2023'!$G$4:$G$815,'май 2023'!$D$4:$D$815,$B50,'май 2023'!$J$4:$J$815,Y$1)</f>
        <v>0</v>
      </c>
      <c r="Z50" s="207">
        <f>SUMIFS('май 2023'!$G$4:$G$815,'май 2023'!$D$4:$D$815,$B50,'май 2023'!$J$4:$J$815,Z$1)</f>
        <v>0</v>
      </c>
      <c r="AA50" s="207">
        <f>SUMIFS('май 2023'!$G$4:$G$815,'май 2023'!$D$4:$D$815,$B50,'май 2023'!$J$4:$J$815,AA$1)</f>
        <v>0</v>
      </c>
      <c r="AB50" s="207">
        <f>SUMIFS('май 2023'!$G$4:$G$815,'май 2023'!$D$4:$D$815,$B50,'май 2023'!$J$4:$J$815,AB$1)</f>
        <v>0</v>
      </c>
      <c r="AC50" s="207">
        <f>SUMIFS('май 2023'!$G$4:$G$815,'май 2023'!$D$4:$D$815,$B50,'май 2023'!$J$4:$J$815,AC$1)</f>
        <v>0</v>
      </c>
      <c r="AD50" s="207">
        <f>SUMIFS('май 2023'!$G$4:$G$815,'май 2023'!$D$4:$D$815,$B50,'май 2023'!$J$4:$J$815,AD$1)</f>
        <v>0</v>
      </c>
      <c r="AE50" s="207">
        <f>SUMIFS('май 2023'!$G$4:$G$815,'май 2023'!$D$4:$D$815,$B50,'май 2023'!$J$4:$J$815,AE$1)</f>
        <v>0</v>
      </c>
      <c r="AF50" s="207">
        <f>SUMIFS('май 2023'!$G$4:$G$815,'май 2023'!$D$4:$D$815,$B50,'май 2023'!$J$4:$J$815,AF$1)</f>
        <v>0</v>
      </c>
      <c r="AG50" s="207">
        <f>SUMIFS('май 2023'!$G$4:$G$815,'май 2023'!$D$4:$D$815,$B50,'май 2023'!$J$4:$J$815,AG$1)</f>
        <v>0</v>
      </c>
      <c r="AH50" s="207">
        <f>SUMIFS('май 2023'!$G$4:$G$815,'май 2023'!$D$4:$D$815,$B50,'май 2023'!$J$4:$J$815,AH$1)</f>
        <v>0</v>
      </c>
      <c r="AI50" s="170">
        <f t="shared" si="1"/>
        <v>0</v>
      </c>
    </row>
    <row r="51" spans="2:35" ht="15" customHeight="1" x14ac:dyDescent="0.25">
      <c r="B51" s="212" t="s">
        <v>110</v>
      </c>
      <c r="C51" s="213">
        <v>200</v>
      </c>
      <c r="D51" s="207">
        <f>SUMIFS('май 2023'!$G$4:$G$815,'май 2023'!$D$4:$D$815,$B51,'май 2023'!$J$4:$J$815,D$1)</f>
        <v>0</v>
      </c>
      <c r="E51" s="207">
        <f>SUMIFS('май 2023'!$G$4:$G$815,'май 2023'!$D$4:$D$815,$B51,'май 2023'!$J$4:$J$815,E$1)</f>
        <v>0</v>
      </c>
      <c r="F51" s="207">
        <f>SUMIFS('май 2023'!$G$4:$G$815,'май 2023'!$D$4:$D$815,$B51,'май 2023'!$J$4:$J$815,F$1)</f>
        <v>0</v>
      </c>
      <c r="G51" s="207">
        <f>SUMIFS('май 2023'!$G$4:$G$815,'май 2023'!$D$4:$D$815,$B51,'май 2023'!$J$4:$J$815,G$1)</f>
        <v>0</v>
      </c>
      <c r="H51" s="207">
        <f>SUMIFS('май 2023'!$G$4:$G$815,'май 2023'!$D$4:$D$815,$B51,'май 2023'!$J$4:$J$815,H$1)</f>
        <v>0</v>
      </c>
      <c r="I51" s="207">
        <f>SUMIFS('май 2023'!$G$4:$G$815,'май 2023'!$D$4:$D$815,$B51,'май 2023'!$J$4:$J$815,I$1)</f>
        <v>0</v>
      </c>
      <c r="J51" s="207">
        <f>SUMIFS('май 2023'!$G$4:$G$815,'май 2023'!$D$4:$D$815,$B51,'май 2023'!$J$4:$J$815,J$1)</f>
        <v>0</v>
      </c>
      <c r="K51" s="207">
        <f>SUMIFS('май 2023'!$G$4:$G$815,'май 2023'!$D$4:$D$815,$B51,'май 2023'!$J$4:$J$815,K$1)</f>
        <v>0</v>
      </c>
      <c r="L51" s="207">
        <f>SUMIFS('май 2023'!$G$4:$G$815,'май 2023'!$D$4:$D$815,$B51,'май 2023'!$J$4:$J$815,L$1)</f>
        <v>0</v>
      </c>
      <c r="M51" s="207">
        <f>SUMIFS('май 2023'!$G$4:$G$815,'май 2023'!$D$4:$D$815,$B51,'май 2023'!$J$4:$J$815,M$1)</f>
        <v>88</v>
      </c>
      <c r="N51" s="207">
        <f>SUMIFS('май 2023'!$G$4:$G$815,'май 2023'!$D$4:$D$815,$B51,'май 2023'!$J$4:$J$815,N$1)</f>
        <v>0</v>
      </c>
      <c r="O51" s="207">
        <f>SUMIFS('май 2023'!$G$4:$G$815,'май 2023'!$D$4:$D$815,$B51,'май 2023'!$J$4:$J$815,O$1)</f>
        <v>4</v>
      </c>
      <c r="P51" s="207">
        <f>SUMIFS('май 2023'!$G$4:$G$815,'май 2023'!$D$4:$D$815,$B51,'май 2023'!$J$4:$J$815,P$1)</f>
        <v>0</v>
      </c>
      <c r="Q51" s="207">
        <f>SUMIFS('май 2023'!$G$4:$G$815,'май 2023'!$D$4:$D$815,$B51,'май 2023'!$J$4:$J$815,Q$1)</f>
        <v>0</v>
      </c>
      <c r="R51" s="207">
        <f>SUMIFS('май 2023'!$G$4:$G$815,'май 2023'!$D$4:$D$815,$B51,'май 2023'!$J$4:$J$815,R$1)</f>
        <v>0</v>
      </c>
      <c r="S51" s="207">
        <f>SUMIFS('май 2023'!$G$4:$G$815,'май 2023'!$D$4:$D$815,$B51,'май 2023'!$J$4:$J$815,S$1)</f>
        <v>0</v>
      </c>
      <c r="T51" s="207">
        <f>SUMIFS('май 2023'!$G$4:$G$815,'май 2023'!$D$4:$D$815,$B51,'май 2023'!$J$4:$J$815,T$1)</f>
        <v>0</v>
      </c>
      <c r="U51" s="207">
        <f>SUMIFS('май 2023'!$G$4:$G$815,'май 2023'!$D$4:$D$815,$B51,'май 2023'!$J$4:$J$815,U$1)</f>
        <v>0</v>
      </c>
      <c r="V51" s="207">
        <f>SUMIFS('май 2023'!$G$4:$G$815,'май 2023'!$D$4:$D$815,$B51,'май 2023'!$J$4:$J$815,V$1)</f>
        <v>0</v>
      </c>
      <c r="W51" s="207">
        <f>SUMIFS('май 2023'!$G$4:$G$815,'май 2023'!$D$4:$D$815,$B51,'май 2023'!$J$4:$J$815,W$1)</f>
        <v>0</v>
      </c>
      <c r="X51" s="207">
        <f>SUMIFS('май 2023'!$G$4:$G$815,'май 2023'!$D$4:$D$815,$B51,'май 2023'!$J$4:$J$815,X$1)</f>
        <v>0</v>
      </c>
      <c r="Y51" s="207">
        <f>SUMIFS('май 2023'!$G$4:$G$815,'май 2023'!$D$4:$D$815,$B51,'май 2023'!$J$4:$J$815,Y$1)</f>
        <v>0</v>
      </c>
      <c r="Z51" s="207">
        <f>SUMIFS('май 2023'!$G$4:$G$815,'май 2023'!$D$4:$D$815,$B51,'май 2023'!$J$4:$J$815,Z$1)</f>
        <v>0</v>
      </c>
      <c r="AA51" s="207">
        <f>SUMIFS('май 2023'!$G$4:$G$815,'май 2023'!$D$4:$D$815,$B51,'май 2023'!$J$4:$J$815,AA$1)</f>
        <v>0</v>
      </c>
      <c r="AB51" s="207">
        <f>SUMIFS('май 2023'!$G$4:$G$815,'май 2023'!$D$4:$D$815,$B51,'май 2023'!$J$4:$J$815,AB$1)</f>
        <v>0</v>
      </c>
      <c r="AC51" s="207">
        <f>SUMIFS('май 2023'!$G$4:$G$815,'май 2023'!$D$4:$D$815,$B51,'май 2023'!$J$4:$J$815,AC$1)</f>
        <v>0</v>
      </c>
      <c r="AD51" s="207">
        <f>SUMIFS('май 2023'!$G$4:$G$815,'май 2023'!$D$4:$D$815,$B51,'май 2023'!$J$4:$J$815,AD$1)</f>
        <v>0</v>
      </c>
      <c r="AE51" s="207">
        <f>SUMIFS('май 2023'!$G$4:$G$815,'май 2023'!$D$4:$D$815,$B51,'май 2023'!$J$4:$J$815,AE$1)</f>
        <v>0</v>
      </c>
      <c r="AF51" s="207">
        <f>SUMIFS('май 2023'!$G$4:$G$815,'май 2023'!$D$4:$D$815,$B51,'май 2023'!$J$4:$J$815,AF$1)</f>
        <v>0</v>
      </c>
      <c r="AG51" s="207">
        <f>SUMIFS('май 2023'!$G$4:$G$815,'май 2023'!$D$4:$D$815,$B51,'май 2023'!$J$4:$J$815,AG$1)</f>
        <v>0</v>
      </c>
      <c r="AH51" s="207">
        <f>SUMIFS('май 2023'!$G$4:$G$815,'май 2023'!$D$4:$D$815,$B51,'май 2023'!$J$4:$J$815,AH$1)</f>
        <v>0</v>
      </c>
      <c r="AI51" s="170">
        <f t="shared" si="1"/>
        <v>92</v>
      </c>
    </row>
    <row r="52" spans="2:35" ht="15" customHeight="1" x14ac:dyDescent="0.25">
      <c r="B52" s="212" t="s">
        <v>1415</v>
      </c>
      <c r="C52" s="213">
        <v>200</v>
      </c>
      <c r="D52" s="207">
        <f>SUMIFS('май 2023'!$G$4:$G$815,'май 2023'!$D$4:$D$815,$B52,'май 2023'!$J$4:$J$815,D$1)</f>
        <v>0</v>
      </c>
      <c r="E52" s="207">
        <f>SUMIFS('май 2023'!$G$4:$G$815,'май 2023'!$D$4:$D$815,$B52,'май 2023'!$J$4:$J$815,E$1)</f>
        <v>0</v>
      </c>
      <c r="F52" s="207">
        <f>SUMIFS('май 2023'!$G$4:$G$815,'май 2023'!$D$4:$D$815,$B52,'май 2023'!$J$4:$J$815,F$1)</f>
        <v>0</v>
      </c>
      <c r="G52" s="207">
        <f>SUMIFS('май 2023'!$G$4:$G$815,'май 2023'!$D$4:$D$815,$B52,'май 2023'!$J$4:$J$815,G$1)</f>
        <v>0</v>
      </c>
      <c r="H52" s="207">
        <f>SUMIFS('май 2023'!$G$4:$G$815,'май 2023'!$D$4:$D$815,$B52,'май 2023'!$J$4:$J$815,H$1)</f>
        <v>0</v>
      </c>
      <c r="I52" s="207">
        <f>SUMIFS('май 2023'!$G$4:$G$815,'май 2023'!$D$4:$D$815,$B52,'май 2023'!$J$4:$J$815,I$1)</f>
        <v>0</v>
      </c>
      <c r="J52" s="207">
        <f>SUMIFS('май 2023'!$G$4:$G$815,'май 2023'!$D$4:$D$815,$B52,'май 2023'!$J$4:$J$815,J$1)</f>
        <v>0</v>
      </c>
      <c r="K52" s="207">
        <f>SUMIFS('май 2023'!$G$4:$G$815,'май 2023'!$D$4:$D$815,$B52,'май 2023'!$J$4:$J$815,K$1)</f>
        <v>0</v>
      </c>
      <c r="L52" s="207">
        <f>SUMIFS('май 2023'!$G$4:$G$815,'май 2023'!$D$4:$D$815,$B52,'май 2023'!$J$4:$J$815,L$1)</f>
        <v>0</v>
      </c>
      <c r="M52" s="207">
        <f>SUMIFS('май 2023'!$G$4:$G$815,'май 2023'!$D$4:$D$815,$B52,'май 2023'!$J$4:$J$815,M$1)</f>
        <v>0</v>
      </c>
      <c r="N52" s="207">
        <f>SUMIFS('май 2023'!$G$4:$G$815,'май 2023'!$D$4:$D$815,$B52,'май 2023'!$J$4:$J$815,N$1)</f>
        <v>0</v>
      </c>
      <c r="O52" s="207">
        <f>SUMIFS('май 2023'!$G$4:$G$815,'май 2023'!$D$4:$D$815,$B52,'май 2023'!$J$4:$J$815,O$1)</f>
        <v>0</v>
      </c>
      <c r="P52" s="207">
        <f>SUMIFS('май 2023'!$G$4:$G$815,'май 2023'!$D$4:$D$815,$B52,'май 2023'!$J$4:$J$815,P$1)</f>
        <v>0</v>
      </c>
      <c r="Q52" s="207">
        <f>SUMIFS('май 2023'!$G$4:$G$815,'май 2023'!$D$4:$D$815,$B52,'май 2023'!$J$4:$J$815,Q$1)</f>
        <v>0</v>
      </c>
      <c r="R52" s="207">
        <f>SUMIFS('май 2023'!$G$4:$G$815,'май 2023'!$D$4:$D$815,$B52,'май 2023'!$J$4:$J$815,R$1)</f>
        <v>0</v>
      </c>
      <c r="S52" s="207">
        <f>SUMIFS('май 2023'!$G$4:$G$815,'май 2023'!$D$4:$D$815,$B52,'май 2023'!$J$4:$J$815,S$1)</f>
        <v>0</v>
      </c>
      <c r="T52" s="207">
        <f>SUMIFS('май 2023'!$G$4:$G$815,'май 2023'!$D$4:$D$815,$B52,'май 2023'!$J$4:$J$815,T$1)</f>
        <v>0</v>
      </c>
      <c r="U52" s="207">
        <f>SUMIFS('май 2023'!$G$4:$G$815,'май 2023'!$D$4:$D$815,$B52,'май 2023'!$J$4:$J$815,U$1)</f>
        <v>0</v>
      </c>
      <c r="V52" s="207">
        <f>SUMIFS('май 2023'!$G$4:$G$815,'май 2023'!$D$4:$D$815,$B52,'май 2023'!$J$4:$J$815,V$1)</f>
        <v>0</v>
      </c>
      <c r="W52" s="207">
        <f>SUMIFS('май 2023'!$G$4:$G$815,'май 2023'!$D$4:$D$815,$B52,'май 2023'!$J$4:$J$815,W$1)</f>
        <v>0</v>
      </c>
      <c r="X52" s="207">
        <f>SUMIFS('май 2023'!$G$4:$G$815,'май 2023'!$D$4:$D$815,$B52,'май 2023'!$J$4:$J$815,X$1)</f>
        <v>0</v>
      </c>
      <c r="Y52" s="207">
        <f>SUMIFS('май 2023'!$G$4:$G$815,'май 2023'!$D$4:$D$815,$B52,'май 2023'!$J$4:$J$815,Y$1)</f>
        <v>0</v>
      </c>
      <c r="Z52" s="207">
        <f>SUMIFS('май 2023'!$G$4:$G$815,'май 2023'!$D$4:$D$815,$B52,'май 2023'!$J$4:$J$815,Z$1)</f>
        <v>0</v>
      </c>
      <c r="AA52" s="207">
        <f>SUMIFS('май 2023'!$G$4:$G$815,'май 2023'!$D$4:$D$815,$B52,'май 2023'!$J$4:$J$815,AA$1)</f>
        <v>0</v>
      </c>
      <c r="AB52" s="207">
        <f>SUMIFS('май 2023'!$G$4:$G$815,'май 2023'!$D$4:$D$815,$B52,'май 2023'!$J$4:$J$815,AB$1)</f>
        <v>0</v>
      </c>
      <c r="AC52" s="207">
        <f>SUMIFS('май 2023'!$G$4:$G$815,'май 2023'!$D$4:$D$815,$B52,'май 2023'!$J$4:$J$815,AC$1)</f>
        <v>0</v>
      </c>
      <c r="AD52" s="207">
        <f>SUMIFS('май 2023'!$G$4:$G$815,'май 2023'!$D$4:$D$815,$B52,'май 2023'!$J$4:$J$815,AD$1)</f>
        <v>0</v>
      </c>
      <c r="AE52" s="207">
        <f>SUMIFS('май 2023'!$G$4:$G$815,'май 2023'!$D$4:$D$815,$B52,'май 2023'!$J$4:$J$815,AE$1)</f>
        <v>0</v>
      </c>
      <c r="AF52" s="207">
        <f>SUMIFS('май 2023'!$G$4:$G$815,'май 2023'!$D$4:$D$815,$B52,'май 2023'!$J$4:$J$815,AF$1)</f>
        <v>0</v>
      </c>
      <c r="AG52" s="207">
        <f>SUMIFS('май 2023'!$G$4:$G$815,'май 2023'!$D$4:$D$815,$B52,'май 2023'!$J$4:$J$815,AG$1)</f>
        <v>0</v>
      </c>
      <c r="AH52" s="207">
        <f>SUMIFS('май 2023'!$G$4:$G$815,'май 2023'!$D$4:$D$815,$B52,'май 2023'!$J$4:$J$815,AH$1)</f>
        <v>0</v>
      </c>
      <c r="AI52" s="170">
        <f>SUM(D52:AH52)</f>
        <v>0</v>
      </c>
    </row>
    <row r="53" spans="2:35" ht="15" customHeight="1" x14ac:dyDescent="0.25">
      <c r="B53" s="212" t="s">
        <v>2144</v>
      </c>
      <c r="C53" s="213">
        <v>200</v>
      </c>
      <c r="D53" s="207">
        <f>SUMIFS('май 2023'!$G$4:$G$815,'май 2023'!$D$4:$D$815,$B53,'май 2023'!$J$4:$J$815,D$1)</f>
        <v>0</v>
      </c>
      <c r="E53" s="207">
        <f>SUMIFS('май 2023'!$G$4:$G$815,'май 2023'!$D$4:$D$815,$B53,'май 2023'!$J$4:$J$815,E$1)</f>
        <v>0</v>
      </c>
      <c r="F53" s="207">
        <f>SUMIFS('май 2023'!$G$4:$G$815,'май 2023'!$D$4:$D$815,$B53,'май 2023'!$J$4:$J$815,F$1)</f>
        <v>0</v>
      </c>
      <c r="G53" s="207">
        <f>SUMIFS('май 2023'!$G$4:$G$815,'май 2023'!$D$4:$D$815,$B53,'май 2023'!$J$4:$J$815,G$1)</f>
        <v>0</v>
      </c>
      <c r="H53" s="207">
        <f>SUMIFS('май 2023'!$G$4:$G$815,'май 2023'!$D$4:$D$815,$B53,'май 2023'!$J$4:$J$815,H$1)</f>
        <v>0</v>
      </c>
      <c r="I53" s="207">
        <f>SUMIFS('май 2023'!$G$4:$G$815,'май 2023'!$D$4:$D$815,$B53,'май 2023'!$J$4:$J$815,I$1)</f>
        <v>0</v>
      </c>
      <c r="J53" s="207">
        <f>SUMIFS('май 2023'!$G$4:$G$815,'май 2023'!$D$4:$D$815,$B53,'май 2023'!$J$4:$J$815,J$1)</f>
        <v>0</v>
      </c>
      <c r="K53" s="207">
        <f>SUMIFS('май 2023'!$G$4:$G$815,'май 2023'!$D$4:$D$815,$B53,'май 2023'!$J$4:$J$815,K$1)</f>
        <v>0</v>
      </c>
      <c r="L53" s="207">
        <f>SUMIFS('май 2023'!$G$4:$G$815,'май 2023'!$D$4:$D$815,$B53,'май 2023'!$J$4:$J$815,L$1)</f>
        <v>0</v>
      </c>
      <c r="M53" s="207">
        <f>SUMIFS('май 2023'!$G$4:$G$815,'май 2023'!$D$4:$D$815,$B53,'май 2023'!$J$4:$J$815,M$1)</f>
        <v>0</v>
      </c>
      <c r="N53" s="207">
        <f>SUMIFS('май 2023'!$G$4:$G$815,'май 2023'!$D$4:$D$815,$B53,'май 2023'!$J$4:$J$815,N$1)</f>
        <v>0</v>
      </c>
      <c r="O53" s="207">
        <f>SUMIFS('май 2023'!$G$4:$G$815,'май 2023'!$D$4:$D$815,$B53,'май 2023'!$J$4:$J$815,O$1)</f>
        <v>0</v>
      </c>
      <c r="P53" s="207">
        <f>SUMIFS('май 2023'!$G$4:$G$815,'май 2023'!$D$4:$D$815,$B53,'май 2023'!$J$4:$J$815,P$1)</f>
        <v>0</v>
      </c>
      <c r="Q53" s="207">
        <f>SUMIFS('май 2023'!$G$4:$G$815,'май 2023'!$D$4:$D$815,$B53,'май 2023'!$J$4:$J$815,Q$1)</f>
        <v>0</v>
      </c>
      <c r="R53" s="207">
        <f>SUMIFS('май 2023'!$G$4:$G$815,'май 2023'!$D$4:$D$815,$B53,'май 2023'!$J$4:$J$815,R$1)</f>
        <v>0</v>
      </c>
      <c r="S53" s="207">
        <f>SUMIFS('май 2023'!$G$4:$G$815,'май 2023'!$D$4:$D$815,$B53,'май 2023'!$J$4:$J$815,S$1)</f>
        <v>0</v>
      </c>
      <c r="T53" s="207">
        <f>SUMIFS('май 2023'!$G$4:$G$815,'май 2023'!$D$4:$D$815,$B53,'май 2023'!$J$4:$J$815,T$1)</f>
        <v>0</v>
      </c>
      <c r="U53" s="207">
        <f>SUMIFS('май 2023'!$G$4:$G$815,'май 2023'!$D$4:$D$815,$B53,'май 2023'!$J$4:$J$815,U$1)</f>
        <v>0</v>
      </c>
      <c r="V53" s="207">
        <f>SUMIFS('май 2023'!$G$4:$G$815,'май 2023'!$D$4:$D$815,$B53,'май 2023'!$J$4:$J$815,V$1)</f>
        <v>0</v>
      </c>
      <c r="W53" s="207">
        <f>SUMIFS('май 2023'!$G$4:$G$815,'май 2023'!$D$4:$D$815,$B53,'май 2023'!$J$4:$J$815,W$1)</f>
        <v>0</v>
      </c>
      <c r="X53" s="207">
        <f>SUMIFS('май 2023'!$G$4:$G$815,'май 2023'!$D$4:$D$815,$B53,'май 2023'!$J$4:$J$815,X$1)</f>
        <v>0</v>
      </c>
      <c r="Y53" s="207">
        <f>SUMIFS('май 2023'!$G$4:$G$815,'май 2023'!$D$4:$D$815,$B53,'май 2023'!$J$4:$J$815,Y$1)</f>
        <v>0</v>
      </c>
      <c r="Z53" s="207">
        <f>SUMIFS('май 2023'!$G$4:$G$815,'май 2023'!$D$4:$D$815,$B53,'май 2023'!$J$4:$J$815,Z$1)</f>
        <v>0</v>
      </c>
      <c r="AA53" s="207">
        <f>SUMIFS('май 2023'!$G$4:$G$815,'май 2023'!$D$4:$D$815,$B53,'май 2023'!$J$4:$J$815,AA$1)</f>
        <v>0</v>
      </c>
      <c r="AB53" s="207">
        <f>SUMIFS('май 2023'!$G$4:$G$815,'май 2023'!$D$4:$D$815,$B53,'май 2023'!$J$4:$J$815,AB$1)</f>
        <v>0</v>
      </c>
      <c r="AC53" s="207">
        <f>SUMIFS('май 2023'!$G$4:$G$815,'май 2023'!$D$4:$D$815,$B53,'май 2023'!$J$4:$J$815,AC$1)</f>
        <v>0</v>
      </c>
      <c r="AD53" s="207">
        <f>SUMIFS('май 2023'!$G$4:$G$815,'май 2023'!$D$4:$D$815,$B53,'май 2023'!$J$4:$J$815,AD$1)</f>
        <v>0</v>
      </c>
      <c r="AE53" s="207">
        <f>SUMIFS('май 2023'!$G$4:$G$815,'май 2023'!$D$4:$D$815,$B53,'май 2023'!$J$4:$J$815,AE$1)</f>
        <v>0</v>
      </c>
      <c r="AF53" s="207">
        <f>SUMIFS('май 2023'!$G$4:$G$815,'май 2023'!$D$4:$D$815,$B53,'май 2023'!$J$4:$J$815,AF$1)</f>
        <v>0</v>
      </c>
      <c r="AG53" s="207">
        <f>SUMIFS('май 2023'!$G$4:$G$815,'май 2023'!$D$4:$D$815,$B53,'май 2023'!$J$4:$J$815,AG$1)</f>
        <v>0</v>
      </c>
      <c r="AH53" s="207">
        <f>SUMIFS('май 2023'!$G$4:$G$815,'май 2023'!$D$4:$D$815,$B53,'май 2023'!$J$4:$J$815,AH$1)</f>
        <v>0</v>
      </c>
      <c r="AI53" s="170">
        <f t="shared" si="1"/>
        <v>0</v>
      </c>
    </row>
    <row r="54" spans="2:35" ht="15" customHeight="1" x14ac:dyDescent="0.25">
      <c r="B54" s="217" t="s">
        <v>50</v>
      </c>
      <c r="C54" s="213">
        <v>200</v>
      </c>
      <c r="D54" s="207">
        <f>SUMIFS('май 2023'!$G$4:$G$815,'май 2023'!$D$4:$D$815,$B54,'май 2023'!$J$4:$J$815,D$1)</f>
        <v>0</v>
      </c>
      <c r="E54" s="207">
        <f>SUMIFS('май 2023'!$G$4:$G$815,'май 2023'!$D$4:$D$815,$B54,'май 2023'!$J$4:$J$815,E$1)</f>
        <v>0</v>
      </c>
      <c r="F54" s="207">
        <f>SUMIFS('май 2023'!$G$4:$G$815,'май 2023'!$D$4:$D$815,$B54,'май 2023'!$J$4:$J$815,F$1)</f>
        <v>0</v>
      </c>
      <c r="G54" s="207">
        <f>SUMIFS('май 2023'!$G$4:$G$815,'май 2023'!$D$4:$D$815,$B54,'май 2023'!$J$4:$J$815,G$1)</f>
        <v>0</v>
      </c>
      <c r="H54" s="207">
        <f>SUMIFS('май 2023'!$G$4:$G$815,'май 2023'!$D$4:$D$815,$B54,'май 2023'!$J$4:$J$815,H$1)</f>
        <v>0</v>
      </c>
      <c r="I54" s="207">
        <f>SUMIFS('май 2023'!$G$4:$G$815,'май 2023'!$D$4:$D$815,$B54,'май 2023'!$J$4:$J$815,I$1)</f>
        <v>0</v>
      </c>
      <c r="J54" s="207">
        <f>SUMIFS('май 2023'!$G$4:$G$815,'май 2023'!$D$4:$D$815,$B54,'май 2023'!$J$4:$J$815,J$1)</f>
        <v>0</v>
      </c>
      <c r="K54" s="207">
        <f>SUMIFS('май 2023'!$G$4:$G$815,'май 2023'!$D$4:$D$815,$B54,'май 2023'!$J$4:$J$815,K$1)</f>
        <v>0</v>
      </c>
      <c r="L54" s="207">
        <f>SUMIFS('май 2023'!$G$4:$G$815,'май 2023'!$D$4:$D$815,$B54,'май 2023'!$J$4:$J$815,L$1)</f>
        <v>0</v>
      </c>
      <c r="M54" s="207">
        <f>SUMIFS('май 2023'!$G$4:$G$815,'май 2023'!$D$4:$D$815,$B54,'май 2023'!$J$4:$J$815,M$1)</f>
        <v>0</v>
      </c>
      <c r="N54" s="207">
        <f>SUMIFS('май 2023'!$G$4:$G$815,'май 2023'!$D$4:$D$815,$B54,'май 2023'!$J$4:$J$815,N$1)</f>
        <v>0</v>
      </c>
      <c r="O54" s="207">
        <f>SUMIFS('май 2023'!$G$4:$G$815,'май 2023'!$D$4:$D$815,$B54,'май 2023'!$J$4:$J$815,O$1)</f>
        <v>0</v>
      </c>
      <c r="P54" s="207">
        <f>SUMIFS('май 2023'!$G$4:$G$815,'май 2023'!$D$4:$D$815,$B54,'май 2023'!$J$4:$J$815,P$1)</f>
        <v>0</v>
      </c>
      <c r="Q54" s="207">
        <f>SUMIFS('май 2023'!$G$4:$G$815,'май 2023'!$D$4:$D$815,$B54,'май 2023'!$J$4:$J$815,Q$1)</f>
        <v>0</v>
      </c>
      <c r="R54" s="207">
        <f>SUMIFS('май 2023'!$G$4:$G$815,'май 2023'!$D$4:$D$815,$B54,'май 2023'!$J$4:$J$815,R$1)</f>
        <v>0</v>
      </c>
      <c r="S54" s="207">
        <f>SUMIFS('май 2023'!$G$4:$G$815,'май 2023'!$D$4:$D$815,$B54,'май 2023'!$J$4:$J$815,S$1)</f>
        <v>0</v>
      </c>
      <c r="T54" s="207">
        <f>SUMIFS('май 2023'!$G$4:$G$815,'май 2023'!$D$4:$D$815,$B54,'май 2023'!$J$4:$J$815,T$1)</f>
        <v>0</v>
      </c>
      <c r="U54" s="207">
        <f>SUMIFS('май 2023'!$G$4:$G$815,'май 2023'!$D$4:$D$815,$B54,'май 2023'!$J$4:$J$815,U$1)</f>
        <v>0</v>
      </c>
      <c r="V54" s="207">
        <f>SUMIFS('май 2023'!$G$4:$G$815,'май 2023'!$D$4:$D$815,$B54,'май 2023'!$J$4:$J$815,V$1)</f>
        <v>0</v>
      </c>
      <c r="W54" s="207">
        <f>SUMIFS('май 2023'!$G$4:$G$815,'май 2023'!$D$4:$D$815,$B54,'май 2023'!$J$4:$J$815,W$1)</f>
        <v>0</v>
      </c>
      <c r="X54" s="207">
        <f>SUMIFS('май 2023'!$G$4:$G$815,'май 2023'!$D$4:$D$815,$B54,'май 2023'!$J$4:$J$815,X$1)</f>
        <v>0</v>
      </c>
      <c r="Y54" s="207">
        <f>SUMIFS('май 2023'!$G$4:$G$815,'май 2023'!$D$4:$D$815,$B54,'май 2023'!$J$4:$J$815,Y$1)</f>
        <v>0</v>
      </c>
      <c r="Z54" s="207">
        <f>SUMIFS('май 2023'!$G$4:$G$815,'май 2023'!$D$4:$D$815,$B54,'май 2023'!$J$4:$J$815,Z$1)</f>
        <v>0</v>
      </c>
      <c r="AA54" s="207">
        <f>SUMIFS('май 2023'!$G$4:$G$815,'май 2023'!$D$4:$D$815,$B54,'май 2023'!$J$4:$J$815,AA$1)</f>
        <v>0</v>
      </c>
      <c r="AB54" s="207">
        <f>SUMIFS('май 2023'!$G$4:$G$815,'май 2023'!$D$4:$D$815,$B54,'май 2023'!$J$4:$J$815,AB$1)</f>
        <v>0</v>
      </c>
      <c r="AC54" s="207">
        <f>SUMIFS('май 2023'!$G$4:$G$815,'май 2023'!$D$4:$D$815,$B54,'май 2023'!$J$4:$J$815,AC$1)</f>
        <v>0</v>
      </c>
      <c r="AD54" s="207">
        <f>SUMIFS('май 2023'!$G$4:$G$815,'май 2023'!$D$4:$D$815,$B54,'май 2023'!$J$4:$J$815,AD$1)</f>
        <v>0</v>
      </c>
      <c r="AE54" s="207">
        <f>SUMIFS('май 2023'!$G$4:$G$815,'май 2023'!$D$4:$D$815,$B54,'май 2023'!$J$4:$J$815,AE$1)</f>
        <v>0</v>
      </c>
      <c r="AF54" s="207">
        <f>SUMIFS('май 2023'!$G$4:$G$815,'май 2023'!$D$4:$D$815,$B54,'май 2023'!$J$4:$J$815,AF$1)</f>
        <v>0</v>
      </c>
      <c r="AG54" s="207">
        <f>SUMIFS('май 2023'!$G$4:$G$815,'май 2023'!$D$4:$D$815,$B54,'май 2023'!$J$4:$J$815,AG$1)</f>
        <v>0</v>
      </c>
      <c r="AH54" s="207">
        <f>SUMIFS('май 2023'!$G$4:$G$815,'май 2023'!$D$4:$D$815,$B54,'май 2023'!$J$4:$J$815,AH$1)</f>
        <v>0</v>
      </c>
      <c r="AI54" s="170">
        <f t="shared" si="1"/>
        <v>0</v>
      </c>
    </row>
    <row r="55" spans="2:35" ht="15" customHeight="1" x14ac:dyDescent="0.25">
      <c r="B55" s="217" t="s">
        <v>2148</v>
      </c>
      <c r="C55" s="213">
        <v>190</v>
      </c>
      <c r="D55" s="207">
        <f>SUMIFS('май 2023'!$G$4:$G$815,'май 2023'!$D$4:$D$815,$B55,'май 2023'!$J$4:$J$815,D$1)</f>
        <v>0</v>
      </c>
      <c r="E55" s="207">
        <f>SUMIFS('май 2023'!$G$4:$G$815,'май 2023'!$D$4:$D$815,$B55,'май 2023'!$J$4:$J$815,E$1)</f>
        <v>0</v>
      </c>
      <c r="F55" s="207">
        <f>SUMIFS('май 2023'!$G$4:$G$815,'май 2023'!$D$4:$D$815,$B55,'май 2023'!$J$4:$J$815,F$1)</f>
        <v>0</v>
      </c>
      <c r="G55" s="207">
        <f>SUMIFS('май 2023'!$G$4:$G$815,'май 2023'!$D$4:$D$815,$B55,'май 2023'!$J$4:$J$815,G$1)</f>
        <v>0</v>
      </c>
      <c r="H55" s="207">
        <f>SUMIFS('май 2023'!$G$4:$G$815,'май 2023'!$D$4:$D$815,$B55,'май 2023'!$J$4:$J$815,H$1)</f>
        <v>0</v>
      </c>
      <c r="I55" s="207">
        <f>SUMIFS('май 2023'!$G$4:$G$815,'май 2023'!$D$4:$D$815,$B55,'май 2023'!$J$4:$J$815,I$1)</f>
        <v>0</v>
      </c>
      <c r="J55" s="207">
        <f>SUMIFS('май 2023'!$G$4:$G$815,'май 2023'!$D$4:$D$815,$B55,'май 2023'!$J$4:$J$815,J$1)</f>
        <v>0</v>
      </c>
      <c r="K55" s="207">
        <f>SUMIFS('май 2023'!$G$4:$G$815,'май 2023'!$D$4:$D$815,$B55,'май 2023'!$J$4:$J$815,K$1)</f>
        <v>0</v>
      </c>
      <c r="L55" s="207">
        <f>SUMIFS('май 2023'!$G$4:$G$815,'май 2023'!$D$4:$D$815,$B55,'май 2023'!$J$4:$J$815,L$1)</f>
        <v>0</v>
      </c>
      <c r="M55" s="207">
        <f>SUMIFS('май 2023'!$G$4:$G$815,'май 2023'!$D$4:$D$815,$B55,'май 2023'!$J$4:$J$815,M$1)</f>
        <v>0</v>
      </c>
      <c r="N55" s="207">
        <f>SUMIFS('май 2023'!$G$4:$G$815,'май 2023'!$D$4:$D$815,$B55,'май 2023'!$J$4:$J$815,N$1)</f>
        <v>0</v>
      </c>
      <c r="O55" s="207">
        <f>SUMIFS('май 2023'!$G$4:$G$815,'май 2023'!$D$4:$D$815,$B55,'май 2023'!$J$4:$J$815,O$1)</f>
        <v>0</v>
      </c>
      <c r="P55" s="207">
        <f>SUMIFS('май 2023'!$G$4:$G$815,'май 2023'!$D$4:$D$815,$B55,'май 2023'!$J$4:$J$815,P$1)</f>
        <v>0</v>
      </c>
      <c r="Q55" s="207">
        <f>SUMIFS('май 2023'!$G$4:$G$815,'май 2023'!$D$4:$D$815,$B55,'май 2023'!$J$4:$J$815,Q$1)</f>
        <v>0</v>
      </c>
      <c r="R55" s="207">
        <f>SUMIFS('май 2023'!$G$4:$G$815,'май 2023'!$D$4:$D$815,$B55,'май 2023'!$J$4:$J$815,R$1)</f>
        <v>0</v>
      </c>
      <c r="S55" s="207">
        <f>SUMIFS('май 2023'!$G$4:$G$815,'май 2023'!$D$4:$D$815,$B55,'май 2023'!$J$4:$J$815,S$1)</f>
        <v>0</v>
      </c>
      <c r="T55" s="207">
        <f>SUMIFS('май 2023'!$G$4:$G$815,'май 2023'!$D$4:$D$815,$B55,'май 2023'!$J$4:$J$815,T$1)</f>
        <v>0</v>
      </c>
      <c r="U55" s="207">
        <f>SUMIFS('май 2023'!$G$4:$G$815,'май 2023'!$D$4:$D$815,$B55,'май 2023'!$J$4:$J$815,U$1)</f>
        <v>0</v>
      </c>
      <c r="V55" s="207">
        <f>SUMIFS('май 2023'!$G$4:$G$815,'май 2023'!$D$4:$D$815,$B55,'май 2023'!$J$4:$J$815,V$1)</f>
        <v>0</v>
      </c>
      <c r="W55" s="207">
        <f>SUMIFS('май 2023'!$G$4:$G$815,'май 2023'!$D$4:$D$815,$B55,'май 2023'!$J$4:$J$815,W$1)</f>
        <v>0</v>
      </c>
      <c r="X55" s="207">
        <f>SUMIFS('май 2023'!$G$4:$G$815,'май 2023'!$D$4:$D$815,$B55,'май 2023'!$J$4:$J$815,X$1)</f>
        <v>0</v>
      </c>
      <c r="Y55" s="207">
        <f>SUMIFS('май 2023'!$G$4:$G$815,'май 2023'!$D$4:$D$815,$B55,'май 2023'!$J$4:$J$815,Y$1)</f>
        <v>0</v>
      </c>
      <c r="Z55" s="207">
        <f>SUMIFS('май 2023'!$G$4:$G$815,'май 2023'!$D$4:$D$815,$B55,'май 2023'!$J$4:$J$815,Z$1)</f>
        <v>0</v>
      </c>
      <c r="AA55" s="207">
        <f>SUMIFS('май 2023'!$G$4:$G$815,'май 2023'!$D$4:$D$815,$B55,'май 2023'!$J$4:$J$815,AA$1)</f>
        <v>0</v>
      </c>
      <c r="AB55" s="207">
        <f>SUMIFS('май 2023'!$G$4:$G$815,'май 2023'!$D$4:$D$815,$B55,'май 2023'!$J$4:$J$815,AB$1)</f>
        <v>0</v>
      </c>
      <c r="AC55" s="207">
        <f>SUMIFS('май 2023'!$G$4:$G$815,'май 2023'!$D$4:$D$815,$B55,'май 2023'!$J$4:$J$815,AC$1)</f>
        <v>0</v>
      </c>
      <c r="AD55" s="207">
        <f>SUMIFS('май 2023'!$G$4:$G$815,'май 2023'!$D$4:$D$815,$B55,'май 2023'!$J$4:$J$815,AD$1)</f>
        <v>0</v>
      </c>
      <c r="AE55" s="207">
        <f>SUMIFS('май 2023'!$G$4:$G$815,'май 2023'!$D$4:$D$815,$B55,'май 2023'!$J$4:$J$815,AE$1)</f>
        <v>0</v>
      </c>
      <c r="AF55" s="207">
        <f>SUMIFS('май 2023'!$G$4:$G$815,'май 2023'!$D$4:$D$815,$B55,'май 2023'!$J$4:$J$815,AF$1)</f>
        <v>0</v>
      </c>
      <c r="AG55" s="207">
        <f>SUMIFS('май 2023'!$G$4:$G$815,'май 2023'!$D$4:$D$815,$B55,'май 2023'!$J$4:$J$815,AG$1)</f>
        <v>0</v>
      </c>
      <c r="AH55" s="207">
        <f>SUMIFS('май 2023'!$G$4:$G$815,'май 2023'!$D$4:$D$815,$B55,'май 2023'!$J$4:$J$815,AH$1)</f>
        <v>0</v>
      </c>
      <c r="AI55" s="170">
        <f t="shared" si="1"/>
        <v>0</v>
      </c>
    </row>
    <row r="56" spans="2:35" ht="15" customHeight="1" x14ac:dyDescent="0.25">
      <c r="B56" s="217" t="s">
        <v>421</v>
      </c>
      <c r="C56" s="213">
        <v>200</v>
      </c>
      <c r="D56" s="207">
        <f>SUMIFS('май 2023'!$G$4:$G$815,'май 2023'!$D$4:$D$815,$B56,'май 2023'!$J$4:$J$815,D$1)</f>
        <v>0</v>
      </c>
      <c r="E56" s="207">
        <f>SUMIFS('май 2023'!$G$4:$G$815,'май 2023'!$D$4:$D$815,$B56,'май 2023'!$J$4:$J$815,E$1)</f>
        <v>88</v>
      </c>
      <c r="F56" s="207">
        <f>SUMIFS('май 2023'!$G$4:$G$815,'май 2023'!$D$4:$D$815,$B56,'май 2023'!$J$4:$J$815,F$1)</f>
        <v>0</v>
      </c>
      <c r="G56" s="207">
        <f>SUMIFS('май 2023'!$G$4:$G$815,'май 2023'!$D$4:$D$815,$B56,'май 2023'!$J$4:$J$815,G$1)</f>
        <v>0</v>
      </c>
      <c r="H56" s="207">
        <f>SUMIFS('май 2023'!$G$4:$G$815,'май 2023'!$D$4:$D$815,$B56,'май 2023'!$J$4:$J$815,H$1)</f>
        <v>88</v>
      </c>
      <c r="I56" s="207">
        <f>SUMIFS('май 2023'!$G$4:$G$815,'май 2023'!$D$4:$D$815,$B56,'май 2023'!$J$4:$J$815,I$1)</f>
        <v>0</v>
      </c>
      <c r="J56" s="207">
        <f>SUMIFS('май 2023'!$G$4:$G$815,'май 2023'!$D$4:$D$815,$B56,'май 2023'!$J$4:$J$815,J$1)</f>
        <v>0</v>
      </c>
      <c r="K56" s="207">
        <f>SUMIFS('май 2023'!$G$4:$G$815,'май 2023'!$D$4:$D$815,$B56,'май 2023'!$J$4:$J$815,K$1)</f>
        <v>0</v>
      </c>
      <c r="L56" s="207">
        <f>SUMIFS('май 2023'!$G$4:$G$815,'май 2023'!$D$4:$D$815,$B56,'май 2023'!$J$4:$J$815,L$1)</f>
        <v>0</v>
      </c>
      <c r="M56" s="207">
        <f>SUMIFS('май 2023'!$G$4:$G$815,'май 2023'!$D$4:$D$815,$B56,'май 2023'!$J$4:$J$815,M$1)</f>
        <v>0</v>
      </c>
      <c r="N56" s="207">
        <f>SUMIFS('май 2023'!$G$4:$G$815,'май 2023'!$D$4:$D$815,$B56,'май 2023'!$J$4:$J$815,N$1)</f>
        <v>0</v>
      </c>
      <c r="O56" s="207">
        <f>SUMIFS('май 2023'!$G$4:$G$815,'май 2023'!$D$4:$D$815,$B56,'май 2023'!$J$4:$J$815,O$1)</f>
        <v>0</v>
      </c>
      <c r="P56" s="207">
        <f>SUMIFS('май 2023'!$G$4:$G$815,'май 2023'!$D$4:$D$815,$B56,'май 2023'!$J$4:$J$815,P$1)</f>
        <v>0</v>
      </c>
      <c r="Q56" s="207">
        <f>SUMIFS('май 2023'!$G$4:$G$815,'май 2023'!$D$4:$D$815,$B56,'май 2023'!$J$4:$J$815,Q$1)</f>
        <v>0</v>
      </c>
      <c r="R56" s="207">
        <f>SUMIFS('май 2023'!$G$4:$G$815,'май 2023'!$D$4:$D$815,$B56,'май 2023'!$J$4:$J$815,R$1)</f>
        <v>0</v>
      </c>
      <c r="S56" s="207">
        <f>SUMIFS('май 2023'!$G$4:$G$815,'май 2023'!$D$4:$D$815,$B56,'май 2023'!$J$4:$J$815,S$1)</f>
        <v>0</v>
      </c>
      <c r="T56" s="207">
        <f>SUMIFS('май 2023'!$G$4:$G$815,'май 2023'!$D$4:$D$815,$B56,'май 2023'!$J$4:$J$815,T$1)</f>
        <v>0</v>
      </c>
      <c r="U56" s="207">
        <f>SUMIFS('май 2023'!$G$4:$G$815,'май 2023'!$D$4:$D$815,$B56,'май 2023'!$J$4:$J$815,U$1)</f>
        <v>0</v>
      </c>
      <c r="V56" s="207">
        <f>SUMIFS('май 2023'!$G$4:$G$815,'май 2023'!$D$4:$D$815,$B56,'май 2023'!$J$4:$J$815,V$1)</f>
        <v>0</v>
      </c>
      <c r="W56" s="207">
        <f>SUMIFS('май 2023'!$G$4:$G$815,'май 2023'!$D$4:$D$815,$B56,'май 2023'!$J$4:$J$815,W$1)</f>
        <v>0</v>
      </c>
      <c r="X56" s="207">
        <f>SUMIFS('май 2023'!$G$4:$G$815,'май 2023'!$D$4:$D$815,$B56,'май 2023'!$J$4:$J$815,X$1)</f>
        <v>0</v>
      </c>
      <c r="Y56" s="207">
        <f>SUMIFS('май 2023'!$G$4:$G$815,'май 2023'!$D$4:$D$815,$B56,'май 2023'!$J$4:$J$815,Y$1)</f>
        <v>88</v>
      </c>
      <c r="Z56" s="207">
        <f>SUMIFS('май 2023'!$G$4:$G$815,'май 2023'!$D$4:$D$815,$B56,'май 2023'!$J$4:$J$815,Z$1)</f>
        <v>0</v>
      </c>
      <c r="AA56" s="207">
        <f>SUMIFS('май 2023'!$G$4:$G$815,'май 2023'!$D$4:$D$815,$B56,'май 2023'!$J$4:$J$815,AA$1)</f>
        <v>0</v>
      </c>
      <c r="AB56" s="207">
        <f>SUMIFS('май 2023'!$G$4:$G$815,'май 2023'!$D$4:$D$815,$B56,'май 2023'!$J$4:$J$815,AB$1)</f>
        <v>0</v>
      </c>
      <c r="AC56" s="207">
        <f>SUMIFS('май 2023'!$G$4:$G$815,'май 2023'!$D$4:$D$815,$B56,'май 2023'!$J$4:$J$815,AC$1)</f>
        <v>0</v>
      </c>
      <c r="AD56" s="207">
        <f>SUMIFS('май 2023'!$G$4:$G$815,'май 2023'!$D$4:$D$815,$B56,'май 2023'!$J$4:$J$815,AD$1)</f>
        <v>0</v>
      </c>
      <c r="AE56" s="207">
        <f>SUMIFS('май 2023'!$G$4:$G$815,'май 2023'!$D$4:$D$815,$B56,'май 2023'!$J$4:$J$815,AE$1)</f>
        <v>0</v>
      </c>
      <c r="AF56" s="207">
        <f>SUMIFS('май 2023'!$G$4:$G$815,'май 2023'!$D$4:$D$815,$B56,'май 2023'!$J$4:$J$815,AF$1)</f>
        <v>0</v>
      </c>
      <c r="AG56" s="207">
        <f>SUMIFS('май 2023'!$G$4:$G$815,'май 2023'!$D$4:$D$815,$B56,'май 2023'!$J$4:$J$815,AG$1)</f>
        <v>0</v>
      </c>
      <c r="AH56" s="207">
        <f>SUMIFS('май 2023'!$G$4:$G$815,'май 2023'!$D$4:$D$815,$B56,'май 2023'!$J$4:$J$815,AH$1)</f>
        <v>0</v>
      </c>
      <c r="AI56" s="170">
        <f t="shared" si="1"/>
        <v>264</v>
      </c>
    </row>
    <row r="57" spans="2:35" ht="15" customHeight="1" x14ac:dyDescent="0.25">
      <c r="B57" s="217" t="s">
        <v>222</v>
      </c>
      <c r="C57" s="213">
        <v>50</v>
      </c>
      <c r="D57" s="207">
        <f>SUMIFS('май 2023'!$G$4:$G$815,'май 2023'!$D$4:$D$815,$B57,'май 2023'!$J$4:$J$815,D$1)</f>
        <v>0</v>
      </c>
      <c r="E57" s="207">
        <f>SUMIFS('май 2023'!$G$4:$G$815,'май 2023'!$D$4:$D$815,$B57,'май 2023'!$J$4:$J$815,E$1)</f>
        <v>0</v>
      </c>
      <c r="F57" s="207">
        <f>SUMIFS('май 2023'!$G$4:$G$815,'май 2023'!$D$4:$D$815,$B57,'май 2023'!$J$4:$J$815,F$1)</f>
        <v>0</v>
      </c>
      <c r="G57" s="207">
        <f>SUMIFS('май 2023'!$G$4:$G$815,'май 2023'!$D$4:$D$815,$B57,'май 2023'!$J$4:$J$815,G$1)</f>
        <v>0</v>
      </c>
      <c r="H57" s="207">
        <f>SUMIFS('май 2023'!$G$4:$G$815,'май 2023'!$D$4:$D$815,$B57,'май 2023'!$J$4:$J$815,H$1)</f>
        <v>0</v>
      </c>
      <c r="I57" s="207">
        <f>SUMIFS('май 2023'!$G$4:$G$815,'май 2023'!$D$4:$D$815,$B57,'май 2023'!$J$4:$J$815,I$1)</f>
        <v>0</v>
      </c>
      <c r="J57" s="207">
        <f>SUMIFS('май 2023'!$G$4:$G$815,'май 2023'!$D$4:$D$815,$B57,'май 2023'!$J$4:$J$815,J$1)</f>
        <v>0</v>
      </c>
      <c r="K57" s="207">
        <f>SUMIFS('май 2023'!$G$4:$G$815,'май 2023'!$D$4:$D$815,$B57,'май 2023'!$J$4:$J$815,K$1)</f>
        <v>0</v>
      </c>
      <c r="L57" s="207">
        <f>SUMIFS('май 2023'!$G$4:$G$815,'май 2023'!$D$4:$D$815,$B57,'май 2023'!$J$4:$J$815,L$1)</f>
        <v>0</v>
      </c>
      <c r="M57" s="207">
        <f>SUMIFS('май 2023'!$G$4:$G$815,'май 2023'!$D$4:$D$815,$B57,'май 2023'!$J$4:$J$815,M$1)</f>
        <v>0</v>
      </c>
      <c r="N57" s="207">
        <f>SUMIFS('май 2023'!$G$4:$G$815,'май 2023'!$D$4:$D$815,$B57,'май 2023'!$J$4:$J$815,N$1)</f>
        <v>0</v>
      </c>
      <c r="O57" s="207">
        <f>SUMIFS('май 2023'!$G$4:$G$815,'май 2023'!$D$4:$D$815,$B57,'май 2023'!$J$4:$J$815,O$1)</f>
        <v>0</v>
      </c>
      <c r="P57" s="207">
        <f>SUMIFS('май 2023'!$G$4:$G$815,'май 2023'!$D$4:$D$815,$B57,'май 2023'!$J$4:$J$815,P$1)</f>
        <v>0</v>
      </c>
      <c r="Q57" s="207">
        <f>SUMIFS('май 2023'!$G$4:$G$815,'май 2023'!$D$4:$D$815,$B57,'май 2023'!$J$4:$J$815,Q$1)</f>
        <v>0</v>
      </c>
      <c r="R57" s="207">
        <f>SUMIFS('май 2023'!$G$4:$G$815,'май 2023'!$D$4:$D$815,$B57,'май 2023'!$J$4:$J$815,R$1)</f>
        <v>0</v>
      </c>
      <c r="S57" s="207">
        <f>SUMIFS('май 2023'!$G$4:$G$815,'май 2023'!$D$4:$D$815,$B57,'май 2023'!$J$4:$J$815,S$1)</f>
        <v>0</v>
      </c>
      <c r="T57" s="207">
        <f>SUMIFS('май 2023'!$G$4:$G$815,'май 2023'!$D$4:$D$815,$B57,'май 2023'!$J$4:$J$815,T$1)</f>
        <v>40</v>
      </c>
      <c r="U57" s="207">
        <f>SUMIFS('май 2023'!$G$4:$G$815,'май 2023'!$D$4:$D$815,$B57,'май 2023'!$J$4:$J$815,U$1)</f>
        <v>0</v>
      </c>
      <c r="V57" s="207">
        <f>SUMIFS('май 2023'!$G$4:$G$815,'май 2023'!$D$4:$D$815,$B57,'май 2023'!$J$4:$J$815,V$1)</f>
        <v>0</v>
      </c>
      <c r="W57" s="207">
        <f>SUMIFS('май 2023'!$G$4:$G$815,'май 2023'!$D$4:$D$815,$B57,'май 2023'!$J$4:$J$815,W$1)</f>
        <v>0</v>
      </c>
      <c r="X57" s="207">
        <f>SUMIFS('май 2023'!$G$4:$G$815,'май 2023'!$D$4:$D$815,$B57,'май 2023'!$J$4:$J$815,X$1)</f>
        <v>0</v>
      </c>
      <c r="Y57" s="207">
        <f>SUMIFS('май 2023'!$G$4:$G$815,'май 2023'!$D$4:$D$815,$B57,'май 2023'!$J$4:$J$815,Y$1)</f>
        <v>0</v>
      </c>
      <c r="Z57" s="207">
        <f>SUMIFS('май 2023'!$G$4:$G$815,'май 2023'!$D$4:$D$815,$B57,'май 2023'!$J$4:$J$815,Z$1)</f>
        <v>0</v>
      </c>
      <c r="AA57" s="207">
        <f>SUMIFS('май 2023'!$G$4:$G$815,'май 2023'!$D$4:$D$815,$B57,'май 2023'!$J$4:$J$815,AA$1)</f>
        <v>0</v>
      </c>
      <c r="AB57" s="207">
        <f>SUMIFS('май 2023'!$G$4:$G$815,'май 2023'!$D$4:$D$815,$B57,'май 2023'!$J$4:$J$815,AB$1)</f>
        <v>0</v>
      </c>
      <c r="AC57" s="207">
        <f>SUMIFS('май 2023'!$G$4:$G$815,'май 2023'!$D$4:$D$815,$B57,'май 2023'!$J$4:$J$815,AC$1)</f>
        <v>0</v>
      </c>
      <c r="AD57" s="207">
        <f>SUMIFS('май 2023'!$G$4:$G$815,'май 2023'!$D$4:$D$815,$B57,'май 2023'!$J$4:$J$815,AD$1)</f>
        <v>0</v>
      </c>
      <c r="AE57" s="207">
        <f>SUMIFS('май 2023'!$G$4:$G$815,'май 2023'!$D$4:$D$815,$B57,'май 2023'!$J$4:$J$815,AE$1)</f>
        <v>0</v>
      </c>
      <c r="AF57" s="207">
        <f>SUMIFS('май 2023'!$G$4:$G$815,'май 2023'!$D$4:$D$815,$B57,'май 2023'!$J$4:$J$815,AF$1)</f>
        <v>0</v>
      </c>
      <c r="AG57" s="207">
        <f>SUMIFS('май 2023'!$G$4:$G$815,'май 2023'!$D$4:$D$815,$B57,'май 2023'!$J$4:$J$815,AG$1)</f>
        <v>0</v>
      </c>
      <c r="AH57" s="207">
        <f>SUMIFS('май 2023'!$G$4:$G$815,'май 2023'!$D$4:$D$815,$B57,'май 2023'!$J$4:$J$815,AH$1)</f>
        <v>0</v>
      </c>
      <c r="AI57" s="170">
        <f t="shared" si="1"/>
        <v>40</v>
      </c>
    </row>
    <row r="58" spans="2:35" ht="15" customHeight="1" x14ac:dyDescent="0.25">
      <c r="B58" s="216" t="s">
        <v>66</v>
      </c>
      <c r="C58" s="213">
        <v>200</v>
      </c>
      <c r="D58" s="207">
        <f>SUMIFS('май 2023'!$G$4:$G$815,'май 2023'!$D$4:$D$815,$B58,'май 2023'!$J$4:$J$815,D$1)</f>
        <v>0</v>
      </c>
      <c r="E58" s="207">
        <f>SUMIFS('май 2023'!$G$4:$G$815,'май 2023'!$D$4:$D$815,$B58,'май 2023'!$J$4:$J$815,E$1)</f>
        <v>0</v>
      </c>
      <c r="F58" s="207">
        <f>SUMIFS('май 2023'!$G$4:$G$815,'май 2023'!$D$4:$D$815,$B58,'май 2023'!$J$4:$J$815,F$1)</f>
        <v>0</v>
      </c>
      <c r="G58" s="207">
        <f>SUMIFS('май 2023'!$G$4:$G$815,'май 2023'!$D$4:$D$815,$B58,'май 2023'!$J$4:$J$815,G$1)</f>
        <v>0</v>
      </c>
      <c r="H58" s="207">
        <f>SUMIFS('май 2023'!$G$4:$G$815,'май 2023'!$D$4:$D$815,$B58,'май 2023'!$J$4:$J$815,H$1)</f>
        <v>0</v>
      </c>
      <c r="I58" s="207">
        <f>SUMIFS('май 2023'!$G$4:$G$815,'май 2023'!$D$4:$D$815,$B58,'май 2023'!$J$4:$J$815,I$1)</f>
        <v>0</v>
      </c>
      <c r="J58" s="207">
        <f>SUMIFS('май 2023'!$G$4:$G$815,'май 2023'!$D$4:$D$815,$B58,'май 2023'!$J$4:$J$815,J$1)</f>
        <v>0</v>
      </c>
      <c r="K58" s="207">
        <f>SUMIFS('май 2023'!$G$4:$G$815,'май 2023'!$D$4:$D$815,$B58,'май 2023'!$J$4:$J$815,K$1)</f>
        <v>0</v>
      </c>
      <c r="L58" s="207">
        <f>SUMIFS('май 2023'!$G$4:$G$815,'май 2023'!$D$4:$D$815,$B58,'май 2023'!$J$4:$J$815,L$1)</f>
        <v>0</v>
      </c>
      <c r="M58" s="207">
        <f>SUMIFS('май 2023'!$G$4:$G$815,'май 2023'!$D$4:$D$815,$B58,'май 2023'!$J$4:$J$815,M$1)</f>
        <v>0</v>
      </c>
      <c r="N58" s="207">
        <f>SUMIFS('май 2023'!$G$4:$G$815,'май 2023'!$D$4:$D$815,$B58,'май 2023'!$J$4:$J$815,N$1)</f>
        <v>0</v>
      </c>
      <c r="O58" s="207">
        <f>SUMIFS('май 2023'!$G$4:$G$815,'май 2023'!$D$4:$D$815,$B58,'май 2023'!$J$4:$J$815,O$1)</f>
        <v>48</v>
      </c>
      <c r="P58" s="207">
        <f>SUMIFS('май 2023'!$G$4:$G$815,'май 2023'!$D$4:$D$815,$B58,'май 2023'!$J$4:$J$815,P$1)</f>
        <v>0</v>
      </c>
      <c r="Q58" s="207">
        <f>SUMIFS('май 2023'!$G$4:$G$815,'май 2023'!$D$4:$D$815,$B58,'май 2023'!$J$4:$J$815,Q$1)</f>
        <v>0</v>
      </c>
      <c r="R58" s="207">
        <f>SUMIFS('май 2023'!$G$4:$G$815,'май 2023'!$D$4:$D$815,$B58,'май 2023'!$J$4:$J$815,R$1)</f>
        <v>0</v>
      </c>
      <c r="S58" s="207">
        <f>SUMIFS('май 2023'!$G$4:$G$815,'май 2023'!$D$4:$D$815,$B58,'май 2023'!$J$4:$J$815,S$1)</f>
        <v>0</v>
      </c>
      <c r="T58" s="207">
        <f>SUMIFS('май 2023'!$G$4:$G$815,'май 2023'!$D$4:$D$815,$B58,'май 2023'!$J$4:$J$815,T$1)</f>
        <v>0</v>
      </c>
      <c r="U58" s="207">
        <f>SUMIFS('май 2023'!$G$4:$G$815,'май 2023'!$D$4:$D$815,$B58,'май 2023'!$J$4:$J$815,U$1)</f>
        <v>0</v>
      </c>
      <c r="V58" s="207">
        <f>SUMIFS('май 2023'!$G$4:$G$815,'май 2023'!$D$4:$D$815,$B58,'май 2023'!$J$4:$J$815,V$1)</f>
        <v>0</v>
      </c>
      <c r="W58" s="207">
        <f>SUMIFS('май 2023'!$G$4:$G$815,'май 2023'!$D$4:$D$815,$B58,'май 2023'!$J$4:$J$815,W$1)</f>
        <v>0</v>
      </c>
      <c r="X58" s="207">
        <f>SUMIFS('май 2023'!$G$4:$G$815,'май 2023'!$D$4:$D$815,$B58,'май 2023'!$J$4:$J$815,X$1)</f>
        <v>0</v>
      </c>
      <c r="Y58" s="207">
        <f>SUMIFS('май 2023'!$G$4:$G$815,'май 2023'!$D$4:$D$815,$B58,'май 2023'!$J$4:$J$815,Y$1)</f>
        <v>0</v>
      </c>
      <c r="Z58" s="207">
        <f>SUMIFS('май 2023'!$G$4:$G$815,'май 2023'!$D$4:$D$815,$B58,'май 2023'!$J$4:$J$815,Z$1)</f>
        <v>0</v>
      </c>
      <c r="AA58" s="207">
        <f>SUMIFS('май 2023'!$G$4:$G$815,'май 2023'!$D$4:$D$815,$B58,'май 2023'!$J$4:$J$815,AA$1)</f>
        <v>0</v>
      </c>
      <c r="AB58" s="207">
        <f>SUMIFS('май 2023'!$G$4:$G$815,'май 2023'!$D$4:$D$815,$B58,'май 2023'!$J$4:$J$815,AB$1)</f>
        <v>0</v>
      </c>
      <c r="AC58" s="207">
        <f>SUMIFS('май 2023'!$G$4:$G$815,'май 2023'!$D$4:$D$815,$B58,'май 2023'!$J$4:$J$815,AC$1)</f>
        <v>0</v>
      </c>
      <c r="AD58" s="207">
        <f>SUMIFS('май 2023'!$G$4:$G$815,'май 2023'!$D$4:$D$815,$B58,'май 2023'!$J$4:$J$815,AD$1)</f>
        <v>0</v>
      </c>
      <c r="AE58" s="207">
        <f>SUMIFS('май 2023'!$G$4:$G$815,'май 2023'!$D$4:$D$815,$B58,'май 2023'!$J$4:$J$815,AE$1)</f>
        <v>0</v>
      </c>
      <c r="AF58" s="207">
        <f>SUMIFS('май 2023'!$G$4:$G$815,'май 2023'!$D$4:$D$815,$B58,'май 2023'!$J$4:$J$815,AF$1)</f>
        <v>0</v>
      </c>
      <c r="AG58" s="207">
        <f>SUMIFS('май 2023'!$G$4:$G$815,'май 2023'!$D$4:$D$815,$B58,'май 2023'!$J$4:$J$815,AG$1)</f>
        <v>0</v>
      </c>
      <c r="AH58" s="207">
        <f>SUMIFS('май 2023'!$G$4:$G$815,'май 2023'!$D$4:$D$815,$B58,'май 2023'!$J$4:$J$815,AH$1)</f>
        <v>0</v>
      </c>
      <c r="AI58" s="170">
        <f t="shared" si="1"/>
        <v>48</v>
      </c>
    </row>
    <row r="59" spans="2:35" ht="15" customHeight="1" x14ac:dyDescent="0.25">
      <c r="B59" s="216" t="s">
        <v>38</v>
      </c>
      <c r="C59" s="213">
        <v>200</v>
      </c>
      <c r="D59" s="207">
        <f>SUMIFS('май 2023'!$G$4:$G$815,'май 2023'!$D$4:$D$815,$B59,'май 2023'!$J$4:$J$815,D$1)</f>
        <v>0</v>
      </c>
      <c r="E59" s="207">
        <f>SUMIFS('май 2023'!$G$4:$G$815,'май 2023'!$D$4:$D$815,$B59,'май 2023'!$J$4:$J$815,E$1)</f>
        <v>0</v>
      </c>
      <c r="F59" s="207">
        <f>SUMIFS('май 2023'!$G$4:$G$815,'май 2023'!$D$4:$D$815,$B59,'май 2023'!$J$4:$J$815,F$1)</f>
        <v>0</v>
      </c>
      <c r="G59" s="207">
        <f>SUMIFS('май 2023'!$G$4:$G$815,'май 2023'!$D$4:$D$815,$B59,'май 2023'!$J$4:$J$815,G$1)</f>
        <v>0</v>
      </c>
      <c r="H59" s="207">
        <f>SUMIFS('май 2023'!$G$4:$G$815,'май 2023'!$D$4:$D$815,$B59,'май 2023'!$J$4:$J$815,H$1)</f>
        <v>0</v>
      </c>
      <c r="I59" s="207">
        <f>SUMIFS('май 2023'!$G$4:$G$815,'май 2023'!$D$4:$D$815,$B59,'май 2023'!$J$4:$J$815,I$1)</f>
        <v>0</v>
      </c>
      <c r="J59" s="207">
        <f>SUMIFS('май 2023'!$G$4:$G$815,'май 2023'!$D$4:$D$815,$B59,'май 2023'!$J$4:$J$815,J$1)</f>
        <v>0</v>
      </c>
      <c r="K59" s="207">
        <f>SUMIFS('май 2023'!$G$4:$G$815,'май 2023'!$D$4:$D$815,$B59,'май 2023'!$J$4:$J$815,K$1)</f>
        <v>0</v>
      </c>
      <c r="L59" s="207">
        <f>SUMIFS('май 2023'!$G$4:$G$815,'май 2023'!$D$4:$D$815,$B59,'май 2023'!$J$4:$J$815,L$1)</f>
        <v>0</v>
      </c>
      <c r="M59" s="207">
        <f>SUMIFS('май 2023'!$G$4:$G$815,'май 2023'!$D$4:$D$815,$B59,'май 2023'!$J$4:$J$815,M$1)</f>
        <v>0</v>
      </c>
      <c r="N59" s="207">
        <f>SUMIFS('май 2023'!$G$4:$G$815,'май 2023'!$D$4:$D$815,$B59,'май 2023'!$J$4:$J$815,N$1)</f>
        <v>0</v>
      </c>
      <c r="O59" s="207">
        <f>SUMIFS('май 2023'!$G$4:$G$815,'май 2023'!$D$4:$D$815,$B59,'май 2023'!$J$4:$J$815,O$1)</f>
        <v>0</v>
      </c>
      <c r="P59" s="207">
        <f>SUMIFS('май 2023'!$G$4:$G$815,'май 2023'!$D$4:$D$815,$B59,'май 2023'!$J$4:$J$815,P$1)</f>
        <v>0</v>
      </c>
      <c r="Q59" s="207">
        <f>SUMIFS('май 2023'!$G$4:$G$815,'май 2023'!$D$4:$D$815,$B59,'май 2023'!$J$4:$J$815,Q$1)</f>
        <v>0</v>
      </c>
      <c r="R59" s="207">
        <f>SUMIFS('май 2023'!$G$4:$G$815,'май 2023'!$D$4:$D$815,$B59,'май 2023'!$J$4:$J$815,R$1)</f>
        <v>0</v>
      </c>
      <c r="S59" s="207">
        <f>SUMIFS('май 2023'!$G$4:$G$815,'май 2023'!$D$4:$D$815,$B59,'май 2023'!$J$4:$J$815,S$1)</f>
        <v>0</v>
      </c>
      <c r="T59" s="207">
        <f>SUMIFS('май 2023'!$G$4:$G$815,'май 2023'!$D$4:$D$815,$B59,'май 2023'!$J$4:$J$815,T$1)</f>
        <v>0</v>
      </c>
      <c r="U59" s="207">
        <f>SUMIFS('май 2023'!$G$4:$G$815,'май 2023'!$D$4:$D$815,$B59,'май 2023'!$J$4:$J$815,U$1)</f>
        <v>0</v>
      </c>
      <c r="V59" s="207">
        <f>SUMIFS('май 2023'!$G$4:$G$815,'май 2023'!$D$4:$D$815,$B59,'май 2023'!$J$4:$J$815,V$1)</f>
        <v>0</v>
      </c>
      <c r="W59" s="207">
        <f>SUMIFS('май 2023'!$G$4:$G$815,'май 2023'!$D$4:$D$815,$B59,'май 2023'!$J$4:$J$815,W$1)</f>
        <v>0</v>
      </c>
      <c r="X59" s="207">
        <f>SUMIFS('май 2023'!$G$4:$G$815,'май 2023'!$D$4:$D$815,$B59,'май 2023'!$J$4:$J$815,X$1)</f>
        <v>0</v>
      </c>
      <c r="Y59" s="207">
        <f>SUMIFS('май 2023'!$G$4:$G$815,'май 2023'!$D$4:$D$815,$B59,'май 2023'!$J$4:$J$815,Y$1)</f>
        <v>0</v>
      </c>
      <c r="Z59" s="207">
        <f>SUMIFS('май 2023'!$G$4:$G$815,'май 2023'!$D$4:$D$815,$B59,'май 2023'!$J$4:$J$815,Z$1)</f>
        <v>0</v>
      </c>
      <c r="AA59" s="207">
        <f>SUMIFS('май 2023'!$G$4:$G$815,'май 2023'!$D$4:$D$815,$B59,'май 2023'!$J$4:$J$815,AA$1)</f>
        <v>0</v>
      </c>
      <c r="AB59" s="207">
        <f>SUMIFS('май 2023'!$G$4:$G$815,'май 2023'!$D$4:$D$815,$B59,'май 2023'!$J$4:$J$815,AB$1)</f>
        <v>0</v>
      </c>
      <c r="AC59" s="207">
        <f>SUMIFS('май 2023'!$G$4:$G$815,'май 2023'!$D$4:$D$815,$B59,'май 2023'!$J$4:$J$815,AC$1)</f>
        <v>0</v>
      </c>
      <c r="AD59" s="207">
        <f>SUMIFS('май 2023'!$G$4:$G$815,'май 2023'!$D$4:$D$815,$B59,'май 2023'!$J$4:$J$815,AD$1)</f>
        <v>0</v>
      </c>
      <c r="AE59" s="207">
        <f>SUMIFS('май 2023'!$G$4:$G$815,'май 2023'!$D$4:$D$815,$B59,'май 2023'!$J$4:$J$815,AE$1)</f>
        <v>0</v>
      </c>
      <c r="AF59" s="207">
        <f>SUMIFS('май 2023'!$G$4:$G$815,'май 2023'!$D$4:$D$815,$B59,'май 2023'!$J$4:$J$815,AF$1)</f>
        <v>0</v>
      </c>
      <c r="AG59" s="207">
        <f>SUMIFS('май 2023'!$G$4:$G$815,'май 2023'!$D$4:$D$815,$B59,'май 2023'!$J$4:$J$815,AG$1)</f>
        <v>0</v>
      </c>
      <c r="AH59" s="207">
        <f>SUMIFS('май 2023'!$G$4:$G$815,'май 2023'!$D$4:$D$815,$B59,'май 2023'!$J$4:$J$815,AH$1)</f>
        <v>0</v>
      </c>
      <c r="AI59" s="170">
        <f t="shared" si="1"/>
        <v>0</v>
      </c>
    </row>
    <row r="60" spans="2:35" ht="15.75" x14ac:dyDescent="0.25">
      <c r="B60" s="212" t="s">
        <v>474</v>
      </c>
      <c r="C60" s="211">
        <v>180</v>
      </c>
      <c r="D60" s="207">
        <f>SUMIFS('май 2023'!$G$4:$G$815,'май 2023'!$D$4:$D$815,$B60,'май 2023'!$J$4:$J$815,D$1)</f>
        <v>0</v>
      </c>
      <c r="E60" s="207">
        <f>SUMIFS('май 2023'!$G$4:$G$815,'май 2023'!$D$4:$D$815,$B60,'май 2023'!$J$4:$J$815,E$1)</f>
        <v>0</v>
      </c>
      <c r="F60" s="207">
        <f>SUMIFS('май 2023'!$G$4:$G$815,'май 2023'!$D$4:$D$815,$B60,'май 2023'!$J$4:$J$815,F$1)</f>
        <v>0</v>
      </c>
      <c r="G60" s="207">
        <f>SUMIFS('май 2023'!$G$4:$G$815,'май 2023'!$D$4:$D$815,$B60,'май 2023'!$J$4:$J$815,G$1)</f>
        <v>0</v>
      </c>
      <c r="H60" s="207">
        <f>SUMIFS('май 2023'!$G$4:$G$815,'май 2023'!$D$4:$D$815,$B60,'май 2023'!$J$4:$J$815,H$1)</f>
        <v>0</v>
      </c>
      <c r="I60" s="207">
        <f>SUMIFS('май 2023'!$G$4:$G$815,'май 2023'!$D$4:$D$815,$B60,'май 2023'!$J$4:$J$815,I$1)</f>
        <v>0</v>
      </c>
      <c r="J60" s="207">
        <f>SUMIFS('май 2023'!$G$4:$G$815,'май 2023'!$D$4:$D$815,$B60,'май 2023'!$J$4:$J$815,J$1)</f>
        <v>0</v>
      </c>
      <c r="K60" s="207">
        <f>SUMIFS('май 2023'!$G$4:$G$815,'май 2023'!$D$4:$D$815,$B60,'май 2023'!$J$4:$J$815,K$1)</f>
        <v>0</v>
      </c>
      <c r="L60" s="207">
        <f>SUMIFS('май 2023'!$G$4:$G$815,'май 2023'!$D$4:$D$815,$B60,'май 2023'!$J$4:$J$815,L$1)</f>
        <v>0</v>
      </c>
      <c r="M60" s="207">
        <f>SUMIFS('май 2023'!$G$4:$G$815,'май 2023'!$D$4:$D$815,$B60,'май 2023'!$J$4:$J$815,M$1)</f>
        <v>0</v>
      </c>
      <c r="N60" s="207">
        <f>SUMIFS('май 2023'!$G$4:$G$815,'май 2023'!$D$4:$D$815,$B60,'май 2023'!$J$4:$J$815,N$1)</f>
        <v>0</v>
      </c>
      <c r="O60" s="207">
        <f>SUMIFS('май 2023'!$G$4:$G$815,'май 2023'!$D$4:$D$815,$B60,'май 2023'!$J$4:$J$815,O$1)</f>
        <v>0</v>
      </c>
      <c r="P60" s="207">
        <f>SUMIFS('май 2023'!$G$4:$G$815,'май 2023'!$D$4:$D$815,$B60,'май 2023'!$J$4:$J$815,P$1)</f>
        <v>0</v>
      </c>
      <c r="Q60" s="207">
        <f>SUMIFS('май 2023'!$G$4:$G$815,'май 2023'!$D$4:$D$815,$B60,'май 2023'!$J$4:$J$815,Q$1)</f>
        <v>0</v>
      </c>
      <c r="R60" s="207">
        <f>SUMIFS('май 2023'!$G$4:$G$815,'май 2023'!$D$4:$D$815,$B60,'май 2023'!$J$4:$J$815,R$1)</f>
        <v>0</v>
      </c>
      <c r="S60" s="207">
        <f>SUMIFS('май 2023'!$G$4:$G$815,'май 2023'!$D$4:$D$815,$B60,'май 2023'!$J$4:$J$815,S$1)</f>
        <v>0</v>
      </c>
      <c r="T60" s="207">
        <f>SUMIFS('май 2023'!$G$4:$G$815,'май 2023'!$D$4:$D$815,$B60,'май 2023'!$J$4:$J$815,T$1)</f>
        <v>0</v>
      </c>
      <c r="U60" s="207">
        <f>SUMIFS('май 2023'!$G$4:$G$815,'май 2023'!$D$4:$D$815,$B60,'май 2023'!$J$4:$J$815,U$1)</f>
        <v>0</v>
      </c>
      <c r="V60" s="207">
        <f>SUMIFS('май 2023'!$G$4:$G$815,'май 2023'!$D$4:$D$815,$B60,'май 2023'!$J$4:$J$815,V$1)</f>
        <v>0</v>
      </c>
      <c r="W60" s="207">
        <f>SUMIFS('май 2023'!$G$4:$G$815,'май 2023'!$D$4:$D$815,$B60,'май 2023'!$J$4:$J$815,W$1)</f>
        <v>0</v>
      </c>
      <c r="X60" s="207">
        <f>SUMIFS('май 2023'!$G$4:$G$815,'май 2023'!$D$4:$D$815,$B60,'май 2023'!$J$4:$J$815,X$1)</f>
        <v>0</v>
      </c>
      <c r="Y60" s="207">
        <f>SUMIFS('май 2023'!$G$4:$G$815,'май 2023'!$D$4:$D$815,$B60,'май 2023'!$J$4:$J$815,Y$1)</f>
        <v>0</v>
      </c>
      <c r="Z60" s="207">
        <f>SUMIFS('май 2023'!$G$4:$G$815,'май 2023'!$D$4:$D$815,$B60,'май 2023'!$J$4:$J$815,Z$1)</f>
        <v>0</v>
      </c>
      <c r="AA60" s="207">
        <f>SUMIFS('май 2023'!$G$4:$G$815,'май 2023'!$D$4:$D$815,$B60,'май 2023'!$J$4:$J$815,AA$1)</f>
        <v>0</v>
      </c>
      <c r="AB60" s="207">
        <f>SUMIFS('май 2023'!$G$4:$G$815,'май 2023'!$D$4:$D$815,$B60,'май 2023'!$J$4:$J$815,AB$1)</f>
        <v>0</v>
      </c>
      <c r="AC60" s="207">
        <f>SUMIFS('май 2023'!$G$4:$G$815,'май 2023'!$D$4:$D$815,$B60,'май 2023'!$J$4:$J$815,AC$1)</f>
        <v>0</v>
      </c>
      <c r="AD60" s="207">
        <f>SUMIFS('май 2023'!$G$4:$G$815,'май 2023'!$D$4:$D$815,$B60,'май 2023'!$J$4:$J$815,AD$1)</f>
        <v>0</v>
      </c>
      <c r="AE60" s="207">
        <f>SUMIFS('май 2023'!$G$4:$G$815,'май 2023'!$D$4:$D$815,$B60,'май 2023'!$J$4:$J$815,AE$1)</f>
        <v>0</v>
      </c>
      <c r="AF60" s="207">
        <f>SUMIFS('май 2023'!$G$4:$G$815,'май 2023'!$D$4:$D$815,$B60,'май 2023'!$J$4:$J$815,AF$1)</f>
        <v>0</v>
      </c>
      <c r="AG60" s="207">
        <f>SUMIFS('май 2023'!$G$4:$G$815,'май 2023'!$D$4:$D$815,$B60,'май 2023'!$J$4:$J$815,AG$1)</f>
        <v>0</v>
      </c>
      <c r="AH60" s="207">
        <f>SUMIFS('май 2023'!$G$4:$G$815,'май 2023'!$D$4:$D$815,$B60,'май 2023'!$J$4:$J$815,AH$1)</f>
        <v>0</v>
      </c>
      <c r="AI60" s="170">
        <f t="shared" si="1"/>
        <v>0</v>
      </c>
    </row>
    <row r="61" spans="2:35" ht="15.75" x14ac:dyDescent="0.25">
      <c r="B61" s="216" t="s">
        <v>649</v>
      </c>
      <c r="C61" s="213">
        <v>190</v>
      </c>
      <c r="D61" s="207">
        <f>SUMIFS('май 2023'!$G$4:$G$815,'май 2023'!$D$4:$D$815,$B61,'май 2023'!$J$4:$J$815,D$1)</f>
        <v>0</v>
      </c>
      <c r="E61" s="207">
        <f>SUMIFS('май 2023'!$G$4:$G$815,'май 2023'!$D$4:$D$815,$B61,'май 2023'!$J$4:$J$815,E$1)</f>
        <v>0</v>
      </c>
      <c r="F61" s="207">
        <f>SUMIFS('май 2023'!$G$4:$G$815,'май 2023'!$D$4:$D$815,$B61,'май 2023'!$J$4:$J$815,F$1)</f>
        <v>0</v>
      </c>
      <c r="G61" s="207">
        <f>SUMIFS('май 2023'!$G$4:$G$815,'май 2023'!$D$4:$D$815,$B61,'май 2023'!$J$4:$J$815,G$1)</f>
        <v>0</v>
      </c>
      <c r="H61" s="207">
        <f>SUMIFS('май 2023'!$G$4:$G$815,'май 2023'!$D$4:$D$815,$B61,'май 2023'!$J$4:$J$815,H$1)</f>
        <v>0</v>
      </c>
      <c r="I61" s="207">
        <f>SUMIFS('май 2023'!$G$4:$G$815,'май 2023'!$D$4:$D$815,$B61,'май 2023'!$J$4:$J$815,I$1)</f>
        <v>0</v>
      </c>
      <c r="J61" s="207">
        <f>SUMIFS('май 2023'!$G$4:$G$815,'май 2023'!$D$4:$D$815,$B61,'май 2023'!$J$4:$J$815,J$1)</f>
        <v>0</v>
      </c>
      <c r="K61" s="207">
        <f>SUMIFS('май 2023'!$G$4:$G$815,'май 2023'!$D$4:$D$815,$B61,'май 2023'!$J$4:$J$815,K$1)</f>
        <v>0</v>
      </c>
      <c r="L61" s="207">
        <f>SUMIFS('май 2023'!$G$4:$G$815,'май 2023'!$D$4:$D$815,$B61,'май 2023'!$J$4:$J$815,L$1)</f>
        <v>0</v>
      </c>
      <c r="M61" s="207">
        <f>SUMIFS('май 2023'!$G$4:$G$815,'май 2023'!$D$4:$D$815,$B61,'май 2023'!$J$4:$J$815,M$1)</f>
        <v>0</v>
      </c>
      <c r="N61" s="207">
        <f>SUMIFS('май 2023'!$G$4:$G$815,'май 2023'!$D$4:$D$815,$B61,'май 2023'!$J$4:$J$815,N$1)</f>
        <v>0</v>
      </c>
      <c r="O61" s="207">
        <f>SUMIFS('май 2023'!$G$4:$G$815,'май 2023'!$D$4:$D$815,$B61,'май 2023'!$J$4:$J$815,O$1)</f>
        <v>0</v>
      </c>
      <c r="P61" s="207">
        <f>SUMIFS('май 2023'!$G$4:$G$815,'май 2023'!$D$4:$D$815,$B61,'май 2023'!$J$4:$J$815,P$1)</f>
        <v>0</v>
      </c>
      <c r="Q61" s="207">
        <f>SUMIFS('май 2023'!$G$4:$G$815,'май 2023'!$D$4:$D$815,$B61,'май 2023'!$J$4:$J$815,Q$1)</f>
        <v>0</v>
      </c>
      <c r="R61" s="207">
        <f>SUMIFS('май 2023'!$G$4:$G$815,'май 2023'!$D$4:$D$815,$B61,'май 2023'!$J$4:$J$815,R$1)</f>
        <v>0</v>
      </c>
      <c r="S61" s="207">
        <f>SUMIFS('май 2023'!$G$4:$G$815,'май 2023'!$D$4:$D$815,$B61,'май 2023'!$J$4:$J$815,S$1)</f>
        <v>0</v>
      </c>
      <c r="T61" s="207">
        <f>SUMIFS('май 2023'!$G$4:$G$815,'май 2023'!$D$4:$D$815,$B61,'май 2023'!$J$4:$J$815,T$1)</f>
        <v>0</v>
      </c>
      <c r="U61" s="207">
        <f>SUMIFS('май 2023'!$G$4:$G$815,'май 2023'!$D$4:$D$815,$B61,'май 2023'!$J$4:$J$815,U$1)</f>
        <v>0</v>
      </c>
      <c r="V61" s="207">
        <f>SUMIFS('май 2023'!$G$4:$G$815,'май 2023'!$D$4:$D$815,$B61,'май 2023'!$J$4:$J$815,V$1)</f>
        <v>0</v>
      </c>
      <c r="W61" s="207">
        <f>SUMIFS('май 2023'!$G$4:$G$815,'май 2023'!$D$4:$D$815,$B61,'май 2023'!$J$4:$J$815,W$1)</f>
        <v>0</v>
      </c>
      <c r="X61" s="207">
        <f>SUMIFS('май 2023'!$G$4:$G$815,'май 2023'!$D$4:$D$815,$B61,'май 2023'!$J$4:$J$815,X$1)</f>
        <v>0</v>
      </c>
      <c r="Y61" s="207">
        <f>SUMIFS('май 2023'!$G$4:$G$815,'май 2023'!$D$4:$D$815,$B61,'май 2023'!$J$4:$J$815,Y$1)</f>
        <v>0</v>
      </c>
      <c r="Z61" s="207">
        <f>SUMIFS('май 2023'!$G$4:$G$815,'май 2023'!$D$4:$D$815,$B61,'май 2023'!$J$4:$J$815,Z$1)</f>
        <v>0</v>
      </c>
      <c r="AA61" s="207">
        <f>SUMIFS('май 2023'!$G$4:$G$815,'май 2023'!$D$4:$D$815,$B61,'май 2023'!$J$4:$J$815,AA$1)</f>
        <v>0</v>
      </c>
      <c r="AB61" s="207">
        <f>SUMIFS('май 2023'!$G$4:$G$815,'май 2023'!$D$4:$D$815,$B61,'май 2023'!$J$4:$J$815,AB$1)</f>
        <v>0</v>
      </c>
      <c r="AC61" s="207">
        <f>SUMIFS('май 2023'!$G$4:$G$815,'май 2023'!$D$4:$D$815,$B61,'май 2023'!$J$4:$J$815,AC$1)</f>
        <v>0</v>
      </c>
      <c r="AD61" s="207">
        <f>SUMIFS('май 2023'!$G$4:$G$815,'май 2023'!$D$4:$D$815,$B61,'май 2023'!$J$4:$J$815,AD$1)</f>
        <v>0</v>
      </c>
      <c r="AE61" s="207">
        <f>SUMIFS('май 2023'!$G$4:$G$815,'май 2023'!$D$4:$D$815,$B61,'май 2023'!$J$4:$J$815,AE$1)</f>
        <v>0</v>
      </c>
      <c r="AF61" s="207">
        <f>SUMIFS('май 2023'!$G$4:$G$815,'май 2023'!$D$4:$D$815,$B61,'май 2023'!$J$4:$J$815,AF$1)</f>
        <v>0</v>
      </c>
      <c r="AG61" s="207">
        <f>SUMIFS('май 2023'!$G$4:$G$815,'май 2023'!$D$4:$D$815,$B61,'май 2023'!$J$4:$J$815,AG$1)</f>
        <v>0</v>
      </c>
      <c r="AH61" s="207">
        <f>SUMIFS('май 2023'!$G$4:$G$815,'май 2023'!$D$4:$D$815,$B61,'май 2023'!$J$4:$J$815,AH$1)</f>
        <v>0</v>
      </c>
      <c r="AI61" s="170">
        <f t="shared" si="1"/>
        <v>0</v>
      </c>
    </row>
    <row r="62" spans="2:35" ht="15" customHeight="1" x14ac:dyDescent="0.25">
      <c r="B62" s="216" t="s">
        <v>1449</v>
      </c>
      <c r="C62" s="213">
        <v>190</v>
      </c>
      <c r="D62" s="207">
        <f>SUMIFS('май 2023'!$G$4:$G$815,'май 2023'!$D$4:$D$815,$B62,'май 2023'!$J$4:$J$815,D$1)</f>
        <v>0</v>
      </c>
      <c r="E62" s="207">
        <f>SUMIFS('май 2023'!$G$4:$G$815,'май 2023'!$D$4:$D$815,$B62,'май 2023'!$J$4:$J$815,E$1)</f>
        <v>0</v>
      </c>
      <c r="F62" s="207">
        <f>SUMIFS('май 2023'!$G$4:$G$815,'май 2023'!$D$4:$D$815,$B62,'май 2023'!$J$4:$J$815,F$1)</f>
        <v>0</v>
      </c>
      <c r="G62" s="207">
        <f>SUMIFS('май 2023'!$G$4:$G$815,'май 2023'!$D$4:$D$815,$B62,'май 2023'!$J$4:$J$815,G$1)</f>
        <v>0</v>
      </c>
      <c r="H62" s="207">
        <f>SUMIFS('май 2023'!$G$4:$G$815,'май 2023'!$D$4:$D$815,$B62,'май 2023'!$J$4:$J$815,H$1)</f>
        <v>0</v>
      </c>
      <c r="I62" s="207">
        <f>SUMIFS('май 2023'!$G$4:$G$815,'май 2023'!$D$4:$D$815,$B62,'май 2023'!$J$4:$J$815,I$1)</f>
        <v>0</v>
      </c>
      <c r="J62" s="207">
        <f>SUMIFS('май 2023'!$G$4:$G$815,'май 2023'!$D$4:$D$815,$B62,'май 2023'!$J$4:$J$815,J$1)</f>
        <v>0</v>
      </c>
      <c r="K62" s="207">
        <f>SUMIFS('май 2023'!$G$4:$G$815,'май 2023'!$D$4:$D$815,$B62,'май 2023'!$J$4:$J$815,K$1)</f>
        <v>0</v>
      </c>
      <c r="L62" s="207">
        <f>SUMIFS('май 2023'!$G$4:$G$815,'май 2023'!$D$4:$D$815,$B62,'май 2023'!$J$4:$J$815,L$1)</f>
        <v>0</v>
      </c>
      <c r="M62" s="207">
        <f>SUMIFS('май 2023'!$G$4:$G$815,'май 2023'!$D$4:$D$815,$B62,'май 2023'!$J$4:$J$815,M$1)</f>
        <v>0</v>
      </c>
      <c r="N62" s="207">
        <f>SUMIFS('май 2023'!$G$4:$G$815,'май 2023'!$D$4:$D$815,$B62,'май 2023'!$J$4:$J$815,N$1)</f>
        <v>0</v>
      </c>
      <c r="O62" s="207">
        <f>SUMIFS('май 2023'!$G$4:$G$815,'май 2023'!$D$4:$D$815,$B62,'май 2023'!$J$4:$J$815,O$1)</f>
        <v>0</v>
      </c>
      <c r="P62" s="207">
        <f>SUMIFS('май 2023'!$G$4:$G$815,'май 2023'!$D$4:$D$815,$B62,'май 2023'!$J$4:$J$815,P$1)</f>
        <v>0</v>
      </c>
      <c r="Q62" s="207">
        <f>SUMIFS('май 2023'!$G$4:$G$815,'май 2023'!$D$4:$D$815,$B62,'май 2023'!$J$4:$J$815,Q$1)</f>
        <v>0</v>
      </c>
      <c r="R62" s="207">
        <f>SUMIFS('май 2023'!$G$4:$G$815,'май 2023'!$D$4:$D$815,$B62,'май 2023'!$J$4:$J$815,R$1)</f>
        <v>0</v>
      </c>
      <c r="S62" s="207">
        <f>SUMIFS('май 2023'!$G$4:$G$815,'май 2023'!$D$4:$D$815,$B62,'май 2023'!$J$4:$J$815,S$1)</f>
        <v>0</v>
      </c>
      <c r="T62" s="207">
        <f>SUMIFS('май 2023'!$G$4:$G$815,'май 2023'!$D$4:$D$815,$B62,'май 2023'!$J$4:$J$815,T$1)</f>
        <v>0</v>
      </c>
      <c r="U62" s="207">
        <f>SUMIFS('май 2023'!$G$4:$G$815,'май 2023'!$D$4:$D$815,$B62,'май 2023'!$J$4:$J$815,U$1)</f>
        <v>0</v>
      </c>
      <c r="V62" s="207">
        <f>SUMIFS('май 2023'!$G$4:$G$815,'май 2023'!$D$4:$D$815,$B62,'май 2023'!$J$4:$J$815,V$1)</f>
        <v>0</v>
      </c>
      <c r="W62" s="207">
        <f>SUMIFS('май 2023'!$G$4:$G$815,'май 2023'!$D$4:$D$815,$B62,'май 2023'!$J$4:$J$815,W$1)</f>
        <v>0</v>
      </c>
      <c r="X62" s="207">
        <f>SUMIFS('май 2023'!$G$4:$G$815,'май 2023'!$D$4:$D$815,$B62,'май 2023'!$J$4:$J$815,X$1)</f>
        <v>0</v>
      </c>
      <c r="Y62" s="207">
        <f>SUMIFS('май 2023'!$G$4:$G$815,'май 2023'!$D$4:$D$815,$B62,'май 2023'!$J$4:$J$815,Y$1)</f>
        <v>0</v>
      </c>
      <c r="Z62" s="207">
        <f>SUMIFS('май 2023'!$G$4:$G$815,'май 2023'!$D$4:$D$815,$B62,'май 2023'!$J$4:$J$815,Z$1)</f>
        <v>0</v>
      </c>
      <c r="AA62" s="207">
        <f>SUMIFS('май 2023'!$G$4:$G$815,'май 2023'!$D$4:$D$815,$B62,'май 2023'!$J$4:$J$815,AA$1)</f>
        <v>0</v>
      </c>
      <c r="AB62" s="207">
        <f>SUMIFS('май 2023'!$G$4:$G$815,'май 2023'!$D$4:$D$815,$B62,'май 2023'!$J$4:$J$815,AB$1)</f>
        <v>0</v>
      </c>
      <c r="AC62" s="207">
        <f>SUMIFS('май 2023'!$G$4:$G$815,'май 2023'!$D$4:$D$815,$B62,'май 2023'!$J$4:$J$815,AC$1)</f>
        <v>0</v>
      </c>
      <c r="AD62" s="207">
        <f>SUMIFS('май 2023'!$G$4:$G$815,'май 2023'!$D$4:$D$815,$B62,'май 2023'!$J$4:$J$815,AD$1)</f>
        <v>0</v>
      </c>
      <c r="AE62" s="207">
        <f>SUMIFS('май 2023'!$G$4:$G$815,'май 2023'!$D$4:$D$815,$B62,'май 2023'!$J$4:$J$815,AE$1)</f>
        <v>0</v>
      </c>
      <c r="AF62" s="207">
        <f>SUMIFS('май 2023'!$G$4:$G$815,'май 2023'!$D$4:$D$815,$B62,'май 2023'!$J$4:$J$815,AF$1)</f>
        <v>0</v>
      </c>
      <c r="AG62" s="207">
        <f>SUMIFS('май 2023'!$G$4:$G$815,'май 2023'!$D$4:$D$815,$B62,'май 2023'!$J$4:$J$815,AG$1)</f>
        <v>0</v>
      </c>
      <c r="AH62" s="207">
        <f>SUMIFS('май 2023'!$G$4:$G$815,'май 2023'!$D$4:$D$815,$B62,'май 2023'!$J$4:$J$815,AH$1)</f>
        <v>0</v>
      </c>
      <c r="AI62" s="170">
        <f t="shared" si="1"/>
        <v>0</v>
      </c>
    </row>
    <row r="63" spans="2:35" ht="15" customHeight="1" x14ac:dyDescent="0.25">
      <c r="B63" s="216" t="s">
        <v>702</v>
      </c>
      <c r="C63" s="213">
        <v>900</v>
      </c>
      <c r="D63" s="207">
        <f>SUMIFS('май 2023'!$G$4:$G$815,'май 2023'!$D$4:$D$815,$B63,'май 2023'!$J$4:$J$815,D$1)</f>
        <v>0</v>
      </c>
      <c r="E63" s="207">
        <f>SUMIFS('май 2023'!$G$4:$G$815,'май 2023'!$D$4:$D$815,$B63,'май 2023'!$J$4:$J$815,E$1)</f>
        <v>0</v>
      </c>
      <c r="F63" s="207">
        <f>SUMIFS('май 2023'!$G$4:$G$815,'май 2023'!$D$4:$D$815,$B63,'май 2023'!$J$4:$J$815,F$1)</f>
        <v>0</v>
      </c>
      <c r="G63" s="207">
        <f>SUMIFS('май 2023'!$G$4:$G$815,'май 2023'!$D$4:$D$815,$B63,'май 2023'!$J$4:$J$815,G$1)</f>
        <v>0</v>
      </c>
      <c r="H63" s="207">
        <f>SUMIFS('май 2023'!$G$4:$G$815,'май 2023'!$D$4:$D$815,$B63,'май 2023'!$J$4:$J$815,H$1)</f>
        <v>0</v>
      </c>
      <c r="I63" s="207">
        <f>SUMIFS('май 2023'!$G$4:$G$815,'май 2023'!$D$4:$D$815,$B63,'май 2023'!$J$4:$J$815,I$1)</f>
        <v>0</v>
      </c>
      <c r="J63" s="207">
        <f>SUMIFS('май 2023'!$G$4:$G$815,'май 2023'!$D$4:$D$815,$B63,'май 2023'!$J$4:$J$815,J$1)</f>
        <v>0</v>
      </c>
      <c r="K63" s="207">
        <f>SUMIFS('май 2023'!$G$4:$G$815,'май 2023'!$D$4:$D$815,$B63,'май 2023'!$J$4:$J$815,K$1)</f>
        <v>0</v>
      </c>
      <c r="L63" s="207">
        <f>SUMIFS('май 2023'!$G$4:$G$815,'май 2023'!$D$4:$D$815,$B63,'май 2023'!$J$4:$J$815,L$1)</f>
        <v>0</v>
      </c>
      <c r="M63" s="207">
        <f>SUMIFS('май 2023'!$G$4:$G$815,'май 2023'!$D$4:$D$815,$B63,'май 2023'!$J$4:$J$815,M$1)</f>
        <v>0</v>
      </c>
      <c r="N63" s="207">
        <f>SUMIFS('май 2023'!$G$4:$G$815,'май 2023'!$D$4:$D$815,$B63,'май 2023'!$J$4:$J$815,N$1)</f>
        <v>0</v>
      </c>
      <c r="O63" s="207">
        <f>SUMIFS('май 2023'!$G$4:$G$815,'май 2023'!$D$4:$D$815,$B63,'май 2023'!$J$4:$J$815,O$1)</f>
        <v>0</v>
      </c>
      <c r="P63" s="207">
        <f>SUMIFS('май 2023'!$G$4:$G$815,'май 2023'!$D$4:$D$815,$B63,'май 2023'!$J$4:$J$815,P$1)</f>
        <v>0</v>
      </c>
      <c r="Q63" s="207">
        <f>SUMIFS('май 2023'!$G$4:$G$815,'май 2023'!$D$4:$D$815,$B63,'май 2023'!$J$4:$J$815,Q$1)</f>
        <v>0</v>
      </c>
      <c r="R63" s="207">
        <f>SUMIFS('май 2023'!$G$4:$G$815,'май 2023'!$D$4:$D$815,$B63,'май 2023'!$J$4:$J$815,R$1)</f>
        <v>0</v>
      </c>
      <c r="S63" s="207">
        <f>SUMIFS('май 2023'!$G$4:$G$815,'май 2023'!$D$4:$D$815,$B63,'май 2023'!$J$4:$J$815,S$1)</f>
        <v>0</v>
      </c>
      <c r="T63" s="207">
        <f>SUMIFS('май 2023'!$G$4:$G$815,'май 2023'!$D$4:$D$815,$B63,'май 2023'!$J$4:$J$815,T$1)</f>
        <v>0</v>
      </c>
      <c r="U63" s="207">
        <f>SUMIFS('май 2023'!$G$4:$G$815,'май 2023'!$D$4:$D$815,$B63,'май 2023'!$J$4:$J$815,U$1)</f>
        <v>0</v>
      </c>
      <c r="V63" s="207">
        <f>SUMIFS('май 2023'!$G$4:$G$815,'май 2023'!$D$4:$D$815,$B63,'май 2023'!$J$4:$J$815,V$1)</f>
        <v>0</v>
      </c>
      <c r="W63" s="207">
        <f>SUMIFS('май 2023'!$G$4:$G$815,'май 2023'!$D$4:$D$815,$B63,'май 2023'!$J$4:$J$815,W$1)</f>
        <v>0</v>
      </c>
      <c r="X63" s="207">
        <f>SUMIFS('май 2023'!$G$4:$G$815,'май 2023'!$D$4:$D$815,$B63,'май 2023'!$J$4:$J$815,X$1)</f>
        <v>0</v>
      </c>
      <c r="Y63" s="207">
        <f>SUMIFS('май 2023'!$G$4:$G$815,'май 2023'!$D$4:$D$815,$B63,'май 2023'!$J$4:$J$815,Y$1)</f>
        <v>0</v>
      </c>
      <c r="Z63" s="207">
        <f>SUMIFS('май 2023'!$G$4:$G$815,'май 2023'!$D$4:$D$815,$B63,'май 2023'!$J$4:$J$815,Z$1)</f>
        <v>0</v>
      </c>
      <c r="AA63" s="207">
        <f>SUMIFS('май 2023'!$G$4:$G$815,'май 2023'!$D$4:$D$815,$B63,'май 2023'!$J$4:$J$815,AA$1)</f>
        <v>0</v>
      </c>
      <c r="AB63" s="207">
        <f>SUMIFS('май 2023'!$G$4:$G$815,'май 2023'!$D$4:$D$815,$B63,'май 2023'!$J$4:$J$815,AB$1)</f>
        <v>0</v>
      </c>
      <c r="AC63" s="207">
        <f>SUMIFS('май 2023'!$G$4:$G$815,'май 2023'!$D$4:$D$815,$B63,'май 2023'!$J$4:$J$815,AC$1)</f>
        <v>0</v>
      </c>
      <c r="AD63" s="207">
        <f>SUMIFS('май 2023'!$G$4:$G$815,'май 2023'!$D$4:$D$815,$B63,'май 2023'!$J$4:$J$815,AD$1)</f>
        <v>0</v>
      </c>
      <c r="AE63" s="207">
        <f>SUMIFS('май 2023'!$G$4:$G$815,'май 2023'!$D$4:$D$815,$B63,'май 2023'!$J$4:$J$815,AE$1)</f>
        <v>0</v>
      </c>
      <c r="AF63" s="207">
        <f>SUMIFS('май 2023'!$G$4:$G$815,'май 2023'!$D$4:$D$815,$B63,'май 2023'!$J$4:$J$815,AF$1)</f>
        <v>0</v>
      </c>
      <c r="AG63" s="207">
        <f>SUMIFS('май 2023'!$G$4:$G$815,'май 2023'!$D$4:$D$815,$B63,'май 2023'!$J$4:$J$815,AG$1)</f>
        <v>0</v>
      </c>
      <c r="AH63" s="207">
        <f>SUMIFS('май 2023'!$G$4:$G$815,'май 2023'!$D$4:$D$815,$B63,'май 2023'!$J$4:$J$815,AH$1)</f>
        <v>0</v>
      </c>
      <c r="AI63" s="170">
        <f t="shared" si="1"/>
        <v>0</v>
      </c>
    </row>
    <row r="64" spans="2:35" ht="15" customHeight="1" x14ac:dyDescent="0.25">
      <c r="B64" s="216" t="s">
        <v>282</v>
      </c>
      <c r="C64" s="213">
        <v>190</v>
      </c>
      <c r="D64" s="207">
        <f>SUMIFS('май 2023'!$G$4:$G$815,'май 2023'!$D$4:$D$815,$B64,'май 2023'!$J$4:$J$815,D$1)</f>
        <v>0</v>
      </c>
      <c r="E64" s="207">
        <f>SUMIFS('май 2023'!$G$4:$G$815,'май 2023'!$D$4:$D$815,$B64,'май 2023'!$J$4:$J$815,E$1)</f>
        <v>240</v>
      </c>
      <c r="F64" s="207">
        <f>SUMIFS('май 2023'!$G$4:$G$815,'май 2023'!$D$4:$D$815,$B64,'май 2023'!$J$4:$J$815,F$1)</f>
        <v>0</v>
      </c>
      <c r="G64" s="207">
        <f>SUMIFS('май 2023'!$G$4:$G$815,'май 2023'!$D$4:$D$815,$B64,'май 2023'!$J$4:$J$815,G$1)</f>
        <v>0</v>
      </c>
      <c r="H64" s="207">
        <f>SUMIFS('май 2023'!$G$4:$G$815,'май 2023'!$D$4:$D$815,$B64,'май 2023'!$J$4:$J$815,H$1)</f>
        <v>0</v>
      </c>
      <c r="I64" s="207">
        <f>SUMIFS('май 2023'!$G$4:$G$815,'май 2023'!$D$4:$D$815,$B64,'май 2023'!$J$4:$J$815,I$1)</f>
        <v>0</v>
      </c>
      <c r="J64" s="207">
        <f>SUMIFS('май 2023'!$G$4:$G$815,'май 2023'!$D$4:$D$815,$B64,'май 2023'!$J$4:$J$815,J$1)</f>
        <v>0</v>
      </c>
      <c r="K64" s="207">
        <f>SUMIFS('май 2023'!$G$4:$G$815,'май 2023'!$D$4:$D$815,$B64,'май 2023'!$J$4:$J$815,K$1)</f>
        <v>0</v>
      </c>
      <c r="L64" s="207">
        <f>SUMIFS('май 2023'!$G$4:$G$815,'май 2023'!$D$4:$D$815,$B64,'май 2023'!$J$4:$J$815,L$1)</f>
        <v>0</v>
      </c>
      <c r="M64" s="207">
        <f>SUMIFS('май 2023'!$G$4:$G$815,'май 2023'!$D$4:$D$815,$B64,'май 2023'!$J$4:$J$815,M$1)</f>
        <v>4</v>
      </c>
      <c r="N64" s="207">
        <f>SUMIFS('май 2023'!$G$4:$G$815,'май 2023'!$D$4:$D$815,$B64,'май 2023'!$J$4:$J$815,N$1)</f>
        <v>80</v>
      </c>
      <c r="O64" s="207">
        <f>SUMIFS('май 2023'!$G$4:$G$815,'май 2023'!$D$4:$D$815,$B64,'май 2023'!$J$4:$J$815,O$1)</f>
        <v>80</v>
      </c>
      <c r="P64" s="207">
        <f>SUMIFS('май 2023'!$G$4:$G$815,'май 2023'!$D$4:$D$815,$B64,'май 2023'!$J$4:$J$815,P$1)</f>
        <v>0</v>
      </c>
      <c r="Q64" s="207">
        <f>SUMIFS('май 2023'!$G$4:$G$815,'май 2023'!$D$4:$D$815,$B64,'май 2023'!$J$4:$J$815,Q$1)</f>
        <v>0</v>
      </c>
      <c r="R64" s="207">
        <f>SUMIFS('май 2023'!$G$4:$G$815,'май 2023'!$D$4:$D$815,$B64,'май 2023'!$J$4:$J$815,R$1)</f>
        <v>0</v>
      </c>
      <c r="S64" s="207">
        <f>SUMIFS('май 2023'!$G$4:$G$815,'май 2023'!$D$4:$D$815,$B64,'май 2023'!$J$4:$J$815,S$1)</f>
        <v>0</v>
      </c>
      <c r="T64" s="207">
        <f>SUMIFS('май 2023'!$G$4:$G$815,'май 2023'!$D$4:$D$815,$B64,'май 2023'!$J$4:$J$815,T$1)</f>
        <v>0</v>
      </c>
      <c r="U64" s="207">
        <f>SUMIFS('май 2023'!$G$4:$G$815,'май 2023'!$D$4:$D$815,$B64,'май 2023'!$J$4:$J$815,U$1)</f>
        <v>0</v>
      </c>
      <c r="V64" s="207">
        <f>SUMIFS('май 2023'!$G$4:$G$815,'май 2023'!$D$4:$D$815,$B64,'май 2023'!$J$4:$J$815,V$1)</f>
        <v>0</v>
      </c>
      <c r="W64" s="207">
        <f>SUMIFS('май 2023'!$G$4:$G$815,'май 2023'!$D$4:$D$815,$B64,'май 2023'!$J$4:$J$815,W$1)</f>
        <v>0</v>
      </c>
      <c r="X64" s="207">
        <f>SUMIFS('май 2023'!$G$4:$G$815,'май 2023'!$D$4:$D$815,$B64,'май 2023'!$J$4:$J$815,X$1)</f>
        <v>0</v>
      </c>
      <c r="Y64" s="207">
        <f>SUMIFS('май 2023'!$G$4:$G$815,'май 2023'!$D$4:$D$815,$B64,'май 2023'!$J$4:$J$815,Y$1)</f>
        <v>160</v>
      </c>
      <c r="Z64" s="207">
        <f>SUMIFS('май 2023'!$G$4:$G$815,'май 2023'!$D$4:$D$815,$B64,'май 2023'!$J$4:$J$815,Z$1)</f>
        <v>0</v>
      </c>
      <c r="AA64" s="207">
        <f>SUMIFS('май 2023'!$G$4:$G$815,'май 2023'!$D$4:$D$815,$B64,'май 2023'!$J$4:$J$815,AA$1)</f>
        <v>0</v>
      </c>
      <c r="AB64" s="207">
        <f>SUMIFS('май 2023'!$G$4:$G$815,'май 2023'!$D$4:$D$815,$B64,'май 2023'!$J$4:$J$815,AB$1)</f>
        <v>80</v>
      </c>
      <c r="AC64" s="207">
        <f>SUMIFS('май 2023'!$G$4:$G$815,'май 2023'!$D$4:$D$815,$B64,'май 2023'!$J$4:$J$815,AC$1)</f>
        <v>16</v>
      </c>
      <c r="AD64" s="207">
        <f>SUMIFS('май 2023'!$G$4:$G$815,'май 2023'!$D$4:$D$815,$B64,'май 2023'!$J$4:$J$815,AD$1)</f>
        <v>0</v>
      </c>
      <c r="AE64" s="207">
        <f>SUMIFS('май 2023'!$G$4:$G$815,'май 2023'!$D$4:$D$815,$B64,'май 2023'!$J$4:$J$815,AE$1)</f>
        <v>0</v>
      </c>
      <c r="AF64" s="207">
        <f>SUMIFS('май 2023'!$G$4:$G$815,'май 2023'!$D$4:$D$815,$B64,'май 2023'!$J$4:$J$815,AF$1)</f>
        <v>0</v>
      </c>
      <c r="AG64" s="207">
        <f>SUMIFS('май 2023'!$G$4:$G$815,'май 2023'!$D$4:$D$815,$B64,'май 2023'!$J$4:$J$815,AG$1)</f>
        <v>0</v>
      </c>
      <c r="AH64" s="207">
        <f>SUMIFS('май 2023'!$G$4:$G$815,'май 2023'!$D$4:$D$815,$B64,'май 2023'!$J$4:$J$815,AH$1)</f>
        <v>88</v>
      </c>
      <c r="AI64" s="170">
        <f t="shared" si="1"/>
        <v>748</v>
      </c>
    </row>
    <row r="65" spans="2:35" ht="15" customHeight="1" x14ac:dyDescent="0.25">
      <c r="B65" s="216" t="s">
        <v>1498</v>
      </c>
      <c r="C65" s="213">
        <v>190</v>
      </c>
      <c r="D65" s="207">
        <f>SUMIFS('май 2023'!$G$4:$G$815,'май 2023'!$D$4:$D$815,$B65,'май 2023'!$J$4:$J$815,D$1)</f>
        <v>0</v>
      </c>
      <c r="E65" s="207">
        <f>SUMIFS('май 2023'!$G$4:$G$815,'май 2023'!$D$4:$D$815,$B65,'май 2023'!$J$4:$J$815,E$1)</f>
        <v>0</v>
      </c>
      <c r="F65" s="207">
        <f>SUMIFS('май 2023'!$G$4:$G$815,'май 2023'!$D$4:$D$815,$B65,'май 2023'!$J$4:$J$815,F$1)</f>
        <v>0</v>
      </c>
      <c r="G65" s="207">
        <f>SUMIFS('май 2023'!$G$4:$G$815,'май 2023'!$D$4:$D$815,$B65,'май 2023'!$J$4:$J$815,G$1)</f>
        <v>0</v>
      </c>
      <c r="H65" s="207">
        <f>SUMIFS('май 2023'!$G$4:$G$815,'май 2023'!$D$4:$D$815,$B65,'май 2023'!$J$4:$J$815,H$1)</f>
        <v>0</v>
      </c>
      <c r="I65" s="207">
        <f>SUMIFS('май 2023'!$G$4:$G$815,'май 2023'!$D$4:$D$815,$B65,'май 2023'!$J$4:$J$815,I$1)</f>
        <v>0</v>
      </c>
      <c r="J65" s="207">
        <f>SUMIFS('май 2023'!$G$4:$G$815,'май 2023'!$D$4:$D$815,$B65,'май 2023'!$J$4:$J$815,J$1)</f>
        <v>0</v>
      </c>
      <c r="K65" s="207">
        <f>SUMIFS('май 2023'!$G$4:$G$815,'май 2023'!$D$4:$D$815,$B65,'май 2023'!$J$4:$J$815,K$1)</f>
        <v>0</v>
      </c>
      <c r="L65" s="207">
        <f>SUMIFS('май 2023'!$G$4:$G$815,'май 2023'!$D$4:$D$815,$B65,'май 2023'!$J$4:$J$815,L$1)</f>
        <v>0</v>
      </c>
      <c r="M65" s="207">
        <f>SUMIFS('май 2023'!$G$4:$G$815,'май 2023'!$D$4:$D$815,$B65,'май 2023'!$J$4:$J$815,M$1)</f>
        <v>0</v>
      </c>
      <c r="N65" s="207">
        <f>SUMIFS('май 2023'!$G$4:$G$815,'май 2023'!$D$4:$D$815,$B65,'май 2023'!$J$4:$J$815,N$1)</f>
        <v>0</v>
      </c>
      <c r="O65" s="207">
        <f>SUMIFS('май 2023'!$G$4:$G$815,'май 2023'!$D$4:$D$815,$B65,'май 2023'!$J$4:$J$815,O$1)</f>
        <v>0</v>
      </c>
      <c r="P65" s="207">
        <f>SUMIFS('май 2023'!$G$4:$G$815,'май 2023'!$D$4:$D$815,$B65,'май 2023'!$J$4:$J$815,P$1)</f>
        <v>0</v>
      </c>
      <c r="Q65" s="207">
        <f>SUMIFS('май 2023'!$G$4:$G$815,'май 2023'!$D$4:$D$815,$B65,'май 2023'!$J$4:$J$815,Q$1)</f>
        <v>0</v>
      </c>
      <c r="R65" s="207">
        <f>SUMIFS('май 2023'!$G$4:$G$815,'май 2023'!$D$4:$D$815,$B65,'май 2023'!$J$4:$J$815,R$1)</f>
        <v>0</v>
      </c>
      <c r="S65" s="207">
        <f>SUMIFS('май 2023'!$G$4:$G$815,'май 2023'!$D$4:$D$815,$B65,'май 2023'!$J$4:$J$815,S$1)</f>
        <v>0</v>
      </c>
      <c r="T65" s="207">
        <f>SUMIFS('май 2023'!$G$4:$G$815,'май 2023'!$D$4:$D$815,$B65,'май 2023'!$J$4:$J$815,T$1)</f>
        <v>0</v>
      </c>
      <c r="U65" s="207">
        <f>SUMIFS('май 2023'!$G$4:$G$815,'май 2023'!$D$4:$D$815,$B65,'май 2023'!$J$4:$J$815,U$1)</f>
        <v>0</v>
      </c>
      <c r="V65" s="207">
        <f>SUMIFS('май 2023'!$G$4:$G$815,'май 2023'!$D$4:$D$815,$B65,'май 2023'!$J$4:$J$815,V$1)</f>
        <v>0</v>
      </c>
      <c r="W65" s="207">
        <f>SUMIFS('май 2023'!$G$4:$G$815,'май 2023'!$D$4:$D$815,$B65,'май 2023'!$J$4:$J$815,W$1)</f>
        <v>0</v>
      </c>
      <c r="X65" s="207">
        <f>SUMIFS('май 2023'!$G$4:$G$815,'май 2023'!$D$4:$D$815,$B65,'май 2023'!$J$4:$J$815,X$1)</f>
        <v>0</v>
      </c>
      <c r="Y65" s="207">
        <f>SUMIFS('май 2023'!$G$4:$G$815,'май 2023'!$D$4:$D$815,$B65,'май 2023'!$J$4:$J$815,Y$1)</f>
        <v>0</v>
      </c>
      <c r="Z65" s="207">
        <f>SUMIFS('май 2023'!$G$4:$G$815,'май 2023'!$D$4:$D$815,$B65,'май 2023'!$J$4:$J$815,Z$1)</f>
        <v>0</v>
      </c>
      <c r="AA65" s="207">
        <f>SUMIFS('май 2023'!$G$4:$G$815,'май 2023'!$D$4:$D$815,$B65,'май 2023'!$J$4:$J$815,AA$1)</f>
        <v>0</v>
      </c>
      <c r="AB65" s="207">
        <f>SUMIFS('май 2023'!$G$4:$G$815,'май 2023'!$D$4:$D$815,$B65,'май 2023'!$J$4:$J$815,AB$1)</f>
        <v>0</v>
      </c>
      <c r="AC65" s="207">
        <f>SUMIFS('май 2023'!$G$4:$G$815,'май 2023'!$D$4:$D$815,$B65,'май 2023'!$J$4:$J$815,AC$1)</f>
        <v>0</v>
      </c>
      <c r="AD65" s="207">
        <f>SUMIFS('май 2023'!$G$4:$G$815,'май 2023'!$D$4:$D$815,$B65,'май 2023'!$J$4:$J$815,AD$1)</f>
        <v>0</v>
      </c>
      <c r="AE65" s="207">
        <f>SUMIFS('май 2023'!$G$4:$G$815,'май 2023'!$D$4:$D$815,$B65,'май 2023'!$J$4:$J$815,AE$1)</f>
        <v>0</v>
      </c>
      <c r="AF65" s="207">
        <f>SUMIFS('май 2023'!$G$4:$G$815,'май 2023'!$D$4:$D$815,$B65,'май 2023'!$J$4:$J$815,AF$1)</f>
        <v>0</v>
      </c>
      <c r="AG65" s="207">
        <f>SUMIFS('май 2023'!$G$4:$G$815,'май 2023'!$D$4:$D$815,$B65,'май 2023'!$J$4:$J$815,AG$1)</f>
        <v>0</v>
      </c>
      <c r="AH65" s="207">
        <f>SUMIFS('май 2023'!$G$4:$G$815,'май 2023'!$D$4:$D$815,$B65,'май 2023'!$J$4:$J$815,AH$1)</f>
        <v>0</v>
      </c>
      <c r="AI65" s="170">
        <f t="shared" si="1"/>
        <v>0</v>
      </c>
    </row>
    <row r="66" spans="2:35" ht="15" customHeight="1" x14ac:dyDescent="0.25">
      <c r="B66" s="216" t="s">
        <v>1721</v>
      </c>
      <c r="C66" s="213">
        <v>180</v>
      </c>
      <c r="D66" s="207">
        <f>SUMIFS('май 2023'!$G$4:$G$815,'май 2023'!$D$4:$D$815,$B66,'май 2023'!$J$4:$J$815,D$1)</f>
        <v>0</v>
      </c>
      <c r="E66" s="207">
        <f>SUMIFS('май 2023'!$G$4:$G$815,'май 2023'!$D$4:$D$815,$B66,'май 2023'!$J$4:$J$815,E$1)</f>
        <v>0</v>
      </c>
      <c r="F66" s="207">
        <f>SUMIFS('май 2023'!$G$4:$G$815,'май 2023'!$D$4:$D$815,$B66,'май 2023'!$J$4:$J$815,F$1)</f>
        <v>0</v>
      </c>
      <c r="G66" s="207">
        <f>SUMIFS('май 2023'!$G$4:$G$815,'май 2023'!$D$4:$D$815,$B66,'май 2023'!$J$4:$J$815,G$1)</f>
        <v>0</v>
      </c>
      <c r="H66" s="207">
        <f>SUMIFS('май 2023'!$G$4:$G$815,'май 2023'!$D$4:$D$815,$B66,'май 2023'!$J$4:$J$815,H$1)</f>
        <v>0</v>
      </c>
      <c r="I66" s="207">
        <f>SUMIFS('май 2023'!$G$4:$G$815,'май 2023'!$D$4:$D$815,$B66,'май 2023'!$J$4:$J$815,I$1)</f>
        <v>0</v>
      </c>
      <c r="J66" s="207">
        <f>SUMIFS('май 2023'!$G$4:$G$815,'май 2023'!$D$4:$D$815,$B66,'май 2023'!$J$4:$J$815,J$1)</f>
        <v>0</v>
      </c>
      <c r="K66" s="207">
        <f>SUMIFS('май 2023'!$G$4:$G$815,'май 2023'!$D$4:$D$815,$B66,'май 2023'!$J$4:$J$815,K$1)</f>
        <v>0</v>
      </c>
      <c r="L66" s="207">
        <f>SUMIFS('май 2023'!$G$4:$G$815,'май 2023'!$D$4:$D$815,$B66,'май 2023'!$J$4:$J$815,L$1)</f>
        <v>0</v>
      </c>
      <c r="M66" s="207">
        <f>SUMIFS('май 2023'!$G$4:$G$815,'май 2023'!$D$4:$D$815,$B66,'май 2023'!$J$4:$J$815,M$1)</f>
        <v>0</v>
      </c>
      <c r="N66" s="207">
        <f>SUMIFS('май 2023'!$G$4:$G$815,'май 2023'!$D$4:$D$815,$B66,'май 2023'!$J$4:$J$815,N$1)</f>
        <v>0</v>
      </c>
      <c r="O66" s="207">
        <f>SUMIFS('май 2023'!$G$4:$G$815,'май 2023'!$D$4:$D$815,$B66,'май 2023'!$J$4:$J$815,O$1)</f>
        <v>0</v>
      </c>
      <c r="P66" s="207">
        <f>SUMIFS('май 2023'!$G$4:$G$815,'май 2023'!$D$4:$D$815,$B66,'май 2023'!$J$4:$J$815,P$1)</f>
        <v>0</v>
      </c>
      <c r="Q66" s="207">
        <f>SUMIFS('май 2023'!$G$4:$G$815,'май 2023'!$D$4:$D$815,$B66,'май 2023'!$J$4:$J$815,Q$1)</f>
        <v>0</v>
      </c>
      <c r="R66" s="207">
        <f>SUMIFS('май 2023'!$G$4:$G$815,'май 2023'!$D$4:$D$815,$B66,'май 2023'!$J$4:$J$815,R$1)</f>
        <v>0</v>
      </c>
      <c r="S66" s="207">
        <f>SUMIFS('май 2023'!$G$4:$G$815,'май 2023'!$D$4:$D$815,$B66,'май 2023'!$J$4:$J$815,S$1)</f>
        <v>0</v>
      </c>
      <c r="T66" s="207">
        <f>SUMIFS('май 2023'!$G$4:$G$815,'май 2023'!$D$4:$D$815,$B66,'май 2023'!$J$4:$J$815,T$1)</f>
        <v>0</v>
      </c>
      <c r="U66" s="207">
        <f>SUMIFS('май 2023'!$G$4:$G$815,'май 2023'!$D$4:$D$815,$B66,'май 2023'!$J$4:$J$815,U$1)</f>
        <v>0</v>
      </c>
      <c r="V66" s="207">
        <f>SUMIFS('май 2023'!$G$4:$G$815,'май 2023'!$D$4:$D$815,$B66,'май 2023'!$J$4:$J$815,V$1)</f>
        <v>0</v>
      </c>
      <c r="W66" s="207">
        <f>SUMIFS('май 2023'!$G$4:$G$815,'май 2023'!$D$4:$D$815,$B66,'май 2023'!$J$4:$J$815,W$1)</f>
        <v>0</v>
      </c>
      <c r="X66" s="207">
        <f>SUMIFS('май 2023'!$G$4:$G$815,'май 2023'!$D$4:$D$815,$B66,'май 2023'!$J$4:$J$815,X$1)</f>
        <v>0</v>
      </c>
      <c r="Y66" s="207">
        <f>SUMIFS('май 2023'!$G$4:$G$815,'май 2023'!$D$4:$D$815,$B66,'май 2023'!$J$4:$J$815,Y$1)</f>
        <v>0</v>
      </c>
      <c r="Z66" s="207">
        <f>SUMIFS('май 2023'!$G$4:$G$815,'май 2023'!$D$4:$D$815,$B66,'май 2023'!$J$4:$J$815,Z$1)</f>
        <v>0</v>
      </c>
      <c r="AA66" s="207">
        <f>SUMIFS('май 2023'!$G$4:$G$815,'май 2023'!$D$4:$D$815,$B66,'май 2023'!$J$4:$J$815,AA$1)</f>
        <v>0</v>
      </c>
      <c r="AB66" s="207">
        <f>SUMIFS('май 2023'!$G$4:$G$815,'май 2023'!$D$4:$D$815,$B66,'май 2023'!$J$4:$J$815,AB$1)</f>
        <v>0</v>
      </c>
      <c r="AC66" s="207">
        <f>SUMIFS('май 2023'!$G$4:$G$815,'май 2023'!$D$4:$D$815,$B66,'май 2023'!$J$4:$J$815,AC$1)</f>
        <v>0</v>
      </c>
      <c r="AD66" s="207">
        <f>SUMIFS('май 2023'!$G$4:$G$815,'май 2023'!$D$4:$D$815,$B66,'май 2023'!$J$4:$J$815,AD$1)</f>
        <v>0</v>
      </c>
      <c r="AE66" s="207">
        <f>SUMIFS('май 2023'!$G$4:$G$815,'май 2023'!$D$4:$D$815,$B66,'май 2023'!$J$4:$J$815,AE$1)</f>
        <v>0</v>
      </c>
      <c r="AF66" s="207">
        <f>SUMIFS('май 2023'!$G$4:$G$815,'май 2023'!$D$4:$D$815,$B66,'май 2023'!$J$4:$J$815,AF$1)</f>
        <v>0</v>
      </c>
      <c r="AG66" s="207">
        <f>SUMIFS('май 2023'!$G$4:$G$815,'май 2023'!$D$4:$D$815,$B66,'май 2023'!$J$4:$J$815,AG$1)</f>
        <v>0</v>
      </c>
      <c r="AH66" s="207">
        <f>SUMIFS('май 2023'!$G$4:$G$815,'май 2023'!$D$4:$D$815,$B66,'май 2023'!$J$4:$J$815,AH$1)</f>
        <v>0</v>
      </c>
      <c r="AI66" s="170">
        <f t="shared" si="1"/>
        <v>0</v>
      </c>
    </row>
    <row r="67" spans="2:35" ht="15" customHeight="1" x14ac:dyDescent="0.25">
      <c r="B67" s="216" t="s">
        <v>2166</v>
      </c>
      <c r="C67" s="213">
        <v>180</v>
      </c>
      <c r="D67" s="207">
        <f>SUMIFS('май 2023'!$G$4:$G$815,'май 2023'!$D$4:$D$815,$B67,'май 2023'!$J$4:$J$815,D$1)</f>
        <v>0</v>
      </c>
      <c r="E67" s="207">
        <f>SUMIFS('май 2023'!$G$4:$G$815,'май 2023'!$D$4:$D$815,$B67,'май 2023'!$J$4:$J$815,E$1)</f>
        <v>0</v>
      </c>
      <c r="F67" s="207">
        <f>SUMIFS('май 2023'!$G$4:$G$815,'май 2023'!$D$4:$D$815,$B67,'май 2023'!$J$4:$J$815,F$1)</f>
        <v>0</v>
      </c>
      <c r="G67" s="207">
        <f>SUMIFS('май 2023'!$G$4:$G$815,'май 2023'!$D$4:$D$815,$B67,'май 2023'!$J$4:$J$815,G$1)</f>
        <v>0</v>
      </c>
      <c r="H67" s="207">
        <f>SUMIFS('май 2023'!$G$4:$G$815,'май 2023'!$D$4:$D$815,$B67,'май 2023'!$J$4:$J$815,H$1)</f>
        <v>0</v>
      </c>
      <c r="I67" s="207">
        <f>SUMIFS('май 2023'!$G$4:$G$815,'май 2023'!$D$4:$D$815,$B67,'май 2023'!$J$4:$J$815,I$1)</f>
        <v>0</v>
      </c>
      <c r="J67" s="207">
        <f>SUMIFS('май 2023'!$G$4:$G$815,'май 2023'!$D$4:$D$815,$B67,'май 2023'!$J$4:$J$815,J$1)</f>
        <v>0</v>
      </c>
      <c r="K67" s="207">
        <f>SUMIFS('май 2023'!$G$4:$G$815,'май 2023'!$D$4:$D$815,$B67,'май 2023'!$J$4:$J$815,K$1)</f>
        <v>0</v>
      </c>
      <c r="L67" s="207">
        <f>SUMIFS('май 2023'!$G$4:$G$815,'май 2023'!$D$4:$D$815,$B67,'май 2023'!$J$4:$J$815,L$1)</f>
        <v>0</v>
      </c>
      <c r="M67" s="207">
        <f>SUMIFS('май 2023'!$G$4:$G$815,'май 2023'!$D$4:$D$815,$B67,'май 2023'!$J$4:$J$815,M$1)</f>
        <v>0</v>
      </c>
      <c r="N67" s="207">
        <f>SUMIFS('май 2023'!$G$4:$G$815,'май 2023'!$D$4:$D$815,$B67,'май 2023'!$J$4:$J$815,N$1)</f>
        <v>0</v>
      </c>
      <c r="O67" s="207">
        <f>SUMIFS('май 2023'!$G$4:$G$815,'май 2023'!$D$4:$D$815,$B67,'май 2023'!$J$4:$J$815,O$1)</f>
        <v>0</v>
      </c>
      <c r="P67" s="207">
        <f>SUMIFS('май 2023'!$G$4:$G$815,'май 2023'!$D$4:$D$815,$B67,'май 2023'!$J$4:$J$815,P$1)</f>
        <v>0</v>
      </c>
      <c r="Q67" s="207">
        <f>SUMIFS('май 2023'!$G$4:$G$815,'май 2023'!$D$4:$D$815,$B67,'май 2023'!$J$4:$J$815,Q$1)</f>
        <v>0</v>
      </c>
      <c r="R67" s="207">
        <f>SUMIFS('май 2023'!$G$4:$G$815,'май 2023'!$D$4:$D$815,$B67,'май 2023'!$J$4:$J$815,R$1)</f>
        <v>0</v>
      </c>
      <c r="S67" s="207">
        <f>SUMIFS('май 2023'!$G$4:$G$815,'май 2023'!$D$4:$D$815,$B67,'май 2023'!$J$4:$J$815,S$1)</f>
        <v>0</v>
      </c>
      <c r="T67" s="207">
        <f>SUMIFS('май 2023'!$G$4:$G$815,'май 2023'!$D$4:$D$815,$B67,'май 2023'!$J$4:$J$815,T$1)</f>
        <v>0</v>
      </c>
      <c r="U67" s="207">
        <f>SUMIFS('май 2023'!$G$4:$G$815,'май 2023'!$D$4:$D$815,$B67,'май 2023'!$J$4:$J$815,U$1)</f>
        <v>0</v>
      </c>
      <c r="V67" s="207">
        <f>SUMIFS('май 2023'!$G$4:$G$815,'май 2023'!$D$4:$D$815,$B67,'май 2023'!$J$4:$J$815,V$1)</f>
        <v>0</v>
      </c>
      <c r="W67" s="207">
        <f>SUMIFS('май 2023'!$G$4:$G$815,'май 2023'!$D$4:$D$815,$B67,'май 2023'!$J$4:$J$815,W$1)</f>
        <v>0</v>
      </c>
      <c r="X67" s="207">
        <f>SUMIFS('май 2023'!$G$4:$G$815,'май 2023'!$D$4:$D$815,$B67,'май 2023'!$J$4:$J$815,X$1)</f>
        <v>0</v>
      </c>
      <c r="Y67" s="207">
        <f>SUMIFS('май 2023'!$G$4:$G$815,'май 2023'!$D$4:$D$815,$B67,'май 2023'!$J$4:$J$815,Y$1)</f>
        <v>0</v>
      </c>
      <c r="Z67" s="207">
        <f>SUMIFS('май 2023'!$G$4:$G$815,'май 2023'!$D$4:$D$815,$B67,'май 2023'!$J$4:$J$815,Z$1)</f>
        <v>0</v>
      </c>
      <c r="AA67" s="207">
        <f>SUMIFS('май 2023'!$G$4:$G$815,'май 2023'!$D$4:$D$815,$B67,'май 2023'!$J$4:$J$815,AA$1)</f>
        <v>0</v>
      </c>
      <c r="AB67" s="207">
        <f>SUMIFS('май 2023'!$G$4:$G$815,'май 2023'!$D$4:$D$815,$B67,'май 2023'!$J$4:$J$815,AB$1)</f>
        <v>0</v>
      </c>
      <c r="AC67" s="207">
        <f>SUMIFS('май 2023'!$G$4:$G$815,'май 2023'!$D$4:$D$815,$B67,'май 2023'!$J$4:$J$815,AC$1)</f>
        <v>0</v>
      </c>
      <c r="AD67" s="207">
        <f>SUMIFS('май 2023'!$G$4:$G$815,'май 2023'!$D$4:$D$815,$B67,'май 2023'!$J$4:$J$815,AD$1)</f>
        <v>0</v>
      </c>
      <c r="AE67" s="207">
        <f>SUMIFS('май 2023'!$G$4:$G$815,'май 2023'!$D$4:$D$815,$B67,'май 2023'!$J$4:$J$815,AE$1)</f>
        <v>0</v>
      </c>
      <c r="AF67" s="207">
        <f>SUMIFS('май 2023'!$G$4:$G$815,'май 2023'!$D$4:$D$815,$B67,'май 2023'!$J$4:$J$815,AF$1)</f>
        <v>0</v>
      </c>
      <c r="AG67" s="207">
        <f>SUMIFS('май 2023'!$G$4:$G$815,'май 2023'!$D$4:$D$815,$B67,'май 2023'!$J$4:$J$815,AG$1)</f>
        <v>0</v>
      </c>
      <c r="AH67" s="207">
        <f>SUMIFS('май 2023'!$G$4:$G$815,'май 2023'!$D$4:$D$815,$B67,'май 2023'!$J$4:$J$815,AH$1)</f>
        <v>0</v>
      </c>
      <c r="AI67" s="170">
        <f t="shared" ref="AI67:AI125" si="3">SUM(D67:AH67)</f>
        <v>0</v>
      </c>
    </row>
    <row r="68" spans="2:35" ht="15" customHeight="1" x14ac:dyDescent="0.25">
      <c r="B68" s="216" t="s">
        <v>140</v>
      </c>
      <c r="C68" s="213">
        <v>180</v>
      </c>
      <c r="D68" s="207">
        <f>SUMIFS('май 2023'!$G$4:$G$815,'май 2023'!$D$4:$D$815,$B68,'май 2023'!$J$4:$J$815,D$1)</f>
        <v>0</v>
      </c>
      <c r="E68" s="207">
        <f>SUMIFS('май 2023'!$G$4:$G$815,'май 2023'!$D$4:$D$815,$B68,'май 2023'!$J$4:$J$815,E$1)</f>
        <v>0</v>
      </c>
      <c r="F68" s="207">
        <f>SUMIFS('май 2023'!$G$4:$G$815,'май 2023'!$D$4:$D$815,$B68,'май 2023'!$J$4:$J$815,F$1)</f>
        <v>0</v>
      </c>
      <c r="G68" s="207">
        <f>SUMIFS('май 2023'!$G$4:$G$815,'май 2023'!$D$4:$D$815,$B68,'май 2023'!$J$4:$J$815,G$1)</f>
        <v>0</v>
      </c>
      <c r="H68" s="207">
        <f>SUMIFS('май 2023'!$G$4:$G$815,'май 2023'!$D$4:$D$815,$B68,'май 2023'!$J$4:$J$815,H$1)</f>
        <v>0</v>
      </c>
      <c r="I68" s="207">
        <f>SUMIFS('май 2023'!$G$4:$G$815,'май 2023'!$D$4:$D$815,$B68,'май 2023'!$J$4:$J$815,I$1)</f>
        <v>0</v>
      </c>
      <c r="J68" s="207">
        <f>SUMIFS('май 2023'!$G$4:$G$815,'май 2023'!$D$4:$D$815,$B68,'май 2023'!$J$4:$J$815,J$1)</f>
        <v>0</v>
      </c>
      <c r="K68" s="207">
        <f>SUMIFS('май 2023'!$G$4:$G$815,'май 2023'!$D$4:$D$815,$B68,'май 2023'!$J$4:$J$815,K$1)</f>
        <v>0</v>
      </c>
      <c r="L68" s="207">
        <f>SUMIFS('май 2023'!$G$4:$G$815,'май 2023'!$D$4:$D$815,$B68,'май 2023'!$J$4:$J$815,L$1)</f>
        <v>0</v>
      </c>
      <c r="M68" s="207">
        <f>SUMIFS('май 2023'!$G$4:$G$815,'май 2023'!$D$4:$D$815,$B68,'май 2023'!$J$4:$J$815,M$1)</f>
        <v>0</v>
      </c>
      <c r="N68" s="207">
        <f>SUMIFS('май 2023'!$G$4:$G$815,'май 2023'!$D$4:$D$815,$B68,'май 2023'!$J$4:$J$815,N$1)</f>
        <v>0</v>
      </c>
      <c r="O68" s="207">
        <f>SUMIFS('май 2023'!$G$4:$G$815,'май 2023'!$D$4:$D$815,$B68,'май 2023'!$J$4:$J$815,O$1)</f>
        <v>0</v>
      </c>
      <c r="P68" s="207">
        <f>SUMIFS('май 2023'!$G$4:$G$815,'май 2023'!$D$4:$D$815,$B68,'май 2023'!$J$4:$J$815,P$1)</f>
        <v>0</v>
      </c>
      <c r="Q68" s="207">
        <f>SUMIFS('май 2023'!$G$4:$G$815,'май 2023'!$D$4:$D$815,$B68,'май 2023'!$J$4:$J$815,Q$1)</f>
        <v>0</v>
      </c>
      <c r="R68" s="207">
        <f>SUMIFS('май 2023'!$G$4:$G$815,'май 2023'!$D$4:$D$815,$B68,'май 2023'!$J$4:$J$815,R$1)</f>
        <v>0</v>
      </c>
      <c r="S68" s="207">
        <f>SUMIFS('май 2023'!$G$4:$G$815,'май 2023'!$D$4:$D$815,$B68,'май 2023'!$J$4:$J$815,S$1)</f>
        <v>0</v>
      </c>
      <c r="T68" s="207">
        <f>SUMIFS('май 2023'!$G$4:$G$815,'май 2023'!$D$4:$D$815,$B68,'май 2023'!$J$4:$J$815,T$1)</f>
        <v>0</v>
      </c>
      <c r="U68" s="207">
        <f>SUMIFS('май 2023'!$G$4:$G$815,'май 2023'!$D$4:$D$815,$B68,'май 2023'!$J$4:$J$815,U$1)</f>
        <v>0</v>
      </c>
      <c r="V68" s="207">
        <f>SUMIFS('май 2023'!$G$4:$G$815,'май 2023'!$D$4:$D$815,$B68,'май 2023'!$J$4:$J$815,V$1)</f>
        <v>0</v>
      </c>
      <c r="W68" s="207">
        <f>SUMIFS('май 2023'!$G$4:$G$815,'май 2023'!$D$4:$D$815,$B68,'май 2023'!$J$4:$J$815,W$1)</f>
        <v>0</v>
      </c>
      <c r="X68" s="207">
        <f>SUMIFS('май 2023'!$G$4:$G$815,'май 2023'!$D$4:$D$815,$B68,'май 2023'!$J$4:$J$815,X$1)</f>
        <v>0</v>
      </c>
      <c r="Y68" s="207">
        <f>SUMIFS('май 2023'!$G$4:$G$815,'май 2023'!$D$4:$D$815,$B68,'май 2023'!$J$4:$J$815,Y$1)</f>
        <v>0</v>
      </c>
      <c r="Z68" s="207">
        <f>SUMIFS('май 2023'!$G$4:$G$815,'май 2023'!$D$4:$D$815,$B68,'май 2023'!$J$4:$J$815,Z$1)</f>
        <v>0</v>
      </c>
      <c r="AA68" s="207">
        <f>SUMIFS('май 2023'!$G$4:$G$815,'май 2023'!$D$4:$D$815,$B68,'май 2023'!$J$4:$J$815,AA$1)</f>
        <v>19</v>
      </c>
      <c r="AB68" s="207">
        <f>SUMIFS('май 2023'!$G$4:$G$815,'май 2023'!$D$4:$D$815,$B68,'май 2023'!$J$4:$J$815,AB$1)</f>
        <v>0</v>
      </c>
      <c r="AC68" s="207">
        <f>SUMIFS('май 2023'!$G$4:$G$815,'май 2023'!$D$4:$D$815,$B68,'май 2023'!$J$4:$J$815,AC$1)</f>
        <v>0</v>
      </c>
      <c r="AD68" s="207">
        <f>SUMIFS('май 2023'!$G$4:$G$815,'май 2023'!$D$4:$D$815,$B68,'май 2023'!$J$4:$J$815,AD$1)</f>
        <v>0</v>
      </c>
      <c r="AE68" s="207">
        <f>SUMIFS('май 2023'!$G$4:$G$815,'май 2023'!$D$4:$D$815,$B68,'май 2023'!$J$4:$J$815,AE$1)</f>
        <v>0</v>
      </c>
      <c r="AF68" s="207">
        <f>SUMIFS('май 2023'!$G$4:$G$815,'май 2023'!$D$4:$D$815,$B68,'май 2023'!$J$4:$J$815,AF$1)</f>
        <v>0</v>
      </c>
      <c r="AG68" s="207">
        <f>SUMIFS('май 2023'!$G$4:$G$815,'май 2023'!$D$4:$D$815,$B68,'май 2023'!$J$4:$J$815,AG$1)</f>
        <v>0</v>
      </c>
      <c r="AH68" s="207">
        <f>SUMIFS('май 2023'!$G$4:$G$815,'май 2023'!$D$4:$D$815,$B68,'май 2023'!$J$4:$J$815,AH$1)</f>
        <v>0</v>
      </c>
      <c r="AI68" s="170">
        <f t="shared" si="3"/>
        <v>19</v>
      </c>
    </row>
    <row r="69" spans="2:35" ht="15" customHeight="1" x14ac:dyDescent="0.25">
      <c r="B69" s="216" t="s">
        <v>588</v>
      </c>
      <c r="C69" s="213">
        <v>200</v>
      </c>
      <c r="D69" s="207">
        <f>SUMIFS('май 2023'!$G$4:$G$815,'май 2023'!$D$4:$D$815,$B69,'май 2023'!$J$4:$J$815,D$1)</f>
        <v>0</v>
      </c>
      <c r="E69" s="207">
        <f>SUMIFS('май 2023'!$G$4:$G$815,'май 2023'!$D$4:$D$815,$B69,'май 2023'!$J$4:$J$815,E$1)</f>
        <v>0</v>
      </c>
      <c r="F69" s="207">
        <f>SUMIFS('май 2023'!$G$4:$G$815,'май 2023'!$D$4:$D$815,$B69,'май 2023'!$J$4:$J$815,F$1)</f>
        <v>0</v>
      </c>
      <c r="G69" s="207">
        <f>SUMIFS('май 2023'!$G$4:$G$815,'май 2023'!$D$4:$D$815,$B69,'май 2023'!$J$4:$J$815,G$1)</f>
        <v>0</v>
      </c>
      <c r="H69" s="207">
        <f>SUMIFS('май 2023'!$G$4:$G$815,'май 2023'!$D$4:$D$815,$B69,'май 2023'!$J$4:$J$815,H$1)</f>
        <v>0</v>
      </c>
      <c r="I69" s="207">
        <f>SUMIFS('май 2023'!$G$4:$G$815,'май 2023'!$D$4:$D$815,$B69,'май 2023'!$J$4:$J$815,I$1)</f>
        <v>0</v>
      </c>
      <c r="J69" s="207">
        <f>SUMIFS('май 2023'!$G$4:$G$815,'май 2023'!$D$4:$D$815,$B69,'май 2023'!$J$4:$J$815,J$1)</f>
        <v>0</v>
      </c>
      <c r="K69" s="207">
        <f>SUMIFS('май 2023'!$G$4:$G$815,'май 2023'!$D$4:$D$815,$B69,'май 2023'!$J$4:$J$815,K$1)</f>
        <v>0</v>
      </c>
      <c r="L69" s="207">
        <f>SUMIFS('май 2023'!$G$4:$G$815,'май 2023'!$D$4:$D$815,$B69,'май 2023'!$J$4:$J$815,L$1)</f>
        <v>0</v>
      </c>
      <c r="M69" s="207">
        <f>SUMIFS('май 2023'!$G$4:$G$815,'май 2023'!$D$4:$D$815,$B69,'май 2023'!$J$4:$J$815,M$1)</f>
        <v>0</v>
      </c>
      <c r="N69" s="207">
        <f>SUMIFS('май 2023'!$G$4:$G$815,'май 2023'!$D$4:$D$815,$B69,'май 2023'!$J$4:$J$815,N$1)</f>
        <v>0</v>
      </c>
      <c r="O69" s="207">
        <f>SUMIFS('май 2023'!$G$4:$G$815,'май 2023'!$D$4:$D$815,$B69,'май 2023'!$J$4:$J$815,O$1)</f>
        <v>0</v>
      </c>
      <c r="P69" s="207">
        <f>SUMIFS('май 2023'!$G$4:$G$815,'май 2023'!$D$4:$D$815,$B69,'май 2023'!$J$4:$J$815,P$1)</f>
        <v>0</v>
      </c>
      <c r="Q69" s="207">
        <f>SUMIFS('май 2023'!$G$4:$G$815,'май 2023'!$D$4:$D$815,$B69,'май 2023'!$J$4:$J$815,Q$1)</f>
        <v>0</v>
      </c>
      <c r="R69" s="207">
        <f>SUMIFS('май 2023'!$G$4:$G$815,'май 2023'!$D$4:$D$815,$B69,'май 2023'!$J$4:$J$815,R$1)</f>
        <v>0</v>
      </c>
      <c r="S69" s="207">
        <f>SUMIFS('май 2023'!$G$4:$G$815,'май 2023'!$D$4:$D$815,$B69,'май 2023'!$J$4:$J$815,S$1)</f>
        <v>0</v>
      </c>
      <c r="T69" s="207">
        <f>SUMIFS('май 2023'!$G$4:$G$815,'май 2023'!$D$4:$D$815,$B69,'май 2023'!$J$4:$J$815,T$1)</f>
        <v>0</v>
      </c>
      <c r="U69" s="207">
        <f>SUMIFS('май 2023'!$G$4:$G$815,'май 2023'!$D$4:$D$815,$B69,'май 2023'!$J$4:$J$815,U$1)</f>
        <v>0</v>
      </c>
      <c r="V69" s="207">
        <f>SUMIFS('май 2023'!$G$4:$G$815,'май 2023'!$D$4:$D$815,$B69,'май 2023'!$J$4:$J$815,V$1)</f>
        <v>0</v>
      </c>
      <c r="W69" s="207">
        <f>SUMIFS('май 2023'!$G$4:$G$815,'май 2023'!$D$4:$D$815,$B69,'май 2023'!$J$4:$J$815,W$1)</f>
        <v>0</v>
      </c>
      <c r="X69" s="207">
        <f>SUMIFS('май 2023'!$G$4:$G$815,'май 2023'!$D$4:$D$815,$B69,'май 2023'!$J$4:$J$815,X$1)</f>
        <v>0</v>
      </c>
      <c r="Y69" s="207">
        <f>SUMIFS('май 2023'!$G$4:$G$815,'май 2023'!$D$4:$D$815,$B69,'май 2023'!$J$4:$J$815,Y$1)</f>
        <v>0</v>
      </c>
      <c r="Z69" s="207">
        <f>SUMIFS('май 2023'!$G$4:$G$815,'май 2023'!$D$4:$D$815,$B69,'май 2023'!$J$4:$J$815,Z$1)</f>
        <v>0</v>
      </c>
      <c r="AA69" s="207">
        <f>SUMIFS('май 2023'!$G$4:$G$815,'май 2023'!$D$4:$D$815,$B69,'май 2023'!$J$4:$J$815,AA$1)</f>
        <v>0</v>
      </c>
      <c r="AB69" s="207">
        <f>SUMIFS('май 2023'!$G$4:$G$815,'май 2023'!$D$4:$D$815,$B69,'май 2023'!$J$4:$J$815,AB$1)</f>
        <v>0</v>
      </c>
      <c r="AC69" s="207">
        <f>SUMIFS('май 2023'!$G$4:$G$815,'май 2023'!$D$4:$D$815,$B69,'май 2023'!$J$4:$J$815,AC$1)</f>
        <v>0</v>
      </c>
      <c r="AD69" s="207">
        <f>SUMIFS('май 2023'!$G$4:$G$815,'май 2023'!$D$4:$D$815,$B69,'май 2023'!$J$4:$J$815,AD$1)</f>
        <v>0</v>
      </c>
      <c r="AE69" s="207">
        <f>SUMIFS('май 2023'!$G$4:$G$815,'май 2023'!$D$4:$D$815,$B69,'май 2023'!$J$4:$J$815,AE$1)</f>
        <v>0</v>
      </c>
      <c r="AF69" s="207">
        <f>SUMIFS('май 2023'!$G$4:$G$815,'май 2023'!$D$4:$D$815,$B69,'май 2023'!$J$4:$J$815,AF$1)</f>
        <v>0</v>
      </c>
      <c r="AG69" s="207">
        <f>SUMIFS('май 2023'!$G$4:$G$815,'май 2023'!$D$4:$D$815,$B69,'май 2023'!$J$4:$J$815,AG$1)</f>
        <v>0</v>
      </c>
      <c r="AH69" s="207">
        <f>SUMIFS('май 2023'!$G$4:$G$815,'май 2023'!$D$4:$D$815,$B69,'май 2023'!$J$4:$J$815,AH$1)</f>
        <v>0</v>
      </c>
      <c r="AI69" s="170">
        <f t="shared" si="3"/>
        <v>0</v>
      </c>
    </row>
    <row r="70" spans="2:35" ht="15" customHeight="1" x14ac:dyDescent="0.25">
      <c r="B70" s="216" t="s">
        <v>1779</v>
      </c>
      <c r="C70" s="213">
        <v>180</v>
      </c>
      <c r="D70" s="207">
        <f>SUMIFS('май 2023'!$G$4:$G$815,'май 2023'!$D$4:$D$815,$B70,'май 2023'!$J$4:$J$815,D$1)</f>
        <v>0</v>
      </c>
      <c r="E70" s="207">
        <f>SUMIFS('май 2023'!$G$4:$G$815,'май 2023'!$D$4:$D$815,$B70,'май 2023'!$J$4:$J$815,E$1)</f>
        <v>0</v>
      </c>
      <c r="F70" s="207">
        <f>SUMIFS('май 2023'!$G$4:$G$815,'май 2023'!$D$4:$D$815,$B70,'май 2023'!$J$4:$J$815,F$1)</f>
        <v>0</v>
      </c>
      <c r="G70" s="207">
        <f>SUMIFS('май 2023'!$G$4:$G$815,'май 2023'!$D$4:$D$815,$B70,'май 2023'!$J$4:$J$815,G$1)</f>
        <v>0</v>
      </c>
      <c r="H70" s="207">
        <f>SUMIFS('май 2023'!$G$4:$G$815,'май 2023'!$D$4:$D$815,$B70,'май 2023'!$J$4:$J$815,H$1)</f>
        <v>0</v>
      </c>
      <c r="I70" s="207">
        <f>SUMIFS('май 2023'!$G$4:$G$815,'май 2023'!$D$4:$D$815,$B70,'май 2023'!$J$4:$J$815,I$1)</f>
        <v>0</v>
      </c>
      <c r="J70" s="207">
        <f>SUMIFS('май 2023'!$G$4:$G$815,'май 2023'!$D$4:$D$815,$B70,'май 2023'!$J$4:$J$815,J$1)</f>
        <v>0</v>
      </c>
      <c r="K70" s="207">
        <f>SUMIFS('май 2023'!$G$4:$G$815,'май 2023'!$D$4:$D$815,$B70,'май 2023'!$J$4:$J$815,K$1)</f>
        <v>0</v>
      </c>
      <c r="L70" s="207">
        <f>SUMIFS('май 2023'!$G$4:$G$815,'май 2023'!$D$4:$D$815,$B70,'май 2023'!$J$4:$J$815,L$1)</f>
        <v>0</v>
      </c>
      <c r="M70" s="207">
        <f>SUMIFS('май 2023'!$G$4:$G$815,'май 2023'!$D$4:$D$815,$B70,'май 2023'!$J$4:$J$815,M$1)</f>
        <v>0</v>
      </c>
      <c r="N70" s="207">
        <f>SUMIFS('май 2023'!$G$4:$G$815,'май 2023'!$D$4:$D$815,$B70,'май 2023'!$J$4:$J$815,N$1)</f>
        <v>0</v>
      </c>
      <c r="O70" s="207">
        <f>SUMIFS('май 2023'!$G$4:$G$815,'май 2023'!$D$4:$D$815,$B70,'май 2023'!$J$4:$J$815,O$1)</f>
        <v>0</v>
      </c>
      <c r="P70" s="207">
        <f>SUMIFS('май 2023'!$G$4:$G$815,'май 2023'!$D$4:$D$815,$B70,'май 2023'!$J$4:$J$815,P$1)</f>
        <v>0</v>
      </c>
      <c r="Q70" s="207">
        <f>SUMIFS('май 2023'!$G$4:$G$815,'май 2023'!$D$4:$D$815,$B70,'май 2023'!$J$4:$J$815,Q$1)</f>
        <v>0</v>
      </c>
      <c r="R70" s="207">
        <f>SUMIFS('май 2023'!$G$4:$G$815,'май 2023'!$D$4:$D$815,$B70,'май 2023'!$J$4:$J$815,R$1)</f>
        <v>0</v>
      </c>
      <c r="S70" s="207">
        <f>SUMIFS('май 2023'!$G$4:$G$815,'май 2023'!$D$4:$D$815,$B70,'май 2023'!$J$4:$J$815,S$1)</f>
        <v>0</v>
      </c>
      <c r="T70" s="207">
        <f>SUMIFS('май 2023'!$G$4:$G$815,'май 2023'!$D$4:$D$815,$B70,'май 2023'!$J$4:$J$815,T$1)</f>
        <v>0</v>
      </c>
      <c r="U70" s="207">
        <f>SUMIFS('май 2023'!$G$4:$G$815,'май 2023'!$D$4:$D$815,$B70,'май 2023'!$J$4:$J$815,U$1)</f>
        <v>0</v>
      </c>
      <c r="V70" s="207">
        <f>SUMIFS('май 2023'!$G$4:$G$815,'май 2023'!$D$4:$D$815,$B70,'май 2023'!$J$4:$J$815,V$1)</f>
        <v>0</v>
      </c>
      <c r="W70" s="207">
        <f>SUMIFS('май 2023'!$G$4:$G$815,'май 2023'!$D$4:$D$815,$B70,'май 2023'!$J$4:$J$815,W$1)</f>
        <v>0</v>
      </c>
      <c r="X70" s="207">
        <f>SUMIFS('май 2023'!$G$4:$G$815,'май 2023'!$D$4:$D$815,$B70,'май 2023'!$J$4:$J$815,X$1)</f>
        <v>0</v>
      </c>
      <c r="Y70" s="207">
        <f>SUMIFS('май 2023'!$G$4:$G$815,'май 2023'!$D$4:$D$815,$B70,'май 2023'!$J$4:$J$815,Y$1)</f>
        <v>0</v>
      </c>
      <c r="Z70" s="207">
        <f>SUMIFS('май 2023'!$G$4:$G$815,'май 2023'!$D$4:$D$815,$B70,'май 2023'!$J$4:$J$815,Z$1)</f>
        <v>0</v>
      </c>
      <c r="AA70" s="207">
        <f>SUMIFS('май 2023'!$G$4:$G$815,'май 2023'!$D$4:$D$815,$B70,'май 2023'!$J$4:$J$815,AA$1)</f>
        <v>0</v>
      </c>
      <c r="AB70" s="207">
        <f>SUMIFS('май 2023'!$G$4:$G$815,'май 2023'!$D$4:$D$815,$B70,'май 2023'!$J$4:$J$815,AB$1)</f>
        <v>0</v>
      </c>
      <c r="AC70" s="207">
        <f>SUMIFS('май 2023'!$G$4:$G$815,'май 2023'!$D$4:$D$815,$B70,'май 2023'!$J$4:$J$815,AC$1)</f>
        <v>0</v>
      </c>
      <c r="AD70" s="207">
        <f>SUMIFS('май 2023'!$G$4:$G$815,'май 2023'!$D$4:$D$815,$B70,'май 2023'!$J$4:$J$815,AD$1)</f>
        <v>0</v>
      </c>
      <c r="AE70" s="207">
        <f>SUMIFS('май 2023'!$G$4:$G$815,'май 2023'!$D$4:$D$815,$B70,'май 2023'!$J$4:$J$815,AE$1)</f>
        <v>0</v>
      </c>
      <c r="AF70" s="207">
        <f>SUMIFS('май 2023'!$G$4:$G$815,'май 2023'!$D$4:$D$815,$B70,'май 2023'!$J$4:$J$815,AF$1)</f>
        <v>0</v>
      </c>
      <c r="AG70" s="207">
        <f>SUMIFS('май 2023'!$G$4:$G$815,'май 2023'!$D$4:$D$815,$B70,'май 2023'!$J$4:$J$815,AG$1)</f>
        <v>0</v>
      </c>
      <c r="AH70" s="207">
        <f>SUMIFS('май 2023'!$G$4:$G$815,'май 2023'!$D$4:$D$815,$B70,'май 2023'!$J$4:$J$815,AH$1)</f>
        <v>0</v>
      </c>
      <c r="AI70" s="170">
        <f t="shared" si="3"/>
        <v>0</v>
      </c>
    </row>
    <row r="71" spans="2:35" ht="15" customHeight="1" x14ac:dyDescent="0.25">
      <c r="B71" s="212" t="s">
        <v>634</v>
      </c>
      <c r="C71" s="211">
        <v>200</v>
      </c>
      <c r="D71" s="207">
        <f>SUMIFS('май 2023'!$G$4:$G$815,'май 2023'!$D$4:$D$815,$B71,'май 2023'!$J$4:$J$815,D$1)</f>
        <v>0</v>
      </c>
      <c r="E71" s="207">
        <f>SUMIFS('май 2023'!$G$4:$G$815,'май 2023'!$D$4:$D$815,$B71,'май 2023'!$J$4:$J$815,E$1)</f>
        <v>0</v>
      </c>
      <c r="F71" s="207">
        <f>SUMIFS('май 2023'!$G$4:$G$815,'май 2023'!$D$4:$D$815,$B71,'май 2023'!$J$4:$J$815,F$1)</f>
        <v>0</v>
      </c>
      <c r="G71" s="207">
        <f>SUMIFS('май 2023'!$G$4:$G$815,'май 2023'!$D$4:$D$815,$B71,'май 2023'!$J$4:$J$815,G$1)</f>
        <v>0</v>
      </c>
      <c r="H71" s="207">
        <f>SUMIFS('май 2023'!$G$4:$G$815,'май 2023'!$D$4:$D$815,$B71,'май 2023'!$J$4:$J$815,H$1)</f>
        <v>0</v>
      </c>
      <c r="I71" s="207">
        <f>SUMIFS('май 2023'!$G$4:$G$815,'май 2023'!$D$4:$D$815,$B71,'май 2023'!$J$4:$J$815,I$1)</f>
        <v>0</v>
      </c>
      <c r="J71" s="207">
        <f>SUMIFS('май 2023'!$G$4:$G$815,'май 2023'!$D$4:$D$815,$B71,'май 2023'!$J$4:$J$815,J$1)</f>
        <v>0</v>
      </c>
      <c r="K71" s="207">
        <f>SUMIFS('май 2023'!$G$4:$G$815,'май 2023'!$D$4:$D$815,$B71,'май 2023'!$J$4:$J$815,K$1)</f>
        <v>0</v>
      </c>
      <c r="L71" s="207">
        <f>SUMIFS('май 2023'!$G$4:$G$815,'май 2023'!$D$4:$D$815,$B71,'май 2023'!$J$4:$J$815,L$1)</f>
        <v>0</v>
      </c>
      <c r="M71" s="207">
        <f>SUMIFS('май 2023'!$G$4:$G$815,'май 2023'!$D$4:$D$815,$B71,'май 2023'!$J$4:$J$815,M$1)</f>
        <v>0</v>
      </c>
      <c r="N71" s="207">
        <f>SUMIFS('май 2023'!$G$4:$G$815,'май 2023'!$D$4:$D$815,$B71,'май 2023'!$J$4:$J$815,N$1)</f>
        <v>0</v>
      </c>
      <c r="O71" s="207">
        <f>SUMIFS('май 2023'!$G$4:$G$815,'май 2023'!$D$4:$D$815,$B71,'май 2023'!$J$4:$J$815,O$1)</f>
        <v>0</v>
      </c>
      <c r="P71" s="207">
        <f>SUMIFS('май 2023'!$G$4:$G$815,'май 2023'!$D$4:$D$815,$B71,'май 2023'!$J$4:$J$815,P$1)</f>
        <v>0</v>
      </c>
      <c r="Q71" s="207">
        <f>SUMIFS('май 2023'!$G$4:$G$815,'май 2023'!$D$4:$D$815,$B71,'май 2023'!$J$4:$J$815,Q$1)</f>
        <v>0</v>
      </c>
      <c r="R71" s="207">
        <f>SUMIFS('май 2023'!$G$4:$G$815,'май 2023'!$D$4:$D$815,$B71,'май 2023'!$J$4:$J$815,R$1)</f>
        <v>0</v>
      </c>
      <c r="S71" s="207">
        <f>SUMIFS('май 2023'!$G$4:$G$815,'май 2023'!$D$4:$D$815,$B71,'май 2023'!$J$4:$J$815,S$1)</f>
        <v>0</v>
      </c>
      <c r="T71" s="207">
        <f>SUMIFS('май 2023'!$G$4:$G$815,'май 2023'!$D$4:$D$815,$B71,'май 2023'!$J$4:$J$815,T$1)</f>
        <v>0</v>
      </c>
      <c r="U71" s="207">
        <f>SUMIFS('май 2023'!$G$4:$G$815,'май 2023'!$D$4:$D$815,$B71,'май 2023'!$J$4:$J$815,U$1)</f>
        <v>0</v>
      </c>
      <c r="V71" s="207">
        <f>SUMIFS('май 2023'!$G$4:$G$815,'май 2023'!$D$4:$D$815,$B71,'май 2023'!$J$4:$J$815,V$1)</f>
        <v>0</v>
      </c>
      <c r="W71" s="207">
        <f>SUMIFS('май 2023'!$G$4:$G$815,'май 2023'!$D$4:$D$815,$B71,'май 2023'!$J$4:$J$815,W$1)</f>
        <v>0</v>
      </c>
      <c r="X71" s="207">
        <f>SUMIFS('май 2023'!$G$4:$G$815,'май 2023'!$D$4:$D$815,$B71,'май 2023'!$J$4:$J$815,X$1)</f>
        <v>0</v>
      </c>
      <c r="Y71" s="207">
        <f>SUMIFS('май 2023'!$G$4:$G$815,'май 2023'!$D$4:$D$815,$B71,'май 2023'!$J$4:$J$815,Y$1)</f>
        <v>0</v>
      </c>
      <c r="Z71" s="207">
        <f>SUMIFS('май 2023'!$G$4:$G$815,'май 2023'!$D$4:$D$815,$B71,'май 2023'!$J$4:$J$815,Z$1)</f>
        <v>0</v>
      </c>
      <c r="AA71" s="207">
        <f>SUMIFS('май 2023'!$G$4:$G$815,'май 2023'!$D$4:$D$815,$B71,'май 2023'!$J$4:$J$815,AA$1)</f>
        <v>0</v>
      </c>
      <c r="AB71" s="207">
        <f>SUMIFS('май 2023'!$G$4:$G$815,'май 2023'!$D$4:$D$815,$B71,'май 2023'!$J$4:$J$815,AB$1)</f>
        <v>0</v>
      </c>
      <c r="AC71" s="207">
        <f>SUMIFS('май 2023'!$G$4:$G$815,'май 2023'!$D$4:$D$815,$B71,'май 2023'!$J$4:$J$815,AC$1)</f>
        <v>0</v>
      </c>
      <c r="AD71" s="207">
        <f>SUMIFS('май 2023'!$G$4:$G$815,'май 2023'!$D$4:$D$815,$B71,'май 2023'!$J$4:$J$815,AD$1)</f>
        <v>0</v>
      </c>
      <c r="AE71" s="207">
        <f>SUMIFS('май 2023'!$G$4:$G$815,'май 2023'!$D$4:$D$815,$B71,'май 2023'!$J$4:$J$815,AE$1)</f>
        <v>0</v>
      </c>
      <c r="AF71" s="207">
        <f>SUMIFS('май 2023'!$G$4:$G$815,'май 2023'!$D$4:$D$815,$B71,'май 2023'!$J$4:$J$815,AF$1)</f>
        <v>0</v>
      </c>
      <c r="AG71" s="207">
        <f>SUMIFS('май 2023'!$G$4:$G$815,'май 2023'!$D$4:$D$815,$B71,'май 2023'!$J$4:$J$815,AG$1)</f>
        <v>0</v>
      </c>
      <c r="AH71" s="207">
        <f>SUMIFS('май 2023'!$G$4:$G$815,'май 2023'!$D$4:$D$815,$B71,'май 2023'!$J$4:$J$815,AH$1)</f>
        <v>0</v>
      </c>
      <c r="AI71" s="170">
        <f t="shared" si="3"/>
        <v>0</v>
      </c>
    </row>
    <row r="72" spans="2:35" ht="15" customHeight="1" x14ac:dyDescent="0.25">
      <c r="B72" s="216" t="s">
        <v>498</v>
      </c>
      <c r="C72" s="213">
        <v>185</v>
      </c>
      <c r="D72" s="207">
        <f>SUMIFS('май 2023'!$G$4:$G$815,'май 2023'!$D$4:$D$815,$B72,'май 2023'!$J$4:$J$815,D$1)</f>
        <v>0</v>
      </c>
      <c r="E72" s="207">
        <f>SUMIFS('май 2023'!$G$4:$G$815,'май 2023'!$D$4:$D$815,$B72,'май 2023'!$J$4:$J$815,E$1)</f>
        <v>0</v>
      </c>
      <c r="F72" s="207">
        <f>SUMIFS('май 2023'!$G$4:$G$815,'май 2023'!$D$4:$D$815,$B72,'май 2023'!$J$4:$J$815,F$1)</f>
        <v>0</v>
      </c>
      <c r="G72" s="207">
        <f>SUMIFS('май 2023'!$G$4:$G$815,'май 2023'!$D$4:$D$815,$B72,'май 2023'!$J$4:$J$815,G$1)</f>
        <v>0</v>
      </c>
      <c r="H72" s="207">
        <f>SUMIFS('май 2023'!$G$4:$G$815,'май 2023'!$D$4:$D$815,$B72,'май 2023'!$J$4:$J$815,H$1)</f>
        <v>0</v>
      </c>
      <c r="I72" s="207">
        <f>SUMIFS('май 2023'!$G$4:$G$815,'май 2023'!$D$4:$D$815,$B72,'май 2023'!$J$4:$J$815,I$1)</f>
        <v>0</v>
      </c>
      <c r="J72" s="207">
        <f>SUMIFS('май 2023'!$G$4:$G$815,'май 2023'!$D$4:$D$815,$B72,'май 2023'!$J$4:$J$815,J$1)</f>
        <v>0</v>
      </c>
      <c r="K72" s="207">
        <f>SUMIFS('май 2023'!$G$4:$G$815,'май 2023'!$D$4:$D$815,$B72,'май 2023'!$J$4:$J$815,K$1)</f>
        <v>0</v>
      </c>
      <c r="L72" s="207">
        <f>SUMIFS('май 2023'!$G$4:$G$815,'май 2023'!$D$4:$D$815,$B72,'май 2023'!$J$4:$J$815,L$1)</f>
        <v>0</v>
      </c>
      <c r="M72" s="207">
        <f>SUMIFS('май 2023'!$G$4:$G$815,'май 2023'!$D$4:$D$815,$B72,'май 2023'!$J$4:$J$815,M$1)</f>
        <v>80</v>
      </c>
      <c r="N72" s="207">
        <f>SUMIFS('май 2023'!$G$4:$G$815,'май 2023'!$D$4:$D$815,$B72,'май 2023'!$J$4:$J$815,N$1)</f>
        <v>0</v>
      </c>
      <c r="O72" s="207">
        <f>SUMIFS('май 2023'!$G$4:$G$815,'май 2023'!$D$4:$D$815,$B72,'май 2023'!$J$4:$J$815,O$1)</f>
        <v>0</v>
      </c>
      <c r="P72" s="207">
        <f>SUMIFS('май 2023'!$G$4:$G$815,'май 2023'!$D$4:$D$815,$B72,'май 2023'!$J$4:$J$815,P$1)</f>
        <v>0</v>
      </c>
      <c r="Q72" s="207">
        <f>SUMIFS('май 2023'!$G$4:$G$815,'май 2023'!$D$4:$D$815,$B72,'май 2023'!$J$4:$J$815,Q$1)</f>
        <v>0</v>
      </c>
      <c r="R72" s="207">
        <f>SUMIFS('май 2023'!$G$4:$G$815,'май 2023'!$D$4:$D$815,$B72,'май 2023'!$J$4:$J$815,R$1)</f>
        <v>0</v>
      </c>
      <c r="S72" s="207">
        <f>SUMIFS('май 2023'!$G$4:$G$815,'май 2023'!$D$4:$D$815,$B72,'май 2023'!$J$4:$J$815,S$1)</f>
        <v>0</v>
      </c>
      <c r="T72" s="207">
        <f>SUMIFS('май 2023'!$G$4:$G$815,'май 2023'!$D$4:$D$815,$B72,'май 2023'!$J$4:$J$815,T$1)</f>
        <v>0</v>
      </c>
      <c r="U72" s="207">
        <f>SUMIFS('май 2023'!$G$4:$G$815,'май 2023'!$D$4:$D$815,$B72,'май 2023'!$J$4:$J$815,U$1)</f>
        <v>0</v>
      </c>
      <c r="V72" s="207">
        <f>SUMIFS('май 2023'!$G$4:$G$815,'май 2023'!$D$4:$D$815,$B72,'май 2023'!$J$4:$J$815,V$1)</f>
        <v>0</v>
      </c>
      <c r="W72" s="207">
        <f>SUMIFS('май 2023'!$G$4:$G$815,'май 2023'!$D$4:$D$815,$B72,'май 2023'!$J$4:$J$815,W$1)</f>
        <v>0</v>
      </c>
      <c r="X72" s="207">
        <f>SUMIFS('май 2023'!$G$4:$G$815,'май 2023'!$D$4:$D$815,$B72,'май 2023'!$J$4:$J$815,X$1)</f>
        <v>0</v>
      </c>
      <c r="Y72" s="207">
        <f>SUMIFS('май 2023'!$G$4:$G$815,'май 2023'!$D$4:$D$815,$B72,'май 2023'!$J$4:$J$815,Y$1)</f>
        <v>0</v>
      </c>
      <c r="Z72" s="207">
        <f>SUMIFS('май 2023'!$G$4:$G$815,'май 2023'!$D$4:$D$815,$B72,'май 2023'!$J$4:$J$815,Z$1)</f>
        <v>0</v>
      </c>
      <c r="AA72" s="207">
        <f>SUMIFS('май 2023'!$G$4:$G$815,'май 2023'!$D$4:$D$815,$B72,'май 2023'!$J$4:$J$815,AA$1)</f>
        <v>0</v>
      </c>
      <c r="AB72" s="207">
        <f>SUMIFS('май 2023'!$G$4:$G$815,'май 2023'!$D$4:$D$815,$B72,'май 2023'!$J$4:$J$815,AB$1)</f>
        <v>0</v>
      </c>
      <c r="AC72" s="207">
        <f>SUMIFS('май 2023'!$G$4:$G$815,'май 2023'!$D$4:$D$815,$B72,'май 2023'!$J$4:$J$815,AC$1)</f>
        <v>0</v>
      </c>
      <c r="AD72" s="207">
        <f>SUMIFS('май 2023'!$G$4:$G$815,'май 2023'!$D$4:$D$815,$B72,'май 2023'!$J$4:$J$815,AD$1)</f>
        <v>0</v>
      </c>
      <c r="AE72" s="207">
        <f>SUMIFS('май 2023'!$G$4:$G$815,'май 2023'!$D$4:$D$815,$B72,'май 2023'!$J$4:$J$815,AE$1)</f>
        <v>0</v>
      </c>
      <c r="AF72" s="207">
        <f>SUMIFS('май 2023'!$G$4:$G$815,'май 2023'!$D$4:$D$815,$B72,'май 2023'!$J$4:$J$815,AF$1)</f>
        <v>0</v>
      </c>
      <c r="AG72" s="207">
        <f>SUMIFS('май 2023'!$G$4:$G$815,'май 2023'!$D$4:$D$815,$B72,'май 2023'!$J$4:$J$815,AG$1)</f>
        <v>0</v>
      </c>
      <c r="AH72" s="207">
        <f>SUMIFS('май 2023'!$G$4:$G$815,'май 2023'!$D$4:$D$815,$B72,'май 2023'!$J$4:$J$815,AH$1)</f>
        <v>0</v>
      </c>
      <c r="AI72" s="170">
        <f t="shared" si="3"/>
        <v>80</v>
      </c>
    </row>
    <row r="73" spans="2:35" ht="15" customHeight="1" x14ac:dyDescent="0.25">
      <c r="B73" s="216" t="s">
        <v>155</v>
      </c>
      <c r="C73" s="213">
        <v>185</v>
      </c>
      <c r="D73" s="207">
        <f>SUMIFS('май 2023'!$G$4:$G$815,'май 2023'!$D$4:$D$815,$B73,'май 2023'!$J$4:$J$815,D$1)</f>
        <v>0</v>
      </c>
      <c r="E73" s="207">
        <f>SUMIFS('май 2023'!$G$4:$G$815,'май 2023'!$D$4:$D$815,$B73,'май 2023'!$J$4:$J$815,E$1)</f>
        <v>0</v>
      </c>
      <c r="F73" s="207">
        <f>SUMIFS('май 2023'!$G$4:$G$815,'май 2023'!$D$4:$D$815,$B73,'май 2023'!$J$4:$J$815,F$1)</f>
        <v>0</v>
      </c>
      <c r="G73" s="207">
        <f>SUMIFS('май 2023'!$G$4:$G$815,'май 2023'!$D$4:$D$815,$B73,'май 2023'!$J$4:$J$815,G$1)</f>
        <v>0</v>
      </c>
      <c r="H73" s="207">
        <f>SUMIFS('май 2023'!$G$4:$G$815,'май 2023'!$D$4:$D$815,$B73,'май 2023'!$J$4:$J$815,H$1)</f>
        <v>0</v>
      </c>
      <c r="I73" s="207">
        <f>SUMIFS('май 2023'!$G$4:$G$815,'май 2023'!$D$4:$D$815,$B73,'май 2023'!$J$4:$J$815,I$1)</f>
        <v>0</v>
      </c>
      <c r="J73" s="207">
        <f>SUMIFS('май 2023'!$G$4:$G$815,'май 2023'!$D$4:$D$815,$B73,'май 2023'!$J$4:$J$815,J$1)</f>
        <v>0</v>
      </c>
      <c r="K73" s="207">
        <f>SUMIFS('май 2023'!$G$4:$G$815,'май 2023'!$D$4:$D$815,$B73,'май 2023'!$J$4:$J$815,K$1)</f>
        <v>0</v>
      </c>
      <c r="L73" s="207">
        <f>SUMIFS('май 2023'!$G$4:$G$815,'май 2023'!$D$4:$D$815,$B73,'май 2023'!$J$4:$J$815,L$1)</f>
        <v>0</v>
      </c>
      <c r="M73" s="207">
        <f>SUMIFS('май 2023'!$G$4:$G$815,'май 2023'!$D$4:$D$815,$B73,'май 2023'!$J$4:$J$815,M$1)</f>
        <v>0</v>
      </c>
      <c r="N73" s="207">
        <f>SUMIFS('май 2023'!$G$4:$G$815,'май 2023'!$D$4:$D$815,$B73,'май 2023'!$J$4:$J$815,N$1)</f>
        <v>0</v>
      </c>
      <c r="O73" s="207">
        <f>SUMIFS('май 2023'!$G$4:$G$815,'май 2023'!$D$4:$D$815,$B73,'май 2023'!$J$4:$J$815,O$1)</f>
        <v>0</v>
      </c>
      <c r="P73" s="207">
        <f>SUMIFS('май 2023'!$G$4:$G$815,'май 2023'!$D$4:$D$815,$B73,'май 2023'!$J$4:$J$815,P$1)</f>
        <v>0</v>
      </c>
      <c r="Q73" s="207">
        <f>SUMIFS('май 2023'!$G$4:$G$815,'май 2023'!$D$4:$D$815,$B73,'май 2023'!$J$4:$J$815,Q$1)</f>
        <v>0</v>
      </c>
      <c r="R73" s="207">
        <f>SUMIFS('май 2023'!$G$4:$G$815,'май 2023'!$D$4:$D$815,$B73,'май 2023'!$J$4:$J$815,R$1)</f>
        <v>0</v>
      </c>
      <c r="S73" s="207">
        <f>SUMIFS('май 2023'!$G$4:$G$815,'май 2023'!$D$4:$D$815,$B73,'май 2023'!$J$4:$J$815,S$1)</f>
        <v>0</v>
      </c>
      <c r="T73" s="207">
        <f>SUMIFS('май 2023'!$G$4:$G$815,'май 2023'!$D$4:$D$815,$B73,'май 2023'!$J$4:$J$815,T$1)</f>
        <v>0</v>
      </c>
      <c r="U73" s="207">
        <f>SUMIFS('май 2023'!$G$4:$G$815,'май 2023'!$D$4:$D$815,$B73,'май 2023'!$J$4:$J$815,U$1)</f>
        <v>0</v>
      </c>
      <c r="V73" s="207">
        <f>SUMIFS('май 2023'!$G$4:$G$815,'май 2023'!$D$4:$D$815,$B73,'май 2023'!$J$4:$J$815,V$1)</f>
        <v>0</v>
      </c>
      <c r="W73" s="207">
        <f>SUMIFS('май 2023'!$G$4:$G$815,'май 2023'!$D$4:$D$815,$B73,'май 2023'!$J$4:$J$815,W$1)</f>
        <v>0</v>
      </c>
      <c r="X73" s="207">
        <f>SUMIFS('май 2023'!$G$4:$G$815,'май 2023'!$D$4:$D$815,$B73,'май 2023'!$J$4:$J$815,X$1)</f>
        <v>0</v>
      </c>
      <c r="Y73" s="207">
        <f>SUMIFS('май 2023'!$G$4:$G$815,'май 2023'!$D$4:$D$815,$B73,'май 2023'!$J$4:$J$815,Y$1)</f>
        <v>0</v>
      </c>
      <c r="Z73" s="207">
        <f>SUMIFS('май 2023'!$G$4:$G$815,'май 2023'!$D$4:$D$815,$B73,'май 2023'!$J$4:$J$815,Z$1)</f>
        <v>0</v>
      </c>
      <c r="AA73" s="207">
        <f>SUMIFS('май 2023'!$G$4:$G$815,'май 2023'!$D$4:$D$815,$B73,'май 2023'!$J$4:$J$815,AA$1)</f>
        <v>0</v>
      </c>
      <c r="AB73" s="207">
        <f>SUMIFS('май 2023'!$G$4:$G$815,'май 2023'!$D$4:$D$815,$B73,'май 2023'!$J$4:$J$815,AB$1)</f>
        <v>0</v>
      </c>
      <c r="AC73" s="207">
        <f>SUMIFS('май 2023'!$G$4:$G$815,'май 2023'!$D$4:$D$815,$B73,'май 2023'!$J$4:$J$815,AC$1)</f>
        <v>0</v>
      </c>
      <c r="AD73" s="207">
        <f>SUMIFS('май 2023'!$G$4:$G$815,'май 2023'!$D$4:$D$815,$B73,'май 2023'!$J$4:$J$815,AD$1)</f>
        <v>0</v>
      </c>
      <c r="AE73" s="207">
        <f>SUMIFS('май 2023'!$G$4:$G$815,'май 2023'!$D$4:$D$815,$B73,'май 2023'!$J$4:$J$815,AE$1)</f>
        <v>0</v>
      </c>
      <c r="AF73" s="207">
        <f>SUMIFS('май 2023'!$G$4:$G$815,'май 2023'!$D$4:$D$815,$B73,'май 2023'!$J$4:$J$815,AF$1)</f>
        <v>0</v>
      </c>
      <c r="AG73" s="207">
        <f>SUMIFS('май 2023'!$G$4:$G$815,'май 2023'!$D$4:$D$815,$B73,'май 2023'!$J$4:$J$815,AG$1)</f>
        <v>0</v>
      </c>
      <c r="AH73" s="207">
        <f>SUMIFS('май 2023'!$G$4:$G$815,'май 2023'!$D$4:$D$815,$B73,'май 2023'!$J$4:$J$815,AH$1)</f>
        <v>0</v>
      </c>
      <c r="AI73" s="170">
        <f t="shared" si="3"/>
        <v>0</v>
      </c>
    </row>
    <row r="74" spans="2:35" ht="15" customHeight="1" x14ac:dyDescent="0.25">
      <c r="B74" s="216" t="s">
        <v>2180</v>
      </c>
      <c r="C74" s="213">
        <v>180</v>
      </c>
      <c r="D74" s="207">
        <f>SUMIFS('май 2023'!$G$4:$G$815,'май 2023'!$D$4:$D$815,$B74,'май 2023'!$J$4:$J$815,D$1)</f>
        <v>0</v>
      </c>
      <c r="E74" s="207">
        <f>SUMIFS('май 2023'!$G$4:$G$815,'май 2023'!$D$4:$D$815,$B74,'май 2023'!$J$4:$J$815,E$1)</f>
        <v>0</v>
      </c>
      <c r="F74" s="207">
        <f>SUMIFS('май 2023'!$G$4:$G$815,'май 2023'!$D$4:$D$815,$B74,'май 2023'!$J$4:$J$815,F$1)</f>
        <v>0</v>
      </c>
      <c r="G74" s="207">
        <f>SUMIFS('май 2023'!$G$4:$G$815,'май 2023'!$D$4:$D$815,$B74,'май 2023'!$J$4:$J$815,G$1)</f>
        <v>0</v>
      </c>
      <c r="H74" s="207">
        <f>SUMIFS('май 2023'!$G$4:$G$815,'май 2023'!$D$4:$D$815,$B74,'май 2023'!$J$4:$J$815,H$1)</f>
        <v>0</v>
      </c>
      <c r="I74" s="207">
        <f>SUMIFS('май 2023'!$G$4:$G$815,'май 2023'!$D$4:$D$815,$B74,'май 2023'!$J$4:$J$815,I$1)</f>
        <v>0</v>
      </c>
      <c r="J74" s="207">
        <f>SUMIFS('май 2023'!$G$4:$G$815,'май 2023'!$D$4:$D$815,$B74,'май 2023'!$J$4:$J$815,J$1)</f>
        <v>0</v>
      </c>
      <c r="K74" s="207">
        <f>SUMIFS('май 2023'!$G$4:$G$815,'май 2023'!$D$4:$D$815,$B74,'май 2023'!$J$4:$J$815,K$1)</f>
        <v>0</v>
      </c>
      <c r="L74" s="207">
        <f>SUMIFS('май 2023'!$G$4:$G$815,'май 2023'!$D$4:$D$815,$B74,'май 2023'!$J$4:$J$815,L$1)</f>
        <v>0</v>
      </c>
      <c r="M74" s="207">
        <f>SUMIFS('май 2023'!$G$4:$G$815,'май 2023'!$D$4:$D$815,$B74,'май 2023'!$J$4:$J$815,M$1)</f>
        <v>0</v>
      </c>
      <c r="N74" s="207">
        <f>SUMIFS('май 2023'!$G$4:$G$815,'май 2023'!$D$4:$D$815,$B74,'май 2023'!$J$4:$J$815,N$1)</f>
        <v>0</v>
      </c>
      <c r="O74" s="207">
        <f>SUMIFS('май 2023'!$G$4:$G$815,'май 2023'!$D$4:$D$815,$B74,'май 2023'!$J$4:$J$815,O$1)</f>
        <v>0</v>
      </c>
      <c r="P74" s="207">
        <f>SUMIFS('май 2023'!$G$4:$G$815,'май 2023'!$D$4:$D$815,$B74,'май 2023'!$J$4:$J$815,P$1)</f>
        <v>0</v>
      </c>
      <c r="Q74" s="207">
        <f>SUMIFS('май 2023'!$G$4:$G$815,'май 2023'!$D$4:$D$815,$B74,'май 2023'!$J$4:$J$815,Q$1)</f>
        <v>0</v>
      </c>
      <c r="R74" s="207">
        <f>SUMIFS('май 2023'!$G$4:$G$815,'май 2023'!$D$4:$D$815,$B74,'май 2023'!$J$4:$J$815,R$1)</f>
        <v>0</v>
      </c>
      <c r="S74" s="207">
        <f>SUMIFS('май 2023'!$G$4:$G$815,'май 2023'!$D$4:$D$815,$B74,'май 2023'!$J$4:$J$815,S$1)</f>
        <v>0</v>
      </c>
      <c r="T74" s="207">
        <f>SUMIFS('май 2023'!$G$4:$G$815,'май 2023'!$D$4:$D$815,$B74,'май 2023'!$J$4:$J$815,T$1)</f>
        <v>0</v>
      </c>
      <c r="U74" s="207">
        <f>SUMIFS('май 2023'!$G$4:$G$815,'май 2023'!$D$4:$D$815,$B74,'май 2023'!$J$4:$J$815,U$1)</f>
        <v>0</v>
      </c>
      <c r="V74" s="207">
        <f>SUMIFS('май 2023'!$G$4:$G$815,'май 2023'!$D$4:$D$815,$B74,'май 2023'!$J$4:$J$815,V$1)</f>
        <v>0</v>
      </c>
      <c r="W74" s="207">
        <f>SUMIFS('май 2023'!$G$4:$G$815,'май 2023'!$D$4:$D$815,$B74,'май 2023'!$J$4:$J$815,W$1)</f>
        <v>0</v>
      </c>
      <c r="X74" s="207">
        <f>SUMIFS('май 2023'!$G$4:$G$815,'май 2023'!$D$4:$D$815,$B74,'май 2023'!$J$4:$J$815,X$1)</f>
        <v>0</v>
      </c>
      <c r="Y74" s="207">
        <f>SUMIFS('май 2023'!$G$4:$G$815,'май 2023'!$D$4:$D$815,$B74,'май 2023'!$J$4:$J$815,Y$1)</f>
        <v>0</v>
      </c>
      <c r="Z74" s="207">
        <f>SUMIFS('май 2023'!$G$4:$G$815,'май 2023'!$D$4:$D$815,$B74,'май 2023'!$J$4:$J$815,Z$1)</f>
        <v>0</v>
      </c>
      <c r="AA74" s="207">
        <f>SUMIFS('май 2023'!$G$4:$G$815,'май 2023'!$D$4:$D$815,$B74,'май 2023'!$J$4:$J$815,AA$1)</f>
        <v>0</v>
      </c>
      <c r="AB74" s="207">
        <f>SUMIFS('май 2023'!$G$4:$G$815,'май 2023'!$D$4:$D$815,$B74,'май 2023'!$J$4:$J$815,AB$1)</f>
        <v>0</v>
      </c>
      <c r="AC74" s="207">
        <f>SUMIFS('май 2023'!$G$4:$G$815,'май 2023'!$D$4:$D$815,$B74,'май 2023'!$J$4:$J$815,AC$1)</f>
        <v>0</v>
      </c>
      <c r="AD74" s="207">
        <f>SUMIFS('май 2023'!$G$4:$G$815,'май 2023'!$D$4:$D$815,$B74,'май 2023'!$J$4:$J$815,AD$1)</f>
        <v>0</v>
      </c>
      <c r="AE74" s="207">
        <f>SUMIFS('май 2023'!$G$4:$G$815,'май 2023'!$D$4:$D$815,$B74,'май 2023'!$J$4:$J$815,AE$1)</f>
        <v>0</v>
      </c>
      <c r="AF74" s="207">
        <f>SUMIFS('май 2023'!$G$4:$G$815,'май 2023'!$D$4:$D$815,$B74,'май 2023'!$J$4:$J$815,AF$1)</f>
        <v>0</v>
      </c>
      <c r="AG74" s="207">
        <f>SUMIFS('май 2023'!$G$4:$G$815,'май 2023'!$D$4:$D$815,$B74,'май 2023'!$J$4:$J$815,AG$1)</f>
        <v>0</v>
      </c>
      <c r="AH74" s="207">
        <f>SUMIFS('май 2023'!$G$4:$G$815,'май 2023'!$D$4:$D$815,$B74,'май 2023'!$J$4:$J$815,AH$1)</f>
        <v>0</v>
      </c>
      <c r="AI74" s="170">
        <f t="shared" si="3"/>
        <v>0</v>
      </c>
    </row>
    <row r="75" spans="2:35" ht="15" customHeight="1" x14ac:dyDescent="0.25">
      <c r="B75" s="212" t="s">
        <v>2183</v>
      </c>
      <c r="C75" s="211">
        <v>180</v>
      </c>
      <c r="D75" s="207">
        <f>SUMIFS('май 2023'!$G$4:$G$815,'май 2023'!$D$4:$D$815,$B75,'май 2023'!$J$4:$J$815,D$1)</f>
        <v>0</v>
      </c>
      <c r="E75" s="207">
        <f>SUMIFS('май 2023'!$G$4:$G$815,'май 2023'!$D$4:$D$815,$B75,'май 2023'!$J$4:$J$815,E$1)</f>
        <v>0</v>
      </c>
      <c r="F75" s="207">
        <f>SUMIFS('май 2023'!$G$4:$G$815,'май 2023'!$D$4:$D$815,$B75,'май 2023'!$J$4:$J$815,F$1)</f>
        <v>0</v>
      </c>
      <c r="G75" s="207">
        <f>SUMIFS('май 2023'!$G$4:$G$815,'май 2023'!$D$4:$D$815,$B75,'май 2023'!$J$4:$J$815,G$1)</f>
        <v>0</v>
      </c>
      <c r="H75" s="207">
        <f>SUMIFS('май 2023'!$G$4:$G$815,'май 2023'!$D$4:$D$815,$B75,'май 2023'!$J$4:$J$815,H$1)</f>
        <v>0</v>
      </c>
      <c r="I75" s="207">
        <f>SUMIFS('май 2023'!$G$4:$G$815,'май 2023'!$D$4:$D$815,$B75,'май 2023'!$J$4:$J$815,I$1)</f>
        <v>0</v>
      </c>
      <c r="J75" s="207">
        <f>SUMIFS('май 2023'!$G$4:$G$815,'май 2023'!$D$4:$D$815,$B75,'май 2023'!$J$4:$J$815,J$1)</f>
        <v>0</v>
      </c>
      <c r="K75" s="207">
        <f>SUMIFS('май 2023'!$G$4:$G$815,'май 2023'!$D$4:$D$815,$B75,'май 2023'!$J$4:$J$815,K$1)</f>
        <v>0</v>
      </c>
      <c r="L75" s="207">
        <f>SUMIFS('май 2023'!$G$4:$G$815,'май 2023'!$D$4:$D$815,$B75,'май 2023'!$J$4:$J$815,L$1)</f>
        <v>0</v>
      </c>
      <c r="M75" s="207">
        <f>SUMIFS('май 2023'!$G$4:$G$815,'май 2023'!$D$4:$D$815,$B75,'май 2023'!$J$4:$J$815,M$1)</f>
        <v>0</v>
      </c>
      <c r="N75" s="207">
        <f>SUMIFS('май 2023'!$G$4:$G$815,'май 2023'!$D$4:$D$815,$B75,'май 2023'!$J$4:$J$815,N$1)</f>
        <v>0</v>
      </c>
      <c r="O75" s="207">
        <f>SUMIFS('май 2023'!$G$4:$G$815,'май 2023'!$D$4:$D$815,$B75,'май 2023'!$J$4:$J$815,O$1)</f>
        <v>0</v>
      </c>
      <c r="P75" s="207">
        <f>SUMIFS('май 2023'!$G$4:$G$815,'май 2023'!$D$4:$D$815,$B75,'май 2023'!$J$4:$J$815,P$1)</f>
        <v>0</v>
      </c>
      <c r="Q75" s="207">
        <f>SUMIFS('май 2023'!$G$4:$G$815,'май 2023'!$D$4:$D$815,$B75,'май 2023'!$J$4:$J$815,Q$1)</f>
        <v>0</v>
      </c>
      <c r="R75" s="207">
        <f>SUMIFS('май 2023'!$G$4:$G$815,'май 2023'!$D$4:$D$815,$B75,'май 2023'!$J$4:$J$815,R$1)</f>
        <v>0</v>
      </c>
      <c r="S75" s="207">
        <f>SUMIFS('май 2023'!$G$4:$G$815,'май 2023'!$D$4:$D$815,$B75,'май 2023'!$J$4:$J$815,S$1)</f>
        <v>0</v>
      </c>
      <c r="T75" s="207">
        <f>SUMIFS('май 2023'!$G$4:$G$815,'май 2023'!$D$4:$D$815,$B75,'май 2023'!$J$4:$J$815,T$1)</f>
        <v>0</v>
      </c>
      <c r="U75" s="207">
        <f>SUMIFS('май 2023'!$G$4:$G$815,'май 2023'!$D$4:$D$815,$B75,'май 2023'!$J$4:$J$815,U$1)</f>
        <v>0</v>
      </c>
      <c r="V75" s="207">
        <f>SUMIFS('май 2023'!$G$4:$G$815,'май 2023'!$D$4:$D$815,$B75,'май 2023'!$J$4:$J$815,V$1)</f>
        <v>0</v>
      </c>
      <c r="W75" s="207">
        <f>SUMIFS('май 2023'!$G$4:$G$815,'май 2023'!$D$4:$D$815,$B75,'май 2023'!$J$4:$J$815,W$1)</f>
        <v>0</v>
      </c>
      <c r="X75" s="207">
        <f>SUMIFS('май 2023'!$G$4:$G$815,'май 2023'!$D$4:$D$815,$B75,'май 2023'!$J$4:$J$815,X$1)</f>
        <v>0</v>
      </c>
      <c r="Y75" s="207">
        <f>SUMIFS('май 2023'!$G$4:$G$815,'май 2023'!$D$4:$D$815,$B75,'май 2023'!$J$4:$J$815,Y$1)</f>
        <v>0</v>
      </c>
      <c r="Z75" s="207">
        <f>SUMIFS('май 2023'!$G$4:$G$815,'май 2023'!$D$4:$D$815,$B75,'май 2023'!$J$4:$J$815,Z$1)</f>
        <v>0</v>
      </c>
      <c r="AA75" s="207">
        <f>SUMIFS('май 2023'!$G$4:$G$815,'май 2023'!$D$4:$D$815,$B75,'май 2023'!$J$4:$J$815,AA$1)</f>
        <v>0</v>
      </c>
      <c r="AB75" s="207">
        <f>SUMIFS('май 2023'!$G$4:$G$815,'май 2023'!$D$4:$D$815,$B75,'май 2023'!$J$4:$J$815,AB$1)</f>
        <v>0</v>
      </c>
      <c r="AC75" s="207">
        <f>SUMIFS('май 2023'!$G$4:$G$815,'май 2023'!$D$4:$D$815,$B75,'май 2023'!$J$4:$J$815,AC$1)</f>
        <v>0</v>
      </c>
      <c r="AD75" s="207">
        <f>SUMIFS('май 2023'!$G$4:$G$815,'май 2023'!$D$4:$D$815,$B75,'май 2023'!$J$4:$J$815,AD$1)</f>
        <v>0</v>
      </c>
      <c r="AE75" s="207">
        <f>SUMIFS('май 2023'!$G$4:$G$815,'май 2023'!$D$4:$D$815,$B75,'май 2023'!$J$4:$J$815,AE$1)</f>
        <v>0</v>
      </c>
      <c r="AF75" s="207">
        <f>SUMIFS('май 2023'!$G$4:$G$815,'май 2023'!$D$4:$D$815,$B75,'май 2023'!$J$4:$J$815,AF$1)</f>
        <v>0</v>
      </c>
      <c r="AG75" s="207">
        <f>SUMIFS('май 2023'!$G$4:$G$815,'май 2023'!$D$4:$D$815,$B75,'май 2023'!$J$4:$J$815,AG$1)</f>
        <v>0</v>
      </c>
      <c r="AH75" s="207">
        <f>SUMIFS('май 2023'!$G$4:$G$815,'май 2023'!$D$4:$D$815,$B75,'май 2023'!$J$4:$J$815,AH$1)</f>
        <v>0</v>
      </c>
      <c r="AI75" s="170">
        <f t="shared" si="3"/>
        <v>0</v>
      </c>
    </row>
    <row r="76" spans="2:35" ht="15" customHeight="1" x14ac:dyDescent="0.25">
      <c r="B76" s="212" t="s">
        <v>561</v>
      </c>
      <c r="C76" s="211">
        <v>200</v>
      </c>
      <c r="D76" s="207">
        <f>SUMIFS('май 2023'!$G$4:$G$815,'май 2023'!$D$4:$D$815,$B76,'май 2023'!$J$4:$J$815,D$1)</f>
        <v>0</v>
      </c>
      <c r="E76" s="207">
        <f>SUMIFS('май 2023'!$G$4:$G$815,'май 2023'!$D$4:$D$815,$B76,'май 2023'!$J$4:$J$815,E$1)</f>
        <v>0</v>
      </c>
      <c r="F76" s="207">
        <f>SUMIFS('май 2023'!$G$4:$G$815,'май 2023'!$D$4:$D$815,$B76,'май 2023'!$J$4:$J$815,F$1)</f>
        <v>0</v>
      </c>
      <c r="G76" s="207">
        <f>SUMIFS('май 2023'!$G$4:$G$815,'май 2023'!$D$4:$D$815,$B76,'май 2023'!$J$4:$J$815,G$1)</f>
        <v>0</v>
      </c>
      <c r="H76" s="207">
        <f>SUMIFS('май 2023'!$G$4:$G$815,'май 2023'!$D$4:$D$815,$B76,'май 2023'!$J$4:$J$815,H$1)</f>
        <v>0</v>
      </c>
      <c r="I76" s="207">
        <f>SUMIFS('май 2023'!$G$4:$G$815,'май 2023'!$D$4:$D$815,$B76,'май 2023'!$J$4:$J$815,I$1)</f>
        <v>0</v>
      </c>
      <c r="J76" s="207">
        <f>SUMIFS('май 2023'!$G$4:$G$815,'май 2023'!$D$4:$D$815,$B76,'май 2023'!$J$4:$J$815,J$1)</f>
        <v>0</v>
      </c>
      <c r="K76" s="207">
        <f>SUMIFS('май 2023'!$G$4:$G$815,'май 2023'!$D$4:$D$815,$B76,'май 2023'!$J$4:$J$815,K$1)</f>
        <v>0</v>
      </c>
      <c r="L76" s="207">
        <f>SUMIFS('май 2023'!$G$4:$G$815,'май 2023'!$D$4:$D$815,$B76,'май 2023'!$J$4:$J$815,L$1)</f>
        <v>0</v>
      </c>
      <c r="M76" s="207">
        <f>SUMIFS('май 2023'!$G$4:$G$815,'май 2023'!$D$4:$D$815,$B76,'май 2023'!$J$4:$J$815,M$1)</f>
        <v>0</v>
      </c>
      <c r="N76" s="207">
        <f>SUMIFS('май 2023'!$G$4:$G$815,'май 2023'!$D$4:$D$815,$B76,'май 2023'!$J$4:$J$815,N$1)</f>
        <v>0</v>
      </c>
      <c r="O76" s="207">
        <f>SUMIFS('май 2023'!$G$4:$G$815,'май 2023'!$D$4:$D$815,$B76,'май 2023'!$J$4:$J$815,O$1)</f>
        <v>0</v>
      </c>
      <c r="P76" s="207">
        <f>SUMIFS('май 2023'!$G$4:$G$815,'май 2023'!$D$4:$D$815,$B76,'май 2023'!$J$4:$J$815,P$1)</f>
        <v>0</v>
      </c>
      <c r="Q76" s="207">
        <f>SUMIFS('май 2023'!$G$4:$G$815,'май 2023'!$D$4:$D$815,$B76,'май 2023'!$J$4:$J$815,Q$1)</f>
        <v>0</v>
      </c>
      <c r="R76" s="207">
        <f>SUMIFS('май 2023'!$G$4:$G$815,'май 2023'!$D$4:$D$815,$B76,'май 2023'!$J$4:$J$815,R$1)</f>
        <v>0</v>
      </c>
      <c r="S76" s="207">
        <f>SUMIFS('май 2023'!$G$4:$G$815,'май 2023'!$D$4:$D$815,$B76,'май 2023'!$J$4:$J$815,S$1)</f>
        <v>0</v>
      </c>
      <c r="T76" s="207">
        <f>SUMIFS('май 2023'!$G$4:$G$815,'май 2023'!$D$4:$D$815,$B76,'май 2023'!$J$4:$J$815,T$1)</f>
        <v>0</v>
      </c>
      <c r="U76" s="207">
        <f>SUMIFS('май 2023'!$G$4:$G$815,'май 2023'!$D$4:$D$815,$B76,'май 2023'!$J$4:$J$815,U$1)</f>
        <v>0</v>
      </c>
      <c r="V76" s="207">
        <f>SUMIFS('май 2023'!$G$4:$G$815,'май 2023'!$D$4:$D$815,$B76,'май 2023'!$J$4:$J$815,V$1)</f>
        <v>0</v>
      </c>
      <c r="W76" s="207">
        <f>SUMIFS('май 2023'!$G$4:$G$815,'май 2023'!$D$4:$D$815,$B76,'май 2023'!$J$4:$J$815,W$1)</f>
        <v>0</v>
      </c>
      <c r="X76" s="207">
        <f>SUMIFS('май 2023'!$G$4:$G$815,'май 2023'!$D$4:$D$815,$B76,'май 2023'!$J$4:$J$815,X$1)</f>
        <v>0</v>
      </c>
      <c r="Y76" s="207">
        <f>SUMIFS('май 2023'!$G$4:$G$815,'май 2023'!$D$4:$D$815,$B76,'май 2023'!$J$4:$J$815,Y$1)</f>
        <v>0</v>
      </c>
      <c r="Z76" s="207">
        <f>SUMIFS('май 2023'!$G$4:$G$815,'май 2023'!$D$4:$D$815,$B76,'май 2023'!$J$4:$J$815,Z$1)</f>
        <v>0</v>
      </c>
      <c r="AA76" s="207">
        <f>SUMIFS('май 2023'!$G$4:$G$815,'май 2023'!$D$4:$D$815,$B76,'май 2023'!$J$4:$J$815,AA$1)</f>
        <v>0</v>
      </c>
      <c r="AB76" s="207">
        <f>SUMIFS('май 2023'!$G$4:$G$815,'май 2023'!$D$4:$D$815,$B76,'май 2023'!$J$4:$J$815,AB$1)</f>
        <v>0</v>
      </c>
      <c r="AC76" s="207">
        <f>SUMIFS('май 2023'!$G$4:$G$815,'май 2023'!$D$4:$D$815,$B76,'май 2023'!$J$4:$J$815,AC$1)</f>
        <v>0</v>
      </c>
      <c r="AD76" s="207">
        <f>SUMIFS('май 2023'!$G$4:$G$815,'май 2023'!$D$4:$D$815,$B76,'май 2023'!$J$4:$J$815,AD$1)</f>
        <v>0</v>
      </c>
      <c r="AE76" s="207">
        <f>SUMIFS('май 2023'!$G$4:$G$815,'май 2023'!$D$4:$D$815,$B76,'май 2023'!$J$4:$J$815,AE$1)</f>
        <v>0</v>
      </c>
      <c r="AF76" s="207">
        <f>SUMIFS('май 2023'!$G$4:$G$815,'май 2023'!$D$4:$D$815,$B76,'май 2023'!$J$4:$J$815,AF$1)</f>
        <v>0</v>
      </c>
      <c r="AG76" s="207">
        <f>SUMIFS('май 2023'!$G$4:$G$815,'май 2023'!$D$4:$D$815,$B76,'май 2023'!$J$4:$J$815,AG$1)</f>
        <v>0</v>
      </c>
      <c r="AH76" s="207">
        <f>SUMIFS('май 2023'!$G$4:$G$815,'май 2023'!$D$4:$D$815,$B76,'май 2023'!$J$4:$J$815,AH$1)</f>
        <v>0</v>
      </c>
      <c r="AI76" s="170">
        <f t="shared" si="3"/>
        <v>0</v>
      </c>
    </row>
    <row r="77" spans="2:35" ht="15" customHeight="1" x14ac:dyDescent="0.25">
      <c r="B77" s="216" t="s">
        <v>1372</v>
      </c>
      <c r="C77" s="211">
        <v>180</v>
      </c>
      <c r="D77" s="207">
        <f>SUMIFS('май 2023'!$G$4:$G$815,'май 2023'!$D$4:$D$815,$B77,'май 2023'!$J$4:$J$815,D$1)</f>
        <v>0</v>
      </c>
      <c r="E77" s="207">
        <f>SUMIFS('май 2023'!$G$4:$G$815,'май 2023'!$D$4:$D$815,$B77,'май 2023'!$J$4:$J$815,E$1)</f>
        <v>0</v>
      </c>
      <c r="F77" s="207">
        <f>SUMIFS('май 2023'!$G$4:$G$815,'май 2023'!$D$4:$D$815,$B77,'май 2023'!$J$4:$J$815,F$1)</f>
        <v>0</v>
      </c>
      <c r="G77" s="207">
        <f>SUMIFS('май 2023'!$G$4:$G$815,'май 2023'!$D$4:$D$815,$B77,'май 2023'!$J$4:$J$815,G$1)</f>
        <v>0</v>
      </c>
      <c r="H77" s="207">
        <f>SUMIFS('май 2023'!$G$4:$G$815,'май 2023'!$D$4:$D$815,$B77,'май 2023'!$J$4:$J$815,H$1)</f>
        <v>0</v>
      </c>
      <c r="I77" s="207">
        <f>SUMIFS('май 2023'!$G$4:$G$815,'май 2023'!$D$4:$D$815,$B77,'май 2023'!$J$4:$J$815,I$1)</f>
        <v>0</v>
      </c>
      <c r="J77" s="207">
        <f>SUMIFS('май 2023'!$G$4:$G$815,'май 2023'!$D$4:$D$815,$B77,'май 2023'!$J$4:$J$815,J$1)</f>
        <v>0</v>
      </c>
      <c r="K77" s="207">
        <f>SUMIFS('май 2023'!$G$4:$G$815,'май 2023'!$D$4:$D$815,$B77,'май 2023'!$J$4:$J$815,K$1)</f>
        <v>0</v>
      </c>
      <c r="L77" s="207">
        <f>SUMIFS('май 2023'!$G$4:$G$815,'май 2023'!$D$4:$D$815,$B77,'май 2023'!$J$4:$J$815,L$1)</f>
        <v>0</v>
      </c>
      <c r="M77" s="207">
        <f>SUMIFS('май 2023'!$G$4:$G$815,'май 2023'!$D$4:$D$815,$B77,'май 2023'!$J$4:$J$815,M$1)</f>
        <v>0</v>
      </c>
      <c r="N77" s="207">
        <f>SUMIFS('май 2023'!$G$4:$G$815,'май 2023'!$D$4:$D$815,$B77,'май 2023'!$J$4:$J$815,N$1)</f>
        <v>0</v>
      </c>
      <c r="O77" s="207">
        <f>SUMIFS('май 2023'!$G$4:$G$815,'май 2023'!$D$4:$D$815,$B77,'май 2023'!$J$4:$J$815,O$1)</f>
        <v>0</v>
      </c>
      <c r="P77" s="207">
        <f>SUMIFS('май 2023'!$G$4:$G$815,'май 2023'!$D$4:$D$815,$B77,'май 2023'!$J$4:$J$815,P$1)</f>
        <v>0</v>
      </c>
      <c r="Q77" s="207">
        <f>SUMIFS('май 2023'!$G$4:$G$815,'май 2023'!$D$4:$D$815,$B77,'май 2023'!$J$4:$J$815,Q$1)</f>
        <v>0</v>
      </c>
      <c r="R77" s="207">
        <f>SUMIFS('май 2023'!$G$4:$G$815,'май 2023'!$D$4:$D$815,$B77,'май 2023'!$J$4:$J$815,R$1)</f>
        <v>0</v>
      </c>
      <c r="S77" s="207">
        <f>SUMIFS('май 2023'!$G$4:$G$815,'май 2023'!$D$4:$D$815,$B77,'май 2023'!$J$4:$J$815,S$1)</f>
        <v>0</v>
      </c>
      <c r="T77" s="207">
        <f>SUMIFS('май 2023'!$G$4:$G$815,'май 2023'!$D$4:$D$815,$B77,'май 2023'!$J$4:$J$815,T$1)</f>
        <v>0</v>
      </c>
      <c r="U77" s="207">
        <f>SUMIFS('май 2023'!$G$4:$G$815,'май 2023'!$D$4:$D$815,$B77,'май 2023'!$J$4:$J$815,U$1)</f>
        <v>0</v>
      </c>
      <c r="V77" s="207">
        <f>SUMIFS('май 2023'!$G$4:$G$815,'май 2023'!$D$4:$D$815,$B77,'май 2023'!$J$4:$J$815,V$1)</f>
        <v>0</v>
      </c>
      <c r="W77" s="207">
        <f>SUMIFS('май 2023'!$G$4:$G$815,'май 2023'!$D$4:$D$815,$B77,'май 2023'!$J$4:$J$815,W$1)</f>
        <v>0</v>
      </c>
      <c r="X77" s="207">
        <f>SUMIFS('май 2023'!$G$4:$G$815,'май 2023'!$D$4:$D$815,$B77,'май 2023'!$J$4:$J$815,X$1)</f>
        <v>0</v>
      </c>
      <c r="Y77" s="207">
        <f>SUMIFS('май 2023'!$G$4:$G$815,'май 2023'!$D$4:$D$815,$B77,'май 2023'!$J$4:$J$815,Y$1)</f>
        <v>0</v>
      </c>
      <c r="Z77" s="207">
        <f>SUMIFS('май 2023'!$G$4:$G$815,'май 2023'!$D$4:$D$815,$B77,'май 2023'!$J$4:$J$815,Z$1)</f>
        <v>0</v>
      </c>
      <c r="AA77" s="207">
        <f>SUMIFS('май 2023'!$G$4:$G$815,'май 2023'!$D$4:$D$815,$B77,'май 2023'!$J$4:$J$815,AA$1)</f>
        <v>7</v>
      </c>
      <c r="AB77" s="207">
        <f>SUMIFS('май 2023'!$G$4:$G$815,'май 2023'!$D$4:$D$815,$B77,'май 2023'!$J$4:$J$815,AB$1)</f>
        <v>0</v>
      </c>
      <c r="AC77" s="207">
        <f>SUMIFS('май 2023'!$G$4:$G$815,'май 2023'!$D$4:$D$815,$B77,'май 2023'!$J$4:$J$815,AC$1)</f>
        <v>0</v>
      </c>
      <c r="AD77" s="207">
        <f>SUMIFS('май 2023'!$G$4:$G$815,'май 2023'!$D$4:$D$815,$B77,'май 2023'!$J$4:$J$815,AD$1)</f>
        <v>0</v>
      </c>
      <c r="AE77" s="207">
        <f>SUMIFS('май 2023'!$G$4:$G$815,'май 2023'!$D$4:$D$815,$B77,'май 2023'!$J$4:$J$815,AE$1)</f>
        <v>0</v>
      </c>
      <c r="AF77" s="207">
        <f>SUMIFS('май 2023'!$G$4:$G$815,'май 2023'!$D$4:$D$815,$B77,'май 2023'!$J$4:$J$815,AF$1)</f>
        <v>0</v>
      </c>
      <c r="AG77" s="207">
        <f>SUMIFS('май 2023'!$G$4:$G$815,'май 2023'!$D$4:$D$815,$B77,'май 2023'!$J$4:$J$815,AG$1)</f>
        <v>0</v>
      </c>
      <c r="AH77" s="207">
        <f>SUMIFS('май 2023'!$G$4:$G$815,'май 2023'!$D$4:$D$815,$B77,'май 2023'!$J$4:$J$815,AH$1)</f>
        <v>0</v>
      </c>
      <c r="AI77" s="170">
        <f t="shared" si="3"/>
        <v>7</v>
      </c>
    </row>
    <row r="78" spans="2:35" ht="15" customHeight="1" x14ac:dyDescent="0.25">
      <c r="B78" s="216" t="s">
        <v>1336</v>
      </c>
      <c r="C78" s="213">
        <v>50</v>
      </c>
      <c r="D78" s="207">
        <f>SUMIFS('май 2023'!$G$4:$G$815,'май 2023'!$D$4:$D$815,$B78,'май 2023'!$J$4:$J$815,D$1)</f>
        <v>0</v>
      </c>
      <c r="E78" s="207">
        <f>SUMIFS('май 2023'!$G$4:$G$815,'май 2023'!$D$4:$D$815,$B78,'май 2023'!$J$4:$J$815,E$1)</f>
        <v>0</v>
      </c>
      <c r="F78" s="207">
        <f>SUMIFS('май 2023'!$G$4:$G$815,'май 2023'!$D$4:$D$815,$B78,'май 2023'!$J$4:$J$815,F$1)</f>
        <v>0</v>
      </c>
      <c r="G78" s="207">
        <f>SUMIFS('май 2023'!$G$4:$G$815,'май 2023'!$D$4:$D$815,$B78,'май 2023'!$J$4:$J$815,G$1)</f>
        <v>0</v>
      </c>
      <c r="H78" s="207">
        <f>SUMIFS('май 2023'!$G$4:$G$815,'май 2023'!$D$4:$D$815,$B78,'май 2023'!$J$4:$J$815,H$1)</f>
        <v>0</v>
      </c>
      <c r="I78" s="207">
        <f>SUMIFS('май 2023'!$G$4:$G$815,'май 2023'!$D$4:$D$815,$B78,'май 2023'!$J$4:$J$815,I$1)</f>
        <v>0</v>
      </c>
      <c r="J78" s="207">
        <f>SUMIFS('май 2023'!$G$4:$G$815,'май 2023'!$D$4:$D$815,$B78,'май 2023'!$J$4:$J$815,J$1)</f>
        <v>0</v>
      </c>
      <c r="K78" s="207">
        <f>SUMIFS('май 2023'!$G$4:$G$815,'май 2023'!$D$4:$D$815,$B78,'май 2023'!$J$4:$J$815,K$1)</f>
        <v>0</v>
      </c>
      <c r="L78" s="207">
        <f>SUMIFS('май 2023'!$G$4:$G$815,'май 2023'!$D$4:$D$815,$B78,'май 2023'!$J$4:$J$815,L$1)</f>
        <v>0</v>
      </c>
      <c r="M78" s="207">
        <f>SUMIFS('май 2023'!$G$4:$G$815,'май 2023'!$D$4:$D$815,$B78,'май 2023'!$J$4:$J$815,M$1)</f>
        <v>0</v>
      </c>
      <c r="N78" s="207">
        <f>SUMIFS('май 2023'!$G$4:$G$815,'май 2023'!$D$4:$D$815,$B78,'май 2023'!$J$4:$J$815,N$1)</f>
        <v>0</v>
      </c>
      <c r="O78" s="207">
        <f>SUMIFS('май 2023'!$G$4:$G$815,'май 2023'!$D$4:$D$815,$B78,'май 2023'!$J$4:$J$815,O$1)</f>
        <v>0</v>
      </c>
      <c r="P78" s="207">
        <f>SUMIFS('май 2023'!$G$4:$G$815,'май 2023'!$D$4:$D$815,$B78,'май 2023'!$J$4:$J$815,P$1)</f>
        <v>0</v>
      </c>
      <c r="Q78" s="207">
        <f>SUMIFS('май 2023'!$G$4:$G$815,'май 2023'!$D$4:$D$815,$B78,'май 2023'!$J$4:$J$815,Q$1)</f>
        <v>0</v>
      </c>
      <c r="R78" s="207">
        <f>SUMIFS('май 2023'!$G$4:$G$815,'май 2023'!$D$4:$D$815,$B78,'май 2023'!$J$4:$J$815,R$1)</f>
        <v>0</v>
      </c>
      <c r="S78" s="207">
        <f>SUMIFS('май 2023'!$G$4:$G$815,'май 2023'!$D$4:$D$815,$B78,'май 2023'!$J$4:$J$815,S$1)</f>
        <v>0</v>
      </c>
      <c r="T78" s="207">
        <f>SUMIFS('май 2023'!$G$4:$G$815,'май 2023'!$D$4:$D$815,$B78,'май 2023'!$J$4:$J$815,T$1)</f>
        <v>10</v>
      </c>
      <c r="U78" s="207">
        <f>SUMIFS('май 2023'!$G$4:$G$815,'май 2023'!$D$4:$D$815,$B78,'май 2023'!$J$4:$J$815,U$1)</f>
        <v>0</v>
      </c>
      <c r="V78" s="207">
        <f>SUMIFS('май 2023'!$G$4:$G$815,'май 2023'!$D$4:$D$815,$B78,'май 2023'!$J$4:$J$815,V$1)</f>
        <v>0</v>
      </c>
      <c r="W78" s="207">
        <f>SUMIFS('май 2023'!$G$4:$G$815,'май 2023'!$D$4:$D$815,$B78,'май 2023'!$J$4:$J$815,W$1)</f>
        <v>0</v>
      </c>
      <c r="X78" s="207">
        <f>SUMIFS('май 2023'!$G$4:$G$815,'май 2023'!$D$4:$D$815,$B78,'май 2023'!$J$4:$J$815,X$1)</f>
        <v>0</v>
      </c>
      <c r="Y78" s="207">
        <f>SUMIFS('май 2023'!$G$4:$G$815,'май 2023'!$D$4:$D$815,$B78,'май 2023'!$J$4:$J$815,Y$1)</f>
        <v>0</v>
      </c>
      <c r="Z78" s="207">
        <f>SUMIFS('май 2023'!$G$4:$G$815,'май 2023'!$D$4:$D$815,$B78,'май 2023'!$J$4:$J$815,Z$1)</f>
        <v>0</v>
      </c>
      <c r="AA78" s="207">
        <f>SUMIFS('май 2023'!$G$4:$G$815,'май 2023'!$D$4:$D$815,$B78,'май 2023'!$J$4:$J$815,AA$1)</f>
        <v>0</v>
      </c>
      <c r="AB78" s="207">
        <f>SUMIFS('май 2023'!$G$4:$G$815,'май 2023'!$D$4:$D$815,$B78,'май 2023'!$J$4:$J$815,AB$1)</f>
        <v>0</v>
      </c>
      <c r="AC78" s="207">
        <f>SUMIFS('май 2023'!$G$4:$G$815,'май 2023'!$D$4:$D$815,$B78,'май 2023'!$J$4:$J$815,AC$1)</f>
        <v>0</v>
      </c>
      <c r="AD78" s="207">
        <f>SUMIFS('май 2023'!$G$4:$G$815,'май 2023'!$D$4:$D$815,$B78,'май 2023'!$J$4:$J$815,AD$1)</f>
        <v>0</v>
      </c>
      <c r="AE78" s="207">
        <f>SUMIFS('май 2023'!$G$4:$G$815,'май 2023'!$D$4:$D$815,$B78,'май 2023'!$J$4:$J$815,AE$1)</f>
        <v>0</v>
      </c>
      <c r="AF78" s="207">
        <f>SUMIFS('май 2023'!$G$4:$G$815,'май 2023'!$D$4:$D$815,$B78,'май 2023'!$J$4:$J$815,AF$1)</f>
        <v>0</v>
      </c>
      <c r="AG78" s="207">
        <f>SUMIFS('май 2023'!$G$4:$G$815,'май 2023'!$D$4:$D$815,$B78,'май 2023'!$J$4:$J$815,AG$1)</f>
        <v>0</v>
      </c>
      <c r="AH78" s="207">
        <f>SUMIFS('май 2023'!$G$4:$G$815,'май 2023'!$D$4:$D$815,$B78,'май 2023'!$J$4:$J$815,AH$1)</f>
        <v>0</v>
      </c>
      <c r="AI78" s="170">
        <f>SUM(D78:AH78)</f>
        <v>10</v>
      </c>
    </row>
    <row r="79" spans="2:35" ht="15" customHeight="1" x14ac:dyDescent="0.25">
      <c r="B79" s="216" t="s">
        <v>1470</v>
      </c>
      <c r="C79" s="213">
        <v>180</v>
      </c>
      <c r="D79" s="207">
        <f>SUMIFS('май 2023'!$G$4:$G$815,'май 2023'!$D$4:$D$815,$B79,'май 2023'!$J$4:$J$815,D$1)</f>
        <v>0</v>
      </c>
      <c r="E79" s="207">
        <f>SUMIFS('май 2023'!$G$4:$G$815,'май 2023'!$D$4:$D$815,$B79,'май 2023'!$J$4:$J$815,E$1)</f>
        <v>0</v>
      </c>
      <c r="F79" s="207">
        <f>SUMIFS('май 2023'!$G$4:$G$815,'май 2023'!$D$4:$D$815,$B79,'май 2023'!$J$4:$J$815,F$1)</f>
        <v>0</v>
      </c>
      <c r="G79" s="207">
        <f>SUMIFS('май 2023'!$G$4:$G$815,'май 2023'!$D$4:$D$815,$B79,'май 2023'!$J$4:$J$815,G$1)</f>
        <v>0</v>
      </c>
      <c r="H79" s="207">
        <f>SUMIFS('май 2023'!$G$4:$G$815,'май 2023'!$D$4:$D$815,$B79,'май 2023'!$J$4:$J$815,H$1)</f>
        <v>0</v>
      </c>
      <c r="I79" s="207">
        <f>SUMIFS('май 2023'!$G$4:$G$815,'май 2023'!$D$4:$D$815,$B79,'май 2023'!$J$4:$J$815,I$1)</f>
        <v>0</v>
      </c>
      <c r="J79" s="207">
        <f>SUMIFS('май 2023'!$G$4:$G$815,'май 2023'!$D$4:$D$815,$B79,'май 2023'!$J$4:$J$815,J$1)</f>
        <v>0</v>
      </c>
      <c r="K79" s="207">
        <f>SUMIFS('май 2023'!$G$4:$G$815,'май 2023'!$D$4:$D$815,$B79,'май 2023'!$J$4:$J$815,K$1)</f>
        <v>0</v>
      </c>
      <c r="L79" s="207">
        <f>SUMIFS('май 2023'!$G$4:$G$815,'май 2023'!$D$4:$D$815,$B79,'май 2023'!$J$4:$J$815,L$1)</f>
        <v>0</v>
      </c>
      <c r="M79" s="207">
        <f>SUMIFS('май 2023'!$G$4:$G$815,'май 2023'!$D$4:$D$815,$B79,'май 2023'!$J$4:$J$815,M$1)</f>
        <v>0</v>
      </c>
      <c r="N79" s="207">
        <f>SUMIFS('май 2023'!$G$4:$G$815,'май 2023'!$D$4:$D$815,$B79,'май 2023'!$J$4:$J$815,N$1)</f>
        <v>0</v>
      </c>
      <c r="O79" s="207">
        <f>SUMIFS('май 2023'!$G$4:$G$815,'май 2023'!$D$4:$D$815,$B79,'май 2023'!$J$4:$J$815,O$1)</f>
        <v>0</v>
      </c>
      <c r="P79" s="207">
        <f>SUMIFS('май 2023'!$G$4:$G$815,'май 2023'!$D$4:$D$815,$B79,'май 2023'!$J$4:$J$815,P$1)</f>
        <v>0</v>
      </c>
      <c r="Q79" s="207">
        <f>SUMIFS('май 2023'!$G$4:$G$815,'май 2023'!$D$4:$D$815,$B79,'май 2023'!$J$4:$J$815,Q$1)</f>
        <v>0</v>
      </c>
      <c r="R79" s="207">
        <f>SUMIFS('май 2023'!$G$4:$G$815,'май 2023'!$D$4:$D$815,$B79,'май 2023'!$J$4:$J$815,R$1)</f>
        <v>0</v>
      </c>
      <c r="S79" s="207">
        <f>SUMIFS('май 2023'!$G$4:$G$815,'май 2023'!$D$4:$D$815,$B79,'май 2023'!$J$4:$J$815,S$1)</f>
        <v>0</v>
      </c>
      <c r="T79" s="207">
        <f>SUMIFS('май 2023'!$G$4:$G$815,'май 2023'!$D$4:$D$815,$B79,'май 2023'!$J$4:$J$815,T$1)</f>
        <v>0</v>
      </c>
      <c r="U79" s="207">
        <f>SUMIFS('май 2023'!$G$4:$G$815,'май 2023'!$D$4:$D$815,$B79,'май 2023'!$J$4:$J$815,U$1)</f>
        <v>0</v>
      </c>
      <c r="V79" s="207">
        <f>SUMIFS('май 2023'!$G$4:$G$815,'май 2023'!$D$4:$D$815,$B79,'май 2023'!$J$4:$J$815,V$1)</f>
        <v>0</v>
      </c>
      <c r="W79" s="207">
        <f>SUMIFS('май 2023'!$G$4:$G$815,'май 2023'!$D$4:$D$815,$B79,'май 2023'!$J$4:$J$815,W$1)</f>
        <v>0</v>
      </c>
      <c r="X79" s="207">
        <f>SUMIFS('май 2023'!$G$4:$G$815,'май 2023'!$D$4:$D$815,$B79,'май 2023'!$J$4:$J$815,X$1)</f>
        <v>0</v>
      </c>
      <c r="Y79" s="207">
        <f>SUMIFS('май 2023'!$G$4:$G$815,'май 2023'!$D$4:$D$815,$B79,'май 2023'!$J$4:$J$815,Y$1)</f>
        <v>0</v>
      </c>
      <c r="Z79" s="207">
        <f>SUMIFS('май 2023'!$G$4:$G$815,'май 2023'!$D$4:$D$815,$B79,'май 2023'!$J$4:$J$815,Z$1)</f>
        <v>0</v>
      </c>
      <c r="AA79" s="207">
        <f>SUMIFS('май 2023'!$G$4:$G$815,'май 2023'!$D$4:$D$815,$B79,'май 2023'!$J$4:$J$815,AA$1)</f>
        <v>0</v>
      </c>
      <c r="AB79" s="207">
        <f>SUMIFS('май 2023'!$G$4:$G$815,'май 2023'!$D$4:$D$815,$B79,'май 2023'!$J$4:$J$815,AB$1)</f>
        <v>0</v>
      </c>
      <c r="AC79" s="207">
        <f>SUMIFS('май 2023'!$G$4:$G$815,'май 2023'!$D$4:$D$815,$B79,'май 2023'!$J$4:$J$815,AC$1)</f>
        <v>0</v>
      </c>
      <c r="AD79" s="207">
        <f>SUMIFS('май 2023'!$G$4:$G$815,'май 2023'!$D$4:$D$815,$B79,'май 2023'!$J$4:$J$815,AD$1)</f>
        <v>0</v>
      </c>
      <c r="AE79" s="207">
        <f>SUMIFS('май 2023'!$G$4:$G$815,'май 2023'!$D$4:$D$815,$B79,'май 2023'!$J$4:$J$815,AE$1)</f>
        <v>0</v>
      </c>
      <c r="AF79" s="207">
        <f>SUMIFS('май 2023'!$G$4:$G$815,'май 2023'!$D$4:$D$815,$B79,'май 2023'!$J$4:$J$815,AF$1)</f>
        <v>0</v>
      </c>
      <c r="AG79" s="207">
        <f>SUMIFS('май 2023'!$G$4:$G$815,'май 2023'!$D$4:$D$815,$B79,'май 2023'!$J$4:$J$815,AG$1)</f>
        <v>0</v>
      </c>
      <c r="AH79" s="207">
        <f>SUMIFS('май 2023'!$G$4:$G$815,'май 2023'!$D$4:$D$815,$B79,'май 2023'!$J$4:$J$815,AH$1)</f>
        <v>0</v>
      </c>
      <c r="AI79" s="170">
        <f t="shared" si="3"/>
        <v>0</v>
      </c>
    </row>
    <row r="80" spans="2:35" ht="15" customHeight="1" x14ac:dyDescent="0.25">
      <c r="B80" s="212" t="s">
        <v>2189</v>
      </c>
      <c r="C80" s="211">
        <v>180</v>
      </c>
      <c r="D80" s="207">
        <f>SUMIFS('май 2023'!$G$4:$G$815,'май 2023'!$D$4:$D$815,$B80,'май 2023'!$J$4:$J$815,D$1)</f>
        <v>0</v>
      </c>
      <c r="E80" s="207">
        <f>SUMIFS('май 2023'!$G$4:$G$815,'май 2023'!$D$4:$D$815,$B80,'май 2023'!$J$4:$J$815,E$1)</f>
        <v>0</v>
      </c>
      <c r="F80" s="207">
        <f>SUMIFS('май 2023'!$G$4:$G$815,'май 2023'!$D$4:$D$815,$B80,'май 2023'!$J$4:$J$815,F$1)</f>
        <v>0</v>
      </c>
      <c r="G80" s="207">
        <f>SUMIFS('май 2023'!$G$4:$G$815,'май 2023'!$D$4:$D$815,$B80,'май 2023'!$J$4:$J$815,G$1)</f>
        <v>0</v>
      </c>
      <c r="H80" s="207">
        <f>SUMIFS('май 2023'!$G$4:$G$815,'май 2023'!$D$4:$D$815,$B80,'май 2023'!$J$4:$J$815,H$1)</f>
        <v>0</v>
      </c>
      <c r="I80" s="207">
        <f>SUMIFS('май 2023'!$G$4:$G$815,'май 2023'!$D$4:$D$815,$B80,'май 2023'!$J$4:$J$815,I$1)</f>
        <v>0</v>
      </c>
      <c r="J80" s="207">
        <f>SUMIFS('май 2023'!$G$4:$G$815,'май 2023'!$D$4:$D$815,$B80,'май 2023'!$J$4:$J$815,J$1)</f>
        <v>0</v>
      </c>
      <c r="K80" s="207">
        <f>SUMIFS('май 2023'!$G$4:$G$815,'май 2023'!$D$4:$D$815,$B80,'май 2023'!$J$4:$J$815,K$1)</f>
        <v>0</v>
      </c>
      <c r="L80" s="207">
        <f>SUMIFS('май 2023'!$G$4:$G$815,'май 2023'!$D$4:$D$815,$B80,'май 2023'!$J$4:$J$815,L$1)</f>
        <v>0</v>
      </c>
      <c r="M80" s="207">
        <f>SUMIFS('май 2023'!$G$4:$G$815,'май 2023'!$D$4:$D$815,$B80,'май 2023'!$J$4:$J$815,M$1)</f>
        <v>0</v>
      </c>
      <c r="N80" s="207">
        <f>SUMIFS('май 2023'!$G$4:$G$815,'май 2023'!$D$4:$D$815,$B80,'май 2023'!$J$4:$J$815,N$1)</f>
        <v>0</v>
      </c>
      <c r="O80" s="207">
        <f>SUMIFS('май 2023'!$G$4:$G$815,'май 2023'!$D$4:$D$815,$B80,'май 2023'!$J$4:$J$815,O$1)</f>
        <v>0</v>
      </c>
      <c r="P80" s="207">
        <f>SUMIFS('май 2023'!$G$4:$G$815,'май 2023'!$D$4:$D$815,$B80,'май 2023'!$J$4:$J$815,P$1)</f>
        <v>0</v>
      </c>
      <c r="Q80" s="207">
        <f>SUMIFS('май 2023'!$G$4:$G$815,'май 2023'!$D$4:$D$815,$B80,'май 2023'!$J$4:$J$815,Q$1)</f>
        <v>0</v>
      </c>
      <c r="R80" s="207">
        <f>SUMIFS('май 2023'!$G$4:$G$815,'май 2023'!$D$4:$D$815,$B80,'май 2023'!$J$4:$J$815,R$1)</f>
        <v>0</v>
      </c>
      <c r="S80" s="207">
        <f>SUMIFS('май 2023'!$G$4:$G$815,'май 2023'!$D$4:$D$815,$B80,'май 2023'!$J$4:$J$815,S$1)</f>
        <v>0</v>
      </c>
      <c r="T80" s="207">
        <f>SUMIFS('май 2023'!$G$4:$G$815,'май 2023'!$D$4:$D$815,$B80,'май 2023'!$J$4:$J$815,T$1)</f>
        <v>0</v>
      </c>
      <c r="U80" s="207">
        <f>SUMIFS('май 2023'!$G$4:$G$815,'май 2023'!$D$4:$D$815,$B80,'май 2023'!$J$4:$J$815,U$1)</f>
        <v>0</v>
      </c>
      <c r="V80" s="207">
        <f>SUMIFS('май 2023'!$G$4:$G$815,'май 2023'!$D$4:$D$815,$B80,'май 2023'!$J$4:$J$815,V$1)</f>
        <v>0</v>
      </c>
      <c r="W80" s="207">
        <f>SUMIFS('май 2023'!$G$4:$G$815,'май 2023'!$D$4:$D$815,$B80,'май 2023'!$J$4:$J$815,W$1)</f>
        <v>0</v>
      </c>
      <c r="X80" s="207">
        <f>SUMIFS('май 2023'!$G$4:$G$815,'май 2023'!$D$4:$D$815,$B80,'май 2023'!$J$4:$J$815,X$1)</f>
        <v>0</v>
      </c>
      <c r="Y80" s="207">
        <f>SUMIFS('май 2023'!$G$4:$G$815,'май 2023'!$D$4:$D$815,$B80,'май 2023'!$J$4:$J$815,Y$1)</f>
        <v>0</v>
      </c>
      <c r="Z80" s="207">
        <f>SUMIFS('май 2023'!$G$4:$G$815,'май 2023'!$D$4:$D$815,$B80,'май 2023'!$J$4:$J$815,Z$1)</f>
        <v>0</v>
      </c>
      <c r="AA80" s="207">
        <f>SUMIFS('май 2023'!$G$4:$G$815,'май 2023'!$D$4:$D$815,$B80,'май 2023'!$J$4:$J$815,AA$1)</f>
        <v>0</v>
      </c>
      <c r="AB80" s="207">
        <f>SUMIFS('май 2023'!$G$4:$G$815,'май 2023'!$D$4:$D$815,$B80,'май 2023'!$J$4:$J$815,AB$1)</f>
        <v>0</v>
      </c>
      <c r="AC80" s="207">
        <f>SUMIFS('май 2023'!$G$4:$G$815,'май 2023'!$D$4:$D$815,$B80,'май 2023'!$J$4:$J$815,AC$1)</f>
        <v>0</v>
      </c>
      <c r="AD80" s="207">
        <f>SUMIFS('май 2023'!$G$4:$G$815,'май 2023'!$D$4:$D$815,$B80,'май 2023'!$J$4:$J$815,AD$1)</f>
        <v>0</v>
      </c>
      <c r="AE80" s="207">
        <f>SUMIFS('май 2023'!$G$4:$G$815,'май 2023'!$D$4:$D$815,$B80,'май 2023'!$J$4:$J$815,AE$1)</f>
        <v>0</v>
      </c>
      <c r="AF80" s="207">
        <f>SUMIFS('май 2023'!$G$4:$G$815,'май 2023'!$D$4:$D$815,$B80,'май 2023'!$J$4:$J$815,AF$1)</f>
        <v>0</v>
      </c>
      <c r="AG80" s="207">
        <f>SUMIFS('май 2023'!$G$4:$G$815,'май 2023'!$D$4:$D$815,$B80,'май 2023'!$J$4:$J$815,AG$1)</f>
        <v>0</v>
      </c>
      <c r="AH80" s="207">
        <f>SUMIFS('май 2023'!$G$4:$G$815,'май 2023'!$D$4:$D$815,$B80,'май 2023'!$J$4:$J$815,AH$1)</f>
        <v>0</v>
      </c>
      <c r="AI80" s="170">
        <f t="shared" si="3"/>
        <v>0</v>
      </c>
    </row>
    <row r="81" spans="2:35" ht="15" customHeight="1" x14ac:dyDescent="0.25">
      <c r="B81" s="217" t="s">
        <v>857</v>
      </c>
      <c r="C81" s="213">
        <v>185</v>
      </c>
      <c r="D81" s="207">
        <f>SUMIFS('май 2023'!$G$4:$G$815,'май 2023'!$D$4:$D$815,$B81,'май 2023'!$J$4:$J$815,D$1)</f>
        <v>0</v>
      </c>
      <c r="E81" s="207">
        <f>SUMIFS('май 2023'!$G$4:$G$815,'май 2023'!$D$4:$D$815,$B81,'май 2023'!$J$4:$J$815,E$1)</f>
        <v>0</v>
      </c>
      <c r="F81" s="207">
        <f>SUMIFS('май 2023'!$G$4:$G$815,'май 2023'!$D$4:$D$815,$B81,'май 2023'!$J$4:$J$815,F$1)</f>
        <v>0</v>
      </c>
      <c r="G81" s="207">
        <f>SUMIFS('май 2023'!$G$4:$G$815,'май 2023'!$D$4:$D$815,$B81,'май 2023'!$J$4:$J$815,G$1)</f>
        <v>0</v>
      </c>
      <c r="H81" s="207">
        <f>SUMIFS('май 2023'!$G$4:$G$815,'май 2023'!$D$4:$D$815,$B81,'май 2023'!$J$4:$J$815,H$1)</f>
        <v>0</v>
      </c>
      <c r="I81" s="207">
        <f>SUMIFS('май 2023'!$G$4:$G$815,'май 2023'!$D$4:$D$815,$B81,'май 2023'!$J$4:$J$815,I$1)</f>
        <v>0</v>
      </c>
      <c r="J81" s="207">
        <f>SUMIFS('май 2023'!$G$4:$G$815,'май 2023'!$D$4:$D$815,$B81,'май 2023'!$J$4:$J$815,J$1)</f>
        <v>0</v>
      </c>
      <c r="K81" s="207">
        <f>SUMIFS('май 2023'!$G$4:$G$815,'май 2023'!$D$4:$D$815,$B81,'май 2023'!$J$4:$J$815,K$1)</f>
        <v>0</v>
      </c>
      <c r="L81" s="207">
        <f>SUMIFS('май 2023'!$G$4:$G$815,'май 2023'!$D$4:$D$815,$B81,'май 2023'!$J$4:$J$815,L$1)</f>
        <v>0</v>
      </c>
      <c r="M81" s="207">
        <f>SUMIFS('май 2023'!$G$4:$G$815,'май 2023'!$D$4:$D$815,$B81,'май 2023'!$J$4:$J$815,M$1)</f>
        <v>0</v>
      </c>
      <c r="N81" s="207">
        <f>SUMIFS('май 2023'!$G$4:$G$815,'май 2023'!$D$4:$D$815,$B81,'май 2023'!$J$4:$J$815,N$1)</f>
        <v>0</v>
      </c>
      <c r="O81" s="207">
        <f>SUMIFS('май 2023'!$G$4:$G$815,'май 2023'!$D$4:$D$815,$B81,'май 2023'!$J$4:$J$815,O$1)</f>
        <v>0</v>
      </c>
      <c r="P81" s="207">
        <f>SUMIFS('май 2023'!$G$4:$G$815,'май 2023'!$D$4:$D$815,$B81,'май 2023'!$J$4:$J$815,P$1)</f>
        <v>0</v>
      </c>
      <c r="Q81" s="207">
        <f>SUMIFS('май 2023'!$G$4:$G$815,'май 2023'!$D$4:$D$815,$B81,'май 2023'!$J$4:$J$815,Q$1)</f>
        <v>0</v>
      </c>
      <c r="R81" s="207">
        <f>SUMIFS('май 2023'!$G$4:$G$815,'май 2023'!$D$4:$D$815,$B81,'май 2023'!$J$4:$J$815,R$1)</f>
        <v>0</v>
      </c>
      <c r="S81" s="207">
        <f>SUMIFS('май 2023'!$G$4:$G$815,'май 2023'!$D$4:$D$815,$B81,'май 2023'!$J$4:$J$815,S$1)</f>
        <v>0</v>
      </c>
      <c r="T81" s="207">
        <f>SUMIFS('май 2023'!$G$4:$G$815,'май 2023'!$D$4:$D$815,$B81,'май 2023'!$J$4:$J$815,T$1)</f>
        <v>0</v>
      </c>
      <c r="U81" s="207">
        <f>SUMIFS('май 2023'!$G$4:$G$815,'май 2023'!$D$4:$D$815,$B81,'май 2023'!$J$4:$J$815,U$1)</f>
        <v>0</v>
      </c>
      <c r="V81" s="207">
        <f>SUMIFS('май 2023'!$G$4:$G$815,'май 2023'!$D$4:$D$815,$B81,'май 2023'!$J$4:$J$815,V$1)</f>
        <v>0</v>
      </c>
      <c r="W81" s="207">
        <f>SUMIFS('май 2023'!$G$4:$G$815,'май 2023'!$D$4:$D$815,$B81,'май 2023'!$J$4:$J$815,W$1)</f>
        <v>0</v>
      </c>
      <c r="X81" s="207">
        <f>SUMIFS('май 2023'!$G$4:$G$815,'май 2023'!$D$4:$D$815,$B81,'май 2023'!$J$4:$J$815,X$1)</f>
        <v>0</v>
      </c>
      <c r="Y81" s="207">
        <f>SUMIFS('май 2023'!$G$4:$G$815,'май 2023'!$D$4:$D$815,$B81,'май 2023'!$J$4:$J$815,Y$1)</f>
        <v>0</v>
      </c>
      <c r="Z81" s="207">
        <f>SUMIFS('май 2023'!$G$4:$G$815,'май 2023'!$D$4:$D$815,$B81,'май 2023'!$J$4:$J$815,Z$1)</f>
        <v>0</v>
      </c>
      <c r="AA81" s="207">
        <f>SUMIFS('май 2023'!$G$4:$G$815,'май 2023'!$D$4:$D$815,$B81,'май 2023'!$J$4:$J$815,AA$1)</f>
        <v>0</v>
      </c>
      <c r="AB81" s="207">
        <f>SUMIFS('май 2023'!$G$4:$G$815,'май 2023'!$D$4:$D$815,$B81,'май 2023'!$J$4:$J$815,AB$1)</f>
        <v>0</v>
      </c>
      <c r="AC81" s="207">
        <f>SUMIFS('май 2023'!$G$4:$G$815,'май 2023'!$D$4:$D$815,$B81,'май 2023'!$J$4:$J$815,AC$1)</f>
        <v>0</v>
      </c>
      <c r="AD81" s="207">
        <f>SUMIFS('май 2023'!$G$4:$G$815,'май 2023'!$D$4:$D$815,$B81,'май 2023'!$J$4:$J$815,AD$1)</f>
        <v>0</v>
      </c>
      <c r="AE81" s="207">
        <f>SUMIFS('май 2023'!$G$4:$G$815,'май 2023'!$D$4:$D$815,$B81,'май 2023'!$J$4:$J$815,AE$1)</f>
        <v>0</v>
      </c>
      <c r="AF81" s="207">
        <f>SUMIFS('май 2023'!$G$4:$G$815,'май 2023'!$D$4:$D$815,$B81,'май 2023'!$J$4:$J$815,AF$1)</f>
        <v>0</v>
      </c>
      <c r="AG81" s="207">
        <f>SUMIFS('май 2023'!$G$4:$G$815,'май 2023'!$D$4:$D$815,$B81,'май 2023'!$J$4:$J$815,AG$1)</f>
        <v>0</v>
      </c>
      <c r="AH81" s="207">
        <f>SUMIFS('май 2023'!$G$4:$G$815,'май 2023'!$D$4:$D$815,$B81,'май 2023'!$J$4:$J$815,AH$1)</f>
        <v>0</v>
      </c>
      <c r="AI81" s="170">
        <f t="shared" si="3"/>
        <v>0</v>
      </c>
    </row>
    <row r="82" spans="2:35" ht="15" customHeight="1" x14ac:dyDescent="0.25">
      <c r="B82" s="212" t="s">
        <v>2190</v>
      </c>
      <c r="C82" s="213">
        <v>180</v>
      </c>
      <c r="D82" s="207">
        <f>SUMIFS('май 2023'!$G$4:$G$815,'май 2023'!$D$4:$D$815,$B82,'май 2023'!$J$4:$J$815,D$1)</f>
        <v>0</v>
      </c>
      <c r="E82" s="207">
        <f>SUMIFS('май 2023'!$G$4:$G$815,'май 2023'!$D$4:$D$815,$B82,'май 2023'!$J$4:$J$815,E$1)</f>
        <v>0</v>
      </c>
      <c r="F82" s="207">
        <f>SUMIFS('май 2023'!$G$4:$G$815,'май 2023'!$D$4:$D$815,$B82,'май 2023'!$J$4:$J$815,F$1)</f>
        <v>0</v>
      </c>
      <c r="G82" s="207">
        <f>SUMIFS('май 2023'!$G$4:$G$815,'май 2023'!$D$4:$D$815,$B82,'май 2023'!$J$4:$J$815,G$1)</f>
        <v>0</v>
      </c>
      <c r="H82" s="207">
        <f>SUMIFS('май 2023'!$G$4:$G$815,'май 2023'!$D$4:$D$815,$B82,'май 2023'!$J$4:$J$815,H$1)</f>
        <v>0</v>
      </c>
      <c r="I82" s="207">
        <f>SUMIFS('май 2023'!$G$4:$G$815,'май 2023'!$D$4:$D$815,$B82,'май 2023'!$J$4:$J$815,I$1)</f>
        <v>0</v>
      </c>
      <c r="J82" s="207">
        <f>SUMIFS('май 2023'!$G$4:$G$815,'май 2023'!$D$4:$D$815,$B82,'май 2023'!$J$4:$J$815,J$1)</f>
        <v>0</v>
      </c>
      <c r="K82" s="207">
        <f>SUMIFS('май 2023'!$G$4:$G$815,'май 2023'!$D$4:$D$815,$B82,'май 2023'!$J$4:$J$815,K$1)</f>
        <v>0</v>
      </c>
      <c r="L82" s="207">
        <f>SUMIFS('май 2023'!$G$4:$G$815,'май 2023'!$D$4:$D$815,$B82,'май 2023'!$J$4:$J$815,L$1)</f>
        <v>0</v>
      </c>
      <c r="M82" s="207">
        <f>SUMIFS('май 2023'!$G$4:$G$815,'май 2023'!$D$4:$D$815,$B82,'май 2023'!$J$4:$J$815,M$1)</f>
        <v>0</v>
      </c>
      <c r="N82" s="207">
        <f>SUMIFS('май 2023'!$G$4:$G$815,'май 2023'!$D$4:$D$815,$B82,'май 2023'!$J$4:$J$815,N$1)</f>
        <v>0</v>
      </c>
      <c r="O82" s="207">
        <f>SUMIFS('май 2023'!$G$4:$G$815,'май 2023'!$D$4:$D$815,$B82,'май 2023'!$J$4:$J$815,O$1)</f>
        <v>0</v>
      </c>
      <c r="P82" s="207">
        <f>SUMIFS('май 2023'!$G$4:$G$815,'май 2023'!$D$4:$D$815,$B82,'май 2023'!$J$4:$J$815,P$1)</f>
        <v>0</v>
      </c>
      <c r="Q82" s="207">
        <f>SUMIFS('май 2023'!$G$4:$G$815,'май 2023'!$D$4:$D$815,$B82,'май 2023'!$J$4:$J$815,Q$1)</f>
        <v>0</v>
      </c>
      <c r="R82" s="207">
        <f>SUMIFS('май 2023'!$G$4:$G$815,'май 2023'!$D$4:$D$815,$B82,'май 2023'!$J$4:$J$815,R$1)</f>
        <v>0</v>
      </c>
      <c r="S82" s="207">
        <f>SUMIFS('май 2023'!$G$4:$G$815,'май 2023'!$D$4:$D$815,$B82,'май 2023'!$J$4:$J$815,S$1)</f>
        <v>0</v>
      </c>
      <c r="T82" s="207">
        <f>SUMIFS('май 2023'!$G$4:$G$815,'май 2023'!$D$4:$D$815,$B82,'май 2023'!$J$4:$J$815,T$1)</f>
        <v>0</v>
      </c>
      <c r="U82" s="207">
        <f>SUMIFS('май 2023'!$G$4:$G$815,'май 2023'!$D$4:$D$815,$B82,'май 2023'!$J$4:$J$815,U$1)</f>
        <v>0</v>
      </c>
      <c r="V82" s="207">
        <f>SUMIFS('май 2023'!$G$4:$G$815,'май 2023'!$D$4:$D$815,$B82,'май 2023'!$J$4:$J$815,V$1)</f>
        <v>0</v>
      </c>
      <c r="W82" s="207">
        <f>SUMIFS('май 2023'!$G$4:$G$815,'май 2023'!$D$4:$D$815,$B82,'май 2023'!$J$4:$J$815,W$1)</f>
        <v>0</v>
      </c>
      <c r="X82" s="207">
        <f>SUMIFS('май 2023'!$G$4:$G$815,'май 2023'!$D$4:$D$815,$B82,'май 2023'!$J$4:$J$815,X$1)</f>
        <v>0</v>
      </c>
      <c r="Y82" s="207">
        <f>SUMIFS('май 2023'!$G$4:$G$815,'май 2023'!$D$4:$D$815,$B82,'май 2023'!$J$4:$J$815,Y$1)</f>
        <v>0</v>
      </c>
      <c r="Z82" s="207">
        <f>SUMIFS('май 2023'!$G$4:$G$815,'май 2023'!$D$4:$D$815,$B82,'май 2023'!$J$4:$J$815,Z$1)</f>
        <v>0</v>
      </c>
      <c r="AA82" s="207">
        <f>SUMIFS('май 2023'!$G$4:$G$815,'май 2023'!$D$4:$D$815,$B82,'май 2023'!$J$4:$J$815,AA$1)</f>
        <v>0</v>
      </c>
      <c r="AB82" s="207">
        <f>SUMIFS('май 2023'!$G$4:$G$815,'май 2023'!$D$4:$D$815,$B82,'май 2023'!$J$4:$J$815,AB$1)</f>
        <v>0</v>
      </c>
      <c r="AC82" s="207">
        <f>SUMIFS('май 2023'!$G$4:$G$815,'май 2023'!$D$4:$D$815,$B82,'май 2023'!$J$4:$J$815,AC$1)</f>
        <v>0</v>
      </c>
      <c r="AD82" s="207">
        <f>SUMIFS('май 2023'!$G$4:$G$815,'май 2023'!$D$4:$D$815,$B82,'май 2023'!$J$4:$J$815,AD$1)</f>
        <v>0</v>
      </c>
      <c r="AE82" s="207">
        <f>SUMIFS('май 2023'!$G$4:$G$815,'май 2023'!$D$4:$D$815,$B82,'май 2023'!$J$4:$J$815,AE$1)</f>
        <v>0</v>
      </c>
      <c r="AF82" s="207">
        <f>SUMIFS('май 2023'!$G$4:$G$815,'май 2023'!$D$4:$D$815,$B82,'май 2023'!$J$4:$J$815,AF$1)</f>
        <v>0</v>
      </c>
      <c r="AG82" s="207">
        <f>SUMIFS('май 2023'!$G$4:$G$815,'май 2023'!$D$4:$D$815,$B82,'май 2023'!$J$4:$J$815,AG$1)</f>
        <v>0</v>
      </c>
      <c r="AH82" s="207">
        <f>SUMIFS('май 2023'!$G$4:$G$815,'май 2023'!$D$4:$D$815,$B82,'май 2023'!$J$4:$J$815,AH$1)</f>
        <v>0</v>
      </c>
      <c r="AI82" s="170">
        <f t="shared" si="3"/>
        <v>0</v>
      </c>
    </row>
    <row r="83" spans="2:35" ht="15" customHeight="1" x14ac:dyDescent="0.25">
      <c r="B83" s="212" t="s">
        <v>371</v>
      </c>
      <c r="C83" s="211">
        <v>200</v>
      </c>
      <c r="D83" s="207">
        <f>SUMIFS('май 2023'!$G$4:$G$815,'май 2023'!$D$4:$D$815,$B83,'май 2023'!$J$4:$J$815,D$1)</f>
        <v>0</v>
      </c>
      <c r="E83" s="207">
        <f>SUMIFS('май 2023'!$G$4:$G$815,'май 2023'!$D$4:$D$815,$B83,'май 2023'!$J$4:$J$815,E$1)</f>
        <v>0</v>
      </c>
      <c r="F83" s="207">
        <f>SUMIFS('май 2023'!$G$4:$G$815,'май 2023'!$D$4:$D$815,$B83,'май 2023'!$J$4:$J$815,F$1)</f>
        <v>0</v>
      </c>
      <c r="G83" s="207">
        <f>SUMIFS('май 2023'!$G$4:$G$815,'май 2023'!$D$4:$D$815,$B83,'май 2023'!$J$4:$J$815,G$1)</f>
        <v>0</v>
      </c>
      <c r="H83" s="207">
        <f>SUMIFS('май 2023'!$G$4:$G$815,'май 2023'!$D$4:$D$815,$B83,'май 2023'!$J$4:$J$815,H$1)</f>
        <v>0</v>
      </c>
      <c r="I83" s="207">
        <f>SUMIFS('май 2023'!$G$4:$G$815,'май 2023'!$D$4:$D$815,$B83,'май 2023'!$J$4:$J$815,I$1)</f>
        <v>0</v>
      </c>
      <c r="J83" s="207">
        <f>SUMIFS('май 2023'!$G$4:$G$815,'май 2023'!$D$4:$D$815,$B83,'май 2023'!$J$4:$J$815,J$1)</f>
        <v>0</v>
      </c>
      <c r="K83" s="207">
        <f>SUMIFS('май 2023'!$G$4:$G$815,'май 2023'!$D$4:$D$815,$B83,'май 2023'!$J$4:$J$815,K$1)</f>
        <v>0</v>
      </c>
      <c r="L83" s="207">
        <f>SUMIFS('май 2023'!$G$4:$G$815,'май 2023'!$D$4:$D$815,$B83,'май 2023'!$J$4:$J$815,L$1)</f>
        <v>0</v>
      </c>
      <c r="M83" s="207">
        <f>SUMIFS('май 2023'!$G$4:$G$815,'май 2023'!$D$4:$D$815,$B83,'май 2023'!$J$4:$J$815,M$1)</f>
        <v>0</v>
      </c>
      <c r="N83" s="207">
        <f>SUMIFS('май 2023'!$G$4:$G$815,'май 2023'!$D$4:$D$815,$B83,'май 2023'!$J$4:$J$815,N$1)</f>
        <v>0</v>
      </c>
      <c r="O83" s="207">
        <f>SUMIFS('май 2023'!$G$4:$G$815,'май 2023'!$D$4:$D$815,$B83,'май 2023'!$J$4:$J$815,O$1)</f>
        <v>0</v>
      </c>
      <c r="P83" s="207">
        <f>SUMIFS('май 2023'!$G$4:$G$815,'май 2023'!$D$4:$D$815,$B83,'май 2023'!$J$4:$J$815,P$1)</f>
        <v>0</v>
      </c>
      <c r="Q83" s="207">
        <f>SUMIFS('май 2023'!$G$4:$G$815,'май 2023'!$D$4:$D$815,$B83,'май 2023'!$J$4:$J$815,Q$1)</f>
        <v>0</v>
      </c>
      <c r="R83" s="207">
        <f>SUMIFS('май 2023'!$G$4:$G$815,'май 2023'!$D$4:$D$815,$B83,'май 2023'!$J$4:$J$815,R$1)</f>
        <v>0</v>
      </c>
      <c r="S83" s="207">
        <f>SUMIFS('май 2023'!$G$4:$G$815,'май 2023'!$D$4:$D$815,$B83,'май 2023'!$J$4:$J$815,S$1)</f>
        <v>0</v>
      </c>
      <c r="T83" s="207">
        <f>SUMIFS('май 2023'!$G$4:$G$815,'май 2023'!$D$4:$D$815,$B83,'май 2023'!$J$4:$J$815,T$1)</f>
        <v>0</v>
      </c>
      <c r="U83" s="207">
        <f>SUMIFS('май 2023'!$G$4:$G$815,'май 2023'!$D$4:$D$815,$B83,'май 2023'!$J$4:$J$815,U$1)</f>
        <v>0</v>
      </c>
      <c r="V83" s="207">
        <f>SUMIFS('май 2023'!$G$4:$G$815,'май 2023'!$D$4:$D$815,$B83,'май 2023'!$J$4:$J$815,V$1)</f>
        <v>0</v>
      </c>
      <c r="W83" s="207">
        <f>SUMIFS('май 2023'!$G$4:$G$815,'май 2023'!$D$4:$D$815,$B83,'май 2023'!$J$4:$J$815,W$1)</f>
        <v>0</v>
      </c>
      <c r="X83" s="207">
        <f>SUMIFS('май 2023'!$G$4:$G$815,'май 2023'!$D$4:$D$815,$B83,'май 2023'!$J$4:$J$815,X$1)</f>
        <v>0</v>
      </c>
      <c r="Y83" s="207">
        <f>SUMIFS('май 2023'!$G$4:$G$815,'май 2023'!$D$4:$D$815,$B83,'май 2023'!$J$4:$J$815,Y$1)</f>
        <v>0</v>
      </c>
      <c r="Z83" s="207">
        <f>SUMIFS('май 2023'!$G$4:$G$815,'май 2023'!$D$4:$D$815,$B83,'май 2023'!$J$4:$J$815,Z$1)</f>
        <v>0</v>
      </c>
      <c r="AA83" s="207">
        <f>SUMIFS('май 2023'!$G$4:$G$815,'май 2023'!$D$4:$D$815,$B83,'май 2023'!$J$4:$J$815,AA$1)</f>
        <v>0</v>
      </c>
      <c r="AB83" s="207">
        <f>SUMIFS('май 2023'!$G$4:$G$815,'май 2023'!$D$4:$D$815,$B83,'май 2023'!$J$4:$J$815,AB$1)</f>
        <v>0</v>
      </c>
      <c r="AC83" s="207">
        <f>SUMIFS('май 2023'!$G$4:$G$815,'май 2023'!$D$4:$D$815,$B83,'май 2023'!$J$4:$J$815,AC$1)</f>
        <v>0</v>
      </c>
      <c r="AD83" s="207">
        <f>SUMIFS('май 2023'!$G$4:$G$815,'май 2023'!$D$4:$D$815,$B83,'май 2023'!$J$4:$J$815,AD$1)</f>
        <v>0</v>
      </c>
      <c r="AE83" s="207">
        <f>SUMIFS('май 2023'!$G$4:$G$815,'май 2023'!$D$4:$D$815,$B83,'май 2023'!$J$4:$J$815,AE$1)</f>
        <v>0</v>
      </c>
      <c r="AF83" s="207">
        <f>SUMIFS('май 2023'!$G$4:$G$815,'май 2023'!$D$4:$D$815,$B83,'май 2023'!$J$4:$J$815,AF$1)</f>
        <v>0</v>
      </c>
      <c r="AG83" s="207">
        <f>SUMIFS('май 2023'!$G$4:$G$815,'май 2023'!$D$4:$D$815,$B83,'май 2023'!$J$4:$J$815,AG$1)</f>
        <v>0</v>
      </c>
      <c r="AH83" s="207">
        <f>SUMIFS('май 2023'!$G$4:$G$815,'май 2023'!$D$4:$D$815,$B83,'май 2023'!$J$4:$J$815,AH$1)</f>
        <v>0</v>
      </c>
      <c r="AI83" s="170">
        <f t="shared" si="3"/>
        <v>0</v>
      </c>
    </row>
    <row r="84" spans="2:35" ht="15" customHeight="1" x14ac:dyDescent="0.25">
      <c r="B84" s="212" t="s">
        <v>1608</v>
      </c>
      <c r="C84" s="211">
        <v>950</v>
      </c>
      <c r="D84" s="207">
        <f>SUMIFS('май 2023'!$G$4:$G$815,'май 2023'!$D$4:$D$815,$B84,'май 2023'!$J$4:$J$815,D$1)</f>
        <v>0</v>
      </c>
      <c r="E84" s="207">
        <f>SUMIFS('май 2023'!$G$4:$G$815,'май 2023'!$D$4:$D$815,$B84,'май 2023'!$J$4:$J$815,E$1)</f>
        <v>0</v>
      </c>
      <c r="F84" s="207">
        <f>SUMIFS('май 2023'!$G$4:$G$815,'май 2023'!$D$4:$D$815,$B84,'май 2023'!$J$4:$J$815,F$1)</f>
        <v>0</v>
      </c>
      <c r="G84" s="207">
        <f>SUMIFS('май 2023'!$G$4:$G$815,'май 2023'!$D$4:$D$815,$B84,'май 2023'!$J$4:$J$815,G$1)</f>
        <v>0</v>
      </c>
      <c r="H84" s="207">
        <f>SUMIFS('май 2023'!$G$4:$G$815,'май 2023'!$D$4:$D$815,$B84,'май 2023'!$J$4:$J$815,H$1)</f>
        <v>0</v>
      </c>
      <c r="I84" s="207">
        <f>SUMIFS('май 2023'!$G$4:$G$815,'май 2023'!$D$4:$D$815,$B84,'май 2023'!$J$4:$J$815,I$1)</f>
        <v>0</v>
      </c>
      <c r="J84" s="207">
        <f>SUMIFS('май 2023'!$G$4:$G$815,'май 2023'!$D$4:$D$815,$B84,'май 2023'!$J$4:$J$815,J$1)</f>
        <v>0</v>
      </c>
      <c r="K84" s="207">
        <f>SUMIFS('май 2023'!$G$4:$G$815,'май 2023'!$D$4:$D$815,$B84,'май 2023'!$J$4:$J$815,K$1)</f>
        <v>0</v>
      </c>
      <c r="L84" s="207">
        <f>SUMIFS('май 2023'!$G$4:$G$815,'май 2023'!$D$4:$D$815,$B84,'май 2023'!$J$4:$J$815,L$1)</f>
        <v>0</v>
      </c>
      <c r="M84" s="207">
        <f>SUMIFS('май 2023'!$G$4:$G$815,'май 2023'!$D$4:$D$815,$B84,'май 2023'!$J$4:$J$815,M$1)</f>
        <v>0</v>
      </c>
      <c r="N84" s="207">
        <f>SUMIFS('май 2023'!$G$4:$G$815,'май 2023'!$D$4:$D$815,$B84,'май 2023'!$J$4:$J$815,N$1)</f>
        <v>0</v>
      </c>
      <c r="O84" s="207">
        <f>SUMIFS('май 2023'!$G$4:$G$815,'май 2023'!$D$4:$D$815,$B84,'май 2023'!$J$4:$J$815,O$1)</f>
        <v>0</v>
      </c>
      <c r="P84" s="207">
        <f>SUMIFS('май 2023'!$G$4:$G$815,'май 2023'!$D$4:$D$815,$B84,'май 2023'!$J$4:$J$815,P$1)</f>
        <v>0</v>
      </c>
      <c r="Q84" s="207">
        <f>SUMIFS('май 2023'!$G$4:$G$815,'май 2023'!$D$4:$D$815,$B84,'май 2023'!$J$4:$J$815,Q$1)</f>
        <v>0</v>
      </c>
      <c r="R84" s="207">
        <f>SUMIFS('май 2023'!$G$4:$G$815,'май 2023'!$D$4:$D$815,$B84,'май 2023'!$J$4:$J$815,R$1)</f>
        <v>0</v>
      </c>
      <c r="S84" s="207">
        <f>SUMIFS('май 2023'!$G$4:$G$815,'май 2023'!$D$4:$D$815,$B84,'май 2023'!$J$4:$J$815,S$1)</f>
        <v>0</v>
      </c>
      <c r="T84" s="207">
        <f>SUMIFS('май 2023'!$G$4:$G$815,'май 2023'!$D$4:$D$815,$B84,'май 2023'!$J$4:$J$815,T$1)</f>
        <v>0</v>
      </c>
      <c r="U84" s="207">
        <f>SUMIFS('май 2023'!$G$4:$G$815,'май 2023'!$D$4:$D$815,$B84,'май 2023'!$J$4:$J$815,U$1)</f>
        <v>0</v>
      </c>
      <c r="V84" s="207">
        <f>SUMIFS('май 2023'!$G$4:$G$815,'май 2023'!$D$4:$D$815,$B84,'май 2023'!$J$4:$J$815,V$1)</f>
        <v>0</v>
      </c>
      <c r="W84" s="207">
        <f>SUMIFS('май 2023'!$G$4:$G$815,'май 2023'!$D$4:$D$815,$B84,'май 2023'!$J$4:$J$815,W$1)</f>
        <v>0</v>
      </c>
      <c r="X84" s="207">
        <f>SUMIFS('май 2023'!$G$4:$G$815,'май 2023'!$D$4:$D$815,$B84,'май 2023'!$J$4:$J$815,X$1)</f>
        <v>0</v>
      </c>
      <c r="Y84" s="207">
        <f>SUMIFS('май 2023'!$G$4:$G$815,'май 2023'!$D$4:$D$815,$B84,'май 2023'!$J$4:$J$815,Y$1)</f>
        <v>0</v>
      </c>
      <c r="Z84" s="207">
        <f>SUMIFS('май 2023'!$G$4:$G$815,'май 2023'!$D$4:$D$815,$B84,'май 2023'!$J$4:$J$815,Z$1)</f>
        <v>0</v>
      </c>
      <c r="AA84" s="207">
        <f>SUMIFS('май 2023'!$G$4:$G$815,'май 2023'!$D$4:$D$815,$B84,'май 2023'!$J$4:$J$815,AA$1)</f>
        <v>0</v>
      </c>
      <c r="AB84" s="207">
        <f>SUMIFS('май 2023'!$G$4:$G$815,'май 2023'!$D$4:$D$815,$B84,'май 2023'!$J$4:$J$815,AB$1)</f>
        <v>0</v>
      </c>
      <c r="AC84" s="207">
        <f>SUMIFS('май 2023'!$G$4:$G$815,'май 2023'!$D$4:$D$815,$B84,'май 2023'!$J$4:$J$815,AC$1)</f>
        <v>0</v>
      </c>
      <c r="AD84" s="207">
        <f>SUMIFS('май 2023'!$G$4:$G$815,'май 2023'!$D$4:$D$815,$B84,'май 2023'!$J$4:$J$815,AD$1)</f>
        <v>0</v>
      </c>
      <c r="AE84" s="207">
        <f>SUMIFS('май 2023'!$G$4:$G$815,'май 2023'!$D$4:$D$815,$B84,'май 2023'!$J$4:$J$815,AE$1)</f>
        <v>0</v>
      </c>
      <c r="AF84" s="207">
        <f>SUMIFS('май 2023'!$G$4:$G$815,'май 2023'!$D$4:$D$815,$B84,'май 2023'!$J$4:$J$815,AF$1)</f>
        <v>0</v>
      </c>
      <c r="AG84" s="207">
        <f>SUMIFS('май 2023'!$G$4:$G$815,'май 2023'!$D$4:$D$815,$B84,'май 2023'!$J$4:$J$815,AG$1)</f>
        <v>0</v>
      </c>
      <c r="AH84" s="207">
        <f>SUMIFS('май 2023'!$G$4:$G$815,'май 2023'!$D$4:$D$815,$B84,'май 2023'!$J$4:$J$815,AH$1)</f>
        <v>0</v>
      </c>
      <c r="AI84" s="170">
        <f t="shared" si="3"/>
        <v>0</v>
      </c>
    </row>
    <row r="85" spans="2:35" ht="15" customHeight="1" x14ac:dyDescent="0.25">
      <c r="B85" s="212" t="s">
        <v>468</v>
      </c>
      <c r="C85" s="211">
        <v>180</v>
      </c>
      <c r="D85" s="207">
        <f>SUMIFS('май 2023'!$G$4:$G$815,'май 2023'!$D$4:$D$815,$B85,'май 2023'!$J$4:$J$815,D$1)</f>
        <v>0</v>
      </c>
      <c r="E85" s="207">
        <f>SUMIFS('май 2023'!$G$4:$G$815,'май 2023'!$D$4:$D$815,$B85,'май 2023'!$J$4:$J$815,E$1)</f>
        <v>0</v>
      </c>
      <c r="F85" s="207">
        <f>SUMIFS('май 2023'!$G$4:$G$815,'май 2023'!$D$4:$D$815,$B85,'май 2023'!$J$4:$J$815,F$1)</f>
        <v>0</v>
      </c>
      <c r="G85" s="207">
        <f>SUMIFS('май 2023'!$G$4:$G$815,'май 2023'!$D$4:$D$815,$B85,'май 2023'!$J$4:$J$815,G$1)</f>
        <v>0</v>
      </c>
      <c r="H85" s="207">
        <f>SUMIFS('май 2023'!$G$4:$G$815,'май 2023'!$D$4:$D$815,$B85,'май 2023'!$J$4:$J$815,H$1)</f>
        <v>0</v>
      </c>
      <c r="I85" s="207">
        <f>SUMIFS('май 2023'!$G$4:$G$815,'май 2023'!$D$4:$D$815,$B85,'май 2023'!$J$4:$J$815,I$1)</f>
        <v>0</v>
      </c>
      <c r="J85" s="207">
        <f>SUMIFS('май 2023'!$G$4:$G$815,'май 2023'!$D$4:$D$815,$B85,'май 2023'!$J$4:$J$815,J$1)</f>
        <v>0</v>
      </c>
      <c r="K85" s="207">
        <f>SUMIFS('май 2023'!$G$4:$G$815,'май 2023'!$D$4:$D$815,$B85,'май 2023'!$J$4:$J$815,K$1)</f>
        <v>0</v>
      </c>
      <c r="L85" s="207">
        <f>SUMIFS('май 2023'!$G$4:$G$815,'май 2023'!$D$4:$D$815,$B85,'май 2023'!$J$4:$J$815,L$1)</f>
        <v>0</v>
      </c>
      <c r="M85" s="207">
        <f>SUMIFS('май 2023'!$G$4:$G$815,'май 2023'!$D$4:$D$815,$B85,'май 2023'!$J$4:$J$815,M$1)</f>
        <v>0</v>
      </c>
      <c r="N85" s="207">
        <f>SUMIFS('май 2023'!$G$4:$G$815,'май 2023'!$D$4:$D$815,$B85,'май 2023'!$J$4:$J$815,N$1)</f>
        <v>0</v>
      </c>
      <c r="O85" s="207">
        <f>SUMIFS('май 2023'!$G$4:$G$815,'май 2023'!$D$4:$D$815,$B85,'май 2023'!$J$4:$J$815,O$1)</f>
        <v>0</v>
      </c>
      <c r="P85" s="207">
        <f>SUMIFS('май 2023'!$G$4:$G$815,'май 2023'!$D$4:$D$815,$B85,'май 2023'!$J$4:$J$815,P$1)</f>
        <v>0</v>
      </c>
      <c r="Q85" s="207">
        <f>SUMIFS('май 2023'!$G$4:$G$815,'май 2023'!$D$4:$D$815,$B85,'май 2023'!$J$4:$J$815,Q$1)</f>
        <v>0</v>
      </c>
      <c r="R85" s="207">
        <f>SUMIFS('май 2023'!$G$4:$G$815,'май 2023'!$D$4:$D$815,$B85,'май 2023'!$J$4:$J$815,R$1)</f>
        <v>0</v>
      </c>
      <c r="S85" s="207">
        <f>SUMIFS('май 2023'!$G$4:$G$815,'май 2023'!$D$4:$D$815,$B85,'май 2023'!$J$4:$J$815,S$1)</f>
        <v>0</v>
      </c>
      <c r="T85" s="207">
        <f>SUMIFS('май 2023'!$G$4:$G$815,'май 2023'!$D$4:$D$815,$B85,'май 2023'!$J$4:$J$815,T$1)</f>
        <v>0</v>
      </c>
      <c r="U85" s="207">
        <f>SUMIFS('май 2023'!$G$4:$G$815,'май 2023'!$D$4:$D$815,$B85,'май 2023'!$J$4:$J$815,U$1)</f>
        <v>0</v>
      </c>
      <c r="V85" s="207">
        <f>SUMIFS('май 2023'!$G$4:$G$815,'май 2023'!$D$4:$D$815,$B85,'май 2023'!$J$4:$J$815,V$1)</f>
        <v>0</v>
      </c>
      <c r="W85" s="207">
        <f>SUMIFS('май 2023'!$G$4:$G$815,'май 2023'!$D$4:$D$815,$B85,'май 2023'!$J$4:$J$815,W$1)</f>
        <v>0</v>
      </c>
      <c r="X85" s="207">
        <f>SUMIFS('май 2023'!$G$4:$G$815,'май 2023'!$D$4:$D$815,$B85,'май 2023'!$J$4:$J$815,X$1)</f>
        <v>0</v>
      </c>
      <c r="Y85" s="207">
        <f>SUMIFS('май 2023'!$G$4:$G$815,'май 2023'!$D$4:$D$815,$B85,'май 2023'!$J$4:$J$815,Y$1)</f>
        <v>0</v>
      </c>
      <c r="Z85" s="207">
        <f>SUMIFS('май 2023'!$G$4:$G$815,'май 2023'!$D$4:$D$815,$B85,'май 2023'!$J$4:$J$815,Z$1)</f>
        <v>0</v>
      </c>
      <c r="AA85" s="207">
        <f>SUMIFS('май 2023'!$G$4:$G$815,'май 2023'!$D$4:$D$815,$B85,'май 2023'!$J$4:$J$815,AA$1)</f>
        <v>0</v>
      </c>
      <c r="AB85" s="207">
        <f>SUMIFS('май 2023'!$G$4:$G$815,'май 2023'!$D$4:$D$815,$B85,'май 2023'!$J$4:$J$815,AB$1)</f>
        <v>0</v>
      </c>
      <c r="AC85" s="207">
        <f>SUMIFS('май 2023'!$G$4:$G$815,'май 2023'!$D$4:$D$815,$B85,'май 2023'!$J$4:$J$815,AC$1)</f>
        <v>0</v>
      </c>
      <c r="AD85" s="207">
        <f>SUMIFS('май 2023'!$G$4:$G$815,'май 2023'!$D$4:$D$815,$B85,'май 2023'!$J$4:$J$815,AD$1)</f>
        <v>0</v>
      </c>
      <c r="AE85" s="207">
        <f>SUMIFS('май 2023'!$G$4:$G$815,'май 2023'!$D$4:$D$815,$B85,'май 2023'!$J$4:$J$815,AE$1)</f>
        <v>0</v>
      </c>
      <c r="AF85" s="207">
        <f>SUMIFS('май 2023'!$G$4:$G$815,'май 2023'!$D$4:$D$815,$B85,'май 2023'!$J$4:$J$815,AF$1)</f>
        <v>0</v>
      </c>
      <c r="AG85" s="207">
        <f>SUMIFS('май 2023'!$G$4:$G$815,'май 2023'!$D$4:$D$815,$B85,'май 2023'!$J$4:$J$815,AG$1)</f>
        <v>0</v>
      </c>
      <c r="AH85" s="207">
        <f>SUMIFS('май 2023'!$G$4:$G$815,'май 2023'!$D$4:$D$815,$B85,'май 2023'!$J$4:$J$815,AH$1)</f>
        <v>0</v>
      </c>
      <c r="AI85" s="170">
        <f t="shared" si="3"/>
        <v>0</v>
      </c>
    </row>
    <row r="86" spans="2:35" ht="15" customHeight="1" x14ac:dyDescent="0.25">
      <c r="B86" s="216" t="s">
        <v>1755</v>
      </c>
      <c r="C86" s="213">
        <v>200</v>
      </c>
      <c r="D86" s="207">
        <f>SUMIFS('май 2023'!$G$4:$G$815,'май 2023'!$D$4:$D$815,$B86,'май 2023'!$J$4:$J$815,D$1)</f>
        <v>0</v>
      </c>
      <c r="E86" s="207">
        <f>SUMIFS('май 2023'!$G$4:$G$815,'май 2023'!$D$4:$D$815,$B86,'май 2023'!$J$4:$J$815,E$1)</f>
        <v>0</v>
      </c>
      <c r="F86" s="207">
        <f>SUMIFS('май 2023'!$G$4:$G$815,'май 2023'!$D$4:$D$815,$B86,'май 2023'!$J$4:$J$815,F$1)</f>
        <v>0</v>
      </c>
      <c r="G86" s="207">
        <f>SUMIFS('май 2023'!$G$4:$G$815,'май 2023'!$D$4:$D$815,$B86,'май 2023'!$J$4:$J$815,G$1)</f>
        <v>0</v>
      </c>
      <c r="H86" s="207">
        <f>SUMIFS('май 2023'!$G$4:$G$815,'май 2023'!$D$4:$D$815,$B86,'май 2023'!$J$4:$J$815,H$1)</f>
        <v>0</v>
      </c>
      <c r="I86" s="207">
        <f>SUMIFS('май 2023'!$G$4:$G$815,'май 2023'!$D$4:$D$815,$B86,'май 2023'!$J$4:$J$815,I$1)</f>
        <v>0</v>
      </c>
      <c r="J86" s="207">
        <f>SUMIFS('май 2023'!$G$4:$G$815,'май 2023'!$D$4:$D$815,$B86,'май 2023'!$J$4:$J$815,J$1)</f>
        <v>0</v>
      </c>
      <c r="K86" s="207">
        <f>SUMIFS('май 2023'!$G$4:$G$815,'май 2023'!$D$4:$D$815,$B86,'май 2023'!$J$4:$J$815,K$1)</f>
        <v>0</v>
      </c>
      <c r="L86" s="207">
        <f>SUMIFS('май 2023'!$G$4:$G$815,'май 2023'!$D$4:$D$815,$B86,'май 2023'!$J$4:$J$815,L$1)</f>
        <v>0</v>
      </c>
      <c r="M86" s="207">
        <f>SUMIFS('май 2023'!$G$4:$G$815,'май 2023'!$D$4:$D$815,$B86,'май 2023'!$J$4:$J$815,M$1)</f>
        <v>0</v>
      </c>
      <c r="N86" s="207">
        <f>SUMIFS('май 2023'!$G$4:$G$815,'май 2023'!$D$4:$D$815,$B86,'май 2023'!$J$4:$J$815,N$1)</f>
        <v>0</v>
      </c>
      <c r="O86" s="207">
        <f>SUMIFS('май 2023'!$G$4:$G$815,'май 2023'!$D$4:$D$815,$B86,'май 2023'!$J$4:$J$815,O$1)</f>
        <v>0</v>
      </c>
      <c r="P86" s="207">
        <f>SUMIFS('май 2023'!$G$4:$G$815,'май 2023'!$D$4:$D$815,$B86,'май 2023'!$J$4:$J$815,P$1)</f>
        <v>0</v>
      </c>
      <c r="Q86" s="207">
        <f>SUMIFS('май 2023'!$G$4:$G$815,'май 2023'!$D$4:$D$815,$B86,'май 2023'!$J$4:$J$815,Q$1)</f>
        <v>0</v>
      </c>
      <c r="R86" s="207">
        <f>SUMIFS('май 2023'!$G$4:$G$815,'май 2023'!$D$4:$D$815,$B86,'май 2023'!$J$4:$J$815,R$1)</f>
        <v>0</v>
      </c>
      <c r="S86" s="207">
        <f>SUMIFS('май 2023'!$G$4:$G$815,'май 2023'!$D$4:$D$815,$B86,'май 2023'!$J$4:$J$815,S$1)</f>
        <v>0</v>
      </c>
      <c r="T86" s="207">
        <f>SUMIFS('май 2023'!$G$4:$G$815,'май 2023'!$D$4:$D$815,$B86,'май 2023'!$J$4:$J$815,T$1)</f>
        <v>0</v>
      </c>
      <c r="U86" s="207">
        <f>SUMIFS('май 2023'!$G$4:$G$815,'май 2023'!$D$4:$D$815,$B86,'май 2023'!$J$4:$J$815,U$1)</f>
        <v>0</v>
      </c>
      <c r="V86" s="207">
        <f>SUMIFS('май 2023'!$G$4:$G$815,'май 2023'!$D$4:$D$815,$B86,'май 2023'!$J$4:$J$815,V$1)</f>
        <v>0</v>
      </c>
      <c r="W86" s="207">
        <f>SUMIFS('май 2023'!$G$4:$G$815,'май 2023'!$D$4:$D$815,$B86,'май 2023'!$J$4:$J$815,W$1)</f>
        <v>0</v>
      </c>
      <c r="X86" s="207">
        <f>SUMIFS('май 2023'!$G$4:$G$815,'май 2023'!$D$4:$D$815,$B86,'май 2023'!$J$4:$J$815,X$1)</f>
        <v>0</v>
      </c>
      <c r="Y86" s="207">
        <f>SUMIFS('май 2023'!$G$4:$G$815,'май 2023'!$D$4:$D$815,$B86,'май 2023'!$J$4:$J$815,Y$1)</f>
        <v>0</v>
      </c>
      <c r="Z86" s="207">
        <f>SUMIFS('май 2023'!$G$4:$G$815,'май 2023'!$D$4:$D$815,$B86,'май 2023'!$J$4:$J$815,Z$1)</f>
        <v>0</v>
      </c>
      <c r="AA86" s="207">
        <f>SUMIFS('май 2023'!$G$4:$G$815,'май 2023'!$D$4:$D$815,$B86,'май 2023'!$J$4:$J$815,AA$1)</f>
        <v>0</v>
      </c>
      <c r="AB86" s="207">
        <f>SUMIFS('май 2023'!$G$4:$G$815,'май 2023'!$D$4:$D$815,$B86,'май 2023'!$J$4:$J$815,AB$1)</f>
        <v>0</v>
      </c>
      <c r="AC86" s="207">
        <f>SUMIFS('май 2023'!$G$4:$G$815,'май 2023'!$D$4:$D$815,$B86,'май 2023'!$J$4:$J$815,AC$1)</f>
        <v>0</v>
      </c>
      <c r="AD86" s="207">
        <f>SUMIFS('май 2023'!$G$4:$G$815,'май 2023'!$D$4:$D$815,$B86,'май 2023'!$J$4:$J$815,AD$1)</f>
        <v>0</v>
      </c>
      <c r="AE86" s="207">
        <f>SUMIFS('май 2023'!$G$4:$G$815,'май 2023'!$D$4:$D$815,$B86,'май 2023'!$J$4:$J$815,AE$1)</f>
        <v>0</v>
      </c>
      <c r="AF86" s="207">
        <f>SUMIFS('май 2023'!$G$4:$G$815,'май 2023'!$D$4:$D$815,$B86,'май 2023'!$J$4:$J$815,AF$1)</f>
        <v>0</v>
      </c>
      <c r="AG86" s="207">
        <f>SUMIFS('май 2023'!$G$4:$G$815,'май 2023'!$D$4:$D$815,$B86,'май 2023'!$J$4:$J$815,AG$1)</f>
        <v>0</v>
      </c>
      <c r="AH86" s="207">
        <f>SUMIFS('май 2023'!$G$4:$G$815,'май 2023'!$D$4:$D$815,$B86,'май 2023'!$J$4:$J$815,AH$1)</f>
        <v>0</v>
      </c>
      <c r="AI86" s="170">
        <f t="shared" si="3"/>
        <v>0</v>
      </c>
    </row>
    <row r="87" spans="2:35" ht="15" customHeight="1" x14ac:dyDescent="0.25">
      <c r="B87" s="216" t="s">
        <v>2191</v>
      </c>
      <c r="C87" s="213">
        <v>200</v>
      </c>
      <c r="D87" s="207">
        <f>SUMIFS('май 2023'!$G$4:$G$815,'май 2023'!$D$4:$D$815,$B87,'май 2023'!$J$4:$J$815,D$1)</f>
        <v>0</v>
      </c>
      <c r="E87" s="207">
        <f>SUMIFS('май 2023'!$G$4:$G$815,'май 2023'!$D$4:$D$815,$B87,'май 2023'!$J$4:$J$815,E$1)</f>
        <v>0</v>
      </c>
      <c r="F87" s="207">
        <f>SUMIFS('май 2023'!$G$4:$G$815,'май 2023'!$D$4:$D$815,$B87,'май 2023'!$J$4:$J$815,F$1)</f>
        <v>0</v>
      </c>
      <c r="G87" s="207">
        <f>SUMIFS('май 2023'!$G$4:$G$815,'май 2023'!$D$4:$D$815,$B87,'май 2023'!$J$4:$J$815,G$1)</f>
        <v>0</v>
      </c>
      <c r="H87" s="207">
        <f>SUMIFS('май 2023'!$G$4:$G$815,'май 2023'!$D$4:$D$815,$B87,'май 2023'!$J$4:$J$815,H$1)</f>
        <v>0</v>
      </c>
      <c r="I87" s="207">
        <f>SUMIFS('май 2023'!$G$4:$G$815,'май 2023'!$D$4:$D$815,$B87,'май 2023'!$J$4:$J$815,I$1)</f>
        <v>0</v>
      </c>
      <c r="J87" s="207">
        <f>SUMIFS('май 2023'!$G$4:$G$815,'май 2023'!$D$4:$D$815,$B87,'май 2023'!$J$4:$J$815,J$1)</f>
        <v>0</v>
      </c>
      <c r="K87" s="207">
        <f>SUMIFS('май 2023'!$G$4:$G$815,'май 2023'!$D$4:$D$815,$B87,'май 2023'!$J$4:$J$815,K$1)</f>
        <v>0</v>
      </c>
      <c r="L87" s="207">
        <f>SUMIFS('май 2023'!$G$4:$G$815,'май 2023'!$D$4:$D$815,$B87,'май 2023'!$J$4:$J$815,L$1)</f>
        <v>0</v>
      </c>
      <c r="M87" s="207">
        <f>SUMIFS('май 2023'!$G$4:$G$815,'май 2023'!$D$4:$D$815,$B87,'май 2023'!$J$4:$J$815,M$1)</f>
        <v>0</v>
      </c>
      <c r="N87" s="207">
        <f>SUMIFS('май 2023'!$G$4:$G$815,'май 2023'!$D$4:$D$815,$B87,'май 2023'!$J$4:$J$815,N$1)</f>
        <v>0</v>
      </c>
      <c r="O87" s="207">
        <f>SUMIFS('май 2023'!$G$4:$G$815,'май 2023'!$D$4:$D$815,$B87,'май 2023'!$J$4:$J$815,O$1)</f>
        <v>0</v>
      </c>
      <c r="P87" s="207">
        <f>SUMIFS('май 2023'!$G$4:$G$815,'май 2023'!$D$4:$D$815,$B87,'май 2023'!$J$4:$J$815,P$1)</f>
        <v>0</v>
      </c>
      <c r="Q87" s="207">
        <f>SUMIFS('май 2023'!$G$4:$G$815,'май 2023'!$D$4:$D$815,$B87,'май 2023'!$J$4:$J$815,Q$1)</f>
        <v>0</v>
      </c>
      <c r="R87" s="207">
        <f>SUMIFS('май 2023'!$G$4:$G$815,'май 2023'!$D$4:$D$815,$B87,'май 2023'!$J$4:$J$815,R$1)</f>
        <v>0</v>
      </c>
      <c r="S87" s="207">
        <f>SUMIFS('май 2023'!$G$4:$G$815,'май 2023'!$D$4:$D$815,$B87,'май 2023'!$J$4:$J$815,S$1)</f>
        <v>0</v>
      </c>
      <c r="T87" s="207">
        <f>SUMIFS('май 2023'!$G$4:$G$815,'май 2023'!$D$4:$D$815,$B87,'май 2023'!$J$4:$J$815,T$1)</f>
        <v>0</v>
      </c>
      <c r="U87" s="207">
        <f>SUMIFS('май 2023'!$G$4:$G$815,'май 2023'!$D$4:$D$815,$B87,'май 2023'!$J$4:$J$815,U$1)</f>
        <v>0</v>
      </c>
      <c r="V87" s="207">
        <f>SUMIFS('май 2023'!$G$4:$G$815,'май 2023'!$D$4:$D$815,$B87,'май 2023'!$J$4:$J$815,V$1)</f>
        <v>0</v>
      </c>
      <c r="W87" s="207">
        <f>SUMIFS('май 2023'!$G$4:$G$815,'май 2023'!$D$4:$D$815,$B87,'май 2023'!$J$4:$J$815,W$1)</f>
        <v>0</v>
      </c>
      <c r="X87" s="207">
        <f>SUMIFS('май 2023'!$G$4:$G$815,'май 2023'!$D$4:$D$815,$B87,'май 2023'!$J$4:$J$815,X$1)</f>
        <v>0</v>
      </c>
      <c r="Y87" s="207">
        <f>SUMIFS('май 2023'!$G$4:$G$815,'май 2023'!$D$4:$D$815,$B87,'май 2023'!$J$4:$J$815,Y$1)</f>
        <v>0</v>
      </c>
      <c r="Z87" s="207">
        <f>SUMIFS('май 2023'!$G$4:$G$815,'май 2023'!$D$4:$D$815,$B87,'май 2023'!$J$4:$J$815,Z$1)</f>
        <v>0</v>
      </c>
      <c r="AA87" s="207">
        <f>SUMIFS('май 2023'!$G$4:$G$815,'май 2023'!$D$4:$D$815,$B87,'май 2023'!$J$4:$J$815,AA$1)</f>
        <v>0</v>
      </c>
      <c r="AB87" s="207">
        <f>SUMIFS('май 2023'!$G$4:$G$815,'май 2023'!$D$4:$D$815,$B87,'май 2023'!$J$4:$J$815,AB$1)</f>
        <v>0</v>
      </c>
      <c r="AC87" s="207">
        <f>SUMIFS('май 2023'!$G$4:$G$815,'май 2023'!$D$4:$D$815,$B87,'май 2023'!$J$4:$J$815,AC$1)</f>
        <v>0</v>
      </c>
      <c r="AD87" s="207">
        <f>SUMIFS('май 2023'!$G$4:$G$815,'май 2023'!$D$4:$D$815,$B87,'май 2023'!$J$4:$J$815,AD$1)</f>
        <v>0</v>
      </c>
      <c r="AE87" s="207">
        <f>SUMIFS('май 2023'!$G$4:$G$815,'май 2023'!$D$4:$D$815,$B87,'май 2023'!$J$4:$J$815,AE$1)</f>
        <v>0</v>
      </c>
      <c r="AF87" s="207">
        <f>SUMIFS('май 2023'!$G$4:$G$815,'май 2023'!$D$4:$D$815,$B87,'май 2023'!$J$4:$J$815,AF$1)</f>
        <v>0</v>
      </c>
      <c r="AG87" s="207">
        <f>SUMIFS('май 2023'!$G$4:$G$815,'май 2023'!$D$4:$D$815,$B87,'май 2023'!$J$4:$J$815,AG$1)</f>
        <v>0</v>
      </c>
      <c r="AH87" s="207">
        <f>SUMIFS('май 2023'!$G$4:$G$815,'май 2023'!$D$4:$D$815,$B87,'май 2023'!$J$4:$J$815,AH$1)</f>
        <v>0</v>
      </c>
      <c r="AI87" s="170">
        <f t="shared" si="3"/>
        <v>0</v>
      </c>
    </row>
    <row r="88" spans="2:35" ht="15" customHeight="1" x14ac:dyDescent="0.25">
      <c r="B88" s="216" t="s">
        <v>898</v>
      </c>
      <c r="C88" s="213">
        <v>200</v>
      </c>
      <c r="D88" s="207">
        <f>SUMIFS('май 2023'!$G$4:$G$815,'май 2023'!$D$4:$D$815,$B88,'май 2023'!$J$4:$J$815,D$1)</f>
        <v>0</v>
      </c>
      <c r="E88" s="207">
        <f>SUMIFS('май 2023'!$G$4:$G$815,'май 2023'!$D$4:$D$815,$B88,'май 2023'!$J$4:$J$815,E$1)</f>
        <v>0</v>
      </c>
      <c r="F88" s="207">
        <f>SUMIFS('май 2023'!$G$4:$G$815,'май 2023'!$D$4:$D$815,$B88,'май 2023'!$J$4:$J$815,F$1)</f>
        <v>0</v>
      </c>
      <c r="G88" s="207">
        <f>SUMIFS('май 2023'!$G$4:$G$815,'май 2023'!$D$4:$D$815,$B88,'май 2023'!$J$4:$J$815,G$1)</f>
        <v>0</v>
      </c>
      <c r="H88" s="207">
        <f>SUMIFS('май 2023'!$G$4:$G$815,'май 2023'!$D$4:$D$815,$B88,'май 2023'!$J$4:$J$815,H$1)</f>
        <v>0</v>
      </c>
      <c r="I88" s="207">
        <f>SUMIFS('май 2023'!$G$4:$G$815,'май 2023'!$D$4:$D$815,$B88,'май 2023'!$J$4:$J$815,I$1)</f>
        <v>0</v>
      </c>
      <c r="J88" s="207">
        <f>SUMIFS('май 2023'!$G$4:$G$815,'май 2023'!$D$4:$D$815,$B88,'май 2023'!$J$4:$J$815,J$1)</f>
        <v>0</v>
      </c>
      <c r="K88" s="207">
        <f>SUMIFS('май 2023'!$G$4:$G$815,'май 2023'!$D$4:$D$815,$B88,'май 2023'!$J$4:$J$815,K$1)</f>
        <v>0</v>
      </c>
      <c r="L88" s="207">
        <f>SUMIFS('май 2023'!$G$4:$G$815,'май 2023'!$D$4:$D$815,$B88,'май 2023'!$J$4:$J$815,L$1)</f>
        <v>0</v>
      </c>
      <c r="M88" s="207">
        <f>SUMIFS('май 2023'!$G$4:$G$815,'май 2023'!$D$4:$D$815,$B88,'май 2023'!$J$4:$J$815,M$1)</f>
        <v>0</v>
      </c>
      <c r="N88" s="207">
        <f>SUMIFS('май 2023'!$G$4:$G$815,'май 2023'!$D$4:$D$815,$B88,'май 2023'!$J$4:$J$815,N$1)</f>
        <v>0</v>
      </c>
      <c r="O88" s="207">
        <f>SUMIFS('май 2023'!$G$4:$G$815,'май 2023'!$D$4:$D$815,$B88,'май 2023'!$J$4:$J$815,O$1)</f>
        <v>0</v>
      </c>
      <c r="P88" s="207">
        <f>SUMIFS('май 2023'!$G$4:$G$815,'май 2023'!$D$4:$D$815,$B88,'май 2023'!$J$4:$J$815,P$1)</f>
        <v>0</v>
      </c>
      <c r="Q88" s="207">
        <f>SUMIFS('май 2023'!$G$4:$G$815,'май 2023'!$D$4:$D$815,$B88,'май 2023'!$J$4:$J$815,Q$1)</f>
        <v>0</v>
      </c>
      <c r="R88" s="207">
        <f>SUMIFS('май 2023'!$G$4:$G$815,'май 2023'!$D$4:$D$815,$B88,'май 2023'!$J$4:$J$815,R$1)</f>
        <v>0</v>
      </c>
      <c r="S88" s="207">
        <f>SUMIFS('май 2023'!$G$4:$G$815,'май 2023'!$D$4:$D$815,$B88,'май 2023'!$J$4:$J$815,S$1)</f>
        <v>0</v>
      </c>
      <c r="T88" s="207">
        <f>SUMIFS('май 2023'!$G$4:$G$815,'май 2023'!$D$4:$D$815,$B88,'май 2023'!$J$4:$J$815,T$1)</f>
        <v>0</v>
      </c>
      <c r="U88" s="207">
        <f>SUMIFS('май 2023'!$G$4:$G$815,'май 2023'!$D$4:$D$815,$B88,'май 2023'!$J$4:$J$815,U$1)</f>
        <v>0</v>
      </c>
      <c r="V88" s="207">
        <f>SUMIFS('май 2023'!$G$4:$G$815,'май 2023'!$D$4:$D$815,$B88,'май 2023'!$J$4:$J$815,V$1)</f>
        <v>0</v>
      </c>
      <c r="W88" s="207">
        <f>SUMIFS('май 2023'!$G$4:$G$815,'май 2023'!$D$4:$D$815,$B88,'май 2023'!$J$4:$J$815,W$1)</f>
        <v>0</v>
      </c>
      <c r="X88" s="207">
        <f>SUMIFS('май 2023'!$G$4:$G$815,'май 2023'!$D$4:$D$815,$B88,'май 2023'!$J$4:$J$815,X$1)</f>
        <v>0</v>
      </c>
      <c r="Y88" s="207">
        <f>SUMIFS('май 2023'!$G$4:$G$815,'май 2023'!$D$4:$D$815,$B88,'май 2023'!$J$4:$J$815,Y$1)</f>
        <v>0</v>
      </c>
      <c r="Z88" s="207">
        <f>SUMIFS('май 2023'!$G$4:$G$815,'май 2023'!$D$4:$D$815,$B88,'май 2023'!$J$4:$J$815,Z$1)</f>
        <v>0</v>
      </c>
      <c r="AA88" s="207">
        <f>SUMIFS('май 2023'!$G$4:$G$815,'май 2023'!$D$4:$D$815,$B88,'май 2023'!$J$4:$J$815,AA$1)</f>
        <v>0</v>
      </c>
      <c r="AB88" s="207">
        <f>SUMIFS('май 2023'!$G$4:$G$815,'май 2023'!$D$4:$D$815,$B88,'май 2023'!$J$4:$J$815,AB$1)</f>
        <v>0</v>
      </c>
      <c r="AC88" s="207">
        <f>SUMIFS('май 2023'!$G$4:$G$815,'май 2023'!$D$4:$D$815,$B88,'май 2023'!$J$4:$J$815,AC$1)</f>
        <v>0</v>
      </c>
      <c r="AD88" s="207">
        <f>SUMIFS('май 2023'!$G$4:$G$815,'май 2023'!$D$4:$D$815,$B88,'май 2023'!$J$4:$J$815,AD$1)</f>
        <v>0</v>
      </c>
      <c r="AE88" s="207">
        <f>SUMIFS('май 2023'!$G$4:$G$815,'май 2023'!$D$4:$D$815,$B88,'май 2023'!$J$4:$J$815,AE$1)</f>
        <v>0</v>
      </c>
      <c r="AF88" s="207">
        <f>SUMIFS('май 2023'!$G$4:$G$815,'май 2023'!$D$4:$D$815,$B88,'май 2023'!$J$4:$J$815,AF$1)</f>
        <v>0</v>
      </c>
      <c r="AG88" s="207">
        <f>SUMIFS('май 2023'!$G$4:$G$815,'май 2023'!$D$4:$D$815,$B88,'май 2023'!$J$4:$J$815,AG$1)</f>
        <v>0</v>
      </c>
      <c r="AH88" s="207">
        <f>SUMIFS('май 2023'!$G$4:$G$815,'май 2023'!$D$4:$D$815,$B88,'май 2023'!$J$4:$J$815,AH$1)</f>
        <v>0</v>
      </c>
      <c r="AI88" s="170">
        <f t="shared" si="3"/>
        <v>0</v>
      </c>
    </row>
    <row r="89" spans="2:35" ht="15" customHeight="1" x14ac:dyDescent="0.25">
      <c r="B89" s="216" t="s">
        <v>1725</v>
      </c>
      <c r="C89" s="213">
        <v>180</v>
      </c>
      <c r="D89" s="207">
        <f>SUMIFS('май 2023'!$G$4:$G$815,'май 2023'!$D$4:$D$815,$B89,'май 2023'!$J$4:$J$815,D$1)</f>
        <v>0</v>
      </c>
      <c r="E89" s="207">
        <f>SUMIFS('май 2023'!$G$4:$G$815,'май 2023'!$D$4:$D$815,$B89,'май 2023'!$J$4:$J$815,E$1)</f>
        <v>0</v>
      </c>
      <c r="F89" s="207">
        <f>SUMIFS('май 2023'!$G$4:$G$815,'май 2023'!$D$4:$D$815,$B89,'май 2023'!$J$4:$J$815,F$1)</f>
        <v>0</v>
      </c>
      <c r="G89" s="207">
        <f>SUMIFS('май 2023'!$G$4:$G$815,'май 2023'!$D$4:$D$815,$B89,'май 2023'!$J$4:$J$815,G$1)</f>
        <v>0</v>
      </c>
      <c r="H89" s="207">
        <f>SUMIFS('май 2023'!$G$4:$G$815,'май 2023'!$D$4:$D$815,$B89,'май 2023'!$J$4:$J$815,H$1)</f>
        <v>0</v>
      </c>
      <c r="I89" s="207">
        <f>SUMIFS('май 2023'!$G$4:$G$815,'май 2023'!$D$4:$D$815,$B89,'май 2023'!$J$4:$J$815,I$1)</f>
        <v>0</v>
      </c>
      <c r="J89" s="207">
        <f>SUMIFS('май 2023'!$G$4:$G$815,'май 2023'!$D$4:$D$815,$B89,'май 2023'!$J$4:$J$815,J$1)</f>
        <v>0</v>
      </c>
      <c r="K89" s="207">
        <f>SUMIFS('май 2023'!$G$4:$G$815,'май 2023'!$D$4:$D$815,$B89,'май 2023'!$J$4:$J$815,K$1)</f>
        <v>0</v>
      </c>
      <c r="L89" s="207">
        <f>SUMIFS('май 2023'!$G$4:$G$815,'май 2023'!$D$4:$D$815,$B89,'май 2023'!$J$4:$J$815,L$1)</f>
        <v>0</v>
      </c>
      <c r="M89" s="207">
        <f>SUMIFS('май 2023'!$G$4:$G$815,'май 2023'!$D$4:$D$815,$B89,'май 2023'!$J$4:$J$815,M$1)</f>
        <v>0</v>
      </c>
      <c r="N89" s="207">
        <f>SUMIFS('май 2023'!$G$4:$G$815,'май 2023'!$D$4:$D$815,$B89,'май 2023'!$J$4:$J$815,N$1)</f>
        <v>0</v>
      </c>
      <c r="O89" s="207">
        <f>SUMIFS('май 2023'!$G$4:$G$815,'май 2023'!$D$4:$D$815,$B89,'май 2023'!$J$4:$J$815,O$1)</f>
        <v>0</v>
      </c>
      <c r="P89" s="207">
        <f>SUMIFS('май 2023'!$G$4:$G$815,'май 2023'!$D$4:$D$815,$B89,'май 2023'!$J$4:$J$815,P$1)</f>
        <v>0</v>
      </c>
      <c r="Q89" s="207">
        <f>SUMIFS('май 2023'!$G$4:$G$815,'май 2023'!$D$4:$D$815,$B89,'май 2023'!$J$4:$J$815,Q$1)</f>
        <v>0</v>
      </c>
      <c r="R89" s="207">
        <f>SUMIFS('май 2023'!$G$4:$G$815,'май 2023'!$D$4:$D$815,$B89,'май 2023'!$J$4:$J$815,R$1)</f>
        <v>0</v>
      </c>
      <c r="S89" s="207">
        <f>SUMIFS('май 2023'!$G$4:$G$815,'май 2023'!$D$4:$D$815,$B89,'май 2023'!$J$4:$J$815,S$1)</f>
        <v>0</v>
      </c>
      <c r="T89" s="207">
        <f>SUMIFS('май 2023'!$G$4:$G$815,'май 2023'!$D$4:$D$815,$B89,'май 2023'!$J$4:$J$815,T$1)</f>
        <v>0</v>
      </c>
      <c r="U89" s="207">
        <f>SUMIFS('май 2023'!$G$4:$G$815,'май 2023'!$D$4:$D$815,$B89,'май 2023'!$J$4:$J$815,U$1)</f>
        <v>0</v>
      </c>
      <c r="V89" s="207">
        <f>SUMIFS('май 2023'!$G$4:$G$815,'май 2023'!$D$4:$D$815,$B89,'май 2023'!$J$4:$J$815,V$1)</f>
        <v>0</v>
      </c>
      <c r="W89" s="207">
        <f>SUMIFS('май 2023'!$G$4:$G$815,'май 2023'!$D$4:$D$815,$B89,'май 2023'!$J$4:$J$815,W$1)</f>
        <v>0</v>
      </c>
      <c r="X89" s="207">
        <f>SUMIFS('май 2023'!$G$4:$G$815,'май 2023'!$D$4:$D$815,$B89,'май 2023'!$J$4:$J$815,X$1)</f>
        <v>0</v>
      </c>
      <c r="Y89" s="207">
        <f>SUMIFS('май 2023'!$G$4:$G$815,'май 2023'!$D$4:$D$815,$B89,'май 2023'!$J$4:$J$815,Y$1)</f>
        <v>0</v>
      </c>
      <c r="Z89" s="207">
        <f>SUMIFS('май 2023'!$G$4:$G$815,'май 2023'!$D$4:$D$815,$B89,'май 2023'!$J$4:$J$815,Z$1)</f>
        <v>0</v>
      </c>
      <c r="AA89" s="207">
        <f>SUMIFS('май 2023'!$G$4:$G$815,'май 2023'!$D$4:$D$815,$B89,'май 2023'!$J$4:$J$815,AA$1)</f>
        <v>0</v>
      </c>
      <c r="AB89" s="207">
        <f>SUMIFS('май 2023'!$G$4:$G$815,'май 2023'!$D$4:$D$815,$B89,'май 2023'!$J$4:$J$815,AB$1)</f>
        <v>0</v>
      </c>
      <c r="AC89" s="207">
        <f>SUMIFS('май 2023'!$G$4:$G$815,'май 2023'!$D$4:$D$815,$B89,'май 2023'!$J$4:$J$815,AC$1)</f>
        <v>0</v>
      </c>
      <c r="AD89" s="207">
        <f>SUMIFS('май 2023'!$G$4:$G$815,'май 2023'!$D$4:$D$815,$B89,'май 2023'!$J$4:$J$815,AD$1)</f>
        <v>0</v>
      </c>
      <c r="AE89" s="207">
        <f>SUMIFS('май 2023'!$G$4:$G$815,'май 2023'!$D$4:$D$815,$B89,'май 2023'!$J$4:$J$815,AE$1)</f>
        <v>0</v>
      </c>
      <c r="AF89" s="207">
        <f>SUMIFS('май 2023'!$G$4:$G$815,'май 2023'!$D$4:$D$815,$B89,'май 2023'!$J$4:$J$815,AF$1)</f>
        <v>0</v>
      </c>
      <c r="AG89" s="207">
        <f>SUMIFS('май 2023'!$G$4:$G$815,'май 2023'!$D$4:$D$815,$B89,'май 2023'!$J$4:$J$815,AG$1)</f>
        <v>0</v>
      </c>
      <c r="AH89" s="207">
        <f>SUMIFS('май 2023'!$G$4:$G$815,'май 2023'!$D$4:$D$815,$B89,'май 2023'!$J$4:$J$815,AH$1)</f>
        <v>0</v>
      </c>
      <c r="AI89" s="170">
        <f t="shared" si="3"/>
        <v>0</v>
      </c>
    </row>
    <row r="90" spans="2:35" ht="15" customHeight="1" x14ac:dyDescent="0.25">
      <c r="B90" s="212" t="s">
        <v>864</v>
      </c>
      <c r="C90" s="211">
        <v>18</v>
      </c>
      <c r="D90" s="207">
        <f>SUMIFS('май 2023'!$G$4:$G$815,'май 2023'!$D$4:$D$815,$B90,'май 2023'!$J$4:$J$815,D$1)</f>
        <v>0</v>
      </c>
      <c r="E90" s="207">
        <f>SUMIFS('май 2023'!$G$4:$G$815,'май 2023'!$D$4:$D$815,$B90,'май 2023'!$J$4:$J$815,E$1)</f>
        <v>0</v>
      </c>
      <c r="F90" s="207">
        <f>SUMIFS('май 2023'!$G$4:$G$815,'май 2023'!$D$4:$D$815,$B90,'май 2023'!$J$4:$J$815,F$1)</f>
        <v>0</v>
      </c>
      <c r="G90" s="207">
        <f>SUMIFS('май 2023'!$G$4:$G$815,'май 2023'!$D$4:$D$815,$B90,'май 2023'!$J$4:$J$815,G$1)</f>
        <v>0</v>
      </c>
      <c r="H90" s="207">
        <f>SUMIFS('май 2023'!$G$4:$G$815,'май 2023'!$D$4:$D$815,$B90,'май 2023'!$J$4:$J$815,H$1)</f>
        <v>0</v>
      </c>
      <c r="I90" s="207">
        <f>SUMIFS('май 2023'!$G$4:$G$815,'май 2023'!$D$4:$D$815,$B90,'май 2023'!$J$4:$J$815,I$1)</f>
        <v>0</v>
      </c>
      <c r="J90" s="207">
        <f>SUMIFS('май 2023'!$G$4:$G$815,'май 2023'!$D$4:$D$815,$B90,'май 2023'!$J$4:$J$815,J$1)</f>
        <v>0</v>
      </c>
      <c r="K90" s="207">
        <f>SUMIFS('май 2023'!$G$4:$G$815,'май 2023'!$D$4:$D$815,$B90,'май 2023'!$J$4:$J$815,K$1)</f>
        <v>0</v>
      </c>
      <c r="L90" s="207">
        <f>SUMIFS('май 2023'!$G$4:$G$815,'май 2023'!$D$4:$D$815,$B90,'май 2023'!$J$4:$J$815,L$1)</f>
        <v>0</v>
      </c>
      <c r="M90" s="207">
        <f>SUMIFS('май 2023'!$G$4:$G$815,'май 2023'!$D$4:$D$815,$B90,'май 2023'!$J$4:$J$815,M$1)</f>
        <v>0</v>
      </c>
      <c r="N90" s="207">
        <f>SUMIFS('май 2023'!$G$4:$G$815,'май 2023'!$D$4:$D$815,$B90,'май 2023'!$J$4:$J$815,N$1)</f>
        <v>0</v>
      </c>
      <c r="O90" s="207">
        <f>SUMIFS('май 2023'!$G$4:$G$815,'май 2023'!$D$4:$D$815,$B90,'май 2023'!$J$4:$J$815,O$1)</f>
        <v>0</v>
      </c>
      <c r="P90" s="207">
        <f>SUMIFS('май 2023'!$G$4:$G$815,'май 2023'!$D$4:$D$815,$B90,'май 2023'!$J$4:$J$815,P$1)</f>
        <v>0</v>
      </c>
      <c r="Q90" s="207">
        <f>SUMIFS('май 2023'!$G$4:$G$815,'май 2023'!$D$4:$D$815,$B90,'май 2023'!$J$4:$J$815,Q$1)</f>
        <v>0</v>
      </c>
      <c r="R90" s="207">
        <f>SUMIFS('май 2023'!$G$4:$G$815,'май 2023'!$D$4:$D$815,$B90,'май 2023'!$J$4:$J$815,R$1)</f>
        <v>0</v>
      </c>
      <c r="S90" s="207">
        <f>SUMIFS('май 2023'!$G$4:$G$815,'май 2023'!$D$4:$D$815,$B90,'май 2023'!$J$4:$J$815,S$1)</f>
        <v>0</v>
      </c>
      <c r="T90" s="207">
        <f>SUMIFS('май 2023'!$G$4:$G$815,'май 2023'!$D$4:$D$815,$B90,'май 2023'!$J$4:$J$815,T$1)</f>
        <v>0</v>
      </c>
      <c r="U90" s="207">
        <f>SUMIFS('май 2023'!$G$4:$G$815,'май 2023'!$D$4:$D$815,$B90,'май 2023'!$J$4:$J$815,U$1)</f>
        <v>0</v>
      </c>
      <c r="V90" s="207">
        <f>SUMIFS('май 2023'!$G$4:$G$815,'май 2023'!$D$4:$D$815,$B90,'май 2023'!$J$4:$J$815,V$1)</f>
        <v>0</v>
      </c>
      <c r="W90" s="207">
        <f>SUMIFS('май 2023'!$G$4:$G$815,'май 2023'!$D$4:$D$815,$B90,'май 2023'!$J$4:$J$815,W$1)</f>
        <v>0</v>
      </c>
      <c r="X90" s="207">
        <f>SUMIFS('май 2023'!$G$4:$G$815,'май 2023'!$D$4:$D$815,$B90,'май 2023'!$J$4:$J$815,X$1)</f>
        <v>0</v>
      </c>
      <c r="Y90" s="207">
        <f>SUMIFS('май 2023'!$G$4:$G$815,'май 2023'!$D$4:$D$815,$B90,'май 2023'!$J$4:$J$815,Y$1)</f>
        <v>0</v>
      </c>
      <c r="Z90" s="207">
        <f>SUMIFS('май 2023'!$G$4:$G$815,'май 2023'!$D$4:$D$815,$B90,'май 2023'!$J$4:$J$815,Z$1)</f>
        <v>0</v>
      </c>
      <c r="AA90" s="207">
        <f>SUMIFS('май 2023'!$G$4:$G$815,'май 2023'!$D$4:$D$815,$B90,'май 2023'!$J$4:$J$815,AA$1)</f>
        <v>0</v>
      </c>
      <c r="AB90" s="207">
        <f>SUMIFS('май 2023'!$G$4:$G$815,'май 2023'!$D$4:$D$815,$B90,'май 2023'!$J$4:$J$815,AB$1)</f>
        <v>0</v>
      </c>
      <c r="AC90" s="207">
        <f>SUMIFS('май 2023'!$G$4:$G$815,'май 2023'!$D$4:$D$815,$B90,'май 2023'!$J$4:$J$815,AC$1)</f>
        <v>0</v>
      </c>
      <c r="AD90" s="207">
        <f>SUMIFS('май 2023'!$G$4:$G$815,'май 2023'!$D$4:$D$815,$B90,'май 2023'!$J$4:$J$815,AD$1)</f>
        <v>0</v>
      </c>
      <c r="AE90" s="207">
        <f>SUMIFS('май 2023'!$G$4:$G$815,'май 2023'!$D$4:$D$815,$B90,'май 2023'!$J$4:$J$815,AE$1)</f>
        <v>0</v>
      </c>
      <c r="AF90" s="207">
        <f>SUMIFS('май 2023'!$G$4:$G$815,'май 2023'!$D$4:$D$815,$B90,'май 2023'!$J$4:$J$815,AF$1)</f>
        <v>556</v>
      </c>
      <c r="AG90" s="207">
        <f>SUMIFS('май 2023'!$G$4:$G$815,'май 2023'!$D$4:$D$815,$B90,'май 2023'!$J$4:$J$815,AG$1)</f>
        <v>0</v>
      </c>
      <c r="AH90" s="207">
        <f>SUMIFS('май 2023'!$G$4:$G$815,'май 2023'!$D$4:$D$815,$B90,'май 2023'!$J$4:$J$815,AH$1)</f>
        <v>0</v>
      </c>
      <c r="AI90" s="170">
        <f t="shared" si="3"/>
        <v>556</v>
      </c>
    </row>
    <row r="91" spans="2:35" ht="15" customHeight="1" x14ac:dyDescent="0.25">
      <c r="B91" s="216" t="s">
        <v>610</v>
      </c>
      <c r="C91" s="213">
        <v>180</v>
      </c>
      <c r="D91" s="207">
        <f>SUMIFS('май 2023'!$G$4:$G$815,'май 2023'!$D$4:$D$815,$B91,'май 2023'!$J$4:$J$815,D$1)</f>
        <v>0</v>
      </c>
      <c r="E91" s="207">
        <f>SUMIFS('май 2023'!$G$4:$G$815,'май 2023'!$D$4:$D$815,$B91,'май 2023'!$J$4:$J$815,E$1)</f>
        <v>0</v>
      </c>
      <c r="F91" s="207">
        <f>SUMIFS('май 2023'!$G$4:$G$815,'май 2023'!$D$4:$D$815,$B91,'май 2023'!$J$4:$J$815,F$1)</f>
        <v>0</v>
      </c>
      <c r="G91" s="207">
        <f>SUMIFS('май 2023'!$G$4:$G$815,'май 2023'!$D$4:$D$815,$B91,'май 2023'!$J$4:$J$815,G$1)</f>
        <v>0</v>
      </c>
      <c r="H91" s="207">
        <f>SUMIFS('май 2023'!$G$4:$G$815,'май 2023'!$D$4:$D$815,$B91,'май 2023'!$J$4:$J$815,H$1)</f>
        <v>0</v>
      </c>
      <c r="I91" s="207">
        <f>SUMIFS('май 2023'!$G$4:$G$815,'май 2023'!$D$4:$D$815,$B91,'май 2023'!$J$4:$J$815,I$1)</f>
        <v>0</v>
      </c>
      <c r="J91" s="207">
        <f>SUMIFS('май 2023'!$G$4:$G$815,'май 2023'!$D$4:$D$815,$B91,'май 2023'!$J$4:$J$815,J$1)</f>
        <v>0</v>
      </c>
      <c r="K91" s="207">
        <f>SUMIFS('май 2023'!$G$4:$G$815,'май 2023'!$D$4:$D$815,$B91,'май 2023'!$J$4:$J$815,K$1)</f>
        <v>0</v>
      </c>
      <c r="L91" s="207">
        <f>SUMIFS('май 2023'!$G$4:$G$815,'май 2023'!$D$4:$D$815,$B91,'май 2023'!$J$4:$J$815,L$1)</f>
        <v>0</v>
      </c>
      <c r="M91" s="207">
        <f>SUMIFS('май 2023'!$G$4:$G$815,'май 2023'!$D$4:$D$815,$B91,'май 2023'!$J$4:$J$815,M$1)</f>
        <v>0</v>
      </c>
      <c r="N91" s="207">
        <f>SUMIFS('май 2023'!$G$4:$G$815,'май 2023'!$D$4:$D$815,$B91,'май 2023'!$J$4:$J$815,N$1)</f>
        <v>0</v>
      </c>
      <c r="O91" s="207">
        <f>SUMIFS('май 2023'!$G$4:$G$815,'май 2023'!$D$4:$D$815,$B91,'май 2023'!$J$4:$J$815,O$1)</f>
        <v>0</v>
      </c>
      <c r="P91" s="207">
        <f>SUMIFS('май 2023'!$G$4:$G$815,'май 2023'!$D$4:$D$815,$B91,'май 2023'!$J$4:$J$815,P$1)</f>
        <v>0</v>
      </c>
      <c r="Q91" s="207">
        <f>SUMIFS('май 2023'!$G$4:$G$815,'май 2023'!$D$4:$D$815,$B91,'май 2023'!$J$4:$J$815,Q$1)</f>
        <v>0</v>
      </c>
      <c r="R91" s="207">
        <f>SUMIFS('май 2023'!$G$4:$G$815,'май 2023'!$D$4:$D$815,$B91,'май 2023'!$J$4:$J$815,R$1)</f>
        <v>0</v>
      </c>
      <c r="S91" s="207">
        <f>SUMIFS('май 2023'!$G$4:$G$815,'май 2023'!$D$4:$D$815,$B91,'май 2023'!$J$4:$J$815,S$1)</f>
        <v>0</v>
      </c>
      <c r="T91" s="207">
        <f>SUMIFS('май 2023'!$G$4:$G$815,'май 2023'!$D$4:$D$815,$B91,'май 2023'!$J$4:$J$815,T$1)</f>
        <v>3</v>
      </c>
      <c r="U91" s="207">
        <f>SUMIFS('май 2023'!$G$4:$G$815,'май 2023'!$D$4:$D$815,$B91,'май 2023'!$J$4:$J$815,U$1)</f>
        <v>0</v>
      </c>
      <c r="V91" s="207">
        <f>SUMIFS('май 2023'!$G$4:$G$815,'май 2023'!$D$4:$D$815,$B91,'май 2023'!$J$4:$J$815,V$1)</f>
        <v>0</v>
      </c>
      <c r="W91" s="207">
        <f>SUMIFS('май 2023'!$G$4:$G$815,'май 2023'!$D$4:$D$815,$B91,'май 2023'!$J$4:$J$815,W$1)</f>
        <v>0</v>
      </c>
      <c r="X91" s="207">
        <f>SUMIFS('май 2023'!$G$4:$G$815,'май 2023'!$D$4:$D$815,$B91,'май 2023'!$J$4:$J$815,X$1)</f>
        <v>0</v>
      </c>
      <c r="Y91" s="207">
        <f>SUMIFS('май 2023'!$G$4:$G$815,'май 2023'!$D$4:$D$815,$B91,'май 2023'!$J$4:$J$815,Y$1)</f>
        <v>0</v>
      </c>
      <c r="Z91" s="207">
        <f>SUMIFS('май 2023'!$G$4:$G$815,'май 2023'!$D$4:$D$815,$B91,'май 2023'!$J$4:$J$815,Z$1)</f>
        <v>0</v>
      </c>
      <c r="AA91" s="207">
        <f>SUMIFS('май 2023'!$G$4:$G$815,'май 2023'!$D$4:$D$815,$B91,'май 2023'!$J$4:$J$815,AA$1)</f>
        <v>0</v>
      </c>
      <c r="AB91" s="207">
        <f>SUMIFS('май 2023'!$G$4:$G$815,'май 2023'!$D$4:$D$815,$B91,'май 2023'!$J$4:$J$815,AB$1)</f>
        <v>0</v>
      </c>
      <c r="AC91" s="207">
        <f>SUMIFS('май 2023'!$G$4:$G$815,'май 2023'!$D$4:$D$815,$B91,'май 2023'!$J$4:$J$815,AC$1)</f>
        <v>0</v>
      </c>
      <c r="AD91" s="207">
        <f>SUMIFS('май 2023'!$G$4:$G$815,'май 2023'!$D$4:$D$815,$B91,'май 2023'!$J$4:$J$815,AD$1)</f>
        <v>0</v>
      </c>
      <c r="AE91" s="207">
        <f>SUMIFS('май 2023'!$G$4:$G$815,'май 2023'!$D$4:$D$815,$B91,'май 2023'!$J$4:$J$815,AE$1)</f>
        <v>0</v>
      </c>
      <c r="AF91" s="207">
        <f>SUMIFS('май 2023'!$G$4:$G$815,'май 2023'!$D$4:$D$815,$B91,'май 2023'!$J$4:$J$815,AF$1)</f>
        <v>0</v>
      </c>
      <c r="AG91" s="207">
        <f>SUMIFS('май 2023'!$G$4:$G$815,'май 2023'!$D$4:$D$815,$B91,'май 2023'!$J$4:$J$815,AG$1)</f>
        <v>0</v>
      </c>
      <c r="AH91" s="207">
        <f>SUMIFS('май 2023'!$G$4:$G$815,'май 2023'!$D$4:$D$815,$B91,'май 2023'!$J$4:$J$815,AH$1)</f>
        <v>0</v>
      </c>
      <c r="AI91" s="170">
        <f t="shared" ref="AI91:AI92" si="4">SUM(D91:AH91)</f>
        <v>3</v>
      </c>
    </row>
    <row r="92" spans="2:35" ht="15" customHeight="1" x14ac:dyDescent="0.25">
      <c r="B92" s="216" t="s">
        <v>2192</v>
      </c>
      <c r="C92" s="213">
        <v>200</v>
      </c>
      <c r="D92" s="207">
        <f>SUMIFS('май 2023'!$G$4:$G$815,'май 2023'!$D$4:$D$815,$B92,'май 2023'!$J$4:$J$815,D$1)</f>
        <v>0</v>
      </c>
      <c r="E92" s="207">
        <f>SUMIFS('май 2023'!$G$4:$G$815,'май 2023'!$D$4:$D$815,$B92,'май 2023'!$J$4:$J$815,E$1)</f>
        <v>0</v>
      </c>
      <c r="F92" s="207">
        <f>SUMIFS('май 2023'!$G$4:$G$815,'май 2023'!$D$4:$D$815,$B92,'май 2023'!$J$4:$J$815,F$1)</f>
        <v>0</v>
      </c>
      <c r="G92" s="207">
        <f>SUMIFS('май 2023'!$G$4:$G$815,'май 2023'!$D$4:$D$815,$B92,'май 2023'!$J$4:$J$815,G$1)</f>
        <v>0</v>
      </c>
      <c r="H92" s="207">
        <f>SUMIFS('май 2023'!$G$4:$G$815,'май 2023'!$D$4:$D$815,$B92,'май 2023'!$J$4:$J$815,H$1)</f>
        <v>0</v>
      </c>
      <c r="I92" s="207">
        <f>SUMIFS('май 2023'!$G$4:$G$815,'май 2023'!$D$4:$D$815,$B92,'май 2023'!$J$4:$J$815,I$1)</f>
        <v>0</v>
      </c>
      <c r="J92" s="207">
        <f>SUMIFS('май 2023'!$G$4:$G$815,'май 2023'!$D$4:$D$815,$B92,'май 2023'!$J$4:$J$815,J$1)</f>
        <v>0</v>
      </c>
      <c r="K92" s="207">
        <f>SUMIFS('май 2023'!$G$4:$G$815,'май 2023'!$D$4:$D$815,$B92,'май 2023'!$J$4:$J$815,K$1)</f>
        <v>0</v>
      </c>
      <c r="L92" s="207">
        <f>SUMIFS('май 2023'!$G$4:$G$815,'май 2023'!$D$4:$D$815,$B92,'май 2023'!$J$4:$J$815,L$1)</f>
        <v>0</v>
      </c>
      <c r="M92" s="207">
        <f>SUMIFS('май 2023'!$G$4:$G$815,'май 2023'!$D$4:$D$815,$B92,'май 2023'!$J$4:$J$815,M$1)</f>
        <v>0</v>
      </c>
      <c r="N92" s="207">
        <f>SUMIFS('май 2023'!$G$4:$G$815,'май 2023'!$D$4:$D$815,$B92,'май 2023'!$J$4:$J$815,N$1)</f>
        <v>0</v>
      </c>
      <c r="O92" s="207">
        <f>SUMIFS('май 2023'!$G$4:$G$815,'май 2023'!$D$4:$D$815,$B92,'май 2023'!$J$4:$J$815,O$1)</f>
        <v>0</v>
      </c>
      <c r="P92" s="207">
        <f>SUMIFS('май 2023'!$G$4:$G$815,'май 2023'!$D$4:$D$815,$B92,'май 2023'!$J$4:$J$815,P$1)</f>
        <v>0</v>
      </c>
      <c r="Q92" s="207">
        <f>SUMIFS('май 2023'!$G$4:$G$815,'май 2023'!$D$4:$D$815,$B92,'май 2023'!$J$4:$J$815,Q$1)</f>
        <v>0</v>
      </c>
      <c r="R92" s="207">
        <f>SUMIFS('май 2023'!$G$4:$G$815,'май 2023'!$D$4:$D$815,$B92,'май 2023'!$J$4:$J$815,R$1)</f>
        <v>0</v>
      </c>
      <c r="S92" s="207">
        <f>SUMIFS('май 2023'!$G$4:$G$815,'май 2023'!$D$4:$D$815,$B92,'май 2023'!$J$4:$J$815,S$1)</f>
        <v>0</v>
      </c>
      <c r="T92" s="207">
        <f>SUMIFS('май 2023'!$G$4:$G$815,'май 2023'!$D$4:$D$815,$B92,'май 2023'!$J$4:$J$815,T$1)</f>
        <v>0</v>
      </c>
      <c r="U92" s="207">
        <f>SUMIFS('май 2023'!$G$4:$G$815,'май 2023'!$D$4:$D$815,$B92,'май 2023'!$J$4:$J$815,U$1)</f>
        <v>0</v>
      </c>
      <c r="V92" s="207">
        <f>SUMIFS('май 2023'!$G$4:$G$815,'май 2023'!$D$4:$D$815,$B92,'май 2023'!$J$4:$J$815,V$1)</f>
        <v>0</v>
      </c>
      <c r="W92" s="207">
        <f>SUMIFS('май 2023'!$G$4:$G$815,'май 2023'!$D$4:$D$815,$B92,'май 2023'!$J$4:$J$815,W$1)</f>
        <v>0</v>
      </c>
      <c r="X92" s="207">
        <f>SUMIFS('май 2023'!$G$4:$G$815,'май 2023'!$D$4:$D$815,$B92,'май 2023'!$J$4:$J$815,X$1)</f>
        <v>0</v>
      </c>
      <c r="Y92" s="207">
        <f>SUMIFS('май 2023'!$G$4:$G$815,'май 2023'!$D$4:$D$815,$B92,'май 2023'!$J$4:$J$815,Y$1)</f>
        <v>0</v>
      </c>
      <c r="Z92" s="207">
        <f>SUMIFS('май 2023'!$G$4:$G$815,'май 2023'!$D$4:$D$815,$B92,'май 2023'!$J$4:$J$815,Z$1)</f>
        <v>0</v>
      </c>
      <c r="AA92" s="207">
        <f>SUMIFS('май 2023'!$G$4:$G$815,'май 2023'!$D$4:$D$815,$B92,'май 2023'!$J$4:$J$815,AA$1)</f>
        <v>0</v>
      </c>
      <c r="AB92" s="207">
        <f>SUMIFS('май 2023'!$G$4:$G$815,'май 2023'!$D$4:$D$815,$B92,'май 2023'!$J$4:$J$815,AB$1)</f>
        <v>0</v>
      </c>
      <c r="AC92" s="207">
        <f>SUMIFS('май 2023'!$G$4:$G$815,'май 2023'!$D$4:$D$815,$B92,'май 2023'!$J$4:$J$815,AC$1)</f>
        <v>0</v>
      </c>
      <c r="AD92" s="207">
        <f>SUMIFS('май 2023'!$G$4:$G$815,'май 2023'!$D$4:$D$815,$B92,'май 2023'!$J$4:$J$815,AD$1)</f>
        <v>0</v>
      </c>
      <c r="AE92" s="207">
        <f>SUMIFS('май 2023'!$G$4:$G$815,'май 2023'!$D$4:$D$815,$B92,'май 2023'!$J$4:$J$815,AE$1)</f>
        <v>0</v>
      </c>
      <c r="AF92" s="207">
        <f>SUMIFS('май 2023'!$G$4:$G$815,'май 2023'!$D$4:$D$815,$B92,'май 2023'!$J$4:$J$815,AF$1)</f>
        <v>0</v>
      </c>
      <c r="AG92" s="207">
        <f>SUMIFS('май 2023'!$G$4:$G$815,'май 2023'!$D$4:$D$815,$B92,'май 2023'!$J$4:$J$815,AG$1)</f>
        <v>0</v>
      </c>
      <c r="AH92" s="207">
        <f>SUMIFS('май 2023'!$G$4:$G$815,'май 2023'!$D$4:$D$815,$B92,'май 2023'!$J$4:$J$815,AH$1)</f>
        <v>0</v>
      </c>
      <c r="AI92" s="170">
        <f t="shared" si="4"/>
        <v>0</v>
      </c>
    </row>
    <row r="93" spans="2:35" ht="15" customHeight="1" x14ac:dyDescent="0.25">
      <c r="B93" s="216" t="s">
        <v>308</v>
      </c>
      <c r="C93" s="213">
        <v>180</v>
      </c>
      <c r="D93" s="207">
        <f>SUMIFS('май 2023'!$G$4:$G$815,'май 2023'!$D$4:$D$815,$B93,'май 2023'!$J$4:$J$815,D$1)</f>
        <v>0</v>
      </c>
      <c r="E93" s="207">
        <f>SUMIFS('май 2023'!$G$4:$G$815,'май 2023'!$D$4:$D$815,$B93,'май 2023'!$J$4:$J$815,E$1)</f>
        <v>0</v>
      </c>
      <c r="F93" s="207">
        <f>SUMIFS('май 2023'!$G$4:$G$815,'май 2023'!$D$4:$D$815,$B93,'май 2023'!$J$4:$J$815,F$1)</f>
        <v>0</v>
      </c>
      <c r="G93" s="207">
        <f>SUMIFS('май 2023'!$G$4:$G$815,'май 2023'!$D$4:$D$815,$B93,'май 2023'!$J$4:$J$815,G$1)</f>
        <v>0</v>
      </c>
      <c r="H93" s="207">
        <f>SUMIFS('май 2023'!$G$4:$G$815,'май 2023'!$D$4:$D$815,$B93,'май 2023'!$J$4:$J$815,H$1)</f>
        <v>88</v>
      </c>
      <c r="I93" s="207">
        <f>SUMIFS('май 2023'!$G$4:$G$815,'май 2023'!$D$4:$D$815,$B93,'май 2023'!$J$4:$J$815,I$1)</f>
        <v>0</v>
      </c>
      <c r="J93" s="207">
        <f>SUMIFS('май 2023'!$G$4:$G$815,'май 2023'!$D$4:$D$815,$B93,'май 2023'!$J$4:$J$815,J$1)</f>
        <v>0</v>
      </c>
      <c r="K93" s="207">
        <f>SUMIFS('май 2023'!$G$4:$G$815,'май 2023'!$D$4:$D$815,$B93,'май 2023'!$J$4:$J$815,K$1)</f>
        <v>0</v>
      </c>
      <c r="L93" s="207">
        <f>SUMIFS('май 2023'!$G$4:$G$815,'май 2023'!$D$4:$D$815,$B93,'май 2023'!$J$4:$J$815,L$1)</f>
        <v>0</v>
      </c>
      <c r="M93" s="207">
        <f>SUMIFS('май 2023'!$G$4:$G$815,'май 2023'!$D$4:$D$815,$B93,'май 2023'!$J$4:$J$815,M$1)</f>
        <v>0</v>
      </c>
      <c r="N93" s="207">
        <f>SUMIFS('май 2023'!$G$4:$G$815,'май 2023'!$D$4:$D$815,$B93,'май 2023'!$J$4:$J$815,N$1)</f>
        <v>88</v>
      </c>
      <c r="O93" s="207">
        <f>SUMIFS('май 2023'!$G$4:$G$815,'май 2023'!$D$4:$D$815,$B93,'май 2023'!$J$4:$J$815,O$1)</f>
        <v>0</v>
      </c>
      <c r="P93" s="207">
        <f>SUMIFS('май 2023'!$G$4:$G$815,'май 2023'!$D$4:$D$815,$B93,'май 2023'!$J$4:$J$815,P$1)</f>
        <v>0</v>
      </c>
      <c r="Q93" s="207">
        <f>SUMIFS('май 2023'!$G$4:$G$815,'май 2023'!$D$4:$D$815,$B93,'май 2023'!$J$4:$J$815,Q$1)</f>
        <v>0</v>
      </c>
      <c r="R93" s="207">
        <f>SUMIFS('май 2023'!$G$4:$G$815,'май 2023'!$D$4:$D$815,$B93,'май 2023'!$J$4:$J$815,R$1)</f>
        <v>0</v>
      </c>
      <c r="S93" s="207">
        <f>SUMIFS('май 2023'!$G$4:$G$815,'май 2023'!$D$4:$D$815,$B93,'май 2023'!$J$4:$J$815,S$1)</f>
        <v>0</v>
      </c>
      <c r="T93" s="207">
        <f>SUMIFS('май 2023'!$G$4:$G$815,'май 2023'!$D$4:$D$815,$B93,'май 2023'!$J$4:$J$815,T$1)</f>
        <v>0</v>
      </c>
      <c r="U93" s="207">
        <f>SUMIFS('май 2023'!$G$4:$G$815,'май 2023'!$D$4:$D$815,$B93,'май 2023'!$J$4:$J$815,U$1)</f>
        <v>0</v>
      </c>
      <c r="V93" s="207">
        <f>SUMIFS('май 2023'!$G$4:$G$815,'май 2023'!$D$4:$D$815,$B93,'май 2023'!$J$4:$J$815,V$1)</f>
        <v>0</v>
      </c>
      <c r="W93" s="207">
        <f>SUMIFS('май 2023'!$G$4:$G$815,'май 2023'!$D$4:$D$815,$B93,'май 2023'!$J$4:$J$815,W$1)</f>
        <v>0</v>
      </c>
      <c r="X93" s="207">
        <f>SUMIFS('май 2023'!$G$4:$G$815,'май 2023'!$D$4:$D$815,$B93,'май 2023'!$J$4:$J$815,X$1)</f>
        <v>0</v>
      </c>
      <c r="Y93" s="207">
        <f>SUMIFS('май 2023'!$G$4:$G$815,'май 2023'!$D$4:$D$815,$B93,'май 2023'!$J$4:$J$815,Y$1)</f>
        <v>0</v>
      </c>
      <c r="Z93" s="207">
        <f>SUMIFS('май 2023'!$G$4:$G$815,'май 2023'!$D$4:$D$815,$B93,'май 2023'!$J$4:$J$815,Z$1)</f>
        <v>0</v>
      </c>
      <c r="AA93" s="207">
        <f>SUMIFS('май 2023'!$G$4:$G$815,'май 2023'!$D$4:$D$815,$B93,'май 2023'!$J$4:$J$815,AA$1)</f>
        <v>0</v>
      </c>
      <c r="AB93" s="207">
        <f>SUMIFS('май 2023'!$G$4:$G$815,'май 2023'!$D$4:$D$815,$B93,'май 2023'!$J$4:$J$815,AB$1)</f>
        <v>0</v>
      </c>
      <c r="AC93" s="207">
        <f>SUMIFS('май 2023'!$G$4:$G$815,'май 2023'!$D$4:$D$815,$B93,'май 2023'!$J$4:$J$815,AC$1)</f>
        <v>0</v>
      </c>
      <c r="AD93" s="207">
        <f>SUMIFS('май 2023'!$G$4:$G$815,'май 2023'!$D$4:$D$815,$B93,'май 2023'!$J$4:$J$815,AD$1)</f>
        <v>0</v>
      </c>
      <c r="AE93" s="207">
        <f>SUMIFS('май 2023'!$G$4:$G$815,'май 2023'!$D$4:$D$815,$B93,'май 2023'!$J$4:$J$815,AE$1)</f>
        <v>0</v>
      </c>
      <c r="AF93" s="207">
        <f>SUMIFS('май 2023'!$G$4:$G$815,'май 2023'!$D$4:$D$815,$B93,'май 2023'!$J$4:$J$815,AF$1)</f>
        <v>0</v>
      </c>
      <c r="AG93" s="207">
        <f>SUMIFS('май 2023'!$G$4:$G$815,'май 2023'!$D$4:$D$815,$B93,'май 2023'!$J$4:$J$815,AG$1)</f>
        <v>0</v>
      </c>
      <c r="AH93" s="207">
        <f>SUMIFS('май 2023'!$G$4:$G$815,'май 2023'!$D$4:$D$815,$B93,'май 2023'!$J$4:$J$815,AH$1)</f>
        <v>0</v>
      </c>
      <c r="AI93" s="170">
        <f t="shared" si="3"/>
        <v>176</v>
      </c>
    </row>
    <row r="94" spans="2:35" ht="15" customHeight="1" x14ac:dyDescent="0.25">
      <c r="B94" s="216" t="s">
        <v>770</v>
      </c>
      <c r="C94" s="213">
        <v>190</v>
      </c>
      <c r="D94" s="207">
        <f>SUMIFS('май 2023'!$G$4:$G$815,'май 2023'!$D$4:$D$815,$B94,'май 2023'!$J$4:$J$815,D$1)</f>
        <v>0</v>
      </c>
      <c r="E94" s="207">
        <f>SUMIFS('май 2023'!$G$4:$G$815,'май 2023'!$D$4:$D$815,$B94,'май 2023'!$J$4:$J$815,E$1)</f>
        <v>0</v>
      </c>
      <c r="F94" s="207">
        <f>SUMIFS('май 2023'!$G$4:$G$815,'май 2023'!$D$4:$D$815,$B94,'май 2023'!$J$4:$J$815,F$1)</f>
        <v>0</v>
      </c>
      <c r="G94" s="207">
        <f>SUMIFS('май 2023'!$G$4:$G$815,'май 2023'!$D$4:$D$815,$B94,'май 2023'!$J$4:$J$815,G$1)</f>
        <v>0</v>
      </c>
      <c r="H94" s="207">
        <f>SUMIFS('май 2023'!$G$4:$G$815,'май 2023'!$D$4:$D$815,$B94,'май 2023'!$J$4:$J$815,H$1)</f>
        <v>0</v>
      </c>
      <c r="I94" s="207">
        <f>SUMIFS('май 2023'!$G$4:$G$815,'май 2023'!$D$4:$D$815,$B94,'май 2023'!$J$4:$J$815,I$1)</f>
        <v>0</v>
      </c>
      <c r="J94" s="207">
        <f>SUMIFS('май 2023'!$G$4:$G$815,'май 2023'!$D$4:$D$815,$B94,'май 2023'!$J$4:$J$815,J$1)</f>
        <v>0</v>
      </c>
      <c r="K94" s="207">
        <f>SUMIFS('май 2023'!$G$4:$G$815,'май 2023'!$D$4:$D$815,$B94,'май 2023'!$J$4:$J$815,K$1)</f>
        <v>0</v>
      </c>
      <c r="L94" s="207">
        <f>SUMIFS('май 2023'!$G$4:$G$815,'май 2023'!$D$4:$D$815,$B94,'май 2023'!$J$4:$J$815,L$1)</f>
        <v>0</v>
      </c>
      <c r="M94" s="207">
        <f>SUMIFS('май 2023'!$G$4:$G$815,'май 2023'!$D$4:$D$815,$B94,'май 2023'!$J$4:$J$815,M$1)</f>
        <v>0</v>
      </c>
      <c r="N94" s="207">
        <f>SUMIFS('май 2023'!$G$4:$G$815,'май 2023'!$D$4:$D$815,$B94,'май 2023'!$J$4:$J$815,N$1)</f>
        <v>0</v>
      </c>
      <c r="O94" s="207">
        <f>SUMIFS('май 2023'!$G$4:$G$815,'май 2023'!$D$4:$D$815,$B94,'май 2023'!$J$4:$J$815,O$1)</f>
        <v>0</v>
      </c>
      <c r="P94" s="207">
        <f>SUMIFS('май 2023'!$G$4:$G$815,'май 2023'!$D$4:$D$815,$B94,'май 2023'!$J$4:$J$815,P$1)</f>
        <v>0</v>
      </c>
      <c r="Q94" s="207">
        <f>SUMIFS('май 2023'!$G$4:$G$815,'май 2023'!$D$4:$D$815,$B94,'май 2023'!$J$4:$J$815,Q$1)</f>
        <v>0</v>
      </c>
      <c r="R94" s="207">
        <f>SUMIFS('май 2023'!$G$4:$G$815,'май 2023'!$D$4:$D$815,$B94,'май 2023'!$J$4:$J$815,R$1)</f>
        <v>0</v>
      </c>
      <c r="S94" s="207">
        <f>SUMIFS('май 2023'!$G$4:$G$815,'май 2023'!$D$4:$D$815,$B94,'май 2023'!$J$4:$J$815,S$1)</f>
        <v>0</v>
      </c>
      <c r="T94" s="207">
        <f>SUMIFS('май 2023'!$G$4:$G$815,'май 2023'!$D$4:$D$815,$B94,'май 2023'!$J$4:$J$815,T$1)</f>
        <v>0</v>
      </c>
      <c r="U94" s="207">
        <f>SUMIFS('май 2023'!$G$4:$G$815,'май 2023'!$D$4:$D$815,$B94,'май 2023'!$J$4:$J$815,U$1)</f>
        <v>0</v>
      </c>
      <c r="V94" s="207">
        <f>SUMIFS('май 2023'!$G$4:$G$815,'май 2023'!$D$4:$D$815,$B94,'май 2023'!$J$4:$J$815,V$1)</f>
        <v>0</v>
      </c>
      <c r="W94" s="207">
        <f>SUMIFS('май 2023'!$G$4:$G$815,'май 2023'!$D$4:$D$815,$B94,'май 2023'!$J$4:$J$815,W$1)</f>
        <v>0</v>
      </c>
      <c r="X94" s="207">
        <f>SUMIFS('май 2023'!$G$4:$G$815,'май 2023'!$D$4:$D$815,$B94,'май 2023'!$J$4:$J$815,X$1)</f>
        <v>0</v>
      </c>
      <c r="Y94" s="207">
        <f>SUMIFS('май 2023'!$G$4:$G$815,'май 2023'!$D$4:$D$815,$B94,'май 2023'!$J$4:$J$815,Y$1)</f>
        <v>0</v>
      </c>
      <c r="Z94" s="207">
        <f>SUMIFS('май 2023'!$G$4:$G$815,'май 2023'!$D$4:$D$815,$B94,'май 2023'!$J$4:$J$815,Z$1)</f>
        <v>0</v>
      </c>
      <c r="AA94" s="207">
        <f>SUMIFS('май 2023'!$G$4:$G$815,'май 2023'!$D$4:$D$815,$B94,'май 2023'!$J$4:$J$815,AA$1)</f>
        <v>0</v>
      </c>
      <c r="AB94" s="207">
        <f>SUMIFS('май 2023'!$G$4:$G$815,'май 2023'!$D$4:$D$815,$B94,'май 2023'!$J$4:$J$815,AB$1)</f>
        <v>0</v>
      </c>
      <c r="AC94" s="207">
        <f>SUMIFS('май 2023'!$G$4:$G$815,'май 2023'!$D$4:$D$815,$B94,'май 2023'!$J$4:$J$815,AC$1)</f>
        <v>0</v>
      </c>
      <c r="AD94" s="207">
        <f>SUMIFS('май 2023'!$G$4:$G$815,'май 2023'!$D$4:$D$815,$B94,'май 2023'!$J$4:$J$815,AD$1)</f>
        <v>0</v>
      </c>
      <c r="AE94" s="207">
        <f>SUMIFS('май 2023'!$G$4:$G$815,'май 2023'!$D$4:$D$815,$B94,'май 2023'!$J$4:$J$815,AE$1)</f>
        <v>0</v>
      </c>
      <c r="AF94" s="207">
        <f>SUMIFS('май 2023'!$G$4:$G$815,'май 2023'!$D$4:$D$815,$B94,'май 2023'!$J$4:$J$815,AF$1)</f>
        <v>0</v>
      </c>
      <c r="AG94" s="207">
        <f>SUMIFS('май 2023'!$G$4:$G$815,'май 2023'!$D$4:$D$815,$B94,'май 2023'!$J$4:$J$815,AG$1)</f>
        <v>0</v>
      </c>
      <c r="AH94" s="207">
        <f>SUMIFS('май 2023'!$G$4:$G$815,'май 2023'!$D$4:$D$815,$B94,'май 2023'!$J$4:$J$815,AH$1)</f>
        <v>0</v>
      </c>
      <c r="AI94" s="170">
        <f t="shared" si="3"/>
        <v>0</v>
      </c>
    </row>
    <row r="95" spans="2:35" ht="15" customHeight="1" x14ac:dyDescent="0.25">
      <c r="B95" s="216" t="s">
        <v>2193</v>
      </c>
      <c r="C95" s="213">
        <v>190</v>
      </c>
      <c r="D95" s="207">
        <f>SUMIFS('май 2023'!$G$4:$G$815,'май 2023'!$D$4:$D$815,$B95,'май 2023'!$J$4:$J$815,D$1)</f>
        <v>0</v>
      </c>
      <c r="E95" s="207">
        <f>SUMIFS('май 2023'!$G$4:$G$815,'май 2023'!$D$4:$D$815,$B95,'май 2023'!$J$4:$J$815,E$1)</f>
        <v>0</v>
      </c>
      <c r="F95" s="207">
        <f>SUMIFS('май 2023'!$G$4:$G$815,'май 2023'!$D$4:$D$815,$B95,'май 2023'!$J$4:$J$815,F$1)</f>
        <v>0</v>
      </c>
      <c r="G95" s="207">
        <f>SUMIFS('май 2023'!$G$4:$G$815,'май 2023'!$D$4:$D$815,$B95,'май 2023'!$J$4:$J$815,G$1)</f>
        <v>0</v>
      </c>
      <c r="H95" s="207">
        <f>SUMIFS('май 2023'!$G$4:$G$815,'май 2023'!$D$4:$D$815,$B95,'май 2023'!$J$4:$J$815,H$1)</f>
        <v>0</v>
      </c>
      <c r="I95" s="207">
        <f>SUMIFS('май 2023'!$G$4:$G$815,'май 2023'!$D$4:$D$815,$B95,'май 2023'!$J$4:$J$815,I$1)</f>
        <v>0</v>
      </c>
      <c r="J95" s="207">
        <f>SUMIFS('май 2023'!$G$4:$G$815,'май 2023'!$D$4:$D$815,$B95,'май 2023'!$J$4:$J$815,J$1)</f>
        <v>0</v>
      </c>
      <c r="K95" s="207">
        <f>SUMIFS('май 2023'!$G$4:$G$815,'май 2023'!$D$4:$D$815,$B95,'май 2023'!$J$4:$J$815,K$1)</f>
        <v>0</v>
      </c>
      <c r="L95" s="207">
        <f>SUMIFS('май 2023'!$G$4:$G$815,'май 2023'!$D$4:$D$815,$B95,'май 2023'!$J$4:$J$815,L$1)</f>
        <v>0</v>
      </c>
      <c r="M95" s="207">
        <f>SUMIFS('май 2023'!$G$4:$G$815,'май 2023'!$D$4:$D$815,$B95,'май 2023'!$J$4:$J$815,M$1)</f>
        <v>0</v>
      </c>
      <c r="N95" s="207">
        <f>SUMIFS('май 2023'!$G$4:$G$815,'май 2023'!$D$4:$D$815,$B95,'май 2023'!$J$4:$J$815,N$1)</f>
        <v>0</v>
      </c>
      <c r="O95" s="207">
        <f>SUMIFS('май 2023'!$G$4:$G$815,'май 2023'!$D$4:$D$815,$B95,'май 2023'!$J$4:$J$815,O$1)</f>
        <v>0</v>
      </c>
      <c r="P95" s="207">
        <f>SUMIFS('май 2023'!$G$4:$G$815,'май 2023'!$D$4:$D$815,$B95,'май 2023'!$J$4:$J$815,P$1)</f>
        <v>0</v>
      </c>
      <c r="Q95" s="207">
        <f>SUMIFS('май 2023'!$G$4:$G$815,'май 2023'!$D$4:$D$815,$B95,'май 2023'!$J$4:$J$815,Q$1)</f>
        <v>0</v>
      </c>
      <c r="R95" s="207">
        <f>SUMIFS('май 2023'!$G$4:$G$815,'май 2023'!$D$4:$D$815,$B95,'май 2023'!$J$4:$J$815,R$1)</f>
        <v>0</v>
      </c>
      <c r="S95" s="207">
        <f>SUMIFS('май 2023'!$G$4:$G$815,'май 2023'!$D$4:$D$815,$B95,'май 2023'!$J$4:$J$815,S$1)</f>
        <v>0</v>
      </c>
      <c r="T95" s="207">
        <f>SUMIFS('май 2023'!$G$4:$G$815,'май 2023'!$D$4:$D$815,$B95,'май 2023'!$J$4:$J$815,T$1)</f>
        <v>0</v>
      </c>
      <c r="U95" s="207">
        <f>SUMIFS('май 2023'!$G$4:$G$815,'май 2023'!$D$4:$D$815,$B95,'май 2023'!$J$4:$J$815,U$1)</f>
        <v>0</v>
      </c>
      <c r="V95" s="207">
        <f>SUMIFS('май 2023'!$G$4:$G$815,'май 2023'!$D$4:$D$815,$B95,'май 2023'!$J$4:$J$815,V$1)</f>
        <v>0</v>
      </c>
      <c r="W95" s="207">
        <f>SUMIFS('май 2023'!$G$4:$G$815,'май 2023'!$D$4:$D$815,$B95,'май 2023'!$J$4:$J$815,W$1)</f>
        <v>0</v>
      </c>
      <c r="X95" s="207">
        <f>SUMIFS('май 2023'!$G$4:$G$815,'май 2023'!$D$4:$D$815,$B95,'май 2023'!$J$4:$J$815,X$1)</f>
        <v>0</v>
      </c>
      <c r="Y95" s="207">
        <f>SUMIFS('май 2023'!$G$4:$G$815,'май 2023'!$D$4:$D$815,$B95,'май 2023'!$J$4:$J$815,Y$1)</f>
        <v>0</v>
      </c>
      <c r="Z95" s="207">
        <f>SUMIFS('май 2023'!$G$4:$G$815,'май 2023'!$D$4:$D$815,$B95,'май 2023'!$J$4:$J$815,Z$1)</f>
        <v>0</v>
      </c>
      <c r="AA95" s="207">
        <f>SUMIFS('май 2023'!$G$4:$G$815,'май 2023'!$D$4:$D$815,$B95,'май 2023'!$J$4:$J$815,AA$1)</f>
        <v>0</v>
      </c>
      <c r="AB95" s="207">
        <f>SUMIFS('май 2023'!$G$4:$G$815,'май 2023'!$D$4:$D$815,$B95,'май 2023'!$J$4:$J$815,AB$1)</f>
        <v>0</v>
      </c>
      <c r="AC95" s="207">
        <f>SUMIFS('май 2023'!$G$4:$G$815,'май 2023'!$D$4:$D$815,$B95,'май 2023'!$J$4:$J$815,AC$1)</f>
        <v>0</v>
      </c>
      <c r="AD95" s="207">
        <f>SUMIFS('май 2023'!$G$4:$G$815,'май 2023'!$D$4:$D$815,$B95,'май 2023'!$J$4:$J$815,AD$1)</f>
        <v>0</v>
      </c>
      <c r="AE95" s="207">
        <f>SUMIFS('май 2023'!$G$4:$G$815,'май 2023'!$D$4:$D$815,$B95,'май 2023'!$J$4:$J$815,AE$1)</f>
        <v>0</v>
      </c>
      <c r="AF95" s="207">
        <f>SUMIFS('май 2023'!$G$4:$G$815,'май 2023'!$D$4:$D$815,$B95,'май 2023'!$J$4:$J$815,AF$1)</f>
        <v>0</v>
      </c>
      <c r="AG95" s="207">
        <f>SUMIFS('май 2023'!$G$4:$G$815,'май 2023'!$D$4:$D$815,$B95,'май 2023'!$J$4:$J$815,AG$1)</f>
        <v>0</v>
      </c>
      <c r="AH95" s="207">
        <f>SUMIFS('май 2023'!$G$4:$G$815,'май 2023'!$D$4:$D$815,$B95,'май 2023'!$J$4:$J$815,AH$1)</f>
        <v>0</v>
      </c>
      <c r="AI95" s="170">
        <f t="shared" si="3"/>
        <v>0</v>
      </c>
    </row>
    <row r="96" spans="2:35" ht="15" customHeight="1" x14ac:dyDescent="0.25">
      <c r="B96" s="216" t="s">
        <v>2194</v>
      </c>
      <c r="C96" s="213">
        <v>20</v>
      </c>
      <c r="D96" s="207">
        <f>SUMIFS('май 2023'!$G$4:$G$815,'май 2023'!$D$4:$D$815,$B96,'май 2023'!$J$4:$J$815,D$1)</f>
        <v>0</v>
      </c>
      <c r="E96" s="207">
        <f>SUMIFS('май 2023'!$G$4:$G$815,'май 2023'!$D$4:$D$815,$B96,'май 2023'!$J$4:$J$815,E$1)</f>
        <v>0</v>
      </c>
      <c r="F96" s="207">
        <f>SUMIFS('май 2023'!$G$4:$G$815,'май 2023'!$D$4:$D$815,$B96,'май 2023'!$J$4:$J$815,F$1)</f>
        <v>0</v>
      </c>
      <c r="G96" s="207">
        <f>SUMIFS('май 2023'!$G$4:$G$815,'май 2023'!$D$4:$D$815,$B96,'май 2023'!$J$4:$J$815,G$1)</f>
        <v>0</v>
      </c>
      <c r="H96" s="207">
        <f>SUMIFS('май 2023'!$G$4:$G$815,'май 2023'!$D$4:$D$815,$B96,'май 2023'!$J$4:$J$815,H$1)</f>
        <v>0</v>
      </c>
      <c r="I96" s="207">
        <f>SUMIFS('май 2023'!$G$4:$G$815,'май 2023'!$D$4:$D$815,$B96,'май 2023'!$J$4:$J$815,I$1)</f>
        <v>0</v>
      </c>
      <c r="J96" s="207">
        <f>SUMIFS('май 2023'!$G$4:$G$815,'май 2023'!$D$4:$D$815,$B96,'май 2023'!$J$4:$J$815,J$1)</f>
        <v>0</v>
      </c>
      <c r="K96" s="207">
        <f>SUMIFS('май 2023'!$G$4:$G$815,'май 2023'!$D$4:$D$815,$B96,'май 2023'!$J$4:$J$815,K$1)</f>
        <v>0</v>
      </c>
      <c r="L96" s="207">
        <f>SUMIFS('май 2023'!$G$4:$G$815,'май 2023'!$D$4:$D$815,$B96,'май 2023'!$J$4:$J$815,L$1)</f>
        <v>0</v>
      </c>
      <c r="M96" s="207">
        <f>SUMIFS('май 2023'!$G$4:$G$815,'май 2023'!$D$4:$D$815,$B96,'май 2023'!$J$4:$J$815,M$1)</f>
        <v>0</v>
      </c>
      <c r="N96" s="207">
        <f>SUMIFS('май 2023'!$G$4:$G$815,'май 2023'!$D$4:$D$815,$B96,'май 2023'!$J$4:$J$815,N$1)</f>
        <v>0</v>
      </c>
      <c r="O96" s="207">
        <f>SUMIFS('май 2023'!$G$4:$G$815,'май 2023'!$D$4:$D$815,$B96,'май 2023'!$J$4:$J$815,O$1)</f>
        <v>0</v>
      </c>
      <c r="P96" s="207">
        <f>SUMIFS('май 2023'!$G$4:$G$815,'май 2023'!$D$4:$D$815,$B96,'май 2023'!$J$4:$J$815,P$1)</f>
        <v>0</v>
      </c>
      <c r="Q96" s="207">
        <f>SUMIFS('май 2023'!$G$4:$G$815,'май 2023'!$D$4:$D$815,$B96,'май 2023'!$J$4:$J$815,Q$1)</f>
        <v>0</v>
      </c>
      <c r="R96" s="207">
        <f>SUMIFS('май 2023'!$G$4:$G$815,'май 2023'!$D$4:$D$815,$B96,'май 2023'!$J$4:$J$815,R$1)</f>
        <v>0</v>
      </c>
      <c r="S96" s="207">
        <f>SUMIFS('май 2023'!$G$4:$G$815,'май 2023'!$D$4:$D$815,$B96,'май 2023'!$J$4:$J$815,S$1)</f>
        <v>0</v>
      </c>
      <c r="T96" s="207">
        <f>SUMIFS('май 2023'!$G$4:$G$815,'май 2023'!$D$4:$D$815,$B96,'май 2023'!$J$4:$J$815,T$1)</f>
        <v>0</v>
      </c>
      <c r="U96" s="207">
        <f>SUMIFS('май 2023'!$G$4:$G$815,'май 2023'!$D$4:$D$815,$B96,'май 2023'!$J$4:$J$815,U$1)</f>
        <v>0</v>
      </c>
      <c r="V96" s="207">
        <f>SUMIFS('май 2023'!$G$4:$G$815,'май 2023'!$D$4:$D$815,$B96,'май 2023'!$J$4:$J$815,V$1)</f>
        <v>0</v>
      </c>
      <c r="W96" s="207">
        <f>SUMIFS('май 2023'!$G$4:$G$815,'май 2023'!$D$4:$D$815,$B96,'май 2023'!$J$4:$J$815,W$1)</f>
        <v>0</v>
      </c>
      <c r="X96" s="207">
        <f>SUMIFS('май 2023'!$G$4:$G$815,'май 2023'!$D$4:$D$815,$B96,'май 2023'!$J$4:$J$815,X$1)</f>
        <v>0</v>
      </c>
      <c r="Y96" s="207">
        <f>SUMIFS('май 2023'!$G$4:$G$815,'май 2023'!$D$4:$D$815,$B96,'май 2023'!$J$4:$J$815,Y$1)</f>
        <v>0</v>
      </c>
      <c r="Z96" s="207">
        <f>SUMIFS('май 2023'!$G$4:$G$815,'май 2023'!$D$4:$D$815,$B96,'май 2023'!$J$4:$J$815,Z$1)</f>
        <v>0</v>
      </c>
      <c r="AA96" s="207">
        <f>SUMIFS('май 2023'!$G$4:$G$815,'май 2023'!$D$4:$D$815,$B96,'май 2023'!$J$4:$J$815,AA$1)</f>
        <v>0</v>
      </c>
      <c r="AB96" s="207">
        <f>SUMIFS('май 2023'!$G$4:$G$815,'май 2023'!$D$4:$D$815,$B96,'май 2023'!$J$4:$J$815,AB$1)</f>
        <v>0</v>
      </c>
      <c r="AC96" s="207">
        <f>SUMIFS('май 2023'!$G$4:$G$815,'май 2023'!$D$4:$D$815,$B96,'май 2023'!$J$4:$J$815,AC$1)</f>
        <v>0</v>
      </c>
      <c r="AD96" s="207">
        <f>SUMIFS('май 2023'!$G$4:$G$815,'май 2023'!$D$4:$D$815,$B96,'май 2023'!$J$4:$J$815,AD$1)</f>
        <v>0</v>
      </c>
      <c r="AE96" s="207">
        <f>SUMIFS('май 2023'!$G$4:$G$815,'май 2023'!$D$4:$D$815,$B96,'май 2023'!$J$4:$J$815,AE$1)</f>
        <v>0</v>
      </c>
      <c r="AF96" s="207">
        <f>SUMIFS('май 2023'!$G$4:$G$815,'май 2023'!$D$4:$D$815,$B96,'май 2023'!$J$4:$J$815,AF$1)</f>
        <v>0</v>
      </c>
      <c r="AG96" s="207">
        <f>SUMIFS('май 2023'!$G$4:$G$815,'май 2023'!$D$4:$D$815,$B96,'май 2023'!$J$4:$J$815,AG$1)</f>
        <v>0</v>
      </c>
      <c r="AH96" s="207">
        <f>SUMIFS('май 2023'!$G$4:$G$815,'май 2023'!$D$4:$D$815,$B96,'май 2023'!$J$4:$J$815,AH$1)</f>
        <v>0</v>
      </c>
      <c r="AI96" s="170">
        <f t="shared" si="3"/>
        <v>0</v>
      </c>
    </row>
    <row r="97" spans="2:35" ht="15" customHeight="1" x14ac:dyDescent="0.25">
      <c r="B97" s="212" t="s">
        <v>2195</v>
      </c>
      <c r="C97" s="211">
        <v>20</v>
      </c>
      <c r="D97" s="207">
        <f>SUMIFS('май 2023'!$G$4:$G$815,'май 2023'!$D$4:$D$815,$B97,'май 2023'!$J$4:$J$815,D$1)</f>
        <v>0</v>
      </c>
      <c r="E97" s="207">
        <f>SUMIFS('май 2023'!$G$4:$G$815,'май 2023'!$D$4:$D$815,$B97,'май 2023'!$J$4:$J$815,E$1)</f>
        <v>0</v>
      </c>
      <c r="F97" s="207">
        <f>SUMIFS('май 2023'!$G$4:$G$815,'май 2023'!$D$4:$D$815,$B97,'май 2023'!$J$4:$J$815,F$1)</f>
        <v>0</v>
      </c>
      <c r="G97" s="207">
        <f>SUMIFS('май 2023'!$G$4:$G$815,'май 2023'!$D$4:$D$815,$B97,'май 2023'!$J$4:$J$815,G$1)</f>
        <v>0</v>
      </c>
      <c r="H97" s="207">
        <f>SUMIFS('май 2023'!$G$4:$G$815,'май 2023'!$D$4:$D$815,$B97,'май 2023'!$J$4:$J$815,H$1)</f>
        <v>0</v>
      </c>
      <c r="I97" s="207">
        <f>SUMIFS('май 2023'!$G$4:$G$815,'май 2023'!$D$4:$D$815,$B97,'май 2023'!$J$4:$J$815,I$1)</f>
        <v>0</v>
      </c>
      <c r="J97" s="207">
        <f>SUMIFS('май 2023'!$G$4:$G$815,'май 2023'!$D$4:$D$815,$B97,'май 2023'!$J$4:$J$815,J$1)</f>
        <v>0</v>
      </c>
      <c r="K97" s="207">
        <f>SUMIFS('май 2023'!$G$4:$G$815,'май 2023'!$D$4:$D$815,$B97,'май 2023'!$J$4:$J$815,K$1)</f>
        <v>0</v>
      </c>
      <c r="L97" s="207">
        <f>SUMIFS('май 2023'!$G$4:$G$815,'май 2023'!$D$4:$D$815,$B97,'май 2023'!$J$4:$J$815,L$1)</f>
        <v>0</v>
      </c>
      <c r="M97" s="207">
        <f>SUMIFS('май 2023'!$G$4:$G$815,'май 2023'!$D$4:$D$815,$B97,'май 2023'!$J$4:$J$815,M$1)</f>
        <v>0</v>
      </c>
      <c r="N97" s="207">
        <f>SUMIFS('май 2023'!$G$4:$G$815,'май 2023'!$D$4:$D$815,$B97,'май 2023'!$J$4:$J$815,N$1)</f>
        <v>0</v>
      </c>
      <c r="O97" s="207">
        <f>SUMIFS('май 2023'!$G$4:$G$815,'май 2023'!$D$4:$D$815,$B97,'май 2023'!$J$4:$J$815,O$1)</f>
        <v>0</v>
      </c>
      <c r="P97" s="207">
        <f>SUMIFS('май 2023'!$G$4:$G$815,'май 2023'!$D$4:$D$815,$B97,'май 2023'!$J$4:$J$815,P$1)</f>
        <v>0</v>
      </c>
      <c r="Q97" s="207">
        <f>SUMIFS('май 2023'!$G$4:$G$815,'май 2023'!$D$4:$D$815,$B97,'май 2023'!$J$4:$J$815,Q$1)</f>
        <v>0</v>
      </c>
      <c r="R97" s="207">
        <f>SUMIFS('май 2023'!$G$4:$G$815,'май 2023'!$D$4:$D$815,$B97,'май 2023'!$J$4:$J$815,R$1)</f>
        <v>0</v>
      </c>
      <c r="S97" s="207">
        <f>SUMIFS('май 2023'!$G$4:$G$815,'май 2023'!$D$4:$D$815,$B97,'май 2023'!$J$4:$J$815,S$1)</f>
        <v>0</v>
      </c>
      <c r="T97" s="207">
        <f>SUMIFS('май 2023'!$G$4:$G$815,'май 2023'!$D$4:$D$815,$B97,'май 2023'!$J$4:$J$815,T$1)</f>
        <v>0</v>
      </c>
      <c r="U97" s="207">
        <f>SUMIFS('май 2023'!$G$4:$G$815,'май 2023'!$D$4:$D$815,$B97,'май 2023'!$J$4:$J$815,U$1)</f>
        <v>0</v>
      </c>
      <c r="V97" s="207">
        <f>SUMIFS('май 2023'!$G$4:$G$815,'май 2023'!$D$4:$D$815,$B97,'май 2023'!$J$4:$J$815,V$1)</f>
        <v>0</v>
      </c>
      <c r="W97" s="207">
        <f>SUMIFS('май 2023'!$G$4:$G$815,'май 2023'!$D$4:$D$815,$B97,'май 2023'!$J$4:$J$815,W$1)</f>
        <v>0</v>
      </c>
      <c r="X97" s="207">
        <f>SUMIFS('май 2023'!$G$4:$G$815,'май 2023'!$D$4:$D$815,$B97,'май 2023'!$J$4:$J$815,X$1)</f>
        <v>0</v>
      </c>
      <c r="Y97" s="207">
        <f>SUMIFS('май 2023'!$G$4:$G$815,'май 2023'!$D$4:$D$815,$B97,'май 2023'!$J$4:$J$815,Y$1)</f>
        <v>0</v>
      </c>
      <c r="Z97" s="207">
        <f>SUMIFS('май 2023'!$G$4:$G$815,'май 2023'!$D$4:$D$815,$B97,'май 2023'!$J$4:$J$815,Z$1)</f>
        <v>0</v>
      </c>
      <c r="AA97" s="207">
        <f>SUMIFS('май 2023'!$G$4:$G$815,'май 2023'!$D$4:$D$815,$B97,'май 2023'!$J$4:$J$815,AA$1)</f>
        <v>0</v>
      </c>
      <c r="AB97" s="207">
        <f>SUMIFS('май 2023'!$G$4:$G$815,'май 2023'!$D$4:$D$815,$B97,'май 2023'!$J$4:$J$815,AB$1)</f>
        <v>0</v>
      </c>
      <c r="AC97" s="207">
        <f>SUMIFS('май 2023'!$G$4:$G$815,'май 2023'!$D$4:$D$815,$B97,'май 2023'!$J$4:$J$815,AC$1)</f>
        <v>0</v>
      </c>
      <c r="AD97" s="207">
        <f>SUMIFS('май 2023'!$G$4:$G$815,'май 2023'!$D$4:$D$815,$B97,'май 2023'!$J$4:$J$815,AD$1)</f>
        <v>0</v>
      </c>
      <c r="AE97" s="207">
        <f>SUMIFS('май 2023'!$G$4:$G$815,'май 2023'!$D$4:$D$815,$B97,'май 2023'!$J$4:$J$815,AE$1)</f>
        <v>0</v>
      </c>
      <c r="AF97" s="207">
        <f>SUMIFS('май 2023'!$G$4:$G$815,'май 2023'!$D$4:$D$815,$B97,'май 2023'!$J$4:$J$815,AF$1)</f>
        <v>0</v>
      </c>
      <c r="AG97" s="207">
        <f>SUMIFS('май 2023'!$G$4:$G$815,'май 2023'!$D$4:$D$815,$B97,'май 2023'!$J$4:$J$815,AG$1)</f>
        <v>0</v>
      </c>
      <c r="AH97" s="207">
        <f>SUMIFS('май 2023'!$G$4:$G$815,'май 2023'!$D$4:$D$815,$B97,'май 2023'!$J$4:$J$815,AH$1)</f>
        <v>0</v>
      </c>
      <c r="AI97" s="170">
        <f t="shared" si="3"/>
        <v>0</v>
      </c>
    </row>
    <row r="98" spans="2:35" ht="15" customHeight="1" x14ac:dyDescent="0.25">
      <c r="B98" s="212" t="s">
        <v>2196</v>
      </c>
      <c r="C98" s="211">
        <v>20</v>
      </c>
      <c r="D98" s="207">
        <f>SUMIFS('май 2023'!$G$4:$G$815,'май 2023'!$D$4:$D$815,$B98,'май 2023'!$J$4:$J$815,D$1)</f>
        <v>0</v>
      </c>
      <c r="E98" s="207">
        <f>SUMIFS('май 2023'!$G$4:$G$815,'май 2023'!$D$4:$D$815,$B98,'май 2023'!$J$4:$J$815,E$1)</f>
        <v>0</v>
      </c>
      <c r="F98" s="207">
        <f>SUMIFS('май 2023'!$G$4:$G$815,'май 2023'!$D$4:$D$815,$B98,'май 2023'!$J$4:$J$815,F$1)</f>
        <v>0</v>
      </c>
      <c r="G98" s="207">
        <f>SUMIFS('май 2023'!$G$4:$G$815,'май 2023'!$D$4:$D$815,$B98,'май 2023'!$J$4:$J$815,G$1)</f>
        <v>0</v>
      </c>
      <c r="H98" s="207">
        <f>SUMIFS('май 2023'!$G$4:$G$815,'май 2023'!$D$4:$D$815,$B98,'май 2023'!$J$4:$J$815,H$1)</f>
        <v>0</v>
      </c>
      <c r="I98" s="207">
        <f>SUMIFS('май 2023'!$G$4:$G$815,'май 2023'!$D$4:$D$815,$B98,'май 2023'!$J$4:$J$815,I$1)</f>
        <v>0</v>
      </c>
      <c r="J98" s="207">
        <f>SUMIFS('май 2023'!$G$4:$G$815,'май 2023'!$D$4:$D$815,$B98,'май 2023'!$J$4:$J$815,J$1)</f>
        <v>0</v>
      </c>
      <c r="K98" s="207">
        <f>SUMIFS('май 2023'!$G$4:$G$815,'май 2023'!$D$4:$D$815,$B98,'май 2023'!$J$4:$J$815,K$1)</f>
        <v>0</v>
      </c>
      <c r="L98" s="207">
        <f>SUMIFS('май 2023'!$G$4:$G$815,'май 2023'!$D$4:$D$815,$B98,'май 2023'!$J$4:$J$815,L$1)</f>
        <v>0</v>
      </c>
      <c r="M98" s="207">
        <f>SUMIFS('май 2023'!$G$4:$G$815,'май 2023'!$D$4:$D$815,$B98,'май 2023'!$J$4:$J$815,M$1)</f>
        <v>0</v>
      </c>
      <c r="N98" s="207">
        <f>SUMIFS('май 2023'!$G$4:$G$815,'май 2023'!$D$4:$D$815,$B98,'май 2023'!$J$4:$J$815,N$1)</f>
        <v>0</v>
      </c>
      <c r="O98" s="207">
        <f>SUMIFS('май 2023'!$G$4:$G$815,'май 2023'!$D$4:$D$815,$B98,'май 2023'!$J$4:$J$815,O$1)</f>
        <v>0</v>
      </c>
      <c r="P98" s="207">
        <f>SUMIFS('май 2023'!$G$4:$G$815,'май 2023'!$D$4:$D$815,$B98,'май 2023'!$J$4:$J$815,P$1)</f>
        <v>0</v>
      </c>
      <c r="Q98" s="207">
        <f>SUMIFS('май 2023'!$G$4:$G$815,'май 2023'!$D$4:$D$815,$B98,'май 2023'!$J$4:$J$815,Q$1)</f>
        <v>0</v>
      </c>
      <c r="R98" s="207">
        <f>SUMIFS('май 2023'!$G$4:$G$815,'май 2023'!$D$4:$D$815,$B98,'май 2023'!$J$4:$J$815,R$1)</f>
        <v>0</v>
      </c>
      <c r="S98" s="207">
        <f>SUMIFS('май 2023'!$G$4:$G$815,'май 2023'!$D$4:$D$815,$B98,'май 2023'!$J$4:$J$815,S$1)</f>
        <v>0</v>
      </c>
      <c r="T98" s="207">
        <f>SUMIFS('май 2023'!$G$4:$G$815,'май 2023'!$D$4:$D$815,$B98,'май 2023'!$J$4:$J$815,T$1)</f>
        <v>0</v>
      </c>
      <c r="U98" s="207">
        <f>SUMIFS('май 2023'!$G$4:$G$815,'май 2023'!$D$4:$D$815,$B98,'май 2023'!$J$4:$J$815,U$1)</f>
        <v>0</v>
      </c>
      <c r="V98" s="207">
        <f>SUMIFS('май 2023'!$G$4:$G$815,'май 2023'!$D$4:$D$815,$B98,'май 2023'!$J$4:$J$815,V$1)</f>
        <v>0</v>
      </c>
      <c r="W98" s="207">
        <f>SUMIFS('май 2023'!$G$4:$G$815,'май 2023'!$D$4:$D$815,$B98,'май 2023'!$J$4:$J$815,W$1)</f>
        <v>0</v>
      </c>
      <c r="X98" s="207">
        <f>SUMIFS('май 2023'!$G$4:$G$815,'май 2023'!$D$4:$D$815,$B98,'май 2023'!$J$4:$J$815,X$1)</f>
        <v>0</v>
      </c>
      <c r="Y98" s="207">
        <f>SUMIFS('май 2023'!$G$4:$G$815,'май 2023'!$D$4:$D$815,$B98,'май 2023'!$J$4:$J$815,Y$1)</f>
        <v>0</v>
      </c>
      <c r="Z98" s="207">
        <f>SUMIFS('май 2023'!$G$4:$G$815,'май 2023'!$D$4:$D$815,$B98,'май 2023'!$J$4:$J$815,Z$1)</f>
        <v>0</v>
      </c>
      <c r="AA98" s="207">
        <f>SUMIFS('май 2023'!$G$4:$G$815,'май 2023'!$D$4:$D$815,$B98,'май 2023'!$J$4:$J$815,AA$1)</f>
        <v>0</v>
      </c>
      <c r="AB98" s="207">
        <f>SUMIFS('май 2023'!$G$4:$G$815,'май 2023'!$D$4:$D$815,$B98,'май 2023'!$J$4:$J$815,AB$1)</f>
        <v>0</v>
      </c>
      <c r="AC98" s="207">
        <f>SUMIFS('май 2023'!$G$4:$G$815,'май 2023'!$D$4:$D$815,$B98,'май 2023'!$J$4:$J$815,AC$1)</f>
        <v>0</v>
      </c>
      <c r="AD98" s="207">
        <f>SUMIFS('май 2023'!$G$4:$G$815,'май 2023'!$D$4:$D$815,$B98,'май 2023'!$J$4:$J$815,AD$1)</f>
        <v>0</v>
      </c>
      <c r="AE98" s="207">
        <f>SUMIFS('май 2023'!$G$4:$G$815,'май 2023'!$D$4:$D$815,$B98,'май 2023'!$J$4:$J$815,AE$1)</f>
        <v>0</v>
      </c>
      <c r="AF98" s="207">
        <f>SUMIFS('май 2023'!$G$4:$G$815,'май 2023'!$D$4:$D$815,$B98,'май 2023'!$J$4:$J$815,AF$1)</f>
        <v>0</v>
      </c>
      <c r="AG98" s="207">
        <f>SUMIFS('май 2023'!$G$4:$G$815,'май 2023'!$D$4:$D$815,$B98,'май 2023'!$J$4:$J$815,AG$1)</f>
        <v>0</v>
      </c>
      <c r="AH98" s="207">
        <f>SUMIFS('май 2023'!$G$4:$G$815,'май 2023'!$D$4:$D$815,$B98,'май 2023'!$J$4:$J$815,AH$1)</f>
        <v>0</v>
      </c>
      <c r="AI98" s="170">
        <f t="shared" si="3"/>
        <v>0</v>
      </c>
    </row>
    <row r="99" spans="2:35" ht="15" customHeight="1" x14ac:dyDescent="0.25">
      <c r="B99" s="212" t="s">
        <v>2197</v>
      </c>
      <c r="C99" s="211">
        <v>20</v>
      </c>
      <c r="D99" s="207">
        <f>SUMIFS('май 2023'!$G$4:$G$815,'май 2023'!$D$4:$D$815,$B99,'май 2023'!$J$4:$J$815,D$1)</f>
        <v>0</v>
      </c>
      <c r="E99" s="207">
        <f>SUMIFS('май 2023'!$G$4:$G$815,'май 2023'!$D$4:$D$815,$B99,'май 2023'!$J$4:$J$815,E$1)</f>
        <v>0</v>
      </c>
      <c r="F99" s="207">
        <f>SUMIFS('май 2023'!$G$4:$G$815,'май 2023'!$D$4:$D$815,$B99,'май 2023'!$J$4:$J$815,F$1)</f>
        <v>0</v>
      </c>
      <c r="G99" s="207">
        <f>SUMIFS('май 2023'!$G$4:$G$815,'май 2023'!$D$4:$D$815,$B99,'май 2023'!$J$4:$J$815,G$1)</f>
        <v>0</v>
      </c>
      <c r="H99" s="207">
        <f>SUMIFS('май 2023'!$G$4:$G$815,'май 2023'!$D$4:$D$815,$B99,'май 2023'!$J$4:$J$815,H$1)</f>
        <v>0</v>
      </c>
      <c r="I99" s="207">
        <f>SUMIFS('май 2023'!$G$4:$G$815,'май 2023'!$D$4:$D$815,$B99,'май 2023'!$J$4:$J$815,I$1)</f>
        <v>0</v>
      </c>
      <c r="J99" s="207">
        <f>SUMIFS('май 2023'!$G$4:$G$815,'май 2023'!$D$4:$D$815,$B99,'май 2023'!$J$4:$J$815,J$1)</f>
        <v>0</v>
      </c>
      <c r="K99" s="207">
        <f>SUMIFS('май 2023'!$G$4:$G$815,'май 2023'!$D$4:$D$815,$B99,'май 2023'!$J$4:$J$815,K$1)</f>
        <v>0</v>
      </c>
      <c r="L99" s="207">
        <f>SUMIFS('май 2023'!$G$4:$G$815,'май 2023'!$D$4:$D$815,$B99,'май 2023'!$J$4:$J$815,L$1)</f>
        <v>0</v>
      </c>
      <c r="M99" s="207">
        <f>SUMIFS('май 2023'!$G$4:$G$815,'май 2023'!$D$4:$D$815,$B99,'май 2023'!$J$4:$J$815,M$1)</f>
        <v>0</v>
      </c>
      <c r="N99" s="207">
        <f>SUMIFS('май 2023'!$G$4:$G$815,'май 2023'!$D$4:$D$815,$B99,'май 2023'!$J$4:$J$815,N$1)</f>
        <v>0</v>
      </c>
      <c r="O99" s="207">
        <f>SUMIFS('май 2023'!$G$4:$G$815,'май 2023'!$D$4:$D$815,$B99,'май 2023'!$J$4:$J$815,O$1)</f>
        <v>0</v>
      </c>
      <c r="P99" s="207">
        <f>SUMIFS('май 2023'!$G$4:$G$815,'май 2023'!$D$4:$D$815,$B99,'май 2023'!$J$4:$J$815,P$1)</f>
        <v>0</v>
      </c>
      <c r="Q99" s="207">
        <f>SUMIFS('май 2023'!$G$4:$G$815,'май 2023'!$D$4:$D$815,$B99,'май 2023'!$J$4:$J$815,Q$1)</f>
        <v>0</v>
      </c>
      <c r="R99" s="207">
        <f>SUMIFS('май 2023'!$G$4:$G$815,'май 2023'!$D$4:$D$815,$B99,'май 2023'!$J$4:$J$815,R$1)</f>
        <v>0</v>
      </c>
      <c r="S99" s="207">
        <f>SUMIFS('май 2023'!$G$4:$G$815,'май 2023'!$D$4:$D$815,$B99,'май 2023'!$J$4:$J$815,S$1)</f>
        <v>0</v>
      </c>
      <c r="T99" s="207">
        <f>SUMIFS('май 2023'!$G$4:$G$815,'май 2023'!$D$4:$D$815,$B99,'май 2023'!$J$4:$J$815,T$1)</f>
        <v>0</v>
      </c>
      <c r="U99" s="207">
        <f>SUMIFS('май 2023'!$G$4:$G$815,'май 2023'!$D$4:$D$815,$B99,'май 2023'!$J$4:$J$815,U$1)</f>
        <v>0</v>
      </c>
      <c r="V99" s="207">
        <f>SUMIFS('май 2023'!$G$4:$G$815,'май 2023'!$D$4:$D$815,$B99,'май 2023'!$J$4:$J$815,V$1)</f>
        <v>0</v>
      </c>
      <c r="W99" s="207">
        <f>SUMIFS('май 2023'!$G$4:$G$815,'май 2023'!$D$4:$D$815,$B99,'май 2023'!$J$4:$J$815,W$1)</f>
        <v>0</v>
      </c>
      <c r="X99" s="207">
        <f>SUMIFS('май 2023'!$G$4:$G$815,'май 2023'!$D$4:$D$815,$B99,'май 2023'!$J$4:$J$815,X$1)</f>
        <v>0</v>
      </c>
      <c r="Y99" s="207">
        <f>SUMIFS('май 2023'!$G$4:$G$815,'май 2023'!$D$4:$D$815,$B99,'май 2023'!$J$4:$J$815,Y$1)</f>
        <v>0</v>
      </c>
      <c r="Z99" s="207">
        <f>SUMIFS('май 2023'!$G$4:$G$815,'май 2023'!$D$4:$D$815,$B99,'май 2023'!$J$4:$J$815,Z$1)</f>
        <v>0</v>
      </c>
      <c r="AA99" s="207">
        <f>SUMIFS('май 2023'!$G$4:$G$815,'май 2023'!$D$4:$D$815,$B99,'май 2023'!$J$4:$J$815,AA$1)</f>
        <v>0</v>
      </c>
      <c r="AB99" s="207">
        <f>SUMIFS('май 2023'!$G$4:$G$815,'май 2023'!$D$4:$D$815,$B99,'май 2023'!$J$4:$J$815,AB$1)</f>
        <v>0</v>
      </c>
      <c r="AC99" s="207">
        <f>SUMIFS('май 2023'!$G$4:$G$815,'май 2023'!$D$4:$D$815,$B99,'май 2023'!$J$4:$J$815,AC$1)</f>
        <v>0</v>
      </c>
      <c r="AD99" s="207">
        <f>SUMIFS('май 2023'!$G$4:$G$815,'май 2023'!$D$4:$D$815,$B99,'май 2023'!$J$4:$J$815,AD$1)</f>
        <v>0</v>
      </c>
      <c r="AE99" s="207">
        <f>SUMIFS('май 2023'!$G$4:$G$815,'май 2023'!$D$4:$D$815,$B99,'май 2023'!$J$4:$J$815,AE$1)</f>
        <v>0</v>
      </c>
      <c r="AF99" s="207">
        <f>SUMIFS('май 2023'!$G$4:$G$815,'май 2023'!$D$4:$D$815,$B99,'май 2023'!$J$4:$J$815,AF$1)</f>
        <v>0</v>
      </c>
      <c r="AG99" s="207">
        <f>SUMIFS('май 2023'!$G$4:$G$815,'май 2023'!$D$4:$D$815,$B99,'май 2023'!$J$4:$J$815,AG$1)</f>
        <v>0</v>
      </c>
      <c r="AH99" s="207">
        <f>SUMIFS('май 2023'!$G$4:$G$815,'май 2023'!$D$4:$D$815,$B99,'май 2023'!$J$4:$J$815,AH$1)</f>
        <v>0</v>
      </c>
      <c r="AI99" s="170">
        <f t="shared" si="3"/>
        <v>0</v>
      </c>
    </row>
    <row r="100" spans="2:35" ht="15" customHeight="1" x14ac:dyDescent="0.25">
      <c r="B100" s="212" t="s">
        <v>147</v>
      </c>
      <c r="C100" s="211">
        <v>200</v>
      </c>
      <c r="D100" s="207">
        <f>SUMIFS('май 2023'!$G$4:$G$815,'май 2023'!$D$4:$D$815,$B100,'май 2023'!$J$4:$J$815,D$1)</f>
        <v>0</v>
      </c>
      <c r="E100" s="207">
        <f>SUMIFS('май 2023'!$G$4:$G$815,'май 2023'!$D$4:$D$815,$B100,'май 2023'!$J$4:$J$815,E$1)</f>
        <v>0</v>
      </c>
      <c r="F100" s="207">
        <f>SUMIFS('май 2023'!$G$4:$G$815,'май 2023'!$D$4:$D$815,$B100,'май 2023'!$J$4:$J$815,F$1)</f>
        <v>0</v>
      </c>
      <c r="G100" s="207">
        <f>SUMIFS('май 2023'!$G$4:$G$815,'май 2023'!$D$4:$D$815,$B100,'май 2023'!$J$4:$J$815,G$1)</f>
        <v>0</v>
      </c>
      <c r="H100" s="207">
        <f>SUMIFS('май 2023'!$G$4:$G$815,'май 2023'!$D$4:$D$815,$B100,'май 2023'!$J$4:$J$815,H$1)</f>
        <v>0</v>
      </c>
      <c r="I100" s="207">
        <f>SUMIFS('май 2023'!$G$4:$G$815,'май 2023'!$D$4:$D$815,$B100,'май 2023'!$J$4:$J$815,I$1)</f>
        <v>0</v>
      </c>
      <c r="J100" s="207">
        <f>SUMIFS('май 2023'!$G$4:$G$815,'май 2023'!$D$4:$D$815,$B100,'май 2023'!$J$4:$J$815,J$1)</f>
        <v>0</v>
      </c>
      <c r="K100" s="207">
        <f>SUMIFS('май 2023'!$G$4:$G$815,'май 2023'!$D$4:$D$815,$B100,'май 2023'!$J$4:$J$815,K$1)</f>
        <v>0</v>
      </c>
      <c r="L100" s="207">
        <f>SUMIFS('май 2023'!$G$4:$G$815,'май 2023'!$D$4:$D$815,$B100,'май 2023'!$J$4:$J$815,L$1)</f>
        <v>0</v>
      </c>
      <c r="M100" s="207">
        <f>SUMIFS('май 2023'!$G$4:$G$815,'май 2023'!$D$4:$D$815,$B100,'май 2023'!$J$4:$J$815,M$1)</f>
        <v>0</v>
      </c>
      <c r="N100" s="207">
        <f>SUMIFS('май 2023'!$G$4:$G$815,'май 2023'!$D$4:$D$815,$B100,'май 2023'!$J$4:$J$815,N$1)</f>
        <v>0</v>
      </c>
      <c r="O100" s="207">
        <f>SUMIFS('май 2023'!$G$4:$G$815,'май 2023'!$D$4:$D$815,$B100,'май 2023'!$J$4:$J$815,O$1)</f>
        <v>0</v>
      </c>
      <c r="P100" s="207">
        <f>SUMIFS('май 2023'!$G$4:$G$815,'май 2023'!$D$4:$D$815,$B100,'май 2023'!$J$4:$J$815,P$1)</f>
        <v>0</v>
      </c>
      <c r="Q100" s="207">
        <f>SUMIFS('май 2023'!$G$4:$G$815,'май 2023'!$D$4:$D$815,$B100,'май 2023'!$J$4:$J$815,Q$1)</f>
        <v>0</v>
      </c>
      <c r="R100" s="207">
        <f>SUMIFS('май 2023'!$G$4:$G$815,'май 2023'!$D$4:$D$815,$B100,'май 2023'!$J$4:$J$815,R$1)</f>
        <v>0</v>
      </c>
      <c r="S100" s="207">
        <f>SUMIFS('май 2023'!$G$4:$G$815,'май 2023'!$D$4:$D$815,$B100,'май 2023'!$J$4:$J$815,S$1)</f>
        <v>0</v>
      </c>
      <c r="T100" s="207">
        <f>SUMIFS('май 2023'!$G$4:$G$815,'май 2023'!$D$4:$D$815,$B100,'май 2023'!$J$4:$J$815,T$1)</f>
        <v>0</v>
      </c>
      <c r="U100" s="207">
        <f>SUMIFS('май 2023'!$G$4:$G$815,'май 2023'!$D$4:$D$815,$B100,'май 2023'!$J$4:$J$815,U$1)</f>
        <v>0</v>
      </c>
      <c r="V100" s="207">
        <f>SUMIFS('май 2023'!$G$4:$G$815,'май 2023'!$D$4:$D$815,$B100,'май 2023'!$J$4:$J$815,V$1)</f>
        <v>0</v>
      </c>
      <c r="W100" s="207">
        <f>SUMIFS('май 2023'!$G$4:$G$815,'май 2023'!$D$4:$D$815,$B100,'май 2023'!$J$4:$J$815,W$1)</f>
        <v>0</v>
      </c>
      <c r="X100" s="207">
        <f>SUMIFS('май 2023'!$G$4:$G$815,'май 2023'!$D$4:$D$815,$B100,'май 2023'!$J$4:$J$815,X$1)</f>
        <v>0</v>
      </c>
      <c r="Y100" s="207">
        <f>SUMIFS('май 2023'!$G$4:$G$815,'май 2023'!$D$4:$D$815,$B100,'май 2023'!$J$4:$J$815,Y$1)</f>
        <v>0</v>
      </c>
      <c r="Z100" s="207">
        <f>SUMIFS('май 2023'!$G$4:$G$815,'май 2023'!$D$4:$D$815,$B100,'май 2023'!$J$4:$J$815,Z$1)</f>
        <v>0</v>
      </c>
      <c r="AA100" s="207">
        <f>SUMIFS('май 2023'!$G$4:$G$815,'май 2023'!$D$4:$D$815,$B100,'май 2023'!$J$4:$J$815,AA$1)</f>
        <v>0</v>
      </c>
      <c r="AB100" s="207">
        <f>SUMIFS('май 2023'!$G$4:$G$815,'май 2023'!$D$4:$D$815,$B100,'май 2023'!$J$4:$J$815,AB$1)</f>
        <v>0</v>
      </c>
      <c r="AC100" s="207">
        <f>SUMIFS('май 2023'!$G$4:$G$815,'май 2023'!$D$4:$D$815,$B100,'май 2023'!$J$4:$J$815,AC$1)</f>
        <v>0</v>
      </c>
      <c r="AD100" s="207">
        <f>SUMIFS('май 2023'!$G$4:$G$815,'май 2023'!$D$4:$D$815,$B100,'май 2023'!$J$4:$J$815,AD$1)</f>
        <v>0</v>
      </c>
      <c r="AE100" s="207">
        <f>SUMIFS('май 2023'!$G$4:$G$815,'май 2023'!$D$4:$D$815,$B100,'май 2023'!$J$4:$J$815,AE$1)</f>
        <v>0</v>
      </c>
      <c r="AF100" s="207">
        <f>SUMIFS('май 2023'!$G$4:$G$815,'май 2023'!$D$4:$D$815,$B100,'май 2023'!$J$4:$J$815,AF$1)</f>
        <v>0</v>
      </c>
      <c r="AG100" s="207">
        <f>SUMIFS('май 2023'!$G$4:$G$815,'май 2023'!$D$4:$D$815,$B100,'май 2023'!$J$4:$J$815,AG$1)</f>
        <v>0</v>
      </c>
      <c r="AH100" s="207">
        <f>SUMIFS('май 2023'!$G$4:$G$815,'май 2023'!$D$4:$D$815,$B100,'май 2023'!$J$4:$J$815,AH$1)</f>
        <v>0</v>
      </c>
      <c r="AI100" s="170">
        <f t="shared" si="3"/>
        <v>0</v>
      </c>
    </row>
    <row r="101" spans="2:35" ht="15" customHeight="1" x14ac:dyDescent="0.25">
      <c r="B101" s="212" t="s">
        <v>2198</v>
      </c>
      <c r="C101" s="211">
        <v>200</v>
      </c>
      <c r="D101" s="207">
        <f>SUMIFS('май 2023'!$G$4:$G$815,'май 2023'!$D$4:$D$815,$B101,'май 2023'!$J$4:$J$815,D$1)</f>
        <v>0</v>
      </c>
      <c r="E101" s="207">
        <f>SUMIFS('май 2023'!$G$4:$G$815,'май 2023'!$D$4:$D$815,$B101,'май 2023'!$J$4:$J$815,E$1)</f>
        <v>0</v>
      </c>
      <c r="F101" s="207">
        <f>SUMIFS('май 2023'!$G$4:$G$815,'май 2023'!$D$4:$D$815,$B101,'май 2023'!$J$4:$J$815,F$1)</f>
        <v>0</v>
      </c>
      <c r="G101" s="207">
        <f>SUMIFS('май 2023'!$G$4:$G$815,'май 2023'!$D$4:$D$815,$B101,'май 2023'!$J$4:$J$815,G$1)</f>
        <v>0</v>
      </c>
      <c r="H101" s="207">
        <f>SUMIFS('май 2023'!$G$4:$G$815,'май 2023'!$D$4:$D$815,$B101,'май 2023'!$J$4:$J$815,H$1)</f>
        <v>0</v>
      </c>
      <c r="I101" s="207">
        <f>SUMIFS('май 2023'!$G$4:$G$815,'май 2023'!$D$4:$D$815,$B101,'май 2023'!$J$4:$J$815,I$1)</f>
        <v>0</v>
      </c>
      <c r="J101" s="207">
        <f>SUMIFS('май 2023'!$G$4:$G$815,'май 2023'!$D$4:$D$815,$B101,'май 2023'!$J$4:$J$815,J$1)</f>
        <v>0</v>
      </c>
      <c r="K101" s="207">
        <f>SUMIFS('май 2023'!$G$4:$G$815,'май 2023'!$D$4:$D$815,$B101,'май 2023'!$J$4:$J$815,K$1)</f>
        <v>0</v>
      </c>
      <c r="L101" s="207">
        <f>SUMIFS('май 2023'!$G$4:$G$815,'май 2023'!$D$4:$D$815,$B101,'май 2023'!$J$4:$J$815,L$1)</f>
        <v>0</v>
      </c>
      <c r="M101" s="207">
        <f>SUMIFS('май 2023'!$G$4:$G$815,'май 2023'!$D$4:$D$815,$B101,'май 2023'!$J$4:$J$815,M$1)</f>
        <v>0</v>
      </c>
      <c r="N101" s="207">
        <f>SUMIFS('май 2023'!$G$4:$G$815,'май 2023'!$D$4:$D$815,$B101,'май 2023'!$J$4:$J$815,N$1)</f>
        <v>0</v>
      </c>
      <c r="O101" s="207">
        <f>SUMIFS('май 2023'!$G$4:$G$815,'май 2023'!$D$4:$D$815,$B101,'май 2023'!$J$4:$J$815,O$1)</f>
        <v>0</v>
      </c>
      <c r="P101" s="207">
        <f>SUMIFS('май 2023'!$G$4:$G$815,'май 2023'!$D$4:$D$815,$B101,'май 2023'!$J$4:$J$815,P$1)</f>
        <v>0</v>
      </c>
      <c r="Q101" s="207">
        <f>SUMIFS('май 2023'!$G$4:$G$815,'май 2023'!$D$4:$D$815,$B101,'май 2023'!$J$4:$J$815,Q$1)</f>
        <v>0</v>
      </c>
      <c r="R101" s="207">
        <f>SUMIFS('май 2023'!$G$4:$G$815,'май 2023'!$D$4:$D$815,$B101,'май 2023'!$J$4:$J$815,R$1)</f>
        <v>0</v>
      </c>
      <c r="S101" s="207">
        <f>SUMIFS('май 2023'!$G$4:$G$815,'май 2023'!$D$4:$D$815,$B101,'май 2023'!$J$4:$J$815,S$1)</f>
        <v>0</v>
      </c>
      <c r="T101" s="207">
        <f>SUMIFS('май 2023'!$G$4:$G$815,'май 2023'!$D$4:$D$815,$B101,'май 2023'!$J$4:$J$815,T$1)</f>
        <v>0</v>
      </c>
      <c r="U101" s="207">
        <f>SUMIFS('май 2023'!$G$4:$G$815,'май 2023'!$D$4:$D$815,$B101,'май 2023'!$J$4:$J$815,U$1)</f>
        <v>0</v>
      </c>
      <c r="V101" s="207">
        <f>SUMIFS('май 2023'!$G$4:$G$815,'май 2023'!$D$4:$D$815,$B101,'май 2023'!$J$4:$J$815,V$1)</f>
        <v>0</v>
      </c>
      <c r="W101" s="207">
        <f>SUMIFS('май 2023'!$G$4:$G$815,'май 2023'!$D$4:$D$815,$B101,'май 2023'!$J$4:$J$815,W$1)</f>
        <v>0</v>
      </c>
      <c r="X101" s="207">
        <f>SUMIFS('май 2023'!$G$4:$G$815,'май 2023'!$D$4:$D$815,$B101,'май 2023'!$J$4:$J$815,X$1)</f>
        <v>0</v>
      </c>
      <c r="Y101" s="207">
        <f>SUMIFS('май 2023'!$G$4:$G$815,'май 2023'!$D$4:$D$815,$B101,'май 2023'!$J$4:$J$815,Y$1)</f>
        <v>0</v>
      </c>
      <c r="Z101" s="207">
        <f>SUMIFS('май 2023'!$G$4:$G$815,'май 2023'!$D$4:$D$815,$B101,'май 2023'!$J$4:$J$815,Z$1)</f>
        <v>0</v>
      </c>
      <c r="AA101" s="207">
        <f>SUMIFS('май 2023'!$G$4:$G$815,'май 2023'!$D$4:$D$815,$B101,'май 2023'!$J$4:$J$815,AA$1)</f>
        <v>0</v>
      </c>
      <c r="AB101" s="207">
        <f>SUMIFS('май 2023'!$G$4:$G$815,'май 2023'!$D$4:$D$815,$B101,'май 2023'!$J$4:$J$815,AB$1)</f>
        <v>0</v>
      </c>
      <c r="AC101" s="207">
        <f>SUMIFS('май 2023'!$G$4:$G$815,'май 2023'!$D$4:$D$815,$B101,'май 2023'!$J$4:$J$815,AC$1)</f>
        <v>0</v>
      </c>
      <c r="AD101" s="207">
        <f>SUMIFS('май 2023'!$G$4:$G$815,'май 2023'!$D$4:$D$815,$B101,'май 2023'!$J$4:$J$815,AD$1)</f>
        <v>0</v>
      </c>
      <c r="AE101" s="207">
        <f>SUMIFS('май 2023'!$G$4:$G$815,'май 2023'!$D$4:$D$815,$B101,'май 2023'!$J$4:$J$815,AE$1)</f>
        <v>0</v>
      </c>
      <c r="AF101" s="207">
        <f>SUMIFS('май 2023'!$G$4:$G$815,'май 2023'!$D$4:$D$815,$B101,'май 2023'!$J$4:$J$815,AF$1)</f>
        <v>0</v>
      </c>
      <c r="AG101" s="207">
        <f>SUMIFS('май 2023'!$G$4:$G$815,'май 2023'!$D$4:$D$815,$B101,'май 2023'!$J$4:$J$815,AG$1)</f>
        <v>0</v>
      </c>
      <c r="AH101" s="207">
        <f>SUMIFS('май 2023'!$G$4:$G$815,'май 2023'!$D$4:$D$815,$B101,'май 2023'!$J$4:$J$815,AH$1)</f>
        <v>0</v>
      </c>
      <c r="AI101" s="170">
        <f t="shared" si="3"/>
        <v>0</v>
      </c>
    </row>
    <row r="102" spans="2:35" ht="15" customHeight="1" x14ac:dyDescent="0.25">
      <c r="B102" s="218" t="s">
        <v>352</v>
      </c>
      <c r="C102" s="219">
        <v>200</v>
      </c>
      <c r="D102" s="207">
        <f>SUMIFS('май 2023'!$G$4:$G$815,'май 2023'!$D$4:$D$815,$B102,'май 2023'!$J$4:$J$815,D$1)</f>
        <v>0</v>
      </c>
      <c r="E102" s="207">
        <f>SUMIFS('май 2023'!$G$4:$G$815,'май 2023'!$D$4:$D$815,$B102,'май 2023'!$J$4:$J$815,E$1)</f>
        <v>0</v>
      </c>
      <c r="F102" s="207">
        <f>SUMIFS('май 2023'!$G$4:$G$815,'май 2023'!$D$4:$D$815,$B102,'май 2023'!$J$4:$J$815,F$1)</f>
        <v>0</v>
      </c>
      <c r="G102" s="207">
        <f>SUMIFS('май 2023'!$G$4:$G$815,'май 2023'!$D$4:$D$815,$B102,'май 2023'!$J$4:$J$815,G$1)</f>
        <v>0</v>
      </c>
      <c r="H102" s="207">
        <f>SUMIFS('май 2023'!$G$4:$G$815,'май 2023'!$D$4:$D$815,$B102,'май 2023'!$J$4:$J$815,H$1)</f>
        <v>0</v>
      </c>
      <c r="I102" s="207">
        <f>SUMIFS('май 2023'!$G$4:$G$815,'май 2023'!$D$4:$D$815,$B102,'май 2023'!$J$4:$J$815,I$1)</f>
        <v>0</v>
      </c>
      <c r="J102" s="207">
        <f>SUMIFS('май 2023'!$G$4:$G$815,'май 2023'!$D$4:$D$815,$B102,'май 2023'!$J$4:$J$815,J$1)</f>
        <v>0</v>
      </c>
      <c r="K102" s="207">
        <f>SUMIFS('май 2023'!$G$4:$G$815,'май 2023'!$D$4:$D$815,$B102,'май 2023'!$J$4:$J$815,K$1)</f>
        <v>0</v>
      </c>
      <c r="L102" s="207">
        <f>SUMIFS('май 2023'!$G$4:$G$815,'май 2023'!$D$4:$D$815,$B102,'май 2023'!$J$4:$J$815,L$1)</f>
        <v>0</v>
      </c>
      <c r="M102" s="207">
        <f>SUMIFS('май 2023'!$G$4:$G$815,'май 2023'!$D$4:$D$815,$B102,'май 2023'!$J$4:$J$815,M$1)</f>
        <v>0</v>
      </c>
      <c r="N102" s="207">
        <f>SUMIFS('май 2023'!$G$4:$G$815,'май 2023'!$D$4:$D$815,$B102,'май 2023'!$J$4:$J$815,N$1)</f>
        <v>0</v>
      </c>
      <c r="O102" s="207">
        <f>SUMIFS('май 2023'!$G$4:$G$815,'май 2023'!$D$4:$D$815,$B102,'май 2023'!$J$4:$J$815,O$1)</f>
        <v>0</v>
      </c>
      <c r="P102" s="207">
        <f>SUMIFS('май 2023'!$G$4:$G$815,'май 2023'!$D$4:$D$815,$B102,'май 2023'!$J$4:$J$815,P$1)</f>
        <v>0</v>
      </c>
      <c r="Q102" s="207">
        <f>SUMIFS('май 2023'!$G$4:$G$815,'май 2023'!$D$4:$D$815,$B102,'май 2023'!$J$4:$J$815,Q$1)</f>
        <v>0</v>
      </c>
      <c r="R102" s="207">
        <f>SUMIFS('май 2023'!$G$4:$G$815,'май 2023'!$D$4:$D$815,$B102,'май 2023'!$J$4:$J$815,R$1)</f>
        <v>0</v>
      </c>
      <c r="S102" s="207">
        <f>SUMIFS('май 2023'!$G$4:$G$815,'май 2023'!$D$4:$D$815,$B102,'май 2023'!$J$4:$J$815,S$1)</f>
        <v>0</v>
      </c>
      <c r="T102" s="207">
        <f>SUMIFS('май 2023'!$G$4:$G$815,'май 2023'!$D$4:$D$815,$B102,'май 2023'!$J$4:$J$815,T$1)</f>
        <v>0</v>
      </c>
      <c r="U102" s="207">
        <f>SUMIFS('май 2023'!$G$4:$G$815,'май 2023'!$D$4:$D$815,$B102,'май 2023'!$J$4:$J$815,U$1)</f>
        <v>0</v>
      </c>
      <c r="V102" s="207">
        <f>SUMIFS('май 2023'!$G$4:$G$815,'май 2023'!$D$4:$D$815,$B102,'май 2023'!$J$4:$J$815,V$1)</f>
        <v>0</v>
      </c>
      <c r="W102" s="207">
        <f>SUMIFS('май 2023'!$G$4:$G$815,'май 2023'!$D$4:$D$815,$B102,'май 2023'!$J$4:$J$815,W$1)</f>
        <v>0</v>
      </c>
      <c r="X102" s="207">
        <f>SUMIFS('май 2023'!$G$4:$G$815,'май 2023'!$D$4:$D$815,$B102,'май 2023'!$J$4:$J$815,X$1)</f>
        <v>0</v>
      </c>
      <c r="Y102" s="207">
        <f>SUMIFS('май 2023'!$G$4:$G$815,'май 2023'!$D$4:$D$815,$B102,'май 2023'!$J$4:$J$815,Y$1)</f>
        <v>0</v>
      </c>
      <c r="Z102" s="207">
        <f>SUMIFS('май 2023'!$G$4:$G$815,'май 2023'!$D$4:$D$815,$B102,'май 2023'!$J$4:$J$815,Z$1)</f>
        <v>0</v>
      </c>
      <c r="AA102" s="207">
        <f>SUMIFS('май 2023'!$G$4:$G$815,'май 2023'!$D$4:$D$815,$B102,'май 2023'!$J$4:$J$815,AA$1)</f>
        <v>0</v>
      </c>
      <c r="AB102" s="207">
        <f>SUMIFS('май 2023'!$G$4:$G$815,'май 2023'!$D$4:$D$815,$B102,'май 2023'!$J$4:$J$815,AB$1)</f>
        <v>0</v>
      </c>
      <c r="AC102" s="207">
        <f>SUMIFS('май 2023'!$G$4:$G$815,'май 2023'!$D$4:$D$815,$B102,'май 2023'!$J$4:$J$815,AC$1)</f>
        <v>0</v>
      </c>
      <c r="AD102" s="207">
        <f>SUMIFS('май 2023'!$G$4:$G$815,'май 2023'!$D$4:$D$815,$B102,'май 2023'!$J$4:$J$815,AD$1)</f>
        <v>0</v>
      </c>
      <c r="AE102" s="207">
        <f>SUMIFS('май 2023'!$G$4:$G$815,'май 2023'!$D$4:$D$815,$B102,'май 2023'!$J$4:$J$815,AE$1)</f>
        <v>0</v>
      </c>
      <c r="AF102" s="207">
        <f>SUMIFS('май 2023'!$G$4:$G$815,'май 2023'!$D$4:$D$815,$B102,'май 2023'!$J$4:$J$815,AF$1)</f>
        <v>0</v>
      </c>
      <c r="AG102" s="207">
        <f>SUMIFS('май 2023'!$G$4:$G$815,'май 2023'!$D$4:$D$815,$B102,'май 2023'!$J$4:$J$815,AG$1)</f>
        <v>0</v>
      </c>
      <c r="AH102" s="207">
        <f>SUMIFS('май 2023'!$G$4:$G$815,'май 2023'!$D$4:$D$815,$B102,'май 2023'!$J$4:$J$815,AH$1)</f>
        <v>0</v>
      </c>
      <c r="AI102" s="170">
        <f t="shared" si="3"/>
        <v>0</v>
      </c>
    </row>
    <row r="103" spans="2:35" ht="15" customHeight="1" x14ac:dyDescent="0.25">
      <c r="B103" s="212" t="s">
        <v>276</v>
      </c>
      <c r="C103" s="213">
        <v>200</v>
      </c>
      <c r="D103" s="207">
        <f>SUMIFS('май 2023'!$G$4:$G$815,'май 2023'!$D$4:$D$815,$B103,'май 2023'!$J$4:$J$815,D$1)</f>
        <v>0</v>
      </c>
      <c r="E103" s="207">
        <f>SUMIFS('май 2023'!$G$4:$G$815,'май 2023'!$D$4:$D$815,$B103,'май 2023'!$J$4:$J$815,E$1)</f>
        <v>0</v>
      </c>
      <c r="F103" s="207">
        <f>SUMIFS('май 2023'!$G$4:$G$815,'май 2023'!$D$4:$D$815,$B103,'май 2023'!$J$4:$J$815,F$1)</f>
        <v>0</v>
      </c>
      <c r="G103" s="207">
        <f>SUMIFS('май 2023'!$G$4:$G$815,'май 2023'!$D$4:$D$815,$B103,'май 2023'!$J$4:$J$815,G$1)</f>
        <v>0</v>
      </c>
      <c r="H103" s="207">
        <f>SUMIFS('май 2023'!$G$4:$G$815,'май 2023'!$D$4:$D$815,$B103,'май 2023'!$J$4:$J$815,H$1)</f>
        <v>0</v>
      </c>
      <c r="I103" s="207">
        <f>SUMIFS('май 2023'!$G$4:$G$815,'май 2023'!$D$4:$D$815,$B103,'май 2023'!$J$4:$J$815,I$1)</f>
        <v>0</v>
      </c>
      <c r="J103" s="207">
        <f>SUMIFS('май 2023'!$G$4:$G$815,'май 2023'!$D$4:$D$815,$B103,'май 2023'!$J$4:$J$815,J$1)</f>
        <v>0</v>
      </c>
      <c r="K103" s="207">
        <f>SUMIFS('май 2023'!$G$4:$G$815,'май 2023'!$D$4:$D$815,$B103,'май 2023'!$J$4:$J$815,K$1)</f>
        <v>0</v>
      </c>
      <c r="L103" s="207">
        <f>SUMIFS('май 2023'!$G$4:$G$815,'май 2023'!$D$4:$D$815,$B103,'май 2023'!$J$4:$J$815,L$1)</f>
        <v>0</v>
      </c>
      <c r="M103" s="207">
        <f>SUMIFS('май 2023'!$G$4:$G$815,'май 2023'!$D$4:$D$815,$B103,'май 2023'!$J$4:$J$815,M$1)</f>
        <v>0</v>
      </c>
      <c r="N103" s="207">
        <f>SUMIFS('май 2023'!$G$4:$G$815,'май 2023'!$D$4:$D$815,$B103,'май 2023'!$J$4:$J$815,N$1)</f>
        <v>0</v>
      </c>
      <c r="O103" s="207">
        <f>SUMIFS('май 2023'!$G$4:$G$815,'май 2023'!$D$4:$D$815,$B103,'май 2023'!$J$4:$J$815,O$1)</f>
        <v>0</v>
      </c>
      <c r="P103" s="207">
        <f>SUMIFS('май 2023'!$G$4:$G$815,'май 2023'!$D$4:$D$815,$B103,'май 2023'!$J$4:$J$815,P$1)</f>
        <v>0</v>
      </c>
      <c r="Q103" s="207">
        <f>SUMIFS('май 2023'!$G$4:$G$815,'май 2023'!$D$4:$D$815,$B103,'май 2023'!$J$4:$J$815,Q$1)</f>
        <v>0</v>
      </c>
      <c r="R103" s="207">
        <f>SUMIFS('май 2023'!$G$4:$G$815,'май 2023'!$D$4:$D$815,$B103,'май 2023'!$J$4:$J$815,R$1)</f>
        <v>0</v>
      </c>
      <c r="S103" s="207">
        <f>SUMIFS('май 2023'!$G$4:$G$815,'май 2023'!$D$4:$D$815,$B103,'май 2023'!$J$4:$J$815,S$1)</f>
        <v>0</v>
      </c>
      <c r="T103" s="207">
        <f>SUMIFS('май 2023'!$G$4:$G$815,'май 2023'!$D$4:$D$815,$B103,'май 2023'!$J$4:$J$815,T$1)</f>
        <v>0</v>
      </c>
      <c r="U103" s="207">
        <f>SUMIFS('май 2023'!$G$4:$G$815,'май 2023'!$D$4:$D$815,$B103,'май 2023'!$J$4:$J$815,U$1)</f>
        <v>0</v>
      </c>
      <c r="V103" s="207">
        <f>SUMIFS('май 2023'!$G$4:$G$815,'май 2023'!$D$4:$D$815,$B103,'май 2023'!$J$4:$J$815,V$1)</f>
        <v>0</v>
      </c>
      <c r="W103" s="207">
        <f>SUMIFS('май 2023'!$G$4:$G$815,'май 2023'!$D$4:$D$815,$B103,'май 2023'!$J$4:$J$815,W$1)</f>
        <v>0</v>
      </c>
      <c r="X103" s="207">
        <f>SUMIFS('май 2023'!$G$4:$G$815,'май 2023'!$D$4:$D$815,$B103,'май 2023'!$J$4:$J$815,X$1)</f>
        <v>0</v>
      </c>
      <c r="Y103" s="207">
        <f>SUMIFS('май 2023'!$G$4:$G$815,'май 2023'!$D$4:$D$815,$B103,'май 2023'!$J$4:$J$815,Y$1)</f>
        <v>0</v>
      </c>
      <c r="Z103" s="207">
        <f>SUMIFS('май 2023'!$G$4:$G$815,'май 2023'!$D$4:$D$815,$B103,'май 2023'!$J$4:$J$815,Z$1)</f>
        <v>0</v>
      </c>
      <c r="AA103" s="207">
        <f>SUMIFS('май 2023'!$G$4:$G$815,'май 2023'!$D$4:$D$815,$B103,'май 2023'!$J$4:$J$815,AA$1)</f>
        <v>0</v>
      </c>
      <c r="AB103" s="207">
        <f>SUMIFS('май 2023'!$G$4:$G$815,'май 2023'!$D$4:$D$815,$B103,'май 2023'!$J$4:$J$815,AB$1)</f>
        <v>0</v>
      </c>
      <c r="AC103" s="207">
        <f>SUMIFS('май 2023'!$G$4:$G$815,'май 2023'!$D$4:$D$815,$B103,'май 2023'!$J$4:$J$815,AC$1)</f>
        <v>0</v>
      </c>
      <c r="AD103" s="207">
        <f>SUMIFS('май 2023'!$G$4:$G$815,'май 2023'!$D$4:$D$815,$B103,'май 2023'!$J$4:$J$815,AD$1)</f>
        <v>0</v>
      </c>
      <c r="AE103" s="207">
        <f>SUMIFS('май 2023'!$G$4:$G$815,'май 2023'!$D$4:$D$815,$B103,'май 2023'!$J$4:$J$815,AE$1)</f>
        <v>0</v>
      </c>
      <c r="AF103" s="207">
        <f>SUMIFS('май 2023'!$G$4:$G$815,'май 2023'!$D$4:$D$815,$B103,'май 2023'!$J$4:$J$815,AF$1)</f>
        <v>0</v>
      </c>
      <c r="AG103" s="207">
        <f>SUMIFS('май 2023'!$G$4:$G$815,'май 2023'!$D$4:$D$815,$B103,'май 2023'!$J$4:$J$815,AG$1)</f>
        <v>0</v>
      </c>
      <c r="AH103" s="207">
        <f>SUMIFS('май 2023'!$G$4:$G$815,'май 2023'!$D$4:$D$815,$B103,'май 2023'!$J$4:$J$815,AH$1)</f>
        <v>0</v>
      </c>
      <c r="AI103" s="170">
        <f t="shared" si="3"/>
        <v>0</v>
      </c>
    </row>
    <row r="104" spans="2:35" ht="15" customHeight="1" x14ac:dyDescent="0.25">
      <c r="B104" s="212" t="s">
        <v>1021</v>
      </c>
      <c r="C104" s="213">
        <v>200</v>
      </c>
      <c r="D104" s="207">
        <f>SUMIFS('май 2023'!$G$4:$G$815,'май 2023'!$D$4:$D$815,$B104,'май 2023'!$J$4:$J$815,D$1)</f>
        <v>0</v>
      </c>
      <c r="E104" s="207">
        <f>SUMIFS('май 2023'!$G$4:$G$815,'май 2023'!$D$4:$D$815,$B104,'май 2023'!$J$4:$J$815,E$1)</f>
        <v>0</v>
      </c>
      <c r="F104" s="207">
        <f>SUMIFS('май 2023'!$G$4:$G$815,'май 2023'!$D$4:$D$815,$B104,'май 2023'!$J$4:$J$815,F$1)</f>
        <v>0</v>
      </c>
      <c r="G104" s="207">
        <f>SUMIFS('май 2023'!$G$4:$G$815,'май 2023'!$D$4:$D$815,$B104,'май 2023'!$J$4:$J$815,G$1)</f>
        <v>0</v>
      </c>
      <c r="H104" s="207">
        <f>SUMIFS('май 2023'!$G$4:$G$815,'май 2023'!$D$4:$D$815,$B104,'май 2023'!$J$4:$J$815,H$1)</f>
        <v>0</v>
      </c>
      <c r="I104" s="207">
        <f>SUMIFS('май 2023'!$G$4:$G$815,'май 2023'!$D$4:$D$815,$B104,'май 2023'!$J$4:$J$815,I$1)</f>
        <v>0</v>
      </c>
      <c r="J104" s="207">
        <f>SUMIFS('май 2023'!$G$4:$G$815,'май 2023'!$D$4:$D$815,$B104,'май 2023'!$J$4:$J$815,J$1)</f>
        <v>0</v>
      </c>
      <c r="K104" s="207">
        <f>SUMIFS('май 2023'!$G$4:$G$815,'май 2023'!$D$4:$D$815,$B104,'май 2023'!$J$4:$J$815,K$1)</f>
        <v>0</v>
      </c>
      <c r="L104" s="207">
        <f>SUMIFS('май 2023'!$G$4:$G$815,'май 2023'!$D$4:$D$815,$B104,'май 2023'!$J$4:$J$815,L$1)</f>
        <v>0</v>
      </c>
      <c r="M104" s="207">
        <f>SUMIFS('май 2023'!$G$4:$G$815,'май 2023'!$D$4:$D$815,$B104,'май 2023'!$J$4:$J$815,M$1)</f>
        <v>21</v>
      </c>
      <c r="N104" s="207">
        <f>SUMIFS('май 2023'!$G$4:$G$815,'май 2023'!$D$4:$D$815,$B104,'май 2023'!$J$4:$J$815,N$1)</f>
        <v>0</v>
      </c>
      <c r="O104" s="207">
        <f>SUMIFS('май 2023'!$G$4:$G$815,'май 2023'!$D$4:$D$815,$B104,'май 2023'!$J$4:$J$815,O$1)</f>
        <v>0</v>
      </c>
      <c r="P104" s="207">
        <f>SUMIFS('май 2023'!$G$4:$G$815,'май 2023'!$D$4:$D$815,$B104,'май 2023'!$J$4:$J$815,P$1)</f>
        <v>0</v>
      </c>
      <c r="Q104" s="207">
        <f>SUMIFS('май 2023'!$G$4:$G$815,'май 2023'!$D$4:$D$815,$B104,'май 2023'!$J$4:$J$815,Q$1)</f>
        <v>0</v>
      </c>
      <c r="R104" s="207">
        <f>SUMIFS('май 2023'!$G$4:$G$815,'май 2023'!$D$4:$D$815,$B104,'май 2023'!$J$4:$J$815,R$1)</f>
        <v>0</v>
      </c>
      <c r="S104" s="207">
        <f>SUMIFS('май 2023'!$G$4:$G$815,'май 2023'!$D$4:$D$815,$B104,'май 2023'!$J$4:$J$815,S$1)</f>
        <v>0</v>
      </c>
      <c r="T104" s="207">
        <f>SUMIFS('май 2023'!$G$4:$G$815,'май 2023'!$D$4:$D$815,$B104,'май 2023'!$J$4:$J$815,T$1)</f>
        <v>0</v>
      </c>
      <c r="U104" s="207">
        <f>SUMIFS('май 2023'!$G$4:$G$815,'май 2023'!$D$4:$D$815,$B104,'май 2023'!$J$4:$J$815,U$1)</f>
        <v>0</v>
      </c>
      <c r="V104" s="207">
        <f>SUMIFS('май 2023'!$G$4:$G$815,'май 2023'!$D$4:$D$815,$B104,'май 2023'!$J$4:$J$815,V$1)</f>
        <v>0</v>
      </c>
      <c r="W104" s="207">
        <f>SUMIFS('май 2023'!$G$4:$G$815,'май 2023'!$D$4:$D$815,$B104,'май 2023'!$J$4:$J$815,W$1)</f>
        <v>0</v>
      </c>
      <c r="X104" s="207">
        <f>SUMIFS('май 2023'!$G$4:$G$815,'май 2023'!$D$4:$D$815,$B104,'май 2023'!$J$4:$J$815,X$1)</f>
        <v>0</v>
      </c>
      <c r="Y104" s="207">
        <f>SUMIFS('май 2023'!$G$4:$G$815,'май 2023'!$D$4:$D$815,$B104,'май 2023'!$J$4:$J$815,Y$1)</f>
        <v>0</v>
      </c>
      <c r="Z104" s="207">
        <f>SUMIFS('май 2023'!$G$4:$G$815,'май 2023'!$D$4:$D$815,$B104,'май 2023'!$J$4:$J$815,Z$1)</f>
        <v>0</v>
      </c>
      <c r="AA104" s="207">
        <f>SUMIFS('май 2023'!$G$4:$G$815,'май 2023'!$D$4:$D$815,$B104,'май 2023'!$J$4:$J$815,AA$1)</f>
        <v>0</v>
      </c>
      <c r="AB104" s="207">
        <f>SUMIFS('май 2023'!$G$4:$G$815,'май 2023'!$D$4:$D$815,$B104,'май 2023'!$J$4:$J$815,AB$1)</f>
        <v>0</v>
      </c>
      <c r="AC104" s="207">
        <f>SUMIFS('май 2023'!$G$4:$G$815,'май 2023'!$D$4:$D$815,$B104,'май 2023'!$J$4:$J$815,AC$1)</f>
        <v>0</v>
      </c>
      <c r="AD104" s="207">
        <f>SUMIFS('май 2023'!$G$4:$G$815,'май 2023'!$D$4:$D$815,$B104,'май 2023'!$J$4:$J$815,AD$1)</f>
        <v>0</v>
      </c>
      <c r="AE104" s="207">
        <f>SUMIFS('май 2023'!$G$4:$G$815,'май 2023'!$D$4:$D$815,$B104,'май 2023'!$J$4:$J$815,AE$1)</f>
        <v>0</v>
      </c>
      <c r="AF104" s="207">
        <f>SUMIFS('май 2023'!$G$4:$G$815,'май 2023'!$D$4:$D$815,$B104,'май 2023'!$J$4:$J$815,AF$1)</f>
        <v>0</v>
      </c>
      <c r="AG104" s="207">
        <f>SUMIFS('май 2023'!$G$4:$G$815,'май 2023'!$D$4:$D$815,$B104,'май 2023'!$J$4:$J$815,AG$1)</f>
        <v>0</v>
      </c>
      <c r="AH104" s="207">
        <f>SUMIFS('май 2023'!$G$4:$G$815,'май 2023'!$D$4:$D$815,$B104,'май 2023'!$J$4:$J$815,AH$1)</f>
        <v>0</v>
      </c>
      <c r="AI104" s="170">
        <f t="shared" si="3"/>
        <v>21</v>
      </c>
    </row>
    <row r="105" spans="2:35" ht="15" customHeight="1" x14ac:dyDescent="0.25">
      <c r="B105" s="212" t="s">
        <v>1023</v>
      </c>
      <c r="C105" s="213">
        <v>25</v>
      </c>
      <c r="D105" s="207">
        <f>SUMIFS('май 2023'!$G$4:$G$815,'май 2023'!$D$4:$D$815,$B105,'май 2023'!$J$4:$J$815,D$1)</f>
        <v>0</v>
      </c>
      <c r="E105" s="207">
        <f>SUMIFS('май 2023'!$G$4:$G$815,'май 2023'!$D$4:$D$815,$B105,'май 2023'!$J$4:$J$815,E$1)</f>
        <v>0</v>
      </c>
      <c r="F105" s="207">
        <f>SUMIFS('май 2023'!$G$4:$G$815,'май 2023'!$D$4:$D$815,$B105,'май 2023'!$J$4:$J$815,F$1)</f>
        <v>0</v>
      </c>
      <c r="G105" s="207">
        <f>SUMIFS('май 2023'!$G$4:$G$815,'май 2023'!$D$4:$D$815,$B105,'май 2023'!$J$4:$J$815,G$1)</f>
        <v>0</v>
      </c>
      <c r="H105" s="207">
        <f>SUMIFS('май 2023'!$G$4:$G$815,'май 2023'!$D$4:$D$815,$B105,'май 2023'!$J$4:$J$815,H$1)</f>
        <v>0</v>
      </c>
      <c r="I105" s="207">
        <f>SUMIFS('май 2023'!$G$4:$G$815,'май 2023'!$D$4:$D$815,$B105,'май 2023'!$J$4:$J$815,I$1)</f>
        <v>0</v>
      </c>
      <c r="J105" s="207">
        <f>SUMIFS('май 2023'!$G$4:$G$815,'май 2023'!$D$4:$D$815,$B105,'май 2023'!$J$4:$J$815,J$1)</f>
        <v>0</v>
      </c>
      <c r="K105" s="207">
        <f>SUMIFS('май 2023'!$G$4:$G$815,'май 2023'!$D$4:$D$815,$B105,'май 2023'!$J$4:$J$815,K$1)</f>
        <v>0</v>
      </c>
      <c r="L105" s="207">
        <f>SUMIFS('май 2023'!$G$4:$G$815,'май 2023'!$D$4:$D$815,$B105,'май 2023'!$J$4:$J$815,L$1)</f>
        <v>0</v>
      </c>
      <c r="M105" s="207">
        <f>SUMIFS('май 2023'!$G$4:$G$815,'май 2023'!$D$4:$D$815,$B105,'май 2023'!$J$4:$J$815,M$1)</f>
        <v>0</v>
      </c>
      <c r="N105" s="207">
        <f>SUMIFS('май 2023'!$G$4:$G$815,'май 2023'!$D$4:$D$815,$B105,'май 2023'!$J$4:$J$815,N$1)</f>
        <v>0</v>
      </c>
      <c r="O105" s="207">
        <f>SUMIFS('май 2023'!$G$4:$G$815,'май 2023'!$D$4:$D$815,$B105,'май 2023'!$J$4:$J$815,O$1)</f>
        <v>0</v>
      </c>
      <c r="P105" s="207">
        <f>SUMIFS('май 2023'!$G$4:$G$815,'май 2023'!$D$4:$D$815,$B105,'май 2023'!$J$4:$J$815,P$1)</f>
        <v>0</v>
      </c>
      <c r="Q105" s="207">
        <f>SUMIFS('май 2023'!$G$4:$G$815,'май 2023'!$D$4:$D$815,$B105,'май 2023'!$J$4:$J$815,Q$1)</f>
        <v>0</v>
      </c>
      <c r="R105" s="207">
        <f>SUMIFS('май 2023'!$G$4:$G$815,'май 2023'!$D$4:$D$815,$B105,'май 2023'!$J$4:$J$815,R$1)</f>
        <v>0</v>
      </c>
      <c r="S105" s="207">
        <f>SUMIFS('май 2023'!$G$4:$G$815,'май 2023'!$D$4:$D$815,$B105,'май 2023'!$J$4:$J$815,S$1)</f>
        <v>0</v>
      </c>
      <c r="T105" s="207">
        <f>SUMIFS('май 2023'!$G$4:$G$815,'май 2023'!$D$4:$D$815,$B105,'май 2023'!$J$4:$J$815,T$1)</f>
        <v>0</v>
      </c>
      <c r="U105" s="207">
        <f>SUMIFS('май 2023'!$G$4:$G$815,'май 2023'!$D$4:$D$815,$B105,'май 2023'!$J$4:$J$815,U$1)</f>
        <v>0</v>
      </c>
      <c r="V105" s="207">
        <f>SUMIFS('май 2023'!$G$4:$G$815,'май 2023'!$D$4:$D$815,$B105,'май 2023'!$J$4:$J$815,V$1)</f>
        <v>0</v>
      </c>
      <c r="W105" s="207">
        <f>SUMIFS('май 2023'!$G$4:$G$815,'май 2023'!$D$4:$D$815,$B105,'май 2023'!$J$4:$J$815,W$1)</f>
        <v>0</v>
      </c>
      <c r="X105" s="207">
        <f>SUMIFS('май 2023'!$G$4:$G$815,'май 2023'!$D$4:$D$815,$B105,'май 2023'!$J$4:$J$815,X$1)</f>
        <v>0</v>
      </c>
      <c r="Y105" s="207">
        <f>SUMIFS('май 2023'!$G$4:$G$815,'май 2023'!$D$4:$D$815,$B105,'май 2023'!$J$4:$J$815,Y$1)</f>
        <v>0</v>
      </c>
      <c r="Z105" s="207">
        <f>SUMIFS('май 2023'!$G$4:$G$815,'май 2023'!$D$4:$D$815,$B105,'май 2023'!$J$4:$J$815,Z$1)</f>
        <v>0</v>
      </c>
      <c r="AA105" s="207">
        <f>SUMIFS('май 2023'!$G$4:$G$815,'май 2023'!$D$4:$D$815,$B105,'май 2023'!$J$4:$J$815,AA$1)</f>
        <v>0</v>
      </c>
      <c r="AB105" s="207">
        <f>SUMIFS('май 2023'!$G$4:$G$815,'май 2023'!$D$4:$D$815,$B105,'май 2023'!$J$4:$J$815,AB$1)</f>
        <v>0</v>
      </c>
      <c r="AC105" s="207">
        <f>SUMIFS('май 2023'!$G$4:$G$815,'май 2023'!$D$4:$D$815,$B105,'май 2023'!$J$4:$J$815,AC$1)</f>
        <v>0</v>
      </c>
      <c r="AD105" s="207">
        <f>SUMIFS('май 2023'!$G$4:$G$815,'май 2023'!$D$4:$D$815,$B105,'май 2023'!$J$4:$J$815,AD$1)</f>
        <v>0</v>
      </c>
      <c r="AE105" s="207">
        <f>SUMIFS('май 2023'!$G$4:$G$815,'май 2023'!$D$4:$D$815,$B105,'май 2023'!$J$4:$J$815,AE$1)</f>
        <v>0</v>
      </c>
      <c r="AF105" s="207">
        <f>SUMIFS('май 2023'!$G$4:$G$815,'май 2023'!$D$4:$D$815,$B105,'май 2023'!$J$4:$J$815,AF$1)</f>
        <v>0</v>
      </c>
      <c r="AG105" s="207">
        <f>SUMIFS('май 2023'!$G$4:$G$815,'май 2023'!$D$4:$D$815,$B105,'май 2023'!$J$4:$J$815,AG$1)</f>
        <v>0</v>
      </c>
      <c r="AH105" s="207">
        <f>SUMIFS('май 2023'!$G$4:$G$815,'май 2023'!$D$4:$D$815,$B105,'май 2023'!$J$4:$J$815,AH$1)</f>
        <v>0</v>
      </c>
      <c r="AI105" s="170">
        <f t="shared" si="3"/>
        <v>0</v>
      </c>
    </row>
    <row r="106" spans="2:35" ht="15" customHeight="1" x14ac:dyDescent="0.25">
      <c r="B106" s="216" t="s">
        <v>2199</v>
      </c>
      <c r="C106" s="213">
        <v>200</v>
      </c>
      <c r="D106" s="207">
        <f>SUMIFS('май 2023'!$G$4:$G$815,'май 2023'!$D$4:$D$815,$B106,'май 2023'!$J$4:$J$815,D$1)</f>
        <v>0</v>
      </c>
      <c r="E106" s="207">
        <f>SUMIFS('май 2023'!$G$4:$G$815,'май 2023'!$D$4:$D$815,$B106,'май 2023'!$J$4:$J$815,E$1)</f>
        <v>0</v>
      </c>
      <c r="F106" s="207">
        <f>SUMIFS('май 2023'!$G$4:$G$815,'май 2023'!$D$4:$D$815,$B106,'май 2023'!$J$4:$J$815,F$1)</f>
        <v>0</v>
      </c>
      <c r="G106" s="207">
        <f>SUMIFS('май 2023'!$G$4:$G$815,'май 2023'!$D$4:$D$815,$B106,'май 2023'!$J$4:$J$815,G$1)</f>
        <v>0</v>
      </c>
      <c r="H106" s="207">
        <f>SUMIFS('май 2023'!$G$4:$G$815,'май 2023'!$D$4:$D$815,$B106,'май 2023'!$J$4:$J$815,H$1)</f>
        <v>0</v>
      </c>
      <c r="I106" s="207">
        <f>SUMIFS('май 2023'!$G$4:$G$815,'май 2023'!$D$4:$D$815,$B106,'май 2023'!$J$4:$J$815,I$1)</f>
        <v>0</v>
      </c>
      <c r="J106" s="207">
        <f>SUMIFS('май 2023'!$G$4:$G$815,'май 2023'!$D$4:$D$815,$B106,'май 2023'!$J$4:$J$815,J$1)</f>
        <v>0</v>
      </c>
      <c r="K106" s="207">
        <f>SUMIFS('май 2023'!$G$4:$G$815,'май 2023'!$D$4:$D$815,$B106,'май 2023'!$J$4:$J$815,K$1)</f>
        <v>0</v>
      </c>
      <c r="L106" s="207">
        <f>SUMIFS('май 2023'!$G$4:$G$815,'май 2023'!$D$4:$D$815,$B106,'май 2023'!$J$4:$J$815,L$1)</f>
        <v>0</v>
      </c>
      <c r="M106" s="207">
        <f>SUMIFS('май 2023'!$G$4:$G$815,'май 2023'!$D$4:$D$815,$B106,'май 2023'!$J$4:$J$815,M$1)</f>
        <v>0</v>
      </c>
      <c r="N106" s="207">
        <f>SUMIFS('май 2023'!$G$4:$G$815,'май 2023'!$D$4:$D$815,$B106,'май 2023'!$J$4:$J$815,N$1)</f>
        <v>0</v>
      </c>
      <c r="O106" s="207">
        <f>SUMIFS('май 2023'!$G$4:$G$815,'май 2023'!$D$4:$D$815,$B106,'май 2023'!$J$4:$J$815,O$1)</f>
        <v>0</v>
      </c>
      <c r="P106" s="207">
        <f>SUMIFS('май 2023'!$G$4:$G$815,'май 2023'!$D$4:$D$815,$B106,'май 2023'!$J$4:$J$815,P$1)</f>
        <v>0</v>
      </c>
      <c r="Q106" s="207">
        <f>SUMIFS('май 2023'!$G$4:$G$815,'май 2023'!$D$4:$D$815,$B106,'май 2023'!$J$4:$J$815,Q$1)</f>
        <v>0</v>
      </c>
      <c r="R106" s="207">
        <f>SUMIFS('май 2023'!$G$4:$G$815,'май 2023'!$D$4:$D$815,$B106,'май 2023'!$J$4:$J$815,R$1)</f>
        <v>0</v>
      </c>
      <c r="S106" s="207">
        <f>SUMIFS('май 2023'!$G$4:$G$815,'май 2023'!$D$4:$D$815,$B106,'май 2023'!$J$4:$J$815,S$1)</f>
        <v>0</v>
      </c>
      <c r="T106" s="207">
        <f>SUMIFS('май 2023'!$G$4:$G$815,'май 2023'!$D$4:$D$815,$B106,'май 2023'!$J$4:$J$815,T$1)</f>
        <v>0</v>
      </c>
      <c r="U106" s="207">
        <f>SUMIFS('май 2023'!$G$4:$G$815,'май 2023'!$D$4:$D$815,$B106,'май 2023'!$J$4:$J$815,U$1)</f>
        <v>0</v>
      </c>
      <c r="V106" s="207">
        <f>SUMIFS('май 2023'!$G$4:$G$815,'май 2023'!$D$4:$D$815,$B106,'май 2023'!$J$4:$J$815,V$1)</f>
        <v>0</v>
      </c>
      <c r="W106" s="207">
        <f>SUMIFS('май 2023'!$G$4:$G$815,'май 2023'!$D$4:$D$815,$B106,'май 2023'!$J$4:$J$815,W$1)</f>
        <v>0</v>
      </c>
      <c r="X106" s="207">
        <f>SUMIFS('май 2023'!$G$4:$G$815,'май 2023'!$D$4:$D$815,$B106,'май 2023'!$J$4:$J$815,X$1)</f>
        <v>0</v>
      </c>
      <c r="Y106" s="207">
        <f>SUMIFS('май 2023'!$G$4:$G$815,'май 2023'!$D$4:$D$815,$B106,'май 2023'!$J$4:$J$815,Y$1)</f>
        <v>0</v>
      </c>
      <c r="Z106" s="207">
        <f>SUMIFS('май 2023'!$G$4:$G$815,'май 2023'!$D$4:$D$815,$B106,'май 2023'!$J$4:$J$815,Z$1)</f>
        <v>0</v>
      </c>
      <c r="AA106" s="207">
        <f>SUMIFS('май 2023'!$G$4:$G$815,'май 2023'!$D$4:$D$815,$B106,'май 2023'!$J$4:$J$815,AA$1)</f>
        <v>0</v>
      </c>
      <c r="AB106" s="207">
        <f>SUMIFS('май 2023'!$G$4:$G$815,'май 2023'!$D$4:$D$815,$B106,'май 2023'!$J$4:$J$815,AB$1)</f>
        <v>0</v>
      </c>
      <c r="AC106" s="207">
        <f>SUMIFS('май 2023'!$G$4:$G$815,'май 2023'!$D$4:$D$815,$B106,'май 2023'!$J$4:$J$815,AC$1)</f>
        <v>0</v>
      </c>
      <c r="AD106" s="207">
        <f>SUMIFS('май 2023'!$G$4:$G$815,'май 2023'!$D$4:$D$815,$B106,'май 2023'!$J$4:$J$815,AD$1)</f>
        <v>0</v>
      </c>
      <c r="AE106" s="207">
        <f>SUMIFS('май 2023'!$G$4:$G$815,'май 2023'!$D$4:$D$815,$B106,'май 2023'!$J$4:$J$815,AE$1)</f>
        <v>0</v>
      </c>
      <c r="AF106" s="207">
        <f>SUMIFS('май 2023'!$G$4:$G$815,'май 2023'!$D$4:$D$815,$B106,'май 2023'!$J$4:$J$815,AF$1)</f>
        <v>0</v>
      </c>
      <c r="AG106" s="207">
        <f>SUMIFS('май 2023'!$G$4:$G$815,'май 2023'!$D$4:$D$815,$B106,'май 2023'!$J$4:$J$815,AG$1)</f>
        <v>0</v>
      </c>
      <c r="AH106" s="207">
        <f>SUMIFS('май 2023'!$G$4:$G$815,'май 2023'!$D$4:$D$815,$B106,'май 2023'!$J$4:$J$815,AH$1)</f>
        <v>0</v>
      </c>
      <c r="AI106" s="170">
        <f t="shared" si="3"/>
        <v>0</v>
      </c>
    </row>
    <row r="107" spans="2:35" ht="16.899999999999999" customHeight="1" x14ac:dyDescent="0.25">
      <c r="B107" s="212" t="s">
        <v>1094</v>
      </c>
      <c r="C107" s="211">
        <v>25</v>
      </c>
      <c r="D107" s="207">
        <f>SUMIFS('май 2023'!$G$4:$G$815,'май 2023'!$D$4:$D$815,$B107,'май 2023'!$J$4:$J$815,D$1)</f>
        <v>0</v>
      </c>
      <c r="E107" s="207">
        <f>SUMIFS('май 2023'!$G$4:$G$815,'май 2023'!$D$4:$D$815,$B107,'май 2023'!$J$4:$J$815,E$1)</f>
        <v>0</v>
      </c>
      <c r="F107" s="207">
        <f>SUMIFS('май 2023'!$G$4:$G$815,'май 2023'!$D$4:$D$815,$B107,'май 2023'!$J$4:$J$815,F$1)</f>
        <v>0</v>
      </c>
      <c r="G107" s="207">
        <f>SUMIFS('май 2023'!$G$4:$G$815,'май 2023'!$D$4:$D$815,$B107,'май 2023'!$J$4:$J$815,G$1)</f>
        <v>0</v>
      </c>
      <c r="H107" s="207">
        <f>SUMIFS('май 2023'!$G$4:$G$815,'май 2023'!$D$4:$D$815,$B107,'май 2023'!$J$4:$J$815,H$1)</f>
        <v>0</v>
      </c>
      <c r="I107" s="207">
        <f>SUMIFS('май 2023'!$G$4:$G$815,'май 2023'!$D$4:$D$815,$B107,'май 2023'!$J$4:$J$815,I$1)</f>
        <v>0</v>
      </c>
      <c r="J107" s="207">
        <f>SUMIFS('май 2023'!$G$4:$G$815,'май 2023'!$D$4:$D$815,$B107,'май 2023'!$J$4:$J$815,J$1)</f>
        <v>0</v>
      </c>
      <c r="K107" s="207">
        <f>SUMIFS('май 2023'!$G$4:$G$815,'май 2023'!$D$4:$D$815,$B107,'май 2023'!$J$4:$J$815,K$1)</f>
        <v>0</v>
      </c>
      <c r="L107" s="207">
        <f>SUMIFS('май 2023'!$G$4:$G$815,'май 2023'!$D$4:$D$815,$B107,'май 2023'!$J$4:$J$815,L$1)</f>
        <v>0</v>
      </c>
      <c r="M107" s="207">
        <f>SUMIFS('май 2023'!$G$4:$G$815,'май 2023'!$D$4:$D$815,$B107,'май 2023'!$J$4:$J$815,M$1)</f>
        <v>0</v>
      </c>
      <c r="N107" s="207">
        <f>SUMIFS('май 2023'!$G$4:$G$815,'май 2023'!$D$4:$D$815,$B107,'май 2023'!$J$4:$J$815,N$1)</f>
        <v>0</v>
      </c>
      <c r="O107" s="207">
        <f>SUMIFS('май 2023'!$G$4:$G$815,'май 2023'!$D$4:$D$815,$B107,'май 2023'!$J$4:$J$815,O$1)</f>
        <v>0</v>
      </c>
      <c r="P107" s="207">
        <f>SUMIFS('май 2023'!$G$4:$G$815,'май 2023'!$D$4:$D$815,$B107,'май 2023'!$J$4:$J$815,P$1)</f>
        <v>0</v>
      </c>
      <c r="Q107" s="207">
        <f>SUMIFS('май 2023'!$G$4:$G$815,'май 2023'!$D$4:$D$815,$B107,'май 2023'!$J$4:$J$815,Q$1)</f>
        <v>0</v>
      </c>
      <c r="R107" s="207">
        <f>SUMIFS('май 2023'!$G$4:$G$815,'май 2023'!$D$4:$D$815,$B107,'май 2023'!$J$4:$J$815,R$1)</f>
        <v>0</v>
      </c>
      <c r="S107" s="207">
        <f>SUMIFS('май 2023'!$G$4:$G$815,'май 2023'!$D$4:$D$815,$B107,'май 2023'!$J$4:$J$815,S$1)</f>
        <v>0</v>
      </c>
      <c r="T107" s="207">
        <f>SUMIFS('май 2023'!$G$4:$G$815,'май 2023'!$D$4:$D$815,$B107,'май 2023'!$J$4:$J$815,T$1)</f>
        <v>0</v>
      </c>
      <c r="U107" s="207">
        <f>SUMIFS('май 2023'!$G$4:$G$815,'май 2023'!$D$4:$D$815,$B107,'май 2023'!$J$4:$J$815,U$1)</f>
        <v>0</v>
      </c>
      <c r="V107" s="207">
        <f>SUMIFS('май 2023'!$G$4:$G$815,'май 2023'!$D$4:$D$815,$B107,'май 2023'!$J$4:$J$815,V$1)</f>
        <v>0</v>
      </c>
      <c r="W107" s="207">
        <f>SUMIFS('май 2023'!$G$4:$G$815,'май 2023'!$D$4:$D$815,$B107,'май 2023'!$J$4:$J$815,W$1)</f>
        <v>0</v>
      </c>
      <c r="X107" s="207">
        <f>SUMIFS('май 2023'!$G$4:$G$815,'май 2023'!$D$4:$D$815,$B107,'май 2023'!$J$4:$J$815,X$1)</f>
        <v>0</v>
      </c>
      <c r="Y107" s="207">
        <f>SUMIFS('май 2023'!$G$4:$G$815,'май 2023'!$D$4:$D$815,$B107,'май 2023'!$J$4:$J$815,Y$1)</f>
        <v>0</v>
      </c>
      <c r="Z107" s="207">
        <f>SUMIFS('май 2023'!$G$4:$G$815,'май 2023'!$D$4:$D$815,$B107,'май 2023'!$J$4:$J$815,Z$1)</f>
        <v>0</v>
      </c>
      <c r="AA107" s="207">
        <f>SUMIFS('май 2023'!$G$4:$G$815,'май 2023'!$D$4:$D$815,$B107,'май 2023'!$J$4:$J$815,AA$1)</f>
        <v>0</v>
      </c>
      <c r="AB107" s="207">
        <f>SUMIFS('май 2023'!$G$4:$G$815,'май 2023'!$D$4:$D$815,$B107,'май 2023'!$J$4:$J$815,AB$1)</f>
        <v>0</v>
      </c>
      <c r="AC107" s="207">
        <f>SUMIFS('май 2023'!$G$4:$G$815,'май 2023'!$D$4:$D$815,$B107,'май 2023'!$J$4:$J$815,AC$1)</f>
        <v>0</v>
      </c>
      <c r="AD107" s="207">
        <f>SUMIFS('май 2023'!$G$4:$G$815,'май 2023'!$D$4:$D$815,$B107,'май 2023'!$J$4:$J$815,AD$1)</f>
        <v>0</v>
      </c>
      <c r="AE107" s="207">
        <f>SUMIFS('май 2023'!$G$4:$G$815,'май 2023'!$D$4:$D$815,$B107,'май 2023'!$J$4:$J$815,AE$1)</f>
        <v>0</v>
      </c>
      <c r="AF107" s="207">
        <f>SUMIFS('май 2023'!$G$4:$G$815,'май 2023'!$D$4:$D$815,$B107,'май 2023'!$J$4:$J$815,AF$1)</f>
        <v>0</v>
      </c>
      <c r="AG107" s="207">
        <f>SUMIFS('май 2023'!$G$4:$G$815,'май 2023'!$D$4:$D$815,$B107,'май 2023'!$J$4:$J$815,AG$1)</f>
        <v>0</v>
      </c>
      <c r="AH107" s="207">
        <f>SUMIFS('май 2023'!$G$4:$G$815,'май 2023'!$D$4:$D$815,$B107,'май 2023'!$J$4:$J$815,AH$1)</f>
        <v>0</v>
      </c>
      <c r="AI107" s="170">
        <f t="shared" si="3"/>
        <v>0</v>
      </c>
    </row>
    <row r="108" spans="2:35" ht="15" customHeight="1" x14ac:dyDescent="0.25">
      <c r="B108" s="212" t="s">
        <v>191</v>
      </c>
      <c r="C108" s="211">
        <v>25</v>
      </c>
      <c r="D108" s="207">
        <f>SUMIFS('май 2023'!$G$4:$G$815,'май 2023'!$D$4:$D$815,$B108,'май 2023'!$J$4:$J$815,D$1)</f>
        <v>0</v>
      </c>
      <c r="E108" s="207">
        <f>SUMIFS('май 2023'!$G$4:$G$815,'май 2023'!$D$4:$D$815,$B108,'май 2023'!$J$4:$J$815,E$1)</f>
        <v>0</v>
      </c>
      <c r="F108" s="207">
        <f>SUMIFS('май 2023'!$G$4:$G$815,'май 2023'!$D$4:$D$815,$B108,'май 2023'!$J$4:$J$815,F$1)</f>
        <v>0</v>
      </c>
      <c r="G108" s="207">
        <f>SUMIFS('май 2023'!$G$4:$G$815,'май 2023'!$D$4:$D$815,$B108,'май 2023'!$J$4:$J$815,G$1)</f>
        <v>0</v>
      </c>
      <c r="H108" s="207">
        <f>SUMIFS('май 2023'!$G$4:$G$815,'май 2023'!$D$4:$D$815,$B108,'май 2023'!$J$4:$J$815,H$1)</f>
        <v>0</v>
      </c>
      <c r="I108" s="207">
        <f>SUMIFS('май 2023'!$G$4:$G$815,'май 2023'!$D$4:$D$815,$B108,'май 2023'!$J$4:$J$815,I$1)</f>
        <v>0</v>
      </c>
      <c r="J108" s="207">
        <f>SUMIFS('май 2023'!$G$4:$G$815,'май 2023'!$D$4:$D$815,$B108,'май 2023'!$J$4:$J$815,J$1)</f>
        <v>0</v>
      </c>
      <c r="K108" s="207">
        <f>SUMIFS('май 2023'!$G$4:$G$815,'май 2023'!$D$4:$D$815,$B108,'май 2023'!$J$4:$J$815,K$1)</f>
        <v>0</v>
      </c>
      <c r="L108" s="207">
        <f>SUMIFS('май 2023'!$G$4:$G$815,'май 2023'!$D$4:$D$815,$B108,'май 2023'!$J$4:$J$815,L$1)</f>
        <v>0</v>
      </c>
      <c r="M108" s="207">
        <f>SUMIFS('май 2023'!$G$4:$G$815,'май 2023'!$D$4:$D$815,$B108,'май 2023'!$J$4:$J$815,M$1)</f>
        <v>0</v>
      </c>
      <c r="N108" s="207">
        <f>SUMIFS('май 2023'!$G$4:$G$815,'май 2023'!$D$4:$D$815,$B108,'май 2023'!$J$4:$J$815,N$1)</f>
        <v>0</v>
      </c>
      <c r="O108" s="207">
        <f>SUMIFS('май 2023'!$G$4:$G$815,'май 2023'!$D$4:$D$815,$B108,'май 2023'!$J$4:$J$815,O$1)</f>
        <v>0</v>
      </c>
      <c r="P108" s="207">
        <f>SUMIFS('май 2023'!$G$4:$G$815,'май 2023'!$D$4:$D$815,$B108,'май 2023'!$J$4:$J$815,P$1)</f>
        <v>0</v>
      </c>
      <c r="Q108" s="207">
        <f>SUMIFS('май 2023'!$G$4:$G$815,'май 2023'!$D$4:$D$815,$B108,'май 2023'!$J$4:$J$815,Q$1)</f>
        <v>0</v>
      </c>
      <c r="R108" s="207">
        <f>SUMIFS('май 2023'!$G$4:$G$815,'май 2023'!$D$4:$D$815,$B108,'май 2023'!$J$4:$J$815,R$1)</f>
        <v>600</v>
      </c>
      <c r="S108" s="207">
        <f>SUMIFS('май 2023'!$G$4:$G$815,'май 2023'!$D$4:$D$815,$B108,'май 2023'!$J$4:$J$815,S$1)</f>
        <v>0</v>
      </c>
      <c r="T108" s="207">
        <f>SUMIFS('май 2023'!$G$4:$G$815,'май 2023'!$D$4:$D$815,$B108,'май 2023'!$J$4:$J$815,T$1)</f>
        <v>0</v>
      </c>
      <c r="U108" s="207">
        <f>SUMIFS('май 2023'!$G$4:$G$815,'май 2023'!$D$4:$D$815,$B108,'май 2023'!$J$4:$J$815,U$1)</f>
        <v>0</v>
      </c>
      <c r="V108" s="207">
        <f>SUMIFS('май 2023'!$G$4:$G$815,'май 2023'!$D$4:$D$815,$B108,'май 2023'!$J$4:$J$815,V$1)</f>
        <v>0</v>
      </c>
      <c r="W108" s="207">
        <f>SUMIFS('май 2023'!$G$4:$G$815,'май 2023'!$D$4:$D$815,$B108,'май 2023'!$J$4:$J$815,W$1)</f>
        <v>0</v>
      </c>
      <c r="X108" s="207">
        <f>SUMIFS('май 2023'!$G$4:$G$815,'май 2023'!$D$4:$D$815,$B108,'май 2023'!$J$4:$J$815,X$1)</f>
        <v>0</v>
      </c>
      <c r="Y108" s="207">
        <f>SUMIFS('май 2023'!$G$4:$G$815,'май 2023'!$D$4:$D$815,$B108,'май 2023'!$J$4:$J$815,Y$1)</f>
        <v>0</v>
      </c>
      <c r="Z108" s="207">
        <f>SUMIFS('май 2023'!$G$4:$G$815,'май 2023'!$D$4:$D$815,$B108,'май 2023'!$J$4:$J$815,Z$1)</f>
        <v>0</v>
      </c>
      <c r="AA108" s="207">
        <f>SUMIFS('май 2023'!$G$4:$G$815,'май 2023'!$D$4:$D$815,$B108,'май 2023'!$J$4:$J$815,AA$1)</f>
        <v>0</v>
      </c>
      <c r="AB108" s="207">
        <f>SUMIFS('май 2023'!$G$4:$G$815,'май 2023'!$D$4:$D$815,$B108,'май 2023'!$J$4:$J$815,AB$1)</f>
        <v>0</v>
      </c>
      <c r="AC108" s="207">
        <f>SUMIFS('май 2023'!$G$4:$G$815,'май 2023'!$D$4:$D$815,$B108,'май 2023'!$J$4:$J$815,AC$1)</f>
        <v>96</v>
      </c>
      <c r="AD108" s="207">
        <f>SUMIFS('май 2023'!$G$4:$G$815,'май 2023'!$D$4:$D$815,$B108,'май 2023'!$J$4:$J$815,AD$1)</f>
        <v>0</v>
      </c>
      <c r="AE108" s="207">
        <f>SUMIFS('май 2023'!$G$4:$G$815,'май 2023'!$D$4:$D$815,$B108,'май 2023'!$J$4:$J$815,AE$1)</f>
        <v>0</v>
      </c>
      <c r="AF108" s="207">
        <f>SUMIFS('май 2023'!$G$4:$G$815,'май 2023'!$D$4:$D$815,$B108,'май 2023'!$J$4:$J$815,AF$1)</f>
        <v>200</v>
      </c>
      <c r="AG108" s="207">
        <f>SUMIFS('май 2023'!$G$4:$G$815,'май 2023'!$D$4:$D$815,$B108,'май 2023'!$J$4:$J$815,AG$1)</f>
        <v>0</v>
      </c>
      <c r="AH108" s="207">
        <f>SUMIFS('май 2023'!$G$4:$G$815,'май 2023'!$D$4:$D$815,$B108,'май 2023'!$J$4:$J$815,AH$1)</f>
        <v>0</v>
      </c>
      <c r="AI108" s="170">
        <f t="shared" si="3"/>
        <v>896</v>
      </c>
    </row>
    <row r="109" spans="2:35" ht="15" customHeight="1" x14ac:dyDescent="0.25">
      <c r="B109" s="212" t="s">
        <v>525</v>
      </c>
      <c r="C109" s="211">
        <v>25</v>
      </c>
      <c r="D109" s="207">
        <f>SUMIFS('май 2023'!$G$4:$G$815,'май 2023'!$D$4:$D$815,$B109,'май 2023'!$J$4:$J$815,D$1)</f>
        <v>0</v>
      </c>
      <c r="E109" s="207">
        <f>SUMIFS('май 2023'!$G$4:$G$815,'май 2023'!$D$4:$D$815,$B109,'май 2023'!$J$4:$J$815,E$1)</f>
        <v>0</v>
      </c>
      <c r="F109" s="207">
        <f>SUMIFS('май 2023'!$G$4:$G$815,'май 2023'!$D$4:$D$815,$B109,'май 2023'!$J$4:$J$815,F$1)</f>
        <v>0</v>
      </c>
      <c r="G109" s="207">
        <f>SUMIFS('май 2023'!$G$4:$G$815,'май 2023'!$D$4:$D$815,$B109,'май 2023'!$J$4:$J$815,G$1)</f>
        <v>0</v>
      </c>
      <c r="H109" s="207">
        <f>SUMIFS('май 2023'!$G$4:$G$815,'май 2023'!$D$4:$D$815,$B109,'май 2023'!$J$4:$J$815,H$1)</f>
        <v>0</v>
      </c>
      <c r="I109" s="207">
        <f>SUMIFS('май 2023'!$G$4:$G$815,'май 2023'!$D$4:$D$815,$B109,'май 2023'!$J$4:$J$815,I$1)</f>
        <v>0</v>
      </c>
      <c r="J109" s="207">
        <f>SUMIFS('май 2023'!$G$4:$G$815,'май 2023'!$D$4:$D$815,$B109,'май 2023'!$J$4:$J$815,J$1)</f>
        <v>0</v>
      </c>
      <c r="K109" s="207">
        <f>SUMIFS('май 2023'!$G$4:$G$815,'май 2023'!$D$4:$D$815,$B109,'май 2023'!$J$4:$J$815,K$1)</f>
        <v>0</v>
      </c>
      <c r="L109" s="207">
        <f>SUMIFS('май 2023'!$G$4:$G$815,'май 2023'!$D$4:$D$815,$B109,'май 2023'!$J$4:$J$815,L$1)</f>
        <v>0</v>
      </c>
      <c r="M109" s="207">
        <f>SUMIFS('май 2023'!$G$4:$G$815,'май 2023'!$D$4:$D$815,$B109,'май 2023'!$J$4:$J$815,M$1)</f>
        <v>0</v>
      </c>
      <c r="N109" s="207">
        <f>SUMIFS('май 2023'!$G$4:$G$815,'май 2023'!$D$4:$D$815,$B109,'май 2023'!$J$4:$J$815,N$1)</f>
        <v>0</v>
      </c>
      <c r="O109" s="207">
        <f>SUMIFS('май 2023'!$G$4:$G$815,'май 2023'!$D$4:$D$815,$B109,'май 2023'!$J$4:$J$815,O$1)</f>
        <v>0</v>
      </c>
      <c r="P109" s="207">
        <f>SUMIFS('май 2023'!$G$4:$G$815,'май 2023'!$D$4:$D$815,$B109,'май 2023'!$J$4:$J$815,P$1)</f>
        <v>0</v>
      </c>
      <c r="Q109" s="207">
        <f>SUMIFS('май 2023'!$G$4:$G$815,'май 2023'!$D$4:$D$815,$B109,'май 2023'!$J$4:$J$815,Q$1)</f>
        <v>0</v>
      </c>
      <c r="R109" s="207">
        <f>SUMIFS('май 2023'!$G$4:$G$815,'май 2023'!$D$4:$D$815,$B109,'май 2023'!$J$4:$J$815,R$1)</f>
        <v>72</v>
      </c>
      <c r="S109" s="207">
        <f>SUMIFS('май 2023'!$G$4:$G$815,'май 2023'!$D$4:$D$815,$B109,'май 2023'!$J$4:$J$815,S$1)</f>
        <v>0</v>
      </c>
      <c r="T109" s="207">
        <f>SUMIFS('май 2023'!$G$4:$G$815,'май 2023'!$D$4:$D$815,$B109,'май 2023'!$J$4:$J$815,T$1)</f>
        <v>0</v>
      </c>
      <c r="U109" s="207">
        <f>SUMIFS('май 2023'!$G$4:$G$815,'май 2023'!$D$4:$D$815,$B109,'май 2023'!$J$4:$J$815,U$1)</f>
        <v>0</v>
      </c>
      <c r="V109" s="207">
        <f>SUMIFS('май 2023'!$G$4:$G$815,'май 2023'!$D$4:$D$815,$B109,'май 2023'!$J$4:$J$815,V$1)</f>
        <v>624</v>
      </c>
      <c r="W109" s="207">
        <f>SUMIFS('май 2023'!$G$4:$G$815,'май 2023'!$D$4:$D$815,$B109,'май 2023'!$J$4:$J$815,W$1)</f>
        <v>0</v>
      </c>
      <c r="X109" s="207">
        <f>SUMIFS('май 2023'!$G$4:$G$815,'май 2023'!$D$4:$D$815,$B109,'май 2023'!$J$4:$J$815,X$1)</f>
        <v>0</v>
      </c>
      <c r="Y109" s="207">
        <f>SUMIFS('май 2023'!$G$4:$G$815,'май 2023'!$D$4:$D$815,$B109,'май 2023'!$J$4:$J$815,Y$1)</f>
        <v>96</v>
      </c>
      <c r="Z109" s="207">
        <f>SUMIFS('май 2023'!$G$4:$G$815,'май 2023'!$D$4:$D$815,$B109,'май 2023'!$J$4:$J$815,Z$1)</f>
        <v>0</v>
      </c>
      <c r="AA109" s="207">
        <f>SUMIFS('май 2023'!$G$4:$G$815,'май 2023'!$D$4:$D$815,$B109,'май 2023'!$J$4:$J$815,AA$1)</f>
        <v>0</v>
      </c>
      <c r="AB109" s="207">
        <f>SUMIFS('май 2023'!$G$4:$G$815,'май 2023'!$D$4:$D$815,$B109,'май 2023'!$J$4:$J$815,AB$1)</f>
        <v>0</v>
      </c>
      <c r="AC109" s="207">
        <f>SUMIFS('май 2023'!$G$4:$G$815,'май 2023'!$D$4:$D$815,$B109,'май 2023'!$J$4:$J$815,AC$1)</f>
        <v>8</v>
      </c>
      <c r="AD109" s="207">
        <f>SUMIFS('май 2023'!$G$4:$G$815,'май 2023'!$D$4:$D$815,$B109,'май 2023'!$J$4:$J$815,AD$1)</f>
        <v>0</v>
      </c>
      <c r="AE109" s="207">
        <f>SUMIFS('май 2023'!$G$4:$G$815,'май 2023'!$D$4:$D$815,$B109,'май 2023'!$J$4:$J$815,AE$1)</f>
        <v>0</v>
      </c>
      <c r="AF109" s="207">
        <f>SUMIFS('май 2023'!$G$4:$G$815,'май 2023'!$D$4:$D$815,$B109,'май 2023'!$J$4:$J$815,AF$1)</f>
        <v>0</v>
      </c>
      <c r="AG109" s="207">
        <f>SUMIFS('май 2023'!$G$4:$G$815,'май 2023'!$D$4:$D$815,$B109,'май 2023'!$J$4:$J$815,AG$1)</f>
        <v>0</v>
      </c>
      <c r="AH109" s="207">
        <f>SUMIFS('май 2023'!$G$4:$G$815,'май 2023'!$D$4:$D$815,$B109,'май 2023'!$J$4:$J$815,AH$1)</f>
        <v>0</v>
      </c>
      <c r="AI109" s="170">
        <f t="shared" si="3"/>
        <v>800</v>
      </c>
    </row>
    <row r="110" spans="2:35" ht="15" customHeight="1" x14ac:dyDescent="0.25">
      <c r="B110" s="212" t="s">
        <v>1353</v>
      </c>
      <c r="C110" s="211">
        <v>25</v>
      </c>
      <c r="D110" s="207">
        <f>SUMIFS('май 2023'!$G$4:$G$815,'май 2023'!$D$4:$D$815,$B110,'май 2023'!$J$4:$J$815,D$1)</f>
        <v>0</v>
      </c>
      <c r="E110" s="207">
        <f>SUMIFS('май 2023'!$G$4:$G$815,'май 2023'!$D$4:$D$815,$B110,'май 2023'!$J$4:$J$815,E$1)</f>
        <v>0</v>
      </c>
      <c r="F110" s="207">
        <f>SUMIFS('май 2023'!$G$4:$G$815,'май 2023'!$D$4:$D$815,$B110,'май 2023'!$J$4:$J$815,F$1)</f>
        <v>0</v>
      </c>
      <c r="G110" s="207">
        <f>SUMIFS('май 2023'!$G$4:$G$815,'май 2023'!$D$4:$D$815,$B110,'май 2023'!$J$4:$J$815,G$1)</f>
        <v>0</v>
      </c>
      <c r="H110" s="207">
        <f>SUMIFS('май 2023'!$G$4:$G$815,'май 2023'!$D$4:$D$815,$B110,'май 2023'!$J$4:$J$815,H$1)</f>
        <v>0</v>
      </c>
      <c r="I110" s="207">
        <f>SUMIFS('май 2023'!$G$4:$G$815,'май 2023'!$D$4:$D$815,$B110,'май 2023'!$J$4:$J$815,I$1)</f>
        <v>0</v>
      </c>
      <c r="J110" s="207">
        <f>SUMIFS('май 2023'!$G$4:$G$815,'май 2023'!$D$4:$D$815,$B110,'май 2023'!$J$4:$J$815,J$1)</f>
        <v>0</v>
      </c>
      <c r="K110" s="207">
        <f>SUMIFS('май 2023'!$G$4:$G$815,'май 2023'!$D$4:$D$815,$B110,'май 2023'!$J$4:$J$815,K$1)</f>
        <v>0</v>
      </c>
      <c r="L110" s="207">
        <f>SUMIFS('май 2023'!$G$4:$G$815,'май 2023'!$D$4:$D$815,$B110,'май 2023'!$J$4:$J$815,L$1)</f>
        <v>0</v>
      </c>
      <c r="M110" s="207">
        <f>SUMIFS('май 2023'!$G$4:$G$815,'май 2023'!$D$4:$D$815,$B110,'май 2023'!$J$4:$J$815,M$1)</f>
        <v>0</v>
      </c>
      <c r="N110" s="207">
        <f>SUMIFS('май 2023'!$G$4:$G$815,'май 2023'!$D$4:$D$815,$B110,'май 2023'!$J$4:$J$815,N$1)</f>
        <v>0</v>
      </c>
      <c r="O110" s="207">
        <f>SUMIFS('май 2023'!$G$4:$G$815,'май 2023'!$D$4:$D$815,$B110,'май 2023'!$J$4:$J$815,O$1)</f>
        <v>0</v>
      </c>
      <c r="P110" s="207">
        <f>SUMIFS('май 2023'!$G$4:$G$815,'май 2023'!$D$4:$D$815,$B110,'май 2023'!$J$4:$J$815,P$1)</f>
        <v>0</v>
      </c>
      <c r="Q110" s="207">
        <f>SUMIFS('май 2023'!$G$4:$G$815,'май 2023'!$D$4:$D$815,$B110,'май 2023'!$J$4:$J$815,Q$1)</f>
        <v>0</v>
      </c>
      <c r="R110" s="207">
        <f>SUMIFS('май 2023'!$G$4:$G$815,'май 2023'!$D$4:$D$815,$B110,'май 2023'!$J$4:$J$815,R$1)</f>
        <v>0</v>
      </c>
      <c r="S110" s="207">
        <f>SUMIFS('май 2023'!$G$4:$G$815,'май 2023'!$D$4:$D$815,$B110,'май 2023'!$J$4:$J$815,S$1)</f>
        <v>0</v>
      </c>
      <c r="T110" s="207">
        <f>SUMIFS('май 2023'!$G$4:$G$815,'май 2023'!$D$4:$D$815,$B110,'май 2023'!$J$4:$J$815,T$1)</f>
        <v>0</v>
      </c>
      <c r="U110" s="207">
        <f>SUMIFS('май 2023'!$G$4:$G$815,'май 2023'!$D$4:$D$815,$B110,'май 2023'!$J$4:$J$815,U$1)</f>
        <v>0</v>
      </c>
      <c r="V110" s="207">
        <f>SUMIFS('май 2023'!$G$4:$G$815,'май 2023'!$D$4:$D$815,$B110,'май 2023'!$J$4:$J$815,V$1)</f>
        <v>1</v>
      </c>
      <c r="W110" s="207">
        <f>SUMIFS('май 2023'!$G$4:$G$815,'май 2023'!$D$4:$D$815,$B110,'май 2023'!$J$4:$J$815,W$1)</f>
        <v>0</v>
      </c>
      <c r="X110" s="207">
        <f>SUMIFS('май 2023'!$G$4:$G$815,'май 2023'!$D$4:$D$815,$B110,'май 2023'!$J$4:$J$815,X$1)</f>
        <v>0</v>
      </c>
      <c r="Y110" s="207">
        <f>SUMIFS('май 2023'!$G$4:$G$815,'май 2023'!$D$4:$D$815,$B110,'май 2023'!$J$4:$J$815,Y$1)</f>
        <v>0</v>
      </c>
      <c r="Z110" s="207">
        <f>SUMIFS('май 2023'!$G$4:$G$815,'май 2023'!$D$4:$D$815,$B110,'май 2023'!$J$4:$J$815,Z$1)</f>
        <v>0</v>
      </c>
      <c r="AA110" s="207">
        <f>SUMIFS('май 2023'!$G$4:$G$815,'май 2023'!$D$4:$D$815,$B110,'май 2023'!$J$4:$J$815,AA$1)</f>
        <v>0</v>
      </c>
      <c r="AB110" s="207">
        <f>SUMIFS('май 2023'!$G$4:$G$815,'май 2023'!$D$4:$D$815,$B110,'май 2023'!$J$4:$J$815,AB$1)</f>
        <v>0</v>
      </c>
      <c r="AC110" s="207">
        <f>SUMIFS('май 2023'!$G$4:$G$815,'май 2023'!$D$4:$D$815,$B110,'май 2023'!$J$4:$J$815,AC$1)</f>
        <v>0</v>
      </c>
      <c r="AD110" s="207">
        <f>SUMIFS('май 2023'!$G$4:$G$815,'май 2023'!$D$4:$D$815,$B110,'май 2023'!$J$4:$J$815,AD$1)</f>
        <v>0</v>
      </c>
      <c r="AE110" s="207">
        <f>SUMIFS('май 2023'!$G$4:$G$815,'май 2023'!$D$4:$D$815,$B110,'май 2023'!$J$4:$J$815,AE$1)</f>
        <v>0</v>
      </c>
      <c r="AF110" s="207">
        <f>SUMIFS('май 2023'!$G$4:$G$815,'май 2023'!$D$4:$D$815,$B110,'май 2023'!$J$4:$J$815,AF$1)</f>
        <v>0</v>
      </c>
      <c r="AG110" s="207">
        <f>SUMIFS('май 2023'!$G$4:$G$815,'май 2023'!$D$4:$D$815,$B110,'май 2023'!$J$4:$J$815,AG$1)</f>
        <v>0</v>
      </c>
      <c r="AH110" s="207">
        <f>SUMIFS('май 2023'!$G$4:$G$815,'май 2023'!$D$4:$D$815,$B110,'май 2023'!$J$4:$J$815,AH$1)</f>
        <v>0</v>
      </c>
      <c r="AI110" s="170">
        <f>SUM(D110:AH110)</f>
        <v>1</v>
      </c>
    </row>
    <row r="111" spans="2:35" ht="15" customHeight="1" x14ac:dyDescent="0.25">
      <c r="B111" s="212"/>
      <c r="C111" s="211"/>
      <c r="D111" s="207">
        <f>SUMIFS('апрель 2023'!$G$4:$G$692,'апрель 2023'!$D$4:$D$692,$B111,'апрель 2023'!$J$4:$J$692,D$1)</f>
        <v>0</v>
      </c>
      <c r="E111" s="207">
        <f>SUMIFS('апрель 2023'!$G$4:$G$692,'апрель 2023'!$D$4:$D$692,$B111,'апрель 2023'!$J$4:$J$692,E$1)</f>
        <v>0</v>
      </c>
      <c r="F111" s="207">
        <f>SUMIFS('апрель 2023'!$G$4:$G$692,'апрель 2023'!$D$4:$D$692,$B111,'апрель 2023'!$J$4:$J$692,F$1)</f>
        <v>0</v>
      </c>
      <c r="G111" s="207">
        <f>SUMIFS('апрель 2023'!$G$4:$G$692,'апрель 2023'!$D$4:$D$692,$B111,'апрель 2023'!$J$4:$J$692,G$1)</f>
        <v>0</v>
      </c>
      <c r="H111" s="207">
        <f>SUMIFS('апрель 2023'!$G$4:$G$692,'апрель 2023'!$D$4:$D$692,$B111,'апрель 2023'!$J$4:$J$692,H$1)</f>
        <v>0</v>
      </c>
      <c r="I111" s="207">
        <f>SUMIFS('апрель 2023'!$G$4:$G$692,'апрель 2023'!$D$4:$D$692,$B111,'апрель 2023'!$J$4:$J$692,I$1)</f>
        <v>0</v>
      </c>
      <c r="J111" s="207">
        <f>SUMIFS('апрель 2023'!$G$4:$G$692,'апрель 2023'!$D$4:$D$692,$B111,'апрель 2023'!$J$4:$J$692,J$1)</f>
        <v>0</v>
      </c>
      <c r="K111" s="207">
        <f>SUMIFS('апрель 2023'!$G$4:$G$692,'апрель 2023'!$D$4:$D$692,$B111,'апрель 2023'!$J$4:$J$692,K$1)</f>
        <v>0</v>
      </c>
      <c r="L111" s="207">
        <f>SUMIFS('апрель 2023'!$G$4:$G$692,'апрель 2023'!$D$4:$D$692,$B111,'апрель 2023'!$J$4:$J$692,L$1)</f>
        <v>0</v>
      </c>
      <c r="M111" s="207">
        <f>SUMIFS('апрель 2023'!$G$4:$G$692,'апрель 2023'!$D$4:$D$692,$B111,'апрель 2023'!$J$4:$J$692,M$1)</f>
        <v>0</v>
      </c>
      <c r="N111" s="207">
        <f>SUMIFS('апрель 2023'!$G$4:$G$692,'апрель 2023'!$D$4:$D$692,$B111,'апрель 2023'!$J$4:$J$692,N$1)</f>
        <v>0</v>
      </c>
      <c r="O111" s="207">
        <f>SUMIFS('апрель 2023'!$G$4:$G$692,'апрель 2023'!$D$4:$D$692,$B111,'апрель 2023'!$J$4:$J$692,O$1)</f>
        <v>0</v>
      </c>
      <c r="P111" s="207">
        <f>SUMIFS('апрель 2023'!$G$4:$G$692,'апрель 2023'!$D$4:$D$692,$B111,'апрель 2023'!$J$4:$J$692,P$1)</f>
        <v>0</v>
      </c>
      <c r="Q111" s="207">
        <f>SUMIFS('апрель 2023'!$G$4:$G$692,'апрель 2023'!$D$4:$D$692,$B111,'апрель 2023'!$J$4:$J$692,Q$1)</f>
        <v>0</v>
      </c>
      <c r="R111" s="207">
        <f>SUMIFS('апрель 2023'!$G$4:$G$692,'апрель 2023'!$D$4:$D$692,$B111,'апрель 2023'!$J$4:$J$692,R$1)</f>
        <v>0</v>
      </c>
      <c r="S111" s="207">
        <f>SUMIFS('апрель 2023'!$G$4:$G$692,'апрель 2023'!$D$4:$D$692,$B111,'апрель 2023'!$J$4:$J$692,S$1)</f>
        <v>0</v>
      </c>
      <c r="T111" s="207">
        <f>SUMIFS('апрель 2023'!$G$4:$G$692,'апрель 2023'!$D$4:$D$692,$B111,'апрель 2023'!$J$4:$J$692,T$1)</f>
        <v>0</v>
      </c>
      <c r="U111" s="207">
        <f>SUMIFS('апрель 2023'!$G$4:$G$692,'апрель 2023'!$D$4:$D$692,$B111,'апрель 2023'!$J$4:$J$692,U$1)</f>
        <v>0</v>
      </c>
      <c r="V111" s="207">
        <f>SUMIFS('апрель 2023'!$G$4:$G$692,'апрель 2023'!$D$4:$D$692,$B111,'апрель 2023'!$J$4:$J$692,V$1)</f>
        <v>0</v>
      </c>
      <c r="W111" s="207">
        <f>SUMIFS('апрель 2023'!$G$4:$G$692,'апрель 2023'!$D$4:$D$692,$B111,'апрель 2023'!$J$4:$J$692,W$1)</f>
        <v>0</v>
      </c>
      <c r="X111" s="207">
        <f>SUMIFS('апрель 2023'!$G$4:$G$692,'апрель 2023'!$D$4:$D$692,$B111,'апрель 2023'!$J$4:$J$692,X$1)</f>
        <v>0</v>
      </c>
      <c r="Y111" s="207">
        <f>SUMIFS('апрель 2023'!$G$4:$G$692,'апрель 2023'!$D$4:$D$692,$B111,'апрель 2023'!$J$4:$J$692,Y$1)</f>
        <v>0</v>
      </c>
      <c r="Z111" s="207">
        <f>SUMIFS('апрель 2023'!$G$4:$G$692,'апрель 2023'!$D$4:$D$692,$B111,'апрель 2023'!$J$4:$J$692,Z$1)</f>
        <v>0</v>
      </c>
      <c r="AA111" s="207">
        <f>SUMIFS('апрель 2023'!$G$4:$G$692,'апрель 2023'!$D$4:$D$692,$B111,'апрель 2023'!$J$4:$J$692,AA$1)</f>
        <v>0</v>
      </c>
      <c r="AB111" s="207">
        <f>SUMIFS('апрель 2023'!$G$4:$G$692,'апрель 2023'!$D$4:$D$692,$B111,'апрель 2023'!$J$4:$J$692,AB$1)</f>
        <v>0</v>
      </c>
      <c r="AC111" s="207">
        <f>SUMIFS('апрель 2023'!$G$4:$G$692,'апрель 2023'!$D$4:$D$692,$B111,'апрель 2023'!$J$4:$J$692,AC$1)</f>
        <v>0</v>
      </c>
      <c r="AD111" s="207">
        <f>SUMIFS('апрель 2023'!$G$4:$G$692,'апрель 2023'!$D$4:$D$692,$B111,'апрель 2023'!$J$4:$J$692,AD$1)</f>
        <v>0</v>
      </c>
      <c r="AE111" s="207">
        <f>SUMIFS('апрель 2023'!$G$4:$G$692,'апрель 2023'!$D$4:$D$692,$B111,'апрель 2023'!$J$4:$J$692,AE$1)</f>
        <v>0</v>
      </c>
      <c r="AF111" s="207">
        <f>SUMIFS('апрель 2023'!$G$4:$G$692,'апрель 2023'!$D$4:$D$692,$B111,'апрель 2023'!$J$4:$J$692,AF$1)</f>
        <v>0</v>
      </c>
      <c r="AG111" s="207">
        <f>SUMIFS('апрель 2023'!$G$4:$G$692,'апрель 2023'!$D$4:$D$692,$B111,'апрель 2023'!$J$4:$J$692,AG$1)</f>
        <v>0</v>
      </c>
      <c r="AH111" s="207">
        <f>SUMIFS('апрель 2023'!$G$4:$G$692,'апрель 2023'!$D$4:$D$692,$B111,'апрель 2023'!$J$4:$J$692,AH$1)</f>
        <v>0</v>
      </c>
      <c r="AI111" s="170">
        <f t="shared" si="3"/>
        <v>0</v>
      </c>
    </row>
    <row r="112" spans="2:35" ht="15" customHeight="1" x14ac:dyDescent="0.25">
      <c r="B112" s="212"/>
      <c r="C112" s="211"/>
      <c r="D112" s="207">
        <f>SUMIFS('апрель 2023'!$G$4:$G$692,'апрель 2023'!$D$4:$D$692,$B112,'апрель 2023'!$J$4:$J$692,D$1)</f>
        <v>0</v>
      </c>
      <c r="E112" s="207">
        <f>SUMIFS('апрель 2023'!$G$4:$G$692,'апрель 2023'!$D$4:$D$692,$B112,'апрель 2023'!$J$4:$J$692,E$1)</f>
        <v>0</v>
      </c>
      <c r="F112" s="207">
        <f>SUMIFS('апрель 2023'!$G$4:$G$692,'апрель 2023'!$D$4:$D$692,$B112,'апрель 2023'!$J$4:$J$692,F$1)</f>
        <v>0</v>
      </c>
      <c r="G112" s="207">
        <f>SUMIFS('апрель 2023'!$G$4:$G$692,'апрель 2023'!$D$4:$D$692,$B112,'апрель 2023'!$J$4:$J$692,G$1)</f>
        <v>0</v>
      </c>
      <c r="H112" s="207">
        <f>SUMIFS('апрель 2023'!$G$4:$G$692,'апрель 2023'!$D$4:$D$692,$B112,'апрель 2023'!$J$4:$J$692,H$1)</f>
        <v>0</v>
      </c>
      <c r="I112" s="207">
        <f>SUMIFS('апрель 2023'!$G$4:$G$692,'апрель 2023'!$D$4:$D$692,$B112,'апрель 2023'!$J$4:$J$692,I$1)</f>
        <v>0</v>
      </c>
      <c r="J112" s="207">
        <f>SUMIFS('апрель 2023'!$G$4:$G$692,'апрель 2023'!$D$4:$D$692,$B112,'апрель 2023'!$J$4:$J$692,J$1)</f>
        <v>0</v>
      </c>
      <c r="K112" s="207">
        <f>SUMIFS('апрель 2023'!$G$4:$G$692,'апрель 2023'!$D$4:$D$692,$B112,'апрель 2023'!$J$4:$J$692,K$1)</f>
        <v>0</v>
      </c>
      <c r="L112" s="207">
        <f>SUMIFS('апрель 2023'!$G$4:$G$692,'апрель 2023'!$D$4:$D$692,$B112,'апрель 2023'!$J$4:$J$692,L$1)</f>
        <v>0</v>
      </c>
      <c r="M112" s="207">
        <f>SUMIFS('апрель 2023'!$G$4:$G$692,'апрель 2023'!$D$4:$D$692,$B112,'апрель 2023'!$J$4:$J$692,M$1)</f>
        <v>0</v>
      </c>
      <c r="N112" s="207">
        <f>SUMIFS('апрель 2023'!$G$4:$G$692,'апрель 2023'!$D$4:$D$692,$B112,'апрель 2023'!$J$4:$J$692,N$1)</f>
        <v>0</v>
      </c>
      <c r="O112" s="207">
        <f>SUMIFS('апрель 2023'!$G$4:$G$692,'апрель 2023'!$D$4:$D$692,$B112,'апрель 2023'!$J$4:$J$692,O$1)</f>
        <v>0</v>
      </c>
      <c r="P112" s="207">
        <f>SUMIFS('апрель 2023'!$G$4:$G$692,'апрель 2023'!$D$4:$D$692,$B112,'апрель 2023'!$J$4:$J$692,P$1)</f>
        <v>0</v>
      </c>
      <c r="Q112" s="207">
        <f>SUMIFS('апрель 2023'!$G$4:$G$692,'апрель 2023'!$D$4:$D$692,$B112,'апрель 2023'!$J$4:$J$692,Q$1)</f>
        <v>0</v>
      </c>
      <c r="R112" s="207">
        <f>SUMIFS('апрель 2023'!$G$4:$G$692,'апрель 2023'!$D$4:$D$692,$B112,'апрель 2023'!$J$4:$J$692,R$1)</f>
        <v>0</v>
      </c>
      <c r="S112" s="207">
        <f>SUMIFS('апрель 2023'!$G$4:$G$692,'апрель 2023'!$D$4:$D$692,$B112,'апрель 2023'!$J$4:$J$692,S$1)</f>
        <v>0</v>
      </c>
      <c r="T112" s="207">
        <f>SUMIFS('апрель 2023'!$G$4:$G$692,'апрель 2023'!$D$4:$D$692,$B112,'апрель 2023'!$J$4:$J$692,T$1)</f>
        <v>0</v>
      </c>
      <c r="U112" s="207">
        <f>SUMIFS('апрель 2023'!$G$4:$G$692,'апрель 2023'!$D$4:$D$692,$B112,'апрель 2023'!$J$4:$J$692,U$1)</f>
        <v>0</v>
      </c>
      <c r="V112" s="207">
        <f>SUMIFS('апрель 2023'!$G$4:$G$692,'апрель 2023'!$D$4:$D$692,$B112,'апрель 2023'!$J$4:$J$692,V$1)</f>
        <v>0</v>
      </c>
      <c r="W112" s="207">
        <f>SUMIFS('апрель 2023'!$G$4:$G$692,'апрель 2023'!$D$4:$D$692,$B112,'апрель 2023'!$J$4:$J$692,W$1)</f>
        <v>0</v>
      </c>
      <c r="X112" s="207">
        <f>SUMIFS('апрель 2023'!$G$4:$G$692,'апрель 2023'!$D$4:$D$692,$B112,'апрель 2023'!$J$4:$J$692,X$1)</f>
        <v>0</v>
      </c>
      <c r="Y112" s="207">
        <f>SUMIFS('апрель 2023'!$G$4:$G$692,'апрель 2023'!$D$4:$D$692,$B112,'апрель 2023'!$J$4:$J$692,Y$1)</f>
        <v>0</v>
      </c>
      <c r="Z112" s="207">
        <f>SUMIFS('апрель 2023'!$G$4:$G$692,'апрель 2023'!$D$4:$D$692,$B112,'апрель 2023'!$J$4:$J$692,Z$1)</f>
        <v>0</v>
      </c>
      <c r="AA112" s="207">
        <f>SUMIFS('апрель 2023'!$G$4:$G$692,'апрель 2023'!$D$4:$D$692,$B112,'апрель 2023'!$J$4:$J$692,AA$1)</f>
        <v>0</v>
      </c>
      <c r="AB112" s="207">
        <f>SUMIFS('апрель 2023'!$G$4:$G$692,'апрель 2023'!$D$4:$D$692,$B112,'апрель 2023'!$J$4:$J$692,AB$1)</f>
        <v>0</v>
      </c>
      <c r="AC112" s="207">
        <f>SUMIFS('апрель 2023'!$G$4:$G$692,'апрель 2023'!$D$4:$D$692,$B112,'апрель 2023'!$J$4:$J$692,AC$1)</f>
        <v>0</v>
      </c>
      <c r="AD112" s="207">
        <f>SUMIFS('апрель 2023'!$G$4:$G$692,'апрель 2023'!$D$4:$D$692,$B112,'апрель 2023'!$J$4:$J$692,AD$1)</f>
        <v>0</v>
      </c>
      <c r="AE112" s="207">
        <f>SUMIFS('апрель 2023'!$G$4:$G$692,'апрель 2023'!$D$4:$D$692,$B112,'апрель 2023'!$J$4:$J$692,AE$1)</f>
        <v>0</v>
      </c>
      <c r="AF112" s="207">
        <f>SUMIFS('апрель 2023'!$G$4:$G$692,'апрель 2023'!$D$4:$D$692,$B112,'апрель 2023'!$J$4:$J$692,AF$1)</f>
        <v>0</v>
      </c>
      <c r="AG112" s="207">
        <f>SUMIFS('апрель 2023'!$G$4:$G$692,'апрель 2023'!$D$4:$D$692,$B112,'апрель 2023'!$J$4:$J$692,AG$1)</f>
        <v>0</v>
      </c>
      <c r="AH112" s="207">
        <f>SUMIFS('апрель 2023'!$G$4:$G$692,'апрель 2023'!$D$4:$D$692,$B112,'апрель 2023'!$J$4:$J$692,AH$1)</f>
        <v>0</v>
      </c>
      <c r="AI112" s="170">
        <f t="shared" si="3"/>
        <v>0</v>
      </c>
    </row>
    <row r="113" spans="2:35" ht="15" customHeight="1" x14ac:dyDescent="0.25">
      <c r="B113" s="212"/>
      <c r="C113" s="213"/>
      <c r="D113" s="207">
        <f>SUMIFS('апрель 2023'!$G$4:$G$692,'апрель 2023'!$D$4:$D$692,$B113,'апрель 2023'!$J$4:$J$692,D$1)</f>
        <v>0</v>
      </c>
      <c r="E113" s="207">
        <f>SUMIFS('апрель 2023'!$G$4:$G$692,'апрель 2023'!$D$4:$D$692,$B113,'апрель 2023'!$J$4:$J$692,E$1)</f>
        <v>0</v>
      </c>
      <c r="F113" s="207">
        <f>SUMIFS('апрель 2023'!$G$4:$G$692,'апрель 2023'!$D$4:$D$692,$B113,'апрель 2023'!$J$4:$J$692,F$1)</f>
        <v>0</v>
      </c>
      <c r="G113" s="207">
        <f>SUMIFS('апрель 2023'!$G$4:$G$692,'апрель 2023'!$D$4:$D$692,$B113,'апрель 2023'!$J$4:$J$692,G$1)</f>
        <v>0</v>
      </c>
      <c r="H113" s="207">
        <f>SUMIFS('апрель 2023'!$G$4:$G$692,'апрель 2023'!$D$4:$D$692,$B113,'апрель 2023'!$J$4:$J$692,H$1)</f>
        <v>0</v>
      </c>
      <c r="I113" s="207">
        <f>SUMIFS('апрель 2023'!$G$4:$G$692,'апрель 2023'!$D$4:$D$692,$B113,'апрель 2023'!$J$4:$J$692,I$1)</f>
        <v>0</v>
      </c>
      <c r="J113" s="207">
        <f>SUMIFS('апрель 2023'!$G$4:$G$692,'апрель 2023'!$D$4:$D$692,$B113,'апрель 2023'!$J$4:$J$692,J$1)</f>
        <v>0</v>
      </c>
      <c r="K113" s="207">
        <f>SUMIFS('апрель 2023'!$G$4:$G$692,'апрель 2023'!$D$4:$D$692,$B113,'апрель 2023'!$J$4:$J$692,K$1)</f>
        <v>0</v>
      </c>
      <c r="L113" s="207">
        <f>SUMIFS('апрель 2023'!$G$4:$G$692,'апрель 2023'!$D$4:$D$692,$B113,'апрель 2023'!$J$4:$J$692,L$1)</f>
        <v>0</v>
      </c>
      <c r="M113" s="207">
        <f>SUMIFS('апрель 2023'!$G$4:$G$692,'апрель 2023'!$D$4:$D$692,$B113,'апрель 2023'!$J$4:$J$692,M$1)</f>
        <v>0</v>
      </c>
      <c r="N113" s="207">
        <f>SUMIFS('апрель 2023'!$G$4:$G$692,'апрель 2023'!$D$4:$D$692,$B113,'апрель 2023'!$J$4:$J$692,N$1)</f>
        <v>0</v>
      </c>
      <c r="O113" s="207">
        <f>SUMIFS('апрель 2023'!$G$4:$G$692,'апрель 2023'!$D$4:$D$692,$B113,'апрель 2023'!$J$4:$J$692,O$1)</f>
        <v>0</v>
      </c>
      <c r="P113" s="207">
        <f>SUMIFS('апрель 2023'!$G$4:$G$692,'апрель 2023'!$D$4:$D$692,$B113,'апрель 2023'!$J$4:$J$692,P$1)</f>
        <v>0</v>
      </c>
      <c r="Q113" s="207">
        <f>SUMIFS('апрель 2023'!$G$4:$G$692,'апрель 2023'!$D$4:$D$692,$B113,'апрель 2023'!$J$4:$J$692,Q$1)</f>
        <v>0</v>
      </c>
      <c r="R113" s="207">
        <f>SUMIFS('апрель 2023'!$G$4:$G$692,'апрель 2023'!$D$4:$D$692,$B113,'апрель 2023'!$J$4:$J$692,R$1)</f>
        <v>0</v>
      </c>
      <c r="S113" s="207">
        <f>SUMIFS('апрель 2023'!$G$4:$G$692,'апрель 2023'!$D$4:$D$692,$B113,'апрель 2023'!$J$4:$J$692,S$1)</f>
        <v>0</v>
      </c>
      <c r="T113" s="207">
        <f>SUMIFS('апрель 2023'!$G$4:$G$692,'апрель 2023'!$D$4:$D$692,$B113,'апрель 2023'!$J$4:$J$692,T$1)</f>
        <v>0</v>
      </c>
      <c r="U113" s="207">
        <f>SUMIFS('апрель 2023'!$G$4:$G$692,'апрель 2023'!$D$4:$D$692,$B113,'апрель 2023'!$J$4:$J$692,U$1)</f>
        <v>0</v>
      </c>
      <c r="V113" s="207">
        <f>SUMIFS('апрель 2023'!$G$4:$G$692,'апрель 2023'!$D$4:$D$692,$B113,'апрель 2023'!$J$4:$J$692,V$1)</f>
        <v>0</v>
      </c>
      <c r="W113" s="207">
        <f>SUMIFS('апрель 2023'!$G$4:$G$692,'апрель 2023'!$D$4:$D$692,$B113,'апрель 2023'!$J$4:$J$692,W$1)</f>
        <v>0</v>
      </c>
      <c r="X113" s="207">
        <f>SUMIFS('апрель 2023'!$G$4:$G$692,'апрель 2023'!$D$4:$D$692,$B113,'апрель 2023'!$J$4:$J$692,X$1)</f>
        <v>0</v>
      </c>
      <c r="Y113" s="207">
        <f>SUMIFS('апрель 2023'!$G$4:$G$692,'апрель 2023'!$D$4:$D$692,$B113,'апрель 2023'!$J$4:$J$692,Y$1)</f>
        <v>0</v>
      </c>
      <c r="Z113" s="207">
        <f>SUMIFS('апрель 2023'!$G$4:$G$692,'апрель 2023'!$D$4:$D$692,$B113,'апрель 2023'!$J$4:$J$692,Z$1)</f>
        <v>0</v>
      </c>
      <c r="AA113" s="207">
        <f>SUMIFS('апрель 2023'!$G$4:$G$692,'апрель 2023'!$D$4:$D$692,$B113,'апрель 2023'!$J$4:$J$692,AA$1)</f>
        <v>0</v>
      </c>
      <c r="AB113" s="207">
        <f>SUMIFS('апрель 2023'!$G$4:$G$692,'апрель 2023'!$D$4:$D$692,$B113,'апрель 2023'!$J$4:$J$692,AB$1)</f>
        <v>0</v>
      </c>
      <c r="AC113" s="207">
        <f>SUMIFS('апрель 2023'!$G$4:$G$692,'апрель 2023'!$D$4:$D$692,$B113,'апрель 2023'!$J$4:$J$692,AC$1)</f>
        <v>0</v>
      </c>
      <c r="AD113" s="207">
        <f>SUMIFS('апрель 2023'!$G$4:$G$692,'апрель 2023'!$D$4:$D$692,$B113,'апрель 2023'!$J$4:$J$692,AD$1)</f>
        <v>0</v>
      </c>
      <c r="AE113" s="207">
        <f>SUMIFS('апрель 2023'!$G$4:$G$692,'апрель 2023'!$D$4:$D$692,$B113,'апрель 2023'!$J$4:$J$692,AE$1)</f>
        <v>0</v>
      </c>
      <c r="AF113" s="207">
        <f>SUMIFS('апрель 2023'!$G$4:$G$692,'апрель 2023'!$D$4:$D$692,$B113,'апрель 2023'!$J$4:$J$692,AF$1)</f>
        <v>0</v>
      </c>
      <c r="AG113" s="207">
        <f>SUMIFS('апрель 2023'!$G$4:$G$692,'апрель 2023'!$D$4:$D$692,$B113,'апрель 2023'!$J$4:$J$692,AG$1)</f>
        <v>0</v>
      </c>
      <c r="AH113" s="207">
        <f>SUMIFS('апрель 2023'!$G$4:$G$692,'апрель 2023'!$D$4:$D$692,$B113,'апрель 2023'!$J$4:$J$692,AH$1)</f>
        <v>0</v>
      </c>
      <c r="AI113" s="170">
        <f t="shared" si="3"/>
        <v>0</v>
      </c>
    </row>
    <row r="114" spans="2:35" ht="15" customHeight="1" x14ac:dyDescent="0.25">
      <c r="B114" s="216"/>
      <c r="C114" s="213"/>
      <c r="D114" s="207">
        <f>SUMIFS('апрель 2023'!$G$4:$G$692,'апрель 2023'!$D$4:$D$692,$B114,'апрель 2023'!$J$4:$J$692,D$1)</f>
        <v>0</v>
      </c>
      <c r="E114" s="207">
        <f>SUMIFS('апрель 2023'!$G$4:$G$692,'апрель 2023'!$D$4:$D$692,$B114,'апрель 2023'!$J$4:$J$692,E$1)</f>
        <v>0</v>
      </c>
      <c r="F114" s="207">
        <f>SUMIFS('апрель 2023'!$G$4:$G$692,'апрель 2023'!$D$4:$D$692,$B114,'апрель 2023'!$J$4:$J$692,F$1)</f>
        <v>0</v>
      </c>
      <c r="G114" s="207">
        <f>SUMIFS('апрель 2023'!$G$4:$G$692,'апрель 2023'!$D$4:$D$692,$B114,'апрель 2023'!$J$4:$J$692,G$1)</f>
        <v>0</v>
      </c>
      <c r="H114" s="207">
        <f>SUMIFS('апрель 2023'!$G$4:$G$692,'апрель 2023'!$D$4:$D$692,$B114,'апрель 2023'!$J$4:$J$692,H$1)</f>
        <v>0</v>
      </c>
      <c r="I114" s="207">
        <f>SUMIFS('апрель 2023'!$G$4:$G$692,'апрель 2023'!$D$4:$D$692,$B114,'апрель 2023'!$J$4:$J$692,I$1)</f>
        <v>0</v>
      </c>
      <c r="J114" s="207">
        <f>SUMIFS('апрель 2023'!$G$4:$G$692,'апрель 2023'!$D$4:$D$692,$B114,'апрель 2023'!$J$4:$J$692,J$1)</f>
        <v>0</v>
      </c>
      <c r="K114" s="207">
        <f>SUMIFS('апрель 2023'!$G$4:$G$692,'апрель 2023'!$D$4:$D$692,$B114,'апрель 2023'!$J$4:$J$692,K$1)</f>
        <v>0</v>
      </c>
      <c r="L114" s="207">
        <f>SUMIFS('апрель 2023'!$G$4:$G$692,'апрель 2023'!$D$4:$D$692,$B114,'апрель 2023'!$J$4:$J$692,L$1)</f>
        <v>0</v>
      </c>
      <c r="M114" s="207">
        <f>SUMIFS('апрель 2023'!$G$4:$G$692,'апрель 2023'!$D$4:$D$692,$B114,'апрель 2023'!$J$4:$J$692,M$1)</f>
        <v>0</v>
      </c>
      <c r="N114" s="207">
        <f>SUMIFS('апрель 2023'!$G$4:$G$692,'апрель 2023'!$D$4:$D$692,$B114,'апрель 2023'!$J$4:$J$692,N$1)</f>
        <v>0</v>
      </c>
      <c r="O114" s="207">
        <f>SUMIFS('апрель 2023'!$G$4:$G$692,'апрель 2023'!$D$4:$D$692,$B114,'апрель 2023'!$J$4:$J$692,O$1)</f>
        <v>0</v>
      </c>
      <c r="P114" s="207">
        <f>SUMIFS('апрель 2023'!$G$4:$G$692,'апрель 2023'!$D$4:$D$692,$B114,'апрель 2023'!$J$4:$J$692,P$1)</f>
        <v>0</v>
      </c>
      <c r="Q114" s="207">
        <f>SUMIFS('апрель 2023'!$G$4:$G$692,'апрель 2023'!$D$4:$D$692,$B114,'апрель 2023'!$J$4:$J$692,Q$1)</f>
        <v>0</v>
      </c>
      <c r="R114" s="207">
        <f>SUMIFS('апрель 2023'!$G$4:$G$692,'апрель 2023'!$D$4:$D$692,$B114,'апрель 2023'!$J$4:$J$692,R$1)</f>
        <v>0</v>
      </c>
      <c r="S114" s="207">
        <f>SUMIFS('апрель 2023'!$G$4:$G$692,'апрель 2023'!$D$4:$D$692,$B114,'апрель 2023'!$J$4:$J$692,S$1)</f>
        <v>0</v>
      </c>
      <c r="T114" s="207">
        <f>SUMIFS('апрель 2023'!$G$4:$G$692,'апрель 2023'!$D$4:$D$692,$B114,'апрель 2023'!$J$4:$J$692,T$1)</f>
        <v>0</v>
      </c>
      <c r="U114" s="207">
        <f>SUMIFS('апрель 2023'!$G$4:$G$692,'апрель 2023'!$D$4:$D$692,$B114,'апрель 2023'!$J$4:$J$692,U$1)</f>
        <v>0</v>
      </c>
      <c r="V114" s="207">
        <f>SUMIFS('апрель 2023'!$G$4:$G$692,'апрель 2023'!$D$4:$D$692,$B114,'апрель 2023'!$J$4:$J$692,V$1)</f>
        <v>0</v>
      </c>
      <c r="W114" s="207">
        <f>SUMIFS('апрель 2023'!$G$4:$G$692,'апрель 2023'!$D$4:$D$692,$B114,'апрель 2023'!$J$4:$J$692,W$1)</f>
        <v>0</v>
      </c>
      <c r="X114" s="207">
        <f>SUMIFS('апрель 2023'!$G$4:$G$692,'апрель 2023'!$D$4:$D$692,$B114,'апрель 2023'!$J$4:$J$692,X$1)</f>
        <v>0</v>
      </c>
      <c r="Y114" s="207">
        <f>SUMIFS('апрель 2023'!$G$4:$G$692,'апрель 2023'!$D$4:$D$692,$B114,'апрель 2023'!$J$4:$J$692,Y$1)</f>
        <v>0</v>
      </c>
      <c r="Z114" s="207">
        <f>SUMIFS('апрель 2023'!$G$4:$G$692,'апрель 2023'!$D$4:$D$692,$B114,'апрель 2023'!$J$4:$J$692,Z$1)</f>
        <v>0</v>
      </c>
      <c r="AA114" s="207">
        <f>SUMIFS('апрель 2023'!$G$4:$G$692,'апрель 2023'!$D$4:$D$692,$B114,'апрель 2023'!$J$4:$J$692,AA$1)</f>
        <v>0</v>
      </c>
      <c r="AB114" s="207">
        <f>SUMIFS('апрель 2023'!$G$4:$G$692,'апрель 2023'!$D$4:$D$692,$B114,'апрель 2023'!$J$4:$J$692,AB$1)</f>
        <v>0</v>
      </c>
      <c r="AC114" s="207">
        <f>SUMIFS('апрель 2023'!$G$4:$G$692,'апрель 2023'!$D$4:$D$692,$B114,'апрель 2023'!$J$4:$J$692,AC$1)</f>
        <v>0</v>
      </c>
      <c r="AD114" s="207">
        <f>SUMIFS('апрель 2023'!$G$4:$G$692,'апрель 2023'!$D$4:$D$692,$B114,'апрель 2023'!$J$4:$J$692,AD$1)</f>
        <v>0</v>
      </c>
      <c r="AE114" s="207">
        <f>SUMIFS('апрель 2023'!$G$4:$G$692,'апрель 2023'!$D$4:$D$692,$B114,'апрель 2023'!$J$4:$J$692,AE$1)</f>
        <v>0</v>
      </c>
      <c r="AF114" s="207">
        <f>SUMIFS('апрель 2023'!$G$4:$G$692,'апрель 2023'!$D$4:$D$692,$B114,'апрель 2023'!$J$4:$J$692,AF$1)</f>
        <v>0</v>
      </c>
      <c r="AG114" s="207">
        <f>SUMIFS('апрель 2023'!$G$4:$G$692,'апрель 2023'!$D$4:$D$692,$B114,'апрель 2023'!$J$4:$J$692,AG$1)</f>
        <v>0</v>
      </c>
      <c r="AH114" s="207">
        <f>SUMIFS('апрель 2023'!$G$4:$G$692,'апрель 2023'!$D$4:$D$692,$B114,'апрель 2023'!$J$4:$J$692,AH$1)</f>
        <v>0</v>
      </c>
      <c r="AI114" s="170">
        <f t="shared" si="3"/>
        <v>0</v>
      </c>
    </row>
    <row r="115" spans="2:35" ht="15" customHeight="1" x14ac:dyDescent="0.25">
      <c r="B115" s="212"/>
      <c r="C115" s="211"/>
      <c r="D115" s="207">
        <f>SUMIFS('апрель 2023'!$G$4:$G$692,'апрель 2023'!$D$4:$D$692,$B115,'апрель 2023'!$J$4:$J$692,D$1)</f>
        <v>0</v>
      </c>
      <c r="E115" s="207">
        <f>SUMIFS('апрель 2023'!$G$4:$G$692,'апрель 2023'!$D$4:$D$692,$B115,'апрель 2023'!$J$4:$J$692,E$1)</f>
        <v>0</v>
      </c>
      <c r="F115" s="207">
        <f>SUMIFS('апрель 2023'!$G$4:$G$692,'апрель 2023'!$D$4:$D$692,$B115,'апрель 2023'!$J$4:$J$692,F$1)</f>
        <v>0</v>
      </c>
      <c r="G115" s="207">
        <f>SUMIFS('апрель 2023'!$G$4:$G$692,'апрель 2023'!$D$4:$D$692,$B115,'апрель 2023'!$J$4:$J$692,G$1)</f>
        <v>0</v>
      </c>
      <c r="H115" s="207">
        <f>SUMIFS('апрель 2023'!$G$4:$G$692,'апрель 2023'!$D$4:$D$692,$B115,'апрель 2023'!$J$4:$J$692,H$1)</f>
        <v>0</v>
      </c>
      <c r="I115" s="207">
        <f>SUMIFS('апрель 2023'!$G$4:$G$692,'апрель 2023'!$D$4:$D$692,$B115,'апрель 2023'!$J$4:$J$692,I$1)</f>
        <v>0</v>
      </c>
      <c r="J115" s="207">
        <f>SUMIFS('апрель 2023'!$G$4:$G$692,'апрель 2023'!$D$4:$D$692,$B115,'апрель 2023'!$J$4:$J$692,J$1)</f>
        <v>0</v>
      </c>
      <c r="K115" s="207">
        <f>SUMIFS('апрель 2023'!$G$4:$G$692,'апрель 2023'!$D$4:$D$692,$B115,'апрель 2023'!$J$4:$J$692,K$1)</f>
        <v>0</v>
      </c>
      <c r="L115" s="207">
        <f>SUMIFS('апрель 2023'!$G$4:$G$692,'апрель 2023'!$D$4:$D$692,$B115,'апрель 2023'!$J$4:$J$692,L$1)</f>
        <v>0</v>
      </c>
      <c r="M115" s="207">
        <f>SUMIFS('апрель 2023'!$G$4:$G$692,'апрель 2023'!$D$4:$D$692,$B115,'апрель 2023'!$J$4:$J$692,M$1)</f>
        <v>0</v>
      </c>
      <c r="N115" s="207">
        <f>SUMIFS('апрель 2023'!$G$4:$G$692,'апрель 2023'!$D$4:$D$692,$B115,'апрель 2023'!$J$4:$J$692,N$1)</f>
        <v>0</v>
      </c>
      <c r="O115" s="207">
        <f>SUMIFS('апрель 2023'!$G$4:$G$692,'апрель 2023'!$D$4:$D$692,$B115,'апрель 2023'!$J$4:$J$692,O$1)</f>
        <v>0</v>
      </c>
      <c r="P115" s="207">
        <f>SUMIFS('апрель 2023'!$G$4:$G$692,'апрель 2023'!$D$4:$D$692,$B115,'апрель 2023'!$J$4:$J$692,P$1)</f>
        <v>0</v>
      </c>
      <c r="Q115" s="207">
        <f>SUMIFS('апрель 2023'!$G$4:$G$692,'апрель 2023'!$D$4:$D$692,$B115,'апрель 2023'!$J$4:$J$692,Q$1)</f>
        <v>0</v>
      </c>
      <c r="R115" s="207">
        <f>SUMIFS('апрель 2023'!$G$4:$G$692,'апрель 2023'!$D$4:$D$692,$B115,'апрель 2023'!$J$4:$J$692,R$1)</f>
        <v>0</v>
      </c>
      <c r="S115" s="207">
        <f>SUMIFS('апрель 2023'!$G$4:$G$692,'апрель 2023'!$D$4:$D$692,$B115,'апрель 2023'!$J$4:$J$692,S$1)</f>
        <v>0</v>
      </c>
      <c r="T115" s="207">
        <f>SUMIFS('апрель 2023'!$G$4:$G$692,'апрель 2023'!$D$4:$D$692,$B115,'апрель 2023'!$J$4:$J$692,T$1)</f>
        <v>0</v>
      </c>
      <c r="U115" s="207">
        <f>SUMIFS('апрель 2023'!$G$4:$G$692,'апрель 2023'!$D$4:$D$692,$B115,'апрель 2023'!$J$4:$J$692,U$1)</f>
        <v>0</v>
      </c>
      <c r="V115" s="207">
        <f>SUMIFS('апрель 2023'!$G$4:$G$692,'апрель 2023'!$D$4:$D$692,$B115,'апрель 2023'!$J$4:$J$692,V$1)</f>
        <v>0</v>
      </c>
      <c r="W115" s="207">
        <f>SUMIFS('апрель 2023'!$G$4:$G$692,'апрель 2023'!$D$4:$D$692,$B115,'апрель 2023'!$J$4:$J$692,W$1)</f>
        <v>0</v>
      </c>
      <c r="X115" s="207">
        <f>SUMIFS('апрель 2023'!$G$4:$G$692,'апрель 2023'!$D$4:$D$692,$B115,'апрель 2023'!$J$4:$J$692,X$1)</f>
        <v>0</v>
      </c>
      <c r="Y115" s="207">
        <f>SUMIFS('апрель 2023'!$G$4:$G$692,'апрель 2023'!$D$4:$D$692,$B115,'апрель 2023'!$J$4:$J$692,Y$1)</f>
        <v>0</v>
      </c>
      <c r="Z115" s="207">
        <f>SUMIFS('апрель 2023'!$G$4:$G$692,'апрель 2023'!$D$4:$D$692,$B115,'апрель 2023'!$J$4:$J$692,Z$1)</f>
        <v>0</v>
      </c>
      <c r="AA115" s="207">
        <f>SUMIFS('апрель 2023'!$G$4:$G$692,'апрель 2023'!$D$4:$D$692,$B115,'апрель 2023'!$J$4:$J$692,AA$1)</f>
        <v>0</v>
      </c>
      <c r="AB115" s="207">
        <f>SUMIFS('апрель 2023'!$G$4:$G$692,'апрель 2023'!$D$4:$D$692,$B115,'апрель 2023'!$J$4:$J$692,AB$1)</f>
        <v>0</v>
      </c>
      <c r="AC115" s="207">
        <f>SUMIFS('апрель 2023'!$G$4:$G$692,'апрель 2023'!$D$4:$D$692,$B115,'апрель 2023'!$J$4:$J$692,AC$1)</f>
        <v>0</v>
      </c>
      <c r="AD115" s="207">
        <f>SUMIFS('апрель 2023'!$G$4:$G$692,'апрель 2023'!$D$4:$D$692,$B115,'апрель 2023'!$J$4:$J$692,AD$1)</f>
        <v>0</v>
      </c>
      <c r="AE115" s="207">
        <f>SUMIFS('апрель 2023'!$G$4:$G$692,'апрель 2023'!$D$4:$D$692,$B115,'апрель 2023'!$J$4:$J$692,AE$1)</f>
        <v>0</v>
      </c>
      <c r="AF115" s="207">
        <f>SUMIFS('апрель 2023'!$G$4:$G$692,'апрель 2023'!$D$4:$D$692,$B115,'апрель 2023'!$J$4:$J$692,AF$1)</f>
        <v>0</v>
      </c>
      <c r="AG115" s="207">
        <f>SUMIFS('апрель 2023'!$G$4:$G$692,'апрель 2023'!$D$4:$D$692,$B115,'апрель 2023'!$J$4:$J$692,AG$1)</f>
        <v>0</v>
      </c>
      <c r="AH115" s="207">
        <f>SUMIFS('апрель 2023'!$G$4:$G$692,'апрель 2023'!$D$4:$D$692,$B115,'апрель 2023'!$J$4:$J$692,AH$1)</f>
        <v>0</v>
      </c>
      <c r="AI115" s="170">
        <f t="shared" si="3"/>
        <v>0</v>
      </c>
    </row>
    <row r="116" spans="2:35" ht="15" customHeight="1" x14ac:dyDescent="0.25">
      <c r="B116" s="212"/>
      <c r="C116" s="211"/>
      <c r="D116" s="207">
        <f>SUMIFS('апрель 2023'!$G$4:$G$692,'апрель 2023'!$D$4:$D$692,$B116,'апрель 2023'!$J$4:$J$692,D$1)</f>
        <v>0</v>
      </c>
      <c r="E116" s="207">
        <f>SUMIFS('апрель 2023'!$G$4:$G$692,'апрель 2023'!$D$4:$D$692,$B116,'апрель 2023'!$J$4:$J$692,E$1)</f>
        <v>0</v>
      </c>
      <c r="F116" s="207">
        <f>SUMIFS('апрель 2023'!$G$4:$G$692,'апрель 2023'!$D$4:$D$692,$B116,'апрель 2023'!$J$4:$J$692,F$1)</f>
        <v>0</v>
      </c>
      <c r="G116" s="207">
        <f>SUMIFS('апрель 2023'!$G$4:$G$692,'апрель 2023'!$D$4:$D$692,$B116,'апрель 2023'!$J$4:$J$692,G$1)</f>
        <v>0</v>
      </c>
      <c r="H116" s="207">
        <f>SUMIFS('апрель 2023'!$G$4:$G$692,'апрель 2023'!$D$4:$D$692,$B116,'апрель 2023'!$J$4:$J$692,H$1)</f>
        <v>0</v>
      </c>
      <c r="I116" s="207">
        <f>SUMIFS('апрель 2023'!$G$4:$G$692,'апрель 2023'!$D$4:$D$692,$B116,'апрель 2023'!$J$4:$J$692,I$1)</f>
        <v>0</v>
      </c>
      <c r="J116" s="207">
        <f>SUMIFS('апрель 2023'!$G$4:$G$692,'апрель 2023'!$D$4:$D$692,$B116,'апрель 2023'!$J$4:$J$692,J$1)</f>
        <v>0</v>
      </c>
      <c r="K116" s="207">
        <f>SUMIFS('апрель 2023'!$G$4:$G$692,'апрель 2023'!$D$4:$D$692,$B116,'апрель 2023'!$J$4:$J$692,K$1)</f>
        <v>0</v>
      </c>
      <c r="L116" s="207">
        <f>SUMIFS('апрель 2023'!$G$4:$G$692,'апрель 2023'!$D$4:$D$692,$B116,'апрель 2023'!$J$4:$J$692,L$1)</f>
        <v>0</v>
      </c>
      <c r="M116" s="207">
        <f>SUMIFS('апрель 2023'!$G$4:$G$692,'апрель 2023'!$D$4:$D$692,$B116,'апрель 2023'!$J$4:$J$692,M$1)</f>
        <v>0</v>
      </c>
      <c r="N116" s="207">
        <f>SUMIFS('апрель 2023'!$G$4:$G$692,'апрель 2023'!$D$4:$D$692,$B116,'апрель 2023'!$J$4:$J$692,N$1)</f>
        <v>0</v>
      </c>
      <c r="O116" s="207">
        <f>SUMIFS('апрель 2023'!$G$4:$G$692,'апрель 2023'!$D$4:$D$692,$B116,'апрель 2023'!$J$4:$J$692,O$1)</f>
        <v>0</v>
      </c>
      <c r="P116" s="207">
        <f>SUMIFS('апрель 2023'!$G$4:$G$692,'апрель 2023'!$D$4:$D$692,$B116,'апрель 2023'!$J$4:$J$692,P$1)</f>
        <v>0</v>
      </c>
      <c r="Q116" s="207">
        <f>SUMIFS('апрель 2023'!$G$4:$G$692,'апрель 2023'!$D$4:$D$692,$B116,'апрель 2023'!$J$4:$J$692,Q$1)</f>
        <v>0</v>
      </c>
      <c r="R116" s="207">
        <f>SUMIFS('апрель 2023'!$G$4:$G$692,'апрель 2023'!$D$4:$D$692,$B116,'апрель 2023'!$J$4:$J$692,R$1)</f>
        <v>0</v>
      </c>
      <c r="S116" s="207">
        <f>SUMIFS('апрель 2023'!$G$4:$G$692,'апрель 2023'!$D$4:$D$692,$B116,'апрель 2023'!$J$4:$J$692,S$1)</f>
        <v>0</v>
      </c>
      <c r="T116" s="207">
        <f>SUMIFS('апрель 2023'!$G$4:$G$692,'апрель 2023'!$D$4:$D$692,$B116,'апрель 2023'!$J$4:$J$692,T$1)</f>
        <v>0</v>
      </c>
      <c r="U116" s="207">
        <f>SUMIFS('апрель 2023'!$G$4:$G$692,'апрель 2023'!$D$4:$D$692,$B116,'апрель 2023'!$J$4:$J$692,U$1)</f>
        <v>0</v>
      </c>
      <c r="V116" s="207">
        <f>SUMIFS('апрель 2023'!$G$4:$G$692,'апрель 2023'!$D$4:$D$692,$B116,'апрель 2023'!$J$4:$J$692,V$1)</f>
        <v>0</v>
      </c>
      <c r="W116" s="207">
        <f>SUMIFS('апрель 2023'!$G$4:$G$692,'апрель 2023'!$D$4:$D$692,$B116,'апрель 2023'!$J$4:$J$692,W$1)</f>
        <v>0</v>
      </c>
      <c r="X116" s="207">
        <f>SUMIFS('апрель 2023'!$G$4:$G$692,'апрель 2023'!$D$4:$D$692,$B116,'апрель 2023'!$J$4:$J$692,X$1)</f>
        <v>0</v>
      </c>
      <c r="Y116" s="207">
        <f>SUMIFS('апрель 2023'!$G$4:$G$692,'апрель 2023'!$D$4:$D$692,$B116,'апрель 2023'!$J$4:$J$692,Y$1)</f>
        <v>0</v>
      </c>
      <c r="Z116" s="207">
        <f>SUMIFS('апрель 2023'!$G$4:$G$692,'апрель 2023'!$D$4:$D$692,$B116,'апрель 2023'!$J$4:$J$692,Z$1)</f>
        <v>0</v>
      </c>
      <c r="AA116" s="207">
        <f>SUMIFS('апрель 2023'!$G$4:$G$692,'апрель 2023'!$D$4:$D$692,$B116,'апрель 2023'!$J$4:$J$692,AA$1)</f>
        <v>0</v>
      </c>
      <c r="AB116" s="207">
        <f>SUMIFS('апрель 2023'!$G$4:$G$692,'апрель 2023'!$D$4:$D$692,$B116,'апрель 2023'!$J$4:$J$692,AB$1)</f>
        <v>0</v>
      </c>
      <c r="AC116" s="207">
        <f>SUMIFS('апрель 2023'!$G$4:$G$692,'апрель 2023'!$D$4:$D$692,$B116,'апрель 2023'!$J$4:$J$692,AC$1)</f>
        <v>0</v>
      </c>
      <c r="AD116" s="207">
        <f>SUMIFS('апрель 2023'!$G$4:$G$692,'апрель 2023'!$D$4:$D$692,$B116,'апрель 2023'!$J$4:$J$692,AD$1)</f>
        <v>0</v>
      </c>
      <c r="AE116" s="207">
        <f>SUMIFS('апрель 2023'!$G$4:$G$692,'апрель 2023'!$D$4:$D$692,$B116,'апрель 2023'!$J$4:$J$692,AE$1)</f>
        <v>0</v>
      </c>
      <c r="AF116" s="207">
        <f>SUMIFS('апрель 2023'!$G$4:$G$692,'апрель 2023'!$D$4:$D$692,$B116,'апрель 2023'!$J$4:$J$692,AF$1)</f>
        <v>0</v>
      </c>
      <c r="AG116" s="207">
        <f>SUMIFS('апрель 2023'!$G$4:$G$692,'апрель 2023'!$D$4:$D$692,$B116,'апрель 2023'!$J$4:$J$692,AG$1)</f>
        <v>0</v>
      </c>
      <c r="AH116" s="207">
        <f>SUMIFS('апрель 2023'!$G$4:$G$692,'апрель 2023'!$D$4:$D$692,$B116,'апрель 2023'!$J$4:$J$692,AH$1)</f>
        <v>0</v>
      </c>
      <c r="AI116" s="170">
        <f t="shared" si="3"/>
        <v>0</v>
      </c>
    </row>
    <row r="117" spans="2:35" ht="15" customHeight="1" x14ac:dyDescent="0.25">
      <c r="B117" s="212"/>
      <c r="C117" s="211"/>
      <c r="D117" s="207">
        <f>SUMIFS('апрель 2023'!$G$4:$G$692,'апрель 2023'!$D$4:$D$692,$B117,'апрель 2023'!$J$4:$J$692,D$1)</f>
        <v>0</v>
      </c>
      <c r="E117" s="207">
        <f>SUMIFS('апрель 2023'!$G$4:$G$692,'апрель 2023'!$D$4:$D$692,$B117,'апрель 2023'!$J$4:$J$692,E$1)</f>
        <v>0</v>
      </c>
      <c r="F117" s="207">
        <f>SUMIFS('апрель 2023'!$G$4:$G$692,'апрель 2023'!$D$4:$D$692,$B117,'апрель 2023'!$J$4:$J$692,F$1)</f>
        <v>0</v>
      </c>
      <c r="G117" s="207">
        <f>SUMIFS('апрель 2023'!$G$4:$G$692,'апрель 2023'!$D$4:$D$692,$B117,'апрель 2023'!$J$4:$J$692,G$1)</f>
        <v>0</v>
      </c>
      <c r="H117" s="207">
        <f>SUMIFS('апрель 2023'!$G$4:$G$692,'апрель 2023'!$D$4:$D$692,$B117,'апрель 2023'!$J$4:$J$692,H$1)</f>
        <v>0</v>
      </c>
      <c r="I117" s="207">
        <f>SUMIFS('апрель 2023'!$G$4:$G$692,'апрель 2023'!$D$4:$D$692,$B117,'апрель 2023'!$J$4:$J$692,I$1)</f>
        <v>0</v>
      </c>
      <c r="J117" s="207">
        <f>SUMIFS('апрель 2023'!$G$4:$G$692,'апрель 2023'!$D$4:$D$692,$B117,'апрель 2023'!$J$4:$J$692,J$1)</f>
        <v>0</v>
      </c>
      <c r="K117" s="207">
        <f>SUMIFS('апрель 2023'!$G$4:$G$692,'апрель 2023'!$D$4:$D$692,$B117,'апрель 2023'!$J$4:$J$692,K$1)</f>
        <v>0</v>
      </c>
      <c r="L117" s="207">
        <f>SUMIFS('апрель 2023'!$G$4:$G$692,'апрель 2023'!$D$4:$D$692,$B117,'апрель 2023'!$J$4:$J$692,L$1)</f>
        <v>0</v>
      </c>
      <c r="M117" s="207">
        <f>SUMIFS('апрель 2023'!$G$4:$G$692,'апрель 2023'!$D$4:$D$692,$B117,'апрель 2023'!$J$4:$J$692,M$1)</f>
        <v>0</v>
      </c>
      <c r="N117" s="207">
        <f>SUMIFS('апрель 2023'!$G$4:$G$692,'апрель 2023'!$D$4:$D$692,$B117,'апрель 2023'!$J$4:$J$692,N$1)</f>
        <v>0</v>
      </c>
      <c r="O117" s="207">
        <f>SUMIFS('апрель 2023'!$G$4:$G$692,'апрель 2023'!$D$4:$D$692,$B117,'апрель 2023'!$J$4:$J$692,O$1)</f>
        <v>0</v>
      </c>
      <c r="P117" s="207">
        <f>SUMIFS('апрель 2023'!$G$4:$G$692,'апрель 2023'!$D$4:$D$692,$B117,'апрель 2023'!$J$4:$J$692,P$1)</f>
        <v>0</v>
      </c>
      <c r="Q117" s="207">
        <f>SUMIFS('апрель 2023'!$G$4:$G$692,'апрель 2023'!$D$4:$D$692,$B117,'апрель 2023'!$J$4:$J$692,Q$1)</f>
        <v>0</v>
      </c>
      <c r="R117" s="207">
        <f>SUMIFS('апрель 2023'!$G$4:$G$692,'апрель 2023'!$D$4:$D$692,$B117,'апрель 2023'!$J$4:$J$692,R$1)</f>
        <v>0</v>
      </c>
      <c r="S117" s="207">
        <f>SUMIFS('апрель 2023'!$G$4:$G$692,'апрель 2023'!$D$4:$D$692,$B117,'апрель 2023'!$J$4:$J$692,S$1)</f>
        <v>0</v>
      </c>
      <c r="T117" s="207">
        <f>SUMIFS('апрель 2023'!$G$4:$G$692,'апрель 2023'!$D$4:$D$692,$B117,'апрель 2023'!$J$4:$J$692,T$1)</f>
        <v>0</v>
      </c>
      <c r="U117" s="207">
        <f>SUMIFS('апрель 2023'!$G$4:$G$692,'апрель 2023'!$D$4:$D$692,$B117,'апрель 2023'!$J$4:$J$692,U$1)</f>
        <v>0</v>
      </c>
      <c r="V117" s="207">
        <f>SUMIFS('апрель 2023'!$G$4:$G$692,'апрель 2023'!$D$4:$D$692,$B117,'апрель 2023'!$J$4:$J$692,V$1)</f>
        <v>0</v>
      </c>
      <c r="W117" s="207">
        <f>SUMIFS('апрель 2023'!$G$4:$G$692,'апрель 2023'!$D$4:$D$692,$B117,'апрель 2023'!$J$4:$J$692,W$1)</f>
        <v>0</v>
      </c>
      <c r="X117" s="207">
        <f>SUMIFS('апрель 2023'!$G$4:$G$692,'апрель 2023'!$D$4:$D$692,$B117,'апрель 2023'!$J$4:$J$692,X$1)</f>
        <v>0</v>
      </c>
      <c r="Y117" s="207">
        <f>SUMIFS('апрель 2023'!$G$4:$G$692,'апрель 2023'!$D$4:$D$692,$B117,'апрель 2023'!$J$4:$J$692,Y$1)</f>
        <v>0</v>
      </c>
      <c r="Z117" s="207">
        <f>SUMIFS('апрель 2023'!$G$4:$G$692,'апрель 2023'!$D$4:$D$692,$B117,'апрель 2023'!$J$4:$J$692,Z$1)</f>
        <v>0</v>
      </c>
      <c r="AA117" s="207">
        <f>SUMIFS('апрель 2023'!$G$4:$G$692,'апрель 2023'!$D$4:$D$692,$B117,'апрель 2023'!$J$4:$J$692,AA$1)</f>
        <v>0</v>
      </c>
      <c r="AB117" s="207">
        <f>SUMIFS('апрель 2023'!$G$4:$G$692,'апрель 2023'!$D$4:$D$692,$B117,'апрель 2023'!$J$4:$J$692,AB$1)</f>
        <v>0</v>
      </c>
      <c r="AC117" s="207">
        <f>SUMIFS('апрель 2023'!$G$4:$G$692,'апрель 2023'!$D$4:$D$692,$B117,'апрель 2023'!$J$4:$J$692,AC$1)</f>
        <v>0</v>
      </c>
      <c r="AD117" s="207">
        <f>SUMIFS('апрель 2023'!$G$4:$G$692,'апрель 2023'!$D$4:$D$692,$B117,'апрель 2023'!$J$4:$J$692,AD$1)</f>
        <v>0</v>
      </c>
      <c r="AE117" s="207">
        <f>SUMIFS('апрель 2023'!$G$4:$G$692,'апрель 2023'!$D$4:$D$692,$B117,'апрель 2023'!$J$4:$J$692,AE$1)</f>
        <v>0</v>
      </c>
      <c r="AF117" s="207">
        <f>SUMIFS('апрель 2023'!$G$4:$G$692,'апрель 2023'!$D$4:$D$692,$B117,'апрель 2023'!$J$4:$J$692,AF$1)</f>
        <v>0</v>
      </c>
      <c r="AG117" s="207">
        <f>SUMIFS('апрель 2023'!$G$4:$G$692,'апрель 2023'!$D$4:$D$692,$B117,'апрель 2023'!$J$4:$J$692,AG$1)</f>
        <v>0</v>
      </c>
      <c r="AH117" s="207">
        <f>SUMIFS('апрель 2023'!$G$4:$G$692,'апрель 2023'!$D$4:$D$692,$B117,'апрель 2023'!$J$4:$J$692,AH$1)</f>
        <v>0</v>
      </c>
      <c r="AI117" s="170">
        <f t="shared" si="3"/>
        <v>0</v>
      </c>
    </row>
    <row r="118" spans="2:35" ht="15" hidden="1" customHeight="1" x14ac:dyDescent="0.25">
      <c r="B118" s="212"/>
      <c r="C118" s="211"/>
      <c r="D118" s="207">
        <f>SUMIFS('апрель 2023'!$G$4:$G$692,'апрель 2023'!$D$4:$D$692,$B118,'апрель 2023'!$J$4:$J$692,D$1)</f>
        <v>0</v>
      </c>
      <c r="E118" s="207">
        <f>SUMIFS('апрель 2023'!$G$4:$G$692,'апрель 2023'!$D$4:$D$692,$B118,'апрель 2023'!$J$4:$J$692,E$1)</f>
        <v>0</v>
      </c>
      <c r="F118" s="207">
        <f>SUMIFS('апрель 2023'!$G$4:$G$692,'апрель 2023'!$D$4:$D$692,$B118,'апрель 2023'!$J$4:$J$692,F$1)</f>
        <v>0</v>
      </c>
      <c r="G118" s="207">
        <f>SUMIFS('апрель 2023'!$G$4:$G$692,'апрель 2023'!$D$4:$D$692,$B118,'апрель 2023'!$J$4:$J$692,G$1)</f>
        <v>0</v>
      </c>
      <c r="H118" s="207">
        <f>SUMIFS('апрель 2023'!$G$4:$G$692,'апрель 2023'!$D$4:$D$692,$B118,'апрель 2023'!$J$4:$J$692,H$1)</f>
        <v>0</v>
      </c>
      <c r="I118" s="207">
        <f>SUMIFS('апрель 2023'!$G$4:$G$692,'апрель 2023'!$D$4:$D$692,$B118,'апрель 2023'!$J$4:$J$692,I$1)</f>
        <v>0</v>
      </c>
      <c r="J118" s="207">
        <f>SUMIFS('апрель 2023'!$G$4:$G$692,'апрель 2023'!$D$4:$D$692,$B118,'апрель 2023'!$J$4:$J$692,J$1)</f>
        <v>0</v>
      </c>
      <c r="K118" s="207">
        <f>SUMIFS('апрель 2023'!$G$4:$G$692,'апрель 2023'!$D$4:$D$692,$B118,'апрель 2023'!$J$4:$J$692,K$1)</f>
        <v>0</v>
      </c>
      <c r="L118" s="207">
        <f>SUMIFS('апрель 2023'!$G$4:$G$692,'апрель 2023'!$D$4:$D$692,$B118,'апрель 2023'!$J$4:$J$692,L$1)</f>
        <v>0</v>
      </c>
      <c r="M118" s="207">
        <f>SUMIFS('апрель 2023'!$G$4:$G$692,'апрель 2023'!$D$4:$D$692,$B118,'апрель 2023'!$J$4:$J$692,M$1)</f>
        <v>0</v>
      </c>
      <c r="N118" s="207">
        <f>SUMIFS('апрель 2023'!$G$4:$G$692,'апрель 2023'!$D$4:$D$692,$B118,'апрель 2023'!$J$4:$J$692,N$1)</f>
        <v>0</v>
      </c>
      <c r="O118" s="207">
        <f>SUMIFS('апрель 2023'!$G$4:$G$692,'апрель 2023'!$D$4:$D$692,$B118,'апрель 2023'!$J$4:$J$692,O$1)</f>
        <v>0</v>
      </c>
      <c r="P118" s="207">
        <f>SUMIFS('апрель 2023'!$G$4:$G$692,'апрель 2023'!$D$4:$D$692,$B118,'апрель 2023'!$J$4:$J$692,P$1)</f>
        <v>0</v>
      </c>
      <c r="Q118" s="207">
        <f>SUMIFS('апрель 2023'!$G$4:$G$692,'апрель 2023'!$D$4:$D$692,$B118,'апрель 2023'!$J$4:$J$692,Q$1)</f>
        <v>0</v>
      </c>
      <c r="R118" s="207">
        <f>SUMIFS('апрель 2023'!$G$4:$G$692,'апрель 2023'!$D$4:$D$692,$B118,'апрель 2023'!$J$4:$J$692,R$1)</f>
        <v>0</v>
      </c>
      <c r="S118" s="207">
        <f>SUMIFS('апрель 2023'!$G$4:$G$692,'апрель 2023'!$D$4:$D$692,$B118,'апрель 2023'!$J$4:$J$692,S$1)</f>
        <v>0</v>
      </c>
      <c r="T118" s="207">
        <f>SUMIFS('апрель 2023'!$G$4:$G$692,'апрель 2023'!$D$4:$D$692,$B118,'апрель 2023'!$J$4:$J$692,T$1)</f>
        <v>0</v>
      </c>
      <c r="U118" s="207">
        <f>SUMIFS('апрель 2023'!$G$4:$G$692,'апрель 2023'!$D$4:$D$692,$B118,'апрель 2023'!$J$4:$J$692,U$1)</f>
        <v>0</v>
      </c>
      <c r="V118" s="207">
        <f>SUMIFS('апрель 2023'!$G$4:$G$692,'апрель 2023'!$D$4:$D$692,$B118,'апрель 2023'!$J$4:$J$692,V$1)</f>
        <v>0</v>
      </c>
      <c r="W118" s="207">
        <f>SUMIFS('апрель 2023'!$G$4:$G$692,'апрель 2023'!$D$4:$D$692,$B118,'апрель 2023'!$J$4:$J$692,W$1)</f>
        <v>0</v>
      </c>
      <c r="X118" s="207">
        <f>SUMIFS('апрель 2023'!$G$4:$G$692,'апрель 2023'!$D$4:$D$692,$B118,'апрель 2023'!$J$4:$J$692,X$1)</f>
        <v>0</v>
      </c>
      <c r="Y118" s="207">
        <f>SUMIFS('апрель 2023'!$G$4:$G$692,'апрель 2023'!$D$4:$D$692,$B118,'апрель 2023'!$J$4:$J$692,Y$1)</f>
        <v>0</v>
      </c>
      <c r="Z118" s="207">
        <f>SUMIFS('апрель 2023'!$G$4:$G$692,'апрель 2023'!$D$4:$D$692,$B118,'апрель 2023'!$J$4:$J$692,Z$1)</f>
        <v>0</v>
      </c>
      <c r="AA118" s="207">
        <f>SUMIFS('апрель 2023'!$G$4:$G$692,'апрель 2023'!$D$4:$D$692,$B118,'апрель 2023'!$J$4:$J$692,AA$1)</f>
        <v>0</v>
      </c>
      <c r="AB118" s="207">
        <f>SUMIFS('апрель 2023'!$G$4:$G$692,'апрель 2023'!$D$4:$D$692,$B118,'апрель 2023'!$J$4:$J$692,AB$1)</f>
        <v>0</v>
      </c>
      <c r="AC118" s="207">
        <f>SUMIFS('апрель 2023'!$G$4:$G$692,'апрель 2023'!$D$4:$D$692,$B118,'апрель 2023'!$J$4:$J$692,AC$1)</f>
        <v>0</v>
      </c>
      <c r="AD118" s="207">
        <f>SUMIFS('апрель 2023'!$G$4:$G$692,'апрель 2023'!$D$4:$D$692,$B118,'апрель 2023'!$J$4:$J$692,AD$1)</f>
        <v>0</v>
      </c>
      <c r="AE118" s="207">
        <f>SUMIFS('апрель 2023'!$G$4:$G$692,'апрель 2023'!$D$4:$D$692,$B118,'апрель 2023'!$J$4:$J$692,AE$1)</f>
        <v>0</v>
      </c>
      <c r="AF118" s="207">
        <f>SUMIFS('апрель 2023'!$G$4:$G$692,'апрель 2023'!$D$4:$D$692,$B118,'апрель 2023'!$J$4:$J$692,AF$1)</f>
        <v>0</v>
      </c>
      <c r="AG118" s="207">
        <f>SUMIFS('апрель 2023'!$G$4:$G$692,'апрель 2023'!$D$4:$D$692,$B118,'апрель 2023'!$J$4:$J$692,AG$1)</f>
        <v>0</v>
      </c>
      <c r="AH118" s="207">
        <f>SUMIFS('апрель 2023'!$G$4:$G$692,'апрель 2023'!$D$4:$D$692,$B118,'апрель 2023'!$J$4:$J$692,AH$1)</f>
        <v>0</v>
      </c>
      <c r="AI118" s="220">
        <f t="shared" si="3"/>
        <v>0</v>
      </c>
    </row>
    <row r="119" spans="2:35" ht="15" hidden="1" customHeight="1" x14ac:dyDescent="0.25">
      <c r="B119" s="212"/>
      <c r="C119" s="211"/>
      <c r="D119" s="207">
        <f>SUMIFS('апрель 2023'!$G$4:$G$692,'апрель 2023'!$D$4:$D$692,$B119,'апрель 2023'!$J$4:$J$692,D$1)</f>
        <v>0</v>
      </c>
      <c r="E119" s="207">
        <f>SUMIFS('апрель 2023'!$G$4:$G$692,'апрель 2023'!$D$4:$D$692,$B119,'апрель 2023'!$J$4:$J$692,E$1)</f>
        <v>0</v>
      </c>
      <c r="F119" s="207">
        <f>SUMIFS('апрель 2023'!$G$4:$G$692,'апрель 2023'!$D$4:$D$692,$B119,'апрель 2023'!$J$4:$J$692,F$1)</f>
        <v>0</v>
      </c>
      <c r="G119" s="207">
        <f>SUMIFS('апрель 2023'!$G$4:$G$692,'апрель 2023'!$D$4:$D$692,$B119,'апрель 2023'!$J$4:$J$692,G$1)</f>
        <v>0</v>
      </c>
      <c r="H119" s="207">
        <f>SUMIFS('апрель 2023'!$G$4:$G$692,'апрель 2023'!$D$4:$D$692,$B119,'апрель 2023'!$J$4:$J$692,H$1)</f>
        <v>0</v>
      </c>
      <c r="I119" s="207">
        <f>SUMIFS('апрель 2023'!$G$4:$G$692,'апрель 2023'!$D$4:$D$692,$B119,'апрель 2023'!$J$4:$J$692,I$1)</f>
        <v>0</v>
      </c>
      <c r="J119" s="207">
        <f>SUMIFS('апрель 2023'!$G$4:$G$692,'апрель 2023'!$D$4:$D$692,$B119,'апрель 2023'!$J$4:$J$692,J$1)</f>
        <v>0</v>
      </c>
      <c r="K119" s="207">
        <f>SUMIFS('апрель 2023'!$G$4:$G$692,'апрель 2023'!$D$4:$D$692,$B119,'апрель 2023'!$J$4:$J$692,K$1)</f>
        <v>0</v>
      </c>
      <c r="L119" s="207">
        <f>SUMIFS('апрель 2023'!$G$4:$G$692,'апрель 2023'!$D$4:$D$692,$B119,'апрель 2023'!$J$4:$J$692,L$1)</f>
        <v>0</v>
      </c>
      <c r="M119" s="207">
        <f>SUMIFS('апрель 2023'!$G$4:$G$692,'апрель 2023'!$D$4:$D$692,$B119,'апрель 2023'!$J$4:$J$692,M$1)</f>
        <v>0</v>
      </c>
      <c r="N119" s="207">
        <f>SUMIFS('апрель 2023'!$G$4:$G$692,'апрель 2023'!$D$4:$D$692,$B119,'апрель 2023'!$J$4:$J$692,N$1)</f>
        <v>0</v>
      </c>
      <c r="O119" s="207">
        <f>SUMIFS('апрель 2023'!$G$4:$G$692,'апрель 2023'!$D$4:$D$692,$B119,'апрель 2023'!$J$4:$J$692,O$1)</f>
        <v>0</v>
      </c>
      <c r="P119" s="207">
        <f>SUMIFS('апрель 2023'!$G$4:$G$692,'апрель 2023'!$D$4:$D$692,$B119,'апрель 2023'!$J$4:$J$692,P$1)</f>
        <v>0</v>
      </c>
      <c r="Q119" s="207">
        <f>SUMIFS('апрель 2023'!$G$4:$G$692,'апрель 2023'!$D$4:$D$692,$B119,'апрель 2023'!$J$4:$J$692,Q$1)</f>
        <v>0</v>
      </c>
      <c r="R119" s="207">
        <f>SUMIFS('апрель 2023'!$G$4:$G$692,'апрель 2023'!$D$4:$D$692,$B119,'апрель 2023'!$J$4:$J$692,R$1)</f>
        <v>0</v>
      </c>
      <c r="S119" s="207">
        <f>SUMIFS('апрель 2023'!$G$4:$G$692,'апрель 2023'!$D$4:$D$692,$B119,'апрель 2023'!$J$4:$J$692,S$1)</f>
        <v>0</v>
      </c>
      <c r="T119" s="207">
        <f>SUMIFS('апрель 2023'!$G$4:$G$692,'апрель 2023'!$D$4:$D$692,$B119,'апрель 2023'!$J$4:$J$692,T$1)</f>
        <v>0</v>
      </c>
      <c r="U119" s="207">
        <f>SUMIFS('апрель 2023'!$G$4:$G$692,'апрель 2023'!$D$4:$D$692,$B119,'апрель 2023'!$J$4:$J$692,U$1)</f>
        <v>0</v>
      </c>
      <c r="V119" s="207">
        <f>SUMIFS('апрель 2023'!$G$4:$G$692,'апрель 2023'!$D$4:$D$692,$B119,'апрель 2023'!$J$4:$J$692,V$1)</f>
        <v>0</v>
      </c>
      <c r="W119" s="207">
        <f>SUMIFS('апрель 2023'!$G$4:$G$692,'апрель 2023'!$D$4:$D$692,$B119,'апрель 2023'!$J$4:$J$692,W$1)</f>
        <v>0</v>
      </c>
      <c r="X119" s="207">
        <f>SUMIFS('апрель 2023'!$G$4:$G$692,'апрель 2023'!$D$4:$D$692,$B119,'апрель 2023'!$J$4:$J$692,X$1)</f>
        <v>0</v>
      </c>
      <c r="Y119" s="207">
        <f>SUMIFS('апрель 2023'!$G$4:$G$692,'апрель 2023'!$D$4:$D$692,$B119,'апрель 2023'!$J$4:$J$692,Y$1)</f>
        <v>0</v>
      </c>
      <c r="Z119" s="207">
        <f>SUMIFS('апрель 2023'!$G$4:$G$692,'апрель 2023'!$D$4:$D$692,$B119,'апрель 2023'!$J$4:$J$692,Z$1)</f>
        <v>0</v>
      </c>
      <c r="AA119" s="207">
        <f>SUMIFS('апрель 2023'!$G$4:$G$692,'апрель 2023'!$D$4:$D$692,$B119,'апрель 2023'!$J$4:$J$692,AA$1)</f>
        <v>0</v>
      </c>
      <c r="AB119" s="207">
        <f>SUMIFS('апрель 2023'!$G$4:$G$692,'апрель 2023'!$D$4:$D$692,$B119,'апрель 2023'!$J$4:$J$692,AB$1)</f>
        <v>0</v>
      </c>
      <c r="AC119" s="207">
        <f>SUMIFS('апрель 2023'!$G$4:$G$692,'апрель 2023'!$D$4:$D$692,$B119,'апрель 2023'!$J$4:$J$692,AC$1)</f>
        <v>0</v>
      </c>
      <c r="AD119" s="207">
        <f>SUMIFS('апрель 2023'!$G$4:$G$692,'апрель 2023'!$D$4:$D$692,$B119,'апрель 2023'!$J$4:$J$692,AD$1)</f>
        <v>0</v>
      </c>
      <c r="AE119" s="207">
        <f>SUMIFS('апрель 2023'!$G$4:$G$692,'апрель 2023'!$D$4:$D$692,$B119,'апрель 2023'!$J$4:$J$692,AE$1)</f>
        <v>0</v>
      </c>
      <c r="AF119" s="207">
        <f>SUMIFS('апрель 2023'!$G$4:$G$692,'апрель 2023'!$D$4:$D$692,$B119,'апрель 2023'!$J$4:$J$692,AF$1)</f>
        <v>0</v>
      </c>
      <c r="AG119" s="207">
        <f>SUMIFS('апрель 2023'!$G$4:$G$692,'апрель 2023'!$D$4:$D$692,$B119,'апрель 2023'!$J$4:$J$692,AG$1)</f>
        <v>0</v>
      </c>
      <c r="AH119" s="207">
        <f>SUMIFS('апрель 2023'!$G$4:$G$692,'апрель 2023'!$D$4:$D$692,$B119,'апрель 2023'!$J$4:$J$692,AH$1)</f>
        <v>0</v>
      </c>
      <c r="AI119" s="220">
        <f t="shared" si="3"/>
        <v>0</v>
      </c>
    </row>
    <row r="120" spans="2:35" ht="15" hidden="1" customHeight="1" x14ac:dyDescent="0.25">
      <c r="B120" s="212"/>
      <c r="C120" s="211"/>
      <c r="D120" s="207">
        <f>SUMIFS('апрель 2023'!$G$4:$G$692,'апрель 2023'!$D$4:$D$692,$B120,'апрель 2023'!$J$4:$J$692,D$1)</f>
        <v>0</v>
      </c>
      <c r="E120" s="207">
        <f>SUMIFS('апрель 2023'!$G$4:$G$692,'апрель 2023'!$D$4:$D$692,$B120,'апрель 2023'!$J$4:$J$692,E$1)</f>
        <v>0</v>
      </c>
      <c r="F120" s="207">
        <f>SUMIFS('апрель 2023'!$G$4:$G$692,'апрель 2023'!$D$4:$D$692,$B120,'апрель 2023'!$J$4:$J$692,F$1)</f>
        <v>0</v>
      </c>
      <c r="G120" s="207">
        <f>SUMIFS('апрель 2023'!$G$4:$G$692,'апрель 2023'!$D$4:$D$692,$B120,'апрель 2023'!$J$4:$J$692,G$1)</f>
        <v>0</v>
      </c>
      <c r="H120" s="207">
        <f>SUMIFS('апрель 2023'!$G$4:$G$692,'апрель 2023'!$D$4:$D$692,$B120,'апрель 2023'!$J$4:$J$692,H$1)</f>
        <v>0</v>
      </c>
      <c r="I120" s="207">
        <f>SUMIFS('апрель 2023'!$G$4:$G$692,'апрель 2023'!$D$4:$D$692,$B120,'апрель 2023'!$J$4:$J$692,I$1)</f>
        <v>0</v>
      </c>
      <c r="J120" s="207">
        <f>SUMIFS('апрель 2023'!$G$4:$G$692,'апрель 2023'!$D$4:$D$692,$B120,'апрель 2023'!$J$4:$J$692,J$1)</f>
        <v>0</v>
      </c>
      <c r="K120" s="207">
        <f>SUMIFS('апрель 2023'!$G$4:$G$692,'апрель 2023'!$D$4:$D$692,$B120,'апрель 2023'!$J$4:$J$692,K$1)</f>
        <v>0</v>
      </c>
      <c r="L120" s="207">
        <f>SUMIFS('апрель 2023'!$G$4:$G$692,'апрель 2023'!$D$4:$D$692,$B120,'апрель 2023'!$J$4:$J$692,L$1)</f>
        <v>0</v>
      </c>
      <c r="M120" s="207">
        <f>SUMIFS('апрель 2023'!$G$4:$G$692,'апрель 2023'!$D$4:$D$692,$B120,'апрель 2023'!$J$4:$J$692,M$1)</f>
        <v>0</v>
      </c>
      <c r="N120" s="207">
        <f>SUMIFS('апрель 2023'!$G$4:$G$692,'апрель 2023'!$D$4:$D$692,$B120,'апрель 2023'!$J$4:$J$692,N$1)</f>
        <v>0</v>
      </c>
      <c r="O120" s="207">
        <f>SUMIFS('апрель 2023'!$G$4:$G$692,'апрель 2023'!$D$4:$D$692,$B120,'апрель 2023'!$J$4:$J$692,O$1)</f>
        <v>0</v>
      </c>
      <c r="P120" s="207">
        <f>SUMIFS('апрель 2023'!$G$4:$G$692,'апрель 2023'!$D$4:$D$692,$B120,'апрель 2023'!$J$4:$J$692,P$1)</f>
        <v>0</v>
      </c>
      <c r="Q120" s="207">
        <f>SUMIFS('апрель 2023'!$G$4:$G$692,'апрель 2023'!$D$4:$D$692,$B120,'апрель 2023'!$J$4:$J$692,Q$1)</f>
        <v>0</v>
      </c>
      <c r="R120" s="207">
        <f>SUMIFS('апрель 2023'!$G$4:$G$692,'апрель 2023'!$D$4:$D$692,$B120,'апрель 2023'!$J$4:$J$692,R$1)</f>
        <v>0</v>
      </c>
      <c r="S120" s="207">
        <f>SUMIFS('апрель 2023'!$G$4:$G$692,'апрель 2023'!$D$4:$D$692,$B120,'апрель 2023'!$J$4:$J$692,S$1)</f>
        <v>0</v>
      </c>
      <c r="T120" s="207">
        <f>SUMIFS('апрель 2023'!$G$4:$G$692,'апрель 2023'!$D$4:$D$692,$B120,'апрель 2023'!$J$4:$J$692,T$1)</f>
        <v>0</v>
      </c>
      <c r="U120" s="207">
        <f>SUMIFS('апрель 2023'!$G$4:$G$692,'апрель 2023'!$D$4:$D$692,$B120,'апрель 2023'!$J$4:$J$692,U$1)</f>
        <v>0</v>
      </c>
      <c r="V120" s="207">
        <f>SUMIFS('апрель 2023'!$G$4:$G$692,'апрель 2023'!$D$4:$D$692,$B120,'апрель 2023'!$J$4:$J$692,V$1)</f>
        <v>0</v>
      </c>
      <c r="W120" s="207">
        <f>SUMIFS('апрель 2023'!$G$4:$G$692,'апрель 2023'!$D$4:$D$692,$B120,'апрель 2023'!$J$4:$J$692,W$1)</f>
        <v>0</v>
      </c>
      <c r="X120" s="207">
        <f>SUMIFS('апрель 2023'!$G$4:$G$692,'апрель 2023'!$D$4:$D$692,$B120,'апрель 2023'!$J$4:$J$692,X$1)</f>
        <v>0</v>
      </c>
      <c r="Y120" s="207">
        <f>SUMIFS('апрель 2023'!$G$4:$G$692,'апрель 2023'!$D$4:$D$692,$B120,'апрель 2023'!$J$4:$J$692,Y$1)</f>
        <v>0</v>
      </c>
      <c r="Z120" s="207">
        <f>SUMIFS('апрель 2023'!$G$4:$G$692,'апрель 2023'!$D$4:$D$692,$B120,'апрель 2023'!$J$4:$J$692,Z$1)</f>
        <v>0</v>
      </c>
      <c r="AA120" s="207">
        <f>SUMIFS('апрель 2023'!$G$4:$G$692,'апрель 2023'!$D$4:$D$692,$B120,'апрель 2023'!$J$4:$J$692,AA$1)</f>
        <v>0</v>
      </c>
      <c r="AB120" s="207">
        <f>SUMIFS('апрель 2023'!$G$4:$G$692,'апрель 2023'!$D$4:$D$692,$B120,'апрель 2023'!$J$4:$J$692,AB$1)</f>
        <v>0</v>
      </c>
      <c r="AC120" s="207">
        <f>SUMIFS('апрель 2023'!$G$4:$G$692,'апрель 2023'!$D$4:$D$692,$B120,'апрель 2023'!$J$4:$J$692,AC$1)</f>
        <v>0</v>
      </c>
      <c r="AD120" s="207">
        <f>SUMIFS('апрель 2023'!$G$4:$G$692,'апрель 2023'!$D$4:$D$692,$B120,'апрель 2023'!$J$4:$J$692,AD$1)</f>
        <v>0</v>
      </c>
      <c r="AE120" s="207">
        <f>SUMIFS('апрель 2023'!$G$4:$G$692,'апрель 2023'!$D$4:$D$692,$B120,'апрель 2023'!$J$4:$J$692,AE$1)</f>
        <v>0</v>
      </c>
      <c r="AF120" s="207">
        <f>SUMIFS('апрель 2023'!$G$4:$G$692,'апрель 2023'!$D$4:$D$692,$B120,'апрель 2023'!$J$4:$J$692,AF$1)</f>
        <v>0</v>
      </c>
      <c r="AG120" s="207">
        <f>SUMIFS('апрель 2023'!$G$4:$G$692,'апрель 2023'!$D$4:$D$692,$B120,'апрель 2023'!$J$4:$J$692,AG$1)</f>
        <v>0</v>
      </c>
      <c r="AH120" s="207">
        <f>SUMIFS('апрель 2023'!$G$4:$G$692,'апрель 2023'!$D$4:$D$692,$B120,'апрель 2023'!$J$4:$J$692,AH$1)</f>
        <v>0</v>
      </c>
      <c r="AI120" s="220">
        <f t="shared" si="3"/>
        <v>0</v>
      </c>
    </row>
    <row r="121" spans="2:35" ht="15" hidden="1" customHeight="1" x14ac:dyDescent="0.25">
      <c r="B121" s="212"/>
      <c r="C121" s="211"/>
      <c r="D121" s="207">
        <f>SUMIFS('апрель 2023'!$G$4:$G$692,'апрель 2023'!$D$4:$D$692,$B121,'апрель 2023'!$J$4:$J$692,D$1)</f>
        <v>0</v>
      </c>
      <c r="E121" s="207">
        <f>SUMIFS('апрель 2023'!$G$4:$G$692,'апрель 2023'!$D$4:$D$692,$B121,'апрель 2023'!$J$4:$J$692,E$1)</f>
        <v>0</v>
      </c>
      <c r="F121" s="207">
        <f>SUMIFS('апрель 2023'!$G$4:$G$692,'апрель 2023'!$D$4:$D$692,$B121,'апрель 2023'!$J$4:$J$692,F$1)</f>
        <v>0</v>
      </c>
      <c r="G121" s="207">
        <f>SUMIFS('апрель 2023'!$G$4:$G$692,'апрель 2023'!$D$4:$D$692,$B121,'апрель 2023'!$J$4:$J$692,G$1)</f>
        <v>0</v>
      </c>
      <c r="H121" s="207">
        <f>SUMIFS('апрель 2023'!$G$4:$G$692,'апрель 2023'!$D$4:$D$692,$B121,'апрель 2023'!$J$4:$J$692,H$1)</f>
        <v>0</v>
      </c>
      <c r="I121" s="207">
        <f>SUMIFS('апрель 2023'!$G$4:$G$692,'апрель 2023'!$D$4:$D$692,$B121,'апрель 2023'!$J$4:$J$692,I$1)</f>
        <v>0</v>
      </c>
      <c r="J121" s="207">
        <f>SUMIFS('апрель 2023'!$G$4:$G$692,'апрель 2023'!$D$4:$D$692,$B121,'апрель 2023'!$J$4:$J$692,J$1)</f>
        <v>0</v>
      </c>
      <c r="K121" s="207">
        <f>SUMIFS('апрель 2023'!$G$4:$G$692,'апрель 2023'!$D$4:$D$692,$B121,'апрель 2023'!$J$4:$J$692,K$1)</f>
        <v>0</v>
      </c>
      <c r="L121" s="207">
        <f>SUMIFS('апрель 2023'!$G$4:$G$692,'апрель 2023'!$D$4:$D$692,$B121,'апрель 2023'!$J$4:$J$692,L$1)</f>
        <v>0</v>
      </c>
      <c r="M121" s="207">
        <f>SUMIFS('апрель 2023'!$G$4:$G$692,'апрель 2023'!$D$4:$D$692,$B121,'апрель 2023'!$J$4:$J$692,M$1)</f>
        <v>0</v>
      </c>
      <c r="N121" s="207">
        <f>SUMIFS('апрель 2023'!$G$4:$G$692,'апрель 2023'!$D$4:$D$692,$B121,'апрель 2023'!$J$4:$J$692,N$1)</f>
        <v>0</v>
      </c>
      <c r="O121" s="207">
        <f>SUMIFS('апрель 2023'!$G$4:$G$692,'апрель 2023'!$D$4:$D$692,$B121,'апрель 2023'!$J$4:$J$692,O$1)</f>
        <v>0</v>
      </c>
      <c r="P121" s="207">
        <f>SUMIFS('апрель 2023'!$G$4:$G$692,'апрель 2023'!$D$4:$D$692,$B121,'апрель 2023'!$J$4:$J$692,P$1)</f>
        <v>0</v>
      </c>
      <c r="Q121" s="207">
        <f>SUMIFS('апрель 2023'!$G$4:$G$692,'апрель 2023'!$D$4:$D$692,$B121,'апрель 2023'!$J$4:$J$692,Q$1)</f>
        <v>0</v>
      </c>
      <c r="R121" s="207">
        <f>SUMIFS('апрель 2023'!$G$4:$G$692,'апрель 2023'!$D$4:$D$692,$B121,'апрель 2023'!$J$4:$J$692,R$1)</f>
        <v>0</v>
      </c>
      <c r="S121" s="207">
        <f>SUMIFS('апрель 2023'!$G$4:$G$692,'апрель 2023'!$D$4:$D$692,$B121,'апрель 2023'!$J$4:$J$692,S$1)</f>
        <v>0</v>
      </c>
      <c r="T121" s="207">
        <f>SUMIFS('апрель 2023'!$G$4:$G$692,'апрель 2023'!$D$4:$D$692,$B121,'апрель 2023'!$J$4:$J$692,T$1)</f>
        <v>0</v>
      </c>
      <c r="U121" s="207">
        <f>SUMIFS('апрель 2023'!$G$4:$G$692,'апрель 2023'!$D$4:$D$692,$B121,'апрель 2023'!$J$4:$J$692,U$1)</f>
        <v>0</v>
      </c>
      <c r="V121" s="207">
        <f>SUMIFS('апрель 2023'!$G$4:$G$692,'апрель 2023'!$D$4:$D$692,$B121,'апрель 2023'!$J$4:$J$692,V$1)</f>
        <v>0</v>
      </c>
      <c r="W121" s="207">
        <f>SUMIFS('апрель 2023'!$G$4:$G$692,'апрель 2023'!$D$4:$D$692,$B121,'апрель 2023'!$J$4:$J$692,W$1)</f>
        <v>0</v>
      </c>
      <c r="X121" s="207">
        <f>SUMIFS('апрель 2023'!$G$4:$G$692,'апрель 2023'!$D$4:$D$692,$B121,'апрель 2023'!$J$4:$J$692,X$1)</f>
        <v>0</v>
      </c>
      <c r="Y121" s="207">
        <f>SUMIFS('апрель 2023'!$G$4:$G$692,'апрель 2023'!$D$4:$D$692,$B121,'апрель 2023'!$J$4:$J$692,Y$1)</f>
        <v>0</v>
      </c>
      <c r="Z121" s="207">
        <f>SUMIFS('апрель 2023'!$G$4:$G$692,'апрель 2023'!$D$4:$D$692,$B121,'апрель 2023'!$J$4:$J$692,Z$1)</f>
        <v>0</v>
      </c>
      <c r="AA121" s="207">
        <f>SUMIFS('апрель 2023'!$G$4:$G$692,'апрель 2023'!$D$4:$D$692,$B121,'апрель 2023'!$J$4:$J$692,AA$1)</f>
        <v>0</v>
      </c>
      <c r="AB121" s="207">
        <f>SUMIFS('апрель 2023'!$G$4:$G$692,'апрель 2023'!$D$4:$D$692,$B121,'апрель 2023'!$J$4:$J$692,AB$1)</f>
        <v>0</v>
      </c>
      <c r="AC121" s="207">
        <f>SUMIFS('апрель 2023'!$G$4:$G$692,'апрель 2023'!$D$4:$D$692,$B121,'апрель 2023'!$J$4:$J$692,AC$1)</f>
        <v>0</v>
      </c>
      <c r="AD121" s="207">
        <f>SUMIFS('апрель 2023'!$G$4:$G$692,'апрель 2023'!$D$4:$D$692,$B121,'апрель 2023'!$J$4:$J$692,AD$1)</f>
        <v>0</v>
      </c>
      <c r="AE121" s="207">
        <f>SUMIFS('апрель 2023'!$G$4:$G$692,'апрель 2023'!$D$4:$D$692,$B121,'апрель 2023'!$J$4:$J$692,AE$1)</f>
        <v>0</v>
      </c>
      <c r="AF121" s="207">
        <f>SUMIFS('апрель 2023'!$G$4:$G$692,'апрель 2023'!$D$4:$D$692,$B121,'апрель 2023'!$J$4:$J$692,AF$1)</f>
        <v>0</v>
      </c>
      <c r="AG121" s="207">
        <f>SUMIFS('апрель 2023'!$G$4:$G$692,'апрель 2023'!$D$4:$D$692,$B121,'апрель 2023'!$J$4:$J$692,AG$1)</f>
        <v>0</v>
      </c>
      <c r="AH121" s="207">
        <f>SUMIFS('апрель 2023'!$G$4:$G$692,'апрель 2023'!$D$4:$D$692,$B121,'апрель 2023'!$J$4:$J$692,AH$1)</f>
        <v>0</v>
      </c>
      <c r="AI121" s="220"/>
    </row>
    <row r="122" spans="2:35" ht="15" hidden="1" customHeight="1" x14ac:dyDescent="0.25">
      <c r="B122" s="212"/>
      <c r="C122" s="211"/>
      <c r="D122" s="207">
        <f>SUMIFS('апрель 2023'!$G$4:$G$692,'апрель 2023'!$D$4:$D$692,$B122,'апрель 2023'!$J$4:$J$692,D$1)</f>
        <v>0</v>
      </c>
      <c r="E122" s="207">
        <f>SUMIFS('апрель 2023'!$G$4:$G$692,'апрель 2023'!$D$4:$D$692,$B122,'апрель 2023'!$J$4:$J$692,E$1)</f>
        <v>0</v>
      </c>
      <c r="F122" s="207">
        <f>SUMIFS('апрель 2023'!$G$4:$G$692,'апрель 2023'!$D$4:$D$692,$B122,'апрель 2023'!$J$4:$J$692,F$1)</f>
        <v>0</v>
      </c>
      <c r="G122" s="207">
        <f>SUMIFS('апрель 2023'!$G$4:$G$692,'апрель 2023'!$D$4:$D$692,$B122,'апрель 2023'!$J$4:$J$692,G$1)</f>
        <v>0</v>
      </c>
      <c r="H122" s="207">
        <f>SUMIFS('апрель 2023'!$G$4:$G$692,'апрель 2023'!$D$4:$D$692,$B122,'апрель 2023'!$J$4:$J$692,H$1)</f>
        <v>0</v>
      </c>
      <c r="I122" s="207">
        <f>SUMIFS('апрель 2023'!$G$4:$G$692,'апрель 2023'!$D$4:$D$692,$B122,'апрель 2023'!$J$4:$J$692,I$1)</f>
        <v>0</v>
      </c>
      <c r="J122" s="207">
        <f>SUMIFS('апрель 2023'!$G$4:$G$692,'апрель 2023'!$D$4:$D$692,$B122,'апрель 2023'!$J$4:$J$692,J$1)</f>
        <v>0</v>
      </c>
      <c r="K122" s="207">
        <f>SUMIFS('апрель 2023'!$G$4:$G$692,'апрель 2023'!$D$4:$D$692,$B122,'апрель 2023'!$J$4:$J$692,K$1)</f>
        <v>0</v>
      </c>
      <c r="L122" s="207">
        <f>SUMIFS('апрель 2023'!$G$4:$G$692,'апрель 2023'!$D$4:$D$692,$B122,'апрель 2023'!$J$4:$J$692,L$1)</f>
        <v>0</v>
      </c>
      <c r="M122" s="207">
        <f>SUMIFS('апрель 2023'!$G$4:$G$692,'апрель 2023'!$D$4:$D$692,$B122,'апрель 2023'!$J$4:$J$692,M$1)</f>
        <v>0</v>
      </c>
      <c r="N122" s="207">
        <f>SUMIFS('апрель 2023'!$G$4:$G$692,'апрель 2023'!$D$4:$D$692,$B122,'апрель 2023'!$J$4:$J$692,N$1)</f>
        <v>0</v>
      </c>
      <c r="O122" s="207">
        <f>SUMIFS('апрель 2023'!$G$4:$G$692,'апрель 2023'!$D$4:$D$692,$B122,'апрель 2023'!$J$4:$J$692,O$1)</f>
        <v>0</v>
      </c>
      <c r="P122" s="207">
        <f>SUMIFS('апрель 2023'!$G$4:$G$692,'апрель 2023'!$D$4:$D$692,$B122,'апрель 2023'!$J$4:$J$692,P$1)</f>
        <v>0</v>
      </c>
      <c r="Q122" s="207">
        <f>SUMIFS('апрель 2023'!$G$4:$G$692,'апрель 2023'!$D$4:$D$692,$B122,'апрель 2023'!$J$4:$J$692,Q$1)</f>
        <v>0</v>
      </c>
      <c r="R122" s="207">
        <f>SUMIFS('апрель 2023'!$G$4:$G$692,'апрель 2023'!$D$4:$D$692,$B122,'апрель 2023'!$J$4:$J$692,R$1)</f>
        <v>0</v>
      </c>
      <c r="S122" s="207">
        <f>SUMIFS('апрель 2023'!$G$4:$G$692,'апрель 2023'!$D$4:$D$692,$B122,'апрель 2023'!$J$4:$J$692,S$1)</f>
        <v>0</v>
      </c>
      <c r="T122" s="207">
        <f>SUMIFS('апрель 2023'!$G$4:$G$692,'апрель 2023'!$D$4:$D$692,$B122,'апрель 2023'!$J$4:$J$692,T$1)</f>
        <v>0</v>
      </c>
      <c r="U122" s="207">
        <f>SUMIFS('апрель 2023'!$G$4:$G$692,'апрель 2023'!$D$4:$D$692,$B122,'апрель 2023'!$J$4:$J$692,U$1)</f>
        <v>0</v>
      </c>
      <c r="V122" s="207">
        <f>SUMIFS('апрель 2023'!$G$4:$G$692,'апрель 2023'!$D$4:$D$692,$B122,'апрель 2023'!$J$4:$J$692,V$1)</f>
        <v>0</v>
      </c>
      <c r="W122" s="207">
        <f>SUMIFS('апрель 2023'!$G$4:$G$692,'апрель 2023'!$D$4:$D$692,$B122,'апрель 2023'!$J$4:$J$692,W$1)</f>
        <v>0</v>
      </c>
      <c r="X122" s="207">
        <f>SUMIFS('апрель 2023'!$G$4:$G$692,'апрель 2023'!$D$4:$D$692,$B122,'апрель 2023'!$J$4:$J$692,X$1)</f>
        <v>0</v>
      </c>
      <c r="Y122" s="207">
        <f>SUMIFS('апрель 2023'!$G$4:$G$692,'апрель 2023'!$D$4:$D$692,$B122,'апрель 2023'!$J$4:$J$692,Y$1)</f>
        <v>0</v>
      </c>
      <c r="Z122" s="207">
        <f>SUMIFS('апрель 2023'!$G$4:$G$692,'апрель 2023'!$D$4:$D$692,$B122,'апрель 2023'!$J$4:$J$692,Z$1)</f>
        <v>0</v>
      </c>
      <c r="AA122" s="207">
        <f>SUMIFS('апрель 2023'!$G$4:$G$692,'апрель 2023'!$D$4:$D$692,$B122,'апрель 2023'!$J$4:$J$692,AA$1)</f>
        <v>0</v>
      </c>
      <c r="AB122" s="207">
        <f>SUMIFS('апрель 2023'!$G$4:$G$692,'апрель 2023'!$D$4:$D$692,$B122,'апрель 2023'!$J$4:$J$692,AB$1)</f>
        <v>0</v>
      </c>
      <c r="AC122" s="207">
        <f>SUMIFS('апрель 2023'!$G$4:$G$692,'апрель 2023'!$D$4:$D$692,$B122,'апрель 2023'!$J$4:$J$692,AC$1)</f>
        <v>0</v>
      </c>
      <c r="AD122" s="207">
        <f>SUMIFS('апрель 2023'!$G$4:$G$692,'апрель 2023'!$D$4:$D$692,$B122,'апрель 2023'!$J$4:$J$692,AD$1)</f>
        <v>0</v>
      </c>
      <c r="AE122" s="207">
        <f>SUMIFS('апрель 2023'!$G$4:$G$692,'апрель 2023'!$D$4:$D$692,$B122,'апрель 2023'!$J$4:$J$692,AE$1)</f>
        <v>0</v>
      </c>
      <c r="AF122" s="207">
        <f>SUMIFS('апрель 2023'!$G$4:$G$692,'апрель 2023'!$D$4:$D$692,$B122,'апрель 2023'!$J$4:$J$692,AF$1)</f>
        <v>0</v>
      </c>
      <c r="AG122" s="207">
        <f>SUMIFS('апрель 2023'!$G$4:$G$692,'апрель 2023'!$D$4:$D$692,$B122,'апрель 2023'!$J$4:$J$692,AG$1)</f>
        <v>0</v>
      </c>
      <c r="AH122" s="207">
        <f>SUMIFS('апрель 2023'!$G$4:$G$692,'апрель 2023'!$D$4:$D$692,$B122,'апрель 2023'!$J$4:$J$692,AH$1)</f>
        <v>0</v>
      </c>
      <c r="AI122" s="220">
        <f t="shared" si="3"/>
        <v>0</v>
      </c>
    </row>
    <row r="123" spans="2:35" ht="15" hidden="1" customHeight="1" x14ac:dyDescent="0.25">
      <c r="B123" s="212"/>
      <c r="C123" s="211"/>
      <c r="D123" s="207">
        <f>SUMIFS('апрель 2023'!$G$4:$G$692,'апрель 2023'!$D$4:$D$692,$B123,'апрель 2023'!$J$4:$J$692,D$1)</f>
        <v>0</v>
      </c>
      <c r="E123" s="207">
        <f>SUMIFS('апрель 2023'!$G$4:$G$692,'апрель 2023'!$D$4:$D$692,$B123,'апрель 2023'!$J$4:$J$692,E$1)</f>
        <v>0</v>
      </c>
      <c r="F123" s="207">
        <f>SUMIFS('апрель 2023'!$G$4:$G$692,'апрель 2023'!$D$4:$D$692,$B123,'апрель 2023'!$J$4:$J$692,F$1)</f>
        <v>0</v>
      </c>
      <c r="G123" s="207">
        <f>SUMIFS('апрель 2023'!$G$4:$G$692,'апрель 2023'!$D$4:$D$692,$B123,'апрель 2023'!$J$4:$J$692,G$1)</f>
        <v>0</v>
      </c>
      <c r="H123" s="207">
        <f>SUMIFS('апрель 2023'!$G$4:$G$692,'апрель 2023'!$D$4:$D$692,$B123,'апрель 2023'!$J$4:$J$692,H$1)</f>
        <v>0</v>
      </c>
      <c r="I123" s="207">
        <f>SUMIFS('апрель 2023'!$G$4:$G$692,'апрель 2023'!$D$4:$D$692,$B123,'апрель 2023'!$J$4:$J$692,I$1)</f>
        <v>0</v>
      </c>
      <c r="J123" s="207">
        <f>SUMIFS('апрель 2023'!$G$4:$G$692,'апрель 2023'!$D$4:$D$692,$B123,'апрель 2023'!$J$4:$J$692,J$1)</f>
        <v>0</v>
      </c>
      <c r="K123" s="207">
        <f>SUMIFS('апрель 2023'!$G$4:$G$692,'апрель 2023'!$D$4:$D$692,$B123,'апрель 2023'!$J$4:$J$692,K$1)</f>
        <v>0</v>
      </c>
      <c r="L123" s="207">
        <f>SUMIFS('апрель 2023'!$G$4:$G$692,'апрель 2023'!$D$4:$D$692,$B123,'апрель 2023'!$J$4:$J$692,L$1)</f>
        <v>0</v>
      </c>
      <c r="M123" s="207">
        <f>SUMIFS('апрель 2023'!$G$4:$G$692,'апрель 2023'!$D$4:$D$692,$B123,'апрель 2023'!$J$4:$J$692,M$1)</f>
        <v>0</v>
      </c>
      <c r="N123" s="207">
        <f>SUMIFS('апрель 2023'!$G$4:$G$692,'апрель 2023'!$D$4:$D$692,$B123,'апрель 2023'!$J$4:$J$692,N$1)</f>
        <v>0</v>
      </c>
      <c r="O123" s="207">
        <f>SUMIFS('апрель 2023'!$G$4:$G$692,'апрель 2023'!$D$4:$D$692,$B123,'апрель 2023'!$J$4:$J$692,O$1)</f>
        <v>0</v>
      </c>
      <c r="P123" s="207">
        <f>SUMIFS('апрель 2023'!$G$4:$G$692,'апрель 2023'!$D$4:$D$692,$B123,'апрель 2023'!$J$4:$J$692,P$1)</f>
        <v>0</v>
      </c>
      <c r="Q123" s="207">
        <f>SUMIFS('апрель 2023'!$G$4:$G$692,'апрель 2023'!$D$4:$D$692,$B123,'апрель 2023'!$J$4:$J$692,Q$1)</f>
        <v>0</v>
      </c>
      <c r="R123" s="207">
        <f>SUMIFS('апрель 2023'!$G$4:$G$692,'апрель 2023'!$D$4:$D$692,$B123,'апрель 2023'!$J$4:$J$692,R$1)</f>
        <v>0</v>
      </c>
      <c r="S123" s="207">
        <f>SUMIFS('апрель 2023'!$G$4:$G$692,'апрель 2023'!$D$4:$D$692,$B123,'апрель 2023'!$J$4:$J$692,S$1)</f>
        <v>0</v>
      </c>
      <c r="T123" s="207">
        <f>SUMIFS('апрель 2023'!$G$4:$G$692,'апрель 2023'!$D$4:$D$692,$B123,'апрель 2023'!$J$4:$J$692,T$1)</f>
        <v>0</v>
      </c>
      <c r="U123" s="207">
        <f>SUMIFS('апрель 2023'!$G$4:$G$692,'апрель 2023'!$D$4:$D$692,$B123,'апрель 2023'!$J$4:$J$692,U$1)</f>
        <v>0</v>
      </c>
      <c r="V123" s="207">
        <f>SUMIFS('апрель 2023'!$G$4:$G$692,'апрель 2023'!$D$4:$D$692,$B123,'апрель 2023'!$J$4:$J$692,V$1)</f>
        <v>0</v>
      </c>
      <c r="W123" s="207">
        <f>SUMIFS('апрель 2023'!$G$4:$G$692,'апрель 2023'!$D$4:$D$692,$B123,'апрель 2023'!$J$4:$J$692,W$1)</f>
        <v>0</v>
      </c>
      <c r="X123" s="207">
        <f>SUMIFS('апрель 2023'!$G$4:$G$692,'апрель 2023'!$D$4:$D$692,$B123,'апрель 2023'!$J$4:$J$692,X$1)</f>
        <v>0</v>
      </c>
      <c r="Y123" s="207">
        <f>SUMIFS('апрель 2023'!$G$4:$G$692,'апрель 2023'!$D$4:$D$692,$B123,'апрель 2023'!$J$4:$J$692,Y$1)</f>
        <v>0</v>
      </c>
      <c r="Z123" s="207">
        <f>SUMIFS('апрель 2023'!$G$4:$G$692,'апрель 2023'!$D$4:$D$692,$B123,'апрель 2023'!$J$4:$J$692,Z$1)</f>
        <v>0</v>
      </c>
      <c r="AA123" s="207">
        <f>SUMIFS('апрель 2023'!$G$4:$G$692,'апрель 2023'!$D$4:$D$692,$B123,'апрель 2023'!$J$4:$J$692,AA$1)</f>
        <v>0</v>
      </c>
      <c r="AB123" s="207">
        <f>SUMIFS('апрель 2023'!$G$4:$G$692,'апрель 2023'!$D$4:$D$692,$B123,'апрель 2023'!$J$4:$J$692,AB$1)</f>
        <v>0</v>
      </c>
      <c r="AC123" s="207">
        <f>SUMIFS('апрель 2023'!$G$4:$G$692,'апрель 2023'!$D$4:$D$692,$B123,'апрель 2023'!$J$4:$J$692,AC$1)</f>
        <v>0</v>
      </c>
      <c r="AD123" s="207">
        <f>SUMIFS('апрель 2023'!$G$4:$G$692,'апрель 2023'!$D$4:$D$692,$B123,'апрель 2023'!$J$4:$J$692,AD$1)</f>
        <v>0</v>
      </c>
      <c r="AE123" s="207">
        <f>SUMIFS('апрель 2023'!$G$4:$G$692,'апрель 2023'!$D$4:$D$692,$B123,'апрель 2023'!$J$4:$J$692,AE$1)</f>
        <v>0</v>
      </c>
      <c r="AF123" s="207">
        <f>SUMIFS('апрель 2023'!$G$4:$G$692,'апрель 2023'!$D$4:$D$692,$B123,'апрель 2023'!$J$4:$J$692,AF$1)</f>
        <v>0</v>
      </c>
      <c r="AG123" s="207">
        <f>SUMIFS('апрель 2023'!$G$4:$G$692,'апрель 2023'!$D$4:$D$692,$B123,'апрель 2023'!$J$4:$J$692,AG$1)</f>
        <v>0</v>
      </c>
      <c r="AH123" s="207">
        <f>SUMIFS('апрель 2023'!$G$4:$G$692,'апрель 2023'!$D$4:$D$692,$B123,'апрель 2023'!$J$4:$J$692,AH$1)</f>
        <v>0</v>
      </c>
      <c r="AI123" s="220">
        <f t="shared" si="3"/>
        <v>0</v>
      </c>
    </row>
    <row r="124" spans="2:35" ht="15" hidden="1" customHeight="1" x14ac:dyDescent="0.25">
      <c r="B124" s="216"/>
      <c r="C124" s="211"/>
      <c r="D124" s="207">
        <f>SUMIFS('апрель 2023'!$G$4:$G$692,'апрель 2023'!$D$4:$D$692,$B124,'апрель 2023'!$J$4:$J$692,D$1)</f>
        <v>0</v>
      </c>
      <c r="E124" s="207">
        <f>SUMIFS('апрель 2023'!$G$4:$G$692,'апрель 2023'!$D$4:$D$692,$B124,'апрель 2023'!$J$4:$J$692,E$1)</f>
        <v>0</v>
      </c>
      <c r="F124" s="207">
        <f>SUMIFS('апрель 2023'!$G$4:$G$692,'апрель 2023'!$D$4:$D$692,$B124,'апрель 2023'!$J$4:$J$692,F$1)</f>
        <v>0</v>
      </c>
      <c r="G124" s="207">
        <f>SUMIFS('апрель 2023'!$G$4:$G$692,'апрель 2023'!$D$4:$D$692,$B124,'апрель 2023'!$J$4:$J$692,G$1)</f>
        <v>0</v>
      </c>
      <c r="H124" s="207">
        <f>SUMIFS('апрель 2023'!$G$4:$G$692,'апрель 2023'!$D$4:$D$692,$B124,'апрель 2023'!$J$4:$J$692,H$1)</f>
        <v>0</v>
      </c>
      <c r="I124" s="207">
        <f>SUMIFS('апрель 2023'!$G$4:$G$692,'апрель 2023'!$D$4:$D$692,$B124,'апрель 2023'!$J$4:$J$692,I$1)</f>
        <v>0</v>
      </c>
      <c r="J124" s="207">
        <f>SUMIFS('апрель 2023'!$G$4:$G$692,'апрель 2023'!$D$4:$D$692,$B124,'апрель 2023'!$J$4:$J$692,J$1)</f>
        <v>0</v>
      </c>
      <c r="K124" s="207">
        <f>SUMIFS('апрель 2023'!$G$4:$G$692,'апрель 2023'!$D$4:$D$692,$B124,'апрель 2023'!$J$4:$J$692,K$1)</f>
        <v>0</v>
      </c>
      <c r="L124" s="207">
        <f>SUMIFS('апрель 2023'!$G$4:$G$692,'апрель 2023'!$D$4:$D$692,$B124,'апрель 2023'!$J$4:$J$692,L$1)</f>
        <v>0</v>
      </c>
      <c r="M124" s="207">
        <f>SUMIFS('апрель 2023'!$G$4:$G$692,'апрель 2023'!$D$4:$D$692,$B124,'апрель 2023'!$J$4:$J$692,M$1)</f>
        <v>0</v>
      </c>
      <c r="N124" s="207">
        <f>SUMIFS('апрель 2023'!$G$4:$G$692,'апрель 2023'!$D$4:$D$692,$B124,'апрель 2023'!$J$4:$J$692,N$1)</f>
        <v>0</v>
      </c>
      <c r="O124" s="207">
        <f>SUMIFS('апрель 2023'!$G$4:$G$692,'апрель 2023'!$D$4:$D$692,$B124,'апрель 2023'!$J$4:$J$692,O$1)</f>
        <v>0</v>
      </c>
      <c r="P124" s="207">
        <f>SUMIFS('апрель 2023'!$G$4:$G$692,'апрель 2023'!$D$4:$D$692,$B124,'апрель 2023'!$J$4:$J$692,P$1)</f>
        <v>0</v>
      </c>
      <c r="Q124" s="207">
        <f>SUMIFS('апрель 2023'!$G$4:$G$692,'апрель 2023'!$D$4:$D$692,$B124,'апрель 2023'!$J$4:$J$692,Q$1)</f>
        <v>0</v>
      </c>
      <c r="R124" s="207">
        <f>SUMIFS('апрель 2023'!$G$4:$G$692,'апрель 2023'!$D$4:$D$692,$B124,'апрель 2023'!$J$4:$J$692,R$1)</f>
        <v>0</v>
      </c>
      <c r="S124" s="207">
        <f>SUMIFS('апрель 2023'!$G$4:$G$692,'апрель 2023'!$D$4:$D$692,$B124,'апрель 2023'!$J$4:$J$692,S$1)</f>
        <v>0</v>
      </c>
      <c r="T124" s="207">
        <f>SUMIFS('апрель 2023'!$G$4:$G$692,'апрель 2023'!$D$4:$D$692,$B124,'апрель 2023'!$J$4:$J$692,T$1)</f>
        <v>0</v>
      </c>
      <c r="U124" s="207">
        <f>SUMIFS('апрель 2023'!$G$4:$G$692,'апрель 2023'!$D$4:$D$692,$B124,'апрель 2023'!$J$4:$J$692,U$1)</f>
        <v>0</v>
      </c>
      <c r="V124" s="207">
        <f>SUMIFS('апрель 2023'!$G$4:$G$692,'апрель 2023'!$D$4:$D$692,$B124,'апрель 2023'!$J$4:$J$692,V$1)</f>
        <v>0</v>
      </c>
      <c r="W124" s="207">
        <f>SUMIFS('апрель 2023'!$G$4:$G$692,'апрель 2023'!$D$4:$D$692,$B124,'апрель 2023'!$J$4:$J$692,W$1)</f>
        <v>0</v>
      </c>
      <c r="X124" s="207">
        <f>SUMIFS('апрель 2023'!$G$4:$G$692,'апрель 2023'!$D$4:$D$692,$B124,'апрель 2023'!$J$4:$J$692,X$1)</f>
        <v>0</v>
      </c>
      <c r="Y124" s="207">
        <f>SUMIFS('апрель 2023'!$G$4:$G$692,'апрель 2023'!$D$4:$D$692,$B124,'апрель 2023'!$J$4:$J$692,Y$1)</f>
        <v>0</v>
      </c>
      <c r="Z124" s="207">
        <f>SUMIFS('апрель 2023'!$G$4:$G$692,'апрель 2023'!$D$4:$D$692,$B124,'апрель 2023'!$J$4:$J$692,Z$1)</f>
        <v>0</v>
      </c>
      <c r="AA124" s="207">
        <f>SUMIFS('апрель 2023'!$G$4:$G$692,'апрель 2023'!$D$4:$D$692,$B124,'апрель 2023'!$J$4:$J$692,AA$1)</f>
        <v>0</v>
      </c>
      <c r="AB124" s="207">
        <f>SUMIFS('апрель 2023'!$G$4:$G$692,'апрель 2023'!$D$4:$D$692,$B124,'апрель 2023'!$J$4:$J$692,AB$1)</f>
        <v>0</v>
      </c>
      <c r="AC124" s="207">
        <f>SUMIFS('апрель 2023'!$G$4:$G$692,'апрель 2023'!$D$4:$D$692,$B124,'апрель 2023'!$J$4:$J$692,AC$1)</f>
        <v>0</v>
      </c>
      <c r="AD124" s="207">
        <f>SUMIFS('апрель 2023'!$G$4:$G$692,'апрель 2023'!$D$4:$D$692,$B124,'апрель 2023'!$J$4:$J$692,AD$1)</f>
        <v>0</v>
      </c>
      <c r="AE124" s="207">
        <f>SUMIFS('апрель 2023'!$G$4:$G$692,'апрель 2023'!$D$4:$D$692,$B124,'апрель 2023'!$J$4:$J$692,AE$1)</f>
        <v>0</v>
      </c>
      <c r="AF124" s="207">
        <f>SUMIFS('апрель 2023'!$G$4:$G$692,'апрель 2023'!$D$4:$D$692,$B124,'апрель 2023'!$J$4:$J$692,AF$1)</f>
        <v>0</v>
      </c>
      <c r="AG124" s="207">
        <f>SUMIFS('апрель 2023'!$G$4:$G$692,'апрель 2023'!$D$4:$D$692,$B124,'апрель 2023'!$J$4:$J$692,AG$1)</f>
        <v>0</v>
      </c>
      <c r="AH124" s="207">
        <f>SUMIFS('апрель 2023'!$G$4:$G$692,'апрель 2023'!$D$4:$D$692,$B124,'апрель 2023'!$J$4:$J$692,AH$1)</f>
        <v>0</v>
      </c>
      <c r="AI124" s="220">
        <f t="shared" si="3"/>
        <v>0</v>
      </c>
    </row>
    <row r="125" spans="2:35" ht="15" hidden="1" customHeight="1" x14ac:dyDescent="0.25">
      <c r="B125" s="216"/>
      <c r="C125" s="213"/>
      <c r="D125" s="207">
        <f>SUMIFS('апрель 2023'!$G$4:$G$692,'апрель 2023'!$D$4:$D$692,$B125,'апрель 2023'!$J$4:$J$692,D$1)</f>
        <v>0</v>
      </c>
      <c r="E125" s="207">
        <f>SUMIFS('апрель 2023'!$G$4:$G$692,'апрель 2023'!$D$4:$D$692,$B125,'апрель 2023'!$J$4:$J$692,E$1)</f>
        <v>0</v>
      </c>
      <c r="F125" s="207">
        <f>SUMIFS('апрель 2023'!$G$4:$G$692,'апрель 2023'!$D$4:$D$692,$B125,'апрель 2023'!$J$4:$J$692,F$1)</f>
        <v>0</v>
      </c>
      <c r="G125" s="207">
        <f>SUMIFS('апрель 2023'!$G$4:$G$692,'апрель 2023'!$D$4:$D$692,$B125,'апрель 2023'!$J$4:$J$692,G$1)</f>
        <v>0</v>
      </c>
      <c r="H125" s="207">
        <f>SUMIFS('апрель 2023'!$G$4:$G$692,'апрель 2023'!$D$4:$D$692,$B125,'апрель 2023'!$J$4:$J$692,H$1)</f>
        <v>0</v>
      </c>
      <c r="I125" s="207">
        <f>SUMIFS('апрель 2023'!$G$4:$G$692,'апрель 2023'!$D$4:$D$692,$B125,'апрель 2023'!$J$4:$J$692,I$1)</f>
        <v>0</v>
      </c>
      <c r="J125" s="207">
        <f>SUMIFS('апрель 2023'!$G$4:$G$692,'апрель 2023'!$D$4:$D$692,$B125,'апрель 2023'!$J$4:$J$692,J$1)</f>
        <v>0</v>
      </c>
      <c r="K125" s="207">
        <f>SUMIFS('апрель 2023'!$G$4:$G$692,'апрель 2023'!$D$4:$D$692,$B125,'апрель 2023'!$J$4:$J$692,K$1)</f>
        <v>0</v>
      </c>
      <c r="L125" s="207">
        <f>SUMIFS('апрель 2023'!$G$4:$G$692,'апрель 2023'!$D$4:$D$692,$B125,'апрель 2023'!$J$4:$J$692,L$1)</f>
        <v>0</v>
      </c>
      <c r="M125" s="207">
        <f>SUMIFS('апрель 2023'!$G$4:$G$692,'апрель 2023'!$D$4:$D$692,$B125,'апрель 2023'!$J$4:$J$692,M$1)</f>
        <v>0</v>
      </c>
      <c r="N125" s="207">
        <f>SUMIFS('апрель 2023'!$G$4:$G$692,'апрель 2023'!$D$4:$D$692,$B125,'апрель 2023'!$J$4:$J$692,N$1)</f>
        <v>0</v>
      </c>
      <c r="O125" s="207">
        <f>SUMIFS('апрель 2023'!$G$4:$G$692,'апрель 2023'!$D$4:$D$692,$B125,'апрель 2023'!$J$4:$J$692,O$1)</f>
        <v>0</v>
      </c>
      <c r="P125" s="207">
        <f>SUMIFS('апрель 2023'!$G$4:$G$692,'апрель 2023'!$D$4:$D$692,$B125,'апрель 2023'!$J$4:$J$692,P$1)</f>
        <v>0</v>
      </c>
      <c r="Q125" s="207">
        <f>SUMIFS('апрель 2023'!$G$4:$G$692,'апрель 2023'!$D$4:$D$692,$B125,'апрель 2023'!$J$4:$J$692,Q$1)</f>
        <v>0</v>
      </c>
      <c r="R125" s="207">
        <f>SUMIFS('апрель 2023'!$G$4:$G$692,'апрель 2023'!$D$4:$D$692,$B125,'апрель 2023'!$J$4:$J$692,R$1)</f>
        <v>0</v>
      </c>
      <c r="S125" s="207">
        <f>SUMIFS('апрель 2023'!$G$4:$G$692,'апрель 2023'!$D$4:$D$692,$B125,'апрель 2023'!$J$4:$J$692,S$1)</f>
        <v>0</v>
      </c>
      <c r="T125" s="207">
        <f>SUMIFS('апрель 2023'!$G$4:$G$692,'апрель 2023'!$D$4:$D$692,$B125,'апрель 2023'!$J$4:$J$692,T$1)</f>
        <v>0</v>
      </c>
      <c r="U125" s="207">
        <f>SUMIFS('апрель 2023'!$G$4:$G$692,'апрель 2023'!$D$4:$D$692,$B125,'апрель 2023'!$J$4:$J$692,U$1)</f>
        <v>0</v>
      </c>
      <c r="V125" s="207">
        <f>SUMIFS('апрель 2023'!$G$4:$G$692,'апрель 2023'!$D$4:$D$692,$B125,'апрель 2023'!$J$4:$J$692,V$1)</f>
        <v>0</v>
      </c>
      <c r="W125" s="207">
        <f>SUMIFS('апрель 2023'!$G$4:$G$692,'апрель 2023'!$D$4:$D$692,$B125,'апрель 2023'!$J$4:$J$692,W$1)</f>
        <v>0</v>
      </c>
      <c r="X125" s="207">
        <f>SUMIFS('апрель 2023'!$G$4:$G$692,'апрель 2023'!$D$4:$D$692,$B125,'апрель 2023'!$J$4:$J$692,X$1)</f>
        <v>0</v>
      </c>
      <c r="Y125" s="207">
        <f>SUMIFS('апрель 2023'!$G$4:$G$692,'апрель 2023'!$D$4:$D$692,$B125,'апрель 2023'!$J$4:$J$692,Y$1)</f>
        <v>0</v>
      </c>
      <c r="Z125" s="207">
        <f>SUMIFS('апрель 2023'!$G$4:$G$692,'апрель 2023'!$D$4:$D$692,$B125,'апрель 2023'!$J$4:$J$692,Z$1)</f>
        <v>0</v>
      </c>
      <c r="AA125" s="207">
        <f>SUMIFS('апрель 2023'!$G$4:$G$692,'апрель 2023'!$D$4:$D$692,$B125,'апрель 2023'!$J$4:$J$692,AA$1)</f>
        <v>0</v>
      </c>
      <c r="AB125" s="207">
        <f>SUMIFS('апрель 2023'!$G$4:$G$692,'апрель 2023'!$D$4:$D$692,$B125,'апрель 2023'!$J$4:$J$692,AB$1)</f>
        <v>0</v>
      </c>
      <c r="AC125" s="207">
        <f>SUMIFS('апрель 2023'!$G$4:$G$692,'апрель 2023'!$D$4:$D$692,$B125,'апрель 2023'!$J$4:$J$692,AC$1)</f>
        <v>0</v>
      </c>
      <c r="AD125" s="207">
        <f>SUMIFS('апрель 2023'!$G$4:$G$692,'апрель 2023'!$D$4:$D$692,$B125,'апрель 2023'!$J$4:$J$692,AD$1)</f>
        <v>0</v>
      </c>
      <c r="AE125" s="207">
        <f>SUMIFS('апрель 2023'!$G$4:$G$692,'апрель 2023'!$D$4:$D$692,$B125,'апрель 2023'!$J$4:$J$692,AE$1)</f>
        <v>0</v>
      </c>
      <c r="AF125" s="207">
        <f>SUMIFS('апрель 2023'!$G$4:$G$692,'апрель 2023'!$D$4:$D$692,$B125,'апрель 2023'!$J$4:$J$692,AF$1)</f>
        <v>0</v>
      </c>
      <c r="AG125" s="207">
        <f>SUMIFS('апрель 2023'!$G$4:$G$692,'апрель 2023'!$D$4:$D$692,$B125,'апрель 2023'!$J$4:$J$692,AG$1)</f>
        <v>0</v>
      </c>
      <c r="AH125" s="207">
        <f>SUMIFS('апрель 2023'!$G$4:$G$692,'апрель 2023'!$D$4:$D$692,$B125,'апрель 2023'!$J$4:$J$692,AH$1)</f>
        <v>0</v>
      </c>
      <c r="AI125" s="220">
        <f t="shared" si="3"/>
        <v>0</v>
      </c>
    </row>
    <row r="126" spans="2:35" ht="15" hidden="1" customHeight="1" x14ac:dyDescent="0.25">
      <c r="B126" s="212"/>
      <c r="C126" s="211"/>
      <c r="D126" s="207">
        <f>SUMIFS('апрель 2023'!$G$4:$G$692,'апрель 2023'!$D$4:$D$692,$B126,'апрель 2023'!$J$4:$J$692,D$1)</f>
        <v>0</v>
      </c>
      <c r="E126" s="207">
        <f>SUMIFS('апрель 2023'!$G$4:$G$692,'апрель 2023'!$D$4:$D$692,$B126,'апрель 2023'!$J$4:$J$692,E$1)</f>
        <v>0</v>
      </c>
      <c r="F126" s="207">
        <f>SUMIFS('апрель 2023'!$G$4:$G$692,'апрель 2023'!$D$4:$D$692,$B126,'апрель 2023'!$J$4:$J$692,F$1)</f>
        <v>0</v>
      </c>
      <c r="G126" s="207">
        <f>SUMIFS('апрель 2023'!$G$4:$G$692,'апрель 2023'!$D$4:$D$692,$B126,'апрель 2023'!$J$4:$J$692,G$1)</f>
        <v>0</v>
      </c>
      <c r="H126" s="207">
        <f>SUMIFS('апрель 2023'!$G$4:$G$692,'апрель 2023'!$D$4:$D$692,$B126,'апрель 2023'!$J$4:$J$692,H$1)</f>
        <v>0</v>
      </c>
      <c r="I126" s="207">
        <f>SUMIFS('апрель 2023'!$G$4:$G$692,'апрель 2023'!$D$4:$D$692,$B126,'апрель 2023'!$J$4:$J$692,I$1)</f>
        <v>0</v>
      </c>
      <c r="J126" s="207">
        <f>SUMIFS('апрель 2023'!$G$4:$G$692,'апрель 2023'!$D$4:$D$692,$B126,'апрель 2023'!$J$4:$J$692,J$1)</f>
        <v>0</v>
      </c>
      <c r="K126" s="207">
        <f>SUMIFS('апрель 2023'!$G$4:$G$692,'апрель 2023'!$D$4:$D$692,$B126,'апрель 2023'!$J$4:$J$692,K$1)</f>
        <v>0</v>
      </c>
      <c r="L126" s="207">
        <f>SUMIFS('апрель 2023'!$G$4:$G$692,'апрель 2023'!$D$4:$D$692,$B126,'апрель 2023'!$J$4:$J$692,L$1)</f>
        <v>0</v>
      </c>
      <c r="M126" s="207">
        <f>SUMIFS('апрель 2023'!$G$4:$G$692,'апрель 2023'!$D$4:$D$692,$B126,'апрель 2023'!$J$4:$J$692,M$1)</f>
        <v>0</v>
      </c>
      <c r="N126" s="207">
        <f>SUMIFS('апрель 2023'!$G$4:$G$692,'апрель 2023'!$D$4:$D$692,$B126,'апрель 2023'!$J$4:$J$692,N$1)</f>
        <v>0</v>
      </c>
      <c r="O126" s="207">
        <f>SUMIFS('апрель 2023'!$G$4:$G$692,'апрель 2023'!$D$4:$D$692,$B126,'апрель 2023'!$J$4:$J$692,O$1)</f>
        <v>0</v>
      </c>
      <c r="P126" s="207">
        <f>SUMIFS('апрель 2023'!$G$4:$G$692,'апрель 2023'!$D$4:$D$692,$B126,'апрель 2023'!$J$4:$J$692,P$1)</f>
        <v>0</v>
      </c>
      <c r="Q126" s="207">
        <f>SUMIFS('апрель 2023'!$G$4:$G$692,'апрель 2023'!$D$4:$D$692,$B126,'апрель 2023'!$J$4:$J$692,Q$1)</f>
        <v>0</v>
      </c>
      <c r="R126" s="207">
        <f>SUMIFS('апрель 2023'!$G$4:$G$692,'апрель 2023'!$D$4:$D$692,$B126,'апрель 2023'!$J$4:$J$692,R$1)</f>
        <v>0</v>
      </c>
      <c r="S126" s="207">
        <f>SUMIFS('апрель 2023'!$G$4:$G$692,'апрель 2023'!$D$4:$D$692,$B126,'апрель 2023'!$J$4:$J$692,S$1)</f>
        <v>0</v>
      </c>
      <c r="T126" s="207">
        <f>SUMIFS('апрель 2023'!$G$4:$G$692,'апрель 2023'!$D$4:$D$692,$B126,'апрель 2023'!$J$4:$J$692,T$1)</f>
        <v>0</v>
      </c>
      <c r="U126" s="207">
        <f>SUMIFS('апрель 2023'!$G$4:$G$692,'апрель 2023'!$D$4:$D$692,$B126,'апрель 2023'!$J$4:$J$692,U$1)</f>
        <v>0</v>
      </c>
      <c r="V126" s="207">
        <f>SUMIFS('апрель 2023'!$G$4:$G$692,'апрель 2023'!$D$4:$D$692,$B126,'апрель 2023'!$J$4:$J$692,V$1)</f>
        <v>0</v>
      </c>
      <c r="W126" s="207">
        <f>SUMIFS('апрель 2023'!$G$4:$G$692,'апрель 2023'!$D$4:$D$692,$B126,'апрель 2023'!$J$4:$J$692,W$1)</f>
        <v>0</v>
      </c>
      <c r="X126" s="207">
        <f>SUMIFS('апрель 2023'!$G$4:$G$692,'апрель 2023'!$D$4:$D$692,$B126,'апрель 2023'!$J$4:$J$692,X$1)</f>
        <v>0</v>
      </c>
      <c r="Y126" s="207">
        <f>SUMIFS('апрель 2023'!$G$4:$G$692,'апрель 2023'!$D$4:$D$692,$B126,'апрель 2023'!$J$4:$J$692,Y$1)</f>
        <v>0</v>
      </c>
      <c r="Z126" s="207">
        <f>SUMIFS('апрель 2023'!$G$4:$G$692,'апрель 2023'!$D$4:$D$692,$B126,'апрель 2023'!$J$4:$J$692,Z$1)</f>
        <v>0</v>
      </c>
      <c r="AA126" s="207">
        <f>SUMIFS('апрель 2023'!$G$4:$G$692,'апрель 2023'!$D$4:$D$692,$B126,'апрель 2023'!$J$4:$J$692,AA$1)</f>
        <v>0</v>
      </c>
      <c r="AB126" s="207">
        <f>SUMIFS('апрель 2023'!$G$4:$G$692,'апрель 2023'!$D$4:$D$692,$B126,'апрель 2023'!$J$4:$J$692,AB$1)</f>
        <v>0</v>
      </c>
      <c r="AC126" s="207">
        <f>SUMIFS('апрель 2023'!$G$4:$G$692,'апрель 2023'!$D$4:$D$692,$B126,'апрель 2023'!$J$4:$J$692,AC$1)</f>
        <v>0</v>
      </c>
      <c r="AD126" s="207">
        <f>SUMIFS('апрель 2023'!$G$4:$G$692,'апрель 2023'!$D$4:$D$692,$B126,'апрель 2023'!$J$4:$J$692,AD$1)</f>
        <v>0</v>
      </c>
      <c r="AE126" s="207">
        <f>SUMIFS('апрель 2023'!$G$4:$G$692,'апрель 2023'!$D$4:$D$692,$B126,'апрель 2023'!$J$4:$J$692,AE$1)</f>
        <v>0</v>
      </c>
      <c r="AF126" s="207">
        <f>SUMIFS('апрель 2023'!$G$4:$G$692,'апрель 2023'!$D$4:$D$692,$B126,'апрель 2023'!$J$4:$J$692,AF$1)</f>
        <v>0</v>
      </c>
      <c r="AG126" s="207">
        <f>SUMIFS('апрель 2023'!$G$4:$G$692,'апрель 2023'!$D$4:$D$692,$B126,'апрель 2023'!$J$4:$J$692,AG$1)</f>
        <v>0</v>
      </c>
      <c r="AH126" s="207">
        <f>SUMIFS('апрель 2023'!$G$4:$G$692,'апрель 2023'!$D$4:$D$692,$B126,'апрель 2023'!$J$4:$J$692,AH$1)</f>
        <v>0</v>
      </c>
      <c r="AI126" s="220"/>
    </row>
    <row r="127" spans="2:35" ht="15" hidden="1" customHeight="1" x14ac:dyDescent="0.25">
      <c r="B127" s="217"/>
      <c r="C127" s="213"/>
      <c r="D127" s="207">
        <f>SUMIFS('апрель 2023'!$G$4:$G$692,'апрель 2023'!$D$4:$D$692,$B127,'апрель 2023'!$J$4:$J$692,D$1)</f>
        <v>0</v>
      </c>
      <c r="E127" s="207">
        <f>SUMIFS('апрель 2023'!$G$4:$G$692,'апрель 2023'!$D$4:$D$692,$B127,'апрель 2023'!$J$4:$J$692,E$1)</f>
        <v>0</v>
      </c>
      <c r="F127" s="207">
        <f>SUMIFS('апрель 2023'!$G$4:$G$692,'апрель 2023'!$D$4:$D$692,$B127,'апрель 2023'!$J$4:$J$692,F$1)</f>
        <v>0</v>
      </c>
      <c r="G127" s="207">
        <f>SUMIFS('апрель 2023'!$G$4:$G$692,'апрель 2023'!$D$4:$D$692,$B127,'апрель 2023'!$J$4:$J$692,G$1)</f>
        <v>0</v>
      </c>
      <c r="H127" s="207">
        <f>SUMIFS('апрель 2023'!$G$4:$G$692,'апрель 2023'!$D$4:$D$692,$B127,'апрель 2023'!$J$4:$J$692,H$1)</f>
        <v>0</v>
      </c>
      <c r="I127" s="207">
        <f>SUMIFS('апрель 2023'!$G$4:$G$692,'апрель 2023'!$D$4:$D$692,$B127,'апрель 2023'!$J$4:$J$692,I$1)</f>
        <v>0</v>
      </c>
      <c r="J127" s="207">
        <f>SUMIFS('апрель 2023'!$G$4:$G$692,'апрель 2023'!$D$4:$D$692,$B127,'апрель 2023'!$J$4:$J$692,J$1)</f>
        <v>0</v>
      </c>
      <c r="K127" s="207">
        <f>SUMIFS('апрель 2023'!$G$4:$G$692,'апрель 2023'!$D$4:$D$692,$B127,'апрель 2023'!$J$4:$J$692,K$1)</f>
        <v>0</v>
      </c>
      <c r="L127" s="207">
        <f>SUMIFS('апрель 2023'!$G$4:$G$692,'апрель 2023'!$D$4:$D$692,$B127,'апрель 2023'!$J$4:$J$692,L$1)</f>
        <v>0</v>
      </c>
      <c r="M127" s="207">
        <f>SUMIFS('апрель 2023'!$G$4:$G$692,'апрель 2023'!$D$4:$D$692,$B127,'апрель 2023'!$J$4:$J$692,M$1)</f>
        <v>0</v>
      </c>
      <c r="N127" s="207">
        <f>SUMIFS('апрель 2023'!$G$4:$G$692,'апрель 2023'!$D$4:$D$692,$B127,'апрель 2023'!$J$4:$J$692,N$1)</f>
        <v>0</v>
      </c>
      <c r="O127" s="207">
        <f>SUMIFS('апрель 2023'!$G$4:$G$692,'апрель 2023'!$D$4:$D$692,$B127,'апрель 2023'!$J$4:$J$692,O$1)</f>
        <v>0</v>
      </c>
      <c r="P127" s="207">
        <f>SUMIFS('апрель 2023'!$G$4:$G$692,'апрель 2023'!$D$4:$D$692,$B127,'апрель 2023'!$J$4:$J$692,P$1)</f>
        <v>0</v>
      </c>
      <c r="Q127" s="207">
        <f>SUMIFS('апрель 2023'!$G$4:$G$692,'апрель 2023'!$D$4:$D$692,$B127,'апрель 2023'!$J$4:$J$692,Q$1)</f>
        <v>0</v>
      </c>
      <c r="R127" s="207">
        <f>SUMIFS('апрель 2023'!$G$4:$G$692,'апрель 2023'!$D$4:$D$692,$B127,'апрель 2023'!$J$4:$J$692,R$1)</f>
        <v>0</v>
      </c>
      <c r="S127" s="207">
        <f>SUMIFS('апрель 2023'!$G$4:$G$692,'апрель 2023'!$D$4:$D$692,$B127,'апрель 2023'!$J$4:$J$692,S$1)</f>
        <v>0</v>
      </c>
      <c r="T127" s="207">
        <f>SUMIFS('апрель 2023'!$G$4:$G$692,'апрель 2023'!$D$4:$D$692,$B127,'апрель 2023'!$J$4:$J$692,T$1)</f>
        <v>0</v>
      </c>
      <c r="U127" s="207">
        <f>SUMIFS('апрель 2023'!$G$4:$G$692,'апрель 2023'!$D$4:$D$692,$B127,'апрель 2023'!$J$4:$J$692,U$1)</f>
        <v>0</v>
      </c>
      <c r="V127" s="207">
        <f>SUMIFS('апрель 2023'!$G$4:$G$692,'апрель 2023'!$D$4:$D$692,$B127,'апрель 2023'!$J$4:$J$692,V$1)</f>
        <v>0</v>
      </c>
      <c r="W127" s="207">
        <f>SUMIFS('апрель 2023'!$G$4:$G$692,'апрель 2023'!$D$4:$D$692,$B127,'апрель 2023'!$J$4:$J$692,W$1)</f>
        <v>0</v>
      </c>
      <c r="X127" s="207">
        <f>SUMIFS('апрель 2023'!$G$4:$G$692,'апрель 2023'!$D$4:$D$692,$B127,'апрель 2023'!$J$4:$J$692,X$1)</f>
        <v>0</v>
      </c>
      <c r="Y127" s="207">
        <f>SUMIFS('апрель 2023'!$G$4:$G$692,'апрель 2023'!$D$4:$D$692,$B127,'апрель 2023'!$J$4:$J$692,Y$1)</f>
        <v>0</v>
      </c>
      <c r="Z127" s="207">
        <f>SUMIFS('апрель 2023'!$G$4:$G$692,'апрель 2023'!$D$4:$D$692,$B127,'апрель 2023'!$J$4:$J$692,Z$1)</f>
        <v>0</v>
      </c>
      <c r="AA127" s="207">
        <f>SUMIFS('апрель 2023'!$G$4:$G$692,'апрель 2023'!$D$4:$D$692,$B127,'апрель 2023'!$J$4:$J$692,AA$1)</f>
        <v>0</v>
      </c>
      <c r="AB127" s="207">
        <f>SUMIFS('апрель 2023'!$G$4:$G$692,'апрель 2023'!$D$4:$D$692,$B127,'апрель 2023'!$J$4:$J$692,AB$1)</f>
        <v>0</v>
      </c>
      <c r="AC127" s="207">
        <f>SUMIFS('апрель 2023'!$G$4:$G$692,'апрель 2023'!$D$4:$D$692,$B127,'апрель 2023'!$J$4:$J$692,AC$1)</f>
        <v>0</v>
      </c>
      <c r="AD127" s="207">
        <f>SUMIFS('апрель 2023'!$G$4:$G$692,'апрель 2023'!$D$4:$D$692,$B127,'апрель 2023'!$J$4:$J$692,AD$1)</f>
        <v>0</v>
      </c>
      <c r="AE127" s="207">
        <f>SUMIFS('апрель 2023'!$G$4:$G$692,'апрель 2023'!$D$4:$D$692,$B127,'апрель 2023'!$J$4:$J$692,AE$1)</f>
        <v>0</v>
      </c>
      <c r="AF127" s="207">
        <f>SUMIFS('апрель 2023'!$G$4:$G$692,'апрель 2023'!$D$4:$D$692,$B127,'апрель 2023'!$J$4:$J$692,AF$1)</f>
        <v>0</v>
      </c>
      <c r="AG127" s="207">
        <f>SUMIFS('апрель 2023'!$G$4:$G$692,'апрель 2023'!$D$4:$D$692,$B127,'апрель 2023'!$J$4:$J$692,AG$1)</f>
        <v>0</v>
      </c>
      <c r="AH127" s="207">
        <f>SUMIFS('апрель 2023'!$G$4:$G$692,'апрель 2023'!$D$4:$D$692,$B127,'апрель 2023'!$J$4:$J$692,AH$1)</f>
        <v>0</v>
      </c>
      <c r="AI127" s="220"/>
    </row>
    <row r="128" spans="2:35" ht="15" hidden="1" customHeight="1" x14ac:dyDescent="0.25">
      <c r="B128" s="212"/>
      <c r="C128" s="213"/>
      <c r="D128" s="207">
        <f>SUMIFS('апрель 2023'!$G$4:$G$692,'апрель 2023'!$D$4:$D$692,$B128,'апрель 2023'!$J$4:$J$692,D$1)</f>
        <v>0</v>
      </c>
      <c r="E128" s="207">
        <f>SUMIFS('апрель 2023'!$G$4:$G$692,'апрель 2023'!$D$4:$D$692,$B128,'апрель 2023'!$J$4:$J$692,E$1)</f>
        <v>0</v>
      </c>
      <c r="F128" s="207">
        <f>SUMIFS('апрель 2023'!$G$4:$G$692,'апрель 2023'!$D$4:$D$692,$B128,'апрель 2023'!$J$4:$J$692,F$1)</f>
        <v>0</v>
      </c>
      <c r="G128" s="207">
        <f>SUMIFS('апрель 2023'!$G$4:$G$692,'апрель 2023'!$D$4:$D$692,$B128,'апрель 2023'!$J$4:$J$692,G$1)</f>
        <v>0</v>
      </c>
      <c r="H128" s="207">
        <f>SUMIFS('апрель 2023'!$G$4:$G$692,'апрель 2023'!$D$4:$D$692,$B128,'апрель 2023'!$J$4:$J$692,H$1)</f>
        <v>0</v>
      </c>
      <c r="I128" s="207">
        <f>SUMIFS('апрель 2023'!$G$4:$G$692,'апрель 2023'!$D$4:$D$692,$B128,'апрель 2023'!$J$4:$J$692,I$1)</f>
        <v>0</v>
      </c>
      <c r="J128" s="207">
        <f>SUMIFS('апрель 2023'!$G$4:$G$692,'апрель 2023'!$D$4:$D$692,$B128,'апрель 2023'!$J$4:$J$692,J$1)</f>
        <v>0</v>
      </c>
      <c r="K128" s="207">
        <f>SUMIFS('апрель 2023'!$G$4:$G$692,'апрель 2023'!$D$4:$D$692,$B128,'апрель 2023'!$J$4:$J$692,K$1)</f>
        <v>0</v>
      </c>
      <c r="L128" s="207">
        <f>SUMIFS('апрель 2023'!$G$4:$G$692,'апрель 2023'!$D$4:$D$692,$B128,'апрель 2023'!$J$4:$J$692,L$1)</f>
        <v>0</v>
      </c>
      <c r="M128" s="207">
        <f>SUMIFS('апрель 2023'!$G$4:$G$692,'апрель 2023'!$D$4:$D$692,$B128,'апрель 2023'!$J$4:$J$692,M$1)</f>
        <v>0</v>
      </c>
      <c r="N128" s="207">
        <f>SUMIFS('апрель 2023'!$G$4:$G$692,'апрель 2023'!$D$4:$D$692,$B128,'апрель 2023'!$J$4:$J$692,N$1)</f>
        <v>0</v>
      </c>
      <c r="O128" s="207">
        <f>SUMIFS('апрель 2023'!$G$4:$G$692,'апрель 2023'!$D$4:$D$692,$B128,'апрель 2023'!$J$4:$J$692,O$1)</f>
        <v>0</v>
      </c>
      <c r="P128" s="207">
        <f>SUMIFS('апрель 2023'!$G$4:$G$692,'апрель 2023'!$D$4:$D$692,$B128,'апрель 2023'!$J$4:$J$692,P$1)</f>
        <v>0</v>
      </c>
      <c r="Q128" s="207">
        <f>SUMIFS('апрель 2023'!$G$4:$G$692,'апрель 2023'!$D$4:$D$692,$B128,'апрель 2023'!$J$4:$J$692,Q$1)</f>
        <v>0</v>
      </c>
      <c r="R128" s="207">
        <f>SUMIFS('апрель 2023'!$G$4:$G$692,'апрель 2023'!$D$4:$D$692,$B128,'апрель 2023'!$J$4:$J$692,R$1)</f>
        <v>0</v>
      </c>
      <c r="S128" s="207">
        <f>SUMIFS('апрель 2023'!$G$4:$G$692,'апрель 2023'!$D$4:$D$692,$B128,'апрель 2023'!$J$4:$J$692,S$1)</f>
        <v>0</v>
      </c>
      <c r="T128" s="207">
        <f>SUMIFS('апрель 2023'!$G$4:$G$692,'апрель 2023'!$D$4:$D$692,$B128,'апрель 2023'!$J$4:$J$692,T$1)</f>
        <v>0</v>
      </c>
      <c r="U128" s="207">
        <f>SUMIFS('апрель 2023'!$G$4:$G$692,'апрель 2023'!$D$4:$D$692,$B128,'апрель 2023'!$J$4:$J$692,U$1)</f>
        <v>0</v>
      </c>
      <c r="V128" s="207">
        <f>SUMIFS('апрель 2023'!$G$4:$G$692,'апрель 2023'!$D$4:$D$692,$B128,'апрель 2023'!$J$4:$J$692,V$1)</f>
        <v>0</v>
      </c>
      <c r="W128" s="207">
        <f>SUMIFS('апрель 2023'!$G$4:$G$692,'апрель 2023'!$D$4:$D$692,$B128,'апрель 2023'!$J$4:$J$692,W$1)</f>
        <v>0</v>
      </c>
      <c r="X128" s="207">
        <f>SUMIFS('апрель 2023'!$G$4:$G$692,'апрель 2023'!$D$4:$D$692,$B128,'апрель 2023'!$J$4:$J$692,X$1)</f>
        <v>0</v>
      </c>
      <c r="Y128" s="207">
        <f>SUMIFS('апрель 2023'!$G$4:$G$692,'апрель 2023'!$D$4:$D$692,$B128,'апрель 2023'!$J$4:$J$692,Y$1)</f>
        <v>0</v>
      </c>
      <c r="Z128" s="207">
        <f>SUMIFS('апрель 2023'!$G$4:$G$692,'апрель 2023'!$D$4:$D$692,$B128,'апрель 2023'!$J$4:$J$692,Z$1)</f>
        <v>0</v>
      </c>
      <c r="AA128" s="207">
        <f>SUMIFS('апрель 2023'!$G$4:$G$692,'апрель 2023'!$D$4:$D$692,$B128,'апрель 2023'!$J$4:$J$692,AA$1)</f>
        <v>0</v>
      </c>
      <c r="AB128" s="207">
        <f>SUMIFS('апрель 2023'!$G$4:$G$692,'апрель 2023'!$D$4:$D$692,$B128,'апрель 2023'!$J$4:$J$692,AB$1)</f>
        <v>0</v>
      </c>
      <c r="AC128" s="207">
        <f>SUMIFS('апрель 2023'!$G$4:$G$692,'апрель 2023'!$D$4:$D$692,$B128,'апрель 2023'!$J$4:$J$692,AC$1)</f>
        <v>0</v>
      </c>
      <c r="AD128" s="207">
        <f>SUMIFS('апрель 2023'!$G$4:$G$692,'апрель 2023'!$D$4:$D$692,$B128,'апрель 2023'!$J$4:$J$692,AD$1)</f>
        <v>0</v>
      </c>
      <c r="AE128" s="207">
        <f>SUMIFS('апрель 2023'!$G$4:$G$692,'апрель 2023'!$D$4:$D$692,$B128,'апрель 2023'!$J$4:$J$692,AE$1)</f>
        <v>0</v>
      </c>
      <c r="AF128" s="207">
        <f>SUMIFS('апрель 2023'!$G$4:$G$692,'апрель 2023'!$D$4:$D$692,$B128,'апрель 2023'!$J$4:$J$692,AF$1)</f>
        <v>0</v>
      </c>
      <c r="AG128" s="207">
        <f>SUMIFS('апрель 2023'!$G$4:$G$692,'апрель 2023'!$D$4:$D$692,$B128,'апрель 2023'!$J$4:$J$692,AG$1)</f>
        <v>0</v>
      </c>
      <c r="AH128" s="207">
        <f>SUMIFS('апрель 2023'!$G$4:$G$692,'апрель 2023'!$D$4:$D$692,$B128,'апрель 2023'!$J$4:$J$692,AH$1)</f>
        <v>0</v>
      </c>
      <c r="AI128" s="220"/>
    </row>
    <row r="129" spans="2:35" ht="15" hidden="1" customHeight="1" x14ac:dyDescent="0.25">
      <c r="B129" s="212"/>
      <c r="C129" s="211"/>
      <c r="D129" s="207">
        <f>SUMIFS('апрель 2023'!$G$4:$G$692,'апрель 2023'!$D$4:$D$692,$B129,'апрель 2023'!$J$4:$J$692,D$1)</f>
        <v>0</v>
      </c>
      <c r="E129" s="207">
        <f>SUMIFS('апрель 2023'!$G$4:$G$692,'апрель 2023'!$D$4:$D$692,$B129,'апрель 2023'!$J$4:$J$692,E$1)</f>
        <v>0</v>
      </c>
      <c r="F129" s="207">
        <f>SUMIFS('апрель 2023'!$G$4:$G$692,'апрель 2023'!$D$4:$D$692,$B129,'апрель 2023'!$J$4:$J$692,F$1)</f>
        <v>0</v>
      </c>
      <c r="G129" s="207">
        <f>SUMIFS('апрель 2023'!$G$4:$G$692,'апрель 2023'!$D$4:$D$692,$B129,'апрель 2023'!$J$4:$J$692,G$1)</f>
        <v>0</v>
      </c>
      <c r="H129" s="207">
        <f>SUMIFS('апрель 2023'!$G$4:$G$692,'апрель 2023'!$D$4:$D$692,$B129,'апрель 2023'!$J$4:$J$692,H$1)</f>
        <v>0</v>
      </c>
      <c r="I129" s="207">
        <f>SUMIFS('апрель 2023'!$G$4:$G$692,'апрель 2023'!$D$4:$D$692,$B129,'апрель 2023'!$J$4:$J$692,I$1)</f>
        <v>0</v>
      </c>
      <c r="J129" s="207">
        <f>SUMIFS('апрель 2023'!$G$4:$G$692,'апрель 2023'!$D$4:$D$692,$B129,'апрель 2023'!$J$4:$J$692,J$1)</f>
        <v>0</v>
      </c>
      <c r="K129" s="207">
        <f>SUMIFS('апрель 2023'!$G$4:$G$692,'апрель 2023'!$D$4:$D$692,$B129,'апрель 2023'!$J$4:$J$692,K$1)</f>
        <v>0</v>
      </c>
      <c r="L129" s="207">
        <f>SUMIFS('апрель 2023'!$G$4:$G$692,'апрель 2023'!$D$4:$D$692,$B129,'апрель 2023'!$J$4:$J$692,L$1)</f>
        <v>0</v>
      </c>
      <c r="M129" s="207">
        <f>SUMIFS('апрель 2023'!$G$4:$G$692,'апрель 2023'!$D$4:$D$692,$B129,'апрель 2023'!$J$4:$J$692,M$1)</f>
        <v>0</v>
      </c>
      <c r="N129" s="207">
        <f>SUMIFS('апрель 2023'!$G$4:$G$692,'апрель 2023'!$D$4:$D$692,$B129,'апрель 2023'!$J$4:$J$692,N$1)</f>
        <v>0</v>
      </c>
      <c r="O129" s="207">
        <f>SUMIFS('апрель 2023'!$G$4:$G$692,'апрель 2023'!$D$4:$D$692,$B129,'апрель 2023'!$J$4:$J$692,O$1)</f>
        <v>0</v>
      </c>
      <c r="P129" s="207">
        <f>SUMIFS('апрель 2023'!$G$4:$G$692,'апрель 2023'!$D$4:$D$692,$B129,'апрель 2023'!$J$4:$J$692,P$1)</f>
        <v>0</v>
      </c>
      <c r="Q129" s="207">
        <f>SUMIFS('апрель 2023'!$G$4:$G$692,'апрель 2023'!$D$4:$D$692,$B129,'апрель 2023'!$J$4:$J$692,Q$1)</f>
        <v>0</v>
      </c>
      <c r="R129" s="207">
        <f>SUMIFS('апрель 2023'!$G$4:$G$692,'апрель 2023'!$D$4:$D$692,$B129,'апрель 2023'!$J$4:$J$692,R$1)</f>
        <v>0</v>
      </c>
      <c r="S129" s="207">
        <f>SUMIFS('апрель 2023'!$G$4:$G$692,'апрель 2023'!$D$4:$D$692,$B129,'апрель 2023'!$J$4:$J$692,S$1)</f>
        <v>0</v>
      </c>
      <c r="T129" s="207">
        <f>SUMIFS('апрель 2023'!$G$4:$G$692,'апрель 2023'!$D$4:$D$692,$B129,'апрель 2023'!$J$4:$J$692,T$1)</f>
        <v>0</v>
      </c>
      <c r="U129" s="207">
        <f>SUMIFS('апрель 2023'!$G$4:$G$692,'апрель 2023'!$D$4:$D$692,$B129,'апрель 2023'!$J$4:$J$692,U$1)</f>
        <v>0</v>
      </c>
      <c r="V129" s="207">
        <f>SUMIFS('апрель 2023'!$G$4:$G$692,'апрель 2023'!$D$4:$D$692,$B129,'апрель 2023'!$J$4:$J$692,V$1)</f>
        <v>0</v>
      </c>
      <c r="W129" s="207">
        <f>SUMIFS('апрель 2023'!$G$4:$G$692,'апрель 2023'!$D$4:$D$692,$B129,'апрель 2023'!$J$4:$J$692,W$1)</f>
        <v>0</v>
      </c>
      <c r="X129" s="207">
        <f>SUMIFS('апрель 2023'!$G$4:$G$692,'апрель 2023'!$D$4:$D$692,$B129,'апрель 2023'!$J$4:$J$692,X$1)</f>
        <v>0</v>
      </c>
      <c r="Y129" s="207">
        <f>SUMIFS('апрель 2023'!$G$4:$G$692,'апрель 2023'!$D$4:$D$692,$B129,'апрель 2023'!$J$4:$J$692,Y$1)</f>
        <v>0</v>
      </c>
      <c r="Z129" s="207">
        <f>SUMIFS('апрель 2023'!$G$4:$G$692,'апрель 2023'!$D$4:$D$692,$B129,'апрель 2023'!$J$4:$J$692,Z$1)</f>
        <v>0</v>
      </c>
      <c r="AA129" s="207">
        <f>SUMIFS('апрель 2023'!$G$4:$G$692,'апрель 2023'!$D$4:$D$692,$B129,'апрель 2023'!$J$4:$J$692,AA$1)</f>
        <v>0</v>
      </c>
      <c r="AB129" s="207">
        <f>SUMIFS('апрель 2023'!$G$4:$G$692,'апрель 2023'!$D$4:$D$692,$B129,'апрель 2023'!$J$4:$J$692,AB$1)</f>
        <v>0</v>
      </c>
      <c r="AC129" s="207">
        <f>SUMIFS('апрель 2023'!$G$4:$G$692,'апрель 2023'!$D$4:$D$692,$B129,'апрель 2023'!$J$4:$J$692,AC$1)</f>
        <v>0</v>
      </c>
      <c r="AD129" s="207">
        <f>SUMIFS('апрель 2023'!$G$4:$G$692,'апрель 2023'!$D$4:$D$692,$B129,'апрель 2023'!$J$4:$J$692,AD$1)</f>
        <v>0</v>
      </c>
      <c r="AE129" s="207">
        <f>SUMIFS('апрель 2023'!$G$4:$G$692,'апрель 2023'!$D$4:$D$692,$B129,'апрель 2023'!$J$4:$J$692,AE$1)</f>
        <v>0</v>
      </c>
      <c r="AF129" s="207">
        <f>SUMIFS('апрель 2023'!$G$4:$G$692,'апрель 2023'!$D$4:$D$692,$B129,'апрель 2023'!$J$4:$J$692,AF$1)</f>
        <v>0</v>
      </c>
      <c r="AG129" s="207">
        <f>SUMIFS('апрель 2023'!$G$4:$G$692,'апрель 2023'!$D$4:$D$692,$B129,'апрель 2023'!$J$4:$J$692,AG$1)</f>
        <v>0</v>
      </c>
      <c r="AH129" s="207">
        <f>SUMIFS('апрель 2023'!$G$4:$G$692,'апрель 2023'!$D$4:$D$692,$B129,'апрель 2023'!$J$4:$J$692,AH$1)</f>
        <v>0</v>
      </c>
      <c r="AI129" s="220"/>
    </row>
    <row r="130" spans="2:35" ht="15" hidden="1" customHeight="1" x14ac:dyDescent="0.25">
      <c r="B130" s="212"/>
      <c r="C130" s="211"/>
      <c r="D130" s="207">
        <f>SUMIFS('апрель 2023'!$G$4:$G$692,'апрель 2023'!$D$4:$D$692,$B130,'апрель 2023'!$J$4:$J$692,D$1)</f>
        <v>0</v>
      </c>
      <c r="E130" s="207">
        <f>SUMIFS('апрель 2023'!$G$4:$G$692,'апрель 2023'!$D$4:$D$692,$B130,'апрель 2023'!$J$4:$J$692,E$1)</f>
        <v>0</v>
      </c>
      <c r="F130" s="207">
        <f>SUMIFS('апрель 2023'!$G$4:$G$692,'апрель 2023'!$D$4:$D$692,$B130,'апрель 2023'!$J$4:$J$692,F$1)</f>
        <v>0</v>
      </c>
      <c r="G130" s="207">
        <f>SUMIFS('апрель 2023'!$G$4:$G$692,'апрель 2023'!$D$4:$D$692,$B130,'апрель 2023'!$J$4:$J$692,G$1)</f>
        <v>0</v>
      </c>
      <c r="H130" s="207">
        <f>SUMIFS('апрель 2023'!$G$4:$G$692,'апрель 2023'!$D$4:$D$692,$B130,'апрель 2023'!$J$4:$J$692,H$1)</f>
        <v>0</v>
      </c>
      <c r="I130" s="207">
        <f>SUMIFS('апрель 2023'!$G$4:$G$692,'апрель 2023'!$D$4:$D$692,$B130,'апрель 2023'!$J$4:$J$692,I$1)</f>
        <v>0</v>
      </c>
      <c r="J130" s="207">
        <f>SUMIFS('апрель 2023'!$G$4:$G$692,'апрель 2023'!$D$4:$D$692,$B130,'апрель 2023'!$J$4:$J$692,J$1)</f>
        <v>0</v>
      </c>
      <c r="K130" s="207">
        <f>SUMIFS('апрель 2023'!$G$4:$G$692,'апрель 2023'!$D$4:$D$692,$B130,'апрель 2023'!$J$4:$J$692,K$1)</f>
        <v>0</v>
      </c>
      <c r="L130" s="207">
        <f>SUMIFS('апрель 2023'!$G$4:$G$692,'апрель 2023'!$D$4:$D$692,$B130,'апрель 2023'!$J$4:$J$692,L$1)</f>
        <v>0</v>
      </c>
      <c r="M130" s="207">
        <f>SUMIFS('апрель 2023'!$G$4:$G$692,'апрель 2023'!$D$4:$D$692,$B130,'апрель 2023'!$J$4:$J$692,M$1)</f>
        <v>0</v>
      </c>
      <c r="N130" s="207">
        <f>SUMIFS('апрель 2023'!$G$4:$G$692,'апрель 2023'!$D$4:$D$692,$B130,'апрель 2023'!$J$4:$J$692,N$1)</f>
        <v>0</v>
      </c>
      <c r="O130" s="207">
        <f>SUMIFS('апрель 2023'!$G$4:$G$692,'апрель 2023'!$D$4:$D$692,$B130,'апрель 2023'!$J$4:$J$692,O$1)</f>
        <v>0</v>
      </c>
      <c r="P130" s="207">
        <f>SUMIFS('апрель 2023'!$G$4:$G$692,'апрель 2023'!$D$4:$D$692,$B130,'апрель 2023'!$J$4:$J$692,P$1)</f>
        <v>0</v>
      </c>
      <c r="Q130" s="207">
        <f>SUMIFS('апрель 2023'!$G$4:$G$692,'апрель 2023'!$D$4:$D$692,$B130,'апрель 2023'!$J$4:$J$692,Q$1)</f>
        <v>0</v>
      </c>
      <c r="R130" s="207">
        <f>SUMIFS('апрель 2023'!$G$4:$G$692,'апрель 2023'!$D$4:$D$692,$B130,'апрель 2023'!$J$4:$J$692,R$1)</f>
        <v>0</v>
      </c>
      <c r="S130" s="207">
        <f>SUMIFS('апрель 2023'!$G$4:$G$692,'апрель 2023'!$D$4:$D$692,$B130,'апрель 2023'!$J$4:$J$692,S$1)</f>
        <v>0</v>
      </c>
      <c r="T130" s="207">
        <f>SUMIFS('апрель 2023'!$G$4:$G$692,'апрель 2023'!$D$4:$D$692,$B130,'апрель 2023'!$J$4:$J$692,T$1)</f>
        <v>0</v>
      </c>
      <c r="U130" s="207">
        <f>SUMIFS('апрель 2023'!$G$4:$G$692,'апрель 2023'!$D$4:$D$692,$B130,'апрель 2023'!$J$4:$J$692,U$1)</f>
        <v>0</v>
      </c>
      <c r="V130" s="207">
        <f>SUMIFS('апрель 2023'!$G$4:$G$692,'апрель 2023'!$D$4:$D$692,$B130,'апрель 2023'!$J$4:$J$692,V$1)</f>
        <v>0</v>
      </c>
      <c r="W130" s="207">
        <f>SUMIFS('апрель 2023'!$G$4:$G$692,'апрель 2023'!$D$4:$D$692,$B130,'апрель 2023'!$J$4:$J$692,W$1)</f>
        <v>0</v>
      </c>
      <c r="X130" s="207">
        <f>SUMIFS('апрель 2023'!$G$4:$G$692,'апрель 2023'!$D$4:$D$692,$B130,'апрель 2023'!$J$4:$J$692,X$1)</f>
        <v>0</v>
      </c>
      <c r="Y130" s="207">
        <f>SUMIFS('апрель 2023'!$G$4:$G$692,'апрель 2023'!$D$4:$D$692,$B130,'апрель 2023'!$J$4:$J$692,Y$1)</f>
        <v>0</v>
      </c>
      <c r="Z130" s="207">
        <f>SUMIFS('апрель 2023'!$G$4:$G$692,'апрель 2023'!$D$4:$D$692,$B130,'апрель 2023'!$J$4:$J$692,Z$1)</f>
        <v>0</v>
      </c>
      <c r="AA130" s="207">
        <f>SUMIFS('апрель 2023'!$G$4:$G$692,'апрель 2023'!$D$4:$D$692,$B130,'апрель 2023'!$J$4:$J$692,AA$1)</f>
        <v>0</v>
      </c>
      <c r="AB130" s="207">
        <f>SUMIFS('апрель 2023'!$G$4:$G$692,'апрель 2023'!$D$4:$D$692,$B130,'апрель 2023'!$J$4:$J$692,AB$1)</f>
        <v>0</v>
      </c>
      <c r="AC130" s="207">
        <f>SUMIFS('апрель 2023'!$G$4:$G$692,'апрель 2023'!$D$4:$D$692,$B130,'апрель 2023'!$J$4:$J$692,AC$1)</f>
        <v>0</v>
      </c>
      <c r="AD130" s="207">
        <f>SUMIFS('апрель 2023'!$G$4:$G$692,'апрель 2023'!$D$4:$D$692,$B130,'апрель 2023'!$J$4:$J$692,AD$1)</f>
        <v>0</v>
      </c>
      <c r="AE130" s="207">
        <f>SUMIFS('апрель 2023'!$G$4:$G$692,'апрель 2023'!$D$4:$D$692,$B130,'апрель 2023'!$J$4:$J$692,AE$1)</f>
        <v>0</v>
      </c>
      <c r="AF130" s="207">
        <f>SUMIFS('апрель 2023'!$G$4:$G$692,'апрель 2023'!$D$4:$D$692,$B130,'апрель 2023'!$J$4:$J$692,AF$1)</f>
        <v>0</v>
      </c>
      <c r="AG130" s="207">
        <f>SUMIFS('апрель 2023'!$G$4:$G$692,'апрель 2023'!$D$4:$D$692,$B130,'апрель 2023'!$J$4:$J$692,AG$1)</f>
        <v>0</v>
      </c>
      <c r="AH130" s="207">
        <f>SUMIFS('апрель 2023'!$G$4:$G$692,'апрель 2023'!$D$4:$D$692,$B130,'апрель 2023'!$J$4:$J$692,AH$1)</f>
        <v>0</v>
      </c>
      <c r="AI130" s="220"/>
    </row>
    <row r="131" spans="2:35" ht="15" hidden="1" customHeight="1" x14ac:dyDescent="0.25">
      <c r="B131" s="212"/>
      <c r="C131" s="211"/>
      <c r="D131" s="207">
        <f>SUMIFS('апрель 2023'!$G$4:$G$692,'апрель 2023'!$D$4:$D$692,$B131,'апрель 2023'!$J$4:$J$692,D$1)</f>
        <v>0</v>
      </c>
      <c r="E131" s="207">
        <f>SUMIFS('апрель 2023'!$G$4:$G$692,'апрель 2023'!$D$4:$D$692,$B131,'апрель 2023'!$J$4:$J$692,E$1)</f>
        <v>0</v>
      </c>
      <c r="F131" s="207">
        <f>SUMIFS('апрель 2023'!$G$4:$G$692,'апрель 2023'!$D$4:$D$692,$B131,'апрель 2023'!$J$4:$J$692,F$1)</f>
        <v>0</v>
      </c>
      <c r="G131" s="207">
        <f>SUMIFS('апрель 2023'!$G$4:$G$692,'апрель 2023'!$D$4:$D$692,$B131,'апрель 2023'!$J$4:$J$692,G$1)</f>
        <v>0</v>
      </c>
      <c r="H131" s="207">
        <f>SUMIFS('апрель 2023'!$G$4:$G$692,'апрель 2023'!$D$4:$D$692,$B131,'апрель 2023'!$J$4:$J$692,H$1)</f>
        <v>0</v>
      </c>
      <c r="I131" s="207">
        <f>SUMIFS('апрель 2023'!$G$4:$G$692,'апрель 2023'!$D$4:$D$692,$B131,'апрель 2023'!$J$4:$J$692,I$1)</f>
        <v>0</v>
      </c>
      <c r="J131" s="207">
        <f>SUMIFS('апрель 2023'!$G$4:$G$692,'апрель 2023'!$D$4:$D$692,$B131,'апрель 2023'!$J$4:$J$692,J$1)</f>
        <v>0</v>
      </c>
      <c r="K131" s="207">
        <f>SUMIFS('апрель 2023'!$G$4:$G$692,'апрель 2023'!$D$4:$D$692,$B131,'апрель 2023'!$J$4:$J$692,K$1)</f>
        <v>0</v>
      </c>
      <c r="L131" s="207">
        <f>SUMIFS('апрель 2023'!$G$4:$G$692,'апрель 2023'!$D$4:$D$692,$B131,'апрель 2023'!$J$4:$J$692,L$1)</f>
        <v>0</v>
      </c>
      <c r="M131" s="207">
        <f>SUMIFS('апрель 2023'!$G$4:$G$692,'апрель 2023'!$D$4:$D$692,$B131,'апрель 2023'!$J$4:$J$692,M$1)</f>
        <v>0</v>
      </c>
      <c r="N131" s="207">
        <f>SUMIFS('апрель 2023'!$G$4:$G$692,'апрель 2023'!$D$4:$D$692,$B131,'апрель 2023'!$J$4:$J$692,N$1)</f>
        <v>0</v>
      </c>
      <c r="O131" s="207">
        <f>SUMIFS('апрель 2023'!$G$4:$G$692,'апрель 2023'!$D$4:$D$692,$B131,'апрель 2023'!$J$4:$J$692,O$1)</f>
        <v>0</v>
      </c>
      <c r="P131" s="207">
        <f>SUMIFS('апрель 2023'!$G$4:$G$692,'апрель 2023'!$D$4:$D$692,$B131,'апрель 2023'!$J$4:$J$692,P$1)</f>
        <v>0</v>
      </c>
      <c r="Q131" s="207">
        <f>SUMIFS('апрель 2023'!$G$4:$G$692,'апрель 2023'!$D$4:$D$692,$B131,'апрель 2023'!$J$4:$J$692,Q$1)</f>
        <v>0</v>
      </c>
      <c r="R131" s="207">
        <f>SUMIFS('апрель 2023'!$G$4:$G$692,'апрель 2023'!$D$4:$D$692,$B131,'апрель 2023'!$J$4:$J$692,R$1)</f>
        <v>0</v>
      </c>
      <c r="S131" s="207">
        <f>SUMIFS('апрель 2023'!$G$4:$G$692,'апрель 2023'!$D$4:$D$692,$B131,'апрель 2023'!$J$4:$J$692,S$1)</f>
        <v>0</v>
      </c>
      <c r="T131" s="207">
        <f>SUMIFS('апрель 2023'!$G$4:$G$692,'апрель 2023'!$D$4:$D$692,$B131,'апрель 2023'!$J$4:$J$692,T$1)</f>
        <v>0</v>
      </c>
      <c r="U131" s="207">
        <f>SUMIFS('апрель 2023'!$G$4:$G$692,'апрель 2023'!$D$4:$D$692,$B131,'апрель 2023'!$J$4:$J$692,U$1)</f>
        <v>0</v>
      </c>
      <c r="V131" s="207">
        <f>SUMIFS('апрель 2023'!$G$4:$G$692,'апрель 2023'!$D$4:$D$692,$B131,'апрель 2023'!$J$4:$J$692,V$1)</f>
        <v>0</v>
      </c>
      <c r="W131" s="207">
        <f>SUMIFS('апрель 2023'!$G$4:$G$692,'апрель 2023'!$D$4:$D$692,$B131,'апрель 2023'!$J$4:$J$692,W$1)</f>
        <v>0</v>
      </c>
      <c r="X131" s="207">
        <f>SUMIFS('апрель 2023'!$G$4:$G$692,'апрель 2023'!$D$4:$D$692,$B131,'апрель 2023'!$J$4:$J$692,X$1)</f>
        <v>0</v>
      </c>
      <c r="Y131" s="207">
        <f>SUMIFS('апрель 2023'!$G$4:$G$692,'апрель 2023'!$D$4:$D$692,$B131,'апрель 2023'!$J$4:$J$692,Y$1)</f>
        <v>0</v>
      </c>
      <c r="Z131" s="207">
        <f>SUMIFS('апрель 2023'!$G$4:$G$692,'апрель 2023'!$D$4:$D$692,$B131,'апрель 2023'!$J$4:$J$692,Z$1)</f>
        <v>0</v>
      </c>
      <c r="AA131" s="207">
        <f>SUMIFS('апрель 2023'!$G$4:$G$692,'апрель 2023'!$D$4:$D$692,$B131,'апрель 2023'!$J$4:$J$692,AA$1)</f>
        <v>0</v>
      </c>
      <c r="AB131" s="207">
        <f>SUMIFS('апрель 2023'!$G$4:$G$692,'апрель 2023'!$D$4:$D$692,$B131,'апрель 2023'!$J$4:$J$692,AB$1)</f>
        <v>0</v>
      </c>
      <c r="AC131" s="207">
        <f>SUMIFS('апрель 2023'!$G$4:$G$692,'апрель 2023'!$D$4:$D$692,$B131,'апрель 2023'!$J$4:$J$692,AC$1)</f>
        <v>0</v>
      </c>
      <c r="AD131" s="207">
        <f>SUMIFS('апрель 2023'!$G$4:$G$692,'апрель 2023'!$D$4:$D$692,$B131,'апрель 2023'!$J$4:$J$692,AD$1)</f>
        <v>0</v>
      </c>
      <c r="AE131" s="207">
        <f>SUMIFS('апрель 2023'!$G$4:$G$692,'апрель 2023'!$D$4:$D$692,$B131,'апрель 2023'!$J$4:$J$692,AE$1)</f>
        <v>0</v>
      </c>
      <c r="AF131" s="207">
        <f>SUMIFS('апрель 2023'!$G$4:$G$692,'апрель 2023'!$D$4:$D$692,$B131,'апрель 2023'!$J$4:$J$692,AF$1)</f>
        <v>0</v>
      </c>
      <c r="AG131" s="207">
        <f>SUMIFS('апрель 2023'!$G$4:$G$692,'апрель 2023'!$D$4:$D$692,$B131,'апрель 2023'!$J$4:$J$692,AG$1)</f>
        <v>0</v>
      </c>
      <c r="AH131" s="207">
        <f>SUMIFS('апрель 2023'!$G$4:$G$692,'апрель 2023'!$D$4:$D$692,$B131,'апрель 2023'!$J$4:$J$692,AH$1)</f>
        <v>0</v>
      </c>
      <c r="AI131" s="220"/>
    </row>
    <row r="132" spans="2:35" ht="15" hidden="1" customHeight="1" x14ac:dyDescent="0.25">
      <c r="B132" s="216"/>
      <c r="C132" s="213"/>
      <c r="D132" s="207">
        <f>SUMIFS('апрель 2023'!$G$4:$G$692,'апрель 2023'!$D$4:$D$692,$B132,'апрель 2023'!$J$4:$J$692,D$1)</f>
        <v>0</v>
      </c>
      <c r="E132" s="207">
        <f>SUMIFS('апрель 2023'!$G$4:$G$692,'апрель 2023'!$D$4:$D$692,$B132,'апрель 2023'!$J$4:$J$692,E$1)</f>
        <v>0</v>
      </c>
      <c r="F132" s="207">
        <f>SUMIFS('апрель 2023'!$G$4:$G$692,'апрель 2023'!$D$4:$D$692,$B132,'апрель 2023'!$J$4:$J$692,F$1)</f>
        <v>0</v>
      </c>
      <c r="G132" s="207">
        <f>SUMIFS('апрель 2023'!$G$4:$G$692,'апрель 2023'!$D$4:$D$692,$B132,'апрель 2023'!$J$4:$J$692,G$1)</f>
        <v>0</v>
      </c>
      <c r="H132" s="207">
        <f>SUMIFS('апрель 2023'!$G$4:$G$692,'апрель 2023'!$D$4:$D$692,$B132,'апрель 2023'!$J$4:$J$692,H$1)</f>
        <v>0</v>
      </c>
      <c r="I132" s="207">
        <f>SUMIFS('апрель 2023'!$G$4:$G$692,'апрель 2023'!$D$4:$D$692,$B132,'апрель 2023'!$J$4:$J$692,I$1)</f>
        <v>0</v>
      </c>
      <c r="J132" s="207">
        <f>SUMIFS('апрель 2023'!$G$4:$G$692,'апрель 2023'!$D$4:$D$692,$B132,'апрель 2023'!$J$4:$J$692,J$1)</f>
        <v>0</v>
      </c>
      <c r="K132" s="207">
        <f>SUMIFS('апрель 2023'!$G$4:$G$692,'апрель 2023'!$D$4:$D$692,$B132,'апрель 2023'!$J$4:$J$692,K$1)</f>
        <v>0</v>
      </c>
      <c r="L132" s="207">
        <f>SUMIFS('апрель 2023'!$G$4:$G$692,'апрель 2023'!$D$4:$D$692,$B132,'апрель 2023'!$J$4:$J$692,L$1)</f>
        <v>0</v>
      </c>
      <c r="M132" s="207">
        <f>SUMIFS('апрель 2023'!$G$4:$G$692,'апрель 2023'!$D$4:$D$692,$B132,'апрель 2023'!$J$4:$J$692,M$1)</f>
        <v>0</v>
      </c>
      <c r="N132" s="207">
        <f>SUMIFS('апрель 2023'!$G$4:$G$692,'апрель 2023'!$D$4:$D$692,$B132,'апрель 2023'!$J$4:$J$692,N$1)</f>
        <v>0</v>
      </c>
      <c r="O132" s="207">
        <f>SUMIFS('апрель 2023'!$G$4:$G$692,'апрель 2023'!$D$4:$D$692,$B132,'апрель 2023'!$J$4:$J$692,O$1)</f>
        <v>0</v>
      </c>
      <c r="P132" s="207">
        <f>SUMIFS('апрель 2023'!$G$4:$G$692,'апрель 2023'!$D$4:$D$692,$B132,'апрель 2023'!$J$4:$J$692,P$1)</f>
        <v>0</v>
      </c>
      <c r="Q132" s="207">
        <f>SUMIFS('апрель 2023'!$G$4:$G$692,'апрель 2023'!$D$4:$D$692,$B132,'апрель 2023'!$J$4:$J$692,Q$1)</f>
        <v>0</v>
      </c>
      <c r="R132" s="207">
        <f>SUMIFS('апрель 2023'!$G$4:$G$692,'апрель 2023'!$D$4:$D$692,$B132,'апрель 2023'!$J$4:$J$692,R$1)</f>
        <v>0</v>
      </c>
      <c r="S132" s="207">
        <f>SUMIFS('апрель 2023'!$G$4:$G$692,'апрель 2023'!$D$4:$D$692,$B132,'апрель 2023'!$J$4:$J$692,S$1)</f>
        <v>0</v>
      </c>
      <c r="T132" s="207">
        <f>SUMIFS('апрель 2023'!$G$4:$G$692,'апрель 2023'!$D$4:$D$692,$B132,'апрель 2023'!$J$4:$J$692,T$1)</f>
        <v>0</v>
      </c>
      <c r="U132" s="207">
        <f>SUMIFS('апрель 2023'!$G$4:$G$692,'апрель 2023'!$D$4:$D$692,$B132,'апрель 2023'!$J$4:$J$692,U$1)</f>
        <v>0</v>
      </c>
      <c r="V132" s="207">
        <f>SUMIFS('апрель 2023'!$G$4:$G$692,'апрель 2023'!$D$4:$D$692,$B132,'апрель 2023'!$J$4:$J$692,V$1)</f>
        <v>0</v>
      </c>
      <c r="W132" s="207">
        <f>SUMIFS('апрель 2023'!$G$4:$G$692,'апрель 2023'!$D$4:$D$692,$B132,'апрель 2023'!$J$4:$J$692,W$1)</f>
        <v>0</v>
      </c>
      <c r="X132" s="207">
        <f>SUMIFS('апрель 2023'!$G$4:$G$692,'апрель 2023'!$D$4:$D$692,$B132,'апрель 2023'!$J$4:$J$692,X$1)</f>
        <v>0</v>
      </c>
      <c r="Y132" s="207">
        <f>SUMIFS('апрель 2023'!$G$4:$G$692,'апрель 2023'!$D$4:$D$692,$B132,'апрель 2023'!$J$4:$J$692,Y$1)</f>
        <v>0</v>
      </c>
      <c r="Z132" s="207">
        <f>SUMIFS('апрель 2023'!$G$4:$G$692,'апрель 2023'!$D$4:$D$692,$B132,'апрель 2023'!$J$4:$J$692,Z$1)</f>
        <v>0</v>
      </c>
      <c r="AA132" s="207">
        <f>SUMIFS('апрель 2023'!$G$4:$G$692,'апрель 2023'!$D$4:$D$692,$B132,'апрель 2023'!$J$4:$J$692,AA$1)</f>
        <v>0</v>
      </c>
      <c r="AB132" s="207">
        <f>SUMIFS('апрель 2023'!$G$4:$G$692,'апрель 2023'!$D$4:$D$692,$B132,'апрель 2023'!$J$4:$J$692,AB$1)</f>
        <v>0</v>
      </c>
      <c r="AC132" s="207">
        <f>SUMIFS('апрель 2023'!$G$4:$G$692,'апрель 2023'!$D$4:$D$692,$B132,'апрель 2023'!$J$4:$J$692,AC$1)</f>
        <v>0</v>
      </c>
      <c r="AD132" s="207">
        <f>SUMIFS('апрель 2023'!$G$4:$G$692,'апрель 2023'!$D$4:$D$692,$B132,'апрель 2023'!$J$4:$J$692,AD$1)</f>
        <v>0</v>
      </c>
      <c r="AE132" s="207">
        <f>SUMIFS('апрель 2023'!$G$4:$G$692,'апрель 2023'!$D$4:$D$692,$B132,'апрель 2023'!$J$4:$J$692,AE$1)</f>
        <v>0</v>
      </c>
      <c r="AF132" s="207">
        <f>SUMIFS('апрель 2023'!$G$4:$G$692,'апрель 2023'!$D$4:$D$692,$B132,'апрель 2023'!$J$4:$J$692,AF$1)</f>
        <v>0</v>
      </c>
      <c r="AG132" s="207">
        <f>SUMIFS('апрель 2023'!$G$4:$G$692,'апрель 2023'!$D$4:$D$692,$B132,'апрель 2023'!$J$4:$J$692,AG$1)</f>
        <v>0</v>
      </c>
      <c r="AH132" s="207">
        <f>SUMIFS('апрель 2023'!$G$4:$G$692,'апрель 2023'!$D$4:$D$692,$B132,'апрель 2023'!$J$4:$J$692,AH$1)</f>
        <v>0</v>
      </c>
      <c r="AI132" s="220">
        <f t="shared" ref="AI132:AI146" si="5">SUM(D132:AH132)</f>
        <v>0</v>
      </c>
    </row>
    <row r="133" spans="2:35" ht="15" hidden="1" customHeight="1" x14ac:dyDescent="0.25">
      <c r="B133" s="216"/>
      <c r="C133" s="213"/>
      <c r="D133" s="207">
        <f>SUMIFS('апрель 2023'!$G$4:$G$692,'апрель 2023'!$D$4:$D$692,$B133,'апрель 2023'!$J$4:$J$692,D$1)</f>
        <v>0</v>
      </c>
      <c r="E133" s="207">
        <f>SUMIFS('апрель 2023'!$G$4:$G$692,'апрель 2023'!$D$4:$D$692,$B133,'апрель 2023'!$J$4:$J$692,E$1)</f>
        <v>0</v>
      </c>
      <c r="F133" s="207">
        <f>SUMIFS('апрель 2023'!$G$4:$G$692,'апрель 2023'!$D$4:$D$692,$B133,'апрель 2023'!$J$4:$J$692,F$1)</f>
        <v>0</v>
      </c>
      <c r="G133" s="207">
        <f>SUMIFS('апрель 2023'!$G$4:$G$692,'апрель 2023'!$D$4:$D$692,$B133,'апрель 2023'!$J$4:$J$692,G$1)</f>
        <v>0</v>
      </c>
      <c r="H133" s="207">
        <f>SUMIFS('апрель 2023'!$G$4:$G$692,'апрель 2023'!$D$4:$D$692,$B133,'апрель 2023'!$J$4:$J$692,H$1)</f>
        <v>0</v>
      </c>
      <c r="I133" s="207">
        <f>SUMIFS('апрель 2023'!$G$4:$G$692,'апрель 2023'!$D$4:$D$692,$B133,'апрель 2023'!$J$4:$J$692,I$1)</f>
        <v>0</v>
      </c>
      <c r="J133" s="207">
        <f>SUMIFS('апрель 2023'!$G$4:$G$692,'апрель 2023'!$D$4:$D$692,$B133,'апрель 2023'!$J$4:$J$692,J$1)</f>
        <v>0</v>
      </c>
      <c r="K133" s="207">
        <f>SUMIFS('апрель 2023'!$G$4:$G$692,'апрель 2023'!$D$4:$D$692,$B133,'апрель 2023'!$J$4:$J$692,K$1)</f>
        <v>0</v>
      </c>
      <c r="L133" s="207">
        <f>SUMIFS('апрель 2023'!$G$4:$G$692,'апрель 2023'!$D$4:$D$692,$B133,'апрель 2023'!$J$4:$J$692,L$1)</f>
        <v>0</v>
      </c>
      <c r="M133" s="207">
        <f>SUMIFS('апрель 2023'!$G$4:$G$692,'апрель 2023'!$D$4:$D$692,$B133,'апрель 2023'!$J$4:$J$692,M$1)</f>
        <v>0</v>
      </c>
      <c r="N133" s="207">
        <f>SUMIFS('апрель 2023'!$G$4:$G$692,'апрель 2023'!$D$4:$D$692,$B133,'апрель 2023'!$J$4:$J$692,N$1)</f>
        <v>0</v>
      </c>
      <c r="O133" s="207">
        <f>SUMIFS('апрель 2023'!$G$4:$G$692,'апрель 2023'!$D$4:$D$692,$B133,'апрель 2023'!$J$4:$J$692,O$1)</f>
        <v>0</v>
      </c>
      <c r="P133" s="207">
        <f>SUMIFS('апрель 2023'!$G$4:$G$692,'апрель 2023'!$D$4:$D$692,$B133,'апрель 2023'!$J$4:$J$692,P$1)</f>
        <v>0</v>
      </c>
      <c r="Q133" s="207">
        <f>SUMIFS('апрель 2023'!$G$4:$G$692,'апрель 2023'!$D$4:$D$692,$B133,'апрель 2023'!$J$4:$J$692,Q$1)</f>
        <v>0</v>
      </c>
      <c r="R133" s="207">
        <f>SUMIFS('апрель 2023'!$G$4:$G$692,'апрель 2023'!$D$4:$D$692,$B133,'апрель 2023'!$J$4:$J$692,R$1)</f>
        <v>0</v>
      </c>
      <c r="S133" s="207">
        <f>SUMIFS('апрель 2023'!$G$4:$G$692,'апрель 2023'!$D$4:$D$692,$B133,'апрель 2023'!$J$4:$J$692,S$1)</f>
        <v>0</v>
      </c>
      <c r="T133" s="207">
        <f>SUMIFS('апрель 2023'!$G$4:$G$692,'апрель 2023'!$D$4:$D$692,$B133,'апрель 2023'!$J$4:$J$692,T$1)</f>
        <v>0</v>
      </c>
      <c r="U133" s="207">
        <f>SUMIFS('апрель 2023'!$G$4:$G$692,'апрель 2023'!$D$4:$D$692,$B133,'апрель 2023'!$J$4:$J$692,U$1)</f>
        <v>0</v>
      </c>
      <c r="V133" s="207">
        <f>SUMIFS('апрель 2023'!$G$4:$G$692,'апрель 2023'!$D$4:$D$692,$B133,'апрель 2023'!$J$4:$J$692,V$1)</f>
        <v>0</v>
      </c>
      <c r="W133" s="207">
        <f>SUMIFS('апрель 2023'!$G$4:$G$692,'апрель 2023'!$D$4:$D$692,$B133,'апрель 2023'!$J$4:$J$692,W$1)</f>
        <v>0</v>
      </c>
      <c r="X133" s="207">
        <f>SUMIFS('апрель 2023'!$G$4:$G$692,'апрель 2023'!$D$4:$D$692,$B133,'апрель 2023'!$J$4:$J$692,X$1)</f>
        <v>0</v>
      </c>
      <c r="Y133" s="207">
        <f>SUMIFS('апрель 2023'!$G$4:$G$692,'апрель 2023'!$D$4:$D$692,$B133,'апрель 2023'!$J$4:$J$692,Y$1)</f>
        <v>0</v>
      </c>
      <c r="Z133" s="207">
        <f>SUMIFS('апрель 2023'!$G$4:$G$692,'апрель 2023'!$D$4:$D$692,$B133,'апрель 2023'!$J$4:$J$692,Z$1)</f>
        <v>0</v>
      </c>
      <c r="AA133" s="207">
        <f>SUMIFS('апрель 2023'!$G$4:$G$692,'апрель 2023'!$D$4:$D$692,$B133,'апрель 2023'!$J$4:$J$692,AA$1)</f>
        <v>0</v>
      </c>
      <c r="AB133" s="207">
        <f>SUMIFS('апрель 2023'!$G$4:$G$692,'апрель 2023'!$D$4:$D$692,$B133,'апрель 2023'!$J$4:$J$692,AB$1)</f>
        <v>0</v>
      </c>
      <c r="AC133" s="207">
        <f>SUMIFS('апрель 2023'!$G$4:$G$692,'апрель 2023'!$D$4:$D$692,$B133,'апрель 2023'!$J$4:$J$692,AC$1)</f>
        <v>0</v>
      </c>
      <c r="AD133" s="207">
        <f>SUMIFS('апрель 2023'!$G$4:$G$692,'апрель 2023'!$D$4:$D$692,$B133,'апрель 2023'!$J$4:$J$692,AD$1)</f>
        <v>0</v>
      </c>
      <c r="AE133" s="207">
        <f>SUMIFS('апрель 2023'!$G$4:$G$692,'апрель 2023'!$D$4:$D$692,$B133,'апрель 2023'!$J$4:$J$692,AE$1)</f>
        <v>0</v>
      </c>
      <c r="AF133" s="207">
        <f>SUMIFS('апрель 2023'!$G$4:$G$692,'апрель 2023'!$D$4:$D$692,$B133,'апрель 2023'!$J$4:$J$692,AF$1)</f>
        <v>0</v>
      </c>
      <c r="AG133" s="207">
        <f>SUMIFS('апрель 2023'!$G$4:$G$692,'апрель 2023'!$D$4:$D$692,$B133,'апрель 2023'!$J$4:$J$692,AG$1)</f>
        <v>0</v>
      </c>
      <c r="AH133" s="207">
        <f>SUMIFS('апрель 2023'!$G$4:$G$692,'апрель 2023'!$D$4:$D$692,$B133,'апрель 2023'!$J$4:$J$692,AH$1)</f>
        <v>0</v>
      </c>
      <c r="AI133" s="220">
        <f t="shared" si="5"/>
        <v>0</v>
      </c>
    </row>
    <row r="134" spans="2:35" ht="15" hidden="1" customHeight="1" x14ac:dyDescent="0.25">
      <c r="B134" s="216"/>
      <c r="C134" s="213"/>
      <c r="D134" s="207">
        <f>SUMIFS('апрель 2023'!$G$4:$G$692,'апрель 2023'!$D$4:$D$692,$B134,'апрель 2023'!$J$4:$J$692,D$1)</f>
        <v>0</v>
      </c>
      <c r="E134" s="207">
        <f>SUMIFS('апрель 2023'!$G$4:$G$692,'апрель 2023'!$D$4:$D$692,$B134,'апрель 2023'!$J$4:$J$692,E$1)</f>
        <v>0</v>
      </c>
      <c r="F134" s="207">
        <f>SUMIFS('апрель 2023'!$G$4:$G$692,'апрель 2023'!$D$4:$D$692,$B134,'апрель 2023'!$J$4:$J$692,F$1)</f>
        <v>0</v>
      </c>
      <c r="G134" s="207">
        <f>SUMIFS('апрель 2023'!$G$4:$G$692,'апрель 2023'!$D$4:$D$692,$B134,'апрель 2023'!$J$4:$J$692,G$1)</f>
        <v>0</v>
      </c>
      <c r="H134" s="207">
        <f>SUMIFS('апрель 2023'!$G$4:$G$692,'апрель 2023'!$D$4:$D$692,$B134,'апрель 2023'!$J$4:$J$692,H$1)</f>
        <v>0</v>
      </c>
      <c r="I134" s="207">
        <f>SUMIFS('апрель 2023'!$G$4:$G$692,'апрель 2023'!$D$4:$D$692,$B134,'апрель 2023'!$J$4:$J$692,I$1)</f>
        <v>0</v>
      </c>
      <c r="J134" s="207">
        <f>SUMIFS('апрель 2023'!$G$4:$G$692,'апрель 2023'!$D$4:$D$692,$B134,'апрель 2023'!$J$4:$J$692,J$1)</f>
        <v>0</v>
      </c>
      <c r="K134" s="207">
        <f>SUMIFS('апрель 2023'!$G$4:$G$692,'апрель 2023'!$D$4:$D$692,$B134,'апрель 2023'!$J$4:$J$692,K$1)</f>
        <v>0</v>
      </c>
      <c r="L134" s="207">
        <f>SUMIFS('апрель 2023'!$G$4:$G$692,'апрель 2023'!$D$4:$D$692,$B134,'апрель 2023'!$J$4:$J$692,L$1)</f>
        <v>0</v>
      </c>
      <c r="M134" s="207">
        <f>SUMIFS('апрель 2023'!$G$4:$G$692,'апрель 2023'!$D$4:$D$692,$B134,'апрель 2023'!$J$4:$J$692,M$1)</f>
        <v>0</v>
      </c>
      <c r="N134" s="207">
        <f>SUMIFS('апрель 2023'!$G$4:$G$692,'апрель 2023'!$D$4:$D$692,$B134,'апрель 2023'!$J$4:$J$692,N$1)</f>
        <v>0</v>
      </c>
      <c r="O134" s="207">
        <f>SUMIFS('апрель 2023'!$G$4:$G$692,'апрель 2023'!$D$4:$D$692,$B134,'апрель 2023'!$J$4:$J$692,O$1)</f>
        <v>0</v>
      </c>
      <c r="P134" s="207">
        <f>SUMIFS('апрель 2023'!$G$4:$G$692,'апрель 2023'!$D$4:$D$692,$B134,'апрель 2023'!$J$4:$J$692,P$1)</f>
        <v>0</v>
      </c>
      <c r="Q134" s="207">
        <f>SUMIFS('апрель 2023'!$G$4:$G$692,'апрель 2023'!$D$4:$D$692,$B134,'апрель 2023'!$J$4:$J$692,Q$1)</f>
        <v>0</v>
      </c>
      <c r="R134" s="207">
        <f>SUMIFS('апрель 2023'!$G$4:$G$692,'апрель 2023'!$D$4:$D$692,$B134,'апрель 2023'!$J$4:$J$692,R$1)</f>
        <v>0</v>
      </c>
      <c r="S134" s="207">
        <f>SUMIFS('апрель 2023'!$G$4:$G$692,'апрель 2023'!$D$4:$D$692,$B134,'апрель 2023'!$J$4:$J$692,S$1)</f>
        <v>0</v>
      </c>
      <c r="T134" s="207">
        <f>SUMIFS('апрель 2023'!$G$4:$G$692,'апрель 2023'!$D$4:$D$692,$B134,'апрель 2023'!$J$4:$J$692,T$1)</f>
        <v>0</v>
      </c>
      <c r="U134" s="207">
        <f>SUMIFS('апрель 2023'!$G$4:$G$692,'апрель 2023'!$D$4:$D$692,$B134,'апрель 2023'!$J$4:$J$692,U$1)</f>
        <v>0</v>
      </c>
      <c r="V134" s="207">
        <f>SUMIFS('апрель 2023'!$G$4:$G$692,'апрель 2023'!$D$4:$D$692,$B134,'апрель 2023'!$J$4:$J$692,V$1)</f>
        <v>0</v>
      </c>
      <c r="W134" s="207">
        <f>SUMIFS('апрель 2023'!$G$4:$G$692,'апрель 2023'!$D$4:$D$692,$B134,'апрель 2023'!$J$4:$J$692,W$1)</f>
        <v>0</v>
      </c>
      <c r="X134" s="207">
        <f>SUMIFS('апрель 2023'!$G$4:$G$692,'апрель 2023'!$D$4:$D$692,$B134,'апрель 2023'!$J$4:$J$692,X$1)</f>
        <v>0</v>
      </c>
      <c r="Y134" s="207">
        <f>SUMIFS('апрель 2023'!$G$4:$G$692,'апрель 2023'!$D$4:$D$692,$B134,'апрель 2023'!$J$4:$J$692,Y$1)</f>
        <v>0</v>
      </c>
      <c r="Z134" s="207">
        <f>SUMIFS('апрель 2023'!$G$4:$G$692,'апрель 2023'!$D$4:$D$692,$B134,'апрель 2023'!$J$4:$J$692,Z$1)</f>
        <v>0</v>
      </c>
      <c r="AA134" s="207">
        <f>SUMIFS('апрель 2023'!$G$4:$G$692,'апрель 2023'!$D$4:$D$692,$B134,'апрель 2023'!$J$4:$J$692,AA$1)</f>
        <v>0</v>
      </c>
      <c r="AB134" s="207">
        <f>SUMIFS('апрель 2023'!$G$4:$G$692,'апрель 2023'!$D$4:$D$692,$B134,'апрель 2023'!$J$4:$J$692,AB$1)</f>
        <v>0</v>
      </c>
      <c r="AC134" s="207">
        <f>SUMIFS('апрель 2023'!$G$4:$G$692,'апрель 2023'!$D$4:$D$692,$B134,'апрель 2023'!$J$4:$J$692,AC$1)</f>
        <v>0</v>
      </c>
      <c r="AD134" s="207">
        <f>SUMIFS('апрель 2023'!$G$4:$G$692,'апрель 2023'!$D$4:$D$692,$B134,'апрель 2023'!$J$4:$J$692,AD$1)</f>
        <v>0</v>
      </c>
      <c r="AE134" s="207">
        <f>SUMIFS('апрель 2023'!$G$4:$G$692,'апрель 2023'!$D$4:$D$692,$B134,'апрель 2023'!$J$4:$J$692,AE$1)</f>
        <v>0</v>
      </c>
      <c r="AF134" s="207">
        <f>SUMIFS('апрель 2023'!$G$4:$G$692,'апрель 2023'!$D$4:$D$692,$B134,'апрель 2023'!$J$4:$J$692,AF$1)</f>
        <v>0</v>
      </c>
      <c r="AG134" s="207">
        <f>SUMIFS('апрель 2023'!$G$4:$G$692,'апрель 2023'!$D$4:$D$692,$B134,'апрель 2023'!$J$4:$J$692,AG$1)</f>
        <v>0</v>
      </c>
      <c r="AH134" s="207">
        <f>SUMIFS('апрель 2023'!$G$4:$G$692,'апрель 2023'!$D$4:$D$692,$B134,'апрель 2023'!$J$4:$J$692,AH$1)</f>
        <v>0</v>
      </c>
      <c r="AI134" s="220">
        <f t="shared" si="5"/>
        <v>0</v>
      </c>
    </row>
    <row r="135" spans="2:35" ht="15" hidden="1" customHeight="1" x14ac:dyDescent="0.25">
      <c r="B135" s="212"/>
      <c r="C135" s="211"/>
      <c r="D135" s="207">
        <f>SUMIFS('апрель 2023'!$G$4:$G$692,'апрель 2023'!$D$4:$D$692,$B135,'апрель 2023'!$J$4:$J$692,D$1)</f>
        <v>0</v>
      </c>
      <c r="E135" s="207">
        <f>SUMIFS('апрель 2023'!$G$4:$G$692,'апрель 2023'!$D$4:$D$692,$B135,'апрель 2023'!$J$4:$J$692,E$1)</f>
        <v>0</v>
      </c>
      <c r="F135" s="207">
        <f>SUMIFS('апрель 2023'!$G$4:$G$692,'апрель 2023'!$D$4:$D$692,$B135,'апрель 2023'!$J$4:$J$692,F$1)</f>
        <v>0</v>
      </c>
      <c r="G135" s="207">
        <f>SUMIFS('апрель 2023'!$G$4:$G$692,'апрель 2023'!$D$4:$D$692,$B135,'апрель 2023'!$J$4:$J$692,G$1)</f>
        <v>0</v>
      </c>
      <c r="H135" s="207">
        <f>SUMIFS('апрель 2023'!$G$4:$G$692,'апрель 2023'!$D$4:$D$692,$B135,'апрель 2023'!$J$4:$J$692,H$1)</f>
        <v>0</v>
      </c>
      <c r="I135" s="207">
        <f>SUMIFS('апрель 2023'!$G$4:$G$692,'апрель 2023'!$D$4:$D$692,$B135,'апрель 2023'!$J$4:$J$692,I$1)</f>
        <v>0</v>
      </c>
      <c r="J135" s="207">
        <f>SUMIFS('апрель 2023'!$G$4:$G$692,'апрель 2023'!$D$4:$D$692,$B135,'апрель 2023'!$J$4:$J$692,J$1)</f>
        <v>0</v>
      </c>
      <c r="K135" s="207">
        <f>SUMIFS('апрель 2023'!$G$4:$G$692,'апрель 2023'!$D$4:$D$692,$B135,'апрель 2023'!$J$4:$J$692,K$1)</f>
        <v>0</v>
      </c>
      <c r="L135" s="207">
        <f>SUMIFS('апрель 2023'!$G$4:$G$692,'апрель 2023'!$D$4:$D$692,$B135,'апрель 2023'!$J$4:$J$692,L$1)</f>
        <v>0</v>
      </c>
      <c r="M135" s="207">
        <f>SUMIFS('апрель 2023'!$G$4:$G$692,'апрель 2023'!$D$4:$D$692,$B135,'апрель 2023'!$J$4:$J$692,M$1)</f>
        <v>0</v>
      </c>
      <c r="N135" s="207">
        <f>SUMIFS('апрель 2023'!$G$4:$G$692,'апрель 2023'!$D$4:$D$692,$B135,'апрель 2023'!$J$4:$J$692,N$1)</f>
        <v>0</v>
      </c>
      <c r="O135" s="207">
        <f>SUMIFS('апрель 2023'!$G$4:$G$692,'апрель 2023'!$D$4:$D$692,$B135,'апрель 2023'!$J$4:$J$692,O$1)</f>
        <v>0</v>
      </c>
      <c r="P135" s="207">
        <f>SUMIFS('апрель 2023'!$G$4:$G$692,'апрель 2023'!$D$4:$D$692,$B135,'апрель 2023'!$J$4:$J$692,P$1)</f>
        <v>0</v>
      </c>
      <c r="Q135" s="207">
        <f>SUMIFS('апрель 2023'!$G$4:$G$692,'апрель 2023'!$D$4:$D$692,$B135,'апрель 2023'!$J$4:$J$692,Q$1)</f>
        <v>0</v>
      </c>
      <c r="R135" s="207">
        <f>SUMIFS('апрель 2023'!$G$4:$G$692,'апрель 2023'!$D$4:$D$692,$B135,'апрель 2023'!$J$4:$J$692,R$1)</f>
        <v>0</v>
      </c>
      <c r="S135" s="207">
        <f>SUMIFS('апрель 2023'!$G$4:$G$692,'апрель 2023'!$D$4:$D$692,$B135,'апрель 2023'!$J$4:$J$692,S$1)</f>
        <v>0</v>
      </c>
      <c r="T135" s="207">
        <f>SUMIFS('апрель 2023'!$G$4:$G$692,'апрель 2023'!$D$4:$D$692,$B135,'апрель 2023'!$J$4:$J$692,T$1)</f>
        <v>0</v>
      </c>
      <c r="U135" s="207">
        <f>SUMIFS('апрель 2023'!$G$4:$G$692,'апрель 2023'!$D$4:$D$692,$B135,'апрель 2023'!$J$4:$J$692,U$1)</f>
        <v>0</v>
      </c>
      <c r="V135" s="207">
        <f>SUMIFS('апрель 2023'!$G$4:$G$692,'апрель 2023'!$D$4:$D$692,$B135,'апрель 2023'!$J$4:$J$692,V$1)</f>
        <v>0</v>
      </c>
      <c r="W135" s="207">
        <f>SUMIFS('апрель 2023'!$G$4:$G$692,'апрель 2023'!$D$4:$D$692,$B135,'апрель 2023'!$J$4:$J$692,W$1)</f>
        <v>0</v>
      </c>
      <c r="X135" s="207">
        <f>SUMIFS('апрель 2023'!$G$4:$G$692,'апрель 2023'!$D$4:$D$692,$B135,'апрель 2023'!$J$4:$J$692,X$1)</f>
        <v>0</v>
      </c>
      <c r="Y135" s="207">
        <f>SUMIFS('апрель 2023'!$G$4:$G$692,'апрель 2023'!$D$4:$D$692,$B135,'апрель 2023'!$J$4:$J$692,Y$1)</f>
        <v>0</v>
      </c>
      <c r="Z135" s="207">
        <f>SUMIFS('апрель 2023'!$G$4:$G$692,'апрель 2023'!$D$4:$D$692,$B135,'апрель 2023'!$J$4:$J$692,Z$1)</f>
        <v>0</v>
      </c>
      <c r="AA135" s="207">
        <f>SUMIFS('апрель 2023'!$G$4:$G$692,'апрель 2023'!$D$4:$D$692,$B135,'апрель 2023'!$J$4:$J$692,AA$1)</f>
        <v>0</v>
      </c>
      <c r="AB135" s="207">
        <f>SUMIFS('апрель 2023'!$G$4:$G$692,'апрель 2023'!$D$4:$D$692,$B135,'апрель 2023'!$J$4:$J$692,AB$1)</f>
        <v>0</v>
      </c>
      <c r="AC135" s="207">
        <f>SUMIFS('апрель 2023'!$G$4:$G$692,'апрель 2023'!$D$4:$D$692,$B135,'апрель 2023'!$J$4:$J$692,AC$1)</f>
        <v>0</v>
      </c>
      <c r="AD135" s="207">
        <f>SUMIFS('апрель 2023'!$G$4:$G$692,'апрель 2023'!$D$4:$D$692,$B135,'апрель 2023'!$J$4:$J$692,AD$1)</f>
        <v>0</v>
      </c>
      <c r="AE135" s="207">
        <f>SUMIFS('апрель 2023'!$G$4:$G$692,'апрель 2023'!$D$4:$D$692,$B135,'апрель 2023'!$J$4:$J$692,AE$1)</f>
        <v>0</v>
      </c>
      <c r="AF135" s="207">
        <f>SUMIFS('апрель 2023'!$G$4:$G$692,'апрель 2023'!$D$4:$D$692,$B135,'апрель 2023'!$J$4:$J$692,AF$1)</f>
        <v>0</v>
      </c>
      <c r="AG135" s="207">
        <f>SUMIFS('апрель 2023'!$G$4:$G$692,'апрель 2023'!$D$4:$D$692,$B135,'апрель 2023'!$J$4:$J$692,AG$1)</f>
        <v>0</v>
      </c>
      <c r="AH135" s="207">
        <f>SUMIFS('апрель 2023'!$G$4:$G$692,'апрель 2023'!$D$4:$D$692,$B135,'апрель 2023'!$J$4:$J$692,AH$1)</f>
        <v>0</v>
      </c>
      <c r="AI135" s="220"/>
    </row>
    <row r="136" spans="2:35" ht="15" hidden="1" customHeight="1" x14ac:dyDescent="0.25">
      <c r="B136" s="212"/>
      <c r="C136" s="211"/>
      <c r="D136" s="207">
        <f>SUMIFS('апрель 2023'!$G$4:$G$692,'апрель 2023'!$D$4:$D$692,$B136,'апрель 2023'!$J$4:$J$692,D$1)</f>
        <v>0</v>
      </c>
      <c r="E136" s="207">
        <f>SUMIFS('апрель 2023'!$G$4:$G$692,'апрель 2023'!$D$4:$D$692,$B136,'апрель 2023'!$J$4:$J$692,E$1)</f>
        <v>0</v>
      </c>
      <c r="F136" s="207">
        <f>SUMIFS('апрель 2023'!$G$4:$G$692,'апрель 2023'!$D$4:$D$692,$B136,'апрель 2023'!$J$4:$J$692,F$1)</f>
        <v>0</v>
      </c>
      <c r="G136" s="207">
        <f>SUMIFS('апрель 2023'!$G$4:$G$692,'апрель 2023'!$D$4:$D$692,$B136,'апрель 2023'!$J$4:$J$692,G$1)</f>
        <v>0</v>
      </c>
      <c r="H136" s="207">
        <f>SUMIFS('апрель 2023'!$G$4:$G$692,'апрель 2023'!$D$4:$D$692,$B136,'апрель 2023'!$J$4:$J$692,H$1)</f>
        <v>0</v>
      </c>
      <c r="I136" s="207">
        <f>SUMIFS('апрель 2023'!$G$4:$G$692,'апрель 2023'!$D$4:$D$692,$B136,'апрель 2023'!$J$4:$J$692,I$1)</f>
        <v>0</v>
      </c>
      <c r="J136" s="207">
        <f>SUMIFS('апрель 2023'!$G$4:$G$692,'апрель 2023'!$D$4:$D$692,$B136,'апрель 2023'!$J$4:$J$692,J$1)</f>
        <v>0</v>
      </c>
      <c r="K136" s="207">
        <f>SUMIFS('апрель 2023'!$G$4:$G$692,'апрель 2023'!$D$4:$D$692,$B136,'апрель 2023'!$J$4:$J$692,K$1)</f>
        <v>0</v>
      </c>
      <c r="L136" s="207">
        <f>SUMIFS('апрель 2023'!$G$4:$G$692,'апрель 2023'!$D$4:$D$692,$B136,'апрель 2023'!$J$4:$J$692,L$1)</f>
        <v>0</v>
      </c>
      <c r="M136" s="207">
        <f>SUMIFS('апрель 2023'!$G$4:$G$692,'апрель 2023'!$D$4:$D$692,$B136,'апрель 2023'!$J$4:$J$692,M$1)</f>
        <v>0</v>
      </c>
      <c r="N136" s="207">
        <f>SUMIFS('апрель 2023'!$G$4:$G$692,'апрель 2023'!$D$4:$D$692,$B136,'апрель 2023'!$J$4:$J$692,N$1)</f>
        <v>0</v>
      </c>
      <c r="O136" s="207">
        <f>SUMIFS('апрель 2023'!$G$4:$G$692,'апрель 2023'!$D$4:$D$692,$B136,'апрель 2023'!$J$4:$J$692,O$1)</f>
        <v>0</v>
      </c>
      <c r="P136" s="207">
        <f>SUMIFS('апрель 2023'!$G$4:$G$692,'апрель 2023'!$D$4:$D$692,$B136,'апрель 2023'!$J$4:$J$692,P$1)</f>
        <v>0</v>
      </c>
      <c r="Q136" s="207">
        <f>SUMIFS('апрель 2023'!$G$4:$G$692,'апрель 2023'!$D$4:$D$692,$B136,'апрель 2023'!$J$4:$J$692,Q$1)</f>
        <v>0</v>
      </c>
      <c r="R136" s="207">
        <f>SUMIFS('апрель 2023'!$G$4:$G$692,'апрель 2023'!$D$4:$D$692,$B136,'апрель 2023'!$J$4:$J$692,R$1)</f>
        <v>0</v>
      </c>
      <c r="S136" s="207">
        <f>SUMIFS('апрель 2023'!$G$4:$G$692,'апрель 2023'!$D$4:$D$692,$B136,'апрель 2023'!$J$4:$J$692,S$1)</f>
        <v>0</v>
      </c>
      <c r="T136" s="207">
        <f>SUMIFS('апрель 2023'!$G$4:$G$692,'апрель 2023'!$D$4:$D$692,$B136,'апрель 2023'!$J$4:$J$692,T$1)</f>
        <v>0</v>
      </c>
      <c r="U136" s="207">
        <f>SUMIFS('апрель 2023'!$G$4:$G$692,'апрель 2023'!$D$4:$D$692,$B136,'апрель 2023'!$J$4:$J$692,U$1)</f>
        <v>0</v>
      </c>
      <c r="V136" s="207">
        <f>SUMIFS('апрель 2023'!$G$4:$G$692,'апрель 2023'!$D$4:$D$692,$B136,'апрель 2023'!$J$4:$J$692,V$1)</f>
        <v>0</v>
      </c>
      <c r="W136" s="207">
        <f>SUMIFS('апрель 2023'!$G$4:$G$692,'апрель 2023'!$D$4:$D$692,$B136,'апрель 2023'!$J$4:$J$692,W$1)</f>
        <v>0</v>
      </c>
      <c r="X136" s="207">
        <f>SUMIFS('апрель 2023'!$G$4:$G$692,'апрель 2023'!$D$4:$D$692,$B136,'апрель 2023'!$J$4:$J$692,X$1)</f>
        <v>0</v>
      </c>
      <c r="Y136" s="207">
        <f>SUMIFS('апрель 2023'!$G$4:$G$692,'апрель 2023'!$D$4:$D$692,$B136,'апрель 2023'!$J$4:$J$692,Y$1)</f>
        <v>0</v>
      </c>
      <c r="Z136" s="207">
        <f>SUMIFS('апрель 2023'!$G$4:$G$692,'апрель 2023'!$D$4:$D$692,$B136,'апрель 2023'!$J$4:$J$692,Z$1)</f>
        <v>0</v>
      </c>
      <c r="AA136" s="207">
        <f>SUMIFS('апрель 2023'!$G$4:$G$692,'апрель 2023'!$D$4:$D$692,$B136,'апрель 2023'!$J$4:$J$692,AA$1)</f>
        <v>0</v>
      </c>
      <c r="AB136" s="207">
        <f>SUMIFS('апрель 2023'!$G$4:$G$692,'апрель 2023'!$D$4:$D$692,$B136,'апрель 2023'!$J$4:$J$692,AB$1)</f>
        <v>0</v>
      </c>
      <c r="AC136" s="207">
        <f>SUMIFS('апрель 2023'!$G$4:$G$692,'апрель 2023'!$D$4:$D$692,$B136,'апрель 2023'!$J$4:$J$692,AC$1)</f>
        <v>0</v>
      </c>
      <c r="AD136" s="207">
        <f>SUMIFS('апрель 2023'!$G$4:$G$692,'апрель 2023'!$D$4:$D$692,$B136,'апрель 2023'!$J$4:$J$692,AD$1)</f>
        <v>0</v>
      </c>
      <c r="AE136" s="207">
        <f>SUMIFS('апрель 2023'!$G$4:$G$692,'апрель 2023'!$D$4:$D$692,$B136,'апрель 2023'!$J$4:$J$692,AE$1)</f>
        <v>0</v>
      </c>
      <c r="AF136" s="207">
        <f>SUMIFS('апрель 2023'!$G$4:$G$692,'апрель 2023'!$D$4:$D$692,$B136,'апрель 2023'!$J$4:$J$692,AF$1)</f>
        <v>0</v>
      </c>
      <c r="AG136" s="207">
        <f>SUMIFS('апрель 2023'!$G$4:$G$692,'апрель 2023'!$D$4:$D$692,$B136,'апрель 2023'!$J$4:$J$692,AG$1)</f>
        <v>0</v>
      </c>
      <c r="AH136" s="207">
        <f>SUMIFS('апрель 2023'!$G$4:$G$692,'апрель 2023'!$D$4:$D$692,$B136,'апрель 2023'!$J$4:$J$692,AH$1)</f>
        <v>0</v>
      </c>
      <c r="AI136" s="220">
        <f t="shared" si="5"/>
        <v>0</v>
      </c>
    </row>
    <row r="137" spans="2:35" ht="15" hidden="1" customHeight="1" x14ac:dyDescent="0.25">
      <c r="B137" s="212"/>
      <c r="C137" s="211"/>
      <c r="D137" s="207">
        <f>SUMIFS('апрель 2023'!$G$4:$G$692,'апрель 2023'!$D$4:$D$692,$B137,'апрель 2023'!$J$4:$J$692,D$1)</f>
        <v>0</v>
      </c>
      <c r="E137" s="207">
        <f>SUMIFS('апрель 2023'!$G$4:$G$692,'апрель 2023'!$D$4:$D$692,$B137,'апрель 2023'!$J$4:$J$692,E$1)</f>
        <v>0</v>
      </c>
      <c r="F137" s="207">
        <f>SUMIFS('апрель 2023'!$G$4:$G$692,'апрель 2023'!$D$4:$D$692,$B137,'апрель 2023'!$J$4:$J$692,F$1)</f>
        <v>0</v>
      </c>
      <c r="G137" s="207">
        <f>SUMIFS('апрель 2023'!$G$4:$G$692,'апрель 2023'!$D$4:$D$692,$B137,'апрель 2023'!$J$4:$J$692,G$1)</f>
        <v>0</v>
      </c>
      <c r="H137" s="207">
        <f>SUMIFS('апрель 2023'!$G$4:$G$692,'апрель 2023'!$D$4:$D$692,$B137,'апрель 2023'!$J$4:$J$692,H$1)</f>
        <v>0</v>
      </c>
      <c r="I137" s="207">
        <f>SUMIFS('апрель 2023'!$G$4:$G$692,'апрель 2023'!$D$4:$D$692,$B137,'апрель 2023'!$J$4:$J$692,I$1)</f>
        <v>0</v>
      </c>
      <c r="J137" s="207">
        <f>SUMIFS('апрель 2023'!$G$4:$G$692,'апрель 2023'!$D$4:$D$692,$B137,'апрель 2023'!$J$4:$J$692,J$1)</f>
        <v>0</v>
      </c>
      <c r="K137" s="207">
        <f>SUMIFS('апрель 2023'!$G$4:$G$692,'апрель 2023'!$D$4:$D$692,$B137,'апрель 2023'!$J$4:$J$692,K$1)</f>
        <v>0</v>
      </c>
      <c r="L137" s="207">
        <f>SUMIFS('апрель 2023'!$G$4:$G$692,'апрель 2023'!$D$4:$D$692,$B137,'апрель 2023'!$J$4:$J$692,L$1)</f>
        <v>0</v>
      </c>
      <c r="M137" s="207">
        <f>SUMIFS('апрель 2023'!$G$4:$G$692,'апрель 2023'!$D$4:$D$692,$B137,'апрель 2023'!$J$4:$J$692,M$1)</f>
        <v>0</v>
      </c>
      <c r="N137" s="207">
        <f>SUMIFS('апрель 2023'!$G$4:$G$692,'апрель 2023'!$D$4:$D$692,$B137,'апрель 2023'!$J$4:$J$692,N$1)</f>
        <v>0</v>
      </c>
      <c r="O137" s="207">
        <f>SUMIFS('апрель 2023'!$G$4:$G$692,'апрель 2023'!$D$4:$D$692,$B137,'апрель 2023'!$J$4:$J$692,O$1)</f>
        <v>0</v>
      </c>
      <c r="P137" s="207">
        <f>SUMIFS('апрель 2023'!$G$4:$G$692,'апрель 2023'!$D$4:$D$692,$B137,'апрель 2023'!$J$4:$J$692,P$1)</f>
        <v>0</v>
      </c>
      <c r="Q137" s="207">
        <f>SUMIFS('апрель 2023'!$G$4:$G$692,'апрель 2023'!$D$4:$D$692,$B137,'апрель 2023'!$J$4:$J$692,Q$1)</f>
        <v>0</v>
      </c>
      <c r="R137" s="207">
        <f>SUMIFS('апрель 2023'!$G$4:$G$692,'апрель 2023'!$D$4:$D$692,$B137,'апрель 2023'!$J$4:$J$692,R$1)</f>
        <v>0</v>
      </c>
      <c r="S137" s="207">
        <f>SUMIFS('апрель 2023'!$G$4:$G$692,'апрель 2023'!$D$4:$D$692,$B137,'апрель 2023'!$J$4:$J$692,S$1)</f>
        <v>0</v>
      </c>
      <c r="T137" s="207">
        <f>SUMIFS('апрель 2023'!$G$4:$G$692,'апрель 2023'!$D$4:$D$692,$B137,'апрель 2023'!$J$4:$J$692,T$1)</f>
        <v>0</v>
      </c>
      <c r="U137" s="207">
        <f>SUMIFS('апрель 2023'!$G$4:$G$692,'апрель 2023'!$D$4:$D$692,$B137,'апрель 2023'!$J$4:$J$692,U$1)</f>
        <v>0</v>
      </c>
      <c r="V137" s="207">
        <f>SUMIFS('апрель 2023'!$G$4:$G$692,'апрель 2023'!$D$4:$D$692,$B137,'апрель 2023'!$J$4:$J$692,V$1)</f>
        <v>0</v>
      </c>
      <c r="W137" s="207">
        <f>SUMIFS('апрель 2023'!$G$4:$G$692,'апрель 2023'!$D$4:$D$692,$B137,'апрель 2023'!$J$4:$J$692,W$1)</f>
        <v>0</v>
      </c>
      <c r="X137" s="207">
        <f>SUMIFS('апрель 2023'!$G$4:$G$692,'апрель 2023'!$D$4:$D$692,$B137,'апрель 2023'!$J$4:$J$692,X$1)</f>
        <v>0</v>
      </c>
      <c r="Y137" s="207">
        <f>SUMIFS('апрель 2023'!$G$4:$G$692,'апрель 2023'!$D$4:$D$692,$B137,'апрель 2023'!$J$4:$J$692,Y$1)</f>
        <v>0</v>
      </c>
      <c r="Z137" s="207">
        <f>SUMIFS('апрель 2023'!$G$4:$G$692,'апрель 2023'!$D$4:$D$692,$B137,'апрель 2023'!$J$4:$J$692,Z$1)</f>
        <v>0</v>
      </c>
      <c r="AA137" s="207">
        <f>SUMIFS('апрель 2023'!$G$4:$G$692,'апрель 2023'!$D$4:$D$692,$B137,'апрель 2023'!$J$4:$J$692,AA$1)</f>
        <v>0</v>
      </c>
      <c r="AB137" s="207">
        <f>SUMIFS('апрель 2023'!$G$4:$G$692,'апрель 2023'!$D$4:$D$692,$B137,'апрель 2023'!$J$4:$J$692,AB$1)</f>
        <v>0</v>
      </c>
      <c r="AC137" s="207">
        <f>SUMIFS('апрель 2023'!$G$4:$G$692,'апрель 2023'!$D$4:$D$692,$B137,'апрель 2023'!$J$4:$J$692,AC$1)</f>
        <v>0</v>
      </c>
      <c r="AD137" s="207">
        <f>SUMIFS('апрель 2023'!$G$4:$G$692,'апрель 2023'!$D$4:$D$692,$B137,'апрель 2023'!$J$4:$J$692,AD$1)</f>
        <v>0</v>
      </c>
      <c r="AE137" s="207">
        <f>SUMIFS('апрель 2023'!$G$4:$G$692,'апрель 2023'!$D$4:$D$692,$B137,'апрель 2023'!$J$4:$J$692,AE$1)</f>
        <v>0</v>
      </c>
      <c r="AF137" s="207">
        <f>SUMIFS('апрель 2023'!$G$4:$G$692,'апрель 2023'!$D$4:$D$692,$B137,'апрель 2023'!$J$4:$J$692,AF$1)</f>
        <v>0</v>
      </c>
      <c r="AG137" s="207">
        <f>SUMIFS('апрель 2023'!$G$4:$G$692,'апрель 2023'!$D$4:$D$692,$B137,'апрель 2023'!$J$4:$J$692,AG$1)</f>
        <v>0</v>
      </c>
      <c r="AH137" s="207">
        <f>SUMIFS('апрель 2023'!$G$4:$G$692,'апрель 2023'!$D$4:$D$692,$B137,'апрель 2023'!$J$4:$J$692,AH$1)</f>
        <v>0</v>
      </c>
      <c r="AI137" s="220">
        <f t="shared" si="5"/>
        <v>0</v>
      </c>
    </row>
    <row r="138" spans="2:35" ht="15" hidden="1" customHeight="1" x14ac:dyDescent="0.25">
      <c r="B138" s="218"/>
      <c r="C138" s="219"/>
      <c r="D138" s="207">
        <f>SUMIFS('апрель 2023'!$G$4:$G$692,'апрель 2023'!$D$4:$D$692,$B138,'апрель 2023'!$J$4:$J$692,D$1)</f>
        <v>0</v>
      </c>
      <c r="E138" s="207">
        <f>SUMIFS('апрель 2023'!$G$4:$G$692,'апрель 2023'!$D$4:$D$692,$B138,'апрель 2023'!$J$4:$J$692,E$1)</f>
        <v>0</v>
      </c>
      <c r="F138" s="207">
        <f>SUMIFS('апрель 2023'!$G$4:$G$692,'апрель 2023'!$D$4:$D$692,$B138,'апрель 2023'!$J$4:$J$692,F$1)</f>
        <v>0</v>
      </c>
      <c r="G138" s="207">
        <f>SUMIFS('апрель 2023'!$G$4:$G$692,'апрель 2023'!$D$4:$D$692,$B138,'апрель 2023'!$J$4:$J$692,G$1)</f>
        <v>0</v>
      </c>
      <c r="H138" s="207">
        <f>SUMIFS('апрель 2023'!$G$4:$G$692,'апрель 2023'!$D$4:$D$692,$B138,'апрель 2023'!$J$4:$J$692,H$1)</f>
        <v>0</v>
      </c>
      <c r="I138" s="207">
        <f>SUMIFS('апрель 2023'!$G$4:$G$692,'апрель 2023'!$D$4:$D$692,$B138,'апрель 2023'!$J$4:$J$692,I$1)</f>
        <v>0</v>
      </c>
      <c r="J138" s="207">
        <f>SUMIFS('апрель 2023'!$G$4:$G$692,'апрель 2023'!$D$4:$D$692,$B138,'апрель 2023'!$J$4:$J$692,J$1)</f>
        <v>0</v>
      </c>
      <c r="K138" s="207">
        <f>SUMIFS('апрель 2023'!$G$4:$G$692,'апрель 2023'!$D$4:$D$692,$B138,'апрель 2023'!$J$4:$J$692,K$1)</f>
        <v>0</v>
      </c>
      <c r="L138" s="207">
        <f>SUMIFS('апрель 2023'!$G$4:$G$692,'апрель 2023'!$D$4:$D$692,$B138,'апрель 2023'!$J$4:$J$692,L$1)</f>
        <v>0</v>
      </c>
      <c r="M138" s="207">
        <f>SUMIFS('апрель 2023'!$G$4:$G$692,'апрель 2023'!$D$4:$D$692,$B138,'апрель 2023'!$J$4:$J$692,M$1)</f>
        <v>0</v>
      </c>
      <c r="N138" s="207">
        <f>SUMIFS('апрель 2023'!$G$4:$G$692,'апрель 2023'!$D$4:$D$692,$B138,'апрель 2023'!$J$4:$J$692,N$1)</f>
        <v>0</v>
      </c>
      <c r="O138" s="207">
        <f>SUMIFS('апрель 2023'!$G$4:$G$692,'апрель 2023'!$D$4:$D$692,$B138,'апрель 2023'!$J$4:$J$692,O$1)</f>
        <v>0</v>
      </c>
      <c r="P138" s="207">
        <f>SUMIFS('апрель 2023'!$G$4:$G$692,'апрель 2023'!$D$4:$D$692,$B138,'апрель 2023'!$J$4:$J$692,P$1)</f>
        <v>0</v>
      </c>
      <c r="Q138" s="207">
        <f>SUMIFS('апрель 2023'!$G$4:$G$692,'апрель 2023'!$D$4:$D$692,$B138,'апрель 2023'!$J$4:$J$692,Q$1)</f>
        <v>0</v>
      </c>
      <c r="R138" s="207">
        <f>SUMIFS('апрель 2023'!$G$4:$G$692,'апрель 2023'!$D$4:$D$692,$B138,'апрель 2023'!$J$4:$J$692,R$1)</f>
        <v>0</v>
      </c>
      <c r="S138" s="207">
        <f>SUMIFS('апрель 2023'!$G$4:$G$692,'апрель 2023'!$D$4:$D$692,$B138,'апрель 2023'!$J$4:$J$692,S$1)</f>
        <v>0</v>
      </c>
      <c r="T138" s="207">
        <f>SUMIFS('апрель 2023'!$G$4:$G$692,'апрель 2023'!$D$4:$D$692,$B138,'апрель 2023'!$J$4:$J$692,T$1)</f>
        <v>0</v>
      </c>
      <c r="U138" s="207">
        <f>SUMIFS('апрель 2023'!$G$4:$G$692,'апрель 2023'!$D$4:$D$692,$B138,'апрель 2023'!$J$4:$J$692,U$1)</f>
        <v>0</v>
      </c>
      <c r="V138" s="207">
        <f>SUMIFS('апрель 2023'!$G$4:$G$692,'апрель 2023'!$D$4:$D$692,$B138,'апрель 2023'!$J$4:$J$692,V$1)</f>
        <v>0</v>
      </c>
      <c r="W138" s="207">
        <f>SUMIFS('апрель 2023'!$G$4:$G$692,'апрель 2023'!$D$4:$D$692,$B138,'апрель 2023'!$J$4:$J$692,W$1)</f>
        <v>0</v>
      </c>
      <c r="X138" s="207">
        <f>SUMIFS('апрель 2023'!$G$4:$G$692,'апрель 2023'!$D$4:$D$692,$B138,'апрель 2023'!$J$4:$J$692,X$1)</f>
        <v>0</v>
      </c>
      <c r="Y138" s="207">
        <f>SUMIFS('апрель 2023'!$G$4:$G$692,'апрель 2023'!$D$4:$D$692,$B138,'апрель 2023'!$J$4:$J$692,Y$1)</f>
        <v>0</v>
      </c>
      <c r="Z138" s="207">
        <f>SUMIFS('апрель 2023'!$G$4:$G$692,'апрель 2023'!$D$4:$D$692,$B138,'апрель 2023'!$J$4:$J$692,Z$1)</f>
        <v>0</v>
      </c>
      <c r="AA138" s="207">
        <f>SUMIFS('апрель 2023'!$G$4:$G$692,'апрель 2023'!$D$4:$D$692,$B138,'апрель 2023'!$J$4:$J$692,AA$1)</f>
        <v>0</v>
      </c>
      <c r="AB138" s="207">
        <f>SUMIFS('апрель 2023'!$G$4:$G$692,'апрель 2023'!$D$4:$D$692,$B138,'апрель 2023'!$J$4:$J$692,AB$1)</f>
        <v>0</v>
      </c>
      <c r="AC138" s="207">
        <f>SUMIFS('апрель 2023'!$G$4:$G$692,'апрель 2023'!$D$4:$D$692,$B138,'апрель 2023'!$J$4:$J$692,AC$1)</f>
        <v>0</v>
      </c>
      <c r="AD138" s="207">
        <f>SUMIFS('апрель 2023'!$G$4:$G$692,'апрель 2023'!$D$4:$D$692,$B138,'апрель 2023'!$J$4:$J$692,AD$1)</f>
        <v>0</v>
      </c>
      <c r="AE138" s="207">
        <f>SUMIFS('апрель 2023'!$G$4:$G$692,'апрель 2023'!$D$4:$D$692,$B138,'апрель 2023'!$J$4:$J$692,AE$1)</f>
        <v>0</v>
      </c>
      <c r="AF138" s="207">
        <f>SUMIFS('апрель 2023'!$G$4:$G$692,'апрель 2023'!$D$4:$D$692,$B138,'апрель 2023'!$J$4:$J$692,AF$1)</f>
        <v>0</v>
      </c>
      <c r="AG138" s="207">
        <f>SUMIFS('апрель 2023'!$G$4:$G$692,'апрель 2023'!$D$4:$D$692,$B138,'апрель 2023'!$J$4:$J$692,AG$1)</f>
        <v>0</v>
      </c>
      <c r="AH138" s="207">
        <f>SUMIFS('апрель 2023'!$G$4:$G$692,'апрель 2023'!$D$4:$D$692,$B138,'апрель 2023'!$J$4:$J$692,AH$1)</f>
        <v>0</v>
      </c>
      <c r="AI138" s="220">
        <f t="shared" si="5"/>
        <v>0</v>
      </c>
    </row>
    <row r="139" spans="2:35" ht="15" hidden="1" customHeight="1" x14ac:dyDescent="0.25">
      <c r="B139" s="212"/>
      <c r="C139" s="213"/>
      <c r="D139" s="207">
        <f>SUMIFS('апрель 2023'!$G$4:$G$692,'апрель 2023'!$D$4:$D$692,$B139,'апрель 2023'!$J$4:$J$692,D$1)</f>
        <v>0</v>
      </c>
      <c r="E139" s="207">
        <f>SUMIFS('апрель 2023'!$G$4:$G$692,'апрель 2023'!$D$4:$D$692,$B139,'апрель 2023'!$J$4:$J$692,E$1)</f>
        <v>0</v>
      </c>
      <c r="F139" s="207">
        <f>SUMIFS('апрель 2023'!$G$4:$G$692,'апрель 2023'!$D$4:$D$692,$B139,'апрель 2023'!$J$4:$J$692,F$1)</f>
        <v>0</v>
      </c>
      <c r="G139" s="207">
        <f>SUMIFS('апрель 2023'!$G$4:$G$692,'апрель 2023'!$D$4:$D$692,$B139,'апрель 2023'!$J$4:$J$692,G$1)</f>
        <v>0</v>
      </c>
      <c r="H139" s="207">
        <f>SUMIFS('апрель 2023'!$G$4:$G$692,'апрель 2023'!$D$4:$D$692,$B139,'апрель 2023'!$J$4:$J$692,H$1)</f>
        <v>0</v>
      </c>
      <c r="I139" s="207">
        <f>SUMIFS('апрель 2023'!$G$4:$G$692,'апрель 2023'!$D$4:$D$692,$B139,'апрель 2023'!$J$4:$J$692,I$1)</f>
        <v>0</v>
      </c>
      <c r="J139" s="207">
        <f>SUMIFS('апрель 2023'!$G$4:$G$692,'апрель 2023'!$D$4:$D$692,$B139,'апрель 2023'!$J$4:$J$692,J$1)</f>
        <v>0</v>
      </c>
      <c r="K139" s="207">
        <f>SUMIFS('апрель 2023'!$G$4:$G$692,'апрель 2023'!$D$4:$D$692,$B139,'апрель 2023'!$J$4:$J$692,K$1)</f>
        <v>0</v>
      </c>
      <c r="L139" s="207">
        <f>SUMIFS('апрель 2023'!$G$4:$G$692,'апрель 2023'!$D$4:$D$692,$B139,'апрель 2023'!$J$4:$J$692,L$1)</f>
        <v>0</v>
      </c>
      <c r="M139" s="207">
        <f>SUMIFS('апрель 2023'!$G$4:$G$692,'апрель 2023'!$D$4:$D$692,$B139,'апрель 2023'!$J$4:$J$692,M$1)</f>
        <v>0</v>
      </c>
      <c r="N139" s="207">
        <f>SUMIFS('апрель 2023'!$G$4:$G$692,'апрель 2023'!$D$4:$D$692,$B139,'апрель 2023'!$J$4:$J$692,N$1)</f>
        <v>0</v>
      </c>
      <c r="O139" s="207">
        <f>SUMIFS('апрель 2023'!$G$4:$G$692,'апрель 2023'!$D$4:$D$692,$B139,'апрель 2023'!$J$4:$J$692,O$1)</f>
        <v>0</v>
      </c>
      <c r="P139" s="207">
        <f>SUMIFS('апрель 2023'!$G$4:$G$692,'апрель 2023'!$D$4:$D$692,$B139,'апрель 2023'!$J$4:$J$692,P$1)</f>
        <v>0</v>
      </c>
      <c r="Q139" s="207">
        <f>SUMIFS('апрель 2023'!$G$4:$G$692,'апрель 2023'!$D$4:$D$692,$B139,'апрель 2023'!$J$4:$J$692,Q$1)</f>
        <v>0</v>
      </c>
      <c r="R139" s="207">
        <f>SUMIFS('апрель 2023'!$G$4:$G$692,'апрель 2023'!$D$4:$D$692,$B139,'апрель 2023'!$J$4:$J$692,R$1)</f>
        <v>0</v>
      </c>
      <c r="S139" s="207">
        <f>SUMIFS('апрель 2023'!$G$4:$G$692,'апрель 2023'!$D$4:$D$692,$B139,'апрель 2023'!$J$4:$J$692,S$1)</f>
        <v>0</v>
      </c>
      <c r="T139" s="207">
        <f>SUMIFS('апрель 2023'!$G$4:$G$692,'апрель 2023'!$D$4:$D$692,$B139,'апрель 2023'!$J$4:$J$692,T$1)</f>
        <v>0</v>
      </c>
      <c r="U139" s="207">
        <f>SUMIFS('апрель 2023'!$G$4:$G$692,'апрель 2023'!$D$4:$D$692,$B139,'апрель 2023'!$J$4:$J$692,U$1)</f>
        <v>0</v>
      </c>
      <c r="V139" s="207">
        <f>SUMIFS('апрель 2023'!$G$4:$G$692,'апрель 2023'!$D$4:$D$692,$B139,'апрель 2023'!$J$4:$J$692,V$1)</f>
        <v>0</v>
      </c>
      <c r="W139" s="207">
        <f>SUMIFS('апрель 2023'!$G$4:$G$692,'апрель 2023'!$D$4:$D$692,$B139,'апрель 2023'!$J$4:$J$692,W$1)</f>
        <v>0</v>
      </c>
      <c r="X139" s="207">
        <f>SUMIFS('апрель 2023'!$G$4:$G$692,'апрель 2023'!$D$4:$D$692,$B139,'апрель 2023'!$J$4:$J$692,X$1)</f>
        <v>0</v>
      </c>
      <c r="Y139" s="207">
        <f>SUMIFS('апрель 2023'!$G$4:$G$692,'апрель 2023'!$D$4:$D$692,$B139,'апрель 2023'!$J$4:$J$692,Y$1)</f>
        <v>0</v>
      </c>
      <c r="Z139" s="207">
        <f>SUMIFS('апрель 2023'!$G$4:$G$692,'апрель 2023'!$D$4:$D$692,$B139,'апрель 2023'!$J$4:$J$692,Z$1)</f>
        <v>0</v>
      </c>
      <c r="AA139" s="207">
        <f>SUMIFS('апрель 2023'!$G$4:$G$692,'апрель 2023'!$D$4:$D$692,$B139,'апрель 2023'!$J$4:$J$692,AA$1)</f>
        <v>0</v>
      </c>
      <c r="AB139" s="207">
        <f>SUMIFS('апрель 2023'!$G$4:$G$692,'апрель 2023'!$D$4:$D$692,$B139,'апрель 2023'!$J$4:$J$692,AB$1)</f>
        <v>0</v>
      </c>
      <c r="AC139" s="207">
        <f>SUMIFS('апрель 2023'!$G$4:$G$692,'апрель 2023'!$D$4:$D$692,$B139,'апрель 2023'!$J$4:$J$692,AC$1)</f>
        <v>0</v>
      </c>
      <c r="AD139" s="207">
        <f>SUMIFS('апрель 2023'!$G$4:$G$692,'апрель 2023'!$D$4:$D$692,$B139,'апрель 2023'!$J$4:$J$692,AD$1)</f>
        <v>0</v>
      </c>
      <c r="AE139" s="207">
        <f>SUMIFS('апрель 2023'!$G$4:$G$692,'апрель 2023'!$D$4:$D$692,$B139,'апрель 2023'!$J$4:$J$692,AE$1)</f>
        <v>0</v>
      </c>
      <c r="AF139" s="207">
        <f>SUMIFS('апрель 2023'!$G$4:$G$692,'апрель 2023'!$D$4:$D$692,$B139,'апрель 2023'!$J$4:$J$692,AF$1)</f>
        <v>0</v>
      </c>
      <c r="AG139" s="207">
        <f>SUMIFS('апрель 2023'!$G$4:$G$692,'апрель 2023'!$D$4:$D$692,$B139,'апрель 2023'!$J$4:$J$692,AG$1)</f>
        <v>0</v>
      </c>
      <c r="AH139" s="207">
        <f>SUMIFS('апрель 2023'!$G$4:$G$692,'апрель 2023'!$D$4:$D$692,$B139,'апрель 2023'!$J$4:$J$692,AH$1)</f>
        <v>0</v>
      </c>
      <c r="AI139" s="220">
        <f t="shared" si="5"/>
        <v>0</v>
      </c>
    </row>
    <row r="140" spans="2:35" ht="15" hidden="1" customHeight="1" x14ac:dyDescent="0.25">
      <c r="B140" s="212"/>
      <c r="C140" s="211"/>
      <c r="D140" s="207">
        <f>SUMIFS('апрель 2023'!$G$4:$G$692,'апрель 2023'!$D$4:$D$692,$B140,'апрель 2023'!$J$4:$J$692,D$1)</f>
        <v>0</v>
      </c>
      <c r="E140" s="207">
        <f>SUMIFS('апрель 2023'!$G$4:$G$692,'апрель 2023'!$D$4:$D$692,$B140,'апрель 2023'!$J$4:$J$692,E$1)</f>
        <v>0</v>
      </c>
      <c r="F140" s="207">
        <f>SUMIFS('апрель 2023'!$G$4:$G$692,'апрель 2023'!$D$4:$D$692,$B140,'апрель 2023'!$J$4:$J$692,F$1)</f>
        <v>0</v>
      </c>
      <c r="G140" s="207">
        <f>SUMIFS('апрель 2023'!$G$4:$G$692,'апрель 2023'!$D$4:$D$692,$B140,'апрель 2023'!$J$4:$J$692,G$1)</f>
        <v>0</v>
      </c>
      <c r="H140" s="207">
        <f>SUMIFS('апрель 2023'!$G$4:$G$692,'апрель 2023'!$D$4:$D$692,$B140,'апрель 2023'!$J$4:$J$692,H$1)</f>
        <v>0</v>
      </c>
      <c r="I140" s="207">
        <f>SUMIFS('апрель 2023'!$G$4:$G$692,'апрель 2023'!$D$4:$D$692,$B140,'апрель 2023'!$J$4:$J$692,I$1)</f>
        <v>0</v>
      </c>
      <c r="J140" s="207">
        <f>SUMIFS('апрель 2023'!$G$4:$G$692,'апрель 2023'!$D$4:$D$692,$B140,'апрель 2023'!$J$4:$J$692,J$1)</f>
        <v>0</v>
      </c>
      <c r="K140" s="207">
        <f>SUMIFS('апрель 2023'!$G$4:$G$692,'апрель 2023'!$D$4:$D$692,$B140,'апрель 2023'!$J$4:$J$692,K$1)</f>
        <v>0</v>
      </c>
      <c r="L140" s="207">
        <f>SUMIFS('апрель 2023'!$G$4:$G$692,'апрель 2023'!$D$4:$D$692,$B140,'апрель 2023'!$J$4:$J$692,L$1)</f>
        <v>0</v>
      </c>
      <c r="M140" s="207">
        <f>SUMIFS('апрель 2023'!$G$4:$G$692,'апрель 2023'!$D$4:$D$692,$B140,'апрель 2023'!$J$4:$J$692,M$1)</f>
        <v>0</v>
      </c>
      <c r="N140" s="207">
        <f>SUMIFS('апрель 2023'!$G$4:$G$692,'апрель 2023'!$D$4:$D$692,$B140,'апрель 2023'!$J$4:$J$692,N$1)</f>
        <v>0</v>
      </c>
      <c r="O140" s="207">
        <f>SUMIFS('апрель 2023'!$G$4:$G$692,'апрель 2023'!$D$4:$D$692,$B140,'апрель 2023'!$J$4:$J$692,O$1)</f>
        <v>0</v>
      </c>
      <c r="P140" s="207">
        <f>SUMIFS('апрель 2023'!$G$4:$G$692,'апрель 2023'!$D$4:$D$692,$B140,'апрель 2023'!$J$4:$J$692,P$1)</f>
        <v>0</v>
      </c>
      <c r="Q140" s="207">
        <f>SUMIFS('апрель 2023'!$G$4:$G$692,'апрель 2023'!$D$4:$D$692,$B140,'апрель 2023'!$J$4:$J$692,Q$1)</f>
        <v>0</v>
      </c>
      <c r="R140" s="207">
        <f>SUMIFS('апрель 2023'!$G$4:$G$692,'апрель 2023'!$D$4:$D$692,$B140,'апрель 2023'!$J$4:$J$692,R$1)</f>
        <v>0</v>
      </c>
      <c r="S140" s="207">
        <f>SUMIFS('апрель 2023'!$G$4:$G$692,'апрель 2023'!$D$4:$D$692,$B140,'апрель 2023'!$J$4:$J$692,S$1)</f>
        <v>0</v>
      </c>
      <c r="T140" s="207">
        <f>SUMIFS('апрель 2023'!$G$4:$G$692,'апрель 2023'!$D$4:$D$692,$B140,'апрель 2023'!$J$4:$J$692,T$1)</f>
        <v>0</v>
      </c>
      <c r="U140" s="207">
        <f>SUMIFS('апрель 2023'!$G$4:$G$692,'апрель 2023'!$D$4:$D$692,$B140,'апрель 2023'!$J$4:$J$692,U$1)</f>
        <v>0</v>
      </c>
      <c r="V140" s="207">
        <f>SUMIFS('апрель 2023'!$G$4:$G$692,'апрель 2023'!$D$4:$D$692,$B140,'апрель 2023'!$J$4:$J$692,V$1)</f>
        <v>0</v>
      </c>
      <c r="W140" s="207">
        <f>SUMIFS('апрель 2023'!$G$4:$G$692,'апрель 2023'!$D$4:$D$692,$B140,'апрель 2023'!$J$4:$J$692,W$1)</f>
        <v>0</v>
      </c>
      <c r="X140" s="207">
        <f>SUMIFS('апрель 2023'!$G$4:$G$692,'апрель 2023'!$D$4:$D$692,$B140,'апрель 2023'!$J$4:$J$692,X$1)</f>
        <v>0</v>
      </c>
      <c r="Y140" s="207">
        <f>SUMIFS('апрель 2023'!$G$4:$G$692,'апрель 2023'!$D$4:$D$692,$B140,'апрель 2023'!$J$4:$J$692,Y$1)</f>
        <v>0</v>
      </c>
      <c r="Z140" s="207">
        <f>SUMIFS('апрель 2023'!$G$4:$G$692,'апрель 2023'!$D$4:$D$692,$B140,'апрель 2023'!$J$4:$J$692,Z$1)</f>
        <v>0</v>
      </c>
      <c r="AA140" s="207">
        <f>SUMIFS('апрель 2023'!$G$4:$G$692,'апрель 2023'!$D$4:$D$692,$B140,'апрель 2023'!$J$4:$J$692,AA$1)</f>
        <v>0</v>
      </c>
      <c r="AB140" s="207">
        <f>SUMIFS('апрель 2023'!$G$4:$G$692,'апрель 2023'!$D$4:$D$692,$B140,'апрель 2023'!$J$4:$J$692,AB$1)</f>
        <v>0</v>
      </c>
      <c r="AC140" s="207">
        <f>SUMIFS('апрель 2023'!$G$4:$G$692,'апрель 2023'!$D$4:$D$692,$B140,'апрель 2023'!$J$4:$J$692,AC$1)</f>
        <v>0</v>
      </c>
      <c r="AD140" s="207">
        <f>SUMIFS('апрель 2023'!$G$4:$G$692,'апрель 2023'!$D$4:$D$692,$B140,'апрель 2023'!$J$4:$J$692,AD$1)</f>
        <v>0</v>
      </c>
      <c r="AE140" s="207">
        <f>SUMIFS('апрель 2023'!$G$4:$G$692,'апрель 2023'!$D$4:$D$692,$B140,'апрель 2023'!$J$4:$J$692,AE$1)</f>
        <v>0</v>
      </c>
      <c r="AF140" s="207">
        <f>SUMIFS('апрель 2023'!$G$4:$G$692,'апрель 2023'!$D$4:$D$692,$B140,'апрель 2023'!$J$4:$J$692,AF$1)</f>
        <v>0</v>
      </c>
      <c r="AG140" s="207">
        <f>SUMIFS('апрель 2023'!$G$4:$G$692,'апрель 2023'!$D$4:$D$692,$B140,'апрель 2023'!$J$4:$J$692,AG$1)</f>
        <v>0</v>
      </c>
      <c r="AH140" s="207">
        <f>SUMIFS('апрель 2023'!$G$4:$G$692,'апрель 2023'!$D$4:$D$692,$B140,'апрель 2023'!$J$4:$J$692,AH$1)</f>
        <v>0</v>
      </c>
      <c r="AI140" s="220">
        <f t="shared" si="5"/>
        <v>0</v>
      </c>
    </row>
    <row r="141" spans="2:35" ht="15" hidden="1" customHeight="1" x14ac:dyDescent="0.25">
      <c r="B141" s="212"/>
      <c r="C141" s="211"/>
      <c r="D141" s="207">
        <f>SUMIFS('апрель 2023'!$G$4:$G$692,'апрель 2023'!$D$4:$D$692,$B141,'апрель 2023'!$J$4:$J$692,D$1)</f>
        <v>0</v>
      </c>
      <c r="E141" s="207">
        <f>SUMIFS('апрель 2023'!$G$4:$G$692,'апрель 2023'!$D$4:$D$692,$B141,'апрель 2023'!$J$4:$J$692,E$1)</f>
        <v>0</v>
      </c>
      <c r="F141" s="207">
        <f>SUMIFS('апрель 2023'!$G$4:$G$692,'апрель 2023'!$D$4:$D$692,$B141,'апрель 2023'!$J$4:$J$692,F$1)</f>
        <v>0</v>
      </c>
      <c r="G141" s="207">
        <f>SUMIFS('апрель 2023'!$G$4:$G$692,'апрель 2023'!$D$4:$D$692,$B141,'апрель 2023'!$J$4:$J$692,G$1)</f>
        <v>0</v>
      </c>
      <c r="H141" s="207">
        <f>SUMIFS('апрель 2023'!$G$4:$G$692,'апрель 2023'!$D$4:$D$692,$B141,'апрель 2023'!$J$4:$J$692,H$1)</f>
        <v>0</v>
      </c>
      <c r="I141" s="207">
        <f>SUMIFS('апрель 2023'!$G$4:$G$692,'апрель 2023'!$D$4:$D$692,$B141,'апрель 2023'!$J$4:$J$692,I$1)</f>
        <v>0</v>
      </c>
      <c r="J141" s="207">
        <f>SUMIFS('апрель 2023'!$G$4:$G$692,'апрель 2023'!$D$4:$D$692,$B141,'апрель 2023'!$J$4:$J$692,J$1)</f>
        <v>0</v>
      </c>
      <c r="K141" s="207">
        <f>SUMIFS('апрель 2023'!$G$4:$G$692,'апрель 2023'!$D$4:$D$692,$B141,'апрель 2023'!$J$4:$J$692,K$1)</f>
        <v>0</v>
      </c>
      <c r="L141" s="207">
        <f>SUMIFS('апрель 2023'!$G$4:$G$692,'апрель 2023'!$D$4:$D$692,$B141,'апрель 2023'!$J$4:$J$692,L$1)</f>
        <v>0</v>
      </c>
      <c r="M141" s="207">
        <f>SUMIFS('апрель 2023'!$G$4:$G$692,'апрель 2023'!$D$4:$D$692,$B141,'апрель 2023'!$J$4:$J$692,M$1)</f>
        <v>0</v>
      </c>
      <c r="N141" s="207">
        <f>SUMIFS('апрель 2023'!$G$4:$G$692,'апрель 2023'!$D$4:$D$692,$B141,'апрель 2023'!$J$4:$J$692,N$1)</f>
        <v>0</v>
      </c>
      <c r="O141" s="207">
        <f>SUMIFS('апрель 2023'!$G$4:$G$692,'апрель 2023'!$D$4:$D$692,$B141,'апрель 2023'!$J$4:$J$692,O$1)</f>
        <v>0</v>
      </c>
      <c r="P141" s="207">
        <f>SUMIFS('апрель 2023'!$G$4:$G$692,'апрель 2023'!$D$4:$D$692,$B141,'апрель 2023'!$J$4:$J$692,P$1)</f>
        <v>0</v>
      </c>
      <c r="Q141" s="207">
        <f>SUMIFS('апрель 2023'!$G$4:$G$692,'апрель 2023'!$D$4:$D$692,$B141,'апрель 2023'!$J$4:$J$692,Q$1)</f>
        <v>0</v>
      </c>
      <c r="R141" s="207">
        <f>SUMIFS('апрель 2023'!$G$4:$G$692,'апрель 2023'!$D$4:$D$692,$B141,'апрель 2023'!$J$4:$J$692,R$1)</f>
        <v>0</v>
      </c>
      <c r="S141" s="207">
        <f>SUMIFS('апрель 2023'!$G$4:$G$692,'апрель 2023'!$D$4:$D$692,$B141,'апрель 2023'!$J$4:$J$692,S$1)</f>
        <v>0</v>
      </c>
      <c r="T141" s="207">
        <f>SUMIFS('апрель 2023'!$G$4:$G$692,'апрель 2023'!$D$4:$D$692,$B141,'апрель 2023'!$J$4:$J$692,T$1)</f>
        <v>0</v>
      </c>
      <c r="U141" s="207">
        <f>SUMIFS('апрель 2023'!$G$4:$G$692,'апрель 2023'!$D$4:$D$692,$B141,'апрель 2023'!$J$4:$J$692,U$1)</f>
        <v>0</v>
      </c>
      <c r="V141" s="207">
        <f>SUMIFS('апрель 2023'!$G$4:$G$692,'апрель 2023'!$D$4:$D$692,$B141,'апрель 2023'!$J$4:$J$692,V$1)</f>
        <v>0</v>
      </c>
      <c r="W141" s="207">
        <f>SUMIFS('апрель 2023'!$G$4:$G$692,'апрель 2023'!$D$4:$D$692,$B141,'апрель 2023'!$J$4:$J$692,W$1)</f>
        <v>0</v>
      </c>
      <c r="X141" s="207">
        <f>SUMIFS('апрель 2023'!$G$4:$G$692,'апрель 2023'!$D$4:$D$692,$B141,'апрель 2023'!$J$4:$J$692,X$1)</f>
        <v>0</v>
      </c>
      <c r="Y141" s="207">
        <f>SUMIFS('апрель 2023'!$G$4:$G$692,'апрель 2023'!$D$4:$D$692,$B141,'апрель 2023'!$J$4:$J$692,Y$1)</f>
        <v>0</v>
      </c>
      <c r="Z141" s="207">
        <f>SUMIFS('апрель 2023'!$G$4:$G$692,'апрель 2023'!$D$4:$D$692,$B141,'апрель 2023'!$J$4:$J$692,Z$1)</f>
        <v>0</v>
      </c>
      <c r="AA141" s="207">
        <f>SUMIFS('апрель 2023'!$G$4:$G$692,'апрель 2023'!$D$4:$D$692,$B141,'апрель 2023'!$J$4:$J$692,AA$1)</f>
        <v>0</v>
      </c>
      <c r="AB141" s="207">
        <f>SUMIFS('апрель 2023'!$G$4:$G$692,'апрель 2023'!$D$4:$D$692,$B141,'апрель 2023'!$J$4:$J$692,AB$1)</f>
        <v>0</v>
      </c>
      <c r="AC141" s="207">
        <f>SUMIFS('апрель 2023'!$G$4:$G$692,'апрель 2023'!$D$4:$D$692,$B141,'апрель 2023'!$J$4:$J$692,AC$1)</f>
        <v>0</v>
      </c>
      <c r="AD141" s="207">
        <f>SUMIFS('апрель 2023'!$G$4:$G$692,'апрель 2023'!$D$4:$D$692,$B141,'апрель 2023'!$J$4:$J$692,AD$1)</f>
        <v>0</v>
      </c>
      <c r="AE141" s="207">
        <f>SUMIFS('апрель 2023'!$G$4:$G$692,'апрель 2023'!$D$4:$D$692,$B141,'апрель 2023'!$J$4:$J$692,AE$1)</f>
        <v>0</v>
      </c>
      <c r="AF141" s="207">
        <f>SUMIFS('апрель 2023'!$G$4:$G$692,'апрель 2023'!$D$4:$D$692,$B141,'апрель 2023'!$J$4:$J$692,AF$1)</f>
        <v>0</v>
      </c>
      <c r="AG141" s="207">
        <f>SUMIFS('апрель 2023'!$G$4:$G$692,'апрель 2023'!$D$4:$D$692,$B141,'апрель 2023'!$J$4:$J$692,AG$1)</f>
        <v>0</v>
      </c>
      <c r="AH141" s="207">
        <f>SUMIFS('апрель 2023'!$G$4:$G$692,'апрель 2023'!$D$4:$D$692,$B141,'апрель 2023'!$J$4:$J$692,AH$1)</f>
        <v>0</v>
      </c>
      <c r="AI141" s="220">
        <f t="shared" si="5"/>
        <v>0</v>
      </c>
    </row>
    <row r="142" spans="2:35" ht="15" hidden="1" customHeight="1" x14ac:dyDescent="0.25">
      <c r="B142" s="212"/>
      <c r="C142" s="215"/>
      <c r="D142" s="207">
        <f>SUMIFS('апрель 2023'!$G$4:$G$692,'апрель 2023'!$D$4:$D$692,$B142,'апрель 2023'!$J$4:$J$692,D$1)</f>
        <v>0</v>
      </c>
      <c r="E142" s="207">
        <f>SUMIFS('апрель 2023'!$G$4:$G$692,'апрель 2023'!$D$4:$D$692,$B142,'апрель 2023'!$J$4:$J$692,E$1)</f>
        <v>0</v>
      </c>
      <c r="F142" s="207">
        <f>SUMIFS('апрель 2023'!$G$4:$G$692,'апрель 2023'!$D$4:$D$692,$B142,'апрель 2023'!$J$4:$J$692,F$1)</f>
        <v>0</v>
      </c>
      <c r="G142" s="207">
        <f>SUMIFS('апрель 2023'!$G$4:$G$692,'апрель 2023'!$D$4:$D$692,$B142,'апрель 2023'!$J$4:$J$692,G$1)</f>
        <v>0</v>
      </c>
      <c r="H142" s="207">
        <f>SUMIFS('апрель 2023'!$G$4:$G$692,'апрель 2023'!$D$4:$D$692,$B142,'апрель 2023'!$J$4:$J$692,H$1)</f>
        <v>0</v>
      </c>
      <c r="I142" s="207">
        <f>SUMIFS('апрель 2023'!$G$4:$G$692,'апрель 2023'!$D$4:$D$692,$B142,'апрель 2023'!$J$4:$J$692,I$1)</f>
        <v>0</v>
      </c>
      <c r="J142" s="207">
        <f>SUMIFS('апрель 2023'!$G$4:$G$692,'апрель 2023'!$D$4:$D$692,$B142,'апрель 2023'!$J$4:$J$692,J$1)</f>
        <v>0</v>
      </c>
      <c r="K142" s="207">
        <f>SUMIFS('апрель 2023'!$G$4:$G$692,'апрель 2023'!$D$4:$D$692,$B142,'апрель 2023'!$J$4:$J$692,K$1)</f>
        <v>0</v>
      </c>
      <c r="L142" s="207">
        <f>SUMIFS('апрель 2023'!$G$4:$G$692,'апрель 2023'!$D$4:$D$692,$B142,'апрель 2023'!$J$4:$J$692,L$1)</f>
        <v>0</v>
      </c>
      <c r="M142" s="207">
        <f>SUMIFS('апрель 2023'!$G$4:$G$692,'апрель 2023'!$D$4:$D$692,$B142,'апрель 2023'!$J$4:$J$692,M$1)</f>
        <v>0</v>
      </c>
      <c r="N142" s="207">
        <f>SUMIFS('апрель 2023'!$G$4:$G$692,'апрель 2023'!$D$4:$D$692,$B142,'апрель 2023'!$J$4:$J$692,N$1)</f>
        <v>0</v>
      </c>
      <c r="O142" s="207">
        <f>SUMIFS('апрель 2023'!$G$4:$G$692,'апрель 2023'!$D$4:$D$692,$B142,'апрель 2023'!$J$4:$J$692,O$1)</f>
        <v>0</v>
      </c>
      <c r="P142" s="207">
        <f>SUMIFS('апрель 2023'!$G$4:$G$692,'апрель 2023'!$D$4:$D$692,$B142,'апрель 2023'!$J$4:$J$692,P$1)</f>
        <v>0</v>
      </c>
      <c r="Q142" s="207">
        <f>SUMIFS('апрель 2023'!$G$4:$G$692,'апрель 2023'!$D$4:$D$692,$B142,'апрель 2023'!$J$4:$J$692,Q$1)</f>
        <v>0</v>
      </c>
      <c r="R142" s="207">
        <f>SUMIFS('апрель 2023'!$G$4:$G$692,'апрель 2023'!$D$4:$D$692,$B142,'апрель 2023'!$J$4:$J$692,R$1)</f>
        <v>0</v>
      </c>
      <c r="S142" s="207">
        <f>SUMIFS('апрель 2023'!$G$4:$G$692,'апрель 2023'!$D$4:$D$692,$B142,'апрель 2023'!$J$4:$J$692,S$1)</f>
        <v>0</v>
      </c>
      <c r="T142" s="207">
        <f>SUMIFS('апрель 2023'!$G$4:$G$692,'апрель 2023'!$D$4:$D$692,$B142,'апрель 2023'!$J$4:$J$692,T$1)</f>
        <v>0</v>
      </c>
      <c r="U142" s="207">
        <f>SUMIFS('апрель 2023'!$G$4:$G$692,'апрель 2023'!$D$4:$D$692,$B142,'апрель 2023'!$J$4:$J$692,U$1)</f>
        <v>0</v>
      </c>
      <c r="V142" s="207">
        <f>SUMIFS('апрель 2023'!$G$4:$G$692,'апрель 2023'!$D$4:$D$692,$B142,'апрель 2023'!$J$4:$J$692,V$1)</f>
        <v>0</v>
      </c>
      <c r="W142" s="207">
        <f>SUMIFS('апрель 2023'!$G$4:$G$692,'апрель 2023'!$D$4:$D$692,$B142,'апрель 2023'!$J$4:$J$692,W$1)</f>
        <v>0</v>
      </c>
      <c r="X142" s="207">
        <f>SUMIFS('апрель 2023'!$G$4:$G$692,'апрель 2023'!$D$4:$D$692,$B142,'апрель 2023'!$J$4:$J$692,X$1)</f>
        <v>0</v>
      </c>
      <c r="Y142" s="207">
        <f>SUMIFS('апрель 2023'!$G$4:$G$692,'апрель 2023'!$D$4:$D$692,$B142,'апрель 2023'!$J$4:$J$692,Y$1)</f>
        <v>0</v>
      </c>
      <c r="Z142" s="207">
        <f>SUMIFS('апрель 2023'!$G$4:$G$692,'апрель 2023'!$D$4:$D$692,$B142,'апрель 2023'!$J$4:$J$692,Z$1)</f>
        <v>0</v>
      </c>
      <c r="AA142" s="207">
        <f>SUMIFS('апрель 2023'!$G$4:$G$692,'апрель 2023'!$D$4:$D$692,$B142,'апрель 2023'!$J$4:$J$692,AA$1)</f>
        <v>0</v>
      </c>
      <c r="AB142" s="207">
        <f>SUMIFS('апрель 2023'!$G$4:$G$692,'апрель 2023'!$D$4:$D$692,$B142,'апрель 2023'!$J$4:$J$692,AB$1)</f>
        <v>0</v>
      </c>
      <c r="AC142" s="207">
        <f>SUMIFS('апрель 2023'!$G$4:$G$692,'апрель 2023'!$D$4:$D$692,$B142,'апрель 2023'!$J$4:$J$692,AC$1)</f>
        <v>0</v>
      </c>
      <c r="AD142" s="207">
        <f>SUMIFS('апрель 2023'!$G$4:$G$692,'апрель 2023'!$D$4:$D$692,$B142,'апрель 2023'!$J$4:$J$692,AD$1)</f>
        <v>0</v>
      </c>
      <c r="AE142" s="207">
        <f>SUMIFS('апрель 2023'!$G$4:$G$692,'апрель 2023'!$D$4:$D$692,$B142,'апрель 2023'!$J$4:$J$692,AE$1)</f>
        <v>0</v>
      </c>
      <c r="AF142" s="207">
        <f>SUMIFS('апрель 2023'!$G$4:$G$692,'апрель 2023'!$D$4:$D$692,$B142,'апрель 2023'!$J$4:$J$692,AF$1)</f>
        <v>0</v>
      </c>
      <c r="AG142" s="207">
        <f>SUMIFS('апрель 2023'!$G$4:$G$692,'апрель 2023'!$D$4:$D$692,$B142,'апрель 2023'!$J$4:$J$692,AG$1)</f>
        <v>0</v>
      </c>
      <c r="AH142" s="207">
        <f>SUMIFS('апрель 2023'!$G$4:$G$692,'апрель 2023'!$D$4:$D$692,$B142,'апрель 2023'!$J$4:$J$692,AH$1)</f>
        <v>0</v>
      </c>
      <c r="AI142" s="220">
        <f t="shared" si="5"/>
        <v>0</v>
      </c>
    </row>
    <row r="143" spans="2:35" ht="15" hidden="1" customHeight="1" x14ac:dyDescent="0.25">
      <c r="B143" s="212"/>
      <c r="C143" s="213"/>
      <c r="D143" s="207">
        <f>SUMIFS('апрель 2023'!$G$4:$G$692,'апрель 2023'!$D$4:$D$692,$B143,'апрель 2023'!$J$4:$J$692,D$1)</f>
        <v>0</v>
      </c>
      <c r="E143" s="207">
        <f>SUMIFS('апрель 2023'!$G$4:$G$692,'апрель 2023'!$D$4:$D$692,$B143,'апрель 2023'!$J$4:$J$692,E$1)</f>
        <v>0</v>
      </c>
      <c r="F143" s="207">
        <f>SUMIFS('апрель 2023'!$G$4:$G$692,'апрель 2023'!$D$4:$D$692,$B143,'апрель 2023'!$J$4:$J$692,F$1)</f>
        <v>0</v>
      </c>
      <c r="G143" s="207">
        <f>SUMIFS('апрель 2023'!$G$4:$G$692,'апрель 2023'!$D$4:$D$692,$B143,'апрель 2023'!$J$4:$J$692,G$1)</f>
        <v>0</v>
      </c>
      <c r="H143" s="207">
        <f>SUMIFS('апрель 2023'!$G$4:$G$692,'апрель 2023'!$D$4:$D$692,$B143,'апрель 2023'!$J$4:$J$692,H$1)</f>
        <v>0</v>
      </c>
      <c r="I143" s="207">
        <f>SUMIFS('апрель 2023'!$G$4:$G$692,'апрель 2023'!$D$4:$D$692,$B143,'апрель 2023'!$J$4:$J$692,I$1)</f>
        <v>0</v>
      </c>
      <c r="J143" s="207">
        <f>SUMIFS('апрель 2023'!$G$4:$G$692,'апрель 2023'!$D$4:$D$692,$B143,'апрель 2023'!$J$4:$J$692,J$1)</f>
        <v>0</v>
      </c>
      <c r="K143" s="207">
        <f>SUMIFS('апрель 2023'!$G$4:$G$692,'апрель 2023'!$D$4:$D$692,$B143,'апрель 2023'!$J$4:$J$692,K$1)</f>
        <v>0</v>
      </c>
      <c r="L143" s="207">
        <f>SUMIFS('апрель 2023'!$G$4:$G$692,'апрель 2023'!$D$4:$D$692,$B143,'апрель 2023'!$J$4:$J$692,L$1)</f>
        <v>0</v>
      </c>
      <c r="M143" s="207">
        <f>SUMIFS('апрель 2023'!$G$4:$G$692,'апрель 2023'!$D$4:$D$692,$B143,'апрель 2023'!$J$4:$J$692,M$1)</f>
        <v>0</v>
      </c>
      <c r="N143" s="207">
        <f>SUMIFS('апрель 2023'!$G$4:$G$692,'апрель 2023'!$D$4:$D$692,$B143,'апрель 2023'!$J$4:$J$692,N$1)</f>
        <v>0</v>
      </c>
      <c r="O143" s="207">
        <f>SUMIFS('апрель 2023'!$G$4:$G$692,'апрель 2023'!$D$4:$D$692,$B143,'апрель 2023'!$J$4:$J$692,O$1)</f>
        <v>0</v>
      </c>
      <c r="P143" s="207">
        <f>SUMIFS('апрель 2023'!$G$4:$G$692,'апрель 2023'!$D$4:$D$692,$B143,'апрель 2023'!$J$4:$J$692,P$1)</f>
        <v>0</v>
      </c>
      <c r="Q143" s="207">
        <f>SUMIFS('апрель 2023'!$G$4:$G$692,'апрель 2023'!$D$4:$D$692,$B143,'апрель 2023'!$J$4:$J$692,Q$1)</f>
        <v>0</v>
      </c>
      <c r="R143" s="207">
        <f>SUMIFS('апрель 2023'!$G$4:$G$692,'апрель 2023'!$D$4:$D$692,$B143,'апрель 2023'!$J$4:$J$692,R$1)</f>
        <v>0</v>
      </c>
      <c r="S143" s="207">
        <f>SUMIFS('апрель 2023'!$G$4:$G$692,'апрель 2023'!$D$4:$D$692,$B143,'апрель 2023'!$J$4:$J$692,S$1)</f>
        <v>0</v>
      </c>
      <c r="T143" s="207">
        <f>SUMIFS('апрель 2023'!$G$4:$G$692,'апрель 2023'!$D$4:$D$692,$B143,'апрель 2023'!$J$4:$J$692,T$1)</f>
        <v>0</v>
      </c>
      <c r="U143" s="207">
        <f>SUMIFS('апрель 2023'!$G$4:$G$692,'апрель 2023'!$D$4:$D$692,$B143,'апрель 2023'!$J$4:$J$692,U$1)</f>
        <v>0</v>
      </c>
      <c r="V143" s="207">
        <f>SUMIFS('апрель 2023'!$G$4:$G$692,'апрель 2023'!$D$4:$D$692,$B143,'апрель 2023'!$J$4:$J$692,V$1)</f>
        <v>0</v>
      </c>
      <c r="W143" s="207">
        <f>SUMIFS('апрель 2023'!$G$4:$G$692,'апрель 2023'!$D$4:$D$692,$B143,'апрель 2023'!$J$4:$J$692,W$1)</f>
        <v>0</v>
      </c>
      <c r="X143" s="207">
        <f>SUMIFS('апрель 2023'!$G$4:$G$692,'апрель 2023'!$D$4:$D$692,$B143,'апрель 2023'!$J$4:$J$692,X$1)</f>
        <v>0</v>
      </c>
      <c r="Y143" s="207">
        <f>SUMIFS('апрель 2023'!$G$4:$G$692,'апрель 2023'!$D$4:$D$692,$B143,'апрель 2023'!$J$4:$J$692,Y$1)</f>
        <v>0</v>
      </c>
      <c r="Z143" s="207">
        <f>SUMIFS('апрель 2023'!$G$4:$G$692,'апрель 2023'!$D$4:$D$692,$B143,'апрель 2023'!$J$4:$J$692,Z$1)</f>
        <v>0</v>
      </c>
      <c r="AA143" s="207">
        <f>SUMIFS('апрель 2023'!$G$4:$G$692,'апрель 2023'!$D$4:$D$692,$B143,'апрель 2023'!$J$4:$J$692,AA$1)</f>
        <v>0</v>
      </c>
      <c r="AB143" s="207">
        <f>SUMIFS('апрель 2023'!$G$4:$G$692,'апрель 2023'!$D$4:$D$692,$B143,'апрель 2023'!$J$4:$J$692,AB$1)</f>
        <v>0</v>
      </c>
      <c r="AC143" s="207">
        <f>SUMIFS('апрель 2023'!$G$4:$G$692,'апрель 2023'!$D$4:$D$692,$B143,'апрель 2023'!$J$4:$J$692,AC$1)</f>
        <v>0</v>
      </c>
      <c r="AD143" s="207">
        <f>SUMIFS('апрель 2023'!$G$4:$G$692,'апрель 2023'!$D$4:$D$692,$B143,'апрель 2023'!$J$4:$J$692,AD$1)</f>
        <v>0</v>
      </c>
      <c r="AE143" s="207">
        <f>SUMIFS('апрель 2023'!$G$4:$G$692,'апрель 2023'!$D$4:$D$692,$B143,'апрель 2023'!$J$4:$J$692,AE$1)</f>
        <v>0</v>
      </c>
      <c r="AF143" s="207">
        <f>SUMIFS('апрель 2023'!$G$4:$G$692,'апрель 2023'!$D$4:$D$692,$B143,'апрель 2023'!$J$4:$J$692,AF$1)</f>
        <v>0</v>
      </c>
      <c r="AG143" s="207">
        <f>SUMIFS('апрель 2023'!$G$4:$G$692,'апрель 2023'!$D$4:$D$692,$B143,'апрель 2023'!$J$4:$J$692,AG$1)</f>
        <v>0</v>
      </c>
      <c r="AH143" s="207">
        <f>SUMIFS('апрель 2023'!$G$4:$G$692,'апрель 2023'!$D$4:$D$692,$B143,'апрель 2023'!$J$4:$J$692,AH$1)</f>
        <v>0</v>
      </c>
      <c r="AI143" s="220">
        <f t="shared" si="5"/>
        <v>0</v>
      </c>
    </row>
    <row r="144" spans="2:35" ht="15" hidden="1" customHeight="1" x14ac:dyDescent="0.25">
      <c r="B144" s="216"/>
      <c r="C144" s="213"/>
      <c r="D144" s="207">
        <f>SUMIFS('апрель 2023'!$G$4:$G$692,'апрель 2023'!$D$4:$D$692,$B144,'апрель 2023'!$J$4:$J$692,D$1)</f>
        <v>0</v>
      </c>
      <c r="E144" s="207">
        <f>SUMIFS('апрель 2023'!$G$4:$G$692,'апрель 2023'!$D$4:$D$692,$B144,'апрель 2023'!$J$4:$J$692,E$1)</f>
        <v>0</v>
      </c>
      <c r="F144" s="207">
        <f>SUMIFS('апрель 2023'!$G$4:$G$692,'апрель 2023'!$D$4:$D$692,$B144,'апрель 2023'!$J$4:$J$692,F$1)</f>
        <v>0</v>
      </c>
      <c r="G144" s="207">
        <f>SUMIFS('апрель 2023'!$G$4:$G$692,'апрель 2023'!$D$4:$D$692,$B144,'апрель 2023'!$J$4:$J$692,G$1)</f>
        <v>0</v>
      </c>
      <c r="H144" s="207">
        <f>SUMIFS('апрель 2023'!$G$4:$G$692,'апрель 2023'!$D$4:$D$692,$B144,'апрель 2023'!$J$4:$J$692,H$1)</f>
        <v>0</v>
      </c>
      <c r="I144" s="207">
        <f>SUMIFS('апрель 2023'!$G$4:$G$692,'апрель 2023'!$D$4:$D$692,$B144,'апрель 2023'!$J$4:$J$692,I$1)</f>
        <v>0</v>
      </c>
      <c r="J144" s="207">
        <f>SUMIFS('апрель 2023'!$G$4:$G$692,'апрель 2023'!$D$4:$D$692,$B144,'апрель 2023'!$J$4:$J$692,J$1)</f>
        <v>0</v>
      </c>
      <c r="K144" s="207">
        <f>SUMIFS('апрель 2023'!$G$4:$G$692,'апрель 2023'!$D$4:$D$692,$B144,'апрель 2023'!$J$4:$J$692,K$1)</f>
        <v>0</v>
      </c>
      <c r="L144" s="207">
        <f>SUMIFS('апрель 2023'!$G$4:$G$692,'апрель 2023'!$D$4:$D$692,$B144,'апрель 2023'!$J$4:$J$692,L$1)</f>
        <v>0</v>
      </c>
      <c r="M144" s="207">
        <f>SUMIFS('апрель 2023'!$G$4:$G$692,'апрель 2023'!$D$4:$D$692,$B144,'апрель 2023'!$J$4:$J$692,M$1)</f>
        <v>0</v>
      </c>
      <c r="N144" s="207">
        <f>SUMIFS('апрель 2023'!$G$4:$G$692,'апрель 2023'!$D$4:$D$692,$B144,'апрель 2023'!$J$4:$J$692,N$1)</f>
        <v>0</v>
      </c>
      <c r="O144" s="207">
        <f>SUMIFS('апрель 2023'!$G$4:$G$692,'апрель 2023'!$D$4:$D$692,$B144,'апрель 2023'!$J$4:$J$692,O$1)</f>
        <v>0</v>
      </c>
      <c r="P144" s="207">
        <f>SUMIFS('апрель 2023'!$G$4:$G$692,'апрель 2023'!$D$4:$D$692,$B144,'апрель 2023'!$J$4:$J$692,P$1)</f>
        <v>0</v>
      </c>
      <c r="Q144" s="207">
        <f>SUMIFS('апрель 2023'!$G$4:$G$692,'апрель 2023'!$D$4:$D$692,$B144,'апрель 2023'!$J$4:$J$692,Q$1)</f>
        <v>0</v>
      </c>
      <c r="R144" s="207">
        <f>SUMIFS('апрель 2023'!$G$4:$G$692,'апрель 2023'!$D$4:$D$692,$B144,'апрель 2023'!$J$4:$J$692,R$1)</f>
        <v>0</v>
      </c>
      <c r="S144" s="207">
        <f>SUMIFS('апрель 2023'!$G$4:$G$692,'апрель 2023'!$D$4:$D$692,$B144,'апрель 2023'!$J$4:$J$692,S$1)</f>
        <v>0</v>
      </c>
      <c r="T144" s="207">
        <f>SUMIFS('апрель 2023'!$G$4:$G$692,'апрель 2023'!$D$4:$D$692,$B144,'апрель 2023'!$J$4:$J$692,T$1)</f>
        <v>0</v>
      </c>
      <c r="U144" s="207">
        <f>SUMIFS('апрель 2023'!$G$4:$G$692,'апрель 2023'!$D$4:$D$692,$B144,'апрель 2023'!$J$4:$J$692,U$1)</f>
        <v>0</v>
      </c>
      <c r="V144" s="207">
        <f>SUMIFS('апрель 2023'!$G$4:$G$692,'апрель 2023'!$D$4:$D$692,$B144,'апрель 2023'!$J$4:$J$692,V$1)</f>
        <v>0</v>
      </c>
      <c r="W144" s="207">
        <f>SUMIFS('апрель 2023'!$G$4:$G$692,'апрель 2023'!$D$4:$D$692,$B144,'апрель 2023'!$J$4:$J$692,W$1)</f>
        <v>0</v>
      </c>
      <c r="X144" s="207">
        <f>SUMIFS('апрель 2023'!$G$4:$G$692,'апрель 2023'!$D$4:$D$692,$B144,'апрель 2023'!$J$4:$J$692,X$1)</f>
        <v>0</v>
      </c>
      <c r="Y144" s="207">
        <f>SUMIFS('апрель 2023'!$G$4:$G$692,'апрель 2023'!$D$4:$D$692,$B144,'апрель 2023'!$J$4:$J$692,Y$1)</f>
        <v>0</v>
      </c>
      <c r="Z144" s="207">
        <f>SUMIFS('апрель 2023'!$G$4:$G$692,'апрель 2023'!$D$4:$D$692,$B144,'апрель 2023'!$J$4:$J$692,Z$1)</f>
        <v>0</v>
      </c>
      <c r="AA144" s="207">
        <f>SUMIFS('апрель 2023'!$G$4:$G$692,'апрель 2023'!$D$4:$D$692,$B144,'апрель 2023'!$J$4:$J$692,AA$1)</f>
        <v>0</v>
      </c>
      <c r="AB144" s="207">
        <f>SUMIFS('апрель 2023'!$G$4:$G$692,'апрель 2023'!$D$4:$D$692,$B144,'апрель 2023'!$J$4:$J$692,AB$1)</f>
        <v>0</v>
      </c>
      <c r="AC144" s="207">
        <f>SUMIFS('апрель 2023'!$G$4:$G$692,'апрель 2023'!$D$4:$D$692,$B144,'апрель 2023'!$J$4:$J$692,AC$1)</f>
        <v>0</v>
      </c>
      <c r="AD144" s="207">
        <f>SUMIFS('апрель 2023'!$G$4:$G$692,'апрель 2023'!$D$4:$D$692,$B144,'апрель 2023'!$J$4:$J$692,AD$1)</f>
        <v>0</v>
      </c>
      <c r="AE144" s="207">
        <f>SUMIFS('апрель 2023'!$G$4:$G$692,'апрель 2023'!$D$4:$D$692,$B144,'апрель 2023'!$J$4:$J$692,AE$1)</f>
        <v>0</v>
      </c>
      <c r="AF144" s="207">
        <f>SUMIFS('апрель 2023'!$G$4:$G$692,'апрель 2023'!$D$4:$D$692,$B144,'апрель 2023'!$J$4:$J$692,AF$1)</f>
        <v>0</v>
      </c>
      <c r="AG144" s="207">
        <f>SUMIFS('апрель 2023'!$G$4:$G$692,'апрель 2023'!$D$4:$D$692,$B144,'апрель 2023'!$J$4:$J$692,AG$1)</f>
        <v>0</v>
      </c>
      <c r="AH144" s="207">
        <f>SUMIFS('апрель 2023'!$G$4:$G$692,'апрель 2023'!$D$4:$D$692,$B144,'апрель 2023'!$J$4:$J$692,AH$1)</f>
        <v>0</v>
      </c>
      <c r="AI144" s="220">
        <f t="shared" si="5"/>
        <v>0</v>
      </c>
    </row>
    <row r="145" spans="2:35" ht="15" hidden="1" customHeight="1" x14ac:dyDescent="0.25">
      <c r="B145" s="212"/>
      <c r="C145" s="211"/>
      <c r="D145" s="207">
        <f>SUMIFS('апрель 2023'!$G$4:$G$692,'апрель 2023'!$D$4:$D$692,$B145,'апрель 2023'!$J$4:$J$692,D$1)</f>
        <v>0</v>
      </c>
      <c r="E145" s="207">
        <f>SUMIFS('апрель 2023'!$G$4:$G$692,'апрель 2023'!$D$4:$D$692,$B145,'апрель 2023'!$J$4:$J$692,E$1)</f>
        <v>0</v>
      </c>
      <c r="F145" s="207">
        <f>SUMIFS('апрель 2023'!$G$4:$G$692,'апрель 2023'!$D$4:$D$692,$B145,'апрель 2023'!$J$4:$J$692,F$1)</f>
        <v>0</v>
      </c>
      <c r="G145" s="207">
        <f>SUMIFS('апрель 2023'!$G$4:$G$692,'апрель 2023'!$D$4:$D$692,$B145,'апрель 2023'!$J$4:$J$692,G$1)</f>
        <v>0</v>
      </c>
      <c r="H145" s="207">
        <f>SUMIFS('апрель 2023'!$G$4:$G$692,'апрель 2023'!$D$4:$D$692,$B145,'апрель 2023'!$J$4:$J$692,H$1)</f>
        <v>0</v>
      </c>
      <c r="I145" s="207">
        <f>SUMIFS('апрель 2023'!$G$4:$G$692,'апрель 2023'!$D$4:$D$692,$B145,'апрель 2023'!$J$4:$J$692,I$1)</f>
        <v>0</v>
      </c>
      <c r="J145" s="207">
        <f>SUMIFS('апрель 2023'!$G$4:$G$692,'апрель 2023'!$D$4:$D$692,$B145,'апрель 2023'!$J$4:$J$692,J$1)</f>
        <v>0</v>
      </c>
      <c r="K145" s="207">
        <f>SUMIFS('апрель 2023'!$G$4:$G$692,'апрель 2023'!$D$4:$D$692,$B145,'апрель 2023'!$J$4:$J$692,K$1)</f>
        <v>0</v>
      </c>
      <c r="L145" s="207">
        <f>SUMIFS('апрель 2023'!$G$4:$G$692,'апрель 2023'!$D$4:$D$692,$B145,'апрель 2023'!$J$4:$J$692,L$1)</f>
        <v>0</v>
      </c>
      <c r="M145" s="207">
        <f>SUMIFS('апрель 2023'!$G$4:$G$692,'апрель 2023'!$D$4:$D$692,$B145,'апрель 2023'!$J$4:$J$692,M$1)</f>
        <v>0</v>
      </c>
      <c r="N145" s="207">
        <f>SUMIFS('апрель 2023'!$G$4:$G$692,'апрель 2023'!$D$4:$D$692,$B145,'апрель 2023'!$J$4:$J$692,N$1)</f>
        <v>0</v>
      </c>
      <c r="O145" s="207">
        <f>SUMIFS('апрель 2023'!$G$4:$G$692,'апрель 2023'!$D$4:$D$692,$B145,'апрель 2023'!$J$4:$J$692,O$1)</f>
        <v>0</v>
      </c>
      <c r="P145" s="207">
        <f>SUMIFS('апрель 2023'!$G$4:$G$692,'апрель 2023'!$D$4:$D$692,$B145,'апрель 2023'!$J$4:$J$692,P$1)</f>
        <v>0</v>
      </c>
      <c r="Q145" s="207">
        <f>SUMIFS('апрель 2023'!$G$4:$G$692,'апрель 2023'!$D$4:$D$692,$B145,'апрель 2023'!$J$4:$J$692,Q$1)</f>
        <v>0</v>
      </c>
      <c r="R145" s="207">
        <f>SUMIFS('апрель 2023'!$G$4:$G$692,'апрель 2023'!$D$4:$D$692,$B145,'апрель 2023'!$J$4:$J$692,R$1)</f>
        <v>0</v>
      </c>
      <c r="S145" s="207">
        <f>SUMIFS('апрель 2023'!$G$4:$G$692,'апрель 2023'!$D$4:$D$692,$B145,'апрель 2023'!$J$4:$J$692,S$1)</f>
        <v>0</v>
      </c>
      <c r="T145" s="207">
        <f>SUMIFS('апрель 2023'!$G$4:$G$692,'апрель 2023'!$D$4:$D$692,$B145,'апрель 2023'!$J$4:$J$692,T$1)</f>
        <v>0</v>
      </c>
      <c r="U145" s="207">
        <f>SUMIFS('апрель 2023'!$G$4:$G$692,'апрель 2023'!$D$4:$D$692,$B145,'апрель 2023'!$J$4:$J$692,U$1)</f>
        <v>0</v>
      </c>
      <c r="V145" s="207">
        <f>SUMIFS('апрель 2023'!$G$4:$G$692,'апрель 2023'!$D$4:$D$692,$B145,'апрель 2023'!$J$4:$J$692,V$1)</f>
        <v>0</v>
      </c>
      <c r="W145" s="207">
        <f>SUMIFS('апрель 2023'!$G$4:$G$692,'апрель 2023'!$D$4:$D$692,$B145,'апрель 2023'!$J$4:$J$692,W$1)</f>
        <v>0</v>
      </c>
      <c r="X145" s="207">
        <f>SUMIFS('апрель 2023'!$G$4:$G$692,'апрель 2023'!$D$4:$D$692,$B145,'апрель 2023'!$J$4:$J$692,X$1)</f>
        <v>0</v>
      </c>
      <c r="Y145" s="207">
        <f>SUMIFS('апрель 2023'!$G$4:$G$692,'апрель 2023'!$D$4:$D$692,$B145,'апрель 2023'!$J$4:$J$692,Y$1)</f>
        <v>0</v>
      </c>
      <c r="Z145" s="207">
        <f>SUMIFS('апрель 2023'!$G$4:$G$692,'апрель 2023'!$D$4:$D$692,$B145,'апрель 2023'!$J$4:$J$692,Z$1)</f>
        <v>0</v>
      </c>
      <c r="AA145" s="207">
        <f>SUMIFS('апрель 2023'!$G$4:$G$692,'апрель 2023'!$D$4:$D$692,$B145,'апрель 2023'!$J$4:$J$692,AA$1)</f>
        <v>0</v>
      </c>
      <c r="AB145" s="207">
        <f>SUMIFS('апрель 2023'!$G$4:$G$692,'апрель 2023'!$D$4:$D$692,$B145,'апрель 2023'!$J$4:$J$692,AB$1)</f>
        <v>0</v>
      </c>
      <c r="AC145" s="207">
        <f>SUMIFS('апрель 2023'!$G$4:$G$692,'апрель 2023'!$D$4:$D$692,$B145,'апрель 2023'!$J$4:$J$692,AC$1)</f>
        <v>0</v>
      </c>
      <c r="AD145" s="207">
        <f>SUMIFS('апрель 2023'!$G$4:$G$692,'апрель 2023'!$D$4:$D$692,$B145,'апрель 2023'!$J$4:$J$692,AD$1)</f>
        <v>0</v>
      </c>
      <c r="AE145" s="207">
        <f>SUMIFS('апрель 2023'!$G$4:$G$692,'апрель 2023'!$D$4:$D$692,$B145,'апрель 2023'!$J$4:$J$692,AE$1)</f>
        <v>0</v>
      </c>
      <c r="AF145" s="207">
        <f>SUMIFS('апрель 2023'!$G$4:$G$692,'апрель 2023'!$D$4:$D$692,$B145,'апрель 2023'!$J$4:$J$692,AF$1)</f>
        <v>0</v>
      </c>
      <c r="AG145" s="207">
        <f>SUMIFS('апрель 2023'!$G$4:$G$692,'апрель 2023'!$D$4:$D$692,$B145,'апрель 2023'!$J$4:$J$692,AG$1)</f>
        <v>0</v>
      </c>
      <c r="AH145" s="207">
        <f>SUMIFS('апрель 2023'!$G$4:$G$692,'апрель 2023'!$D$4:$D$692,$B145,'апрель 2023'!$J$4:$J$692,AH$1)</f>
        <v>0</v>
      </c>
      <c r="AI145" s="220">
        <f t="shared" si="5"/>
        <v>0</v>
      </c>
    </row>
    <row r="146" spans="2:35" ht="15" hidden="1" customHeight="1" x14ac:dyDescent="0.25">
      <c r="B146" s="212"/>
      <c r="C146" s="213"/>
      <c r="D146" s="207">
        <f>SUMIFS('апрель 2023'!$G$4:$G$692,'апрель 2023'!$D$4:$D$692,$B146,'апрель 2023'!$J$4:$J$692,D$1)</f>
        <v>0</v>
      </c>
      <c r="E146" s="207">
        <f>SUMIFS('апрель 2023'!$G$4:$G$692,'апрель 2023'!$D$4:$D$692,$B146,'апрель 2023'!$J$4:$J$692,E$1)</f>
        <v>0</v>
      </c>
      <c r="F146" s="207">
        <f>SUMIFS('апрель 2023'!$G$4:$G$692,'апрель 2023'!$D$4:$D$692,$B146,'апрель 2023'!$J$4:$J$692,F$1)</f>
        <v>0</v>
      </c>
      <c r="G146" s="207">
        <f>SUMIFS('апрель 2023'!$G$4:$G$692,'апрель 2023'!$D$4:$D$692,$B146,'апрель 2023'!$J$4:$J$692,G$1)</f>
        <v>0</v>
      </c>
      <c r="H146" s="207">
        <f>SUMIFS('апрель 2023'!$G$4:$G$692,'апрель 2023'!$D$4:$D$692,$B146,'апрель 2023'!$J$4:$J$692,H$1)</f>
        <v>0</v>
      </c>
      <c r="I146" s="207">
        <f>SUMIFS('апрель 2023'!$G$4:$G$692,'апрель 2023'!$D$4:$D$692,$B146,'апрель 2023'!$J$4:$J$692,I$1)</f>
        <v>0</v>
      </c>
      <c r="J146" s="207">
        <f>SUMIFS('апрель 2023'!$G$4:$G$692,'апрель 2023'!$D$4:$D$692,$B146,'апрель 2023'!$J$4:$J$692,J$1)</f>
        <v>0</v>
      </c>
      <c r="K146" s="207">
        <f>SUMIFS('апрель 2023'!$G$4:$G$692,'апрель 2023'!$D$4:$D$692,$B146,'апрель 2023'!$J$4:$J$692,K$1)</f>
        <v>0</v>
      </c>
      <c r="L146" s="207">
        <f>SUMIFS('апрель 2023'!$G$4:$G$692,'апрель 2023'!$D$4:$D$692,$B146,'апрель 2023'!$J$4:$J$692,L$1)</f>
        <v>0</v>
      </c>
      <c r="M146" s="207">
        <f>SUMIFS('апрель 2023'!$G$4:$G$692,'апрель 2023'!$D$4:$D$692,$B146,'апрель 2023'!$J$4:$J$692,M$1)</f>
        <v>0</v>
      </c>
      <c r="N146" s="207">
        <f>SUMIFS('апрель 2023'!$G$4:$G$692,'апрель 2023'!$D$4:$D$692,$B146,'апрель 2023'!$J$4:$J$692,N$1)</f>
        <v>0</v>
      </c>
      <c r="O146" s="207">
        <f>SUMIFS('апрель 2023'!$G$4:$G$692,'апрель 2023'!$D$4:$D$692,$B146,'апрель 2023'!$J$4:$J$692,O$1)</f>
        <v>0</v>
      </c>
      <c r="P146" s="207">
        <f>SUMIFS('апрель 2023'!$G$4:$G$692,'апрель 2023'!$D$4:$D$692,$B146,'апрель 2023'!$J$4:$J$692,P$1)</f>
        <v>0</v>
      </c>
      <c r="Q146" s="207">
        <f>SUMIFS('апрель 2023'!$G$4:$G$692,'апрель 2023'!$D$4:$D$692,$B146,'апрель 2023'!$J$4:$J$692,Q$1)</f>
        <v>0</v>
      </c>
      <c r="R146" s="207">
        <f>SUMIFS('апрель 2023'!$G$4:$G$692,'апрель 2023'!$D$4:$D$692,$B146,'апрель 2023'!$J$4:$J$692,R$1)</f>
        <v>0</v>
      </c>
      <c r="S146" s="207">
        <f>SUMIFS('апрель 2023'!$G$4:$G$692,'апрель 2023'!$D$4:$D$692,$B146,'апрель 2023'!$J$4:$J$692,S$1)</f>
        <v>0</v>
      </c>
      <c r="T146" s="207">
        <f>SUMIFS('апрель 2023'!$G$4:$G$692,'апрель 2023'!$D$4:$D$692,$B146,'апрель 2023'!$J$4:$J$692,T$1)</f>
        <v>0</v>
      </c>
      <c r="U146" s="207">
        <f>SUMIFS('апрель 2023'!$G$4:$G$692,'апрель 2023'!$D$4:$D$692,$B146,'апрель 2023'!$J$4:$J$692,U$1)</f>
        <v>0</v>
      </c>
      <c r="V146" s="207">
        <f>SUMIFS('апрель 2023'!$G$4:$G$692,'апрель 2023'!$D$4:$D$692,$B146,'апрель 2023'!$J$4:$J$692,V$1)</f>
        <v>0</v>
      </c>
      <c r="W146" s="207">
        <f>SUMIFS('апрель 2023'!$G$4:$G$692,'апрель 2023'!$D$4:$D$692,$B146,'апрель 2023'!$J$4:$J$692,W$1)</f>
        <v>0</v>
      </c>
      <c r="X146" s="207">
        <f>SUMIFS('апрель 2023'!$G$4:$G$692,'апрель 2023'!$D$4:$D$692,$B146,'апрель 2023'!$J$4:$J$692,X$1)</f>
        <v>0</v>
      </c>
      <c r="Y146" s="207">
        <f>SUMIFS('апрель 2023'!$G$4:$G$692,'апрель 2023'!$D$4:$D$692,$B146,'апрель 2023'!$J$4:$J$692,Y$1)</f>
        <v>0</v>
      </c>
      <c r="Z146" s="207">
        <f>SUMIFS('апрель 2023'!$G$4:$G$692,'апрель 2023'!$D$4:$D$692,$B146,'апрель 2023'!$J$4:$J$692,Z$1)</f>
        <v>0</v>
      </c>
      <c r="AA146" s="207">
        <f>SUMIFS('апрель 2023'!$G$4:$G$692,'апрель 2023'!$D$4:$D$692,$B146,'апрель 2023'!$J$4:$J$692,AA$1)</f>
        <v>0</v>
      </c>
      <c r="AB146" s="207">
        <f>SUMIFS('апрель 2023'!$G$4:$G$692,'апрель 2023'!$D$4:$D$692,$B146,'апрель 2023'!$J$4:$J$692,AB$1)</f>
        <v>0</v>
      </c>
      <c r="AC146" s="207">
        <f>SUMIFS('апрель 2023'!$G$4:$G$692,'апрель 2023'!$D$4:$D$692,$B146,'апрель 2023'!$J$4:$J$692,AC$1)</f>
        <v>0</v>
      </c>
      <c r="AD146" s="207">
        <f>SUMIFS('апрель 2023'!$G$4:$G$692,'апрель 2023'!$D$4:$D$692,$B146,'апрель 2023'!$J$4:$J$692,AD$1)</f>
        <v>0</v>
      </c>
      <c r="AE146" s="207">
        <f>SUMIFS('апрель 2023'!$G$4:$G$692,'апрель 2023'!$D$4:$D$692,$B146,'апрель 2023'!$J$4:$J$692,AE$1)</f>
        <v>0</v>
      </c>
      <c r="AF146" s="207">
        <f>SUMIFS('апрель 2023'!$G$4:$G$692,'апрель 2023'!$D$4:$D$692,$B146,'апрель 2023'!$J$4:$J$692,AF$1)</f>
        <v>0</v>
      </c>
      <c r="AG146" s="207">
        <f>SUMIFS('апрель 2023'!$G$4:$G$692,'апрель 2023'!$D$4:$D$692,$B146,'апрель 2023'!$J$4:$J$692,AG$1)</f>
        <v>0</v>
      </c>
      <c r="AH146" s="207">
        <f>SUMIFS('апрель 2023'!$G$4:$G$692,'апрель 2023'!$D$4:$D$692,$B146,'апрель 2023'!$J$4:$J$692,AH$1)</f>
        <v>0</v>
      </c>
      <c r="AI146" s="220">
        <f t="shared" si="5"/>
        <v>0</v>
      </c>
    </row>
    <row r="147" spans="2:35" ht="15" hidden="1" customHeight="1" x14ac:dyDescent="0.25">
      <c r="B147" s="212"/>
      <c r="C147" s="213"/>
      <c r="D147" s="207">
        <f>SUMIFS('апрель 2023'!$G$4:$G$692,'апрель 2023'!$D$4:$D$692,$B147,'апрель 2023'!$J$4:$J$692,D$1)</f>
        <v>0</v>
      </c>
      <c r="E147" s="207">
        <f>SUMIFS('апрель 2023'!$G$4:$G$692,'апрель 2023'!$D$4:$D$692,$B147,'апрель 2023'!$J$4:$J$692,E$1)</f>
        <v>0</v>
      </c>
      <c r="F147" s="207">
        <f>SUMIFS('апрель 2023'!$G$4:$G$692,'апрель 2023'!$D$4:$D$692,$B147,'апрель 2023'!$J$4:$J$692,F$1)</f>
        <v>0</v>
      </c>
      <c r="G147" s="207">
        <f>SUMIFS('апрель 2023'!$G$4:$G$692,'апрель 2023'!$D$4:$D$692,$B147,'апрель 2023'!$J$4:$J$692,G$1)</f>
        <v>0</v>
      </c>
      <c r="H147" s="207">
        <f>SUMIFS('апрель 2023'!$G$4:$G$692,'апрель 2023'!$D$4:$D$692,$B147,'апрель 2023'!$J$4:$J$692,H$1)</f>
        <v>0</v>
      </c>
      <c r="I147" s="207">
        <f>SUMIFS('апрель 2023'!$G$4:$G$692,'апрель 2023'!$D$4:$D$692,$B147,'апрель 2023'!$J$4:$J$692,I$1)</f>
        <v>0</v>
      </c>
      <c r="J147" s="207">
        <f>SUMIFS('апрель 2023'!$G$4:$G$692,'апрель 2023'!$D$4:$D$692,$B147,'апрель 2023'!$J$4:$J$692,J$1)</f>
        <v>0</v>
      </c>
      <c r="K147" s="207">
        <f>SUMIFS('апрель 2023'!$G$4:$G$692,'апрель 2023'!$D$4:$D$692,$B147,'апрель 2023'!$J$4:$J$692,K$1)</f>
        <v>0</v>
      </c>
      <c r="L147" s="207">
        <f>SUMIFS('апрель 2023'!$G$4:$G$692,'апрель 2023'!$D$4:$D$692,$B147,'апрель 2023'!$J$4:$J$692,L$1)</f>
        <v>0</v>
      </c>
      <c r="M147" s="207">
        <f>SUMIFS('апрель 2023'!$G$4:$G$692,'апрель 2023'!$D$4:$D$692,$B147,'апрель 2023'!$J$4:$J$692,M$1)</f>
        <v>0</v>
      </c>
      <c r="N147" s="207">
        <f>SUMIFS('апрель 2023'!$G$4:$G$692,'апрель 2023'!$D$4:$D$692,$B147,'апрель 2023'!$J$4:$J$692,N$1)</f>
        <v>0</v>
      </c>
      <c r="O147" s="207">
        <f>SUMIFS('апрель 2023'!$G$4:$G$692,'апрель 2023'!$D$4:$D$692,$B147,'апрель 2023'!$J$4:$J$692,O$1)</f>
        <v>0</v>
      </c>
      <c r="P147" s="207">
        <f>SUMIFS('апрель 2023'!$G$4:$G$692,'апрель 2023'!$D$4:$D$692,$B147,'апрель 2023'!$J$4:$J$692,P$1)</f>
        <v>0</v>
      </c>
      <c r="Q147" s="207">
        <f>SUMIFS('апрель 2023'!$G$4:$G$692,'апрель 2023'!$D$4:$D$692,$B147,'апрель 2023'!$J$4:$J$692,Q$1)</f>
        <v>0</v>
      </c>
      <c r="R147" s="207">
        <f>SUMIFS('апрель 2023'!$G$4:$G$692,'апрель 2023'!$D$4:$D$692,$B147,'апрель 2023'!$J$4:$J$692,R$1)</f>
        <v>0</v>
      </c>
      <c r="S147" s="207">
        <f>SUMIFS('апрель 2023'!$G$4:$G$692,'апрель 2023'!$D$4:$D$692,$B147,'апрель 2023'!$J$4:$J$692,S$1)</f>
        <v>0</v>
      </c>
      <c r="T147" s="207">
        <f>SUMIFS('апрель 2023'!$G$4:$G$692,'апрель 2023'!$D$4:$D$692,$B147,'апрель 2023'!$J$4:$J$692,T$1)</f>
        <v>0</v>
      </c>
      <c r="U147" s="207">
        <f>SUMIFS('апрель 2023'!$G$4:$G$692,'апрель 2023'!$D$4:$D$692,$B147,'апрель 2023'!$J$4:$J$692,U$1)</f>
        <v>0</v>
      </c>
      <c r="V147" s="207">
        <f>SUMIFS('апрель 2023'!$G$4:$G$692,'апрель 2023'!$D$4:$D$692,$B147,'апрель 2023'!$J$4:$J$692,V$1)</f>
        <v>0</v>
      </c>
      <c r="W147" s="207">
        <f>SUMIFS('апрель 2023'!$G$4:$G$692,'апрель 2023'!$D$4:$D$692,$B147,'апрель 2023'!$J$4:$J$692,W$1)</f>
        <v>0</v>
      </c>
      <c r="X147" s="207">
        <f>SUMIFS('апрель 2023'!$G$4:$G$692,'апрель 2023'!$D$4:$D$692,$B147,'апрель 2023'!$J$4:$J$692,X$1)</f>
        <v>0</v>
      </c>
      <c r="Y147" s="207">
        <f>SUMIFS('апрель 2023'!$G$4:$G$692,'апрель 2023'!$D$4:$D$692,$B147,'апрель 2023'!$J$4:$J$692,Y$1)</f>
        <v>0</v>
      </c>
      <c r="Z147" s="207">
        <f>SUMIFS('апрель 2023'!$G$4:$G$692,'апрель 2023'!$D$4:$D$692,$B147,'апрель 2023'!$J$4:$J$692,Z$1)</f>
        <v>0</v>
      </c>
      <c r="AA147" s="207">
        <f>SUMIFS('апрель 2023'!$G$4:$G$692,'апрель 2023'!$D$4:$D$692,$B147,'апрель 2023'!$J$4:$J$692,AA$1)</f>
        <v>0</v>
      </c>
      <c r="AB147" s="207">
        <f>SUMIFS('апрель 2023'!$G$4:$G$692,'апрель 2023'!$D$4:$D$692,$B147,'апрель 2023'!$J$4:$J$692,AB$1)</f>
        <v>0</v>
      </c>
      <c r="AC147" s="207">
        <f>SUMIFS('апрель 2023'!$G$4:$G$692,'апрель 2023'!$D$4:$D$692,$B147,'апрель 2023'!$J$4:$J$692,AC$1)</f>
        <v>0</v>
      </c>
      <c r="AD147" s="207">
        <f>SUMIFS('апрель 2023'!$G$4:$G$692,'апрель 2023'!$D$4:$D$692,$B147,'апрель 2023'!$J$4:$J$692,AD$1)</f>
        <v>0</v>
      </c>
      <c r="AE147" s="207">
        <f>SUMIFS('апрель 2023'!$G$4:$G$692,'апрель 2023'!$D$4:$D$692,$B147,'апрель 2023'!$J$4:$J$692,AE$1)</f>
        <v>0</v>
      </c>
      <c r="AF147" s="207">
        <f>SUMIFS('апрель 2023'!$G$4:$G$692,'апрель 2023'!$D$4:$D$692,$B147,'апрель 2023'!$J$4:$J$692,AF$1)</f>
        <v>0</v>
      </c>
      <c r="AG147" s="207">
        <f>SUMIFS('апрель 2023'!$G$4:$G$692,'апрель 2023'!$D$4:$D$692,$B147,'апрель 2023'!$J$4:$J$692,AG$1)</f>
        <v>0</v>
      </c>
      <c r="AH147" s="207">
        <f>SUMIFS('апрель 2023'!$G$4:$G$692,'апрель 2023'!$D$4:$D$692,$B147,'апрель 2023'!$J$4:$J$692,AH$1)</f>
        <v>0</v>
      </c>
      <c r="AI147" s="220">
        <f t="shared" ref="AI147:AI185" si="6">SUM(D147:AH147)</f>
        <v>0</v>
      </c>
    </row>
    <row r="148" spans="2:35" ht="15" hidden="1" customHeight="1" x14ac:dyDescent="0.25">
      <c r="B148" s="212"/>
      <c r="C148" s="213"/>
      <c r="D148" s="207">
        <f>SUMIFS('апрель 2023'!$G$4:$G$692,'апрель 2023'!$D$4:$D$692,$B148,'апрель 2023'!$J$4:$J$692,D$1)</f>
        <v>0</v>
      </c>
      <c r="E148" s="207">
        <f>SUMIFS('апрель 2023'!$G$4:$G$692,'апрель 2023'!$D$4:$D$692,$B148,'апрель 2023'!$J$4:$J$692,E$1)</f>
        <v>0</v>
      </c>
      <c r="F148" s="207">
        <f>SUMIFS('апрель 2023'!$G$4:$G$692,'апрель 2023'!$D$4:$D$692,$B148,'апрель 2023'!$J$4:$J$692,F$1)</f>
        <v>0</v>
      </c>
      <c r="G148" s="207">
        <f>SUMIFS('апрель 2023'!$G$4:$G$692,'апрель 2023'!$D$4:$D$692,$B148,'апрель 2023'!$J$4:$J$692,G$1)</f>
        <v>0</v>
      </c>
      <c r="H148" s="207">
        <f>SUMIFS('апрель 2023'!$G$4:$G$692,'апрель 2023'!$D$4:$D$692,$B148,'апрель 2023'!$J$4:$J$692,H$1)</f>
        <v>0</v>
      </c>
      <c r="I148" s="207">
        <f>SUMIFS('апрель 2023'!$G$4:$G$692,'апрель 2023'!$D$4:$D$692,$B148,'апрель 2023'!$J$4:$J$692,I$1)</f>
        <v>0</v>
      </c>
      <c r="J148" s="207">
        <f>SUMIFS('апрель 2023'!$G$4:$G$692,'апрель 2023'!$D$4:$D$692,$B148,'апрель 2023'!$J$4:$J$692,J$1)</f>
        <v>0</v>
      </c>
      <c r="K148" s="207">
        <f>SUMIFS('апрель 2023'!$G$4:$G$692,'апрель 2023'!$D$4:$D$692,$B148,'апрель 2023'!$J$4:$J$692,K$1)</f>
        <v>0</v>
      </c>
      <c r="L148" s="207">
        <f>SUMIFS('апрель 2023'!$G$4:$G$692,'апрель 2023'!$D$4:$D$692,$B148,'апрель 2023'!$J$4:$J$692,L$1)</f>
        <v>0</v>
      </c>
      <c r="M148" s="207">
        <f>SUMIFS('апрель 2023'!$G$4:$G$692,'апрель 2023'!$D$4:$D$692,$B148,'апрель 2023'!$J$4:$J$692,M$1)</f>
        <v>0</v>
      </c>
      <c r="N148" s="207">
        <f>SUMIFS('апрель 2023'!$G$4:$G$692,'апрель 2023'!$D$4:$D$692,$B148,'апрель 2023'!$J$4:$J$692,N$1)</f>
        <v>0</v>
      </c>
      <c r="O148" s="207">
        <f>SUMIFS('апрель 2023'!$G$4:$G$692,'апрель 2023'!$D$4:$D$692,$B148,'апрель 2023'!$J$4:$J$692,O$1)</f>
        <v>0</v>
      </c>
      <c r="P148" s="207">
        <f>SUMIFS('апрель 2023'!$G$4:$G$692,'апрель 2023'!$D$4:$D$692,$B148,'апрель 2023'!$J$4:$J$692,P$1)</f>
        <v>0</v>
      </c>
      <c r="Q148" s="207">
        <f>SUMIFS('апрель 2023'!$G$4:$G$692,'апрель 2023'!$D$4:$D$692,$B148,'апрель 2023'!$J$4:$J$692,Q$1)</f>
        <v>0</v>
      </c>
      <c r="R148" s="207">
        <f>SUMIFS('апрель 2023'!$G$4:$G$692,'апрель 2023'!$D$4:$D$692,$B148,'апрель 2023'!$J$4:$J$692,R$1)</f>
        <v>0</v>
      </c>
      <c r="S148" s="207">
        <f>SUMIFS('апрель 2023'!$G$4:$G$692,'апрель 2023'!$D$4:$D$692,$B148,'апрель 2023'!$J$4:$J$692,S$1)</f>
        <v>0</v>
      </c>
      <c r="T148" s="207">
        <f>SUMIFS('апрель 2023'!$G$4:$G$692,'апрель 2023'!$D$4:$D$692,$B148,'апрель 2023'!$J$4:$J$692,T$1)</f>
        <v>0</v>
      </c>
      <c r="U148" s="207">
        <f>SUMIFS('апрель 2023'!$G$4:$G$692,'апрель 2023'!$D$4:$D$692,$B148,'апрель 2023'!$J$4:$J$692,U$1)</f>
        <v>0</v>
      </c>
      <c r="V148" s="207">
        <f>SUMIFS('апрель 2023'!$G$4:$G$692,'апрель 2023'!$D$4:$D$692,$B148,'апрель 2023'!$J$4:$J$692,V$1)</f>
        <v>0</v>
      </c>
      <c r="W148" s="207">
        <f>SUMIFS('апрель 2023'!$G$4:$G$692,'апрель 2023'!$D$4:$D$692,$B148,'апрель 2023'!$J$4:$J$692,W$1)</f>
        <v>0</v>
      </c>
      <c r="X148" s="207">
        <f>SUMIFS('апрель 2023'!$G$4:$G$692,'апрель 2023'!$D$4:$D$692,$B148,'апрель 2023'!$J$4:$J$692,X$1)</f>
        <v>0</v>
      </c>
      <c r="Y148" s="207">
        <f>SUMIFS('апрель 2023'!$G$4:$G$692,'апрель 2023'!$D$4:$D$692,$B148,'апрель 2023'!$J$4:$J$692,Y$1)</f>
        <v>0</v>
      </c>
      <c r="Z148" s="207">
        <f>SUMIFS('апрель 2023'!$G$4:$G$692,'апрель 2023'!$D$4:$D$692,$B148,'апрель 2023'!$J$4:$J$692,Z$1)</f>
        <v>0</v>
      </c>
      <c r="AA148" s="207">
        <f>SUMIFS('апрель 2023'!$G$4:$G$692,'апрель 2023'!$D$4:$D$692,$B148,'апрель 2023'!$J$4:$J$692,AA$1)</f>
        <v>0</v>
      </c>
      <c r="AB148" s="207">
        <f>SUMIFS('апрель 2023'!$G$4:$G$692,'апрель 2023'!$D$4:$D$692,$B148,'апрель 2023'!$J$4:$J$692,AB$1)</f>
        <v>0</v>
      </c>
      <c r="AC148" s="207">
        <f>SUMIFS('апрель 2023'!$G$4:$G$692,'апрель 2023'!$D$4:$D$692,$B148,'апрель 2023'!$J$4:$J$692,AC$1)</f>
        <v>0</v>
      </c>
      <c r="AD148" s="207">
        <f>SUMIFS('апрель 2023'!$G$4:$G$692,'апрель 2023'!$D$4:$D$692,$B148,'апрель 2023'!$J$4:$J$692,AD$1)</f>
        <v>0</v>
      </c>
      <c r="AE148" s="207">
        <f>SUMIFS('апрель 2023'!$G$4:$G$692,'апрель 2023'!$D$4:$D$692,$B148,'апрель 2023'!$J$4:$J$692,AE$1)</f>
        <v>0</v>
      </c>
      <c r="AF148" s="207">
        <f>SUMIFS('апрель 2023'!$G$4:$G$692,'апрель 2023'!$D$4:$D$692,$B148,'апрель 2023'!$J$4:$J$692,AF$1)</f>
        <v>0</v>
      </c>
      <c r="AG148" s="207">
        <f>SUMIFS('апрель 2023'!$G$4:$G$692,'апрель 2023'!$D$4:$D$692,$B148,'апрель 2023'!$J$4:$J$692,AG$1)</f>
        <v>0</v>
      </c>
      <c r="AH148" s="207">
        <f>SUMIFS('апрель 2023'!$G$4:$G$692,'апрель 2023'!$D$4:$D$692,$B148,'апрель 2023'!$J$4:$J$692,AH$1)</f>
        <v>0</v>
      </c>
      <c r="AI148" s="220">
        <f t="shared" si="6"/>
        <v>0</v>
      </c>
    </row>
    <row r="149" spans="2:35" ht="15.75" hidden="1" x14ac:dyDescent="0.25">
      <c r="B149" s="212"/>
      <c r="C149" s="213"/>
      <c r="D149" s="207">
        <f>SUMIFS('апрель 2023'!$G$4:$G$692,'апрель 2023'!$D$4:$D$692,$B149,'апрель 2023'!$J$4:$J$692,D$1)</f>
        <v>0</v>
      </c>
      <c r="E149" s="207">
        <f>SUMIFS('апрель 2023'!$G$4:$G$692,'апрель 2023'!$D$4:$D$692,$B149,'апрель 2023'!$J$4:$J$692,E$1)</f>
        <v>0</v>
      </c>
      <c r="F149" s="207">
        <f>SUMIFS('апрель 2023'!$G$4:$G$692,'апрель 2023'!$D$4:$D$692,$B149,'апрель 2023'!$J$4:$J$692,F$1)</f>
        <v>0</v>
      </c>
      <c r="G149" s="207">
        <f>SUMIFS('апрель 2023'!$G$4:$G$692,'апрель 2023'!$D$4:$D$692,$B149,'апрель 2023'!$J$4:$J$692,G$1)</f>
        <v>0</v>
      </c>
      <c r="H149" s="207">
        <f>SUMIFS('апрель 2023'!$G$4:$G$692,'апрель 2023'!$D$4:$D$692,$B149,'апрель 2023'!$J$4:$J$692,H$1)</f>
        <v>0</v>
      </c>
      <c r="I149" s="207">
        <f>SUMIFS('апрель 2023'!$G$4:$G$692,'апрель 2023'!$D$4:$D$692,$B149,'апрель 2023'!$J$4:$J$692,I$1)</f>
        <v>0</v>
      </c>
      <c r="J149" s="207">
        <f>SUMIFS('апрель 2023'!$G$4:$G$692,'апрель 2023'!$D$4:$D$692,$B149,'апрель 2023'!$J$4:$J$692,J$1)</f>
        <v>0</v>
      </c>
      <c r="K149" s="207">
        <f>SUMIFS('апрель 2023'!$G$4:$G$692,'апрель 2023'!$D$4:$D$692,$B149,'апрель 2023'!$J$4:$J$692,K$1)</f>
        <v>0</v>
      </c>
      <c r="L149" s="207">
        <f>SUMIFS('апрель 2023'!$G$4:$G$692,'апрель 2023'!$D$4:$D$692,$B149,'апрель 2023'!$J$4:$J$692,L$1)</f>
        <v>0</v>
      </c>
      <c r="M149" s="207">
        <f>SUMIFS('апрель 2023'!$G$4:$G$692,'апрель 2023'!$D$4:$D$692,$B149,'апрель 2023'!$J$4:$J$692,M$1)</f>
        <v>0</v>
      </c>
      <c r="N149" s="207">
        <f>SUMIFS('апрель 2023'!$G$4:$G$692,'апрель 2023'!$D$4:$D$692,$B149,'апрель 2023'!$J$4:$J$692,N$1)</f>
        <v>0</v>
      </c>
      <c r="O149" s="207">
        <f>SUMIFS('апрель 2023'!$G$4:$G$692,'апрель 2023'!$D$4:$D$692,$B149,'апрель 2023'!$J$4:$J$692,O$1)</f>
        <v>0</v>
      </c>
      <c r="P149" s="207">
        <f>SUMIFS('апрель 2023'!$G$4:$G$692,'апрель 2023'!$D$4:$D$692,$B149,'апрель 2023'!$J$4:$J$692,P$1)</f>
        <v>0</v>
      </c>
      <c r="Q149" s="207">
        <f>SUMIFS('апрель 2023'!$G$4:$G$692,'апрель 2023'!$D$4:$D$692,$B149,'апрель 2023'!$J$4:$J$692,Q$1)</f>
        <v>0</v>
      </c>
      <c r="R149" s="207">
        <f>SUMIFS('апрель 2023'!$G$4:$G$692,'апрель 2023'!$D$4:$D$692,$B149,'апрель 2023'!$J$4:$J$692,R$1)</f>
        <v>0</v>
      </c>
      <c r="S149" s="207">
        <f>SUMIFS('апрель 2023'!$G$4:$G$692,'апрель 2023'!$D$4:$D$692,$B149,'апрель 2023'!$J$4:$J$692,S$1)</f>
        <v>0</v>
      </c>
      <c r="T149" s="207">
        <f>SUMIFS('апрель 2023'!$G$4:$G$692,'апрель 2023'!$D$4:$D$692,$B149,'апрель 2023'!$J$4:$J$692,T$1)</f>
        <v>0</v>
      </c>
      <c r="U149" s="207">
        <f>SUMIFS('апрель 2023'!$G$4:$G$692,'апрель 2023'!$D$4:$D$692,$B149,'апрель 2023'!$J$4:$J$692,U$1)</f>
        <v>0</v>
      </c>
      <c r="V149" s="207">
        <f>SUMIFS('апрель 2023'!$G$4:$G$692,'апрель 2023'!$D$4:$D$692,$B149,'апрель 2023'!$J$4:$J$692,V$1)</f>
        <v>0</v>
      </c>
      <c r="W149" s="207">
        <f>SUMIFS('апрель 2023'!$G$4:$G$692,'апрель 2023'!$D$4:$D$692,$B149,'апрель 2023'!$J$4:$J$692,W$1)</f>
        <v>0</v>
      </c>
      <c r="X149" s="207">
        <f>SUMIFS('апрель 2023'!$G$4:$G$692,'апрель 2023'!$D$4:$D$692,$B149,'апрель 2023'!$J$4:$J$692,X$1)</f>
        <v>0</v>
      </c>
      <c r="Y149" s="207">
        <f>SUMIFS('апрель 2023'!$G$4:$G$692,'апрель 2023'!$D$4:$D$692,$B149,'апрель 2023'!$J$4:$J$692,Y$1)</f>
        <v>0</v>
      </c>
      <c r="Z149" s="207">
        <f>SUMIFS('апрель 2023'!$G$4:$G$692,'апрель 2023'!$D$4:$D$692,$B149,'апрель 2023'!$J$4:$J$692,Z$1)</f>
        <v>0</v>
      </c>
      <c r="AA149" s="207">
        <f>SUMIFS('апрель 2023'!$G$4:$G$692,'апрель 2023'!$D$4:$D$692,$B149,'апрель 2023'!$J$4:$J$692,AA$1)</f>
        <v>0</v>
      </c>
      <c r="AB149" s="207">
        <f>SUMIFS('апрель 2023'!$G$4:$G$692,'апрель 2023'!$D$4:$D$692,$B149,'апрель 2023'!$J$4:$J$692,AB$1)</f>
        <v>0</v>
      </c>
      <c r="AC149" s="207">
        <f>SUMIFS('апрель 2023'!$G$4:$G$692,'апрель 2023'!$D$4:$D$692,$B149,'апрель 2023'!$J$4:$J$692,AC$1)</f>
        <v>0</v>
      </c>
      <c r="AD149" s="207">
        <f>SUMIFS('апрель 2023'!$G$4:$G$692,'апрель 2023'!$D$4:$D$692,$B149,'апрель 2023'!$J$4:$J$692,AD$1)</f>
        <v>0</v>
      </c>
      <c r="AE149" s="207">
        <f>SUMIFS('апрель 2023'!$G$4:$G$692,'апрель 2023'!$D$4:$D$692,$B149,'апрель 2023'!$J$4:$J$692,AE$1)</f>
        <v>0</v>
      </c>
      <c r="AF149" s="207">
        <f>SUMIFS('апрель 2023'!$G$4:$G$692,'апрель 2023'!$D$4:$D$692,$B149,'апрель 2023'!$J$4:$J$692,AF$1)</f>
        <v>0</v>
      </c>
      <c r="AG149" s="207">
        <f>SUMIFS('апрель 2023'!$G$4:$G$692,'апрель 2023'!$D$4:$D$692,$B149,'апрель 2023'!$J$4:$J$692,AG$1)</f>
        <v>0</v>
      </c>
      <c r="AH149" s="207">
        <f>SUMIFS('апрель 2023'!$G$4:$G$692,'апрель 2023'!$D$4:$D$692,$B149,'апрель 2023'!$J$4:$J$692,AH$1)</f>
        <v>0</v>
      </c>
      <c r="AI149" s="220">
        <f t="shared" si="6"/>
        <v>0</v>
      </c>
    </row>
    <row r="150" spans="2:35" ht="15.75" hidden="1" x14ac:dyDescent="0.25">
      <c r="B150" s="212"/>
      <c r="C150" s="213"/>
      <c r="D150" s="207">
        <f>SUMIFS('апрель 2023'!$G$4:$G$692,'апрель 2023'!$D$4:$D$692,$B150,'апрель 2023'!$J$4:$J$692,D$1)</f>
        <v>0</v>
      </c>
      <c r="E150" s="207">
        <f>SUMIFS('апрель 2023'!$G$4:$G$692,'апрель 2023'!$D$4:$D$692,$B150,'апрель 2023'!$J$4:$J$692,E$1)</f>
        <v>0</v>
      </c>
      <c r="F150" s="207">
        <f>SUMIFS('апрель 2023'!$G$4:$G$692,'апрель 2023'!$D$4:$D$692,$B150,'апрель 2023'!$J$4:$J$692,F$1)</f>
        <v>0</v>
      </c>
      <c r="G150" s="207">
        <f>SUMIFS('апрель 2023'!$G$4:$G$692,'апрель 2023'!$D$4:$D$692,$B150,'апрель 2023'!$J$4:$J$692,G$1)</f>
        <v>0</v>
      </c>
      <c r="H150" s="207">
        <f>SUMIFS('апрель 2023'!$G$4:$G$692,'апрель 2023'!$D$4:$D$692,$B150,'апрель 2023'!$J$4:$J$692,H$1)</f>
        <v>0</v>
      </c>
      <c r="I150" s="207">
        <f>SUMIFS('апрель 2023'!$G$4:$G$692,'апрель 2023'!$D$4:$D$692,$B150,'апрель 2023'!$J$4:$J$692,I$1)</f>
        <v>0</v>
      </c>
      <c r="J150" s="207">
        <f>SUMIFS('апрель 2023'!$G$4:$G$692,'апрель 2023'!$D$4:$D$692,$B150,'апрель 2023'!$J$4:$J$692,J$1)</f>
        <v>0</v>
      </c>
      <c r="K150" s="207">
        <f>SUMIFS('апрель 2023'!$G$4:$G$692,'апрель 2023'!$D$4:$D$692,$B150,'апрель 2023'!$J$4:$J$692,K$1)</f>
        <v>0</v>
      </c>
      <c r="L150" s="207">
        <f>SUMIFS('апрель 2023'!$G$4:$G$692,'апрель 2023'!$D$4:$D$692,$B150,'апрель 2023'!$J$4:$J$692,L$1)</f>
        <v>0</v>
      </c>
      <c r="M150" s="207">
        <f>SUMIFS('апрель 2023'!$G$4:$G$692,'апрель 2023'!$D$4:$D$692,$B150,'апрель 2023'!$J$4:$J$692,M$1)</f>
        <v>0</v>
      </c>
      <c r="N150" s="207">
        <f>SUMIFS('апрель 2023'!$G$4:$G$692,'апрель 2023'!$D$4:$D$692,$B150,'апрель 2023'!$J$4:$J$692,N$1)</f>
        <v>0</v>
      </c>
      <c r="O150" s="207">
        <f>SUMIFS('апрель 2023'!$G$4:$G$692,'апрель 2023'!$D$4:$D$692,$B150,'апрель 2023'!$J$4:$J$692,O$1)</f>
        <v>0</v>
      </c>
      <c r="P150" s="207">
        <f>SUMIFS('апрель 2023'!$G$4:$G$692,'апрель 2023'!$D$4:$D$692,$B150,'апрель 2023'!$J$4:$J$692,P$1)</f>
        <v>0</v>
      </c>
      <c r="Q150" s="207">
        <f>SUMIFS('апрель 2023'!$G$4:$G$692,'апрель 2023'!$D$4:$D$692,$B150,'апрель 2023'!$J$4:$J$692,Q$1)</f>
        <v>0</v>
      </c>
      <c r="R150" s="207">
        <f>SUMIFS('апрель 2023'!$G$4:$G$692,'апрель 2023'!$D$4:$D$692,$B150,'апрель 2023'!$J$4:$J$692,R$1)</f>
        <v>0</v>
      </c>
      <c r="S150" s="207">
        <f>SUMIFS('апрель 2023'!$G$4:$G$692,'апрель 2023'!$D$4:$D$692,$B150,'апрель 2023'!$J$4:$J$692,S$1)</f>
        <v>0</v>
      </c>
      <c r="T150" s="207">
        <f>SUMIFS('апрель 2023'!$G$4:$G$692,'апрель 2023'!$D$4:$D$692,$B150,'апрель 2023'!$J$4:$J$692,T$1)</f>
        <v>0</v>
      </c>
      <c r="U150" s="207">
        <f>SUMIFS('апрель 2023'!$G$4:$G$692,'апрель 2023'!$D$4:$D$692,$B150,'апрель 2023'!$J$4:$J$692,U$1)</f>
        <v>0</v>
      </c>
      <c r="V150" s="207">
        <f>SUMIFS('апрель 2023'!$G$4:$G$692,'апрель 2023'!$D$4:$D$692,$B150,'апрель 2023'!$J$4:$J$692,V$1)</f>
        <v>0</v>
      </c>
      <c r="W150" s="207">
        <f>SUMIFS('апрель 2023'!$G$4:$G$692,'апрель 2023'!$D$4:$D$692,$B150,'апрель 2023'!$J$4:$J$692,W$1)</f>
        <v>0</v>
      </c>
      <c r="X150" s="207">
        <f>SUMIFS('апрель 2023'!$G$4:$G$692,'апрель 2023'!$D$4:$D$692,$B150,'апрель 2023'!$J$4:$J$692,X$1)</f>
        <v>0</v>
      </c>
      <c r="Y150" s="207">
        <f>SUMIFS('апрель 2023'!$G$4:$G$692,'апрель 2023'!$D$4:$D$692,$B150,'апрель 2023'!$J$4:$J$692,Y$1)</f>
        <v>0</v>
      </c>
      <c r="Z150" s="207">
        <f>SUMIFS('апрель 2023'!$G$4:$G$692,'апрель 2023'!$D$4:$D$692,$B150,'апрель 2023'!$J$4:$J$692,Z$1)</f>
        <v>0</v>
      </c>
      <c r="AA150" s="207">
        <f>SUMIFS('апрель 2023'!$G$4:$G$692,'апрель 2023'!$D$4:$D$692,$B150,'апрель 2023'!$J$4:$J$692,AA$1)</f>
        <v>0</v>
      </c>
      <c r="AB150" s="207">
        <f>SUMIFS('апрель 2023'!$G$4:$G$692,'апрель 2023'!$D$4:$D$692,$B150,'апрель 2023'!$J$4:$J$692,AB$1)</f>
        <v>0</v>
      </c>
      <c r="AC150" s="207">
        <f>SUMIFS('апрель 2023'!$G$4:$G$692,'апрель 2023'!$D$4:$D$692,$B150,'апрель 2023'!$J$4:$J$692,AC$1)</f>
        <v>0</v>
      </c>
      <c r="AD150" s="207">
        <f>SUMIFS('апрель 2023'!$G$4:$G$692,'апрель 2023'!$D$4:$D$692,$B150,'апрель 2023'!$J$4:$J$692,AD$1)</f>
        <v>0</v>
      </c>
      <c r="AE150" s="207">
        <f>SUMIFS('апрель 2023'!$G$4:$G$692,'апрель 2023'!$D$4:$D$692,$B150,'апрель 2023'!$J$4:$J$692,AE$1)</f>
        <v>0</v>
      </c>
      <c r="AF150" s="207">
        <f>SUMIFS('апрель 2023'!$G$4:$G$692,'апрель 2023'!$D$4:$D$692,$B150,'апрель 2023'!$J$4:$J$692,AF$1)</f>
        <v>0</v>
      </c>
      <c r="AG150" s="207">
        <f>SUMIFS('апрель 2023'!$G$4:$G$692,'апрель 2023'!$D$4:$D$692,$B150,'апрель 2023'!$J$4:$J$692,AG$1)</f>
        <v>0</v>
      </c>
      <c r="AH150" s="207">
        <f>SUMIFS('апрель 2023'!$G$4:$G$692,'апрель 2023'!$D$4:$D$692,$B150,'апрель 2023'!$J$4:$J$692,AH$1)</f>
        <v>0</v>
      </c>
      <c r="AI150" s="220">
        <f t="shared" si="6"/>
        <v>0</v>
      </c>
    </row>
    <row r="151" spans="2:35" ht="15.75" hidden="1" x14ac:dyDescent="0.25">
      <c r="B151" s="212"/>
      <c r="C151" s="211"/>
      <c r="D151" s="207">
        <f>SUMIFS('апрель 2023'!$G$4:$G$692,'апрель 2023'!$D$4:$D$692,$B151,'апрель 2023'!$J$4:$J$692,D$1)</f>
        <v>0</v>
      </c>
      <c r="E151" s="207">
        <f>SUMIFS('апрель 2023'!$G$4:$G$692,'апрель 2023'!$D$4:$D$692,$B151,'апрель 2023'!$J$4:$J$692,E$1)</f>
        <v>0</v>
      </c>
      <c r="F151" s="207">
        <f>SUMIFS('апрель 2023'!$G$4:$G$692,'апрель 2023'!$D$4:$D$692,$B151,'апрель 2023'!$J$4:$J$692,F$1)</f>
        <v>0</v>
      </c>
      <c r="G151" s="207">
        <f>SUMIFS('апрель 2023'!$G$4:$G$692,'апрель 2023'!$D$4:$D$692,$B151,'апрель 2023'!$J$4:$J$692,G$1)</f>
        <v>0</v>
      </c>
      <c r="H151" s="207">
        <f>SUMIFS('апрель 2023'!$G$4:$G$692,'апрель 2023'!$D$4:$D$692,$B151,'апрель 2023'!$J$4:$J$692,H$1)</f>
        <v>0</v>
      </c>
      <c r="I151" s="207">
        <f>SUMIFS('апрель 2023'!$G$4:$G$692,'апрель 2023'!$D$4:$D$692,$B151,'апрель 2023'!$J$4:$J$692,I$1)</f>
        <v>0</v>
      </c>
      <c r="J151" s="207">
        <f>SUMIFS('апрель 2023'!$G$4:$G$692,'апрель 2023'!$D$4:$D$692,$B151,'апрель 2023'!$J$4:$J$692,J$1)</f>
        <v>0</v>
      </c>
      <c r="K151" s="207">
        <f>SUMIFS('апрель 2023'!$G$4:$G$692,'апрель 2023'!$D$4:$D$692,$B151,'апрель 2023'!$J$4:$J$692,K$1)</f>
        <v>0</v>
      </c>
      <c r="L151" s="207">
        <f>SUMIFS('апрель 2023'!$G$4:$G$692,'апрель 2023'!$D$4:$D$692,$B151,'апрель 2023'!$J$4:$J$692,L$1)</f>
        <v>0</v>
      </c>
      <c r="M151" s="207">
        <f>SUMIFS('апрель 2023'!$G$4:$G$692,'апрель 2023'!$D$4:$D$692,$B151,'апрель 2023'!$J$4:$J$692,M$1)</f>
        <v>0</v>
      </c>
      <c r="N151" s="207">
        <f>SUMIFS('апрель 2023'!$G$4:$G$692,'апрель 2023'!$D$4:$D$692,$B151,'апрель 2023'!$J$4:$J$692,N$1)</f>
        <v>0</v>
      </c>
      <c r="O151" s="207">
        <f>SUMIFS('апрель 2023'!$G$4:$G$692,'апрель 2023'!$D$4:$D$692,$B151,'апрель 2023'!$J$4:$J$692,O$1)</f>
        <v>0</v>
      </c>
      <c r="P151" s="207">
        <f>SUMIFS('апрель 2023'!$G$4:$G$692,'апрель 2023'!$D$4:$D$692,$B151,'апрель 2023'!$J$4:$J$692,P$1)</f>
        <v>0</v>
      </c>
      <c r="Q151" s="207">
        <f>SUMIFS('апрель 2023'!$G$4:$G$692,'апрель 2023'!$D$4:$D$692,$B151,'апрель 2023'!$J$4:$J$692,Q$1)</f>
        <v>0</v>
      </c>
      <c r="R151" s="207">
        <f>SUMIFS('апрель 2023'!$G$4:$G$692,'апрель 2023'!$D$4:$D$692,$B151,'апрель 2023'!$J$4:$J$692,R$1)</f>
        <v>0</v>
      </c>
      <c r="S151" s="207">
        <f>SUMIFS('апрель 2023'!$G$4:$G$692,'апрель 2023'!$D$4:$D$692,$B151,'апрель 2023'!$J$4:$J$692,S$1)</f>
        <v>0</v>
      </c>
      <c r="T151" s="207">
        <f>SUMIFS('апрель 2023'!$G$4:$G$692,'апрель 2023'!$D$4:$D$692,$B151,'апрель 2023'!$J$4:$J$692,T$1)</f>
        <v>0</v>
      </c>
      <c r="U151" s="207">
        <f>SUMIFS('апрель 2023'!$G$4:$G$692,'апрель 2023'!$D$4:$D$692,$B151,'апрель 2023'!$J$4:$J$692,U$1)</f>
        <v>0</v>
      </c>
      <c r="V151" s="207">
        <f>SUMIFS('апрель 2023'!$G$4:$G$692,'апрель 2023'!$D$4:$D$692,$B151,'апрель 2023'!$J$4:$J$692,V$1)</f>
        <v>0</v>
      </c>
      <c r="W151" s="207">
        <f>SUMIFS('апрель 2023'!$G$4:$G$692,'апрель 2023'!$D$4:$D$692,$B151,'апрель 2023'!$J$4:$J$692,W$1)</f>
        <v>0</v>
      </c>
      <c r="X151" s="207">
        <f>SUMIFS('апрель 2023'!$G$4:$G$692,'апрель 2023'!$D$4:$D$692,$B151,'апрель 2023'!$J$4:$J$692,X$1)</f>
        <v>0</v>
      </c>
      <c r="Y151" s="207">
        <f>SUMIFS('апрель 2023'!$G$4:$G$692,'апрель 2023'!$D$4:$D$692,$B151,'апрель 2023'!$J$4:$J$692,Y$1)</f>
        <v>0</v>
      </c>
      <c r="Z151" s="207">
        <f>SUMIFS('апрель 2023'!$G$4:$G$692,'апрель 2023'!$D$4:$D$692,$B151,'апрель 2023'!$J$4:$J$692,Z$1)</f>
        <v>0</v>
      </c>
      <c r="AA151" s="207">
        <f>SUMIFS('апрель 2023'!$G$4:$G$692,'апрель 2023'!$D$4:$D$692,$B151,'апрель 2023'!$J$4:$J$692,AA$1)</f>
        <v>0</v>
      </c>
      <c r="AB151" s="207">
        <f>SUMIFS('апрель 2023'!$G$4:$G$692,'апрель 2023'!$D$4:$D$692,$B151,'апрель 2023'!$J$4:$J$692,AB$1)</f>
        <v>0</v>
      </c>
      <c r="AC151" s="207">
        <f>SUMIFS('апрель 2023'!$G$4:$G$692,'апрель 2023'!$D$4:$D$692,$B151,'апрель 2023'!$J$4:$J$692,AC$1)</f>
        <v>0</v>
      </c>
      <c r="AD151" s="207">
        <f>SUMIFS('апрель 2023'!$G$4:$G$692,'апрель 2023'!$D$4:$D$692,$B151,'апрель 2023'!$J$4:$J$692,AD$1)</f>
        <v>0</v>
      </c>
      <c r="AE151" s="207">
        <f>SUMIFS('апрель 2023'!$G$4:$G$692,'апрель 2023'!$D$4:$D$692,$B151,'апрель 2023'!$J$4:$J$692,AE$1)</f>
        <v>0</v>
      </c>
      <c r="AF151" s="207">
        <f>SUMIFS('апрель 2023'!$G$4:$G$692,'апрель 2023'!$D$4:$D$692,$B151,'апрель 2023'!$J$4:$J$692,AF$1)</f>
        <v>0</v>
      </c>
      <c r="AG151" s="207">
        <f>SUMIFS('апрель 2023'!$G$4:$G$692,'апрель 2023'!$D$4:$D$692,$B151,'апрель 2023'!$J$4:$J$692,AG$1)</f>
        <v>0</v>
      </c>
      <c r="AH151" s="207">
        <f>SUMIFS('апрель 2023'!$G$4:$G$692,'апрель 2023'!$D$4:$D$692,$B151,'апрель 2023'!$J$4:$J$692,AH$1)</f>
        <v>0</v>
      </c>
      <c r="AI151" s="220">
        <f t="shared" si="6"/>
        <v>0</v>
      </c>
    </row>
    <row r="152" spans="2:35" ht="15.75" hidden="1" x14ac:dyDescent="0.25">
      <c r="B152" s="212"/>
      <c r="C152" s="211"/>
      <c r="D152" s="207">
        <f>SUMIFS('апрель 2023'!$G$4:$G$692,'апрель 2023'!$D$4:$D$692,$B152,'апрель 2023'!$J$4:$J$692,D$1)</f>
        <v>0</v>
      </c>
      <c r="E152" s="207">
        <f>SUMIFS('апрель 2023'!$G$4:$G$692,'апрель 2023'!$D$4:$D$692,$B152,'апрель 2023'!$J$4:$J$692,E$1)</f>
        <v>0</v>
      </c>
      <c r="F152" s="207">
        <f>SUMIFS('апрель 2023'!$G$4:$G$692,'апрель 2023'!$D$4:$D$692,$B152,'апрель 2023'!$J$4:$J$692,F$1)</f>
        <v>0</v>
      </c>
      <c r="G152" s="207">
        <f>SUMIFS('апрель 2023'!$G$4:$G$692,'апрель 2023'!$D$4:$D$692,$B152,'апрель 2023'!$J$4:$J$692,G$1)</f>
        <v>0</v>
      </c>
      <c r="H152" s="207">
        <f>SUMIFS('апрель 2023'!$G$4:$G$692,'апрель 2023'!$D$4:$D$692,$B152,'апрель 2023'!$J$4:$J$692,H$1)</f>
        <v>0</v>
      </c>
      <c r="I152" s="207">
        <f>SUMIFS('апрель 2023'!$G$4:$G$692,'апрель 2023'!$D$4:$D$692,$B152,'апрель 2023'!$J$4:$J$692,I$1)</f>
        <v>0</v>
      </c>
      <c r="J152" s="207">
        <f>SUMIFS('апрель 2023'!$G$4:$G$692,'апрель 2023'!$D$4:$D$692,$B152,'апрель 2023'!$J$4:$J$692,J$1)</f>
        <v>0</v>
      </c>
      <c r="K152" s="207">
        <f>SUMIFS('апрель 2023'!$G$4:$G$692,'апрель 2023'!$D$4:$D$692,$B152,'апрель 2023'!$J$4:$J$692,K$1)</f>
        <v>0</v>
      </c>
      <c r="L152" s="207">
        <f>SUMIFS('апрель 2023'!$G$4:$G$692,'апрель 2023'!$D$4:$D$692,$B152,'апрель 2023'!$J$4:$J$692,L$1)</f>
        <v>0</v>
      </c>
      <c r="M152" s="207">
        <f>SUMIFS('апрель 2023'!$G$4:$G$692,'апрель 2023'!$D$4:$D$692,$B152,'апрель 2023'!$J$4:$J$692,M$1)</f>
        <v>0</v>
      </c>
      <c r="N152" s="207">
        <f>SUMIFS('апрель 2023'!$G$4:$G$692,'апрель 2023'!$D$4:$D$692,$B152,'апрель 2023'!$J$4:$J$692,N$1)</f>
        <v>0</v>
      </c>
      <c r="O152" s="207">
        <f>SUMIFS('апрель 2023'!$G$4:$G$692,'апрель 2023'!$D$4:$D$692,$B152,'апрель 2023'!$J$4:$J$692,O$1)</f>
        <v>0</v>
      </c>
      <c r="P152" s="207">
        <f>SUMIFS('апрель 2023'!$G$4:$G$692,'апрель 2023'!$D$4:$D$692,$B152,'апрель 2023'!$J$4:$J$692,P$1)</f>
        <v>0</v>
      </c>
      <c r="Q152" s="207">
        <f>SUMIFS('апрель 2023'!$G$4:$G$692,'апрель 2023'!$D$4:$D$692,$B152,'апрель 2023'!$J$4:$J$692,Q$1)</f>
        <v>0</v>
      </c>
      <c r="R152" s="207">
        <f>SUMIFS('апрель 2023'!$G$4:$G$692,'апрель 2023'!$D$4:$D$692,$B152,'апрель 2023'!$J$4:$J$692,R$1)</f>
        <v>0</v>
      </c>
      <c r="S152" s="207">
        <f>SUMIFS('апрель 2023'!$G$4:$G$692,'апрель 2023'!$D$4:$D$692,$B152,'апрель 2023'!$J$4:$J$692,S$1)</f>
        <v>0</v>
      </c>
      <c r="T152" s="207">
        <f>SUMIFS('апрель 2023'!$G$4:$G$692,'апрель 2023'!$D$4:$D$692,$B152,'апрель 2023'!$J$4:$J$692,T$1)</f>
        <v>0</v>
      </c>
      <c r="U152" s="207">
        <f>SUMIFS('апрель 2023'!$G$4:$G$692,'апрель 2023'!$D$4:$D$692,$B152,'апрель 2023'!$J$4:$J$692,U$1)</f>
        <v>0</v>
      </c>
      <c r="V152" s="207">
        <f>SUMIFS('апрель 2023'!$G$4:$G$692,'апрель 2023'!$D$4:$D$692,$B152,'апрель 2023'!$J$4:$J$692,V$1)</f>
        <v>0</v>
      </c>
      <c r="W152" s="207">
        <f>SUMIFS('апрель 2023'!$G$4:$G$692,'апрель 2023'!$D$4:$D$692,$B152,'апрель 2023'!$J$4:$J$692,W$1)</f>
        <v>0</v>
      </c>
      <c r="X152" s="207">
        <f>SUMIFS('апрель 2023'!$G$4:$G$692,'апрель 2023'!$D$4:$D$692,$B152,'апрель 2023'!$J$4:$J$692,X$1)</f>
        <v>0</v>
      </c>
      <c r="Y152" s="207">
        <f>SUMIFS('апрель 2023'!$G$4:$G$692,'апрель 2023'!$D$4:$D$692,$B152,'апрель 2023'!$J$4:$J$692,Y$1)</f>
        <v>0</v>
      </c>
      <c r="Z152" s="207">
        <f>SUMIFS('апрель 2023'!$G$4:$G$692,'апрель 2023'!$D$4:$D$692,$B152,'апрель 2023'!$J$4:$J$692,Z$1)</f>
        <v>0</v>
      </c>
      <c r="AA152" s="207">
        <f>SUMIFS('апрель 2023'!$G$4:$G$692,'апрель 2023'!$D$4:$D$692,$B152,'апрель 2023'!$J$4:$J$692,AA$1)</f>
        <v>0</v>
      </c>
      <c r="AB152" s="207">
        <f>SUMIFS('апрель 2023'!$G$4:$G$692,'апрель 2023'!$D$4:$D$692,$B152,'апрель 2023'!$J$4:$J$692,AB$1)</f>
        <v>0</v>
      </c>
      <c r="AC152" s="207">
        <f>SUMIFS('апрель 2023'!$G$4:$G$692,'апрель 2023'!$D$4:$D$692,$B152,'апрель 2023'!$J$4:$J$692,AC$1)</f>
        <v>0</v>
      </c>
      <c r="AD152" s="207">
        <f>SUMIFS('апрель 2023'!$G$4:$G$692,'апрель 2023'!$D$4:$D$692,$B152,'апрель 2023'!$J$4:$J$692,AD$1)</f>
        <v>0</v>
      </c>
      <c r="AE152" s="207">
        <f>SUMIFS('апрель 2023'!$G$4:$G$692,'апрель 2023'!$D$4:$D$692,$B152,'апрель 2023'!$J$4:$J$692,AE$1)</f>
        <v>0</v>
      </c>
      <c r="AF152" s="207">
        <f>SUMIFS('апрель 2023'!$G$4:$G$692,'апрель 2023'!$D$4:$D$692,$B152,'апрель 2023'!$J$4:$J$692,AF$1)</f>
        <v>0</v>
      </c>
      <c r="AG152" s="207">
        <f>SUMIFS('апрель 2023'!$G$4:$G$692,'апрель 2023'!$D$4:$D$692,$B152,'апрель 2023'!$J$4:$J$692,AG$1)</f>
        <v>0</v>
      </c>
      <c r="AH152" s="207">
        <f>SUMIFS('апрель 2023'!$G$4:$G$692,'апрель 2023'!$D$4:$D$692,$B152,'апрель 2023'!$J$4:$J$692,AH$1)</f>
        <v>0</v>
      </c>
      <c r="AI152" s="220">
        <f t="shared" si="6"/>
        <v>0</v>
      </c>
    </row>
    <row r="153" spans="2:35" ht="15.75" hidden="1" x14ac:dyDescent="0.25">
      <c r="B153" s="212"/>
      <c r="C153" s="211"/>
      <c r="D153" s="207">
        <f>SUMIFS('апрель 2023'!$G$4:$G$692,'апрель 2023'!$D$4:$D$692,$B153,'апрель 2023'!$J$4:$J$692,D$1)</f>
        <v>0</v>
      </c>
      <c r="E153" s="207">
        <f>SUMIFS('апрель 2023'!$G$4:$G$692,'апрель 2023'!$D$4:$D$692,$B153,'апрель 2023'!$J$4:$J$692,E$1)</f>
        <v>0</v>
      </c>
      <c r="F153" s="207">
        <f>SUMIFS('апрель 2023'!$G$4:$G$692,'апрель 2023'!$D$4:$D$692,$B153,'апрель 2023'!$J$4:$J$692,F$1)</f>
        <v>0</v>
      </c>
      <c r="G153" s="207">
        <f>SUMIFS('апрель 2023'!$G$4:$G$692,'апрель 2023'!$D$4:$D$692,$B153,'апрель 2023'!$J$4:$J$692,G$1)</f>
        <v>0</v>
      </c>
      <c r="H153" s="207">
        <f>SUMIFS('апрель 2023'!$G$4:$G$692,'апрель 2023'!$D$4:$D$692,$B153,'апрель 2023'!$J$4:$J$692,H$1)</f>
        <v>0</v>
      </c>
      <c r="I153" s="207">
        <f>SUMIFS('апрель 2023'!$G$4:$G$692,'апрель 2023'!$D$4:$D$692,$B153,'апрель 2023'!$J$4:$J$692,I$1)</f>
        <v>0</v>
      </c>
      <c r="J153" s="207">
        <f>SUMIFS('апрель 2023'!$G$4:$G$692,'апрель 2023'!$D$4:$D$692,$B153,'апрель 2023'!$J$4:$J$692,J$1)</f>
        <v>0</v>
      </c>
      <c r="K153" s="207">
        <f>SUMIFS('апрель 2023'!$G$4:$G$692,'апрель 2023'!$D$4:$D$692,$B153,'апрель 2023'!$J$4:$J$692,K$1)</f>
        <v>0</v>
      </c>
      <c r="L153" s="207">
        <f>SUMIFS('апрель 2023'!$G$4:$G$692,'апрель 2023'!$D$4:$D$692,$B153,'апрель 2023'!$J$4:$J$692,L$1)</f>
        <v>0</v>
      </c>
      <c r="M153" s="207">
        <f>SUMIFS('апрель 2023'!$G$4:$G$692,'апрель 2023'!$D$4:$D$692,$B153,'апрель 2023'!$J$4:$J$692,M$1)</f>
        <v>0</v>
      </c>
      <c r="N153" s="207">
        <f>SUMIFS('апрель 2023'!$G$4:$G$692,'апрель 2023'!$D$4:$D$692,$B153,'апрель 2023'!$J$4:$J$692,N$1)</f>
        <v>0</v>
      </c>
      <c r="O153" s="207">
        <f>SUMIFS('апрель 2023'!$G$4:$G$692,'апрель 2023'!$D$4:$D$692,$B153,'апрель 2023'!$J$4:$J$692,O$1)</f>
        <v>0</v>
      </c>
      <c r="P153" s="207">
        <f>SUMIFS('апрель 2023'!$G$4:$G$692,'апрель 2023'!$D$4:$D$692,$B153,'апрель 2023'!$J$4:$J$692,P$1)</f>
        <v>0</v>
      </c>
      <c r="Q153" s="207">
        <f>SUMIFS('апрель 2023'!$G$4:$G$692,'апрель 2023'!$D$4:$D$692,$B153,'апрель 2023'!$J$4:$J$692,Q$1)</f>
        <v>0</v>
      </c>
      <c r="R153" s="207">
        <f>SUMIFS('апрель 2023'!$G$4:$G$692,'апрель 2023'!$D$4:$D$692,$B153,'апрель 2023'!$J$4:$J$692,R$1)</f>
        <v>0</v>
      </c>
      <c r="S153" s="207">
        <f>SUMIFS('апрель 2023'!$G$4:$G$692,'апрель 2023'!$D$4:$D$692,$B153,'апрель 2023'!$J$4:$J$692,S$1)</f>
        <v>0</v>
      </c>
      <c r="T153" s="207">
        <f>SUMIFS('апрель 2023'!$G$4:$G$692,'апрель 2023'!$D$4:$D$692,$B153,'апрель 2023'!$J$4:$J$692,T$1)</f>
        <v>0</v>
      </c>
      <c r="U153" s="207">
        <f>SUMIFS('апрель 2023'!$G$4:$G$692,'апрель 2023'!$D$4:$D$692,$B153,'апрель 2023'!$J$4:$J$692,U$1)</f>
        <v>0</v>
      </c>
      <c r="V153" s="207">
        <f>SUMIFS('апрель 2023'!$G$4:$G$692,'апрель 2023'!$D$4:$D$692,$B153,'апрель 2023'!$J$4:$J$692,V$1)</f>
        <v>0</v>
      </c>
      <c r="W153" s="207">
        <f>SUMIFS('апрель 2023'!$G$4:$G$692,'апрель 2023'!$D$4:$D$692,$B153,'апрель 2023'!$J$4:$J$692,W$1)</f>
        <v>0</v>
      </c>
      <c r="X153" s="207">
        <f>SUMIFS('апрель 2023'!$G$4:$G$692,'апрель 2023'!$D$4:$D$692,$B153,'апрель 2023'!$J$4:$J$692,X$1)</f>
        <v>0</v>
      </c>
      <c r="Y153" s="207">
        <f>SUMIFS('апрель 2023'!$G$4:$G$692,'апрель 2023'!$D$4:$D$692,$B153,'апрель 2023'!$J$4:$J$692,Y$1)</f>
        <v>0</v>
      </c>
      <c r="Z153" s="207">
        <f>SUMIFS('апрель 2023'!$G$4:$G$692,'апрель 2023'!$D$4:$D$692,$B153,'апрель 2023'!$J$4:$J$692,Z$1)</f>
        <v>0</v>
      </c>
      <c r="AA153" s="207">
        <f>SUMIFS('апрель 2023'!$G$4:$G$692,'апрель 2023'!$D$4:$D$692,$B153,'апрель 2023'!$J$4:$J$692,AA$1)</f>
        <v>0</v>
      </c>
      <c r="AB153" s="207">
        <f>SUMIFS('апрель 2023'!$G$4:$G$692,'апрель 2023'!$D$4:$D$692,$B153,'апрель 2023'!$J$4:$J$692,AB$1)</f>
        <v>0</v>
      </c>
      <c r="AC153" s="207">
        <f>SUMIFS('апрель 2023'!$G$4:$G$692,'апрель 2023'!$D$4:$D$692,$B153,'апрель 2023'!$J$4:$J$692,AC$1)</f>
        <v>0</v>
      </c>
      <c r="AD153" s="207">
        <f>SUMIFS('апрель 2023'!$G$4:$G$692,'апрель 2023'!$D$4:$D$692,$B153,'апрель 2023'!$J$4:$J$692,AD$1)</f>
        <v>0</v>
      </c>
      <c r="AE153" s="207">
        <f>SUMIFS('апрель 2023'!$G$4:$G$692,'апрель 2023'!$D$4:$D$692,$B153,'апрель 2023'!$J$4:$J$692,AE$1)</f>
        <v>0</v>
      </c>
      <c r="AF153" s="207">
        <f>SUMIFS('апрель 2023'!$G$4:$G$692,'апрель 2023'!$D$4:$D$692,$B153,'апрель 2023'!$J$4:$J$692,AF$1)</f>
        <v>0</v>
      </c>
      <c r="AG153" s="207">
        <f>SUMIFS('апрель 2023'!$G$4:$G$692,'апрель 2023'!$D$4:$D$692,$B153,'апрель 2023'!$J$4:$J$692,AG$1)</f>
        <v>0</v>
      </c>
      <c r="AH153" s="207">
        <f>SUMIFS('апрель 2023'!$G$4:$G$692,'апрель 2023'!$D$4:$D$692,$B153,'апрель 2023'!$J$4:$J$692,AH$1)</f>
        <v>0</v>
      </c>
      <c r="AI153" s="220">
        <f t="shared" si="6"/>
        <v>0</v>
      </c>
    </row>
    <row r="154" spans="2:35" ht="15.75" hidden="1" x14ac:dyDescent="0.25">
      <c r="B154" s="212"/>
      <c r="C154" s="211"/>
      <c r="D154" s="207">
        <f>SUMIFS('апрель 2023'!$G$4:$G$692,'апрель 2023'!$D$4:$D$692,$B154,'апрель 2023'!$J$4:$J$692,D$1)</f>
        <v>0</v>
      </c>
      <c r="E154" s="207">
        <f>SUMIFS('апрель 2023'!$G$4:$G$692,'апрель 2023'!$D$4:$D$692,$B154,'апрель 2023'!$J$4:$J$692,E$1)</f>
        <v>0</v>
      </c>
      <c r="F154" s="207">
        <f>SUMIFS('апрель 2023'!$G$4:$G$692,'апрель 2023'!$D$4:$D$692,$B154,'апрель 2023'!$J$4:$J$692,F$1)</f>
        <v>0</v>
      </c>
      <c r="G154" s="207">
        <f>SUMIFS('апрель 2023'!$G$4:$G$692,'апрель 2023'!$D$4:$D$692,$B154,'апрель 2023'!$J$4:$J$692,G$1)</f>
        <v>0</v>
      </c>
      <c r="H154" s="207">
        <f>SUMIFS('апрель 2023'!$G$4:$G$692,'апрель 2023'!$D$4:$D$692,$B154,'апрель 2023'!$J$4:$J$692,H$1)</f>
        <v>0</v>
      </c>
      <c r="I154" s="207">
        <f>SUMIFS('апрель 2023'!$G$4:$G$692,'апрель 2023'!$D$4:$D$692,$B154,'апрель 2023'!$J$4:$J$692,I$1)</f>
        <v>0</v>
      </c>
      <c r="J154" s="207">
        <f>SUMIFS('апрель 2023'!$G$4:$G$692,'апрель 2023'!$D$4:$D$692,$B154,'апрель 2023'!$J$4:$J$692,J$1)</f>
        <v>0</v>
      </c>
      <c r="K154" s="207">
        <f>SUMIFS('апрель 2023'!$G$4:$G$692,'апрель 2023'!$D$4:$D$692,$B154,'апрель 2023'!$J$4:$J$692,K$1)</f>
        <v>0</v>
      </c>
      <c r="L154" s="207">
        <f>SUMIFS('апрель 2023'!$G$4:$G$692,'апрель 2023'!$D$4:$D$692,$B154,'апрель 2023'!$J$4:$J$692,L$1)</f>
        <v>0</v>
      </c>
      <c r="M154" s="207">
        <f>SUMIFS('апрель 2023'!$G$4:$G$692,'апрель 2023'!$D$4:$D$692,$B154,'апрель 2023'!$J$4:$J$692,M$1)</f>
        <v>0</v>
      </c>
      <c r="N154" s="207">
        <f>SUMIFS('апрель 2023'!$G$4:$G$692,'апрель 2023'!$D$4:$D$692,$B154,'апрель 2023'!$J$4:$J$692,N$1)</f>
        <v>0</v>
      </c>
      <c r="O154" s="207">
        <f>SUMIFS('апрель 2023'!$G$4:$G$692,'апрель 2023'!$D$4:$D$692,$B154,'апрель 2023'!$J$4:$J$692,O$1)</f>
        <v>0</v>
      </c>
      <c r="P154" s="207">
        <f>SUMIFS('апрель 2023'!$G$4:$G$692,'апрель 2023'!$D$4:$D$692,$B154,'апрель 2023'!$J$4:$J$692,P$1)</f>
        <v>0</v>
      </c>
      <c r="Q154" s="207">
        <f>SUMIFS('апрель 2023'!$G$4:$G$692,'апрель 2023'!$D$4:$D$692,$B154,'апрель 2023'!$J$4:$J$692,Q$1)</f>
        <v>0</v>
      </c>
      <c r="R154" s="207">
        <f>SUMIFS('апрель 2023'!$G$4:$G$692,'апрель 2023'!$D$4:$D$692,$B154,'апрель 2023'!$J$4:$J$692,R$1)</f>
        <v>0</v>
      </c>
      <c r="S154" s="207">
        <f>SUMIFS('апрель 2023'!$G$4:$G$692,'апрель 2023'!$D$4:$D$692,$B154,'апрель 2023'!$J$4:$J$692,S$1)</f>
        <v>0</v>
      </c>
      <c r="T154" s="207">
        <f>SUMIFS('апрель 2023'!$G$4:$G$692,'апрель 2023'!$D$4:$D$692,$B154,'апрель 2023'!$J$4:$J$692,T$1)</f>
        <v>0</v>
      </c>
      <c r="U154" s="207">
        <f>SUMIFS('апрель 2023'!$G$4:$G$692,'апрель 2023'!$D$4:$D$692,$B154,'апрель 2023'!$J$4:$J$692,U$1)</f>
        <v>0</v>
      </c>
      <c r="V154" s="207">
        <f>SUMIFS('апрель 2023'!$G$4:$G$692,'апрель 2023'!$D$4:$D$692,$B154,'апрель 2023'!$J$4:$J$692,V$1)</f>
        <v>0</v>
      </c>
      <c r="W154" s="207">
        <f>SUMIFS('апрель 2023'!$G$4:$G$692,'апрель 2023'!$D$4:$D$692,$B154,'апрель 2023'!$J$4:$J$692,W$1)</f>
        <v>0</v>
      </c>
      <c r="X154" s="207">
        <f>SUMIFS('апрель 2023'!$G$4:$G$692,'апрель 2023'!$D$4:$D$692,$B154,'апрель 2023'!$J$4:$J$692,X$1)</f>
        <v>0</v>
      </c>
      <c r="Y154" s="207">
        <f>SUMIFS('апрель 2023'!$G$4:$G$692,'апрель 2023'!$D$4:$D$692,$B154,'апрель 2023'!$J$4:$J$692,Y$1)</f>
        <v>0</v>
      </c>
      <c r="Z154" s="207">
        <f>SUMIFS('апрель 2023'!$G$4:$G$692,'апрель 2023'!$D$4:$D$692,$B154,'апрель 2023'!$J$4:$J$692,Z$1)</f>
        <v>0</v>
      </c>
      <c r="AA154" s="207">
        <f>SUMIFS('апрель 2023'!$G$4:$G$692,'апрель 2023'!$D$4:$D$692,$B154,'апрель 2023'!$J$4:$J$692,AA$1)</f>
        <v>0</v>
      </c>
      <c r="AB154" s="207">
        <f>SUMIFS('апрель 2023'!$G$4:$G$692,'апрель 2023'!$D$4:$D$692,$B154,'апрель 2023'!$J$4:$J$692,AB$1)</f>
        <v>0</v>
      </c>
      <c r="AC154" s="207">
        <f>SUMIFS('апрель 2023'!$G$4:$G$692,'апрель 2023'!$D$4:$D$692,$B154,'апрель 2023'!$J$4:$J$692,AC$1)</f>
        <v>0</v>
      </c>
      <c r="AD154" s="207">
        <f>SUMIFS('апрель 2023'!$G$4:$G$692,'апрель 2023'!$D$4:$D$692,$B154,'апрель 2023'!$J$4:$J$692,AD$1)</f>
        <v>0</v>
      </c>
      <c r="AE154" s="207">
        <f>SUMIFS('апрель 2023'!$G$4:$G$692,'апрель 2023'!$D$4:$D$692,$B154,'апрель 2023'!$J$4:$J$692,AE$1)</f>
        <v>0</v>
      </c>
      <c r="AF154" s="207">
        <f>SUMIFS('апрель 2023'!$G$4:$G$692,'апрель 2023'!$D$4:$D$692,$B154,'апрель 2023'!$J$4:$J$692,AF$1)</f>
        <v>0</v>
      </c>
      <c r="AG154" s="207">
        <f>SUMIFS('апрель 2023'!$G$4:$G$692,'апрель 2023'!$D$4:$D$692,$B154,'апрель 2023'!$J$4:$J$692,AG$1)</f>
        <v>0</v>
      </c>
      <c r="AH154" s="207">
        <f>SUMIFS('апрель 2023'!$G$4:$G$692,'апрель 2023'!$D$4:$D$692,$B154,'апрель 2023'!$J$4:$J$692,AH$1)</f>
        <v>0</v>
      </c>
      <c r="AI154" s="220">
        <f t="shared" si="6"/>
        <v>0</v>
      </c>
    </row>
    <row r="155" spans="2:35" ht="15.75" hidden="1" x14ac:dyDescent="0.25">
      <c r="B155" s="212"/>
      <c r="C155" s="211"/>
      <c r="D155" s="207">
        <f>SUMIFS('апрель 2023'!$G$4:$G$692,'апрель 2023'!$D$4:$D$692,$B155,'апрель 2023'!$J$4:$J$692,D$1)</f>
        <v>0</v>
      </c>
      <c r="E155" s="207">
        <f>SUMIFS('апрель 2023'!$G$4:$G$692,'апрель 2023'!$D$4:$D$692,$B155,'апрель 2023'!$J$4:$J$692,E$1)</f>
        <v>0</v>
      </c>
      <c r="F155" s="207">
        <f>SUMIFS('апрель 2023'!$G$4:$G$692,'апрель 2023'!$D$4:$D$692,$B155,'апрель 2023'!$J$4:$J$692,F$1)</f>
        <v>0</v>
      </c>
      <c r="G155" s="207">
        <f>SUMIFS('апрель 2023'!$G$4:$G$692,'апрель 2023'!$D$4:$D$692,$B155,'апрель 2023'!$J$4:$J$692,G$1)</f>
        <v>0</v>
      </c>
      <c r="H155" s="207">
        <f>SUMIFS('апрель 2023'!$G$4:$G$692,'апрель 2023'!$D$4:$D$692,$B155,'апрель 2023'!$J$4:$J$692,H$1)</f>
        <v>0</v>
      </c>
      <c r="I155" s="207">
        <f>SUMIFS('апрель 2023'!$G$4:$G$692,'апрель 2023'!$D$4:$D$692,$B155,'апрель 2023'!$J$4:$J$692,I$1)</f>
        <v>0</v>
      </c>
      <c r="J155" s="207">
        <f>SUMIFS('апрель 2023'!$G$4:$G$692,'апрель 2023'!$D$4:$D$692,$B155,'апрель 2023'!$J$4:$J$692,J$1)</f>
        <v>0</v>
      </c>
      <c r="K155" s="207">
        <f>SUMIFS('апрель 2023'!$G$4:$G$692,'апрель 2023'!$D$4:$D$692,$B155,'апрель 2023'!$J$4:$J$692,K$1)</f>
        <v>0</v>
      </c>
      <c r="L155" s="207">
        <f>SUMIFS('апрель 2023'!$G$4:$G$692,'апрель 2023'!$D$4:$D$692,$B155,'апрель 2023'!$J$4:$J$692,L$1)</f>
        <v>0</v>
      </c>
      <c r="M155" s="207">
        <f>SUMIFS('апрель 2023'!$G$4:$G$692,'апрель 2023'!$D$4:$D$692,$B155,'апрель 2023'!$J$4:$J$692,M$1)</f>
        <v>0</v>
      </c>
      <c r="N155" s="207">
        <f>SUMIFS('апрель 2023'!$G$4:$G$692,'апрель 2023'!$D$4:$D$692,$B155,'апрель 2023'!$J$4:$J$692,N$1)</f>
        <v>0</v>
      </c>
      <c r="O155" s="207">
        <f>SUMIFS('апрель 2023'!$G$4:$G$692,'апрель 2023'!$D$4:$D$692,$B155,'апрель 2023'!$J$4:$J$692,O$1)</f>
        <v>0</v>
      </c>
      <c r="P155" s="207">
        <f>SUMIFS('апрель 2023'!$G$4:$G$692,'апрель 2023'!$D$4:$D$692,$B155,'апрель 2023'!$J$4:$J$692,P$1)</f>
        <v>0</v>
      </c>
      <c r="Q155" s="207">
        <f>SUMIFS('апрель 2023'!$G$4:$G$692,'апрель 2023'!$D$4:$D$692,$B155,'апрель 2023'!$J$4:$J$692,Q$1)</f>
        <v>0</v>
      </c>
      <c r="R155" s="207">
        <f>SUMIFS('апрель 2023'!$G$4:$G$692,'апрель 2023'!$D$4:$D$692,$B155,'апрель 2023'!$J$4:$J$692,R$1)</f>
        <v>0</v>
      </c>
      <c r="S155" s="207">
        <f>SUMIFS('апрель 2023'!$G$4:$G$692,'апрель 2023'!$D$4:$D$692,$B155,'апрель 2023'!$J$4:$J$692,S$1)</f>
        <v>0</v>
      </c>
      <c r="T155" s="207">
        <f>SUMIFS('апрель 2023'!$G$4:$G$692,'апрель 2023'!$D$4:$D$692,$B155,'апрель 2023'!$J$4:$J$692,T$1)</f>
        <v>0</v>
      </c>
      <c r="U155" s="207">
        <f>SUMIFS('апрель 2023'!$G$4:$G$692,'апрель 2023'!$D$4:$D$692,$B155,'апрель 2023'!$J$4:$J$692,U$1)</f>
        <v>0</v>
      </c>
      <c r="V155" s="207">
        <f>SUMIFS('апрель 2023'!$G$4:$G$692,'апрель 2023'!$D$4:$D$692,$B155,'апрель 2023'!$J$4:$J$692,V$1)</f>
        <v>0</v>
      </c>
      <c r="W155" s="207">
        <f>SUMIFS('апрель 2023'!$G$4:$G$692,'апрель 2023'!$D$4:$D$692,$B155,'апрель 2023'!$J$4:$J$692,W$1)</f>
        <v>0</v>
      </c>
      <c r="X155" s="207">
        <f>SUMIFS('апрель 2023'!$G$4:$G$692,'апрель 2023'!$D$4:$D$692,$B155,'апрель 2023'!$J$4:$J$692,X$1)</f>
        <v>0</v>
      </c>
      <c r="Y155" s="207">
        <f>SUMIFS('апрель 2023'!$G$4:$G$692,'апрель 2023'!$D$4:$D$692,$B155,'апрель 2023'!$J$4:$J$692,Y$1)</f>
        <v>0</v>
      </c>
      <c r="Z155" s="207">
        <f>SUMIFS('апрель 2023'!$G$4:$G$692,'апрель 2023'!$D$4:$D$692,$B155,'апрель 2023'!$J$4:$J$692,Z$1)</f>
        <v>0</v>
      </c>
      <c r="AA155" s="207">
        <f>SUMIFS('апрель 2023'!$G$4:$G$692,'апрель 2023'!$D$4:$D$692,$B155,'апрель 2023'!$J$4:$J$692,AA$1)</f>
        <v>0</v>
      </c>
      <c r="AB155" s="207">
        <f>SUMIFS('апрель 2023'!$G$4:$G$692,'апрель 2023'!$D$4:$D$692,$B155,'апрель 2023'!$J$4:$J$692,AB$1)</f>
        <v>0</v>
      </c>
      <c r="AC155" s="207">
        <f>SUMIFS('апрель 2023'!$G$4:$G$692,'апрель 2023'!$D$4:$D$692,$B155,'апрель 2023'!$J$4:$J$692,AC$1)</f>
        <v>0</v>
      </c>
      <c r="AD155" s="207">
        <f>SUMIFS('апрель 2023'!$G$4:$G$692,'апрель 2023'!$D$4:$D$692,$B155,'апрель 2023'!$J$4:$J$692,AD$1)</f>
        <v>0</v>
      </c>
      <c r="AE155" s="207">
        <f>SUMIFS('апрель 2023'!$G$4:$G$692,'апрель 2023'!$D$4:$D$692,$B155,'апрель 2023'!$J$4:$J$692,AE$1)</f>
        <v>0</v>
      </c>
      <c r="AF155" s="207">
        <f>SUMIFS('апрель 2023'!$G$4:$G$692,'апрель 2023'!$D$4:$D$692,$B155,'апрель 2023'!$J$4:$J$692,AF$1)</f>
        <v>0</v>
      </c>
      <c r="AG155" s="207">
        <f>SUMIFS('апрель 2023'!$G$4:$G$692,'апрель 2023'!$D$4:$D$692,$B155,'апрель 2023'!$J$4:$J$692,AG$1)</f>
        <v>0</v>
      </c>
      <c r="AH155" s="207">
        <f>SUMIFS('апрель 2023'!$G$4:$G$692,'апрель 2023'!$D$4:$D$692,$B155,'апрель 2023'!$J$4:$J$692,AH$1)</f>
        <v>0</v>
      </c>
      <c r="AI155" s="220">
        <f t="shared" si="6"/>
        <v>0</v>
      </c>
    </row>
    <row r="156" spans="2:35" ht="15.75" hidden="1" x14ac:dyDescent="0.25">
      <c r="B156" s="212"/>
      <c r="C156" s="211"/>
      <c r="D156" s="207">
        <f>SUMIFS('апрель 2023'!$G$4:$G$692,'апрель 2023'!$D$4:$D$692,$B156,'апрель 2023'!$J$4:$J$692,D$1)</f>
        <v>0</v>
      </c>
      <c r="E156" s="207">
        <f>SUMIFS('апрель 2023'!$G$4:$G$692,'апрель 2023'!$D$4:$D$692,$B156,'апрель 2023'!$J$4:$J$692,E$1)</f>
        <v>0</v>
      </c>
      <c r="F156" s="207">
        <f>SUMIFS('апрель 2023'!$G$4:$G$692,'апрель 2023'!$D$4:$D$692,$B156,'апрель 2023'!$J$4:$J$692,F$1)</f>
        <v>0</v>
      </c>
      <c r="G156" s="207">
        <f>SUMIFS('апрель 2023'!$G$4:$G$692,'апрель 2023'!$D$4:$D$692,$B156,'апрель 2023'!$J$4:$J$692,G$1)</f>
        <v>0</v>
      </c>
      <c r="H156" s="207">
        <f>SUMIFS('апрель 2023'!$G$4:$G$692,'апрель 2023'!$D$4:$D$692,$B156,'апрель 2023'!$J$4:$J$692,H$1)</f>
        <v>0</v>
      </c>
      <c r="I156" s="207">
        <f>SUMIFS('апрель 2023'!$G$4:$G$692,'апрель 2023'!$D$4:$D$692,$B156,'апрель 2023'!$J$4:$J$692,I$1)</f>
        <v>0</v>
      </c>
      <c r="J156" s="207">
        <f>SUMIFS('апрель 2023'!$G$4:$G$692,'апрель 2023'!$D$4:$D$692,$B156,'апрель 2023'!$J$4:$J$692,J$1)</f>
        <v>0</v>
      </c>
      <c r="K156" s="207">
        <f>SUMIFS('апрель 2023'!$G$4:$G$692,'апрель 2023'!$D$4:$D$692,$B156,'апрель 2023'!$J$4:$J$692,K$1)</f>
        <v>0</v>
      </c>
      <c r="L156" s="207">
        <f>SUMIFS('апрель 2023'!$G$4:$G$692,'апрель 2023'!$D$4:$D$692,$B156,'апрель 2023'!$J$4:$J$692,L$1)</f>
        <v>0</v>
      </c>
      <c r="M156" s="207">
        <f>SUMIFS('апрель 2023'!$G$4:$G$692,'апрель 2023'!$D$4:$D$692,$B156,'апрель 2023'!$J$4:$J$692,M$1)</f>
        <v>0</v>
      </c>
      <c r="N156" s="207">
        <f>SUMIFS('апрель 2023'!$G$4:$G$692,'апрель 2023'!$D$4:$D$692,$B156,'апрель 2023'!$J$4:$J$692,N$1)</f>
        <v>0</v>
      </c>
      <c r="O156" s="207">
        <f>SUMIFS('апрель 2023'!$G$4:$G$692,'апрель 2023'!$D$4:$D$692,$B156,'апрель 2023'!$J$4:$J$692,O$1)</f>
        <v>0</v>
      </c>
      <c r="P156" s="207">
        <f>SUMIFS('апрель 2023'!$G$4:$G$692,'апрель 2023'!$D$4:$D$692,$B156,'апрель 2023'!$J$4:$J$692,P$1)</f>
        <v>0</v>
      </c>
      <c r="Q156" s="207">
        <f>SUMIFS('апрель 2023'!$G$4:$G$692,'апрель 2023'!$D$4:$D$692,$B156,'апрель 2023'!$J$4:$J$692,Q$1)</f>
        <v>0</v>
      </c>
      <c r="R156" s="207">
        <f>SUMIFS('апрель 2023'!$G$4:$G$692,'апрель 2023'!$D$4:$D$692,$B156,'апрель 2023'!$J$4:$J$692,R$1)</f>
        <v>0</v>
      </c>
      <c r="S156" s="207">
        <f>SUMIFS('апрель 2023'!$G$4:$G$692,'апрель 2023'!$D$4:$D$692,$B156,'апрель 2023'!$J$4:$J$692,S$1)</f>
        <v>0</v>
      </c>
      <c r="T156" s="207">
        <f>SUMIFS('апрель 2023'!$G$4:$G$692,'апрель 2023'!$D$4:$D$692,$B156,'апрель 2023'!$J$4:$J$692,T$1)</f>
        <v>0</v>
      </c>
      <c r="U156" s="207">
        <f>SUMIFS('апрель 2023'!$G$4:$G$692,'апрель 2023'!$D$4:$D$692,$B156,'апрель 2023'!$J$4:$J$692,U$1)</f>
        <v>0</v>
      </c>
      <c r="V156" s="207">
        <f>SUMIFS('апрель 2023'!$G$4:$G$692,'апрель 2023'!$D$4:$D$692,$B156,'апрель 2023'!$J$4:$J$692,V$1)</f>
        <v>0</v>
      </c>
      <c r="W156" s="207">
        <f>SUMIFS('апрель 2023'!$G$4:$G$692,'апрель 2023'!$D$4:$D$692,$B156,'апрель 2023'!$J$4:$J$692,W$1)</f>
        <v>0</v>
      </c>
      <c r="X156" s="207">
        <f>SUMIFS('апрель 2023'!$G$4:$G$692,'апрель 2023'!$D$4:$D$692,$B156,'апрель 2023'!$J$4:$J$692,X$1)</f>
        <v>0</v>
      </c>
      <c r="Y156" s="207">
        <f>SUMIFS('апрель 2023'!$G$4:$G$692,'апрель 2023'!$D$4:$D$692,$B156,'апрель 2023'!$J$4:$J$692,Y$1)</f>
        <v>0</v>
      </c>
      <c r="Z156" s="207">
        <f>SUMIFS('апрель 2023'!$G$4:$G$692,'апрель 2023'!$D$4:$D$692,$B156,'апрель 2023'!$J$4:$J$692,Z$1)</f>
        <v>0</v>
      </c>
      <c r="AA156" s="207">
        <f>SUMIFS('апрель 2023'!$G$4:$G$692,'апрель 2023'!$D$4:$D$692,$B156,'апрель 2023'!$J$4:$J$692,AA$1)</f>
        <v>0</v>
      </c>
      <c r="AB156" s="207">
        <f>SUMIFS('апрель 2023'!$G$4:$G$692,'апрель 2023'!$D$4:$D$692,$B156,'апрель 2023'!$J$4:$J$692,AB$1)</f>
        <v>0</v>
      </c>
      <c r="AC156" s="207">
        <f>SUMIFS('апрель 2023'!$G$4:$G$692,'апрель 2023'!$D$4:$D$692,$B156,'апрель 2023'!$J$4:$J$692,AC$1)</f>
        <v>0</v>
      </c>
      <c r="AD156" s="207">
        <f>SUMIFS('апрель 2023'!$G$4:$G$692,'апрель 2023'!$D$4:$D$692,$B156,'апрель 2023'!$J$4:$J$692,AD$1)</f>
        <v>0</v>
      </c>
      <c r="AE156" s="207">
        <f>SUMIFS('апрель 2023'!$G$4:$G$692,'апрель 2023'!$D$4:$D$692,$B156,'апрель 2023'!$J$4:$J$692,AE$1)</f>
        <v>0</v>
      </c>
      <c r="AF156" s="207">
        <f>SUMIFS('апрель 2023'!$G$4:$G$692,'апрель 2023'!$D$4:$D$692,$B156,'апрель 2023'!$J$4:$J$692,AF$1)</f>
        <v>0</v>
      </c>
      <c r="AG156" s="207">
        <f>SUMIFS('апрель 2023'!$G$4:$G$692,'апрель 2023'!$D$4:$D$692,$B156,'апрель 2023'!$J$4:$J$692,AG$1)</f>
        <v>0</v>
      </c>
      <c r="AH156" s="207">
        <f>SUMIFS('апрель 2023'!$G$4:$G$692,'апрель 2023'!$D$4:$D$692,$B156,'апрель 2023'!$J$4:$J$692,AH$1)</f>
        <v>0</v>
      </c>
      <c r="AI156" s="220">
        <f t="shared" si="6"/>
        <v>0</v>
      </c>
    </row>
    <row r="157" spans="2:35" ht="15.75" hidden="1" x14ac:dyDescent="0.25">
      <c r="B157" s="212"/>
      <c r="C157" s="211"/>
      <c r="D157" s="207">
        <f>SUMIFS('апрель 2023'!$G$4:$G$692,'апрель 2023'!$D$4:$D$692,$B157,'апрель 2023'!$J$4:$J$692,D$1)</f>
        <v>0</v>
      </c>
      <c r="E157" s="207">
        <f>SUMIFS('апрель 2023'!$G$4:$G$692,'апрель 2023'!$D$4:$D$692,$B157,'апрель 2023'!$J$4:$J$692,E$1)</f>
        <v>0</v>
      </c>
      <c r="F157" s="207">
        <f>SUMIFS('апрель 2023'!$G$4:$G$692,'апрель 2023'!$D$4:$D$692,$B157,'апрель 2023'!$J$4:$J$692,F$1)</f>
        <v>0</v>
      </c>
      <c r="G157" s="207">
        <f>SUMIFS('апрель 2023'!$G$4:$G$692,'апрель 2023'!$D$4:$D$692,$B157,'апрель 2023'!$J$4:$J$692,G$1)</f>
        <v>0</v>
      </c>
      <c r="H157" s="207">
        <f>SUMIFS('апрель 2023'!$G$4:$G$692,'апрель 2023'!$D$4:$D$692,$B157,'апрель 2023'!$J$4:$J$692,H$1)</f>
        <v>0</v>
      </c>
      <c r="I157" s="207">
        <f>SUMIFS('апрель 2023'!$G$4:$G$692,'апрель 2023'!$D$4:$D$692,$B157,'апрель 2023'!$J$4:$J$692,I$1)</f>
        <v>0</v>
      </c>
      <c r="J157" s="207">
        <f>SUMIFS('апрель 2023'!$G$4:$G$692,'апрель 2023'!$D$4:$D$692,$B157,'апрель 2023'!$J$4:$J$692,J$1)</f>
        <v>0</v>
      </c>
      <c r="K157" s="207">
        <f>SUMIFS('апрель 2023'!$G$4:$G$692,'апрель 2023'!$D$4:$D$692,$B157,'апрель 2023'!$J$4:$J$692,K$1)</f>
        <v>0</v>
      </c>
      <c r="L157" s="207">
        <f>SUMIFS('апрель 2023'!$G$4:$G$692,'апрель 2023'!$D$4:$D$692,$B157,'апрель 2023'!$J$4:$J$692,L$1)</f>
        <v>0</v>
      </c>
      <c r="M157" s="207">
        <f>SUMIFS('апрель 2023'!$G$4:$G$692,'апрель 2023'!$D$4:$D$692,$B157,'апрель 2023'!$J$4:$J$692,M$1)</f>
        <v>0</v>
      </c>
      <c r="N157" s="207">
        <f>SUMIFS('апрель 2023'!$G$4:$G$692,'апрель 2023'!$D$4:$D$692,$B157,'апрель 2023'!$J$4:$J$692,N$1)</f>
        <v>0</v>
      </c>
      <c r="O157" s="207">
        <f>SUMIFS('апрель 2023'!$G$4:$G$692,'апрель 2023'!$D$4:$D$692,$B157,'апрель 2023'!$J$4:$J$692,O$1)</f>
        <v>0</v>
      </c>
      <c r="P157" s="207">
        <f>SUMIFS('апрель 2023'!$G$4:$G$692,'апрель 2023'!$D$4:$D$692,$B157,'апрель 2023'!$J$4:$J$692,P$1)</f>
        <v>0</v>
      </c>
      <c r="Q157" s="207">
        <f>SUMIFS('апрель 2023'!$G$4:$G$692,'апрель 2023'!$D$4:$D$692,$B157,'апрель 2023'!$J$4:$J$692,Q$1)</f>
        <v>0</v>
      </c>
      <c r="R157" s="207">
        <f>SUMIFS('апрель 2023'!$G$4:$G$692,'апрель 2023'!$D$4:$D$692,$B157,'апрель 2023'!$J$4:$J$692,R$1)</f>
        <v>0</v>
      </c>
      <c r="S157" s="207">
        <f>SUMIFS('апрель 2023'!$G$4:$G$692,'апрель 2023'!$D$4:$D$692,$B157,'апрель 2023'!$J$4:$J$692,S$1)</f>
        <v>0</v>
      </c>
      <c r="T157" s="207">
        <f>SUMIFS('апрель 2023'!$G$4:$G$692,'апрель 2023'!$D$4:$D$692,$B157,'апрель 2023'!$J$4:$J$692,T$1)</f>
        <v>0</v>
      </c>
      <c r="U157" s="207">
        <f>SUMIFS('апрель 2023'!$G$4:$G$692,'апрель 2023'!$D$4:$D$692,$B157,'апрель 2023'!$J$4:$J$692,U$1)</f>
        <v>0</v>
      </c>
      <c r="V157" s="207">
        <f>SUMIFS('апрель 2023'!$G$4:$G$692,'апрель 2023'!$D$4:$D$692,$B157,'апрель 2023'!$J$4:$J$692,V$1)</f>
        <v>0</v>
      </c>
      <c r="W157" s="207">
        <f>SUMIFS('апрель 2023'!$G$4:$G$692,'апрель 2023'!$D$4:$D$692,$B157,'апрель 2023'!$J$4:$J$692,W$1)</f>
        <v>0</v>
      </c>
      <c r="X157" s="207">
        <f>SUMIFS('апрель 2023'!$G$4:$G$692,'апрель 2023'!$D$4:$D$692,$B157,'апрель 2023'!$J$4:$J$692,X$1)</f>
        <v>0</v>
      </c>
      <c r="Y157" s="207">
        <f>SUMIFS('апрель 2023'!$G$4:$G$692,'апрель 2023'!$D$4:$D$692,$B157,'апрель 2023'!$J$4:$J$692,Y$1)</f>
        <v>0</v>
      </c>
      <c r="Z157" s="207">
        <f>SUMIFS('апрель 2023'!$G$4:$G$692,'апрель 2023'!$D$4:$D$692,$B157,'апрель 2023'!$J$4:$J$692,Z$1)</f>
        <v>0</v>
      </c>
      <c r="AA157" s="207">
        <f>SUMIFS('апрель 2023'!$G$4:$G$692,'апрель 2023'!$D$4:$D$692,$B157,'апрель 2023'!$J$4:$J$692,AA$1)</f>
        <v>0</v>
      </c>
      <c r="AB157" s="207">
        <f>SUMIFS('апрель 2023'!$G$4:$G$692,'апрель 2023'!$D$4:$D$692,$B157,'апрель 2023'!$J$4:$J$692,AB$1)</f>
        <v>0</v>
      </c>
      <c r="AC157" s="207">
        <f>SUMIFS('апрель 2023'!$G$4:$G$692,'апрель 2023'!$D$4:$D$692,$B157,'апрель 2023'!$J$4:$J$692,AC$1)</f>
        <v>0</v>
      </c>
      <c r="AD157" s="207">
        <f>SUMIFS('апрель 2023'!$G$4:$G$692,'апрель 2023'!$D$4:$D$692,$B157,'апрель 2023'!$J$4:$J$692,AD$1)</f>
        <v>0</v>
      </c>
      <c r="AE157" s="207">
        <f>SUMIFS('апрель 2023'!$G$4:$G$692,'апрель 2023'!$D$4:$D$692,$B157,'апрель 2023'!$J$4:$J$692,AE$1)</f>
        <v>0</v>
      </c>
      <c r="AF157" s="207">
        <f>SUMIFS('апрель 2023'!$G$4:$G$692,'апрель 2023'!$D$4:$D$692,$B157,'апрель 2023'!$J$4:$J$692,AF$1)</f>
        <v>0</v>
      </c>
      <c r="AG157" s="207">
        <f>SUMIFS('апрель 2023'!$G$4:$G$692,'апрель 2023'!$D$4:$D$692,$B157,'апрель 2023'!$J$4:$J$692,AG$1)</f>
        <v>0</v>
      </c>
      <c r="AH157" s="207">
        <f>SUMIFS('апрель 2023'!$G$4:$G$692,'апрель 2023'!$D$4:$D$692,$B157,'апрель 2023'!$J$4:$J$692,AH$1)</f>
        <v>0</v>
      </c>
      <c r="AI157" s="220">
        <f t="shared" si="6"/>
        <v>0</v>
      </c>
    </row>
    <row r="158" spans="2:35" ht="15.75" hidden="1" x14ac:dyDescent="0.25">
      <c r="B158" s="212"/>
      <c r="C158" s="211"/>
      <c r="D158" s="207">
        <f>SUMIFS('апрель 2023'!$G$4:$G$692,'апрель 2023'!$D$4:$D$692,$B158,'апрель 2023'!$J$4:$J$692,D$1)</f>
        <v>0</v>
      </c>
      <c r="E158" s="207">
        <f>SUMIFS('апрель 2023'!$G$4:$G$692,'апрель 2023'!$D$4:$D$692,$B158,'апрель 2023'!$J$4:$J$692,E$1)</f>
        <v>0</v>
      </c>
      <c r="F158" s="207">
        <f>SUMIFS('апрель 2023'!$G$4:$G$692,'апрель 2023'!$D$4:$D$692,$B158,'апрель 2023'!$J$4:$J$692,F$1)</f>
        <v>0</v>
      </c>
      <c r="G158" s="207">
        <f>SUMIFS('апрель 2023'!$G$4:$G$692,'апрель 2023'!$D$4:$D$692,$B158,'апрель 2023'!$J$4:$J$692,G$1)</f>
        <v>0</v>
      </c>
      <c r="H158" s="207">
        <f>SUMIFS('апрель 2023'!$G$4:$G$692,'апрель 2023'!$D$4:$D$692,$B158,'апрель 2023'!$J$4:$J$692,H$1)</f>
        <v>0</v>
      </c>
      <c r="I158" s="207">
        <f>SUMIFS('апрель 2023'!$G$4:$G$692,'апрель 2023'!$D$4:$D$692,$B158,'апрель 2023'!$J$4:$J$692,I$1)</f>
        <v>0</v>
      </c>
      <c r="J158" s="207">
        <f>SUMIFS('апрель 2023'!$G$4:$G$692,'апрель 2023'!$D$4:$D$692,$B158,'апрель 2023'!$J$4:$J$692,J$1)</f>
        <v>0</v>
      </c>
      <c r="K158" s="207">
        <f>SUMIFS('апрель 2023'!$G$4:$G$692,'апрель 2023'!$D$4:$D$692,$B158,'апрель 2023'!$J$4:$J$692,K$1)</f>
        <v>0</v>
      </c>
      <c r="L158" s="207">
        <f>SUMIFS('апрель 2023'!$G$4:$G$692,'апрель 2023'!$D$4:$D$692,$B158,'апрель 2023'!$J$4:$J$692,L$1)</f>
        <v>0</v>
      </c>
      <c r="M158" s="207">
        <f>SUMIFS('апрель 2023'!$G$4:$G$692,'апрель 2023'!$D$4:$D$692,$B158,'апрель 2023'!$J$4:$J$692,M$1)</f>
        <v>0</v>
      </c>
      <c r="N158" s="207">
        <f>SUMIFS('апрель 2023'!$G$4:$G$692,'апрель 2023'!$D$4:$D$692,$B158,'апрель 2023'!$J$4:$J$692,N$1)</f>
        <v>0</v>
      </c>
      <c r="O158" s="207">
        <f>SUMIFS('апрель 2023'!$G$4:$G$692,'апрель 2023'!$D$4:$D$692,$B158,'апрель 2023'!$J$4:$J$692,O$1)</f>
        <v>0</v>
      </c>
      <c r="P158" s="207">
        <f>SUMIFS('апрель 2023'!$G$4:$G$692,'апрель 2023'!$D$4:$D$692,$B158,'апрель 2023'!$J$4:$J$692,P$1)</f>
        <v>0</v>
      </c>
      <c r="Q158" s="207">
        <f>SUMIFS('апрель 2023'!$G$4:$G$692,'апрель 2023'!$D$4:$D$692,$B158,'апрель 2023'!$J$4:$J$692,Q$1)</f>
        <v>0</v>
      </c>
      <c r="R158" s="207">
        <f>SUMIFS('апрель 2023'!$G$4:$G$692,'апрель 2023'!$D$4:$D$692,$B158,'апрель 2023'!$J$4:$J$692,R$1)</f>
        <v>0</v>
      </c>
      <c r="S158" s="207">
        <f>SUMIFS('апрель 2023'!$G$4:$G$692,'апрель 2023'!$D$4:$D$692,$B158,'апрель 2023'!$J$4:$J$692,S$1)</f>
        <v>0</v>
      </c>
      <c r="T158" s="207">
        <f>SUMIFS('апрель 2023'!$G$4:$G$692,'апрель 2023'!$D$4:$D$692,$B158,'апрель 2023'!$J$4:$J$692,T$1)</f>
        <v>0</v>
      </c>
      <c r="U158" s="207">
        <f>SUMIFS('апрель 2023'!$G$4:$G$692,'апрель 2023'!$D$4:$D$692,$B158,'апрель 2023'!$J$4:$J$692,U$1)</f>
        <v>0</v>
      </c>
      <c r="V158" s="207">
        <f>SUMIFS('апрель 2023'!$G$4:$G$692,'апрель 2023'!$D$4:$D$692,$B158,'апрель 2023'!$J$4:$J$692,V$1)</f>
        <v>0</v>
      </c>
      <c r="W158" s="207">
        <f>SUMIFS('апрель 2023'!$G$4:$G$692,'апрель 2023'!$D$4:$D$692,$B158,'апрель 2023'!$J$4:$J$692,W$1)</f>
        <v>0</v>
      </c>
      <c r="X158" s="207">
        <f>SUMIFS('апрель 2023'!$G$4:$G$692,'апрель 2023'!$D$4:$D$692,$B158,'апрель 2023'!$J$4:$J$692,X$1)</f>
        <v>0</v>
      </c>
      <c r="Y158" s="207">
        <f>SUMIFS('апрель 2023'!$G$4:$G$692,'апрель 2023'!$D$4:$D$692,$B158,'апрель 2023'!$J$4:$J$692,Y$1)</f>
        <v>0</v>
      </c>
      <c r="Z158" s="207">
        <f>SUMIFS('апрель 2023'!$G$4:$G$692,'апрель 2023'!$D$4:$D$692,$B158,'апрель 2023'!$J$4:$J$692,Z$1)</f>
        <v>0</v>
      </c>
      <c r="AA158" s="207">
        <f>SUMIFS('апрель 2023'!$G$4:$G$692,'апрель 2023'!$D$4:$D$692,$B158,'апрель 2023'!$J$4:$J$692,AA$1)</f>
        <v>0</v>
      </c>
      <c r="AB158" s="207">
        <f>SUMIFS('апрель 2023'!$G$4:$G$692,'апрель 2023'!$D$4:$D$692,$B158,'апрель 2023'!$J$4:$J$692,AB$1)</f>
        <v>0</v>
      </c>
      <c r="AC158" s="207">
        <f>SUMIFS('апрель 2023'!$G$4:$G$692,'апрель 2023'!$D$4:$D$692,$B158,'апрель 2023'!$J$4:$J$692,AC$1)</f>
        <v>0</v>
      </c>
      <c r="AD158" s="207">
        <f>SUMIFS('апрель 2023'!$G$4:$G$692,'апрель 2023'!$D$4:$D$692,$B158,'апрель 2023'!$J$4:$J$692,AD$1)</f>
        <v>0</v>
      </c>
      <c r="AE158" s="207">
        <f>SUMIFS('апрель 2023'!$G$4:$G$692,'апрель 2023'!$D$4:$D$692,$B158,'апрель 2023'!$J$4:$J$692,AE$1)</f>
        <v>0</v>
      </c>
      <c r="AF158" s="207">
        <f>SUMIFS('апрель 2023'!$G$4:$G$692,'апрель 2023'!$D$4:$D$692,$B158,'апрель 2023'!$J$4:$J$692,AF$1)</f>
        <v>0</v>
      </c>
      <c r="AG158" s="207">
        <f>SUMIFS('апрель 2023'!$G$4:$G$692,'апрель 2023'!$D$4:$D$692,$B158,'апрель 2023'!$J$4:$J$692,AG$1)</f>
        <v>0</v>
      </c>
      <c r="AH158" s="207">
        <f>SUMIFS('апрель 2023'!$G$4:$G$692,'апрель 2023'!$D$4:$D$692,$B158,'апрель 2023'!$J$4:$J$692,AH$1)</f>
        <v>0</v>
      </c>
      <c r="AI158" s="220">
        <f t="shared" si="6"/>
        <v>0</v>
      </c>
    </row>
    <row r="159" spans="2:35" ht="15.75" hidden="1" x14ac:dyDescent="0.25">
      <c r="B159" s="212"/>
      <c r="C159" s="211"/>
      <c r="D159" s="207">
        <f>SUMIFS('апрель 2023'!$G$4:$G$692,'апрель 2023'!$D$4:$D$692,$B159,'апрель 2023'!$J$4:$J$692,D$1)</f>
        <v>0</v>
      </c>
      <c r="E159" s="207">
        <f>SUMIFS('апрель 2023'!$G$4:$G$692,'апрель 2023'!$D$4:$D$692,$B159,'апрель 2023'!$J$4:$J$692,E$1)</f>
        <v>0</v>
      </c>
      <c r="F159" s="207">
        <f>SUMIFS('апрель 2023'!$G$4:$G$692,'апрель 2023'!$D$4:$D$692,$B159,'апрель 2023'!$J$4:$J$692,F$1)</f>
        <v>0</v>
      </c>
      <c r="G159" s="207">
        <f>SUMIFS('апрель 2023'!$G$4:$G$692,'апрель 2023'!$D$4:$D$692,$B159,'апрель 2023'!$J$4:$J$692,G$1)</f>
        <v>0</v>
      </c>
      <c r="H159" s="207">
        <f>SUMIFS('апрель 2023'!$G$4:$G$692,'апрель 2023'!$D$4:$D$692,$B159,'апрель 2023'!$J$4:$J$692,H$1)</f>
        <v>0</v>
      </c>
      <c r="I159" s="207">
        <f>SUMIFS('апрель 2023'!$G$4:$G$692,'апрель 2023'!$D$4:$D$692,$B159,'апрель 2023'!$J$4:$J$692,I$1)</f>
        <v>0</v>
      </c>
      <c r="J159" s="207">
        <f>SUMIFS('апрель 2023'!$G$4:$G$692,'апрель 2023'!$D$4:$D$692,$B159,'апрель 2023'!$J$4:$J$692,J$1)</f>
        <v>0</v>
      </c>
      <c r="K159" s="207">
        <f>SUMIFS('апрель 2023'!$G$4:$G$692,'апрель 2023'!$D$4:$D$692,$B159,'апрель 2023'!$J$4:$J$692,K$1)</f>
        <v>0</v>
      </c>
      <c r="L159" s="207">
        <f>SUMIFS('апрель 2023'!$G$4:$G$692,'апрель 2023'!$D$4:$D$692,$B159,'апрель 2023'!$J$4:$J$692,L$1)</f>
        <v>0</v>
      </c>
      <c r="M159" s="207">
        <f>SUMIFS('апрель 2023'!$G$4:$G$692,'апрель 2023'!$D$4:$D$692,$B159,'апрель 2023'!$J$4:$J$692,M$1)</f>
        <v>0</v>
      </c>
      <c r="N159" s="207">
        <f>SUMIFS('апрель 2023'!$G$4:$G$692,'апрель 2023'!$D$4:$D$692,$B159,'апрель 2023'!$J$4:$J$692,N$1)</f>
        <v>0</v>
      </c>
      <c r="O159" s="207">
        <f>SUMIFS('апрель 2023'!$G$4:$G$692,'апрель 2023'!$D$4:$D$692,$B159,'апрель 2023'!$J$4:$J$692,O$1)</f>
        <v>0</v>
      </c>
      <c r="P159" s="207">
        <f>SUMIFS('апрель 2023'!$G$4:$G$692,'апрель 2023'!$D$4:$D$692,$B159,'апрель 2023'!$J$4:$J$692,P$1)</f>
        <v>0</v>
      </c>
      <c r="Q159" s="207">
        <f>SUMIFS('апрель 2023'!$G$4:$G$692,'апрель 2023'!$D$4:$D$692,$B159,'апрель 2023'!$J$4:$J$692,Q$1)</f>
        <v>0</v>
      </c>
      <c r="R159" s="207">
        <f>SUMIFS('апрель 2023'!$G$4:$G$692,'апрель 2023'!$D$4:$D$692,$B159,'апрель 2023'!$J$4:$J$692,R$1)</f>
        <v>0</v>
      </c>
      <c r="S159" s="207">
        <f>SUMIFS('апрель 2023'!$G$4:$G$692,'апрель 2023'!$D$4:$D$692,$B159,'апрель 2023'!$J$4:$J$692,S$1)</f>
        <v>0</v>
      </c>
      <c r="T159" s="207">
        <f>SUMIFS('апрель 2023'!$G$4:$G$692,'апрель 2023'!$D$4:$D$692,$B159,'апрель 2023'!$J$4:$J$692,T$1)</f>
        <v>0</v>
      </c>
      <c r="U159" s="207">
        <f>SUMIFS('апрель 2023'!$G$4:$G$692,'апрель 2023'!$D$4:$D$692,$B159,'апрель 2023'!$J$4:$J$692,U$1)</f>
        <v>0</v>
      </c>
      <c r="V159" s="207">
        <f>SUMIFS('апрель 2023'!$G$4:$G$692,'апрель 2023'!$D$4:$D$692,$B159,'апрель 2023'!$J$4:$J$692,V$1)</f>
        <v>0</v>
      </c>
      <c r="W159" s="207">
        <f>SUMIFS('апрель 2023'!$G$4:$G$692,'апрель 2023'!$D$4:$D$692,$B159,'апрель 2023'!$J$4:$J$692,W$1)</f>
        <v>0</v>
      </c>
      <c r="X159" s="207">
        <f>SUMIFS('апрель 2023'!$G$4:$G$692,'апрель 2023'!$D$4:$D$692,$B159,'апрель 2023'!$J$4:$J$692,X$1)</f>
        <v>0</v>
      </c>
      <c r="Y159" s="207">
        <f>SUMIFS('апрель 2023'!$G$4:$G$692,'апрель 2023'!$D$4:$D$692,$B159,'апрель 2023'!$J$4:$J$692,Y$1)</f>
        <v>0</v>
      </c>
      <c r="Z159" s="207">
        <f>SUMIFS('апрель 2023'!$G$4:$G$692,'апрель 2023'!$D$4:$D$692,$B159,'апрель 2023'!$J$4:$J$692,Z$1)</f>
        <v>0</v>
      </c>
      <c r="AA159" s="207">
        <f>SUMIFS('апрель 2023'!$G$4:$G$692,'апрель 2023'!$D$4:$D$692,$B159,'апрель 2023'!$J$4:$J$692,AA$1)</f>
        <v>0</v>
      </c>
      <c r="AB159" s="207">
        <f>SUMIFS('апрель 2023'!$G$4:$G$692,'апрель 2023'!$D$4:$D$692,$B159,'апрель 2023'!$J$4:$J$692,AB$1)</f>
        <v>0</v>
      </c>
      <c r="AC159" s="207">
        <f>SUMIFS('апрель 2023'!$G$4:$G$692,'апрель 2023'!$D$4:$D$692,$B159,'апрель 2023'!$J$4:$J$692,AC$1)</f>
        <v>0</v>
      </c>
      <c r="AD159" s="207">
        <f>SUMIFS('апрель 2023'!$G$4:$G$692,'апрель 2023'!$D$4:$D$692,$B159,'апрель 2023'!$J$4:$J$692,AD$1)</f>
        <v>0</v>
      </c>
      <c r="AE159" s="207">
        <f>SUMIFS('апрель 2023'!$G$4:$G$692,'апрель 2023'!$D$4:$D$692,$B159,'апрель 2023'!$J$4:$J$692,AE$1)</f>
        <v>0</v>
      </c>
      <c r="AF159" s="207">
        <f>SUMIFS('апрель 2023'!$G$4:$G$692,'апрель 2023'!$D$4:$D$692,$B159,'апрель 2023'!$J$4:$J$692,AF$1)</f>
        <v>0</v>
      </c>
      <c r="AG159" s="207">
        <f>SUMIFS('апрель 2023'!$G$4:$G$692,'апрель 2023'!$D$4:$D$692,$B159,'апрель 2023'!$J$4:$J$692,AG$1)</f>
        <v>0</v>
      </c>
      <c r="AH159" s="207">
        <f>SUMIFS('апрель 2023'!$G$4:$G$692,'апрель 2023'!$D$4:$D$692,$B159,'апрель 2023'!$J$4:$J$692,AH$1)</f>
        <v>0</v>
      </c>
      <c r="AI159" s="220">
        <f t="shared" si="6"/>
        <v>0</v>
      </c>
    </row>
    <row r="160" spans="2:35" ht="15.75" hidden="1" x14ac:dyDescent="0.25">
      <c r="B160" s="212"/>
      <c r="C160" s="211"/>
      <c r="D160" s="207">
        <f>SUMIFS('апрель 2023'!$G$4:$G$692,'апрель 2023'!$D$4:$D$692,$B160,'апрель 2023'!$J$4:$J$692,D$1)</f>
        <v>0</v>
      </c>
      <c r="E160" s="207">
        <f>SUMIFS('апрель 2023'!$G$4:$G$692,'апрель 2023'!$D$4:$D$692,$B160,'апрель 2023'!$J$4:$J$692,E$1)</f>
        <v>0</v>
      </c>
      <c r="F160" s="207">
        <f>SUMIFS('апрель 2023'!$G$4:$G$692,'апрель 2023'!$D$4:$D$692,$B160,'апрель 2023'!$J$4:$J$692,F$1)</f>
        <v>0</v>
      </c>
      <c r="G160" s="207">
        <f>SUMIFS('апрель 2023'!$G$4:$G$692,'апрель 2023'!$D$4:$D$692,$B160,'апрель 2023'!$J$4:$J$692,G$1)</f>
        <v>0</v>
      </c>
      <c r="H160" s="207">
        <f>SUMIFS('апрель 2023'!$G$4:$G$692,'апрель 2023'!$D$4:$D$692,$B160,'апрель 2023'!$J$4:$J$692,H$1)</f>
        <v>0</v>
      </c>
      <c r="I160" s="207">
        <f>SUMIFS('апрель 2023'!$G$4:$G$692,'апрель 2023'!$D$4:$D$692,$B160,'апрель 2023'!$J$4:$J$692,I$1)</f>
        <v>0</v>
      </c>
      <c r="J160" s="207">
        <f>SUMIFS('апрель 2023'!$G$4:$G$692,'апрель 2023'!$D$4:$D$692,$B160,'апрель 2023'!$J$4:$J$692,J$1)</f>
        <v>0</v>
      </c>
      <c r="K160" s="207">
        <f>SUMIFS('апрель 2023'!$G$4:$G$692,'апрель 2023'!$D$4:$D$692,$B160,'апрель 2023'!$J$4:$J$692,K$1)</f>
        <v>0</v>
      </c>
      <c r="L160" s="207">
        <f>SUMIFS('апрель 2023'!$G$4:$G$692,'апрель 2023'!$D$4:$D$692,$B160,'апрель 2023'!$J$4:$J$692,L$1)</f>
        <v>0</v>
      </c>
      <c r="M160" s="207">
        <f>SUMIFS('апрель 2023'!$G$4:$G$692,'апрель 2023'!$D$4:$D$692,$B160,'апрель 2023'!$J$4:$J$692,M$1)</f>
        <v>0</v>
      </c>
      <c r="N160" s="207">
        <f>SUMIFS('апрель 2023'!$G$4:$G$692,'апрель 2023'!$D$4:$D$692,$B160,'апрель 2023'!$J$4:$J$692,N$1)</f>
        <v>0</v>
      </c>
      <c r="O160" s="207">
        <f>SUMIFS('апрель 2023'!$G$4:$G$692,'апрель 2023'!$D$4:$D$692,$B160,'апрель 2023'!$J$4:$J$692,O$1)</f>
        <v>0</v>
      </c>
      <c r="P160" s="207">
        <f>SUMIFS('апрель 2023'!$G$4:$G$692,'апрель 2023'!$D$4:$D$692,$B160,'апрель 2023'!$J$4:$J$692,P$1)</f>
        <v>0</v>
      </c>
      <c r="Q160" s="207">
        <f>SUMIFS('апрель 2023'!$G$4:$G$692,'апрель 2023'!$D$4:$D$692,$B160,'апрель 2023'!$J$4:$J$692,Q$1)</f>
        <v>0</v>
      </c>
      <c r="R160" s="207">
        <f>SUMIFS('апрель 2023'!$G$4:$G$692,'апрель 2023'!$D$4:$D$692,$B160,'апрель 2023'!$J$4:$J$692,R$1)</f>
        <v>0</v>
      </c>
      <c r="S160" s="207">
        <f>SUMIFS('апрель 2023'!$G$4:$G$692,'апрель 2023'!$D$4:$D$692,$B160,'апрель 2023'!$J$4:$J$692,S$1)</f>
        <v>0</v>
      </c>
      <c r="T160" s="207">
        <f>SUMIFS('апрель 2023'!$G$4:$G$692,'апрель 2023'!$D$4:$D$692,$B160,'апрель 2023'!$J$4:$J$692,T$1)</f>
        <v>0</v>
      </c>
      <c r="U160" s="207">
        <f>SUMIFS('апрель 2023'!$G$4:$G$692,'апрель 2023'!$D$4:$D$692,$B160,'апрель 2023'!$J$4:$J$692,U$1)</f>
        <v>0</v>
      </c>
      <c r="V160" s="207">
        <f>SUMIFS('апрель 2023'!$G$4:$G$692,'апрель 2023'!$D$4:$D$692,$B160,'апрель 2023'!$J$4:$J$692,V$1)</f>
        <v>0</v>
      </c>
      <c r="W160" s="207">
        <f>SUMIFS('апрель 2023'!$G$4:$G$692,'апрель 2023'!$D$4:$D$692,$B160,'апрель 2023'!$J$4:$J$692,W$1)</f>
        <v>0</v>
      </c>
      <c r="X160" s="207">
        <f>SUMIFS('апрель 2023'!$G$4:$G$692,'апрель 2023'!$D$4:$D$692,$B160,'апрель 2023'!$J$4:$J$692,X$1)</f>
        <v>0</v>
      </c>
      <c r="Y160" s="207">
        <f>SUMIFS('апрель 2023'!$G$4:$G$692,'апрель 2023'!$D$4:$D$692,$B160,'апрель 2023'!$J$4:$J$692,Y$1)</f>
        <v>0</v>
      </c>
      <c r="Z160" s="207">
        <f>SUMIFS('апрель 2023'!$G$4:$G$692,'апрель 2023'!$D$4:$D$692,$B160,'апрель 2023'!$J$4:$J$692,Z$1)</f>
        <v>0</v>
      </c>
      <c r="AA160" s="207">
        <f>SUMIFS('апрель 2023'!$G$4:$G$692,'апрель 2023'!$D$4:$D$692,$B160,'апрель 2023'!$J$4:$J$692,AA$1)</f>
        <v>0</v>
      </c>
      <c r="AB160" s="207">
        <f>SUMIFS('апрель 2023'!$G$4:$G$692,'апрель 2023'!$D$4:$D$692,$B160,'апрель 2023'!$J$4:$J$692,AB$1)</f>
        <v>0</v>
      </c>
      <c r="AC160" s="207">
        <f>SUMIFS('апрель 2023'!$G$4:$G$692,'апрель 2023'!$D$4:$D$692,$B160,'апрель 2023'!$J$4:$J$692,AC$1)</f>
        <v>0</v>
      </c>
      <c r="AD160" s="207">
        <f>SUMIFS('апрель 2023'!$G$4:$G$692,'апрель 2023'!$D$4:$D$692,$B160,'апрель 2023'!$J$4:$J$692,AD$1)</f>
        <v>0</v>
      </c>
      <c r="AE160" s="207">
        <f>SUMIFS('апрель 2023'!$G$4:$G$692,'апрель 2023'!$D$4:$D$692,$B160,'апрель 2023'!$J$4:$J$692,AE$1)</f>
        <v>0</v>
      </c>
      <c r="AF160" s="207">
        <f>SUMIFS('апрель 2023'!$G$4:$G$692,'апрель 2023'!$D$4:$D$692,$B160,'апрель 2023'!$J$4:$J$692,AF$1)</f>
        <v>0</v>
      </c>
      <c r="AG160" s="207">
        <f>SUMIFS('апрель 2023'!$G$4:$G$692,'апрель 2023'!$D$4:$D$692,$B160,'апрель 2023'!$J$4:$J$692,AG$1)</f>
        <v>0</v>
      </c>
      <c r="AH160" s="207">
        <f>SUMIFS('апрель 2023'!$G$4:$G$692,'апрель 2023'!$D$4:$D$692,$B160,'апрель 2023'!$J$4:$J$692,AH$1)</f>
        <v>0</v>
      </c>
      <c r="AI160" s="220">
        <f t="shared" si="6"/>
        <v>0</v>
      </c>
    </row>
    <row r="161" spans="2:35" ht="15.75" hidden="1" x14ac:dyDescent="0.25">
      <c r="B161" s="212"/>
      <c r="C161" s="211"/>
      <c r="D161" s="207">
        <f>SUMIFS('апрель 2023'!$G$4:$G$692,'апрель 2023'!$D$4:$D$692,$B161,'апрель 2023'!$J$4:$J$692,D$1)</f>
        <v>0</v>
      </c>
      <c r="E161" s="207">
        <f>SUMIFS('апрель 2023'!$G$4:$G$692,'апрель 2023'!$D$4:$D$692,$B161,'апрель 2023'!$J$4:$J$692,E$1)</f>
        <v>0</v>
      </c>
      <c r="F161" s="207">
        <f>SUMIFS('апрель 2023'!$G$4:$G$692,'апрель 2023'!$D$4:$D$692,$B161,'апрель 2023'!$J$4:$J$692,F$1)</f>
        <v>0</v>
      </c>
      <c r="G161" s="207">
        <f>SUMIFS('апрель 2023'!$G$4:$G$692,'апрель 2023'!$D$4:$D$692,$B161,'апрель 2023'!$J$4:$J$692,G$1)</f>
        <v>0</v>
      </c>
      <c r="H161" s="207">
        <f>SUMIFS('апрель 2023'!$G$4:$G$692,'апрель 2023'!$D$4:$D$692,$B161,'апрель 2023'!$J$4:$J$692,H$1)</f>
        <v>0</v>
      </c>
      <c r="I161" s="207">
        <f>SUMIFS('апрель 2023'!$G$4:$G$692,'апрель 2023'!$D$4:$D$692,$B161,'апрель 2023'!$J$4:$J$692,I$1)</f>
        <v>0</v>
      </c>
      <c r="J161" s="207">
        <f>SUMIFS('апрель 2023'!$G$4:$G$692,'апрель 2023'!$D$4:$D$692,$B161,'апрель 2023'!$J$4:$J$692,J$1)</f>
        <v>0</v>
      </c>
      <c r="K161" s="207">
        <f>SUMIFS('апрель 2023'!$G$4:$G$692,'апрель 2023'!$D$4:$D$692,$B161,'апрель 2023'!$J$4:$J$692,K$1)</f>
        <v>0</v>
      </c>
      <c r="L161" s="207">
        <f>SUMIFS('апрель 2023'!$G$4:$G$692,'апрель 2023'!$D$4:$D$692,$B161,'апрель 2023'!$J$4:$J$692,L$1)</f>
        <v>0</v>
      </c>
      <c r="M161" s="207">
        <f>SUMIFS('апрель 2023'!$G$4:$G$692,'апрель 2023'!$D$4:$D$692,$B161,'апрель 2023'!$J$4:$J$692,M$1)</f>
        <v>0</v>
      </c>
      <c r="N161" s="207">
        <f>SUMIFS('апрель 2023'!$G$4:$G$692,'апрель 2023'!$D$4:$D$692,$B161,'апрель 2023'!$J$4:$J$692,N$1)</f>
        <v>0</v>
      </c>
      <c r="O161" s="207">
        <f>SUMIFS('апрель 2023'!$G$4:$G$692,'апрель 2023'!$D$4:$D$692,$B161,'апрель 2023'!$J$4:$J$692,O$1)</f>
        <v>0</v>
      </c>
      <c r="P161" s="207">
        <f>SUMIFS('апрель 2023'!$G$4:$G$692,'апрель 2023'!$D$4:$D$692,$B161,'апрель 2023'!$J$4:$J$692,P$1)</f>
        <v>0</v>
      </c>
      <c r="Q161" s="207">
        <f>SUMIFS('апрель 2023'!$G$4:$G$692,'апрель 2023'!$D$4:$D$692,$B161,'апрель 2023'!$J$4:$J$692,Q$1)</f>
        <v>0</v>
      </c>
      <c r="R161" s="207">
        <f>SUMIFS('апрель 2023'!$G$4:$G$692,'апрель 2023'!$D$4:$D$692,$B161,'апрель 2023'!$J$4:$J$692,R$1)</f>
        <v>0</v>
      </c>
      <c r="S161" s="207">
        <f>SUMIFS('апрель 2023'!$G$4:$G$692,'апрель 2023'!$D$4:$D$692,$B161,'апрель 2023'!$J$4:$J$692,S$1)</f>
        <v>0</v>
      </c>
      <c r="T161" s="207">
        <f>SUMIFS('апрель 2023'!$G$4:$G$692,'апрель 2023'!$D$4:$D$692,$B161,'апрель 2023'!$J$4:$J$692,T$1)</f>
        <v>0</v>
      </c>
      <c r="U161" s="207">
        <f>SUMIFS('апрель 2023'!$G$4:$G$692,'апрель 2023'!$D$4:$D$692,$B161,'апрель 2023'!$J$4:$J$692,U$1)</f>
        <v>0</v>
      </c>
      <c r="V161" s="207">
        <f>SUMIFS('апрель 2023'!$G$4:$G$692,'апрель 2023'!$D$4:$D$692,$B161,'апрель 2023'!$J$4:$J$692,V$1)</f>
        <v>0</v>
      </c>
      <c r="W161" s="207">
        <f>SUMIFS('апрель 2023'!$G$4:$G$692,'апрель 2023'!$D$4:$D$692,$B161,'апрель 2023'!$J$4:$J$692,W$1)</f>
        <v>0</v>
      </c>
      <c r="X161" s="207">
        <f>SUMIFS('апрель 2023'!$G$4:$G$692,'апрель 2023'!$D$4:$D$692,$B161,'апрель 2023'!$J$4:$J$692,X$1)</f>
        <v>0</v>
      </c>
      <c r="Y161" s="207">
        <f>SUMIFS('апрель 2023'!$G$4:$G$692,'апрель 2023'!$D$4:$D$692,$B161,'апрель 2023'!$J$4:$J$692,Y$1)</f>
        <v>0</v>
      </c>
      <c r="Z161" s="207">
        <f>SUMIFS('апрель 2023'!$G$4:$G$692,'апрель 2023'!$D$4:$D$692,$B161,'апрель 2023'!$J$4:$J$692,Z$1)</f>
        <v>0</v>
      </c>
      <c r="AA161" s="207">
        <f>SUMIFS('апрель 2023'!$G$4:$G$692,'апрель 2023'!$D$4:$D$692,$B161,'апрель 2023'!$J$4:$J$692,AA$1)</f>
        <v>0</v>
      </c>
      <c r="AB161" s="207">
        <f>SUMIFS('апрель 2023'!$G$4:$G$692,'апрель 2023'!$D$4:$D$692,$B161,'апрель 2023'!$J$4:$J$692,AB$1)</f>
        <v>0</v>
      </c>
      <c r="AC161" s="207">
        <f>SUMIFS('апрель 2023'!$G$4:$G$692,'апрель 2023'!$D$4:$D$692,$B161,'апрель 2023'!$J$4:$J$692,AC$1)</f>
        <v>0</v>
      </c>
      <c r="AD161" s="207">
        <f>SUMIFS('апрель 2023'!$G$4:$G$692,'апрель 2023'!$D$4:$D$692,$B161,'апрель 2023'!$J$4:$J$692,AD$1)</f>
        <v>0</v>
      </c>
      <c r="AE161" s="207">
        <f>SUMIFS('апрель 2023'!$G$4:$G$692,'апрель 2023'!$D$4:$D$692,$B161,'апрель 2023'!$J$4:$J$692,AE$1)</f>
        <v>0</v>
      </c>
      <c r="AF161" s="207">
        <f>SUMIFS('апрель 2023'!$G$4:$G$692,'апрель 2023'!$D$4:$D$692,$B161,'апрель 2023'!$J$4:$J$692,AF$1)</f>
        <v>0</v>
      </c>
      <c r="AG161" s="207">
        <f>SUMIFS('апрель 2023'!$G$4:$G$692,'апрель 2023'!$D$4:$D$692,$B161,'апрель 2023'!$J$4:$J$692,AG$1)</f>
        <v>0</v>
      </c>
      <c r="AH161" s="207">
        <f>SUMIFS('апрель 2023'!$G$4:$G$692,'апрель 2023'!$D$4:$D$692,$B161,'апрель 2023'!$J$4:$J$692,AH$1)</f>
        <v>0</v>
      </c>
      <c r="AI161" s="220">
        <f t="shared" si="6"/>
        <v>0</v>
      </c>
    </row>
    <row r="162" spans="2:35" ht="15.75" hidden="1" x14ac:dyDescent="0.25">
      <c r="B162" s="212"/>
      <c r="C162" s="211"/>
      <c r="D162" s="207">
        <f>SUMIFS('апрель 2023'!$G$4:$G$692,'апрель 2023'!$D$4:$D$692,$B162,'апрель 2023'!$J$4:$J$692,D$1)</f>
        <v>0</v>
      </c>
      <c r="E162" s="207">
        <f>SUMIFS('апрель 2023'!$G$4:$G$692,'апрель 2023'!$D$4:$D$692,$B162,'апрель 2023'!$J$4:$J$692,E$1)</f>
        <v>0</v>
      </c>
      <c r="F162" s="207">
        <f>SUMIFS('апрель 2023'!$G$4:$G$692,'апрель 2023'!$D$4:$D$692,$B162,'апрель 2023'!$J$4:$J$692,F$1)</f>
        <v>0</v>
      </c>
      <c r="G162" s="207">
        <f>SUMIFS('апрель 2023'!$G$4:$G$692,'апрель 2023'!$D$4:$D$692,$B162,'апрель 2023'!$J$4:$J$692,G$1)</f>
        <v>0</v>
      </c>
      <c r="H162" s="207">
        <f>SUMIFS('апрель 2023'!$G$4:$G$692,'апрель 2023'!$D$4:$D$692,$B162,'апрель 2023'!$J$4:$J$692,H$1)</f>
        <v>0</v>
      </c>
      <c r="I162" s="207">
        <f>SUMIFS('апрель 2023'!$G$4:$G$692,'апрель 2023'!$D$4:$D$692,$B162,'апрель 2023'!$J$4:$J$692,I$1)</f>
        <v>0</v>
      </c>
      <c r="J162" s="207">
        <f>SUMIFS('апрель 2023'!$G$4:$G$692,'апрель 2023'!$D$4:$D$692,$B162,'апрель 2023'!$J$4:$J$692,J$1)</f>
        <v>0</v>
      </c>
      <c r="K162" s="207">
        <f>SUMIFS('апрель 2023'!$G$4:$G$692,'апрель 2023'!$D$4:$D$692,$B162,'апрель 2023'!$J$4:$J$692,K$1)</f>
        <v>0</v>
      </c>
      <c r="L162" s="207">
        <f>SUMIFS('апрель 2023'!$G$4:$G$692,'апрель 2023'!$D$4:$D$692,$B162,'апрель 2023'!$J$4:$J$692,L$1)</f>
        <v>0</v>
      </c>
      <c r="M162" s="207">
        <f>SUMIFS('апрель 2023'!$G$4:$G$692,'апрель 2023'!$D$4:$D$692,$B162,'апрель 2023'!$J$4:$J$692,M$1)</f>
        <v>0</v>
      </c>
      <c r="N162" s="207">
        <f>SUMIFS('апрель 2023'!$G$4:$G$692,'апрель 2023'!$D$4:$D$692,$B162,'апрель 2023'!$J$4:$J$692,N$1)</f>
        <v>0</v>
      </c>
      <c r="O162" s="207">
        <f>SUMIFS('апрель 2023'!$G$4:$G$692,'апрель 2023'!$D$4:$D$692,$B162,'апрель 2023'!$J$4:$J$692,O$1)</f>
        <v>0</v>
      </c>
      <c r="P162" s="207">
        <f>SUMIFS('апрель 2023'!$G$4:$G$692,'апрель 2023'!$D$4:$D$692,$B162,'апрель 2023'!$J$4:$J$692,P$1)</f>
        <v>0</v>
      </c>
      <c r="Q162" s="207">
        <f>SUMIFS('апрель 2023'!$G$4:$G$692,'апрель 2023'!$D$4:$D$692,$B162,'апрель 2023'!$J$4:$J$692,Q$1)</f>
        <v>0</v>
      </c>
      <c r="R162" s="207">
        <f>SUMIFS('апрель 2023'!$G$4:$G$692,'апрель 2023'!$D$4:$D$692,$B162,'апрель 2023'!$J$4:$J$692,R$1)</f>
        <v>0</v>
      </c>
      <c r="S162" s="207">
        <f>SUMIFS('апрель 2023'!$G$4:$G$692,'апрель 2023'!$D$4:$D$692,$B162,'апрель 2023'!$J$4:$J$692,S$1)</f>
        <v>0</v>
      </c>
      <c r="T162" s="207">
        <f>SUMIFS('апрель 2023'!$G$4:$G$692,'апрель 2023'!$D$4:$D$692,$B162,'апрель 2023'!$J$4:$J$692,T$1)</f>
        <v>0</v>
      </c>
      <c r="U162" s="207">
        <f>SUMIFS('апрель 2023'!$G$4:$G$692,'апрель 2023'!$D$4:$D$692,$B162,'апрель 2023'!$J$4:$J$692,U$1)</f>
        <v>0</v>
      </c>
      <c r="V162" s="207">
        <f>SUMIFS('апрель 2023'!$G$4:$G$692,'апрель 2023'!$D$4:$D$692,$B162,'апрель 2023'!$J$4:$J$692,V$1)</f>
        <v>0</v>
      </c>
      <c r="W162" s="207">
        <f>SUMIFS('апрель 2023'!$G$4:$G$692,'апрель 2023'!$D$4:$D$692,$B162,'апрель 2023'!$J$4:$J$692,W$1)</f>
        <v>0</v>
      </c>
      <c r="X162" s="207">
        <f>SUMIFS('апрель 2023'!$G$4:$G$692,'апрель 2023'!$D$4:$D$692,$B162,'апрель 2023'!$J$4:$J$692,X$1)</f>
        <v>0</v>
      </c>
      <c r="Y162" s="207">
        <f>SUMIFS('апрель 2023'!$G$4:$G$692,'апрель 2023'!$D$4:$D$692,$B162,'апрель 2023'!$J$4:$J$692,Y$1)</f>
        <v>0</v>
      </c>
      <c r="Z162" s="207">
        <f>SUMIFS('апрель 2023'!$G$4:$G$692,'апрель 2023'!$D$4:$D$692,$B162,'апрель 2023'!$J$4:$J$692,Z$1)</f>
        <v>0</v>
      </c>
      <c r="AA162" s="207">
        <f>SUMIFS('апрель 2023'!$G$4:$G$692,'апрель 2023'!$D$4:$D$692,$B162,'апрель 2023'!$J$4:$J$692,AA$1)</f>
        <v>0</v>
      </c>
      <c r="AB162" s="207">
        <f>SUMIFS('апрель 2023'!$G$4:$G$692,'апрель 2023'!$D$4:$D$692,$B162,'апрель 2023'!$J$4:$J$692,AB$1)</f>
        <v>0</v>
      </c>
      <c r="AC162" s="207">
        <f>SUMIFS('апрель 2023'!$G$4:$G$692,'апрель 2023'!$D$4:$D$692,$B162,'апрель 2023'!$J$4:$J$692,AC$1)</f>
        <v>0</v>
      </c>
      <c r="AD162" s="207">
        <f>SUMIFS('апрель 2023'!$G$4:$G$692,'апрель 2023'!$D$4:$D$692,$B162,'апрель 2023'!$J$4:$J$692,AD$1)</f>
        <v>0</v>
      </c>
      <c r="AE162" s="207">
        <f>SUMIFS('апрель 2023'!$G$4:$G$692,'апрель 2023'!$D$4:$D$692,$B162,'апрель 2023'!$J$4:$J$692,AE$1)</f>
        <v>0</v>
      </c>
      <c r="AF162" s="207">
        <f>SUMIFS('апрель 2023'!$G$4:$G$692,'апрель 2023'!$D$4:$D$692,$B162,'апрель 2023'!$J$4:$J$692,AF$1)</f>
        <v>0</v>
      </c>
      <c r="AG162" s="207">
        <f>SUMIFS('апрель 2023'!$G$4:$G$692,'апрель 2023'!$D$4:$D$692,$B162,'апрель 2023'!$J$4:$J$692,AG$1)</f>
        <v>0</v>
      </c>
      <c r="AH162" s="207">
        <f>SUMIFS('апрель 2023'!$G$4:$G$692,'апрель 2023'!$D$4:$D$692,$B162,'апрель 2023'!$J$4:$J$692,AH$1)</f>
        <v>0</v>
      </c>
      <c r="AI162" s="220">
        <f t="shared" si="6"/>
        <v>0</v>
      </c>
    </row>
    <row r="163" spans="2:35" ht="15.75" hidden="1" x14ac:dyDescent="0.25">
      <c r="B163" s="212"/>
      <c r="C163" s="211"/>
      <c r="D163" s="207">
        <f>SUMIFS('апрель 2023'!$G$4:$G$692,'апрель 2023'!$D$4:$D$692,$B163,'апрель 2023'!$J$4:$J$692,D$1)</f>
        <v>0</v>
      </c>
      <c r="E163" s="207">
        <f>SUMIFS('апрель 2023'!$G$4:$G$692,'апрель 2023'!$D$4:$D$692,$B163,'апрель 2023'!$J$4:$J$692,E$1)</f>
        <v>0</v>
      </c>
      <c r="F163" s="207">
        <f>SUMIFS('апрель 2023'!$G$4:$G$692,'апрель 2023'!$D$4:$D$692,$B163,'апрель 2023'!$J$4:$J$692,F$1)</f>
        <v>0</v>
      </c>
      <c r="G163" s="207">
        <f>SUMIFS('апрель 2023'!$G$4:$G$692,'апрель 2023'!$D$4:$D$692,$B163,'апрель 2023'!$J$4:$J$692,G$1)</f>
        <v>0</v>
      </c>
      <c r="H163" s="207">
        <f>SUMIFS('апрель 2023'!$G$4:$G$692,'апрель 2023'!$D$4:$D$692,$B163,'апрель 2023'!$J$4:$J$692,H$1)</f>
        <v>0</v>
      </c>
      <c r="I163" s="207">
        <f>SUMIFS('апрель 2023'!$G$4:$G$692,'апрель 2023'!$D$4:$D$692,$B163,'апрель 2023'!$J$4:$J$692,I$1)</f>
        <v>0</v>
      </c>
      <c r="J163" s="207">
        <f>SUMIFS('апрель 2023'!$G$4:$G$692,'апрель 2023'!$D$4:$D$692,$B163,'апрель 2023'!$J$4:$J$692,J$1)</f>
        <v>0</v>
      </c>
      <c r="K163" s="207">
        <f>SUMIFS('апрель 2023'!$G$4:$G$692,'апрель 2023'!$D$4:$D$692,$B163,'апрель 2023'!$J$4:$J$692,K$1)</f>
        <v>0</v>
      </c>
      <c r="L163" s="207">
        <f>SUMIFS('апрель 2023'!$G$4:$G$692,'апрель 2023'!$D$4:$D$692,$B163,'апрель 2023'!$J$4:$J$692,L$1)</f>
        <v>0</v>
      </c>
      <c r="M163" s="207">
        <f>SUMIFS('апрель 2023'!$G$4:$G$692,'апрель 2023'!$D$4:$D$692,$B163,'апрель 2023'!$J$4:$J$692,M$1)</f>
        <v>0</v>
      </c>
      <c r="N163" s="207">
        <f>SUMIFS('апрель 2023'!$G$4:$G$692,'апрель 2023'!$D$4:$D$692,$B163,'апрель 2023'!$J$4:$J$692,N$1)</f>
        <v>0</v>
      </c>
      <c r="O163" s="207">
        <f>SUMIFS('апрель 2023'!$G$4:$G$692,'апрель 2023'!$D$4:$D$692,$B163,'апрель 2023'!$J$4:$J$692,O$1)</f>
        <v>0</v>
      </c>
      <c r="P163" s="207">
        <f>SUMIFS('апрель 2023'!$G$4:$G$692,'апрель 2023'!$D$4:$D$692,$B163,'апрель 2023'!$J$4:$J$692,P$1)</f>
        <v>0</v>
      </c>
      <c r="Q163" s="207">
        <f>SUMIFS('апрель 2023'!$G$4:$G$692,'апрель 2023'!$D$4:$D$692,$B163,'апрель 2023'!$J$4:$J$692,Q$1)</f>
        <v>0</v>
      </c>
      <c r="R163" s="207">
        <f>SUMIFS('апрель 2023'!$G$4:$G$692,'апрель 2023'!$D$4:$D$692,$B163,'апрель 2023'!$J$4:$J$692,R$1)</f>
        <v>0</v>
      </c>
      <c r="S163" s="207">
        <f>SUMIFS('апрель 2023'!$G$4:$G$692,'апрель 2023'!$D$4:$D$692,$B163,'апрель 2023'!$J$4:$J$692,S$1)</f>
        <v>0</v>
      </c>
      <c r="T163" s="207">
        <f>SUMIFS('апрель 2023'!$G$4:$G$692,'апрель 2023'!$D$4:$D$692,$B163,'апрель 2023'!$J$4:$J$692,T$1)</f>
        <v>0</v>
      </c>
      <c r="U163" s="207">
        <f>SUMIFS('апрель 2023'!$G$4:$G$692,'апрель 2023'!$D$4:$D$692,$B163,'апрель 2023'!$J$4:$J$692,U$1)</f>
        <v>0</v>
      </c>
      <c r="V163" s="207">
        <f>SUMIFS('апрель 2023'!$G$4:$G$692,'апрель 2023'!$D$4:$D$692,$B163,'апрель 2023'!$J$4:$J$692,V$1)</f>
        <v>0</v>
      </c>
      <c r="W163" s="207">
        <f>SUMIFS('апрель 2023'!$G$4:$G$692,'апрель 2023'!$D$4:$D$692,$B163,'апрель 2023'!$J$4:$J$692,W$1)</f>
        <v>0</v>
      </c>
      <c r="X163" s="207">
        <f>SUMIFS('апрель 2023'!$G$4:$G$692,'апрель 2023'!$D$4:$D$692,$B163,'апрель 2023'!$J$4:$J$692,X$1)</f>
        <v>0</v>
      </c>
      <c r="Y163" s="207">
        <f>SUMIFS('апрель 2023'!$G$4:$G$692,'апрель 2023'!$D$4:$D$692,$B163,'апрель 2023'!$J$4:$J$692,Y$1)</f>
        <v>0</v>
      </c>
      <c r="Z163" s="207">
        <f>SUMIFS('апрель 2023'!$G$4:$G$692,'апрель 2023'!$D$4:$D$692,$B163,'апрель 2023'!$J$4:$J$692,Z$1)</f>
        <v>0</v>
      </c>
      <c r="AA163" s="207">
        <f>SUMIFS('апрель 2023'!$G$4:$G$692,'апрель 2023'!$D$4:$D$692,$B163,'апрель 2023'!$J$4:$J$692,AA$1)</f>
        <v>0</v>
      </c>
      <c r="AB163" s="207">
        <f>SUMIFS('апрель 2023'!$G$4:$G$692,'апрель 2023'!$D$4:$D$692,$B163,'апрель 2023'!$J$4:$J$692,AB$1)</f>
        <v>0</v>
      </c>
      <c r="AC163" s="207">
        <f>SUMIFS('апрель 2023'!$G$4:$G$692,'апрель 2023'!$D$4:$D$692,$B163,'апрель 2023'!$J$4:$J$692,AC$1)</f>
        <v>0</v>
      </c>
      <c r="AD163" s="207">
        <f>SUMIFS('апрель 2023'!$G$4:$G$692,'апрель 2023'!$D$4:$D$692,$B163,'апрель 2023'!$J$4:$J$692,AD$1)</f>
        <v>0</v>
      </c>
      <c r="AE163" s="207">
        <f>SUMIFS('апрель 2023'!$G$4:$G$692,'апрель 2023'!$D$4:$D$692,$B163,'апрель 2023'!$J$4:$J$692,AE$1)</f>
        <v>0</v>
      </c>
      <c r="AF163" s="207">
        <f>SUMIFS('апрель 2023'!$G$4:$G$692,'апрель 2023'!$D$4:$D$692,$B163,'апрель 2023'!$J$4:$J$692,AF$1)</f>
        <v>0</v>
      </c>
      <c r="AG163" s="207">
        <f>SUMIFS('апрель 2023'!$G$4:$G$692,'апрель 2023'!$D$4:$D$692,$B163,'апрель 2023'!$J$4:$J$692,AG$1)</f>
        <v>0</v>
      </c>
      <c r="AH163" s="207">
        <f>SUMIFS('апрель 2023'!$G$4:$G$692,'апрель 2023'!$D$4:$D$692,$B163,'апрель 2023'!$J$4:$J$692,AH$1)</f>
        <v>0</v>
      </c>
      <c r="AI163" s="220">
        <f t="shared" si="6"/>
        <v>0</v>
      </c>
    </row>
    <row r="164" spans="2:35" ht="15.75" hidden="1" x14ac:dyDescent="0.25">
      <c r="B164" s="212"/>
      <c r="C164" s="211"/>
      <c r="D164" s="207">
        <f>SUMIFS('апрель 2023'!$G$4:$G$692,'апрель 2023'!$D$4:$D$692,$B164,'апрель 2023'!$J$4:$J$692,D$1)</f>
        <v>0</v>
      </c>
      <c r="E164" s="207">
        <f>SUMIFS('апрель 2023'!$G$4:$G$692,'апрель 2023'!$D$4:$D$692,$B164,'апрель 2023'!$J$4:$J$692,E$1)</f>
        <v>0</v>
      </c>
      <c r="F164" s="207">
        <f>SUMIFS('апрель 2023'!$G$4:$G$692,'апрель 2023'!$D$4:$D$692,$B164,'апрель 2023'!$J$4:$J$692,F$1)</f>
        <v>0</v>
      </c>
      <c r="G164" s="207">
        <f>SUMIFS('апрель 2023'!$G$4:$G$692,'апрель 2023'!$D$4:$D$692,$B164,'апрель 2023'!$J$4:$J$692,G$1)</f>
        <v>0</v>
      </c>
      <c r="H164" s="207">
        <f>SUMIFS('апрель 2023'!$G$4:$G$692,'апрель 2023'!$D$4:$D$692,$B164,'апрель 2023'!$J$4:$J$692,H$1)</f>
        <v>0</v>
      </c>
      <c r="I164" s="207">
        <f>SUMIFS('апрель 2023'!$G$4:$G$692,'апрель 2023'!$D$4:$D$692,$B164,'апрель 2023'!$J$4:$J$692,I$1)</f>
        <v>0</v>
      </c>
      <c r="J164" s="207">
        <f>SUMIFS('апрель 2023'!$G$4:$G$692,'апрель 2023'!$D$4:$D$692,$B164,'апрель 2023'!$J$4:$J$692,J$1)</f>
        <v>0</v>
      </c>
      <c r="K164" s="207">
        <f>SUMIFS('апрель 2023'!$G$4:$G$692,'апрель 2023'!$D$4:$D$692,$B164,'апрель 2023'!$J$4:$J$692,K$1)</f>
        <v>0</v>
      </c>
      <c r="L164" s="207">
        <f>SUMIFS('апрель 2023'!$G$4:$G$692,'апрель 2023'!$D$4:$D$692,$B164,'апрель 2023'!$J$4:$J$692,L$1)</f>
        <v>0</v>
      </c>
      <c r="M164" s="207">
        <f>SUMIFS('апрель 2023'!$G$4:$G$692,'апрель 2023'!$D$4:$D$692,$B164,'апрель 2023'!$J$4:$J$692,M$1)</f>
        <v>0</v>
      </c>
      <c r="N164" s="207">
        <f>SUMIFS('апрель 2023'!$G$4:$G$692,'апрель 2023'!$D$4:$D$692,$B164,'апрель 2023'!$J$4:$J$692,N$1)</f>
        <v>0</v>
      </c>
      <c r="O164" s="207">
        <f>SUMIFS('апрель 2023'!$G$4:$G$692,'апрель 2023'!$D$4:$D$692,$B164,'апрель 2023'!$J$4:$J$692,O$1)</f>
        <v>0</v>
      </c>
      <c r="P164" s="207">
        <f>SUMIFS('апрель 2023'!$G$4:$G$692,'апрель 2023'!$D$4:$D$692,$B164,'апрель 2023'!$J$4:$J$692,P$1)</f>
        <v>0</v>
      </c>
      <c r="Q164" s="207">
        <f>SUMIFS('апрель 2023'!$G$4:$G$692,'апрель 2023'!$D$4:$D$692,$B164,'апрель 2023'!$J$4:$J$692,Q$1)</f>
        <v>0</v>
      </c>
      <c r="R164" s="207">
        <f>SUMIFS('апрель 2023'!$G$4:$G$692,'апрель 2023'!$D$4:$D$692,$B164,'апрель 2023'!$J$4:$J$692,R$1)</f>
        <v>0</v>
      </c>
      <c r="S164" s="207">
        <f>SUMIFS('апрель 2023'!$G$4:$G$692,'апрель 2023'!$D$4:$D$692,$B164,'апрель 2023'!$J$4:$J$692,S$1)</f>
        <v>0</v>
      </c>
      <c r="T164" s="207">
        <f>SUMIFS('апрель 2023'!$G$4:$G$692,'апрель 2023'!$D$4:$D$692,$B164,'апрель 2023'!$J$4:$J$692,T$1)</f>
        <v>0</v>
      </c>
      <c r="U164" s="207">
        <f>SUMIFS('апрель 2023'!$G$4:$G$692,'апрель 2023'!$D$4:$D$692,$B164,'апрель 2023'!$J$4:$J$692,U$1)</f>
        <v>0</v>
      </c>
      <c r="V164" s="207">
        <f>SUMIFS('апрель 2023'!$G$4:$G$692,'апрель 2023'!$D$4:$D$692,$B164,'апрель 2023'!$J$4:$J$692,V$1)</f>
        <v>0</v>
      </c>
      <c r="W164" s="207">
        <f>SUMIFS('апрель 2023'!$G$4:$G$692,'апрель 2023'!$D$4:$D$692,$B164,'апрель 2023'!$J$4:$J$692,W$1)</f>
        <v>0</v>
      </c>
      <c r="X164" s="207">
        <f>SUMIFS('апрель 2023'!$G$4:$G$692,'апрель 2023'!$D$4:$D$692,$B164,'апрель 2023'!$J$4:$J$692,X$1)</f>
        <v>0</v>
      </c>
      <c r="Y164" s="207">
        <f>SUMIFS('апрель 2023'!$G$4:$G$692,'апрель 2023'!$D$4:$D$692,$B164,'апрель 2023'!$J$4:$J$692,Y$1)</f>
        <v>0</v>
      </c>
      <c r="Z164" s="207">
        <f>SUMIFS('апрель 2023'!$G$4:$G$692,'апрель 2023'!$D$4:$D$692,$B164,'апрель 2023'!$J$4:$J$692,Z$1)</f>
        <v>0</v>
      </c>
      <c r="AA164" s="207">
        <f>SUMIFS('апрель 2023'!$G$4:$G$692,'апрель 2023'!$D$4:$D$692,$B164,'апрель 2023'!$J$4:$J$692,AA$1)</f>
        <v>0</v>
      </c>
      <c r="AB164" s="207">
        <f>SUMIFS('апрель 2023'!$G$4:$G$692,'апрель 2023'!$D$4:$D$692,$B164,'апрель 2023'!$J$4:$J$692,AB$1)</f>
        <v>0</v>
      </c>
      <c r="AC164" s="207">
        <f>SUMIFS('апрель 2023'!$G$4:$G$692,'апрель 2023'!$D$4:$D$692,$B164,'апрель 2023'!$J$4:$J$692,AC$1)</f>
        <v>0</v>
      </c>
      <c r="AD164" s="207">
        <f>SUMIFS('апрель 2023'!$G$4:$G$692,'апрель 2023'!$D$4:$D$692,$B164,'апрель 2023'!$J$4:$J$692,AD$1)</f>
        <v>0</v>
      </c>
      <c r="AE164" s="207">
        <f>SUMIFS('апрель 2023'!$G$4:$G$692,'апрель 2023'!$D$4:$D$692,$B164,'апрель 2023'!$J$4:$J$692,AE$1)</f>
        <v>0</v>
      </c>
      <c r="AF164" s="207">
        <f>SUMIFS('апрель 2023'!$G$4:$G$692,'апрель 2023'!$D$4:$D$692,$B164,'апрель 2023'!$J$4:$J$692,AF$1)</f>
        <v>0</v>
      </c>
      <c r="AG164" s="207">
        <f>SUMIFS('апрель 2023'!$G$4:$G$692,'апрель 2023'!$D$4:$D$692,$B164,'апрель 2023'!$J$4:$J$692,AG$1)</f>
        <v>0</v>
      </c>
      <c r="AH164" s="207">
        <f>SUMIFS('апрель 2023'!$G$4:$G$692,'апрель 2023'!$D$4:$D$692,$B164,'апрель 2023'!$J$4:$J$692,AH$1)</f>
        <v>0</v>
      </c>
      <c r="AI164" s="220">
        <f t="shared" si="6"/>
        <v>0</v>
      </c>
    </row>
    <row r="165" spans="2:35" ht="15.75" hidden="1" x14ac:dyDescent="0.25">
      <c r="B165" s="212"/>
      <c r="C165" s="211"/>
      <c r="D165" s="207">
        <f>SUMIFS('апрель 2023'!$G$4:$G$692,'апрель 2023'!$D$4:$D$692,$B165,'апрель 2023'!$J$4:$J$692,D$1)</f>
        <v>0</v>
      </c>
      <c r="E165" s="207">
        <f>SUMIFS('апрель 2023'!$G$4:$G$692,'апрель 2023'!$D$4:$D$692,$B165,'апрель 2023'!$J$4:$J$692,E$1)</f>
        <v>0</v>
      </c>
      <c r="F165" s="207">
        <f>SUMIFS('апрель 2023'!$G$4:$G$692,'апрель 2023'!$D$4:$D$692,$B165,'апрель 2023'!$J$4:$J$692,F$1)</f>
        <v>0</v>
      </c>
      <c r="G165" s="207">
        <f>SUMIFS('апрель 2023'!$G$4:$G$692,'апрель 2023'!$D$4:$D$692,$B165,'апрель 2023'!$J$4:$J$692,G$1)</f>
        <v>0</v>
      </c>
      <c r="H165" s="207">
        <f>SUMIFS('апрель 2023'!$G$4:$G$692,'апрель 2023'!$D$4:$D$692,$B165,'апрель 2023'!$J$4:$J$692,H$1)</f>
        <v>0</v>
      </c>
      <c r="I165" s="207">
        <f>SUMIFS('апрель 2023'!$G$4:$G$692,'апрель 2023'!$D$4:$D$692,$B165,'апрель 2023'!$J$4:$J$692,I$1)</f>
        <v>0</v>
      </c>
      <c r="J165" s="207">
        <f>SUMIFS('апрель 2023'!$G$4:$G$692,'апрель 2023'!$D$4:$D$692,$B165,'апрель 2023'!$J$4:$J$692,J$1)</f>
        <v>0</v>
      </c>
      <c r="K165" s="207">
        <f>SUMIFS('апрель 2023'!$G$4:$G$692,'апрель 2023'!$D$4:$D$692,$B165,'апрель 2023'!$J$4:$J$692,K$1)</f>
        <v>0</v>
      </c>
      <c r="L165" s="207">
        <f>SUMIFS('апрель 2023'!$G$4:$G$692,'апрель 2023'!$D$4:$D$692,$B165,'апрель 2023'!$J$4:$J$692,L$1)</f>
        <v>0</v>
      </c>
      <c r="M165" s="207">
        <f>SUMIFS('апрель 2023'!$G$4:$G$692,'апрель 2023'!$D$4:$D$692,$B165,'апрель 2023'!$J$4:$J$692,M$1)</f>
        <v>0</v>
      </c>
      <c r="N165" s="207">
        <f>SUMIFS('апрель 2023'!$G$4:$G$692,'апрель 2023'!$D$4:$D$692,$B165,'апрель 2023'!$J$4:$J$692,N$1)</f>
        <v>0</v>
      </c>
      <c r="O165" s="207">
        <f>SUMIFS('апрель 2023'!$G$4:$G$692,'апрель 2023'!$D$4:$D$692,$B165,'апрель 2023'!$J$4:$J$692,O$1)</f>
        <v>0</v>
      </c>
      <c r="P165" s="207">
        <f>SUMIFS('апрель 2023'!$G$4:$G$692,'апрель 2023'!$D$4:$D$692,$B165,'апрель 2023'!$J$4:$J$692,P$1)</f>
        <v>0</v>
      </c>
      <c r="Q165" s="207">
        <f>SUMIFS('апрель 2023'!$G$4:$G$692,'апрель 2023'!$D$4:$D$692,$B165,'апрель 2023'!$J$4:$J$692,Q$1)</f>
        <v>0</v>
      </c>
      <c r="R165" s="207">
        <f>SUMIFS('апрель 2023'!$G$4:$G$692,'апрель 2023'!$D$4:$D$692,$B165,'апрель 2023'!$J$4:$J$692,R$1)</f>
        <v>0</v>
      </c>
      <c r="S165" s="207">
        <f>SUMIFS('апрель 2023'!$G$4:$G$692,'апрель 2023'!$D$4:$D$692,$B165,'апрель 2023'!$J$4:$J$692,S$1)</f>
        <v>0</v>
      </c>
      <c r="T165" s="207">
        <f>SUMIFS('апрель 2023'!$G$4:$G$692,'апрель 2023'!$D$4:$D$692,$B165,'апрель 2023'!$J$4:$J$692,T$1)</f>
        <v>0</v>
      </c>
      <c r="U165" s="207">
        <f>SUMIFS('апрель 2023'!$G$4:$G$692,'апрель 2023'!$D$4:$D$692,$B165,'апрель 2023'!$J$4:$J$692,U$1)</f>
        <v>0</v>
      </c>
      <c r="V165" s="207">
        <f>SUMIFS('апрель 2023'!$G$4:$G$692,'апрель 2023'!$D$4:$D$692,$B165,'апрель 2023'!$J$4:$J$692,V$1)</f>
        <v>0</v>
      </c>
      <c r="W165" s="207">
        <f>SUMIFS('апрель 2023'!$G$4:$G$692,'апрель 2023'!$D$4:$D$692,$B165,'апрель 2023'!$J$4:$J$692,W$1)</f>
        <v>0</v>
      </c>
      <c r="X165" s="207">
        <f>SUMIFS('апрель 2023'!$G$4:$G$692,'апрель 2023'!$D$4:$D$692,$B165,'апрель 2023'!$J$4:$J$692,X$1)</f>
        <v>0</v>
      </c>
      <c r="Y165" s="207">
        <f>SUMIFS('апрель 2023'!$G$4:$G$692,'апрель 2023'!$D$4:$D$692,$B165,'апрель 2023'!$J$4:$J$692,Y$1)</f>
        <v>0</v>
      </c>
      <c r="Z165" s="207">
        <f>SUMIFS('апрель 2023'!$G$4:$G$692,'апрель 2023'!$D$4:$D$692,$B165,'апрель 2023'!$J$4:$J$692,Z$1)</f>
        <v>0</v>
      </c>
      <c r="AA165" s="207">
        <f>SUMIFS('апрель 2023'!$G$4:$G$692,'апрель 2023'!$D$4:$D$692,$B165,'апрель 2023'!$J$4:$J$692,AA$1)</f>
        <v>0</v>
      </c>
      <c r="AB165" s="207">
        <f>SUMIFS('апрель 2023'!$G$4:$G$692,'апрель 2023'!$D$4:$D$692,$B165,'апрель 2023'!$J$4:$J$692,AB$1)</f>
        <v>0</v>
      </c>
      <c r="AC165" s="207">
        <f>SUMIFS('апрель 2023'!$G$4:$G$692,'апрель 2023'!$D$4:$D$692,$B165,'апрель 2023'!$J$4:$J$692,AC$1)</f>
        <v>0</v>
      </c>
      <c r="AD165" s="207">
        <f>SUMIFS('апрель 2023'!$G$4:$G$692,'апрель 2023'!$D$4:$D$692,$B165,'апрель 2023'!$J$4:$J$692,AD$1)</f>
        <v>0</v>
      </c>
      <c r="AE165" s="207">
        <f>SUMIFS('апрель 2023'!$G$4:$G$692,'апрель 2023'!$D$4:$D$692,$B165,'апрель 2023'!$J$4:$J$692,AE$1)</f>
        <v>0</v>
      </c>
      <c r="AF165" s="207">
        <f>SUMIFS('апрель 2023'!$G$4:$G$692,'апрель 2023'!$D$4:$D$692,$B165,'апрель 2023'!$J$4:$J$692,AF$1)</f>
        <v>0</v>
      </c>
      <c r="AG165" s="207">
        <f>SUMIFS('апрель 2023'!$G$4:$G$692,'апрель 2023'!$D$4:$D$692,$B165,'апрель 2023'!$J$4:$J$692,AG$1)</f>
        <v>0</v>
      </c>
      <c r="AH165" s="207">
        <f>SUMIFS('апрель 2023'!$G$4:$G$692,'апрель 2023'!$D$4:$D$692,$B165,'апрель 2023'!$J$4:$J$692,AH$1)</f>
        <v>0</v>
      </c>
      <c r="AI165" s="220">
        <f t="shared" si="6"/>
        <v>0</v>
      </c>
    </row>
    <row r="166" spans="2:35" ht="15.75" hidden="1" x14ac:dyDescent="0.25">
      <c r="B166" s="212"/>
      <c r="C166" s="211"/>
      <c r="D166" s="207">
        <f>SUMIFS('апрель 2023'!$G$4:$G$692,'апрель 2023'!$D$4:$D$692,$B166,'апрель 2023'!$J$4:$J$692,D$1)</f>
        <v>0</v>
      </c>
      <c r="E166" s="207">
        <f>SUMIFS('апрель 2023'!$G$4:$G$692,'апрель 2023'!$D$4:$D$692,$B166,'апрель 2023'!$J$4:$J$692,E$1)</f>
        <v>0</v>
      </c>
      <c r="F166" s="207">
        <f>SUMIFS('апрель 2023'!$G$4:$G$692,'апрель 2023'!$D$4:$D$692,$B166,'апрель 2023'!$J$4:$J$692,F$1)</f>
        <v>0</v>
      </c>
      <c r="G166" s="207">
        <f>SUMIFS('апрель 2023'!$G$4:$G$692,'апрель 2023'!$D$4:$D$692,$B166,'апрель 2023'!$J$4:$J$692,G$1)</f>
        <v>0</v>
      </c>
      <c r="H166" s="207">
        <f>SUMIFS('апрель 2023'!$G$4:$G$692,'апрель 2023'!$D$4:$D$692,$B166,'апрель 2023'!$J$4:$J$692,H$1)</f>
        <v>0</v>
      </c>
      <c r="I166" s="207">
        <f>SUMIFS('апрель 2023'!$G$4:$G$692,'апрель 2023'!$D$4:$D$692,$B166,'апрель 2023'!$J$4:$J$692,I$1)</f>
        <v>0</v>
      </c>
      <c r="J166" s="207">
        <f>SUMIFS('апрель 2023'!$G$4:$G$692,'апрель 2023'!$D$4:$D$692,$B166,'апрель 2023'!$J$4:$J$692,J$1)</f>
        <v>0</v>
      </c>
      <c r="K166" s="207">
        <f>SUMIFS('апрель 2023'!$G$4:$G$692,'апрель 2023'!$D$4:$D$692,$B166,'апрель 2023'!$J$4:$J$692,K$1)</f>
        <v>0</v>
      </c>
      <c r="L166" s="207">
        <f>SUMIFS('апрель 2023'!$G$4:$G$692,'апрель 2023'!$D$4:$D$692,$B166,'апрель 2023'!$J$4:$J$692,L$1)</f>
        <v>0</v>
      </c>
      <c r="M166" s="207">
        <f>SUMIFS('апрель 2023'!$G$4:$G$692,'апрель 2023'!$D$4:$D$692,$B166,'апрель 2023'!$J$4:$J$692,M$1)</f>
        <v>0</v>
      </c>
      <c r="N166" s="207">
        <f>SUMIFS('апрель 2023'!$G$4:$G$692,'апрель 2023'!$D$4:$D$692,$B166,'апрель 2023'!$J$4:$J$692,N$1)</f>
        <v>0</v>
      </c>
      <c r="O166" s="207">
        <f>SUMIFS('апрель 2023'!$G$4:$G$692,'апрель 2023'!$D$4:$D$692,$B166,'апрель 2023'!$J$4:$J$692,O$1)</f>
        <v>0</v>
      </c>
      <c r="P166" s="207">
        <f>SUMIFS('апрель 2023'!$G$4:$G$692,'апрель 2023'!$D$4:$D$692,$B166,'апрель 2023'!$J$4:$J$692,P$1)</f>
        <v>0</v>
      </c>
      <c r="Q166" s="207">
        <f>SUMIFS('апрель 2023'!$G$4:$G$692,'апрель 2023'!$D$4:$D$692,$B166,'апрель 2023'!$J$4:$J$692,Q$1)</f>
        <v>0</v>
      </c>
      <c r="R166" s="207">
        <f>SUMIFS('апрель 2023'!$G$4:$G$692,'апрель 2023'!$D$4:$D$692,$B166,'апрель 2023'!$J$4:$J$692,R$1)</f>
        <v>0</v>
      </c>
      <c r="S166" s="207">
        <f>SUMIFS('апрель 2023'!$G$4:$G$692,'апрель 2023'!$D$4:$D$692,$B166,'апрель 2023'!$J$4:$J$692,S$1)</f>
        <v>0</v>
      </c>
      <c r="T166" s="207">
        <f>SUMIFS('апрель 2023'!$G$4:$G$692,'апрель 2023'!$D$4:$D$692,$B166,'апрель 2023'!$J$4:$J$692,T$1)</f>
        <v>0</v>
      </c>
      <c r="U166" s="207">
        <f>SUMIFS('апрель 2023'!$G$4:$G$692,'апрель 2023'!$D$4:$D$692,$B166,'апрель 2023'!$J$4:$J$692,U$1)</f>
        <v>0</v>
      </c>
      <c r="V166" s="207">
        <f>SUMIFS('апрель 2023'!$G$4:$G$692,'апрель 2023'!$D$4:$D$692,$B166,'апрель 2023'!$J$4:$J$692,V$1)</f>
        <v>0</v>
      </c>
      <c r="W166" s="207">
        <f>SUMIFS('апрель 2023'!$G$4:$G$692,'апрель 2023'!$D$4:$D$692,$B166,'апрель 2023'!$J$4:$J$692,W$1)</f>
        <v>0</v>
      </c>
      <c r="X166" s="207">
        <f>SUMIFS('апрель 2023'!$G$4:$G$692,'апрель 2023'!$D$4:$D$692,$B166,'апрель 2023'!$J$4:$J$692,X$1)</f>
        <v>0</v>
      </c>
      <c r="Y166" s="207">
        <f>SUMIFS('апрель 2023'!$G$4:$G$692,'апрель 2023'!$D$4:$D$692,$B166,'апрель 2023'!$J$4:$J$692,Y$1)</f>
        <v>0</v>
      </c>
      <c r="Z166" s="207">
        <f>SUMIFS('апрель 2023'!$G$4:$G$692,'апрель 2023'!$D$4:$D$692,$B166,'апрель 2023'!$J$4:$J$692,Z$1)</f>
        <v>0</v>
      </c>
      <c r="AA166" s="207">
        <f>SUMIFS('апрель 2023'!$G$4:$G$692,'апрель 2023'!$D$4:$D$692,$B166,'апрель 2023'!$J$4:$J$692,AA$1)</f>
        <v>0</v>
      </c>
      <c r="AB166" s="207">
        <f>SUMIFS('апрель 2023'!$G$4:$G$692,'апрель 2023'!$D$4:$D$692,$B166,'апрель 2023'!$J$4:$J$692,AB$1)</f>
        <v>0</v>
      </c>
      <c r="AC166" s="207">
        <f>SUMIFS('апрель 2023'!$G$4:$G$692,'апрель 2023'!$D$4:$D$692,$B166,'апрель 2023'!$J$4:$J$692,AC$1)</f>
        <v>0</v>
      </c>
      <c r="AD166" s="207">
        <f>SUMIFS('апрель 2023'!$G$4:$G$692,'апрель 2023'!$D$4:$D$692,$B166,'апрель 2023'!$J$4:$J$692,AD$1)</f>
        <v>0</v>
      </c>
      <c r="AE166" s="207">
        <f>SUMIFS('апрель 2023'!$G$4:$G$692,'апрель 2023'!$D$4:$D$692,$B166,'апрель 2023'!$J$4:$J$692,AE$1)</f>
        <v>0</v>
      </c>
      <c r="AF166" s="207">
        <f>SUMIFS('апрель 2023'!$G$4:$G$692,'апрель 2023'!$D$4:$D$692,$B166,'апрель 2023'!$J$4:$J$692,AF$1)</f>
        <v>0</v>
      </c>
      <c r="AG166" s="207">
        <f>SUMIFS('апрель 2023'!$G$4:$G$692,'апрель 2023'!$D$4:$D$692,$B166,'апрель 2023'!$J$4:$J$692,AG$1)</f>
        <v>0</v>
      </c>
      <c r="AH166" s="207">
        <f>SUMIFS('апрель 2023'!$G$4:$G$692,'апрель 2023'!$D$4:$D$692,$B166,'апрель 2023'!$J$4:$J$692,AH$1)</f>
        <v>0</v>
      </c>
      <c r="AI166" s="220">
        <f t="shared" si="6"/>
        <v>0</v>
      </c>
    </row>
    <row r="167" spans="2:35" ht="15.75" hidden="1" x14ac:dyDescent="0.25">
      <c r="B167" s="212"/>
      <c r="C167" s="211"/>
      <c r="D167" s="207">
        <f>SUMIFS('апрель 2023'!$G$4:$G$692,'апрель 2023'!$D$4:$D$692,$B167,'апрель 2023'!$J$4:$J$692,D$1)</f>
        <v>0</v>
      </c>
      <c r="E167" s="207">
        <f>SUMIFS('апрель 2023'!$G$4:$G$692,'апрель 2023'!$D$4:$D$692,$B167,'апрель 2023'!$J$4:$J$692,E$1)</f>
        <v>0</v>
      </c>
      <c r="F167" s="207">
        <f>SUMIFS('апрель 2023'!$G$4:$G$692,'апрель 2023'!$D$4:$D$692,$B167,'апрель 2023'!$J$4:$J$692,F$1)</f>
        <v>0</v>
      </c>
      <c r="G167" s="207">
        <f>SUMIFS('апрель 2023'!$G$4:$G$692,'апрель 2023'!$D$4:$D$692,$B167,'апрель 2023'!$J$4:$J$692,G$1)</f>
        <v>0</v>
      </c>
      <c r="H167" s="207">
        <f>SUMIFS('апрель 2023'!$G$4:$G$692,'апрель 2023'!$D$4:$D$692,$B167,'апрель 2023'!$J$4:$J$692,H$1)</f>
        <v>0</v>
      </c>
      <c r="I167" s="207">
        <f>SUMIFS('апрель 2023'!$G$4:$G$692,'апрель 2023'!$D$4:$D$692,$B167,'апрель 2023'!$J$4:$J$692,I$1)</f>
        <v>0</v>
      </c>
      <c r="J167" s="207">
        <f>SUMIFS('апрель 2023'!$G$4:$G$692,'апрель 2023'!$D$4:$D$692,$B167,'апрель 2023'!$J$4:$J$692,J$1)</f>
        <v>0</v>
      </c>
      <c r="K167" s="207">
        <f>SUMIFS('апрель 2023'!$G$4:$G$692,'апрель 2023'!$D$4:$D$692,$B167,'апрель 2023'!$J$4:$J$692,K$1)</f>
        <v>0</v>
      </c>
      <c r="L167" s="207">
        <f>SUMIFS('апрель 2023'!$G$4:$G$692,'апрель 2023'!$D$4:$D$692,$B167,'апрель 2023'!$J$4:$J$692,L$1)</f>
        <v>0</v>
      </c>
      <c r="M167" s="207">
        <f>SUMIFS('апрель 2023'!$G$4:$G$692,'апрель 2023'!$D$4:$D$692,$B167,'апрель 2023'!$J$4:$J$692,M$1)</f>
        <v>0</v>
      </c>
      <c r="N167" s="207">
        <f>SUMIFS('апрель 2023'!$G$4:$G$692,'апрель 2023'!$D$4:$D$692,$B167,'апрель 2023'!$J$4:$J$692,N$1)</f>
        <v>0</v>
      </c>
      <c r="O167" s="207">
        <f>SUMIFS('апрель 2023'!$G$4:$G$692,'апрель 2023'!$D$4:$D$692,$B167,'апрель 2023'!$J$4:$J$692,O$1)</f>
        <v>0</v>
      </c>
      <c r="P167" s="207">
        <f>SUMIFS('апрель 2023'!$G$4:$G$692,'апрель 2023'!$D$4:$D$692,$B167,'апрель 2023'!$J$4:$J$692,P$1)</f>
        <v>0</v>
      </c>
      <c r="Q167" s="207">
        <f>SUMIFS('апрель 2023'!$G$4:$G$692,'апрель 2023'!$D$4:$D$692,$B167,'апрель 2023'!$J$4:$J$692,Q$1)</f>
        <v>0</v>
      </c>
      <c r="R167" s="207">
        <f>SUMIFS('апрель 2023'!$G$4:$G$692,'апрель 2023'!$D$4:$D$692,$B167,'апрель 2023'!$J$4:$J$692,R$1)</f>
        <v>0</v>
      </c>
      <c r="S167" s="207">
        <f>SUMIFS('апрель 2023'!$G$4:$G$692,'апрель 2023'!$D$4:$D$692,$B167,'апрель 2023'!$J$4:$J$692,S$1)</f>
        <v>0</v>
      </c>
      <c r="T167" s="207">
        <f>SUMIFS('апрель 2023'!$G$4:$G$692,'апрель 2023'!$D$4:$D$692,$B167,'апрель 2023'!$J$4:$J$692,T$1)</f>
        <v>0</v>
      </c>
      <c r="U167" s="207">
        <f>SUMIFS('апрель 2023'!$G$4:$G$692,'апрель 2023'!$D$4:$D$692,$B167,'апрель 2023'!$J$4:$J$692,U$1)</f>
        <v>0</v>
      </c>
      <c r="V167" s="207">
        <f>SUMIFS('апрель 2023'!$G$4:$G$692,'апрель 2023'!$D$4:$D$692,$B167,'апрель 2023'!$J$4:$J$692,V$1)</f>
        <v>0</v>
      </c>
      <c r="W167" s="207">
        <f>SUMIFS('апрель 2023'!$G$4:$G$692,'апрель 2023'!$D$4:$D$692,$B167,'апрель 2023'!$J$4:$J$692,W$1)</f>
        <v>0</v>
      </c>
      <c r="X167" s="207">
        <f>SUMIFS('апрель 2023'!$G$4:$G$692,'апрель 2023'!$D$4:$D$692,$B167,'апрель 2023'!$J$4:$J$692,X$1)</f>
        <v>0</v>
      </c>
      <c r="Y167" s="207">
        <f>SUMIFS('апрель 2023'!$G$4:$G$692,'апрель 2023'!$D$4:$D$692,$B167,'апрель 2023'!$J$4:$J$692,Y$1)</f>
        <v>0</v>
      </c>
      <c r="Z167" s="207">
        <f>SUMIFS('апрель 2023'!$G$4:$G$692,'апрель 2023'!$D$4:$D$692,$B167,'апрель 2023'!$J$4:$J$692,Z$1)</f>
        <v>0</v>
      </c>
      <c r="AA167" s="207">
        <f>SUMIFS('апрель 2023'!$G$4:$G$692,'апрель 2023'!$D$4:$D$692,$B167,'апрель 2023'!$J$4:$J$692,AA$1)</f>
        <v>0</v>
      </c>
      <c r="AB167" s="207">
        <f>SUMIFS('апрель 2023'!$G$4:$G$692,'апрель 2023'!$D$4:$D$692,$B167,'апрель 2023'!$J$4:$J$692,AB$1)</f>
        <v>0</v>
      </c>
      <c r="AC167" s="207">
        <f>SUMIFS('апрель 2023'!$G$4:$G$692,'апрель 2023'!$D$4:$D$692,$B167,'апрель 2023'!$J$4:$J$692,AC$1)</f>
        <v>0</v>
      </c>
      <c r="AD167" s="207">
        <f>SUMIFS('апрель 2023'!$G$4:$G$692,'апрель 2023'!$D$4:$D$692,$B167,'апрель 2023'!$J$4:$J$692,AD$1)</f>
        <v>0</v>
      </c>
      <c r="AE167" s="207">
        <f>SUMIFS('апрель 2023'!$G$4:$G$692,'апрель 2023'!$D$4:$D$692,$B167,'апрель 2023'!$J$4:$J$692,AE$1)</f>
        <v>0</v>
      </c>
      <c r="AF167" s="207">
        <f>SUMIFS('апрель 2023'!$G$4:$G$692,'апрель 2023'!$D$4:$D$692,$B167,'апрель 2023'!$J$4:$J$692,AF$1)</f>
        <v>0</v>
      </c>
      <c r="AG167" s="207">
        <f>SUMIFS('апрель 2023'!$G$4:$G$692,'апрель 2023'!$D$4:$D$692,$B167,'апрель 2023'!$J$4:$J$692,AG$1)</f>
        <v>0</v>
      </c>
      <c r="AH167" s="207">
        <f>SUMIFS('апрель 2023'!$G$4:$G$692,'апрель 2023'!$D$4:$D$692,$B167,'апрель 2023'!$J$4:$J$692,AH$1)</f>
        <v>0</v>
      </c>
      <c r="AI167" s="220">
        <f t="shared" si="6"/>
        <v>0</v>
      </c>
    </row>
    <row r="168" spans="2:35" ht="15.75" hidden="1" x14ac:dyDescent="0.25">
      <c r="B168" s="212"/>
      <c r="C168" s="211"/>
      <c r="D168" s="207">
        <f>SUMIFS('апрель 2023'!$G$4:$G$692,'апрель 2023'!$D$4:$D$692,$B168,'апрель 2023'!$J$4:$J$692,D$1)</f>
        <v>0</v>
      </c>
      <c r="E168" s="207">
        <f>SUMIFS('апрель 2023'!$G$4:$G$692,'апрель 2023'!$D$4:$D$692,$B168,'апрель 2023'!$J$4:$J$692,E$1)</f>
        <v>0</v>
      </c>
      <c r="F168" s="207">
        <f>SUMIFS('апрель 2023'!$G$4:$G$692,'апрель 2023'!$D$4:$D$692,$B168,'апрель 2023'!$J$4:$J$692,F$1)</f>
        <v>0</v>
      </c>
      <c r="G168" s="207">
        <f>SUMIFS('апрель 2023'!$G$4:$G$692,'апрель 2023'!$D$4:$D$692,$B168,'апрель 2023'!$J$4:$J$692,G$1)</f>
        <v>0</v>
      </c>
      <c r="H168" s="207">
        <f>SUMIFS('апрель 2023'!$G$4:$G$692,'апрель 2023'!$D$4:$D$692,$B168,'апрель 2023'!$J$4:$J$692,H$1)</f>
        <v>0</v>
      </c>
      <c r="I168" s="207">
        <f>SUMIFS('апрель 2023'!$G$4:$G$692,'апрель 2023'!$D$4:$D$692,$B168,'апрель 2023'!$J$4:$J$692,I$1)</f>
        <v>0</v>
      </c>
      <c r="J168" s="207">
        <f>SUMIFS('апрель 2023'!$G$4:$G$692,'апрель 2023'!$D$4:$D$692,$B168,'апрель 2023'!$J$4:$J$692,J$1)</f>
        <v>0</v>
      </c>
      <c r="K168" s="207">
        <f>SUMIFS('апрель 2023'!$G$4:$G$692,'апрель 2023'!$D$4:$D$692,$B168,'апрель 2023'!$J$4:$J$692,K$1)</f>
        <v>0</v>
      </c>
      <c r="L168" s="207">
        <f>SUMIFS('апрель 2023'!$G$4:$G$692,'апрель 2023'!$D$4:$D$692,$B168,'апрель 2023'!$J$4:$J$692,L$1)</f>
        <v>0</v>
      </c>
      <c r="M168" s="207">
        <f>SUMIFS('апрель 2023'!$G$4:$G$692,'апрель 2023'!$D$4:$D$692,$B168,'апрель 2023'!$J$4:$J$692,M$1)</f>
        <v>0</v>
      </c>
      <c r="N168" s="207">
        <f>SUMIFS('апрель 2023'!$G$4:$G$692,'апрель 2023'!$D$4:$D$692,$B168,'апрель 2023'!$J$4:$J$692,N$1)</f>
        <v>0</v>
      </c>
      <c r="O168" s="207">
        <f>SUMIFS('апрель 2023'!$G$4:$G$692,'апрель 2023'!$D$4:$D$692,$B168,'апрель 2023'!$J$4:$J$692,O$1)</f>
        <v>0</v>
      </c>
      <c r="P168" s="207">
        <f>SUMIFS('апрель 2023'!$G$4:$G$692,'апрель 2023'!$D$4:$D$692,$B168,'апрель 2023'!$J$4:$J$692,P$1)</f>
        <v>0</v>
      </c>
      <c r="Q168" s="207">
        <f>SUMIFS('апрель 2023'!$G$4:$G$692,'апрель 2023'!$D$4:$D$692,$B168,'апрель 2023'!$J$4:$J$692,Q$1)</f>
        <v>0</v>
      </c>
      <c r="R168" s="207">
        <f>SUMIFS('апрель 2023'!$G$4:$G$692,'апрель 2023'!$D$4:$D$692,$B168,'апрель 2023'!$J$4:$J$692,R$1)</f>
        <v>0</v>
      </c>
      <c r="S168" s="207">
        <f>SUMIFS('апрель 2023'!$G$4:$G$692,'апрель 2023'!$D$4:$D$692,$B168,'апрель 2023'!$J$4:$J$692,S$1)</f>
        <v>0</v>
      </c>
      <c r="T168" s="207">
        <f>SUMIFS('апрель 2023'!$G$4:$G$692,'апрель 2023'!$D$4:$D$692,$B168,'апрель 2023'!$J$4:$J$692,T$1)</f>
        <v>0</v>
      </c>
      <c r="U168" s="207">
        <f>SUMIFS('апрель 2023'!$G$4:$G$692,'апрель 2023'!$D$4:$D$692,$B168,'апрель 2023'!$J$4:$J$692,U$1)</f>
        <v>0</v>
      </c>
      <c r="V168" s="207">
        <f>SUMIFS('апрель 2023'!$G$4:$G$692,'апрель 2023'!$D$4:$D$692,$B168,'апрель 2023'!$J$4:$J$692,V$1)</f>
        <v>0</v>
      </c>
      <c r="W168" s="207">
        <f>SUMIFS('апрель 2023'!$G$4:$G$692,'апрель 2023'!$D$4:$D$692,$B168,'апрель 2023'!$J$4:$J$692,W$1)</f>
        <v>0</v>
      </c>
      <c r="X168" s="207">
        <f>SUMIFS('апрель 2023'!$G$4:$G$692,'апрель 2023'!$D$4:$D$692,$B168,'апрель 2023'!$J$4:$J$692,X$1)</f>
        <v>0</v>
      </c>
      <c r="Y168" s="207">
        <f>SUMIFS('апрель 2023'!$G$4:$G$692,'апрель 2023'!$D$4:$D$692,$B168,'апрель 2023'!$J$4:$J$692,Y$1)</f>
        <v>0</v>
      </c>
      <c r="Z168" s="207">
        <f>SUMIFS('апрель 2023'!$G$4:$G$692,'апрель 2023'!$D$4:$D$692,$B168,'апрель 2023'!$J$4:$J$692,Z$1)</f>
        <v>0</v>
      </c>
      <c r="AA168" s="207">
        <f>SUMIFS('апрель 2023'!$G$4:$G$692,'апрель 2023'!$D$4:$D$692,$B168,'апрель 2023'!$J$4:$J$692,AA$1)</f>
        <v>0</v>
      </c>
      <c r="AB168" s="207">
        <f>SUMIFS('апрель 2023'!$G$4:$G$692,'апрель 2023'!$D$4:$D$692,$B168,'апрель 2023'!$J$4:$J$692,AB$1)</f>
        <v>0</v>
      </c>
      <c r="AC168" s="207">
        <f>SUMIFS('апрель 2023'!$G$4:$G$692,'апрель 2023'!$D$4:$D$692,$B168,'апрель 2023'!$J$4:$J$692,AC$1)</f>
        <v>0</v>
      </c>
      <c r="AD168" s="207">
        <f>SUMIFS('апрель 2023'!$G$4:$G$692,'апрель 2023'!$D$4:$D$692,$B168,'апрель 2023'!$J$4:$J$692,AD$1)</f>
        <v>0</v>
      </c>
      <c r="AE168" s="207">
        <f>SUMIFS('апрель 2023'!$G$4:$G$692,'апрель 2023'!$D$4:$D$692,$B168,'апрель 2023'!$J$4:$J$692,AE$1)</f>
        <v>0</v>
      </c>
      <c r="AF168" s="207">
        <f>SUMIFS('апрель 2023'!$G$4:$G$692,'апрель 2023'!$D$4:$D$692,$B168,'апрель 2023'!$J$4:$J$692,AF$1)</f>
        <v>0</v>
      </c>
      <c r="AG168" s="207">
        <f>SUMIFS('апрель 2023'!$G$4:$G$692,'апрель 2023'!$D$4:$D$692,$B168,'апрель 2023'!$J$4:$J$692,AG$1)</f>
        <v>0</v>
      </c>
      <c r="AH168" s="207">
        <f>SUMIFS('апрель 2023'!$G$4:$G$692,'апрель 2023'!$D$4:$D$692,$B168,'апрель 2023'!$J$4:$J$692,AH$1)</f>
        <v>0</v>
      </c>
      <c r="AI168" s="220">
        <f t="shared" si="6"/>
        <v>0</v>
      </c>
    </row>
    <row r="169" spans="2:35" ht="15.75" hidden="1" x14ac:dyDescent="0.25">
      <c r="B169" s="212"/>
      <c r="C169" s="211"/>
      <c r="D169" s="207">
        <f>SUMIFS('апрель 2023'!$G$4:$G$692,'апрель 2023'!$D$4:$D$692,$B169,'апрель 2023'!$J$4:$J$692,D$1)</f>
        <v>0</v>
      </c>
      <c r="E169" s="207">
        <f>SUMIFS('апрель 2023'!$G$4:$G$692,'апрель 2023'!$D$4:$D$692,$B169,'апрель 2023'!$J$4:$J$692,E$1)</f>
        <v>0</v>
      </c>
      <c r="F169" s="207">
        <f>SUMIFS('апрель 2023'!$G$4:$G$692,'апрель 2023'!$D$4:$D$692,$B169,'апрель 2023'!$J$4:$J$692,F$1)</f>
        <v>0</v>
      </c>
      <c r="G169" s="207">
        <f>SUMIFS('апрель 2023'!$G$4:$G$692,'апрель 2023'!$D$4:$D$692,$B169,'апрель 2023'!$J$4:$J$692,G$1)</f>
        <v>0</v>
      </c>
      <c r="H169" s="207">
        <f>SUMIFS('апрель 2023'!$G$4:$G$692,'апрель 2023'!$D$4:$D$692,$B169,'апрель 2023'!$J$4:$J$692,H$1)</f>
        <v>0</v>
      </c>
      <c r="I169" s="207">
        <f>SUMIFS('апрель 2023'!$G$4:$G$692,'апрель 2023'!$D$4:$D$692,$B169,'апрель 2023'!$J$4:$J$692,I$1)</f>
        <v>0</v>
      </c>
      <c r="J169" s="207">
        <f>SUMIFS('апрель 2023'!$G$4:$G$692,'апрель 2023'!$D$4:$D$692,$B169,'апрель 2023'!$J$4:$J$692,J$1)</f>
        <v>0</v>
      </c>
      <c r="K169" s="207">
        <f>SUMIFS('апрель 2023'!$G$4:$G$692,'апрель 2023'!$D$4:$D$692,$B169,'апрель 2023'!$J$4:$J$692,K$1)</f>
        <v>0</v>
      </c>
      <c r="L169" s="207">
        <f>SUMIFS('апрель 2023'!$G$4:$G$692,'апрель 2023'!$D$4:$D$692,$B169,'апрель 2023'!$J$4:$J$692,L$1)</f>
        <v>0</v>
      </c>
      <c r="M169" s="207">
        <f>SUMIFS('апрель 2023'!$G$4:$G$692,'апрель 2023'!$D$4:$D$692,$B169,'апрель 2023'!$J$4:$J$692,M$1)</f>
        <v>0</v>
      </c>
      <c r="N169" s="207">
        <f>SUMIFS('апрель 2023'!$G$4:$G$692,'апрель 2023'!$D$4:$D$692,$B169,'апрель 2023'!$J$4:$J$692,N$1)</f>
        <v>0</v>
      </c>
      <c r="O169" s="207">
        <f>SUMIFS('апрель 2023'!$G$4:$G$692,'апрель 2023'!$D$4:$D$692,$B169,'апрель 2023'!$J$4:$J$692,O$1)</f>
        <v>0</v>
      </c>
      <c r="P169" s="207">
        <f>SUMIFS('апрель 2023'!$G$4:$G$692,'апрель 2023'!$D$4:$D$692,$B169,'апрель 2023'!$J$4:$J$692,P$1)</f>
        <v>0</v>
      </c>
      <c r="Q169" s="207">
        <f>SUMIFS('апрель 2023'!$G$4:$G$692,'апрель 2023'!$D$4:$D$692,$B169,'апрель 2023'!$J$4:$J$692,Q$1)</f>
        <v>0</v>
      </c>
      <c r="R169" s="207">
        <f>SUMIFS('апрель 2023'!$G$4:$G$692,'апрель 2023'!$D$4:$D$692,$B169,'апрель 2023'!$J$4:$J$692,R$1)</f>
        <v>0</v>
      </c>
      <c r="S169" s="207">
        <f>SUMIFS('апрель 2023'!$G$4:$G$692,'апрель 2023'!$D$4:$D$692,$B169,'апрель 2023'!$J$4:$J$692,S$1)</f>
        <v>0</v>
      </c>
      <c r="T169" s="207">
        <f>SUMIFS('апрель 2023'!$G$4:$G$692,'апрель 2023'!$D$4:$D$692,$B169,'апрель 2023'!$J$4:$J$692,T$1)</f>
        <v>0</v>
      </c>
      <c r="U169" s="207">
        <f>SUMIFS('апрель 2023'!$G$4:$G$692,'апрель 2023'!$D$4:$D$692,$B169,'апрель 2023'!$J$4:$J$692,U$1)</f>
        <v>0</v>
      </c>
      <c r="V169" s="207">
        <f>SUMIFS('апрель 2023'!$G$4:$G$692,'апрель 2023'!$D$4:$D$692,$B169,'апрель 2023'!$J$4:$J$692,V$1)</f>
        <v>0</v>
      </c>
      <c r="W169" s="207">
        <f>SUMIFS('апрель 2023'!$G$4:$G$692,'апрель 2023'!$D$4:$D$692,$B169,'апрель 2023'!$J$4:$J$692,W$1)</f>
        <v>0</v>
      </c>
      <c r="X169" s="207">
        <f>SUMIFS('апрель 2023'!$G$4:$G$692,'апрель 2023'!$D$4:$D$692,$B169,'апрель 2023'!$J$4:$J$692,X$1)</f>
        <v>0</v>
      </c>
      <c r="Y169" s="207">
        <f>SUMIFS('апрель 2023'!$G$4:$G$692,'апрель 2023'!$D$4:$D$692,$B169,'апрель 2023'!$J$4:$J$692,Y$1)</f>
        <v>0</v>
      </c>
      <c r="Z169" s="207">
        <f>SUMIFS('апрель 2023'!$G$4:$G$692,'апрель 2023'!$D$4:$D$692,$B169,'апрель 2023'!$J$4:$J$692,Z$1)</f>
        <v>0</v>
      </c>
      <c r="AA169" s="207">
        <f>SUMIFS('апрель 2023'!$G$4:$G$692,'апрель 2023'!$D$4:$D$692,$B169,'апрель 2023'!$J$4:$J$692,AA$1)</f>
        <v>0</v>
      </c>
      <c r="AB169" s="207">
        <f>SUMIFS('апрель 2023'!$G$4:$G$692,'апрель 2023'!$D$4:$D$692,$B169,'апрель 2023'!$J$4:$J$692,AB$1)</f>
        <v>0</v>
      </c>
      <c r="AC169" s="207">
        <f>SUMIFS('апрель 2023'!$G$4:$G$692,'апрель 2023'!$D$4:$D$692,$B169,'апрель 2023'!$J$4:$J$692,AC$1)</f>
        <v>0</v>
      </c>
      <c r="AD169" s="207">
        <f>SUMIFS('апрель 2023'!$G$4:$G$692,'апрель 2023'!$D$4:$D$692,$B169,'апрель 2023'!$J$4:$J$692,AD$1)</f>
        <v>0</v>
      </c>
      <c r="AE169" s="207">
        <f>SUMIFS('апрель 2023'!$G$4:$G$692,'апрель 2023'!$D$4:$D$692,$B169,'апрель 2023'!$J$4:$J$692,AE$1)</f>
        <v>0</v>
      </c>
      <c r="AF169" s="207">
        <f>SUMIFS('апрель 2023'!$G$4:$G$692,'апрель 2023'!$D$4:$D$692,$B169,'апрель 2023'!$J$4:$J$692,AF$1)</f>
        <v>0</v>
      </c>
      <c r="AG169" s="207">
        <f>SUMIFS('апрель 2023'!$G$4:$G$692,'апрель 2023'!$D$4:$D$692,$B169,'апрель 2023'!$J$4:$J$692,AG$1)</f>
        <v>0</v>
      </c>
      <c r="AH169" s="207">
        <f>SUMIFS('апрель 2023'!$G$4:$G$692,'апрель 2023'!$D$4:$D$692,$B169,'апрель 2023'!$J$4:$J$692,AH$1)</f>
        <v>0</v>
      </c>
      <c r="AI169" s="220">
        <f t="shared" si="6"/>
        <v>0</v>
      </c>
    </row>
    <row r="170" spans="2:35" ht="15.75" hidden="1" x14ac:dyDescent="0.25">
      <c r="B170" s="212"/>
      <c r="C170" s="211"/>
      <c r="D170" s="207">
        <f>SUMIFS('апрель 2023'!$G$4:$G$692,'апрель 2023'!$D$4:$D$692,$B170,'апрель 2023'!$J$4:$J$692,D$1)</f>
        <v>0</v>
      </c>
      <c r="E170" s="207">
        <f>SUMIFS('апрель 2023'!$G$4:$G$692,'апрель 2023'!$D$4:$D$692,$B170,'апрель 2023'!$J$4:$J$692,E$1)</f>
        <v>0</v>
      </c>
      <c r="F170" s="207">
        <f>SUMIFS('апрель 2023'!$G$4:$G$692,'апрель 2023'!$D$4:$D$692,$B170,'апрель 2023'!$J$4:$J$692,F$1)</f>
        <v>0</v>
      </c>
      <c r="G170" s="207">
        <f>SUMIFS('апрель 2023'!$G$4:$G$692,'апрель 2023'!$D$4:$D$692,$B170,'апрель 2023'!$J$4:$J$692,G$1)</f>
        <v>0</v>
      </c>
      <c r="H170" s="207">
        <f>SUMIFS('апрель 2023'!$G$4:$G$692,'апрель 2023'!$D$4:$D$692,$B170,'апрель 2023'!$J$4:$J$692,H$1)</f>
        <v>0</v>
      </c>
      <c r="I170" s="207">
        <f>SUMIFS('апрель 2023'!$G$4:$G$692,'апрель 2023'!$D$4:$D$692,$B170,'апрель 2023'!$J$4:$J$692,I$1)</f>
        <v>0</v>
      </c>
      <c r="J170" s="207">
        <f>SUMIFS('апрель 2023'!$G$4:$G$692,'апрель 2023'!$D$4:$D$692,$B170,'апрель 2023'!$J$4:$J$692,J$1)</f>
        <v>0</v>
      </c>
      <c r="K170" s="207">
        <f>SUMIFS('апрель 2023'!$G$4:$G$692,'апрель 2023'!$D$4:$D$692,$B170,'апрель 2023'!$J$4:$J$692,K$1)</f>
        <v>0</v>
      </c>
      <c r="L170" s="207">
        <f>SUMIFS('апрель 2023'!$G$4:$G$692,'апрель 2023'!$D$4:$D$692,$B170,'апрель 2023'!$J$4:$J$692,L$1)</f>
        <v>0</v>
      </c>
      <c r="M170" s="207">
        <f>SUMIFS('апрель 2023'!$G$4:$G$692,'апрель 2023'!$D$4:$D$692,$B170,'апрель 2023'!$J$4:$J$692,M$1)</f>
        <v>0</v>
      </c>
      <c r="N170" s="207">
        <f>SUMIFS('апрель 2023'!$G$4:$G$692,'апрель 2023'!$D$4:$D$692,$B170,'апрель 2023'!$J$4:$J$692,N$1)</f>
        <v>0</v>
      </c>
      <c r="O170" s="207">
        <f>SUMIFS('апрель 2023'!$G$4:$G$692,'апрель 2023'!$D$4:$D$692,$B170,'апрель 2023'!$J$4:$J$692,O$1)</f>
        <v>0</v>
      </c>
      <c r="P170" s="207">
        <f>SUMIFS('апрель 2023'!$G$4:$G$692,'апрель 2023'!$D$4:$D$692,$B170,'апрель 2023'!$J$4:$J$692,P$1)</f>
        <v>0</v>
      </c>
      <c r="Q170" s="207">
        <f>SUMIFS('апрель 2023'!$G$4:$G$692,'апрель 2023'!$D$4:$D$692,$B170,'апрель 2023'!$J$4:$J$692,Q$1)</f>
        <v>0</v>
      </c>
      <c r="R170" s="207">
        <f>SUMIFS('апрель 2023'!$G$4:$G$692,'апрель 2023'!$D$4:$D$692,$B170,'апрель 2023'!$J$4:$J$692,R$1)</f>
        <v>0</v>
      </c>
      <c r="S170" s="207">
        <f>SUMIFS('апрель 2023'!$G$4:$G$692,'апрель 2023'!$D$4:$D$692,$B170,'апрель 2023'!$J$4:$J$692,S$1)</f>
        <v>0</v>
      </c>
      <c r="T170" s="207">
        <f>SUMIFS('апрель 2023'!$G$4:$G$692,'апрель 2023'!$D$4:$D$692,$B170,'апрель 2023'!$J$4:$J$692,T$1)</f>
        <v>0</v>
      </c>
      <c r="U170" s="207">
        <f>SUMIFS('апрель 2023'!$G$4:$G$692,'апрель 2023'!$D$4:$D$692,$B170,'апрель 2023'!$J$4:$J$692,U$1)</f>
        <v>0</v>
      </c>
      <c r="V170" s="207">
        <f>SUMIFS('апрель 2023'!$G$4:$G$692,'апрель 2023'!$D$4:$D$692,$B170,'апрель 2023'!$J$4:$J$692,V$1)</f>
        <v>0</v>
      </c>
      <c r="W170" s="207">
        <f>SUMIFS('апрель 2023'!$G$4:$G$692,'апрель 2023'!$D$4:$D$692,$B170,'апрель 2023'!$J$4:$J$692,W$1)</f>
        <v>0</v>
      </c>
      <c r="X170" s="207">
        <f>SUMIFS('апрель 2023'!$G$4:$G$692,'апрель 2023'!$D$4:$D$692,$B170,'апрель 2023'!$J$4:$J$692,X$1)</f>
        <v>0</v>
      </c>
      <c r="Y170" s="207">
        <f>SUMIFS('апрель 2023'!$G$4:$G$692,'апрель 2023'!$D$4:$D$692,$B170,'апрель 2023'!$J$4:$J$692,Y$1)</f>
        <v>0</v>
      </c>
      <c r="Z170" s="207">
        <f>SUMIFS('апрель 2023'!$G$4:$G$692,'апрель 2023'!$D$4:$D$692,$B170,'апрель 2023'!$J$4:$J$692,Z$1)</f>
        <v>0</v>
      </c>
      <c r="AA170" s="207">
        <f>SUMIFS('апрель 2023'!$G$4:$G$692,'апрель 2023'!$D$4:$D$692,$B170,'апрель 2023'!$J$4:$J$692,AA$1)</f>
        <v>0</v>
      </c>
      <c r="AB170" s="207">
        <f>SUMIFS('апрель 2023'!$G$4:$G$692,'апрель 2023'!$D$4:$D$692,$B170,'апрель 2023'!$J$4:$J$692,AB$1)</f>
        <v>0</v>
      </c>
      <c r="AC170" s="207">
        <f>SUMIFS('апрель 2023'!$G$4:$G$692,'апрель 2023'!$D$4:$D$692,$B170,'апрель 2023'!$J$4:$J$692,AC$1)</f>
        <v>0</v>
      </c>
      <c r="AD170" s="207">
        <f>SUMIFS('апрель 2023'!$G$4:$G$692,'апрель 2023'!$D$4:$D$692,$B170,'апрель 2023'!$J$4:$J$692,AD$1)</f>
        <v>0</v>
      </c>
      <c r="AE170" s="207">
        <f>SUMIFS('апрель 2023'!$G$4:$G$692,'апрель 2023'!$D$4:$D$692,$B170,'апрель 2023'!$J$4:$J$692,AE$1)</f>
        <v>0</v>
      </c>
      <c r="AF170" s="207">
        <f>SUMIFS('апрель 2023'!$G$4:$G$692,'апрель 2023'!$D$4:$D$692,$B170,'апрель 2023'!$J$4:$J$692,AF$1)</f>
        <v>0</v>
      </c>
      <c r="AG170" s="207">
        <f>SUMIFS('апрель 2023'!$G$4:$G$692,'апрель 2023'!$D$4:$D$692,$B170,'апрель 2023'!$J$4:$J$692,AG$1)</f>
        <v>0</v>
      </c>
      <c r="AH170" s="207">
        <f>SUMIFS('апрель 2023'!$G$4:$G$692,'апрель 2023'!$D$4:$D$692,$B170,'апрель 2023'!$J$4:$J$692,AH$1)</f>
        <v>0</v>
      </c>
      <c r="AI170" s="220">
        <f t="shared" si="6"/>
        <v>0</v>
      </c>
    </row>
    <row r="171" spans="2:35" ht="15.75" hidden="1" x14ac:dyDescent="0.25">
      <c r="B171" s="212"/>
      <c r="C171" s="211"/>
      <c r="D171" s="207">
        <f>SUMIFS('апрель 2023'!$G$4:$G$692,'апрель 2023'!$D$4:$D$692,$B171,'апрель 2023'!$J$4:$J$692,D$1)</f>
        <v>0</v>
      </c>
      <c r="E171" s="207">
        <f>SUMIFS('апрель 2023'!$G$4:$G$692,'апрель 2023'!$D$4:$D$692,$B171,'апрель 2023'!$J$4:$J$692,E$1)</f>
        <v>0</v>
      </c>
      <c r="F171" s="207">
        <f>SUMIFS('апрель 2023'!$G$4:$G$692,'апрель 2023'!$D$4:$D$692,$B171,'апрель 2023'!$J$4:$J$692,F$1)</f>
        <v>0</v>
      </c>
      <c r="G171" s="207">
        <f>SUMIFS('апрель 2023'!$G$4:$G$692,'апрель 2023'!$D$4:$D$692,$B171,'апрель 2023'!$J$4:$J$692,G$1)</f>
        <v>0</v>
      </c>
      <c r="H171" s="207">
        <f>SUMIFS('апрель 2023'!$G$4:$G$692,'апрель 2023'!$D$4:$D$692,$B171,'апрель 2023'!$J$4:$J$692,H$1)</f>
        <v>0</v>
      </c>
      <c r="I171" s="207">
        <f>SUMIFS('апрель 2023'!$G$4:$G$692,'апрель 2023'!$D$4:$D$692,$B171,'апрель 2023'!$J$4:$J$692,I$1)</f>
        <v>0</v>
      </c>
      <c r="J171" s="207">
        <f>SUMIFS('апрель 2023'!$G$4:$G$692,'апрель 2023'!$D$4:$D$692,$B171,'апрель 2023'!$J$4:$J$692,J$1)</f>
        <v>0</v>
      </c>
      <c r="K171" s="207">
        <f>SUMIFS('апрель 2023'!$G$4:$G$692,'апрель 2023'!$D$4:$D$692,$B171,'апрель 2023'!$J$4:$J$692,K$1)</f>
        <v>0</v>
      </c>
      <c r="L171" s="207">
        <f>SUMIFS('апрель 2023'!$G$4:$G$692,'апрель 2023'!$D$4:$D$692,$B171,'апрель 2023'!$J$4:$J$692,L$1)</f>
        <v>0</v>
      </c>
      <c r="M171" s="207">
        <f>SUMIFS('апрель 2023'!$G$4:$G$692,'апрель 2023'!$D$4:$D$692,$B171,'апрель 2023'!$J$4:$J$692,M$1)</f>
        <v>0</v>
      </c>
      <c r="N171" s="207">
        <f>SUMIFS('апрель 2023'!$G$4:$G$692,'апрель 2023'!$D$4:$D$692,$B171,'апрель 2023'!$J$4:$J$692,N$1)</f>
        <v>0</v>
      </c>
      <c r="O171" s="207">
        <f>SUMIFS('апрель 2023'!$G$4:$G$692,'апрель 2023'!$D$4:$D$692,$B171,'апрель 2023'!$J$4:$J$692,O$1)</f>
        <v>0</v>
      </c>
      <c r="P171" s="207">
        <f>SUMIFS('апрель 2023'!$G$4:$G$692,'апрель 2023'!$D$4:$D$692,$B171,'апрель 2023'!$J$4:$J$692,P$1)</f>
        <v>0</v>
      </c>
      <c r="Q171" s="207">
        <f>SUMIFS('апрель 2023'!$G$4:$G$692,'апрель 2023'!$D$4:$D$692,$B171,'апрель 2023'!$J$4:$J$692,Q$1)</f>
        <v>0</v>
      </c>
      <c r="R171" s="207">
        <f>SUMIFS('апрель 2023'!$G$4:$G$692,'апрель 2023'!$D$4:$D$692,$B171,'апрель 2023'!$J$4:$J$692,R$1)</f>
        <v>0</v>
      </c>
      <c r="S171" s="207">
        <f>SUMIFS('апрель 2023'!$G$4:$G$692,'апрель 2023'!$D$4:$D$692,$B171,'апрель 2023'!$J$4:$J$692,S$1)</f>
        <v>0</v>
      </c>
      <c r="T171" s="207">
        <f>SUMIFS('апрель 2023'!$G$4:$G$692,'апрель 2023'!$D$4:$D$692,$B171,'апрель 2023'!$J$4:$J$692,T$1)</f>
        <v>0</v>
      </c>
      <c r="U171" s="207">
        <f>SUMIFS('апрель 2023'!$G$4:$G$692,'апрель 2023'!$D$4:$D$692,$B171,'апрель 2023'!$J$4:$J$692,U$1)</f>
        <v>0</v>
      </c>
      <c r="V171" s="207">
        <f>SUMIFS('апрель 2023'!$G$4:$G$692,'апрель 2023'!$D$4:$D$692,$B171,'апрель 2023'!$J$4:$J$692,V$1)</f>
        <v>0</v>
      </c>
      <c r="W171" s="207">
        <f>SUMIFS('апрель 2023'!$G$4:$G$692,'апрель 2023'!$D$4:$D$692,$B171,'апрель 2023'!$J$4:$J$692,W$1)</f>
        <v>0</v>
      </c>
      <c r="X171" s="207">
        <f>SUMIFS('апрель 2023'!$G$4:$G$692,'апрель 2023'!$D$4:$D$692,$B171,'апрель 2023'!$J$4:$J$692,X$1)</f>
        <v>0</v>
      </c>
      <c r="Y171" s="207">
        <f>SUMIFS('апрель 2023'!$G$4:$G$692,'апрель 2023'!$D$4:$D$692,$B171,'апрель 2023'!$J$4:$J$692,Y$1)</f>
        <v>0</v>
      </c>
      <c r="Z171" s="207">
        <f>SUMIFS('апрель 2023'!$G$4:$G$692,'апрель 2023'!$D$4:$D$692,$B171,'апрель 2023'!$J$4:$J$692,Z$1)</f>
        <v>0</v>
      </c>
      <c r="AA171" s="207">
        <f>SUMIFS('апрель 2023'!$G$4:$G$692,'апрель 2023'!$D$4:$D$692,$B171,'апрель 2023'!$J$4:$J$692,AA$1)</f>
        <v>0</v>
      </c>
      <c r="AB171" s="207">
        <f>SUMIFS('апрель 2023'!$G$4:$G$692,'апрель 2023'!$D$4:$D$692,$B171,'апрель 2023'!$J$4:$J$692,AB$1)</f>
        <v>0</v>
      </c>
      <c r="AC171" s="207">
        <f>SUMIFS('апрель 2023'!$G$4:$G$692,'апрель 2023'!$D$4:$D$692,$B171,'апрель 2023'!$J$4:$J$692,AC$1)</f>
        <v>0</v>
      </c>
      <c r="AD171" s="207">
        <f>SUMIFS('апрель 2023'!$G$4:$G$692,'апрель 2023'!$D$4:$D$692,$B171,'апрель 2023'!$J$4:$J$692,AD$1)</f>
        <v>0</v>
      </c>
      <c r="AE171" s="207">
        <f>SUMIFS('апрель 2023'!$G$4:$G$692,'апрель 2023'!$D$4:$D$692,$B171,'апрель 2023'!$J$4:$J$692,AE$1)</f>
        <v>0</v>
      </c>
      <c r="AF171" s="207">
        <f>SUMIFS('апрель 2023'!$G$4:$G$692,'апрель 2023'!$D$4:$D$692,$B171,'апрель 2023'!$J$4:$J$692,AF$1)</f>
        <v>0</v>
      </c>
      <c r="AG171" s="207">
        <f>SUMIFS('апрель 2023'!$G$4:$G$692,'апрель 2023'!$D$4:$D$692,$B171,'апрель 2023'!$J$4:$J$692,AG$1)</f>
        <v>0</v>
      </c>
      <c r="AH171" s="207">
        <f>SUMIFS('апрель 2023'!$G$4:$G$692,'апрель 2023'!$D$4:$D$692,$B171,'апрель 2023'!$J$4:$J$692,AH$1)</f>
        <v>0</v>
      </c>
      <c r="AI171" s="220">
        <f t="shared" si="6"/>
        <v>0</v>
      </c>
    </row>
    <row r="172" spans="2:35" ht="15.75" hidden="1" x14ac:dyDescent="0.25">
      <c r="B172" s="212"/>
      <c r="C172" s="211"/>
      <c r="D172" s="207">
        <f>SUMIFS('апрель 2023'!$G$4:$G$692,'апрель 2023'!$D$4:$D$692,$B172,'апрель 2023'!$J$4:$J$692,D$1)</f>
        <v>0</v>
      </c>
      <c r="E172" s="207">
        <f>SUMIFS('апрель 2023'!$G$4:$G$692,'апрель 2023'!$D$4:$D$692,$B172,'апрель 2023'!$J$4:$J$692,E$1)</f>
        <v>0</v>
      </c>
      <c r="F172" s="207">
        <f>SUMIFS('апрель 2023'!$G$4:$G$692,'апрель 2023'!$D$4:$D$692,$B172,'апрель 2023'!$J$4:$J$692,F$1)</f>
        <v>0</v>
      </c>
      <c r="G172" s="207">
        <f>SUMIFS('апрель 2023'!$G$4:$G$692,'апрель 2023'!$D$4:$D$692,$B172,'апрель 2023'!$J$4:$J$692,G$1)</f>
        <v>0</v>
      </c>
      <c r="H172" s="207">
        <f>SUMIFS('апрель 2023'!$G$4:$G$692,'апрель 2023'!$D$4:$D$692,$B172,'апрель 2023'!$J$4:$J$692,H$1)</f>
        <v>0</v>
      </c>
      <c r="I172" s="207">
        <f>SUMIFS('апрель 2023'!$G$4:$G$692,'апрель 2023'!$D$4:$D$692,$B172,'апрель 2023'!$J$4:$J$692,I$1)</f>
        <v>0</v>
      </c>
      <c r="J172" s="207">
        <f>SUMIFS('апрель 2023'!$G$4:$G$692,'апрель 2023'!$D$4:$D$692,$B172,'апрель 2023'!$J$4:$J$692,J$1)</f>
        <v>0</v>
      </c>
      <c r="K172" s="207">
        <f>SUMIFS('апрель 2023'!$G$4:$G$692,'апрель 2023'!$D$4:$D$692,$B172,'апрель 2023'!$J$4:$J$692,K$1)</f>
        <v>0</v>
      </c>
      <c r="L172" s="207">
        <f>SUMIFS('апрель 2023'!$G$4:$G$692,'апрель 2023'!$D$4:$D$692,$B172,'апрель 2023'!$J$4:$J$692,L$1)</f>
        <v>0</v>
      </c>
      <c r="M172" s="207">
        <f>SUMIFS('апрель 2023'!$G$4:$G$692,'апрель 2023'!$D$4:$D$692,$B172,'апрель 2023'!$J$4:$J$692,M$1)</f>
        <v>0</v>
      </c>
      <c r="N172" s="207">
        <f>SUMIFS('апрель 2023'!$G$4:$G$692,'апрель 2023'!$D$4:$D$692,$B172,'апрель 2023'!$J$4:$J$692,N$1)</f>
        <v>0</v>
      </c>
      <c r="O172" s="207">
        <f>SUMIFS('апрель 2023'!$G$4:$G$692,'апрель 2023'!$D$4:$D$692,$B172,'апрель 2023'!$J$4:$J$692,O$1)</f>
        <v>0</v>
      </c>
      <c r="P172" s="207">
        <f>SUMIFS('апрель 2023'!$G$4:$G$692,'апрель 2023'!$D$4:$D$692,$B172,'апрель 2023'!$J$4:$J$692,P$1)</f>
        <v>0</v>
      </c>
      <c r="Q172" s="207">
        <f>SUMIFS('апрель 2023'!$G$4:$G$692,'апрель 2023'!$D$4:$D$692,$B172,'апрель 2023'!$J$4:$J$692,Q$1)</f>
        <v>0</v>
      </c>
      <c r="R172" s="207">
        <f>SUMIFS('апрель 2023'!$G$4:$G$692,'апрель 2023'!$D$4:$D$692,$B172,'апрель 2023'!$J$4:$J$692,R$1)</f>
        <v>0</v>
      </c>
      <c r="S172" s="207">
        <f>SUMIFS('апрель 2023'!$G$4:$G$692,'апрель 2023'!$D$4:$D$692,$B172,'апрель 2023'!$J$4:$J$692,S$1)</f>
        <v>0</v>
      </c>
      <c r="T172" s="207">
        <f>SUMIFS('апрель 2023'!$G$4:$G$692,'апрель 2023'!$D$4:$D$692,$B172,'апрель 2023'!$J$4:$J$692,T$1)</f>
        <v>0</v>
      </c>
      <c r="U172" s="207">
        <f>SUMIFS('апрель 2023'!$G$4:$G$692,'апрель 2023'!$D$4:$D$692,$B172,'апрель 2023'!$J$4:$J$692,U$1)</f>
        <v>0</v>
      </c>
      <c r="V172" s="207">
        <f>SUMIFS('апрель 2023'!$G$4:$G$692,'апрель 2023'!$D$4:$D$692,$B172,'апрель 2023'!$J$4:$J$692,V$1)</f>
        <v>0</v>
      </c>
      <c r="W172" s="207">
        <f>SUMIFS('апрель 2023'!$G$4:$G$692,'апрель 2023'!$D$4:$D$692,$B172,'апрель 2023'!$J$4:$J$692,W$1)</f>
        <v>0</v>
      </c>
      <c r="X172" s="207">
        <f>SUMIFS('апрель 2023'!$G$4:$G$692,'апрель 2023'!$D$4:$D$692,$B172,'апрель 2023'!$J$4:$J$692,X$1)</f>
        <v>0</v>
      </c>
      <c r="Y172" s="207">
        <f>SUMIFS('апрель 2023'!$G$4:$G$692,'апрель 2023'!$D$4:$D$692,$B172,'апрель 2023'!$J$4:$J$692,Y$1)</f>
        <v>0</v>
      </c>
      <c r="Z172" s="207">
        <f>SUMIFS('апрель 2023'!$G$4:$G$692,'апрель 2023'!$D$4:$D$692,$B172,'апрель 2023'!$J$4:$J$692,Z$1)</f>
        <v>0</v>
      </c>
      <c r="AA172" s="207">
        <f>SUMIFS('апрель 2023'!$G$4:$G$692,'апрель 2023'!$D$4:$D$692,$B172,'апрель 2023'!$J$4:$J$692,AA$1)</f>
        <v>0</v>
      </c>
      <c r="AB172" s="207">
        <f>SUMIFS('апрель 2023'!$G$4:$G$692,'апрель 2023'!$D$4:$D$692,$B172,'апрель 2023'!$J$4:$J$692,AB$1)</f>
        <v>0</v>
      </c>
      <c r="AC172" s="207">
        <f>SUMIFS('апрель 2023'!$G$4:$G$692,'апрель 2023'!$D$4:$D$692,$B172,'апрель 2023'!$J$4:$J$692,AC$1)</f>
        <v>0</v>
      </c>
      <c r="AD172" s="207">
        <f>SUMIFS('апрель 2023'!$G$4:$G$692,'апрель 2023'!$D$4:$D$692,$B172,'апрель 2023'!$J$4:$J$692,AD$1)</f>
        <v>0</v>
      </c>
      <c r="AE172" s="207">
        <f>SUMIFS('апрель 2023'!$G$4:$G$692,'апрель 2023'!$D$4:$D$692,$B172,'апрель 2023'!$J$4:$J$692,AE$1)</f>
        <v>0</v>
      </c>
      <c r="AF172" s="207">
        <f>SUMIFS('апрель 2023'!$G$4:$G$692,'апрель 2023'!$D$4:$D$692,$B172,'апрель 2023'!$J$4:$J$692,AF$1)</f>
        <v>0</v>
      </c>
      <c r="AG172" s="207">
        <f>SUMIFS('апрель 2023'!$G$4:$G$692,'апрель 2023'!$D$4:$D$692,$B172,'апрель 2023'!$J$4:$J$692,AG$1)</f>
        <v>0</v>
      </c>
      <c r="AH172" s="207">
        <f>SUMIFS('апрель 2023'!$G$4:$G$692,'апрель 2023'!$D$4:$D$692,$B172,'апрель 2023'!$J$4:$J$692,AH$1)</f>
        <v>0</v>
      </c>
      <c r="AI172" s="220">
        <f t="shared" si="6"/>
        <v>0</v>
      </c>
    </row>
    <row r="173" spans="2:35" ht="15.75" hidden="1" x14ac:dyDescent="0.25">
      <c r="B173" s="212"/>
      <c r="C173" s="211"/>
      <c r="D173" s="207">
        <f>SUMIFS('апрель 2023'!$G$4:$G$692,'апрель 2023'!$D$4:$D$692,$B173,'апрель 2023'!$J$4:$J$692,D$1)</f>
        <v>0</v>
      </c>
      <c r="E173" s="207">
        <f>SUMIFS('апрель 2023'!$G$4:$G$692,'апрель 2023'!$D$4:$D$692,$B173,'апрель 2023'!$J$4:$J$692,E$1)</f>
        <v>0</v>
      </c>
      <c r="F173" s="207">
        <f>SUMIFS('апрель 2023'!$G$4:$G$692,'апрель 2023'!$D$4:$D$692,$B173,'апрель 2023'!$J$4:$J$692,F$1)</f>
        <v>0</v>
      </c>
      <c r="G173" s="207">
        <f>SUMIFS('апрель 2023'!$G$4:$G$692,'апрель 2023'!$D$4:$D$692,$B173,'апрель 2023'!$J$4:$J$692,G$1)</f>
        <v>0</v>
      </c>
      <c r="H173" s="207">
        <f>SUMIFS('апрель 2023'!$G$4:$G$692,'апрель 2023'!$D$4:$D$692,$B173,'апрель 2023'!$J$4:$J$692,H$1)</f>
        <v>0</v>
      </c>
      <c r="I173" s="207">
        <f>SUMIFS('апрель 2023'!$G$4:$G$692,'апрель 2023'!$D$4:$D$692,$B173,'апрель 2023'!$J$4:$J$692,I$1)</f>
        <v>0</v>
      </c>
      <c r="J173" s="207">
        <f>SUMIFS('апрель 2023'!$G$4:$G$692,'апрель 2023'!$D$4:$D$692,$B173,'апрель 2023'!$J$4:$J$692,J$1)</f>
        <v>0</v>
      </c>
      <c r="K173" s="207">
        <f>SUMIFS('апрель 2023'!$G$4:$G$692,'апрель 2023'!$D$4:$D$692,$B173,'апрель 2023'!$J$4:$J$692,K$1)</f>
        <v>0</v>
      </c>
      <c r="L173" s="207">
        <f>SUMIFS('апрель 2023'!$G$4:$G$692,'апрель 2023'!$D$4:$D$692,$B173,'апрель 2023'!$J$4:$J$692,L$1)</f>
        <v>0</v>
      </c>
      <c r="M173" s="207">
        <f>SUMIFS('апрель 2023'!$G$4:$G$692,'апрель 2023'!$D$4:$D$692,$B173,'апрель 2023'!$J$4:$J$692,M$1)</f>
        <v>0</v>
      </c>
      <c r="N173" s="207">
        <f>SUMIFS('апрель 2023'!$G$4:$G$692,'апрель 2023'!$D$4:$D$692,$B173,'апрель 2023'!$J$4:$J$692,N$1)</f>
        <v>0</v>
      </c>
      <c r="O173" s="207">
        <f>SUMIFS('апрель 2023'!$G$4:$G$692,'апрель 2023'!$D$4:$D$692,$B173,'апрель 2023'!$J$4:$J$692,O$1)</f>
        <v>0</v>
      </c>
      <c r="P173" s="207">
        <f>SUMIFS('апрель 2023'!$G$4:$G$692,'апрель 2023'!$D$4:$D$692,$B173,'апрель 2023'!$J$4:$J$692,P$1)</f>
        <v>0</v>
      </c>
      <c r="Q173" s="207">
        <f>SUMIFS('апрель 2023'!$G$4:$G$692,'апрель 2023'!$D$4:$D$692,$B173,'апрель 2023'!$J$4:$J$692,Q$1)</f>
        <v>0</v>
      </c>
      <c r="R173" s="207">
        <f>SUMIFS('апрель 2023'!$G$4:$G$692,'апрель 2023'!$D$4:$D$692,$B173,'апрель 2023'!$J$4:$J$692,R$1)</f>
        <v>0</v>
      </c>
      <c r="S173" s="207">
        <f>SUMIFS('апрель 2023'!$G$4:$G$692,'апрель 2023'!$D$4:$D$692,$B173,'апрель 2023'!$J$4:$J$692,S$1)</f>
        <v>0</v>
      </c>
      <c r="T173" s="207">
        <f>SUMIFS('апрель 2023'!$G$4:$G$692,'апрель 2023'!$D$4:$D$692,$B173,'апрель 2023'!$J$4:$J$692,T$1)</f>
        <v>0</v>
      </c>
      <c r="U173" s="207">
        <f>SUMIFS('апрель 2023'!$G$4:$G$692,'апрель 2023'!$D$4:$D$692,$B173,'апрель 2023'!$J$4:$J$692,U$1)</f>
        <v>0</v>
      </c>
      <c r="V173" s="207">
        <f>SUMIFS('апрель 2023'!$G$4:$G$692,'апрель 2023'!$D$4:$D$692,$B173,'апрель 2023'!$J$4:$J$692,V$1)</f>
        <v>0</v>
      </c>
      <c r="W173" s="207">
        <f>SUMIFS('апрель 2023'!$G$4:$G$692,'апрель 2023'!$D$4:$D$692,$B173,'апрель 2023'!$J$4:$J$692,W$1)</f>
        <v>0</v>
      </c>
      <c r="X173" s="207">
        <f>SUMIFS('апрель 2023'!$G$4:$G$692,'апрель 2023'!$D$4:$D$692,$B173,'апрель 2023'!$J$4:$J$692,X$1)</f>
        <v>0</v>
      </c>
      <c r="Y173" s="207">
        <f>SUMIFS('апрель 2023'!$G$4:$G$692,'апрель 2023'!$D$4:$D$692,$B173,'апрель 2023'!$J$4:$J$692,Y$1)</f>
        <v>0</v>
      </c>
      <c r="Z173" s="207">
        <f>SUMIFS('апрель 2023'!$G$4:$G$692,'апрель 2023'!$D$4:$D$692,$B173,'апрель 2023'!$J$4:$J$692,Z$1)</f>
        <v>0</v>
      </c>
      <c r="AA173" s="207">
        <f>SUMIFS('апрель 2023'!$G$4:$G$692,'апрель 2023'!$D$4:$D$692,$B173,'апрель 2023'!$J$4:$J$692,AA$1)</f>
        <v>0</v>
      </c>
      <c r="AB173" s="207">
        <f>SUMIFS('апрель 2023'!$G$4:$G$692,'апрель 2023'!$D$4:$D$692,$B173,'апрель 2023'!$J$4:$J$692,AB$1)</f>
        <v>0</v>
      </c>
      <c r="AC173" s="207">
        <f>SUMIFS('апрель 2023'!$G$4:$G$692,'апрель 2023'!$D$4:$D$692,$B173,'апрель 2023'!$J$4:$J$692,AC$1)</f>
        <v>0</v>
      </c>
      <c r="AD173" s="207">
        <f>SUMIFS('апрель 2023'!$G$4:$G$692,'апрель 2023'!$D$4:$D$692,$B173,'апрель 2023'!$J$4:$J$692,AD$1)</f>
        <v>0</v>
      </c>
      <c r="AE173" s="207">
        <f>SUMIFS('апрель 2023'!$G$4:$G$692,'апрель 2023'!$D$4:$D$692,$B173,'апрель 2023'!$J$4:$J$692,AE$1)</f>
        <v>0</v>
      </c>
      <c r="AF173" s="207">
        <f>SUMIFS('апрель 2023'!$G$4:$G$692,'апрель 2023'!$D$4:$D$692,$B173,'апрель 2023'!$J$4:$J$692,AF$1)</f>
        <v>0</v>
      </c>
      <c r="AG173" s="207">
        <f>SUMIFS('апрель 2023'!$G$4:$G$692,'апрель 2023'!$D$4:$D$692,$B173,'апрель 2023'!$J$4:$J$692,AG$1)</f>
        <v>0</v>
      </c>
      <c r="AH173" s="207">
        <f>SUMIFS('апрель 2023'!$G$4:$G$692,'апрель 2023'!$D$4:$D$692,$B173,'апрель 2023'!$J$4:$J$692,AH$1)</f>
        <v>0</v>
      </c>
      <c r="AI173" s="220">
        <f t="shared" si="6"/>
        <v>0</v>
      </c>
    </row>
    <row r="174" spans="2:35" ht="15.75" hidden="1" x14ac:dyDescent="0.25">
      <c r="B174" s="212"/>
      <c r="C174" s="211"/>
      <c r="D174" s="207">
        <f>SUMIFS('апрель 2023'!$G$4:$G$692,'апрель 2023'!$D$4:$D$692,$B174,'апрель 2023'!$J$4:$J$692,D$1)</f>
        <v>0</v>
      </c>
      <c r="E174" s="207">
        <f>SUMIFS('апрель 2023'!$G$4:$G$692,'апрель 2023'!$D$4:$D$692,$B174,'апрель 2023'!$J$4:$J$692,E$1)</f>
        <v>0</v>
      </c>
      <c r="F174" s="207">
        <f>SUMIFS('апрель 2023'!$G$4:$G$692,'апрель 2023'!$D$4:$D$692,$B174,'апрель 2023'!$J$4:$J$692,F$1)</f>
        <v>0</v>
      </c>
      <c r="G174" s="207">
        <f>SUMIFS('апрель 2023'!$G$4:$G$692,'апрель 2023'!$D$4:$D$692,$B174,'апрель 2023'!$J$4:$J$692,G$1)</f>
        <v>0</v>
      </c>
      <c r="H174" s="207">
        <f>SUMIFS('апрель 2023'!$G$4:$G$692,'апрель 2023'!$D$4:$D$692,$B174,'апрель 2023'!$J$4:$J$692,H$1)</f>
        <v>0</v>
      </c>
      <c r="I174" s="207">
        <f>SUMIFS('апрель 2023'!$G$4:$G$692,'апрель 2023'!$D$4:$D$692,$B174,'апрель 2023'!$J$4:$J$692,I$1)</f>
        <v>0</v>
      </c>
      <c r="J174" s="207">
        <f>SUMIFS('апрель 2023'!$G$4:$G$692,'апрель 2023'!$D$4:$D$692,$B174,'апрель 2023'!$J$4:$J$692,J$1)</f>
        <v>0</v>
      </c>
      <c r="K174" s="207">
        <f>SUMIFS('апрель 2023'!$G$4:$G$692,'апрель 2023'!$D$4:$D$692,$B174,'апрель 2023'!$J$4:$J$692,K$1)</f>
        <v>0</v>
      </c>
      <c r="L174" s="207">
        <f>SUMIFS('апрель 2023'!$G$4:$G$692,'апрель 2023'!$D$4:$D$692,$B174,'апрель 2023'!$J$4:$J$692,L$1)</f>
        <v>0</v>
      </c>
      <c r="M174" s="207">
        <f>SUMIFS('апрель 2023'!$G$4:$G$692,'апрель 2023'!$D$4:$D$692,$B174,'апрель 2023'!$J$4:$J$692,M$1)</f>
        <v>0</v>
      </c>
      <c r="N174" s="207">
        <f>SUMIFS('апрель 2023'!$G$4:$G$692,'апрель 2023'!$D$4:$D$692,$B174,'апрель 2023'!$J$4:$J$692,N$1)</f>
        <v>0</v>
      </c>
      <c r="O174" s="207">
        <f>SUMIFS('апрель 2023'!$G$4:$G$692,'апрель 2023'!$D$4:$D$692,$B174,'апрель 2023'!$J$4:$J$692,O$1)</f>
        <v>0</v>
      </c>
      <c r="P174" s="207">
        <f>SUMIFS('апрель 2023'!$G$4:$G$692,'апрель 2023'!$D$4:$D$692,$B174,'апрель 2023'!$J$4:$J$692,P$1)</f>
        <v>0</v>
      </c>
      <c r="Q174" s="207">
        <f>SUMIFS('апрель 2023'!$G$4:$G$692,'апрель 2023'!$D$4:$D$692,$B174,'апрель 2023'!$J$4:$J$692,Q$1)</f>
        <v>0</v>
      </c>
      <c r="R174" s="207">
        <f>SUMIFS('апрель 2023'!$G$4:$G$692,'апрель 2023'!$D$4:$D$692,$B174,'апрель 2023'!$J$4:$J$692,R$1)</f>
        <v>0</v>
      </c>
      <c r="S174" s="207">
        <f>SUMIFS('апрель 2023'!$G$4:$G$692,'апрель 2023'!$D$4:$D$692,$B174,'апрель 2023'!$J$4:$J$692,S$1)</f>
        <v>0</v>
      </c>
      <c r="T174" s="207">
        <f>SUMIFS('апрель 2023'!$G$4:$G$692,'апрель 2023'!$D$4:$D$692,$B174,'апрель 2023'!$J$4:$J$692,T$1)</f>
        <v>0</v>
      </c>
      <c r="U174" s="207">
        <f>SUMIFS('апрель 2023'!$G$4:$G$692,'апрель 2023'!$D$4:$D$692,$B174,'апрель 2023'!$J$4:$J$692,U$1)</f>
        <v>0</v>
      </c>
      <c r="V174" s="207">
        <f>SUMIFS('апрель 2023'!$G$4:$G$692,'апрель 2023'!$D$4:$D$692,$B174,'апрель 2023'!$J$4:$J$692,V$1)</f>
        <v>0</v>
      </c>
      <c r="W174" s="207">
        <f>SUMIFS('апрель 2023'!$G$4:$G$692,'апрель 2023'!$D$4:$D$692,$B174,'апрель 2023'!$J$4:$J$692,W$1)</f>
        <v>0</v>
      </c>
      <c r="X174" s="207">
        <f>SUMIFS('апрель 2023'!$G$4:$G$692,'апрель 2023'!$D$4:$D$692,$B174,'апрель 2023'!$J$4:$J$692,X$1)</f>
        <v>0</v>
      </c>
      <c r="Y174" s="207">
        <f>SUMIFS('апрель 2023'!$G$4:$G$692,'апрель 2023'!$D$4:$D$692,$B174,'апрель 2023'!$J$4:$J$692,Y$1)</f>
        <v>0</v>
      </c>
      <c r="Z174" s="207">
        <f>SUMIFS('апрель 2023'!$G$4:$G$692,'апрель 2023'!$D$4:$D$692,$B174,'апрель 2023'!$J$4:$J$692,Z$1)</f>
        <v>0</v>
      </c>
      <c r="AA174" s="207">
        <f>SUMIFS('апрель 2023'!$G$4:$G$692,'апрель 2023'!$D$4:$D$692,$B174,'апрель 2023'!$J$4:$J$692,AA$1)</f>
        <v>0</v>
      </c>
      <c r="AB174" s="207">
        <f>SUMIFS('апрель 2023'!$G$4:$G$692,'апрель 2023'!$D$4:$D$692,$B174,'апрель 2023'!$J$4:$J$692,AB$1)</f>
        <v>0</v>
      </c>
      <c r="AC174" s="207">
        <f>SUMIFS('апрель 2023'!$G$4:$G$692,'апрель 2023'!$D$4:$D$692,$B174,'апрель 2023'!$J$4:$J$692,AC$1)</f>
        <v>0</v>
      </c>
      <c r="AD174" s="207">
        <f>SUMIFS('апрель 2023'!$G$4:$G$692,'апрель 2023'!$D$4:$D$692,$B174,'апрель 2023'!$J$4:$J$692,AD$1)</f>
        <v>0</v>
      </c>
      <c r="AE174" s="207">
        <f>SUMIFS('апрель 2023'!$G$4:$G$692,'апрель 2023'!$D$4:$D$692,$B174,'апрель 2023'!$J$4:$J$692,AE$1)</f>
        <v>0</v>
      </c>
      <c r="AF174" s="207">
        <f>SUMIFS('апрель 2023'!$G$4:$G$692,'апрель 2023'!$D$4:$D$692,$B174,'апрель 2023'!$J$4:$J$692,AF$1)</f>
        <v>0</v>
      </c>
      <c r="AG174" s="207">
        <f>SUMIFS('апрель 2023'!$G$4:$G$692,'апрель 2023'!$D$4:$D$692,$B174,'апрель 2023'!$J$4:$J$692,AG$1)</f>
        <v>0</v>
      </c>
      <c r="AH174" s="207">
        <f>SUMIFS('апрель 2023'!$G$4:$G$692,'апрель 2023'!$D$4:$D$692,$B174,'апрель 2023'!$J$4:$J$692,AH$1)</f>
        <v>0</v>
      </c>
      <c r="AI174" s="220">
        <f t="shared" si="6"/>
        <v>0</v>
      </c>
    </row>
    <row r="175" spans="2:35" ht="15.75" hidden="1" x14ac:dyDescent="0.25">
      <c r="B175" s="212"/>
      <c r="C175" s="211"/>
      <c r="D175" s="207">
        <f>SUMIFS('апрель 2023'!$G$4:$G$692,'апрель 2023'!$D$4:$D$692,$B175,'апрель 2023'!$J$4:$J$692,D$1)</f>
        <v>0</v>
      </c>
      <c r="E175" s="207">
        <f>SUMIFS('апрель 2023'!$G$4:$G$692,'апрель 2023'!$D$4:$D$692,$B175,'апрель 2023'!$J$4:$J$692,E$1)</f>
        <v>0</v>
      </c>
      <c r="F175" s="207">
        <f>SUMIFS('апрель 2023'!$G$4:$G$692,'апрель 2023'!$D$4:$D$692,$B175,'апрель 2023'!$J$4:$J$692,F$1)</f>
        <v>0</v>
      </c>
      <c r="G175" s="207">
        <f>SUMIFS('апрель 2023'!$G$4:$G$692,'апрель 2023'!$D$4:$D$692,$B175,'апрель 2023'!$J$4:$J$692,G$1)</f>
        <v>0</v>
      </c>
      <c r="H175" s="207">
        <f>SUMIFS('апрель 2023'!$G$4:$G$692,'апрель 2023'!$D$4:$D$692,$B175,'апрель 2023'!$J$4:$J$692,H$1)</f>
        <v>0</v>
      </c>
      <c r="I175" s="207">
        <f>SUMIFS('апрель 2023'!$G$4:$G$692,'апрель 2023'!$D$4:$D$692,$B175,'апрель 2023'!$J$4:$J$692,I$1)</f>
        <v>0</v>
      </c>
      <c r="J175" s="207">
        <f>SUMIFS('апрель 2023'!$G$4:$G$692,'апрель 2023'!$D$4:$D$692,$B175,'апрель 2023'!$J$4:$J$692,J$1)</f>
        <v>0</v>
      </c>
      <c r="K175" s="207">
        <f>SUMIFS('апрель 2023'!$G$4:$G$692,'апрель 2023'!$D$4:$D$692,$B175,'апрель 2023'!$J$4:$J$692,K$1)</f>
        <v>0</v>
      </c>
      <c r="L175" s="207">
        <f>SUMIFS('апрель 2023'!$G$4:$G$692,'апрель 2023'!$D$4:$D$692,$B175,'апрель 2023'!$J$4:$J$692,L$1)</f>
        <v>0</v>
      </c>
      <c r="M175" s="207">
        <f>SUMIFS('апрель 2023'!$G$4:$G$692,'апрель 2023'!$D$4:$D$692,$B175,'апрель 2023'!$J$4:$J$692,M$1)</f>
        <v>0</v>
      </c>
      <c r="N175" s="207">
        <f>SUMIFS('апрель 2023'!$G$4:$G$692,'апрель 2023'!$D$4:$D$692,$B175,'апрель 2023'!$J$4:$J$692,N$1)</f>
        <v>0</v>
      </c>
      <c r="O175" s="207">
        <f>SUMIFS('апрель 2023'!$G$4:$G$692,'апрель 2023'!$D$4:$D$692,$B175,'апрель 2023'!$J$4:$J$692,O$1)</f>
        <v>0</v>
      </c>
      <c r="P175" s="207">
        <f>SUMIFS('апрель 2023'!$G$4:$G$692,'апрель 2023'!$D$4:$D$692,$B175,'апрель 2023'!$J$4:$J$692,P$1)</f>
        <v>0</v>
      </c>
      <c r="Q175" s="207">
        <f>SUMIFS('апрель 2023'!$G$4:$G$692,'апрель 2023'!$D$4:$D$692,$B175,'апрель 2023'!$J$4:$J$692,Q$1)</f>
        <v>0</v>
      </c>
      <c r="R175" s="207">
        <f>SUMIFS('апрель 2023'!$G$4:$G$692,'апрель 2023'!$D$4:$D$692,$B175,'апрель 2023'!$J$4:$J$692,R$1)</f>
        <v>0</v>
      </c>
      <c r="S175" s="207">
        <f>SUMIFS('апрель 2023'!$G$4:$G$692,'апрель 2023'!$D$4:$D$692,$B175,'апрель 2023'!$J$4:$J$692,S$1)</f>
        <v>0</v>
      </c>
      <c r="T175" s="207">
        <f>SUMIFS('апрель 2023'!$G$4:$G$692,'апрель 2023'!$D$4:$D$692,$B175,'апрель 2023'!$J$4:$J$692,T$1)</f>
        <v>0</v>
      </c>
      <c r="U175" s="207">
        <f>SUMIFS('апрель 2023'!$G$4:$G$692,'апрель 2023'!$D$4:$D$692,$B175,'апрель 2023'!$J$4:$J$692,U$1)</f>
        <v>0</v>
      </c>
      <c r="V175" s="207">
        <f>SUMIFS('апрель 2023'!$G$4:$G$692,'апрель 2023'!$D$4:$D$692,$B175,'апрель 2023'!$J$4:$J$692,V$1)</f>
        <v>0</v>
      </c>
      <c r="W175" s="207">
        <f>SUMIFS('апрель 2023'!$G$4:$G$692,'апрель 2023'!$D$4:$D$692,$B175,'апрель 2023'!$J$4:$J$692,W$1)</f>
        <v>0</v>
      </c>
      <c r="X175" s="207">
        <f>SUMIFS('апрель 2023'!$G$4:$G$692,'апрель 2023'!$D$4:$D$692,$B175,'апрель 2023'!$J$4:$J$692,X$1)</f>
        <v>0</v>
      </c>
      <c r="Y175" s="207">
        <f>SUMIFS('апрель 2023'!$G$4:$G$692,'апрель 2023'!$D$4:$D$692,$B175,'апрель 2023'!$J$4:$J$692,Y$1)</f>
        <v>0</v>
      </c>
      <c r="Z175" s="207">
        <f>SUMIFS('апрель 2023'!$G$4:$G$692,'апрель 2023'!$D$4:$D$692,$B175,'апрель 2023'!$J$4:$J$692,Z$1)</f>
        <v>0</v>
      </c>
      <c r="AA175" s="207">
        <f>SUMIFS('апрель 2023'!$G$4:$G$692,'апрель 2023'!$D$4:$D$692,$B175,'апрель 2023'!$J$4:$J$692,AA$1)</f>
        <v>0</v>
      </c>
      <c r="AB175" s="207">
        <f>SUMIFS('апрель 2023'!$G$4:$G$692,'апрель 2023'!$D$4:$D$692,$B175,'апрель 2023'!$J$4:$J$692,AB$1)</f>
        <v>0</v>
      </c>
      <c r="AC175" s="207">
        <f>SUMIFS('апрель 2023'!$G$4:$G$692,'апрель 2023'!$D$4:$D$692,$B175,'апрель 2023'!$J$4:$J$692,AC$1)</f>
        <v>0</v>
      </c>
      <c r="AD175" s="207">
        <f>SUMIFS('апрель 2023'!$G$4:$G$692,'апрель 2023'!$D$4:$D$692,$B175,'апрель 2023'!$J$4:$J$692,AD$1)</f>
        <v>0</v>
      </c>
      <c r="AE175" s="207">
        <f>SUMIFS('апрель 2023'!$G$4:$G$692,'апрель 2023'!$D$4:$D$692,$B175,'апрель 2023'!$J$4:$J$692,AE$1)</f>
        <v>0</v>
      </c>
      <c r="AF175" s="207">
        <f>SUMIFS('апрель 2023'!$G$4:$G$692,'апрель 2023'!$D$4:$D$692,$B175,'апрель 2023'!$J$4:$J$692,AF$1)</f>
        <v>0</v>
      </c>
      <c r="AG175" s="207">
        <f>SUMIFS('апрель 2023'!$G$4:$G$692,'апрель 2023'!$D$4:$D$692,$B175,'апрель 2023'!$J$4:$J$692,AG$1)</f>
        <v>0</v>
      </c>
      <c r="AH175" s="207">
        <f>SUMIFS('апрель 2023'!$G$4:$G$692,'апрель 2023'!$D$4:$D$692,$B175,'апрель 2023'!$J$4:$J$692,AH$1)</f>
        <v>0</v>
      </c>
      <c r="AI175" s="220">
        <f t="shared" si="6"/>
        <v>0</v>
      </c>
    </row>
    <row r="176" spans="2:35" ht="15.75" hidden="1" x14ac:dyDescent="0.25">
      <c r="B176" s="212"/>
      <c r="C176" s="211"/>
      <c r="D176" s="207">
        <f>SUMIFS('апрель 2023'!$G$4:$G$692,'апрель 2023'!$D$4:$D$692,$B176,'апрель 2023'!$J$4:$J$692,D$1)</f>
        <v>0</v>
      </c>
      <c r="E176" s="207">
        <f>SUMIFS('апрель 2023'!$G$4:$G$692,'апрель 2023'!$D$4:$D$692,$B176,'апрель 2023'!$J$4:$J$692,E$1)</f>
        <v>0</v>
      </c>
      <c r="F176" s="207">
        <f>SUMIFS('апрель 2023'!$G$4:$G$692,'апрель 2023'!$D$4:$D$692,$B176,'апрель 2023'!$J$4:$J$692,F$1)</f>
        <v>0</v>
      </c>
      <c r="G176" s="207">
        <f>SUMIFS('апрель 2023'!$G$4:$G$692,'апрель 2023'!$D$4:$D$692,$B176,'апрель 2023'!$J$4:$J$692,G$1)</f>
        <v>0</v>
      </c>
      <c r="H176" s="207">
        <f>SUMIFS('апрель 2023'!$G$4:$G$692,'апрель 2023'!$D$4:$D$692,$B176,'апрель 2023'!$J$4:$J$692,H$1)</f>
        <v>0</v>
      </c>
      <c r="I176" s="207">
        <f>SUMIFS('апрель 2023'!$G$4:$G$692,'апрель 2023'!$D$4:$D$692,$B176,'апрель 2023'!$J$4:$J$692,I$1)</f>
        <v>0</v>
      </c>
      <c r="J176" s="207">
        <f>SUMIFS('апрель 2023'!$G$4:$G$692,'апрель 2023'!$D$4:$D$692,$B176,'апрель 2023'!$J$4:$J$692,J$1)</f>
        <v>0</v>
      </c>
      <c r="K176" s="207">
        <f>SUMIFS('апрель 2023'!$G$4:$G$692,'апрель 2023'!$D$4:$D$692,$B176,'апрель 2023'!$J$4:$J$692,K$1)</f>
        <v>0</v>
      </c>
      <c r="L176" s="207">
        <f>SUMIFS('апрель 2023'!$G$4:$G$692,'апрель 2023'!$D$4:$D$692,$B176,'апрель 2023'!$J$4:$J$692,L$1)</f>
        <v>0</v>
      </c>
      <c r="M176" s="207">
        <f>SUMIFS('апрель 2023'!$G$4:$G$692,'апрель 2023'!$D$4:$D$692,$B176,'апрель 2023'!$J$4:$J$692,M$1)</f>
        <v>0</v>
      </c>
      <c r="N176" s="207">
        <f>SUMIFS('апрель 2023'!$G$4:$G$692,'апрель 2023'!$D$4:$D$692,$B176,'апрель 2023'!$J$4:$J$692,N$1)</f>
        <v>0</v>
      </c>
      <c r="O176" s="207">
        <f>SUMIFS('апрель 2023'!$G$4:$G$692,'апрель 2023'!$D$4:$D$692,$B176,'апрель 2023'!$J$4:$J$692,O$1)</f>
        <v>0</v>
      </c>
      <c r="P176" s="207">
        <f>SUMIFS('апрель 2023'!$G$4:$G$692,'апрель 2023'!$D$4:$D$692,$B176,'апрель 2023'!$J$4:$J$692,P$1)</f>
        <v>0</v>
      </c>
      <c r="Q176" s="207">
        <f>SUMIFS('апрель 2023'!$G$4:$G$692,'апрель 2023'!$D$4:$D$692,$B176,'апрель 2023'!$J$4:$J$692,Q$1)</f>
        <v>0</v>
      </c>
      <c r="R176" s="207">
        <f>SUMIFS('апрель 2023'!$G$4:$G$692,'апрель 2023'!$D$4:$D$692,$B176,'апрель 2023'!$J$4:$J$692,R$1)</f>
        <v>0</v>
      </c>
      <c r="S176" s="207">
        <f>SUMIFS('апрель 2023'!$G$4:$G$692,'апрель 2023'!$D$4:$D$692,$B176,'апрель 2023'!$J$4:$J$692,S$1)</f>
        <v>0</v>
      </c>
      <c r="T176" s="207">
        <f>SUMIFS('апрель 2023'!$G$4:$G$692,'апрель 2023'!$D$4:$D$692,$B176,'апрель 2023'!$J$4:$J$692,T$1)</f>
        <v>0</v>
      </c>
      <c r="U176" s="207">
        <f>SUMIFS('апрель 2023'!$G$4:$G$692,'апрель 2023'!$D$4:$D$692,$B176,'апрель 2023'!$J$4:$J$692,U$1)</f>
        <v>0</v>
      </c>
      <c r="V176" s="207">
        <f>SUMIFS('апрель 2023'!$G$4:$G$692,'апрель 2023'!$D$4:$D$692,$B176,'апрель 2023'!$J$4:$J$692,V$1)</f>
        <v>0</v>
      </c>
      <c r="W176" s="207">
        <f>SUMIFS('апрель 2023'!$G$4:$G$692,'апрель 2023'!$D$4:$D$692,$B176,'апрель 2023'!$J$4:$J$692,W$1)</f>
        <v>0</v>
      </c>
      <c r="X176" s="207">
        <f>SUMIFS('апрель 2023'!$G$4:$G$692,'апрель 2023'!$D$4:$D$692,$B176,'апрель 2023'!$J$4:$J$692,X$1)</f>
        <v>0</v>
      </c>
      <c r="Y176" s="207">
        <f>SUMIFS('апрель 2023'!$G$4:$G$692,'апрель 2023'!$D$4:$D$692,$B176,'апрель 2023'!$J$4:$J$692,Y$1)</f>
        <v>0</v>
      </c>
      <c r="Z176" s="207">
        <f>SUMIFS('апрель 2023'!$G$4:$G$692,'апрель 2023'!$D$4:$D$692,$B176,'апрель 2023'!$J$4:$J$692,Z$1)</f>
        <v>0</v>
      </c>
      <c r="AA176" s="207">
        <f>SUMIFS('апрель 2023'!$G$4:$G$692,'апрель 2023'!$D$4:$D$692,$B176,'апрель 2023'!$J$4:$J$692,AA$1)</f>
        <v>0</v>
      </c>
      <c r="AB176" s="207">
        <f>SUMIFS('апрель 2023'!$G$4:$G$692,'апрель 2023'!$D$4:$D$692,$B176,'апрель 2023'!$J$4:$J$692,AB$1)</f>
        <v>0</v>
      </c>
      <c r="AC176" s="207">
        <f>SUMIFS('апрель 2023'!$G$4:$G$692,'апрель 2023'!$D$4:$D$692,$B176,'апрель 2023'!$J$4:$J$692,AC$1)</f>
        <v>0</v>
      </c>
      <c r="AD176" s="207">
        <f>SUMIFS('апрель 2023'!$G$4:$G$692,'апрель 2023'!$D$4:$D$692,$B176,'апрель 2023'!$J$4:$J$692,AD$1)</f>
        <v>0</v>
      </c>
      <c r="AE176" s="207">
        <f>SUMIFS('апрель 2023'!$G$4:$G$692,'апрель 2023'!$D$4:$D$692,$B176,'апрель 2023'!$J$4:$J$692,AE$1)</f>
        <v>0</v>
      </c>
      <c r="AF176" s="207">
        <f>SUMIFS('апрель 2023'!$G$4:$G$692,'апрель 2023'!$D$4:$D$692,$B176,'апрель 2023'!$J$4:$J$692,AF$1)</f>
        <v>0</v>
      </c>
      <c r="AG176" s="207">
        <f>SUMIFS('апрель 2023'!$G$4:$G$692,'апрель 2023'!$D$4:$D$692,$B176,'апрель 2023'!$J$4:$J$692,AG$1)</f>
        <v>0</v>
      </c>
      <c r="AH176" s="207">
        <f>SUMIFS('апрель 2023'!$G$4:$G$692,'апрель 2023'!$D$4:$D$692,$B176,'апрель 2023'!$J$4:$J$692,AH$1)</f>
        <v>0</v>
      </c>
      <c r="AI176" s="220">
        <f t="shared" si="6"/>
        <v>0</v>
      </c>
    </row>
    <row r="177" spans="2:35" ht="15.75" hidden="1" x14ac:dyDescent="0.25">
      <c r="B177" s="212"/>
      <c r="C177" s="211"/>
      <c r="D177" s="207">
        <f>SUMIFS('апрель 2023'!$G$4:$G$692,'апрель 2023'!$D$4:$D$692,$B177,'апрель 2023'!$J$4:$J$692,D$1)</f>
        <v>0</v>
      </c>
      <c r="E177" s="207">
        <f>SUMIFS('апрель 2023'!$G$4:$G$692,'апрель 2023'!$D$4:$D$692,$B177,'апрель 2023'!$J$4:$J$692,E$1)</f>
        <v>0</v>
      </c>
      <c r="F177" s="207">
        <f>SUMIFS('апрель 2023'!$G$4:$G$692,'апрель 2023'!$D$4:$D$692,$B177,'апрель 2023'!$J$4:$J$692,F$1)</f>
        <v>0</v>
      </c>
      <c r="G177" s="207">
        <f>SUMIFS('апрель 2023'!$G$4:$G$692,'апрель 2023'!$D$4:$D$692,$B177,'апрель 2023'!$J$4:$J$692,G$1)</f>
        <v>0</v>
      </c>
      <c r="H177" s="207">
        <f>SUMIFS('апрель 2023'!$G$4:$G$692,'апрель 2023'!$D$4:$D$692,$B177,'апрель 2023'!$J$4:$J$692,H$1)</f>
        <v>0</v>
      </c>
      <c r="I177" s="207">
        <f>SUMIFS('апрель 2023'!$G$4:$G$692,'апрель 2023'!$D$4:$D$692,$B177,'апрель 2023'!$J$4:$J$692,I$1)</f>
        <v>0</v>
      </c>
      <c r="J177" s="207">
        <f>SUMIFS('апрель 2023'!$G$4:$G$692,'апрель 2023'!$D$4:$D$692,$B177,'апрель 2023'!$J$4:$J$692,J$1)</f>
        <v>0</v>
      </c>
      <c r="K177" s="207">
        <f>SUMIFS('апрель 2023'!$G$4:$G$692,'апрель 2023'!$D$4:$D$692,$B177,'апрель 2023'!$J$4:$J$692,K$1)</f>
        <v>0</v>
      </c>
      <c r="L177" s="207">
        <f>SUMIFS('апрель 2023'!$G$4:$G$692,'апрель 2023'!$D$4:$D$692,$B177,'апрель 2023'!$J$4:$J$692,L$1)</f>
        <v>0</v>
      </c>
      <c r="M177" s="207">
        <f>SUMIFS('апрель 2023'!$G$4:$G$692,'апрель 2023'!$D$4:$D$692,$B177,'апрель 2023'!$J$4:$J$692,M$1)</f>
        <v>0</v>
      </c>
      <c r="N177" s="207">
        <f>SUMIFS('апрель 2023'!$G$4:$G$692,'апрель 2023'!$D$4:$D$692,$B177,'апрель 2023'!$J$4:$J$692,N$1)</f>
        <v>0</v>
      </c>
      <c r="O177" s="207">
        <f>SUMIFS('апрель 2023'!$G$4:$G$692,'апрель 2023'!$D$4:$D$692,$B177,'апрель 2023'!$J$4:$J$692,O$1)</f>
        <v>0</v>
      </c>
      <c r="P177" s="207">
        <f>SUMIFS('апрель 2023'!$G$4:$G$692,'апрель 2023'!$D$4:$D$692,$B177,'апрель 2023'!$J$4:$J$692,P$1)</f>
        <v>0</v>
      </c>
      <c r="Q177" s="207">
        <f>SUMIFS('апрель 2023'!$G$4:$G$692,'апрель 2023'!$D$4:$D$692,$B177,'апрель 2023'!$J$4:$J$692,Q$1)</f>
        <v>0</v>
      </c>
      <c r="R177" s="207">
        <f>SUMIFS('апрель 2023'!$G$4:$G$692,'апрель 2023'!$D$4:$D$692,$B177,'апрель 2023'!$J$4:$J$692,R$1)</f>
        <v>0</v>
      </c>
      <c r="S177" s="207">
        <f>SUMIFS('апрель 2023'!$G$4:$G$692,'апрель 2023'!$D$4:$D$692,$B177,'апрель 2023'!$J$4:$J$692,S$1)</f>
        <v>0</v>
      </c>
      <c r="T177" s="207">
        <f>SUMIFS('апрель 2023'!$G$4:$G$692,'апрель 2023'!$D$4:$D$692,$B177,'апрель 2023'!$J$4:$J$692,T$1)</f>
        <v>0</v>
      </c>
      <c r="U177" s="207">
        <f>SUMIFS('апрель 2023'!$G$4:$G$692,'апрель 2023'!$D$4:$D$692,$B177,'апрель 2023'!$J$4:$J$692,U$1)</f>
        <v>0</v>
      </c>
      <c r="V177" s="207">
        <f>SUMIFS('апрель 2023'!$G$4:$G$692,'апрель 2023'!$D$4:$D$692,$B177,'апрель 2023'!$J$4:$J$692,V$1)</f>
        <v>0</v>
      </c>
      <c r="W177" s="207">
        <f>SUMIFS('апрель 2023'!$G$4:$G$692,'апрель 2023'!$D$4:$D$692,$B177,'апрель 2023'!$J$4:$J$692,W$1)</f>
        <v>0</v>
      </c>
      <c r="X177" s="207">
        <f>SUMIFS('апрель 2023'!$G$4:$G$692,'апрель 2023'!$D$4:$D$692,$B177,'апрель 2023'!$J$4:$J$692,X$1)</f>
        <v>0</v>
      </c>
      <c r="Y177" s="207">
        <f>SUMIFS('апрель 2023'!$G$4:$G$692,'апрель 2023'!$D$4:$D$692,$B177,'апрель 2023'!$J$4:$J$692,Y$1)</f>
        <v>0</v>
      </c>
      <c r="Z177" s="207">
        <f>SUMIFS('апрель 2023'!$G$4:$G$692,'апрель 2023'!$D$4:$D$692,$B177,'апрель 2023'!$J$4:$J$692,Z$1)</f>
        <v>0</v>
      </c>
      <c r="AA177" s="207">
        <f>SUMIFS('апрель 2023'!$G$4:$G$692,'апрель 2023'!$D$4:$D$692,$B177,'апрель 2023'!$J$4:$J$692,AA$1)</f>
        <v>0</v>
      </c>
      <c r="AB177" s="207">
        <f>SUMIFS('апрель 2023'!$G$4:$G$692,'апрель 2023'!$D$4:$D$692,$B177,'апрель 2023'!$J$4:$J$692,AB$1)</f>
        <v>0</v>
      </c>
      <c r="AC177" s="207">
        <f>SUMIFS('апрель 2023'!$G$4:$G$692,'апрель 2023'!$D$4:$D$692,$B177,'апрель 2023'!$J$4:$J$692,AC$1)</f>
        <v>0</v>
      </c>
      <c r="AD177" s="207">
        <f>SUMIFS('апрель 2023'!$G$4:$G$692,'апрель 2023'!$D$4:$D$692,$B177,'апрель 2023'!$J$4:$J$692,AD$1)</f>
        <v>0</v>
      </c>
      <c r="AE177" s="207">
        <f>SUMIFS('апрель 2023'!$G$4:$G$692,'апрель 2023'!$D$4:$D$692,$B177,'апрель 2023'!$J$4:$J$692,AE$1)</f>
        <v>0</v>
      </c>
      <c r="AF177" s="207">
        <f>SUMIFS('апрель 2023'!$G$4:$G$692,'апрель 2023'!$D$4:$D$692,$B177,'апрель 2023'!$J$4:$J$692,AF$1)</f>
        <v>0</v>
      </c>
      <c r="AG177" s="207">
        <f>SUMIFS('апрель 2023'!$G$4:$G$692,'апрель 2023'!$D$4:$D$692,$B177,'апрель 2023'!$J$4:$J$692,AG$1)</f>
        <v>0</v>
      </c>
      <c r="AH177" s="207">
        <f>SUMIFS('апрель 2023'!$G$4:$G$692,'апрель 2023'!$D$4:$D$692,$B177,'апрель 2023'!$J$4:$J$692,AH$1)</f>
        <v>0</v>
      </c>
      <c r="AI177" s="220">
        <f t="shared" si="6"/>
        <v>0</v>
      </c>
    </row>
    <row r="178" spans="2:35" ht="15.75" hidden="1" x14ac:dyDescent="0.25">
      <c r="B178" s="212"/>
      <c r="C178" s="211"/>
      <c r="D178" s="207">
        <f>SUMIFS('апрель 2023'!$G$4:$G$692,'апрель 2023'!$D$4:$D$692,$B178,'апрель 2023'!$J$4:$J$692,D$1)</f>
        <v>0</v>
      </c>
      <c r="E178" s="207">
        <f>SUMIFS('апрель 2023'!$G$4:$G$692,'апрель 2023'!$D$4:$D$692,$B178,'апрель 2023'!$J$4:$J$692,E$1)</f>
        <v>0</v>
      </c>
      <c r="F178" s="207">
        <f>SUMIFS('апрель 2023'!$G$4:$G$692,'апрель 2023'!$D$4:$D$692,$B178,'апрель 2023'!$J$4:$J$692,F$1)</f>
        <v>0</v>
      </c>
      <c r="G178" s="207">
        <f>SUMIFS('апрель 2023'!$G$4:$G$692,'апрель 2023'!$D$4:$D$692,$B178,'апрель 2023'!$J$4:$J$692,G$1)</f>
        <v>0</v>
      </c>
      <c r="H178" s="207">
        <f>SUMIFS('апрель 2023'!$G$4:$G$692,'апрель 2023'!$D$4:$D$692,$B178,'апрель 2023'!$J$4:$J$692,H$1)</f>
        <v>0</v>
      </c>
      <c r="I178" s="207">
        <f>SUMIFS('апрель 2023'!$G$4:$G$692,'апрель 2023'!$D$4:$D$692,$B178,'апрель 2023'!$J$4:$J$692,I$1)</f>
        <v>0</v>
      </c>
      <c r="J178" s="207">
        <f>SUMIFS('апрель 2023'!$G$4:$G$692,'апрель 2023'!$D$4:$D$692,$B178,'апрель 2023'!$J$4:$J$692,J$1)</f>
        <v>0</v>
      </c>
      <c r="K178" s="207">
        <f>SUMIFS('апрель 2023'!$G$4:$G$692,'апрель 2023'!$D$4:$D$692,$B178,'апрель 2023'!$J$4:$J$692,K$1)</f>
        <v>0</v>
      </c>
      <c r="L178" s="207">
        <f>SUMIFS('апрель 2023'!$G$4:$G$692,'апрель 2023'!$D$4:$D$692,$B178,'апрель 2023'!$J$4:$J$692,L$1)</f>
        <v>0</v>
      </c>
      <c r="M178" s="207">
        <f>SUMIFS('апрель 2023'!$G$4:$G$692,'апрель 2023'!$D$4:$D$692,$B178,'апрель 2023'!$J$4:$J$692,M$1)</f>
        <v>0</v>
      </c>
      <c r="N178" s="207">
        <f>SUMIFS('апрель 2023'!$G$4:$G$692,'апрель 2023'!$D$4:$D$692,$B178,'апрель 2023'!$J$4:$J$692,N$1)</f>
        <v>0</v>
      </c>
      <c r="O178" s="207">
        <f>SUMIFS('апрель 2023'!$G$4:$G$692,'апрель 2023'!$D$4:$D$692,$B178,'апрель 2023'!$J$4:$J$692,O$1)</f>
        <v>0</v>
      </c>
      <c r="P178" s="207">
        <f>SUMIFS('апрель 2023'!$G$4:$G$692,'апрель 2023'!$D$4:$D$692,$B178,'апрель 2023'!$J$4:$J$692,P$1)</f>
        <v>0</v>
      </c>
      <c r="Q178" s="207">
        <f>SUMIFS('апрель 2023'!$G$4:$G$692,'апрель 2023'!$D$4:$D$692,$B178,'апрель 2023'!$J$4:$J$692,Q$1)</f>
        <v>0</v>
      </c>
      <c r="R178" s="207">
        <f>SUMIFS('апрель 2023'!$G$4:$G$692,'апрель 2023'!$D$4:$D$692,$B178,'апрель 2023'!$J$4:$J$692,R$1)</f>
        <v>0</v>
      </c>
      <c r="S178" s="207">
        <f>SUMIFS('апрель 2023'!$G$4:$G$692,'апрель 2023'!$D$4:$D$692,$B178,'апрель 2023'!$J$4:$J$692,S$1)</f>
        <v>0</v>
      </c>
      <c r="T178" s="207">
        <f>SUMIFS('апрель 2023'!$G$4:$G$692,'апрель 2023'!$D$4:$D$692,$B178,'апрель 2023'!$J$4:$J$692,T$1)</f>
        <v>0</v>
      </c>
      <c r="U178" s="207">
        <f>SUMIFS('апрель 2023'!$G$4:$G$692,'апрель 2023'!$D$4:$D$692,$B178,'апрель 2023'!$J$4:$J$692,U$1)</f>
        <v>0</v>
      </c>
      <c r="V178" s="207">
        <f>SUMIFS('апрель 2023'!$G$4:$G$692,'апрель 2023'!$D$4:$D$692,$B178,'апрель 2023'!$J$4:$J$692,V$1)</f>
        <v>0</v>
      </c>
      <c r="W178" s="207">
        <f>SUMIFS('апрель 2023'!$G$4:$G$692,'апрель 2023'!$D$4:$D$692,$B178,'апрель 2023'!$J$4:$J$692,W$1)</f>
        <v>0</v>
      </c>
      <c r="X178" s="207">
        <f>SUMIFS('апрель 2023'!$G$4:$G$692,'апрель 2023'!$D$4:$D$692,$B178,'апрель 2023'!$J$4:$J$692,X$1)</f>
        <v>0</v>
      </c>
      <c r="Y178" s="207">
        <f>SUMIFS('апрель 2023'!$G$4:$G$692,'апрель 2023'!$D$4:$D$692,$B178,'апрель 2023'!$J$4:$J$692,Y$1)</f>
        <v>0</v>
      </c>
      <c r="Z178" s="207">
        <f>SUMIFS('апрель 2023'!$G$4:$G$692,'апрель 2023'!$D$4:$D$692,$B178,'апрель 2023'!$J$4:$J$692,Z$1)</f>
        <v>0</v>
      </c>
      <c r="AA178" s="207">
        <f>SUMIFS('апрель 2023'!$G$4:$G$692,'апрель 2023'!$D$4:$D$692,$B178,'апрель 2023'!$J$4:$J$692,AA$1)</f>
        <v>0</v>
      </c>
      <c r="AB178" s="207">
        <f>SUMIFS('апрель 2023'!$G$4:$G$692,'апрель 2023'!$D$4:$D$692,$B178,'апрель 2023'!$J$4:$J$692,AB$1)</f>
        <v>0</v>
      </c>
      <c r="AC178" s="207">
        <f>SUMIFS('апрель 2023'!$G$4:$G$692,'апрель 2023'!$D$4:$D$692,$B178,'апрель 2023'!$J$4:$J$692,AC$1)</f>
        <v>0</v>
      </c>
      <c r="AD178" s="207">
        <f>SUMIFS('апрель 2023'!$G$4:$G$692,'апрель 2023'!$D$4:$D$692,$B178,'апрель 2023'!$J$4:$J$692,AD$1)</f>
        <v>0</v>
      </c>
      <c r="AE178" s="207">
        <f>SUMIFS('апрель 2023'!$G$4:$G$692,'апрель 2023'!$D$4:$D$692,$B178,'апрель 2023'!$J$4:$J$692,AE$1)</f>
        <v>0</v>
      </c>
      <c r="AF178" s="207">
        <f>SUMIFS('апрель 2023'!$G$4:$G$692,'апрель 2023'!$D$4:$D$692,$B178,'апрель 2023'!$J$4:$J$692,AF$1)</f>
        <v>0</v>
      </c>
      <c r="AG178" s="207">
        <f>SUMIFS('апрель 2023'!$G$4:$G$692,'апрель 2023'!$D$4:$D$692,$B178,'апрель 2023'!$J$4:$J$692,AG$1)</f>
        <v>0</v>
      </c>
      <c r="AH178" s="207">
        <f>SUMIFS('апрель 2023'!$G$4:$G$692,'апрель 2023'!$D$4:$D$692,$B178,'апрель 2023'!$J$4:$J$692,AH$1)</f>
        <v>0</v>
      </c>
      <c r="AI178" s="220">
        <f t="shared" si="6"/>
        <v>0</v>
      </c>
    </row>
    <row r="179" spans="2:35" ht="15.75" hidden="1" x14ac:dyDescent="0.25">
      <c r="B179" s="212"/>
      <c r="C179" s="211"/>
      <c r="D179" s="207">
        <f>SUMIFS('апрель 2023'!$G$4:$G$692,'апрель 2023'!$D$4:$D$692,$B179,'апрель 2023'!$J$4:$J$692,D$1)</f>
        <v>0</v>
      </c>
      <c r="E179" s="207">
        <f>SUMIFS('апрель 2023'!$G$4:$G$692,'апрель 2023'!$D$4:$D$692,$B179,'апрель 2023'!$J$4:$J$692,E$1)</f>
        <v>0</v>
      </c>
      <c r="F179" s="207">
        <f>SUMIFS('апрель 2023'!$G$4:$G$692,'апрель 2023'!$D$4:$D$692,$B179,'апрель 2023'!$J$4:$J$692,F$1)</f>
        <v>0</v>
      </c>
      <c r="G179" s="207">
        <f>SUMIFS('апрель 2023'!$G$4:$G$692,'апрель 2023'!$D$4:$D$692,$B179,'апрель 2023'!$J$4:$J$692,G$1)</f>
        <v>0</v>
      </c>
      <c r="H179" s="207">
        <f>SUMIFS('апрель 2023'!$G$4:$G$692,'апрель 2023'!$D$4:$D$692,$B179,'апрель 2023'!$J$4:$J$692,H$1)</f>
        <v>0</v>
      </c>
      <c r="I179" s="207">
        <f>SUMIFS('апрель 2023'!$G$4:$G$692,'апрель 2023'!$D$4:$D$692,$B179,'апрель 2023'!$J$4:$J$692,I$1)</f>
        <v>0</v>
      </c>
      <c r="J179" s="207">
        <f>SUMIFS('апрель 2023'!$G$4:$G$692,'апрель 2023'!$D$4:$D$692,$B179,'апрель 2023'!$J$4:$J$692,J$1)</f>
        <v>0</v>
      </c>
      <c r="K179" s="207">
        <f>SUMIFS('апрель 2023'!$G$4:$G$692,'апрель 2023'!$D$4:$D$692,$B179,'апрель 2023'!$J$4:$J$692,K$1)</f>
        <v>0</v>
      </c>
      <c r="L179" s="207">
        <f>SUMIFS('апрель 2023'!$G$4:$G$692,'апрель 2023'!$D$4:$D$692,$B179,'апрель 2023'!$J$4:$J$692,L$1)</f>
        <v>0</v>
      </c>
      <c r="M179" s="207">
        <f>SUMIFS('апрель 2023'!$G$4:$G$692,'апрель 2023'!$D$4:$D$692,$B179,'апрель 2023'!$J$4:$J$692,M$1)</f>
        <v>0</v>
      </c>
      <c r="N179" s="207">
        <f>SUMIFS('апрель 2023'!$G$4:$G$692,'апрель 2023'!$D$4:$D$692,$B179,'апрель 2023'!$J$4:$J$692,N$1)</f>
        <v>0</v>
      </c>
      <c r="O179" s="207">
        <f>SUMIFS('апрель 2023'!$G$4:$G$692,'апрель 2023'!$D$4:$D$692,$B179,'апрель 2023'!$J$4:$J$692,O$1)</f>
        <v>0</v>
      </c>
      <c r="P179" s="207">
        <f>SUMIFS('апрель 2023'!$G$4:$G$692,'апрель 2023'!$D$4:$D$692,$B179,'апрель 2023'!$J$4:$J$692,P$1)</f>
        <v>0</v>
      </c>
      <c r="Q179" s="207">
        <f>SUMIFS('апрель 2023'!$G$4:$G$692,'апрель 2023'!$D$4:$D$692,$B179,'апрель 2023'!$J$4:$J$692,Q$1)</f>
        <v>0</v>
      </c>
      <c r="R179" s="207">
        <f>SUMIFS('апрель 2023'!$G$4:$G$692,'апрель 2023'!$D$4:$D$692,$B179,'апрель 2023'!$J$4:$J$692,R$1)</f>
        <v>0</v>
      </c>
      <c r="S179" s="207">
        <f>SUMIFS('апрель 2023'!$G$4:$G$692,'апрель 2023'!$D$4:$D$692,$B179,'апрель 2023'!$J$4:$J$692,S$1)</f>
        <v>0</v>
      </c>
      <c r="T179" s="207">
        <f>SUMIFS('апрель 2023'!$G$4:$G$692,'апрель 2023'!$D$4:$D$692,$B179,'апрель 2023'!$J$4:$J$692,T$1)</f>
        <v>0</v>
      </c>
      <c r="U179" s="207">
        <f>SUMIFS('апрель 2023'!$G$4:$G$692,'апрель 2023'!$D$4:$D$692,$B179,'апрель 2023'!$J$4:$J$692,U$1)</f>
        <v>0</v>
      </c>
      <c r="V179" s="207">
        <f>SUMIFS('апрель 2023'!$G$4:$G$692,'апрель 2023'!$D$4:$D$692,$B179,'апрель 2023'!$J$4:$J$692,V$1)</f>
        <v>0</v>
      </c>
      <c r="W179" s="207">
        <f>SUMIFS('апрель 2023'!$G$4:$G$692,'апрель 2023'!$D$4:$D$692,$B179,'апрель 2023'!$J$4:$J$692,W$1)</f>
        <v>0</v>
      </c>
      <c r="X179" s="207">
        <f>SUMIFS('апрель 2023'!$G$4:$G$692,'апрель 2023'!$D$4:$D$692,$B179,'апрель 2023'!$J$4:$J$692,X$1)</f>
        <v>0</v>
      </c>
      <c r="Y179" s="207">
        <f>SUMIFS('апрель 2023'!$G$4:$G$692,'апрель 2023'!$D$4:$D$692,$B179,'апрель 2023'!$J$4:$J$692,Y$1)</f>
        <v>0</v>
      </c>
      <c r="Z179" s="207">
        <f>SUMIFS('апрель 2023'!$G$4:$G$692,'апрель 2023'!$D$4:$D$692,$B179,'апрель 2023'!$J$4:$J$692,Z$1)</f>
        <v>0</v>
      </c>
      <c r="AA179" s="207">
        <f>SUMIFS('апрель 2023'!$G$4:$G$692,'апрель 2023'!$D$4:$D$692,$B179,'апрель 2023'!$J$4:$J$692,AA$1)</f>
        <v>0</v>
      </c>
      <c r="AB179" s="207">
        <f>SUMIFS('апрель 2023'!$G$4:$G$692,'апрель 2023'!$D$4:$D$692,$B179,'апрель 2023'!$J$4:$J$692,AB$1)</f>
        <v>0</v>
      </c>
      <c r="AC179" s="207">
        <f>SUMIFS('апрель 2023'!$G$4:$G$692,'апрель 2023'!$D$4:$D$692,$B179,'апрель 2023'!$J$4:$J$692,AC$1)</f>
        <v>0</v>
      </c>
      <c r="AD179" s="207">
        <f>SUMIFS('апрель 2023'!$G$4:$G$692,'апрель 2023'!$D$4:$D$692,$B179,'апрель 2023'!$J$4:$J$692,AD$1)</f>
        <v>0</v>
      </c>
      <c r="AE179" s="207">
        <f>SUMIFS('апрель 2023'!$G$4:$G$692,'апрель 2023'!$D$4:$D$692,$B179,'апрель 2023'!$J$4:$J$692,AE$1)</f>
        <v>0</v>
      </c>
      <c r="AF179" s="207">
        <f>SUMIFS('апрель 2023'!$G$4:$G$692,'апрель 2023'!$D$4:$D$692,$B179,'апрель 2023'!$J$4:$J$692,AF$1)</f>
        <v>0</v>
      </c>
      <c r="AG179" s="207">
        <f>SUMIFS('апрель 2023'!$G$4:$G$692,'апрель 2023'!$D$4:$D$692,$B179,'апрель 2023'!$J$4:$J$692,AG$1)</f>
        <v>0</v>
      </c>
      <c r="AH179" s="207">
        <f>SUMIFS('апрель 2023'!$G$4:$G$692,'апрель 2023'!$D$4:$D$692,$B179,'апрель 2023'!$J$4:$J$692,AH$1)</f>
        <v>0</v>
      </c>
      <c r="AI179" s="220">
        <f t="shared" si="6"/>
        <v>0</v>
      </c>
    </row>
    <row r="180" spans="2:35" ht="15.75" hidden="1" x14ac:dyDescent="0.25">
      <c r="B180" s="212"/>
      <c r="C180" s="211"/>
      <c r="D180" s="207">
        <f>SUMIFS('апрель 2023'!$G$4:$G$692,'апрель 2023'!$D$4:$D$692,$B180,'апрель 2023'!$J$4:$J$692,D$1)</f>
        <v>0</v>
      </c>
      <c r="E180" s="207">
        <f>SUMIFS('апрель 2023'!$G$4:$G$692,'апрель 2023'!$D$4:$D$692,$B180,'апрель 2023'!$J$4:$J$692,E$1)</f>
        <v>0</v>
      </c>
      <c r="F180" s="207">
        <f>SUMIFS('апрель 2023'!$G$4:$G$692,'апрель 2023'!$D$4:$D$692,$B180,'апрель 2023'!$J$4:$J$692,F$1)</f>
        <v>0</v>
      </c>
      <c r="G180" s="207">
        <f>SUMIFS('апрель 2023'!$G$4:$G$692,'апрель 2023'!$D$4:$D$692,$B180,'апрель 2023'!$J$4:$J$692,G$1)</f>
        <v>0</v>
      </c>
      <c r="H180" s="207">
        <f>SUMIFS('апрель 2023'!$G$4:$G$692,'апрель 2023'!$D$4:$D$692,$B180,'апрель 2023'!$J$4:$J$692,H$1)</f>
        <v>0</v>
      </c>
      <c r="I180" s="207">
        <f>SUMIFS('апрель 2023'!$G$4:$G$692,'апрель 2023'!$D$4:$D$692,$B180,'апрель 2023'!$J$4:$J$692,I$1)</f>
        <v>0</v>
      </c>
      <c r="J180" s="207">
        <f>SUMIFS('апрель 2023'!$G$4:$G$692,'апрель 2023'!$D$4:$D$692,$B180,'апрель 2023'!$J$4:$J$692,J$1)</f>
        <v>0</v>
      </c>
      <c r="K180" s="207">
        <f>SUMIFS('апрель 2023'!$G$4:$G$692,'апрель 2023'!$D$4:$D$692,$B180,'апрель 2023'!$J$4:$J$692,K$1)</f>
        <v>0</v>
      </c>
      <c r="L180" s="207">
        <f>SUMIFS('апрель 2023'!$G$4:$G$692,'апрель 2023'!$D$4:$D$692,$B180,'апрель 2023'!$J$4:$J$692,L$1)</f>
        <v>0</v>
      </c>
      <c r="M180" s="207">
        <f>SUMIFS('апрель 2023'!$G$4:$G$692,'апрель 2023'!$D$4:$D$692,$B180,'апрель 2023'!$J$4:$J$692,M$1)</f>
        <v>0</v>
      </c>
      <c r="N180" s="207">
        <f>SUMIFS('апрель 2023'!$G$4:$G$692,'апрель 2023'!$D$4:$D$692,$B180,'апрель 2023'!$J$4:$J$692,N$1)</f>
        <v>0</v>
      </c>
      <c r="O180" s="207">
        <f>SUMIFS('апрель 2023'!$G$4:$G$692,'апрель 2023'!$D$4:$D$692,$B180,'апрель 2023'!$J$4:$J$692,O$1)</f>
        <v>0</v>
      </c>
      <c r="P180" s="207">
        <f>SUMIFS('апрель 2023'!$G$4:$G$692,'апрель 2023'!$D$4:$D$692,$B180,'апрель 2023'!$J$4:$J$692,P$1)</f>
        <v>0</v>
      </c>
      <c r="Q180" s="207">
        <f>SUMIFS('апрель 2023'!$G$4:$G$692,'апрель 2023'!$D$4:$D$692,$B180,'апрель 2023'!$J$4:$J$692,Q$1)</f>
        <v>0</v>
      </c>
      <c r="R180" s="207">
        <f>SUMIFS('апрель 2023'!$G$4:$G$692,'апрель 2023'!$D$4:$D$692,$B180,'апрель 2023'!$J$4:$J$692,R$1)</f>
        <v>0</v>
      </c>
      <c r="S180" s="207">
        <f>SUMIFS('апрель 2023'!$G$4:$G$692,'апрель 2023'!$D$4:$D$692,$B180,'апрель 2023'!$J$4:$J$692,S$1)</f>
        <v>0</v>
      </c>
      <c r="T180" s="207">
        <f>SUMIFS('апрель 2023'!$G$4:$G$692,'апрель 2023'!$D$4:$D$692,$B180,'апрель 2023'!$J$4:$J$692,T$1)</f>
        <v>0</v>
      </c>
      <c r="U180" s="207">
        <f>SUMIFS('апрель 2023'!$G$4:$G$692,'апрель 2023'!$D$4:$D$692,$B180,'апрель 2023'!$J$4:$J$692,U$1)</f>
        <v>0</v>
      </c>
      <c r="V180" s="207">
        <f>SUMIFS('апрель 2023'!$G$4:$G$692,'апрель 2023'!$D$4:$D$692,$B180,'апрель 2023'!$J$4:$J$692,V$1)</f>
        <v>0</v>
      </c>
      <c r="W180" s="207">
        <f>SUMIFS('апрель 2023'!$G$4:$G$692,'апрель 2023'!$D$4:$D$692,$B180,'апрель 2023'!$J$4:$J$692,W$1)</f>
        <v>0</v>
      </c>
      <c r="X180" s="207">
        <f>SUMIFS('апрель 2023'!$G$4:$G$692,'апрель 2023'!$D$4:$D$692,$B180,'апрель 2023'!$J$4:$J$692,X$1)</f>
        <v>0</v>
      </c>
      <c r="Y180" s="207">
        <f>SUMIFS('апрель 2023'!$G$4:$G$692,'апрель 2023'!$D$4:$D$692,$B180,'апрель 2023'!$J$4:$J$692,Y$1)</f>
        <v>0</v>
      </c>
      <c r="Z180" s="207">
        <f>SUMIFS('апрель 2023'!$G$4:$G$692,'апрель 2023'!$D$4:$D$692,$B180,'апрель 2023'!$J$4:$J$692,Z$1)</f>
        <v>0</v>
      </c>
      <c r="AA180" s="207">
        <f>SUMIFS('апрель 2023'!$G$4:$G$692,'апрель 2023'!$D$4:$D$692,$B180,'апрель 2023'!$J$4:$J$692,AA$1)</f>
        <v>0</v>
      </c>
      <c r="AB180" s="207">
        <f>SUMIFS('апрель 2023'!$G$4:$G$692,'апрель 2023'!$D$4:$D$692,$B180,'апрель 2023'!$J$4:$J$692,AB$1)</f>
        <v>0</v>
      </c>
      <c r="AC180" s="207">
        <f>SUMIFS('апрель 2023'!$G$4:$G$692,'апрель 2023'!$D$4:$D$692,$B180,'апрель 2023'!$J$4:$J$692,AC$1)</f>
        <v>0</v>
      </c>
      <c r="AD180" s="207">
        <f>SUMIFS('апрель 2023'!$G$4:$G$692,'апрель 2023'!$D$4:$D$692,$B180,'апрель 2023'!$J$4:$J$692,AD$1)</f>
        <v>0</v>
      </c>
      <c r="AE180" s="207">
        <f>SUMIFS('апрель 2023'!$G$4:$G$692,'апрель 2023'!$D$4:$D$692,$B180,'апрель 2023'!$J$4:$J$692,AE$1)</f>
        <v>0</v>
      </c>
      <c r="AF180" s="207">
        <f>SUMIFS('апрель 2023'!$G$4:$G$692,'апрель 2023'!$D$4:$D$692,$B180,'апрель 2023'!$J$4:$J$692,AF$1)</f>
        <v>0</v>
      </c>
      <c r="AG180" s="207">
        <f>SUMIFS('апрель 2023'!$G$4:$G$692,'апрель 2023'!$D$4:$D$692,$B180,'апрель 2023'!$J$4:$J$692,AG$1)</f>
        <v>0</v>
      </c>
      <c r="AH180" s="207">
        <f>SUMIFS('апрель 2023'!$G$4:$G$692,'апрель 2023'!$D$4:$D$692,$B180,'апрель 2023'!$J$4:$J$692,AH$1)</f>
        <v>0</v>
      </c>
      <c r="AI180" s="220">
        <f t="shared" si="6"/>
        <v>0</v>
      </c>
    </row>
    <row r="181" spans="2:35" ht="15.75" hidden="1" x14ac:dyDescent="0.25">
      <c r="B181" s="212"/>
      <c r="C181" s="211"/>
      <c r="D181" s="207">
        <f>SUMIFS('апрель 2023'!$G$4:$G$692,'апрель 2023'!$D$4:$D$692,$B181,'апрель 2023'!$J$4:$J$692,D$1)</f>
        <v>0</v>
      </c>
      <c r="E181" s="207">
        <f>SUMIFS('апрель 2023'!$G$4:$G$692,'апрель 2023'!$D$4:$D$692,$B181,'апрель 2023'!$J$4:$J$692,E$1)</f>
        <v>0</v>
      </c>
      <c r="F181" s="207">
        <f>SUMIFS('апрель 2023'!$G$4:$G$692,'апрель 2023'!$D$4:$D$692,$B181,'апрель 2023'!$J$4:$J$692,F$1)</f>
        <v>0</v>
      </c>
      <c r="G181" s="207">
        <f>SUMIFS('апрель 2023'!$G$4:$G$692,'апрель 2023'!$D$4:$D$692,$B181,'апрель 2023'!$J$4:$J$692,G$1)</f>
        <v>0</v>
      </c>
      <c r="H181" s="207">
        <f>SUMIFS('апрель 2023'!$G$4:$G$692,'апрель 2023'!$D$4:$D$692,$B181,'апрель 2023'!$J$4:$J$692,H$1)</f>
        <v>0</v>
      </c>
      <c r="I181" s="207">
        <f>SUMIFS('апрель 2023'!$G$4:$G$692,'апрель 2023'!$D$4:$D$692,$B181,'апрель 2023'!$J$4:$J$692,I$1)</f>
        <v>0</v>
      </c>
      <c r="J181" s="207">
        <f>SUMIFS('апрель 2023'!$G$4:$G$692,'апрель 2023'!$D$4:$D$692,$B181,'апрель 2023'!$J$4:$J$692,J$1)</f>
        <v>0</v>
      </c>
      <c r="K181" s="207">
        <f>SUMIFS('апрель 2023'!$G$4:$G$692,'апрель 2023'!$D$4:$D$692,$B181,'апрель 2023'!$J$4:$J$692,K$1)</f>
        <v>0</v>
      </c>
      <c r="L181" s="207">
        <f>SUMIFS('апрель 2023'!$G$4:$G$692,'апрель 2023'!$D$4:$D$692,$B181,'апрель 2023'!$J$4:$J$692,L$1)</f>
        <v>0</v>
      </c>
      <c r="M181" s="207">
        <f>SUMIFS('апрель 2023'!$G$4:$G$692,'апрель 2023'!$D$4:$D$692,$B181,'апрель 2023'!$J$4:$J$692,M$1)</f>
        <v>0</v>
      </c>
      <c r="N181" s="207">
        <f>SUMIFS('апрель 2023'!$G$4:$G$692,'апрель 2023'!$D$4:$D$692,$B181,'апрель 2023'!$J$4:$J$692,N$1)</f>
        <v>0</v>
      </c>
      <c r="O181" s="207">
        <f>SUMIFS('апрель 2023'!$G$4:$G$692,'апрель 2023'!$D$4:$D$692,$B181,'апрель 2023'!$J$4:$J$692,O$1)</f>
        <v>0</v>
      </c>
      <c r="P181" s="207">
        <f>SUMIFS('апрель 2023'!$G$4:$G$692,'апрель 2023'!$D$4:$D$692,$B181,'апрель 2023'!$J$4:$J$692,P$1)</f>
        <v>0</v>
      </c>
      <c r="Q181" s="207">
        <f>SUMIFS('апрель 2023'!$G$4:$G$692,'апрель 2023'!$D$4:$D$692,$B181,'апрель 2023'!$J$4:$J$692,Q$1)</f>
        <v>0</v>
      </c>
      <c r="R181" s="207">
        <f>SUMIFS('апрель 2023'!$G$4:$G$692,'апрель 2023'!$D$4:$D$692,$B181,'апрель 2023'!$J$4:$J$692,R$1)</f>
        <v>0</v>
      </c>
      <c r="S181" s="207">
        <f>SUMIFS('апрель 2023'!$G$4:$G$692,'апрель 2023'!$D$4:$D$692,$B181,'апрель 2023'!$J$4:$J$692,S$1)</f>
        <v>0</v>
      </c>
      <c r="T181" s="207">
        <f>SUMIFS('апрель 2023'!$G$4:$G$692,'апрель 2023'!$D$4:$D$692,$B181,'апрель 2023'!$J$4:$J$692,T$1)</f>
        <v>0</v>
      </c>
      <c r="U181" s="207">
        <f>SUMIFS('апрель 2023'!$G$4:$G$692,'апрель 2023'!$D$4:$D$692,$B181,'апрель 2023'!$J$4:$J$692,U$1)</f>
        <v>0</v>
      </c>
      <c r="V181" s="207">
        <f>SUMIFS('апрель 2023'!$G$4:$G$692,'апрель 2023'!$D$4:$D$692,$B181,'апрель 2023'!$J$4:$J$692,V$1)</f>
        <v>0</v>
      </c>
      <c r="W181" s="207">
        <f>SUMIFS('апрель 2023'!$G$4:$G$692,'апрель 2023'!$D$4:$D$692,$B181,'апрель 2023'!$J$4:$J$692,W$1)</f>
        <v>0</v>
      </c>
      <c r="X181" s="207">
        <f>SUMIFS('апрель 2023'!$G$4:$G$692,'апрель 2023'!$D$4:$D$692,$B181,'апрель 2023'!$J$4:$J$692,X$1)</f>
        <v>0</v>
      </c>
      <c r="Y181" s="207">
        <f>SUMIFS('апрель 2023'!$G$4:$G$692,'апрель 2023'!$D$4:$D$692,$B181,'апрель 2023'!$J$4:$J$692,Y$1)</f>
        <v>0</v>
      </c>
      <c r="Z181" s="207">
        <f>SUMIFS('апрель 2023'!$G$4:$G$692,'апрель 2023'!$D$4:$D$692,$B181,'апрель 2023'!$J$4:$J$692,Z$1)</f>
        <v>0</v>
      </c>
      <c r="AA181" s="207">
        <f>SUMIFS('апрель 2023'!$G$4:$G$692,'апрель 2023'!$D$4:$D$692,$B181,'апрель 2023'!$J$4:$J$692,AA$1)</f>
        <v>0</v>
      </c>
      <c r="AB181" s="207">
        <f>SUMIFS('апрель 2023'!$G$4:$G$692,'апрель 2023'!$D$4:$D$692,$B181,'апрель 2023'!$J$4:$J$692,AB$1)</f>
        <v>0</v>
      </c>
      <c r="AC181" s="207">
        <f>SUMIFS('апрель 2023'!$G$4:$G$692,'апрель 2023'!$D$4:$D$692,$B181,'апрель 2023'!$J$4:$J$692,AC$1)</f>
        <v>0</v>
      </c>
      <c r="AD181" s="207">
        <f>SUMIFS('апрель 2023'!$G$4:$G$692,'апрель 2023'!$D$4:$D$692,$B181,'апрель 2023'!$J$4:$J$692,AD$1)</f>
        <v>0</v>
      </c>
      <c r="AE181" s="207">
        <f>SUMIFS('апрель 2023'!$G$4:$G$692,'апрель 2023'!$D$4:$D$692,$B181,'апрель 2023'!$J$4:$J$692,AE$1)</f>
        <v>0</v>
      </c>
      <c r="AF181" s="207">
        <f>SUMIFS('апрель 2023'!$G$4:$G$692,'апрель 2023'!$D$4:$D$692,$B181,'апрель 2023'!$J$4:$J$692,AF$1)</f>
        <v>0</v>
      </c>
      <c r="AG181" s="207">
        <f>SUMIFS('апрель 2023'!$G$4:$G$692,'апрель 2023'!$D$4:$D$692,$B181,'апрель 2023'!$J$4:$J$692,AG$1)</f>
        <v>0</v>
      </c>
      <c r="AH181" s="207">
        <f>SUMIFS('апрель 2023'!$G$4:$G$692,'апрель 2023'!$D$4:$D$692,$B181,'апрель 2023'!$J$4:$J$692,AH$1)</f>
        <v>0</v>
      </c>
      <c r="AI181" s="220">
        <f t="shared" si="6"/>
        <v>0</v>
      </c>
    </row>
    <row r="182" spans="2:35" ht="15.75" hidden="1" x14ac:dyDescent="0.25">
      <c r="B182" s="212"/>
      <c r="C182" s="211"/>
      <c r="D182" s="207">
        <f>SUMIFS('апрель 2023'!$G$4:$G$692,'апрель 2023'!$D$4:$D$692,$B182,'апрель 2023'!$J$4:$J$692,D$1)</f>
        <v>0</v>
      </c>
      <c r="E182" s="207">
        <f>SUMIFS('апрель 2023'!$G$4:$G$692,'апрель 2023'!$D$4:$D$692,$B182,'апрель 2023'!$J$4:$J$692,E$1)</f>
        <v>0</v>
      </c>
      <c r="F182" s="207">
        <f>SUMIFS('апрель 2023'!$G$4:$G$692,'апрель 2023'!$D$4:$D$692,$B182,'апрель 2023'!$J$4:$J$692,F$1)</f>
        <v>0</v>
      </c>
      <c r="G182" s="207">
        <f>SUMIFS('апрель 2023'!$G$4:$G$692,'апрель 2023'!$D$4:$D$692,$B182,'апрель 2023'!$J$4:$J$692,G$1)</f>
        <v>0</v>
      </c>
      <c r="H182" s="207">
        <f>SUMIFS('апрель 2023'!$G$4:$G$692,'апрель 2023'!$D$4:$D$692,$B182,'апрель 2023'!$J$4:$J$692,H$1)</f>
        <v>0</v>
      </c>
      <c r="I182" s="207">
        <f>SUMIFS('апрель 2023'!$G$4:$G$692,'апрель 2023'!$D$4:$D$692,$B182,'апрель 2023'!$J$4:$J$692,I$1)</f>
        <v>0</v>
      </c>
      <c r="J182" s="207">
        <f>SUMIFS('апрель 2023'!$G$4:$G$692,'апрель 2023'!$D$4:$D$692,$B182,'апрель 2023'!$J$4:$J$692,J$1)</f>
        <v>0</v>
      </c>
      <c r="K182" s="207">
        <f>SUMIFS('апрель 2023'!$G$4:$G$692,'апрель 2023'!$D$4:$D$692,$B182,'апрель 2023'!$J$4:$J$692,K$1)</f>
        <v>0</v>
      </c>
      <c r="L182" s="207">
        <f>SUMIFS('апрель 2023'!$G$4:$G$692,'апрель 2023'!$D$4:$D$692,$B182,'апрель 2023'!$J$4:$J$692,L$1)</f>
        <v>0</v>
      </c>
      <c r="M182" s="207">
        <f>SUMIFS('апрель 2023'!$G$4:$G$692,'апрель 2023'!$D$4:$D$692,$B182,'апрель 2023'!$J$4:$J$692,M$1)</f>
        <v>0</v>
      </c>
      <c r="N182" s="207">
        <f>SUMIFS('апрель 2023'!$G$4:$G$692,'апрель 2023'!$D$4:$D$692,$B182,'апрель 2023'!$J$4:$J$692,N$1)</f>
        <v>0</v>
      </c>
      <c r="O182" s="207">
        <f>SUMIFS('апрель 2023'!$G$4:$G$692,'апрель 2023'!$D$4:$D$692,$B182,'апрель 2023'!$J$4:$J$692,O$1)</f>
        <v>0</v>
      </c>
      <c r="P182" s="207">
        <f>SUMIFS('апрель 2023'!$G$4:$G$692,'апрель 2023'!$D$4:$D$692,$B182,'апрель 2023'!$J$4:$J$692,P$1)</f>
        <v>0</v>
      </c>
      <c r="Q182" s="207">
        <f>SUMIFS('апрель 2023'!$G$4:$G$692,'апрель 2023'!$D$4:$D$692,$B182,'апрель 2023'!$J$4:$J$692,Q$1)</f>
        <v>0</v>
      </c>
      <c r="R182" s="207">
        <f>SUMIFS('апрель 2023'!$G$4:$G$692,'апрель 2023'!$D$4:$D$692,$B182,'апрель 2023'!$J$4:$J$692,R$1)</f>
        <v>0</v>
      </c>
      <c r="S182" s="207">
        <f>SUMIFS('апрель 2023'!$G$4:$G$692,'апрель 2023'!$D$4:$D$692,$B182,'апрель 2023'!$J$4:$J$692,S$1)</f>
        <v>0</v>
      </c>
      <c r="T182" s="207">
        <f>SUMIFS('апрель 2023'!$G$4:$G$692,'апрель 2023'!$D$4:$D$692,$B182,'апрель 2023'!$J$4:$J$692,T$1)</f>
        <v>0</v>
      </c>
      <c r="U182" s="207">
        <f>SUMIFS('апрель 2023'!$G$4:$G$692,'апрель 2023'!$D$4:$D$692,$B182,'апрель 2023'!$J$4:$J$692,U$1)</f>
        <v>0</v>
      </c>
      <c r="V182" s="207">
        <f>SUMIFS('апрель 2023'!$G$4:$G$692,'апрель 2023'!$D$4:$D$692,$B182,'апрель 2023'!$J$4:$J$692,V$1)</f>
        <v>0</v>
      </c>
      <c r="W182" s="207">
        <f>SUMIFS('апрель 2023'!$G$4:$G$692,'апрель 2023'!$D$4:$D$692,$B182,'апрель 2023'!$J$4:$J$692,W$1)</f>
        <v>0</v>
      </c>
      <c r="X182" s="207">
        <f>SUMIFS('апрель 2023'!$G$4:$G$692,'апрель 2023'!$D$4:$D$692,$B182,'апрель 2023'!$J$4:$J$692,X$1)</f>
        <v>0</v>
      </c>
      <c r="Y182" s="207">
        <f>SUMIFS('апрель 2023'!$G$4:$G$692,'апрель 2023'!$D$4:$D$692,$B182,'апрель 2023'!$J$4:$J$692,Y$1)</f>
        <v>0</v>
      </c>
      <c r="Z182" s="207">
        <f>SUMIFS('апрель 2023'!$G$4:$G$692,'апрель 2023'!$D$4:$D$692,$B182,'апрель 2023'!$J$4:$J$692,Z$1)</f>
        <v>0</v>
      </c>
      <c r="AA182" s="207">
        <f>SUMIFS('апрель 2023'!$G$4:$G$692,'апрель 2023'!$D$4:$D$692,$B182,'апрель 2023'!$J$4:$J$692,AA$1)</f>
        <v>0</v>
      </c>
      <c r="AB182" s="207">
        <f>SUMIFS('апрель 2023'!$G$4:$G$692,'апрель 2023'!$D$4:$D$692,$B182,'апрель 2023'!$J$4:$J$692,AB$1)</f>
        <v>0</v>
      </c>
      <c r="AC182" s="207">
        <f>SUMIFS('апрель 2023'!$G$4:$G$692,'апрель 2023'!$D$4:$D$692,$B182,'апрель 2023'!$J$4:$J$692,AC$1)</f>
        <v>0</v>
      </c>
      <c r="AD182" s="207">
        <f>SUMIFS('апрель 2023'!$G$4:$G$692,'апрель 2023'!$D$4:$D$692,$B182,'апрель 2023'!$J$4:$J$692,AD$1)</f>
        <v>0</v>
      </c>
      <c r="AE182" s="207">
        <f>SUMIFS('апрель 2023'!$G$4:$G$692,'апрель 2023'!$D$4:$D$692,$B182,'апрель 2023'!$J$4:$J$692,AE$1)</f>
        <v>0</v>
      </c>
      <c r="AF182" s="207">
        <f>SUMIFS('апрель 2023'!$G$4:$G$692,'апрель 2023'!$D$4:$D$692,$B182,'апрель 2023'!$J$4:$J$692,AF$1)</f>
        <v>0</v>
      </c>
      <c r="AG182" s="207">
        <f>SUMIFS('апрель 2023'!$G$4:$G$692,'апрель 2023'!$D$4:$D$692,$B182,'апрель 2023'!$J$4:$J$692,AG$1)</f>
        <v>0</v>
      </c>
      <c r="AH182" s="207">
        <f>SUMIFS('апрель 2023'!$G$4:$G$692,'апрель 2023'!$D$4:$D$692,$B182,'апрель 2023'!$J$4:$J$692,AH$1)</f>
        <v>0</v>
      </c>
      <c r="AI182" s="220">
        <f t="shared" si="6"/>
        <v>0</v>
      </c>
    </row>
    <row r="183" spans="2:35" ht="15.75" hidden="1" x14ac:dyDescent="0.25">
      <c r="B183" s="212"/>
      <c r="C183" s="211"/>
      <c r="D183" s="207">
        <f>SUMIFS('апрель 2023'!$G$4:$G$692,'апрель 2023'!$D$4:$D$692,$B183,'апрель 2023'!$J$4:$J$692,D$1)</f>
        <v>0</v>
      </c>
      <c r="E183" s="207">
        <f>SUMIFS('апрель 2023'!$G$4:$G$692,'апрель 2023'!$D$4:$D$692,$B183,'апрель 2023'!$J$4:$J$692,E$1)</f>
        <v>0</v>
      </c>
      <c r="F183" s="207">
        <f>SUMIFS('апрель 2023'!$G$4:$G$692,'апрель 2023'!$D$4:$D$692,$B183,'апрель 2023'!$J$4:$J$692,F$1)</f>
        <v>0</v>
      </c>
      <c r="G183" s="207">
        <f>SUMIFS('апрель 2023'!$G$4:$G$692,'апрель 2023'!$D$4:$D$692,$B183,'апрель 2023'!$J$4:$J$692,G$1)</f>
        <v>0</v>
      </c>
      <c r="H183" s="207">
        <f>SUMIFS('апрель 2023'!$G$4:$G$692,'апрель 2023'!$D$4:$D$692,$B183,'апрель 2023'!$J$4:$J$692,H$1)</f>
        <v>0</v>
      </c>
      <c r="I183" s="207">
        <f>SUMIFS('апрель 2023'!$G$4:$G$692,'апрель 2023'!$D$4:$D$692,$B183,'апрель 2023'!$J$4:$J$692,I$1)</f>
        <v>0</v>
      </c>
      <c r="J183" s="207">
        <f>SUMIFS('апрель 2023'!$G$4:$G$692,'апрель 2023'!$D$4:$D$692,$B183,'апрель 2023'!$J$4:$J$692,J$1)</f>
        <v>0</v>
      </c>
      <c r="K183" s="207">
        <f>SUMIFS('апрель 2023'!$G$4:$G$692,'апрель 2023'!$D$4:$D$692,$B183,'апрель 2023'!$J$4:$J$692,K$1)</f>
        <v>0</v>
      </c>
      <c r="L183" s="207">
        <f>SUMIFS('апрель 2023'!$G$4:$G$692,'апрель 2023'!$D$4:$D$692,$B183,'апрель 2023'!$J$4:$J$692,L$1)</f>
        <v>0</v>
      </c>
      <c r="M183" s="207">
        <f>SUMIFS('апрель 2023'!$G$4:$G$692,'апрель 2023'!$D$4:$D$692,$B183,'апрель 2023'!$J$4:$J$692,M$1)</f>
        <v>0</v>
      </c>
      <c r="N183" s="207">
        <f>SUMIFS('апрель 2023'!$G$4:$G$692,'апрель 2023'!$D$4:$D$692,$B183,'апрель 2023'!$J$4:$J$692,N$1)</f>
        <v>0</v>
      </c>
      <c r="O183" s="207">
        <f>SUMIFS('апрель 2023'!$G$4:$G$692,'апрель 2023'!$D$4:$D$692,$B183,'апрель 2023'!$J$4:$J$692,O$1)</f>
        <v>0</v>
      </c>
      <c r="P183" s="207">
        <f>SUMIFS('апрель 2023'!$G$4:$G$692,'апрель 2023'!$D$4:$D$692,$B183,'апрель 2023'!$J$4:$J$692,P$1)</f>
        <v>0</v>
      </c>
      <c r="Q183" s="207">
        <f>SUMIFS('апрель 2023'!$G$4:$G$692,'апрель 2023'!$D$4:$D$692,$B183,'апрель 2023'!$J$4:$J$692,Q$1)</f>
        <v>0</v>
      </c>
      <c r="R183" s="207">
        <f>SUMIFS('апрель 2023'!$G$4:$G$692,'апрель 2023'!$D$4:$D$692,$B183,'апрель 2023'!$J$4:$J$692,R$1)</f>
        <v>0</v>
      </c>
      <c r="S183" s="207">
        <f>SUMIFS('апрель 2023'!$G$4:$G$692,'апрель 2023'!$D$4:$D$692,$B183,'апрель 2023'!$J$4:$J$692,S$1)</f>
        <v>0</v>
      </c>
      <c r="T183" s="207">
        <f>SUMIFS('апрель 2023'!$G$4:$G$692,'апрель 2023'!$D$4:$D$692,$B183,'апрель 2023'!$J$4:$J$692,T$1)</f>
        <v>0</v>
      </c>
      <c r="U183" s="207">
        <f>SUMIFS('апрель 2023'!$G$4:$G$692,'апрель 2023'!$D$4:$D$692,$B183,'апрель 2023'!$J$4:$J$692,U$1)</f>
        <v>0</v>
      </c>
      <c r="V183" s="207">
        <f>SUMIFS('апрель 2023'!$G$4:$G$692,'апрель 2023'!$D$4:$D$692,$B183,'апрель 2023'!$J$4:$J$692,V$1)</f>
        <v>0</v>
      </c>
      <c r="W183" s="207">
        <f>SUMIFS('апрель 2023'!$G$4:$G$692,'апрель 2023'!$D$4:$D$692,$B183,'апрель 2023'!$J$4:$J$692,W$1)</f>
        <v>0</v>
      </c>
      <c r="X183" s="207">
        <f>SUMIFS('апрель 2023'!$G$4:$G$692,'апрель 2023'!$D$4:$D$692,$B183,'апрель 2023'!$J$4:$J$692,X$1)</f>
        <v>0</v>
      </c>
      <c r="Y183" s="207">
        <f>SUMIFS('апрель 2023'!$G$4:$G$692,'апрель 2023'!$D$4:$D$692,$B183,'апрель 2023'!$J$4:$J$692,Y$1)</f>
        <v>0</v>
      </c>
      <c r="Z183" s="207">
        <f>SUMIFS('апрель 2023'!$G$4:$G$692,'апрель 2023'!$D$4:$D$692,$B183,'апрель 2023'!$J$4:$J$692,Z$1)</f>
        <v>0</v>
      </c>
      <c r="AA183" s="207">
        <f>SUMIFS('апрель 2023'!$G$4:$G$692,'апрель 2023'!$D$4:$D$692,$B183,'апрель 2023'!$J$4:$J$692,AA$1)</f>
        <v>0</v>
      </c>
      <c r="AB183" s="207">
        <f>SUMIFS('апрель 2023'!$G$4:$G$692,'апрель 2023'!$D$4:$D$692,$B183,'апрель 2023'!$J$4:$J$692,AB$1)</f>
        <v>0</v>
      </c>
      <c r="AC183" s="207">
        <f>SUMIFS('апрель 2023'!$G$4:$G$692,'апрель 2023'!$D$4:$D$692,$B183,'апрель 2023'!$J$4:$J$692,AC$1)</f>
        <v>0</v>
      </c>
      <c r="AD183" s="207">
        <f>SUMIFS('апрель 2023'!$G$4:$G$692,'апрель 2023'!$D$4:$D$692,$B183,'апрель 2023'!$J$4:$J$692,AD$1)</f>
        <v>0</v>
      </c>
      <c r="AE183" s="207">
        <f>SUMIFS('апрель 2023'!$G$4:$G$692,'апрель 2023'!$D$4:$D$692,$B183,'апрель 2023'!$J$4:$J$692,AE$1)</f>
        <v>0</v>
      </c>
      <c r="AF183" s="207">
        <f>SUMIFS('апрель 2023'!$G$4:$G$692,'апрель 2023'!$D$4:$D$692,$B183,'апрель 2023'!$J$4:$J$692,AF$1)</f>
        <v>0</v>
      </c>
      <c r="AG183" s="207">
        <f>SUMIFS('апрель 2023'!$G$4:$G$692,'апрель 2023'!$D$4:$D$692,$B183,'апрель 2023'!$J$4:$J$692,AG$1)</f>
        <v>0</v>
      </c>
      <c r="AH183" s="207">
        <f>SUMIFS('апрель 2023'!$G$4:$G$692,'апрель 2023'!$D$4:$D$692,$B183,'апрель 2023'!$J$4:$J$692,AH$1)</f>
        <v>0</v>
      </c>
      <c r="AI183" s="220">
        <f t="shared" si="6"/>
        <v>0</v>
      </c>
    </row>
    <row r="184" spans="2:35" ht="15.75" hidden="1" x14ac:dyDescent="0.25">
      <c r="B184" s="212"/>
      <c r="C184" s="211"/>
      <c r="D184" s="207">
        <f>SUMIFS('апрель 2023'!$G$4:$G$692,'апрель 2023'!$D$4:$D$692,$B184,'апрель 2023'!$J$4:$J$692,D$1)</f>
        <v>0</v>
      </c>
      <c r="E184" s="207">
        <f>SUMIFS('апрель 2023'!$G$4:$G$692,'апрель 2023'!$D$4:$D$692,$B184,'апрель 2023'!$J$4:$J$692,E$1)</f>
        <v>0</v>
      </c>
      <c r="F184" s="207">
        <f>SUMIFS('апрель 2023'!$G$4:$G$692,'апрель 2023'!$D$4:$D$692,$B184,'апрель 2023'!$J$4:$J$692,F$1)</f>
        <v>0</v>
      </c>
      <c r="G184" s="207">
        <f>SUMIFS('апрель 2023'!$G$4:$G$692,'апрель 2023'!$D$4:$D$692,$B184,'апрель 2023'!$J$4:$J$692,G$1)</f>
        <v>0</v>
      </c>
      <c r="H184" s="207">
        <f>SUMIFS('апрель 2023'!$G$4:$G$692,'апрель 2023'!$D$4:$D$692,$B184,'апрель 2023'!$J$4:$J$692,H$1)</f>
        <v>0</v>
      </c>
      <c r="I184" s="207">
        <f>SUMIFS('апрель 2023'!$G$4:$G$692,'апрель 2023'!$D$4:$D$692,$B184,'апрель 2023'!$J$4:$J$692,I$1)</f>
        <v>0</v>
      </c>
      <c r="J184" s="207">
        <f>SUMIFS('апрель 2023'!$G$4:$G$692,'апрель 2023'!$D$4:$D$692,$B184,'апрель 2023'!$J$4:$J$692,J$1)</f>
        <v>0</v>
      </c>
      <c r="K184" s="207">
        <f>SUMIFS('апрель 2023'!$G$4:$G$692,'апрель 2023'!$D$4:$D$692,$B184,'апрель 2023'!$J$4:$J$692,K$1)</f>
        <v>0</v>
      </c>
      <c r="L184" s="207">
        <f>SUMIFS('апрель 2023'!$G$4:$G$692,'апрель 2023'!$D$4:$D$692,$B184,'апрель 2023'!$J$4:$J$692,L$1)</f>
        <v>0</v>
      </c>
      <c r="M184" s="207">
        <f>SUMIFS('апрель 2023'!$G$4:$G$692,'апрель 2023'!$D$4:$D$692,$B184,'апрель 2023'!$J$4:$J$692,M$1)</f>
        <v>0</v>
      </c>
      <c r="N184" s="207">
        <f>SUMIFS('апрель 2023'!$G$4:$G$692,'апрель 2023'!$D$4:$D$692,$B184,'апрель 2023'!$J$4:$J$692,N$1)</f>
        <v>0</v>
      </c>
      <c r="O184" s="207">
        <f>SUMIFS('апрель 2023'!$G$4:$G$692,'апрель 2023'!$D$4:$D$692,$B184,'апрель 2023'!$J$4:$J$692,O$1)</f>
        <v>0</v>
      </c>
      <c r="P184" s="207">
        <f>SUMIFS('апрель 2023'!$G$4:$G$692,'апрель 2023'!$D$4:$D$692,$B184,'апрель 2023'!$J$4:$J$692,P$1)</f>
        <v>0</v>
      </c>
      <c r="Q184" s="207">
        <f>SUMIFS('апрель 2023'!$G$4:$G$692,'апрель 2023'!$D$4:$D$692,$B184,'апрель 2023'!$J$4:$J$692,Q$1)</f>
        <v>0</v>
      </c>
      <c r="R184" s="207">
        <f>SUMIFS('апрель 2023'!$G$4:$G$692,'апрель 2023'!$D$4:$D$692,$B184,'апрель 2023'!$J$4:$J$692,R$1)</f>
        <v>0</v>
      </c>
      <c r="S184" s="207">
        <f>SUMIFS('апрель 2023'!$G$4:$G$692,'апрель 2023'!$D$4:$D$692,$B184,'апрель 2023'!$J$4:$J$692,S$1)</f>
        <v>0</v>
      </c>
      <c r="T184" s="207">
        <f>SUMIFS('апрель 2023'!$G$4:$G$692,'апрель 2023'!$D$4:$D$692,$B184,'апрель 2023'!$J$4:$J$692,T$1)</f>
        <v>0</v>
      </c>
      <c r="U184" s="207">
        <f>SUMIFS('апрель 2023'!$G$4:$G$692,'апрель 2023'!$D$4:$D$692,$B184,'апрель 2023'!$J$4:$J$692,U$1)</f>
        <v>0</v>
      </c>
      <c r="V184" s="207">
        <f>SUMIFS('апрель 2023'!$G$4:$G$692,'апрель 2023'!$D$4:$D$692,$B184,'апрель 2023'!$J$4:$J$692,V$1)</f>
        <v>0</v>
      </c>
      <c r="W184" s="207">
        <f>SUMIFS('апрель 2023'!$G$4:$G$692,'апрель 2023'!$D$4:$D$692,$B184,'апрель 2023'!$J$4:$J$692,W$1)</f>
        <v>0</v>
      </c>
      <c r="X184" s="207">
        <f>SUMIFS('апрель 2023'!$G$4:$G$692,'апрель 2023'!$D$4:$D$692,$B184,'апрель 2023'!$J$4:$J$692,X$1)</f>
        <v>0</v>
      </c>
      <c r="Y184" s="207">
        <f>SUMIFS('апрель 2023'!$G$4:$G$692,'апрель 2023'!$D$4:$D$692,$B184,'апрель 2023'!$J$4:$J$692,Y$1)</f>
        <v>0</v>
      </c>
      <c r="Z184" s="207">
        <f>SUMIFS('апрель 2023'!$G$4:$G$692,'апрель 2023'!$D$4:$D$692,$B184,'апрель 2023'!$J$4:$J$692,Z$1)</f>
        <v>0</v>
      </c>
      <c r="AA184" s="207">
        <f>SUMIFS('апрель 2023'!$G$4:$G$692,'апрель 2023'!$D$4:$D$692,$B184,'апрель 2023'!$J$4:$J$692,AA$1)</f>
        <v>0</v>
      </c>
      <c r="AB184" s="207">
        <f>SUMIFS('апрель 2023'!$G$4:$G$692,'апрель 2023'!$D$4:$D$692,$B184,'апрель 2023'!$J$4:$J$692,AB$1)</f>
        <v>0</v>
      </c>
      <c r="AC184" s="207">
        <f>SUMIFS('апрель 2023'!$G$4:$G$692,'апрель 2023'!$D$4:$D$692,$B184,'апрель 2023'!$J$4:$J$692,AC$1)</f>
        <v>0</v>
      </c>
      <c r="AD184" s="207">
        <f>SUMIFS('апрель 2023'!$G$4:$G$692,'апрель 2023'!$D$4:$D$692,$B184,'апрель 2023'!$J$4:$J$692,AD$1)</f>
        <v>0</v>
      </c>
      <c r="AE184" s="207">
        <f>SUMIFS('апрель 2023'!$G$4:$G$692,'апрель 2023'!$D$4:$D$692,$B184,'апрель 2023'!$J$4:$J$692,AE$1)</f>
        <v>0</v>
      </c>
      <c r="AF184" s="207">
        <f>SUMIFS('апрель 2023'!$G$4:$G$692,'апрель 2023'!$D$4:$D$692,$B184,'апрель 2023'!$J$4:$J$692,AF$1)</f>
        <v>0</v>
      </c>
      <c r="AG184" s="207">
        <f>SUMIFS('апрель 2023'!$G$4:$G$692,'апрель 2023'!$D$4:$D$692,$B184,'апрель 2023'!$J$4:$J$692,AG$1)</f>
        <v>0</v>
      </c>
      <c r="AH184" s="207">
        <f>SUMIFS('апрель 2023'!$G$4:$G$692,'апрель 2023'!$D$4:$D$692,$B184,'апрель 2023'!$J$4:$J$692,AH$1)</f>
        <v>0</v>
      </c>
      <c r="AI184" s="220">
        <f t="shared" si="6"/>
        <v>0</v>
      </c>
    </row>
    <row r="185" spans="2:35" ht="15.75" x14ac:dyDescent="0.25">
      <c r="B185" s="212"/>
      <c r="C185" s="221"/>
      <c r="D185" s="207">
        <f>SUMIFS('апрель 2023'!$G$4:$G$692,'апрель 2023'!$D$4:$D$692,$B185,'апрель 2023'!$J$4:$J$692,D$1)</f>
        <v>0</v>
      </c>
      <c r="E185" s="207">
        <f>SUMIFS('апрель 2023'!$G$4:$G$692,'апрель 2023'!$D$4:$D$692,$B185,'апрель 2023'!$J$4:$J$692,E$1)</f>
        <v>0</v>
      </c>
      <c r="F185" s="207">
        <f>SUMIFS('апрель 2023'!$G$4:$G$692,'апрель 2023'!$D$4:$D$692,$B185,'апрель 2023'!$J$4:$J$692,F$1)</f>
        <v>0</v>
      </c>
      <c r="G185" s="207">
        <f>SUMIFS('апрель 2023'!$G$4:$G$692,'апрель 2023'!$D$4:$D$692,$B185,'апрель 2023'!$J$4:$J$692,G$1)</f>
        <v>0</v>
      </c>
      <c r="H185" s="207">
        <f>SUMIFS('апрель 2023'!$G$4:$G$692,'апрель 2023'!$D$4:$D$692,$B185,'апрель 2023'!$J$4:$J$692,H$1)</f>
        <v>0</v>
      </c>
      <c r="I185" s="207">
        <f>SUMIFS('апрель 2023'!$G$4:$G$692,'апрель 2023'!$D$4:$D$692,$B185,'апрель 2023'!$J$4:$J$692,I$1)</f>
        <v>0</v>
      </c>
      <c r="J185" s="207">
        <f>SUMIFS('апрель 2023'!$G$4:$G$692,'апрель 2023'!$D$4:$D$692,$B185,'апрель 2023'!$J$4:$J$692,J$1)</f>
        <v>0</v>
      </c>
      <c r="K185" s="207">
        <f>SUMIFS('апрель 2023'!$G$4:$G$692,'апрель 2023'!$D$4:$D$692,$B185,'апрель 2023'!$J$4:$J$692,K$1)</f>
        <v>0</v>
      </c>
      <c r="L185" s="207">
        <f>SUMIFS('апрель 2023'!$G$4:$G$692,'апрель 2023'!$D$4:$D$692,$B185,'апрель 2023'!$J$4:$J$692,L$1)</f>
        <v>0</v>
      </c>
      <c r="M185" s="207">
        <f>SUMIFS('апрель 2023'!$G$4:$G$692,'апрель 2023'!$D$4:$D$692,$B185,'апрель 2023'!$J$4:$J$692,M$1)</f>
        <v>0</v>
      </c>
      <c r="N185" s="207">
        <f>SUMIFS('апрель 2023'!$G$4:$G$692,'апрель 2023'!$D$4:$D$692,$B185,'апрель 2023'!$J$4:$J$692,N$1)</f>
        <v>0</v>
      </c>
      <c r="O185" s="207">
        <f>SUMIFS('апрель 2023'!$G$4:$G$692,'апрель 2023'!$D$4:$D$692,$B185,'апрель 2023'!$J$4:$J$692,O$1)</f>
        <v>0</v>
      </c>
      <c r="P185" s="207">
        <f>SUMIFS('апрель 2023'!$G$4:$G$692,'апрель 2023'!$D$4:$D$692,$B185,'апрель 2023'!$J$4:$J$692,P$1)</f>
        <v>0</v>
      </c>
      <c r="Q185" s="207">
        <f>SUMIFS('апрель 2023'!$G$4:$G$692,'апрель 2023'!$D$4:$D$692,$B185,'апрель 2023'!$J$4:$J$692,Q$1)</f>
        <v>0</v>
      </c>
      <c r="R185" s="207">
        <f>SUMIFS('апрель 2023'!$G$4:$G$692,'апрель 2023'!$D$4:$D$692,$B185,'апрель 2023'!$J$4:$J$692,R$1)</f>
        <v>0</v>
      </c>
      <c r="S185" s="207">
        <f>SUMIFS('апрель 2023'!$G$4:$G$692,'апрель 2023'!$D$4:$D$692,$B185,'апрель 2023'!$J$4:$J$692,S$1)</f>
        <v>0</v>
      </c>
      <c r="T185" s="207">
        <f>SUMIFS('апрель 2023'!$G$4:$G$692,'апрель 2023'!$D$4:$D$692,$B185,'апрель 2023'!$J$4:$J$692,T$1)</f>
        <v>0</v>
      </c>
      <c r="U185" s="207">
        <f>SUMIFS('апрель 2023'!$G$4:$G$692,'апрель 2023'!$D$4:$D$692,$B185,'апрель 2023'!$J$4:$J$692,U$1)</f>
        <v>0</v>
      </c>
      <c r="V185" s="207">
        <f>SUMIFS('апрель 2023'!$G$4:$G$692,'апрель 2023'!$D$4:$D$692,$B185,'апрель 2023'!$J$4:$J$692,V$1)</f>
        <v>0</v>
      </c>
      <c r="W185" s="207">
        <f>SUMIFS('апрель 2023'!$G$4:$G$692,'апрель 2023'!$D$4:$D$692,$B185,'апрель 2023'!$J$4:$J$692,W$1)</f>
        <v>0</v>
      </c>
      <c r="X185" s="207">
        <f>SUMIFS('апрель 2023'!$G$4:$G$692,'апрель 2023'!$D$4:$D$692,$B185,'апрель 2023'!$J$4:$J$692,X$1)</f>
        <v>0</v>
      </c>
      <c r="Y185" s="207">
        <f>SUMIFS('апрель 2023'!$G$4:$G$692,'апрель 2023'!$D$4:$D$692,$B185,'апрель 2023'!$J$4:$J$692,Y$1)</f>
        <v>0</v>
      </c>
      <c r="Z185" s="207">
        <f>SUMIFS('апрель 2023'!$G$4:$G$692,'апрель 2023'!$D$4:$D$692,$B185,'апрель 2023'!$J$4:$J$692,Z$1)</f>
        <v>0</v>
      </c>
      <c r="AA185" s="207">
        <f>SUMIFS('апрель 2023'!$G$4:$G$692,'апрель 2023'!$D$4:$D$692,$B185,'апрель 2023'!$J$4:$J$692,AA$1)</f>
        <v>0</v>
      </c>
      <c r="AB185" s="207">
        <f>SUMIFS('апрель 2023'!$G$4:$G$692,'апрель 2023'!$D$4:$D$692,$B185,'апрель 2023'!$J$4:$J$692,AB$1)</f>
        <v>0</v>
      </c>
      <c r="AC185" s="207">
        <f>SUMIFS('апрель 2023'!$G$4:$G$692,'апрель 2023'!$D$4:$D$692,$B185,'апрель 2023'!$J$4:$J$692,AC$1)</f>
        <v>0</v>
      </c>
      <c r="AD185" s="207">
        <f>SUMIFS('апрель 2023'!$G$4:$G$692,'апрель 2023'!$D$4:$D$692,$B185,'апрель 2023'!$J$4:$J$692,AD$1)</f>
        <v>0</v>
      </c>
      <c r="AE185" s="207">
        <f>SUMIFS('апрель 2023'!$G$4:$G$692,'апрель 2023'!$D$4:$D$692,$B185,'апрель 2023'!$J$4:$J$692,AE$1)</f>
        <v>0</v>
      </c>
      <c r="AF185" s="207">
        <f>SUMIFS('апрель 2023'!$G$4:$G$692,'апрель 2023'!$D$4:$D$692,$B185,'апрель 2023'!$J$4:$J$692,AF$1)</f>
        <v>0</v>
      </c>
      <c r="AG185" s="207">
        <f>SUMIFS('апрель 2023'!$G$4:$G$692,'апрель 2023'!$D$4:$D$692,$B185,'апрель 2023'!$J$4:$J$692,AG$1)</f>
        <v>0</v>
      </c>
      <c r="AH185" s="207">
        <f>SUMIFS('апрель 2023'!$G$4:$G$692,'апрель 2023'!$D$4:$D$692,$B185,'апрель 2023'!$J$4:$J$692,AH$1)</f>
        <v>0</v>
      </c>
      <c r="AI185" s="220">
        <f t="shared" si="6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0000000}">
          <x14:formula1>
            <xm:f>справочник!$E$4:$E$159</xm:f>
          </x14:formula1>
          <xm:sqref>B3:B185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14"/>
  <dimension ref="B1:AI181"/>
  <sheetViews>
    <sheetView showZeros="0" topLeftCell="A56" zoomScale="70" workbookViewId="0">
      <selection activeCell="A85" sqref="A85:XFD85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45017</v>
      </c>
      <c r="C1" s="192"/>
      <c r="D1" s="157">
        <f>B1</f>
        <v>45017</v>
      </c>
      <c r="E1" s="157">
        <f>D1+1</f>
        <v>45018</v>
      </c>
      <c r="F1" s="157">
        <f t="shared" ref="F1:AH1" si="0">E1+1</f>
        <v>45019</v>
      </c>
      <c r="G1" s="157">
        <f t="shared" si="0"/>
        <v>45020</v>
      </c>
      <c r="H1" s="157">
        <f t="shared" si="0"/>
        <v>45021</v>
      </c>
      <c r="I1" s="157">
        <f t="shared" si="0"/>
        <v>45022</v>
      </c>
      <c r="J1" s="157">
        <f t="shared" si="0"/>
        <v>45023</v>
      </c>
      <c r="K1" s="157">
        <f t="shared" si="0"/>
        <v>45024</v>
      </c>
      <c r="L1" s="157">
        <f t="shared" si="0"/>
        <v>45025</v>
      </c>
      <c r="M1" s="157">
        <f t="shared" si="0"/>
        <v>45026</v>
      </c>
      <c r="N1" s="157">
        <f t="shared" si="0"/>
        <v>45027</v>
      </c>
      <c r="O1" s="157">
        <f t="shared" si="0"/>
        <v>45028</v>
      </c>
      <c r="P1" s="157">
        <f t="shared" si="0"/>
        <v>45029</v>
      </c>
      <c r="Q1" s="157">
        <f t="shared" si="0"/>
        <v>45030</v>
      </c>
      <c r="R1" s="157">
        <f t="shared" si="0"/>
        <v>45031</v>
      </c>
      <c r="S1" s="157">
        <f t="shared" si="0"/>
        <v>45032</v>
      </c>
      <c r="T1" s="157">
        <f t="shared" si="0"/>
        <v>45033</v>
      </c>
      <c r="U1" s="157">
        <f t="shared" si="0"/>
        <v>45034</v>
      </c>
      <c r="V1" s="157">
        <f t="shared" si="0"/>
        <v>45035</v>
      </c>
      <c r="W1" s="157">
        <f t="shared" si="0"/>
        <v>45036</v>
      </c>
      <c r="X1" s="157">
        <f t="shared" si="0"/>
        <v>45037</v>
      </c>
      <c r="Y1" s="157">
        <f t="shared" si="0"/>
        <v>45038</v>
      </c>
      <c r="Z1" s="157">
        <f t="shared" si="0"/>
        <v>45039</v>
      </c>
      <c r="AA1" s="157">
        <f t="shared" si="0"/>
        <v>45040</v>
      </c>
      <c r="AB1" s="157">
        <f t="shared" si="0"/>
        <v>45041</v>
      </c>
      <c r="AC1" s="157">
        <f t="shared" si="0"/>
        <v>45042</v>
      </c>
      <c r="AD1" s="157">
        <f t="shared" si="0"/>
        <v>45043</v>
      </c>
      <c r="AE1" s="157">
        <f t="shared" si="0"/>
        <v>45044</v>
      </c>
      <c r="AF1" s="157">
        <f t="shared" si="0"/>
        <v>45045</v>
      </c>
      <c r="AG1" s="157">
        <f t="shared" si="0"/>
        <v>45046</v>
      </c>
      <c r="AH1" s="157">
        <f t="shared" si="0"/>
        <v>45047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SUMIFS('апрель 2023'!$G$4:$G$692,'апрель 2023'!$D$4:$D$692,$B3,'апрель 2023'!$J$4:$J$692,D$1)</f>
        <v>0</v>
      </c>
      <c r="E3" s="198">
        <f>SUMIFS('апрель 2023'!$G$4:$G$692,'апрель 2023'!$D$4:$D$692,$B3,'апрель 2023'!$J$4:$J$692,E$1)</f>
        <v>0</v>
      </c>
      <c r="F3" s="198">
        <f>SUMIFS('апрель 2023'!$G$4:$G$692,'апрель 2023'!$D$4:$D$692,$B3,'апрель 2023'!$J$4:$J$692,F$1)</f>
        <v>0</v>
      </c>
      <c r="G3" s="198">
        <f>SUMIFS('апрель 2023'!$G$4:$G$692,'апрель 2023'!$D$4:$D$692,$B3,'апрель 2023'!$J$4:$J$692,G$1)</f>
        <v>0</v>
      </c>
      <c r="H3" s="198">
        <f>SUMIFS('апрель 2023'!$G$4:$G$692,'апрель 2023'!$D$4:$D$692,$B3,'апрель 2023'!$J$4:$J$692,H$1)</f>
        <v>0</v>
      </c>
      <c r="I3" s="198">
        <f>SUMIFS('апрель 2023'!$G$4:$G$692,'апрель 2023'!$D$4:$D$692,$B3,'апрель 2023'!$J$4:$J$692,I$1)</f>
        <v>490</v>
      </c>
      <c r="J3" s="198">
        <f>SUMIFS('апрель 2023'!$G$4:$G$692,'апрель 2023'!$D$4:$D$692,$B3,'апрель 2023'!$J$4:$J$692,J$1)</f>
        <v>0</v>
      </c>
      <c r="K3" s="198">
        <f>SUMIFS('апрель 2023'!$G$4:$G$692,'апрель 2023'!$D$4:$D$692,$B3,'апрель 2023'!$J$4:$J$692,K$1)</f>
        <v>0</v>
      </c>
      <c r="L3" s="198">
        <f>SUMIFS('апрель 2023'!$G$4:$G$692,'апрель 2023'!$D$4:$D$692,$B3,'апрель 2023'!$J$4:$J$692,L$1)</f>
        <v>0</v>
      </c>
      <c r="M3" s="198">
        <f>SUMIFS('апрель 2023'!$G$4:$G$692,'апрель 2023'!$D$4:$D$692,$B3,'апрель 2023'!$J$4:$J$692,M$1)</f>
        <v>875</v>
      </c>
      <c r="N3" s="198">
        <f>SUMIFS('апрель 2023'!$G$4:$G$692,'апрель 2023'!$D$4:$D$692,$B3,'апрель 2023'!$J$4:$J$692,N$1)</f>
        <v>0</v>
      </c>
      <c r="O3" s="198">
        <f>SUMIFS('апрель 2023'!$G$4:$G$692,'апрель 2023'!$D$4:$D$692,$B3,'апрель 2023'!$J$4:$J$692,O$1)</f>
        <v>0</v>
      </c>
      <c r="P3" s="198">
        <f>SUMIFS('апрель 2023'!$G$4:$G$692,'апрель 2023'!$D$4:$D$692,$B3,'апрель 2023'!$J$4:$J$692,P$1)</f>
        <v>0</v>
      </c>
      <c r="Q3" s="198">
        <f>SUMIFS('апрель 2023'!$G$4:$G$692,'апрель 2023'!$D$4:$D$692,$B3,'апрель 2023'!$J$4:$J$692,Q$1)</f>
        <v>0</v>
      </c>
      <c r="R3" s="198">
        <f>SUMIFS('апрель 2023'!$G$4:$G$692,'апрель 2023'!$D$4:$D$692,$B3,'апрель 2023'!$J$4:$J$692,R$1)</f>
        <v>0</v>
      </c>
      <c r="S3" s="198">
        <f>SUMIFS('апрель 2023'!$G$4:$G$692,'апрель 2023'!$D$4:$D$692,$B3,'апрель 2023'!$J$4:$J$692,S$1)</f>
        <v>0</v>
      </c>
      <c r="T3" s="198">
        <f>SUMIFS('апрель 2023'!$G$4:$G$692,'апрель 2023'!$D$4:$D$692,$B3,'апрель 2023'!$J$4:$J$692,T$1)</f>
        <v>0</v>
      </c>
      <c r="U3" s="198">
        <f>SUMIFS('апрель 2023'!$G$4:$G$692,'апрель 2023'!$D$4:$D$692,$B3,'апрель 2023'!$J$4:$J$692,U$1)</f>
        <v>0</v>
      </c>
      <c r="V3" s="198">
        <f>SUMIFS('апрель 2023'!$G$4:$G$692,'апрель 2023'!$D$4:$D$692,$B3,'апрель 2023'!$J$4:$J$692,V$1)</f>
        <v>0</v>
      </c>
      <c r="W3" s="198">
        <f>SUMIFS('апрель 2023'!$G$4:$G$692,'апрель 2023'!$D$4:$D$692,$B3,'апрель 2023'!$J$4:$J$692,W$1)</f>
        <v>0</v>
      </c>
      <c r="X3" s="198">
        <f>SUMIFS('апрель 2023'!$G$4:$G$692,'апрель 2023'!$D$4:$D$692,$B3,'апрель 2023'!$J$4:$J$692,X$1)</f>
        <v>0</v>
      </c>
      <c r="Y3" s="198">
        <f>SUMIFS('апрель 2023'!$G$4:$G$692,'апрель 2023'!$D$4:$D$692,$B3,'апрель 2023'!$J$4:$J$692,Y$1)</f>
        <v>0</v>
      </c>
      <c r="Z3" s="198">
        <f>SUMIFS('апрель 2023'!$G$4:$G$692,'апрель 2023'!$D$4:$D$692,$B3,'апрель 2023'!$J$4:$J$692,Z$1)</f>
        <v>0</v>
      </c>
      <c r="AA3" s="198">
        <f>SUMIFS('апрель 2023'!$G$4:$G$692,'апрель 2023'!$D$4:$D$692,$B3,'апрель 2023'!$J$4:$J$692,AA$1)</f>
        <v>1960</v>
      </c>
      <c r="AB3" s="198">
        <f>SUMIFS('апрель 2023'!$G$4:$G$692,'апрель 2023'!$D$4:$D$692,$B3,'апрель 2023'!$J$4:$J$692,AB$1)</f>
        <v>0</v>
      </c>
      <c r="AC3" s="198">
        <f>SUMIFS('апрель 2023'!$G$4:$G$692,'апрель 2023'!$D$4:$D$692,$B3,'апрель 2023'!$J$4:$J$692,AC$1)</f>
        <v>0</v>
      </c>
      <c r="AD3" s="198">
        <f>SUMIFS('апрель 2023'!$G$4:$G$692,'апрель 2023'!$D$4:$D$692,$B3,'апрель 2023'!$J$4:$J$692,AD$1)</f>
        <v>0</v>
      </c>
      <c r="AE3" s="198">
        <f>SUMIFS('апрель 2023'!$G$4:$G$692,'апрель 2023'!$D$4:$D$692,$B3,'апрель 2023'!$J$4:$J$692,AE$1)</f>
        <v>0</v>
      </c>
      <c r="AF3" s="198">
        <f>SUMIFS('апрель 2023'!$G$4:$G$692,'апрель 2023'!$D$4:$D$692,$B3,'апрель 2023'!$J$4:$J$692,AF$1)</f>
        <v>0</v>
      </c>
      <c r="AG3" s="198">
        <f>SUMIFS('апрель 2023'!$G$4:$G$692,'апрель 2023'!$D$4:$D$692,$B3,'апрель 2023'!$J$4:$J$692,AG$1)</f>
        <v>0</v>
      </c>
      <c r="AH3" s="198">
        <f>SUMIFS('апрель 2023'!$G$4:$G$692,'апрель 2023'!$D$4:$D$692,$B3,'апрель 2023'!$J$4:$J$692,AH$1)</f>
        <v>0</v>
      </c>
      <c r="AI3" s="166">
        <f t="shared" ref="AI3:AI66" si="1">SUM(D3:AH3)</f>
        <v>3325</v>
      </c>
    </row>
    <row r="4" spans="2:35" ht="15" customHeight="1" x14ac:dyDescent="0.25">
      <c r="B4" s="199" t="s">
        <v>74</v>
      </c>
      <c r="C4" s="200">
        <v>25</v>
      </c>
      <c r="D4" s="198">
        <f>SUMIFS('апрель 2023'!$G$4:$G$692,'апрель 2023'!$D$4:$D$692,$B4,'апрель 2023'!$J$4:$J$692,D$1)</f>
        <v>0</v>
      </c>
      <c r="E4" s="198">
        <f>SUMIFS('апрель 2023'!$G$4:$G$692,'апрель 2023'!$D$4:$D$692,$B4,'апрель 2023'!$J$4:$J$692,E$1)</f>
        <v>0</v>
      </c>
      <c r="F4" s="198">
        <f>SUMIFS('апрель 2023'!$G$4:$G$692,'апрель 2023'!$D$4:$D$692,$B4,'апрель 2023'!$J$4:$J$692,F$1)</f>
        <v>0</v>
      </c>
      <c r="G4" s="198">
        <f>SUMIFS('апрель 2023'!$G$4:$G$692,'апрель 2023'!$D$4:$D$692,$B4,'апрель 2023'!$J$4:$J$692,G$1)</f>
        <v>0</v>
      </c>
      <c r="H4" s="198">
        <f>SUMIFS('апрель 2023'!$G$4:$G$692,'апрель 2023'!$D$4:$D$692,$B4,'апрель 2023'!$J$4:$J$692,H$1)</f>
        <v>0</v>
      </c>
      <c r="I4" s="198">
        <f>SUMIFS('апрель 2023'!$G$4:$G$692,'апрель 2023'!$D$4:$D$692,$B4,'апрель 2023'!$J$4:$J$692,I$1)</f>
        <v>0</v>
      </c>
      <c r="J4" s="198">
        <f>SUMIFS('апрель 2023'!$G$4:$G$692,'апрель 2023'!$D$4:$D$692,$B4,'апрель 2023'!$J$4:$J$692,J$1)</f>
        <v>0</v>
      </c>
      <c r="K4" s="198">
        <f>SUMIFS('апрель 2023'!$G$4:$G$692,'апрель 2023'!$D$4:$D$692,$B4,'апрель 2023'!$J$4:$J$692,K$1)</f>
        <v>0</v>
      </c>
      <c r="L4" s="198">
        <f>SUMIFS('апрель 2023'!$G$4:$G$692,'апрель 2023'!$D$4:$D$692,$B4,'апрель 2023'!$J$4:$J$692,L$1)</f>
        <v>0</v>
      </c>
      <c r="M4" s="198">
        <f>SUMIFS('апрель 2023'!$G$4:$G$692,'апрель 2023'!$D$4:$D$692,$B4,'апрель 2023'!$J$4:$J$692,M$1)</f>
        <v>800</v>
      </c>
      <c r="N4" s="198">
        <f>SUMIFS('апрель 2023'!$G$4:$G$692,'апрель 2023'!$D$4:$D$692,$B4,'апрель 2023'!$J$4:$J$692,N$1)</f>
        <v>0</v>
      </c>
      <c r="O4" s="198">
        <f>SUMIFS('апрель 2023'!$G$4:$G$692,'апрель 2023'!$D$4:$D$692,$B4,'апрель 2023'!$J$4:$J$692,O$1)</f>
        <v>0</v>
      </c>
      <c r="P4" s="198">
        <f>SUMIFS('апрель 2023'!$G$4:$G$692,'апрель 2023'!$D$4:$D$692,$B4,'апрель 2023'!$J$4:$J$692,P$1)</f>
        <v>0</v>
      </c>
      <c r="Q4" s="198">
        <f>SUMIFS('апрель 2023'!$G$4:$G$692,'апрель 2023'!$D$4:$D$692,$B4,'апрель 2023'!$J$4:$J$692,Q$1)</f>
        <v>0</v>
      </c>
      <c r="R4" s="198">
        <f>SUMIFS('апрель 2023'!$G$4:$G$692,'апрель 2023'!$D$4:$D$692,$B4,'апрель 2023'!$J$4:$J$692,R$1)</f>
        <v>0</v>
      </c>
      <c r="S4" s="198">
        <f>SUMIFS('апрель 2023'!$G$4:$G$692,'апрель 2023'!$D$4:$D$692,$B4,'апрель 2023'!$J$4:$J$692,S$1)</f>
        <v>0</v>
      </c>
      <c r="T4" s="198">
        <f>SUMIFS('апрель 2023'!$G$4:$G$692,'апрель 2023'!$D$4:$D$692,$B4,'апрель 2023'!$J$4:$J$692,T$1)</f>
        <v>0</v>
      </c>
      <c r="U4" s="198">
        <f>SUMIFS('апрель 2023'!$G$4:$G$692,'апрель 2023'!$D$4:$D$692,$B4,'апрель 2023'!$J$4:$J$692,U$1)</f>
        <v>0</v>
      </c>
      <c r="V4" s="198">
        <f>SUMIFS('апрель 2023'!$G$4:$G$692,'апрель 2023'!$D$4:$D$692,$B4,'апрель 2023'!$J$4:$J$692,V$1)</f>
        <v>0</v>
      </c>
      <c r="W4" s="198">
        <f>SUMIFS('апрель 2023'!$G$4:$G$692,'апрель 2023'!$D$4:$D$692,$B4,'апрель 2023'!$J$4:$J$692,W$1)</f>
        <v>0</v>
      </c>
      <c r="X4" s="198">
        <f>SUMIFS('апрель 2023'!$G$4:$G$692,'апрель 2023'!$D$4:$D$692,$B4,'апрель 2023'!$J$4:$J$692,X$1)</f>
        <v>0</v>
      </c>
      <c r="Y4" s="198">
        <f>SUMIFS('апрель 2023'!$G$4:$G$692,'апрель 2023'!$D$4:$D$692,$B4,'апрель 2023'!$J$4:$J$692,Y$1)</f>
        <v>0</v>
      </c>
      <c r="Z4" s="198">
        <f>SUMIFS('апрель 2023'!$G$4:$G$692,'апрель 2023'!$D$4:$D$692,$B4,'апрель 2023'!$J$4:$J$692,Z$1)</f>
        <v>0</v>
      </c>
      <c r="AA4" s="198">
        <f>SUMIFS('апрель 2023'!$G$4:$G$692,'апрель 2023'!$D$4:$D$692,$B4,'апрель 2023'!$J$4:$J$692,AA$1)</f>
        <v>0</v>
      </c>
      <c r="AB4" s="198">
        <f>SUMIFS('апрель 2023'!$G$4:$G$692,'апрель 2023'!$D$4:$D$692,$B4,'апрель 2023'!$J$4:$J$692,AB$1)</f>
        <v>0</v>
      </c>
      <c r="AC4" s="198">
        <f>SUMIFS('апрель 2023'!$G$4:$G$692,'апрель 2023'!$D$4:$D$692,$B4,'апрель 2023'!$J$4:$J$692,AC$1)</f>
        <v>0</v>
      </c>
      <c r="AD4" s="198">
        <f>SUMIFS('апрель 2023'!$G$4:$G$692,'апрель 2023'!$D$4:$D$692,$B4,'апрель 2023'!$J$4:$J$692,AD$1)</f>
        <v>0</v>
      </c>
      <c r="AE4" s="198">
        <f>SUMIFS('апрель 2023'!$G$4:$G$692,'апрель 2023'!$D$4:$D$692,$B4,'апрель 2023'!$J$4:$J$692,AE$1)</f>
        <v>0</v>
      </c>
      <c r="AF4" s="198">
        <f>SUMIFS('апрель 2023'!$G$4:$G$692,'апрель 2023'!$D$4:$D$692,$B4,'апрель 2023'!$J$4:$J$692,AF$1)</f>
        <v>0</v>
      </c>
      <c r="AG4" s="198">
        <f>SUMIFS('апрель 2023'!$G$4:$G$692,'апрель 2023'!$D$4:$D$692,$B4,'апрель 2023'!$J$4:$J$692,AG$1)</f>
        <v>0</v>
      </c>
      <c r="AH4" s="198">
        <f>SUMIFS('апрель 2023'!$G$4:$G$692,'апрель 2023'!$D$4:$D$692,$B4,'апрель 2023'!$J$4:$J$692,AH$1)</f>
        <v>0</v>
      </c>
      <c r="AI4" s="170">
        <f t="shared" si="1"/>
        <v>800</v>
      </c>
    </row>
    <row r="5" spans="2:35" ht="15" customHeight="1" x14ac:dyDescent="0.25">
      <c r="B5" s="199" t="s">
        <v>165</v>
      </c>
      <c r="C5" s="200">
        <v>25</v>
      </c>
      <c r="D5" s="198">
        <f>SUMIFS('апрель 2023'!$G$4:$G$692,'апрель 2023'!$D$4:$D$692,$B5,'апрель 2023'!$J$4:$J$692,D$1)</f>
        <v>0</v>
      </c>
      <c r="E5" s="198">
        <f>SUMIFS('апрель 2023'!$G$4:$G$692,'апрель 2023'!$D$4:$D$692,$B5,'апрель 2023'!$J$4:$J$692,E$1)</f>
        <v>0</v>
      </c>
      <c r="F5" s="198">
        <f>SUMIFS('апрель 2023'!$G$4:$G$692,'апрель 2023'!$D$4:$D$692,$B5,'апрель 2023'!$J$4:$J$692,F$1)</f>
        <v>0</v>
      </c>
      <c r="G5" s="198">
        <f>SUMIFS('апрель 2023'!$G$4:$G$692,'апрель 2023'!$D$4:$D$692,$B5,'апрель 2023'!$J$4:$J$692,G$1)</f>
        <v>0</v>
      </c>
      <c r="H5" s="198">
        <f>SUMIFS('апрель 2023'!$G$4:$G$692,'апрель 2023'!$D$4:$D$692,$B5,'апрель 2023'!$J$4:$J$692,H$1)</f>
        <v>0</v>
      </c>
      <c r="I5" s="198">
        <f>SUMIFS('апрель 2023'!$G$4:$G$692,'апрель 2023'!$D$4:$D$692,$B5,'апрель 2023'!$J$4:$J$692,I$1)</f>
        <v>0</v>
      </c>
      <c r="J5" s="198">
        <f>SUMIFS('апрель 2023'!$G$4:$G$692,'апрель 2023'!$D$4:$D$692,$B5,'апрель 2023'!$J$4:$J$692,J$1)</f>
        <v>0</v>
      </c>
      <c r="K5" s="198">
        <f>SUMIFS('апрель 2023'!$G$4:$G$692,'апрель 2023'!$D$4:$D$692,$B5,'апрель 2023'!$J$4:$J$692,K$1)</f>
        <v>0</v>
      </c>
      <c r="L5" s="198">
        <f>SUMIFS('апрель 2023'!$G$4:$G$692,'апрель 2023'!$D$4:$D$692,$B5,'апрель 2023'!$J$4:$J$692,L$1)</f>
        <v>0</v>
      </c>
      <c r="M5" s="198">
        <f>SUMIFS('апрель 2023'!$G$4:$G$692,'апрель 2023'!$D$4:$D$692,$B5,'апрель 2023'!$J$4:$J$692,M$1)</f>
        <v>0</v>
      </c>
      <c r="N5" s="198">
        <f>SUMIFS('апрель 2023'!$G$4:$G$692,'апрель 2023'!$D$4:$D$692,$B5,'апрель 2023'!$J$4:$J$692,N$1)</f>
        <v>0</v>
      </c>
      <c r="O5" s="198">
        <f>SUMIFS('апрель 2023'!$G$4:$G$692,'апрель 2023'!$D$4:$D$692,$B5,'апрель 2023'!$J$4:$J$692,O$1)</f>
        <v>0</v>
      </c>
      <c r="P5" s="198">
        <f>SUMIFS('апрель 2023'!$G$4:$G$692,'апрель 2023'!$D$4:$D$692,$B5,'апрель 2023'!$J$4:$J$692,P$1)</f>
        <v>0</v>
      </c>
      <c r="Q5" s="198">
        <f>SUMIFS('апрель 2023'!$G$4:$G$692,'апрель 2023'!$D$4:$D$692,$B5,'апрель 2023'!$J$4:$J$692,Q$1)</f>
        <v>0</v>
      </c>
      <c r="R5" s="198">
        <f>SUMIFS('апрель 2023'!$G$4:$G$692,'апрель 2023'!$D$4:$D$692,$B5,'апрель 2023'!$J$4:$J$692,R$1)</f>
        <v>0</v>
      </c>
      <c r="S5" s="198">
        <f>SUMIFS('апрель 2023'!$G$4:$G$692,'апрель 2023'!$D$4:$D$692,$B5,'апрель 2023'!$J$4:$J$692,S$1)</f>
        <v>0</v>
      </c>
      <c r="T5" s="198">
        <f>SUMIFS('апрель 2023'!$G$4:$G$692,'апрель 2023'!$D$4:$D$692,$B5,'апрель 2023'!$J$4:$J$692,T$1)</f>
        <v>0</v>
      </c>
      <c r="U5" s="198">
        <f>SUMIFS('апрель 2023'!$G$4:$G$692,'апрель 2023'!$D$4:$D$692,$B5,'апрель 2023'!$J$4:$J$692,U$1)</f>
        <v>0</v>
      </c>
      <c r="V5" s="198">
        <f>SUMIFS('апрель 2023'!$G$4:$G$692,'апрель 2023'!$D$4:$D$692,$B5,'апрель 2023'!$J$4:$J$692,V$1)</f>
        <v>0</v>
      </c>
      <c r="W5" s="198">
        <f>SUMIFS('апрель 2023'!$G$4:$G$692,'апрель 2023'!$D$4:$D$692,$B5,'апрель 2023'!$J$4:$J$692,W$1)</f>
        <v>0</v>
      </c>
      <c r="X5" s="198">
        <f>SUMIFS('апрель 2023'!$G$4:$G$692,'апрель 2023'!$D$4:$D$692,$B5,'апрель 2023'!$J$4:$J$692,X$1)</f>
        <v>0</v>
      </c>
      <c r="Y5" s="198">
        <f>SUMIFS('апрель 2023'!$G$4:$G$692,'апрель 2023'!$D$4:$D$692,$B5,'апрель 2023'!$J$4:$J$692,Y$1)</f>
        <v>0</v>
      </c>
      <c r="Z5" s="198">
        <f>SUMIFS('апрель 2023'!$G$4:$G$692,'апрель 2023'!$D$4:$D$692,$B5,'апрель 2023'!$J$4:$J$692,Z$1)</f>
        <v>0</v>
      </c>
      <c r="AA5" s="198">
        <f>SUMIFS('апрель 2023'!$G$4:$G$692,'апрель 2023'!$D$4:$D$692,$B5,'апрель 2023'!$J$4:$J$692,AA$1)</f>
        <v>480</v>
      </c>
      <c r="AB5" s="198">
        <f>SUMIFS('апрель 2023'!$G$4:$G$692,'апрель 2023'!$D$4:$D$692,$B5,'апрель 2023'!$J$4:$J$692,AB$1)</f>
        <v>0</v>
      </c>
      <c r="AC5" s="198">
        <f>SUMIFS('апрель 2023'!$G$4:$G$692,'апрель 2023'!$D$4:$D$692,$B5,'апрель 2023'!$J$4:$J$692,AC$1)</f>
        <v>800</v>
      </c>
      <c r="AD5" s="198">
        <f>SUMIFS('апрель 2023'!$G$4:$G$692,'апрель 2023'!$D$4:$D$692,$B5,'апрель 2023'!$J$4:$J$692,AD$1)</f>
        <v>0</v>
      </c>
      <c r="AE5" s="198">
        <f>SUMIFS('апрель 2023'!$G$4:$G$692,'апрель 2023'!$D$4:$D$692,$B5,'апрель 2023'!$J$4:$J$692,AE$1)</f>
        <v>0</v>
      </c>
      <c r="AF5" s="198">
        <f>SUMIFS('апрель 2023'!$G$4:$G$692,'апрель 2023'!$D$4:$D$692,$B5,'апрель 2023'!$J$4:$J$692,AF$1)</f>
        <v>0</v>
      </c>
      <c r="AG5" s="198">
        <f>SUMIFS('апрель 2023'!$G$4:$G$692,'апрель 2023'!$D$4:$D$692,$B5,'апрель 2023'!$J$4:$J$692,AG$1)</f>
        <v>0</v>
      </c>
      <c r="AH5" s="198">
        <f>SUMIFS('апрель 2023'!$G$4:$G$692,'апрель 2023'!$D$4:$D$692,$B5,'апрель 2023'!$J$4:$J$692,AH$1)</f>
        <v>0</v>
      </c>
      <c r="AI5" s="170">
        <f t="shared" si="1"/>
        <v>1280</v>
      </c>
    </row>
    <row r="6" spans="2:35" ht="15" customHeight="1" x14ac:dyDescent="0.25">
      <c r="B6" s="199" t="s">
        <v>2084</v>
      </c>
      <c r="C6" s="200">
        <v>22.7</v>
      </c>
      <c r="D6" s="198">
        <f>SUMIFS('апрель 2023'!$G$4:$G$692,'апрель 2023'!$D$4:$D$692,$B6,'апрель 2023'!$J$4:$J$692,D$1)</f>
        <v>0</v>
      </c>
      <c r="E6" s="198">
        <f>SUMIFS('апрель 2023'!$G$4:$G$692,'апрель 2023'!$D$4:$D$692,$B6,'апрель 2023'!$J$4:$J$692,E$1)</f>
        <v>0</v>
      </c>
      <c r="F6" s="198">
        <f>SUMIFS('апрель 2023'!$G$4:$G$692,'апрель 2023'!$D$4:$D$692,$B6,'апрель 2023'!$J$4:$J$692,F$1)</f>
        <v>0</v>
      </c>
      <c r="G6" s="198">
        <f>SUMIFS('апрель 2023'!$G$4:$G$692,'апрель 2023'!$D$4:$D$692,$B6,'апрель 2023'!$J$4:$J$692,G$1)</f>
        <v>0</v>
      </c>
      <c r="H6" s="198">
        <f>SUMIFS('апрель 2023'!$G$4:$G$692,'апрель 2023'!$D$4:$D$692,$B6,'апрель 2023'!$J$4:$J$692,H$1)</f>
        <v>0</v>
      </c>
      <c r="I6" s="198">
        <f>SUMIFS('апрель 2023'!$G$4:$G$692,'апрель 2023'!$D$4:$D$692,$B6,'апрель 2023'!$J$4:$J$692,I$1)</f>
        <v>0</v>
      </c>
      <c r="J6" s="198">
        <f>SUMIFS('апрель 2023'!$G$4:$G$692,'апрель 2023'!$D$4:$D$692,$B6,'апрель 2023'!$J$4:$J$692,J$1)</f>
        <v>0</v>
      </c>
      <c r="K6" s="198">
        <f>SUMIFS('апрель 2023'!$G$4:$G$692,'апрель 2023'!$D$4:$D$692,$B6,'апрель 2023'!$J$4:$J$692,K$1)</f>
        <v>0</v>
      </c>
      <c r="L6" s="198">
        <f>SUMIFS('апрель 2023'!$G$4:$G$692,'апрель 2023'!$D$4:$D$692,$B6,'апрель 2023'!$J$4:$J$692,L$1)</f>
        <v>0</v>
      </c>
      <c r="M6" s="198">
        <f>SUMIFS('апрель 2023'!$G$4:$G$692,'апрель 2023'!$D$4:$D$692,$B6,'апрель 2023'!$J$4:$J$692,M$1)</f>
        <v>0</v>
      </c>
      <c r="N6" s="198">
        <f>SUMIFS('апрель 2023'!$G$4:$G$692,'апрель 2023'!$D$4:$D$692,$B6,'апрель 2023'!$J$4:$J$692,N$1)</f>
        <v>0</v>
      </c>
      <c r="O6" s="198">
        <f>SUMIFS('апрель 2023'!$G$4:$G$692,'апрель 2023'!$D$4:$D$692,$B6,'апрель 2023'!$J$4:$J$692,O$1)</f>
        <v>0</v>
      </c>
      <c r="P6" s="198">
        <f>SUMIFS('апрель 2023'!$G$4:$G$692,'апрель 2023'!$D$4:$D$692,$B6,'апрель 2023'!$J$4:$J$692,P$1)</f>
        <v>0</v>
      </c>
      <c r="Q6" s="198">
        <f>SUMIFS('апрель 2023'!$G$4:$G$692,'апрель 2023'!$D$4:$D$692,$B6,'апрель 2023'!$J$4:$J$692,Q$1)</f>
        <v>0</v>
      </c>
      <c r="R6" s="198">
        <f>SUMIFS('апрель 2023'!$G$4:$G$692,'апрель 2023'!$D$4:$D$692,$B6,'апрель 2023'!$J$4:$J$692,R$1)</f>
        <v>0</v>
      </c>
      <c r="S6" s="198">
        <f>SUMIFS('апрель 2023'!$G$4:$G$692,'апрель 2023'!$D$4:$D$692,$B6,'апрель 2023'!$J$4:$J$692,S$1)</f>
        <v>0</v>
      </c>
      <c r="T6" s="198">
        <f>SUMIFS('апрель 2023'!$G$4:$G$692,'апрель 2023'!$D$4:$D$692,$B6,'апрель 2023'!$J$4:$J$692,T$1)</f>
        <v>0</v>
      </c>
      <c r="U6" s="198">
        <f>SUMIFS('апрель 2023'!$G$4:$G$692,'апрель 2023'!$D$4:$D$692,$B6,'апрель 2023'!$J$4:$J$692,U$1)</f>
        <v>0</v>
      </c>
      <c r="V6" s="198">
        <f>SUMIFS('апрель 2023'!$G$4:$G$692,'апрель 2023'!$D$4:$D$692,$B6,'апрель 2023'!$J$4:$J$692,V$1)</f>
        <v>0</v>
      </c>
      <c r="W6" s="198">
        <f>SUMIFS('апрель 2023'!$G$4:$G$692,'апрель 2023'!$D$4:$D$692,$B6,'апрель 2023'!$J$4:$J$692,W$1)</f>
        <v>0</v>
      </c>
      <c r="X6" s="198">
        <f>SUMIFS('апрель 2023'!$G$4:$G$692,'апрель 2023'!$D$4:$D$692,$B6,'апрель 2023'!$J$4:$J$692,X$1)</f>
        <v>0</v>
      </c>
      <c r="Y6" s="198">
        <f>SUMIFS('апрель 2023'!$G$4:$G$692,'апрель 2023'!$D$4:$D$692,$B6,'апрель 2023'!$J$4:$J$692,Y$1)</f>
        <v>0</v>
      </c>
      <c r="Z6" s="198">
        <f>SUMIFS('апрель 2023'!$G$4:$G$692,'апрель 2023'!$D$4:$D$692,$B6,'апрель 2023'!$J$4:$J$692,Z$1)</f>
        <v>0</v>
      </c>
      <c r="AA6" s="198">
        <f>SUMIFS('апрель 2023'!$G$4:$G$692,'апрель 2023'!$D$4:$D$692,$B6,'апрель 2023'!$J$4:$J$692,AA$1)</f>
        <v>0</v>
      </c>
      <c r="AB6" s="198">
        <f>SUMIFS('апрель 2023'!$G$4:$G$692,'апрель 2023'!$D$4:$D$692,$B6,'апрель 2023'!$J$4:$J$692,AB$1)</f>
        <v>0</v>
      </c>
      <c r="AC6" s="198">
        <f>SUMIFS('апрель 2023'!$G$4:$G$692,'апрель 2023'!$D$4:$D$692,$B6,'апрель 2023'!$J$4:$J$692,AC$1)</f>
        <v>0</v>
      </c>
      <c r="AD6" s="198">
        <f>SUMIFS('апрель 2023'!$G$4:$G$692,'апрель 2023'!$D$4:$D$692,$B6,'апрель 2023'!$J$4:$J$692,AD$1)</f>
        <v>0</v>
      </c>
      <c r="AE6" s="198">
        <f>SUMIFS('апрель 2023'!$G$4:$G$692,'апрель 2023'!$D$4:$D$692,$B6,'апрель 2023'!$J$4:$J$692,AE$1)</f>
        <v>0</v>
      </c>
      <c r="AF6" s="198">
        <f>SUMIFS('апрель 2023'!$G$4:$G$692,'апрель 2023'!$D$4:$D$692,$B6,'апрель 2023'!$J$4:$J$692,AF$1)</f>
        <v>0</v>
      </c>
      <c r="AG6" s="198">
        <f>SUMIFS('апрель 2023'!$G$4:$G$692,'апрель 2023'!$D$4:$D$692,$B6,'апрель 2023'!$J$4:$J$692,AG$1)</f>
        <v>0</v>
      </c>
      <c r="AH6" s="198">
        <f>SUMIFS('апрель 2023'!$G$4:$G$692,'апрель 2023'!$D$4:$D$692,$B6,'апрель 2023'!$J$4:$J$692,AH$1)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SUMIFS('апрель 2023'!$G$4:$G$692,'апрель 2023'!$D$4:$D$692,$B7,'апрель 2023'!$J$4:$J$692,D$1)</f>
        <v>0</v>
      </c>
      <c r="E7" s="198">
        <f>SUMIFS('апрель 2023'!$G$4:$G$692,'апрель 2023'!$D$4:$D$692,$B7,'апрель 2023'!$J$4:$J$692,E$1)</f>
        <v>0</v>
      </c>
      <c r="F7" s="198">
        <f>SUMIFS('апрель 2023'!$G$4:$G$692,'апрель 2023'!$D$4:$D$692,$B7,'апрель 2023'!$J$4:$J$692,F$1)</f>
        <v>0</v>
      </c>
      <c r="G7" s="198">
        <f>SUMIFS('апрель 2023'!$G$4:$G$692,'апрель 2023'!$D$4:$D$692,$B7,'апрель 2023'!$J$4:$J$692,G$1)</f>
        <v>0</v>
      </c>
      <c r="H7" s="198">
        <f>SUMIFS('апрель 2023'!$G$4:$G$692,'апрель 2023'!$D$4:$D$692,$B7,'апрель 2023'!$J$4:$J$692,H$1)</f>
        <v>0</v>
      </c>
      <c r="I7" s="198">
        <f>SUMIFS('апрель 2023'!$G$4:$G$692,'апрель 2023'!$D$4:$D$692,$B7,'апрель 2023'!$J$4:$J$692,I$1)</f>
        <v>0</v>
      </c>
      <c r="J7" s="198">
        <f>SUMIFS('апрель 2023'!$G$4:$G$692,'апрель 2023'!$D$4:$D$692,$B7,'апрель 2023'!$J$4:$J$692,J$1)</f>
        <v>0</v>
      </c>
      <c r="K7" s="198">
        <f>SUMIFS('апрель 2023'!$G$4:$G$692,'апрель 2023'!$D$4:$D$692,$B7,'апрель 2023'!$J$4:$J$692,K$1)</f>
        <v>0</v>
      </c>
      <c r="L7" s="198">
        <f>SUMIFS('апрель 2023'!$G$4:$G$692,'апрель 2023'!$D$4:$D$692,$B7,'апрель 2023'!$J$4:$J$692,L$1)</f>
        <v>0</v>
      </c>
      <c r="M7" s="198">
        <f>SUMIFS('апрель 2023'!$G$4:$G$692,'апрель 2023'!$D$4:$D$692,$B7,'апрель 2023'!$J$4:$J$692,M$1)</f>
        <v>0</v>
      </c>
      <c r="N7" s="198">
        <f>SUMIFS('апрель 2023'!$G$4:$G$692,'апрель 2023'!$D$4:$D$692,$B7,'апрель 2023'!$J$4:$J$692,N$1)</f>
        <v>0</v>
      </c>
      <c r="O7" s="198">
        <f>SUMIFS('апрель 2023'!$G$4:$G$692,'апрель 2023'!$D$4:$D$692,$B7,'апрель 2023'!$J$4:$J$692,O$1)</f>
        <v>0</v>
      </c>
      <c r="P7" s="198">
        <f>SUMIFS('апрель 2023'!$G$4:$G$692,'апрель 2023'!$D$4:$D$692,$B7,'апрель 2023'!$J$4:$J$692,P$1)</f>
        <v>0</v>
      </c>
      <c r="Q7" s="198">
        <f>SUMIFS('апрель 2023'!$G$4:$G$692,'апрель 2023'!$D$4:$D$692,$B7,'апрель 2023'!$J$4:$J$692,Q$1)</f>
        <v>0</v>
      </c>
      <c r="R7" s="198">
        <f>SUMIFS('апрель 2023'!$G$4:$G$692,'апрель 2023'!$D$4:$D$692,$B7,'апрель 2023'!$J$4:$J$692,R$1)</f>
        <v>0</v>
      </c>
      <c r="S7" s="198">
        <f>SUMIFS('апрель 2023'!$G$4:$G$692,'апрель 2023'!$D$4:$D$692,$B7,'апрель 2023'!$J$4:$J$692,S$1)</f>
        <v>0</v>
      </c>
      <c r="T7" s="198">
        <f>SUMIFS('апрель 2023'!$G$4:$G$692,'апрель 2023'!$D$4:$D$692,$B7,'апрель 2023'!$J$4:$J$692,T$1)</f>
        <v>0</v>
      </c>
      <c r="U7" s="198">
        <f>SUMIFS('апрель 2023'!$G$4:$G$692,'апрель 2023'!$D$4:$D$692,$B7,'апрель 2023'!$J$4:$J$692,U$1)</f>
        <v>0</v>
      </c>
      <c r="V7" s="198">
        <f>SUMIFS('апрель 2023'!$G$4:$G$692,'апрель 2023'!$D$4:$D$692,$B7,'апрель 2023'!$J$4:$J$692,V$1)</f>
        <v>0</v>
      </c>
      <c r="W7" s="198">
        <f>SUMIFS('апрель 2023'!$G$4:$G$692,'апрель 2023'!$D$4:$D$692,$B7,'апрель 2023'!$J$4:$J$692,W$1)</f>
        <v>0</v>
      </c>
      <c r="X7" s="198">
        <f>SUMIFS('апрель 2023'!$G$4:$G$692,'апрель 2023'!$D$4:$D$692,$B7,'апрель 2023'!$J$4:$J$692,X$1)</f>
        <v>0</v>
      </c>
      <c r="Y7" s="198">
        <f>SUMIFS('апрель 2023'!$G$4:$G$692,'апрель 2023'!$D$4:$D$692,$B7,'апрель 2023'!$J$4:$J$692,Y$1)</f>
        <v>0</v>
      </c>
      <c r="Z7" s="198">
        <f>SUMIFS('апрель 2023'!$G$4:$G$692,'апрель 2023'!$D$4:$D$692,$B7,'апрель 2023'!$J$4:$J$692,Z$1)</f>
        <v>0</v>
      </c>
      <c r="AA7" s="198">
        <f>SUMIFS('апрель 2023'!$G$4:$G$692,'апрель 2023'!$D$4:$D$692,$B7,'апрель 2023'!$J$4:$J$692,AA$1)</f>
        <v>0</v>
      </c>
      <c r="AB7" s="198">
        <f>SUMIFS('апрель 2023'!$G$4:$G$692,'апрель 2023'!$D$4:$D$692,$B7,'апрель 2023'!$J$4:$J$692,AB$1)</f>
        <v>0</v>
      </c>
      <c r="AC7" s="198">
        <f>SUMIFS('апрель 2023'!$G$4:$G$692,'апрель 2023'!$D$4:$D$692,$B7,'апрель 2023'!$J$4:$J$692,AC$1)</f>
        <v>0</v>
      </c>
      <c r="AD7" s="198">
        <f>SUMIFS('апрель 2023'!$G$4:$G$692,'апрель 2023'!$D$4:$D$692,$B7,'апрель 2023'!$J$4:$J$692,AD$1)</f>
        <v>0</v>
      </c>
      <c r="AE7" s="198">
        <f>SUMIFS('апрель 2023'!$G$4:$G$692,'апрель 2023'!$D$4:$D$692,$B7,'апрель 2023'!$J$4:$J$692,AE$1)</f>
        <v>0</v>
      </c>
      <c r="AF7" s="198">
        <f>SUMIFS('апрель 2023'!$G$4:$G$692,'апрель 2023'!$D$4:$D$692,$B7,'апрель 2023'!$J$4:$J$692,AF$1)</f>
        <v>0</v>
      </c>
      <c r="AG7" s="198">
        <f>SUMIFS('апрель 2023'!$G$4:$G$692,'апрель 2023'!$D$4:$D$692,$B7,'апрель 2023'!$J$4:$J$692,AG$1)</f>
        <v>0</v>
      </c>
      <c r="AH7" s="198">
        <f>SUMIFS('апрель 2023'!$G$4:$G$692,'апрель 2023'!$D$4:$D$692,$B7,'апрель 2023'!$J$4:$J$692,AH$1)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SUMIFS('апрель 2023'!$G$4:$G$692,'апрель 2023'!$D$4:$D$692,$B8,'апрель 2023'!$J$4:$J$692,D$1)</f>
        <v>0</v>
      </c>
      <c r="E8" s="198">
        <f>SUMIFS('апрель 2023'!$G$4:$G$692,'апрель 2023'!$D$4:$D$692,$B8,'апрель 2023'!$J$4:$J$692,E$1)</f>
        <v>0</v>
      </c>
      <c r="F8" s="198">
        <f>SUMIFS('апрель 2023'!$G$4:$G$692,'апрель 2023'!$D$4:$D$692,$B8,'апрель 2023'!$J$4:$J$692,F$1)</f>
        <v>0</v>
      </c>
      <c r="G8" s="198">
        <f>SUMIFS('апрель 2023'!$G$4:$G$692,'апрель 2023'!$D$4:$D$692,$B8,'апрель 2023'!$J$4:$J$692,G$1)</f>
        <v>0</v>
      </c>
      <c r="H8" s="198">
        <f>SUMIFS('апрель 2023'!$G$4:$G$692,'апрель 2023'!$D$4:$D$692,$B8,'апрель 2023'!$J$4:$J$692,H$1)</f>
        <v>0</v>
      </c>
      <c r="I8" s="198">
        <f>SUMIFS('апрель 2023'!$G$4:$G$692,'апрель 2023'!$D$4:$D$692,$B8,'апрель 2023'!$J$4:$J$692,I$1)</f>
        <v>0</v>
      </c>
      <c r="J8" s="198">
        <f>SUMIFS('апрель 2023'!$G$4:$G$692,'апрель 2023'!$D$4:$D$692,$B8,'апрель 2023'!$J$4:$J$692,J$1)</f>
        <v>0</v>
      </c>
      <c r="K8" s="198">
        <f>SUMIFS('апрель 2023'!$G$4:$G$692,'апрель 2023'!$D$4:$D$692,$B8,'апрель 2023'!$J$4:$J$692,K$1)</f>
        <v>0</v>
      </c>
      <c r="L8" s="198">
        <f>SUMIFS('апрель 2023'!$G$4:$G$692,'апрель 2023'!$D$4:$D$692,$B8,'апрель 2023'!$J$4:$J$692,L$1)</f>
        <v>0</v>
      </c>
      <c r="M8" s="198">
        <f>SUMIFS('апрель 2023'!$G$4:$G$692,'апрель 2023'!$D$4:$D$692,$B8,'апрель 2023'!$J$4:$J$692,M$1)</f>
        <v>875</v>
      </c>
      <c r="N8" s="198">
        <f>SUMIFS('апрель 2023'!$G$4:$G$692,'апрель 2023'!$D$4:$D$692,$B8,'апрель 2023'!$J$4:$J$692,N$1)</f>
        <v>875</v>
      </c>
      <c r="O8" s="198">
        <f>SUMIFS('апрель 2023'!$G$4:$G$692,'апрель 2023'!$D$4:$D$692,$B8,'апрель 2023'!$J$4:$J$692,O$1)</f>
        <v>0</v>
      </c>
      <c r="P8" s="198">
        <f>SUMIFS('апрель 2023'!$G$4:$G$692,'апрель 2023'!$D$4:$D$692,$B8,'апрель 2023'!$J$4:$J$692,P$1)</f>
        <v>0</v>
      </c>
      <c r="Q8" s="198">
        <f>SUMIFS('апрель 2023'!$G$4:$G$692,'апрель 2023'!$D$4:$D$692,$B8,'апрель 2023'!$J$4:$J$692,Q$1)</f>
        <v>1750</v>
      </c>
      <c r="R8" s="198">
        <f>SUMIFS('апрель 2023'!$G$4:$G$692,'апрель 2023'!$D$4:$D$692,$B8,'апрель 2023'!$J$4:$J$692,R$1)</f>
        <v>0</v>
      </c>
      <c r="S8" s="198">
        <f>SUMIFS('апрель 2023'!$G$4:$G$692,'апрель 2023'!$D$4:$D$692,$B8,'апрель 2023'!$J$4:$J$692,S$1)</f>
        <v>0</v>
      </c>
      <c r="T8" s="198">
        <f>SUMIFS('апрель 2023'!$G$4:$G$692,'апрель 2023'!$D$4:$D$692,$B8,'апрель 2023'!$J$4:$J$692,T$1)</f>
        <v>0</v>
      </c>
      <c r="U8" s="198">
        <f>SUMIFS('апрель 2023'!$G$4:$G$692,'апрель 2023'!$D$4:$D$692,$B8,'апрель 2023'!$J$4:$J$692,U$1)</f>
        <v>0</v>
      </c>
      <c r="V8" s="198">
        <f>SUMIFS('апрель 2023'!$G$4:$G$692,'апрель 2023'!$D$4:$D$692,$B8,'апрель 2023'!$J$4:$J$692,V$1)</f>
        <v>875</v>
      </c>
      <c r="W8" s="198">
        <f>SUMIFS('апрель 2023'!$G$4:$G$692,'апрель 2023'!$D$4:$D$692,$B8,'апрель 2023'!$J$4:$J$692,W$1)</f>
        <v>0</v>
      </c>
      <c r="X8" s="198">
        <f>SUMIFS('апрель 2023'!$G$4:$G$692,'апрель 2023'!$D$4:$D$692,$B8,'апрель 2023'!$J$4:$J$692,X$1)</f>
        <v>0</v>
      </c>
      <c r="Y8" s="198">
        <f>SUMIFS('апрель 2023'!$G$4:$G$692,'апрель 2023'!$D$4:$D$692,$B8,'апрель 2023'!$J$4:$J$692,Y$1)</f>
        <v>0</v>
      </c>
      <c r="Z8" s="198">
        <f>SUMIFS('апрель 2023'!$G$4:$G$692,'апрель 2023'!$D$4:$D$692,$B8,'апрель 2023'!$J$4:$J$692,Z$1)</f>
        <v>0</v>
      </c>
      <c r="AA8" s="198">
        <f>SUMIFS('апрель 2023'!$G$4:$G$692,'апрель 2023'!$D$4:$D$692,$B8,'апрель 2023'!$J$4:$J$692,AA$1)</f>
        <v>0</v>
      </c>
      <c r="AB8" s="198">
        <f>SUMIFS('апрель 2023'!$G$4:$G$692,'апрель 2023'!$D$4:$D$692,$B8,'апрель 2023'!$J$4:$J$692,AB$1)</f>
        <v>0</v>
      </c>
      <c r="AC8" s="198">
        <f>SUMIFS('апрель 2023'!$G$4:$G$692,'апрель 2023'!$D$4:$D$692,$B8,'апрель 2023'!$J$4:$J$692,AC$1)</f>
        <v>0</v>
      </c>
      <c r="AD8" s="198">
        <f>SUMIFS('апрель 2023'!$G$4:$G$692,'апрель 2023'!$D$4:$D$692,$B8,'апрель 2023'!$J$4:$J$692,AD$1)</f>
        <v>0</v>
      </c>
      <c r="AE8" s="198">
        <f>SUMIFS('апрель 2023'!$G$4:$G$692,'апрель 2023'!$D$4:$D$692,$B8,'апрель 2023'!$J$4:$J$692,AE$1)</f>
        <v>0</v>
      </c>
      <c r="AF8" s="198">
        <f>SUMIFS('апрель 2023'!$G$4:$G$692,'апрель 2023'!$D$4:$D$692,$B8,'апрель 2023'!$J$4:$J$692,AF$1)</f>
        <v>0</v>
      </c>
      <c r="AG8" s="198">
        <f>SUMIFS('апрель 2023'!$G$4:$G$692,'апрель 2023'!$D$4:$D$692,$B8,'апрель 2023'!$J$4:$J$692,AG$1)</f>
        <v>0</v>
      </c>
      <c r="AH8" s="198">
        <f>SUMIFS('апрель 2023'!$G$4:$G$692,'апрель 2023'!$D$4:$D$692,$B8,'апрель 2023'!$J$4:$J$692,AH$1)</f>
        <v>0</v>
      </c>
      <c r="AI8" s="170">
        <f t="shared" si="1"/>
        <v>4375</v>
      </c>
    </row>
    <row r="9" spans="2:35" ht="15" customHeight="1" x14ac:dyDescent="0.25">
      <c r="B9" s="199" t="s">
        <v>2053</v>
      </c>
      <c r="C9" s="200">
        <v>25</v>
      </c>
      <c r="D9" s="198">
        <f>SUMIFS('апрель 2023'!$G$4:$G$692,'апрель 2023'!$D$4:$D$692,$B9,'апрель 2023'!$J$4:$J$692,D$1)</f>
        <v>0</v>
      </c>
      <c r="E9" s="198">
        <f>SUMIFS('апрель 2023'!$G$4:$G$692,'апрель 2023'!$D$4:$D$692,$B9,'апрель 2023'!$J$4:$J$692,E$1)</f>
        <v>0</v>
      </c>
      <c r="F9" s="198">
        <f>SUMIFS('апрель 2023'!$G$4:$G$692,'апрель 2023'!$D$4:$D$692,$B9,'апрель 2023'!$J$4:$J$692,F$1)</f>
        <v>0</v>
      </c>
      <c r="G9" s="198">
        <f>SUMIFS('апрель 2023'!$G$4:$G$692,'апрель 2023'!$D$4:$D$692,$B9,'апрель 2023'!$J$4:$J$692,G$1)</f>
        <v>0</v>
      </c>
      <c r="H9" s="198">
        <f>SUMIFS('апрель 2023'!$G$4:$G$692,'апрель 2023'!$D$4:$D$692,$B9,'апрель 2023'!$J$4:$J$692,H$1)</f>
        <v>0</v>
      </c>
      <c r="I9" s="198">
        <f>SUMIFS('апрель 2023'!$G$4:$G$692,'апрель 2023'!$D$4:$D$692,$B9,'апрель 2023'!$J$4:$J$692,I$1)</f>
        <v>0</v>
      </c>
      <c r="J9" s="198">
        <f>SUMIFS('апрель 2023'!$G$4:$G$692,'апрель 2023'!$D$4:$D$692,$B9,'апрель 2023'!$J$4:$J$692,J$1)</f>
        <v>0</v>
      </c>
      <c r="K9" s="198">
        <f>SUMIFS('апрель 2023'!$G$4:$G$692,'апрель 2023'!$D$4:$D$692,$B9,'апрель 2023'!$J$4:$J$692,K$1)</f>
        <v>0</v>
      </c>
      <c r="L9" s="198">
        <f>SUMIFS('апрель 2023'!$G$4:$G$692,'апрель 2023'!$D$4:$D$692,$B9,'апрель 2023'!$J$4:$J$692,L$1)</f>
        <v>0</v>
      </c>
      <c r="M9" s="198">
        <f>SUMIFS('апрель 2023'!$G$4:$G$692,'апрель 2023'!$D$4:$D$692,$B9,'апрель 2023'!$J$4:$J$692,M$1)</f>
        <v>0</v>
      </c>
      <c r="N9" s="198">
        <f>SUMIFS('апрель 2023'!$G$4:$G$692,'апрель 2023'!$D$4:$D$692,$B9,'апрель 2023'!$J$4:$J$692,N$1)</f>
        <v>0</v>
      </c>
      <c r="O9" s="198">
        <f>SUMIFS('апрель 2023'!$G$4:$G$692,'апрель 2023'!$D$4:$D$692,$B9,'апрель 2023'!$J$4:$J$692,O$1)</f>
        <v>0</v>
      </c>
      <c r="P9" s="198">
        <f>SUMIFS('апрель 2023'!$G$4:$G$692,'апрель 2023'!$D$4:$D$692,$B9,'апрель 2023'!$J$4:$J$692,P$1)</f>
        <v>0</v>
      </c>
      <c r="Q9" s="198">
        <f>SUMIFS('апрель 2023'!$G$4:$G$692,'апрель 2023'!$D$4:$D$692,$B9,'апрель 2023'!$J$4:$J$692,Q$1)</f>
        <v>0</v>
      </c>
      <c r="R9" s="198">
        <f>SUMIFS('апрель 2023'!$G$4:$G$692,'апрель 2023'!$D$4:$D$692,$B9,'апрель 2023'!$J$4:$J$692,R$1)</f>
        <v>0</v>
      </c>
      <c r="S9" s="198">
        <f>SUMIFS('апрель 2023'!$G$4:$G$692,'апрель 2023'!$D$4:$D$692,$B9,'апрель 2023'!$J$4:$J$692,S$1)</f>
        <v>0</v>
      </c>
      <c r="T9" s="198">
        <f>SUMIFS('апрель 2023'!$G$4:$G$692,'апрель 2023'!$D$4:$D$692,$B9,'апрель 2023'!$J$4:$J$692,T$1)</f>
        <v>0</v>
      </c>
      <c r="U9" s="198">
        <f>SUMIFS('апрель 2023'!$G$4:$G$692,'апрель 2023'!$D$4:$D$692,$B9,'апрель 2023'!$J$4:$J$692,U$1)</f>
        <v>0</v>
      </c>
      <c r="V9" s="198">
        <f>SUMIFS('апрель 2023'!$G$4:$G$692,'апрель 2023'!$D$4:$D$692,$B9,'апрель 2023'!$J$4:$J$692,V$1)</f>
        <v>0</v>
      </c>
      <c r="W9" s="198">
        <f>SUMIFS('апрель 2023'!$G$4:$G$692,'апрель 2023'!$D$4:$D$692,$B9,'апрель 2023'!$J$4:$J$692,W$1)</f>
        <v>0</v>
      </c>
      <c r="X9" s="198">
        <f>SUMIFS('апрель 2023'!$G$4:$G$692,'апрель 2023'!$D$4:$D$692,$B9,'апрель 2023'!$J$4:$J$692,X$1)</f>
        <v>0</v>
      </c>
      <c r="Y9" s="198">
        <f>SUMIFS('апрель 2023'!$G$4:$G$692,'апрель 2023'!$D$4:$D$692,$B9,'апрель 2023'!$J$4:$J$692,Y$1)</f>
        <v>0</v>
      </c>
      <c r="Z9" s="198">
        <f>SUMIFS('апрель 2023'!$G$4:$G$692,'апрель 2023'!$D$4:$D$692,$B9,'апрель 2023'!$J$4:$J$692,Z$1)</f>
        <v>0</v>
      </c>
      <c r="AA9" s="198">
        <f>SUMIFS('апрель 2023'!$G$4:$G$692,'апрель 2023'!$D$4:$D$692,$B9,'апрель 2023'!$J$4:$J$692,AA$1)</f>
        <v>0</v>
      </c>
      <c r="AB9" s="198">
        <f>SUMIFS('апрель 2023'!$G$4:$G$692,'апрель 2023'!$D$4:$D$692,$B9,'апрель 2023'!$J$4:$J$692,AB$1)</f>
        <v>0</v>
      </c>
      <c r="AC9" s="198">
        <f>SUMIFS('апрель 2023'!$G$4:$G$692,'апрель 2023'!$D$4:$D$692,$B9,'апрель 2023'!$J$4:$J$692,AC$1)</f>
        <v>0</v>
      </c>
      <c r="AD9" s="198">
        <f>SUMIFS('апрель 2023'!$G$4:$G$692,'апрель 2023'!$D$4:$D$692,$B9,'апрель 2023'!$J$4:$J$692,AD$1)</f>
        <v>0</v>
      </c>
      <c r="AE9" s="198">
        <f>SUMIFS('апрель 2023'!$G$4:$G$692,'апрель 2023'!$D$4:$D$692,$B9,'апрель 2023'!$J$4:$J$692,AE$1)</f>
        <v>0</v>
      </c>
      <c r="AF9" s="198">
        <f>SUMIFS('апрель 2023'!$G$4:$G$692,'апрель 2023'!$D$4:$D$692,$B9,'апрель 2023'!$J$4:$J$692,AF$1)</f>
        <v>0</v>
      </c>
      <c r="AG9" s="198">
        <f>SUMIFS('апрель 2023'!$G$4:$G$692,'апрель 2023'!$D$4:$D$692,$B9,'апрель 2023'!$J$4:$J$692,AG$1)</f>
        <v>0</v>
      </c>
      <c r="AH9" s="198">
        <f>SUMIFS('апрель 2023'!$G$4:$G$692,'апрель 2023'!$D$4:$D$692,$B9,'апрель 2023'!$J$4:$J$692,AH$1)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SUMIFS('апрель 2023'!$G$4:$G$692,'апрель 2023'!$D$4:$D$692,$B10,'апрель 2023'!$J$4:$J$692,D$1)</f>
        <v>0</v>
      </c>
      <c r="E10" s="198">
        <f>SUMIFS('апрель 2023'!$G$4:$G$692,'апрель 2023'!$D$4:$D$692,$B10,'апрель 2023'!$J$4:$J$692,E$1)</f>
        <v>0</v>
      </c>
      <c r="F10" s="198">
        <f>SUMIFS('апрель 2023'!$G$4:$G$692,'апрель 2023'!$D$4:$D$692,$B10,'апрель 2023'!$J$4:$J$692,F$1)</f>
        <v>0</v>
      </c>
      <c r="G10" s="198">
        <f>SUMIFS('апрель 2023'!$G$4:$G$692,'апрель 2023'!$D$4:$D$692,$B10,'апрель 2023'!$J$4:$J$692,G$1)</f>
        <v>0</v>
      </c>
      <c r="H10" s="198">
        <f>SUMIFS('апрель 2023'!$G$4:$G$692,'апрель 2023'!$D$4:$D$692,$B10,'апрель 2023'!$J$4:$J$692,H$1)</f>
        <v>0</v>
      </c>
      <c r="I10" s="198">
        <f>SUMIFS('апрель 2023'!$G$4:$G$692,'апрель 2023'!$D$4:$D$692,$B10,'апрель 2023'!$J$4:$J$692,I$1)</f>
        <v>0</v>
      </c>
      <c r="J10" s="198">
        <f>SUMIFS('апрель 2023'!$G$4:$G$692,'апрель 2023'!$D$4:$D$692,$B10,'апрель 2023'!$J$4:$J$692,J$1)</f>
        <v>0</v>
      </c>
      <c r="K10" s="198">
        <f>SUMIFS('апрель 2023'!$G$4:$G$692,'апрель 2023'!$D$4:$D$692,$B10,'апрель 2023'!$J$4:$J$692,K$1)</f>
        <v>0</v>
      </c>
      <c r="L10" s="198">
        <f>SUMIFS('апрель 2023'!$G$4:$G$692,'апрель 2023'!$D$4:$D$692,$B10,'апрель 2023'!$J$4:$J$692,L$1)</f>
        <v>0</v>
      </c>
      <c r="M10" s="198">
        <f>SUMIFS('апрель 2023'!$G$4:$G$692,'апрель 2023'!$D$4:$D$692,$B10,'апрель 2023'!$J$4:$J$692,M$1)</f>
        <v>0</v>
      </c>
      <c r="N10" s="198">
        <f>SUMIFS('апрель 2023'!$G$4:$G$692,'апрель 2023'!$D$4:$D$692,$B10,'апрель 2023'!$J$4:$J$692,N$1)</f>
        <v>0</v>
      </c>
      <c r="O10" s="198">
        <f>SUMIFS('апрель 2023'!$G$4:$G$692,'апрель 2023'!$D$4:$D$692,$B10,'апрель 2023'!$J$4:$J$692,O$1)</f>
        <v>0</v>
      </c>
      <c r="P10" s="198">
        <f>SUMIFS('апрель 2023'!$G$4:$G$692,'апрель 2023'!$D$4:$D$692,$B10,'апрель 2023'!$J$4:$J$692,P$1)</f>
        <v>0</v>
      </c>
      <c r="Q10" s="198">
        <f>SUMIFS('апрель 2023'!$G$4:$G$692,'апрель 2023'!$D$4:$D$692,$B10,'апрель 2023'!$J$4:$J$692,Q$1)</f>
        <v>0</v>
      </c>
      <c r="R10" s="198">
        <f>SUMIFS('апрель 2023'!$G$4:$G$692,'апрель 2023'!$D$4:$D$692,$B10,'апрель 2023'!$J$4:$J$692,R$1)</f>
        <v>0</v>
      </c>
      <c r="S10" s="198">
        <f>SUMIFS('апрель 2023'!$G$4:$G$692,'апрель 2023'!$D$4:$D$692,$B10,'апрель 2023'!$J$4:$J$692,S$1)</f>
        <v>0</v>
      </c>
      <c r="T10" s="198">
        <f>SUMIFS('апрель 2023'!$G$4:$G$692,'апрель 2023'!$D$4:$D$692,$B10,'апрель 2023'!$J$4:$J$692,T$1)</f>
        <v>0</v>
      </c>
      <c r="U10" s="198">
        <f>SUMIFS('апрель 2023'!$G$4:$G$692,'апрель 2023'!$D$4:$D$692,$B10,'апрель 2023'!$J$4:$J$692,U$1)</f>
        <v>0</v>
      </c>
      <c r="V10" s="198">
        <f>SUMIFS('апрель 2023'!$G$4:$G$692,'апрель 2023'!$D$4:$D$692,$B10,'апрель 2023'!$J$4:$J$692,V$1)</f>
        <v>0</v>
      </c>
      <c r="W10" s="198">
        <f>SUMIFS('апрель 2023'!$G$4:$G$692,'апрель 2023'!$D$4:$D$692,$B10,'апрель 2023'!$J$4:$J$692,W$1)</f>
        <v>0</v>
      </c>
      <c r="X10" s="198">
        <f>SUMIFS('апрель 2023'!$G$4:$G$692,'апрель 2023'!$D$4:$D$692,$B10,'апрель 2023'!$J$4:$J$692,X$1)</f>
        <v>0</v>
      </c>
      <c r="Y10" s="198">
        <f>SUMIFS('апрель 2023'!$G$4:$G$692,'апрель 2023'!$D$4:$D$692,$B10,'апрель 2023'!$J$4:$J$692,Y$1)</f>
        <v>0</v>
      </c>
      <c r="Z10" s="198">
        <f>SUMIFS('апрель 2023'!$G$4:$G$692,'апрель 2023'!$D$4:$D$692,$B10,'апрель 2023'!$J$4:$J$692,Z$1)</f>
        <v>0</v>
      </c>
      <c r="AA10" s="198">
        <f>SUMIFS('апрель 2023'!$G$4:$G$692,'апрель 2023'!$D$4:$D$692,$B10,'апрель 2023'!$J$4:$J$692,AA$1)</f>
        <v>0</v>
      </c>
      <c r="AB10" s="198">
        <f>SUMIFS('апрель 2023'!$G$4:$G$692,'апрель 2023'!$D$4:$D$692,$B10,'апрель 2023'!$J$4:$J$692,AB$1)</f>
        <v>0</v>
      </c>
      <c r="AC10" s="198">
        <f>SUMIFS('апрель 2023'!$G$4:$G$692,'апрель 2023'!$D$4:$D$692,$B10,'апрель 2023'!$J$4:$J$692,AC$1)</f>
        <v>0</v>
      </c>
      <c r="AD10" s="198">
        <f>SUMIFS('апрель 2023'!$G$4:$G$692,'апрель 2023'!$D$4:$D$692,$B10,'апрель 2023'!$J$4:$J$692,AD$1)</f>
        <v>0</v>
      </c>
      <c r="AE10" s="198">
        <f>SUMIFS('апрель 2023'!$G$4:$G$692,'апрель 2023'!$D$4:$D$692,$B10,'апрель 2023'!$J$4:$J$692,AE$1)</f>
        <v>0</v>
      </c>
      <c r="AF10" s="198">
        <f>SUMIFS('апрель 2023'!$G$4:$G$692,'апрель 2023'!$D$4:$D$692,$B10,'апрель 2023'!$J$4:$J$692,AF$1)</f>
        <v>0</v>
      </c>
      <c r="AG10" s="198">
        <f>SUMIFS('апрель 2023'!$G$4:$G$692,'апрель 2023'!$D$4:$D$692,$B10,'апрель 2023'!$J$4:$J$692,AG$1)</f>
        <v>0</v>
      </c>
      <c r="AH10" s="198">
        <f>SUMIFS('апрель 2023'!$G$4:$G$692,'апрель 2023'!$D$4:$D$692,$B10,'апрель 2023'!$J$4:$J$692,AH$1)</f>
        <v>0</v>
      </c>
      <c r="AI10" s="170">
        <f t="shared" si="1"/>
        <v>0</v>
      </c>
    </row>
    <row r="11" spans="2:35" ht="15" customHeight="1" x14ac:dyDescent="0.25">
      <c r="B11" s="202" t="s">
        <v>1880</v>
      </c>
      <c r="C11" s="203">
        <v>22.7</v>
      </c>
      <c r="D11" s="198">
        <f>SUMIFS('апрель 2023'!$G$4:$G$692,'апрель 2023'!$D$4:$D$692,$B11,'апрель 2023'!$J$4:$J$692,D$1)</f>
        <v>0</v>
      </c>
      <c r="E11" s="198">
        <f>SUMIFS('апрель 2023'!$G$4:$G$692,'апрель 2023'!$D$4:$D$692,$B11,'апрель 2023'!$J$4:$J$692,E$1)</f>
        <v>0</v>
      </c>
      <c r="F11" s="198">
        <f>SUMIFS('апрель 2023'!$G$4:$G$692,'апрель 2023'!$D$4:$D$692,$B11,'апрель 2023'!$J$4:$J$692,F$1)</f>
        <v>0</v>
      </c>
      <c r="G11" s="198">
        <f>SUMIFS('апрель 2023'!$G$4:$G$692,'апрель 2023'!$D$4:$D$692,$B11,'апрель 2023'!$J$4:$J$692,G$1)</f>
        <v>0</v>
      </c>
      <c r="H11" s="198">
        <f>SUMIFS('апрель 2023'!$G$4:$G$692,'апрель 2023'!$D$4:$D$692,$B11,'апрель 2023'!$J$4:$J$692,H$1)</f>
        <v>0</v>
      </c>
      <c r="I11" s="198">
        <f>SUMIFS('апрель 2023'!$G$4:$G$692,'апрель 2023'!$D$4:$D$692,$B11,'апрель 2023'!$J$4:$J$692,I$1)</f>
        <v>0</v>
      </c>
      <c r="J11" s="198">
        <f>SUMIFS('апрель 2023'!$G$4:$G$692,'апрель 2023'!$D$4:$D$692,$B11,'апрель 2023'!$J$4:$J$692,J$1)</f>
        <v>0</v>
      </c>
      <c r="K11" s="198">
        <f>SUMIFS('апрель 2023'!$G$4:$G$692,'апрель 2023'!$D$4:$D$692,$B11,'апрель 2023'!$J$4:$J$692,K$1)</f>
        <v>0</v>
      </c>
      <c r="L11" s="198">
        <f>SUMIFS('апрель 2023'!$G$4:$G$692,'апрель 2023'!$D$4:$D$692,$B11,'апрель 2023'!$J$4:$J$692,L$1)</f>
        <v>0</v>
      </c>
      <c r="M11" s="198">
        <f>SUMIFS('апрель 2023'!$G$4:$G$692,'апрель 2023'!$D$4:$D$692,$B11,'апрель 2023'!$J$4:$J$692,M$1)</f>
        <v>0</v>
      </c>
      <c r="N11" s="198">
        <f>SUMIFS('апрель 2023'!$G$4:$G$692,'апрель 2023'!$D$4:$D$692,$B11,'апрель 2023'!$J$4:$J$692,N$1)</f>
        <v>0</v>
      </c>
      <c r="O11" s="198">
        <f>SUMIFS('апрель 2023'!$G$4:$G$692,'апрель 2023'!$D$4:$D$692,$B11,'апрель 2023'!$J$4:$J$692,O$1)</f>
        <v>0</v>
      </c>
      <c r="P11" s="198">
        <f>SUMIFS('апрель 2023'!$G$4:$G$692,'апрель 2023'!$D$4:$D$692,$B11,'апрель 2023'!$J$4:$J$692,P$1)</f>
        <v>0</v>
      </c>
      <c r="Q11" s="198">
        <f>SUMIFS('апрель 2023'!$G$4:$G$692,'апрель 2023'!$D$4:$D$692,$B11,'апрель 2023'!$J$4:$J$692,Q$1)</f>
        <v>0</v>
      </c>
      <c r="R11" s="198">
        <f>SUMIFS('апрель 2023'!$G$4:$G$692,'апрель 2023'!$D$4:$D$692,$B11,'апрель 2023'!$J$4:$J$692,R$1)</f>
        <v>0</v>
      </c>
      <c r="S11" s="198">
        <f>SUMIFS('апрель 2023'!$G$4:$G$692,'апрель 2023'!$D$4:$D$692,$B11,'апрель 2023'!$J$4:$J$692,S$1)</f>
        <v>0</v>
      </c>
      <c r="T11" s="198">
        <f>SUMIFS('апрель 2023'!$G$4:$G$692,'апрель 2023'!$D$4:$D$692,$B11,'апрель 2023'!$J$4:$J$692,T$1)</f>
        <v>0</v>
      </c>
      <c r="U11" s="198">
        <f>SUMIFS('апрель 2023'!$G$4:$G$692,'апрель 2023'!$D$4:$D$692,$B11,'апрель 2023'!$J$4:$J$692,U$1)</f>
        <v>0</v>
      </c>
      <c r="V11" s="198">
        <f>SUMIFS('апрель 2023'!$G$4:$G$692,'апрель 2023'!$D$4:$D$692,$B11,'апрель 2023'!$J$4:$J$692,V$1)</f>
        <v>0</v>
      </c>
      <c r="W11" s="198">
        <f>SUMIFS('апрель 2023'!$G$4:$G$692,'апрель 2023'!$D$4:$D$692,$B11,'апрель 2023'!$J$4:$J$692,W$1)</f>
        <v>0</v>
      </c>
      <c r="X11" s="198">
        <f>SUMIFS('апрель 2023'!$G$4:$G$692,'апрель 2023'!$D$4:$D$692,$B11,'апрель 2023'!$J$4:$J$692,X$1)</f>
        <v>0</v>
      </c>
      <c r="Y11" s="198">
        <f>SUMIFS('апрель 2023'!$G$4:$G$692,'апрель 2023'!$D$4:$D$692,$B11,'апрель 2023'!$J$4:$J$692,Y$1)</f>
        <v>0</v>
      </c>
      <c r="Z11" s="198">
        <f>SUMIFS('апрель 2023'!$G$4:$G$692,'апрель 2023'!$D$4:$D$692,$B11,'апрель 2023'!$J$4:$J$692,Z$1)</f>
        <v>0</v>
      </c>
      <c r="AA11" s="198">
        <f>SUMIFS('апрель 2023'!$G$4:$G$692,'апрель 2023'!$D$4:$D$692,$B11,'апрель 2023'!$J$4:$J$692,AA$1)</f>
        <v>0</v>
      </c>
      <c r="AB11" s="198">
        <f>SUMIFS('апрель 2023'!$G$4:$G$692,'апрель 2023'!$D$4:$D$692,$B11,'апрель 2023'!$J$4:$J$692,AB$1)</f>
        <v>0</v>
      </c>
      <c r="AC11" s="198">
        <f>SUMIFS('апрель 2023'!$G$4:$G$692,'апрель 2023'!$D$4:$D$692,$B11,'апрель 2023'!$J$4:$J$692,AC$1)</f>
        <v>0</v>
      </c>
      <c r="AD11" s="198">
        <f>SUMIFS('апрель 2023'!$G$4:$G$692,'апрель 2023'!$D$4:$D$692,$B11,'апрель 2023'!$J$4:$J$692,AD$1)</f>
        <v>0</v>
      </c>
      <c r="AE11" s="198">
        <f>SUMIFS('апрель 2023'!$G$4:$G$692,'апрель 2023'!$D$4:$D$692,$B11,'апрель 2023'!$J$4:$J$692,AE$1)</f>
        <v>0</v>
      </c>
      <c r="AF11" s="198">
        <f>SUMIFS('апрель 2023'!$G$4:$G$692,'апрель 2023'!$D$4:$D$692,$B11,'апрель 2023'!$J$4:$J$692,AF$1)</f>
        <v>0</v>
      </c>
      <c r="AG11" s="198">
        <f>SUMIFS('апрель 2023'!$G$4:$G$692,'апрель 2023'!$D$4:$D$692,$B11,'апрель 2023'!$J$4:$J$692,AG$1)</f>
        <v>0</v>
      </c>
      <c r="AH11" s="198">
        <f>SUMIFS('апрель 2023'!$G$4:$G$692,'апрель 2023'!$D$4:$D$692,$B11,'апрель 2023'!$J$4:$J$692,AH$1)</f>
        <v>0</v>
      </c>
      <c r="AI11" s="170">
        <f t="shared" si="1"/>
        <v>0</v>
      </c>
    </row>
    <row r="12" spans="2:35" ht="15" customHeight="1" x14ac:dyDescent="0.25">
      <c r="B12" s="202" t="s">
        <v>86</v>
      </c>
      <c r="C12" s="203">
        <v>22.7</v>
      </c>
      <c r="D12" s="198">
        <f>SUMIFS('апрель 2023'!$G$4:$G$692,'апрель 2023'!$D$4:$D$692,$B12,'апрель 2023'!$J$4:$J$692,D$1)</f>
        <v>0</v>
      </c>
      <c r="E12" s="198">
        <f>SUMIFS('апрель 2023'!$G$4:$G$692,'апрель 2023'!$D$4:$D$692,$B12,'апрель 2023'!$J$4:$J$692,E$1)</f>
        <v>0</v>
      </c>
      <c r="F12" s="198">
        <f>SUMIFS('апрель 2023'!$G$4:$G$692,'апрель 2023'!$D$4:$D$692,$B12,'апрель 2023'!$J$4:$J$692,F$1)</f>
        <v>800</v>
      </c>
      <c r="G12" s="198">
        <f>SUMIFS('апрель 2023'!$G$4:$G$692,'апрель 2023'!$D$4:$D$692,$B12,'апрель 2023'!$J$4:$J$692,G$1)</f>
        <v>0</v>
      </c>
      <c r="H12" s="198">
        <f>SUMIFS('апрель 2023'!$G$4:$G$692,'апрель 2023'!$D$4:$D$692,$B12,'апрель 2023'!$J$4:$J$692,H$1)</f>
        <v>0</v>
      </c>
      <c r="I12" s="198">
        <f>SUMIFS('апрель 2023'!$G$4:$G$692,'апрель 2023'!$D$4:$D$692,$B12,'апрель 2023'!$J$4:$J$692,I$1)</f>
        <v>0</v>
      </c>
      <c r="J12" s="198">
        <f>SUMIFS('апрель 2023'!$G$4:$G$692,'апрель 2023'!$D$4:$D$692,$B12,'апрель 2023'!$J$4:$J$692,J$1)</f>
        <v>0</v>
      </c>
      <c r="K12" s="198">
        <f>SUMIFS('апрель 2023'!$G$4:$G$692,'апрель 2023'!$D$4:$D$692,$B12,'апрель 2023'!$J$4:$J$692,K$1)</f>
        <v>0</v>
      </c>
      <c r="L12" s="198">
        <f>SUMIFS('апрель 2023'!$G$4:$G$692,'апрель 2023'!$D$4:$D$692,$B12,'апрель 2023'!$J$4:$J$692,L$1)</f>
        <v>0</v>
      </c>
      <c r="M12" s="198">
        <f>SUMIFS('апрель 2023'!$G$4:$G$692,'апрель 2023'!$D$4:$D$692,$B12,'апрель 2023'!$J$4:$J$692,M$1)</f>
        <v>0</v>
      </c>
      <c r="N12" s="198">
        <f>SUMIFS('апрель 2023'!$G$4:$G$692,'апрель 2023'!$D$4:$D$692,$B12,'апрель 2023'!$J$4:$J$692,N$1)</f>
        <v>800</v>
      </c>
      <c r="O12" s="198">
        <f>SUMIFS('апрель 2023'!$G$4:$G$692,'апрель 2023'!$D$4:$D$692,$B12,'апрель 2023'!$J$4:$J$692,O$1)</f>
        <v>0</v>
      </c>
      <c r="P12" s="198">
        <f>SUMIFS('апрель 2023'!$G$4:$G$692,'апрель 2023'!$D$4:$D$692,$B12,'апрель 2023'!$J$4:$J$692,P$1)</f>
        <v>0</v>
      </c>
      <c r="Q12" s="198">
        <f>SUMIFS('апрель 2023'!$G$4:$G$692,'апрель 2023'!$D$4:$D$692,$B12,'апрель 2023'!$J$4:$J$692,Q$1)</f>
        <v>0</v>
      </c>
      <c r="R12" s="198">
        <f>SUMIFS('апрель 2023'!$G$4:$G$692,'апрель 2023'!$D$4:$D$692,$B12,'апрель 2023'!$J$4:$J$692,R$1)</f>
        <v>0</v>
      </c>
      <c r="S12" s="198">
        <f>SUMIFS('апрель 2023'!$G$4:$G$692,'апрель 2023'!$D$4:$D$692,$B12,'апрель 2023'!$J$4:$J$692,S$1)</f>
        <v>0</v>
      </c>
      <c r="T12" s="198">
        <f>SUMIFS('апрель 2023'!$G$4:$G$692,'апрель 2023'!$D$4:$D$692,$B12,'апрель 2023'!$J$4:$J$692,T$1)</f>
        <v>0</v>
      </c>
      <c r="U12" s="198">
        <f>SUMIFS('апрель 2023'!$G$4:$G$692,'апрель 2023'!$D$4:$D$692,$B12,'апрель 2023'!$J$4:$J$692,U$1)</f>
        <v>0</v>
      </c>
      <c r="V12" s="198">
        <f>SUMIFS('апрель 2023'!$G$4:$G$692,'апрель 2023'!$D$4:$D$692,$B12,'апрель 2023'!$J$4:$J$692,V$1)</f>
        <v>0</v>
      </c>
      <c r="W12" s="198">
        <f>SUMIFS('апрель 2023'!$G$4:$G$692,'апрель 2023'!$D$4:$D$692,$B12,'апрель 2023'!$J$4:$J$692,W$1)</f>
        <v>0</v>
      </c>
      <c r="X12" s="198">
        <f>SUMIFS('апрель 2023'!$G$4:$G$692,'апрель 2023'!$D$4:$D$692,$B12,'апрель 2023'!$J$4:$J$692,X$1)</f>
        <v>0</v>
      </c>
      <c r="Y12" s="198">
        <f>SUMIFS('апрель 2023'!$G$4:$G$692,'апрель 2023'!$D$4:$D$692,$B12,'апрель 2023'!$J$4:$J$692,Y$1)</f>
        <v>0</v>
      </c>
      <c r="Z12" s="198">
        <f>SUMIFS('апрель 2023'!$G$4:$G$692,'апрель 2023'!$D$4:$D$692,$B12,'апрель 2023'!$J$4:$J$692,Z$1)</f>
        <v>0</v>
      </c>
      <c r="AA12" s="198">
        <f>SUMIFS('апрель 2023'!$G$4:$G$692,'апрель 2023'!$D$4:$D$692,$B12,'апрель 2023'!$J$4:$J$692,AA$1)</f>
        <v>0</v>
      </c>
      <c r="AB12" s="198">
        <f>SUMIFS('апрель 2023'!$G$4:$G$692,'апрель 2023'!$D$4:$D$692,$B12,'апрель 2023'!$J$4:$J$692,AB$1)</f>
        <v>800</v>
      </c>
      <c r="AC12" s="198">
        <f>SUMIFS('апрель 2023'!$G$4:$G$692,'апрель 2023'!$D$4:$D$692,$B12,'апрель 2023'!$J$4:$J$692,AC$1)</f>
        <v>0</v>
      </c>
      <c r="AD12" s="198">
        <f>SUMIFS('апрель 2023'!$G$4:$G$692,'апрель 2023'!$D$4:$D$692,$B12,'апрель 2023'!$J$4:$J$692,AD$1)</f>
        <v>0</v>
      </c>
      <c r="AE12" s="198">
        <f>SUMIFS('апрель 2023'!$G$4:$G$692,'апрель 2023'!$D$4:$D$692,$B12,'апрель 2023'!$J$4:$J$692,AE$1)</f>
        <v>0</v>
      </c>
      <c r="AF12" s="198">
        <f>SUMIFS('апрель 2023'!$G$4:$G$692,'апрель 2023'!$D$4:$D$692,$B12,'апрель 2023'!$J$4:$J$692,AF$1)</f>
        <v>0</v>
      </c>
      <c r="AG12" s="198">
        <f>SUMIFS('апрель 2023'!$G$4:$G$692,'апрель 2023'!$D$4:$D$692,$B12,'апрель 2023'!$J$4:$J$692,AG$1)</f>
        <v>0</v>
      </c>
      <c r="AH12" s="198">
        <f>SUMIFS('апрель 2023'!$G$4:$G$692,'апрель 2023'!$D$4:$D$692,$B12,'апрель 2023'!$J$4:$J$692,AH$1)</f>
        <v>0</v>
      </c>
      <c r="AI12" s="170">
        <f t="shared" si="1"/>
        <v>2400</v>
      </c>
    </row>
    <row r="13" spans="2:35" ht="15" customHeight="1" x14ac:dyDescent="0.25">
      <c r="B13" s="199" t="s">
        <v>2103</v>
      </c>
      <c r="C13" s="200">
        <v>25</v>
      </c>
      <c r="D13" s="198">
        <f>SUMIFS('апрель 2023'!$G$4:$G$692,'апрель 2023'!$D$4:$D$692,$B13,'апрель 2023'!$J$4:$J$692,D$1)</f>
        <v>0</v>
      </c>
      <c r="E13" s="198">
        <f>SUMIFS('апрель 2023'!$G$4:$G$692,'апрель 2023'!$D$4:$D$692,$B13,'апрель 2023'!$J$4:$J$692,E$1)</f>
        <v>0</v>
      </c>
      <c r="F13" s="198">
        <f>SUMIFS('апрель 2023'!$G$4:$G$692,'апрель 2023'!$D$4:$D$692,$B13,'апрель 2023'!$J$4:$J$692,F$1)</f>
        <v>0</v>
      </c>
      <c r="G13" s="198">
        <f>SUMIFS('апрель 2023'!$G$4:$G$692,'апрель 2023'!$D$4:$D$692,$B13,'апрель 2023'!$J$4:$J$692,G$1)</f>
        <v>0</v>
      </c>
      <c r="H13" s="198">
        <f>SUMIFS('апрель 2023'!$G$4:$G$692,'апрель 2023'!$D$4:$D$692,$B13,'апрель 2023'!$J$4:$J$692,H$1)</f>
        <v>0</v>
      </c>
      <c r="I13" s="198">
        <f>SUMIFS('апрель 2023'!$G$4:$G$692,'апрель 2023'!$D$4:$D$692,$B13,'апрель 2023'!$J$4:$J$692,I$1)</f>
        <v>0</v>
      </c>
      <c r="J13" s="198">
        <f>SUMIFS('апрель 2023'!$G$4:$G$692,'апрель 2023'!$D$4:$D$692,$B13,'апрель 2023'!$J$4:$J$692,J$1)</f>
        <v>0</v>
      </c>
      <c r="K13" s="198">
        <f>SUMIFS('апрель 2023'!$G$4:$G$692,'апрель 2023'!$D$4:$D$692,$B13,'апрель 2023'!$J$4:$J$692,K$1)</f>
        <v>0</v>
      </c>
      <c r="L13" s="198">
        <f>SUMIFS('апрель 2023'!$G$4:$G$692,'апрель 2023'!$D$4:$D$692,$B13,'апрель 2023'!$J$4:$J$692,L$1)</f>
        <v>0</v>
      </c>
      <c r="M13" s="198">
        <f>SUMIFS('апрель 2023'!$G$4:$G$692,'апрель 2023'!$D$4:$D$692,$B13,'апрель 2023'!$J$4:$J$692,M$1)</f>
        <v>0</v>
      </c>
      <c r="N13" s="198">
        <f>SUMIFS('апрель 2023'!$G$4:$G$692,'апрель 2023'!$D$4:$D$692,$B13,'апрель 2023'!$J$4:$J$692,N$1)</f>
        <v>0</v>
      </c>
      <c r="O13" s="198">
        <f>SUMIFS('апрель 2023'!$G$4:$G$692,'апрель 2023'!$D$4:$D$692,$B13,'апрель 2023'!$J$4:$J$692,O$1)</f>
        <v>0</v>
      </c>
      <c r="P13" s="198">
        <f>SUMIFS('апрель 2023'!$G$4:$G$692,'апрель 2023'!$D$4:$D$692,$B13,'апрель 2023'!$J$4:$J$692,P$1)</f>
        <v>0</v>
      </c>
      <c r="Q13" s="198">
        <f>SUMIFS('апрель 2023'!$G$4:$G$692,'апрель 2023'!$D$4:$D$692,$B13,'апрель 2023'!$J$4:$J$692,Q$1)</f>
        <v>0</v>
      </c>
      <c r="R13" s="198">
        <f>SUMIFS('апрель 2023'!$G$4:$G$692,'апрель 2023'!$D$4:$D$692,$B13,'апрель 2023'!$J$4:$J$692,R$1)</f>
        <v>0</v>
      </c>
      <c r="S13" s="198">
        <f>SUMIFS('апрель 2023'!$G$4:$G$692,'апрель 2023'!$D$4:$D$692,$B13,'апрель 2023'!$J$4:$J$692,S$1)</f>
        <v>0</v>
      </c>
      <c r="T13" s="198">
        <f>SUMIFS('апрель 2023'!$G$4:$G$692,'апрель 2023'!$D$4:$D$692,$B13,'апрель 2023'!$J$4:$J$692,T$1)</f>
        <v>0</v>
      </c>
      <c r="U13" s="198">
        <f>SUMIFS('апрель 2023'!$G$4:$G$692,'апрель 2023'!$D$4:$D$692,$B13,'апрель 2023'!$J$4:$J$692,U$1)</f>
        <v>0</v>
      </c>
      <c r="V13" s="198">
        <f>SUMIFS('апрель 2023'!$G$4:$G$692,'апрель 2023'!$D$4:$D$692,$B13,'апрель 2023'!$J$4:$J$692,V$1)</f>
        <v>0</v>
      </c>
      <c r="W13" s="198">
        <f>SUMIFS('апрель 2023'!$G$4:$G$692,'апрель 2023'!$D$4:$D$692,$B13,'апрель 2023'!$J$4:$J$692,W$1)</f>
        <v>0</v>
      </c>
      <c r="X13" s="198">
        <f>SUMIFS('апрель 2023'!$G$4:$G$692,'апрель 2023'!$D$4:$D$692,$B13,'апрель 2023'!$J$4:$J$692,X$1)</f>
        <v>0</v>
      </c>
      <c r="Y13" s="198">
        <f>SUMIFS('апрель 2023'!$G$4:$G$692,'апрель 2023'!$D$4:$D$692,$B13,'апрель 2023'!$J$4:$J$692,Y$1)</f>
        <v>0</v>
      </c>
      <c r="Z13" s="198">
        <f>SUMIFS('апрель 2023'!$G$4:$G$692,'апрель 2023'!$D$4:$D$692,$B13,'апрель 2023'!$J$4:$J$692,Z$1)</f>
        <v>0</v>
      </c>
      <c r="AA13" s="198">
        <f>SUMIFS('апрель 2023'!$G$4:$G$692,'апрель 2023'!$D$4:$D$692,$B13,'апрель 2023'!$J$4:$J$692,AA$1)</f>
        <v>0</v>
      </c>
      <c r="AB13" s="198">
        <f>SUMIFS('апрель 2023'!$G$4:$G$692,'апрель 2023'!$D$4:$D$692,$B13,'апрель 2023'!$J$4:$J$692,AB$1)</f>
        <v>0</v>
      </c>
      <c r="AC13" s="198">
        <f>SUMIFS('апрель 2023'!$G$4:$G$692,'апрель 2023'!$D$4:$D$692,$B13,'апрель 2023'!$J$4:$J$692,AC$1)</f>
        <v>0</v>
      </c>
      <c r="AD13" s="198">
        <f>SUMIFS('апрель 2023'!$G$4:$G$692,'апрель 2023'!$D$4:$D$692,$B13,'апрель 2023'!$J$4:$J$692,AD$1)</f>
        <v>0</v>
      </c>
      <c r="AE13" s="198">
        <f>SUMIFS('апрель 2023'!$G$4:$G$692,'апрель 2023'!$D$4:$D$692,$B13,'апрель 2023'!$J$4:$J$692,AE$1)</f>
        <v>0</v>
      </c>
      <c r="AF13" s="198">
        <f>SUMIFS('апрель 2023'!$G$4:$G$692,'апрель 2023'!$D$4:$D$692,$B13,'апрель 2023'!$J$4:$J$692,AF$1)</f>
        <v>0</v>
      </c>
      <c r="AG13" s="198">
        <f>SUMIFS('апрель 2023'!$G$4:$G$692,'апрель 2023'!$D$4:$D$692,$B13,'апрель 2023'!$J$4:$J$692,AG$1)</f>
        <v>0</v>
      </c>
      <c r="AH13" s="198">
        <f>SUMIFS('апрель 2023'!$G$4:$G$692,'апрель 2023'!$D$4:$D$692,$B13,'апрель 2023'!$J$4:$J$692,AH$1)</f>
        <v>0</v>
      </c>
      <c r="AI13" s="170">
        <f t="shared" si="1"/>
        <v>0</v>
      </c>
    </row>
    <row r="14" spans="2:35" ht="15" customHeight="1" x14ac:dyDescent="0.25">
      <c r="B14" s="202" t="s">
        <v>1985</v>
      </c>
      <c r="C14" s="203">
        <v>25</v>
      </c>
      <c r="D14" s="198">
        <f>SUMIFS('апрель 2023'!$G$4:$G$692,'апрель 2023'!$D$4:$D$692,$B14,'апрель 2023'!$J$4:$J$692,D$1)</f>
        <v>0</v>
      </c>
      <c r="E14" s="198">
        <f>SUMIFS('апрель 2023'!$G$4:$G$692,'апрель 2023'!$D$4:$D$692,$B14,'апрель 2023'!$J$4:$J$692,E$1)</f>
        <v>0</v>
      </c>
      <c r="F14" s="198">
        <f>SUMIFS('апрель 2023'!$G$4:$G$692,'апрель 2023'!$D$4:$D$692,$B14,'апрель 2023'!$J$4:$J$692,F$1)</f>
        <v>0</v>
      </c>
      <c r="G14" s="198">
        <f>SUMIFS('апрель 2023'!$G$4:$G$692,'апрель 2023'!$D$4:$D$692,$B14,'апрель 2023'!$J$4:$J$692,G$1)</f>
        <v>0</v>
      </c>
      <c r="H14" s="198">
        <f>SUMIFS('апрель 2023'!$G$4:$G$692,'апрель 2023'!$D$4:$D$692,$B14,'апрель 2023'!$J$4:$J$692,H$1)</f>
        <v>0</v>
      </c>
      <c r="I14" s="198">
        <f>SUMIFS('апрель 2023'!$G$4:$G$692,'апрель 2023'!$D$4:$D$692,$B14,'апрель 2023'!$J$4:$J$692,I$1)</f>
        <v>0</v>
      </c>
      <c r="J14" s="198">
        <f>SUMIFS('апрель 2023'!$G$4:$G$692,'апрель 2023'!$D$4:$D$692,$B14,'апрель 2023'!$J$4:$J$692,J$1)</f>
        <v>0</v>
      </c>
      <c r="K14" s="198">
        <f>SUMIFS('апрель 2023'!$G$4:$G$692,'апрель 2023'!$D$4:$D$692,$B14,'апрель 2023'!$J$4:$J$692,K$1)</f>
        <v>0</v>
      </c>
      <c r="L14" s="198">
        <f>SUMIFS('апрель 2023'!$G$4:$G$692,'апрель 2023'!$D$4:$D$692,$B14,'апрель 2023'!$J$4:$J$692,L$1)</f>
        <v>0</v>
      </c>
      <c r="M14" s="198">
        <f>SUMIFS('апрель 2023'!$G$4:$G$692,'апрель 2023'!$D$4:$D$692,$B14,'апрель 2023'!$J$4:$J$692,M$1)</f>
        <v>0</v>
      </c>
      <c r="N14" s="198">
        <f>SUMIFS('апрель 2023'!$G$4:$G$692,'апрель 2023'!$D$4:$D$692,$B14,'апрель 2023'!$J$4:$J$692,N$1)</f>
        <v>0</v>
      </c>
      <c r="O14" s="198">
        <f>SUMIFS('апрель 2023'!$G$4:$G$692,'апрель 2023'!$D$4:$D$692,$B14,'апрель 2023'!$J$4:$J$692,O$1)</f>
        <v>0</v>
      </c>
      <c r="P14" s="198">
        <f>SUMIFS('апрель 2023'!$G$4:$G$692,'апрель 2023'!$D$4:$D$692,$B14,'апрель 2023'!$J$4:$J$692,P$1)</f>
        <v>0</v>
      </c>
      <c r="Q14" s="198">
        <f>SUMIFS('апрель 2023'!$G$4:$G$692,'апрель 2023'!$D$4:$D$692,$B14,'апрель 2023'!$J$4:$J$692,Q$1)</f>
        <v>0</v>
      </c>
      <c r="R14" s="198">
        <f>SUMIFS('апрель 2023'!$G$4:$G$692,'апрель 2023'!$D$4:$D$692,$B14,'апрель 2023'!$J$4:$J$692,R$1)</f>
        <v>0</v>
      </c>
      <c r="S14" s="198">
        <f>SUMIFS('апрель 2023'!$G$4:$G$692,'апрель 2023'!$D$4:$D$692,$B14,'апрель 2023'!$J$4:$J$692,S$1)</f>
        <v>0</v>
      </c>
      <c r="T14" s="198">
        <f>SUMIFS('апрель 2023'!$G$4:$G$692,'апрель 2023'!$D$4:$D$692,$B14,'апрель 2023'!$J$4:$J$692,T$1)</f>
        <v>0</v>
      </c>
      <c r="U14" s="198">
        <f>SUMIFS('апрель 2023'!$G$4:$G$692,'апрель 2023'!$D$4:$D$692,$B14,'апрель 2023'!$J$4:$J$692,U$1)</f>
        <v>0</v>
      </c>
      <c r="V14" s="198">
        <f>SUMIFS('апрель 2023'!$G$4:$G$692,'апрель 2023'!$D$4:$D$692,$B14,'апрель 2023'!$J$4:$J$692,V$1)</f>
        <v>0</v>
      </c>
      <c r="W14" s="198">
        <f>SUMIFS('апрель 2023'!$G$4:$G$692,'апрель 2023'!$D$4:$D$692,$B14,'апрель 2023'!$J$4:$J$692,W$1)</f>
        <v>0</v>
      </c>
      <c r="X14" s="198">
        <f>SUMIFS('апрель 2023'!$G$4:$G$692,'апрель 2023'!$D$4:$D$692,$B14,'апрель 2023'!$J$4:$J$692,X$1)</f>
        <v>0</v>
      </c>
      <c r="Y14" s="198">
        <f>SUMIFS('апрель 2023'!$G$4:$G$692,'апрель 2023'!$D$4:$D$692,$B14,'апрель 2023'!$J$4:$J$692,Y$1)</f>
        <v>0</v>
      </c>
      <c r="Z14" s="198">
        <f>SUMIFS('апрель 2023'!$G$4:$G$692,'апрель 2023'!$D$4:$D$692,$B14,'апрель 2023'!$J$4:$J$692,Z$1)</f>
        <v>0</v>
      </c>
      <c r="AA14" s="198">
        <f>SUMIFS('апрель 2023'!$G$4:$G$692,'апрель 2023'!$D$4:$D$692,$B14,'апрель 2023'!$J$4:$J$692,AA$1)</f>
        <v>0</v>
      </c>
      <c r="AB14" s="198">
        <f>SUMIFS('апрель 2023'!$G$4:$G$692,'апрель 2023'!$D$4:$D$692,$B14,'апрель 2023'!$J$4:$J$692,AB$1)</f>
        <v>0</v>
      </c>
      <c r="AC14" s="198">
        <f>SUMIFS('апрель 2023'!$G$4:$G$692,'апрель 2023'!$D$4:$D$692,$B14,'апрель 2023'!$J$4:$J$692,AC$1)</f>
        <v>0</v>
      </c>
      <c r="AD14" s="198">
        <f>SUMIFS('апрель 2023'!$G$4:$G$692,'апрель 2023'!$D$4:$D$692,$B14,'апрель 2023'!$J$4:$J$692,AD$1)</f>
        <v>0</v>
      </c>
      <c r="AE14" s="198">
        <f>SUMIFS('апрель 2023'!$G$4:$G$692,'апрель 2023'!$D$4:$D$692,$B14,'апрель 2023'!$J$4:$J$692,AE$1)</f>
        <v>0</v>
      </c>
      <c r="AF14" s="198">
        <f>SUMIFS('апрель 2023'!$G$4:$G$692,'апрель 2023'!$D$4:$D$692,$B14,'апрель 2023'!$J$4:$J$692,AF$1)</f>
        <v>0</v>
      </c>
      <c r="AG14" s="198">
        <f>SUMIFS('апрель 2023'!$G$4:$G$692,'апрель 2023'!$D$4:$D$692,$B14,'апрель 2023'!$J$4:$J$692,AG$1)</f>
        <v>0</v>
      </c>
      <c r="AH14" s="198">
        <f>SUMIFS('апрель 2023'!$G$4:$G$692,'апрель 2023'!$D$4:$D$692,$B14,'апрель 2023'!$J$4:$J$692,AH$1)</f>
        <v>0</v>
      </c>
      <c r="AI14" s="170">
        <f t="shared" si="1"/>
        <v>0</v>
      </c>
    </row>
    <row r="15" spans="2:35" ht="15" customHeight="1" x14ac:dyDescent="0.25">
      <c r="B15" s="202" t="s">
        <v>2104</v>
      </c>
      <c r="C15" s="203">
        <v>25</v>
      </c>
      <c r="D15" s="198">
        <f>SUMIFS('апрель 2023'!$G$4:$G$692,'апрель 2023'!$D$4:$D$692,$B15,'апрель 2023'!$J$4:$J$692,D$1)</f>
        <v>0</v>
      </c>
      <c r="E15" s="198">
        <f>SUMIFS('апрель 2023'!$G$4:$G$692,'апрель 2023'!$D$4:$D$692,$B15,'апрель 2023'!$J$4:$J$692,E$1)</f>
        <v>0</v>
      </c>
      <c r="F15" s="198">
        <f>SUMIFS('апрель 2023'!$G$4:$G$692,'апрель 2023'!$D$4:$D$692,$B15,'апрель 2023'!$J$4:$J$692,F$1)</f>
        <v>0</v>
      </c>
      <c r="G15" s="198">
        <f>SUMIFS('апрель 2023'!$G$4:$G$692,'апрель 2023'!$D$4:$D$692,$B15,'апрель 2023'!$J$4:$J$692,G$1)</f>
        <v>0</v>
      </c>
      <c r="H15" s="198">
        <f>SUMIFS('апрель 2023'!$G$4:$G$692,'апрель 2023'!$D$4:$D$692,$B15,'апрель 2023'!$J$4:$J$692,H$1)</f>
        <v>0</v>
      </c>
      <c r="I15" s="198">
        <f>SUMIFS('апрель 2023'!$G$4:$G$692,'апрель 2023'!$D$4:$D$692,$B15,'апрель 2023'!$J$4:$J$692,I$1)</f>
        <v>0</v>
      </c>
      <c r="J15" s="198">
        <f>SUMIFS('апрель 2023'!$G$4:$G$692,'апрель 2023'!$D$4:$D$692,$B15,'апрель 2023'!$J$4:$J$692,J$1)</f>
        <v>0</v>
      </c>
      <c r="K15" s="198">
        <f>SUMIFS('апрель 2023'!$G$4:$G$692,'апрель 2023'!$D$4:$D$692,$B15,'апрель 2023'!$J$4:$J$692,K$1)</f>
        <v>0</v>
      </c>
      <c r="L15" s="198">
        <f>SUMIFS('апрель 2023'!$G$4:$G$692,'апрель 2023'!$D$4:$D$692,$B15,'апрель 2023'!$J$4:$J$692,L$1)</f>
        <v>0</v>
      </c>
      <c r="M15" s="198">
        <f>SUMIFS('апрель 2023'!$G$4:$G$692,'апрель 2023'!$D$4:$D$692,$B15,'апрель 2023'!$J$4:$J$692,M$1)</f>
        <v>0</v>
      </c>
      <c r="N15" s="198">
        <f>SUMIFS('апрель 2023'!$G$4:$G$692,'апрель 2023'!$D$4:$D$692,$B15,'апрель 2023'!$J$4:$J$692,N$1)</f>
        <v>0</v>
      </c>
      <c r="O15" s="198">
        <f>SUMIFS('апрель 2023'!$G$4:$G$692,'апрель 2023'!$D$4:$D$692,$B15,'апрель 2023'!$J$4:$J$692,O$1)</f>
        <v>0</v>
      </c>
      <c r="P15" s="198">
        <f>SUMIFS('апрель 2023'!$G$4:$G$692,'апрель 2023'!$D$4:$D$692,$B15,'апрель 2023'!$J$4:$J$692,P$1)</f>
        <v>0</v>
      </c>
      <c r="Q15" s="198">
        <f>SUMIFS('апрель 2023'!$G$4:$G$692,'апрель 2023'!$D$4:$D$692,$B15,'апрель 2023'!$J$4:$J$692,Q$1)</f>
        <v>0</v>
      </c>
      <c r="R15" s="198">
        <f>SUMIFS('апрель 2023'!$G$4:$G$692,'апрель 2023'!$D$4:$D$692,$B15,'апрель 2023'!$J$4:$J$692,R$1)</f>
        <v>0</v>
      </c>
      <c r="S15" s="198">
        <f>SUMIFS('апрель 2023'!$G$4:$G$692,'апрель 2023'!$D$4:$D$692,$B15,'апрель 2023'!$J$4:$J$692,S$1)</f>
        <v>0</v>
      </c>
      <c r="T15" s="198">
        <f>SUMIFS('апрель 2023'!$G$4:$G$692,'апрель 2023'!$D$4:$D$692,$B15,'апрель 2023'!$J$4:$J$692,T$1)</f>
        <v>0</v>
      </c>
      <c r="U15" s="198">
        <f>SUMIFS('апрель 2023'!$G$4:$G$692,'апрель 2023'!$D$4:$D$692,$B15,'апрель 2023'!$J$4:$J$692,U$1)</f>
        <v>0</v>
      </c>
      <c r="V15" s="198">
        <f>SUMIFS('апрель 2023'!$G$4:$G$692,'апрель 2023'!$D$4:$D$692,$B15,'апрель 2023'!$J$4:$J$692,V$1)</f>
        <v>0</v>
      </c>
      <c r="W15" s="198">
        <f>SUMIFS('апрель 2023'!$G$4:$G$692,'апрель 2023'!$D$4:$D$692,$B15,'апрель 2023'!$J$4:$J$692,W$1)</f>
        <v>0</v>
      </c>
      <c r="X15" s="198">
        <f>SUMIFS('апрель 2023'!$G$4:$G$692,'апрель 2023'!$D$4:$D$692,$B15,'апрель 2023'!$J$4:$J$692,X$1)</f>
        <v>0</v>
      </c>
      <c r="Y15" s="198">
        <f>SUMIFS('апрель 2023'!$G$4:$G$692,'апрель 2023'!$D$4:$D$692,$B15,'апрель 2023'!$J$4:$J$692,Y$1)</f>
        <v>0</v>
      </c>
      <c r="Z15" s="198">
        <f>SUMIFS('апрель 2023'!$G$4:$G$692,'апрель 2023'!$D$4:$D$692,$B15,'апрель 2023'!$J$4:$J$692,Z$1)</f>
        <v>0</v>
      </c>
      <c r="AA15" s="198">
        <f>SUMIFS('апрель 2023'!$G$4:$G$692,'апрель 2023'!$D$4:$D$692,$B15,'апрель 2023'!$J$4:$J$692,AA$1)</f>
        <v>0</v>
      </c>
      <c r="AB15" s="198">
        <f>SUMIFS('апрель 2023'!$G$4:$G$692,'апрель 2023'!$D$4:$D$692,$B15,'апрель 2023'!$J$4:$J$692,AB$1)</f>
        <v>0</v>
      </c>
      <c r="AC15" s="198">
        <f>SUMIFS('апрель 2023'!$G$4:$G$692,'апрель 2023'!$D$4:$D$692,$B15,'апрель 2023'!$J$4:$J$692,AC$1)</f>
        <v>0</v>
      </c>
      <c r="AD15" s="198">
        <f>SUMIFS('апрель 2023'!$G$4:$G$692,'апрель 2023'!$D$4:$D$692,$B15,'апрель 2023'!$J$4:$J$692,AD$1)</f>
        <v>0</v>
      </c>
      <c r="AE15" s="198">
        <f>SUMIFS('апрель 2023'!$G$4:$G$692,'апрель 2023'!$D$4:$D$692,$B15,'апрель 2023'!$J$4:$J$692,AE$1)</f>
        <v>0</v>
      </c>
      <c r="AF15" s="198">
        <f>SUMIFS('апрель 2023'!$G$4:$G$692,'апрель 2023'!$D$4:$D$692,$B15,'апрель 2023'!$J$4:$J$692,AF$1)</f>
        <v>0</v>
      </c>
      <c r="AG15" s="198">
        <f>SUMIFS('апрель 2023'!$G$4:$G$692,'апрель 2023'!$D$4:$D$692,$B15,'апрель 2023'!$J$4:$J$692,AG$1)</f>
        <v>0</v>
      </c>
      <c r="AH15" s="198">
        <f>SUMIFS('апрель 2023'!$G$4:$G$692,'апрель 2023'!$D$4:$D$692,$B15,'апрель 2023'!$J$4:$J$692,AH$1)</f>
        <v>0</v>
      </c>
      <c r="AI15" s="170">
        <f t="shared" si="1"/>
        <v>0</v>
      </c>
    </row>
    <row r="16" spans="2:35" ht="15" customHeight="1" x14ac:dyDescent="0.25">
      <c r="B16" s="199" t="s">
        <v>571</v>
      </c>
      <c r="C16" s="200">
        <v>25</v>
      </c>
      <c r="D16" s="198">
        <f>SUMIFS('апрель 2023'!$G$4:$G$692,'апрель 2023'!$D$4:$D$692,$B16,'апрель 2023'!$J$4:$J$692,D$1)</f>
        <v>0</v>
      </c>
      <c r="E16" s="198">
        <f>SUMIFS('апрель 2023'!$G$4:$G$692,'апрель 2023'!$D$4:$D$692,$B16,'апрель 2023'!$J$4:$J$692,E$1)</f>
        <v>0</v>
      </c>
      <c r="F16" s="198">
        <f>SUMIFS('апрель 2023'!$G$4:$G$692,'апрель 2023'!$D$4:$D$692,$B16,'апрель 2023'!$J$4:$J$692,F$1)</f>
        <v>0</v>
      </c>
      <c r="G16" s="198">
        <f>SUMIFS('апрель 2023'!$G$4:$G$692,'апрель 2023'!$D$4:$D$692,$B16,'апрель 2023'!$J$4:$J$692,G$1)</f>
        <v>0</v>
      </c>
      <c r="H16" s="198">
        <f>SUMIFS('апрель 2023'!$G$4:$G$692,'апрель 2023'!$D$4:$D$692,$B16,'апрель 2023'!$J$4:$J$692,H$1)</f>
        <v>0</v>
      </c>
      <c r="I16" s="198">
        <f>SUMIFS('апрель 2023'!$G$4:$G$692,'апрель 2023'!$D$4:$D$692,$B16,'апрель 2023'!$J$4:$J$692,I$1)</f>
        <v>0</v>
      </c>
      <c r="J16" s="198">
        <f>SUMIFS('апрель 2023'!$G$4:$G$692,'апрель 2023'!$D$4:$D$692,$B16,'апрель 2023'!$J$4:$J$692,J$1)</f>
        <v>0</v>
      </c>
      <c r="K16" s="198">
        <f>SUMIFS('апрель 2023'!$G$4:$G$692,'апрель 2023'!$D$4:$D$692,$B16,'апрель 2023'!$J$4:$J$692,K$1)</f>
        <v>0</v>
      </c>
      <c r="L16" s="198">
        <f>SUMIFS('апрель 2023'!$G$4:$G$692,'апрель 2023'!$D$4:$D$692,$B16,'апрель 2023'!$J$4:$J$692,L$1)</f>
        <v>0</v>
      </c>
      <c r="M16" s="198">
        <f>SUMIFS('апрель 2023'!$G$4:$G$692,'апрель 2023'!$D$4:$D$692,$B16,'апрель 2023'!$J$4:$J$692,M$1)</f>
        <v>0</v>
      </c>
      <c r="N16" s="198">
        <f>SUMIFS('апрель 2023'!$G$4:$G$692,'апрель 2023'!$D$4:$D$692,$B16,'апрель 2023'!$J$4:$J$692,N$1)</f>
        <v>0</v>
      </c>
      <c r="O16" s="198">
        <f>SUMIFS('апрель 2023'!$G$4:$G$692,'апрель 2023'!$D$4:$D$692,$B16,'апрель 2023'!$J$4:$J$692,O$1)</f>
        <v>0</v>
      </c>
      <c r="P16" s="198">
        <f>SUMIFS('апрель 2023'!$G$4:$G$692,'апрель 2023'!$D$4:$D$692,$B16,'апрель 2023'!$J$4:$J$692,P$1)</f>
        <v>0</v>
      </c>
      <c r="Q16" s="198">
        <f>SUMIFS('апрель 2023'!$G$4:$G$692,'апрель 2023'!$D$4:$D$692,$B16,'апрель 2023'!$J$4:$J$692,Q$1)</f>
        <v>0</v>
      </c>
      <c r="R16" s="198">
        <f>SUMIFS('апрель 2023'!$G$4:$G$692,'апрель 2023'!$D$4:$D$692,$B16,'апрель 2023'!$J$4:$J$692,R$1)</f>
        <v>0</v>
      </c>
      <c r="S16" s="198">
        <f>SUMIFS('апрель 2023'!$G$4:$G$692,'апрель 2023'!$D$4:$D$692,$B16,'апрель 2023'!$J$4:$J$692,S$1)</f>
        <v>0</v>
      </c>
      <c r="T16" s="198">
        <f>SUMIFS('апрель 2023'!$G$4:$G$692,'апрель 2023'!$D$4:$D$692,$B16,'апрель 2023'!$J$4:$J$692,T$1)</f>
        <v>800</v>
      </c>
      <c r="U16" s="198">
        <f>SUMIFS('апрель 2023'!$G$4:$G$692,'апрель 2023'!$D$4:$D$692,$B16,'апрель 2023'!$J$4:$J$692,U$1)</f>
        <v>0</v>
      </c>
      <c r="V16" s="198">
        <f>SUMIFS('апрель 2023'!$G$4:$G$692,'апрель 2023'!$D$4:$D$692,$B16,'апрель 2023'!$J$4:$J$692,V$1)</f>
        <v>800</v>
      </c>
      <c r="W16" s="198">
        <f>SUMIFS('апрель 2023'!$G$4:$G$692,'апрель 2023'!$D$4:$D$692,$B16,'апрель 2023'!$J$4:$J$692,W$1)</f>
        <v>0</v>
      </c>
      <c r="X16" s="198">
        <f>SUMIFS('апрель 2023'!$G$4:$G$692,'апрель 2023'!$D$4:$D$692,$B16,'апрель 2023'!$J$4:$J$692,X$1)</f>
        <v>0</v>
      </c>
      <c r="Y16" s="198">
        <f>SUMIFS('апрель 2023'!$G$4:$G$692,'апрель 2023'!$D$4:$D$692,$B16,'апрель 2023'!$J$4:$J$692,Y$1)</f>
        <v>0</v>
      </c>
      <c r="Z16" s="198">
        <f>SUMIFS('апрель 2023'!$G$4:$G$692,'апрель 2023'!$D$4:$D$692,$B16,'апрель 2023'!$J$4:$J$692,Z$1)</f>
        <v>0</v>
      </c>
      <c r="AA16" s="198">
        <f>SUMIFS('апрель 2023'!$G$4:$G$692,'апрель 2023'!$D$4:$D$692,$B16,'апрель 2023'!$J$4:$J$692,AA$1)</f>
        <v>0</v>
      </c>
      <c r="AB16" s="198">
        <f>SUMIFS('апрель 2023'!$G$4:$G$692,'апрель 2023'!$D$4:$D$692,$B16,'апрель 2023'!$J$4:$J$692,AB$1)</f>
        <v>0</v>
      </c>
      <c r="AC16" s="198">
        <f>SUMIFS('апрель 2023'!$G$4:$G$692,'апрель 2023'!$D$4:$D$692,$B16,'апрель 2023'!$J$4:$J$692,AC$1)</f>
        <v>0</v>
      </c>
      <c r="AD16" s="198">
        <f>SUMIFS('апрель 2023'!$G$4:$G$692,'апрель 2023'!$D$4:$D$692,$B16,'апрель 2023'!$J$4:$J$692,AD$1)</f>
        <v>0</v>
      </c>
      <c r="AE16" s="198">
        <f>SUMIFS('апрель 2023'!$G$4:$G$692,'апрель 2023'!$D$4:$D$692,$B16,'апрель 2023'!$J$4:$J$692,AE$1)</f>
        <v>0</v>
      </c>
      <c r="AF16" s="198">
        <f>SUMIFS('апрель 2023'!$G$4:$G$692,'апрель 2023'!$D$4:$D$692,$B16,'апрель 2023'!$J$4:$J$692,AF$1)</f>
        <v>0</v>
      </c>
      <c r="AG16" s="198">
        <f>SUMIFS('апрель 2023'!$G$4:$G$692,'апрель 2023'!$D$4:$D$692,$B16,'апрель 2023'!$J$4:$J$692,AG$1)</f>
        <v>0</v>
      </c>
      <c r="AH16" s="198">
        <f>SUMIFS('апрель 2023'!$G$4:$G$692,'апрель 2023'!$D$4:$D$692,$B16,'апрель 2023'!$J$4:$J$692,AH$1)</f>
        <v>0</v>
      </c>
      <c r="AI16" s="170">
        <f t="shared" si="1"/>
        <v>1600</v>
      </c>
    </row>
    <row r="17" spans="2:35" ht="15" customHeight="1" x14ac:dyDescent="0.25">
      <c r="B17" s="199" t="s">
        <v>2081</v>
      </c>
      <c r="C17" s="200">
        <v>25</v>
      </c>
      <c r="D17" s="198">
        <f>SUMIFS('апрель 2023'!$G$4:$G$692,'апрель 2023'!$D$4:$D$692,$B17,'апрель 2023'!$J$4:$J$692,D$1)</f>
        <v>0</v>
      </c>
      <c r="E17" s="198">
        <f>SUMIFS('апрель 2023'!$G$4:$G$692,'апрель 2023'!$D$4:$D$692,$B17,'апрель 2023'!$J$4:$J$692,E$1)</f>
        <v>0</v>
      </c>
      <c r="F17" s="198">
        <f>SUMIFS('апрель 2023'!$G$4:$G$692,'апрель 2023'!$D$4:$D$692,$B17,'апрель 2023'!$J$4:$J$692,F$1)</f>
        <v>0</v>
      </c>
      <c r="G17" s="198">
        <f>SUMIFS('апрель 2023'!$G$4:$G$692,'апрель 2023'!$D$4:$D$692,$B17,'апрель 2023'!$J$4:$J$692,G$1)</f>
        <v>0</v>
      </c>
      <c r="H17" s="198">
        <f>SUMIFS('апрель 2023'!$G$4:$G$692,'апрель 2023'!$D$4:$D$692,$B17,'апрель 2023'!$J$4:$J$692,H$1)</f>
        <v>0</v>
      </c>
      <c r="I17" s="198">
        <f>SUMIFS('апрель 2023'!$G$4:$G$692,'апрель 2023'!$D$4:$D$692,$B17,'апрель 2023'!$J$4:$J$692,I$1)</f>
        <v>0</v>
      </c>
      <c r="J17" s="198">
        <f>SUMIFS('апрель 2023'!$G$4:$G$692,'апрель 2023'!$D$4:$D$692,$B17,'апрель 2023'!$J$4:$J$692,J$1)</f>
        <v>0</v>
      </c>
      <c r="K17" s="198">
        <f>SUMIFS('апрель 2023'!$G$4:$G$692,'апрель 2023'!$D$4:$D$692,$B17,'апрель 2023'!$J$4:$J$692,K$1)</f>
        <v>0</v>
      </c>
      <c r="L17" s="198">
        <f>SUMIFS('апрель 2023'!$G$4:$G$692,'апрель 2023'!$D$4:$D$692,$B17,'апрель 2023'!$J$4:$J$692,L$1)</f>
        <v>0</v>
      </c>
      <c r="M17" s="198">
        <f>SUMIFS('апрель 2023'!$G$4:$G$692,'апрель 2023'!$D$4:$D$692,$B17,'апрель 2023'!$J$4:$J$692,M$1)</f>
        <v>0</v>
      </c>
      <c r="N17" s="198">
        <f>SUMIFS('апрель 2023'!$G$4:$G$692,'апрель 2023'!$D$4:$D$692,$B17,'апрель 2023'!$J$4:$J$692,N$1)</f>
        <v>0</v>
      </c>
      <c r="O17" s="198">
        <f>SUMIFS('апрель 2023'!$G$4:$G$692,'апрель 2023'!$D$4:$D$692,$B17,'апрель 2023'!$J$4:$J$692,O$1)</f>
        <v>0</v>
      </c>
      <c r="P17" s="198">
        <f>SUMIFS('апрель 2023'!$G$4:$G$692,'апрель 2023'!$D$4:$D$692,$B17,'апрель 2023'!$J$4:$J$692,P$1)</f>
        <v>0</v>
      </c>
      <c r="Q17" s="198">
        <f>SUMIFS('апрель 2023'!$G$4:$G$692,'апрель 2023'!$D$4:$D$692,$B17,'апрель 2023'!$J$4:$J$692,Q$1)</f>
        <v>0</v>
      </c>
      <c r="R17" s="198">
        <f>SUMIFS('апрель 2023'!$G$4:$G$692,'апрель 2023'!$D$4:$D$692,$B17,'апрель 2023'!$J$4:$J$692,R$1)</f>
        <v>0</v>
      </c>
      <c r="S17" s="198">
        <f>SUMIFS('апрель 2023'!$G$4:$G$692,'апрель 2023'!$D$4:$D$692,$B17,'апрель 2023'!$J$4:$J$692,S$1)</f>
        <v>0</v>
      </c>
      <c r="T17" s="198">
        <f>SUMIFS('апрель 2023'!$G$4:$G$692,'апрель 2023'!$D$4:$D$692,$B17,'апрель 2023'!$J$4:$J$692,T$1)</f>
        <v>0</v>
      </c>
      <c r="U17" s="198">
        <f>SUMIFS('апрель 2023'!$G$4:$G$692,'апрель 2023'!$D$4:$D$692,$B17,'апрель 2023'!$J$4:$J$692,U$1)</f>
        <v>0</v>
      </c>
      <c r="V17" s="198">
        <f>SUMIFS('апрель 2023'!$G$4:$G$692,'апрель 2023'!$D$4:$D$692,$B17,'апрель 2023'!$J$4:$J$692,V$1)</f>
        <v>0</v>
      </c>
      <c r="W17" s="198">
        <f>SUMIFS('апрель 2023'!$G$4:$G$692,'апрель 2023'!$D$4:$D$692,$B17,'апрель 2023'!$J$4:$J$692,W$1)</f>
        <v>0</v>
      </c>
      <c r="X17" s="198">
        <f>SUMIFS('апрель 2023'!$G$4:$G$692,'апрель 2023'!$D$4:$D$692,$B17,'апрель 2023'!$J$4:$J$692,X$1)</f>
        <v>0</v>
      </c>
      <c r="Y17" s="198">
        <f>SUMIFS('апрель 2023'!$G$4:$G$692,'апрель 2023'!$D$4:$D$692,$B17,'апрель 2023'!$J$4:$J$692,Y$1)</f>
        <v>0</v>
      </c>
      <c r="Z17" s="198">
        <f>SUMIFS('апрель 2023'!$G$4:$G$692,'апрель 2023'!$D$4:$D$692,$B17,'апрель 2023'!$J$4:$J$692,Z$1)</f>
        <v>0</v>
      </c>
      <c r="AA17" s="198">
        <f>SUMIFS('апрель 2023'!$G$4:$G$692,'апрель 2023'!$D$4:$D$692,$B17,'апрель 2023'!$J$4:$J$692,AA$1)</f>
        <v>0</v>
      </c>
      <c r="AB17" s="198">
        <f>SUMIFS('апрель 2023'!$G$4:$G$692,'апрель 2023'!$D$4:$D$692,$B17,'апрель 2023'!$J$4:$J$692,AB$1)</f>
        <v>0</v>
      </c>
      <c r="AC17" s="198">
        <f>SUMIFS('апрель 2023'!$G$4:$G$692,'апрель 2023'!$D$4:$D$692,$B17,'апрель 2023'!$J$4:$J$692,AC$1)</f>
        <v>0</v>
      </c>
      <c r="AD17" s="198">
        <f>SUMIFS('апрель 2023'!$G$4:$G$692,'апрель 2023'!$D$4:$D$692,$B17,'апрель 2023'!$J$4:$J$692,AD$1)</f>
        <v>0</v>
      </c>
      <c r="AE17" s="198">
        <f>SUMIFS('апрель 2023'!$G$4:$G$692,'апрель 2023'!$D$4:$D$692,$B17,'апрель 2023'!$J$4:$J$692,AE$1)</f>
        <v>0</v>
      </c>
      <c r="AF17" s="198">
        <f>SUMIFS('апрель 2023'!$G$4:$G$692,'апрель 2023'!$D$4:$D$692,$B17,'апрель 2023'!$J$4:$J$692,AF$1)</f>
        <v>0</v>
      </c>
      <c r="AG17" s="198">
        <f>SUMIFS('апрель 2023'!$G$4:$G$692,'апрель 2023'!$D$4:$D$692,$B17,'апрель 2023'!$J$4:$J$692,AG$1)</f>
        <v>0</v>
      </c>
      <c r="AH17" s="198">
        <f>SUMIFS('апрель 2023'!$G$4:$G$692,'апрель 2023'!$D$4:$D$692,$B17,'апрель 2023'!$J$4:$J$692,AH$1)</f>
        <v>0</v>
      </c>
      <c r="AI17" s="170">
        <f t="shared" si="1"/>
        <v>0</v>
      </c>
    </row>
    <row r="18" spans="2:35" ht="15" customHeight="1" x14ac:dyDescent="0.25">
      <c r="B18" s="199" t="s">
        <v>27</v>
      </c>
      <c r="C18" s="200">
        <v>25</v>
      </c>
      <c r="D18" s="198">
        <f>SUMIFS('апрель 2023'!$G$4:$G$692,'апрель 2023'!$D$4:$D$692,$B18,'апрель 2023'!$J$4:$J$692,D$1)</f>
        <v>0</v>
      </c>
      <c r="E18" s="198">
        <f>SUMIFS('апрель 2023'!$G$4:$G$692,'апрель 2023'!$D$4:$D$692,$B18,'апрель 2023'!$J$4:$J$692,E$1)</f>
        <v>0</v>
      </c>
      <c r="F18" s="198">
        <f>SUMIFS('апрель 2023'!$G$4:$G$692,'апрель 2023'!$D$4:$D$692,$B18,'апрель 2023'!$J$4:$J$692,F$1)</f>
        <v>0</v>
      </c>
      <c r="G18" s="198">
        <f>SUMIFS('апрель 2023'!$G$4:$G$692,'апрель 2023'!$D$4:$D$692,$B18,'апрель 2023'!$J$4:$J$692,G$1)</f>
        <v>0</v>
      </c>
      <c r="H18" s="198">
        <f>SUMIFS('апрель 2023'!$G$4:$G$692,'апрель 2023'!$D$4:$D$692,$B18,'апрель 2023'!$J$4:$J$692,H$1)</f>
        <v>0</v>
      </c>
      <c r="I18" s="198">
        <f>SUMIFS('апрель 2023'!$G$4:$G$692,'апрель 2023'!$D$4:$D$692,$B18,'апрель 2023'!$J$4:$J$692,I$1)</f>
        <v>120</v>
      </c>
      <c r="J18" s="198">
        <f>SUMIFS('апрель 2023'!$G$4:$G$692,'апрель 2023'!$D$4:$D$692,$B18,'апрель 2023'!$J$4:$J$692,J$1)</f>
        <v>0</v>
      </c>
      <c r="K18" s="198">
        <f>SUMIFS('апрель 2023'!$G$4:$G$692,'апрель 2023'!$D$4:$D$692,$B18,'апрель 2023'!$J$4:$J$692,K$1)</f>
        <v>0</v>
      </c>
      <c r="L18" s="198">
        <f>SUMIFS('апрель 2023'!$G$4:$G$692,'апрель 2023'!$D$4:$D$692,$B18,'апрель 2023'!$J$4:$J$692,L$1)</f>
        <v>0</v>
      </c>
      <c r="M18" s="198">
        <f>SUMIFS('апрель 2023'!$G$4:$G$692,'апрель 2023'!$D$4:$D$692,$B18,'апрель 2023'!$J$4:$J$692,M$1)</f>
        <v>0</v>
      </c>
      <c r="N18" s="198">
        <f>SUMIFS('апрель 2023'!$G$4:$G$692,'апрель 2023'!$D$4:$D$692,$B18,'апрель 2023'!$J$4:$J$692,N$1)</f>
        <v>0</v>
      </c>
      <c r="O18" s="198">
        <f>SUMIFS('апрель 2023'!$G$4:$G$692,'апрель 2023'!$D$4:$D$692,$B18,'апрель 2023'!$J$4:$J$692,O$1)</f>
        <v>0</v>
      </c>
      <c r="P18" s="198">
        <f>SUMIFS('апрель 2023'!$G$4:$G$692,'апрель 2023'!$D$4:$D$692,$B18,'апрель 2023'!$J$4:$J$692,P$1)</f>
        <v>0</v>
      </c>
      <c r="Q18" s="198">
        <f>SUMIFS('апрель 2023'!$G$4:$G$692,'апрель 2023'!$D$4:$D$692,$B18,'апрель 2023'!$J$4:$J$692,Q$1)</f>
        <v>0</v>
      </c>
      <c r="R18" s="198">
        <f>SUMIFS('апрель 2023'!$G$4:$G$692,'апрель 2023'!$D$4:$D$692,$B18,'апрель 2023'!$J$4:$J$692,R$1)</f>
        <v>0</v>
      </c>
      <c r="S18" s="198">
        <f>SUMIFS('апрель 2023'!$G$4:$G$692,'апрель 2023'!$D$4:$D$692,$B18,'апрель 2023'!$J$4:$J$692,S$1)</f>
        <v>0</v>
      </c>
      <c r="T18" s="198">
        <f>SUMIFS('апрель 2023'!$G$4:$G$692,'апрель 2023'!$D$4:$D$692,$B18,'апрель 2023'!$J$4:$J$692,T$1)</f>
        <v>0</v>
      </c>
      <c r="U18" s="198">
        <f>SUMIFS('апрель 2023'!$G$4:$G$692,'апрель 2023'!$D$4:$D$692,$B18,'апрель 2023'!$J$4:$J$692,U$1)</f>
        <v>0</v>
      </c>
      <c r="V18" s="198">
        <f>SUMIFS('апрель 2023'!$G$4:$G$692,'апрель 2023'!$D$4:$D$692,$B18,'апрель 2023'!$J$4:$J$692,V$1)</f>
        <v>0</v>
      </c>
      <c r="W18" s="198">
        <f>SUMIFS('апрель 2023'!$G$4:$G$692,'апрель 2023'!$D$4:$D$692,$B18,'апрель 2023'!$J$4:$J$692,W$1)</f>
        <v>0</v>
      </c>
      <c r="X18" s="198">
        <f>SUMIFS('апрель 2023'!$G$4:$G$692,'апрель 2023'!$D$4:$D$692,$B18,'апрель 2023'!$J$4:$J$692,X$1)</f>
        <v>800</v>
      </c>
      <c r="Y18" s="198">
        <f>SUMIFS('апрель 2023'!$G$4:$G$692,'апрель 2023'!$D$4:$D$692,$B18,'апрель 2023'!$J$4:$J$692,Y$1)</f>
        <v>0</v>
      </c>
      <c r="Z18" s="198">
        <f>SUMIFS('апрель 2023'!$G$4:$G$692,'апрель 2023'!$D$4:$D$692,$B18,'апрель 2023'!$J$4:$J$692,Z$1)</f>
        <v>0</v>
      </c>
      <c r="AA18" s="198">
        <f>SUMIFS('апрель 2023'!$G$4:$G$692,'апрель 2023'!$D$4:$D$692,$B18,'апрель 2023'!$J$4:$J$692,AA$1)</f>
        <v>0</v>
      </c>
      <c r="AB18" s="198">
        <f>SUMIFS('апрель 2023'!$G$4:$G$692,'апрель 2023'!$D$4:$D$692,$B18,'апрель 2023'!$J$4:$J$692,AB$1)</f>
        <v>0</v>
      </c>
      <c r="AC18" s="198">
        <f>SUMIFS('апрель 2023'!$G$4:$G$692,'апрель 2023'!$D$4:$D$692,$B18,'апрель 2023'!$J$4:$J$692,AC$1)</f>
        <v>0</v>
      </c>
      <c r="AD18" s="198">
        <f>SUMIFS('апрель 2023'!$G$4:$G$692,'апрель 2023'!$D$4:$D$692,$B18,'апрель 2023'!$J$4:$J$692,AD$1)</f>
        <v>0</v>
      </c>
      <c r="AE18" s="198">
        <f>SUMIFS('апрель 2023'!$G$4:$G$692,'апрель 2023'!$D$4:$D$692,$B18,'апрель 2023'!$J$4:$J$692,AE$1)</f>
        <v>520</v>
      </c>
      <c r="AF18" s="198">
        <f>SUMIFS('апрель 2023'!$G$4:$G$692,'апрель 2023'!$D$4:$D$692,$B18,'апрель 2023'!$J$4:$J$692,AF$1)</f>
        <v>0</v>
      </c>
      <c r="AG18" s="198">
        <f>SUMIFS('апрель 2023'!$G$4:$G$692,'апрель 2023'!$D$4:$D$692,$B18,'апрель 2023'!$J$4:$J$692,AG$1)</f>
        <v>0</v>
      </c>
      <c r="AH18" s="198">
        <f>SUMIFS('апрель 2023'!$G$4:$G$692,'апрель 2023'!$D$4:$D$692,$B18,'апрель 2023'!$J$4:$J$692,AH$1)</f>
        <v>0</v>
      </c>
      <c r="AI18" s="170">
        <f t="shared" si="1"/>
        <v>1440</v>
      </c>
    </row>
    <row r="19" spans="2:35" ht="15" customHeight="1" x14ac:dyDescent="0.25">
      <c r="B19" s="199" t="s">
        <v>445</v>
      </c>
      <c r="C19" s="200">
        <v>25</v>
      </c>
      <c r="D19" s="198">
        <f>SUMIFS('апрель 2023'!$G$4:$G$692,'апрель 2023'!$D$4:$D$692,$B19,'апрель 2023'!$J$4:$J$692,D$1)</f>
        <v>0</v>
      </c>
      <c r="E19" s="198">
        <f>SUMIFS('апрель 2023'!$G$4:$G$692,'апрель 2023'!$D$4:$D$692,$B19,'апрель 2023'!$J$4:$J$692,E$1)</f>
        <v>0</v>
      </c>
      <c r="F19" s="198">
        <f>SUMIFS('апрель 2023'!$G$4:$G$692,'апрель 2023'!$D$4:$D$692,$B19,'апрель 2023'!$J$4:$J$692,F$1)</f>
        <v>0</v>
      </c>
      <c r="G19" s="198">
        <f>SUMIFS('апрель 2023'!$G$4:$G$692,'апрель 2023'!$D$4:$D$692,$B19,'апрель 2023'!$J$4:$J$692,G$1)</f>
        <v>720</v>
      </c>
      <c r="H19" s="198">
        <f>SUMIFS('апрель 2023'!$G$4:$G$692,'апрель 2023'!$D$4:$D$692,$B19,'апрель 2023'!$J$4:$J$692,H$1)</f>
        <v>0</v>
      </c>
      <c r="I19" s="198">
        <f>SUMIFS('апрель 2023'!$G$4:$G$692,'апрель 2023'!$D$4:$D$692,$B19,'апрель 2023'!$J$4:$J$692,I$1)</f>
        <v>0</v>
      </c>
      <c r="J19" s="198">
        <f>SUMIFS('апрель 2023'!$G$4:$G$692,'апрель 2023'!$D$4:$D$692,$B19,'апрель 2023'!$J$4:$J$692,J$1)</f>
        <v>0</v>
      </c>
      <c r="K19" s="198">
        <f>SUMIFS('апрель 2023'!$G$4:$G$692,'апрель 2023'!$D$4:$D$692,$B19,'апрель 2023'!$J$4:$J$692,K$1)</f>
        <v>0</v>
      </c>
      <c r="L19" s="198">
        <f>SUMIFS('апрель 2023'!$G$4:$G$692,'апрель 2023'!$D$4:$D$692,$B19,'апрель 2023'!$J$4:$J$692,L$1)</f>
        <v>0</v>
      </c>
      <c r="M19" s="198">
        <f>SUMIFS('апрель 2023'!$G$4:$G$692,'апрель 2023'!$D$4:$D$692,$B19,'апрель 2023'!$J$4:$J$692,M$1)</f>
        <v>0</v>
      </c>
      <c r="N19" s="198">
        <f>SUMIFS('апрель 2023'!$G$4:$G$692,'апрель 2023'!$D$4:$D$692,$B19,'апрель 2023'!$J$4:$J$692,N$1)</f>
        <v>0</v>
      </c>
      <c r="O19" s="198">
        <f>SUMIFS('апрель 2023'!$G$4:$G$692,'апрель 2023'!$D$4:$D$692,$B19,'апрель 2023'!$J$4:$J$692,O$1)</f>
        <v>0</v>
      </c>
      <c r="P19" s="198">
        <f>SUMIFS('апрель 2023'!$G$4:$G$692,'апрель 2023'!$D$4:$D$692,$B19,'апрель 2023'!$J$4:$J$692,P$1)</f>
        <v>0</v>
      </c>
      <c r="Q19" s="198">
        <f>SUMIFS('апрель 2023'!$G$4:$G$692,'апрель 2023'!$D$4:$D$692,$B19,'апрель 2023'!$J$4:$J$692,Q$1)</f>
        <v>0</v>
      </c>
      <c r="R19" s="198">
        <f>SUMIFS('апрель 2023'!$G$4:$G$692,'апрель 2023'!$D$4:$D$692,$B19,'апрель 2023'!$J$4:$J$692,R$1)</f>
        <v>0</v>
      </c>
      <c r="S19" s="198">
        <f>SUMIFS('апрель 2023'!$G$4:$G$692,'апрель 2023'!$D$4:$D$692,$B19,'апрель 2023'!$J$4:$J$692,S$1)</f>
        <v>0</v>
      </c>
      <c r="T19" s="198">
        <f>SUMIFS('апрель 2023'!$G$4:$G$692,'апрель 2023'!$D$4:$D$692,$B19,'апрель 2023'!$J$4:$J$692,T$1)</f>
        <v>0</v>
      </c>
      <c r="U19" s="198">
        <f>SUMIFS('апрель 2023'!$G$4:$G$692,'апрель 2023'!$D$4:$D$692,$B19,'апрель 2023'!$J$4:$J$692,U$1)</f>
        <v>0</v>
      </c>
      <c r="V19" s="198">
        <f>SUMIFS('апрель 2023'!$G$4:$G$692,'апрель 2023'!$D$4:$D$692,$B19,'апрель 2023'!$J$4:$J$692,V$1)</f>
        <v>0</v>
      </c>
      <c r="W19" s="198">
        <f>SUMIFS('апрель 2023'!$G$4:$G$692,'апрель 2023'!$D$4:$D$692,$B19,'апрель 2023'!$J$4:$J$692,W$1)</f>
        <v>0</v>
      </c>
      <c r="X19" s="198">
        <f>SUMIFS('апрель 2023'!$G$4:$G$692,'апрель 2023'!$D$4:$D$692,$B19,'апрель 2023'!$J$4:$J$692,X$1)</f>
        <v>0</v>
      </c>
      <c r="Y19" s="198">
        <f>SUMIFS('апрель 2023'!$G$4:$G$692,'апрель 2023'!$D$4:$D$692,$B19,'апрель 2023'!$J$4:$J$692,Y$1)</f>
        <v>0</v>
      </c>
      <c r="Z19" s="198">
        <f>SUMIFS('апрель 2023'!$G$4:$G$692,'апрель 2023'!$D$4:$D$692,$B19,'апрель 2023'!$J$4:$J$692,Z$1)</f>
        <v>0</v>
      </c>
      <c r="AA19" s="198">
        <f>SUMIFS('апрель 2023'!$G$4:$G$692,'апрель 2023'!$D$4:$D$692,$B19,'апрель 2023'!$J$4:$J$692,AA$1)</f>
        <v>0</v>
      </c>
      <c r="AB19" s="198">
        <f>SUMIFS('апрель 2023'!$G$4:$G$692,'апрель 2023'!$D$4:$D$692,$B19,'апрель 2023'!$J$4:$J$692,AB$1)</f>
        <v>0</v>
      </c>
      <c r="AC19" s="198">
        <f>SUMIFS('апрель 2023'!$G$4:$G$692,'апрель 2023'!$D$4:$D$692,$B19,'апрель 2023'!$J$4:$J$692,AC$1)</f>
        <v>0</v>
      </c>
      <c r="AD19" s="198">
        <f>SUMIFS('апрель 2023'!$G$4:$G$692,'апрель 2023'!$D$4:$D$692,$B19,'апрель 2023'!$J$4:$J$692,AD$1)</f>
        <v>0</v>
      </c>
      <c r="AE19" s="198">
        <f>SUMIFS('апрель 2023'!$G$4:$G$692,'апрель 2023'!$D$4:$D$692,$B19,'апрель 2023'!$J$4:$J$692,AE$1)</f>
        <v>0</v>
      </c>
      <c r="AF19" s="198">
        <f>SUMIFS('апрель 2023'!$G$4:$G$692,'апрель 2023'!$D$4:$D$692,$B19,'апрель 2023'!$J$4:$J$692,AF$1)</f>
        <v>0</v>
      </c>
      <c r="AG19" s="198">
        <f>SUMIFS('апрель 2023'!$G$4:$G$692,'апрель 2023'!$D$4:$D$692,$B19,'апрель 2023'!$J$4:$J$692,AG$1)</f>
        <v>0</v>
      </c>
      <c r="AH19" s="198">
        <f>SUMIFS('апрель 2023'!$G$4:$G$692,'апрель 2023'!$D$4:$D$692,$B19,'апрель 2023'!$J$4:$J$692,AH$1)</f>
        <v>0</v>
      </c>
      <c r="AI19" s="170">
        <f t="shared" si="1"/>
        <v>720</v>
      </c>
    </row>
    <row r="20" spans="2:35" ht="15" customHeight="1" x14ac:dyDescent="0.25">
      <c r="B20" s="202" t="s">
        <v>186</v>
      </c>
      <c r="C20" s="204">
        <v>22.68</v>
      </c>
      <c r="D20" s="198">
        <f>SUMIFS('апрель 2023'!$G$4:$G$692,'апрель 2023'!$D$4:$D$692,$B20,'апрель 2023'!$J$4:$J$692,D$1)</f>
        <v>0</v>
      </c>
      <c r="E20" s="198">
        <f>SUMIFS('апрель 2023'!$G$4:$G$692,'апрель 2023'!$D$4:$D$692,$B20,'апрель 2023'!$J$4:$J$692,E$1)</f>
        <v>0</v>
      </c>
      <c r="F20" s="198">
        <f>SUMIFS('апрель 2023'!$G$4:$G$692,'апрель 2023'!$D$4:$D$692,$B20,'апрель 2023'!$J$4:$J$692,F$1)</f>
        <v>0</v>
      </c>
      <c r="G20" s="198">
        <f>SUMIFS('апрель 2023'!$G$4:$G$692,'апрель 2023'!$D$4:$D$692,$B20,'апрель 2023'!$J$4:$J$692,G$1)</f>
        <v>0</v>
      </c>
      <c r="H20" s="198">
        <f>SUMIFS('апрель 2023'!$G$4:$G$692,'апрель 2023'!$D$4:$D$692,$B20,'апрель 2023'!$J$4:$J$692,H$1)</f>
        <v>0</v>
      </c>
      <c r="I20" s="198">
        <f>SUMIFS('апрель 2023'!$G$4:$G$692,'апрель 2023'!$D$4:$D$692,$B20,'апрель 2023'!$J$4:$J$692,I$1)</f>
        <v>0</v>
      </c>
      <c r="J20" s="198">
        <f>SUMIFS('апрель 2023'!$G$4:$G$692,'апрель 2023'!$D$4:$D$692,$B20,'апрель 2023'!$J$4:$J$692,J$1)</f>
        <v>0</v>
      </c>
      <c r="K20" s="198">
        <f>SUMIFS('апрель 2023'!$G$4:$G$692,'апрель 2023'!$D$4:$D$692,$B20,'апрель 2023'!$J$4:$J$692,K$1)</f>
        <v>0</v>
      </c>
      <c r="L20" s="198">
        <f>SUMIFS('апрель 2023'!$G$4:$G$692,'апрель 2023'!$D$4:$D$692,$B20,'апрель 2023'!$J$4:$J$692,L$1)</f>
        <v>0</v>
      </c>
      <c r="M20" s="198">
        <f>SUMIFS('апрель 2023'!$G$4:$G$692,'апрель 2023'!$D$4:$D$692,$B20,'апрель 2023'!$J$4:$J$692,M$1)</f>
        <v>0</v>
      </c>
      <c r="N20" s="198">
        <f>SUMIFS('апрель 2023'!$G$4:$G$692,'апрель 2023'!$D$4:$D$692,$B20,'апрель 2023'!$J$4:$J$692,N$1)</f>
        <v>0</v>
      </c>
      <c r="O20" s="198">
        <f>SUMIFS('апрель 2023'!$G$4:$G$692,'апрель 2023'!$D$4:$D$692,$B20,'апрель 2023'!$J$4:$J$692,O$1)</f>
        <v>0</v>
      </c>
      <c r="P20" s="198">
        <f>SUMIFS('апрель 2023'!$G$4:$G$692,'апрель 2023'!$D$4:$D$692,$B20,'апрель 2023'!$J$4:$J$692,P$1)</f>
        <v>0</v>
      </c>
      <c r="Q20" s="198">
        <f>SUMIFS('апрель 2023'!$G$4:$G$692,'апрель 2023'!$D$4:$D$692,$B20,'апрель 2023'!$J$4:$J$692,Q$1)</f>
        <v>0</v>
      </c>
      <c r="R20" s="198">
        <f>SUMIFS('апрель 2023'!$G$4:$G$692,'апрель 2023'!$D$4:$D$692,$B20,'апрель 2023'!$J$4:$J$692,R$1)</f>
        <v>0</v>
      </c>
      <c r="S20" s="198">
        <f>SUMIFS('апрель 2023'!$G$4:$G$692,'апрель 2023'!$D$4:$D$692,$B20,'апрель 2023'!$J$4:$J$692,S$1)</f>
        <v>0</v>
      </c>
      <c r="T20" s="198">
        <f>SUMIFS('апрель 2023'!$G$4:$G$692,'апрель 2023'!$D$4:$D$692,$B20,'апрель 2023'!$J$4:$J$692,T$1)</f>
        <v>0</v>
      </c>
      <c r="U20" s="198">
        <f>SUMIFS('апрель 2023'!$G$4:$G$692,'апрель 2023'!$D$4:$D$692,$B20,'апрель 2023'!$J$4:$J$692,U$1)</f>
        <v>0</v>
      </c>
      <c r="V20" s="198">
        <f>SUMIFS('апрель 2023'!$G$4:$G$692,'апрель 2023'!$D$4:$D$692,$B20,'апрель 2023'!$J$4:$J$692,V$1)</f>
        <v>0</v>
      </c>
      <c r="W20" s="198">
        <f>SUMIFS('апрель 2023'!$G$4:$G$692,'апрель 2023'!$D$4:$D$692,$B20,'апрель 2023'!$J$4:$J$692,W$1)</f>
        <v>0</v>
      </c>
      <c r="X20" s="198">
        <f>SUMIFS('апрель 2023'!$G$4:$G$692,'апрель 2023'!$D$4:$D$692,$B20,'апрель 2023'!$J$4:$J$692,X$1)</f>
        <v>0</v>
      </c>
      <c r="Y20" s="198">
        <f>SUMIFS('апрель 2023'!$G$4:$G$692,'апрель 2023'!$D$4:$D$692,$B20,'апрель 2023'!$J$4:$J$692,Y$1)</f>
        <v>0</v>
      </c>
      <c r="Z20" s="198">
        <f>SUMIFS('апрель 2023'!$G$4:$G$692,'апрель 2023'!$D$4:$D$692,$B20,'апрель 2023'!$J$4:$J$692,Z$1)</f>
        <v>0</v>
      </c>
      <c r="AA20" s="198">
        <f>SUMIFS('апрель 2023'!$G$4:$G$692,'апрель 2023'!$D$4:$D$692,$B20,'апрель 2023'!$J$4:$J$692,AA$1)</f>
        <v>0</v>
      </c>
      <c r="AB20" s="198">
        <f>SUMIFS('апрель 2023'!$G$4:$G$692,'апрель 2023'!$D$4:$D$692,$B20,'апрель 2023'!$J$4:$J$692,AB$1)</f>
        <v>0</v>
      </c>
      <c r="AC20" s="198">
        <f>SUMIFS('апрель 2023'!$G$4:$G$692,'апрель 2023'!$D$4:$D$692,$B20,'апрель 2023'!$J$4:$J$692,AC$1)</f>
        <v>0</v>
      </c>
      <c r="AD20" s="198">
        <f>SUMIFS('апрель 2023'!$G$4:$G$692,'апрель 2023'!$D$4:$D$692,$B20,'апрель 2023'!$J$4:$J$692,AD$1)</f>
        <v>0</v>
      </c>
      <c r="AE20" s="198">
        <f>SUMIFS('апрель 2023'!$G$4:$G$692,'апрель 2023'!$D$4:$D$692,$B20,'апрель 2023'!$J$4:$J$692,AE$1)</f>
        <v>0</v>
      </c>
      <c r="AF20" s="198">
        <f>SUMIFS('апрель 2023'!$G$4:$G$692,'апрель 2023'!$D$4:$D$692,$B20,'апрель 2023'!$J$4:$J$692,AF$1)</f>
        <v>0</v>
      </c>
      <c r="AG20" s="198">
        <f>SUMIFS('апрель 2023'!$G$4:$G$692,'апрель 2023'!$D$4:$D$692,$B20,'апрель 2023'!$J$4:$J$692,AG$1)</f>
        <v>0</v>
      </c>
      <c r="AH20" s="198">
        <f>SUMIFS('апрель 2023'!$G$4:$G$692,'апрель 2023'!$D$4:$D$692,$B20,'апрель 2023'!$J$4:$J$692,AH$1)</f>
        <v>0</v>
      </c>
      <c r="AI20" s="170">
        <f t="shared" si="1"/>
        <v>0</v>
      </c>
    </row>
    <row r="21" spans="2:35" ht="15" hidden="1" customHeight="1" x14ac:dyDescent="0.25">
      <c r="B21" s="202"/>
      <c r="C21" s="200"/>
      <c r="D21" s="198">
        <f>SUMIFS('апрель 2023'!$G$4:$G$692,'апрель 2023'!$D$4:$D$692,$B21,'апрель 2023'!$J$4:$J$692,D$1)</f>
        <v>0</v>
      </c>
      <c r="E21" s="198">
        <f>SUMIFS('апрель 2023'!$G$4:$G$692,'апрель 2023'!$D$4:$D$692,$B21,'апрель 2023'!$J$4:$J$692,E$1)</f>
        <v>0</v>
      </c>
      <c r="F21" s="198">
        <f>SUMIFS('апрель 2023'!$G$4:$G$692,'апрель 2023'!$D$4:$D$692,$B21,'апрель 2023'!$J$4:$J$692,F$1)</f>
        <v>0</v>
      </c>
      <c r="G21" s="198">
        <f>SUMIFS('апрель 2023'!$G$4:$G$692,'апрель 2023'!$D$4:$D$692,$B21,'апрель 2023'!$J$4:$J$692,G$1)</f>
        <v>0</v>
      </c>
      <c r="H21" s="198">
        <f>SUMIFS('апрель 2023'!$G$4:$G$692,'апрель 2023'!$D$4:$D$692,$B21,'апрель 2023'!$J$4:$J$692,H$1)</f>
        <v>0</v>
      </c>
      <c r="I21" s="198">
        <f>SUMIFS('апрель 2023'!$G$4:$G$692,'апрель 2023'!$D$4:$D$692,$B21,'апрель 2023'!$J$4:$J$692,I$1)</f>
        <v>0</v>
      </c>
      <c r="J21" s="198">
        <f>SUMIFS('апрель 2023'!$G$4:$G$692,'апрель 2023'!$D$4:$D$692,$B21,'апрель 2023'!$J$4:$J$692,J$1)</f>
        <v>0</v>
      </c>
      <c r="K21" s="198">
        <f>SUMIFS('апрель 2023'!$G$4:$G$692,'апрель 2023'!$D$4:$D$692,$B21,'апрель 2023'!$J$4:$J$692,K$1)</f>
        <v>0</v>
      </c>
      <c r="L21" s="198">
        <f>SUMIFS('апрель 2023'!$G$4:$G$692,'апрель 2023'!$D$4:$D$692,$B21,'апрель 2023'!$J$4:$J$692,L$1)</f>
        <v>0</v>
      </c>
      <c r="M21" s="198">
        <f>SUMIFS('апрель 2023'!$G$4:$G$692,'апрель 2023'!$D$4:$D$692,$B21,'апрель 2023'!$J$4:$J$692,M$1)</f>
        <v>0</v>
      </c>
      <c r="N21" s="198">
        <f>SUMIFS('апрель 2023'!$G$4:$G$692,'апрель 2023'!$D$4:$D$692,$B21,'апрель 2023'!$J$4:$J$692,N$1)</f>
        <v>0</v>
      </c>
      <c r="O21" s="198">
        <f>SUMIFS('апрель 2023'!$G$4:$G$692,'апрель 2023'!$D$4:$D$692,$B21,'апрель 2023'!$J$4:$J$692,O$1)</f>
        <v>0</v>
      </c>
      <c r="P21" s="198">
        <f>SUMIFS('апрель 2023'!$G$4:$G$692,'апрель 2023'!$D$4:$D$692,$B21,'апрель 2023'!$J$4:$J$692,P$1)</f>
        <v>0</v>
      </c>
      <c r="Q21" s="198">
        <f>SUMIFS('апрель 2023'!$G$4:$G$692,'апрель 2023'!$D$4:$D$692,$B21,'апрель 2023'!$J$4:$J$692,Q$1)</f>
        <v>0</v>
      </c>
      <c r="R21" s="198">
        <f>SUMIFS('апрель 2023'!$G$4:$G$692,'апрель 2023'!$D$4:$D$692,$B21,'апрель 2023'!$J$4:$J$692,R$1)</f>
        <v>0</v>
      </c>
      <c r="S21" s="198">
        <f>SUMIFS('апрель 2023'!$G$4:$G$692,'апрель 2023'!$D$4:$D$692,$B21,'апрель 2023'!$J$4:$J$692,S$1)</f>
        <v>0</v>
      </c>
      <c r="T21" s="198">
        <f>SUMIFS('апрель 2023'!$G$4:$G$692,'апрель 2023'!$D$4:$D$692,$B21,'апрель 2023'!$J$4:$J$692,T$1)</f>
        <v>0</v>
      </c>
      <c r="U21" s="198">
        <f>SUMIFS('апрель 2023'!$G$4:$G$692,'апрель 2023'!$D$4:$D$692,$B21,'апрель 2023'!$J$4:$J$692,U$1)</f>
        <v>0</v>
      </c>
      <c r="V21" s="198">
        <f>SUMIFS('апрель 2023'!$G$4:$G$692,'апрель 2023'!$D$4:$D$692,$B21,'апрель 2023'!$J$4:$J$692,V$1)</f>
        <v>0</v>
      </c>
      <c r="W21" s="198">
        <f>SUMIFS('апрель 2023'!$G$4:$G$692,'апрель 2023'!$D$4:$D$692,$B21,'апрель 2023'!$J$4:$J$692,W$1)</f>
        <v>0</v>
      </c>
      <c r="X21" s="198">
        <f>SUMIFS('апрель 2023'!$G$4:$G$692,'апрель 2023'!$D$4:$D$692,$B21,'апрель 2023'!$J$4:$J$692,X$1)</f>
        <v>0</v>
      </c>
      <c r="Y21" s="198">
        <f>SUMIFS('апрель 2023'!$G$4:$G$692,'апрель 2023'!$D$4:$D$692,$B21,'апрель 2023'!$J$4:$J$692,Y$1)</f>
        <v>0</v>
      </c>
      <c r="Z21" s="198">
        <f>SUMIFS('апрель 2023'!$G$4:$G$692,'апрель 2023'!$D$4:$D$692,$B21,'апрель 2023'!$J$4:$J$692,Z$1)</f>
        <v>0</v>
      </c>
      <c r="AA21" s="198">
        <f>SUMIFS('апрель 2023'!$G$4:$G$692,'апрель 2023'!$D$4:$D$692,$B21,'апрель 2023'!$J$4:$J$692,AA$1)</f>
        <v>0</v>
      </c>
      <c r="AB21" s="198">
        <f>SUMIFS('апрель 2023'!$G$4:$G$692,'апрель 2023'!$D$4:$D$692,$B21,'апрель 2023'!$J$4:$J$692,AB$1)</f>
        <v>0</v>
      </c>
      <c r="AC21" s="198">
        <f>SUMIFS('апрель 2023'!$G$4:$G$692,'апрель 2023'!$D$4:$D$692,$B21,'апрель 2023'!$J$4:$J$692,AC$1)</f>
        <v>0</v>
      </c>
      <c r="AD21" s="198">
        <f>SUMIFS('апрель 2023'!$G$4:$G$692,'апрель 2023'!$D$4:$D$692,$B21,'апрель 2023'!$J$4:$J$692,AD$1)</f>
        <v>0</v>
      </c>
      <c r="AE21" s="198">
        <f>SUMIFS('апрель 2023'!$G$4:$G$692,'апрель 2023'!$D$4:$D$692,$B21,'апрель 2023'!$J$4:$J$692,AE$1)</f>
        <v>0</v>
      </c>
      <c r="AF21" s="198">
        <f>SUMIFS('апрель 2023'!$G$4:$G$692,'апрель 2023'!$D$4:$D$692,$B21,'апрель 2023'!$J$4:$J$692,AF$1)</f>
        <v>0</v>
      </c>
      <c r="AG21" s="198">
        <f>SUMIFS('апрель 2023'!$G$4:$G$692,'апрель 2023'!$D$4:$D$692,$B21,'апрель 2023'!$J$4:$J$692,AG$1)</f>
        <v>0</v>
      </c>
      <c r="AH21" s="198">
        <f>SUMIFS('апрель 2023'!$G$4:$G$692,'апрель 2023'!$D$4:$D$692,$B21,'апрель 2023'!$J$4:$J$692,AH$1)</f>
        <v>0</v>
      </c>
      <c r="AI21" s="170">
        <f t="shared" si="1"/>
        <v>0</v>
      </c>
    </row>
    <row r="22" spans="2:35" ht="15" hidden="1" customHeight="1" x14ac:dyDescent="0.25">
      <c r="B22" s="202"/>
      <c r="C22" s="200"/>
      <c r="D22" s="198">
        <f>SUMIFS('апрель 2023'!$G$4:$G$692,'апрель 2023'!$D$4:$D$692,$B22,'апрель 2023'!$J$4:$J$692,D$1)</f>
        <v>0</v>
      </c>
      <c r="E22" s="198">
        <f>SUMIFS('апрель 2023'!$G$4:$G$692,'апрель 2023'!$D$4:$D$692,$B22,'апрель 2023'!$J$4:$J$692,E$1)</f>
        <v>0</v>
      </c>
      <c r="F22" s="198">
        <f>SUMIFS('апрель 2023'!$G$4:$G$692,'апрель 2023'!$D$4:$D$692,$B22,'апрель 2023'!$J$4:$J$692,F$1)</f>
        <v>0</v>
      </c>
      <c r="G22" s="198">
        <f>SUMIFS('апрель 2023'!$G$4:$G$692,'апрель 2023'!$D$4:$D$692,$B22,'апрель 2023'!$J$4:$J$692,G$1)</f>
        <v>0</v>
      </c>
      <c r="H22" s="198">
        <f>SUMIFS('апрель 2023'!$G$4:$G$692,'апрель 2023'!$D$4:$D$692,$B22,'апрель 2023'!$J$4:$J$692,H$1)</f>
        <v>0</v>
      </c>
      <c r="I22" s="198">
        <f>SUMIFS('апрель 2023'!$G$4:$G$692,'апрель 2023'!$D$4:$D$692,$B22,'апрель 2023'!$J$4:$J$692,I$1)</f>
        <v>0</v>
      </c>
      <c r="J22" s="198">
        <f>SUMIFS('апрель 2023'!$G$4:$G$692,'апрель 2023'!$D$4:$D$692,$B22,'апрель 2023'!$J$4:$J$692,J$1)</f>
        <v>0</v>
      </c>
      <c r="K22" s="198">
        <f>SUMIFS('апрель 2023'!$G$4:$G$692,'апрель 2023'!$D$4:$D$692,$B22,'апрель 2023'!$J$4:$J$692,K$1)</f>
        <v>0</v>
      </c>
      <c r="L22" s="198">
        <f>SUMIFS('апрель 2023'!$G$4:$G$692,'апрель 2023'!$D$4:$D$692,$B22,'апрель 2023'!$J$4:$J$692,L$1)</f>
        <v>0</v>
      </c>
      <c r="M22" s="198">
        <f>SUMIFS('апрель 2023'!$G$4:$G$692,'апрель 2023'!$D$4:$D$692,$B22,'апрель 2023'!$J$4:$J$692,M$1)</f>
        <v>0</v>
      </c>
      <c r="N22" s="198">
        <f>SUMIFS('апрель 2023'!$G$4:$G$692,'апрель 2023'!$D$4:$D$692,$B22,'апрель 2023'!$J$4:$J$692,N$1)</f>
        <v>0</v>
      </c>
      <c r="O22" s="198">
        <f>SUMIFS('апрель 2023'!$G$4:$G$692,'апрель 2023'!$D$4:$D$692,$B22,'апрель 2023'!$J$4:$J$692,O$1)</f>
        <v>0</v>
      </c>
      <c r="P22" s="198">
        <f>SUMIFS('апрель 2023'!$G$4:$G$692,'апрель 2023'!$D$4:$D$692,$B22,'апрель 2023'!$J$4:$J$692,P$1)</f>
        <v>0</v>
      </c>
      <c r="Q22" s="198">
        <f>SUMIFS('апрель 2023'!$G$4:$G$692,'апрель 2023'!$D$4:$D$692,$B22,'апрель 2023'!$J$4:$J$692,Q$1)</f>
        <v>0</v>
      </c>
      <c r="R22" s="198">
        <f>SUMIFS('апрель 2023'!$G$4:$G$692,'апрель 2023'!$D$4:$D$692,$B22,'апрель 2023'!$J$4:$J$692,R$1)</f>
        <v>0</v>
      </c>
      <c r="S22" s="198">
        <f>SUMIFS('апрель 2023'!$G$4:$G$692,'апрель 2023'!$D$4:$D$692,$B22,'апрель 2023'!$J$4:$J$692,S$1)</f>
        <v>0</v>
      </c>
      <c r="T22" s="198">
        <f>SUMIFS('апрель 2023'!$G$4:$G$692,'апрель 2023'!$D$4:$D$692,$B22,'апрель 2023'!$J$4:$J$692,T$1)</f>
        <v>0</v>
      </c>
      <c r="U22" s="198">
        <f>SUMIFS('апрель 2023'!$G$4:$G$692,'апрель 2023'!$D$4:$D$692,$B22,'апрель 2023'!$J$4:$J$692,U$1)</f>
        <v>0</v>
      </c>
      <c r="V22" s="198">
        <f>SUMIFS('апрель 2023'!$G$4:$G$692,'апрель 2023'!$D$4:$D$692,$B22,'апрель 2023'!$J$4:$J$692,V$1)</f>
        <v>0</v>
      </c>
      <c r="W22" s="198">
        <f>SUMIFS('апрель 2023'!$G$4:$G$692,'апрель 2023'!$D$4:$D$692,$B22,'апрель 2023'!$J$4:$J$692,W$1)</f>
        <v>0</v>
      </c>
      <c r="X22" s="198">
        <f>SUMIFS('апрель 2023'!$G$4:$G$692,'апрель 2023'!$D$4:$D$692,$B22,'апрель 2023'!$J$4:$J$692,X$1)</f>
        <v>0</v>
      </c>
      <c r="Y22" s="198">
        <f>SUMIFS('апрель 2023'!$G$4:$G$692,'апрель 2023'!$D$4:$D$692,$B22,'апрель 2023'!$J$4:$J$692,Y$1)</f>
        <v>0</v>
      </c>
      <c r="Z22" s="198">
        <f>SUMIFS('апрель 2023'!$G$4:$G$692,'апрель 2023'!$D$4:$D$692,$B22,'апрель 2023'!$J$4:$J$692,Z$1)</f>
        <v>0</v>
      </c>
      <c r="AA22" s="198">
        <f>SUMIFS('апрель 2023'!$G$4:$G$692,'апрель 2023'!$D$4:$D$692,$B22,'апрель 2023'!$J$4:$J$692,AA$1)</f>
        <v>0</v>
      </c>
      <c r="AB22" s="198">
        <f>SUMIFS('апрель 2023'!$G$4:$G$692,'апрель 2023'!$D$4:$D$692,$B22,'апрель 2023'!$J$4:$J$692,AB$1)</f>
        <v>0</v>
      </c>
      <c r="AC22" s="198">
        <f>SUMIFS('апрель 2023'!$G$4:$G$692,'апрель 2023'!$D$4:$D$692,$B22,'апрель 2023'!$J$4:$J$692,AC$1)</f>
        <v>0</v>
      </c>
      <c r="AD22" s="198">
        <f>SUMIFS('апрель 2023'!$G$4:$G$692,'апрель 2023'!$D$4:$D$692,$B22,'апрель 2023'!$J$4:$J$692,AD$1)</f>
        <v>0</v>
      </c>
      <c r="AE22" s="198">
        <f>SUMIFS('апрель 2023'!$G$4:$G$692,'апрель 2023'!$D$4:$D$692,$B22,'апрель 2023'!$J$4:$J$692,AE$1)</f>
        <v>0</v>
      </c>
      <c r="AF22" s="198">
        <f>SUMIFS('апрель 2023'!$G$4:$G$692,'апрель 2023'!$D$4:$D$692,$B22,'апрель 2023'!$J$4:$J$692,AF$1)</f>
        <v>0</v>
      </c>
      <c r="AG22" s="198">
        <f>SUMIFS('апрель 2023'!$G$4:$G$692,'апрель 2023'!$D$4:$D$692,$B22,'апрель 2023'!$J$4:$J$692,AG$1)</f>
        <v>0</v>
      </c>
      <c r="AH22" s="198">
        <f>SUMIFS('апрель 2023'!$G$4:$G$692,'апрель 2023'!$D$4:$D$692,$B22,'апрель 2023'!$J$4:$J$692,AH$1)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SUMIFS('апрель 2023'!$G$4:$G$692,'апрель 2023'!$D$4:$D$692,$B23,'апрель 2023'!$J$4:$J$692,D$1)</f>
        <v>0</v>
      </c>
      <c r="E23" s="198">
        <f>SUMIFS('апрель 2023'!$G$4:$G$692,'апрель 2023'!$D$4:$D$692,$B23,'апрель 2023'!$J$4:$J$692,E$1)</f>
        <v>0</v>
      </c>
      <c r="F23" s="198">
        <f>SUMIFS('апрель 2023'!$G$4:$G$692,'апрель 2023'!$D$4:$D$692,$B23,'апрель 2023'!$J$4:$J$692,F$1)</f>
        <v>0</v>
      </c>
      <c r="G23" s="198">
        <f>SUMIFS('апрель 2023'!$G$4:$G$692,'апрель 2023'!$D$4:$D$692,$B23,'апрель 2023'!$J$4:$J$692,G$1)</f>
        <v>0</v>
      </c>
      <c r="H23" s="198">
        <f>SUMIFS('апрель 2023'!$G$4:$G$692,'апрель 2023'!$D$4:$D$692,$B23,'апрель 2023'!$J$4:$J$692,H$1)</f>
        <v>0</v>
      </c>
      <c r="I23" s="198">
        <f>SUMIFS('апрель 2023'!$G$4:$G$692,'апрель 2023'!$D$4:$D$692,$B23,'апрель 2023'!$J$4:$J$692,I$1)</f>
        <v>0</v>
      </c>
      <c r="J23" s="198">
        <f>SUMIFS('апрель 2023'!$G$4:$G$692,'апрель 2023'!$D$4:$D$692,$B23,'апрель 2023'!$J$4:$J$692,J$1)</f>
        <v>0</v>
      </c>
      <c r="K23" s="198">
        <f>SUMIFS('апрель 2023'!$G$4:$G$692,'апрель 2023'!$D$4:$D$692,$B23,'апрель 2023'!$J$4:$J$692,K$1)</f>
        <v>0</v>
      </c>
      <c r="L23" s="198">
        <f>SUMIFS('апрель 2023'!$G$4:$G$692,'апрель 2023'!$D$4:$D$692,$B23,'апрель 2023'!$J$4:$J$692,L$1)</f>
        <v>0</v>
      </c>
      <c r="M23" s="198">
        <f>SUMIFS('апрель 2023'!$G$4:$G$692,'апрель 2023'!$D$4:$D$692,$B23,'апрель 2023'!$J$4:$J$692,M$1)</f>
        <v>0</v>
      </c>
      <c r="N23" s="198">
        <f>SUMIFS('апрель 2023'!$G$4:$G$692,'апрель 2023'!$D$4:$D$692,$B23,'апрель 2023'!$J$4:$J$692,N$1)</f>
        <v>0</v>
      </c>
      <c r="O23" s="198">
        <f>SUMIFS('апрель 2023'!$G$4:$G$692,'апрель 2023'!$D$4:$D$692,$B23,'апрель 2023'!$J$4:$J$692,O$1)</f>
        <v>0</v>
      </c>
      <c r="P23" s="198">
        <f>SUMIFS('апрель 2023'!$G$4:$G$692,'апрель 2023'!$D$4:$D$692,$B23,'апрель 2023'!$J$4:$J$692,P$1)</f>
        <v>0</v>
      </c>
      <c r="Q23" s="198">
        <f>SUMIFS('апрель 2023'!$G$4:$G$692,'апрель 2023'!$D$4:$D$692,$B23,'апрель 2023'!$J$4:$J$692,Q$1)</f>
        <v>0</v>
      </c>
      <c r="R23" s="198">
        <f>SUMIFS('апрель 2023'!$G$4:$G$692,'апрель 2023'!$D$4:$D$692,$B23,'апрель 2023'!$J$4:$J$692,R$1)</f>
        <v>0</v>
      </c>
      <c r="S23" s="198">
        <f>SUMIFS('апрель 2023'!$G$4:$G$692,'апрель 2023'!$D$4:$D$692,$B23,'апрель 2023'!$J$4:$J$692,S$1)</f>
        <v>0</v>
      </c>
      <c r="T23" s="198">
        <f>SUMIFS('апрель 2023'!$G$4:$G$692,'апрель 2023'!$D$4:$D$692,$B23,'апрель 2023'!$J$4:$J$692,T$1)</f>
        <v>0</v>
      </c>
      <c r="U23" s="198">
        <f>SUMIFS('апрель 2023'!$G$4:$G$692,'апрель 2023'!$D$4:$D$692,$B23,'апрель 2023'!$J$4:$J$692,U$1)</f>
        <v>0</v>
      </c>
      <c r="V23" s="198">
        <f>SUMIFS('апрель 2023'!$G$4:$G$692,'апрель 2023'!$D$4:$D$692,$B23,'апрель 2023'!$J$4:$J$692,V$1)</f>
        <v>0</v>
      </c>
      <c r="W23" s="198">
        <f>SUMIFS('апрель 2023'!$G$4:$G$692,'апрель 2023'!$D$4:$D$692,$B23,'апрель 2023'!$J$4:$J$692,W$1)</f>
        <v>0</v>
      </c>
      <c r="X23" s="198">
        <f>SUMIFS('апрель 2023'!$G$4:$G$692,'апрель 2023'!$D$4:$D$692,$B23,'апрель 2023'!$J$4:$J$692,X$1)</f>
        <v>0</v>
      </c>
      <c r="Y23" s="198">
        <f>SUMIFS('апрель 2023'!$G$4:$G$692,'апрель 2023'!$D$4:$D$692,$B23,'апрель 2023'!$J$4:$J$692,Y$1)</f>
        <v>0</v>
      </c>
      <c r="Z23" s="198">
        <f>SUMIFS('апрель 2023'!$G$4:$G$692,'апрель 2023'!$D$4:$D$692,$B23,'апрель 2023'!$J$4:$J$692,Z$1)</f>
        <v>0</v>
      </c>
      <c r="AA23" s="198">
        <f>SUMIFS('апрель 2023'!$G$4:$G$692,'апрель 2023'!$D$4:$D$692,$B23,'апрель 2023'!$J$4:$J$692,AA$1)</f>
        <v>0</v>
      </c>
      <c r="AB23" s="198">
        <f>SUMIFS('апрель 2023'!$G$4:$G$692,'апрель 2023'!$D$4:$D$692,$B23,'апрель 2023'!$J$4:$J$692,AB$1)</f>
        <v>0</v>
      </c>
      <c r="AC23" s="198">
        <f>SUMIFS('апрель 2023'!$G$4:$G$692,'апрель 2023'!$D$4:$D$692,$B23,'апрель 2023'!$J$4:$J$692,AC$1)</f>
        <v>0</v>
      </c>
      <c r="AD23" s="198">
        <f>SUMIFS('апрель 2023'!$G$4:$G$692,'апрель 2023'!$D$4:$D$692,$B23,'апрель 2023'!$J$4:$J$692,AD$1)</f>
        <v>0</v>
      </c>
      <c r="AE23" s="198">
        <f>SUMIFS('апрель 2023'!$G$4:$G$692,'апрель 2023'!$D$4:$D$692,$B23,'апрель 2023'!$J$4:$J$692,AE$1)</f>
        <v>0</v>
      </c>
      <c r="AF23" s="198">
        <f>SUMIFS('апрель 2023'!$G$4:$G$692,'апрель 2023'!$D$4:$D$692,$B23,'апрель 2023'!$J$4:$J$692,AF$1)</f>
        <v>0</v>
      </c>
      <c r="AG23" s="198">
        <f>SUMIFS('апрель 2023'!$G$4:$G$692,'апрель 2023'!$D$4:$D$692,$B23,'апрель 2023'!$J$4:$J$692,AG$1)</f>
        <v>0</v>
      </c>
      <c r="AH23" s="198">
        <f>SUMIFS('апрель 2023'!$G$4:$G$692,'апрель 2023'!$D$4:$D$692,$B23,'апрель 2023'!$J$4:$J$692,AH$1)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SUMIFS('апрель 2023'!$G$4:$G$692,'апрель 2023'!$D$4:$D$692,$B24,'апрель 2023'!$J$4:$J$692,D$1)</f>
        <v>0</v>
      </c>
      <c r="E24" s="198">
        <f>SUMIFS('апрель 2023'!$G$4:$G$692,'апрель 2023'!$D$4:$D$692,$B24,'апрель 2023'!$J$4:$J$692,E$1)</f>
        <v>0</v>
      </c>
      <c r="F24" s="198">
        <f>SUMIFS('апрель 2023'!$G$4:$G$692,'апрель 2023'!$D$4:$D$692,$B24,'апрель 2023'!$J$4:$J$692,F$1)</f>
        <v>0</v>
      </c>
      <c r="G24" s="198">
        <f>SUMIFS('апрель 2023'!$G$4:$G$692,'апрель 2023'!$D$4:$D$692,$B24,'апрель 2023'!$J$4:$J$692,G$1)</f>
        <v>0</v>
      </c>
      <c r="H24" s="198">
        <f>SUMIFS('апрель 2023'!$G$4:$G$692,'апрель 2023'!$D$4:$D$692,$B24,'апрель 2023'!$J$4:$J$692,H$1)</f>
        <v>0</v>
      </c>
      <c r="I24" s="198">
        <f>SUMIFS('апрель 2023'!$G$4:$G$692,'апрель 2023'!$D$4:$D$692,$B24,'апрель 2023'!$J$4:$J$692,I$1)</f>
        <v>0</v>
      </c>
      <c r="J24" s="198">
        <f>SUMIFS('апрель 2023'!$G$4:$G$692,'апрель 2023'!$D$4:$D$692,$B24,'апрель 2023'!$J$4:$J$692,J$1)</f>
        <v>0</v>
      </c>
      <c r="K24" s="198">
        <f>SUMIFS('апрель 2023'!$G$4:$G$692,'апрель 2023'!$D$4:$D$692,$B24,'апрель 2023'!$J$4:$J$692,K$1)</f>
        <v>0</v>
      </c>
      <c r="L24" s="198">
        <f>SUMIFS('апрель 2023'!$G$4:$G$692,'апрель 2023'!$D$4:$D$692,$B24,'апрель 2023'!$J$4:$J$692,L$1)</f>
        <v>0</v>
      </c>
      <c r="M24" s="198">
        <f>SUMIFS('апрель 2023'!$G$4:$G$692,'апрель 2023'!$D$4:$D$692,$B24,'апрель 2023'!$J$4:$J$692,M$1)</f>
        <v>0</v>
      </c>
      <c r="N24" s="198">
        <f>SUMIFS('апрель 2023'!$G$4:$G$692,'апрель 2023'!$D$4:$D$692,$B24,'апрель 2023'!$J$4:$J$692,N$1)</f>
        <v>0</v>
      </c>
      <c r="O24" s="198">
        <f>SUMIFS('апрель 2023'!$G$4:$G$692,'апрель 2023'!$D$4:$D$692,$B24,'апрель 2023'!$J$4:$J$692,O$1)</f>
        <v>0</v>
      </c>
      <c r="P24" s="198">
        <f>SUMIFS('апрель 2023'!$G$4:$G$692,'апрель 2023'!$D$4:$D$692,$B24,'апрель 2023'!$J$4:$J$692,P$1)</f>
        <v>0</v>
      </c>
      <c r="Q24" s="198">
        <f>SUMIFS('апрель 2023'!$G$4:$G$692,'апрель 2023'!$D$4:$D$692,$B24,'апрель 2023'!$J$4:$J$692,Q$1)</f>
        <v>0</v>
      </c>
      <c r="R24" s="198">
        <f>SUMIFS('апрель 2023'!$G$4:$G$692,'апрель 2023'!$D$4:$D$692,$B24,'апрель 2023'!$J$4:$J$692,R$1)</f>
        <v>0</v>
      </c>
      <c r="S24" s="198">
        <f>SUMIFS('апрель 2023'!$G$4:$G$692,'апрель 2023'!$D$4:$D$692,$B24,'апрель 2023'!$J$4:$J$692,S$1)</f>
        <v>0</v>
      </c>
      <c r="T24" s="198">
        <f>SUMIFS('апрель 2023'!$G$4:$G$692,'апрель 2023'!$D$4:$D$692,$B24,'апрель 2023'!$J$4:$J$692,T$1)</f>
        <v>0</v>
      </c>
      <c r="U24" s="198">
        <f>SUMIFS('апрель 2023'!$G$4:$G$692,'апрель 2023'!$D$4:$D$692,$B24,'апрель 2023'!$J$4:$J$692,U$1)</f>
        <v>0</v>
      </c>
      <c r="V24" s="198">
        <f>SUMIFS('апрель 2023'!$G$4:$G$692,'апрель 2023'!$D$4:$D$692,$B24,'апрель 2023'!$J$4:$J$692,V$1)</f>
        <v>0</v>
      </c>
      <c r="W24" s="198">
        <f>SUMIFS('апрель 2023'!$G$4:$G$692,'апрель 2023'!$D$4:$D$692,$B24,'апрель 2023'!$J$4:$J$692,W$1)</f>
        <v>0</v>
      </c>
      <c r="X24" s="198">
        <f>SUMIFS('апрель 2023'!$G$4:$G$692,'апрель 2023'!$D$4:$D$692,$B24,'апрель 2023'!$J$4:$J$692,X$1)</f>
        <v>0</v>
      </c>
      <c r="Y24" s="198">
        <f>SUMIFS('апрель 2023'!$G$4:$G$692,'апрель 2023'!$D$4:$D$692,$B24,'апрель 2023'!$J$4:$J$692,Y$1)</f>
        <v>0</v>
      </c>
      <c r="Z24" s="198">
        <f>SUMIFS('апрель 2023'!$G$4:$G$692,'апрель 2023'!$D$4:$D$692,$B24,'апрель 2023'!$J$4:$J$692,Z$1)</f>
        <v>0</v>
      </c>
      <c r="AA24" s="198">
        <f>SUMIFS('апрель 2023'!$G$4:$G$692,'апрель 2023'!$D$4:$D$692,$B24,'апрель 2023'!$J$4:$J$692,AA$1)</f>
        <v>0</v>
      </c>
      <c r="AB24" s="198">
        <f>SUMIFS('апрель 2023'!$G$4:$G$692,'апрель 2023'!$D$4:$D$692,$B24,'апрель 2023'!$J$4:$J$692,AB$1)</f>
        <v>0</v>
      </c>
      <c r="AC24" s="198">
        <f>SUMIFS('апрель 2023'!$G$4:$G$692,'апрель 2023'!$D$4:$D$692,$B24,'апрель 2023'!$J$4:$J$692,AC$1)</f>
        <v>0</v>
      </c>
      <c r="AD24" s="198">
        <f>SUMIFS('апрель 2023'!$G$4:$G$692,'апрель 2023'!$D$4:$D$692,$B24,'апрель 2023'!$J$4:$J$692,AD$1)</f>
        <v>0</v>
      </c>
      <c r="AE24" s="198">
        <f>SUMIFS('апрель 2023'!$G$4:$G$692,'апрель 2023'!$D$4:$D$692,$B24,'апрель 2023'!$J$4:$J$692,AE$1)</f>
        <v>0</v>
      </c>
      <c r="AF24" s="198">
        <f>SUMIFS('апрель 2023'!$G$4:$G$692,'апрель 2023'!$D$4:$D$692,$B24,'апрель 2023'!$J$4:$J$692,AF$1)</f>
        <v>0</v>
      </c>
      <c r="AG24" s="198">
        <f>SUMIFS('апрель 2023'!$G$4:$G$692,'апрель 2023'!$D$4:$D$692,$B24,'апрель 2023'!$J$4:$J$692,AG$1)</f>
        <v>0</v>
      </c>
      <c r="AH24" s="198">
        <f>SUMIFS('апрель 2023'!$G$4:$G$692,'апрель 2023'!$D$4:$D$692,$B24,'апрель 2023'!$J$4:$J$692,AH$1)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SUMIFS('апрель 2023'!$G$4:$G$692,'апрель 2023'!$D$4:$D$692,$B25,'апрель 2023'!$J$4:$J$692,D$1)</f>
        <v>0</v>
      </c>
      <c r="E25" s="198">
        <f>SUMIFS('апрель 2023'!$G$4:$G$692,'апрель 2023'!$D$4:$D$692,$B25,'апрель 2023'!$J$4:$J$692,E$1)</f>
        <v>0</v>
      </c>
      <c r="F25" s="198">
        <f>SUMIFS('апрель 2023'!$G$4:$G$692,'апрель 2023'!$D$4:$D$692,$B25,'апрель 2023'!$J$4:$J$692,F$1)</f>
        <v>0</v>
      </c>
      <c r="G25" s="198">
        <f>SUMIFS('апрель 2023'!$G$4:$G$692,'апрель 2023'!$D$4:$D$692,$B25,'апрель 2023'!$J$4:$J$692,G$1)</f>
        <v>0</v>
      </c>
      <c r="H25" s="198">
        <f>SUMIFS('апрель 2023'!$G$4:$G$692,'апрель 2023'!$D$4:$D$692,$B25,'апрель 2023'!$J$4:$J$692,H$1)</f>
        <v>0</v>
      </c>
      <c r="I25" s="198">
        <f>SUMIFS('апрель 2023'!$G$4:$G$692,'апрель 2023'!$D$4:$D$692,$B25,'апрель 2023'!$J$4:$J$692,I$1)</f>
        <v>0</v>
      </c>
      <c r="J25" s="198">
        <f>SUMIFS('апрель 2023'!$G$4:$G$692,'апрель 2023'!$D$4:$D$692,$B25,'апрель 2023'!$J$4:$J$692,J$1)</f>
        <v>0</v>
      </c>
      <c r="K25" s="198">
        <f>SUMIFS('апрель 2023'!$G$4:$G$692,'апрель 2023'!$D$4:$D$692,$B25,'апрель 2023'!$J$4:$J$692,K$1)</f>
        <v>0</v>
      </c>
      <c r="L25" s="198">
        <f>SUMIFS('апрель 2023'!$G$4:$G$692,'апрель 2023'!$D$4:$D$692,$B25,'апрель 2023'!$J$4:$J$692,L$1)</f>
        <v>0</v>
      </c>
      <c r="M25" s="198">
        <f>SUMIFS('апрель 2023'!$G$4:$G$692,'апрель 2023'!$D$4:$D$692,$B25,'апрель 2023'!$J$4:$J$692,M$1)</f>
        <v>0</v>
      </c>
      <c r="N25" s="198">
        <f>SUMIFS('апрель 2023'!$G$4:$G$692,'апрель 2023'!$D$4:$D$692,$B25,'апрель 2023'!$J$4:$J$692,N$1)</f>
        <v>0</v>
      </c>
      <c r="O25" s="198">
        <f>SUMIFS('апрель 2023'!$G$4:$G$692,'апрель 2023'!$D$4:$D$692,$B25,'апрель 2023'!$J$4:$J$692,O$1)</f>
        <v>0</v>
      </c>
      <c r="P25" s="198">
        <f>SUMIFS('апрель 2023'!$G$4:$G$692,'апрель 2023'!$D$4:$D$692,$B25,'апрель 2023'!$J$4:$J$692,P$1)</f>
        <v>0</v>
      </c>
      <c r="Q25" s="198">
        <f>SUMIFS('апрель 2023'!$G$4:$G$692,'апрель 2023'!$D$4:$D$692,$B25,'апрель 2023'!$J$4:$J$692,Q$1)</f>
        <v>0</v>
      </c>
      <c r="R25" s="198">
        <f>SUMIFS('апрель 2023'!$G$4:$G$692,'апрель 2023'!$D$4:$D$692,$B25,'апрель 2023'!$J$4:$J$692,R$1)</f>
        <v>0</v>
      </c>
      <c r="S25" s="198">
        <f>SUMIFS('апрель 2023'!$G$4:$G$692,'апрель 2023'!$D$4:$D$692,$B25,'апрель 2023'!$J$4:$J$692,S$1)</f>
        <v>0</v>
      </c>
      <c r="T25" s="198">
        <f>SUMIFS('апрель 2023'!$G$4:$G$692,'апрель 2023'!$D$4:$D$692,$B25,'апрель 2023'!$J$4:$J$692,T$1)</f>
        <v>0</v>
      </c>
      <c r="U25" s="198">
        <f>SUMIFS('апрель 2023'!$G$4:$G$692,'апрель 2023'!$D$4:$D$692,$B25,'апрель 2023'!$J$4:$J$692,U$1)</f>
        <v>0</v>
      </c>
      <c r="V25" s="198">
        <f>SUMIFS('апрель 2023'!$G$4:$G$692,'апрель 2023'!$D$4:$D$692,$B25,'апрель 2023'!$J$4:$J$692,V$1)</f>
        <v>0</v>
      </c>
      <c r="W25" s="198">
        <f>SUMIFS('апрель 2023'!$G$4:$G$692,'апрель 2023'!$D$4:$D$692,$B25,'апрель 2023'!$J$4:$J$692,W$1)</f>
        <v>0</v>
      </c>
      <c r="X25" s="198">
        <f>SUMIFS('апрель 2023'!$G$4:$G$692,'апрель 2023'!$D$4:$D$692,$B25,'апрель 2023'!$J$4:$J$692,X$1)</f>
        <v>0</v>
      </c>
      <c r="Y25" s="198">
        <f>SUMIFS('апрель 2023'!$G$4:$G$692,'апрель 2023'!$D$4:$D$692,$B25,'апрель 2023'!$J$4:$J$692,Y$1)</f>
        <v>0</v>
      </c>
      <c r="Z25" s="198">
        <f>SUMIFS('апрель 2023'!$G$4:$G$692,'апрель 2023'!$D$4:$D$692,$B25,'апрель 2023'!$J$4:$J$692,Z$1)</f>
        <v>0</v>
      </c>
      <c r="AA25" s="198">
        <f>SUMIFS('апрель 2023'!$G$4:$G$692,'апрель 2023'!$D$4:$D$692,$B25,'апрель 2023'!$J$4:$J$692,AA$1)</f>
        <v>0</v>
      </c>
      <c r="AB25" s="198">
        <f>SUMIFS('апрель 2023'!$G$4:$G$692,'апрель 2023'!$D$4:$D$692,$B25,'апрель 2023'!$J$4:$J$692,AB$1)</f>
        <v>0</v>
      </c>
      <c r="AC25" s="198">
        <f>SUMIFS('апрель 2023'!$G$4:$G$692,'апрель 2023'!$D$4:$D$692,$B25,'апрель 2023'!$J$4:$J$692,AC$1)</f>
        <v>0</v>
      </c>
      <c r="AD25" s="198">
        <f>SUMIFS('апрель 2023'!$G$4:$G$692,'апрель 2023'!$D$4:$D$692,$B25,'апрель 2023'!$J$4:$J$692,AD$1)</f>
        <v>0</v>
      </c>
      <c r="AE25" s="198">
        <f>SUMIFS('апрель 2023'!$G$4:$G$692,'апрель 2023'!$D$4:$D$692,$B25,'апрель 2023'!$J$4:$J$692,AE$1)</f>
        <v>0</v>
      </c>
      <c r="AF25" s="198">
        <f>SUMIFS('апрель 2023'!$G$4:$G$692,'апрель 2023'!$D$4:$D$692,$B25,'апрель 2023'!$J$4:$J$692,AF$1)</f>
        <v>0</v>
      </c>
      <c r="AG25" s="198">
        <f>SUMIFS('апрель 2023'!$G$4:$G$692,'апрель 2023'!$D$4:$D$692,$B25,'апрель 2023'!$J$4:$J$692,AG$1)</f>
        <v>0</v>
      </c>
      <c r="AH25" s="198">
        <f>SUMIFS('апрель 2023'!$G$4:$G$692,'апрель 2023'!$D$4:$D$692,$B25,'апрель 2023'!$J$4:$J$692,AH$1)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SUMIFS('апрель 2023'!$G$4:$G$692,'апрель 2023'!$D$4:$D$692,$B26,'апрель 2023'!$J$4:$J$692,D$1)</f>
        <v>0</v>
      </c>
      <c r="E26" s="198">
        <f>SUMIFS('апрель 2023'!$G$4:$G$692,'апрель 2023'!$D$4:$D$692,$B26,'апрель 2023'!$J$4:$J$692,E$1)</f>
        <v>0</v>
      </c>
      <c r="F26" s="198">
        <f>SUMIFS('апрель 2023'!$G$4:$G$692,'апрель 2023'!$D$4:$D$692,$B26,'апрель 2023'!$J$4:$J$692,F$1)</f>
        <v>0</v>
      </c>
      <c r="G26" s="198">
        <f>SUMIFS('апрель 2023'!$G$4:$G$692,'апрель 2023'!$D$4:$D$692,$B26,'апрель 2023'!$J$4:$J$692,G$1)</f>
        <v>0</v>
      </c>
      <c r="H26" s="198">
        <f>SUMIFS('апрель 2023'!$G$4:$G$692,'апрель 2023'!$D$4:$D$692,$B26,'апрель 2023'!$J$4:$J$692,H$1)</f>
        <v>0</v>
      </c>
      <c r="I26" s="198">
        <f>SUMIFS('апрель 2023'!$G$4:$G$692,'апрель 2023'!$D$4:$D$692,$B26,'апрель 2023'!$J$4:$J$692,I$1)</f>
        <v>0</v>
      </c>
      <c r="J26" s="198">
        <f>SUMIFS('апрель 2023'!$G$4:$G$692,'апрель 2023'!$D$4:$D$692,$B26,'апрель 2023'!$J$4:$J$692,J$1)</f>
        <v>0</v>
      </c>
      <c r="K26" s="198">
        <f>SUMIFS('апрель 2023'!$G$4:$G$692,'апрель 2023'!$D$4:$D$692,$B26,'апрель 2023'!$J$4:$J$692,K$1)</f>
        <v>0</v>
      </c>
      <c r="L26" s="198">
        <f>SUMIFS('апрель 2023'!$G$4:$G$692,'апрель 2023'!$D$4:$D$692,$B26,'апрель 2023'!$J$4:$J$692,L$1)</f>
        <v>0</v>
      </c>
      <c r="M26" s="198">
        <f>SUMIFS('апрель 2023'!$G$4:$G$692,'апрель 2023'!$D$4:$D$692,$B26,'апрель 2023'!$J$4:$J$692,M$1)</f>
        <v>0</v>
      </c>
      <c r="N26" s="198">
        <f>SUMIFS('апрель 2023'!$G$4:$G$692,'апрель 2023'!$D$4:$D$692,$B26,'апрель 2023'!$J$4:$J$692,N$1)</f>
        <v>0</v>
      </c>
      <c r="O26" s="198">
        <f>SUMIFS('апрель 2023'!$G$4:$G$692,'апрель 2023'!$D$4:$D$692,$B26,'апрель 2023'!$J$4:$J$692,O$1)</f>
        <v>0</v>
      </c>
      <c r="P26" s="198">
        <f>SUMIFS('апрель 2023'!$G$4:$G$692,'апрель 2023'!$D$4:$D$692,$B26,'апрель 2023'!$J$4:$J$692,P$1)</f>
        <v>0</v>
      </c>
      <c r="Q26" s="198">
        <f>SUMIFS('апрель 2023'!$G$4:$G$692,'апрель 2023'!$D$4:$D$692,$B26,'апрель 2023'!$J$4:$J$692,Q$1)</f>
        <v>0</v>
      </c>
      <c r="R26" s="198">
        <f>SUMIFS('апрель 2023'!$G$4:$G$692,'апрель 2023'!$D$4:$D$692,$B26,'апрель 2023'!$J$4:$J$692,R$1)</f>
        <v>0</v>
      </c>
      <c r="S26" s="198">
        <f>SUMIFS('апрель 2023'!$G$4:$G$692,'апрель 2023'!$D$4:$D$692,$B26,'апрель 2023'!$J$4:$J$692,S$1)</f>
        <v>0</v>
      </c>
      <c r="T26" s="198">
        <f>SUMIFS('апрель 2023'!$G$4:$G$692,'апрель 2023'!$D$4:$D$692,$B26,'апрель 2023'!$J$4:$J$692,T$1)</f>
        <v>0</v>
      </c>
      <c r="U26" s="198">
        <f>SUMIFS('апрель 2023'!$G$4:$G$692,'апрель 2023'!$D$4:$D$692,$B26,'апрель 2023'!$J$4:$J$692,U$1)</f>
        <v>0</v>
      </c>
      <c r="V26" s="198">
        <f>SUMIFS('апрель 2023'!$G$4:$G$692,'апрель 2023'!$D$4:$D$692,$B26,'апрель 2023'!$J$4:$J$692,V$1)</f>
        <v>0</v>
      </c>
      <c r="W26" s="198">
        <f>SUMIFS('апрель 2023'!$G$4:$G$692,'апрель 2023'!$D$4:$D$692,$B26,'апрель 2023'!$J$4:$J$692,W$1)</f>
        <v>0</v>
      </c>
      <c r="X26" s="198">
        <f>SUMIFS('апрель 2023'!$G$4:$G$692,'апрель 2023'!$D$4:$D$692,$B26,'апрель 2023'!$J$4:$J$692,X$1)</f>
        <v>0</v>
      </c>
      <c r="Y26" s="198">
        <f>SUMIFS('апрель 2023'!$G$4:$G$692,'апрель 2023'!$D$4:$D$692,$B26,'апрель 2023'!$J$4:$J$692,Y$1)</f>
        <v>0</v>
      </c>
      <c r="Z26" s="198">
        <f>SUMIFS('апрель 2023'!$G$4:$G$692,'апрель 2023'!$D$4:$D$692,$B26,'апрель 2023'!$J$4:$J$692,Z$1)</f>
        <v>0</v>
      </c>
      <c r="AA26" s="198">
        <f>SUMIFS('апрель 2023'!$G$4:$G$692,'апрель 2023'!$D$4:$D$692,$B26,'апрель 2023'!$J$4:$J$692,AA$1)</f>
        <v>0</v>
      </c>
      <c r="AB26" s="198">
        <f>SUMIFS('апрель 2023'!$G$4:$G$692,'апрель 2023'!$D$4:$D$692,$B26,'апрель 2023'!$J$4:$J$692,AB$1)</f>
        <v>0</v>
      </c>
      <c r="AC26" s="198">
        <f>SUMIFS('апрель 2023'!$G$4:$G$692,'апрель 2023'!$D$4:$D$692,$B26,'апрель 2023'!$J$4:$J$692,AC$1)</f>
        <v>0</v>
      </c>
      <c r="AD26" s="198">
        <f>SUMIFS('апрель 2023'!$G$4:$G$692,'апрель 2023'!$D$4:$D$692,$B26,'апрель 2023'!$J$4:$J$692,AD$1)</f>
        <v>0</v>
      </c>
      <c r="AE26" s="198">
        <f>SUMIFS('апрель 2023'!$G$4:$G$692,'апрель 2023'!$D$4:$D$692,$B26,'апрель 2023'!$J$4:$J$692,AE$1)</f>
        <v>0</v>
      </c>
      <c r="AF26" s="198">
        <f>SUMIFS('апрель 2023'!$G$4:$G$692,'апрель 2023'!$D$4:$D$692,$B26,'апрель 2023'!$J$4:$J$692,AF$1)</f>
        <v>0</v>
      </c>
      <c r="AG26" s="198">
        <f>SUMIFS('апрель 2023'!$G$4:$G$692,'апрель 2023'!$D$4:$D$692,$B26,'апрель 2023'!$J$4:$J$692,AG$1)</f>
        <v>0</v>
      </c>
      <c r="AH26" s="198">
        <f>SUMIFS('апрель 2023'!$G$4:$G$692,'апрель 2023'!$D$4:$D$692,$B26,'апрель 2023'!$J$4:$J$692,AH$1)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SUMIFS('апрель 2023'!$G$4:$G$692,'апрель 2023'!$D$4:$D$692,$B27,'апрель 2023'!$J$4:$J$692,D$1)</f>
        <v>0</v>
      </c>
      <c r="E27" s="198">
        <f>SUMIFS('апрель 2023'!$G$4:$G$692,'апрель 2023'!$D$4:$D$692,$B27,'апрель 2023'!$J$4:$J$692,E$1)</f>
        <v>0</v>
      </c>
      <c r="F27" s="198">
        <f>SUMIFS('апрель 2023'!$G$4:$G$692,'апрель 2023'!$D$4:$D$692,$B27,'апрель 2023'!$J$4:$J$692,F$1)</f>
        <v>0</v>
      </c>
      <c r="G27" s="198">
        <f>SUMIFS('апрель 2023'!$G$4:$G$692,'апрель 2023'!$D$4:$D$692,$B27,'апрель 2023'!$J$4:$J$692,G$1)</f>
        <v>0</v>
      </c>
      <c r="H27" s="198">
        <f>SUMIFS('апрель 2023'!$G$4:$G$692,'апрель 2023'!$D$4:$D$692,$B27,'апрель 2023'!$J$4:$J$692,H$1)</f>
        <v>0</v>
      </c>
      <c r="I27" s="198">
        <f>SUMIFS('апрель 2023'!$G$4:$G$692,'апрель 2023'!$D$4:$D$692,$B27,'апрель 2023'!$J$4:$J$692,I$1)</f>
        <v>0</v>
      </c>
      <c r="J27" s="198">
        <f>SUMIFS('апрель 2023'!$G$4:$G$692,'апрель 2023'!$D$4:$D$692,$B27,'апрель 2023'!$J$4:$J$692,J$1)</f>
        <v>0</v>
      </c>
      <c r="K27" s="198">
        <f>SUMIFS('апрель 2023'!$G$4:$G$692,'апрель 2023'!$D$4:$D$692,$B27,'апрель 2023'!$J$4:$J$692,K$1)</f>
        <v>0</v>
      </c>
      <c r="L27" s="198">
        <f>SUMIFS('апрель 2023'!$G$4:$G$692,'апрель 2023'!$D$4:$D$692,$B27,'апрель 2023'!$J$4:$J$692,L$1)</f>
        <v>0</v>
      </c>
      <c r="M27" s="198">
        <f>SUMIFS('апрель 2023'!$G$4:$G$692,'апрель 2023'!$D$4:$D$692,$B27,'апрель 2023'!$J$4:$J$692,M$1)</f>
        <v>0</v>
      </c>
      <c r="N27" s="198">
        <f>SUMIFS('апрель 2023'!$G$4:$G$692,'апрель 2023'!$D$4:$D$692,$B27,'апрель 2023'!$J$4:$J$692,N$1)</f>
        <v>0</v>
      </c>
      <c r="O27" s="198">
        <f>SUMIFS('апрель 2023'!$G$4:$G$692,'апрель 2023'!$D$4:$D$692,$B27,'апрель 2023'!$J$4:$J$692,O$1)</f>
        <v>0</v>
      </c>
      <c r="P27" s="198">
        <f>SUMIFS('апрель 2023'!$G$4:$G$692,'апрель 2023'!$D$4:$D$692,$B27,'апрель 2023'!$J$4:$J$692,P$1)</f>
        <v>0</v>
      </c>
      <c r="Q27" s="198">
        <f>SUMIFS('апрель 2023'!$G$4:$G$692,'апрель 2023'!$D$4:$D$692,$B27,'апрель 2023'!$J$4:$J$692,Q$1)</f>
        <v>0</v>
      </c>
      <c r="R27" s="198">
        <f>SUMIFS('апрель 2023'!$G$4:$G$692,'апрель 2023'!$D$4:$D$692,$B27,'апрель 2023'!$J$4:$J$692,R$1)</f>
        <v>0</v>
      </c>
      <c r="S27" s="198">
        <f>SUMIFS('апрель 2023'!$G$4:$G$692,'апрель 2023'!$D$4:$D$692,$B27,'апрель 2023'!$J$4:$J$692,S$1)</f>
        <v>0</v>
      </c>
      <c r="T27" s="198">
        <f>SUMIFS('апрель 2023'!$G$4:$G$692,'апрель 2023'!$D$4:$D$692,$B27,'апрель 2023'!$J$4:$J$692,T$1)</f>
        <v>0</v>
      </c>
      <c r="U27" s="198">
        <f>SUMIFS('апрель 2023'!$G$4:$G$692,'апрель 2023'!$D$4:$D$692,$B27,'апрель 2023'!$J$4:$J$692,U$1)</f>
        <v>0</v>
      </c>
      <c r="V27" s="198">
        <f>SUMIFS('апрель 2023'!$G$4:$G$692,'апрель 2023'!$D$4:$D$692,$B27,'апрель 2023'!$J$4:$J$692,V$1)</f>
        <v>0</v>
      </c>
      <c r="W27" s="198">
        <f>SUMIFS('апрель 2023'!$G$4:$G$692,'апрель 2023'!$D$4:$D$692,$B27,'апрель 2023'!$J$4:$J$692,W$1)</f>
        <v>0</v>
      </c>
      <c r="X27" s="198">
        <f>SUMIFS('апрель 2023'!$G$4:$G$692,'апрель 2023'!$D$4:$D$692,$B27,'апрель 2023'!$J$4:$J$692,X$1)</f>
        <v>0</v>
      </c>
      <c r="Y27" s="198">
        <f>SUMIFS('апрель 2023'!$G$4:$G$692,'апрель 2023'!$D$4:$D$692,$B27,'апрель 2023'!$J$4:$J$692,Y$1)</f>
        <v>0</v>
      </c>
      <c r="Z27" s="198">
        <f>SUMIFS('апрель 2023'!$G$4:$G$692,'апрель 2023'!$D$4:$D$692,$B27,'апрель 2023'!$J$4:$J$692,Z$1)</f>
        <v>0</v>
      </c>
      <c r="AA27" s="198">
        <f>SUMIFS('апрель 2023'!$G$4:$G$692,'апрель 2023'!$D$4:$D$692,$B27,'апрель 2023'!$J$4:$J$692,AA$1)</f>
        <v>0</v>
      </c>
      <c r="AB27" s="198">
        <f>SUMIFS('апрель 2023'!$G$4:$G$692,'апрель 2023'!$D$4:$D$692,$B27,'апрель 2023'!$J$4:$J$692,AB$1)</f>
        <v>0</v>
      </c>
      <c r="AC27" s="198">
        <f>SUMIFS('апрель 2023'!$G$4:$G$692,'апрель 2023'!$D$4:$D$692,$B27,'апрель 2023'!$J$4:$J$692,AC$1)</f>
        <v>0</v>
      </c>
      <c r="AD27" s="198">
        <f>SUMIFS('апрель 2023'!$G$4:$G$692,'апрель 2023'!$D$4:$D$692,$B27,'апрель 2023'!$J$4:$J$692,AD$1)</f>
        <v>0</v>
      </c>
      <c r="AE27" s="198">
        <f>SUMIFS('апрель 2023'!$G$4:$G$692,'апрель 2023'!$D$4:$D$692,$B27,'апрель 2023'!$J$4:$J$692,AE$1)</f>
        <v>0</v>
      </c>
      <c r="AF27" s="198">
        <f>SUMIFS('апрель 2023'!$G$4:$G$692,'апрель 2023'!$D$4:$D$692,$B27,'апрель 2023'!$J$4:$J$692,AF$1)</f>
        <v>0</v>
      </c>
      <c r="AG27" s="198">
        <f>SUMIFS('апрель 2023'!$G$4:$G$692,'апрель 2023'!$D$4:$D$692,$B27,'апрель 2023'!$J$4:$J$692,AG$1)</f>
        <v>0</v>
      </c>
      <c r="AH27" s="198">
        <f>SUMIFS('апрель 2023'!$G$4:$G$692,'апрель 2023'!$D$4:$D$692,$B27,'апрель 2023'!$J$4:$J$692,AH$1)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SUMIFS('апрель 2023'!$G$4:$G$692,'апрель 2023'!$D$4:$D$692,$B28,'апрель 2023'!$J$4:$J$692,D$1)</f>
        <v>0</v>
      </c>
      <c r="E28" s="198">
        <f>SUMIFS('апрель 2023'!$G$4:$G$692,'апрель 2023'!$D$4:$D$692,$B28,'апрель 2023'!$J$4:$J$692,E$1)</f>
        <v>0</v>
      </c>
      <c r="F28" s="198">
        <f>SUMIFS('апрель 2023'!$G$4:$G$692,'апрель 2023'!$D$4:$D$692,$B28,'апрель 2023'!$J$4:$J$692,F$1)</f>
        <v>0</v>
      </c>
      <c r="G28" s="198">
        <f>SUMIFS('апрель 2023'!$G$4:$G$692,'апрель 2023'!$D$4:$D$692,$B28,'апрель 2023'!$J$4:$J$692,G$1)</f>
        <v>0</v>
      </c>
      <c r="H28" s="198">
        <f>SUMIFS('апрель 2023'!$G$4:$G$692,'апрель 2023'!$D$4:$D$692,$B28,'апрель 2023'!$J$4:$J$692,H$1)</f>
        <v>0</v>
      </c>
      <c r="I28" s="198">
        <f>SUMIFS('апрель 2023'!$G$4:$G$692,'апрель 2023'!$D$4:$D$692,$B28,'апрель 2023'!$J$4:$J$692,I$1)</f>
        <v>0</v>
      </c>
      <c r="J28" s="198">
        <f>SUMIFS('апрель 2023'!$G$4:$G$692,'апрель 2023'!$D$4:$D$692,$B28,'апрель 2023'!$J$4:$J$692,J$1)</f>
        <v>0</v>
      </c>
      <c r="K28" s="198">
        <f>SUMIFS('апрель 2023'!$G$4:$G$692,'апрель 2023'!$D$4:$D$692,$B28,'апрель 2023'!$J$4:$J$692,K$1)</f>
        <v>0</v>
      </c>
      <c r="L28" s="198">
        <f>SUMIFS('апрель 2023'!$G$4:$G$692,'апрель 2023'!$D$4:$D$692,$B28,'апрель 2023'!$J$4:$J$692,L$1)</f>
        <v>0</v>
      </c>
      <c r="M28" s="198">
        <f>SUMIFS('апрель 2023'!$G$4:$G$692,'апрель 2023'!$D$4:$D$692,$B28,'апрель 2023'!$J$4:$J$692,M$1)</f>
        <v>0</v>
      </c>
      <c r="N28" s="198">
        <f>SUMIFS('апрель 2023'!$G$4:$G$692,'апрель 2023'!$D$4:$D$692,$B28,'апрель 2023'!$J$4:$J$692,N$1)</f>
        <v>0</v>
      </c>
      <c r="O28" s="198">
        <f>SUMIFS('апрель 2023'!$G$4:$G$692,'апрель 2023'!$D$4:$D$692,$B28,'апрель 2023'!$J$4:$J$692,O$1)</f>
        <v>0</v>
      </c>
      <c r="P28" s="198">
        <f>SUMIFS('апрель 2023'!$G$4:$G$692,'апрель 2023'!$D$4:$D$692,$B28,'апрель 2023'!$J$4:$J$692,P$1)</f>
        <v>0</v>
      </c>
      <c r="Q28" s="198">
        <f>SUMIFS('апрель 2023'!$G$4:$G$692,'апрель 2023'!$D$4:$D$692,$B28,'апрель 2023'!$J$4:$J$692,Q$1)</f>
        <v>0</v>
      </c>
      <c r="R28" s="198">
        <f>SUMIFS('апрель 2023'!$G$4:$G$692,'апрель 2023'!$D$4:$D$692,$B28,'апрель 2023'!$J$4:$J$692,R$1)</f>
        <v>0</v>
      </c>
      <c r="S28" s="198">
        <f>SUMIFS('апрель 2023'!$G$4:$G$692,'апрель 2023'!$D$4:$D$692,$B28,'апрель 2023'!$J$4:$J$692,S$1)</f>
        <v>0</v>
      </c>
      <c r="T28" s="198">
        <f>SUMIFS('апрель 2023'!$G$4:$G$692,'апрель 2023'!$D$4:$D$692,$B28,'апрель 2023'!$J$4:$J$692,T$1)</f>
        <v>0</v>
      </c>
      <c r="U28" s="198">
        <f>SUMIFS('апрель 2023'!$G$4:$G$692,'апрель 2023'!$D$4:$D$692,$B28,'апрель 2023'!$J$4:$J$692,U$1)</f>
        <v>0</v>
      </c>
      <c r="V28" s="198">
        <f>SUMIFS('апрель 2023'!$G$4:$G$692,'апрель 2023'!$D$4:$D$692,$B28,'апрель 2023'!$J$4:$J$692,V$1)</f>
        <v>0</v>
      </c>
      <c r="W28" s="198">
        <f>SUMIFS('апрель 2023'!$G$4:$G$692,'апрель 2023'!$D$4:$D$692,$B28,'апрель 2023'!$J$4:$J$692,W$1)</f>
        <v>0</v>
      </c>
      <c r="X28" s="198">
        <f>SUMIFS('апрель 2023'!$G$4:$G$692,'апрель 2023'!$D$4:$D$692,$B28,'апрель 2023'!$J$4:$J$692,X$1)</f>
        <v>0</v>
      </c>
      <c r="Y28" s="198">
        <f>SUMIFS('апрель 2023'!$G$4:$G$692,'апрель 2023'!$D$4:$D$692,$B28,'апрель 2023'!$J$4:$J$692,Y$1)</f>
        <v>0</v>
      </c>
      <c r="Z28" s="198">
        <f>SUMIFS('апрель 2023'!$G$4:$G$692,'апрель 2023'!$D$4:$D$692,$B28,'апрель 2023'!$J$4:$J$692,Z$1)</f>
        <v>0</v>
      </c>
      <c r="AA28" s="198">
        <f>SUMIFS('апрель 2023'!$G$4:$G$692,'апрель 2023'!$D$4:$D$692,$B28,'апрель 2023'!$J$4:$J$692,AA$1)</f>
        <v>0</v>
      </c>
      <c r="AB28" s="198">
        <f>SUMIFS('апрель 2023'!$G$4:$G$692,'апрель 2023'!$D$4:$D$692,$B28,'апрель 2023'!$J$4:$J$692,AB$1)</f>
        <v>0</v>
      </c>
      <c r="AC28" s="198">
        <f>SUMIFS('апрель 2023'!$G$4:$G$692,'апрель 2023'!$D$4:$D$692,$B28,'апрель 2023'!$J$4:$J$692,AC$1)</f>
        <v>0</v>
      </c>
      <c r="AD28" s="198">
        <f>SUMIFS('апрель 2023'!$G$4:$G$692,'апрель 2023'!$D$4:$D$692,$B28,'апрель 2023'!$J$4:$J$692,AD$1)</f>
        <v>0</v>
      </c>
      <c r="AE28" s="198">
        <f>SUMIFS('апрель 2023'!$G$4:$G$692,'апрель 2023'!$D$4:$D$692,$B28,'апрель 2023'!$J$4:$J$692,AE$1)</f>
        <v>0</v>
      </c>
      <c r="AF28" s="198">
        <f>SUMIFS('апрель 2023'!$G$4:$G$692,'апрель 2023'!$D$4:$D$692,$B28,'апрель 2023'!$J$4:$J$692,AF$1)</f>
        <v>0</v>
      </c>
      <c r="AG28" s="198">
        <f>SUMIFS('апрель 2023'!$G$4:$G$692,'апрель 2023'!$D$4:$D$692,$B28,'апрель 2023'!$J$4:$J$692,AG$1)</f>
        <v>0</v>
      </c>
      <c r="AH28" s="198">
        <f>SUMIFS('апрель 2023'!$G$4:$G$692,'апрель 2023'!$D$4:$D$692,$B28,'апрель 2023'!$J$4:$J$692,AH$1)</f>
        <v>0</v>
      </c>
      <c r="AI28" s="170">
        <f t="shared" si="1"/>
        <v>0</v>
      </c>
    </row>
    <row r="29" spans="2:35" ht="15" customHeight="1" x14ac:dyDescent="0.25">
      <c r="B29" s="202"/>
      <c r="C29" s="200"/>
      <c r="D29" s="198">
        <f>SUMIFS('апрель 2023'!$G$4:$G$692,'апрель 2023'!$D$4:$D$692,$B29,'апрель 2023'!$J$4:$J$692,D$1)</f>
        <v>0</v>
      </c>
      <c r="E29" s="198">
        <f>SUMIFS('апрель 2023'!$G$4:$G$692,'апрель 2023'!$D$4:$D$692,$B29,'апрель 2023'!$J$4:$J$692,E$1)</f>
        <v>0</v>
      </c>
      <c r="F29" s="198">
        <f>SUMIFS('апрель 2023'!$G$4:$G$692,'апрель 2023'!$D$4:$D$692,$B29,'апрель 2023'!$J$4:$J$692,F$1)</f>
        <v>0</v>
      </c>
      <c r="G29" s="198">
        <f>SUMIFS('апрель 2023'!$G$4:$G$692,'апрель 2023'!$D$4:$D$692,$B29,'апрель 2023'!$J$4:$J$692,G$1)</f>
        <v>0</v>
      </c>
      <c r="H29" s="198">
        <f>SUMIFS('апрель 2023'!$G$4:$G$692,'апрель 2023'!$D$4:$D$692,$B29,'апрель 2023'!$J$4:$J$692,H$1)</f>
        <v>0</v>
      </c>
      <c r="I29" s="198">
        <f>SUMIFS('апрель 2023'!$G$4:$G$692,'апрель 2023'!$D$4:$D$692,$B29,'апрель 2023'!$J$4:$J$692,I$1)</f>
        <v>0</v>
      </c>
      <c r="J29" s="198">
        <f>SUMIFS('апрель 2023'!$G$4:$G$692,'апрель 2023'!$D$4:$D$692,$B29,'апрель 2023'!$J$4:$J$692,J$1)</f>
        <v>0</v>
      </c>
      <c r="K29" s="198">
        <f>SUMIFS('апрель 2023'!$G$4:$G$692,'апрель 2023'!$D$4:$D$692,$B29,'апрель 2023'!$J$4:$J$692,K$1)</f>
        <v>0</v>
      </c>
      <c r="L29" s="198">
        <f>SUMIFS('апрель 2023'!$G$4:$G$692,'апрель 2023'!$D$4:$D$692,$B29,'апрель 2023'!$J$4:$J$692,L$1)</f>
        <v>0</v>
      </c>
      <c r="M29" s="198">
        <f>SUMIFS('апрель 2023'!$G$4:$G$692,'апрель 2023'!$D$4:$D$692,$B29,'апрель 2023'!$J$4:$J$692,M$1)</f>
        <v>0</v>
      </c>
      <c r="N29" s="198">
        <f>SUMIFS('апрель 2023'!$G$4:$G$692,'апрель 2023'!$D$4:$D$692,$B29,'апрель 2023'!$J$4:$J$692,N$1)</f>
        <v>0</v>
      </c>
      <c r="O29" s="198">
        <f>SUMIFS('апрель 2023'!$G$4:$G$692,'апрель 2023'!$D$4:$D$692,$B29,'апрель 2023'!$J$4:$J$692,O$1)</f>
        <v>0</v>
      </c>
      <c r="P29" s="198">
        <f>SUMIFS('апрель 2023'!$G$4:$G$692,'апрель 2023'!$D$4:$D$692,$B29,'апрель 2023'!$J$4:$J$692,P$1)</f>
        <v>0</v>
      </c>
      <c r="Q29" s="198">
        <f>SUMIFS('апрель 2023'!$G$4:$G$692,'апрель 2023'!$D$4:$D$692,$B29,'апрель 2023'!$J$4:$J$692,Q$1)</f>
        <v>0</v>
      </c>
      <c r="R29" s="198">
        <f>SUMIFS('апрель 2023'!$G$4:$G$692,'апрель 2023'!$D$4:$D$692,$B29,'апрель 2023'!$J$4:$J$692,R$1)</f>
        <v>0</v>
      </c>
      <c r="S29" s="198">
        <f>SUMIFS('апрель 2023'!$G$4:$G$692,'апрель 2023'!$D$4:$D$692,$B29,'апрель 2023'!$J$4:$J$692,S$1)</f>
        <v>0</v>
      </c>
      <c r="T29" s="198">
        <f>SUMIFS('апрель 2023'!$G$4:$G$692,'апрель 2023'!$D$4:$D$692,$B29,'апрель 2023'!$J$4:$J$692,T$1)</f>
        <v>0</v>
      </c>
      <c r="U29" s="198">
        <f>SUMIFS('апрель 2023'!$G$4:$G$692,'апрель 2023'!$D$4:$D$692,$B29,'апрель 2023'!$J$4:$J$692,U$1)</f>
        <v>0</v>
      </c>
      <c r="V29" s="198">
        <f>SUMIFS('апрель 2023'!$G$4:$G$692,'апрель 2023'!$D$4:$D$692,$B29,'апрель 2023'!$J$4:$J$692,V$1)</f>
        <v>0</v>
      </c>
      <c r="W29" s="198">
        <f>SUMIFS('апрель 2023'!$G$4:$G$692,'апрель 2023'!$D$4:$D$692,$B29,'апрель 2023'!$J$4:$J$692,W$1)</f>
        <v>0</v>
      </c>
      <c r="X29" s="198">
        <f>SUMIFS('апрель 2023'!$G$4:$G$692,'апрель 2023'!$D$4:$D$692,$B29,'апрель 2023'!$J$4:$J$692,X$1)</f>
        <v>0</v>
      </c>
      <c r="Y29" s="198">
        <f>SUMIFS('апрель 2023'!$G$4:$G$692,'апрель 2023'!$D$4:$D$692,$B29,'апрель 2023'!$J$4:$J$692,Y$1)</f>
        <v>0</v>
      </c>
      <c r="Z29" s="198">
        <f>SUMIFS('апрель 2023'!$G$4:$G$692,'апрель 2023'!$D$4:$D$692,$B29,'апрель 2023'!$J$4:$J$692,Z$1)</f>
        <v>0</v>
      </c>
      <c r="AA29" s="198">
        <f>SUMIFS('апрель 2023'!$G$4:$G$692,'апрель 2023'!$D$4:$D$692,$B29,'апрель 2023'!$J$4:$J$692,AA$1)</f>
        <v>0</v>
      </c>
      <c r="AB29" s="198">
        <f>SUMIFS('апрель 2023'!$G$4:$G$692,'апрель 2023'!$D$4:$D$692,$B29,'апрель 2023'!$J$4:$J$692,AB$1)</f>
        <v>0</v>
      </c>
      <c r="AC29" s="198">
        <f>SUMIFS('апрель 2023'!$G$4:$G$692,'апрель 2023'!$D$4:$D$692,$B29,'апрель 2023'!$J$4:$J$692,AC$1)</f>
        <v>0</v>
      </c>
      <c r="AD29" s="198">
        <f>SUMIFS('апрель 2023'!$G$4:$G$692,'апрель 2023'!$D$4:$D$692,$B29,'апрель 2023'!$J$4:$J$692,AD$1)</f>
        <v>0</v>
      </c>
      <c r="AE29" s="198">
        <f>SUMIFS('апрель 2023'!$G$4:$G$692,'апрель 2023'!$D$4:$D$692,$B29,'апрель 2023'!$J$4:$J$692,AE$1)</f>
        <v>0</v>
      </c>
      <c r="AF29" s="198">
        <f>SUMIFS('апрель 2023'!$G$4:$G$692,'апрель 2023'!$D$4:$D$692,$B29,'апрель 2023'!$J$4:$J$692,AF$1)</f>
        <v>0</v>
      </c>
      <c r="AG29" s="198">
        <f>SUMIFS('апрель 2023'!$G$4:$G$692,'апрель 2023'!$D$4:$D$692,$B29,'апрель 2023'!$J$4:$J$692,AG$1)</f>
        <v>0</v>
      </c>
      <c r="AH29" s="198">
        <f>SUMIFS('апрель 2023'!$G$4:$G$692,'апрель 2023'!$D$4:$D$692,$B29,'апрель 2023'!$J$4:$J$692,AH$1)</f>
        <v>0</v>
      </c>
      <c r="AI29" s="170">
        <f t="shared" si="1"/>
        <v>0</v>
      </c>
    </row>
    <row r="30" spans="2:35" ht="15" customHeight="1" x14ac:dyDescent="0.25">
      <c r="B30" s="205" t="s">
        <v>2107</v>
      </c>
      <c r="C30" s="206">
        <v>25</v>
      </c>
      <c r="D30" s="207">
        <f>SUMIFS('апрель 2023'!$G$4:$G$692,'апрель 2023'!$D$4:$D$692,$B30,'апрель 2023'!$J$4:$J$692,D$1)</f>
        <v>0</v>
      </c>
      <c r="E30" s="207">
        <f>SUMIFS('апрель 2023'!$G$4:$G$692,'апрель 2023'!$D$4:$D$692,$B30,'апрель 2023'!$J$4:$J$692,E$1)</f>
        <v>0</v>
      </c>
      <c r="F30" s="207">
        <f>SUMIFS('апрель 2023'!$G$4:$G$692,'апрель 2023'!$D$4:$D$692,$B30,'апрель 2023'!$J$4:$J$692,F$1)</f>
        <v>0</v>
      </c>
      <c r="G30" s="207">
        <f>SUMIFS('апрель 2023'!$G$4:$G$692,'апрель 2023'!$D$4:$D$692,$B30,'апрель 2023'!$J$4:$J$692,G$1)</f>
        <v>0</v>
      </c>
      <c r="H30" s="207">
        <f>SUMIFS('апрель 2023'!$G$4:$G$692,'апрель 2023'!$D$4:$D$692,$B30,'апрель 2023'!$J$4:$J$692,H$1)</f>
        <v>0</v>
      </c>
      <c r="I30" s="207">
        <f>SUMIFS('апрель 2023'!$G$4:$G$692,'апрель 2023'!$D$4:$D$692,$B30,'апрель 2023'!$J$4:$J$692,I$1)</f>
        <v>0</v>
      </c>
      <c r="J30" s="207">
        <f>SUMIFS('апрель 2023'!$G$4:$G$692,'апрель 2023'!$D$4:$D$692,$B30,'апрель 2023'!$J$4:$J$692,J$1)</f>
        <v>0</v>
      </c>
      <c r="K30" s="207">
        <f>SUMIFS('апрель 2023'!$G$4:$G$692,'апрель 2023'!$D$4:$D$692,$B30,'апрель 2023'!$J$4:$J$692,K$1)</f>
        <v>0</v>
      </c>
      <c r="L30" s="207">
        <f>SUMIFS('апрель 2023'!$G$4:$G$692,'апрель 2023'!$D$4:$D$692,$B30,'апрель 2023'!$J$4:$J$692,L$1)</f>
        <v>0</v>
      </c>
      <c r="M30" s="207">
        <f>SUMIFS('апрель 2023'!$G$4:$G$692,'апрель 2023'!$D$4:$D$692,$B30,'апрель 2023'!$J$4:$J$692,M$1)</f>
        <v>0</v>
      </c>
      <c r="N30" s="207">
        <f>SUMIFS('апрель 2023'!$G$4:$G$692,'апрель 2023'!$D$4:$D$692,$B30,'апрель 2023'!$J$4:$J$692,N$1)</f>
        <v>0</v>
      </c>
      <c r="O30" s="207">
        <f>SUMIFS('апрель 2023'!$G$4:$G$692,'апрель 2023'!$D$4:$D$692,$B30,'апрель 2023'!$J$4:$J$692,O$1)</f>
        <v>0</v>
      </c>
      <c r="P30" s="207">
        <f>SUMIFS('апрель 2023'!$G$4:$G$692,'апрель 2023'!$D$4:$D$692,$B30,'апрель 2023'!$J$4:$J$692,P$1)</f>
        <v>0</v>
      </c>
      <c r="Q30" s="207">
        <f>SUMIFS('апрель 2023'!$G$4:$G$692,'апрель 2023'!$D$4:$D$692,$B30,'апрель 2023'!$J$4:$J$692,Q$1)</f>
        <v>0</v>
      </c>
      <c r="R30" s="207">
        <f>SUMIFS('апрель 2023'!$G$4:$G$692,'апрель 2023'!$D$4:$D$692,$B30,'апрель 2023'!$J$4:$J$692,R$1)</f>
        <v>0</v>
      </c>
      <c r="S30" s="207">
        <f>SUMIFS('апрель 2023'!$G$4:$G$692,'апрель 2023'!$D$4:$D$692,$B30,'апрель 2023'!$J$4:$J$692,S$1)</f>
        <v>0</v>
      </c>
      <c r="T30" s="207">
        <f>SUMIFS('апрель 2023'!$G$4:$G$692,'апрель 2023'!$D$4:$D$692,$B30,'апрель 2023'!$J$4:$J$692,T$1)</f>
        <v>0</v>
      </c>
      <c r="U30" s="207">
        <f>SUMIFS('апрель 2023'!$G$4:$G$692,'апрель 2023'!$D$4:$D$692,$B30,'апрель 2023'!$J$4:$J$692,U$1)</f>
        <v>0</v>
      </c>
      <c r="V30" s="207">
        <f>SUMIFS('апрель 2023'!$G$4:$G$692,'апрель 2023'!$D$4:$D$692,$B30,'апрель 2023'!$J$4:$J$692,V$1)</f>
        <v>0</v>
      </c>
      <c r="W30" s="207">
        <f>SUMIFS('апрель 2023'!$G$4:$G$692,'апрель 2023'!$D$4:$D$692,$B30,'апрель 2023'!$J$4:$J$692,W$1)</f>
        <v>0</v>
      </c>
      <c r="X30" s="207">
        <f>SUMIFS('апрель 2023'!$G$4:$G$692,'апрель 2023'!$D$4:$D$692,$B30,'апрель 2023'!$J$4:$J$692,X$1)</f>
        <v>0</v>
      </c>
      <c r="Y30" s="207">
        <f>SUMIFS('апрель 2023'!$G$4:$G$692,'апрель 2023'!$D$4:$D$692,$B30,'апрель 2023'!$J$4:$J$692,Y$1)</f>
        <v>0</v>
      </c>
      <c r="Z30" s="207">
        <f>SUMIFS('апрель 2023'!$G$4:$G$692,'апрель 2023'!$D$4:$D$692,$B30,'апрель 2023'!$J$4:$J$692,Z$1)</f>
        <v>0</v>
      </c>
      <c r="AA30" s="207">
        <f>SUMIFS('апрель 2023'!$G$4:$G$692,'апрель 2023'!$D$4:$D$692,$B30,'апрель 2023'!$J$4:$J$692,AA$1)</f>
        <v>0</v>
      </c>
      <c r="AB30" s="207">
        <f>SUMIFS('апрель 2023'!$G$4:$G$692,'апрель 2023'!$D$4:$D$692,$B30,'апрель 2023'!$J$4:$J$692,AB$1)</f>
        <v>0</v>
      </c>
      <c r="AC30" s="207">
        <f>SUMIFS('апрель 2023'!$G$4:$G$692,'апрель 2023'!$D$4:$D$692,$B30,'апрель 2023'!$J$4:$J$692,AC$1)</f>
        <v>0</v>
      </c>
      <c r="AD30" s="207">
        <f>SUMIFS('апрель 2023'!$G$4:$G$692,'апрель 2023'!$D$4:$D$692,$B30,'апрель 2023'!$J$4:$J$692,AD$1)</f>
        <v>0</v>
      </c>
      <c r="AE30" s="207">
        <f>SUMIFS('апрель 2023'!$G$4:$G$692,'апрель 2023'!$D$4:$D$692,$B30,'апрель 2023'!$J$4:$J$692,AE$1)</f>
        <v>0</v>
      </c>
      <c r="AF30" s="207">
        <f>SUMIFS('апрель 2023'!$G$4:$G$692,'апрель 2023'!$D$4:$D$692,$B30,'апрель 2023'!$J$4:$J$692,AF$1)</f>
        <v>0</v>
      </c>
      <c r="AG30" s="207">
        <f>SUMIFS('апрель 2023'!$G$4:$G$692,'апрель 2023'!$D$4:$D$692,$B30,'апрель 2023'!$J$4:$J$692,AG$1)</f>
        <v>0</v>
      </c>
      <c r="AH30" s="207">
        <f>SUMIFS('апрель 2023'!$G$4:$G$692,'апрель 2023'!$D$4:$D$692,$B30,'апрель 2023'!$J$4:$J$692,AH$1)</f>
        <v>0</v>
      </c>
      <c r="AI30" s="170">
        <f t="shared" si="1"/>
        <v>0</v>
      </c>
    </row>
    <row r="31" spans="2:35" ht="15" customHeight="1" x14ac:dyDescent="0.25">
      <c r="B31" s="208" t="s">
        <v>1392</v>
      </c>
      <c r="C31" s="206">
        <v>25</v>
      </c>
      <c r="D31" s="207">
        <f>SUMIFS('апрель 2023'!$G$4:$G$692,'апрель 2023'!$D$4:$D$692,$B31,'апрель 2023'!$J$4:$J$692,D$1)</f>
        <v>0</v>
      </c>
      <c r="E31" s="207">
        <f>SUMIFS('апрель 2023'!$G$4:$G$692,'апрель 2023'!$D$4:$D$692,$B31,'апрель 2023'!$J$4:$J$692,E$1)</f>
        <v>0</v>
      </c>
      <c r="F31" s="207">
        <f>SUMIFS('апрель 2023'!$G$4:$G$692,'апрель 2023'!$D$4:$D$692,$B31,'апрель 2023'!$J$4:$J$692,F$1)</f>
        <v>0</v>
      </c>
      <c r="G31" s="207">
        <f>SUMIFS('апрель 2023'!$G$4:$G$692,'апрель 2023'!$D$4:$D$692,$B31,'апрель 2023'!$J$4:$J$692,G$1)</f>
        <v>0</v>
      </c>
      <c r="H31" s="207">
        <f>SUMIFS('апрель 2023'!$G$4:$G$692,'апрель 2023'!$D$4:$D$692,$B31,'апрель 2023'!$J$4:$J$692,H$1)</f>
        <v>0</v>
      </c>
      <c r="I31" s="207">
        <f>SUMIFS('апрель 2023'!$G$4:$G$692,'апрель 2023'!$D$4:$D$692,$B31,'апрель 2023'!$J$4:$J$692,I$1)</f>
        <v>0</v>
      </c>
      <c r="J31" s="207">
        <f>SUMIFS('апрель 2023'!$G$4:$G$692,'апрель 2023'!$D$4:$D$692,$B31,'апрель 2023'!$J$4:$J$692,J$1)</f>
        <v>0</v>
      </c>
      <c r="K31" s="207">
        <f>SUMIFS('апрель 2023'!$G$4:$G$692,'апрель 2023'!$D$4:$D$692,$B31,'апрель 2023'!$J$4:$J$692,K$1)</f>
        <v>0</v>
      </c>
      <c r="L31" s="207">
        <f>SUMIFS('апрель 2023'!$G$4:$G$692,'апрель 2023'!$D$4:$D$692,$B31,'апрель 2023'!$J$4:$J$692,L$1)</f>
        <v>0</v>
      </c>
      <c r="M31" s="207">
        <f>SUMIFS('апрель 2023'!$G$4:$G$692,'апрель 2023'!$D$4:$D$692,$B31,'апрель 2023'!$J$4:$J$692,M$1)</f>
        <v>0</v>
      </c>
      <c r="N31" s="207">
        <f>SUMIFS('апрель 2023'!$G$4:$G$692,'апрель 2023'!$D$4:$D$692,$B31,'апрель 2023'!$J$4:$J$692,N$1)</f>
        <v>0</v>
      </c>
      <c r="O31" s="207">
        <f>SUMIFS('апрель 2023'!$G$4:$G$692,'апрель 2023'!$D$4:$D$692,$B31,'апрель 2023'!$J$4:$J$692,O$1)</f>
        <v>0</v>
      </c>
      <c r="P31" s="207">
        <f>SUMIFS('апрель 2023'!$G$4:$G$692,'апрель 2023'!$D$4:$D$692,$B31,'апрель 2023'!$J$4:$J$692,P$1)</f>
        <v>0</v>
      </c>
      <c r="Q31" s="207">
        <f>SUMIFS('апрель 2023'!$G$4:$G$692,'апрель 2023'!$D$4:$D$692,$B31,'апрель 2023'!$J$4:$J$692,Q$1)</f>
        <v>0</v>
      </c>
      <c r="R31" s="207">
        <f>SUMIFS('апрель 2023'!$G$4:$G$692,'апрель 2023'!$D$4:$D$692,$B31,'апрель 2023'!$J$4:$J$692,R$1)</f>
        <v>0</v>
      </c>
      <c r="S31" s="207">
        <f>SUMIFS('апрель 2023'!$G$4:$G$692,'апрель 2023'!$D$4:$D$692,$B31,'апрель 2023'!$J$4:$J$692,S$1)</f>
        <v>0</v>
      </c>
      <c r="T31" s="207">
        <f>SUMIFS('апрель 2023'!$G$4:$G$692,'апрель 2023'!$D$4:$D$692,$B31,'апрель 2023'!$J$4:$J$692,T$1)</f>
        <v>0</v>
      </c>
      <c r="U31" s="207">
        <f>SUMIFS('апрель 2023'!$G$4:$G$692,'апрель 2023'!$D$4:$D$692,$B31,'апрель 2023'!$J$4:$J$692,U$1)</f>
        <v>0</v>
      </c>
      <c r="V31" s="207">
        <f>SUMIFS('апрель 2023'!$G$4:$G$692,'апрель 2023'!$D$4:$D$692,$B31,'апрель 2023'!$J$4:$J$692,V$1)</f>
        <v>0</v>
      </c>
      <c r="W31" s="207">
        <f>SUMIFS('апрель 2023'!$G$4:$G$692,'апрель 2023'!$D$4:$D$692,$B31,'апрель 2023'!$J$4:$J$692,W$1)</f>
        <v>0</v>
      </c>
      <c r="X31" s="207">
        <f>SUMIFS('апрель 2023'!$G$4:$G$692,'апрель 2023'!$D$4:$D$692,$B31,'апрель 2023'!$J$4:$J$692,X$1)</f>
        <v>0</v>
      </c>
      <c r="Y31" s="207">
        <f>SUMIFS('апрель 2023'!$G$4:$G$692,'апрель 2023'!$D$4:$D$692,$B31,'апрель 2023'!$J$4:$J$692,Y$1)</f>
        <v>0</v>
      </c>
      <c r="Z31" s="207">
        <f>SUMIFS('апрель 2023'!$G$4:$G$692,'апрель 2023'!$D$4:$D$692,$B31,'апрель 2023'!$J$4:$J$692,Z$1)</f>
        <v>0</v>
      </c>
      <c r="AA31" s="207">
        <f>SUMIFS('апрель 2023'!$G$4:$G$692,'апрель 2023'!$D$4:$D$692,$B31,'апрель 2023'!$J$4:$J$692,AA$1)</f>
        <v>0</v>
      </c>
      <c r="AB31" s="207">
        <f>SUMIFS('апрель 2023'!$G$4:$G$692,'апрель 2023'!$D$4:$D$692,$B31,'апрель 2023'!$J$4:$J$692,AB$1)</f>
        <v>0</v>
      </c>
      <c r="AC31" s="207">
        <f>SUMIFS('апрель 2023'!$G$4:$G$692,'апрель 2023'!$D$4:$D$692,$B31,'апрель 2023'!$J$4:$J$692,AC$1)</f>
        <v>0</v>
      </c>
      <c r="AD31" s="207">
        <f>SUMIFS('апрель 2023'!$G$4:$G$692,'апрель 2023'!$D$4:$D$692,$B31,'апрель 2023'!$J$4:$J$692,AD$1)</f>
        <v>0</v>
      </c>
      <c r="AE31" s="207">
        <f>SUMIFS('апрель 2023'!$G$4:$G$692,'апрель 2023'!$D$4:$D$692,$B31,'апрель 2023'!$J$4:$J$692,AE$1)</f>
        <v>0</v>
      </c>
      <c r="AF31" s="207">
        <f>SUMIFS('апрель 2023'!$G$4:$G$692,'апрель 2023'!$D$4:$D$692,$B31,'апрель 2023'!$J$4:$J$692,AF$1)</f>
        <v>0</v>
      </c>
      <c r="AG31" s="207">
        <f>SUMIFS('апрель 2023'!$G$4:$G$692,'апрель 2023'!$D$4:$D$692,$B31,'апрель 2023'!$J$4:$J$692,AG$1)</f>
        <v>0</v>
      </c>
      <c r="AH31" s="207">
        <f>SUMIFS('апрель 2023'!$G$4:$G$692,'апрель 2023'!$D$4:$D$692,$B31,'апрель 2023'!$J$4:$J$692,AH$1)</f>
        <v>0</v>
      </c>
      <c r="AI31" s="170">
        <f t="shared" si="1"/>
        <v>0</v>
      </c>
    </row>
    <row r="32" spans="2:35" ht="15" customHeight="1" x14ac:dyDescent="0.25">
      <c r="B32" s="209" t="s">
        <v>1344</v>
      </c>
      <c r="C32" s="206">
        <v>20</v>
      </c>
      <c r="D32" s="207">
        <f>SUMIFS('апрель 2023'!$G$4:$G$692,'апрель 2023'!$D$4:$D$692,$B32,'апрель 2023'!$J$4:$J$692,D$1)</f>
        <v>0</v>
      </c>
      <c r="E32" s="207">
        <f>SUMIFS('апрель 2023'!$G$4:$G$692,'апрель 2023'!$D$4:$D$692,$B32,'апрель 2023'!$J$4:$J$692,E$1)</f>
        <v>0</v>
      </c>
      <c r="F32" s="207">
        <f>SUMIFS('апрель 2023'!$G$4:$G$692,'апрель 2023'!$D$4:$D$692,$B32,'апрель 2023'!$J$4:$J$692,F$1)</f>
        <v>0</v>
      </c>
      <c r="G32" s="207">
        <f>SUMIFS('апрель 2023'!$G$4:$G$692,'апрель 2023'!$D$4:$D$692,$B32,'апрель 2023'!$J$4:$J$692,G$1)</f>
        <v>0</v>
      </c>
      <c r="H32" s="207">
        <f>SUMIFS('апрель 2023'!$G$4:$G$692,'апрель 2023'!$D$4:$D$692,$B32,'апрель 2023'!$J$4:$J$692,H$1)</f>
        <v>0</v>
      </c>
      <c r="I32" s="207">
        <f>SUMIFS('апрель 2023'!$G$4:$G$692,'апрель 2023'!$D$4:$D$692,$B32,'апрель 2023'!$J$4:$J$692,I$1)</f>
        <v>0</v>
      </c>
      <c r="J32" s="207">
        <f>SUMIFS('апрель 2023'!$G$4:$G$692,'апрель 2023'!$D$4:$D$692,$B32,'апрель 2023'!$J$4:$J$692,J$1)</f>
        <v>0</v>
      </c>
      <c r="K32" s="207">
        <f>SUMIFS('апрель 2023'!$G$4:$G$692,'апрель 2023'!$D$4:$D$692,$B32,'апрель 2023'!$J$4:$J$692,K$1)</f>
        <v>0</v>
      </c>
      <c r="L32" s="207">
        <f>SUMIFS('апрель 2023'!$G$4:$G$692,'апрель 2023'!$D$4:$D$692,$B32,'апрель 2023'!$J$4:$J$692,L$1)</f>
        <v>0</v>
      </c>
      <c r="M32" s="207">
        <f>SUMIFS('апрель 2023'!$G$4:$G$692,'апрель 2023'!$D$4:$D$692,$B32,'апрель 2023'!$J$4:$J$692,M$1)</f>
        <v>0</v>
      </c>
      <c r="N32" s="207">
        <f>SUMIFS('апрель 2023'!$G$4:$G$692,'апрель 2023'!$D$4:$D$692,$B32,'апрель 2023'!$J$4:$J$692,N$1)</f>
        <v>0</v>
      </c>
      <c r="O32" s="207">
        <f>SUMIFS('апрель 2023'!$G$4:$G$692,'апрель 2023'!$D$4:$D$692,$B32,'апрель 2023'!$J$4:$J$692,O$1)</f>
        <v>0</v>
      </c>
      <c r="P32" s="207">
        <f>SUMIFS('апрель 2023'!$G$4:$G$692,'апрель 2023'!$D$4:$D$692,$B32,'апрель 2023'!$J$4:$J$692,P$1)</f>
        <v>0</v>
      </c>
      <c r="Q32" s="207">
        <f>SUMIFS('апрель 2023'!$G$4:$G$692,'апрель 2023'!$D$4:$D$692,$B32,'апрель 2023'!$J$4:$J$692,Q$1)</f>
        <v>0</v>
      </c>
      <c r="R32" s="207">
        <f>SUMIFS('апрель 2023'!$G$4:$G$692,'апрель 2023'!$D$4:$D$692,$B32,'апрель 2023'!$J$4:$J$692,R$1)</f>
        <v>0</v>
      </c>
      <c r="S32" s="207">
        <f>SUMIFS('апрель 2023'!$G$4:$G$692,'апрель 2023'!$D$4:$D$692,$B32,'апрель 2023'!$J$4:$J$692,S$1)</f>
        <v>0</v>
      </c>
      <c r="T32" s="207">
        <f>SUMIFS('апрель 2023'!$G$4:$G$692,'апрель 2023'!$D$4:$D$692,$B32,'апрель 2023'!$J$4:$J$692,T$1)</f>
        <v>0</v>
      </c>
      <c r="U32" s="207">
        <f>SUMIFS('апрель 2023'!$G$4:$G$692,'апрель 2023'!$D$4:$D$692,$B32,'апрель 2023'!$J$4:$J$692,U$1)</f>
        <v>0</v>
      </c>
      <c r="V32" s="207">
        <f>SUMIFS('апрель 2023'!$G$4:$G$692,'апрель 2023'!$D$4:$D$692,$B32,'апрель 2023'!$J$4:$J$692,V$1)</f>
        <v>0</v>
      </c>
      <c r="W32" s="207">
        <f>SUMIFS('апрель 2023'!$G$4:$G$692,'апрель 2023'!$D$4:$D$692,$B32,'апрель 2023'!$J$4:$J$692,W$1)</f>
        <v>0</v>
      </c>
      <c r="X32" s="207">
        <f>SUMIFS('апрель 2023'!$G$4:$G$692,'апрель 2023'!$D$4:$D$692,$B32,'апрель 2023'!$J$4:$J$692,X$1)</f>
        <v>0</v>
      </c>
      <c r="Y32" s="207">
        <f>SUMIFS('апрель 2023'!$G$4:$G$692,'апрель 2023'!$D$4:$D$692,$B32,'апрель 2023'!$J$4:$J$692,Y$1)</f>
        <v>0</v>
      </c>
      <c r="Z32" s="207">
        <f>SUMIFS('апрель 2023'!$G$4:$G$692,'апрель 2023'!$D$4:$D$692,$B32,'апрель 2023'!$J$4:$J$692,Z$1)</f>
        <v>0</v>
      </c>
      <c r="AA32" s="207">
        <f>SUMIFS('апрель 2023'!$G$4:$G$692,'апрель 2023'!$D$4:$D$692,$B32,'апрель 2023'!$J$4:$J$692,AA$1)</f>
        <v>0</v>
      </c>
      <c r="AB32" s="207">
        <f>SUMIFS('апрель 2023'!$G$4:$G$692,'апрель 2023'!$D$4:$D$692,$B32,'апрель 2023'!$J$4:$J$692,AB$1)</f>
        <v>0</v>
      </c>
      <c r="AC32" s="207">
        <f>SUMIFS('апрель 2023'!$G$4:$G$692,'апрель 2023'!$D$4:$D$692,$B32,'апрель 2023'!$J$4:$J$692,AC$1)</f>
        <v>0</v>
      </c>
      <c r="AD32" s="207">
        <f>SUMIFS('апрель 2023'!$G$4:$G$692,'апрель 2023'!$D$4:$D$692,$B32,'апрель 2023'!$J$4:$J$692,AD$1)</f>
        <v>0</v>
      </c>
      <c r="AE32" s="207">
        <f>SUMIFS('апрель 2023'!$G$4:$G$692,'апрель 2023'!$D$4:$D$692,$B32,'апрель 2023'!$J$4:$J$692,AE$1)</f>
        <v>0</v>
      </c>
      <c r="AF32" s="207">
        <f>SUMIFS('апрель 2023'!$G$4:$G$692,'апрель 2023'!$D$4:$D$692,$B32,'апрель 2023'!$J$4:$J$692,AF$1)</f>
        <v>0</v>
      </c>
      <c r="AG32" s="207">
        <f>SUMIFS('апрель 2023'!$G$4:$G$692,'апрель 2023'!$D$4:$D$692,$B32,'апрель 2023'!$J$4:$J$692,AG$1)</f>
        <v>0</v>
      </c>
      <c r="AH32" s="207">
        <f>SUMIFS('апрель 2023'!$G$4:$G$692,'апрель 2023'!$D$4:$D$692,$B32,'апрель 2023'!$J$4:$J$692,AH$1)</f>
        <v>0</v>
      </c>
      <c r="AI32" s="170">
        <f t="shared" si="1"/>
        <v>0</v>
      </c>
    </row>
    <row r="33" spans="2:35" ht="15" customHeight="1" x14ac:dyDescent="0.25">
      <c r="B33" s="210" t="s">
        <v>754</v>
      </c>
      <c r="C33" s="211">
        <v>20</v>
      </c>
      <c r="D33" s="207">
        <f>SUMIFS('апрель 2023'!$G$4:$G$692,'апрель 2023'!$D$4:$D$692,$B33,'апрель 2023'!$J$4:$J$692,D$1)</f>
        <v>0</v>
      </c>
      <c r="E33" s="207">
        <f>SUMIFS('апрель 2023'!$G$4:$G$692,'апрель 2023'!$D$4:$D$692,$B33,'апрель 2023'!$J$4:$J$692,E$1)</f>
        <v>0</v>
      </c>
      <c r="F33" s="207">
        <f>SUMIFS('апрель 2023'!$G$4:$G$692,'апрель 2023'!$D$4:$D$692,$B33,'апрель 2023'!$J$4:$J$692,F$1)</f>
        <v>0</v>
      </c>
      <c r="G33" s="207">
        <f>SUMIFS('апрель 2023'!$G$4:$G$692,'апрель 2023'!$D$4:$D$692,$B33,'апрель 2023'!$J$4:$J$692,G$1)</f>
        <v>0</v>
      </c>
      <c r="H33" s="207">
        <f>SUMIFS('апрель 2023'!$G$4:$G$692,'апрель 2023'!$D$4:$D$692,$B33,'апрель 2023'!$J$4:$J$692,H$1)</f>
        <v>0</v>
      </c>
      <c r="I33" s="207">
        <f>SUMIFS('апрель 2023'!$G$4:$G$692,'апрель 2023'!$D$4:$D$692,$B33,'апрель 2023'!$J$4:$J$692,I$1)</f>
        <v>1000</v>
      </c>
      <c r="J33" s="207">
        <f>SUMIFS('апрель 2023'!$G$4:$G$692,'апрель 2023'!$D$4:$D$692,$B33,'апрель 2023'!$J$4:$J$692,J$1)</f>
        <v>0</v>
      </c>
      <c r="K33" s="207">
        <f>SUMIFS('апрель 2023'!$G$4:$G$692,'апрель 2023'!$D$4:$D$692,$B33,'апрель 2023'!$J$4:$J$692,K$1)</f>
        <v>0</v>
      </c>
      <c r="L33" s="207">
        <f>SUMIFS('апрель 2023'!$G$4:$G$692,'апрель 2023'!$D$4:$D$692,$B33,'апрель 2023'!$J$4:$J$692,L$1)</f>
        <v>0</v>
      </c>
      <c r="M33" s="207">
        <f>SUMIFS('апрель 2023'!$G$4:$G$692,'апрель 2023'!$D$4:$D$692,$B33,'апрель 2023'!$J$4:$J$692,M$1)</f>
        <v>1000</v>
      </c>
      <c r="N33" s="207">
        <f>SUMIFS('апрель 2023'!$G$4:$G$692,'апрель 2023'!$D$4:$D$692,$B33,'апрель 2023'!$J$4:$J$692,N$1)</f>
        <v>0</v>
      </c>
      <c r="O33" s="207">
        <f>SUMIFS('апрель 2023'!$G$4:$G$692,'апрель 2023'!$D$4:$D$692,$B33,'апрель 2023'!$J$4:$J$692,O$1)</f>
        <v>1000</v>
      </c>
      <c r="P33" s="207">
        <f>SUMIFS('апрель 2023'!$G$4:$G$692,'апрель 2023'!$D$4:$D$692,$B33,'апрель 2023'!$J$4:$J$692,P$1)</f>
        <v>0</v>
      </c>
      <c r="Q33" s="207">
        <f>SUMIFS('апрель 2023'!$G$4:$G$692,'апрель 2023'!$D$4:$D$692,$B33,'апрель 2023'!$J$4:$J$692,Q$1)</f>
        <v>0</v>
      </c>
      <c r="R33" s="207">
        <f>SUMIFS('апрель 2023'!$G$4:$G$692,'апрель 2023'!$D$4:$D$692,$B33,'апрель 2023'!$J$4:$J$692,R$1)</f>
        <v>0</v>
      </c>
      <c r="S33" s="207">
        <f>SUMIFS('апрель 2023'!$G$4:$G$692,'апрель 2023'!$D$4:$D$692,$B33,'апрель 2023'!$J$4:$J$692,S$1)</f>
        <v>0</v>
      </c>
      <c r="T33" s="207">
        <f>SUMIFS('апрель 2023'!$G$4:$G$692,'апрель 2023'!$D$4:$D$692,$B33,'апрель 2023'!$J$4:$J$692,T$1)</f>
        <v>0</v>
      </c>
      <c r="U33" s="207">
        <f>SUMIFS('апрель 2023'!$G$4:$G$692,'апрель 2023'!$D$4:$D$692,$B33,'апрель 2023'!$J$4:$J$692,U$1)</f>
        <v>0</v>
      </c>
      <c r="V33" s="207">
        <f>SUMIFS('апрель 2023'!$G$4:$G$692,'апрель 2023'!$D$4:$D$692,$B33,'апрель 2023'!$J$4:$J$692,V$1)</f>
        <v>0</v>
      </c>
      <c r="W33" s="207">
        <f>SUMIFS('апрель 2023'!$G$4:$G$692,'апрель 2023'!$D$4:$D$692,$B33,'апрель 2023'!$J$4:$J$692,W$1)</f>
        <v>0</v>
      </c>
      <c r="X33" s="207">
        <f>SUMIFS('апрель 2023'!$G$4:$G$692,'апрель 2023'!$D$4:$D$692,$B33,'апрель 2023'!$J$4:$J$692,X$1)</f>
        <v>0</v>
      </c>
      <c r="Y33" s="207">
        <f>SUMIFS('апрель 2023'!$G$4:$G$692,'апрель 2023'!$D$4:$D$692,$B33,'апрель 2023'!$J$4:$J$692,Y$1)</f>
        <v>0</v>
      </c>
      <c r="Z33" s="207">
        <f>SUMIFS('апрель 2023'!$G$4:$G$692,'апрель 2023'!$D$4:$D$692,$B33,'апрель 2023'!$J$4:$J$692,Z$1)</f>
        <v>0</v>
      </c>
      <c r="AA33" s="207">
        <f>SUMIFS('апрель 2023'!$G$4:$G$692,'апрель 2023'!$D$4:$D$692,$B33,'апрель 2023'!$J$4:$J$692,AA$1)</f>
        <v>0</v>
      </c>
      <c r="AB33" s="207">
        <f>SUMIFS('апрель 2023'!$G$4:$G$692,'апрель 2023'!$D$4:$D$692,$B33,'апрель 2023'!$J$4:$J$692,AB$1)</f>
        <v>0</v>
      </c>
      <c r="AC33" s="207">
        <f>SUMIFS('апрель 2023'!$G$4:$G$692,'апрель 2023'!$D$4:$D$692,$B33,'апрель 2023'!$J$4:$J$692,AC$1)</f>
        <v>0</v>
      </c>
      <c r="AD33" s="207">
        <f>SUMIFS('апрель 2023'!$G$4:$G$692,'апрель 2023'!$D$4:$D$692,$B33,'апрель 2023'!$J$4:$J$692,AD$1)</f>
        <v>0</v>
      </c>
      <c r="AE33" s="207">
        <f>SUMIFS('апрель 2023'!$G$4:$G$692,'апрель 2023'!$D$4:$D$692,$B33,'апрель 2023'!$J$4:$J$692,AE$1)</f>
        <v>0</v>
      </c>
      <c r="AF33" s="207">
        <f>SUMIFS('апрель 2023'!$G$4:$G$692,'апрель 2023'!$D$4:$D$692,$B33,'апрель 2023'!$J$4:$J$692,AF$1)</f>
        <v>0</v>
      </c>
      <c r="AG33" s="207">
        <f>SUMIFS('апрель 2023'!$G$4:$G$692,'апрель 2023'!$D$4:$D$692,$B33,'апрель 2023'!$J$4:$J$692,AG$1)</f>
        <v>0</v>
      </c>
      <c r="AH33" s="207">
        <f>SUMIFS('апрель 2023'!$G$4:$G$692,'апрель 2023'!$D$4:$D$692,$B33,'апрель 2023'!$J$4:$J$692,AH$1)</f>
        <v>0</v>
      </c>
      <c r="AI33" s="170">
        <f t="shared" si="1"/>
        <v>3000</v>
      </c>
    </row>
    <row r="34" spans="2:35" ht="15" customHeight="1" x14ac:dyDescent="0.25">
      <c r="B34" s="212" t="s">
        <v>1256</v>
      </c>
      <c r="C34" s="213">
        <v>22.68</v>
      </c>
      <c r="D34" s="207">
        <f>SUMIFS('апрель 2023'!$G$4:$G$692,'апрель 2023'!$D$4:$D$692,$B34,'апрель 2023'!$J$4:$J$692,D$1)</f>
        <v>0</v>
      </c>
      <c r="E34" s="207">
        <f>SUMIFS('апрель 2023'!$G$4:$G$692,'апрель 2023'!$D$4:$D$692,$B34,'апрель 2023'!$J$4:$J$692,E$1)</f>
        <v>0</v>
      </c>
      <c r="F34" s="207">
        <f>SUMIFS('апрель 2023'!$G$4:$G$692,'апрель 2023'!$D$4:$D$692,$B34,'апрель 2023'!$J$4:$J$692,F$1)</f>
        <v>0</v>
      </c>
      <c r="G34" s="207">
        <f>SUMIFS('апрель 2023'!$G$4:$G$692,'апрель 2023'!$D$4:$D$692,$B34,'апрель 2023'!$J$4:$J$692,G$1)</f>
        <v>0</v>
      </c>
      <c r="H34" s="207">
        <f>SUMIFS('апрель 2023'!$G$4:$G$692,'апрель 2023'!$D$4:$D$692,$B34,'апрель 2023'!$J$4:$J$692,H$1)</f>
        <v>0</v>
      </c>
      <c r="I34" s="207">
        <f>SUMIFS('апрель 2023'!$G$4:$G$692,'апрель 2023'!$D$4:$D$692,$B34,'апрель 2023'!$J$4:$J$692,I$1)</f>
        <v>0</v>
      </c>
      <c r="J34" s="207">
        <f>SUMIFS('апрель 2023'!$G$4:$G$692,'апрель 2023'!$D$4:$D$692,$B34,'апрель 2023'!$J$4:$J$692,J$1)</f>
        <v>0</v>
      </c>
      <c r="K34" s="207">
        <f>SUMIFS('апрель 2023'!$G$4:$G$692,'апрель 2023'!$D$4:$D$692,$B34,'апрель 2023'!$J$4:$J$692,K$1)</f>
        <v>0</v>
      </c>
      <c r="L34" s="207">
        <f>SUMIFS('апрель 2023'!$G$4:$G$692,'апрель 2023'!$D$4:$D$692,$B34,'апрель 2023'!$J$4:$J$692,L$1)</f>
        <v>0</v>
      </c>
      <c r="M34" s="207">
        <f>SUMIFS('апрель 2023'!$G$4:$G$692,'апрель 2023'!$D$4:$D$692,$B34,'апрель 2023'!$J$4:$J$692,M$1)</f>
        <v>0</v>
      </c>
      <c r="N34" s="207">
        <f>SUMIFS('апрель 2023'!$G$4:$G$692,'апрель 2023'!$D$4:$D$692,$B34,'апрель 2023'!$J$4:$J$692,N$1)</f>
        <v>0</v>
      </c>
      <c r="O34" s="207">
        <f>SUMIFS('апрель 2023'!$G$4:$G$692,'апрель 2023'!$D$4:$D$692,$B34,'апрель 2023'!$J$4:$J$692,O$1)</f>
        <v>0</v>
      </c>
      <c r="P34" s="207">
        <f>SUMIFS('апрель 2023'!$G$4:$G$692,'апрель 2023'!$D$4:$D$692,$B34,'апрель 2023'!$J$4:$J$692,P$1)</f>
        <v>0</v>
      </c>
      <c r="Q34" s="207">
        <f>SUMIFS('апрель 2023'!$G$4:$G$692,'апрель 2023'!$D$4:$D$692,$B34,'апрель 2023'!$J$4:$J$692,Q$1)</f>
        <v>0</v>
      </c>
      <c r="R34" s="207">
        <f>SUMIFS('апрель 2023'!$G$4:$G$692,'апрель 2023'!$D$4:$D$692,$B34,'апрель 2023'!$J$4:$J$692,R$1)</f>
        <v>0</v>
      </c>
      <c r="S34" s="207">
        <f>SUMIFS('апрель 2023'!$G$4:$G$692,'апрель 2023'!$D$4:$D$692,$B34,'апрель 2023'!$J$4:$J$692,S$1)</f>
        <v>0</v>
      </c>
      <c r="T34" s="207">
        <f>SUMIFS('апрель 2023'!$G$4:$G$692,'апрель 2023'!$D$4:$D$692,$B34,'апрель 2023'!$J$4:$J$692,T$1)</f>
        <v>0</v>
      </c>
      <c r="U34" s="207">
        <f>SUMIFS('апрель 2023'!$G$4:$G$692,'апрель 2023'!$D$4:$D$692,$B34,'апрель 2023'!$J$4:$J$692,U$1)</f>
        <v>0</v>
      </c>
      <c r="V34" s="207">
        <f>SUMIFS('апрель 2023'!$G$4:$G$692,'апрель 2023'!$D$4:$D$692,$B34,'апрель 2023'!$J$4:$J$692,V$1)</f>
        <v>0</v>
      </c>
      <c r="W34" s="207">
        <f>SUMIFS('апрель 2023'!$G$4:$G$692,'апрель 2023'!$D$4:$D$692,$B34,'апрель 2023'!$J$4:$J$692,W$1)</f>
        <v>0</v>
      </c>
      <c r="X34" s="207">
        <f>SUMIFS('апрель 2023'!$G$4:$G$692,'апрель 2023'!$D$4:$D$692,$B34,'апрель 2023'!$J$4:$J$692,X$1)</f>
        <v>0</v>
      </c>
      <c r="Y34" s="207">
        <f>SUMIFS('апрель 2023'!$G$4:$G$692,'апрель 2023'!$D$4:$D$692,$B34,'апрель 2023'!$J$4:$J$692,Y$1)</f>
        <v>0</v>
      </c>
      <c r="Z34" s="207">
        <f>SUMIFS('апрель 2023'!$G$4:$G$692,'апрель 2023'!$D$4:$D$692,$B34,'апрель 2023'!$J$4:$J$692,Z$1)</f>
        <v>0</v>
      </c>
      <c r="AA34" s="207">
        <f>SUMIFS('апрель 2023'!$G$4:$G$692,'апрель 2023'!$D$4:$D$692,$B34,'апрель 2023'!$J$4:$J$692,AA$1)</f>
        <v>0</v>
      </c>
      <c r="AB34" s="207">
        <f>SUMIFS('апрель 2023'!$G$4:$G$692,'апрель 2023'!$D$4:$D$692,$B34,'апрель 2023'!$J$4:$J$692,AB$1)</f>
        <v>0</v>
      </c>
      <c r="AC34" s="207">
        <f>SUMIFS('апрель 2023'!$G$4:$G$692,'апрель 2023'!$D$4:$D$692,$B34,'апрель 2023'!$J$4:$J$692,AC$1)</f>
        <v>0</v>
      </c>
      <c r="AD34" s="207">
        <f>SUMIFS('апрель 2023'!$G$4:$G$692,'апрель 2023'!$D$4:$D$692,$B34,'апрель 2023'!$J$4:$J$692,AD$1)</f>
        <v>0</v>
      </c>
      <c r="AE34" s="207">
        <f>SUMIFS('апрель 2023'!$G$4:$G$692,'апрель 2023'!$D$4:$D$692,$B34,'апрель 2023'!$J$4:$J$692,AE$1)</f>
        <v>0</v>
      </c>
      <c r="AF34" s="207">
        <f>SUMIFS('апрель 2023'!$G$4:$G$692,'апрель 2023'!$D$4:$D$692,$B34,'апрель 2023'!$J$4:$J$692,AF$1)</f>
        <v>0</v>
      </c>
      <c r="AG34" s="207">
        <f>SUMIFS('апрель 2023'!$G$4:$G$692,'апрель 2023'!$D$4:$D$692,$B34,'апрель 2023'!$J$4:$J$692,AG$1)</f>
        <v>0</v>
      </c>
      <c r="AH34" s="207">
        <f>SUMIFS('апрель 2023'!$G$4:$G$692,'апрель 2023'!$D$4:$D$692,$B34,'апрель 2023'!$J$4:$J$692,AH$1)</f>
        <v>0</v>
      </c>
      <c r="AI34" s="170">
        <f t="shared" si="1"/>
        <v>0</v>
      </c>
    </row>
    <row r="35" spans="2:35" ht="15" customHeight="1" x14ac:dyDescent="0.25">
      <c r="B35" s="212" t="s">
        <v>1088</v>
      </c>
      <c r="C35" s="214">
        <v>22.68</v>
      </c>
      <c r="D35" s="207">
        <f>SUMIFS('апрель 2023'!$G$4:$G$692,'апрель 2023'!$D$4:$D$692,$B35,'апрель 2023'!$J$4:$J$692,D$1)</f>
        <v>0</v>
      </c>
      <c r="E35" s="207">
        <f>SUMIFS('апрель 2023'!$G$4:$G$692,'апрель 2023'!$D$4:$D$692,$B35,'апрель 2023'!$J$4:$J$692,E$1)</f>
        <v>0</v>
      </c>
      <c r="F35" s="207">
        <f>SUMIFS('апрель 2023'!$G$4:$G$692,'апрель 2023'!$D$4:$D$692,$B35,'апрель 2023'!$J$4:$J$692,F$1)</f>
        <v>800</v>
      </c>
      <c r="G35" s="207">
        <f>SUMIFS('апрель 2023'!$G$4:$G$692,'апрель 2023'!$D$4:$D$692,$B35,'апрель 2023'!$J$4:$J$692,G$1)</f>
        <v>0</v>
      </c>
      <c r="H35" s="207">
        <f>SUMIFS('апрель 2023'!$G$4:$G$692,'апрель 2023'!$D$4:$D$692,$B35,'апрель 2023'!$J$4:$J$692,H$1)</f>
        <v>280</v>
      </c>
      <c r="I35" s="207">
        <f>SUMIFS('апрель 2023'!$G$4:$G$692,'апрель 2023'!$D$4:$D$692,$B35,'апрель 2023'!$J$4:$J$692,I$1)</f>
        <v>0</v>
      </c>
      <c r="J35" s="207">
        <f>SUMIFS('апрель 2023'!$G$4:$G$692,'апрель 2023'!$D$4:$D$692,$B35,'апрель 2023'!$J$4:$J$692,J$1)</f>
        <v>0</v>
      </c>
      <c r="K35" s="207">
        <f>SUMIFS('апрель 2023'!$G$4:$G$692,'апрель 2023'!$D$4:$D$692,$B35,'апрель 2023'!$J$4:$J$692,K$1)</f>
        <v>0</v>
      </c>
      <c r="L35" s="207">
        <f>SUMIFS('апрель 2023'!$G$4:$G$692,'апрель 2023'!$D$4:$D$692,$B35,'апрель 2023'!$J$4:$J$692,L$1)</f>
        <v>0</v>
      </c>
      <c r="M35" s="207">
        <f>SUMIFS('апрель 2023'!$G$4:$G$692,'апрель 2023'!$D$4:$D$692,$B35,'апрель 2023'!$J$4:$J$692,M$1)</f>
        <v>0</v>
      </c>
      <c r="N35" s="207">
        <f>SUMIFS('апрель 2023'!$G$4:$G$692,'апрель 2023'!$D$4:$D$692,$B35,'апрель 2023'!$J$4:$J$692,N$1)</f>
        <v>0</v>
      </c>
      <c r="O35" s="207">
        <f>SUMIFS('апрель 2023'!$G$4:$G$692,'апрель 2023'!$D$4:$D$692,$B35,'апрель 2023'!$J$4:$J$692,O$1)</f>
        <v>0</v>
      </c>
      <c r="P35" s="207">
        <f>SUMIFS('апрель 2023'!$G$4:$G$692,'апрель 2023'!$D$4:$D$692,$B35,'апрель 2023'!$J$4:$J$692,P$1)</f>
        <v>0</v>
      </c>
      <c r="Q35" s="207">
        <f>SUMIFS('апрель 2023'!$G$4:$G$692,'апрель 2023'!$D$4:$D$692,$B35,'апрель 2023'!$J$4:$J$692,Q$1)</f>
        <v>0</v>
      </c>
      <c r="R35" s="207">
        <f>SUMIFS('апрель 2023'!$G$4:$G$692,'апрель 2023'!$D$4:$D$692,$B35,'апрель 2023'!$J$4:$J$692,R$1)</f>
        <v>0</v>
      </c>
      <c r="S35" s="207">
        <f>SUMIFS('апрель 2023'!$G$4:$G$692,'апрель 2023'!$D$4:$D$692,$B35,'апрель 2023'!$J$4:$J$692,S$1)</f>
        <v>0</v>
      </c>
      <c r="T35" s="207">
        <f>SUMIFS('апрель 2023'!$G$4:$G$692,'апрель 2023'!$D$4:$D$692,$B35,'апрель 2023'!$J$4:$J$692,T$1)</f>
        <v>0</v>
      </c>
      <c r="U35" s="207">
        <f>SUMIFS('апрель 2023'!$G$4:$G$692,'апрель 2023'!$D$4:$D$692,$B35,'апрель 2023'!$J$4:$J$692,U$1)</f>
        <v>0</v>
      </c>
      <c r="V35" s="207">
        <f>SUMIFS('апрель 2023'!$G$4:$G$692,'апрель 2023'!$D$4:$D$692,$B35,'апрель 2023'!$J$4:$J$692,V$1)</f>
        <v>0</v>
      </c>
      <c r="W35" s="207">
        <f>SUMIFS('апрель 2023'!$G$4:$G$692,'апрель 2023'!$D$4:$D$692,$B35,'апрель 2023'!$J$4:$J$692,W$1)</f>
        <v>0</v>
      </c>
      <c r="X35" s="207">
        <f>SUMIFS('апрель 2023'!$G$4:$G$692,'апрель 2023'!$D$4:$D$692,$B35,'апрель 2023'!$J$4:$J$692,X$1)</f>
        <v>0</v>
      </c>
      <c r="Y35" s="207">
        <f>SUMIFS('апрель 2023'!$G$4:$G$692,'апрель 2023'!$D$4:$D$692,$B35,'апрель 2023'!$J$4:$J$692,Y$1)</f>
        <v>0</v>
      </c>
      <c r="Z35" s="207">
        <f>SUMIFS('апрель 2023'!$G$4:$G$692,'апрель 2023'!$D$4:$D$692,$B35,'апрель 2023'!$J$4:$J$692,Z$1)</f>
        <v>0</v>
      </c>
      <c r="AA35" s="207">
        <f>SUMIFS('апрель 2023'!$G$4:$G$692,'апрель 2023'!$D$4:$D$692,$B35,'апрель 2023'!$J$4:$J$692,AA$1)</f>
        <v>70</v>
      </c>
      <c r="AB35" s="207">
        <f>SUMIFS('апрель 2023'!$G$4:$G$692,'апрель 2023'!$D$4:$D$692,$B35,'апрель 2023'!$J$4:$J$692,AB$1)</f>
        <v>1050</v>
      </c>
      <c r="AC35" s="207">
        <f>SUMIFS('апрель 2023'!$G$4:$G$692,'апрель 2023'!$D$4:$D$692,$B35,'апрель 2023'!$J$4:$J$692,AC$1)</f>
        <v>0</v>
      </c>
      <c r="AD35" s="207">
        <f>SUMIFS('апрель 2023'!$G$4:$G$692,'апрель 2023'!$D$4:$D$692,$B35,'апрель 2023'!$J$4:$J$692,AD$1)</f>
        <v>0</v>
      </c>
      <c r="AE35" s="207">
        <f>SUMIFS('апрель 2023'!$G$4:$G$692,'апрель 2023'!$D$4:$D$692,$B35,'апрель 2023'!$J$4:$J$692,AE$1)</f>
        <v>0</v>
      </c>
      <c r="AF35" s="207">
        <f>SUMIFS('апрель 2023'!$G$4:$G$692,'апрель 2023'!$D$4:$D$692,$B35,'апрель 2023'!$J$4:$J$692,AF$1)</f>
        <v>0</v>
      </c>
      <c r="AG35" s="207">
        <f>SUMIFS('апрель 2023'!$G$4:$G$692,'апрель 2023'!$D$4:$D$692,$B35,'апрель 2023'!$J$4:$J$692,AG$1)</f>
        <v>0</v>
      </c>
      <c r="AH35" s="207">
        <f>SUMIFS('апрель 2023'!$G$4:$G$692,'апрель 2023'!$D$4:$D$692,$B35,'апрель 2023'!$J$4:$J$692,AH$1)</f>
        <v>0</v>
      </c>
      <c r="AI35" s="170">
        <f t="shared" si="1"/>
        <v>2200</v>
      </c>
    </row>
    <row r="36" spans="2:35" ht="15" customHeight="1" x14ac:dyDescent="0.25">
      <c r="B36" s="212" t="s">
        <v>492</v>
      </c>
      <c r="C36" s="215">
        <v>25</v>
      </c>
      <c r="D36" s="207">
        <f>SUMIFS('апрель 2023'!$G$4:$G$692,'апрель 2023'!$D$4:$D$692,$B36,'апрель 2023'!$J$4:$J$692,D$1)</f>
        <v>0</v>
      </c>
      <c r="E36" s="207">
        <f>SUMIFS('апрель 2023'!$G$4:$G$692,'апрель 2023'!$D$4:$D$692,$B36,'апрель 2023'!$J$4:$J$692,E$1)</f>
        <v>0</v>
      </c>
      <c r="F36" s="207">
        <f>SUMIFS('апрель 2023'!$G$4:$G$692,'апрель 2023'!$D$4:$D$692,$B36,'апрель 2023'!$J$4:$J$692,F$1)</f>
        <v>0</v>
      </c>
      <c r="G36" s="207">
        <f>SUMIFS('апрель 2023'!$G$4:$G$692,'апрель 2023'!$D$4:$D$692,$B36,'апрель 2023'!$J$4:$J$692,G$1)</f>
        <v>80</v>
      </c>
      <c r="H36" s="207">
        <f>SUMIFS('апрель 2023'!$G$4:$G$692,'апрель 2023'!$D$4:$D$692,$B36,'апрель 2023'!$J$4:$J$692,H$1)</f>
        <v>0</v>
      </c>
      <c r="I36" s="207">
        <f>SUMIFS('апрель 2023'!$G$4:$G$692,'апрель 2023'!$D$4:$D$692,$B36,'апрель 2023'!$J$4:$J$692,I$1)</f>
        <v>0</v>
      </c>
      <c r="J36" s="207">
        <f>SUMIFS('апрель 2023'!$G$4:$G$692,'апрель 2023'!$D$4:$D$692,$B36,'апрель 2023'!$J$4:$J$692,J$1)</f>
        <v>0</v>
      </c>
      <c r="K36" s="207">
        <f>SUMIFS('апрель 2023'!$G$4:$G$692,'апрель 2023'!$D$4:$D$692,$B36,'апрель 2023'!$J$4:$J$692,K$1)</f>
        <v>0</v>
      </c>
      <c r="L36" s="207">
        <f>SUMIFS('апрель 2023'!$G$4:$G$692,'апрель 2023'!$D$4:$D$692,$B36,'апрель 2023'!$J$4:$J$692,L$1)</f>
        <v>0</v>
      </c>
      <c r="M36" s="207">
        <f>SUMIFS('апрель 2023'!$G$4:$G$692,'апрель 2023'!$D$4:$D$692,$B36,'апрель 2023'!$J$4:$J$692,M$1)</f>
        <v>0</v>
      </c>
      <c r="N36" s="207">
        <f>SUMIFS('апрель 2023'!$G$4:$G$692,'апрель 2023'!$D$4:$D$692,$B36,'апрель 2023'!$J$4:$J$692,N$1)</f>
        <v>0</v>
      </c>
      <c r="O36" s="207">
        <f>SUMIFS('апрель 2023'!$G$4:$G$692,'апрель 2023'!$D$4:$D$692,$B36,'апрель 2023'!$J$4:$J$692,O$1)</f>
        <v>800</v>
      </c>
      <c r="P36" s="207">
        <f>SUMIFS('апрель 2023'!$G$4:$G$692,'апрель 2023'!$D$4:$D$692,$B36,'апрель 2023'!$J$4:$J$692,P$1)</f>
        <v>0</v>
      </c>
      <c r="Q36" s="207">
        <f>SUMIFS('апрель 2023'!$G$4:$G$692,'апрель 2023'!$D$4:$D$692,$B36,'апрель 2023'!$J$4:$J$692,Q$1)</f>
        <v>0</v>
      </c>
      <c r="R36" s="207">
        <f>SUMIFS('апрель 2023'!$G$4:$G$692,'апрель 2023'!$D$4:$D$692,$B36,'апрель 2023'!$J$4:$J$692,R$1)</f>
        <v>0</v>
      </c>
      <c r="S36" s="207">
        <f>SUMIFS('апрель 2023'!$G$4:$G$692,'апрель 2023'!$D$4:$D$692,$B36,'апрель 2023'!$J$4:$J$692,S$1)</f>
        <v>0</v>
      </c>
      <c r="T36" s="207">
        <f>SUMIFS('апрель 2023'!$G$4:$G$692,'апрель 2023'!$D$4:$D$692,$B36,'апрель 2023'!$J$4:$J$692,T$1)</f>
        <v>0</v>
      </c>
      <c r="U36" s="207">
        <f>SUMIFS('апрель 2023'!$G$4:$G$692,'апрель 2023'!$D$4:$D$692,$B36,'апрель 2023'!$J$4:$J$692,U$1)</f>
        <v>0</v>
      </c>
      <c r="V36" s="207">
        <f>SUMIFS('апрель 2023'!$G$4:$G$692,'апрель 2023'!$D$4:$D$692,$B36,'апрель 2023'!$J$4:$J$692,V$1)</f>
        <v>0</v>
      </c>
      <c r="W36" s="207">
        <f>SUMIFS('апрель 2023'!$G$4:$G$692,'апрель 2023'!$D$4:$D$692,$B36,'апрель 2023'!$J$4:$J$692,W$1)</f>
        <v>0</v>
      </c>
      <c r="X36" s="207">
        <f>SUMIFS('апрель 2023'!$G$4:$G$692,'апрель 2023'!$D$4:$D$692,$B36,'апрель 2023'!$J$4:$J$692,X$1)</f>
        <v>0</v>
      </c>
      <c r="Y36" s="207">
        <f>SUMIFS('апрель 2023'!$G$4:$G$692,'апрель 2023'!$D$4:$D$692,$B36,'апрель 2023'!$J$4:$J$692,Y$1)</f>
        <v>0</v>
      </c>
      <c r="Z36" s="207">
        <f>SUMIFS('апрель 2023'!$G$4:$G$692,'апрель 2023'!$D$4:$D$692,$B36,'апрель 2023'!$J$4:$J$692,Z$1)</f>
        <v>0</v>
      </c>
      <c r="AA36" s="207">
        <f>SUMIFS('апрель 2023'!$G$4:$G$692,'апрель 2023'!$D$4:$D$692,$B36,'апрель 2023'!$J$4:$J$692,AA$1)</f>
        <v>0</v>
      </c>
      <c r="AB36" s="207">
        <f>SUMIFS('апрель 2023'!$G$4:$G$692,'апрель 2023'!$D$4:$D$692,$B36,'апрель 2023'!$J$4:$J$692,AB$1)</f>
        <v>0</v>
      </c>
      <c r="AC36" s="207">
        <f>SUMIFS('апрель 2023'!$G$4:$G$692,'апрель 2023'!$D$4:$D$692,$B36,'апрель 2023'!$J$4:$J$692,AC$1)</f>
        <v>0</v>
      </c>
      <c r="AD36" s="207">
        <f>SUMIFS('апрель 2023'!$G$4:$G$692,'апрель 2023'!$D$4:$D$692,$B36,'апрель 2023'!$J$4:$J$692,AD$1)</f>
        <v>0</v>
      </c>
      <c r="AE36" s="207">
        <f>SUMIFS('апрель 2023'!$G$4:$G$692,'апрель 2023'!$D$4:$D$692,$B36,'апрель 2023'!$J$4:$J$692,AE$1)</f>
        <v>0</v>
      </c>
      <c r="AF36" s="207">
        <f>SUMIFS('апрель 2023'!$G$4:$G$692,'апрель 2023'!$D$4:$D$692,$B36,'апрель 2023'!$J$4:$J$692,AF$1)</f>
        <v>0</v>
      </c>
      <c r="AG36" s="207">
        <f>SUMIFS('апрель 2023'!$G$4:$G$692,'апрель 2023'!$D$4:$D$692,$B36,'апрель 2023'!$J$4:$J$692,AG$1)</f>
        <v>0</v>
      </c>
      <c r="AH36" s="207">
        <f>SUMIFS('апрель 2023'!$G$4:$G$692,'апрель 2023'!$D$4:$D$692,$B36,'апрель 2023'!$J$4:$J$692,AH$1)</f>
        <v>0</v>
      </c>
      <c r="AI36" s="170">
        <f t="shared" si="1"/>
        <v>880</v>
      </c>
    </row>
    <row r="37" spans="2:35" ht="15" customHeight="1" x14ac:dyDescent="0.25">
      <c r="B37" s="212" t="s">
        <v>1600</v>
      </c>
      <c r="C37" s="211">
        <v>25</v>
      </c>
      <c r="D37" s="207">
        <f>SUMIFS('апрель 2023'!$G$4:$G$692,'апрель 2023'!$D$4:$D$692,$B37,'апрель 2023'!$J$4:$J$692,D$1)</f>
        <v>0</v>
      </c>
      <c r="E37" s="207">
        <f>SUMIFS('апрель 2023'!$G$4:$G$692,'апрель 2023'!$D$4:$D$692,$B37,'апрель 2023'!$J$4:$J$692,E$1)</f>
        <v>0</v>
      </c>
      <c r="F37" s="207">
        <f>SUMIFS('апрель 2023'!$G$4:$G$692,'апрель 2023'!$D$4:$D$692,$B37,'апрель 2023'!$J$4:$J$692,F$1)</f>
        <v>0</v>
      </c>
      <c r="G37" s="207">
        <f>SUMIFS('апрель 2023'!$G$4:$G$692,'апрель 2023'!$D$4:$D$692,$B37,'апрель 2023'!$J$4:$J$692,G$1)</f>
        <v>0</v>
      </c>
      <c r="H37" s="207">
        <f>SUMIFS('апрель 2023'!$G$4:$G$692,'апрель 2023'!$D$4:$D$692,$B37,'апрель 2023'!$J$4:$J$692,H$1)</f>
        <v>0</v>
      </c>
      <c r="I37" s="207">
        <f>SUMIFS('апрель 2023'!$G$4:$G$692,'апрель 2023'!$D$4:$D$692,$B37,'апрель 2023'!$J$4:$J$692,I$1)</f>
        <v>0</v>
      </c>
      <c r="J37" s="207">
        <f>SUMIFS('апрель 2023'!$G$4:$G$692,'апрель 2023'!$D$4:$D$692,$B37,'апрель 2023'!$J$4:$J$692,J$1)</f>
        <v>0</v>
      </c>
      <c r="K37" s="207">
        <f>SUMIFS('апрель 2023'!$G$4:$G$692,'апрель 2023'!$D$4:$D$692,$B37,'апрель 2023'!$J$4:$J$692,K$1)</f>
        <v>0</v>
      </c>
      <c r="L37" s="207">
        <f>SUMIFS('апрель 2023'!$G$4:$G$692,'апрель 2023'!$D$4:$D$692,$B37,'апрель 2023'!$J$4:$J$692,L$1)</f>
        <v>0</v>
      </c>
      <c r="M37" s="207">
        <f>SUMIFS('апрель 2023'!$G$4:$G$692,'апрель 2023'!$D$4:$D$692,$B37,'апрель 2023'!$J$4:$J$692,M$1)</f>
        <v>0</v>
      </c>
      <c r="N37" s="207">
        <f>SUMIFS('апрель 2023'!$G$4:$G$692,'апрель 2023'!$D$4:$D$692,$B37,'апрель 2023'!$J$4:$J$692,N$1)</f>
        <v>0</v>
      </c>
      <c r="O37" s="207">
        <f>SUMIFS('апрель 2023'!$G$4:$G$692,'апрель 2023'!$D$4:$D$692,$B37,'апрель 2023'!$J$4:$J$692,O$1)</f>
        <v>0</v>
      </c>
      <c r="P37" s="207">
        <f>SUMIFS('апрель 2023'!$G$4:$G$692,'апрель 2023'!$D$4:$D$692,$B37,'апрель 2023'!$J$4:$J$692,P$1)</f>
        <v>0</v>
      </c>
      <c r="Q37" s="207">
        <f>SUMIFS('апрель 2023'!$G$4:$G$692,'апрель 2023'!$D$4:$D$692,$B37,'апрель 2023'!$J$4:$J$692,Q$1)</f>
        <v>0</v>
      </c>
      <c r="R37" s="207">
        <f>SUMIFS('апрель 2023'!$G$4:$G$692,'апрель 2023'!$D$4:$D$692,$B37,'апрель 2023'!$J$4:$J$692,R$1)</f>
        <v>0</v>
      </c>
      <c r="S37" s="207">
        <f>SUMIFS('апрель 2023'!$G$4:$G$692,'апрель 2023'!$D$4:$D$692,$B37,'апрель 2023'!$J$4:$J$692,S$1)</f>
        <v>0</v>
      </c>
      <c r="T37" s="207">
        <f>SUMIFS('апрель 2023'!$G$4:$G$692,'апрель 2023'!$D$4:$D$692,$B37,'апрель 2023'!$J$4:$J$692,T$1)</f>
        <v>0</v>
      </c>
      <c r="U37" s="207">
        <f>SUMIFS('апрель 2023'!$G$4:$G$692,'апрель 2023'!$D$4:$D$692,$B37,'апрель 2023'!$J$4:$J$692,U$1)</f>
        <v>0</v>
      </c>
      <c r="V37" s="207">
        <f>SUMIFS('апрель 2023'!$G$4:$G$692,'апрель 2023'!$D$4:$D$692,$B37,'апрель 2023'!$J$4:$J$692,V$1)</f>
        <v>0</v>
      </c>
      <c r="W37" s="207">
        <f>SUMIFS('апрель 2023'!$G$4:$G$692,'апрель 2023'!$D$4:$D$692,$B37,'апрель 2023'!$J$4:$J$692,W$1)</f>
        <v>0</v>
      </c>
      <c r="X37" s="207">
        <f>SUMIFS('апрель 2023'!$G$4:$G$692,'апрель 2023'!$D$4:$D$692,$B37,'апрель 2023'!$J$4:$J$692,X$1)</f>
        <v>0</v>
      </c>
      <c r="Y37" s="207">
        <f>SUMIFS('апрель 2023'!$G$4:$G$692,'апрель 2023'!$D$4:$D$692,$B37,'апрель 2023'!$J$4:$J$692,Y$1)</f>
        <v>0</v>
      </c>
      <c r="Z37" s="207">
        <f>SUMIFS('апрель 2023'!$G$4:$G$692,'апрель 2023'!$D$4:$D$692,$B37,'апрель 2023'!$J$4:$J$692,Z$1)</f>
        <v>0</v>
      </c>
      <c r="AA37" s="207">
        <f>SUMIFS('апрель 2023'!$G$4:$G$692,'апрель 2023'!$D$4:$D$692,$B37,'апрель 2023'!$J$4:$J$692,AA$1)</f>
        <v>0</v>
      </c>
      <c r="AB37" s="207">
        <f>SUMIFS('апрель 2023'!$G$4:$G$692,'апрель 2023'!$D$4:$D$692,$B37,'апрель 2023'!$J$4:$J$692,AB$1)</f>
        <v>0</v>
      </c>
      <c r="AC37" s="207">
        <f>SUMIFS('апрель 2023'!$G$4:$G$692,'апрель 2023'!$D$4:$D$692,$B37,'апрель 2023'!$J$4:$J$692,AC$1)</f>
        <v>0</v>
      </c>
      <c r="AD37" s="207">
        <f>SUMIFS('апрель 2023'!$G$4:$G$692,'апрель 2023'!$D$4:$D$692,$B37,'апрель 2023'!$J$4:$J$692,AD$1)</f>
        <v>0</v>
      </c>
      <c r="AE37" s="207">
        <f>SUMIFS('апрель 2023'!$G$4:$G$692,'апрель 2023'!$D$4:$D$692,$B37,'апрель 2023'!$J$4:$J$692,AE$1)</f>
        <v>0</v>
      </c>
      <c r="AF37" s="207">
        <f>SUMIFS('апрель 2023'!$G$4:$G$692,'апрель 2023'!$D$4:$D$692,$B37,'апрель 2023'!$J$4:$J$692,AF$1)</f>
        <v>0</v>
      </c>
      <c r="AG37" s="207">
        <f>SUMIFS('апрель 2023'!$G$4:$G$692,'апрель 2023'!$D$4:$D$692,$B37,'апрель 2023'!$J$4:$J$692,AG$1)</f>
        <v>0</v>
      </c>
      <c r="AH37" s="207">
        <f>SUMIFS('апрель 2023'!$G$4:$G$692,'апрель 2023'!$D$4:$D$692,$B37,'апрель 2023'!$J$4:$J$692,AH$1)</f>
        <v>0</v>
      </c>
      <c r="AI37" s="170">
        <f t="shared" si="1"/>
        <v>0</v>
      </c>
    </row>
    <row r="38" spans="2:35" ht="15" customHeight="1" x14ac:dyDescent="0.25">
      <c r="B38" s="216" t="s">
        <v>1531</v>
      </c>
      <c r="C38" s="213">
        <v>14</v>
      </c>
      <c r="D38" s="207">
        <f>SUMIFS('апрель 2023'!$G$4:$G$692,'апрель 2023'!$D$4:$D$692,$B38,'апрель 2023'!$J$4:$J$692,D$1)</f>
        <v>0</v>
      </c>
      <c r="E38" s="207">
        <f>SUMIFS('апрель 2023'!$G$4:$G$692,'апрель 2023'!$D$4:$D$692,$B38,'апрель 2023'!$J$4:$J$692,E$1)</f>
        <v>0</v>
      </c>
      <c r="F38" s="207">
        <f>SUMIFS('апрель 2023'!$G$4:$G$692,'апрель 2023'!$D$4:$D$692,$B38,'апрель 2023'!$J$4:$J$692,F$1)</f>
        <v>0</v>
      </c>
      <c r="G38" s="207">
        <f>SUMIFS('апрель 2023'!$G$4:$G$692,'апрель 2023'!$D$4:$D$692,$B38,'апрель 2023'!$J$4:$J$692,G$1)</f>
        <v>0</v>
      </c>
      <c r="H38" s="207">
        <f>SUMIFS('апрель 2023'!$G$4:$G$692,'апрель 2023'!$D$4:$D$692,$B38,'апрель 2023'!$J$4:$J$692,H$1)</f>
        <v>0</v>
      </c>
      <c r="I38" s="207">
        <f>SUMIFS('апрель 2023'!$G$4:$G$692,'апрель 2023'!$D$4:$D$692,$B38,'апрель 2023'!$J$4:$J$692,I$1)</f>
        <v>0</v>
      </c>
      <c r="J38" s="207">
        <f>SUMIFS('апрель 2023'!$G$4:$G$692,'апрель 2023'!$D$4:$D$692,$B38,'апрель 2023'!$J$4:$J$692,J$1)</f>
        <v>0</v>
      </c>
      <c r="K38" s="207">
        <f>SUMIFS('апрель 2023'!$G$4:$G$692,'апрель 2023'!$D$4:$D$692,$B38,'апрель 2023'!$J$4:$J$692,K$1)</f>
        <v>0</v>
      </c>
      <c r="L38" s="207">
        <f>SUMIFS('апрель 2023'!$G$4:$G$692,'апрель 2023'!$D$4:$D$692,$B38,'апрель 2023'!$J$4:$J$692,L$1)</f>
        <v>0</v>
      </c>
      <c r="M38" s="207">
        <f>SUMIFS('апрель 2023'!$G$4:$G$692,'апрель 2023'!$D$4:$D$692,$B38,'апрель 2023'!$J$4:$J$692,M$1)</f>
        <v>0</v>
      </c>
      <c r="N38" s="207">
        <f>SUMIFS('апрель 2023'!$G$4:$G$692,'апрель 2023'!$D$4:$D$692,$B38,'апрель 2023'!$J$4:$J$692,N$1)</f>
        <v>0</v>
      </c>
      <c r="O38" s="207">
        <f>SUMIFS('апрель 2023'!$G$4:$G$692,'апрель 2023'!$D$4:$D$692,$B38,'апрель 2023'!$J$4:$J$692,O$1)</f>
        <v>0</v>
      </c>
      <c r="P38" s="207">
        <f>SUMIFS('апрель 2023'!$G$4:$G$692,'апрель 2023'!$D$4:$D$692,$B38,'апрель 2023'!$J$4:$J$692,P$1)</f>
        <v>0</v>
      </c>
      <c r="Q38" s="207">
        <f>SUMIFS('апрель 2023'!$G$4:$G$692,'апрель 2023'!$D$4:$D$692,$B38,'апрель 2023'!$J$4:$J$692,Q$1)</f>
        <v>0</v>
      </c>
      <c r="R38" s="207">
        <f>SUMIFS('апрель 2023'!$G$4:$G$692,'апрель 2023'!$D$4:$D$692,$B38,'апрель 2023'!$J$4:$J$692,R$1)</f>
        <v>0</v>
      </c>
      <c r="S38" s="207">
        <f>SUMIFS('апрель 2023'!$G$4:$G$692,'апрель 2023'!$D$4:$D$692,$B38,'апрель 2023'!$J$4:$J$692,S$1)</f>
        <v>0</v>
      </c>
      <c r="T38" s="207">
        <f>SUMIFS('апрель 2023'!$G$4:$G$692,'апрель 2023'!$D$4:$D$692,$B38,'апрель 2023'!$J$4:$J$692,T$1)</f>
        <v>0</v>
      </c>
      <c r="U38" s="207">
        <f>SUMIFS('апрель 2023'!$G$4:$G$692,'апрель 2023'!$D$4:$D$692,$B38,'апрель 2023'!$J$4:$J$692,U$1)</f>
        <v>405</v>
      </c>
      <c r="V38" s="207">
        <f>SUMIFS('апрель 2023'!$G$4:$G$692,'апрель 2023'!$D$4:$D$692,$B38,'апрель 2023'!$J$4:$J$692,V$1)</f>
        <v>0</v>
      </c>
      <c r="W38" s="207">
        <f>SUMIFS('апрель 2023'!$G$4:$G$692,'апрель 2023'!$D$4:$D$692,$B38,'апрель 2023'!$J$4:$J$692,W$1)</f>
        <v>8</v>
      </c>
      <c r="X38" s="207">
        <f>SUMIFS('апрель 2023'!$G$4:$G$692,'апрель 2023'!$D$4:$D$692,$B38,'апрель 2023'!$J$4:$J$692,X$1)</f>
        <v>0</v>
      </c>
      <c r="Y38" s="207">
        <f>SUMIFS('апрель 2023'!$G$4:$G$692,'апрель 2023'!$D$4:$D$692,$B38,'апрель 2023'!$J$4:$J$692,Y$1)</f>
        <v>0</v>
      </c>
      <c r="Z38" s="207">
        <f>SUMIFS('апрель 2023'!$G$4:$G$692,'апрель 2023'!$D$4:$D$692,$B38,'апрель 2023'!$J$4:$J$692,Z$1)</f>
        <v>0</v>
      </c>
      <c r="AA38" s="207">
        <f>SUMIFS('апрель 2023'!$G$4:$G$692,'апрель 2023'!$D$4:$D$692,$B38,'апрель 2023'!$J$4:$J$692,AA$1)</f>
        <v>38</v>
      </c>
      <c r="AB38" s="207">
        <f>SUMIFS('апрель 2023'!$G$4:$G$692,'апрель 2023'!$D$4:$D$692,$B38,'апрель 2023'!$J$4:$J$692,AB$1)</f>
        <v>0</v>
      </c>
      <c r="AC38" s="207">
        <f>SUMIFS('апрель 2023'!$G$4:$G$692,'апрель 2023'!$D$4:$D$692,$B38,'апрель 2023'!$J$4:$J$692,AC$1)</f>
        <v>0</v>
      </c>
      <c r="AD38" s="207">
        <f>SUMIFS('апрель 2023'!$G$4:$G$692,'апрель 2023'!$D$4:$D$692,$B38,'апрель 2023'!$J$4:$J$692,AD$1)</f>
        <v>0</v>
      </c>
      <c r="AE38" s="207">
        <f>SUMIFS('апрель 2023'!$G$4:$G$692,'апрель 2023'!$D$4:$D$692,$B38,'апрель 2023'!$J$4:$J$692,AE$1)</f>
        <v>0</v>
      </c>
      <c r="AF38" s="207">
        <f>SUMIFS('апрель 2023'!$G$4:$G$692,'апрель 2023'!$D$4:$D$692,$B38,'апрель 2023'!$J$4:$J$692,AF$1)</f>
        <v>0</v>
      </c>
      <c r="AG38" s="207">
        <f>SUMIFS('апрель 2023'!$G$4:$G$692,'апрель 2023'!$D$4:$D$692,$B38,'апрель 2023'!$J$4:$J$692,AG$1)</f>
        <v>0</v>
      </c>
      <c r="AH38" s="207">
        <f>SUMIFS('апрель 2023'!$G$4:$G$692,'апрель 2023'!$D$4:$D$692,$B38,'апрель 2023'!$J$4:$J$692,AH$1)</f>
        <v>0</v>
      </c>
      <c r="AI38" s="170">
        <f t="shared" si="1"/>
        <v>451</v>
      </c>
    </row>
    <row r="39" spans="2:35" ht="15" customHeight="1" x14ac:dyDescent="0.25">
      <c r="B39" s="212" t="s">
        <v>680</v>
      </c>
      <c r="C39" s="215">
        <v>200</v>
      </c>
      <c r="D39" s="207">
        <f>SUMIFS('апрель 2023'!$G$4:$G$692,'апрель 2023'!$D$4:$D$692,$B39,'апрель 2023'!$J$4:$J$692,D$1)</f>
        <v>0</v>
      </c>
      <c r="E39" s="207">
        <f>SUMIFS('апрель 2023'!$G$4:$G$692,'апрель 2023'!$D$4:$D$692,$B39,'апрель 2023'!$J$4:$J$692,E$1)</f>
        <v>0</v>
      </c>
      <c r="F39" s="207">
        <f>SUMIFS('апрель 2023'!$G$4:$G$692,'апрель 2023'!$D$4:$D$692,$B39,'апрель 2023'!$J$4:$J$692,F$1)</f>
        <v>0</v>
      </c>
      <c r="G39" s="207">
        <f>SUMIFS('апрель 2023'!$G$4:$G$692,'апрель 2023'!$D$4:$D$692,$B39,'апрель 2023'!$J$4:$J$692,G$1)</f>
        <v>0</v>
      </c>
      <c r="H39" s="207">
        <f>SUMIFS('апрель 2023'!$G$4:$G$692,'апрель 2023'!$D$4:$D$692,$B39,'апрель 2023'!$J$4:$J$692,H$1)</f>
        <v>0</v>
      </c>
      <c r="I39" s="207">
        <f>SUMIFS('апрель 2023'!$G$4:$G$692,'апрель 2023'!$D$4:$D$692,$B39,'апрель 2023'!$J$4:$J$692,I$1)</f>
        <v>0</v>
      </c>
      <c r="J39" s="207">
        <f>SUMIFS('апрель 2023'!$G$4:$G$692,'апрель 2023'!$D$4:$D$692,$B39,'апрель 2023'!$J$4:$J$692,J$1)</f>
        <v>0</v>
      </c>
      <c r="K39" s="207">
        <f>SUMIFS('апрель 2023'!$G$4:$G$692,'апрель 2023'!$D$4:$D$692,$B39,'апрель 2023'!$J$4:$J$692,K$1)</f>
        <v>0</v>
      </c>
      <c r="L39" s="207">
        <f>SUMIFS('апрель 2023'!$G$4:$G$692,'апрель 2023'!$D$4:$D$692,$B39,'апрель 2023'!$J$4:$J$692,L$1)</f>
        <v>0</v>
      </c>
      <c r="M39" s="207">
        <f>SUMIFS('апрель 2023'!$G$4:$G$692,'апрель 2023'!$D$4:$D$692,$B39,'апрель 2023'!$J$4:$J$692,M$1)</f>
        <v>0</v>
      </c>
      <c r="N39" s="207">
        <f>SUMIFS('апрель 2023'!$G$4:$G$692,'апрель 2023'!$D$4:$D$692,$B39,'апрель 2023'!$J$4:$J$692,N$1)</f>
        <v>0</v>
      </c>
      <c r="O39" s="207">
        <f>SUMIFS('апрель 2023'!$G$4:$G$692,'апрель 2023'!$D$4:$D$692,$B39,'апрель 2023'!$J$4:$J$692,O$1)</f>
        <v>0</v>
      </c>
      <c r="P39" s="207">
        <f>SUMIFS('апрель 2023'!$G$4:$G$692,'апрель 2023'!$D$4:$D$692,$B39,'апрель 2023'!$J$4:$J$692,P$1)</f>
        <v>0</v>
      </c>
      <c r="Q39" s="207">
        <f>SUMIFS('апрель 2023'!$G$4:$G$692,'апрель 2023'!$D$4:$D$692,$B39,'апрель 2023'!$J$4:$J$692,Q$1)</f>
        <v>32</v>
      </c>
      <c r="R39" s="207">
        <f>SUMIFS('апрель 2023'!$G$4:$G$692,'апрель 2023'!$D$4:$D$692,$B39,'апрель 2023'!$J$4:$J$692,R$1)</f>
        <v>0</v>
      </c>
      <c r="S39" s="207">
        <f>SUMIFS('апрель 2023'!$G$4:$G$692,'апрель 2023'!$D$4:$D$692,$B39,'апрель 2023'!$J$4:$J$692,S$1)</f>
        <v>0</v>
      </c>
      <c r="T39" s="207">
        <f>SUMIFS('апрель 2023'!$G$4:$G$692,'апрель 2023'!$D$4:$D$692,$B39,'апрель 2023'!$J$4:$J$692,T$1)</f>
        <v>0</v>
      </c>
      <c r="U39" s="207">
        <f>SUMIFS('апрель 2023'!$G$4:$G$692,'апрель 2023'!$D$4:$D$692,$B39,'апрель 2023'!$J$4:$J$692,U$1)</f>
        <v>0</v>
      </c>
      <c r="V39" s="207">
        <f>SUMIFS('апрель 2023'!$G$4:$G$692,'апрель 2023'!$D$4:$D$692,$B39,'апрель 2023'!$J$4:$J$692,V$1)</f>
        <v>0</v>
      </c>
      <c r="W39" s="207">
        <f>SUMIFS('апрель 2023'!$G$4:$G$692,'апрель 2023'!$D$4:$D$692,$B39,'апрель 2023'!$J$4:$J$692,W$1)</f>
        <v>0</v>
      </c>
      <c r="X39" s="207">
        <f>SUMIFS('апрель 2023'!$G$4:$G$692,'апрель 2023'!$D$4:$D$692,$B39,'апрель 2023'!$J$4:$J$692,X$1)</f>
        <v>0</v>
      </c>
      <c r="Y39" s="207">
        <f>SUMIFS('апрель 2023'!$G$4:$G$692,'апрель 2023'!$D$4:$D$692,$B39,'апрель 2023'!$J$4:$J$692,Y$1)</f>
        <v>0</v>
      </c>
      <c r="Z39" s="207">
        <f>SUMIFS('апрель 2023'!$G$4:$G$692,'апрель 2023'!$D$4:$D$692,$B39,'апрель 2023'!$J$4:$J$692,Z$1)</f>
        <v>0</v>
      </c>
      <c r="AA39" s="207">
        <f>SUMIFS('апрель 2023'!$G$4:$G$692,'апрель 2023'!$D$4:$D$692,$B39,'апрель 2023'!$J$4:$J$692,AA$1)</f>
        <v>0</v>
      </c>
      <c r="AB39" s="207">
        <f>SUMIFS('апрель 2023'!$G$4:$G$692,'апрель 2023'!$D$4:$D$692,$B39,'апрель 2023'!$J$4:$J$692,AB$1)</f>
        <v>0</v>
      </c>
      <c r="AC39" s="207">
        <f>SUMIFS('апрель 2023'!$G$4:$G$692,'апрель 2023'!$D$4:$D$692,$B39,'апрель 2023'!$J$4:$J$692,AC$1)</f>
        <v>0</v>
      </c>
      <c r="AD39" s="207">
        <f>SUMIFS('апрель 2023'!$G$4:$G$692,'апрель 2023'!$D$4:$D$692,$B39,'апрель 2023'!$J$4:$J$692,AD$1)</f>
        <v>0</v>
      </c>
      <c r="AE39" s="207">
        <f>SUMIFS('апрель 2023'!$G$4:$G$692,'апрель 2023'!$D$4:$D$692,$B39,'апрель 2023'!$J$4:$J$692,AE$1)</f>
        <v>0</v>
      </c>
      <c r="AF39" s="207">
        <f>SUMIFS('апрель 2023'!$G$4:$G$692,'апрель 2023'!$D$4:$D$692,$B39,'апрель 2023'!$J$4:$J$692,AF$1)</f>
        <v>0</v>
      </c>
      <c r="AG39" s="207">
        <f>SUMIFS('апрель 2023'!$G$4:$G$692,'апрель 2023'!$D$4:$D$692,$B39,'апрель 2023'!$J$4:$J$692,AG$1)</f>
        <v>0</v>
      </c>
      <c r="AH39" s="207">
        <f>SUMIFS('апрель 2023'!$G$4:$G$692,'апрель 2023'!$D$4:$D$692,$B39,'апрель 2023'!$J$4:$J$692,AH$1)</f>
        <v>0</v>
      </c>
      <c r="AI39" s="170">
        <f t="shared" si="1"/>
        <v>32</v>
      </c>
    </row>
    <row r="40" spans="2:35" ht="15" customHeight="1" x14ac:dyDescent="0.25">
      <c r="B40" s="216" t="s">
        <v>2125</v>
      </c>
      <c r="C40" s="213">
        <v>25</v>
      </c>
      <c r="D40" s="207">
        <f>SUMIFS('апрель 2023'!$G$4:$G$692,'апрель 2023'!$D$4:$D$692,$B40,'апрель 2023'!$J$4:$J$692,D$1)</f>
        <v>0</v>
      </c>
      <c r="E40" s="207">
        <f>SUMIFS('апрель 2023'!$G$4:$G$692,'апрель 2023'!$D$4:$D$692,$B40,'апрель 2023'!$J$4:$J$692,E$1)</f>
        <v>0</v>
      </c>
      <c r="F40" s="207">
        <f>SUMIFS('апрель 2023'!$G$4:$G$692,'апрель 2023'!$D$4:$D$692,$B40,'апрель 2023'!$J$4:$J$692,F$1)</f>
        <v>0</v>
      </c>
      <c r="G40" s="207">
        <f>SUMIFS('апрель 2023'!$G$4:$G$692,'апрель 2023'!$D$4:$D$692,$B40,'апрель 2023'!$J$4:$J$692,G$1)</f>
        <v>0</v>
      </c>
      <c r="H40" s="207">
        <f>SUMIFS('апрель 2023'!$G$4:$G$692,'апрель 2023'!$D$4:$D$692,$B40,'апрель 2023'!$J$4:$J$692,H$1)</f>
        <v>0</v>
      </c>
      <c r="I40" s="207">
        <f>SUMIFS('апрель 2023'!$G$4:$G$692,'апрель 2023'!$D$4:$D$692,$B40,'апрель 2023'!$J$4:$J$692,I$1)</f>
        <v>0</v>
      </c>
      <c r="J40" s="207">
        <f>SUMIFS('апрель 2023'!$G$4:$G$692,'апрель 2023'!$D$4:$D$692,$B40,'апрель 2023'!$J$4:$J$692,J$1)</f>
        <v>0</v>
      </c>
      <c r="K40" s="207">
        <f>SUMIFS('апрель 2023'!$G$4:$G$692,'апрель 2023'!$D$4:$D$692,$B40,'апрель 2023'!$J$4:$J$692,K$1)</f>
        <v>0</v>
      </c>
      <c r="L40" s="207">
        <f>SUMIFS('апрель 2023'!$G$4:$G$692,'апрель 2023'!$D$4:$D$692,$B40,'апрель 2023'!$J$4:$J$692,L$1)</f>
        <v>0</v>
      </c>
      <c r="M40" s="207">
        <f>SUMIFS('апрель 2023'!$G$4:$G$692,'апрель 2023'!$D$4:$D$692,$B40,'апрель 2023'!$J$4:$J$692,M$1)</f>
        <v>0</v>
      </c>
      <c r="N40" s="207">
        <f>SUMIFS('апрель 2023'!$G$4:$G$692,'апрель 2023'!$D$4:$D$692,$B40,'апрель 2023'!$J$4:$J$692,N$1)</f>
        <v>0</v>
      </c>
      <c r="O40" s="207">
        <f>SUMIFS('апрель 2023'!$G$4:$G$692,'апрель 2023'!$D$4:$D$692,$B40,'апрель 2023'!$J$4:$J$692,O$1)</f>
        <v>0</v>
      </c>
      <c r="P40" s="207">
        <f>SUMIFS('апрель 2023'!$G$4:$G$692,'апрель 2023'!$D$4:$D$692,$B40,'апрель 2023'!$J$4:$J$692,P$1)</f>
        <v>0</v>
      </c>
      <c r="Q40" s="207">
        <f>SUMIFS('апрель 2023'!$G$4:$G$692,'апрель 2023'!$D$4:$D$692,$B40,'апрель 2023'!$J$4:$J$692,Q$1)</f>
        <v>0</v>
      </c>
      <c r="R40" s="207">
        <f>SUMIFS('апрель 2023'!$G$4:$G$692,'апрель 2023'!$D$4:$D$692,$B40,'апрель 2023'!$J$4:$J$692,R$1)</f>
        <v>0</v>
      </c>
      <c r="S40" s="207">
        <f>SUMIFS('апрель 2023'!$G$4:$G$692,'апрель 2023'!$D$4:$D$692,$B40,'апрель 2023'!$J$4:$J$692,S$1)</f>
        <v>0</v>
      </c>
      <c r="T40" s="207">
        <f>SUMIFS('апрель 2023'!$G$4:$G$692,'апрель 2023'!$D$4:$D$692,$B40,'апрель 2023'!$J$4:$J$692,T$1)</f>
        <v>0</v>
      </c>
      <c r="U40" s="207">
        <f>SUMIFS('апрель 2023'!$G$4:$G$692,'апрель 2023'!$D$4:$D$692,$B40,'апрель 2023'!$J$4:$J$692,U$1)</f>
        <v>0</v>
      </c>
      <c r="V40" s="207">
        <f>SUMIFS('апрель 2023'!$G$4:$G$692,'апрель 2023'!$D$4:$D$692,$B40,'апрель 2023'!$J$4:$J$692,V$1)</f>
        <v>0</v>
      </c>
      <c r="W40" s="207">
        <f>SUMIFS('апрель 2023'!$G$4:$G$692,'апрель 2023'!$D$4:$D$692,$B40,'апрель 2023'!$J$4:$J$692,W$1)</f>
        <v>0</v>
      </c>
      <c r="X40" s="207">
        <f>SUMIFS('апрель 2023'!$G$4:$G$692,'апрель 2023'!$D$4:$D$692,$B40,'апрель 2023'!$J$4:$J$692,X$1)</f>
        <v>0</v>
      </c>
      <c r="Y40" s="207">
        <f>SUMIFS('апрель 2023'!$G$4:$G$692,'апрель 2023'!$D$4:$D$692,$B40,'апрель 2023'!$J$4:$J$692,Y$1)</f>
        <v>0</v>
      </c>
      <c r="Z40" s="207">
        <f>SUMIFS('апрель 2023'!$G$4:$G$692,'апрель 2023'!$D$4:$D$692,$B40,'апрель 2023'!$J$4:$J$692,Z$1)</f>
        <v>0</v>
      </c>
      <c r="AA40" s="207">
        <f>SUMIFS('апрель 2023'!$G$4:$G$692,'апрель 2023'!$D$4:$D$692,$B40,'апрель 2023'!$J$4:$J$692,AA$1)</f>
        <v>0</v>
      </c>
      <c r="AB40" s="207">
        <f>SUMIFS('апрель 2023'!$G$4:$G$692,'апрель 2023'!$D$4:$D$692,$B40,'апрель 2023'!$J$4:$J$692,AB$1)</f>
        <v>0</v>
      </c>
      <c r="AC40" s="207">
        <f>SUMIFS('апрель 2023'!$G$4:$G$692,'апрель 2023'!$D$4:$D$692,$B40,'апрель 2023'!$J$4:$J$692,AC$1)</f>
        <v>0</v>
      </c>
      <c r="AD40" s="207">
        <f>SUMIFS('апрель 2023'!$G$4:$G$692,'апрель 2023'!$D$4:$D$692,$B40,'апрель 2023'!$J$4:$J$692,AD$1)</f>
        <v>0</v>
      </c>
      <c r="AE40" s="207">
        <f>SUMIFS('апрель 2023'!$G$4:$G$692,'апрель 2023'!$D$4:$D$692,$B40,'апрель 2023'!$J$4:$J$692,AE$1)</f>
        <v>0</v>
      </c>
      <c r="AF40" s="207">
        <f>SUMIFS('апрель 2023'!$G$4:$G$692,'апрель 2023'!$D$4:$D$692,$B40,'апрель 2023'!$J$4:$J$692,AF$1)</f>
        <v>0</v>
      </c>
      <c r="AG40" s="207">
        <f>SUMIFS('апрель 2023'!$G$4:$G$692,'апрель 2023'!$D$4:$D$692,$B40,'апрель 2023'!$J$4:$J$692,AG$1)</f>
        <v>0</v>
      </c>
      <c r="AH40" s="207">
        <f>SUMIFS('апрель 2023'!$G$4:$G$692,'апрель 2023'!$D$4:$D$692,$B40,'апрель 2023'!$J$4:$J$692,AH$1)</f>
        <v>0</v>
      </c>
      <c r="AI40" s="170">
        <f t="shared" si="1"/>
        <v>0</v>
      </c>
    </row>
    <row r="41" spans="2:35" ht="15" customHeight="1" x14ac:dyDescent="0.25">
      <c r="B41" s="216" t="s">
        <v>98</v>
      </c>
      <c r="C41" s="213">
        <v>25</v>
      </c>
      <c r="D41" s="207">
        <f>SUMIFS('апрель 2023'!$G$4:$G$692,'апрель 2023'!$D$4:$D$692,$B41,'апрель 2023'!$J$4:$J$692,D$1)</f>
        <v>0</v>
      </c>
      <c r="E41" s="207">
        <f>SUMIFS('апрель 2023'!$G$4:$G$692,'апрель 2023'!$D$4:$D$692,$B41,'апрель 2023'!$J$4:$J$692,E$1)</f>
        <v>0</v>
      </c>
      <c r="F41" s="207">
        <f>SUMIFS('апрель 2023'!$G$4:$G$692,'апрель 2023'!$D$4:$D$692,$B41,'апрель 2023'!$J$4:$J$692,F$1)</f>
        <v>0</v>
      </c>
      <c r="G41" s="207">
        <f>SUMIFS('апрель 2023'!$G$4:$G$692,'апрель 2023'!$D$4:$D$692,$B41,'апрель 2023'!$J$4:$J$692,G$1)</f>
        <v>0</v>
      </c>
      <c r="H41" s="207">
        <f>SUMIFS('апрель 2023'!$G$4:$G$692,'апрель 2023'!$D$4:$D$692,$B41,'апрель 2023'!$J$4:$J$692,H$1)</f>
        <v>0</v>
      </c>
      <c r="I41" s="207">
        <f>SUMIFS('апрель 2023'!$G$4:$G$692,'апрель 2023'!$D$4:$D$692,$B41,'апрель 2023'!$J$4:$J$692,I$1)</f>
        <v>0</v>
      </c>
      <c r="J41" s="207">
        <f>SUMIFS('апрель 2023'!$G$4:$G$692,'апрель 2023'!$D$4:$D$692,$B41,'апрель 2023'!$J$4:$J$692,J$1)</f>
        <v>0</v>
      </c>
      <c r="K41" s="207">
        <f>SUMIFS('апрель 2023'!$G$4:$G$692,'апрель 2023'!$D$4:$D$692,$B41,'апрель 2023'!$J$4:$J$692,K$1)</f>
        <v>0</v>
      </c>
      <c r="L41" s="207">
        <f>SUMIFS('апрель 2023'!$G$4:$G$692,'апрель 2023'!$D$4:$D$692,$B41,'апрель 2023'!$J$4:$J$692,L$1)</f>
        <v>0</v>
      </c>
      <c r="M41" s="207">
        <f>SUMIFS('апрель 2023'!$G$4:$G$692,'апрель 2023'!$D$4:$D$692,$B41,'апрель 2023'!$J$4:$J$692,M$1)</f>
        <v>0</v>
      </c>
      <c r="N41" s="207">
        <f>SUMIFS('апрель 2023'!$G$4:$G$692,'апрель 2023'!$D$4:$D$692,$B41,'апрель 2023'!$J$4:$J$692,N$1)</f>
        <v>0</v>
      </c>
      <c r="O41" s="207">
        <f>SUMIFS('апрель 2023'!$G$4:$G$692,'апрель 2023'!$D$4:$D$692,$B41,'апрель 2023'!$J$4:$J$692,O$1)</f>
        <v>0</v>
      </c>
      <c r="P41" s="207">
        <f>SUMIFS('апрель 2023'!$G$4:$G$692,'апрель 2023'!$D$4:$D$692,$B41,'апрель 2023'!$J$4:$J$692,P$1)</f>
        <v>400</v>
      </c>
      <c r="Q41" s="207">
        <f>SUMIFS('апрель 2023'!$G$4:$G$692,'апрель 2023'!$D$4:$D$692,$B41,'апрель 2023'!$J$4:$J$692,Q$1)</f>
        <v>0</v>
      </c>
      <c r="R41" s="207">
        <f>SUMIFS('апрель 2023'!$G$4:$G$692,'апрель 2023'!$D$4:$D$692,$B41,'апрель 2023'!$J$4:$J$692,R$1)</f>
        <v>0</v>
      </c>
      <c r="S41" s="207">
        <f>SUMIFS('апрель 2023'!$G$4:$G$692,'апрель 2023'!$D$4:$D$692,$B41,'апрель 2023'!$J$4:$J$692,S$1)</f>
        <v>0</v>
      </c>
      <c r="T41" s="207">
        <f>SUMIFS('апрель 2023'!$G$4:$G$692,'апрель 2023'!$D$4:$D$692,$B41,'апрель 2023'!$J$4:$J$692,T$1)</f>
        <v>0</v>
      </c>
      <c r="U41" s="207">
        <f>SUMIFS('апрель 2023'!$G$4:$G$692,'апрель 2023'!$D$4:$D$692,$B41,'апрель 2023'!$J$4:$J$692,U$1)</f>
        <v>0</v>
      </c>
      <c r="V41" s="207">
        <f>SUMIFS('апрель 2023'!$G$4:$G$692,'апрель 2023'!$D$4:$D$692,$B41,'апрель 2023'!$J$4:$J$692,V$1)</f>
        <v>0</v>
      </c>
      <c r="W41" s="207">
        <f>SUMIFS('апрель 2023'!$G$4:$G$692,'апрель 2023'!$D$4:$D$692,$B41,'апрель 2023'!$J$4:$J$692,W$1)</f>
        <v>0</v>
      </c>
      <c r="X41" s="207">
        <f>SUMIFS('апрель 2023'!$G$4:$G$692,'апрель 2023'!$D$4:$D$692,$B41,'апрель 2023'!$J$4:$J$692,X$1)</f>
        <v>0</v>
      </c>
      <c r="Y41" s="207">
        <f>SUMIFS('апрель 2023'!$G$4:$G$692,'апрель 2023'!$D$4:$D$692,$B41,'апрель 2023'!$J$4:$J$692,Y$1)</f>
        <v>0</v>
      </c>
      <c r="Z41" s="207">
        <f>SUMIFS('апрель 2023'!$G$4:$G$692,'апрель 2023'!$D$4:$D$692,$B41,'апрель 2023'!$J$4:$J$692,Z$1)</f>
        <v>0</v>
      </c>
      <c r="AA41" s="207">
        <f>SUMIFS('апрель 2023'!$G$4:$G$692,'апрель 2023'!$D$4:$D$692,$B41,'апрель 2023'!$J$4:$J$692,AA$1)</f>
        <v>300</v>
      </c>
      <c r="AB41" s="207">
        <f>SUMIFS('апрель 2023'!$G$4:$G$692,'апрель 2023'!$D$4:$D$692,$B41,'апрель 2023'!$J$4:$J$692,AB$1)</f>
        <v>0</v>
      </c>
      <c r="AC41" s="207">
        <f>SUMIFS('апрель 2023'!$G$4:$G$692,'апрель 2023'!$D$4:$D$692,$B41,'апрель 2023'!$J$4:$J$692,AC$1)</f>
        <v>0</v>
      </c>
      <c r="AD41" s="207">
        <f>SUMIFS('апрель 2023'!$G$4:$G$692,'апрель 2023'!$D$4:$D$692,$B41,'апрель 2023'!$J$4:$J$692,AD$1)</f>
        <v>0</v>
      </c>
      <c r="AE41" s="207">
        <f>SUMIFS('апрель 2023'!$G$4:$G$692,'апрель 2023'!$D$4:$D$692,$B41,'апрель 2023'!$J$4:$J$692,AE$1)</f>
        <v>0</v>
      </c>
      <c r="AF41" s="207">
        <f>SUMIFS('апрель 2023'!$G$4:$G$692,'апрель 2023'!$D$4:$D$692,$B41,'апрель 2023'!$J$4:$J$692,AF$1)</f>
        <v>0</v>
      </c>
      <c r="AG41" s="207">
        <f>SUMIFS('апрель 2023'!$G$4:$G$692,'апрель 2023'!$D$4:$D$692,$B41,'апрель 2023'!$J$4:$J$692,AG$1)</f>
        <v>0</v>
      </c>
      <c r="AH41" s="207">
        <f>SUMIFS('апрель 2023'!$G$4:$G$692,'апрель 2023'!$D$4:$D$692,$B41,'апрель 2023'!$J$4:$J$692,AH$1)</f>
        <v>0</v>
      </c>
      <c r="AI41" s="170">
        <f t="shared" si="1"/>
        <v>700</v>
      </c>
    </row>
    <row r="42" spans="2:35" ht="15" customHeight="1" x14ac:dyDescent="0.25">
      <c r="B42" s="216" t="s">
        <v>684</v>
      </c>
      <c r="C42" s="213">
        <v>20</v>
      </c>
      <c r="D42" s="207">
        <f>SUMIFS('апрель 2023'!$G$4:$G$692,'апрель 2023'!$D$4:$D$692,$B42,'апрель 2023'!$J$4:$J$692,D$1)</f>
        <v>0</v>
      </c>
      <c r="E42" s="207">
        <f>SUMIFS('апрель 2023'!$G$4:$G$692,'апрель 2023'!$D$4:$D$692,$B42,'апрель 2023'!$J$4:$J$692,E$1)</f>
        <v>0</v>
      </c>
      <c r="F42" s="207">
        <f>SUMIFS('апрель 2023'!$G$4:$G$692,'апрель 2023'!$D$4:$D$692,$B42,'апрель 2023'!$J$4:$J$692,F$1)</f>
        <v>0</v>
      </c>
      <c r="G42" s="207">
        <f>SUMIFS('апрель 2023'!$G$4:$G$692,'апрель 2023'!$D$4:$D$692,$B42,'апрель 2023'!$J$4:$J$692,G$1)</f>
        <v>0</v>
      </c>
      <c r="H42" s="207">
        <f>SUMIFS('апрель 2023'!$G$4:$G$692,'апрель 2023'!$D$4:$D$692,$B42,'апрель 2023'!$J$4:$J$692,H$1)</f>
        <v>0</v>
      </c>
      <c r="I42" s="207">
        <f>SUMIFS('апрель 2023'!$G$4:$G$692,'апрель 2023'!$D$4:$D$692,$B42,'апрель 2023'!$J$4:$J$692,I$1)</f>
        <v>0</v>
      </c>
      <c r="J42" s="207">
        <f>SUMIFS('апрель 2023'!$G$4:$G$692,'апрель 2023'!$D$4:$D$692,$B42,'апрель 2023'!$J$4:$J$692,J$1)</f>
        <v>0</v>
      </c>
      <c r="K42" s="207">
        <f>SUMIFS('апрель 2023'!$G$4:$G$692,'апрель 2023'!$D$4:$D$692,$B42,'апрель 2023'!$J$4:$J$692,K$1)</f>
        <v>0</v>
      </c>
      <c r="L42" s="207">
        <f>SUMIFS('апрель 2023'!$G$4:$G$692,'апрель 2023'!$D$4:$D$692,$B42,'апрель 2023'!$J$4:$J$692,L$1)</f>
        <v>0</v>
      </c>
      <c r="M42" s="207">
        <f>SUMIFS('апрель 2023'!$G$4:$G$692,'апрель 2023'!$D$4:$D$692,$B42,'апрель 2023'!$J$4:$J$692,M$1)</f>
        <v>0</v>
      </c>
      <c r="N42" s="207">
        <f>SUMIFS('апрель 2023'!$G$4:$G$692,'апрель 2023'!$D$4:$D$692,$B42,'апрель 2023'!$J$4:$J$692,N$1)</f>
        <v>0</v>
      </c>
      <c r="O42" s="207">
        <f>SUMIFS('апрель 2023'!$G$4:$G$692,'апрель 2023'!$D$4:$D$692,$B42,'апрель 2023'!$J$4:$J$692,O$1)</f>
        <v>0</v>
      </c>
      <c r="P42" s="207">
        <f>SUMIFS('апрель 2023'!$G$4:$G$692,'апрель 2023'!$D$4:$D$692,$B42,'апрель 2023'!$J$4:$J$692,P$1)</f>
        <v>0</v>
      </c>
      <c r="Q42" s="207">
        <f>SUMIFS('апрель 2023'!$G$4:$G$692,'апрель 2023'!$D$4:$D$692,$B42,'апрель 2023'!$J$4:$J$692,Q$1)</f>
        <v>0</v>
      </c>
      <c r="R42" s="207">
        <f>SUMIFS('апрель 2023'!$G$4:$G$692,'апрель 2023'!$D$4:$D$692,$B42,'апрель 2023'!$J$4:$J$692,R$1)</f>
        <v>0</v>
      </c>
      <c r="S42" s="207">
        <f>SUMIFS('апрель 2023'!$G$4:$G$692,'апрель 2023'!$D$4:$D$692,$B42,'апрель 2023'!$J$4:$J$692,S$1)</f>
        <v>0</v>
      </c>
      <c r="T42" s="207">
        <f>SUMIFS('апрель 2023'!$G$4:$G$692,'апрель 2023'!$D$4:$D$692,$B42,'апрель 2023'!$J$4:$J$692,T$1)</f>
        <v>0</v>
      </c>
      <c r="U42" s="207">
        <f>SUMIFS('апрель 2023'!$G$4:$G$692,'апрель 2023'!$D$4:$D$692,$B42,'апрель 2023'!$J$4:$J$692,U$1)</f>
        <v>0</v>
      </c>
      <c r="V42" s="207">
        <f>SUMIFS('апрель 2023'!$G$4:$G$692,'апрель 2023'!$D$4:$D$692,$B42,'апрель 2023'!$J$4:$J$692,V$1)</f>
        <v>0</v>
      </c>
      <c r="W42" s="207">
        <f>SUMIFS('апрель 2023'!$G$4:$G$692,'апрель 2023'!$D$4:$D$692,$B42,'апрель 2023'!$J$4:$J$692,W$1)</f>
        <v>0</v>
      </c>
      <c r="X42" s="207">
        <f>SUMIFS('апрель 2023'!$G$4:$G$692,'апрель 2023'!$D$4:$D$692,$B42,'апрель 2023'!$J$4:$J$692,X$1)</f>
        <v>0</v>
      </c>
      <c r="Y42" s="207">
        <f>SUMIFS('апрель 2023'!$G$4:$G$692,'апрель 2023'!$D$4:$D$692,$B42,'апрель 2023'!$J$4:$J$692,Y$1)</f>
        <v>0</v>
      </c>
      <c r="Z42" s="207">
        <f>SUMIFS('апрель 2023'!$G$4:$G$692,'апрель 2023'!$D$4:$D$692,$B42,'апрель 2023'!$J$4:$J$692,Z$1)</f>
        <v>0</v>
      </c>
      <c r="AA42" s="207">
        <f>SUMIFS('апрель 2023'!$G$4:$G$692,'апрель 2023'!$D$4:$D$692,$B42,'апрель 2023'!$J$4:$J$692,AA$1)</f>
        <v>0</v>
      </c>
      <c r="AB42" s="207">
        <f>SUMIFS('апрель 2023'!$G$4:$G$692,'апрель 2023'!$D$4:$D$692,$B42,'апрель 2023'!$J$4:$J$692,AB$1)</f>
        <v>0</v>
      </c>
      <c r="AC42" s="207">
        <f>SUMIFS('апрель 2023'!$G$4:$G$692,'апрель 2023'!$D$4:$D$692,$B42,'апрель 2023'!$J$4:$J$692,AC$1)</f>
        <v>0</v>
      </c>
      <c r="AD42" s="207">
        <f>SUMIFS('апрель 2023'!$G$4:$G$692,'апрель 2023'!$D$4:$D$692,$B42,'апрель 2023'!$J$4:$J$692,AD$1)</f>
        <v>0</v>
      </c>
      <c r="AE42" s="207">
        <f>SUMIFS('апрель 2023'!$G$4:$G$692,'апрель 2023'!$D$4:$D$692,$B42,'апрель 2023'!$J$4:$J$692,AE$1)</f>
        <v>0</v>
      </c>
      <c r="AF42" s="207">
        <f>SUMIFS('апрель 2023'!$G$4:$G$692,'апрель 2023'!$D$4:$D$692,$B42,'апрель 2023'!$J$4:$J$692,AF$1)</f>
        <v>0</v>
      </c>
      <c r="AG42" s="207">
        <f>SUMIFS('апрель 2023'!$G$4:$G$692,'апрель 2023'!$D$4:$D$692,$B42,'апрель 2023'!$J$4:$J$692,AG$1)</f>
        <v>0</v>
      </c>
      <c r="AH42" s="207">
        <f>SUMIFS('апрель 2023'!$G$4:$G$692,'апрель 2023'!$D$4:$D$692,$B42,'апрель 2023'!$J$4:$J$692,AH$1)</f>
        <v>0</v>
      </c>
      <c r="AI42" s="170">
        <f t="shared" si="1"/>
        <v>0</v>
      </c>
    </row>
    <row r="43" spans="2:35" ht="15" customHeight="1" x14ac:dyDescent="0.25">
      <c r="B43" s="212" t="s">
        <v>1062</v>
      </c>
      <c r="C43" s="215">
        <v>20</v>
      </c>
      <c r="D43" s="207">
        <f>SUMIFS('апрель 2023'!$G$4:$G$692,'апрель 2023'!$D$4:$D$692,$B43,'апрель 2023'!$J$4:$J$692,D$1)</f>
        <v>0</v>
      </c>
      <c r="E43" s="207">
        <f>SUMIFS('апрель 2023'!$G$4:$G$692,'апрель 2023'!$D$4:$D$692,$B43,'апрель 2023'!$J$4:$J$692,E$1)</f>
        <v>0</v>
      </c>
      <c r="F43" s="207">
        <f>SUMIFS('апрель 2023'!$G$4:$G$692,'апрель 2023'!$D$4:$D$692,$B43,'апрель 2023'!$J$4:$J$692,F$1)</f>
        <v>0</v>
      </c>
      <c r="G43" s="207">
        <f>SUMIFS('апрель 2023'!$G$4:$G$692,'апрель 2023'!$D$4:$D$692,$B43,'апрель 2023'!$J$4:$J$692,G$1)</f>
        <v>0</v>
      </c>
      <c r="H43" s="207">
        <f>SUMIFS('апрель 2023'!$G$4:$G$692,'апрель 2023'!$D$4:$D$692,$B43,'апрель 2023'!$J$4:$J$692,H$1)</f>
        <v>0</v>
      </c>
      <c r="I43" s="207">
        <f>SUMIFS('апрель 2023'!$G$4:$G$692,'апрель 2023'!$D$4:$D$692,$B43,'апрель 2023'!$J$4:$J$692,I$1)</f>
        <v>0</v>
      </c>
      <c r="J43" s="207">
        <f>SUMIFS('апрель 2023'!$G$4:$G$692,'апрель 2023'!$D$4:$D$692,$B43,'апрель 2023'!$J$4:$J$692,J$1)</f>
        <v>0</v>
      </c>
      <c r="K43" s="207">
        <f>SUMIFS('апрель 2023'!$G$4:$G$692,'апрель 2023'!$D$4:$D$692,$B43,'апрель 2023'!$J$4:$J$692,K$1)</f>
        <v>0</v>
      </c>
      <c r="L43" s="207">
        <f>SUMIFS('апрель 2023'!$G$4:$G$692,'апрель 2023'!$D$4:$D$692,$B43,'апрель 2023'!$J$4:$J$692,L$1)</f>
        <v>0</v>
      </c>
      <c r="M43" s="207">
        <f>SUMIFS('апрель 2023'!$G$4:$G$692,'апрель 2023'!$D$4:$D$692,$B43,'апрель 2023'!$J$4:$J$692,M$1)</f>
        <v>0</v>
      </c>
      <c r="N43" s="207">
        <f>SUMIFS('апрель 2023'!$G$4:$G$692,'апрель 2023'!$D$4:$D$692,$B43,'апрель 2023'!$J$4:$J$692,N$1)</f>
        <v>0</v>
      </c>
      <c r="O43" s="207">
        <f>SUMIFS('апрель 2023'!$G$4:$G$692,'апрель 2023'!$D$4:$D$692,$B43,'апрель 2023'!$J$4:$J$692,O$1)</f>
        <v>0</v>
      </c>
      <c r="P43" s="207">
        <f>SUMIFS('апрель 2023'!$G$4:$G$692,'апрель 2023'!$D$4:$D$692,$B43,'апрель 2023'!$J$4:$J$692,P$1)</f>
        <v>0</v>
      </c>
      <c r="Q43" s="207">
        <f>SUMIFS('апрель 2023'!$G$4:$G$692,'апрель 2023'!$D$4:$D$692,$B43,'апрель 2023'!$J$4:$J$692,Q$1)</f>
        <v>0</v>
      </c>
      <c r="R43" s="207">
        <f>SUMIFS('апрель 2023'!$G$4:$G$692,'апрель 2023'!$D$4:$D$692,$B43,'апрель 2023'!$J$4:$J$692,R$1)</f>
        <v>0</v>
      </c>
      <c r="S43" s="207">
        <f>SUMIFS('апрель 2023'!$G$4:$G$692,'апрель 2023'!$D$4:$D$692,$B43,'апрель 2023'!$J$4:$J$692,S$1)</f>
        <v>0</v>
      </c>
      <c r="T43" s="207">
        <f>SUMIFS('апрель 2023'!$G$4:$G$692,'апрель 2023'!$D$4:$D$692,$B43,'апрель 2023'!$J$4:$J$692,T$1)</f>
        <v>0</v>
      </c>
      <c r="U43" s="207">
        <f>SUMIFS('апрель 2023'!$G$4:$G$692,'апрель 2023'!$D$4:$D$692,$B43,'апрель 2023'!$J$4:$J$692,U$1)</f>
        <v>0</v>
      </c>
      <c r="V43" s="207">
        <f>SUMIFS('апрель 2023'!$G$4:$G$692,'апрель 2023'!$D$4:$D$692,$B43,'апрель 2023'!$J$4:$J$692,V$1)</f>
        <v>0</v>
      </c>
      <c r="W43" s="207">
        <f>SUMIFS('апрель 2023'!$G$4:$G$692,'апрель 2023'!$D$4:$D$692,$B43,'апрель 2023'!$J$4:$J$692,W$1)</f>
        <v>0</v>
      </c>
      <c r="X43" s="207">
        <f>SUMIFS('апрель 2023'!$G$4:$G$692,'апрель 2023'!$D$4:$D$692,$B43,'апрель 2023'!$J$4:$J$692,X$1)</f>
        <v>0</v>
      </c>
      <c r="Y43" s="207">
        <f>SUMIFS('апрель 2023'!$G$4:$G$692,'апрель 2023'!$D$4:$D$692,$B43,'апрель 2023'!$J$4:$J$692,Y$1)</f>
        <v>0</v>
      </c>
      <c r="Z43" s="207">
        <f>SUMIFS('апрель 2023'!$G$4:$G$692,'апрель 2023'!$D$4:$D$692,$B43,'апрель 2023'!$J$4:$J$692,Z$1)</f>
        <v>0</v>
      </c>
      <c r="AA43" s="207">
        <f>SUMIFS('апрель 2023'!$G$4:$G$692,'апрель 2023'!$D$4:$D$692,$B43,'апрель 2023'!$J$4:$J$692,AA$1)</f>
        <v>0</v>
      </c>
      <c r="AB43" s="207">
        <f>SUMIFS('апрель 2023'!$G$4:$G$692,'апрель 2023'!$D$4:$D$692,$B43,'апрель 2023'!$J$4:$J$692,AB$1)</f>
        <v>0</v>
      </c>
      <c r="AC43" s="207">
        <f>SUMIFS('апрель 2023'!$G$4:$G$692,'апрель 2023'!$D$4:$D$692,$B43,'апрель 2023'!$J$4:$J$692,AC$1)</f>
        <v>0</v>
      </c>
      <c r="AD43" s="207">
        <f>SUMIFS('апрель 2023'!$G$4:$G$692,'апрель 2023'!$D$4:$D$692,$B43,'апрель 2023'!$J$4:$J$692,AD$1)</f>
        <v>0</v>
      </c>
      <c r="AE43" s="207">
        <f>SUMIFS('апрель 2023'!$G$4:$G$692,'апрель 2023'!$D$4:$D$692,$B43,'апрель 2023'!$J$4:$J$692,AE$1)</f>
        <v>0</v>
      </c>
      <c r="AF43" s="207">
        <f>SUMIFS('апрель 2023'!$G$4:$G$692,'апрель 2023'!$D$4:$D$692,$B43,'апрель 2023'!$J$4:$J$692,AF$1)</f>
        <v>0</v>
      </c>
      <c r="AG43" s="207">
        <f>SUMIFS('апрель 2023'!$G$4:$G$692,'апрель 2023'!$D$4:$D$692,$B43,'апрель 2023'!$J$4:$J$692,AG$1)</f>
        <v>0</v>
      </c>
      <c r="AH43" s="207">
        <f>SUMIFS('апрель 2023'!$G$4:$G$692,'апрель 2023'!$D$4:$D$692,$B43,'апрель 2023'!$J$4:$J$692,AH$1)</f>
        <v>0</v>
      </c>
      <c r="AI43" s="170">
        <f t="shared" si="1"/>
        <v>0</v>
      </c>
    </row>
    <row r="44" spans="2:35" ht="15" customHeight="1" x14ac:dyDescent="0.25">
      <c r="B44" s="212" t="s">
        <v>1084</v>
      </c>
      <c r="C44" s="211">
        <v>20</v>
      </c>
      <c r="D44" s="207">
        <f>SUMIFS('апрель 2023'!$G$4:$G$692,'апрель 2023'!$D$4:$D$692,$B44,'апрель 2023'!$J$4:$J$692,D$1)</f>
        <v>0</v>
      </c>
      <c r="E44" s="207">
        <f>SUMIFS('апрель 2023'!$G$4:$G$692,'апрель 2023'!$D$4:$D$692,$B44,'апрель 2023'!$J$4:$J$692,E$1)</f>
        <v>0</v>
      </c>
      <c r="F44" s="207">
        <f>SUMIFS('апрель 2023'!$G$4:$G$692,'апрель 2023'!$D$4:$D$692,$B44,'апрель 2023'!$J$4:$J$692,F$1)</f>
        <v>0</v>
      </c>
      <c r="G44" s="207">
        <f>SUMIFS('апрель 2023'!$G$4:$G$692,'апрель 2023'!$D$4:$D$692,$B44,'апрель 2023'!$J$4:$J$692,G$1)</f>
        <v>0</v>
      </c>
      <c r="H44" s="207">
        <f>SUMIFS('апрель 2023'!$G$4:$G$692,'апрель 2023'!$D$4:$D$692,$B44,'апрель 2023'!$J$4:$J$692,H$1)</f>
        <v>0</v>
      </c>
      <c r="I44" s="207">
        <f>SUMIFS('апрель 2023'!$G$4:$G$692,'апрель 2023'!$D$4:$D$692,$B44,'апрель 2023'!$J$4:$J$692,I$1)</f>
        <v>0</v>
      </c>
      <c r="J44" s="207">
        <f>SUMIFS('апрель 2023'!$G$4:$G$692,'апрель 2023'!$D$4:$D$692,$B44,'апрель 2023'!$J$4:$J$692,J$1)</f>
        <v>0</v>
      </c>
      <c r="K44" s="207">
        <f>SUMIFS('апрель 2023'!$G$4:$G$692,'апрель 2023'!$D$4:$D$692,$B44,'апрель 2023'!$J$4:$J$692,K$1)</f>
        <v>0</v>
      </c>
      <c r="L44" s="207">
        <f>SUMIFS('апрель 2023'!$G$4:$G$692,'апрель 2023'!$D$4:$D$692,$B44,'апрель 2023'!$J$4:$J$692,L$1)</f>
        <v>0</v>
      </c>
      <c r="M44" s="207">
        <f>SUMIFS('апрель 2023'!$G$4:$G$692,'апрель 2023'!$D$4:$D$692,$B44,'апрель 2023'!$J$4:$J$692,M$1)</f>
        <v>0</v>
      </c>
      <c r="N44" s="207">
        <f>SUMIFS('апрель 2023'!$G$4:$G$692,'апрель 2023'!$D$4:$D$692,$B44,'апрель 2023'!$J$4:$J$692,N$1)</f>
        <v>0</v>
      </c>
      <c r="O44" s="207">
        <f>SUMIFS('апрель 2023'!$G$4:$G$692,'апрель 2023'!$D$4:$D$692,$B44,'апрель 2023'!$J$4:$J$692,O$1)</f>
        <v>0</v>
      </c>
      <c r="P44" s="207">
        <f>SUMIFS('апрель 2023'!$G$4:$G$692,'апрель 2023'!$D$4:$D$692,$B44,'апрель 2023'!$J$4:$J$692,P$1)</f>
        <v>0</v>
      </c>
      <c r="Q44" s="207">
        <f>SUMIFS('апрель 2023'!$G$4:$G$692,'апрель 2023'!$D$4:$D$692,$B44,'апрель 2023'!$J$4:$J$692,Q$1)</f>
        <v>0</v>
      </c>
      <c r="R44" s="207">
        <f>SUMIFS('апрель 2023'!$G$4:$G$692,'апрель 2023'!$D$4:$D$692,$B44,'апрель 2023'!$J$4:$J$692,R$1)</f>
        <v>0</v>
      </c>
      <c r="S44" s="207">
        <f>SUMIFS('апрель 2023'!$G$4:$G$692,'апрель 2023'!$D$4:$D$692,$B44,'апрель 2023'!$J$4:$J$692,S$1)</f>
        <v>0</v>
      </c>
      <c r="T44" s="207">
        <f>SUMIFS('апрель 2023'!$G$4:$G$692,'апрель 2023'!$D$4:$D$692,$B44,'апрель 2023'!$J$4:$J$692,T$1)</f>
        <v>0</v>
      </c>
      <c r="U44" s="207">
        <f>SUMIFS('апрель 2023'!$G$4:$G$692,'апрель 2023'!$D$4:$D$692,$B44,'апрель 2023'!$J$4:$J$692,U$1)</f>
        <v>0</v>
      </c>
      <c r="V44" s="207">
        <f>SUMIFS('апрель 2023'!$G$4:$G$692,'апрель 2023'!$D$4:$D$692,$B44,'апрель 2023'!$J$4:$J$692,V$1)</f>
        <v>0</v>
      </c>
      <c r="W44" s="207">
        <f>SUMIFS('апрель 2023'!$G$4:$G$692,'апрель 2023'!$D$4:$D$692,$B44,'апрель 2023'!$J$4:$J$692,W$1)</f>
        <v>0</v>
      </c>
      <c r="X44" s="207">
        <f>SUMIFS('апрель 2023'!$G$4:$G$692,'апрель 2023'!$D$4:$D$692,$B44,'апрель 2023'!$J$4:$J$692,X$1)</f>
        <v>0</v>
      </c>
      <c r="Y44" s="207">
        <f>SUMIFS('апрель 2023'!$G$4:$G$692,'апрель 2023'!$D$4:$D$692,$B44,'апрель 2023'!$J$4:$J$692,Y$1)</f>
        <v>0</v>
      </c>
      <c r="Z44" s="207">
        <f>SUMIFS('апрель 2023'!$G$4:$G$692,'апрель 2023'!$D$4:$D$692,$B44,'апрель 2023'!$J$4:$J$692,Z$1)</f>
        <v>0</v>
      </c>
      <c r="AA44" s="207">
        <f>SUMIFS('апрель 2023'!$G$4:$G$692,'апрель 2023'!$D$4:$D$692,$B44,'апрель 2023'!$J$4:$J$692,AA$1)</f>
        <v>0</v>
      </c>
      <c r="AB44" s="207">
        <f>SUMIFS('апрель 2023'!$G$4:$G$692,'апрель 2023'!$D$4:$D$692,$B44,'апрель 2023'!$J$4:$J$692,AB$1)</f>
        <v>0</v>
      </c>
      <c r="AC44" s="207">
        <f>SUMIFS('апрель 2023'!$G$4:$G$692,'апрель 2023'!$D$4:$D$692,$B44,'апрель 2023'!$J$4:$J$692,AC$1)</f>
        <v>0</v>
      </c>
      <c r="AD44" s="207">
        <f>SUMIFS('апрель 2023'!$G$4:$G$692,'апрель 2023'!$D$4:$D$692,$B44,'апрель 2023'!$J$4:$J$692,AD$1)</f>
        <v>0</v>
      </c>
      <c r="AE44" s="207">
        <f>SUMIFS('апрель 2023'!$G$4:$G$692,'апрель 2023'!$D$4:$D$692,$B44,'апрель 2023'!$J$4:$J$692,AE$1)</f>
        <v>0</v>
      </c>
      <c r="AF44" s="207">
        <f>SUMIFS('апрель 2023'!$G$4:$G$692,'апрель 2023'!$D$4:$D$692,$B44,'апрель 2023'!$J$4:$J$692,AF$1)</f>
        <v>0</v>
      </c>
      <c r="AG44" s="207">
        <f>SUMIFS('апрель 2023'!$G$4:$G$692,'апрель 2023'!$D$4:$D$692,$B44,'апрель 2023'!$J$4:$J$692,AG$1)</f>
        <v>0</v>
      </c>
      <c r="AH44" s="207">
        <f>SUMIFS('апрель 2023'!$G$4:$G$692,'апрель 2023'!$D$4:$D$692,$B44,'апрель 2023'!$J$4:$J$692,AH$1)</f>
        <v>0</v>
      </c>
      <c r="AI44" s="170">
        <f t="shared" si="1"/>
        <v>0</v>
      </c>
    </row>
    <row r="45" spans="2:35" ht="15" customHeight="1" x14ac:dyDescent="0.25">
      <c r="B45" s="212" t="s">
        <v>440</v>
      </c>
      <c r="C45" s="213">
        <v>20</v>
      </c>
      <c r="D45" s="207">
        <f>SUMIFS('апрель 2023'!$G$4:$G$692,'апрель 2023'!$D$4:$D$692,$B45,'апрель 2023'!$J$4:$J$692,D$1)</f>
        <v>0</v>
      </c>
      <c r="E45" s="207">
        <f>SUMIFS('апрель 2023'!$G$4:$G$692,'апрель 2023'!$D$4:$D$692,$B45,'апрель 2023'!$J$4:$J$692,E$1)</f>
        <v>0</v>
      </c>
      <c r="F45" s="207">
        <f>SUMIFS('апрель 2023'!$G$4:$G$692,'апрель 2023'!$D$4:$D$692,$B45,'апрель 2023'!$J$4:$J$692,F$1)</f>
        <v>0</v>
      </c>
      <c r="G45" s="207">
        <f>SUMIFS('апрель 2023'!$G$4:$G$692,'апрель 2023'!$D$4:$D$692,$B45,'апрель 2023'!$J$4:$J$692,G$1)</f>
        <v>0</v>
      </c>
      <c r="H45" s="207">
        <f>SUMIFS('апрель 2023'!$G$4:$G$692,'апрель 2023'!$D$4:$D$692,$B45,'апрель 2023'!$J$4:$J$692,H$1)</f>
        <v>0</v>
      </c>
      <c r="I45" s="207">
        <f>SUMIFS('апрель 2023'!$G$4:$G$692,'апрель 2023'!$D$4:$D$692,$B45,'апрель 2023'!$J$4:$J$692,I$1)</f>
        <v>0</v>
      </c>
      <c r="J45" s="207">
        <f>SUMIFS('апрель 2023'!$G$4:$G$692,'апрель 2023'!$D$4:$D$692,$B45,'апрель 2023'!$J$4:$J$692,J$1)</f>
        <v>0</v>
      </c>
      <c r="K45" s="207">
        <f>SUMIFS('апрель 2023'!$G$4:$G$692,'апрель 2023'!$D$4:$D$692,$B45,'апрель 2023'!$J$4:$J$692,K$1)</f>
        <v>0</v>
      </c>
      <c r="L45" s="207">
        <f>SUMIFS('апрель 2023'!$G$4:$G$692,'апрель 2023'!$D$4:$D$692,$B45,'апрель 2023'!$J$4:$J$692,L$1)</f>
        <v>0</v>
      </c>
      <c r="M45" s="207">
        <f>SUMIFS('апрель 2023'!$G$4:$G$692,'апрель 2023'!$D$4:$D$692,$B45,'апрель 2023'!$J$4:$J$692,M$1)</f>
        <v>0</v>
      </c>
      <c r="N45" s="207">
        <f>SUMIFS('апрель 2023'!$G$4:$G$692,'апрель 2023'!$D$4:$D$692,$B45,'апрель 2023'!$J$4:$J$692,N$1)</f>
        <v>0</v>
      </c>
      <c r="O45" s="207">
        <f>SUMIFS('апрель 2023'!$G$4:$G$692,'апрель 2023'!$D$4:$D$692,$B45,'апрель 2023'!$J$4:$J$692,O$1)</f>
        <v>0</v>
      </c>
      <c r="P45" s="207">
        <f>SUMIFS('апрель 2023'!$G$4:$G$692,'апрель 2023'!$D$4:$D$692,$B45,'апрель 2023'!$J$4:$J$692,P$1)</f>
        <v>0</v>
      </c>
      <c r="Q45" s="207">
        <f>SUMIFS('апрель 2023'!$G$4:$G$692,'апрель 2023'!$D$4:$D$692,$B45,'апрель 2023'!$J$4:$J$692,Q$1)</f>
        <v>0</v>
      </c>
      <c r="R45" s="207">
        <f>SUMIFS('апрель 2023'!$G$4:$G$692,'апрель 2023'!$D$4:$D$692,$B45,'апрель 2023'!$J$4:$J$692,R$1)</f>
        <v>0</v>
      </c>
      <c r="S45" s="207">
        <f>SUMIFS('апрель 2023'!$G$4:$G$692,'апрель 2023'!$D$4:$D$692,$B45,'апрель 2023'!$J$4:$J$692,S$1)</f>
        <v>0</v>
      </c>
      <c r="T45" s="207">
        <f>SUMIFS('апрель 2023'!$G$4:$G$692,'апрель 2023'!$D$4:$D$692,$B45,'апрель 2023'!$J$4:$J$692,T$1)</f>
        <v>0</v>
      </c>
      <c r="U45" s="207">
        <f>SUMIFS('апрель 2023'!$G$4:$G$692,'апрель 2023'!$D$4:$D$692,$B45,'апрель 2023'!$J$4:$J$692,U$1)</f>
        <v>0</v>
      </c>
      <c r="V45" s="207">
        <f>SUMIFS('апрель 2023'!$G$4:$G$692,'апрель 2023'!$D$4:$D$692,$B45,'апрель 2023'!$J$4:$J$692,V$1)</f>
        <v>0</v>
      </c>
      <c r="W45" s="207">
        <f>SUMIFS('апрель 2023'!$G$4:$G$692,'апрель 2023'!$D$4:$D$692,$B45,'апрель 2023'!$J$4:$J$692,W$1)</f>
        <v>350</v>
      </c>
      <c r="X45" s="207">
        <f>SUMIFS('апрель 2023'!$G$4:$G$692,'апрель 2023'!$D$4:$D$692,$B45,'апрель 2023'!$J$4:$J$692,X$1)</f>
        <v>0</v>
      </c>
      <c r="Y45" s="207">
        <f>SUMIFS('апрель 2023'!$G$4:$G$692,'апрель 2023'!$D$4:$D$692,$B45,'апрель 2023'!$J$4:$J$692,Y$1)</f>
        <v>0</v>
      </c>
      <c r="Z45" s="207">
        <f>SUMIFS('апрель 2023'!$G$4:$G$692,'апрель 2023'!$D$4:$D$692,$B45,'апрель 2023'!$J$4:$J$692,Z$1)</f>
        <v>0</v>
      </c>
      <c r="AA45" s="207">
        <f>SUMIFS('апрель 2023'!$G$4:$G$692,'апрель 2023'!$D$4:$D$692,$B45,'апрель 2023'!$J$4:$J$692,AA$1)</f>
        <v>0</v>
      </c>
      <c r="AB45" s="207">
        <f>SUMIFS('апрель 2023'!$G$4:$G$692,'апрель 2023'!$D$4:$D$692,$B45,'апрель 2023'!$J$4:$J$692,AB$1)</f>
        <v>0</v>
      </c>
      <c r="AC45" s="207">
        <f>SUMIFS('апрель 2023'!$G$4:$G$692,'апрель 2023'!$D$4:$D$692,$B45,'апрель 2023'!$J$4:$J$692,AC$1)</f>
        <v>0</v>
      </c>
      <c r="AD45" s="207">
        <f>SUMIFS('апрель 2023'!$G$4:$G$692,'апрель 2023'!$D$4:$D$692,$B45,'апрель 2023'!$J$4:$J$692,AD$1)</f>
        <v>0</v>
      </c>
      <c r="AE45" s="207">
        <f>SUMIFS('апрель 2023'!$G$4:$G$692,'апрель 2023'!$D$4:$D$692,$B45,'апрель 2023'!$J$4:$J$692,AE$1)</f>
        <v>0</v>
      </c>
      <c r="AF45" s="207">
        <f>SUMIFS('апрель 2023'!$G$4:$G$692,'апрель 2023'!$D$4:$D$692,$B45,'апрель 2023'!$J$4:$J$692,AF$1)</f>
        <v>0</v>
      </c>
      <c r="AG45" s="207">
        <f>SUMIFS('апрель 2023'!$G$4:$G$692,'апрель 2023'!$D$4:$D$692,$B45,'апрель 2023'!$J$4:$J$692,AG$1)</f>
        <v>0</v>
      </c>
      <c r="AH45" s="207">
        <f>SUMIFS('апрель 2023'!$G$4:$G$692,'апрель 2023'!$D$4:$D$692,$B45,'апрель 2023'!$J$4:$J$692,AH$1)</f>
        <v>0</v>
      </c>
      <c r="AI45" s="170">
        <f t="shared" si="1"/>
        <v>350</v>
      </c>
    </row>
    <row r="46" spans="2:35" ht="15" customHeight="1" x14ac:dyDescent="0.25">
      <c r="B46" s="212" t="s">
        <v>1573</v>
      </c>
      <c r="C46" s="213">
        <v>50</v>
      </c>
      <c r="D46" s="207">
        <f>SUMIFS('апрель 2023'!$G$4:$G$692,'апрель 2023'!$D$4:$D$692,$B46,'апрель 2023'!$J$4:$J$692,D$1)</f>
        <v>0</v>
      </c>
      <c r="E46" s="207">
        <f>SUMIFS('апрель 2023'!$G$4:$G$692,'апрель 2023'!$D$4:$D$692,$B46,'апрель 2023'!$J$4:$J$692,E$1)</f>
        <v>0</v>
      </c>
      <c r="F46" s="207">
        <f>SUMIFS('апрель 2023'!$G$4:$G$692,'апрель 2023'!$D$4:$D$692,$B46,'апрель 2023'!$J$4:$J$692,F$1)</f>
        <v>0</v>
      </c>
      <c r="G46" s="207">
        <f>SUMIFS('апрель 2023'!$G$4:$G$692,'апрель 2023'!$D$4:$D$692,$B46,'апрель 2023'!$J$4:$J$692,G$1)</f>
        <v>0</v>
      </c>
      <c r="H46" s="207">
        <f>SUMIFS('апрель 2023'!$G$4:$G$692,'апрель 2023'!$D$4:$D$692,$B46,'апрель 2023'!$J$4:$J$692,H$1)</f>
        <v>0</v>
      </c>
      <c r="I46" s="207">
        <f>SUMIFS('апрель 2023'!$G$4:$G$692,'апрель 2023'!$D$4:$D$692,$B46,'апрель 2023'!$J$4:$J$692,I$1)</f>
        <v>0</v>
      </c>
      <c r="J46" s="207">
        <f>SUMIFS('апрель 2023'!$G$4:$G$692,'апрель 2023'!$D$4:$D$692,$B46,'апрель 2023'!$J$4:$J$692,J$1)</f>
        <v>0</v>
      </c>
      <c r="K46" s="207">
        <f>SUMIFS('апрель 2023'!$G$4:$G$692,'апрель 2023'!$D$4:$D$692,$B46,'апрель 2023'!$J$4:$J$692,K$1)</f>
        <v>0</v>
      </c>
      <c r="L46" s="207">
        <f>SUMIFS('апрель 2023'!$G$4:$G$692,'апрель 2023'!$D$4:$D$692,$B46,'апрель 2023'!$J$4:$J$692,L$1)</f>
        <v>0</v>
      </c>
      <c r="M46" s="207">
        <f>SUMIFS('апрель 2023'!$G$4:$G$692,'апрель 2023'!$D$4:$D$692,$B46,'апрель 2023'!$J$4:$J$692,M$1)</f>
        <v>0</v>
      </c>
      <c r="N46" s="207">
        <f>SUMIFS('апрель 2023'!$G$4:$G$692,'апрель 2023'!$D$4:$D$692,$B46,'апрель 2023'!$J$4:$J$692,N$1)</f>
        <v>0</v>
      </c>
      <c r="O46" s="207">
        <f>SUMIFS('апрель 2023'!$G$4:$G$692,'апрель 2023'!$D$4:$D$692,$B46,'апрель 2023'!$J$4:$J$692,O$1)</f>
        <v>0</v>
      </c>
      <c r="P46" s="207">
        <f>SUMIFS('апрель 2023'!$G$4:$G$692,'апрель 2023'!$D$4:$D$692,$B46,'апрель 2023'!$J$4:$J$692,P$1)</f>
        <v>0</v>
      </c>
      <c r="Q46" s="207">
        <f>SUMIFS('апрель 2023'!$G$4:$G$692,'апрель 2023'!$D$4:$D$692,$B46,'апрель 2023'!$J$4:$J$692,Q$1)</f>
        <v>0</v>
      </c>
      <c r="R46" s="207">
        <f>SUMIFS('апрель 2023'!$G$4:$G$692,'апрель 2023'!$D$4:$D$692,$B46,'апрель 2023'!$J$4:$J$692,R$1)</f>
        <v>0</v>
      </c>
      <c r="S46" s="207">
        <f>SUMIFS('апрель 2023'!$G$4:$G$692,'апрель 2023'!$D$4:$D$692,$B46,'апрель 2023'!$J$4:$J$692,S$1)</f>
        <v>0</v>
      </c>
      <c r="T46" s="207">
        <f>SUMIFS('апрель 2023'!$G$4:$G$692,'апрель 2023'!$D$4:$D$692,$B46,'апрель 2023'!$J$4:$J$692,T$1)</f>
        <v>0</v>
      </c>
      <c r="U46" s="207">
        <f>SUMIFS('апрель 2023'!$G$4:$G$692,'апрель 2023'!$D$4:$D$692,$B46,'апрель 2023'!$J$4:$J$692,U$1)</f>
        <v>0</v>
      </c>
      <c r="V46" s="207">
        <f>SUMIFS('апрель 2023'!$G$4:$G$692,'апрель 2023'!$D$4:$D$692,$B46,'апрель 2023'!$J$4:$J$692,V$1)</f>
        <v>0</v>
      </c>
      <c r="W46" s="207">
        <f>SUMIFS('апрель 2023'!$G$4:$G$692,'апрель 2023'!$D$4:$D$692,$B46,'апрель 2023'!$J$4:$J$692,W$1)</f>
        <v>0</v>
      </c>
      <c r="X46" s="207">
        <f>SUMIFS('апрель 2023'!$G$4:$G$692,'апрель 2023'!$D$4:$D$692,$B46,'апрель 2023'!$J$4:$J$692,X$1)</f>
        <v>0</v>
      </c>
      <c r="Y46" s="207">
        <f>SUMIFS('апрель 2023'!$G$4:$G$692,'апрель 2023'!$D$4:$D$692,$B46,'апрель 2023'!$J$4:$J$692,Y$1)</f>
        <v>0</v>
      </c>
      <c r="Z46" s="207">
        <f>SUMIFS('апрель 2023'!$G$4:$G$692,'апрель 2023'!$D$4:$D$692,$B46,'апрель 2023'!$J$4:$J$692,Z$1)</f>
        <v>0</v>
      </c>
      <c r="AA46" s="207">
        <f>SUMIFS('апрель 2023'!$G$4:$G$692,'апрель 2023'!$D$4:$D$692,$B46,'апрель 2023'!$J$4:$J$692,AA$1)</f>
        <v>200</v>
      </c>
      <c r="AB46" s="207">
        <f>SUMIFS('апрель 2023'!$G$4:$G$692,'апрель 2023'!$D$4:$D$692,$B46,'апрель 2023'!$J$4:$J$692,AB$1)</f>
        <v>0</v>
      </c>
      <c r="AC46" s="207">
        <f>SUMIFS('апрель 2023'!$G$4:$G$692,'апрель 2023'!$D$4:$D$692,$B46,'апрель 2023'!$J$4:$J$692,AC$1)</f>
        <v>0</v>
      </c>
      <c r="AD46" s="207">
        <f>SUMIFS('апрель 2023'!$G$4:$G$692,'апрель 2023'!$D$4:$D$692,$B46,'апрель 2023'!$J$4:$J$692,AD$1)</f>
        <v>0</v>
      </c>
      <c r="AE46" s="207">
        <f>SUMIFS('апрель 2023'!$G$4:$G$692,'апрель 2023'!$D$4:$D$692,$B46,'апрель 2023'!$J$4:$J$692,AE$1)</f>
        <v>0</v>
      </c>
      <c r="AF46" s="207">
        <f>SUMIFS('апрель 2023'!$G$4:$G$692,'апрель 2023'!$D$4:$D$692,$B46,'апрель 2023'!$J$4:$J$692,AF$1)</f>
        <v>0</v>
      </c>
      <c r="AG46" s="207">
        <f>SUMIFS('апрель 2023'!$G$4:$G$692,'апрель 2023'!$D$4:$D$692,$B46,'апрель 2023'!$J$4:$J$692,AG$1)</f>
        <v>0</v>
      </c>
      <c r="AH46" s="207">
        <f>SUMIFS('апрель 2023'!$G$4:$G$692,'апрель 2023'!$D$4:$D$692,$B46,'апрель 2023'!$J$4:$J$692,AH$1)</f>
        <v>0</v>
      </c>
      <c r="AI46" s="170">
        <f t="shared" si="1"/>
        <v>200</v>
      </c>
    </row>
    <row r="47" spans="2:35" ht="15" customHeight="1" x14ac:dyDescent="0.25">
      <c r="B47" s="212" t="s">
        <v>1418</v>
      </c>
      <c r="C47" s="213">
        <v>200</v>
      </c>
      <c r="D47" s="207">
        <f>SUMIFS('апрель 2023'!$G$4:$G$692,'апрель 2023'!$D$4:$D$692,$B47,'апрель 2023'!$J$4:$J$692,D$1)</f>
        <v>0</v>
      </c>
      <c r="E47" s="207">
        <f>SUMIFS('апрель 2023'!$G$4:$G$692,'апрель 2023'!$D$4:$D$692,$B47,'апрель 2023'!$J$4:$J$692,E$1)</f>
        <v>0</v>
      </c>
      <c r="F47" s="207">
        <f>SUMIFS('апрель 2023'!$G$4:$G$692,'апрель 2023'!$D$4:$D$692,$B47,'апрель 2023'!$J$4:$J$692,F$1)</f>
        <v>1</v>
      </c>
      <c r="G47" s="207">
        <f>SUMIFS('апрель 2023'!$G$4:$G$692,'апрель 2023'!$D$4:$D$692,$B47,'апрель 2023'!$J$4:$J$692,G$1)</f>
        <v>0</v>
      </c>
      <c r="H47" s="207">
        <f>SUMIFS('апрель 2023'!$G$4:$G$692,'апрель 2023'!$D$4:$D$692,$B47,'апрель 2023'!$J$4:$J$692,H$1)</f>
        <v>0</v>
      </c>
      <c r="I47" s="207">
        <f>SUMIFS('апрель 2023'!$G$4:$G$692,'апрель 2023'!$D$4:$D$692,$B47,'апрель 2023'!$J$4:$J$692,I$1)</f>
        <v>0</v>
      </c>
      <c r="J47" s="207">
        <f>SUMIFS('апрель 2023'!$G$4:$G$692,'апрель 2023'!$D$4:$D$692,$B47,'апрель 2023'!$J$4:$J$692,J$1)</f>
        <v>0</v>
      </c>
      <c r="K47" s="207">
        <f>SUMIFS('апрель 2023'!$G$4:$G$692,'апрель 2023'!$D$4:$D$692,$B47,'апрель 2023'!$J$4:$J$692,K$1)</f>
        <v>0</v>
      </c>
      <c r="L47" s="207">
        <f>SUMIFS('апрель 2023'!$G$4:$G$692,'апрель 2023'!$D$4:$D$692,$B47,'апрель 2023'!$J$4:$J$692,L$1)</f>
        <v>0</v>
      </c>
      <c r="M47" s="207">
        <f>SUMIFS('апрель 2023'!$G$4:$G$692,'апрель 2023'!$D$4:$D$692,$B47,'апрель 2023'!$J$4:$J$692,M$1)</f>
        <v>0</v>
      </c>
      <c r="N47" s="207">
        <f>SUMIFS('апрель 2023'!$G$4:$G$692,'апрель 2023'!$D$4:$D$692,$B47,'апрель 2023'!$J$4:$J$692,N$1)</f>
        <v>0</v>
      </c>
      <c r="O47" s="207">
        <f>SUMIFS('апрель 2023'!$G$4:$G$692,'апрель 2023'!$D$4:$D$692,$B47,'апрель 2023'!$J$4:$J$692,O$1)</f>
        <v>0</v>
      </c>
      <c r="P47" s="207">
        <f>SUMIFS('апрель 2023'!$G$4:$G$692,'апрель 2023'!$D$4:$D$692,$B47,'апрель 2023'!$J$4:$J$692,P$1)</f>
        <v>0</v>
      </c>
      <c r="Q47" s="207">
        <f>SUMIFS('апрель 2023'!$G$4:$G$692,'апрель 2023'!$D$4:$D$692,$B47,'апрель 2023'!$J$4:$J$692,Q$1)</f>
        <v>0</v>
      </c>
      <c r="R47" s="207">
        <f>SUMIFS('апрель 2023'!$G$4:$G$692,'апрель 2023'!$D$4:$D$692,$B47,'апрель 2023'!$J$4:$J$692,R$1)</f>
        <v>0</v>
      </c>
      <c r="S47" s="207">
        <f>SUMIFS('апрель 2023'!$G$4:$G$692,'апрель 2023'!$D$4:$D$692,$B47,'апрель 2023'!$J$4:$J$692,S$1)</f>
        <v>0</v>
      </c>
      <c r="T47" s="207">
        <f>SUMIFS('апрель 2023'!$G$4:$G$692,'апрель 2023'!$D$4:$D$692,$B47,'апрель 2023'!$J$4:$J$692,T$1)</f>
        <v>0</v>
      </c>
      <c r="U47" s="207">
        <f>SUMIFS('апрель 2023'!$G$4:$G$692,'апрель 2023'!$D$4:$D$692,$B47,'апрель 2023'!$J$4:$J$692,U$1)</f>
        <v>0</v>
      </c>
      <c r="V47" s="207">
        <f>SUMIFS('апрель 2023'!$G$4:$G$692,'апрель 2023'!$D$4:$D$692,$B47,'апрель 2023'!$J$4:$J$692,V$1)</f>
        <v>0</v>
      </c>
      <c r="W47" s="207">
        <f>SUMIFS('апрель 2023'!$G$4:$G$692,'апрель 2023'!$D$4:$D$692,$B47,'апрель 2023'!$J$4:$J$692,W$1)</f>
        <v>0</v>
      </c>
      <c r="X47" s="207">
        <f>SUMIFS('апрель 2023'!$G$4:$G$692,'апрель 2023'!$D$4:$D$692,$B47,'апрель 2023'!$J$4:$J$692,X$1)</f>
        <v>0</v>
      </c>
      <c r="Y47" s="207">
        <f>SUMIFS('апрель 2023'!$G$4:$G$692,'апрель 2023'!$D$4:$D$692,$B47,'апрель 2023'!$J$4:$J$692,Y$1)</f>
        <v>0</v>
      </c>
      <c r="Z47" s="207">
        <f>SUMIFS('апрель 2023'!$G$4:$G$692,'апрель 2023'!$D$4:$D$692,$B47,'апрель 2023'!$J$4:$J$692,Z$1)</f>
        <v>0</v>
      </c>
      <c r="AA47" s="207">
        <f>SUMIFS('апрель 2023'!$G$4:$G$692,'апрель 2023'!$D$4:$D$692,$B47,'апрель 2023'!$J$4:$J$692,AA$1)</f>
        <v>0</v>
      </c>
      <c r="AB47" s="207">
        <f>SUMIFS('апрель 2023'!$G$4:$G$692,'апрель 2023'!$D$4:$D$692,$B47,'апрель 2023'!$J$4:$J$692,AB$1)</f>
        <v>0</v>
      </c>
      <c r="AC47" s="207">
        <f>SUMIFS('апрель 2023'!$G$4:$G$692,'апрель 2023'!$D$4:$D$692,$B47,'апрель 2023'!$J$4:$J$692,AC$1)</f>
        <v>0</v>
      </c>
      <c r="AD47" s="207">
        <f>SUMIFS('апрель 2023'!$G$4:$G$692,'апрель 2023'!$D$4:$D$692,$B47,'апрель 2023'!$J$4:$J$692,AD$1)</f>
        <v>0</v>
      </c>
      <c r="AE47" s="207">
        <f>SUMIFS('апрель 2023'!$G$4:$G$692,'апрель 2023'!$D$4:$D$692,$B47,'апрель 2023'!$J$4:$J$692,AE$1)</f>
        <v>0</v>
      </c>
      <c r="AF47" s="207">
        <f>SUMIFS('апрель 2023'!$G$4:$G$692,'апрель 2023'!$D$4:$D$692,$B47,'апрель 2023'!$J$4:$J$692,AF$1)</f>
        <v>0</v>
      </c>
      <c r="AG47" s="207">
        <f>SUMIFS('апрель 2023'!$G$4:$G$692,'апрель 2023'!$D$4:$D$692,$B47,'апрель 2023'!$J$4:$J$692,AG$1)</f>
        <v>0</v>
      </c>
      <c r="AH47" s="207">
        <f>SUMIFS('апрель 2023'!$G$4:$G$692,'апрель 2023'!$D$4:$D$692,$B47,'апрель 2023'!$J$4:$J$692,AH$1)</f>
        <v>0</v>
      </c>
      <c r="AI47" s="170">
        <f t="shared" si="1"/>
        <v>1</v>
      </c>
    </row>
    <row r="48" spans="2:35" ht="15" customHeight="1" x14ac:dyDescent="0.25">
      <c r="B48" s="208" t="s">
        <v>1340</v>
      </c>
      <c r="C48" s="213">
        <v>50</v>
      </c>
      <c r="D48" s="207">
        <f>SUMIFS('апрель 2023'!$G$4:$G$692,'апрель 2023'!$D$4:$D$692,$B48,'апрель 2023'!$J$4:$J$692,D$1)</f>
        <v>0</v>
      </c>
      <c r="E48" s="207">
        <f>SUMIFS('апрель 2023'!$G$4:$G$692,'апрель 2023'!$D$4:$D$692,$B48,'апрель 2023'!$J$4:$J$692,E$1)</f>
        <v>0</v>
      </c>
      <c r="F48" s="207">
        <f>SUMIFS('апрель 2023'!$G$4:$G$692,'апрель 2023'!$D$4:$D$692,$B48,'апрель 2023'!$J$4:$J$692,F$1)</f>
        <v>0</v>
      </c>
      <c r="G48" s="207">
        <f>SUMIFS('апрель 2023'!$G$4:$G$692,'апрель 2023'!$D$4:$D$692,$B48,'апрель 2023'!$J$4:$J$692,G$1)</f>
        <v>0</v>
      </c>
      <c r="H48" s="207">
        <f>SUMIFS('апрель 2023'!$G$4:$G$692,'апрель 2023'!$D$4:$D$692,$B48,'апрель 2023'!$J$4:$J$692,H$1)</f>
        <v>0</v>
      </c>
      <c r="I48" s="207">
        <f>SUMIFS('апрель 2023'!$G$4:$G$692,'апрель 2023'!$D$4:$D$692,$B48,'апрель 2023'!$J$4:$J$692,I$1)</f>
        <v>0</v>
      </c>
      <c r="J48" s="207">
        <f>SUMIFS('апрель 2023'!$G$4:$G$692,'апрель 2023'!$D$4:$D$692,$B48,'апрель 2023'!$J$4:$J$692,J$1)</f>
        <v>0</v>
      </c>
      <c r="K48" s="207">
        <f>SUMIFS('апрель 2023'!$G$4:$G$692,'апрель 2023'!$D$4:$D$692,$B48,'апрель 2023'!$J$4:$J$692,K$1)</f>
        <v>0</v>
      </c>
      <c r="L48" s="207">
        <f>SUMIFS('апрель 2023'!$G$4:$G$692,'апрель 2023'!$D$4:$D$692,$B48,'апрель 2023'!$J$4:$J$692,L$1)</f>
        <v>0</v>
      </c>
      <c r="M48" s="207">
        <f>SUMIFS('апрель 2023'!$G$4:$G$692,'апрель 2023'!$D$4:$D$692,$B48,'апрель 2023'!$J$4:$J$692,M$1)</f>
        <v>0</v>
      </c>
      <c r="N48" s="207">
        <f>SUMIFS('апрель 2023'!$G$4:$G$692,'апрель 2023'!$D$4:$D$692,$B48,'апрель 2023'!$J$4:$J$692,N$1)</f>
        <v>0</v>
      </c>
      <c r="O48" s="207">
        <f>SUMIFS('апрель 2023'!$G$4:$G$692,'апрель 2023'!$D$4:$D$692,$B48,'апрель 2023'!$J$4:$J$692,O$1)</f>
        <v>0</v>
      </c>
      <c r="P48" s="207">
        <f>SUMIFS('апрель 2023'!$G$4:$G$692,'апрель 2023'!$D$4:$D$692,$B48,'апрель 2023'!$J$4:$J$692,P$1)</f>
        <v>0</v>
      </c>
      <c r="Q48" s="207">
        <f>SUMIFS('апрель 2023'!$G$4:$G$692,'апрель 2023'!$D$4:$D$692,$B48,'апрель 2023'!$J$4:$J$692,Q$1)</f>
        <v>0</v>
      </c>
      <c r="R48" s="207">
        <f>SUMIFS('апрель 2023'!$G$4:$G$692,'апрель 2023'!$D$4:$D$692,$B48,'апрель 2023'!$J$4:$J$692,R$1)</f>
        <v>0</v>
      </c>
      <c r="S48" s="207">
        <f>SUMIFS('апрель 2023'!$G$4:$G$692,'апрель 2023'!$D$4:$D$692,$B48,'апрель 2023'!$J$4:$J$692,S$1)</f>
        <v>0</v>
      </c>
      <c r="T48" s="207">
        <f>SUMIFS('апрель 2023'!$G$4:$G$692,'апрель 2023'!$D$4:$D$692,$B48,'апрель 2023'!$J$4:$J$692,T$1)</f>
        <v>0</v>
      </c>
      <c r="U48" s="207">
        <f>SUMIFS('апрель 2023'!$G$4:$G$692,'апрель 2023'!$D$4:$D$692,$B48,'апрель 2023'!$J$4:$J$692,U$1)</f>
        <v>0</v>
      </c>
      <c r="V48" s="207">
        <f>SUMIFS('апрель 2023'!$G$4:$G$692,'апрель 2023'!$D$4:$D$692,$B48,'апрель 2023'!$J$4:$J$692,V$1)</f>
        <v>0</v>
      </c>
      <c r="W48" s="207">
        <f>SUMIFS('апрель 2023'!$G$4:$G$692,'апрель 2023'!$D$4:$D$692,$B48,'апрель 2023'!$J$4:$J$692,W$1)</f>
        <v>0</v>
      </c>
      <c r="X48" s="207">
        <f>SUMIFS('апрель 2023'!$G$4:$G$692,'апрель 2023'!$D$4:$D$692,$B48,'апрель 2023'!$J$4:$J$692,X$1)</f>
        <v>0</v>
      </c>
      <c r="Y48" s="207">
        <f>SUMIFS('апрель 2023'!$G$4:$G$692,'апрель 2023'!$D$4:$D$692,$B48,'апрель 2023'!$J$4:$J$692,Y$1)</f>
        <v>0</v>
      </c>
      <c r="Z48" s="207">
        <f>SUMIFS('апрель 2023'!$G$4:$G$692,'апрель 2023'!$D$4:$D$692,$B48,'апрель 2023'!$J$4:$J$692,Z$1)</f>
        <v>0</v>
      </c>
      <c r="AA48" s="207">
        <f>SUMIFS('апрель 2023'!$G$4:$G$692,'апрель 2023'!$D$4:$D$692,$B48,'апрель 2023'!$J$4:$J$692,AA$1)</f>
        <v>0</v>
      </c>
      <c r="AB48" s="207">
        <f>SUMIFS('апрель 2023'!$G$4:$G$692,'апрель 2023'!$D$4:$D$692,$B48,'апрель 2023'!$J$4:$J$692,AB$1)</f>
        <v>0</v>
      </c>
      <c r="AC48" s="207">
        <f>SUMIFS('апрель 2023'!$G$4:$G$692,'апрель 2023'!$D$4:$D$692,$B48,'апрель 2023'!$J$4:$J$692,AC$1)</f>
        <v>0</v>
      </c>
      <c r="AD48" s="207">
        <f>SUMIFS('апрель 2023'!$G$4:$G$692,'апрель 2023'!$D$4:$D$692,$B48,'апрель 2023'!$J$4:$J$692,AD$1)</f>
        <v>0</v>
      </c>
      <c r="AE48" s="207">
        <f>SUMIFS('апрель 2023'!$G$4:$G$692,'апрель 2023'!$D$4:$D$692,$B48,'апрель 2023'!$J$4:$J$692,AE$1)</f>
        <v>0</v>
      </c>
      <c r="AF48" s="207">
        <f>SUMIFS('апрель 2023'!$G$4:$G$692,'апрель 2023'!$D$4:$D$692,$B48,'апрель 2023'!$J$4:$J$692,AF$1)</f>
        <v>0</v>
      </c>
      <c r="AG48" s="207">
        <f>SUMIFS('апрель 2023'!$G$4:$G$692,'апрель 2023'!$D$4:$D$692,$B48,'апрель 2023'!$J$4:$J$692,AG$1)</f>
        <v>0</v>
      </c>
      <c r="AH48" s="207">
        <f>SUMIFS('апрель 2023'!$G$4:$G$692,'апрель 2023'!$D$4:$D$692,$B48,'апрель 2023'!$J$4:$J$692,AH$1)</f>
        <v>0</v>
      </c>
      <c r="AI48" s="170">
        <f t="shared" si="1"/>
        <v>0</v>
      </c>
    </row>
    <row r="49" spans="2:35" ht="15" customHeight="1" x14ac:dyDescent="0.25">
      <c r="B49" s="212" t="s">
        <v>2141</v>
      </c>
      <c r="C49" s="213">
        <v>200</v>
      </c>
      <c r="D49" s="207">
        <f>SUMIFS('апрель 2023'!$G$4:$G$692,'апрель 2023'!$D$4:$D$692,$B49,'апрель 2023'!$J$4:$J$692,D$1)</f>
        <v>0</v>
      </c>
      <c r="E49" s="207">
        <f>SUMIFS('апрель 2023'!$G$4:$G$692,'апрель 2023'!$D$4:$D$692,$B49,'апрель 2023'!$J$4:$J$692,E$1)</f>
        <v>0</v>
      </c>
      <c r="F49" s="207">
        <f>SUMIFS('апрель 2023'!$G$4:$G$692,'апрель 2023'!$D$4:$D$692,$B49,'апрель 2023'!$J$4:$J$692,F$1)</f>
        <v>0</v>
      </c>
      <c r="G49" s="207">
        <f>SUMIFS('апрель 2023'!$G$4:$G$692,'апрель 2023'!$D$4:$D$692,$B49,'апрель 2023'!$J$4:$J$692,G$1)</f>
        <v>0</v>
      </c>
      <c r="H49" s="207">
        <f>SUMIFS('апрель 2023'!$G$4:$G$692,'апрель 2023'!$D$4:$D$692,$B49,'апрель 2023'!$J$4:$J$692,H$1)</f>
        <v>0</v>
      </c>
      <c r="I49" s="207">
        <f>SUMIFS('апрель 2023'!$G$4:$G$692,'апрель 2023'!$D$4:$D$692,$B49,'апрель 2023'!$J$4:$J$692,I$1)</f>
        <v>0</v>
      </c>
      <c r="J49" s="207">
        <f>SUMIFS('апрель 2023'!$G$4:$G$692,'апрель 2023'!$D$4:$D$692,$B49,'апрель 2023'!$J$4:$J$692,J$1)</f>
        <v>0</v>
      </c>
      <c r="K49" s="207">
        <f>SUMIFS('апрель 2023'!$G$4:$G$692,'апрель 2023'!$D$4:$D$692,$B49,'апрель 2023'!$J$4:$J$692,K$1)</f>
        <v>0</v>
      </c>
      <c r="L49" s="207">
        <f>SUMIFS('апрель 2023'!$G$4:$G$692,'апрель 2023'!$D$4:$D$692,$B49,'апрель 2023'!$J$4:$J$692,L$1)</f>
        <v>0</v>
      </c>
      <c r="M49" s="207">
        <f>SUMIFS('апрель 2023'!$G$4:$G$692,'апрель 2023'!$D$4:$D$692,$B49,'апрель 2023'!$J$4:$J$692,M$1)</f>
        <v>0</v>
      </c>
      <c r="N49" s="207">
        <f>SUMIFS('апрель 2023'!$G$4:$G$692,'апрель 2023'!$D$4:$D$692,$B49,'апрель 2023'!$J$4:$J$692,N$1)</f>
        <v>0</v>
      </c>
      <c r="O49" s="207">
        <f>SUMIFS('апрель 2023'!$G$4:$G$692,'апрель 2023'!$D$4:$D$692,$B49,'апрель 2023'!$J$4:$J$692,O$1)</f>
        <v>0</v>
      </c>
      <c r="P49" s="207">
        <f>SUMIFS('апрель 2023'!$G$4:$G$692,'апрель 2023'!$D$4:$D$692,$B49,'апрель 2023'!$J$4:$J$692,P$1)</f>
        <v>0</v>
      </c>
      <c r="Q49" s="207">
        <f>SUMIFS('апрель 2023'!$G$4:$G$692,'апрель 2023'!$D$4:$D$692,$B49,'апрель 2023'!$J$4:$J$692,Q$1)</f>
        <v>0</v>
      </c>
      <c r="R49" s="207">
        <f>SUMIFS('апрель 2023'!$G$4:$G$692,'апрель 2023'!$D$4:$D$692,$B49,'апрель 2023'!$J$4:$J$692,R$1)</f>
        <v>0</v>
      </c>
      <c r="S49" s="207">
        <f>SUMIFS('апрель 2023'!$G$4:$G$692,'апрель 2023'!$D$4:$D$692,$B49,'апрель 2023'!$J$4:$J$692,S$1)</f>
        <v>0</v>
      </c>
      <c r="T49" s="207">
        <f>SUMIFS('апрель 2023'!$G$4:$G$692,'апрель 2023'!$D$4:$D$692,$B49,'апрель 2023'!$J$4:$J$692,T$1)</f>
        <v>0</v>
      </c>
      <c r="U49" s="207">
        <f>SUMIFS('апрель 2023'!$G$4:$G$692,'апрель 2023'!$D$4:$D$692,$B49,'апрель 2023'!$J$4:$J$692,U$1)</f>
        <v>0</v>
      </c>
      <c r="V49" s="207">
        <f>SUMIFS('апрель 2023'!$G$4:$G$692,'апрель 2023'!$D$4:$D$692,$B49,'апрель 2023'!$J$4:$J$692,V$1)</f>
        <v>0</v>
      </c>
      <c r="W49" s="207">
        <f>SUMIFS('апрель 2023'!$G$4:$G$692,'апрель 2023'!$D$4:$D$692,$B49,'апрель 2023'!$J$4:$J$692,W$1)</f>
        <v>0</v>
      </c>
      <c r="X49" s="207">
        <f>SUMIFS('апрель 2023'!$G$4:$G$692,'апрель 2023'!$D$4:$D$692,$B49,'апрель 2023'!$J$4:$J$692,X$1)</f>
        <v>0</v>
      </c>
      <c r="Y49" s="207">
        <f>SUMIFS('апрель 2023'!$G$4:$G$692,'апрель 2023'!$D$4:$D$692,$B49,'апрель 2023'!$J$4:$J$692,Y$1)</f>
        <v>0</v>
      </c>
      <c r="Z49" s="207">
        <f>SUMIFS('апрель 2023'!$G$4:$G$692,'апрель 2023'!$D$4:$D$692,$B49,'апрель 2023'!$J$4:$J$692,Z$1)</f>
        <v>0</v>
      </c>
      <c r="AA49" s="207">
        <f>SUMIFS('апрель 2023'!$G$4:$G$692,'апрель 2023'!$D$4:$D$692,$B49,'апрель 2023'!$J$4:$J$692,AA$1)</f>
        <v>0</v>
      </c>
      <c r="AB49" s="207">
        <f>SUMIFS('апрель 2023'!$G$4:$G$692,'апрель 2023'!$D$4:$D$692,$B49,'апрель 2023'!$J$4:$J$692,AB$1)</f>
        <v>0</v>
      </c>
      <c r="AC49" s="207">
        <f>SUMIFS('апрель 2023'!$G$4:$G$692,'апрель 2023'!$D$4:$D$692,$B49,'апрель 2023'!$J$4:$J$692,AC$1)</f>
        <v>0</v>
      </c>
      <c r="AD49" s="207">
        <f>SUMIFS('апрель 2023'!$G$4:$G$692,'апрель 2023'!$D$4:$D$692,$B49,'апрель 2023'!$J$4:$J$692,AD$1)</f>
        <v>0</v>
      </c>
      <c r="AE49" s="207">
        <f>SUMIFS('апрель 2023'!$G$4:$G$692,'апрель 2023'!$D$4:$D$692,$B49,'апрель 2023'!$J$4:$J$692,AE$1)</f>
        <v>0</v>
      </c>
      <c r="AF49" s="207">
        <f>SUMIFS('апрель 2023'!$G$4:$G$692,'апрель 2023'!$D$4:$D$692,$B49,'апрель 2023'!$J$4:$J$692,AF$1)</f>
        <v>0</v>
      </c>
      <c r="AG49" s="207">
        <f>SUMIFS('апрель 2023'!$G$4:$G$692,'апрель 2023'!$D$4:$D$692,$B49,'апрель 2023'!$J$4:$J$692,AG$1)</f>
        <v>0</v>
      </c>
      <c r="AH49" s="207">
        <f>SUMIFS('апрель 2023'!$G$4:$G$692,'апрель 2023'!$D$4:$D$692,$B49,'апрель 2023'!$J$4:$J$692,AH$1)</f>
        <v>0</v>
      </c>
      <c r="AI49" s="170">
        <f t="shared" si="1"/>
        <v>0</v>
      </c>
    </row>
    <row r="50" spans="2:35" ht="15" customHeight="1" x14ac:dyDescent="0.25">
      <c r="B50" s="212" t="s">
        <v>110</v>
      </c>
      <c r="C50" s="213">
        <v>200</v>
      </c>
      <c r="D50" s="207">
        <f>SUMIFS('апрель 2023'!$G$4:$G$692,'апрель 2023'!$D$4:$D$692,$B50,'апрель 2023'!$J$4:$J$692,D$1)</f>
        <v>0</v>
      </c>
      <c r="E50" s="207">
        <f>SUMIFS('апрель 2023'!$G$4:$G$692,'апрель 2023'!$D$4:$D$692,$B50,'апрель 2023'!$J$4:$J$692,E$1)</f>
        <v>0</v>
      </c>
      <c r="F50" s="207">
        <f>SUMIFS('апрель 2023'!$G$4:$G$692,'апрель 2023'!$D$4:$D$692,$B50,'апрель 2023'!$J$4:$J$692,F$1)</f>
        <v>0</v>
      </c>
      <c r="G50" s="207">
        <f>SUMIFS('апрель 2023'!$G$4:$G$692,'апрель 2023'!$D$4:$D$692,$B50,'апрель 2023'!$J$4:$J$692,G$1)</f>
        <v>0</v>
      </c>
      <c r="H50" s="207">
        <f>SUMIFS('апрель 2023'!$G$4:$G$692,'апрель 2023'!$D$4:$D$692,$B50,'апрель 2023'!$J$4:$J$692,H$1)</f>
        <v>0</v>
      </c>
      <c r="I50" s="207">
        <f>SUMIFS('апрель 2023'!$G$4:$G$692,'апрель 2023'!$D$4:$D$692,$B50,'апрель 2023'!$J$4:$J$692,I$1)</f>
        <v>0</v>
      </c>
      <c r="J50" s="207">
        <f>SUMIFS('апрель 2023'!$G$4:$G$692,'апрель 2023'!$D$4:$D$692,$B50,'апрель 2023'!$J$4:$J$692,J$1)</f>
        <v>0</v>
      </c>
      <c r="K50" s="207">
        <f>SUMIFS('апрель 2023'!$G$4:$G$692,'апрель 2023'!$D$4:$D$692,$B50,'апрель 2023'!$J$4:$J$692,K$1)</f>
        <v>0</v>
      </c>
      <c r="L50" s="207">
        <f>SUMIFS('апрель 2023'!$G$4:$G$692,'апрель 2023'!$D$4:$D$692,$B50,'апрель 2023'!$J$4:$J$692,L$1)</f>
        <v>0</v>
      </c>
      <c r="M50" s="207">
        <f>SUMIFS('апрель 2023'!$G$4:$G$692,'апрель 2023'!$D$4:$D$692,$B50,'апрель 2023'!$J$4:$J$692,M$1)</f>
        <v>0</v>
      </c>
      <c r="N50" s="207">
        <f>SUMIFS('апрель 2023'!$G$4:$G$692,'апрель 2023'!$D$4:$D$692,$B50,'апрель 2023'!$J$4:$J$692,N$1)</f>
        <v>0</v>
      </c>
      <c r="O50" s="207">
        <f>SUMIFS('апрель 2023'!$G$4:$G$692,'апрель 2023'!$D$4:$D$692,$B50,'апрель 2023'!$J$4:$J$692,O$1)</f>
        <v>0</v>
      </c>
      <c r="P50" s="207">
        <f>SUMIFS('апрель 2023'!$G$4:$G$692,'апрель 2023'!$D$4:$D$692,$B50,'апрель 2023'!$J$4:$J$692,P$1)</f>
        <v>0</v>
      </c>
      <c r="Q50" s="207">
        <f>SUMIFS('апрель 2023'!$G$4:$G$692,'апрель 2023'!$D$4:$D$692,$B50,'апрель 2023'!$J$4:$J$692,Q$1)</f>
        <v>0</v>
      </c>
      <c r="R50" s="207">
        <f>SUMIFS('апрель 2023'!$G$4:$G$692,'апрель 2023'!$D$4:$D$692,$B50,'апрель 2023'!$J$4:$J$692,R$1)</f>
        <v>0</v>
      </c>
      <c r="S50" s="207">
        <f>SUMIFS('апрель 2023'!$G$4:$G$692,'апрель 2023'!$D$4:$D$692,$B50,'апрель 2023'!$J$4:$J$692,S$1)</f>
        <v>0</v>
      </c>
      <c r="T50" s="207">
        <f>SUMIFS('апрель 2023'!$G$4:$G$692,'апрель 2023'!$D$4:$D$692,$B50,'апрель 2023'!$J$4:$J$692,T$1)</f>
        <v>0</v>
      </c>
      <c r="U50" s="207">
        <f>SUMIFS('апрель 2023'!$G$4:$G$692,'апрель 2023'!$D$4:$D$692,$B50,'апрель 2023'!$J$4:$J$692,U$1)</f>
        <v>0</v>
      </c>
      <c r="V50" s="207">
        <f>SUMIFS('апрель 2023'!$G$4:$G$692,'апрель 2023'!$D$4:$D$692,$B50,'апрель 2023'!$J$4:$J$692,V$1)</f>
        <v>0</v>
      </c>
      <c r="W50" s="207">
        <f>SUMIFS('апрель 2023'!$G$4:$G$692,'апрель 2023'!$D$4:$D$692,$B50,'апрель 2023'!$J$4:$J$692,W$1)</f>
        <v>0</v>
      </c>
      <c r="X50" s="207">
        <f>SUMIFS('апрель 2023'!$G$4:$G$692,'апрель 2023'!$D$4:$D$692,$B50,'апрель 2023'!$J$4:$J$692,X$1)</f>
        <v>0</v>
      </c>
      <c r="Y50" s="207">
        <f>SUMIFS('апрель 2023'!$G$4:$G$692,'апрель 2023'!$D$4:$D$692,$B50,'апрель 2023'!$J$4:$J$692,Y$1)</f>
        <v>0</v>
      </c>
      <c r="Z50" s="207">
        <f>SUMIFS('апрель 2023'!$G$4:$G$692,'апрель 2023'!$D$4:$D$692,$B50,'апрель 2023'!$J$4:$J$692,Z$1)</f>
        <v>0</v>
      </c>
      <c r="AA50" s="207">
        <f>SUMIFS('апрель 2023'!$G$4:$G$692,'апрель 2023'!$D$4:$D$692,$B50,'апрель 2023'!$J$4:$J$692,AA$1)</f>
        <v>0</v>
      </c>
      <c r="AB50" s="207">
        <f>SUMIFS('апрель 2023'!$G$4:$G$692,'апрель 2023'!$D$4:$D$692,$B50,'апрель 2023'!$J$4:$J$692,AB$1)</f>
        <v>0</v>
      </c>
      <c r="AC50" s="207">
        <f>SUMIFS('апрель 2023'!$G$4:$G$692,'апрель 2023'!$D$4:$D$692,$B50,'апрель 2023'!$J$4:$J$692,AC$1)</f>
        <v>0</v>
      </c>
      <c r="AD50" s="207">
        <f>SUMIFS('апрель 2023'!$G$4:$G$692,'апрель 2023'!$D$4:$D$692,$B50,'апрель 2023'!$J$4:$J$692,AD$1)</f>
        <v>0</v>
      </c>
      <c r="AE50" s="207">
        <f>SUMIFS('апрель 2023'!$G$4:$G$692,'апрель 2023'!$D$4:$D$692,$B50,'апрель 2023'!$J$4:$J$692,AE$1)</f>
        <v>0</v>
      </c>
      <c r="AF50" s="207">
        <f>SUMIFS('апрель 2023'!$G$4:$G$692,'апрель 2023'!$D$4:$D$692,$B50,'апрель 2023'!$J$4:$J$692,AF$1)</f>
        <v>0</v>
      </c>
      <c r="AG50" s="207">
        <f>SUMIFS('апрель 2023'!$G$4:$G$692,'апрель 2023'!$D$4:$D$692,$B50,'апрель 2023'!$J$4:$J$692,AG$1)</f>
        <v>0</v>
      </c>
      <c r="AH50" s="207">
        <f>SUMIFS('апрель 2023'!$G$4:$G$692,'апрель 2023'!$D$4:$D$692,$B50,'апрель 2023'!$J$4:$J$692,AH$1)</f>
        <v>0</v>
      </c>
      <c r="AI50" s="170">
        <f t="shared" si="1"/>
        <v>0</v>
      </c>
    </row>
    <row r="51" spans="2:35" ht="15" customHeight="1" x14ac:dyDescent="0.25">
      <c r="B51" s="212" t="s">
        <v>2144</v>
      </c>
      <c r="C51" s="213">
        <v>200</v>
      </c>
      <c r="D51" s="207">
        <f>SUMIFS('апрель 2023'!$G$4:$G$692,'апрель 2023'!$D$4:$D$692,$B51,'апрель 2023'!$J$4:$J$692,D$1)</f>
        <v>0</v>
      </c>
      <c r="E51" s="207">
        <f>SUMIFS('апрель 2023'!$G$4:$G$692,'апрель 2023'!$D$4:$D$692,$B51,'апрель 2023'!$J$4:$J$692,E$1)</f>
        <v>0</v>
      </c>
      <c r="F51" s="207">
        <f>SUMIFS('апрель 2023'!$G$4:$G$692,'апрель 2023'!$D$4:$D$692,$B51,'апрель 2023'!$J$4:$J$692,F$1)</f>
        <v>0</v>
      </c>
      <c r="G51" s="207">
        <f>SUMIFS('апрель 2023'!$G$4:$G$692,'апрель 2023'!$D$4:$D$692,$B51,'апрель 2023'!$J$4:$J$692,G$1)</f>
        <v>0</v>
      </c>
      <c r="H51" s="207">
        <f>SUMIFS('апрель 2023'!$G$4:$G$692,'апрель 2023'!$D$4:$D$692,$B51,'апрель 2023'!$J$4:$J$692,H$1)</f>
        <v>0</v>
      </c>
      <c r="I51" s="207">
        <f>SUMIFS('апрель 2023'!$G$4:$G$692,'апрель 2023'!$D$4:$D$692,$B51,'апрель 2023'!$J$4:$J$692,I$1)</f>
        <v>0</v>
      </c>
      <c r="J51" s="207">
        <f>SUMIFS('апрель 2023'!$G$4:$G$692,'апрель 2023'!$D$4:$D$692,$B51,'апрель 2023'!$J$4:$J$692,J$1)</f>
        <v>0</v>
      </c>
      <c r="K51" s="207">
        <f>SUMIFS('апрель 2023'!$G$4:$G$692,'апрель 2023'!$D$4:$D$692,$B51,'апрель 2023'!$J$4:$J$692,K$1)</f>
        <v>0</v>
      </c>
      <c r="L51" s="207">
        <f>SUMIFS('апрель 2023'!$G$4:$G$692,'апрель 2023'!$D$4:$D$692,$B51,'апрель 2023'!$J$4:$J$692,L$1)</f>
        <v>0</v>
      </c>
      <c r="M51" s="207">
        <f>SUMIFS('апрель 2023'!$G$4:$G$692,'апрель 2023'!$D$4:$D$692,$B51,'апрель 2023'!$J$4:$J$692,M$1)</f>
        <v>0</v>
      </c>
      <c r="N51" s="207">
        <f>SUMIFS('апрель 2023'!$G$4:$G$692,'апрель 2023'!$D$4:$D$692,$B51,'апрель 2023'!$J$4:$J$692,N$1)</f>
        <v>0</v>
      </c>
      <c r="O51" s="207">
        <f>SUMIFS('апрель 2023'!$G$4:$G$692,'апрель 2023'!$D$4:$D$692,$B51,'апрель 2023'!$J$4:$J$692,O$1)</f>
        <v>0</v>
      </c>
      <c r="P51" s="207">
        <f>SUMIFS('апрель 2023'!$G$4:$G$692,'апрель 2023'!$D$4:$D$692,$B51,'апрель 2023'!$J$4:$J$692,P$1)</f>
        <v>0</v>
      </c>
      <c r="Q51" s="207">
        <f>SUMIFS('апрель 2023'!$G$4:$G$692,'апрель 2023'!$D$4:$D$692,$B51,'апрель 2023'!$J$4:$J$692,Q$1)</f>
        <v>0</v>
      </c>
      <c r="R51" s="207">
        <f>SUMIFS('апрель 2023'!$G$4:$G$692,'апрель 2023'!$D$4:$D$692,$B51,'апрель 2023'!$J$4:$J$692,R$1)</f>
        <v>0</v>
      </c>
      <c r="S51" s="207">
        <f>SUMIFS('апрель 2023'!$G$4:$G$692,'апрель 2023'!$D$4:$D$692,$B51,'апрель 2023'!$J$4:$J$692,S$1)</f>
        <v>0</v>
      </c>
      <c r="T51" s="207">
        <f>SUMIFS('апрель 2023'!$G$4:$G$692,'апрель 2023'!$D$4:$D$692,$B51,'апрель 2023'!$J$4:$J$692,T$1)</f>
        <v>0</v>
      </c>
      <c r="U51" s="207">
        <f>SUMIFS('апрель 2023'!$G$4:$G$692,'апрель 2023'!$D$4:$D$692,$B51,'апрель 2023'!$J$4:$J$692,U$1)</f>
        <v>0</v>
      </c>
      <c r="V51" s="207">
        <f>SUMIFS('апрель 2023'!$G$4:$G$692,'апрель 2023'!$D$4:$D$692,$B51,'апрель 2023'!$J$4:$J$692,V$1)</f>
        <v>0</v>
      </c>
      <c r="W51" s="207">
        <f>SUMIFS('апрель 2023'!$G$4:$G$692,'апрель 2023'!$D$4:$D$692,$B51,'апрель 2023'!$J$4:$J$692,W$1)</f>
        <v>0</v>
      </c>
      <c r="X51" s="207">
        <f>SUMIFS('апрель 2023'!$G$4:$G$692,'апрель 2023'!$D$4:$D$692,$B51,'апрель 2023'!$J$4:$J$692,X$1)</f>
        <v>0</v>
      </c>
      <c r="Y51" s="207">
        <f>SUMIFS('апрель 2023'!$G$4:$G$692,'апрель 2023'!$D$4:$D$692,$B51,'апрель 2023'!$J$4:$J$692,Y$1)</f>
        <v>0</v>
      </c>
      <c r="Z51" s="207">
        <f>SUMIFS('апрель 2023'!$G$4:$G$692,'апрель 2023'!$D$4:$D$692,$B51,'апрель 2023'!$J$4:$J$692,Z$1)</f>
        <v>0</v>
      </c>
      <c r="AA51" s="207">
        <f>SUMIFS('апрель 2023'!$G$4:$G$692,'апрель 2023'!$D$4:$D$692,$B51,'апрель 2023'!$J$4:$J$692,AA$1)</f>
        <v>0</v>
      </c>
      <c r="AB51" s="207">
        <f>SUMIFS('апрель 2023'!$G$4:$G$692,'апрель 2023'!$D$4:$D$692,$B51,'апрель 2023'!$J$4:$J$692,AB$1)</f>
        <v>0</v>
      </c>
      <c r="AC51" s="207">
        <f>SUMIFS('апрель 2023'!$G$4:$G$692,'апрель 2023'!$D$4:$D$692,$B51,'апрель 2023'!$J$4:$J$692,AC$1)</f>
        <v>0</v>
      </c>
      <c r="AD51" s="207">
        <f>SUMIFS('апрель 2023'!$G$4:$G$692,'апрель 2023'!$D$4:$D$692,$B51,'апрель 2023'!$J$4:$J$692,AD$1)</f>
        <v>0</v>
      </c>
      <c r="AE51" s="207">
        <f>SUMIFS('апрель 2023'!$G$4:$G$692,'апрель 2023'!$D$4:$D$692,$B51,'апрель 2023'!$J$4:$J$692,AE$1)</f>
        <v>0</v>
      </c>
      <c r="AF51" s="207">
        <f>SUMIFS('апрель 2023'!$G$4:$G$692,'апрель 2023'!$D$4:$D$692,$B51,'апрель 2023'!$J$4:$J$692,AF$1)</f>
        <v>0</v>
      </c>
      <c r="AG51" s="207">
        <f>SUMIFS('апрель 2023'!$G$4:$G$692,'апрель 2023'!$D$4:$D$692,$B51,'апрель 2023'!$J$4:$J$692,AG$1)</f>
        <v>0</v>
      </c>
      <c r="AH51" s="207">
        <f>SUMIFS('апрель 2023'!$G$4:$G$692,'апрель 2023'!$D$4:$D$692,$B51,'апрель 2023'!$J$4:$J$692,AH$1)</f>
        <v>0</v>
      </c>
      <c r="AI51" s="170">
        <f t="shared" si="1"/>
        <v>0</v>
      </c>
    </row>
    <row r="52" spans="2:35" ht="15" customHeight="1" x14ac:dyDescent="0.25">
      <c r="B52" s="217" t="s">
        <v>50</v>
      </c>
      <c r="C52" s="213">
        <v>200</v>
      </c>
      <c r="D52" s="207">
        <f>SUMIFS('апрель 2023'!$G$4:$G$692,'апрель 2023'!$D$4:$D$692,$B52,'апрель 2023'!$J$4:$J$692,D$1)</f>
        <v>0</v>
      </c>
      <c r="E52" s="207">
        <f>SUMIFS('апрель 2023'!$G$4:$G$692,'апрель 2023'!$D$4:$D$692,$B52,'апрель 2023'!$J$4:$J$692,E$1)</f>
        <v>0</v>
      </c>
      <c r="F52" s="207">
        <f>SUMIFS('апрель 2023'!$G$4:$G$692,'апрель 2023'!$D$4:$D$692,$B52,'апрель 2023'!$J$4:$J$692,F$1)</f>
        <v>0</v>
      </c>
      <c r="G52" s="207">
        <f>SUMIFS('апрель 2023'!$G$4:$G$692,'апрель 2023'!$D$4:$D$692,$B52,'апрель 2023'!$J$4:$J$692,G$1)</f>
        <v>0</v>
      </c>
      <c r="H52" s="207">
        <f>SUMIFS('апрель 2023'!$G$4:$G$692,'апрель 2023'!$D$4:$D$692,$B52,'апрель 2023'!$J$4:$J$692,H$1)</f>
        <v>0</v>
      </c>
      <c r="I52" s="207">
        <f>SUMIFS('апрель 2023'!$G$4:$G$692,'апрель 2023'!$D$4:$D$692,$B52,'апрель 2023'!$J$4:$J$692,I$1)</f>
        <v>0</v>
      </c>
      <c r="J52" s="207">
        <f>SUMIFS('апрель 2023'!$G$4:$G$692,'апрель 2023'!$D$4:$D$692,$B52,'апрель 2023'!$J$4:$J$692,J$1)</f>
        <v>0</v>
      </c>
      <c r="K52" s="207">
        <f>SUMIFS('апрель 2023'!$G$4:$G$692,'апрель 2023'!$D$4:$D$692,$B52,'апрель 2023'!$J$4:$J$692,K$1)</f>
        <v>0</v>
      </c>
      <c r="L52" s="207">
        <f>SUMIFS('апрель 2023'!$G$4:$G$692,'апрель 2023'!$D$4:$D$692,$B52,'апрель 2023'!$J$4:$J$692,L$1)</f>
        <v>0</v>
      </c>
      <c r="M52" s="207">
        <f>SUMIFS('апрель 2023'!$G$4:$G$692,'апрель 2023'!$D$4:$D$692,$B52,'апрель 2023'!$J$4:$J$692,M$1)</f>
        <v>0</v>
      </c>
      <c r="N52" s="207">
        <f>SUMIFS('апрель 2023'!$G$4:$G$692,'апрель 2023'!$D$4:$D$692,$B52,'апрель 2023'!$J$4:$J$692,N$1)</f>
        <v>0</v>
      </c>
      <c r="O52" s="207">
        <f>SUMIFS('апрель 2023'!$G$4:$G$692,'апрель 2023'!$D$4:$D$692,$B52,'апрель 2023'!$J$4:$J$692,O$1)</f>
        <v>0</v>
      </c>
      <c r="P52" s="207">
        <f>SUMIFS('апрель 2023'!$G$4:$G$692,'апрель 2023'!$D$4:$D$692,$B52,'апрель 2023'!$J$4:$J$692,P$1)</f>
        <v>0</v>
      </c>
      <c r="Q52" s="207">
        <f>SUMIFS('апрель 2023'!$G$4:$G$692,'апрель 2023'!$D$4:$D$692,$B52,'апрель 2023'!$J$4:$J$692,Q$1)</f>
        <v>0</v>
      </c>
      <c r="R52" s="207">
        <f>SUMIFS('апрель 2023'!$G$4:$G$692,'апрель 2023'!$D$4:$D$692,$B52,'апрель 2023'!$J$4:$J$692,R$1)</f>
        <v>0</v>
      </c>
      <c r="S52" s="207">
        <f>SUMIFS('апрель 2023'!$G$4:$G$692,'апрель 2023'!$D$4:$D$692,$B52,'апрель 2023'!$J$4:$J$692,S$1)</f>
        <v>0</v>
      </c>
      <c r="T52" s="207">
        <f>SUMIFS('апрель 2023'!$G$4:$G$692,'апрель 2023'!$D$4:$D$692,$B52,'апрель 2023'!$J$4:$J$692,T$1)</f>
        <v>0</v>
      </c>
      <c r="U52" s="207">
        <f>SUMIFS('апрель 2023'!$G$4:$G$692,'апрель 2023'!$D$4:$D$692,$B52,'апрель 2023'!$J$4:$J$692,U$1)</f>
        <v>0</v>
      </c>
      <c r="V52" s="207">
        <f>SUMIFS('апрель 2023'!$G$4:$G$692,'апрель 2023'!$D$4:$D$692,$B52,'апрель 2023'!$J$4:$J$692,V$1)</f>
        <v>0</v>
      </c>
      <c r="W52" s="207">
        <f>SUMIFS('апрель 2023'!$G$4:$G$692,'апрель 2023'!$D$4:$D$692,$B52,'апрель 2023'!$J$4:$J$692,W$1)</f>
        <v>0</v>
      </c>
      <c r="X52" s="207">
        <f>SUMIFS('апрель 2023'!$G$4:$G$692,'апрель 2023'!$D$4:$D$692,$B52,'апрель 2023'!$J$4:$J$692,X$1)</f>
        <v>0</v>
      </c>
      <c r="Y52" s="207">
        <f>SUMIFS('апрель 2023'!$G$4:$G$692,'апрель 2023'!$D$4:$D$692,$B52,'апрель 2023'!$J$4:$J$692,Y$1)</f>
        <v>0</v>
      </c>
      <c r="Z52" s="207">
        <f>SUMIFS('апрель 2023'!$G$4:$G$692,'апрель 2023'!$D$4:$D$692,$B52,'апрель 2023'!$J$4:$J$692,Z$1)</f>
        <v>0</v>
      </c>
      <c r="AA52" s="207">
        <f>SUMIFS('апрель 2023'!$G$4:$G$692,'апрель 2023'!$D$4:$D$692,$B52,'апрель 2023'!$J$4:$J$692,AA$1)</f>
        <v>0</v>
      </c>
      <c r="AB52" s="207">
        <f>SUMIFS('апрель 2023'!$G$4:$G$692,'апрель 2023'!$D$4:$D$692,$B52,'апрель 2023'!$J$4:$J$692,AB$1)</f>
        <v>0</v>
      </c>
      <c r="AC52" s="207">
        <f>SUMIFS('апрель 2023'!$G$4:$G$692,'апрель 2023'!$D$4:$D$692,$B52,'апрель 2023'!$J$4:$J$692,AC$1)</f>
        <v>0</v>
      </c>
      <c r="AD52" s="207">
        <f>SUMIFS('апрель 2023'!$G$4:$G$692,'апрель 2023'!$D$4:$D$692,$B52,'апрель 2023'!$J$4:$J$692,AD$1)</f>
        <v>0</v>
      </c>
      <c r="AE52" s="207">
        <f>SUMIFS('апрель 2023'!$G$4:$G$692,'апрель 2023'!$D$4:$D$692,$B52,'апрель 2023'!$J$4:$J$692,AE$1)</f>
        <v>0</v>
      </c>
      <c r="AF52" s="207">
        <f>SUMIFS('апрель 2023'!$G$4:$G$692,'апрель 2023'!$D$4:$D$692,$B52,'апрель 2023'!$J$4:$J$692,AF$1)</f>
        <v>0</v>
      </c>
      <c r="AG52" s="207">
        <f>SUMIFS('апрель 2023'!$G$4:$G$692,'апрель 2023'!$D$4:$D$692,$B52,'апрель 2023'!$J$4:$J$692,AG$1)</f>
        <v>0</v>
      </c>
      <c r="AH52" s="207">
        <f>SUMIFS('апрель 2023'!$G$4:$G$692,'апрель 2023'!$D$4:$D$692,$B52,'апрель 2023'!$J$4:$J$692,AH$1)</f>
        <v>0</v>
      </c>
      <c r="AI52" s="170">
        <f t="shared" si="1"/>
        <v>0</v>
      </c>
    </row>
    <row r="53" spans="2:35" ht="15" customHeight="1" x14ac:dyDescent="0.25">
      <c r="B53" s="217" t="s">
        <v>2148</v>
      </c>
      <c r="C53" s="213">
        <v>190</v>
      </c>
      <c r="D53" s="207">
        <f>SUMIFS('апрель 2023'!$G$4:$G$692,'апрель 2023'!$D$4:$D$692,$B53,'апрель 2023'!$J$4:$J$692,D$1)</f>
        <v>0</v>
      </c>
      <c r="E53" s="207">
        <f>SUMIFS('апрель 2023'!$G$4:$G$692,'апрель 2023'!$D$4:$D$692,$B53,'апрель 2023'!$J$4:$J$692,E$1)</f>
        <v>0</v>
      </c>
      <c r="F53" s="207">
        <f>SUMIFS('апрель 2023'!$G$4:$G$692,'апрель 2023'!$D$4:$D$692,$B53,'апрель 2023'!$J$4:$J$692,F$1)</f>
        <v>0</v>
      </c>
      <c r="G53" s="207">
        <f>SUMIFS('апрель 2023'!$G$4:$G$692,'апрель 2023'!$D$4:$D$692,$B53,'апрель 2023'!$J$4:$J$692,G$1)</f>
        <v>0</v>
      </c>
      <c r="H53" s="207">
        <f>SUMIFS('апрель 2023'!$G$4:$G$692,'апрель 2023'!$D$4:$D$692,$B53,'апрель 2023'!$J$4:$J$692,H$1)</f>
        <v>0</v>
      </c>
      <c r="I53" s="207">
        <f>SUMIFS('апрель 2023'!$G$4:$G$692,'апрель 2023'!$D$4:$D$692,$B53,'апрель 2023'!$J$4:$J$692,I$1)</f>
        <v>0</v>
      </c>
      <c r="J53" s="207">
        <f>SUMIFS('апрель 2023'!$G$4:$G$692,'апрель 2023'!$D$4:$D$692,$B53,'апрель 2023'!$J$4:$J$692,J$1)</f>
        <v>0</v>
      </c>
      <c r="K53" s="207">
        <f>SUMIFS('апрель 2023'!$G$4:$G$692,'апрель 2023'!$D$4:$D$692,$B53,'апрель 2023'!$J$4:$J$692,K$1)</f>
        <v>0</v>
      </c>
      <c r="L53" s="207">
        <f>SUMIFS('апрель 2023'!$G$4:$G$692,'апрель 2023'!$D$4:$D$692,$B53,'апрель 2023'!$J$4:$J$692,L$1)</f>
        <v>0</v>
      </c>
      <c r="M53" s="207">
        <f>SUMIFS('апрель 2023'!$G$4:$G$692,'апрель 2023'!$D$4:$D$692,$B53,'апрель 2023'!$J$4:$J$692,M$1)</f>
        <v>0</v>
      </c>
      <c r="N53" s="207">
        <f>SUMIFS('апрель 2023'!$G$4:$G$692,'апрель 2023'!$D$4:$D$692,$B53,'апрель 2023'!$J$4:$J$692,N$1)</f>
        <v>0</v>
      </c>
      <c r="O53" s="207">
        <f>SUMIFS('апрель 2023'!$G$4:$G$692,'апрель 2023'!$D$4:$D$692,$B53,'апрель 2023'!$J$4:$J$692,O$1)</f>
        <v>0</v>
      </c>
      <c r="P53" s="207">
        <f>SUMIFS('апрель 2023'!$G$4:$G$692,'апрель 2023'!$D$4:$D$692,$B53,'апрель 2023'!$J$4:$J$692,P$1)</f>
        <v>0</v>
      </c>
      <c r="Q53" s="207">
        <f>SUMIFS('апрель 2023'!$G$4:$G$692,'апрель 2023'!$D$4:$D$692,$B53,'апрель 2023'!$J$4:$J$692,Q$1)</f>
        <v>0</v>
      </c>
      <c r="R53" s="207">
        <f>SUMIFS('апрель 2023'!$G$4:$G$692,'апрель 2023'!$D$4:$D$692,$B53,'апрель 2023'!$J$4:$J$692,R$1)</f>
        <v>0</v>
      </c>
      <c r="S53" s="207">
        <f>SUMIFS('апрель 2023'!$G$4:$G$692,'апрель 2023'!$D$4:$D$692,$B53,'апрель 2023'!$J$4:$J$692,S$1)</f>
        <v>0</v>
      </c>
      <c r="T53" s="207">
        <f>SUMIFS('апрель 2023'!$G$4:$G$692,'апрель 2023'!$D$4:$D$692,$B53,'апрель 2023'!$J$4:$J$692,T$1)</f>
        <v>0</v>
      </c>
      <c r="U53" s="207">
        <f>SUMIFS('апрель 2023'!$G$4:$G$692,'апрель 2023'!$D$4:$D$692,$B53,'апрель 2023'!$J$4:$J$692,U$1)</f>
        <v>0</v>
      </c>
      <c r="V53" s="207">
        <f>SUMIFS('апрель 2023'!$G$4:$G$692,'апрель 2023'!$D$4:$D$692,$B53,'апрель 2023'!$J$4:$J$692,V$1)</f>
        <v>0</v>
      </c>
      <c r="W53" s="207">
        <f>SUMIFS('апрель 2023'!$G$4:$G$692,'апрель 2023'!$D$4:$D$692,$B53,'апрель 2023'!$J$4:$J$692,W$1)</f>
        <v>0</v>
      </c>
      <c r="X53" s="207">
        <f>SUMIFS('апрель 2023'!$G$4:$G$692,'апрель 2023'!$D$4:$D$692,$B53,'апрель 2023'!$J$4:$J$692,X$1)</f>
        <v>0</v>
      </c>
      <c r="Y53" s="207">
        <f>SUMIFS('апрель 2023'!$G$4:$G$692,'апрель 2023'!$D$4:$D$692,$B53,'апрель 2023'!$J$4:$J$692,Y$1)</f>
        <v>0</v>
      </c>
      <c r="Z53" s="207">
        <f>SUMIFS('апрель 2023'!$G$4:$G$692,'апрель 2023'!$D$4:$D$692,$B53,'апрель 2023'!$J$4:$J$692,Z$1)</f>
        <v>0</v>
      </c>
      <c r="AA53" s="207">
        <f>SUMIFS('апрель 2023'!$G$4:$G$692,'апрель 2023'!$D$4:$D$692,$B53,'апрель 2023'!$J$4:$J$692,AA$1)</f>
        <v>0</v>
      </c>
      <c r="AB53" s="207">
        <f>SUMIFS('апрель 2023'!$G$4:$G$692,'апрель 2023'!$D$4:$D$692,$B53,'апрель 2023'!$J$4:$J$692,AB$1)</f>
        <v>0</v>
      </c>
      <c r="AC53" s="207">
        <f>SUMIFS('апрель 2023'!$G$4:$G$692,'апрель 2023'!$D$4:$D$692,$B53,'апрель 2023'!$J$4:$J$692,AC$1)</f>
        <v>0</v>
      </c>
      <c r="AD53" s="207">
        <f>SUMIFS('апрель 2023'!$G$4:$G$692,'апрель 2023'!$D$4:$D$692,$B53,'апрель 2023'!$J$4:$J$692,AD$1)</f>
        <v>0</v>
      </c>
      <c r="AE53" s="207">
        <f>SUMIFS('апрель 2023'!$G$4:$G$692,'апрель 2023'!$D$4:$D$692,$B53,'апрель 2023'!$J$4:$J$692,AE$1)</f>
        <v>0</v>
      </c>
      <c r="AF53" s="207">
        <f>SUMIFS('апрель 2023'!$G$4:$G$692,'апрель 2023'!$D$4:$D$692,$B53,'апрель 2023'!$J$4:$J$692,AF$1)</f>
        <v>0</v>
      </c>
      <c r="AG53" s="207">
        <f>SUMIFS('апрель 2023'!$G$4:$G$692,'апрель 2023'!$D$4:$D$692,$B53,'апрель 2023'!$J$4:$J$692,AG$1)</f>
        <v>0</v>
      </c>
      <c r="AH53" s="207">
        <f>SUMIFS('апрель 2023'!$G$4:$G$692,'апрель 2023'!$D$4:$D$692,$B53,'апрель 2023'!$J$4:$J$692,AH$1)</f>
        <v>0</v>
      </c>
      <c r="AI53" s="170">
        <f t="shared" si="1"/>
        <v>0</v>
      </c>
    </row>
    <row r="54" spans="2:35" ht="15" customHeight="1" x14ac:dyDescent="0.25">
      <c r="B54" s="217" t="s">
        <v>421</v>
      </c>
      <c r="C54" s="213">
        <v>200</v>
      </c>
      <c r="D54" s="207">
        <f>SUMIFS('апрель 2023'!$G$4:$G$692,'апрель 2023'!$D$4:$D$692,$B54,'апрель 2023'!$J$4:$J$692,D$1)</f>
        <v>0</v>
      </c>
      <c r="E54" s="207">
        <f>SUMIFS('апрель 2023'!$G$4:$G$692,'апрель 2023'!$D$4:$D$692,$B54,'апрель 2023'!$J$4:$J$692,E$1)</f>
        <v>0</v>
      </c>
      <c r="F54" s="207">
        <f>SUMIFS('апрель 2023'!$G$4:$G$692,'апрель 2023'!$D$4:$D$692,$B54,'апрель 2023'!$J$4:$J$692,F$1)</f>
        <v>0</v>
      </c>
      <c r="G54" s="207">
        <f>SUMIFS('апрель 2023'!$G$4:$G$692,'апрель 2023'!$D$4:$D$692,$B54,'апрель 2023'!$J$4:$J$692,G$1)</f>
        <v>0</v>
      </c>
      <c r="H54" s="207">
        <f>SUMIFS('апрель 2023'!$G$4:$G$692,'апрель 2023'!$D$4:$D$692,$B54,'апрель 2023'!$J$4:$J$692,H$1)</f>
        <v>0</v>
      </c>
      <c r="I54" s="207">
        <f>SUMIFS('апрель 2023'!$G$4:$G$692,'апрель 2023'!$D$4:$D$692,$B54,'апрель 2023'!$J$4:$J$692,I$1)</f>
        <v>0</v>
      </c>
      <c r="J54" s="207">
        <f>SUMIFS('апрель 2023'!$G$4:$G$692,'апрель 2023'!$D$4:$D$692,$B54,'апрель 2023'!$J$4:$J$692,J$1)</f>
        <v>0</v>
      </c>
      <c r="K54" s="207">
        <f>SUMIFS('апрель 2023'!$G$4:$G$692,'апрель 2023'!$D$4:$D$692,$B54,'апрель 2023'!$J$4:$J$692,K$1)</f>
        <v>0</v>
      </c>
      <c r="L54" s="207">
        <f>SUMIFS('апрель 2023'!$G$4:$G$692,'апрель 2023'!$D$4:$D$692,$B54,'апрель 2023'!$J$4:$J$692,L$1)</f>
        <v>0</v>
      </c>
      <c r="M54" s="207">
        <f>SUMIFS('апрель 2023'!$G$4:$G$692,'апрель 2023'!$D$4:$D$692,$B54,'апрель 2023'!$J$4:$J$692,M$1)</f>
        <v>0</v>
      </c>
      <c r="N54" s="207">
        <f>SUMIFS('апрель 2023'!$G$4:$G$692,'апрель 2023'!$D$4:$D$692,$B54,'апрель 2023'!$J$4:$J$692,N$1)</f>
        <v>0</v>
      </c>
      <c r="O54" s="207">
        <f>SUMIFS('апрель 2023'!$G$4:$G$692,'апрель 2023'!$D$4:$D$692,$B54,'апрель 2023'!$J$4:$J$692,O$1)</f>
        <v>0</v>
      </c>
      <c r="P54" s="207">
        <f>SUMIFS('апрель 2023'!$G$4:$G$692,'апрель 2023'!$D$4:$D$692,$B54,'апрель 2023'!$J$4:$J$692,P$1)</f>
        <v>0</v>
      </c>
      <c r="Q54" s="207">
        <f>SUMIFS('апрель 2023'!$G$4:$G$692,'апрель 2023'!$D$4:$D$692,$B54,'апрель 2023'!$J$4:$J$692,Q$1)</f>
        <v>0</v>
      </c>
      <c r="R54" s="207">
        <f>SUMIFS('апрель 2023'!$G$4:$G$692,'апрель 2023'!$D$4:$D$692,$B54,'апрель 2023'!$J$4:$J$692,R$1)</f>
        <v>0</v>
      </c>
      <c r="S54" s="207">
        <f>SUMIFS('апрель 2023'!$G$4:$G$692,'апрель 2023'!$D$4:$D$692,$B54,'апрель 2023'!$J$4:$J$692,S$1)</f>
        <v>0</v>
      </c>
      <c r="T54" s="207">
        <f>SUMIFS('апрель 2023'!$G$4:$G$692,'апрель 2023'!$D$4:$D$692,$B54,'апрель 2023'!$J$4:$J$692,T$1)</f>
        <v>0</v>
      </c>
      <c r="U54" s="207">
        <f>SUMIFS('апрель 2023'!$G$4:$G$692,'апрель 2023'!$D$4:$D$692,$B54,'апрель 2023'!$J$4:$J$692,U$1)</f>
        <v>88</v>
      </c>
      <c r="V54" s="207">
        <f>SUMIFS('апрель 2023'!$G$4:$G$692,'апрель 2023'!$D$4:$D$692,$B54,'апрель 2023'!$J$4:$J$692,V$1)</f>
        <v>88</v>
      </c>
      <c r="W54" s="207">
        <f>SUMIFS('апрель 2023'!$G$4:$G$692,'апрель 2023'!$D$4:$D$692,$B54,'апрель 2023'!$J$4:$J$692,W$1)</f>
        <v>0</v>
      </c>
      <c r="X54" s="207">
        <f>SUMIFS('апрель 2023'!$G$4:$G$692,'апрель 2023'!$D$4:$D$692,$B54,'апрель 2023'!$J$4:$J$692,X$1)</f>
        <v>0</v>
      </c>
      <c r="Y54" s="207">
        <f>SUMIFS('апрель 2023'!$G$4:$G$692,'апрель 2023'!$D$4:$D$692,$B54,'апрель 2023'!$J$4:$J$692,Y$1)</f>
        <v>0</v>
      </c>
      <c r="Z54" s="207">
        <f>SUMIFS('апрель 2023'!$G$4:$G$692,'апрель 2023'!$D$4:$D$692,$B54,'апрель 2023'!$J$4:$J$692,Z$1)</f>
        <v>0</v>
      </c>
      <c r="AA54" s="207">
        <f>SUMIFS('апрель 2023'!$G$4:$G$692,'апрель 2023'!$D$4:$D$692,$B54,'апрель 2023'!$J$4:$J$692,AA$1)</f>
        <v>0</v>
      </c>
      <c r="AB54" s="207">
        <f>SUMIFS('апрель 2023'!$G$4:$G$692,'апрель 2023'!$D$4:$D$692,$B54,'апрель 2023'!$J$4:$J$692,AB$1)</f>
        <v>0</v>
      </c>
      <c r="AC54" s="207">
        <f>SUMIFS('апрель 2023'!$G$4:$G$692,'апрель 2023'!$D$4:$D$692,$B54,'апрель 2023'!$J$4:$J$692,AC$1)</f>
        <v>0</v>
      </c>
      <c r="AD54" s="207">
        <f>SUMIFS('апрель 2023'!$G$4:$G$692,'апрель 2023'!$D$4:$D$692,$B54,'апрель 2023'!$J$4:$J$692,AD$1)</f>
        <v>0</v>
      </c>
      <c r="AE54" s="207">
        <f>SUMIFS('апрель 2023'!$G$4:$G$692,'апрель 2023'!$D$4:$D$692,$B54,'апрель 2023'!$J$4:$J$692,AE$1)</f>
        <v>0</v>
      </c>
      <c r="AF54" s="207">
        <f>SUMIFS('апрель 2023'!$G$4:$G$692,'апрель 2023'!$D$4:$D$692,$B54,'апрель 2023'!$J$4:$J$692,AF$1)</f>
        <v>0</v>
      </c>
      <c r="AG54" s="207">
        <f>SUMIFS('апрель 2023'!$G$4:$G$692,'апрель 2023'!$D$4:$D$692,$B54,'апрель 2023'!$J$4:$J$692,AG$1)</f>
        <v>0</v>
      </c>
      <c r="AH54" s="207">
        <f>SUMIFS('апрель 2023'!$G$4:$G$692,'апрель 2023'!$D$4:$D$692,$B54,'апрель 2023'!$J$4:$J$692,AH$1)</f>
        <v>0</v>
      </c>
      <c r="AI54" s="170">
        <f t="shared" si="1"/>
        <v>176</v>
      </c>
    </row>
    <row r="55" spans="2:35" ht="15" customHeight="1" x14ac:dyDescent="0.25">
      <c r="B55" s="217" t="s">
        <v>222</v>
      </c>
      <c r="C55" s="213">
        <v>50</v>
      </c>
      <c r="D55" s="207">
        <f>SUMIFS('апрель 2023'!$G$4:$G$692,'апрель 2023'!$D$4:$D$692,$B55,'апрель 2023'!$J$4:$J$692,D$1)</f>
        <v>0</v>
      </c>
      <c r="E55" s="207">
        <f>SUMIFS('апрель 2023'!$G$4:$G$692,'апрель 2023'!$D$4:$D$692,$B55,'апрель 2023'!$J$4:$J$692,E$1)</f>
        <v>0</v>
      </c>
      <c r="F55" s="207">
        <f>SUMIFS('апрель 2023'!$G$4:$G$692,'апрель 2023'!$D$4:$D$692,$B55,'апрель 2023'!$J$4:$J$692,F$1)</f>
        <v>0</v>
      </c>
      <c r="G55" s="207">
        <f>SUMIFS('апрель 2023'!$G$4:$G$692,'апрель 2023'!$D$4:$D$692,$B55,'апрель 2023'!$J$4:$J$692,G$1)</f>
        <v>0</v>
      </c>
      <c r="H55" s="207">
        <f>SUMIFS('апрель 2023'!$G$4:$G$692,'апрель 2023'!$D$4:$D$692,$B55,'апрель 2023'!$J$4:$J$692,H$1)</f>
        <v>0</v>
      </c>
      <c r="I55" s="207">
        <f>SUMIFS('апрель 2023'!$G$4:$G$692,'апрель 2023'!$D$4:$D$692,$B55,'апрель 2023'!$J$4:$J$692,I$1)</f>
        <v>0</v>
      </c>
      <c r="J55" s="207">
        <f>SUMIFS('апрель 2023'!$G$4:$G$692,'апрель 2023'!$D$4:$D$692,$B55,'апрель 2023'!$J$4:$J$692,J$1)</f>
        <v>0</v>
      </c>
      <c r="K55" s="207">
        <f>SUMIFS('апрель 2023'!$G$4:$G$692,'апрель 2023'!$D$4:$D$692,$B55,'апрель 2023'!$J$4:$J$692,K$1)</f>
        <v>0</v>
      </c>
      <c r="L55" s="207">
        <f>SUMIFS('апрель 2023'!$G$4:$G$692,'апрель 2023'!$D$4:$D$692,$B55,'апрель 2023'!$J$4:$J$692,L$1)</f>
        <v>0</v>
      </c>
      <c r="M55" s="207">
        <f>SUMIFS('апрель 2023'!$G$4:$G$692,'апрель 2023'!$D$4:$D$692,$B55,'апрель 2023'!$J$4:$J$692,M$1)</f>
        <v>0</v>
      </c>
      <c r="N55" s="207">
        <f>SUMIFS('апрель 2023'!$G$4:$G$692,'апрель 2023'!$D$4:$D$692,$B55,'апрель 2023'!$J$4:$J$692,N$1)</f>
        <v>0</v>
      </c>
      <c r="O55" s="207">
        <f>SUMIFS('апрель 2023'!$G$4:$G$692,'апрель 2023'!$D$4:$D$692,$B55,'апрель 2023'!$J$4:$J$692,O$1)</f>
        <v>0</v>
      </c>
      <c r="P55" s="207">
        <f>SUMIFS('апрель 2023'!$G$4:$G$692,'апрель 2023'!$D$4:$D$692,$B55,'апрель 2023'!$J$4:$J$692,P$1)</f>
        <v>0</v>
      </c>
      <c r="Q55" s="207">
        <f>SUMIFS('апрель 2023'!$G$4:$G$692,'апрель 2023'!$D$4:$D$692,$B55,'апрель 2023'!$J$4:$J$692,Q$1)</f>
        <v>0</v>
      </c>
      <c r="R55" s="207">
        <f>SUMIFS('апрель 2023'!$G$4:$G$692,'апрель 2023'!$D$4:$D$692,$B55,'апрель 2023'!$J$4:$J$692,R$1)</f>
        <v>0</v>
      </c>
      <c r="S55" s="207">
        <f>SUMIFS('апрель 2023'!$G$4:$G$692,'апрель 2023'!$D$4:$D$692,$B55,'апрель 2023'!$J$4:$J$692,S$1)</f>
        <v>0</v>
      </c>
      <c r="T55" s="207">
        <f>SUMIFS('апрель 2023'!$G$4:$G$692,'апрель 2023'!$D$4:$D$692,$B55,'апрель 2023'!$J$4:$J$692,T$1)</f>
        <v>0</v>
      </c>
      <c r="U55" s="207">
        <f>SUMIFS('апрель 2023'!$G$4:$G$692,'апрель 2023'!$D$4:$D$692,$B55,'апрель 2023'!$J$4:$J$692,U$1)</f>
        <v>0</v>
      </c>
      <c r="V55" s="207">
        <f>SUMIFS('апрель 2023'!$G$4:$G$692,'апрель 2023'!$D$4:$D$692,$B55,'апрель 2023'!$J$4:$J$692,V$1)</f>
        <v>0</v>
      </c>
      <c r="W55" s="207">
        <f>SUMIFS('апрель 2023'!$G$4:$G$692,'апрель 2023'!$D$4:$D$692,$B55,'апрель 2023'!$J$4:$J$692,W$1)</f>
        <v>0</v>
      </c>
      <c r="X55" s="207">
        <f>SUMIFS('апрель 2023'!$G$4:$G$692,'апрель 2023'!$D$4:$D$692,$B55,'апрель 2023'!$J$4:$J$692,X$1)</f>
        <v>0</v>
      </c>
      <c r="Y55" s="207">
        <f>SUMIFS('апрель 2023'!$G$4:$G$692,'апрель 2023'!$D$4:$D$692,$B55,'апрель 2023'!$J$4:$J$692,Y$1)</f>
        <v>0</v>
      </c>
      <c r="Z55" s="207">
        <f>SUMIFS('апрель 2023'!$G$4:$G$692,'апрель 2023'!$D$4:$D$692,$B55,'апрель 2023'!$J$4:$J$692,Z$1)</f>
        <v>0</v>
      </c>
      <c r="AA55" s="207">
        <f>SUMIFS('апрель 2023'!$G$4:$G$692,'апрель 2023'!$D$4:$D$692,$B55,'апрель 2023'!$J$4:$J$692,AA$1)</f>
        <v>0</v>
      </c>
      <c r="AB55" s="207">
        <f>SUMIFS('апрель 2023'!$G$4:$G$692,'апрель 2023'!$D$4:$D$692,$B55,'апрель 2023'!$J$4:$J$692,AB$1)</f>
        <v>0</v>
      </c>
      <c r="AC55" s="207">
        <f>SUMIFS('апрель 2023'!$G$4:$G$692,'апрель 2023'!$D$4:$D$692,$B55,'апрель 2023'!$J$4:$J$692,AC$1)</f>
        <v>0</v>
      </c>
      <c r="AD55" s="207">
        <f>SUMIFS('апрель 2023'!$G$4:$G$692,'апрель 2023'!$D$4:$D$692,$B55,'апрель 2023'!$J$4:$J$692,AD$1)</f>
        <v>0</v>
      </c>
      <c r="AE55" s="207">
        <f>SUMIFS('апрель 2023'!$G$4:$G$692,'апрель 2023'!$D$4:$D$692,$B55,'апрель 2023'!$J$4:$J$692,AE$1)</f>
        <v>0</v>
      </c>
      <c r="AF55" s="207">
        <f>SUMIFS('апрель 2023'!$G$4:$G$692,'апрель 2023'!$D$4:$D$692,$B55,'апрель 2023'!$J$4:$J$692,AF$1)</f>
        <v>0</v>
      </c>
      <c r="AG55" s="207">
        <f>SUMIFS('апрель 2023'!$G$4:$G$692,'апрель 2023'!$D$4:$D$692,$B55,'апрель 2023'!$J$4:$J$692,AG$1)</f>
        <v>0</v>
      </c>
      <c r="AH55" s="207">
        <f>SUMIFS('апрель 2023'!$G$4:$G$692,'апрель 2023'!$D$4:$D$692,$B55,'апрель 2023'!$J$4:$J$692,AH$1)</f>
        <v>0</v>
      </c>
      <c r="AI55" s="170">
        <f t="shared" si="1"/>
        <v>0</v>
      </c>
    </row>
    <row r="56" spans="2:35" ht="15" customHeight="1" x14ac:dyDescent="0.25">
      <c r="B56" s="216" t="s">
        <v>66</v>
      </c>
      <c r="C56" s="213">
        <v>200</v>
      </c>
      <c r="D56" s="207">
        <f>SUMIFS('апрель 2023'!$G$4:$G$692,'апрель 2023'!$D$4:$D$692,$B56,'апрель 2023'!$J$4:$J$692,D$1)</f>
        <v>0</v>
      </c>
      <c r="E56" s="207">
        <f>SUMIFS('апрель 2023'!$G$4:$G$692,'апрель 2023'!$D$4:$D$692,$B56,'апрель 2023'!$J$4:$J$692,E$1)</f>
        <v>0</v>
      </c>
      <c r="F56" s="207">
        <f>SUMIFS('апрель 2023'!$G$4:$G$692,'апрель 2023'!$D$4:$D$692,$B56,'апрель 2023'!$J$4:$J$692,F$1)</f>
        <v>0</v>
      </c>
      <c r="G56" s="207">
        <f>SUMIFS('апрель 2023'!$G$4:$G$692,'апрель 2023'!$D$4:$D$692,$B56,'апрель 2023'!$J$4:$J$692,G$1)</f>
        <v>0</v>
      </c>
      <c r="H56" s="207">
        <f>SUMIFS('апрель 2023'!$G$4:$G$692,'апрель 2023'!$D$4:$D$692,$B56,'апрель 2023'!$J$4:$J$692,H$1)</f>
        <v>0</v>
      </c>
      <c r="I56" s="207">
        <f>SUMIFS('апрель 2023'!$G$4:$G$692,'апрель 2023'!$D$4:$D$692,$B56,'апрель 2023'!$J$4:$J$692,I$1)</f>
        <v>0</v>
      </c>
      <c r="J56" s="207">
        <f>SUMIFS('апрель 2023'!$G$4:$G$692,'апрель 2023'!$D$4:$D$692,$B56,'апрель 2023'!$J$4:$J$692,J$1)</f>
        <v>0</v>
      </c>
      <c r="K56" s="207">
        <f>SUMIFS('апрель 2023'!$G$4:$G$692,'апрель 2023'!$D$4:$D$692,$B56,'апрель 2023'!$J$4:$J$692,K$1)</f>
        <v>0</v>
      </c>
      <c r="L56" s="207">
        <f>SUMIFS('апрель 2023'!$G$4:$G$692,'апрель 2023'!$D$4:$D$692,$B56,'апрель 2023'!$J$4:$J$692,L$1)</f>
        <v>0</v>
      </c>
      <c r="M56" s="207">
        <f>SUMIFS('апрель 2023'!$G$4:$G$692,'апрель 2023'!$D$4:$D$692,$B56,'апрель 2023'!$J$4:$J$692,M$1)</f>
        <v>0</v>
      </c>
      <c r="N56" s="207">
        <f>SUMIFS('апрель 2023'!$G$4:$G$692,'апрель 2023'!$D$4:$D$692,$B56,'апрель 2023'!$J$4:$J$692,N$1)</f>
        <v>0</v>
      </c>
      <c r="O56" s="207">
        <f>SUMIFS('апрель 2023'!$G$4:$G$692,'апрель 2023'!$D$4:$D$692,$B56,'апрель 2023'!$J$4:$J$692,O$1)</f>
        <v>176</v>
      </c>
      <c r="P56" s="207">
        <f>SUMIFS('апрель 2023'!$G$4:$G$692,'апрель 2023'!$D$4:$D$692,$B56,'апрель 2023'!$J$4:$J$692,P$1)</f>
        <v>0</v>
      </c>
      <c r="Q56" s="207">
        <f>SUMIFS('апрель 2023'!$G$4:$G$692,'апрель 2023'!$D$4:$D$692,$B56,'апрель 2023'!$J$4:$J$692,Q$1)</f>
        <v>0</v>
      </c>
      <c r="R56" s="207">
        <f>SUMIFS('апрель 2023'!$G$4:$G$692,'апрель 2023'!$D$4:$D$692,$B56,'апрель 2023'!$J$4:$J$692,R$1)</f>
        <v>0</v>
      </c>
      <c r="S56" s="207">
        <f>SUMIFS('апрель 2023'!$G$4:$G$692,'апрель 2023'!$D$4:$D$692,$B56,'апрель 2023'!$J$4:$J$692,S$1)</f>
        <v>0</v>
      </c>
      <c r="T56" s="207">
        <f>SUMIFS('апрель 2023'!$G$4:$G$692,'апрель 2023'!$D$4:$D$692,$B56,'апрель 2023'!$J$4:$J$692,T$1)</f>
        <v>0</v>
      </c>
      <c r="U56" s="207">
        <f>SUMIFS('апрель 2023'!$G$4:$G$692,'апрель 2023'!$D$4:$D$692,$B56,'апрель 2023'!$J$4:$J$692,U$1)</f>
        <v>0</v>
      </c>
      <c r="V56" s="207">
        <f>SUMIFS('апрель 2023'!$G$4:$G$692,'апрель 2023'!$D$4:$D$692,$B56,'апрель 2023'!$J$4:$J$692,V$1)</f>
        <v>0</v>
      </c>
      <c r="W56" s="207">
        <f>SUMIFS('апрель 2023'!$G$4:$G$692,'апрель 2023'!$D$4:$D$692,$B56,'апрель 2023'!$J$4:$J$692,W$1)</f>
        <v>0</v>
      </c>
      <c r="X56" s="207">
        <f>SUMIFS('апрель 2023'!$G$4:$G$692,'апрель 2023'!$D$4:$D$692,$B56,'апрель 2023'!$J$4:$J$692,X$1)</f>
        <v>0</v>
      </c>
      <c r="Y56" s="207">
        <f>SUMIFS('апрель 2023'!$G$4:$G$692,'апрель 2023'!$D$4:$D$692,$B56,'апрель 2023'!$J$4:$J$692,Y$1)</f>
        <v>0</v>
      </c>
      <c r="Z56" s="207">
        <f>SUMIFS('апрель 2023'!$G$4:$G$692,'апрель 2023'!$D$4:$D$692,$B56,'апрель 2023'!$J$4:$J$692,Z$1)</f>
        <v>0</v>
      </c>
      <c r="AA56" s="207">
        <f>SUMIFS('апрель 2023'!$G$4:$G$692,'апрель 2023'!$D$4:$D$692,$B56,'апрель 2023'!$J$4:$J$692,AA$1)</f>
        <v>0</v>
      </c>
      <c r="AB56" s="207">
        <f>SUMIFS('апрель 2023'!$G$4:$G$692,'апрель 2023'!$D$4:$D$692,$B56,'апрель 2023'!$J$4:$J$692,AB$1)</f>
        <v>0</v>
      </c>
      <c r="AC56" s="207">
        <f>SUMIFS('апрель 2023'!$G$4:$G$692,'апрель 2023'!$D$4:$D$692,$B56,'апрель 2023'!$J$4:$J$692,AC$1)</f>
        <v>0</v>
      </c>
      <c r="AD56" s="207">
        <f>SUMIFS('апрель 2023'!$G$4:$G$692,'апрель 2023'!$D$4:$D$692,$B56,'апрель 2023'!$J$4:$J$692,AD$1)</f>
        <v>0</v>
      </c>
      <c r="AE56" s="207">
        <f>SUMIFS('апрель 2023'!$G$4:$G$692,'апрель 2023'!$D$4:$D$692,$B56,'апрель 2023'!$J$4:$J$692,AE$1)</f>
        <v>0</v>
      </c>
      <c r="AF56" s="207">
        <f>SUMIFS('апрель 2023'!$G$4:$G$692,'апрель 2023'!$D$4:$D$692,$B56,'апрель 2023'!$J$4:$J$692,AF$1)</f>
        <v>0</v>
      </c>
      <c r="AG56" s="207">
        <f>SUMIFS('апрель 2023'!$G$4:$G$692,'апрель 2023'!$D$4:$D$692,$B56,'апрель 2023'!$J$4:$J$692,AG$1)</f>
        <v>0</v>
      </c>
      <c r="AH56" s="207">
        <f>SUMIFS('апрель 2023'!$G$4:$G$692,'апрель 2023'!$D$4:$D$692,$B56,'апрель 2023'!$J$4:$J$692,AH$1)</f>
        <v>0</v>
      </c>
      <c r="AI56" s="170">
        <f t="shared" si="1"/>
        <v>176</v>
      </c>
    </row>
    <row r="57" spans="2:35" ht="15" customHeight="1" x14ac:dyDescent="0.25">
      <c r="B57" s="216" t="s">
        <v>38</v>
      </c>
      <c r="C57" s="213">
        <v>200</v>
      </c>
      <c r="D57" s="207">
        <f>SUMIFS('апрель 2023'!$G$4:$G$692,'апрель 2023'!$D$4:$D$692,$B57,'апрель 2023'!$J$4:$J$692,D$1)</f>
        <v>0</v>
      </c>
      <c r="E57" s="207">
        <f>SUMIFS('апрель 2023'!$G$4:$G$692,'апрель 2023'!$D$4:$D$692,$B57,'апрель 2023'!$J$4:$J$692,E$1)</f>
        <v>0</v>
      </c>
      <c r="F57" s="207">
        <f>SUMIFS('апрель 2023'!$G$4:$G$692,'апрель 2023'!$D$4:$D$692,$B57,'апрель 2023'!$J$4:$J$692,F$1)</f>
        <v>0</v>
      </c>
      <c r="G57" s="207">
        <f>SUMIFS('апрель 2023'!$G$4:$G$692,'апрель 2023'!$D$4:$D$692,$B57,'апрель 2023'!$J$4:$J$692,G$1)</f>
        <v>0</v>
      </c>
      <c r="H57" s="207">
        <f>SUMIFS('апрель 2023'!$G$4:$G$692,'апрель 2023'!$D$4:$D$692,$B57,'апрель 2023'!$J$4:$J$692,H$1)</f>
        <v>0</v>
      </c>
      <c r="I57" s="207">
        <f>SUMIFS('апрель 2023'!$G$4:$G$692,'апрель 2023'!$D$4:$D$692,$B57,'апрель 2023'!$J$4:$J$692,I$1)</f>
        <v>0</v>
      </c>
      <c r="J57" s="207">
        <f>SUMIFS('апрель 2023'!$G$4:$G$692,'апрель 2023'!$D$4:$D$692,$B57,'апрель 2023'!$J$4:$J$692,J$1)</f>
        <v>0</v>
      </c>
      <c r="K57" s="207">
        <f>SUMIFS('апрель 2023'!$G$4:$G$692,'апрель 2023'!$D$4:$D$692,$B57,'апрель 2023'!$J$4:$J$692,K$1)</f>
        <v>0</v>
      </c>
      <c r="L57" s="207">
        <f>SUMIFS('апрель 2023'!$G$4:$G$692,'апрель 2023'!$D$4:$D$692,$B57,'апрель 2023'!$J$4:$J$692,L$1)</f>
        <v>0</v>
      </c>
      <c r="M57" s="207">
        <f>SUMIFS('апрель 2023'!$G$4:$G$692,'апрель 2023'!$D$4:$D$692,$B57,'апрель 2023'!$J$4:$J$692,M$1)</f>
        <v>0</v>
      </c>
      <c r="N57" s="207">
        <f>SUMIFS('апрель 2023'!$G$4:$G$692,'апрель 2023'!$D$4:$D$692,$B57,'апрель 2023'!$J$4:$J$692,N$1)</f>
        <v>0</v>
      </c>
      <c r="O57" s="207">
        <f>SUMIFS('апрель 2023'!$G$4:$G$692,'апрель 2023'!$D$4:$D$692,$B57,'апрель 2023'!$J$4:$J$692,O$1)</f>
        <v>0</v>
      </c>
      <c r="P57" s="207">
        <f>SUMIFS('апрель 2023'!$G$4:$G$692,'апрель 2023'!$D$4:$D$692,$B57,'апрель 2023'!$J$4:$J$692,P$1)</f>
        <v>0</v>
      </c>
      <c r="Q57" s="207">
        <f>SUMIFS('апрель 2023'!$G$4:$G$692,'апрель 2023'!$D$4:$D$692,$B57,'апрель 2023'!$J$4:$J$692,Q$1)</f>
        <v>0</v>
      </c>
      <c r="R57" s="207">
        <f>SUMIFS('апрель 2023'!$G$4:$G$692,'апрель 2023'!$D$4:$D$692,$B57,'апрель 2023'!$J$4:$J$692,R$1)</f>
        <v>0</v>
      </c>
      <c r="S57" s="207">
        <f>SUMIFS('апрель 2023'!$G$4:$G$692,'апрель 2023'!$D$4:$D$692,$B57,'апрель 2023'!$J$4:$J$692,S$1)</f>
        <v>0</v>
      </c>
      <c r="T57" s="207">
        <f>SUMIFS('апрель 2023'!$G$4:$G$692,'апрель 2023'!$D$4:$D$692,$B57,'апрель 2023'!$J$4:$J$692,T$1)</f>
        <v>0</v>
      </c>
      <c r="U57" s="207">
        <f>SUMIFS('апрель 2023'!$G$4:$G$692,'апрель 2023'!$D$4:$D$692,$B57,'апрель 2023'!$J$4:$J$692,U$1)</f>
        <v>0</v>
      </c>
      <c r="V57" s="207">
        <f>SUMIFS('апрель 2023'!$G$4:$G$692,'апрель 2023'!$D$4:$D$692,$B57,'апрель 2023'!$J$4:$J$692,V$1)</f>
        <v>0</v>
      </c>
      <c r="W57" s="207">
        <f>SUMIFS('апрель 2023'!$G$4:$G$692,'апрель 2023'!$D$4:$D$692,$B57,'апрель 2023'!$J$4:$J$692,W$1)</f>
        <v>0</v>
      </c>
      <c r="X57" s="207">
        <f>SUMIFS('апрель 2023'!$G$4:$G$692,'апрель 2023'!$D$4:$D$692,$B57,'апрель 2023'!$J$4:$J$692,X$1)</f>
        <v>0</v>
      </c>
      <c r="Y57" s="207">
        <f>SUMIFS('апрель 2023'!$G$4:$G$692,'апрель 2023'!$D$4:$D$692,$B57,'апрель 2023'!$J$4:$J$692,Y$1)</f>
        <v>0</v>
      </c>
      <c r="Z57" s="207">
        <f>SUMIFS('апрель 2023'!$G$4:$G$692,'апрель 2023'!$D$4:$D$692,$B57,'апрель 2023'!$J$4:$J$692,Z$1)</f>
        <v>0</v>
      </c>
      <c r="AA57" s="207">
        <f>SUMIFS('апрель 2023'!$G$4:$G$692,'апрель 2023'!$D$4:$D$692,$B57,'апрель 2023'!$J$4:$J$692,AA$1)</f>
        <v>0</v>
      </c>
      <c r="AB57" s="207">
        <f>SUMIFS('апрель 2023'!$G$4:$G$692,'апрель 2023'!$D$4:$D$692,$B57,'апрель 2023'!$J$4:$J$692,AB$1)</f>
        <v>0</v>
      </c>
      <c r="AC57" s="207">
        <f>SUMIFS('апрель 2023'!$G$4:$G$692,'апрель 2023'!$D$4:$D$692,$B57,'апрель 2023'!$J$4:$J$692,AC$1)</f>
        <v>0</v>
      </c>
      <c r="AD57" s="207">
        <f>SUMIFS('апрель 2023'!$G$4:$G$692,'апрель 2023'!$D$4:$D$692,$B57,'апрель 2023'!$J$4:$J$692,AD$1)</f>
        <v>0</v>
      </c>
      <c r="AE57" s="207">
        <f>SUMIFS('апрель 2023'!$G$4:$G$692,'апрель 2023'!$D$4:$D$692,$B57,'апрель 2023'!$J$4:$J$692,AE$1)</f>
        <v>0</v>
      </c>
      <c r="AF57" s="207">
        <f>SUMIFS('апрель 2023'!$G$4:$G$692,'апрель 2023'!$D$4:$D$692,$B57,'апрель 2023'!$J$4:$J$692,AF$1)</f>
        <v>0</v>
      </c>
      <c r="AG57" s="207">
        <f>SUMIFS('апрель 2023'!$G$4:$G$692,'апрель 2023'!$D$4:$D$692,$B57,'апрель 2023'!$J$4:$J$692,AG$1)</f>
        <v>0</v>
      </c>
      <c r="AH57" s="207">
        <f>SUMIFS('апрель 2023'!$G$4:$G$692,'апрель 2023'!$D$4:$D$692,$B57,'апрель 2023'!$J$4:$J$692,AH$1)</f>
        <v>0</v>
      </c>
      <c r="AI57" s="170">
        <f t="shared" si="1"/>
        <v>0</v>
      </c>
    </row>
    <row r="58" spans="2:35" ht="15.75" x14ac:dyDescent="0.25">
      <c r="B58" s="212" t="s">
        <v>474</v>
      </c>
      <c r="C58" s="211">
        <v>180</v>
      </c>
      <c r="D58" s="207">
        <f>SUMIFS('апрель 2023'!$G$4:$G$692,'апрель 2023'!$D$4:$D$692,$B58,'апрель 2023'!$J$4:$J$692,D$1)</f>
        <v>0</v>
      </c>
      <c r="E58" s="207">
        <f>SUMIFS('апрель 2023'!$G$4:$G$692,'апрель 2023'!$D$4:$D$692,$B58,'апрель 2023'!$J$4:$J$692,E$1)</f>
        <v>0</v>
      </c>
      <c r="F58" s="207">
        <f>SUMIFS('апрель 2023'!$G$4:$G$692,'апрель 2023'!$D$4:$D$692,$B58,'апрель 2023'!$J$4:$J$692,F$1)</f>
        <v>0</v>
      </c>
      <c r="G58" s="207">
        <f>SUMIFS('апрель 2023'!$G$4:$G$692,'апрель 2023'!$D$4:$D$692,$B58,'апрель 2023'!$J$4:$J$692,G$1)</f>
        <v>0</v>
      </c>
      <c r="H58" s="207">
        <f>SUMIFS('апрель 2023'!$G$4:$G$692,'апрель 2023'!$D$4:$D$692,$B58,'апрель 2023'!$J$4:$J$692,H$1)</f>
        <v>0</v>
      </c>
      <c r="I58" s="207">
        <f>SUMIFS('апрель 2023'!$G$4:$G$692,'апрель 2023'!$D$4:$D$692,$B58,'апрель 2023'!$J$4:$J$692,I$1)</f>
        <v>0</v>
      </c>
      <c r="J58" s="207">
        <f>SUMIFS('апрель 2023'!$G$4:$G$692,'апрель 2023'!$D$4:$D$692,$B58,'апрель 2023'!$J$4:$J$692,J$1)</f>
        <v>0</v>
      </c>
      <c r="K58" s="207">
        <f>SUMIFS('апрель 2023'!$G$4:$G$692,'апрель 2023'!$D$4:$D$692,$B58,'апрель 2023'!$J$4:$J$692,K$1)</f>
        <v>0</v>
      </c>
      <c r="L58" s="207">
        <f>SUMIFS('апрель 2023'!$G$4:$G$692,'апрель 2023'!$D$4:$D$692,$B58,'апрель 2023'!$J$4:$J$692,L$1)</f>
        <v>0</v>
      </c>
      <c r="M58" s="207">
        <f>SUMIFS('апрель 2023'!$G$4:$G$692,'апрель 2023'!$D$4:$D$692,$B58,'апрель 2023'!$J$4:$J$692,M$1)</f>
        <v>0</v>
      </c>
      <c r="N58" s="207">
        <f>SUMIFS('апрель 2023'!$G$4:$G$692,'апрель 2023'!$D$4:$D$692,$B58,'апрель 2023'!$J$4:$J$692,N$1)</f>
        <v>0</v>
      </c>
      <c r="O58" s="207">
        <f>SUMIFS('апрель 2023'!$G$4:$G$692,'апрель 2023'!$D$4:$D$692,$B58,'апрель 2023'!$J$4:$J$692,O$1)</f>
        <v>0</v>
      </c>
      <c r="P58" s="207">
        <f>SUMIFS('апрель 2023'!$G$4:$G$692,'апрель 2023'!$D$4:$D$692,$B58,'апрель 2023'!$J$4:$J$692,P$1)</f>
        <v>0</v>
      </c>
      <c r="Q58" s="207">
        <f>SUMIFS('апрель 2023'!$G$4:$G$692,'апрель 2023'!$D$4:$D$692,$B58,'апрель 2023'!$J$4:$J$692,Q$1)</f>
        <v>0</v>
      </c>
      <c r="R58" s="207">
        <f>SUMIFS('апрель 2023'!$G$4:$G$692,'апрель 2023'!$D$4:$D$692,$B58,'апрель 2023'!$J$4:$J$692,R$1)</f>
        <v>0</v>
      </c>
      <c r="S58" s="207">
        <f>SUMIFS('апрель 2023'!$G$4:$G$692,'апрель 2023'!$D$4:$D$692,$B58,'апрель 2023'!$J$4:$J$692,S$1)</f>
        <v>0</v>
      </c>
      <c r="T58" s="207">
        <f>SUMIFS('апрель 2023'!$G$4:$G$692,'апрель 2023'!$D$4:$D$692,$B58,'апрель 2023'!$J$4:$J$692,T$1)</f>
        <v>0</v>
      </c>
      <c r="U58" s="207">
        <f>SUMIFS('апрель 2023'!$G$4:$G$692,'апрель 2023'!$D$4:$D$692,$B58,'апрель 2023'!$J$4:$J$692,U$1)</f>
        <v>0</v>
      </c>
      <c r="V58" s="207">
        <f>SUMIFS('апрель 2023'!$G$4:$G$692,'апрель 2023'!$D$4:$D$692,$B58,'апрель 2023'!$J$4:$J$692,V$1)</f>
        <v>0</v>
      </c>
      <c r="W58" s="207">
        <f>SUMIFS('апрель 2023'!$G$4:$G$692,'апрель 2023'!$D$4:$D$692,$B58,'апрель 2023'!$J$4:$J$692,W$1)</f>
        <v>0</v>
      </c>
      <c r="X58" s="207">
        <f>SUMIFS('апрель 2023'!$G$4:$G$692,'апрель 2023'!$D$4:$D$692,$B58,'апрель 2023'!$J$4:$J$692,X$1)</f>
        <v>0</v>
      </c>
      <c r="Y58" s="207">
        <f>SUMIFS('апрель 2023'!$G$4:$G$692,'апрель 2023'!$D$4:$D$692,$B58,'апрель 2023'!$J$4:$J$692,Y$1)</f>
        <v>0</v>
      </c>
      <c r="Z58" s="207">
        <f>SUMIFS('апрель 2023'!$G$4:$G$692,'апрель 2023'!$D$4:$D$692,$B58,'апрель 2023'!$J$4:$J$692,Z$1)</f>
        <v>0</v>
      </c>
      <c r="AA58" s="207">
        <f>SUMIFS('апрель 2023'!$G$4:$G$692,'апрель 2023'!$D$4:$D$692,$B58,'апрель 2023'!$J$4:$J$692,AA$1)</f>
        <v>0</v>
      </c>
      <c r="AB58" s="207">
        <f>SUMIFS('апрель 2023'!$G$4:$G$692,'апрель 2023'!$D$4:$D$692,$B58,'апрель 2023'!$J$4:$J$692,AB$1)</f>
        <v>0</v>
      </c>
      <c r="AC58" s="207">
        <f>SUMIFS('апрель 2023'!$G$4:$G$692,'апрель 2023'!$D$4:$D$692,$B58,'апрель 2023'!$J$4:$J$692,AC$1)</f>
        <v>0</v>
      </c>
      <c r="AD58" s="207">
        <f>SUMIFS('апрель 2023'!$G$4:$G$692,'апрель 2023'!$D$4:$D$692,$B58,'апрель 2023'!$J$4:$J$692,AD$1)</f>
        <v>0</v>
      </c>
      <c r="AE58" s="207">
        <f>SUMIFS('апрель 2023'!$G$4:$G$692,'апрель 2023'!$D$4:$D$692,$B58,'апрель 2023'!$J$4:$J$692,AE$1)</f>
        <v>0</v>
      </c>
      <c r="AF58" s="207">
        <f>SUMIFS('апрель 2023'!$G$4:$G$692,'апрель 2023'!$D$4:$D$692,$B58,'апрель 2023'!$J$4:$J$692,AF$1)</f>
        <v>0</v>
      </c>
      <c r="AG58" s="207">
        <f>SUMIFS('апрель 2023'!$G$4:$G$692,'апрель 2023'!$D$4:$D$692,$B58,'апрель 2023'!$J$4:$J$692,AG$1)</f>
        <v>0</v>
      </c>
      <c r="AH58" s="207">
        <f>SUMIFS('апрель 2023'!$G$4:$G$692,'апрель 2023'!$D$4:$D$692,$B58,'апрель 2023'!$J$4:$J$692,AH$1)</f>
        <v>0</v>
      </c>
      <c r="AI58" s="170">
        <f t="shared" si="1"/>
        <v>0</v>
      </c>
    </row>
    <row r="59" spans="2:35" ht="15.75" x14ac:dyDescent="0.25">
      <c r="B59" s="216" t="s">
        <v>649</v>
      </c>
      <c r="C59" s="213">
        <v>190</v>
      </c>
      <c r="D59" s="207">
        <f>SUMIFS('апрель 2023'!$G$4:$G$692,'апрель 2023'!$D$4:$D$692,$B59,'апрель 2023'!$J$4:$J$692,D$1)</f>
        <v>0</v>
      </c>
      <c r="E59" s="207">
        <f>SUMIFS('апрель 2023'!$G$4:$G$692,'апрель 2023'!$D$4:$D$692,$B59,'апрель 2023'!$J$4:$J$692,E$1)</f>
        <v>0</v>
      </c>
      <c r="F59" s="207">
        <f>SUMIFS('апрель 2023'!$G$4:$G$692,'апрель 2023'!$D$4:$D$692,$B59,'апрель 2023'!$J$4:$J$692,F$1)</f>
        <v>0</v>
      </c>
      <c r="G59" s="207">
        <f>SUMIFS('апрель 2023'!$G$4:$G$692,'апрель 2023'!$D$4:$D$692,$B59,'апрель 2023'!$J$4:$J$692,G$1)</f>
        <v>16</v>
      </c>
      <c r="H59" s="207">
        <f>SUMIFS('апрель 2023'!$G$4:$G$692,'апрель 2023'!$D$4:$D$692,$B59,'апрель 2023'!$J$4:$J$692,H$1)</f>
        <v>0</v>
      </c>
      <c r="I59" s="207">
        <f>SUMIFS('апрель 2023'!$G$4:$G$692,'апрель 2023'!$D$4:$D$692,$B59,'апрель 2023'!$J$4:$J$692,I$1)</f>
        <v>0</v>
      </c>
      <c r="J59" s="207">
        <f>SUMIFS('апрель 2023'!$G$4:$G$692,'апрель 2023'!$D$4:$D$692,$B59,'апрель 2023'!$J$4:$J$692,J$1)</f>
        <v>0</v>
      </c>
      <c r="K59" s="207">
        <f>SUMIFS('апрель 2023'!$G$4:$G$692,'апрель 2023'!$D$4:$D$692,$B59,'апрель 2023'!$J$4:$J$692,K$1)</f>
        <v>0</v>
      </c>
      <c r="L59" s="207">
        <f>SUMIFS('апрель 2023'!$G$4:$G$692,'апрель 2023'!$D$4:$D$692,$B59,'апрель 2023'!$J$4:$J$692,L$1)</f>
        <v>0</v>
      </c>
      <c r="M59" s="207">
        <f>SUMIFS('апрель 2023'!$G$4:$G$692,'апрель 2023'!$D$4:$D$692,$B59,'апрель 2023'!$J$4:$J$692,M$1)</f>
        <v>0</v>
      </c>
      <c r="N59" s="207">
        <f>SUMIFS('апрель 2023'!$G$4:$G$692,'апрель 2023'!$D$4:$D$692,$B59,'апрель 2023'!$J$4:$J$692,N$1)</f>
        <v>0</v>
      </c>
      <c r="O59" s="207">
        <f>SUMIFS('апрель 2023'!$G$4:$G$692,'апрель 2023'!$D$4:$D$692,$B59,'апрель 2023'!$J$4:$J$692,O$1)</f>
        <v>0</v>
      </c>
      <c r="P59" s="207">
        <f>SUMIFS('апрель 2023'!$G$4:$G$692,'апрель 2023'!$D$4:$D$692,$B59,'апрель 2023'!$J$4:$J$692,P$1)</f>
        <v>0</v>
      </c>
      <c r="Q59" s="207">
        <f>SUMIFS('апрель 2023'!$G$4:$G$692,'апрель 2023'!$D$4:$D$692,$B59,'апрель 2023'!$J$4:$J$692,Q$1)</f>
        <v>0</v>
      </c>
      <c r="R59" s="207">
        <f>SUMIFS('апрель 2023'!$G$4:$G$692,'апрель 2023'!$D$4:$D$692,$B59,'апрель 2023'!$J$4:$J$692,R$1)</f>
        <v>0</v>
      </c>
      <c r="S59" s="207">
        <f>SUMIFS('апрель 2023'!$G$4:$G$692,'апрель 2023'!$D$4:$D$692,$B59,'апрель 2023'!$J$4:$J$692,S$1)</f>
        <v>0</v>
      </c>
      <c r="T59" s="207">
        <f>SUMIFS('апрель 2023'!$G$4:$G$692,'апрель 2023'!$D$4:$D$692,$B59,'апрель 2023'!$J$4:$J$692,T$1)</f>
        <v>0</v>
      </c>
      <c r="U59" s="207">
        <f>SUMIFS('апрель 2023'!$G$4:$G$692,'апрель 2023'!$D$4:$D$692,$B59,'апрель 2023'!$J$4:$J$692,U$1)</f>
        <v>0</v>
      </c>
      <c r="V59" s="207">
        <f>SUMIFS('апрель 2023'!$G$4:$G$692,'апрель 2023'!$D$4:$D$692,$B59,'апрель 2023'!$J$4:$J$692,V$1)</f>
        <v>0</v>
      </c>
      <c r="W59" s="207">
        <f>SUMIFS('апрель 2023'!$G$4:$G$692,'апрель 2023'!$D$4:$D$692,$B59,'апрель 2023'!$J$4:$J$692,W$1)</f>
        <v>0</v>
      </c>
      <c r="X59" s="207">
        <f>SUMIFS('апрель 2023'!$G$4:$G$692,'апрель 2023'!$D$4:$D$692,$B59,'апрель 2023'!$J$4:$J$692,X$1)</f>
        <v>0</v>
      </c>
      <c r="Y59" s="207">
        <f>SUMIFS('апрель 2023'!$G$4:$G$692,'апрель 2023'!$D$4:$D$692,$B59,'апрель 2023'!$J$4:$J$692,Y$1)</f>
        <v>0</v>
      </c>
      <c r="Z59" s="207">
        <f>SUMIFS('апрель 2023'!$G$4:$G$692,'апрель 2023'!$D$4:$D$692,$B59,'апрель 2023'!$J$4:$J$692,Z$1)</f>
        <v>0</v>
      </c>
      <c r="AA59" s="207">
        <f>SUMIFS('апрель 2023'!$G$4:$G$692,'апрель 2023'!$D$4:$D$692,$B59,'апрель 2023'!$J$4:$J$692,AA$1)</f>
        <v>88</v>
      </c>
      <c r="AB59" s="207">
        <f>SUMIFS('апрель 2023'!$G$4:$G$692,'апрель 2023'!$D$4:$D$692,$B59,'апрель 2023'!$J$4:$J$692,AB$1)</f>
        <v>0</v>
      </c>
      <c r="AC59" s="207">
        <f>SUMIFS('апрель 2023'!$G$4:$G$692,'апрель 2023'!$D$4:$D$692,$B59,'апрель 2023'!$J$4:$J$692,AC$1)</f>
        <v>0</v>
      </c>
      <c r="AD59" s="207">
        <f>SUMIFS('апрель 2023'!$G$4:$G$692,'апрель 2023'!$D$4:$D$692,$B59,'апрель 2023'!$J$4:$J$692,AD$1)</f>
        <v>0</v>
      </c>
      <c r="AE59" s="207">
        <f>SUMIFS('апрель 2023'!$G$4:$G$692,'апрель 2023'!$D$4:$D$692,$B59,'апрель 2023'!$J$4:$J$692,AE$1)</f>
        <v>0</v>
      </c>
      <c r="AF59" s="207">
        <f>SUMIFS('апрель 2023'!$G$4:$G$692,'апрель 2023'!$D$4:$D$692,$B59,'апрель 2023'!$J$4:$J$692,AF$1)</f>
        <v>0</v>
      </c>
      <c r="AG59" s="207">
        <f>SUMIFS('апрель 2023'!$G$4:$G$692,'апрель 2023'!$D$4:$D$692,$B59,'апрель 2023'!$J$4:$J$692,AG$1)</f>
        <v>0</v>
      </c>
      <c r="AH59" s="207">
        <f>SUMIFS('апрель 2023'!$G$4:$G$692,'апрель 2023'!$D$4:$D$692,$B59,'апрель 2023'!$J$4:$J$692,AH$1)</f>
        <v>0</v>
      </c>
      <c r="AI59" s="170">
        <f t="shared" si="1"/>
        <v>104</v>
      </c>
    </row>
    <row r="60" spans="2:35" ht="15" customHeight="1" x14ac:dyDescent="0.25">
      <c r="B60" s="216" t="s">
        <v>1449</v>
      </c>
      <c r="C60" s="213">
        <v>190</v>
      </c>
      <c r="D60" s="207">
        <f>SUMIFS('апрель 2023'!$G$4:$G$692,'апрель 2023'!$D$4:$D$692,$B60,'апрель 2023'!$J$4:$J$692,D$1)</f>
        <v>0</v>
      </c>
      <c r="E60" s="207">
        <f>SUMIFS('апрель 2023'!$G$4:$G$692,'апрель 2023'!$D$4:$D$692,$B60,'апрель 2023'!$J$4:$J$692,E$1)</f>
        <v>0</v>
      </c>
      <c r="F60" s="207">
        <f>SUMIFS('апрель 2023'!$G$4:$G$692,'апрель 2023'!$D$4:$D$692,$B60,'апрель 2023'!$J$4:$J$692,F$1)</f>
        <v>0</v>
      </c>
      <c r="G60" s="207">
        <f>SUMIFS('апрель 2023'!$G$4:$G$692,'апрель 2023'!$D$4:$D$692,$B60,'апрель 2023'!$J$4:$J$692,G$1)</f>
        <v>8</v>
      </c>
      <c r="H60" s="207">
        <f>SUMIFS('апрель 2023'!$G$4:$G$692,'апрель 2023'!$D$4:$D$692,$B60,'апрель 2023'!$J$4:$J$692,H$1)</f>
        <v>0</v>
      </c>
      <c r="I60" s="207">
        <f>SUMIFS('апрель 2023'!$G$4:$G$692,'апрель 2023'!$D$4:$D$692,$B60,'апрель 2023'!$J$4:$J$692,I$1)</f>
        <v>0</v>
      </c>
      <c r="J60" s="207">
        <f>SUMIFS('апрель 2023'!$G$4:$G$692,'апрель 2023'!$D$4:$D$692,$B60,'апрель 2023'!$J$4:$J$692,J$1)</f>
        <v>0</v>
      </c>
      <c r="K60" s="207">
        <f>SUMIFS('апрель 2023'!$G$4:$G$692,'апрель 2023'!$D$4:$D$692,$B60,'апрель 2023'!$J$4:$J$692,K$1)</f>
        <v>0</v>
      </c>
      <c r="L60" s="207">
        <f>SUMIFS('апрель 2023'!$G$4:$G$692,'апрель 2023'!$D$4:$D$692,$B60,'апрель 2023'!$J$4:$J$692,L$1)</f>
        <v>0</v>
      </c>
      <c r="M60" s="207">
        <f>SUMIFS('апрель 2023'!$G$4:$G$692,'апрель 2023'!$D$4:$D$692,$B60,'апрель 2023'!$J$4:$J$692,M$1)</f>
        <v>0</v>
      </c>
      <c r="N60" s="207">
        <f>SUMIFS('апрель 2023'!$G$4:$G$692,'апрель 2023'!$D$4:$D$692,$B60,'апрель 2023'!$J$4:$J$692,N$1)</f>
        <v>0</v>
      </c>
      <c r="O60" s="207">
        <f>SUMIFS('апрель 2023'!$G$4:$G$692,'апрель 2023'!$D$4:$D$692,$B60,'апрель 2023'!$J$4:$J$692,O$1)</f>
        <v>0</v>
      </c>
      <c r="P60" s="207">
        <f>SUMIFS('апрель 2023'!$G$4:$G$692,'апрель 2023'!$D$4:$D$692,$B60,'апрель 2023'!$J$4:$J$692,P$1)</f>
        <v>0</v>
      </c>
      <c r="Q60" s="207">
        <f>SUMIFS('апрель 2023'!$G$4:$G$692,'апрель 2023'!$D$4:$D$692,$B60,'апрель 2023'!$J$4:$J$692,Q$1)</f>
        <v>0</v>
      </c>
      <c r="R60" s="207">
        <f>SUMIFS('апрель 2023'!$G$4:$G$692,'апрель 2023'!$D$4:$D$692,$B60,'апрель 2023'!$J$4:$J$692,R$1)</f>
        <v>0</v>
      </c>
      <c r="S60" s="207">
        <f>SUMIFS('апрель 2023'!$G$4:$G$692,'апрель 2023'!$D$4:$D$692,$B60,'апрель 2023'!$J$4:$J$692,S$1)</f>
        <v>0</v>
      </c>
      <c r="T60" s="207">
        <f>SUMIFS('апрель 2023'!$G$4:$G$692,'апрель 2023'!$D$4:$D$692,$B60,'апрель 2023'!$J$4:$J$692,T$1)</f>
        <v>0</v>
      </c>
      <c r="U60" s="207">
        <f>SUMIFS('апрель 2023'!$G$4:$G$692,'апрель 2023'!$D$4:$D$692,$B60,'апрель 2023'!$J$4:$J$692,U$1)</f>
        <v>0</v>
      </c>
      <c r="V60" s="207">
        <f>SUMIFS('апрель 2023'!$G$4:$G$692,'апрель 2023'!$D$4:$D$692,$B60,'апрель 2023'!$J$4:$J$692,V$1)</f>
        <v>0</v>
      </c>
      <c r="W60" s="207">
        <f>SUMIFS('апрель 2023'!$G$4:$G$692,'апрель 2023'!$D$4:$D$692,$B60,'апрель 2023'!$J$4:$J$692,W$1)</f>
        <v>0</v>
      </c>
      <c r="X60" s="207">
        <f>SUMIFS('апрель 2023'!$G$4:$G$692,'апрель 2023'!$D$4:$D$692,$B60,'апрель 2023'!$J$4:$J$692,X$1)</f>
        <v>0</v>
      </c>
      <c r="Y60" s="207">
        <f>SUMIFS('апрель 2023'!$G$4:$G$692,'апрель 2023'!$D$4:$D$692,$B60,'апрель 2023'!$J$4:$J$692,Y$1)</f>
        <v>0</v>
      </c>
      <c r="Z60" s="207">
        <f>SUMIFS('апрель 2023'!$G$4:$G$692,'апрель 2023'!$D$4:$D$692,$B60,'апрель 2023'!$J$4:$J$692,Z$1)</f>
        <v>0</v>
      </c>
      <c r="AA60" s="207">
        <f>SUMIFS('апрель 2023'!$G$4:$G$692,'апрель 2023'!$D$4:$D$692,$B60,'апрель 2023'!$J$4:$J$692,AA$1)</f>
        <v>0</v>
      </c>
      <c r="AB60" s="207">
        <f>SUMIFS('апрель 2023'!$G$4:$G$692,'апрель 2023'!$D$4:$D$692,$B60,'апрель 2023'!$J$4:$J$692,AB$1)</f>
        <v>0</v>
      </c>
      <c r="AC60" s="207">
        <f>SUMIFS('апрель 2023'!$G$4:$G$692,'апрель 2023'!$D$4:$D$692,$B60,'апрель 2023'!$J$4:$J$692,AC$1)</f>
        <v>0</v>
      </c>
      <c r="AD60" s="207">
        <f>SUMIFS('апрель 2023'!$G$4:$G$692,'апрель 2023'!$D$4:$D$692,$B60,'апрель 2023'!$J$4:$J$692,AD$1)</f>
        <v>0</v>
      </c>
      <c r="AE60" s="207">
        <f>SUMIFS('апрель 2023'!$G$4:$G$692,'апрель 2023'!$D$4:$D$692,$B60,'апрель 2023'!$J$4:$J$692,AE$1)</f>
        <v>0</v>
      </c>
      <c r="AF60" s="207">
        <f>SUMIFS('апрель 2023'!$G$4:$G$692,'апрель 2023'!$D$4:$D$692,$B60,'апрель 2023'!$J$4:$J$692,AF$1)</f>
        <v>0</v>
      </c>
      <c r="AG60" s="207">
        <f>SUMIFS('апрель 2023'!$G$4:$G$692,'апрель 2023'!$D$4:$D$692,$B60,'апрель 2023'!$J$4:$J$692,AG$1)</f>
        <v>0</v>
      </c>
      <c r="AH60" s="207">
        <f>SUMIFS('апрель 2023'!$G$4:$G$692,'апрель 2023'!$D$4:$D$692,$B60,'апрель 2023'!$J$4:$J$692,AH$1)</f>
        <v>0</v>
      </c>
      <c r="AI60" s="170">
        <f t="shared" si="1"/>
        <v>8</v>
      </c>
    </row>
    <row r="61" spans="2:35" ht="15" customHeight="1" x14ac:dyDescent="0.25">
      <c r="B61" s="216" t="s">
        <v>702</v>
      </c>
      <c r="C61" s="213">
        <v>900</v>
      </c>
      <c r="D61" s="207">
        <f>SUMIFS('апрель 2023'!$G$4:$G$692,'апрель 2023'!$D$4:$D$692,$B61,'апрель 2023'!$J$4:$J$692,D$1)</f>
        <v>0</v>
      </c>
      <c r="E61" s="207">
        <f>SUMIFS('апрель 2023'!$G$4:$G$692,'апрель 2023'!$D$4:$D$692,$B61,'апрель 2023'!$J$4:$J$692,E$1)</f>
        <v>0</v>
      </c>
      <c r="F61" s="207">
        <f>SUMIFS('апрель 2023'!$G$4:$G$692,'апрель 2023'!$D$4:$D$692,$B61,'апрель 2023'!$J$4:$J$692,F$1)</f>
        <v>0</v>
      </c>
      <c r="G61" s="207">
        <f>SUMIFS('апрель 2023'!$G$4:$G$692,'апрель 2023'!$D$4:$D$692,$B61,'апрель 2023'!$J$4:$J$692,G$1)</f>
        <v>0</v>
      </c>
      <c r="H61" s="207">
        <f>SUMIFS('апрель 2023'!$G$4:$G$692,'апрель 2023'!$D$4:$D$692,$B61,'апрель 2023'!$J$4:$J$692,H$1)</f>
        <v>0</v>
      </c>
      <c r="I61" s="207">
        <f>SUMIFS('апрель 2023'!$G$4:$G$692,'апрель 2023'!$D$4:$D$692,$B61,'апрель 2023'!$J$4:$J$692,I$1)</f>
        <v>0</v>
      </c>
      <c r="J61" s="207">
        <f>SUMIFS('апрель 2023'!$G$4:$G$692,'апрель 2023'!$D$4:$D$692,$B61,'апрель 2023'!$J$4:$J$692,J$1)</f>
        <v>0</v>
      </c>
      <c r="K61" s="207">
        <f>SUMIFS('апрель 2023'!$G$4:$G$692,'апрель 2023'!$D$4:$D$692,$B61,'апрель 2023'!$J$4:$J$692,K$1)</f>
        <v>0</v>
      </c>
      <c r="L61" s="207">
        <f>SUMIFS('апрель 2023'!$G$4:$G$692,'апрель 2023'!$D$4:$D$692,$B61,'апрель 2023'!$J$4:$J$692,L$1)</f>
        <v>0</v>
      </c>
      <c r="M61" s="207">
        <f>SUMIFS('апрель 2023'!$G$4:$G$692,'апрель 2023'!$D$4:$D$692,$B61,'апрель 2023'!$J$4:$J$692,M$1)</f>
        <v>0</v>
      </c>
      <c r="N61" s="207">
        <f>SUMIFS('апрель 2023'!$G$4:$G$692,'апрель 2023'!$D$4:$D$692,$B61,'апрель 2023'!$J$4:$J$692,N$1)</f>
        <v>0</v>
      </c>
      <c r="O61" s="207">
        <f>SUMIFS('апрель 2023'!$G$4:$G$692,'апрель 2023'!$D$4:$D$692,$B61,'апрель 2023'!$J$4:$J$692,O$1)</f>
        <v>0</v>
      </c>
      <c r="P61" s="207">
        <f>SUMIFS('апрель 2023'!$G$4:$G$692,'апрель 2023'!$D$4:$D$692,$B61,'апрель 2023'!$J$4:$J$692,P$1)</f>
        <v>0</v>
      </c>
      <c r="Q61" s="207">
        <f>SUMIFS('апрель 2023'!$G$4:$G$692,'апрель 2023'!$D$4:$D$692,$B61,'апрель 2023'!$J$4:$J$692,Q$1)</f>
        <v>0</v>
      </c>
      <c r="R61" s="207">
        <f>SUMIFS('апрель 2023'!$G$4:$G$692,'апрель 2023'!$D$4:$D$692,$B61,'апрель 2023'!$J$4:$J$692,R$1)</f>
        <v>0</v>
      </c>
      <c r="S61" s="207">
        <f>SUMIFS('апрель 2023'!$G$4:$G$692,'апрель 2023'!$D$4:$D$692,$B61,'апрель 2023'!$J$4:$J$692,S$1)</f>
        <v>0</v>
      </c>
      <c r="T61" s="207">
        <f>SUMIFS('апрель 2023'!$G$4:$G$692,'апрель 2023'!$D$4:$D$692,$B61,'апрель 2023'!$J$4:$J$692,T$1)</f>
        <v>0</v>
      </c>
      <c r="U61" s="207">
        <f>SUMIFS('апрель 2023'!$G$4:$G$692,'апрель 2023'!$D$4:$D$692,$B61,'апрель 2023'!$J$4:$J$692,U$1)</f>
        <v>0</v>
      </c>
      <c r="V61" s="207">
        <f>SUMIFS('апрель 2023'!$G$4:$G$692,'апрель 2023'!$D$4:$D$692,$B61,'апрель 2023'!$J$4:$J$692,V$1)</f>
        <v>0</v>
      </c>
      <c r="W61" s="207">
        <f>SUMIFS('апрель 2023'!$G$4:$G$692,'апрель 2023'!$D$4:$D$692,$B61,'апрель 2023'!$J$4:$J$692,W$1)</f>
        <v>0</v>
      </c>
      <c r="X61" s="207">
        <f>SUMIFS('апрель 2023'!$G$4:$G$692,'апрель 2023'!$D$4:$D$692,$B61,'апрель 2023'!$J$4:$J$692,X$1)</f>
        <v>0</v>
      </c>
      <c r="Y61" s="207">
        <f>SUMIFS('апрель 2023'!$G$4:$G$692,'апрель 2023'!$D$4:$D$692,$B61,'апрель 2023'!$J$4:$J$692,Y$1)</f>
        <v>0</v>
      </c>
      <c r="Z61" s="207">
        <f>SUMIFS('апрель 2023'!$G$4:$G$692,'апрель 2023'!$D$4:$D$692,$B61,'апрель 2023'!$J$4:$J$692,Z$1)</f>
        <v>0</v>
      </c>
      <c r="AA61" s="207">
        <f>SUMIFS('апрель 2023'!$G$4:$G$692,'апрель 2023'!$D$4:$D$692,$B61,'апрель 2023'!$J$4:$J$692,AA$1)</f>
        <v>0</v>
      </c>
      <c r="AB61" s="207">
        <f>SUMIFS('апрель 2023'!$G$4:$G$692,'апрель 2023'!$D$4:$D$692,$B61,'апрель 2023'!$J$4:$J$692,AB$1)</f>
        <v>0</v>
      </c>
      <c r="AC61" s="207">
        <f>SUMIFS('апрель 2023'!$G$4:$G$692,'апрель 2023'!$D$4:$D$692,$B61,'апрель 2023'!$J$4:$J$692,AC$1)</f>
        <v>0</v>
      </c>
      <c r="AD61" s="207">
        <f>SUMIFS('апрель 2023'!$G$4:$G$692,'апрель 2023'!$D$4:$D$692,$B61,'апрель 2023'!$J$4:$J$692,AD$1)</f>
        <v>0</v>
      </c>
      <c r="AE61" s="207">
        <f>SUMIFS('апрель 2023'!$G$4:$G$692,'апрель 2023'!$D$4:$D$692,$B61,'апрель 2023'!$J$4:$J$692,AE$1)</f>
        <v>0</v>
      </c>
      <c r="AF61" s="207">
        <f>SUMIFS('апрель 2023'!$G$4:$G$692,'апрель 2023'!$D$4:$D$692,$B61,'апрель 2023'!$J$4:$J$692,AF$1)</f>
        <v>0</v>
      </c>
      <c r="AG61" s="207">
        <f>SUMIFS('апрель 2023'!$G$4:$G$692,'апрель 2023'!$D$4:$D$692,$B61,'апрель 2023'!$J$4:$J$692,AG$1)</f>
        <v>0</v>
      </c>
      <c r="AH61" s="207">
        <f>SUMIFS('апрель 2023'!$G$4:$G$692,'апрель 2023'!$D$4:$D$692,$B61,'апрель 2023'!$J$4:$J$692,AH$1)</f>
        <v>0</v>
      </c>
      <c r="AI61" s="170">
        <f t="shared" si="1"/>
        <v>0</v>
      </c>
    </row>
    <row r="62" spans="2:35" ht="15" customHeight="1" x14ac:dyDescent="0.25">
      <c r="B62" s="216" t="s">
        <v>282</v>
      </c>
      <c r="C62" s="213">
        <v>190</v>
      </c>
      <c r="D62" s="207">
        <f>SUMIFS('апрель 2023'!$G$4:$G$692,'апрель 2023'!$D$4:$D$692,$B62,'апрель 2023'!$J$4:$J$692,D$1)</f>
        <v>0</v>
      </c>
      <c r="E62" s="207">
        <f>SUMIFS('апрель 2023'!$G$4:$G$692,'апрель 2023'!$D$4:$D$692,$B62,'апрель 2023'!$J$4:$J$692,E$1)</f>
        <v>0</v>
      </c>
      <c r="F62" s="207">
        <f>SUMIFS('апрель 2023'!$G$4:$G$692,'апрель 2023'!$D$4:$D$692,$B62,'апрель 2023'!$J$4:$J$692,F$1)</f>
        <v>0</v>
      </c>
      <c r="G62" s="207">
        <f>SUMIFS('апрель 2023'!$G$4:$G$692,'апрель 2023'!$D$4:$D$692,$B62,'апрель 2023'!$J$4:$J$692,G$1)</f>
        <v>0</v>
      </c>
      <c r="H62" s="207">
        <f>SUMIFS('апрель 2023'!$G$4:$G$692,'апрель 2023'!$D$4:$D$692,$B62,'апрель 2023'!$J$4:$J$692,H$1)</f>
        <v>160</v>
      </c>
      <c r="I62" s="207">
        <f>SUMIFS('апрель 2023'!$G$4:$G$692,'апрель 2023'!$D$4:$D$692,$B62,'апрель 2023'!$J$4:$J$692,I$1)</f>
        <v>32</v>
      </c>
      <c r="J62" s="207">
        <f>SUMIFS('апрель 2023'!$G$4:$G$692,'апрель 2023'!$D$4:$D$692,$B62,'апрель 2023'!$J$4:$J$692,J$1)</f>
        <v>0</v>
      </c>
      <c r="K62" s="207">
        <f>SUMIFS('апрель 2023'!$G$4:$G$692,'апрель 2023'!$D$4:$D$692,$B62,'апрель 2023'!$J$4:$J$692,K$1)</f>
        <v>0</v>
      </c>
      <c r="L62" s="207">
        <f>SUMIFS('апрель 2023'!$G$4:$G$692,'апрель 2023'!$D$4:$D$692,$B62,'апрель 2023'!$J$4:$J$692,L$1)</f>
        <v>0</v>
      </c>
      <c r="M62" s="207">
        <f>SUMIFS('апрель 2023'!$G$4:$G$692,'апрель 2023'!$D$4:$D$692,$B62,'апрель 2023'!$J$4:$J$692,M$1)</f>
        <v>0</v>
      </c>
      <c r="N62" s="207">
        <f>SUMIFS('апрель 2023'!$G$4:$G$692,'апрель 2023'!$D$4:$D$692,$B62,'апрель 2023'!$J$4:$J$692,N$1)</f>
        <v>0</v>
      </c>
      <c r="O62" s="207">
        <f>SUMIFS('апрель 2023'!$G$4:$G$692,'апрель 2023'!$D$4:$D$692,$B62,'апрель 2023'!$J$4:$J$692,O$1)</f>
        <v>0</v>
      </c>
      <c r="P62" s="207">
        <f>SUMIFS('апрель 2023'!$G$4:$G$692,'апрель 2023'!$D$4:$D$692,$B62,'апрель 2023'!$J$4:$J$692,P$1)</f>
        <v>0</v>
      </c>
      <c r="Q62" s="207">
        <f>SUMIFS('апрель 2023'!$G$4:$G$692,'апрель 2023'!$D$4:$D$692,$B62,'апрель 2023'!$J$4:$J$692,Q$1)</f>
        <v>0</v>
      </c>
      <c r="R62" s="207">
        <f>SUMIFS('апрель 2023'!$G$4:$G$692,'апрель 2023'!$D$4:$D$692,$B62,'апрель 2023'!$J$4:$J$692,R$1)</f>
        <v>0</v>
      </c>
      <c r="S62" s="207">
        <f>SUMIFS('апрель 2023'!$G$4:$G$692,'апрель 2023'!$D$4:$D$692,$B62,'апрель 2023'!$J$4:$J$692,S$1)</f>
        <v>0</v>
      </c>
      <c r="T62" s="207">
        <f>SUMIFS('апрель 2023'!$G$4:$G$692,'апрель 2023'!$D$4:$D$692,$B62,'апрель 2023'!$J$4:$J$692,T$1)</f>
        <v>0</v>
      </c>
      <c r="U62" s="207">
        <f>SUMIFS('апрель 2023'!$G$4:$G$692,'апрель 2023'!$D$4:$D$692,$B62,'апрель 2023'!$J$4:$J$692,U$1)</f>
        <v>0</v>
      </c>
      <c r="V62" s="207">
        <f>SUMIFS('апрель 2023'!$G$4:$G$692,'апрель 2023'!$D$4:$D$692,$B62,'апрель 2023'!$J$4:$J$692,V$1)</f>
        <v>0</v>
      </c>
      <c r="W62" s="207">
        <f>SUMIFS('апрель 2023'!$G$4:$G$692,'апрель 2023'!$D$4:$D$692,$B62,'апрель 2023'!$J$4:$J$692,W$1)</f>
        <v>0</v>
      </c>
      <c r="X62" s="207">
        <f>SUMIFS('апрель 2023'!$G$4:$G$692,'апрель 2023'!$D$4:$D$692,$B62,'апрель 2023'!$J$4:$J$692,X$1)</f>
        <v>0</v>
      </c>
      <c r="Y62" s="207">
        <f>SUMIFS('апрель 2023'!$G$4:$G$692,'апрель 2023'!$D$4:$D$692,$B62,'апрель 2023'!$J$4:$J$692,Y$1)</f>
        <v>0</v>
      </c>
      <c r="Z62" s="207">
        <f>SUMIFS('апрель 2023'!$G$4:$G$692,'апрель 2023'!$D$4:$D$692,$B62,'апрель 2023'!$J$4:$J$692,Z$1)</f>
        <v>0</v>
      </c>
      <c r="AA62" s="207">
        <f>SUMIFS('апрель 2023'!$G$4:$G$692,'апрель 2023'!$D$4:$D$692,$B62,'апрель 2023'!$J$4:$J$692,AA$1)</f>
        <v>0</v>
      </c>
      <c r="AB62" s="207">
        <f>SUMIFS('апрель 2023'!$G$4:$G$692,'апрель 2023'!$D$4:$D$692,$B62,'апрель 2023'!$J$4:$J$692,AB$1)</f>
        <v>44</v>
      </c>
      <c r="AC62" s="207">
        <f>SUMIFS('апрель 2023'!$G$4:$G$692,'апрель 2023'!$D$4:$D$692,$B62,'апрель 2023'!$J$4:$J$692,AC$1)</f>
        <v>0</v>
      </c>
      <c r="AD62" s="207">
        <f>SUMIFS('апрель 2023'!$G$4:$G$692,'апрель 2023'!$D$4:$D$692,$B62,'апрель 2023'!$J$4:$J$692,AD$1)</f>
        <v>0</v>
      </c>
      <c r="AE62" s="207">
        <f>SUMIFS('апрель 2023'!$G$4:$G$692,'апрель 2023'!$D$4:$D$692,$B62,'апрель 2023'!$J$4:$J$692,AE$1)</f>
        <v>80</v>
      </c>
      <c r="AF62" s="207">
        <f>SUMIFS('апрель 2023'!$G$4:$G$692,'апрель 2023'!$D$4:$D$692,$B62,'апрель 2023'!$J$4:$J$692,AF$1)</f>
        <v>0</v>
      </c>
      <c r="AG62" s="207">
        <f>SUMIFS('апрель 2023'!$G$4:$G$692,'апрель 2023'!$D$4:$D$692,$B62,'апрель 2023'!$J$4:$J$692,AG$1)</f>
        <v>0</v>
      </c>
      <c r="AH62" s="207">
        <f>SUMIFS('апрель 2023'!$G$4:$G$692,'апрель 2023'!$D$4:$D$692,$B62,'апрель 2023'!$J$4:$J$692,AH$1)</f>
        <v>0</v>
      </c>
      <c r="AI62" s="170">
        <f t="shared" si="1"/>
        <v>316</v>
      </c>
    </row>
    <row r="63" spans="2:35" ht="15" customHeight="1" x14ac:dyDescent="0.25">
      <c r="B63" s="216" t="s">
        <v>1498</v>
      </c>
      <c r="C63" s="213">
        <v>190</v>
      </c>
      <c r="D63" s="207">
        <f>SUMIFS('апрель 2023'!$G$4:$G$692,'апрель 2023'!$D$4:$D$692,$B63,'апрель 2023'!$J$4:$J$692,D$1)</f>
        <v>0</v>
      </c>
      <c r="E63" s="207">
        <f>SUMIFS('апрель 2023'!$G$4:$G$692,'апрель 2023'!$D$4:$D$692,$B63,'апрель 2023'!$J$4:$J$692,E$1)</f>
        <v>0</v>
      </c>
      <c r="F63" s="207">
        <f>SUMIFS('апрель 2023'!$G$4:$G$692,'апрель 2023'!$D$4:$D$692,$B63,'апрель 2023'!$J$4:$J$692,F$1)</f>
        <v>0</v>
      </c>
      <c r="G63" s="207">
        <f>SUMIFS('апрель 2023'!$G$4:$G$692,'апрель 2023'!$D$4:$D$692,$B63,'апрель 2023'!$J$4:$J$692,G$1)</f>
        <v>0</v>
      </c>
      <c r="H63" s="207">
        <f>SUMIFS('апрель 2023'!$G$4:$G$692,'апрель 2023'!$D$4:$D$692,$B63,'апрель 2023'!$J$4:$J$692,H$1)</f>
        <v>0</v>
      </c>
      <c r="I63" s="207">
        <f>SUMIFS('апрель 2023'!$G$4:$G$692,'апрель 2023'!$D$4:$D$692,$B63,'апрель 2023'!$J$4:$J$692,I$1)</f>
        <v>0</v>
      </c>
      <c r="J63" s="207">
        <f>SUMIFS('апрель 2023'!$G$4:$G$692,'апрель 2023'!$D$4:$D$692,$B63,'апрель 2023'!$J$4:$J$692,J$1)</f>
        <v>0</v>
      </c>
      <c r="K63" s="207">
        <f>SUMIFS('апрель 2023'!$G$4:$G$692,'апрель 2023'!$D$4:$D$692,$B63,'апрель 2023'!$J$4:$J$692,K$1)</f>
        <v>0</v>
      </c>
      <c r="L63" s="207">
        <f>SUMIFS('апрель 2023'!$G$4:$G$692,'апрель 2023'!$D$4:$D$692,$B63,'апрель 2023'!$J$4:$J$692,L$1)</f>
        <v>0</v>
      </c>
      <c r="M63" s="207">
        <f>SUMIFS('апрель 2023'!$G$4:$G$692,'апрель 2023'!$D$4:$D$692,$B63,'апрель 2023'!$J$4:$J$692,M$1)</f>
        <v>0</v>
      </c>
      <c r="N63" s="207">
        <f>SUMIFS('апрель 2023'!$G$4:$G$692,'апрель 2023'!$D$4:$D$692,$B63,'апрель 2023'!$J$4:$J$692,N$1)</f>
        <v>88</v>
      </c>
      <c r="O63" s="207">
        <f>SUMIFS('апрель 2023'!$G$4:$G$692,'апрель 2023'!$D$4:$D$692,$B63,'апрель 2023'!$J$4:$J$692,O$1)</f>
        <v>0</v>
      </c>
      <c r="P63" s="207">
        <f>SUMIFS('апрель 2023'!$G$4:$G$692,'апрель 2023'!$D$4:$D$692,$B63,'апрель 2023'!$J$4:$J$692,P$1)</f>
        <v>0</v>
      </c>
      <c r="Q63" s="207">
        <f>SUMIFS('апрель 2023'!$G$4:$G$692,'апрель 2023'!$D$4:$D$692,$B63,'апрель 2023'!$J$4:$J$692,Q$1)</f>
        <v>0</v>
      </c>
      <c r="R63" s="207">
        <f>SUMIFS('апрель 2023'!$G$4:$G$692,'апрель 2023'!$D$4:$D$692,$B63,'апрель 2023'!$J$4:$J$692,R$1)</f>
        <v>0</v>
      </c>
      <c r="S63" s="207">
        <f>SUMIFS('апрель 2023'!$G$4:$G$692,'апрель 2023'!$D$4:$D$692,$B63,'апрель 2023'!$J$4:$J$692,S$1)</f>
        <v>0</v>
      </c>
      <c r="T63" s="207">
        <f>SUMIFS('апрель 2023'!$G$4:$G$692,'апрель 2023'!$D$4:$D$692,$B63,'апрель 2023'!$J$4:$J$692,T$1)</f>
        <v>0</v>
      </c>
      <c r="U63" s="207">
        <f>SUMIFS('апрель 2023'!$G$4:$G$692,'апрель 2023'!$D$4:$D$692,$B63,'апрель 2023'!$J$4:$J$692,U$1)</f>
        <v>88</v>
      </c>
      <c r="V63" s="207">
        <f>SUMIFS('апрель 2023'!$G$4:$G$692,'апрель 2023'!$D$4:$D$692,$B63,'апрель 2023'!$J$4:$J$692,V$1)</f>
        <v>0</v>
      </c>
      <c r="W63" s="207">
        <f>SUMIFS('апрель 2023'!$G$4:$G$692,'апрель 2023'!$D$4:$D$692,$B63,'апрель 2023'!$J$4:$J$692,W$1)</f>
        <v>0</v>
      </c>
      <c r="X63" s="207">
        <f>SUMIFS('апрель 2023'!$G$4:$G$692,'апрель 2023'!$D$4:$D$692,$B63,'апрель 2023'!$J$4:$J$692,X$1)</f>
        <v>0</v>
      </c>
      <c r="Y63" s="207">
        <f>SUMIFS('апрель 2023'!$G$4:$G$692,'апрель 2023'!$D$4:$D$692,$B63,'апрель 2023'!$J$4:$J$692,Y$1)</f>
        <v>0</v>
      </c>
      <c r="Z63" s="207">
        <f>SUMIFS('апрель 2023'!$G$4:$G$692,'апрель 2023'!$D$4:$D$692,$B63,'апрель 2023'!$J$4:$J$692,Z$1)</f>
        <v>0</v>
      </c>
      <c r="AA63" s="207">
        <f>SUMIFS('апрель 2023'!$G$4:$G$692,'апрель 2023'!$D$4:$D$692,$B63,'апрель 2023'!$J$4:$J$692,AA$1)</f>
        <v>0</v>
      </c>
      <c r="AB63" s="207">
        <f>SUMIFS('апрель 2023'!$G$4:$G$692,'апрель 2023'!$D$4:$D$692,$B63,'апрель 2023'!$J$4:$J$692,AB$1)</f>
        <v>0</v>
      </c>
      <c r="AC63" s="207">
        <f>SUMIFS('апрель 2023'!$G$4:$G$692,'апрель 2023'!$D$4:$D$692,$B63,'апрель 2023'!$J$4:$J$692,AC$1)</f>
        <v>0</v>
      </c>
      <c r="AD63" s="207">
        <f>SUMIFS('апрель 2023'!$G$4:$G$692,'апрель 2023'!$D$4:$D$692,$B63,'апрель 2023'!$J$4:$J$692,AD$1)</f>
        <v>0</v>
      </c>
      <c r="AE63" s="207">
        <f>SUMIFS('апрель 2023'!$G$4:$G$692,'апрель 2023'!$D$4:$D$692,$B63,'апрель 2023'!$J$4:$J$692,AE$1)</f>
        <v>0</v>
      </c>
      <c r="AF63" s="207">
        <f>SUMIFS('апрель 2023'!$G$4:$G$692,'апрель 2023'!$D$4:$D$692,$B63,'апрель 2023'!$J$4:$J$692,AF$1)</f>
        <v>0</v>
      </c>
      <c r="AG63" s="207">
        <f>SUMIFS('апрель 2023'!$G$4:$G$692,'апрель 2023'!$D$4:$D$692,$B63,'апрель 2023'!$J$4:$J$692,AG$1)</f>
        <v>0</v>
      </c>
      <c r="AH63" s="207">
        <f>SUMIFS('апрель 2023'!$G$4:$G$692,'апрель 2023'!$D$4:$D$692,$B63,'апрель 2023'!$J$4:$J$692,AH$1)</f>
        <v>0</v>
      </c>
      <c r="AI63" s="170">
        <f t="shared" si="1"/>
        <v>176</v>
      </c>
    </row>
    <row r="64" spans="2:35" ht="15" customHeight="1" x14ac:dyDescent="0.25">
      <c r="B64" s="216" t="s">
        <v>1721</v>
      </c>
      <c r="C64" s="213">
        <v>180</v>
      </c>
      <c r="D64" s="207">
        <f>SUMIFS('апрель 2023'!$G$4:$G$692,'апрель 2023'!$D$4:$D$692,$B64,'апрель 2023'!$J$4:$J$692,D$1)</f>
        <v>0</v>
      </c>
      <c r="E64" s="207">
        <f>SUMIFS('апрель 2023'!$G$4:$G$692,'апрель 2023'!$D$4:$D$692,$B64,'апрель 2023'!$J$4:$J$692,E$1)</f>
        <v>0</v>
      </c>
      <c r="F64" s="207">
        <f>SUMIFS('апрель 2023'!$G$4:$G$692,'апрель 2023'!$D$4:$D$692,$B64,'апрель 2023'!$J$4:$J$692,F$1)</f>
        <v>0</v>
      </c>
      <c r="G64" s="207">
        <f>SUMIFS('апрель 2023'!$G$4:$G$692,'апрель 2023'!$D$4:$D$692,$B64,'апрель 2023'!$J$4:$J$692,G$1)</f>
        <v>0</v>
      </c>
      <c r="H64" s="207">
        <f>SUMIFS('апрель 2023'!$G$4:$G$692,'апрель 2023'!$D$4:$D$692,$B64,'апрель 2023'!$J$4:$J$692,H$1)</f>
        <v>0</v>
      </c>
      <c r="I64" s="207">
        <f>SUMIFS('апрель 2023'!$G$4:$G$692,'апрель 2023'!$D$4:$D$692,$B64,'апрель 2023'!$J$4:$J$692,I$1)</f>
        <v>0</v>
      </c>
      <c r="J64" s="207">
        <f>SUMIFS('апрель 2023'!$G$4:$G$692,'апрель 2023'!$D$4:$D$692,$B64,'апрель 2023'!$J$4:$J$692,J$1)</f>
        <v>0</v>
      </c>
      <c r="K64" s="207">
        <f>SUMIFS('апрель 2023'!$G$4:$G$692,'апрель 2023'!$D$4:$D$692,$B64,'апрель 2023'!$J$4:$J$692,K$1)</f>
        <v>0</v>
      </c>
      <c r="L64" s="207">
        <f>SUMIFS('апрель 2023'!$G$4:$G$692,'апрель 2023'!$D$4:$D$692,$B64,'апрель 2023'!$J$4:$J$692,L$1)</f>
        <v>0</v>
      </c>
      <c r="M64" s="207">
        <f>SUMIFS('апрель 2023'!$G$4:$G$692,'апрель 2023'!$D$4:$D$692,$B64,'апрель 2023'!$J$4:$J$692,M$1)</f>
        <v>0</v>
      </c>
      <c r="N64" s="207">
        <f>SUMIFS('апрель 2023'!$G$4:$G$692,'апрель 2023'!$D$4:$D$692,$B64,'апрель 2023'!$J$4:$J$692,N$1)</f>
        <v>0</v>
      </c>
      <c r="O64" s="207">
        <f>SUMIFS('апрель 2023'!$G$4:$G$692,'апрель 2023'!$D$4:$D$692,$B64,'апрель 2023'!$J$4:$J$692,O$1)</f>
        <v>0</v>
      </c>
      <c r="P64" s="207">
        <f>SUMIFS('апрель 2023'!$G$4:$G$692,'апрель 2023'!$D$4:$D$692,$B64,'апрель 2023'!$J$4:$J$692,P$1)</f>
        <v>0</v>
      </c>
      <c r="Q64" s="207">
        <f>SUMIFS('апрель 2023'!$G$4:$G$692,'апрель 2023'!$D$4:$D$692,$B64,'апрель 2023'!$J$4:$J$692,Q$1)</f>
        <v>0</v>
      </c>
      <c r="R64" s="207">
        <f>SUMIFS('апрель 2023'!$G$4:$G$692,'апрель 2023'!$D$4:$D$692,$B64,'апрель 2023'!$J$4:$J$692,R$1)</f>
        <v>0</v>
      </c>
      <c r="S64" s="207">
        <f>SUMIFS('апрель 2023'!$G$4:$G$692,'апрель 2023'!$D$4:$D$692,$B64,'апрель 2023'!$J$4:$J$692,S$1)</f>
        <v>0</v>
      </c>
      <c r="T64" s="207">
        <f>SUMIFS('апрель 2023'!$G$4:$G$692,'апрель 2023'!$D$4:$D$692,$B64,'апрель 2023'!$J$4:$J$692,T$1)</f>
        <v>0</v>
      </c>
      <c r="U64" s="207">
        <f>SUMIFS('апрель 2023'!$G$4:$G$692,'апрель 2023'!$D$4:$D$692,$B64,'апрель 2023'!$J$4:$J$692,U$1)</f>
        <v>0</v>
      </c>
      <c r="V64" s="207">
        <f>SUMIFS('апрель 2023'!$G$4:$G$692,'апрель 2023'!$D$4:$D$692,$B64,'апрель 2023'!$J$4:$J$692,V$1)</f>
        <v>0</v>
      </c>
      <c r="W64" s="207">
        <f>SUMIFS('апрель 2023'!$G$4:$G$692,'апрель 2023'!$D$4:$D$692,$B64,'апрель 2023'!$J$4:$J$692,W$1)</f>
        <v>0</v>
      </c>
      <c r="X64" s="207">
        <f>SUMIFS('апрель 2023'!$G$4:$G$692,'апрель 2023'!$D$4:$D$692,$B64,'апрель 2023'!$J$4:$J$692,X$1)</f>
        <v>0</v>
      </c>
      <c r="Y64" s="207">
        <f>SUMIFS('апрель 2023'!$G$4:$G$692,'апрель 2023'!$D$4:$D$692,$B64,'апрель 2023'!$J$4:$J$692,Y$1)</f>
        <v>0</v>
      </c>
      <c r="Z64" s="207">
        <f>SUMIFS('апрель 2023'!$G$4:$G$692,'апрель 2023'!$D$4:$D$692,$B64,'апрель 2023'!$J$4:$J$692,Z$1)</f>
        <v>0</v>
      </c>
      <c r="AA64" s="207">
        <f>SUMIFS('апрель 2023'!$G$4:$G$692,'апрель 2023'!$D$4:$D$692,$B64,'апрель 2023'!$J$4:$J$692,AA$1)</f>
        <v>0</v>
      </c>
      <c r="AB64" s="207">
        <f>SUMIFS('апрель 2023'!$G$4:$G$692,'апрель 2023'!$D$4:$D$692,$B64,'апрель 2023'!$J$4:$J$692,AB$1)</f>
        <v>0</v>
      </c>
      <c r="AC64" s="207">
        <f>SUMIFS('апрель 2023'!$G$4:$G$692,'апрель 2023'!$D$4:$D$692,$B64,'апрель 2023'!$J$4:$J$692,AC$1)</f>
        <v>0</v>
      </c>
      <c r="AD64" s="207">
        <f>SUMIFS('апрель 2023'!$G$4:$G$692,'апрель 2023'!$D$4:$D$692,$B64,'апрель 2023'!$J$4:$J$692,AD$1)</f>
        <v>0</v>
      </c>
      <c r="AE64" s="207">
        <f>SUMIFS('апрель 2023'!$G$4:$G$692,'апрель 2023'!$D$4:$D$692,$B64,'апрель 2023'!$J$4:$J$692,AE$1)</f>
        <v>0</v>
      </c>
      <c r="AF64" s="207">
        <f>SUMIFS('апрель 2023'!$G$4:$G$692,'апрель 2023'!$D$4:$D$692,$B64,'апрель 2023'!$J$4:$J$692,AF$1)</f>
        <v>0</v>
      </c>
      <c r="AG64" s="207">
        <f>SUMIFS('апрель 2023'!$G$4:$G$692,'апрель 2023'!$D$4:$D$692,$B64,'апрель 2023'!$J$4:$J$692,AG$1)</f>
        <v>0</v>
      </c>
      <c r="AH64" s="207">
        <f>SUMIFS('апрель 2023'!$G$4:$G$692,'апрель 2023'!$D$4:$D$692,$B64,'апрель 2023'!$J$4:$J$692,AH$1)</f>
        <v>0</v>
      </c>
      <c r="AI64" s="170">
        <f t="shared" si="1"/>
        <v>0</v>
      </c>
    </row>
    <row r="65" spans="2:35" ht="15" customHeight="1" x14ac:dyDescent="0.25">
      <c r="B65" s="216" t="s">
        <v>2166</v>
      </c>
      <c r="C65" s="213">
        <v>180</v>
      </c>
      <c r="D65" s="207">
        <f>SUMIFS('апрель 2023'!$G$4:$G$692,'апрель 2023'!$D$4:$D$692,$B65,'апрель 2023'!$J$4:$J$692,D$1)</f>
        <v>0</v>
      </c>
      <c r="E65" s="207">
        <f>SUMIFS('апрель 2023'!$G$4:$G$692,'апрель 2023'!$D$4:$D$692,$B65,'апрель 2023'!$J$4:$J$692,E$1)</f>
        <v>0</v>
      </c>
      <c r="F65" s="207">
        <f>SUMIFS('апрель 2023'!$G$4:$G$692,'апрель 2023'!$D$4:$D$692,$B65,'апрель 2023'!$J$4:$J$692,F$1)</f>
        <v>0</v>
      </c>
      <c r="G65" s="207">
        <f>SUMIFS('апрель 2023'!$G$4:$G$692,'апрель 2023'!$D$4:$D$692,$B65,'апрель 2023'!$J$4:$J$692,G$1)</f>
        <v>0</v>
      </c>
      <c r="H65" s="207">
        <f>SUMIFS('апрель 2023'!$G$4:$G$692,'апрель 2023'!$D$4:$D$692,$B65,'апрель 2023'!$J$4:$J$692,H$1)</f>
        <v>0</v>
      </c>
      <c r="I65" s="207">
        <f>SUMIFS('апрель 2023'!$G$4:$G$692,'апрель 2023'!$D$4:$D$692,$B65,'апрель 2023'!$J$4:$J$692,I$1)</f>
        <v>0</v>
      </c>
      <c r="J65" s="207">
        <f>SUMIFS('апрель 2023'!$G$4:$G$692,'апрель 2023'!$D$4:$D$692,$B65,'апрель 2023'!$J$4:$J$692,J$1)</f>
        <v>0</v>
      </c>
      <c r="K65" s="207">
        <f>SUMIFS('апрель 2023'!$G$4:$G$692,'апрель 2023'!$D$4:$D$692,$B65,'апрель 2023'!$J$4:$J$692,K$1)</f>
        <v>0</v>
      </c>
      <c r="L65" s="207">
        <f>SUMIFS('апрель 2023'!$G$4:$G$692,'апрель 2023'!$D$4:$D$692,$B65,'апрель 2023'!$J$4:$J$692,L$1)</f>
        <v>0</v>
      </c>
      <c r="M65" s="207">
        <f>SUMIFS('апрель 2023'!$G$4:$G$692,'апрель 2023'!$D$4:$D$692,$B65,'апрель 2023'!$J$4:$J$692,M$1)</f>
        <v>0</v>
      </c>
      <c r="N65" s="207">
        <f>SUMIFS('апрель 2023'!$G$4:$G$692,'апрель 2023'!$D$4:$D$692,$B65,'апрель 2023'!$J$4:$J$692,N$1)</f>
        <v>0</v>
      </c>
      <c r="O65" s="207">
        <f>SUMIFS('апрель 2023'!$G$4:$G$692,'апрель 2023'!$D$4:$D$692,$B65,'апрель 2023'!$J$4:$J$692,O$1)</f>
        <v>0</v>
      </c>
      <c r="P65" s="207">
        <f>SUMIFS('апрель 2023'!$G$4:$G$692,'апрель 2023'!$D$4:$D$692,$B65,'апрель 2023'!$J$4:$J$692,P$1)</f>
        <v>0</v>
      </c>
      <c r="Q65" s="207">
        <f>SUMIFS('апрель 2023'!$G$4:$G$692,'апрель 2023'!$D$4:$D$692,$B65,'апрель 2023'!$J$4:$J$692,Q$1)</f>
        <v>0</v>
      </c>
      <c r="R65" s="207">
        <f>SUMIFS('апрель 2023'!$G$4:$G$692,'апрель 2023'!$D$4:$D$692,$B65,'апрель 2023'!$J$4:$J$692,R$1)</f>
        <v>0</v>
      </c>
      <c r="S65" s="207">
        <f>SUMIFS('апрель 2023'!$G$4:$G$692,'апрель 2023'!$D$4:$D$692,$B65,'апрель 2023'!$J$4:$J$692,S$1)</f>
        <v>0</v>
      </c>
      <c r="T65" s="207">
        <f>SUMIFS('апрель 2023'!$G$4:$G$692,'апрель 2023'!$D$4:$D$692,$B65,'апрель 2023'!$J$4:$J$692,T$1)</f>
        <v>0</v>
      </c>
      <c r="U65" s="207">
        <f>SUMIFS('апрель 2023'!$G$4:$G$692,'апрель 2023'!$D$4:$D$692,$B65,'апрель 2023'!$J$4:$J$692,U$1)</f>
        <v>0</v>
      </c>
      <c r="V65" s="207">
        <f>SUMIFS('апрель 2023'!$G$4:$G$692,'апрель 2023'!$D$4:$D$692,$B65,'апрель 2023'!$J$4:$J$692,V$1)</f>
        <v>0</v>
      </c>
      <c r="W65" s="207">
        <f>SUMIFS('апрель 2023'!$G$4:$G$692,'апрель 2023'!$D$4:$D$692,$B65,'апрель 2023'!$J$4:$J$692,W$1)</f>
        <v>0</v>
      </c>
      <c r="X65" s="207">
        <f>SUMIFS('апрель 2023'!$G$4:$G$692,'апрель 2023'!$D$4:$D$692,$B65,'апрель 2023'!$J$4:$J$692,X$1)</f>
        <v>0</v>
      </c>
      <c r="Y65" s="207">
        <f>SUMIFS('апрель 2023'!$G$4:$G$692,'апрель 2023'!$D$4:$D$692,$B65,'апрель 2023'!$J$4:$J$692,Y$1)</f>
        <v>0</v>
      </c>
      <c r="Z65" s="207">
        <f>SUMIFS('апрель 2023'!$G$4:$G$692,'апрель 2023'!$D$4:$D$692,$B65,'апрель 2023'!$J$4:$J$692,Z$1)</f>
        <v>0</v>
      </c>
      <c r="AA65" s="207">
        <f>SUMIFS('апрель 2023'!$G$4:$G$692,'апрель 2023'!$D$4:$D$692,$B65,'апрель 2023'!$J$4:$J$692,AA$1)</f>
        <v>0</v>
      </c>
      <c r="AB65" s="207">
        <f>SUMIFS('апрель 2023'!$G$4:$G$692,'апрель 2023'!$D$4:$D$692,$B65,'апрель 2023'!$J$4:$J$692,AB$1)</f>
        <v>0</v>
      </c>
      <c r="AC65" s="207">
        <f>SUMIFS('апрель 2023'!$G$4:$G$692,'апрель 2023'!$D$4:$D$692,$B65,'апрель 2023'!$J$4:$J$692,AC$1)</f>
        <v>0</v>
      </c>
      <c r="AD65" s="207">
        <f>SUMIFS('апрель 2023'!$G$4:$G$692,'апрель 2023'!$D$4:$D$692,$B65,'апрель 2023'!$J$4:$J$692,AD$1)</f>
        <v>0</v>
      </c>
      <c r="AE65" s="207">
        <f>SUMIFS('апрель 2023'!$G$4:$G$692,'апрель 2023'!$D$4:$D$692,$B65,'апрель 2023'!$J$4:$J$692,AE$1)</f>
        <v>0</v>
      </c>
      <c r="AF65" s="207">
        <f>SUMIFS('апрель 2023'!$G$4:$G$692,'апрель 2023'!$D$4:$D$692,$B65,'апрель 2023'!$J$4:$J$692,AF$1)</f>
        <v>0</v>
      </c>
      <c r="AG65" s="207">
        <f>SUMIFS('апрель 2023'!$G$4:$G$692,'апрель 2023'!$D$4:$D$692,$B65,'апрель 2023'!$J$4:$J$692,AG$1)</f>
        <v>0</v>
      </c>
      <c r="AH65" s="207">
        <f>SUMIFS('апрель 2023'!$G$4:$G$692,'апрель 2023'!$D$4:$D$692,$B65,'апрель 2023'!$J$4:$J$692,AH$1)</f>
        <v>0</v>
      </c>
      <c r="AI65" s="170">
        <f t="shared" si="1"/>
        <v>0</v>
      </c>
    </row>
    <row r="66" spans="2:35" ht="15" customHeight="1" x14ac:dyDescent="0.25">
      <c r="B66" s="216" t="s">
        <v>140</v>
      </c>
      <c r="C66" s="213">
        <v>180</v>
      </c>
      <c r="D66" s="207">
        <f>SUMIFS('апрель 2023'!$G$4:$G$692,'апрель 2023'!$D$4:$D$692,$B66,'апрель 2023'!$J$4:$J$692,D$1)</f>
        <v>0</v>
      </c>
      <c r="E66" s="207">
        <f>SUMIFS('апрель 2023'!$G$4:$G$692,'апрель 2023'!$D$4:$D$692,$B66,'апрель 2023'!$J$4:$J$692,E$1)</f>
        <v>0</v>
      </c>
      <c r="F66" s="207">
        <f>SUMIFS('апрель 2023'!$G$4:$G$692,'апрель 2023'!$D$4:$D$692,$B66,'апрель 2023'!$J$4:$J$692,F$1)</f>
        <v>0</v>
      </c>
      <c r="G66" s="207">
        <f>SUMIFS('апрель 2023'!$G$4:$G$692,'апрель 2023'!$D$4:$D$692,$B66,'апрель 2023'!$J$4:$J$692,G$1)</f>
        <v>0</v>
      </c>
      <c r="H66" s="207">
        <f>SUMIFS('апрель 2023'!$G$4:$G$692,'апрель 2023'!$D$4:$D$692,$B66,'апрель 2023'!$J$4:$J$692,H$1)</f>
        <v>0</v>
      </c>
      <c r="I66" s="207">
        <f>SUMIFS('апрель 2023'!$G$4:$G$692,'апрель 2023'!$D$4:$D$692,$B66,'апрель 2023'!$J$4:$J$692,I$1)</f>
        <v>0</v>
      </c>
      <c r="J66" s="207">
        <f>SUMIFS('апрель 2023'!$G$4:$G$692,'апрель 2023'!$D$4:$D$692,$B66,'апрель 2023'!$J$4:$J$692,J$1)</f>
        <v>0</v>
      </c>
      <c r="K66" s="207">
        <f>SUMIFS('апрель 2023'!$G$4:$G$692,'апрель 2023'!$D$4:$D$692,$B66,'апрель 2023'!$J$4:$J$692,K$1)</f>
        <v>0</v>
      </c>
      <c r="L66" s="207">
        <f>SUMIFS('апрель 2023'!$G$4:$G$692,'апрель 2023'!$D$4:$D$692,$B66,'апрель 2023'!$J$4:$J$692,L$1)</f>
        <v>0</v>
      </c>
      <c r="M66" s="207">
        <f>SUMIFS('апрель 2023'!$G$4:$G$692,'апрель 2023'!$D$4:$D$692,$B66,'апрель 2023'!$J$4:$J$692,M$1)</f>
        <v>0</v>
      </c>
      <c r="N66" s="207">
        <f>SUMIFS('апрель 2023'!$G$4:$G$692,'апрель 2023'!$D$4:$D$692,$B66,'апрель 2023'!$J$4:$J$692,N$1)</f>
        <v>0</v>
      </c>
      <c r="O66" s="207">
        <f>SUMIFS('апрель 2023'!$G$4:$G$692,'апрель 2023'!$D$4:$D$692,$B66,'апрель 2023'!$J$4:$J$692,O$1)</f>
        <v>0</v>
      </c>
      <c r="P66" s="207">
        <f>SUMIFS('апрель 2023'!$G$4:$G$692,'апрель 2023'!$D$4:$D$692,$B66,'апрель 2023'!$J$4:$J$692,P$1)</f>
        <v>0</v>
      </c>
      <c r="Q66" s="207">
        <f>SUMIFS('апрель 2023'!$G$4:$G$692,'апрель 2023'!$D$4:$D$692,$B66,'апрель 2023'!$J$4:$J$692,Q$1)</f>
        <v>0</v>
      </c>
      <c r="R66" s="207">
        <f>SUMIFS('апрель 2023'!$G$4:$G$692,'апрель 2023'!$D$4:$D$692,$B66,'апрель 2023'!$J$4:$J$692,R$1)</f>
        <v>0</v>
      </c>
      <c r="S66" s="207">
        <f>SUMIFS('апрель 2023'!$G$4:$G$692,'апрель 2023'!$D$4:$D$692,$B66,'апрель 2023'!$J$4:$J$692,S$1)</f>
        <v>0</v>
      </c>
      <c r="T66" s="207">
        <f>SUMIFS('апрель 2023'!$G$4:$G$692,'апрель 2023'!$D$4:$D$692,$B66,'апрель 2023'!$J$4:$J$692,T$1)</f>
        <v>0</v>
      </c>
      <c r="U66" s="207">
        <f>SUMIFS('апрель 2023'!$G$4:$G$692,'апрель 2023'!$D$4:$D$692,$B66,'апрель 2023'!$J$4:$J$692,U$1)</f>
        <v>0</v>
      </c>
      <c r="V66" s="207">
        <f>SUMIFS('апрель 2023'!$G$4:$G$692,'апрель 2023'!$D$4:$D$692,$B66,'апрель 2023'!$J$4:$J$692,V$1)</f>
        <v>0</v>
      </c>
      <c r="W66" s="207">
        <f>SUMIFS('апрель 2023'!$G$4:$G$692,'апрель 2023'!$D$4:$D$692,$B66,'апрель 2023'!$J$4:$J$692,W$1)</f>
        <v>0</v>
      </c>
      <c r="X66" s="207">
        <f>SUMIFS('апрель 2023'!$G$4:$G$692,'апрель 2023'!$D$4:$D$692,$B66,'апрель 2023'!$J$4:$J$692,X$1)</f>
        <v>0</v>
      </c>
      <c r="Y66" s="207">
        <f>SUMIFS('апрель 2023'!$G$4:$G$692,'апрель 2023'!$D$4:$D$692,$B66,'апрель 2023'!$J$4:$J$692,Y$1)</f>
        <v>0</v>
      </c>
      <c r="Z66" s="207">
        <f>SUMIFS('апрель 2023'!$G$4:$G$692,'апрель 2023'!$D$4:$D$692,$B66,'апрель 2023'!$J$4:$J$692,Z$1)</f>
        <v>0</v>
      </c>
      <c r="AA66" s="207">
        <f>SUMIFS('апрель 2023'!$G$4:$G$692,'апрель 2023'!$D$4:$D$692,$B66,'апрель 2023'!$J$4:$J$692,AA$1)</f>
        <v>0</v>
      </c>
      <c r="AB66" s="207">
        <f>SUMIFS('апрель 2023'!$G$4:$G$692,'апрель 2023'!$D$4:$D$692,$B66,'апрель 2023'!$J$4:$J$692,AB$1)</f>
        <v>0</v>
      </c>
      <c r="AC66" s="207">
        <f>SUMIFS('апрель 2023'!$G$4:$G$692,'апрель 2023'!$D$4:$D$692,$B66,'апрель 2023'!$J$4:$J$692,AC$1)</f>
        <v>0</v>
      </c>
      <c r="AD66" s="207">
        <f>SUMIFS('апрель 2023'!$G$4:$G$692,'апрель 2023'!$D$4:$D$692,$B66,'апрель 2023'!$J$4:$J$692,AD$1)</f>
        <v>0</v>
      </c>
      <c r="AE66" s="207">
        <f>SUMIFS('апрель 2023'!$G$4:$G$692,'апрель 2023'!$D$4:$D$692,$B66,'апрель 2023'!$J$4:$J$692,AE$1)</f>
        <v>0</v>
      </c>
      <c r="AF66" s="207">
        <f>SUMIFS('апрель 2023'!$G$4:$G$692,'апрель 2023'!$D$4:$D$692,$B66,'апрель 2023'!$J$4:$J$692,AF$1)</f>
        <v>0</v>
      </c>
      <c r="AG66" s="207">
        <f>SUMIFS('апрель 2023'!$G$4:$G$692,'апрель 2023'!$D$4:$D$692,$B66,'апрель 2023'!$J$4:$J$692,AG$1)</f>
        <v>0</v>
      </c>
      <c r="AH66" s="207">
        <f>SUMIFS('апрель 2023'!$G$4:$G$692,'апрель 2023'!$D$4:$D$692,$B66,'апрель 2023'!$J$4:$J$692,AH$1)</f>
        <v>0</v>
      </c>
      <c r="AI66" s="170">
        <f t="shared" si="1"/>
        <v>0</v>
      </c>
    </row>
    <row r="67" spans="2:35" ht="15" customHeight="1" x14ac:dyDescent="0.25">
      <c r="B67" s="216" t="s">
        <v>588</v>
      </c>
      <c r="C67" s="213">
        <v>200</v>
      </c>
      <c r="D67" s="207">
        <f>SUMIFS('апрель 2023'!$G$4:$G$692,'апрель 2023'!$D$4:$D$692,$B67,'апрель 2023'!$J$4:$J$692,D$1)</f>
        <v>0</v>
      </c>
      <c r="E67" s="207">
        <f>SUMIFS('апрель 2023'!$G$4:$G$692,'апрель 2023'!$D$4:$D$692,$B67,'апрель 2023'!$J$4:$J$692,E$1)</f>
        <v>0</v>
      </c>
      <c r="F67" s="207">
        <f>SUMIFS('апрель 2023'!$G$4:$G$692,'апрель 2023'!$D$4:$D$692,$B67,'апрель 2023'!$J$4:$J$692,F$1)</f>
        <v>0</v>
      </c>
      <c r="G67" s="207">
        <f>SUMIFS('апрель 2023'!$G$4:$G$692,'апрель 2023'!$D$4:$D$692,$B67,'апрель 2023'!$J$4:$J$692,G$1)</f>
        <v>0</v>
      </c>
      <c r="H67" s="207">
        <f>SUMIFS('апрель 2023'!$G$4:$G$692,'апрель 2023'!$D$4:$D$692,$B67,'апрель 2023'!$J$4:$J$692,H$1)</f>
        <v>0</v>
      </c>
      <c r="I67" s="207">
        <f>SUMIFS('апрель 2023'!$G$4:$G$692,'апрель 2023'!$D$4:$D$692,$B67,'апрель 2023'!$J$4:$J$692,I$1)</f>
        <v>0</v>
      </c>
      <c r="J67" s="207">
        <f>SUMIFS('апрель 2023'!$G$4:$G$692,'апрель 2023'!$D$4:$D$692,$B67,'апрель 2023'!$J$4:$J$692,J$1)</f>
        <v>0</v>
      </c>
      <c r="K67" s="207">
        <f>SUMIFS('апрель 2023'!$G$4:$G$692,'апрель 2023'!$D$4:$D$692,$B67,'апрель 2023'!$J$4:$J$692,K$1)</f>
        <v>0</v>
      </c>
      <c r="L67" s="207">
        <f>SUMIFS('апрель 2023'!$G$4:$G$692,'апрель 2023'!$D$4:$D$692,$B67,'апрель 2023'!$J$4:$J$692,L$1)</f>
        <v>0</v>
      </c>
      <c r="M67" s="207">
        <f>SUMIFS('апрель 2023'!$G$4:$G$692,'апрель 2023'!$D$4:$D$692,$B67,'апрель 2023'!$J$4:$J$692,M$1)</f>
        <v>0</v>
      </c>
      <c r="N67" s="207">
        <f>SUMIFS('апрель 2023'!$G$4:$G$692,'апрель 2023'!$D$4:$D$692,$B67,'апрель 2023'!$J$4:$J$692,N$1)</f>
        <v>0</v>
      </c>
      <c r="O67" s="207">
        <f>SUMIFS('апрель 2023'!$G$4:$G$692,'апрель 2023'!$D$4:$D$692,$B67,'апрель 2023'!$J$4:$J$692,O$1)</f>
        <v>0</v>
      </c>
      <c r="P67" s="207">
        <f>SUMIFS('апрель 2023'!$G$4:$G$692,'апрель 2023'!$D$4:$D$692,$B67,'апрель 2023'!$J$4:$J$692,P$1)</f>
        <v>0</v>
      </c>
      <c r="Q67" s="207">
        <f>SUMIFS('апрель 2023'!$G$4:$G$692,'апрель 2023'!$D$4:$D$692,$B67,'апрель 2023'!$J$4:$J$692,Q$1)</f>
        <v>0</v>
      </c>
      <c r="R67" s="207">
        <f>SUMIFS('апрель 2023'!$G$4:$G$692,'апрель 2023'!$D$4:$D$692,$B67,'апрель 2023'!$J$4:$J$692,R$1)</f>
        <v>0</v>
      </c>
      <c r="S67" s="207">
        <f>SUMIFS('апрель 2023'!$G$4:$G$692,'апрель 2023'!$D$4:$D$692,$B67,'апрель 2023'!$J$4:$J$692,S$1)</f>
        <v>0</v>
      </c>
      <c r="T67" s="207">
        <f>SUMIFS('апрель 2023'!$G$4:$G$692,'апрель 2023'!$D$4:$D$692,$B67,'апрель 2023'!$J$4:$J$692,T$1)</f>
        <v>0</v>
      </c>
      <c r="U67" s="207">
        <f>SUMIFS('апрель 2023'!$G$4:$G$692,'апрель 2023'!$D$4:$D$692,$B67,'апрель 2023'!$J$4:$J$692,U$1)</f>
        <v>0</v>
      </c>
      <c r="V67" s="207">
        <f>SUMIFS('апрель 2023'!$G$4:$G$692,'апрель 2023'!$D$4:$D$692,$B67,'апрель 2023'!$J$4:$J$692,V$1)</f>
        <v>0</v>
      </c>
      <c r="W67" s="207">
        <f>SUMIFS('апрель 2023'!$G$4:$G$692,'апрель 2023'!$D$4:$D$692,$B67,'апрель 2023'!$J$4:$J$692,W$1)</f>
        <v>0</v>
      </c>
      <c r="X67" s="207">
        <f>SUMIFS('апрель 2023'!$G$4:$G$692,'апрель 2023'!$D$4:$D$692,$B67,'апрель 2023'!$J$4:$J$692,X$1)</f>
        <v>0</v>
      </c>
      <c r="Y67" s="207">
        <f>SUMIFS('апрель 2023'!$G$4:$G$692,'апрель 2023'!$D$4:$D$692,$B67,'апрель 2023'!$J$4:$J$692,Y$1)</f>
        <v>0</v>
      </c>
      <c r="Z67" s="207">
        <f>SUMIFS('апрель 2023'!$G$4:$G$692,'апрель 2023'!$D$4:$D$692,$B67,'апрель 2023'!$J$4:$J$692,Z$1)</f>
        <v>0</v>
      </c>
      <c r="AA67" s="207">
        <f>SUMIFS('апрель 2023'!$G$4:$G$692,'апрель 2023'!$D$4:$D$692,$B67,'апрель 2023'!$J$4:$J$692,AA$1)</f>
        <v>0</v>
      </c>
      <c r="AB67" s="207">
        <f>SUMIFS('апрель 2023'!$G$4:$G$692,'апрель 2023'!$D$4:$D$692,$B67,'апрель 2023'!$J$4:$J$692,AB$1)</f>
        <v>0</v>
      </c>
      <c r="AC67" s="207">
        <f>SUMIFS('апрель 2023'!$G$4:$G$692,'апрель 2023'!$D$4:$D$692,$B67,'апрель 2023'!$J$4:$J$692,AC$1)</f>
        <v>0</v>
      </c>
      <c r="AD67" s="207">
        <f>SUMIFS('апрель 2023'!$G$4:$G$692,'апрель 2023'!$D$4:$D$692,$B67,'апрель 2023'!$J$4:$J$692,AD$1)</f>
        <v>0</v>
      </c>
      <c r="AE67" s="207">
        <f>SUMIFS('апрель 2023'!$G$4:$G$692,'апрель 2023'!$D$4:$D$692,$B67,'апрель 2023'!$J$4:$J$692,AE$1)</f>
        <v>0</v>
      </c>
      <c r="AF67" s="207">
        <f>SUMIFS('апрель 2023'!$G$4:$G$692,'апрель 2023'!$D$4:$D$692,$B67,'апрель 2023'!$J$4:$J$692,AF$1)</f>
        <v>0</v>
      </c>
      <c r="AG67" s="207">
        <f>SUMIFS('апрель 2023'!$G$4:$G$692,'апрель 2023'!$D$4:$D$692,$B67,'апрель 2023'!$J$4:$J$692,AG$1)</f>
        <v>0</v>
      </c>
      <c r="AH67" s="207">
        <f>SUMIFS('апрель 2023'!$G$4:$G$692,'апрель 2023'!$D$4:$D$692,$B67,'апрель 2023'!$J$4:$J$692,AH$1)</f>
        <v>0</v>
      </c>
      <c r="AI67" s="170">
        <f t="shared" ref="AI67:AI130" si="2">SUM(D67:AH67)</f>
        <v>0</v>
      </c>
    </row>
    <row r="68" spans="2:35" ht="15" customHeight="1" x14ac:dyDescent="0.25">
      <c r="B68" s="216" t="s">
        <v>1779</v>
      </c>
      <c r="C68" s="213">
        <v>180</v>
      </c>
      <c r="D68" s="207">
        <f>SUMIFS('апрель 2023'!$G$4:$G$692,'апрель 2023'!$D$4:$D$692,$B68,'апрель 2023'!$J$4:$J$692,D$1)</f>
        <v>0</v>
      </c>
      <c r="E68" s="207">
        <f>SUMIFS('апрель 2023'!$G$4:$G$692,'апрель 2023'!$D$4:$D$692,$B68,'апрель 2023'!$J$4:$J$692,E$1)</f>
        <v>0</v>
      </c>
      <c r="F68" s="207">
        <f>SUMIFS('апрель 2023'!$G$4:$G$692,'апрель 2023'!$D$4:$D$692,$B68,'апрель 2023'!$J$4:$J$692,F$1)</f>
        <v>0</v>
      </c>
      <c r="G68" s="207">
        <f>SUMIFS('апрель 2023'!$G$4:$G$692,'апрель 2023'!$D$4:$D$692,$B68,'апрель 2023'!$J$4:$J$692,G$1)</f>
        <v>0</v>
      </c>
      <c r="H68" s="207">
        <f>SUMIFS('апрель 2023'!$G$4:$G$692,'апрель 2023'!$D$4:$D$692,$B68,'апрель 2023'!$J$4:$J$692,H$1)</f>
        <v>0</v>
      </c>
      <c r="I68" s="207">
        <f>SUMIFS('апрель 2023'!$G$4:$G$692,'апрель 2023'!$D$4:$D$692,$B68,'апрель 2023'!$J$4:$J$692,I$1)</f>
        <v>0</v>
      </c>
      <c r="J68" s="207">
        <f>SUMIFS('апрель 2023'!$G$4:$G$692,'апрель 2023'!$D$4:$D$692,$B68,'апрель 2023'!$J$4:$J$692,J$1)</f>
        <v>0</v>
      </c>
      <c r="K68" s="207">
        <f>SUMIFS('апрель 2023'!$G$4:$G$692,'апрель 2023'!$D$4:$D$692,$B68,'апрель 2023'!$J$4:$J$692,K$1)</f>
        <v>0</v>
      </c>
      <c r="L68" s="207">
        <f>SUMIFS('апрель 2023'!$G$4:$G$692,'апрель 2023'!$D$4:$D$692,$B68,'апрель 2023'!$J$4:$J$692,L$1)</f>
        <v>0</v>
      </c>
      <c r="M68" s="207">
        <f>SUMIFS('апрель 2023'!$G$4:$G$692,'апрель 2023'!$D$4:$D$692,$B68,'апрель 2023'!$J$4:$J$692,M$1)</f>
        <v>0</v>
      </c>
      <c r="N68" s="207">
        <f>SUMIFS('апрель 2023'!$G$4:$G$692,'апрель 2023'!$D$4:$D$692,$B68,'апрель 2023'!$J$4:$J$692,N$1)</f>
        <v>0</v>
      </c>
      <c r="O68" s="207">
        <f>SUMIFS('апрель 2023'!$G$4:$G$692,'апрель 2023'!$D$4:$D$692,$B68,'апрель 2023'!$J$4:$J$692,O$1)</f>
        <v>0</v>
      </c>
      <c r="P68" s="207">
        <f>SUMIFS('апрель 2023'!$G$4:$G$692,'апрель 2023'!$D$4:$D$692,$B68,'апрель 2023'!$J$4:$J$692,P$1)</f>
        <v>0</v>
      </c>
      <c r="Q68" s="207">
        <f>SUMIFS('апрель 2023'!$G$4:$G$692,'апрель 2023'!$D$4:$D$692,$B68,'апрель 2023'!$J$4:$J$692,Q$1)</f>
        <v>0</v>
      </c>
      <c r="R68" s="207">
        <f>SUMIFS('апрель 2023'!$G$4:$G$692,'апрель 2023'!$D$4:$D$692,$B68,'апрель 2023'!$J$4:$J$692,R$1)</f>
        <v>0</v>
      </c>
      <c r="S68" s="207">
        <f>SUMIFS('апрель 2023'!$G$4:$G$692,'апрель 2023'!$D$4:$D$692,$B68,'апрель 2023'!$J$4:$J$692,S$1)</f>
        <v>0</v>
      </c>
      <c r="T68" s="207">
        <f>SUMIFS('апрель 2023'!$G$4:$G$692,'апрель 2023'!$D$4:$D$692,$B68,'апрель 2023'!$J$4:$J$692,T$1)</f>
        <v>0</v>
      </c>
      <c r="U68" s="207">
        <f>SUMIFS('апрель 2023'!$G$4:$G$692,'апрель 2023'!$D$4:$D$692,$B68,'апрель 2023'!$J$4:$J$692,U$1)</f>
        <v>0</v>
      </c>
      <c r="V68" s="207">
        <f>SUMIFS('апрель 2023'!$G$4:$G$692,'апрель 2023'!$D$4:$D$692,$B68,'апрель 2023'!$J$4:$J$692,V$1)</f>
        <v>0</v>
      </c>
      <c r="W68" s="207">
        <f>SUMIFS('апрель 2023'!$G$4:$G$692,'апрель 2023'!$D$4:$D$692,$B68,'апрель 2023'!$J$4:$J$692,W$1)</f>
        <v>0</v>
      </c>
      <c r="X68" s="207">
        <f>SUMIFS('апрель 2023'!$G$4:$G$692,'апрель 2023'!$D$4:$D$692,$B68,'апрель 2023'!$J$4:$J$692,X$1)</f>
        <v>0</v>
      </c>
      <c r="Y68" s="207">
        <f>SUMIFS('апрель 2023'!$G$4:$G$692,'апрель 2023'!$D$4:$D$692,$B68,'апрель 2023'!$J$4:$J$692,Y$1)</f>
        <v>0</v>
      </c>
      <c r="Z68" s="207">
        <f>SUMIFS('апрель 2023'!$G$4:$G$692,'апрель 2023'!$D$4:$D$692,$B68,'апрель 2023'!$J$4:$J$692,Z$1)</f>
        <v>0</v>
      </c>
      <c r="AA68" s="207">
        <f>SUMIFS('апрель 2023'!$G$4:$G$692,'апрель 2023'!$D$4:$D$692,$B68,'апрель 2023'!$J$4:$J$692,AA$1)</f>
        <v>0</v>
      </c>
      <c r="AB68" s="207">
        <f>SUMIFS('апрель 2023'!$G$4:$G$692,'апрель 2023'!$D$4:$D$692,$B68,'апрель 2023'!$J$4:$J$692,AB$1)</f>
        <v>0</v>
      </c>
      <c r="AC68" s="207">
        <f>SUMIFS('апрель 2023'!$G$4:$G$692,'апрель 2023'!$D$4:$D$692,$B68,'апрель 2023'!$J$4:$J$692,AC$1)</f>
        <v>0</v>
      </c>
      <c r="AD68" s="207">
        <f>SUMIFS('апрель 2023'!$G$4:$G$692,'апрель 2023'!$D$4:$D$692,$B68,'апрель 2023'!$J$4:$J$692,AD$1)</f>
        <v>0</v>
      </c>
      <c r="AE68" s="207">
        <f>SUMIFS('апрель 2023'!$G$4:$G$692,'апрель 2023'!$D$4:$D$692,$B68,'апрель 2023'!$J$4:$J$692,AE$1)</f>
        <v>0</v>
      </c>
      <c r="AF68" s="207">
        <f>SUMIFS('апрель 2023'!$G$4:$G$692,'апрель 2023'!$D$4:$D$692,$B68,'апрель 2023'!$J$4:$J$692,AF$1)</f>
        <v>0</v>
      </c>
      <c r="AG68" s="207">
        <f>SUMIFS('апрель 2023'!$G$4:$G$692,'апрель 2023'!$D$4:$D$692,$B68,'апрель 2023'!$J$4:$J$692,AG$1)</f>
        <v>0</v>
      </c>
      <c r="AH68" s="207">
        <f>SUMIFS('апрель 2023'!$G$4:$G$692,'апрель 2023'!$D$4:$D$692,$B68,'апрель 2023'!$J$4:$J$692,AH$1)</f>
        <v>0</v>
      </c>
      <c r="AI68" s="170">
        <f t="shared" si="2"/>
        <v>0</v>
      </c>
    </row>
    <row r="69" spans="2:35" ht="15" customHeight="1" x14ac:dyDescent="0.25">
      <c r="B69" s="212" t="s">
        <v>634</v>
      </c>
      <c r="C69" s="211">
        <v>200</v>
      </c>
      <c r="D69" s="207">
        <f>SUMIFS('апрель 2023'!$G$4:$G$692,'апрель 2023'!$D$4:$D$692,$B69,'апрель 2023'!$J$4:$J$692,D$1)</f>
        <v>0</v>
      </c>
      <c r="E69" s="207">
        <f>SUMIFS('апрель 2023'!$G$4:$G$692,'апрель 2023'!$D$4:$D$692,$B69,'апрель 2023'!$J$4:$J$692,E$1)</f>
        <v>0</v>
      </c>
      <c r="F69" s="207">
        <f>SUMIFS('апрель 2023'!$G$4:$G$692,'апрель 2023'!$D$4:$D$692,$B69,'апрель 2023'!$J$4:$J$692,F$1)</f>
        <v>0</v>
      </c>
      <c r="G69" s="207">
        <f>SUMIFS('апрель 2023'!$G$4:$G$692,'апрель 2023'!$D$4:$D$692,$B69,'апрель 2023'!$J$4:$J$692,G$1)</f>
        <v>88</v>
      </c>
      <c r="H69" s="207">
        <f>SUMIFS('апрель 2023'!$G$4:$G$692,'апрель 2023'!$D$4:$D$692,$B69,'апрель 2023'!$J$4:$J$692,H$1)</f>
        <v>88</v>
      </c>
      <c r="I69" s="207">
        <f>SUMIFS('апрель 2023'!$G$4:$G$692,'апрель 2023'!$D$4:$D$692,$B69,'апрель 2023'!$J$4:$J$692,I$1)</f>
        <v>0</v>
      </c>
      <c r="J69" s="207">
        <f>SUMIFS('апрель 2023'!$G$4:$G$692,'апрель 2023'!$D$4:$D$692,$B69,'апрель 2023'!$J$4:$J$692,J$1)</f>
        <v>0</v>
      </c>
      <c r="K69" s="207">
        <f>SUMIFS('апрель 2023'!$G$4:$G$692,'апрель 2023'!$D$4:$D$692,$B69,'апрель 2023'!$J$4:$J$692,K$1)</f>
        <v>0</v>
      </c>
      <c r="L69" s="207">
        <f>SUMIFS('апрель 2023'!$G$4:$G$692,'апрель 2023'!$D$4:$D$692,$B69,'апрель 2023'!$J$4:$J$692,L$1)</f>
        <v>0</v>
      </c>
      <c r="M69" s="207">
        <f>SUMIFS('апрель 2023'!$G$4:$G$692,'апрель 2023'!$D$4:$D$692,$B69,'апрель 2023'!$J$4:$J$692,M$1)</f>
        <v>0</v>
      </c>
      <c r="N69" s="207">
        <f>SUMIFS('апрель 2023'!$G$4:$G$692,'апрель 2023'!$D$4:$D$692,$B69,'апрель 2023'!$J$4:$J$692,N$1)</f>
        <v>0</v>
      </c>
      <c r="O69" s="207">
        <f>SUMIFS('апрель 2023'!$G$4:$G$692,'апрель 2023'!$D$4:$D$692,$B69,'апрель 2023'!$J$4:$J$692,O$1)</f>
        <v>0</v>
      </c>
      <c r="P69" s="207">
        <f>SUMIFS('апрель 2023'!$G$4:$G$692,'апрель 2023'!$D$4:$D$692,$B69,'апрель 2023'!$J$4:$J$692,P$1)</f>
        <v>0</v>
      </c>
      <c r="Q69" s="207">
        <f>SUMIFS('апрель 2023'!$G$4:$G$692,'апрель 2023'!$D$4:$D$692,$B69,'апрель 2023'!$J$4:$J$692,Q$1)</f>
        <v>0</v>
      </c>
      <c r="R69" s="207">
        <f>SUMIFS('апрель 2023'!$G$4:$G$692,'апрель 2023'!$D$4:$D$692,$B69,'апрель 2023'!$J$4:$J$692,R$1)</f>
        <v>0</v>
      </c>
      <c r="S69" s="207">
        <f>SUMIFS('апрель 2023'!$G$4:$G$692,'апрель 2023'!$D$4:$D$692,$B69,'апрель 2023'!$J$4:$J$692,S$1)</f>
        <v>0</v>
      </c>
      <c r="T69" s="207">
        <f>SUMIFS('апрель 2023'!$G$4:$G$692,'апрель 2023'!$D$4:$D$692,$B69,'апрель 2023'!$J$4:$J$692,T$1)</f>
        <v>0</v>
      </c>
      <c r="U69" s="207">
        <f>SUMIFS('апрель 2023'!$G$4:$G$692,'апрель 2023'!$D$4:$D$692,$B69,'апрель 2023'!$J$4:$J$692,U$1)</f>
        <v>0</v>
      </c>
      <c r="V69" s="207">
        <f>SUMIFS('апрель 2023'!$G$4:$G$692,'апрель 2023'!$D$4:$D$692,$B69,'апрель 2023'!$J$4:$J$692,V$1)</f>
        <v>0</v>
      </c>
      <c r="W69" s="207">
        <f>SUMIFS('апрель 2023'!$G$4:$G$692,'апрель 2023'!$D$4:$D$692,$B69,'апрель 2023'!$J$4:$J$692,W$1)</f>
        <v>0</v>
      </c>
      <c r="X69" s="207">
        <f>SUMIFS('апрель 2023'!$G$4:$G$692,'апрель 2023'!$D$4:$D$692,$B69,'апрель 2023'!$J$4:$J$692,X$1)</f>
        <v>0</v>
      </c>
      <c r="Y69" s="207">
        <f>SUMIFS('апрель 2023'!$G$4:$G$692,'апрель 2023'!$D$4:$D$692,$B69,'апрель 2023'!$J$4:$J$692,Y$1)</f>
        <v>0</v>
      </c>
      <c r="Z69" s="207">
        <f>SUMIFS('апрель 2023'!$G$4:$G$692,'апрель 2023'!$D$4:$D$692,$B69,'апрель 2023'!$J$4:$J$692,Z$1)</f>
        <v>0</v>
      </c>
      <c r="AA69" s="207">
        <f>SUMIFS('апрель 2023'!$G$4:$G$692,'апрель 2023'!$D$4:$D$692,$B69,'апрель 2023'!$J$4:$J$692,AA$1)</f>
        <v>0</v>
      </c>
      <c r="AB69" s="207">
        <f>SUMIFS('апрель 2023'!$G$4:$G$692,'апрель 2023'!$D$4:$D$692,$B69,'апрель 2023'!$J$4:$J$692,AB$1)</f>
        <v>0</v>
      </c>
      <c r="AC69" s="207">
        <f>SUMIFS('апрель 2023'!$G$4:$G$692,'апрель 2023'!$D$4:$D$692,$B69,'апрель 2023'!$J$4:$J$692,AC$1)</f>
        <v>0</v>
      </c>
      <c r="AD69" s="207">
        <f>SUMIFS('апрель 2023'!$G$4:$G$692,'апрель 2023'!$D$4:$D$692,$B69,'апрель 2023'!$J$4:$J$692,AD$1)</f>
        <v>0</v>
      </c>
      <c r="AE69" s="207">
        <f>SUMIFS('апрель 2023'!$G$4:$G$692,'апрель 2023'!$D$4:$D$692,$B69,'апрель 2023'!$J$4:$J$692,AE$1)</f>
        <v>0</v>
      </c>
      <c r="AF69" s="207">
        <f>SUMIFS('апрель 2023'!$G$4:$G$692,'апрель 2023'!$D$4:$D$692,$B69,'апрель 2023'!$J$4:$J$692,AF$1)</f>
        <v>0</v>
      </c>
      <c r="AG69" s="207">
        <f>SUMIFS('апрель 2023'!$G$4:$G$692,'апрель 2023'!$D$4:$D$692,$B69,'апрель 2023'!$J$4:$J$692,AG$1)</f>
        <v>0</v>
      </c>
      <c r="AH69" s="207">
        <f>SUMIFS('апрель 2023'!$G$4:$G$692,'апрель 2023'!$D$4:$D$692,$B69,'апрель 2023'!$J$4:$J$692,AH$1)</f>
        <v>0</v>
      </c>
      <c r="AI69" s="170">
        <f t="shared" si="2"/>
        <v>176</v>
      </c>
    </row>
    <row r="70" spans="2:35" ht="15" customHeight="1" x14ac:dyDescent="0.25">
      <c r="B70" s="216" t="s">
        <v>498</v>
      </c>
      <c r="C70" s="213">
        <v>185</v>
      </c>
      <c r="D70" s="207">
        <f>SUMIFS('апрель 2023'!$G$4:$G$692,'апрель 2023'!$D$4:$D$692,$B70,'апрель 2023'!$J$4:$J$692,D$1)</f>
        <v>0</v>
      </c>
      <c r="E70" s="207">
        <f>SUMIFS('апрель 2023'!$G$4:$G$692,'апрель 2023'!$D$4:$D$692,$B70,'апрель 2023'!$J$4:$J$692,E$1)</f>
        <v>0</v>
      </c>
      <c r="F70" s="207">
        <f>SUMIFS('апрель 2023'!$G$4:$G$692,'апрель 2023'!$D$4:$D$692,$B70,'апрель 2023'!$J$4:$J$692,F$1)</f>
        <v>0</v>
      </c>
      <c r="G70" s="207">
        <f>SUMIFS('апрель 2023'!$G$4:$G$692,'апрель 2023'!$D$4:$D$692,$B70,'апрель 2023'!$J$4:$J$692,G$1)</f>
        <v>0</v>
      </c>
      <c r="H70" s="207">
        <f>SUMIFS('апрель 2023'!$G$4:$G$692,'апрель 2023'!$D$4:$D$692,$B70,'апрель 2023'!$J$4:$J$692,H$1)</f>
        <v>0</v>
      </c>
      <c r="I70" s="207">
        <f>SUMIFS('апрель 2023'!$G$4:$G$692,'апрель 2023'!$D$4:$D$692,$B70,'апрель 2023'!$J$4:$J$692,I$1)</f>
        <v>0</v>
      </c>
      <c r="J70" s="207">
        <f>SUMIFS('апрель 2023'!$G$4:$G$692,'апрель 2023'!$D$4:$D$692,$B70,'апрель 2023'!$J$4:$J$692,J$1)</f>
        <v>0</v>
      </c>
      <c r="K70" s="207">
        <f>SUMIFS('апрель 2023'!$G$4:$G$692,'апрель 2023'!$D$4:$D$692,$B70,'апрель 2023'!$J$4:$J$692,K$1)</f>
        <v>0</v>
      </c>
      <c r="L70" s="207">
        <f>SUMIFS('апрель 2023'!$G$4:$G$692,'апрель 2023'!$D$4:$D$692,$B70,'апрель 2023'!$J$4:$J$692,L$1)</f>
        <v>0</v>
      </c>
      <c r="M70" s="207">
        <f>SUMIFS('апрель 2023'!$G$4:$G$692,'апрель 2023'!$D$4:$D$692,$B70,'апрель 2023'!$J$4:$J$692,M$1)</f>
        <v>0</v>
      </c>
      <c r="N70" s="207">
        <f>SUMIFS('апрель 2023'!$G$4:$G$692,'апрель 2023'!$D$4:$D$692,$B70,'апрель 2023'!$J$4:$J$692,N$1)</f>
        <v>0</v>
      </c>
      <c r="O70" s="207">
        <f>SUMIFS('апрель 2023'!$G$4:$G$692,'апрель 2023'!$D$4:$D$692,$B70,'апрель 2023'!$J$4:$J$692,O$1)</f>
        <v>0</v>
      </c>
      <c r="P70" s="207">
        <f>SUMIFS('апрель 2023'!$G$4:$G$692,'апрель 2023'!$D$4:$D$692,$B70,'апрель 2023'!$J$4:$J$692,P$1)</f>
        <v>0</v>
      </c>
      <c r="Q70" s="207">
        <f>SUMIFS('апрель 2023'!$G$4:$G$692,'апрель 2023'!$D$4:$D$692,$B70,'апрель 2023'!$J$4:$J$692,Q$1)</f>
        <v>0</v>
      </c>
      <c r="R70" s="207">
        <f>SUMIFS('апрель 2023'!$G$4:$G$692,'апрель 2023'!$D$4:$D$692,$B70,'апрель 2023'!$J$4:$J$692,R$1)</f>
        <v>0</v>
      </c>
      <c r="S70" s="207">
        <f>SUMIFS('апрель 2023'!$G$4:$G$692,'апрель 2023'!$D$4:$D$692,$B70,'апрель 2023'!$J$4:$J$692,S$1)</f>
        <v>0</v>
      </c>
      <c r="T70" s="207">
        <f>SUMIFS('апрель 2023'!$G$4:$G$692,'апрель 2023'!$D$4:$D$692,$B70,'апрель 2023'!$J$4:$J$692,T$1)</f>
        <v>0</v>
      </c>
      <c r="U70" s="207">
        <f>SUMIFS('апрель 2023'!$G$4:$G$692,'апрель 2023'!$D$4:$D$692,$B70,'апрель 2023'!$J$4:$J$692,U$1)</f>
        <v>0</v>
      </c>
      <c r="V70" s="207">
        <f>SUMIFS('апрель 2023'!$G$4:$G$692,'апрель 2023'!$D$4:$D$692,$B70,'апрель 2023'!$J$4:$J$692,V$1)</f>
        <v>0</v>
      </c>
      <c r="W70" s="207">
        <f>SUMIFS('апрель 2023'!$G$4:$G$692,'апрель 2023'!$D$4:$D$692,$B70,'апрель 2023'!$J$4:$J$692,W$1)</f>
        <v>0</v>
      </c>
      <c r="X70" s="207">
        <f>SUMIFS('апрель 2023'!$G$4:$G$692,'апрель 2023'!$D$4:$D$692,$B70,'апрель 2023'!$J$4:$J$692,X$1)</f>
        <v>0</v>
      </c>
      <c r="Y70" s="207">
        <f>SUMIFS('апрель 2023'!$G$4:$G$692,'апрель 2023'!$D$4:$D$692,$B70,'апрель 2023'!$J$4:$J$692,Y$1)</f>
        <v>0</v>
      </c>
      <c r="Z70" s="207">
        <f>SUMIFS('апрель 2023'!$G$4:$G$692,'апрель 2023'!$D$4:$D$692,$B70,'апрель 2023'!$J$4:$J$692,Z$1)</f>
        <v>0</v>
      </c>
      <c r="AA70" s="207">
        <f>SUMIFS('апрель 2023'!$G$4:$G$692,'апрель 2023'!$D$4:$D$692,$B70,'апрель 2023'!$J$4:$J$692,AA$1)</f>
        <v>0</v>
      </c>
      <c r="AB70" s="207">
        <f>SUMIFS('апрель 2023'!$G$4:$G$692,'апрель 2023'!$D$4:$D$692,$B70,'апрель 2023'!$J$4:$J$692,AB$1)</f>
        <v>0</v>
      </c>
      <c r="AC70" s="207">
        <f>SUMIFS('апрель 2023'!$G$4:$G$692,'апрель 2023'!$D$4:$D$692,$B70,'апрель 2023'!$J$4:$J$692,AC$1)</f>
        <v>0</v>
      </c>
      <c r="AD70" s="207">
        <f>SUMIFS('апрель 2023'!$G$4:$G$692,'апрель 2023'!$D$4:$D$692,$B70,'апрель 2023'!$J$4:$J$692,AD$1)</f>
        <v>0</v>
      </c>
      <c r="AE70" s="207">
        <f>SUMIFS('апрель 2023'!$G$4:$G$692,'апрель 2023'!$D$4:$D$692,$B70,'апрель 2023'!$J$4:$J$692,AE$1)</f>
        <v>0</v>
      </c>
      <c r="AF70" s="207">
        <f>SUMIFS('апрель 2023'!$G$4:$G$692,'апрель 2023'!$D$4:$D$692,$B70,'апрель 2023'!$J$4:$J$692,AF$1)</f>
        <v>0</v>
      </c>
      <c r="AG70" s="207">
        <f>SUMIFS('апрель 2023'!$G$4:$G$692,'апрель 2023'!$D$4:$D$692,$B70,'апрель 2023'!$J$4:$J$692,AG$1)</f>
        <v>0</v>
      </c>
      <c r="AH70" s="207">
        <f>SUMIFS('апрель 2023'!$G$4:$G$692,'апрель 2023'!$D$4:$D$692,$B70,'апрель 2023'!$J$4:$J$692,AH$1)</f>
        <v>0</v>
      </c>
      <c r="AI70" s="170">
        <f t="shared" si="2"/>
        <v>0</v>
      </c>
    </row>
    <row r="71" spans="2:35" ht="15" customHeight="1" x14ac:dyDescent="0.25">
      <c r="B71" s="216" t="s">
        <v>155</v>
      </c>
      <c r="C71" s="213">
        <v>185</v>
      </c>
      <c r="D71" s="207">
        <f>SUMIFS('апрель 2023'!$G$4:$G$692,'апрель 2023'!$D$4:$D$692,$B71,'апрель 2023'!$J$4:$J$692,D$1)</f>
        <v>0</v>
      </c>
      <c r="E71" s="207">
        <f>SUMIFS('апрель 2023'!$G$4:$G$692,'апрель 2023'!$D$4:$D$692,$B71,'апрель 2023'!$J$4:$J$692,E$1)</f>
        <v>0</v>
      </c>
      <c r="F71" s="207">
        <f>SUMIFS('апрель 2023'!$G$4:$G$692,'апрель 2023'!$D$4:$D$692,$B71,'апрель 2023'!$J$4:$J$692,F$1)</f>
        <v>0</v>
      </c>
      <c r="G71" s="207">
        <f>SUMIFS('апрель 2023'!$G$4:$G$692,'апрель 2023'!$D$4:$D$692,$B71,'апрель 2023'!$J$4:$J$692,G$1)</f>
        <v>0</v>
      </c>
      <c r="H71" s="207">
        <f>SUMIFS('апрель 2023'!$G$4:$G$692,'апрель 2023'!$D$4:$D$692,$B71,'апрель 2023'!$J$4:$J$692,H$1)</f>
        <v>0</v>
      </c>
      <c r="I71" s="207">
        <f>SUMIFS('апрель 2023'!$G$4:$G$692,'апрель 2023'!$D$4:$D$692,$B71,'апрель 2023'!$J$4:$J$692,I$1)</f>
        <v>0</v>
      </c>
      <c r="J71" s="207">
        <f>SUMIFS('апрель 2023'!$G$4:$G$692,'апрель 2023'!$D$4:$D$692,$B71,'апрель 2023'!$J$4:$J$692,J$1)</f>
        <v>0</v>
      </c>
      <c r="K71" s="207">
        <f>SUMIFS('апрель 2023'!$G$4:$G$692,'апрель 2023'!$D$4:$D$692,$B71,'апрель 2023'!$J$4:$J$692,K$1)</f>
        <v>0</v>
      </c>
      <c r="L71" s="207">
        <f>SUMIFS('апрель 2023'!$G$4:$G$692,'апрель 2023'!$D$4:$D$692,$B71,'апрель 2023'!$J$4:$J$692,L$1)</f>
        <v>0</v>
      </c>
      <c r="M71" s="207">
        <f>SUMIFS('апрель 2023'!$G$4:$G$692,'апрель 2023'!$D$4:$D$692,$B71,'апрель 2023'!$J$4:$J$692,M$1)</f>
        <v>0</v>
      </c>
      <c r="N71" s="207">
        <f>SUMIFS('апрель 2023'!$G$4:$G$692,'апрель 2023'!$D$4:$D$692,$B71,'апрель 2023'!$J$4:$J$692,N$1)</f>
        <v>0</v>
      </c>
      <c r="O71" s="207">
        <f>SUMIFS('апрель 2023'!$G$4:$G$692,'апрель 2023'!$D$4:$D$692,$B71,'апрель 2023'!$J$4:$J$692,O$1)</f>
        <v>0</v>
      </c>
      <c r="P71" s="207">
        <f>SUMIFS('апрель 2023'!$G$4:$G$692,'апрель 2023'!$D$4:$D$692,$B71,'апрель 2023'!$J$4:$J$692,P$1)</f>
        <v>0</v>
      </c>
      <c r="Q71" s="207">
        <f>SUMIFS('апрель 2023'!$G$4:$G$692,'апрель 2023'!$D$4:$D$692,$B71,'апрель 2023'!$J$4:$J$692,Q$1)</f>
        <v>0</v>
      </c>
      <c r="R71" s="207">
        <f>SUMIFS('апрель 2023'!$G$4:$G$692,'апрель 2023'!$D$4:$D$692,$B71,'апрель 2023'!$J$4:$J$692,R$1)</f>
        <v>0</v>
      </c>
      <c r="S71" s="207">
        <f>SUMIFS('апрель 2023'!$G$4:$G$692,'апрель 2023'!$D$4:$D$692,$B71,'апрель 2023'!$J$4:$J$692,S$1)</f>
        <v>0</v>
      </c>
      <c r="T71" s="207">
        <f>SUMIFS('апрель 2023'!$G$4:$G$692,'апрель 2023'!$D$4:$D$692,$B71,'апрель 2023'!$J$4:$J$692,T$1)</f>
        <v>0</v>
      </c>
      <c r="U71" s="207">
        <f>SUMIFS('апрель 2023'!$G$4:$G$692,'апрель 2023'!$D$4:$D$692,$B71,'апрель 2023'!$J$4:$J$692,U$1)</f>
        <v>0</v>
      </c>
      <c r="V71" s="207">
        <f>SUMIFS('апрель 2023'!$G$4:$G$692,'апрель 2023'!$D$4:$D$692,$B71,'апрель 2023'!$J$4:$J$692,V$1)</f>
        <v>0</v>
      </c>
      <c r="W71" s="207">
        <f>SUMIFS('апрель 2023'!$G$4:$G$692,'апрель 2023'!$D$4:$D$692,$B71,'апрель 2023'!$J$4:$J$692,W$1)</f>
        <v>0</v>
      </c>
      <c r="X71" s="207">
        <f>SUMIFS('апрель 2023'!$G$4:$G$692,'апрель 2023'!$D$4:$D$692,$B71,'апрель 2023'!$J$4:$J$692,X$1)</f>
        <v>0</v>
      </c>
      <c r="Y71" s="207">
        <f>SUMIFS('апрель 2023'!$G$4:$G$692,'апрель 2023'!$D$4:$D$692,$B71,'апрель 2023'!$J$4:$J$692,Y$1)</f>
        <v>0</v>
      </c>
      <c r="Z71" s="207">
        <f>SUMIFS('апрель 2023'!$G$4:$G$692,'апрель 2023'!$D$4:$D$692,$B71,'апрель 2023'!$J$4:$J$692,Z$1)</f>
        <v>0</v>
      </c>
      <c r="AA71" s="207">
        <f>SUMIFS('апрель 2023'!$G$4:$G$692,'апрель 2023'!$D$4:$D$692,$B71,'апрель 2023'!$J$4:$J$692,AA$1)</f>
        <v>0</v>
      </c>
      <c r="AB71" s="207">
        <f>SUMIFS('апрель 2023'!$G$4:$G$692,'апрель 2023'!$D$4:$D$692,$B71,'апрель 2023'!$J$4:$J$692,AB$1)</f>
        <v>0</v>
      </c>
      <c r="AC71" s="207">
        <f>SUMIFS('апрель 2023'!$G$4:$G$692,'апрель 2023'!$D$4:$D$692,$B71,'апрель 2023'!$J$4:$J$692,AC$1)</f>
        <v>0</v>
      </c>
      <c r="AD71" s="207">
        <f>SUMIFS('апрель 2023'!$G$4:$G$692,'апрель 2023'!$D$4:$D$692,$B71,'апрель 2023'!$J$4:$J$692,AD$1)</f>
        <v>0</v>
      </c>
      <c r="AE71" s="207">
        <f>SUMIFS('апрель 2023'!$G$4:$G$692,'апрель 2023'!$D$4:$D$692,$B71,'апрель 2023'!$J$4:$J$692,AE$1)</f>
        <v>0</v>
      </c>
      <c r="AF71" s="207">
        <f>SUMIFS('апрель 2023'!$G$4:$G$692,'апрель 2023'!$D$4:$D$692,$B71,'апрель 2023'!$J$4:$J$692,AF$1)</f>
        <v>0</v>
      </c>
      <c r="AG71" s="207">
        <f>SUMIFS('апрель 2023'!$G$4:$G$692,'апрель 2023'!$D$4:$D$692,$B71,'апрель 2023'!$J$4:$J$692,AG$1)</f>
        <v>0</v>
      </c>
      <c r="AH71" s="207">
        <f>SUMIFS('апрель 2023'!$G$4:$G$692,'апрель 2023'!$D$4:$D$692,$B71,'апрель 2023'!$J$4:$J$692,AH$1)</f>
        <v>0</v>
      </c>
      <c r="AI71" s="170">
        <f t="shared" si="2"/>
        <v>0</v>
      </c>
    </row>
    <row r="72" spans="2:35" ht="15" customHeight="1" x14ac:dyDescent="0.25">
      <c r="B72" s="216" t="s">
        <v>2180</v>
      </c>
      <c r="C72" s="213">
        <v>180</v>
      </c>
      <c r="D72" s="207">
        <f>SUMIFS('апрель 2023'!$G$4:$G$692,'апрель 2023'!$D$4:$D$692,$B72,'апрель 2023'!$J$4:$J$692,D$1)</f>
        <v>0</v>
      </c>
      <c r="E72" s="207">
        <f>SUMIFS('апрель 2023'!$G$4:$G$692,'апрель 2023'!$D$4:$D$692,$B72,'апрель 2023'!$J$4:$J$692,E$1)</f>
        <v>0</v>
      </c>
      <c r="F72" s="207">
        <f>SUMIFS('апрель 2023'!$G$4:$G$692,'апрель 2023'!$D$4:$D$692,$B72,'апрель 2023'!$J$4:$J$692,F$1)</f>
        <v>0</v>
      </c>
      <c r="G72" s="207">
        <f>SUMIFS('апрель 2023'!$G$4:$G$692,'апрель 2023'!$D$4:$D$692,$B72,'апрель 2023'!$J$4:$J$692,G$1)</f>
        <v>0</v>
      </c>
      <c r="H72" s="207">
        <f>SUMIFS('апрель 2023'!$G$4:$G$692,'апрель 2023'!$D$4:$D$692,$B72,'апрель 2023'!$J$4:$J$692,H$1)</f>
        <v>0</v>
      </c>
      <c r="I72" s="207">
        <f>SUMIFS('апрель 2023'!$G$4:$G$692,'апрель 2023'!$D$4:$D$692,$B72,'апрель 2023'!$J$4:$J$692,I$1)</f>
        <v>0</v>
      </c>
      <c r="J72" s="207">
        <f>SUMIFS('апрель 2023'!$G$4:$G$692,'апрель 2023'!$D$4:$D$692,$B72,'апрель 2023'!$J$4:$J$692,J$1)</f>
        <v>0</v>
      </c>
      <c r="K72" s="207">
        <f>SUMIFS('апрель 2023'!$G$4:$G$692,'апрель 2023'!$D$4:$D$692,$B72,'апрель 2023'!$J$4:$J$692,K$1)</f>
        <v>0</v>
      </c>
      <c r="L72" s="207">
        <f>SUMIFS('апрель 2023'!$G$4:$G$692,'апрель 2023'!$D$4:$D$692,$B72,'апрель 2023'!$J$4:$J$692,L$1)</f>
        <v>0</v>
      </c>
      <c r="M72" s="207">
        <f>SUMIFS('апрель 2023'!$G$4:$G$692,'апрель 2023'!$D$4:$D$692,$B72,'апрель 2023'!$J$4:$J$692,M$1)</f>
        <v>0</v>
      </c>
      <c r="N72" s="207">
        <f>SUMIFS('апрель 2023'!$G$4:$G$692,'апрель 2023'!$D$4:$D$692,$B72,'апрель 2023'!$J$4:$J$692,N$1)</f>
        <v>0</v>
      </c>
      <c r="O72" s="207">
        <f>SUMIFS('апрель 2023'!$G$4:$G$692,'апрель 2023'!$D$4:$D$692,$B72,'апрель 2023'!$J$4:$J$692,O$1)</f>
        <v>0</v>
      </c>
      <c r="P72" s="207">
        <f>SUMIFS('апрель 2023'!$G$4:$G$692,'апрель 2023'!$D$4:$D$692,$B72,'апрель 2023'!$J$4:$J$692,P$1)</f>
        <v>0</v>
      </c>
      <c r="Q72" s="207">
        <f>SUMIFS('апрель 2023'!$G$4:$G$692,'апрель 2023'!$D$4:$D$692,$B72,'апрель 2023'!$J$4:$J$692,Q$1)</f>
        <v>0</v>
      </c>
      <c r="R72" s="207">
        <f>SUMIFS('апрель 2023'!$G$4:$G$692,'апрель 2023'!$D$4:$D$692,$B72,'апрель 2023'!$J$4:$J$692,R$1)</f>
        <v>0</v>
      </c>
      <c r="S72" s="207">
        <f>SUMIFS('апрель 2023'!$G$4:$G$692,'апрель 2023'!$D$4:$D$692,$B72,'апрель 2023'!$J$4:$J$692,S$1)</f>
        <v>0</v>
      </c>
      <c r="T72" s="207">
        <f>SUMIFS('апрель 2023'!$G$4:$G$692,'апрель 2023'!$D$4:$D$692,$B72,'апрель 2023'!$J$4:$J$692,T$1)</f>
        <v>0</v>
      </c>
      <c r="U72" s="207">
        <f>SUMIFS('апрель 2023'!$G$4:$G$692,'апрель 2023'!$D$4:$D$692,$B72,'апрель 2023'!$J$4:$J$692,U$1)</f>
        <v>0</v>
      </c>
      <c r="V72" s="207">
        <f>SUMIFS('апрель 2023'!$G$4:$G$692,'апрель 2023'!$D$4:$D$692,$B72,'апрель 2023'!$J$4:$J$692,V$1)</f>
        <v>0</v>
      </c>
      <c r="W72" s="207">
        <f>SUMIFS('апрель 2023'!$G$4:$G$692,'апрель 2023'!$D$4:$D$692,$B72,'апрель 2023'!$J$4:$J$692,W$1)</f>
        <v>0</v>
      </c>
      <c r="X72" s="207">
        <f>SUMIFS('апрель 2023'!$G$4:$G$692,'апрель 2023'!$D$4:$D$692,$B72,'апрель 2023'!$J$4:$J$692,X$1)</f>
        <v>0</v>
      </c>
      <c r="Y72" s="207">
        <f>SUMIFS('апрель 2023'!$G$4:$G$692,'апрель 2023'!$D$4:$D$692,$B72,'апрель 2023'!$J$4:$J$692,Y$1)</f>
        <v>0</v>
      </c>
      <c r="Z72" s="207">
        <f>SUMIFS('апрель 2023'!$G$4:$G$692,'апрель 2023'!$D$4:$D$692,$B72,'апрель 2023'!$J$4:$J$692,Z$1)</f>
        <v>0</v>
      </c>
      <c r="AA72" s="207">
        <f>SUMIFS('апрель 2023'!$G$4:$G$692,'апрель 2023'!$D$4:$D$692,$B72,'апрель 2023'!$J$4:$J$692,AA$1)</f>
        <v>0</v>
      </c>
      <c r="AB72" s="207">
        <f>SUMIFS('апрель 2023'!$G$4:$G$692,'апрель 2023'!$D$4:$D$692,$B72,'апрель 2023'!$J$4:$J$692,AB$1)</f>
        <v>0</v>
      </c>
      <c r="AC72" s="207">
        <f>SUMIFS('апрель 2023'!$G$4:$G$692,'апрель 2023'!$D$4:$D$692,$B72,'апрель 2023'!$J$4:$J$692,AC$1)</f>
        <v>0</v>
      </c>
      <c r="AD72" s="207">
        <f>SUMIFS('апрель 2023'!$G$4:$G$692,'апрель 2023'!$D$4:$D$692,$B72,'апрель 2023'!$J$4:$J$692,AD$1)</f>
        <v>0</v>
      </c>
      <c r="AE72" s="207">
        <f>SUMIFS('апрель 2023'!$G$4:$G$692,'апрель 2023'!$D$4:$D$692,$B72,'апрель 2023'!$J$4:$J$692,AE$1)</f>
        <v>0</v>
      </c>
      <c r="AF72" s="207">
        <f>SUMIFS('апрель 2023'!$G$4:$G$692,'апрель 2023'!$D$4:$D$692,$B72,'апрель 2023'!$J$4:$J$692,AF$1)</f>
        <v>0</v>
      </c>
      <c r="AG72" s="207">
        <f>SUMIFS('апрель 2023'!$G$4:$G$692,'апрель 2023'!$D$4:$D$692,$B72,'апрель 2023'!$J$4:$J$692,AG$1)</f>
        <v>0</v>
      </c>
      <c r="AH72" s="207">
        <f>SUMIFS('апрель 2023'!$G$4:$G$692,'апрель 2023'!$D$4:$D$692,$B72,'апрель 2023'!$J$4:$J$692,AH$1)</f>
        <v>0</v>
      </c>
      <c r="AI72" s="170">
        <f t="shared" si="2"/>
        <v>0</v>
      </c>
    </row>
    <row r="73" spans="2:35" ht="15" customHeight="1" x14ac:dyDescent="0.25">
      <c r="B73" s="212" t="s">
        <v>2183</v>
      </c>
      <c r="C73" s="211">
        <v>180</v>
      </c>
      <c r="D73" s="207">
        <f>SUMIFS('апрель 2023'!$G$4:$G$692,'апрель 2023'!$D$4:$D$692,$B73,'апрель 2023'!$J$4:$J$692,D$1)</f>
        <v>0</v>
      </c>
      <c r="E73" s="207">
        <f>SUMIFS('апрель 2023'!$G$4:$G$692,'апрель 2023'!$D$4:$D$692,$B73,'апрель 2023'!$J$4:$J$692,E$1)</f>
        <v>0</v>
      </c>
      <c r="F73" s="207">
        <f>SUMIFS('апрель 2023'!$G$4:$G$692,'апрель 2023'!$D$4:$D$692,$B73,'апрель 2023'!$J$4:$J$692,F$1)</f>
        <v>0</v>
      </c>
      <c r="G73" s="207">
        <f>SUMIFS('апрель 2023'!$G$4:$G$692,'апрель 2023'!$D$4:$D$692,$B73,'апрель 2023'!$J$4:$J$692,G$1)</f>
        <v>0</v>
      </c>
      <c r="H73" s="207">
        <f>SUMIFS('апрель 2023'!$G$4:$G$692,'апрель 2023'!$D$4:$D$692,$B73,'апрель 2023'!$J$4:$J$692,H$1)</f>
        <v>0</v>
      </c>
      <c r="I73" s="207">
        <f>SUMIFS('апрель 2023'!$G$4:$G$692,'апрель 2023'!$D$4:$D$692,$B73,'апрель 2023'!$J$4:$J$692,I$1)</f>
        <v>0</v>
      </c>
      <c r="J73" s="207">
        <f>SUMIFS('апрель 2023'!$G$4:$G$692,'апрель 2023'!$D$4:$D$692,$B73,'апрель 2023'!$J$4:$J$692,J$1)</f>
        <v>0</v>
      </c>
      <c r="K73" s="207">
        <f>SUMIFS('апрель 2023'!$G$4:$G$692,'апрель 2023'!$D$4:$D$692,$B73,'апрель 2023'!$J$4:$J$692,K$1)</f>
        <v>0</v>
      </c>
      <c r="L73" s="207">
        <f>SUMIFS('апрель 2023'!$G$4:$G$692,'апрель 2023'!$D$4:$D$692,$B73,'апрель 2023'!$J$4:$J$692,L$1)</f>
        <v>0</v>
      </c>
      <c r="M73" s="207">
        <f>SUMIFS('апрель 2023'!$G$4:$G$692,'апрель 2023'!$D$4:$D$692,$B73,'апрель 2023'!$J$4:$J$692,M$1)</f>
        <v>0</v>
      </c>
      <c r="N73" s="207">
        <f>SUMIFS('апрель 2023'!$G$4:$G$692,'апрель 2023'!$D$4:$D$692,$B73,'апрель 2023'!$J$4:$J$692,N$1)</f>
        <v>0</v>
      </c>
      <c r="O73" s="207">
        <f>SUMIFS('апрель 2023'!$G$4:$G$692,'апрель 2023'!$D$4:$D$692,$B73,'апрель 2023'!$J$4:$J$692,O$1)</f>
        <v>0</v>
      </c>
      <c r="P73" s="207">
        <f>SUMIFS('апрель 2023'!$G$4:$G$692,'апрель 2023'!$D$4:$D$692,$B73,'апрель 2023'!$J$4:$J$692,P$1)</f>
        <v>0</v>
      </c>
      <c r="Q73" s="207">
        <f>SUMIFS('апрель 2023'!$G$4:$G$692,'апрель 2023'!$D$4:$D$692,$B73,'апрель 2023'!$J$4:$J$692,Q$1)</f>
        <v>0</v>
      </c>
      <c r="R73" s="207">
        <f>SUMIFS('апрель 2023'!$G$4:$G$692,'апрель 2023'!$D$4:$D$692,$B73,'апрель 2023'!$J$4:$J$692,R$1)</f>
        <v>0</v>
      </c>
      <c r="S73" s="207">
        <f>SUMIFS('апрель 2023'!$G$4:$G$692,'апрель 2023'!$D$4:$D$692,$B73,'апрель 2023'!$J$4:$J$692,S$1)</f>
        <v>0</v>
      </c>
      <c r="T73" s="207">
        <f>SUMIFS('апрель 2023'!$G$4:$G$692,'апрель 2023'!$D$4:$D$692,$B73,'апрель 2023'!$J$4:$J$692,T$1)</f>
        <v>0</v>
      </c>
      <c r="U73" s="207">
        <f>SUMIFS('апрель 2023'!$G$4:$G$692,'апрель 2023'!$D$4:$D$692,$B73,'апрель 2023'!$J$4:$J$692,U$1)</f>
        <v>0</v>
      </c>
      <c r="V73" s="207">
        <f>SUMIFS('апрель 2023'!$G$4:$G$692,'апрель 2023'!$D$4:$D$692,$B73,'апрель 2023'!$J$4:$J$692,V$1)</f>
        <v>0</v>
      </c>
      <c r="W73" s="207">
        <f>SUMIFS('апрель 2023'!$G$4:$G$692,'апрель 2023'!$D$4:$D$692,$B73,'апрель 2023'!$J$4:$J$692,W$1)</f>
        <v>0</v>
      </c>
      <c r="X73" s="207">
        <f>SUMIFS('апрель 2023'!$G$4:$G$692,'апрель 2023'!$D$4:$D$692,$B73,'апрель 2023'!$J$4:$J$692,X$1)</f>
        <v>0</v>
      </c>
      <c r="Y73" s="207">
        <f>SUMIFS('апрель 2023'!$G$4:$G$692,'апрель 2023'!$D$4:$D$692,$B73,'апрель 2023'!$J$4:$J$692,Y$1)</f>
        <v>0</v>
      </c>
      <c r="Z73" s="207">
        <f>SUMIFS('апрель 2023'!$G$4:$G$692,'апрель 2023'!$D$4:$D$692,$B73,'апрель 2023'!$J$4:$J$692,Z$1)</f>
        <v>0</v>
      </c>
      <c r="AA73" s="207">
        <f>SUMIFS('апрель 2023'!$G$4:$G$692,'апрель 2023'!$D$4:$D$692,$B73,'апрель 2023'!$J$4:$J$692,AA$1)</f>
        <v>0</v>
      </c>
      <c r="AB73" s="207">
        <f>SUMIFS('апрель 2023'!$G$4:$G$692,'апрель 2023'!$D$4:$D$692,$B73,'апрель 2023'!$J$4:$J$692,AB$1)</f>
        <v>0</v>
      </c>
      <c r="AC73" s="207">
        <f>SUMIFS('апрель 2023'!$G$4:$G$692,'апрель 2023'!$D$4:$D$692,$B73,'апрель 2023'!$J$4:$J$692,AC$1)</f>
        <v>0</v>
      </c>
      <c r="AD73" s="207">
        <f>SUMIFS('апрель 2023'!$G$4:$G$692,'апрель 2023'!$D$4:$D$692,$B73,'апрель 2023'!$J$4:$J$692,AD$1)</f>
        <v>0</v>
      </c>
      <c r="AE73" s="207">
        <f>SUMIFS('апрель 2023'!$G$4:$G$692,'апрель 2023'!$D$4:$D$692,$B73,'апрель 2023'!$J$4:$J$692,AE$1)</f>
        <v>0</v>
      </c>
      <c r="AF73" s="207">
        <f>SUMIFS('апрель 2023'!$G$4:$G$692,'апрель 2023'!$D$4:$D$692,$B73,'апрель 2023'!$J$4:$J$692,AF$1)</f>
        <v>0</v>
      </c>
      <c r="AG73" s="207">
        <f>SUMIFS('апрель 2023'!$G$4:$G$692,'апрель 2023'!$D$4:$D$692,$B73,'апрель 2023'!$J$4:$J$692,AG$1)</f>
        <v>0</v>
      </c>
      <c r="AH73" s="207">
        <f>SUMIFS('апрель 2023'!$G$4:$G$692,'апрель 2023'!$D$4:$D$692,$B73,'апрель 2023'!$J$4:$J$692,AH$1)</f>
        <v>0</v>
      </c>
      <c r="AI73" s="170">
        <f t="shared" si="2"/>
        <v>0</v>
      </c>
    </row>
    <row r="74" spans="2:35" ht="15" customHeight="1" x14ac:dyDescent="0.25">
      <c r="B74" s="212" t="s">
        <v>561</v>
      </c>
      <c r="C74" s="211">
        <v>200</v>
      </c>
      <c r="D74" s="207">
        <f>SUMIFS('апрель 2023'!$G$4:$G$692,'апрель 2023'!$D$4:$D$692,$B74,'апрель 2023'!$J$4:$J$692,D$1)</f>
        <v>0</v>
      </c>
      <c r="E74" s="207">
        <f>SUMIFS('апрель 2023'!$G$4:$G$692,'апрель 2023'!$D$4:$D$692,$B74,'апрель 2023'!$J$4:$J$692,E$1)</f>
        <v>0</v>
      </c>
      <c r="F74" s="207">
        <f>SUMIFS('апрель 2023'!$G$4:$G$692,'апрель 2023'!$D$4:$D$692,$B74,'апрель 2023'!$J$4:$J$692,F$1)</f>
        <v>0</v>
      </c>
      <c r="G74" s="207">
        <f>SUMIFS('апрель 2023'!$G$4:$G$692,'апрель 2023'!$D$4:$D$692,$B74,'апрель 2023'!$J$4:$J$692,G$1)</f>
        <v>0</v>
      </c>
      <c r="H74" s="207">
        <f>SUMIFS('апрель 2023'!$G$4:$G$692,'апрель 2023'!$D$4:$D$692,$B74,'апрель 2023'!$J$4:$J$692,H$1)</f>
        <v>0</v>
      </c>
      <c r="I74" s="207">
        <f>SUMIFS('апрель 2023'!$G$4:$G$692,'апрель 2023'!$D$4:$D$692,$B74,'апрель 2023'!$J$4:$J$692,I$1)</f>
        <v>0</v>
      </c>
      <c r="J74" s="207">
        <f>SUMIFS('апрель 2023'!$G$4:$G$692,'апрель 2023'!$D$4:$D$692,$B74,'апрель 2023'!$J$4:$J$692,J$1)</f>
        <v>0</v>
      </c>
      <c r="K74" s="207">
        <f>SUMIFS('апрель 2023'!$G$4:$G$692,'апрель 2023'!$D$4:$D$692,$B74,'апрель 2023'!$J$4:$J$692,K$1)</f>
        <v>0</v>
      </c>
      <c r="L74" s="207">
        <f>SUMIFS('апрель 2023'!$G$4:$G$692,'апрель 2023'!$D$4:$D$692,$B74,'апрель 2023'!$J$4:$J$692,L$1)</f>
        <v>0</v>
      </c>
      <c r="M74" s="207">
        <f>SUMIFS('апрель 2023'!$G$4:$G$692,'апрель 2023'!$D$4:$D$692,$B74,'апрель 2023'!$J$4:$J$692,M$1)</f>
        <v>0</v>
      </c>
      <c r="N74" s="207">
        <f>SUMIFS('апрель 2023'!$G$4:$G$692,'апрель 2023'!$D$4:$D$692,$B74,'апрель 2023'!$J$4:$J$692,N$1)</f>
        <v>0</v>
      </c>
      <c r="O74" s="207">
        <f>SUMIFS('апрель 2023'!$G$4:$G$692,'апрель 2023'!$D$4:$D$692,$B74,'апрель 2023'!$J$4:$J$692,O$1)</f>
        <v>0</v>
      </c>
      <c r="P74" s="207">
        <f>SUMIFS('апрель 2023'!$G$4:$G$692,'апрель 2023'!$D$4:$D$692,$B74,'апрель 2023'!$J$4:$J$692,P$1)</f>
        <v>0</v>
      </c>
      <c r="Q74" s="207">
        <f>SUMIFS('апрель 2023'!$G$4:$G$692,'апрель 2023'!$D$4:$D$692,$B74,'апрель 2023'!$J$4:$J$692,Q$1)</f>
        <v>0</v>
      </c>
      <c r="R74" s="207">
        <f>SUMIFS('апрель 2023'!$G$4:$G$692,'апрель 2023'!$D$4:$D$692,$B74,'апрель 2023'!$J$4:$J$692,R$1)</f>
        <v>0</v>
      </c>
      <c r="S74" s="207">
        <f>SUMIFS('апрель 2023'!$G$4:$G$692,'апрель 2023'!$D$4:$D$692,$B74,'апрель 2023'!$J$4:$J$692,S$1)</f>
        <v>0</v>
      </c>
      <c r="T74" s="207">
        <f>SUMIFS('апрель 2023'!$G$4:$G$692,'апрель 2023'!$D$4:$D$692,$B74,'апрель 2023'!$J$4:$J$692,T$1)</f>
        <v>0</v>
      </c>
      <c r="U74" s="207">
        <f>SUMIFS('апрель 2023'!$G$4:$G$692,'апрель 2023'!$D$4:$D$692,$B74,'апрель 2023'!$J$4:$J$692,U$1)</f>
        <v>0</v>
      </c>
      <c r="V74" s="207">
        <f>SUMIFS('апрель 2023'!$G$4:$G$692,'апрель 2023'!$D$4:$D$692,$B74,'апрель 2023'!$J$4:$J$692,V$1)</f>
        <v>0</v>
      </c>
      <c r="W74" s="207">
        <f>SUMIFS('апрель 2023'!$G$4:$G$692,'апрель 2023'!$D$4:$D$692,$B74,'апрель 2023'!$J$4:$J$692,W$1)</f>
        <v>0</v>
      </c>
      <c r="X74" s="207">
        <f>SUMIFS('апрель 2023'!$G$4:$G$692,'апрель 2023'!$D$4:$D$692,$B74,'апрель 2023'!$J$4:$J$692,X$1)</f>
        <v>0</v>
      </c>
      <c r="Y74" s="207">
        <f>SUMIFS('апрель 2023'!$G$4:$G$692,'апрель 2023'!$D$4:$D$692,$B74,'апрель 2023'!$J$4:$J$692,Y$1)</f>
        <v>0</v>
      </c>
      <c r="Z74" s="207">
        <f>SUMIFS('апрель 2023'!$G$4:$G$692,'апрель 2023'!$D$4:$D$692,$B74,'апрель 2023'!$J$4:$J$692,Z$1)</f>
        <v>0</v>
      </c>
      <c r="AA74" s="207">
        <f>SUMIFS('апрель 2023'!$G$4:$G$692,'апрель 2023'!$D$4:$D$692,$B74,'апрель 2023'!$J$4:$J$692,AA$1)</f>
        <v>0</v>
      </c>
      <c r="AB74" s="207">
        <f>SUMIFS('апрель 2023'!$G$4:$G$692,'апрель 2023'!$D$4:$D$692,$B74,'апрель 2023'!$J$4:$J$692,AB$1)</f>
        <v>0</v>
      </c>
      <c r="AC74" s="207">
        <f>SUMIFS('апрель 2023'!$G$4:$G$692,'апрель 2023'!$D$4:$D$692,$B74,'апрель 2023'!$J$4:$J$692,AC$1)</f>
        <v>0</v>
      </c>
      <c r="AD74" s="207">
        <f>SUMIFS('апрель 2023'!$G$4:$G$692,'апрель 2023'!$D$4:$D$692,$B74,'апрель 2023'!$J$4:$J$692,AD$1)</f>
        <v>0</v>
      </c>
      <c r="AE74" s="207">
        <f>SUMIFS('апрель 2023'!$G$4:$G$692,'апрель 2023'!$D$4:$D$692,$B74,'апрель 2023'!$J$4:$J$692,AE$1)</f>
        <v>0</v>
      </c>
      <c r="AF74" s="207">
        <f>SUMIFS('апрель 2023'!$G$4:$G$692,'апрель 2023'!$D$4:$D$692,$B74,'апрель 2023'!$J$4:$J$692,AF$1)</f>
        <v>0</v>
      </c>
      <c r="AG74" s="207">
        <f>SUMIFS('апрель 2023'!$G$4:$G$692,'апрель 2023'!$D$4:$D$692,$B74,'апрель 2023'!$J$4:$J$692,AG$1)</f>
        <v>0</v>
      </c>
      <c r="AH74" s="207">
        <f>SUMIFS('апрель 2023'!$G$4:$G$692,'апрель 2023'!$D$4:$D$692,$B74,'апрель 2023'!$J$4:$J$692,AH$1)</f>
        <v>0</v>
      </c>
      <c r="AI74" s="170">
        <f t="shared" si="2"/>
        <v>0</v>
      </c>
    </row>
    <row r="75" spans="2:35" ht="15" customHeight="1" x14ac:dyDescent="0.25">
      <c r="B75" s="216" t="s">
        <v>1372</v>
      </c>
      <c r="C75" s="211">
        <v>180</v>
      </c>
      <c r="D75" s="207">
        <f>SUMIFS('апрель 2023'!$G$4:$G$692,'апрель 2023'!$D$4:$D$692,$B75,'апрель 2023'!$J$4:$J$692,D$1)</f>
        <v>0</v>
      </c>
      <c r="E75" s="207">
        <f>SUMIFS('апрель 2023'!$G$4:$G$692,'апрель 2023'!$D$4:$D$692,$B75,'апрель 2023'!$J$4:$J$692,E$1)</f>
        <v>0</v>
      </c>
      <c r="F75" s="207">
        <f>SUMIFS('апрель 2023'!$G$4:$G$692,'апрель 2023'!$D$4:$D$692,$B75,'апрель 2023'!$J$4:$J$692,F$1)</f>
        <v>0</v>
      </c>
      <c r="G75" s="207">
        <f>SUMIFS('апрель 2023'!$G$4:$G$692,'апрель 2023'!$D$4:$D$692,$B75,'апрель 2023'!$J$4:$J$692,G$1)</f>
        <v>0</v>
      </c>
      <c r="H75" s="207">
        <f>SUMIFS('апрель 2023'!$G$4:$G$692,'апрель 2023'!$D$4:$D$692,$B75,'апрель 2023'!$J$4:$J$692,H$1)</f>
        <v>0</v>
      </c>
      <c r="I75" s="207">
        <f>SUMIFS('апрель 2023'!$G$4:$G$692,'апрель 2023'!$D$4:$D$692,$B75,'апрель 2023'!$J$4:$J$692,I$1)</f>
        <v>0</v>
      </c>
      <c r="J75" s="207">
        <f>SUMIFS('апрель 2023'!$G$4:$G$692,'апрель 2023'!$D$4:$D$692,$B75,'апрель 2023'!$J$4:$J$692,J$1)</f>
        <v>0</v>
      </c>
      <c r="K75" s="207">
        <f>SUMIFS('апрель 2023'!$G$4:$G$692,'апрель 2023'!$D$4:$D$692,$B75,'апрель 2023'!$J$4:$J$692,K$1)</f>
        <v>0</v>
      </c>
      <c r="L75" s="207">
        <f>SUMIFS('апрель 2023'!$G$4:$G$692,'апрель 2023'!$D$4:$D$692,$B75,'апрель 2023'!$J$4:$J$692,L$1)</f>
        <v>0</v>
      </c>
      <c r="M75" s="207">
        <f>SUMIFS('апрель 2023'!$G$4:$G$692,'апрель 2023'!$D$4:$D$692,$B75,'апрель 2023'!$J$4:$J$692,M$1)</f>
        <v>0</v>
      </c>
      <c r="N75" s="207">
        <f>SUMIFS('апрель 2023'!$G$4:$G$692,'апрель 2023'!$D$4:$D$692,$B75,'апрель 2023'!$J$4:$J$692,N$1)</f>
        <v>0</v>
      </c>
      <c r="O75" s="207">
        <f>SUMIFS('апрель 2023'!$G$4:$G$692,'апрель 2023'!$D$4:$D$692,$B75,'апрель 2023'!$J$4:$J$692,O$1)</f>
        <v>0</v>
      </c>
      <c r="P75" s="207">
        <f>SUMIFS('апрель 2023'!$G$4:$G$692,'апрель 2023'!$D$4:$D$692,$B75,'апрель 2023'!$J$4:$J$692,P$1)</f>
        <v>0</v>
      </c>
      <c r="Q75" s="207">
        <f>SUMIFS('апрель 2023'!$G$4:$G$692,'апрель 2023'!$D$4:$D$692,$B75,'апрель 2023'!$J$4:$J$692,Q$1)</f>
        <v>0</v>
      </c>
      <c r="R75" s="207">
        <f>SUMIFS('апрель 2023'!$G$4:$G$692,'апрель 2023'!$D$4:$D$692,$B75,'апрель 2023'!$J$4:$J$692,R$1)</f>
        <v>0</v>
      </c>
      <c r="S75" s="207">
        <f>SUMIFS('апрель 2023'!$G$4:$G$692,'апрель 2023'!$D$4:$D$692,$B75,'апрель 2023'!$J$4:$J$692,S$1)</f>
        <v>0</v>
      </c>
      <c r="T75" s="207">
        <f>SUMIFS('апрель 2023'!$G$4:$G$692,'апрель 2023'!$D$4:$D$692,$B75,'апрель 2023'!$J$4:$J$692,T$1)</f>
        <v>0</v>
      </c>
      <c r="U75" s="207">
        <f>SUMIFS('апрель 2023'!$G$4:$G$692,'апрель 2023'!$D$4:$D$692,$B75,'апрель 2023'!$J$4:$J$692,U$1)</f>
        <v>0</v>
      </c>
      <c r="V75" s="207">
        <f>SUMIFS('апрель 2023'!$G$4:$G$692,'апрель 2023'!$D$4:$D$692,$B75,'апрель 2023'!$J$4:$J$692,V$1)</f>
        <v>0</v>
      </c>
      <c r="W75" s="207">
        <f>SUMIFS('апрель 2023'!$G$4:$G$692,'апрель 2023'!$D$4:$D$692,$B75,'апрель 2023'!$J$4:$J$692,W$1)</f>
        <v>0</v>
      </c>
      <c r="X75" s="207">
        <f>SUMIFS('апрель 2023'!$G$4:$G$692,'апрель 2023'!$D$4:$D$692,$B75,'апрель 2023'!$J$4:$J$692,X$1)</f>
        <v>0</v>
      </c>
      <c r="Y75" s="207">
        <f>SUMIFS('апрель 2023'!$G$4:$G$692,'апрель 2023'!$D$4:$D$692,$B75,'апрель 2023'!$J$4:$J$692,Y$1)</f>
        <v>0</v>
      </c>
      <c r="Z75" s="207">
        <f>SUMIFS('апрель 2023'!$G$4:$G$692,'апрель 2023'!$D$4:$D$692,$B75,'апрель 2023'!$J$4:$J$692,Z$1)</f>
        <v>0</v>
      </c>
      <c r="AA75" s="207">
        <f>SUMIFS('апрель 2023'!$G$4:$G$692,'апрель 2023'!$D$4:$D$692,$B75,'апрель 2023'!$J$4:$J$692,AA$1)</f>
        <v>0</v>
      </c>
      <c r="AB75" s="207">
        <f>SUMIFS('апрель 2023'!$G$4:$G$692,'апрель 2023'!$D$4:$D$692,$B75,'апрель 2023'!$J$4:$J$692,AB$1)</f>
        <v>0</v>
      </c>
      <c r="AC75" s="207">
        <f>SUMIFS('апрель 2023'!$G$4:$G$692,'апрель 2023'!$D$4:$D$692,$B75,'апрель 2023'!$J$4:$J$692,AC$1)</f>
        <v>0</v>
      </c>
      <c r="AD75" s="207">
        <f>SUMIFS('апрель 2023'!$G$4:$G$692,'апрель 2023'!$D$4:$D$692,$B75,'апрель 2023'!$J$4:$J$692,AD$1)</f>
        <v>0</v>
      </c>
      <c r="AE75" s="207">
        <f>SUMIFS('апрель 2023'!$G$4:$G$692,'апрель 2023'!$D$4:$D$692,$B75,'апрель 2023'!$J$4:$J$692,AE$1)</f>
        <v>0</v>
      </c>
      <c r="AF75" s="207">
        <f>SUMIFS('апрель 2023'!$G$4:$G$692,'апрель 2023'!$D$4:$D$692,$B75,'апрель 2023'!$J$4:$J$692,AF$1)</f>
        <v>0</v>
      </c>
      <c r="AG75" s="207">
        <f>SUMIFS('апрель 2023'!$G$4:$G$692,'апрель 2023'!$D$4:$D$692,$B75,'апрель 2023'!$J$4:$J$692,AG$1)</f>
        <v>0</v>
      </c>
      <c r="AH75" s="207">
        <f>SUMIFS('апрель 2023'!$G$4:$G$692,'апрель 2023'!$D$4:$D$692,$B75,'апрель 2023'!$J$4:$J$692,AH$1)</f>
        <v>0</v>
      </c>
      <c r="AI75" s="170">
        <f t="shared" si="2"/>
        <v>0</v>
      </c>
    </row>
    <row r="76" spans="2:35" ht="15" customHeight="1" x14ac:dyDescent="0.25">
      <c r="B76" s="216" t="s">
        <v>1470</v>
      </c>
      <c r="C76" s="213">
        <v>180</v>
      </c>
      <c r="D76" s="207">
        <f>SUMIFS('апрель 2023'!$G$4:$G$692,'апрель 2023'!$D$4:$D$692,$B76,'апрель 2023'!$J$4:$J$692,D$1)</f>
        <v>0</v>
      </c>
      <c r="E76" s="207">
        <f>SUMIFS('апрель 2023'!$G$4:$G$692,'апрель 2023'!$D$4:$D$692,$B76,'апрель 2023'!$J$4:$J$692,E$1)</f>
        <v>0</v>
      </c>
      <c r="F76" s="207">
        <f>SUMIFS('апрель 2023'!$G$4:$G$692,'апрель 2023'!$D$4:$D$692,$B76,'апрель 2023'!$J$4:$J$692,F$1)</f>
        <v>0</v>
      </c>
      <c r="G76" s="207">
        <f>SUMIFS('апрель 2023'!$G$4:$G$692,'апрель 2023'!$D$4:$D$692,$B76,'апрель 2023'!$J$4:$J$692,G$1)</f>
        <v>0</v>
      </c>
      <c r="H76" s="207">
        <f>SUMIFS('апрель 2023'!$G$4:$G$692,'апрель 2023'!$D$4:$D$692,$B76,'апрель 2023'!$J$4:$J$692,H$1)</f>
        <v>0</v>
      </c>
      <c r="I76" s="207">
        <f>SUMIFS('апрель 2023'!$G$4:$G$692,'апрель 2023'!$D$4:$D$692,$B76,'апрель 2023'!$J$4:$J$692,I$1)</f>
        <v>76</v>
      </c>
      <c r="J76" s="207">
        <f>SUMIFS('апрель 2023'!$G$4:$G$692,'апрель 2023'!$D$4:$D$692,$B76,'апрель 2023'!$J$4:$J$692,J$1)</f>
        <v>0</v>
      </c>
      <c r="K76" s="207">
        <f>SUMIFS('апрель 2023'!$G$4:$G$692,'апрель 2023'!$D$4:$D$692,$B76,'апрель 2023'!$J$4:$J$692,K$1)</f>
        <v>0</v>
      </c>
      <c r="L76" s="207">
        <f>SUMIFS('апрель 2023'!$G$4:$G$692,'апрель 2023'!$D$4:$D$692,$B76,'апрель 2023'!$J$4:$J$692,L$1)</f>
        <v>0</v>
      </c>
      <c r="M76" s="207">
        <f>SUMIFS('апрель 2023'!$G$4:$G$692,'апрель 2023'!$D$4:$D$692,$B76,'апрель 2023'!$J$4:$J$692,M$1)</f>
        <v>0</v>
      </c>
      <c r="N76" s="207">
        <f>SUMIFS('апрель 2023'!$G$4:$G$692,'апрель 2023'!$D$4:$D$692,$B76,'апрель 2023'!$J$4:$J$692,N$1)</f>
        <v>0</v>
      </c>
      <c r="O76" s="207">
        <f>SUMIFS('апрель 2023'!$G$4:$G$692,'апрель 2023'!$D$4:$D$692,$B76,'апрель 2023'!$J$4:$J$692,O$1)</f>
        <v>0</v>
      </c>
      <c r="P76" s="207">
        <f>SUMIFS('апрель 2023'!$G$4:$G$692,'апрель 2023'!$D$4:$D$692,$B76,'апрель 2023'!$J$4:$J$692,P$1)</f>
        <v>0</v>
      </c>
      <c r="Q76" s="207">
        <f>SUMIFS('апрель 2023'!$G$4:$G$692,'апрель 2023'!$D$4:$D$692,$B76,'апрель 2023'!$J$4:$J$692,Q$1)</f>
        <v>0</v>
      </c>
      <c r="R76" s="207">
        <f>SUMIFS('апрель 2023'!$G$4:$G$692,'апрель 2023'!$D$4:$D$692,$B76,'апрель 2023'!$J$4:$J$692,R$1)</f>
        <v>0</v>
      </c>
      <c r="S76" s="207">
        <f>SUMIFS('апрель 2023'!$G$4:$G$692,'апрель 2023'!$D$4:$D$692,$B76,'апрель 2023'!$J$4:$J$692,S$1)</f>
        <v>0</v>
      </c>
      <c r="T76" s="207">
        <f>SUMIFS('апрель 2023'!$G$4:$G$692,'апрель 2023'!$D$4:$D$692,$B76,'апрель 2023'!$J$4:$J$692,T$1)</f>
        <v>0</v>
      </c>
      <c r="U76" s="207">
        <f>SUMIFS('апрель 2023'!$G$4:$G$692,'апрель 2023'!$D$4:$D$692,$B76,'апрель 2023'!$J$4:$J$692,U$1)</f>
        <v>0</v>
      </c>
      <c r="V76" s="207">
        <f>SUMIFS('апрель 2023'!$G$4:$G$692,'апрель 2023'!$D$4:$D$692,$B76,'апрель 2023'!$J$4:$J$692,V$1)</f>
        <v>0</v>
      </c>
      <c r="W76" s="207">
        <f>SUMIFS('апрель 2023'!$G$4:$G$692,'апрель 2023'!$D$4:$D$692,$B76,'апрель 2023'!$J$4:$J$692,W$1)</f>
        <v>0</v>
      </c>
      <c r="X76" s="207">
        <f>SUMIFS('апрель 2023'!$G$4:$G$692,'апрель 2023'!$D$4:$D$692,$B76,'апрель 2023'!$J$4:$J$692,X$1)</f>
        <v>0</v>
      </c>
      <c r="Y76" s="207">
        <f>SUMIFS('апрель 2023'!$G$4:$G$692,'апрель 2023'!$D$4:$D$692,$B76,'апрель 2023'!$J$4:$J$692,Y$1)</f>
        <v>0</v>
      </c>
      <c r="Z76" s="207">
        <f>SUMIFS('апрель 2023'!$G$4:$G$692,'апрель 2023'!$D$4:$D$692,$B76,'апрель 2023'!$J$4:$J$692,Z$1)</f>
        <v>0</v>
      </c>
      <c r="AA76" s="207">
        <f>SUMIFS('апрель 2023'!$G$4:$G$692,'апрель 2023'!$D$4:$D$692,$B76,'апрель 2023'!$J$4:$J$692,AA$1)</f>
        <v>0</v>
      </c>
      <c r="AB76" s="207">
        <f>SUMIFS('апрель 2023'!$G$4:$G$692,'апрель 2023'!$D$4:$D$692,$B76,'апрель 2023'!$J$4:$J$692,AB$1)</f>
        <v>0</v>
      </c>
      <c r="AC76" s="207">
        <f>SUMIFS('апрель 2023'!$G$4:$G$692,'апрель 2023'!$D$4:$D$692,$B76,'апрель 2023'!$J$4:$J$692,AC$1)</f>
        <v>0</v>
      </c>
      <c r="AD76" s="207">
        <f>SUMIFS('апрель 2023'!$G$4:$G$692,'апрель 2023'!$D$4:$D$692,$B76,'апрель 2023'!$J$4:$J$692,AD$1)</f>
        <v>0</v>
      </c>
      <c r="AE76" s="207">
        <f>SUMIFS('апрель 2023'!$G$4:$G$692,'апрель 2023'!$D$4:$D$692,$B76,'апрель 2023'!$J$4:$J$692,AE$1)</f>
        <v>36</v>
      </c>
      <c r="AF76" s="207">
        <f>SUMIFS('апрель 2023'!$G$4:$G$692,'апрель 2023'!$D$4:$D$692,$B76,'апрель 2023'!$J$4:$J$692,AF$1)</f>
        <v>0</v>
      </c>
      <c r="AG76" s="207">
        <f>SUMIFS('апрель 2023'!$G$4:$G$692,'апрель 2023'!$D$4:$D$692,$B76,'апрель 2023'!$J$4:$J$692,AG$1)</f>
        <v>0</v>
      </c>
      <c r="AH76" s="207">
        <f>SUMIFS('апрель 2023'!$G$4:$G$692,'апрель 2023'!$D$4:$D$692,$B76,'апрель 2023'!$J$4:$J$692,AH$1)</f>
        <v>0</v>
      </c>
      <c r="AI76" s="170">
        <f t="shared" si="2"/>
        <v>112</v>
      </c>
    </row>
    <row r="77" spans="2:35" ht="15" customHeight="1" x14ac:dyDescent="0.25">
      <c r="B77" s="212" t="s">
        <v>2189</v>
      </c>
      <c r="C77" s="211">
        <v>180</v>
      </c>
      <c r="D77" s="207">
        <f>SUMIFS('апрель 2023'!$G$4:$G$692,'апрель 2023'!$D$4:$D$692,$B77,'апрель 2023'!$J$4:$J$692,D$1)</f>
        <v>0</v>
      </c>
      <c r="E77" s="207">
        <f>SUMIFS('апрель 2023'!$G$4:$G$692,'апрель 2023'!$D$4:$D$692,$B77,'апрель 2023'!$J$4:$J$692,E$1)</f>
        <v>0</v>
      </c>
      <c r="F77" s="207">
        <f>SUMIFS('апрель 2023'!$G$4:$G$692,'апрель 2023'!$D$4:$D$692,$B77,'апрель 2023'!$J$4:$J$692,F$1)</f>
        <v>0</v>
      </c>
      <c r="G77" s="207">
        <f>SUMIFS('апрель 2023'!$G$4:$G$692,'апрель 2023'!$D$4:$D$692,$B77,'апрель 2023'!$J$4:$J$692,G$1)</f>
        <v>0</v>
      </c>
      <c r="H77" s="207">
        <f>SUMIFS('апрель 2023'!$G$4:$G$692,'апрель 2023'!$D$4:$D$692,$B77,'апрель 2023'!$J$4:$J$692,H$1)</f>
        <v>0</v>
      </c>
      <c r="I77" s="207">
        <f>SUMIFS('апрель 2023'!$G$4:$G$692,'апрель 2023'!$D$4:$D$692,$B77,'апрель 2023'!$J$4:$J$692,I$1)</f>
        <v>0</v>
      </c>
      <c r="J77" s="207">
        <f>SUMIFS('апрель 2023'!$G$4:$G$692,'апрель 2023'!$D$4:$D$692,$B77,'апрель 2023'!$J$4:$J$692,J$1)</f>
        <v>0</v>
      </c>
      <c r="K77" s="207">
        <f>SUMIFS('апрель 2023'!$G$4:$G$692,'апрель 2023'!$D$4:$D$692,$B77,'апрель 2023'!$J$4:$J$692,K$1)</f>
        <v>0</v>
      </c>
      <c r="L77" s="207">
        <f>SUMIFS('апрель 2023'!$G$4:$G$692,'апрель 2023'!$D$4:$D$692,$B77,'апрель 2023'!$J$4:$J$692,L$1)</f>
        <v>0</v>
      </c>
      <c r="M77" s="207">
        <f>SUMIFS('апрель 2023'!$G$4:$G$692,'апрель 2023'!$D$4:$D$692,$B77,'апрель 2023'!$J$4:$J$692,M$1)</f>
        <v>0</v>
      </c>
      <c r="N77" s="207">
        <f>SUMIFS('апрель 2023'!$G$4:$G$692,'апрель 2023'!$D$4:$D$692,$B77,'апрель 2023'!$J$4:$J$692,N$1)</f>
        <v>0</v>
      </c>
      <c r="O77" s="207">
        <f>SUMIFS('апрель 2023'!$G$4:$G$692,'апрель 2023'!$D$4:$D$692,$B77,'апрель 2023'!$J$4:$J$692,O$1)</f>
        <v>0</v>
      </c>
      <c r="P77" s="207">
        <f>SUMIFS('апрель 2023'!$G$4:$G$692,'апрель 2023'!$D$4:$D$692,$B77,'апрель 2023'!$J$4:$J$692,P$1)</f>
        <v>0</v>
      </c>
      <c r="Q77" s="207">
        <f>SUMIFS('апрель 2023'!$G$4:$G$692,'апрель 2023'!$D$4:$D$692,$B77,'апрель 2023'!$J$4:$J$692,Q$1)</f>
        <v>0</v>
      </c>
      <c r="R77" s="207">
        <f>SUMIFS('апрель 2023'!$G$4:$G$692,'апрель 2023'!$D$4:$D$692,$B77,'апрель 2023'!$J$4:$J$692,R$1)</f>
        <v>0</v>
      </c>
      <c r="S77" s="207">
        <f>SUMIFS('апрель 2023'!$G$4:$G$692,'апрель 2023'!$D$4:$D$692,$B77,'апрель 2023'!$J$4:$J$692,S$1)</f>
        <v>0</v>
      </c>
      <c r="T77" s="207">
        <f>SUMIFS('апрель 2023'!$G$4:$G$692,'апрель 2023'!$D$4:$D$692,$B77,'апрель 2023'!$J$4:$J$692,T$1)</f>
        <v>0</v>
      </c>
      <c r="U77" s="207">
        <f>SUMIFS('апрель 2023'!$G$4:$G$692,'апрель 2023'!$D$4:$D$692,$B77,'апрель 2023'!$J$4:$J$692,U$1)</f>
        <v>0</v>
      </c>
      <c r="V77" s="207">
        <f>SUMIFS('апрель 2023'!$G$4:$G$692,'апрель 2023'!$D$4:$D$692,$B77,'апрель 2023'!$J$4:$J$692,V$1)</f>
        <v>0</v>
      </c>
      <c r="W77" s="207">
        <f>SUMIFS('апрель 2023'!$G$4:$G$692,'апрель 2023'!$D$4:$D$692,$B77,'апрель 2023'!$J$4:$J$692,W$1)</f>
        <v>0</v>
      </c>
      <c r="X77" s="207">
        <f>SUMIFS('апрель 2023'!$G$4:$G$692,'апрель 2023'!$D$4:$D$692,$B77,'апрель 2023'!$J$4:$J$692,X$1)</f>
        <v>0</v>
      </c>
      <c r="Y77" s="207">
        <f>SUMIFS('апрель 2023'!$G$4:$G$692,'апрель 2023'!$D$4:$D$692,$B77,'апрель 2023'!$J$4:$J$692,Y$1)</f>
        <v>0</v>
      </c>
      <c r="Z77" s="207">
        <f>SUMIFS('апрель 2023'!$G$4:$G$692,'апрель 2023'!$D$4:$D$692,$B77,'апрель 2023'!$J$4:$J$692,Z$1)</f>
        <v>0</v>
      </c>
      <c r="AA77" s="207">
        <f>SUMIFS('апрель 2023'!$G$4:$G$692,'апрель 2023'!$D$4:$D$692,$B77,'апрель 2023'!$J$4:$J$692,AA$1)</f>
        <v>0</v>
      </c>
      <c r="AB77" s="207">
        <f>SUMIFS('апрель 2023'!$G$4:$G$692,'апрель 2023'!$D$4:$D$692,$B77,'апрель 2023'!$J$4:$J$692,AB$1)</f>
        <v>0</v>
      </c>
      <c r="AC77" s="207">
        <f>SUMIFS('апрель 2023'!$G$4:$G$692,'апрель 2023'!$D$4:$D$692,$B77,'апрель 2023'!$J$4:$J$692,AC$1)</f>
        <v>0</v>
      </c>
      <c r="AD77" s="207">
        <f>SUMIFS('апрель 2023'!$G$4:$G$692,'апрель 2023'!$D$4:$D$692,$B77,'апрель 2023'!$J$4:$J$692,AD$1)</f>
        <v>0</v>
      </c>
      <c r="AE77" s="207">
        <f>SUMIFS('апрель 2023'!$G$4:$G$692,'апрель 2023'!$D$4:$D$692,$B77,'апрель 2023'!$J$4:$J$692,AE$1)</f>
        <v>0</v>
      </c>
      <c r="AF77" s="207">
        <f>SUMIFS('апрель 2023'!$G$4:$G$692,'апрель 2023'!$D$4:$D$692,$B77,'апрель 2023'!$J$4:$J$692,AF$1)</f>
        <v>0</v>
      </c>
      <c r="AG77" s="207">
        <f>SUMIFS('апрель 2023'!$G$4:$G$692,'апрель 2023'!$D$4:$D$692,$B77,'апрель 2023'!$J$4:$J$692,AG$1)</f>
        <v>0</v>
      </c>
      <c r="AH77" s="207">
        <f>SUMIFS('апрель 2023'!$G$4:$G$692,'апрель 2023'!$D$4:$D$692,$B77,'апрель 2023'!$J$4:$J$692,AH$1)</f>
        <v>0</v>
      </c>
      <c r="AI77" s="170">
        <f t="shared" si="2"/>
        <v>0</v>
      </c>
    </row>
    <row r="78" spans="2:35" ht="15" customHeight="1" x14ac:dyDescent="0.25">
      <c r="B78" s="217" t="s">
        <v>857</v>
      </c>
      <c r="C78" s="213">
        <v>185</v>
      </c>
      <c r="D78" s="207">
        <f>SUMIFS('апрель 2023'!$G$4:$G$692,'апрель 2023'!$D$4:$D$692,$B78,'апрель 2023'!$J$4:$J$692,D$1)</f>
        <v>0</v>
      </c>
      <c r="E78" s="207">
        <f>SUMIFS('апрель 2023'!$G$4:$G$692,'апрель 2023'!$D$4:$D$692,$B78,'апрель 2023'!$J$4:$J$692,E$1)</f>
        <v>0</v>
      </c>
      <c r="F78" s="207">
        <f>SUMIFS('апрель 2023'!$G$4:$G$692,'апрель 2023'!$D$4:$D$692,$B78,'апрель 2023'!$J$4:$J$692,F$1)</f>
        <v>80</v>
      </c>
      <c r="G78" s="207">
        <f>SUMIFS('апрель 2023'!$G$4:$G$692,'апрель 2023'!$D$4:$D$692,$B78,'апрель 2023'!$J$4:$J$692,G$1)</f>
        <v>0</v>
      </c>
      <c r="H78" s="207">
        <f>SUMIFS('апрель 2023'!$G$4:$G$692,'апрель 2023'!$D$4:$D$692,$B78,'апрель 2023'!$J$4:$J$692,H$1)</f>
        <v>0</v>
      </c>
      <c r="I78" s="207">
        <f>SUMIFS('апрель 2023'!$G$4:$G$692,'апрель 2023'!$D$4:$D$692,$B78,'апрель 2023'!$J$4:$J$692,I$1)</f>
        <v>0</v>
      </c>
      <c r="J78" s="207">
        <f>SUMIFS('апрель 2023'!$G$4:$G$692,'апрель 2023'!$D$4:$D$692,$B78,'апрель 2023'!$J$4:$J$692,J$1)</f>
        <v>0</v>
      </c>
      <c r="K78" s="207">
        <f>SUMIFS('апрель 2023'!$G$4:$G$692,'апрель 2023'!$D$4:$D$692,$B78,'апрель 2023'!$J$4:$J$692,K$1)</f>
        <v>0</v>
      </c>
      <c r="L78" s="207">
        <f>SUMIFS('апрель 2023'!$G$4:$G$692,'апрель 2023'!$D$4:$D$692,$B78,'апрель 2023'!$J$4:$J$692,L$1)</f>
        <v>0</v>
      </c>
      <c r="M78" s="207">
        <f>SUMIFS('апрель 2023'!$G$4:$G$692,'апрель 2023'!$D$4:$D$692,$B78,'апрель 2023'!$J$4:$J$692,M$1)</f>
        <v>0</v>
      </c>
      <c r="N78" s="207">
        <f>SUMIFS('апрель 2023'!$G$4:$G$692,'апрель 2023'!$D$4:$D$692,$B78,'апрель 2023'!$J$4:$J$692,N$1)</f>
        <v>0</v>
      </c>
      <c r="O78" s="207">
        <f>SUMIFS('апрель 2023'!$G$4:$G$692,'апрель 2023'!$D$4:$D$692,$B78,'апрель 2023'!$J$4:$J$692,O$1)</f>
        <v>0</v>
      </c>
      <c r="P78" s="207">
        <f>SUMIFS('апрель 2023'!$G$4:$G$692,'апрель 2023'!$D$4:$D$692,$B78,'апрель 2023'!$J$4:$J$692,P$1)</f>
        <v>0</v>
      </c>
      <c r="Q78" s="207">
        <f>SUMIFS('апрель 2023'!$G$4:$G$692,'апрель 2023'!$D$4:$D$692,$B78,'апрель 2023'!$J$4:$J$692,Q$1)</f>
        <v>0</v>
      </c>
      <c r="R78" s="207">
        <f>SUMIFS('апрель 2023'!$G$4:$G$692,'апрель 2023'!$D$4:$D$692,$B78,'апрель 2023'!$J$4:$J$692,R$1)</f>
        <v>0</v>
      </c>
      <c r="S78" s="207">
        <f>SUMIFS('апрель 2023'!$G$4:$G$692,'апрель 2023'!$D$4:$D$692,$B78,'апрель 2023'!$J$4:$J$692,S$1)</f>
        <v>0</v>
      </c>
      <c r="T78" s="207">
        <f>SUMIFS('апрель 2023'!$G$4:$G$692,'апрель 2023'!$D$4:$D$692,$B78,'апрель 2023'!$J$4:$J$692,T$1)</f>
        <v>0</v>
      </c>
      <c r="U78" s="207">
        <f>SUMIFS('апрель 2023'!$G$4:$G$692,'апрель 2023'!$D$4:$D$692,$B78,'апрель 2023'!$J$4:$J$692,U$1)</f>
        <v>0</v>
      </c>
      <c r="V78" s="207">
        <f>SUMIFS('апрель 2023'!$G$4:$G$692,'апрель 2023'!$D$4:$D$692,$B78,'апрель 2023'!$J$4:$J$692,V$1)</f>
        <v>0</v>
      </c>
      <c r="W78" s="207">
        <f>SUMIFS('апрель 2023'!$G$4:$G$692,'апрель 2023'!$D$4:$D$692,$B78,'апрель 2023'!$J$4:$J$692,W$1)</f>
        <v>0</v>
      </c>
      <c r="X78" s="207">
        <f>SUMIFS('апрель 2023'!$G$4:$G$692,'апрель 2023'!$D$4:$D$692,$B78,'апрель 2023'!$J$4:$J$692,X$1)</f>
        <v>0</v>
      </c>
      <c r="Y78" s="207">
        <f>SUMIFS('апрель 2023'!$G$4:$G$692,'апрель 2023'!$D$4:$D$692,$B78,'апрель 2023'!$J$4:$J$692,Y$1)</f>
        <v>0</v>
      </c>
      <c r="Z78" s="207">
        <f>SUMIFS('апрель 2023'!$G$4:$G$692,'апрель 2023'!$D$4:$D$692,$B78,'апрель 2023'!$J$4:$J$692,Z$1)</f>
        <v>0</v>
      </c>
      <c r="AA78" s="207">
        <f>SUMIFS('апрель 2023'!$G$4:$G$692,'апрель 2023'!$D$4:$D$692,$B78,'апрель 2023'!$J$4:$J$692,AA$1)</f>
        <v>0</v>
      </c>
      <c r="AB78" s="207">
        <f>SUMIFS('апрель 2023'!$G$4:$G$692,'апрель 2023'!$D$4:$D$692,$B78,'апрель 2023'!$J$4:$J$692,AB$1)</f>
        <v>0</v>
      </c>
      <c r="AC78" s="207">
        <f>SUMIFS('апрель 2023'!$G$4:$G$692,'апрель 2023'!$D$4:$D$692,$B78,'апрель 2023'!$J$4:$J$692,AC$1)</f>
        <v>0</v>
      </c>
      <c r="AD78" s="207">
        <f>SUMIFS('апрель 2023'!$G$4:$G$692,'апрель 2023'!$D$4:$D$692,$B78,'апрель 2023'!$J$4:$J$692,AD$1)</f>
        <v>0</v>
      </c>
      <c r="AE78" s="207">
        <f>SUMIFS('апрель 2023'!$G$4:$G$692,'апрель 2023'!$D$4:$D$692,$B78,'апрель 2023'!$J$4:$J$692,AE$1)</f>
        <v>0</v>
      </c>
      <c r="AF78" s="207">
        <f>SUMIFS('апрель 2023'!$G$4:$G$692,'апрель 2023'!$D$4:$D$692,$B78,'апрель 2023'!$J$4:$J$692,AF$1)</f>
        <v>0</v>
      </c>
      <c r="AG78" s="207">
        <f>SUMIFS('апрель 2023'!$G$4:$G$692,'апрель 2023'!$D$4:$D$692,$B78,'апрель 2023'!$J$4:$J$692,AG$1)</f>
        <v>0</v>
      </c>
      <c r="AH78" s="207">
        <f>SUMIFS('апрель 2023'!$G$4:$G$692,'апрель 2023'!$D$4:$D$692,$B78,'апрель 2023'!$J$4:$J$692,AH$1)</f>
        <v>0</v>
      </c>
      <c r="AI78" s="170">
        <f t="shared" si="2"/>
        <v>80</v>
      </c>
    </row>
    <row r="79" spans="2:35" ht="15" customHeight="1" x14ac:dyDescent="0.25">
      <c r="B79" s="212" t="s">
        <v>2190</v>
      </c>
      <c r="C79" s="213">
        <v>180</v>
      </c>
      <c r="D79" s="207">
        <f>SUMIFS('апрель 2023'!$G$4:$G$692,'апрель 2023'!$D$4:$D$692,$B79,'апрель 2023'!$J$4:$J$692,D$1)</f>
        <v>0</v>
      </c>
      <c r="E79" s="207">
        <f>SUMIFS('апрель 2023'!$G$4:$G$692,'апрель 2023'!$D$4:$D$692,$B79,'апрель 2023'!$J$4:$J$692,E$1)</f>
        <v>0</v>
      </c>
      <c r="F79" s="207">
        <f>SUMIFS('апрель 2023'!$G$4:$G$692,'апрель 2023'!$D$4:$D$692,$B79,'апрель 2023'!$J$4:$J$692,F$1)</f>
        <v>0</v>
      </c>
      <c r="G79" s="207">
        <f>SUMIFS('апрель 2023'!$G$4:$G$692,'апрель 2023'!$D$4:$D$692,$B79,'апрель 2023'!$J$4:$J$692,G$1)</f>
        <v>0</v>
      </c>
      <c r="H79" s="207">
        <f>SUMIFS('апрель 2023'!$G$4:$G$692,'апрель 2023'!$D$4:$D$692,$B79,'апрель 2023'!$J$4:$J$692,H$1)</f>
        <v>0</v>
      </c>
      <c r="I79" s="207">
        <f>SUMIFS('апрель 2023'!$G$4:$G$692,'апрель 2023'!$D$4:$D$692,$B79,'апрель 2023'!$J$4:$J$692,I$1)</f>
        <v>0</v>
      </c>
      <c r="J79" s="207">
        <f>SUMIFS('апрель 2023'!$G$4:$G$692,'апрель 2023'!$D$4:$D$692,$B79,'апрель 2023'!$J$4:$J$692,J$1)</f>
        <v>0</v>
      </c>
      <c r="K79" s="207">
        <f>SUMIFS('апрель 2023'!$G$4:$G$692,'апрель 2023'!$D$4:$D$692,$B79,'апрель 2023'!$J$4:$J$692,K$1)</f>
        <v>0</v>
      </c>
      <c r="L79" s="207">
        <f>SUMIFS('апрель 2023'!$G$4:$G$692,'апрель 2023'!$D$4:$D$692,$B79,'апрель 2023'!$J$4:$J$692,L$1)</f>
        <v>0</v>
      </c>
      <c r="M79" s="207">
        <f>SUMIFS('апрель 2023'!$G$4:$G$692,'апрель 2023'!$D$4:$D$692,$B79,'апрель 2023'!$J$4:$J$692,M$1)</f>
        <v>0</v>
      </c>
      <c r="N79" s="207">
        <f>SUMIFS('апрель 2023'!$G$4:$G$692,'апрель 2023'!$D$4:$D$692,$B79,'апрель 2023'!$J$4:$J$692,N$1)</f>
        <v>0</v>
      </c>
      <c r="O79" s="207">
        <f>SUMIFS('апрель 2023'!$G$4:$G$692,'апрель 2023'!$D$4:$D$692,$B79,'апрель 2023'!$J$4:$J$692,O$1)</f>
        <v>0</v>
      </c>
      <c r="P79" s="207">
        <f>SUMIFS('апрель 2023'!$G$4:$G$692,'апрель 2023'!$D$4:$D$692,$B79,'апрель 2023'!$J$4:$J$692,P$1)</f>
        <v>0</v>
      </c>
      <c r="Q79" s="207">
        <f>SUMIFS('апрель 2023'!$G$4:$G$692,'апрель 2023'!$D$4:$D$692,$B79,'апрель 2023'!$J$4:$J$692,Q$1)</f>
        <v>0</v>
      </c>
      <c r="R79" s="207">
        <f>SUMIFS('апрель 2023'!$G$4:$G$692,'апрель 2023'!$D$4:$D$692,$B79,'апрель 2023'!$J$4:$J$692,R$1)</f>
        <v>0</v>
      </c>
      <c r="S79" s="207">
        <f>SUMIFS('апрель 2023'!$G$4:$G$692,'апрель 2023'!$D$4:$D$692,$B79,'апрель 2023'!$J$4:$J$692,S$1)</f>
        <v>0</v>
      </c>
      <c r="T79" s="207">
        <f>SUMIFS('апрель 2023'!$G$4:$G$692,'апрель 2023'!$D$4:$D$692,$B79,'апрель 2023'!$J$4:$J$692,T$1)</f>
        <v>0</v>
      </c>
      <c r="U79" s="207">
        <f>SUMIFS('апрель 2023'!$G$4:$G$692,'апрель 2023'!$D$4:$D$692,$B79,'апрель 2023'!$J$4:$J$692,U$1)</f>
        <v>0</v>
      </c>
      <c r="V79" s="207">
        <f>SUMIFS('апрель 2023'!$G$4:$G$692,'апрель 2023'!$D$4:$D$692,$B79,'апрель 2023'!$J$4:$J$692,V$1)</f>
        <v>0</v>
      </c>
      <c r="W79" s="207">
        <f>SUMIFS('апрель 2023'!$G$4:$G$692,'апрель 2023'!$D$4:$D$692,$B79,'апрель 2023'!$J$4:$J$692,W$1)</f>
        <v>0</v>
      </c>
      <c r="X79" s="207">
        <f>SUMIFS('апрель 2023'!$G$4:$G$692,'апрель 2023'!$D$4:$D$692,$B79,'апрель 2023'!$J$4:$J$692,X$1)</f>
        <v>0</v>
      </c>
      <c r="Y79" s="207">
        <f>SUMIFS('апрель 2023'!$G$4:$G$692,'апрель 2023'!$D$4:$D$692,$B79,'апрель 2023'!$J$4:$J$692,Y$1)</f>
        <v>0</v>
      </c>
      <c r="Z79" s="207">
        <f>SUMIFS('апрель 2023'!$G$4:$G$692,'апрель 2023'!$D$4:$D$692,$B79,'апрель 2023'!$J$4:$J$692,Z$1)</f>
        <v>0</v>
      </c>
      <c r="AA79" s="207">
        <f>SUMIFS('апрель 2023'!$G$4:$G$692,'апрель 2023'!$D$4:$D$692,$B79,'апрель 2023'!$J$4:$J$692,AA$1)</f>
        <v>0</v>
      </c>
      <c r="AB79" s="207">
        <f>SUMIFS('апрель 2023'!$G$4:$G$692,'апрель 2023'!$D$4:$D$692,$B79,'апрель 2023'!$J$4:$J$692,AB$1)</f>
        <v>0</v>
      </c>
      <c r="AC79" s="207">
        <f>SUMIFS('апрель 2023'!$G$4:$G$692,'апрель 2023'!$D$4:$D$692,$B79,'апрель 2023'!$J$4:$J$692,AC$1)</f>
        <v>0</v>
      </c>
      <c r="AD79" s="207">
        <f>SUMIFS('апрель 2023'!$G$4:$G$692,'апрель 2023'!$D$4:$D$692,$B79,'апрель 2023'!$J$4:$J$692,AD$1)</f>
        <v>0</v>
      </c>
      <c r="AE79" s="207">
        <f>SUMIFS('апрель 2023'!$G$4:$G$692,'апрель 2023'!$D$4:$D$692,$B79,'апрель 2023'!$J$4:$J$692,AE$1)</f>
        <v>0</v>
      </c>
      <c r="AF79" s="207">
        <f>SUMIFS('апрель 2023'!$G$4:$G$692,'апрель 2023'!$D$4:$D$692,$B79,'апрель 2023'!$J$4:$J$692,AF$1)</f>
        <v>0</v>
      </c>
      <c r="AG79" s="207">
        <f>SUMIFS('апрель 2023'!$G$4:$G$692,'апрель 2023'!$D$4:$D$692,$B79,'апрель 2023'!$J$4:$J$692,AG$1)</f>
        <v>0</v>
      </c>
      <c r="AH79" s="207">
        <f>SUMIFS('апрель 2023'!$G$4:$G$692,'апрель 2023'!$D$4:$D$692,$B79,'апрель 2023'!$J$4:$J$692,AH$1)</f>
        <v>0</v>
      </c>
      <c r="AI79" s="170">
        <f t="shared" si="2"/>
        <v>0</v>
      </c>
    </row>
    <row r="80" spans="2:35" ht="15" customHeight="1" x14ac:dyDescent="0.25">
      <c r="B80" s="212" t="s">
        <v>371</v>
      </c>
      <c r="C80" s="211">
        <v>200</v>
      </c>
      <c r="D80" s="207">
        <f>SUMIFS('апрель 2023'!$G$4:$G$692,'апрель 2023'!$D$4:$D$692,$B80,'апрель 2023'!$J$4:$J$692,D$1)</f>
        <v>0</v>
      </c>
      <c r="E80" s="207">
        <f>SUMIFS('апрель 2023'!$G$4:$G$692,'апрель 2023'!$D$4:$D$692,$B80,'апрель 2023'!$J$4:$J$692,E$1)</f>
        <v>0</v>
      </c>
      <c r="F80" s="207">
        <f>SUMIFS('апрель 2023'!$G$4:$G$692,'апрель 2023'!$D$4:$D$692,$B80,'апрель 2023'!$J$4:$J$692,F$1)</f>
        <v>0</v>
      </c>
      <c r="G80" s="207">
        <f>SUMIFS('апрель 2023'!$G$4:$G$692,'апрель 2023'!$D$4:$D$692,$B80,'апрель 2023'!$J$4:$J$692,G$1)</f>
        <v>0</v>
      </c>
      <c r="H80" s="207">
        <f>SUMIFS('апрель 2023'!$G$4:$G$692,'апрель 2023'!$D$4:$D$692,$B80,'апрель 2023'!$J$4:$J$692,H$1)</f>
        <v>0</v>
      </c>
      <c r="I80" s="207">
        <f>SUMIFS('апрель 2023'!$G$4:$G$692,'апрель 2023'!$D$4:$D$692,$B80,'апрель 2023'!$J$4:$J$692,I$1)</f>
        <v>0</v>
      </c>
      <c r="J80" s="207">
        <f>SUMIFS('апрель 2023'!$G$4:$G$692,'апрель 2023'!$D$4:$D$692,$B80,'апрель 2023'!$J$4:$J$692,J$1)</f>
        <v>0</v>
      </c>
      <c r="K80" s="207">
        <f>SUMIFS('апрель 2023'!$G$4:$G$692,'апрель 2023'!$D$4:$D$692,$B80,'апрель 2023'!$J$4:$J$692,K$1)</f>
        <v>0</v>
      </c>
      <c r="L80" s="207">
        <f>SUMIFS('апрель 2023'!$G$4:$G$692,'апрель 2023'!$D$4:$D$692,$B80,'апрель 2023'!$J$4:$J$692,L$1)</f>
        <v>0</v>
      </c>
      <c r="M80" s="207">
        <f>SUMIFS('апрель 2023'!$G$4:$G$692,'апрель 2023'!$D$4:$D$692,$B80,'апрель 2023'!$J$4:$J$692,M$1)</f>
        <v>0</v>
      </c>
      <c r="N80" s="207">
        <f>SUMIFS('апрель 2023'!$G$4:$G$692,'апрель 2023'!$D$4:$D$692,$B80,'апрель 2023'!$J$4:$J$692,N$1)</f>
        <v>0</v>
      </c>
      <c r="O80" s="207">
        <f>SUMIFS('апрель 2023'!$G$4:$G$692,'апрель 2023'!$D$4:$D$692,$B80,'апрель 2023'!$J$4:$J$692,O$1)</f>
        <v>0</v>
      </c>
      <c r="P80" s="207">
        <f>SUMIFS('апрель 2023'!$G$4:$G$692,'апрель 2023'!$D$4:$D$692,$B80,'апрель 2023'!$J$4:$J$692,P$1)</f>
        <v>0</v>
      </c>
      <c r="Q80" s="207">
        <f>SUMIFS('апрель 2023'!$G$4:$G$692,'апрель 2023'!$D$4:$D$692,$B80,'апрель 2023'!$J$4:$J$692,Q$1)</f>
        <v>0</v>
      </c>
      <c r="R80" s="207">
        <f>SUMIFS('апрель 2023'!$G$4:$G$692,'апрель 2023'!$D$4:$D$692,$B80,'апрель 2023'!$J$4:$J$692,R$1)</f>
        <v>0</v>
      </c>
      <c r="S80" s="207">
        <f>SUMIFS('апрель 2023'!$G$4:$G$692,'апрель 2023'!$D$4:$D$692,$B80,'апрель 2023'!$J$4:$J$692,S$1)</f>
        <v>0</v>
      </c>
      <c r="T80" s="207">
        <f>SUMIFS('апрель 2023'!$G$4:$G$692,'апрель 2023'!$D$4:$D$692,$B80,'апрель 2023'!$J$4:$J$692,T$1)</f>
        <v>0</v>
      </c>
      <c r="U80" s="207">
        <f>SUMIFS('апрель 2023'!$G$4:$G$692,'апрель 2023'!$D$4:$D$692,$B80,'апрель 2023'!$J$4:$J$692,U$1)</f>
        <v>0</v>
      </c>
      <c r="V80" s="207">
        <f>SUMIFS('апрель 2023'!$G$4:$G$692,'апрель 2023'!$D$4:$D$692,$B80,'апрель 2023'!$J$4:$J$692,V$1)</f>
        <v>0</v>
      </c>
      <c r="W80" s="207">
        <f>SUMIFS('апрель 2023'!$G$4:$G$692,'апрель 2023'!$D$4:$D$692,$B80,'апрель 2023'!$J$4:$J$692,W$1)</f>
        <v>0</v>
      </c>
      <c r="X80" s="207">
        <f>SUMIFS('апрель 2023'!$G$4:$G$692,'апрель 2023'!$D$4:$D$692,$B80,'апрель 2023'!$J$4:$J$692,X$1)</f>
        <v>0</v>
      </c>
      <c r="Y80" s="207">
        <f>SUMIFS('апрель 2023'!$G$4:$G$692,'апрель 2023'!$D$4:$D$692,$B80,'апрель 2023'!$J$4:$J$692,Y$1)</f>
        <v>0</v>
      </c>
      <c r="Z80" s="207">
        <f>SUMIFS('апрель 2023'!$G$4:$G$692,'апрель 2023'!$D$4:$D$692,$B80,'апрель 2023'!$J$4:$J$692,Z$1)</f>
        <v>0</v>
      </c>
      <c r="AA80" s="207">
        <f>SUMIFS('апрель 2023'!$G$4:$G$692,'апрель 2023'!$D$4:$D$692,$B80,'апрель 2023'!$J$4:$J$692,AA$1)</f>
        <v>0</v>
      </c>
      <c r="AB80" s="207">
        <f>SUMIFS('апрель 2023'!$G$4:$G$692,'апрель 2023'!$D$4:$D$692,$B80,'апрель 2023'!$J$4:$J$692,AB$1)</f>
        <v>0</v>
      </c>
      <c r="AC80" s="207">
        <f>SUMIFS('апрель 2023'!$G$4:$G$692,'апрель 2023'!$D$4:$D$692,$B80,'апрель 2023'!$J$4:$J$692,AC$1)</f>
        <v>0</v>
      </c>
      <c r="AD80" s="207">
        <f>SUMIFS('апрель 2023'!$G$4:$G$692,'апрель 2023'!$D$4:$D$692,$B80,'апрель 2023'!$J$4:$J$692,AD$1)</f>
        <v>0</v>
      </c>
      <c r="AE80" s="207">
        <f>SUMIFS('апрель 2023'!$G$4:$G$692,'апрель 2023'!$D$4:$D$692,$B80,'апрель 2023'!$J$4:$J$692,AE$1)</f>
        <v>0</v>
      </c>
      <c r="AF80" s="207">
        <f>SUMIFS('апрель 2023'!$G$4:$G$692,'апрель 2023'!$D$4:$D$692,$B80,'апрель 2023'!$J$4:$J$692,AF$1)</f>
        <v>0</v>
      </c>
      <c r="AG80" s="207">
        <f>SUMIFS('апрель 2023'!$G$4:$G$692,'апрель 2023'!$D$4:$D$692,$B80,'апрель 2023'!$J$4:$J$692,AG$1)</f>
        <v>0</v>
      </c>
      <c r="AH80" s="207">
        <f>SUMIFS('апрель 2023'!$G$4:$G$692,'апрель 2023'!$D$4:$D$692,$B80,'апрель 2023'!$J$4:$J$692,AH$1)</f>
        <v>0</v>
      </c>
      <c r="AI80" s="170">
        <f t="shared" si="2"/>
        <v>0</v>
      </c>
    </row>
    <row r="81" spans="2:35" ht="15" customHeight="1" x14ac:dyDescent="0.25">
      <c r="B81" s="212" t="s">
        <v>1608</v>
      </c>
      <c r="C81" s="211">
        <v>950</v>
      </c>
      <c r="D81" s="207">
        <f>SUMIFS('апрель 2023'!$G$4:$G$692,'апрель 2023'!$D$4:$D$692,$B81,'апрель 2023'!$J$4:$J$692,D$1)</f>
        <v>0</v>
      </c>
      <c r="E81" s="207">
        <f>SUMIFS('апрель 2023'!$G$4:$G$692,'апрель 2023'!$D$4:$D$692,$B81,'апрель 2023'!$J$4:$J$692,E$1)</f>
        <v>0</v>
      </c>
      <c r="F81" s="207">
        <f>SUMIFS('апрель 2023'!$G$4:$G$692,'апрель 2023'!$D$4:$D$692,$B81,'апрель 2023'!$J$4:$J$692,F$1)</f>
        <v>0</v>
      </c>
      <c r="G81" s="207">
        <f>SUMIFS('апрель 2023'!$G$4:$G$692,'апрель 2023'!$D$4:$D$692,$B81,'апрель 2023'!$J$4:$J$692,G$1)</f>
        <v>0</v>
      </c>
      <c r="H81" s="207">
        <f>SUMIFS('апрель 2023'!$G$4:$G$692,'апрель 2023'!$D$4:$D$692,$B81,'апрель 2023'!$J$4:$J$692,H$1)</f>
        <v>0</v>
      </c>
      <c r="I81" s="207">
        <f>SUMIFS('апрель 2023'!$G$4:$G$692,'апрель 2023'!$D$4:$D$692,$B81,'апрель 2023'!$J$4:$J$692,I$1)</f>
        <v>0</v>
      </c>
      <c r="J81" s="207">
        <f>SUMIFS('апрель 2023'!$G$4:$G$692,'апрель 2023'!$D$4:$D$692,$B81,'апрель 2023'!$J$4:$J$692,J$1)</f>
        <v>0</v>
      </c>
      <c r="K81" s="207">
        <f>SUMIFS('апрель 2023'!$G$4:$G$692,'апрель 2023'!$D$4:$D$692,$B81,'апрель 2023'!$J$4:$J$692,K$1)</f>
        <v>0</v>
      </c>
      <c r="L81" s="207">
        <f>SUMIFS('апрель 2023'!$G$4:$G$692,'апрель 2023'!$D$4:$D$692,$B81,'апрель 2023'!$J$4:$J$692,L$1)</f>
        <v>0</v>
      </c>
      <c r="M81" s="207">
        <f>SUMIFS('апрель 2023'!$G$4:$G$692,'апрель 2023'!$D$4:$D$692,$B81,'апрель 2023'!$J$4:$J$692,M$1)</f>
        <v>0</v>
      </c>
      <c r="N81" s="207">
        <f>SUMIFS('апрель 2023'!$G$4:$G$692,'апрель 2023'!$D$4:$D$692,$B81,'апрель 2023'!$J$4:$J$692,N$1)</f>
        <v>0</v>
      </c>
      <c r="O81" s="207">
        <f>SUMIFS('апрель 2023'!$G$4:$G$692,'апрель 2023'!$D$4:$D$692,$B81,'апрель 2023'!$J$4:$J$692,O$1)</f>
        <v>0</v>
      </c>
      <c r="P81" s="207">
        <f>SUMIFS('апрель 2023'!$G$4:$G$692,'апрель 2023'!$D$4:$D$692,$B81,'апрель 2023'!$J$4:$J$692,P$1)</f>
        <v>0</v>
      </c>
      <c r="Q81" s="207">
        <f>SUMIFS('апрель 2023'!$G$4:$G$692,'апрель 2023'!$D$4:$D$692,$B81,'апрель 2023'!$J$4:$J$692,Q$1)</f>
        <v>0</v>
      </c>
      <c r="R81" s="207">
        <f>SUMIFS('апрель 2023'!$G$4:$G$692,'апрель 2023'!$D$4:$D$692,$B81,'апрель 2023'!$J$4:$J$692,R$1)</f>
        <v>0</v>
      </c>
      <c r="S81" s="207">
        <f>SUMIFS('апрель 2023'!$G$4:$G$692,'апрель 2023'!$D$4:$D$692,$B81,'апрель 2023'!$J$4:$J$692,S$1)</f>
        <v>0</v>
      </c>
      <c r="T81" s="207">
        <f>SUMIFS('апрель 2023'!$G$4:$G$692,'апрель 2023'!$D$4:$D$692,$B81,'апрель 2023'!$J$4:$J$692,T$1)</f>
        <v>0</v>
      </c>
      <c r="U81" s="207">
        <f>SUMIFS('апрель 2023'!$G$4:$G$692,'апрель 2023'!$D$4:$D$692,$B81,'апрель 2023'!$J$4:$J$692,U$1)</f>
        <v>0</v>
      </c>
      <c r="V81" s="207">
        <f>SUMIFS('апрель 2023'!$G$4:$G$692,'апрель 2023'!$D$4:$D$692,$B81,'апрель 2023'!$J$4:$J$692,V$1)</f>
        <v>0</v>
      </c>
      <c r="W81" s="207">
        <f>SUMIFS('апрель 2023'!$G$4:$G$692,'апрель 2023'!$D$4:$D$692,$B81,'апрель 2023'!$J$4:$J$692,W$1)</f>
        <v>0</v>
      </c>
      <c r="X81" s="207">
        <f>SUMIFS('апрель 2023'!$G$4:$G$692,'апрель 2023'!$D$4:$D$692,$B81,'апрель 2023'!$J$4:$J$692,X$1)</f>
        <v>0</v>
      </c>
      <c r="Y81" s="207">
        <f>SUMIFS('апрель 2023'!$G$4:$G$692,'апрель 2023'!$D$4:$D$692,$B81,'апрель 2023'!$J$4:$J$692,Y$1)</f>
        <v>0</v>
      </c>
      <c r="Z81" s="207">
        <f>SUMIFS('апрель 2023'!$G$4:$G$692,'апрель 2023'!$D$4:$D$692,$B81,'апрель 2023'!$J$4:$J$692,Z$1)</f>
        <v>0</v>
      </c>
      <c r="AA81" s="207">
        <f>SUMIFS('апрель 2023'!$G$4:$G$692,'апрель 2023'!$D$4:$D$692,$B81,'апрель 2023'!$J$4:$J$692,AA$1)</f>
        <v>0</v>
      </c>
      <c r="AB81" s="207">
        <f>SUMIFS('апрель 2023'!$G$4:$G$692,'апрель 2023'!$D$4:$D$692,$B81,'апрель 2023'!$J$4:$J$692,AB$1)</f>
        <v>0</v>
      </c>
      <c r="AC81" s="207">
        <f>SUMIFS('апрель 2023'!$G$4:$G$692,'апрель 2023'!$D$4:$D$692,$B81,'апрель 2023'!$J$4:$J$692,AC$1)</f>
        <v>0</v>
      </c>
      <c r="AD81" s="207">
        <f>SUMIFS('апрель 2023'!$G$4:$G$692,'апрель 2023'!$D$4:$D$692,$B81,'апрель 2023'!$J$4:$J$692,AD$1)</f>
        <v>0</v>
      </c>
      <c r="AE81" s="207">
        <f>SUMIFS('апрель 2023'!$G$4:$G$692,'апрель 2023'!$D$4:$D$692,$B81,'апрель 2023'!$J$4:$J$692,AE$1)</f>
        <v>0</v>
      </c>
      <c r="AF81" s="207">
        <f>SUMIFS('апрель 2023'!$G$4:$G$692,'апрель 2023'!$D$4:$D$692,$B81,'апрель 2023'!$J$4:$J$692,AF$1)</f>
        <v>0</v>
      </c>
      <c r="AG81" s="207">
        <f>SUMIFS('апрель 2023'!$G$4:$G$692,'апрель 2023'!$D$4:$D$692,$B81,'апрель 2023'!$J$4:$J$692,AG$1)</f>
        <v>0</v>
      </c>
      <c r="AH81" s="207">
        <f>SUMIFS('апрель 2023'!$G$4:$G$692,'апрель 2023'!$D$4:$D$692,$B81,'апрель 2023'!$J$4:$J$692,AH$1)</f>
        <v>0</v>
      </c>
      <c r="AI81" s="170">
        <f t="shared" si="2"/>
        <v>0</v>
      </c>
    </row>
    <row r="82" spans="2:35" ht="15" customHeight="1" x14ac:dyDescent="0.25">
      <c r="B82" s="212" t="s">
        <v>468</v>
      </c>
      <c r="C82" s="211">
        <v>180</v>
      </c>
      <c r="D82" s="207">
        <f>SUMIFS('апрель 2023'!$G$4:$G$692,'апрель 2023'!$D$4:$D$692,$B82,'апрель 2023'!$J$4:$J$692,D$1)</f>
        <v>0</v>
      </c>
      <c r="E82" s="207">
        <f>SUMIFS('апрель 2023'!$G$4:$G$692,'апрель 2023'!$D$4:$D$692,$B82,'апрель 2023'!$J$4:$J$692,E$1)</f>
        <v>0</v>
      </c>
      <c r="F82" s="207">
        <f>SUMIFS('апрель 2023'!$G$4:$G$692,'апрель 2023'!$D$4:$D$692,$B82,'апрель 2023'!$J$4:$J$692,F$1)</f>
        <v>0</v>
      </c>
      <c r="G82" s="207">
        <f>SUMIFS('апрель 2023'!$G$4:$G$692,'апрель 2023'!$D$4:$D$692,$B82,'апрель 2023'!$J$4:$J$692,G$1)</f>
        <v>60</v>
      </c>
      <c r="H82" s="207">
        <f>SUMIFS('апрель 2023'!$G$4:$G$692,'апрель 2023'!$D$4:$D$692,$B82,'апрель 2023'!$J$4:$J$692,H$1)</f>
        <v>0</v>
      </c>
      <c r="I82" s="207">
        <f>SUMIFS('апрель 2023'!$G$4:$G$692,'апрель 2023'!$D$4:$D$692,$B82,'апрель 2023'!$J$4:$J$692,I$1)</f>
        <v>0</v>
      </c>
      <c r="J82" s="207">
        <f>SUMIFS('апрель 2023'!$G$4:$G$692,'апрель 2023'!$D$4:$D$692,$B82,'апрель 2023'!$J$4:$J$692,J$1)</f>
        <v>0</v>
      </c>
      <c r="K82" s="207">
        <f>SUMIFS('апрель 2023'!$G$4:$G$692,'апрель 2023'!$D$4:$D$692,$B82,'апрель 2023'!$J$4:$J$692,K$1)</f>
        <v>0</v>
      </c>
      <c r="L82" s="207">
        <f>SUMIFS('апрель 2023'!$G$4:$G$692,'апрель 2023'!$D$4:$D$692,$B82,'апрель 2023'!$J$4:$J$692,L$1)</f>
        <v>0</v>
      </c>
      <c r="M82" s="207">
        <f>SUMIFS('апрель 2023'!$G$4:$G$692,'апрель 2023'!$D$4:$D$692,$B82,'апрель 2023'!$J$4:$J$692,M$1)</f>
        <v>0</v>
      </c>
      <c r="N82" s="207">
        <f>SUMIFS('апрель 2023'!$G$4:$G$692,'апрель 2023'!$D$4:$D$692,$B82,'апрель 2023'!$J$4:$J$692,N$1)</f>
        <v>0</v>
      </c>
      <c r="O82" s="207">
        <f>SUMIFS('апрель 2023'!$G$4:$G$692,'апрель 2023'!$D$4:$D$692,$B82,'апрель 2023'!$J$4:$J$692,O$1)</f>
        <v>0</v>
      </c>
      <c r="P82" s="207">
        <f>SUMIFS('апрель 2023'!$G$4:$G$692,'апрель 2023'!$D$4:$D$692,$B82,'апрель 2023'!$J$4:$J$692,P$1)</f>
        <v>0</v>
      </c>
      <c r="Q82" s="207">
        <f>SUMIFS('апрель 2023'!$G$4:$G$692,'апрель 2023'!$D$4:$D$692,$B82,'апрель 2023'!$J$4:$J$692,Q$1)</f>
        <v>0</v>
      </c>
      <c r="R82" s="207">
        <f>SUMIFS('апрель 2023'!$G$4:$G$692,'апрель 2023'!$D$4:$D$692,$B82,'апрель 2023'!$J$4:$J$692,R$1)</f>
        <v>0</v>
      </c>
      <c r="S82" s="207">
        <f>SUMIFS('апрель 2023'!$G$4:$G$692,'апрель 2023'!$D$4:$D$692,$B82,'апрель 2023'!$J$4:$J$692,S$1)</f>
        <v>0</v>
      </c>
      <c r="T82" s="207">
        <f>SUMIFS('апрель 2023'!$G$4:$G$692,'апрель 2023'!$D$4:$D$692,$B82,'апрель 2023'!$J$4:$J$692,T$1)</f>
        <v>0</v>
      </c>
      <c r="U82" s="207">
        <f>SUMIFS('апрель 2023'!$G$4:$G$692,'апрель 2023'!$D$4:$D$692,$B82,'апрель 2023'!$J$4:$J$692,U$1)</f>
        <v>0</v>
      </c>
      <c r="V82" s="207">
        <f>SUMIFS('апрель 2023'!$G$4:$G$692,'апрель 2023'!$D$4:$D$692,$B82,'апрель 2023'!$J$4:$J$692,V$1)</f>
        <v>0</v>
      </c>
      <c r="W82" s="207">
        <f>SUMIFS('апрель 2023'!$G$4:$G$692,'апрель 2023'!$D$4:$D$692,$B82,'апрель 2023'!$J$4:$J$692,W$1)</f>
        <v>0</v>
      </c>
      <c r="X82" s="207">
        <f>SUMIFS('апрель 2023'!$G$4:$G$692,'апрель 2023'!$D$4:$D$692,$B82,'апрель 2023'!$J$4:$J$692,X$1)</f>
        <v>0</v>
      </c>
      <c r="Y82" s="207">
        <f>SUMIFS('апрель 2023'!$G$4:$G$692,'апрель 2023'!$D$4:$D$692,$B82,'апрель 2023'!$J$4:$J$692,Y$1)</f>
        <v>0</v>
      </c>
      <c r="Z82" s="207">
        <f>SUMIFS('апрель 2023'!$G$4:$G$692,'апрель 2023'!$D$4:$D$692,$B82,'апрель 2023'!$J$4:$J$692,Z$1)</f>
        <v>0</v>
      </c>
      <c r="AA82" s="207">
        <f>SUMIFS('апрель 2023'!$G$4:$G$692,'апрель 2023'!$D$4:$D$692,$B82,'апрель 2023'!$J$4:$J$692,AA$1)</f>
        <v>0</v>
      </c>
      <c r="AB82" s="207">
        <f>SUMIFS('апрель 2023'!$G$4:$G$692,'апрель 2023'!$D$4:$D$692,$B82,'апрель 2023'!$J$4:$J$692,AB$1)</f>
        <v>0</v>
      </c>
      <c r="AC82" s="207">
        <f>SUMIFS('апрель 2023'!$G$4:$G$692,'апрель 2023'!$D$4:$D$692,$B82,'апрель 2023'!$J$4:$J$692,AC$1)</f>
        <v>0</v>
      </c>
      <c r="AD82" s="207">
        <f>SUMIFS('апрель 2023'!$G$4:$G$692,'апрель 2023'!$D$4:$D$692,$B82,'апрель 2023'!$J$4:$J$692,AD$1)</f>
        <v>0</v>
      </c>
      <c r="AE82" s="207">
        <f>SUMIFS('апрель 2023'!$G$4:$G$692,'апрель 2023'!$D$4:$D$692,$B82,'апрель 2023'!$J$4:$J$692,AE$1)</f>
        <v>0</v>
      </c>
      <c r="AF82" s="207">
        <f>SUMIFS('апрель 2023'!$G$4:$G$692,'апрель 2023'!$D$4:$D$692,$B82,'апрель 2023'!$J$4:$J$692,AF$1)</f>
        <v>0</v>
      </c>
      <c r="AG82" s="207">
        <f>SUMIFS('апрель 2023'!$G$4:$G$692,'апрель 2023'!$D$4:$D$692,$B82,'апрель 2023'!$J$4:$J$692,AG$1)</f>
        <v>0</v>
      </c>
      <c r="AH82" s="207">
        <f>SUMIFS('апрель 2023'!$G$4:$G$692,'апрель 2023'!$D$4:$D$692,$B82,'апрель 2023'!$J$4:$J$692,AH$1)</f>
        <v>0</v>
      </c>
      <c r="AI82" s="170">
        <f t="shared" si="2"/>
        <v>60</v>
      </c>
    </row>
    <row r="83" spans="2:35" ht="15" customHeight="1" x14ac:dyDescent="0.25">
      <c r="B83" s="216" t="s">
        <v>1755</v>
      </c>
      <c r="C83" s="213">
        <v>200</v>
      </c>
      <c r="D83" s="207">
        <f>SUMIFS('апрель 2023'!$G$4:$G$692,'апрель 2023'!$D$4:$D$692,$B83,'апрель 2023'!$J$4:$J$692,D$1)</f>
        <v>0</v>
      </c>
      <c r="E83" s="207">
        <f>SUMIFS('апрель 2023'!$G$4:$G$692,'апрель 2023'!$D$4:$D$692,$B83,'апрель 2023'!$J$4:$J$692,E$1)</f>
        <v>0</v>
      </c>
      <c r="F83" s="207">
        <f>SUMIFS('апрель 2023'!$G$4:$G$692,'апрель 2023'!$D$4:$D$692,$B83,'апрель 2023'!$J$4:$J$692,F$1)</f>
        <v>0</v>
      </c>
      <c r="G83" s="207">
        <f>SUMIFS('апрель 2023'!$G$4:$G$692,'апрель 2023'!$D$4:$D$692,$B83,'апрель 2023'!$J$4:$J$692,G$1)</f>
        <v>0</v>
      </c>
      <c r="H83" s="207">
        <f>SUMIFS('апрель 2023'!$G$4:$G$692,'апрель 2023'!$D$4:$D$692,$B83,'апрель 2023'!$J$4:$J$692,H$1)</f>
        <v>0</v>
      </c>
      <c r="I83" s="207">
        <f>SUMIFS('апрель 2023'!$G$4:$G$692,'апрель 2023'!$D$4:$D$692,$B83,'апрель 2023'!$J$4:$J$692,I$1)</f>
        <v>0</v>
      </c>
      <c r="J83" s="207">
        <f>SUMIFS('апрель 2023'!$G$4:$G$692,'апрель 2023'!$D$4:$D$692,$B83,'апрель 2023'!$J$4:$J$692,J$1)</f>
        <v>0</v>
      </c>
      <c r="K83" s="207">
        <f>SUMIFS('апрель 2023'!$G$4:$G$692,'апрель 2023'!$D$4:$D$692,$B83,'апрель 2023'!$J$4:$J$692,K$1)</f>
        <v>0</v>
      </c>
      <c r="L83" s="207">
        <f>SUMIFS('апрель 2023'!$G$4:$G$692,'апрель 2023'!$D$4:$D$692,$B83,'апрель 2023'!$J$4:$J$692,L$1)</f>
        <v>0</v>
      </c>
      <c r="M83" s="207">
        <f>SUMIFS('апрель 2023'!$G$4:$G$692,'апрель 2023'!$D$4:$D$692,$B83,'апрель 2023'!$J$4:$J$692,M$1)</f>
        <v>0</v>
      </c>
      <c r="N83" s="207">
        <f>SUMIFS('апрель 2023'!$G$4:$G$692,'апрель 2023'!$D$4:$D$692,$B83,'апрель 2023'!$J$4:$J$692,N$1)</f>
        <v>0</v>
      </c>
      <c r="O83" s="207">
        <f>SUMIFS('апрель 2023'!$G$4:$G$692,'апрель 2023'!$D$4:$D$692,$B83,'апрель 2023'!$J$4:$J$692,O$1)</f>
        <v>0</v>
      </c>
      <c r="P83" s="207">
        <f>SUMIFS('апрель 2023'!$G$4:$G$692,'апрель 2023'!$D$4:$D$692,$B83,'апрель 2023'!$J$4:$J$692,P$1)</f>
        <v>0</v>
      </c>
      <c r="Q83" s="207">
        <f>SUMIFS('апрель 2023'!$G$4:$G$692,'апрель 2023'!$D$4:$D$692,$B83,'апрель 2023'!$J$4:$J$692,Q$1)</f>
        <v>0</v>
      </c>
      <c r="R83" s="207">
        <f>SUMIFS('апрель 2023'!$G$4:$G$692,'апрель 2023'!$D$4:$D$692,$B83,'апрель 2023'!$J$4:$J$692,R$1)</f>
        <v>0</v>
      </c>
      <c r="S83" s="207">
        <f>SUMIFS('апрель 2023'!$G$4:$G$692,'апрель 2023'!$D$4:$D$692,$B83,'апрель 2023'!$J$4:$J$692,S$1)</f>
        <v>0</v>
      </c>
      <c r="T83" s="207">
        <f>SUMIFS('апрель 2023'!$G$4:$G$692,'апрель 2023'!$D$4:$D$692,$B83,'апрель 2023'!$J$4:$J$692,T$1)</f>
        <v>0</v>
      </c>
      <c r="U83" s="207">
        <f>SUMIFS('апрель 2023'!$G$4:$G$692,'апрель 2023'!$D$4:$D$692,$B83,'апрель 2023'!$J$4:$J$692,U$1)</f>
        <v>0</v>
      </c>
      <c r="V83" s="207">
        <f>SUMIFS('апрель 2023'!$G$4:$G$692,'апрель 2023'!$D$4:$D$692,$B83,'апрель 2023'!$J$4:$J$692,V$1)</f>
        <v>0</v>
      </c>
      <c r="W83" s="207">
        <f>SUMIFS('апрель 2023'!$G$4:$G$692,'апрель 2023'!$D$4:$D$692,$B83,'апрель 2023'!$J$4:$J$692,W$1)</f>
        <v>0</v>
      </c>
      <c r="X83" s="207">
        <f>SUMIFS('апрель 2023'!$G$4:$G$692,'апрель 2023'!$D$4:$D$692,$B83,'апрель 2023'!$J$4:$J$692,X$1)</f>
        <v>0</v>
      </c>
      <c r="Y83" s="207">
        <f>SUMIFS('апрель 2023'!$G$4:$G$692,'апрель 2023'!$D$4:$D$692,$B83,'апрель 2023'!$J$4:$J$692,Y$1)</f>
        <v>0</v>
      </c>
      <c r="Z83" s="207">
        <f>SUMIFS('апрель 2023'!$G$4:$G$692,'апрель 2023'!$D$4:$D$692,$B83,'апрель 2023'!$J$4:$J$692,Z$1)</f>
        <v>0</v>
      </c>
      <c r="AA83" s="207">
        <f>SUMIFS('апрель 2023'!$G$4:$G$692,'апрель 2023'!$D$4:$D$692,$B83,'апрель 2023'!$J$4:$J$692,AA$1)</f>
        <v>0</v>
      </c>
      <c r="AB83" s="207">
        <f>SUMIFS('апрель 2023'!$G$4:$G$692,'апрель 2023'!$D$4:$D$692,$B83,'апрель 2023'!$J$4:$J$692,AB$1)</f>
        <v>0</v>
      </c>
      <c r="AC83" s="207">
        <f>SUMIFS('апрель 2023'!$G$4:$G$692,'апрель 2023'!$D$4:$D$692,$B83,'апрель 2023'!$J$4:$J$692,AC$1)</f>
        <v>0</v>
      </c>
      <c r="AD83" s="207">
        <f>SUMIFS('апрель 2023'!$G$4:$G$692,'апрель 2023'!$D$4:$D$692,$B83,'апрель 2023'!$J$4:$J$692,AD$1)</f>
        <v>0</v>
      </c>
      <c r="AE83" s="207">
        <f>SUMIFS('апрель 2023'!$G$4:$G$692,'апрель 2023'!$D$4:$D$692,$B83,'апрель 2023'!$J$4:$J$692,AE$1)</f>
        <v>0</v>
      </c>
      <c r="AF83" s="207">
        <f>SUMIFS('апрель 2023'!$G$4:$G$692,'апрель 2023'!$D$4:$D$692,$B83,'апрель 2023'!$J$4:$J$692,AF$1)</f>
        <v>0</v>
      </c>
      <c r="AG83" s="207">
        <f>SUMIFS('апрель 2023'!$G$4:$G$692,'апрель 2023'!$D$4:$D$692,$B83,'апрель 2023'!$J$4:$J$692,AG$1)</f>
        <v>0</v>
      </c>
      <c r="AH83" s="207">
        <f>SUMIFS('апрель 2023'!$G$4:$G$692,'апрель 2023'!$D$4:$D$692,$B83,'апрель 2023'!$J$4:$J$692,AH$1)</f>
        <v>0</v>
      </c>
      <c r="AI83" s="170">
        <f t="shared" si="2"/>
        <v>0</v>
      </c>
    </row>
    <row r="84" spans="2:35" ht="15" customHeight="1" x14ac:dyDescent="0.25">
      <c r="B84" s="216" t="s">
        <v>2191</v>
      </c>
      <c r="C84" s="213">
        <v>200</v>
      </c>
      <c r="D84" s="207">
        <f>SUMIFS('апрель 2023'!$G$4:$G$692,'апрель 2023'!$D$4:$D$692,$B84,'апрель 2023'!$J$4:$J$692,D$1)</f>
        <v>0</v>
      </c>
      <c r="E84" s="207">
        <f>SUMIFS('апрель 2023'!$G$4:$G$692,'апрель 2023'!$D$4:$D$692,$B84,'апрель 2023'!$J$4:$J$692,E$1)</f>
        <v>0</v>
      </c>
      <c r="F84" s="207">
        <f>SUMIFS('апрель 2023'!$G$4:$G$692,'апрель 2023'!$D$4:$D$692,$B84,'апрель 2023'!$J$4:$J$692,F$1)</f>
        <v>0</v>
      </c>
      <c r="G84" s="207">
        <f>SUMIFS('апрель 2023'!$G$4:$G$692,'апрель 2023'!$D$4:$D$692,$B84,'апрель 2023'!$J$4:$J$692,G$1)</f>
        <v>0</v>
      </c>
      <c r="H84" s="207">
        <f>SUMIFS('апрель 2023'!$G$4:$G$692,'апрель 2023'!$D$4:$D$692,$B84,'апрель 2023'!$J$4:$J$692,H$1)</f>
        <v>0</v>
      </c>
      <c r="I84" s="207">
        <f>SUMIFS('апрель 2023'!$G$4:$G$692,'апрель 2023'!$D$4:$D$692,$B84,'апрель 2023'!$J$4:$J$692,I$1)</f>
        <v>0</v>
      </c>
      <c r="J84" s="207">
        <f>SUMIFS('апрель 2023'!$G$4:$G$692,'апрель 2023'!$D$4:$D$692,$B84,'апрель 2023'!$J$4:$J$692,J$1)</f>
        <v>0</v>
      </c>
      <c r="K84" s="207">
        <f>SUMIFS('апрель 2023'!$G$4:$G$692,'апрель 2023'!$D$4:$D$692,$B84,'апрель 2023'!$J$4:$J$692,K$1)</f>
        <v>0</v>
      </c>
      <c r="L84" s="207">
        <f>SUMIFS('апрель 2023'!$G$4:$G$692,'апрель 2023'!$D$4:$D$692,$B84,'апрель 2023'!$J$4:$J$692,L$1)</f>
        <v>0</v>
      </c>
      <c r="M84" s="207">
        <f>SUMIFS('апрель 2023'!$G$4:$G$692,'апрель 2023'!$D$4:$D$692,$B84,'апрель 2023'!$J$4:$J$692,M$1)</f>
        <v>0</v>
      </c>
      <c r="N84" s="207">
        <f>SUMIFS('апрель 2023'!$G$4:$G$692,'апрель 2023'!$D$4:$D$692,$B84,'апрель 2023'!$J$4:$J$692,N$1)</f>
        <v>0</v>
      </c>
      <c r="O84" s="207">
        <f>SUMIFS('апрель 2023'!$G$4:$G$692,'апрель 2023'!$D$4:$D$692,$B84,'апрель 2023'!$J$4:$J$692,O$1)</f>
        <v>0</v>
      </c>
      <c r="P84" s="207">
        <f>SUMIFS('апрель 2023'!$G$4:$G$692,'апрель 2023'!$D$4:$D$692,$B84,'апрель 2023'!$J$4:$J$692,P$1)</f>
        <v>0</v>
      </c>
      <c r="Q84" s="207">
        <f>SUMIFS('апрель 2023'!$G$4:$G$692,'апрель 2023'!$D$4:$D$692,$B84,'апрель 2023'!$J$4:$J$692,Q$1)</f>
        <v>0</v>
      </c>
      <c r="R84" s="207">
        <f>SUMIFS('апрель 2023'!$G$4:$G$692,'апрель 2023'!$D$4:$D$692,$B84,'апрель 2023'!$J$4:$J$692,R$1)</f>
        <v>0</v>
      </c>
      <c r="S84" s="207">
        <f>SUMIFS('апрель 2023'!$G$4:$G$692,'апрель 2023'!$D$4:$D$692,$B84,'апрель 2023'!$J$4:$J$692,S$1)</f>
        <v>0</v>
      </c>
      <c r="T84" s="207">
        <f>SUMIFS('апрель 2023'!$G$4:$G$692,'апрель 2023'!$D$4:$D$692,$B84,'апрель 2023'!$J$4:$J$692,T$1)</f>
        <v>0</v>
      </c>
      <c r="U84" s="207">
        <f>SUMIFS('апрель 2023'!$G$4:$G$692,'апрель 2023'!$D$4:$D$692,$B84,'апрель 2023'!$J$4:$J$692,U$1)</f>
        <v>0</v>
      </c>
      <c r="V84" s="207">
        <f>SUMIFS('апрель 2023'!$G$4:$G$692,'апрель 2023'!$D$4:$D$692,$B84,'апрель 2023'!$J$4:$J$692,V$1)</f>
        <v>0</v>
      </c>
      <c r="W84" s="207">
        <f>SUMIFS('апрель 2023'!$G$4:$G$692,'апрель 2023'!$D$4:$D$692,$B84,'апрель 2023'!$J$4:$J$692,W$1)</f>
        <v>0</v>
      </c>
      <c r="X84" s="207">
        <f>SUMIFS('апрель 2023'!$G$4:$G$692,'апрель 2023'!$D$4:$D$692,$B84,'апрель 2023'!$J$4:$J$692,X$1)</f>
        <v>0</v>
      </c>
      <c r="Y84" s="207">
        <f>SUMIFS('апрель 2023'!$G$4:$G$692,'апрель 2023'!$D$4:$D$692,$B84,'апрель 2023'!$J$4:$J$692,Y$1)</f>
        <v>0</v>
      </c>
      <c r="Z84" s="207">
        <f>SUMIFS('апрель 2023'!$G$4:$G$692,'апрель 2023'!$D$4:$D$692,$B84,'апрель 2023'!$J$4:$J$692,Z$1)</f>
        <v>0</v>
      </c>
      <c r="AA84" s="207">
        <f>SUMIFS('апрель 2023'!$G$4:$G$692,'апрель 2023'!$D$4:$D$692,$B84,'апрель 2023'!$J$4:$J$692,AA$1)</f>
        <v>0</v>
      </c>
      <c r="AB84" s="207">
        <f>SUMIFS('апрель 2023'!$G$4:$G$692,'апрель 2023'!$D$4:$D$692,$B84,'апрель 2023'!$J$4:$J$692,AB$1)</f>
        <v>0</v>
      </c>
      <c r="AC84" s="207">
        <f>SUMIFS('апрель 2023'!$G$4:$G$692,'апрель 2023'!$D$4:$D$692,$B84,'апрель 2023'!$J$4:$J$692,AC$1)</f>
        <v>0</v>
      </c>
      <c r="AD84" s="207">
        <f>SUMIFS('апрель 2023'!$G$4:$G$692,'апрель 2023'!$D$4:$D$692,$B84,'апрель 2023'!$J$4:$J$692,AD$1)</f>
        <v>0</v>
      </c>
      <c r="AE84" s="207">
        <f>SUMIFS('апрель 2023'!$G$4:$G$692,'апрель 2023'!$D$4:$D$692,$B84,'апрель 2023'!$J$4:$J$692,AE$1)</f>
        <v>0</v>
      </c>
      <c r="AF84" s="207">
        <f>SUMIFS('апрель 2023'!$G$4:$G$692,'апрель 2023'!$D$4:$D$692,$B84,'апрель 2023'!$J$4:$J$692,AF$1)</f>
        <v>0</v>
      </c>
      <c r="AG84" s="207">
        <f>SUMIFS('апрель 2023'!$G$4:$G$692,'апрель 2023'!$D$4:$D$692,$B84,'апрель 2023'!$J$4:$J$692,AG$1)</f>
        <v>0</v>
      </c>
      <c r="AH84" s="207">
        <f>SUMIFS('апрель 2023'!$G$4:$G$692,'апрель 2023'!$D$4:$D$692,$B84,'апрель 2023'!$J$4:$J$692,AH$1)</f>
        <v>0</v>
      </c>
      <c r="AI84" s="170">
        <f t="shared" si="2"/>
        <v>0</v>
      </c>
    </row>
    <row r="85" spans="2:35" ht="15" customHeight="1" x14ac:dyDescent="0.25">
      <c r="B85" s="216" t="s">
        <v>898</v>
      </c>
      <c r="C85" s="213">
        <v>200</v>
      </c>
      <c r="D85" s="207">
        <f>SUMIFS('апрель 2023'!$G$4:$G$692,'апрель 2023'!$D$4:$D$692,$B85,'апрель 2023'!$J$4:$J$692,D$1)</f>
        <v>0</v>
      </c>
      <c r="E85" s="207">
        <f>SUMIFS('апрель 2023'!$G$4:$G$692,'апрель 2023'!$D$4:$D$692,$B85,'апрель 2023'!$J$4:$J$692,E$1)</f>
        <v>0</v>
      </c>
      <c r="F85" s="207">
        <f>SUMIFS('апрель 2023'!$G$4:$G$692,'апрель 2023'!$D$4:$D$692,$B85,'апрель 2023'!$J$4:$J$692,F$1)</f>
        <v>0</v>
      </c>
      <c r="G85" s="207">
        <f>SUMIFS('апрель 2023'!$G$4:$G$692,'апрель 2023'!$D$4:$D$692,$B85,'апрель 2023'!$J$4:$J$692,G$1)</f>
        <v>0</v>
      </c>
      <c r="H85" s="207">
        <f>SUMIFS('апрель 2023'!$G$4:$G$692,'апрель 2023'!$D$4:$D$692,$B85,'апрель 2023'!$J$4:$J$692,H$1)</f>
        <v>0</v>
      </c>
      <c r="I85" s="207">
        <f>SUMIFS('апрель 2023'!$G$4:$G$692,'апрель 2023'!$D$4:$D$692,$B85,'апрель 2023'!$J$4:$J$692,I$1)</f>
        <v>0</v>
      </c>
      <c r="J85" s="207">
        <f>SUMIFS('апрель 2023'!$G$4:$G$692,'апрель 2023'!$D$4:$D$692,$B85,'апрель 2023'!$J$4:$J$692,J$1)</f>
        <v>0</v>
      </c>
      <c r="K85" s="207">
        <f>SUMIFS('апрель 2023'!$G$4:$G$692,'апрель 2023'!$D$4:$D$692,$B85,'апрель 2023'!$J$4:$J$692,K$1)</f>
        <v>0</v>
      </c>
      <c r="L85" s="207">
        <f>SUMIFS('апрель 2023'!$G$4:$G$692,'апрель 2023'!$D$4:$D$692,$B85,'апрель 2023'!$J$4:$J$692,L$1)</f>
        <v>0</v>
      </c>
      <c r="M85" s="207">
        <f>SUMIFS('апрель 2023'!$G$4:$G$692,'апрель 2023'!$D$4:$D$692,$B85,'апрель 2023'!$J$4:$J$692,M$1)</f>
        <v>0</v>
      </c>
      <c r="N85" s="207">
        <f>SUMIFS('апрель 2023'!$G$4:$G$692,'апрель 2023'!$D$4:$D$692,$B85,'апрель 2023'!$J$4:$J$692,N$1)</f>
        <v>0</v>
      </c>
      <c r="O85" s="207">
        <f>SUMIFS('апрель 2023'!$G$4:$G$692,'апрель 2023'!$D$4:$D$692,$B85,'апрель 2023'!$J$4:$J$692,O$1)</f>
        <v>0</v>
      </c>
      <c r="P85" s="207">
        <f>SUMIFS('апрель 2023'!$G$4:$G$692,'апрель 2023'!$D$4:$D$692,$B85,'апрель 2023'!$J$4:$J$692,P$1)</f>
        <v>0</v>
      </c>
      <c r="Q85" s="207">
        <f>SUMIFS('апрель 2023'!$G$4:$G$692,'апрель 2023'!$D$4:$D$692,$B85,'апрель 2023'!$J$4:$J$692,Q$1)</f>
        <v>0</v>
      </c>
      <c r="R85" s="207">
        <f>SUMIFS('апрель 2023'!$G$4:$G$692,'апрель 2023'!$D$4:$D$692,$B85,'апрель 2023'!$J$4:$J$692,R$1)</f>
        <v>0</v>
      </c>
      <c r="S85" s="207">
        <f>SUMIFS('апрель 2023'!$G$4:$G$692,'апрель 2023'!$D$4:$D$692,$B85,'апрель 2023'!$J$4:$J$692,S$1)</f>
        <v>0</v>
      </c>
      <c r="T85" s="207">
        <f>SUMIFS('апрель 2023'!$G$4:$G$692,'апрель 2023'!$D$4:$D$692,$B85,'апрель 2023'!$J$4:$J$692,T$1)</f>
        <v>0</v>
      </c>
      <c r="U85" s="207">
        <f>SUMIFS('апрель 2023'!$G$4:$G$692,'апрель 2023'!$D$4:$D$692,$B85,'апрель 2023'!$J$4:$J$692,U$1)</f>
        <v>0</v>
      </c>
      <c r="V85" s="207">
        <f>SUMIFS('апрель 2023'!$G$4:$G$692,'апрель 2023'!$D$4:$D$692,$B85,'апрель 2023'!$J$4:$J$692,V$1)</f>
        <v>0</v>
      </c>
      <c r="W85" s="207">
        <f>SUMIFS('апрель 2023'!$G$4:$G$692,'апрель 2023'!$D$4:$D$692,$B85,'апрель 2023'!$J$4:$J$692,W$1)</f>
        <v>0</v>
      </c>
      <c r="X85" s="207">
        <f>SUMIFS('апрель 2023'!$G$4:$G$692,'апрель 2023'!$D$4:$D$692,$B85,'апрель 2023'!$J$4:$J$692,X$1)</f>
        <v>0</v>
      </c>
      <c r="Y85" s="207">
        <f>SUMIFS('апрель 2023'!$G$4:$G$692,'апрель 2023'!$D$4:$D$692,$B85,'апрель 2023'!$J$4:$J$692,Y$1)</f>
        <v>0</v>
      </c>
      <c r="Z85" s="207">
        <f>SUMIFS('апрель 2023'!$G$4:$G$692,'апрель 2023'!$D$4:$D$692,$B85,'апрель 2023'!$J$4:$J$692,Z$1)</f>
        <v>0</v>
      </c>
      <c r="AA85" s="207">
        <f>SUMIFS('апрель 2023'!$G$4:$G$692,'апрель 2023'!$D$4:$D$692,$B85,'апрель 2023'!$J$4:$J$692,AA$1)</f>
        <v>0</v>
      </c>
      <c r="AB85" s="207">
        <f>SUMIFS('апрель 2023'!$G$4:$G$692,'апрель 2023'!$D$4:$D$692,$B85,'апрель 2023'!$J$4:$J$692,AB$1)</f>
        <v>0</v>
      </c>
      <c r="AC85" s="207">
        <f>SUMIFS('апрель 2023'!$G$4:$G$692,'апрель 2023'!$D$4:$D$692,$B85,'апрель 2023'!$J$4:$J$692,AC$1)</f>
        <v>0</v>
      </c>
      <c r="AD85" s="207">
        <f>SUMIFS('апрель 2023'!$G$4:$G$692,'апрель 2023'!$D$4:$D$692,$B85,'апрель 2023'!$J$4:$J$692,AD$1)</f>
        <v>0</v>
      </c>
      <c r="AE85" s="207">
        <f>SUMIFS('апрель 2023'!$G$4:$G$692,'апрель 2023'!$D$4:$D$692,$B85,'апрель 2023'!$J$4:$J$692,AE$1)</f>
        <v>0</v>
      </c>
      <c r="AF85" s="207">
        <f>SUMIFS('апрель 2023'!$G$4:$G$692,'апрель 2023'!$D$4:$D$692,$B85,'апрель 2023'!$J$4:$J$692,AF$1)</f>
        <v>0</v>
      </c>
      <c r="AG85" s="207">
        <f>SUMIFS('апрель 2023'!$G$4:$G$692,'апрель 2023'!$D$4:$D$692,$B85,'апрель 2023'!$J$4:$J$692,AG$1)</f>
        <v>0</v>
      </c>
      <c r="AH85" s="207">
        <f>SUMIFS('апрель 2023'!$G$4:$G$692,'апрель 2023'!$D$4:$D$692,$B85,'апрель 2023'!$J$4:$J$692,AH$1)</f>
        <v>0</v>
      </c>
      <c r="AI85" s="170">
        <f t="shared" si="2"/>
        <v>0</v>
      </c>
    </row>
    <row r="86" spans="2:35" ht="15" customHeight="1" x14ac:dyDescent="0.25">
      <c r="B86" s="216" t="s">
        <v>1725</v>
      </c>
      <c r="C86" s="213">
        <v>180</v>
      </c>
      <c r="D86" s="207">
        <f>SUMIFS('апрель 2023'!$G$4:$G$692,'апрель 2023'!$D$4:$D$692,$B86,'апрель 2023'!$J$4:$J$692,D$1)</f>
        <v>0</v>
      </c>
      <c r="E86" s="207">
        <f>SUMIFS('апрель 2023'!$G$4:$G$692,'апрель 2023'!$D$4:$D$692,$B86,'апрель 2023'!$J$4:$J$692,E$1)</f>
        <v>0</v>
      </c>
      <c r="F86" s="207">
        <f>SUMIFS('апрель 2023'!$G$4:$G$692,'апрель 2023'!$D$4:$D$692,$B86,'апрель 2023'!$J$4:$J$692,F$1)</f>
        <v>0</v>
      </c>
      <c r="G86" s="207">
        <f>SUMIFS('апрель 2023'!$G$4:$G$692,'апрель 2023'!$D$4:$D$692,$B86,'апрель 2023'!$J$4:$J$692,G$1)</f>
        <v>0</v>
      </c>
      <c r="H86" s="207">
        <f>SUMIFS('апрель 2023'!$G$4:$G$692,'апрель 2023'!$D$4:$D$692,$B86,'апрель 2023'!$J$4:$J$692,H$1)</f>
        <v>0</v>
      </c>
      <c r="I86" s="207">
        <f>SUMIFS('апрель 2023'!$G$4:$G$692,'апрель 2023'!$D$4:$D$692,$B86,'апрель 2023'!$J$4:$J$692,I$1)</f>
        <v>0</v>
      </c>
      <c r="J86" s="207">
        <f>SUMIFS('апрель 2023'!$G$4:$G$692,'апрель 2023'!$D$4:$D$692,$B86,'апрель 2023'!$J$4:$J$692,J$1)</f>
        <v>0</v>
      </c>
      <c r="K86" s="207">
        <f>SUMIFS('апрель 2023'!$G$4:$G$692,'апрель 2023'!$D$4:$D$692,$B86,'апрель 2023'!$J$4:$J$692,K$1)</f>
        <v>0</v>
      </c>
      <c r="L86" s="207">
        <f>SUMIFS('апрель 2023'!$G$4:$G$692,'апрель 2023'!$D$4:$D$692,$B86,'апрель 2023'!$J$4:$J$692,L$1)</f>
        <v>0</v>
      </c>
      <c r="M86" s="207">
        <f>SUMIFS('апрель 2023'!$G$4:$G$692,'апрель 2023'!$D$4:$D$692,$B86,'апрель 2023'!$J$4:$J$692,M$1)</f>
        <v>0</v>
      </c>
      <c r="N86" s="207">
        <f>SUMIFS('апрель 2023'!$G$4:$G$692,'апрель 2023'!$D$4:$D$692,$B86,'апрель 2023'!$J$4:$J$692,N$1)</f>
        <v>0</v>
      </c>
      <c r="O86" s="207">
        <f>SUMIFS('апрель 2023'!$G$4:$G$692,'апрель 2023'!$D$4:$D$692,$B86,'апрель 2023'!$J$4:$J$692,O$1)</f>
        <v>0</v>
      </c>
      <c r="P86" s="207">
        <f>SUMIFS('апрель 2023'!$G$4:$G$692,'апрель 2023'!$D$4:$D$692,$B86,'апрель 2023'!$J$4:$J$692,P$1)</f>
        <v>0</v>
      </c>
      <c r="Q86" s="207">
        <f>SUMIFS('апрель 2023'!$G$4:$G$692,'апрель 2023'!$D$4:$D$692,$B86,'апрель 2023'!$J$4:$J$692,Q$1)</f>
        <v>0</v>
      </c>
      <c r="R86" s="207">
        <f>SUMIFS('апрель 2023'!$G$4:$G$692,'апрель 2023'!$D$4:$D$692,$B86,'апрель 2023'!$J$4:$J$692,R$1)</f>
        <v>0</v>
      </c>
      <c r="S86" s="207">
        <f>SUMIFS('апрель 2023'!$G$4:$G$692,'апрель 2023'!$D$4:$D$692,$B86,'апрель 2023'!$J$4:$J$692,S$1)</f>
        <v>0</v>
      </c>
      <c r="T86" s="207">
        <f>SUMIFS('апрель 2023'!$G$4:$G$692,'апрель 2023'!$D$4:$D$692,$B86,'апрель 2023'!$J$4:$J$692,T$1)</f>
        <v>0</v>
      </c>
      <c r="U86" s="207">
        <f>SUMIFS('апрель 2023'!$G$4:$G$692,'апрель 2023'!$D$4:$D$692,$B86,'апрель 2023'!$J$4:$J$692,U$1)</f>
        <v>0</v>
      </c>
      <c r="V86" s="207">
        <f>SUMIFS('апрель 2023'!$G$4:$G$692,'апрель 2023'!$D$4:$D$692,$B86,'апрель 2023'!$J$4:$J$692,V$1)</f>
        <v>0</v>
      </c>
      <c r="W86" s="207">
        <f>SUMIFS('апрель 2023'!$G$4:$G$692,'апрель 2023'!$D$4:$D$692,$B86,'апрель 2023'!$J$4:$J$692,W$1)</f>
        <v>0</v>
      </c>
      <c r="X86" s="207">
        <f>SUMIFS('апрель 2023'!$G$4:$G$692,'апрель 2023'!$D$4:$D$692,$B86,'апрель 2023'!$J$4:$J$692,X$1)</f>
        <v>0</v>
      </c>
      <c r="Y86" s="207">
        <f>SUMIFS('апрель 2023'!$G$4:$G$692,'апрель 2023'!$D$4:$D$692,$B86,'апрель 2023'!$J$4:$J$692,Y$1)</f>
        <v>0</v>
      </c>
      <c r="Z86" s="207">
        <f>SUMIFS('апрель 2023'!$G$4:$G$692,'апрель 2023'!$D$4:$D$692,$B86,'апрель 2023'!$J$4:$J$692,Z$1)</f>
        <v>0</v>
      </c>
      <c r="AA86" s="207">
        <f>SUMIFS('апрель 2023'!$G$4:$G$692,'апрель 2023'!$D$4:$D$692,$B86,'апрель 2023'!$J$4:$J$692,AA$1)</f>
        <v>0</v>
      </c>
      <c r="AB86" s="207">
        <f>SUMIFS('апрель 2023'!$G$4:$G$692,'апрель 2023'!$D$4:$D$692,$B86,'апрель 2023'!$J$4:$J$692,AB$1)</f>
        <v>0</v>
      </c>
      <c r="AC86" s="207">
        <f>SUMIFS('апрель 2023'!$G$4:$G$692,'апрель 2023'!$D$4:$D$692,$B86,'апрель 2023'!$J$4:$J$692,AC$1)</f>
        <v>0</v>
      </c>
      <c r="AD86" s="207">
        <f>SUMIFS('апрель 2023'!$G$4:$G$692,'апрель 2023'!$D$4:$D$692,$B86,'апрель 2023'!$J$4:$J$692,AD$1)</f>
        <v>0</v>
      </c>
      <c r="AE86" s="207">
        <f>SUMIFS('апрель 2023'!$G$4:$G$692,'апрель 2023'!$D$4:$D$692,$B86,'апрель 2023'!$J$4:$J$692,AE$1)</f>
        <v>0</v>
      </c>
      <c r="AF86" s="207">
        <f>SUMIFS('апрель 2023'!$G$4:$G$692,'апрель 2023'!$D$4:$D$692,$B86,'апрель 2023'!$J$4:$J$692,AF$1)</f>
        <v>0</v>
      </c>
      <c r="AG86" s="207">
        <f>SUMIFS('апрель 2023'!$G$4:$G$692,'апрель 2023'!$D$4:$D$692,$B86,'апрель 2023'!$J$4:$J$692,AG$1)</f>
        <v>0</v>
      </c>
      <c r="AH86" s="207">
        <f>SUMIFS('апрель 2023'!$G$4:$G$692,'апрель 2023'!$D$4:$D$692,$B86,'апрель 2023'!$J$4:$J$692,AH$1)</f>
        <v>0</v>
      </c>
      <c r="AI86" s="170">
        <f t="shared" si="2"/>
        <v>0</v>
      </c>
    </row>
    <row r="87" spans="2:35" ht="15" customHeight="1" x14ac:dyDescent="0.25">
      <c r="B87" s="212" t="s">
        <v>864</v>
      </c>
      <c r="C87" s="211">
        <v>18</v>
      </c>
      <c r="D87" s="207">
        <f>SUMIFS('апрель 2023'!$G$4:$G$692,'апрель 2023'!$D$4:$D$692,$B87,'апрель 2023'!$J$4:$J$692,D$1)</f>
        <v>0</v>
      </c>
      <c r="E87" s="207">
        <f>SUMIFS('апрель 2023'!$G$4:$G$692,'апрель 2023'!$D$4:$D$692,$B87,'апрель 2023'!$J$4:$J$692,E$1)</f>
        <v>0</v>
      </c>
      <c r="F87" s="207">
        <f>SUMIFS('апрель 2023'!$G$4:$G$692,'апрель 2023'!$D$4:$D$692,$B87,'апрель 2023'!$J$4:$J$692,F$1)</f>
        <v>0</v>
      </c>
      <c r="G87" s="207">
        <f>SUMIFS('апрель 2023'!$G$4:$G$692,'апрель 2023'!$D$4:$D$692,$B87,'апрель 2023'!$J$4:$J$692,G$1)</f>
        <v>100</v>
      </c>
      <c r="H87" s="207">
        <f>SUMIFS('апрель 2023'!$G$4:$G$692,'апрель 2023'!$D$4:$D$692,$B87,'апрель 2023'!$J$4:$J$692,H$1)</f>
        <v>0</v>
      </c>
      <c r="I87" s="207">
        <f>SUMIFS('апрель 2023'!$G$4:$G$692,'апрель 2023'!$D$4:$D$692,$B87,'апрель 2023'!$J$4:$J$692,I$1)</f>
        <v>0</v>
      </c>
      <c r="J87" s="207">
        <f>SUMIFS('апрель 2023'!$G$4:$G$692,'апрель 2023'!$D$4:$D$692,$B87,'апрель 2023'!$J$4:$J$692,J$1)</f>
        <v>0</v>
      </c>
      <c r="K87" s="207">
        <f>SUMIFS('апрель 2023'!$G$4:$G$692,'апрель 2023'!$D$4:$D$692,$B87,'апрель 2023'!$J$4:$J$692,K$1)</f>
        <v>0</v>
      </c>
      <c r="L87" s="207">
        <f>SUMIFS('апрель 2023'!$G$4:$G$692,'апрель 2023'!$D$4:$D$692,$B87,'апрель 2023'!$J$4:$J$692,L$1)</f>
        <v>0</v>
      </c>
      <c r="M87" s="207">
        <f>SUMIFS('апрель 2023'!$G$4:$G$692,'апрель 2023'!$D$4:$D$692,$B87,'апрель 2023'!$J$4:$J$692,M$1)</f>
        <v>0</v>
      </c>
      <c r="N87" s="207">
        <f>SUMIFS('апрель 2023'!$G$4:$G$692,'апрель 2023'!$D$4:$D$692,$B87,'апрель 2023'!$J$4:$J$692,N$1)</f>
        <v>0</v>
      </c>
      <c r="O87" s="207">
        <f>SUMIFS('апрель 2023'!$G$4:$G$692,'апрель 2023'!$D$4:$D$692,$B87,'апрель 2023'!$J$4:$J$692,O$1)</f>
        <v>0</v>
      </c>
      <c r="P87" s="207">
        <f>SUMIFS('апрель 2023'!$G$4:$G$692,'апрель 2023'!$D$4:$D$692,$B87,'апрель 2023'!$J$4:$J$692,P$1)</f>
        <v>0</v>
      </c>
      <c r="Q87" s="207">
        <f>SUMIFS('апрель 2023'!$G$4:$G$692,'апрель 2023'!$D$4:$D$692,$B87,'апрель 2023'!$J$4:$J$692,Q$1)</f>
        <v>0</v>
      </c>
      <c r="R87" s="207">
        <f>SUMIFS('апрель 2023'!$G$4:$G$692,'апрель 2023'!$D$4:$D$692,$B87,'апрель 2023'!$J$4:$J$692,R$1)</f>
        <v>0</v>
      </c>
      <c r="S87" s="207">
        <f>SUMIFS('апрель 2023'!$G$4:$G$692,'апрель 2023'!$D$4:$D$692,$B87,'апрель 2023'!$J$4:$J$692,S$1)</f>
        <v>0</v>
      </c>
      <c r="T87" s="207">
        <f>SUMIFS('апрель 2023'!$G$4:$G$692,'апрель 2023'!$D$4:$D$692,$B87,'апрель 2023'!$J$4:$J$692,T$1)</f>
        <v>0</v>
      </c>
      <c r="U87" s="207">
        <f>SUMIFS('апрель 2023'!$G$4:$G$692,'апрель 2023'!$D$4:$D$692,$B87,'апрель 2023'!$J$4:$J$692,U$1)</f>
        <v>789</v>
      </c>
      <c r="V87" s="207">
        <f>SUMIFS('апрель 2023'!$G$4:$G$692,'апрель 2023'!$D$4:$D$692,$B87,'апрель 2023'!$J$4:$J$692,V$1)</f>
        <v>0</v>
      </c>
      <c r="W87" s="207">
        <f>SUMIFS('апрель 2023'!$G$4:$G$692,'апрель 2023'!$D$4:$D$692,$B87,'апрель 2023'!$J$4:$J$692,W$1)</f>
        <v>84</v>
      </c>
      <c r="X87" s="207">
        <f>SUMIFS('апрель 2023'!$G$4:$G$692,'апрель 2023'!$D$4:$D$692,$B87,'апрель 2023'!$J$4:$J$692,X$1)</f>
        <v>0</v>
      </c>
      <c r="Y87" s="207">
        <f>SUMIFS('апрель 2023'!$G$4:$G$692,'апрель 2023'!$D$4:$D$692,$B87,'апрель 2023'!$J$4:$J$692,Y$1)</f>
        <v>0</v>
      </c>
      <c r="Z87" s="207">
        <f>SUMIFS('апрель 2023'!$G$4:$G$692,'апрель 2023'!$D$4:$D$692,$B87,'апрель 2023'!$J$4:$J$692,Z$1)</f>
        <v>0</v>
      </c>
      <c r="AA87" s="207">
        <f>SUMIFS('апрель 2023'!$G$4:$G$692,'апрель 2023'!$D$4:$D$692,$B87,'апрель 2023'!$J$4:$J$692,AA$1)</f>
        <v>100</v>
      </c>
      <c r="AB87" s="207">
        <f>SUMIFS('апрель 2023'!$G$4:$G$692,'апрель 2023'!$D$4:$D$692,$B87,'апрель 2023'!$J$4:$J$692,AB$1)</f>
        <v>556</v>
      </c>
      <c r="AC87" s="207">
        <f>SUMIFS('апрель 2023'!$G$4:$G$692,'апрель 2023'!$D$4:$D$692,$B87,'апрель 2023'!$J$4:$J$692,AC$1)</f>
        <v>0</v>
      </c>
      <c r="AD87" s="207">
        <f>SUMIFS('апрель 2023'!$G$4:$G$692,'апрель 2023'!$D$4:$D$692,$B87,'апрель 2023'!$J$4:$J$692,AD$1)</f>
        <v>0</v>
      </c>
      <c r="AE87" s="207">
        <f>SUMIFS('апрель 2023'!$G$4:$G$692,'апрель 2023'!$D$4:$D$692,$B87,'апрель 2023'!$J$4:$J$692,AE$1)</f>
        <v>0</v>
      </c>
      <c r="AF87" s="207">
        <f>SUMIFS('апрель 2023'!$G$4:$G$692,'апрель 2023'!$D$4:$D$692,$B87,'апрель 2023'!$J$4:$J$692,AF$1)</f>
        <v>0</v>
      </c>
      <c r="AG87" s="207">
        <f>SUMIFS('апрель 2023'!$G$4:$G$692,'апрель 2023'!$D$4:$D$692,$B87,'апрель 2023'!$J$4:$J$692,AG$1)</f>
        <v>0</v>
      </c>
      <c r="AH87" s="207">
        <f>SUMIFS('апрель 2023'!$G$4:$G$692,'апрель 2023'!$D$4:$D$692,$B87,'апрель 2023'!$J$4:$J$692,AH$1)</f>
        <v>0</v>
      </c>
      <c r="AI87" s="170">
        <f t="shared" si="2"/>
        <v>1629</v>
      </c>
    </row>
    <row r="88" spans="2:35" ht="15" customHeight="1" x14ac:dyDescent="0.25">
      <c r="B88" s="216" t="s">
        <v>2214</v>
      </c>
      <c r="C88" s="213">
        <v>200</v>
      </c>
      <c r="D88" s="207">
        <f>SUMIFS('апрель 2023'!$G$4:$G$692,'апрель 2023'!$D$4:$D$692,$B88,'апрель 2023'!$J$4:$J$692,D$1)</f>
        <v>0</v>
      </c>
      <c r="E88" s="207">
        <f>SUMIFS('апрель 2023'!$G$4:$G$692,'апрель 2023'!$D$4:$D$692,$B88,'апрель 2023'!$J$4:$J$692,E$1)</f>
        <v>0</v>
      </c>
      <c r="F88" s="207">
        <f>SUMIFS('апрель 2023'!$G$4:$G$692,'апрель 2023'!$D$4:$D$692,$B88,'апрель 2023'!$J$4:$J$692,F$1)</f>
        <v>0</v>
      </c>
      <c r="G88" s="207">
        <f>SUMIFS('апрель 2023'!$G$4:$G$692,'апрель 2023'!$D$4:$D$692,$B88,'апрель 2023'!$J$4:$J$692,G$1)</f>
        <v>0</v>
      </c>
      <c r="H88" s="207">
        <f>SUMIFS('апрель 2023'!$G$4:$G$692,'апрель 2023'!$D$4:$D$692,$B88,'апрель 2023'!$J$4:$J$692,H$1)</f>
        <v>0</v>
      </c>
      <c r="I88" s="207">
        <f>SUMIFS('апрель 2023'!$G$4:$G$692,'апрель 2023'!$D$4:$D$692,$B88,'апрель 2023'!$J$4:$J$692,I$1)</f>
        <v>0</v>
      </c>
      <c r="J88" s="207">
        <f>SUMIFS('апрель 2023'!$G$4:$G$692,'апрель 2023'!$D$4:$D$692,$B88,'апрель 2023'!$J$4:$J$692,J$1)</f>
        <v>0</v>
      </c>
      <c r="K88" s="207">
        <f>SUMIFS('апрель 2023'!$G$4:$G$692,'апрель 2023'!$D$4:$D$692,$B88,'апрель 2023'!$J$4:$J$692,K$1)</f>
        <v>0</v>
      </c>
      <c r="L88" s="207">
        <f>SUMIFS('апрель 2023'!$G$4:$G$692,'апрель 2023'!$D$4:$D$692,$B88,'апрель 2023'!$J$4:$J$692,L$1)</f>
        <v>0</v>
      </c>
      <c r="M88" s="207">
        <f>SUMIFS('апрель 2023'!$G$4:$G$692,'апрель 2023'!$D$4:$D$692,$B88,'апрель 2023'!$J$4:$J$692,M$1)</f>
        <v>0</v>
      </c>
      <c r="N88" s="207">
        <f>SUMIFS('апрель 2023'!$G$4:$G$692,'апрель 2023'!$D$4:$D$692,$B88,'апрель 2023'!$J$4:$J$692,N$1)</f>
        <v>0</v>
      </c>
      <c r="O88" s="207">
        <f>SUMIFS('апрель 2023'!$G$4:$G$692,'апрель 2023'!$D$4:$D$692,$B88,'апрель 2023'!$J$4:$J$692,O$1)</f>
        <v>0</v>
      </c>
      <c r="P88" s="207">
        <f>SUMIFS('апрель 2023'!$G$4:$G$692,'апрель 2023'!$D$4:$D$692,$B88,'апрель 2023'!$J$4:$J$692,P$1)</f>
        <v>0</v>
      </c>
      <c r="Q88" s="207">
        <f>SUMIFS('апрель 2023'!$G$4:$G$692,'апрель 2023'!$D$4:$D$692,$B88,'апрель 2023'!$J$4:$J$692,Q$1)</f>
        <v>0</v>
      </c>
      <c r="R88" s="207">
        <f>SUMIFS('апрель 2023'!$G$4:$G$692,'апрель 2023'!$D$4:$D$692,$B88,'апрель 2023'!$J$4:$J$692,R$1)</f>
        <v>0</v>
      </c>
      <c r="S88" s="207">
        <f>SUMIFS('апрель 2023'!$G$4:$G$692,'апрель 2023'!$D$4:$D$692,$B88,'апрель 2023'!$J$4:$J$692,S$1)</f>
        <v>0</v>
      </c>
      <c r="T88" s="207">
        <f>SUMIFS('апрель 2023'!$G$4:$G$692,'апрель 2023'!$D$4:$D$692,$B88,'апрель 2023'!$J$4:$J$692,T$1)</f>
        <v>0</v>
      </c>
      <c r="U88" s="207">
        <f>SUMIFS('апрель 2023'!$G$4:$G$692,'апрель 2023'!$D$4:$D$692,$B88,'апрель 2023'!$J$4:$J$692,U$1)</f>
        <v>0</v>
      </c>
      <c r="V88" s="207">
        <f>SUMIFS('апрель 2023'!$G$4:$G$692,'апрель 2023'!$D$4:$D$692,$B88,'апрель 2023'!$J$4:$J$692,V$1)</f>
        <v>0</v>
      </c>
      <c r="W88" s="207">
        <f>SUMIFS('апрель 2023'!$G$4:$G$692,'апрель 2023'!$D$4:$D$692,$B88,'апрель 2023'!$J$4:$J$692,W$1)</f>
        <v>0</v>
      </c>
      <c r="X88" s="207">
        <f>SUMIFS('апрель 2023'!$G$4:$G$692,'апрель 2023'!$D$4:$D$692,$B88,'апрель 2023'!$J$4:$J$692,X$1)</f>
        <v>0</v>
      </c>
      <c r="Y88" s="207">
        <f>SUMIFS('апрель 2023'!$G$4:$G$692,'апрель 2023'!$D$4:$D$692,$B88,'апрель 2023'!$J$4:$J$692,Y$1)</f>
        <v>0</v>
      </c>
      <c r="Z88" s="207">
        <f>SUMIFS('апрель 2023'!$G$4:$G$692,'апрель 2023'!$D$4:$D$692,$B88,'апрель 2023'!$J$4:$J$692,Z$1)</f>
        <v>0</v>
      </c>
      <c r="AA88" s="207">
        <f>SUMIFS('апрель 2023'!$G$4:$G$692,'апрель 2023'!$D$4:$D$692,$B88,'апрель 2023'!$J$4:$J$692,AA$1)</f>
        <v>0</v>
      </c>
      <c r="AB88" s="207">
        <f>SUMIFS('апрель 2023'!$G$4:$G$692,'апрель 2023'!$D$4:$D$692,$B88,'апрель 2023'!$J$4:$J$692,AB$1)</f>
        <v>0</v>
      </c>
      <c r="AC88" s="207">
        <f>SUMIFS('апрель 2023'!$G$4:$G$692,'апрель 2023'!$D$4:$D$692,$B88,'апрель 2023'!$J$4:$J$692,AC$1)</f>
        <v>0</v>
      </c>
      <c r="AD88" s="207">
        <f>SUMIFS('апрель 2023'!$G$4:$G$692,'апрель 2023'!$D$4:$D$692,$B88,'апрель 2023'!$J$4:$J$692,AD$1)</f>
        <v>0</v>
      </c>
      <c r="AE88" s="207">
        <f>SUMIFS('апрель 2023'!$G$4:$G$692,'апрель 2023'!$D$4:$D$692,$B88,'апрель 2023'!$J$4:$J$692,AE$1)</f>
        <v>0</v>
      </c>
      <c r="AF88" s="207">
        <f>SUMIFS('апрель 2023'!$G$4:$G$692,'апрель 2023'!$D$4:$D$692,$B88,'апрель 2023'!$J$4:$J$692,AF$1)</f>
        <v>0</v>
      </c>
      <c r="AG88" s="207">
        <f>SUMIFS('апрель 2023'!$G$4:$G$692,'апрель 2023'!$D$4:$D$692,$B88,'апрель 2023'!$J$4:$J$692,AG$1)</f>
        <v>0</v>
      </c>
      <c r="AH88" s="207">
        <f>SUMIFS('апрель 2023'!$G$4:$G$692,'апрель 2023'!$D$4:$D$692,$B88,'апрель 2023'!$J$4:$J$692,AH$1)</f>
        <v>0</v>
      </c>
      <c r="AI88" s="170">
        <f t="shared" si="2"/>
        <v>0</v>
      </c>
    </row>
    <row r="89" spans="2:35" ht="15" customHeight="1" x14ac:dyDescent="0.25">
      <c r="B89" s="216" t="s">
        <v>308</v>
      </c>
      <c r="C89" s="213">
        <v>180</v>
      </c>
      <c r="D89" s="207">
        <f>SUMIFS('апрель 2023'!$G$4:$G$692,'апрель 2023'!$D$4:$D$692,$B89,'апрель 2023'!$J$4:$J$692,D$1)</f>
        <v>0</v>
      </c>
      <c r="E89" s="207">
        <f>SUMIFS('апрель 2023'!$G$4:$G$692,'апрель 2023'!$D$4:$D$692,$B89,'апрель 2023'!$J$4:$J$692,E$1)</f>
        <v>0</v>
      </c>
      <c r="F89" s="207">
        <f>SUMIFS('апрель 2023'!$G$4:$G$692,'апрель 2023'!$D$4:$D$692,$B89,'апрель 2023'!$J$4:$J$692,F$1)</f>
        <v>0</v>
      </c>
      <c r="G89" s="207">
        <f>SUMIFS('апрель 2023'!$G$4:$G$692,'апрель 2023'!$D$4:$D$692,$B89,'апрель 2023'!$J$4:$J$692,G$1)</f>
        <v>0</v>
      </c>
      <c r="H89" s="207">
        <f>SUMIFS('апрель 2023'!$G$4:$G$692,'апрель 2023'!$D$4:$D$692,$B89,'апрель 2023'!$J$4:$J$692,H$1)</f>
        <v>0</v>
      </c>
      <c r="I89" s="207">
        <f>SUMIFS('апрель 2023'!$G$4:$G$692,'апрель 2023'!$D$4:$D$692,$B89,'апрель 2023'!$J$4:$J$692,I$1)</f>
        <v>0</v>
      </c>
      <c r="J89" s="207">
        <f>SUMIFS('апрель 2023'!$G$4:$G$692,'апрель 2023'!$D$4:$D$692,$B89,'апрель 2023'!$J$4:$J$692,J$1)</f>
        <v>0</v>
      </c>
      <c r="K89" s="207">
        <f>SUMIFS('апрель 2023'!$G$4:$G$692,'апрель 2023'!$D$4:$D$692,$B89,'апрель 2023'!$J$4:$J$692,K$1)</f>
        <v>0</v>
      </c>
      <c r="L89" s="207">
        <f>SUMIFS('апрель 2023'!$G$4:$G$692,'апрель 2023'!$D$4:$D$692,$B89,'апрель 2023'!$J$4:$J$692,L$1)</f>
        <v>0</v>
      </c>
      <c r="M89" s="207">
        <f>SUMIFS('апрель 2023'!$G$4:$G$692,'апрель 2023'!$D$4:$D$692,$B89,'апрель 2023'!$J$4:$J$692,M$1)</f>
        <v>0</v>
      </c>
      <c r="N89" s="207">
        <f>SUMIFS('апрель 2023'!$G$4:$G$692,'апрель 2023'!$D$4:$D$692,$B89,'апрель 2023'!$J$4:$J$692,N$1)</f>
        <v>0</v>
      </c>
      <c r="O89" s="207">
        <f>SUMIFS('апрель 2023'!$G$4:$G$692,'апрель 2023'!$D$4:$D$692,$B89,'апрель 2023'!$J$4:$J$692,O$1)</f>
        <v>0</v>
      </c>
      <c r="P89" s="207">
        <f>SUMIFS('апрель 2023'!$G$4:$G$692,'апрель 2023'!$D$4:$D$692,$B89,'апрель 2023'!$J$4:$J$692,P$1)</f>
        <v>0</v>
      </c>
      <c r="Q89" s="207">
        <f>SUMIFS('апрель 2023'!$G$4:$G$692,'апрель 2023'!$D$4:$D$692,$B89,'апрель 2023'!$J$4:$J$692,Q$1)</f>
        <v>0</v>
      </c>
      <c r="R89" s="207">
        <f>SUMIFS('апрель 2023'!$G$4:$G$692,'апрель 2023'!$D$4:$D$692,$B89,'апрель 2023'!$J$4:$J$692,R$1)</f>
        <v>0</v>
      </c>
      <c r="S89" s="207">
        <f>SUMIFS('апрель 2023'!$G$4:$G$692,'апрель 2023'!$D$4:$D$692,$B89,'апрель 2023'!$J$4:$J$692,S$1)</f>
        <v>0</v>
      </c>
      <c r="T89" s="207">
        <f>SUMIFS('апрель 2023'!$G$4:$G$692,'апрель 2023'!$D$4:$D$692,$B89,'апрель 2023'!$J$4:$J$692,T$1)</f>
        <v>0</v>
      </c>
      <c r="U89" s="207">
        <f>SUMIFS('апрель 2023'!$G$4:$G$692,'апрель 2023'!$D$4:$D$692,$B89,'апрель 2023'!$J$4:$J$692,U$1)</f>
        <v>0</v>
      </c>
      <c r="V89" s="207">
        <f>SUMIFS('апрель 2023'!$G$4:$G$692,'апрель 2023'!$D$4:$D$692,$B89,'апрель 2023'!$J$4:$J$692,V$1)</f>
        <v>0</v>
      </c>
      <c r="W89" s="207">
        <f>SUMIFS('апрель 2023'!$G$4:$G$692,'апрель 2023'!$D$4:$D$692,$B89,'апрель 2023'!$J$4:$J$692,W$1)</f>
        <v>0</v>
      </c>
      <c r="X89" s="207">
        <f>SUMIFS('апрель 2023'!$G$4:$G$692,'апрель 2023'!$D$4:$D$692,$B89,'апрель 2023'!$J$4:$J$692,X$1)</f>
        <v>0</v>
      </c>
      <c r="Y89" s="207">
        <f>SUMIFS('апрель 2023'!$G$4:$G$692,'апрель 2023'!$D$4:$D$692,$B89,'апрель 2023'!$J$4:$J$692,Y$1)</f>
        <v>0</v>
      </c>
      <c r="Z89" s="207">
        <f>SUMIFS('апрель 2023'!$G$4:$G$692,'апрель 2023'!$D$4:$D$692,$B89,'апрель 2023'!$J$4:$J$692,Z$1)</f>
        <v>0</v>
      </c>
      <c r="AA89" s="207">
        <f>SUMIFS('апрель 2023'!$G$4:$G$692,'апрель 2023'!$D$4:$D$692,$B89,'апрель 2023'!$J$4:$J$692,AA$1)</f>
        <v>0</v>
      </c>
      <c r="AB89" s="207">
        <f>SUMIFS('апрель 2023'!$G$4:$G$692,'апрель 2023'!$D$4:$D$692,$B89,'апрель 2023'!$J$4:$J$692,AB$1)</f>
        <v>0</v>
      </c>
      <c r="AC89" s="207">
        <f>SUMIFS('апрель 2023'!$G$4:$G$692,'апрель 2023'!$D$4:$D$692,$B89,'апрель 2023'!$J$4:$J$692,AC$1)</f>
        <v>0</v>
      </c>
      <c r="AD89" s="207">
        <f>SUMIFS('апрель 2023'!$G$4:$G$692,'апрель 2023'!$D$4:$D$692,$B89,'апрель 2023'!$J$4:$J$692,AD$1)</f>
        <v>0</v>
      </c>
      <c r="AE89" s="207">
        <f>SUMIFS('апрель 2023'!$G$4:$G$692,'апрель 2023'!$D$4:$D$692,$B89,'апрель 2023'!$J$4:$J$692,AE$1)</f>
        <v>0</v>
      </c>
      <c r="AF89" s="207">
        <f>SUMIFS('апрель 2023'!$G$4:$G$692,'апрель 2023'!$D$4:$D$692,$B89,'апрель 2023'!$J$4:$J$692,AF$1)</f>
        <v>0</v>
      </c>
      <c r="AG89" s="207">
        <f>SUMIFS('апрель 2023'!$G$4:$G$692,'апрель 2023'!$D$4:$D$692,$B89,'апрель 2023'!$J$4:$J$692,AG$1)</f>
        <v>0</v>
      </c>
      <c r="AH89" s="207">
        <f>SUMIFS('апрель 2023'!$G$4:$G$692,'апрель 2023'!$D$4:$D$692,$B89,'апрель 2023'!$J$4:$J$692,AH$1)</f>
        <v>0</v>
      </c>
      <c r="AI89" s="170">
        <f t="shared" si="2"/>
        <v>0</v>
      </c>
    </row>
    <row r="90" spans="2:35" ht="15" customHeight="1" x14ac:dyDescent="0.25">
      <c r="B90" s="216" t="s">
        <v>770</v>
      </c>
      <c r="C90" s="213">
        <v>190</v>
      </c>
      <c r="D90" s="207">
        <f>SUMIFS('апрель 2023'!$G$4:$G$692,'апрель 2023'!$D$4:$D$692,$B90,'апрель 2023'!$J$4:$J$692,D$1)</f>
        <v>0</v>
      </c>
      <c r="E90" s="207">
        <f>SUMIFS('апрель 2023'!$G$4:$G$692,'апрель 2023'!$D$4:$D$692,$B90,'апрель 2023'!$J$4:$J$692,E$1)</f>
        <v>0</v>
      </c>
      <c r="F90" s="207">
        <f>SUMIFS('апрель 2023'!$G$4:$G$692,'апрель 2023'!$D$4:$D$692,$B90,'апрель 2023'!$J$4:$J$692,F$1)</f>
        <v>0</v>
      </c>
      <c r="G90" s="207">
        <f>SUMIFS('апрель 2023'!$G$4:$G$692,'апрель 2023'!$D$4:$D$692,$B90,'апрель 2023'!$J$4:$J$692,G$1)</f>
        <v>0</v>
      </c>
      <c r="H90" s="207">
        <f>SUMIFS('апрель 2023'!$G$4:$G$692,'апрель 2023'!$D$4:$D$692,$B90,'апрель 2023'!$J$4:$J$692,H$1)</f>
        <v>0</v>
      </c>
      <c r="I90" s="207">
        <f>SUMIFS('апрель 2023'!$G$4:$G$692,'апрель 2023'!$D$4:$D$692,$B90,'апрель 2023'!$J$4:$J$692,I$1)</f>
        <v>0</v>
      </c>
      <c r="J90" s="207">
        <f>SUMIFS('апрель 2023'!$G$4:$G$692,'апрель 2023'!$D$4:$D$692,$B90,'апрель 2023'!$J$4:$J$692,J$1)</f>
        <v>0</v>
      </c>
      <c r="K90" s="207">
        <f>SUMIFS('апрель 2023'!$G$4:$G$692,'апрель 2023'!$D$4:$D$692,$B90,'апрель 2023'!$J$4:$J$692,K$1)</f>
        <v>0</v>
      </c>
      <c r="L90" s="207">
        <f>SUMIFS('апрель 2023'!$G$4:$G$692,'апрель 2023'!$D$4:$D$692,$B90,'апрель 2023'!$J$4:$J$692,L$1)</f>
        <v>0</v>
      </c>
      <c r="M90" s="207">
        <f>SUMIFS('апрель 2023'!$G$4:$G$692,'апрель 2023'!$D$4:$D$692,$B90,'апрель 2023'!$J$4:$J$692,M$1)</f>
        <v>0</v>
      </c>
      <c r="N90" s="207">
        <f>SUMIFS('апрель 2023'!$G$4:$G$692,'апрель 2023'!$D$4:$D$692,$B90,'апрель 2023'!$J$4:$J$692,N$1)</f>
        <v>0</v>
      </c>
      <c r="O90" s="207">
        <f>SUMIFS('апрель 2023'!$G$4:$G$692,'апрель 2023'!$D$4:$D$692,$B90,'апрель 2023'!$J$4:$J$692,O$1)</f>
        <v>0</v>
      </c>
      <c r="P90" s="207">
        <f>SUMIFS('апрель 2023'!$G$4:$G$692,'апрель 2023'!$D$4:$D$692,$B90,'апрель 2023'!$J$4:$J$692,P$1)</f>
        <v>0</v>
      </c>
      <c r="Q90" s="207">
        <f>SUMIFS('апрель 2023'!$G$4:$G$692,'апрель 2023'!$D$4:$D$692,$B90,'апрель 2023'!$J$4:$J$692,Q$1)</f>
        <v>0</v>
      </c>
      <c r="R90" s="207">
        <f>SUMIFS('апрель 2023'!$G$4:$G$692,'апрель 2023'!$D$4:$D$692,$B90,'апрель 2023'!$J$4:$J$692,R$1)</f>
        <v>0</v>
      </c>
      <c r="S90" s="207">
        <f>SUMIFS('апрель 2023'!$G$4:$G$692,'апрель 2023'!$D$4:$D$692,$B90,'апрель 2023'!$J$4:$J$692,S$1)</f>
        <v>0</v>
      </c>
      <c r="T90" s="207">
        <f>SUMIFS('апрель 2023'!$G$4:$G$692,'апрель 2023'!$D$4:$D$692,$B90,'апрель 2023'!$J$4:$J$692,T$1)</f>
        <v>0</v>
      </c>
      <c r="U90" s="207">
        <f>SUMIFS('апрель 2023'!$G$4:$G$692,'апрель 2023'!$D$4:$D$692,$B90,'апрель 2023'!$J$4:$J$692,U$1)</f>
        <v>0</v>
      </c>
      <c r="V90" s="207">
        <f>SUMIFS('апрель 2023'!$G$4:$G$692,'апрель 2023'!$D$4:$D$692,$B90,'апрель 2023'!$J$4:$J$692,V$1)</f>
        <v>0</v>
      </c>
      <c r="W90" s="207">
        <f>SUMIFS('апрель 2023'!$G$4:$G$692,'апрель 2023'!$D$4:$D$692,$B90,'апрель 2023'!$J$4:$J$692,W$1)</f>
        <v>0</v>
      </c>
      <c r="X90" s="207">
        <f>SUMIFS('апрель 2023'!$G$4:$G$692,'апрель 2023'!$D$4:$D$692,$B90,'апрель 2023'!$J$4:$J$692,X$1)</f>
        <v>0</v>
      </c>
      <c r="Y90" s="207">
        <f>SUMIFS('апрель 2023'!$G$4:$G$692,'апрель 2023'!$D$4:$D$692,$B90,'апрель 2023'!$J$4:$J$692,Y$1)</f>
        <v>0</v>
      </c>
      <c r="Z90" s="207">
        <f>SUMIFS('апрель 2023'!$G$4:$G$692,'апрель 2023'!$D$4:$D$692,$B90,'апрель 2023'!$J$4:$J$692,Z$1)</f>
        <v>0</v>
      </c>
      <c r="AA90" s="207">
        <f>SUMIFS('апрель 2023'!$G$4:$G$692,'апрель 2023'!$D$4:$D$692,$B90,'апрель 2023'!$J$4:$J$692,AA$1)</f>
        <v>80</v>
      </c>
      <c r="AB90" s="207">
        <f>SUMIFS('апрель 2023'!$G$4:$G$692,'апрель 2023'!$D$4:$D$692,$B90,'апрель 2023'!$J$4:$J$692,AB$1)</f>
        <v>0</v>
      </c>
      <c r="AC90" s="207">
        <f>SUMIFS('апрель 2023'!$G$4:$G$692,'апрель 2023'!$D$4:$D$692,$B90,'апрель 2023'!$J$4:$J$692,AC$1)</f>
        <v>0</v>
      </c>
      <c r="AD90" s="207">
        <f>SUMIFS('апрель 2023'!$G$4:$G$692,'апрель 2023'!$D$4:$D$692,$B90,'апрель 2023'!$J$4:$J$692,AD$1)</f>
        <v>0</v>
      </c>
      <c r="AE90" s="207">
        <f>SUMIFS('апрель 2023'!$G$4:$G$692,'апрель 2023'!$D$4:$D$692,$B90,'апрель 2023'!$J$4:$J$692,AE$1)</f>
        <v>0</v>
      </c>
      <c r="AF90" s="207">
        <f>SUMIFS('апрель 2023'!$G$4:$G$692,'апрель 2023'!$D$4:$D$692,$B90,'апрель 2023'!$J$4:$J$692,AF$1)</f>
        <v>0</v>
      </c>
      <c r="AG90" s="207">
        <f>SUMIFS('апрель 2023'!$G$4:$G$692,'апрель 2023'!$D$4:$D$692,$B90,'апрель 2023'!$J$4:$J$692,AG$1)</f>
        <v>0</v>
      </c>
      <c r="AH90" s="207">
        <f>SUMIFS('апрель 2023'!$G$4:$G$692,'апрель 2023'!$D$4:$D$692,$B90,'апрель 2023'!$J$4:$J$692,AH$1)</f>
        <v>0</v>
      </c>
      <c r="AI90" s="170">
        <f t="shared" si="2"/>
        <v>80</v>
      </c>
    </row>
    <row r="91" spans="2:35" ht="15" customHeight="1" x14ac:dyDescent="0.25">
      <c r="B91" s="216" t="s">
        <v>2193</v>
      </c>
      <c r="C91" s="213">
        <v>190</v>
      </c>
      <c r="D91" s="207">
        <f>SUMIFS('апрель 2023'!$G$4:$G$692,'апрель 2023'!$D$4:$D$692,$B91,'апрель 2023'!$J$4:$J$692,D$1)</f>
        <v>0</v>
      </c>
      <c r="E91" s="207">
        <f>SUMIFS('апрель 2023'!$G$4:$G$692,'апрель 2023'!$D$4:$D$692,$B91,'апрель 2023'!$J$4:$J$692,E$1)</f>
        <v>0</v>
      </c>
      <c r="F91" s="207">
        <f>SUMIFS('апрель 2023'!$G$4:$G$692,'апрель 2023'!$D$4:$D$692,$B91,'апрель 2023'!$J$4:$J$692,F$1)</f>
        <v>0</v>
      </c>
      <c r="G91" s="207">
        <f>SUMIFS('апрель 2023'!$G$4:$G$692,'апрель 2023'!$D$4:$D$692,$B91,'апрель 2023'!$J$4:$J$692,G$1)</f>
        <v>0</v>
      </c>
      <c r="H91" s="207">
        <f>SUMIFS('апрель 2023'!$G$4:$G$692,'апрель 2023'!$D$4:$D$692,$B91,'апрель 2023'!$J$4:$J$692,H$1)</f>
        <v>0</v>
      </c>
      <c r="I91" s="207">
        <f>SUMIFS('апрель 2023'!$G$4:$G$692,'апрель 2023'!$D$4:$D$692,$B91,'апрель 2023'!$J$4:$J$692,I$1)</f>
        <v>0</v>
      </c>
      <c r="J91" s="207">
        <f>SUMIFS('апрель 2023'!$G$4:$G$692,'апрель 2023'!$D$4:$D$692,$B91,'апрель 2023'!$J$4:$J$692,J$1)</f>
        <v>0</v>
      </c>
      <c r="K91" s="207">
        <f>SUMIFS('апрель 2023'!$G$4:$G$692,'апрель 2023'!$D$4:$D$692,$B91,'апрель 2023'!$J$4:$J$692,K$1)</f>
        <v>0</v>
      </c>
      <c r="L91" s="207">
        <f>SUMIFS('апрель 2023'!$G$4:$G$692,'апрель 2023'!$D$4:$D$692,$B91,'апрель 2023'!$J$4:$J$692,L$1)</f>
        <v>0</v>
      </c>
      <c r="M91" s="207">
        <f>SUMIFS('апрель 2023'!$G$4:$G$692,'апрель 2023'!$D$4:$D$692,$B91,'апрель 2023'!$J$4:$J$692,M$1)</f>
        <v>0</v>
      </c>
      <c r="N91" s="207">
        <f>SUMIFS('апрель 2023'!$G$4:$G$692,'апрель 2023'!$D$4:$D$692,$B91,'апрель 2023'!$J$4:$J$692,N$1)</f>
        <v>0</v>
      </c>
      <c r="O91" s="207">
        <f>SUMIFS('апрель 2023'!$G$4:$G$692,'апрель 2023'!$D$4:$D$692,$B91,'апрель 2023'!$J$4:$J$692,O$1)</f>
        <v>0</v>
      </c>
      <c r="P91" s="207">
        <f>SUMIFS('апрель 2023'!$G$4:$G$692,'апрель 2023'!$D$4:$D$692,$B91,'апрель 2023'!$J$4:$J$692,P$1)</f>
        <v>0</v>
      </c>
      <c r="Q91" s="207">
        <f>SUMIFS('апрель 2023'!$G$4:$G$692,'апрель 2023'!$D$4:$D$692,$B91,'апрель 2023'!$J$4:$J$692,Q$1)</f>
        <v>0</v>
      </c>
      <c r="R91" s="207">
        <f>SUMIFS('апрель 2023'!$G$4:$G$692,'апрель 2023'!$D$4:$D$692,$B91,'апрель 2023'!$J$4:$J$692,R$1)</f>
        <v>0</v>
      </c>
      <c r="S91" s="207">
        <f>SUMIFS('апрель 2023'!$G$4:$G$692,'апрель 2023'!$D$4:$D$692,$B91,'апрель 2023'!$J$4:$J$692,S$1)</f>
        <v>0</v>
      </c>
      <c r="T91" s="207">
        <f>SUMIFS('апрель 2023'!$G$4:$G$692,'апрель 2023'!$D$4:$D$692,$B91,'апрель 2023'!$J$4:$J$692,T$1)</f>
        <v>0</v>
      </c>
      <c r="U91" s="207">
        <f>SUMIFS('апрель 2023'!$G$4:$G$692,'апрель 2023'!$D$4:$D$692,$B91,'апрель 2023'!$J$4:$J$692,U$1)</f>
        <v>0</v>
      </c>
      <c r="V91" s="207">
        <f>SUMIFS('апрель 2023'!$G$4:$G$692,'апрель 2023'!$D$4:$D$692,$B91,'апрель 2023'!$J$4:$J$692,V$1)</f>
        <v>0</v>
      </c>
      <c r="W91" s="207">
        <f>SUMIFS('апрель 2023'!$G$4:$G$692,'апрель 2023'!$D$4:$D$692,$B91,'апрель 2023'!$J$4:$J$692,W$1)</f>
        <v>0</v>
      </c>
      <c r="X91" s="207">
        <f>SUMIFS('апрель 2023'!$G$4:$G$692,'апрель 2023'!$D$4:$D$692,$B91,'апрель 2023'!$J$4:$J$692,X$1)</f>
        <v>0</v>
      </c>
      <c r="Y91" s="207">
        <f>SUMIFS('апрель 2023'!$G$4:$G$692,'апрель 2023'!$D$4:$D$692,$B91,'апрель 2023'!$J$4:$J$692,Y$1)</f>
        <v>0</v>
      </c>
      <c r="Z91" s="207">
        <f>SUMIFS('апрель 2023'!$G$4:$G$692,'апрель 2023'!$D$4:$D$692,$B91,'апрель 2023'!$J$4:$J$692,Z$1)</f>
        <v>0</v>
      </c>
      <c r="AA91" s="207">
        <f>SUMIFS('апрель 2023'!$G$4:$G$692,'апрель 2023'!$D$4:$D$692,$B91,'апрель 2023'!$J$4:$J$692,AA$1)</f>
        <v>0</v>
      </c>
      <c r="AB91" s="207">
        <f>SUMIFS('апрель 2023'!$G$4:$G$692,'апрель 2023'!$D$4:$D$692,$B91,'апрель 2023'!$J$4:$J$692,AB$1)</f>
        <v>0</v>
      </c>
      <c r="AC91" s="207">
        <f>SUMIFS('апрель 2023'!$G$4:$G$692,'апрель 2023'!$D$4:$D$692,$B91,'апрель 2023'!$J$4:$J$692,AC$1)</f>
        <v>0</v>
      </c>
      <c r="AD91" s="207">
        <f>SUMIFS('апрель 2023'!$G$4:$G$692,'апрель 2023'!$D$4:$D$692,$B91,'апрель 2023'!$J$4:$J$692,AD$1)</f>
        <v>0</v>
      </c>
      <c r="AE91" s="207">
        <f>SUMIFS('апрель 2023'!$G$4:$G$692,'апрель 2023'!$D$4:$D$692,$B91,'апрель 2023'!$J$4:$J$692,AE$1)</f>
        <v>0</v>
      </c>
      <c r="AF91" s="207">
        <f>SUMIFS('апрель 2023'!$G$4:$G$692,'апрель 2023'!$D$4:$D$692,$B91,'апрель 2023'!$J$4:$J$692,AF$1)</f>
        <v>0</v>
      </c>
      <c r="AG91" s="207">
        <f>SUMIFS('апрель 2023'!$G$4:$G$692,'апрель 2023'!$D$4:$D$692,$B91,'апрель 2023'!$J$4:$J$692,AG$1)</f>
        <v>0</v>
      </c>
      <c r="AH91" s="207">
        <f>SUMIFS('апрель 2023'!$G$4:$G$692,'апрель 2023'!$D$4:$D$692,$B91,'апрель 2023'!$J$4:$J$692,AH$1)</f>
        <v>0</v>
      </c>
      <c r="AI91" s="170">
        <f t="shared" si="2"/>
        <v>0</v>
      </c>
    </row>
    <row r="92" spans="2:35" ht="15" customHeight="1" x14ac:dyDescent="0.25">
      <c r="B92" s="216" t="s">
        <v>2194</v>
      </c>
      <c r="C92" s="213">
        <v>20</v>
      </c>
      <c r="D92" s="207">
        <f>SUMIFS('апрель 2023'!$G$4:$G$692,'апрель 2023'!$D$4:$D$692,$B92,'апрель 2023'!$J$4:$J$692,D$1)</f>
        <v>0</v>
      </c>
      <c r="E92" s="207">
        <f>SUMIFS('апрель 2023'!$G$4:$G$692,'апрель 2023'!$D$4:$D$692,$B92,'апрель 2023'!$J$4:$J$692,E$1)</f>
        <v>0</v>
      </c>
      <c r="F92" s="207">
        <f>SUMIFS('апрель 2023'!$G$4:$G$692,'апрель 2023'!$D$4:$D$692,$B92,'апрель 2023'!$J$4:$J$692,F$1)</f>
        <v>0</v>
      </c>
      <c r="G92" s="207">
        <f>SUMIFS('апрель 2023'!$G$4:$G$692,'апрель 2023'!$D$4:$D$692,$B92,'апрель 2023'!$J$4:$J$692,G$1)</f>
        <v>0</v>
      </c>
      <c r="H92" s="207">
        <f>SUMIFS('апрель 2023'!$G$4:$G$692,'апрель 2023'!$D$4:$D$692,$B92,'апрель 2023'!$J$4:$J$692,H$1)</f>
        <v>0</v>
      </c>
      <c r="I92" s="207">
        <f>SUMIFS('апрель 2023'!$G$4:$G$692,'апрель 2023'!$D$4:$D$692,$B92,'апрель 2023'!$J$4:$J$692,I$1)</f>
        <v>0</v>
      </c>
      <c r="J92" s="207">
        <f>SUMIFS('апрель 2023'!$G$4:$G$692,'апрель 2023'!$D$4:$D$692,$B92,'апрель 2023'!$J$4:$J$692,J$1)</f>
        <v>0</v>
      </c>
      <c r="K92" s="207">
        <f>SUMIFS('апрель 2023'!$G$4:$G$692,'апрель 2023'!$D$4:$D$692,$B92,'апрель 2023'!$J$4:$J$692,K$1)</f>
        <v>0</v>
      </c>
      <c r="L92" s="207">
        <f>SUMIFS('апрель 2023'!$G$4:$G$692,'апрель 2023'!$D$4:$D$692,$B92,'апрель 2023'!$J$4:$J$692,L$1)</f>
        <v>0</v>
      </c>
      <c r="M92" s="207">
        <f>SUMIFS('апрель 2023'!$G$4:$G$692,'апрель 2023'!$D$4:$D$692,$B92,'апрель 2023'!$J$4:$J$692,M$1)</f>
        <v>0</v>
      </c>
      <c r="N92" s="207">
        <f>SUMIFS('апрель 2023'!$G$4:$G$692,'апрель 2023'!$D$4:$D$692,$B92,'апрель 2023'!$J$4:$J$692,N$1)</f>
        <v>0</v>
      </c>
      <c r="O92" s="207">
        <f>SUMIFS('апрель 2023'!$G$4:$G$692,'апрель 2023'!$D$4:$D$692,$B92,'апрель 2023'!$J$4:$J$692,O$1)</f>
        <v>0</v>
      </c>
      <c r="P92" s="207">
        <f>SUMIFS('апрель 2023'!$G$4:$G$692,'апрель 2023'!$D$4:$D$692,$B92,'апрель 2023'!$J$4:$J$692,P$1)</f>
        <v>0</v>
      </c>
      <c r="Q92" s="207">
        <f>SUMIFS('апрель 2023'!$G$4:$G$692,'апрель 2023'!$D$4:$D$692,$B92,'апрель 2023'!$J$4:$J$692,Q$1)</f>
        <v>0</v>
      </c>
      <c r="R92" s="207">
        <f>SUMIFS('апрель 2023'!$G$4:$G$692,'апрель 2023'!$D$4:$D$692,$B92,'апрель 2023'!$J$4:$J$692,R$1)</f>
        <v>0</v>
      </c>
      <c r="S92" s="207">
        <f>SUMIFS('апрель 2023'!$G$4:$G$692,'апрель 2023'!$D$4:$D$692,$B92,'апрель 2023'!$J$4:$J$692,S$1)</f>
        <v>0</v>
      </c>
      <c r="T92" s="207">
        <f>SUMIFS('апрель 2023'!$G$4:$G$692,'апрель 2023'!$D$4:$D$692,$B92,'апрель 2023'!$J$4:$J$692,T$1)</f>
        <v>0</v>
      </c>
      <c r="U92" s="207">
        <f>SUMIFS('апрель 2023'!$G$4:$G$692,'апрель 2023'!$D$4:$D$692,$B92,'апрель 2023'!$J$4:$J$692,U$1)</f>
        <v>0</v>
      </c>
      <c r="V92" s="207">
        <f>SUMIFS('апрель 2023'!$G$4:$G$692,'апрель 2023'!$D$4:$D$692,$B92,'апрель 2023'!$J$4:$J$692,V$1)</f>
        <v>0</v>
      </c>
      <c r="W92" s="207">
        <f>SUMIFS('апрель 2023'!$G$4:$G$692,'апрель 2023'!$D$4:$D$692,$B92,'апрель 2023'!$J$4:$J$692,W$1)</f>
        <v>0</v>
      </c>
      <c r="X92" s="207">
        <f>SUMIFS('апрель 2023'!$G$4:$G$692,'апрель 2023'!$D$4:$D$692,$B92,'апрель 2023'!$J$4:$J$692,X$1)</f>
        <v>0</v>
      </c>
      <c r="Y92" s="207">
        <f>SUMIFS('апрель 2023'!$G$4:$G$692,'апрель 2023'!$D$4:$D$692,$B92,'апрель 2023'!$J$4:$J$692,Y$1)</f>
        <v>0</v>
      </c>
      <c r="Z92" s="207">
        <f>SUMIFS('апрель 2023'!$G$4:$G$692,'апрель 2023'!$D$4:$D$692,$B92,'апрель 2023'!$J$4:$J$692,Z$1)</f>
        <v>0</v>
      </c>
      <c r="AA92" s="207">
        <f>SUMIFS('апрель 2023'!$G$4:$G$692,'апрель 2023'!$D$4:$D$692,$B92,'апрель 2023'!$J$4:$J$692,AA$1)</f>
        <v>0</v>
      </c>
      <c r="AB92" s="207">
        <f>SUMIFS('апрель 2023'!$G$4:$G$692,'апрель 2023'!$D$4:$D$692,$B92,'апрель 2023'!$J$4:$J$692,AB$1)</f>
        <v>0</v>
      </c>
      <c r="AC92" s="207">
        <f>SUMIFS('апрель 2023'!$G$4:$G$692,'апрель 2023'!$D$4:$D$692,$B92,'апрель 2023'!$J$4:$J$692,AC$1)</f>
        <v>0</v>
      </c>
      <c r="AD92" s="207">
        <f>SUMIFS('апрель 2023'!$G$4:$G$692,'апрель 2023'!$D$4:$D$692,$B92,'апрель 2023'!$J$4:$J$692,AD$1)</f>
        <v>0</v>
      </c>
      <c r="AE92" s="207">
        <f>SUMIFS('апрель 2023'!$G$4:$G$692,'апрель 2023'!$D$4:$D$692,$B92,'апрель 2023'!$J$4:$J$692,AE$1)</f>
        <v>0</v>
      </c>
      <c r="AF92" s="207">
        <f>SUMIFS('апрель 2023'!$G$4:$G$692,'апрель 2023'!$D$4:$D$692,$B92,'апрель 2023'!$J$4:$J$692,AF$1)</f>
        <v>0</v>
      </c>
      <c r="AG92" s="207">
        <f>SUMIFS('апрель 2023'!$G$4:$G$692,'апрель 2023'!$D$4:$D$692,$B92,'апрель 2023'!$J$4:$J$692,AG$1)</f>
        <v>0</v>
      </c>
      <c r="AH92" s="207">
        <f>SUMIFS('апрель 2023'!$G$4:$G$692,'апрель 2023'!$D$4:$D$692,$B92,'апрель 2023'!$J$4:$J$692,AH$1)</f>
        <v>0</v>
      </c>
      <c r="AI92" s="170">
        <f t="shared" si="2"/>
        <v>0</v>
      </c>
    </row>
    <row r="93" spans="2:35" ht="15" customHeight="1" x14ac:dyDescent="0.25">
      <c r="B93" s="212" t="s">
        <v>2195</v>
      </c>
      <c r="C93" s="211">
        <v>20</v>
      </c>
      <c r="D93" s="207">
        <f>SUMIFS('апрель 2023'!$G$4:$G$692,'апрель 2023'!$D$4:$D$692,$B93,'апрель 2023'!$J$4:$J$692,D$1)</f>
        <v>0</v>
      </c>
      <c r="E93" s="207">
        <f>SUMIFS('апрель 2023'!$G$4:$G$692,'апрель 2023'!$D$4:$D$692,$B93,'апрель 2023'!$J$4:$J$692,E$1)</f>
        <v>0</v>
      </c>
      <c r="F93" s="207">
        <f>SUMIFS('апрель 2023'!$G$4:$G$692,'апрель 2023'!$D$4:$D$692,$B93,'апрель 2023'!$J$4:$J$692,F$1)</f>
        <v>0</v>
      </c>
      <c r="G93" s="207">
        <f>SUMIFS('апрель 2023'!$G$4:$G$692,'апрель 2023'!$D$4:$D$692,$B93,'апрель 2023'!$J$4:$J$692,G$1)</f>
        <v>0</v>
      </c>
      <c r="H93" s="207">
        <f>SUMIFS('апрель 2023'!$G$4:$G$692,'апрель 2023'!$D$4:$D$692,$B93,'апрель 2023'!$J$4:$J$692,H$1)</f>
        <v>0</v>
      </c>
      <c r="I93" s="207">
        <f>SUMIFS('апрель 2023'!$G$4:$G$692,'апрель 2023'!$D$4:$D$692,$B93,'апрель 2023'!$J$4:$J$692,I$1)</f>
        <v>0</v>
      </c>
      <c r="J93" s="207">
        <f>SUMIFS('апрель 2023'!$G$4:$G$692,'апрель 2023'!$D$4:$D$692,$B93,'апрель 2023'!$J$4:$J$692,J$1)</f>
        <v>0</v>
      </c>
      <c r="K93" s="207">
        <f>SUMIFS('апрель 2023'!$G$4:$G$692,'апрель 2023'!$D$4:$D$692,$B93,'апрель 2023'!$J$4:$J$692,K$1)</f>
        <v>0</v>
      </c>
      <c r="L93" s="207">
        <f>SUMIFS('апрель 2023'!$G$4:$G$692,'апрель 2023'!$D$4:$D$692,$B93,'апрель 2023'!$J$4:$J$692,L$1)</f>
        <v>0</v>
      </c>
      <c r="M93" s="207">
        <f>SUMIFS('апрель 2023'!$G$4:$G$692,'апрель 2023'!$D$4:$D$692,$B93,'апрель 2023'!$J$4:$J$692,M$1)</f>
        <v>0</v>
      </c>
      <c r="N93" s="207">
        <f>SUMIFS('апрель 2023'!$G$4:$G$692,'апрель 2023'!$D$4:$D$692,$B93,'апрель 2023'!$J$4:$J$692,N$1)</f>
        <v>0</v>
      </c>
      <c r="O93" s="207">
        <f>SUMIFS('апрель 2023'!$G$4:$G$692,'апрель 2023'!$D$4:$D$692,$B93,'апрель 2023'!$J$4:$J$692,O$1)</f>
        <v>0</v>
      </c>
      <c r="P93" s="207">
        <f>SUMIFS('апрель 2023'!$G$4:$G$692,'апрель 2023'!$D$4:$D$692,$B93,'апрель 2023'!$J$4:$J$692,P$1)</f>
        <v>0</v>
      </c>
      <c r="Q93" s="207">
        <f>SUMIFS('апрель 2023'!$G$4:$G$692,'апрель 2023'!$D$4:$D$692,$B93,'апрель 2023'!$J$4:$J$692,Q$1)</f>
        <v>0</v>
      </c>
      <c r="R93" s="207">
        <f>SUMIFS('апрель 2023'!$G$4:$G$692,'апрель 2023'!$D$4:$D$692,$B93,'апрель 2023'!$J$4:$J$692,R$1)</f>
        <v>0</v>
      </c>
      <c r="S93" s="207">
        <f>SUMIFS('апрель 2023'!$G$4:$G$692,'апрель 2023'!$D$4:$D$692,$B93,'апрель 2023'!$J$4:$J$692,S$1)</f>
        <v>0</v>
      </c>
      <c r="T93" s="207">
        <f>SUMIFS('апрель 2023'!$G$4:$G$692,'апрель 2023'!$D$4:$D$692,$B93,'апрель 2023'!$J$4:$J$692,T$1)</f>
        <v>0</v>
      </c>
      <c r="U93" s="207">
        <f>SUMIFS('апрель 2023'!$G$4:$G$692,'апрель 2023'!$D$4:$D$692,$B93,'апрель 2023'!$J$4:$J$692,U$1)</f>
        <v>0</v>
      </c>
      <c r="V93" s="207">
        <f>SUMIFS('апрель 2023'!$G$4:$G$692,'апрель 2023'!$D$4:$D$692,$B93,'апрель 2023'!$J$4:$J$692,V$1)</f>
        <v>0</v>
      </c>
      <c r="W93" s="207">
        <f>SUMIFS('апрель 2023'!$G$4:$G$692,'апрель 2023'!$D$4:$D$692,$B93,'апрель 2023'!$J$4:$J$692,W$1)</f>
        <v>0</v>
      </c>
      <c r="X93" s="207">
        <f>SUMIFS('апрель 2023'!$G$4:$G$692,'апрель 2023'!$D$4:$D$692,$B93,'апрель 2023'!$J$4:$J$692,X$1)</f>
        <v>0</v>
      </c>
      <c r="Y93" s="207">
        <f>SUMIFS('апрель 2023'!$G$4:$G$692,'апрель 2023'!$D$4:$D$692,$B93,'апрель 2023'!$J$4:$J$692,Y$1)</f>
        <v>0</v>
      </c>
      <c r="Z93" s="207">
        <f>SUMIFS('апрель 2023'!$G$4:$G$692,'апрель 2023'!$D$4:$D$692,$B93,'апрель 2023'!$J$4:$J$692,Z$1)</f>
        <v>0</v>
      </c>
      <c r="AA93" s="207">
        <f>SUMIFS('апрель 2023'!$G$4:$G$692,'апрель 2023'!$D$4:$D$692,$B93,'апрель 2023'!$J$4:$J$692,AA$1)</f>
        <v>0</v>
      </c>
      <c r="AB93" s="207">
        <f>SUMIFS('апрель 2023'!$G$4:$G$692,'апрель 2023'!$D$4:$D$692,$B93,'апрель 2023'!$J$4:$J$692,AB$1)</f>
        <v>0</v>
      </c>
      <c r="AC93" s="207">
        <f>SUMIFS('апрель 2023'!$G$4:$G$692,'апрель 2023'!$D$4:$D$692,$B93,'апрель 2023'!$J$4:$J$692,AC$1)</f>
        <v>0</v>
      </c>
      <c r="AD93" s="207">
        <f>SUMIFS('апрель 2023'!$G$4:$G$692,'апрель 2023'!$D$4:$D$692,$B93,'апрель 2023'!$J$4:$J$692,AD$1)</f>
        <v>0</v>
      </c>
      <c r="AE93" s="207">
        <f>SUMIFS('апрель 2023'!$G$4:$G$692,'апрель 2023'!$D$4:$D$692,$B93,'апрель 2023'!$J$4:$J$692,AE$1)</f>
        <v>0</v>
      </c>
      <c r="AF93" s="207">
        <f>SUMIFS('апрель 2023'!$G$4:$G$692,'апрель 2023'!$D$4:$D$692,$B93,'апрель 2023'!$J$4:$J$692,AF$1)</f>
        <v>0</v>
      </c>
      <c r="AG93" s="207">
        <f>SUMIFS('апрель 2023'!$G$4:$G$692,'апрель 2023'!$D$4:$D$692,$B93,'апрель 2023'!$J$4:$J$692,AG$1)</f>
        <v>0</v>
      </c>
      <c r="AH93" s="207">
        <f>SUMIFS('апрель 2023'!$G$4:$G$692,'апрель 2023'!$D$4:$D$692,$B93,'апрель 2023'!$J$4:$J$692,AH$1)</f>
        <v>0</v>
      </c>
      <c r="AI93" s="170">
        <f t="shared" si="2"/>
        <v>0</v>
      </c>
    </row>
    <row r="94" spans="2:35" ht="15" customHeight="1" x14ac:dyDescent="0.25">
      <c r="B94" s="212" t="s">
        <v>2196</v>
      </c>
      <c r="C94" s="211">
        <v>20</v>
      </c>
      <c r="D94" s="207">
        <f>SUMIFS('апрель 2023'!$G$4:$G$692,'апрель 2023'!$D$4:$D$692,$B94,'апрель 2023'!$J$4:$J$692,D$1)</f>
        <v>0</v>
      </c>
      <c r="E94" s="207">
        <f>SUMIFS('апрель 2023'!$G$4:$G$692,'апрель 2023'!$D$4:$D$692,$B94,'апрель 2023'!$J$4:$J$692,E$1)</f>
        <v>0</v>
      </c>
      <c r="F94" s="207">
        <f>SUMIFS('апрель 2023'!$G$4:$G$692,'апрель 2023'!$D$4:$D$692,$B94,'апрель 2023'!$J$4:$J$692,F$1)</f>
        <v>0</v>
      </c>
      <c r="G94" s="207">
        <f>SUMIFS('апрель 2023'!$G$4:$G$692,'апрель 2023'!$D$4:$D$692,$B94,'апрель 2023'!$J$4:$J$692,G$1)</f>
        <v>0</v>
      </c>
      <c r="H94" s="207">
        <f>SUMIFS('апрель 2023'!$G$4:$G$692,'апрель 2023'!$D$4:$D$692,$B94,'апрель 2023'!$J$4:$J$692,H$1)</f>
        <v>0</v>
      </c>
      <c r="I94" s="207">
        <f>SUMIFS('апрель 2023'!$G$4:$G$692,'апрель 2023'!$D$4:$D$692,$B94,'апрель 2023'!$J$4:$J$692,I$1)</f>
        <v>0</v>
      </c>
      <c r="J94" s="207">
        <f>SUMIFS('апрель 2023'!$G$4:$G$692,'апрель 2023'!$D$4:$D$692,$B94,'апрель 2023'!$J$4:$J$692,J$1)</f>
        <v>0</v>
      </c>
      <c r="K94" s="207">
        <f>SUMIFS('апрель 2023'!$G$4:$G$692,'апрель 2023'!$D$4:$D$692,$B94,'апрель 2023'!$J$4:$J$692,K$1)</f>
        <v>0</v>
      </c>
      <c r="L94" s="207">
        <f>SUMIFS('апрель 2023'!$G$4:$G$692,'апрель 2023'!$D$4:$D$692,$B94,'апрель 2023'!$J$4:$J$692,L$1)</f>
        <v>0</v>
      </c>
      <c r="M94" s="207">
        <f>SUMIFS('апрель 2023'!$G$4:$G$692,'апрель 2023'!$D$4:$D$692,$B94,'апрель 2023'!$J$4:$J$692,M$1)</f>
        <v>0</v>
      </c>
      <c r="N94" s="207">
        <f>SUMIFS('апрель 2023'!$G$4:$G$692,'апрель 2023'!$D$4:$D$692,$B94,'апрель 2023'!$J$4:$J$692,N$1)</f>
        <v>0</v>
      </c>
      <c r="O94" s="207">
        <f>SUMIFS('апрель 2023'!$G$4:$G$692,'апрель 2023'!$D$4:$D$692,$B94,'апрель 2023'!$J$4:$J$692,O$1)</f>
        <v>0</v>
      </c>
      <c r="P94" s="207">
        <f>SUMIFS('апрель 2023'!$G$4:$G$692,'апрель 2023'!$D$4:$D$692,$B94,'апрель 2023'!$J$4:$J$692,P$1)</f>
        <v>0</v>
      </c>
      <c r="Q94" s="207">
        <f>SUMIFS('апрель 2023'!$G$4:$G$692,'апрель 2023'!$D$4:$D$692,$B94,'апрель 2023'!$J$4:$J$692,Q$1)</f>
        <v>0</v>
      </c>
      <c r="R94" s="207">
        <f>SUMIFS('апрель 2023'!$G$4:$G$692,'апрель 2023'!$D$4:$D$692,$B94,'апрель 2023'!$J$4:$J$692,R$1)</f>
        <v>0</v>
      </c>
      <c r="S94" s="207">
        <f>SUMIFS('апрель 2023'!$G$4:$G$692,'апрель 2023'!$D$4:$D$692,$B94,'апрель 2023'!$J$4:$J$692,S$1)</f>
        <v>0</v>
      </c>
      <c r="T94" s="207">
        <f>SUMIFS('апрель 2023'!$G$4:$G$692,'апрель 2023'!$D$4:$D$692,$B94,'апрель 2023'!$J$4:$J$692,T$1)</f>
        <v>0</v>
      </c>
      <c r="U94" s="207">
        <f>SUMIFS('апрель 2023'!$G$4:$G$692,'апрель 2023'!$D$4:$D$692,$B94,'апрель 2023'!$J$4:$J$692,U$1)</f>
        <v>0</v>
      </c>
      <c r="V94" s="207">
        <f>SUMIFS('апрель 2023'!$G$4:$G$692,'апрель 2023'!$D$4:$D$692,$B94,'апрель 2023'!$J$4:$J$692,V$1)</f>
        <v>0</v>
      </c>
      <c r="W94" s="207">
        <f>SUMIFS('апрель 2023'!$G$4:$G$692,'апрель 2023'!$D$4:$D$692,$B94,'апрель 2023'!$J$4:$J$692,W$1)</f>
        <v>0</v>
      </c>
      <c r="X94" s="207">
        <f>SUMIFS('апрель 2023'!$G$4:$G$692,'апрель 2023'!$D$4:$D$692,$B94,'апрель 2023'!$J$4:$J$692,X$1)</f>
        <v>0</v>
      </c>
      <c r="Y94" s="207">
        <f>SUMIFS('апрель 2023'!$G$4:$G$692,'апрель 2023'!$D$4:$D$692,$B94,'апрель 2023'!$J$4:$J$692,Y$1)</f>
        <v>0</v>
      </c>
      <c r="Z94" s="207">
        <f>SUMIFS('апрель 2023'!$G$4:$G$692,'апрель 2023'!$D$4:$D$692,$B94,'апрель 2023'!$J$4:$J$692,Z$1)</f>
        <v>0</v>
      </c>
      <c r="AA94" s="207">
        <f>SUMIFS('апрель 2023'!$G$4:$G$692,'апрель 2023'!$D$4:$D$692,$B94,'апрель 2023'!$J$4:$J$692,AA$1)</f>
        <v>0</v>
      </c>
      <c r="AB94" s="207">
        <f>SUMIFS('апрель 2023'!$G$4:$G$692,'апрель 2023'!$D$4:$D$692,$B94,'апрель 2023'!$J$4:$J$692,AB$1)</f>
        <v>0</v>
      </c>
      <c r="AC94" s="207">
        <f>SUMIFS('апрель 2023'!$G$4:$G$692,'апрель 2023'!$D$4:$D$692,$B94,'апрель 2023'!$J$4:$J$692,AC$1)</f>
        <v>0</v>
      </c>
      <c r="AD94" s="207">
        <f>SUMIFS('апрель 2023'!$G$4:$G$692,'апрель 2023'!$D$4:$D$692,$B94,'апрель 2023'!$J$4:$J$692,AD$1)</f>
        <v>0</v>
      </c>
      <c r="AE94" s="207">
        <f>SUMIFS('апрель 2023'!$G$4:$G$692,'апрель 2023'!$D$4:$D$692,$B94,'апрель 2023'!$J$4:$J$692,AE$1)</f>
        <v>0</v>
      </c>
      <c r="AF94" s="207">
        <f>SUMIFS('апрель 2023'!$G$4:$G$692,'апрель 2023'!$D$4:$D$692,$B94,'апрель 2023'!$J$4:$J$692,AF$1)</f>
        <v>0</v>
      </c>
      <c r="AG94" s="207">
        <f>SUMIFS('апрель 2023'!$G$4:$G$692,'апрель 2023'!$D$4:$D$692,$B94,'апрель 2023'!$J$4:$J$692,AG$1)</f>
        <v>0</v>
      </c>
      <c r="AH94" s="207">
        <f>SUMIFS('апрель 2023'!$G$4:$G$692,'апрель 2023'!$D$4:$D$692,$B94,'апрель 2023'!$J$4:$J$692,AH$1)</f>
        <v>0</v>
      </c>
      <c r="AI94" s="170">
        <f t="shared" si="2"/>
        <v>0</v>
      </c>
    </row>
    <row r="95" spans="2:35" ht="15" customHeight="1" x14ac:dyDescent="0.25">
      <c r="B95" s="212" t="s">
        <v>2197</v>
      </c>
      <c r="C95" s="211">
        <v>20</v>
      </c>
      <c r="D95" s="207">
        <f>SUMIFS('апрель 2023'!$G$4:$G$692,'апрель 2023'!$D$4:$D$692,$B95,'апрель 2023'!$J$4:$J$692,D$1)</f>
        <v>0</v>
      </c>
      <c r="E95" s="207">
        <f>SUMIFS('апрель 2023'!$G$4:$G$692,'апрель 2023'!$D$4:$D$692,$B95,'апрель 2023'!$J$4:$J$692,E$1)</f>
        <v>0</v>
      </c>
      <c r="F95" s="207">
        <f>SUMIFS('апрель 2023'!$G$4:$G$692,'апрель 2023'!$D$4:$D$692,$B95,'апрель 2023'!$J$4:$J$692,F$1)</f>
        <v>0</v>
      </c>
      <c r="G95" s="207">
        <f>SUMIFS('апрель 2023'!$G$4:$G$692,'апрель 2023'!$D$4:$D$692,$B95,'апрель 2023'!$J$4:$J$692,G$1)</f>
        <v>0</v>
      </c>
      <c r="H95" s="207">
        <f>SUMIFS('апрель 2023'!$G$4:$G$692,'апрель 2023'!$D$4:$D$692,$B95,'апрель 2023'!$J$4:$J$692,H$1)</f>
        <v>0</v>
      </c>
      <c r="I95" s="207">
        <f>SUMIFS('апрель 2023'!$G$4:$G$692,'апрель 2023'!$D$4:$D$692,$B95,'апрель 2023'!$J$4:$J$692,I$1)</f>
        <v>0</v>
      </c>
      <c r="J95" s="207">
        <f>SUMIFS('апрель 2023'!$G$4:$G$692,'апрель 2023'!$D$4:$D$692,$B95,'апрель 2023'!$J$4:$J$692,J$1)</f>
        <v>0</v>
      </c>
      <c r="K95" s="207">
        <f>SUMIFS('апрель 2023'!$G$4:$G$692,'апрель 2023'!$D$4:$D$692,$B95,'апрель 2023'!$J$4:$J$692,K$1)</f>
        <v>0</v>
      </c>
      <c r="L95" s="207">
        <f>SUMIFS('апрель 2023'!$G$4:$G$692,'апрель 2023'!$D$4:$D$692,$B95,'апрель 2023'!$J$4:$J$692,L$1)</f>
        <v>0</v>
      </c>
      <c r="M95" s="207">
        <f>SUMIFS('апрель 2023'!$G$4:$G$692,'апрель 2023'!$D$4:$D$692,$B95,'апрель 2023'!$J$4:$J$692,M$1)</f>
        <v>0</v>
      </c>
      <c r="N95" s="207">
        <f>SUMIFS('апрель 2023'!$G$4:$G$692,'апрель 2023'!$D$4:$D$692,$B95,'апрель 2023'!$J$4:$J$692,N$1)</f>
        <v>0</v>
      </c>
      <c r="O95" s="207">
        <f>SUMIFS('апрель 2023'!$G$4:$G$692,'апрель 2023'!$D$4:$D$692,$B95,'апрель 2023'!$J$4:$J$692,O$1)</f>
        <v>0</v>
      </c>
      <c r="P95" s="207">
        <f>SUMIFS('апрель 2023'!$G$4:$G$692,'апрель 2023'!$D$4:$D$692,$B95,'апрель 2023'!$J$4:$J$692,P$1)</f>
        <v>0</v>
      </c>
      <c r="Q95" s="207">
        <f>SUMIFS('апрель 2023'!$G$4:$G$692,'апрель 2023'!$D$4:$D$692,$B95,'апрель 2023'!$J$4:$J$692,Q$1)</f>
        <v>0</v>
      </c>
      <c r="R95" s="207">
        <f>SUMIFS('апрель 2023'!$G$4:$G$692,'апрель 2023'!$D$4:$D$692,$B95,'апрель 2023'!$J$4:$J$692,R$1)</f>
        <v>0</v>
      </c>
      <c r="S95" s="207">
        <f>SUMIFS('апрель 2023'!$G$4:$G$692,'апрель 2023'!$D$4:$D$692,$B95,'апрель 2023'!$J$4:$J$692,S$1)</f>
        <v>0</v>
      </c>
      <c r="T95" s="207">
        <f>SUMIFS('апрель 2023'!$G$4:$G$692,'апрель 2023'!$D$4:$D$692,$B95,'апрель 2023'!$J$4:$J$692,T$1)</f>
        <v>0</v>
      </c>
      <c r="U95" s="207">
        <f>SUMIFS('апрель 2023'!$G$4:$G$692,'апрель 2023'!$D$4:$D$692,$B95,'апрель 2023'!$J$4:$J$692,U$1)</f>
        <v>0</v>
      </c>
      <c r="V95" s="207">
        <f>SUMIFS('апрель 2023'!$G$4:$G$692,'апрель 2023'!$D$4:$D$692,$B95,'апрель 2023'!$J$4:$J$692,V$1)</f>
        <v>0</v>
      </c>
      <c r="W95" s="207">
        <f>SUMIFS('апрель 2023'!$G$4:$G$692,'апрель 2023'!$D$4:$D$692,$B95,'апрель 2023'!$J$4:$J$692,W$1)</f>
        <v>0</v>
      </c>
      <c r="X95" s="207">
        <f>SUMIFS('апрель 2023'!$G$4:$G$692,'апрель 2023'!$D$4:$D$692,$B95,'апрель 2023'!$J$4:$J$692,X$1)</f>
        <v>0</v>
      </c>
      <c r="Y95" s="207">
        <f>SUMIFS('апрель 2023'!$G$4:$G$692,'апрель 2023'!$D$4:$D$692,$B95,'апрель 2023'!$J$4:$J$692,Y$1)</f>
        <v>0</v>
      </c>
      <c r="Z95" s="207">
        <f>SUMIFS('апрель 2023'!$G$4:$G$692,'апрель 2023'!$D$4:$D$692,$B95,'апрель 2023'!$J$4:$J$692,Z$1)</f>
        <v>0</v>
      </c>
      <c r="AA95" s="207">
        <f>SUMIFS('апрель 2023'!$G$4:$G$692,'апрель 2023'!$D$4:$D$692,$B95,'апрель 2023'!$J$4:$J$692,AA$1)</f>
        <v>0</v>
      </c>
      <c r="AB95" s="207">
        <f>SUMIFS('апрель 2023'!$G$4:$G$692,'апрель 2023'!$D$4:$D$692,$B95,'апрель 2023'!$J$4:$J$692,AB$1)</f>
        <v>0</v>
      </c>
      <c r="AC95" s="207">
        <f>SUMIFS('апрель 2023'!$G$4:$G$692,'апрель 2023'!$D$4:$D$692,$B95,'апрель 2023'!$J$4:$J$692,AC$1)</f>
        <v>0</v>
      </c>
      <c r="AD95" s="207">
        <f>SUMIFS('апрель 2023'!$G$4:$G$692,'апрель 2023'!$D$4:$D$692,$B95,'апрель 2023'!$J$4:$J$692,AD$1)</f>
        <v>0</v>
      </c>
      <c r="AE95" s="207">
        <f>SUMIFS('апрель 2023'!$G$4:$G$692,'апрель 2023'!$D$4:$D$692,$B95,'апрель 2023'!$J$4:$J$692,AE$1)</f>
        <v>0</v>
      </c>
      <c r="AF95" s="207">
        <f>SUMIFS('апрель 2023'!$G$4:$G$692,'апрель 2023'!$D$4:$D$692,$B95,'апрель 2023'!$J$4:$J$692,AF$1)</f>
        <v>0</v>
      </c>
      <c r="AG95" s="207">
        <f>SUMIFS('апрель 2023'!$G$4:$G$692,'апрель 2023'!$D$4:$D$692,$B95,'апрель 2023'!$J$4:$J$692,AG$1)</f>
        <v>0</v>
      </c>
      <c r="AH95" s="207">
        <f>SUMIFS('апрель 2023'!$G$4:$G$692,'апрель 2023'!$D$4:$D$692,$B95,'апрель 2023'!$J$4:$J$692,AH$1)</f>
        <v>0</v>
      </c>
      <c r="AI95" s="170">
        <f t="shared" si="2"/>
        <v>0</v>
      </c>
    </row>
    <row r="96" spans="2:35" ht="15" customHeight="1" x14ac:dyDescent="0.25">
      <c r="B96" s="212" t="s">
        <v>147</v>
      </c>
      <c r="C96" s="211">
        <v>200</v>
      </c>
      <c r="D96" s="207">
        <f>SUMIFS('апрель 2023'!$G$4:$G$692,'апрель 2023'!$D$4:$D$692,$B96,'апрель 2023'!$J$4:$J$692,D$1)</f>
        <v>0</v>
      </c>
      <c r="E96" s="207">
        <f>SUMIFS('апрель 2023'!$G$4:$G$692,'апрель 2023'!$D$4:$D$692,$B96,'апрель 2023'!$J$4:$J$692,E$1)</f>
        <v>0</v>
      </c>
      <c r="F96" s="207">
        <f>SUMIFS('апрель 2023'!$G$4:$G$692,'апрель 2023'!$D$4:$D$692,$B96,'апрель 2023'!$J$4:$J$692,F$1)</f>
        <v>0</v>
      </c>
      <c r="G96" s="207">
        <f>SUMIFS('апрель 2023'!$G$4:$G$692,'апрель 2023'!$D$4:$D$692,$B96,'апрель 2023'!$J$4:$J$692,G$1)</f>
        <v>0</v>
      </c>
      <c r="H96" s="207">
        <f>SUMIFS('апрель 2023'!$G$4:$G$692,'апрель 2023'!$D$4:$D$692,$B96,'апрель 2023'!$J$4:$J$692,H$1)</f>
        <v>0</v>
      </c>
      <c r="I96" s="207">
        <f>SUMIFS('апрель 2023'!$G$4:$G$692,'апрель 2023'!$D$4:$D$692,$B96,'апрель 2023'!$J$4:$J$692,I$1)</f>
        <v>0</v>
      </c>
      <c r="J96" s="207">
        <f>SUMIFS('апрель 2023'!$G$4:$G$692,'апрель 2023'!$D$4:$D$692,$B96,'апрель 2023'!$J$4:$J$692,J$1)</f>
        <v>0</v>
      </c>
      <c r="K96" s="207">
        <f>SUMIFS('апрель 2023'!$G$4:$G$692,'апрель 2023'!$D$4:$D$692,$B96,'апрель 2023'!$J$4:$J$692,K$1)</f>
        <v>0</v>
      </c>
      <c r="L96" s="207">
        <f>SUMIFS('апрель 2023'!$G$4:$G$692,'апрель 2023'!$D$4:$D$692,$B96,'апрель 2023'!$J$4:$J$692,L$1)</f>
        <v>0</v>
      </c>
      <c r="M96" s="207">
        <f>SUMIFS('апрель 2023'!$G$4:$G$692,'апрель 2023'!$D$4:$D$692,$B96,'апрель 2023'!$J$4:$J$692,M$1)</f>
        <v>0</v>
      </c>
      <c r="N96" s="207">
        <f>SUMIFS('апрель 2023'!$G$4:$G$692,'апрель 2023'!$D$4:$D$692,$B96,'апрель 2023'!$J$4:$J$692,N$1)</f>
        <v>0</v>
      </c>
      <c r="O96" s="207">
        <f>SUMIFS('апрель 2023'!$G$4:$G$692,'апрель 2023'!$D$4:$D$692,$B96,'апрель 2023'!$J$4:$J$692,O$1)</f>
        <v>0</v>
      </c>
      <c r="P96" s="207">
        <f>SUMIFS('апрель 2023'!$G$4:$G$692,'апрель 2023'!$D$4:$D$692,$B96,'апрель 2023'!$J$4:$J$692,P$1)</f>
        <v>0</v>
      </c>
      <c r="Q96" s="207">
        <f>SUMIFS('апрель 2023'!$G$4:$G$692,'апрель 2023'!$D$4:$D$692,$B96,'апрель 2023'!$J$4:$J$692,Q$1)</f>
        <v>0</v>
      </c>
      <c r="R96" s="207">
        <f>SUMIFS('апрель 2023'!$G$4:$G$692,'апрель 2023'!$D$4:$D$692,$B96,'апрель 2023'!$J$4:$J$692,R$1)</f>
        <v>0</v>
      </c>
      <c r="S96" s="207">
        <f>SUMIFS('апрель 2023'!$G$4:$G$692,'апрель 2023'!$D$4:$D$692,$B96,'апрель 2023'!$J$4:$J$692,S$1)</f>
        <v>0</v>
      </c>
      <c r="T96" s="207">
        <f>SUMIFS('апрель 2023'!$G$4:$G$692,'апрель 2023'!$D$4:$D$692,$B96,'апрель 2023'!$J$4:$J$692,T$1)</f>
        <v>0</v>
      </c>
      <c r="U96" s="207">
        <f>SUMIFS('апрель 2023'!$G$4:$G$692,'апрель 2023'!$D$4:$D$692,$B96,'апрель 2023'!$J$4:$J$692,U$1)</f>
        <v>0</v>
      </c>
      <c r="V96" s="207">
        <f>SUMIFS('апрель 2023'!$G$4:$G$692,'апрель 2023'!$D$4:$D$692,$B96,'апрель 2023'!$J$4:$J$692,V$1)</f>
        <v>0</v>
      </c>
      <c r="W96" s="207">
        <f>SUMIFS('апрель 2023'!$G$4:$G$692,'апрель 2023'!$D$4:$D$692,$B96,'апрель 2023'!$J$4:$J$692,W$1)</f>
        <v>0</v>
      </c>
      <c r="X96" s="207">
        <f>SUMIFS('апрель 2023'!$G$4:$G$692,'апрель 2023'!$D$4:$D$692,$B96,'апрель 2023'!$J$4:$J$692,X$1)</f>
        <v>0</v>
      </c>
      <c r="Y96" s="207">
        <f>SUMIFS('апрель 2023'!$G$4:$G$692,'апрель 2023'!$D$4:$D$692,$B96,'апрель 2023'!$J$4:$J$692,Y$1)</f>
        <v>0</v>
      </c>
      <c r="Z96" s="207">
        <f>SUMIFS('апрель 2023'!$G$4:$G$692,'апрель 2023'!$D$4:$D$692,$B96,'апрель 2023'!$J$4:$J$692,Z$1)</f>
        <v>0</v>
      </c>
      <c r="AA96" s="207">
        <f>SUMIFS('апрель 2023'!$G$4:$G$692,'апрель 2023'!$D$4:$D$692,$B96,'апрель 2023'!$J$4:$J$692,AA$1)</f>
        <v>0</v>
      </c>
      <c r="AB96" s="207">
        <f>SUMIFS('апрель 2023'!$G$4:$G$692,'апрель 2023'!$D$4:$D$692,$B96,'апрель 2023'!$J$4:$J$692,AB$1)</f>
        <v>0</v>
      </c>
      <c r="AC96" s="207">
        <f>SUMIFS('апрель 2023'!$G$4:$G$692,'апрель 2023'!$D$4:$D$692,$B96,'апрель 2023'!$J$4:$J$692,AC$1)</f>
        <v>0</v>
      </c>
      <c r="AD96" s="207">
        <f>SUMIFS('апрель 2023'!$G$4:$G$692,'апрель 2023'!$D$4:$D$692,$B96,'апрель 2023'!$J$4:$J$692,AD$1)</f>
        <v>0</v>
      </c>
      <c r="AE96" s="207">
        <f>SUMIFS('апрель 2023'!$G$4:$G$692,'апрель 2023'!$D$4:$D$692,$B96,'апрель 2023'!$J$4:$J$692,AE$1)</f>
        <v>0</v>
      </c>
      <c r="AF96" s="207">
        <f>SUMIFS('апрель 2023'!$G$4:$G$692,'апрель 2023'!$D$4:$D$692,$B96,'апрель 2023'!$J$4:$J$692,AF$1)</f>
        <v>0</v>
      </c>
      <c r="AG96" s="207">
        <f>SUMIFS('апрель 2023'!$G$4:$G$692,'апрель 2023'!$D$4:$D$692,$B96,'апрель 2023'!$J$4:$J$692,AG$1)</f>
        <v>0</v>
      </c>
      <c r="AH96" s="207">
        <f>SUMIFS('апрель 2023'!$G$4:$G$692,'апрель 2023'!$D$4:$D$692,$B96,'апрель 2023'!$J$4:$J$692,AH$1)</f>
        <v>0</v>
      </c>
      <c r="AI96" s="170">
        <f t="shared" si="2"/>
        <v>0</v>
      </c>
    </row>
    <row r="97" spans="2:35" ht="15" customHeight="1" x14ac:dyDescent="0.25">
      <c r="B97" s="212" t="s">
        <v>2198</v>
      </c>
      <c r="C97" s="211">
        <v>200</v>
      </c>
      <c r="D97" s="207">
        <f>SUMIFS('апрель 2023'!$G$4:$G$692,'апрель 2023'!$D$4:$D$692,$B97,'апрель 2023'!$J$4:$J$692,D$1)</f>
        <v>0</v>
      </c>
      <c r="E97" s="207">
        <f>SUMIFS('апрель 2023'!$G$4:$G$692,'апрель 2023'!$D$4:$D$692,$B97,'апрель 2023'!$J$4:$J$692,E$1)</f>
        <v>0</v>
      </c>
      <c r="F97" s="207">
        <f>SUMIFS('апрель 2023'!$G$4:$G$692,'апрель 2023'!$D$4:$D$692,$B97,'апрель 2023'!$J$4:$J$692,F$1)</f>
        <v>0</v>
      </c>
      <c r="G97" s="207">
        <f>SUMIFS('апрель 2023'!$G$4:$G$692,'апрель 2023'!$D$4:$D$692,$B97,'апрель 2023'!$J$4:$J$692,G$1)</f>
        <v>0</v>
      </c>
      <c r="H97" s="207">
        <f>SUMIFS('апрель 2023'!$G$4:$G$692,'апрель 2023'!$D$4:$D$692,$B97,'апрель 2023'!$J$4:$J$692,H$1)</f>
        <v>0</v>
      </c>
      <c r="I97" s="207">
        <f>SUMIFS('апрель 2023'!$G$4:$G$692,'апрель 2023'!$D$4:$D$692,$B97,'апрель 2023'!$J$4:$J$692,I$1)</f>
        <v>0</v>
      </c>
      <c r="J97" s="207">
        <f>SUMIFS('апрель 2023'!$G$4:$G$692,'апрель 2023'!$D$4:$D$692,$B97,'апрель 2023'!$J$4:$J$692,J$1)</f>
        <v>0</v>
      </c>
      <c r="K97" s="207">
        <f>SUMIFS('апрель 2023'!$G$4:$G$692,'апрель 2023'!$D$4:$D$692,$B97,'апрель 2023'!$J$4:$J$692,K$1)</f>
        <v>0</v>
      </c>
      <c r="L97" s="207">
        <f>SUMIFS('апрель 2023'!$G$4:$G$692,'апрель 2023'!$D$4:$D$692,$B97,'апрель 2023'!$J$4:$J$692,L$1)</f>
        <v>0</v>
      </c>
      <c r="M97" s="207">
        <f>SUMIFS('апрель 2023'!$G$4:$G$692,'апрель 2023'!$D$4:$D$692,$B97,'апрель 2023'!$J$4:$J$692,M$1)</f>
        <v>0</v>
      </c>
      <c r="N97" s="207">
        <f>SUMIFS('апрель 2023'!$G$4:$G$692,'апрель 2023'!$D$4:$D$692,$B97,'апрель 2023'!$J$4:$J$692,N$1)</f>
        <v>0</v>
      </c>
      <c r="O97" s="207">
        <f>SUMIFS('апрель 2023'!$G$4:$G$692,'апрель 2023'!$D$4:$D$692,$B97,'апрель 2023'!$J$4:$J$692,O$1)</f>
        <v>0</v>
      </c>
      <c r="P97" s="207">
        <f>SUMIFS('апрель 2023'!$G$4:$G$692,'апрель 2023'!$D$4:$D$692,$B97,'апрель 2023'!$J$4:$J$692,P$1)</f>
        <v>0</v>
      </c>
      <c r="Q97" s="207">
        <f>SUMIFS('апрель 2023'!$G$4:$G$692,'апрель 2023'!$D$4:$D$692,$B97,'апрель 2023'!$J$4:$J$692,Q$1)</f>
        <v>0</v>
      </c>
      <c r="R97" s="207">
        <f>SUMIFS('апрель 2023'!$G$4:$G$692,'апрель 2023'!$D$4:$D$692,$B97,'апрель 2023'!$J$4:$J$692,R$1)</f>
        <v>0</v>
      </c>
      <c r="S97" s="207">
        <f>SUMIFS('апрель 2023'!$G$4:$G$692,'апрель 2023'!$D$4:$D$692,$B97,'апрель 2023'!$J$4:$J$692,S$1)</f>
        <v>0</v>
      </c>
      <c r="T97" s="207">
        <f>SUMIFS('апрель 2023'!$G$4:$G$692,'апрель 2023'!$D$4:$D$692,$B97,'апрель 2023'!$J$4:$J$692,T$1)</f>
        <v>0</v>
      </c>
      <c r="U97" s="207">
        <f>SUMIFS('апрель 2023'!$G$4:$G$692,'апрель 2023'!$D$4:$D$692,$B97,'апрель 2023'!$J$4:$J$692,U$1)</f>
        <v>0</v>
      </c>
      <c r="V97" s="207">
        <f>SUMIFS('апрель 2023'!$G$4:$G$692,'апрель 2023'!$D$4:$D$692,$B97,'апрель 2023'!$J$4:$J$692,V$1)</f>
        <v>0</v>
      </c>
      <c r="W97" s="207">
        <f>SUMIFS('апрель 2023'!$G$4:$G$692,'апрель 2023'!$D$4:$D$692,$B97,'апрель 2023'!$J$4:$J$692,W$1)</f>
        <v>0</v>
      </c>
      <c r="X97" s="207">
        <f>SUMIFS('апрель 2023'!$G$4:$G$692,'апрель 2023'!$D$4:$D$692,$B97,'апрель 2023'!$J$4:$J$692,X$1)</f>
        <v>0</v>
      </c>
      <c r="Y97" s="207">
        <f>SUMIFS('апрель 2023'!$G$4:$G$692,'апрель 2023'!$D$4:$D$692,$B97,'апрель 2023'!$J$4:$J$692,Y$1)</f>
        <v>0</v>
      </c>
      <c r="Z97" s="207">
        <f>SUMIFS('апрель 2023'!$G$4:$G$692,'апрель 2023'!$D$4:$D$692,$B97,'апрель 2023'!$J$4:$J$692,Z$1)</f>
        <v>0</v>
      </c>
      <c r="AA97" s="207">
        <f>SUMIFS('апрель 2023'!$G$4:$G$692,'апрель 2023'!$D$4:$D$692,$B97,'апрель 2023'!$J$4:$J$692,AA$1)</f>
        <v>0</v>
      </c>
      <c r="AB97" s="207">
        <f>SUMIFS('апрель 2023'!$G$4:$G$692,'апрель 2023'!$D$4:$D$692,$B97,'апрель 2023'!$J$4:$J$692,AB$1)</f>
        <v>0</v>
      </c>
      <c r="AC97" s="207">
        <f>SUMIFS('апрель 2023'!$G$4:$G$692,'апрель 2023'!$D$4:$D$692,$B97,'апрель 2023'!$J$4:$J$692,AC$1)</f>
        <v>0</v>
      </c>
      <c r="AD97" s="207">
        <f>SUMIFS('апрель 2023'!$G$4:$G$692,'апрель 2023'!$D$4:$D$692,$B97,'апрель 2023'!$J$4:$J$692,AD$1)</f>
        <v>0</v>
      </c>
      <c r="AE97" s="207">
        <f>SUMIFS('апрель 2023'!$G$4:$G$692,'апрель 2023'!$D$4:$D$692,$B97,'апрель 2023'!$J$4:$J$692,AE$1)</f>
        <v>0</v>
      </c>
      <c r="AF97" s="207">
        <f>SUMIFS('апрель 2023'!$G$4:$G$692,'апрель 2023'!$D$4:$D$692,$B97,'апрель 2023'!$J$4:$J$692,AF$1)</f>
        <v>0</v>
      </c>
      <c r="AG97" s="207">
        <f>SUMIFS('апрель 2023'!$G$4:$G$692,'апрель 2023'!$D$4:$D$692,$B97,'апрель 2023'!$J$4:$J$692,AG$1)</f>
        <v>0</v>
      </c>
      <c r="AH97" s="207">
        <f>SUMIFS('апрель 2023'!$G$4:$G$692,'апрель 2023'!$D$4:$D$692,$B97,'апрель 2023'!$J$4:$J$692,AH$1)</f>
        <v>0</v>
      </c>
      <c r="AI97" s="170">
        <f t="shared" si="2"/>
        <v>0</v>
      </c>
    </row>
    <row r="98" spans="2:35" ht="15" customHeight="1" x14ac:dyDescent="0.25">
      <c r="B98" s="218" t="s">
        <v>352</v>
      </c>
      <c r="C98" s="219">
        <v>200</v>
      </c>
      <c r="D98" s="207">
        <f>SUMIFS('апрель 2023'!$G$4:$G$692,'апрель 2023'!$D$4:$D$692,$B98,'апрель 2023'!$J$4:$J$692,D$1)</f>
        <v>0</v>
      </c>
      <c r="E98" s="207">
        <f>SUMIFS('апрель 2023'!$G$4:$G$692,'апрель 2023'!$D$4:$D$692,$B98,'апрель 2023'!$J$4:$J$692,E$1)</f>
        <v>0</v>
      </c>
      <c r="F98" s="207">
        <f>SUMIFS('апрель 2023'!$G$4:$G$692,'апрель 2023'!$D$4:$D$692,$B98,'апрель 2023'!$J$4:$J$692,F$1)</f>
        <v>0</v>
      </c>
      <c r="G98" s="207">
        <f>SUMIFS('апрель 2023'!$G$4:$G$692,'апрель 2023'!$D$4:$D$692,$B98,'апрель 2023'!$J$4:$J$692,G$1)</f>
        <v>0</v>
      </c>
      <c r="H98" s="207">
        <f>SUMIFS('апрель 2023'!$G$4:$G$692,'апрель 2023'!$D$4:$D$692,$B98,'апрель 2023'!$J$4:$J$692,H$1)</f>
        <v>0</v>
      </c>
      <c r="I98" s="207">
        <f>SUMIFS('апрель 2023'!$G$4:$G$692,'апрель 2023'!$D$4:$D$692,$B98,'апрель 2023'!$J$4:$J$692,I$1)</f>
        <v>0</v>
      </c>
      <c r="J98" s="207">
        <f>SUMIFS('апрель 2023'!$G$4:$G$692,'апрель 2023'!$D$4:$D$692,$B98,'апрель 2023'!$J$4:$J$692,J$1)</f>
        <v>0</v>
      </c>
      <c r="K98" s="207">
        <f>SUMIFS('апрель 2023'!$G$4:$G$692,'апрель 2023'!$D$4:$D$692,$B98,'апрель 2023'!$J$4:$J$692,K$1)</f>
        <v>0</v>
      </c>
      <c r="L98" s="207">
        <f>SUMIFS('апрель 2023'!$G$4:$G$692,'апрель 2023'!$D$4:$D$692,$B98,'апрель 2023'!$J$4:$J$692,L$1)</f>
        <v>0</v>
      </c>
      <c r="M98" s="207">
        <f>SUMIFS('апрель 2023'!$G$4:$G$692,'апрель 2023'!$D$4:$D$692,$B98,'апрель 2023'!$J$4:$J$692,M$1)</f>
        <v>0</v>
      </c>
      <c r="N98" s="207">
        <f>SUMIFS('апрель 2023'!$G$4:$G$692,'апрель 2023'!$D$4:$D$692,$B98,'апрель 2023'!$J$4:$J$692,N$1)</f>
        <v>0</v>
      </c>
      <c r="O98" s="207">
        <f>SUMIFS('апрель 2023'!$G$4:$G$692,'апрель 2023'!$D$4:$D$692,$B98,'апрель 2023'!$J$4:$J$692,O$1)</f>
        <v>0</v>
      </c>
      <c r="P98" s="207">
        <f>SUMIFS('апрель 2023'!$G$4:$G$692,'апрель 2023'!$D$4:$D$692,$B98,'апрель 2023'!$J$4:$J$692,P$1)</f>
        <v>0</v>
      </c>
      <c r="Q98" s="207">
        <f>SUMIFS('апрель 2023'!$G$4:$G$692,'апрель 2023'!$D$4:$D$692,$B98,'апрель 2023'!$J$4:$J$692,Q$1)</f>
        <v>0</v>
      </c>
      <c r="R98" s="207">
        <f>SUMIFS('апрель 2023'!$G$4:$G$692,'апрель 2023'!$D$4:$D$692,$B98,'апрель 2023'!$J$4:$J$692,R$1)</f>
        <v>0</v>
      </c>
      <c r="S98" s="207">
        <f>SUMIFS('апрель 2023'!$G$4:$G$692,'апрель 2023'!$D$4:$D$692,$B98,'апрель 2023'!$J$4:$J$692,S$1)</f>
        <v>0</v>
      </c>
      <c r="T98" s="207">
        <f>SUMIFS('апрель 2023'!$G$4:$G$692,'апрель 2023'!$D$4:$D$692,$B98,'апрель 2023'!$J$4:$J$692,T$1)</f>
        <v>0</v>
      </c>
      <c r="U98" s="207">
        <f>SUMIFS('апрель 2023'!$G$4:$G$692,'апрель 2023'!$D$4:$D$692,$B98,'апрель 2023'!$J$4:$J$692,U$1)</f>
        <v>0</v>
      </c>
      <c r="V98" s="207">
        <f>SUMIFS('апрель 2023'!$G$4:$G$692,'апрель 2023'!$D$4:$D$692,$B98,'апрель 2023'!$J$4:$J$692,V$1)</f>
        <v>0</v>
      </c>
      <c r="W98" s="207">
        <f>SUMIFS('апрель 2023'!$G$4:$G$692,'апрель 2023'!$D$4:$D$692,$B98,'апрель 2023'!$J$4:$J$692,W$1)</f>
        <v>0</v>
      </c>
      <c r="X98" s="207">
        <f>SUMIFS('апрель 2023'!$G$4:$G$692,'апрель 2023'!$D$4:$D$692,$B98,'апрель 2023'!$J$4:$J$692,X$1)</f>
        <v>0</v>
      </c>
      <c r="Y98" s="207">
        <f>SUMIFS('апрель 2023'!$G$4:$G$692,'апрель 2023'!$D$4:$D$692,$B98,'апрель 2023'!$J$4:$J$692,Y$1)</f>
        <v>0</v>
      </c>
      <c r="Z98" s="207">
        <f>SUMIFS('апрель 2023'!$G$4:$G$692,'апрель 2023'!$D$4:$D$692,$B98,'апрель 2023'!$J$4:$J$692,Z$1)</f>
        <v>0</v>
      </c>
      <c r="AA98" s="207">
        <f>SUMIFS('апрель 2023'!$G$4:$G$692,'апрель 2023'!$D$4:$D$692,$B98,'апрель 2023'!$J$4:$J$692,AA$1)</f>
        <v>0</v>
      </c>
      <c r="AB98" s="207">
        <f>SUMIFS('апрель 2023'!$G$4:$G$692,'апрель 2023'!$D$4:$D$692,$B98,'апрель 2023'!$J$4:$J$692,AB$1)</f>
        <v>0</v>
      </c>
      <c r="AC98" s="207">
        <f>SUMIFS('апрель 2023'!$G$4:$G$692,'апрель 2023'!$D$4:$D$692,$B98,'апрель 2023'!$J$4:$J$692,AC$1)</f>
        <v>0</v>
      </c>
      <c r="AD98" s="207">
        <f>SUMIFS('апрель 2023'!$G$4:$G$692,'апрель 2023'!$D$4:$D$692,$B98,'апрель 2023'!$J$4:$J$692,AD$1)</f>
        <v>0</v>
      </c>
      <c r="AE98" s="207">
        <f>SUMIFS('апрель 2023'!$G$4:$G$692,'апрель 2023'!$D$4:$D$692,$B98,'апрель 2023'!$J$4:$J$692,AE$1)</f>
        <v>0</v>
      </c>
      <c r="AF98" s="207">
        <f>SUMIFS('апрель 2023'!$G$4:$G$692,'апрель 2023'!$D$4:$D$692,$B98,'апрель 2023'!$J$4:$J$692,AF$1)</f>
        <v>0</v>
      </c>
      <c r="AG98" s="207">
        <f>SUMIFS('апрель 2023'!$G$4:$G$692,'апрель 2023'!$D$4:$D$692,$B98,'апрель 2023'!$J$4:$J$692,AG$1)</f>
        <v>0</v>
      </c>
      <c r="AH98" s="207">
        <f>SUMIFS('апрель 2023'!$G$4:$G$692,'апрель 2023'!$D$4:$D$692,$B98,'апрель 2023'!$J$4:$J$692,AH$1)</f>
        <v>0</v>
      </c>
      <c r="AI98" s="170">
        <f t="shared" si="2"/>
        <v>0</v>
      </c>
    </row>
    <row r="99" spans="2:35" ht="15" customHeight="1" x14ac:dyDescent="0.25">
      <c r="B99" s="212" t="s">
        <v>276</v>
      </c>
      <c r="C99" s="213">
        <v>200</v>
      </c>
      <c r="D99" s="207">
        <f>SUMIFS('апрель 2023'!$G$4:$G$692,'апрель 2023'!$D$4:$D$692,$B99,'апрель 2023'!$J$4:$J$692,D$1)</f>
        <v>0</v>
      </c>
      <c r="E99" s="207">
        <f>SUMIFS('апрель 2023'!$G$4:$G$692,'апрель 2023'!$D$4:$D$692,$B99,'апрель 2023'!$J$4:$J$692,E$1)</f>
        <v>0</v>
      </c>
      <c r="F99" s="207">
        <f>SUMIFS('апрель 2023'!$G$4:$G$692,'апрель 2023'!$D$4:$D$692,$B99,'апрель 2023'!$J$4:$J$692,F$1)</f>
        <v>0</v>
      </c>
      <c r="G99" s="207">
        <f>SUMIFS('апрель 2023'!$G$4:$G$692,'апрель 2023'!$D$4:$D$692,$B99,'апрель 2023'!$J$4:$J$692,G$1)</f>
        <v>0</v>
      </c>
      <c r="H99" s="207">
        <f>SUMIFS('апрель 2023'!$G$4:$G$692,'апрель 2023'!$D$4:$D$692,$B99,'апрель 2023'!$J$4:$J$692,H$1)</f>
        <v>0</v>
      </c>
      <c r="I99" s="207">
        <f>SUMIFS('апрель 2023'!$G$4:$G$692,'апрель 2023'!$D$4:$D$692,$B99,'апрель 2023'!$J$4:$J$692,I$1)</f>
        <v>0</v>
      </c>
      <c r="J99" s="207">
        <f>SUMIFS('апрель 2023'!$G$4:$G$692,'апрель 2023'!$D$4:$D$692,$B99,'апрель 2023'!$J$4:$J$692,J$1)</f>
        <v>0</v>
      </c>
      <c r="K99" s="207">
        <f>SUMIFS('апрель 2023'!$G$4:$G$692,'апрель 2023'!$D$4:$D$692,$B99,'апрель 2023'!$J$4:$J$692,K$1)</f>
        <v>0</v>
      </c>
      <c r="L99" s="207">
        <f>SUMIFS('апрель 2023'!$G$4:$G$692,'апрель 2023'!$D$4:$D$692,$B99,'апрель 2023'!$J$4:$J$692,L$1)</f>
        <v>0</v>
      </c>
      <c r="M99" s="207">
        <f>SUMIFS('апрель 2023'!$G$4:$G$692,'апрель 2023'!$D$4:$D$692,$B99,'апрель 2023'!$J$4:$J$692,M$1)</f>
        <v>0</v>
      </c>
      <c r="N99" s="207">
        <f>SUMIFS('апрель 2023'!$G$4:$G$692,'апрель 2023'!$D$4:$D$692,$B99,'апрель 2023'!$J$4:$J$692,N$1)</f>
        <v>0</v>
      </c>
      <c r="O99" s="207">
        <f>SUMIFS('апрель 2023'!$G$4:$G$692,'апрель 2023'!$D$4:$D$692,$B99,'апрель 2023'!$J$4:$J$692,O$1)</f>
        <v>0</v>
      </c>
      <c r="P99" s="207">
        <f>SUMIFS('апрель 2023'!$G$4:$G$692,'апрель 2023'!$D$4:$D$692,$B99,'апрель 2023'!$J$4:$J$692,P$1)</f>
        <v>0</v>
      </c>
      <c r="Q99" s="207">
        <f>SUMIFS('апрель 2023'!$G$4:$G$692,'апрель 2023'!$D$4:$D$692,$B99,'апрель 2023'!$J$4:$J$692,Q$1)</f>
        <v>0</v>
      </c>
      <c r="R99" s="207">
        <f>SUMIFS('апрель 2023'!$G$4:$G$692,'апрель 2023'!$D$4:$D$692,$B99,'апрель 2023'!$J$4:$J$692,R$1)</f>
        <v>0</v>
      </c>
      <c r="S99" s="207">
        <f>SUMIFS('апрель 2023'!$G$4:$G$692,'апрель 2023'!$D$4:$D$692,$B99,'апрель 2023'!$J$4:$J$692,S$1)</f>
        <v>0</v>
      </c>
      <c r="T99" s="207">
        <f>SUMIFS('апрель 2023'!$G$4:$G$692,'апрель 2023'!$D$4:$D$692,$B99,'апрель 2023'!$J$4:$J$692,T$1)</f>
        <v>0</v>
      </c>
      <c r="U99" s="207">
        <f>SUMIFS('апрель 2023'!$G$4:$G$692,'апрель 2023'!$D$4:$D$692,$B99,'апрель 2023'!$J$4:$J$692,U$1)</f>
        <v>0</v>
      </c>
      <c r="V99" s="207">
        <f>SUMIFS('апрель 2023'!$G$4:$G$692,'апрель 2023'!$D$4:$D$692,$B99,'апрель 2023'!$J$4:$J$692,V$1)</f>
        <v>0</v>
      </c>
      <c r="W99" s="207">
        <f>SUMIFS('апрель 2023'!$G$4:$G$692,'апрель 2023'!$D$4:$D$692,$B99,'апрель 2023'!$J$4:$J$692,W$1)</f>
        <v>0</v>
      </c>
      <c r="X99" s="207">
        <f>SUMIFS('апрель 2023'!$G$4:$G$692,'апрель 2023'!$D$4:$D$692,$B99,'апрель 2023'!$J$4:$J$692,X$1)</f>
        <v>0</v>
      </c>
      <c r="Y99" s="207">
        <f>SUMIFS('апрель 2023'!$G$4:$G$692,'апрель 2023'!$D$4:$D$692,$B99,'апрель 2023'!$J$4:$J$692,Y$1)</f>
        <v>0</v>
      </c>
      <c r="Z99" s="207">
        <f>SUMIFS('апрель 2023'!$G$4:$G$692,'апрель 2023'!$D$4:$D$692,$B99,'апрель 2023'!$J$4:$J$692,Z$1)</f>
        <v>0</v>
      </c>
      <c r="AA99" s="207">
        <f>SUMIFS('апрель 2023'!$G$4:$G$692,'апрель 2023'!$D$4:$D$692,$B99,'апрель 2023'!$J$4:$J$692,AA$1)</f>
        <v>0</v>
      </c>
      <c r="AB99" s="207">
        <f>SUMIFS('апрель 2023'!$G$4:$G$692,'апрель 2023'!$D$4:$D$692,$B99,'апрель 2023'!$J$4:$J$692,AB$1)</f>
        <v>0</v>
      </c>
      <c r="AC99" s="207">
        <f>SUMIFS('апрель 2023'!$G$4:$G$692,'апрель 2023'!$D$4:$D$692,$B99,'апрель 2023'!$J$4:$J$692,AC$1)</f>
        <v>0</v>
      </c>
      <c r="AD99" s="207">
        <f>SUMIFS('апрель 2023'!$G$4:$G$692,'апрель 2023'!$D$4:$D$692,$B99,'апрель 2023'!$J$4:$J$692,AD$1)</f>
        <v>0</v>
      </c>
      <c r="AE99" s="207">
        <f>SUMIFS('апрель 2023'!$G$4:$G$692,'апрель 2023'!$D$4:$D$692,$B99,'апрель 2023'!$J$4:$J$692,AE$1)</f>
        <v>0</v>
      </c>
      <c r="AF99" s="207">
        <f>SUMIFS('апрель 2023'!$G$4:$G$692,'апрель 2023'!$D$4:$D$692,$B99,'апрель 2023'!$J$4:$J$692,AF$1)</f>
        <v>0</v>
      </c>
      <c r="AG99" s="207">
        <f>SUMIFS('апрель 2023'!$G$4:$G$692,'апрель 2023'!$D$4:$D$692,$B99,'апрель 2023'!$J$4:$J$692,AG$1)</f>
        <v>0</v>
      </c>
      <c r="AH99" s="207">
        <f>SUMIFS('апрель 2023'!$G$4:$G$692,'апрель 2023'!$D$4:$D$692,$B99,'апрель 2023'!$J$4:$J$692,AH$1)</f>
        <v>0</v>
      </c>
      <c r="AI99" s="170">
        <f t="shared" si="2"/>
        <v>0</v>
      </c>
    </row>
    <row r="100" spans="2:35" ht="15" customHeight="1" x14ac:dyDescent="0.25">
      <c r="B100" s="212" t="s">
        <v>1021</v>
      </c>
      <c r="C100" s="213">
        <v>200</v>
      </c>
      <c r="D100" s="207">
        <f>SUMIFS('апрель 2023'!$G$4:$G$692,'апрель 2023'!$D$4:$D$692,$B100,'апрель 2023'!$J$4:$J$692,D$1)</f>
        <v>0</v>
      </c>
      <c r="E100" s="207">
        <f>SUMIFS('апрель 2023'!$G$4:$G$692,'апрель 2023'!$D$4:$D$692,$B100,'апрель 2023'!$J$4:$J$692,E$1)</f>
        <v>0</v>
      </c>
      <c r="F100" s="207">
        <f>SUMIFS('апрель 2023'!$G$4:$G$692,'апрель 2023'!$D$4:$D$692,$B100,'апрель 2023'!$J$4:$J$692,F$1)</f>
        <v>0</v>
      </c>
      <c r="G100" s="207">
        <f>SUMIFS('апрель 2023'!$G$4:$G$692,'апрель 2023'!$D$4:$D$692,$B100,'апрель 2023'!$J$4:$J$692,G$1)</f>
        <v>0</v>
      </c>
      <c r="H100" s="207">
        <f>SUMIFS('апрель 2023'!$G$4:$G$692,'апрель 2023'!$D$4:$D$692,$B100,'апрель 2023'!$J$4:$J$692,H$1)</f>
        <v>0</v>
      </c>
      <c r="I100" s="207">
        <f>SUMIFS('апрель 2023'!$G$4:$G$692,'апрель 2023'!$D$4:$D$692,$B100,'апрель 2023'!$J$4:$J$692,I$1)</f>
        <v>0</v>
      </c>
      <c r="J100" s="207">
        <f>SUMIFS('апрель 2023'!$G$4:$G$692,'апрель 2023'!$D$4:$D$692,$B100,'апрель 2023'!$J$4:$J$692,J$1)</f>
        <v>0</v>
      </c>
      <c r="K100" s="207">
        <f>SUMIFS('апрель 2023'!$G$4:$G$692,'апрель 2023'!$D$4:$D$692,$B100,'апрель 2023'!$J$4:$J$692,K$1)</f>
        <v>0</v>
      </c>
      <c r="L100" s="207">
        <f>SUMIFS('апрель 2023'!$G$4:$G$692,'апрель 2023'!$D$4:$D$692,$B100,'апрель 2023'!$J$4:$J$692,L$1)</f>
        <v>0</v>
      </c>
      <c r="M100" s="207">
        <f>SUMIFS('апрель 2023'!$G$4:$G$692,'апрель 2023'!$D$4:$D$692,$B100,'апрель 2023'!$J$4:$J$692,M$1)</f>
        <v>0</v>
      </c>
      <c r="N100" s="207">
        <f>SUMIFS('апрель 2023'!$G$4:$G$692,'апрель 2023'!$D$4:$D$692,$B100,'апрель 2023'!$J$4:$J$692,N$1)</f>
        <v>0</v>
      </c>
      <c r="O100" s="207">
        <f>SUMIFS('апрель 2023'!$G$4:$G$692,'апрель 2023'!$D$4:$D$692,$B100,'апрель 2023'!$J$4:$J$692,O$1)</f>
        <v>0</v>
      </c>
      <c r="P100" s="207">
        <f>SUMIFS('апрель 2023'!$G$4:$G$692,'апрель 2023'!$D$4:$D$692,$B100,'апрель 2023'!$J$4:$J$692,P$1)</f>
        <v>0</v>
      </c>
      <c r="Q100" s="207">
        <f>SUMIFS('апрель 2023'!$G$4:$G$692,'апрель 2023'!$D$4:$D$692,$B100,'апрель 2023'!$J$4:$J$692,Q$1)</f>
        <v>0</v>
      </c>
      <c r="R100" s="207">
        <f>SUMIFS('апрель 2023'!$G$4:$G$692,'апрель 2023'!$D$4:$D$692,$B100,'апрель 2023'!$J$4:$J$692,R$1)</f>
        <v>0</v>
      </c>
      <c r="S100" s="207">
        <f>SUMIFS('апрель 2023'!$G$4:$G$692,'апрель 2023'!$D$4:$D$692,$B100,'апрель 2023'!$J$4:$J$692,S$1)</f>
        <v>0</v>
      </c>
      <c r="T100" s="207">
        <f>SUMIFS('апрель 2023'!$G$4:$G$692,'апрель 2023'!$D$4:$D$692,$B100,'апрель 2023'!$J$4:$J$692,T$1)</f>
        <v>0</v>
      </c>
      <c r="U100" s="207">
        <f>SUMIFS('апрель 2023'!$G$4:$G$692,'апрель 2023'!$D$4:$D$692,$B100,'апрель 2023'!$J$4:$J$692,U$1)</f>
        <v>0</v>
      </c>
      <c r="V100" s="207">
        <f>SUMIFS('апрель 2023'!$G$4:$G$692,'апрель 2023'!$D$4:$D$692,$B100,'апрель 2023'!$J$4:$J$692,V$1)</f>
        <v>0</v>
      </c>
      <c r="W100" s="207">
        <f>SUMIFS('апрель 2023'!$G$4:$G$692,'апрель 2023'!$D$4:$D$692,$B100,'апрель 2023'!$J$4:$J$692,W$1)</f>
        <v>0</v>
      </c>
      <c r="X100" s="207">
        <f>SUMIFS('апрель 2023'!$G$4:$G$692,'апрель 2023'!$D$4:$D$692,$B100,'апрель 2023'!$J$4:$J$692,X$1)</f>
        <v>0</v>
      </c>
      <c r="Y100" s="207">
        <f>SUMIFS('апрель 2023'!$G$4:$G$692,'апрель 2023'!$D$4:$D$692,$B100,'апрель 2023'!$J$4:$J$692,Y$1)</f>
        <v>0</v>
      </c>
      <c r="Z100" s="207">
        <f>SUMIFS('апрель 2023'!$G$4:$G$692,'апрель 2023'!$D$4:$D$692,$B100,'апрель 2023'!$J$4:$J$692,Z$1)</f>
        <v>0</v>
      </c>
      <c r="AA100" s="207">
        <f>SUMIFS('апрель 2023'!$G$4:$G$692,'апрель 2023'!$D$4:$D$692,$B100,'апрель 2023'!$J$4:$J$692,AA$1)</f>
        <v>0</v>
      </c>
      <c r="AB100" s="207">
        <f>SUMIFS('апрель 2023'!$G$4:$G$692,'апрель 2023'!$D$4:$D$692,$B100,'апрель 2023'!$J$4:$J$692,AB$1)</f>
        <v>0</v>
      </c>
      <c r="AC100" s="207">
        <f>SUMIFS('апрель 2023'!$G$4:$G$692,'апрель 2023'!$D$4:$D$692,$B100,'апрель 2023'!$J$4:$J$692,AC$1)</f>
        <v>0</v>
      </c>
      <c r="AD100" s="207">
        <f>SUMIFS('апрель 2023'!$G$4:$G$692,'апрель 2023'!$D$4:$D$692,$B100,'апрель 2023'!$J$4:$J$692,AD$1)</f>
        <v>0</v>
      </c>
      <c r="AE100" s="207">
        <f>SUMIFS('апрель 2023'!$G$4:$G$692,'апрель 2023'!$D$4:$D$692,$B100,'апрель 2023'!$J$4:$J$692,AE$1)</f>
        <v>0</v>
      </c>
      <c r="AF100" s="207">
        <f>SUMIFS('апрель 2023'!$G$4:$G$692,'апрель 2023'!$D$4:$D$692,$B100,'апрель 2023'!$J$4:$J$692,AF$1)</f>
        <v>0</v>
      </c>
      <c r="AG100" s="207">
        <f>SUMIFS('апрель 2023'!$G$4:$G$692,'апрель 2023'!$D$4:$D$692,$B100,'апрель 2023'!$J$4:$J$692,AG$1)</f>
        <v>0</v>
      </c>
      <c r="AH100" s="207">
        <f>SUMIFS('апрель 2023'!$G$4:$G$692,'апрель 2023'!$D$4:$D$692,$B100,'апрель 2023'!$J$4:$J$692,AH$1)</f>
        <v>0</v>
      </c>
      <c r="AI100" s="170">
        <f t="shared" si="2"/>
        <v>0</v>
      </c>
    </row>
    <row r="101" spans="2:35" ht="15" customHeight="1" x14ac:dyDescent="0.25">
      <c r="B101" s="212" t="s">
        <v>1023</v>
      </c>
      <c r="C101" s="213">
        <v>25</v>
      </c>
      <c r="D101" s="207">
        <f>SUMIFS('апрель 2023'!$G$4:$G$692,'апрель 2023'!$D$4:$D$692,$B101,'апрель 2023'!$J$4:$J$692,D$1)</f>
        <v>0</v>
      </c>
      <c r="E101" s="207">
        <f>SUMIFS('апрель 2023'!$G$4:$G$692,'апрель 2023'!$D$4:$D$692,$B101,'апрель 2023'!$J$4:$J$692,E$1)</f>
        <v>0</v>
      </c>
      <c r="F101" s="207">
        <f>SUMIFS('апрель 2023'!$G$4:$G$692,'апрель 2023'!$D$4:$D$692,$B101,'апрель 2023'!$J$4:$J$692,F$1)</f>
        <v>0</v>
      </c>
      <c r="G101" s="207">
        <f>SUMIFS('апрель 2023'!$G$4:$G$692,'апрель 2023'!$D$4:$D$692,$B101,'апрель 2023'!$J$4:$J$692,G$1)</f>
        <v>0</v>
      </c>
      <c r="H101" s="207">
        <f>SUMIFS('апрель 2023'!$G$4:$G$692,'апрель 2023'!$D$4:$D$692,$B101,'апрель 2023'!$J$4:$J$692,H$1)</f>
        <v>0</v>
      </c>
      <c r="I101" s="207">
        <f>SUMIFS('апрель 2023'!$G$4:$G$692,'апрель 2023'!$D$4:$D$692,$B101,'апрель 2023'!$J$4:$J$692,I$1)</f>
        <v>0</v>
      </c>
      <c r="J101" s="207">
        <f>SUMIFS('апрель 2023'!$G$4:$G$692,'апрель 2023'!$D$4:$D$692,$B101,'апрель 2023'!$J$4:$J$692,J$1)</f>
        <v>0</v>
      </c>
      <c r="K101" s="207">
        <f>SUMIFS('апрель 2023'!$G$4:$G$692,'апрель 2023'!$D$4:$D$692,$B101,'апрель 2023'!$J$4:$J$692,K$1)</f>
        <v>0</v>
      </c>
      <c r="L101" s="207">
        <f>SUMIFS('апрель 2023'!$G$4:$G$692,'апрель 2023'!$D$4:$D$692,$B101,'апрель 2023'!$J$4:$J$692,L$1)</f>
        <v>0</v>
      </c>
      <c r="M101" s="207">
        <f>SUMIFS('апрель 2023'!$G$4:$G$692,'апрель 2023'!$D$4:$D$692,$B101,'апрель 2023'!$J$4:$J$692,M$1)</f>
        <v>0</v>
      </c>
      <c r="N101" s="207">
        <f>SUMIFS('апрель 2023'!$G$4:$G$692,'апрель 2023'!$D$4:$D$692,$B101,'апрель 2023'!$J$4:$J$692,N$1)</f>
        <v>0</v>
      </c>
      <c r="O101" s="207">
        <f>SUMIFS('апрель 2023'!$G$4:$G$692,'апрель 2023'!$D$4:$D$692,$B101,'апрель 2023'!$J$4:$J$692,O$1)</f>
        <v>0</v>
      </c>
      <c r="P101" s="207">
        <f>SUMIFS('апрель 2023'!$G$4:$G$692,'апрель 2023'!$D$4:$D$692,$B101,'апрель 2023'!$J$4:$J$692,P$1)</f>
        <v>0</v>
      </c>
      <c r="Q101" s="207">
        <f>SUMIFS('апрель 2023'!$G$4:$G$692,'апрель 2023'!$D$4:$D$692,$B101,'апрель 2023'!$J$4:$J$692,Q$1)</f>
        <v>0</v>
      </c>
      <c r="R101" s="207">
        <f>SUMIFS('апрель 2023'!$G$4:$G$692,'апрель 2023'!$D$4:$D$692,$B101,'апрель 2023'!$J$4:$J$692,R$1)</f>
        <v>0</v>
      </c>
      <c r="S101" s="207">
        <f>SUMIFS('апрель 2023'!$G$4:$G$692,'апрель 2023'!$D$4:$D$692,$B101,'апрель 2023'!$J$4:$J$692,S$1)</f>
        <v>0</v>
      </c>
      <c r="T101" s="207">
        <f>SUMIFS('апрель 2023'!$G$4:$G$692,'апрель 2023'!$D$4:$D$692,$B101,'апрель 2023'!$J$4:$J$692,T$1)</f>
        <v>0</v>
      </c>
      <c r="U101" s="207">
        <f>SUMIFS('апрель 2023'!$G$4:$G$692,'апрель 2023'!$D$4:$D$692,$B101,'апрель 2023'!$J$4:$J$692,U$1)</f>
        <v>0</v>
      </c>
      <c r="V101" s="207">
        <f>SUMIFS('апрель 2023'!$G$4:$G$692,'апрель 2023'!$D$4:$D$692,$B101,'апрель 2023'!$J$4:$J$692,V$1)</f>
        <v>0</v>
      </c>
      <c r="W101" s="207">
        <f>SUMIFS('апрель 2023'!$G$4:$G$692,'апрель 2023'!$D$4:$D$692,$B101,'апрель 2023'!$J$4:$J$692,W$1)</f>
        <v>0</v>
      </c>
      <c r="X101" s="207">
        <f>SUMIFS('апрель 2023'!$G$4:$G$692,'апрель 2023'!$D$4:$D$692,$B101,'апрель 2023'!$J$4:$J$692,X$1)</f>
        <v>0</v>
      </c>
      <c r="Y101" s="207">
        <f>SUMIFS('апрель 2023'!$G$4:$G$692,'апрель 2023'!$D$4:$D$692,$B101,'апрель 2023'!$J$4:$J$692,Y$1)</f>
        <v>0</v>
      </c>
      <c r="Z101" s="207">
        <f>SUMIFS('апрель 2023'!$G$4:$G$692,'апрель 2023'!$D$4:$D$692,$B101,'апрель 2023'!$J$4:$J$692,Z$1)</f>
        <v>0</v>
      </c>
      <c r="AA101" s="207">
        <f>SUMIFS('апрель 2023'!$G$4:$G$692,'апрель 2023'!$D$4:$D$692,$B101,'апрель 2023'!$J$4:$J$692,AA$1)</f>
        <v>0</v>
      </c>
      <c r="AB101" s="207">
        <f>SUMIFS('апрель 2023'!$G$4:$G$692,'апрель 2023'!$D$4:$D$692,$B101,'апрель 2023'!$J$4:$J$692,AB$1)</f>
        <v>0</v>
      </c>
      <c r="AC101" s="207">
        <f>SUMIFS('апрель 2023'!$G$4:$G$692,'апрель 2023'!$D$4:$D$692,$B101,'апрель 2023'!$J$4:$J$692,AC$1)</f>
        <v>0</v>
      </c>
      <c r="AD101" s="207">
        <f>SUMIFS('апрель 2023'!$G$4:$G$692,'апрель 2023'!$D$4:$D$692,$B101,'апрель 2023'!$J$4:$J$692,AD$1)</f>
        <v>0</v>
      </c>
      <c r="AE101" s="207">
        <f>SUMIFS('апрель 2023'!$G$4:$G$692,'апрель 2023'!$D$4:$D$692,$B101,'апрель 2023'!$J$4:$J$692,AE$1)</f>
        <v>800</v>
      </c>
      <c r="AF101" s="207">
        <f>SUMIFS('апрель 2023'!$G$4:$G$692,'апрель 2023'!$D$4:$D$692,$B101,'апрель 2023'!$J$4:$J$692,AF$1)</f>
        <v>0</v>
      </c>
      <c r="AG101" s="207">
        <f>SUMIFS('апрель 2023'!$G$4:$G$692,'апрель 2023'!$D$4:$D$692,$B101,'апрель 2023'!$J$4:$J$692,AG$1)</f>
        <v>0</v>
      </c>
      <c r="AH101" s="207">
        <f>SUMIFS('апрель 2023'!$G$4:$G$692,'апрель 2023'!$D$4:$D$692,$B101,'апрель 2023'!$J$4:$J$692,AH$1)</f>
        <v>0</v>
      </c>
      <c r="AI101" s="170">
        <f>SUM(D101:AH101)</f>
        <v>800</v>
      </c>
    </row>
    <row r="102" spans="2:35" ht="15" customHeight="1" x14ac:dyDescent="0.25">
      <c r="B102" s="216" t="s">
        <v>2199</v>
      </c>
      <c r="C102" s="213">
        <v>200</v>
      </c>
      <c r="D102" s="207">
        <f>SUMIFS('апрель 2023'!$G$4:$G$692,'апрель 2023'!$D$4:$D$692,$B102,'апрель 2023'!$J$4:$J$692,D$1)</f>
        <v>0</v>
      </c>
      <c r="E102" s="207">
        <f>SUMIFS('апрель 2023'!$G$4:$G$692,'апрель 2023'!$D$4:$D$692,$B102,'апрель 2023'!$J$4:$J$692,E$1)</f>
        <v>0</v>
      </c>
      <c r="F102" s="207">
        <f>SUMIFS('апрель 2023'!$G$4:$G$692,'апрель 2023'!$D$4:$D$692,$B102,'апрель 2023'!$J$4:$J$692,F$1)</f>
        <v>0</v>
      </c>
      <c r="G102" s="207">
        <f>SUMIFS('апрель 2023'!$G$4:$G$692,'апрель 2023'!$D$4:$D$692,$B102,'апрель 2023'!$J$4:$J$692,G$1)</f>
        <v>0</v>
      </c>
      <c r="H102" s="207">
        <f>SUMIFS('апрель 2023'!$G$4:$G$692,'апрель 2023'!$D$4:$D$692,$B102,'апрель 2023'!$J$4:$J$692,H$1)</f>
        <v>0</v>
      </c>
      <c r="I102" s="207">
        <f>SUMIFS('апрель 2023'!$G$4:$G$692,'апрель 2023'!$D$4:$D$692,$B102,'апрель 2023'!$J$4:$J$692,I$1)</f>
        <v>0</v>
      </c>
      <c r="J102" s="207">
        <f>SUMIFS('апрель 2023'!$G$4:$G$692,'апрель 2023'!$D$4:$D$692,$B102,'апрель 2023'!$J$4:$J$692,J$1)</f>
        <v>0</v>
      </c>
      <c r="K102" s="207">
        <f>SUMIFS('апрель 2023'!$G$4:$G$692,'апрель 2023'!$D$4:$D$692,$B102,'апрель 2023'!$J$4:$J$692,K$1)</f>
        <v>0</v>
      </c>
      <c r="L102" s="207">
        <f>SUMIFS('апрель 2023'!$G$4:$G$692,'апрель 2023'!$D$4:$D$692,$B102,'апрель 2023'!$J$4:$J$692,L$1)</f>
        <v>0</v>
      </c>
      <c r="M102" s="207">
        <f>SUMIFS('апрель 2023'!$G$4:$G$692,'апрель 2023'!$D$4:$D$692,$B102,'апрель 2023'!$J$4:$J$692,M$1)</f>
        <v>0</v>
      </c>
      <c r="N102" s="207">
        <f>SUMIFS('апрель 2023'!$G$4:$G$692,'апрель 2023'!$D$4:$D$692,$B102,'апрель 2023'!$J$4:$J$692,N$1)</f>
        <v>0</v>
      </c>
      <c r="O102" s="207">
        <f>SUMIFS('апрель 2023'!$G$4:$G$692,'апрель 2023'!$D$4:$D$692,$B102,'апрель 2023'!$J$4:$J$692,O$1)</f>
        <v>0</v>
      </c>
      <c r="P102" s="207">
        <f>SUMIFS('апрель 2023'!$G$4:$G$692,'апрель 2023'!$D$4:$D$692,$B102,'апрель 2023'!$J$4:$J$692,P$1)</f>
        <v>0</v>
      </c>
      <c r="Q102" s="207">
        <f>SUMIFS('апрель 2023'!$G$4:$G$692,'апрель 2023'!$D$4:$D$692,$B102,'апрель 2023'!$J$4:$J$692,Q$1)</f>
        <v>0</v>
      </c>
      <c r="R102" s="207">
        <f>SUMIFS('апрель 2023'!$G$4:$G$692,'апрель 2023'!$D$4:$D$692,$B102,'апрель 2023'!$J$4:$J$692,R$1)</f>
        <v>0</v>
      </c>
      <c r="S102" s="207">
        <f>SUMIFS('апрель 2023'!$G$4:$G$692,'апрель 2023'!$D$4:$D$692,$B102,'апрель 2023'!$J$4:$J$692,S$1)</f>
        <v>0</v>
      </c>
      <c r="T102" s="207">
        <f>SUMIFS('апрель 2023'!$G$4:$G$692,'апрель 2023'!$D$4:$D$692,$B102,'апрель 2023'!$J$4:$J$692,T$1)</f>
        <v>0</v>
      </c>
      <c r="U102" s="207">
        <f>SUMIFS('апрель 2023'!$G$4:$G$692,'апрель 2023'!$D$4:$D$692,$B102,'апрель 2023'!$J$4:$J$692,U$1)</f>
        <v>0</v>
      </c>
      <c r="V102" s="207">
        <f>SUMIFS('апрель 2023'!$G$4:$G$692,'апрель 2023'!$D$4:$D$692,$B102,'апрель 2023'!$J$4:$J$692,V$1)</f>
        <v>0</v>
      </c>
      <c r="W102" s="207">
        <f>SUMIFS('апрель 2023'!$G$4:$G$692,'апрель 2023'!$D$4:$D$692,$B102,'апрель 2023'!$J$4:$J$692,W$1)</f>
        <v>0</v>
      </c>
      <c r="X102" s="207">
        <f>SUMIFS('апрель 2023'!$G$4:$G$692,'апрель 2023'!$D$4:$D$692,$B102,'апрель 2023'!$J$4:$J$692,X$1)</f>
        <v>0</v>
      </c>
      <c r="Y102" s="207">
        <f>SUMIFS('апрель 2023'!$G$4:$G$692,'апрель 2023'!$D$4:$D$692,$B102,'апрель 2023'!$J$4:$J$692,Y$1)</f>
        <v>0</v>
      </c>
      <c r="Z102" s="207">
        <f>SUMIFS('апрель 2023'!$G$4:$G$692,'апрель 2023'!$D$4:$D$692,$B102,'апрель 2023'!$J$4:$J$692,Z$1)</f>
        <v>0</v>
      </c>
      <c r="AA102" s="207">
        <f>SUMIFS('апрель 2023'!$G$4:$G$692,'апрель 2023'!$D$4:$D$692,$B102,'апрель 2023'!$J$4:$J$692,AA$1)</f>
        <v>0</v>
      </c>
      <c r="AB102" s="207">
        <f>SUMIFS('апрель 2023'!$G$4:$G$692,'апрель 2023'!$D$4:$D$692,$B102,'апрель 2023'!$J$4:$J$692,AB$1)</f>
        <v>0</v>
      </c>
      <c r="AC102" s="207">
        <f>SUMIFS('апрель 2023'!$G$4:$G$692,'апрель 2023'!$D$4:$D$692,$B102,'апрель 2023'!$J$4:$J$692,AC$1)</f>
        <v>0</v>
      </c>
      <c r="AD102" s="207">
        <f>SUMIFS('апрель 2023'!$G$4:$G$692,'апрель 2023'!$D$4:$D$692,$B102,'апрель 2023'!$J$4:$J$692,AD$1)</f>
        <v>0</v>
      </c>
      <c r="AE102" s="207">
        <f>SUMIFS('апрель 2023'!$G$4:$G$692,'апрель 2023'!$D$4:$D$692,$B102,'апрель 2023'!$J$4:$J$692,AE$1)</f>
        <v>0</v>
      </c>
      <c r="AF102" s="207">
        <f>SUMIFS('апрель 2023'!$G$4:$G$692,'апрель 2023'!$D$4:$D$692,$B102,'апрель 2023'!$J$4:$J$692,AF$1)</f>
        <v>0</v>
      </c>
      <c r="AG102" s="207">
        <f>SUMIFS('апрель 2023'!$G$4:$G$692,'апрель 2023'!$D$4:$D$692,$B102,'апрель 2023'!$J$4:$J$692,AG$1)</f>
        <v>0</v>
      </c>
      <c r="AH102" s="207">
        <f>SUMIFS('апрель 2023'!$G$4:$G$692,'апрель 2023'!$D$4:$D$692,$B102,'апрель 2023'!$J$4:$J$692,AH$1)</f>
        <v>0</v>
      </c>
      <c r="AI102" s="170">
        <f t="shared" si="2"/>
        <v>0</v>
      </c>
    </row>
    <row r="103" spans="2:35" ht="16.899999999999999" customHeight="1" x14ac:dyDescent="0.25">
      <c r="B103" s="212" t="s">
        <v>1094</v>
      </c>
      <c r="C103" s="211">
        <v>25</v>
      </c>
      <c r="D103" s="207">
        <f>SUMIFS('апрель 2023'!$G$4:$G$692,'апрель 2023'!$D$4:$D$692,$B103,'апрель 2023'!$J$4:$J$692,D$1)</f>
        <v>0</v>
      </c>
      <c r="E103" s="207">
        <f>SUMIFS('апрель 2023'!$G$4:$G$692,'апрель 2023'!$D$4:$D$692,$B103,'апрель 2023'!$J$4:$J$692,E$1)</f>
        <v>0</v>
      </c>
      <c r="F103" s="207">
        <f>SUMIFS('апрель 2023'!$G$4:$G$692,'апрель 2023'!$D$4:$D$692,$B103,'апрель 2023'!$J$4:$J$692,F$1)</f>
        <v>0</v>
      </c>
      <c r="G103" s="207">
        <f>SUMIFS('апрель 2023'!$G$4:$G$692,'апрель 2023'!$D$4:$D$692,$B103,'апрель 2023'!$J$4:$J$692,G$1)</f>
        <v>0</v>
      </c>
      <c r="H103" s="207">
        <f>SUMIFS('апрель 2023'!$G$4:$G$692,'апрель 2023'!$D$4:$D$692,$B103,'апрель 2023'!$J$4:$J$692,H$1)</f>
        <v>0</v>
      </c>
      <c r="I103" s="207">
        <f>SUMIFS('апрель 2023'!$G$4:$G$692,'апрель 2023'!$D$4:$D$692,$B103,'апрель 2023'!$J$4:$J$692,I$1)</f>
        <v>0</v>
      </c>
      <c r="J103" s="207">
        <f>SUMIFS('апрель 2023'!$G$4:$G$692,'апрель 2023'!$D$4:$D$692,$B103,'апрель 2023'!$J$4:$J$692,J$1)</f>
        <v>0</v>
      </c>
      <c r="K103" s="207">
        <f>SUMIFS('апрель 2023'!$G$4:$G$692,'апрель 2023'!$D$4:$D$692,$B103,'апрель 2023'!$J$4:$J$692,K$1)</f>
        <v>0</v>
      </c>
      <c r="L103" s="207">
        <f>SUMIFS('апрель 2023'!$G$4:$G$692,'апрель 2023'!$D$4:$D$692,$B103,'апрель 2023'!$J$4:$J$692,L$1)</f>
        <v>0</v>
      </c>
      <c r="M103" s="207">
        <f>SUMIFS('апрель 2023'!$G$4:$G$692,'апрель 2023'!$D$4:$D$692,$B103,'апрель 2023'!$J$4:$J$692,M$1)</f>
        <v>0</v>
      </c>
      <c r="N103" s="207">
        <f>SUMIFS('апрель 2023'!$G$4:$G$692,'апрель 2023'!$D$4:$D$692,$B103,'апрель 2023'!$J$4:$J$692,N$1)</f>
        <v>0</v>
      </c>
      <c r="O103" s="207">
        <f>SUMIFS('апрель 2023'!$G$4:$G$692,'апрель 2023'!$D$4:$D$692,$B103,'апрель 2023'!$J$4:$J$692,O$1)</f>
        <v>0</v>
      </c>
      <c r="P103" s="207">
        <f>SUMIFS('апрель 2023'!$G$4:$G$692,'апрель 2023'!$D$4:$D$692,$B103,'апрель 2023'!$J$4:$J$692,P$1)</f>
        <v>0</v>
      </c>
      <c r="Q103" s="207">
        <f>SUMIFS('апрель 2023'!$G$4:$G$692,'апрель 2023'!$D$4:$D$692,$B103,'апрель 2023'!$J$4:$J$692,Q$1)</f>
        <v>0</v>
      </c>
      <c r="R103" s="207">
        <f>SUMIFS('апрель 2023'!$G$4:$G$692,'апрель 2023'!$D$4:$D$692,$B103,'апрель 2023'!$J$4:$J$692,R$1)</f>
        <v>0</v>
      </c>
      <c r="S103" s="207">
        <f>SUMIFS('апрель 2023'!$G$4:$G$692,'апрель 2023'!$D$4:$D$692,$B103,'апрель 2023'!$J$4:$J$692,S$1)</f>
        <v>0</v>
      </c>
      <c r="T103" s="207">
        <f>SUMIFS('апрель 2023'!$G$4:$G$692,'апрель 2023'!$D$4:$D$692,$B103,'апрель 2023'!$J$4:$J$692,T$1)</f>
        <v>0</v>
      </c>
      <c r="U103" s="207">
        <f>SUMIFS('апрель 2023'!$G$4:$G$692,'апрель 2023'!$D$4:$D$692,$B103,'апрель 2023'!$J$4:$J$692,U$1)</f>
        <v>0</v>
      </c>
      <c r="V103" s="207">
        <f>SUMIFS('апрель 2023'!$G$4:$G$692,'апрель 2023'!$D$4:$D$692,$B103,'апрель 2023'!$J$4:$J$692,V$1)</f>
        <v>0</v>
      </c>
      <c r="W103" s="207">
        <f>SUMIFS('апрель 2023'!$G$4:$G$692,'апрель 2023'!$D$4:$D$692,$B103,'апрель 2023'!$J$4:$J$692,W$1)</f>
        <v>0</v>
      </c>
      <c r="X103" s="207">
        <f>SUMIFS('апрель 2023'!$G$4:$G$692,'апрель 2023'!$D$4:$D$692,$B103,'апрель 2023'!$J$4:$J$692,X$1)</f>
        <v>0</v>
      </c>
      <c r="Y103" s="207">
        <f>SUMIFS('апрель 2023'!$G$4:$G$692,'апрель 2023'!$D$4:$D$692,$B103,'апрель 2023'!$J$4:$J$692,Y$1)</f>
        <v>0</v>
      </c>
      <c r="Z103" s="207">
        <f>SUMIFS('апрель 2023'!$G$4:$G$692,'апрель 2023'!$D$4:$D$692,$B103,'апрель 2023'!$J$4:$J$692,Z$1)</f>
        <v>0</v>
      </c>
      <c r="AA103" s="207">
        <f>SUMIFS('апрель 2023'!$G$4:$G$692,'апрель 2023'!$D$4:$D$692,$B103,'апрель 2023'!$J$4:$J$692,AA$1)</f>
        <v>0</v>
      </c>
      <c r="AB103" s="207">
        <f>SUMIFS('апрель 2023'!$G$4:$G$692,'апрель 2023'!$D$4:$D$692,$B103,'апрель 2023'!$J$4:$J$692,AB$1)</f>
        <v>120</v>
      </c>
      <c r="AC103" s="207">
        <f>SUMIFS('апрель 2023'!$G$4:$G$692,'апрель 2023'!$D$4:$D$692,$B103,'апрель 2023'!$J$4:$J$692,AC$1)</f>
        <v>0</v>
      </c>
      <c r="AD103" s="207">
        <f>SUMIFS('апрель 2023'!$G$4:$G$692,'апрель 2023'!$D$4:$D$692,$B103,'апрель 2023'!$J$4:$J$692,AD$1)</f>
        <v>0</v>
      </c>
      <c r="AE103" s="207">
        <f>SUMIFS('апрель 2023'!$G$4:$G$692,'апрель 2023'!$D$4:$D$692,$B103,'апрель 2023'!$J$4:$J$692,AE$1)</f>
        <v>0</v>
      </c>
      <c r="AF103" s="207">
        <f>SUMIFS('апрель 2023'!$G$4:$G$692,'апрель 2023'!$D$4:$D$692,$B103,'апрель 2023'!$J$4:$J$692,AF$1)</f>
        <v>0</v>
      </c>
      <c r="AG103" s="207">
        <f>SUMIFS('апрель 2023'!$G$4:$G$692,'апрель 2023'!$D$4:$D$692,$B103,'апрель 2023'!$J$4:$J$692,AG$1)</f>
        <v>0</v>
      </c>
      <c r="AH103" s="207">
        <f>SUMIFS('апрель 2023'!$G$4:$G$692,'апрель 2023'!$D$4:$D$692,$B103,'апрель 2023'!$J$4:$J$692,AH$1)</f>
        <v>0</v>
      </c>
      <c r="AI103" s="170">
        <f t="shared" si="2"/>
        <v>120</v>
      </c>
    </row>
    <row r="104" spans="2:35" ht="15" customHeight="1" x14ac:dyDescent="0.25">
      <c r="B104" s="212" t="s">
        <v>191</v>
      </c>
      <c r="C104" s="211">
        <v>25</v>
      </c>
      <c r="D104" s="207">
        <f>SUMIFS('апрель 2023'!$G$4:$G$692,'апрель 2023'!$D$4:$D$692,$B104,'апрель 2023'!$J$4:$J$692,D$1)</f>
        <v>0</v>
      </c>
      <c r="E104" s="207">
        <f>SUMIFS('апрель 2023'!$G$4:$G$692,'апрель 2023'!$D$4:$D$692,$B104,'апрель 2023'!$J$4:$J$692,E$1)</f>
        <v>0</v>
      </c>
      <c r="F104" s="207">
        <f>SUMIFS('апрель 2023'!$G$4:$G$692,'апрель 2023'!$D$4:$D$692,$B104,'апрель 2023'!$J$4:$J$692,F$1)</f>
        <v>0</v>
      </c>
      <c r="G104" s="207">
        <f>SUMIFS('апрель 2023'!$G$4:$G$692,'апрель 2023'!$D$4:$D$692,$B104,'апрель 2023'!$J$4:$J$692,G$1)</f>
        <v>0</v>
      </c>
      <c r="H104" s="207">
        <f>SUMIFS('апрель 2023'!$G$4:$G$692,'апрель 2023'!$D$4:$D$692,$B104,'апрель 2023'!$J$4:$J$692,H$1)</f>
        <v>144</v>
      </c>
      <c r="I104" s="207">
        <f>SUMIFS('апрель 2023'!$G$4:$G$692,'апрель 2023'!$D$4:$D$692,$B104,'апрель 2023'!$J$4:$J$692,I$1)</f>
        <v>0</v>
      </c>
      <c r="J104" s="207">
        <f>SUMIFS('апрель 2023'!$G$4:$G$692,'апрель 2023'!$D$4:$D$692,$B104,'апрель 2023'!$J$4:$J$692,J$1)</f>
        <v>0</v>
      </c>
      <c r="K104" s="207">
        <f>SUMIFS('апрель 2023'!$G$4:$G$692,'апрель 2023'!$D$4:$D$692,$B104,'апрель 2023'!$J$4:$J$692,K$1)</f>
        <v>0</v>
      </c>
      <c r="L104" s="207">
        <f>SUMIFS('апрель 2023'!$G$4:$G$692,'апрель 2023'!$D$4:$D$692,$B104,'апрель 2023'!$J$4:$J$692,L$1)</f>
        <v>0</v>
      </c>
      <c r="M104" s="207">
        <f>SUMIFS('апрель 2023'!$G$4:$G$692,'апрель 2023'!$D$4:$D$692,$B104,'апрель 2023'!$J$4:$J$692,M$1)</f>
        <v>0</v>
      </c>
      <c r="N104" s="207">
        <f>SUMIFS('апрель 2023'!$G$4:$G$692,'апрель 2023'!$D$4:$D$692,$B104,'апрель 2023'!$J$4:$J$692,N$1)</f>
        <v>0</v>
      </c>
      <c r="O104" s="207">
        <f>SUMIFS('апрель 2023'!$G$4:$G$692,'апрель 2023'!$D$4:$D$692,$B104,'апрель 2023'!$J$4:$J$692,O$1)</f>
        <v>0</v>
      </c>
      <c r="P104" s="207">
        <f>SUMIFS('апрель 2023'!$G$4:$G$692,'апрель 2023'!$D$4:$D$692,$B104,'апрель 2023'!$J$4:$J$692,P$1)</f>
        <v>0</v>
      </c>
      <c r="Q104" s="207">
        <f>SUMIFS('апрель 2023'!$G$4:$G$692,'апрель 2023'!$D$4:$D$692,$B104,'апрель 2023'!$J$4:$J$692,Q$1)</f>
        <v>0</v>
      </c>
      <c r="R104" s="207">
        <f>SUMIFS('апрель 2023'!$G$4:$G$692,'апрель 2023'!$D$4:$D$692,$B104,'апрель 2023'!$J$4:$J$692,R$1)</f>
        <v>0</v>
      </c>
      <c r="S104" s="207">
        <f>SUMIFS('апрель 2023'!$G$4:$G$692,'апрель 2023'!$D$4:$D$692,$B104,'апрель 2023'!$J$4:$J$692,S$1)</f>
        <v>0</v>
      </c>
      <c r="T104" s="207">
        <f>SUMIFS('апрель 2023'!$G$4:$G$692,'апрель 2023'!$D$4:$D$692,$B104,'апрель 2023'!$J$4:$J$692,T$1)</f>
        <v>0</v>
      </c>
      <c r="U104" s="207">
        <f>SUMIFS('апрель 2023'!$G$4:$G$692,'апрель 2023'!$D$4:$D$692,$B104,'апрель 2023'!$J$4:$J$692,U$1)</f>
        <v>0</v>
      </c>
      <c r="V104" s="207">
        <f>SUMIFS('апрель 2023'!$G$4:$G$692,'апрель 2023'!$D$4:$D$692,$B104,'апрель 2023'!$J$4:$J$692,V$1)</f>
        <v>0</v>
      </c>
      <c r="W104" s="207">
        <f>SUMIFS('апрель 2023'!$G$4:$G$692,'апрель 2023'!$D$4:$D$692,$B104,'апрель 2023'!$J$4:$J$692,W$1)</f>
        <v>0</v>
      </c>
      <c r="X104" s="207">
        <f>SUMIFS('апрель 2023'!$G$4:$G$692,'апрель 2023'!$D$4:$D$692,$B104,'апрель 2023'!$J$4:$J$692,X$1)</f>
        <v>0</v>
      </c>
      <c r="Y104" s="207">
        <f>SUMIFS('апрель 2023'!$G$4:$G$692,'апрель 2023'!$D$4:$D$692,$B104,'апрель 2023'!$J$4:$J$692,Y$1)</f>
        <v>0</v>
      </c>
      <c r="Z104" s="207">
        <f>SUMIFS('апрель 2023'!$G$4:$G$692,'апрель 2023'!$D$4:$D$692,$B104,'апрель 2023'!$J$4:$J$692,Z$1)</f>
        <v>0</v>
      </c>
      <c r="AA104" s="207">
        <f>SUMIFS('апрель 2023'!$G$4:$G$692,'апрель 2023'!$D$4:$D$692,$B104,'апрель 2023'!$J$4:$J$692,AA$1)</f>
        <v>0</v>
      </c>
      <c r="AB104" s="207">
        <f>SUMIFS('апрель 2023'!$G$4:$G$692,'апрель 2023'!$D$4:$D$692,$B104,'апрель 2023'!$J$4:$J$692,AB$1)</f>
        <v>0</v>
      </c>
      <c r="AC104" s="207">
        <f>SUMIFS('апрель 2023'!$G$4:$G$692,'апрель 2023'!$D$4:$D$692,$B104,'апрель 2023'!$J$4:$J$692,AC$1)</f>
        <v>0</v>
      </c>
      <c r="AD104" s="207">
        <f>SUMIFS('апрель 2023'!$G$4:$G$692,'апрель 2023'!$D$4:$D$692,$B104,'апрель 2023'!$J$4:$J$692,AD$1)</f>
        <v>0</v>
      </c>
      <c r="AE104" s="207">
        <f>SUMIFS('апрель 2023'!$G$4:$G$692,'апрель 2023'!$D$4:$D$692,$B104,'апрель 2023'!$J$4:$J$692,AE$1)</f>
        <v>0</v>
      </c>
      <c r="AF104" s="207">
        <f>SUMIFS('апрель 2023'!$G$4:$G$692,'апрель 2023'!$D$4:$D$692,$B104,'апрель 2023'!$J$4:$J$692,AF$1)</f>
        <v>0</v>
      </c>
      <c r="AG104" s="207">
        <f>SUMIFS('апрель 2023'!$G$4:$G$692,'апрель 2023'!$D$4:$D$692,$B104,'апрель 2023'!$J$4:$J$692,AG$1)</f>
        <v>0</v>
      </c>
      <c r="AH104" s="207">
        <f>SUMIFS('апрель 2023'!$G$4:$G$692,'апрель 2023'!$D$4:$D$692,$B104,'апрель 2023'!$J$4:$J$692,AH$1)</f>
        <v>0</v>
      </c>
      <c r="AI104" s="170">
        <f t="shared" si="2"/>
        <v>144</v>
      </c>
    </row>
    <row r="105" spans="2:35" ht="15" customHeight="1" x14ac:dyDescent="0.25">
      <c r="B105" s="212" t="s">
        <v>525</v>
      </c>
      <c r="C105" s="211">
        <v>25</v>
      </c>
      <c r="D105" s="207">
        <f>SUMIFS('апрель 2023'!$G$4:$G$692,'апрель 2023'!$D$4:$D$692,$B105,'апрель 2023'!$J$4:$J$692,D$1)</f>
        <v>0</v>
      </c>
      <c r="E105" s="207">
        <f>SUMIFS('апрель 2023'!$G$4:$G$692,'апрель 2023'!$D$4:$D$692,$B105,'апрель 2023'!$J$4:$J$692,E$1)</f>
        <v>0</v>
      </c>
      <c r="F105" s="207">
        <f>SUMIFS('апрель 2023'!$G$4:$G$692,'апрель 2023'!$D$4:$D$692,$B105,'апрель 2023'!$J$4:$J$692,F$1)</f>
        <v>0</v>
      </c>
      <c r="G105" s="207">
        <f>SUMIFS('апрель 2023'!$G$4:$G$692,'апрель 2023'!$D$4:$D$692,$B105,'апрель 2023'!$J$4:$J$692,G$1)</f>
        <v>0</v>
      </c>
      <c r="H105" s="207">
        <f>SUMIFS('апрель 2023'!$G$4:$G$692,'апрель 2023'!$D$4:$D$692,$B105,'апрель 2023'!$J$4:$J$692,H$1)</f>
        <v>336</v>
      </c>
      <c r="I105" s="207">
        <f>SUMIFS('апрель 2023'!$G$4:$G$692,'апрель 2023'!$D$4:$D$692,$B105,'апрель 2023'!$J$4:$J$692,I$1)</f>
        <v>0</v>
      </c>
      <c r="J105" s="207">
        <f>SUMIFS('апрель 2023'!$G$4:$G$692,'апрель 2023'!$D$4:$D$692,$B105,'апрель 2023'!$J$4:$J$692,J$1)</f>
        <v>0</v>
      </c>
      <c r="K105" s="207">
        <f>SUMIFS('апрель 2023'!$G$4:$G$692,'апрель 2023'!$D$4:$D$692,$B105,'апрель 2023'!$J$4:$J$692,K$1)</f>
        <v>0</v>
      </c>
      <c r="L105" s="207">
        <f>SUMIFS('апрель 2023'!$G$4:$G$692,'апрель 2023'!$D$4:$D$692,$B105,'апрель 2023'!$J$4:$J$692,L$1)</f>
        <v>0</v>
      </c>
      <c r="M105" s="207">
        <f>SUMIFS('апрель 2023'!$G$4:$G$692,'апрель 2023'!$D$4:$D$692,$B105,'апрель 2023'!$J$4:$J$692,M$1)</f>
        <v>0</v>
      </c>
      <c r="N105" s="207">
        <f>SUMIFS('апрель 2023'!$G$4:$G$692,'апрель 2023'!$D$4:$D$692,$B105,'апрель 2023'!$J$4:$J$692,N$1)</f>
        <v>0</v>
      </c>
      <c r="O105" s="207">
        <f>SUMIFS('апрель 2023'!$G$4:$G$692,'апрель 2023'!$D$4:$D$692,$B105,'апрель 2023'!$J$4:$J$692,O$1)</f>
        <v>0</v>
      </c>
      <c r="P105" s="207">
        <f>SUMIFS('апрель 2023'!$G$4:$G$692,'апрель 2023'!$D$4:$D$692,$B105,'апрель 2023'!$J$4:$J$692,P$1)</f>
        <v>0</v>
      </c>
      <c r="Q105" s="207">
        <f>SUMIFS('апрель 2023'!$G$4:$G$692,'апрель 2023'!$D$4:$D$692,$B105,'апрель 2023'!$J$4:$J$692,Q$1)</f>
        <v>0</v>
      </c>
      <c r="R105" s="207">
        <f>SUMIFS('апрель 2023'!$G$4:$G$692,'апрель 2023'!$D$4:$D$692,$B105,'апрель 2023'!$J$4:$J$692,R$1)</f>
        <v>0</v>
      </c>
      <c r="S105" s="207">
        <f>SUMIFS('апрель 2023'!$G$4:$G$692,'апрель 2023'!$D$4:$D$692,$B105,'апрель 2023'!$J$4:$J$692,S$1)</f>
        <v>0</v>
      </c>
      <c r="T105" s="207">
        <f>SUMIFS('апрель 2023'!$G$4:$G$692,'апрель 2023'!$D$4:$D$692,$B105,'апрель 2023'!$J$4:$J$692,T$1)</f>
        <v>0</v>
      </c>
      <c r="U105" s="207">
        <f>SUMIFS('апрель 2023'!$G$4:$G$692,'апрель 2023'!$D$4:$D$692,$B105,'апрель 2023'!$J$4:$J$692,U$1)</f>
        <v>0</v>
      </c>
      <c r="V105" s="207">
        <f>SUMIFS('апрель 2023'!$G$4:$G$692,'апрель 2023'!$D$4:$D$692,$B105,'апрель 2023'!$J$4:$J$692,V$1)</f>
        <v>0</v>
      </c>
      <c r="W105" s="207">
        <f>SUMIFS('апрель 2023'!$G$4:$G$692,'апрель 2023'!$D$4:$D$692,$B105,'апрель 2023'!$J$4:$J$692,W$1)</f>
        <v>0</v>
      </c>
      <c r="X105" s="207">
        <f>SUMIFS('апрель 2023'!$G$4:$G$692,'апрель 2023'!$D$4:$D$692,$B105,'апрель 2023'!$J$4:$J$692,X$1)</f>
        <v>0</v>
      </c>
      <c r="Y105" s="207">
        <f>SUMIFS('апрель 2023'!$G$4:$G$692,'апрель 2023'!$D$4:$D$692,$B105,'апрель 2023'!$J$4:$J$692,Y$1)</f>
        <v>0</v>
      </c>
      <c r="Z105" s="207">
        <f>SUMIFS('апрель 2023'!$G$4:$G$692,'апрель 2023'!$D$4:$D$692,$B105,'апрель 2023'!$J$4:$J$692,Z$1)</f>
        <v>0</v>
      </c>
      <c r="AA105" s="207">
        <f>SUMIFS('апрель 2023'!$G$4:$G$692,'апрель 2023'!$D$4:$D$692,$B105,'апрель 2023'!$J$4:$J$692,AA$1)</f>
        <v>0</v>
      </c>
      <c r="AB105" s="207">
        <f>SUMIFS('апрель 2023'!$G$4:$G$692,'апрель 2023'!$D$4:$D$692,$B105,'апрель 2023'!$J$4:$J$692,AB$1)</f>
        <v>0</v>
      </c>
      <c r="AC105" s="207">
        <f>SUMIFS('апрель 2023'!$G$4:$G$692,'апрель 2023'!$D$4:$D$692,$B105,'апрель 2023'!$J$4:$J$692,AC$1)</f>
        <v>0</v>
      </c>
      <c r="AD105" s="207">
        <f>SUMIFS('апрель 2023'!$G$4:$G$692,'апрель 2023'!$D$4:$D$692,$B105,'апрель 2023'!$J$4:$J$692,AD$1)</f>
        <v>0</v>
      </c>
      <c r="AE105" s="207">
        <f>SUMIFS('апрель 2023'!$G$4:$G$692,'апрель 2023'!$D$4:$D$692,$B105,'апрель 2023'!$J$4:$J$692,AE$1)</f>
        <v>0</v>
      </c>
      <c r="AF105" s="207">
        <f>SUMIFS('апрель 2023'!$G$4:$G$692,'апрель 2023'!$D$4:$D$692,$B105,'апрель 2023'!$J$4:$J$692,AF$1)</f>
        <v>0</v>
      </c>
      <c r="AG105" s="207">
        <f>SUMIFS('апрель 2023'!$G$4:$G$692,'апрель 2023'!$D$4:$D$692,$B105,'апрель 2023'!$J$4:$J$692,AG$1)</f>
        <v>0</v>
      </c>
      <c r="AH105" s="207">
        <f>SUMIFS('апрель 2023'!$G$4:$G$692,'апрель 2023'!$D$4:$D$692,$B105,'апрель 2023'!$J$4:$J$692,AH$1)</f>
        <v>0</v>
      </c>
      <c r="AI105" s="170">
        <f t="shared" si="2"/>
        <v>336</v>
      </c>
    </row>
    <row r="106" spans="2:35" ht="15" customHeight="1" x14ac:dyDescent="0.25">
      <c r="B106" s="212"/>
      <c r="C106" s="211"/>
      <c r="D106" s="207">
        <f>SUMIFS('апрель 2023'!$G$4:$G$692,'апрель 2023'!$D$4:$D$692,$B106,'апрель 2023'!$J$4:$J$692,D$1)</f>
        <v>0</v>
      </c>
      <c r="E106" s="207">
        <f>SUMIFS('апрель 2023'!$G$4:$G$692,'апрель 2023'!$D$4:$D$692,$B106,'апрель 2023'!$J$4:$J$692,E$1)</f>
        <v>0</v>
      </c>
      <c r="F106" s="207">
        <f>SUMIFS('апрель 2023'!$G$4:$G$692,'апрель 2023'!$D$4:$D$692,$B106,'апрель 2023'!$J$4:$J$692,F$1)</f>
        <v>0</v>
      </c>
      <c r="G106" s="207">
        <f>SUMIFS('апрель 2023'!$G$4:$G$692,'апрель 2023'!$D$4:$D$692,$B106,'апрель 2023'!$J$4:$J$692,G$1)</f>
        <v>0</v>
      </c>
      <c r="H106" s="207">
        <f>SUMIFS('апрель 2023'!$G$4:$G$692,'апрель 2023'!$D$4:$D$692,$B106,'апрель 2023'!$J$4:$J$692,H$1)</f>
        <v>0</v>
      </c>
      <c r="I106" s="207">
        <f>SUMIFS('апрель 2023'!$G$4:$G$692,'апрель 2023'!$D$4:$D$692,$B106,'апрель 2023'!$J$4:$J$692,I$1)</f>
        <v>0</v>
      </c>
      <c r="J106" s="207">
        <f>SUMIFS('апрель 2023'!$G$4:$G$692,'апрель 2023'!$D$4:$D$692,$B106,'апрель 2023'!$J$4:$J$692,J$1)</f>
        <v>0</v>
      </c>
      <c r="K106" s="207">
        <f>SUMIFS('апрель 2023'!$G$4:$G$692,'апрель 2023'!$D$4:$D$692,$B106,'апрель 2023'!$J$4:$J$692,K$1)</f>
        <v>0</v>
      </c>
      <c r="L106" s="207">
        <f>SUMIFS('апрель 2023'!$G$4:$G$692,'апрель 2023'!$D$4:$D$692,$B106,'апрель 2023'!$J$4:$J$692,L$1)</f>
        <v>0</v>
      </c>
      <c r="M106" s="207">
        <f>SUMIFS('апрель 2023'!$G$4:$G$692,'апрель 2023'!$D$4:$D$692,$B106,'апрель 2023'!$J$4:$J$692,M$1)</f>
        <v>0</v>
      </c>
      <c r="N106" s="207">
        <f>SUMIFS('апрель 2023'!$G$4:$G$692,'апрель 2023'!$D$4:$D$692,$B106,'апрель 2023'!$J$4:$J$692,N$1)</f>
        <v>0</v>
      </c>
      <c r="O106" s="207">
        <f>SUMIFS('апрель 2023'!$G$4:$G$692,'апрель 2023'!$D$4:$D$692,$B106,'апрель 2023'!$J$4:$J$692,O$1)</f>
        <v>0</v>
      </c>
      <c r="P106" s="207">
        <f>SUMIFS('апрель 2023'!$G$4:$G$692,'апрель 2023'!$D$4:$D$692,$B106,'апрель 2023'!$J$4:$J$692,P$1)</f>
        <v>0</v>
      </c>
      <c r="Q106" s="207">
        <f>SUMIFS('апрель 2023'!$G$4:$G$692,'апрель 2023'!$D$4:$D$692,$B106,'апрель 2023'!$J$4:$J$692,Q$1)</f>
        <v>0</v>
      </c>
      <c r="R106" s="207">
        <f>SUMIFS('апрель 2023'!$G$4:$G$692,'апрель 2023'!$D$4:$D$692,$B106,'апрель 2023'!$J$4:$J$692,R$1)</f>
        <v>0</v>
      </c>
      <c r="S106" s="207">
        <f>SUMIFS('апрель 2023'!$G$4:$G$692,'апрель 2023'!$D$4:$D$692,$B106,'апрель 2023'!$J$4:$J$692,S$1)</f>
        <v>0</v>
      </c>
      <c r="T106" s="207">
        <f>SUMIFS('апрель 2023'!$G$4:$G$692,'апрель 2023'!$D$4:$D$692,$B106,'апрель 2023'!$J$4:$J$692,T$1)</f>
        <v>0</v>
      </c>
      <c r="U106" s="207">
        <f>SUMIFS('апрель 2023'!$G$4:$G$692,'апрель 2023'!$D$4:$D$692,$B106,'апрель 2023'!$J$4:$J$692,U$1)</f>
        <v>0</v>
      </c>
      <c r="V106" s="207">
        <f>SUMIFS('апрель 2023'!$G$4:$G$692,'апрель 2023'!$D$4:$D$692,$B106,'апрель 2023'!$J$4:$J$692,V$1)</f>
        <v>0</v>
      </c>
      <c r="W106" s="207">
        <f>SUMIFS('апрель 2023'!$G$4:$G$692,'апрель 2023'!$D$4:$D$692,$B106,'апрель 2023'!$J$4:$J$692,W$1)</f>
        <v>0</v>
      </c>
      <c r="X106" s="207">
        <f>SUMIFS('апрель 2023'!$G$4:$G$692,'апрель 2023'!$D$4:$D$692,$B106,'апрель 2023'!$J$4:$J$692,X$1)</f>
        <v>0</v>
      </c>
      <c r="Y106" s="207">
        <f>SUMIFS('апрель 2023'!$G$4:$G$692,'апрель 2023'!$D$4:$D$692,$B106,'апрель 2023'!$J$4:$J$692,Y$1)</f>
        <v>0</v>
      </c>
      <c r="Z106" s="207">
        <f>SUMIFS('апрель 2023'!$G$4:$G$692,'апрель 2023'!$D$4:$D$692,$B106,'апрель 2023'!$J$4:$J$692,Z$1)</f>
        <v>0</v>
      </c>
      <c r="AA106" s="207">
        <f>SUMIFS('апрель 2023'!$G$4:$G$692,'апрель 2023'!$D$4:$D$692,$B106,'апрель 2023'!$J$4:$J$692,AA$1)</f>
        <v>0</v>
      </c>
      <c r="AB106" s="207">
        <f>SUMIFS('апрель 2023'!$G$4:$G$692,'апрель 2023'!$D$4:$D$692,$B106,'апрель 2023'!$J$4:$J$692,AB$1)</f>
        <v>0</v>
      </c>
      <c r="AC106" s="207">
        <f>SUMIFS('апрель 2023'!$G$4:$G$692,'апрель 2023'!$D$4:$D$692,$B106,'апрель 2023'!$J$4:$J$692,AC$1)</f>
        <v>0</v>
      </c>
      <c r="AD106" s="207">
        <f>SUMIFS('апрель 2023'!$G$4:$G$692,'апрель 2023'!$D$4:$D$692,$B106,'апрель 2023'!$J$4:$J$692,AD$1)</f>
        <v>0</v>
      </c>
      <c r="AE106" s="207">
        <f>SUMIFS('апрель 2023'!$G$4:$G$692,'апрель 2023'!$D$4:$D$692,$B106,'апрель 2023'!$J$4:$J$692,AE$1)</f>
        <v>0</v>
      </c>
      <c r="AF106" s="207">
        <f>SUMIFS('апрель 2023'!$G$4:$G$692,'апрель 2023'!$D$4:$D$692,$B106,'апрель 2023'!$J$4:$J$692,AF$1)</f>
        <v>0</v>
      </c>
      <c r="AG106" s="207">
        <f>SUMIFS('апрель 2023'!$G$4:$G$692,'апрель 2023'!$D$4:$D$692,$B106,'апрель 2023'!$J$4:$J$692,AG$1)</f>
        <v>0</v>
      </c>
      <c r="AH106" s="207">
        <f>SUMIFS('апрель 2023'!$G$4:$G$692,'апрель 2023'!$D$4:$D$692,$B106,'апрель 2023'!$J$4:$J$692,AH$1)</f>
        <v>0</v>
      </c>
      <c r="AI106" s="170">
        <f t="shared" si="2"/>
        <v>0</v>
      </c>
    </row>
    <row r="107" spans="2:35" ht="15" customHeight="1" x14ac:dyDescent="0.25">
      <c r="B107" s="212"/>
      <c r="C107" s="211"/>
      <c r="D107" s="207">
        <f>SUMIFS('апрель 2023'!$G$4:$G$692,'апрель 2023'!$D$4:$D$692,$B107,'апрель 2023'!$J$4:$J$692,D$1)</f>
        <v>0</v>
      </c>
      <c r="E107" s="207">
        <f>SUMIFS('апрель 2023'!$G$4:$G$692,'апрель 2023'!$D$4:$D$692,$B107,'апрель 2023'!$J$4:$J$692,E$1)</f>
        <v>0</v>
      </c>
      <c r="F107" s="207">
        <f>SUMIFS('апрель 2023'!$G$4:$G$692,'апрель 2023'!$D$4:$D$692,$B107,'апрель 2023'!$J$4:$J$692,F$1)</f>
        <v>0</v>
      </c>
      <c r="G107" s="207">
        <f>SUMIFS('апрель 2023'!$G$4:$G$692,'апрель 2023'!$D$4:$D$692,$B107,'апрель 2023'!$J$4:$J$692,G$1)</f>
        <v>0</v>
      </c>
      <c r="H107" s="207">
        <f>SUMIFS('апрель 2023'!$G$4:$G$692,'апрель 2023'!$D$4:$D$692,$B107,'апрель 2023'!$J$4:$J$692,H$1)</f>
        <v>0</v>
      </c>
      <c r="I107" s="207">
        <f>SUMIFS('апрель 2023'!$G$4:$G$692,'апрель 2023'!$D$4:$D$692,$B107,'апрель 2023'!$J$4:$J$692,I$1)</f>
        <v>0</v>
      </c>
      <c r="J107" s="207">
        <f>SUMIFS('апрель 2023'!$G$4:$G$692,'апрель 2023'!$D$4:$D$692,$B107,'апрель 2023'!$J$4:$J$692,J$1)</f>
        <v>0</v>
      </c>
      <c r="K107" s="207">
        <f>SUMIFS('апрель 2023'!$G$4:$G$692,'апрель 2023'!$D$4:$D$692,$B107,'апрель 2023'!$J$4:$J$692,K$1)</f>
        <v>0</v>
      </c>
      <c r="L107" s="207">
        <f>SUMIFS('апрель 2023'!$G$4:$G$692,'апрель 2023'!$D$4:$D$692,$B107,'апрель 2023'!$J$4:$J$692,L$1)</f>
        <v>0</v>
      </c>
      <c r="M107" s="207">
        <f>SUMIFS('апрель 2023'!$G$4:$G$692,'апрель 2023'!$D$4:$D$692,$B107,'апрель 2023'!$J$4:$J$692,M$1)</f>
        <v>0</v>
      </c>
      <c r="N107" s="207">
        <f>SUMIFS('апрель 2023'!$G$4:$G$692,'апрель 2023'!$D$4:$D$692,$B107,'апрель 2023'!$J$4:$J$692,N$1)</f>
        <v>0</v>
      </c>
      <c r="O107" s="207">
        <f>SUMIFS('апрель 2023'!$G$4:$G$692,'апрель 2023'!$D$4:$D$692,$B107,'апрель 2023'!$J$4:$J$692,O$1)</f>
        <v>0</v>
      </c>
      <c r="P107" s="207">
        <f>SUMIFS('апрель 2023'!$G$4:$G$692,'апрель 2023'!$D$4:$D$692,$B107,'апрель 2023'!$J$4:$J$692,P$1)</f>
        <v>0</v>
      </c>
      <c r="Q107" s="207">
        <f>SUMIFS('апрель 2023'!$G$4:$G$692,'апрель 2023'!$D$4:$D$692,$B107,'апрель 2023'!$J$4:$J$692,Q$1)</f>
        <v>0</v>
      </c>
      <c r="R107" s="207">
        <f>SUMIFS('апрель 2023'!$G$4:$G$692,'апрель 2023'!$D$4:$D$692,$B107,'апрель 2023'!$J$4:$J$692,R$1)</f>
        <v>0</v>
      </c>
      <c r="S107" s="207">
        <f>SUMIFS('апрель 2023'!$G$4:$G$692,'апрель 2023'!$D$4:$D$692,$B107,'апрель 2023'!$J$4:$J$692,S$1)</f>
        <v>0</v>
      </c>
      <c r="T107" s="207">
        <f>SUMIFS('апрель 2023'!$G$4:$G$692,'апрель 2023'!$D$4:$D$692,$B107,'апрель 2023'!$J$4:$J$692,T$1)</f>
        <v>0</v>
      </c>
      <c r="U107" s="207">
        <f>SUMIFS('апрель 2023'!$G$4:$G$692,'апрель 2023'!$D$4:$D$692,$B107,'апрель 2023'!$J$4:$J$692,U$1)</f>
        <v>0</v>
      </c>
      <c r="V107" s="207">
        <f>SUMIFS('апрель 2023'!$G$4:$G$692,'апрель 2023'!$D$4:$D$692,$B107,'апрель 2023'!$J$4:$J$692,V$1)</f>
        <v>0</v>
      </c>
      <c r="W107" s="207">
        <f>SUMIFS('апрель 2023'!$G$4:$G$692,'апрель 2023'!$D$4:$D$692,$B107,'апрель 2023'!$J$4:$J$692,W$1)</f>
        <v>0</v>
      </c>
      <c r="X107" s="207">
        <f>SUMIFS('апрель 2023'!$G$4:$G$692,'апрель 2023'!$D$4:$D$692,$B107,'апрель 2023'!$J$4:$J$692,X$1)</f>
        <v>0</v>
      </c>
      <c r="Y107" s="207">
        <f>SUMIFS('апрель 2023'!$G$4:$G$692,'апрель 2023'!$D$4:$D$692,$B107,'апрель 2023'!$J$4:$J$692,Y$1)</f>
        <v>0</v>
      </c>
      <c r="Z107" s="207">
        <f>SUMIFS('апрель 2023'!$G$4:$G$692,'апрель 2023'!$D$4:$D$692,$B107,'апрель 2023'!$J$4:$J$692,Z$1)</f>
        <v>0</v>
      </c>
      <c r="AA107" s="207">
        <f>SUMIFS('апрель 2023'!$G$4:$G$692,'апрель 2023'!$D$4:$D$692,$B107,'апрель 2023'!$J$4:$J$692,AA$1)</f>
        <v>0</v>
      </c>
      <c r="AB107" s="207">
        <f>SUMIFS('апрель 2023'!$G$4:$G$692,'апрель 2023'!$D$4:$D$692,$B107,'апрель 2023'!$J$4:$J$692,AB$1)</f>
        <v>0</v>
      </c>
      <c r="AC107" s="207">
        <f>SUMIFS('апрель 2023'!$G$4:$G$692,'апрель 2023'!$D$4:$D$692,$B107,'апрель 2023'!$J$4:$J$692,AC$1)</f>
        <v>0</v>
      </c>
      <c r="AD107" s="207">
        <f>SUMIFS('апрель 2023'!$G$4:$G$692,'апрель 2023'!$D$4:$D$692,$B107,'апрель 2023'!$J$4:$J$692,AD$1)</f>
        <v>0</v>
      </c>
      <c r="AE107" s="207">
        <f>SUMIFS('апрель 2023'!$G$4:$G$692,'апрель 2023'!$D$4:$D$692,$B107,'апрель 2023'!$J$4:$J$692,AE$1)</f>
        <v>0</v>
      </c>
      <c r="AF107" s="207">
        <f>SUMIFS('апрель 2023'!$G$4:$G$692,'апрель 2023'!$D$4:$D$692,$B107,'апрель 2023'!$J$4:$J$692,AF$1)</f>
        <v>0</v>
      </c>
      <c r="AG107" s="207">
        <f>SUMIFS('апрель 2023'!$G$4:$G$692,'апрель 2023'!$D$4:$D$692,$B107,'апрель 2023'!$J$4:$J$692,AG$1)</f>
        <v>0</v>
      </c>
      <c r="AH107" s="207">
        <f>SUMIFS('апрель 2023'!$G$4:$G$692,'апрель 2023'!$D$4:$D$692,$B107,'апрель 2023'!$J$4:$J$692,AH$1)</f>
        <v>0</v>
      </c>
      <c r="AI107" s="170">
        <f t="shared" si="2"/>
        <v>0</v>
      </c>
    </row>
    <row r="108" spans="2:35" ht="15" customHeight="1" x14ac:dyDescent="0.25">
      <c r="B108" s="212"/>
      <c r="C108" s="211"/>
      <c r="D108" s="207">
        <f>SUMIFS('апрель 2023'!$G$4:$G$692,'апрель 2023'!$D$4:$D$692,$B108,'апрель 2023'!$J$4:$J$692,D$1)</f>
        <v>0</v>
      </c>
      <c r="E108" s="207">
        <f>SUMIFS('апрель 2023'!$G$4:$G$692,'апрель 2023'!$D$4:$D$692,$B108,'апрель 2023'!$J$4:$J$692,E$1)</f>
        <v>0</v>
      </c>
      <c r="F108" s="207">
        <f>SUMIFS('апрель 2023'!$G$4:$G$692,'апрель 2023'!$D$4:$D$692,$B108,'апрель 2023'!$J$4:$J$692,F$1)</f>
        <v>0</v>
      </c>
      <c r="G108" s="207">
        <f>SUMIFS('апрель 2023'!$G$4:$G$692,'апрель 2023'!$D$4:$D$692,$B108,'апрель 2023'!$J$4:$J$692,G$1)</f>
        <v>0</v>
      </c>
      <c r="H108" s="207">
        <f>SUMIFS('апрель 2023'!$G$4:$G$692,'апрель 2023'!$D$4:$D$692,$B108,'апрель 2023'!$J$4:$J$692,H$1)</f>
        <v>0</v>
      </c>
      <c r="I108" s="207">
        <f>SUMIFS('апрель 2023'!$G$4:$G$692,'апрель 2023'!$D$4:$D$692,$B108,'апрель 2023'!$J$4:$J$692,I$1)</f>
        <v>0</v>
      </c>
      <c r="J108" s="207">
        <f>SUMIFS('апрель 2023'!$G$4:$G$692,'апрель 2023'!$D$4:$D$692,$B108,'апрель 2023'!$J$4:$J$692,J$1)</f>
        <v>0</v>
      </c>
      <c r="K108" s="207">
        <f>SUMIFS('апрель 2023'!$G$4:$G$692,'апрель 2023'!$D$4:$D$692,$B108,'апрель 2023'!$J$4:$J$692,K$1)</f>
        <v>0</v>
      </c>
      <c r="L108" s="207">
        <f>SUMIFS('апрель 2023'!$G$4:$G$692,'апрель 2023'!$D$4:$D$692,$B108,'апрель 2023'!$J$4:$J$692,L$1)</f>
        <v>0</v>
      </c>
      <c r="M108" s="207">
        <f>SUMIFS('апрель 2023'!$G$4:$G$692,'апрель 2023'!$D$4:$D$692,$B108,'апрель 2023'!$J$4:$J$692,M$1)</f>
        <v>0</v>
      </c>
      <c r="N108" s="207">
        <f>SUMIFS('апрель 2023'!$G$4:$G$692,'апрель 2023'!$D$4:$D$692,$B108,'апрель 2023'!$J$4:$J$692,N$1)</f>
        <v>0</v>
      </c>
      <c r="O108" s="207">
        <f>SUMIFS('апрель 2023'!$G$4:$G$692,'апрель 2023'!$D$4:$D$692,$B108,'апрель 2023'!$J$4:$J$692,O$1)</f>
        <v>0</v>
      </c>
      <c r="P108" s="207">
        <f>SUMIFS('апрель 2023'!$G$4:$G$692,'апрель 2023'!$D$4:$D$692,$B108,'апрель 2023'!$J$4:$J$692,P$1)</f>
        <v>0</v>
      </c>
      <c r="Q108" s="207">
        <f>SUMIFS('апрель 2023'!$G$4:$G$692,'апрель 2023'!$D$4:$D$692,$B108,'апрель 2023'!$J$4:$J$692,Q$1)</f>
        <v>0</v>
      </c>
      <c r="R108" s="207">
        <f>SUMIFS('апрель 2023'!$G$4:$G$692,'апрель 2023'!$D$4:$D$692,$B108,'апрель 2023'!$J$4:$J$692,R$1)</f>
        <v>0</v>
      </c>
      <c r="S108" s="207">
        <f>SUMIFS('апрель 2023'!$G$4:$G$692,'апрель 2023'!$D$4:$D$692,$B108,'апрель 2023'!$J$4:$J$692,S$1)</f>
        <v>0</v>
      </c>
      <c r="T108" s="207">
        <f>SUMIFS('апрель 2023'!$G$4:$G$692,'апрель 2023'!$D$4:$D$692,$B108,'апрель 2023'!$J$4:$J$692,T$1)</f>
        <v>0</v>
      </c>
      <c r="U108" s="207">
        <f>SUMIFS('апрель 2023'!$G$4:$G$692,'апрель 2023'!$D$4:$D$692,$B108,'апрель 2023'!$J$4:$J$692,U$1)</f>
        <v>0</v>
      </c>
      <c r="V108" s="207">
        <f>SUMIFS('апрель 2023'!$G$4:$G$692,'апрель 2023'!$D$4:$D$692,$B108,'апрель 2023'!$J$4:$J$692,V$1)</f>
        <v>0</v>
      </c>
      <c r="W108" s="207">
        <f>SUMIFS('апрель 2023'!$G$4:$G$692,'апрель 2023'!$D$4:$D$692,$B108,'апрель 2023'!$J$4:$J$692,W$1)</f>
        <v>0</v>
      </c>
      <c r="X108" s="207">
        <f>SUMIFS('апрель 2023'!$G$4:$G$692,'апрель 2023'!$D$4:$D$692,$B108,'апрель 2023'!$J$4:$J$692,X$1)</f>
        <v>0</v>
      </c>
      <c r="Y108" s="207">
        <f>SUMIFS('апрель 2023'!$G$4:$G$692,'апрель 2023'!$D$4:$D$692,$B108,'апрель 2023'!$J$4:$J$692,Y$1)</f>
        <v>0</v>
      </c>
      <c r="Z108" s="207">
        <f>SUMIFS('апрель 2023'!$G$4:$G$692,'апрель 2023'!$D$4:$D$692,$B108,'апрель 2023'!$J$4:$J$692,Z$1)</f>
        <v>0</v>
      </c>
      <c r="AA108" s="207">
        <f>SUMIFS('апрель 2023'!$G$4:$G$692,'апрель 2023'!$D$4:$D$692,$B108,'апрель 2023'!$J$4:$J$692,AA$1)</f>
        <v>0</v>
      </c>
      <c r="AB108" s="207">
        <f>SUMIFS('апрель 2023'!$G$4:$G$692,'апрель 2023'!$D$4:$D$692,$B108,'апрель 2023'!$J$4:$J$692,AB$1)</f>
        <v>0</v>
      </c>
      <c r="AC108" s="207">
        <f>SUMIFS('апрель 2023'!$G$4:$G$692,'апрель 2023'!$D$4:$D$692,$B108,'апрель 2023'!$J$4:$J$692,AC$1)</f>
        <v>0</v>
      </c>
      <c r="AD108" s="207">
        <f>SUMIFS('апрель 2023'!$G$4:$G$692,'апрель 2023'!$D$4:$D$692,$B108,'апрель 2023'!$J$4:$J$692,AD$1)</f>
        <v>0</v>
      </c>
      <c r="AE108" s="207">
        <f>SUMIFS('апрель 2023'!$G$4:$G$692,'апрель 2023'!$D$4:$D$692,$B108,'апрель 2023'!$J$4:$J$692,AE$1)</f>
        <v>0</v>
      </c>
      <c r="AF108" s="207">
        <f>SUMIFS('апрель 2023'!$G$4:$G$692,'апрель 2023'!$D$4:$D$692,$B108,'апрель 2023'!$J$4:$J$692,AF$1)</f>
        <v>0</v>
      </c>
      <c r="AG108" s="207">
        <f>SUMIFS('апрель 2023'!$G$4:$G$692,'апрель 2023'!$D$4:$D$692,$B108,'апрель 2023'!$J$4:$J$692,AG$1)</f>
        <v>0</v>
      </c>
      <c r="AH108" s="207">
        <f>SUMIFS('апрель 2023'!$G$4:$G$692,'апрель 2023'!$D$4:$D$692,$B108,'апрель 2023'!$J$4:$J$692,AH$1)</f>
        <v>0</v>
      </c>
      <c r="AI108" s="170">
        <f t="shared" si="2"/>
        <v>0</v>
      </c>
    </row>
    <row r="109" spans="2:35" ht="15" customHeight="1" x14ac:dyDescent="0.25">
      <c r="B109" s="212"/>
      <c r="C109" s="213"/>
      <c r="D109" s="207">
        <f>SUMIFS('апрель 2023'!$G$4:$G$692,'апрель 2023'!$D$4:$D$692,$B109,'апрель 2023'!$J$4:$J$692,D$1)</f>
        <v>0</v>
      </c>
      <c r="E109" s="207">
        <f>SUMIFS('апрель 2023'!$G$4:$G$692,'апрель 2023'!$D$4:$D$692,$B109,'апрель 2023'!$J$4:$J$692,E$1)</f>
        <v>0</v>
      </c>
      <c r="F109" s="207">
        <f>SUMIFS('апрель 2023'!$G$4:$G$692,'апрель 2023'!$D$4:$D$692,$B109,'апрель 2023'!$J$4:$J$692,F$1)</f>
        <v>0</v>
      </c>
      <c r="G109" s="207">
        <f>SUMIFS('апрель 2023'!$G$4:$G$692,'апрель 2023'!$D$4:$D$692,$B109,'апрель 2023'!$J$4:$J$692,G$1)</f>
        <v>0</v>
      </c>
      <c r="H109" s="207">
        <f>SUMIFS('апрель 2023'!$G$4:$G$692,'апрель 2023'!$D$4:$D$692,$B109,'апрель 2023'!$J$4:$J$692,H$1)</f>
        <v>0</v>
      </c>
      <c r="I109" s="207">
        <f>SUMIFS('апрель 2023'!$G$4:$G$692,'апрель 2023'!$D$4:$D$692,$B109,'апрель 2023'!$J$4:$J$692,I$1)</f>
        <v>0</v>
      </c>
      <c r="J109" s="207">
        <f>SUMIFS('апрель 2023'!$G$4:$G$692,'апрель 2023'!$D$4:$D$692,$B109,'апрель 2023'!$J$4:$J$692,J$1)</f>
        <v>0</v>
      </c>
      <c r="K109" s="207">
        <f>SUMIFS('апрель 2023'!$G$4:$G$692,'апрель 2023'!$D$4:$D$692,$B109,'апрель 2023'!$J$4:$J$692,K$1)</f>
        <v>0</v>
      </c>
      <c r="L109" s="207">
        <f>SUMIFS('апрель 2023'!$G$4:$G$692,'апрель 2023'!$D$4:$D$692,$B109,'апрель 2023'!$J$4:$J$692,L$1)</f>
        <v>0</v>
      </c>
      <c r="M109" s="207">
        <f>SUMIFS('апрель 2023'!$G$4:$G$692,'апрель 2023'!$D$4:$D$692,$B109,'апрель 2023'!$J$4:$J$692,M$1)</f>
        <v>0</v>
      </c>
      <c r="N109" s="207">
        <f>SUMIFS('апрель 2023'!$G$4:$G$692,'апрель 2023'!$D$4:$D$692,$B109,'апрель 2023'!$J$4:$J$692,N$1)</f>
        <v>0</v>
      </c>
      <c r="O109" s="207">
        <f>SUMIFS('апрель 2023'!$G$4:$G$692,'апрель 2023'!$D$4:$D$692,$B109,'апрель 2023'!$J$4:$J$692,O$1)</f>
        <v>0</v>
      </c>
      <c r="P109" s="207">
        <f>SUMIFS('апрель 2023'!$G$4:$G$692,'апрель 2023'!$D$4:$D$692,$B109,'апрель 2023'!$J$4:$J$692,P$1)</f>
        <v>0</v>
      </c>
      <c r="Q109" s="207">
        <f>SUMIFS('апрель 2023'!$G$4:$G$692,'апрель 2023'!$D$4:$D$692,$B109,'апрель 2023'!$J$4:$J$692,Q$1)</f>
        <v>0</v>
      </c>
      <c r="R109" s="207">
        <f>SUMIFS('апрель 2023'!$G$4:$G$692,'апрель 2023'!$D$4:$D$692,$B109,'апрель 2023'!$J$4:$J$692,R$1)</f>
        <v>0</v>
      </c>
      <c r="S109" s="207">
        <f>SUMIFS('апрель 2023'!$G$4:$G$692,'апрель 2023'!$D$4:$D$692,$B109,'апрель 2023'!$J$4:$J$692,S$1)</f>
        <v>0</v>
      </c>
      <c r="T109" s="207">
        <f>SUMIFS('апрель 2023'!$G$4:$G$692,'апрель 2023'!$D$4:$D$692,$B109,'апрель 2023'!$J$4:$J$692,T$1)</f>
        <v>0</v>
      </c>
      <c r="U109" s="207">
        <f>SUMIFS('апрель 2023'!$G$4:$G$692,'апрель 2023'!$D$4:$D$692,$B109,'апрель 2023'!$J$4:$J$692,U$1)</f>
        <v>0</v>
      </c>
      <c r="V109" s="207">
        <f>SUMIFS('апрель 2023'!$G$4:$G$692,'апрель 2023'!$D$4:$D$692,$B109,'апрель 2023'!$J$4:$J$692,V$1)</f>
        <v>0</v>
      </c>
      <c r="W109" s="207">
        <f>SUMIFS('апрель 2023'!$G$4:$G$692,'апрель 2023'!$D$4:$D$692,$B109,'апрель 2023'!$J$4:$J$692,W$1)</f>
        <v>0</v>
      </c>
      <c r="X109" s="207">
        <f>SUMIFS('апрель 2023'!$G$4:$G$692,'апрель 2023'!$D$4:$D$692,$B109,'апрель 2023'!$J$4:$J$692,X$1)</f>
        <v>0</v>
      </c>
      <c r="Y109" s="207">
        <f>SUMIFS('апрель 2023'!$G$4:$G$692,'апрель 2023'!$D$4:$D$692,$B109,'апрель 2023'!$J$4:$J$692,Y$1)</f>
        <v>0</v>
      </c>
      <c r="Z109" s="207">
        <f>SUMIFS('апрель 2023'!$G$4:$G$692,'апрель 2023'!$D$4:$D$692,$B109,'апрель 2023'!$J$4:$J$692,Z$1)</f>
        <v>0</v>
      </c>
      <c r="AA109" s="207">
        <f>SUMIFS('апрель 2023'!$G$4:$G$692,'апрель 2023'!$D$4:$D$692,$B109,'апрель 2023'!$J$4:$J$692,AA$1)</f>
        <v>0</v>
      </c>
      <c r="AB109" s="207">
        <f>SUMIFS('апрель 2023'!$G$4:$G$692,'апрель 2023'!$D$4:$D$692,$B109,'апрель 2023'!$J$4:$J$692,AB$1)</f>
        <v>0</v>
      </c>
      <c r="AC109" s="207">
        <f>SUMIFS('апрель 2023'!$G$4:$G$692,'апрель 2023'!$D$4:$D$692,$B109,'апрель 2023'!$J$4:$J$692,AC$1)</f>
        <v>0</v>
      </c>
      <c r="AD109" s="207">
        <f>SUMIFS('апрель 2023'!$G$4:$G$692,'апрель 2023'!$D$4:$D$692,$B109,'апрель 2023'!$J$4:$J$692,AD$1)</f>
        <v>0</v>
      </c>
      <c r="AE109" s="207">
        <f>SUMIFS('апрель 2023'!$G$4:$G$692,'апрель 2023'!$D$4:$D$692,$B109,'апрель 2023'!$J$4:$J$692,AE$1)</f>
        <v>0</v>
      </c>
      <c r="AF109" s="207">
        <f>SUMIFS('апрель 2023'!$G$4:$G$692,'апрель 2023'!$D$4:$D$692,$B109,'апрель 2023'!$J$4:$J$692,AF$1)</f>
        <v>0</v>
      </c>
      <c r="AG109" s="207">
        <f>SUMIFS('апрель 2023'!$G$4:$G$692,'апрель 2023'!$D$4:$D$692,$B109,'апрель 2023'!$J$4:$J$692,AG$1)</f>
        <v>0</v>
      </c>
      <c r="AH109" s="207">
        <f>SUMIFS('апрель 2023'!$G$4:$G$692,'апрель 2023'!$D$4:$D$692,$B109,'апрель 2023'!$J$4:$J$692,AH$1)</f>
        <v>0</v>
      </c>
      <c r="AI109" s="170">
        <f t="shared" si="2"/>
        <v>0</v>
      </c>
    </row>
    <row r="110" spans="2:35" ht="15" customHeight="1" x14ac:dyDescent="0.25">
      <c r="B110" s="216"/>
      <c r="C110" s="213"/>
      <c r="D110" s="207">
        <f>SUMIFS('апрель 2023'!$G$4:$G$692,'апрель 2023'!$D$4:$D$692,$B110,'апрель 2023'!$J$4:$J$692,D$1)</f>
        <v>0</v>
      </c>
      <c r="E110" s="207">
        <f>SUMIFS('апрель 2023'!$G$4:$G$692,'апрель 2023'!$D$4:$D$692,$B110,'апрель 2023'!$J$4:$J$692,E$1)</f>
        <v>0</v>
      </c>
      <c r="F110" s="207">
        <f>SUMIFS('апрель 2023'!$G$4:$G$692,'апрель 2023'!$D$4:$D$692,$B110,'апрель 2023'!$J$4:$J$692,F$1)</f>
        <v>0</v>
      </c>
      <c r="G110" s="207">
        <f>SUMIFS('апрель 2023'!$G$4:$G$692,'апрель 2023'!$D$4:$D$692,$B110,'апрель 2023'!$J$4:$J$692,G$1)</f>
        <v>0</v>
      </c>
      <c r="H110" s="207">
        <f>SUMIFS('апрель 2023'!$G$4:$G$692,'апрель 2023'!$D$4:$D$692,$B110,'апрель 2023'!$J$4:$J$692,H$1)</f>
        <v>0</v>
      </c>
      <c r="I110" s="207">
        <f>SUMIFS('апрель 2023'!$G$4:$G$692,'апрель 2023'!$D$4:$D$692,$B110,'апрель 2023'!$J$4:$J$692,I$1)</f>
        <v>0</v>
      </c>
      <c r="J110" s="207">
        <f>SUMIFS('апрель 2023'!$G$4:$G$692,'апрель 2023'!$D$4:$D$692,$B110,'апрель 2023'!$J$4:$J$692,J$1)</f>
        <v>0</v>
      </c>
      <c r="K110" s="207">
        <f>SUMIFS('апрель 2023'!$G$4:$G$692,'апрель 2023'!$D$4:$D$692,$B110,'апрель 2023'!$J$4:$J$692,K$1)</f>
        <v>0</v>
      </c>
      <c r="L110" s="207">
        <f>SUMIFS('апрель 2023'!$G$4:$G$692,'апрель 2023'!$D$4:$D$692,$B110,'апрель 2023'!$J$4:$J$692,L$1)</f>
        <v>0</v>
      </c>
      <c r="M110" s="207">
        <f>SUMIFS('апрель 2023'!$G$4:$G$692,'апрель 2023'!$D$4:$D$692,$B110,'апрель 2023'!$J$4:$J$692,M$1)</f>
        <v>0</v>
      </c>
      <c r="N110" s="207">
        <f>SUMIFS('апрель 2023'!$G$4:$G$692,'апрель 2023'!$D$4:$D$692,$B110,'апрель 2023'!$J$4:$J$692,N$1)</f>
        <v>0</v>
      </c>
      <c r="O110" s="207">
        <f>SUMIFS('апрель 2023'!$G$4:$G$692,'апрель 2023'!$D$4:$D$692,$B110,'апрель 2023'!$J$4:$J$692,O$1)</f>
        <v>0</v>
      </c>
      <c r="P110" s="207">
        <f>SUMIFS('апрель 2023'!$G$4:$G$692,'апрель 2023'!$D$4:$D$692,$B110,'апрель 2023'!$J$4:$J$692,P$1)</f>
        <v>0</v>
      </c>
      <c r="Q110" s="207">
        <f>SUMIFS('апрель 2023'!$G$4:$G$692,'апрель 2023'!$D$4:$D$692,$B110,'апрель 2023'!$J$4:$J$692,Q$1)</f>
        <v>0</v>
      </c>
      <c r="R110" s="207">
        <f>SUMIFS('апрель 2023'!$G$4:$G$692,'апрель 2023'!$D$4:$D$692,$B110,'апрель 2023'!$J$4:$J$692,R$1)</f>
        <v>0</v>
      </c>
      <c r="S110" s="207">
        <f>SUMIFS('апрель 2023'!$G$4:$G$692,'апрель 2023'!$D$4:$D$692,$B110,'апрель 2023'!$J$4:$J$692,S$1)</f>
        <v>0</v>
      </c>
      <c r="T110" s="207">
        <f>SUMIFS('апрель 2023'!$G$4:$G$692,'апрель 2023'!$D$4:$D$692,$B110,'апрель 2023'!$J$4:$J$692,T$1)</f>
        <v>0</v>
      </c>
      <c r="U110" s="207">
        <f>SUMIFS('апрель 2023'!$G$4:$G$692,'апрель 2023'!$D$4:$D$692,$B110,'апрель 2023'!$J$4:$J$692,U$1)</f>
        <v>0</v>
      </c>
      <c r="V110" s="207">
        <f>SUMIFS('апрель 2023'!$G$4:$G$692,'апрель 2023'!$D$4:$D$692,$B110,'апрель 2023'!$J$4:$J$692,V$1)</f>
        <v>0</v>
      </c>
      <c r="W110" s="207">
        <f>SUMIFS('апрель 2023'!$G$4:$G$692,'апрель 2023'!$D$4:$D$692,$B110,'апрель 2023'!$J$4:$J$692,W$1)</f>
        <v>0</v>
      </c>
      <c r="X110" s="207">
        <f>SUMIFS('апрель 2023'!$G$4:$G$692,'апрель 2023'!$D$4:$D$692,$B110,'апрель 2023'!$J$4:$J$692,X$1)</f>
        <v>0</v>
      </c>
      <c r="Y110" s="207">
        <f>SUMIFS('апрель 2023'!$G$4:$G$692,'апрель 2023'!$D$4:$D$692,$B110,'апрель 2023'!$J$4:$J$692,Y$1)</f>
        <v>0</v>
      </c>
      <c r="Z110" s="207">
        <f>SUMIFS('апрель 2023'!$G$4:$G$692,'апрель 2023'!$D$4:$D$692,$B110,'апрель 2023'!$J$4:$J$692,Z$1)</f>
        <v>0</v>
      </c>
      <c r="AA110" s="207">
        <f>SUMIFS('апрель 2023'!$G$4:$G$692,'апрель 2023'!$D$4:$D$692,$B110,'апрель 2023'!$J$4:$J$692,AA$1)</f>
        <v>0</v>
      </c>
      <c r="AB110" s="207">
        <f>SUMIFS('апрель 2023'!$G$4:$G$692,'апрель 2023'!$D$4:$D$692,$B110,'апрель 2023'!$J$4:$J$692,AB$1)</f>
        <v>0</v>
      </c>
      <c r="AC110" s="207">
        <f>SUMIFS('апрель 2023'!$G$4:$G$692,'апрель 2023'!$D$4:$D$692,$B110,'апрель 2023'!$J$4:$J$692,AC$1)</f>
        <v>0</v>
      </c>
      <c r="AD110" s="207">
        <f>SUMIFS('апрель 2023'!$G$4:$G$692,'апрель 2023'!$D$4:$D$692,$B110,'апрель 2023'!$J$4:$J$692,AD$1)</f>
        <v>0</v>
      </c>
      <c r="AE110" s="207">
        <f>SUMIFS('апрель 2023'!$G$4:$G$692,'апрель 2023'!$D$4:$D$692,$B110,'апрель 2023'!$J$4:$J$692,AE$1)</f>
        <v>0</v>
      </c>
      <c r="AF110" s="207">
        <f>SUMIFS('апрель 2023'!$G$4:$G$692,'апрель 2023'!$D$4:$D$692,$B110,'апрель 2023'!$J$4:$J$692,AF$1)</f>
        <v>0</v>
      </c>
      <c r="AG110" s="207">
        <f>SUMIFS('апрель 2023'!$G$4:$G$692,'апрель 2023'!$D$4:$D$692,$B110,'апрель 2023'!$J$4:$J$692,AG$1)</f>
        <v>0</v>
      </c>
      <c r="AH110" s="207">
        <f>SUMIFS('апрель 2023'!$G$4:$G$692,'апрель 2023'!$D$4:$D$692,$B110,'апрель 2023'!$J$4:$J$692,AH$1)</f>
        <v>0</v>
      </c>
      <c r="AI110" s="170">
        <f t="shared" si="2"/>
        <v>0</v>
      </c>
    </row>
    <row r="111" spans="2:35" ht="15" customHeight="1" x14ac:dyDescent="0.25">
      <c r="B111" s="212"/>
      <c r="C111" s="211"/>
      <c r="D111" s="207">
        <f>SUMIFS('апрель 2023'!$G$4:$G$692,'апрель 2023'!$D$4:$D$692,$B111,'апрель 2023'!$J$4:$J$692,D$1)</f>
        <v>0</v>
      </c>
      <c r="E111" s="207">
        <f>SUMIFS('апрель 2023'!$G$4:$G$692,'апрель 2023'!$D$4:$D$692,$B111,'апрель 2023'!$J$4:$J$692,E$1)</f>
        <v>0</v>
      </c>
      <c r="F111" s="207">
        <f>SUMIFS('апрель 2023'!$G$4:$G$692,'апрель 2023'!$D$4:$D$692,$B111,'апрель 2023'!$J$4:$J$692,F$1)</f>
        <v>0</v>
      </c>
      <c r="G111" s="207">
        <f>SUMIFS('апрель 2023'!$G$4:$G$692,'апрель 2023'!$D$4:$D$692,$B111,'апрель 2023'!$J$4:$J$692,G$1)</f>
        <v>0</v>
      </c>
      <c r="H111" s="207">
        <f>SUMIFS('апрель 2023'!$G$4:$G$692,'апрель 2023'!$D$4:$D$692,$B111,'апрель 2023'!$J$4:$J$692,H$1)</f>
        <v>0</v>
      </c>
      <c r="I111" s="207">
        <f>SUMIFS('апрель 2023'!$G$4:$G$692,'апрель 2023'!$D$4:$D$692,$B111,'апрель 2023'!$J$4:$J$692,I$1)</f>
        <v>0</v>
      </c>
      <c r="J111" s="207">
        <f>SUMIFS('апрель 2023'!$G$4:$G$692,'апрель 2023'!$D$4:$D$692,$B111,'апрель 2023'!$J$4:$J$692,J$1)</f>
        <v>0</v>
      </c>
      <c r="K111" s="207">
        <f>SUMIFS('апрель 2023'!$G$4:$G$692,'апрель 2023'!$D$4:$D$692,$B111,'апрель 2023'!$J$4:$J$692,K$1)</f>
        <v>0</v>
      </c>
      <c r="L111" s="207">
        <f>SUMIFS('апрель 2023'!$G$4:$G$692,'апрель 2023'!$D$4:$D$692,$B111,'апрель 2023'!$J$4:$J$692,L$1)</f>
        <v>0</v>
      </c>
      <c r="M111" s="207">
        <f>SUMIFS('апрель 2023'!$G$4:$G$692,'апрель 2023'!$D$4:$D$692,$B111,'апрель 2023'!$J$4:$J$692,M$1)</f>
        <v>0</v>
      </c>
      <c r="N111" s="207">
        <f>SUMIFS('апрель 2023'!$G$4:$G$692,'апрель 2023'!$D$4:$D$692,$B111,'апрель 2023'!$J$4:$J$692,N$1)</f>
        <v>0</v>
      </c>
      <c r="O111" s="207">
        <f>SUMIFS('апрель 2023'!$G$4:$G$692,'апрель 2023'!$D$4:$D$692,$B111,'апрель 2023'!$J$4:$J$692,O$1)</f>
        <v>0</v>
      </c>
      <c r="P111" s="207">
        <f>SUMIFS('апрель 2023'!$G$4:$G$692,'апрель 2023'!$D$4:$D$692,$B111,'апрель 2023'!$J$4:$J$692,P$1)</f>
        <v>0</v>
      </c>
      <c r="Q111" s="207">
        <f>SUMIFS('апрель 2023'!$G$4:$G$692,'апрель 2023'!$D$4:$D$692,$B111,'апрель 2023'!$J$4:$J$692,Q$1)</f>
        <v>0</v>
      </c>
      <c r="R111" s="207">
        <f>SUMIFS('апрель 2023'!$G$4:$G$692,'апрель 2023'!$D$4:$D$692,$B111,'апрель 2023'!$J$4:$J$692,R$1)</f>
        <v>0</v>
      </c>
      <c r="S111" s="207">
        <f>SUMIFS('апрель 2023'!$G$4:$G$692,'апрель 2023'!$D$4:$D$692,$B111,'апрель 2023'!$J$4:$J$692,S$1)</f>
        <v>0</v>
      </c>
      <c r="T111" s="207">
        <f>SUMIFS('апрель 2023'!$G$4:$G$692,'апрель 2023'!$D$4:$D$692,$B111,'апрель 2023'!$J$4:$J$692,T$1)</f>
        <v>0</v>
      </c>
      <c r="U111" s="207">
        <f>SUMIFS('апрель 2023'!$G$4:$G$692,'апрель 2023'!$D$4:$D$692,$B111,'апрель 2023'!$J$4:$J$692,U$1)</f>
        <v>0</v>
      </c>
      <c r="V111" s="207">
        <f>SUMIFS('апрель 2023'!$G$4:$G$692,'апрель 2023'!$D$4:$D$692,$B111,'апрель 2023'!$J$4:$J$692,V$1)</f>
        <v>0</v>
      </c>
      <c r="W111" s="207">
        <f>SUMIFS('апрель 2023'!$G$4:$G$692,'апрель 2023'!$D$4:$D$692,$B111,'апрель 2023'!$J$4:$J$692,W$1)</f>
        <v>0</v>
      </c>
      <c r="X111" s="207">
        <f>SUMIFS('апрель 2023'!$G$4:$G$692,'апрель 2023'!$D$4:$D$692,$B111,'апрель 2023'!$J$4:$J$692,X$1)</f>
        <v>0</v>
      </c>
      <c r="Y111" s="207">
        <f>SUMIFS('апрель 2023'!$G$4:$G$692,'апрель 2023'!$D$4:$D$692,$B111,'апрель 2023'!$J$4:$J$692,Y$1)</f>
        <v>0</v>
      </c>
      <c r="Z111" s="207">
        <f>SUMIFS('апрель 2023'!$G$4:$G$692,'апрель 2023'!$D$4:$D$692,$B111,'апрель 2023'!$J$4:$J$692,Z$1)</f>
        <v>0</v>
      </c>
      <c r="AA111" s="207">
        <f>SUMIFS('апрель 2023'!$G$4:$G$692,'апрель 2023'!$D$4:$D$692,$B111,'апрель 2023'!$J$4:$J$692,AA$1)</f>
        <v>0</v>
      </c>
      <c r="AB111" s="207">
        <f>SUMIFS('апрель 2023'!$G$4:$G$692,'апрель 2023'!$D$4:$D$692,$B111,'апрель 2023'!$J$4:$J$692,AB$1)</f>
        <v>0</v>
      </c>
      <c r="AC111" s="207">
        <f>SUMIFS('апрель 2023'!$G$4:$G$692,'апрель 2023'!$D$4:$D$692,$B111,'апрель 2023'!$J$4:$J$692,AC$1)</f>
        <v>0</v>
      </c>
      <c r="AD111" s="207">
        <f>SUMIFS('апрель 2023'!$G$4:$G$692,'апрель 2023'!$D$4:$D$692,$B111,'апрель 2023'!$J$4:$J$692,AD$1)</f>
        <v>0</v>
      </c>
      <c r="AE111" s="207">
        <f>SUMIFS('апрель 2023'!$G$4:$G$692,'апрель 2023'!$D$4:$D$692,$B111,'апрель 2023'!$J$4:$J$692,AE$1)</f>
        <v>0</v>
      </c>
      <c r="AF111" s="207">
        <f>SUMIFS('апрель 2023'!$G$4:$G$692,'апрель 2023'!$D$4:$D$692,$B111,'апрель 2023'!$J$4:$J$692,AF$1)</f>
        <v>0</v>
      </c>
      <c r="AG111" s="207">
        <f>SUMIFS('апрель 2023'!$G$4:$G$692,'апрель 2023'!$D$4:$D$692,$B111,'апрель 2023'!$J$4:$J$692,AG$1)</f>
        <v>0</v>
      </c>
      <c r="AH111" s="207">
        <f>SUMIFS('апрель 2023'!$G$4:$G$692,'апрель 2023'!$D$4:$D$692,$B111,'апрель 2023'!$J$4:$J$692,AH$1)</f>
        <v>0</v>
      </c>
      <c r="AI111" s="170">
        <f t="shared" si="2"/>
        <v>0</v>
      </c>
    </row>
    <row r="112" spans="2:35" ht="15" customHeight="1" x14ac:dyDescent="0.25">
      <c r="B112" s="212"/>
      <c r="C112" s="211"/>
      <c r="D112" s="207">
        <f>SUMIFS('апрель 2023'!$G$4:$G$692,'апрель 2023'!$D$4:$D$692,$B112,'апрель 2023'!$J$4:$J$692,D$1)</f>
        <v>0</v>
      </c>
      <c r="E112" s="207">
        <f>SUMIFS('апрель 2023'!$G$4:$G$692,'апрель 2023'!$D$4:$D$692,$B112,'апрель 2023'!$J$4:$J$692,E$1)</f>
        <v>0</v>
      </c>
      <c r="F112" s="207">
        <f>SUMIFS('апрель 2023'!$G$4:$G$692,'апрель 2023'!$D$4:$D$692,$B112,'апрель 2023'!$J$4:$J$692,F$1)</f>
        <v>0</v>
      </c>
      <c r="G112" s="207">
        <f>SUMIFS('апрель 2023'!$G$4:$G$692,'апрель 2023'!$D$4:$D$692,$B112,'апрель 2023'!$J$4:$J$692,G$1)</f>
        <v>0</v>
      </c>
      <c r="H112" s="207">
        <f>SUMIFS('апрель 2023'!$G$4:$G$692,'апрель 2023'!$D$4:$D$692,$B112,'апрель 2023'!$J$4:$J$692,H$1)</f>
        <v>0</v>
      </c>
      <c r="I112" s="207">
        <f>SUMIFS('апрель 2023'!$G$4:$G$692,'апрель 2023'!$D$4:$D$692,$B112,'апрель 2023'!$J$4:$J$692,I$1)</f>
        <v>0</v>
      </c>
      <c r="J112" s="207">
        <f>SUMIFS('апрель 2023'!$G$4:$G$692,'апрель 2023'!$D$4:$D$692,$B112,'апрель 2023'!$J$4:$J$692,J$1)</f>
        <v>0</v>
      </c>
      <c r="K112" s="207">
        <f>SUMIFS('апрель 2023'!$G$4:$G$692,'апрель 2023'!$D$4:$D$692,$B112,'апрель 2023'!$J$4:$J$692,K$1)</f>
        <v>0</v>
      </c>
      <c r="L112" s="207">
        <f>SUMIFS('апрель 2023'!$G$4:$G$692,'апрель 2023'!$D$4:$D$692,$B112,'апрель 2023'!$J$4:$J$692,L$1)</f>
        <v>0</v>
      </c>
      <c r="M112" s="207">
        <f>SUMIFS('апрель 2023'!$G$4:$G$692,'апрель 2023'!$D$4:$D$692,$B112,'апрель 2023'!$J$4:$J$692,M$1)</f>
        <v>0</v>
      </c>
      <c r="N112" s="207">
        <f>SUMIFS('апрель 2023'!$G$4:$G$692,'апрель 2023'!$D$4:$D$692,$B112,'апрель 2023'!$J$4:$J$692,N$1)</f>
        <v>0</v>
      </c>
      <c r="O112" s="207">
        <f>SUMIFS('апрель 2023'!$G$4:$G$692,'апрель 2023'!$D$4:$D$692,$B112,'апрель 2023'!$J$4:$J$692,O$1)</f>
        <v>0</v>
      </c>
      <c r="P112" s="207">
        <f>SUMIFS('апрель 2023'!$G$4:$G$692,'апрель 2023'!$D$4:$D$692,$B112,'апрель 2023'!$J$4:$J$692,P$1)</f>
        <v>0</v>
      </c>
      <c r="Q112" s="207">
        <f>SUMIFS('апрель 2023'!$G$4:$G$692,'апрель 2023'!$D$4:$D$692,$B112,'апрель 2023'!$J$4:$J$692,Q$1)</f>
        <v>0</v>
      </c>
      <c r="R112" s="207">
        <f>SUMIFS('апрель 2023'!$G$4:$G$692,'апрель 2023'!$D$4:$D$692,$B112,'апрель 2023'!$J$4:$J$692,R$1)</f>
        <v>0</v>
      </c>
      <c r="S112" s="207">
        <f>SUMIFS('апрель 2023'!$G$4:$G$692,'апрель 2023'!$D$4:$D$692,$B112,'апрель 2023'!$J$4:$J$692,S$1)</f>
        <v>0</v>
      </c>
      <c r="T112" s="207">
        <f>SUMIFS('апрель 2023'!$G$4:$G$692,'апрель 2023'!$D$4:$D$692,$B112,'апрель 2023'!$J$4:$J$692,T$1)</f>
        <v>0</v>
      </c>
      <c r="U112" s="207">
        <f>SUMIFS('апрель 2023'!$G$4:$G$692,'апрель 2023'!$D$4:$D$692,$B112,'апрель 2023'!$J$4:$J$692,U$1)</f>
        <v>0</v>
      </c>
      <c r="V112" s="207">
        <f>SUMIFS('апрель 2023'!$G$4:$G$692,'апрель 2023'!$D$4:$D$692,$B112,'апрель 2023'!$J$4:$J$692,V$1)</f>
        <v>0</v>
      </c>
      <c r="W112" s="207">
        <f>SUMIFS('апрель 2023'!$G$4:$G$692,'апрель 2023'!$D$4:$D$692,$B112,'апрель 2023'!$J$4:$J$692,W$1)</f>
        <v>0</v>
      </c>
      <c r="X112" s="207">
        <f>SUMIFS('апрель 2023'!$G$4:$G$692,'апрель 2023'!$D$4:$D$692,$B112,'апрель 2023'!$J$4:$J$692,X$1)</f>
        <v>0</v>
      </c>
      <c r="Y112" s="207">
        <f>SUMIFS('апрель 2023'!$G$4:$G$692,'апрель 2023'!$D$4:$D$692,$B112,'апрель 2023'!$J$4:$J$692,Y$1)</f>
        <v>0</v>
      </c>
      <c r="Z112" s="207">
        <f>SUMIFS('апрель 2023'!$G$4:$G$692,'апрель 2023'!$D$4:$D$692,$B112,'апрель 2023'!$J$4:$J$692,Z$1)</f>
        <v>0</v>
      </c>
      <c r="AA112" s="207">
        <f>SUMIFS('апрель 2023'!$G$4:$G$692,'апрель 2023'!$D$4:$D$692,$B112,'апрель 2023'!$J$4:$J$692,AA$1)</f>
        <v>0</v>
      </c>
      <c r="AB112" s="207">
        <f>SUMIFS('апрель 2023'!$G$4:$G$692,'апрель 2023'!$D$4:$D$692,$B112,'апрель 2023'!$J$4:$J$692,AB$1)</f>
        <v>0</v>
      </c>
      <c r="AC112" s="207">
        <f>SUMIFS('апрель 2023'!$G$4:$G$692,'апрель 2023'!$D$4:$D$692,$B112,'апрель 2023'!$J$4:$J$692,AC$1)</f>
        <v>0</v>
      </c>
      <c r="AD112" s="207">
        <f>SUMIFS('апрель 2023'!$G$4:$G$692,'апрель 2023'!$D$4:$D$692,$B112,'апрель 2023'!$J$4:$J$692,AD$1)</f>
        <v>0</v>
      </c>
      <c r="AE112" s="207">
        <f>SUMIFS('апрель 2023'!$G$4:$G$692,'апрель 2023'!$D$4:$D$692,$B112,'апрель 2023'!$J$4:$J$692,AE$1)</f>
        <v>0</v>
      </c>
      <c r="AF112" s="207">
        <f>SUMIFS('апрель 2023'!$G$4:$G$692,'апрель 2023'!$D$4:$D$692,$B112,'апрель 2023'!$J$4:$J$692,AF$1)</f>
        <v>0</v>
      </c>
      <c r="AG112" s="207">
        <f>SUMIFS('апрель 2023'!$G$4:$G$692,'апрель 2023'!$D$4:$D$692,$B112,'апрель 2023'!$J$4:$J$692,AG$1)</f>
        <v>0</v>
      </c>
      <c r="AH112" s="207">
        <f>SUMIFS('апрель 2023'!$G$4:$G$692,'апрель 2023'!$D$4:$D$692,$B112,'апрель 2023'!$J$4:$J$692,AH$1)</f>
        <v>0</v>
      </c>
      <c r="AI112" s="170">
        <f t="shared" si="2"/>
        <v>0</v>
      </c>
    </row>
    <row r="113" spans="2:35" ht="15" customHeight="1" x14ac:dyDescent="0.25">
      <c r="B113" s="212"/>
      <c r="C113" s="211"/>
      <c r="D113" s="207">
        <f>SUMIFS('апрель 2023'!$G$4:$G$692,'апрель 2023'!$D$4:$D$692,$B113,'апрель 2023'!$J$4:$J$692,D$1)</f>
        <v>0</v>
      </c>
      <c r="E113" s="207">
        <f>SUMIFS('апрель 2023'!$G$4:$G$692,'апрель 2023'!$D$4:$D$692,$B113,'апрель 2023'!$J$4:$J$692,E$1)</f>
        <v>0</v>
      </c>
      <c r="F113" s="207">
        <f>SUMIFS('апрель 2023'!$G$4:$G$692,'апрель 2023'!$D$4:$D$692,$B113,'апрель 2023'!$J$4:$J$692,F$1)</f>
        <v>0</v>
      </c>
      <c r="G113" s="207">
        <f>SUMIFS('апрель 2023'!$G$4:$G$692,'апрель 2023'!$D$4:$D$692,$B113,'апрель 2023'!$J$4:$J$692,G$1)</f>
        <v>0</v>
      </c>
      <c r="H113" s="207">
        <f>SUMIFS('апрель 2023'!$G$4:$G$692,'апрель 2023'!$D$4:$D$692,$B113,'апрель 2023'!$J$4:$J$692,H$1)</f>
        <v>0</v>
      </c>
      <c r="I113" s="207">
        <f>SUMIFS('апрель 2023'!$G$4:$G$692,'апрель 2023'!$D$4:$D$692,$B113,'апрель 2023'!$J$4:$J$692,I$1)</f>
        <v>0</v>
      </c>
      <c r="J113" s="207">
        <f>SUMIFS('апрель 2023'!$G$4:$G$692,'апрель 2023'!$D$4:$D$692,$B113,'апрель 2023'!$J$4:$J$692,J$1)</f>
        <v>0</v>
      </c>
      <c r="K113" s="207">
        <f>SUMIFS('апрель 2023'!$G$4:$G$692,'апрель 2023'!$D$4:$D$692,$B113,'апрель 2023'!$J$4:$J$692,K$1)</f>
        <v>0</v>
      </c>
      <c r="L113" s="207">
        <f>SUMIFS('апрель 2023'!$G$4:$G$692,'апрель 2023'!$D$4:$D$692,$B113,'апрель 2023'!$J$4:$J$692,L$1)</f>
        <v>0</v>
      </c>
      <c r="M113" s="207">
        <f>SUMIFS('апрель 2023'!$G$4:$G$692,'апрель 2023'!$D$4:$D$692,$B113,'апрель 2023'!$J$4:$J$692,M$1)</f>
        <v>0</v>
      </c>
      <c r="N113" s="207">
        <f>SUMIFS('апрель 2023'!$G$4:$G$692,'апрель 2023'!$D$4:$D$692,$B113,'апрель 2023'!$J$4:$J$692,N$1)</f>
        <v>0</v>
      </c>
      <c r="O113" s="207">
        <f>SUMIFS('апрель 2023'!$G$4:$G$692,'апрель 2023'!$D$4:$D$692,$B113,'апрель 2023'!$J$4:$J$692,O$1)</f>
        <v>0</v>
      </c>
      <c r="P113" s="207">
        <f>SUMIFS('апрель 2023'!$G$4:$G$692,'апрель 2023'!$D$4:$D$692,$B113,'апрель 2023'!$J$4:$J$692,P$1)</f>
        <v>0</v>
      </c>
      <c r="Q113" s="207">
        <f>SUMIFS('апрель 2023'!$G$4:$G$692,'апрель 2023'!$D$4:$D$692,$B113,'апрель 2023'!$J$4:$J$692,Q$1)</f>
        <v>0</v>
      </c>
      <c r="R113" s="207">
        <f>SUMIFS('апрель 2023'!$G$4:$G$692,'апрель 2023'!$D$4:$D$692,$B113,'апрель 2023'!$J$4:$J$692,R$1)</f>
        <v>0</v>
      </c>
      <c r="S113" s="207">
        <f>SUMIFS('апрель 2023'!$G$4:$G$692,'апрель 2023'!$D$4:$D$692,$B113,'апрель 2023'!$J$4:$J$692,S$1)</f>
        <v>0</v>
      </c>
      <c r="T113" s="207">
        <f>SUMIFS('апрель 2023'!$G$4:$G$692,'апрель 2023'!$D$4:$D$692,$B113,'апрель 2023'!$J$4:$J$692,T$1)</f>
        <v>0</v>
      </c>
      <c r="U113" s="207">
        <f>SUMIFS('апрель 2023'!$G$4:$G$692,'апрель 2023'!$D$4:$D$692,$B113,'апрель 2023'!$J$4:$J$692,U$1)</f>
        <v>0</v>
      </c>
      <c r="V113" s="207">
        <f>SUMIFS('апрель 2023'!$G$4:$G$692,'апрель 2023'!$D$4:$D$692,$B113,'апрель 2023'!$J$4:$J$692,V$1)</f>
        <v>0</v>
      </c>
      <c r="W113" s="207">
        <f>SUMIFS('апрель 2023'!$G$4:$G$692,'апрель 2023'!$D$4:$D$692,$B113,'апрель 2023'!$J$4:$J$692,W$1)</f>
        <v>0</v>
      </c>
      <c r="X113" s="207">
        <f>SUMIFS('апрель 2023'!$G$4:$G$692,'апрель 2023'!$D$4:$D$692,$B113,'апрель 2023'!$J$4:$J$692,X$1)</f>
        <v>0</v>
      </c>
      <c r="Y113" s="207">
        <f>SUMIFS('апрель 2023'!$G$4:$G$692,'апрель 2023'!$D$4:$D$692,$B113,'апрель 2023'!$J$4:$J$692,Y$1)</f>
        <v>0</v>
      </c>
      <c r="Z113" s="207">
        <f>SUMIFS('апрель 2023'!$G$4:$G$692,'апрель 2023'!$D$4:$D$692,$B113,'апрель 2023'!$J$4:$J$692,Z$1)</f>
        <v>0</v>
      </c>
      <c r="AA113" s="207">
        <f>SUMIFS('апрель 2023'!$G$4:$G$692,'апрель 2023'!$D$4:$D$692,$B113,'апрель 2023'!$J$4:$J$692,AA$1)</f>
        <v>0</v>
      </c>
      <c r="AB113" s="207">
        <f>SUMIFS('апрель 2023'!$G$4:$G$692,'апрель 2023'!$D$4:$D$692,$B113,'апрель 2023'!$J$4:$J$692,AB$1)</f>
        <v>0</v>
      </c>
      <c r="AC113" s="207">
        <f>SUMIFS('апрель 2023'!$G$4:$G$692,'апрель 2023'!$D$4:$D$692,$B113,'апрель 2023'!$J$4:$J$692,AC$1)</f>
        <v>0</v>
      </c>
      <c r="AD113" s="207">
        <f>SUMIFS('апрель 2023'!$G$4:$G$692,'апрель 2023'!$D$4:$D$692,$B113,'апрель 2023'!$J$4:$J$692,AD$1)</f>
        <v>0</v>
      </c>
      <c r="AE113" s="207">
        <f>SUMIFS('апрель 2023'!$G$4:$G$692,'апрель 2023'!$D$4:$D$692,$B113,'апрель 2023'!$J$4:$J$692,AE$1)</f>
        <v>0</v>
      </c>
      <c r="AF113" s="207">
        <f>SUMIFS('апрель 2023'!$G$4:$G$692,'апрель 2023'!$D$4:$D$692,$B113,'апрель 2023'!$J$4:$J$692,AF$1)</f>
        <v>0</v>
      </c>
      <c r="AG113" s="207">
        <f>SUMIFS('апрель 2023'!$G$4:$G$692,'апрель 2023'!$D$4:$D$692,$B113,'апрель 2023'!$J$4:$J$692,AG$1)</f>
        <v>0</v>
      </c>
      <c r="AH113" s="207">
        <f>SUMIFS('апрель 2023'!$G$4:$G$692,'апрель 2023'!$D$4:$D$692,$B113,'апрель 2023'!$J$4:$J$692,AH$1)</f>
        <v>0</v>
      </c>
      <c r="AI113" s="170">
        <f t="shared" si="2"/>
        <v>0</v>
      </c>
    </row>
    <row r="114" spans="2:35" ht="15" hidden="1" customHeight="1" x14ac:dyDescent="0.25">
      <c r="B114" s="212"/>
      <c r="C114" s="211"/>
      <c r="D114" s="207">
        <f>SUMIFS('апрель 2023'!$G$4:$G$692,'апрель 2023'!$D$4:$D$692,$B114,'апрель 2023'!$J$4:$J$692,D$1)</f>
        <v>0</v>
      </c>
      <c r="E114" s="207">
        <f>SUMIFS('апрель 2023'!$G$4:$G$692,'апрель 2023'!$D$4:$D$692,$B114,'апрель 2023'!$J$4:$J$692,E$1)</f>
        <v>0</v>
      </c>
      <c r="F114" s="207">
        <f>SUMIFS('апрель 2023'!$G$4:$G$692,'апрель 2023'!$D$4:$D$692,$B114,'апрель 2023'!$J$4:$J$692,F$1)</f>
        <v>0</v>
      </c>
      <c r="G114" s="207">
        <f>SUMIFS('апрель 2023'!$G$4:$G$692,'апрель 2023'!$D$4:$D$692,$B114,'апрель 2023'!$J$4:$J$692,G$1)</f>
        <v>0</v>
      </c>
      <c r="H114" s="207">
        <f>SUMIFS('апрель 2023'!$G$4:$G$692,'апрель 2023'!$D$4:$D$692,$B114,'апрель 2023'!$J$4:$J$692,H$1)</f>
        <v>0</v>
      </c>
      <c r="I114" s="207">
        <f>SUMIFS('апрель 2023'!$G$4:$G$692,'апрель 2023'!$D$4:$D$692,$B114,'апрель 2023'!$J$4:$J$692,I$1)</f>
        <v>0</v>
      </c>
      <c r="J114" s="207">
        <f>SUMIFS('апрель 2023'!$G$4:$G$692,'апрель 2023'!$D$4:$D$692,$B114,'апрель 2023'!$J$4:$J$692,J$1)</f>
        <v>0</v>
      </c>
      <c r="K114" s="207">
        <f>SUMIFS('апрель 2023'!$G$4:$G$692,'апрель 2023'!$D$4:$D$692,$B114,'апрель 2023'!$J$4:$J$692,K$1)</f>
        <v>0</v>
      </c>
      <c r="L114" s="207">
        <f>SUMIFS('апрель 2023'!$G$4:$G$692,'апрель 2023'!$D$4:$D$692,$B114,'апрель 2023'!$J$4:$J$692,L$1)</f>
        <v>0</v>
      </c>
      <c r="M114" s="207">
        <f>SUMIFS('апрель 2023'!$G$4:$G$692,'апрель 2023'!$D$4:$D$692,$B114,'апрель 2023'!$J$4:$J$692,M$1)</f>
        <v>0</v>
      </c>
      <c r="N114" s="207">
        <f>SUMIFS('апрель 2023'!$G$4:$G$692,'апрель 2023'!$D$4:$D$692,$B114,'апрель 2023'!$J$4:$J$692,N$1)</f>
        <v>0</v>
      </c>
      <c r="O114" s="207">
        <f>SUMIFS('апрель 2023'!$G$4:$G$692,'апрель 2023'!$D$4:$D$692,$B114,'апрель 2023'!$J$4:$J$692,O$1)</f>
        <v>0</v>
      </c>
      <c r="P114" s="207">
        <f>SUMIFS('апрель 2023'!$G$4:$G$692,'апрель 2023'!$D$4:$D$692,$B114,'апрель 2023'!$J$4:$J$692,P$1)</f>
        <v>0</v>
      </c>
      <c r="Q114" s="207">
        <f>SUMIFS('апрель 2023'!$G$4:$G$692,'апрель 2023'!$D$4:$D$692,$B114,'апрель 2023'!$J$4:$J$692,Q$1)</f>
        <v>0</v>
      </c>
      <c r="R114" s="207">
        <f>SUMIFS('апрель 2023'!$G$4:$G$692,'апрель 2023'!$D$4:$D$692,$B114,'апрель 2023'!$J$4:$J$692,R$1)</f>
        <v>0</v>
      </c>
      <c r="S114" s="207">
        <f>SUMIFS('апрель 2023'!$G$4:$G$692,'апрель 2023'!$D$4:$D$692,$B114,'апрель 2023'!$J$4:$J$692,S$1)</f>
        <v>0</v>
      </c>
      <c r="T114" s="207">
        <f>SUMIFS('апрель 2023'!$G$4:$G$692,'апрель 2023'!$D$4:$D$692,$B114,'апрель 2023'!$J$4:$J$692,T$1)</f>
        <v>0</v>
      </c>
      <c r="U114" s="207">
        <f>SUMIFS('апрель 2023'!$G$4:$G$692,'апрель 2023'!$D$4:$D$692,$B114,'апрель 2023'!$J$4:$J$692,U$1)</f>
        <v>0</v>
      </c>
      <c r="V114" s="207">
        <f>SUMIFS('апрель 2023'!$G$4:$G$692,'апрель 2023'!$D$4:$D$692,$B114,'апрель 2023'!$J$4:$J$692,V$1)</f>
        <v>0</v>
      </c>
      <c r="W114" s="207">
        <f>SUMIFS('апрель 2023'!$G$4:$G$692,'апрель 2023'!$D$4:$D$692,$B114,'апрель 2023'!$J$4:$J$692,W$1)</f>
        <v>0</v>
      </c>
      <c r="X114" s="207">
        <f>SUMIFS('апрель 2023'!$G$4:$G$692,'апрель 2023'!$D$4:$D$692,$B114,'апрель 2023'!$J$4:$J$692,X$1)</f>
        <v>0</v>
      </c>
      <c r="Y114" s="207">
        <f>SUMIFS('апрель 2023'!$G$4:$G$692,'апрель 2023'!$D$4:$D$692,$B114,'апрель 2023'!$J$4:$J$692,Y$1)</f>
        <v>0</v>
      </c>
      <c r="Z114" s="207">
        <f>SUMIFS('апрель 2023'!$G$4:$G$692,'апрель 2023'!$D$4:$D$692,$B114,'апрель 2023'!$J$4:$J$692,Z$1)</f>
        <v>0</v>
      </c>
      <c r="AA114" s="207">
        <f>SUMIFS('апрель 2023'!$G$4:$G$692,'апрель 2023'!$D$4:$D$692,$B114,'апрель 2023'!$J$4:$J$692,AA$1)</f>
        <v>0</v>
      </c>
      <c r="AB114" s="207">
        <f>SUMIFS('апрель 2023'!$G$4:$G$692,'апрель 2023'!$D$4:$D$692,$B114,'апрель 2023'!$J$4:$J$692,AB$1)</f>
        <v>0</v>
      </c>
      <c r="AC114" s="207">
        <f>SUMIFS('апрель 2023'!$G$4:$G$692,'апрель 2023'!$D$4:$D$692,$B114,'апрель 2023'!$J$4:$J$692,AC$1)</f>
        <v>0</v>
      </c>
      <c r="AD114" s="207">
        <f>SUMIFS('апрель 2023'!$G$4:$G$692,'апрель 2023'!$D$4:$D$692,$B114,'апрель 2023'!$J$4:$J$692,AD$1)</f>
        <v>0</v>
      </c>
      <c r="AE114" s="207">
        <f>SUMIFS('апрель 2023'!$G$4:$G$692,'апрель 2023'!$D$4:$D$692,$B114,'апрель 2023'!$J$4:$J$692,AE$1)</f>
        <v>0</v>
      </c>
      <c r="AF114" s="207">
        <f>SUMIFS('апрель 2023'!$G$4:$G$692,'апрель 2023'!$D$4:$D$692,$B114,'апрель 2023'!$J$4:$J$692,AF$1)</f>
        <v>0</v>
      </c>
      <c r="AG114" s="207">
        <f>SUMIFS('апрель 2023'!$G$4:$G$692,'апрель 2023'!$D$4:$D$692,$B114,'апрель 2023'!$J$4:$J$692,AG$1)</f>
        <v>0</v>
      </c>
      <c r="AH114" s="207">
        <f>SUMIFS('апрель 2023'!$G$4:$G$692,'апрель 2023'!$D$4:$D$692,$B114,'апрель 2023'!$J$4:$J$692,AH$1)</f>
        <v>0</v>
      </c>
      <c r="AI114" s="220">
        <f t="shared" si="2"/>
        <v>0</v>
      </c>
    </row>
    <row r="115" spans="2:35" ht="15" hidden="1" customHeight="1" x14ac:dyDescent="0.25">
      <c r="B115" s="212"/>
      <c r="C115" s="211"/>
      <c r="D115" s="207">
        <f>SUMIFS('апрель 2023'!$G$4:$G$692,'апрель 2023'!$D$4:$D$692,$B115,'апрель 2023'!$J$4:$J$692,D$1)</f>
        <v>0</v>
      </c>
      <c r="E115" s="207">
        <f>SUMIFS('апрель 2023'!$G$4:$G$692,'апрель 2023'!$D$4:$D$692,$B115,'апрель 2023'!$J$4:$J$692,E$1)</f>
        <v>0</v>
      </c>
      <c r="F115" s="207">
        <f>SUMIFS('апрель 2023'!$G$4:$G$692,'апрель 2023'!$D$4:$D$692,$B115,'апрель 2023'!$J$4:$J$692,F$1)</f>
        <v>0</v>
      </c>
      <c r="G115" s="207">
        <f>SUMIFS('апрель 2023'!$G$4:$G$692,'апрель 2023'!$D$4:$D$692,$B115,'апрель 2023'!$J$4:$J$692,G$1)</f>
        <v>0</v>
      </c>
      <c r="H115" s="207">
        <f>SUMIFS('апрель 2023'!$G$4:$G$692,'апрель 2023'!$D$4:$D$692,$B115,'апрель 2023'!$J$4:$J$692,H$1)</f>
        <v>0</v>
      </c>
      <c r="I115" s="207">
        <f>SUMIFS('апрель 2023'!$G$4:$G$692,'апрель 2023'!$D$4:$D$692,$B115,'апрель 2023'!$J$4:$J$692,I$1)</f>
        <v>0</v>
      </c>
      <c r="J115" s="207">
        <f>SUMIFS('апрель 2023'!$G$4:$G$692,'апрель 2023'!$D$4:$D$692,$B115,'апрель 2023'!$J$4:$J$692,J$1)</f>
        <v>0</v>
      </c>
      <c r="K115" s="207">
        <f>SUMIFS('апрель 2023'!$G$4:$G$692,'апрель 2023'!$D$4:$D$692,$B115,'апрель 2023'!$J$4:$J$692,K$1)</f>
        <v>0</v>
      </c>
      <c r="L115" s="207">
        <f>SUMIFS('апрель 2023'!$G$4:$G$692,'апрель 2023'!$D$4:$D$692,$B115,'апрель 2023'!$J$4:$J$692,L$1)</f>
        <v>0</v>
      </c>
      <c r="M115" s="207">
        <f>SUMIFS('апрель 2023'!$G$4:$G$692,'апрель 2023'!$D$4:$D$692,$B115,'апрель 2023'!$J$4:$J$692,M$1)</f>
        <v>0</v>
      </c>
      <c r="N115" s="207">
        <f>SUMIFS('апрель 2023'!$G$4:$G$692,'апрель 2023'!$D$4:$D$692,$B115,'апрель 2023'!$J$4:$J$692,N$1)</f>
        <v>0</v>
      </c>
      <c r="O115" s="207">
        <f>SUMIFS('апрель 2023'!$G$4:$G$692,'апрель 2023'!$D$4:$D$692,$B115,'апрель 2023'!$J$4:$J$692,O$1)</f>
        <v>0</v>
      </c>
      <c r="P115" s="207">
        <f>SUMIFS('апрель 2023'!$G$4:$G$692,'апрель 2023'!$D$4:$D$692,$B115,'апрель 2023'!$J$4:$J$692,P$1)</f>
        <v>0</v>
      </c>
      <c r="Q115" s="207">
        <f>SUMIFS('апрель 2023'!$G$4:$G$692,'апрель 2023'!$D$4:$D$692,$B115,'апрель 2023'!$J$4:$J$692,Q$1)</f>
        <v>0</v>
      </c>
      <c r="R115" s="207">
        <f>SUMIFS('апрель 2023'!$G$4:$G$692,'апрель 2023'!$D$4:$D$692,$B115,'апрель 2023'!$J$4:$J$692,R$1)</f>
        <v>0</v>
      </c>
      <c r="S115" s="207">
        <f>SUMIFS('апрель 2023'!$G$4:$G$692,'апрель 2023'!$D$4:$D$692,$B115,'апрель 2023'!$J$4:$J$692,S$1)</f>
        <v>0</v>
      </c>
      <c r="T115" s="207">
        <f>SUMIFS('апрель 2023'!$G$4:$G$692,'апрель 2023'!$D$4:$D$692,$B115,'апрель 2023'!$J$4:$J$692,T$1)</f>
        <v>0</v>
      </c>
      <c r="U115" s="207">
        <f>SUMIFS('апрель 2023'!$G$4:$G$692,'апрель 2023'!$D$4:$D$692,$B115,'апрель 2023'!$J$4:$J$692,U$1)</f>
        <v>0</v>
      </c>
      <c r="V115" s="207">
        <f>SUMIFS('апрель 2023'!$G$4:$G$692,'апрель 2023'!$D$4:$D$692,$B115,'апрель 2023'!$J$4:$J$692,V$1)</f>
        <v>0</v>
      </c>
      <c r="W115" s="207">
        <f>SUMIFS('апрель 2023'!$G$4:$G$692,'апрель 2023'!$D$4:$D$692,$B115,'апрель 2023'!$J$4:$J$692,W$1)</f>
        <v>0</v>
      </c>
      <c r="X115" s="207">
        <f>SUMIFS('апрель 2023'!$G$4:$G$692,'апрель 2023'!$D$4:$D$692,$B115,'апрель 2023'!$J$4:$J$692,X$1)</f>
        <v>0</v>
      </c>
      <c r="Y115" s="207">
        <f>SUMIFS('апрель 2023'!$G$4:$G$692,'апрель 2023'!$D$4:$D$692,$B115,'апрель 2023'!$J$4:$J$692,Y$1)</f>
        <v>0</v>
      </c>
      <c r="Z115" s="207">
        <f>SUMIFS('апрель 2023'!$G$4:$G$692,'апрель 2023'!$D$4:$D$692,$B115,'апрель 2023'!$J$4:$J$692,Z$1)</f>
        <v>0</v>
      </c>
      <c r="AA115" s="207">
        <f>SUMIFS('апрель 2023'!$G$4:$G$692,'апрель 2023'!$D$4:$D$692,$B115,'апрель 2023'!$J$4:$J$692,AA$1)</f>
        <v>0</v>
      </c>
      <c r="AB115" s="207">
        <f>SUMIFS('апрель 2023'!$G$4:$G$692,'апрель 2023'!$D$4:$D$692,$B115,'апрель 2023'!$J$4:$J$692,AB$1)</f>
        <v>0</v>
      </c>
      <c r="AC115" s="207">
        <f>SUMIFS('апрель 2023'!$G$4:$G$692,'апрель 2023'!$D$4:$D$692,$B115,'апрель 2023'!$J$4:$J$692,AC$1)</f>
        <v>0</v>
      </c>
      <c r="AD115" s="207">
        <f>SUMIFS('апрель 2023'!$G$4:$G$692,'апрель 2023'!$D$4:$D$692,$B115,'апрель 2023'!$J$4:$J$692,AD$1)</f>
        <v>0</v>
      </c>
      <c r="AE115" s="207">
        <f>SUMIFS('апрель 2023'!$G$4:$G$692,'апрель 2023'!$D$4:$D$692,$B115,'апрель 2023'!$J$4:$J$692,AE$1)</f>
        <v>0</v>
      </c>
      <c r="AF115" s="207">
        <f>SUMIFS('апрель 2023'!$G$4:$G$692,'апрель 2023'!$D$4:$D$692,$B115,'апрель 2023'!$J$4:$J$692,AF$1)</f>
        <v>0</v>
      </c>
      <c r="AG115" s="207">
        <f>SUMIFS('апрель 2023'!$G$4:$G$692,'апрель 2023'!$D$4:$D$692,$B115,'апрель 2023'!$J$4:$J$692,AG$1)</f>
        <v>0</v>
      </c>
      <c r="AH115" s="207">
        <f>SUMIFS('апрель 2023'!$G$4:$G$692,'апрель 2023'!$D$4:$D$692,$B115,'апрель 2023'!$J$4:$J$692,AH$1)</f>
        <v>0</v>
      </c>
      <c r="AI115" s="220">
        <f t="shared" si="2"/>
        <v>0</v>
      </c>
    </row>
    <row r="116" spans="2:35" ht="15" hidden="1" customHeight="1" x14ac:dyDescent="0.25">
      <c r="B116" s="212"/>
      <c r="C116" s="211"/>
      <c r="D116" s="207">
        <f>SUMIFS('апрель 2023'!$G$4:$G$692,'апрель 2023'!$D$4:$D$692,$B116,'апрель 2023'!$J$4:$J$692,D$1)</f>
        <v>0</v>
      </c>
      <c r="E116" s="207">
        <f>SUMIFS('апрель 2023'!$G$4:$G$692,'апрель 2023'!$D$4:$D$692,$B116,'апрель 2023'!$J$4:$J$692,E$1)</f>
        <v>0</v>
      </c>
      <c r="F116" s="207">
        <f>SUMIFS('апрель 2023'!$G$4:$G$692,'апрель 2023'!$D$4:$D$692,$B116,'апрель 2023'!$J$4:$J$692,F$1)</f>
        <v>0</v>
      </c>
      <c r="G116" s="207">
        <f>SUMIFS('апрель 2023'!$G$4:$G$692,'апрель 2023'!$D$4:$D$692,$B116,'апрель 2023'!$J$4:$J$692,G$1)</f>
        <v>0</v>
      </c>
      <c r="H116" s="207">
        <f>SUMIFS('апрель 2023'!$G$4:$G$692,'апрель 2023'!$D$4:$D$692,$B116,'апрель 2023'!$J$4:$J$692,H$1)</f>
        <v>0</v>
      </c>
      <c r="I116" s="207">
        <f>SUMIFS('апрель 2023'!$G$4:$G$692,'апрель 2023'!$D$4:$D$692,$B116,'апрель 2023'!$J$4:$J$692,I$1)</f>
        <v>0</v>
      </c>
      <c r="J116" s="207">
        <f>SUMIFS('апрель 2023'!$G$4:$G$692,'апрель 2023'!$D$4:$D$692,$B116,'апрель 2023'!$J$4:$J$692,J$1)</f>
        <v>0</v>
      </c>
      <c r="K116" s="207">
        <f>SUMIFS('апрель 2023'!$G$4:$G$692,'апрель 2023'!$D$4:$D$692,$B116,'апрель 2023'!$J$4:$J$692,K$1)</f>
        <v>0</v>
      </c>
      <c r="L116" s="207">
        <f>SUMIFS('апрель 2023'!$G$4:$G$692,'апрель 2023'!$D$4:$D$692,$B116,'апрель 2023'!$J$4:$J$692,L$1)</f>
        <v>0</v>
      </c>
      <c r="M116" s="207">
        <f>SUMIFS('апрель 2023'!$G$4:$G$692,'апрель 2023'!$D$4:$D$692,$B116,'апрель 2023'!$J$4:$J$692,M$1)</f>
        <v>0</v>
      </c>
      <c r="N116" s="207">
        <f>SUMIFS('апрель 2023'!$G$4:$G$692,'апрель 2023'!$D$4:$D$692,$B116,'апрель 2023'!$J$4:$J$692,N$1)</f>
        <v>0</v>
      </c>
      <c r="O116" s="207">
        <f>SUMIFS('апрель 2023'!$G$4:$G$692,'апрель 2023'!$D$4:$D$692,$B116,'апрель 2023'!$J$4:$J$692,O$1)</f>
        <v>0</v>
      </c>
      <c r="P116" s="207">
        <f>SUMIFS('апрель 2023'!$G$4:$G$692,'апрель 2023'!$D$4:$D$692,$B116,'апрель 2023'!$J$4:$J$692,P$1)</f>
        <v>0</v>
      </c>
      <c r="Q116" s="207">
        <f>SUMIFS('апрель 2023'!$G$4:$G$692,'апрель 2023'!$D$4:$D$692,$B116,'апрель 2023'!$J$4:$J$692,Q$1)</f>
        <v>0</v>
      </c>
      <c r="R116" s="207">
        <f>SUMIFS('апрель 2023'!$G$4:$G$692,'апрель 2023'!$D$4:$D$692,$B116,'апрель 2023'!$J$4:$J$692,R$1)</f>
        <v>0</v>
      </c>
      <c r="S116" s="207">
        <f>SUMIFS('апрель 2023'!$G$4:$G$692,'апрель 2023'!$D$4:$D$692,$B116,'апрель 2023'!$J$4:$J$692,S$1)</f>
        <v>0</v>
      </c>
      <c r="T116" s="207">
        <f>SUMIFS('апрель 2023'!$G$4:$G$692,'апрель 2023'!$D$4:$D$692,$B116,'апрель 2023'!$J$4:$J$692,T$1)</f>
        <v>0</v>
      </c>
      <c r="U116" s="207">
        <f>SUMIFS('апрель 2023'!$G$4:$G$692,'апрель 2023'!$D$4:$D$692,$B116,'апрель 2023'!$J$4:$J$692,U$1)</f>
        <v>0</v>
      </c>
      <c r="V116" s="207">
        <f>SUMIFS('апрель 2023'!$G$4:$G$692,'апрель 2023'!$D$4:$D$692,$B116,'апрель 2023'!$J$4:$J$692,V$1)</f>
        <v>0</v>
      </c>
      <c r="W116" s="207">
        <f>SUMIFS('апрель 2023'!$G$4:$G$692,'апрель 2023'!$D$4:$D$692,$B116,'апрель 2023'!$J$4:$J$692,W$1)</f>
        <v>0</v>
      </c>
      <c r="X116" s="207">
        <f>SUMIFS('апрель 2023'!$G$4:$G$692,'апрель 2023'!$D$4:$D$692,$B116,'апрель 2023'!$J$4:$J$692,X$1)</f>
        <v>0</v>
      </c>
      <c r="Y116" s="207">
        <f>SUMIFS('апрель 2023'!$G$4:$G$692,'апрель 2023'!$D$4:$D$692,$B116,'апрель 2023'!$J$4:$J$692,Y$1)</f>
        <v>0</v>
      </c>
      <c r="Z116" s="207">
        <f>SUMIFS('апрель 2023'!$G$4:$G$692,'апрель 2023'!$D$4:$D$692,$B116,'апрель 2023'!$J$4:$J$692,Z$1)</f>
        <v>0</v>
      </c>
      <c r="AA116" s="207">
        <f>SUMIFS('апрель 2023'!$G$4:$G$692,'апрель 2023'!$D$4:$D$692,$B116,'апрель 2023'!$J$4:$J$692,AA$1)</f>
        <v>0</v>
      </c>
      <c r="AB116" s="207">
        <f>SUMIFS('апрель 2023'!$G$4:$G$692,'апрель 2023'!$D$4:$D$692,$B116,'апрель 2023'!$J$4:$J$692,AB$1)</f>
        <v>0</v>
      </c>
      <c r="AC116" s="207">
        <f>SUMIFS('апрель 2023'!$G$4:$G$692,'апрель 2023'!$D$4:$D$692,$B116,'апрель 2023'!$J$4:$J$692,AC$1)</f>
        <v>0</v>
      </c>
      <c r="AD116" s="207">
        <f>SUMIFS('апрель 2023'!$G$4:$G$692,'апрель 2023'!$D$4:$D$692,$B116,'апрель 2023'!$J$4:$J$692,AD$1)</f>
        <v>0</v>
      </c>
      <c r="AE116" s="207">
        <f>SUMIFS('апрель 2023'!$G$4:$G$692,'апрель 2023'!$D$4:$D$692,$B116,'апрель 2023'!$J$4:$J$692,AE$1)</f>
        <v>0</v>
      </c>
      <c r="AF116" s="207">
        <f>SUMIFS('апрель 2023'!$G$4:$G$692,'апрель 2023'!$D$4:$D$692,$B116,'апрель 2023'!$J$4:$J$692,AF$1)</f>
        <v>0</v>
      </c>
      <c r="AG116" s="207">
        <f>SUMIFS('апрель 2023'!$G$4:$G$692,'апрель 2023'!$D$4:$D$692,$B116,'апрель 2023'!$J$4:$J$692,AG$1)</f>
        <v>0</v>
      </c>
      <c r="AH116" s="207">
        <f>SUMIFS('апрель 2023'!$G$4:$G$692,'апрель 2023'!$D$4:$D$692,$B116,'апрель 2023'!$J$4:$J$692,AH$1)</f>
        <v>0</v>
      </c>
      <c r="AI116" s="220">
        <f t="shared" si="2"/>
        <v>0</v>
      </c>
    </row>
    <row r="117" spans="2:35" ht="15" hidden="1" customHeight="1" x14ac:dyDescent="0.25">
      <c r="B117" s="212"/>
      <c r="C117" s="211"/>
      <c r="D117" s="207">
        <f>SUMIFS('апрель 2023'!$G$4:$G$692,'апрель 2023'!$D$4:$D$692,$B117,'апрель 2023'!$J$4:$J$692,D$1)</f>
        <v>0</v>
      </c>
      <c r="E117" s="207">
        <f>SUMIFS('апрель 2023'!$G$4:$G$692,'апрель 2023'!$D$4:$D$692,$B117,'апрель 2023'!$J$4:$J$692,E$1)</f>
        <v>0</v>
      </c>
      <c r="F117" s="207">
        <f>SUMIFS('апрель 2023'!$G$4:$G$692,'апрель 2023'!$D$4:$D$692,$B117,'апрель 2023'!$J$4:$J$692,F$1)</f>
        <v>0</v>
      </c>
      <c r="G117" s="207">
        <f>SUMIFS('апрель 2023'!$G$4:$G$692,'апрель 2023'!$D$4:$D$692,$B117,'апрель 2023'!$J$4:$J$692,G$1)</f>
        <v>0</v>
      </c>
      <c r="H117" s="207">
        <f>SUMIFS('апрель 2023'!$G$4:$G$692,'апрель 2023'!$D$4:$D$692,$B117,'апрель 2023'!$J$4:$J$692,H$1)</f>
        <v>0</v>
      </c>
      <c r="I117" s="207">
        <f>SUMIFS('апрель 2023'!$G$4:$G$692,'апрель 2023'!$D$4:$D$692,$B117,'апрель 2023'!$J$4:$J$692,I$1)</f>
        <v>0</v>
      </c>
      <c r="J117" s="207">
        <f>SUMIFS('апрель 2023'!$G$4:$G$692,'апрель 2023'!$D$4:$D$692,$B117,'апрель 2023'!$J$4:$J$692,J$1)</f>
        <v>0</v>
      </c>
      <c r="K117" s="207">
        <f>SUMIFS('апрель 2023'!$G$4:$G$692,'апрель 2023'!$D$4:$D$692,$B117,'апрель 2023'!$J$4:$J$692,K$1)</f>
        <v>0</v>
      </c>
      <c r="L117" s="207">
        <f>SUMIFS('апрель 2023'!$G$4:$G$692,'апрель 2023'!$D$4:$D$692,$B117,'апрель 2023'!$J$4:$J$692,L$1)</f>
        <v>0</v>
      </c>
      <c r="M117" s="207">
        <f>SUMIFS('апрель 2023'!$G$4:$G$692,'апрель 2023'!$D$4:$D$692,$B117,'апрель 2023'!$J$4:$J$692,M$1)</f>
        <v>0</v>
      </c>
      <c r="N117" s="207">
        <f>SUMIFS('апрель 2023'!$G$4:$G$692,'апрель 2023'!$D$4:$D$692,$B117,'апрель 2023'!$J$4:$J$692,N$1)</f>
        <v>0</v>
      </c>
      <c r="O117" s="207">
        <f>SUMIFS('апрель 2023'!$G$4:$G$692,'апрель 2023'!$D$4:$D$692,$B117,'апрель 2023'!$J$4:$J$692,O$1)</f>
        <v>0</v>
      </c>
      <c r="P117" s="207">
        <f>SUMIFS('апрель 2023'!$G$4:$G$692,'апрель 2023'!$D$4:$D$692,$B117,'апрель 2023'!$J$4:$J$692,P$1)</f>
        <v>0</v>
      </c>
      <c r="Q117" s="207">
        <f>SUMIFS('апрель 2023'!$G$4:$G$692,'апрель 2023'!$D$4:$D$692,$B117,'апрель 2023'!$J$4:$J$692,Q$1)</f>
        <v>0</v>
      </c>
      <c r="R117" s="207">
        <f>SUMIFS('апрель 2023'!$G$4:$G$692,'апрель 2023'!$D$4:$D$692,$B117,'апрель 2023'!$J$4:$J$692,R$1)</f>
        <v>0</v>
      </c>
      <c r="S117" s="207">
        <f>SUMIFS('апрель 2023'!$G$4:$G$692,'апрель 2023'!$D$4:$D$692,$B117,'апрель 2023'!$J$4:$J$692,S$1)</f>
        <v>0</v>
      </c>
      <c r="T117" s="207">
        <f>SUMIFS('апрель 2023'!$G$4:$G$692,'апрель 2023'!$D$4:$D$692,$B117,'апрель 2023'!$J$4:$J$692,T$1)</f>
        <v>0</v>
      </c>
      <c r="U117" s="207">
        <f>SUMIFS('апрель 2023'!$G$4:$G$692,'апрель 2023'!$D$4:$D$692,$B117,'апрель 2023'!$J$4:$J$692,U$1)</f>
        <v>0</v>
      </c>
      <c r="V117" s="207">
        <f>SUMIFS('апрель 2023'!$G$4:$G$692,'апрель 2023'!$D$4:$D$692,$B117,'апрель 2023'!$J$4:$J$692,V$1)</f>
        <v>0</v>
      </c>
      <c r="W117" s="207">
        <f>SUMIFS('апрель 2023'!$G$4:$G$692,'апрель 2023'!$D$4:$D$692,$B117,'апрель 2023'!$J$4:$J$692,W$1)</f>
        <v>0</v>
      </c>
      <c r="X117" s="207">
        <f>SUMIFS('апрель 2023'!$G$4:$G$692,'апрель 2023'!$D$4:$D$692,$B117,'апрель 2023'!$J$4:$J$692,X$1)</f>
        <v>0</v>
      </c>
      <c r="Y117" s="207">
        <f>SUMIFS('апрель 2023'!$G$4:$G$692,'апрель 2023'!$D$4:$D$692,$B117,'апрель 2023'!$J$4:$J$692,Y$1)</f>
        <v>0</v>
      </c>
      <c r="Z117" s="207">
        <f>SUMIFS('апрель 2023'!$G$4:$G$692,'апрель 2023'!$D$4:$D$692,$B117,'апрель 2023'!$J$4:$J$692,Z$1)</f>
        <v>0</v>
      </c>
      <c r="AA117" s="207">
        <f>SUMIFS('апрель 2023'!$G$4:$G$692,'апрель 2023'!$D$4:$D$692,$B117,'апрель 2023'!$J$4:$J$692,AA$1)</f>
        <v>0</v>
      </c>
      <c r="AB117" s="207">
        <f>SUMIFS('апрель 2023'!$G$4:$G$692,'апрель 2023'!$D$4:$D$692,$B117,'апрель 2023'!$J$4:$J$692,AB$1)</f>
        <v>0</v>
      </c>
      <c r="AC117" s="207">
        <f>SUMIFS('апрель 2023'!$G$4:$G$692,'апрель 2023'!$D$4:$D$692,$B117,'апрель 2023'!$J$4:$J$692,AC$1)</f>
        <v>0</v>
      </c>
      <c r="AD117" s="207">
        <f>SUMIFS('апрель 2023'!$G$4:$G$692,'апрель 2023'!$D$4:$D$692,$B117,'апрель 2023'!$J$4:$J$692,AD$1)</f>
        <v>0</v>
      </c>
      <c r="AE117" s="207">
        <f>SUMIFS('апрель 2023'!$G$4:$G$692,'апрель 2023'!$D$4:$D$692,$B117,'апрель 2023'!$J$4:$J$692,AE$1)</f>
        <v>0</v>
      </c>
      <c r="AF117" s="207">
        <f>SUMIFS('апрель 2023'!$G$4:$G$692,'апрель 2023'!$D$4:$D$692,$B117,'апрель 2023'!$J$4:$J$692,AF$1)</f>
        <v>0</v>
      </c>
      <c r="AG117" s="207">
        <f>SUMIFS('апрель 2023'!$G$4:$G$692,'апрель 2023'!$D$4:$D$692,$B117,'апрель 2023'!$J$4:$J$692,AG$1)</f>
        <v>0</v>
      </c>
      <c r="AH117" s="207">
        <f>SUMIFS('апрель 2023'!$G$4:$G$692,'апрель 2023'!$D$4:$D$692,$B117,'апрель 2023'!$J$4:$J$692,AH$1)</f>
        <v>0</v>
      </c>
      <c r="AI117" s="220"/>
    </row>
    <row r="118" spans="2:35" ht="15" hidden="1" customHeight="1" x14ac:dyDescent="0.25">
      <c r="B118" s="212"/>
      <c r="C118" s="211"/>
      <c r="D118" s="207">
        <f>SUMIFS('апрель 2023'!$G$4:$G$692,'апрель 2023'!$D$4:$D$692,$B118,'апрель 2023'!$J$4:$J$692,D$1)</f>
        <v>0</v>
      </c>
      <c r="E118" s="207">
        <f>SUMIFS('апрель 2023'!$G$4:$G$692,'апрель 2023'!$D$4:$D$692,$B118,'апрель 2023'!$J$4:$J$692,E$1)</f>
        <v>0</v>
      </c>
      <c r="F118" s="207">
        <f>SUMIFS('апрель 2023'!$G$4:$G$692,'апрель 2023'!$D$4:$D$692,$B118,'апрель 2023'!$J$4:$J$692,F$1)</f>
        <v>0</v>
      </c>
      <c r="G118" s="207">
        <f>SUMIFS('апрель 2023'!$G$4:$G$692,'апрель 2023'!$D$4:$D$692,$B118,'апрель 2023'!$J$4:$J$692,G$1)</f>
        <v>0</v>
      </c>
      <c r="H118" s="207">
        <f>SUMIFS('апрель 2023'!$G$4:$G$692,'апрель 2023'!$D$4:$D$692,$B118,'апрель 2023'!$J$4:$J$692,H$1)</f>
        <v>0</v>
      </c>
      <c r="I118" s="207">
        <f>SUMIFS('апрель 2023'!$G$4:$G$692,'апрель 2023'!$D$4:$D$692,$B118,'апрель 2023'!$J$4:$J$692,I$1)</f>
        <v>0</v>
      </c>
      <c r="J118" s="207">
        <f>SUMIFS('апрель 2023'!$G$4:$G$692,'апрель 2023'!$D$4:$D$692,$B118,'апрель 2023'!$J$4:$J$692,J$1)</f>
        <v>0</v>
      </c>
      <c r="K118" s="207">
        <f>SUMIFS('апрель 2023'!$G$4:$G$692,'апрель 2023'!$D$4:$D$692,$B118,'апрель 2023'!$J$4:$J$692,K$1)</f>
        <v>0</v>
      </c>
      <c r="L118" s="207">
        <f>SUMIFS('апрель 2023'!$G$4:$G$692,'апрель 2023'!$D$4:$D$692,$B118,'апрель 2023'!$J$4:$J$692,L$1)</f>
        <v>0</v>
      </c>
      <c r="M118" s="207">
        <f>SUMIFS('апрель 2023'!$G$4:$G$692,'апрель 2023'!$D$4:$D$692,$B118,'апрель 2023'!$J$4:$J$692,M$1)</f>
        <v>0</v>
      </c>
      <c r="N118" s="207">
        <f>SUMIFS('апрель 2023'!$G$4:$G$692,'апрель 2023'!$D$4:$D$692,$B118,'апрель 2023'!$J$4:$J$692,N$1)</f>
        <v>0</v>
      </c>
      <c r="O118" s="207">
        <f>SUMIFS('апрель 2023'!$G$4:$G$692,'апрель 2023'!$D$4:$D$692,$B118,'апрель 2023'!$J$4:$J$692,O$1)</f>
        <v>0</v>
      </c>
      <c r="P118" s="207">
        <f>SUMIFS('апрель 2023'!$G$4:$G$692,'апрель 2023'!$D$4:$D$692,$B118,'апрель 2023'!$J$4:$J$692,P$1)</f>
        <v>0</v>
      </c>
      <c r="Q118" s="207">
        <f>SUMIFS('апрель 2023'!$G$4:$G$692,'апрель 2023'!$D$4:$D$692,$B118,'апрель 2023'!$J$4:$J$692,Q$1)</f>
        <v>0</v>
      </c>
      <c r="R118" s="207">
        <f>SUMIFS('апрель 2023'!$G$4:$G$692,'апрель 2023'!$D$4:$D$692,$B118,'апрель 2023'!$J$4:$J$692,R$1)</f>
        <v>0</v>
      </c>
      <c r="S118" s="207">
        <f>SUMIFS('апрель 2023'!$G$4:$G$692,'апрель 2023'!$D$4:$D$692,$B118,'апрель 2023'!$J$4:$J$692,S$1)</f>
        <v>0</v>
      </c>
      <c r="T118" s="207">
        <f>SUMIFS('апрель 2023'!$G$4:$G$692,'апрель 2023'!$D$4:$D$692,$B118,'апрель 2023'!$J$4:$J$692,T$1)</f>
        <v>0</v>
      </c>
      <c r="U118" s="207">
        <f>SUMIFS('апрель 2023'!$G$4:$G$692,'апрель 2023'!$D$4:$D$692,$B118,'апрель 2023'!$J$4:$J$692,U$1)</f>
        <v>0</v>
      </c>
      <c r="V118" s="207">
        <f>SUMIFS('апрель 2023'!$G$4:$G$692,'апрель 2023'!$D$4:$D$692,$B118,'апрель 2023'!$J$4:$J$692,V$1)</f>
        <v>0</v>
      </c>
      <c r="W118" s="207">
        <f>SUMIFS('апрель 2023'!$G$4:$G$692,'апрель 2023'!$D$4:$D$692,$B118,'апрель 2023'!$J$4:$J$692,W$1)</f>
        <v>0</v>
      </c>
      <c r="X118" s="207">
        <f>SUMIFS('апрель 2023'!$G$4:$G$692,'апрель 2023'!$D$4:$D$692,$B118,'апрель 2023'!$J$4:$J$692,X$1)</f>
        <v>0</v>
      </c>
      <c r="Y118" s="207">
        <f>SUMIFS('апрель 2023'!$G$4:$G$692,'апрель 2023'!$D$4:$D$692,$B118,'апрель 2023'!$J$4:$J$692,Y$1)</f>
        <v>0</v>
      </c>
      <c r="Z118" s="207">
        <f>SUMIFS('апрель 2023'!$G$4:$G$692,'апрель 2023'!$D$4:$D$692,$B118,'апрель 2023'!$J$4:$J$692,Z$1)</f>
        <v>0</v>
      </c>
      <c r="AA118" s="207">
        <f>SUMIFS('апрель 2023'!$G$4:$G$692,'апрель 2023'!$D$4:$D$692,$B118,'апрель 2023'!$J$4:$J$692,AA$1)</f>
        <v>0</v>
      </c>
      <c r="AB118" s="207">
        <f>SUMIFS('апрель 2023'!$G$4:$G$692,'апрель 2023'!$D$4:$D$692,$B118,'апрель 2023'!$J$4:$J$692,AB$1)</f>
        <v>0</v>
      </c>
      <c r="AC118" s="207">
        <f>SUMIFS('апрель 2023'!$G$4:$G$692,'апрель 2023'!$D$4:$D$692,$B118,'апрель 2023'!$J$4:$J$692,AC$1)</f>
        <v>0</v>
      </c>
      <c r="AD118" s="207">
        <f>SUMIFS('апрель 2023'!$G$4:$G$692,'апрель 2023'!$D$4:$D$692,$B118,'апрель 2023'!$J$4:$J$692,AD$1)</f>
        <v>0</v>
      </c>
      <c r="AE118" s="207">
        <f>SUMIFS('апрель 2023'!$G$4:$G$692,'апрель 2023'!$D$4:$D$692,$B118,'апрель 2023'!$J$4:$J$692,AE$1)</f>
        <v>0</v>
      </c>
      <c r="AF118" s="207">
        <f>SUMIFS('апрель 2023'!$G$4:$G$692,'апрель 2023'!$D$4:$D$692,$B118,'апрель 2023'!$J$4:$J$692,AF$1)</f>
        <v>0</v>
      </c>
      <c r="AG118" s="207">
        <f>SUMIFS('апрель 2023'!$G$4:$G$692,'апрель 2023'!$D$4:$D$692,$B118,'апрель 2023'!$J$4:$J$692,AG$1)</f>
        <v>0</v>
      </c>
      <c r="AH118" s="207">
        <f>SUMIFS('апрель 2023'!$G$4:$G$692,'апрель 2023'!$D$4:$D$692,$B118,'апрель 2023'!$J$4:$J$692,AH$1)</f>
        <v>0</v>
      </c>
      <c r="AI118" s="220">
        <f t="shared" si="2"/>
        <v>0</v>
      </c>
    </row>
    <row r="119" spans="2:35" ht="15" hidden="1" customHeight="1" x14ac:dyDescent="0.25">
      <c r="B119" s="212"/>
      <c r="C119" s="211"/>
      <c r="D119" s="207">
        <f>SUMIFS('апрель 2023'!$G$4:$G$692,'апрель 2023'!$D$4:$D$692,$B119,'апрель 2023'!$J$4:$J$692,D$1)</f>
        <v>0</v>
      </c>
      <c r="E119" s="207">
        <f>SUMIFS('апрель 2023'!$G$4:$G$692,'апрель 2023'!$D$4:$D$692,$B119,'апрель 2023'!$J$4:$J$692,E$1)</f>
        <v>0</v>
      </c>
      <c r="F119" s="207">
        <f>SUMIFS('апрель 2023'!$G$4:$G$692,'апрель 2023'!$D$4:$D$692,$B119,'апрель 2023'!$J$4:$J$692,F$1)</f>
        <v>0</v>
      </c>
      <c r="G119" s="207">
        <f>SUMIFS('апрель 2023'!$G$4:$G$692,'апрель 2023'!$D$4:$D$692,$B119,'апрель 2023'!$J$4:$J$692,G$1)</f>
        <v>0</v>
      </c>
      <c r="H119" s="207">
        <f>SUMIFS('апрель 2023'!$G$4:$G$692,'апрель 2023'!$D$4:$D$692,$B119,'апрель 2023'!$J$4:$J$692,H$1)</f>
        <v>0</v>
      </c>
      <c r="I119" s="207">
        <f>SUMIFS('апрель 2023'!$G$4:$G$692,'апрель 2023'!$D$4:$D$692,$B119,'апрель 2023'!$J$4:$J$692,I$1)</f>
        <v>0</v>
      </c>
      <c r="J119" s="207">
        <f>SUMIFS('апрель 2023'!$G$4:$G$692,'апрель 2023'!$D$4:$D$692,$B119,'апрель 2023'!$J$4:$J$692,J$1)</f>
        <v>0</v>
      </c>
      <c r="K119" s="207">
        <f>SUMIFS('апрель 2023'!$G$4:$G$692,'апрель 2023'!$D$4:$D$692,$B119,'апрель 2023'!$J$4:$J$692,K$1)</f>
        <v>0</v>
      </c>
      <c r="L119" s="207">
        <f>SUMIFS('апрель 2023'!$G$4:$G$692,'апрель 2023'!$D$4:$D$692,$B119,'апрель 2023'!$J$4:$J$692,L$1)</f>
        <v>0</v>
      </c>
      <c r="M119" s="207">
        <f>SUMIFS('апрель 2023'!$G$4:$G$692,'апрель 2023'!$D$4:$D$692,$B119,'апрель 2023'!$J$4:$J$692,M$1)</f>
        <v>0</v>
      </c>
      <c r="N119" s="207">
        <f>SUMIFS('апрель 2023'!$G$4:$G$692,'апрель 2023'!$D$4:$D$692,$B119,'апрель 2023'!$J$4:$J$692,N$1)</f>
        <v>0</v>
      </c>
      <c r="O119" s="207">
        <f>SUMIFS('апрель 2023'!$G$4:$G$692,'апрель 2023'!$D$4:$D$692,$B119,'апрель 2023'!$J$4:$J$692,O$1)</f>
        <v>0</v>
      </c>
      <c r="P119" s="207">
        <f>SUMIFS('апрель 2023'!$G$4:$G$692,'апрель 2023'!$D$4:$D$692,$B119,'апрель 2023'!$J$4:$J$692,P$1)</f>
        <v>0</v>
      </c>
      <c r="Q119" s="207">
        <f>SUMIFS('апрель 2023'!$G$4:$G$692,'апрель 2023'!$D$4:$D$692,$B119,'апрель 2023'!$J$4:$J$692,Q$1)</f>
        <v>0</v>
      </c>
      <c r="R119" s="207">
        <f>SUMIFS('апрель 2023'!$G$4:$G$692,'апрель 2023'!$D$4:$D$692,$B119,'апрель 2023'!$J$4:$J$692,R$1)</f>
        <v>0</v>
      </c>
      <c r="S119" s="207">
        <f>SUMIFS('апрель 2023'!$G$4:$G$692,'апрель 2023'!$D$4:$D$692,$B119,'апрель 2023'!$J$4:$J$692,S$1)</f>
        <v>0</v>
      </c>
      <c r="T119" s="207">
        <f>SUMIFS('апрель 2023'!$G$4:$G$692,'апрель 2023'!$D$4:$D$692,$B119,'апрель 2023'!$J$4:$J$692,T$1)</f>
        <v>0</v>
      </c>
      <c r="U119" s="207">
        <f>SUMIFS('апрель 2023'!$G$4:$G$692,'апрель 2023'!$D$4:$D$692,$B119,'апрель 2023'!$J$4:$J$692,U$1)</f>
        <v>0</v>
      </c>
      <c r="V119" s="207">
        <f>SUMIFS('апрель 2023'!$G$4:$G$692,'апрель 2023'!$D$4:$D$692,$B119,'апрель 2023'!$J$4:$J$692,V$1)</f>
        <v>0</v>
      </c>
      <c r="W119" s="207">
        <f>SUMIFS('апрель 2023'!$G$4:$G$692,'апрель 2023'!$D$4:$D$692,$B119,'апрель 2023'!$J$4:$J$692,W$1)</f>
        <v>0</v>
      </c>
      <c r="X119" s="207">
        <f>SUMIFS('апрель 2023'!$G$4:$G$692,'апрель 2023'!$D$4:$D$692,$B119,'апрель 2023'!$J$4:$J$692,X$1)</f>
        <v>0</v>
      </c>
      <c r="Y119" s="207">
        <f>SUMIFS('апрель 2023'!$G$4:$G$692,'апрель 2023'!$D$4:$D$692,$B119,'апрель 2023'!$J$4:$J$692,Y$1)</f>
        <v>0</v>
      </c>
      <c r="Z119" s="207">
        <f>SUMIFS('апрель 2023'!$G$4:$G$692,'апрель 2023'!$D$4:$D$692,$B119,'апрель 2023'!$J$4:$J$692,Z$1)</f>
        <v>0</v>
      </c>
      <c r="AA119" s="207">
        <f>SUMIFS('апрель 2023'!$G$4:$G$692,'апрель 2023'!$D$4:$D$692,$B119,'апрель 2023'!$J$4:$J$692,AA$1)</f>
        <v>0</v>
      </c>
      <c r="AB119" s="207">
        <f>SUMIFS('апрель 2023'!$G$4:$G$692,'апрель 2023'!$D$4:$D$692,$B119,'апрель 2023'!$J$4:$J$692,AB$1)</f>
        <v>0</v>
      </c>
      <c r="AC119" s="207">
        <f>SUMIFS('апрель 2023'!$G$4:$G$692,'апрель 2023'!$D$4:$D$692,$B119,'апрель 2023'!$J$4:$J$692,AC$1)</f>
        <v>0</v>
      </c>
      <c r="AD119" s="207">
        <f>SUMIFS('апрель 2023'!$G$4:$G$692,'апрель 2023'!$D$4:$D$692,$B119,'апрель 2023'!$J$4:$J$692,AD$1)</f>
        <v>0</v>
      </c>
      <c r="AE119" s="207">
        <f>SUMIFS('апрель 2023'!$G$4:$G$692,'апрель 2023'!$D$4:$D$692,$B119,'апрель 2023'!$J$4:$J$692,AE$1)</f>
        <v>0</v>
      </c>
      <c r="AF119" s="207">
        <f>SUMIFS('апрель 2023'!$G$4:$G$692,'апрель 2023'!$D$4:$D$692,$B119,'апрель 2023'!$J$4:$J$692,AF$1)</f>
        <v>0</v>
      </c>
      <c r="AG119" s="207">
        <f>SUMIFS('апрель 2023'!$G$4:$G$692,'апрель 2023'!$D$4:$D$692,$B119,'апрель 2023'!$J$4:$J$692,AG$1)</f>
        <v>0</v>
      </c>
      <c r="AH119" s="207">
        <f>SUMIFS('апрель 2023'!$G$4:$G$692,'апрель 2023'!$D$4:$D$692,$B119,'апрель 2023'!$J$4:$J$692,AH$1)</f>
        <v>0</v>
      </c>
      <c r="AI119" s="220">
        <f t="shared" si="2"/>
        <v>0</v>
      </c>
    </row>
    <row r="120" spans="2:35" ht="15" hidden="1" customHeight="1" x14ac:dyDescent="0.25">
      <c r="B120" s="216"/>
      <c r="C120" s="211"/>
      <c r="D120" s="207">
        <f>SUMIFS('апрель 2023'!$G$4:$G$692,'апрель 2023'!$D$4:$D$692,$B120,'апрель 2023'!$J$4:$J$692,D$1)</f>
        <v>0</v>
      </c>
      <c r="E120" s="207">
        <f>SUMIFS('апрель 2023'!$G$4:$G$692,'апрель 2023'!$D$4:$D$692,$B120,'апрель 2023'!$J$4:$J$692,E$1)</f>
        <v>0</v>
      </c>
      <c r="F120" s="207">
        <f>SUMIFS('апрель 2023'!$G$4:$G$692,'апрель 2023'!$D$4:$D$692,$B120,'апрель 2023'!$J$4:$J$692,F$1)</f>
        <v>0</v>
      </c>
      <c r="G120" s="207">
        <f>SUMIFS('апрель 2023'!$G$4:$G$692,'апрель 2023'!$D$4:$D$692,$B120,'апрель 2023'!$J$4:$J$692,G$1)</f>
        <v>0</v>
      </c>
      <c r="H120" s="207">
        <f>SUMIFS('апрель 2023'!$G$4:$G$692,'апрель 2023'!$D$4:$D$692,$B120,'апрель 2023'!$J$4:$J$692,H$1)</f>
        <v>0</v>
      </c>
      <c r="I120" s="207">
        <f>SUMIFS('апрель 2023'!$G$4:$G$692,'апрель 2023'!$D$4:$D$692,$B120,'апрель 2023'!$J$4:$J$692,I$1)</f>
        <v>0</v>
      </c>
      <c r="J120" s="207">
        <f>SUMIFS('апрель 2023'!$G$4:$G$692,'апрель 2023'!$D$4:$D$692,$B120,'апрель 2023'!$J$4:$J$692,J$1)</f>
        <v>0</v>
      </c>
      <c r="K120" s="207">
        <f>SUMIFS('апрель 2023'!$G$4:$G$692,'апрель 2023'!$D$4:$D$692,$B120,'апрель 2023'!$J$4:$J$692,K$1)</f>
        <v>0</v>
      </c>
      <c r="L120" s="207">
        <f>SUMIFS('апрель 2023'!$G$4:$G$692,'апрель 2023'!$D$4:$D$692,$B120,'апрель 2023'!$J$4:$J$692,L$1)</f>
        <v>0</v>
      </c>
      <c r="M120" s="207">
        <f>SUMIFS('апрель 2023'!$G$4:$G$692,'апрель 2023'!$D$4:$D$692,$B120,'апрель 2023'!$J$4:$J$692,M$1)</f>
        <v>0</v>
      </c>
      <c r="N120" s="207">
        <f>SUMIFS('апрель 2023'!$G$4:$G$692,'апрель 2023'!$D$4:$D$692,$B120,'апрель 2023'!$J$4:$J$692,N$1)</f>
        <v>0</v>
      </c>
      <c r="O120" s="207">
        <f>SUMIFS('апрель 2023'!$G$4:$G$692,'апрель 2023'!$D$4:$D$692,$B120,'апрель 2023'!$J$4:$J$692,O$1)</f>
        <v>0</v>
      </c>
      <c r="P120" s="207">
        <f>SUMIFS('апрель 2023'!$G$4:$G$692,'апрель 2023'!$D$4:$D$692,$B120,'апрель 2023'!$J$4:$J$692,P$1)</f>
        <v>0</v>
      </c>
      <c r="Q120" s="207">
        <f>SUMIFS('апрель 2023'!$G$4:$G$692,'апрель 2023'!$D$4:$D$692,$B120,'апрель 2023'!$J$4:$J$692,Q$1)</f>
        <v>0</v>
      </c>
      <c r="R120" s="207">
        <f>SUMIFS('апрель 2023'!$G$4:$G$692,'апрель 2023'!$D$4:$D$692,$B120,'апрель 2023'!$J$4:$J$692,R$1)</f>
        <v>0</v>
      </c>
      <c r="S120" s="207">
        <f>SUMIFS('апрель 2023'!$G$4:$G$692,'апрель 2023'!$D$4:$D$692,$B120,'апрель 2023'!$J$4:$J$692,S$1)</f>
        <v>0</v>
      </c>
      <c r="T120" s="207">
        <f>SUMIFS('апрель 2023'!$G$4:$G$692,'апрель 2023'!$D$4:$D$692,$B120,'апрель 2023'!$J$4:$J$692,T$1)</f>
        <v>0</v>
      </c>
      <c r="U120" s="207">
        <f>SUMIFS('апрель 2023'!$G$4:$G$692,'апрель 2023'!$D$4:$D$692,$B120,'апрель 2023'!$J$4:$J$692,U$1)</f>
        <v>0</v>
      </c>
      <c r="V120" s="207">
        <f>SUMIFS('апрель 2023'!$G$4:$G$692,'апрель 2023'!$D$4:$D$692,$B120,'апрель 2023'!$J$4:$J$692,V$1)</f>
        <v>0</v>
      </c>
      <c r="W120" s="207">
        <f>SUMIFS('апрель 2023'!$G$4:$G$692,'апрель 2023'!$D$4:$D$692,$B120,'апрель 2023'!$J$4:$J$692,W$1)</f>
        <v>0</v>
      </c>
      <c r="X120" s="207">
        <f>SUMIFS('апрель 2023'!$G$4:$G$692,'апрель 2023'!$D$4:$D$692,$B120,'апрель 2023'!$J$4:$J$692,X$1)</f>
        <v>0</v>
      </c>
      <c r="Y120" s="207">
        <f>SUMIFS('апрель 2023'!$G$4:$G$692,'апрель 2023'!$D$4:$D$692,$B120,'апрель 2023'!$J$4:$J$692,Y$1)</f>
        <v>0</v>
      </c>
      <c r="Z120" s="207">
        <f>SUMIFS('апрель 2023'!$G$4:$G$692,'апрель 2023'!$D$4:$D$692,$B120,'апрель 2023'!$J$4:$J$692,Z$1)</f>
        <v>0</v>
      </c>
      <c r="AA120" s="207">
        <f>SUMIFS('апрель 2023'!$G$4:$G$692,'апрель 2023'!$D$4:$D$692,$B120,'апрель 2023'!$J$4:$J$692,AA$1)</f>
        <v>0</v>
      </c>
      <c r="AB120" s="207">
        <f>SUMIFS('апрель 2023'!$G$4:$G$692,'апрель 2023'!$D$4:$D$692,$B120,'апрель 2023'!$J$4:$J$692,AB$1)</f>
        <v>0</v>
      </c>
      <c r="AC120" s="207">
        <f>SUMIFS('апрель 2023'!$G$4:$G$692,'апрель 2023'!$D$4:$D$692,$B120,'апрель 2023'!$J$4:$J$692,AC$1)</f>
        <v>0</v>
      </c>
      <c r="AD120" s="207">
        <f>SUMIFS('апрель 2023'!$G$4:$G$692,'апрель 2023'!$D$4:$D$692,$B120,'апрель 2023'!$J$4:$J$692,AD$1)</f>
        <v>0</v>
      </c>
      <c r="AE120" s="207">
        <f>SUMIFS('апрель 2023'!$G$4:$G$692,'апрель 2023'!$D$4:$D$692,$B120,'апрель 2023'!$J$4:$J$692,AE$1)</f>
        <v>0</v>
      </c>
      <c r="AF120" s="207">
        <f>SUMIFS('апрель 2023'!$G$4:$G$692,'апрель 2023'!$D$4:$D$692,$B120,'апрель 2023'!$J$4:$J$692,AF$1)</f>
        <v>0</v>
      </c>
      <c r="AG120" s="207">
        <f>SUMIFS('апрель 2023'!$G$4:$G$692,'апрель 2023'!$D$4:$D$692,$B120,'апрель 2023'!$J$4:$J$692,AG$1)</f>
        <v>0</v>
      </c>
      <c r="AH120" s="207">
        <f>SUMIFS('апрель 2023'!$G$4:$G$692,'апрель 2023'!$D$4:$D$692,$B120,'апрель 2023'!$J$4:$J$692,AH$1)</f>
        <v>0</v>
      </c>
      <c r="AI120" s="220">
        <f t="shared" si="2"/>
        <v>0</v>
      </c>
    </row>
    <row r="121" spans="2:35" ht="15" hidden="1" customHeight="1" x14ac:dyDescent="0.25">
      <c r="B121" s="216"/>
      <c r="C121" s="213"/>
      <c r="D121" s="207">
        <f>SUMIFS('апрель 2023'!$G$4:$G$692,'апрель 2023'!$D$4:$D$692,$B121,'апрель 2023'!$J$4:$J$692,D$1)</f>
        <v>0</v>
      </c>
      <c r="E121" s="207">
        <f>SUMIFS('апрель 2023'!$G$4:$G$692,'апрель 2023'!$D$4:$D$692,$B121,'апрель 2023'!$J$4:$J$692,E$1)</f>
        <v>0</v>
      </c>
      <c r="F121" s="207">
        <f>SUMIFS('апрель 2023'!$G$4:$G$692,'апрель 2023'!$D$4:$D$692,$B121,'апрель 2023'!$J$4:$J$692,F$1)</f>
        <v>0</v>
      </c>
      <c r="G121" s="207">
        <f>SUMIFS('апрель 2023'!$G$4:$G$692,'апрель 2023'!$D$4:$D$692,$B121,'апрель 2023'!$J$4:$J$692,G$1)</f>
        <v>0</v>
      </c>
      <c r="H121" s="207">
        <f>SUMIFS('апрель 2023'!$G$4:$G$692,'апрель 2023'!$D$4:$D$692,$B121,'апрель 2023'!$J$4:$J$692,H$1)</f>
        <v>0</v>
      </c>
      <c r="I121" s="207">
        <f>SUMIFS('апрель 2023'!$G$4:$G$692,'апрель 2023'!$D$4:$D$692,$B121,'апрель 2023'!$J$4:$J$692,I$1)</f>
        <v>0</v>
      </c>
      <c r="J121" s="207">
        <f>SUMIFS('апрель 2023'!$G$4:$G$692,'апрель 2023'!$D$4:$D$692,$B121,'апрель 2023'!$J$4:$J$692,J$1)</f>
        <v>0</v>
      </c>
      <c r="K121" s="207">
        <f>SUMIFS('апрель 2023'!$G$4:$G$692,'апрель 2023'!$D$4:$D$692,$B121,'апрель 2023'!$J$4:$J$692,K$1)</f>
        <v>0</v>
      </c>
      <c r="L121" s="207">
        <f>SUMIFS('апрель 2023'!$G$4:$G$692,'апрель 2023'!$D$4:$D$692,$B121,'апрель 2023'!$J$4:$J$692,L$1)</f>
        <v>0</v>
      </c>
      <c r="M121" s="207">
        <f>SUMIFS('апрель 2023'!$G$4:$G$692,'апрель 2023'!$D$4:$D$692,$B121,'апрель 2023'!$J$4:$J$692,M$1)</f>
        <v>0</v>
      </c>
      <c r="N121" s="207">
        <f>SUMIFS('апрель 2023'!$G$4:$G$692,'апрель 2023'!$D$4:$D$692,$B121,'апрель 2023'!$J$4:$J$692,N$1)</f>
        <v>0</v>
      </c>
      <c r="O121" s="207">
        <f>SUMIFS('апрель 2023'!$G$4:$G$692,'апрель 2023'!$D$4:$D$692,$B121,'апрель 2023'!$J$4:$J$692,O$1)</f>
        <v>0</v>
      </c>
      <c r="P121" s="207">
        <f>SUMIFS('апрель 2023'!$G$4:$G$692,'апрель 2023'!$D$4:$D$692,$B121,'апрель 2023'!$J$4:$J$692,P$1)</f>
        <v>0</v>
      </c>
      <c r="Q121" s="207">
        <f>SUMIFS('апрель 2023'!$G$4:$G$692,'апрель 2023'!$D$4:$D$692,$B121,'апрель 2023'!$J$4:$J$692,Q$1)</f>
        <v>0</v>
      </c>
      <c r="R121" s="207">
        <f>SUMIFS('апрель 2023'!$G$4:$G$692,'апрель 2023'!$D$4:$D$692,$B121,'апрель 2023'!$J$4:$J$692,R$1)</f>
        <v>0</v>
      </c>
      <c r="S121" s="207">
        <f>SUMIFS('апрель 2023'!$G$4:$G$692,'апрель 2023'!$D$4:$D$692,$B121,'апрель 2023'!$J$4:$J$692,S$1)</f>
        <v>0</v>
      </c>
      <c r="T121" s="207">
        <f>SUMIFS('апрель 2023'!$G$4:$G$692,'апрель 2023'!$D$4:$D$692,$B121,'апрель 2023'!$J$4:$J$692,T$1)</f>
        <v>0</v>
      </c>
      <c r="U121" s="207">
        <f>SUMIFS('апрель 2023'!$G$4:$G$692,'апрель 2023'!$D$4:$D$692,$B121,'апрель 2023'!$J$4:$J$692,U$1)</f>
        <v>0</v>
      </c>
      <c r="V121" s="207">
        <f>SUMIFS('апрель 2023'!$G$4:$G$692,'апрель 2023'!$D$4:$D$692,$B121,'апрель 2023'!$J$4:$J$692,V$1)</f>
        <v>0</v>
      </c>
      <c r="W121" s="207">
        <f>SUMIFS('апрель 2023'!$G$4:$G$692,'апрель 2023'!$D$4:$D$692,$B121,'апрель 2023'!$J$4:$J$692,W$1)</f>
        <v>0</v>
      </c>
      <c r="X121" s="207">
        <f>SUMIFS('апрель 2023'!$G$4:$G$692,'апрель 2023'!$D$4:$D$692,$B121,'апрель 2023'!$J$4:$J$692,X$1)</f>
        <v>0</v>
      </c>
      <c r="Y121" s="207">
        <f>SUMIFS('апрель 2023'!$G$4:$G$692,'апрель 2023'!$D$4:$D$692,$B121,'апрель 2023'!$J$4:$J$692,Y$1)</f>
        <v>0</v>
      </c>
      <c r="Z121" s="207">
        <f>SUMIFS('апрель 2023'!$G$4:$G$692,'апрель 2023'!$D$4:$D$692,$B121,'апрель 2023'!$J$4:$J$692,Z$1)</f>
        <v>0</v>
      </c>
      <c r="AA121" s="207">
        <f>SUMIFS('апрель 2023'!$G$4:$G$692,'апрель 2023'!$D$4:$D$692,$B121,'апрель 2023'!$J$4:$J$692,AA$1)</f>
        <v>0</v>
      </c>
      <c r="AB121" s="207">
        <f>SUMIFS('апрель 2023'!$G$4:$G$692,'апрель 2023'!$D$4:$D$692,$B121,'апрель 2023'!$J$4:$J$692,AB$1)</f>
        <v>0</v>
      </c>
      <c r="AC121" s="207">
        <f>SUMIFS('апрель 2023'!$G$4:$G$692,'апрель 2023'!$D$4:$D$692,$B121,'апрель 2023'!$J$4:$J$692,AC$1)</f>
        <v>0</v>
      </c>
      <c r="AD121" s="207">
        <f>SUMIFS('апрель 2023'!$G$4:$G$692,'апрель 2023'!$D$4:$D$692,$B121,'апрель 2023'!$J$4:$J$692,AD$1)</f>
        <v>0</v>
      </c>
      <c r="AE121" s="207">
        <f>SUMIFS('апрель 2023'!$G$4:$G$692,'апрель 2023'!$D$4:$D$692,$B121,'апрель 2023'!$J$4:$J$692,AE$1)</f>
        <v>0</v>
      </c>
      <c r="AF121" s="207">
        <f>SUMIFS('апрель 2023'!$G$4:$G$692,'апрель 2023'!$D$4:$D$692,$B121,'апрель 2023'!$J$4:$J$692,AF$1)</f>
        <v>0</v>
      </c>
      <c r="AG121" s="207">
        <f>SUMIFS('апрель 2023'!$G$4:$G$692,'апрель 2023'!$D$4:$D$692,$B121,'апрель 2023'!$J$4:$J$692,AG$1)</f>
        <v>0</v>
      </c>
      <c r="AH121" s="207">
        <f>SUMIFS('апрель 2023'!$G$4:$G$692,'апрель 2023'!$D$4:$D$692,$B121,'апрель 2023'!$J$4:$J$692,AH$1)</f>
        <v>0</v>
      </c>
      <c r="AI121" s="220">
        <f t="shared" si="2"/>
        <v>0</v>
      </c>
    </row>
    <row r="122" spans="2:35" ht="15" hidden="1" customHeight="1" x14ac:dyDescent="0.25">
      <c r="B122" s="212"/>
      <c r="C122" s="211"/>
      <c r="D122" s="207">
        <f>SUMIFS('апрель 2023'!$G$4:$G$692,'апрель 2023'!$D$4:$D$692,$B122,'апрель 2023'!$J$4:$J$692,D$1)</f>
        <v>0</v>
      </c>
      <c r="E122" s="207">
        <f>SUMIFS('апрель 2023'!$G$4:$G$692,'апрель 2023'!$D$4:$D$692,$B122,'апрель 2023'!$J$4:$J$692,E$1)</f>
        <v>0</v>
      </c>
      <c r="F122" s="207">
        <f>SUMIFS('апрель 2023'!$G$4:$G$692,'апрель 2023'!$D$4:$D$692,$B122,'апрель 2023'!$J$4:$J$692,F$1)</f>
        <v>0</v>
      </c>
      <c r="G122" s="207">
        <f>SUMIFS('апрель 2023'!$G$4:$G$692,'апрель 2023'!$D$4:$D$692,$B122,'апрель 2023'!$J$4:$J$692,G$1)</f>
        <v>0</v>
      </c>
      <c r="H122" s="207">
        <f>SUMIFS('апрель 2023'!$G$4:$G$692,'апрель 2023'!$D$4:$D$692,$B122,'апрель 2023'!$J$4:$J$692,H$1)</f>
        <v>0</v>
      </c>
      <c r="I122" s="207">
        <f>SUMIFS('апрель 2023'!$G$4:$G$692,'апрель 2023'!$D$4:$D$692,$B122,'апрель 2023'!$J$4:$J$692,I$1)</f>
        <v>0</v>
      </c>
      <c r="J122" s="207">
        <f>SUMIFS('апрель 2023'!$G$4:$G$692,'апрель 2023'!$D$4:$D$692,$B122,'апрель 2023'!$J$4:$J$692,J$1)</f>
        <v>0</v>
      </c>
      <c r="K122" s="207">
        <f>SUMIFS('апрель 2023'!$G$4:$G$692,'апрель 2023'!$D$4:$D$692,$B122,'апрель 2023'!$J$4:$J$692,K$1)</f>
        <v>0</v>
      </c>
      <c r="L122" s="207">
        <f>SUMIFS('апрель 2023'!$G$4:$G$692,'апрель 2023'!$D$4:$D$692,$B122,'апрель 2023'!$J$4:$J$692,L$1)</f>
        <v>0</v>
      </c>
      <c r="M122" s="207">
        <f>SUMIFS('апрель 2023'!$G$4:$G$692,'апрель 2023'!$D$4:$D$692,$B122,'апрель 2023'!$J$4:$J$692,M$1)</f>
        <v>0</v>
      </c>
      <c r="N122" s="207">
        <f>SUMIFS('апрель 2023'!$G$4:$G$692,'апрель 2023'!$D$4:$D$692,$B122,'апрель 2023'!$J$4:$J$692,N$1)</f>
        <v>0</v>
      </c>
      <c r="O122" s="207">
        <f>SUMIFS('апрель 2023'!$G$4:$G$692,'апрель 2023'!$D$4:$D$692,$B122,'апрель 2023'!$J$4:$J$692,O$1)</f>
        <v>0</v>
      </c>
      <c r="P122" s="207">
        <f>SUMIFS('апрель 2023'!$G$4:$G$692,'апрель 2023'!$D$4:$D$692,$B122,'апрель 2023'!$J$4:$J$692,P$1)</f>
        <v>0</v>
      </c>
      <c r="Q122" s="207">
        <f>SUMIFS('апрель 2023'!$G$4:$G$692,'апрель 2023'!$D$4:$D$692,$B122,'апрель 2023'!$J$4:$J$692,Q$1)</f>
        <v>0</v>
      </c>
      <c r="R122" s="207">
        <f>SUMIFS('апрель 2023'!$G$4:$G$692,'апрель 2023'!$D$4:$D$692,$B122,'апрель 2023'!$J$4:$J$692,R$1)</f>
        <v>0</v>
      </c>
      <c r="S122" s="207">
        <f>SUMIFS('апрель 2023'!$G$4:$G$692,'апрель 2023'!$D$4:$D$692,$B122,'апрель 2023'!$J$4:$J$692,S$1)</f>
        <v>0</v>
      </c>
      <c r="T122" s="207">
        <f>SUMIFS('апрель 2023'!$G$4:$G$692,'апрель 2023'!$D$4:$D$692,$B122,'апрель 2023'!$J$4:$J$692,T$1)</f>
        <v>0</v>
      </c>
      <c r="U122" s="207">
        <f>SUMIFS('апрель 2023'!$G$4:$G$692,'апрель 2023'!$D$4:$D$692,$B122,'апрель 2023'!$J$4:$J$692,U$1)</f>
        <v>0</v>
      </c>
      <c r="V122" s="207">
        <f>SUMIFS('апрель 2023'!$G$4:$G$692,'апрель 2023'!$D$4:$D$692,$B122,'апрель 2023'!$J$4:$J$692,V$1)</f>
        <v>0</v>
      </c>
      <c r="W122" s="207">
        <f>SUMIFS('апрель 2023'!$G$4:$G$692,'апрель 2023'!$D$4:$D$692,$B122,'апрель 2023'!$J$4:$J$692,W$1)</f>
        <v>0</v>
      </c>
      <c r="X122" s="207">
        <f>SUMIFS('апрель 2023'!$G$4:$G$692,'апрель 2023'!$D$4:$D$692,$B122,'апрель 2023'!$J$4:$J$692,X$1)</f>
        <v>0</v>
      </c>
      <c r="Y122" s="207">
        <f>SUMIFS('апрель 2023'!$G$4:$G$692,'апрель 2023'!$D$4:$D$692,$B122,'апрель 2023'!$J$4:$J$692,Y$1)</f>
        <v>0</v>
      </c>
      <c r="Z122" s="207">
        <f>SUMIFS('апрель 2023'!$G$4:$G$692,'апрель 2023'!$D$4:$D$692,$B122,'апрель 2023'!$J$4:$J$692,Z$1)</f>
        <v>0</v>
      </c>
      <c r="AA122" s="207">
        <f>SUMIFS('апрель 2023'!$G$4:$G$692,'апрель 2023'!$D$4:$D$692,$B122,'апрель 2023'!$J$4:$J$692,AA$1)</f>
        <v>0</v>
      </c>
      <c r="AB122" s="207">
        <f>SUMIFS('апрель 2023'!$G$4:$G$692,'апрель 2023'!$D$4:$D$692,$B122,'апрель 2023'!$J$4:$J$692,AB$1)</f>
        <v>0</v>
      </c>
      <c r="AC122" s="207">
        <f>SUMIFS('апрель 2023'!$G$4:$G$692,'апрель 2023'!$D$4:$D$692,$B122,'апрель 2023'!$J$4:$J$692,AC$1)</f>
        <v>0</v>
      </c>
      <c r="AD122" s="207">
        <f>SUMIFS('апрель 2023'!$G$4:$G$692,'апрель 2023'!$D$4:$D$692,$B122,'апрель 2023'!$J$4:$J$692,AD$1)</f>
        <v>0</v>
      </c>
      <c r="AE122" s="207">
        <f>SUMIFS('апрель 2023'!$G$4:$G$692,'апрель 2023'!$D$4:$D$692,$B122,'апрель 2023'!$J$4:$J$692,AE$1)</f>
        <v>0</v>
      </c>
      <c r="AF122" s="207">
        <f>SUMIFS('апрель 2023'!$G$4:$G$692,'апрель 2023'!$D$4:$D$692,$B122,'апрель 2023'!$J$4:$J$692,AF$1)</f>
        <v>0</v>
      </c>
      <c r="AG122" s="207">
        <f>SUMIFS('апрель 2023'!$G$4:$G$692,'апрель 2023'!$D$4:$D$692,$B122,'апрель 2023'!$J$4:$J$692,AG$1)</f>
        <v>0</v>
      </c>
      <c r="AH122" s="207">
        <f>SUMIFS('апрель 2023'!$G$4:$G$692,'апрель 2023'!$D$4:$D$692,$B122,'апрель 2023'!$J$4:$J$692,AH$1)</f>
        <v>0</v>
      </c>
      <c r="AI122" s="220"/>
    </row>
    <row r="123" spans="2:35" ht="15" hidden="1" customHeight="1" x14ac:dyDescent="0.25">
      <c r="B123" s="217"/>
      <c r="C123" s="213"/>
      <c r="D123" s="207">
        <f>SUMIFS('апрель 2023'!$G$4:$G$692,'апрель 2023'!$D$4:$D$692,$B123,'апрель 2023'!$J$4:$J$692,D$1)</f>
        <v>0</v>
      </c>
      <c r="E123" s="207">
        <f>SUMIFS('апрель 2023'!$G$4:$G$692,'апрель 2023'!$D$4:$D$692,$B123,'апрель 2023'!$J$4:$J$692,E$1)</f>
        <v>0</v>
      </c>
      <c r="F123" s="207">
        <f>SUMIFS('апрель 2023'!$G$4:$G$692,'апрель 2023'!$D$4:$D$692,$B123,'апрель 2023'!$J$4:$J$692,F$1)</f>
        <v>0</v>
      </c>
      <c r="G123" s="207">
        <f>SUMIFS('апрель 2023'!$G$4:$G$692,'апрель 2023'!$D$4:$D$692,$B123,'апрель 2023'!$J$4:$J$692,G$1)</f>
        <v>0</v>
      </c>
      <c r="H123" s="207">
        <f>SUMIFS('апрель 2023'!$G$4:$G$692,'апрель 2023'!$D$4:$D$692,$B123,'апрель 2023'!$J$4:$J$692,H$1)</f>
        <v>0</v>
      </c>
      <c r="I123" s="207">
        <f>SUMIFS('апрель 2023'!$G$4:$G$692,'апрель 2023'!$D$4:$D$692,$B123,'апрель 2023'!$J$4:$J$692,I$1)</f>
        <v>0</v>
      </c>
      <c r="J123" s="207">
        <f>SUMIFS('апрель 2023'!$G$4:$G$692,'апрель 2023'!$D$4:$D$692,$B123,'апрель 2023'!$J$4:$J$692,J$1)</f>
        <v>0</v>
      </c>
      <c r="K123" s="207">
        <f>SUMIFS('апрель 2023'!$G$4:$G$692,'апрель 2023'!$D$4:$D$692,$B123,'апрель 2023'!$J$4:$J$692,K$1)</f>
        <v>0</v>
      </c>
      <c r="L123" s="207">
        <f>SUMIFS('апрель 2023'!$G$4:$G$692,'апрель 2023'!$D$4:$D$692,$B123,'апрель 2023'!$J$4:$J$692,L$1)</f>
        <v>0</v>
      </c>
      <c r="M123" s="207">
        <f>SUMIFS('апрель 2023'!$G$4:$G$692,'апрель 2023'!$D$4:$D$692,$B123,'апрель 2023'!$J$4:$J$692,M$1)</f>
        <v>0</v>
      </c>
      <c r="N123" s="207">
        <f>SUMIFS('апрель 2023'!$G$4:$G$692,'апрель 2023'!$D$4:$D$692,$B123,'апрель 2023'!$J$4:$J$692,N$1)</f>
        <v>0</v>
      </c>
      <c r="O123" s="207">
        <f>SUMIFS('апрель 2023'!$G$4:$G$692,'апрель 2023'!$D$4:$D$692,$B123,'апрель 2023'!$J$4:$J$692,O$1)</f>
        <v>0</v>
      </c>
      <c r="P123" s="207">
        <f>SUMIFS('апрель 2023'!$G$4:$G$692,'апрель 2023'!$D$4:$D$692,$B123,'апрель 2023'!$J$4:$J$692,P$1)</f>
        <v>0</v>
      </c>
      <c r="Q123" s="207">
        <f>SUMIFS('апрель 2023'!$G$4:$G$692,'апрель 2023'!$D$4:$D$692,$B123,'апрель 2023'!$J$4:$J$692,Q$1)</f>
        <v>0</v>
      </c>
      <c r="R123" s="207">
        <f>SUMIFS('апрель 2023'!$G$4:$G$692,'апрель 2023'!$D$4:$D$692,$B123,'апрель 2023'!$J$4:$J$692,R$1)</f>
        <v>0</v>
      </c>
      <c r="S123" s="207">
        <f>SUMIFS('апрель 2023'!$G$4:$G$692,'апрель 2023'!$D$4:$D$692,$B123,'апрель 2023'!$J$4:$J$692,S$1)</f>
        <v>0</v>
      </c>
      <c r="T123" s="207">
        <f>SUMIFS('апрель 2023'!$G$4:$G$692,'апрель 2023'!$D$4:$D$692,$B123,'апрель 2023'!$J$4:$J$692,T$1)</f>
        <v>0</v>
      </c>
      <c r="U123" s="207">
        <f>SUMIFS('апрель 2023'!$G$4:$G$692,'апрель 2023'!$D$4:$D$692,$B123,'апрель 2023'!$J$4:$J$692,U$1)</f>
        <v>0</v>
      </c>
      <c r="V123" s="207">
        <f>SUMIFS('апрель 2023'!$G$4:$G$692,'апрель 2023'!$D$4:$D$692,$B123,'апрель 2023'!$J$4:$J$692,V$1)</f>
        <v>0</v>
      </c>
      <c r="W123" s="207">
        <f>SUMIFS('апрель 2023'!$G$4:$G$692,'апрель 2023'!$D$4:$D$692,$B123,'апрель 2023'!$J$4:$J$692,W$1)</f>
        <v>0</v>
      </c>
      <c r="X123" s="207">
        <f>SUMIFS('апрель 2023'!$G$4:$G$692,'апрель 2023'!$D$4:$D$692,$B123,'апрель 2023'!$J$4:$J$692,X$1)</f>
        <v>0</v>
      </c>
      <c r="Y123" s="207">
        <f>SUMIFS('апрель 2023'!$G$4:$G$692,'апрель 2023'!$D$4:$D$692,$B123,'апрель 2023'!$J$4:$J$692,Y$1)</f>
        <v>0</v>
      </c>
      <c r="Z123" s="207">
        <f>SUMIFS('апрель 2023'!$G$4:$G$692,'апрель 2023'!$D$4:$D$692,$B123,'апрель 2023'!$J$4:$J$692,Z$1)</f>
        <v>0</v>
      </c>
      <c r="AA123" s="207">
        <f>SUMIFS('апрель 2023'!$G$4:$G$692,'апрель 2023'!$D$4:$D$692,$B123,'апрель 2023'!$J$4:$J$692,AA$1)</f>
        <v>0</v>
      </c>
      <c r="AB123" s="207">
        <f>SUMIFS('апрель 2023'!$G$4:$G$692,'апрель 2023'!$D$4:$D$692,$B123,'апрель 2023'!$J$4:$J$692,AB$1)</f>
        <v>0</v>
      </c>
      <c r="AC123" s="207">
        <f>SUMIFS('апрель 2023'!$G$4:$G$692,'апрель 2023'!$D$4:$D$692,$B123,'апрель 2023'!$J$4:$J$692,AC$1)</f>
        <v>0</v>
      </c>
      <c r="AD123" s="207">
        <f>SUMIFS('апрель 2023'!$G$4:$G$692,'апрель 2023'!$D$4:$D$692,$B123,'апрель 2023'!$J$4:$J$692,AD$1)</f>
        <v>0</v>
      </c>
      <c r="AE123" s="207">
        <f>SUMIFS('апрель 2023'!$G$4:$G$692,'апрель 2023'!$D$4:$D$692,$B123,'апрель 2023'!$J$4:$J$692,AE$1)</f>
        <v>0</v>
      </c>
      <c r="AF123" s="207">
        <f>SUMIFS('апрель 2023'!$G$4:$G$692,'апрель 2023'!$D$4:$D$692,$B123,'апрель 2023'!$J$4:$J$692,AF$1)</f>
        <v>0</v>
      </c>
      <c r="AG123" s="207">
        <f>SUMIFS('апрель 2023'!$G$4:$G$692,'апрель 2023'!$D$4:$D$692,$B123,'апрель 2023'!$J$4:$J$692,AG$1)</f>
        <v>0</v>
      </c>
      <c r="AH123" s="207">
        <f>SUMIFS('апрель 2023'!$G$4:$G$692,'апрель 2023'!$D$4:$D$692,$B123,'апрель 2023'!$J$4:$J$692,AH$1)</f>
        <v>0</v>
      </c>
      <c r="AI123" s="220"/>
    </row>
    <row r="124" spans="2:35" ht="15" hidden="1" customHeight="1" x14ac:dyDescent="0.25">
      <c r="B124" s="212"/>
      <c r="C124" s="213"/>
      <c r="D124" s="207">
        <f>SUMIFS('апрель 2023'!$G$4:$G$692,'апрель 2023'!$D$4:$D$692,$B124,'апрель 2023'!$J$4:$J$692,D$1)</f>
        <v>0</v>
      </c>
      <c r="E124" s="207">
        <f>SUMIFS('апрель 2023'!$G$4:$G$692,'апрель 2023'!$D$4:$D$692,$B124,'апрель 2023'!$J$4:$J$692,E$1)</f>
        <v>0</v>
      </c>
      <c r="F124" s="207">
        <f>SUMIFS('апрель 2023'!$G$4:$G$692,'апрель 2023'!$D$4:$D$692,$B124,'апрель 2023'!$J$4:$J$692,F$1)</f>
        <v>0</v>
      </c>
      <c r="G124" s="207">
        <f>SUMIFS('апрель 2023'!$G$4:$G$692,'апрель 2023'!$D$4:$D$692,$B124,'апрель 2023'!$J$4:$J$692,G$1)</f>
        <v>0</v>
      </c>
      <c r="H124" s="207">
        <f>SUMIFS('апрель 2023'!$G$4:$G$692,'апрель 2023'!$D$4:$D$692,$B124,'апрель 2023'!$J$4:$J$692,H$1)</f>
        <v>0</v>
      </c>
      <c r="I124" s="207">
        <f>SUMIFS('апрель 2023'!$G$4:$G$692,'апрель 2023'!$D$4:$D$692,$B124,'апрель 2023'!$J$4:$J$692,I$1)</f>
        <v>0</v>
      </c>
      <c r="J124" s="207">
        <f>SUMIFS('апрель 2023'!$G$4:$G$692,'апрель 2023'!$D$4:$D$692,$B124,'апрель 2023'!$J$4:$J$692,J$1)</f>
        <v>0</v>
      </c>
      <c r="K124" s="207">
        <f>SUMIFS('апрель 2023'!$G$4:$G$692,'апрель 2023'!$D$4:$D$692,$B124,'апрель 2023'!$J$4:$J$692,K$1)</f>
        <v>0</v>
      </c>
      <c r="L124" s="207">
        <f>SUMIFS('апрель 2023'!$G$4:$G$692,'апрель 2023'!$D$4:$D$692,$B124,'апрель 2023'!$J$4:$J$692,L$1)</f>
        <v>0</v>
      </c>
      <c r="M124" s="207">
        <f>SUMIFS('апрель 2023'!$G$4:$G$692,'апрель 2023'!$D$4:$D$692,$B124,'апрель 2023'!$J$4:$J$692,M$1)</f>
        <v>0</v>
      </c>
      <c r="N124" s="207">
        <f>SUMIFS('апрель 2023'!$G$4:$G$692,'апрель 2023'!$D$4:$D$692,$B124,'апрель 2023'!$J$4:$J$692,N$1)</f>
        <v>0</v>
      </c>
      <c r="O124" s="207">
        <f>SUMIFS('апрель 2023'!$G$4:$G$692,'апрель 2023'!$D$4:$D$692,$B124,'апрель 2023'!$J$4:$J$692,O$1)</f>
        <v>0</v>
      </c>
      <c r="P124" s="207">
        <f>SUMIFS('апрель 2023'!$G$4:$G$692,'апрель 2023'!$D$4:$D$692,$B124,'апрель 2023'!$J$4:$J$692,P$1)</f>
        <v>0</v>
      </c>
      <c r="Q124" s="207">
        <f>SUMIFS('апрель 2023'!$G$4:$G$692,'апрель 2023'!$D$4:$D$692,$B124,'апрель 2023'!$J$4:$J$692,Q$1)</f>
        <v>0</v>
      </c>
      <c r="R124" s="207">
        <f>SUMIFS('апрель 2023'!$G$4:$G$692,'апрель 2023'!$D$4:$D$692,$B124,'апрель 2023'!$J$4:$J$692,R$1)</f>
        <v>0</v>
      </c>
      <c r="S124" s="207">
        <f>SUMIFS('апрель 2023'!$G$4:$G$692,'апрель 2023'!$D$4:$D$692,$B124,'апрель 2023'!$J$4:$J$692,S$1)</f>
        <v>0</v>
      </c>
      <c r="T124" s="207">
        <f>SUMIFS('апрель 2023'!$G$4:$G$692,'апрель 2023'!$D$4:$D$692,$B124,'апрель 2023'!$J$4:$J$692,T$1)</f>
        <v>0</v>
      </c>
      <c r="U124" s="207">
        <f>SUMIFS('апрель 2023'!$G$4:$G$692,'апрель 2023'!$D$4:$D$692,$B124,'апрель 2023'!$J$4:$J$692,U$1)</f>
        <v>0</v>
      </c>
      <c r="V124" s="207">
        <f>SUMIFS('апрель 2023'!$G$4:$G$692,'апрель 2023'!$D$4:$D$692,$B124,'апрель 2023'!$J$4:$J$692,V$1)</f>
        <v>0</v>
      </c>
      <c r="W124" s="207">
        <f>SUMIFS('апрель 2023'!$G$4:$G$692,'апрель 2023'!$D$4:$D$692,$B124,'апрель 2023'!$J$4:$J$692,W$1)</f>
        <v>0</v>
      </c>
      <c r="X124" s="207">
        <f>SUMIFS('апрель 2023'!$G$4:$G$692,'апрель 2023'!$D$4:$D$692,$B124,'апрель 2023'!$J$4:$J$692,X$1)</f>
        <v>0</v>
      </c>
      <c r="Y124" s="207">
        <f>SUMIFS('апрель 2023'!$G$4:$G$692,'апрель 2023'!$D$4:$D$692,$B124,'апрель 2023'!$J$4:$J$692,Y$1)</f>
        <v>0</v>
      </c>
      <c r="Z124" s="207">
        <f>SUMIFS('апрель 2023'!$G$4:$G$692,'апрель 2023'!$D$4:$D$692,$B124,'апрель 2023'!$J$4:$J$692,Z$1)</f>
        <v>0</v>
      </c>
      <c r="AA124" s="207">
        <f>SUMIFS('апрель 2023'!$G$4:$G$692,'апрель 2023'!$D$4:$D$692,$B124,'апрель 2023'!$J$4:$J$692,AA$1)</f>
        <v>0</v>
      </c>
      <c r="AB124" s="207">
        <f>SUMIFS('апрель 2023'!$G$4:$G$692,'апрель 2023'!$D$4:$D$692,$B124,'апрель 2023'!$J$4:$J$692,AB$1)</f>
        <v>0</v>
      </c>
      <c r="AC124" s="207">
        <f>SUMIFS('апрель 2023'!$G$4:$G$692,'апрель 2023'!$D$4:$D$692,$B124,'апрель 2023'!$J$4:$J$692,AC$1)</f>
        <v>0</v>
      </c>
      <c r="AD124" s="207">
        <f>SUMIFS('апрель 2023'!$G$4:$G$692,'апрель 2023'!$D$4:$D$692,$B124,'апрель 2023'!$J$4:$J$692,AD$1)</f>
        <v>0</v>
      </c>
      <c r="AE124" s="207">
        <f>SUMIFS('апрель 2023'!$G$4:$G$692,'апрель 2023'!$D$4:$D$692,$B124,'апрель 2023'!$J$4:$J$692,AE$1)</f>
        <v>0</v>
      </c>
      <c r="AF124" s="207">
        <f>SUMIFS('апрель 2023'!$G$4:$G$692,'апрель 2023'!$D$4:$D$692,$B124,'апрель 2023'!$J$4:$J$692,AF$1)</f>
        <v>0</v>
      </c>
      <c r="AG124" s="207">
        <f>SUMIFS('апрель 2023'!$G$4:$G$692,'апрель 2023'!$D$4:$D$692,$B124,'апрель 2023'!$J$4:$J$692,AG$1)</f>
        <v>0</v>
      </c>
      <c r="AH124" s="207">
        <f>SUMIFS('апрель 2023'!$G$4:$G$692,'апрель 2023'!$D$4:$D$692,$B124,'апрель 2023'!$J$4:$J$692,AH$1)</f>
        <v>0</v>
      </c>
      <c r="AI124" s="220"/>
    </row>
    <row r="125" spans="2:35" ht="15" hidden="1" customHeight="1" x14ac:dyDescent="0.25">
      <c r="B125" s="212"/>
      <c r="C125" s="211"/>
      <c r="D125" s="207">
        <f>SUMIFS('апрель 2023'!$G$4:$G$692,'апрель 2023'!$D$4:$D$692,$B125,'апрель 2023'!$J$4:$J$692,D$1)</f>
        <v>0</v>
      </c>
      <c r="E125" s="207">
        <f>SUMIFS('апрель 2023'!$G$4:$G$692,'апрель 2023'!$D$4:$D$692,$B125,'апрель 2023'!$J$4:$J$692,E$1)</f>
        <v>0</v>
      </c>
      <c r="F125" s="207">
        <f>SUMIFS('апрель 2023'!$G$4:$G$692,'апрель 2023'!$D$4:$D$692,$B125,'апрель 2023'!$J$4:$J$692,F$1)</f>
        <v>0</v>
      </c>
      <c r="G125" s="207">
        <f>SUMIFS('апрель 2023'!$G$4:$G$692,'апрель 2023'!$D$4:$D$692,$B125,'апрель 2023'!$J$4:$J$692,G$1)</f>
        <v>0</v>
      </c>
      <c r="H125" s="207">
        <f>SUMIFS('апрель 2023'!$G$4:$G$692,'апрель 2023'!$D$4:$D$692,$B125,'апрель 2023'!$J$4:$J$692,H$1)</f>
        <v>0</v>
      </c>
      <c r="I125" s="207">
        <f>SUMIFS('апрель 2023'!$G$4:$G$692,'апрель 2023'!$D$4:$D$692,$B125,'апрель 2023'!$J$4:$J$692,I$1)</f>
        <v>0</v>
      </c>
      <c r="J125" s="207">
        <f>SUMIFS('апрель 2023'!$G$4:$G$692,'апрель 2023'!$D$4:$D$692,$B125,'апрель 2023'!$J$4:$J$692,J$1)</f>
        <v>0</v>
      </c>
      <c r="K125" s="207">
        <f>SUMIFS('апрель 2023'!$G$4:$G$692,'апрель 2023'!$D$4:$D$692,$B125,'апрель 2023'!$J$4:$J$692,K$1)</f>
        <v>0</v>
      </c>
      <c r="L125" s="207">
        <f>SUMIFS('апрель 2023'!$G$4:$G$692,'апрель 2023'!$D$4:$D$692,$B125,'апрель 2023'!$J$4:$J$692,L$1)</f>
        <v>0</v>
      </c>
      <c r="M125" s="207">
        <f>SUMIFS('апрель 2023'!$G$4:$G$692,'апрель 2023'!$D$4:$D$692,$B125,'апрель 2023'!$J$4:$J$692,M$1)</f>
        <v>0</v>
      </c>
      <c r="N125" s="207">
        <f>SUMIFS('апрель 2023'!$G$4:$G$692,'апрель 2023'!$D$4:$D$692,$B125,'апрель 2023'!$J$4:$J$692,N$1)</f>
        <v>0</v>
      </c>
      <c r="O125" s="207">
        <f>SUMIFS('апрель 2023'!$G$4:$G$692,'апрель 2023'!$D$4:$D$692,$B125,'апрель 2023'!$J$4:$J$692,O$1)</f>
        <v>0</v>
      </c>
      <c r="P125" s="207">
        <f>SUMIFS('апрель 2023'!$G$4:$G$692,'апрель 2023'!$D$4:$D$692,$B125,'апрель 2023'!$J$4:$J$692,P$1)</f>
        <v>0</v>
      </c>
      <c r="Q125" s="207">
        <f>SUMIFS('апрель 2023'!$G$4:$G$692,'апрель 2023'!$D$4:$D$692,$B125,'апрель 2023'!$J$4:$J$692,Q$1)</f>
        <v>0</v>
      </c>
      <c r="R125" s="207">
        <f>SUMIFS('апрель 2023'!$G$4:$G$692,'апрель 2023'!$D$4:$D$692,$B125,'апрель 2023'!$J$4:$J$692,R$1)</f>
        <v>0</v>
      </c>
      <c r="S125" s="207">
        <f>SUMIFS('апрель 2023'!$G$4:$G$692,'апрель 2023'!$D$4:$D$692,$B125,'апрель 2023'!$J$4:$J$692,S$1)</f>
        <v>0</v>
      </c>
      <c r="T125" s="207">
        <f>SUMIFS('апрель 2023'!$G$4:$G$692,'апрель 2023'!$D$4:$D$692,$B125,'апрель 2023'!$J$4:$J$692,T$1)</f>
        <v>0</v>
      </c>
      <c r="U125" s="207">
        <f>SUMIFS('апрель 2023'!$G$4:$G$692,'апрель 2023'!$D$4:$D$692,$B125,'апрель 2023'!$J$4:$J$692,U$1)</f>
        <v>0</v>
      </c>
      <c r="V125" s="207">
        <f>SUMIFS('апрель 2023'!$G$4:$G$692,'апрель 2023'!$D$4:$D$692,$B125,'апрель 2023'!$J$4:$J$692,V$1)</f>
        <v>0</v>
      </c>
      <c r="W125" s="207">
        <f>SUMIFS('апрель 2023'!$G$4:$G$692,'апрель 2023'!$D$4:$D$692,$B125,'апрель 2023'!$J$4:$J$692,W$1)</f>
        <v>0</v>
      </c>
      <c r="X125" s="207">
        <f>SUMIFS('апрель 2023'!$G$4:$G$692,'апрель 2023'!$D$4:$D$692,$B125,'апрель 2023'!$J$4:$J$692,X$1)</f>
        <v>0</v>
      </c>
      <c r="Y125" s="207">
        <f>SUMIFS('апрель 2023'!$G$4:$G$692,'апрель 2023'!$D$4:$D$692,$B125,'апрель 2023'!$J$4:$J$692,Y$1)</f>
        <v>0</v>
      </c>
      <c r="Z125" s="207">
        <f>SUMIFS('апрель 2023'!$G$4:$G$692,'апрель 2023'!$D$4:$D$692,$B125,'апрель 2023'!$J$4:$J$692,Z$1)</f>
        <v>0</v>
      </c>
      <c r="AA125" s="207">
        <f>SUMIFS('апрель 2023'!$G$4:$G$692,'апрель 2023'!$D$4:$D$692,$B125,'апрель 2023'!$J$4:$J$692,AA$1)</f>
        <v>0</v>
      </c>
      <c r="AB125" s="207">
        <f>SUMIFS('апрель 2023'!$G$4:$G$692,'апрель 2023'!$D$4:$D$692,$B125,'апрель 2023'!$J$4:$J$692,AB$1)</f>
        <v>0</v>
      </c>
      <c r="AC125" s="207">
        <f>SUMIFS('апрель 2023'!$G$4:$G$692,'апрель 2023'!$D$4:$D$692,$B125,'апрель 2023'!$J$4:$J$692,AC$1)</f>
        <v>0</v>
      </c>
      <c r="AD125" s="207">
        <f>SUMIFS('апрель 2023'!$G$4:$G$692,'апрель 2023'!$D$4:$D$692,$B125,'апрель 2023'!$J$4:$J$692,AD$1)</f>
        <v>0</v>
      </c>
      <c r="AE125" s="207">
        <f>SUMIFS('апрель 2023'!$G$4:$G$692,'апрель 2023'!$D$4:$D$692,$B125,'апрель 2023'!$J$4:$J$692,AE$1)</f>
        <v>0</v>
      </c>
      <c r="AF125" s="207">
        <f>SUMIFS('апрель 2023'!$G$4:$G$692,'апрель 2023'!$D$4:$D$692,$B125,'апрель 2023'!$J$4:$J$692,AF$1)</f>
        <v>0</v>
      </c>
      <c r="AG125" s="207">
        <f>SUMIFS('апрель 2023'!$G$4:$G$692,'апрель 2023'!$D$4:$D$692,$B125,'апрель 2023'!$J$4:$J$692,AG$1)</f>
        <v>0</v>
      </c>
      <c r="AH125" s="207">
        <f>SUMIFS('апрель 2023'!$G$4:$G$692,'апрель 2023'!$D$4:$D$692,$B125,'апрель 2023'!$J$4:$J$692,AH$1)</f>
        <v>0</v>
      </c>
      <c r="AI125" s="220"/>
    </row>
    <row r="126" spans="2:35" ht="15" hidden="1" customHeight="1" x14ac:dyDescent="0.25">
      <c r="B126" s="212"/>
      <c r="C126" s="211"/>
      <c r="D126" s="207">
        <f>SUMIFS('апрель 2023'!$G$4:$G$692,'апрель 2023'!$D$4:$D$692,$B126,'апрель 2023'!$J$4:$J$692,D$1)</f>
        <v>0</v>
      </c>
      <c r="E126" s="207">
        <f>SUMIFS('апрель 2023'!$G$4:$G$692,'апрель 2023'!$D$4:$D$692,$B126,'апрель 2023'!$J$4:$J$692,E$1)</f>
        <v>0</v>
      </c>
      <c r="F126" s="207">
        <f>SUMIFS('апрель 2023'!$G$4:$G$692,'апрель 2023'!$D$4:$D$692,$B126,'апрель 2023'!$J$4:$J$692,F$1)</f>
        <v>0</v>
      </c>
      <c r="G126" s="207">
        <f>SUMIFS('апрель 2023'!$G$4:$G$692,'апрель 2023'!$D$4:$D$692,$B126,'апрель 2023'!$J$4:$J$692,G$1)</f>
        <v>0</v>
      </c>
      <c r="H126" s="207">
        <f>SUMIFS('апрель 2023'!$G$4:$G$692,'апрель 2023'!$D$4:$D$692,$B126,'апрель 2023'!$J$4:$J$692,H$1)</f>
        <v>0</v>
      </c>
      <c r="I126" s="207">
        <f>SUMIFS('апрель 2023'!$G$4:$G$692,'апрель 2023'!$D$4:$D$692,$B126,'апрель 2023'!$J$4:$J$692,I$1)</f>
        <v>0</v>
      </c>
      <c r="J126" s="207">
        <f>SUMIFS('апрель 2023'!$G$4:$G$692,'апрель 2023'!$D$4:$D$692,$B126,'апрель 2023'!$J$4:$J$692,J$1)</f>
        <v>0</v>
      </c>
      <c r="K126" s="207">
        <f>SUMIFS('апрель 2023'!$G$4:$G$692,'апрель 2023'!$D$4:$D$692,$B126,'апрель 2023'!$J$4:$J$692,K$1)</f>
        <v>0</v>
      </c>
      <c r="L126" s="207">
        <f>SUMIFS('апрель 2023'!$G$4:$G$692,'апрель 2023'!$D$4:$D$692,$B126,'апрель 2023'!$J$4:$J$692,L$1)</f>
        <v>0</v>
      </c>
      <c r="M126" s="207">
        <f>SUMIFS('апрель 2023'!$G$4:$G$692,'апрель 2023'!$D$4:$D$692,$B126,'апрель 2023'!$J$4:$J$692,M$1)</f>
        <v>0</v>
      </c>
      <c r="N126" s="207">
        <f>SUMIFS('апрель 2023'!$G$4:$G$692,'апрель 2023'!$D$4:$D$692,$B126,'апрель 2023'!$J$4:$J$692,N$1)</f>
        <v>0</v>
      </c>
      <c r="O126" s="207">
        <f>SUMIFS('апрель 2023'!$G$4:$G$692,'апрель 2023'!$D$4:$D$692,$B126,'апрель 2023'!$J$4:$J$692,O$1)</f>
        <v>0</v>
      </c>
      <c r="P126" s="207">
        <f>SUMIFS('апрель 2023'!$G$4:$G$692,'апрель 2023'!$D$4:$D$692,$B126,'апрель 2023'!$J$4:$J$692,P$1)</f>
        <v>0</v>
      </c>
      <c r="Q126" s="207">
        <f>SUMIFS('апрель 2023'!$G$4:$G$692,'апрель 2023'!$D$4:$D$692,$B126,'апрель 2023'!$J$4:$J$692,Q$1)</f>
        <v>0</v>
      </c>
      <c r="R126" s="207">
        <f>SUMIFS('апрель 2023'!$G$4:$G$692,'апрель 2023'!$D$4:$D$692,$B126,'апрель 2023'!$J$4:$J$692,R$1)</f>
        <v>0</v>
      </c>
      <c r="S126" s="207">
        <f>SUMIFS('апрель 2023'!$G$4:$G$692,'апрель 2023'!$D$4:$D$692,$B126,'апрель 2023'!$J$4:$J$692,S$1)</f>
        <v>0</v>
      </c>
      <c r="T126" s="207">
        <f>SUMIFS('апрель 2023'!$G$4:$G$692,'апрель 2023'!$D$4:$D$692,$B126,'апрель 2023'!$J$4:$J$692,T$1)</f>
        <v>0</v>
      </c>
      <c r="U126" s="207">
        <f>SUMIFS('апрель 2023'!$G$4:$G$692,'апрель 2023'!$D$4:$D$692,$B126,'апрель 2023'!$J$4:$J$692,U$1)</f>
        <v>0</v>
      </c>
      <c r="V126" s="207">
        <f>SUMIFS('апрель 2023'!$G$4:$G$692,'апрель 2023'!$D$4:$D$692,$B126,'апрель 2023'!$J$4:$J$692,V$1)</f>
        <v>0</v>
      </c>
      <c r="W126" s="207">
        <f>SUMIFS('апрель 2023'!$G$4:$G$692,'апрель 2023'!$D$4:$D$692,$B126,'апрель 2023'!$J$4:$J$692,W$1)</f>
        <v>0</v>
      </c>
      <c r="X126" s="207">
        <f>SUMIFS('апрель 2023'!$G$4:$G$692,'апрель 2023'!$D$4:$D$692,$B126,'апрель 2023'!$J$4:$J$692,X$1)</f>
        <v>0</v>
      </c>
      <c r="Y126" s="207">
        <f>SUMIFS('апрель 2023'!$G$4:$G$692,'апрель 2023'!$D$4:$D$692,$B126,'апрель 2023'!$J$4:$J$692,Y$1)</f>
        <v>0</v>
      </c>
      <c r="Z126" s="207">
        <f>SUMIFS('апрель 2023'!$G$4:$G$692,'апрель 2023'!$D$4:$D$692,$B126,'апрель 2023'!$J$4:$J$692,Z$1)</f>
        <v>0</v>
      </c>
      <c r="AA126" s="207">
        <f>SUMIFS('апрель 2023'!$G$4:$G$692,'апрель 2023'!$D$4:$D$692,$B126,'апрель 2023'!$J$4:$J$692,AA$1)</f>
        <v>0</v>
      </c>
      <c r="AB126" s="207">
        <f>SUMIFS('апрель 2023'!$G$4:$G$692,'апрель 2023'!$D$4:$D$692,$B126,'апрель 2023'!$J$4:$J$692,AB$1)</f>
        <v>0</v>
      </c>
      <c r="AC126" s="207">
        <f>SUMIFS('апрель 2023'!$G$4:$G$692,'апрель 2023'!$D$4:$D$692,$B126,'апрель 2023'!$J$4:$J$692,AC$1)</f>
        <v>0</v>
      </c>
      <c r="AD126" s="207">
        <f>SUMIFS('апрель 2023'!$G$4:$G$692,'апрель 2023'!$D$4:$D$692,$B126,'апрель 2023'!$J$4:$J$692,AD$1)</f>
        <v>0</v>
      </c>
      <c r="AE126" s="207">
        <f>SUMIFS('апрель 2023'!$G$4:$G$692,'апрель 2023'!$D$4:$D$692,$B126,'апрель 2023'!$J$4:$J$692,AE$1)</f>
        <v>0</v>
      </c>
      <c r="AF126" s="207">
        <f>SUMIFS('апрель 2023'!$G$4:$G$692,'апрель 2023'!$D$4:$D$692,$B126,'апрель 2023'!$J$4:$J$692,AF$1)</f>
        <v>0</v>
      </c>
      <c r="AG126" s="207">
        <f>SUMIFS('апрель 2023'!$G$4:$G$692,'апрель 2023'!$D$4:$D$692,$B126,'апрель 2023'!$J$4:$J$692,AG$1)</f>
        <v>0</v>
      </c>
      <c r="AH126" s="207">
        <f>SUMIFS('апрель 2023'!$G$4:$G$692,'апрель 2023'!$D$4:$D$692,$B126,'апрель 2023'!$J$4:$J$692,AH$1)</f>
        <v>0</v>
      </c>
      <c r="AI126" s="220"/>
    </row>
    <row r="127" spans="2:35" ht="15" hidden="1" customHeight="1" x14ac:dyDescent="0.25">
      <c r="B127" s="212"/>
      <c r="C127" s="211"/>
      <c r="D127" s="207">
        <f>SUMIFS('апрель 2023'!$G$4:$G$692,'апрель 2023'!$D$4:$D$692,$B127,'апрель 2023'!$J$4:$J$692,D$1)</f>
        <v>0</v>
      </c>
      <c r="E127" s="207">
        <f>SUMIFS('апрель 2023'!$G$4:$G$692,'апрель 2023'!$D$4:$D$692,$B127,'апрель 2023'!$J$4:$J$692,E$1)</f>
        <v>0</v>
      </c>
      <c r="F127" s="207">
        <f>SUMIFS('апрель 2023'!$G$4:$G$692,'апрель 2023'!$D$4:$D$692,$B127,'апрель 2023'!$J$4:$J$692,F$1)</f>
        <v>0</v>
      </c>
      <c r="G127" s="207">
        <f>SUMIFS('апрель 2023'!$G$4:$G$692,'апрель 2023'!$D$4:$D$692,$B127,'апрель 2023'!$J$4:$J$692,G$1)</f>
        <v>0</v>
      </c>
      <c r="H127" s="207">
        <f>SUMIFS('апрель 2023'!$G$4:$G$692,'апрель 2023'!$D$4:$D$692,$B127,'апрель 2023'!$J$4:$J$692,H$1)</f>
        <v>0</v>
      </c>
      <c r="I127" s="207">
        <f>SUMIFS('апрель 2023'!$G$4:$G$692,'апрель 2023'!$D$4:$D$692,$B127,'апрель 2023'!$J$4:$J$692,I$1)</f>
        <v>0</v>
      </c>
      <c r="J127" s="207">
        <f>SUMIFS('апрель 2023'!$G$4:$G$692,'апрель 2023'!$D$4:$D$692,$B127,'апрель 2023'!$J$4:$J$692,J$1)</f>
        <v>0</v>
      </c>
      <c r="K127" s="207">
        <f>SUMIFS('апрель 2023'!$G$4:$G$692,'апрель 2023'!$D$4:$D$692,$B127,'апрель 2023'!$J$4:$J$692,K$1)</f>
        <v>0</v>
      </c>
      <c r="L127" s="207">
        <f>SUMIFS('апрель 2023'!$G$4:$G$692,'апрель 2023'!$D$4:$D$692,$B127,'апрель 2023'!$J$4:$J$692,L$1)</f>
        <v>0</v>
      </c>
      <c r="M127" s="207">
        <f>SUMIFS('апрель 2023'!$G$4:$G$692,'апрель 2023'!$D$4:$D$692,$B127,'апрель 2023'!$J$4:$J$692,M$1)</f>
        <v>0</v>
      </c>
      <c r="N127" s="207">
        <f>SUMIFS('апрель 2023'!$G$4:$G$692,'апрель 2023'!$D$4:$D$692,$B127,'апрель 2023'!$J$4:$J$692,N$1)</f>
        <v>0</v>
      </c>
      <c r="O127" s="207">
        <f>SUMIFS('апрель 2023'!$G$4:$G$692,'апрель 2023'!$D$4:$D$692,$B127,'апрель 2023'!$J$4:$J$692,O$1)</f>
        <v>0</v>
      </c>
      <c r="P127" s="207">
        <f>SUMIFS('апрель 2023'!$G$4:$G$692,'апрель 2023'!$D$4:$D$692,$B127,'апрель 2023'!$J$4:$J$692,P$1)</f>
        <v>0</v>
      </c>
      <c r="Q127" s="207">
        <f>SUMIFS('апрель 2023'!$G$4:$G$692,'апрель 2023'!$D$4:$D$692,$B127,'апрель 2023'!$J$4:$J$692,Q$1)</f>
        <v>0</v>
      </c>
      <c r="R127" s="207">
        <f>SUMIFS('апрель 2023'!$G$4:$G$692,'апрель 2023'!$D$4:$D$692,$B127,'апрель 2023'!$J$4:$J$692,R$1)</f>
        <v>0</v>
      </c>
      <c r="S127" s="207">
        <f>SUMIFS('апрель 2023'!$G$4:$G$692,'апрель 2023'!$D$4:$D$692,$B127,'апрель 2023'!$J$4:$J$692,S$1)</f>
        <v>0</v>
      </c>
      <c r="T127" s="207">
        <f>SUMIFS('апрель 2023'!$G$4:$G$692,'апрель 2023'!$D$4:$D$692,$B127,'апрель 2023'!$J$4:$J$692,T$1)</f>
        <v>0</v>
      </c>
      <c r="U127" s="207">
        <f>SUMIFS('апрель 2023'!$G$4:$G$692,'апрель 2023'!$D$4:$D$692,$B127,'апрель 2023'!$J$4:$J$692,U$1)</f>
        <v>0</v>
      </c>
      <c r="V127" s="207">
        <f>SUMIFS('апрель 2023'!$G$4:$G$692,'апрель 2023'!$D$4:$D$692,$B127,'апрель 2023'!$J$4:$J$692,V$1)</f>
        <v>0</v>
      </c>
      <c r="W127" s="207">
        <f>SUMIFS('апрель 2023'!$G$4:$G$692,'апрель 2023'!$D$4:$D$692,$B127,'апрель 2023'!$J$4:$J$692,W$1)</f>
        <v>0</v>
      </c>
      <c r="X127" s="207">
        <f>SUMIFS('апрель 2023'!$G$4:$G$692,'апрель 2023'!$D$4:$D$692,$B127,'апрель 2023'!$J$4:$J$692,X$1)</f>
        <v>0</v>
      </c>
      <c r="Y127" s="207">
        <f>SUMIFS('апрель 2023'!$G$4:$G$692,'апрель 2023'!$D$4:$D$692,$B127,'апрель 2023'!$J$4:$J$692,Y$1)</f>
        <v>0</v>
      </c>
      <c r="Z127" s="207">
        <f>SUMIFS('апрель 2023'!$G$4:$G$692,'апрель 2023'!$D$4:$D$692,$B127,'апрель 2023'!$J$4:$J$692,Z$1)</f>
        <v>0</v>
      </c>
      <c r="AA127" s="207">
        <f>SUMIFS('апрель 2023'!$G$4:$G$692,'апрель 2023'!$D$4:$D$692,$B127,'апрель 2023'!$J$4:$J$692,AA$1)</f>
        <v>0</v>
      </c>
      <c r="AB127" s="207">
        <f>SUMIFS('апрель 2023'!$G$4:$G$692,'апрель 2023'!$D$4:$D$692,$B127,'апрель 2023'!$J$4:$J$692,AB$1)</f>
        <v>0</v>
      </c>
      <c r="AC127" s="207">
        <f>SUMIFS('апрель 2023'!$G$4:$G$692,'апрель 2023'!$D$4:$D$692,$B127,'апрель 2023'!$J$4:$J$692,AC$1)</f>
        <v>0</v>
      </c>
      <c r="AD127" s="207">
        <f>SUMIFS('апрель 2023'!$G$4:$G$692,'апрель 2023'!$D$4:$D$692,$B127,'апрель 2023'!$J$4:$J$692,AD$1)</f>
        <v>0</v>
      </c>
      <c r="AE127" s="207">
        <f>SUMIFS('апрель 2023'!$G$4:$G$692,'апрель 2023'!$D$4:$D$692,$B127,'апрель 2023'!$J$4:$J$692,AE$1)</f>
        <v>0</v>
      </c>
      <c r="AF127" s="207">
        <f>SUMIFS('апрель 2023'!$G$4:$G$692,'апрель 2023'!$D$4:$D$692,$B127,'апрель 2023'!$J$4:$J$692,AF$1)</f>
        <v>0</v>
      </c>
      <c r="AG127" s="207">
        <f>SUMIFS('апрель 2023'!$G$4:$G$692,'апрель 2023'!$D$4:$D$692,$B127,'апрель 2023'!$J$4:$J$692,AG$1)</f>
        <v>0</v>
      </c>
      <c r="AH127" s="207">
        <f>SUMIFS('апрель 2023'!$G$4:$G$692,'апрель 2023'!$D$4:$D$692,$B127,'апрель 2023'!$J$4:$J$692,AH$1)</f>
        <v>0</v>
      </c>
      <c r="AI127" s="220"/>
    </row>
    <row r="128" spans="2:35" ht="15" hidden="1" customHeight="1" x14ac:dyDescent="0.25">
      <c r="B128" s="216"/>
      <c r="C128" s="213"/>
      <c r="D128" s="207">
        <f>SUMIFS('апрель 2023'!$G$4:$G$692,'апрель 2023'!$D$4:$D$692,$B128,'апрель 2023'!$J$4:$J$692,D$1)</f>
        <v>0</v>
      </c>
      <c r="E128" s="207">
        <f>SUMIFS('апрель 2023'!$G$4:$G$692,'апрель 2023'!$D$4:$D$692,$B128,'апрель 2023'!$J$4:$J$692,E$1)</f>
        <v>0</v>
      </c>
      <c r="F128" s="207">
        <f>SUMIFS('апрель 2023'!$G$4:$G$692,'апрель 2023'!$D$4:$D$692,$B128,'апрель 2023'!$J$4:$J$692,F$1)</f>
        <v>0</v>
      </c>
      <c r="G128" s="207">
        <f>SUMIFS('апрель 2023'!$G$4:$G$692,'апрель 2023'!$D$4:$D$692,$B128,'апрель 2023'!$J$4:$J$692,G$1)</f>
        <v>0</v>
      </c>
      <c r="H128" s="207">
        <f>SUMIFS('апрель 2023'!$G$4:$G$692,'апрель 2023'!$D$4:$D$692,$B128,'апрель 2023'!$J$4:$J$692,H$1)</f>
        <v>0</v>
      </c>
      <c r="I128" s="207">
        <f>SUMIFS('апрель 2023'!$G$4:$G$692,'апрель 2023'!$D$4:$D$692,$B128,'апрель 2023'!$J$4:$J$692,I$1)</f>
        <v>0</v>
      </c>
      <c r="J128" s="207">
        <f>SUMIFS('апрель 2023'!$G$4:$G$692,'апрель 2023'!$D$4:$D$692,$B128,'апрель 2023'!$J$4:$J$692,J$1)</f>
        <v>0</v>
      </c>
      <c r="K128" s="207">
        <f>SUMIFS('апрель 2023'!$G$4:$G$692,'апрель 2023'!$D$4:$D$692,$B128,'апрель 2023'!$J$4:$J$692,K$1)</f>
        <v>0</v>
      </c>
      <c r="L128" s="207">
        <f>SUMIFS('апрель 2023'!$G$4:$G$692,'апрель 2023'!$D$4:$D$692,$B128,'апрель 2023'!$J$4:$J$692,L$1)</f>
        <v>0</v>
      </c>
      <c r="M128" s="207">
        <f>SUMIFS('апрель 2023'!$G$4:$G$692,'апрель 2023'!$D$4:$D$692,$B128,'апрель 2023'!$J$4:$J$692,M$1)</f>
        <v>0</v>
      </c>
      <c r="N128" s="207">
        <f>SUMIFS('апрель 2023'!$G$4:$G$692,'апрель 2023'!$D$4:$D$692,$B128,'апрель 2023'!$J$4:$J$692,N$1)</f>
        <v>0</v>
      </c>
      <c r="O128" s="207">
        <f>SUMIFS('апрель 2023'!$G$4:$G$692,'апрель 2023'!$D$4:$D$692,$B128,'апрель 2023'!$J$4:$J$692,O$1)</f>
        <v>0</v>
      </c>
      <c r="P128" s="207">
        <f>SUMIFS('апрель 2023'!$G$4:$G$692,'апрель 2023'!$D$4:$D$692,$B128,'апрель 2023'!$J$4:$J$692,P$1)</f>
        <v>0</v>
      </c>
      <c r="Q128" s="207">
        <f>SUMIFS('апрель 2023'!$G$4:$G$692,'апрель 2023'!$D$4:$D$692,$B128,'апрель 2023'!$J$4:$J$692,Q$1)</f>
        <v>0</v>
      </c>
      <c r="R128" s="207">
        <f>SUMIFS('апрель 2023'!$G$4:$G$692,'апрель 2023'!$D$4:$D$692,$B128,'апрель 2023'!$J$4:$J$692,R$1)</f>
        <v>0</v>
      </c>
      <c r="S128" s="207">
        <f>SUMIFS('апрель 2023'!$G$4:$G$692,'апрель 2023'!$D$4:$D$692,$B128,'апрель 2023'!$J$4:$J$692,S$1)</f>
        <v>0</v>
      </c>
      <c r="T128" s="207">
        <f>SUMIFS('апрель 2023'!$G$4:$G$692,'апрель 2023'!$D$4:$D$692,$B128,'апрель 2023'!$J$4:$J$692,T$1)</f>
        <v>0</v>
      </c>
      <c r="U128" s="207">
        <f>SUMIFS('апрель 2023'!$G$4:$G$692,'апрель 2023'!$D$4:$D$692,$B128,'апрель 2023'!$J$4:$J$692,U$1)</f>
        <v>0</v>
      </c>
      <c r="V128" s="207">
        <f>SUMIFS('апрель 2023'!$G$4:$G$692,'апрель 2023'!$D$4:$D$692,$B128,'апрель 2023'!$J$4:$J$692,V$1)</f>
        <v>0</v>
      </c>
      <c r="W128" s="207">
        <f>SUMIFS('апрель 2023'!$G$4:$G$692,'апрель 2023'!$D$4:$D$692,$B128,'апрель 2023'!$J$4:$J$692,W$1)</f>
        <v>0</v>
      </c>
      <c r="X128" s="207">
        <f>SUMIFS('апрель 2023'!$G$4:$G$692,'апрель 2023'!$D$4:$D$692,$B128,'апрель 2023'!$J$4:$J$692,X$1)</f>
        <v>0</v>
      </c>
      <c r="Y128" s="207">
        <f>SUMIFS('апрель 2023'!$G$4:$G$692,'апрель 2023'!$D$4:$D$692,$B128,'апрель 2023'!$J$4:$J$692,Y$1)</f>
        <v>0</v>
      </c>
      <c r="Z128" s="207">
        <f>SUMIFS('апрель 2023'!$G$4:$G$692,'апрель 2023'!$D$4:$D$692,$B128,'апрель 2023'!$J$4:$J$692,Z$1)</f>
        <v>0</v>
      </c>
      <c r="AA128" s="207">
        <f>SUMIFS('апрель 2023'!$G$4:$G$692,'апрель 2023'!$D$4:$D$692,$B128,'апрель 2023'!$J$4:$J$692,AA$1)</f>
        <v>0</v>
      </c>
      <c r="AB128" s="207">
        <f>SUMIFS('апрель 2023'!$G$4:$G$692,'апрель 2023'!$D$4:$D$692,$B128,'апрель 2023'!$J$4:$J$692,AB$1)</f>
        <v>0</v>
      </c>
      <c r="AC128" s="207">
        <f>SUMIFS('апрель 2023'!$G$4:$G$692,'апрель 2023'!$D$4:$D$692,$B128,'апрель 2023'!$J$4:$J$692,AC$1)</f>
        <v>0</v>
      </c>
      <c r="AD128" s="207">
        <f>SUMIFS('апрель 2023'!$G$4:$G$692,'апрель 2023'!$D$4:$D$692,$B128,'апрель 2023'!$J$4:$J$692,AD$1)</f>
        <v>0</v>
      </c>
      <c r="AE128" s="207">
        <f>SUMIFS('апрель 2023'!$G$4:$G$692,'апрель 2023'!$D$4:$D$692,$B128,'апрель 2023'!$J$4:$J$692,AE$1)</f>
        <v>0</v>
      </c>
      <c r="AF128" s="207">
        <f>SUMIFS('апрель 2023'!$G$4:$G$692,'апрель 2023'!$D$4:$D$692,$B128,'апрель 2023'!$J$4:$J$692,AF$1)</f>
        <v>0</v>
      </c>
      <c r="AG128" s="207">
        <f>SUMIFS('апрель 2023'!$G$4:$G$692,'апрель 2023'!$D$4:$D$692,$B128,'апрель 2023'!$J$4:$J$692,AG$1)</f>
        <v>0</v>
      </c>
      <c r="AH128" s="207">
        <f>SUMIFS('апрель 2023'!$G$4:$G$692,'апрель 2023'!$D$4:$D$692,$B128,'апрель 2023'!$J$4:$J$692,AH$1)</f>
        <v>0</v>
      </c>
      <c r="AI128" s="220">
        <f t="shared" si="2"/>
        <v>0</v>
      </c>
    </row>
    <row r="129" spans="2:35" ht="15" hidden="1" customHeight="1" x14ac:dyDescent="0.25">
      <c r="B129" s="216"/>
      <c r="C129" s="213"/>
      <c r="D129" s="207">
        <f>SUMIFS('апрель 2023'!$G$4:$G$692,'апрель 2023'!$D$4:$D$692,$B129,'апрель 2023'!$J$4:$J$692,D$1)</f>
        <v>0</v>
      </c>
      <c r="E129" s="207">
        <f>SUMIFS('апрель 2023'!$G$4:$G$692,'апрель 2023'!$D$4:$D$692,$B129,'апрель 2023'!$J$4:$J$692,E$1)</f>
        <v>0</v>
      </c>
      <c r="F129" s="207">
        <f>SUMIFS('апрель 2023'!$G$4:$G$692,'апрель 2023'!$D$4:$D$692,$B129,'апрель 2023'!$J$4:$J$692,F$1)</f>
        <v>0</v>
      </c>
      <c r="G129" s="207">
        <f>SUMIFS('апрель 2023'!$G$4:$G$692,'апрель 2023'!$D$4:$D$692,$B129,'апрель 2023'!$J$4:$J$692,G$1)</f>
        <v>0</v>
      </c>
      <c r="H129" s="207">
        <f>SUMIFS('апрель 2023'!$G$4:$G$692,'апрель 2023'!$D$4:$D$692,$B129,'апрель 2023'!$J$4:$J$692,H$1)</f>
        <v>0</v>
      </c>
      <c r="I129" s="207">
        <f>SUMIFS('апрель 2023'!$G$4:$G$692,'апрель 2023'!$D$4:$D$692,$B129,'апрель 2023'!$J$4:$J$692,I$1)</f>
        <v>0</v>
      </c>
      <c r="J129" s="207">
        <f>SUMIFS('апрель 2023'!$G$4:$G$692,'апрель 2023'!$D$4:$D$692,$B129,'апрель 2023'!$J$4:$J$692,J$1)</f>
        <v>0</v>
      </c>
      <c r="K129" s="207">
        <f>SUMIFS('апрель 2023'!$G$4:$G$692,'апрель 2023'!$D$4:$D$692,$B129,'апрель 2023'!$J$4:$J$692,K$1)</f>
        <v>0</v>
      </c>
      <c r="L129" s="207">
        <f>SUMIFS('апрель 2023'!$G$4:$G$692,'апрель 2023'!$D$4:$D$692,$B129,'апрель 2023'!$J$4:$J$692,L$1)</f>
        <v>0</v>
      </c>
      <c r="M129" s="207">
        <f>SUMIFS('апрель 2023'!$G$4:$G$692,'апрель 2023'!$D$4:$D$692,$B129,'апрель 2023'!$J$4:$J$692,M$1)</f>
        <v>0</v>
      </c>
      <c r="N129" s="207">
        <f>SUMIFS('апрель 2023'!$G$4:$G$692,'апрель 2023'!$D$4:$D$692,$B129,'апрель 2023'!$J$4:$J$692,N$1)</f>
        <v>0</v>
      </c>
      <c r="O129" s="207">
        <f>SUMIFS('апрель 2023'!$G$4:$G$692,'апрель 2023'!$D$4:$D$692,$B129,'апрель 2023'!$J$4:$J$692,O$1)</f>
        <v>0</v>
      </c>
      <c r="P129" s="207">
        <f>SUMIFS('апрель 2023'!$G$4:$G$692,'апрель 2023'!$D$4:$D$692,$B129,'апрель 2023'!$J$4:$J$692,P$1)</f>
        <v>0</v>
      </c>
      <c r="Q129" s="207">
        <f>SUMIFS('апрель 2023'!$G$4:$G$692,'апрель 2023'!$D$4:$D$692,$B129,'апрель 2023'!$J$4:$J$692,Q$1)</f>
        <v>0</v>
      </c>
      <c r="R129" s="207">
        <f>SUMIFS('апрель 2023'!$G$4:$G$692,'апрель 2023'!$D$4:$D$692,$B129,'апрель 2023'!$J$4:$J$692,R$1)</f>
        <v>0</v>
      </c>
      <c r="S129" s="207">
        <f>SUMIFS('апрель 2023'!$G$4:$G$692,'апрель 2023'!$D$4:$D$692,$B129,'апрель 2023'!$J$4:$J$692,S$1)</f>
        <v>0</v>
      </c>
      <c r="T129" s="207">
        <f>SUMIFS('апрель 2023'!$G$4:$G$692,'апрель 2023'!$D$4:$D$692,$B129,'апрель 2023'!$J$4:$J$692,T$1)</f>
        <v>0</v>
      </c>
      <c r="U129" s="207">
        <f>SUMIFS('апрель 2023'!$G$4:$G$692,'апрель 2023'!$D$4:$D$692,$B129,'апрель 2023'!$J$4:$J$692,U$1)</f>
        <v>0</v>
      </c>
      <c r="V129" s="207">
        <f>SUMIFS('апрель 2023'!$G$4:$G$692,'апрель 2023'!$D$4:$D$692,$B129,'апрель 2023'!$J$4:$J$692,V$1)</f>
        <v>0</v>
      </c>
      <c r="W129" s="207">
        <f>SUMIFS('апрель 2023'!$G$4:$G$692,'апрель 2023'!$D$4:$D$692,$B129,'апрель 2023'!$J$4:$J$692,W$1)</f>
        <v>0</v>
      </c>
      <c r="X129" s="207">
        <f>SUMIFS('апрель 2023'!$G$4:$G$692,'апрель 2023'!$D$4:$D$692,$B129,'апрель 2023'!$J$4:$J$692,X$1)</f>
        <v>0</v>
      </c>
      <c r="Y129" s="207">
        <f>SUMIFS('апрель 2023'!$G$4:$G$692,'апрель 2023'!$D$4:$D$692,$B129,'апрель 2023'!$J$4:$J$692,Y$1)</f>
        <v>0</v>
      </c>
      <c r="Z129" s="207">
        <f>SUMIFS('апрель 2023'!$G$4:$G$692,'апрель 2023'!$D$4:$D$692,$B129,'апрель 2023'!$J$4:$J$692,Z$1)</f>
        <v>0</v>
      </c>
      <c r="AA129" s="207">
        <f>SUMIFS('апрель 2023'!$G$4:$G$692,'апрель 2023'!$D$4:$D$692,$B129,'апрель 2023'!$J$4:$J$692,AA$1)</f>
        <v>0</v>
      </c>
      <c r="AB129" s="207">
        <f>SUMIFS('апрель 2023'!$G$4:$G$692,'апрель 2023'!$D$4:$D$692,$B129,'апрель 2023'!$J$4:$J$692,AB$1)</f>
        <v>0</v>
      </c>
      <c r="AC129" s="207">
        <f>SUMIFS('апрель 2023'!$G$4:$G$692,'апрель 2023'!$D$4:$D$692,$B129,'апрель 2023'!$J$4:$J$692,AC$1)</f>
        <v>0</v>
      </c>
      <c r="AD129" s="207">
        <f>SUMIFS('апрель 2023'!$G$4:$G$692,'апрель 2023'!$D$4:$D$692,$B129,'апрель 2023'!$J$4:$J$692,AD$1)</f>
        <v>0</v>
      </c>
      <c r="AE129" s="207">
        <f>SUMIFS('апрель 2023'!$G$4:$G$692,'апрель 2023'!$D$4:$D$692,$B129,'апрель 2023'!$J$4:$J$692,AE$1)</f>
        <v>0</v>
      </c>
      <c r="AF129" s="207">
        <f>SUMIFS('апрель 2023'!$G$4:$G$692,'апрель 2023'!$D$4:$D$692,$B129,'апрель 2023'!$J$4:$J$692,AF$1)</f>
        <v>0</v>
      </c>
      <c r="AG129" s="207">
        <f>SUMIFS('апрель 2023'!$G$4:$G$692,'апрель 2023'!$D$4:$D$692,$B129,'апрель 2023'!$J$4:$J$692,AG$1)</f>
        <v>0</v>
      </c>
      <c r="AH129" s="207">
        <f>SUMIFS('апрель 2023'!$G$4:$G$692,'апрель 2023'!$D$4:$D$692,$B129,'апрель 2023'!$J$4:$J$692,AH$1)</f>
        <v>0</v>
      </c>
      <c r="AI129" s="220">
        <f t="shared" si="2"/>
        <v>0</v>
      </c>
    </row>
    <row r="130" spans="2:35" ht="15" hidden="1" customHeight="1" x14ac:dyDescent="0.25">
      <c r="B130" s="216"/>
      <c r="C130" s="213"/>
      <c r="D130" s="207">
        <f>SUMIFS('апрель 2023'!$G$4:$G$692,'апрель 2023'!$D$4:$D$692,$B130,'апрель 2023'!$J$4:$J$692,D$1)</f>
        <v>0</v>
      </c>
      <c r="E130" s="207">
        <f>SUMIFS('апрель 2023'!$G$4:$G$692,'апрель 2023'!$D$4:$D$692,$B130,'апрель 2023'!$J$4:$J$692,E$1)</f>
        <v>0</v>
      </c>
      <c r="F130" s="207">
        <f>SUMIFS('апрель 2023'!$G$4:$G$692,'апрель 2023'!$D$4:$D$692,$B130,'апрель 2023'!$J$4:$J$692,F$1)</f>
        <v>0</v>
      </c>
      <c r="G130" s="207">
        <f>SUMIFS('апрель 2023'!$G$4:$G$692,'апрель 2023'!$D$4:$D$692,$B130,'апрель 2023'!$J$4:$J$692,G$1)</f>
        <v>0</v>
      </c>
      <c r="H130" s="207">
        <f>SUMIFS('апрель 2023'!$G$4:$G$692,'апрель 2023'!$D$4:$D$692,$B130,'апрель 2023'!$J$4:$J$692,H$1)</f>
        <v>0</v>
      </c>
      <c r="I130" s="207">
        <f>SUMIFS('апрель 2023'!$G$4:$G$692,'апрель 2023'!$D$4:$D$692,$B130,'апрель 2023'!$J$4:$J$692,I$1)</f>
        <v>0</v>
      </c>
      <c r="J130" s="207">
        <f>SUMIFS('апрель 2023'!$G$4:$G$692,'апрель 2023'!$D$4:$D$692,$B130,'апрель 2023'!$J$4:$J$692,J$1)</f>
        <v>0</v>
      </c>
      <c r="K130" s="207">
        <f>SUMIFS('апрель 2023'!$G$4:$G$692,'апрель 2023'!$D$4:$D$692,$B130,'апрель 2023'!$J$4:$J$692,K$1)</f>
        <v>0</v>
      </c>
      <c r="L130" s="207">
        <f>SUMIFS('апрель 2023'!$G$4:$G$692,'апрель 2023'!$D$4:$D$692,$B130,'апрель 2023'!$J$4:$J$692,L$1)</f>
        <v>0</v>
      </c>
      <c r="M130" s="207">
        <f>SUMIFS('апрель 2023'!$G$4:$G$692,'апрель 2023'!$D$4:$D$692,$B130,'апрель 2023'!$J$4:$J$692,M$1)</f>
        <v>0</v>
      </c>
      <c r="N130" s="207">
        <f>SUMIFS('апрель 2023'!$G$4:$G$692,'апрель 2023'!$D$4:$D$692,$B130,'апрель 2023'!$J$4:$J$692,N$1)</f>
        <v>0</v>
      </c>
      <c r="O130" s="207">
        <f>SUMIFS('апрель 2023'!$G$4:$G$692,'апрель 2023'!$D$4:$D$692,$B130,'апрель 2023'!$J$4:$J$692,O$1)</f>
        <v>0</v>
      </c>
      <c r="P130" s="207">
        <f>SUMIFS('апрель 2023'!$G$4:$G$692,'апрель 2023'!$D$4:$D$692,$B130,'апрель 2023'!$J$4:$J$692,P$1)</f>
        <v>0</v>
      </c>
      <c r="Q130" s="207">
        <f>SUMIFS('апрель 2023'!$G$4:$G$692,'апрель 2023'!$D$4:$D$692,$B130,'апрель 2023'!$J$4:$J$692,Q$1)</f>
        <v>0</v>
      </c>
      <c r="R130" s="207">
        <f>SUMIFS('апрель 2023'!$G$4:$G$692,'апрель 2023'!$D$4:$D$692,$B130,'апрель 2023'!$J$4:$J$692,R$1)</f>
        <v>0</v>
      </c>
      <c r="S130" s="207">
        <f>SUMIFS('апрель 2023'!$G$4:$G$692,'апрель 2023'!$D$4:$D$692,$B130,'апрель 2023'!$J$4:$J$692,S$1)</f>
        <v>0</v>
      </c>
      <c r="T130" s="207">
        <f>SUMIFS('апрель 2023'!$G$4:$G$692,'апрель 2023'!$D$4:$D$692,$B130,'апрель 2023'!$J$4:$J$692,T$1)</f>
        <v>0</v>
      </c>
      <c r="U130" s="207">
        <f>SUMIFS('апрель 2023'!$G$4:$G$692,'апрель 2023'!$D$4:$D$692,$B130,'апрель 2023'!$J$4:$J$692,U$1)</f>
        <v>0</v>
      </c>
      <c r="V130" s="207">
        <f>SUMIFS('апрель 2023'!$G$4:$G$692,'апрель 2023'!$D$4:$D$692,$B130,'апрель 2023'!$J$4:$J$692,V$1)</f>
        <v>0</v>
      </c>
      <c r="W130" s="207">
        <f>SUMIFS('апрель 2023'!$G$4:$G$692,'апрель 2023'!$D$4:$D$692,$B130,'апрель 2023'!$J$4:$J$692,W$1)</f>
        <v>0</v>
      </c>
      <c r="X130" s="207">
        <f>SUMIFS('апрель 2023'!$G$4:$G$692,'апрель 2023'!$D$4:$D$692,$B130,'апрель 2023'!$J$4:$J$692,X$1)</f>
        <v>0</v>
      </c>
      <c r="Y130" s="207">
        <f>SUMIFS('апрель 2023'!$G$4:$G$692,'апрель 2023'!$D$4:$D$692,$B130,'апрель 2023'!$J$4:$J$692,Y$1)</f>
        <v>0</v>
      </c>
      <c r="Z130" s="207">
        <f>SUMIFS('апрель 2023'!$G$4:$G$692,'апрель 2023'!$D$4:$D$692,$B130,'апрель 2023'!$J$4:$J$692,Z$1)</f>
        <v>0</v>
      </c>
      <c r="AA130" s="207">
        <f>SUMIFS('апрель 2023'!$G$4:$G$692,'апрель 2023'!$D$4:$D$692,$B130,'апрель 2023'!$J$4:$J$692,AA$1)</f>
        <v>0</v>
      </c>
      <c r="AB130" s="207">
        <f>SUMIFS('апрель 2023'!$G$4:$G$692,'апрель 2023'!$D$4:$D$692,$B130,'апрель 2023'!$J$4:$J$692,AB$1)</f>
        <v>0</v>
      </c>
      <c r="AC130" s="207">
        <f>SUMIFS('апрель 2023'!$G$4:$G$692,'апрель 2023'!$D$4:$D$692,$B130,'апрель 2023'!$J$4:$J$692,AC$1)</f>
        <v>0</v>
      </c>
      <c r="AD130" s="207">
        <f>SUMIFS('апрель 2023'!$G$4:$G$692,'апрель 2023'!$D$4:$D$692,$B130,'апрель 2023'!$J$4:$J$692,AD$1)</f>
        <v>0</v>
      </c>
      <c r="AE130" s="207">
        <f>SUMIFS('апрель 2023'!$G$4:$G$692,'апрель 2023'!$D$4:$D$692,$B130,'апрель 2023'!$J$4:$J$692,AE$1)</f>
        <v>0</v>
      </c>
      <c r="AF130" s="207">
        <f>SUMIFS('апрель 2023'!$G$4:$G$692,'апрель 2023'!$D$4:$D$692,$B130,'апрель 2023'!$J$4:$J$692,AF$1)</f>
        <v>0</v>
      </c>
      <c r="AG130" s="207">
        <f>SUMIFS('апрель 2023'!$G$4:$G$692,'апрель 2023'!$D$4:$D$692,$B130,'апрель 2023'!$J$4:$J$692,AG$1)</f>
        <v>0</v>
      </c>
      <c r="AH130" s="207">
        <f>SUMIFS('апрель 2023'!$G$4:$G$692,'апрель 2023'!$D$4:$D$692,$B130,'апрель 2023'!$J$4:$J$692,AH$1)</f>
        <v>0</v>
      </c>
      <c r="AI130" s="220">
        <f t="shared" si="2"/>
        <v>0</v>
      </c>
    </row>
    <row r="131" spans="2:35" ht="15" hidden="1" customHeight="1" x14ac:dyDescent="0.25">
      <c r="B131" s="212"/>
      <c r="C131" s="211"/>
      <c r="D131" s="207">
        <f>SUMIFS('апрель 2023'!$G$4:$G$692,'апрель 2023'!$D$4:$D$692,$B131,'апрель 2023'!$J$4:$J$692,D$1)</f>
        <v>0</v>
      </c>
      <c r="E131" s="207">
        <f>SUMIFS('апрель 2023'!$G$4:$G$692,'апрель 2023'!$D$4:$D$692,$B131,'апрель 2023'!$J$4:$J$692,E$1)</f>
        <v>0</v>
      </c>
      <c r="F131" s="207">
        <f>SUMIFS('апрель 2023'!$G$4:$G$692,'апрель 2023'!$D$4:$D$692,$B131,'апрель 2023'!$J$4:$J$692,F$1)</f>
        <v>0</v>
      </c>
      <c r="G131" s="207">
        <f>SUMIFS('апрель 2023'!$G$4:$G$692,'апрель 2023'!$D$4:$D$692,$B131,'апрель 2023'!$J$4:$J$692,G$1)</f>
        <v>0</v>
      </c>
      <c r="H131" s="207">
        <f>SUMIFS('апрель 2023'!$G$4:$G$692,'апрель 2023'!$D$4:$D$692,$B131,'апрель 2023'!$J$4:$J$692,H$1)</f>
        <v>0</v>
      </c>
      <c r="I131" s="207">
        <f>SUMIFS('апрель 2023'!$G$4:$G$692,'апрель 2023'!$D$4:$D$692,$B131,'апрель 2023'!$J$4:$J$692,I$1)</f>
        <v>0</v>
      </c>
      <c r="J131" s="207">
        <f>SUMIFS('апрель 2023'!$G$4:$G$692,'апрель 2023'!$D$4:$D$692,$B131,'апрель 2023'!$J$4:$J$692,J$1)</f>
        <v>0</v>
      </c>
      <c r="K131" s="207">
        <f>SUMIFS('апрель 2023'!$G$4:$G$692,'апрель 2023'!$D$4:$D$692,$B131,'апрель 2023'!$J$4:$J$692,K$1)</f>
        <v>0</v>
      </c>
      <c r="L131" s="207">
        <f>SUMIFS('апрель 2023'!$G$4:$G$692,'апрель 2023'!$D$4:$D$692,$B131,'апрель 2023'!$J$4:$J$692,L$1)</f>
        <v>0</v>
      </c>
      <c r="M131" s="207">
        <f>SUMIFS('апрель 2023'!$G$4:$G$692,'апрель 2023'!$D$4:$D$692,$B131,'апрель 2023'!$J$4:$J$692,M$1)</f>
        <v>0</v>
      </c>
      <c r="N131" s="207">
        <f>SUMIFS('апрель 2023'!$G$4:$G$692,'апрель 2023'!$D$4:$D$692,$B131,'апрель 2023'!$J$4:$J$692,N$1)</f>
        <v>0</v>
      </c>
      <c r="O131" s="207">
        <f>SUMIFS('апрель 2023'!$G$4:$G$692,'апрель 2023'!$D$4:$D$692,$B131,'апрель 2023'!$J$4:$J$692,O$1)</f>
        <v>0</v>
      </c>
      <c r="P131" s="207">
        <f>SUMIFS('апрель 2023'!$G$4:$G$692,'апрель 2023'!$D$4:$D$692,$B131,'апрель 2023'!$J$4:$J$692,P$1)</f>
        <v>0</v>
      </c>
      <c r="Q131" s="207">
        <f>SUMIFS('апрель 2023'!$G$4:$G$692,'апрель 2023'!$D$4:$D$692,$B131,'апрель 2023'!$J$4:$J$692,Q$1)</f>
        <v>0</v>
      </c>
      <c r="R131" s="207">
        <f>SUMIFS('апрель 2023'!$G$4:$G$692,'апрель 2023'!$D$4:$D$692,$B131,'апрель 2023'!$J$4:$J$692,R$1)</f>
        <v>0</v>
      </c>
      <c r="S131" s="207">
        <f>SUMIFS('апрель 2023'!$G$4:$G$692,'апрель 2023'!$D$4:$D$692,$B131,'апрель 2023'!$J$4:$J$692,S$1)</f>
        <v>0</v>
      </c>
      <c r="T131" s="207">
        <f>SUMIFS('апрель 2023'!$G$4:$G$692,'апрель 2023'!$D$4:$D$692,$B131,'апрель 2023'!$J$4:$J$692,T$1)</f>
        <v>0</v>
      </c>
      <c r="U131" s="207">
        <f>SUMIFS('апрель 2023'!$G$4:$G$692,'апрель 2023'!$D$4:$D$692,$B131,'апрель 2023'!$J$4:$J$692,U$1)</f>
        <v>0</v>
      </c>
      <c r="V131" s="207">
        <f>SUMIFS('апрель 2023'!$G$4:$G$692,'апрель 2023'!$D$4:$D$692,$B131,'апрель 2023'!$J$4:$J$692,V$1)</f>
        <v>0</v>
      </c>
      <c r="W131" s="207">
        <f>SUMIFS('апрель 2023'!$G$4:$G$692,'апрель 2023'!$D$4:$D$692,$B131,'апрель 2023'!$J$4:$J$692,W$1)</f>
        <v>0</v>
      </c>
      <c r="X131" s="207">
        <f>SUMIFS('апрель 2023'!$G$4:$G$692,'апрель 2023'!$D$4:$D$692,$B131,'апрель 2023'!$J$4:$J$692,X$1)</f>
        <v>0</v>
      </c>
      <c r="Y131" s="207">
        <f>SUMIFS('апрель 2023'!$G$4:$G$692,'апрель 2023'!$D$4:$D$692,$B131,'апрель 2023'!$J$4:$J$692,Y$1)</f>
        <v>0</v>
      </c>
      <c r="Z131" s="207">
        <f>SUMIFS('апрель 2023'!$G$4:$G$692,'апрель 2023'!$D$4:$D$692,$B131,'апрель 2023'!$J$4:$J$692,Z$1)</f>
        <v>0</v>
      </c>
      <c r="AA131" s="207">
        <f>SUMIFS('апрель 2023'!$G$4:$G$692,'апрель 2023'!$D$4:$D$692,$B131,'апрель 2023'!$J$4:$J$692,AA$1)</f>
        <v>0</v>
      </c>
      <c r="AB131" s="207">
        <f>SUMIFS('апрель 2023'!$G$4:$G$692,'апрель 2023'!$D$4:$D$692,$B131,'апрель 2023'!$J$4:$J$692,AB$1)</f>
        <v>0</v>
      </c>
      <c r="AC131" s="207">
        <f>SUMIFS('апрель 2023'!$G$4:$G$692,'апрель 2023'!$D$4:$D$692,$B131,'апрель 2023'!$J$4:$J$692,AC$1)</f>
        <v>0</v>
      </c>
      <c r="AD131" s="207">
        <f>SUMIFS('апрель 2023'!$G$4:$G$692,'апрель 2023'!$D$4:$D$692,$B131,'апрель 2023'!$J$4:$J$692,AD$1)</f>
        <v>0</v>
      </c>
      <c r="AE131" s="207">
        <f>SUMIFS('апрель 2023'!$G$4:$G$692,'апрель 2023'!$D$4:$D$692,$B131,'апрель 2023'!$J$4:$J$692,AE$1)</f>
        <v>0</v>
      </c>
      <c r="AF131" s="207">
        <f>SUMIFS('апрель 2023'!$G$4:$G$692,'апрель 2023'!$D$4:$D$692,$B131,'апрель 2023'!$J$4:$J$692,AF$1)</f>
        <v>0</v>
      </c>
      <c r="AG131" s="207">
        <f>SUMIFS('апрель 2023'!$G$4:$G$692,'апрель 2023'!$D$4:$D$692,$B131,'апрель 2023'!$J$4:$J$692,AG$1)</f>
        <v>0</v>
      </c>
      <c r="AH131" s="207">
        <f>SUMIFS('апрель 2023'!$G$4:$G$692,'апрель 2023'!$D$4:$D$692,$B131,'апрель 2023'!$J$4:$J$692,AH$1)</f>
        <v>0</v>
      </c>
      <c r="AI131" s="220"/>
    </row>
    <row r="132" spans="2:35" ht="15" hidden="1" customHeight="1" x14ac:dyDescent="0.25">
      <c r="B132" s="212"/>
      <c r="C132" s="211"/>
      <c r="D132" s="207">
        <f>SUMIFS('апрель 2023'!$G$4:$G$692,'апрель 2023'!$D$4:$D$692,$B132,'апрель 2023'!$J$4:$J$692,D$1)</f>
        <v>0</v>
      </c>
      <c r="E132" s="207">
        <f>SUMIFS('апрель 2023'!$G$4:$G$692,'апрель 2023'!$D$4:$D$692,$B132,'апрель 2023'!$J$4:$J$692,E$1)</f>
        <v>0</v>
      </c>
      <c r="F132" s="207">
        <f>SUMIFS('апрель 2023'!$G$4:$G$692,'апрель 2023'!$D$4:$D$692,$B132,'апрель 2023'!$J$4:$J$692,F$1)</f>
        <v>0</v>
      </c>
      <c r="G132" s="207">
        <f>SUMIFS('апрель 2023'!$G$4:$G$692,'апрель 2023'!$D$4:$D$692,$B132,'апрель 2023'!$J$4:$J$692,G$1)</f>
        <v>0</v>
      </c>
      <c r="H132" s="207">
        <f>SUMIFS('апрель 2023'!$G$4:$G$692,'апрель 2023'!$D$4:$D$692,$B132,'апрель 2023'!$J$4:$J$692,H$1)</f>
        <v>0</v>
      </c>
      <c r="I132" s="207">
        <f>SUMIFS('апрель 2023'!$G$4:$G$692,'апрель 2023'!$D$4:$D$692,$B132,'апрель 2023'!$J$4:$J$692,I$1)</f>
        <v>0</v>
      </c>
      <c r="J132" s="207">
        <f>SUMIFS('апрель 2023'!$G$4:$G$692,'апрель 2023'!$D$4:$D$692,$B132,'апрель 2023'!$J$4:$J$692,J$1)</f>
        <v>0</v>
      </c>
      <c r="K132" s="207">
        <f>SUMIFS('апрель 2023'!$G$4:$G$692,'апрель 2023'!$D$4:$D$692,$B132,'апрель 2023'!$J$4:$J$692,K$1)</f>
        <v>0</v>
      </c>
      <c r="L132" s="207">
        <f>SUMIFS('апрель 2023'!$G$4:$G$692,'апрель 2023'!$D$4:$D$692,$B132,'апрель 2023'!$J$4:$J$692,L$1)</f>
        <v>0</v>
      </c>
      <c r="M132" s="207">
        <f>SUMIFS('апрель 2023'!$G$4:$G$692,'апрель 2023'!$D$4:$D$692,$B132,'апрель 2023'!$J$4:$J$692,M$1)</f>
        <v>0</v>
      </c>
      <c r="N132" s="207">
        <f>SUMIFS('апрель 2023'!$G$4:$G$692,'апрель 2023'!$D$4:$D$692,$B132,'апрель 2023'!$J$4:$J$692,N$1)</f>
        <v>0</v>
      </c>
      <c r="O132" s="207">
        <f>SUMIFS('апрель 2023'!$G$4:$G$692,'апрель 2023'!$D$4:$D$692,$B132,'апрель 2023'!$J$4:$J$692,O$1)</f>
        <v>0</v>
      </c>
      <c r="P132" s="207">
        <f>SUMIFS('апрель 2023'!$G$4:$G$692,'апрель 2023'!$D$4:$D$692,$B132,'апрель 2023'!$J$4:$J$692,P$1)</f>
        <v>0</v>
      </c>
      <c r="Q132" s="207">
        <f>SUMIFS('апрель 2023'!$G$4:$G$692,'апрель 2023'!$D$4:$D$692,$B132,'апрель 2023'!$J$4:$J$692,Q$1)</f>
        <v>0</v>
      </c>
      <c r="R132" s="207">
        <f>SUMIFS('апрель 2023'!$G$4:$G$692,'апрель 2023'!$D$4:$D$692,$B132,'апрель 2023'!$J$4:$J$692,R$1)</f>
        <v>0</v>
      </c>
      <c r="S132" s="207">
        <f>SUMIFS('апрель 2023'!$G$4:$G$692,'апрель 2023'!$D$4:$D$692,$B132,'апрель 2023'!$J$4:$J$692,S$1)</f>
        <v>0</v>
      </c>
      <c r="T132" s="207">
        <f>SUMIFS('апрель 2023'!$G$4:$G$692,'апрель 2023'!$D$4:$D$692,$B132,'апрель 2023'!$J$4:$J$692,T$1)</f>
        <v>0</v>
      </c>
      <c r="U132" s="207">
        <f>SUMIFS('апрель 2023'!$G$4:$G$692,'апрель 2023'!$D$4:$D$692,$B132,'апрель 2023'!$J$4:$J$692,U$1)</f>
        <v>0</v>
      </c>
      <c r="V132" s="207">
        <f>SUMIFS('апрель 2023'!$G$4:$G$692,'апрель 2023'!$D$4:$D$692,$B132,'апрель 2023'!$J$4:$J$692,V$1)</f>
        <v>0</v>
      </c>
      <c r="W132" s="207">
        <f>SUMIFS('апрель 2023'!$G$4:$G$692,'апрель 2023'!$D$4:$D$692,$B132,'апрель 2023'!$J$4:$J$692,W$1)</f>
        <v>0</v>
      </c>
      <c r="X132" s="207">
        <f>SUMIFS('апрель 2023'!$G$4:$G$692,'апрель 2023'!$D$4:$D$692,$B132,'апрель 2023'!$J$4:$J$692,X$1)</f>
        <v>0</v>
      </c>
      <c r="Y132" s="207">
        <f>SUMIFS('апрель 2023'!$G$4:$G$692,'апрель 2023'!$D$4:$D$692,$B132,'апрель 2023'!$J$4:$J$692,Y$1)</f>
        <v>0</v>
      </c>
      <c r="Z132" s="207">
        <f>SUMIFS('апрель 2023'!$G$4:$G$692,'апрель 2023'!$D$4:$D$692,$B132,'апрель 2023'!$J$4:$J$692,Z$1)</f>
        <v>0</v>
      </c>
      <c r="AA132" s="207">
        <f>SUMIFS('апрель 2023'!$G$4:$G$692,'апрель 2023'!$D$4:$D$692,$B132,'апрель 2023'!$J$4:$J$692,AA$1)</f>
        <v>0</v>
      </c>
      <c r="AB132" s="207">
        <f>SUMIFS('апрель 2023'!$G$4:$G$692,'апрель 2023'!$D$4:$D$692,$B132,'апрель 2023'!$J$4:$J$692,AB$1)</f>
        <v>0</v>
      </c>
      <c r="AC132" s="207">
        <f>SUMIFS('апрель 2023'!$G$4:$G$692,'апрель 2023'!$D$4:$D$692,$B132,'апрель 2023'!$J$4:$J$692,AC$1)</f>
        <v>0</v>
      </c>
      <c r="AD132" s="207">
        <f>SUMIFS('апрель 2023'!$G$4:$G$692,'апрель 2023'!$D$4:$D$692,$B132,'апрель 2023'!$J$4:$J$692,AD$1)</f>
        <v>0</v>
      </c>
      <c r="AE132" s="207">
        <f>SUMIFS('апрель 2023'!$G$4:$G$692,'апрель 2023'!$D$4:$D$692,$B132,'апрель 2023'!$J$4:$J$692,AE$1)</f>
        <v>0</v>
      </c>
      <c r="AF132" s="207">
        <f>SUMIFS('апрель 2023'!$G$4:$G$692,'апрель 2023'!$D$4:$D$692,$B132,'апрель 2023'!$J$4:$J$692,AF$1)</f>
        <v>0</v>
      </c>
      <c r="AG132" s="207">
        <f>SUMIFS('апрель 2023'!$G$4:$G$692,'апрель 2023'!$D$4:$D$692,$B132,'апрель 2023'!$J$4:$J$692,AG$1)</f>
        <v>0</v>
      </c>
      <c r="AH132" s="207">
        <f>SUMIFS('апрель 2023'!$G$4:$G$692,'апрель 2023'!$D$4:$D$692,$B132,'апрель 2023'!$J$4:$J$692,AH$1)</f>
        <v>0</v>
      </c>
      <c r="AI132" s="220">
        <f t="shared" ref="AI132:AI142" si="3">SUM(D132:AH132)</f>
        <v>0</v>
      </c>
    </row>
    <row r="133" spans="2:35" ht="15" hidden="1" customHeight="1" x14ac:dyDescent="0.25">
      <c r="B133" s="212"/>
      <c r="C133" s="211"/>
      <c r="D133" s="207">
        <f>SUMIFS('апрель 2023'!$G$4:$G$692,'апрель 2023'!$D$4:$D$692,$B133,'апрель 2023'!$J$4:$J$692,D$1)</f>
        <v>0</v>
      </c>
      <c r="E133" s="207">
        <f>SUMIFS('апрель 2023'!$G$4:$G$692,'апрель 2023'!$D$4:$D$692,$B133,'апрель 2023'!$J$4:$J$692,E$1)</f>
        <v>0</v>
      </c>
      <c r="F133" s="207">
        <f>SUMIFS('апрель 2023'!$G$4:$G$692,'апрель 2023'!$D$4:$D$692,$B133,'апрель 2023'!$J$4:$J$692,F$1)</f>
        <v>0</v>
      </c>
      <c r="G133" s="207">
        <f>SUMIFS('апрель 2023'!$G$4:$G$692,'апрель 2023'!$D$4:$D$692,$B133,'апрель 2023'!$J$4:$J$692,G$1)</f>
        <v>0</v>
      </c>
      <c r="H133" s="207">
        <f>SUMIFS('апрель 2023'!$G$4:$G$692,'апрель 2023'!$D$4:$D$692,$B133,'апрель 2023'!$J$4:$J$692,H$1)</f>
        <v>0</v>
      </c>
      <c r="I133" s="207">
        <f>SUMIFS('апрель 2023'!$G$4:$G$692,'апрель 2023'!$D$4:$D$692,$B133,'апрель 2023'!$J$4:$J$692,I$1)</f>
        <v>0</v>
      </c>
      <c r="J133" s="207">
        <f>SUMIFS('апрель 2023'!$G$4:$G$692,'апрель 2023'!$D$4:$D$692,$B133,'апрель 2023'!$J$4:$J$692,J$1)</f>
        <v>0</v>
      </c>
      <c r="K133" s="207">
        <f>SUMIFS('апрель 2023'!$G$4:$G$692,'апрель 2023'!$D$4:$D$692,$B133,'апрель 2023'!$J$4:$J$692,K$1)</f>
        <v>0</v>
      </c>
      <c r="L133" s="207">
        <f>SUMIFS('апрель 2023'!$G$4:$G$692,'апрель 2023'!$D$4:$D$692,$B133,'апрель 2023'!$J$4:$J$692,L$1)</f>
        <v>0</v>
      </c>
      <c r="M133" s="207">
        <f>SUMIFS('апрель 2023'!$G$4:$G$692,'апрель 2023'!$D$4:$D$692,$B133,'апрель 2023'!$J$4:$J$692,M$1)</f>
        <v>0</v>
      </c>
      <c r="N133" s="207">
        <f>SUMIFS('апрель 2023'!$G$4:$G$692,'апрель 2023'!$D$4:$D$692,$B133,'апрель 2023'!$J$4:$J$692,N$1)</f>
        <v>0</v>
      </c>
      <c r="O133" s="207">
        <f>SUMIFS('апрель 2023'!$G$4:$G$692,'апрель 2023'!$D$4:$D$692,$B133,'апрель 2023'!$J$4:$J$692,O$1)</f>
        <v>0</v>
      </c>
      <c r="P133" s="207">
        <f>SUMIFS('апрель 2023'!$G$4:$G$692,'апрель 2023'!$D$4:$D$692,$B133,'апрель 2023'!$J$4:$J$692,P$1)</f>
        <v>0</v>
      </c>
      <c r="Q133" s="207">
        <f>SUMIFS('апрель 2023'!$G$4:$G$692,'апрель 2023'!$D$4:$D$692,$B133,'апрель 2023'!$J$4:$J$692,Q$1)</f>
        <v>0</v>
      </c>
      <c r="R133" s="207">
        <f>SUMIFS('апрель 2023'!$G$4:$G$692,'апрель 2023'!$D$4:$D$692,$B133,'апрель 2023'!$J$4:$J$692,R$1)</f>
        <v>0</v>
      </c>
      <c r="S133" s="207">
        <f>SUMIFS('апрель 2023'!$G$4:$G$692,'апрель 2023'!$D$4:$D$692,$B133,'апрель 2023'!$J$4:$J$692,S$1)</f>
        <v>0</v>
      </c>
      <c r="T133" s="207">
        <f>SUMIFS('апрель 2023'!$G$4:$G$692,'апрель 2023'!$D$4:$D$692,$B133,'апрель 2023'!$J$4:$J$692,T$1)</f>
        <v>0</v>
      </c>
      <c r="U133" s="207">
        <f>SUMIFS('апрель 2023'!$G$4:$G$692,'апрель 2023'!$D$4:$D$692,$B133,'апрель 2023'!$J$4:$J$692,U$1)</f>
        <v>0</v>
      </c>
      <c r="V133" s="207">
        <f>SUMIFS('апрель 2023'!$G$4:$G$692,'апрель 2023'!$D$4:$D$692,$B133,'апрель 2023'!$J$4:$J$692,V$1)</f>
        <v>0</v>
      </c>
      <c r="W133" s="207">
        <f>SUMIFS('апрель 2023'!$G$4:$G$692,'апрель 2023'!$D$4:$D$692,$B133,'апрель 2023'!$J$4:$J$692,W$1)</f>
        <v>0</v>
      </c>
      <c r="X133" s="207">
        <f>SUMIFS('апрель 2023'!$G$4:$G$692,'апрель 2023'!$D$4:$D$692,$B133,'апрель 2023'!$J$4:$J$692,X$1)</f>
        <v>0</v>
      </c>
      <c r="Y133" s="207">
        <f>SUMIFS('апрель 2023'!$G$4:$G$692,'апрель 2023'!$D$4:$D$692,$B133,'апрель 2023'!$J$4:$J$692,Y$1)</f>
        <v>0</v>
      </c>
      <c r="Z133" s="207">
        <f>SUMIFS('апрель 2023'!$G$4:$G$692,'апрель 2023'!$D$4:$D$692,$B133,'апрель 2023'!$J$4:$J$692,Z$1)</f>
        <v>0</v>
      </c>
      <c r="AA133" s="207">
        <f>SUMIFS('апрель 2023'!$G$4:$G$692,'апрель 2023'!$D$4:$D$692,$B133,'апрель 2023'!$J$4:$J$692,AA$1)</f>
        <v>0</v>
      </c>
      <c r="AB133" s="207">
        <f>SUMIFS('апрель 2023'!$G$4:$G$692,'апрель 2023'!$D$4:$D$692,$B133,'апрель 2023'!$J$4:$J$692,AB$1)</f>
        <v>0</v>
      </c>
      <c r="AC133" s="207">
        <f>SUMIFS('апрель 2023'!$G$4:$G$692,'апрель 2023'!$D$4:$D$692,$B133,'апрель 2023'!$J$4:$J$692,AC$1)</f>
        <v>0</v>
      </c>
      <c r="AD133" s="207">
        <f>SUMIFS('апрель 2023'!$G$4:$G$692,'апрель 2023'!$D$4:$D$692,$B133,'апрель 2023'!$J$4:$J$692,AD$1)</f>
        <v>0</v>
      </c>
      <c r="AE133" s="207">
        <f>SUMIFS('апрель 2023'!$G$4:$G$692,'апрель 2023'!$D$4:$D$692,$B133,'апрель 2023'!$J$4:$J$692,AE$1)</f>
        <v>0</v>
      </c>
      <c r="AF133" s="207">
        <f>SUMIFS('апрель 2023'!$G$4:$G$692,'апрель 2023'!$D$4:$D$692,$B133,'апрель 2023'!$J$4:$J$692,AF$1)</f>
        <v>0</v>
      </c>
      <c r="AG133" s="207">
        <f>SUMIFS('апрель 2023'!$G$4:$G$692,'апрель 2023'!$D$4:$D$692,$B133,'апрель 2023'!$J$4:$J$692,AG$1)</f>
        <v>0</v>
      </c>
      <c r="AH133" s="207">
        <f>SUMIFS('апрель 2023'!$G$4:$G$692,'апрель 2023'!$D$4:$D$692,$B133,'апрель 2023'!$J$4:$J$692,AH$1)</f>
        <v>0</v>
      </c>
      <c r="AI133" s="220">
        <f t="shared" si="3"/>
        <v>0</v>
      </c>
    </row>
    <row r="134" spans="2:35" ht="15" hidden="1" customHeight="1" x14ac:dyDescent="0.25">
      <c r="B134" s="218"/>
      <c r="C134" s="219"/>
      <c r="D134" s="207">
        <f>SUMIFS('апрель 2023'!$G$4:$G$692,'апрель 2023'!$D$4:$D$692,$B134,'апрель 2023'!$J$4:$J$692,D$1)</f>
        <v>0</v>
      </c>
      <c r="E134" s="207">
        <f>SUMIFS('апрель 2023'!$G$4:$G$692,'апрель 2023'!$D$4:$D$692,$B134,'апрель 2023'!$J$4:$J$692,E$1)</f>
        <v>0</v>
      </c>
      <c r="F134" s="207">
        <f>SUMIFS('апрель 2023'!$G$4:$G$692,'апрель 2023'!$D$4:$D$692,$B134,'апрель 2023'!$J$4:$J$692,F$1)</f>
        <v>0</v>
      </c>
      <c r="G134" s="207">
        <f>SUMIFS('апрель 2023'!$G$4:$G$692,'апрель 2023'!$D$4:$D$692,$B134,'апрель 2023'!$J$4:$J$692,G$1)</f>
        <v>0</v>
      </c>
      <c r="H134" s="207">
        <f>SUMIFS('апрель 2023'!$G$4:$G$692,'апрель 2023'!$D$4:$D$692,$B134,'апрель 2023'!$J$4:$J$692,H$1)</f>
        <v>0</v>
      </c>
      <c r="I134" s="207">
        <f>SUMIFS('апрель 2023'!$G$4:$G$692,'апрель 2023'!$D$4:$D$692,$B134,'апрель 2023'!$J$4:$J$692,I$1)</f>
        <v>0</v>
      </c>
      <c r="J134" s="207">
        <f>SUMIFS('апрель 2023'!$G$4:$G$692,'апрель 2023'!$D$4:$D$692,$B134,'апрель 2023'!$J$4:$J$692,J$1)</f>
        <v>0</v>
      </c>
      <c r="K134" s="207">
        <f>SUMIFS('апрель 2023'!$G$4:$G$692,'апрель 2023'!$D$4:$D$692,$B134,'апрель 2023'!$J$4:$J$692,K$1)</f>
        <v>0</v>
      </c>
      <c r="L134" s="207">
        <f>SUMIFS('апрель 2023'!$G$4:$G$692,'апрель 2023'!$D$4:$D$692,$B134,'апрель 2023'!$J$4:$J$692,L$1)</f>
        <v>0</v>
      </c>
      <c r="M134" s="207">
        <f>SUMIFS('апрель 2023'!$G$4:$G$692,'апрель 2023'!$D$4:$D$692,$B134,'апрель 2023'!$J$4:$J$692,M$1)</f>
        <v>0</v>
      </c>
      <c r="N134" s="207">
        <f>SUMIFS('апрель 2023'!$G$4:$G$692,'апрель 2023'!$D$4:$D$692,$B134,'апрель 2023'!$J$4:$J$692,N$1)</f>
        <v>0</v>
      </c>
      <c r="O134" s="207">
        <f>SUMIFS('апрель 2023'!$G$4:$G$692,'апрель 2023'!$D$4:$D$692,$B134,'апрель 2023'!$J$4:$J$692,O$1)</f>
        <v>0</v>
      </c>
      <c r="P134" s="207">
        <f>SUMIFS('апрель 2023'!$G$4:$G$692,'апрель 2023'!$D$4:$D$692,$B134,'апрель 2023'!$J$4:$J$692,P$1)</f>
        <v>0</v>
      </c>
      <c r="Q134" s="207">
        <f>SUMIFS('апрель 2023'!$G$4:$G$692,'апрель 2023'!$D$4:$D$692,$B134,'апрель 2023'!$J$4:$J$692,Q$1)</f>
        <v>0</v>
      </c>
      <c r="R134" s="207">
        <f>SUMIFS('апрель 2023'!$G$4:$G$692,'апрель 2023'!$D$4:$D$692,$B134,'апрель 2023'!$J$4:$J$692,R$1)</f>
        <v>0</v>
      </c>
      <c r="S134" s="207">
        <f>SUMIFS('апрель 2023'!$G$4:$G$692,'апрель 2023'!$D$4:$D$692,$B134,'апрель 2023'!$J$4:$J$692,S$1)</f>
        <v>0</v>
      </c>
      <c r="T134" s="207">
        <f>SUMIFS('апрель 2023'!$G$4:$G$692,'апрель 2023'!$D$4:$D$692,$B134,'апрель 2023'!$J$4:$J$692,T$1)</f>
        <v>0</v>
      </c>
      <c r="U134" s="207">
        <f>SUMIFS('апрель 2023'!$G$4:$G$692,'апрель 2023'!$D$4:$D$692,$B134,'апрель 2023'!$J$4:$J$692,U$1)</f>
        <v>0</v>
      </c>
      <c r="V134" s="207">
        <f>SUMIFS('апрель 2023'!$G$4:$G$692,'апрель 2023'!$D$4:$D$692,$B134,'апрель 2023'!$J$4:$J$692,V$1)</f>
        <v>0</v>
      </c>
      <c r="W134" s="207">
        <f>SUMIFS('апрель 2023'!$G$4:$G$692,'апрель 2023'!$D$4:$D$692,$B134,'апрель 2023'!$J$4:$J$692,W$1)</f>
        <v>0</v>
      </c>
      <c r="X134" s="207">
        <f>SUMIFS('апрель 2023'!$G$4:$G$692,'апрель 2023'!$D$4:$D$692,$B134,'апрель 2023'!$J$4:$J$692,X$1)</f>
        <v>0</v>
      </c>
      <c r="Y134" s="207">
        <f>SUMIFS('апрель 2023'!$G$4:$G$692,'апрель 2023'!$D$4:$D$692,$B134,'апрель 2023'!$J$4:$J$692,Y$1)</f>
        <v>0</v>
      </c>
      <c r="Z134" s="207">
        <f>SUMIFS('апрель 2023'!$G$4:$G$692,'апрель 2023'!$D$4:$D$692,$B134,'апрель 2023'!$J$4:$J$692,Z$1)</f>
        <v>0</v>
      </c>
      <c r="AA134" s="207">
        <f>SUMIFS('апрель 2023'!$G$4:$G$692,'апрель 2023'!$D$4:$D$692,$B134,'апрель 2023'!$J$4:$J$692,AA$1)</f>
        <v>0</v>
      </c>
      <c r="AB134" s="207">
        <f>SUMIFS('апрель 2023'!$G$4:$G$692,'апрель 2023'!$D$4:$D$692,$B134,'апрель 2023'!$J$4:$J$692,AB$1)</f>
        <v>0</v>
      </c>
      <c r="AC134" s="207">
        <f>SUMIFS('апрель 2023'!$G$4:$G$692,'апрель 2023'!$D$4:$D$692,$B134,'апрель 2023'!$J$4:$J$692,AC$1)</f>
        <v>0</v>
      </c>
      <c r="AD134" s="207">
        <f>SUMIFS('апрель 2023'!$G$4:$G$692,'апрель 2023'!$D$4:$D$692,$B134,'апрель 2023'!$J$4:$J$692,AD$1)</f>
        <v>0</v>
      </c>
      <c r="AE134" s="207">
        <f>SUMIFS('апрель 2023'!$G$4:$G$692,'апрель 2023'!$D$4:$D$692,$B134,'апрель 2023'!$J$4:$J$692,AE$1)</f>
        <v>0</v>
      </c>
      <c r="AF134" s="207">
        <f>SUMIFS('апрель 2023'!$G$4:$G$692,'апрель 2023'!$D$4:$D$692,$B134,'апрель 2023'!$J$4:$J$692,AF$1)</f>
        <v>0</v>
      </c>
      <c r="AG134" s="207">
        <f>SUMIFS('апрель 2023'!$G$4:$G$692,'апрель 2023'!$D$4:$D$692,$B134,'апрель 2023'!$J$4:$J$692,AG$1)</f>
        <v>0</v>
      </c>
      <c r="AH134" s="207">
        <f>SUMIFS('апрель 2023'!$G$4:$G$692,'апрель 2023'!$D$4:$D$692,$B134,'апрель 2023'!$J$4:$J$692,AH$1)</f>
        <v>0</v>
      </c>
      <c r="AI134" s="220">
        <f t="shared" si="3"/>
        <v>0</v>
      </c>
    </row>
    <row r="135" spans="2:35" ht="15" hidden="1" customHeight="1" x14ac:dyDescent="0.25">
      <c r="B135" s="212"/>
      <c r="C135" s="213"/>
      <c r="D135" s="207">
        <f>SUMIFS('апрель 2023'!$G$4:$G$692,'апрель 2023'!$D$4:$D$692,$B135,'апрель 2023'!$J$4:$J$692,D$1)</f>
        <v>0</v>
      </c>
      <c r="E135" s="207">
        <f>SUMIFS('апрель 2023'!$G$4:$G$692,'апрель 2023'!$D$4:$D$692,$B135,'апрель 2023'!$J$4:$J$692,E$1)</f>
        <v>0</v>
      </c>
      <c r="F135" s="207">
        <f>SUMIFS('апрель 2023'!$G$4:$G$692,'апрель 2023'!$D$4:$D$692,$B135,'апрель 2023'!$J$4:$J$692,F$1)</f>
        <v>0</v>
      </c>
      <c r="G135" s="207">
        <f>SUMIFS('апрель 2023'!$G$4:$G$692,'апрель 2023'!$D$4:$D$692,$B135,'апрель 2023'!$J$4:$J$692,G$1)</f>
        <v>0</v>
      </c>
      <c r="H135" s="207">
        <f>SUMIFS('апрель 2023'!$G$4:$G$692,'апрель 2023'!$D$4:$D$692,$B135,'апрель 2023'!$J$4:$J$692,H$1)</f>
        <v>0</v>
      </c>
      <c r="I135" s="207">
        <f>SUMIFS('апрель 2023'!$G$4:$G$692,'апрель 2023'!$D$4:$D$692,$B135,'апрель 2023'!$J$4:$J$692,I$1)</f>
        <v>0</v>
      </c>
      <c r="J135" s="207">
        <f>SUMIFS('апрель 2023'!$G$4:$G$692,'апрель 2023'!$D$4:$D$692,$B135,'апрель 2023'!$J$4:$J$692,J$1)</f>
        <v>0</v>
      </c>
      <c r="K135" s="207">
        <f>SUMIFS('апрель 2023'!$G$4:$G$692,'апрель 2023'!$D$4:$D$692,$B135,'апрель 2023'!$J$4:$J$692,K$1)</f>
        <v>0</v>
      </c>
      <c r="L135" s="207">
        <f>SUMIFS('апрель 2023'!$G$4:$G$692,'апрель 2023'!$D$4:$D$692,$B135,'апрель 2023'!$J$4:$J$692,L$1)</f>
        <v>0</v>
      </c>
      <c r="M135" s="207">
        <f>SUMIFS('апрель 2023'!$G$4:$G$692,'апрель 2023'!$D$4:$D$692,$B135,'апрель 2023'!$J$4:$J$692,M$1)</f>
        <v>0</v>
      </c>
      <c r="N135" s="207">
        <f>SUMIFS('апрель 2023'!$G$4:$G$692,'апрель 2023'!$D$4:$D$692,$B135,'апрель 2023'!$J$4:$J$692,N$1)</f>
        <v>0</v>
      </c>
      <c r="O135" s="207">
        <f>SUMIFS('апрель 2023'!$G$4:$G$692,'апрель 2023'!$D$4:$D$692,$B135,'апрель 2023'!$J$4:$J$692,O$1)</f>
        <v>0</v>
      </c>
      <c r="P135" s="207">
        <f>SUMIFS('апрель 2023'!$G$4:$G$692,'апрель 2023'!$D$4:$D$692,$B135,'апрель 2023'!$J$4:$J$692,P$1)</f>
        <v>0</v>
      </c>
      <c r="Q135" s="207">
        <f>SUMIFS('апрель 2023'!$G$4:$G$692,'апрель 2023'!$D$4:$D$692,$B135,'апрель 2023'!$J$4:$J$692,Q$1)</f>
        <v>0</v>
      </c>
      <c r="R135" s="207">
        <f>SUMIFS('апрель 2023'!$G$4:$G$692,'апрель 2023'!$D$4:$D$692,$B135,'апрель 2023'!$J$4:$J$692,R$1)</f>
        <v>0</v>
      </c>
      <c r="S135" s="207">
        <f>SUMIFS('апрель 2023'!$G$4:$G$692,'апрель 2023'!$D$4:$D$692,$B135,'апрель 2023'!$J$4:$J$692,S$1)</f>
        <v>0</v>
      </c>
      <c r="T135" s="207">
        <f>SUMIFS('апрель 2023'!$G$4:$G$692,'апрель 2023'!$D$4:$D$692,$B135,'апрель 2023'!$J$4:$J$692,T$1)</f>
        <v>0</v>
      </c>
      <c r="U135" s="207">
        <f>SUMIFS('апрель 2023'!$G$4:$G$692,'апрель 2023'!$D$4:$D$692,$B135,'апрель 2023'!$J$4:$J$692,U$1)</f>
        <v>0</v>
      </c>
      <c r="V135" s="207">
        <f>SUMIFS('апрель 2023'!$G$4:$G$692,'апрель 2023'!$D$4:$D$692,$B135,'апрель 2023'!$J$4:$J$692,V$1)</f>
        <v>0</v>
      </c>
      <c r="W135" s="207">
        <f>SUMIFS('апрель 2023'!$G$4:$G$692,'апрель 2023'!$D$4:$D$692,$B135,'апрель 2023'!$J$4:$J$692,W$1)</f>
        <v>0</v>
      </c>
      <c r="X135" s="207">
        <f>SUMIFS('апрель 2023'!$G$4:$G$692,'апрель 2023'!$D$4:$D$692,$B135,'апрель 2023'!$J$4:$J$692,X$1)</f>
        <v>0</v>
      </c>
      <c r="Y135" s="207">
        <f>SUMIFS('апрель 2023'!$G$4:$G$692,'апрель 2023'!$D$4:$D$692,$B135,'апрель 2023'!$J$4:$J$692,Y$1)</f>
        <v>0</v>
      </c>
      <c r="Z135" s="207">
        <f>SUMIFS('апрель 2023'!$G$4:$G$692,'апрель 2023'!$D$4:$D$692,$B135,'апрель 2023'!$J$4:$J$692,Z$1)</f>
        <v>0</v>
      </c>
      <c r="AA135" s="207">
        <f>SUMIFS('апрель 2023'!$G$4:$G$692,'апрель 2023'!$D$4:$D$692,$B135,'апрель 2023'!$J$4:$J$692,AA$1)</f>
        <v>0</v>
      </c>
      <c r="AB135" s="207">
        <f>SUMIFS('апрель 2023'!$G$4:$G$692,'апрель 2023'!$D$4:$D$692,$B135,'апрель 2023'!$J$4:$J$692,AB$1)</f>
        <v>0</v>
      </c>
      <c r="AC135" s="207">
        <f>SUMIFS('апрель 2023'!$G$4:$G$692,'апрель 2023'!$D$4:$D$692,$B135,'апрель 2023'!$J$4:$J$692,AC$1)</f>
        <v>0</v>
      </c>
      <c r="AD135" s="207">
        <f>SUMIFS('апрель 2023'!$G$4:$G$692,'апрель 2023'!$D$4:$D$692,$B135,'апрель 2023'!$J$4:$J$692,AD$1)</f>
        <v>0</v>
      </c>
      <c r="AE135" s="207">
        <f>SUMIFS('апрель 2023'!$G$4:$G$692,'апрель 2023'!$D$4:$D$692,$B135,'апрель 2023'!$J$4:$J$692,AE$1)</f>
        <v>0</v>
      </c>
      <c r="AF135" s="207">
        <f>SUMIFS('апрель 2023'!$G$4:$G$692,'апрель 2023'!$D$4:$D$692,$B135,'апрель 2023'!$J$4:$J$692,AF$1)</f>
        <v>0</v>
      </c>
      <c r="AG135" s="207">
        <f>SUMIFS('апрель 2023'!$G$4:$G$692,'апрель 2023'!$D$4:$D$692,$B135,'апрель 2023'!$J$4:$J$692,AG$1)</f>
        <v>0</v>
      </c>
      <c r="AH135" s="207">
        <f>SUMIFS('апрель 2023'!$G$4:$G$692,'апрель 2023'!$D$4:$D$692,$B135,'апрель 2023'!$J$4:$J$692,AH$1)</f>
        <v>0</v>
      </c>
      <c r="AI135" s="220">
        <f t="shared" si="3"/>
        <v>0</v>
      </c>
    </row>
    <row r="136" spans="2:35" ht="15" hidden="1" customHeight="1" x14ac:dyDescent="0.25">
      <c r="B136" s="212"/>
      <c r="C136" s="211"/>
      <c r="D136" s="207">
        <f>SUMIFS('апрель 2023'!$G$4:$G$692,'апрель 2023'!$D$4:$D$692,$B136,'апрель 2023'!$J$4:$J$692,D$1)</f>
        <v>0</v>
      </c>
      <c r="E136" s="207">
        <f>SUMIFS('апрель 2023'!$G$4:$G$692,'апрель 2023'!$D$4:$D$692,$B136,'апрель 2023'!$J$4:$J$692,E$1)</f>
        <v>0</v>
      </c>
      <c r="F136" s="207">
        <f>SUMIFS('апрель 2023'!$G$4:$G$692,'апрель 2023'!$D$4:$D$692,$B136,'апрель 2023'!$J$4:$J$692,F$1)</f>
        <v>0</v>
      </c>
      <c r="G136" s="207">
        <f>SUMIFS('апрель 2023'!$G$4:$G$692,'апрель 2023'!$D$4:$D$692,$B136,'апрель 2023'!$J$4:$J$692,G$1)</f>
        <v>0</v>
      </c>
      <c r="H136" s="207">
        <f>SUMIFS('апрель 2023'!$G$4:$G$692,'апрель 2023'!$D$4:$D$692,$B136,'апрель 2023'!$J$4:$J$692,H$1)</f>
        <v>0</v>
      </c>
      <c r="I136" s="207">
        <f>SUMIFS('апрель 2023'!$G$4:$G$692,'апрель 2023'!$D$4:$D$692,$B136,'апрель 2023'!$J$4:$J$692,I$1)</f>
        <v>0</v>
      </c>
      <c r="J136" s="207">
        <f>SUMIFS('апрель 2023'!$G$4:$G$692,'апрель 2023'!$D$4:$D$692,$B136,'апрель 2023'!$J$4:$J$692,J$1)</f>
        <v>0</v>
      </c>
      <c r="K136" s="207">
        <f>SUMIFS('апрель 2023'!$G$4:$G$692,'апрель 2023'!$D$4:$D$692,$B136,'апрель 2023'!$J$4:$J$692,K$1)</f>
        <v>0</v>
      </c>
      <c r="L136" s="207">
        <f>SUMIFS('апрель 2023'!$G$4:$G$692,'апрель 2023'!$D$4:$D$692,$B136,'апрель 2023'!$J$4:$J$692,L$1)</f>
        <v>0</v>
      </c>
      <c r="M136" s="207">
        <f>SUMIFS('апрель 2023'!$G$4:$G$692,'апрель 2023'!$D$4:$D$692,$B136,'апрель 2023'!$J$4:$J$692,M$1)</f>
        <v>0</v>
      </c>
      <c r="N136" s="207">
        <f>SUMIFS('апрель 2023'!$G$4:$G$692,'апрель 2023'!$D$4:$D$692,$B136,'апрель 2023'!$J$4:$J$692,N$1)</f>
        <v>0</v>
      </c>
      <c r="O136" s="207">
        <f>SUMIFS('апрель 2023'!$G$4:$G$692,'апрель 2023'!$D$4:$D$692,$B136,'апрель 2023'!$J$4:$J$692,O$1)</f>
        <v>0</v>
      </c>
      <c r="P136" s="207">
        <f>SUMIFS('апрель 2023'!$G$4:$G$692,'апрель 2023'!$D$4:$D$692,$B136,'апрель 2023'!$J$4:$J$692,P$1)</f>
        <v>0</v>
      </c>
      <c r="Q136" s="207">
        <f>SUMIFS('апрель 2023'!$G$4:$G$692,'апрель 2023'!$D$4:$D$692,$B136,'апрель 2023'!$J$4:$J$692,Q$1)</f>
        <v>0</v>
      </c>
      <c r="R136" s="207">
        <f>SUMIFS('апрель 2023'!$G$4:$G$692,'апрель 2023'!$D$4:$D$692,$B136,'апрель 2023'!$J$4:$J$692,R$1)</f>
        <v>0</v>
      </c>
      <c r="S136" s="207">
        <f>SUMIFS('апрель 2023'!$G$4:$G$692,'апрель 2023'!$D$4:$D$692,$B136,'апрель 2023'!$J$4:$J$692,S$1)</f>
        <v>0</v>
      </c>
      <c r="T136" s="207">
        <f>SUMIFS('апрель 2023'!$G$4:$G$692,'апрель 2023'!$D$4:$D$692,$B136,'апрель 2023'!$J$4:$J$692,T$1)</f>
        <v>0</v>
      </c>
      <c r="U136" s="207">
        <f>SUMIFS('апрель 2023'!$G$4:$G$692,'апрель 2023'!$D$4:$D$692,$B136,'апрель 2023'!$J$4:$J$692,U$1)</f>
        <v>0</v>
      </c>
      <c r="V136" s="207">
        <f>SUMIFS('апрель 2023'!$G$4:$G$692,'апрель 2023'!$D$4:$D$692,$B136,'апрель 2023'!$J$4:$J$692,V$1)</f>
        <v>0</v>
      </c>
      <c r="W136" s="207">
        <f>SUMIFS('апрель 2023'!$G$4:$G$692,'апрель 2023'!$D$4:$D$692,$B136,'апрель 2023'!$J$4:$J$692,W$1)</f>
        <v>0</v>
      </c>
      <c r="X136" s="207">
        <f>SUMIFS('апрель 2023'!$G$4:$G$692,'апрель 2023'!$D$4:$D$692,$B136,'апрель 2023'!$J$4:$J$692,X$1)</f>
        <v>0</v>
      </c>
      <c r="Y136" s="207">
        <f>SUMIFS('апрель 2023'!$G$4:$G$692,'апрель 2023'!$D$4:$D$692,$B136,'апрель 2023'!$J$4:$J$692,Y$1)</f>
        <v>0</v>
      </c>
      <c r="Z136" s="207">
        <f>SUMIFS('апрель 2023'!$G$4:$G$692,'апрель 2023'!$D$4:$D$692,$B136,'апрель 2023'!$J$4:$J$692,Z$1)</f>
        <v>0</v>
      </c>
      <c r="AA136" s="207">
        <f>SUMIFS('апрель 2023'!$G$4:$G$692,'апрель 2023'!$D$4:$D$692,$B136,'апрель 2023'!$J$4:$J$692,AA$1)</f>
        <v>0</v>
      </c>
      <c r="AB136" s="207">
        <f>SUMIFS('апрель 2023'!$G$4:$G$692,'апрель 2023'!$D$4:$D$692,$B136,'апрель 2023'!$J$4:$J$692,AB$1)</f>
        <v>0</v>
      </c>
      <c r="AC136" s="207">
        <f>SUMIFS('апрель 2023'!$G$4:$G$692,'апрель 2023'!$D$4:$D$692,$B136,'апрель 2023'!$J$4:$J$692,AC$1)</f>
        <v>0</v>
      </c>
      <c r="AD136" s="207">
        <f>SUMIFS('апрель 2023'!$G$4:$G$692,'апрель 2023'!$D$4:$D$692,$B136,'апрель 2023'!$J$4:$J$692,AD$1)</f>
        <v>0</v>
      </c>
      <c r="AE136" s="207">
        <f>SUMIFS('апрель 2023'!$G$4:$G$692,'апрель 2023'!$D$4:$D$692,$B136,'апрель 2023'!$J$4:$J$692,AE$1)</f>
        <v>0</v>
      </c>
      <c r="AF136" s="207">
        <f>SUMIFS('апрель 2023'!$G$4:$G$692,'апрель 2023'!$D$4:$D$692,$B136,'апрель 2023'!$J$4:$J$692,AF$1)</f>
        <v>0</v>
      </c>
      <c r="AG136" s="207">
        <f>SUMIFS('апрель 2023'!$G$4:$G$692,'апрель 2023'!$D$4:$D$692,$B136,'апрель 2023'!$J$4:$J$692,AG$1)</f>
        <v>0</v>
      </c>
      <c r="AH136" s="207">
        <f>SUMIFS('апрель 2023'!$G$4:$G$692,'апрель 2023'!$D$4:$D$692,$B136,'апрель 2023'!$J$4:$J$692,AH$1)</f>
        <v>0</v>
      </c>
      <c r="AI136" s="220">
        <f t="shared" si="3"/>
        <v>0</v>
      </c>
    </row>
    <row r="137" spans="2:35" ht="15" hidden="1" customHeight="1" x14ac:dyDescent="0.25">
      <c r="B137" s="212"/>
      <c r="C137" s="211"/>
      <c r="D137" s="207">
        <f>SUMIFS('апрель 2023'!$G$4:$G$692,'апрель 2023'!$D$4:$D$692,$B137,'апрель 2023'!$J$4:$J$692,D$1)</f>
        <v>0</v>
      </c>
      <c r="E137" s="207">
        <f>SUMIFS('апрель 2023'!$G$4:$G$692,'апрель 2023'!$D$4:$D$692,$B137,'апрель 2023'!$J$4:$J$692,E$1)</f>
        <v>0</v>
      </c>
      <c r="F137" s="207">
        <f>SUMIFS('апрель 2023'!$G$4:$G$692,'апрель 2023'!$D$4:$D$692,$B137,'апрель 2023'!$J$4:$J$692,F$1)</f>
        <v>0</v>
      </c>
      <c r="G137" s="207">
        <f>SUMIFS('апрель 2023'!$G$4:$G$692,'апрель 2023'!$D$4:$D$692,$B137,'апрель 2023'!$J$4:$J$692,G$1)</f>
        <v>0</v>
      </c>
      <c r="H137" s="207">
        <f>SUMIFS('апрель 2023'!$G$4:$G$692,'апрель 2023'!$D$4:$D$692,$B137,'апрель 2023'!$J$4:$J$692,H$1)</f>
        <v>0</v>
      </c>
      <c r="I137" s="207">
        <f>SUMIFS('апрель 2023'!$G$4:$G$692,'апрель 2023'!$D$4:$D$692,$B137,'апрель 2023'!$J$4:$J$692,I$1)</f>
        <v>0</v>
      </c>
      <c r="J137" s="207">
        <f>SUMIFS('апрель 2023'!$G$4:$G$692,'апрель 2023'!$D$4:$D$692,$B137,'апрель 2023'!$J$4:$J$692,J$1)</f>
        <v>0</v>
      </c>
      <c r="K137" s="207">
        <f>SUMIFS('апрель 2023'!$G$4:$G$692,'апрель 2023'!$D$4:$D$692,$B137,'апрель 2023'!$J$4:$J$692,K$1)</f>
        <v>0</v>
      </c>
      <c r="L137" s="207">
        <f>SUMIFS('апрель 2023'!$G$4:$G$692,'апрель 2023'!$D$4:$D$692,$B137,'апрель 2023'!$J$4:$J$692,L$1)</f>
        <v>0</v>
      </c>
      <c r="M137" s="207">
        <f>SUMIFS('апрель 2023'!$G$4:$G$692,'апрель 2023'!$D$4:$D$692,$B137,'апрель 2023'!$J$4:$J$692,M$1)</f>
        <v>0</v>
      </c>
      <c r="N137" s="207">
        <f>SUMIFS('апрель 2023'!$G$4:$G$692,'апрель 2023'!$D$4:$D$692,$B137,'апрель 2023'!$J$4:$J$692,N$1)</f>
        <v>0</v>
      </c>
      <c r="O137" s="207">
        <f>SUMIFS('апрель 2023'!$G$4:$G$692,'апрель 2023'!$D$4:$D$692,$B137,'апрель 2023'!$J$4:$J$692,O$1)</f>
        <v>0</v>
      </c>
      <c r="P137" s="207">
        <f>SUMIFS('апрель 2023'!$G$4:$G$692,'апрель 2023'!$D$4:$D$692,$B137,'апрель 2023'!$J$4:$J$692,P$1)</f>
        <v>0</v>
      </c>
      <c r="Q137" s="207">
        <f>SUMIFS('апрель 2023'!$G$4:$G$692,'апрель 2023'!$D$4:$D$692,$B137,'апрель 2023'!$J$4:$J$692,Q$1)</f>
        <v>0</v>
      </c>
      <c r="R137" s="207">
        <f>SUMIFS('апрель 2023'!$G$4:$G$692,'апрель 2023'!$D$4:$D$692,$B137,'апрель 2023'!$J$4:$J$692,R$1)</f>
        <v>0</v>
      </c>
      <c r="S137" s="207">
        <f>SUMIFS('апрель 2023'!$G$4:$G$692,'апрель 2023'!$D$4:$D$692,$B137,'апрель 2023'!$J$4:$J$692,S$1)</f>
        <v>0</v>
      </c>
      <c r="T137" s="207">
        <f>SUMIFS('апрель 2023'!$G$4:$G$692,'апрель 2023'!$D$4:$D$692,$B137,'апрель 2023'!$J$4:$J$692,T$1)</f>
        <v>0</v>
      </c>
      <c r="U137" s="207">
        <f>SUMIFS('апрель 2023'!$G$4:$G$692,'апрель 2023'!$D$4:$D$692,$B137,'апрель 2023'!$J$4:$J$692,U$1)</f>
        <v>0</v>
      </c>
      <c r="V137" s="207">
        <f>SUMIFS('апрель 2023'!$G$4:$G$692,'апрель 2023'!$D$4:$D$692,$B137,'апрель 2023'!$J$4:$J$692,V$1)</f>
        <v>0</v>
      </c>
      <c r="W137" s="207">
        <f>SUMIFS('апрель 2023'!$G$4:$G$692,'апрель 2023'!$D$4:$D$692,$B137,'апрель 2023'!$J$4:$J$692,W$1)</f>
        <v>0</v>
      </c>
      <c r="X137" s="207">
        <f>SUMIFS('апрель 2023'!$G$4:$G$692,'апрель 2023'!$D$4:$D$692,$B137,'апрель 2023'!$J$4:$J$692,X$1)</f>
        <v>0</v>
      </c>
      <c r="Y137" s="207">
        <f>SUMIFS('апрель 2023'!$G$4:$G$692,'апрель 2023'!$D$4:$D$692,$B137,'апрель 2023'!$J$4:$J$692,Y$1)</f>
        <v>0</v>
      </c>
      <c r="Z137" s="207">
        <f>SUMIFS('апрель 2023'!$G$4:$G$692,'апрель 2023'!$D$4:$D$692,$B137,'апрель 2023'!$J$4:$J$692,Z$1)</f>
        <v>0</v>
      </c>
      <c r="AA137" s="207">
        <f>SUMIFS('апрель 2023'!$G$4:$G$692,'апрель 2023'!$D$4:$D$692,$B137,'апрель 2023'!$J$4:$J$692,AA$1)</f>
        <v>0</v>
      </c>
      <c r="AB137" s="207">
        <f>SUMIFS('апрель 2023'!$G$4:$G$692,'апрель 2023'!$D$4:$D$692,$B137,'апрель 2023'!$J$4:$J$692,AB$1)</f>
        <v>0</v>
      </c>
      <c r="AC137" s="207">
        <f>SUMIFS('апрель 2023'!$G$4:$G$692,'апрель 2023'!$D$4:$D$692,$B137,'апрель 2023'!$J$4:$J$692,AC$1)</f>
        <v>0</v>
      </c>
      <c r="AD137" s="207">
        <f>SUMIFS('апрель 2023'!$G$4:$G$692,'апрель 2023'!$D$4:$D$692,$B137,'апрель 2023'!$J$4:$J$692,AD$1)</f>
        <v>0</v>
      </c>
      <c r="AE137" s="207">
        <f>SUMIFS('апрель 2023'!$G$4:$G$692,'апрель 2023'!$D$4:$D$692,$B137,'апрель 2023'!$J$4:$J$692,AE$1)</f>
        <v>0</v>
      </c>
      <c r="AF137" s="207">
        <f>SUMIFS('апрель 2023'!$G$4:$G$692,'апрель 2023'!$D$4:$D$692,$B137,'апрель 2023'!$J$4:$J$692,AF$1)</f>
        <v>0</v>
      </c>
      <c r="AG137" s="207">
        <f>SUMIFS('апрель 2023'!$G$4:$G$692,'апрель 2023'!$D$4:$D$692,$B137,'апрель 2023'!$J$4:$J$692,AG$1)</f>
        <v>0</v>
      </c>
      <c r="AH137" s="207">
        <f>SUMIFS('апрель 2023'!$G$4:$G$692,'апрель 2023'!$D$4:$D$692,$B137,'апрель 2023'!$J$4:$J$692,AH$1)</f>
        <v>0</v>
      </c>
      <c r="AI137" s="220">
        <f t="shared" si="3"/>
        <v>0</v>
      </c>
    </row>
    <row r="138" spans="2:35" ht="15" hidden="1" customHeight="1" x14ac:dyDescent="0.25">
      <c r="B138" s="212"/>
      <c r="C138" s="215"/>
      <c r="D138" s="207">
        <f>SUMIFS('апрель 2023'!$G$4:$G$692,'апрель 2023'!$D$4:$D$692,$B138,'апрель 2023'!$J$4:$J$692,D$1)</f>
        <v>0</v>
      </c>
      <c r="E138" s="207">
        <f>SUMIFS('апрель 2023'!$G$4:$G$692,'апрель 2023'!$D$4:$D$692,$B138,'апрель 2023'!$J$4:$J$692,E$1)</f>
        <v>0</v>
      </c>
      <c r="F138" s="207">
        <f>SUMIFS('апрель 2023'!$G$4:$G$692,'апрель 2023'!$D$4:$D$692,$B138,'апрель 2023'!$J$4:$J$692,F$1)</f>
        <v>0</v>
      </c>
      <c r="G138" s="207">
        <f>SUMIFS('апрель 2023'!$G$4:$G$692,'апрель 2023'!$D$4:$D$692,$B138,'апрель 2023'!$J$4:$J$692,G$1)</f>
        <v>0</v>
      </c>
      <c r="H138" s="207">
        <f>SUMIFS('апрель 2023'!$G$4:$G$692,'апрель 2023'!$D$4:$D$692,$B138,'апрель 2023'!$J$4:$J$692,H$1)</f>
        <v>0</v>
      </c>
      <c r="I138" s="207">
        <f>SUMIFS('апрель 2023'!$G$4:$G$692,'апрель 2023'!$D$4:$D$692,$B138,'апрель 2023'!$J$4:$J$692,I$1)</f>
        <v>0</v>
      </c>
      <c r="J138" s="207">
        <f>SUMIFS('апрель 2023'!$G$4:$G$692,'апрель 2023'!$D$4:$D$692,$B138,'апрель 2023'!$J$4:$J$692,J$1)</f>
        <v>0</v>
      </c>
      <c r="K138" s="207">
        <f>SUMIFS('апрель 2023'!$G$4:$G$692,'апрель 2023'!$D$4:$D$692,$B138,'апрель 2023'!$J$4:$J$692,K$1)</f>
        <v>0</v>
      </c>
      <c r="L138" s="207">
        <f>SUMIFS('апрель 2023'!$G$4:$G$692,'апрель 2023'!$D$4:$D$692,$B138,'апрель 2023'!$J$4:$J$692,L$1)</f>
        <v>0</v>
      </c>
      <c r="M138" s="207">
        <f>SUMIFS('апрель 2023'!$G$4:$G$692,'апрель 2023'!$D$4:$D$692,$B138,'апрель 2023'!$J$4:$J$692,M$1)</f>
        <v>0</v>
      </c>
      <c r="N138" s="207">
        <f>SUMIFS('апрель 2023'!$G$4:$G$692,'апрель 2023'!$D$4:$D$692,$B138,'апрель 2023'!$J$4:$J$692,N$1)</f>
        <v>0</v>
      </c>
      <c r="O138" s="207">
        <f>SUMIFS('апрель 2023'!$G$4:$G$692,'апрель 2023'!$D$4:$D$692,$B138,'апрель 2023'!$J$4:$J$692,O$1)</f>
        <v>0</v>
      </c>
      <c r="P138" s="207">
        <f>SUMIFS('апрель 2023'!$G$4:$G$692,'апрель 2023'!$D$4:$D$692,$B138,'апрель 2023'!$J$4:$J$692,P$1)</f>
        <v>0</v>
      </c>
      <c r="Q138" s="207">
        <f>SUMIFS('апрель 2023'!$G$4:$G$692,'апрель 2023'!$D$4:$D$692,$B138,'апрель 2023'!$J$4:$J$692,Q$1)</f>
        <v>0</v>
      </c>
      <c r="R138" s="207">
        <f>SUMIFS('апрель 2023'!$G$4:$G$692,'апрель 2023'!$D$4:$D$692,$B138,'апрель 2023'!$J$4:$J$692,R$1)</f>
        <v>0</v>
      </c>
      <c r="S138" s="207">
        <f>SUMIFS('апрель 2023'!$G$4:$G$692,'апрель 2023'!$D$4:$D$692,$B138,'апрель 2023'!$J$4:$J$692,S$1)</f>
        <v>0</v>
      </c>
      <c r="T138" s="207">
        <f>SUMIFS('апрель 2023'!$G$4:$G$692,'апрель 2023'!$D$4:$D$692,$B138,'апрель 2023'!$J$4:$J$692,T$1)</f>
        <v>0</v>
      </c>
      <c r="U138" s="207">
        <f>SUMIFS('апрель 2023'!$G$4:$G$692,'апрель 2023'!$D$4:$D$692,$B138,'апрель 2023'!$J$4:$J$692,U$1)</f>
        <v>0</v>
      </c>
      <c r="V138" s="207">
        <f>SUMIFS('апрель 2023'!$G$4:$G$692,'апрель 2023'!$D$4:$D$692,$B138,'апрель 2023'!$J$4:$J$692,V$1)</f>
        <v>0</v>
      </c>
      <c r="W138" s="207">
        <f>SUMIFS('апрель 2023'!$G$4:$G$692,'апрель 2023'!$D$4:$D$692,$B138,'апрель 2023'!$J$4:$J$692,W$1)</f>
        <v>0</v>
      </c>
      <c r="X138" s="207">
        <f>SUMIFS('апрель 2023'!$G$4:$G$692,'апрель 2023'!$D$4:$D$692,$B138,'апрель 2023'!$J$4:$J$692,X$1)</f>
        <v>0</v>
      </c>
      <c r="Y138" s="207">
        <f>SUMIFS('апрель 2023'!$G$4:$G$692,'апрель 2023'!$D$4:$D$692,$B138,'апрель 2023'!$J$4:$J$692,Y$1)</f>
        <v>0</v>
      </c>
      <c r="Z138" s="207">
        <f>SUMIFS('апрель 2023'!$G$4:$G$692,'апрель 2023'!$D$4:$D$692,$B138,'апрель 2023'!$J$4:$J$692,Z$1)</f>
        <v>0</v>
      </c>
      <c r="AA138" s="207">
        <f>SUMIFS('апрель 2023'!$G$4:$G$692,'апрель 2023'!$D$4:$D$692,$B138,'апрель 2023'!$J$4:$J$692,AA$1)</f>
        <v>0</v>
      </c>
      <c r="AB138" s="207">
        <f>SUMIFS('апрель 2023'!$G$4:$G$692,'апрель 2023'!$D$4:$D$692,$B138,'апрель 2023'!$J$4:$J$692,AB$1)</f>
        <v>0</v>
      </c>
      <c r="AC138" s="207">
        <f>SUMIFS('апрель 2023'!$G$4:$G$692,'апрель 2023'!$D$4:$D$692,$B138,'апрель 2023'!$J$4:$J$692,AC$1)</f>
        <v>0</v>
      </c>
      <c r="AD138" s="207">
        <f>SUMIFS('апрель 2023'!$G$4:$G$692,'апрель 2023'!$D$4:$D$692,$B138,'апрель 2023'!$J$4:$J$692,AD$1)</f>
        <v>0</v>
      </c>
      <c r="AE138" s="207">
        <f>SUMIFS('апрель 2023'!$G$4:$G$692,'апрель 2023'!$D$4:$D$692,$B138,'апрель 2023'!$J$4:$J$692,AE$1)</f>
        <v>0</v>
      </c>
      <c r="AF138" s="207">
        <f>SUMIFS('апрель 2023'!$G$4:$G$692,'апрель 2023'!$D$4:$D$692,$B138,'апрель 2023'!$J$4:$J$692,AF$1)</f>
        <v>0</v>
      </c>
      <c r="AG138" s="207">
        <f>SUMIFS('апрель 2023'!$G$4:$G$692,'апрель 2023'!$D$4:$D$692,$B138,'апрель 2023'!$J$4:$J$692,AG$1)</f>
        <v>0</v>
      </c>
      <c r="AH138" s="207">
        <f>SUMIFS('апрель 2023'!$G$4:$G$692,'апрель 2023'!$D$4:$D$692,$B138,'апрель 2023'!$J$4:$J$692,AH$1)</f>
        <v>0</v>
      </c>
      <c r="AI138" s="220">
        <f t="shared" si="3"/>
        <v>0</v>
      </c>
    </row>
    <row r="139" spans="2:35" ht="15" hidden="1" customHeight="1" x14ac:dyDescent="0.25">
      <c r="B139" s="212"/>
      <c r="C139" s="213"/>
      <c r="D139" s="207">
        <f>SUMIFS('апрель 2023'!$G$4:$G$692,'апрель 2023'!$D$4:$D$692,$B139,'апрель 2023'!$J$4:$J$692,D$1)</f>
        <v>0</v>
      </c>
      <c r="E139" s="207">
        <f>SUMIFS('апрель 2023'!$G$4:$G$692,'апрель 2023'!$D$4:$D$692,$B139,'апрель 2023'!$J$4:$J$692,E$1)</f>
        <v>0</v>
      </c>
      <c r="F139" s="207">
        <f>SUMIFS('апрель 2023'!$G$4:$G$692,'апрель 2023'!$D$4:$D$692,$B139,'апрель 2023'!$J$4:$J$692,F$1)</f>
        <v>0</v>
      </c>
      <c r="G139" s="207">
        <f>SUMIFS('апрель 2023'!$G$4:$G$692,'апрель 2023'!$D$4:$D$692,$B139,'апрель 2023'!$J$4:$J$692,G$1)</f>
        <v>0</v>
      </c>
      <c r="H139" s="207">
        <f>SUMIFS('апрель 2023'!$G$4:$G$692,'апрель 2023'!$D$4:$D$692,$B139,'апрель 2023'!$J$4:$J$692,H$1)</f>
        <v>0</v>
      </c>
      <c r="I139" s="207">
        <f>SUMIFS('апрель 2023'!$G$4:$G$692,'апрель 2023'!$D$4:$D$692,$B139,'апрель 2023'!$J$4:$J$692,I$1)</f>
        <v>0</v>
      </c>
      <c r="J139" s="207">
        <f>SUMIFS('апрель 2023'!$G$4:$G$692,'апрель 2023'!$D$4:$D$692,$B139,'апрель 2023'!$J$4:$J$692,J$1)</f>
        <v>0</v>
      </c>
      <c r="K139" s="207">
        <f>SUMIFS('апрель 2023'!$G$4:$G$692,'апрель 2023'!$D$4:$D$692,$B139,'апрель 2023'!$J$4:$J$692,K$1)</f>
        <v>0</v>
      </c>
      <c r="L139" s="207">
        <f>SUMIFS('апрель 2023'!$G$4:$G$692,'апрель 2023'!$D$4:$D$692,$B139,'апрель 2023'!$J$4:$J$692,L$1)</f>
        <v>0</v>
      </c>
      <c r="M139" s="207">
        <f>SUMIFS('апрель 2023'!$G$4:$G$692,'апрель 2023'!$D$4:$D$692,$B139,'апрель 2023'!$J$4:$J$692,M$1)</f>
        <v>0</v>
      </c>
      <c r="N139" s="207">
        <f>SUMIFS('апрель 2023'!$G$4:$G$692,'апрель 2023'!$D$4:$D$692,$B139,'апрель 2023'!$J$4:$J$692,N$1)</f>
        <v>0</v>
      </c>
      <c r="O139" s="207">
        <f>SUMIFS('апрель 2023'!$G$4:$G$692,'апрель 2023'!$D$4:$D$692,$B139,'апрель 2023'!$J$4:$J$692,O$1)</f>
        <v>0</v>
      </c>
      <c r="P139" s="207">
        <f>SUMIFS('апрель 2023'!$G$4:$G$692,'апрель 2023'!$D$4:$D$692,$B139,'апрель 2023'!$J$4:$J$692,P$1)</f>
        <v>0</v>
      </c>
      <c r="Q139" s="207">
        <f>SUMIFS('апрель 2023'!$G$4:$G$692,'апрель 2023'!$D$4:$D$692,$B139,'апрель 2023'!$J$4:$J$692,Q$1)</f>
        <v>0</v>
      </c>
      <c r="R139" s="207">
        <f>SUMIFS('апрель 2023'!$G$4:$G$692,'апрель 2023'!$D$4:$D$692,$B139,'апрель 2023'!$J$4:$J$692,R$1)</f>
        <v>0</v>
      </c>
      <c r="S139" s="207">
        <f>SUMIFS('апрель 2023'!$G$4:$G$692,'апрель 2023'!$D$4:$D$692,$B139,'апрель 2023'!$J$4:$J$692,S$1)</f>
        <v>0</v>
      </c>
      <c r="T139" s="207">
        <f>SUMIFS('апрель 2023'!$G$4:$G$692,'апрель 2023'!$D$4:$D$692,$B139,'апрель 2023'!$J$4:$J$692,T$1)</f>
        <v>0</v>
      </c>
      <c r="U139" s="207">
        <f>SUMIFS('апрель 2023'!$G$4:$G$692,'апрель 2023'!$D$4:$D$692,$B139,'апрель 2023'!$J$4:$J$692,U$1)</f>
        <v>0</v>
      </c>
      <c r="V139" s="207">
        <f>SUMIFS('апрель 2023'!$G$4:$G$692,'апрель 2023'!$D$4:$D$692,$B139,'апрель 2023'!$J$4:$J$692,V$1)</f>
        <v>0</v>
      </c>
      <c r="W139" s="207">
        <f>SUMIFS('апрель 2023'!$G$4:$G$692,'апрель 2023'!$D$4:$D$692,$B139,'апрель 2023'!$J$4:$J$692,W$1)</f>
        <v>0</v>
      </c>
      <c r="X139" s="207">
        <f>SUMIFS('апрель 2023'!$G$4:$G$692,'апрель 2023'!$D$4:$D$692,$B139,'апрель 2023'!$J$4:$J$692,X$1)</f>
        <v>0</v>
      </c>
      <c r="Y139" s="207">
        <f>SUMIFS('апрель 2023'!$G$4:$G$692,'апрель 2023'!$D$4:$D$692,$B139,'апрель 2023'!$J$4:$J$692,Y$1)</f>
        <v>0</v>
      </c>
      <c r="Z139" s="207">
        <f>SUMIFS('апрель 2023'!$G$4:$G$692,'апрель 2023'!$D$4:$D$692,$B139,'апрель 2023'!$J$4:$J$692,Z$1)</f>
        <v>0</v>
      </c>
      <c r="AA139" s="207">
        <f>SUMIFS('апрель 2023'!$G$4:$G$692,'апрель 2023'!$D$4:$D$692,$B139,'апрель 2023'!$J$4:$J$692,AA$1)</f>
        <v>0</v>
      </c>
      <c r="AB139" s="207">
        <f>SUMIFS('апрель 2023'!$G$4:$G$692,'апрель 2023'!$D$4:$D$692,$B139,'апрель 2023'!$J$4:$J$692,AB$1)</f>
        <v>0</v>
      </c>
      <c r="AC139" s="207">
        <f>SUMIFS('апрель 2023'!$G$4:$G$692,'апрель 2023'!$D$4:$D$692,$B139,'апрель 2023'!$J$4:$J$692,AC$1)</f>
        <v>0</v>
      </c>
      <c r="AD139" s="207">
        <f>SUMIFS('апрель 2023'!$G$4:$G$692,'апрель 2023'!$D$4:$D$692,$B139,'апрель 2023'!$J$4:$J$692,AD$1)</f>
        <v>0</v>
      </c>
      <c r="AE139" s="207">
        <f>SUMIFS('апрель 2023'!$G$4:$G$692,'апрель 2023'!$D$4:$D$692,$B139,'апрель 2023'!$J$4:$J$692,AE$1)</f>
        <v>0</v>
      </c>
      <c r="AF139" s="207">
        <f>SUMIFS('апрель 2023'!$G$4:$G$692,'апрель 2023'!$D$4:$D$692,$B139,'апрель 2023'!$J$4:$J$692,AF$1)</f>
        <v>0</v>
      </c>
      <c r="AG139" s="207">
        <f>SUMIFS('апрель 2023'!$G$4:$G$692,'апрель 2023'!$D$4:$D$692,$B139,'апрель 2023'!$J$4:$J$692,AG$1)</f>
        <v>0</v>
      </c>
      <c r="AH139" s="207">
        <f>SUMIFS('апрель 2023'!$G$4:$G$692,'апрель 2023'!$D$4:$D$692,$B139,'апрель 2023'!$J$4:$J$692,AH$1)</f>
        <v>0</v>
      </c>
      <c r="AI139" s="220">
        <f t="shared" si="3"/>
        <v>0</v>
      </c>
    </row>
    <row r="140" spans="2:35" ht="15" hidden="1" customHeight="1" x14ac:dyDescent="0.25">
      <c r="B140" s="216"/>
      <c r="C140" s="213"/>
      <c r="D140" s="207">
        <f>SUMIFS('апрель 2023'!$G$4:$G$692,'апрель 2023'!$D$4:$D$692,$B140,'апрель 2023'!$J$4:$J$692,D$1)</f>
        <v>0</v>
      </c>
      <c r="E140" s="207">
        <f>SUMIFS('апрель 2023'!$G$4:$G$692,'апрель 2023'!$D$4:$D$692,$B140,'апрель 2023'!$J$4:$J$692,E$1)</f>
        <v>0</v>
      </c>
      <c r="F140" s="207">
        <f>SUMIFS('апрель 2023'!$G$4:$G$692,'апрель 2023'!$D$4:$D$692,$B140,'апрель 2023'!$J$4:$J$692,F$1)</f>
        <v>0</v>
      </c>
      <c r="G140" s="207">
        <f>SUMIFS('апрель 2023'!$G$4:$G$692,'апрель 2023'!$D$4:$D$692,$B140,'апрель 2023'!$J$4:$J$692,G$1)</f>
        <v>0</v>
      </c>
      <c r="H140" s="207">
        <f>SUMIFS('апрель 2023'!$G$4:$G$692,'апрель 2023'!$D$4:$D$692,$B140,'апрель 2023'!$J$4:$J$692,H$1)</f>
        <v>0</v>
      </c>
      <c r="I140" s="207">
        <f>SUMIFS('апрель 2023'!$G$4:$G$692,'апрель 2023'!$D$4:$D$692,$B140,'апрель 2023'!$J$4:$J$692,I$1)</f>
        <v>0</v>
      </c>
      <c r="J140" s="207">
        <f>SUMIFS('апрель 2023'!$G$4:$G$692,'апрель 2023'!$D$4:$D$692,$B140,'апрель 2023'!$J$4:$J$692,J$1)</f>
        <v>0</v>
      </c>
      <c r="K140" s="207">
        <f>SUMIFS('апрель 2023'!$G$4:$G$692,'апрель 2023'!$D$4:$D$692,$B140,'апрель 2023'!$J$4:$J$692,K$1)</f>
        <v>0</v>
      </c>
      <c r="L140" s="207">
        <f>SUMIFS('апрель 2023'!$G$4:$G$692,'апрель 2023'!$D$4:$D$692,$B140,'апрель 2023'!$J$4:$J$692,L$1)</f>
        <v>0</v>
      </c>
      <c r="M140" s="207">
        <f>SUMIFS('апрель 2023'!$G$4:$G$692,'апрель 2023'!$D$4:$D$692,$B140,'апрель 2023'!$J$4:$J$692,M$1)</f>
        <v>0</v>
      </c>
      <c r="N140" s="207">
        <f>SUMIFS('апрель 2023'!$G$4:$G$692,'апрель 2023'!$D$4:$D$692,$B140,'апрель 2023'!$J$4:$J$692,N$1)</f>
        <v>0</v>
      </c>
      <c r="O140" s="207">
        <f>SUMIFS('апрель 2023'!$G$4:$G$692,'апрель 2023'!$D$4:$D$692,$B140,'апрель 2023'!$J$4:$J$692,O$1)</f>
        <v>0</v>
      </c>
      <c r="P140" s="207">
        <f>SUMIFS('апрель 2023'!$G$4:$G$692,'апрель 2023'!$D$4:$D$692,$B140,'апрель 2023'!$J$4:$J$692,P$1)</f>
        <v>0</v>
      </c>
      <c r="Q140" s="207">
        <f>SUMIFS('апрель 2023'!$G$4:$G$692,'апрель 2023'!$D$4:$D$692,$B140,'апрель 2023'!$J$4:$J$692,Q$1)</f>
        <v>0</v>
      </c>
      <c r="R140" s="207">
        <f>SUMIFS('апрель 2023'!$G$4:$G$692,'апрель 2023'!$D$4:$D$692,$B140,'апрель 2023'!$J$4:$J$692,R$1)</f>
        <v>0</v>
      </c>
      <c r="S140" s="207">
        <f>SUMIFS('апрель 2023'!$G$4:$G$692,'апрель 2023'!$D$4:$D$692,$B140,'апрель 2023'!$J$4:$J$692,S$1)</f>
        <v>0</v>
      </c>
      <c r="T140" s="207">
        <f>SUMIFS('апрель 2023'!$G$4:$G$692,'апрель 2023'!$D$4:$D$692,$B140,'апрель 2023'!$J$4:$J$692,T$1)</f>
        <v>0</v>
      </c>
      <c r="U140" s="207">
        <f>SUMIFS('апрель 2023'!$G$4:$G$692,'апрель 2023'!$D$4:$D$692,$B140,'апрель 2023'!$J$4:$J$692,U$1)</f>
        <v>0</v>
      </c>
      <c r="V140" s="207">
        <f>SUMIFS('апрель 2023'!$G$4:$G$692,'апрель 2023'!$D$4:$D$692,$B140,'апрель 2023'!$J$4:$J$692,V$1)</f>
        <v>0</v>
      </c>
      <c r="W140" s="207">
        <f>SUMIFS('апрель 2023'!$G$4:$G$692,'апрель 2023'!$D$4:$D$692,$B140,'апрель 2023'!$J$4:$J$692,W$1)</f>
        <v>0</v>
      </c>
      <c r="X140" s="207">
        <f>SUMIFS('апрель 2023'!$G$4:$G$692,'апрель 2023'!$D$4:$D$692,$B140,'апрель 2023'!$J$4:$J$692,X$1)</f>
        <v>0</v>
      </c>
      <c r="Y140" s="207">
        <f>SUMIFS('апрель 2023'!$G$4:$G$692,'апрель 2023'!$D$4:$D$692,$B140,'апрель 2023'!$J$4:$J$692,Y$1)</f>
        <v>0</v>
      </c>
      <c r="Z140" s="207">
        <f>SUMIFS('апрель 2023'!$G$4:$G$692,'апрель 2023'!$D$4:$D$692,$B140,'апрель 2023'!$J$4:$J$692,Z$1)</f>
        <v>0</v>
      </c>
      <c r="AA140" s="207">
        <f>SUMIFS('апрель 2023'!$G$4:$G$692,'апрель 2023'!$D$4:$D$692,$B140,'апрель 2023'!$J$4:$J$692,AA$1)</f>
        <v>0</v>
      </c>
      <c r="AB140" s="207">
        <f>SUMIFS('апрель 2023'!$G$4:$G$692,'апрель 2023'!$D$4:$D$692,$B140,'апрель 2023'!$J$4:$J$692,AB$1)</f>
        <v>0</v>
      </c>
      <c r="AC140" s="207">
        <f>SUMIFS('апрель 2023'!$G$4:$G$692,'апрель 2023'!$D$4:$D$692,$B140,'апрель 2023'!$J$4:$J$692,AC$1)</f>
        <v>0</v>
      </c>
      <c r="AD140" s="207">
        <f>SUMIFS('апрель 2023'!$G$4:$G$692,'апрель 2023'!$D$4:$D$692,$B140,'апрель 2023'!$J$4:$J$692,AD$1)</f>
        <v>0</v>
      </c>
      <c r="AE140" s="207">
        <f>SUMIFS('апрель 2023'!$G$4:$G$692,'апрель 2023'!$D$4:$D$692,$B140,'апрель 2023'!$J$4:$J$692,AE$1)</f>
        <v>0</v>
      </c>
      <c r="AF140" s="207">
        <f>SUMIFS('апрель 2023'!$G$4:$G$692,'апрель 2023'!$D$4:$D$692,$B140,'апрель 2023'!$J$4:$J$692,AF$1)</f>
        <v>0</v>
      </c>
      <c r="AG140" s="207">
        <f>SUMIFS('апрель 2023'!$G$4:$G$692,'апрель 2023'!$D$4:$D$692,$B140,'апрель 2023'!$J$4:$J$692,AG$1)</f>
        <v>0</v>
      </c>
      <c r="AH140" s="207">
        <f>SUMIFS('апрель 2023'!$G$4:$G$692,'апрель 2023'!$D$4:$D$692,$B140,'апрель 2023'!$J$4:$J$692,AH$1)</f>
        <v>0</v>
      </c>
      <c r="AI140" s="220">
        <f t="shared" si="3"/>
        <v>0</v>
      </c>
    </row>
    <row r="141" spans="2:35" ht="15" hidden="1" customHeight="1" x14ac:dyDescent="0.25">
      <c r="B141" s="212"/>
      <c r="C141" s="211"/>
      <c r="D141" s="207">
        <f>SUMIFS('апрель 2023'!$G$4:$G$692,'апрель 2023'!$D$4:$D$692,$B141,'апрель 2023'!$J$4:$J$692,D$1)</f>
        <v>0</v>
      </c>
      <c r="E141" s="207">
        <f>SUMIFS('апрель 2023'!$G$4:$G$692,'апрель 2023'!$D$4:$D$692,$B141,'апрель 2023'!$J$4:$J$692,E$1)</f>
        <v>0</v>
      </c>
      <c r="F141" s="207">
        <f>SUMIFS('апрель 2023'!$G$4:$G$692,'апрель 2023'!$D$4:$D$692,$B141,'апрель 2023'!$J$4:$J$692,F$1)</f>
        <v>0</v>
      </c>
      <c r="G141" s="207">
        <f>SUMIFS('апрель 2023'!$G$4:$G$692,'апрель 2023'!$D$4:$D$692,$B141,'апрель 2023'!$J$4:$J$692,G$1)</f>
        <v>0</v>
      </c>
      <c r="H141" s="207">
        <f>SUMIFS('апрель 2023'!$G$4:$G$692,'апрель 2023'!$D$4:$D$692,$B141,'апрель 2023'!$J$4:$J$692,H$1)</f>
        <v>0</v>
      </c>
      <c r="I141" s="207">
        <f>SUMIFS('апрель 2023'!$G$4:$G$692,'апрель 2023'!$D$4:$D$692,$B141,'апрель 2023'!$J$4:$J$692,I$1)</f>
        <v>0</v>
      </c>
      <c r="J141" s="207">
        <f>SUMIFS('апрель 2023'!$G$4:$G$692,'апрель 2023'!$D$4:$D$692,$B141,'апрель 2023'!$J$4:$J$692,J$1)</f>
        <v>0</v>
      </c>
      <c r="K141" s="207">
        <f>SUMIFS('апрель 2023'!$G$4:$G$692,'апрель 2023'!$D$4:$D$692,$B141,'апрель 2023'!$J$4:$J$692,K$1)</f>
        <v>0</v>
      </c>
      <c r="L141" s="207">
        <f>SUMIFS('апрель 2023'!$G$4:$G$692,'апрель 2023'!$D$4:$D$692,$B141,'апрель 2023'!$J$4:$J$692,L$1)</f>
        <v>0</v>
      </c>
      <c r="M141" s="207">
        <f>SUMIFS('апрель 2023'!$G$4:$G$692,'апрель 2023'!$D$4:$D$692,$B141,'апрель 2023'!$J$4:$J$692,M$1)</f>
        <v>0</v>
      </c>
      <c r="N141" s="207">
        <f>SUMIFS('апрель 2023'!$G$4:$G$692,'апрель 2023'!$D$4:$D$692,$B141,'апрель 2023'!$J$4:$J$692,N$1)</f>
        <v>0</v>
      </c>
      <c r="O141" s="207">
        <f>SUMIFS('апрель 2023'!$G$4:$G$692,'апрель 2023'!$D$4:$D$692,$B141,'апрель 2023'!$J$4:$J$692,O$1)</f>
        <v>0</v>
      </c>
      <c r="P141" s="207">
        <f>SUMIFS('апрель 2023'!$G$4:$G$692,'апрель 2023'!$D$4:$D$692,$B141,'апрель 2023'!$J$4:$J$692,P$1)</f>
        <v>0</v>
      </c>
      <c r="Q141" s="207">
        <f>SUMIFS('апрель 2023'!$G$4:$G$692,'апрель 2023'!$D$4:$D$692,$B141,'апрель 2023'!$J$4:$J$692,Q$1)</f>
        <v>0</v>
      </c>
      <c r="R141" s="207">
        <f>SUMIFS('апрель 2023'!$G$4:$G$692,'апрель 2023'!$D$4:$D$692,$B141,'апрель 2023'!$J$4:$J$692,R$1)</f>
        <v>0</v>
      </c>
      <c r="S141" s="207">
        <f>SUMIFS('апрель 2023'!$G$4:$G$692,'апрель 2023'!$D$4:$D$692,$B141,'апрель 2023'!$J$4:$J$692,S$1)</f>
        <v>0</v>
      </c>
      <c r="T141" s="207">
        <f>SUMIFS('апрель 2023'!$G$4:$G$692,'апрель 2023'!$D$4:$D$692,$B141,'апрель 2023'!$J$4:$J$692,T$1)</f>
        <v>0</v>
      </c>
      <c r="U141" s="207">
        <f>SUMIFS('апрель 2023'!$G$4:$G$692,'апрель 2023'!$D$4:$D$692,$B141,'апрель 2023'!$J$4:$J$692,U$1)</f>
        <v>0</v>
      </c>
      <c r="V141" s="207">
        <f>SUMIFS('апрель 2023'!$G$4:$G$692,'апрель 2023'!$D$4:$D$692,$B141,'апрель 2023'!$J$4:$J$692,V$1)</f>
        <v>0</v>
      </c>
      <c r="W141" s="207">
        <f>SUMIFS('апрель 2023'!$G$4:$G$692,'апрель 2023'!$D$4:$D$692,$B141,'апрель 2023'!$J$4:$J$692,W$1)</f>
        <v>0</v>
      </c>
      <c r="X141" s="207">
        <f>SUMIFS('апрель 2023'!$G$4:$G$692,'апрель 2023'!$D$4:$D$692,$B141,'апрель 2023'!$J$4:$J$692,X$1)</f>
        <v>0</v>
      </c>
      <c r="Y141" s="207">
        <f>SUMIFS('апрель 2023'!$G$4:$G$692,'апрель 2023'!$D$4:$D$692,$B141,'апрель 2023'!$J$4:$J$692,Y$1)</f>
        <v>0</v>
      </c>
      <c r="Z141" s="207">
        <f>SUMIFS('апрель 2023'!$G$4:$G$692,'апрель 2023'!$D$4:$D$692,$B141,'апрель 2023'!$J$4:$J$692,Z$1)</f>
        <v>0</v>
      </c>
      <c r="AA141" s="207">
        <f>SUMIFS('апрель 2023'!$G$4:$G$692,'апрель 2023'!$D$4:$D$692,$B141,'апрель 2023'!$J$4:$J$692,AA$1)</f>
        <v>0</v>
      </c>
      <c r="AB141" s="207">
        <f>SUMIFS('апрель 2023'!$G$4:$G$692,'апрель 2023'!$D$4:$D$692,$B141,'апрель 2023'!$J$4:$J$692,AB$1)</f>
        <v>0</v>
      </c>
      <c r="AC141" s="207">
        <f>SUMIFS('апрель 2023'!$G$4:$G$692,'апрель 2023'!$D$4:$D$692,$B141,'апрель 2023'!$J$4:$J$692,AC$1)</f>
        <v>0</v>
      </c>
      <c r="AD141" s="207">
        <f>SUMIFS('апрель 2023'!$G$4:$G$692,'апрель 2023'!$D$4:$D$692,$B141,'апрель 2023'!$J$4:$J$692,AD$1)</f>
        <v>0</v>
      </c>
      <c r="AE141" s="207">
        <f>SUMIFS('апрель 2023'!$G$4:$G$692,'апрель 2023'!$D$4:$D$692,$B141,'апрель 2023'!$J$4:$J$692,AE$1)</f>
        <v>0</v>
      </c>
      <c r="AF141" s="207">
        <f>SUMIFS('апрель 2023'!$G$4:$G$692,'апрель 2023'!$D$4:$D$692,$B141,'апрель 2023'!$J$4:$J$692,AF$1)</f>
        <v>0</v>
      </c>
      <c r="AG141" s="207">
        <f>SUMIFS('апрель 2023'!$G$4:$G$692,'апрель 2023'!$D$4:$D$692,$B141,'апрель 2023'!$J$4:$J$692,AG$1)</f>
        <v>0</v>
      </c>
      <c r="AH141" s="207">
        <f>SUMIFS('апрель 2023'!$G$4:$G$692,'апрель 2023'!$D$4:$D$692,$B141,'апрель 2023'!$J$4:$J$692,AH$1)</f>
        <v>0</v>
      </c>
      <c r="AI141" s="220">
        <f t="shared" si="3"/>
        <v>0</v>
      </c>
    </row>
    <row r="142" spans="2:35" ht="15" hidden="1" customHeight="1" x14ac:dyDescent="0.25">
      <c r="B142" s="212"/>
      <c r="C142" s="213"/>
      <c r="D142" s="207">
        <f>SUMIFS('апрель 2023'!$G$4:$G$692,'апрель 2023'!$D$4:$D$692,$B142,'апрель 2023'!$J$4:$J$692,D$1)</f>
        <v>0</v>
      </c>
      <c r="E142" s="207">
        <f>SUMIFS('апрель 2023'!$G$4:$G$692,'апрель 2023'!$D$4:$D$692,$B142,'апрель 2023'!$J$4:$J$692,E$1)</f>
        <v>0</v>
      </c>
      <c r="F142" s="207">
        <f>SUMIFS('апрель 2023'!$G$4:$G$692,'апрель 2023'!$D$4:$D$692,$B142,'апрель 2023'!$J$4:$J$692,F$1)</f>
        <v>0</v>
      </c>
      <c r="G142" s="207">
        <f>SUMIFS('апрель 2023'!$G$4:$G$692,'апрель 2023'!$D$4:$D$692,$B142,'апрель 2023'!$J$4:$J$692,G$1)</f>
        <v>0</v>
      </c>
      <c r="H142" s="207">
        <f>SUMIFS('апрель 2023'!$G$4:$G$692,'апрель 2023'!$D$4:$D$692,$B142,'апрель 2023'!$J$4:$J$692,H$1)</f>
        <v>0</v>
      </c>
      <c r="I142" s="207">
        <f>SUMIFS('апрель 2023'!$G$4:$G$692,'апрель 2023'!$D$4:$D$692,$B142,'апрель 2023'!$J$4:$J$692,I$1)</f>
        <v>0</v>
      </c>
      <c r="J142" s="207">
        <f>SUMIFS('апрель 2023'!$G$4:$G$692,'апрель 2023'!$D$4:$D$692,$B142,'апрель 2023'!$J$4:$J$692,J$1)</f>
        <v>0</v>
      </c>
      <c r="K142" s="207">
        <f>SUMIFS('апрель 2023'!$G$4:$G$692,'апрель 2023'!$D$4:$D$692,$B142,'апрель 2023'!$J$4:$J$692,K$1)</f>
        <v>0</v>
      </c>
      <c r="L142" s="207">
        <f>SUMIFS('апрель 2023'!$G$4:$G$692,'апрель 2023'!$D$4:$D$692,$B142,'апрель 2023'!$J$4:$J$692,L$1)</f>
        <v>0</v>
      </c>
      <c r="M142" s="207">
        <f>SUMIFS('апрель 2023'!$G$4:$G$692,'апрель 2023'!$D$4:$D$692,$B142,'апрель 2023'!$J$4:$J$692,M$1)</f>
        <v>0</v>
      </c>
      <c r="N142" s="207">
        <f>SUMIFS('апрель 2023'!$G$4:$G$692,'апрель 2023'!$D$4:$D$692,$B142,'апрель 2023'!$J$4:$J$692,N$1)</f>
        <v>0</v>
      </c>
      <c r="O142" s="207">
        <f>SUMIFS('апрель 2023'!$G$4:$G$692,'апрель 2023'!$D$4:$D$692,$B142,'апрель 2023'!$J$4:$J$692,O$1)</f>
        <v>0</v>
      </c>
      <c r="P142" s="207">
        <f>SUMIFS('апрель 2023'!$G$4:$G$692,'апрель 2023'!$D$4:$D$692,$B142,'апрель 2023'!$J$4:$J$692,P$1)</f>
        <v>0</v>
      </c>
      <c r="Q142" s="207">
        <f>SUMIFS('апрель 2023'!$G$4:$G$692,'апрель 2023'!$D$4:$D$692,$B142,'апрель 2023'!$J$4:$J$692,Q$1)</f>
        <v>0</v>
      </c>
      <c r="R142" s="207">
        <f>SUMIFS('апрель 2023'!$G$4:$G$692,'апрель 2023'!$D$4:$D$692,$B142,'апрель 2023'!$J$4:$J$692,R$1)</f>
        <v>0</v>
      </c>
      <c r="S142" s="207">
        <f>SUMIFS('апрель 2023'!$G$4:$G$692,'апрель 2023'!$D$4:$D$692,$B142,'апрель 2023'!$J$4:$J$692,S$1)</f>
        <v>0</v>
      </c>
      <c r="T142" s="207">
        <f>SUMIFS('апрель 2023'!$G$4:$G$692,'апрель 2023'!$D$4:$D$692,$B142,'апрель 2023'!$J$4:$J$692,T$1)</f>
        <v>0</v>
      </c>
      <c r="U142" s="207">
        <f>SUMIFS('апрель 2023'!$G$4:$G$692,'апрель 2023'!$D$4:$D$692,$B142,'апрель 2023'!$J$4:$J$692,U$1)</f>
        <v>0</v>
      </c>
      <c r="V142" s="207">
        <f>SUMIFS('апрель 2023'!$G$4:$G$692,'апрель 2023'!$D$4:$D$692,$B142,'апрель 2023'!$J$4:$J$692,V$1)</f>
        <v>0</v>
      </c>
      <c r="W142" s="207">
        <f>SUMIFS('апрель 2023'!$G$4:$G$692,'апрель 2023'!$D$4:$D$692,$B142,'апрель 2023'!$J$4:$J$692,W$1)</f>
        <v>0</v>
      </c>
      <c r="X142" s="207">
        <f>SUMIFS('апрель 2023'!$G$4:$G$692,'апрель 2023'!$D$4:$D$692,$B142,'апрель 2023'!$J$4:$J$692,X$1)</f>
        <v>0</v>
      </c>
      <c r="Y142" s="207">
        <f>SUMIFS('апрель 2023'!$G$4:$G$692,'апрель 2023'!$D$4:$D$692,$B142,'апрель 2023'!$J$4:$J$692,Y$1)</f>
        <v>0</v>
      </c>
      <c r="Z142" s="207">
        <f>SUMIFS('апрель 2023'!$G$4:$G$692,'апрель 2023'!$D$4:$D$692,$B142,'апрель 2023'!$J$4:$J$692,Z$1)</f>
        <v>0</v>
      </c>
      <c r="AA142" s="207">
        <f>SUMIFS('апрель 2023'!$G$4:$G$692,'апрель 2023'!$D$4:$D$692,$B142,'апрель 2023'!$J$4:$J$692,AA$1)</f>
        <v>0</v>
      </c>
      <c r="AB142" s="207">
        <f>SUMIFS('апрель 2023'!$G$4:$G$692,'апрель 2023'!$D$4:$D$692,$B142,'апрель 2023'!$J$4:$J$692,AB$1)</f>
        <v>0</v>
      </c>
      <c r="AC142" s="207">
        <f>SUMIFS('апрель 2023'!$G$4:$G$692,'апрель 2023'!$D$4:$D$692,$B142,'апрель 2023'!$J$4:$J$692,AC$1)</f>
        <v>0</v>
      </c>
      <c r="AD142" s="207">
        <f>SUMIFS('апрель 2023'!$G$4:$G$692,'апрель 2023'!$D$4:$D$692,$B142,'апрель 2023'!$J$4:$J$692,AD$1)</f>
        <v>0</v>
      </c>
      <c r="AE142" s="207">
        <f>SUMIFS('апрель 2023'!$G$4:$G$692,'апрель 2023'!$D$4:$D$692,$B142,'апрель 2023'!$J$4:$J$692,AE$1)</f>
        <v>0</v>
      </c>
      <c r="AF142" s="207">
        <f>SUMIFS('апрель 2023'!$G$4:$G$692,'апрель 2023'!$D$4:$D$692,$B142,'апрель 2023'!$J$4:$J$692,AF$1)</f>
        <v>0</v>
      </c>
      <c r="AG142" s="207">
        <f>SUMIFS('апрель 2023'!$G$4:$G$692,'апрель 2023'!$D$4:$D$692,$B142,'апрель 2023'!$J$4:$J$692,AG$1)</f>
        <v>0</v>
      </c>
      <c r="AH142" s="207">
        <f>SUMIFS('апрель 2023'!$G$4:$G$692,'апрель 2023'!$D$4:$D$692,$B142,'апрель 2023'!$J$4:$J$692,AH$1)</f>
        <v>0</v>
      </c>
      <c r="AI142" s="220">
        <f t="shared" si="3"/>
        <v>0</v>
      </c>
    </row>
    <row r="143" spans="2:35" ht="15" hidden="1" customHeight="1" x14ac:dyDescent="0.25">
      <c r="B143" s="212"/>
      <c r="C143" s="213"/>
      <c r="D143" s="207">
        <f>SUMIFS('апрель 2023'!$G$4:$G$692,'апрель 2023'!$D$4:$D$692,$B143,'апрель 2023'!$J$4:$J$692,D$1)</f>
        <v>0</v>
      </c>
      <c r="E143" s="207">
        <f>SUMIFS('апрель 2023'!$G$4:$G$692,'апрель 2023'!$D$4:$D$692,$B143,'апрель 2023'!$J$4:$J$692,E$1)</f>
        <v>0</v>
      </c>
      <c r="F143" s="207">
        <f>SUMIFS('апрель 2023'!$G$4:$G$692,'апрель 2023'!$D$4:$D$692,$B143,'апрель 2023'!$J$4:$J$692,F$1)</f>
        <v>0</v>
      </c>
      <c r="G143" s="207">
        <f>SUMIFS('апрель 2023'!$G$4:$G$692,'апрель 2023'!$D$4:$D$692,$B143,'апрель 2023'!$J$4:$J$692,G$1)</f>
        <v>0</v>
      </c>
      <c r="H143" s="207">
        <f>SUMIFS('апрель 2023'!$G$4:$G$692,'апрель 2023'!$D$4:$D$692,$B143,'апрель 2023'!$J$4:$J$692,H$1)</f>
        <v>0</v>
      </c>
      <c r="I143" s="207">
        <f>SUMIFS('апрель 2023'!$G$4:$G$692,'апрель 2023'!$D$4:$D$692,$B143,'апрель 2023'!$J$4:$J$692,I$1)</f>
        <v>0</v>
      </c>
      <c r="J143" s="207">
        <f>SUMIFS('апрель 2023'!$G$4:$G$692,'апрель 2023'!$D$4:$D$692,$B143,'апрель 2023'!$J$4:$J$692,J$1)</f>
        <v>0</v>
      </c>
      <c r="K143" s="207">
        <f>SUMIFS('апрель 2023'!$G$4:$G$692,'апрель 2023'!$D$4:$D$692,$B143,'апрель 2023'!$J$4:$J$692,K$1)</f>
        <v>0</v>
      </c>
      <c r="L143" s="207">
        <f>SUMIFS('апрель 2023'!$G$4:$G$692,'апрель 2023'!$D$4:$D$692,$B143,'апрель 2023'!$J$4:$J$692,L$1)</f>
        <v>0</v>
      </c>
      <c r="M143" s="207">
        <f>SUMIFS('апрель 2023'!$G$4:$G$692,'апрель 2023'!$D$4:$D$692,$B143,'апрель 2023'!$J$4:$J$692,M$1)</f>
        <v>0</v>
      </c>
      <c r="N143" s="207">
        <f>SUMIFS('апрель 2023'!$G$4:$G$692,'апрель 2023'!$D$4:$D$692,$B143,'апрель 2023'!$J$4:$J$692,N$1)</f>
        <v>0</v>
      </c>
      <c r="O143" s="207">
        <f>SUMIFS('апрель 2023'!$G$4:$G$692,'апрель 2023'!$D$4:$D$692,$B143,'апрель 2023'!$J$4:$J$692,O$1)</f>
        <v>0</v>
      </c>
      <c r="P143" s="207">
        <f>SUMIFS('апрель 2023'!$G$4:$G$692,'апрель 2023'!$D$4:$D$692,$B143,'апрель 2023'!$J$4:$J$692,P$1)</f>
        <v>0</v>
      </c>
      <c r="Q143" s="207">
        <f>SUMIFS('апрель 2023'!$G$4:$G$692,'апрель 2023'!$D$4:$D$692,$B143,'апрель 2023'!$J$4:$J$692,Q$1)</f>
        <v>0</v>
      </c>
      <c r="R143" s="207">
        <f>SUMIFS('апрель 2023'!$G$4:$G$692,'апрель 2023'!$D$4:$D$692,$B143,'апрель 2023'!$J$4:$J$692,R$1)</f>
        <v>0</v>
      </c>
      <c r="S143" s="207">
        <f>SUMIFS('апрель 2023'!$G$4:$G$692,'апрель 2023'!$D$4:$D$692,$B143,'апрель 2023'!$J$4:$J$692,S$1)</f>
        <v>0</v>
      </c>
      <c r="T143" s="207">
        <f>SUMIFS('апрель 2023'!$G$4:$G$692,'апрель 2023'!$D$4:$D$692,$B143,'апрель 2023'!$J$4:$J$692,T$1)</f>
        <v>0</v>
      </c>
      <c r="U143" s="207">
        <f>SUMIFS('апрель 2023'!$G$4:$G$692,'апрель 2023'!$D$4:$D$692,$B143,'апрель 2023'!$J$4:$J$692,U$1)</f>
        <v>0</v>
      </c>
      <c r="V143" s="207">
        <f>SUMIFS('апрель 2023'!$G$4:$G$692,'апрель 2023'!$D$4:$D$692,$B143,'апрель 2023'!$J$4:$J$692,V$1)</f>
        <v>0</v>
      </c>
      <c r="W143" s="207">
        <f>SUMIFS('апрель 2023'!$G$4:$G$692,'апрель 2023'!$D$4:$D$692,$B143,'апрель 2023'!$J$4:$J$692,W$1)</f>
        <v>0</v>
      </c>
      <c r="X143" s="207">
        <f>SUMIFS('апрель 2023'!$G$4:$G$692,'апрель 2023'!$D$4:$D$692,$B143,'апрель 2023'!$J$4:$J$692,X$1)</f>
        <v>0</v>
      </c>
      <c r="Y143" s="207">
        <f>SUMIFS('апрель 2023'!$G$4:$G$692,'апрель 2023'!$D$4:$D$692,$B143,'апрель 2023'!$J$4:$J$692,Y$1)</f>
        <v>0</v>
      </c>
      <c r="Z143" s="207">
        <f>SUMIFS('апрель 2023'!$G$4:$G$692,'апрель 2023'!$D$4:$D$692,$B143,'апрель 2023'!$J$4:$J$692,Z$1)</f>
        <v>0</v>
      </c>
      <c r="AA143" s="207">
        <f>SUMIFS('апрель 2023'!$G$4:$G$692,'апрель 2023'!$D$4:$D$692,$B143,'апрель 2023'!$J$4:$J$692,AA$1)</f>
        <v>0</v>
      </c>
      <c r="AB143" s="207">
        <f>SUMIFS('апрель 2023'!$G$4:$G$692,'апрель 2023'!$D$4:$D$692,$B143,'апрель 2023'!$J$4:$J$692,AB$1)</f>
        <v>0</v>
      </c>
      <c r="AC143" s="207">
        <f>SUMIFS('апрель 2023'!$G$4:$G$692,'апрель 2023'!$D$4:$D$692,$B143,'апрель 2023'!$J$4:$J$692,AC$1)</f>
        <v>0</v>
      </c>
      <c r="AD143" s="207">
        <f>SUMIFS('апрель 2023'!$G$4:$G$692,'апрель 2023'!$D$4:$D$692,$B143,'апрель 2023'!$J$4:$J$692,AD$1)</f>
        <v>0</v>
      </c>
      <c r="AE143" s="207">
        <f>SUMIFS('апрель 2023'!$G$4:$G$692,'апрель 2023'!$D$4:$D$692,$B143,'апрель 2023'!$J$4:$J$692,AE$1)</f>
        <v>0</v>
      </c>
      <c r="AF143" s="207">
        <f>SUMIFS('апрель 2023'!$G$4:$G$692,'апрель 2023'!$D$4:$D$692,$B143,'апрель 2023'!$J$4:$J$692,AF$1)</f>
        <v>0</v>
      </c>
      <c r="AG143" s="207">
        <f>SUMIFS('апрель 2023'!$G$4:$G$692,'апрель 2023'!$D$4:$D$692,$B143,'апрель 2023'!$J$4:$J$692,AG$1)</f>
        <v>0</v>
      </c>
      <c r="AH143" s="207">
        <f>SUMIFS('апрель 2023'!$G$4:$G$692,'апрель 2023'!$D$4:$D$692,$B143,'апрель 2023'!$J$4:$J$692,AH$1)</f>
        <v>0</v>
      </c>
      <c r="AI143" s="220">
        <f t="shared" ref="AI143:AI181" si="4">SUM(D143:AH143)</f>
        <v>0</v>
      </c>
    </row>
    <row r="144" spans="2:35" ht="15" hidden="1" customHeight="1" x14ac:dyDescent="0.25">
      <c r="B144" s="212"/>
      <c r="C144" s="213"/>
      <c r="D144" s="207">
        <f>SUMIFS('апрель 2023'!$G$4:$G$692,'апрель 2023'!$D$4:$D$692,$B144,'апрель 2023'!$J$4:$J$692,D$1)</f>
        <v>0</v>
      </c>
      <c r="E144" s="207">
        <f>SUMIFS('апрель 2023'!$G$4:$G$692,'апрель 2023'!$D$4:$D$692,$B144,'апрель 2023'!$J$4:$J$692,E$1)</f>
        <v>0</v>
      </c>
      <c r="F144" s="207">
        <f>SUMIFS('апрель 2023'!$G$4:$G$692,'апрель 2023'!$D$4:$D$692,$B144,'апрель 2023'!$J$4:$J$692,F$1)</f>
        <v>0</v>
      </c>
      <c r="G144" s="207">
        <f>SUMIFS('апрель 2023'!$G$4:$G$692,'апрель 2023'!$D$4:$D$692,$B144,'апрель 2023'!$J$4:$J$692,G$1)</f>
        <v>0</v>
      </c>
      <c r="H144" s="207">
        <f>SUMIFS('апрель 2023'!$G$4:$G$692,'апрель 2023'!$D$4:$D$692,$B144,'апрель 2023'!$J$4:$J$692,H$1)</f>
        <v>0</v>
      </c>
      <c r="I144" s="207">
        <f>SUMIFS('апрель 2023'!$G$4:$G$692,'апрель 2023'!$D$4:$D$692,$B144,'апрель 2023'!$J$4:$J$692,I$1)</f>
        <v>0</v>
      </c>
      <c r="J144" s="207">
        <f>SUMIFS('апрель 2023'!$G$4:$G$692,'апрель 2023'!$D$4:$D$692,$B144,'апрель 2023'!$J$4:$J$692,J$1)</f>
        <v>0</v>
      </c>
      <c r="K144" s="207">
        <f>SUMIFS('апрель 2023'!$G$4:$G$692,'апрель 2023'!$D$4:$D$692,$B144,'апрель 2023'!$J$4:$J$692,K$1)</f>
        <v>0</v>
      </c>
      <c r="L144" s="207">
        <f>SUMIFS('апрель 2023'!$G$4:$G$692,'апрель 2023'!$D$4:$D$692,$B144,'апрель 2023'!$J$4:$J$692,L$1)</f>
        <v>0</v>
      </c>
      <c r="M144" s="207">
        <f>SUMIFS('апрель 2023'!$G$4:$G$692,'апрель 2023'!$D$4:$D$692,$B144,'апрель 2023'!$J$4:$J$692,M$1)</f>
        <v>0</v>
      </c>
      <c r="N144" s="207">
        <f>SUMIFS('апрель 2023'!$G$4:$G$692,'апрель 2023'!$D$4:$D$692,$B144,'апрель 2023'!$J$4:$J$692,N$1)</f>
        <v>0</v>
      </c>
      <c r="O144" s="207">
        <f>SUMIFS('апрель 2023'!$G$4:$G$692,'апрель 2023'!$D$4:$D$692,$B144,'апрель 2023'!$J$4:$J$692,O$1)</f>
        <v>0</v>
      </c>
      <c r="P144" s="207">
        <f>SUMIFS('апрель 2023'!$G$4:$G$692,'апрель 2023'!$D$4:$D$692,$B144,'апрель 2023'!$J$4:$J$692,P$1)</f>
        <v>0</v>
      </c>
      <c r="Q144" s="207">
        <f>SUMIFS('апрель 2023'!$G$4:$G$692,'апрель 2023'!$D$4:$D$692,$B144,'апрель 2023'!$J$4:$J$692,Q$1)</f>
        <v>0</v>
      </c>
      <c r="R144" s="207">
        <f>SUMIFS('апрель 2023'!$G$4:$G$692,'апрель 2023'!$D$4:$D$692,$B144,'апрель 2023'!$J$4:$J$692,R$1)</f>
        <v>0</v>
      </c>
      <c r="S144" s="207">
        <f>SUMIFS('апрель 2023'!$G$4:$G$692,'апрель 2023'!$D$4:$D$692,$B144,'апрель 2023'!$J$4:$J$692,S$1)</f>
        <v>0</v>
      </c>
      <c r="T144" s="207">
        <f>SUMIFS('апрель 2023'!$G$4:$G$692,'апрель 2023'!$D$4:$D$692,$B144,'апрель 2023'!$J$4:$J$692,T$1)</f>
        <v>0</v>
      </c>
      <c r="U144" s="207">
        <f>SUMIFS('апрель 2023'!$G$4:$G$692,'апрель 2023'!$D$4:$D$692,$B144,'апрель 2023'!$J$4:$J$692,U$1)</f>
        <v>0</v>
      </c>
      <c r="V144" s="207">
        <f>SUMIFS('апрель 2023'!$G$4:$G$692,'апрель 2023'!$D$4:$D$692,$B144,'апрель 2023'!$J$4:$J$692,V$1)</f>
        <v>0</v>
      </c>
      <c r="W144" s="207">
        <f>SUMIFS('апрель 2023'!$G$4:$G$692,'апрель 2023'!$D$4:$D$692,$B144,'апрель 2023'!$J$4:$J$692,W$1)</f>
        <v>0</v>
      </c>
      <c r="X144" s="207">
        <f>SUMIFS('апрель 2023'!$G$4:$G$692,'апрель 2023'!$D$4:$D$692,$B144,'апрель 2023'!$J$4:$J$692,X$1)</f>
        <v>0</v>
      </c>
      <c r="Y144" s="207">
        <f>SUMIFS('апрель 2023'!$G$4:$G$692,'апрель 2023'!$D$4:$D$692,$B144,'апрель 2023'!$J$4:$J$692,Y$1)</f>
        <v>0</v>
      </c>
      <c r="Z144" s="207">
        <f>SUMIFS('апрель 2023'!$G$4:$G$692,'апрель 2023'!$D$4:$D$692,$B144,'апрель 2023'!$J$4:$J$692,Z$1)</f>
        <v>0</v>
      </c>
      <c r="AA144" s="207">
        <f>SUMIFS('апрель 2023'!$G$4:$G$692,'апрель 2023'!$D$4:$D$692,$B144,'апрель 2023'!$J$4:$J$692,AA$1)</f>
        <v>0</v>
      </c>
      <c r="AB144" s="207">
        <f>SUMIFS('апрель 2023'!$G$4:$G$692,'апрель 2023'!$D$4:$D$692,$B144,'апрель 2023'!$J$4:$J$692,AB$1)</f>
        <v>0</v>
      </c>
      <c r="AC144" s="207">
        <f>SUMIFS('апрель 2023'!$G$4:$G$692,'апрель 2023'!$D$4:$D$692,$B144,'апрель 2023'!$J$4:$J$692,AC$1)</f>
        <v>0</v>
      </c>
      <c r="AD144" s="207">
        <f>SUMIFS('апрель 2023'!$G$4:$G$692,'апрель 2023'!$D$4:$D$692,$B144,'апрель 2023'!$J$4:$J$692,AD$1)</f>
        <v>0</v>
      </c>
      <c r="AE144" s="207">
        <f>SUMIFS('апрель 2023'!$G$4:$G$692,'апрель 2023'!$D$4:$D$692,$B144,'апрель 2023'!$J$4:$J$692,AE$1)</f>
        <v>0</v>
      </c>
      <c r="AF144" s="207">
        <f>SUMIFS('апрель 2023'!$G$4:$G$692,'апрель 2023'!$D$4:$D$692,$B144,'апрель 2023'!$J$4:$J$692,AF$1)</f>
        <v>0</v>
      </c>
      <c r="AG144" s="207">
        <f>SUMIFS('апрель 2023'!$G$4:$G$692,'апрель 2023'!$D$4:$D$692,$B144,'апрель 2023'!$J$4:$J$692,AG$1)</f>
        <v>0</v>
      </c>
      <c r="AH144" s="207">
        <f>SUMIFS('апрель 2023'!$G$4:$G$692,'апрель 2023'!$D$4:$D$692,$B144,'апрель 2023'!$J$4:$J$692,AH$1)</f>
        <v>0</v>
      </c>
      <c r="AI144" s="220">
        <f t="shared" si="4"/>
        <v>0</v>
      </c>
    </row>
    <row r="145" spans="2:35" ht="15.75" hidden="1" x14ac:dyDescent="0.25">
      <c r="B145" s="212"/>
      <c r="C145" s="213"/>
      <c r="D145" s="207">
        <f>SUMIFS('апрель 2023'!$G$4:$G$692,'апрель 2023'!$D$4:$D$692,$B145,'апрель 2023'!$J$4:$J$692,D$1)</f>
        <v>0</v>
      </c>
      <c r="E145" s="207">
        <f>SUMIFS('апрель 2023'!$G$4:$G$692,'апрель 2023'!$D$4:$D$692,$B145,'апрель 2023'!$J$4:$J$692,E$1)</f>
        <v>0</v>
      </c>
      <c r="F145" s="207">
        <f>SUMIFS('апрель 2023'!$G$4:$G$692,'апрель 2023'!$D$4:$D$692,$B145,'апрель 2023'!$J$4:$J$692,F$1)</f>
        <v>0</v>
      </c>
      <c r="G145" s="207">
        <f>SUMIFS('апрель 2023'!$G$4:$G$692,'апрель 2023'!$D$4:$D$692,$B145,'апрель 2023'!$J$4:$J$692,G$1)</f>
        <v>0</v>
      </c>
      <c r="H145" s="207">
        <f>SUMIFS('апрель 2023'!$G$4:$G$692,'апрель 2023'!$D$4:$D$692,$B145,'апрель 2023'!$J$4:$J$692,H$1)</f>
        <v>0</v>
      </c>
      <c r="I145" s="207">
        <f>SUMIFS('апрель 2023'!$G$4:$G$692,'апрель 2023'!$D$4:$D$692,$B145,'апрель 2023'!$J$4:$J$692,I$1)</f>
        <v>0</v>
      </c>
      <c r="J145" s="207">
        <f>SUMIFS('апрель 2023'!$G$4:$G$692,'апрель 2023'!$D$4:$D$692,$B145,'апрель 2023'!$J$4:$J$692,J$1)</f>
        <v>0</v>
      </c>
      <c r="K145" s="207">
        <f>SUMIFS('апрель 2023'!$G$4:$G$692,'апрель 2023'!$D$4:$D$692,$B145,'апрель 2023'!$J$4:$J$692,K$1)</f>
        <v>0</v>
      </c>
      <c r="L145" s="207">
        <f>SUMIFS('апрель 2023'!$G$4:$G$692,'апрель 2023'!$D$4:$D$692,$B145,'апрель 2023'!$J$4:$J$692,L$1)</f>
        <v>0</v>
      </c>
      <c r="M145" s="207">
        <f>SUMIFS('апрель 2023'!$G$4:$G$692,'апрель 2023'!$D$4:$D$692,$B145,'апрель 2023'!$J$4:$J$692,M$1)</f>
        <v>0</v>
      </c>
      <c r="N145" s="207">
        <f>SUMIFS('апрель 2023'!$G$4:$G$692,'апрель 2023'!$D$4:$D$692,$B145,'апрель 2023'!$J$4:$J$692,N$1)</f>
        <v>0</v>
      </c>
      <c r="O145" s="207">
        <f>SUMIFS('апрель 2023'!$G$4:$G$692,'апрель 2023'!$D$4:$D$692,$B145,'апрель 2023'!$J$4:$J$692,O$1)</f>
        <v>0</v>
      </c>
      <c r="P145" s="207">
        <f>SUMIFS('апрель 2023'!$G$4:$G$692,'апрель 2023'!$D$4:$D$692,$B145,'апрель 2023'!$J$4:$J$692,P$1)</f>
        <v>0</v>
      </c>
      <c r="Q145" s="207">
        <f>SUMIFS('апрель 2023'!$G$4:$G$692,'апрель 2023'!$D$4:$D$692,$B145,'апрель 2023'!$J$4:$J$692,Q$1)</f>
        <v>0</v>
      </c>
      <c r="R145" s="207">
        <f>SUMIFS('апрель 2023'!$G$4:$G$692,'апрель 2023'!$D$4:$D$692,$B145,'апрель 2023'!$J$4:$J$692,R$1)</f>
        <v>0</v>
      </c>
      <c r="S145" s="207">
        <f>SUMIFS('апрель 2023'!$G$4:$G$692,'апрель 2023'!$D$4:$D$692,$B145,'апрель 2023'!$J$4:$J$692,S$1)</f>
        <v>0</v>
      </c>
      <c r="T145" s="207">
        <f>SUMIFS('апрель 2023'!$G$4:$G$692,'апрель 2023'!$D$4:$D$692,$B145,'апрель 2023'!$J$4:$J$692,T$1)</f>
        <v>0</v>
      </c>
      <c r="U145" s="207">
        <f>SUMIFS('апрель 2023'!$G$4:$G$692,'апрель 2023'!$D$4:$D$692,$B145,'апрель 2023'!$J$4:$J$692,U$1)</f>
        <v>0</v>
      </c>
      <c r="V145" s="207">
        <f>SUMIFS('апрель 2023'!$G$4:$G$692,'апрель 2023'!$D$4:$D$692,$B145,'апрель 2023'!$J$4:$J$692,V$1)</f>
        <v>0</v>
      </c>
      <c r="W145" s="207">
        <f>SUMIFS('апрель 2023'!$G$4:$G$692,'апрель 2023'!$D$4:$D$692,$B145,'апрель 2023'!$J$4:$J$692,W$1)</f>
        <v>0</v>
      </c>
      <c r="X145" s="207">
        <f>SUMIFS('апрель 2023'!$G$4:$G$692,'апрель 2023'!$D$4:$D$692,$B145,'апрель 2023'!$J$4:$J$692,X$1)</f>
        <v>0</v>
      </c>
      <c r="Y145" s="207">
        <f>SUMIFS('апрель 2023'!$G$4:$G$692,'апрель 2023'!$D$4:$D$692,$B145,'апрель 2023'!$J$4:$J$692,Y$1)</f>
        <v>0</v>
      </c>
      <c r="Z145" s="207">
        <f>SUMIFS('апрель 2023'!$G$4:$G$692,'апрель 2023'!$D$4:$D$692,$B145,'апрель 2023'!$J$4:$J$692,Z$1)</f>
        <v>0</v>
      </c>
      <c r="AA145" s="207">
        <f>SUMIFS('апрель 2023'!$G$4:$G$692,'апрель 2023'!$D$4:$D$692,$B145,'апрель 2023'!$J$4:$J$692,AA$1)</f>
        <v>0</v>
      </c>
      <c r="AB145" s="207">
        <f>SUMIFS('апрель 2023'!$G$4:$G$692,'апрель 2023'!$D$4:$D$692,$B145,'апрель 2023'!$J$4:$J$692,AB$1)</f>
        <v>0</v>
      </c>
      <c r="AC145" s="207">
        <f>SUMIFS('апрель 2023'!$G$4:$G$692,'апрель 2023'!$D$4:$D$692,$B145,'апрель 2023'!$J$4:$J$692,AC$1)</f>
        <v>0</v>
      </c>
      <c r="AD145" s="207">
        <f>SUMIFS('апрель 2023'!$G$4:$G$692,'апрель 2023'!$D$4:$D$692,$B145,'апрель 2023'!$J$4:$J$692,AD$1)</f>
        <v>0</v>
      </c>
      <c r="AE145" s="207">
        <f>SUMIFS('апрель 2023'!$G$4:$G$692,'апрель 2023'!$D$4:$D$692,$B145,'апрель 2023'!$J$4:$J$692,AE$1)</f>
        <v>0</v>
      </c>
      <c r="AF145" s="207">
        <f>SUMIFS('апрель 2023'!$G$4:$G$692,'апрель 2023'!$D$4:$D$692,$B145,'апрель 2023'!$J$4:$J$692,AF$1)</f>
        <v>0</v>
      </c>
      <c r="AG145" s="207">
        <f>SUMIFS('апрель 2023'!$G$4:$G$692,'апрель 2023'!$D$4:$D$692,$B145,'апрель 2023'!$J$4:$J$692,AG$1)</f>
        <v>0</v>
      </c>
      <c r="AH145" s="207">
        <f>SUMIFS('апрель 2023'!$G$4:$G$692,'апрель 2023'!$D$4:$D$692,$B145,'апрель 2023'!$J$4:$J$692,AH$1)</f>
        <v>0</v>
      </c>
      <c r="AI145" s="220">
        <f t="shared" si="4"/>
        <v>0</v>
      </c>
    </row>
    <row r="146" spans="2:35" ht="15.75" hidden="1" x14ac:dyDescent="0.25">
      <c r="B146" s="212"/>
      <c r="C146" s="213"/>
      <c r="D146" s="207">
        <f>SUMIFS('апрель 2023'!$G$4:$G$692,'апрель 2023'!$D$4:$D$692,$B146,'апрель 2023'!$J$4:$J$692,D$1)</f>
        <v>0</v>
      </c>
      <c r="E146" s="207">
        <f>SUMIFS('апрель 2023'!$G$4:$G$692,'апрель 2023'!$D$4:$D$692,$B146,'апрель 2023'!$J$4:$J$692,E$1)</f>
        <v>0</v>
      </c>
      <c r="F146" s="207">
        <f>SUMIFS('апрель 2023'!$G$4:$G$692,'апрель 2023'!$D$4:$D$692,$B146,'апрель 2023'!$J$4:$J$692,F$1)</f>
        <v>0</v>
      </c>
      <c r="G146" s="207">
        <f>SUMIFS('апрель 2023'!$G$4:$G$692,'апрель 2023'!$D$4:$D$692,$B146,'апрель 2023'!$J$4:$J$692,G$1)</f>
        <v>0</v>
      </c>
      <c r="H146" s="207">
        <f>SUMIFS('апрель 2023'!$G$4:$G$692,'апрель 2023'!$D$4:$D$692,$B146,'апрель 2023'!$J$4:$J$692,H$1)</f>
        <v>0</v>
      </c>
      <c r="I146" s="207">
        <f>SUMIFS('апрель 2023'!$G$4:$G$692,'апрель 2023'!$D$4:$D$692,$B146,'апрель 2023'!$J$4:$J$692,I$1)</f>
        <v>0</v>
      </c>
      <c r="J146" s="207">
        <f>SUMIFS('апрель 2023'!$G$4:$G$692,'апрель 2023'!$D$4:$D$692,$B146,'апрель 2023'!$J$4:$J$692,J$1)</f>
        <v>0</v>
      </c>
      <c r="K146" s="207">
        <f>SUMIFS('апрель 2023'!$G$4:$G$692,'апрель 2023'!$D$4:$D$692,$B146,'апрель 2023'!$J$4:$J$692,K$1)</f>
        <v>0</v>
      </c>
      <c r="L146" s="207">
        <f>SUMIFS('апрель 2023'!$G$4:$G$692,'апрель 2023'!$D$4:$D$692,$B146,'апрель 2023'!$J$4:$J$692,L$1)</f>
        <v>0</v>
      </c>
      <c r="M146" s="207">
        <f>SUMIFS('апрель 2023'!$G$4:$G$692,'апрель 2023'!$D$4:$D$692,$B146,'апрель 2023'!$J$4:$J$692,M$1)</f>
        <v>0</v>
      </c>
      <c r="N146" s="207">
        <f>SUMIFS('апрель 2023'!$G$4:$G$692,'апрель 2023'!$D$4:$D$692,$B146,'апрель 2023'!$J$4:$J$692,N$1)</f>
        <v>0</v>
      </c>
      <c r="O146" s="207">
        <f>SUMIFS('апрель 2023'!$G$4:$G$692,'апрель 2023'!$D$4:$D$692,$B146,'апрель 2023'!$J$4:$J$692,O$1)</f>
        <v>0</v>
      </c>
      <c r="P146" s="207">
        <f>SUMIFS('апрель 2023'!$G$4:$G$692,'апрель 2023'!$D$4:$D$692,$B146,'апрель 2023'!$J$4:$J$692,P$1)</f>
        <v>0</v>
      </c>
      <c r="Q146" s="207">
        <f>SUMIFS('апрель 2023'!$G$4:$G$692,'апрель 2023'!$D$4:$D$692,$B146,'апрель 2023'!$J$4:$J$692,Q$1)</f>
        <v>0</v>
      </c>
      <c r="R146" s="207">
        <f>SUMIFS('апрель 2023'!$G$4:$G$692,'апрель 2023'!$D$4:$D$692,$B146,'апрель 2023'!$J$4:$J$692,R$1)</f>
        <v>0</v>
      </c>
      <c r="S146" s="207">
        <f>SUMIFS('апрель 2023'!$G$4:$G$692,'апрель 2023'!$D$4:$D$692,$B146,'апрель 2023'!$J$4:$J$692,S$1)</f>
        <v>0</v>
      </c>
      <c r="T146" s="207">
        <f>SUMIFS('апрель 2023'!$G$4:$G$692,'апрель 2023'!$D$4:$D$692,$B146,'апрель 2023'!$J$4:$J$692,T$1)</f>
        <v>0</v>
      </c>
      <c r="U146" s="207">
        <f>SUMIFS('апрель 2023'!$G$4:$G$692,'апрель 2023'!$D$4:$D$692,$B146,'апрель 2023'!$J$4:$J$692,U$1)</f>
        <v>0</v>
      </c>
      <c r="V146" s="207">
        <f>SUMIFS('апрель 2023'!$G$4:$G$692,'апрель 2023'!$D$4:$D$692,$B146,'апрель 2023'!$J$4:$J$692,V$1)</f>
        <v>0</v>
      </c>
      <c r="W146" s="207">
        <f>SUMIFS('апрель 2023'!$G$4:$G$692,'апрель 2023'!$D$4:$D$692,$B146,'апрель 2023'!$J$4:$J$692,W$1)</f>
        <v>0</v>
      </c>
      <c r="X146" s="207">
        <f>SUMIFS('апрель 2023'!$G$4:$G$692,'апрель 2023'!$D$4:$D$692,$B146,'апрель 2023'!$J$4:$J$692,X$1)</f>
        <v>0</v>
      </c>
      <c r="Y146" s="207">
        <f>SUMIFS('апрель 2023'!$G$4:$G$692,'апрель 2023'!$D$4:$D$692,$B146,'апрель 2023'!$J$4:$J$692,Y$1)</f>
        <v>0</v>
      </c>
      <c r="Z146" s="207">
        <f>SUMIFS('апрель 2023'!$G$4:$G$692,'апрель 2023'!$D$4:$D$692,$B146,'апрель 2023'!$J$4:$J$692,Z$1)</f>
        <v>0</v>
      </c>
      <c r="AA146" s="207">
        <f>SUMIFS('апрель 2023'!$G$4:$G$692,'апрель 2023'!$D$4:$D$692,$B146,'апрель 2023'!$J$4:$J$692,AA$1)</f>
        <v>0</v>
      </c>
      <c r="AB146" s="207">
        <f>SUMIFS('апрель 2023'!$G$4:$G$692,'апрель 2023'!$D$4:$D$692,$B146,'апрель 2023'!$J$4:$J$692,AB$1)</f>
        <v>0</v>
      </c>
      <c r="AC146" s="207">
        <f>SUMIFS('апрель 2023'!$G$4:$G$692,'апрель 2023'!$D$4:$D$692,$B146,'апрель 2023'!$J$4:$J$692,AC$1)</f>
        <v>0</v>
      </c>
      <c r="AD146" s="207">
        <f>SUMIFS('апрель 2023'!$G$4:$G$692,'апрель 2023'!$D$4:$D$692,$B146,'апрель 2023'!$J$4:$J$692,AD$1)</f>
        <v>0</v>
      </c>
      <c r="AE146" s="207">
        <f>SUMIFS('апрель 2023'!$G$4:$G$692,'апрель 2023'!$D$4:$D$692,$B146,'апрель 2023'!$J$4:$J$692,AE$1)</f>
        <v>0</v>
      </c>
      <c r="AF146" s="207">
        <f>SUMIFS('апрель 2023'!$G$4:$G$692,'апрель 2023'!$D$4:$D$692,$B146,'апрель 2023'!$J$4:$J$692,AF$1)</f>
        <v>0</v>
      </c>
      <c r="AG146" s="207">
        <f>SUMIFS('апрель 2023'!$G$4:$G$692,'апрель 2023'!$D$4:$D$692,$B146,'апрель 2023'!$J$4:$J$692,AG$1)</f>
        <v>0</v>
      </c>
      <c r="AH146" s="207">
        <f>SUMIFS('апрель 2023'!$G$4:$G$692,'апрель 2023'!$D$4:$D$692,$B146,'апрель 2023'!$J$4:$J$692,AH$1)</f>
        <v>0</v>
      </c>
      <c r="AI146" s="220">
        <f t="shared" si="4"/>
        <v>0</v>
      </c>
    </row>
    <row r="147" spans="2:35" ht="15.75" hidden="1" x14ac:dyDescent="0.25">
      <c r="B147" s="212"/>
      <c r="C147" s="211"/>
      <c r="D147" s="207">
        <f>SUMIFS('апрель 2023'!$G$4:$G$692,'апрель 2023'!$D$4:$D$692,$B147,'апрель 2023'!$J$4:$J$692,D$1)</f>
        <v>0</v>
      </c>
      <c r="E147" s="207">
        <f>SUMIFS('апрель 2023'!$G$4:$G$692,'апрель 2023'!$D$4:$D$692,$B147,'апрель 2023'!$J$4:$J$692,E$1)</f>
        <v>0</v>
      </c>
      <c r="F147" s="207">
        <f>SUMIFS('апрель 2023'!$G$4:$G$692,'апрель 2023'!$D$4:$D$692,$B147,'апрель 2023'!$J$4:$J$692,F$1)</f>
        <v>0</v>
      </c>
      <c r="G147" s="207">
        <f>SUMIFS('апрель 2023'!$G$4:$G$692,'апрель 2023'!$D$4:$D$692,$B147,'апрель 2023'!$J$4:$J$692,G$1)</f>
        <v>0</v>
      </c>
      <c r="H147" s="207">
        <f>SUMIFS('апрель 2023'!$G$4:$G$692,'апрель 2023'!$D$4:$D$692,$B147,'апрель 2023'!$J$4:$J$692,H$1)</f>
        <v>0</v>
      </c>
      <c r="I147" s="207">
        <f>SUMIFS('апрель 2023'!$G$4:$G$692,'апрель 2023'!$D$4:$D$692,$B147,'апрель 2023'!$J$4:$J$692,I$1)</f>
        <v>0</v>
      </c>
      <c r="J147" s="207">
        <f>SUMIFS('апрель 2023'!$G$4:$G$692,'апрель 2023'!$D$4:$D$692,$B147,'апрель 2023'!$J$4:$J$692,J$1)</f>
        <v>0</v>
      </c>
      <c r="K147" s="207">
        <f>SUMIFS('апрель 2023'!$G$4:$G$692,'апрель 2023'!$D$4:$D$692,$B147,'апрель 2023'!$J$4:$J$692,K$1)</f>
        <v>0</v>
      </c>
      <c r="L147" s="207">
        <f>SUMIFS('апрель 2023'!$G$4:$G$692,'апрель 2023'!$D$4:$D$692,$B147,'апрель 2023'!$J$4:$J$692,L$1)</f>
        <v>0</v>
      </c>
      <c r="M147" s="207">
        <f>SUMIFS('апрель 2023'!$G$4:$G$692,'апрель 2023'!$D$4:$D$692,$B147,'апрель 2023'!$J$4:$J$692,M$1)</f>
        <v>0</v>
      </c>
      <c r="N147" s="207">
        <f>SUMIFS('апрель 2023'!$G$4:$G$692,'апрель 2023'!$D$4:$D$692,$B147,'апрель 2023'!$J$4:$J$692,N$1)</f>
        <v>0</v>
      </c>
      <c r="O147" s="207">
        <f>SUMIFS('апрель 2023'!$G$4:$G$692,'апрель 2023'!$D$4:$D$692,$B147,'апрель 2023'!$J$4:$J$692,O$1)</f>
        <v>0</v>
      </c>
      <c r="P147" s="207">
        <f>SUMIFS('апрель 2023'!$G$4:$G$692,'апрель 2023'!$D$4:$D$692,$B147,'апрель 2023'!$J$4:$J$692,P$1)</f>
        <v>0</v>
      </c>
      <c r="Q147" s="207">
        <f>SUMIFS('апрель 2023'!$G$4:$G$692,'апрель 2023'!$D$4:$D$692,$B147,'апрель 2023'!$J$4:$J$692,Q$1)</f>
        <v>0</v>
      </c>
      <c r="R147" s="207">
        <f>SUMIFS('апрель 2023'!$G$4:$G$692,'апрель 2023'!$D$4:$D$692,$B147,'апрель 2023'!$J$4:$J$692,R$1)</f>
        <v>0</v>
      </c>
      <c r="S147" s="207">
        <f>SUMIFS('апрель 2023'!$G$4:$G$692,'апрель 2023'!$D$4:$D$692,$B147,'апрель 2023'!$J$4:$J$692,S$1)</f>
        <v>0</v>
      </c>
      <c r="T147" s="207">
        <f>SUMIFS('апрель 2023'!$G$4:$G$692,'апрель 2023'!$D$4:$D$692,$B147,'апрель 2023'!$J$4:$J$692,T$1)</f>
        <v>0</v>
      </c>
      <c r="U147" s="207">
        <f>SUMIFS('апрель 2023'!$G$4:$G$692,'апрель 2023'!$D$4:$D$692,$B147,'апрель 2023'!$J$4:$J$692,U$1)</f>
        <v>0</v>
      </c>
      <c r="V147" s="207">
        <f>SUMIFS('апрель 2023'!$G$4:$G$692,'апрель 2023'!$D$4:$D$692,$B147,'апрель 2023'!$J$4:$J$692,V$1)</f>
        <v>0</v>
      </c>
      <c r="W147" s="207">
        <f>SUMIFS('апрель 2023'!$G$4:$G$692,'апрель 2023'!$D$4:$D$692,$B147,'апрель 2023'!$J$4:$J$692,W$1)</f>
        <v>0</v>
      </c>
      <c r="X147" s="207">
        <f>SUMIFS('апрель 2023'!$G$4:$G$692,'апрель 2023'!$D$4:$D$692,$B147,'апрель 2023'!$J$4:$J$692,X$1)</f>
        <v>0</v>
      </c>
      <c r="Y147" s="207">
        <f>SUMIFS('апрель 2023'!$G$4:$G$692,'апрель 2023'!$D$4:$D$692,$B147,'апрель 2023'!$J$4:$J$692,Y$1)</f>
        <v>0</v>
      </c>
      <c r="Z147" s="207">
        <f>SUMIFS('апрель 2023'!$G$4:$G$692,'апрель 2023'!$D$4:$D$692,$B147,'апрель 2023'!$J$4:$J$692,Z$1)</f>
        <v>0</v>
      </c>
      <c r="AA147" s="207">
        <f>SUMIFS('апрель 2023'!$G$4:$G$692,'апрель 2023'!$D$4:$D$692,$B147,'апрель 2023'!$J$4:$J$692,AA$1)</f>
        <v>0</v>
      </c>
      <c r="AB147" s="207">
        <f>SUMIFS('апрель 2023'!$G$4:$G$692,'апрель 2023'!$D$4:$D$692,$B147,'апрель 2023'!$J$4:$J$692,AB$1)</f>
        <v>0</v>
      </c>
      <c r="AC147" s="207">
        <f>SUMIFS('апрель 2023'!$G$4:$G$692,'апрель 2023'!$D$4:$D$692,$B147,'апрель 2023'!$J$4:$J$692,AC$1)</f>
        <v>0</v>
      </c>
      <c r="AD147" s="207">
        <f>SUMIFS('апрель 2023'!$G$4:$G$692,'апрель 2023'!$D$4:$D$692,$B147,'апрель 2023'!$J$4:$J$692,AD$1)</f>
        <v>0</v>
      </c>
      <c r="AE147" s="207">
        <f>SUMIFS('апрель 2023'!$G$4:$G$692,'апрель 2023'!$D$4:$D$692,$B147,'апрель 2023'!$J$4:$J$692,AE$1)</f>
        <v>0</v>
      </c>
      <c r="AF147" s="207">
        <f>SUMIFS('апрель 2023'!$G$4:$G$692,'апрель 2023'!$D$4:$D$692,$B147,'апрель 2023'!$J$4:$J$692,AF$1)</f>
        <v>0</v>
      </c>
      <c r="AG147" s="207">
        <f>SUMIFS('апрель 2023'!$G$4:$G$692,'апрель 2023'!$D$4:$D$692,$B147,'апрель 2023'!$J$4:$J$692,AG$1)</f>
        <v>0</v>
      </c>
      <c r="AH147" s="207">
        <f>SUMIFS('апрель 2023'!$G$4:$G$692,'апрель 2023'!$D$4:$D$692,$B147,'апрель 2023'!$J$4:$J$692,AH$1)</f>
        <v>0</v>
      </c>
      <c r="AI147" s="220">
        <f t="shared" si="4"/>
        <v>0</v>
      </c>
    </row>
    <row r="148" spans="2:35" ht="15.75" hidden="1" x14ac:dyDescent="0.25">
      <c r="B148" s="212"/>
      <c r="C148" s="211"/>
      <c r="D148" s="207">
        <f>SUMIFS('апрель 2023'!$G$4:$G$692,'апрель 2023'!$D$4:$D$692,$B148,'апрель 2023'!$J$4:$J$692,D$1)</f>
        <v>0</v>
      </c>
      <c r="E148" s="207">
        <f>SUMIFS('апрель 2023'!$G$4:$G$692,'апрель 2023'!$D$4:$D$692,$B148,'апрель 2023'!$J$4:$J$692,E$1)</f>
        <v>0</v>
      </c>
      <c r="F148" s="207">
        <f>SUMIFS('апрель 2023'!$G$4:$G$692,'апрель 2023'!$D$4:$D$692,$B148,'апрель 2023'!$J$4:$J$692,F$1)</f>
        <v>0</v>
      </c>
      <c r="G148" s="207">
        <f>SUMIFS('апрель 2023'!$G$4:$G$692,'апрель 2023'!$D$4:$D$692,$B148,'апрель 2023'!$J$4:$J$692,G$1)</f>
        <v>0</v>
      </c>
      <c r="H148" s="207">
        <f>SUMIFS('апрель 2023'!$G$4:$G$692,'апрель 2023'!$D$4:$D$692,$B148,'апрель 2023'!$J$4:$J$692,H$1)</f>
        <v>0</v>
      </c>
      <c r="I148" s="207">
        <f>SUMIFS('апрель 2023'!$G$4:$G$692,'апрель 2023'!$D$4:$D$692,$B148,'апрель 2023'!$J$4:$J$692,I$1)</f>
        <v>0</v>
      </c>
      <c r="J148" s="207">
        <f>SUMIFS('апрель 2023'!$G$4:$G$692,'апрель 2023'!$D$4:$D$692,$B148,'апрель 2023'!$J$4:$J$692,J$1)</f>
        <v>0</v>
      </c>
      <c r="K148" s="207">
        <f>SUMIFS('апрель 2023'!$G$4:$G$692,'апрель 2023'!$D$4:$D$692,$B148,'апрель 2023'!$J$4:$J$692,K$1)</f>
        <v>0</v>
      </c>
      <c r="L148" s="207">
        <f>SUMIFS('апрель 2023'!$G$4:$G$692,'апрель 2023'!$D$4:$D$692,$B148,'апрель 2023'!$J$4:$J$692,L$1)</f>
        <v>0</v>
      </c>
      <c r="M148" s="207">
        <f>SUMIFS('апрель 2023'!$G$4:$G$692,'апрель 2023'!$D$4:$D$692,$B148,'апрель 2023'!$J$4:$J$692,M$1)</f>
        <v>0</v>
      </c>
      <c r="N148" s="207">
        <f>SUMIFS('апрель 2023'!$G$4:$G$692,'апрель 2023'!$D$4:$D$692,$B148,'апрель 2023'!$J$4:$J$692,N$1)</f>
        <v>0</v>
      </c>
      <c r="O148" s="207">
        <f>SUMIFS('апрель 2023'!$G$4:$G$692,'апрель 2023'!$D$4:$D$692,$B148,'апрель 2023'!$J$4:$J$692,O$1)</f>
        <v>0</v>
      </c>
      <c r="P148" s="207">
        <f>SUMIFS('апрель 2023'!$G$4:$G$692,'апрель 2023'!$D$4:$D$692,$B148,'апрель 2023'!$J$4:$J$692,P$1)</f>
        <v>0</v>
      </c>
      <c r="Q148" s="207">
        <f>SUMIFS('апрель 2023'!$G$4:$G$692,'апрель 2023'!$D$4:$D$692,$B148,'апрель 2023'!$J$4:$J$692,Q$1)</f>
        <v>0</v>
      </c>
      <c r="R148" s="207">
        <f>SUMIFS('апрель 2023'!$G$4:$G$692,'апрель 2023'!$D$4:$D$692,$B148,'апрель 2023'!$J$4:$J$692,R$1)</f>
        <v>0</v>
      </c>
      <c r="S148" s="207">
        <f>SUMIFS('апрель 2023'!$G$4:$G$692,'апрель 2023'!$D$4:$D$692,$B148,'апрель 2023'!$J$4:$J$692,S$1)</f>
        <v>0</v>
      </c>
      <c r="T148" s="207">
        <f>SUMIFS('апрель 2023'!$G$4:$G$692,'апрель 2023'!$D$4:$D$692,$B148,'апрель 2023'!$J$4:$J$692,T$1)</f>
        <v>0</v>
      </c>
      <c r="U148" s="207">
        <f>SUMIFS('апрель 2023'!$G$4:$G$692,'апрель 2023'!$D$4:$D$692,$B148,'апрель 2023'!$J$4:$J$692,U$1)</f>
        <v>0</v>
      </c>
      <c r="V148" s="207">
        <f>SUMIFS('апрель 2023'!$G$4:$G$692,'апрель 2023'!$D$4:$D$692,$B148,'апрель 2023'!$J$4:$J$692,V$1)</f>
        <v>0</v>
      </c>
      <c r="W148" s="207">
        <f>SUMIFS('апрель 2023'!$G$4:$G$692,'апрель 2023'!$D$4:$D$692,$B148,'апрель 2023'!$J$4:$J$692,W$1)</f>
        <v>0</v>
      </c>
      <c r="X148" s="207">
        <f>SUMIFS('апрель 2023'!$G$4:$G$692,'апрель 2023'!$D$4:$D$692,$B148,'апрель 2023'!$J$4:$J$692,X$1)</f>
        <v>0</v>
      </c>
      <c r="Y148" s="207">
        <f>SUMIFS('апрель 2023'!$G$4:$G$692,'апрель 2023'!$D$4:$D$692,$B148,'апрель 2023'!$J$4:$J$692,Y$1)</f>
        <v>0</v>
      </c>
      <c r="Z148" s="207">
        <f>SUMIFS('апрель 2023'!$G$4:$G$692,'апрель 2023'!$D$4:$D$692,$B148,'апрель 2023'!$J$4:$J$692,Z$1)</f>
        <v>0</v>
      </c>
      <c r="AA148" s="207">
        <f>SUMIFS('апрель 2023'!$G$4:$G$692,'апрель 2023'!$D$4:$D$692,$B148,'апрель 2023'!$J$4:$J$692,AA$1)</f>
        <v>0</v>
      </c>
      <c r="AB148" s="207">
        <f>SUMIFS('апрель 2023'!$G$4:$G$692,'апрель 2023'!$D$4:$D$692,$B148,'апрель 2023'!$J$4:$J$692,AB$1)</f>
        <v>0</v>
      </c>
      <c r="AC148" s="207">
        <f>SUMIFS('апрель 2023'!$G$4:$G$692,'апрель 2023'!$D$4:$D$692,$B148,'апрель 2023'!$J$4:$J$692,AC$1)</f>
        <v>0</v>
      </c>
      <c r="AD148" s="207">
        <f>SUMIFS('апрель 2023'!$G$4:$G$692,'апрель 2023'!$D$4:$D$692,$B148,'апрель 2023'!$J$4:$J$692,AD$1)</f>
        <v>0</v>
      </c>
      <c r="AE148" s="207">
        <f>SUMIFS('апрель 2023'!$G$4:$G$692,'апрель 2023'!$D$4:$D$692,$B148,'апрель 2023'!$J$4:$J$692,AE$1)</f>
        <v>0</v>
      </c>
      <c r="AF148" s="207">
        <f>SUMIFS('апрель 2023'!$G$4:$G$692,'апрель 2023'!$D$4:$D$692,$B148,'апрель 2023'!$J$4:$J$692,AF$1)</f>
        <v>0</v>
      </c>
      <c r="AG148" s="207">
        <f>SUMIFS('апрель 2023'!$G$4:$G$692,'апрель 2023'!$D$4:$D$692,$B148,'апрель 2023'!$J$4:$J$692,AG$1)</f>
        <v>0</v>
      </c>
      <c r="AH148" s="207">
        <f>SUMIFS('апрель 2023'!$G$4:$G$692,'апрель 2023'!$D$4:$D$692,$B148,'апрель 2023'!$J$4:$J$692,AH$1)</f>
        <v>0</v>
      </c>
      <c r="AI148" s="220">
        <f t="shared" si="4"/>
        <v>0</v>
      </c>
    </row>
    <row r="149" spans="2:35" ht="15.75" hidden="1" x14ac:dyDescent="0.25">
      <c r="B149" s="212"/>
      <c r="C149" s="211"/>
      <c r="D149" s="207">
        <f>SUMIFS('апрель 2023'!$G$4:$G$692,'апрель 2023'!$D$4:$D$692,$B149,'апрель 2023'!$J$4:$J$692,D$1)</f>
        <v>0</v>
      </c>
      <c r="E149" s="207">
        <f>SUMIFS('апрель 2023'!$G$4:$G$692,'апрель 2023'!$D$4:$D$692,$B149,'апрель 2023'!$J$4:$J$692,E$1)</f>
        <v>0</v>
      </c>
      <c r="F149" s="207">
        <f>SUMIFS('апрель 2023'!$G$4:$G$692,'апрель 2023'!$D$4:$D$692,$B149,'апрель 2023'!$J$4:$J$692,F$1)</f>
        <v>0</v>
      </c>
      <c r="G149" s="207">
        <f>SUMIFS('апрель 2023'!$G$4:$G$692,'апрель 2023'!$D$4:$D$692,$B149,'апрель 2023'!$J$4:$J$692,G$1)</f>
        <v>0</v>
      </c>
      <c r="H149" s="207">
        <f>SUMIFS('апрель 2023'!$G$4:$G$692,'апрель 2023'!$D$4:$D$692,$B149,'апрель 2023'!$J$4:$J$692,H$1)</f>
        <v>0</v>
      </c>
      <c r="I149" s="207">
        <f>SUMIFS('апрель 2023'!$G$4:$G$692,'апрель 2023'!$D$4:$D$692,$B149,'апрель 2023'!$J$4:$J$692,I$1)</f>
        <v>0</v>
      </c>
      <c r="J149" s="207">
        <f>SUMIFS('апрель 2023'!$G$4:$G$692,'апрель 2023'!$D$4:$D$692,$B149,'апрель 2023'!$J$4:$J$692,J$1)</f>
        <v>0</v>
      </c>
      <c r="K149" s="207">
        <f>SUMIFS('апрель 2023'!$G$4:$G$692,'апрель 2023'!$D$4:$D$692,$B149,'апрель 2023'!$J$4:$J$692,K$1)</f>
        <v>0</v>
      </c>
      <c r="L149" s="207">
        <f>SUMIFS('апрель 2023'!$G$4:$G$692,'апрель 2023'!$D$4:$D$692,$B149,'апрель 2023'!$J$4:$J$692,L$1)</f>
        <v>0</v>
      </c>
      <c r="M149" s="207">
        <f>SUMIFS('апрель 2023'!$G$4:$G$692,'апрель 2023'!$D$4:$D$692,$B149,'апрель 2023'!$J$4:$J$692,M$1)</f>
        <v>0</v>
      </c>
      <c r="N149" s="207">
        <f>SUMIFS('апрель 2023'!$G$4:$G$692,'апрель 2023'!$D$4:$D$692,$B149,'апрель 2023'!$J$4:$J$692,N$1)</f>
        <v>0</v>
      </c>
      <c r="O149" s="207">
        <f>SUMIFS('апрель 2023'!$G$4:$G$692,'апрель 2023'!$D$4:$D$692,$B149,'апрель 2023'!$J$4:$J$692,O$1)</f>
        <v>0</v>
      </c>
      <c r="P149" s="207">
        <f>SUMIFS('апрель 2023'!$G$4:$G$692,'апрель 2023'!$D$4:$D$692,$B149,'апрель 2023'!$J$4:$J$692,P$1)</f>
        <v>0</v>
      </c>
      <c r="Q149" s="207">
        <f>SUMIFS('апрель 2023'!$G$4:$G$692,'апрель 2023'!$D$4:$D$692,$B149,'апрель 2023'!$J$4:$J$692,Q$1)</f>
        <v>0</v>
      </c>
      <c r="R149" s="207">
        <f>SUMIFS('апрель 2023'!$G$4:$G$692,'апрель 2023'!$D$4:$D$692,$B149,'апрель 2023'!$J$4:$J$692,R$1)</f>
        <v>0</v>
      </c>
      <c r="S149" s="207">
        <f>SUMIFS('апрель 2023'!$G$4:$G$692,'апрель 2023'!$D$4:$D$692,$B149,'апрель 2023'!$J$4:$J$692,S$1)</f>
        <v>0</v>
      </c>
      <c r="T149" s="207">
        <f>SUMIFS('апрель 2023'!$G$4:$G$692,'апрель 2023'!$D$4:$D$692,$B149,'апрель 2023'!$J$4:$J$692,T$1)</f>
        <v>0</v>
      </c>
      <c r="U149" s="207">
        <f>SUMIFS('апрель 2023'!$G$4:$G$692,'апрель 2023'!$D$4:$D$692,$B149,'апрель 2023'!$J$4:$J$692,U$1)</f>
        <v>0</v>
      </c>
      <c r="V149" s="207">
        <f>SUMIFS('апрель 2023'!$G$4:$G$692,'апрель 2023'!$D$4:$D$692,$B149,'апрель 2023'!$J$4:$J$692,V$1)</f>
        <v>0</v>
      </c>
      <c r="W149" s="207">
        <f>SUMIFS('апрель 2023'!$G$4:$G$692,'апрель 2023'!$D$4:$D$692,$B149,'апрель 2023'!$J$4:$J$692,W$1)</f>
        <v>0</v>
      </c>
      <c r="X149" s="207">
        <f>SUMIFS('апрель 2023'!$G$4:$G$692,'апрель 2023'!$D$4:$D$692,$B149,'апрель 2023'!$J$4:$J$692,X$1)</f>
        <v>0</v>
      </c>
      <c r="Y149" s="207">
        <f>SUMIFS('апрель 2023'!$G$4:$G$692,'апрель 2023'!$D$4:$D$692,$B149,'апрель 2023'!$J$4:$J$692,Y$1)</f>
        <v>0</v>
      </c>
      <c r="Z149" s="207">
        <f>SUMIFS('апрель 2023'!$G$4:$G$692,'апрель 2023'!$D$4:$D$692,$B149,'апрель 2023'!$J$4:$J$692,Z$1)</f>
        <v>0</v>
      </c>
      <c r="AA149" s="207">
        <f>SUMIFS('апрель 2023'!$G$4:$G$692,'апрель 2023'!$D$4:$D$692,$B149,'апрель 2023'!$J$4:$J$692,AA$1)</f>
        <v>0</v>
      </c>
      <c r="AB149" s="207">
        <f>SUMIFS('апрель 2023'!$G$4:$G$692,'апрель 2023'!$D$4:$D$692,$B149,'апрель 2023'!$J$4:$J$692,AB$1)</f>
        <v>0</v>
      </c>
      <c r="AC149" s="207">
        <f>SUMIFS('апрель 2023'!$G$4:$G$692,'апрель 2023'!$D$4:$D$692,$B149,'апрель 2023'!$J$4:$J$692,AC$1)</f>
        <v>0</v>
      </c>
      <c r="AD149" s="207">
        <f>SUMIFS('апрель 2023'!$G$4:$G$692,'апрель 2023'!$D$4:$D$692,$B149,'апрель 2023'!$J$4:$J$692,AD$1)</f>
        <v>0</v>
      </c>
      <c r="AE149" s="207">
        <f>SUMIFS('апрель 2023'!$G$4:$G$692,'апрель 2023'!$D$4:$D$692,$B149,'апрель 2023'!$J$4:$J$692,AE$1)</f>
        <v>0</v>
      </c>
      <c r="AF149" s="207">
        <f>SUMIFS('апрель 2023'!$G$4:$G$692,'апрель 2023'!$D$4:$D$692,$B149,'апрель 2023'!$J$4:$J$692,AF$1)</f>
        <v>0</v>
      </c>
      <c r="AG149" s="207">
        <f>SUMIFS('апрель 2023'!$G$4:$G$692,'апрель 2023'!$D$4:$D$692,$B149,'апрель 2023'!$J$4:$J$692,AG$1)</f>
        <v>0</v>
      </c>
      <c r="AH149" s="207">
        <f>SUMIFS('апрель 2023'!$G$4:$G$692,'апрель 2023'!$D$4:$D$692,$B149,'апрель 2023'!$J$4:$J$692,AH$1)</f>
        <v>0</v>
      </c>
      <c r="AI149" s="220">
        <f t="shared" si="4"/>
        <v>0</v>
      </c>
    </row>
    <row r="150" spans="2:35" ht="15.75" hidden="1" x14ac:dyDescent="0.25">
      <c r="B150" s="212"/>
      <c r="C150" s="211"/>
      <c r="D150" s="207">
        <f>SUMIFS('апрель 2023'!$G$4:$G$692,'апрель 2023'!$D$4:$D$692,$B150,'апрель 2023'!$J$4:$J$692,D$1)</f>
        <v>0</v>
      </c>
      <c r="E150" s="207">
        <f>SUMIFS('апрель 2023'!$G$4:$G$692,'апрель 2023'!$D$4:$D$692,$B150,'апрель 2023'!$J$4:$J$692,E$1)</f>
        <v>0</v>
      </c>
      <c r="F150" s="207">
        <f>SUMIFS('апрель 2023'!$G$4:$G$692,'апрель 2023'!$D$4:$D$692,$B150,'апрель 2023'!$J$4:$J$692,F$1)</f>
        <v>0</v>
      </c>
      <c r="G150" s="207">
        <f>SUMIFS('апрель 2023'!$G$4:$G$692,'апрель 2023'!$D$4:$D$692,$B150,'апрель 2023'!$J$4:$J$692,G$1)</f>
        <v>0</v>
      </c>
      <c r="H150" s="207">
        <f>SUMIFS('апрель 2023'!$G$4:$G$692,'апрель 2023'!$D$4:$D$692,$B150,'апрель 2023'!$J$4:$J$692,H$1)</f>
        <v>0</v>
      </c>
      <c r="I150" s="207">
        <f>SUMIFS('апрель 2023'!$G$4:$G$692,'апрель 2023'!$D$4:$D$692,$B150,'апрель 2023'!$J$4:$J$692,I$1)</f>
        <v>0</v>
      </c>
      <c r="J150" s="207">
        <f>SUMIFS('апрель 2023'!$G$4:$G$692,'апрель 2023'!$D$4:$D$692,$B150,'апрель 2023'!$J$4:$J$692,J$1)</f>
        <v>0</v>
      </c>
      <c r="K150" s="207">
        <f>SUMIFS('апрель 2023'!$G$4:$G$692,'апрель 2023'!$D$4:$D$692,$B150,'апрель 2023'!$J$4:$J$692,K$1)</f>
        <v>0</v>
      </c>
      <c r="L150" s="207">
        <f>SUMIFS('апрель 2023'!$G$4:$G$692,'апрель 2023'!$D$4:$D$692,$B150,'апрель 2023'!$J$4:$J$692,L$1)</f>
        <v>0</v>
      </c>
      <c r="M150" s="207">
        <f>SUMIFS('апрель 2023'!$G$4:$G$692,'апрель 2023'!$D$4:$D$692,$B150,'апрель 2023'!$J$4:$J$692,M$1)</f>
        <v>0</v>
      </c>
      <c r="N150" s="207">
        <f>SUMIFS('апрель 2023'!$G$4:$G$692,'апрель 2023'!$D$4:$D$692,$B150,'апрель 2023'!$J$4:$J$692,N$1)</f>
        <v>0</v>
      </c>
      <c r="O150" s="207">
        <f>SUMIFS('апрель 2023'!$G$4:$G$692,'апрель 2023'!$D$4:$D$692,$B150,'апрель 2023'!$J$4:$J$692,O$1)</f>
        <v>0</v>
      </c>
      <c r="P150" s="207">
        <f>SUMIFS('апрель 2023'!$G$4:$G$692,'апрель 2023'!$D$4:$D$692,$B150,'апрель 2023'!$J$4:$J$692,P$1)</f>
        <v>0</v>
      </c>
      <c r="Q150" s="207">
        <f>SUMIFS('апрель 2023'!$G$4:$G$692,'апрель 2023'!$D$4:$D$692,$B150,'апрель 2023'!$J$4:$J$692,Q$1)</f>
        <v>0</v>
      </c>
      <c r="R150" s="207">
        <f>SUMIFS('апрель 2023'!$G$4:$G$692,'апрель 2023'!$D$4:$D$692,$B150,'апрель 2023'!$J$4:$J$692,R$1)</f>
        <v>0</v>
      </c>
      <c r="S150" s="207">
        <f>SUMIFS('апрель 2023'!$G$4:$G$692,'апрель 2023'!$D$4:$D$692,$B150,'апрель 2023'!$J$4:$J$692,S$1)</f>
        <v>0</v>
      </c>
      <c r="T150" s="207">
        <f>SUMIFS('апрель 2023'!$G$4:$G$692,'апрель 2023'!$D$4:$D$692,$B150,'апрель 2023'!$J$4:$J$692,T$1)</f>
        <v>0</v>
      </c>
      <c r="U150" s="207">
        <f>SUMIFS('апрель 2023'!$G$4:$G$692,'апрель 2023'!$D$4:$D$692,$B150,'апрель 2023'!$J$4:$J$692,U$1)</f>
        <v>0</v>
      </c>
      <c r="V150" s="207">
        <f>SUMIFS('апрель 2023'!$G$4:$G$692,'апрель 2023'!$D$4:$D$692,$B150,'апрель 2023'!$J$4:$J$692,V$1)</f>
        <v>0</v>
      </c>
      <c r="W150" s="207">
        <f>SUMIFS('апрель 2023'!$G$4:$G$692,'апрель 2023'!$D$4:$D$692,$B150,'апрель 2023'!$J$4:$J$692,W$1)</f>
        <v>0</v>
      </c>
      <c r="X150" s="207">
        <f>SUMIFS('апрель 2023'!$G$4:$G$692,'апрель 2023'!$D$4:$D$692,$B150,'апрель 2023'!$J$4:$J$692,X$1)</f>
        <v>0</v>
      </c>
      <c r="Y150" s="207">
        <f>SUMIFS('апрель 2023'!$G$4:$G$692,'апрель 2023'!$D$4:$D$692,$B150,'апрель 2023'!$J$4:$J$692,Y$1)</f>
        <v>0</v>
      </c>
      <c r="Z150" s="207">
        <f>SUMIFS('апрель 2023'!$G$4:$G$692,'апрель 2023'!$D$4:$D$692,$B150,'апрель 2023'!$J$4:$J$692,Z$1)</f>
        <v>0</v>
      </c>
      <c r="AA150" s="207">
        <f>SUMIFS('апрель 2023'!$G$4:$G$692,'апрель 2023'!$D$4:$D$692,$B150,'апрель 2023'!$J$4:$J$692,AA$1)</f>
        <v>0</v>
      </c>
      <c r="AB150" s="207">
        <f>SUMIFS('апрель 2023'!$G$4:$G$692,'апрель 2023'!$D$4:$D$692,$B150,'апрель 2023'!$J$4:$J$692,AB$1)</f>
        <v>0</v>
      </c>
      <c r="AC150" s="207">
        <f>SUMIFS('апрель 2023'!$G$4:$G$692,'апрель 2023'!$D$4:$D$692,$B150,'апрель 2023'!$J$4:$J$692,AC$1)</f>
        <v>0</v>
      </c>
      <c r="AD150" s="207">
        <f>SUMIFS('апрель 2023'!$G$4:$G$692,'апрель 2023'!$D$4:$D$692,$B150,'апрель 2023'!$J$4:$J$692,AD$1)</f>
        <v>0</v>
      </c>
      <c r="AE150" s="207">
        <f>SUMIFS('апрель 2023'!$G$4:$G$692,'апрель 2023'!$D$4:$D$692,$B150,'апрель 2023'!$J$4:$J$692,AE$1)</f>
        <v>0</v>
      </c>
      <c r="AF150" s="207">
        <f>SUMIFS('апрель 2023'!$G$4:$G$692,'апрель 2023'!$D$4:$D$692,$B150,'апрель 2023'!$J$4:$J$692,AF$1)</f>
        <v>0</v>
      </c>
      <c r="AG150" s="207">
        <f>SUMIFS('апрель 2023'!$G$4:$G$692,'апрель 2023'!$D$4:$D$692,$B150,'апрель 2023'!$J$4:$J$692,AG$1)</f>
        <v>0</v>
      </c>
      <c r="AH150" s="207">
        <f>SUMIFS('апрель 2023'!$G$4:$G$692,'апрель 2023'!$D$4:$D$692,$B150,'апрель 2023'!$J$4:$J$692,AH$1)</f>
        <v>0</v>
      </c>
      <c r="AI150" s="220">
        <f t="shared" si="4"/>
        <v>0</v>
      </c>
    </row>
    <row r="151" spans="2:35" ht="15.75" hidden="1" x14ac:dyDescent="0.25">
      <c r="B151" s="212"/>
      <c r="C151" s="211"/>
      <c r="D151" s="207">
        <f>SUMIFS('апрель 2023'!$G$4:$G$692,'апрель 2023'!$D$4:$D$692,$B151,'апрель 2023'!$J$4:$J$692,D$1)</f>
        <v>0</v>
      </c>
      <c r="E151" s="207">
        <f>SUMIFS('апрель 2023'!$G$4:$G$692,'апрель 2023'!$D$4:$D$692,$B151,'апрель 2023'!$J$4:$J$692,E$1)</f>
        <v>0</v>
      </c>
      <c r="F151" s="207">
        <f>SUMIFS('апрель 2023'!$G$4:$G$692,'апрель 2023'!$D$4:$D$692,$B151,'апрель 2023'!$J$4:$J$692,F$1)</f>
        <v>0</v>
      </c>
      <c r="G151" s="207">
        <f>SUMIFS('апрель 2023'!$G$4:$G$692,'апрель 2023'!$D$4:$D$692,$B151,'апрель 2023'!$J$4:$J$692,G$1)</f>
        <v>0</v>
      </c>
      <c r="H151" s="207">
        <f>SUMIFS('апрель 2023'!$G$4:$G$692,'апрель 2023'!$D$4:$D$692,$B151,'апрель 2023'!$J$4:$J$692,H$1)</f>
        <v>0</v>
      </c>
      <c r="I151" s="207">
        <f>SUMIFS('апрель 2023'!$G$4:$G$692,'апрель 2023'!$D$4:$D$692,$B151,'апрель 2023'!$J$4:$J$692,I$1)</f>
        <v>0</v>
      </c>
      <c r="J151" s="207">
        <f>SUMIFS('апрель 2023'!$G$4:$G$692,'апрель 2023'!$D$4:$D$692,$B151,'апрель 2023'!$J$4:$J$692,J$1)</f>
        <v>0</v>
      </c>
      <c r="K151" s="207">
        <f>SUMIFS('апрель 2023'!$G$4:$G$692,'апрель 2023'!$D$4:$D$692,$B151,'апрель 2023'!$J$4:$J$692,K$1)</f>
        <v>0</v>
      </c>
      <c r="L151" s="207">
        <f>SUMIFS('апрель 2023'!$G$4:$G$692,'апрель 2023'!$D$4:$D$692,$B151,'апрель 2023'!$J$4:$J$692,L$1)</f>
        <v>0</v>
      </c>
      <c r="M151" s="207">
        <f>SUMIFS('апрель 2023'!$G$4:$G$692,'апрель 2023'!$D$4:$D$692,$B151,'апрель 2023'!$J$4:$J$692,M$1)</f>
        <v>0</v>
      </c>
      <c r="N151" s="207">
        <f>SUMIFS('апрель 2023'!$G$4:$G$692,'апрель 2023'!$D$4:$D$692,$B151,'апрель 2023'!$J$4:$J$692,N$1)</f>
        <v>0</v>
      </c>
      <c r="O151" s="207">
        <f>SUMIFS('апрель 2023'!$G$4:$G$692,'апрель 2023'!$D$4:$D$692,$B151,'апрель 2023'!$J$4:$J$692,O$1)</f>
        <v>0</v>
      </c>
      <c r="P151" s="207">
        <f>SUMIFS('апрель 2023'!$G$4:$G$692,'апрель 2023'!$D$4:$D$692,$B151,'апрель 2023'!$J$4:$J$692,P$1)</f>
        <v>0</v>
      </c>
      <c r="Q151" s="207">
        <f>SUMIFS('апрель 2023'!$G$4:$G$692,'апрель 2023'!$D$4:$D$692,$B151,'апрель 2023'!$J$4:$J$692,Q$1)</f>
        <v>0</v>
      </c>
      <c r="R151" s="207">
        <f>SUMIFS('апрель 2023'!$G$4:$G$692,'апрель 2023'!$D$4:$D$692,$B151,'апрель 2023'!$J$4:$J$692,R$1)</f>
        <v>0</v>
      </c>
      <c r="S151" s="207">
        <f>SUMIFS('апрель 2023'!$G$4:$G$692,'апрель 2023'!$D$4:$D$692,$B151,'апрель 2023'!$J$4:$J$692,S$1)</f>
        <v>0</v>
      </c>
      <c r="T151" s="207">
        <f>SUMIFS('апрель 2023'!$G$4:$G$692,'апрель 2023'!$D$4:$D$692,$B151,'апрель 2023'!$J$4:$J$692,T$1)</f>
        <v>0</v>
      </c>
      <c r="U151" s="207">
        <f>SUMIFS('апрель 2023'!$G$4:$G$692,'апрель 2023'!$D$4:$D$692,$B151,'апрель 2023'!$J$4:$J$692,U$1)</f>
        <v>0</v>
      </c>
      <c r="V151" s="207">
        <f>SUMIFS('апрель 2023'!$G$4:$G$692,'апрель 2023'!$D$4:$D$692,$B151,'апрель 2023'!$J$4:$J$692,V$1)</f>
        <v>0</v>
      </c>
      <c r="W151" s="207">
        <f>SUMIFS('апрель 2023'!$G$4:$G$692,'апрель 2023'!$D$4:$D$692,$B151,'апрель 2023'!$J$4:$J$692,W$1)</f>
        <v>0</v>
      </c>
      <c r="X151" s="207">
        <f>SUMIFS('апрель 2023'!$G$4:$G$692,'апрель 2023'!$D$4:$D$692,$B151,'апрель 2023'!$J$4:$J$692,X$1)</f>
        <v>0</v>
      </c>
      <c r="Y151" s="207">
        <f>SUMIFS('апрель 2023'!$G$4:$G$692,'апрель 2023'!$D$4:$D$692,$B151,'апрель 2023'!$J$4:$J$692,Y$1)</f>
        <v>0</v>
      </c>
      <c r="Z151" s="207">
        <f>SUMIFS('апрель 2023'!$G$4:$G$692,'апрель 2023'!$D$4:$D$692,$B151,'апрель 2023'!$J$4:$J$692,Z$1)</f>
        <v>0</v>
      </c>
      <c r="AA151" s="207">
        <f>SUMIFS('апрель 2023'!$G$4:$G$692,'апрель 2023'!$D$4:$D$692,$B151,'апрель 2023'!$J$4:$J$692,AA$1)</f>
        <v>0</v>
      </c>
      <c r="AB151" s="207">
        <f>SUMIFS('апрель 2023'!$G$4:$G$692,'апрель 2023'!$D$4:$D$692,$B151,'апрель 2023'!$J$4:$J$692,AB$1)</f>
        <v>0</v>
      </c>
      <c r="AC151" s="207">
        <f>SUMIFS('апрель 2023'!$G$4:$G$692,'апрель 2023'!$D$4:$D$692,$B151,'апрель 2023'!$J$4:$J$692,AC$1)</f>
        <v>0</v>
      </c>
      <c r="AD151" s="207">
        <f>SUMIFS('апрель 2023'!$G$4:$G$692,'апрель 2023'!$D$4:$D$692,$B151,'апрель 2023'!$J$4:$J$692,AD$1)</f>
        <v>0</v>
      </c>
      <c r="AE151" s="207">
        <f>SUMIFS('апрель 2023'!$G$4:$G$692,'апрель 2023'!$D$4:$D$692,$B151,'апрель 2023'!$J$4:$J$692,AE$1)</f>
        <v>0</v>
      </c>
      <c r="AF151" s="207">
        <f>SUMIFS('апрель 2023'!$G$4:$G$692,'апрель 2023'!$D$4:$D$692,$B151,'апрель 2023'!$J$4:$J$692,AF$1)</f>
        <v>0</v>
      </c>
      <c r="AG151" s="207">
        <f>SUMIFS('апрель 2023'!$G$4:$G$692,'апрель 2023'!$D$4:$D$692,$B151,'апрель 2023'!$J$4:$J$692,AG$1)</f>
        <v>0</v>
      </c>
      <c r="AH151" s="207">
        <f>SUMIFS('апрель 2023'!$G$4:$G$692,'апрель 2023'!$D$4:$D$692,$B151,'апрель 2023'!$J$4:$J$692,AH$1)</f>
        <v>0</v>
      </c>
      <c r="AI151" s="220">
        <f t="shared" si="4"/>
        <v>0</v>
      </c>
    </row>
    <row r="152" spans="2:35" ht="15.75" hidden="1" x14ac:dyDescent="0.25">
      <c r="B152" s="212"/>
      <c r="C152" s="211"/>
      <c r="D152" s="207">
        <f>SUMIFS('апрель 2023'!$G$4:$G$692,'апрель 2023'!$D$4:$D$692,$B152,'апрель 2023'!$J$4:$J$692,D$1)</f>
        <v>0</v>
      </c>
      <c r="E152" s="207">
        <f>SUMIFS('апрель 2023'!$G$4:$G$692,'апрель 2023'!$D$4:$D$692,$B152,'апрель 2023'!$J$4:$J$692,E$1)</f>
        <v>0</v>
      </c>
      <c r="F152" s="207">
        <f>SUMIFS('апрель 2023'!$G$4:$G$692,'апрель 2023'!$D$4:$D$692,$B152,'апрель 2023'!$J$4:$J$692,F$1)</f>
        <v>0</v>
      </c>
      <c r="G152" s="207">
        <f>SUMIFS('апрель 2023'!$G$4:$G$692,'апрель 2023'!$D$4:$D$692,$B152,'апрель 2023'!$J$4:$J$692,G$1)</f>
        <v>0</v>
      </c>
      <c r="H152" s="207">
        <f>SUMIFS('апрель 2023'!$G$4:$G$692,'апрель 2023'!$D$4:$D$692,$B152,'апрель 2023'!$J$4:$J$692,H$1)</f>
        <v>0</v>
      </c>
      <c r="I152" s="207">
        <f>SUMIFS('апрель 2023'!$G$4:$G$692,'апрель 2023'!$D$4:$D$692,$B152,'апрель 2023'!$J$4:$J$692,I$1)</f>
        <v>0</v>
      </c>
      <c r="J152" s="207">
        <f>SUMIFS('апрель 2023'!$G$4:$G$692,'апрель 2023'!$D$4:$D$692,$B152,'апрель 2023'!$J$4:$J$692,J$1)</f>
        <v>0</v>
      </c>
      <c r="K152" s="207">
        <f>SUMIFS('апрель 2023'!$G$4:$G$692,'апрель 2023'!$D$4:$D$692,$B152,'апрель 2023'!$J$4:$J$692,K$1)</f>
        <v>0</v>
      </c>
      <c r="L152" s="207">
        <f>SUMIFS('апрель 2023'!$G$4:$G$692,'апрель 2023'!$D$4:$D$692,$B152,'апрель 2023'!$J$4:$J$692,L$1)</f>
        <v>0</v>
      </c>
      <c r="M152" s="207">
        <f>SUMIFS('апрель 2023'!$G$4:$G$692,'апрель 2023'!$D$4:$D$692,$B152,'апрель 2023'!$J$4:$J$692,M$1)</f>
        <v>0</v>
      </c>
      <c r="N152" s="207">
        <f>SUMIFS('апрель 2023'!$G$4:$G$692,'апрель 2023'!$D$4:$D$692,$B152,'апрель 2023'!$J$4:$J$692,N$1)</f>
        <v>0</v>
      </c>
      <c r="O152" s="207">
        <f>SUMIFS('апрель 2023'!$G$4:$G$692,'апрель 2023'!$D$4:$D$692,$B152,'апрель 2023'!$J$4:$J$692,O$1)</f>
        <v>0</v>
      </c>
      <c r="P152" s="207">
        <f>SUMIFS('апрель 2023'!$G$4:$G$692,'апрель 2023'!$D$4:$D$692,$B152,'апрель 2023'!$J$4:$J$692,P$1)</f>
        <v>0</v>
      </c>
      <c r="Q152" s="207">
        <f>SUMIFS('апрель 2023'!$G$4:$G$692,'апрель 2023'!$D$4:$D$692,$B152,'апрель 2023'!$J$4:$J$692,Q$1)</f>
        <v>0</v>
      </c>
      <c r="R152" s="207">
        <f>SUMIFS('апрель 2023'!$G$4:$G$692,'апрель 2023'!$D$4:$D$692,$B152,'апрель 2023'!$J$4:$J$692,R$1)</f>
        <v>0</v>
      </c>
      <c r="S152" s="207">
        <f>SUMIFS('апрель 2023'!$G$4:$G$692,'апрель 2023'!$D$4:$D$692,$B152,'апрель 2023'!$J$4:$J$692,S$1)</f>
        <v>0</v>
      </c>
      <c r="T152" s="207">
        <f>SUMIFS('апрель 2023'!$G$4:$G$692,'апрель 2023'!$D$4:$D$692,$B152,'апрель 2023'!$J$4:$J$692,T$1)</f>
        <v>0</v>
      </c>
      <c r="U152" s="207">
        <f>SUMIFS('апрель 2023'!$G$4:$G$692,'апрель 2023'!$D$4:$D$692,$B152,'апрель 2023'!$J$4:$J$692,U$1)</f>
        <v>0</v>
      </c>
      <c r="V152" s="207">
        <f>SUMIFS('апрель 2023'!$G$4:$G$692,'апрель 2023'!$D$4:$D$692,$B152,'апрель 2023'!$J$4:$J$692,V$1)</f>
        <v>0</v>
      </c>
      <c r="W152" s="207">
        <f>SUMIFS('апрель 2023'!$G$4:$G$692,'апрель 2023'!$D$4:$D$692,$B152,'апрель 2023'!$J$4:$J$692,W$1)</f>
        <v>0</v>
      </c>
      <c r="X152" s="207">
        <f>SUMIFS('апрель 2023'!$G$4:$G$692,'апрель 2023'!$D$4:$D$692,$B152,'апрель 2023'!$J$4:$J$692,X$1)</f>
        <v>0</v>
      </c>
      <c r="Y152" s="207">
        <f>SUMIFS('апрель 2023'!$G$4:$G$692,'апрель 2023'!$D$4:$D$692,$B152,'апрель 2023'!$J$4:$J$692,Y$1)</f>
        <v>0</v>
      </c>
      <c r="Z152" s="207">
        <f>SUMIFS('апрель 2023'!$G$4:$G$692,'апрель 2023'!$D$4:$D$692,$B152,'апрель 2023'!$J$4:$J$692,Z$1)</f>
        <v>0</v>
      </c>
      <c r="AA152" s="207">
        <f>SUMIFS('апрель 2023'!$G$4:$G$692,'апрель 2023'!$D$4:$D$692,$B152,'апрель 2023'!$J$4:$J$692,AA$1)</f>
        <v>0</v>
      </c>
      <c r="AB152" s="207">
        <f>SUMIFS('апрель 2023'!$G$4:$G$692,'апрель 2023'!$D$4:$D$692,$B152,'апрель 2023'!$J$4:$J$692,AB$1)</f>
        <v>0</v>
      </c>
      <c r="AC152" s="207">
        <f>SUMIFS('апрель 2023'!$G$4:$G$692,'апрель 2023'!$D$4:$D$692,$B152,'апрель 2023'!$J$4:$J$692,AC$1)</f>
        <v>0</v>
      </c>
      <c r="AD152" s="207">
        <f>SUMIFS('апрель 2023'!$G$4:$G$692,'апрель 2023'!$D$4:$D$692,$B152,'апрель 2023'!$J$4:$J$692,AD$1)</f>
        <v>0</v>
      </c>
      <c r="AE152" s="207">
        <f>SUMIFS('апрель 2023'!$G$4:$G$692,'апрель 2023'!$D$4:$D$692,$B152,'апрель 2023'!$J$4:$J$692,AE$1)</f>
        <v>0</v>
      </c>
      <c r="AF152" s="207">
        <f>SUMIFS('апрель 2023'!$G$4:$G$692,'апрель 2023'!$D$4:$D$692,$B152,'апрель 2023'!$J$4:$J$692,AF$1)</f>
        <v>0</v>
      </c>
      <c r="AG152" s="207">
        <f>SUMIFS('апрель 2023'!$G$4:$G$692,'апрель 2023'!$D$4:$D$692,$B152,'апрель 2023'!$J$4:$J$692,AG$1)</f>
        <v>0</v>
      </c>
      <c r="AH152" s="207">
        <f>SUMIFS('апрель 2023'!$G$4:$G$692,'апрель 2023'!$D$4:$D$692,$B152,'апрель 2023'!$J$4:$J$692,AH$1)</f>
        <v>0</v>
      </c>
      <c r="AI152" s="220">
        <f t="shared" si="4"/>
        <v>0</v>
      </c>
    </row>
    <row r="153" spans="2:35" ht="15.75" hidden="1" x14ac:dyDescent="0.25">
      <c r="B153" s="212"/>
      <c r="C153" s="211"/>
      <c r="D153" s="207">
        <f>SUMIFS('апрель 2023'!$G$4:$G$692,'апрель 2023'!$D$4:$D$692,$B153,'апрель 2023'!$J$4:$J$692,D$1)</f>
        <v>0</v>
      </c>
      <c r="E153" s="207">
        <f>SUMIFS('апрель 2023'!$G$4:$G$692,'апрель 2023'!$D$4:$D$692,$B153,'апрель 2023'!$J$4:$J$692,E$1)</f>
        <v>0</v>
      </c>
      <c r="F153" s="207">
        <f>SUMIFS('апрель 2023'!$G$4:$G$692,'апрель 2023'!$D$4:$D$692,$B153,'апрель 2023'!$J$4:$J$692,F$1)</f>
        <v>0</v>
      </c>
      <c r="G153" s="207">
        <f>SUMIFS('апрель 2023'!$G$4:$G$692,'апрель 2023'!$D$4:$D$692,$B153,'апрель 2023'!$J$4:$J$692,G$1)</f>
        <v>0</v>
      </c>
      <c r="H153" s="207">
        <f>SUMIFS('апрель 2023'!$G$4:$G$692,'апрель 2023'!$D$4:$D$692,$B153,'апрель 2023'!$J$4:$J$692,H$1)</f>
        <v>0</v>
      </c>
      <c r="I153" s="207">
        <f>SUMIFS('апрель 2023'!$G$4:$G$692,'апрель 2023'!$D$4:$D$692,$B153,'апрель 2023'!$J$4:$J$692,I$1)</f>
        <v>0</v>
      </c>
      <c r="J153" s="207">
        <f>SUMIFS('апрель 2023'!$G$4:$G$692,'апрель 2023'!$D$4:$D$692,$B153,'апрель 2023'!$J$4:$J$692,J$1)</f>
        <v>0</v>
      </c>
      <c r="K153" s="207">
        <f>SUMIFS('апрель 2023'!$G$4:$G$692,'апрель 2023'!$D$4:$D$692,$B153,'апрель 2023'!$J$4:$J$692,K$1)</f>
        <v>0</v>
      </c>
      <c r="L153" s="207">
        <f>SUMIFS('апрель 2023'!$G$4:$G$692,'апрель 2023'!$D$4:$D$692,$B153,'апрель 2023'!$J$4:$J$692,L$1)</f>
        <v>0</v>
      </c>
      <c r="M153" s="207">
        <f>SUMIFS('апрель 2023'!$G$4:$G$692,'апрель 2023'!$D$4:$D$692,$B153,'апрель 2023'!$J$4:$J$692,M$1)</f>
        <v>0</v>
      </c>
      <c r="N153" s="207">
        <f>SUMIFS('апрель 2023'!$G$4:$G$692,'апрель 2023'!$D$4:$D$692,$B153,'апрель 2023'!$J$4:$J$692,N$1)</f>
        <v>0</v>
      </c>
      <c r="O153" s="207">
        <f>SUMIFS('апрель 2023'!$G$4:$G$692,'апрель 2023'!$D$4:$D$692,$B153,'апрель 2023'!$J$4:$J$692,O$1)</f>
        <v>0</v>
      </c>
      <c r="P153" s="207">
        <f>SUMIFS('апрель 2023'!$G$4:$G$692,'апрель 2023'!$D$4:$D$692,$B153,'апрель 2023'!$J$4:$J$692,P$1)</f>
        <v>0</v>
      </c>
      <c r="Q153" s="207">
        <f>SUMIFS('апрель 2023'!$G$4:$G$692,'апрель 2023'!$D$4:$D$692,$B153,'апрель 2023'!$J$4:$J$692,Q$1)</f>
        <v>0</v>
      </c>
      <c r="R153" s="207">
        <f>SUMIFS('апрель 2023'!$G$4:$G$692,'апрель 2023'!$D$4:$D$692,$B153,'апрель 2023'!$J$4:$J$692,R$1)</f>
        <v>0</v>
      </c>
      <c r="S153" s="207">
        <f>SUMIFS('апрель 2023'!$G$4:$G$692,'апрель 2023'!$D$4:$D$692,$B153,'апрель 2023'!$J$4:$J$692,S$1)</f>
        <v>0</v>
      </c>
      <c r="T153" s="207">
        <f>SUMIFS('апрель 2023'!$G$4:$G$692,'апрель 2023'!$D$4:$D$692,$B153,'апрель 2023'!$J$4:$J$692,T$1)</f>
        <v>0</v>
      </c>
      <c r="U153" s="207">
        <f>SUMIFS('апрель 2023'!$G$4:$G$692,'апрель 2023'!$D$4:$D$692,$B153,'апрель 2023'!$J$4:$J$692,U$1)</f>
        <v>0</v>
      </c>
      <c r="V153" s="207">
        <f>SUMIFS('апрель 2023'!$G$4:$G$692,'апрель 2023'!$D$4:$D$692,$B153,'апрель 2023'!$J$4:$J$692,V$1)</f>
        <v>0</v>
      </c>
      <c r="W153" s="207">
        <f>SUMIFS('апрель 2023'!$G$4:$G$692,'апрель 2023'!$D$4:$D$692,$B153,'апрель 2023'!$J$4:$J$692,W$1)</f>
        <v>0</v>
      </c>
      <c r="X153" s="207">
        <f>SUMIFS('апрель 2023'!$G$4:$G$692,'апрель 2023'!$D$4:$D$692,$B153,'апрель 2023'!$J$4:$J$692,X$1)</f>
        <v>0</v>
      </c>
      <c r="Y153" s="207">
        <f>SUMIFS('апрель 2023'!$G$4:$G$692,'апрель 2023'!$D$4:$D$692,$B153,'апрель 2023'!$J$4:$J$692,Y$1)</f>
        <v>0</v>
      </c>
      <c r="Z153" s="207">
        <f>SUMIFS('апрель 2023'!$G$4:$G$692,'апрель 2023'!$D$4:$D$692,$B153,'апрель 2023'!$J$4:$J$692,Z$1)</f>
        <v>0</v>
      </c>
      <c r="AA153" s="207">
        <f>SUMIFS('апрель 2023'!$G$4:$G$692,'апрель 2023'!$D$4:$D$692,$B153,'апрель 2023'!$J$4:$J$692,AA$1)</f>
        <v>0</v>
      </c>
      <c r="AB153" s="207">
        <f>SUMIFS('апрель 2023'!$G$4:$G$692,'апрель 2023'!$D$4:$D$692,$B153,'апрель 2023'!$J$4:$J$692,AB$1)</f>
        <v>0</v>
      </c>
      <c r="AC153" s="207">
        <f>SUMIFS('апрель 2023'!$G$4:$G$692,'апрель 2023'!$D$4:$D$692,$B153,'апрель 2023'!$J$4:$J$692,AC$1)</f>
        <v>0</v>
      </c>
      <c r="AD153" s="207">
        <f>SUMIFS('апрель 2023'!$G$4:$G$692,'апрель 2023'!$D$4:$D$692,$B153,'апрель 2023'!$J$4:$J$692,AD$1)</f>
        <v>0</v>
      </c>
      <c r="AE153" s="207">
        <f>SUMIFS('апрель 2023'!$G$4:$G$692,'апрель 2023'!$D$4:$D$692,$B153,'апрель 2023'!$J$4:$J$692,AE$1)</f>
        <v>0</v>
      </c>
      <c r="AF153" s="207">
        <f>SUMIFS('апрель 2023'!$G$4:$G$692,'апрель 2023'!$D$4:$D$692,$B153,'апрель 2023'!$J$4:$J$692,AF$1)</f>
        <v>0</v>
      </c>
      <c r="AG153" s="207">
        <f>SUMIFS('апрель 2023'!$G$4:$G$692,'апрель 2023'!$D$4:$D$692,$B153,'апрель 2023'!$J$4:$J$692,AG$1)</f>
        <v>0</v>
      </c>
      <c r="AH153" s="207">
        <f>SUMIFS('апрель 2023'!$G$4:$G$692,'апрель 2023'!$D$4:$D$692,$B153,'апрель 2023'!$J$4:$J$692,AH$1)</f>
        <v>0</v>
      </c>
      <c r="AI153" s="220">
        <f t="shared" si="4"/>
        <v>0</v>
      </c>
    </row>
    <row r="154" spans="2:35" ht="15.75" hidden="1" x14ac:dyDescent="0.25">
      <c r="B154" s="212"/>
      <c r="C154" s="211"/>
      <c r="D154" s="207">
        <f>SUMIFS('апрель 2023'!$G$4:$G$692,'апрель 2023'!$D$4:$D$692,$B154,'апрель 2023'!$J$4:$J$692,D$1)</f>
        <v>0</v>
      </c>
      <c r="E154" s="207">
        <f>SUMIFS('апрель 2023'!$G$4:$G$692,'апрель 2023'!$D$4:$D$692,$B154,'апрель 2023'!$J$4:$J$692,E$1)</f>
        <v>0</v>
      </c>
      <c r="F154" s="207">
        <f>SUMIFS('апрель 2023'!$G$4:$G$692,'апрель 2023'!$D$4:$D$692,$B154,'апрель 2023'!$J$4:$J$692,F$1)</f>
        <v>0</v>
      </c>
      <c r="G154" s="207">
        <f>SUMIFS('апрель 2023'!$G$4:$G$692,'апрель 2023'!$D$4:$D$692,$B154,'апрель 2023'!$J$4:$J$692,G$1)</f>
        <v>0</v>
      </c>
      <c r="H154" s="207">
        <f>SUMIFS('апрель 2023'!$G$4:$G$692,'апрель 2023'!$D$4:$D$692,$B154,'апрель 2023'!$J$4:$J$692,H$1)</f>
        <v>0</v>
      </c>
      <c r="I154" s="207">
        <f>SUMIFS('апрель 2023'!$G$4:$G$692,'апрель 2023'!$D$4:$D$692,$B154,'апрель 2023'!$J$4:$J$692,I$1)</f>
        <v>0</v>
      </c>
      <c r="J154" s="207">
        <f>SUMIFS('апрель 2023'!$G$4:$G$692,'апрель 2023'!$D$4:$D$692,$B154,'апрель 2023'!$J$4:$J$692,J$1)</f>
        <v>0</v>
      </c>
      <c r="K154" s="207">
        <f>SUMIFS('апрель 2023'!$G$4:$G$692,'апрель 2023'!$D$4:$D$692,$B154,'апрель 2023'!$J$4:$J$692,K$1)</f>
        <v>0</v>
      </c>
      <c r="L154" s="207">
        <f>SUMIFS('апрель 2023'!$G$4:$G$692,'апрель 2023'!$D$4:$D$692,$B154,'апрель 2023'!$J$4:$J$692,L$1)</f>
        <v>0</v>
      </c>
      <c r="M154" s="207">
        <f>SUMIFS('апрель 2023'!$G$4:$G$692,'апрель 2023'!$D$4:$D$692,$B154,'апрель 2023'!$J$4:$J$692,M$1)</f>
        <v>0</v>
      </c>
      <c r="N154" s="207">
        <f>SUMIFS('апрель 2023'!$G$4:$G$692,'апрель 2023'!$D$4:$D$692,$B154,'апрель 2023'!$J$4:$J$692,N$1)</f>
        <v>0</v>
      </c>
      <c r="O154" s="207">
        <f>SUMIFS('апрель 2023'!$G$4:$G$692,'апрель 2023'!$D$4:$D$692,$B154,'апрель 2023'!$J$4:$J$692,O$1)</f>
        <v>0</v>
      </c>
      <c r="P154" s="207">
        <f>SUMIFS('апрель 2023'!$G$4:$G$692,'апрель 2023'!$D$4:$D$692,$B154,'апрель 2023'!$J$4:$J$692,P$1)</f>
        <v>0</v>
      </c>
      <c r="Q154" s="207">
        <f>SUMIFS('апрель 2023'!$G$4:$G$692,'апрель 2023'!$D$4:$D$692,$B154,'апрель 2023'!$J$4:$J$692,Q$1)</f>
        <v>0</v>
      </c>
      <c r="R154" s="207">
        <f>SUMIFS('апрель 2023'!$G$4:$G$692,'апрель 2023'!$D$4:$D$692,$B154,'апрель 2023'!$J$4:$J$692,R$1)</f>
        <v>0</v>
      </c>
      <c r="S154" s="207">
        <f>SUMIFS('апрель 2023'!$G$4:$G$692,'апрель 2023'!$D$4:$D$692,$B154,'апрель 2023'!$J$4:$J$692,S$1)</f>
        <v>0</v>
      </c>
      <c r="T154" s="207">
        <f>SUMIFS('апрель 2023'!$G$4:$G$692,'апрель 2023'!$D$4:$D$692,$B154,'апрель 2023'!$J$4:$J$692,T$1)</f>
        <v>0</v>
      </c>
      <c r="U154" s="207">
        <f>SUMIFS('апрель 2023'!$G$4:$G$692,'апрель 2023'!$D$4:$D$692,$B154,'апрель 2023'!$J$4:$J$692,U$1)</f>
        <v>0</v>
      </c>
      <c r="V154" s="207">
        <f>SUMIFS('апрель 2023'!$G$4:$G$692,'апрель 2023'!$D$4:$D$692,$B154,'апрель 2023'!$J$4:$J$692,V$1)</f>
        <v>0</v>
      </c>
      <c r="W154" s="207">
        <f>SUMIFS('апрель 2023'!$G$4:$G$692,'апрель 2023'!$D$4:$D$692,$B154,'апрель 2023'!$J$4:$J$692,W$1)</f>
        <v>0</v>
      </c>
      <c r="X154" s="207">
        <f>SUMIFS('апрель 2023'!$G$4:$G$692,'апрель 2023'!$D$4:$D$692,$B154,'апрель 2023'!$J$4:$J$692,X$1)</f>
        <v>0</v>
      </c>
      <c r="Y154" s="207">
        <f>SUMIFS('апрель 2023'!$G$4:$G$692,'апрель 2023'!$D$4:$D$692,$B154,'апрель 2023'!$J$4:$J$692,Y$1)</f>
        <v>0</v>
      </c>
      <c r="Z154" s="207">
        <f>SUMIFS('апрель 2023'!$G$4:$G$692,'апрель 2023'!$D$4:$D$692,$B154,'апрель 2023'!$J$4:$J$692,Z$1)</f>
        <v>0</v>
      </c>
      <c r="AA154" s="207">
        <f>SUMIFS('апрель 2023'!$G$4:$G$692,'апрель 2023'!$D$4:$D$692,$B154,'апрель 2023'!$J$4:$J$692,AA$1)</f>
        <v>0</v>
      </c>
      <c r="AB154" s="207">
        <f>SUMIFS('апрель 2023'!$G$4:$G$692,'апрель 2023'!$D$4:$D$692,$B154,'апрель 2023'!$J$4:$J$692,AB$1)</f>
        <v>0</v>
      </c>
      <c r="AC154" s="207">
        <f>SUMIFS('апрель 2023'!$G$4:$G$692,'апрель 2023'!$D$4:$D$692,$B154,'апрель 2023'!$J$4:$J$692,AC$1)</f>
        <v>0</v>
      </c>
      <c r="AD154" s="207">
        <f>SUMIFS('апрель 2023'!$G$4:$G$692,'апрель 2023'!$D$4:$D$692,$B154,'апрель 2023'!$J$4:$J$692,AD$1)</f>
        <v>0</v>
      </c>
      <c r="AE154" s="207">
        <f>SUMIFS('апрель 2023'!$G$4:$G$692,'апрель 2023'!$D$4:$D$692,$B154,'апрель 2023'!$J$4:$J$692,AE$1)</f>
        <v>0</v>
      </c>
      <c r="AF154" s="207">
        <f>SUMIFS('апрель 2023'!$G$4:$G$692,'апрель 2023'!$D$4:$D$692,$B154,'апрель 2023'!$J$4:$J$692,AF$1)</f>
        <v>0</v>
      </c>
      <c r="AG154" s="207">
        <f>SUMIFS('апрель 2023'!$G$4:$G$692,'апрель 2023'!$D$4:$D$692,$B154,'апрель 2023'!$J$4:$J$692,AG$1)</f>
        <v>0</v>
      </c>
      <c r="AH154" s="207">
        <f>SUMIFS('апрель 2023'!$G$4:$G$692,'апрель 2023'!$D$4:$D$692,$B154,'апрель 2023'!$J$4:$J$692,AH$1)</f>
        <v>0</v>
      </c>
      <c r="AI154" s="220">
        <f t="shared" si="4"/>
        <v>0</v>
      </c>
    </row>
    <row r="155" spans="2:35" ht="15.75" hidden="1" x14ac:dyDescent="0.25">
      <c r="B155" s="212"/>
      <c r="C155" s="211"/>
      <c r="D155" s="207">
        <f>SUMIFS('апрель 2023'!$G$4:$G$692,'апрель 2023'!$D$4:$D$692,$B155,'апрель 2023'!$J$4:$J$692,D$1)</f>
        <v>0</v>
      </c>
      <c r="E155" s="207">
        <f>SUMIFS('апрель 2023'!$G$4:$G$692,'апрель 2023'!$D$4:$D$692,$B155,'апрель 2023'!$J$4:$J$692,E$1)</f>
        <v>0</v>
      </c>
      <c r="F155" s="207">
        <f>SUMIFS('апрель 2023'!$G$4:$G$692,'апрель 2023'!$D$4:$D$692,$B155,'апрель 2023'!$J$4:$J$692,F$1)</f>
        <v>0</v>
      </c>
      <c r="G155" s="207">
        <f>SUMIFS('апрель 2023'!$G$4:$G$692,'апрель 2023'!$D$4:$D$692,$B155,'апрель 2023'!$J$4:$J$692,G$1)</f>
        <v>0</v>
      </c>
      <c r="H155" s="207">
        <f>SUMIFS('апрель 2023'!$G$4:$G$692,'апрель 2023'!$D$4:$D$692,$B155,'апрель 2023'!$J$4:$J$692,H$1)</f>
        <v>0</v>
      </c>
      <c r="I155" s="207">
        <f>SUMIFS('апрель 2023'!$G$4:$G$692,'апрель 2023'!$D$4:$D$692,$B155,'апрель 2023'!$J$4:$J$692,I$1)</f>
        <v>0</v>
      </c>
      <c r="J155" s="207">
        <f>SUMIFS('апрель 2023'!$G$4:$G$692,'апрель 2023'!$D$4:$D$692,$B155,'апрель 2023'!$J$4:$J$692,J$1)</f>
        <v>0</v>
      </c>
      <c r="K155" s="207">
        <f>SUMIFS('апрель 2023'!$G$4:$G$692,'апрель 2023'!$D$4:$D$692,$B155,'апрель 2023'!$J$4:$J$692,K$1)</f>
        <v>0</v>
      </c>
      <c r="L155" s="207">
        <f>SUMIFS('апрель 2023'!$G$4:$G$692,'апрель 2023'!$D$4:$D$692,$B155,'апрель 2023'!$J$4:$J$692,L$1)</f>
        <v>0</v>
      </c>
      <c r="M155" s="207">
        <f>SUMIFS('апрель 2023'!$G$4:$G$692,'апрель 2023'!$D$4:$D$692,$B155,'апрель 2023'!$J$4:$J$692,M$1)</f>
        <v>0</v>
      </c>
      <c r="N155" s="207">
        <f>SUMIFS('апрель 2023'!$G$4:$G$692,'апрель 2023'!$D$4:$D$692,$B155,'апрель 2023'!$J$4:$J$692,N$1)</f>
        <v>0</v>
      </c>
      <c r="O155" s="207">
        <f>SUMIFS('апрель 2023'!$G$4:$G$692,'апрель 2023'!$D$4:$D$692,$B155,'апрель 2023'!$J$4:$J$692,O$1)</f>
        <v>0</v>
      </c>
      <c r="P155" s="207">
        <f>SUMIFS('апрель 2023'!$G$4:$G$692,'апрель 2023'!$D$4:$D$692,$B155,'апрель 2023'!$J$4:$J$692,P$1)</f>
        <v>0</v>
      </c>
      <c r="Q155" s="207">
        <f>SUMIFS('апрель 2023'!$G$4:$G$692,'апрель 2023'!$D$4:$D$692,$B155,'апрель 2023'!$J$4:$J$692,Q$1)</f>
        <v>0</v>
      </c>
      <c r="R155" s="207">
        <f>SUMIFS('апрель 2023'!$G$4:$G$692,'апрель 2023'!$D$4:$D$692,$B155,'апрель 2023'!$J$4:$J$692,R$1)</f>
        <v>0</v>
      </c>
      <c r="S155" s="207">
        <f>SUMIFS('апрель 2023'!$G$4:$G$692,'апрель 2023'!$D$4:$D$692,$B155,'апрель 2023'!$J$4:$J$692,S$1)</f>
        <v>0</v>
      </c>
      <c r="T155" s="207">
        <f>SUMIFS('апрель 2023'!$G$4:$G$692,'апрель 2023'!$D$4:$D$692,$B155,'апрель 2023'!$J$4:$J$692,T$1)</f>
        <v>0</v>
      </c>
      <c r="U155" s="207">
        <f>SUMIFS('апрель 2023'!$G$4:$G$692,'апрель 2023'!$D$4:$D$692,$B155,'апрель 2023'!$J$4:$J$692,U$1)</f>
        <v>0</v>
      </c>
      <c r="V155" s="207">
        <f>SUMIFS('апрель 2023'!$G$4:$G$692,'апрель 2023'!$D$4:$D$692,$B155,'апрель 2023'!$J$4:$J$692,V$1)</f>
        <v>0</v>
      </c>
      <c r="W155" s="207">
        <f>SUMIFS('апрель 2023'!$G$4:$G$692,'апрель 2023'!$D$4:$D$692,$B155,'апрель 2023'!$J$4:$J$692,W$1)</f>
        <v>0</v>
      </c>
      <c r="X155" s="207">
        <f>SUMIFS('апрель 2023'!$G$4:$G$692,'апрель 2023'!$D$4:$D$692,$B155,'апрель 2023'!$J$4:$J$692,X$1)</f>
        <v>0</v>
      </c>
      <c r="Y155" s="207">
        <f>SUMIFS('апрель 2023'!$G$4:$G$692,'апрель 2023'!$D$4:$D$692,$B155,'апрель 2023'!$J$4:$J$692,Y$1)</f>
        <v>0</v>
      </c>
      <c r="Z155" s="207">
        <f>SUMIFS('апрель 2023'!$G$4:$G$692,'апрель 2023'!$D$4:$D$692,$B155,'апрель 2023'!$J$4:$J$692,Z$1)</f>
        <v>0</v>
      </c>
      <c r="AA155" s="207">
        <f>SUMIFS('апрель 2023'!$G$4:$G$692,'апрель 2023'!$D$4:$D$692,$B155,'апрель 2023'!$J$4:$J$692,AA$1)</f>
        <v>0</v>
      </c>
      <c r="AB155" s="207">
        <f>SUMIFS('апрель 2023'!$G$4:$G$692,'апрель 2023'!$D$4:$D$692,$B155,'апрель 2023'!$J$4:$J$692,AB$1)</f>
        <v>0</v>
      </c>
      <c r="AC155" s="207">
        <f>SUMIFS('апрель 2023'!$G$4:$G$692,'апрель 2023'!$D$4:$D$692,$B155,'апрель 2023'!$J$4:$J$692,AC$1)</f>
        <v>0</v>
      </c>
      <c r="AD155" s="207">
        <f>SUMIFS('апрель 2023'!$G$4:$G$692,'апрель 2023'!$D$4:$D$692,$B155,'апрель 2023'!$J$4:$J$692,AD$1)</f>
        <v>0</v>
      </c>
      <c r="AE155" s="207">
        <f>SUMIFS('апрель 2023'!$G$4:$G$692,'апрель 2023'!$D$4:$D$692,$B155,'апрель 2023'!$J$4:$J$692,AE$1)</f>
        <v>0</v>
      </c>
      <c r="AF155" s="207">
        <f>SUMIFS('апрель 2023'!$G$4:$G$692,'апрель 2023'!$D$4:$D$692,$B155,'апрель 2023'!$J$4:$J$692,AF$1)</f>
        <v>0</v>
      </c>
      <c r="AG155" s="207">
        <f>SUMIFS('апрель 2023'!$G$4:$G$692,'апрель 2023'!$D$4:$D$692,$B155,'апрель 2023'!$J$4:$J$692,AG$1)</f>
        <v>0</v>
      </c>
      <c r="AH155" s="207">
        <f>SUMIFS('апрель 2023'!$G$4:$G$692,'апрель 2023'!$D$4:$D$692,$B155,'апрель 2023'!$J$4:$J$692,AH$1)</f>
        <v>0</v>
      </c>
      <c r="AI155" s="220">
        <f t="shared" si="4"/>
        <v>0</v>
      </c>
    </row>
    <row r="156" spans="2:35" ht="15.75" hidden="1" x14ac:dyDescent="0.25">
      <c r="B156" s="212"/>
      <c r="C156" s="211"/>
      <c r="D156" s="207">
        <f>SUMIFS('апрель 2023'!$G$4:$G$692,'апрель 2023'!$D$4:$D$692,$B156,'апрель 2023'!$J$4:$J$692,D$1)</f>
        <v>0</v>
      </c>
      <c r="E156" s="207">
        <f>SUMIFS('апрель 2023'!$G$4:$G$692,'апрель 2023'!$D$4:$D$692,$B156,'апрель 2023'!$J$4:$J$692,E$1)</f>
        <v>0</v>
      </c>
      <c r="F156" s="207">
        <f>SUMIFS('апрель 2023'!$G$4:$G$692,'апрель 2023'!$D$4:$D$692,$B156,'апрель 2023'!$J$4:$J$692,F$1)</f>
        <v>0</v>
      </c>
      <c r="G156" s="207">
        <f>SUMIFS('апрель 2023'!$G$4:$G$692,'апрель 2023'!$D$4:$D$692,$B156,'апрель 2023'!$J$4:$J$692,G$1)</f>
        <v>0</v>
      </c>
      <c r="H156" s="207">
        <f>SUMIFS('апрель 2023'!$G$4:$G$692,'апрель 2023'!$D$4:$D$692,$B156,'апрель 2023'!$J$4:$J$692,H$1)</f>
        <v>0</v>
      </c>
      <c r="I156" s="207">
        <f>SUMIFS('апрель 2023'!$G$4:$G$692,'апрель 2023'!$D$4:$D$692,$B156,'апрель 2023'!$J$4:$J$692,I$1)</f>
        <v>0</v>
      </c>
      <c r="J156" s="207">
        <f>SUMIFS('апрель 2023'!$G$4:$G$692,'апрель 2023'!$D$4:$D$692,$B156,'апрель 2023'!$J$4:$J$692,J$1)</f>
        <v>0</v>
      </c>
      <c r="K156" s="207">
        <f>SUMIFS('апрель 2023'!$G$4:$G$692,'апрель 2023'!$D$4:$D$692,$B156,'апрель 2023'!$J$4:$J$692,K$1)</f>
        <v>0</v>
      </c>
      <c r="L156" s="207">
        <f>SUMIFS('апрель 2023'!$G$4:$G$692,'апрель 2023'!$D$4:$D$692,$B156,'апрель 2023'!$J$4:$J$692,L$1)</f>
        <v>0</v>
      </c>
      <c r="M156" s="207">
        <f>SUMIFS('апрель 2023'!$G$4:$G$692,'апрель 2023'!$D$4:$D$692,$B156,'апрель 2023'!$J$4:$J$692,M$1)</f>
        <v>0</v>
      </c>
      <c r="N156" s="207">
        <f>SUMIFS('апрель 2023'!$G$4:$G$692,'апрель 2023'!$D$4:$D$692,$B156,'апрель 2023'!$J$4:$J$692,N$1)</f>
        <v>0</v>
      </c>
      <c r="O156" s="207">
        <f>SUMIFS('апрель 2023'!$G$4:$G$692,'апрель 2023'!$D$4:$D$692,$B156,'апрель 2023'!$J$4:$J$692,O$1)</f>
        <v>0</v>
      </c>
      <c r="P156" s="207">
        <f>SUMIFS('апрель 2023'!$G$4:$G$692,'апрель 2023'!$D$4:$D$692,$B156,'апрель 2023'!$J$4:$J$692,P$1)</f>
        <v>0</v>
      </c>
      <c r="Q156" s="207">
        <f>SUMIFS('апрель 2023'!$G$4:$G$692,'апрель 2023'!$D$4:$D$692,$B156,'апрель 2023'!$J$4:$J$692,Q$1)</f>
        <v>0</v>
      </c>
      <c r="R156" s="207">
        <f>SUMIFS('апрель 2023'!$G$4:$G$692,'апрель 2023'!$D$4:$D$692,$B156,'апрель 2023'!$J$4:$J$692,R$1)</f>
        <v>0</v>
      </c>
      <c r="S156" s="207">
        <f>SUMIFS('апрель 2023'!$G$4:$G$692,'апрель 2023'!$D$4:$D$692,$B156,'апрель 2023'!$J$4:$J$692,S$1)</f>
        <v>0</v>
      </c>
      <c r="T156" s="207">
        <f>SUMIFS('апрель 2023'!$G$4:$G$692,'апрель 2023'!$D$4:$D$692,$B156,'апрель 2023'!$J$4:$J$692,T$1)</f>
        <v>0</v>
      </c>
      <c r="U156" s="207">
        <f>SUMIFS('апрель 2023'!$G$4:$G$692,'апрель 2023'!$D$4:$D$692,$B156,'апрель 2023'!$J$4:$J$692,U$1)</f>
        <v>0</v>
      </c>
      <c r="V156" s="207">
        <f>SUMIFS('апрель 2023'!$G$4:$G$692,'апрель 2023'!$D$4:$D$692,$B156,'апрель 2023'!$J$4:$J$692,V$1)</f>
        <v>0</v>
      </c>
      <c r="W156" s="207">
        <f>SUMIFS('апрель 2023'!$G$4:$G$692,'апрель 2023'!$D$4:$D$692,$B156,'апрель 2023'!$J$4:$J$692,W$1)</f>
        <v>0</v>
      </c>
      <c r="X156" s="207">
        <f>SUMIFS('апрель 2023'!$G$4:$G$692,'апрель 2023'!$D$4:$D$692,$B156,'апрель 2023'!$J$4:$J$692,X$1)</f>
        <v>0</v>
      </c>
      <c r="Y156" s="207">
        <f>SUMIFS('апрель 2023'!$G$4:$G$692,'апрель 2023'!$D$4:$D$692,$B156,'апрель 2023'!$J$4:$J$692,Y$1)</f>
        <v>0</v>
      </c>
      <c r="Z156" s="207">
        <f>SUMIFS('апрель 2023'!$G$4:$G$692,'апрель 2023'!$D$4:$D$692,$B156,'апрель 2023'!$J$4:$J$692,Z$1)</f>
        <v>0</v>
      </c>
      <c r="AA156" s="207">
        <f>SUMIFS('апрель 2023'!$G$4:$G$692,'апрель 2023'!$D$4:$D$692,$B156,'апрель 2023'!$J$4:$J$692,AA$1)</f>
        <v>0</v>
      </c>
      <c r="AB156" s="207">
        <f>SUMIFS('апрель 2023'!$G$4:$G$692,'апрель 2023'!$D$4:$D$692,$B156,'апрель 2023'!$J$4:$J$692,AB$1)</f>
        <v>0</v>
      </c>
      <c r="AC156" s="207">
        <f>SUMIFS('апрель 2023'!$G$4:$G$692,'апрель 2023'!$D$4:$D$692,$B156,'апрель 2023'!$J$4:$J$692,AC$1)</f>
        <v>0</v>
      </c>
      <c r="AD156" s="207">
        <f>SUMIFS('апрель 2023'!$G$4:$G$692,'апрель 2023'!$D$4:$D$692,$B156,'апрель 2023'!$J$4:$J$692,AD$1)</f>
        <v>0</v>
      </c>
      <c r="AE156" s="207">
        <f>SUMIFS('апрель 2023'!$G$4:$G$692,'апрель 2023'!$D$4:$D$692,$B156,'апрель 2023'!$J$4:$J$692,AE$1)</f>
        <v>0</v>
      </c>
      <c r="AF156" s="207">
        <f>SUMIFS('апрель 2023'!$G$4:$G$692,'апрель 2023'!$D$4:$D$692,$B156,'апрель 2023'!$J$4:$J$692,AF$1)</f>
        <v>0</v>
      </c>
      <c r="AG156" s="207">
        <f>SUMIFS('апрель 2023'!$G$4:$G$692,'апрель 2023'!$D$4:$D$692,$B156,'апрель 2023'!$J$4:$J$692,AG$1)</f>
        <v>0</v>
      </c>
      <c r="AH156" s="207">
        <f>SUMIFS('апрель 2023'!$G$4:$G$692,'апрель 2023'!$D$4:$D$692,$B156,'апрель 2023'!$J$4:$J$692,AH$1)</f>
        <v>0</v>
      </c>
      <c r="AI156" s="220">
        <f t="shared" si="4"/>
        <v>0</v>
      </c>
    </row>
    <row r="157" spans="2:35" ht="15.75" hidden="1" x14ac:dyDescent="0.25">
      <c r="B157" s="212"/>
      <c r="C157" s="211"/>
      <c r="D157" s="207">
        <f>SUMIFS('апрель 2023'!$G$4:$G$692,'апрель 2023'!$D$4:$D$692,$B157,'апрель 2023'!$J$4:$J$692,D$1)</f>
        <v>0</v>
      </c>
      <c r="E157" s="207">
        <f>SUMIFS('апрель 2023'!$G$4:$G$692,'апрель 2023'!$D$4:$D$692,$B157,'апрель 2023'!$J$4:$J$692,E$1)</f>
        <v>0</v>
      </c>
      <c r="F157" s="207">
        <f>SUMIFS('апрель 2023'!$G$4:$G$692,'апрель 2023'!$D$4:$D$692,$B157,'апрель 2023'!$J$4:$J$692,F$1)</f>
        <v>0</v>
      </c>
      <c r="G157" s="207">
        <f>SUMIFS('апрель 2023'!$G$4:$G$692,'апрель 2023'!$D$4:$D$692,$B157,'апрель 2023'!$J$4:$J$692,G$1)</f>
        <v>0</v>
      </c>
      <c r="H157" s="207">
        <f>SUMIFS('апрель 2023'!$G$4:$G$692,'апрель 2023'!$D$4:$D$692,$B157,'апрель 2023'!$J$4:$J$692,H$1)</f>
        <v>0</v>
      </c>
      <c r="I157" s="207">
        <f>SUMIFS('апрель 2023'!$G$4:$G$692,'апрель 2023'!$D$4:$D$692,$B157,'апрель 2023'!$J$4:$J$692,I$1)</f>
        <v>0</v>
      </c>
      <c r="J157" s="207">
        <f>SUMIFS('апрель 2023'!$G$4:$G$692,'апрель 2023'!$D$4:$D$692,$B157,'апрель 2023'!$J$4:$J$692,J$1)</f>
        <v>0</v>
      </c>
      <c r="K157" s="207">
        <f>SUMIFS('апрель 2023'!$G$4:$G$692,'апрель 2023'!$D$4:$D$692,$B157,'апрель 2023'!$J$4:$J$692,K$1)</f>
        <v>0</v>
      </c>
      <c r="L157" s="207">
        <f>SUMIFS('апрель 2023'!$G$4:$G$692,'апрель 2023'!$D$4:$D$692,$B157,'апрель 2023'!$J$4:$J$692,L$1)</f>
        <v>0</v>
      </c>
      <c r="M157" s="207">
        <f>SUMIFS('апрель 2023'!$G$4:$G$692,'апрель 2023'!$D$4:$D$692,$B157,'апрель 2023'!$J$4:$J$692,M$1)</f>
        <v>0</v>
      </c>
      <c r="N157" s="207">
        <f>SUMIFS('апрель 2023'!$G$4:$G$692,'апрель 2023'!$D$4:$D$692,$B157,'апрель 2023'!$J$4:$J$692,N$1)</f>
        <v>0</v>
      </c>
      <c r="O157" s="207">
        <f>SUMIFS('апрель 2023'!$G$4:$G$692,'апрель 2023'!$D$4:$D$692,$B157,'апрель 2023'!$J$4:$J$692,O$1)</f>
        <v>0</v>
      </c>
      <c r="P157" s="207">
        <f>SUMIFS('апрель 2023'!$G$4:$G$692,'апрель 2023'!$D$4:$D$692,$B157,'апрель 2023'!$J$4:$J$692,P$1)</f>
        <v>0</v>
      </c>
      <c r="Q157" s="207">
        <f>SUMIFS('апрель 2023'!$G$4:$G$692,'апрель 2023'!$D$4:$D$692,$B157,'апрель 2023'!$J$4:$J$692,Q$1)</f>
        <v>0</v>
      </c>
      <c r="R157" s="207">
        <f>SUMIFS('апрель 2023'!$G$4:$G$692,'апрель 2023'!$D$4:$D$692,$B157,'апрель 2023'!$J$4:$J$692,R$1)</f>
        <v>0</v>
      </c>
      <c r="S157" s="207">
        <f>SUMIFS('апрель 2023'!$G$4:$G$692,'апрель 2023'!$D$4:$D$692,$B157,'апрель 2023'!$J$4:$J$692,S$1)</f>
        <v>0</v>
      </c>
      <c r="T157" s="207">
        <f>SUMIFS('апрель 2023'!$G$4:$G$692,'апрель 2023'!$D$4:$D$692,$B157,'апрель 2023'!$J$4:$J$692,T$1)</f>
        <v>0</v>
      </c>
      <c r="U157" s="207">
        <f>SUMIFS('апрель 2023'!$G$4:$G$692,'апрель 2023'!$D$4:$D$692,$B157,'апрель 2023'!$J$4:$J$692,U$1)</f>
        <v>0</v>
      </c>
      <c r="V157" s="207">
        <f>SUMIFS('апрель 2023'!$G$4:$G$692,'апрель 2023'!$D$4:$D$692,$B157,'апрель 2023'!$J$4:$J$692,V$1)</f>
        <v>0</v>
      </c>
      <c r="W157" s="207">
        <f>SUMIFS('апрель 2023'!$G$4:$G$692,'апрель 2023'!$D$4:$D$692,$B157,'апрель 2023'!$J$4:$J$692,W$1)</f>
        <v>0</v>
      </c>
      <c r="X157" s="207">
        <f>SUMIFS('апрель 2023'!$G$4:$G$692,'апрель 2023'!$D$4:$D$692,$B157,'апрель 2023'!$J$4:$J$692,X$1)</f>
        <v>0</v>
      </c>
      <c r="Y157" s="207">
        <f>SUMIFS('апрель 2023'!$G$4:$G$692,'апрель 2023'!$D$4:$D$692,$B157,'апрель 2023'!$J$4:$J$692,Y$1)</f>
        <v>0</v>
      </c>
      <c r="Z157" s="207">
        <f>SUMIFS('апрель 2023'!$G$4:$G$692,'апрель 2023'!$D$4:$D$692,$B157,'апрель 2023'!$J$4:$J$692,Z$1)</f>
        <v>0</v>
      </c>
      <c r="AA157" s="207">
        <f>SUMIFS('апрель 2023'!$G$4:$G$692,'апрель 2023'!$D$4:$D$692,$B157,'апрель 2023'!$J$4:$J$692,AA$1)</f>
        <v>0</v>
      </c>
      <c r="AB157" s="207">
        <f>SUMIFS('апрель 2023'!$G$4:$G$692,'апрель 2023'!$D$4:$D$692,$B157,'апрель 2023'!$J$4:$J$692,AB$1)</f>
        <v>0</v>
      </c>
      <c r="AC157" s="207">
        <f>SUMIFS('апрель 2023'!$G$4:$G$692,'апрель 2023'!$D$4:$D$692,$B157,'апрель 2023'!$J$4:$J$692,AC$1)</f>
        <v>0</v>
      </c>
      <c r="AD157" s="207">
        <f>SUMIFS('апрель 2023'!$G$4:$G$692,'апрель 2023'!$D$4:$D$692,$B157,'апрель 2023'!$J$4:$J$692,AD$1)</f>
        <v>0</v>
      </c>
      <c r="AE157" s="207">
        <f>SUMIFS('апрель 2023'!$G$4:$G$692,'апрель 2023'!$D$4:$D$692,$B157,'апрель 2023'!$J$4:$J$692,AE$1)</f>
        <v>0</v>
      </c>
      <c r="AF157" s="207">
        <f>SUMIFS('апрель 2023'!$G$4:$G$692,'апрель 2023'!$D$4:$D$692,$B157,'апрель 2023'!$J$4:$J$692,AF$1)</f>
        <v>0</v>
      </c>
      <c r="AG157" s="207">
        <f>SUMIFS('апрель 2023'!$G$4:$G$692,'апрель 2023'!$D$4:$D$692,$B157,'апрель 2023'!$J$4:$J$692,AG$1)</f>
        <v>0</v>
      </c>
      <c r="AH157" s="207">
        <f>SUMIFS('апрель 2023'!$G$4:$G$692,'апрель 2023'!$D$4:$D$692,$B157,'апрель 2023'!$J$4:$J$692,AH$1)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SUMIFS('апрель 2023'!$G$4:$G$692,'апрель 2023'!$D$4:$D$692,$B158,'апрель 2023'!$J$4:$J$692,D$1)</f>
        <v>0</v>
      </c>
      <c r="E158" s="207">
        <f>SUMIFS('апрель 2023'!$G$4:$G$692,'апрель 2023'!$D$4:$D$692,$B158,'апрель 2023'!$J$4:$J$692,E$1)</f>
        <v>0</v>
      </c>
      <c r="F158" s="207">
        <f>SUMIFS('апрель 2023'!$G$4:$G$692,'апрель 2023'!$D$4:$D$692,$B158,'апрель 2023'!$J$4:$J$692,F$1)</f>
        <v>0</v>
      </c>
      <c r="G158" s="207">
        <f>SUMIFS('апрель 2023'!$G$4:$G$692,'апрель 2023'!$D$4:$D$692,$B158,'апрель 2023'!$J$4:$J$692,G$1)</f>
        <v>0</v>
      </c>
      <c r="H158" s="207">
        <f>SUMIFS('апрель 2023'!$G$4:$G$692,'апрель 2023'!$D$4:$D$692,$B158,'апрель 2023'!$J$4:$J$692,H$1)</f>
        <v>0</v>
      </c>
      <c r="I158" s="207">
        <f>SUMIFS('апрель 2023'!$G$4:$G$692,'апрель 2023'!$D$4:$D$692,$B158,'апрель 2023'!$J$4:$J$692,I$1)</f>
        <v>0</v>
      </c>
      <c r="J158" s="207">
        <f>SUMIFS('апрель 2023'!$G$4:$G$692,'апрель 2023'!$D$4:$D$692,$B158,'апрель 2023'!$J$4:$J$692,J$1)</f>
        <v>0</v>
      </c>
      <c r="K158" s="207">
        <f>SUMIFS('апрель 2023'!$G$4:$G$692,'апрель 2023'!$D$4:$D$692,$B158,'апрель 2023'!$J$4:$J$692,K$1)</f>
        <v>0</v>
      </c>
      <c r="L158" s="207">
        <f>SUMIFS('апрель 2023'!$G$4:$G$692,'апрель 2023'!$D$4:$D$692,$B158,'апрель 2023'!$J$4:$J$692,L$1)</f>
        <v>0</v>
      </c>
      <c r="M158" s="207">
        <f>SUMIFS('апрель 2023'!$G$4:$G$692,'апрель 2023'!$D$4:$D$692,$B158,'апрель 2023'!$J$4:$J$692,M$1)</f>
        <v>0</v>
      </c>
      <c r="N158" s="207">
        <f>SUMIFS('апрель 2023'!$G$4:$G$692,'апрель 2023'!$D$4:$D$692,$B158,'апрель 2023'!$J$4:$J$692,N$1)</f>
        <v>0</v>
      </c>
      <c r="O158" s="207">
        <f>SUMIFS('апрель 2023'!$G$4:$G$692,'апрель 2023'!$D$4:$D$692,$B158,'апрель 2023'!$J$4:$J$692,O$1)</f>
        <v>0</v>
      </c>
      <c r="P158" s="207">
        <f>SUMIFS('апрель 2023'!$G$4:$G$692,'апрель 2023'!$D$4:$D$692,$B158,'апрель 2023'!$J$4:$J$692,P$1)</f>
        <v>0</v>
      </c>
      <c r="Q158" s="207">
        <f>SUMIFS('апрель 2023'!$G$4:$G$692,'апрель 2023'!$D$4:$D$692,$B158,'апрель 2023'!$J$4:$J$692,Q$1)</f>
        <v>0</v>
      </c>
      <c r="R158" s="207">
        <f>SUMIFS('апрель 2023'!$G$4:$G$692,'апрель 2023'!$D$4:$D$692,$B158,'апрель 2023'!$J$4:$J$692,R$1)</f>
        <v>0</v>
      </c>
      <c r="S158" s="207">
        <f>SUMIFS('апрель 2023'!$G$4:$G$692,'апрель 2023'!$D$4:$D$692,$B158,'апрель 2023'!$J$4:$J$692,S$1)</f>
        <v>0</v>
      </c>
      <c r="T158" s="207">
        <f>SUMIFS('апрель 2023'!$G$4:$G$692,'апрель 2023'!$D$4:$D$692,$B158,'апрель 2023'!$J$4:$J$692,T$1)</f>
        <v>0</v>
      </c>
      <c r="U158" s="207">
        <f>SUMIFS('апрель 2023'!$G$4:$G$692,'апрель 2023'!$D$4:$D$692,$B158,'апрель 2023'!$J$4:$J$692,U$1)</f>
        <v>0</v>
      </c>
      <c r="V158" s="207">
        <f>SUMIFS('апрель 2023'!$G$4:$G$692,'апрель 2023'!$D$4:$D$692,$B158,'апрель 2023'!$J$4:$J$692,V$1)</f>
        <v>0</v>
      </c>
      <c r="W158" s="207">
        <f>SUMIFS('апрель 2023'!$G$4:$G$692,'апрель 2023'!$D$4:$D$692,$B158,'апрель 2023'!$J$4:$J$692,W$1)</f>
        <v>0</v>
      </c>
      <c r="X158" s="207">
        <f>SUMIFS('апрель 2023'!$G$4:$G$692,'апрель 2023'!$D$4:$D$692,$B158,'апрель 2023'!$J$4:$J$692,X$1)</f>
        <v>0</v>
      </c>
      <c r="Y158" s="207">
        <f>SUMIFS('апрель 2023'!$G$4:$G$692,'апрель 2023'!$D$4:$D$692,$B158,'апрель 2023'!$J$4:$J$692,Y$1)</f>
        <v>0</v>
      </c>
      <c r="Z158" s="207">
        <f>SUMIFS('апрель 2023'!$G$4:$G$692,'апрель 2023'!$D$4:$D$692,$B158,'апрель 2023'!$J$4:$J$692,Z$1)</f>
        <v>0</v>
      </c>
      <c r="AA158" s="207">
        <f>SUMIFS('апрель 2023'!$G$4:$G$692,'апрель 2023'!$D$4:$D$692,$B158,'апрель 2023'!$J$4:$J$692,AA$1)</f>
        <v>0</v>
      </c>
      <c r="AB158" s="207">
        <f>SUMIFS('апрель 2023'!$G$4:$G$692,'апрель 2023'!$D$4:$D$692,$B158,'апрель 2023'!$J$4:$J$692,AB$1)</f>
        <v>0</v>
      </c>
      <c r="AC158" s="207">
        <f>SUMIFS('апрель 2023'!$G$4:$G$692,'апрель 2023'!$D$4:$D$692,$B158,'апрель 2023'!$J$4:$J$692,AC$1)</f>
        <v>0</v>
      </c>
      <c r="AD158" s="207">
        <f>SUMIFS('апрель 2023'!$G$4:$G$692,'апрель 2023'!$D$4:$D$692,$B158,'апрель 2023'!$J$4:$J$692,AD$1)</f>
        <v>0</v>
      </c>
      <c r="AE158" s="207">
        <f>SUMIFS('апрель 2023'!$G$4:$G$692,'апрель 2023'!$D$4:$D$692,$B158,'апрель 2023'!$J$4:$J$692,AE$1)</f>
        <v>0</v>
      </c>
      <c r="AF158" s="207">
        <f>SUMIFS('апрель 2023'!$G$4:$G$692,'апрель 2023'!$D$4:$D$692,$B158,'апрель 2023'!$J$4:$J$692,AF$1)</f>
        <v>0</v>
      </c>
      <c r="AG158" s="207">
        <f>SUMIFS('апрель 2023'!$G$4:$G$692,'апрель 2023'!$D$4:$D$692,$B158,'апрель 2023'!$J$4:$J$692,AG$1)</f>
        <v>0</v>
      </c>
      <c r="AH158" s="207">
        <f>SUMIFS('апрель 2023'!$G$4:$G$692,'апрель 2023'!$D$4:$D$692,$B158,'апрель 2023'!$J$4:$J$692,AH$1)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SUMIFS('апрель 2023'!$G$4:$G$692,'апрель 2023'!$D$4:$D$692,$B159,'апрель 2023'!$J$4:$J$692,D$1)</f>
        <v>0</v>
      </c>
      <c r="E159" s="207">
        <f>SUMIFS('апрель 2023'!$G$4:$G$692,'апрель 2023'!$D$4:$D$692,$B159,'апрель 2023'!$J$4:$J$692,E$1)</f>
        <v>0</v>
      </c>
      <c r="F159" s="207">
        <f>SUMIFS('апрель 2023'!$G$4:$G$692,'апрель 2023'!$D$4:$D$692,$B159,'апрель 2023'!$J$4:$J$692,F$1)</f>
        <v>0</v>
      </c>
      <c r="G159" s="207">
        <f>SUMIFS('апрель 2023'!$G$4:$G$692,'апрель 2023'!$D$4:$D$692,$B159,'апрель 2023'!$J$4:$J$692,G$1)</f>
        <v>0</v>
      </c>
      <c r="H159" s="207">
        <f>SUMIFS('апрель 2023'!$G$4:$G$692,'апрель 2023'!$D$4:$D$692,$B159,'апрель 2023'!$J$4:$J$692,H$1)</f>
        <v>0</v>
      </c>
      <c r="I159" s="207">
        <f>SUMIFS('апрель 2023'!$G$4:$G$692,'апрель 2023'!$D$4:$D$692,$B159,'апрель 2023'!$J$4:$J$692,I$1)</f>
        <v>0</v>
      </c>
      <c r="J159" s="207">
        <f>SUMIFS('апрель 2023'!$G$4:$G$692,'апрель 2023'!$D$4:$D$692,$B159,'апрель 2023'!$J$4:$J$692,J$1)</f>
        <v>0</v>
      </c>
      <c r="K159" s="207">
        <f>SUMIFS('апрель 2023'!$G$4:$G$692,'апрель 2023'!$D$4:$D$692,$B159,'апрель 2023'!$J$4:$J$692,K$1)</f>
        <v>0</v>
      </c>
      <c r="L159" s="207">
        <f>SUMIFS('апрель 2023'!$G$4:$G$692,'апрель 2023'!$D$4:$D$692,$B159,'апрель 2023'!$J$4:$J$692,L$1)</f>
        <v>0</v>
      </c>
      <c r="M159" s="207">
        <f>SUMIFS('апрель 2023'!$G$4:$G$692,'апрель 2023'!$D$4:$D$692,$B159,'апрель 2023'!$J$4:$J$692,M$1)</f>
        <v>0</v>
      </c>
      <c r="N159" s="207">
        <f>SUMIFS('апрель 2023'!$G$4:$G$692,'апрель 2023'!$D$4:$D$692,$B159,'апрель 2023'!$J$4:$J$692,N$1)</f>
        <v>0</v>
      </c>
      <c r="O159" s="207">
        <f>SUMIFS('апрель 2023'!$G$4:$G$692,'апрель 2023'!$D$4:$D$692,$B159,'апрель 2023'!$J$4:$J$692,O$1)</f>
        <v>0</v>
      </c>
      <c r="P159" s="207">
        <f>SUMIFS('апрель 2023'!$G$4:$G$692,'апрель 2023'!$D$4:$D$692,$B159,'апрель 2023'!$J$4:$J$692,P$1)</f>
        <v>0</v>
      </c>
      <c r="Q159" s="207">
        <f>SUMIFS('апрель 2023'!$G$4:$G$692,'апрель 2023'!$D$4:$D$692,$B159,'апрель 2023'!$J$4:$J$692,Q$1)</f>
        <v>0</v>
      </c>
      <c r="R159" s="207">
        <f>SUMIFS('апрель 2023'!$G$4:$G$692,'апрель 2023'!$D$4:$D$692,$B159,'апрель 2023'!$J$4:$J$692,R$1)</f>
        <v>0</v>
      </c>
      <c r="S159" s="207">
        <f>SUMIFS('апрель 2023'!$G$4:$G$692,'апрель 2023'!$D$4:$D$692,$B159,'апрель 2023'!$J$4:$J$692,S$1)</f>
        <v>0</v>
      </c>
      <c r="T159" s="207">
        <f>SUMIFS('апрель 2023'!$G$4:$G$692,'апрель 2023'!$D$4:$D$692,$B159,'апрель 2023'!$J$4:$J$692,T$1)</f>
        <v>0</v>
      </c>
      <c r="U159" s="207">
        <f>SUMIFS('апрель 2023'!$G$4:$G$692,'апрель 2023'!$D$4:$D$692,$B159,'апрель 2023'!$J$4:$J$692,U$1)</f>
        <v>0</v>
      </c>
      <c r="V159" s="207">
        <f>SUMIFS('апрель 2023'!$G$4:$G$692,'апрель 2023'!$D$4:$D$692,$B159,'апрель 2023'!$J$4:$J$692,V$1)</f>
        <v>0</v>
      </c>
      <c r="W159" s="207">
        <f>SUMIFS('апрель 2023'!$G$4:$G$692,'апрель 2023'!$D$4:$D$692,$B159,'апрель 2023'!$J$4:$J$692,W$1)</f>
        <v>0</v>
      </c>
      <c r="X159" s="207">
        <f>SUMIFS('апрель 2023'!$G$4:$G$692,'апрель 2023'!$D$4:$D$692,$B159,'апрель 2023'!$J$4:$J$692,X$1)</f>
        <v>0</v>
      </c>
      <c r="Y159" s="207">
        <f>SUMIFS('апрель 2023'!$G$4:$G$692,'апрель 2023'!$D$4:$D$692,$B159,'апрель 2023'!$J$4:$J$692,Y$1)</f>
        <v>0</v>
      </c>
      <c r="Z159" s="207">
        <f>SUMIFS('апрель 2023'!$G$4:$G$692,'апрель 2023'!$D$4:$D$692,$B159,'апрель 2023'!$J$4:$J$692,Z$1)</f>
        <v>0</v>
      </c>
      <c r="AA159" s="207">
        <f>SUMIFS('апрель 2023'!$G$4:$G$692,'апрель 2023'!$D$4:$D$692,$B159,'апрель 2023'!$J$4:$J$692,AA$1)</f>
        <v>0</v>
      </c>
      <c r="AB159" s="207">
        <f>SUMIFS('апрель 2023'!$G$4:$G$692,'апрель 2023'!$D$4:$D$692,$B159,'апрель 2023'!$J$4:$J$692,AB$1)</f>
        <v>0</v>
      </c>
      <c r="AC159" s="207">
        <f>SUMIFS('апрель 2023'!$G$4:$G$692,'апрель 2023'!$D$4:$D$692,$B159,'апрель 2023'!$J$4:$J$692,AC$1)</f>
        <v>0</v>
      </c>
      <c r="AD159" s="207">
        <f>SUMIFS('апрель 2023'!$G$4:$G$692,'апрель 2023'!$D$4:$D$692,$B159,'апрель 2023'!$J$4:$J$692,AD$1)</f>
        <v>0</v>
      </c>
      <c r="AE159" s="207">
        <f>SUMIFS('апрель 2023'!$G$4:$G$692,'апрель 2023'!$D$4:$D$692,$B159,'апрель 2023'!$J$4:$J$692,AE$1)</f>
        <v>0</v>
      </c>
      <c r="AF159" s="207">
        <f>SUMIFS('апрель 2023'!$G$4:$G$692,'апрель 2023'!$D$4:$D$692,$B159,'апрель 2023'!$J$4:$J$692,AF$1)</f>
        <v>0</v>
      </c>
      <c r="AG159" s="207">
        <f>SUMIFS('апрель 2023'!$G$4:$G$692,'апрель 2023'!$D$4:$D$692,$B159,'апрель 2023'!$J$4:$J$692,AG$1)</f>
        <v>0</v>
      </c>
      <c r="AH159" s="207">
        <f>SUMIFS('апрель 2023'!$G$4:$G$692,'апрель 2023'!$D$4:$D$692,$B159,'апрель 2023'!$J$4:$J$692,AH$1)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SUMIFS('апрель 2023'!$G$4:$G$692,'апрель 2023'!$D$4:$D$692,$B160,'апрель 2023'!$J$4:$J$692,D$1)</f>
        <v>0</v>
      </c>
      <c r="E160" s="207">
        <f>SUMIFS('апрель 2023'!$G$4:$G$692,'апрель 2023'!$D$4:$D$692,$B160,'апрель 2023'!$J$4:$J$692,E$1)</f>
        <v>0</v>
      </c>
      <c r="F160" s="207">
        <f>SUMIFS('апрель 2023'!$G$4:$G$692,'апрель 2023'!$D$4:$D$692,$B160,'апрель 2023'!$J$4:$J$692,F$1)</f>
        <v>0</v>
      </c>
      <c r="G160" s="207">
        <f>SUMIFS('апрель 2023'!$G$4:$G$692,'апрель 2023'!$D$4:$D$692,$B160,'апрель 2023'!$J$4:$J$692,G$1)</f>
        <v>0</v>
      </c>
      <c r="H160" s="207">
        <f>SUMIFS('апрель 2023'!$G$4:$G$692,'апрель 2023'!$D$4:$D$692,$B160,'апрель 2023'!$J$4:$J$692,H$1)</f>
        <v>0</v>
      </c>
      <c r="I160" s="207">
        <f>SUMIFS('апрель 2023'!$G$4:$G$692,'апрель 2023'!$D$4:$D$692,$B160,'апрель 2023'!$J$4:$J$692,I$1)</f>
        <v>0</v>
      </c>
      <c r="J160" s="207">
        <f>SUMIFS('апрель 2023'!$G$4:$G$692,'апрель 2023'!$D$4:$D$692,$B160,'апрель 2023'!$J$4:$J$692,J$1)</f>
        <v>0</v>
      </c>
      <c r="K160" s="207">
        <f>SUMIFS('апрель 2023'!$G$4:$G$692,'апрель 2023'!$D$4:$D$692,$B160,'апрель 2023'!$J$4:$J$692,K$1)</f>
        <v>0</v>
      </c>
      <c r="L160" s="207">
        <f>SUMIFS('апрель 2023'!$G$4:$G$692,'апрель 2023'!$D$4:$D$692,$B160,'апрель 2023'!$J$4:$J$692,L$1)</f>
        <v>0</v>
      </c>
      <c r="M160" s="207">
        <f>SUMIFS('апрель 2023'!$G$4:$G$692,'апрель 2023'!$D$4:$D$692,$B160,'апрель 2023'!$J$4:$J$692,M$1)</f>
        <v>0</v>
      </c>
      <c r="N160" s="207">
        <f>SUMIFS('апрель 2023'!$G$4:$G$692,'апрель 2023'!$D$4:$D$692,$B160,'апрель 2023'!$J$4:$J$692,N$1)</f>
        <v>0</v>
      </c>
      <c r="O160" s="207">
        <f>SUMIFS('апрель 2023'!$G$4:$G$692,'апрель 2023'!$D$4:$D$692,$B160,'апрель 2023'!$J$4:$J$692,O$1)</f>
        <v>0</v>
      </c>
      <c r="P160" s="207">
        <f>SUMIFS('апрель 2023'!$G$4:$G$692,'апрель 2023'!$D$4:$D$692,$B160,'апрель 2023'!$J$4:$J$692,P$1)</f>
        <v>0</v>
      </c>
      <c r="Q160" s="207">
        <f>SUMIFS('апрель 2023'!$G$4:$G$692,'апрель 2023'!$D$4:$D$692,$B160,'апрель 2023'!$J$4:$J$692,Q$1)</f>
        <v>0</v>
      </c>
      <c r="R160" s="207">
        <f>SUMIFS('апрель 2023'!$G$4:$G$692,'апрель 2023'!$D$4:$D$692,$B160,'апрель 2023'!$J$4:$J$692,R$1)</f>
        <v>0</v>
      </c>
      <c r="S160" s="207">
        <f>SUMIFS('апрель 2023'!$G$4:$G$692,'апрель 2023'!$D$4:$D$692,$B160,'апрель 2023'!$J$4:$J$692,S$1)</f>
        <v>0</v>
      </c>
      <c r="T160" s="207">
        <f>SUMIFS('апрель 2023'!$G$4:$G$692,'апрель 2023'!$D$4:$D$692,$B160,'апрель 2023'!$J$4:$J$692,T$1)</f>
        <v>0</v>
      </c>
      <c r="U160" s="207">
        <f>SUMIFS('апрель 2023'!$G$4:$G$692,'апрель 2023'!$D$4:$D$692,$B160,'апрель 2023'!$J$4:$J$692,U$1)</f>
        <v>0</v>
      </c>
      <c r="V160" s="207">
        <f>SUMIFS('апрель 2023'!$G$4:$G$692,'апрель 2023'!$D$4:$D$692,$B160,'апрель 2023'!$J$4:$J$692,V$1)</f>
        <v>0</v>
      </c>
      <c r="W160" s="207">
        <f>SUMIFS('апрель 2023'!$G$4:$G$692,'апрель 2023'!$D$4:$D$692,$B160,'апрель 2023'!$J$4:$J$692,W$1)</f>
        <v>0</v>
      </c>
      <c r="X160" s="207">
        <f>SUMIFS('апрель 2023'!$G$4:$G$692,'апрель 2023'!$D$4:$D$692,$B160,'апрель 2023'!$J$4:$J$692,X$1)</f>
        <v>0</v>
      </c>
      <c r="Y160" s="207">
        <f>SUMIFS('апрель 2023'!$G$4:$G$692,'апрель 2023'!$D$4:$D$692,$B160,'апрель 2023'!$J$4:$J$692,Y$1)</f>
        <v>0</v>
      </c>
      <c r="Z160" s="207">
        <f>SUMIFS('апрель 2023'!$G$4:$G$692,'апрель 2023'!$D$4:$D$692,$B160,'апрель 2023'!$J$4:$J$692,Z$1)</f>
        <v>0</v>
      </c>
      <c r="AA160" s="207">
        <f>SUMIFS('апрель 2023'!$G$4:$G$692,'апрель 2023'!$D$4:$D$692,$B160,'апрель 2023'!$J$4:$J$692,AA$1)</f>
        <v>0</v>
      </c>
      <c r="AB160" s="207">
        <f>SUMIFS('апрель 2023'!$G$4:$G$692,'апрель 2023'!$D$4:$D$692,$B160,'апрель 2023'!$J$4:$J$692,AB$1)</f>
        <v>0</v>
      </c>
      <c r="AC160" s="207">
        <f>SUMIFS('апрель 2023'!$G$4:$G$692,'апрель 2023'!$D$4:$D$692,$B160,'апрель 2023'!$J$4:$J$692,AC$1)</f>
        <v>0</v>
      </c>
      <c r="AD160" s="207">
        <f>SUMIFS('апрель 2023'!$G$4:$G$692,'апрель 2023'!$D$4:$D$692,$B160,'апрель 2023'!$J$4:$J$692,AD$1)</f>
        <v>0</v>
      </c>
      <c r="AE160" s="207">
        <f>SUMIFS('апрель 2023'!$G$4:$G$692,'апрель 2023'!$D$4:$D$692,$B160,'апрель 2023'!$J$4:$J$692,AE$1)</f>
        <v>0</v>
      </c>
      <c r="AF160" s="207">
        <f>SUMIFS('апрель 2023'!$G$4:$G$692,'апрель 2023'!$D$4:$D$692,$B160,'апрель 2023'!$J$4:$J$692,AF$1)</f>
        <v>0</v>
      </c>
      <c r="AG160" s="207">
        <f>SUMIFS('апрель 2023'!$G$4:$G$692,'апрель 2023'!$D$4:$D$692,$B160,'апрель 2023'!$J$4:$J$692,AG$1)</f>
        <v>0</v>
      </c>
      <c r="AH160" s="207">
        <f>SUMIFS('апрель 2023'!$G$4:$G$692,'апрель 2023'!$D$4:$D$692,$B160,'апрель 2023'!$J$4:$J$692,AH$1)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SUMIFS('апрель 2023'!$G$4:$G$692,'апрель 2023'!$D$4:$D$692,$B161,'апрель 2023'!$J$4:$J$692,D$1)</f>
        <v>0</v>
      </c>
      <c r="E161" s="207">
        <f>SUMIFS('апрель 2023'!$G$4:$G$692,'апрель 2023'!$D$4:$D$692,$B161,'апрель 2023'!$J$4:$J$692,E$1)</f>
        <v>0</v>
      </c>
      <c r="F161" s="207">
        <f>SUMIFS('апрель 2023'!$G$4:$G$692,'апрель 2023'!$D$4:$D$692,$B161,'апрель 2023'!$J$4:$J$692,F$1)</f>
        <v>0</v>
      </c>
      <c r="G161" s="207">
        <f>SUMIFS('апрель 2023'!$G$4:$G$692,'апрель 2023'!$D$4:$D$692,$B161,'апрель 2023'!$J$4:$J$692,G$1)</f>
        <v>0</v>
      </c>
      <c r="H161" s="207">
        <f>SUMIFS('апрель 2023'!$G$4:$G$692,'апрель 2023'!$D$4:$D$692,$B161,'апрель 2023'!$J$4:$J$692,H$1)</f>
        <v>0</v>
      </c>
      <c r="I161" s="207">
        <f>SUMIFS('апрель 2023'!$G$4:$G$692,'апрель 2023'!$D$4:$D$692,$B161,'апрель 2023'!$J$4:$J$692,I$1)</f>
        <v>0</v>
      </c>
      <c r="J161" s="207">
        <f>SUMIFS('апрель 2023'!$G$4:$G$692,'апрель 2023'!$D$4:$D$692,$B161,'апрель 2023'!$J$4:$J$692,J$1)</f>
        <v>0</v>
      </c>
      <c r="K161" s="207">
        <f>SUMIFS('апрель 2023'!$G$4:$G$692,'апрель 2023'!$D$4:$D$692,$B161,'апрель 2023'!$J$4:$J$692,K$1)</f>
        <v>0</v>
      </c>
      <c r="L161" s="207">
        <f>SUMIFS('апрель 2023'!$G$4:$G$692,'апрель 2023'!$D$4:$D$692,$B161,'апрель 2023'!$J$4:$J$692,L$1)</f>
        <v>0</v>
      </c>
      <c r="M161" s="207">
        <f>SUMIFS('апрель 2023'!$G$4:$G$692,'апрель 2023'!$D$4:$D$692,$B161,'апрель 2023'!$J$4:$J$692,M$1)</f>
        <v>0</v>
      </c>
      <c r="N161" s="207">
        <f>SUMIFS('апрель 2023'!$G$4:$G$692,'апрель 2023'!$D$4:$D$692,$B161,'апрель 2023'!$J$4:$J$692,N$1)</f>
        <v>0</v>
      </c>
      <c r="O161" s="207">
        <f>SUMIFS('апрель 2023'!$G$4:$G$692,'апрель 2023'!$D$4:$D$692,$B161,'апрель 2023'!$J$4:$J$692,O$1)</f>
        <v>0</v>
      </c>
      <c r="P161" s="207">
        <f>SUMIFS('апрель 2023'!$G$4:$G$692,'апрель 2023'!$D$4:$D$692,$B161,'апрель 2023'!$J$4:$J$692,P$1)</f>
        <v>0</v>
      </c>
      <c r="Q161" s="207">
        <f>SUMIFS('апрель 2023'!$G$4:$G$692,'апрель 2023'!$D$4:$D$692,$B161,'апрель 2023'!$J$4:$J$692,Q$1)</f>
        <v>0</v>
      </c>
      <c r="R161" s="207">
        <f>SUMIFS('апрель 2023'!$G$4:$G$692,'апрель 2023'!$D$4:$D$692,$B161,'апрель 2023'!$J$4:$J$692,R$1)</f>
        <v>0</v>
      </c>
      <c r="S161" s="207">
        <f>SUMIFS('апрель 2023'!$G$4:$G$692,'апрель 2023'!$D$4:$D$692,$B161,'апрель 2023'!$J$4:$J$692,S$1)</f>
        <v>0</v>
      </c>
      <c r="T161" s="207">
        <f>SUMIFS('апрель 2023'!$G$4:$G$692,'апрель 2023'!$D$4:$D$692,$B161,'апрель 2023'!$J$4:$J$692,T$1)</f>
        <v>0</v>
      </c>
      <c r="U161" s="207">
        <f>SUMIFS('апрель 2023'!$G$4:$G$692,'апрель 2023'!$D$4:$D$692,$B161,'апрель 2023'!$J$4:$J$692,U$1)</f>
        <v>0</v>
      </c>
      <c r="V161" s="207">
        <f>SUMIFS('апрель 2023'!$G$4:$G$692,'апрель 2023'!$D$4:$D$692,$B161,'апрель 2023'!$J$4:$J$692,V$1)</f>
        <v>0</v>
      </c>
      <c r="W161" s="207">
        <f>SUMIFS('апрель 2023'!$G$4:$G$692,'апрель 2023'!$D$4:$D$692,$B161,'апрель 2023'!$J$4:$J$692,W$1)</f>
        <v>0</v>
      </c>
      <c r="X161" s="207">
        <f>SUMIFS('апрель 2023'!$G$4:$G$692,'апрель 2023'!$D$4:$D$692,$B161,'апрель 2023'!$J$4:$J$692,X$1)</f>
        <v>0</v>
      </c>
      <c r="Y161" s="207">
        <f>SUMIFS('апрель 2023'!$G$4:$G$692,'апрель 2023'!$D$4:$D$692,$B161,'апрель 2023'!$J$4:$J$692,Y$1)</f>
        <v>0</v>
      </c>
      <c r="Z161" s="207">
        <f>SUMIFS('апрель 2023'!$G$4:$G$692,'апрель 2023'!$D$4:$D$692,$B161,'апрель 2023'!$J$4:$J$692,Z$1)</f>
        <v>0</v>
      </c>
      <c r="AA161" s="207">
        <f>SUMIFS('апрель 2023'!$G$4:$G$692,'апрель 2023'!$D$4:$D$692,$B161,'апрель 2023'!$J$4:$J$692,AA$1)</f>
        <v>0</v>
      </c>
      <c r="AB161" s="207">
        <f>SUMIFS('апрель 2023'!$G$4:$G$692,'апрель 2023'!$D$4:$D$692,$B161,'апрель 2023'!$J$4:$J$692,AB$1)</f>
        <v>0</v>
      </c>
      <c r="AC161" s="207">
        <f>SUMIFS('апрель 2023'!$G$4:$G$692,'апрель 2023'!$D$4:$D$692,$B161,'апрель 2023'!$J$4:$J$692,AC$1)</f>
        <v>0</v>
      </c>
      <c r="AD161" s="207">
        <f>SUMIFS('апрель 2023'!$G$4:$G$692,'апрель 2023'!$D$4:$D$692,$B161,'апрель 2023'!$J$4:$J$692,AD$1)</f>
        <v>0</v>
      </c>
      <c r="AE161" s="207">
        <f>SUMIFS('апрель 2023'!$G$4:$G$692,'апрель 2023'!$D$4:$D$692,$B161,'апрель 2023'!$J$4:$J$692,AE$1)</f>
        <v>0</v>
      </c>
      <c r="AF161" s="207">
        <f>SUMIFS('апрель 2023'!$G$4:$G$692,'апрель 2023'!$D$4:$D$692,$B161,'апрель 2023'!$J$4:$J$692,AF$1)</f>
        <v>0</v>
      </c>
      <c r="AG161" s="207">
        <f>SUMIFS('апрель 2023'!$G$4:$G$692,'апрель 2023'!$D$4:$D$692,$B161,'апрель 2023'!$J$4:$J$692,AG$1)</f>
        <v>0</v>
      </c>
      <c r="AH161" s="207">
        <f>SUMIFS('апрель 2023'!$G$4:$G$692,'апрель 2023'!$D$4:$D$692,$B161,'апрель 2023'!$J$4:$J$692,AH$1)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SUMIFS('апрель 2023'!$G$4:$G$692,'апрель 2023'!$D$4:$D$692,$B162,'апрель 2023'!$J$4:$J$692,D$1)</f>
        <v>0</v>
      </c>
      <c r="E162" s="207">
        <f>SUMIFS('апрель 2023'!$G$4:$G$692,'апрель 2023'!$D$4:$D$692,$B162,'апрель 2023'!$J$4:$J$692,E$1)</f>
        <v>0</v>
      </c>
      <c r="F162" s="207">
        <f>SUMIFS('апрель 2023'!$G$4:$G$692,'апрель 2023'!$D$4:$D$692,$B162,'апрель 2023'!$J$4:$J$692,F$1)</f>
        <v>0</v>
      </c>
      <c r="G162" s="207">
        <f>SUMIFS('апрель 2023'!$G$4:$G$692,'апрель 2023'!$D$4:$D$692,$B162,'апрель 2023'!$J$4:$J$692,G$1)</f>
        <v>0</v>
      </c>
      <c r="H162" s="207">
        <f>SUMIFS('апрель 2023'!$G$4:$G$692,'апрель 2023'!$D$4:$D$692,$B162,'апрель 2023'!$J$4:$J$692,H$1)</f>
        <v>0</v>
      </c>
      <c r="I162" s="207">
        <f>SUMIFS('апрель 2023'!$G$4:$G$692,'апрель 2023'!$D$4:$D$692,$B162,'апрель 2023'!$J$4:$J$692,I$1)</f>
        <v>0</v>
      </c>
      <c r="J162" s="207">
        <f>SUMIFS('апрель 2023'!$G$4:$G$692,'апрель 2023'!$D$4:$D$692,$B162,'апрель 2023'!$J$4:$J$692,J$1)</f>
        <v>0</v>
      </c>
      <c r="K162" s="207">
        <f>SUMIFS('апрель 2023'!$G$4:$G$692,'апрель 2023'!$D$4:$D$692,$B162,'апрель 2023'!$J$4:$J$692,K$1)</f>
        <v>0</v>
      </c>
      <c r="L162" s="207">
        <f>SUMIFS('апрель 2023'!$G$4:$G$692,'апрель 2023'!$D$4:$D$692,$B162,'апрель 2023'!$J$4:$J$692,L$1)</f>
        <v>0</v>
      </c>
      <c r="M162" s="207">
        <f>SUMIFS('апрель 2023'!$G$4:$G$692,'апрель 2023'!$D$4:$D$692,$B162,'апрель 2023'!$J$4:$J$692,M$1)</f>
        <v>0</v>
      </c>
      <c r="N162" s="207">
        <f>SUMIFS('апрель 2023'!$G$4:$G$692,'апрель 2023'!$D$4:$D$692,$B162,'апрель 2023'!$J$4:$J$692,N$1)</f>
        <v>0</v>
      </c>
      <c r="O162" s="207">
        <f>SUMIFS('апрель 2023'!$G$4:$G$692,'апрель 2023'!$D$4:$D$692,$B162,'апрель 2023'!$J$4:$J$692,O$1)</f>
        <v>0</v>
      </c>
      <c r="P162" s="207">
        <f>SUMIFS('апрель 2023'!$G$4:$G$692,'апрель 2023'!$D$4:$D$692,$B162,'апрель 2023'!$J$4:$J$692,P$1)</f>
        <v>0</v>
      </c>
      <c r="Q162" s="207">
        <f>SUMIFS('апрель 2023'!$G$4:$G$692,'апрель 2023'!$D$4:$D$692,$B162,'апрель 2023'!$J$4:$J$692,Q$1)</f>
        <v>0</v>
      </c>
      <c r="R162" s="207">
        <f>SUMIFS('апрель 2023'!$G$4:$G$692,'апрель 2023'!$D$4:$D$692,$B162,'апрель 2023'!$J$4:$J$692,R$1)</f>
        <v>0</v>
      </c>
      <c r="S162" s="207">
        <f>SUMIFS('апрель 2023'!$G$4:$G$692,'апрель 2023'!$D$4:$D$692,$B162,'апрель 2023'!$J$4:$J$692,S$1)</f>
        <v>0</v>
      </c>
      <c r="T162" s="207">
        <f>SUMIFS('апрель 2023'!$G$4:$G$692,'апрель 2023'!$D$4:$D$692,$B162,'апрель 2023'!$J$4:$J$692,T$1)</f>
        <v>0</v>
      </c>
      <c r="U162" s="207">
        <f>SUMIFS('апрель 2023'!$G$4:$G$692,'апрель 2023'!$D$4:$D$692,$B162,'апрель 2023'!$J$4:$J$692,U$1)</f>
        <v>0</v>
      </c>
      <c r="V162" s="207">
        <f>SUMIFS('апрель 2023'!$G$4:$G$692,'апрель 2023'!$D$4:$D$692,$B162,'апрель 2023'!$J$4:$J$692,V$1)</f>
        <v>0</v>
      </c>
      <c r="W162" s="207">
        <f>SUMIFS('апрель 2023'!$G$4:$G$692,'апрель 2023'!$D$4:$D$692,$B162,'апрель 2023'!$J$4:$J$692,W$1)</f>
        <v>0</v>
      </c>
      <c r="X162" s="207">
        <f>SUMIFS('апрель 2023'!$G$4:$G$692,'апрель 2023'!$D$4:$D$692,$B162,'апрель 2023'!$J$4:$J$692,X$1)</f>
        <v>0</v>
      </c>
      <c r="Y162" s="207">
        <f>SUMIFS('апрель 2023'!$G$4:$G$692,'апрель 2023'!$D$4:$D$692,$B162,'апрель 2023'!$J$4:$J$692,Y$1)</f>
        <v>0</v>
      </c>
      <c r="Z162" s="207">
        <f>SUMIFS('апрель 2023'!$G$4:$G$692,'апрель 2023'!$D$4:$D$692,$B162,'апрель 2023'!$J$4:$J$692,Z$1)</f>
        <v>0</v>
      </c>
      <c r="AA162" s="207">
        <f>SUMIFS('апрель 2023'!$G$4:$G$692,'апрель 2023'!$D$4:$D$692,$B162,'апрель 2023'!$J$4:$J$692,AA$1)</f>
        <v>0</v>
      </c>
      <c r="AB162" s="207">
        <f>SUMIFS('апрель 2023'!$G$4:$G$692,'апрель 2023'!$D$4:$D$692,$B162,'апрель 2023'!$J$4:$J$692,AB$1)</f>
        <v>0</v>
      </c>
      <c r="AC162" s="207">
        <f>SUMIFS('апрель 2023'!$G$4:$G$692,'апрель 2023'!$D$4:$D$692,$B162,'апрель 2023'!$J$4:$J$692,AC$1)</f>
        <v>0</v>
      </c>
      <c r="AD162" s="207">
        <f>SUMIFS('апрель 2023'!$G$4:$G$692,'апрель 2023'!$D$4:$D$692,$B162,'апрель 2023'!$J$4:$J$692,AD$1)</f>
        <v>0</v>
      </c>
      <c r="AE162" s="207">
        <f>SUMIFS('апрель 2023'!$G$4:$G$692,'апрель 2023'!$D$4:$D$692,$B162,'апрель 2023'!$J$4:$J$692,AE$1)</f>
        <v>0</v>
      </c>
      <c r="AF162" s="207">
        <f>SUMIFS('апрель 2023'!$G$4:$G$692,'апрель 2023'!$D$4:$D$692,$B162,'апрель 2023'!$J$4:$J$692,AF$1)</f>
        <v>0</v>
      </c>
      <c r="AG162" s="207">
        <f>SUMIFS('апрель 2023'!$G$4:$G$692,'апрель 2023'!$D$4:$D$692,$B162,'апрель 2023'!$J$4:$J$692,AG$1)</f>
        <v>0</v>
      </c>
      <c r="AH162" s="207">
        <f>SUMIFS('апрель 2023'!$G$4:$G$692,'апрель 2023'!$D$4:$D$692,$B162,'апрель 2023'!$J$4:$J$692,AH$1)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SUMIFS('апрель 2023'!$G$4:$G$692,'апрель 2023'!$D$4:$D$692,$B163,'апрель 2023'!$J$4:$J$692,D$1)</f>
        <v>0</v>
      </c>
      <c r="E163" s="207">
        <f>SUMIFS('апрель 2023'!$G$4:$G$692,'апрель 2023'!$D$4:$D$692,$B163,'апрель 2023'!$J$4:$J$692,E$1)</f>
        <v>0</v>
      </c>
      <c r="F163" s="207">
        <f>SUMIFS('апрель 2023'!$G$4:$G$692,'апрель 2023'!$D$4:$D$692,$B163,'апрель 2023'!$J$4:$J$692,F$1)</f>
        <v>0</v>
      </c>
      <c r="G163" s="207">
        <f>SUMIFS('апрель 2023'!$G$4:$G$692,'апрель 2023'!$D$4:$D$692,$B163,'апрель 2023'!$J$4:$J$692,G$1)</f>
        <v>0</v>
      </c>
      <c r="H163" s="207">
        <f>SUMIFS('апрель 2023'!$G$4:$G$692,'апрель 2023'!$D$4:$D$692,$B163,'апрель 2023'!$J$4:$J$692,H$1)</f>
        <v>0</v>
      </c>
      <c r="I163" s="207">
        <f>SUMIFS('апрель 2023'!$G$4:$G$692,'апрель 2023'!$D$4:$D$692,$B163,'апрель 2023'!$J$4:$J$692,I$1)</f>
        <v>0</v>
      </c>
      <c r="J163" s="207">
        <f>SUMIFS('апрель 2023'!$G$4:$G$692,'апрель 2023'!$D$4:$D$692,$B163,'апрель 2023'!$J$4:$J$692,J$1)</f>
        <v>0</v>
      </c>
      <c r="K163" s="207">
        <f>SUMIFS('апрель 2023'!$G$4:$G$692,'апрель 2023'!$D$4:$D$692,$B163,'апрель 2023'!$J$4:$J$692,K$1)</f>
        <v>0</v>
      </c>
      <c r="L163" s="207">
        <f>SUMIFS('апрель 2023'!$G$4:$G$692,'апрель 2023'!$D$4:$D$692,$B163,'апрель 2023'!$J$4:$J$692,L$1)</f>
        <v>0</v>
      </c>
      <c r="M163" s="207">
        <f>SUMIFS('апрель 2023'!$G$4:$G$692,'апрель 2023'!$D$4:$D$692,$B163,'апрель 2023'!$J$4:$J$692,M$1)</f>
        <v>0</v>
      </c>
      <c r="N163" s="207">
        <f>SUMIFS('апрель 2023'!$G$4:$G$692,'апрель 2023'!$D$4:$D$692,$B163,'апрель 2023'!$J$4:$J$692,N$1)</f>
        <v>0</v>
      </c>
      <c r="O163" s="207">
        <f>SUMIFS('апрель 2023'!$G$4:$G$692,'апрель 2023'!$D$4:$D$692,$B163,'апрель 2023'!$J$4:$J$692,O$1)</f>
        <v>0</v>
      </c>
      <c r="P163" s="207">
        <f>SUMIFS('апрель 2023'!$G$4:$G$692,'апрель 2023'!$D$4:$D$692,$B163,'апрель 2023'!$J$4:$J$692,P$1)</f>
        <v>0</v>
      </c>
      <c r="Q163" s="207">
        <f>SUMIFS('апрель 2023'!$G$4:$G$692,'апрель 2023'!$D$4:$D$692,$B163,'апрель 2023'!$J$4:$J$692,Q$1)</f>
        <v>0</v>
      </c>
      <c r="R163" s="207">
        <f>SUMIFS('апрель 2023'!$G$4:$G$692,'апрель 2023'!$D$4:$D$692,$B163,'апрель 2023'!$J$4:$J$692,R$1)</f>
        <v>0</v>
      </c>
      <c r="S163" s="207">
        <f>SUMIFS('апрель 2023'!$G$4:$G$692,'апрель 2023'!$D$4:$D$692,$B163,'апрель 2023'!$J$4:$J$692,S$1)</f>
        <v>0</v>
      </c>
      <c r="T163" s="207">
        <f>SUMIFS('апрель 2023'!$G$4:$G$692,'апрель 2023'!$D$4:$D$692,$B163,'апрель 2023'!$J$4:$J$692,T$1)</f>
        <v>0</v>
      </c>
      <c r="U163" s="207">
        <f>SUMIFS('апрель 2023'!$G$4:$G$692,'апрель 2023'!$D$4:$D$692,$B163,'апрель 2023'!$J$4:$J$692,U$1)</f>
        <v>0</v>
      </c>
      <c r="V163" s="207">
        <f>SUMIFS('апрель 2023'!$G$4:$G$692,'апрель 2023'!$D$4:$D$692,$B163,'апрель 2023'!$J$4:$J$692,V$1)</f>
        <v>0</v>
      </c>
      <c r="W163" s="207">
        <f>SUMIFS('апрель 2023'!$G$4:$G$692,'апрель 2023'!$D$4:$D$692,$B163,'апрель 2023'!$J$4:$J$692,W$1)</f>
        <v>0</v>
      </c>
      <c r="X163" s="207">
        <f>SUMIFS('апрель 2023'!$G$4:$G$692,'апрель 2023'!$D$4:$D$692,$B163,'апрель 2023'!$J$4:$J$692,X$1)</f>
        <v>0</v>
      </c>
      <c r="Y163" s="207">
        <f>SUMIFS('апрель 2023'!$G$4:$G$692,'апрель 2023'!$D$4:$D$692,$B163,'апрель 2023'!$J$4:$J$692,Y$1)</f>
        <v>0</v>
      </c>
      <c r="Z163" s="207">
        <f>SUMIFS('апрель 2023'!$G$4:$G$692,'апрель 2023'!$D$4:$D$692,$B163,'апрель 2023'!$J$4:$J$692,Z$1)</f>
        <v>0</v>
      </c>
      <c r="AA163" s="207">
        <f>SUMIFS('апрель 2023'!$G$4:$G$692,'апрель 2023'!$D$4:$D$692,$B163,'апрель 2023'!$J$4:$J$692,AA$1)</f>
        <v>0</v>
      </c>
      <c r="AB163" s="207">
        <f>SUMIFS('апрель 2023'!$G$4:$G$692,'апрель 2023'!$D$4:$D$692,$B163,'апрель 2023'!$J$4:$J$692,AB$1)</f>
        <v>0</v>
      </c>
      <c r="AC163" s="207">
        <f>SUMIFS('апрель 2023'!$G$4:$G$692,'апрель 2023'!$D$4:$D$692,$B163,'апрель 2023'!$J$4:$J$692,AC$1)</f>
        <v>0</v>
      </c>
      <c r="AD163" s="207">
        <f>SUMIFS('апрель 2023'!$G$4:$G$692,'апрель 2023'!$D$4:$D$692,$B163,'апрель 2023'!$J$4:$J$692,AD$1)</f>
        <v>0</v>
      </c>
      <c r="AE163" s="207">
        <f>SUMIFS('апрель 2023'!$G$4:$G$692,'апрель 2023'!$D$4:$D$692,$B163,'апрель 2023'!$J$4:$J$692,AE$1)</f>
        <v>0</v>
      </c>
      <c r="AF163" s="207">
        <f>SUMIFS('апрель 2023'!$G$4:$G$692,'апрель 2023'!$D$4:$D$692,$B163,'апрель 2023'!$J$4:$J$692,AF$1)</f>
        <v>0</v>
      </c>
      <c r="AG163" s="207">
        <f>SUMIFS('апрель 2023'!$G$4:$G$692,'апрель 2023'!$D$4:$D$692,$B163,'апрель 2023'!$J$4:$J$692,AG$1)</f>
        <v>0</v>
      </c>
      <c r="AH163" s="207">
        <f>SUMIFS('апрель 2023'!$G$4:$G$692,'апрель 2023'!$D$4:$D$692,$B163,'апрель 2023'!$J$4:$J$692,AH$1)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SUMIFS('апрель 2023'!$G$4:$G$692,'апрель 2023'!$D$4:$D$692,$B164,'апрель 2023'!$J$4:$J$692,D$1)</f>
        <v>0</v>
      </c>
      <c r="E164" s="207">
        <f>SUMIFS('апрель 2023'!$G$4:$G$692,'апрель 2023'!$D$4:$D$692,$B164,'апрель 2023'!$J$4:$J$692,E$1)</f>
        <v>0</v>
      </c>
      <c r="F164" s="207">
        <f>SUMIFS('апрель 2023'!$G$4:$G$692,'апрель 2023'!$D$4:$D$692,$B164,'апрель 2023'!$J$4:$J$692,F$1)</f>
        <v>0</v>
      </c>
      <c r="G164" s="207">
        <f>SUMIFS('апрель 2023'!$G$4:$G$692,'апрель 2023'!$D$4:$D$692,$B164,'апрель 2023'!$J$4:$J$692,G$1)</f>
        <v>0</v>
      </c>
      <c r="H164" s="207">
        <f>SUMIFS('апрель 2023'!$G$4:$G$692,'апрель 2023'!$D$4:$D$692,$B164,'апрель 2023'!$J$4:$J$692,H$1)</f>
        <v>0</v>
      </c>
      <c r="I164" s="207">
        <f>SUMIFS('апрель 2023'!$G$4:$G$692,'апрель 2023'!$D$4:$D$692,$B164,'апрель 2023'!$J$4:$J$692,I$1)</f>
        <v>0</v>
      </c>
      <c r="J164" s="207">
        <f>SUMIFS('апрель 2023'!$G$4:$G$692,'апрель 2023'!$D$4:$D$692,$B164,'апрель 2023'!$J$4:$J$692,J$1)</f>
        <v>0</v>
      </c>
      <c r="K164" s="207">
        <f>SUMIFS('апрель 2023'!$G$4:$G$692,'апрель 2023'!$D$4:$D$692,$B164,'апрель 2023'!$J$4:$J$692,K$1)</f>
        <v>0</v>
      </c>
      <c r="L164" s="207">
        <f>SUMIFS('апрель 2023'!$G$4:$G$692,'апрель 2023'!$D$4:$D$692,$B164,'апрель 2023'!$J$4:$J$692,L$1)</f>
        <v>0</v>
      </c>
      <c r="M164" s="207">
        <f>SUMIFS('апрель 2023'!$G$4:$G$692,'апрель 2023'!$D$4:$D$692,$B164,'апрель 2023'!$J$4:$J$692,M$1)</f>
        <v>0</v>
      </c>
      <c r="N164" s="207">
        <f>SUMIFS('апрель 2023'!$G$4:$G$692,'апрель 2023'!$D$4:$D$692,$B164,'апрель 2023'!$J$4:$J$692,N$1)</f>
        <v>0</v>
      </c>
      <c r="O164" s="207">
        <f>SUMIFS('апрель 2023'!$G$4:$G$692,'апрель 2023'!$D$4:$D$692,$B164,'апрель 2023'!$J$4:$J$692,O$1)</f>
        <v>0</v>
      </c>
      <c r="P164" s="207">
        <f>SUMIFS('апрель 2023'!$G$4:$G$692,'апрель 2023'!$D$4:$D$692,$B164,'апрель 2023'!$J$4:$J$692,P$1)</f>
        <v>0</v>
      </c>
      <c r="Q164" s="207">
        <f>SUMIFS('апрель 2023'!$G$4:$G$692,'апрель 2023'!$D$4:$D$692,$B164,'апрель 2023'!$J$4:$J$692,Q$1)</f>
        <v>0</v>
      </c>
      <c r="R164" s="207">
        <f>SUMIFS('апрель 2023'!$G$4:$G$692,'апрель 2023'!$D$4:$D$692,$B164,'апрель 2023'!$J$4:$J$692,R$1)</f>
        <v>0</v>
      </c>
      <c r="S164" s="207">
        <f>SUMIFS('апрель 2023'!$G$4:$G$692,'апрель 2023'!$D$4:$D$692,$B164,'апрель 2023'!$J$4:$J$692,S$1)</f>
        <v>0</v>
      </c>
      <c r="T164" s="207">
        <f>SUMIFS('апрель 2023'!$G$4:$G$692,'апрель 2023'!$D$4:$D$692,$B164,'апрель 2023'!$J$4:$J$692,T$1)</f>
        <v>0</v>
      </c>
      <c r="U164" s="207">
        <f>SUMIFS('апрель 2023'!$G$4:$G$692,'апрель 2023'!$D$4:$D$692,$B164,'апрель 2023'!$J$4:$J$692,U$1)</f>
        <v>0</v>
      </c>
      <c r="V164" s="207">
        <f>SUMIFS('апрель 2023'!$G$4:$G$692,'апрель 2023'!$D$4:$D$692,$B164,'апрель 2023'!$J$4:$J$692,V$1)</f>
        <v>0</v>
      </c>
      <c r="W164" s="207">
        <f>SUMIFS('апрель 2023'!$G$4:$G$692,'апрель 2023'!$D$4:$D$692,$B164,'апрель 2023'!$J$4:$J$692,W$1)</f>
        <v>0</v>
      </c>
      <c r="X164" s="207">
        <f>SUMIFS('апрель 2023'!$G$4:$G$692,'апрель 2023'!$D$4:$D$692,$B164,'апрель 2023'!$J$4:$J$692,X$1)</f>
        <v>0</v>
      </c>
      <c r="Y164" s="207">
        <f>SUMIFS('апрель 2023'!$G$4:$G$692,'апрель 2023'!$D$4:$D$692,$B164,'апрель 2023'!$J$4:$J$692,Y$1)</f>
        <v>0</v>
      </c>
      <c r="Z164" s="207">
        <f>SUMIFS('апрель 2023'!$G$4:$G$692,'апрель 2023'!$D$4:$D$692,$B164,'апрель 2023'!$J$4:$J$692,Z$1)</f>
        <v>0</v>
      </c>
      <c r="AA164" s="207">
        <f>SUMIFS('апрель 2023'!$G$4:$G$692,'апрель 2023'!$D$4:$D$692,$B164,'апрель 2023'!$J$4:$J$692,AA$1)</f>
        <v>0</v>
      </c>
      <c r="AB164" s="207">
        <f>SUMIFS('апрель 2023'!$G$4:$G$692,'апрель 2023'!$D$4:$D$692,$B164,'апрель 2023'!$J$4:$J$692,AB$1)</f>
        <v>0</v>
      </c>
      <c r="AC164" s="207">
        <f>SUMIFS('апрель 2023'!$G$4:$G$692,'апрель 2023'!$D$4:$D$692,$B164,'апрель 2023'!$J$4:$J$692,AC$1)</f>
        <v>0</v>
      </c>
      <c r="AD164" s="207">
        <f>SUMIFS('апрель 2023'!$G$4:$G$692,'апрель 2023'!$D$4:$D$692,$B164,'апрель 2023'!$J$4:$J$692,AD$1)</f>
        <v>0</v>
      </c>
      <c r="AE164" s="207">
        <f>SUMIFS('апрель 2023'!$G$4:$G$692,'апрель 2023'!$D$4:$D$692,$B164,'апрель 2023'!$J$4:$J$692,AE$1)</f>
        <v>0</v>
      </c>
      <c r="AF164" s="207">
        <f>SUMIFS('апрель 2023'!$G$4:$G$692,'апрель 2023'!$D$4:$D$692,$B164,'апрель 2023'!$J$4:$J$692,AF$1)</f>
        <v>0</v>
      </c>
      <c r="AG164" s="207">
        <f>SUMIFS('апрель 2023'!$G$4:$G$692,'апрель 2023'!$D$4:$D$692,$B164,'апрель 2023'!$J$4:$J$692,AG$1)</f>
        <v>0</v>
      </c>
      <c r="AH164" s="207">
        <f>SUMIFS('апрель 2023'!$G$4:$G$692,'апрель 2023'!$D$4:$D$692,$B164,'апрель 2023'!$J$4:$J$692,AH$1)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SUMIFS('апрель 2023'!$G$4:$G$692,'апрель 2023'!$D$4:$D$692,$B165,'апрель 2023'!$J$4:$J$692,D$1)</f>
        <v>0</v>
      </c>
      <c r="E165" s="207">
        <f>SUMIFS('апрель 2023'!$G$4:$G$692,'апрель 2023'!$D$4:$D$692,$B165,'апрель 2023'!$J$4:$J$692,E$1)</f>
        <v>0</v>
      </c>
      <c r="F165" s="207">
        <f>SUMIFS('апрель 2023'!$G$4:$G$692,'апрель 2023'!$D$4:$D$692,$B165,'апрель 2023'!$J$4:$J$692,F$1)</f>
        <v>0</v>
      </c>
      <c r="G165" s="207">
        <f>SUMIFS('апрель 2023'!$G$4:$G$692,'апрель 2023'!$D$4:$D$692,$B165,'апрель 2023'!$J$4:$J$692,G$1)</f>
        <v>0</v>
      </c>
      <c r="H165" s="207">
        <f>SUMIFS('апрель 2023'!$G$4:$G$692,'апрель 2023'!$D$4:$D$692,$B165,'апрель 2023'!$J$4:$J$692,H$1)</f>
        <v>0</v>
      </c>
      <c r="I165" s="207">
        <f>SUMIFS('апрель 2023'!$G$4:$G$692,'апрель 2023'!$D$4:$D$692,$B165,'апрель 2023'!$J$4:$J$692,I$1)</f>
        <v>0</v>
      </c>
      <c r="J165" s="207">
        <f>SUMIFS('апрель 2023'!$G$4:$G$692,'апрель 2023'!$D$4:$D$692,$B165,'апрель 2023'!$J$4:$J$692,J$1)</f>
        <v>0</v>
      </c>
      <c r="K165" s="207">
        <f>SUMIFS('апрель 2023'!$G$4:$G$692,'апрель 2023'!$D$4:$D$692,$B165,'апрель 2023'!$J$4:$J$692,K$1)</f>
        <v>0</v>
      </c>
      <c r="L165" s="207">
        <f>SUMIFS('апрель 2023'!$G$4:$G$692,'апрель 2023'!$D$4:$D$692,$B165,'апрель 2023'!$J$4:$J$692,L$1)</f>
        <v>0</v>
      </c>
      <c r="M165" s="207">
        <f>SUMIFS('апрель 2023'!$G$4:$G$692,'апрель 2023'!$D$4:$D$692,$B165,'апрель 2023'!$J$4:$J$692,M$1)</f>
        <v>0</v>
      </c>
      <c r="N165" s="207">
        <f>SUMIFS('апрель 2023'!$G$4:$G$692,'апрель 2023'!$D$4:$D$692,$B165,'апрель 2023'!$J$4:$J$692,N$1)</f>
        <v>0</v>
      </c>
      <c r="O165" s="207">
        <f>SUMIFS('апрель 2023'!$G$4:$G$692,'апрель 2023'!$D$4:$D$692,$B165,'апрель 2023'!$J$4:$J$692,O$1)</f>
        <v>0</v>
      </c>
      <c r="P165" s="207">
        <f>SUMIFS('апрель 2023'!$G$4:$G$692,'апрель 2023'!$D$4:$D$692,$B165,'апрель 2023'!$J$4:$J$692,P$1)</f>
        <v>0</v>
      </c>
      <c r="Q165" s="207">
        <f>SUMIFS('апрель 2023'!$G$4:$G$692,'апрель 2023'!$D$4:$D$692,$B165,'апрель 2023'!$J$4:$J$692,Q$1)</f>
        <v>0</v>
      </c>
      <c r="R165" s="207">
        <f>SUMIFS('апрель 2023'!$G$4:$G$692,'апрель 2023'!$D$4:$D$692,$B165,'апрель 2023'!$J$4:$J$692,R$1)</f>
        <v>0</v>
      </c>
      <c r="S165" s="207">
        <f>SUMIFS('апрель 2023'!$G$4:$G$692,'апрель 2023'!$D$4:$D$692,$B165,'апрель 2023'!$J$4:$J$692,S$1)</f>
        <v>0</v>
      </c>
      <c r="T165" s="207">
        <f>SUMIFS('апрель 2023'!$G$4:$G$692,'апрель 2023'!$D$4:$D$692,$B165,'апрель 2023'!$J$4:$J$692,T$1)</f>
        <v>0</v>
      </c>
      <c r="U165" s="207">
        <f>SUMIFS('апрель 2023'!$G$4:$G$692,'апрель 2023'!$D$4:$D$692,$B165,'апрель 2023'!$J$4:$J$692,U$1)</f>
        <v>0</v>
      </c>
      <c r="V165" s="207">
        <f>SUMIFS('апрель 2023'!$G$4:$G$692,'апрель 2023'!$D$4:$D$692,$B165,'апрель 2023'!$J$4:$J$692,V$1)</f>
        <v>0</v>
      </c>
      <c r="W165" s="207">
        <f>SUMIFS('апрель 2023'!$G$4:$G$692,'апрель 2023'!$D$4:$D$692,$B165,'апрель 2023'!$J$4:$J$692,W$1)</f>
        <v>0</v>
      </c>
      <c r="X165" s="207">
        <f>SUMIFS('апрель 2023'!$G$4:$G$692,'апрель 2023'!$D$4:$D$692,$B165,'апрель 2023'!$J$4:$J$692,X$1)</f>
        <v>0</v>
      </c>
      <c r="Y165" s="207">
        <f>SUMIFS('апрель 2023'!$G$4:$G$692,'апрель 2023'!$D$4:$D$692,$B165,'апрель 2023'!$J$4:$J$692,Y$1)</f>
        <v>0</v>
      </c>
      <c r="Z165" s="207">
        <f>SUMIFS('апрель 2023'!$G$4:$G$692,'апрель 2023'!$D$4:$D$692,$B165,'апрель 2023'!$J$4:$J$692,Z$1)</f>
        <v>0</v>
      </c>
      <c r="AA165" s="207">
        <f>SUMIFS('апрель 2023'!$G$4:$G$692,'апрель 2023'!$D$4:$D$692,$B165,'апрель 2023'!$J$4:$J$692,AA$1)</f>
        <v>0</v>
      </c>
      <c r="AB165" s="207">
        <f>SUMIFS('апрель 2023'!$G$4:$G$692,'апрель 2023'!$D$4:$D$692,$B165,'апрель 2023'!$J$4:$J$692,AB$1)</f>
        <v>0</v>
      </c>
      <c r="AC165" s="207">
        <f>SUMIFS('апрель 2023'!$G$4:$G$692,'апрель 2023'!$D$4:$D$692,$B165,'апрель 2023'!$J$4:$J$692,AC$1)</f>
        <v>0</v>
      </c>
      <c r="AD165" s="207">
        <f>SUMIFS('апрель 2023'!$G$4:$G$692,'апрель 2023'!$D$4:$D$692,$B165,'апрель 2023'!$J$4:$J$692,AD$1)</f>
        <v>0</v>
      </c>
      <c r="AE165" s="207">
        <f>SUMIFS('апрель 2023'!$G$4:$G$692,'апрель 2023'!$D$4:$D$692,$B165,'апрель 2023'!$J$4:$J$692,AE$1)</f>
        <v>0</v>
      </c>
      <c r="AF165" s="207">
        <f>SUMIFS('апрель 2023'!$G$4:$G$692,'апрель 2023'!$D$4:$D$692,$B165,'апрель 2023'!$J$4:$J$692,AF$1)</f>
        <v>0</v>
      </c>
      <c r="AG165" s="207">
        <f>SUMIFS('апрель 2023'!$G$4:$G$692,'апрель 2023'!$D$4:$D$692,$B165,'апрель 2023'!$J$4:$J$692,AG$1)</f>
        <v>0</v>
      </c>
      <c r="AH165" s="207">
        <f>SUMIFS('апрель 2023'!$G$4:$G$692,'апрель 2023'!$D$4:$D$692,$B165,'апрель 2023'!$J$4:$J$692,AH$1)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SUMIFS('апрель 2023'!$G$4:$G$692,'апрель 2023'!$D$4:$D$692,$B166,'апрель 2023'!$J$4:$J$692,D$1)</f>
        <v>0</v>
      </c>
      <c r="E166" s="207">
        <f>SUMIFS('апрель 2023'!$G$4:$G$692,'апрель 2023'!$D$4:$D$692,$B166,'апрель 2023'!$J$4:$J$692,E$1)</f>
        <v>0</v>
      </c>
      <c r="F166" s="207">
        <f>SUMIFS('апрель 2023'!$G$4:$G$692,'апрель 2023'!$D$4:$D$692,$B166,'апрель 2023'!$J$4:$J$692,F$1)</f>
        <v>0</v>
      </c>
      <c r="G166" s="207">
        <f>SUMIFS('апрель 2023'!$G$4:$G$692,'апрель 2023'!$D$4:$D$692,$B166,'апрель 2023'!$J$4:$J$692,G$1)</f>
        <v>0</v>
      </c>
      <c r="H166" s="207">
        <f>SUMIFS('апрель 2023'!$G$4:$G$692,'апрель 2023'!$D$4:$D$692,$B166,'апрель 2023'!$J$4:$J$692,H$1)</f>
        <v>0</v>
      </c>
      <c r="I166" s="207">
        <f>SUMIFS('апрель 2023'!$G$4:$G$692,'апрель 2023'!$D$4:$D$692,$B166,'апрель 2023'!$J$4:$J$692,I$1)</f>
        <v>0</v>
      </c>
      <c r="J166" s="207">
        <f>SUMIFS('апрель 2023'!$G$4:$G$692,'апрель 2023'!$D$4:$D$692,$B166,'апрель 2023'!$J$4:$J$692,J$1)</f>
        <v>0</v>
      </c>
      <c r="K166" s="207">
        <f>SUMIFS('апрель 2023'!$G$4:$G$692,'апрель 2023'!$D$4:$D$692,$B166,'апрель 2023'!$J$4:$J$692,K$1)</f>
        <v>0</v>
      </c>
      <c r="L166" s="207">
        <f>SUMIFS('апрель 2023'!$G$4:$G$692,'апрель 2023'!$D$4:$D$692,$B166,'апрель 2023'!$J$4:$J$692,L$1)</f>
        <v>0</v>
      </c>
      <c r="M166" s="207">
        <f>SUMIFS('апрель 2023'!$G$4:$G$692,'апрель 2023'!$D$4:$D$692,$B166,'апрель 2023'!$J$4:$J$692,M$1)</f>
        <v>0</v>
      </c>
      <c r="N166" s="207">
        <f>SUMIFS('апрель 2023'!$G$4:$G$692,'апрель 2023'!$D$4:$D$692,$B166,'апрель 2023'!$J$4:$J$692,N$1)</f>
        <v>0</v>
      </c>
      <c r="O166" s="207">
        <f>SUMIFS('апрель 2023'!$G$4:$G$692,'апрель 2023'!$D$4:$D$692,$B166,'апрель 2023'!$J$4:$J$692,O$1)</f>
        <v>0</v>
      </c>
      <c r="P166" s="207">
        <f>SUMIFS('апрель 2023'!$G$4:$G$692,'апрель 2023'!$D$4:$D$692,$B166,'апрель 2023'!$J$4:$J$692,P$1)</f>
        <v>0</v>
      </c>
      <c r="Q166" s="207">
        <f>SUMIFS('апрель 2023'!$G$4:$G$692,'апрель 2023'!$D$4:$D$692,$B166,'апрель 2023'!$J$4:$J$692,Q$1)</f>
        <v>0</v>
      </c>
      <c r="R166" s="207">
        <f>SUMIFS('апрель 2023'!$G$4:$G$692,'апрель 2023'!$D$4:$D$692,$B166,'апрель 2023'!$J$4:$J$692,R$1)</f>
        <v>0</v>
      </c>
      <c r="S166" s="207">
        <f>SUMIFS('апрель 2023'!$G$4:$G$692,'апрель 2023'!$D$4:$D$692,$B166,'апрель 2023'!$J$4:$J$692,S$1)</f>
        <v>0</v>
      </c>
      <c r="T166" s="207">
        <f>SUMIFS('апрель 2023'!$G$4:$G$692,'апрель 2023'!$D$4:$D$692,$B166,'апрель 2023'!$J$4:$J$692,T$1)</f>
        <v>0</v>
      </c>
      <c r="U166" s="207">
        <f>SUMIFS('апрель 2023'!$G$4:$G$692,'апрель 2023'!$D$4:$D$692,$B166,'апрель 2023'!$J$4:$J$692,U$1)</f>
        <v>0</v>
      </c>
      <c r="V166" s="207">
        <f>SUMIFS('апрель 2023'!$G$4:$G$692,'апрель 2023'!$D$4:$D$692,$B166,'апрель 2023'!$J$4:$J$692,V$1)</f>
        <v>0</v>
      </c>
      <c r="W166" s="207">
        <f>SUMIFS('апрель 2023'!$G$4:$G$692,'апрель 2023'!$D$4:$D$692,$B166,'апрель 2023'!$J$4:$J$692,W$1)</f>
        <v>0</v>
      </c>
      <c r="X166" s="207">
        <f>SUMIFS('апрель 2023'!$G$4:$G$692,'апрель 2023'!$D$4:$D$692,$B166,'апрель 2023'!$J$4:$J$692,X$1)</f>
        <v>0</v>
      </c>
      <c r="Y166" s="207">
        <f>SUMIFS('апрель 2023'!$G$4:$G$692,'апрель 2023'!$D$4:$D$692,$B166,'апрель 2023'!$J$4:$J$692,Y$1)</f>
        <v>0</v>
      </c>
      <c r="Z166" s="207">
        <f>SUMIFS('апрель 2023'!$G$4:$G$692,'апрель 2023'!$D$4:$D$692,$B166,'апрель 2023'!$J$4:$J$692,Z$1)</f>
        <v>0</v>
      </c>
      <c r="AA166" s="207">
        <f>SUMIFS('апрель 2023'!$G$4:$G$692,'апрель 2023'!$D$4:$D$692,$B166,'апрель 2023'!$J$4:$J$692,AA$1)</f>
        <v>0</v>
      </c>
      <c r="AB166" s="207">
        <f>SUMIFS('апрель 2023'!$G$4:$G$692,'апрель 2023'!$D$4:$D$692,$B166,'апрель 2023'!$J$4:$J$692,AB$1)</f>
        <v>0</v>
      </c>
      <c r="AC166" s="207">
        <f>SUMIFS('апрель 2023'!$G$4:$G$692,'апрель 2023'!$D$4:$D$692,$B166,'апрель 2023'!$J$4:$J$692,AC$1)</f>
        <v>0</v>
      </c>
      <c r="AD166" s="207">
        <f>SUMIFS('апрель 2023'!$G$4:$G$692,'апрель 2023'!$D$4:$D$692,$B166,'апрель 2023'!$J$4:$J$692,AD$1)</f>
        <v>0</v>
      </c>
      <c r="AE166" s="207">
        <f>SUMIFS('апрель 2023'!$G$4:$G$692,'апрель 2023'!$D$4:$D$692,$B166,'апрель 2023'!$J$4:$J$692,AE$1)</f>
        <v>0</v>
      </c>
      <c r="AF166" s="207">
        <f>SUMIFS('апрель 2023'!$G$4:$G$692,'апрель 2023'!$D$4:$D$692,$B166,'апрель 2023'!$J$4:$J$692,AF$1)</f>
        <v>0</v>
      </c>
      <c r="AG166" s="207">
        <f>SUMIFS('апрель 2023'!$G$4:$G$692,'апрель 2023'!$D$4:$D$692,$B166,'апрель 2023'!$J$4:$J$692,AG$1)</f>
        <v>0</v>
      </c>
      <c r="AH166" s="207">
        <f>SUMIFS('апрель 2023'!$G$4:$G$692,'апрель 2023'!$D$4:$D$692,$B166,'апрель 2023'!$J$4:$J$692,AH$1)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SUMIFS('апрель 2023'!$G$4:$G$692,'апрель 2023'!$D$4:$D$692,$B167,'апрель 2023'!$J$4:$J$692,D$1)</f>
        <v>0</v>
      </c>
      <c r="E167" s="207">
        <f>SUMIFS('апрель 2023'!$G$4:$G$692,'апрель 2023'!$D$4:$D$692,$B167,'апрель 2023'!$J$4:$J$692,E$1)</f>
        <v>0</v>
      </c>
      <c r="F167" s="207">
        <f>SUMIFS('апрель 2023'!$G$4:$G$692,'апрель 2023'!$D$4:$D$692,$B167,'апрель 2023'!$J$4:$J$692,F$1)</f>
        <v>0</v>
      </c>
      <c r="G167" s="207">
        <f>SUMIFS('апрель 2023'!$G$4:$G$692,'апрель 2023'!$D$4:$D$692,$B167,'апрель 2023'!$J$4:$J$692,G$1)</f>
        <v>0</v>
      </c>
      <c r="H167" s="207">
        <f>SUMIFS('апрель 2023'!$G$4:$G$692,'апрель 2023'!$D$4:$D$692,$B167,'апрель 2023'!$J$4:$J$692,H$1)</f>
        <v>0</v>
      </c>
      <c r="I167" s="207">
        <f>SUMIFS('апрель 2023'!$G$4:$G$692,'апрель 2023'!$D$4:$D$692,$B167,'апрель 2023'!$J$4:$J$692,I$1)</f>
        <v>0</v>
      </c>
      <c r="J167" s="207">
        <f>SUMIFS('апрель 2023'!$G$4:$G$692,'апрель 2023'!$D$4:$D$692,$B167,'апрель 2023'!$J$4:$J$692,J$1)</f>
        <v>0</v>
      </c>
      <c r="K167" s="207">
        <f>SUMIFS('апрель 2023'!$G$4:$G$692,'апрель 2023'!$D$4:$D$692,$B167,'апрель 2023'!$J$4:$J$692,K$1)</f>
        <v>0</v>
      </c>
      <c r="L167" s="207">
        <f>SUMIFS('апрель 2023'!$G$4:$G$692,'апрель 2023'!$D$4:$D$692,$B167,'апрель 2023'!$J$4:$J$692,L$1)</f>
        <v>0</v>
      </c>
      <c r="M167" s="207">
        <f>SUMIFS('апрель 2023'!$G$4:$G$692,'апрель 2023'!$D$4:$D$692,$B167,'апрель 2023'!$J$4:$J$692,M$1)</f>
        <v>0</v>
      </c>
      <c r="N167" s="207">
        <f>SUMIFS('апрель 2023'!$G$4:$G$692,'апрель 2023'!$D$4:$D$692,$B167,'апрель 2023'!$J$4:$J$692,N$1)</f>
        <v>0</v>
      </c>
      <c r="O167" s="207">
        <f>SUMIFS('апрель 2023'!$G$4:$G$692,'апрель 2023'!$D$4:$D$692,$B167,'апрель 2023'!$J$4:$J$692,O$1)</f>
        <v>0</v>
      </c>
      <c r="P167" s="207">
        <f>SUMIFS('апрель 2023'!$G$4:$G$692,'апрель 2023'!$D$4:$D$692,$B167,'апрель 2023'!$J$4:$J$692,P$1)</f>
        <v>0</v>
      </c>
      <c r="Q167" s="207">
        <f>SUMIFS('апрель 2023'!$G$4:$G$692,'апрель 2023'!$D$4:$D$692,$B167,'апрель 2023'!$J$4:$J$692,Q$1)</f>
        <v>0</v>
      </c>
      <c r="R167" s="207">
        <f>SUMIFS('апрель 2023'!$G$4:$G$692,'апрель 2023'!$D$4:$D$692,$B167,'апрель 2023'!$J$4:$J$692,R$1)</f>
        <v>0</v>
      </c>
      <c r="S167" s="207">
        <f>SUMIFS('апрель 2023'!$G$4:$G$692,'апрель 2023'!$D$4:$D$692,$B167,'апрель 2023'!$J$4:$J$692,S$1)</f>
        <v>0</v>
      </c>
      <c r="T167" s="207">
        <f>SUMIFS('апрель 2023'!$G$4:$G$692,'апрель 2023'!$D$4:$D$692,$B167,'апрель 2023'!$J$4:$J$692,T$1)</f>
        <v>0</v>
      </c>
      <c r="U167" s="207">
        <f>SUMIFS('апрель 2023'!$G$4:$G$692,'апрель 2023'!$D$4:$D$692,$B167,'апрель 2023'!$J$4:$J$692,U$1)</f>
        <v>0</v>
      </c>
      <c r="V167" s="207">
        <f>SUMIFS('апрель 2023'!$G$4:$G$692,'апрель 2023'!$D$4:$D$692,$B167,'апрель 2023'!$J$4:$J$692,V$1)</f>
        <v>0</v>
      </c>
      <c r="W167" s="207">
        <f>SUMIFS('апрель 2023'!$G$4:$G$692,'апрель 2023'!$D$4:$D$692,$B167,'апрель 2023'!$J$4:$J$692,W$1)</f>
        <v>0</v>
      </c>
      <c r="X167" s="207">
        <f>SUMIFS('апрель 2023'!$G$4:$G$692,'апрель 2023'!$D$4:$D$692,$B167,'апрель 2023'!$J$4:$J$692,X$1)</f>
        <v>0</v>
      </c>
      <c r="Y167" s="207">
        <f>SUMIFS('апрель 2023'!$G$4:$G$692,'апрель 2023'!$D$4:$D$692,$B167,'апрель 2023'!$J$4:$J$692,Y$1)</f>
        <v>0</v>
      </c>
      <c r="Z167" s="207">
        <f>SUMIFS('апрель 2023'!$G$4:$G$692,'апрель 2023'!$D$4:$D$692,$B167,'апрель 2023'!$J$4:$J$692,Z$1)</f>
        <v>0</v>
      </c>
      <c r="AA167" s="207">
        <f>SUMIFS('апрель 2023'!$G$4:$G$692,'апрель 2023'!$D$4:$D$692,$B167,'апрель 2023'!$J$4:$J$692,AA$1)</f>
        <v>0</v>
      </c>
      <c r="AB167" s="207">
        <f>SUMIFS('апрель 2023'!$G$4:$G$692,'апрель 2023'!$D$4:$D$692,$B167,'апрель 2023'!$J$4:$J$692,AB$1)</f>
        <v>0</v>
      </c>
      <c r="AC167" s="207">
        <f>SUMIFS('апрель 2023'!$G$4:$G$692,'апрель 2023'!$D$4:$D$692,$B167,'апрель 2023'!$J$4:$J$692,AC$1)</f>
        <v>0</v>
      </c>
      <c r="AD167" s="207">
        <f>SUMIFS('апрель 2023'!$G$4:$G$692,'апрель 2023'!$D$4:$D$692,$B167,'апрель 2023'!$J$4:$J$692,AD$1)</f>
        <v>0</v>
      </c>
      <c r="AE167" s="207">
        <f>SUMIFS('апрель 2023'!$G$4:$G$692,'апрель 2023'!$D$4:$D$692,$B167,'апрель 2023'!$J$4:$J$692,AE$1)</f>
        <v>0</v>
      </c>
      <c r="AF167" s="207">
        <f>SUMIFS('апрель 2023'!$G$4:$G$692,'апрель 2023'!$D$4:$D$692,$B167,'апрель 2023'!$J$4:$J$692,AF$1)</f>
        <v>0</v>
      </c>
      <c r="AG167" s="207">
        <f>SUMIFS('апрель 2023'!$G$4:$G$692,'апрель 2023'!$D$4:$D$692,$B167,'апрель 2023'!$J$4:$J$692,AG$1)</f>
        <v>0</v>
      </c>
      <c r="AH167" s="207">
        <f>SUMIFS('апрель 2023'!$G$4:$G$692,'апрель 2023'!$D$4:$D$692,$B167,'апрель 2023'!$J$4:$J$692,AH$1)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SUMIFS('апрель 2023'!$G$4:$G$692,'апрель 2023'!$D$4:$D$692,$B168,'апрель 2023'!$J$4:$J$692,D$1)</f>
        <v>0</v>
      </c>
      <c r="E168" s="207">
        <f>SUMIFS('апрель 2023'!$G$4:$G$692,'апрель 2023'!$D$4:$D$692,$B168,'апрель 2023'!$J$4:$J$692,E$1)</f>
        <v>0</v>
      </c>
      <c r="F168" s="207">
        <f>SUMIFS('апрель 2023'!$G$4:$G$692,'апрель 2023'!$D$4:$D$692,$B168,'апрель 2023'!$J$4:$J$692,F$1)</f>
        <v>0</v>
      </c>
      <c r="G168" s="207">
        <f>SUMIFS('апрель 2023'!$G$4:$G$692,'апрель 2023'!$D$4:$D$692,$B168,'апрель 2023'!$J$4:$J$692,G$1)</f>
        <v>0</v>
      </c>
      <c r="H168" s="207">
        <f>SUMIFS('апрель 2023'!$G$4:$G$692,'апрель 2023'!$D$4:$D$692,$B168,'апрель 2023'!$J$4:$J$692,H$1)</f>
        <v>0</v>
      </c>
      <c r="I168" s="207">
        <f>SUMIFS('апрель 2023'!$G$4:$G$692,'апрель 2023'!$D$4:$D$692,$B168,'апрель 2023'!$J$4:$J$692,I$1)</f>
        <v>0</v>
      </c>
      <c r="J168" s="207">
        <f>SUMIFS('апрель 2023'!$G$4:$G$692,'апрель 2023'!$D$4:$D$692,$B168,'апрель 2023'!$J$4:$J$692,J$1)</f>
        <v>0</v>
      </c>
      <c r="K168" s="207">
        <f>SUMIFS('апрель 2023'!$G$4:$G$692,'апрель 2023'!$D$4:$D$692,$B168,'апрель 2023'!$J$4:$J$692,K$1)</f>
        <v>0</v>
      </c>
      <c r="L168" s="207">
        <f>SUMIFS('апрель 2023'!$G$4:$G$692,'апрель 2023'!$D$4:$D$692,$B168,'апрель 2023'!$J$4:$J$692,L$1)</f>
        <v>0</v>
      </c>
      <c r="M168" s="207">
        <f>SUMIFS('апрель 2023'!$G$4:$G$692,'апрель 2023'!$D$4:$D$692,$B168,'апрель 2023'!$J$4:$J$692,M$1)</f>
        <v>0</v>
      </c>
      <c r="N168" s="207">
        <f>SUMIFS('апрель 2023'!$G$4:$G$692,'апрель 2023'!$D$4:$D$692,$B168,'апрель 2023'!$J$4:$J$692,N$1)</f>
        <v>0</v>
      </c>
      <c r="O168" s="207">
        <f>SUMIFS('апрель 2023'!$G$4:$G$692,'апрель 2023'!$D$4:$D$692,$B168,'апрель 2023'!$J$4:$J$692,O$1)</f>
        <v>0</v>
      </c>
      <c r="P168" s="207">
        <f>SUMIFS('апрель 2023'!$G$4:$G$692,'апрель 2023'!$D$4:$D$692,$B168,'апрель 2023'!$J$4:$J$692,P$1)</f>
        <v>0</v>
      </c>
      <c r="Q168" s="207">
        <f>SUMIFS('апрель 2023'!$G$4:$G$692,'апрель 2023'!$D$4:$D$692,$B168,'апрель 2023'!$J$4:$J$692,Q$1)</f>
        <v>0</v>
      </c>
      <c r="R168" s="207">
        <f>SUMIFS('апрель 2023'!$G$4:$G$692,'апрель 2023'!$D$4:$D$692,$B168,'апрель 2023'!$J$4:$J$692,R$1)</f>
        <v>0</v>
      </c>
      <c r="S168" s="207">
        <f>SUMIFS('апрель 2023'!$G$4:$G$692,'апрель 2023'!$D$4:$D$692,$B168,'апрель 2023'!$J$4:$J$692,S$1)</f>
        <v>0</v>
      </c>
      <c r="T168" s="207">
        <f>SUMIFS('апрель 2023'!$G$4:$G$692,'апрель 2023'!$D$4:$D$692,$B168,'апрель 2023'!$J$4:$J$692,T$1)</f>
        <v>0</v>
      </c>
      <c r="U168" s="207">
        <f>SUMIFS('апрель 2023'!$G$4:$G$692,'апрель 2023'!$D$4:$D$692,$B168,'апрель 2023'!$J$4:$J$692,U$1)</f>
        <v>0</v>
      </c>
      <c r="V168" s="207">
        <f>SUMIFS('апрель 2023'!$G$4:$G$692,'апрель 2023'!$D$4:$D$692,$B168,'апрель 2023'!$J$4:$J$692,V$1)</f>
        <v>0</v>
      </c>
      <c r="W168" s="207">
        <f>SUMIFS('апрель 2023'!$G$4:$G$692,'апрель 2023'!$D$4:$D$692,$B168,'апрель 2023'!$J$4:$J$692,W$1)</f>
        <v>0</v>
      </c>
      <c r="X168" s="207">
        <f>SUMIFS('апрель 2023'!$G$4:$G$692,'апрель 2023'!$D$4:$D$692,$B168,'апрель 2023'!$J$4:$J$692,X$1)</f>
        <v>0</v>
      </c>
      <c r="Y168" s="207">
        <f>SUMIFS('апрель 2023'!$G$4:$G$692,'апрель 2023'!$D$4:$D$692,$B168,'апрель 2023'!$J$4:$J$692,Y$1)</f>
        <v>0</v>
      </c>
      <c r="Z168" s="207">
        <f>SUMIFS('апрель 2023'!$G$4:$G$692,'апрель 2023'!$D$4:$D$692,$B168,'апрель 2023'!$J$4:$J$692,Z$1)</f>
        <v>0</v>
      </c>
      <c r="AA168" s="207">
        <f>SUMIFS('апрель 2023'!$G$4:$G$692,'апрель 2023'!$D$4:$D$692,$B168,'апрель 2023'!$J$4:$J$692,AA$1)</f>
        <v>0</v>
      </c>
      <c r="AB168" s="207">
        <f>SUMIFS('апрель 2023'!$G$4:$G$692,'апрель 2023'!$D$4:$D$692,$B168,'апрель 2023'!$J$4:$J$692,AB$1)</f>
        <v>0</v>
      </c>
      <c r="AC168" s="207">
        <f>SUMIFS('апрель 2023'!$G$4:$G$692,'апрель 2023'!$D$4:$D$692,$B168,'апрель 2023'!$J$4:$J$692,AC$1)</f>
        <v>0</v>
      </c>
      <c r="AD168" s="207">
        <f>SUMIFS('апрель 2023'!$G$4:$G$692,'апрель 2023'!$D$4:$D$692,$B168,'апрель 2023'!$J$4:$J$692,AD$1)</f>
        <v>0</v>
      </c>
      <c r="AE168" s="207">
        <f>SUMIFS('апрель 2023'!$G$4:$G$692,'апрель 2023'!$D$4:$D$692,$B168,'апрель 2023'!$J$4:$J$692,AE$1)</f>
        <v>0</v>
      </c>
      <c r="AF168" s="207">
        <f>SUMIFS('апрель 2023'!$G$4:$G$692,'апрель 2023'!$D$4:$D$692,$B168,'апрель 2023'!$J$4:$J$692,AF$1)</f>
        <v>0</v>
      </c>
      <c r="AG168" s="207">
        <f>SUMIFS('апрель 2023'!$G$4:$G$692,'апрель 2023'!$D$4:$D$692,$B168,'апрель 2023'!$J$4:$J$692,AG$1)</f>
        <v>0</v>
      </c>
      <c r="AH168" s="207">
        <f>SUMIFS('апрель 2023'!$G$4:$G$692,'апрель 2023'!$D$4:$D$692,$B168,'апрель 2023'!$J$4:$J$692,AH$1)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SUMIFS('апрель 2023'!$G$4:$G$692,'апрель 2023'!$D$4:$D$692,$B169,'апрель 2023'!$J$4:$J$692,D$1)</f>
        <v>0</v>
      </c>
      <c r="E169" s="207">
        <f>SUMIFS('апрель 2023'!$G$4:$G$692,'апрель 2023'!$D$4:$D$692,$B169,'апрель 2023'!$J$4:$J$692,E$1)</f>
        <v>0</v>
      </c>
      <c r="F169" s="207">
        <f>SUMIFS('апрель 2023'!$G$4:$G$692,'апрель 2023'!$D$4:$D$692,$B169,'апрель 2023'!$J$4:$J$692,F$1)</f>
        <v>0</v>
      </c>
      <c r="G169" s="207">
        <f>SUMIFS('апрель 2023'!$G$4:$G$692,'апрель 2023'!$D$4:$D$692,$B169,'апрель 2023'!$J$4:$J$692,G$1)</f>
        <v>0</v>
      </c>
      <c r="H169" s="207">
        <f>SUMIFS('апрель 2023'!$G$4:$G$692,'апрель 2023'!$D$4:$D$692,$B169,'апрель 2023'!$J$4:$J$692,H$1)</f>
        <v>0</v>
      </c>
      <c r="I169" s="207">
        <f>SUMIFS('апрель 2023'!$G$4:$G$692,'апрель 2023'!$D$4:$D$692,$B169,'апрель 2023'!$J$4:$J$692,I$1)</f>
        <v>0</v>
      </c>
      <c r="J169" s="207">
        <f>SUMIFS('апрель 2023'!$G$4:$G$692,'апрель 2023'!$D$4:$D$692,$B169,'апрель 2023'!$J$4:$J$692,J$1)</f>
        <v>0</v>
      </c>
      <c r="K169" s="207">
        <f>SUMIFS('апрель 2023'!$G$4:$G$692,'апрель 2023'!$D$4:$D$692,$B169,'апрель 2023'!$J$4:$J$692,K$1)</f>
        <v>0</v>
      </c>
      <c r="L169" s="207">
        <f>SUMIFS('апрель 2023'!$G$4:$G$692,'апрель 2023'!$D$4:$D$692,$B169,'апрель 2023'!$J$4:$J$692,L$1)</f>
        <v>0</v>
      </c>
      <c r="M169" s="207">
        <f>SUMIFS('апрель 2023'!$G$4:$G$692,'апрель 2023'!$D$4:$D$692,$B169,'апрель 2023'!$J$4:$J$692,M$1)</f>
        <v>0</v>
      </c>
      <c r="N169" s="207">
        <f>SUMIFS('апрель 2023'!$G$4:$G$692,'апрель 2023'!$D$4:$D$692,$B169,'апрель 2023'!$J$4:$J$692,N$1)</f>
        <v>0</v>
      </c>
      <c r="O169" s="207">
        <f>SUMIFS('апрель 2023'!$G$4:$G$692,'апрель 2023'!$D$4:$D$692,$B169,'апрель 2023'!$J$4:$J$692,O$1)</f>
        <v>0</v>
      </c>
      <c r="P169" s="207">
        <f>SUMIFS('апрель 2023'!$G$4:$G$692,'апрель 2023'!$D$4:$D$692,$B169,'апрель 2023'!$J$4:$J$692,P$1)</f>
        <v>0</v>
      </c>
      <c r="Q169" s="207">
        <f>SUMIFS('апрель 2023'!$G$4:$G$692,'апрель 2023'!$D$4:$D$692,$B169,'апрель 2023'!$J$4:$J$692,Q$1)</f>
        <v>0</v>
      </c>
      <c r="R169" s="207">
        <f>SUMIFS('апрель 2023'!$G$4:$G$692,'апрель 2023'!$D$4:$D$692,$B169,'апрель 2023'!$J$4:$J$692,R$1)</f>
        <v>0</v>
      </c>
      <c r="S169" s="207">
        <f>SUMIFS('апрель 2023'!$G$4:$G$692,'апрель 2023'!$D$4:$D$692,$B169,'апрель 2023'!$J$4:$J$692,S$1)</f>
        <v>0</v>
      </c>
      <c r="T169" s="207">
        <f>SUMIFS('апрель 2023'!$G$4:$G$692,'апрель 2023'!$D$4:$D$692,$B169,'апрель 2023'!$J$4:$J$692,T$1)</f>
        <v>0</v>
      </c>
      <c r="U169" s="207">
        <f>SUMIFS('апрель 2023'!$G$4:$G$692,'апрель 2023'!$D$4:$D$692,$B169,'апрель 2023'!$J$4:$J$692,U$1)</f>
        <v>0</v>
      </c>
      <c r="V169" s="207">
        <f>SUMIFS('апрель 2023'!$G$4:$G$692,'апрель 2023'!$D$4:$D$692,$B169,'апрель 2023'!$J$4:$J$692,V$1)</f>
        <v>0</v>
      </c>
      <c r="W169" s="207">
        <f>SUMIFS('апрель 2023'!$G$4:$G$692,'апрель 2023'!$D$4:$D$692,$B169,'апрель 2023'!$J$4:$J$692,W$1)</f>
        <v>0</v>
      </c>
      <c r="X169" s="207">
        <f>SUMIFS('апрель 2023'!$G$4:$G$692,'апрель 2023'!$D$4:$D$692,$B169,'апрель 2023'!$J$4:$J$692,X$1)</f>
        <v>0</v>
      </c>
      <c r="Y169" s="207">
        <f>SUMIFS('апрель 2023'!$G$4:$G$692,'апрель 2023'!$D$4:$D$692,$B169,'апрель 2023'!$J$4:$J$692,Y$1)</f>
        <v>0</v>
      </c>
      <c r="Z169" s="207">
        <f>SUMIFS('апрель 2023'!$G$4:$G$692,'апрель 2023'!$D$4:$D$692,$B169,'апрель 2023'!$J$4:$J$692,Z$1)</f>
        <v>0</v>
      </c>
      <c r="AA169" s="207">
        <f>SUMIFS('апрель 2023'!$G$4:$G$692,'апрель 2023'!$D$4:$D$692,$B169,'апрель 2023'!$J$4:$J$692,AA$1)</f>
        <v>0</v>
      </c>
      <c r="AB169" s="207">
        <f>SUMIFS('апрель 2023'!$G$4:$G$692,'апрель 2023'!$D$4:$D$692,$B169,'апрель 2023'!$J$4:$J$692,AB$1)</f>
        <v>0</v>
      </c>
      <c r="AC169" s="207">
        <f>SUMIFS('апрель 2023'!$G$4:$G$692,'апрель 2023'!$D$4:$D$692,$B169,'апрель 2023'!$J$4:$J$692,AC$1)</f>
        <v>0</v>
      </c>
      <c r="AD169" s="207">
        <f>SUMIFS('апрель 2023'!$G$4:$G$692,'апрель 2023'!$D$4:$D$692,$B169,'апрель 2023'!$J$4:$J$692,AD$1)</f>
        <v>0</v>
      </c>
      <c r="AE169" s="207">
        <f>SUMIFS('апрель 2023'!$G$4:$G$692,'апрель 2023'!$D$4:$D$692,$B169,'апрель 2023'!$J$4:$J$692,AE$1)</f>
        <v>0</v>
      </c>
      <c r="AF169" s="207">
        <f>SUMIFS('апрель 2023'!$G$4:$G$692,'апрель 2023'!$D$4:$D$692,$B169,'апрель 2023'!$J$4:$J$692,AF$1)</f>
        <v>0</v>
      </c>
      <c r="AG169" s="207">
        <f>SUMIFS('апрель 2023'!$G$4:$G$692,'апрель 2023'!$D$4:$D$692,$B169,'апрель 2023'!$J$4:$J$692,AG$1)</f>
        <v>0</v>
      </c>
      <c r="AH169" s="207">
        <f>SUMIFS('апрель 2023'!$G$4:$G$692,'апрель 2023'!$D$4:$D$692,$B169,'апрель 2023'!$J$4:$J$692,AH$1)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SUMIFS('апрель 2023'!$G$4:$G$692,'апрель 2023'!$D$4:$D$692,$B170,'апрель 2023'!$J$4:$J$692,D$1)</f>
        <v>0</v>
      </c>
      <c r="E170" s="207">
        <f>SUMIFS('апрель 2023'!$G$4:$G$692,'апрель 2023'!$D$4:$D$692,$B170,'апрель 2023'!$J$4:$J$692,E$1)</f>
        <v>0</v>
      </c>
      <c r="F170" s="207">
        <f>SUMIFS('апрель 2023'!$G$4:$G$692,'апрель 2023'!$D$4:$D$692,$B170,'апрель 2023'!$J$4:$J$692,F$1)</f>
        <v>0</v>
      </c>
      <c r="G170" s="207">
        <f>SUMIFS('апрель 2023'!$G$4:$G$692,'апрель 2023'!$D$4:$D$692,$B170,'апрель 2023'!$J$4:$J$692,G$1)</f>
        <v>0</v>
      </c>
      <c r="H170" s="207">
        <f>SUMIFS('апрель 2023'!$G$4:$G$692,'апрель 2023'!$D$4:$D$692,$B170,'апрель 2023'!$J$4:$J$692,H$1)</f>
        <v>0</v>
      </c>
      <c r="I170" s="207">
        <f>SUMIFS('апрель 2023'!$G$4:$G$692,'апрель 2023'!$D$4:$D$692,$B170,'апрель 2023'!$J$4:$J$692,I$1)</f>
        <v>0</v>
      </c>
      <c r="J170" s="207">
        <f>SUMIFS('апрель 2023'!$G$4:$G$692,'апрель 2023'!$D$4:$D$692,$B170,'апрель 2023'!$J$4:$J$692,J$1)</f>
        <v>0</v>
      </c>
      <c r="K170" s="207">
        <f>SUMIFS('апрель 2023'!$G$4:$G$692,'апрель 2023'!$D$4:$D$692,$B170,'апрель 2023'!$J$4:$J$692,K$1)</f>
        <v>0</v>
      </c>
      <c r="L170" s="207">
        <f>SUMIFS('апрель 2023'!$G$4:$G$692,'апрель 2023'!$D$4:$D$692,$B170,'апрель 2023'!$J$4:$J$692,L$1)</f>
        <v>0</v>
      </c>
      <c r="M170" s="207">
        <f>SUMIFS('апрель 2023'!$G$4:$G$692,'апрель 2023'!$D$4:$D$692,$B170,'апрель 2023'!$J$4:$J$692,M$1)</f>
        <v>0</v>
      </c>
      <c r="N170" s="207">
        <f>SUMIFS('апрель 2023'!$G$4:$G$692,'апрель 2023'!$D$4:$D$692,$B170,'апрель 2023'!$J$4:$J$692,N$1)</f>
        <v>0</v>
      </c>
      <c r="O170" s="207">
        <f>SUMIFS('апрель 2023'!$G$4:$G$692,'апрель 2023'!$D$4:$D$692,$B170,'апрель 2023'!$J$4:$J$692,O$1)</f>
        <v>0</v>
      </c>
      <c r="P170" s="207">
        <f>SUMIFS('апрель 2023'!$G$4:$G$692,'апрель 2023'!$D$4:$D$692,$B170,'апрель 2023'!$J$4:$J$692,P$1)</f>
        <v>0</v>
      </c>
      <c r="Q170" s="207">
        <f>SUMIFS('апрель 2023'!$G$4:$G$692,'апрель 2023'!$D$4:$D$692,$B170,'апрель 2023'!$J$4:$J$692,Q$1)</f>
        <v>0</v>
      </c>
      <c r="R170" s="207">
        <f>SUMIFS('апрель 2023'!$G$4:$G$692,'апрель 2023'!$D$4:$D$692,$B170,'апрель 2023'!$J$4:$J$692,R$1)</f>
        <v>0</v>
      </c>
      <c r="S170" s="207">
        <f>SUMIFS('апрель 2023'!$G$4:$G$692,'апрель 2023'!$D$4:$D$692,$B170,'апрель 2023'!$J$4:$J$692,S$1)</f>
        <v>0</v>
      </c>
      <c r="T170" s="207">
        <f>SUMIFS('апрель 2023'!$G$4:$G$692,'апрель 2023'!$D$4:$D$692,$B170,'апрель 2023'!$J$4:$J$692,T$1)</f>
        <v>0</v>
      </c>
      <c r="U170" s="207">
        <f>SUMIFS('апрель 2023'!$G$4:$G$692,'апрель 2023'!$D$4:$D$692,$B170,'апрель 2023'!$J$4:$J$692,U$1)</f>
        <v>0</v>
      </c>
      <c r="V170" s="207">
        <f>SUMIFS('апрель 2023'!$G$4:$G$692,'апрель 2023'!$D$4:$D$692,$B170,'апрель 2023'!$J$4:$J$692,V$1)</f>
        <v>0</v>
      </c>
      <c r="W170" s="207">
        <f>SUMIFS('апрель 2023'!$G$4:$G$692,'апрель 2023'!$D$4:$D$692,$B170,'апрель 2023'!$J$4:$J$692,W$1)</f>
        <v>0</v>
      </c>
      <c r="X170" s="207">
        <f>SUMIFS('апрель 2023'!$G$4:$G$692,'апрель 2023'!$D$4:$D$692,$B170,'апрель 2023'!$J$4:$J$692,X$1)</f>
        <v>0</v>
      </c>
      <c r="Y170" s="207">
        <f>SUMIFS('апрель 2023'!$G$4:$G$692,'апрель 2023'!$D$4:$D$692,$B170,'апрель 2023'!$J$4:$J$692,Y$1)</f>
        <v>0</v>
      </c>
      <c r="Z170" s="207">
        <f>SUMIFS('апрель 2023'!$G$4:$G$692,'апрель 2023'!$D$4:$D$692,$B170,'апрель 2023'!$J$4:$J$692,Z$1)</f>
        <v>0</v>
      </c>
      <c r="AA170" s="207">
        <f>SUMIFS('апрель 2023'!$G$4:$G$692,'апрель 2023'!$D$4:$D$692,$B170,'апрель 2023'!$J$4:$J$692,AA$1)</f>
        <v>0</v>
      </c>
      <c r="AB170" s="207">
        <f>SUMIFS('апрель 2023'!$G$4:$G$692,'апрель 2023'!$D$4:$D$692,$B170,'апрель 2023'!$J$4:$J$692,AB$1)</f>
        <v>0</v>
      </c>
      <c r="AC170" s="207">
        <f>SUMIFS('апрель 2023'!$G$4:$G$692,'апрель 2023'!$D$4:$D$692,$B170,'апрель 2023'!$J$4:$J$692,AC$1)</f>
        <v>0</v>
      </c>
      <c r="AD170" s="207">
        <f>SUMIFS('апрель 2023'!$G$4:$G$692,'апрель 2023'!$D$4:$D$692,$B170,'апрель 2023'!$J$4:$J$692,AD$1)</f>
        <v>0</v>
      </c>
      <c r="AE170" s="207">
        <f>SUMIFS('апрель 2023'!$G$4:$G$692,'апрель 2023'!$D$4:$D$692,$B170,'апрель 2023'!$J$4:$J$692,AE$1)</f>
        <v>0</v>
      </c>
      <c r="AF170" s="207">
        <f>SUMIFS('апрель 2023'!$G$4:$G$692,'апрель 2023'!$D$4:$D$692,$B170,'апрель 2023'!$J$4:$J$692,AF$1)</f>
        <v>0</v>
      </c>
      <c r="AG170" s="207">
        <f>SUMIFS('апрель 2023'!$G$4:$G$692,'апрель 2023'!$D$4:$D$692,$B170,'апрель 2023'!$J$4:$J$692,AG$1)</f>
        <v>0</v>
      </c>
      <c r="AH170" s="207">
        <f>SUMIFS('апрель 2023'!$G$4:$G$692,'апрель 2023'!$D$4:$D$692,$B170,'апрель 2023'!$J$4:$J$692,AH$1)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SUMIFS('апрель 2023'!$G$4:$G$692,'апрель 2023'!$D$4:$D$692,$B171,'апрель 2023'!$J$4:$J$692,D$1)</f>
        <v>0</v>
      </c>
      <c r="E171" s="207">
        <f>SUMIFS('апрель 2023'!$G$4:$G$692,'апрель 2023'!$D$4:$D$692,$B171,'апрель 2023'!$J$4:$J$692,E$1)</f>
        <v>0</v>
      </c>
      <c r="F171" s="207">
        <f>SUMIFS('апрель 2023'!$G$4:$G$692,'апрель 2023'!$D$4:$D$692,$B171,'апрель 2023'!$J$4:$J$692,F$1)</f>
        <v>0</v>
      </c>
      <c r="G171" s="207">
        <f>SUMIFS('апрель 2023'!$G$4:$G$692,'апрель 2023'!$D$4:$D$692,$B171,'апрель 2023'!$J$4:$J$692,G$1)</f>
        <v>0</v>
      </c>
      <c r="H171" s="207">
        <f>SUMIFS('апрель 2023'!$G$4:$G$692,'апрель 2023'!$D$4:$D$692,$B171,'апрель 2023'!$J$4:$J$692,H$1)</f>
        <v>0</v>
      </c>
      <c r="I171" s="207">
        <f>SUMIFS('апрель 2023'!$G$4:$G$692,'апрель 2023'!$D$4:$D$692,$B171,'апрель 2023'!$J$4:$J$692,I$1)</f>
        <v>0</v>
      </c>
      <c r="J171" s="207">
        <f>SUMIFS('апрель 2023'!$G$4:$G$692,'апрель 2023'!$D$4:$D$692,$B171,'апрель 2023'!$J$4:$J$692,J$1)</f>
        <v>0</v>
      </c>
      <c r="K171" s="207">
        <f>SUMIFS('апрель 2023'!$G$4:$G$692,'апрель 2023'!$D$4:$D$692,$B171,'апрель 2023'!$J$4:$J$692,K$1)</f>
        <v>0</v>
      </c>
      <c r="L171" s="207">
        <f>SUMIFS('апрель 2023'!$G$4:$G$692,'апрель 2023'!$D$4:$D$692,$B171,'апрель 2023'!$J$4:$J$692,L$1)</f>
        <v>0</v>
      </c>
      <c r="M171" s="207">
        <f>SUMIFS('апрель 2023'!$G$4:$G$692,'апрель 2023'!$D$4:$D$692,$B171,'апрель 2023'!$J$4:$J$692,M$1)</f>
        <v>0</v>
      </c>
      <c r="N171" s="207">
        <f>SUMIFS('апрель 2023'!$G$4:$G$692,'апрель 2023'!$D$4:$D$692,$B171,'апрель 2023'!$J$4:$J$692,N$1)</f>
        <v>0</v>
      </c>
      <c r="O171" s="207">
        <f>SUMIFS('апрель 2023'!$G$4:$G$692,'апрель 2023'!$D$4:$D$692,$B171,'апрель 2023'!$J$4:$J$692,O$1)</f>
        <v>0</v>
      </c>
      <c r="P171" s="207">
        <f>SUMIFS('апрель 2023'!$G$4:$G$692,'апрель 2023'!$D$4:$D$692,$B171,'апрель 2023'!$J$4:$J$692,P$1)</f>
        <v>0</v>
      </c>
      <c r="Q171" s="207">
        <f>SUMIFS('апрель 2023'!$G$4:$G$692,'апрель 2023'!$D$4:$D$692,$B171,'апрель 2023'!$J$4:$J$692,Q$1)</f>
        <v>0</v>
      </c>
      <c r="R171" s="207">
        <f>SUMIFS('апрель 2023'!$G$4:$G$692,'апрель 2023'!$D$4:$D$692,$B171,'апрель 2023'!$J$4:$J$692,R$1)</f>
        <v>0</v>
      </c>
      <c r="S171" s="207">
        <f>SUMIFS('апрель 2023'!$G$4:$G$692,'апрель 2023'!$D$4:$D$692,$B171,'апрель 2023'!$J$4:$J$692,S$1)</f>
        <v>0</v>
      </c>
      <c r="T171" s="207">
        <f>SUMIFS('апрель 2023'!$G$4:$G$692,'апрель 2023'!$D$4:$D$692,$B171,'апрель 2023'!$J$4:$J$692,T$1)</f>
        <v>0</v>
      </c>
      <c r="U171" s="207">
        <f>SUMIFS('апрель 2023'!$G$4:$G$692,'апрель 2023'!$D$4:$D$692,$B171,'апрель 2023'!$J$4:$J$692,U$1)</f>
        <v>0</v>
      </c>
      <c r="V171" s="207">
        <f>SUMIFS('апрель 2023'!$G$4:$G$692,'апрель 2023'!$D$4:$D$692,$B171,'апрель 2023'!$J$4:$J$692,V$1)</f>
        <v>0</v>
      </c>
      <c r="W171" s="207">
        <f>SUMIFS('апрель 2023'!$G$4:$G$692,'апрель 2023'!$D$4:$D$692,$B171,'апрель 2023'!$J$4:$J$692,W$1)</f>
        <v>0</v>
      </c>
      <c r="X171" s="207">
        <f>SUMIFS('апрель 2023'!$G$4:$G$692,'апрель 2023'!$D$4:$D$692,$B171,'апрель 2023'!$J$4:$J$692,X$1)</f>
        <v>0</v>
      </c>
      <c r="Y171" s="207">
        <f>SUMIFS('апрель 2023'!$G$4:$G$692,'апрель 2023'!$D$4:$D$692,$B171,'апрель 2023'!$J$4:$J$692,Y$1)</f>
        <v>0</v>
      </c>
      <c r="Z171" s="207">
        <f>SUMIFS('апрель 2023'!$G$4:$G$692,'апрель 2023'!$D$4:$D$692,$B171,'апрель 2023'!$J$4:$J$692,Z$1)</f>
        <v>0</v>
      </c>
      <c r="AA171" s="207">
        <f>SUMIFS('апрель 2023'!$G$4:$G$692,'апрель 2023'!$D$4:$D$692,$B171,'апрель 2023'!$J$4:$J$692,AA$1)</f>
        <v>0</v>
      </c>
      <c r="AB171" s="207">
        <f>SUMIFS('апрель 2023'!$G$4:$G$692,'апрель 2023'!$D$4:$D$692,$B171,'апрель 2023'!$J$4:$J$692,AB$1)</f>
        <v>0</v>
      </c>
      <c r="AC171" s="207">
        <f>SUMIFS('апрель 2023'!$G$4:$G$692,'апрель 2023'!$D$4:$D$692,$B171,'апрель 2023'!$J$4:$J$692,AC$1)</f>
        <v>0</v>
      </c>
      <c r="AD171" s="207">
        <f>SUMIFS('апрель 2023'!$G$4:$G$692,'апрель 2023'!$D$4:$D$692,$B171,'апрель 2023'!$J$4:$J$692,AD$1)</f>
        <v>0</v>
      </c>
      <c r="AE171" s="207">
        <f>SUMIFS('апрель 2023'!$G$4:$G$692,'апрель 2023'!$D$4:$D$692,$B171,'апрель 2023'!$J$4:$J$692,AE$1)</f>
        <v>0</v>
      </c>
      <c r="AF171" s="207">
        <f>SUMIFS('апрель 2023'!$G$4:$G$692,'апрель 2023'!$D$4:$D$692,$B171,'апрель 2023'!$J$4:$J$692,AF$1)</f>
        <v>0</v>
      </c>
      <c r="AG171" s="207">
        <f>SUMIFS('апрель 2023'!$G$4:$G$692,'апрель 2023'!$D$4:$D$692,$B171,'апрель 2023'!$J$4:$J$692,AG$1)</f>
        <v>0</v>
      </c>
      <c r="AH171" s="207">
        <f>SUMIFS('апрель 2023'!$G$4:$G$692,'апрель 2023'!$D$4:$D$692,$B171,'апрель 2023'!$J$4:$J$692,AH$1)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SUMIFS('апрель 2023'!$G$4:$G$692,'апрель 2023'!$D$4:$D$692,$B172,'апрель 2023'!$J$4:$J$692,D$1)</f>
        <v>0</v>
      </c>
      <c r="E172" s="207">
        <f>SUMIFS('апрель 2023'!$G$4:$G$692,'апрель 2023'!$D$4:$D$692,$B172,'апрель 2023'!$J$4:$J$692,E$1)</f>
        <v>0</v>
      </c>
      <c r="F172" s="207">
        <f>SUMIFS('апрель 2023'!$G$4:$G$692,'апрель 2023'!$D$4:$D$692,$B172,'апрель 2023'!$J$4:$J$692,F$1)</f>
        <v>0</v>
      </c>
      <c r="G172" s="207">
        <f>SUMIFS('апрель 2023'!$G$4:$G$692,'апрель 2023'!$D$4:$D$692,$B172,'апрель 2023'!$J$4:$J$692,G$1)</f>
        <v>0</v>
      </c>
      <c r="H172" s="207">
        <f>SUMIFS('апрель 2023'!$G$4:$G$692,'апрель 2023'!$D$4:$D$692,$B172,'апрель 2023'!$J$4:$J$692,H$1)</f>
        <v>0</v>
      </c>
      <c r="I172" s="207">
        <f>SUMIFS('апрель 2023'!$G$4:$G$692,'апрель 2023'!$D$4:$D$692,$B172,'апрель 2023'!$J$4:$J$692,I$1)</f>
        <v>0</v>
      </c>
      <c r="J172" s="207">
        <f>SUMIFS('апрель 2023'!$G$4:$G$692,'апрель 2023'!$D$4:$D$692,$B172,'апрель 2023'!$J$4:$J$692,J$1)</f>
        <v>0</v>
      </c>
      <c r="K172" s="207">
        <f>SUMIFS('апрель 2023'!$G$4:$G$692,'апрель 2023'!$D$4:$D$692,$B172,'апрель 2023'!$J$4:$J$692,K$1)</f>
        <v>0</v>
      </c>
      <c r="L172" s="207">
        <f>SUMIFS('апрель 2023'!$G$4:$G$692,'апрель 2023'!$D$4:$D$692,$B172,'апрель 2023'!$J$4:$J$692,L$1)</f>
        <v>0</v>
      </c>
      <c r="M172" s="207">
        <f>SUMIFS('апрель 2023'!$G$4:$G$692,'апрель 2023'!$D$4:$D$692,$B172,'апрель 2023'!$J$4:$J$692,M$1)</f>
        <v>0</v>
      </c>
      <c r="N172" s="207">
        <f>SUMIFS('апрель 2023'!$G$4:$G$692,'апрель 2023'!$D$4:$D$692,$B172,'апрель 2023'!$J$4:$J$692,N$1)</f>
        <v>0</v>
      </c>
      <c r="O172" s="207">
        <f>SUMIFS('апрель 2023'!$G$4:$G$692,'апрель 2023'!$D$4:$D$692,$B172,'апрель 2023'!$J$4:$J$692,O$1)</f>
        <v>0</v>
      </c>
      <c r="P172" s="207">
        <f>SUMIFS('апрель 2023'!$G$4:$G$692,'апрель 2023'!$D$4:$D$692,$B172,'апрель 2023'!$J$4:$J$692,P$1)</f>
        <v>0</v>
      </c>
      <c r="Q172" s="207">
        <f>SUMIFS('апрель 2023'!$G$4:$G$692,'апрель 2023'!$D$4:$D$692,$B172,'апрель 2023'!$J$4:$J$692,Q$1)</f>
        <v>0</v>
      </c>
      <c r="R172" s="207">
        <f>SUMIFS('апрель 2023'!$G$4:$G$692,'апрель 2023'!$D$4:$D$692,$B172,'апрель 2023'!$J$4:$J$692,R$1)</f>
        <v>0</v>
      </c>
      <c r="S172" s="207">
        <f>SUMIFS('апрель 2023'!$G$4:$G$692,'апрель 2023'!$D$4:$D$692,$B172,'апрель 2023'!$J$4:$J$692,S$1)</f>
        <v>0</v>
      </c>
      <c r="T172" s="207">
        <f>SUMIFS('апрель 2023'!$G$4:$G$692,'апрель 2023'!$D$4:$D$692,$B172,'апрель 2023'!$J$4:$J$692,T$1)</f>
        <v>0</v>
      </c>
      <c r="U172" s="207">
        <f>SUMIFS('апрель 2023'!$G$4:$G$692,'апрель 2023'!$D$4:$D$692,$B172,'апрель 2023'!$J$4:$J$692,U$1)</f>
        <v>0</v>
      </c>
      <c r="V172" s="207">
        <f>SUMIFS('апрель 2023'!$G$4:$G$692,'апрель 2023'!$D$4:$D$692,$B172,'апрель 2023'!$J$4:$J$692,V$1)</f>
        <v>0</v>
      </c>
      <c r="W172" s="207">
        <f>SUMIFS('апрель 2023'!$G$4:$G$692,'апрель 2023'!$D$4:$D$692,$B172,'апрель 2023'!$J$4:$J$692,W$1)</f>
        <v>0</v>
      </c>
      <c r="X172" s="207">
        <f>SUMIFS('апрель 2023'!$G$4:$G$692,'апрель 2023'!$D$4:$D$692,$B172,'апрель 2023'!$J$4:$J$692,X$1)</f>
        <v>0</v>
      </c>
      <c r="Y172" s="207">
        <f>SUMIFS('апрель 2023'!$G$4:$G$692,'апрель 2023'!$D$4:$D$692,$B172,'апрель 2023'!$J$4:$J$692,Y$1)</f>
        <v>0</v>
      </c>
      <c r="Z172" s="207">
        <f>SUMIFS('апрель 2023'!$G$4:$G$692,'апрель 2023'!$D$4:$D$692,$B172,'апрель 2023'!$J$4:$J$692,Z$1)</f>
        <v>0</v>
      </c>
      <c r="AA172" s="207">
        <f>SUMIFS('апрель 2023'!$G$4:$G$692,'апрель 2023'!$D$4:$D$692,$B172,'апрель 2023'!$J$4:$J$692,AA$1)</f>
        <v>0</v>
      </c>
      <c r="AB172" s="207">
        <f>SUMIFS('апрель 2023'!$G$4:$G$692,'апрель 2023'!$D$4:$D$692,$B172,'апрель 2023'!$J$4:$J$692,AB$1)</f>
        <v>0</v>
      </c>
      <c r="AC172" s="207">
        <f>SUMIFS('апрель 2023'!$G$4:$G$692,'апрель 2023'!$D$4:$D$692,$B172,'апрель 2023'!$J$4:$J$692,AC$1)</f>
        <v>0</v>
      </c>
      <c r="AD172" s="207">
        <f>SUMIFS('апрель 2023'!$G$4:$G$692,'апрель 2023'!$D$4:$D$692,$B172,'апрель 2023'!$J$4:$J$692,AD$1)</f>
        <v>0</v>
      </c>
      <c r="AE172" s="207">
        <f>SUMIFS('апрель 2023'!$G$4:$G$692,'апрель 2023'!$D$4:$D$692,$B172,'апрель 2023'!$J$4:$J$692,AE$1)</f>
        <v>0</v>
      </c>
      <c r="AF172" s="207">
        <f>SUMIFS('апрель 2023'!$G$4:$G$692,'апрель 2023'!$D$4:$D$692,$B172,'апрель 2023'!$J$4:$J$692,AF$1)</f>
        <v>0</v>
      </c>
      <c r="AG172" s="207">
        <f>SUMIFS('апрель 2023'!$G$4:$G$692,'апрель 2023'!$D$4:$D$692,$B172,'апрель 2023'!$J$4:$J$692,AG$1)</f>
        <v>0</v>
      </c>
      <c r="AH172" s="207">
        <f>SUMIFS('апрель 2023'!$G$4:$G$692,'апрель 2023'!$D$4:$D$692,$B172,'апрель 2023'!$J$4:$J$692,AH$1)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SUMIFS('апрель 2023'!$G$4:$G$692,'апрель 2023'!$D$4:$D$692,$B173,'апрель 2023'!$J$4:$J$692,D$1)</f>
        <v>0</v>
      </c>
      <c r="E173" s="207">
        <f>SUMIFS('апрель 2023'!$G$4:$G$692,'апрель 2023'!$D$4:$D$692,$B173,'апрель 2023'!$J$4:$J$692,E$1)</f>
        <v>0</v>
      </c>
      <c r="F173" s="207">
        <f>SUMIFS('апрель 2023'!$G$4:$G$692,'апрель 2023'!$D$4:$D$692,$B173,'апрель 2023'!$J$4:$J$692,F$1)</f>
        <v>0</v>
      </c>
      <c r="G173" s="207">
        <f>SUMIFS('апрель 2023'!$G$4:$G$692,'апрель 2023'!$D$4:$D$692,$B173,'апрель 2023'!$J$4:$J$692,G$1)</f>
        <v>0</v>
      </c>
      <c r="H173" s="207">
        <f>SUMIFS('апрель 2023'!$G$4:$G$692,'апрель 2023'!$D$4:$D$692,$B173,'апрель 2023'!$J$4:$J$692,H$1)</f>
        <v>0</v>
      </c>
      <c r="I173" s="207">
        <f>SUMIFS('апрель 2023'!$G$4:$G$692,'апрель 2023'!$D$4:$D$692,$B173,'апрель 2023'!$J$4:$J$692,I$1)</f>
        <v>0</v>
      </c>
      <c r="J173" s="207">
        <f>SUMIFS('апрель 2023'!$G$4:$G$692,'апрель 2023'!$D$4:$D$692,$B173,'апрель 2023'!$J$4:$J$692,J$1)</f>
        <v>0</v>
      </c>
      <c r="K173" s="207">
        <f>SUMIFS('апрель 2023'!$G$4:$G$692,'апрель 2023'!$D$4:$D$692,$B173,'апрель 2023'!$J$4:$J$692,K$1)</f>
        <v>0</v>
      </c>
      <c r="L173" s="207">
        <f>SUMIFS('апрель 2023'!$G$4:$G$692,'апрель 2023'!$D$4:$D$692,$B173,'апрель 2023'!$J$4:$J$692,L$1)</f>
        <v>0</v>
      </c>
      <c r="M173" s="207">
        <f>SUMIFS('апрель 2023'!$G$4:$G$692,'апрель 2023'!$D$4:$D$692,$B173,'апрель 2023'!$J$4:$J$692,M$1)</f>
        <v>0</v>
      </c>
      <c r="N173" s="207">
        <f>SUMIFS('апрель 2023'!$G$4:$G$692,'апрель 2023'!$D$4:$D$692,$B173,'апрель 2023'!$J$4:$J$692,N$1)</f>
        <v>0</v>
      </c>
      <c r="O173" s="207">
        <f>SUMIFS('апрель 2023'!$G$4:$G$692,'апрель 2023'!$D$4:$D$692,$B173,'апрель 2023'!$J$4:$J$692,O$1)</f>
        <v>0</v>
      </c>
      <c r="P173" s="207">
        <f>SUMIFS('апрель 2023'!$G$4:$G$692,'апрель 2023'!$D$4:$D$692,$B173,'апрель 2023'!$J$4:$J$692,P$1)</f>
        <v>0</v>
      </c>
      <c r="Q173" s="207">
        <f>SUMIFS('апрель 2023'!$G$4:$G$692,'апрель 2023'!$D$4:$D$692,$B173,'апрель 2023'!$J$4:$J$692,Q$1)</f>
        <v>0</v>
      </c>
      <c r="R173" s="207">
        <f>SUMIFS('апрель 2023'!$G$4:$G$692,'апрель 2023'!$D$4:$D$692,$B173,'апрель 2023'!$J$4:$J$692,R$1)</f>
        <v>0</v>
      </c>
      <c r="S173" s="207">
        <f>SUMIFS('апрель 2023'!$G$4:$G$692,'апрель 2023'!$D$4:$D$692,$B173,'апрель 2023'!$J$4:$J$692,S$1)</f>
        <v>0</v>
      </c>
      <c r="T173" s="207">
        <f>SUMIFS('апрель 2023'!$G$4:$G$692,'апрель 2023'!$D$4:$D$692,$B173,'апрель 2023'!$J$4:$J$692,T$1)</f>
        <v>0</v>
      </c>
      <c r="U173" s="207">
        <f>SUMIFS('апрель 2023'!$G$4:$G$692,'апрель 2023'!$D$4:$D$692,$B173,'апрель 2023'!$J$4:$J$692,U$1)</f>
        <v>0</v>
      </c>
      <c r="V173" s="207">
        <f>SUMIFS('апрель 2023'!$G$4:$G$692,'апрель 2023'!$D$4:$D$692,$B173,'апрель 2023'!$J$4:$J$692,V$1)</f>
        <v>0</v>
      </c>
      <c r="W173" s="207">
        <f>SUMIFS('апрель 2023'!$G$4:$G$692,'апрель 2023'!$D$4:$D$692,$B173,'апрель 2023'!$J$4:$J$692,W$1)</f>
        <v>0</v>
      </c>
      <c r="X173" s="207">
        <f>SUMIFS('апрель 2023'!$G$4:$G$692,'апрель 2023'!$D$4:$D$692,$B173,'апрель 2023'!$J$4:$J$692,X$1)</f>
        <v>0</v>
      </c>
      <c r="Y173" s="207">
        <f>SUMIFS('апрель 2023'!$G$4:$G$692,'апрель 2023'!$D$4:$D$692,$B173,'апрель 2023'!$J$4:$J$692,Y$1)</f>
        <v>0</v>
      </c>
      <c r="Z173" s="207">
        <f>SUMIFS('апрель 2023'!$G$4:$G$692,'апрель 2023'!$D$4:$D$692,$B173,'апрель 2023'!$J$4:$J$692,Z$1)</f>
        <v>0</v>
      </c>
      <c r="AA173" s="207">
        <f>SUMIFS('апрель 2023'!$G$4:$G$692,'апрель 2023'!$D$4:$D$692,$B173,'апрель 2023'!$J$4:$J$692,AA$1)</f>
        <v>0</v>
      </c>
      <c r="AB173" s="207">
        <f>SUMIFS('апрель 2023'!$G$4:$G$692,'апрель 2023'!$D$4:$D$692,$B173,'апрель 2023'!$J$4:$J$692,AB$1)</f>
        <v>0</v>
      </c>
      <c r="AC173" s="207">
        <f>SUMIFS('апрель 2023'!$G$4:$G$692,'апрель 2023'!$D$4:$D$692,$B173,'апрель 2023'!$J$4:$J$692,AC$1)</f>
        <v>0</v>
      </c>
      <c r="AD173" s="207">
        <f>SUMIFS('апрель 2023'!$G$4:$G$692,'апрель 2023'!$D$4:$D$692,$B173,'апрель 2023'!$J$4:$J$692,AD$1)</f>
        <v>0</v>
      </c>
      <c r="AE173" s="207">
        <f>SUMIFS('апрель 2023'!$G$4:$G$692,'апрель 2023'!$D$4:$D$692,$B173,'апрель 2023'!$J$4:$J$692,AE$1)</f>
        <v>0</v>
      </c>
      <c r="AF173" s="207">
        <f>SUMIFS('апрель 2023'!$G$4:$G$692,'апрель 2023'!$D$4:$D$692,$B173,'апрель 2023'!$J$4:$J$692,AF$1)</f>
        <v>0</v>
      </c>
      <c r="AG173" s="207">
        <f>SUMIFS('апрель 2023'!$G$4:$G$692,'апрель 2023'!$D$4:$D$692,$B173,'апрель 2023'!$J$4:$J$692,AG$1)</f>
        <v>0</v>
      </c>
      <c r="AH173" s="207">
        <f>SUMIFS('апрель 2023'!$G$4:$G$692,'апрель 2023'!$D$4:$D$692,$B173,'апрель 2023'!$J$4:$J$692,AH$1)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SUMIFS('апрель 2023'!$G$4:$G$692,'апрель 2023'!$D$4:$D$692,$B174,'апрель 2023'!$J$4:$J$692,D$1)</f>
        <v>0</v>
      </c>
      <c r="E174" s="207">
        <f>SUMIFS('апрель 2023'!$G$4:$G$692,'апрель 2023'!$D$4:$D$692,$B174,'апрель 2023'!$J$4:$J$692,E$1)</f>
        <v>0</v>
      </c>
      <c r="F174" s="207">
        <f>SUMIFS('апрель 2023'!$G$4:$G$692,'апрель 2023'!$D$4:$D$692,$B174,'апрель 2023'!$J$4:$J$692,F$1)</f>
        <v>0</v>
      </c>
      <c r="G174" s="207">
        <f>SUMIFS('апрель 2023'!$G$4:$G$692,'апрель 2023'!$D$4:$D$692,$B174,'апрель 2023'!$J$4:$J$692,G$1)</f>
        <v>0</v>
      </c>
      <c r="H174" s="207">
        <f>SUMIFS('апрель 2023'!$G$4:$G$692,'апрель 2023'!$D$4:$D$692,$B174,'апрель 2023'!$J$4:$J$692,H$1)</f>
        <v>0</v>
      </c>
      <c r="I174" s="207">
        <f>SUMIFS('апрель 2023'!$G$4:$G$692,'апрель 2023'!$D$4:$D$692,$B174,'апрель 2023'!$J$4:$J$692,I$1)</f>
        <v>0</v>
      </c>
      <c r="J174" s="207">
        <f>SUMIFS('апрель 2023'!$G$4:$G$692,'апрель 2023'!$D$4:$D$692,$B174,'апрель 2023'!$J$4:$J$692,J$1)</f>
        <v>0</v>
      </c>
      <c r="K174" s="207">
        <f>SUMIFS('апрель 2023'!$G$4:$G$692,'апрель 2023'!$D$4:$D$692,$B174,'апрель 2023'!$J$4:$J$692,K$1)</f>
        <v>0</v>
      </c>
      <c r="L174" s="207">
        <f>SUMIFS('апрель 2023'!$G$4:$G$692,'апрель 2023'!$D$4:$D$692,$B174,'апрель 2023'!$J$4:$J$692,L$1)</f>
        <v>0</v>
      </c>
      <c r="M174" s="207">
        <f>SUMIFS('апрель 2023'!$G$4:$G$692,'апрель 2023'!$D$4:$D$692,$B174,'апрель 2023'!$J$4:$J$692,M$1)</f>
        <v>0</v>
      </c>
      <c r="N174" s="207">
        <f>SUMIFS('апрель 2023'!$G$4:$G$692,'апрель 2023'!$D$4:$D$692,$B174,'апрель 2023'!$J$4:$J$692,N$1)</f>
        <v>0</v>
      </c>
      <c r="O174" s="207">
        <f>SUMIFS('апрель 2023'!$G$4:$G$692,'апрель 2023'!$D$4:$D$692,$B174,'апрель 2023'!$J$4:$J$692,O$1)</f>
        <v>0</v>
      </c>
      <c r="P174" s="207">
        <f>SUMIFS('апрель 2023'!$G$4:$G$692,'апрель 2023'!$D$4:$D$692,$B174,'апрель 2023'!$J$4:$J$692,P$1)</f>
        <v>0</v>
      </c>
      <c r="Q174" s="207">
        <f>SUMIFS('апрель 2023'!$G$4:$G$692,'апрель 2023'!$D$4:$D$692,$B174,'апрель 2023'!$J$4:$J$692,Q$1)</f>
        <v>0</v>
      </c>
      <c r="R174" s="207">
        <f>SUMIFS('апрель 2023'!$G$4:$G$692,'апрель 2023'!$D$4:$D$692,$B174,'апрель 2023'!$J$4:$J$692,R$1)</f>
        <v>0</v>
      </c>
      <c r="S174" s="207">
        <f>SUMIFS('апрель 2023'!$G$4:$G$692,'апрель 2023'!$D$4:$D$692,$B174,'апрель 2023'!$J$4:$J$692,S$1)</f>
        <v>0</v>
      </c>
      <c r="T174" s="207">
        <f>SUMIFS('апрель 2023'!$G$4:$G$692,'апрель 2023'!$D$4:$D$692,$B174,'апрель 2023'!$J$4:$J$692,T$1)</f>
        <v>0</v>
      </c>
      <c r="U174" s="207">
        <f>SUMIFS('апрель 2023'!$G$4:$G$692,'апрель 2023'!$D$4:$D$692,$B174,'апрель 2023'!$J$4:$J$692,U$1)</f>
        <v>0</v>
      </c>
      <c r="V174" s="207">
        <f>SUMIFS('апрель 2023'!$G$4:$G$692,'апрель 2023'!$D$4:$D$692,$B174,'апрель 2023'!$J$4:$J$692,V$1)</f>
        <v>0</v>
      </c>
      <c r="W174" s="207">
        <f>SUMIFS('апрель 2023'!$G$4:$G$692,'апрель 2023'!$D$4:$D$692,$B174,'апрель 2023'!$J$4:$J$692,W$1)</f>
        <v>0</v>
      </c>
      <c r="X174" s="207">
        <f>SUMIFS('апрель 2023'!$G$4:$G$692,'апрель 2023'!$D$4:$D$692,$B174,'апрель 2023'!$J$4:$J$692,X$1)</f>
        <v>0</v>
      </c>
      <c r="Y174" s="207">
        <f>SUMIFS('апрель 2023'!$G$4:$G$692,'апрель 2023'!$D$4:$D$692,$B174,'апрель 2023'!$J$4:$J$692,Y$1)</f>
        <v>0</v>
      </c>
      <c r="Z174" s="207">
        <f>SUMIFS('апрель 2023'!$G$4:$G$692,'апрель 2023'!$D$4:$D$692,$B174,'апрель 2023'!$J$4:$J$692,Z$1)</f>
        <v>0</v>
      </c>
      <c r="AA174" s="207">
        <f>SUMIFS('апрель 2023'!$G$4:$G$692,'апрель 2023'!$D$4:$D$692,$B174,'апрель 2023'!$J$4:$J$692,AA$1)</f>
        <v>0</v>
      </c>
      <c r="AB174" s="207">
        <f>SUMIFS('апрель 2023'!$G$4:$G$692,'апрель 2023'!$D$4:$D$692,$B174,'апрель 2023'!$J$4:$J$692,AB$1)</f>
        <v>0</v>
      </c>
      <c r="AC174" s="207">
        <f>SUMIFS('апрель 2023'!$G$4:$G$692,'апрель 2023'!$D$4:$D$692,$B174,'апрель 2023'!$J$4:$J$692,AC$1)</f>
        <v>0</v>
      </c>
      <c r="AD174" s="207">
        <f>SUMIFS('апрель 2023'!$G$4:$G$692,'апрель 2023'!$D$4:$D$692,$B174,'апрель 2023'!$J$4:$J$692,AD$1)</f>
        <v>0</v>
      </c>
      <c r="AE174" s="207">
        <f>SUMIFS('апрель 2023'!$G$4:$G$692,'апрель 2023'!$D$4:$D$692,$B174,'апрель 2023'!$J$4:$J$692,AE$1)</f>
        <v>0</v>
      </c>
      <c r="AF174" s="207">
        <f>SUMIFS('апрель 2023'!$G$4:$G$692,'апрель 2023'!$D$4:$D$692,$B174,'апрель 2023'!$J$4:$J$692,AF$1)</f>
        <v>0</v>
      </c>
      <c r="AG174" s="207">
        <f>SUMIFS('апрель 2023'!$G$4:$G$692,'апрель 2023'!$D$4:$D$692,$B174,'апрель 2023'!$J$4:$J$692,AG$1)</f>
        <v>0</v>
      </c>
      <c r="AH174" s="207">
        <f>SUMIFS('апрель 2023'!$G$4:$G$692,'апрель 2023'!$D$4:$D$692,$B174,'апрель 2023'!$J$4:$J$692,AH$1)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SUMIFS('апрель 2023'!$G$4:$G$692,'апрель 2023'!$D$4:$D$692,$B175,'апрель 2023'!$J$4:$J$692,D$1)</f>
        <v>0</v>
      </c>
      <c r="E175" s="207">
        <f>SUMIFS('апрель 2023'!$G$4:$G$692,'апрель 2023'!$D$4:$D$692,$B175,'апрель 2023'!$J$4:$J$692,E$1)</f>
        <v>0</v>
      </c>
      <c r="F175" s="207">
        <f>SUMIFS('апрель 2023'!$G$4:$G$692,'апрель 2023'!$D$4:$D$692,$B175,'апрель 2023'!$J$4:$J$692,F$1)</f>
        <v>0</v>
      </c>
      <c r="G175" s="207">
        <f>SUMIFS('апрель 2023'!$G$4:$G$692,'апрель 2023'!$D$4:$D$692,$B175,'апрель 2023'!$J$4:$J$692,G$1)</f>
        <v>0</v>
      </c>
      <c r="H175" s="207">
        <f>SUMIFS('апрель 2023'!$G$4:$G$692,'апрель 2023'!$D$4:$D$692,$B175,'апрель 2023'!$J$4:$J$692,H$1)</f>
        <v>0</v>
      </c>
      <c r="I175" s="207">
        <f>SUMIFS('апрель 2023'!$G$4:$G$692,'апрель 2023'!$D$4:$D$692,$B175,'апрель 2023'!$J$4:$J$692,I$1)</f>
        <v>0</v>
      </c>
      <c r="J175" s="207">
        <f>SUMIFS('апрель 2023'!$G$4:$G$692,'апрель 2023'!$D$4:$D$692,$B175,'апрель 2023'!$J$4:$J$692,J$1)</f>
        <v>0</v>
      </c>
      <c r="K175" s="207">
        <f>SUMIFS('апрель 2023'!$G$4:$G$692,'апрель 2023'!$D$4:$D$692,$B175,'апрель 2023'!$J$4:$J$692,K$1)</f>
        <v>0</v>
      </c>
      <c r="L175" s="207">
        <f>SUMIFS('апрель 2023'!$G$4:$G$692,'апрель 2023'!$D$4:$D$692,$B175,'апрель 2023'!$J$4:$J$692,L$1)</f>
        <v>0</v>
      </c>
      <c r="M175" s="207">
        <f>SUMIFS('апрель 2023'!$G$4:$G$692,'апрель 2023'!$D$4:$D$692,$B175,'апрель 2023'!$J$4:$J$692,M$1)</f>
        <v>0</v>
      </c>
      <c r="N175" s="207">
        <f>SUMIFS('апрель 2023'!$G$4:$G$692,'апрель 2023'!$D$4:$D$692,$B175,'апрель 2023'!$J$4:$J$692,N$1)</f>
        <v>0</v>
      </c>
      <c r="O175" s="207">
        <f>SUMIFS('апрель 2023'!$G$4:$G$692,'апрель 2023'!$D$4:$D$692,$B175,'апрель 2023'!$J$4:$J$692,O$1)</f>
        <v>0</v>
      </c>
      <c r="P175" s="207">
        <f>SUMIFS('апрель 2023'!$G$4:$G$692,'апрель 2023'!$D$4:$D$692,$B175,'апрель 2023'!$J$4:$J$692,P$1)</f>
        <v>0</v>
      </c>
      <c r="Q175" s="207">
        <f>SUMIFS('апрель 2023'!$G$4:$G$692,'апрель 2023'!$D$4:$D$692,$B175,'апрель 2023'!$J$4:$J$692,Q$1)</f>
        <v>0</v>
      </c>
      <c r="R175" s="207">
        <f>SUMIFS('апрель 2023'!$G$4:$G$692,'апрель 2023'!$D$4:$D$692,$B175,'апрель 2023'!$J$4:$J$692,R$1)</f>
        <v>0</v>
      </c>
      <c r="S175" s="207">
        <f>SUMIFS('апрель 2023'!$G$4:$G$692,'апрель 2023'!$D$4:$D$692,$B175,'апрель 2023'!$J$4:$J$692,S$1)</f>
        <v>0</v>
      </c>
      <c r="T175" s="207">
        <f>SUMIFS('апрель 2023'!$G$4:$G$692,'апрель 2023'!$D$4:$D$692,$B175,'апрель 2023'!$J$4:$J$692,T$1)</f>
        <v>0</v>
      </c>
      <c r="U175" s="207">
        <f>SUMIFS('апрель 2023'!$G$4:$G$692,'апрель 2023'!$D$4:$D$692,$B175,'апрель 2023'!$J$4:$J$692,U$1)</f>
        <v>0</v>
      </c>
      <c r="V175" s="207">
        <f>SUMIFS('апрель 2023'!$G$4:$G$692,'апрель 2023'!$D$4:$D$692,$B175,'апрель 2023'!$J$4:$J$692,V$1)</f>
        <v>0</v>
      </c>
      <c r="W175" s="207">
        <f>SUMIFS('апрель 2023'!$G$4:$G$692,'апрель 2023'!$D$4:$D$692,$B175,'апрель 2023'!$J$4:$J$692,W$1)</f>
        <v>0</v>
      </c>
      <c r="X175" s="207">
        <f>SUMIFS('апрель 2023'!$G$4:$G$692,'апрель 2023'!$D$4:$D$692,$B175,'апрель 2023'!$J$4:$J$692,X$1)</f>
        <v>0</v>
      </c>
      <c r="Y175" s="207">
        <f>SUMIFS('апрель 2023'!$G$4:$G$692,'апрель 2023'!$D$4:$D$692,$B175,'апрель 2023'!$J$4:$J$692,Y$1)</f>
        <v>0</v>
      </c>
      <c r="Z175" s="207">
        <f>SUMIFS('апрель 2023'!$G$4:$G$692,'апрель 2023'!$D$4:$D$692,$B175,'апрель 2023'!$J$4:$J$692,Z$1)</f>
        <v>0</v>
      </c>
      <c r="AA175" s="207">
        <f>SUMIFS('апрель 2023'!$G$4:$G$692,'апрель 2023'!$D$4:$D$692,$B175,'апрель 2023'!$J$4:$J$692,AA$1)</f>
        <v>0</v>
      </c>
      <c r="AB175" s="207">
        <f>SUMIFS('апрель 2023'!$G$4:$G$692,'апрель 2023'!$D$4:$D$692,$B175,'апрель 2023'!$J$4:$J$692,AB$1)</f>
        <v>0</v>
      </c>
      <c r="AC175" s="207">
        <f>SUMIFS('апрель 2023'!$G$4:$G$692,'апрель 2023'!$D$4:$D$692,$B175,'апрель 2023'!$J$4:$J$692,AC$1)</f>
        <v>0</v>
      </c>
      <c r="AD175" s="207">
        <f>SUMIFS('апрель 2023'!$G$4:$G$692,'апрель 2023'!$D$4:$D$692,$B175,'апрель 2023'!$J$4:$J$692,AD$1)</f>
        <v>0</v>
      </c>
      <c r="AE175" s="207">
        <f>SUMIFS('апрель 2023'!$G$4:$G$692,'апрель 2023'!$D$4:$D$692,$B175,'апрель 2023'!$J$4:$J$692,AE$1)</f>
        <v>0</v>
      </c>
      <c r="AF175" s="207">
        <f>SUMIFS('апрель 2023'!$G$4:$G$692,'апрель 2023'!$D$4:$D$692,$B175,'апрель 2023'!$J$4:$J$692,AF$1)</f>
        <v>0</v>
      </c>
      <c r="AG175" s="207">
        <f>SUMIFS('апрель 2023'!$G$4:$G$692,'апрель 2023'!$D$4:$D$692,$B175,'апрель 2023'!$J$4:$J$692,AG$1)</f>
        <v>0</v>
      </c>
      <c r="AH175" s="207">
        <f>SUMIFS('апрель 2023'!$G$4:$G$692,'апрель 2023'!$D$4:$D$692,$B175,'апрель 2023'!$J$4:$J$692,AH$1)</f>
        <v>0</v>
      </c>
      <c r="AI175" s="220">
        <f t="shared" si="4"/>
        <v>0</v>
      </c>
    </row>
    <row r="176" spans="2:35" ht="15.75" hidden="1" x14ac:dyDescent="0.25">
      <c r="B176" s="212"/>
      <c r="C176" s="211"/>
      <c r="D176" s="207">
        <f>SUMIFS('апрель 2023'!$G$4:$G$692,'апрель 2023'!$D$4:$D$692,$B176,'апрель 2023'!$J$4:$J$692,D$1)</f>
        <v>0</v>
      </c>
      <c r="E176" s="207">
        <f>SUMIFS('апрель 2023'!$G$4:$G$692,'апрель 2023'!$D$4:$D$692,$B176,'апрель 2023'!$J$4:$J$692,E$1)</f>
        <v>0</v>
      </c>
      <c r="F176" s="207">
        <f>SUMIFS('апрель 2023'!$G$4:$G$692,'апрель 2023'!$D$4:$D$692,$B176,'апрель 2023'!$J$4:$J$692,F$1)</f>
        <v>0</v>
      </c>
      <c r="G176" s="207">
        <f>SUMIFS('апрель 2023'!$G$4:$G$692,'апрель 2023'!$D$4:$D$692,$B176,'апрель 2023'!$J$4:$J$692,G$1)</f>
        <v>0</v>
      </c>
      <c r="H176" s="207">
        <f>SUMIFS('апрель 2023'!$G$4:$G$692,'апрель 2023'!$D$4:$D$692,$B176,'апрель 2023'!$J$4:$J$692,H$1)</f>
        <v>0</v>
      </c>
      <c r="I176" s="207">
        <f>SUMIFS('апрель 2023'!$G$4:$G$692,'апрель 2023'!$D$4:$D$692,$B176,'апрель 2023'!$J$4:$J$692,I$1)</f>
        <v>0</v>
      </c>
      <c r="J176" s="207">
        <f>SUMIFS('апрель 2023'!$G$4:$G$692,'апрель 2023'!$D$4:$D$692,$B176,'апрель 2023'!$J$4:$J$692,J$1)</f>
        <v>0</v>
      </c>
      <c r="K176" s="207">
        <f>SUMIFS('апрель 2023'!$G$4:$G$692,'апрель 2023'!$D$4:$D$692,$B176,'апрель 2023'!$J$4:$J$692,K$1)</f>
        <v>0</v>
      </c>
      <c r="L176" s="207">
        <f>SUMIFS('апрель 2023'!$G$4:$G$692,'апрель 2023'!$D$4:$D$692,$B176,'апрель 2023'!$J$4:$J$692,L$1)</f>
        <v>0</v>
      </c>
      <c r="M176" s="207">
        <f>SUMIFS('апрель 2023'!$G$4:$G$692,'апрель 2023'!$D$4:$D$692,$B176,'апрель 2023'!$J$4:$J$692,M$1)</f>
        <v>0</v>
      </c>
      <c r="N176" s="207">
        <f>SUMIFS('апрель 2023'!$G$4:$G$692,'апрель 2023'!$D$4:$D$692,$B176,'апрель 2023'!$J$4:$J$692,N$1)</f>
        <v>0</v>
      </c>
      <c r="O176" s="207">
        <f>SUMIFS('апрель 2023'!$G$4:$G$692,'апрель 2023'!$D$4:$D$692,$B176,'апрель 2023'!$J$4:$J$692,O$1)</f>
        <v>0</v>
      </c>
      <c r="P176" s="207">
        <f>SUMIFS('апрель 2023'!$G$4:$G$692,'апрель 2023'!$D$4:$D$692,$B176,'апрель 2023'!$J$4:$J$692,P$1)</f>
        <v>0</v>
      </c>
      <c r="Q176" s="207">
        <f>SUMIFS('апрель 2023'!$G$4:$G$692,'апрель 2023'!$D$4:$D$692,$B176,'апрель 2023'!$J$4:$J$692,Q$1)</f>
        <v>0</v>
      </c>
      <c r="R176" s="207">
        <f>SUMIFS('апрель 2023'!$G$4:$G$692,'апрель 2023'!$D$4:$D$692,$B176,'апрель 2023'!$J$4:$J$692,R$1)</f>
        <v>0</v>
      </c>
      <c r="S176" s="207">
        <f>SUMIFS('апрель 2023'!$G$4:$G$692,'апрель 2023'!$D$4:$D$692,$B176,'апрель 2023'!$J$4:$J$692,S$1)</f>
        <v>0</v>
      </c>
      <c r="T176" s="207">
        <f>SUMIFS('апрель 2023'!$G$4:$G$692,'апрель 2023'!$D$4:$D$692,$B176,'апрель 2023'!$J$4:$J$692,T$1)</f>
        <v>0</v>
      </c>
      <c r="U176" s="207">
        <f>SUMIFS('апрель 2023'!$G$4:$G$692,'апрель 2023'!$D$4:$D$692,$B176,'апрель 2023'!$J$4:$J$692,U$1)</f>
        <v>0</v>
      </c>
      <c r="V176" s="207">
        <f>SUMIFS('апрель 2023'!$G$4:$G$692,'апрель 2023'!$D$4:$D$692,$B176,'апрель 2023'!$J$4:$J$692,V$1)</f>
        <v>0</v>
      </c>
      <c r="W176" s="207">
        <f>SUMIFS('апрель 2023'!$G$4:$G$692,'апрель 2023'!$D$4:$D$692,$B176,'апрель 2023'!$J$4:$J$692,W$1)</f>
        <v>0</v>
      </c>
      <c r="X176" s="207">
        <f>SUMIFS('апрель 2023'!$G$4:$G$692,'апрель 2023'!$D$4:$D$692,$B176,'апрель 2023'!$J$4:$J$692,X$1)</f>
        <v>0</v>
      </c>
      <c r="Y176" s="207">
        <f>SUMIFS('апрель 2023'!$G$4:$G$692,'апрель 2023'!$D$4:$D$692,$B176,'апрель 2023'!$J$4:$J$692,Y$1)</f>
        <v>0</v>
      </c>
      <c r="Z176" s="207">
        <f>SUMIFS('апрель 2023'!$G$4:$G$692,'апрель 2023'!$D$4:$D$692,$B176,'апрель 2023'!$J$4:$J$692,Z$1)</f>
        <v>0</v>
      </c>
      <c r="AA176" s="207">
        <f>SUMIFS('апрель 2023'!$G$4:$G$692,'апрель 2023'!$D$4:$D$692,$B176,'апрель 2023'!$J$4:$J$692,AA$1)</f>
        <v>0</v>
      </c>
      <c r="AB176" s="207">
        <f>SUMIFS('апрель 2023'!$G$4:$G$692,'апрель 2023'!$D$4:$D$692,$B176,'апрель 2023'!$J$4:$J$692,AB$1)</f>
        <v>0</v>
      </c>
      <c r="AC176" s="207">
        <f>SUMIFS('апрель 2023'!$G$4:$G$692,'апрель 2023'!$D$4:$D$692,$B176,'апрель 2023'!$J$4:$J$692,AC$1)</f>
        <v>0</v>
      </c>
      <c r="AD176" s="207">
        <f>SUMIFS('апрель 2023'!$G$4:$G$692,'апрель 2023'!$D$4:$D$692,$B176,'апрель 2023'!$J$4:$J$692,AD$1)</f>
        <v>0</v>
      </c>
      <c r="AE176" s="207">
        <f>SUMIFS('апрель 2023'!$G$4:$G$692,'апрель 2023'!$D$4:$D$692,$B176,'апрель 2023'!$J$4:$J$692,AE$1)</f>
        <v>0</v>
      </c>
      <c r="AF176" s="207">
        <f>SUMIFS('апрель 2023'!$G$4:$G$692,'апрель 2023'!$D$4:$D$692,$B176,'апрель 2023'!$J$4:$J$692,AF$1)</f>
        <v>0</v>
      </c>
      <c r="AG176" s="207">
        <f>SUMIFS('апрель 2023'!$G$4:$G$692,'апрель 2023'!$D$4:$D$692,$B176,'апрель 2023'!$J$4:$J$692,AG$1)</f>
        <v>0</v>
      </c>
      <c r="AH176" s="207">
        <f>SUMIFS('апрель 2023'!$G$4:$G$692,'апрель 2023'!$D$4:$D$692,$B176,'апрель 2023'!$J$4:$J$692,AH$1)</f>
        <v>0</v>
      </c>
      <c r="AI176" s="220">
        <f t="shared" si="4"/>
        <v>0</v>
      </c>
    </row>
    <row r="177" spans="2:35" ht="15.75" hidden="1" x14ac:dyDescent="0.25">
      <c r="B177" s="212"/>
      <c r="C177" s="211"/>
      <c r="D177" s="207">
        <f>SUMIFS('апрель 2023'!$G$4:$G$692,'апрель 2023'!$D$4:$D$692,$B177,'апрель 2023'!$J$4:$J$692,D$1)</f>
        <v>0</v>
      </c>
      <c r="E177" s="207">
        <f>SUMIFS('апрель 2023'!$G$4:$G$692,'апрель 2023'!$D$4:$D$692,$B177,'апрель 2023'!$J$4:$J$692,E$1)</f>
        <v>0</v>
      </c>
      <c r="F177" s="207">
        <f>SUMIFS('апрель 2023'!$G$4:$G$692,'апрель 2023'!$D$4:$D$692,$B177,'апрель 2023'!$J$4:$J$692,F$1)</f>
        <v>0</v>
      </c>
      <c r="G177" s="207">
        <f>SUMIFS('апрель 2023'!$G$4:$G$692,'апрель 2023'!$D$4:$D$692,$B177,'апрель 2023'!$J$4:$J$692,G$1)</f>
        <v>0</v>
      </c>
      <c r="H177" s="207">
        <f>SUMIFS('апрель 2023'!$G$4:$G$692,'апрель 2023'!$D$4:$D$692,$B177,'апрель 2023'!$J$4:$J$692,H$1)</f>
        <v>0</v>
      </c>
      <c r="I177" s="207">
        <f>SUMIFS('апрель 2023'!$G$4:$G$692,'апрель 2023'!$D$4:$D$692,$B177,'апрель 2023'!$J$4:$J$692,I$1)</f>
        <v>0</v>
      </c>
      <c r="J177" s="207">
        <f>SUMIFS('апрель 2023'!$G$4:$G$692,'апрель 2023'!$D$4:$D$692,$B177,'апрель 2023'!$J$4:$J$692,J$1)</f>
        <v>0</v>
      </c>
      <c r="K177" s="207">
        <f>SUMIFS('апрель 2023'!$G$4:$G$692,'апрель 2023'!$D$4:$D$692,$B177,'апрель 2023'!$J$4:$J$692,K$1)</f>
        <v>0</v>
      </c>
      <c r="L177" s="207">
        <f>SUMIFS('апрель 2023'!$G$4:$G$692,'апрель 2023'!$D$4:$D$692,$B177,'апрель 2023'!$J$4:$J$692,L$1)</f>
        <v>0</v>
      </c>
      <c r="M177" s="207">
        <f>SUMIFS('апрель 2023'!$G$4:$G$692,'апрель 2023'!$D$4:$D$692,$B177,'апрель 2023'!$J$4:$J$692,M$1)</f>
        <v>0</v>
      </c>
      <c r="N177" s="207">
        <f>SUMIFS('апрель 2023'!$G$4:$G$692,'апрель 2023'!$D$4:$D$692,$B177,'апрель 2023'!$J$4:$J$692,N$1)</f>
        <v>0</v>
      </c>
      <c r="O177" s="207">
        <f>SUMIFS('апрель 2023'!$G$4:$G$692,'апрель 2023'!$D$4:$D$692,$B177,'апрель 2023'!$J$4:$J$692,O$1)</f>
        <v>0</v>
      </c>
      <c r="P177" s="207">
        <f>SUMIFS('апрель 2023'!$G$4:$G$692,'апрель 2023'!$D$4:$D$692,$B177,'апрель 2023'!$J$4:$J$692,P$1)</f>
        <v>0</v>
      </c>
      <c r="Q177" s="207">
        <f>SUMIFS('апрель 2023'!$G$4:$G$692,'апрель 2023'!$D$4:$D$692,$B177,'апрель 2023'!$J$4:$J$692,Q$1)</f>
        <v>0</v>
      </c>
      <c r="R177" s="207">
        <f>SUMIFS('апрель 2023'!$G$4:$G$692,'апрель 2023'!$D$4:$D$692,$B177,'апрель 2023'!$J$4:$J$692,R$1)</f>
        <v>0</v>
      </c>
      <c r="S177" s="207">
        <f>SUMIFS('апрель 2023'!$G$4:$G$692,'апрель 2023'!$D$4:$D$692,$B177,'апрель 2023'!$J$4:$J$692,S$1)</f>
        <v>0</v>
      </c>
      <c r="T177" s="207">
        <f>SUMIFS('апрель 2023'!$G$4:$G$692,'апрель 2023'!$D$4:$D$692,$B177,'апрель 2023'!$J$4:$J$692,T$1)</f>
        <v>0</v>
      </c>
      <c r="U177" s="207">
        <f>SUMIFS('апрель 2023'!$G$4:$G$692,'апрель 2023'!$D$4:$D$692,$B177,'апрель 2023'!$J$4:$J$692,U$1)</f>
        <v>0</v>
      </c>
      <c r="V177" s="207">
        <f>SUMIFS('апрель 2023'!$G$4:$G$692,'апрель 2023'!$D$4:$D$692,$B177,'апрель 2023'!$J$4:$J$692,V$1)</f>
        <v>0</v>
      </c>
      <c r="W177" s="207">
        <f>SUMIFS('апрель 2023'!$G$4:$G$692,'апрель 2023'!$D$4:$D$692,$B177,'апрель 2023'!$J$4:$J$692,W$1)</f>
        <v>0</v>
      </c>
      <c r="X177" s="207">
        <f>SUMIFS('апрель 2023'!$G$4:$G$692,'апрель 2023'!$D$4:$D$692,$B177,'апрель 2023'!$J$4:$J$692,X$1)</f>
        <v>0</v>
      </c>
      <c r="Y177" s="207">
        <f>SUMIFS('апрель 2023'!$G$4:$G$692,'апрель 2023'!$D$4:$D$692,$B177,'апрель 2023'!$J$4:$J$692,Y$1)</f>
        <v>0</v>
      </c>
      <c r="Z177" s="207">
        <f>SUMIFS('апрель 2023'!$G$4:$G$692,'апрель 2023'!$D$4:$D$692,$B177,'апрель 2023'!$J$4:$J$692,Z$1)</f>
        <v>0</v>
      </c>
      <c r="AA177" s="207">
        <f>SUMIFS('апрель 2023'!$G$4:$G$692,'апрель 2023'!$D$4:$D$692,$B177,'апрель 2023'!$J$4:$J$692,AA$1)</f>
        <v>0</v>
      </c>
      <c r="AB177" s="207">
        <f>SUMIFS('апрель 2023'!$G$4:$G$692,'апрель 2023'!$D$4:$D$692,$B177,'апрель 2023'!$J$4:$J$692,AB$1)</f>
        <v>0</v>
      </c>
      <c r="AC177" s="207">
        <f>SUMIFS('апрель 2023'!$G$4:$G$692,'апрель 2023'!$D$4:$D$692,$B177,'апрель 2023'!$J$4:$J$692,AC$1)</f>
        <v>0</v>
      </c>
      <c r="AD177" s="207">
        <f>SUMIFS('апрель 2023'!$G$4:$G$692,'апрель 2023'!$D$4:$D$692,$B177,'апрель 2023'!$J$4:$J$692,AD$1)</f>
        <v>0</v>
      </c>
      <c r="AE177" s="207">
        <f>SUMIFS('апрель 2023'!$G$4:$G$692,'апрель 2023'!$D$4:$D$692,$B177,'апрель 2023'!$J$4:$J$692,AE$1)</f>
        <v>0</v>
      </c>
      <c r="AF177" s="207">
        <f>SUMIFS('апрель 2023'!$G$4:$G$692,'апрель 2023'!$D$4:$D$692,$B177,'апрель 2023'!$J$4:$J$692,AF$1)</f>
        <v>0</v>
      </c>
      <c r="AG177" s="207">
        <f>SUMIFS('апрель 2023'!$G$4:$G$692,'апрель 2023'!$D$4:$D$692,$B177,'апрель 2023'!$J$4:$J$692,AG$1)</f>
        <v>0</v>
      </c>
      <c r="AH177" s="207">
        <f>SUMIFS('апрель 2023'!$G$4:$G$692,'апрель 2023'!$D$4:$D$692,$B177,'апрель 2023'!$J$4:$J$692,AH$1)</f>
        <v>0</v>
      </c>
      <c r="AI177" s="220">
        <f t="shared" si="4"/>
        <v>0</v>
      </c>
    </row>
    <row r="178" spans="2:35" ht="15.75" hidden="1" x14ac:dyDescent="0.25">
      <c r="B178" s="212"/>
      <c r="C178" s="211"/>
      <c r="D178" s="207">
        <f>SUMIFS('апрель 2023'!$G$4:$G$692,'апрель 2023'!$D$4:$D$692,$B178,'апрель 2023'!$J$4:$J$692,D$1)</f>
        <v>0</v>
      </c>
      <c r="E178" s="207">
        <f>SUMIFS('апрель 2023'!$G$4:$G$692,'апрель 2023'!$D$4:$D$692,$B178,'апрель 2023'!$J$4:$J$692,E$1)</f>
        <v>0</v>
      </c>
      <c r="F178" s="207">
        <f>SUMIFS('апрель 2023'!$G$4:$G$692,'апрель 2023'!$D$4:$D$692,$B178,'апрель 2023'!$J$4:$J$692,F$1)</f>
        <v>0</v>
      </c>
      <c r="G178" s="207">
        <f>SUMIFS('апрель 2023'!$G$4:$G$692,'апрель 2023'!$D$4:$D$692,$B178,'апрель 2023'!$J$4:$J$692,G$1)</f>
        <v>0</v>
      </c>
      <c r="H178" s="207">
        <f>SUMIFS('апрель 2023'!$G$4:$G$692,'апрель 2023'!$D$4:$D$692,$B178,'апрель 2023'!$J$4:$J$692,H$1)</f>
        <v>0</v>
      </c>
      <c r="I178" s="207">
        <f>SUMIFS('апрель 2023'!$G$4:$G$692,'апрель 2023'!$D$4:$D$692,$B178,'апрель 2023'!$J$4:$J$692,I$1)</f>
        <v>0</v>
      </c>
      <c r="J178" s="207">
        <f>SUMIFS('апрель 2023'!$G$4:$G$692,'апрель 2023'!$D$4:$D$692,$B178,'апрель 2023'!$J$4:$J$692,J$1)</f>
        <v>0</v>
      </c>
      <c r="K178" s="207">
        <f>SUMIFS('апрель 2023'!$G$4:$G$692,'апрель 2023'!$D$4:$D$692,$B178,'апрель 2023'!$J$4:$J$692,K$1)</f>
        <v>0</v>
      </c>
      <c r="L178" s="207">
        <f>SUMIFS('апрель 2023'!$G$4:$G$692,'апрель 2023'!$D$4:$D$692,$B178,'апрель 2023'!$J$4:$J$692,L$1)</f>
        <v>0</v>
      </c>
      <c r="M178" s="207">
        <f>SUMIFS('апрель 2023'!$G$4:$G$692,'апрель 2023'!$D$4:$D$692,$B178,'апрель 2023'!$J$4:$J$692,M$1)</f>
        <v>0</v>
      </c>
      <c r="N178" s="207">
        <f>SUMIFS('апрель 2023'!$G$4:$G$692,'апрель 2023'!$D$4:$D$692,$B178,'апрель 2023'!$J$4:$J$692,N$1)</f>
        <v>0</v>
      </c>
      <c r="O178" s="207">
        <f>SUMIFS('апрель 2023'!$G$4:$G$692,'апрель 2023'!$D$4:$D$692,$B178,'апрель 2023'!$J$4:$J$692,O$1)</f>
        <v>0</v>
      </c>
      <c r="P178" s="207">
        <f>SUMIFS('апрель 2023'!$G$4:$G$692,'апрель 2023'!$D$4:$D$692,$B178,'апрель 2023'!$J$4:$J$692,P$1)</f>
        <v>0</v>
      </c>
      <c r="Q178" s="207">
        <f>SUMIFS('апрель 2023'!$G$4:$G$692,'апрель 2023'!$D$4:$D$692,$B178,'апрель 2023'!$J$4:$J$692,Q$1)</f>
        <v>0</v>
      </c>
      <c r="R178" s="207">
        <f>SUMIFS('апрель 2023'!$G$4:$G$692,'апрель 2023'!$D$4:$D$692,$B178,'апрель 2023'!$J$4:$J$692,R$1)</f>
        <v>0</v>
      </c>
      <c r="S178" s="207">
        <f>SUMIFS('апрель 2023'!$G$4:$G$692,'апрель 2023'!$D$4:$D$692,$B178,'апрель 2023'!$J$4:$J$692,S$1)</f>
        <v>0</v>
      </c>
      <c r="T178" s="207">
        <f>SUMIFS('апрель 2023'!$G$4:$G$692,'апрель 2023'!$D$4:$D$692,$B178,'апрель 2023'!$J$4:$J$692,T$1)</f>
        <v>0</v>
      </c>
      <c r="U178" s="207">
        <f>SUMIFS('апрель 2023'!$G$4:$G$692,'апрель 2023'!$D$4:$D$692,$B178,'апрель 2023'!$J$4:$J$692,U$1)</f>
        <v>0</v>
      </c>
      <c r="V178" s="207">
        <f>SUMIFS('апрель 2023'!$G$4:$G$692,'апрель 2023'!$D$4:$D$692,$B178,'апрель 2023'!$J$4:$J$692,V$1)</f>
        <v>0</v>
      </c>
      <c r="W178" s="207">
        <f>SUMIFS('апрель 2023'!$G$4:$G$692,'апрель 2023'!$D$4:$D$692,$B178,'апрель 2023'!$J$4:$J$692,W$1)</f>
        <v>0</v>
      </c>
      <c r="X178" s="207">
        <f>SUMIFS('апрель 2023'!$G$4:$G$692,'апрель 2023'!$D$4:$D$692,$B178,'апрель 2023'!$J$4:$J$692,X$1)</f>
        <v>0</v>
      </c>
      <c r="Y178" s="207">
        <f>SUMIFS('апрель 2023'!$G$4:$G$692,'апрель 2023'!$D$4:$D$692,$B178,'апрель 2023'!$J$4:$J$692,Y$1)</f>
        <v>0</v>
      </c>
      <c r="Z178" s="207">
        <f>SUMIFS('апрель 2023'!$G$4:$G$692,'апрель 2023'!$D$4:$D$692,$B178,'апрель 2023'!$J$4:$J$692,Z$1)</f>
        <v>0</v>
      </c>
      <c r="AA178" s="207">
        <f>SUMIFS('апрель 2023'!$G$4:$G$692,'апрель 2023'!$D$4:$D$692,$B178,'апрель 2023'!$J$4:$J$692,AA$1)</f>
        <v>0</v>
      </c>
      <c r="AB178" s="207">
        <f>SUMIFS('апрель 2023'!$G$4:$G$692,'апрель 2023'!$D$4:$D$692,$B178,'апрель 2023'!$J$4:$J$692,AB$1)</f>
        <v>0</v>
      </c>
      <c r="AC178" s="207">
        <f>SUMIFS('апрель 2023'!$G$4:$G$692,'апрель 2023'!$D$4:$D$692,$B178,'апрель 2023'!$J$4:$J$692,AC$1)</f>
        <v>0</v>
      </c>
      <c r="AD178" s="207">
        <f>SUMIFS('апрель 2023'!$G$4:$G$692,'апрель 2023'!$D$4:$D$692,$B178,'апрель 2023'!$J$4:$J$692,AD$1)</f>
        <v>0</v>
      </c>
      <c r="AE178" s="207">
        <f>SUMIFS('апрель 2023'!$G$4:$G$692,'апрель 2023'!$D$4:$D$692,$B178,'апрель 2023'!$J$4:$J$692,AE$1)</f>
        <v>0</v>
      </c>
      <c r="AF178" s="207">
        <f>SUMIFS('апрель 2023'!$G$4:$G$692,'апрель 2023'!$D$4:$D$692,$B178,'апрель 2023'!$J$4:$J$692,AF$1)</f>
        <v>0</v>
      </c>
      <c r="AG178" s="207">
        <f>SUMIFS('апрель 2023'!$G$4:$G$692,'апрель 2023'!$D$4:$D$692,$B178,'апрель 2023'!$J$4:$J$692,AG$1)</f>
        <v>0</v>
      </c>
      <c r="AH178" s="207">
        <f>SUMIFS('апрель 2023'!$G$4:$G$692,'апрель 2023'!$D$4:$D$692,$B178,'апрель 2023'!$J$4:$J$692,AH$1)</f>
        <v>0</v>
      </c>
      <c r="AI178" s="220">
        <f t="shared" si="4"/>
        <v>0</v>
      </c>
    </row>
    <row r="179" spans="2:35" ht="15.75" hidden="1" x14ac:dyDescent="0.25">
      <c r="B179" s="212"/>
      <c r="C179" s="211"/>
      <c r="D179" s="207">
        <f>SUMIFS('апрель 2023'!$G$4:$G$692,'апрель 2023'!$D$4:$D$692,$B179,'апрель 2023'!$J$4:$J$692,D$1)</f>
        <v>0</v>
      </c>
      <c r="E179" s="207">
        <f>SUMIFS('апрель 2023'!$G$4:$G$692,'апрель 2023'!$D$4:$D$692,$B179,'апрель 2023'!$J$4:$J$692,E$1)</f>
        <v>0</v>
      </c>
      <c r="F179" s="207">
        <f>SUMIFS('апрель 2023'!$G$4:$G$692,'апрель 2023'!$D$4:$D$692,$B179,'апрель 2023'!$J$4:$J$692,F$1)</f>
        <v>0</v>
      </c>
      <c r="G179" s="207">
        <f>SUMIFS('апрель 2023'!$G$4:$G$692,'апрель 2023'!$D$4:$D$692,$B179,'апрель 2023'!$J$4:$J$692,G$1)</f>
        <v>0</v>
      </c>
      <c r="H179" s="207">
        <f>SUMIFS('апрель 2023'!$G$4:$G$692,'апрель 2023'!$D$4:$D$692,$B179,'апрель 2023'!$J$4:$J$692,H$1)</f>
        <v>0</v>
      </c>
      <c r="I179" s="207">
        <f>SUMIFS('апрель 2023'!$G$4:$G$692,'апрель 2023'!$D$4:$D$692,$B179,'апрель 2023'!$J$4:$J$692,I$1)</f>
        <v>0</v>
      </c>
      <c r="J179" s="207">
        <f>SUMIFS('апрель 2023'!$G$4:$G$692,'апрель 2023'!$D$4:$D$692,$B179,'апрель 2023'!$J$4:$J$692,J$1)</f>
        <v>0</v>
      </c>
      <c r="K179" s="207">
        <f>SUMIFS('апрель 2023'!$G$4:$G$692,'апрель 2023'!$D$4:$D$692,$B179,'апрель 2023'!$J$4:$J$692,K$1)</f>
        <v>0</v>
      </c>
      <c r="L179" s="207">
        <f>SUMIFS('апрель 2023'!$G$4:$G$692,'апрель 2023'!$D$4:$D$692,$B179,'апрель 2023'!$J$4:$J$692,L$1)</f>
        <v>0</v>
      </c>
      <c r="M179" s="207">
        <f>SUMIFS('апрель 2023'!$G$4:$G$692,'апрель 2023'!$D$4:$D$692,$B179,'апрель 2023'!$J$4:$J$692,M$1)</f>
        <v>0</v>
      </c>
      <c r="N179" s="207">
        <f>SUMIFS('апрель 2023'!$G$4:$G$692,'апрель 2023'!$D$4:$D$692,$B179,'апрель 2023'!$J$4:$J$692,N$1)</f>
        <v>0</v>
      </c>
      <c r="O179" s="207">
        <f>SUMIFS('апрель 2023'!$G$4:$G$692,'апрель 2023'!$D$4:$D$692,$B179,'апрель 2023'!$J$4:$J$692,O$1)</f>
        <v>0</v>
      </c>
      <c r="P179" s="207">
        <f>SUMIFS('апрель 2023'!$G$4:$G$692,'апрель 2023'!$D$4:$D$692,$B179,'апрель 2023'!$J$4:$J$692,P$1)</f>
        <v>0</v>
      </c>
      <c r="Q179" s="207">
        <f>SUMIFS('апрель 2023'!$G$4:$G$692,'апрель 2023'!$D$4:$D$692,$B179,'апрель 2023'!$J$4:$J$692,Q$1)</f>
        <v>0</v>
      </c>
      <c r="R179" s="207">
        <f>SUMIFS('апрель 2023'!$G$4:$G$692,'апрель 2023'!$D$4:$D$692,$B179,'апрель 2023'!$J$4:$J$692,R$1)</f>
        <v>0</v>
      </c>
      <c r="S179" s="207">
        <f>SUMIFS('апрель 2023'!$G$4:$G$692,'апрель 2023'!$D$4:$D$692,$B179,'апрель 2023'!$J$4:$J$692,S$1)</f>
        <v>0</v>
      </c>
      <c r="T179" s="207">
        <f>SUMIFS('апрель 2023'!$G$4:$G$692,'апрель 2023'!$D$4:$D$692,$B179,'апрель 2023'!$J$4:$J$692,T$1)</f>
        <v>0</v>
      </c>
      <c r="U179" s="207">
        <f>SUMIFS('апрель 2023'!$G$4:$G$692,'апрель 2023'!$D$4:$D$692,$B179,'апрель 2023'!$J$4:$J$692,U$1)</f>
        <v>0</v>
      </c>
      <c r="V179" s="207">
        <f>SUMIFS('апрель 2023'!$G$4:$G$692,'апрель 2023'!$D$4:$D$692,$B179,'апрель 2023'!$J$4:$J$692,V$1)</f>
        <v>0</v>
      </c>
      <c r="W179" s="207">
        <f>SUMIFS('апрель 2023'!$G$4:$G$692,'апрель 2023'!$D$4:$D$692,$B179,'апрель 2023'!$J$4:$J$692,W$1)</f>
        <v>0</v>
      </c>
      <c r="X179" s="207">
        <f>SUMIFS('апрель 2023'!$G$4:$G$692,'апрель 2023'!$D$4:$D$692,$B179,'апрель 2023'!$J$4:$J$692,X$1)</f>
        <v>0</v>
      </c>
      <c r="Y179" s="207">
        <f>SUMIFS('апрель 2023'!$G$4:$G$692,'апрель 2023'!$D$4:$D$692,$B179,'апрель 2023'!$J$4:$J$692,Y$1)</f>
        <v>0</v>
      </c>
      <c r="Z179" s="207">
        <f>SUMIFS('апрель 2023'!$G$4:$G$692,'апрель 2023'!$D$4:$D$692,$B179,'апрель 2023'!$J$4:$J$692,Z$1)</f>
        <v>0</v>
      </c>
      <c r="AA179" s="207">
        <f>SUMIFS('апрель 2023'!$G$4:$G$692,'апрель 2023'!$D$4:$D$692,$B179,'апрель 2023'!$J$4:$J$692,AA$1)</f>
        <v>0</v>
      </c>
      <c r="AB179" s="207">
        <f>SUMIFS('апрель 2023'!$G$4:$G$692,'апрель 2023'!$D$4:$D$692,$B179,'апрель 2023'!$J$4:$J$692,AB$1)</f>
        <v>0</v>
      </c>
      <c r="AC179" s="207">
        <f>SUMIFS('апрель 2023'!$G$4:$G$692,'апрель 2023'!$D$4:$D$692,$B179,'апрель 2023'!$J$4:$J$692,AC$1)</f>
        <v>0</v>
      </c>
      <c r="AD179" s="207">
        <f>SUMIFS('апрель 2023'!$G$4:$G$692,'апрель 2023'!$D$4:$D$692,$B179,'апрель 2023'!$J$4:$J$692,AD$1)</f>
        <v>0</v>
      </c>
      <c r="AE179" s="207">
        <f>SUMIFS('апрель 2023'!$G$4:$G$692,'апрель 2023'!$D$4:$D$692,$B179,'апрель 2023'!$J$4:$J$692,AE$1)</f>
        <v>0</v>
      </c>
      <c r="AF179" s="207">
        <f>SUMIFS('апрель 2023'!$G$4:$G$692,'апрель 2023'!$D$4:$D$692,$B179,'апрель 2023'!$J$4:$J$692,AF$1)</f>
        <v>0</v>
      </c>
      <c r="AG179" s="207">
        <f>SUMIFS('апрель 2023'!$G$4:$G$692,'апрель 2023'!$D$4:$D$692,$B179,'апрель 2023'!$J$4:$J$692,AG$1)</f>
        <v>0</v>
      </c>
      <c r="AH179" s="207">
        <f>SUMIFS('апрель 2023'!$G$4:$G$692,'апрель 2023'!$D$4:$D$692,$B179,'апрель 2023'!$J$4:$J$692,AH$1)</f>
        <v>0</v>
      </c>
      <c r="AI179" s="220">
        <f t="shared" si="4"/>
        <v>0</v>
      </c>
    </row>
    <row r="180" spans="2:35" ht="15.75" hidden="1" x14ac:dyDescent="0.25">
      <c r="B180" s="212"/>
      <c r="C180" s="211"/>
      <c r="D180" s="207">
        <f>SUMIFS('апрель 2023'!$G$4:$G$692,'апрель 2023'!$D$4:$D$692,$B180,'апрель 2023'!$J$4:$J$692,D$1)</f>
        <v>0</v>
      </c>
      <c r="E180" s="207">
        <f>SUMIFS('апрель 2023'!$G$4:$G$692,'апрель 2023'!$D$4:$D$692,$B180,'апрель 2023'!$J$4:$J$692,E$1)</f>
        <v>0</v>
      </c>
      <c r="F180" s="207">
        <f>SUMIFS('апрель 2023'!$G$4:$G$692,'апрель 2023'!$D$4:$D$692,$B180,'апрель 2023'!$J$4:$J$692,F$1)</f>
        <v>0</v>
      </c>
      <c r="G180" s="207">
        <f>SUMIFS('апрель 2023'!$G$4:$G$692,'апрель 2023'!$D$4:$D$692,$B180,'апрель 2023'!$J$4:$J$692,G$1)</f>
        <v>0</v>
      </c>
      <c r="H180" s="207">
        <f>SUMIFS('апрель 2023'!$G$4:$G$692,'апрель 2023'!$D$4:$D$692,$B180,'апрель 2023'!$J$4:$J$692,H$1)</f>
        <v>0</v>
      </c>
      <c r="I180" s="207">
        <f>SUMIFS('апрель 2023'!$G$4:$G$692,'апрель 2023'!$D$4:$D$692,$B180,'апрель 2023'!$J$4:$J$692,I$1)</f>
        <v>0</v>
      </c>
      <c r="J180" s="207">
        <f>SUMIFS('апрель 2023'!$G$4:$G$692,'апрель 2023'!$D$4:$D$692,$B180,'апрель 2023'!$J$4:$J$692,J$1)</f>
        <v>0</v>
      </c>
      <c r="K180" s="207">
        <f>SUMIFS('апрель 2023'!$G$4:$G$692,'апрель 2023'!$D$4:$D$692,$B180,'апрель 2023'!$J$4:$J$692,K$1)</f>
        <v>0</v>
      </c>
      <c r="L180" s="207">
        <f>SUMIFS('апрель 2023'!$G$4:$G$692,'апрель 2023'!$D$4:$D$692,$B180,'апрель 2023'!$J$4:$J$692,L$1)</f>
        <v>0</v>
      </c>
      <c r="M180" s="207">
        <f>SUMIFS('апрель 2023'!$G$4:$G$692,'апрель 2023'!$D$4:$D$692,$B180,'апрель 2023'!$J$4:$J$692,M$1)</f>
        <v>0</v>
      </c>
      <c r="N180" s="207">
        <f>SUMIFS('апрель 2023'!$G$4:$G$692,'апрель 2023'!$D$4:$D$692,$B180,'апрель 2023'!$J$4:$J$692,N$1)</f>
        <v>0</v>
      </c>
      <c r="O180" s="207">
        <f>SUMIFS('апрель 2023'!$G$4:$G$692,'апрель 2023'!$D$4:$D$692,$B180,'апрель 2023'!$J$4:$J$692,O$1)</f>
        <v>0</v>
      </c>
      <c r="P180" s="207">
        <f>SUMIFS('апрель 2023'!$G$4:$G$692,'апрель 2023'!$D$4:$D$692,$B180,'апрель 2023'!$J$4:$J$692,P$1)</f>
        <v>0</v>
      </c>
      <c r="Q180" s="207">
        <f>SUMIFS('апрель 2023'!$G$4:$G$692,'апрель 2023'!$D$4:$D$692,$B180,'апрель 2023'!$J$4:$J$692,Q$1)</f>
        <v>0</v>
      </c>
      <c r="R180" s="207">
        <f>SUMIFS('апрель 2023'!$G$4:$G$692,'апрель 2023'!$D$4:$D$692,$B180,'апрель 2023'!$J$4:$J$692,R$1)</f>
        <v>0</v>
      </c>
      <c r="S180" s="207">
        <f>SUMIFS('апрель 2023'!$G$4:$G$692,'апрель 2023'!$D$4:$D$692,$B180,'апрель 2023'!$J$4:$J$692,S$1)</f>
        <v>0</v>
      </c>
      <c r="T180" s="207">
        <f>SUMIFS('апрель 2023'!$G$4:$G$692,'апрель 2023'!$D$4:$D$692,$B180,'апрель 2023'!$J$4:$J$692,T$1)</f>
        <v>0</v>
      </c>
      <c r="U180" s="207">
        <f>SUMIFS('апрель 2023'!$G$4:$G$692,'апрель 2023'!$D$4:$D$692,$B180,'апрель 2023'!$J$4:$J$692,U$1)</f>
        <v>0</v>
      </c>
      <c r="V180" s="207">
        <f>SUMIFS('апрель 2023'!$G$4:$G$692,'апрель 2023'!$D$4:$D$692,$B180,'апрель 2023'!$J$4:$J$692,V$1)</f>
        <v>0</v>
      </c>
      <c r="W180" s="207">
        <f>SUMIFS('апрель 2023'!$G$4:$G$692,'апрель 2023'!$D$4:$D$692,$B180,'апрель 2023'!$J$4:$J$692,W$1)</f>
        <v>0</v>
      </c>
      <c r="X180" s="207">
        <f>SUMIFS('апрель 2023'!$G$4:$G$692,'апрель 2023'!$D$4:$D$692,$B180,'апрель 2023'!$J$4:$J$692,X$1)</f>
        <v>0</v>
      </c>
      <c r="Y180" s="207">
        <f>SUMIFS('апрель 2023'!$G$4:$G$692,'апрель 2023'!$D$4:$D$692,$B180,'апрель 2023'!$J$4:$J$692,Y$1)</f>
        <v>0</v>
      </c>
      <c r="Z180" s="207">
        <f>SUMIFS('апрель 2023'!$G$4:$G$692,'апрель 2023'!$D$4:$D$692,$B180,'апрель 2023'!$J$4:$J$692,Z$1)</f>
        <v>0</v>
      </c>
      <c r="AA180" s="207">
        <f>SUMIFS('апрель 2023'!$G$4:$G$692,'апрель 2023'!$D$4:$D$692,$B180,'апрель 2023'!$J$4:$J$692,AA$1)</f>
        <v>0</v>
      </c>
      <c r="AB180" s="207">
        <f>SUMIFS('апрель 2023'!$G$4:$G$692,'апрель 2023'!$D$4:$D$692,$B180,'апрель 2023'!$J$4:$J$692,AB$1)</f>
        <v>0</v>
      </c>
      <c r="AC180" s="207">
        <f>SUMIFS('апрель 2023'!$G$4:$G$692,'апрель 2023'!$D$4:$D$692,$B180,'апрель 2023'!$J$4:$J$692,AC$1)</f>
        <v>0</v>
      </c>
      <c r="AD180" s="207">
        <f>SUMIFS('апрель 2023'!$G$4:$G$692,'апрель 2023'!$D$4:$D$692,$B180,'апрель 2023'!$J$4:$J$692,AD$1)</f>
        <v>0</v>
      </c>
      <c r="AE180" s="207">
        <f>SUMIFS('апрель 2023'!$G$4:$G$692,'апрель 2023'!$D$4:$D$692,$B180,'апрель 2023'!$J$4:$J$692,AE$1)</f>
        <v>0</v>
      </c>
      <c r="AF180" s="207">
        <f>SUMIFS('апрель 2023'!$G$4:$G$692,'апрель 2023'!$D$4:$D$692,$B180,'апрель 2023'!$J$4:$J$692,AF$1)</f>
        <v>0</v>
      </c>
      <c r="AG180" s="207">
        <f>SUMIFS('апрель 2023'!$G$4:$G$692,'апрель 2023'!$D$4:$D$692,$B180,'апрель 2023'!$J$4:$J$692,AG$1)</f>
        <v>0</v>
      </c>
      <c r="AH180" s="207">
        <f>SUMIFS('апрель 2023'!$G$4:$G$692,'апрель 2023'!$D$4:$D$692,$B180,'апрель 2023'!$J$4:$J$692,AH$1)</f>
        <v>0</v>
      </c>
      <c r="AI180" s="220">
        <f t="shared" si="4"/>
        <v>0</v>
      </c>
    </row>
    <row r="181" spans="2:35" ht="15.75" x14ac:dyDescent="0.25">
      <c r="B181" s="212"/>
      <c r="C181" s="221"/>
      <c r="D181" s="207">
        <f>SUMIFS('апрель 2023'!$G$4:$G$692,'апрель 2023'!$D$4:$D$692,$B181,'апрель 2023'!$J$4:$J$692,D$1)</f>
        <v>0</v>
      </c>
      <c r="E181" s="207">
        <f>SUMIFS('апрель 2023'!$G$4:$G$692,'апрель 2023'!$D$4:$D$692,$B181,'апрель 2023'!$J$4:$J$692,E$1)</f>
        <v>0</v>
      </c>
      <c r="F181" s="207">
        <f>SUMIFS('апрель 2023'!$G$4:$G$692,'апрель 2023'!$D$4:$D$692,$B181,'апрель 2023'!$J$4:$J$692,F$1)</f>
        <v>0</v>
      </c>
      <c r="G181" s="207">
        <f>SUMIFS('апрель 2023'!$G$4:$G$692,'апрель 2023'!$D$4:$D$692,$B181,'апрель 2023'!$J$4:$J$692,G$1)</f>
        <v>0</v>
      </c>
      <c r="H181" s="207">
        <f>SUMIFS('апрель 2023'!$G$4:$G$692,'апрель 2023'!$D$4:$D$692,$B181,'апрель 2023'!$J$4:$J$692,H$1)</f>
        <v>0</v>
      </c>
      <c r="I181" s="207">
        <f>SUMIFS('апрель 2023'!$G$4:$G$692,'апрель 2023'!$D$4:$D$692,$B181,'апрель 2023'!$J$4:$J$692,I$1)</f>
        <v>0</v>
      </c>
      <c r="J181" s="207">
        <f>SUMIFS('апрель 2023'!$G$4:$G$692,'апрель 2023'!$D$4:$D$692,$B181,'апрель 2023'!$J$4:$J$692,J$1)</f>
        <v>0</v>
      </c>
      <c r="K181" s="207">
        <f>SUMIFS('апрель 2023'!$G$4:$G$692,'апрель 2023'!$D$4:$D$692,$B181,'апрель 2023'!$J$4:$J$692,K$1)</f>
        <v>0</v>
      </c>
      <c r="L181" s="207">
        <f>SUMIFS('апрель 2023'!$G$4:$G$692,'апрель 2023'!$D$4:$D$692,$B181,'апрель 2023'!$J$4:$J$692,L$1)</f>
        <v>0</v>
      </c>
      <c r="M181" s="207">
        <f>SUMIFS('апрель 2023'!$G$4:$G$692,'апрель 2023'!$D$4:$D$692,$B181,'апрель 2023'!$J$4:$J$692,M$1)</f>
        <v>0</v>
      </c>
      <c r="N181" s="207">
        <f>SUMIFS('апрель 2023'!$G$4:$G$692,'апрель 2023'!$D$4:$D$692,$B181,'апрель 2023'!$J$4:$J$692,N$1)</f>
        <v>0</v>
      </c>
      <c r="O181" s="207">
        <f>SUMIFS('апрель 2023'!$G$4:$G$692,'апрель 2023'!$D$4:$D$692,$B181,'апрель 2023'!$J$4:$J$692,O$1)</f>
        <v>0</v>
      </c>
      <c r="P181" s="207">
        <f>SUMIFS('апрель 2023'!$G$4:$G$692,'апрель 2023'!$D$4:$D$692,$B181,'апрель 2023'!$J$4:$J$692,P$1)</f>
        <v>0</v>
      </c>
      <c r="Q181" s="207">
        <f>SUMIFS('апрель 2023'!$G$4:$G$692,'апрель 2023'!$D$4:$D$692,$B181,'апрель 2023'!$J$4:$J$692,Q$1)</f>
        <v>0</v>
      </c>
      <c r="R181" s="207">
        <f>SUMIFS('апрель 2023'!$G$4:$G$692,'апрель 2023'!$D$4:$D$692,$B181,'апрель 2023'!$J$4:$J$692,R$1)</f>
        <v>0</v>
      </c>
      <c r="S181" s="207">
        <f>SUMIFS('апрель 2023'!$G$4:$G$692,'апрель 2023'!$D$4:$D$692,$B181,'апрель 2023'!$J$4:$J$692,S$1)</f>
        <v>0</v>
      </c>
      <c r="T181" s="207">
        <f>SUMIFS('апрель 2023'!$G$4:$G$692,'апрель 2023'!$D$4:$D$692,$B181,'апрель 2023'!$J$4:$J$692,T$1)</f>
        <v>0</v>
      </c>
      <c r="U181" s="207">
        <f>SUMIFS('апрель 2023'!$G$4:$G$692,'апрель 2023'!$D$4:$D$692,$B181,'апрель 2023'!$J$4:$J$692,U$1)</f>
        <v>0</v>
      </c>
      <c r="V181" s="207">
        <f>SUMIFS('апрель 2023'!$G$4:$G$692,'апрель 2023'!$D$4:$D$692,$B181,'апрель 2023'!$J$4:$J$692,V$1)</f>
        <v>0</v>
      </c>
      <c r="W181" s="207">
        <f>SUMIFS('апрель 2023'!$G$4:$G$692,'апрель 2023'!$D$4:$D$692,$B181,'апрель 2023'!$J$4:$J$692,W$1)</f>
        <v>0</v>
      </c>
      <c r="X181" s="207">
        <f>SUMIFS('апрель 2023'!$G$4:$G$692,'апрель 2023'!$D$4:$D$692,$B181,'апрель 2023'!$J$4:$J$692,X$1)</f>
        <v>0</v>
      </c>
      <c r="Y181" s="207">
        <f>SUMIFS('апрель 2023'!$G$4:$G$692,'апрель 2023'!$D$4:$D$692,$B181,'апрель 2023'!$J$4:$J$692,Y$1)</f>
        <v>0</v>
      </c>
      <c r="Z181" s="207">
        <f>SUMIFS('апрель 2023'!$G$4:$G$692,'апрель 2023'!$D$4:$D$692,$B181,'апрель 2023'!$J$4:$J$692,Z$1)</f>
        <v>0</v>
      </c>
      <c r="AA181" s="207">
        <f>SUMIFS('апрель 2023'!$G$4:$G$692,'апрель 2023'!$D$4:$D$692,$B181,'апрель 2023'!$J$4:$J$692,AA$1)</f>
        <v>0</v>
      </c>
      <c r="AB181" s="207">
        <f>SUMIFS('апрель 2023'!$G$4:$G$692,'апрель 2023'!$D$4:$D$692,$B181,'апрель 2023'!$J$4:$J$692,AB$1)</f>
        <v>0</v>
      </c>
      <c r="AC181" s="207">
        <f>SUMIFS('апрель 2023'!$G$4:$G$692,'апрель 2023'!$D$4:$D$692,$B181,'апрель 2023'!$J$4:$J$692,AC$1)</f>
        <v>0</v>
      </c>
      <c r="AD181" s="207">
        <f>SUMIFS('апрель 2023'!$G$4:$G$692,'апрель 2023'!$D$4:$D$692,$B181,'апрель 2023'!$J$4:$J$692,AD$1)</f>
        <v>0</v>
      </c>
      <c r="AE181" s="207">
        <f>SUMIFS('апрель 2023'!$G$4:$G$692,'апрель 2023'!$D$4:$D$692,$B181,'апрель 2023'!$J$4:$J$692,AE$1)</f>
        <v>0</v>
      </c>
      <c r="AF181" s="207">
        <f>SUMIFS('апрель 2023'!$G$4:$G$692,'апрель 2023'!$D$4:$D$692,$B181,'апрель 2023'!$J$4:$J$692,AF$1)</f>
        <v>0</v>
      </c>
      <c r="AG181" s="207">
        <f>SUMIFS('апрель 2023'!$G$4:$G$692,'апрель 2023'!$D$4:$D$692,$B181,'апрель 2023'!$J$4:$J$692,AG$1)</f>
        <v>0</v>
      </c>
      <c r="AH181" s="207">
        <f>SUMIFS('апрель 2023'!$G$4:$G$692,'апрель 2023'!$D$4:$D$692,$B181,'апрель 2023'!$J$4:$J$692,AH$1)</f>
        <v>0</v>
      </c>
      <c r="AI181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0000000}">
          <x14:formula1>
            <xm:f>справочник!$E$4:$E$159</xm:f>
          </x14:formula1>
          <xm:sqref>B3:B181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15"/>
  <dimension ref="B1:AI179"/>
  <sheetViews>
    <sheetView showZeros="0" topLeftCell="A8" zoomScale="70" workbookViewId="0">
      <selection activeCell="A38" sqref="A38:XFD38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x14ac:dyDescent="0.25">
      <c r="B1" s="191">
        <v>44986</v>
      </c>
      <c r="C1" s="192"/>
      <c r="D1" s="157">
        <f>B1</f>
        <v>44986</v>
      </c>
      <c r="E1" s="157">
        <f>D1+1</f>
        <v>44987</v>
      </c>
      <c r="F1" s="157">
        <f t="shared" ref="F1:AH1" si="0">E1+1</f>
        <v>44988</v>
      </c>
      <c r="G1" s="157">
        <f t="shared" si="0"/>
        <v>44989</v>
      </c>
      <c r="H1" s="157">
        <f t="shared" si="0"/>
        <v>44990</v>
      </c>
      <c r="I1" s="157">
        <f t="shared" si="0"/>
        <v>44991</v>
      </c>
      <c r="J1" s="157">
        <f t="shared" si="0"/>
        <v>44992</v>
      </c>
      <c r="K1" s="157">
        <f t="shared" si="0"/>
        <v>44993</v>
      </c>
      <c r="L1" s="157">
        <f t="shared" si="0"/>
        <v>44994</v>
      </c>
      <c r="M1" s="157">
        <f t="shared" si="0"/>
        <v>44995</v>
      </c>
      <c r="N1" s="157">
        <f t="shared" si="0"/>
        <v>44996</v>
      </c>
      <c r="O1" s="157">
        <f t="shared" si="0"/>
        <v>44997</v>
      </c>
      <c r="P1" s="157">
        <f t="shared" si="0"/>
        <v>44998</v>
      </c>
      <c r="Q1" s="157">
        <f t="shared" si="0"/>
        <v>44999</v>
      </c>
      <c r="R1" s="157">
        <f t="shared" si="0"/>
        <v>45000</v>
      </c>
      <c r="S1" s="157">
        <f t="shared" si="0"/>
        <v>45001</v>
      </c>
      <c r="T1" s="157">
        <f t="shared" si="0"/>
        <v>45002</v>
      </c>
      <c r="U1" s="157">
        <f t="shared" si="0"/>
        <v>45003</v>
      </c>
      <c r="V1" s="157">
        <f t="shared" si="0"/>
        <v>45004</v>
      </c>
      <c r="W1" s="157">
        <f t="shared" si="0"/>
        <v>45005</v>
      </c>
      <c r="X1" s="157">
        <f t="shared" si="0"/>
        <v>45006</v>
      </c>
      <c r="Y1" s="157">
        <f t="shared" si="0"/>
        <v>45007</v>
      </c>
      <c r="Z1" s="157">
        <f t="shared" si="0"/>
        <v>45008</v>
      </c>
      <c r="AA1" s="157">
        <f t="shared" si="0"/>
        <v>45009</v>
      </c>
      <c r="AB1" s="157">
        <f t="shared" si="0"/>
        <v>45010</v>
      </c>
      <c r="AC1" s="157">
        <f t="shared" si="0"/>
        <v>45011</v>
      </c>
      <c r="AD1" s="157">
        <f t="shared" si="0"/>
        <v>45012</v>
      </c>
      <c r="AE1" s="157">
        <f t="shared" si="0"/>
        <v>45013</v>
      </c>
      <c r="AF1" s="157">
        <f t="shared" si="0"/>
        <v>45014</v>
      </c>
      <c r="AG1" s="157">
        <f t="shared" si="0"/>
        <v>45015</v>
      </c>
      <c r="AH1" s="157">
        <f t="shared" si="0"/>
        <v>45016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SUMIFS('март 2023'!$G$4:$G$582,'март 2023'!$D$4:$D$582,$B3,'март 2023'!$J$4:$J$582,D$1)</f>
        <v>0</v>
      </c>
      <c r="E3" s="198">
        <f>SUMIFS('март 2023'!$G$4:$G$582,'март 2023'!$D$4:$D$582,$B3,'март 2023'!$J$4:$J$582,E$1)</f>
        <v>0</v>
      </c>
      <c r="F3" s="198">
        <f>SUMIFS('март 2023'!$G$4:$G$582,'март 2023'!$D$4:$D$582,$B3,'март 2023'!$J$4:$J$582,F$1)</f>
        <v>875</v>
      </c>
      <c r="G3" s="198">
        <f>SUMIFS('март 2023'!$G$4:$G$582,'март 2023'!$D$4:$D$582,$B3,'март 2023'!$J$4:$J$582,G$1)</f>
        <v>0</v>
      </c>
      <c r="H3" s="198">
        <f>SUMIFS('март 2023'!$G$4:$G$582,'март 2023'!$D$4:$D$582,$B3,'март 2023'!$J$4:$J$582,H$1)</f>
        <v>0</v>
      </c>
      <c r="I3" s="198">
        <f>SUMIFS('март 2023'!$G$4:$G$582,'март 2023'!$D$4:$D$582,$B3,'март 2023'!$J$4:$J$582,I$1)</f>
        <v>0</v>
      </c>
      <c r="J3" s="198">
        <f>SUMIFS('март 2023'!$G$4:$G$582,'март 2023'!$D$4:$D$582,$B3,'март 2023'!$J$4:$J$582,J$1)</f>
        <v>875</v>
      </c>
      <c r="K3" s="198">
        <f>SUMIFS('март 2023'!$G$4:$G$582,'март 2023'!$D$4:$D$582,$B3,'март 2023'!$J$4:$J$582,K$1)</f>
        <v>0</v>
      </c>
      <c r="L3" s="198">
        <f>SUMIFS('март 2023'!$G$4:$G$582,'март 2023'!$D$4:$D$582,$B3,'март 2023'!$J$4:$J$582,L$1)</f>
        <v>875</v>
      </c>
      <c r="M3" s="198">
        <f>SUMIFS('март 2023'!$G$4:$G$582,'март 2023'!$D$4:$D$582,$B3,'март 2023'!$J$4:$J$582,M$1)</f>
        <v>0</v>
      </c>
      <c r="N3" s="198">
        <f>SUMIFS('март 2023'!$G$4:$G$582,'март 2023'!$D$4:$D$582,$B3,'март 2023'!$J$4:$J$582,N$1)</f>
        <v>0</v>
      </c>
      <c r="O3" s="198">
        <f>SUMIFS('март 2023'!$G$4:$G$582,'март 2023'!$D$4:$D$582,$B3,'март 2023'!$J$4:$J$582,O$1)</f>
        <v>0</v>
      </c>
      <c r="P3" s="198">
        <f>SUMIFS('март 2023'!$G$4:$G$582,'март 2023'!$D$4:$D$582,$B3,'март 2023'!$J$4:$J$582,P$1)</f>
        <v>875</v>
      </c>
      <c r="Q3" s="198">
        <f>SUMIFS('март 2023'!$G$4:$G$582,'март 2023'!$D$4:$D$582,$B3,'март 2023'!$J$4:$J$582,Q$1)</f>
        <v>0</v>
      </c>
      <c r="R3" s="198">
        <f>SUMIFS('март 2023'!$G$4:$G$582,'март 2023'!$D$4:$D$582,$B3,'март 2023'!$J$4:$J$582,R$1)</f>
        <v>0</v>
      </c>
      <c r="S3" s="198">
        <f>SUMIFS('март 2023'!$G$4:$G$582,'март 2023'!$D$4:$D$582,$B3,'март 2023'!$J$4:$J$582,S$1)</f>
        <v>0</v>
      </c>
      <c r="T3" s="198">
        <f>SUMIFS('март 2023'!$G$4:$G$582,'март 2023'!$D$4:$D$582,$B3,'март 2023'!$J$4:$J$582,T$1)</f>
        <v>0</v>
      </c>
      <c r="U3" s="198">
        <f>SUMIFS('март 2023'!$G$4:$G$582,'март 2023'!$D$4:$D$582,$B3,'март 2023'!$J$4:$J$582,U$1)</f>
        <v>0</v>
      </c>
      <c r="V3" s="198">
        <f>SUMIFS('март 2023'!$G$4:$G$582,'март 2023'!$D$4:$D$582,$B3,'март 2023'!$J$4:$J$582,V$1)</f>
        <v>0</v>
      </c>
      <c r="W3" s="198">
        <f>SUMIFS('март 2023'!$G$4:$G$582,'март 2023'!$D$4:$D$582,$B3,'март 2023'!$J$4:$J$582,W$1)</f>
        <v>0</v>
      </c>
      <c r="X3" s="198">
        <f>SUMIFS('март 2023'!$G$4:$G$582,'март 2023'!$D$4:$D$582,$B3,'март 2023'!$J$4:$J$582,X$1)</f>
        <v>0</v>
      </c>
      <c r="Y3" s="198">
        <f>SUMIFS('март 2023'!$G$4:$G$582,'март 2023'!$D$4:$D$582,$B3,'март 2023'!$J$4:$J$582,Y$1)</f>
        <v>0</v>
      </c>
      <c r="Z3" s="198">
        <f>SUMIFS('март 2023'!$G$4:$G$582,'март 2023'!$D$4:$D$582,$B3,'март 2023'!$J$4:$J$582,Z$1)</f>
        <v>0</v>
      </c>
      <c r="AA3" s="198">
        <f>SUMIFS('март 2023'!$G$4:$G$582,'март 2023'!$D$4:$D$582,$B3,'март 2023'!$J$4:$J$582,AA$1)</f>
        <v>0</v>
      </c>
      <c r="AB3" s="198">
        <f>SUMIFS('март 2023'!$G$4:$G$582,'март 2023'!$D$4:$D$582,$B3,'март 2023'!$J$4:$J$582,AB$1)</f>
        <v>0</v>
      </c>
      <c r="AC3" s="198">
        <f>SUMIFS('март 2023'!$G$4:$G$582,'март 2023'!$D$4:$D$582,$B3,'март 2023'!$J$4:$J$582,AC$1)</f>
        <v>0</v>
      </c>
      <c r="AD3" s="198">
        <f>SUMIFS('март 2023'!$G$4:$G$582,'март 2023'!$D$4:$D$582,$B3,'март 2023'!$J$4:$J$582,AD$1)</f>
        <v>0</v>
      </c>
      <c r="AE3" s="198">
        <f>SUMIFS('март 2023'!$G$4:$G$582,'март 2023'!$D$4:$D$582,$B3,'март 2023'!$J$4:$J$582,AE$1)</f>
        <v>0</v>
      </c>
      <c r="AF3" s="198">
        <f>SUMIFS('март 2023'!$G$4:$G$582,'март 2023'!$D$4:$D$582,$B3,'март 2023'!$J$4:$J$582,AF$1)</f>
        <v>0</v>
      </c>
      <c r="AG3" s="198">
        <f>SUMIFS('март 2023'!$G$4:$G$582,'март 2023'!$D$4:$D$582,$B3,'март 2023'!$J$4:$J$582,AG$1)</f>
        <v>0</v>
      </c>
      <c r="AH3" s="198">
        <f>SUMIFS('март 2023'!$G$4:$G$582,'март 2023'!$D$4:$D$582,$B3,'март 2023'!$J$4:$J$582,AH$1)</f>
        <v>385</v>
      </c>
      <c r="AI3" s="166">
        <f t="shared" ref="AI3:AI66" si="1">SUM(D3:AH3)</f>
        <v>3885</v>
      </c>
    </row>
    <row r="4" spans="2:35" ht="15" customHeight="1" x14ac:dyDescent="0.25">
      <c r="B4" s="199" t="s">
        <v>74</v>
      </c>
      <c r="C4" s="200">
        <v>25</v>
      </c>
      <c r="D4" s="198">
        <f>SUMIFS('март 2023'!$G$4:$G$582,'март 2023'!$D$4:$D$582,$B4,'март 2023'!$J$4:$J$582,D$1)</f>
        <v>0</v>
      </c>
      <c r="E4" s="198">
        <f>SUMIFS('март 2023'!$G$4:$G$582,'март 2023'!$D$4:$D$582,$B4,'март 2023'!$J$4:$J$582,E$1)</f>
        <v>0</v>
      </c>
      <c r="F4" s="198">
        <f>SUMIFS('март 2023'!$G$4:$G$582,'март 2023'!$D$4:$D$582,$B4,'март 2023'!$J$4:$J$582,F$1)</f>
        <v>0</v>
      </c>
      <c r="G4" s="198">
        <f>SUMIFS('март 2023'!$G$4:$G$582,'март 2023'!$D$4:$D$582,$B4,'март 2023'!$J$4:$J$582,G$1)</f>
        <v>0</v>
      </c>
      <c r="H4" s="198">
        <f>SUMIFS('март 2023'!$G$4:$G$582,'март 2023'!$D$4:$D$582,$B4,'март 2023'!$J$4:$J$582,H$1)</f>
        <v>0</v>
      </c>
      <c r="I4" s="198">
        <f>SUMIFS('март 2023'!$G$4:$G$582,'март 2023'!$D$4:$D$582,$B4,'март 2023'!$J$4:$J$582,I$1)</f>
        <v>0</v>
      </c>
      <c r="J4" s="198">
        <f>SUMIFS('март 2023'!$G$4:$G$582,'март 2023'!$D$4:$D$582,$B4,'март 2023'!$J$4:$J$582,J$1)</f>
        <v>0</v>
      </c>
      <c r="K4" s="198">
        <f>SUMIFS('март 2023'!$G$4:$G$582,'март 2023'!$D$4:$D$582,$B4,'март 2023'!$J$4:$J$582,K$1)</f>
        <v>0</v>
      </c>
      <c r="L4" s="198">
        <f>SUMIFS('март 2023'!$G$4:$G$582,'март 2023'!$D$4:$D$582,$B4,'март 2023'!$J$4:$J$582,L$1)</f>
        <v>0</v>
      </c>
      <c r="M4" s="198">
        <f>SUMIFS('март 2023'!$G$4:$G$582,'март 2023'!$D$4:$D$582,$B4,'март 2023'!$J$4:$J$582,M$1)</f>
        <v>0</v>
      </c>
      <c r="N4" s="198">
        <f>SUMIFS('март 2023'!$G$4:$G$582,'март 2023'!$D$4:$D$582,$B4,'март 2023'!$J$4:$J$582,N$1)</f>
        <v>0</v>
      </c>
      <c r="O4" s="198">
        <f>SUMIFS('март 2023'!$G$4:$G$582,'март 2023'!$D$4:$D$582,$B4,'март 2023'!$J$4:$J$582,O$1)</f>
        <v>0</v>
      </c>
      <c r="P4" s="198">
        <f>SUMIFS('март 2023'!$G$4:$G$582,'март 2023'!$D$4:$D$582,$B4,'март 2023'!$J$4:$J$582,P$1)</f>
        <v>0</v>
      </c>
      <c r="Q4" s="198">
        <f>SUMIFS('март 2023'!$G$4:$G$582,'март 2023'!$D$4:$D$582,$B4,'март 2023'!$J$4:$J$582,Q$1)</f>
        <v>0</v>
      </c>
      <c r="R4" s="198">
        <f>SUMIFS('март 2023'!$G$4:$G$582,'март 2023'!$D$4:$D$582,$B4,'март 2023'!$J$4:$J$582,R$1)</f>
        <v>0</v>
      </c>
      <c r="S4" s="198">
        <f>SUMIFS('март 2023'!$G$4:$G$582,'март 2023'!$D$4:$D$582,$B4,'март 2023'!$J$4:$J$582,S$1)</f>
        <v>0</v>
      </c>
      <c r="T4" s="198">
        <f>SUMIFS('март 2023'!$G$4:$G$582,'март 2023'!$D$4:$D$582,$B4,'март 2023'!$J$4:$J$582,T$1)</f>
        <v>800</v>
      </c>
      <c r="U4" s="198">
        <f>SUMIFS('март 2023'!$G$4:$G$582,'март 2023'!$D$4:$D$582,$B4,'март 2023'!$J$4:$J$582,U$1)</f>
        <v>0</v>
      </c>
      <c r="V4" s="198">
        <f>SUMIFS('март 2023'!$G$4:$G$582,'март 2023'!$D$4:$D$582,$B4,'март 2023'!$J$4:$J$582,V$1)</f>
        <v>0</v>
      </c>
      <c r="W4" s="198">
        <f>SUMIFS('март 2023'!$G$4:$G$582,'март 2023'!$D$4:$D$582,$B4,'март 2023'!$J$4:$J$582,W$1)</f>
        <v>0</v>
      </c>
      <c r="X4" s="198">
        <f>SUMIFS('март 2023'!$G$4:$G$582,'март 2023'!$D$4:$D$582,$B4,'март 2023'!$J$4:$J$582,X$1)</f>
        <v>0</v>
      </c>
      <c r="Y4" s="198">
        <f>SUMIFS('март 2023'!$G$4:$G$582,'март 2023'!$D$4:$D$582,$B4,'март 2023'!$J$4:$J$582,Y$1)</f>
        <v>0</v>
      </c>
      <c r="Z4" s="198">
        <f>SUMIFS('март 2023'!$G$4:$G$582,'март 2023'!$D$4:$D$582,$B4,'март 2023'!$J$4:$J$582,Z$1)</f>
        <v>0</v>
      </c>
      <c r="AA4" s="198">
        <f>SUMIFS('март 2023'!$G$4:$G$582,'март 2023'!$D$4:$D$582,$B4,'март 2023'!$J$4:$J$582,AA$1)</f>
        <v>0</v>
      </c>
      <c r="AB4" s="198">
        <f>SUMIFS('март 2023'!$G$4:$G$582,'март 2023'!$D$4:$D$582,$B4,'март 2023'!$J$4:$J$582,AB$1)</f>
        <v>0</v>
      </c>
      <c r="AC4" s="198">
        <f>SUMIFS('март 2023'!$G$4:$G$582,'март 2023'!$D$4:$D$582,$B4,'март 2023'!$J$4:$J$582,AC$1)</f>
        <v>0</v>
      </c>
      <c r="AD4" s="198">
        <f>SUMIFS('март 2023'!$G$4:$G$582,'март 2023'!$D$4:$D$582,$B4,'март 2023'!$J$4:$J$582,AD$1)</f>
        <v>0</v>
      </c>
      <c r="AE4" s="198">
        <f>SUMIFS('март 2023'!$G$4:$G$582,'март 2023'!$D$4:$D$582,$B4,'март 2023'!$J$4:$J$582,AE$1)</f>
        <v>0</v>
      </c>
      <c r="AF4" s="198">
        <f>SUMIFS('март 2023'!$G$4:$G$582,'март 2023'!$D$4:$D$582,$B4,'март 2023'!$J$4:$J$582,AF$1)</f>
        <v>200</v>
      </c>
      <c r="AG4" s="198">
        <f>SUMIFS('март 2023'!$G$4:$G$582,'март 2023'!$D$4:$D$582,$B4,'март 2023'!$J$4:$J$582,AG$1)</f>
        <v>0</v>
      </c>
      <c r="AH4" s="198">
        <f>SUMIFS('март 2023'!$G$4:$G$582,'март 2023'!$D$4:$D$582,$B4,'март 2023'!$J$4:$J$582,AH$1)</f>
        <v>0</v>
      </c>
      <c r="AI4" s="170">
        <f t="shared" si="1"/>
        <v>1000</v>
      </c>
    </row>
    <row r="5" spans="2:35" ht="15" customHeight="1" x14ac:dyDescent="0.25">
      <c r="B5" s="199" t="s">
        <v>165</v>
      </c>
      <c r="C5" s="200">
        <v>25</v>
      </c>
      <c r="D5" s="198">
        <f>SUMIFS('март 2023'!$G$4:$G$582,'март 2023'!$D$4:$D$582,$B5,'март 2023'!$J$4:$J$582,D$1)</f>
        <v>0</v>
      </c>
      <c r="E5" s="198">
        <f>SUMIFS('март 2023'!$G$4:$G$582,'март 2023'!$D$4:$D$582,$B5,'март 2023'!$J$4:$J$582,E$1)</f>
        <v>0</v>
      </c>
      <c r="F5" s="198">
        <f>SUMIFS('март 2023'!$G$4:$G$582,'март 2023'!$D$4:$D$582,$B5,'март 2023'!$J$4:$J$582,F$1)</f>
        <v>0</v>
      </c>
      <c r="G5" s="198">
        <f>SUMIFS('март 2023'!$G$4:$G$582,'март 2023'!$D$4:$D$582,$B5,'март 2023'!$J$4:$J$582,G$1)</f>
        <v>0</v>
      </c>
      <c r="H5" s="198">
        <f>SUMIFS('март 2023'!$G$4:$G$582,'март 2023'!$D$4:$D$582,$B5,'март 2023'!$J$4:$J$582,H$1)</f>
        <v>0</v>
      </c>
      <c r="I5" s="198">
        <f>SUMIFS('март 2023'!$G$4:$G$582,'март 2023'!$D$4:$D$582,$B5,'март 2023'!$J$4:$J$582,I$1)</f>
        <v>0</v>
      </c>
      <c r="J5" s="198">
        <f>SUMIFS('март 2023'!$G$4:$G$582,'март 2023'!$D$4:$D$582,$B5,'март 2023'!$J$4:$J$582,J$1)</f>
        <v>0</v>
      </c>
      <c r="K5" s="198">
        <f>SUMIFS('март 2023'!$G$4:$G$582,'март 2023'!$D$4:$D$582,$B5,'март 2023'!$J$4:$J$582,K$1)</f>
        <v>0</v>
      </c>
      <c r="L5" s="198">
        <f>SUMIFS('март 2023'!$G$4:$G$582,'март 2023'!$D$4:$D$582,$B5,'март 2023'!$J$4:$J$582,L$1)</f>
        <v>0</v>
      </c>
      <c r="M5" s="198">
        <f>SUMIFS('март 2023'!$G$4:$G$582,'март 2023'!$D$4:$D$582,$B5,'март 2023'!$J$4:$J$582,M$1)</f>
        <v>60</v>
      </c>
      <c r="N5" s="198">
        <f>SUMIFS('март 2023'!$G$4:$G$582,'март 2023'!$D$4:$D$582,$B5,'март 2023'!$J$4:$J$582,N$1)</f>
        <v>0</v>
      </c>
      <c r="O5" s="198">
        <f>SUMIFS('март 2023'!$G$4:$G$582,'март 2023'!$D$4:$D$582,$B5,'март 2023'!$J$4:$J$582,O$1)</f>
        <v>0</v>
      </c>
      <c r="P5" s="198">
        <f>SUMIFS('март 2023'!$G$4:$G$582,'март 2023'!$D$4:$D$582,$B5,'март 2023'!$J$4:$J$582,P$1)</f>
        <v>0</v>
      </c>
      <c r="Q5" s="198">
        <f>SUMIFS('март 2023'!$G$4:$G$582,'март 2023'!$D$4:$D$582,$B5,'март 2023'!$J$4:$J$582,Q$1)</f>
        <v>0</v>
      </c>
      <c r="R5" s="198">
        <f>SUMIFS('март 2023'!$G$4:$G$582,'март 2023'!$D$4:$D$582,$B5,'март 2023'!$J$4:$J$582,R$1)</f>
        <v>0</v>
      </c>
      <c r="S5" s="198">
        <f>SUMIFS('март 2023'!$G$4:$G$582,'март 2023'!$D$4:$D$582,$B5,'март 2023'!$J$4:$J$582,S$1)</f>
        <v>0</v>
      </c>
      <c r="T5" s="198">
        <f>SUMIFS('март 2023'!$G$4:$G$582,'март 2023'!$D$4:$D$582,$B5,'март 2023'!$J$4:$J$582,T$1)</f>
        <v>800</v>
      </c>
      <c r="U5" s="198">
        <f>SUMIFS('март 2023'!$G$4:$G$582,'март 2023'!$D$4:$D$582,$B5,'март 2023'!$J$4:$J$582,U$1)</f>
        <v>0</v>
      </c>
      <c r="V5" s="198">
        <f>SUMIFS('март 2023'!$G$4:$G$582,'март 2023'!$D$4:$D$582,$B5,'март 2023'!$J$4:$J$582,V$1)</f>
        <v>0</v>
      </c>
      <c r="W5" s="198">
        <f>SUMIFS('март 2023'!$G$4:$G$582,'март 2023'!$D$4:$D$582,$B5,'март 2023'!$J$4:$J$582,W$1)</f>
        <v>0</v>
      </c>
      <c r="X5" s="198">
        <f>SUMIFS('март 2023'!$G$4:$G$582,'март 2023'!$D$4:$D$582,$B5,'март 2023'!$J$4:$J$582,X$1)</f>
        <v>0</v>
      </c>
      <c r="Y5" s="198">
        <f>SUMIFS('март 2023'!$G$4:$G$582,'март 2023'!$D$4:$D$582,$B5,'март 2023'!$J$4:$J$582,Y$1)</f>
        <v>0</v>
      </c>
      <c r="Z5" s="198">
        <f>SUMIFS('март 2023'!$G$4:$G$582,'март 2023'!$D$4:$D$582,$B5,'март 2023'!$J$4:$J$582,Z$1)</f>
        <v>0</v>
      </c>
      <c r="AA5" s="198">
        <f>SUMIFS('март 2023'!$G$4:$G$582,'март 2023'!$D$4:$D$582,$B5,'март 2023'!$J$4:$J$582,AA$1)</f>
        <v>0</v>
      </c>
      <c r="AB5" s="198">
        <f>SUMIFS('март 2023'!$G$4:$G$582,'март 2023'!$D$4:$D$582,$B5,'март 2023'!$J$4:$J$582,AB$1)</f>
        <v>0</v>
      </c>
      <c r="AC5" s="198">
        <f>SUMIFS('март 2023'!$G$4:$G$582,'март 2023'!$D$4:$D$582,$B5,'март 2023'!$J$4:$J$582,AC$1)</f>
        <v>0</v>
      </c>
      <c r="AD5" s="198">
        <f>SUMIFS('март 2023'!$G$4:$G$582,'март 2023'!$D$4:$D$582,$B5,'март 2023'!$J$4:$J$582,AD$1)</f>
        <v>0</v>
      </c>
      <c r="AE5" s="198">
        <f>SUMIFS('март 2023'!$G$4:$G$582,'март 2023'!$D$4:$D$582,$B5,'март 2023'!$J$4:$J$582,AE$1)</f>
        <v>0</v>
      </c>
      <c r="AF5" s="198">
        <f>SUMIFS('март 2023'!$G$4:$G$582,'март 2023'!$D$4:$D$582,$B5,'март 2023'!$J$4:$J$582,AF$1)</f>
        <v>0</v>
      </c>
      <c r="AG5" s="198">
        <f>SUMIFS('март 2023'!$G$4:$G$582,'март 2023'!$D$4:$D$582,$B5,'март 2023'!$J$4:$J$582,AG$1)</f>
        <v>0</v>
      </c>
      <c r="AH5" s="198">
        <f>SUMIFS('март 2023'!$G$4:$G$582,'март 2023'!$D$4:$D$582,$B5,'март 2023'!$J$4:$J$582,AH$1)</f>
        <v>0</v>
      </c>
      <c r="AI5" s="170">
        <f t="shared" si="1"/>
        <v>860</v>
      </c>
    </row>
    <row r="6" spans="2:35" ht="15" customHeight="1" x14ac:dyDescent="0.25">
      <c r="B6" s="199" t="s">
        <v>2084</v>
      </c>
      <c r="C6" s="200">
        <v>22.7</v>
      </c>
      <c r="D6" s="198">
        <f>SUMIFS('март 2023'!$G$4:$G$582,'март 2023'!$D$4:$D$582,$B6,'март 2023'!$J$4:$J$582,D$1)</f>
        <v>0</v>
      </c>
      <c r="E6" s="198">
        <f>SUMIFS('март 2023'!$G$4:$G$582,'март 2023'!$D$4:$D$582,$B6,'март 2023'!$J$4:$J$582,E$1)</f>
        <v>0</v>
      </c>
      <c r="F6" s="198">
        <f>SUMIFS('март 2023'!$G$4:$G$582,'март 2023'!$D$4:$D$582,$B6,'март 2023'!$J$4:$J$582,F$1)</f>
        <v>0</v>
      </c>
      <c r="G6" s="198">
        <f>SUMIFS('март 2023'!$G$4:$G$582,'март 2023'!$D$4:$D$582,$B6,'март 2023'!$J$4:$J$582,G$1)</f>
        <v>0</v>
      </c>
      <c r="H6" s="198">
        <f>SUMIFS('март 2023'!$G$4:$G$582,'март 2023'!$D$4:$D$582,$B6,'март 2023'!$J$4:$J$582,H$1)</f>
        <v>0</v>
      </c>
      <c r="I6" s="198">
        <f>SUMIFS('март 2023'!$G$4:$G$582,'март 2023'!$D$4:$D$582,$B6,'март 2023'!$J$4:$J$582,I$1)</f>
        <v>0</v>
      </c>
      <c r="J6" s="198">
        <f>SUMIFS('март 2023'!$G$4:$G$582,'март 2023'!$D$4:$D$582,$B6,'март 2023'!$J$4:$J$582,J$1)</f>
        <v>0</v>
      </c>
      <c r="K6" s="198">
        <f>SUMIFS('март 2023'!$G$4:$G$582,'март 2023'!$D$4:$D$582,$B6,'март 2023'!$J$4:$J$582,K$1)</f>
        <v>0</v>
      </c>
      <c r="L6" s="198">
        <f>SUMIFS('март 2023'!$G$4:$G$582,'март 2023'!$D$4:$D$582,$B6,'март 2023'!$J$4:$J$582,L$1)</f>
        <v>0</v>
      </c>
      <c r="M6" s="198">
        <f>SUMIFS('март 2023'!$G$4:$G$582,'март 2023'!$D$4:$D$582,$B6,'март 2023'!$J$4:$J$582,M$1)</f>
        <v>0</v>
      </c>
      <c r="N6" s="198">
        <f>SUMIFS('март 2023'!$G$4:$G$582,'март 2023'!$D$4:$D$582,$B6,'март 2023'!$J$4:$J$582,N$1)</f>
        <v>0</v>
      </c>
      <c r="O6" s="198">
        <f>SUMIFS('март 2023'!$G$4:$G$582,'март 2023'!$D$4:$D$582,$B6,'март 2023'!$J$4:$J$582,O$1)</f>
        <v>0</v>
      </c>
      <c r="P6" s="198">
        <f>SUMIFS('март 2023'!$G$4:$G$582,'март 2023'!$D$4:$D$582,$B6,'март 2023'!$J$4:$J$582,P$1)</f>
        <v>0</v>
      </c>
      <c r="Q6" s="198">
        <f>SUMIFS('март 2023'!$G$4:$G$582,'март 2023'!$D$4:$D$582,$B6,'март 2023'!$J$4:$J$582,Q$1)</f>
        <v>0</v>
      </c>
      <c r="R6" s="198">
        <f>SUMIFS('март 2023'!$G$4:$G$582,'март 2023'!$D$4:$D$582,$B6,'март 2023'!$J$4:$J$582,R$1)</f>
        <v>0</v>
      </c>
      <c r="S6" s="198">
        <f>SUMIFS('март 2023'!$G$4:$G$582,'март 2023'!$D$4:$D$582,$B6,'март 2023'!$J$4:$J$582,S$1)</f>
        <v>0</v>
      </c>
      <c r="T6" s="198">
        <f>SUMIFS('март 2023'!$G$4:$G$582,'март 2023'!$D$4:$D$582,$B6,'март 2023'!$J$4:$J$582,T$1)</f>
        <v>0</v>
      </c>
      <c r="U6" s="198">
        <f>SUMIFS('март 2023'!$G$4:$G$582,'март 2023'!$D$4:$D$582,$B6,'март 2023'!$J$4:$J$582,U$1)</f>
        <v>0</v>
      </c>
      <c r="V6" s="198">
        <f>SUMIFS('март 2023'!$G$4:$G$582,'март 2023'!$D$4:$D$582,$B6,'март 2023'!$J$4:$J$582,V$1)</f>
        <v>0</v>
      </c>
      <c r="W6" s="198">
        <f>SUMIFS('март 2023'!$G$4:$G$582,'март 2023'!$D$4:$D$582,$B6,'март 2023'!$J$4:$J$582,W$1)</f>
        <v>0</v>
      </c>
      <c r="X6" s="198">
        <f>SUMIFS('март 2023'!$G$4:$G$582,'март 2023'!$D$4:$D$582,$B6,'март 2023'!$J$4:$J$582,X$1)</f>
        <v>0</v>
      </c>
      <c r="Y6" s="198">
        <f>SUMIFS('март 2023'!$G$4:$G$582,'март 2023'!$D$4:$D$582,$B6,'март 2023'!$J$4:$J$582,Y$1)</f>
        <v>0</v>
      </c>
      <c r="Z6" s="198">
        <f>SUMIFS('март 2023'!$G$4:$G$582,'март 2023'!$D$4:$D$582,$B6,'март 2023'!$J$4:$J$582,Z$1)</f>
        <v>0</v>
      </c>
      <c r="AA6" s="198">
        <f>SUMIFS('март 2023'!$G$4:$G$582,'март 2023'!$D$4:$D$582,$B6,'март 2023'!$J$4:$J$582,AA$1)</f>
        <v>0</v>
      </c>
      <c r="AB6" s="198">
        <f>SUMIFS('март 2023'!$G$4:$G$582,'март 2023'!$D$4:$D$582,$B6,'март 2023'!$J$4:$J$582,AB$1)</f>
        <v>0</v>
      </c>
      <c r="AC6" s="198">
        <f>SUMIFS('март 2023'!$G$4:$G$582,'март 2023'!$D$4:$D$582,$B6,'март 2023'!$J$4:$J$582,AC$1)</f>
        <v>0</v>
      </c>
      <c r="AD6" s="198">
        <f>SUMIFS('март 2023'!$G$4:$G$582,'март 2023'!$D$4:$D$582,$B6,'март 2023'!$J$4:$J$582,AD$1)</f>
        <v>0</v>
      </c>
      <c r="AE6" s="198">
        <f>SUMIFS('март 2023'!$G$4:$G$582,'март 2023'!$D$4:$D$582,$B6,'март 2023'!$J$4:$J$582,AE$1)</f>
        <v>0</v>
      </c>
      <c r="AF6" s="198">
        <f>SUMIFS('март 2023'!$G$4:$G$582,'март 2023'!$D$4:$D$582,$B6,'март 2023'!$J$4:$J$582,AF$1)</f>
        <v>0</v>
      </c>
      <c r="AG6" s="198">
        <f>SUMIFS('март 2023'!$G$4:$G$582,'март 2023'!$D$4:$D$582,$B6,'март 2023'!$J$4:$J$582,AG$1)</f>
        <v>0</v>
      </c>
      <c r="AH6" s="198">
        <f>SUMIFS('март 2023'!$G$4:$G$582,'март 2023'!$D$4:$D$582,$B6,'март 2023'!$J$4:$J$582,AH$1)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SUMIFS('март 2023'!$G$4:$G$582,'март 2023'!$D$4:$D$582,$B7,'март 2023'!$J$4:$J$582,D$1)</f>
        <v>0</v>
      </c>
      <c r="E7" s="198">
        <f>SUMIFS('март 2023'!$G$4:$G$582,'март 2023'!$D$4:$D$582,$B7,'март 2023'!$J$4:$J$582,E$1)</f>
        <v>0</v>
      </c>
      <c r="F7" s="198">
        <f>SUMIFS('март 2023'!$G$4:$G$582,'март 2023'!$D$4:$D$582,$B7,'март 2023'!$J$4:$J$582,F$1)</f>
        <v>0</v>
      </c>
      <c r="G7" s="198">
        <f>SUMIFS('март 2023'!$G$4:$G$582,'март 2023'!$D$4:$D$582,$B7,'март 2023'!$J$4:$J$582,G$1)</f>
        <v>0</v>
      </c>
      <c r="H7" s="198">
        <f>SUMIFS('март 2023'!$G$4:$G$582,'март 2023'!$D$4:$D$582,$B7,'март 2023'!$J$4:$J$582,H$1)</f>
        <v>0</v>
      </c>
      <c r="I7" s="198">
        <f>SUMIFS('март 2023'!$G$4:$G$582,'март 2023'!$D$4:$D$582,$B7,'март 2023'!$J$4:$J$582,I$1)</f>
        <v>0</v>
      </c>
      <c r="J7" s="198">
        <f>SUMIFS('март 2023'!$G$4:$G$582,'март 2023'!$D$4:$D$582,$B7,'март 2023'!$J$4:$J$582,J$1)</f>
        <v>0</v>
      </c>
      <c r="K7" s="198">
        <f>SUMIFS('март 2023'!$G$4:$G$582,'март 2023'!$D$4:$D$582,$B7,'март 2023'!$J$4:$J$582,K$1)</f>
        <v>0</v>
      </c>
      <c r="L7" s="198">
        <f>SUMIFS('март 2023'!$G$4:$G$582,'март 2023'!$D$4:$D$582,$B7,'март 2023'!$J$4:$J$582,L$1)</f>
        <v>0</v>
      </c>
      <c r="M7" s="198">
        <f>SUMIFS('март 2023'!$G$4:$G$582,'март 2023'!$D$4:$D$582,$B7,'март 2023'!$J$4:$J$582,M$1)</f>
        <v>0</v>
      </c>
      <c r="N7" s="198">
        <f>SUMIFS('март 2023'!$G$4:$G$582,'март 2023'!$D$4:$D$582,$B7,'март 2023'!$J$4:$J$582,N$1)</f>
        <v>0</v>
      </c>
      <c r="O7" s="198">
        <f>SUMIFS('март 2023'!$G$4:$G$582,'март 2023'!$D$4:$D$582,$B7,'март 2023'!$J$4:$J$582,O$1)</f>
        <v>0</v>
      </c>
      <c r="P7" s="198">
        <f>SUMIFS('март 2023'!$G$4:$G$582,'март 2023'!$D$4:$D$582,$B7,'март 2023'!$J$4:$J$582,P$1)</f>
        <v>0</v>
      </c>
      <c r="Q7" s="198">
        <f>SUMIFS('март 2023'!$G$4:$G$582,'март 2023'!$D$4:$D$582,$B7,'март 2023'!$J$4:$J$582,Q$1)</f>
        <v>0</v>
      </c>
      <c r="R7" s="198">
        <f>SUMIFS('март 2023'!$G$4:$G$582,'март 2023'!$D$4:$D$582,$B7,'март 2023'!$J$4:$J$582,R$1)</f>
        <v>0</v>
      </c>
      <c r="S7" s="198">
        <f>SUMIFS('март 2023'!$G$4:$G$582,'март 2023'!$D$4:$D$582,$B7,'март 2023'!$J$4:$J$582,S$1)</f>
        <v>0</v>
      </c>
      <c r="T7" s="198">
        <f>SUMIFS('март 2023'!$G$4:$G$582,'март 2023'!$D$4:$D$582,$B7,'март 2023'!$J$4:$J$582,T$1)</f>
        <v>0</v>
      </c>
      <c r="U7" s="198">
        <f>SUMIFS('март 2023'!$G$4:$G$582,'март 2023'!$D$4:$D$582,$B7,'март 2023'!$J$4:$J$582,U$1)</f>
        <v>0</v>
      </c>
      <c r="V7" s="198">
        <f>SUMIFS('март 2023'!$G$4:$G$582,'март 2023'!$D$4:$D$582,$B7,'март 2023'!$J$4:$J$582,V$1)</f>
        <v>0</v>
      </c>
      <c r="W7" s="198">
        <f>SUMIFS('март 2023'!$G$4:$G$582,'март 2023'!$D$4:$D$582,$B7,'март 2023'!$J$4:$J$582,W$1)</f>
        <v>0</v>
      </c>
      <c r="X7" s="198">
        <f>SUMIFS('март 2023'!$G$4:$G$582,'март 2023'!$D$4:$D$582,$B7,'март 2023'!$J$4:$J$582,X$1)</f>
        <v>0</v>
      </c>
      <c r="Y7" s="198">
        <f>SUMIFS('март 2023'!$G$4:$G$582,'март 2023'!$D$4:$D$582,$B7,'март 2023'!$J$4:$J$582,Y$1)</f>
        <v>0</v>
      </c>
      <c r="Z7" s="198">
        <f>SUMIFS('март 2023'!$G$4:$G$582,'март 2023'!$D$4:$D$582,$B7,'март 2023'!$J$4:$J$582,Z$1)</f>
        <v>0</v>
      </c>
      <c r="AA7" s="198">
        <f>SUMIFS('март 2023'!$G$4:$G$582,'март 2023'!$D$4:$D$582,$B7,'март 2023'!$J$4:$J$582,AA$1)</f>
        <v>0</v>
      </c>
      <c r="AB7" s="198">
        <f>SUMIFS('март 2023'!$G$4:$G$582,'март 2023'!$D$4:$D$582,$B7,'март 2023'!$J$4:$J$582,AB$1)</f>
        <v>0</v>
      </c>
      <c r="AC7" s="198">
        <f>SUMIFS('март 2023'!$G$4:$G$582,'март 2023'!$D$4:$D$582,$B7,'март 2023'!$J$4:$J$582,AC$1)</f>
        <v>0</v>
      </c>
      <c r="AD7" s="198">
        <f>SUMIFS('март 2023'!$G$4:$G$582,'март 2023'!$D$4:$D$582,$B7,'март 2023'!$J$4:$J$582,AD$1)</f>
        <v>0</v>
      </c>
      <c r="AE7" s="198">
        <f>SUMIFS('март 2023'!$G$4:$G$582,'март 2023'!$D$4:$D$582,$B7,'март 2023'!$J$4:$J$582,AE$1)</f>
        <v>0</v>
      </c>
      <c r="AF7" s="198">
        <f>SUMIFS('март 2023'!$G$4:$G$582,'март 2023'!$D$4:$D$582,$B7,'март 2023'!$J$4:$J$582,AF$1)</f>
        <v>0</v>
      </c>
      <c r="AG7" s="198">
        <f>SUMIFS('март 2023'!$G$4:$G$582,'март 2023'!$D$4:$D$582,$B7,'март 2023'!$J$4:$J$582,AG$1)</f>
        <v>0</v>
      </c>
      <c r="AH7" s="198">
        <f>SUMIFS('март 2023'!$G$4:$G$582,'март 2023'!$D$4:$D$582,$B7,'март 2023'!$J$4:$J$582,AH$1)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SUMIFS('март 2023'!$G$4:$G$582,'март 2023'!$D$4:$D$582,$B8,'март 2023'!$J$4:$J$582,D$1)</f>
        <v>0</v>
      </c>
      <c r="E8" s="198">
        <f>SUMIFS('март 2023'!$G$4:$G$582,'март 2023'!$D$4:$D$582,$B8,'март 2023'!$J$4:$J$582,E$1)</f>
        <v>0</v>
      </c>
      <c r="F8" s="198">
        <f>SUMIFS('март 2023'!$G$4:$G$582,'март 2023'!$D$4:$D$582,$B8,'март 2023'!$J$4:$J$582,F$1)</f>
        <v>0</v>
      </c>
      <c r="G8" s="198">
        <f>SUMIFS('март 2023'!$G$4:$G$582,'март 2023'!$D$4:$D$582,$B8,'март 2023'!$J$4:$J$582,G$1)</f>
        <v>0</v>
      </c>
      <c r="H8" s="198">
        <f>SUMIFS('март 2023'!$G$4:$G$582,'март 2023'!$D$4:$D$582,$B8,'март 2023'!$J$4:$J$582,H$1)</f>
        <v>0</v>
      </c>
      <c r="I8" s="198">
        <f>SUMIFS('март 2023'!$G$4:$G$582,'март 2023'!$D$4:$D$582,$B8,'март 2023'!$J$4:$J$582,I$1)</f>
        <v>0</v>
      </c>
      <c r="J8" s="198">
        <f>SUMIFS('март 2023'!$G$4:$G$582,'март 2023'!$D$4:$D$582,$B8,'март 2023'!$J$4:$J$582,J$1)</f>
        <v>0</v>
      </c>
      <c r="K8" s="198">
        <f>SUMIFS('март 2023'!$G$4:$G$582,'март 2023'!$D$4:$D$582,$B8,'март 2023'!$J$4:$J$582,K$1)</f>
        <v>0</v>
      </c>
      <c r="L8" s="198">
        <f>SUMIFS('март 2023'!$G$4:$G$582,'март 2023'!$D$4:$D$582,$B8,'март 2023'!$J$4:$J$582,L$1)</f>
        <v>0</v>
      </c>
      <c r="M8" s="198">
        <f>SUMIFS('март 2023'!$G$4:$G$582,'март 2023'!$D$4:$D$582,$B8,'март 2023'!$J$4:$J$582,M$1)</f>
        <v>0</v>
      </c>
      <c r="N8" s="198">
        <f>SUMIFS('март 2023'!$G$4:$G$582,'март 2023'!$D$4:$D$582,$B8,'март 2023'!$J$4:$J$582,N$1)</f>
        <v>0</v>
      </c>
      <c r="O8" s="198">
        <f>SUMIFS('март 2023'!$G$4:$G$582,'март 2023'!$D$4:$D$582,$B8,'март 2023'!$J$4:$J$582,O$1)</f>
        <v>0</v>
      </c>
      <c r="P8" s="198">
        <f>SUMIFS('март 2023'!$G$4:$G$582,'март 2023'!$D$4:$D$582,$B8,'март 2023'!$J$4:$J$582,P$1)</f>
        <v>0</v>
      </c>
      <c r="Q8" s="198">
        <f>SUMIFS('март 2023'!$G$4:$G$582,'март 2023'!$D$4:$D$582,$B8,'март 2023'!$J$4:$J$582,Q$1)</f>
        <v>0</v>
      </c>
      <c r="R8" s="198">
        <f>SUMIFS('март 2023'!$G$4:$G$582,'март 2023'!$D$4:$D$582,$B8,'март 2023'!$J$4:$J$582,R$1)</f>
        <v>0</v>
      </c>
      <c r="S8" s="198">
        <f>SUMIFS('март 2023'!$G$4:$G$582,'март 2023'!$D$4:$D$582,$B8,'март 2023'!$J$4:$J$582,S$1)</f>
        <v>0</v>
      </c>
      <c r="T8" s="198">
        <f>SUMIFS('март 2023'!$G$4:$G$582,'март 2023'!$D$4:$D$582,$B8,'март 2023'!$J$4:$J$582,T$1)</f>
        <v>0</v>
      </c>
      <c r="U8" s="198">
        <f>SUMIFS('март 2023'!$G$4:$G$582,'март 2023'!$D$4:$D$582,$B8,'март 2023'!$J$4:$J$582,U$1)</f>
        <v>0</v>
      </c>
      <c r="V8" s="198">
        <f>SUMIFS('март 2023'!$G$4:$G$582,'март 2023'!$D$4:$D$582,$B8,'март 2023'!$J$4:$J$582,V$1)</f>
        <v>0</v>
      </c>
      <c r="W8" s="198">
        <f>SUMIFS('март 2023'!$G$4:$G$582,'март 2023'!$D$4:$D$582,$B8,'март 2023'!$J$4:$J$582,W$1)</f>
        <v>0</v>
      </c>
      <c r="X8" s="198">
        <f>SUMIFS('март 2023'!$G$4:$G$582,'март 2023'!$D$4:$D$582,$B8,'март 2023'!$J$4:$J$582,X$1)</f>
        <v>0</v>
      </c>
      <c r="Y8" s="198">
        <f>SUMIFS('март 2023'!$G$4:$G$582,'март 2023'!$D$4:$D$582,$B8,'март 2023'!$J$4:$J$582,Y$1)</f>
        <v>0</v>
      </c>
      <c r="Z8" s="198">
        <f>SUMIFS('март 2023'!$G$4:$G$582,'март 2023'!$D$4:$D$582,$B8,'март 2023'!$J$4:$J$582,Z$1)</f>
        <v>1750</v>
      </c>
      <c r="AA8" s="198">
        <f>SUMIFS('март 2023'!$G$4:$G$582,'март 2023'!$D$4:$D$582,$B8,'март 2023'!$J$4:$J$582,AA$1)</f>
        <v>875</v>
      </c>
      <c r="AB8" s="198">
        <f>SUMIFS('март 2023'!$G$4:$G$582,'март 2023'!$D$4:$D$582,$B8,'март 2023'!$J$4:$J$582,AB$1)</f>
        <v>0</v>
      </c>
      <c r="AC8" s="198">
        <f>SUMIFS('март 2023'!$G$4:$G$582,'март 2023'!$D$4:$D$582,$B8,'март 2023'!$J$4:$J$582,AC$1)</f>
        <v>0</v>
      </c>
      <c r="AD8" s="198">
        <f>SUMIFS('март 2023'!$G$4:$G$582,'март 2023'!$D$4:$D$582,$B8,'март 2023'!$J$4:$J$582,AD$1)</f>
        <v>0</v>
      </c>
      <c r="AE8" s="198">
        <f>SUMIFS('март 2023'!$G$4:$G$582,'март 2023'!$D$4:$D$582,$B8,'март 2023'!$J$4:$J$582,AE$1)</f>
        <v>0</v>
      </c>
      <c r="AF8" s="198">
        <f>SUMIFS('март 2023'!$G$4:$G$582,'март 2023'!$D$4:$D$582,$B8,'март 2023'!$J$4:$J$582,AF$1)</f>
        <v>0</v>
      </c>
      <c r="AG8" s="198">
        <f>SUMIFS('март 2023'!$G$4:$G$582,'март 2023'!$D$4:$D$582,$B8,'март 2023'!$J$4:$J$582,AG$1)</f>
        <v>0</v>
      </c>
      <c r="AH8" s="198">
        <f>SUMIFS('март 2023'!$G$4:$G$582,'март 2023'!$D$4:$D$582,$B8,'март 2023'!$J$4:$J$582,AH$1)</f>
        <v>0</v>
      </c>
      <c r="AI8" s="170">
        <f t="shared" si="1"/>
        <v>2625</v>
      </c>
    </row>
    <row r="9" spans="2:35" ht="15" customHeight="1" x14ac:dyDescent="0.25">
      <c r="B9" s="199" t="s">
        <v>2053</v>
      </c>
      <c r="C9" s="200">
        <v>25</v>
      </c>
      <c r="D9" s="198">
        <f>SUMIFS('март 2023'!$G$4:$G$582,'март 2023'!$D$4:$D$582,$B9,'март 2023'!$J$4:$J$582,D$1)</f>
        <v>0</v>
      </c>
      <c r="E9" s="198">
        <f>SUMIFS('март 2023'!$G$4:$G$582,'март 2023'!$D$4:$D$582,$B9,'март 2023'!$J$4:$J$582,E$1)</f>
        <v>0</v>
      </c>
      <c r="F9" s="198">
        <f>SUMIFS('март 2023'!$G$4:$G$582,'март 2023'!$D$4:$D$582,$B9,'март 2023'!$J$4:$J$582,F$1)</f>
        <v>0</v>
      </c>
      <c r="G9" s="198">
        <f>SUMIFS('март 2023'!$G$4:$G$582,'март 2023'!$D$4:$D$582,$B9,'март 2023'!$J$4:$J$582,G$1)</f>
        <v>0</v>
      </c>
      <c r="H9" s="198">
        <f>SUMIFS('март 2023'!$G$4:$G$582,'март 2023'!$D$4:$D$582,$B9,'март 2023'!$J$4:$J$582,H$1)</f>
        <v>0</v>
      </c>
      <c r="I9" s="198">
        <f>SUMIFS('март 2023'!$G$4:$G$582,'март 2023'!$D$4:$D$582,$B9,'март 2023'!$J$4:$J$582,I$1)</f>
        <v>0</v>
      </c>
      <c r="J9" s="198">
        <f>SUMIFS('март 2023'!$G$4:$G$582,'март 2023'!$D$4:$D$582,$B9,'март 2023'!$J$4:$J$582,J$1)</f>
        <v>0</v>
      </c>
      <c r="K9" s="198">
        <f>SUMIFS('март 2023'!$G$4:$G$582,'март 2023'!$D$4:$D$582,$B9,'март 2023'!$J$4:$J$582,K$1)</f>
        <v>0</v>
      </c>
      <c r="L9" s="198">
        <f>SUMIFS('март 2023'!$G$4:$G$582,'март 2023'!$D$4:$D$582,$B9,'март 2023'!$J$4:$J$582,L$1)</f>
        <v>0</v>
      </c>
      <c r="M9" s="198">
        <f>SUMIFS('март 2023'!$G$4:$G$582,'март 2023'!$D$4:$D$582,$B9,'март 2023'!$J$4:$J$582,M$1)</f>
        <v>0</v>
      </c>
      <c r="N9" s="198">
        <f>SUMIFS('март 2023'!$G$4:$G$582,'март 2023'!$D$4:$D$582,$B9,'март 2023'!$J$4:$J$582,N$1)</f>
        <v>0</v>
      </c>
      <c r="O9" s="198">
        <f>SUMIFS('март 2023'!$G$4:$G$582,'март 2023'!$D$4:$D$582,$B9,'март 2023'!$J$4:$J$582,O$1)</f>
        <v>0</v>
      </c>
      <c r="P9" s="198">
        <f>SUMIFS('март 2023'!$G$4:$G$582,'март 2023'!$D$4:$D$582,$B9,'март 2023'!$J$4:$J$582,P$1)</f>
        <v>0</v>
      </c>
      <c r="Q9" s="198">
        <f>SUMIFS('март 2023'!$G$4:$G$582,'март 2023'!$D$4:$D$582,$B9,'март 2023'!$J$4:$J$582,Q$1)</f>
        <v>0</v>
      </c>
      <c r="R9" s="198">
        <f>SUMIFS('март 2023'!$G$4:$G$582,'март 2023'!$D$4:$D$582,$B9,'март 2023'!$J$4:$J$582,R$1)</f>
        <v>0</v>
      </c>
      <c r="S9" s="198">
        <f>SUMIFS('март 2023'!$G$4:$G$582,'март 2023'!$D$4:$D$582,$B9,'март 2023'!$J$4:$J$582,S$1)</f>
        <v>0</v>
      </c>
      <c r="T9" s="198">
        <f>SUMIFS('март 2023'!$G$4:$G$582,'март 2023'!$D$4:$D$582,$B9,'март 2023'!$J$4:$J$582,T$1)</f>
        <v>0</v>
      </c>
      <c r="U9" s="198">
        <f>SUMIFS('март 2023'!$G$4:$G$582,'март 2023'!$D$4:$D$582,$B9,'март 2023'!$J$4:$J$582,U$1)</f>
        <v>0</v>
      </c>
      <c r="V9" s="198">
        <f>SUMIFS('март 2023'!$G$4:$G$582,'март 2023'!$D$4:$D$582,$B9,'март 2023'!$J$4:$J$582,V$1)</f>
        <v>0</v>
      </c>
      <c r="W9" s="198">
        <f>SUMIFS('март 2023'!$G$4:$G$582,'март 2023'!$D$4:$D$582,$B9,'март 2023'!$J$4:$J$582,W$1)</f>
        <v>0</v>
      </c>
      <c r="X9" s="198">
        <f>SUMIFS('март 2023'!$G$4:$G$582,'март 2023'!$D$4:$D$582,$B9,'март 2023'!$J$4:$J$582,X$1)</f>
        <v>0</v>
      </c>
      <c r="Y9" s="198">
        <f>SUMIFS('март 2023'!$G$4:$G$582,'март 2023'!$D$4:$D$582,$B9,'март 2023'!$J$4:$J$582,Y$1)</f>
        <v>0</v>
      </c>
      <c r="Z9" s="198">
        <f>SUMIFS('март 2023'!$G$4:$G$582,'март 2023'!$D$4:$D$582,$B9,'март 2023'!$J$4:$J$582,Z$1)</f>
        <v>0</v>
      </c>
      <c r="AA9" s="198">
        <f>SUMIFS('март 2023'!$G$4:$G$582,'март 2023'!$D$4:$D$582,$B9,'март 2023'!$J$4:$J$582,AA$1)</f>
        <v>0</v>
      </c>
      <c r="AB9" s="198">
        <f>SUMIFS('март 2023'!$G$4:$G$582,'март 2023'!$D$4:$D$582,$B9,'март 2023'!$J$4:$J$582,AB$1)</f>
        <v>0</v>
      </c>
      <c r="AC9" s="198">
        <f>SUMIFS('март 2023'!$G$4:$G$582,'март 2023'!$D$4:$D$582,$B9,'март 2023'!$J$4:$J$582,AC$1)</f>
        <v>0</v>
      </c>
      <c r="AD9" s="198">
        <f>SUMIFS('март 2023'!$G$4:$G$582,'март 2023'!$D$4:$D$582,$B9,'март 2023'!$J$4:$J$582,AD$1)</f>
        <v>0</v>
      </c>
      <c r="AE9" s="198">
        <f>SUMIFS('март 2023'!$G$4:$G$582,'март 2023'!$D$4:$D$582,$B9,'март 2023'!$J$4:$J$582,AE$1)</f>
        <v>0</v>
      </c>
      <c r="AF9" s="198">
        <f>SUMIFS('март 2023'!$G$4:$G$582,'март 2023'!$D$4:$D$582,$B9,'март 2023'!$J$4:$J$582,AF$1)</f>
        <v>0</v>
      </c>
      <c r="AG9" s="198">
        <f>SUMIFS('март 2023'!$G$4:$G$582,'март 2023'!$D$4:$D$582,$B9,'март 2023'!$J$4:$J$582,AG$1)</f>
        <v>0</v>
      </c>
      <c r="AH9" s="198">
        <f>SUMIFS('март 2023'!$G$4:$G$582,'март 2023'!$D$4:$D$582,$B9,'март 2023'!$J$4:$J$582,AH$1)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SUMIFS('март 2023'!$G$4:$G$582,'март 2023'!$D$4:$D$582,$B10,'март 2023'!$J$4:$J$582,D$1)</f>
        <v>0</v>
      </c>
      <c r="E10" s="198">
        <f>SUMIFS('март 2023'!$G$4:$G$582,'март 2023'!$D$4:$D$582,$B10,'март 2023'!$J$4:$J$582,E$1)</f>
        <v>0</v>
      </c>
      <c r="F10" s="198">
        <f>SUMIFS('март 2023'!$G$4:$G$582,'март 2023'!$D$4:$D$582,$B10,'март 2023'!$J$4:$J$582,F$1)</f>
        <v>0</v>
      </c>
      <c r="G10" s="198">
        <f>SUMIFS('март 2023'!$G$4:$G$582,'март 2023'!$D$4:$D$582,$B10,'март 2023'!$J$4:$J$582,G$1)</f>
        <v>0</v>
      </c>
      <c r="H10" s="198">
        <f>SUMIFS('март 2023'!$G$4:$G$582,'март 2023'!$D$4:$D$582,$B10,'март 2023'!$J$4:$J$582,H$1)</f>
        <v>0</v>
      </c>
      <c r="I10" s="198">
        <f>SUMIFS('март 2023'!$G$4:$G$582,'март 2023'!$D$4:$D$582,$B10,'март 2023'!$J$4:$J$582,I$1)</f>
        <v>0</v>
      </c>
      <c r="J10" s="198">
        <f>SUMIFS('март 2023'!$G$4:$G$582,'март 2023'!$D$4:$D$582,$B10,'март 2023'!$J$4:$J$582,J$1)</f>
        <v>0</v>
      </c>
      <c r="K10" s="198">
        <f>SUMIFS('март 2023'!$G$4:$G$582,'март 2023'!$D$4:$D$582,$B10,'март 2023'!$J$4:$J$582,K$1)</f>
        <v>0</v>
      </c>
      <c r="L10" s="198">
        <f>SUMIFS('март 2023'!$G$4:$G$582,'март 2023'!$D$4:$D$582,$B10,'март 2023'!$J$4:$J$582,L$1)</f>
        <v>0</v>
      </c>
      <c r="M10" s="198">
        <f>SUMIFS('март 2023'!$G$4:$G$582,'март 2023'!$D$4:$D$582,$B10,'март 2023'!$J$4:$J$582,M$1)</f>
        <v>0</v>
      </c>
      <c r="N10" s="198">
        <f>SUMIFS('март 2023'!$G$4:$G$582,'март 2023'!$D$4:$D$582,$B10,'март 2023'!$J$4:$J$582,N$1)</f>
        <v>0</v>
      </c>
      <c r="O10" s="198">
        <f>SUMIFS('март 2023'!$G$4:$G$582,'март 2023'!$D$4:$D$582,$B10,'март 2023'!$J$4:$J$582,O$1)</f>
        <v>0</v>
      </c>
      <c r="P10" s="198">
        <f>SUMIFS('март 2023'!$G$4:$G$582,'март 2023'!$D$4:$D$582,$B10,'март 2023'!$J$4:$J$582,P$1)</f>
        <v>0</v>
      </c>
      <c r="Q10" s="198">
        <f>SUMIFS('март 2023'!$G$4:$G$582,'март 2023'!$D$4:$D$582,$B10,'март 2023'!$J$4:$J$582,Q$1)</f>
        <v>0</v>
      </c>
      <c r="R10" s="198">
        <f>SUMIFS('март 2023'!$G$4:$G$582,'март 2023'!$D$4:$D$582,$B10,'март 2023'!$J$4:$J$582,R$1)</f>
        <v>0</v>
      </c>
      <c r="S10" s="198">
        <f>SUMIFS('март 2023'!$G$4:$G$582,'март 2023'!$D$4:$D$582,$B10,'март 2023'!$J$4:$J$582,S$1)</f>
        <v>0</v>
      </c>
      <c r="T10" s="198">
        <f>SUMIFS('март 2023'!$G$4:$G$582,'март 2023'!$D$4:$D$582,$B10,'март 2023'!$J$4:$J$582,T$1)</f>
        <v>0</v>
      </c>
      <c r="U10" s="198">
        <f>SUMIFS('март 2023'!$G$4:$G$582,'март 2023'!$D$4:$D$582,$B10,'март 2023'!$J$4:$J$582,U$1)</f>
        <v>0</v>
      </c>
      <c r="V10" s="198">
        <f>SUMIFS('март 2023'!$G$4:$G$582,'март 2023'!$D$4:$D$582,$B10,'март 2023'!$J$4:$J$582,V$1)</f>
        <v>0</v>
      </c>
      <c r="W10" s="198">
        <f>SUMIFS('март 2023'!$G$4:$G$582,'март 2023'!$D$4:$D$582,$B10,'март 2023'!$J$4:$J$582,W$1)</f>
        <v>0</v>
      </c>
      <c r="X10" s="198">
        <f>SUMIFS('март 2023'!$G$4:$G$582,'март 2023'!$D$4:$D$582,$B10,'март 2023'!$J$4:$J$582,X$1)</f>
        <v>0</v>
      </c>
      <c r="Y10" s="198">
        <f>SUMIFS('март 2023'!$G$4:$G$582,'март 2023'!$D$4:$D$582,$B10,'март 2023'!$J$4:$J$582,Y$1)</f>
        <v>0</v>
      </c>
      <c r="Z10" s="198">
        <f>SUMIFS('март 2023'!$G$4:$G$582,'март 2023'!$D$4:$D$582,$B10,'март 2023'!$J$4:$J$582,Z$1)</f>
        <v>0</v>
      </c>
      <c r="AA10" s="198">
        <f>SUMIFS('март 2023'!$G$4:$G$582,'март 2023'!$D$4:$D$582,$B10,'март 2023'!$J$4:$J$582,AA$1)</f>
        <v>0</v>
      </c>
      <c r="AB10" s="198">
        <f>SUMIFS('март 2023'!$G$4:$G$582,'март 2023'!$D$4:$D$582,$B10,'март 2023'!$J$4:$J$582,AB$1)</f>
        <v>0</v>
      </c>
      <c r="AC10" s="198">
        <f>SUMIFS('март 2023'!$G$4:$G$582,'март 2023'!$D$4:$D$582,$B10,'март 2023'!$J$4:$J$582,AC$1)</f>
        <v>0</v>
      </c>
      <c r="AD10" s="198">
        <f>SUMIFS('март 2023'!$G$4:$G$582,'март 2023'!$D$4:$D$582,$B10,'март 2023'!$J$4:$J$582,AD$1)</f>
        <v>0</v>
      </c>
      <c r="AE10" s="198">
        <f>SUMIFS('март 2023'!$G$4:$G$582,'март 2023'!$D$4:$D$582,$B10,'март 2023'!$J$4:$J$582,AE$1)</f>
        <v>0</v>
      </c>
      <c r="AF10" s="198">
        <f>SUMIFS('март 2023'!$G$4:$G$582,'март 2023'!$D$4:$D$582,$B10,'март 2023'!$J$4:$J$582,AF$1)</f>
        <v>0</v>
      </c>
      <c r="AG10" s="198">
        <f>SUMIFS('март 2023'!$G$4:$G$582,'март 2023'!$D$4:$D$582,$B10,'март 2023'!$J$4:$J$582,AG$1)</f>
        <v>0</v>
      </c>
      <c r="AH10" s="198">
        <f>SUMIFS('март 2023'!$G$4:$G$582,'март 2023'!$D$4:$D$582,$B10,'март 2023'!$J$4:$J$582,AH$1)</f>
        <v>0</v>
      </c>
      <c r="AI10" s="170">
        <f t="shared" si="1"/>
        <v>0</v>
      </c>
    </row>
    <row r="11" spans="2:35" ht="15" customHeight="1" x14ac:dyDescent="0.25">
      <c r="B11" s="202" t="s">
        <v>1880</v>
      </c>
      <c r="C11" s="203">
        <v>22.7</v>
      </c>
      <c r="D11" s="198">
        <f>SUMIFS('март 2023'!$G$4:$G$582,'март 2023'!$D$4:$D$582,$B11,'март 2023'!$J$4:$J$582,D$1)</f>
        <v>0</v>
      </c>
      <c r="E11" s="198">
        <f>SUMIFS('март 2023'!$G$4:$G$582,'март 2023'!$D$4:$D$582,$B11,'март 2023'!$J$4:$J$582,E$1)</f>
        <v>0</v>
      </c>
      <c r="F11" s="198">
        <f>SUMIFS('март 2023'!$G$4:$G$582,'март 2023'!$D$4:$D$582,$B11,'март 2023'!$J$4:$J$582,F$1)</f>
        <v>0</v>
      </c>
      <c r="G11" s="198">
        <f>SUMIFS('март 2023'!$G$4:$G$582,'март 2023'!$D$4:$D$582,$B11,'март 2023'!$J$4:$J$582,G$1)</f>
        <v>0</v>
      </c>
      <c r="H11" s="198">
        <f>SUMIFS('март 2023'!$G$4:$G$582,'март 2023'!$D$4:$D$582,$B11,'март 2023'!$J$4:$J$582,H$1)</f>
        <v>0</v>
      </c>
      <c r="I11" s="198">
        <f>SUMIFS('март 2023'!$G$4:$G$582,'март 2023'!$D$4:$D$582,$B11,'март 2023'!$J$4:$J$582,I$1)</f>
        <v>0</v>
      </c>
      <c r="J11" s="198">
        <f>SUMIFS('март 2023'!$G$4:$G$582,'март 2023'!$D$4:$D$582,$B11,'март 2023'!$J$4:$J$582,J$1)</f>
        <v>0</v>
      </c>
      <c r="K11" s="198">
        <f>SUMIFS('март 2023'!$G$4:$G$582,'март 2023'!$D$4:$D$582,$B11,'март 2023'!$J$4:$J$582,K$1)</f>
        <v>0</v>
      </c>
      <c r="L11" s="198">
        <f>SUMIFS('март 2023'!$G$4:$G$582,'март 2023'!$D$4:$D$582,$B11,'март 2023'!$J$4:$J$582,L$1)</f>
        <v>0</v>
      </c>
      <c r="M11" s="198">
        <f>SUMIFS('март 2023'!$G$4:$G$582,'март 2023'!$D$4:$D$582,$B11,'март 2023'!$J$4:$J$582,M$1)</f>
        <v>0</v>
      </c>
      <c r="N11" s="198">
        <f>SUMIFS('март 2023'!$G$4:$G$582,'март 2023'!$D$4:$D$582,$B11,'март 2023'!$J$4:$J$582,N$1)</f>
        <v>0</v>
      </c>
      <c r="O11" s="198">
        <f>SUMIFS('март 2023'!$G$4:$G$582,'март 2023'!$D$4:$D$582,$B11,'март 2023'!$J$4:$J$582,O$1)</f>
        <v>0</v>
      </c>
      <c r="P11" s="198">
        <f>SUMIFS('март 2023'!$G$4:$G$582,'март 2023'!$D$4:$D$582,$B11,'март 2023'!$J$4:$J$582,P$1)</f>
        <v>0</v>
      </c>
      <c r="Q11" s="198">
        <f>SUMIFS('март 2023'!$G$4:$G$582,'март 2023'!$D$4:$D$582,$B11,'март 2023'!$J$4:$J$582,Q$1)</f>
        <v>0</v>
      </c>
      <c r="R11" s="198">
        <f>SUMIFS('март 2023'!$G$4:$G$582,'март 2023'!$D$4:$D$582,$B11,'март 2023'!$J$4:$J$582,R$1)</f>
        <v>0</v>
      </c>
      <c r="S11" s="198">
        <f>SUMIFS('март 2023'!$G$4:$G$582,'март 2023'!$D$4:$D$582,$B11,'март 2023'!$J$4:$J$582,S$1)</f>
        <v>0</v>
      </c>
      <c r="T11" s="198">
        <f>SUMIFS('март 2023'!$G$4:$G$582,'март 2023'!$D$4:$D$582,$B11,'март 2023'!$J$4:$J$582,T$1)</f>
        <v>0</v>
      </c>
      <c r="U11" s="198">
        <f>SUMIFS('март 2023'!$G$4:$G$582,'март 2023'!$D$4:$D$582,$B11,'март 2023'!$J$4:$J$582,U$1)</f>
        <v>0</v>
      </c>
      <c r="V11" s="198">
        <f>SUMIFS('март 2023'!$G$4:$G$582,'март 2023'!$D$4:$D$582,$B11,'март 2023'!$J$4:$J$582,V$1)</f>
        <v>0</v>
      </c>
      <c r="W11" s="198">
        <f>SUMIFS('март 2023'!$G$4:$G$582,'март 2023'!$D$4:$D$582,$B11,'март 2023'!$J$4:$J$582,W$1)</f>
        <v>0</v>
      </c>
      <c r="X11" s="198">
        <f>SUMIFS('март 2023'!$G$4:$G$582,'март 2023'!$D$4:$D$582,$B11,'март 2023'!$J$4:$J$582,X$1)</f>
        <v>0</v>
      </c>
      <c r="Y11" s="198">
        <f>SUMIFS('март 2023'!$G$4:$G$582,'март 2023'!$D$4:$D$582,$B11,'март 2023'!$J$4:$J$582,Y$1)</f>
        <v>0</v>
      </c>
      <c r="Z11" s="198">
        <f>SUMIFS('март 2023'!$G$4:$G$582,'март 2023'!$D$4:$D$582,$B11,'март 2023'!$J$4:$J$582,Z$1)</f>
        <v>0</v>
      </c>
      <c r="AA11" s="198">
        <f>SUMIFS('март 2023'!$G$4:$G$582,'март 2023'!$D$4:$D$582,$B11,'март 2023'!$J$4:$J$582,AA$1)</f>
        <v>0</v>
      </c>
      <c r="AB11" s="198">
        <f>SUMIFS('март 2023'!$G$4:$G$582,'март 2023'!$D$4:$D$582,$B11,'март 2023'!$J$4:$J$582,AB$1)</f>
        <v>0</v>
      </c>
      <c r="AC11" s="198">
        <f>SUMIFS('март 2023'!$G$4:$G$582,'март 2023'!$D$4:$D$582,$B11,'март 2023'!$J$4:$J$582,AC$1)</f>
        <v>0</v>
      </c>
      <c r="AD11" s="198">
        <f>SUMIFS('март 2023'!$G$4:$G$582,'март 2023'!$D$4:$D$582,$B11,'март 2023'!$J$4:$J$582,AD$1)</f>
        <v>0</v>
      </c>
      <c r="AE11" s="198">
        <f>SUMIFS('март 2023'!$G$4:$G$582,'март 2023'!$D$4:$D$582,$B11,'март 2023'!$J$4:$J$582,AE$1)</f>
        <v>0</v>
      </c>
      <c r="AF11" s="198">
        <f>SUMIFS('март 2023'!$G$4:$G$582,'март 2023'!$D$4:$D$582,$B11,'март 2023'!$J$4:$J$582,AF$1)</f>
        <v>0</v>
      </c>
      <c r="AG11" s="198">
        <f>SUMIFS('март 2023'!$G$4:$G$582,'март 2023'!$D$4:$D$582,$B11,'март 2023'!$J$4:$J$582,AG$1)</f>
        <v>0</v>
      </c>
      <c r="AH11" s="198">
        <f>SUMIFS('март 2023'!$G$4:$G$582,'март 2023'!$D$4:$D$582,$B11,'март 2023'!$J$4:$J$582,AH$1)</f>
        <v>0</v>
      </c>
      <c r="AI11" s="170">
        <f t="shared" si="1"/>
        <v>0</v>
      </c>
    </row>
    <row r="12" spans="2:35" ht="15" customHeight="1" x14ac:dyDescent="0.25">
      <c r="B12" s="202" t="s">
        <v>86</v>
      </c>
      <c r="C12" s="203">
        <v>22.7</v>
      </c>
      <c r="D12" s="198">
        <f>SUMIFS('март 2023'!$G$4:$G$582,'март 2023'!$D$4:$D$582,$B12,'март 2023'!$J$4:$J$582,D$1)</f>
        <v>0</v>
      </c>
      <c r="E12" s="198">
        <f>SUMIFS('март 2023'!$G$4:$G$582,'март 2023'!$D$4:$D$582,$B12,'март 2023'!$J$4:$J$582,E$1)</f>
        <v>0</v>
      </c>
      <c r="F12" s="198">
        <f>SUMIFS('март 2023'!$G$4:$G$582,'март 2023'!$D$4:$D$582,$B12,'март 2023'!$J$4:$J$582,F$1)</f>
        <v>0</v>
      </c>
      <c r="G12" s="198">
        <f>SUMIFS('март 2023'!$G$4:$G$582,'март 2023'!$D$4:$D$582,$B12,'март 2023'!$J$4:$J$582,G$1)</f>
        <v>0</v>
      </c>
      <c r="H12" s="198">
        <f>SUMIFS('март 2023'!$G$4:$G$582,'март 2023'!$D$4:$D$582,$B12,'март 2023'!$J$4:$J$582,H$1)</f>
        <v>0</v>
      </c>
      <c r="I12" s="198">
        <f>SUMIFS('март 2023'!$G$4:$G$582,'март 2023'!$D$4:$D$582,$B12,'март 2023'!$J$4:$J$582,I$1)</f>
        <v>400</v>
      </c>
      <c r="J12" s="198">
        <f>SUMIFS('март 2023'!$G$4:$G$582,'март 2023'!$D$4:$D$582,$B12,'март 2023'!$J$4:$J$582,J$1)</f>
        <v>0</v>
      </c>
      <c r="K12" s="198">
        <f>SUMIFS('март 2023'!$G$4:$G$582,'март 2023'!$D$4:$D$582,$B12,'март 2023'!$J$4:$J$582,K$1)</f>
        <v>0</v>
      </c>
      <c r="L12" s="198">
        <f>SUMIFS('март 2023'!$G$4:$G$582,'март 2023'!$D$4:$D$582,$B12,'март 2023'!$J$4:$J$582,L$1)</f>
        <v>0</v>
      </c>
      <c r="M12" s="198">
        <f>SUMIFS('март 2023'!$G$4:$G$582,'март 2023'!$D$4:$D$582,$B12,'март 2023'!$J$4:$J$582,M$1)</f>
        <v>160</v>
      </c>
      <c r="N12" s="198">
        <f>SUMIFS('март 2023'!$G$4:$G$582,'март 2023'!$D$4:$D$582,$B12,'март 2023'!$J$4:$J$582,N$1)</f>
        <v>0</v>
      </c>
      <c r="O12" s="198">
        <f>SUMIFS('март 2023'!$G$4:$G$582,'март 2023'!$D$4:$D$582,$B12,'март 2023'!$J$4:$J$582,O$1)</f>
        <v>0</v>
      </c>
      <c r="P12" s="198">
        <f>SUMIFS('март 2023'!$G$4:$G$582,'март 2023'!$D$4:$D$582,$B12,'март 2023'!$J$4:$J$582,P$1)</f>
        <v>800</v>
      </c>
      <c r="Q12" s="198">
        <f>SUMIFS('март 2023'!$G$4:$G$582,'март 2023'!$D$4:$D$582,$B12,'март 2023'!$J$4:$J$582,Q$1)</f>
        <v>800</v>
      </c>
      <c r="R12" s="198">
        <f>SUMIFS('март 2023'!$G$4:$G$582,'март 2023'!$D$4:$D$582,$B12,'март 2023'!$J$4:$J$582,R$1)</f>
        <v>0</v>
      </c>
      <c r="S12" s="198">
        <f>SUMIFS('март 2023'!$G$4:$G$582,'март 2023'!$D$4:$D$582,$B12,'март 2023'!$J$4:$J$582,S$1)</f>
        <v>0</v>
      </c>
      <c r="T12" s="198">
        <f>SUMIFS('март 2023'!$G$4:$G$582,'март 2023'!$D$4:$D$582,$B12,'март 2023'!$J$4:$J$582,T$1)</f>
        <v>0</v>
      </c>
      <c r="U12" s="198">
        <f>SUMIFS('март 2023'!$G$4:$G$582,'март 2023'!$D$4:$D$582,$B12,'март 2023'!$J$4:$J$582,U$1)</f>
        <v>0</v>
      </c>
      <c r="V12" s="198">
        <f>SUMIFS('март 2023'!$G$4:$G$582,'март 2023'!$D$4:$D$582,$B12,'март 2023'!$J$4:$J$582,V$1)</f>
        <v>0</v>
      </c>
      <c r="W12" s="198">
        <f>SUMIFS('март 2023'!$G$4:$G$582,'март 2023'!$D$4:$D$582,$B12,'март 2023'!$J$4:$J$582,W$1)</f>
        <v>0</v>
      </c>
      <c r="X12" s="198">
        <f>SUMIFS('март 2023'!$G$4:$G$582,'март 2023'!$D$4:$D$582,$B12,'март 2023'!$J$4:$J$582,X$1)</f>
        <v>0</v>
      </c>
      <c r="Y12" s="198">
        <f>SUMIFS('март 2023'!$G$4:$G$582,'март 2023'!$D$4:$D$582,$B12,'март 2023'!$J$4:$J$582,Y$1)</f>
        <v>0</v>
      </c>
      <c r="Z12" s="198">
        <f>SUMIFS('март 2023'!$G$4:$G$582,'март 2023'!$D$4:$D$582,$B12,'март 2023'!$J$4:$J$582,Z$1)</f>
        <v>0</v>
      </c>
      <c r="AA12" s="198">
        <f>SUMIFS('март 2023'!$G$4:$G$582,'март 2023'!$D$4:$D$582,$B12,'март 2023'!$J$4:$J$582,AA$1)</f>
        <v>0</v>
      </c>
      <c r="AB12" s="198">
        <f>SUMIFS('март 2023'!$G$4:$G$582,'март 2023'!$D$4:$D$582,$B12,'март 2023'!$J$4:$J$582,AB$1)</f>
        <v>0</v>
      </c>
      <c r="AC12" s="198">
        <f>SUMIFS('март 2023'!$G$4:$G$582,'март 2023'!$D$4:$D$582,$B12,'март 2023'!$J$4:$J$582,AC$1)</f>
        <v>0</v>
      </c>
      <c r="AD12" s="198">
        <f>SUMIFS('март 2023'!$G$4:$G$582,'март 2023'!$D$4:$D$582,$B12,'март 2023'!$J$4:$J$582,AD$1)</f>
        <v>0</v>
      </c>
      <c r="AE12" s="198">
        <f>SUMIFS('март 2023'!$G$4:$G$582,'март 2023'!$D$4:$D$582,$B12,'март 2023'!$J$4:$J$582,AE$1)</f>
        <v>0</v>
      </c>
      <c r="AF12" s="198">
        <f>SUMIFS('март 2023'!$G$4:$G$582,'март 2023'!$D$4:$D$582,$B12,'март 2023'!$J$4:$J$582,AF$1)</f>
        <v>0</v>
      </c>
      <c r="AG12" s="198">
        <f>SUMIFS('март 2023'!$G$4:$G$582,'март 2023'!$D$4:$D$582,$B12,'март 2023'!$J$4:$J$582,AG$1)</f>
        <v>0</v>
      </c>
      <c r="AH12" s="198">
        <f>SUMIFS('март 2023'!$G$4:$G$582,'март 2023'!$D$4:$D$582,$B12,'март 2023'!$J$4:$J$582,AH$1)</f>
        <v>0</v>
      </c>
      <c r="AI12" s="170">
        <f t="shared" si="1"/>
        <v>2160</v>
      </c>
    </row>
    <row r="13" spans="2:35" ht="15" customHeight="1" x14ac:dyDescent="0.25">
      <c r="B13" s="199" t="s">
        <v>2103</v>
      </c>
      <c r="C13" s="200">
        <v>25</v>
      </c>
      <c r="D13" s="198">
        <f>SUMIFS('март 2023'!$G$4:$G$582,'март 2023'!$D$4:$D$582,$B13,'март 2023'!$J$4:$J$582,D$1)</f>
        <v>0</v>
      </c>
      <c r="E13" s="198">
        <f>SUMIFS('март 2023'!$G$4:$G$582,'март 2023'!$D$4:$D$582,$B13,'март 2023'!$J$4:$J$582,E$1)</f>
        <v>0</v>
      </c>
      <c r="F13" s="198">
        <f>SUMIFS('март 2023'!$G$4:$G$582,'март 2023'!$D$4:$D$582,$B13,'март 2023'!$J$4:$J$582,F$1)</f>
        <v>0</v>
      </c>
      <c r="G13" s="198">
        <f>SUMIFS('март 2023'!$G$4:$G$582,'март 2023'!$D$4:$D$582,$B13,'март 2023'!$J$4:$J$582,G$1)</f>
        <v>0</v>
      </c>
      <c r="H13" s="198">
        <f>SUMIFS('март 2023'!$G$4:$G$582,'март 2023'!$D$4:$D$582,$B13,'март 2023'!$J$4:$J$582,H$1)</f>
        <v>0</v>
      </c>
      <c r="I13" s="198">
        <f>SUMIFS('март 2023'!$G$4:$G$582,'март 2023'!$D$4:$D$582,$B13,'март 2023'!$J$4:$J$582,I$1)</f>
        <v>0</v>
      </c>
      <c r="J13" s="198">
        <f>SUMIFS('март 2023'!$G$4:$G$582,'март 2023'!$D$4:$D$582,$B13,'март 2023'!$J$4:$J$582,J$1)</f>
        <v>0</v>
      </c>
      <c r="K13" s="198">
        <f>SUMIFS('март 2023'!$G$4:$G$582,'март 2023'!$D$4:$D$582,$B13,'март 2023'!$J$4:$J$582,K$1)</f>
        <v>0</v>
      </c>
      <c r="L13" s="198">
        <f>SUMIFS('март 2023'!$G$4:$G$582,'март 2023'!$D$4:$D$582,$B13,'март 2023'!$J$4:$J$582,L$1)</f>
        <v>0</v>
      </c>
      <c r="M13" s="198">
        <f>SUMIFS('март 2023'!$G$4:$G$582,'март 2023'!$D$4:$D$582,$B13,'март 2023'!$J$4:$J$582,M$1)</f>
        <v>0</v>
      </c>
      <c r="N13" s="198">
        <f>SUMIFS('март 2023'!$G$4:$G$582,'март 2023'!$D$4:$D$582,$B13,'март 2023'!$J$4:$J$582,N$1)</f>
        <v>0</v>
      </c>
      <c r="O13" s="198">
        <f>SUMIFS('март 2023'!$G$4:$G$582,'март 2023'!$D$4:$D$582,$B13,'март 2023'!$J$4:$J$582,O$1)</f>
        <v>0</v>
      </c>
      <c r="P13" s="198">
        <f>SUMIFS('март 2023'!$G$4:$G$582,'март 2023'!$D$4:$D$582,$B13,'март 2023'!$J$4:$J$582,P$1)</f>
        <v>0</v>
      </c>
      <c r="Q13" s="198">
        <f>SUMIFS('март 2023'!$G$4:$G$582,'март 2023'!$D$4:$D$582,$B13,'март 2023'!$J$4:$J$582,Q$1)</f>
        <v>0</v>
      </c>
      <c r="R13" s="198">
        <f>SUMIFS('март 2023'!$G$4:$G$582,'март 2023'!$D$4:$D$582,$B13,'март 2023'!$J$4:$J$582,R$1)</f>
        <v>0</v>
      </c>
      <c r="S13" s="198">
        <f>SUMIFS('март 2023'!$G$4:$G$582,'март 2023'!$D$4:$D$582,$B13,'март 2023'!$J$4:$J$582,S$1)</f>
        <v>0</v>
      </c>
      <c r="T13" s="198">
        <f>SUMIFS('март 2023'!$G$4:$G$582,'март 2023'!$D$4:$D$582,$B13,'март 2023'!$J$4:$J$582,T$1)</f>
        <v>0</v>
      </c>
      <c r="U13" s="198">
        <f>SUMIFS('март 2023'!$G$4:$G$582,'март 2023'!$D$4:$D$582,$B13,'март 2023'!$J$4:$J$582,U$1)</f>
        <v>0</v>
      </c>
      <c r="V13" s="198">
        <f>SUMIFS('март 2023'!$G$4:$G$582,'март 2023'!$D$4:$D$582,$B13,'март 2023'!$J$4:$J$582,V$1)</f>
        <v>0</v>
      </c>
      <c r="W13" s="198">
        <f>SUMIFS('март 2023'!$G$4:$G$582,'март 2023'!$D$4:$D$582,$B13,'март 2023'!$J$4:$J$582,W$1)</f>
        <v>0</v>
      </c>
      <c r="X13" s="198">
        <f>SUMIFS('март 2023'!$G$4:$G$582,'март 2023'!$D$4:$D$582,$B13,'март 2023'!$J$4:$J$582,X$1)</f>
        <v>0</v>
      </c>
      <c r="Y13" s="198">
        <f>SUMIFS('март 2023'!$G$4:$G$582,'март 2023'!$D$4:$D$582,$B13,'март 2023'!$J$4:$J$582,Y$1)</f>
        <v>0</v>
      </c>
      <c r="Z13" s="198">
        <f>SUMIFS('март 2023'!$G$4:$G$582,'март 2023'!$D$4:$D$582,$B13,'март 2023'!$J$4:$J$582,Z$1)</f>
        <v>0</v>
      </c>
      <c r="AA13" s="198">
        <f>SUMIFS('март 2023'!$G$4:$G$582,'март 2023'!$D$4:$D$582,$B13,'март 2023'!$J$4:$J$582,AA$1)</f>
        <v>0</v>
      </c>
      <c r="AB13" s="198">
        <f>SUMIFS('март 2023'!$G$4:$G$582,'март 2023'!$D$4:$D$582,$B13,'март 2023'!$J$4:$J$582,AB$1)</f>
        <v>0</v>
      </c>
      <c r="AC13" s="198">
        <f>SUMIFS('март 2023'!$G$4:$G$582,'март 2023'!$D$4:$D$582,$B13,'март 2023'!$J$4:$J$582,AC$1)</f>
        <v>0</v>
      </c>
      <c r="AD13" s="198">
        <f>SUMIFS('март 2023'!$G$4:$G$582,'март 2023'!$D$4:$D$582,$B13,'март 2023'!$J$4:$J$582,AD$1)</f>
        <v>0</v>
      </c>
      <c r="AE13" s="198">
        <f>SUMIFS('март 2023'!$G$4:$G$582,'март 2023'!$D$4:$D$582,$B13,'март 2023'!$J$4:$J$582,AE$1)</f>
        <v>0</v>
      </c>
      <c r="AF13" s="198">
        <f>SUMIFS('март 2023'!$G$4:$G$582,'март 2023'!$D$4:$D$582,$B13,'март 2023'!$J$4:$J$582,AF$1)</f>
        <v>0</v>
      </c>
      <c r="AG13" s="198">
        <f>SUMIFS('март 2023'!$G$4:$G$582,'март 2023'!$D$4:$D$582,$B13,'март 2023'!$J$4:$J$582,AG$1)</f>
        <v>0</v>
      </c>
      <c r="AH13" s="198">
        <f>SUMIFS('март 2023'!$G$4:$G$582,'март 2023'!$D$4:$D$582,$B13,'март 2023'!$J$4:$J$582,AH$1)</f>
        <v>0</v>
      </c>
      <c r="AI13" s="170">
        <f t="shared" si="1"/>
        <v>0</v>
      </c>
    </row>
    <row r="14" spans="2:35" ht="15" customHeight="1" x14ac:dyDescent="0.25">
      <c r="B14" s="202" t="s">
        <v>1985</v>
      </c>
      <c r="C14" s="203">
        <v>25</v>
      </c>
      <c r="D14" s="198">
        <f>SUMIFS('март 2023'!$G$4:$G$582,'март 2023'!$D$4:$D$582,$B14,'март 2023'!$J$4:$J$582,D$1)</f>
        <v>0</v>
      </c>
      <c r="E14" s="198">
        <f>SUMIFS('март 2023'!$G$4:$G$582,'март 2023'!$D$4:$D$582,$B14,'март 2023'!$J$4:$J$582,E$1)</f>
        <v>0</v>
      </c>
      <c r="F14" s="198">
        <f>SUMIFS('март 2023'!$G$4:$G$582,'март 2023'!$D$4:$D$582,$B14,'март 2023'!$J$4:$J$582,F$1)</f>
        <v>0</v>
      </c>
      <c r="G14" s="198">
        <f>SUMIFS('март 2023'!$G$4:$G$582,'март 2023'!$D$4:$D$582,$B14,'март 2023'!$J$4:$J$582,G$1)</f>
        <v>0</v>
      </c>
      <c r="H14" s="198">
        <f>SUMIFS('март 2023'!$G$4:$G$582,'март 2023'!$D$4:$D$582,$B14,'март 2023'!$J$4:$J$582,H$1)</f>
        <v>0</v>
      </c>
      <c r="I14" s="198">
        <f>SUMIFS('март 2023'!$G$4:$G$582,'март 2023'!$D$4:$D$582,$B14,'март 2023'!$J$4:$J$582,I$1)</f>
        <v>0</v>
      </c>
      <c r="J14" s="198">
        <f>SUMIFS('март 2023'!$G$4:$G$582,'март 2023'!$D$4:$D$582,$B14,'март 2023'!$J$4:$J$582,J$1)</f>
        <v>0</v>
      </c>
      <c r="K14" s="198">
        <f>SUMIFS('март 2023'!$G$4:$G$582,'март 2023'!$D$4:$D$582,$B14,'март 2023'!$J$4:$J$582,K$1)</f>
        <v>0</v>
      </c>
      <c r="L14" s="198">
        <f>SUMIFS('март 2023'!$G$4:$G$582,'март 2023'!$D$4:$D$582,$B14,'март 2023'!$J$4:$J$582,L$1)</f>
        <v>0</v>
      </c>
      <c r="M14" s="198">
        <f>SUMIFS('март 2023'!$G$4:$G$582,'март 2023'!$D$4:$D$582,$B14,'март 2023'!$J$4:$J$582,M$1)</f>
        <v>0</v>
      </c>
      <c r="N14" s="198">
        <f>SUMIFS('март 2023'!$G$4:$G$582,'март 2023'!$D$4:$D$582,$B14,'март 2023'!$J$4:$J$582,N$1)</f>
        <v>0</v>
      </c>
      <c r="O14" s="198">
        <f>SUMIFS('март 2023'!$G$4:$G$582,'март 2023'!$D$4:$D$582,$B14,'март 2023'!$J$4:$J$582,O$1)</f>
        <v>0</v>
      </c>
      <c r="P14" s="198">
        <f>SUMIFS('март 2023'!$G$4:$G$582,'март 2023'!$D$4:$D$582,$B14,'март 2023'!$J$4:$J$582,P$1)</f>
        <v>0</v>
      </c>
      <c r="Q14" s="198">
        <f>SUMIFS('март 2023'!$G$4:$G$582,'март 2023'!$D$4:$D$582,$B14,'март 2023'!$J$4:$J$582,Q$1)</f>
        <v>0</v>
      </c>
      <c r="R14" s="198">
        <f>SUMIFS('март 2023'!$G$4:$G$582,'март 2023'!$D$4:$D$582,$B14,'март 2023'!$J$4:$J$582,R$1)</f>
        <v>0</v>
      </c>
      <c r="S14" s="198">
        <f>SUMIFS('март 2023'!$G$4:$G$582,'март 2023'!$D$4:$D$582,$B14,'март 2023'!$J$4:$J$582,S$1)</f>
        <v>0</v>
      </c>
      <c r="T14" s="198">
        <f>SUMIFS('март 2023'!$G$4:$G$582,'март 2023'!$D$4:$D$582,$B14,'март 2023'!$J$4:$J$582,T$1)</f>
        <v>0</v>
      </c>
      <c r="U14" s="198">
        <f>SUMIFS('март 2023'!$G$4:$G$582,'март 2023'!$D$4:$D$582,$B14,'март 2023'!$J$4:$J$582,U$1)</f>
        <v>0</v>
      </c>
      <c r="V14" s="198">
        <f>SUMIFS('март 2023'!$G$4:$G$582,'март 2023'!$D$4:$D$582,$B14,'март 2023'!$J$4:$J$582,V$1)</f>
        <v>0</v>
      </c>
      <c r="W14" s="198">
        <f>SUMIFS('март 2023'!$G$4:$G$582,'март 2023'!$D$4:$D$582,$B14,'март 2023'!$J$4:$J$582,W$1)</f>
        <v>0</v>
      </c>
      <c r="X14" s="198">
        <f>SUMIFS('март 2023'!$G$4:$G$582,'март 2023'!$D$4:$D$582,$B14,'март 2023'!$J$4:$J$582,X$1)</f>
        <v>0</v>
      </c>
      <c r="Y14" s="198">
        <f>SUMIFS('март 2023'!$G$4:$G$582,'март 2023'!$D$4:$D$582,$B14,'март 2023'!$J$4:$J$582,Y$1)</f>
        <v>0</v>
      </c>
      <c r="Z14" s="198">
        <f>SUMIFS('март 2023'!$G$4:$G$582,'март 2023'!$D$4:$D$582,$B14,'март 2023'!$J$4:$J$582,Z$1)</f>
        <v>0</v>
      </c>
      <c r="AA14" s="198">
        <f>SUMIFS('март 2023'!$G$4:$G$582,'март 2023'!$D$4:$D$582,$B14,'март 2023'!$J$4:$J$582,AA$1)</f>
        <v>0</v>
      </c>
      <c r="AB14" s="198">
        <f>SUMIFS('март 2023'!$G$4:$G$582,'март 2023'!$D$4:$D$582,$B14,'март 2023'!$J$4:$J$582,AB$1)</f>
        <v>0</v>
      </c>
      <c r="AC14" s="198">
        <f>SUMIFS('март 2023'!$G$4:$G$582,'март 2023'!$D$4:$D$582,$B14,'март 2023'!$J$4:$J$582,AC$1)</f>
        <v>0</v>
      </c>
      <c r="AD14" s="198">
        <f>SUMIFS('март 2023'!$G$4:$G$582,'март 2023'!$D$4:$D$582,$B14,'март 2023'!$J$4:$J$582,AD$1)</f>
        <v>0</v>
      </c>
      <c r="AE14" s="198">
        <f>SUMIFS('март 2023'!$G$4:$G$582,'март 2023'!$D$4:$D$582,$B14,'март 2023'!$J$4:$J$582,AE$1)</f>
        <v>0</v>
      </c>
      <c r="AF14" s="198">
        <f>SUMIFS('март 2023'!$G$4:$G$582,'март 2023'!$D$4:$D$582,$B14,'март 2023'!$J$4:$J$582,AF$1)</f>
        <v>0</v>
      </c>
      <c r="AG14" s="198">
        <f>SUMIFS('март 2023'!$G$4:$G$582,'март 2023'!$D$4:$D$582,$B14,'март 2023'!$J$4:$J$582,AG$1)</f>
        <v>0</v>
      </c>
      <c r="AH14" s="198">
        <f>SUMIFS('март 2023'!$G$4:$G$582,'март 2023'!$D$4:$D$582,$B14,'март 2023'!$J$4:$J$582,AH$1)</f>
        <v>0</v>
      </c>
      <c r="AI14" s="170">
        <f t="shared" si="1"/>
        <v>0</v>
      </c>
    </row>
    <row r="15" spans="2:35" ht="15" customHeight="1" x14ac:dyDescent="0.25">
      <c r="B15" s="202" t="s">
        <v>2104</v>
      </c>
      <c r="C15" s="203">
        <v>25</v>
      </c>
      <c r="D15" s="198">
        <f>SUMIFS('март 2023'!$G$4:$G$582,'март 2023'!$D$4:$D$582,$B15,'март 2023'!$J$4:$J$582,D$1)</f>
        <v>0</v>
      </c>
      <c r="E15" s="198">
        <f>SUMIFS('март 2023'!$G$4:$G$582,'март 2023'!$D$4:$D$582,$B15,'март 2023'!$J$4:$J$582,E$1)</f>
        <v>0</v>
      </c>
      <c r="F15" s="198">
        <f>SUMIFS('март 2023'!$G$4:$G$582,'март 2023'!$D$4:$D$582,$B15,'март 2023'!$J$4:$J$582,F$1)</f>
        <v>0</v>
      </c>
      <c r="G15" s="198">
        <f>SUMIFS('март 2023'!$G$4:$G$582,'март 2023'!$D$4:$D$582,$B15,'март 2023'!$J$4:$J$582,G$1)</f>
        <v>0</v>
      </c>
      <c r="H15" s="198">
        <f>SUMIFS('март 2023'!$G$4:$G$582,'март 2023'!$D$4:$D$582,$B15,'март 2023'!$J$4:$J$582,H$1)</f>
        <v>0</v>
      </c>
      <c r="I15" s="198">
        <f>SUMIFS('март 2023'!$G$4:$G$582,'март 2023'!$D$4:$D$582,$B15,'март 2023'!$J$4:$J$582,I$1)</f>
        <v>0</v>
      </c>
      <c r="J15" s="198">
        <f>SUMIFS('март 2023'!$G$4:$G$582,'март 2023'!$D$4:$D$582,$B15,'март 2023'!$J$4:$J$582,J$1)</f>
        <v>0</v>
      </c>
      <c r="K15" s="198">
        <f>SUMIFS('март 2023'!$G$4:$G$582,'март 2023'!$D$4:$D$582,$B15,'март 2023'!$J$4:$J$582,K$1)</f>
        <v>0</v>
      </c>
      <c r="L15" s="198">
        <f>SUMIFS('март 2023'!$G$4:$G$582,'март 2023'!$D$4:$D$582,$B15,'март 2023'!$J$4:$J$582,L$1)</f>
        <v>0</v>
      </c>
      <c r="M15" s="198">
        <f>SUMIFS('март 2023'!$G$4:$G$582,'март 2023'!$D$4:$D$582,$B15,'март 2023'!$J$4:$J$582,M$1)</f>
        <v>0</v>
      </c>
      <c r="N15" s="198">
        <f>SUMIFS('март 2023'!$G$4:$G$582,'март 2023'!$D$4:$D$582,$B15,'март 2023'!$J$4:$J$582,N$1)</f>
        <v>0</v>
      </c>
      <c r="O15" s="198">
        <f>SUMIFS('март 2023'!$G$4:$G$582,'март 2023'!$D$4:$D$582,$B15,'март 2023'!$J$4:$J$582,O$1)</f>
        <v>0</v>
      </c>
      <c r="P15" s="198">
        <f>SUMIFS('март 2023'!$G$4:$G$582,'март 2023'!$D$4:$D$582,$B15,'март 2023'!$J$4:$J$582,P$1)</f>
        <v>0</v>
      </c>
      <c r="Q15" s="198">
        <f>SUMIFS('март 2023'!$G$4:$G$582,'март 2023'!$D$4:$D$582,$B15,'март 2023'!$J$4:$J$582,Q$1)</f>
        <v>0</v>
      </c>
      <c r="R15" s="198">
        <f>SUMIFS('март 2023'!$G$4:$G$582,'март 2023'!$D$4:$D$582,$B15,'март 2023'!$J$4:$J$582,R$1)</f>
        <v>0</v>
      </c>
      <c r="S15" s="198">
        <f>SUMIFS('март 2023'!$G$4:$G$582,'март 2023'!$D$4:$D$582,$B15,'март 2023'!$J$4:$J$582,S$1)</f>
        <v>0</v>
      </c>
      <c r="T15" s="198">
        <f>SUMIFS('март 2023'!$G$4:$G$582,'март 2023'!$D$4:$D$582,$B15,'март 2023'!$J$4:$J$582,T$1)</f>
        <v>0</v>
      </c>
      <c r="U15" s="198">
        <f>SUMIFS('март 2023'!$G$4:$G$582,'март 2023'!$D$4:$D$582,$B15,'март 2023'!$J$4:$J$582,U$1)</f>
        <v>0</v>
      </c>
      <c r="V15" s="198">
        <f>SUMIFS('март 2023'!$G$4:$G$582,'март 2023'!$D$4:$D$582,$B15,'март 2023'!$J$4:$J$582,V$1)</f>
        <v>0</v>
      </c>
      <c r="W15" s="198">
        <f>SUMIFS('март 2023'!$G$4:$G$582,'март 2023'!$D$4:$D$582,$B15,'март 2023'!$J$4:$J$582,W$1)</f>
        <v>0</v>
      </c>
      <c r="X15" s="198">
        <f>SUMIFS('март 2023'!$G$4:$G$582,'март 2023'!$D$4:$D$582,$B15,'март 2023'!$J$4:$J$582,X$1)</f>
        <v>0</v>
      </c>
      <c r="Y15" s="198">
        <f>SUMIFS('март 2023'!$G$4:$G$582,'март 2023'!$D$4:$D$582,$B15,'март 2023'!$J$4:$J$582,Y$1)</f>
        <v>0</v>
      </c>
      <c r="Z15" s="198">
        <f>SUMIFS('март 2023'!$G$4:$G$582,'март 2023'!$D$4:$D$582,$B15,'март 2023'!$J$4:$J$582,Z$1)</f>
        <v>0</v>
      </c>
      <c r="AA15" s="198">
        <f>SUMIFS('март 2023'!$G$4:$G$582,'март 2023'!$D$4:$D$582,$B15,'март 2023'!$J$4:$J$582,AA$1)</f>
        <v>0</v>
      </c>
      <c r="AB15" s="198">
        <f>SUMIFS('март 2023'!$G$4:$G$582,'март 2023'!$D$4:$D$582,$B15,'март 2023'!$J$4:$J$582,AB$1)</f>
        <v>0</v>
      </c>
      <c r="AC15" s="198">
        <f>SUMIFS('март 2023'!$G$4:$G$582,'март 2023'!$D$4:$D$582,$B15,'март 2023'!$J$4:$J$582,AC$1)</f>
        <v>0</v>
      </c>
      <c r="AD15" s="198">
        <f>SUMIFS('март 2023'!$G$4:$G$582,'март 2023'!$D$4:$D$582,$B15,'март 2023'!$J$4:$J$582,AD$1)</f>
        <v>0</v>
      </c>
      <c r="AE15" s="198">
        <f>SUMIFS('март 2023'!$G$4:$G$582,'март 2023'!$D$4:$D$582,$B15,'март 2023'!$J$4:$J$582,AE$1)</f>
        <v>0</v>
      </c>
      <c r="AF15" s="198">
        <f>SUMIFS('март 2023'!$G$4:$G$582,'март 2023'!$D$4:$D$582,$B15,'март 2023'!$J$4:$J$582,AF$1)</f>
        <v>0</v>
      </c>
      <c r="AG15" s="198">
        <f>SUMIFS('март 2023'!$G$4:$G$582,'март 2023'!$D$4:$D$582,$B15,'март 2023'!$J$4:$J$582,AG$1)</f>
        <v>0</v>
      </c>
      <c r="AH15" s="198">
        <f>SUMIFS('март 2023'!$G$4:$G$582,'март 2023'!$D$4:$D$582,$B15,'март 2023'!$J$4:$J$582,AH$1)</f>
        <v>0</v>
      </c>
      <c r="AI15" s="170">
        <f t="shared" si="1"/>
        <v>0</v>
      </c>
    </row>
    <row r="16" spans="2:35" ht="15" customHeight="1" x14ac:dyDescent="0.25">
      <c r="B16" s="199" t="s">
        <v>571</v>
      </c>
      <c r="C16" s="200">
        <v>25</v>
      </c>
      <c r="D16" s="198">
        <f>SUMIFS('март 2023'!$G$4:$G$582,'март 2023'!$D$4:$D$582,$B16,'март 2023'!$J$4:$J$582,D$1)</f>
        <v>0</v>
      </c>
      <c r="E16" s="198">
        <f>SUMIFS('март 2023'!$G$4:$G$582,'март 2023'!$D$4:$D$582,$B16,'март 2023'!$J$4:$J$582,E$1)</f>
        <v>0</v>
      </c>
      <c r="F16" s="198">
        <f>SUMIFS('март 2023'!$G$4:$G$582,'март 2023'!$D$4:$D$582,$B16,'март 2023'!$J$4:$J$582,F$1)</f>
        <v>0</v>
      </c>
      <c r="G16" s="198">
        <f>SUMIFS('март 2023'!$G$4:$G$582,'март 2023'!$D$4:$D$582,$B16,'март 2023'!$J$4:$J$582,G$1)</f>
        <v>0</v>
      </c>
      <c r="H16" s="198">
        <f>SUMIFS('март 2023'!$G$4:$G$582,'март 2023'!$D$4:$D$582,$B16,'март 2023'!$J$4:$J$582,H$1)</f>
        <v>0</v>
      </c>
      <c r="I16" s="198">
        <f>SUMIFS('март 2023'!$G$4:$G$582,'март 2023'!$D$4:$D$582,$B16,'март 2023'!$J$4:$J$582,I$1)</f>
        <v>0</v>
      </c>
      <c r="J16" s="198">
        <f>SUMIFS('март 2023'!$G$4:$G$582,'март 2023'!$D$4:$D$582,$B16,'март 2023'!$J$4:$J$582,J$1)</f>
        <v>0</v>
      </c>
      <c r="K16" s="198">
        <f>SUMIFS('март 2023'!$G$4:$G$582,'март 2023'!$D$4:$D$582,$B16,'март 2023'!$J$4:$J$582,K$1)</f>
        <v>0</v>
      </c>
      <c r="L16" s="198">
        <f>SUMIFS('март 2023'!$G$4:$G$582,'март 2023'!$D$4:$D$582,$B16,'март 2023'!$J$4:$J$582,L$1)</f>
        <v>0</v>
      </c>
      <c r="M16" s="198">
        <f>SUMIFS('март 2023'!$G$4:$G$582,'март 2023'!$D$4:$D$582,$B16,'март 2023'!$J$4:$J$582,M$1)</f>
        <v>0</v>
      </c>
      <c r="N16" s="198">
        <f>SUMIFS('март 2023'!$G$4:$G$582,'март 2023'!$D$4:$D$582,$B16,'март 2023'!$J$4:$J$582,N$1)</f>
        <v>0</v>
      </c>
      <c r="O16" s="198">
        <f>SUMIFS('март 2023'!$G$4:$G$582,'март 2023'!$D$4:$D$582,$B16,'март 2023'!$J$4:$J$582,O$1)</f>
        <v>0</v>
      </c>
      <c r="P16" s="198">
        <f>SUMIFS('март 2023'!$G$4:$G$582,'март 2023'!$D$4:$D$582,$B16,'март 2023'!$J$4:$J$582,P$1)</f>
        <v>0</v>
      </c>
      <c r="Q16" s="198">
        <f>SUMIFS('март 2023'!$G$4:$G$582,'март 2023'!$D$4:$D$582,$B16,'март 2023'!$J$4:$J$582,Q$1)</f>
        <v>0</v>
      </c>
      <c r="R16" s="198">
        <f>SUMIFS('март 2023'!$G$4:$G$582,'март 2023'!$D$4:$D$582,$B16,'март 2023'!$J$4:$J$582,R$1)</f>
        <v>0</v>
      </c>
      <c r="S16" s="198">
        <f>SUMIFS('март 2023'!$G$4:$G$582,'март 2023'!$D$4:$D$582,$B16,'март 2023'!$J$4:$J$582,S$1)</f>
        <v>0</v>
      </c>
      <c r="T16" s="198">
        <f>SUMIFS('март 2023'!$G$4:$G$582,'март 2023'!$D$4:$D$582,$B16,'март 2023'!$J$4:$J$582,T$1)</f>
        <v>0</v>
      </c>
      <c r="U16" s="198">
        <f>SUMIFS('март 2023'!$G$4:$G$582,'март 2023'!$D$4:$D$582,$B16,'март 2023'!$J$4:$J$582,U$1)</f>
        <v>0</v>
      </c>
      <c r="V16" s="198">
        <f>SUMIFS('март 2023'!$G$4:$G$582,'март 2023'!$D$4:$D$582,$B16,'март 2023'!$J$4:$J$582,V$1)</f>
        <v>0</v>
      </c>
      <c r="W16" s="198">
        <f>SUMIFS('март 2023'!$G$4:$G$582,'март 2023'!$D$4:$D$582,$B16,'март 2023'!$J$4:$J$582,W$1)</f>
        <v>0</v>
      </c>
      <c r="X16" s="198">
        <f>SUMIFS('март 2023'!$G$4:$G$582,'март 2023'!$D$4:$D$582,$B16,'март 2023'!$J$4:$J$582,X$1)</f>
        <v>0</v>
      </c>
      <c r="Y16" s="198">
        <f>SUMIFS('март 2023'!$G$4:$G$582,'март 2023'!$D$4:$D$582,$B16,'март 2023'!$J$4:$J$582,Y$1)</f>
        <v>0</v>
      </c>
      <c r="Z16" s="198">
        <f>SUMIFS('март 2023'!$G$4:$G$582,'март 2023'!$D$4:$D$582,$B16,'март 2023'!$J$4:$J$582,Z$1)</f>
        <v>0</v>
      </c>
      <c r="AA16" s="198">
        <f>SUMIFS('март 2023'!$G$4:$G$582,'март 2023'!$D$4:$D$582,$B16,'март 2023'!$J$4:$J$582,AA$1)</f>
        <v>0</v>
      </c>
      <c r="AB16" s="198">
        <f>SUMIFS('март 2023'!$G$4:$G$582,'март 2023'!$D$4:$D$582,$B16,'март 2023'!$J$4:$J$582,AB$1)</f>
        <v>0</v>
      </c>
      <c r="AC16" s="198">
        <f>SUMIFS('март 2023'!$G$4:$G$582,'март 2023'!$D$4:$D$582,$B16,'март 2023'!$J$4:$J$582,AC$1)</f>
        <v>0</v>
      </c>
      <c r="AD16" s="198">
        <f>SUMIFS('март 2023'!$G$4:$G$582,'март 2023'!$D$4:$D$582,$B16,'март 2023'!$J$4:$J$582,AD$1)</f>
        <v>0</v>
      </c>
      <c r="AE16" s="198">
        <f>SUMIFS('март 2023'!$G$4:$G$582,'март 2023'!$D$4:$D$582,$B16,'март 2023'!$J$4:$J$582,AE$1)</f>
        <v>0</v>
      </c>
      <c r="AF16" s="198">
        <f>SUMIFS('март 2023'!$G$4:$G$582,'март 2023'!$D$4:$D$582,$B16,'март 2023'!$J$4:$J$582,AF$1)</f>
        <v>0</v>
      </c>
      <c r="AG16" s="198">
        <f>SUMIFS('март 2023'!$G$4:$G$582,'март 2023'!$D$4:$D$582,$B16,'март 2023'!$J$4:$J$582,AG$1)</f>
        <v>0</v>
      </c>
      <c r="AH16" s="198">
        <f>SUMIFS('март 2023'!$G$4:$G$582,'март 2023'!$D$4:$D$582,$B16,'март 2023'!$J$4:$J$582,AH$1)</f>
        <v>0</v>
      </c>
      <c r="AI16" s="170">
        <f t="shared" si="1"/>
        <v>0</v>
      </c>
    </row>
    <row r="17" spans="2:35" ht="15" customHeight="1" x14ac:dyDescent="0.25">
      <c r="B17" s="199" t="s">
        <v>2081</v>
      </c>
      <c r="C17" s="200">
        <v>25</v>
      </c>
      <c r="D17" s="198">
        <f>SUMIFS('март 2023'!$G$4:$G$582,'март 2023'!$D$4:$D$582,$B17,'март 2023'!$J$4:$J$582,D$1)</f>
        <v>0</v>
      </c>
      <c r="E17" s="198">
        <f>SUMIFS('март 2023'!$G$4:$G$582,'март 2023'!$D$4:$D$582,$B17,'март 2023'!$J$4:$J$582,E$1)</f>
        <v>0</v>
      </c>
      <c r="F17" s="198">
        <f>SUMIFS('март 2023'!$G$4:$G$582,'март 2023'!$D$4:$D$582,$B17,'март 2023'!$J$4:$J$582,F$1)</f>
        <v>0</v>
      </c>
      <c r="G17" s="198">
        <f>SUMIFS('март 2023'!$G$4:$G$582,'март 2023'!$D$4:$D$582,$B17,'март 2023'!$J$4:$J$582,G$1)</f>
        <v>0</v>
      </c>
      <c r="H17" s="198">
        <f>SUMIFS('март 2023'!$G$4:$G$582,'март 2023'!$D$4:$D$582,$B17,'март 2023'!$J$4:$J$582,H$1)</f>
        <v>0</v>
      </c>
      <c r="I17" s="198">
        <f>SUMIFS('март 2023'!$G$4:$G$582,'март 2023'!$D$4:$D$582,$B17,'март 2023'!$J$4:$J$582,I$1)</f>
        <v>0</v>
      </c>
      <c r="J17" s="198">
        <f>SUMIFS('март 2023'!$G$4:$G$582,'март 2023'!$D$4:$D$582,$B17,'март 2023'!$J$4:$J$582,J$1)</f>
        <v>0</v>
      </c>
      <c r="K17" s="198">
        <f>SUMIFS('март 2023'!$G$4:$G$582,'март 2023'!$D$4:$D$582,$B17,'март 2023'!$J$4:$J$582,K$1)</f>
        <v>0</v>
      </c>
      <c r="L17" s="198">
        <f>SUMIFS('март 2023'!$G$4:$G$582,'март 2023'!$D$4:$D$582,$B17,'март 2023'!$J$4:$J$582,L$1)</f>
        <v>0</v>
      </c>
      <c r="M17" s="198">
        <f>SUMIFS('март 2023'!$G$4:$G$582,'март 2023'!$D$4:$D$582,$B17,'март 2023'!$J$4:$J$582,M$1)</f>
        <v>0</v>
      </c>
      <c r="N17" s="198">
        <f>SUMIFS('март 2023'!$G$4:$G$582,'март 2023'!$D$4:$D$582,$B17,'март 2023'!$J$4:$J$582,N$1)</f>
        <v>0</v>
      </c>
      <c r="O17" s="198">
        <f>SUMIFS('март 2023'!$G$4:$G$582,'март 2023'!$D$4:$D$582,$B17,'март 2023'!$J$4:$J$582,O$1)</f>
        <v>0</v>
      </c>
      <c r="P17" s="198">
        <f>SUMIFS('март 2023'!$G$4:$G$582,'март 2023'!$D$4:$D$582,$B17,'март 2023'!$J$4:$J$582,P$1)</f>
        <v>0</v>
      </c>
      <c r="Q17" s="198">
        <f>SUMIFS('март 2023'!$G$4:$G$582,'март 2023'!$D$4:$D$582,$B17,'март 2023'!$J$4:$J$582,Q$1)</f>
        <v>0</v>
      </c>
      <c r="R17" s="198">
        <f>SUMIFS('март 2023'!$G$4:$G$582,'март 2023'!$D$4:$D$582,$B17,'март 2023'!$J$4:$J$582,R$1)</f>
        <v>0</v>
      </c>
      <c r="S17" s="198">
        <f>SUMIFS('март 2023'!$G$4:$G$582,'март 2023'!$D$4:$D$582,$B17,'март 2023'!$J$4:$J$582,S$1)</f>
        <v>0</v>
      </c>
      <c r="T17" s="198">
        <f>SUMIFS('март 2023'!$G$4:$G$582,'март 2023'!$D$4:$D$582,$B17,'март 2023'!$J$4:$J$582,T$1)</f>
        <v>0</v>
      </c>
      <c r="U17" s="198">
        <f>SUMIFS('март 2023'!$G$4:$G$582,'март 2023'!$D$4:$D$582,$B17,'март 2023'!$J$4:$J$582,U$1)</f>
        <v>0</v>
      </c>
      <c r="V17" s="198">
        <f>SUMIFS('март 2023'!$G$4:$G$582,'март 2023'!$D$4:$D$582,$B17,'март 2023'!$J$4:$J$582,V$1)</f>
        <v>0</v>
      </c>
      <c r="W17" s="198">
        <f>SUMIFS('март 2023'!$G$4:$G$582,'март 2023'!$D$4:$D$582,$B17,'март 2023'!$J$4:$J$582,W$1)</f>
        <v>0</v>
      </c>
      <c r="X17" s="198">
        <f>SUMIFS('март 2023'!$G$4:$G$582,'март 2023'!$D$4:$D$582,$B17,'март 2023'!$J$4:$J$582,X$1)</f>
        <v>0</v>
      </c>
      <c r="Y17" s="198">
        <f>SUMIFS('март 2023'!$G$4:$G$582,'март 2023'!$D$4:$D$582,$B17,'март 2023'!$J$4:$J$582,Y$1)</f>
        <v>0</v>
      </c>
      <c r="Z17" s="198">
        <f>SUMIFS('март 2023'!$G$4:$G$582,'март 2023'!$D$4:$D$582,$B17,'март 2023'!$J$4:$J$582,Z$1)</f>
        <v>0</v>
      </c>
      <c r="AA17" s="198">
        <f>SUMIFS('март 2023'!$G$4:$G$582,'март 2023'!$D$4:$D$582,$B17,'март 2023'!$J$4:$J$582,AA$1)</f>
        <v>0</v>
      </c>
      <c r="AB17" s="198">
        <f>SUMIFS('март 2023'!$G$4:$G$582,'март 2023'!$D$4:$D$582,$B17,'март 2023'!$J$4:$J$582,AB$1)</f>
        <v>0</v>
      </c>
      <c r="AC17" s="198">
        <f>SUMIFS('март 2023'!$G$4:$G$582,'март 2023'!$D$4:$D$582,$B17,'март 2023'!$J$4:$J$582,AC$1)</f>
        <v>0</v>
      </c>
      <c r="AD17" s="198">
        <f>SUMIFS('март 2023'!$G$4:$G$582,'март 2023'!$D$4:$D$582,$B17,'март 2023'!$J$4:$J$582,AD$1)</f>
        <v>0</v>
      </c>
      <c r="AE17" s="198">
        <f>SUMIFS('март 2023'!$G$4:$G$582,'март 2023'!$D$4:$D$582,$B17,'март 2023'!$J$4:$J$582,AE$1)</f>
        <v>0</v>
      </c>
      <c r="AF17" s="198">
        <f>SUMIFS('март 2023'!$G$4:$G$582,'март 2023'!$D$4:$D$582,$B17,'март 2023'!$J$4:$J$582,AF$1)</f>
        <v>0</v>
      </c>
      <c r="AG17" s="198">
        <f>SUMIFS('март 2023'!$G$4:$G$582,'март 2023'!$D$4:$D$582,$B17,'март 2023'!$J$4:$J$582,AG$1)</f>
        <v>0</v>
      </c>
      <c r="AH17" s="198">
        <f>SUMIFS('март 2023'!$G$4:$G$582,'март 2023'!$D$4:$D$582,$B17,'март 2023'!$J$4:$J$582,AH$1)</f>
        <v>0</v>
      </c>
      <c r="AI17" s="170">
        <f t="shared" si="1"/>
        <v>0</v>
      </c>
    </row>
    <row r="18" spans="2:35" ht="15" customHeight="1" x14ac:dyDescent="0.25">
      <c r="B18" s="199" t="s">
        <v>27</v>
      </c>
      <c r="C18" s="200">
        <v>25</v>
      </c>
      <c r="D18" s="198">
        <f>SUMIFS('март 2023'!$G$4:$G$582,'март 2023'!$D$4:$D$582,$B18,'март 2023'!$J$4:$J$582,D$1)</f>
        <v>0</v>
      </c>
      <c r="E18" s="198">
        <f>SUMIFS('март 2023'!$G$4:$G$582,'март 2023'!$D$4:$D$582,$B18,'март 2023'!$J$4:$J$582,E$1)</f>
        <v>0</v>
      </c>
      <c r="F18" s="198">
        <f>SUMIFS('март 2023'!$G$4:$G$582,'март 2023'!$D$4:$D$582,$B18,'март 2023'!$J$4:$J$582,F$1)</f>
        <v>0</v>
      </c>
      <c r="G18" s="198">
        <f>SUMIFS('март 2023'!$G$4:$G$582,'март 2023'!$D$4:$D$582,$B18,'март 2023'!$J$4:$J$582,G$1)</f>
        <v>0</v>
      </c>
      <c r="H18" s="198">
        <f>SUMIFS('март 2023'!$G$4:$G$582,'март 2023'!$D$4:$D$582,$B18,'март 2023'!$J$4:$J$582,H$1)</f>
        <v>0</v>
      </c>
      <c r="I18" s="198">
        <f>SUMIFS('март 2023'!$G$4:$G$582,'март 2023'!$D$4:$D$582,$B18,'март 2023'!$J$4:$J$582,I$1)</f>
        <v>0</v>
      </c>
      <c r="J18" s="198">
        <f>SUMIFS('март 2023'!$G$4:$G$582,'март 2023'!$D$4:$D$582,$B18,'март 2023'!$J$4:$J$582,J$1)</f>
        <v>0</v>
      </c>
      <c r="K18" s="198">
        <f>SUMIFS('март 2023'!$G$4:$G$582,'март 2023'!$D$4:$D$582,$B18,'март 2023'!$J$4:$J$582,K$1)</f>
        <v>0</v>
      </c>
      <c r="L18" s="198">
        <f>SUMIFS('март 2023'!$G$4:$G$582,'март 2023'!$D$4:$D$582,$B18,'март 2023'!$J$4:$J$582,L$1)</f>
        <v>0</v>
      </c>
      <c r="M18" s="198">
        <f>SUMIFS('март 2023'!$G$4:$G$582,'март 2023'!$D$4:$D$582,$B18,'март 2023'!$J$4:$J$582,M$1)</f>
        <v>0</v>
      </c>
      <c r="N18" s="198">
        <f>SUMIFS('март 2023'!$G$4:$G$582,'март 2023'!$D$4:$D$582,$B18,'март 2023'!$J$4:$J$582,N$1)</f>
        <v>0</v>
      </c>
      <c r="O18" s="198">
        <f>SUMIFS('март 2023'!$G$4:$G$582,'март 2023'!$D$4:$D$582,$B18,'март 2023'!$J$4:$J$582,O$1)</f>
        <v>0</v>
      </c>
      <c r="P18" s="198">
        <f>SUMIFS('март 2023'!$G$4:$G$582,'март 2023'!$D$4:$D$582,$B18,'март 2023'!$J$4:$J$582,P$1)</f>
        <v>0</v>
      </c>
      <c r="Q18" s="198">
        <f>SUMIFS('март 2023'!$G$4:$G$582,'март 2023'!$D$4:$D$582,$B18,'март 2023'!$J$4:$J$582,Q$1)</f>
        <v>0</v>
      </c>
      <c r="R18" s="198">
        <f>SUMIFS('март 2023'!$G$4:$G$582,'март 2023'!$D$4:$D$582,$B18,'март 2023'!$J$4:$J$582,R$1)</f>
        <v>0</v>
      </c>
      <c r="S18" s="198">
        <f>SUMIFS('март 2023'!$G$4:$G$582,'март 2023'!$D$4:$D$582,$B18,'март 2023'!$J$4:$J$582,S$1)</f>
        <v>800</v>
      </c>
      <c r="T18" s="198">
        <f>SUMIFS('март 2023'!$G$4:$G$582,'март 2023'!$D$4:$D$582,$B18,'март 2023'!$J$4:$J$582,T$1)</f>
        <v>0</v>
      </c>
      <c r="U18" s="198">
        <f>SUMIFS('март 2023'!$G$4:$G$582,'март 2023'!$D$4:$D$582,$B18,'март 2023'!$J$4:$J$582,U$1)</f>
        <v>0</v>
      </c>
      <c r="V18" s="198">
        <f>SUMIFS('март 2023'!$G$4:$G$582,'март 2023'!$D$4:$D$582,$B18,'март 2023'!$J$4:$J$582,V$1)</f>
        <v>0</v>
      </c>
      <c r="W18" s="198">
        <f>SUMIFS('март 2023'!$G$4:$G$582,'март 2023'!$D$4:$D$582,$B18,'март 2023'!$J$4:$J$582,W$1)</f>
        <v>800</v>
      </c>
      <c r="X18" s="198">
        <f>SUMIFS('март 2023'!$G$4:$G$582,'март 2023'!$D$4:$D$582,$B18,'март 2023'!$J$4:$J$582,X$1)</f>
        <v>1600</v>
      </c>
      <c r="Y18" s="198">
        <f>SUMIFS('март 2023'!$G$4:$G$582,'март 2023'!$D$4:$D$582,$B18,'март 2023'!$J$4:$J$582,Y$1)</f>
        <v>0</v>
      </c>
      <c r="Z18" s="198">
        <f>SUMIFS('март 2023'!$G$4:$G$582,'март 2023'!$D$4:$D$582,$B18,'март 2023'!$J$4:$J$582,Z$1)</f>
        <v>0</v>
      </c>
      <c r="AA18" s="198">
        <f>SUMIFS('март 2023'!$G$4:$G$582,'март 2023'!$D$4:$D$582,$B18,'март 2023'!$J$4:$J$582,AA$1)</f>
        <v>800</v>
      </c>
      <c r="AB18" s="198">
        <f>SUMIFS('март 2023'!$G$4:$G$582,'март 2023'!$D$4:$D$582,$B18,'март 2023'!$J$4:$J$582,AB$1)</f>
        <v>0</v>
      </c>
      <c r="AC18" s="198">
        <f>SUMIFS('март 2023'!$G$4:$G$582,'март 2023'!$D$4:$D$582,$B18,'март 2023'!$J$4:$J$582,AC$1)</f>
        <v>0</v>
      </c>
      <c r="AD18" s="198">
        <f>SUMIFS('март 2023'!$G$4:$G$582,'март 2023'!$D$4:$D$582,$B18,'март 2023'!$J$4:$J$582,AD$1)</f>
        <v>800</v>
      </c>
      <c r="AE18" s="198">
        <f>SUMIFS('март 2023'!$G$4:$G$582,'март 2023'!$D$4:$D$582,$B18,'март 2023'!$J$4:$J$582,AE$1)</f>
        <v>0</v>
      </c>
      <c r="AF18" s="198">
        <f>SUMIFS('март 2023'!$G$4:$G$582,'март 2023'!$D$4:$D$582,$B18,'март 2023'!$J$4:$J$582,AF$1)</f>
        <v>0</v>
      </c>
      <c r="AG18" s="198">
        <f>SUMIFS('март 2023'!$G$4:$G$582,'март 2023'!$D$4:$D$582,$B18,'март 2023'!$J$4:$J$582,AG$1)</f>
        <v>0</v>
      </c>
      <c r="AH18" s="198">
        <f>SUMIFS('март 2023'!$G$4:$G$582,'март 2023'!$D$4:$D$582,$B18,'март 2023'!$J$4:$J$582,AH$1)</f>
        <v>0</v>
      </c>
      <c r="AI18" s="170">
        <f t="shared" si="1"/>
        <v>4800</v>
      </c>
    </row>
    <row r="19" spans="2:35" ht="15" customHeight="1" x14ac:dyDescent="0.25">
      <c r="B19" s="199" t="s">
        <v>445</v>
      </c>
      <c r="C19" s="200">
        <v>25</v>
      </c>
      <c r="D19" s="198">
        <f>SUMIFS('март 2023'!$G$4:$G$582,'март 2023'!$D$4:$D$582,$B19,'март 2023'!$J$4:$J$582,D$1)</f>
        <v>0</v>
      </c>
      <c r="E19" s="198">
        <f>SUMIFS('март 2023'!$G$4:$G$582,'март 2023'!$D$4:$D$582,$B19,'март 2023'!$J$4:$J$582,E$1)</f>
        <v>0</v>
      </c>
      <c r="F19" s="198">
        <f>SUMIFS('март 2023'!$G$4:$G$582,'март 2023'!$D$4:$D$582,$B19,'март 2023'!$J$4:$J$582,F$1)</f>
        <v>0</v>
      </c>
      <c r="G19" s="198">
        <f>SUMIFS('март 2023'!$G$4:$G$582,'март 2023'!$D$4:$D$582,$B19,'март 2023'!$J$4:$J$582,G$1)</f>
        <v>0</v>
      </c>
      <c r="H19" s="198">
        <f>SUMIFS('март 2023'!$G$4:$G$582,'март 2023'!$D$4:$D$582,$B19,'март 2023'!$J$4:$J$582,H$1)</f>
        <v>0</v>
      </c>
      <c r="I19" s="198">
        <f>SUMIFS('март 2023'!$G$4:$G$582,'март 2023'!$D$4:$D$582,$B19,'март 2023'!$J$4:$J$582,I$1)</f>
        <v>0</v>
      </c>
      <c r="J19" s="198">
        <f>SUMIFS('март 2023'!$G$4:$G$582,'март 2023'!$D$4:$D$582,$B19,'март 2023'!$J$4:$J$582,J$1)</f>
        <v>0</v>
      </c>
      <c r="K19" s="198">
        <f>SUMIFS('март 2023'!$G$4:$G$582,'март 2023'!$D$4:$D$582,$B19,'март 2023'!$J$4:$J$582,K$1)</f>
        <v>0</v>
      </c>
      <c r="L19" s="198">
        <f>SUMIFS('март 2023'!$G$4:$G$582,'март 2023'!$D$4:$D$582,$B19,'март 2023'!$J$4:$J$582,L$1)</f>
        <v>0</v>
      </c>
      <c r="M19" s="198">
        <f>SUMIFS('март 2023'!$G$4:$G$582,'март 2023'!$D$4:$D$582,$B19,'март 2023'!$J$4:$J$582,M$1)</f>
        <v>0</v>
      </c>
      <c r="N19" s="198">
        <f>SUMIFS('март 2023'!$G$4:$G$582,'март 2023'!$D$4:$D$582,$B19,'март 2023'!$J$4:$J$582,N$1)</f>
        <v>0</v>
      </c>
      <c r="O19" s="198">
        <f>SUMIFS('март 2023'!$G$4:$G$582,'март 2023'!$D$4:$D$582,$B19,'март 2023'!$J$4:$J$582,O$1)</f>
        <v>0</v>
      </c>
      <c r="P19" s="198">
        <f>SUMIFS('март 2023'!$G$4:$G$582,'март 2023'!$D$4:$D$582,$B19,'март 2023'!$J$4:$J$582,P$1)</f>
        <v>800</v>
      </c>
      <c r="Q19" s="198">
        <f>SUMIFS('март 2023'!$G$4:$G$582,'март 2023'!$D$4:$D$582,$B19,'март 2023'!$J$4:$J$582,Q$1)</f>
        <v>0</v>
      </c>
      <c r="R19" s="198">
        <f>SUMIFS('март 2023'!$G$4:$G$582,'март 2023'!$D$4:$D$582,$B19,'март 2023'!$J$4:$J$582,R$1)</f>
        <v>0</v>
      </c>
      <c r="S19" s="198">
        <f>SUMIFS('март 2023'!$G$4:$G$582,'март 2023'!$D$4:$D$582,$B19,'март 2023'!$J$4:$J$582,S$1)</f>
        <v>0</v>
      </c>
      <c r="T19" s="198">
        <f>SUMIFS('март 2023'!$G$4:$G$582,'март 2023'!$D$4:$D$582,$B19,'март 2023'!$J$4:$J$582,T$1)</f>
        <v>0</v>
      </c>
      <c r="U19" s="198">
        <f>SUMIFS('март 2023'!$G$4:$G$582,'март 2023'!$D$4:$D$582,$B19,'март 2023'!$J$4:$J$582,U$1)</f>
        <v>0</v>
      </c>
      <c r="V19" s="198">
        <f>SUMIFS('март 2023'!$G$4:$G$582,'март 2023'!$D$4:$D$582,$B19,'март 2023'!$J$4:$J$582,V$1)</f>
        <v>0</v>
      </c>
      <c r="W19" s="198">
        <f>SUMIFS('март 2023'!$G$4:$G$582,'март 2023'!$D$4:$D$582,$B19,'март 2023'!$J$4:$J$582,W$1)</f>
        <v>0</v>
      </c>
      <c r="X19" s="198">
        <f>SUMIFS('март 2023'!$G$4:$G$582,'март 2023'!$D$4:$D$582,$B19,'март 2023'!$J$4:$J$582,X$1)</f>
        <v>0</v>
      </c>
      <c r="Y19" s="198">
        <f>SUMIFS('март 2023'!$G$4:$G$582,'март 2023'!$D$4:$D$582,$B19,'март 2023'!$J$4:$J$582,Y$1)</f>
        <v>0</v>
      </c>
      <c r="Z19" s="198">
        <f>SUMIFS('март 2023'!$G$4:$G$582,'март 2023'!$D$4:$D$582,$B19,'март 2023'!$J$4:$J$582,Z$1)</f>
        <v>0</v>
      </c>
      <c r="AA19" s="198">
        <f>SUMIFS('март 2023'!$G$4:$G$582,'март 2023'!$D$4:$D$582,$B19,'март 2023'!$J$4:$J$582,AA$1)</f>
        <v>0</v>
      </c>
      <c r="AB19" s="198">
        <f>SUMIFS('март 2023'!$G$4:$G$582,'март 2023'!$D$4:$D$582,$B19,'март 2023'!$J$4:$J$582,AB$1)</f>
        <v>0</v>
      </c>
      <c r="AC19" s="198">
        <f>SUMIFS('март 2023'!$G$4:$G$582,'март 2023'!$D$4:$D$582,$B19,'март 2023'!$J$4:$J$582,AC$1)</f>
        <v>0</v>
      </c>
      <c r="AD19" s="198">
        <f>SUMIFS('март 2023'!$G$4:$G$582,'март 2023'!$D$4:$D$582,$B19,'март 2023'!$J$4:$J$582,AD$1)</f>
        <v>0</v>
      </c>
      <c r="AE19" s="198">
        <f>SUMIFS('март 2023'!$G$4:$G$582,'март 2023'!$D$4:$D$582,$B19,'март 2023'!$J$4:$J$582,AE$1)</f>
        <v>0</v>
      </c>
      <c r="AF19" s="198">
        <f>SUMIFS('март 2023'!$G$4:$G$582,'март 2023'!$D$4:$D$582,$B19,'март 2023'!$J$4:$J$582,AF$1)</f>
        <v>0</v>
      </c>
      <c r="AG19" s="198">
        <f>SUMIFS('март 2023'!$G$4:$G$582,'март 2023'!$D$4:$D$582,$B19,'март 2023'!$J$4:$J$582,AG$1)</f>
        <v>0</v>
      </c>
      <c r="AH19" s="198">
        <f>SUMIFS('март 2023'!$G$4:$G$582,'март 2023'!$D$4:$D$582,$B19,'март 2023'!$J$4:$J$582,AH$1)</f>
        <v>0</v>
      </c>
      <c r="AI19" s="170">
        <f t="shared" si="1"/>
        <v>800</v>
      </c>
    </row>
    <row r="20" spans="2:35" ht="15" customHeight="1" x14ac:dyDescent="0.25">
      <c r="B20" s="202" t="s">
        <v>186</v>
      </c>
      <c r="C20" s="204">
        <v>22.68</v>
      </c>
      <c r="D20" s="198">
        <f>SUMIFS('март 2023'!$G$4:$G$582,'март 2023'!$D$4:$D$582,$B20,'март 2023'!$J$4:$J$582,D$1)</f>
        <v>0</v>
      </c>
      <c r="E20" s="198">
        <f>SUMIFS('март 2023'!$G$4:$G$582,'март 2023'!$D$4:$D$582,$B20,'март 2023'!$J$4:$J$582,E$1)</f>
        <v>0</v>
      </c>
      <c r="F20" s="198">
        <f>SUMIFS('март 2023'!$G$4:$G$582,'март 2023'!$D$4:$D$582,$B20,'март 2023'!$J$4:$J$582,F$1)</f>
        <v>0</v>
      </c>
      <c r="G20" s="198">
        <f>SUMIFS('март 2023'!$G$4:$G$582,'март 2023'!$D$4:$D$582,$B20,'март 2023'!$J$4:$J$582,G$1)</f>
        <v>0</v>
      </c>
      <c r="H20" s="198">
        <f>SUMIFS('март 2023'!$G$4:$G$582,'март 2023'!$D$4:$D$582,$B20,'март 2023'!$J$4:$J$582,H$1)</f>
        <v>0</v>
      </c>
      <c r="I20" s="198">
        <f>SUMIFS('март 2023'!$G$4:$G$582,'март 2023'!$D$4:$D$582,$B20,'март 2023'!$J$4:$J$582,I$1)</f>
        <v>0</v>
      </c>
      <c r="J20" s="198">
        <f>SUMIFS('март 2023'!$G$4:$G$582,'март 2023'!$D$4:$D$582,$B20,'март 2023'!$J$4:$J$582,J$1)</f>
        <v>1400</v>
      </c>
      <c r="K20" s="198">
        <f>SUMIFS('март 2023'!$G$4:$G$582,'март 2023'!$D$4:$D$582,$B20,'март 2023'!$J$4:$J$582,K$1)</f>
        <v>0</v>
      </c>
      <c r="L20" s="198">
        <f>SUMIFS('март 2023'!$G$4:$G$582,'март 2023'!$D$4:$D$582,$B20,'март 2023'!$J$4:$J$582,L$1)</f>
        <v>0</v>
      </c>
      <c r="M20" s="198">
        <f>SUMIFS('март 2023'!$G$4:$G$582,'март 2023'!$D$4:$D$582,$B20,'март 2023'!$J$4:$J$582,M$1)</f>
        <v>0</v>
      </c>
      <c r="N20" s="198">
        <f>SUMIFS('март 2023'!$G$4:$G$582,'март 2023'!$D$4:$D$582,$B20,'март 2023'!$J$4:$J$582,N$1)</f>
        <v>0</v>
      </c>
      <c r="O20" s="198">
        <f>SUMIFS('март 2023'!$G$4:$G$582,'март 2023'!$D$4:$D$582,$B20,'март 2023'!$J$4:$J$582,O$1)</f>
        <v>0</v>
      </c>
      <c r="P20" s="198">
        <f>SUMIFS('март 2023'!$G$4:$G$582,'март 2023'!$D$4:$D$582,$B20,'март 2023'!$J$4:$J$582,P$1)</f>
        <v>0</v>
      </c>
      <c r="Q20" s="198">
        <f>SUMIFS('март 2023'!$G$4:$G$582,'март 2023'!$D$4:$D$582,$B20,'март 2023'!$J$4:$J$582,Q$1)</f>
        <v>0</v>
      </c>
      <c r="R20" s="198">
        <f>SUMIFS('март 2023'!$G$4:$G$582,'март 2023'!$D$4:$D$582,$B20,'март 2023'!$J$4:$J$582,R$1)</f>
        <v>0</v>
      </c>
      <c r="S20" s="198">
        <f>SUMIFS('март 2023'!$G$4:$G$582,'март 2023'!$D$4:$D$582,$B20,'март 2023'!$J$4:$J$582,S$1)</f>
        <v>0</v>
      </c>
      <c r="T20" s="198">
        <f>SUMIFS('март 2023'!$G$4:$G$582,'март 2023'!$D$4:$D$582,$B20,'март 2023'!$J$4:$J$582,T$1)</f>
        <v>0</v>
      </c>
      <c r="U20" s="198">
        <f>SUMIFS('март 2023'!$G$4:$G$582,'март 2023'!$D$4:$D$582,$B20,'март 2023'!$J$4:$J$582,U$1)</f>
        <v>0</v>
      </c>
      <c r="V20" s="198">
        <f>SUMIFS('март 2023'!$G$4:$G$582,'март 2023'!$D$4:$D$582,$B20,'март 2023'!$J$4:$J$582,V$1)</f>
        <v>0</v>
      </c>
      <c r="W20" s="198">
        <f>SUMIFS('март 2023'!$G$4:$G$582,'март 2023'!$D$4:$D$582,$B20,'март 2023'!$J$4:$J$582,W$1)</f>
        <v>0</v>
      </c>
      <c r="X20" s="198">
        <f>SUMIFS('март 2023'!$G$4:$G$582,'март 2023'!$D$4:$D$582,$B20,'март 2023'!$J$4:$J$582,X$1)</f>
        <v>0</v>
      </c>
      <c r="Y20" s="198">
        <f>SUMIFS('март 2023'!$G$4:$G$582,'март 2023'!$D$4:$D$582,$B20,'март 2023'!$J$4:$J$582,Y$1)</f>
        <v>0</v>
      </c>
      <c r="Z20" s="198">
        <f>SUMIFS('март 2023'!$G$4:$G$582,'март 2023'!$D$4:$D$582,$B20,'март 2023'!$J$4:$J$582,Z$1)</f>
        <v>0</v>
      </c>
      <c r="AA20" s="198">
        <f>SUMIFS('март 2023'!$G$4:$G$582,'март 2023'!$D$4:$D$582,$B20,'март 2023'!$J$4:$J$582,AA$1)</f>
        <v>0</v>
      </c>
      <c r="AB20" s="198">
        <f>SUMIFS('март 2023'!$G$4:$G$582,'март 2023'!$D$4:$D$582,$B20,'март 2023'!$J$4:$J$582,AB$1)</f>
        <v>0</v>
      </c>
      <c r="AC20" s="198">
        <f>SUMIFS('март 2023'!$G$4:$G$582,'март 2023'!$D$4:$D$582,$B20,'март 2023'!$J$4:$J$582,AC$1)</f>
        <v>0</v>
      </c>
      <c r="AD20" s="198">
        <f>SUMIFS('март 2023'!$G$4:$G$582,'март 2023'!$D$4:$D$582,$B20,'март 2023'!$J$4:$J$582,AD$1)</f>
        <v>0</v>
      </c>
      <c r="AE20" s="198">
        <f>SUMIFS('март 2023'!$G$4:$G$582,'март 2023'!$D$4:$D$582,$B20,'март 2023'!$J$4:$J$582,AE$1)</f>
        <v>0</v>
      </c>
      <c r="AF20" s="198">
        <f>SUMIFS('март 2023'!$G$4:$G$582,'март 2023'!$D$4:$D$582,$B20,'март 2023'!$J$4:$J$582,AF$1)</f>
        <v>0</v>
      </c>
      <c r="AG20" s="198">
        <f>SUMIFS('март 2023'!$G$4:$G$582,'март 2023'!$D$4:$D$582,$B20,'март 2023'!$J$4:$J$582,AG$1)</f>
        <v>0</v>
      </c>
      <c r="AH20" s="198">
        <f>SUMIFS('март 2023'!$G$4:$G$582,'март 2023'!$D$4:$D$582,$B20,'март 2023'!$J$4:$J$582,AH$1)</f>
        <v>1400</v>
      </c>
      <c r="AI20" s="170">
        <f t="shared" si="1"/>
        <v>2800</v>
      </c>
    </row>
    <row r="21" spans="2:35" ht="15" hidden="1" customHeight="1" x14ac:dyDescent="0.25">
      <c r="B21" s="202"/>
      <c r="C21" s="200"/>
      <c r="D21" s="198">
        <f>SUMIFS('март 2023'!$G$4:$G$582,'март 2023'!$D$4:$D$582,$B21,'март 2023'!$J$4:$J$582,D$1)</f>
        <v>0</v>
      </c>
      <c r="E21" s="198">
        <f>SUMIFS('март 2023'!$G$4:$G$582,'март 2023'!$D$4:$D$582,$B21,'март 2023'!$J$4:$J$582,E$1)</f>
        <v>0</v>
      </c>
      <c r="F21" s="198">
        <f>SUMIFS('март 2023'!$G$4:$G$582,'март 2023'!$D$4:$D$582,$B21,'март 2023'!$J$4:$J$582,F$1)</f>
        <v>0</v>
      </c>
      <c r="G21" s="198">
        <f>SUMIFS('март 2023'!$G$4:$G$582,'март 2023'!$D$4:$D$582,$B21,'март 2023'!$J$4:$J$582,G$1)</f>
        <v>0</v>
      </c>
      <c r="H21" s="198">
        <f>SUMIFS('март 2023'!$G$4:$G$582,'март 2023'!$D$4:$D$582,$B21,'март 2023'!$J$4:$J$582,H$1)</f>
        <v>0</v>
      </c>
      <c r="I21" s="198">
        <f>SUMIFS('март 2023'!$G$4:$G$582,'март 2023'!$D$4:$D$582,$B21,'март 2023'!$J$4:$J$582,I$1)</f>
        <v>0</v>
      </c>
      <c r="J21" s="198">
        <f>SUMIFS('март 2023'!$G$4:$G$582,'март 2023'!$D$4:$D$582,$B21,'март 2023'!$J$4:$J$582,J$1)</f>
        <v>0</v>
      </c>
      <c r="K21" s="198">
        <f>SUMIFS('март 2023'!$G$4:$G$582,'март 2023'!$D$4:$D$582,$B21,'март 2023'!$J$4:$J$582,K$1)</f>
        <v>0</v>
      </c>
      <c r="L21" s="198">
        <f>SUMIFS('март 2023'!$G$4:$G$582,'март 2023'!$D$4:$D$582,$B21,'март 2023'!$J$4:$J$582,L$1)</f>
        <v>0</v>
      </c>
      <c r="M21" s="198">
        <f>SUMIFS('март 2023'!$G$4:$G$582,'март 2023'!$D$4:$D$582,$B21,'март 2023'!$J$4:$J$582,M$1)</f>
        <v>0</v>
      </c>
      <c r="N21" s="198">
        <f>SUMIFS('март 2023'!$G$4:$G$582,'март 2023'!$D$4:$D$582,$B21,'март 2023'!$J$4:$J$582,N$1)</f>
        <v>0</v>
      </c>
      <c r="O21" s="198">
        <f>SUMIFS('март 2023'!$G$4:$G$582,'март 2023'!$D$4:$D$582,$B21,'март 2023'!$J$4:$J$582,O$1)</f>
        <v>0</v>
      </c>
      <c r="P21" s="198">
        <f>SUMIFS('март 2023'!$G$4:$G$582,'март 2023'!$D$4:$D$582,$B21,'март 2023'!$J$4:$J$582,P$1)</f>
        <v>0</v>
      </c>
      <c r="Q21" s="198">
        <f>SUMIFS('март 2023'!$G$4:$G$582,'март 2023'!$D$4:$D$582,$B21,'март 2023'!$J$4:$J$582,Q$1)</f>
        <v>0</v>
      </c>
      <c r="R21" s="198">
        <f>SUMIFS('март 2023'!$G$4:$G$582,'март 2023'!$D$4:$D$582,$B21,'март 2023'!$J$4:$J$582,R$1)</f>
        <v>0</v>
      </c>
      <c r="S21" s="198">
        <f>SUMIFS('март 2023'!$G$4:$G$582,'март 2023'!$D$4:$D$582,$B21,'март 2023'!$J$4:$J$582,S$1)</f>
        <v>0</v>
      </c>
      <c r="T21" s="198">
        <f>SUMIFS('март 2023'!$G$4:$G$582,'март 2023'!$D$4:$D$582,$B21,'март 2023'!$J$4:$J$582,T$1)</f>
        <v>0</v>
      </c>
      <c r="U21" s="198">
        <f>SUMIFS('март 2023'!$G$4:$G$582,'март 2023'!$D$4:$D$582,$B21,'март 2023'!$J$4:$J$582,U$1)</f>
        <v>0</v>
      </c>
      <c r="V21" s="198">
        <f>SUMIFS('март 2023'!$G$4:$G$582,'март 2023'!$D$4:$D$582,$B21,'март 2023'!$J$4:$J$582,V$1)</f>
        <v>0</v>
      </c>
      <c r="W21" s="198">
        <f>SUMIFS('март 2023'!$G$4:$G$582,'март 2023'!$D$4:$D$582,$B21,'март 2023'!$J$4:$J$582,W$1)</f>
        <v>0</v>
      </c>
      <c r="X21" s="198">
        <f>SUMIFS('март 2023'!$G$4:$G$582,'март 2023'!$D$4:$D$582,$B21,'март 2023'!$J$4:$J$582,X$1)</f>
        <v>0</v>
      </c>
      <c r="Y21" s="198">
        <f>SUMIFS('март 2023'!$G$4:$G$582,'март 2023'!$D$4:$D$582,$B21,'март 2023'!$J$4:$J$582,Y$1)</f>
        <v>0</v>
      </c>
      <c r="Z21" s="198">
        <f>SUMIFS('март 2023'!$G$4:$G$582,'март 2023'!$D$4:$D$582,$B21,'март 2023'!$J$4:$J$582,Z$1)</f>
        <v>0</v>
      </c>
      <c r="AA21" s="198">
        <f>SUMIFS('март 2023'!$G$4:$G$582,'март 2023'!$D$4:$D$582,$B21,'март 2023'!$J$4:$J$582,AA$1)</f>
        <v>0</v>
      </c>
      <c r="AB21" s="198">
        <f>SUMIFS('март 2023'!$G$4:$G$582,'март 2023'!$D$4:$D$582,$B21,'март 2023'!$J$4:$J$582,AB$1)</f>
        <v>0</v>
      </c>
      <c r="AC21" s="198">
        <f>SUMIFS('март 2023'!$G$4:$G$582,'март 2023'!$D$4:$D$582,$B21,'март 2023'!$J$4:$J$582,AC$1)</f>
        <v>0</v>
      </c>
      <c r="AD21" s="198">
        <f>SUMIFS('март 2023'!$G$4:$G$582,'март 2023'!$D$4:$D$582,$B21,'март 2023'!$J$4:$J$582,AD$1)</f>
        <v>0</v>
      </c>
      <c r="AE21" s="198">
        <f>SUMIFS('март 2023'!$G$4:$G$582,'март 2023'!$D$4:$D$582,$B21,'март 2023'!$J$4:$J$582,AE$1)</f>
        <v>0</v>
      </c>
      <c r="AF21" s="198">
        <f>SUMIFS('март 2023'!$G$4:$G$582,'март 2023'!$D$4:$D$582,$B21,'март 2023'!$J$4:$J$582,AF$1)</f>
        <v>0</v>
      </c>
      <c r="AG21" s="198">
        <f>SUMIFS('март 2023'!$G$4:$G$582,'март 2023'!$D$4:$D$582,$B21,'март 2023'!$J$4:$J$582,AG$1)</f>
        <v>0</v>
      </c>
      <c r="AH21" s="198">
        <f>SUMIFS('март 2023'!$G$4:$G$582,'март 2023'!$D$4:$D$582,$B21,'март 2023'!$J$4:$J$582,AH$1)</f>
        <v>0</v>
      </c>
      <c r="AI21" s="170">
        <f t="shared" si="1"/>
        <v>0</v>
      </c>
    </row>
    <row r="22" spans="2:35" ht="15" hidden="1" customHeight="1" x14ac:dyDescent="0.25">
      <c r="B22" s="202"/>
      <c r="C22" s="200"/>
      <c r="D22" s="198">
        <f>SUMIFS('март 2023'!$G$4:$G$582,'март 2023'!$D$4:$D$582,$B22,'март 2023'!$J$4:$J$582,D$1)</f>
        <v>0</v>
      </c>
      <c r="E22" s="198">
        <f>SUMIFS('март 2023'!$G$4:$G$582,'март 2023'!$D$4:$D$582,$B22,'март 2023'!$J$4:$J$582,E$1)</f>
        <v>0</v>
      </c>
      <c r="F22" s="198">
        <f>SUMIFS('март 2023'!$G$4:$G$582,'март 2023'!$D$4:$D$582,$B22,'март 2023'!$J$4:$J$582,F$1)</f>
        <v>0</v>
      </c>
      <c r="G22" s="198">
        <f>SUMIFS('март 2023'!$G$4:$G$582,'март 2023'!$D$4:$D$582,$B22,'март 2023'!$J$4:$J$582,G$1)</f>
        <v>0</v>
      </c>
      <c r="H22" s="198">
        <f>SUMIFS('март 2023'!$G$4:$G$582,'март 2023'!$D$4:$D$582,$B22,'март 2023'!$J$4:$J$582,H$1)</f>
        <v>0</v>
      </c>
      <c r="I22" s="198">
        <f>SUMIFS('март 2023'!$G$4:$G$582,'март 2023'!$D$4:$D$582,$B22,'март 2023'!$J$4:$J$582,I$1)</f>
        <v>0</v>
      </c>
      <c r="J22" s="198">
        <f>SUMIFS('март 2023'!$G$4:$G$582,'март 2023'!$D$4:$D$582,$B22,'март 2023'!$J$4:$J$582,J$1)</f>
        <v>0</v>
      </c>
      <c r="K22" s="198">
        <f>SUMIFS('март 2023'!$G$4:$G$582,'март 2023'!$D$4:$D$582,$B22,'март 2023'!$J$4:$J$582,K$1)</f>
        <v>0</v>
      </c>
      <c r="L22" s="198">
        <f>SUMIFS('март 2023'!$G$4:$G$582,'март 2023'!$D$4:$D$582,$B22,'март 2023'!$J$4:$J$582,L$1)</f>
        <v>0</v>
      </c>
      <c r="M22" s="198">
        <f>SUMIFS('март 2023'!$G$4:$G$582,'март 2023'!$D$4:$D$582,$B22,'март 2023'!$J$4:$J$582,M$1)</f>
        <v>0</v>
      </c>
      <c r="N22" s="198">
        <f>SUMIFS('март 2023'!$G$4:$G$582,'март 2023'!$D$4:$D$582,$B22,'март 2023'!$J$4:$J$582,N$1)</f>
        <v>0</v>
      </c>
      <c r="O22" s="198">
        <f>SUMIFS('март 2023'!$G$4:$G$582,'март 2023'!$D$4:$D$582,$B22,'март 2023'!$J$4:$J$582,O$1)</f>
        <v>0</v>
      </c>
      <c r="P22" s="198">
        <f>SUMIFS('март 2023'!$G$4:$G$582,'март 2023'!$D$4:$D$582,$B22,'март 2023'!$J$4:$J$582,P$1)</f>
        <v>0</v>
      </c>
      <c r="Q22" s="198">
        <f>SUMIFS('март 2023'!$G$4:$G$582,'март 2023'!$D$4:$D$582,$B22,'март 2023'!$J$4:$J$582,Q$1)</f>
        <v>0</v>
      </c>
      <c r="R22" s="198">
        <f>SUMIFS('март 2023'!$G$4:$G$582,'март 2023'!$D$4:$D$582,$B22,'март 2023'!$J$4:$J$582,R$1)</f>
        <v>0</v>
      </c>
      <c r="S22" s="198">
        <f>SUMIFS('март 2023'!$G$4:$G$582,'март 2023'!$D$4:$D$582,$B22,'март 2023'!$J$4:$J$582,S$1)</f>
        <v>0</v>
      </c>
      <c r="T22" s="198">
        <f>SUMIFS('март 2023'!$G$4:$G$582,'март 2023'!$D$4:$D$582,$B22,'март 2023'!$J$4:$J$582,T$1)</f>
        <v>0</v>
      </c>
      <c r="U22" s="198">
        <f>SUMIFS('март 2023'!$G$4:$G$582,'март 2023'!$D$4:$D$582,$B22,'март 2023'!$J$4:$J$582,U$1)</f>
        <v>0</v>
      </c>
      <c r="V22" s="198">
        <f>SUMIFS('март 2023'!$G$4:$G$582,'март 2023'!$D$4:$D$582,$B22,'март 2023'!$J$4:$J$582,V$1)</f>
        <v>0</v>
      </c>
      <c r="W22" s="198">
        <f>SUMIFS('март 2023'!$G$4:$G$582,'март 2023'!$D$4:$D$582,$B22,'март 2023'!$J$4:$J$582,W$1)</f>
        <v>0</v>
      </c>
      <c r="X22" s="198">
        <f>SUMIFS('март 2023'!$G$4:$G$582,'март 2023'!$D$4:$D$582,$B22,'март 2023'!$J$4:$J$582,X$1)</f>
        <v>0</v>
      </c>
      <c r="Y22" s="198">
        <f>SUMIFS('март 2023'!$G$4:$G$582,'март 2023'!$D$4:$D$582,$B22,'март 2023'!$J$4:$J$582,Y$1)</f>
        <v>0</v>
      </c>
      <c r="Z22" s="198">
        <f>SUMIFS('март 2023'!$G$4:$G$582,'март 2023'!$D$4:$D$582,$B22,'март 2023'!$J$4:$J$582,Z$1)</f>
        <v>0</v>
      </c>
      <c r="AA22" s="198">
        <f>SUMIFS('март 2023'!$G$4:$G$582,'март 2023'!$D$4:$D$582,$B22,'март 2023'!$J$4:$J$582,AA$1)</f>
        <v>0</v>
      </c>
      <c r="AB22" s="198">
        <f>SUMIFS('март 2023'!$G$4:$G$582,'март 2023'!$D$4:$D$582,$B22,'март 2023'!$J$4:$J$582,AB$1)</f>
        <v>0</v>
      </c>
      <c r="AC22" s="198">
        <f>SUMIFS('март 2023'!$G$4:$G$582,'март 2023'!$D$4:$D$582,$B22,'март 2023'!$J$4:$J$582,AC$1)</f>
        <v>0</v>
      </c>
      <c r="AD22" s="198">
        <f>SUMIFS('март 2023'!$G$4:$G$582,'март 2023'!$D$4:$D$582,$B22,'март 2023'!$J$4:$J$582,AD$1)</f>
        <v>0</v>
      </c>
      <c r="AE22" s="198">
        <f>SUMIFS('март 2023'!$G$4:$G$582,'март 2023'!$D$4:$D$582,$B22,'март 2023'!$J$4:$J$582,AE$1)</f>
        <v>0</v>
      </c>
      <c r="AF22" s="198">
        <f>SUMIFS('март 2023'!$G$4:$G$582,'март 2023'!$D$4:$D$582,$B22,'март 2023'!$J$4:$J$582,AF$1)</f>
        <v>0</v>
      </c>
      <c r="AG22" s="198">
        <f>SUMIFS('март 2023'!$G$4:$G$582,'март 2023'!$D$4:$D$582,$B22,'март 2023'!$J$4:$J$582,AG$1)</f>
        <v>0</v>
      </c>
      <c r="AH22" s="198">
        <f>SUMIFS('март 2023'!$G$4:$G$582,'март 2023'!$D$4:$D$582,$B22,'март 2023'!$J$4:$J$582,AH$1)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SUMIFS('март 2023'!$G$4:$G$582,'март 2023'!$D$4:$D$582,$B23,'март 2023'!$J$4:$J$582,D$1)</f>
        <v>0</v>
      </c>
      <c r="E23" s="198">
        <f>SUMIFS('март 2023'!$G$4:$G$582,'март 2023'!$D$4:$D$582,$B23,'март 2023'!$J$4:$J$582,E$1)</f>
        <v>0</v>
      </c>
      <c r="F23" s="198">
        <f>SUMIFS('март 2023'!$G$4:$G$582,'март 2023'!$D$4:$D$582,$B23,'март 2023'!$J$4:$J$582,F$1)</f>
        <v>0</v>
      </c>
      <c r="G23" s="198">
        <f>SUMIFS('март 2023'!$G$4:$G$582,'март 2023'!$D$4:$D$582,$B23,'март 2023'!$J$4:$J$582,G$1)</f>
        <v>0</v>
      </c>
      <c r="H23" s="198">
        <f>SUMIFS('март 2023'!$G$4:$G$582,'март 2023'!$D$4:$D$582,$B23,'март 2023'!$J$4:$J$582,H$1)</f>
        <v>0</v>
      </c>
      <c r="I23" s="198">
        <f>SUMIFS('март 2023'!$G$4:$G$582,'март 2023'!$D$4:$D$582,$B23,'март 2023'!$J$4:$J$582,I$1)</f>
        <v>0</v>
      </c>
      <c r="J23" s="198">
        <f>SUMIFS('март 2023'!$G$4:$G$582,'март 2023'!$D$4:$D$582,$B23,'март 2023'!$J$4:$J$582,J$1)</f>
        <v>0</v>
      </c>
      <c r="K23" s="198">
        <f>SUMIFS('март 2023'!$G$4:$G$582,'март 2023'!$D$4:$D$582,$B23,'март 2023'!$J$4:$J$582,K$1)</f>
        <v>0</v>
      </c>
      <c r="L23" s="198">
        <f>SUMIFS('март 2023'!$G$4:$G$582,'март 2023'!$D$4:$D$582,$B23,'март 2023'!$J$4:$J$582,L$1)</f>
        <v>0</v>
      </c>
      <c r="M23" s="198">
        <f>SUMIFS('март 2023'!$G$4:$G$582,'март 2023'!$D$4:$D$582,$B23,'март 2023'!$J$4:$J$582,M$1)</f>
        <v>0</v>
      </c>
      <c r="N23" s="198">
        <f>SUMIFS('март 2023'!$G$4:$G$582,'март 2023'!$D$4:$D$582,$B23,'март 2023'!$J$4:$J$582,N$1)</f>
        <v>0</v>
      </c>
      <c r="O23" s="198">
        <f>SUMIFS('март 2023'!$G$4:$G$582,'март 2023'!$D$4:$D$582,$B23,'март 2023'!$J$4:$J$582,O$1)</f>
        <v>0</v>
      </c>
      <c r="P23" s="198">
        <f>SUMIFS('март 2023'!$G$4:$G$582,'март 2023'!$D$4:$D$582,$B23,'март 2023'!$J$4:$J$582,P$1)</f>
        <v>0</v>
      </c>
      <c r="Q23" s="198">
        <f>SUMIFS('март 2023'!$G$4:$G$582,'март 2023'!$D$4:$D$582,$B23,'март 2023'!$J$4:$J$582,Q$1)</f>
        <v>0</v>
      </c>
      <c r="R23" s="198">
        <f>SUMIFS('март 2023'!$G$4:$G$582,'март 2023'!$D$4:$D$582,$B23,'март 2023'!$J$4:$J$582,R$1)</f>
        <v>0</v>
      </c>
      <c r="S23" s="198">
        <f>SUMIFS('март 2023'!$G$4:$G$582,'март 2023'!$D$4:$D$582,$B23,'март 2023'!$J$4:$J$582,S$1)</f>
        <v>0</v>
      </c>
      <c r="T23" s="198">
        <f>SUMIFS('март 2023'!$G$4:$G$582,'март 2023'!$D$4:$D$582,$B23,'март 2023'!$J$4:$J$582,T$1)</f>
        <v>0</v>
      </c>
      <c r="U23" s="198">
        <f>SUMIFS('март 2023'!$G$4:$G$582,'март 2023'!$D$4:$D$582,$B23,'март 2023'!$J$4:$J$582,U$1)</f>
        <v>0</v>
      </c>
      <c r="V23" s="198">
        <f>SUMIFS('март 2023'!$G$4:$G$582,'март 2023'!$D$4:$D$582,$B23,'март 2023'!$J$4:$J$582,V$1)</f>
        <v>0</v>
      </c>
      <c r="W23" s="198">
        <f>SUMIFS('март 2023'!$G$4:$G$582,'март 2023'!$D$4:$D$582,$B23,'март 2023'!$J$4:$J$582,W$1)</f>
        <v>0</v>
      </c>
      <c r="X23" s="198">
        <f>SUMIFS('март 2023'!$G$4:$G$582,'март 2023'!$D$4:$D$582,$B23,'март 2023'!$J$4:$J$582,X$1)</f>
        <v>0</v>
      </c>
      <c r="Y23" s="198">
        <f>SUMIFS('март 2023'!$G$4:$G$582,'март 2023'!$D$4:$D$582,$B23,'март 2023'!$J$4:$J$582,Y$1)</f>
        <v>0</v>
      </c>
      <c r="Z23" s="198">
        <f>SUMIFS('март 2023'!$G$4:$G$582,'март 2023'!$D$4:$D$582,$B23,'март 2023'!$J$4:$J$582,Z$1)</f>
        <v>0</v>
      </c>
      <c r="AA23" s="198">
        <f>SUMIFS('март 2023'!$G$4:$G$582,'март 2023'!$D$4:$D$582,$B23,'март 2023'!$J$4:$J$582,AA$1)</f>
        <v>0</v>
      </c>
      <c r="AB23" s="198">
        <f>SUMIFS('март 2023'!$G$4:$G$582,'март 2023'!$D$4:$D$582,$B23,'март 2023'!$J$4:$J$582,AB$1)</f>
        <v>0</v>
      </c>
      <c r="AC23" s="198">
        <f>SUMIFS('март 2023'!$G$4:$G$582,'март 2023'!$D$4:$D$582,$B23,'март 2023'!$J$4:$J$582,AC$1)</f>
        <v>0</v>
      </c>
      <c r="AD23" s="198">
        <f>SUMIFS('март 2023'!$G$4:$G$582,'март 2023'!$D$4:$D$582,$B23,'март 2023'!$J$4:$J$582,AD$1)</f>
        <v>0</v>
      </c>
      <c r="AE23" s="198">
        <f>SUMIFS('март 2023'!$G$4:$G$582,'март 2023'!$D$4:$D$582,$B23,'март 2023'!$J$4:$J$582,AE$1)</f>
        <v>0</v>
      </c>
      <c r="AF23" s="198">
        <f>SUMIFS('март 2023'!$G$4:$G$582,'март 2023'!$D$4:$D$582,$B23,'март 2023'!$J$4:$J$582,AF$1)</f>
        <v>0</v>
      </c>
      <c r="AG23" s="198">
        <f>SUMIFS('март 2023'!$G$4:$G$582,'март 2023'!$D$4:$D$582,$B23,'март 2023'!$J$4:$J$582,AG$1)</f>
        <v>0</v>
      </c>
      <c r="AH23" s="198">
        <f>SUMIFS('март 2023'!$G$4:$G$582,'март 2023'!$D$4:$D$582,$B23,'март 2023'!$J$4:$J$582,AH$1)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SUMIFS('март 2023'!$G$4:$G$582,'март 2023'!$D$4:$D$582,$B24,'март 2023'!$J$4:$J$582,D$1)</f>
        <v>0</v>
      </c>
      <c r="E24" s="198">
        <f>SUMIFS('март 2023'!$G$4:$G$582,'март 2023'!$D$4:$D$582,$B24,'март 2023'!$J$4:$J$582,E$1)</f>
        <v>0</v>
      </c>
      <c r="F24" s="198">
        <f>SUMIFS('март 2023'!$G$4:$G$582,'март 2023'!$D$4:$D$582,$B24,'март 2023'!$J$4:$J$582,F$1)</f>
        <v>0</v>
      </c>
      <c r="G24" s="198">
        <f>SUMIFS('март 2023'!$G$4:$G$582,'март 2023'!$D$4:$D$582,$B24,'март 2023'!$J$4:$J$582,G$1)</f>
        <v>0</v>
      </c>
      <c r="H24" s="198">
        <f>SUMIFS('март 2023'!$G$4:$G$582,'март 2023'!$D$4:$D$582,$B24,'март 2023'!$J$4:$J$582,H$1)</f>
        <v>0</v>
      </c>
      <c r="I24" s="198">
        <f>SUMIFS('март 2023'!$G$4:$G$582,'март 2023'!$D$4:$D$582,$B24,'март 2023'!$J$4:$J$582,I$1)</f>
        <v>0</v>
      </c>
      <c r="J24" s="198">
        <f>SUMIFS('март 2023'!$G$4:$G$582,'март 2023'!$D$4:$D$582,$B24,'март 2023'!$J$4:$J$582,J$1)</f>
        <v>0</v>
      </c>
      <c r="K24" s="198">
        <f>SUMIFS('март 2023'!$G$4:$G$582,'март 2023'!$D$4:$D$582,$B24,'март 2023'!$J$4:$J$582,K$1)</f>
        <v>0</v>
      </c>
      <c r="L24" s="198">
        <f>SUMIFS('март 2023'!$G$4:$G$582,'март 2023'!$D$4:$D$582,$B24,'март 2023'!$J$4:$J$582,L$1)</f>
        <v>0</v>
      </c>
      <c r="M24" s="198">
        <f>SUMIFS('март 2023'!$G$4:$G$582,'март 2023'!$D$4:$D$582,$B24,'март 2023'!$J$4:$J$582,M$1)</f>
        <v>0</v>
      </c>
      <c r="N24" s="198">
        <f>SUMIFS('март 2023'!$G$4:$G$582,'март 2023'!$D$4:$D$582,$B24,'март 2023'!$J$4:$J$582,N$1)</f>
        <v>0</v>
      </c>
      <c r="O24" s="198">
        <f>SUMIFS('март 2023'!$G$4:$G$582,'март 2023'!$D$4:$D$582,$B24,'март 2023'!$J$4:$J$582,O$1)</f>
        <v>0</v>
      </c>
      <c r="P24" s="198">
        <f>SUMIFS('март 2023'!$G$4:$G$582,'март 2023'!$D$4:$D$582,$B24,'март 2023'!$J$4:$J$582,P$1)</f>
        <v>0</v>
      </c>
      <c r="Q24" s="198">
        <f>SUMIFS('март 2023'!$G$4:$G$582,'март 2023'!$D$4:$D$582,$B24,'март 2023'!$J$4:$J$582,Q$1)</f>
        <v>0</v>
      </c>
      <c r="R24" s="198">
        <f>SUMIFS('март 2023'!$G$4:$G$582,'март 2023'!$D$4:$D$582,$B24,'март 2023'!$J$4:$J$582,R$1)</f>
        <v>0</v>
      </c>
      <c r="S24" s="198">
        <f>SUMIFS('март 2023'!$G$4:$G$582,'март 2023'!$D$4:$D$582,$B24,'март 2023'!$J$4:$J$582,S$1)</f>
        <v>0</v>
      </c>
      <c r="T24" s="198">
        <f>SUMIFS('март 2023'!$G$4:$G$582,'март 2023'!$D$4:$D$582,$B24,'март 2023'!$J$4:$J$582,T$1)</f>
        <v>0</v>
      </c>
      <c r="U24" s="198">
        <f>SUMIFS('март 2023'!$G$4:$G$582,'март 2023'!$D$4:$D$582,$B24,'март 2023'!$J$4:$J$582,U$1)</f>
        <v>0</v>
      </c>
      <c r="V24" s="198">
        <f>SUMIFS('март 2023'!$G$4:$G$582,'март 2023'!$D$4:$D$582,$B24,'март 2023'!$J$4:$J$582,V$1)</f>
        <v>0</v>
      </c>
      <c r="W24" s="198">
        <f>SUMIFS('март 2023'!$G$4:$G$582,'март 2023'!$D$4:$D$582,$B24,'март 2023'!$J$4:$J$582,W$1)</f>
        <v>0</v>
      </c>
      <c r="X24" s="198">
        <f>SUMIFS('март 2023'!$G$4:$G$582,'март 2023'!$D$4:$D$582,$B24,'март 2023'!$J$4:$J$582,X$1)</f>
        <v>0</v>
      </c>
      <c r="Y24" s="198">
        <f>SUMIFS('март 2023'!$G$4:$G$582,'март 2023'!$D$4:$D$582,$B24,'март 2023'!$J$4:$J$582,Y$1)</f>
        <v>0</v>
      </c>
      <c r="Z24" s="198">
        <f>SUMIFS('март 2023'!$G$4:$G$582,'март 2023'!$D$4:$D$582,$B24,'март 2023'!$J$4:$J$582,Z$1)</f>
        <v>0</v>
      </c>
      <c r="AA24" s="198">
        <f>SUMIFS('март 2023'!$G$4:$G$582,'март 2023'!$D$4:$D$582,$B24,'март 2023'!$J$4:$J$582,AA$1)</f>
        <v>0</v>
      </c>
      <c r="AB24" s="198">
        <f>SUMIFS('март 2023'!$G$4:$G$582,'март 2023'!$D$4:$D$582,$B24,'март 2023'!$J$4:$J$582,AB$1)</f>
        <v>0</v>
      </c>
      <c r="AC24" s="198">
        <f>SUMIFS('март 2023'!$G$4:$G$582,'март 2023'!$D$4:$D$582,$B24,'март 2023'!$J$4:$J$582,AC$1)</f>
        <v>0</v>
      </c>
      <c r="AD24" s="198">
        <f>SUMIFS('март 2023'!$G$4:$G$582,'март 2023'!$D$4:$D$582,$B24,'март 2023'!$J$4:$J$582,AD$1)</f>
        <v>0</v>
      </c>
      <c r="AE24" s="198">
        <f>SUMIFS('март 2023'!$G$4:$G$582,'март 2023'!$D$4:$D$582,$B24,'март 2023'!$J$4:$J$582,AE$1)</f>
        <v>0</v>
      </c>
      <c r="AF24" s="198">
        <f>SUMIFS('март 2023'!$G$4:$G$582,'март 2023'!$D$4:$D$582,$B24,'март 2023'!$J$4:$J$582,AF$1)</f>
        <v>0</v>
      </c>
      <c r="AG24" s="198">
        <f>SUMIFS('март 2023'!$G$4:$G$582,'март 2023'!$D$4:$D$582,$B24,'март 2023'!$J$4:$J$582,AG$1)</f>
        <v>0</v>
      </c>
      <c r="AH24" s="198">
        <f>SUMIFS('март 2023'!$G$4:$G$582,'март 2023'!$D$4:$D$582,$B24,'март 2023'!$J$4:$J$582,AH$1)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SUMIFS('март 2023'!$G$4:$G$582,'март 2023'!$D$4:$D$582,$B25,'март 2023'!$J$4:$J$582,D$1)</f>
        <v>0</v>
      </c>
      <c r="E25" s="198">
        <f>SUMIFS('март 2023'!$G$4:$G$582,'март 2023'!$D$4:$D$582,$B25,'март 2023'!$J$4:$J$582,E$1)</f>
        <v>0</v>
      </c>
      <c r="F25" s="198">
        <f>SUMIFS('март 2023'!$G$4:$G$582,'март 2023'!$D$4:$D$582,$B25,'март 2023'!$J$4:$J$582,F$1)</f>
        <v>0</v>
      </c>
      <c r="G25" s="198">
        <f>SUMIFS('март 2023'!$G$4:$G$582,'март 2023'!$D$4:$D$582,$B25,'март 2023'!$J$4:$J$582,G$1)</f>
        <v>0</v>
      </c>
      <c r="H25" s="198">
        <f>SUMIFS('март 2023'!$G$4:$G$582,'март 2023'!$D$4:$D$582,$B25,'март 2023'!$J$4:$J$582,H$1)</f>
        <v>0</v>
      </c>
      <c r="I25" s="198">
        <f>SUMIFS('март 2023'!$G$4:$G$582,'март 2023'!$D$4:$D$582,$B25,'март 2023'!$J$4:$J$582,I$1)</f>
        <v>0</v>
      </c>
      <c r="J25" s="198">
        <f>SUMIFS('март 2023'!$G$4:$G$582,'март 2023'!$D$4:$D$582,$B25,'март 2023'!$J$4:$J$582,J$1)</f>
        <v>0</v>
      </c>
      <c r="K25" s="198">
        <f>SUMIFS('март 2023'!$G$4:$G$582,'март 2023'!$D$4:$D$582,$B25,'март 2023'!$J$4:$J$582,K$1)</f>
        <v>0</v>
      </c>
      <c r="L25" s="198">
        <f>SUMIFS('март 2023'!$G$4:$G$582,'март 2023'!$D$4:$D$582,$B25,'март 2023'!$J$4:$J$582,L$1)</f>
        <v>0</v>
      </c>
      <c r="M25" s="198">
        <f>SUMIFS('март 2023'!$G$4:$G$582,'март 2023'!$D$4:$D$582,$B25,'март 2023'!$J$4:$J$582,M$1)</f>
        <v>0</v>
      </c>
      <c r="N25" s="198">
        <f>SUMIFS('март 2023'!$G$4:$G$582,'март 2023'!$D$4:$D$582,$B25,'март 2023'!$J$4:$J$582,N$1)</f>
        <v>0</v>
      </c>
      <c r="O25" s="198">
        <f>SUMIFS('март 2023'!$G$4:$G$582,'март 2023'!$D$4:$D$582,$B25,'март 2023'!$J$4:$J$582,O$1)</f>
        <v>0</v>
      </c>
      <c r="P25" s="198">
        <f>SUMIFS('март 2023'!$G$4:$G$582,'март 2023'!$D$4:$D$582,$B25,'март 2023'!$J$4:$J$582,P$1)</f>
        <v>0</v>
      </c>
      <c r="Q25" s="198">
        <f>SUMIFS('март 2023'!$G$4:$G$582,'март 2023'!$D$4:$D$582,$B25,'март 2023'!$J$4:$J$582,Q$1)</f>
        <v>0</v>
      </c>
      <c r="R25" s="198">
        <f>SUMIFS('март 2023'!$G$4:$G$582,'март 2023'!$D$4:$D$582,$B25,'март 2023'!$J$4:$J$582,R$1)</f>
        <v>0</v>
      </c>
      <c r="S25" s="198">
        <f>SUMIFS('март 2023'!$G$4:$G$582,'март 2023'!$D$4:$D$582,$B25,'март 2023'!$J$4:$J$582,S$1)</f>
        <v>0</v>
      </c>
      <c r="T25" s="198">
        <f>SUMIFS('март 2023'!$G$4:$G$582,'март 2023'!$D$4:$D$582,$B25,'март 2023'!$J$4:$J$582,T$1)</f>
        <v>0</v>
      </c>
      <c r="U25" s="198">
        <f>SUMIFS('март 2023'!$G$4:$G$582,'март 2023'!$D$4:$D$582,$B25,'март 2023'!$J$4:$J$582,U$1)</f>
        <v>0</v>
      </c>
      <c r="V25" s="198">
        <f>SUMIFS('март 2023'!$G$4:$G$582,'март 2023'!$D$4:$D$582,$B25,'март 2023'!$J$4:$J$582,V$1)</f>
        <v>0</v>
      </c>
      <c r="W25" s="198">
        <f>SUMIFS('март 2023'!$G$4:$G$582,'март 2023'!$D$4:$D$582,$B25,'март 2023'!$J$4:$J$582,W$1)</f>
        <v>0</v>
      </c>
      <c r="X25" s="198">
        <f>SUMIFS('март 2023'!$G$4:$G$582,'март 2023'!$D$4:$D$582,$B25,'март 2023'!$J$4:$J$582,X$1)</f>
        <v>0</v>
      </c>
      <c r="Y25" s="198">
        <f>SUMIFS('март 2023'!$G$4:$G$582,'март 2023'!$D$4:$D$582,$B25,'март 2023'!$J$4:$J$582,Y$1)</f>
        <v>0</v>
      </c>
      <c r="Z25" s="198">
        <f>SUMIFS('март 2023'!$G$4:$G$582,'март 2023'!$D$4:$D$582,$B25,'март 2023'!$J$4:$J$582,Z$1)</f>
        <v>0</v>
      </c>
      <c r="AA25" s="198">
        <f>SUMIFS('март 2023'!$G$4:$G$582,'март 2023'!$D$4:$D$582,$B25,'март 2023'!$J$4:$J$582,AA$1)</f>
        <v>0</v>
      </c>
      <c r="AB25" s="198">
        <f>SUMIFS('март 2023'!$G$4:$G$582,'март 2023'!$D$4:$D$582,$B25,'март 2023'!$J$4:$J$582,AB$1)</f>
        <v>0</v>
      </c>
      <c r="AC25" s="198">
        <f>SUMIFS('март 2023'!$G$4:$G$582,'март 2023'!$D$4:$D$582,$B25,'март 2023'!$J$4:$J$582,AC$1)</f>
        <v>0</v>
      </c>
      <c r="AD25" s="198">
        <f>SUMIFS('март 2023'!$G$4:$G$582,'март 2023'!$D$4:$D$582,$B25,'март 2023'!$J$4:$J$582,AD$1)</f>
        <v>0</v>
      </c>
      <c r="AE25" s="198">
        <f>SUMIFS('март 2023'!$G$4:$G$582,'март 2023'!$D$4:$D$582,$B25,'март 2023'!$J$4:$J$582,AE$1)</f>
        <v>0</v>
      </c>
      <c r="AF25" s="198">
        <f>SUMIFS('март 2023'!$G$4:$G$582,'март 2023'!$D$4:$D$582,$B25,'март 2023'!$J$4:$J$582,AF$1)</f>
        <v>0</v>
      </c>
      <c r="AG25" s="198">
        <f>SUMIFS('март 2023'!$G$4:$G$582,'март 2023'!$D$4:$D$582,$B25,'март 2023'!$J$4:$J$582,AG$1)</f>
        <v>0</v>
      </c>
      <c r="AH25" s="198">
        <f>SUMIFS('март 2023'!$G$4:$G$582,'март 2023'!$D$4:$D$582,$B25,'март 2023'!$J$4:$J$582,AH$1)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SUMIFS('март 2023'!$G$4:$G$582,'март 2023'!$D$4:$D$582,$B26,'март 2023'!$J$4:$J$582,D$1)</f>
        <v>0</v>
      </c>
      <c r="E26" s="198">
        <f>SUMIFS('март 2023'!$G$4:$G$582,'март 2023'!$D$4:$D$582,$B26,'март 2023'!$J$4:$J$582,E$1)</f>
        <v>0</v>
      </c>
      <c r="F26" s="198">
        <f>SUMIFS('март 2023'!$G$4:$G$582,'март 2023'!$D$4:$D$582,$B26,'март 2023'!$J$4:$J$582,F$1)</f>
        <v>0</v>
      </c>
      <c r="G26" s="198">
        <f>SUMIFS('март 2023'!$G$4:$G$582,'март 2023'!$D$4:$D$582,$B26,'март 2023'!$J$4:$J$582,G$1)</f>
        <v>0</v>
      </c>
      <c r="H26" s="198">
        <f>SUMIFS('март 2023'!$G$4:$G$582,'март 2023'!$D$4:$D$582,$B26,'март 2023'!$J$4:$J$582,H$1)</f>
        <v>0</v>
      </c>
      <c r="I26" s="198">
        <f>SUMIFS('март 2023'!$G$4:$G$582,'март 2023'!$D$4:$D$582,$B26,'март 2023'!$J$4:$J$582,I$1)</f>
        <v>0</v>
      </c>
      <c r="J26" s="198">
        <f>SUMIFS('март 2023'!$G$4:$G$582,'март 2023'!$D$4:$D$582,$B26,'март 2023'!$J$4:$J$582,J$1)</f>
        <v>0</v>
      </c>
      <c r="K26" s="198">
        <f>SUMIFS('март 2023'!$G$4:$G$582,'март 2023'!$D$4:$D$582,$B26,'март 2023'!$J$4:$J$582,K$1)</f>
        <v>0</v>
      </c>
      <c r="L26" s="198">
        <f>SUMIFS('март 2023'!$G$4:$G$582,'март 2023'!$D$4:$D$582,$B26,'март 2023'!$J$4:$J$582,L$1)</f>
        <v>0</v>
      </c>
      <c r="M26" s="198">
        <f>SUMIFS('март 2023'!$G$4:$G$582,'март 2023'!$D$4:$D$582,$B26,'март 2023'!$J$4:$J$582,M$1)</f>
        <v>0</v>
      </c>
      <c r="N26" s="198">
        <f>SUMIFS('март 2023'!$G$4:$G$582,'март 2023'!$D$4:$D$582,$B26,'март 2023'!$J$4:$J$582,N$1)</f>
        <v>0</v>
      </c>
      <c r="O26" s="198">
        <f>SUMIFS('март 2023'!$G$4:$G$582,'март 2023'!$D$4:$D$582,$B26,'март 2023'!$J$4:$J$582,O$1)</f>
        <v>0</v>
      </c>
      <c r="P26" s="198">
        <f>SUMIFS('март 2023'!$G$4:$G$582,'март 2023'!$D$4:$D$582,$B26,'март 2023'!$J$4:$J$582,P$1)</f>
        <v>0</v>
      </c>
      <c r="Q26" s="198">
        <f>SUMIFS('март 2023'!$G$4:$G$582,'март 2023'!$D$4:$D$582,$B26,'март 2023'!$J$4:$J$582,Q$1)</f>
        <v>0</v>
      </c>
      <c r="R26" s="198">
        <f>SUMIFS('март 2023'!$G$4:$G$582,'март 2023'!$D$4:$D$582,$B26,'март 2023'!$J$4:$J$582,R$1)</f>
        <v>0</v>
      </c>
      <c r="S26" s="198">
        <f>SUMIFS('март 2023'!$G$4:$G$582,'март 2023'!$D$4:$D$582,$B26,'март 2023'!$J$4:$J$582,S$1)</f>
        <v>0</v>
      </c>
      <c r="T26" s="198">
        <f>SUMIFS('март 2023'!$G$4:$G$582,'март 2023'!$D$4:$D$582,$B26,'март 2023'!$J$4:$J$582,T$1)</f>
        <v>0</v>
      </c>
      <c r="U26" s="198">
        <f>SUMIFS('март 2023'!$G$4:$G$582,'март 2023'!$D$4:$D$582,$B26,'март 2023'!$J$4:$J$582,U$1)</f>
        <v>0</v>
      </c>
      <c r="V26" s="198">
        <f>SUMIFS('март 2023'!$G$4:$G$582,'март 2023'!$D$4:$D$582,$B26,'март 2023'!$J$4:$J$582,V$1)</f>
        <v>0</v>
      </c>
      <c r="W26" s="198">
        <f>SUMIFS('март 2023'!$G$4:$G$582,'март 2023'!$D$4:$D$582,$B26,'март 2023'!$J$4:$J$582,W$1)</f>
        <v>0</v>
      </c>
      <c r="X26" s="198">
        <f>SUMIFS('март 2023'!$G$4:$G$582,'март 2023'!$D$4:$D$582,$B26,'март 2023'!$J$4:$J$582,X$1)</f>
        <v>0</v>
      </c>
      <c r="Y26" s="198">
        <f>SUMIFS('март 2023'!$G$4:$G$582,'март 2023'!$D$4:$D$582,$B26,'март 2023'!$J$4:$J$582,Y$1)</f>
        <v>0</v>
      </c>
      <c r="Z26" s="198">
        <f>SUMIFS('март 2023'!$G$4:$G$582,'март 2023'!$D$4:$D$582,$B26,'март 2023'!$J$4:$J$582,Z$1)</f>
        <v>0</v>
      </c>
      <c r="AA26" s="198">
        <f>SUMIFS('март 2023'!$G$4:$G$582,'март 2023'!$D$4:$D$582,$B26,'март 2023'!$J$4:$J$582,AA$1)</f>
        <v>0</v>
      </c>
      <c r="AB26" s="198">
        <f>SUMIFS('март 2023'!$G$4:$G$582,'март 2023'!$D$4:$D$582,$B26,'март 2023'!$J$4:$J$582,AB$1)</f>
        <v>0</v>
      </c>
      <c r="AC26" s="198">
        <f>SUMIFS('март 2023'!$G$4:$G$582,'март 2023'!$D$4:$D$582,$B26,'март 2023'!$J$4:$J$582,AC$1)</f>
        <v>0</v>
      </c>
      <c r="AD26" s="198">
        <f>SUMIFS('март 2023'!$G$4:$G$582,'март 2023'!$D$4:$D$582,$B26,'март 2023'!$J$4:$J$582,AD$1)</f>
        <v>0</v>
      </c>
      <c r="AE26" s="198">
        <f>SUMIFS('март 2023'!$G$4:$G$582,'март 2023'!$D$4:$D$582,$B26,'март 2023'!$J$4:$J$582,AE$1)</f>
        <v>0</v>
      </c>
      <c r="AF26" s="198">
        <f>SUMIFS('март 2023'!$G$4:$G$582,'март 2023'!$D$4:$D$582,$B26,'март 2023'!$J$4:$J$582,AF$1)</f>
        <v>0</v>
      </c>
      <c r="AG26" s="198">
        <f>SUMIFS('март 2023'!$G$4:$G$582,'март 2023'!$D$4:$D$582,$B26,'март 2023'!$J$4:$J$582,AG$1)</f>
        <v>0</v>
      </c>
      <c r="AH26" s="198">
        <f>SUMIFS('март 2023'!$G$4:$G$582,'март 2023'!$D$4:$D$582,$B26,'март 2023'!$J$4:$J$582,AH$1)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SUMIFS('март 2023'!$G$4:$G$582,'март 2023'!$D$4:$D$582,$B27,'март 2023'!$J$4:$J$582,D$1)</f>
        <v>0</v>
      </c>
      <c r="E27" s="198">
        <f>SUMIFS('март 2023'!$G$4:$G$582,'март 2023'!$D$4:$D$582,$B27,'март 2023'!$J$4:$J$582,E$1)</f>
        <v>0</v>
      </c>
      <c r="F27" s="198">
        <f>SUMIFS('март 2023'!$G$4:$G$582,'март 2023'!$D$4:$D$582,$B27,'март 2023'!$J$4:$J$582,F$1)</f>
        <v>0</v>
      </c>
      <c r="G27" s="198">
        <f>SUMIFS('март 2023'!$G$4:$G$582,'март 2023'!$D$4:$D$582,$B27,'март 2023'!$J$4:$J$582,G$1)</f>
        <v>0</v>
      </c>
      <c r="H27" s="198">
        <f>SUMIFS('март 2023'!$G$4:$G$582,'март 2023'!$D$4:$D$582,$B27,'март 2023'!$J$4:$J$582,H$1)</f>
        <v>0</v>
      </c>
      <c r="I27" s="198">
        <f>SUMIFS('март 2023'!$G$4:$G$582,'март 2023'!$D$4:$D$582,$B27,'март 2023'!$J$4:$J$582,I$1)</f>
        <v>0</v>
      </c>
      <c r="J27" s="198">
        <f>SUMIFS('март 2023'!$G$4:$G$582,'март 2023'!$D$4:$D$582,$B27,'март 2023'!$J$4:$J$582,J$1)</f>
        <v>0</v>
      </c>
      <c r="K27" s="198">
        <f>SUMIFS('март 2023'!$G$4:$G$582,'март 2023'!$D$4:$D$582,$B27,'март 2023'!$J$4:$J$582,K$1)</f>
        <v>0</v>
      </c>
      <c r="L27" s="198">
        <f>SUMIFS('март 2023'!$G$4:$G$582,'март 2023'!$D$4:$D$582,$B27,'март 2023'!$J$4:$J$582,L$1)</f>
        <v>0</v>
      </c>
      <c r="M27" s="198">
        <f>SUMIFS('март 2023'!$G$4:$G$582,'март 2023'!$D$4:$D$582,$B27,'март 2023'!$J$4:$J$582,M$1)</f>
        <v>0</v>
      </c>
      <c r="N27" s="198">
        <f>SUMIFS('март 2023'!$G$4:$G$582,'март 2023'!$D$4:$D$582,$B27,'март 2023'!$J$4:$J$582,N$1)</f>
        <v>0</v>
      </c>
      <c r="O27" s="198">
        <f>SUMIFS('март 2023'!$G$4:$G$582,'март 2023'!$D$4:$D$582,$B27,'март 2023'!$J$4:$J$582,O$1)</f>
        <v>0</v>
      </c>
      <c r="P27" s="198">
        <f>SUMIFS('март 2023'!$G$4:$G$582,'март 2023'!$D$4:$D$582,$B27,'март 2023'!$J$4:$J$582,P$1)</f>
        <v>0</v>
      </c>
      <c r="Q27" s="198">
        <f>SUMIFS('март 2023'!$G$4:$G$582,'март 2023'!$D$4:$D$582,$B27,'март 2023'!$J$4:$J$582,Q$1)</f>
        <v>0</v>
      </c>
      <c r="R27" s="198">
        <f>SUMIFS('март 2023'!$G$4:$G$582,'март 2023'!$D$4:$D$582,$B27,'март 2023'!$J$4:$J$582,R$1)</f>
        <v>0</v>
      </c>
      <c r="S27" s="198">
        <f>SUMIFS('март 2023'!$G$4:$G$582,'март 2023'!$D$4:$D$582,$B27,'март 2023'!$J$4:$J$582,S$1)</f>
        <v>0</v>
      </c>
      <c r="T27" s="198">
        <f>SUMIFS('март 2023'!$G$4:$G$582,'март 2023'!$D$4:$D$582,$B27,'март 2023'!$J$4:$J$582,T$1)</f>
        <v>0</v>
      </c>
      <c r="U27" s="198">
        <f>SUMIFS('март 2023'!$G$4:$G$582,'март 2023'!$D$4:$D$582,$B27,'март 2023'!$J$4:$J$582,U$1)</f>
        <v>0</v>
      </c>
      <c r="V27" s="198">
        <f>SUMIFS('март 2023'!$G$4:$G$582,'март 2023'!$D$4:$D$582,$B27,'март 2023'!$J$4:$J$582,V$1)</f>
        <v>0</v>
      </c>
      <c r="W27" s="198">
        <f>SUMIFS('март 2023'!$G$4:$G$582,'март 2023'!$D$4:$D$582,$B27,'март 2023'!$J$4:$J$582,W$1)</f>
        <v>0</v>
      </c>
      <c r="X27" s="198">
        <f>SUMIFS('март 2023'!$G$4:$G$582,'март 2023'!$D$4:$D$582,$B27,'март 2023'!$J$4:$J$582,X$1)</f>
        <v>0</v>
      </c>
      <c r="Y27" s="198">
        <f>SUMIFS('март 2023'!$G$4:$G$582,'март 2023'!$D$4:$D$582,$B27,'март 2023'!$J$4:$J$582,Y$1)</f>
        <v>0</v>
      </c>
      <c r="Z27" s="198">
        <f>SUMIFS('март 2023'!$G$4:$G$582,'март 2023'!$D$4:$D$582,$B27,'март 2023'!$J$4:$J$582,Z$1)</f>
        <v>0</v>
      </c>
      <c r="AA27" s="198">
        <f>SUMIFS('март 2023'!$G$4:$G$582,'март 2023'!$D$4:$D$582,$B27,'март 2023'!$J$4:$J$582,AA$1)</f>
        <v>0</v>
      </c>
      <c r="AB27" s="198">
        <f>SUMIFS('март 2023'!$G$4:$G$582,'март 2023'!$D$4:$D$582,$B27,'март 2023'!$J$4:$J$582,AB$1)</f>
        <v>0</v>
      </c>
      <c r="AC27" s="198">
        <f>SUMIFS('март 2023'!$G$4:$G$582,'март 2023'!$D$4:$D$582,$B27,'март 2023'!$J$4:$J$582,AC$1)</f>
        <v>0</v>
      </c>
      <c r="AD27" s="198">
        <f>SUMIFS('март 2023'!$G$4:$G$582,'март 2023'!$D$4:$D$582,$B27,'март 2023'!$J$4:$J$582,AD$1)</f>
        <v>0</v>
      </c>
      <c r="AE27" s="198">
        <f>SUMIFS('март 2023'!$G$4:$G$582,'март 2023'!$D$4:$D$582,$B27,'март 2023'!$J$4:$J$582,AE$1)</f>
        <v>0</v>
      </c>
      <c r="AF27" s="198">
        <f>SUMIFS('март 2023'!$G$4:$G$582,'март 2023'!$D$4:$D$582,$B27,'март 2023'!$J$4:$J$582,AF$1)</f>
        <v>0</v>
      </c>
      <c r="AG27" s="198">
        <f>SUMIFS('март 2023'!$G$4:$G$582,'март 2023'!$D$4:$D$582,$B27,'март 2023'!$J$4:$J$582,AG$1)</f>
        <v>0</v>
      </c>
      <c r="AH27" s="198">
        <f>SUMIFS('март 2023'!$G$4:$G$582,'март 2023'!$D$4:$D$582,$B27,'март 2023'!$J$4:$J$582,AH$1)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SUMIFS('март 2023'!$G$4:$G$582,'март 2023'!$D$4:$D$582,$B28,'март 2023'!$J$4:$J$582,D$1)</f>
        <v>0</v>
      </c>
      <c r="E28" s="198">
        <f>SUMIFS('март 2023'!$G$4:$G$582,'март 2023'!$D$4:$D$582,$B28,'март 2023'!$J$4:$J$582,E$1)</f>
        <v>0</v>
      </c>
      <c r="F28" s="198">
        <f>SUMIFS('март 2023'!$G$4:$G$582,'март 2023'!$D$4:$D$582,$B28,'март 2023'!$J$4:$J$582,F$1)</f>
        <v>0</v>
      </c>
      <c r="G28" s="198">
        <f>SUMIFS('март 2023'!$G$4:$G$582,'март 2023'!$D$4:$D$582,$B28,'март 2023'!$J$4:$J$582,G$1)</f>
        <v>0</v>
      </c>
      <c r="H28" s="198">
        <f>SUMIFS('март 2023'!$G$4:$G$582,'март 2023'!$D$4:$D$582,$B28,'март 2023'!$J$4:$J$582,H$1)</f>
        <v>0</v>
      </c>
      <c r="I28" s="198">
        <f>SUMIFS('март 2023'!$G$4:$G$582,'март 2023'!$D$4:$D$582,$B28,'март 2023'!$J$4:$J$582,I$1)</f>
        <v>0</v>
      </c>
      <c r="J28" s="198">
        <f>SUMIFS('март 2023'!$G$4:$G$582,'март 2023'!$D$4:$D$582,$B28,'март 2023'!$J$4:$J$582,J$1)</f>
        <v>0</v>
      </c>
      <c r="K28" s="198">
        <f>SUMIFS('март 2023'!$G$4:$G$582,'март 2023'!$D$4:$D$582,$B28,'март 2023'!$J$4:$J$582,K$1)</f>
        <v>0</v>
      </c>
      <c r="L28" s="198">
        <f>SUMIFS('март 2023'!$G$4:$G$582,'март 2023'!$D$4:$D$582,$B28,'март 2023'!$J$4:$J$582,L$1)</f>
        <v>0</v>
      </c>
      <c r="M28" s="198">
        <f>SUMIFS('март 2023'!$G$4:$G$582,'март 2023'!$D$4:$D$582,$B28,'март 2023'!$J$4:$J$582,M$1)</f>
        <v>0</v>
      </c>
      <c r="N28" s="198">
        <f>SUMIFS('март 2023'!$G$4:$G$582,'март 2023'!$D$4:$D$582,$B28,'март 2023'!$J$4:$J$582,N$1)</f>
        <v>0</v>
      </c>
      <c r="O28" s="198">
        <f>SUMIFS('март 2023'!$G$4:$G$582,'март 2023'!$D$4:$D$582,$B28,'март 2023'!$J$4:$J$582,O$1)</f>
        <v>0</v>
      </c>
      <c r="P28" s="198">
        <f>SUMIFS('март 2023'!$G$4:$G$582,'март 2023'!$D$4:$D$582,$B28,'март 2023'!$J$4:$J$582,P$1)</f>
        <v>0</v>
      </c>
      <c r="Q28" s="198">
        <f>SUMIFS('март 2023'!$G$4:$G$582,'март 2023'!$D$4:$D$582,$B28,'март 2023'!$J$4:$J$582,Q$1)</f>
        <v>0</v>
      </c>
      <c r="R28" s="198">
        <f>SUMIFS('март 2023'!$G$4:$G$582,'март 2023'!$D$4:$D$582,$B28,'март 2023'!$J$4:$J$582,R$1)</f>
        <v>0</v>
      </c>
      <c r="S28" s="198">
        <f>SUMIFS('март 2023'!$G$4:$G$582,'март 2023'!$D$4:$D$582,$B28,'март 2023'!$J$4:$J$582,S$1)</f>
        <v>0</v>
      </c>
      <c r="T28" s="198">
        <f>SUMIFS('март 2023'!$G$4:$G$582,'март 2023'!$D$4:$D$582,$B28,'март 2023'!$J$4:$J$582,T$1)</f>
        <v>0</v>
      </c>
      <c r="U28" s="198">
        <f>SUMIFS('март 2023'!$G$4:$G$582,'март 2023'!$D$4:$D$582,$B28,'март 2023'!$J$4:$J$582,U$1)</f>
        <v>0</v>
      </c>
      <c r="V28" s="198">
        <f>SUMIFS('март 2023'!$G$4:$G$582,'март 2023'!$D$4:$D$582,$B28,'март 2023'!$J$4:$J$582,V$1)</f>
        <v>0</v>
      </c>
      <c r="W28" s="198">
        <f>SUMIFS('март 2023'!$G$4:$G$582,'март 2023'!$D$4:$D$582,$B28,'март 2023'!$J$4:$J$582,W$1)</f>
        <v>0</v>
      </c>
      <c r="X28" s="198">
        <f>SUMIFS('март 2023'!$G$4:$G$582,'март 2023'!$D$4:$D$582,$B28,'март 2023'!$J$4:$J$582,X$1)</f>
        <v>0</v>
      </c>
      <c r="Y28" s="198">
        <f>SUMIFS('март 2023'!$G$4:$G$582,'март 2023'!$D$4:$D$582,$B28,'март 2023'!$J$4:$J$582,Y$1)</f>
        <v>0</v>
      </c>
      <c r="Z28" s="198">
        <f>SUMIFS('март 2023'!$G$4:$G$582,'март 2023'!$D$4:$D$582,$B28,'март 2023'!$J$4:$J$582,Z$1)</f>
        <v>0</v>
      </c>
      <c r="AA28" s="198">
        <f>SUMIFS('март 2023'!$G$4:$G$582,'март 2023'!$D$4:$D$582,$B28,'март 2023'!$J$4:$J$582,AA$1)</f>
        <v>0</v>
      </c>
      <c r="AB28" s="198">
        <f>SUMIFS('март 2023'!$G$4:$G$582,'март 2023'!$D$4:$D$582,$B28,'март 2023'!$J$4:$J$582,AB$1)</f>
        <v>0</v>
      </c>
      <c r="AC28" s="198">
        <f>SUMIFS('март 2023'!$G$4:$G$582,'март 2023'!$D$4:$D$582,$B28,'март 2023'!$J$4:$J$582,AC$1)</f>
        <v>0</v>
      </c>
      <c r="AD28" s="198">
        <f>SUMIFS('март 2023'!$G$4:$G$582,'март 2023'!$D$4:$D$582,$B28,'март 2023'!$J$4:$J$582,AD$1)</f>
        <v>0</v>
      </c>
      <c r="AE28" s="198">
        <f>SUMIFS('март 2023'!$G$4:$G$582,'март 2023'!$D$4:$D$582,$B28,'март 2023'!$J$4:$J$582,AE$1)</f>
        <v>0</v>
      </c>
      <c r="AF28" s="198">
        <f>SUMIFS('март 2023'!$G$4:$G$582,'март 2023'!$D$4:$D$582,$B28,'март 2023'!$J$4:$J$582,AF$1)</f>
        <v>0</v>
      </c>
      <c r="AG28" s="198">
        <f>SUMIFS('март 2023'!$G$4:$G$582,'март 2023'!$D$4:$D$582,$B28,'март 2023'!$J$4:$J$582,AG$1)</f>
        <v>0</v>
      </c>
      <c r="AH28" s="198">
        <f>SUMIFS('март 2023'!$G$4:$G$582,'март 2023'!$D$4:$D$582,$B28,'март 2023'!$J$4:$J$582,AH$1)</f>
        <v>0</v>
      </c>
      <c r="AI28" s="170">
        <f t="shared" si="1"/>
        <v>0</v>
      </c>
    </row>
    <row r="29" spans="2:35" ht="15" customHeight="1" x14ac:dyDescent="0.25">
      <c r="B29" s="202"/>
      <c r="C29" s="200"/>
      <c r="D29" s="198">
        <f>SUMIFS('март 2023'!$G$4:$G$582,'март 2023'!$D$4:$D$582,$B29,'март 2023'!$J$4:$J$582,D$1)</f>
        <v>0</v>
      </c>
      <c r="E29" s="198">
        <f>SUMIFS('март 2023'!$G$4:$G$582,'март 2023'!$D$4:$D$582,$B29,'март 2023'!$J$4:$J$582,E$1)</f>
        <v>0</v>
      </c>
      <c r="F29" s="198">
        <f>SUMIFS('март 2023'!$G$4:$G$582,'март 2023'!$D$4:$D$582,$B29,'март 2023'!$J$4:$J$582,F$1)</f>
        <v>0</v>
      </c>
      <c r="G29" s="198">
        <f>SUMIFS('март 2023'!$G$4:$G$582,'март 2023'!$D$4:$D$582,$B29,'март 2023'!$J$4:$J$582,G$1)</f>
        <v>0</v>
      </c>
      <c r="H29" s="198">
        <f>SUMIFS('март 2023'!$G$4:$G$582,'март 2023'!$D$4:$D$582,$B29,'март 2023'!$J$4:$J$582,H$1)</f>
        <v>0</v>
      </c>
      <c r="I29" s="198">
        <f>SUMIFS('март 2023'!$G$4:$G$582,'март 2023'!$D$4:$D$582,$B29,'март 2023'!$J$4:$J$582,I$1)</f>
        <v>0</v>
      </c>
      <c r="J29" s="198">
        <f>SUMIFS('март 2023'!$G$4:$G$582,'март 2023'!$D$4:$D$582,$B29,'март 2023'!$J$4:$J$582,J$1)</f>
        <v>0</v>
      </c>
      <c r="K29" s="198">
        <f>SUMIFS('март 2023'!$G$4:$G$582,'март 2023'!$D$4:$D$582,$B29,'март 2023'!$J$4:$J$582,K$1)</f>
        <v>0</v>
      </c>
      <c r="L29" s="198">
        <f>SUMIFS('март 2023'!$G$4:$G$582,'март 2023'!$D$4:$D$582,$B29,'март 2023'!$J$4:$J$582,L$1)</f>
        <v>0</v>
      </c>
      <c r="M29" s="198">
        <f>SUMIFS('март 2023'!$G$4:$G$582,'март 2023'!$D$4:$D$582,$B29,'март 2023'!$J$4:$J$582,M$1)</f>
        <v>0</v>
      </c>
      <c r="N29" s="198">
        <f>SUMIFS('март 2023'!$G$4:$G$582,'март 2023'!$D$4:$D$582,$B29,'март 2023'!$J$4:$J$582,N$1)</f>
        <v>0</v>
      </c>
      <c r="O29" s="198">
        <f>SUMIFS('март 2023'!$G$4:$G$582,'март 2023'!$D$4:$D$582,$B29,'март 2023'!$J$4:$J$582,O$1)</f>
        <v>0</v>
      </c>
      <c r="P29" s="198">
        <f>SUMIFS('март 2023'!$G$4:$G$582,'март 2023'!$D$4:$D$582,$B29,'март 2023'!$J$4:$J$582,P$1)</f>
        <v>0</v>
      </c>
      <c r="Q29" s="198">
        <f>SUMIFS('март 2023'!$G$4:$G$582,'март 2023'!$D$4:$D$582,$B29,'март 2023'!$J$4:$J$582,Q$1)</f>
        <v>0</v>
      </c>
      <c r="R29" s="198">
        <f>SUMIFS('март 2023'!$G$4:$G$582,'март 2023'!$D$4:$D$582,$B29,'март 2023'!$J$4:$J$582,R$1)</f>
        <v>0</v>
      </c>
      <c r="S29" s="198">
        <f>SUMIFS('март 2023'!$G$4:$G$582,'март 2023'!$D$4:$D$582,$B29,'март 2023'!$J$4:$J$582,S$1)</f>
        <v>0</v>
      </c>
      <c r="T29" s="198">
        <f>SUMIFS('март 2023'!$G$4:$G$582,'март 2023'!$D$4:$D$582,$B29,'март 2023'!$J$4:$J$582,T$1)</f>
        <v>0</v>
      </c>
      <c r="U29" s="198">
        <f>SUMIFS('март 2023'!$G$4:$G$582,'март 2023'!$D$4:$D$582,$B29,'март 2023'!$J$4:$J$582,U$1)</f>
        <v>0</v>
      </c>
      <c r="V29" s="198">
        <f>SUMIFS('март 2023'!$G$4:$G$582,'март 2023'!$D$4:$D$582,$B29,'март 2023'!$J$4:$J$582,V$1)</f>
        <v>0</v>
      </c>
      <c r="W29" s="198">
        <f>SUMIFS('март 2023'!$G$4:$G$582,'март 2023'!$D$4:$D$582,$B29,'март 2023'!$J$4:$J$582,W$1)</f>
        <v>0</v>
      </c>
      <c r="X29" s="198">
        <f>SUMIFS('март 2023'!$G$4:$G$582,'март 2023'!$D$4:$D$582,$B29,'март 2023'!$J$4:$J$582,X$1)</f>
        <v>0</v>
      </c>
      <c r="Y29" s="198">
        <f>SUMIFS('март 2023'!$G$4:$G$582,'март 2023'!$D$4:$D$582,$B29,'март 2023'!$J$4:$J$582,Y$1)</f>
        <v>0</v>
      </c>
      <c r="Z29" s="198">
        <f>SUMIFS('март 2023'!$G$4:$G$582,'март 2023'!$D$4:$D$582,$B29,'март 2023'!$J$4:$J$582,Z$1)</f>
        <v>0</v>
      </c>
      <c r="AA29" s="198">
        <f>SUMIFS('март 2023'!$G$4:$G$582,'март 2023'!$D$4:$D$582,$B29,'март 2023'!$J$4:$J$582,AA$1)</f>
        <v>0</v>
      </c>
      <c r="AB29" s="198">
        <f>SUMIFS('март 2023'!$G$4:$G$582,'март 2023'!$D$4:$D$582,$B29,'март 2023'!$J$4:$J$582,AB$1)</f>
        <v>0</v>
      </c>
      <c r="AC29" s="198">
        <f>SUMIFS('март 2023'!$G$4:$G$582,'март 2023'!$D$4:$D$582,$B29,'март 2023'!$J$4:$J$582,AC$1)</f>
        <v>0</v>
      </c>
      <c r="AD29" s="198">
        <f>SUMIFS('март 2023'!$G$4:$G$582,'март 2023'!$D$4:$D$582,$B29,'март 2023'!$J$4:$J$582,AD$1)</f>
        <v>0</v>
      </c>
      <c r="AE29" s="198">
        <f>SUMIFS('март 2023'!$G$4:$G$582,'март 2023'!$D$4:$D$582,$B29,'март 2023'!$J$4:$J$582,AE$1)</f>
        <v>0</v>
      </c>
      <c r="AF29" s="198">
        <f>SUMIFS('март 2023'!$G$4:$G$582,'март 2023'!$D$4:$D$582,$B29,'март 2023'!$J$4:$J$582,AF$1)</f>
        <v>0</v>
      </c>
      <c r="AG29" s="198">
        <f>SUMIFS('март 2023'!$G$4:$G$582,'март 2023'!$D$4:$D$582,$B29,'март 2023'!$J$4:$J$582,AG$1)</f>
        <v>0</v>
      </c>
      <c r="AH29" s="198">
        <f>SUMIFS('март 2023'!$G$4:$G$582,'март 2023'!$D$4:$D$582,$B29,'март 2023'!$J$4:$J$582,AH$1)</f>
        <v>0</v>
      </c>
      <c r="AI29" s="170">
        <f t="shared" si="1"/>
        <v>0</v>
      </c>
    </row>
    <row r="30" spans="2:35" ht="15" customHeight="1" x14ac:dyDescent="0.25">
      <c r="B30" s="205" t="s">
        <v>2107</v>
      </c>
      <c r="C30" s="206">
        <v>25</v>
      </c>
      <c r="D30" s="207">
        <f>SUMIFS('март 2023'!$G$4:$G$582,'март 2023'!$D$4:$D$582,$B30,'март 2023'!$J$4:$J$582,D$1)</f>
        <v>0</v>
      </c>
      <c r="E30" s="207">
        <f>SUMIFS('март 2023'!$G$4:$G$582,'март 2023'!$D$4:$D$582,$B30,'март 2023'!$J$4:$J$582,E$1)</f>
        <v>0</v>
      </c>
      <c r="F30" s="207">
        <f>SUMIFS('март 2023'!$G$4:$G$582,'март 2023'!$D$4:$D$582,$B30,'март 2023'!$J$4:$J$582,F$1)</f>
        <v>0</v>
      </c>
      <c r="G30" s="207">
        <f>SUMIFS('март 2023'!$G$4:$G$582,'март 2023'!$D$4:$D$582,$B30,'март 2023'!$J$4:$J$582,G$1)</f>
        <v>0</v>
      </c>
      <c r="H30" s="207">
        <f>SUMIFS('март 2023'!$G$4:$G$582,'март 2023'!$D$4:$D$582,$B30,'март 2023'!$J$4:$J$582,H$1)</f>
        <v>0</v>
      </c>
      <c r="I30" s="207">
        <f>SUMIFS('март 2023'!$G$4:$G$582,'март 2023'!$D$4:$D$582,$B30,'март 2023'!$J$4:$J$582,I$1)</f>
        <v>0</v>
      </c>
      <c r="J30" s="207">
        <f>SUMIFS('март 2023'!$G$4:$G$582,'март 2023'!$D$4:$D$582,$B30,'март 2023'!$J$4:$J$582,J$1)</f>
        <v>0</v>
      </c>
      <c r="K30" s="207">
        <f>SUMIFS('март 2023'!$G$4:$G$582,'март 2023'!$D$4:$D$582,$B30,'март 2023'!$J$4:$J$582,K$1)</f>
        <v>0</v>
      </c>
      <c r="L30" s="207">
        <f>SUMIFS('март 2023'!$G$4:$G$582,'март 2023'!$D$4:$D$582,$B30,'март 2023'!$J$4:$J$582,L$1)</f>
        <v>0</v>
      </c>
      <c r="M30" s="207">
        <f>SUMIFS('март 2023'!$G$4:$G$582,'март 2023'!$D$4:$D$582,$B30,'март 2023'!$J$4:$J$582,M$1)</f>
        <v>0</v>
      </c>
      <c r="N30" s="207">
        <f>SUMIFS('март 2023'!$G$4:$G$582,'март 2023'!$D$4:$D$582,$B30,'март 2023'!$J$4:$J$582,N$1)</f>
        <v>0</v>
      </c>
      <c r="O30" s="207">
        <f>SUMIFS('март 2023'!$G$4:$G$582,'март 2023'!$D$4:$D$582,$B30,'март 2023'!$J$4:$J$582,O$1)</f>
        <v>0</v>
      </c>
      <c r="P30" s="207">
        <f>SUMIFS('март 2023'!$G$4:$G$582,'март 2023'!$D$4:$D$582,$B30,'март 2023'!$J$4:$J$582,P$1)</f>
        <v>0</v>
      </c>
      <c r="Q30" s="207">
        <f>SUMIFS('март 2023'!$G$4:$G$582,'март 2023'!$D$4:$D$582,$B30,'март 2023'!$J$4:$J$582,Q$1)</f>
        <v>0</v>
      </c>
      <c r="R30" s="207">
        <f>SUMIFS('март 2023'!$G$4:$G$582,'март 2023'!$D$4:$D$582,$B30,'март 2023'!$J$4:$J$582,R$1)</f>
        <v>0</v>
      </c>
      <c r="S30" s="207">
        <f>SUMIFS('март 2023'!$G$4:$G$582,'март 2023'!$D$4:$D$582,$B30,'март 2023'!$J$4:$J$582,S$1)</f>
        <v>0</v>
      </c>
      <c r="T30" s="207">
        <f>SUMIFS('март 2023'!$G$4:$G$582,'март 2023'!$D$4:$D$582,$B30,'март 2023'!$J$4:$J$582,T$1)</f>
        <v>0</v>
      </c>
      <c r="U30" s="207">
        <f>SUMIFS('март 2023'!$G$4:$G$582,'март 2023'!$D$4:$D$582,$B30,'март 2023'!$J$4:$J$582,U$1)</f>
        <v>0</v>
      </c>
      <c r="V30" s="207">
        <f>SUMIFS('март 2023'!$G$4:$G$582,'март 2023'!$D$4:$D$582,$B30,'март 2023'!$J$4:$J$582,V$1)</f>
        <v>0</v>
      </c>
      <c r="W30" s="207">
        <f>SUMIFS('март 2023'!$G$4:$G$582,'март 2023'!$D$4:$D$582,$B30,'март 2023'!$J$4:$J$582,W$1)</f>
        <v>0</v>
      </c>
      <c r="X30" s="207">
        <f>SUMIFS('март 2023'!$G$4:$G$582,'март 2023'!$D$4:$D$582,$B30,'март 2023'!$J$4:$J$582,X$1)</f>
        <v>0</v>
      </c>
      <c r="Y30" s="207">
        <f>SUMIFS('март 2023'!$G$4:$G$582,'март 2023'!$D$4:$D$582,$B30,'март 2023'!$J$4:$J$582,Y$1)</f>
        <v>0</v>
      </c>
      <c r="Z30" s="207">
        <f>SUMIFS('март 2023'!$G$4:$G$582,'март 2023'!$D$4:$D$582,$B30,'март 2023'!$J$4:$J$582,Z$1)</f>
        <v>0</v>
      </c>
      <c r="AA30" s="207">
        <f>SUMIFS('март 2023'!$G$4:$G$582,'март 2023'!$D$4:$D$582,$B30,'март 2023'!$J$4:$J$582,AA$1)</f>
        <v>0</v>
      </c>
      <c r="AB30" s="207">
        <f>SUMIFS('март 2023'!$G$4:$G$582,'март 2023'!$D$4:$D$582,$B30,'март 2023'!$J$4:$J$582,AB$1)</f>
        <v>0</v>
      </c>
      <c r="AC30" s="207">
        <f>SUMIFS('март 2023'!$G$4:$G$582,'март 2023'!$D$4:$D$582,$B30,'март 2023'!$J$4:$J$582,AC$1)</f>
        <v>0</v>
      </c>
      <c r="AD30" s="207">
        <f>SUMIFS('март 2023'!$G$4:$G$582,'март 2023'!$D$4:$D$582,$B30,'март 2023'!$J$4:$J$582,AD$1)</f>
        <v>0</v>
      </c>
      <c r="AE30" s="207">
        <f>SUMIFS('март 2023'!$G$4:$G$582,'март 2023'!$D$4:$D$582,$B30,'март 2023'!$J$4:$J$582,AE$1)</f>
        <v>0</v>
      </c>
      <c r="AF30" s="207">
        <f>SUMIFS('март 2023'!$G$4:$G$582,'март 2023'!$D$4:$D$582,$B30,'март 2023'!$J$4:$J$582,AF$1)</f>
        <v>0</v>
      </c>
      <c r="AG30" s="207">
        <f>SUMIFS('март 2023'!$G$4:$G$582,'март 2023'!$D$4:$D$582,$B30,'март 2023'!$J$4:$J$582,AG$1)</f>
        <v>0</v>
      </c>
      <c r="AH30" s="207">
        <f>SUMIFS('март 2023'!$G$4:$G$582,'март 2023'!$D$4:$D$582,$B30,'март 2023'!$J$4:$J$582,AH$1)</f>
        <v>0</v>
      </c>
      <c r="AI30" s="170">
        <f t="shared" si="1"/>
        <v>0</v>
      </c>
    </row>
    <row r="31" spans="2:35" ht="15" customHeight="1" x14ac:dyDescent="0.25">
      <c r="B31" s="208" t="s">
        <v>1392</v>
      </c>
      <c r="C31" s="206">
        <v>25</v>
      </c>
      <c r="D31" s="207">
        <f>SUMIFS('март 2023'!$G$4:$G$582,'март 2023'!$D$4:$D$582,$B31,'март 2023'!$J$4:$J$582,D$1)</f>
        <v>0</v>
      </c>
      <c r="E31" s="207">
        <f>SUMIFS('март 2023'!$G$4:$G$582,'март 2023'!$D$4:$D$582,$B31,'март 2023'!$J$4:$J$582,E$1)</f>
        <v>0</v>
      </c>
      <c r="F31" s="207">
        <f>SUMIFS('март 2023'!$G$4:$G$582,'март 2023'!$D$4:$D$582,$B31,'март 2023'!$J$4:$J$582,F$1)</f>
        <v>0</v>
      </c>
      <c r="G31" s="207">
        <f>SUMIFS('март 2023'!$G$4:$G$582,'март 2023'!$D$4:$D$582,$B31,'март 2023'!$J$4:$J$582,G$1)</f>
        <v>0</v>
      </c>
      <c r="H31" s="207">
        <f>SUMIFS('март 2023'!$G$4:$G$582,'март 2023'!$D$4:$D$582,$B31,'март 2023'!$J$4:$J$582,H$1)</f>
        <v>0</v>
      </c>
      <c r="I31" s="207">
        <f>SUMIFS('март 2023'!$G$4:$G$582,'март 2023'!$D$4:$D$582,$B31,'март 2023'!$J$4:$J$582,I$1)</f>
        <v>0</v>
      </c>
      <c r="J31" s="207">
        <f>SUMIFS('март 2023'!$G$4:$G$582,'март 2023'!$D$4:$D$582,$B31,'март 2023'!$J$4:$J$582,J$1)</f>
        <v>0</v>
      </c>
      <c r="K31" s="207">
        <f>SUMIFS('март 2023'!$G$4:$G$582,'март 2023'!$D$4:$D$582,$B31,'март 2023'!$J$4:$J$582,K$1)</f>
        <v>0</v>
      </c>
      <c r="L31" s="207">
        <f>SUMIFS('март 2023'!$G$4:$G$582,'март 2023'!$D$4:$D$582,$B31,'март 2023'!$J$4:$J$582,L$1)</f>
        <v>0</v>
      </c>
      <c r="M31" s="207">
        <f>SUMIFS('март 2023'!$G$4:$G$582,'март 2023'!$D$4:$D$582,$B31,'март 2023'!$J$4:$J$582,M$1)</f>
        <v>0</v>
      </c>
      <c r="N31" s="207">
        <f>SUMIFS('март 2023'!$G$4:$G$582,'март 2023'!$D$4:$D$582,$B31,'март 2023'!$J$4:$J$582,N$1)</f>
        <v>0</v>
      </c>
      <c r="O31" s="207">
        <f>SUMIFS('март 2023'!$G$4:$G$582,'март 2023'!$D$4:$D$582,$B31,'март 2023'!$J$4:$J$582,O$1)</f>
        <v>0</v>
      </c>
      <c r="P31" s="207">
        <f>SUMIFS('март 2023'!$G$4:$G$582,'март 2023'!$D$4:$D$582,$B31,'март 2023'!$J$4:$J$582,P$1)</f>
        <v>0</v>
      </c>
      <c r="Q31" s="207">
        <f>SUMIFS('март 2023'!$G$4:$G$582,'март 2023'!$D$4:$D$582,$B31,'март 2023'!$J$4:$J$582,Q$1)</f>
        <v>0</v>
      </c>
      <c r="R31" s="207">
        <f>SUMIFS('март 2023'!$G$4:$G$582,'март 2023'!$D$4:$D$582,$B31,'март 2023'!$J$4:$J$582,R$1)</f>
        <v>0</v>
      </c>
      <c r="S31" s="207">
        <f>SUMIFS('март 2023'!$G$4:$G$582,'март 2023'!$D$4:$D$582,$B31,'март 2023'!$J$4:$J$582,S$1)</f>
        <v>0</v>
      </c>
      <c r="T31" s="207">
        <f>SUMIFS('март 2023'!$G$4:$G$582,'март 2023'!$D$4:$D$582,$B31,'март 2023'!$J$4:$J$582,T$1)</f>
        <v>0</v>
      </c>
      <c r="U31" s="207">
        <f>SUMIFS('март 2023'!$G$4:$G$582,'март 2023'!$D$4:$D$582,$B31,'март 2023'!$J$4:$J$582,U$1)</f>
        <v>0</v>
      </c>
      <c r="V31" s="207">
        <f>SUMIFS('март 2023'!$G$4:$G$582,'март 2023'!$D$4:$D$582,$B31,'март 2023'!$J$4:$J$582,V$1)</f>
        <v>0</v>
      </c>
      <c r="W31" s="207">
        <f>SUMIFS('март 2023'!$G$4:$G$582,'март 2023'!$D$4:$D$582,$B31,'март 2023'!$J$4:$J$582,W$1)</f>
        <v>0</v>
      </c>
      <c r="X31" s="207">
        <f>SUMIFS('март 2023'!$G$4:$G$582,'март 2023'!$D$4:$D$582,$B31,'март 2023'!$J$4:$J$582,X$1)</f>
        <v>0</v>
      </c>
      <c r="Y31" s="207">
        <f>SUMIFS('март 2023'!$G$4:$G$582,'март 2023'!$D$4:$D$582,$B31,'март 2023'!$J$4:$J$582,Y$1)</f>
        <v>0</v>
      </c>
      <c r="Z31" s="207">
        <f>SUMIFS('март 2023'!$G$4:$G$582,'март 2023'!$D$4:$D$582,$B31,'март 2023'!$J$4:$J$582,Z$1)</f>
        <v>0</v>
      </c>
      <c r="AA31" s="207">
        <f>SUMIFS('март 2023'!$G$4:$G$582,'март 2023'!$D$4:$D$582,$B31,'март 2023'!$J$4:$J$582,AA$1)</f>
        <v>0</v>
      </c>
      <c r="AB31" s="207">
        <f>SUMIFS('март 2023'!$G$4:$G$582,'март 2023'!$D$4:$D$582,$B31,'март 2023'!$J$4:$J$582,AB$1)</f>
        <v>0</v>
      </c>
      <c r="AC31" s="207">
        <f>SUMIFS('март 2023'!$G$4:$G$582,'март 2023'!$D$4:$D$582,$B31,'март 2023'!$J$4:$J$582,AC$1)</f>
        <v>0</v>
      </c>
      <c r="AD31" s="207">
        <f>SUMIFS('март 2023'!$G$4:$G$582,'март 2023'!$D$4:$D$582,$B31,'март 2023'!$J$4:$J$582,AD$1)</f>
        <v>0</v>
      </c>
      <c r="AE31" s="207">
        <f>SUMIFS('март 2023'!$G$4:$G$582,'март 2023'!$D$4:$D$582,$B31,'март 2023'!$J$4:$J$582,AE$1)</f>
        <v>0</v>
      </c>
      <c r="AF31" s="207">
        <f>SUMIFS('март 2023'!$G$4:$G$582,'март 2023'!$D$4:$D$582,$B31,'март 2023'!$J$4:$J$582,AF$1)</f>
        <v>0</v>
      </c>
      <c r="AG31" s="207">
        <f>SUMIFS('март 2023'!$G$4:$G$582,'март 2023'!$D$4:$D$582,$B31,'март 2023'!$J$4:$J$582,AG$1)</f>
        <v>0</v>
      </c>
      <c r="AH31" s="207">
        <f>SUMIFS('март 2023'!$G$4:$G$582,'март 2023'!$D$4:$D$582,$B31,'март 2023'!$J$4:$J$582,AH$1)</f>
        <v>0</v>
      </c>
      <c r="AI31" s="170">
        <f t="shared" si="1"/>
        <v>0</v>
      </c>
    </row>
    <row r="32" spans="2:35" ht="15" customHeight="1" x14ac:dyDescent="0.25">
      <c r="B32" s="209"/>
      <c r="C32" s="206"/>
      <c r="D32" s="207">
        <f>SUMIFS('март 2023'!$G$4:$G$582,'март 2023'!$D$4:$D$582,$B32,'март 2023'!$J$4:$J$582,D$1)</f>
        <v>0</v>
      </c>
      <c r="E32" s="207">
        <f>SUMIFS('март 2023'!$G$4:$G$582,'март 2023'!$D$4:$D$582,$B32,'март 2023'!$J$4:$J$582,E$1)</f>
        <v>0</v>
      </c>
      <c r="F32" s="207">
        <f>SUMIFS('март 2023'!$G$4:$G$582,'март 2023'!$D$4:$D$582,$B32,'март 2023'!$J$4:$J$582,F$1)</f>
        <v>0</v>
      </c>
      <c r="G32" s="207">
        <f>SUMIFS('март 2023'!$G$4:$G$582,'март 2023'!$D$4:$D$582,$B32,'март 2023'!$J$4:$J$582,G$1)</f>
        <v>0</v>
      </c>
      <c r="H32" s="207">
        <f>SUMIFS('март 2023'!$G$4:$G$582,'март 2023'!$D$4:$D$582,$B32,'март 2023'!$J$4:$J$582,H$1)</f>
        <v>0</v>
      </c>
      <c r="I32" s="207">
        <f>SUMIFS('март 2023'!$G$4:$G$582,'март 2023'!$D$4:$D$582,$B32,'март 2023'!$J$4:$J$582,I$1)</f>
        <v>0</v>
      </c>
      <c r="J32" s="207">
        <f>SUMIFS('март 2023'!$G$4:$G$582,'март 2023'!$D$4:$D$582,$B32,'март 2023'!$J$4:$J$582,J$1)</f>
        <v>0</v>
      </c>
      <c r="K32" s="207">
        <f>SUMIFS('март 2023'!$G$4:$G$582,'март 2023'!$D$4:$D$582,$B32,'март 2023'!$J$4:$J$582,K$1)</f>
        <v>0</v>
      </c>
      <c r="L32" s="207">
        <f>SUMIFS('март 2023'!$G$4:$G$582,'март 2023'!$D$4:$D$582,$B32,'март 2023'!$J$4:$J$582,L$1)</f>
        <v>0</v>
      </c>
      <c r="M32" s="207">
        <f>SUMIFS('март 2023'!$G$4:$G$582,'март 2023'!$D$4:$D$582,$B32,'март 2023'!$J$4:$J$582,M$1)</f>
        <v>0</v>
      </c>
      <c r="N32" s="207">
        <f>SUMIFS('март 2023'!$G$4:$G$582,'март 2023'!$D$4:$D$582,$B32,'март 2023'!$J$4:$J$582,N$1)</f>
        <v>0</v>
      </c>
      <c r="O32" s="207">
        <f>SUMIFS('март 2023'!$G$4:$G$582,'март 2023'!$D$4:$D$582,$B32,'март 2023'!$J$4:$J$582,O$1)</f>
        <v>0</v>
      </c>
      <c r="P32" s="207">
        <f>SUMIFS('март 2023'!$G$4:$G$582,'март 2023'!$D$4:$D$582,$B32,'март 2023'!$J$4:$J$582,P$1)</f>
        <v>0</v>
      </c>
      <c r="Q32" s="207">
        <f>SUMIFS('март 2023'!$G$4:$G$582,'март 2023'!$D$4:$D$582,$B32,'март 2023'!$J$4:$J$582,Q$1)</f>
        <v>0</v>
      </c>
      <c r="R32" s="207">
        <f>SUMIFS('март 2023'!$G$4:$G$582,'март 2023'!$D$4:$D$582,$B32,'март 2023'!$J$4:$J$582,R$1)</f>
        <v>0</v>
      </c>
      <c r="S32" s="207">
        <f>SUMIFS('март 2023'!$G$4:$G$582,'март 2023'!$D$4:$D$582,$B32,'март 2023'!$J$4:$J$582,S$1)</f>
        <v>0</v>
      </c>
      <c r="T32" s="207">
        <f>SUMIFS('март 2023'!$G$4:$G$582,'март 2023'!$D$4:$D$582,$B32,'март 2023'!$J$4:$J$582,T$1)</f>
        <v>0</v>
      </c>
      <c r="U32" s="207">
        <f>SUMIFS('март 2023'!$G$4:$G$582,'март 2023'!$D$4:$D$582,$B32,'март 2023'!$J$4:$J$582,U$1)</f>
        <v>0</v>
      </c>
      <c r="V32" s="207">
        <f>SUMIFS('март 2023'!$G$4:$G$582,'март 2023'!$D$4:$D$582,$B32,'март 2023'!$J$4:$J$582,V$1)</f>
        <v>0</v>
      </c>
      <c r="W32" s="207">
        <f>SUMIFS('март 2023'!$G$4:$G$582,'март 2023'!$D$4:$D$582,$B32,'март 2023'!$J$4:$J$582,W$1)</f>
        <v>0</v>
      </c>
      <c r="X32" s="207">
        <f>SUMIFS('март 2023'!$G$4:$G$582,'март 2023'!$D$4:$D$582,$B32,'март 2023'!$J$4:$J$582,X$1)</f>
        <v>0</v>
      </c>
      <c r="Y32" s="207">
        <f>SUMIFS('март 2023'!$G$4:$G$582,'март 2023'!$D$4:$D$582,$B32,'март 2023'!$J$4:$J$582,Y$1)</f>
        <v>0</v>
      </c>
      <c r="Z32" s="207">
        <f>SUMIFS('март 2023'!$G$4:$G$582,'март 2023'!$D$4:$D$582,$B32,'март 2023'!$J$4:$J$582,Z$1)</f>
        <v>0</v>
      </c>
      <c r="AA32" s="207">
        <f>SUMIFS('март 2023'!$G$4:$G$582,'март 2023'!$D$4:$D$582,$B32,'март 2023'!$J$4:$J$582,AA$1)</f>
        <v>0</v>
      </c>
      <c r="AB32" s="207">
        <f>SUMIFS('март 2023'!$G$4:$G$582,'март 2023'!$D$4:$D$582,$B32,'март 2023'!$J$4:$J$582,AB$1)</f>
        <v>0</v>
      </c>
      <c r="AC32" s="207">
        <f>SUMIFS('март 2023'!$G$4:$G$582,'март 2023'!$D$4:$D$582,$B32,'март 2023'!$J$4:$J$582,AC$1)</f>
        <v>0</v>
      </c>
      <c r="AD32" s="207">
        <f>SUMIFS('март 2023'!$G$4:$G$582,'март 2023'!$D$4:$D$582,$B32,'март 2023'!$J$4:$J$582,AD$1)</f>
        <v>0</v>
      </c>
      <c r="AE32" s="207">
        <f>SUMIFS('март 2023'!$G$4:$G$582,'март 2023'!$D$4:$D$582,$B32,'март 2023'!$J$4:$J$582,AE$1)</f>
        <v>0</v>
      </c>
      <c r="AF32" s="207">
        <f>SUMIFS('март 2023'!$G$4:$G$582,'март 2023'!$D$4:$D$582,$B32,'март 2023'!$J$4:$J$582,AF$1)</f>
        <v>0</v>
      </c>
      <c r="AG32" s="207">
        <f>SUMIFS('март 2023'!$G$4:$G$582,'март 2023'!$D$4:$D$582,$B32,'март 2023'!$J$4:$J$582,AG$1)</f>
        <v>0</v>
      </c>
      <c r="AH32" s="207">
        <f>SUMIFS('март 2023'!$G$4:$G$582,'март 2023'!$D$4:$D$582,$B32,'март 2023'!$J$4:$J$582,AH$1)</f>
        <v>0</v>
      </c>
      <c r="AI32" s="170">
        <f t="shared" si="1"/>
        <v>0</v>
      </c>
    </row>
    <row r="33" spans="2:35" ht="15" customHeight="1" x14ac:dyDescent="0.25">
      <c r="B33" s="210" t="s">
        <v>1344</v>
      </c>
      <c r="C33" s="211">
        <v>25</v>
      </c>
      <c r="D33" s="207">
        <f>SUMIFS('март 2023'!$G$4:$G$582,'март 2023'!$D$4:$D$582,$B33,'март 2023'!$J$4:$J$582,D$1)</f>
        <v>0</v>
      </c>
      <c r="E33" s="207">
        <f>SUMIFS('март 2023'!$G$4:$G$582,'март 2023'!$D$4:$D$582,$B33,'март 2023'!$J$4:$J$582,E$1)</f>
        <v>0</v>
      </c>
      <c r="F33" s="207">
        <f>SUMIFS('март 2023'!$G$4:$G$582,'март 2023'!$D$4:$D$582,$B33,'март 2023'!$J$4:$J$582,F$1)</f>
        <v>0</v>
      </c>
      <c r="G33" s="207">
        <f>SUMIFS('март 2023'!$G$4:$G$582,'март 2023'!$D$4:$D$582,$B33,'март 2023'!$J$4:$J$582,G$1)</f>
        <v>0</v>
      </c>
      <c r="H33" s="207">
        <f>SUMIFS('март 2023'!$G$4:$G$582,'март 2023'!$D$4:$D$582,$B33,'март 2023'!$J$4:$J$582,H$1)</f>
        <v>0</v>
      </c>
      <c r="I33" s="207">
        <f>SUMIFS('март 2023'!$G$4:$G$582,'март 2023'!$D$4:$D$582,$B33,'март 2023'!$J$4:$J$582,I$1)</f>
        <v>0</v>
      </c>
      <c r="J33" s="207">
        <f>SUMIFS('март 2023'!$G$4:$G$582,'март 2023'!$D$4:$D$582,$B33,'март 2023'!$J$4:$J$582,J$1)</f>
        <v>0</v>
      </c>
      <c r="K33" s="207">
        <f>SUMIFS('март 2023'!$G$4:$G$582,'март 2023'!$D$4:$D$582,$B33,'март 2023'!$J$4:$J$582,K$1)</f>
        <v>0</v>
      </c>
      <c r="L33" s="207">
        <f>SUMIFS('март 2023'!$G$4:$G$582,'март 2023'!$D$4:$D$582,$B33,'март 2023'!$J$4:$J$582,L$1)</f>
        <v>0</v>
      </c>
      <c r="M33" s="207">
        <f>SUMIFS('март 2023'!$G$4:$G$582,'март 2023'!$D$4:$D$582,$B33,'март 2023'!$J$4:$J$582,M$1)</f>
        <v>0</v>
      </c>
      <c r="N33" s="207">
        <f>SUMIFS('март 2023'!$G$4:$G$582,'март 2023'!$D$4:$D$582,$B33,'март 2023'!$J$4:$J$582,N$1)</f>
        <v>0</v>
      </c>
      <c r="O33" s="207">
        <f>SUMIFS('март 2023'!$G$4:$G$582,'март 2023'!$D$4:$D$582,$B33,'март 2023'!$J$4:$J$582,O$1)</f>
        <v>0</v>
      </c>
      <c r="P33" s="207">
        <f>SUMIFS('март 2023'!$G$4:$G$582,'март 2023'!$D$4:$D$582,$B33,'март 2023'!$J$4:$J$582,P$1)</f>
        <v>0</v>
      </c>
      <c r="Q33" s="207">
        <f>SUMIFS('март 2023'!$G$4:$G$582,'март 2023'!$D$4:$D$582,$B33,'март 2023'!$J$4:$J$582,Q$1)</f>
        <v>0</v>
      </c>
      <c r="R33" s="207">
        <f>SUMIFS('март 2023'!$G$4:$G$582,'март 2023'!$D$4:$D$582,$B33,'март 2023'!$J$4:$J$582,R$1)</f>
        <v>0</v>
      </c>
      <c r="S33" s="207">
        <f>SUMIFS('март 2023'!$G$4:$G$582,'март 2023'!$D$4:$D$582,$B33,'март 2023'!$J$4:$J$582,S$1)</f>
        <v>0</v>
      </c>
      <c r="T33" s="207">
        <f>SUMIFS('март 2023'!$G$4:$G$582,'март 2023'!$D$4:$D$582,$B33,'март 2023'!$J$4:$J$582,T$1)</f>
        <v>0</v>
      </c>
      <c r="U33" s="207">
        <f>SUMIFS('март 2023'!$G$4:$G$582,'март 2023'!$D$4:$D$582,$B33,'март 2023'!$J$4:$J$582,U$1)</f>
        <v>0</v>
      </c>
      <c r="V33" s="207">
        <f>SUMIFS('март 2023'!$G$4:$G$582,'март 2023'!$D$4:$D$582,$B33,'март 2023'!$J$4:$J$582,V$1)</f>
        <v>0</v>
      </c>
      <c r="W33" s="207">
        <f>SUMIFS('март 2023'!$G$4:$G$582,'март 2023'!$D$4:$D$582,$B33,'март 2023'!$J$4:$J$582,W$1)</f>
        <v>0</v>
      </c>
      <c r="X33" s="207">
        <f>SUMIFS('март 2023'!$G$4:$G$582,'март 2023'!$D$4:$D$582,$B33,'март 2023'!$J$4:$J$582,X$1)</f>
        <v>0</v>
      </c>
      <c r="Y33" s="207">
        <f>SUMIFS('март 2023'!$G$4:$G$582,'март 2023'!$D$4:$D$582,$B33,'март 2023'!$J$4:$J$582,Y$1)</f>
        <v>0</v>
      </c>
      <c r="Z33" s="207">
        <f>SUMIFS('март 2023'!$G$4:$G$582,'март 2023'!$D$4:$D$582,$B33,'март 2023'!$J$4:$J$582,Z$1)</f>
        <v>0</v>
      </c>
      <c r="AA33" s="207">
        <f>SUMIFS('март 2023'!$G$4:$G$582,'март 2023'!$D$4:$D$582,$B33,'март 2023'!$J$4:$J$582,AA$1)</f>
        <v>0</v>
      </c>
      <c r="AB33" s="207">
        <f>SUMIFS('март 2023'!$G$4:$G$582,'март 2023'!$D$4:$D$582,$B33,'март 2023'!$J$4:$J$582,AB$1)</f>
        <v>0</v>
      </c>
      <c r="AC33" s="207">
        <f>SUMIFS('март 2023'!$G$4:$G$582,'март 2023'!$D$4:$D$582,$B33,'март 2023'!$J$4:$J$582,AC$1)</f>
        <v>0</v>
      </c>
      <c r="AD33" s="207">
        <f>SUMIFS('март 2023'!$G$4:$G$582,'март 2023'!$D$4:$D$582,$B33,'март 2023'!$J$4:$J$582,AD$1)</f>
        <v>0</v>
      </c>
      <c r="AE33" s="207">
        <f>SUMIFS('март 2023'!$G$4:$G$582,'март 2023'!$D$4:$D$582,$B33,'март 2023'!$J$4:$J$582,AE$1)</f>
        <v>0</v>
      </c>
      <c r="AF33" s="207">
        <f>SUMIFS('март 2023'!$G$4:$G$582,'март 2023'!$D$4:$D$582,$B33,'март 2023'!$J$4:$J$582,AF$1)</f>
        <v>0</v>
      </c>
      <c r="AG33" s="207">
        <f>SUMIFS('март 2023'!$G$4:$G$582,'март 2023'!$D$4:$D$582,$B33,'март 2023'!$J$4:$J$582,AG$1)</f>
        <v>0</v>
      </c>
      <c r="AH33" s="207">
        <f>SUMIFS('март 2023'!$G$4:$G$582,'март 2023'!$D$4:$D$582,$B33,'март 2023'!$J$4:$J$582,AH$1)</f>
        <v>0</v>
      </c>
      <c r="AI33" s="170">
        <f t="shared" si="1"/>
        <v>0</v>
      </c>
    </row>
    <row r="34" spans="2:35" ht="15" customHeight="1" x14ac:dyDescent="0.25">
      <c r="B34" s="212" t="s">
        <v>754</v>
      </c>
      <c r="C34" s="213">
        <v>20</v>
      </c>
      <c r="D34" s="207">
        <f>SUMIFS('март 2023'!$G$4:$G$582,'март 2023'!$D$4:$D$582,$B34,'март 2023'!$J$4:$J$582,D$1)</f>
        <v>0</v>
      </c>
      <c r="E34" s="207">
        <f>SUMIFS('март 2023'!$G$4:$G$582,'март 2023'!$D$4:$D$582,$B34,'март 2023'!$J$4:$J$582,E$1)</f>
        <v>0</v>
      </c>
      <c r="F34" s="207">
        <f>SUMIFS('март 2023'!$G$4:$G$582,'март 2023'!$D$4:$D$582,$B34,'март 2023'!$J$4:$J$582,F$1)</f>
        <v>0</v>
      </c>
      <c r="G34" s="207">
        <f>SUMIFS('март 2023'!$G$4:$G$582,'март 2023'!$D$4:$D$582,$B34,'март 2023'!$J$4:$J$582,G$1)</f>
        <v>0</v>
      </c>
      <c r="H34" s="207">
        <f>SUMIFS('март 2023'!$G$4:$G$582,'март 2023'!$D$4:$D$582,$B34,'март 2023'!$J$4:$J$582,H$1)</f>
        <v>0</v>
      </c>
      <c r="I34" s="207">
        <f>SUMIFS('март 2023'!$G$4:$G$582,'март 2023'!$D$4:$D$582,$B34,'март 2023'!$J$4:$J$582,I$1)</f>
        <v>0</v>
      </c>
      <c r="J34" s="207">
        <f>SUMIFS('март 2023'!$G$4:$G$582,'март 2023'!$D$4:$D$582,$B34,'март 2023'!$J$4:$J$582,J$1)</f>
        <v>0</v>
      </c>
      <c r="K34" s="207">
        <f>SUMIFS('март 2023'!$G$4:$G$582,'март 2023'!$D$4:$D$582,$B34,'март 2023'!$J$4:$J$582,K$1)</f>
        <v>0</v>
      </c>
      <c r="L34" s="207">
        <f>SUMIFS('март 2023'!$G$4:$G$582,'март 2023'!$D$4:$D$582,$B34,'март 2023'!$J$4:$J$582,L$1)</f>
        <v>0</v>
      </c>
      <c r="M34" s="207">
        <f>SUMIFS('март 2023'!$G$4:$G$582,'март 2023'!$D$4:$D$582,$B34,'март 2023'!$J$4:$J$582,M$1)</f>
        <v>0</v>
      </c>
      <c r="N34" s="207">
        <f>SUMIFS('март 2023'!$G$4:$G$582,'март 2023'!$D$4:$D$582,$B34,'март 2023'!$J$4:$J$582,N$1)</f>
        <v>0</v>
      </c>
      <c r="O34" s="207">
        <f>SUMIFS('март 2023'!$G$4:$G$582,'март 2023'!$D$4:$D$582,$B34,'март 2023'!$J$4:$J$582,O$1)</f>
        <v>0</v>
      </c>
      <c r="P34" s="207">
        <f>SUMIFS('март 2023'!$G$4:$G$582,'март 2023'!$D$4:$D$582,$B34,'март 2023'!$J$4:$J$582,P$1)</f>
        <v>0</v>
      </c>
      <c r="Q34" s="207">
        <f>SUMIFS('март 2023'!$G$4:$G$582,'март 2023'!$D$4:$D$582,$B34,'март 2023'!$J$4:$J$582,Q$1)</f>
        <v>0</v>
      </c>
      <c r="R34" s="207">
        <f>SUMIFS('март 2023'!$G$4:$G$582,'март 2023'!$D$4:$D$582,$B34,'март 2023'!$J$4:$J$582,R$1)</f>
        <v>0</v>
      </c>
      <c r="S34" s="207">
        <f>SUMIFS('март 2023'!$G$4:$G$582,'март 2023'!$D$4:$D$582,$B34,'март 2023'!$J$4:$J$582,S$1)</f>
        <v>0</v>
      </c>
      <c r="T34" s="207">
        <f>SUMIFS('март 2023'!$G$4:$G$582,'март 2023'!$D$4:$D$582,$B34,'март 2023'!$J$4:$J$582,T$1)</f>
        <v>0</v>
      </c>
      <c r="U34" s="207">
        <f>SUMIFS('март 2023'!$G$4:$G$582,'март 2023'!$D$4:$D$582,$B34,'март 2023'!$J$4:$J$582,U$1)</f>
        <v>0</v>
      </c>
      <c r="V34" s="207">
        <f>SUMIFS('март 2023'!$G$4:$G$582,'март 2023'!$D$4:$D$582,$B34,'март 2023'!$J$4:$J$582,V$1)</f>
        <v>0</v>
      </c>
      <c r="W34" s="207">
        <f>SUMIFS('март 2023'!$G$4:$G$582,'март 2023'!$D$4:$D$582,$B34,'март 2023'!$J$4:$J$582,W$1)</f>
        <v>0</v>
      </c>
      <c r="X34" s="207">
        <f>SUMIFS('март 2023'!$G$4:$G$582,'март 2023'!$D$4:$D$582,$B34,'март 2023'!$J$4:$J$582,X$1)</f>
        <v>0</v>
      </c>
      <c r="Y34" s="207">
        <f>SUMIFS('март 2023'!$G$4:$G$582,'март 2023'!$D$4:$D$582,$B34,'март 2023'!$J$4:$J$582,Y$1)</f>
        <v>0</v>
      </c>
      <c r="Z34" s="207">
        <f>SUMIFS('март 2023'!$G$4:$G$582,'март 2023'!$D$4:$D$582,$B34,'март 2023'!$J$4:$J$582,Z$1)</f>
        <v>0</v>
      </c>
      <c r="AA34" s="207">
        <f>SUMIFS('март 2023'!$G$4:$G$582,'март 2023'!$D$4:$D$582,$B34,'март 2023'!$J$4:$J$582,AA$1)</f>
        <v>0</v>
      </c>
      <c r="AB34" s="207">
        <f>SUMIFS('март 2023'!$G$4:$G$582,'март 2023'!$D$4:$D$582,$B34,'март 2023'!$J$4:$J$582,AB$1)</f>
        <v>0</v>
      </c>
      <c r="AC34" s="207">
        <f>SUMIFS('март 2023'!$G$4:$G$582,'март 2023'!$D$4:$D$582,$B34,'март 2023'!$J$4:$J$582,AC$1)</f>
        <v>0</v>
      </c>
      <c r="AD34" s="207">
        <f>SUMIFS('март 2023'!$G$4:$G$582,'март 2023'!$D$4:$D$582,$B34,'март 2023'!$J$4:$J$582,AD$1)</f>
        <v>0</v>
      </c>
      <c r="AE34" s="207">
        <f>SUMIFS('март 2023'!$G$4:$G$582,'март 2023'!$D$4:$D$582,$B34,'март 2023'!$J$4:$J$582,AE$1)</f>
        <v>0</v>
      </c>
      <c r="AF34" s="207">
        <f>SUMIFS('март 2023'!$G$4:$G$582,'март 2023'!$D$4:$D$582,$B34,'март 2023'!$J$4:$J$582,AF$1)</f>
        <v>1000</v>
      </c>
      <c r="AG34" s="207">
        <f>SUMIFS('март 2023'!$G$4:$G$582,'март 2023'!$D$4:$D$582,$B34,'март 2023'!$J$4:$J$582,AG$1)</f>
        <v>0</v>
      </c>
      <c r="AH34" s="207">
        <f>SUMIFS('март 2023'!$G$4:$G$582,'март 2023'!$D$4:$D$582,$B34,'март 2023'!$J$4:$J$582,AH$1)</f>
        <v>0</v>
      </c>
      <c r="AI34" s="170">
        <f t="shared" si="1"/>
        <v>1000</v>
      </c>
    </row>
    <row r="35" spans="2:35" ht="15" customHeight="1" x14ac:dyDescent="0.25">
      <c r="B35" s="212" t="s">
        <v>1256</v>
      </c>
      <c r="C35" s="214">
        <v>22.68</v>
      </c>
      <c r="D35" s="207">
        <f>SUMIFS('март 2023'!$G$4:$G$582,'март 2023'!$D$4:$D$582,$B35,'март 2023'!$J$4:$J$582,D$1)</f>
        <v>0</v>
      </c>
      <c r="E35" s="207">
        <f>SUMIFS('март 2023'!$G$4:$G$582,'март 2023'!$D$4:$D$582,$B35,'март 2023'!$J$4:$J$582,E$1)</f>
        <v>0</v>
      </c>
      <c r="F35" s="207">
        <f>SUMIFS('март 2023'!$G$4:$G$582,'март 2023'!$D$4:$D$582,$B35,'март 2023'!$J$4:$J$582,F$1)</f>
        <v>0</v>
      </c>
      <c r="G35" s="207">
        <f>SUMIFS('март 2023'!$G$4:$G$582,'март 2023'!$D$4:$D$582,$B35,'март 2023'!$J$4:$J$582,G$1)</f>
        <v>0</v>
      </c>
      <c r="H35" s="207">
        <f>SUMIFS('март 2023'!$G$4:$G$582,'март 2023'!$D$4:$D$582,$B35,'март 2023'!$J$4:$J$582,H$1)</f>
        <v>0</v>
      </c>
      <c r="I35" s="207">
        <f>SUMIFS('март 2023'!$G$4:$G$582,'март 2023'!$D$4:$D$582,$B35,'март 2023'!$J$4:$J$582,I$1)</f>
        <v>0</v>
      </c>
      <c r="J35" s="207">
        <f>SUMIFS('март 2023'!$G$4:$G$582,'март 2023'!$D$4:$D$582,$B35,'март 2023'!$J$4:$J$582,J$1)</f>
        <v>0</v>
      </c>
      <c r="K35" s="207">
        <f>SUMIFS('март 2023'!$G$4:$G$582,'март 2023'!$D$4:$D$582,$B35,'март 2023'!$J$4:$J$582,K$1)</f>
        <v>0</v>
      </c>
      <c r="L35" s="207">
        <f>SUMIFS('март 2023'!$G$4:$G$582,'март 2023'!$D$4:$D$582,$B35,'март 2023'!$J$4:$J$582,L$1)</f>
        <v>0</v>
      </c>
      <c r="M35" s="207">
        <f>SUMIFS('март 2023'!$G$4:$G$582,'март 2023'!$D$4:$D$582,$B35,'март 2023'!$J$4:$J$582,M$1)</f>
        <v>0</v>
      </c>
      <c r="N35" s="207">
        <f>SUMIFS('март 2023'!$G$4:$G$582,'март 2023'!$D$4:$D$582,$B35,'март 2023'!$J$4:$J$582,N$1)</f>
        <v>0</v>
      </c>
      <c r="O35" s="207">
        <f>SUMIFS('март 2023'!$G$4:$G$582,'март 2023'!$D$4:$D$582,$B35,'март 2023'!$J$4:$J$582,O$1)</f>
        <v>0</v>
      </c>
      <c r="P35" s="207">
        <f>SUMIFS('март 2023'!$G$4:$G$582,'март 2023'!$D$4:$D$582,$B35,'март 2023'!$J$4:$J$582,P$1)</f>
        <v>0</v>
      </c>
      <c r="Q35" s="207">
        <f>SUMIFS('март 2023'!$G$4:$G$582,'март 2023'!$D$4:$D$582,$B35,'март 2023'!$J$4:$J$582,Q$1)</f>
        <v>0</v>
      </c>
      <c r="R35" s="207">
        <f>SUMIFS('март 2023'!$G$4:$G$582,'март 2023'!$D$4:$D$582,$B35,'март 2023'!$J$4:$J$582,R$1)</f>
        <v>0</v>
      </c>
      <c r="S35" s="207">
        <f>SUMIFS('март 2023'!$G$4:$G$582,'март 2023'!$D$4:$D$582,$B35,'март 2023'!$J$4:$J$582,S$1)</f>
        <v>0</v>
      </c>
      <c r="T35" s="207">
        <f>SUMIFS('март 2023'!$G$4:$G$582,'март 2023'!$D$4:$D$582,$B35,'март 2023'!$J$4:$J$582,T$1)</f>
        <v>0</v>
      </c>
      <c r="U35" s="207">
        <f>SUMIFS('март 2023'!$G$4:$G$582,'март 2023'!$D$4:$D$582,$B35,'март 2023'!$J$4:$J$582,U$1)</f>
        <v>0</v>
      </c>
      <c r="V35" s="207">
        <f>SUMIFS('март 2023'!$G$4:$G$582,'март 2023'!$D$4:$D$582,$B35,'март 2023'!$J$4:$J$582,V$1)</f>
        <v>0</v>
      </c>
      <c r="W35" s="207">
        <f>SUMIFS('март 2023'!$G$4:$G$582,'март 2023'!$D$4:$D$582,$B35,'март 2023'!$J$4:$J$582,W$1)</f>
        <v>0</v>
      </c>
      <c r="X35" s="207">
        <f>SUMIFS('март 2023'!$G$4:$G$582,'март 2023'!$D$4:$D$582,$B35,'март 2023'!$J$4:$J$582,X$1)</f>
        <v>0</v>
      </c>
      <c r="Y35" s="207">
        <f>SUMIFS('март 2023'!$G$4:$G$582,'март 2023'!$D$4:$D$582,$B35,'март 2023'!$J$4:$J$582,Y$1)</f>
        <v>0</v>
      </c>
      <c r="Z35" s="207">
        <f>SUMIFS('март 2023'!$G$4:$G$582,'март 2023'!$D$4:$D$582,$B35,'март 2023'!$J$4:$J$582,Z$1)</f>
        <v>0</v>
      </c>
      <c r="AA35" s="207">
        <f>SUMIFS('март 2023'!$G$4:$G$582,'март 2023'!$D$4:$D$582,$B35,'март 2023'!$J$4:$J$582,AA$1)</f>
        <v>0</v>
      </c>
      <c r="AB35" s="207">
        <f>SUMIFS('март 2023'!$G$4:$G$582,'март 2023'!$D$4:$D$582,$B35,'март 2023'!$J$4:$J$582,AB$1)</f>
        <v>0</v>
      </c>
      <c r="AC35" s="207">
        <f>SUMIFS('март 2023'!$G$4:$G$582,'март 2023'!$D$4:$D$582,$B35,'март 2023'!$J$4:$J$582,AC$1)</f>
        <v>0</v>
      </c>
      <c r="AD35" s="207">
        <f>SUMIFS('март 2023'!$G$4:$G$582,'март 2023'!$D$4:$D$582,$B35,'март 2023'!$J$4:$J$582,AD$1)</f>
        <v>0</v>
      </c>
      <c r="AE35" s="207">
        <f>SUMIFS('март 2023'!$G$4:$G$582,'март 2023'!$D$4:$D$582,$B35,'март 2023'!$J$4:$J$582,AE$1)</f>
        <v>0</v>
      </c>
      <c r="AF35" s="207">
        <f>SUMIFS('март 2023'!$G$4:$G$582,'март 2023'!$D$4:$D$582,$B35,'март 2023'!$J$4:$J$582,AF$1)</f>
        <v>0</v>
      </c>
      <c r="AG35" s="207">
        <f>SUMIFS('март 2023'!$G$4:$G$582,'март 2023'!$D$4:$D$582,$B35,'март 2023'!$J$4:$J$582,AG$1)</f>
        <v>0</v>
      </c>
      <c r="AH35" s="207">
        <f>SUMIFS('март 2023'!$G$4:$G$582,'март 2023'!$D$4:$D$582,$B35,'март 2023'!$J$4:$J$582,AH$1)</f>
        <v>0</v>
      </c>
      <c r="AI35" s="170">
        <f t="shared" si="1"/>
        <v>0</v>
      </c>
    </row>
    <row r="36" spans="2:35" ht="15" customHeight="1" x14ac:dyDescent="0.25">
      <c r="B36" s="212" t="s">
        <v>1088</v>
      </c>
      <c r="C36" s="215">
        <v>22.68</v>
      </c>
      <c r="D36" s="207">
        <f>SUMIFS('март 2023'!$G$4:$G$582,'март 2023'!$D$4:$D$582,$B36,'март 2023'!$J$4:$J$582,D$1)</f>
        <v>0</v>
      </c>
      <c r="E36" s="207">
        <f>SUMIFS('март 2023'!$G$4:$G$582,'март 2023'!$D$4:$D$582,$B36,'март 2023'!$J$4:$J$582,E$1)</f>
        <v>0</v>
      </c>
      <c r="F36" s="207">
        <f>SUMIFS('март 2023'!$G$4:$G$582,'март 2023'!$D$4:$D$582,$B36,'март 2023'!$J$4:$J$582,F$1)</f>
        <v>0</v>
      </c>
      <c r="G36" s="207">
        <f>SUMIFS('март 2023'!$G$4:$G$582,'март 2023'!$D$4:$D$582,$B36,'март 2023'!$J$4:$J$582,G$1)</f>
        <v>0</v>
      </c>
      <c r="H36" s="207">
        <f>SUMIFS('март 2023'!$G$4:$G$582,'март 2023'!$D$4:$D$582,$B36,'март 2023'!$J$4:$J$582,H$1)</f>
        <v>0</v>
      </c>
      <c r="I36" s="207">
        <f>SUMIFS('март 2023'!$G$4:$G$582,'март 2023'!$D$4:$D$582,$B36,'март 2023'!$J$4:$J$582,I$1)</f>
        <v>0</v>
      </c>
      <c r="J36" s="207">
        <f>SUMIFS('март 2023'!$G$4:$G$582,'март 2023'!$D$4:$D$582,$B36,'март 2023'!$J$4:$J$582,J$1)</f>
        <v>0</v>
      </c>
      <c r="K36" s="207">
        <f>SUMIFS('март 2023'!$G$4:$G$582,'март 2023'!$D$4:$D$582,$B36,'март 2023'!$J$4:$J$582,K$1)</f>
        <v>0</v>
      </c>
      <c r="L36" s="207">
        <f>SUMIFS('март 2023'!$G$4:$G$582,'март 2023'!$D$4:$D$582,$B36,'март 2023'!$J$4:$J$582,L$1)</f>
        <v>0</v>
      </c>
      <c r="M36" s="207">
        <f>SUMIFS('март 2023'!$G$4:$G$582,'март 2023'!$D$4:$D$582,$B36,'март 2023'!$J$4:$J$582,M$1)</f>
        <v>800</v>
      </c>
      <c r="N36" s="207">
        <f>SUMIFS('март 2023'!$G$4:$G$582,'март 2023'!$D$4:$D$582,$B36,'март 2023'!$J$4:$J$582,N$1)</f>
        <v>0</v>
      </c>
      <c r="O36" s="207">
        <f>SUMIFS('март 2023'!$G$4:$G$582,'март 2023'!$D$4:$D$582,$B36,'март 2023'!$J$4:$J$582,O$1)</f>
        <v>0</v>
      </c>
      <c r="P36" s="207">
        <f>SUMIFS('март 2023'!$G$4:$G$582,'март 2023'!$D$4:$D$582,$B36,'март 2023'!$J$4:$J$582,P$1)</f>
        <v>0</v>
      </c>
      <c r="Q36" s="207">
        <f>SUMIFS('март 2023'!$G$4:$G$582,'март 2023'!$D$4:$D$582,$B36,'март 2023'!$J$4:$J$582,Q$1)</f>
        <v>0</v>
      </c>
      <c r="R36" s="207">
        <f>SUMIFS('март 2023'!$G$4:$G$582,'март 2023'!$D$4:$D$582,$B36,'март 2023'!$J$4:$J$582,R$1)</f>
        <v>0</v>
      </c>
      <c r="S36" s="207">
        <f>SUMIFS('март 2023'!$G$4:$G$582,'март 2023'!$D$4:$D$582,$B36,'март 2023'!$J$4:$J$582,S$1)</f>
        <v>0</v>
      </c>
      <c r="T36" s="207">
        <f>SUMIFS('март 2023'!$G$4:$G$582,'март 2023'!$D$4:$D$582,$B36,'март 2023'!$J$4:$J$582,T$1)</f>
        <v>800</v>
      </c>
      <c r="U36" s="207">
        <f>SUMIFS('март 2023'!$G$4:$G$582,'март 2023'!$D$4:$D$582,$B36,'март 2023'!$J$4:$J$582,U$1)</f>
        <v>0</v>
      </c>
      <c r="V36" s="207">
        <f>SUMIFS('март 2023'!$G$4:$G$582,'март 2023'!$D$4:$D$582,$B36,'март 2023'!$J$4:$J$582,V$1)</f>
        <v>0</v>
      </c>
      <c r="W36" s="207">
        <f>SUMIFS('март 2023'!$G$4:$G$582,'март 2023'!$D$4:$D$582,$B36,'март 2023'!$J$4:$J$582,W$1)</f>
        <v>0</v>
      </c>
      <c r="X36" s="207">
        <f>SUMIFS('март 2023'!$G$4:$G$582,'март 2023'!$D$4:$D$582,$B36,'март 2023'!$J$4:$J$582,X$1)</f>
        <v>0</v>
      </c>
      <c r="Y36" s="207">
        <f>SUMIFS('март 2023'!$G$4:$G$582,'март 2023'!$D$4:$D$582,$B36,'март 2023'!$J$4:$J$582,Y$1)</f>
        <v>0</v>
      </c>
      <c r="Z36" s="207">
        <f>SUMIFS('март 2023'!$G$4:$G$582,'март 2023'!$D$4:$D$582,$B36,'март 2023'!$J$4:$J$582,Z$1)</f>
        <v>0</v>
      </c>
      <c r="AA36" s="207">
        <f>SUMIFS('март 2023'!$G$4:$G$582,'март 2023'!$D$4:$D$582,$B36,'март 2023'!$J$4:$J$582,AA$1)</f>
        <v>0</v>
      </c>
      <c r="AB36" s="207">
        <f>SUMIFS('март 2023'!$G$4:$G$582,'март 2023'!$D$4:$D$582,$B36,'март 2023'!$J$4:$J$582,AB$1)</f>
        <v>0</v>
      </c>
      <c r="AC36" s="207">
        <f>SUMIFS('март 2023'!$G$4:$G$582,'март 2023'!$D$4:$D$582,$B36,'март 2023'!$J$4:$J$582,AC$1)</f>
        <v>0</v>
      </c>
      <c r="AD36" s="207">
        <f>SUMIFS('март 2023'!$G$4:$G$582,'март 2023'!$D$4:$D$582,$B36,'март 2023'!$J$4:$J$582,AD$1)</f>
        <v>240</v>
      </c>
      <c r="AE36" s="207">
        <f>SUMIFS('март 2023'!$G$4:$G$582,'март 2023'!$D$4:$D$582,$B36,'март 2023'!$J$4:$J$582,AE$1)</f>
        <v>0</v>
      </c>
      <c r="AF36" s="207">
        <f>SUMIFS('март 2023'!$G$4:$G$582,'март 2023'!$D$4:$D$582,$B36,'март 2023'!$J$4:$J$582,AF$1)</f>
        <v>0</v>
      </c>
      <c r="AG36" s="207">
        <f>SUMIFS('март 2023'!$G$4:$G$582,'март 2023'!$D$4:$D$582,$B36,'март 2023'!$J$4:$J$582,AG$1)</f>
        <v>0</v>
      </c>
      <c r="AH36" s="207">
        <f>SUMIFS('март 2023'!$G$4:$G$582,'март 2023'!$D$4:$D$582,$B36,'март 2023'!$J$4:$J$582,AH$1)</f>
        <v>1500</v>
      </c>
      <c r="AI36" s="170">
        <f t="shared" si="1"/>
        <v>3340</v>
      </c>
    </row>
    <row r="37" spans="2:35" ht="15" customHeight="1" x14ac:dyDescent="0.25">
      <c r="B37" s="212" t="s">
        <v>492</v>
      </c>
      <c r="C37" s="211">
        <v>25</v>
      </c>
      <c r="D37" s="207">
        <f>SUMIFS('март 2023'!$G$4:$G$582,'март 2023'!$D$4:$D$582,$B37,'март 2023'!$J$4:$J$582,D$1)</f>
        <v>0</v>
      </c>
      <c r="E37" s="207">
        <f>SUMIFS('март 2023'!$G$4:$G$582,'март 2023'!$D$4:$D$582,$B37,'март 2023'!$J$4:$J$582,E$1)</f>
        <v>0</v>
      </c>
      <c r="F37" s="207">
        <f>SUMIFS('март 2023'!$G$4:$G$582,'март 2023'!$D$4:$D$582,$B37,'март 2023'!$J$4:$J$582,F$1)</f>
        <v>0</v>
      </c>
      <c r="G37" s="207">
        <f>SUMIFS('март 2023'!$G$4:$G$582,'март 2023'!$D$4:$D$582,$B37,'март 2023'!$J$4:$J$582,G$1)</f>
        <v>0</v>
      </c>
      <c r="H37" s="207">
        <f>SUMIFS('март 2023'!$G$4:$G$582,'март 2023'!$D$4:$D$582,$B37,'март 2023'!$J$4:$J$582,H$1)</f>
        <v>0</v>
      </c>
      <c r="I37" s="207">
        <f>SUMIFS('март 2023'!$G$4:$G$582,'март 2023'!$D$4:$D$582,$B37,'март 2023'!$J$4:$J$582,I$1)</f>
        <v>0</v>
      </c>
      <c r="J37" s="207">
        <f>SUMIFS('март 2023'!$G$4:$G$582,'март 2023'!$D$4:$D$582,$B37,'март 2023'!$J$4:$J$582,J$1)</f>
        <v>0</v>
      </c>
      <c r="K37" s="207">
        <f>SUMIFS('март 2023'!$G$4:$G$582,'март 2023'!$D$4:$D$582,$B37,'март 2023'!$J$4:$J$582,K$1)</f>
        <v>0</v>
      </c>
      <c r="L37" s="207">
        <f>SUMIFS('март 2023'!$G$4:$G$582,'март 2023'!$D$4:$D$582,$B37,'март 2023'!$J$4:$J$582,L$1)</f>
        <v>0</v>
      </c>
      <c r="M37" s="207">
        <f>SUMIFS('март 2023'!$G$4:$G$582,'март 2023'!$D$4:$D$582,$B37,'март 2023'!$J$4:$J$582,M$1)</f>
        <v>0</v>
      </c>
      <c r="N37" s="207">
        <f>SUMIFS('март 2023'!$G$4:$G$582,'март 2023'!$D$4:$D$582,$B37,'март 2023'!$J$4:$J$582,N$1)</f>
        <v>0</v>
      </c>
      <c r="O37" s="207">
        <f>SUMIFS('март 2023'!$G$4:$G$582,'март 2023'!$D$4:$D$582,$B37,'март 2023'!$J$4:$J$582,O$1)</f>
        <v>0</v>
      </c>
      <c r="P37" s="207">
        <f>SUMIFS('март 2023'!$G$4:$G$582,'март 2023'!$D$4:$D$582,$B37,'март 2023'!$J$4:$J$582,P$1)</f>
        <v>0</v>
      </c>
      <c r="Q37" s="207">
        <f>SUMIFS('март 2023'!$G$4:$G$582,'март 2023'!$D$4:$D$582,$B37,'март 2023'!$J$4:$J$582,Q$1)</f>
        <v>0</v>
      </c>
      <c r="R37" s="207">
        <f>SUMIFS('март 2023'!$G$4:$G$582,'март 2023'!$D$4:$D$582,$B37,'март 2023'!$J$4:$J$582,R$1)</f>
        <v>0</v>
      </c>
      <c r="S37" s="207">
        <f>SUMIFS('март 2023'!$G$4:$G$582,'март 2023'!$D$4:$D$582,$B37,'март 2023'!$J$4:$J$582,S$1)</f>
        <v>0</v>
      </c>
      <c r="T37" s="207">
        <f>SUMIFS('март 2023'!$G$4:$G$582,'март 2023'!$D$4:$D$582,$B37,'март 2023'!$J$4:$J$582,T$1)</f>
        <v>0</v>
      </c>
      <c r="U37" s="207">
        <f>SUMIFS('март 2023'!$G$4:$G$582,'март 2023'!$D$4:$D$582,$B37,'март 2023'!$J$4:$J$582,U$1)</f>
        <v>0</v>
      </c>
      <c r="V37" s="207">
        <f>SUMIFS('март 2023'!$G$4:$G$582,'март 2023'!$D$4:$D$582,$B37,'март 2023'!$J$4:$J$582,V$1)</f>
        <v>0</v>
      </c>
      <c r="W37" s="207">
        <f>SUMIFS('март 2023'!$G$4:$G$582,'март 2023'!$D$4:$D$582,$B37,'март 2023'!$J$4:$J$582,W$1)</f>
        <v>0</v>
      </c>
      <c r="X37" s="207">
        <f>SUMIFS('март 2023'!$G$4:$G$582,'март 2023'!$D$4:$D$582,$B37,'март 2023'!$J$4:$J$582,X$1)</f>
        <v>0</v>
      </c>
      <c r="Y37" s="207">
        <f>SUMIFS('март 2023'!$G$4:$G$582,'март 2023'!$D$4:$D$582,$B37,'март 2023'!$J$4:$J$582,Y$1)</f>
        <v>0</v>
      </c>
      <c r="Z37" s="207">
        <f>SUMIFS('март 2023'!$G$4:$G$582,'март 2023'!$D$4:$D$582,$B37,'март 2023'!$J$4:$J$582,Z$1)</f>
        <v>0</v>
      </c>
      <c r="AA37" s="207">
        <f>SUMIFS('март 2023'!$G$4:$G$582,'март 2023'!$D$4:$D$582,$B37,'март 2023'!$J$4:$J$582,AA$1)</f>
        <v>0</v>
      </c>
      <c r="AB37" s="207">
        <f>SUMIFS('март 2023'!$G$4:$G$582,'март 2023'!$D$4:$D$582,$B37,'март 2023'!$J$4:$J$582,AB$1)</f>
        <v>0</v>
      </c>
      <c r="AC37" s="207">
        <f>SUMIFS('март 2023'!$G$4:$G$582,'март 2023'!$D$4:$D$582,$B37,'март 2023'!$J$4:$J$582,AC$1)</f>
        <v>0</v>
      </c>
      <c r="AD37" s="207">
        <f>SUMIFS('март 2023'!$G$4:$G$582,'март 2023'!$D$4:$D$582,$B37,'март 2023'!$J$4:$J$582,AD$1)</f>
        <v>0</v>
      </c>
      <c r="AE37" s="207">
        <f>SUMIFS('март 2023'!$G$4:$G$582,'март 2023'!$D$4:$D$582,$B37,'март 2023'!$J$4:$J$582,AE$1)</f>
        <v>0</v>
      </c>
      <c r="AF37" s="207">
        <f>SUMIFS('март 2023'!$G$4:$G$582,'март 2023'!$D$4:$D$582,$B37,'март 2023'!$J$4:$J$582,AF$1)</f>
        <v>0</v>
      </c>
      <c r="AG37" s="207">
        <f>SUMIFS('март 2023'!$G$4:$G$582,'март 2023'!$D$4:$D$582,$B37,'март 2023'!$J$4:$J$582,AG$1)</f>
        <v>0</v>
      </c>
      <c r="AH37" s="207">
        <f>SUMIFS('март 2023'!$G$4:$G$582,'март 2023'!$D$4:$D$582,$B37,'март 2023'!$J$4:$J$582,AH$1)</f>
        <v>0</v>
      </c>
      <c r="AI37" s="170">
        <f t="shared" si="1"/>
        <v>0</v>
      </c>
    </row>
    <row r="38" spans="2:35" ht="15" customHeight="1" x14ac:dyDescent="0.25">
      <c r="B38" s="216" t="s">
        <v>1600</v>
      </c>
      <c r="C38" s="213">
        <v>25</v>
      </c>
      <c r="D38" s="207">
        <f>SUMIFS('март 2023'!$G$4:$G$582,'март 2023'!$D$4:$D$582,$B38,'март 2023'!$J$4:$J$582,D$1)</f>
        <v>800</v>
      </c>
      <c r="E38" s="207">
        <f>SUMIFS('март 2023'!$G$4:$G$582,'март 2023'!$D$4:$D$582,$B38,'март 2023'!$J$4:$J$582,E$1)</f>
        <v>0</v>
      </c>
      <c r="F38" s="207">
        <f>SUMIFS('март 2023'!$G$4:$G$582,'март 2023'!$D$4:$D$582,$B38,'март 2023'!$J$4:$J$582,F$1)</f>
        <v>0</v>
      </c>
      <c r="G38" s="207">
        <f>SUMIFS('март 2023'!$G$4:$G$582,'март 2023'!$D$4:$D$582,$B38,'март 2023'!$J$4:$J$582,G$1)</f>
        <v>0</v>
      </c>
      <c r="H38" s="207">
        <f>SUMIFS('март 2023'!$G$4:$G$582,'март 2023'!$D$4:$D$582,$B38,'март 2023'!$J$4:$J$582,H$1)</f>
        <v>0</v>
      </c>
      <c r="I38" s="207">
        <f>SUMIFS('март 2023'!$G$4:$G$582,'март 2023'!$D$4:$D$582,$B38,'март 2023'!$J$4:$J$582,I$1)</f>
        <v>0</v>
      </c>
      <c r="J38" s="207">
        <f>SUMIFS('март 2023'!$G$4:$G$582,'март 2023'!$D$4:$D$582,$B38,'март 2023'!$J$4:$J$582,J$1)</f>
        <v>0</v>
      </c>
      <c r="K38" s="207">
        <f>SUMIFS('март 2023'!$G$4:$G$582,'март 2023'!$D$4:$D$582,$B38,'март 2023'!$J$4:$J$582,K$1)</f>
        <v>0</v>
      </c>
      <c r="L38" s="207">
        <f>SUMIFS('март 2023'!$G$4:$G$582,'март 2023'!$D$4:$D$582,$B38,'март 2023'!$J$4:$J$582,L$1)</f>
        <v>800</v>
      </c>
      <c r="M38" s="207">
        <f>SUMIFS('март 2023'!$G$4:$G$582,'март 2023'!$D$4:$D$582,$B38,'март 2023'!$J$4:$J$582,M$1)</f>
        <v>0</v>
      </c>
      <c r="N38" s="207">
        <f>SUMIFS('март 2023'!$G$4:$G$582,'март 2023'!$D$4:$D$582,$B38,'март 2023'!$J$4:$J$582,N$1)</f>
        <v>0</v>
      </c>
      <c r="O38" s="207">
        <f>SUMIFS('март 2023'!$G$4:$G$582,'март 2023'!$D$4:$D$582,$B38,'март 2023'!$J$4:$J$582,O$1)</f>
        <v>0</v>
      </c>
      <c r="P38" s="207">
        <f>SUMIFS('март 2023'!$G$4:$G$582,'март 2023'!$D$4:$D$582,$B38,'март 2023'!$J$4:$J$582,P$1)</f>
        <v>0</v>
      </c>
      <c r="Q38" s="207">
        <f>SUMIFS('март 2023'!$G$4:$G$582,'март 2023'!$D$4:$D$582,$B38,'март 2023'!$J$4:$J$582,Q$1)</f>
        <v>0</v>
      </c>
      <c r="R38" s="207">
        <f>SUMIFS('март 2023'!$G$4:$G$582,'март 2023'!$D$4:$D$582,$B38,'март 2023'!$J$4:$J$582,R$1)</f>
        <v>0</v>
      </c>
      <c r="S38" s="207">
        <f>SUMIFS('март 2023'!$G$4:$G$582,'март 2023'!$D$4:$D$582,$B38,'март 2023'!$J$4:$J$582,S$1)</f>
        <v>800</v>
      </c>
      <c r="T38" s="207">
        <f>SUMIFS('март 2023'!$G$4:$G$582,'март 2023'!$D$4:$D$582,$B38,'март 2023'!$J$4:$J$582,T$1)</f>
        <v>0</v>
      </c>
      <c r="U38" s="207">
        <f>SUMIFS('март 2023'!$G$4:$G$582,'март 2023'!$D$4:$D$582,$B38,'март 2023'!$J$4:$J$582,U$1)</f>
        <v>0</v>
      </c>
      <c r="V38" s="207">
        <f>SUMIFS('март 2023'!$G$4:$G$582,'март 2023'!$D$4:$D$582,$B38,'март 2023'!$J$4:$J$582,V$1)</f>
        <v>0</v>
      </c>
      <c r="W38" s="207">
        <f>SUMIFS('март 2023'!$G$4:$G$582,'март 2023'!$D$4:$D$582,$B38,'март 2023'!$J$4:$J$582,W$1)</f>
        <v>0</v>
      </c>
      <c r="X38" s="207">
        <f>SUMIFS('март 2023'!$G$4:$G$582,'март 2023'!$D$4:$D$582,$B38,'март 2023'!$J$4:$J$582,X$1)</f>
        <v>0</v>
      </c>
      <c r="Y38" s="207">
        <f>SUMIFS('март 2023'!$G$4:$G$582,'март 2023'!$D$4:$D$582,$B38,'март 2023'!$J$4:$J$582,Y$1)</f>
        <v>0</v>
      </c>
      <c r="Z38" s="207">
        <f>SUMIFS('март 2023'!$G$4:$G$582,'март 2023'!$D$4:$D$582,$B38,'март 2023'!$J$4:$J$582,Z$1)</f>
        <v>0</v>
      </c>
      <c r="AA38" s="207">
        <f>SUMIFS('март 2023'!$G$4:$G$582,'март 2023'!$D$4:$D$582,$B38,'март 2023'!$J$4:$J$582,AA$1)</f>
        <v>0</v>
      </c>
      <c r="AB38" s="207">
        <f>SUMIFS('март 2023'!$G$4:$G$582,'март 2023'!$D$4:$D$582,$B38,'март 2023'!$J$4:$J$582,AB$1)</f>
        <v>0</v>
      </c>
      <c r="AC38" s="207">
        <f>SUMIFS('март 2023'!$G$4:$G$582,'март 2023'!$D$4:$D$582,$B38,'март 2023'!$J$4:$J$582,AC$1)</f>
        <v>0</v>
      </c>
      <c r="AD38" s="207">
        <f>SUMIFS('март 2023'!$G$4:$G$582,'март 2023'!$D$4:$D$582,$B38,'март 2023'!$J$4:$J$582,AD$1)</f>
        <v>0</v>
      </c>
      <c r="AE38" s="207">
        <f>SUMIFS('март 2023'!$G$4:$G$582,'март 2023'!$D$4:$D$582,$B38,'март 2023'!$J$4:$J$582,AE$1)</f>
        <v>0</v>
      </c>
      <c r="AF38" s="207">
        <f>SUMIFS('март 2023'!$G$4:$G$582,'март 2023'!$D$4:$D$582,$B38,'март 2023'!$J$4:$J$582,AF$1)</f>
        <v>0</v>
      </c>
      <c r="AG38" s="207">
        <f>SUMIFS('март 2023'!$G$4:$G$582,'март 2023'!$D$4:$D$582,$B38,'март 2023'!$J$4:$J$582,AG$1)</f>
        <v>0</v>
      </c>
      <c r="AH38" s="207">
        <f>SUMIFS('март 2023'!$G$4:$G$582,'март 2023'!$D$4:$D$582,$B38,'март 2023'!$J$4:$J$582,AH$1)</f>
        <v>0</v>
      </c>
      <c r="AI38" s="170">
        <f t="shared" si="1"/>
        <v>2400</v>
      </c>
    </row>
    <row r="39" spans="2:35" ht="15" customHeight="1" x14ac:dyDescent="0.25">
      <c r="B39" s="212" t="s">
        <v>1848</v>
      </c>
      <c r="C39" s="215">
        <v>22.68</v>
      </c>
      <c r="D39" s="207">
        <f>SUMIFS('март 2023'!$G$4:$G$582,'март 2023'!$D$4:$D$582,$B39,'март 2023'!$J$4:$J$582,D$1)</f>
        <v>0</v>
      </c>
      <c r="E39" s="207">
        <f>SUMIFS('март 2023'!$G$4:$G$582,'март 2023'!$D$4:$D$582,$B39,'март 2023'!$J$4:$J$582,E$1)</f>
        <v>0</v>
      </c>
      <c r="F39" s="207">
        <f>SUMIFS('март 2023'!$G$4:$G$582,'март 2023'!$D$4:$D$582,$B39,'март 2023'!$J$4:$J$582,F$1)</f>
        <v>0</v>
      </c>
      <c r="G39" s="207">
        <f>SUMIFS('март 2023'!$G$4:$G$582,'март 2023'!$D$4:$D$582,$B39,'март 2023'!$J$4:$J$582,G$1)</f>
        <v>0</v>
      </c>
      <c r="H39" s="207">
        <f>SUMIFS('март 2023'!$G$4:$G$582,'март 2023'!$D$4:$D$582,$B39,'март 2023'!$J$4:$J$582,H$1)</f>
        <v>0</v>
      </c>
      <c r="I39" s="207">
        <f>SUMIFS('март 2023'!$G$4:$G$582,'март 2023'!$D$4:$D$582,$B39,'март 2023'!$J$4:$J$582,I$1)</f>
        <v>0</v>
      </c>
      <c r="J39" s="207">
        <f>SUMIFS('март 2023'!$G$4:$G$582,'март 2023'!$D$4:$D$582,$B39,'март 2023'!$J$4:$J$582,J$1)</f>
        <v>0</v>
      </c>
      <c r="K39" s="207">
        <f>SUMIFS('март 2023'!$G$4:$G$582,'март 2023'!$D$4:$D$582,$B39,'март 2023'!$J$4:$J$582,K$1)</f>
        <v>0</v>
      </c>
      <c r="L39" s="207">
        <f>SUMIFS('март 2023'!$G$4:$G$582,'март 2023'!$D$4:$D$582,$B39,'март 2023'!$J$4:$J$582,L$1)</f>
        <v>0</v>
      </c>
      <c r="M39" s="207">
        <f>SUMIFS('март 2023'!$G$4:$G$582,'март 2023'!$D$4:$D$582,$B39,'март 2023'!$J$4:$J$582,M$1)</f>
        <v>0</v>
      </c>
      <c r="N39" s="207">
        <f>SUMIFS('март 2023'!$G$4:$G$582,'март 2023'!$D$4:$D$582,$B39,'март 2023'!$J$4:$J$582,N$1)</f>
        <v>0</v>
      </c>
      <c r="O39" s="207">
        <f>SUMIFS('март 2023'!$G$4:$G$582,'март 2023'!$D$4:$D$582,$B39,'март 2023'!$J$4:$J$582,O$1)</f>
        <v>0</v>
      </c>
      <c r="P39" s="207">
        <f>SUMIFS('март 2023'!$G$4:$G$582,'март 2023'!$D$4:$D$582,$B39,'март 2023'!$J$4:$J$582,P$1)</f>
        <v>0</v>
      </c>
      <c r="Q39" s="207">
        <f>SUMIFS('март 2023'!$G$4:$G$582,'март 2023'!$D$4:$D$582,$B39,'март 2023'!$J$4:$J$582,Q$1)</f>
        <v>0</v>
      </c>
      <c r="R39" s="207">
        <f>SUMIFS('март 2023'!$G$4:$G$582,'март 2023'!$D$4:$D$582,$B39,'март 2023'!$J$4:$J$582,R$1)</f>
        <v>0</v>
      </c>
      <c r="S39" s="207">
        <f>SUMIFS('март 2023'!$G$4:$G$582,'март 2023'!$D$4:$D$582,$B39,'март 2023'!$J$4:$J$582,S$1)</f>
        <v>0</v>
      </c>
      <c r="T39" s="207">
        <f>SUMIFS('март 2023'!$G$4:$G$582,'март 2023'!$D$4:$D$582,$B39,'март 2023'!$J$4:$J$582,T$1)</f>
        <v>0</v>
      </c>
      <c r="U39" s="207">
        <f>SUMIFS('март 2023'!$G$4:$G$582,'март 2023'!$D$4:$D$582,$B39,'март 2023'!$J$4:$J$582,U$1)</f>
        <v>0</v>
      </c>
      <c r="V39" s="207">
        <f>SUMIFS('март 2023'!$G$4:$G$582,'март 2023'!$D$4:$D$582,$B39,'март 2023'!$J$4:$J$582,V$1)</f>
        <v>0</v>
      </c>
      <c r="W39" s="207">
        <f>SUMIFS('март 2023'!$G$4:$G$582,'март 2023'!$D$4:$D$582,$B39,'март 2023'!$J$4:$J$582,W$1)</f>
        <v>0</v>
      </c>
      <c r="X39" s="207">
        <f>SUMIFS('март 2023'!$G$4:$G$582,'март 2023'!$D$4:$D$582,$B39,'март 2023'!$J$4:$J$582,X$1)</f>
        <v>0</v>
      </c>
      <c r="Y39" s="207">
        <f>SUMIFS('март 2023'!$G$4:$G$582,'март 2023'!$D$4:$D$582,$B39,'март 2023'!$J$4:$J$582,Y$1)</f>
        <v>0</v>
      </c>
      <c r="Z39" s="207">
        <f>SUMIFS('март 2023'!$G$4:$G$582,'март 2023'!$D$4:$D$582,$B39,'март 2023'!$J$4:$J$582,Z$1)</f>
        <v>0</v>
      </c>
      <c r="AA39" s="207">
        <f>SUMIFS('март 2023'!$G$4:$G$582,'март 2023'!$D$4:$D$582,$B39,'март 2023'!$J$4:$J$582,AA$1)</f>
        <v>0</v>
      </c>
      <c r="AB39" s="207">
        <f>SUMIFS('март 2023'!$G$4:$G$582,'март 2023'!$D$4:$D$582,$B39,'март 2023'!$J$4:$J$582,AB$1)</f>
        <v>0</v>
      </c>
      <c r="AC39" s="207">
        <f>SUMIFS('март 2023'!$G$4:$G$582,'март 2023'!$D$4:$D$582,$B39,'март 2023'!$J$4:$J$582,AC$1)</f>
        <v>0</v>
      </c>
      <c r="AD39" s="207">
        <f>SUMIFS('март 2023'!$G$4:$G$582,'март 2023'!$D$4:$D$582,$B39,'март 2023'!$J$4:$J$582,AD$1)</f>
        <v>0</v>
      </c>
      <c r="AE39" s="207">
        <f>SUMIFS('март 2023'!$G$4:$G$582,'март 2023'!$D$4:$D$582,$B39,'март 2023'!$J$4:$J$582,AE$1)</f>
        <v>0</v>
      </c>
      <c r="AF39" s="207">
        <f>SUMIFS('март 2023'!$G$4:$G$582,'март 2023'!$D$4:$D$582,$B39,'март 2023'!$J$4:$J$582,AF$1)</f>
        <v>0</v>
      </c>
      <c r="AG39" s="207">
        <f>SUMIFS('март 2023'!$G$4:$G$582,'март 2023'!$D$4:$D$582,$B39,'март 2023'!$J$4:$J$582,AG$1)</f>
        <v>0</v>
      </c>
      <c r="AH39" s="207">
        <f>SUMIFS('март 2023'!$G$4:$G$582,'март 2023'!$D$4:$D$582,$B39,'март 2023'!$J$4:$J$582,AH$1)</f>
        <v>0</v>
      </c>
      <c r="AI39" s="170">
        <f t="shared" si="1"/>
        <v>0</v>
      </c>
    </row>
    <row r="40" spans="2:35" ht="15" customHeight="1" x14ac:dyDescent="0.25">
      <c r="B40" s="216" t="s">
        <v>680</v>
      </c>
      <c r="C40" s="213">
        <v>200</v>
      </c>
      <c r="D40" s="207">
        <f>SUMIFS('март 2023'!$G$4:$G$582,'март 2023'!$D$4:$D$582,$B40,'март 2023'!$J$4:$J$582,D$1)</f>
        <v>0</v>
      </c>
      <c r="E40" s="207">
        <f>SUMIFS('март 2023'!$G$4:$G$582,'март 2023'!$D$4:$D$582,$B40,'март 2023'!$J$4:$J$582,E$1)</f>
        <v>0</v>
      </c>
      <c r="F40" s="207">
        <f>SUMIFS('март 2023'!$G$4:$G$582,'март 2023'!$D$4:$D$582,$B40,'март 2023'!$J$4:$J$582,F$1)</f>
        <v>0</v>
      </c>
      <c r="G40" s="207">
        <f>SUMIFS('март 2023'!$G$4:$G$582,'март 2023'!$D$4:$D$582,$B40,'март 2023'!$J$4:$J$582,G$1)</f>
        <v>0</v>
      </c>
      <c r="H40" s="207">
        <f>SUMIFS('март 2023'!$G$4:$G$582,'март 2023'!$D$4:$D$582,$B40,'март 2023'!$J$4:$J$582,H$1)</f>
        <v>0</v>
      </c>
      <c r="I40" s="207">
        <f>SUMIFS('март 2023'!$G$4:$G$582,'март 2023'!$D$4:$D$582,$B40,'март 2023'!$J$4:$J$582,I$1)</f>
        <v>0</v>
      </c>
      <c r="J40" s="207">
        <f>SUMIFS('март 2023'!$G$4:$G$582,'март 2023'!$D$4:$D$582,$B40,'март 2023'!$J$4:$J$582,J$1)</f>
        <v>0</v>
      </c>
      <c r="K40" s="207">
        <f>SUMIFS('март 2023'!$G$4:$G$582,'март 2023'!$D$4:$D$582,$B40,'март 2023'!$J$4:$J$582,K$1)</f>
        <v>0</v>
      </c>
      <c r="L40" s="207">
        <f>SUMIFS('март 2023'!$G$4:$G$582,'март 2023'!$D$4:$D$582,$B40,'март 2023'!$J$4:$J$582,L$1)</f>
        <v>0</v>
      </c>
      <c r="M40" s="207">
        <f>SUMIFS('март 2023'!$G$4:$G$582,'март 2023'!$D$4:$D$582,$B40,'март 2023'!$J$4:$J$582,M$1)</f>
        <v>0</v>
      </c>
      <c r="N40" s="207">
        <f>SUMIFS('март 2023'!$G$4:$G$582,'март 2023'!$D$4:$D$582,$B40,'март 2023'!$J$4:$J$582,N$1)</f>
        <v>0</v>
      </c>
      <c r="O40" s="207">
        <f>SUMIFS('март 2023'!$G$4:$G$582,'март 2023'!$D$4:$D$582,$B40,'март 2023'!$J$4:$J$582,O$1)</f>
        <v>0</v>
      </c>
      <c r="P40" s="207">
        <f>SUMIFS('март 2023'!$G$4:$G$582,'март 2023'!$D$4:$D$582,$B40,'март 2023'!$J$4:$J$582,P$1)</f>
        <v>0</v>
      </c>
      <c r="Q40" s="207">
        <f>SUMIFS('март 2023'!$G$4:$G$582,'март 2023'!$D$4:$D$582,$B40,'март 2023'!$J$4:$J$582,Q$1)</f>
        <v>0</v>
      </c>
      <c r="R40" s="207">
        <f>SUMIFS('март 2023'!$G$4:$G$582,'март 2023'!$D$4:$D$582,$B40,'март 2023'!$J$4:$J$582,R$1)</f>
        <v>0</v>
      </c>
      <c r="S40" s="207">
        <f>SUMIFS('март 2023'!$G$4:$G$582,'март 2023'!$D$4:$D$582,$B40,'март 2023'!$J$4:$J$582,S$1)</f>
        <v>0</v>
      </c>
      <c r="T40" s="207">
        <f>SUMIFS('март 2023'!$G$4:$G$582,'март 2023'!$D$4:$D$582,$B40,'март 2023'!$J$4:$J$582,T$1)</f>
        <v>0</v>
      </c>
      <c r="U40" s="207">
        <f>SUMIFS('март 2023'!$G$4:$G$582,'март 2023'!$D$4:$D$582,$B40,'март 2023'!$J$4:$J$582,U$1)</f>
        <v>0</v>
      </c>
      <c r="V40" s="207">
        <f>SUMIFS('март 2023'!$G$4:$G$582,'март 2023'!$D$4:$D$582,$B40,'март 2023'!$J$4:$J$582,V$1)</f>
        <v>0</v>
      </c>
      <c r="W40" s="207">
        <f>SUMIFS('март 2023'!$G$4:$G$582,'март 2023'!$D$4:$D$582,$B40,'март 2023'!$J$4:$J$582,W$1)</f>
        <v>0</v>
      </c>
      <c r="X40" s="207">
        <f>SUMIFS('март 2023'!$G$4:$G$582,'март 2023'!$D$4:$D$582,$B40,'март 2023'!$J$4:$J$582,X$1)</f>
        <v>0</v>
      </c>
      <c r="Y40" s="207">
        <f>SUMIFS('март 2023'!$G$4:$G$582,'март 2023'!$D$4:$D$582,$B40,'март 2023'!$J$4:$J$582,Y$1)</f>
        <v>0</v>
      </c>
      <c r="Z40" s="207">
        <f>SUMIFS('март 2023'!$G$4:$G$582,'март 2023'!$D$4:$D$582,$B40,'март 2023'!$J$4:$J$582,Z$1)</f>
        <v>0</v>
      </c>
      <c r="AA40" s="207">
        <f>SUMIFS('март 2023'!$G$4:$G$582,'март 2023'!$D$4:$D$582,$B40,'март 2023'!$J$4:$J$582,AA$1)</f>
        <v>0</v>
      </c>
      <c r="AB40" s="207">
        <f>SUMIFS('март 2023'!$G$4:$G$582,'март 2023'!$D$4:$D$582,$B40,'март 2023'!$J$4:$J$582,AB$1)</f>
        <v>0</v>
      </c>
      <c r="AC40" s="207">
        <f>SUMIFS('март 2023'!$G$4:$G$582,'март 2023'!$D$4:$D$582,$B40,'март 2023'!$J$4:$J$582,AC$1)</f>
        <v>0</v>
      </c>
      <c r="AD40" s="207">
        <f>SUMIFS('март 2023'!$G$4:$G$582,'март 2023'!$D$4:$D$582,$B40,'март 2023'!$J$4:$J$582,AD$1)</f>
        <v>0</v>
      </c>
      <c r="AE40" s="207">
        <f>SUMIFS('март 2023'!$G$4:$G$582,'март 2023'!$D$4:$D$582,$B40,'март 2023'!$J$4:$J$582,AE$1)</f>
        <v>0</v>
      </c>
      <c r="AF40" s="207">
        <f>SUMIFS('март 2023'!$G$4:$G$582,'март 2023'!$D$4:$D$582,$B40,'март 2023'!$J$4:$J$582,AF$1)</f>
        <v>0</v>
      </c>
      <c r="AG40" s="207">
        <f>SUMIFS('март 2023'!$G$4:$G$582,'март 2023'!$D$4:$D$582,$B40,'март 2023'!$J$4:$J$582,AG$1)</f>
        <v>0</v>
      </c>
      <c r="AH40" s="207">
        <f>SUMIFS('март 2023'!$G$4:$G$582,'март 2023'!$D$4:$D$582,$B40,'март 2023'!$J$4:$J$582,AH$1)</f>
        <v>0</v>
      </c>
      <c r="AI40" s="170">
        <f t="shared" si="1"/>
        <v>0</v>
      </c>
    </row>
    <row r="41" spans="2:35" ht="15" customHeight="1" x14ac:dyDescent="0.25">
      <c r="B41" s="216"/>
      <c r="C41" s="213"/>
      <c r="D41" s="207">
        <f>SUMIFS('март 2023'!$G$4:$G$582,'март 2023'!$D$4:$D$582,$B41,'март 2023'!$J$4:$J$582,D$1)</f>
        <v>0</v>
      </c>
      <c r="E41" s="207">
        <f>SUMIFS('март 2023'!$G$4:$G$582,'март 2023'!$D$4:$D$582,$B41,'март 2023'!$J$4:$J$582,E$1)</f>
        <v>0</v>
      </c>
      <c r="F41" s="207">
        <f>SUMIFS('март 2023'!$G$4:$G$582,'март 2023'!$D$4:$D$582,$B41,'март 2023'!$J$4:$J$582,F$1)</f>
        <v>0</v>
      </c>
      <c r="G41" s="207">
        <f>SUMIFS('март 2023'!$G$4:$G$582,'март 2023'!$D$4:$D$582,$B41,'март 2023'!$J$4:$J$582,G$1)</f>
        <v>0</v>
      </c>
      <c r="H41" s="207">
        <f>SUMIFS('март 2023'!$G$4:$G$582,'март 2023'!$D$4:$D$582,$B41,'март 2023'!$J$4:$J$582,H$1)</f>
        <v>0</v>
      </c>
      <c r="I41" s="207">
        <f>SUMIFS('март 2023'!$G$4:$G$582,'март 2023'!$D$4:$D$582,$B41,'март 2023'!$J$4:$J$582,I$1)</f>
        <v>0</v>
      </c>
      <c r="J41" s="207">
        <f>SUMIFS('март 2023'!$G$4:$G$582,'март 2023'!$D$4:$D$582,$B41,'март 2023'!$J$4:$J$582,J$1)</f>
        <v>0</v>
      </c>
      <c r="K41" s="207">
        <f>SUMIFS('март 2023'!$G$4:$G$582,'март 2023'!$D$4:$D$582,$B41,'март 2023'!$J$4:$J$582,K$1)</f>
        <v>0</v>
      </c>
      <c r="L41" s="207">
        <f>SUMIFS('март 2023'!$G$4:$G$582,'март 2023'!$D$4:$D$582,$B41,'март 2023'!$J$4:$J$582,L$1)</f>
        <v>0</v>
      </c>
      <c r="M41" s="207">
        <f>SUMIFS('март 2023'!$G$4:$G$582,'март 2023'!$D$4:$D$582,$B41,'март 2023'!$J$4:$J$582,M$1)</f>
        <v>0</v>
      </c>
      <c r="N41" s="207">
        <f>SUMIFS('март 2023'!$G$4:$G$582,'март 2023'!$D$4:$D$582,$B41,'март 2023'!$J$4:$J$582,N$1)</f>
        <v>0</v>
      </c>
      <c r="O41" s="207">
        <f>SUMIFS('март 2023'!$G$4:$G$582,'март 2023'!$D$4:$D$582,$B41,'март 2023'!$J$4:$J$582,O$1)</f>
        <v>0</v>
      </c>
      <c r="P41" s="207">
        <f>SUMIFS('март 2023'!$G$4:$G$582,'март 2023'!$D$4:$D$582,$B41,'март 2023'!$J$4:$J$582,P$1)</f>
        <v>0</v>
      </c>
      <c r="Q41" s="207">
        <f>SUMIFS('март 2023'!$G$4:$G$582,'март 2023'!$D$4:$D$582,$B41,'март 2023'!$J$4:$J$582,Q$1)</f>
        <v>0</v>
      </c>
      <c r="R41" s="207">
        <f>SUMIFS('март 2023'!$G$4:$G$582,'март 2023'!$D$4:$D$582,$B41,'март 2023'!$J$4:$J$582,R$1)</f>
        <v>0</v>
      </c>
      <c r="S41" s="207">
        <f>SUMIFS('март 2023'!$G$4:$G$582,'март 2023'!$D$4:$D$582,$B41,'март 2023'!$J$4:$J$582,S$1)</f>
        <v>0</v>
      </c>
      <c r="T41" s="207">
        <f>SUMIFS('март 2023'!$G$4:$G$582,'март 2023'!$D$4:$D$582,$B41,'март 2023'!$J$4:$J$582,T$1)</f>
        <v>0</v>
      </c>
      <c r="U41" s="207">
        <f>SUMIFS('март 2023'!$G$4:$G$582,'март 2023'!$D$4:$D$582,$B41,'март 2023'!$J$4:$J$582,U$1)</f>
        <v>0</v>
      </c>
      <c r="V41" s="207">
        <f>SUMIFS('март 2023'!$G$4:$G$582,'март 2023'!$D$4:$D$582,$B41,'март 2023'!$J$4:$J$582,V$1)</f>
        <v>0</v>
      </c>
      <c r="W41" s="207">
        <f>SUMIFS('март 2023'!$G$4:$G$582,'март 2023'!$D$4:$D$582,$B41,'март 2023'!$J$4:$J$582,W$1)</f>
        <v>0</v>
      </c>
      <c r="X41" s="207">
        <f>SUMIFS('март 2023'!$G$4:$G$582,'март 2023'!$D$4:$D$582,$B41,'март 2023'!$J$4:$J$582,X$1)</f>
        <v>0</v>
      </c>
      <c r="Y41" s="207">
        <f>SUMIFS('март 2023'!$G$4:$G$582,'март 2023'!$D$4:$D$582,$B41,'март 2023'!$J$4:$J$582,Y$1)</f>
        <v>0</v>
      </c>
      <c r="Z41" s="207">
        <f>SUMIFS('март 2023'!$G$4:$G$582,'март 2023'!$D$4:$D$582,$B41,'март 2023'!$J$4:$J$582,Z$1)</f>
        <v>0</v>
      </c>
      <c r="AA41" s="207">
        <f>SUMIFS('март 2023'!$G$4:$G$582,'март 2023'!$D$4:$D$582,$B41,'март 2023'!$J$4:$J$582,AA$1)</f>
        <v>0</v>
      </c>
      <c r="AB41" s="207">
        <f>SUMIFS('март 2023'!$G$4:$G$582,'март 2023'!$D$4:$D$582,$B41,'март 2023'!$J$4:$J$582,AB$1)</f>
        <v>0</v>
      </c>
      <c r="AC41" s="207">
        <f>SUMIFS('март 2023'!$G$4:$G$582,'март 2023'!$D$4:$D$582,$B41,'март 2023'!$J$4:$J$582,AC$1)</f>
        <v>0</v>
      </c>
      <c r="AD41" s="207">
        <f>SUMIFS('март 2023'!$G$4:$G$582,'март 2023'!$D$4:$D$582,$B41,'март 2023'!$J$4:$J$582,AD$1)</f>
        <v>0</v>
      </c>
      <c r="AE41" s="207">
        <f>SUMIFS('март 2023'!$G$4:$G$582,'март 2023'!$D$4:$D$582,$B41,'март 2023'!$J$4:$J$582,AE$1)</f>
        <v>0</v>
      </c>
      <c r="AF41" s="207">
        <f>SUMIFS('март 2023'!$G$4:$G$582,'март 2023'!$D$4:$D$582,$B41,'март 2023'!$J$4:$J$582,AF$1)</f>
        <v>0</v>
      </c>
      <c r="AG41" s="207">
        <f>SUMIFS('март 2023'!$G$4:$G$582,'март 2023'!$D$4:$D$582,$B41,'март 2023'!$J$4:$J$582,AG$1)</f>
        <v>0</v>
      </c>
      <c r="AH41" s="207">
        <f>SUMIFS('март 2023'!$G$4:$G$582,'март 2023'!$D$4:$D$582,$B41,'март 2023'!$J$4:$J$582,AH$1)</f>
        <v>0</v>
      </c>
      <c r="AI41" s="170">
        <f t="shared" si="1"/>
        <v>0</v>
      </c>
    </row>
    <row r="42" spans="2:35" ht="15" customHeight="1" x14ac:dyDescent="0.25">
      <c r="B42" s="216" t="s">
        <v>1094</v>
      </c>
      <c r="C42" s="213">
        <v>25</v>
      </c>
      <c r="D42" s="207">
        <f>SUMIFS('март 2023'!$G$4:$G$582,'март 2023'!$D$4:$D$582,$B42,'март 2023'!$J$4:$J$582,D$1)</f>
        <v>0</v>
      </c>
      <c r="E42" s="207">
        <f>SUMIFS('март 2023'!$G$4:$G$582,'март 2023'!$D$4:$D$582,$B42,'март 2023'!$J$4:$J$582,E$1)</f>
        <v>0</v>
      </c>
      <c r="F42" s="207">
        <f>SUMIFS('март 2023'!$G$4:$G$582,'март 2023'!$D$4:$D$582,$B42,'март 2023'!$J$4:$J$582,F$1)</f>
        <v>0</v>
      </c>
      <c r="G42" s="207">
        <f>SUMIFS('март 2023'!$G$4:$G$582,'март 2023'!$D$4:$D$582,$B42,'март 2023'!$J$4:$J$582,G$1)</f>
        <v>0</v>
      </c>
      <c r="H42" s="207">
        <f>SUMIFS('март 2023'!$G$4:$G$582,'март 2023'!$D$4:$D$582,$B42,'март 2023'!$J$4:$J$582,H$1)</f>
        <v>0</v>
      </c>
      <c r="I42" s="207">
        <f>SUMIFS('март 2023'!$G$4:$G$582,'март 2023'!$D$4:$D$582,$B42,'март 2023'!$J$4:$J$582,I$1)</f>
        <v>0</v>
      </c>
      <c r="J42" s="207">
        <f>SUMIFS('март 2023'!$G$4:$G$582,'март 2023'!$D$4:$D$582,$B42,'март 2023'!$J$4:$J$582,J$1)</f>
        <v>0</v>
      </c>
      <c r="K42" s="207">
        <f>SUMIFS('март 2023'!$G$4:$G$582,'март 2023'!$D$4:$D$582,$B42,'март 2023'!$J$4:$J$582,K$1)</f>
        <v>0</v>
      </c>
      <c r="L42" s="207">
        <f>SUMIFS('март 2023'!$G$4:$G$582,'март 2023'!$D$4:$D$582,$B42,'март 2023'!$J$4:$J$582,L$1)</f>
        <v>0</v>
      </c>
      <c r="M42" s="207">
        <f>SUMIFS('март 2023'!$G$4:$G$582,'март 2023'!$D$4:$D$582,$B42,'март 2023'!$J$4:$J$582,M$1)</f>
        <v>0</v>
      </c>
      <c r="N42" s="207">
        <f>SUMIFS('март 2023'!$G$4:$G$582,'март 2023'!$D$4:$D$582,$B42,'март 2023'!$J$4:$J$582,N$1)</f>
        <v>0</v>
      </c>
      <c r="O42" s="207">
        <f>SUMIFS('март 2023'!$G$4:$G$582,'март 2023'!$D$4:$D$582,$B42,'март 2023'!$J$4:$J$582,O$1)</f>
        <v>0</v>
      </c>
      <c r="P42" s="207">
        <f>SUMIFS('март 2023'!$G$4:$G$582,'март 2023'!$D$4:$D$582,$B42,'март 2023'!$J$4:$J$582,P$1)</f>
        <v>0</v>
      </c>
      <c r="Q42" s="207">
        <f>SUMIFS('март 2023'!$G$4:$G$582,'март 2023'!$D$4:$D$582,$B42,'март 2023'!$J$4:$J$582,Q$1)</f>
        <v>0</v>
      </c>
      <c r="R42" s="207">
        <f>SUMIFS('март 2023'!$G$4:$G$582,'март 2023'!$D$4:$D$582,$B42,'март 2023'!$J$4:$J$582,R$1)</f>
        <v>0</v>
      </c>
      <c r="S42" s="207">
        <f>SUMIFS('март 2023'!$G$4:$G$582,'март 2023'!$D$4:$D$582,$B42,'март 2023'!$J$4:$J$582,S$1)</f>
        <v>0</v>
      </c>
      <c r="T42" s="207">
        <f>SUMIFS('март 2023'!$G$4:$G$582,'март 2023'!$D$4:$D$582,$B42,'март 2023'!$J$4:$J$582,T$1)</f>
        <v>0</v>
      </c>
      <c r="U42" s="207">
        <f>SUMIFS('март 2023'!$G$4:$G$582,'март 2023'!$D$4:$D$582,$B42,'март 2023'!$J$4:$J$582,U$1)</f>
        <v>0</v>
      </c>
      <c r="V42" s="207">
        <f>SUMIFS('март 2023'!$G$4:$G$582,'март 2023'!$D$4:$D$582,$B42,'март 2023'!$J$4:$J$582,V$1)</f>
        <v>0</v>
      </c>
      <c r="W42" s="207">
        <f>SUMIFS('март 2023'!$G$4:$G$582,'март 2023'!$D$4:$D$582,$B42,'март 2023'!$J$4:$J$582,W$1)</f>
        <v>0</v>
      </c>
      <c r="X42" s="207">
        <f>SUMIFS('март 2023'!$G$4:$G$582,'март 2023'!$D$4:$D$582,$B42,'март 2023'!$J$4:$J$582,X$1)</f>
        <v>0</v>
      </c>
      <c r="Y42" s="207">
        <f>SUMIFS('март 2023'!$G$4:$G$582,'март 2023'!$D$4:$D$582,$B42,'март 2023'!$J$4:$J$582,Y$1)</f>
        <v>0</v>
      </c>
      <c r="Z42" s="207">
        <f>SUMIFS('март 2023'!$G$4:$G$582,'март 2023'!$D$4:$D$582,$B42,'март 2023'!$J$4:$J$582,Z$1)</f>
        <v>0</v>
      </c>
      <c r="AA42" s="207">
        <f>SUMIFS('март 2023'!$G$4:$G$582,'март 2023'!$D$4:$D$582,$B42,'март 2023'!$J$4:$J$582,AA$1)</f>
        <v>0</v>
      </c>
      <c r="AB42" s="207">
        <f>SUMIFS('март 2023'!$G$4:$G$582,'март 2023'!$D$4:$D$582,$B42,'март 2023'!$J$4:$J$582,AB$1)</f>
        <v>0</v>
      </c>
      <c r="AC42" s="207">
        <f>SUMIFS('март 2023'!$G$4:$G$582,'март 2023'!$D$4:$D$582,$B42,'март 2023'!$J$4:$J$582,AC$1)</f>
        <v>0</v>
      </c>
      <c r="AD42" s="207">
        <f>SUMIFS('март 2023'!$G$4:$G$582,'март 2023'!$D$4:$D$582,$B42,'март 2023'!$J$4:$J$582,AD$1)</f>
        <v>0</v>
      </c>
      <c r="AE42" s="207">
        <f>SUMIFS('март 2023'!$G$4:$G$582,'март 2023'!$D$4:$D$582,$B42,'март 2023'!$J$4:$J$582,AE$1)</f>
        <v>0</v>
      </c>
      <c r="AF42" s="207">
        <f>SUMIFS('март 2023'!$G$4:$G$582,'март 2023'!$D$4:$D$582,$B42,'март 2023'!$J$4:$J$582,AF$1)</f>
        <v>0</v>
      </c>
      <c r="AG42" s="207">
        <f>SUMIFS('март 2023'!$G$4:$G$582,'март 2023'!$D$4:$D$582,$B42,'март 2023'!$J$4:$J$582,AG$1)</f>
        <v>0</v>
      </c>
      <c r="AH42" s="207">
        <f>SUMIFS('март 2023'!$G$4:$G$582,'март 2023'!$D$4:$D$582,$B42,'март 2023'!$J$4:$J$582,AH$1)</f>
        <v>105</v>
      </c>
      <c r="AI42" s="170">
        <f t="shared" si="1"/>
        <v>105</v>
      </c>
    </row>
    <row r="43" spans="2:35" ht="15" customHeight="1" x14ac:dyDescent="0.25">
      <c r="B43" s="212"/>
      <c r="C43" s="215"/>
      <c r="D43" s="207">
        <f>SUMIFS('март 2023'!$G$4:$G$582,'март 2023'!$D$4:$D$582,$B43,'март 2023'!$J$4:$J$582,D$1)</f>
        <v>0</v>
      </c>
      <c r="E43" s="207">
        <f>SUMIFS('март 2023'!$G$4:$G$582,'март 2023'!$D$4:$D$582,$B43,'март 2023'!$J$4:$J$582,E$1)</f>
        <v>0</v>
      </c>
      <c r="F43" s="207">
        <f>SUMIFS('март 2023'!$G$4:$G$582,'март 2023'!$D$4:$D$582,$B43,'март 2023'!$J$4:$J$582,F$1)</f>
        <v>0</v>
      </c>
      <c r="G43" s="207">
        <f>SUMIFS('март 2023'!$G$4:$G$582,'март 2023'!$D$4:$D$582,$B43,'март 2023'!$J$4:$J$582,G$1)</f>
        <v>0</v>
      </c>
      <c r="H43" s="207">
        <f>SUMIFS('март 2023'!$G$4:$G$582,'март 2023'!$D$4:$D$582,$B43,'март 2023'!$J$4:$J$582,H$1)</f>
        <v>0</v>
      </c>
      <c r="I43" s="207">
        <f>SUMIFS('март 2023'!$G$4:$G$582,'март 2023'!$D$4:$D$582,$B43,'март 2023'!$J$4:$J$582,I$1)</f>
        <v>0</v>
      </c>
      <c r="J43" s="207">
        <f>SUMIFS('март 2023'!$G$4:$G$582,'март 2023'!$D$4:$D$582,$B43,'март 2023'!$J$4:$J$582,J$1)</f>
        <v>0</v>
      </c>
      <c r="K43" s="207">
        <f>SUMIFS('март 2023'!$G$4:$G$582,'март 2023'!$D$4:$D$582,$B43,'март 2023'!$J$4:$J$582,K$1)</f>
        <v>0</v>
      </c>
      <c r="L43" s="207">
        <f>SUMIFS('март 2023'!$G$4:$G$582,'март 2023'!$D$4:$D$582,$B43,'март 2023'!$J$4:$J$582,L$1)</f>
        <v>0</v>
      </c>
      <c r="M43" s="207">
        <f>SUMIFS('март 2023'!$G$4:$G$582,'март 2023'!$D$4:$D$582,$B43,'март 2023'!$J$4:$J$582,M$1)</f>
        <v>0</v>
      </c>
      <c r="N43" s="207">
        <f>SUMIFS('март 2023'!$G$4:$G$582,'март 2023'!$D$4:$D$582,$B43,'март 2023'!$J$4:$J$582,N$1)</f>
        <v>0</v>
      </c>
      <c r="O43" s="207">
        <f>SUMIFS('март 2023'!$G$4:$G$582,'март 2023'!$D$4:$D$582,$B43,'март 2023'!$J$4:$J$582,O$1)</f>
        <v>0</v>
      </c>
      <c r="P43" s="207">
        <f>SUMIFS('март 2023'!$G$4:$G$582,'март 2023'!$D$4:$D$582,$B43,'март 2023'!$J$4:$J$582,P$1)</f>
        <v>0</v>
      </c>
      <c r="Q43" s="207">
        <f>SUMIFS('март 2023'!$G$4:$G$582,'март 2023'!$D$4:$D$582,$B43,'март 2023'!$J$4:$J$582,Q$1)</f>
        <v>0</v>
      </c>
      <c r="R43" s="207">
        <f>SUMIFS('март 2023'!$G$4:$G$582,'март 2023'!$D$4:$D$582,$B43,'март 2023'!$J$4:$J$582,R$1)</f>
        <v>0</v>
      </c>
      <c r="S43" s="207">
        <f>SUMIFS('март 2023'!$G$4:$G$582,'март 2023'!$D$4:$D$582,$B43,'март 2023'!$J$4:$J$582,S$1)</f>
        <v>0</v>
      </c>
      <c r="T43" s="207">
        <f>SUMIFS('март 2023'!$G$4:$G$582,'март 2023'!$D$4:$D$582,$B43,'март 2023'!$J$4:$J$582,T$1)</f>
        <v>0</v>
      </c>
      <c r="U43" s="207">
        <f>SUMIFS('март 2023'!$G$4:$G$582,'март 2023'!$D$4:$D$582,$B43,'март 2023'!$J$4:$J$582,U$1)</f>
        <v>0</v>
      </c>
      <c r="V43" s="207">
        <f>SUMIFS('март 2023'!$G$4:$G$582,'март 2023'!$D$4:$D$582,$B43,'март 2023'!$J$4:$J$582,V$1)</f>
        <v>0</v>
      </c>
      <c r="W43" s="207">
        <f>SUMIFS('март 2023'!$G$4:$G$582,'март 2023'!$D$4:$D$582,$B43,'март 2023'!$J$4:$J$582,W$1)</f>
        <v>0</v>
      </c>
      <c r="X43" s="207">
        <f>SUMIFS('март 2023'!$G$4:$G$582,'март 2023'!$D$4:$D$582,$B43,'март 2023'!$J$4:$J$582,X$1)</f>
        <v>0</v>
      </c>
      <c r="Y43" s="207">
        <f>SUMIFS('март 2023'!$G$4:$G$582,'март 2023'!$D$4:$D$582,$B43,'март 2023'!$J$4:$J$582,Y$1)</f>
        <v>0</v>
      </c>
      <c r="Z43" s="207">
        <f>SUMIFS('март 2023'!$G$4:$G$582,'март 2023'!$D$4:$D$582,$B43,'март 2023'!$J$4:$J$582,Z$1)</f>
        <v>0</v>
      </c>
      <c r="AA43" s="207">
        <f>SUMIFS('март 2023'!$G$4:$G$582,'март 2023'!$D$4:$D$582,$B43,'март 2023'!$J$4:$J$582,AA$1)</f>
        <v>0</v>
      </c>
      <c r="AB43" s="207">
        <f>SUMIFS('март 2023'!$G$4:$G$582,'март 2023'!$D$4:$D$582,$B43,'март 2023'!$J$4:$J$582,AB$1)</f>
        <v>0</v>
      </c>
      <c r="AC43" s="207">
        <f>SUMIFS('март 2023'!$G$4:$G$582,'март 2023'!$D$4:$D$582,$B43,'март 2023'!$J$4:$J$582,AC$1)</f>
        <v>0</v>
      </c>
      <c r="AD43" s="207">
        <f>SUMIFS('март 2023'!$G$4:$G$582,'март 2023'!$D$4:$D$582,$B43,'март 2023'!$J$4:$J$582,AD$1)</f>
        <v>0</v>
      </c>
      <c r="AE43" s="207">
        <f>SUMIFS('март 2023'!$G$4:$G$582,'март 2023'!$D$4:$D$582,$B43,'март 2023'!$J$4:$J$582,AE$1)</f>
        <v>0</v>
      </c>
      <c r="AF43" s="207">
        <f>SUMIFS('март 2023'!$G$4:$G$582,'март 2023'!$D$4:$D$582,$B43,'март 2023'!$J$4:$J$582,AF$1)</f>
        <v>0</v>
      </c>
      <c r="AG43" s="207">
        <f>SUMIFS('март 2023'!$G$4:$G$582,'март 2023'!$D$4:$D$582,$B43,'март 2023'!$J$4:$J$582,AG$1)</f>
        <v>0</v>
      </c>
      <c r="AH43" s="207">
        <f>SUMIFS('март 2023'!$G$4:$G$582,'март 2023'!$D$4:$D$582,$B43,'март 2023'!$J$4:$J$582,AH$1)</f>
        <v>0</v>
      </c>
      <c r="AI43" s="170">
        <f t="shared" si="1"/>
        <v>0</v>
      </c>
    </row>
    <row r="44" spans="2:35" ht="15" customHeight="1" x14ac:dyDescent="0.25">
      <c r="B44" s="212" t="s">
        <v>2125</v>
      </c>
      <c r="C44" s="211">
        <v>25</v>
      </c>
      <c r="D44" s="207">
        <f>SUMIFS('март 2023'!$G$4:$G$582,'март 2023'!$D$4:$D$582,$B44,'март 2023'!$J$4:$J$582,D$1)</f>
        <v>0</v>
      </c>
      <c r="E44" s="207">
        <f>SUMIFS('март 2023'!$G$4:$G$582,'март 2023'!$D$4:$D$582,$B44,'март 2023'!$J$4:$J$582,E$1)</f>
        <v>0</v>
      </c>
      <c r="F44" s="207">
        <f>SUMIFS('март 2023'!$G$4:$G$582,'март 2023'!$D$4:$D$582,$B44,'март 2023'!$J$4:$J$582,F$1)</f>
        <v>0</v>
      </c>
      <c r="G44" s="207">
        <f>SUMIFS('март 2023'!$G$4:$G$582,'март 2023'!$D$4:$D$582,$B44,'март 2023'!$J$4:$J$582,G$1)</f>
        <v>0</v>
      </c>
      <c r="H44" s="207">
        <f>SUMIFS('март 2023'!$G$4:$G$582,'март 2023'!$D$4:$D$582,$B44,'март 2023'!$J$4:$J$582,H$1)</f>
        <v>0</v>
      </c>
      <c r="I44" s="207">
        <f>SUMIFS('март 2023'!$G$4:$G$582,'март 2023'!$D$4:$D$582,$B44,'март 2023'!$J$4:$J$582,I$1)</f>
        <v>0</v>
      </c>
      <c r="J44" s="207">
        <f>SUMIFS('март 2023'!$G$4:$G$582,'март 2023'!$D$4:$D$582,$B44,'март 2023'!$J$4:$J$582,J$1)</f>
        <v>0</v>
      </c>
      <c r="K44" s="207">
        <f>SUMIFS('март 2023'!$G$4:$G$582,'март 2023'!$D$4:$D$582,$B44,'март 2023'!$J$4:$J$582,K$1)</f>
        <v>0</v>
      </c>
      <c r="L44" s="207">
        <f>SUMIFS('март 2023'!$G$4:$G$582,'март 2023'!$D$4:$D$582,$B44,'март 2023'!$J$4:$J$582,L$1)</f>
        <v>0</v>
      </c>
      <c r="M44" s="207">
        <f>SUMIFS('март 2023'!$G$4:$G$582,'март 2023'!$D$4:$D$582,$B44,'март 2023'!$J$4:$J$582,M$1)</f>
        <v>0</v>
      </c>
      <c r="N44" s="207">
        <f>SUMIFS('март 2023'!$G$4:$G$582,'март 2023'!$D$4:$D$582,$B44,'март 2023'!$J$4:$J$582,N$1)</f>
        <v>0</v>
      </c>
      <c r="O44" s="207">
        <f>SUMIFS('март 2023'!$G$4:$G$582,'март 2023'!$D$4:$D$582,$B44,'март 2023'!$J$4:$J$582,O$1)</f>
        <v>0</v>
      </c>
      <c r="P44" s="207">
        <f>SUMIFS('март 2023'!$G$4:$G$582,'март 2023'!$D$4:$D$582,$B44,'март 2023'!$J$4:$J$582,P$1)</f>
        <v>0</v>
      </c>
      <c r="Q44" s="207">
        <f>SUMIFS('март 2023'!$G$4:$G$582,'март 2023'!$D$4:$D$582,$B44,'март 2023'!$J$4:$J$582,Q$1)</f>
        <v>0</v>
      </c>
      <c r="R44" s="207">
        <f>SUMIFS('март 2023'!$G$4:$G$582,'март 2023'!$D$4:$D$582,$B44,'март 2023'!$J$4:$J$582,R$1)</f>
        <v>0</v>
      </c>
      <c r="S44" s="207">
        <f>SUMIFS('март 2023'!$G$4:$G$582,'март 2023'!$D$4:$D$582,$B44,'март 2023'!$J$4:$J$582,S$1)</f>
        <v>0</v>
      </c>
      <c r="T44" s="207">
        <f>SUMIFS('март 2023'!$G$4:$G$582,'март 2023'!$D$4:$D$582,$B44,'март 2023'!$J$4:$J$582,T$1)</f>
        <v>0</v>
      </c>
      <c r="U44" s="207">
        <f>SUMIFS('март 2023'!$G$4:$G$582,'март 2023'!$D$4:$D$582,$B44,'март 2023'!$J$4:$J$582,U$1)</f>
        <v>0</v>
      </c>
      <c r="V44" s="207">
        <f>SUMIFS('март 2023'!$G$4:$G$582,'март 2023'!$D$4:$D$582,$B44,'март 2023'!$J$4:$J$582,V$1)</f>
        <v>0</v>
      </c>
      <c r="W44" s="207">
        <f>SUMIFS('март 2023'!$G$4:$G$582,'март 2023'!$D$4:$D$582,$B44,'март 2023'!$J$4:$J$582,W$1)</f>
        <v>0</v>
      </c>
      <c r="X44" s="207">
        <f>SUMIFS('март 2023'!$G$4:$G$582,'март 2023'!$D$4:$D$582,$B44,'март 2023'!$J$4:$J$582,X$1)</f>
        <v>0</v>
      </c>
      <c r="Y44" s="207">
        <f>SUMIFS('март 2023'!$G$4:$G$582,'март 2023'!$D$4:$D$582,$B44,'март 2023'!$J$4:$J$582,Y$1)</f>
        <v>0</v>
      </c>
      <c r="Z44" s="207">
        <f>SUMIFS('март 2023'!$G$4:$G$582,'март 2023'!$D$4:$D$582,$B44,'март 2023'!$J$4:$J$582,Z$1)</f>
        <v>0</v>
      </c>
      <c r="AA44" s="207">
        <f>SUMIFS('март 2023'!$G$4:$G$582,'март 2023'!$D$4:$D$582,$B44,'март 2023'!$J$4:$J$582,AA$1)</f>
        <v>0</v>
      </c>
      <c r="AB44" s="207">
        <f>SUMIFS('март 2023'!$G$4:$G$582,'март 2023'!$D$4:$D$582,$B44,'март 2023'!$J$4:$J$582,AB$1)</f>
        <v>0</v>
      </c>
      <c r="AC44" s="207">
        <f>SUMIFS('март 2023'!$G$4:$G$582,'март 2023'!$D$4:$D$582,$B44,'март 2023'!$J$4:$J$582,AC$1)</f>
        <v>0</v>
      </c>
      <c r="AD44" s="207">
        <f>SUMIFS('март 2023'!$G$4:$G$582,'март 2023'!$D$4:$D$582,$B44,'март 2023'!$J$4:$J$582,AD$1)</f>
        <v>0</v>
      </c>
      <c r="AE44" s="207">
        <f>SUMIFS('март 2023'!$G$4:$G$582,'март 2023'!$D$4:$D$582,$B44,'март 2023'!$J$4:$J$582,AE$1)</f>
        <v>0</v>
      </c>
      <c r="AF44" s="207">
        <f>SUMIFS('март 2023'!$G$4:$G$582,'март 2023'!$D$4:$D$582,$B44,'март 2023'!$J$4:$J$582,AF$1)</f>
        <v>0</v>
      </c>
      <c r="AG44" s="207">
        <f>SUMIFS('март 2023'!$G$4:$G$582,'март 2023'!$D$4:$D$582,$B44,'март 2023'!$J$4:$J$582,AG$1)</f>
        <v>0</v>
      </c>
      <c r="AH44" s="207">
        <f>SUMIFS('март 2023'!$G$4:$G$582,'март 2023'!$D$4:$D$582,$B44,'март 2023'!$J$4:$J$582,AH$1)</f>
        <v>0</v>
      </c>
      <c r="AI44" s="170">
        <f t="shared" si="1"/>
        <v>0</v>
      </c>
    </row>
    <row r="45" spans="2:35" ht="15" customHeight="1" x14ac:dyDescent="0.25">
      <c r="B45" s="212" t="s">
        <v>98</v>
      </c>
      <c r="C45" s="213">
        <v>25</v>
      </c>
      <c r="D45" s="207">
        <f>SUMIFS('март 2023'!$G$4:$G$582,'март 2023'!$D$4:$D$582,$B45,'март 2023'!$J$4:$J$582,D$1)</f>
        <v>0</v>
      </c>
      <c r="E45" s="207">
        <f>SUMIFS('март 2023'!$G$4:$G$582,'март 2023'!$D$4:$D$582,$B45,'март 2023'!$J$4:$J$582,E$1)</f>
        <v>0</v>
      </c>
      <c r="F45" s="207">
        <f>SUMIFS('март 2023'!$G$4:$G$582,'март 2023'!$D$4:$D$582,$B45,'март 2023'!$J$4:$J$582,F$1)</f>
        <v>0</v>
      </c>
      <c r="G45" s="207">
        <f>SUMIFS('март 2023'!$G$4:$G$582,'март 2023'!$D$4:$D$582,$B45,'март 2023'!$J$4:$J$582,G$1)</f>
        <v>0</v>
      </c>
      <c r="H45" s="207">
        <f>SUMIFS('март 2023'!$G$4:$G$582,'март 2023'!$D$4:$D$582,$B45,'март 2023'!$J$4:$J$582,H$1)</f>
        <v>0</v>
      </c>
      <c r="I45" s="207">
        <f>SUMIFS('март 2023'!$G$4:$G$582,'март 2023'!$D$4:$D$582,$B45,'март 2023'!$J$4:$J$582,I$1)</f>
        <v>0</v>
      </c>
      <c r="J45" s="207">
        <f>SUMIFS('март 2023'!$G$4:$G$582,'март 2023'!$D$4:$D$582,$B45,'март 2023'!$J$4:$J$582,J$1)</f>
        <v>0</v>
      </c>
      <c r="K45" s="207">
        <f>SUMIFS('март 2023'!$G$4:$G$582,'март 2023'!$D$4:$D$582,$B45,'март 2023'!$J$4:$J$582,K$1)</f>
        <v>0</v>
      </c>
      <c r="L45" s="207">
        <f>SUMIFS('март 2023'!$G$4:$G$582,'март 2023'!$D$4:$D$582,$B45,'март 2023'!$J$4:$J$582,L$1)</f>
        <v>0</v>
      </c>
      <c r="M45" s="207">
        <f>SUMIFS('март 2023'!$G$4:$G$582,'март 2023'!$D$4:$D$582,$B45,'март 2023'!$J$4:$J$582,M$1)</f>
        <v>0</v>
      </c>
      <c r="N45" s="207">
        <f>SUMIFS('март 2023'!$G$4:$G$582,'март 2023'!$D$4:$D$582,$B45,'март 2023'!$J$4:$J$582,N$1)</f>
        <v>0</v>
      </c>
      <c r="O45" s="207">
        <f>SUMIFS('март 2023'!$G$4:$G$582,'март 2023'!$D$4:$D$582,$B45,'март 2023'!$J$4:$J$582,O$1)</f>
        <v>0</v>
      </c>
      <c r="P45" s="207">
        <f>SUMIFS('март 2023'!$G$4:$G$582,'март 2023'!$D$4:$D$582,$B45,'март 2023'!$J$4:$J$582,P$1)</f>
        <v>0</v>
      </c>
      <c r="Q45" s="207">
        <f>SUMIFS('март 2023'!$G$4:$G$582,'март 2023'!$D$4:$D$582,$B45,'март 2023'!$J$4:$J$582,Q$1)</f>
        <v>0</v>
      </c>
      <c r="R45" s="207">
        <f>SUMIFS('март 2023'!$G$4:$G$582,'март 2023'!$D$4:$D$582,$B45,'март 2023'!$J$4:$J$582,R$1)</f>
        <v>0</v>
      </c>
      <c r="S45" s="207">
        <f>SUMIFS('март 2023'!$G$4:$G$582,'март 2023'!$D$4:$D$582,$B45,'март 2023'!$J$4:$J$582,S$1)</f>
        <v>0</v>
      </c>
      <c r="T45" s="207">
        <f>SUMIFS('март 2023'!$G$4:$G$582,'март 2023'!$D$4:$D$582,$B45,'март 2023'!$J$4:$J$582,T$1)</f>
        <v>0</v>
      </c>
      <c r="U45" s="207">
        <f>SUMIFS('март 2023'!$G$4:$G$582,'март 2023'!$D$4:$D$582,$B45,'март 2023'!$J$4:$J$582,U$1)</f>
        <v>0</v>
      </c>
      <c r="V45" s="207">
        <f>SUMIFS('март 2023'!$G$4:$G$582,'март 2023'!$D$4:$D$582,$B45,'март 2023'!$J$4:$J$582,V$1)</f>
        <v>0</v>
      </c>
      <c r="W45" s="207">
        <f>SUMIFS('март 2023'!$G$4:$G$582,'март 2023'!$D$4:$D$582,$B45,'март 2023'!$J$4:$J$582,W$1)</f>
        <v>0</v>
      </c>
      <c r="X45" s="207">
        <f>SUMIFS('март 2023'!$G$4:$G$582,'март 2023'!$D$4:$D$582,$B45,'март 2023'!$J$4:$J$582,X$1)</f>
        <v>0</v>
      </c>
      <c r="Y45" s="207">
        <f>SUMIFS('март 2023'!$G$4:$G$582,'март 2023'!$D$4:$D$582,$B45,'март 2023'!$J$4:$J$582,Y$1)</f>
        <v>0</v>
      </c>
      <c r="Z45" s="207">
        <f>SUMIFS('март 2023'!$G$4:$G$582,'март 2023'!$D$4:$D$582,$B45,'март 2023'!$J$4:$J$582,Z$1)</f>
        <v>0</v>
      </c>
      <c r="AA45" s="207">
        <f>SUMIFS('март 2023'!$G$4:$G$582,'март 2023'!$D$4:$D$582,$B45,'март 2023'!$J$4:$J$582,AA$1)</f>
        <v>0</v>
      </c>
      <c r="AB45" s="207">
        <f>SUMIFS('март 2023'!$G$4:$G$582,'март 2023'!$D$4:$D$582,$B45,'март 2023'!$J$4:$J$582,AB$1)</f>
        <v>0</v>
      </c>
      <c r="AC45" s="207">
        <f>SUMIFS('март 2023'!$G$4:$G$582,'март 2023'!$D$4:$D$582,$B45,'март 2023'!$J$4:$J$582,AC$1)</f>
        <v>0</v>
      </c>
      <c r="AD45" s="207">
        <f>SUMIFS('март 2023'!$G$4:$G$582,'март 2023'!$D$4:$D$582,$B45,'март 2023'!$J$4:$J$582,AD$1)</f>
        <v>0</v>
      </c>
      <c r="AE45" s="207">
        <f>SUMIFS('март 2023'!$G$4:$G$582,'март 2023'!$D$4:$D$582,$B45,'март 2023'!$J$4:$J$582,AE$1)</f>
        <v>0</v>
      </c>
      <c r="AF45" s="207">
        <f>SUMIFS('март 2023'!$G$4:$G$582,'март 2023'!$D$4:$D$582,$B45,'март 2023'!$J$4:$J$582,AF$1)</f>
        <v>0</v>
      </c>
      <c r="AG45" s="207">
        <f>SUMIFS('март 2023'!$G$4:$G$582,'март 2023'!$D$4:$D$582,$B45,'март 2023'!$J$4:$J$582,AG$1)</f>
        <v>0</v>
      </c>
      <c r="AH45" s="207">
        <f>SUMIFS('март 2023'!$G$4:$G$582,'март 2023'!$D$4:$D$582,$B45,'март 2023'!$J$4:$J$582,AH$1)</f>
        <v>0</v>
      </c>
      <c r="AI45" s="170">
        <f t="shared" si="1"/>
        <v>0</v>
      </c>
    </row>
    <row r="46" spans="2:35" ht="15" customHeight="1" x14ac:dyDescent="0.25">
      <c r="B46" s="208" t="s">
        <v>684</v>
      </c>
      <c r="C46" s="213">
        <v>20</v>
      </c>
      <c r="D46" s="207">
        <f>SUMIFS('март 2023'!$G$4:$G$582,'март 2023'!$D$4:$D$582,$B46,'март 2023'!$J$4:$J$582,D$1)</f>
        <v>0</v>
      </c>
      <c r="E46" s="207">
        <f>SUMIFS('март 2023'!$G$4:$G$582,'март 2023'!$D$4:$D$582,$B46,'март 2023'!$J$4:$J$582,E$1)</f>
        <v>1000</v>
      </c>
      <c r="F46" s="207">
        <f>SUMIFS('март 2023'!$G$4:$G$582,'март 2023'!$D$4:$D$582,$B46,'март 2023'!$J$4:$J$582,F$1)</f>
        <v>0</v>
      </c>
      <c r="G46" s="207">
        <f>SUMIFS('март 2023'!$G$4:$G$582,'март 2023'!$D$4:$D$582,$B46,'март 2023'!$J$4:$J$582,G$1)</f>
        <v>0</v>
      </c>
      <c r="H46" s="207">
        <f>SUMIFS('март 2023'!$G$4:$G$582,'март 2023'!$D$4:$D$582,$B46,'март 2023'!$J$4:$J$582,H$1)</f>
        <v>0</v>
      </c>
      <c r="I46" s="207">
        <f>SUMIFS('март 2023'!$G$4:$G$582,'март 2023'!$D$4:$D$582,$B46,'март 2023'!$J$4:$J$582,I$1)</f>
        <v>1000</v>
      </c>
      <c r="J46" s="207">
        <f>SUMIFS('март 2023'!$G$4:$G$582,'март 2023'!$D$4:$D$582,$B46,'март 2023'!$J$4:$J$582,J$1)</f>
        <v>3000</v>
      </c>
      <c r="K46" s="207">
        <f>SUMIFS('март 2023'!$G$4:$G$582,'март 2023'!$D$4:$D$582,$B46,'март 2023'!$J$4:$J$582,K$1)</f>
        <v>0</v>
      </c>
      <c r="L46" s="207">
        <f>SUMIFS('март 2023'!$G$4:$G$582,'март 2023'!$D$4:$D$582,$B46,'март 2023'!$J$4:$J$582,L$1)</f>
        <v>0</v>
      </c>
      <c r="M46" s="207">
        <f>SUMIFS('март 2023'!$G$4:$G$582,'март 2023'!$D$4:$D$582,$B46,'март 2023'!$J$4:$J$582,M$1)</f>
        <v>0</v>
      </c>
      <c r="N46" s="207">
        <f>SUMIFS('март 2023'!$G$4:$G$582,'март 2023'!$D$4:$D$582,$B46,'март 2023'!$J$4:$J$582,N$1)</f>
        <v>0</v>
      </c>
      <c r="O46" s="207">
        <f>SUMIFS('март 2023'!$G$4:$G$582,'март 2023'!$D$4:$D$582,$B46,'март 2023'!$J$4:$J$582,O$1)</f>
        <v>0</v>
      </c>
      <c r="P46" s="207">
        <f>SUMIFS('март 2023'!$G$4:$G$582,'март 2023'!$D$4:$D$582,$B46,'март 2023'!$J$4:$J$582,P$1)</f>
        <v>0</v>
      </c>
      <c r="Q46" s="207">
        <f>SUMIFS('март 2023'!$G$4:$G$582,'март 2023'!$D$4:$D$582,$B46,'март 2023'!$J$4:$J$582,Q$1)</f>
        <v>0</v>
      </c>
      <c r="R46" s="207">
        <f>SUMIFS('март 2023'!$G$4:$G$582,'март 2023'!$D$4:$D$582,$B46,'март 2023'!$J$4:$J$582,R$1)</f>
        <v>0</v>
      </c>
      <c r="S46" s="207">
        <f>SUMIFS('март 2023'!$G$4:$G$582,'март 2023'!$D$4:$D$582,$B46,'март 2023'!$J$4:$J$582,S$1)</f>
        <v>0</v>
      </c>
      <c r="T46" s="207">
        <f>SUMIFS('март 2023'!$G$4:$G$582,'март 2023'!$D$4:$D$582,$B46,'март 2023'!$J$4:$J$582,T$1)</f>
        <v>0</v>
      </c>
      <c r="U46" s="207">
        <f>SUMIFS('март 2023'!$G$4:$G$582,'март 2023'!$D$4:$D$582,$B46,'март 2023'!$J$4:$J$582,U$1)</f>
        <v>0</v>
      </c>
      <c r="V46" s="207">
        <f>SUMIFS('март 2023'!$G$4:$G$582,'март 2023'!$D$4:$D$582,$B46,'март 2023'!$J$4:$J$582,V$1)</f>
        <v>0</v>
      </c>
      <c r="W46" s="207">
        <f>SUMIFS('март 2023'!$G$4:$G$582,'март 2023'!$D$4:$D$582,$B46,'март 2023'!$J$4:$J$582,W$1)</f>
        <v>0</v>
      </c>
      <c r="X46" s="207">
        <f>SUMIFS('март 2023'!$G$4:$G$582,'март 2023'!$D$4:$D$582,$B46,'март 2023'!$J$4:$J$582,X$1)</f>
        <v>0</v>
      </c>
      <c r="Y46" s="207">
        <f>SUMIFS('март 2023'!$G$4:$G$582,'март 2023'!$D$4:$D$582,$B46,'март 2023'!$J$4:$J$582,Y$1)</f>
        <v>0</v>
      </c>
      <c r="Z46" s="207">
        <f>SUMIFS('март 2023'!$G$4:$G$582,'март 2023'!$D$4:$D$582,$B46,'март 2023'!$J$4:$J$582,Z$1)</f>
        <v>0</v>
      </c>
      <c r="AA46" s="207">
        <f>SUMIFS('март 2023'!$G$4:$G$582,'март 2023'!$D$4:$D$582,$B46,'март 2023'!$J$4:$J$582,AA$1)</f>
        <v>0</v>
      </c>
      <c r="AB46" s="207">
        <f>SUMIFS('март 2023'!$G$4:$G$582,'март 2023'!$D$4:$D$582,$B46,'март 2023'!$J$4:$J$582,AB$1)</f>
        <v>0</v>
      </c>
      <c r="AC46" s="207">
        <f>SUMIFS('март 2023'!$G$4:$G$582,'март 2023'!$D$4:$D$582,$B46,'март 2023'!$J$4:$J$582,AC$1)</f>
        <v>0</v>
      </c>
      <c r="AD46" s="207">
        <f>SUMIFS('март 2023'!$G$4:$G$582,'март 2023'!$D$4:$D$582,$B46,'март 2023'!$J$4:$J$582,AD$1)</f>
        <v>0</v>
      </c>
      <c r="AE46" s="207">
        <f>SUMIFS('март 2023'!$G$4:$G$582,'март 2023'!$D$4:$D$582,$B46,'март 2023'!$J$4:$J$582,AE$1)</f>
        <v>0</v>
      </c>
      <c r="AF46" s="207">
        <f>SUMIFS('март 2023'!$G$4:$G$582,'март 2023'!$D$4:$D$582,$B46,'март 2023'!$J$4:$J$582,AF$1)</f>
        <v>0</v>
      </c>
      <c r="AG46" s="207">
        <f>SUMIFS('март 2023'!$G$4:$G$582,'март 2023'!$D$4:$D$582,$B46,'март 2023'!$J$4:$J$582,AG$1)</f>
        <v>0</v>
      </c>
      <c r="AH46" s="207">
        <f>SUMIFS('март 2023'!$G$4:$G$582,'март 2023'!$D$4:$D$582,$B46,'март 2023'!$J$4:$J$582,AH$1)</f>
        <v>0</v>
      </c>
      <c r="AI46" s="170">
        <f t="shared" si="1"/>
        <v>5000</v>
      </c>
    </row>
    <row r="47" spans="2:35" ht="15" customHeight="1" x14ac:dyDescent="0.25">
      <c r="B47" s="212" t="s">
        <v>1062</v>
      </c>
      <c r="C47" s="213">
        <v>20</v>
      </c>
      <c r="D47" s="207">
        <f>SUMIFS('март 2023'!$G$4:$G$582,'март 2023'!$D$4:$D$582,$B47,'март 2023'!$J$4:$J$582,D$1)</f>
        <v>0</v>
      </c>
      <c r="E47" s="207">
        <f>SUMIFS('март 2023'!$G$4:$G$582,'март 2023'!$D$4:$D$582,$B47,'март 2023'!$J$4:$J$582,E$1)</f>
        <v>0</v>
      </c>
      <c r="F47" s="207">
        <f>SUMIFS('март 2023'!$G$4:$G$582,'март 2023'!$D$4:$D$582,$B47,'март 2023'!$J$4:$J$582,F$1)</f>
        <v>0</v>
      </c>
      <c r="G47" s="207">
        <f>SUMIFS('март 2023'!$G$4:$G$582,'март 2023'!$D$4:$D$582,$B47,'март 2023'!$J$4:$J$582,G$1)</f>
        <v>0</v>
      </c>
      <c r="H47" s="207">
        <f>SUMIFS('март 2023'!$G$4:$G$582,'март 2023'!$D$4:$D$582,$B47,'март 2023'!$J$4:$J$582,H$1)</f>
        <v>0</v>
      </c>
      <c r="I47" s="207">
        <f>SUMIFS('март 2023'!$G$4:$G$582,'март 2023'!$D$4:$D$582,$B47,'март 2023'!$J$4:$J$582,I$1)</f>
        <v>0</v>
      </c>
      <c r="J47" s="207">
        <f>SUMIFS('март 2023'!$G$4:$G$582,'март 2023'!$D$4:$D$582,$B47,'март 2023'!$J$4:$J$582,J$1)</f>
        <v>0</v>
      </c>
      <c r="K47" s="207">
        <f>SUMIFS('март 2023'!$G$4:$G$582,'март 2023'!$D$4:$D$582,$B47,'март 2023'!$J$4:$J$582,K$1)</f>
        <v>0</v>
      </c>
      <c r="L47" s="207">
        <f>SUMIFS('март 2023'!$G$4:$G$582,'март 2023'!$D$4:$D$582,$B47,'март 2023'!$J$4:$J$582,L$1)</f>
        <v>0</v>
      </c>
      <c r="M47" s="207">
        <f>SUMIFS('март 2023'!$G$4:$G$582,'март 2023'!$D$4:$D$582,$B47,'март 2023'!$J$4:$J$582,M$1)</f>
        <v>0</v>
      </c>
      <c r="N47" s="207">
        <f>SUMIFS('март 2023'!$G$4:$G$582,'март 2023'!$D$4:$D$582,$B47,'март 2023'!$J$4:$J$582,N$1)</f>
        <v>0</v>
      </c>
      <c r="O47" s="207">
        <f>SUMIFS('март 2023'!$G$4:$G$582,'март 2023'!$D$4:$D$582,$B47,'март 2023'!$J$4:$J$582,O$1)</f>
        <v>0</v>
      </c>
      <c r="P47" s="207">
        <f>SUMIFS('март 2023'!$G$4:$G$582,'март 2023'!$D$4:$D$582,$B47,'март 2023'!$J$4:$J$582,P$1)</f>
        <v>0</v>
      </c>
      <c r="Q47" s="207">
        <f>SUMIFS('март 2023'!$G$4:$G$582,'март 2023'!$D$4:$D$582,$B47,'март 2023'!$J$4:$J$582,Q$1)</f>
        <v>0</v>
      </c>
      <c r="R47" s="207">
        <f>SUMIFS('март 2023'!$G$4:$G$582,'март 2023'!$D$4:$D$582,$B47,'март 2023'!$J$4:$J$582,R$1)</f>
        <v>0</v>
      </c>
      <c r="S47" s="207">
        <f>SUMIFS('март 2023'!$G$4:$G$582,'март 2023'!$D$4:$D$582,$B47,'март 2023'!$J$4:$J$582,S$1)</f>
        <v>0</v>
      </c>
      <c r="T47" s="207">
        <f>SUMIFS('март 2023'!$G$4:$G$582,'март 2023'!$D$4:$D$582,$B47,'март 2023'!$J$4:$J$582,T$1)</f>
        <v>0</v>
      </c>
      <c r="U47" s="207">
        <f>SUMIFS('март 2023'!$G$4:$G$582,'март 2023'!$D$4:$D$582,$B47,'март 2023'!$J$4:$J$582,U$1)</f>
        <v>0</v>
      </c>
      <c r="V47" s="207">
        <f>SUMIFS('март 2023'!$G$4:$G$582,'март 2023'!$D$4:$D$582,$B47,'март 2023'!$J$4:$J$582,V$1)</f>
        <v>0</v>
      </c>
      <c r="W47" s="207">
        <f>SUMIFS('март 2023'!$G$4:$G$582,'март 2023'!$D$4:$D$582,$B47,'март 2023'!$J$4:$J$582,W$1)</f>
        <v>0</v>
      </c>
      <c r="X47" s="207">
        <f>SUMIFS('март 2023'!$G$4:$G$582,'март 2023'!$D$4:$D$582,$B47,'март 2023'!$J$4:$J$582,X$1)</f>
        <v>0</v>
      </c>
      <c r="Y47" s="207">
        <f>SUMIFS('март 2023'!$G$4:$G$582,'март 2023'!$D$4:$D$582,$B47,'март 2023'!$J$4:$J$582,Y$1)</f>
        <v>0</v>
      </c>
      <c r="Z47" s="207">
        <f>SUMIFS('март 2023'!$G$4:$G$582,'март 2023'!$D$4:$D$582,$B47,'март 2023'!$J$4:$J$582,Z$1)</f>
        <v>0</v>
      </c>
      <c r="AA47" s="207">
        <f>SUMIFS('март 2023'!$G$4:$G$582,'март 2023'!$D$4:$D$582,$B47,'март 2023'!$J$4:$J$582,AA$1)</f>
        <v>0</v>
      </c>
      <c r="AB47" s="207">
        <f>SUMIFS('март 2023'!$G$4:$G$582,'март 2023'!$D$4:$D$582,$B47,'март 2023'!$J$4:$J$582,AB$1)</f>
        <v>0</v>
      </c>
      <c r="AC47" s="207">
        <f>SUMIFS('март 2023'!$G$4:$G$582,'март 2023'!$D$4:$D$582,$B47,'март 2023'!$J$4:$J$582,AC$1)</f>
        <v>0</v>
      </c>
      <c r="AD47" s="207">
        <f>SUMIFS('март 2023'!$G$4:$G$582,'март 2023'!$D$4:$D$582,$B47,'март 2023'!$J$4:$J$582,AD$1)</f>
        <v>0</v>
      </c>
      <c r="AE47" s="207">
        <f>SUMIFS('март 2023'!$G$4:$G$582,'март 2023'!$D$4:$D$582,$B47,'март 2023'!$J$4:$J$582,AE$1)</f>
        <v>0</v>
      </c>
      <c r="AF47" s="207">
        <f>SUMIFS('март 2023'!$G$4:$G$582,'март 2023'!$D$4:$D$582,$B47,'март 2023'!$J$4:$J$582,AF$1)</f>
        <v>0</v>
      </c>
      <c r="AG47" s="207">
        <f>SUMIFS('март 2023'!$G$4:$G$582,'март 2023'!$D$4:$D$582,$B47,'март 2023'!$J$4:$J$582,AG$1)</f>
        <v>0</v>
      </c>
      <c r="AH47" s="207">
        <f>SUMIFS('март 2023'!$G$4:$G$582,'март 2023'!$D$4:$D$582,$B47,'март 2023'!$J$4:$J$582,AH$1)</f>
        <v>0</v>
      </c>
      <c r="AI47" s="170">
        <f t="shared" si="1"/>
        <v>0</v>
      </c>
    </row>
    <row r="48" spans="2:35" ht="15" customHeight="1" x14ac:dyDescent="0.25">
      <c r="B48" s="212" t="s">
        <v>1084</v>
      </c>
      <c r="C48" s="213">
        <v>20</v>
      </c>
      <c r="D48" s="207">
        <f>SUMIFS('март 2023'!$G$4:$G$582,'март 2023'!$D$4:$D$582,$B48,'март 2023'!$J$4:$J$582,D$1)</f>
        <v>0</v>
      </c>
      <c r="E48" s="207">
        <f>SUMIFS('март 2023'!$G$4:$G$582,'март 2023'!$D$4:$D$582,$B48,'март 2023'!$J$4:$J$582,E$1)</f>
        <v>0</v>
      </c>
      <c r="F48" s="207">
        <f>SUMIFS('март 2023'!$G$4:$G$582,'март 2023'!$D$4:$D$582,$B48,'март 2023'!$J$4:$J$582,F$1)</f>
        <v>0</v>
      </c>
      <c r="G48" s="207">
        <f>SUMIFS('март 2023'!$G$4:$G$582,'март 2023'!$D$4:$D$582,$B48,'март 2023'!$J$4:$J$582,G$1)</f>
        <v>0</v>
      </c>
      <c r="H48" s="207">
        <f>SUMIFS('март 2023'!$G$4:$G$582,'март 2023'!$D$4:$D$582,$B48,'март 2023'!$J$4:$J$582,H$1)</f>
        <v>0</v>
      </c>
      <c r="I48" s="207">
        <f>SUMIFS('март 2023'!$G$4:$G$582,'март 2023'!$D$4:$D$582,$B48,'март 2023'!$J$4:$J$582,I$1)</f>
        <v>0</v>
      </c>
      <c r="J48" s="207">
        <f>SUMIFS('март 2023'!$G$4:$G$582,'март 2023'!$D$4:$D$582,$B48,'март 2023'!$J$4:$J$582,J$1)</f>
        <v>0</v>
      </c>
      <c r="K48" s="207">
        <f>SUMIFS('март 2023'!$G$4:$G$582,'март 2023'!$D$4:$D$582,$B48,'март 2023'!$J$4:$J$582,K$1)</f>
        <v>0</v>
      </c>
      <c r="L48" s="207">
        <f>SUMIFS('март 2023'!$G$4:$G$582,'март 2023'!$D$4:$D$582,$B48,'март 2023'!$J$4:$J$582,L$1)</f>
        <v>0</v>
      </c>
      <c r="M48" s="207">
        <f>SUMIFS('март 2023'!$G$4:$G$582,'март 2023'!$D$4:$D$582,$B48,'март 2023'!$J$4:$J$582,M$1)</f>
        <v>0</v>
      </c>
      <c r="N48" s="207">
        <f>SUMIFS('март 2023'!$G$4:$G$582,'март 2023'!$D$4:$D$582,$B48,'март 2023'!$J$4:$J$582,N$1)</f>
        <v>0</v>
      </c>
      <c r="O48" s="207">
        <f>SUMIFS('март 2023'!$G$4:$G$582,'март 2023'!$D$4:$D$582,$B48,'март 2023'!$J$4:$J$582,O$1)</f>
        <v>0</v>
      </c>
      <c r="P48" s="207">
        <f>SUMIFS('март 2023'!$G$4:$G$582,'март 2023'!$D$4:$D$582,$B48,'март 2023'!$J$4:$J$582,P$1)</f>
        <v>0</v>
      </c>
      <c r="Q48" s="207">
        <f>SUMIFS('март 2023'!$G$4:$G$582,'март 2023'!$D$4:$D$582,$B48,'март 2023'!$J$4:$J$582,Q$1)</f>
        <v>0</v>
      </c>
      <c r="R48" s="207">
        <f>SUMIFS('март 2023'!$G$4:$G$582,'март 2023'!$D$4:$D$582,$B48,'март 2023'!$J$4:$J$582,R$1)</f>
        <v>0</v>
      </c>
      <c r="S48" s="207">
        <f>SUMIFS('март 2023'!$G$4:$G$582,'март 2023'!$D$4:$D$582,$B48,'март 2023'!$J$4:$J$582,S$1)</f>
        <v>0</v>
      </c>
      <c r="T48" s="207">
        <f>SUMIFS('март 2023'!$G$4:$G$582,'март 2023'!$D$4:$D$582,$B48,'март 2023'!$J$4:$J$582,T$1)</f>
        <v>0</v>
      </c>
      <c r="U48" s="207">
        <f>SUMIFS('март 2023'!$G$4:$G$582,'март 2023'!$D$4:$D$582,$B48,'март 2023'!$J$4:$J$582,U$1)</f>
        <v>0</v>
      </c>
      <c r="V48" s="207">
        <f>SUMIFS('март 2023'!$G$4:$G$582,'март 2023'!$D$4:$D$582,$B48,'март 2023'!$J$4:$J$582,V$1)</f>
        <v>0</v>
      </c>
      <c r="W48" s="207">
        <f>SUMIFS('март 2023'!$G$4:$G$582,'март 2023'!$D$4:$D$582,$B48,'март 2023'!$J$4:$J$582,W$1)</f>
        <v>0</v>
      </c>
      <c r="X48" s="207">
        <f>SUMIFS('март 2023'!$G$4:$G$582,'март 2023'!$D$4:$D$582,$B48,'март 2023'!$J$4:$J$582,X$1)</f>
        <v>0</v>
      </c>
      <c r="Y48" s="207">
        <f>SUMIFS('март 2023'!$G$4:$G$582,'март 2023'!$D$4:$D$582,$B48,'март 2023'!$J$4:$J$582,Y$1)</f>
        <v>0</v>
      </c>
      <c r="Z48" s="207">
        <f>SUMIFS('март 2023'!$G$4:$G$582,'март 2023'!$D$4:$D$582,$B48,'март 2023'!$J$4:$J$582,Z$1)</f>
        <v>0</v>
      </c>
      <c r="AA48" s="207">
        <f>SUMIFS('март 2023'!$G$4:$G$582,'март 2023'!$D$4:$D$582,$B48,'март 2023'!$J$4:$J$582,AA$1)</f>
        <v>0</v>
      </c>
      <c r="AB48" s="207">
        <f>SUMIFS('март 2023'!$G$4:$G$582,'март 2023'!$D$4:$D$582,$B48,'март 2023'!$J$4:$J$582,AB$1)</f>
        <v>0</v>
      </c>
      <c r="AC48" s="207">
        <f>SUMIFS('март 2023'!$G$4:$G$582,'март 2023'!$D$4:$D$582,$B48,'март 2023'!$J$4:$J$582,AC$1)</f>
        <v>0</v>
      </c>
      <c r="AD48" s="207">
        <f>SUMIFS('март 2023'!$G$4:$G$582,'март 2023'!$D$4:$D$582,$B48,'март 2023'!$J$4:$J$582,AD$1)</f>
        <v>0</v>
      </c>
      <c r="AE48" s="207">
        <f>SUMIFS('март 2023'!$G$4:$G$582,'март 2023'!$D$4:$D$582,$B48,'март 2023'!$J$4:$J$582,AE$1)</f>
        <v>0</v>
      </c>
      <c r="AF48" s="207">
        <f>SUMIFS('март 2023'!$G$4:$G$582,'март 2023'!$D$4:$D$582,$B48,'март 2023'!$J$4:$J$582,AF$1)</f>
        <v>0</v>
      </c>
      <c r="AG48" s="207">
        <f>SUMIFS('март 2023'!$G$4:$G$582,'март 2023'!$D$4:$D$582,$B48,'март 2023'!$J$4:$J$582,AG$1)</f>
        <v>0</v>
      </c>
      <c r="AH48" s="207">
        <f>SUMIFS('март 2023'!$G$4:$G$582,'март 2023'!$D$4:$D$582,$B48,'март 2023'!$J$4:$J$582,AH$1)</f>
        <v>0</v>
      </c>
      <c r="AI48" s="170">
        <f t="shared" si="1"/>
        <v>0</v>
      </c>
    </row>
    <row r="49" spans="2:35" ht="15" customHeight="1" x14ac:dyDescent="0.25">
      <c r="B49" s="212" t="s">
        <v>440</v>
      </c>
      <c r="C49" s="213">
        <v>20</v>
      </c>
      <c r="D49" s="207">
        <f>SUMIFS('март 2023'!$G$4:$G$582,'март 2023'!$D$4:$D$582,$B49,'март 2023'!$J$4:$J$582,D$1)</f>
        <v>0</v>
      </c>
      <c r="E49" s="207">
        <f>SUMIFS('март 2023'!$G$4:$G$582,'март 2023'!$D$4:$D$582,$B49,'март 2023'!$J$4:$J$582,E$1)</f>
        <v>0</v>
      </c>
      <c r="F49" s="207">
        <f>SUMIFS('март 2023'!$G$4:$G$582,'март 2023'!$D$4:$D$582,$B49,'март 2023'!$J$4:$J$582,F$1)</f>
        <v>0</v>
      </c>
      <c r="G49" s="207">
        <f>SUMIFS('март 2023'!$G$4:$G$582,'март 2023'!$D$4:$D$582,$B49,'март 2023'!$J$4:$J$582,G$1)</f>
        <v>0</v>
      </c>
      <c r="H49" s="207">
        <f>SUMIFS('март 2023'!$G$4:$G$582,'март 2023'!$D$4:$D$582,$B49,'март 2023'!$J$4:$J$582,H$1)</f>
        <v>0</v>
      </c>
      <c r="I49" s="207">
        <f>SUMIFS('март 2023'!$G$4:$G$582,'март 2023'!$D$4:$D$582,$B49,'март 2023'!$J$4:$J$582,I$1)</f>
        <v>0</v>
      </c>
      <c r="J49" s="207">
        <f>SUMIFS('март 2023'!$G$4:$G$582,'март 2023'!$D$4:$D$582,$B49,'март 2023'!$J$4:$J$582,J$1)</f>
        <v>0</v>
      </c>
      <c r="K49" s="207">
        <f>SUMIFS('март 2023'!$G$4:$G$582,'март 2023'!$D$4:$D$582,$B49,'март 2023'!$J$4:$J$582,K$1)</f>
        <v>0</v>
      </c>
      <c r="L49" s="207">
        <f>SUMIFS('март 2023'!$G$4:$G$582,'март 2023'!$D$4:$D$582,$B49,'март 2023'!$J$4:$J$582,L$1)</f>
        <v>0</v>
      </c>
      <c r="M49" s="207">
        <f>SUMIFS('март 2023'!$G$4:$G$582,'март 2023'!$D$4:$D$582,$B49,'март 2023'!$J$4:$J$582,M$1)</f>
        <v>1</v>
      </c>
      <c r="N49" s="207">
        <f>SUMIFS('март 2023'!$G$4:$G$582,'март 2023'!$D$4:$D$582,$B49,'март 2023'!$J$4:$J$582,N$1)</f>
        <v>0</v>
      </c>
      <c r="O49" s="207">
        <f>SUMIFS('март 2023'!$G$4:$G$582,'март 2023'!$D$4:$D$582,$B49,'март 2023'!$J$4:$J$582,O$1)</f>
        <v>0</v>
      </c>
      <c r="P49" s="207">
        <f>SUMIFS('март 2023'!$G$4:$G$582,'март 2023'!$D$4:$D$582,$B49,'март 2023'!$J$4:$J$582,P$1)</f>
        <v>0</v>
      </c>
      <c r="Q49" s="207">
        <f>SUMIFS('март 2023'!$G$4:$G$582,'март 2023'!$D$4:$D$582,$B49,'март 2023'!$J$4:$J$582,Q$1)</f>
        <v>0</v>
      </c>
      <c r="R49" s="207">
        <f>SUMIFS('март 2023'!$G$4:$G$582,'март 2023'!$D$4:$D$582,$B49,'март 2023'!$J$4:$J$582,R$1)</f>
        <v>0</v>
      </c>
      <c r="S49" s="207">
        <f>SUMIFS('март 2023'!$G$4:$G$582,'март 2023'!$D$4:$D$582,$B49,'март 2023'!$J$4:$J$582,S$1)</f>
        <v>0</v>
      </c>
      <c r="T49" s="207">
        <f>SUMIFS('март 2023'!$G$4:$G$582,'март 2023'!$D$4:$D$582,$B49,'март 2023'!$J$4:$J$582,T$1)</f>
        <v>0</v>
      </c>
      <c r="U49" s="207">
        <f>SUMIFS('март 2023'!$G$4:$G$582,'март 2023'!$D$4:$D$582,$B49,'март 2023'!$J$4:$J$582,U$1)</f>
        <v>0</v>
      </c>
      <c r="V49" s="207">
        <f>SUMIFS('март 2023'!$G$4:$G$582,'март 2023'!$D$4:$D$582,$B49,'март 2023'!$J$4:$J$582,V$1)</f>
        <v>0</v>
      </c>
      <c r="W49" s="207">
        <f>SUMIFS('март 2023'!$G$4:$G$582,'март 2023'!$D$4:$D$582,$B49,'март 2023'!$J$4:$J$582,W$1)</f>
        <v>0</v>
      </c>
      <c r="X49" s="207">
        <f>SUMIFS('март 2023'!$G$4:$G$582,'март 2023'!$D$4:$D$582,$B49,'март 2023'!$J$4:$J$582,X$1)</f>
        <v>0</v>
      </c>
      <c r="Y49" s="207">
        <f>SUMIFS('март 2023'!$G$4:$G$582,'март 2023'!$D$4:$D$582,$B49,'март 2023'!$J$4:$J$582,Y$1)</f>
        <v>0</v>
      </c>
      <c r="Z49" s="207">
        <f>SUMIFS('март 2023'!$G$4:$G$582,'март 2023'!$D$4:$D$582,$B49,'март 2023'!$J$4:$J$582,Z$1)</f>
        <v>0</v>
      </c>
      <c r="AA49" s="207">
        <f>SUMIFS('март 2023'!$G$4:$G$582,'март 2023'!$D$4:$D$582,$B49,'март 2023'!$J$4:$J$582,AA$1)</f>
        <v>0</v>
      </c>
      <c r="AB49" s="207">
        <f>SUMIFS('март 2023'!$G$4:$G$582,'март 2023'!$D$4:$D$582,$B49,'март 2023'!$J$4:$J$582,AB$1)</f>
        <v>0</v>
      </c>
      <c r="AC49" s="207">
        <f>SUMIFS('март 2023'!$G$4:$G$582,'март 2023'!$D$4:$D$582,$B49,'март 2023'!$J$4:$J$582,AC$1)</f>
        <v>0</v>
      </c>
      <c r="AD49" s="207">
        <f>SUMIFS('март 2023'!$G$4:$G$582,'март 2023'!$D$4:$D$582,$B49,'март 2023'!$J$4:$J$582,AD$1)</f>
        <v>0</v>
      </c>
      <c r="AE49" s="207">
        <f>SUMIFS('март 2023'!$G$4:$G$582,'март 2023'!$D$4:$D$582,$B49,'март 2023'!$J$4:$J$582,AE$1)</f>
        <v>0</v>
      </c>
      <c r="AF49" s="207">
        <f>SUMIFS('март 2023'!$G$4:$G$582,'март 2023'!$D$4:$D$582,$B49,'март 2023'!$J$4:$J$582,AF$1)</f>
        <v>0</v>
      </c>
      <c r="AG49" s="207">
        <f>SUMIFS('март 2023'!$G$4:$G$582,'март 2023'!$D$4:$D$582,$B49,'март 2023'!$J$4:$J$582,AG$1)</f>
        <v>0</v>
      </c>
      <c r="AH49" s="207">
        <f>SUMIFS('март 2023'!$G$4:$G$582,'март 2023'!$D$4:$D$582,$B49,'март 2023'!$J$4:$J$582,AH$1)</f>
        <v>0</v>
      </c>
      <c r="AI49" s="170">
        <f t="shared" si="1"/>
        <v>1</v>
      </c>
    </row>
    <row r="50" spans="2:35" ht="15" customHeight="1" x14ac:dyDescent="0.25">
      <c r="B50" s="217"/>
      <c r="C50" s="213"/>
      <c r="D50" s="207">
        <f>SUMIFS('март 2023'!$G$4:$G$582,'март 2023'!$D$4:$D$582,$B50,'март 2023'!$J$4:$J$582,D$1)</f>
        <v>0</v>
      </c>
      <c r="E50" s="207">
        <f>SUMIFS('март 2023'!$G$4:$G$582,'март 2023'!$D$4:$D$582,$B50,'март 2023'!$J$4:$J$582,E$1)</f>
        <v>0</v>
      </c>
      <c r="F50" s="207">
        <f>SUMIFS('март 2023'!$G$4:$G$582,'март 2023'!$D$4:$D$582,$B50,'март 2023'!$J$4:$J$582,F$1)</f>
        <v>0</v>
      </c>
      <c r="G50" s="207">
        <f>SUMIFS('март 2023'!$G$4:$G$582,'март 2023'!$D$4:$D$582,$B50,'март 2023'!$J$4:$J$582,G$1)</f>
        <v>0</v>
      </c>
      <c r="H50" s="207">
        <f>SUMIFS('март 2023'!$G$4:$G$582,'март 2023'!$D$4:$D$582,$B50,'март 2023'!$J$4:$J$582,H$1)</f>
        <v>0</v>
      </c>
      <c r="I50" s="207">
        <f>SUMIFS('март 2023'!$G$4:$G$582,'март 2023'!$D$4:$D$582,$B50,'март 2023'!$J$4:$J$582,I$1)</f>
        <v>0</v>
      </c>
      <c r="J50" s="207">
        <f>SUMIFS('март 2023'!$G$4:$G$582,'март 2023'!$D$4:$D$582,$B50,'март 2023'!$J$4:$J$582,J$1)</f>
        <v>0</v>
      </c>
      <c r="K50" s="207">
        <f>SUMIFS('март 2023'!$G$4:$G$582,'март 2023'!$D$4:$D$582,$B50,'март 2023'!$J$4:$J$582,K$1)</f>
        <v>0</v>
      </c>
      <c r="L50" s="207">
        <f>SUMIFS('март 2023'!$G$4:$G$582,'март 2023'!$D$4:$D$582,$B50,'март 2023'!$J$4:$J$582,L$1)</f>
        <v>0</v>
      </c>
      <c r="M50" s="207">
        <f>SUMIFS('март 2023'!$G$4:$G$582,'март 2023'!$D$4:$D$582,$B50,'март 2023'!$J$4:$J$582,M$1)</f>
        <v>0</v>
      </c>
      <c r="N50" s="207">
        <f>SUMIFS('март 2023'!$G$4:$G$582,'март 2023'!$D$4:$D$582,$B50,'март 2023'!$J$4:$J$582,N$1)</f>
        <v>0</v>
      </c>
      <c r="O50" s="207">
        <f>SUMIFS('март 2023'!$G$4:$G$582,'март 2023'!$D$4:$D$582,$B50,'март 2023'!$J$4:$J$582,O$1)</f>
        <v>0</v>
      </c>
      <c r="P50" s="207">
        <f>SUMIFS('март 2023'!$G$4:$G$582,'март 2023'!$D$4:$D$582,$B50,'март 2023'!$J$4:$J$582,P$1)</f>
        <v>0</v>
      </c>
      <c r="Q50" s="207">
        <f>SUMIFS('март 2023'!$G$4:$G$582,'март 2023'!$D$4:$D$582,$B50,'март 2023'!$J$4:$J$582,Q$1)</f>
        <v>0</v>
      </c>
      <c r="R50" s="207">
        <f>SUMIFS('март 2023'!$G$4:$G$582,'март 2023'!$D$4:$D$582,$B50,'март 2023'!$J$4:$J$582,R$1)</f>
        <v>0</v>
      </c>
      <c r="S50" s="207">
        <f>SUMIFS('март 2023'!$G$4:$G$582,'март 2023'!$D$4:$D$582,$B50,'март 2023'!$J$4:$J$582,S$1)</f>
        <v>0</v>
      </c>
      <c r="T50" s="207">
        <f>SUMIFS('март 2023'!$G$4:$G$582,'март 2023'!$D$4:$D$582,$B50,'март 2023'!$J$4:$J$582,T$1)</f>
        <v>0</v>
      </c>
      <c r="U50" s="207">
        <f>SUMIFS('март 2023'!$G$4:$G$582,'март 2023'!$D$4:$D$582,$B50,'март 2023'!$J$4:$J$582,U$1)</f>
        <v>0</v>
      </c>
      <c r="V50" s="207">
        <f>SUMIFS('март 2023'!$G$4:$G$582,'март 2023'!$D$4:$D$582,$B50,'март 2023'!$J$4:$J$582,V$1)</f>
        <v>0</v>
      </c>
      <c r="W50" s="207">
        <f>SUMIFS('март 2023'!$G$4:$G$582,'март 2023'!$D$4:$D$582,$B50,'март 2023'!$J$4:$J$582,W$1)</f>
        <v>0</v>
      </c>
      <c r="X50" s="207">
        <f>SUMIFS('март 2023'!$G$4:$G$582,'март 2023'!$D$4:$D$582,$B50,'март 2023'!$J$4:$J$582,X$1)</f>
        <v>0</v>
      </c>
      <c r="Y50" s="207">
        <f>SUMIFS('март 2023'!$G$4:$G$582,'март 2023'!$D$4:$D$582,$B50,'март 2023'!$J$4:$J$582,Y$1)</f>
        <v>0</v>
      </c>
      <c r="Z50" s="207">
        <f>SUMIFS('март 2023'!$G$4:$G$582,'март 2023'!$D$4:$D$582,$B50,'март 2023'!$J$4:$J$582,Z$1)</f>
        <v>0</v>
      </c>
      <c r="AA50" s="207">
        <f>SUMIFS('март 2023'!$G$4:$G$582,'март 2023'!$D$4:$D$582,$B50,'март 2023'!$J$4:$J$582,AA$1)</f>
        <v>0</v>
      </c>
      <c r="AB50" s="207">
        <f>SUMIFS('март 2023'!$G$4:$G$582,'март 2023'!$D$4:$D$582,$B50,'март 2023'!$J$4:$J$582,AB$1)</f>
        <v>0</v>
      </c>
      <c r="AC50" s="207">
        <f>SUMIFS('март 2023'!$G$4:$G$582,'март 2023'!$D$4:$D$582,$B50,'март 2023'!$J$4:$J$582,AC$1)</f>
        <v>0</v>
      </c>
      <c r="AD50" s="207">
        <f>SUMIFS('март 2023'!$G$4:$G$582,'март 2023'!$D$4:$D$582,$B50,'март 2023'!$J$4:$J$582,AD$1)</f>
        <v>0</v>
      </c>
      <c r="AE50" s="207">
        <f>SUMIFS('март 2023'!$G$4:$G$582,'март 2023'!$D$4:$D$582,$B50,'март 2023'!$J$4:$J$582,AE$1)</f>
        <v>0</v>
      </c>
      <c r="AF50" s="207">
        <f>SUMIFS('март 2023'!$G$4:$G$582,'март 2023'!$D$4:$D$582,$B50,'март 2023'!$J$4:$J$582,AF$1)</f>
        <v>0</v>
      </c>
      <c r="AG50" s="207">
        <f>SUMIFS('март 2023'!$G$4:$G$582,'март 2023'!$D$4:$D$582,$B50,'март 2023'!$J$4:$J$582,AG$1)</f>
        <v>0</v>
      </c>
      <c r="AH50" s="207">
        <f>SUMIFS('март 2023'!$G$4:$G$582,'март 2023'!$D$4:$D$582,$B50,'март 2023'!$J$4:$J$582,AH$1)</f>
        <v>0</v>
      </c>
      <c r="AI50" s="170">
        <f t="shared" si="1"/>
        <v>0</v>
      </c>
    </row>
    <row r="51" spans="2:35" ht="15" customHeight="1" x14ac:dyDescent="0.25">
      <c r="B51" s="217" t="s">
        <v>1340</v>
      </c>
      <c r="C51" s="213">
        <v>50</v>
      </c>
      <c r="D51" s="207">
        <f>SUMIFS('март 2023'!$G$4:$G$582,'март 2023'!$D$4:$D$582,$B51,'март 2023'!$J$4:$J$582,D$1)</f>
        <v>0</v>
      </c>
      <c r="E51" s="207">
        <f>SUMIFS('март 2023'!$G$4:$G$582,'март 2023'!$D$4:$D$582,$B51,'март 2023'!$J$4:$J$582,E$1)</f>
        <v>0</v>
      </c>
      <c r="F51" s="207">
        <f>SUMIFS('март 2023'!$G$4:$G$582,'март 2023'!$D$4:$D$582,$B51,'март 2023'!$J$4:$J$582,F$1)</f>
        <v>0</v>
      </c>
      <c r="G51" s="207">
        <f>SUMIFS('март 2023'!$G$4:$G$582,'март 2023'!$D$4:$D$582,$B51,'март 2023'!$J$4:$J$582,G$1)</f>
        <v>0</v>
      </c>
      <c r="H51" s="207">
        <f>SUMIFS('март 2023'!$G$4:$G$582,'март 2023'!$D$4:$D$582,$B51,'март 2023'!$J$4:$J$582,H$1)</f>
        <v>0</v>
      </c>
      <c r="I51" s="207">
        <f>SUMIFS('март 2023'!$G$4:$G$582,'март 2023'!$D$4:$D$582,$B51,'март 2023'!$J$4:$J$582,I$1)</f>
        <v>0</v>
      </c>
      <c r="J51" s="207">
        <f>SUMIFS('март 2023'!$G$4:$G$582,'март 2023'!$D$4:$D$582,$B51,'март 2023'!$J$4:$J$582,J$1)</f>
        <v>0</v>
      </c>
      <c r="K51" s="207">
        <f>SUMIFS('март 2023'!$G$4:$G$582,'март 2023'!$D$4:$D$582,$B51,'март 2023'!$J$4:$J$582,K$1)</f>
        <v>0</v>
      </c>
      <c r="L51" s="207">
        <f>SUMIFS('март 2023'!$G$4:$G$582,'март 2023'!$D$4:$D$582,$B51,'март 2023'!$J$4:$J$582,L$1)</f>
        <v>0</v>
      </c>
      <c r="M51" s="207">
        <f>SUMIFS('март 2023'!$G$4:$G$582,'март 2023'!$D$4:$D$582,$B51,'март 2023'!$J$4:$J$582,M$1)</f>
        <v>60</v>
      </c>
      <c r="N51" s="207">
        <f>SUMIFS('март 2023'!$G$4:$G$582,'март 2023'!$D$4:$D$582,$B51,'март 2023'!$J$4:$J$582,N$1)</f>
        <v>0</v>
      </c>
      <c r="O51" s="207">
        <f>SUMIFS('март 2023'!$G$4:$G$582,'март 2023'!$D$4:$D$582,$B51,'март 2023'!$J$4:$J$582,O$1)</f>
        <v>0</v>
      </c>
      <c r="P51" s="207">
        <f>SUMIFS('март 2023'!$G$4:$G$582,'март 2023'!$D$4:$D$582,$B51,'март 2023'!$J$4:$J$582,P$1)</f>
        <v>0</v>
      </c>
      <c r="Q51" s="207">
        <f>SUMIFS('март 2023'!$G$4:$G$582,'март 2023'!$D$4:$D$582,$B51,'март 2023'!$J$4:$J$582,Q$1)</f>
        <v>0</v>
      </c>
      <c r="R51" s="207">
        <f>SUMIFS('март 2023'!$G$4:$G$582,'март 2023'!$D$4:$D$582,$B51,'март 2023'!$J$4:$J$582,R$1)</f>
        <v>0</v>
      </c>
      <c r="S51" s="207">
        <f>SUMIFS('март 2023'!$G$4:$G$582,'март 2023'!$D$4:$D$582,$B51,'март 2023'!$J$4:$J$582,S$1)</f>
        <v>0</v>
      </c>
      <c r="T51" s="207">
        <f>SUMIFS('март 2023'!$G$4:$G$582,'март 2023'!$D$4:$D$582,$B51,'март 2023'!$J$4:$J$582,T$1)</f>
        <v>0</v>
      </c>
      <c r="U51" s="207">
        <f>SUMIFS('март 2023'!$G$4:$G$582,'март 2023'!$D$4:$D$582,$B51,'март 2023'!$J$4:$J$582,U$1)</f>
        <v>0</v>
      </c>
      <c r="V51" s="207">
        <f>SUMIFS('март 2023'!$G$4:$G$582,'март 2023'!$D$4:$D$582,$B51,'март 2023'!$J$4:$J$582,V$1)</f>
        <v>0</v>
      </c>
      <c r="W51" s="207">
        <f>SUMIFS('март 2023'!$G$4:$G$582,'март 2023'!$D$4:$D$582,$B51,'март 2023'!$J$4:$J$582,W$1)</f>
        <v>0</v>
      </c>
      <c r="X51" s="207">
        <f>SUMIFS('март 2023'!$G$4:$G$582,'март 2023'!$D$4:$D$582,$B51,'март 2023'!$J$4:$J$582,X$1)</f>
        <v>0</v>
      </c>
      <c r="Y51" s="207">
        <f>SUMIFS('март 2023'!$G$4:$G$582,'март 2023'!$D$4:$D$582,$B51,'март 2023'!$J$4:$J$582,Y$1)</f>
        <v>0</v>
      </c>
      <c r="Z51" s="207">
        <f>SUMIFS('март 2023'!$G$4:$G$582,'март 2023'!$D$4:$D$582,$B51,'март 2023'!$J$4:$J$582,Z$1)</f>
        <v>0</v>
      </c>
      <c r="AA51" s="207">
        <f>SUMIFS('март 2023'!$G$4:$G$582,'март 2023'!$D$4:$D$582,$B51,'март 2023'!$J$4:$J$582,AA$1)</f>
        <v>0</v>
      </c>
      <c r="AB51" s="207">
        <f>SUMIFS('март 2023'!$G$4:$G$582,'март 2023'!$D$4:$D$582,$B51,'март 2023'!$J$4:$J$582,AB$1)</f>
        <v>0</v>
      </c>
      <c r="AC51" s="207">
        <f>SUMIFS('март 2023'!$G$4:$G$582,'март 2023'!$D$4:$D$582,$B51,'март 2023'!$J$4:$J$582,AC$1)</f>
        <v>0</v>
      </c>
      <c r="AD51" s="207">
        <f>SUMIFS('март 2023'!$G$4:$G$582,'март 2023'!$D$4:$D$582,$B51,'март 2023'!$J$4:$J$582,AD$1)</f>
        <v>0</v>
      </c>
      <c r="AE51" s="207">
        <f>SUMIFS('март 2023'!$G$4:$G$582,'март 2023'!$D$4:$D$582,$B51,'март 2023'!$J$4:$J$582,AE$1)</f>
        <v>0</v>
      </c>
      <c r="AF51" s="207">
        <f>SUMIFS('март 2023'!$G$4:$G$582,'март 2023'!$D$4:$D$582,$B51,'март 2023'!$J$4:$J$582,AF$1)</f>
        <v>0</v>
      </c>
      <c r="AG51" s="207">
        <f>SUMIFS('март 2023'!$G$4:$G$582,'март 2023'!$D$4:$D$582,$B51,'март 2023'!$J$4:$J$582,AG$1)</f>
        <v>0</v>
      </c>
      <c r="AH51" s="207">
        <f>SUMIFS('март 2023'!$G$4:$G$582,'март 2023'!$D$4:$D$582,$B51,'март 2023'!$J$4:$J$582,AH$1)</f>
        <v>0</v>
      </c>
      <c r="AI51" s="170">
        <f t="shared" si="1"/>
        <v>60</v>
      </c>
    </row>
    <row r="52" spans="2:35" ht="15" customHeight="1" x14ac:dyDescent="0.25">
      <c r="B52" s="217" t="s">
        <v>2141</v>
      </c>
      <c r="C52" s="213">
        <v>200</v>
      </c>
      <c r="D52" s="207">
        <f>SUMIFS('март 2023'!$G$4:$G$582,'март 2023'!$D$4:$D$582,$B52,'март 2023'!$J$4:$J$582,D$1)</f>
        <v>0</v>
      </c>
      <c r="E52" s="207">
        <f>SUMIFS('март 2023'!$G$4:$G$582,'март 2023'!$D$4:$D$582,$B52,'март 2023'!$J$4:$J$582,E$1)</f>
        <v>0</v>
      </c>
      <c r="F52" s="207">
        <f>SUMIFS('март 2023'!$G$4:$G$582,'март 2023'!$D$4:$D$582,$B52,'март 2023'!$J$4:$J$582,F$1)</f>
        <v>0</v>
      </c>
      <c r="G52" s="207">
        <f>SUMIFS('март 2023'!$G$4:$G$582,'март 2023'!$D$4:$D$582,$B52,'март 2023'!$J$4:$J$582,G$1)</f>
        <v>0</v>
      </c>
      <c r="H52" s="207">
        <f>SUMIFS('март 2023'!$G$4:$G$582,'март 2023'!$D$4:$D$582,$B52,'март 2023'!$J$4:$J$582,H$1)</f>
        <v>0</v>
      </c>
      <c r="I52" s="207">
        <f>SUMIFS('март 2023'!$G$4:$G$582,'март 2023'!$D$4:$D$582,$B52,'март 2023'!$J$4:$J$582,I$1)</f>
        <v>0</v>
      </c>
      <c r="J52" s="207">
        <f>SUMIFS('март 2023'!$G$4:$G$582,'март 2023'!$D$4:$D$582,$B52,'март 2023'!$J$4:$J$582,J$1)</f>
        <v>0</v>
      </c>
      <c r="K52" s="207">
        <f>SUMIFS('март 2023'!$G$4:$G$582,'март 2023'!$D$4:$D$582,$B52,'март 2023'!$J$4:$J$582,K$1)</f>
        <v>0</v>
      </c>
      <c r="L52" s="207">
        <f>SUMIFS('март 2023'!$G$4:$G$582,'март 2023'!$D$4:$D$582,$B52,'март 2023'!$J$4:$J$582,L$1)</f>
        <v>0</v>
      </c>
      <c r="M52" s="207">
        <f>SUMIFS('март 2023'!$G$4:$G$582,'март 2023'!$D$4:$D$582,$B52,'март 2023'!$J$4:$J$582,M$1)</f>
        <v>0</v>
      </c>
      <c r="N52" s="207">
        <f>SUMIFS('март 2023'!$G$4:$G$582,'март 2023'!$D$4:$D$582,$B52,'март 2023'!$J$4:$J$582,N$1)</f>
        <v>0</v>
      </c>
      <c r="O52" s="207">
        <f>SUMIFS('март 2023'!$G$4:$G$582,'март 2023'!$D$4:$D$582,$B52,'март 2023'!$J$4:$J$582,O$1)</f>
        <v>0</v>
      </c>
      <c r="P52" s="207">
        <f>SUMIFS('март 2023'!$G$4:$G$582,'март 2023'!$D$4:$D$582,$B52,'март 2023'!$J$4:$J$582,P$1)</f>
        <v>0</v>
      </c>
      <c r="Q52" s="207">
        <f>SUMIFS('март 2023'!$G$4:$G$582,'март 2023'!$D$4:$D$582,$B52,'март 2023'!$J$4:$J$582,Q$1)</f>
        <v>0</v>
      </c>
      <c r="R52" s="207">
        <f>SUMIFS('март 2023'!$G$4:$G$582,'март 2023'!$D$4:$D$582,$B52,'март 2023'!$J$4:$J$582,R$1)</f>
        <v>0</v>
      </c>
      <c r="S52" s="207">
        <f>SUMIFS('март 2023'!$G$4:$G$582,'март 2023'!$D$4:$D$582,$B52,'март 2023'!$J$4:$J$582,S$1)</f>
        <v>0</v>
      </c>
      <c r="T52" s="207">
        <f>SUMIFS('март 2023'!$G$4:$G$582,'март 2023'!$D$4:$D$582,$B52,'март 2023'!$J$4:$J$582,T$1)</f>
        <v>0</v>
      </c>
      <c r="U52" s="207">
        <f>SUMIFS('март 2023'!$G$4:$G$582,'март 2023'!$D$4:$D$582,$B52,'март 2023'!$J$4:$J$582,U$1)</f>
        <v>0</v>
      </c>
      <c r="V52" s="207">
        <f>SUMIFS('март 2023'!$G$4:$G$582,'март 2023'!$D$4:$D$582,$B52,'март 2023'!$J$4:$J$582,V$1)</f>
        <v>0</v>
      </c>
      <c r="W52" s="207">
        <f>SUMIFS('март 2023'!$G$4:$G$582,'март 2023'!$D$4:$D$582,$B52,'март 2023'!$J$4:$J$582,W$1)</f>
        <v>0</v>
      </c>
      <c r="X52" s="207">
        <f>SUMIFS('март 2023'!$G$4:$G$582,'март 2023'!$D$4:$D$582,$B52,'март 2023'!$J$4:$J$582,X$1)</f>
        <v>0</v>
      </c>
      <c r="Y52" s="207">
        <f>SUMIFS('март 2023'!$G$4:$G$582,'март 2023'!$D$4:$D$582,$B52,'март 2023'!$J$4:$J$582,Y$1)</f>
        <v>0</v>
      </c>
      <c r="Z52" s="207">
        <f>SUMIFS('март 2023'!$G$4:$G$582,'март 2023'!$D$4:$D$582,$B52,'март 2023'!$J$4:$J$582,Z$1)</f>
        <v>0</v>
      </c>
      <c r="AA52" s="207">
        <f>SUMIFS('март 2023'!$G$4:$G$582,'март 2023'!$D$4:$D$582,$B52,'март 2023'!$J$4:$J$582,AA$1)</f>
        <v>0</v>
      </c>
      <c r="AB52" s="207">
        <f>SUMIFS('март 2023'!$G$4:$G$582,'март 2023'!$D$4:$D$582,$B52,'март 2023'!$J$4:$J$582,AB$1)</f>
        <v>0</v>
      </c>
      <c r="AC52" s="207">
        <f>SUMIFS('март 2023'!$G$4:$G$582,'март 2023'!$D$4:$D$582,$B52,'март 2023'!$J$4:$J$582,AC$1)</f>
        <v>0</v>
      </c>
      <c r="AD52" s="207">
        <f>SUMIFS('март 2023'!$G$4:$G$582,'март 2023'!$D$4:$D$582,$B52,'март 2023'!$J$4:$J$582,AD$1)</f>
        <v>0</v>
      </c>
      <c r="AE52" s="207">
        <f>SUMIFS('март 2023'!$G$4:$G$582,'март 2023'!$D$4:$D$582,$B52,'март 2023'!$J$4:$J$582,AE$1)</f>
        <v>0</v>
      </c>
      <c r="AF52" s="207">
        <f>SUMIFS('март 2023'!$G$4:$G$582,'март 2023'!$D$4:$D$582,$B52,'март 2023'!$J$4:$J$582,AF$1)</f>
        <v>0</v>
      </c>
      <c r="AG52" s="207">
        <f>SUMIFS('март 2023'!$G$4:$G$582,'март 2023'!$D$4:$D$582,$B52,'март 2023'!$J$4:$J$582,AG$1)</f>
        <v>0</v>
      </c>
      <c r="AH52" s="207">
        <f>SUMIFS('март 2023'!$G$4:$G$582,'март 2023'!$D$4:$D$582,$B52,'март 2023'!$J$4:$J$582,AH$1)</f>
        <v>0</v>
      </c>
      <c r="AI52" s="170">
        <f t="shared" si="1"/>
        <v>0</v>
      </c>
    </row>
    <row r="53" spans="2:35" ht="15" customHeight="1" x14ac:dyDescent="0.25">
      <c r="B53" s="217" t="s">
        <v>110</v>
      </c>
      <c r="C53" s="213">
        <v>200</v>
      </c>
      <c r="D53" s="207">
        <f>SUMIFS('март 2023'!$G$4:$G$582,'март 2023'!$D$4:$D$582,$B53,'март 2023'!$J$4:$J$582,D$1)</f>
        <v>0</v>
      </c>
      <c r="E53" s="207">
        <f>SUMIFS('март 2023'!$G$4:$G$582,'март 2023'!$D$4:$D$582,$B53,'март 2023'!$J$4:$J$582,E$1)</f>
        <v>0</v>
      </c>
      <c r="F53" s="207">
        <f>SUMIFS('март 2023'!$G$4:$G$582,'март 2023'!$D$4:$D$582,$B53,'март 2023'!$J$4:$J$582,F$1)</f>
        <v>0</v>
      </c>
      <c r="G53" s="207">
        <f>SUMIFS('март 2023'!$G$4:$G$582,'март 2023'!$D$4:$D$582,$B53,'март 2023'!$J$4:$J$582,G$1)</f>
        <v>0</v>
      </c>
      <c r="H53" s="207">
        <f>SUMIFS('март 2023'!$G$4:$G$582,'март 2023'!$D$4:$D$582,$B53,'март 2023'!$J$4:$J$582,H$1)</f>
        <v>0</v>
      </c>
      <c r="I53" s="207">
        <f>SUMIFS('март 2023'!$G$4:$G$582,'март 2023'!$D$4:$D$582,$B53,'март 2023'!$J$4:$J$582,I$1)</f>
        <v>0</v>
      </c>
      <c r="J53" s="207">
        <f>SUMIFS('март 2023'!$G$4:$G$582,'март 2023'!$D$4:$D$582,$B53,'март 2023'!$J$4:$J$582,J$1)</f>
        <v>0</v>
      </c>
      <c r="K53" s="207">
        <f>SUMIFS('март 2023'!$G$4:$G$582,'март 2023'!$D$4:$D$582,$B53,'март 2023'!$J$4:$J$582,K$1)</f>
        <v>0</v>
      </c>
      <c r="L53" s="207">
        <f>SUMIFS('март 2023'!$G$4:$G$582,'март 2023'!$D$4:$D$582,$B53,'март 2023'!$J$4:$J$582,L$1)</f>
        <v>0</v>
      </c>
      <c r="M53" s="207">
        <f>SUMIFS('март 2023'!$G$4:$G$582,'март 2023'!$D$4:$D$582,$B53,'март 2023'!$J$4:$J$582,M$1)</f>
        <v>0</v>
      </c>
      <c r="N53" s="207">
        <f>SUMIFS('март 2023'!$G$4:$G$582,'март 2023'!$D$4:$D$582,$B53,'март 2023'!$J$4:$J$582,N$1)</f>
        <v>0</v>
      </c>
      <c r="O53" s="207">
        <f>SUMIFS('март 2023'!$G$4:$G$582,'март 2023'!$D$4:$D$582,$B53,'март 2023'!$J$4:$J$582,O$1)</f>
        <v>0</v>
      </c>
      <c r="P53" s="207">
        <f>SUMIFS('март 2023'!$G$4:$G$582,'март 2023'!$D$4:$D$582,$B53,'март 2023'!$J$4:$J$582,P$1)</f>
        <v>0</v>
      </c>
      <c r="Q53" s="207">
        <f>SUMIFS('март 2023'!$G$4:$G$582,'март 2023'!$D$4:$D$582,$B53,'март 2023'!$J$4:$J$582,Q$1)</f>
        <v>0</v>
      </c>
      <c r="R53" s="207">
        <f>SUMIFS('март 2023'!$G$4:$G$582,'март 2023'!$D$4:$D$582,$B53,'март 2023'!$J$4:$J$582,R$1)</f>
        <v>0</v>
      </c>
      <c r="S53" s="207">
        <f>SUMIFS('март 2023'!$G$4:$G$582,'март 2023'!$D$4:$D$582,$B53,'март 2023'!$J$4:$J$582,S$1)</f>
        <v>0</v>
      </c>
      <c r="T53" s="207">
        <f>SUMIFS('март 2023'!$G$4:$G$582,'март 2023'!$D$4:$D$582,$B53,'март 2023'!$J$4:$J$582,T$1)</f>
        <v>0</v>
      </c>
      <c r="U53" s="207">
        <f>SUMIFS('март 2023'!$G$4:$G$582,'март 2023'!$D$4:$D$582,$B53,'март 2023'!$J$4:$J$582,U$1)</f>
        <v>0</v>
      </c>
      <c r="V53" s="207">
        <f>SUMIFS('март 2023'!$G$4:$G$582,'март 2023'!$D$4:$D$582,$B53,'март 2023'!$J$4:$J$582,V$1)</f>
        <v>0</v>
      </c>
      <c r="W53" s="207">
        <f>SUMIFS('март 2023'!$G$4:$G$582,'март 2023'!$D$4:$D$582,$B53,'март 2023'!$J$4:$J$582,W$1)</f>
        <v>0</v>
      </c>
      <c r="X53" s="207">
        <f>SUMIFS('март 2023'!$G$4:$G$582,'март 2023'!$D$4:$D$582,$B53,'март 2023'!$J$4:$J$582,X$1)</f>
        <v>0</v>
      </c>
      <c r="Y53" s="207">
        <f>SUMIFS('март 2023'!$G$4:$G$582,'март 2023'!$D$4:$D$582,$B53,'март 2023'!$J$4:$J$582,Y$1)</f>
        <v>0</v>
      </c>
      <c r="Z53" s="207">
        <f>SUMIFS('март 2023'!$G$4:$G$582,'март 2023'!$D$4:$D$582,$B53,'март 2023'!$J$4:$J$582,Z$1)</f>
        <v>0</v>
      </c>
      <c r="AA53" s="207">
        <f>SUMIFS('март 2023'!$G$4:$G$582,'март 2023'!$D$4:$D$582,$B53,'март 2023'!$J$4:$J$582,AA$1)</f>
        <v>0</v>
      </c>
      <c r="AB53" s="207">
        <f>SUMIFS('март 2023'!$G$4:$G$582,'март 2023'!$D$4:$D$582,$B53,'март 2023'!$J$4:$J$582,AB$1)</f>
        <v>0</v>
      </c>
      <c r="AC53" s="207">
        <f>SUMIFS('март 2023'!$G$4:$G$582,'март 2023'!$D$4:$D$582,$B53,'март 2023'!$J$4:$J$582,AC$1)</f>
        <v>0</v>
      </c>
      <c r="AD53" s="207">
        <f>SUMIFS('март 2023'!$G$4:$G$582,'март 2023'!$D$4:$D$582,$B53,'март 2023'!$J$4:$J$582,AD$1)</f>
        <v>0</v>
      </c>
      <c r="AE53" s="207">
        <f>SUMIFS('март 2023'!$G$4:$G$582,'март 2023'!$D$4:$D$582,$B53,'март 2023'!$J$4:$J$582,AE$1)</f>
        <v>0</v>
      </c>
      <c r="AF53" s="207">
        <f>SUMIFS('март 2023'!$G$4:$G$582,'март 2023'!$D$4:$D$582,$B53,'март 2023'!$J$4:$J$582,AF$1)</f>
        <v>88</v>
      </c>
      <c r="AG53" s="207">
        <f>SUMIFS('март 2023'!$G$4:$G$582,'март 2023'!$D$4:$D$582,$B53,'март 2023'!$J$4:$J$582,AG$1)</f>
        <v>0</v>
      </c>
      <c r="AH53" s="207">
        <f>SUMIFS('март 2023'!$G$4:$G$582,'март 2023'!$D$4:$D$582,$B53,'март 2023'!$J$4:$J$582,AH$1)</f>
        <v>0</v>
      </c>
      <c r="AI53" s="170">
        <f t="shared" si="1"/>
        <v>88</v>
      </c>
    </row>
    <row r="54" spans="2:35" ht="15" customHeight="1" x14ac:dyDescent="0.25">
      <c r="B54" s="216" t="s">
        <v>191</v>
      </c>
      <c r="C54" s="213">
        <v>25</v>
      </c>
      <c r="D54" s="207">
        <f>SUMIFS('март 2023'!$G$4:$G$582,'март 2023'!$D$4:$D$582,$B54,'март 2023'!$J$4:$J$582,D$1)</f>
        <v>0</v>
      </c>
      <c r="E54" s="207">
        <f>SUMIFS('март 2023'!$G$4:$G$582,'март 2023'!$D$4:$D$582,$B54,'март 2023'!$J$4:$J$582,E$1)</f>
        <v>0</v>
      </c>
      <c r="F54" s="207">
        <f>SUMIFS('март 2023'!$G$4:$G$582,'март 2023'!$D$4:$D$582,$B54,'март 2023'!$J$4:$J$582,F$1)</f>
        <v>0</v>
      </c>
      <c r="G54" s="207">
        <f>SUMIFS('март 2023'!$G$4:$G$582,'март 2023'!$D$4:$D$582,$B54,'март 2023'!$J$4:$J$582,G$1)</f>
        <v>0</v>
      </c>
      <c r="H54" s="207">
        <f>SUMIFS('март 2023'!$G$4:$G$582,'март 2023'!$D$4:$D$582,$B54,'март 2023'!$J$4:$J$582,H$1)</f>
        <v>0</v>
      </c>
      <c r="I54" s="207">
        <f>SUMIFS('март 2023'!$G$4:$G$582,'март 2023'!$D$4:$D$582,$B54,'март 2023'!$J$4:$J$582,I$1)</f>
        <v>0</v>
      </c>
      <c r="J54" s="207">
        <f>SUMIFS('март 2023'!$G$4:$G$582,'март 2023'!$D$4:$D$582,$B54,'март 2023'!$J$4:$J$582,J$1)</f>
        <v>0</v>
      </c>
      <c r="K54" s="207">
        <f>SUMIFS('март 2023'!$G$4:$G$582,'март 2023'!$D$4:$D$582,$B54,'март 2023'!$J$4:$J$582,K$1)</f>
        <v>0</v>
      </c>
      <c r="L54" s="207">
        <f>SUMIFS('март 2023'!$G$4:$G$582,'март 2023'!$D$4:$D$582,$B54,'март 2023'!$J$4:$J$582,L$1)</f>
        <v>0</v>
      </c>
      <c r="M54" s="207">
        <f>SUMIFS('март 2023'!$G$4:$G$582,'март 2023'!$D$4:$D$582,$B54,'март 2023'!$J$4:$J$582,M$1)</f>
        <v>0</v>
      </c>
      <c r="N54" s="207">
        <f>SUMIFS('март 2023'!$G$4:$G$582,'март 2023'!$D$4:$D$582,$B54,'март 2023'!$J$4:$J$582,N$1)</f>
        <v>0</v>
      </c>
      <c r="O54" s="207">
        <f>SUMIFS('март 2023'!$G$4:$G$582,'март 2023'!$D$4:$D$582,$B54,'март 2023'!$J$4:$J$582,O$1)</f>
        <v>0</v>
      </c>
      <c r="P54" s="207">
        <f>SUMIFS('март 2023'!$G$4:$G$582,'март 2023'!$D$4:$D$582,$B54,'март 2023'!$J$4:$J$582,P$1)</f>
        <v>0</v>
      </c>
      <c r="Q54" s="207">
        <f>SUMIFS('март 2023'!$G$4:$G$582,'март 2023'!$D$4:$D$582,$B54,'март 2023'!$J$4:$J$582,Q$1)</f>
        <v>0</v>
      </c>
      <c r="R54" s="207">
        <f>SUMIFS('март 2023'!$G$4:$G$582,'март 2023'!$D$4:$D$582,$B54,'март 2023'!$J$4:$J$582,R$1)</f>
        <v>0</v>
      </c>
      <c r="S54" s="207">
        <f>SUMIFS('март 2023'!$G$4:$G$582,'март 2023'!$D$4:$D$582,$B54,'март 2023'!$J$4:$J$582,S$1)</f>
        <v>0</v>
      </c>
      <c r="T54" s="207">
        <f>SUMIFS('март 2023'!$G$4:$G$582,'март 2023'!$D$4:$D$582,$B54,'март 2023'!$J$4:$J$582,T$1)</f>
        <v>0</v>
      </c>
      <c r="U54" s="207">
        <f>SUMIFS('март 2023'!$G$4:$G$582,'март 2023'!$D$4:$D$582,$B54,'март 2023'!$J$4:$J$582,U$1)</f>
        <v>0</v>
      </c>
      <c r="V54" s="207">
        <f>SUMIFS('март 2023'!$G$4:$G$582,'март 2023'!$D$4:$D$582,$B54,'март 2023'!$J$4:$J$582,V$1)</f>
        <v>0</v>
      </c>
      <c r="W54" s="207">
        <f>SUMIFS('март 2023'!$G$4:$G$582,'март 2023'!$D$4:$D$582,$B54,'март 2023'!$J$4:$J$582,W$1)</f>
        <v>0</v>
      </c>
      <c r="X54" s="207">
        <f>SUMIFS('март 2023'!$G$4:$G$582,'март 2023'!$D$4:$D$582,$B54,'март 2023'!$J$4:$J$582,X$1)</f>
        <v>0</v>
      </c>
      <c r="Y54" s="207">
        <f>SUMIFS('март 2023'!$G$4:$G$582,'март 2023'!$D$4:$D$582,$B54,'март 2023'!$J$4:$J$582,Y$1)</f>
        <v>0</v>
      </c>
      <c r="Z54" s="207">
        <f>SUMIFS('март 2023'!$G$4:$G$582,'март 2023'!$D$4:$D$582,$B54,'март 2023'!$J$4:$J$582,Z$1)</f>
        <v>0</v>
      </c>
      <c r="AA54" s="207">
        <f>SUMIFS('март 2023'!$G$4:$G$582,'март 2023'!$D$4:$D$582,$B54,'март 2023'!$J$4:$J$582,AA$1)</f>
        <v>0</v>
      </c>
      <c r="AB54" s="207">
        <f>SUMIFS('март 2023'!$G$4:$G$582,'март 2023'!$D$4:$D$582,$B54,'март 2023'!$J$4:$J$582,AB$1)</f>
        <v>0</v>
      </c>
      <c r="AC54" s="207">
        <f>SUMIFS('март 2023'!$G$4:$G$582,'март 2023'!$D$4:$D$582,$B54,'март 2023'!$J$4:$J$582,AC$1)</f>
        <v>0</v>
      </c>
      <c r="AD54" s="207">
        <f>SUMIFS('март 2023'!$G$4:$G$582,'март 2023'!$D$4:$D$582,$B54,'март 2023'!$J$4:$J$582,AD$1)</f>
        <v>120</v>
      </c>
      <c r="AE54" s="207">
        <f>SUMIFS('март 2023'!$G$4:$G$582,'март 2023'!$D$4:$D$582,$B54,'март 2023'!$J$4:$J$582,AE$1)</f>
        <v>48</v>
      </c>
      <c r="AF54" s="207">
        <f>SUMIFS('март 2023'!$G$4:$G$582,'март 2023'!$D$4:$D$582,$B54,'март 2023'!$J$4:$J$582,AF$1)</f>
        <v>0</v>
      </c>
      <c r="AG54" s="207">
        <f>SUMIFS('март 2023'!$G$4:$G$582,'март 2023'!$D$4:$D$582,$B54,'март 2023'!$J$4:$J$582,AG$1)</f>
        <v>0</v>
      </c>
      <c r="AH54" s="207">
        <f>SUMIFS('март 2023'!$G$4:$G$582,'март 2023'!$D$4:$D$582,$B54,'март 2023'!$J$4:$J$582,AH$1)</f>
        <v>480</v>
      </c>
      <c r="AI54" s="170">
        <f t="shared" si="1"/>
        <v>648</v>
      </c>
    </row>
    <row r="55" spans="2:35" ht="15" customHeight="1" x14ac:dyDescent="0.25">
      <c r="B55" s="216" t="s">
        <v>1897</v>
      </c>
      <c r="C55" s="213">
        <v>200</v>
      </c>
      <c r="D55" s="207">
        <f>SUMIFS('март 2023'!$G$4:$G$582,'март 2023'!$D$4:$D$582,$B55,'март 2023'!$J$4:$J$582,D$1)</f>
        <v>0</v>
      </c>
      <c r="E55" s="207">
        <f>SUMIFS('март 2023'!$G$4:$G$582,'март 2023'!$D$4:$D$582,$B55,'март 2023'!$J$4:$J$582,E$1)</f>
        <v>0</v>
      </c>
      <c r="F55" s="207">
        <f>SUMIFS('март 2023'!$G$4:$G$582,'март 2023'!$D$4:$D$582,$B55,'март 2023'!$J$4:$J$582,F$1)</f>
        <v>0</v>
      </c>
      <c r="G55" s="207">
        <f>SUMIFS('март 2023'!$G$4:$G$582,'март 2023'!$D$4:$D$582,$B55,'март 2023'!$J$4:$J$582,G$1)</f>
        <v>0</v>
      </c>
      <c r="H55" s="207">
        <f>SUMIFS('март 2023'!$G$4:$G$582,'март 2023'!$D$4:$D$582,$B55,'март 2023'!$J$4:$J$582,H$1)</f>
        <v>0</v>
      </c>
      <c r="I55" s="207">
        <f>SUMIFS('март 2023'!$G$4:$G$582,'март 2023'!$D$4:$D$582,$B55,'март 2023'!$J$4:$J$582,I$1)</f>
        <v>0</v>
      </c>
      <c r="J55" s="207">
        <f>SUMIFS('март 2023'!$G$4:$G$582,'март 2023'!$D$4:$D$582,$B55,'март 2023'!$J$4:$J$582,J$1)</f>
        <v>0</v>
      </c>
      <c r="K55" s="207">
        <f>SUMIFS('март 2023'!$G$4:$G$582,'март 2023'!$D$4:$D$582,$B55,'март 2023'!$J$4:$J$582,K$1)</f>
        <v>0</v>
      </c>
      <c r="L55" s="207">
        <f>SUMIFS('март 2023'!$G$4:$G$582,'март 2023'!$D$4:$D$582,$B55,'март 2023'!$J$4:$J$582,L$1)</f>
        <v>0</v>
      </c>
      <c r="M55" s="207">
        <f>SUMIFS('март 2023'!$G$4:$G$582,'март 2023'!$D$4:$D$582,$B55,'март 2023'!$J$4:$J$582,M$1)</f>
        <v>0</v>
      </c>
      <c r="N55" s="207">
        <f>SUMIFS('март 2023'!$G$4:$G$582,'март 2023'!$D$4:$D$582,$B55,'март 2023'!$J$4:$J$582,N$1)</f>
        <v>0</v>
      </c>
      <c r="O55" s="207">
        <f>SUMIFS('март 2023'!$G$4:$G$582,'март 2023'!$D$4:$D$582,$B55,'март 2023'!$J$4:$J$582,O$1)</f>
        <v>0</v>
      </c>
      <c r="P55" s="207">
        <f>SUMIFS('март 2023'!$G$4:$G$582,'март 2023'!$D$4:$D$582,$B55,'март 2023'!$J$4:$J$582,P$1)</f>
        <v>0</v>
      </c>
      <c r="Q55" s="207">
        <f>SUMIFS('март 2023'!$G$4:$G$582,'март 2023'!$D$4:$D$582,$B55,'март 2023'!$J$4:$J$582,Q$1)</f>
        <v>0</v>
      </c>
      <c r="R55" s="207">
        <f>SUMIFS('март 2023'!$G$4:$G$582,'март 2023'!$D$4:$D$582,$B55,'март 2023'!$J$4:$J$582,R$1)</f>
        <v>0</v>
      </c>
      <c r="S55" s="207">
        <f>SUMIFS('март 2023'!$G$4:$G$582,'март 2023'!$D$4:$D$582,$B55,'март 2023'!$J$4:$J$582,S$1)</f>
        <v>0</v>
      </c>
      <c r="T55" s="207">
        <f>SUMIFS('март 2023'!$G$4:$G$582,'март 2023'!$D$4:$D$582,$B55,'март 2023'!$J$4:$J$582,T$1)</f>
        <v>0</v>
      </c>
      <c r="U55" s="207">
        <f>SUMIFS('март 2023'!$G$4:$G$582,'март 2023'!$D$4:$D$582,$B55,'март 2023'!$J$4:$J$582,U$1)</f>
        <v>0</v>
      </c>
      <c r="V55" s="207">
        <f>SUMIFS('март 2023'!$G$4:$G$582,'март 2023'!$D$4:$D$582,$B55,'март 2023'!$J$4:$J$582,V$1)</f>
        <v>0</v>
      </c>
      <c r="W55" s="207">
        <f>SUMIFS('март 2023'!$G$4:$G$582,'март 2023'!$D$4:$D$582,$B55,'март 2023'!$J$4:$J$582,W$1)</f>
        <v>0</v>
      </c>
      <c r="X55" s="207">
        <f>SUMIFS('март 2023'!$G$4:$G$582,'март 2023'!$D$4:$D$582,$B55,'март 2023'!$J$4:$J$582,X$1)</f>
        <v>0</v>
      </c>
      <c r="Y55" s="207">
        <f>SUMIFS('март 2023'!$G$4:$G$582,'март 2023'!$D$4:$D$582,$B55,'март 2023'!$J$4:$J$582,Y$1)</f>
        <v>0</v>
      </c>
      <c r="Z55" s="207">
        <f>SUMIFS('март 2023'!$G$4:$G$582,'март 2023'!$D$4:$D$582,$B55,'март 2023'!$J$4:$J$582,Z$1)</f>
        <v>0</v>
      </c>
      <c r="AA55" s="207">
        <f>SUMIFS('март 2023'!$G$4:$G$582,'март 2023'!$D$4:$D$582,$B55,'март 2023'!$J$4:$J$582,AA$1)</f>
        <v>0</v>
      </c>
      <c r="AB55" s="207">
        <f>SUMIFS('март 2023'!$G$4:$G$582,'март 2023'!$D$4:$D$582,$B55,'март 2023'!$J$4:$J$582,AB$1)</f>
        <v>0</v>
      </c>
      <c r="AC55" s="207">
        <f>SUMIFS('март 2023'!$G$4:$G$582,'март 2023'!$D$4:$D$582,$B55,'март 2023'!$J$4:$J$582,AC$1)</f>
        <v>0</v>
      </c>
      <c r="AD55" s="207">
        <f>SUMIFS('март 2023'!$G$4:$G$582,'март 2023'!$D$4:$D$582,$B55,'март 2023'!$J$4:$J$582,AD$1)</f>
        <v>0</v>
      </c>
      <c r="AE55" s="207">
        <f>SUMIFS('март 2023'!$G$4:$G$582,'март 2023'!$D$4:$D$582,$B55,'март 2023'!$J$4:$J$582,AE$1)</f>
        <v>0</v>
      </c>
      <c r="AF55" s="207">
        <f>SUMIFS('март 2023'!$G$4:$G$582,'март 2023'!$D$4:$D$582,$B55,'март 2023'!$J$4:$J$582,AF$1)</f>
        <v>0</v>
      </c>
      <c r="AG55" s="207">
        <f>SUMIFS('март 2023'!$G$4:$G$582,'март 2023'!$D$4:$D$582,$B55,'март 2023'!$J$4:$J$582,AG$1)</f>
        <v>0</v>
      </c>
      <c r="AH55" s="207">
        <f>SUMIFS('март 2023'!$G$4:$G$582,'март 2023'!$D$4:$D$582,$B55,'март 2023'!$J$4:$J$582,AH$1)</f>
        <v>0</v>
      </c>
      <c r="AI55" s="170">
        <f t="shared" si="1"/>
        <v>0</v>
      </c>
    </row>
    <row r="56" spans="2:35" ht="15.75" x14ac:dyDescent="0.25">
      <c r="B56" s="212" t="s">
        <v>2148</v>
      </c>
      <c r="C56" s="211">
        <v>190</v>
      </c>
      <c r="D56" s="207">
        <f>SUMIFS('март 2023'!$G$4:$G$582,'март 2023'!$D$4:$D$582,$B56,'март 2023'!$J$4:$J$582,D$1)</f>
        <v>0</v>
      </c>
      <c r="E56" s="207">
        <f>SUMIFS('март 2023'!$G$4:$G$582,'март 2023'!$D$4:$D$582,$B56,'март 2023'!$J$4:$J$582,E$1)</f>
        <v>0</v>
      </c>
      <c r="F56" s="207">
        <f>SUMIFS('март 2023'!$G$4:$G$582,'март 2023'!$D$4:$D$582,$B56,'март 2023'!$J$4:$J$582,F$1)</f>
        <v>0</v>
      </c>
      <c r="G56" s="207">
        <f>SUMIFS('март 2023'!$G$4:$G$582,'март 2023'!$D$4:$D$582,$B56,'март 2023'!$J$4:$J$582,G$1)</f>
        <v>0</v>
      </c>
      <c r="H56" s="207">
        <f>SUMIFS('март 2023'!$G$4:$G$582,'март 2023'!$D$4:$D$582,$B56,'март 2023'!$J$4:$J$582,H$1)</f>
        <v>0</v>
      </c>
      <c r="I56" s="207">
        <f>SUMIFS('март 2023'!$G$4:$G$582,'март 2023'!$D$4:$D$582,$B56,'март 2023'!$J$4:$J$582,I$1)</f>
        <v>0</v>
      </c>
      <c r="J56" s="207">
        <f>SUMIFS('март 2023'!$G$4:$G$582,'март 2023'!$D$4:$D$582,$B56,'март 2023'!$J$4:$J$582,J$1)</f>
        <v>0</v>
      </c>
      <c r="K56" s="207">
        <f>SUMIFS('март 2023'!$G$4:$G$582,'март 2023'!$D$4:$D$582,$B56,'март 2023'!$J$4:$J$582,K$1)</f>
        <v>0</v>
      </c>
      <c r="L56" s="207">
        <f>SUMIFS('март 2023'!$G$4:$G$582,'март 2023'!$D$4:$D$582,$B56,'март 2023'!$J$4:$J$582,L$1)</f>
        <v>0</v>
      </c>
      <c r="M56" s="207">
        <f>SUMIFS('март 2023'!$G$4:$G$582,'март 2023'!$D$4:$D$582,$B56,'март 2023'!$J$4:$J$582,M$1)</f>
        <v>0</v>
      </c>
      <c r="N56" s="207">
        <f>SUMIFS('март 2023'!$G$4:$G$582,'март 2023'!$D$4:$D$582,$B56,'март 2023'!$J$4:$J$582,N$1)</f>
        <v>0</v>
      </c>
      <c r="O56" s="207">
        <f>SUMIFS('март 2023'!$G$4:$G$582,'март 2023'!$D$4:$D$582,$B56,'март 2023'!$J$4:$J$582,O$1)</f>
        <v>0</v>
      </c>
      <c r="P56" s="207">
        <f>SUMIFS('март 2023'!$G$4:$G$582,'март 2023'!$D$4:$D$582,$B56,'март 2023'!$J$4:$J$582,P$1)</f>
        <v>0</v>
      </c>
      <c r="Q56" s="207">
        <f>SUMIFS('март 2023'!$G$4:$G$582,'март 2023'!$D$4:$D$582,$B56,'март 2023'!$J$4:$J$582,Q$1)</f>
        <v>0</v>
      </c>
      <c r="R56" s="207">
        <f>SUMIFS('март 2023'!$G$4:$G$582,'март 2023'!$D$4:$D$582,$B56,'март 2023'!$J$4:$J$582,R$1)</f>
        <v>0</v>
      </c>
      <c r="S56" s="207">
        <f>SUMIFS('март 2023'!$G$4:$G$582,'март 2023'!$D$4:$D$582,$B56,'март 2023'!$J$4:$J$582,S$1)</f>
        <v>0</v>
      </c>
      <c r="T56" s="207">
        <f>SUMIFS('март 2023'!$G$4:$G$582,'март 2023'!$D$4:$D$582,$B56,'март 2023'!$J$4:$J$582,T$1)</f>
        <v>0</v>
      </c>
      <c r="U56" s="207">
        <f>SUMIFS('март 2023'!$G$4:$G$582,'март 2023'!$D$4:$D$582,$B56,'март 2023'!$J$4:$J$582,U$1)</f>
        <v>0</v>
      </c>
      <c r="V56" s="207">
        <f>SUMIFS('март 2023'!$G$4:$G$582,'март 2023'!$D$4:$D$582,$B56,'март 2023'!$J$4:$J$582,V$1)</f>
        <v>0</v>
      </c>
      <c r="W56" s="207">
        <f>SUMIFS('март 2023'!$G$4:$G$582,'март 2023'!$D$4:$D$582,$B56,'март 2023'!$J$4:$J$582,W$1)</f>
        <v>0</v>
      </c>
      <c r="X56" s="207">
        <f>SUMIFS('март 2023'!$G$4:$G$582,'март 2023'!$D$4:$D$582,$B56,'март 2023'!$J$4:$J$582,X$1)</f>
        <v>0</v>
      </c>
      <c r="Y56" s="207">
        <f>SUMIFS('март 2023'!$G$4:$G$582,'март 2023'!$D$4:$D$582,$B56,'март 2023'!$J$4:$J$582,Y$1)</f>
        <v>0</v>
      </c>
      <c r="Z56" s="207">
        <f>SUMIFS('март 2023'!$G$4:$G$582,'март 2023'!$D$4:$D$582,$B56,'март 2023'!$J$4:$J$582,Z$1)</f>
        <v>0</v>
      </c>
      <c r="AA56" s="207">
        <f>SUMIFS('март 2023'!$G$4:$G$582,'март 2023'!$D$4:$D$582,$B56,'март 2023'!$J$4:$J$582,AA$1)</f>
        <v>0</v>
      </c>
      <c r="AB56" s="207">
        <f>SUMIFS('март 2023'!$G$4:$G$582,'март 2023'!$D$4:$D$582,$B56,'март 2023'!$J$4:$J$582,AB$1)</f>
        <v>0</v>
      </c>
      <c r="AC56" s="207">
        <f>SUMIFS('март 2023'!$G$4:$G$582,'март 2023'!$D$4:$D$582,$B56,'март 2023'!$J$4:$J$582,AC$1)</f>
        <v>0</v>
      </c>
      <c r="AD56" s="207">
        <f>SUMIFS('март 2023'!$G$4:$G$582,'март 2023'!$D$4:$D$582,$B56,'март 2023'!$J$4:$J$582,AD$1)</f>
        <v>0</v>
      </c>
      <c r="AE56" s="207">
        <f>SUMIFS('март 2023'!$G$4:$G$582,'март 2023'!$D$4:$D$582,$B56,'март 2023'!$J$4:$J$582,AE$1)</f>
        <v>0</v>
      </c>
      <c r="AF56" s="207">
        <f>SUMIFS('март 2023'!$G$4:$G$582,'март 2023'!$D$4:$D$582,$B56,'март 2023'!$J$4:$J$582,AF$1)</f>
        <v>0</v>
      </c>
      <c r="AG56" s="207">
        <f>SUMIFS('март 2023'!$G$4:$G$582,'март 2023'!$D$4:$D$582,$B56,'март 2023'!$J$4:$J$582,AG$1)</f>
        <v>0</v>
      </c>
      <c r="AH56" s="207">
        <f>SUMIFS('март 2023'!$G$4:$G$582,'март 2023'!$D$4:$D$582,$B56,'март 2023'!$J$4:$J$582,AH$1)</f>
        <v>0</v>
      </c>
      <c r="AI56" s="170">
        <f t="shared" si="1"/>
        <v>0</v>
      </c>
    </row>
    <row r="57" spans="2:35" ht="15.75" x14ac:dyDescent="0.25">
      <c r="B57" s="216" t="s">
        <v>1869</v>
      </c>
      <c r="C57" s="213">
        <v>200</v>
      </c>
      <c r="D57" s="207">
        <f>SUMIFS('март 2023'!$G$4:$G$582,'март 2023'!$D$4:$D$582,$B57,'март 2023'!$J$4:$J$582,D$1)</f>
        <v>0</v>
      </c>
      <c r="E57" s="207">
        <f>SUMIFS('март 2023'!$G$4:$G$582,'март 2023'!$D$4:$D$582,$B57,'март 2023'!$J$4:$J$582,E$1)</f>
        <v>0</v>
      </c>
      <c r="F57" s="207">
        <f>SUMIFS('март 2023'!$G$4:$G$582,'март 2023'!$D$4:$D$582,$B57,'март 2023'!$J$4:$J$582,F$1)</f>
        <v>0</v>
      </c>
      <c r="G57" s="207">
        <f>SUMIFS('март 2023'!$G$4:$G$582,'март 2023'!$D$4:$D$582,$B57,'март 2023'!$J$4:$J$582,G$1)</f>
        <v>0</v>
      </c>
      <c r="H57" s="207">
        <f>SUMIFS('март 2023'!$G$4:$G$582,'март 2023'!$D$4:$D$582,$B57,'март 2023'!$J$4:$J$582,H$1)</f>
        <v>0</v>
      </c>
      <c r="I57" s="207">
        <f>SUMIFS('март 2023'!$G$4:$G$582,'март 2023'!$D$4:$D$582,$B57,'март 2023'!$J$4:$J$582,I$1)</f>
        <v>0</v>
      </c>
      <c r="J57" s="207">
        <f>SUMIFS('март 2023'!$G$4:$G$582,'март 2023'!$D$4:$D$582,$B57,'март 2023'!$J$4:$J$582,J$1)</f>
        <v>0</v>
      </c>
      <c r="K57" s="207">
        <f>SUMIFS('март 2023'!$G$4:$G$582,'март 2023'!$D$4:$D$582,$B57,'март 2023'!$J$4:$J$582,K$1)</f>
        <v>0</v>
      </c>
      <c r="L57" s="207">
        <f>SUMIFS('март 2023'!$G$4:$G$582,'март 2023'!$D$4:$D$582,$B57,'март 2023'!$J$4:$J$582,L$1)</f>
        <v>0</v>
      </c>
      <c r="M57" s="207">
        <f>SUMIFS('март 2023'!$G$4:$G$582,'март 2023'!$D$4:$D$582,$B57,'март 2023'!$J$4:$J$582,M$1)</f>
        <v>0</v>
      </c>
      <c r="N57" s="207">
        <f>SUMIFS('март 2023'!$G$4:$G$582,'март 2023'!$D$4:$D$582,$B57,'март 2023'!$J$4:$J$582,N$1)</f>
        <v>0</v>
      </c>
      <c r="O57" s="207">
        <f>SUMIFS('март 2023'!$G$4:$G$582,'март 2023'!$D$4:$D$582,$B57,'март 2023'!$J$4:$J$582,O$1)</f>
        <v>0</v>
      </c>
      <c r="P57" s="207">
        <f>SUMIFS('март 2023'!$G$4:$G$582,'март 2023'!$D$4:$D$582,$B57,'март 2023'!$J$4:$J$582,P$1)</f>
        <v>0</v>
      </c>
      <c r="Q57" s="207">
        <f>SUMIFS('март 2023'!$G$4:$G$582,'март 2023'!$D$4:$D$582,$B57,'март 2023'!$J$4:$J$582,Q$1)</f>
        <v>0</v>
      </c>
      <c r="R57" s="207">
        <f>SUMIFS('март 2023'!$G$4:$G$582,'март 2023'!$D$4:$D$582,$B57,'март 2023'!$J$4:$J$582,R$1)</f>
        <v>0</v>
      </c>
      <c r="S57" s="207">
        <f>SUMIFS('март 2023'!$G$4:$G$582,'март 2023'!$D$4:$D$582,$B57,'март 2023'!$J$4:$J$582,S$1)</f>
        <v>0</v>
      </c>
      <c r="T57" s="207">
        <f>SUMIFS('март 2023'!$G$4:$G$582,'март 2023'!$D$4:$D$582,$B57,'март 2023'!$J$4:$J$582,T$1)</f>
        <v>0</v>
      </c>
      <c r="U57" s="207">
        <f>SUMIFS('март 2023'!$G$4:$G$582,'март 2023'!$D$4:$D$582,$B57,'март 2023'!$J$4:$J$582,U$1)</f>
        <v>0</v>
      </c>
      <c r="V57" s="207">
        <f>SUMIFS('март 2023'!$G$4:$G$582,'март 2023'!$D$4:$D$582,$B57,'март 2023'!$J$4:$J$582,V$1)</f>
        <v>0</v>
      </c>
      <c r="W57" s="207">
        <f>SUMIFS('март 2023'!$G$4:$G$582,'март 2023'!$D$4:$D$582,$B57,'март 2023'!$J$4:$J$582,W$1)</f>
        <v>0</v>
      </c>
      <c r="X57" s="207">
        <f>SUMIFS('март 2023'!$G$4:$G$582,'март 2023'!$D$4:$D$582,$B57,'март 2023'!$J$4:$J$582,X$1)</f>
        <v>0</v>
      </c>
      <c r="Y57" s="207">
        <f>SUMIFS('март 2023'!$G$4:$G$582,'март 2023'!$D$4:$D$582,$B57,'март 2023'!$J$4:$J$582,Y$1)</f>
        <v>0</v>
      </c>
      <c r="Z57" s="207">
        <f>SUMIFS('март 2023'!$G$4:$G$582,'март 2023'!$D$4:$D$582,$B57,'март 2023'!$J$4:$J$582,Z$1)</f>
        <v>0</v>
      </c>
      <c r="AA57" s="207">
        <f>SUMIFS('март 2023'!$G$4:$G$582,'март 2023'!$D$4:$D$582,$B57,'март 2023'!$J$4:$J$582,AA$1)</f>
        <v>0</v>
      </c>
      <c r="AB57" s="207">
        <f>SUMIFS('март 2023'!$G$4:$G$582,'март 2023'!$D$4:$D$582,$B57,'март 2023'!$J$4:$J$582,AB$1)</f>
        <v>0</v>
      </c>
      <c r="AC57" s="207">
        <f>SUMIFS('март 2023'!$G$4:$G$582,'март 2023'!$D$4:$D$582,$B57,'март 2023'!$J$4:$J$582,AC$1)</f>
        <v>0</v>
      </c>
      <c r="AD57" s="207">
        <f>SUMIFS('март 2023'!$G$4:$G$582,'март 2023'!$D$4:$D$582,$B57,'март 2023'!$J$4:$J$582,AD$1)</f>
        <v>0</v>
      </c>
      <c r="AE57" s="207">
        <f>SUMIFS('март 2023'!$G$4:$G$582,'март 2023'!$D$4:$D$582,$B57,'март 2023'!$J$4:$J$582,AE$1)</f>
        <v>0</v>
      </c>
      <c r="AF57" s="207">
        <f>SUMIFS('март 2023'!$G$4:$G$582,'март 2023'!$D$4:$D$582,$B57,'март 2023'!$J$4:$J$582,AF$1)</f>
        <v>0</v>
      </c>
      <c r="AG57" s="207">
        <f>SUMIFS('март 2023'!$G$4:$G$582,'март 2023'!$D$4:$D$582,$B57,'март 2023'!$J$4:$J$582,AG$1)</f>
        <v>0</v>
      </c>
      <c r="AH57" s="207">
        <f>SUMIFS('март 2023'!$G$4:$G$582,'март 2023'!$D$4:$D$582,$B57,'март 2023'!$J$4:$J$582,AH$1)</f>
        <v>0</v>
      </c>
      <c r="AI57" s="170">
        <f t="shared" si="1"/>
        <v>0</v>
      </c>
    </row>
    <row r="58" spans="2:35" ht="15" customHeight="1" x14ac:dyDescent="0.25">
      <c r="B58" s="216" t="s">
        <v>66</v>
      </c>
      <c r="C58" s="213">
        <v>200</v>
      </c>
      <c r="D58" s="207">
        <f>SUMIFS('март 2023'!$G$4:$G$582,'март 2023'!$D$4:$D$582,$B58,'март 2023'!$J$4:$J$582,D$1)</f>
        <v>0</v>
      </c>
      <c r="E58" s="207">
        <f>SUMIFS('март 2023'!$G$4:$G$582,'март 2023'!$D$4:$D$582,$B58,'март 2023'!$J$4:$J$582,E$1)</f>
        <v>0</v>
      </c>
      <c r="F58" s="207">
        <f>SUMIFS('март 2023'!$G$4:$G$582,'март 2023'!$D$4:$D$582,$B58,'март 2023'!$J$4:$J$582,F$1)</f>
        <v>0</v>
      </c>
      <c r="G58" s="207">
        <f>SUMIFS('март 2023'!$G$4:$G$582,'март 2023'!$D$4:$D$582,$B58,'март 2023'!$J$4:$J$582,G$1)</f>
        <v>0</v>
      </c>
      <c r="H58" s="207">
        <f>SUMIFS('март 2023'!$G$4:$G$582,'март 2023'!$D$4:$D$582,$B58,'март 2023'!$J$4:$J$582,H$1)</f>
        <v>0</v>
      </c>
      <c r="I58" s="207">
        <f>SUMIFS('март 2023'!$G$4:$G$582,'март 2023'!$D$4:$D$582,$B58,'март 2023'!$J$4:$J$582,I$1)</f>
        <v>0</v>
      </c>
      <c r="J58" s="207">
        <f>SUMIFS('март 2023'!$G$4:$G$582,'март 2023'!$D$4:$D$582,$B58,'март 2023'!$J$4:$J$582,J$1)</f>
        <v>0</v>
      </c>
      <c r="K58" s="207">
        <f>SUMIFS('март 2023'!$G$4:$G$582,'март 2023'!$D$4:$D$582,$B58,'март 2023'!$J$4:$J$582,K$1)</f>
        <v>0</v>
      </c>
      <c r="L58" s="207">
        <f>SUMIFS('март 2023'!$G$4:$G$582,'март 2023'!$D$4:$D$582,$B58,'март 2023'!$J$4:$J$582,L$1)</f>
        <v>0</v>
      </c>
      <c r="M58" s="207">
        <f>SUMIFS('март 2023'!$G$4:$G$582,'март 2023'!$D$4:$D$582,$B58,'март 2023'!$J$4:$J$582,M$1)</f>
        <v>0</v>
      </c>
      <c r="N58" s="207">
        <f>SUMIFS('март 2023'!$G$4:$G$582,'март 2023'!$D$4:$D$582,$B58,'март 2023'!$J$4:$J$582,N$1)</f>
        <v>0</v>
      </c>
      <c r="O58" s="207">
        <f>SUMIFS('март 2023'!$G$4:$G$582,'март 2023'!$D$4:$D$582,$B58,'март 2023'!$J$4:$J$582,O$1)</f>
        <v>0</v>
      </c>
      <c r="P58" s="207">
        <f>SUMIFS('март 2023'!$G$4:$G$582,'март 2023'!$D$4:$D$582,$B58,'март 2023'!$J$4:$J$582,P$1)</f>
        <v>0</v>
      </c>
      <c r="Q58" s="207">
        <f>SUMIFS('март 2023'!$G$4:$G$582,'март 2023'!$D$4:$D$582,$B58,'март 2023'!$J$4:$J$582,Q$1)</f>
        <v>0</v>
      </c>
      <c r="R58" s="207">
        <f>SUMIFS('март 2023'!$G$4:$G$582,'март 2023'!$D$4:$D$582,$B58,'март 2023'!$J$4:$J$582,R$1)</f>
        <v>0</v>
      </c>
      <c r="S58" s="207">
        <f>SUMIFS('март 2023'!$G$4:$G$582,'март 2023'!$D$4:$D$582,$B58,'март 2023'!$J$4:$J$582,S$1)</f>
        <v>0</v>
      </c>
      <c r="T58" s="207">
        <f>SUMIFS('март 2023'!$G$4:$G$582,'март 2023'!$D$4:$D$582,$B58,'март 2023'!$J$4:$J$582,T$1)</f>
        <v>0</v>
      </c>
      <c r="U58" s="207">
        <f>SUMIFS('март 2023'!$G$4:$G$582,'март 2023'!$D$4:$D$582,$B58,'март 2023'!$J$4:$J$582,U$1)</f>
        <v>0</v>
      </c>
      <c r="V58" s="207">
        <f>SUMIFS('март 2023'!$G$4:$G$582,'март 2023'!$D$4:$D$582,$B58,'март 2023'!$J$4:$J$582,V$1)</f>
        <v>0</v>
      </c>
      <c r="W58" s="207">
        <f>SUMIFS('март 2023'!$G$4:$G$582,'март 2023'!$D$4:$D$582,$B58,'март 2023'!$J$4:$J$582,W$1)</f>
        <v>0</v>
      </c>
      <c r="X58" s="207">
        <f>SUMIFS('март 2023'!$G$4:$G$582,'март 2023'!$D$4:$D$582,$B58,'март 2023'!$J$4:$J$582,X$1)</f>
        <v>0</v>
      </c>
      <c r="Y58" s="207">
        <f>SUMIFS('март 2023'!$G$4:$G$582,'март 2023'!$D$4:$D$582,$B58,'март 2023'!$J$4:$J$582,Y$1)</f>
        <v>0</v>
      </c>
      <c r="Z58" s="207">
        <f>SUMIFS('март 2023'!$G$4:$G$582,'март 2023'!$D$4:$D$582,$B58,'март 2023'!$J$4:$J$582,Z$1)</f>
        <v>0</v>
      </c>
      <c r="AA58" s="207">
        <f>SUMIFS('март 2023'!$G$4:$G$582,'март 2023'!$D$4:$D$582,$B58,'март 2023'!$J$4:$J$582,AA$1)</f>
        <v>0</v>
      </c>
      <c r="AB58" s="207">
        <f>SUMIFS('март 2023'!$G$4:$G$582,'март 2023'!$D$4:$D$582,$B58,'март 2023'!$J$4:$J$582,AB$1)</f>
        <v>0</v>
      </c>
      <c r="AC58" s="207">
        <f>SUMIFS('март 2023'!$G$4:$G$582,'март 2023'!$D$4:$D$582,$B58,'март 2023'!$J$4:$J$582,AC$1)</f>
        <v>0</v>
      </c>
      <c r="AD58" s="207">
        <f>SUMIFS('март 2023'!$G$4:$G$582,'март 2023'!$D$4:$D$582,$B58,'март 2023'!$J$4:$J$582,AD$1)</f>
        <v>0</v>
      </c>
      <c r="AE58" s="207">
        <f>SUMIFS('март 2023'!$G$4:$G$582,'март 2023'!$D$4:$D$582,$B58,'март 2023'!$J$4:$J$582,AE$1)</f>
        <v>48</v>
      </c>
      <c r="AF58" s="207">
        <f>SUMIFS('март 2023'!$G$4:$G$582,'март 2023'!$D$4:$D$582,$B58,'март 2023'!$J$4:$J$582,AF$1)</f>
        <v>0</v>
      </c>
      <c r="AG58" s="207">
        <f>SUMIFS('март 2023'!$G$4:$G$582,'март 2023'!$D$4:$D$582,$B58,'март 2023'!$J$4:$J$582,AG$1)</f>
        <v>0</v>
      </c>
      <c r="AH58" s="207">
        <f>SUMIFS('март 2023'!$G$4:$G$582,'март 2023'!$D$4:$D$582,$B58,'март 2023'!$J$4:$J$582,AH$1)</f>
        <v>0</v>
      </c>
      <c r="AI58" s="170">
        <f t="shared" si="1"/>
        <v>48</v>
      </c>
    </row>
    <row r="59" spans="2:35" ht="15" customHeight="1" x14ac:dyDescent="0.25">
      <c r="B59" s="216" t="s">
        <v>38</v>
      </c>
      <c r="C59" s="213">
        <v>200</v>
      </c>
      <c r="D59" s="207">
        <f>SUMIFS('март 2023'!$G$4:$G$582,'март 2023'!$D$4:$D$582,$B59,'март 2023'!$J$4:$J$582,D$1)</f>
        <v>0</v>
      </c>
      <c r="E59" s="207">
        <f>SUMIFS('март 2023'!$G$4:$G$582,'март 2023'!$D$4:$D$582,$B59,'март 2023'!$J$4:$J$582,E$1)</f>
        <v>0</v>
      </c>
      <c r="F59" s="207">
        <f>SUMIFS('март 2023'!$G$4:$G$582,'март 2023'!$D$4:$D$582,$B59,'март 2023'!$J$4:$J$582,F$1)</f>
        <v>0</v>
      </c>
      <c r="G59" s="207">
        <f>SUMIFS('март 2023'!$G$4:$G$582,'март 2023'!$D$4:$D$582,$B59,'март 2023'!$J$4:$J$582,G$1)</f>
        <v>0</v>
      </c>
      <c r="H59" s="207">
        <f>SUMIFS('март 2023'!$G$4:$G$582,'март 2023'!$D$4:$D$582,$B59,'март 2023'!$J$4:$J$582,H$1)</f>
        <v>0</v>
      </c>
      <c r="I59" s="207">
        <f>SUMIFS('март 2023'!$G$4:$G$582,'март 2023'!$D$4:$D$582,$B59,'март 2023'!$J$4:$J$582,I$1)</f>
        <v>0</v>
      </c>
      <c r="J59" s="207">
        <f>SUMIFS('март 2023'!$G$4:$G$582,'март 2023'!$D$4:$D$582,$B59,'март 2023'!$J$4:$J$582,J$1)</f>
        <v>0</v>
      </c>
      <c r="K59" s="207">
        <f>SUMIFS('март 2023'!$G$4:$G$582,'март 2023'!$D$4:$D$582,$B59,'март 2023'!$J$4:$J$582,K$1)</f>
        <v>0</v>
      </c>
      <c r="L59" s="207">
        <f>SUMIFS('март 2023'!$G$4:$G$582,'март 2023'!$D$4:$D$582,$B59,'март 2023'!$J$4:$J$582,L$1)</f>
        <v>0</v>
      </c>
      <c r="M59" s="207">
        <f>SUMIFS('март 2023'!$G$4:$G$582,'март 2023'!$D$4:$D$582,$B59,'март 2023'!$J$4:$J$582,M$1)</f>
        <v>0</v>
      </c>
      <c r="N59" s="207">
        <f>SUMIFS('март 2023'!$G$4:$G$582,'март 2023'!$D$4:$D$582,$B59,'март 2023'!$J$4:$J$582,N$1)</f>
        <v>0</v>
      </c>
      <c r="O59" s="207">
        <f>SUMIFS('март 2023'!$G$4:$G$582,'март 2023'!$D$4:$D$582,$B59,'март 2023'!$J$4:$J$582,O$1)</f>
        <v>0</v>
      </c>
      <c r="P59" s="207">
        <f>SUMIFS('март 2023'!$G$4:$G$582,'март 2023'!$D$4:$D$582,$B59,'март 2023'!$J$4:$J$582,P$1)</f>
        <v>0</v>
      </c>
      <c r="Q59" s="207">
        <f>SUMIFS('март 2023'!$G$4:$G$582,'март 2023'!$D$4:$D$582,$B59,'март 2023'!$J$4:$J$582,Q$1)</f>
        <v>0</v>
      </c>
      <c r="R59" s="207">
        <f>SUMIFS('март 2023'!$G$4:$G$582,'март 2023'!$D$4:$D$582,$B59,'март 2023'!$J$4:$J$582,R$1)</f>
        <v>0</v>
      </c>
      <c r="S59" s="207">
        <f>SUMIFS('март 2023'!$G$4:$G$582,'март 2023'!$D$4:$D$582,$B59,'март 2023'!$J$4:$J$582,S$1)</f>
        <v>0</v>
      </c>
      <c r="T59" s="207">
        <f>SUMIFS('март 2023'!$G$4:$G$582,'март 2023'!$D$4:$D$582,$B59,'март 2023'!$J$4:$J$582,T$1)</f>
        <v>0</v>
      </c>
      <c r="U59" s="207">
        <f>SUMIFS('март 2023'!$G$4:$G$582,'март 2023'!$D$4:$D$582,$B59,'март 2023'!$J$4:$J$582,U$1)</f>
        <v>0</v>
      </c>
      <c r="V59" s="207">
        <f>SUMIFS('март 2023'!$G$4:$G$582,'март 2023'!$D$4:$D$582,$B59,'март 2023'!$J$4:$J$582,V$1)</f>
        <v>0</v>
      </c>
      <c r="W59" s="207">
        <f>SUMIFS('март 2023'!$G$4:$G$582,'март 2023'!$D$4:$D$582,$B59,'март 2023'!$J$4:$J$582,W$1)</f>
        <v>0</v>
      </c>
      <c r="X59" s="207">
        <f>SUMIFS('март 2023'!$G$4:$G$582,'март 2023'!$D$4:$D$582,$B59,'март 2023'!$J$4:$J$582,X$1)</f>
        <v>0</v>
      </c>
      <c r="Y59" s="207">
        <f>SUMIFS('март 2023'!$G$4:$G$582,'март 2023'!$D$4:$D$582,$B59,'март 2023'!$J$4:$J$582,Y$1)</f>
        <v>0</v>
      </c>
      <c r="Z59" s="207">
        <f>SUMIFS('март 2023'!$G$4:$G$582,'март 2023'!$D$4:$D$582,$B59,'март 2023'!$J$4:$J$582,Z$1)</f>
        <v>0</v>
      </c>
      <c r="AA59" s="207">
        <f>SUMIFS('март 2023'!$G$4:$G$582,'март 2023'!$D$4:$D$582,$B59,'март 2023'!$J$4:$J$582,AA$1)</f>
        <v>0</v>
      </c>
      <c r="AB59" s="207">
        <f>SUMIFS('март 2023'!$G$4:$G$582,'март 2023'!$D$4:$D$582,$B59,'март 2023'!$J$4:$J$582,AB$1)</f>
        <v>0</v>
      </c>
      <c r="AC59" s="207">
        <f>SUMIFS('март 2023'!$G$4:$G$582,'март 2023'!$D$4:$D$582,$B59,'март 2023'!$J$4:$J$582,AC$1)</f>
        <v>0</v>
      </c>
      <c r="AD59" s="207">
        <f>SUMIFS('март 2023'!$G$4:$G$582,'март 2023'!$D$4:$D$582,$B59,'март 2023'!$J$4:$J$582,AD$1)</f>
        <v>0</v>
      </c>
      <c r="AE59" s="207">
        <f>SUMIFS('март 2023'!$G$4:$G$582,'март 2023'!$D$4:$D$582,$B59,'март 2023'!$J$4:$J$582,AE$1)</f>
        <v>0</v>
      </c>
      <c r="AF59" s="207">
        <f>SUMIFS('март 2023'!$G$4:$G$582,'март 2023'!$D$4:$D$582,$B59,'март 2023'!$J$4:$J$582,AF$1)</f>
        <v>0</v>
      </c>
      <c r="AG59" s="207">
        <f>SUMIFS('март 2023'!$G$4:$G$582,'март 2023'!$D$4:$D$582,$B59,'март 2023'!$J$4:$J$582,AG$1)</f>
        <v>0</v>
      </c>
      <c r="AH59" s="207">
        <f>SUMIFS('март 2023'!$G$4:$G$582,'март 2023'!$D$4:$D$582,$B59,'март 2023'!$J$4:$J$582,AH$1)</f>
        <v>0</v>
      </c>
      <c r="AI59" s="170">
        <f t="shared" si="1"/>
        <v>0</v>
      </c>
    </row>
    <row r="60" spans="2:35" ht="15" customHeight="1" x14ac:dyDescent="0.25">
      <c r="B60" s="216" t="s">
        <v>222</v>
      </c>
      <c r="C60" s="213">
        <v>50</v>
      </c>
      <c r="D60" s="207">
        <f>SUMIFS('март 2023'!$G$4:$G$582,'март 2023'!$D$4:$D$582,$B60,'март 2023'!$J$4:$J$582,D$1)</f>
        <v>0</v>
      </c>
      <c r="E60" s="207">
        <f>SUMIFS('март 2023'!$G$4:$G$582,'март 2023'!$D$4:$D$582,$B60,'март 2023'!$J$4:$J$582,E$1)</f>
        <v>0</v>
      </c>
      <c r="F60" s="207">
        <f>SUMIFS('март 2023'!$G$4:$G$582,'март 2023'!$D$4:$D$582,$B60,'март 2023'!$J$4:$J$582,F$1)</f>
        <v>0</v>
      </c>
      <c r="G60" s="207">
        <f>SUMIFS('март 2023'!$G$4:$G$582,'март 2023'!$D$4:$D$582,$B60,'март 2023'!$J$4:$J$582,G$1)</f>
        <v>0</v>
      </c>
      <c r="H60" s="207">
        <f>SUMIFS('март 2023'!$G$4:$G$582,'март 2023'!$D$4:$D$582,$B60,'март 2023'!$J$4:$J$582,H$1)</f>
        <v>0</v>
      </c>
      <c r="I60" s="207">
        <f>SUMIFS('март 2023'!$G$4:$G$582,'март 2023'!$D$4:$D$582,$B60,'март 2023'!$J$4:$J$582,I$1)</f>
        <v>0</v>
      </c>
      <c r="J60" s="207">
        <f>SUMIFS('март 2023'!$G$4:$G$582,'март 2023'!$D$4:$D$582,$B60,'март 2023'!$J$4:$J$582,J$1)</f>
        <v>0</v>
      </c>
      <c r="K60" s="207">
        <f>SUMIFS('март 2023'!$G$4:$G$582,'март 2023'!$D$4:$D$582,$B60,'март 2023'!$J$4:$J$582,K$1)</f>
        <v>0</v>
      </c>
      <c r="L60" s="207">
        <f>SUMIFS('март 2023'!$G$4:$G$582,'март 2023'!$D$4:$D$582,$B60,'март 2023'!$J$4:$J$582,L$1)</f>
        <v>0</v>
      </c>
      <c r="M60" s="207">
        <f>SUMIFS('март 2023'!$G$4:$G$582,'март 2023'!$D$4:$D$582,$B60,'март 2023'!$J$4:$J$582,M$1)</f>
        <v>60</v>
      </c>
      <c r="N60" s="207">
        <f>SUMIFS('март 2023'!$G$4:$G$582,'март 2023'!$D$4:$D$582,$B60,'март 2023'!$J$4:$J$582,N$1)</f>
        <v>0</v>
      </c>
      <c r="O60" s="207">
        <f>SUMIFS('март 2023'!$G$4:$G$582,'март 2023'!$D$4:$D$582,$B60,'март 2023'!$J$4:$J$582,O$1)</f>
        <v>0</v>
      </c>
      <c r="P60" s="207">
        <f>SUMIFS('март 2023'!$G$4:$G$582,'март 2023'!$D$4:$D$582,$B60,'март 2023'!$J$4:$J$582,P$1)</f>
        <v>0</v>
      </c>
      <c r="Q60" s="207">
        <f>SUMIFS('март 2023'!$G$4:$G$582,'март 2023'!$D$4:$D$582,$B60,'март 2023'!$J$4:$J$582,Q$1)</f>
        <v>0</v>
      </c>
      <c r="R60" s="207">
        <f>SUMIFS('март 2023'!$G$4:$G$582,'март 2023'!$D$4:$D$582,$B60,'март 2023'!$J$4:$J$582,R$1)</f>
        <v>0</v>
      </c>
      <c r="S60" s="207">
        <f>SUMIFS('март 2023'!$G$4:$G$582,'март 2023'!$D$4:$D$582,$B60,'март 2023'!$J$4:$J$582,S$1)</f>
        <v>0</v>
      </c>
      <c r="T60" s="207">
        <f>SUMIFS('март 2023'!$G$4:$G$582,'март 2023'!$D$4:$D$582,$B60,'март 2023'!$J$4:$J$582,T$1)</f>
        <v>0</v>
      </c>
      <c r="U60" s="207">
        <f>SUMIFS('март 2023'!$G$4:$G$582,'март 2023'!$D$4:$D$582,$B60,'март 2023'!$J$4:$J$582,U$1)</f>
        <v>0</v>
      </c>
      <c r="V60" s="207">
        <f>SUMIFS('март 2023'!$G$4:$G$582,'март 2023'!$D$4:$D$582,$B60,'март 2023'!$J$4:$J$582,V$1)</f>
        <v>0</v>
      </c>
      <c r="W60" s="207">
        <f>SUMIFS('март 2023'!$G$4:$G$582,'март 2023'!$D$4:$D$582,$B60,'март 2023'!$J$4:$J$582,W$1)</f>
        <v>0</v>
      </c>
      <c r="X60" s="207">
        <f>SUMIFS('март 2023'!$G$4:$G$582,'март 2023'!$D$4:$D$582,$B60,'март 2023'!$J$4:$J$582,X$1)</f>
        <v>0</v>
      </c>
      <c r="Y60" s="207">
        <f>SUMIFS('март 2023'!$G$4:$G$582,'март 2023'!$D$4:$D$582,$B60,'март 2023'!$J$4:$J$582,Y$1)</f>
        <v>0</v>
      </c>
      <c r="Z60" s="207">
        <f>SUMIFS('март 2023'!$G$4:$G$582,'март 2023'!$D$4:$D$582,$B60,'март 2023'!$J$4:$J$582,Z$1)</f>
        <v>0</v>
      </c>
      <c r="AA60" s="207">
        <f>SUMIFS('март 2023'!$G$4:$G$582,'март 2023'!$D$4:$D$582,$B60,'март 2023'!$J$4:$J$582,AA$1)</f>
        <v>0</v>
      </c>
      <c r="AB60" s="207">
        <f>SUMIFS('март 2023'!$G$4:$G$582,'март 2023'!$D$4:$D$582,$B60,'март 2023'!$J$4:$J$582,AB$1)</f>
        <v>0</v>
      </c>
      <c r="AC60" s="207">
        <f>SUMIFS('март 2023'!$G$4:$G$582,'март 2023'!$D$4:$D$582,$B60,'март 2023'!$J$4:$J$582,AC$1)</f>
        <v>0</v>
      </c>
      <c r="AD60" s="207">
        <f>SUMIFS('март 2023'!$G$4:$G$582,'март 2023'!$D$4:$D$582,$B60,'март 2023'!$J$4:$J$582,AD$1)</f>
        <v>0</v>
      </c>
      <c r="AE60" s="207">
        <f>SUMIFS('март 2023'!$G$4:$G$582,'март 2023'!$D$4:$D$582,$B60,'март 2023'!$J$4:$J$582,AE$1)</f>
        <v>0</v>
      </c>
      <c r="AF60" s="207">
        <f>SUMIFS('март 2023'!$G$4:$G$582,'март 2023'!$D$4:$D$582,$B60,'март 2023'!$J$4:$J$582,AF$1)</f>
        <v>0</v>
      </c>
      <c r="AG60" s="207">
        <f>SUMIFS('март 2023'!$G$4:$G$582,'март 2023'!$D$4:$D$582,$B60,'март 2023'!$J$4:$J$582,AG$1)</f>
        <v>0</v>
      </c>
      <c r="AH60" s="207">
        <f>SUMIFS('март 2023'!$G$4:$G$582,'март 2023'!$D$4:$D$582,$B60,'март 2023'!$J$4:$J$582,AH$1)</f>
        <v>0</v>
      </c>
      <c r="AI60" s="170">
        <f t="shared" si="1"/>
        <v>60</v>
      </c>
    </row>
    <row r="61" spans="2:35" ht="15" customHeight="1" x14ac:dyDescent="0.25">
      <c r="B61" s="216" t="s">
        <v>1698</v>
      </c>
      <c r="C61" s="213">
        <v>180</v>
      </c>
      <c r="D61" s="207">
        <f>SUMIFS('март 2023'!$G$4:$G$582,'март 2023'!$D$4:$D$582,$B61,'март 2023'!$J$4:$J$582,D$1)</f>
        <v>0</v>
      </c>
      <c r="E61" s="207">
        <f>SUMIFS('март 2023'!$G$4:$G$582,'март 2023'!$D$4:$D$582,$B61,'март 2023'!$J$4:$J$582,E$1)</f>
        <v>0</v>
      </c>
      <c r="F61" s="207">
        <f>SUMIFS('март 2023'!$G$4:$G$582,'март 2023'!$D$4:$D$582,$B61,'март 2023'!$J$4:$J$582,F$1)</f>
        <v>0</v>
      </c>
      <c r="G61" s="207">
        <f>SUMIFS('март 2023'!$G$4:$G$582,'март 2023'!$D$4:$D$582,$B61,'март 2023'!$J$4:$J$582,G$1)</f>
        <v>0</v>
      </c>
      <c r="H61" s="207">
        <f>SUMIFS('март 2023'!$G$4:$G$582,'март 2023'!$D$4:$D$582,$B61,'март 2023'!$J$4:$J$582,H$1)</f>
        <v>0</v>
      </c>
      <c r="I61" s="207">
        <f>SUMIFS('март 2023'!$G$4:$G$582,'март 2023'!$D$4:$D$582,$B61,'март 2023'!$J$4:$J$582,I$1)</f>
        <v>0</v>
      </c>
      <c r="J61" s="207">
        <f>SUMIFS('март 2023'!$G$4:$G$582,'март 2023'!$D$4:$D$582,$B61,'март 2023'!$J$4:$J$582,J$1)</f>
        <v>0</v>
      </c>
      <c r="K61" s="207">
        <f>SUMIFS('март 2023'!$G$4:$G$582,'март 2023'!$D$4:$D$582,$B61,'март 2023'!$J$4:$J$582,K$1)</f>
        <v>0</v>
      </c>
      <c r="L61" s="207">
        <f>SUMIFS('март 2023'!$G$4:$G$582,'март 2023'!$D$4:$D$582,$B61,'март 2023'!$J$4:$J$582,L$1)</f>
        <v>0</v>
      </c>
      <c r="M61" s="207">
        <f>SUMIFS('март 2023'!$G$4:$G$582,'март 2023'!$D$4:$D$582,$B61,'март 2023'!$J$4:$J$582,M$1)</f>
        <v>0</v>
      </c>
      <c r="N61" s="207">
        <f>SUMIFS('март 2023'!$G$4:$G$582,'март 2023'!$D$4:$D$582,$B61,'март 2023'!$J$4:$J$582,N$1)</f>
        <v>0</v>
      </c>
      <c r="O61" s="207">
        <f>SUMIFS('март 2023'!$G$4:$G$582,'март 2023'!$D$4:$D$582,$B61,'март 2023'!$J$4:$J$582,O$1)</f>
        <v>0</v>
      </c>
      <c r="P61" s="207">
        <f>SUMIFS('март 2023'!$G$4:$G$582,'март 2023'!$D$4:$D$582,$B61,'март 2023'!$J$4:$J$582,P$1)</f>
        <v>0</v>
      </c>
      <c r="Q61" s="207">
        <f>SUMIFS('март 2023'!$G$4:$G$582,'март 2023'!$D$4:$D$582,$B61,'март 2023'!$J$4:$J$582,Q$1)</f>
        <v>0</v>
      </c>
      <c r="R61" s="207">
        <f>SUMIFS('март 2023'!$G$4:$G$582,'март 2023'!$D$4:$D$582,$B61,'март 2023'!$J$4:$J$582,R$1)</f>
        <v>0</v>
      </c>
      <c r="S61" s="207">
        <f>SUMIFS('март 2023'!$G$4:$G$582,'март 2023'!$D$4:$D$582,$B61,'март 2023'!$J$4:$J$582,S$1)</f>
        <v>0</v>
      </c>
      <c r="T61" s="207">
        <f>SUMIFS('март 2023'!$G$4:$G$582,'март 2023'!$D$4:$D$582,$B61,'март 2023'!$J$4:$J$582,T$1)</f>
        <v>88</v>
      </c>
      <c r="U61" s="207">
        <f>SUMIFS('март 2023'!$G$4:$G$582,'март 2023'!$D$4:$D$582,$B61,'март 2023'!$J$4:$J$582,U$1)</f>
        <v>0</v>
      </c>
      <c r="V61" s="207">
        <f>SUMIFS('март 2023'!$G$4:$G$582,'март 2023'!$D$4:$D$582,$B61,'март 2023'!$J$4:$J$582,V$1)</f>
        <v>0</v>
      </c>
      <c r="W61" s="207">
        <f>SUMIFS('март 2023'!$G$4:$G$582,'март 2023'!$D$4:$D$582,$B61,'март 2023'!$J$4:$J$582,W$1)</f>
        <v>0</v>
      </c>
      <c r="X61" s="207">
        <f>SUMIFS('март 2023'!$G$4:$G$582,'март 2023'!$D$4:$D$582,$B61,'март 2023'!$J$4:$J$582,X$1)</f>
        <v>88</v>
      </c>
      <c r="Y61" s="207">
        <f>SUMIFS('март 2023'!$G$4:$G$582,'март 2023'!$D$4:$D$582,$B61,'март 2023'!$J$4:$J$582,Y$1)</f>
        <v>0</v>
      </c>
      <c r="Z61" s="207">
        <f>SUMIFS('март 2023'!$G$4:$G$582,'март 2023'!$D$4:$D$582,$B61,'март 2023'!$J$4:$J$582,Z$1)</f>
        <v>0</v>
      </c>
      <c r="AA61" s="207">
        <f>SUMIFS('март 2023'!$G$4:$G$582,'март 2023'!$D$4:$D$582,$B61,'март 2023'!$J$4:$J$582,AA$1)</f>
        <v>4</v>
      </c>
      <c r="AB61" s="207">
        <f>SUMIFS('март 2023'!$G$4:$G$582,'март 2023'!$D$4:$D$582,$B61,'март 2023'!$J$4:$J$582,AB$1)</f>
        <v>0</v>
      </c>
      <c r="AC61" s="207">
        <f>SUMIFS('март 2023'!$G$4:$G$582,'март 2023'!$D$4:$D$582,$B61,'март 2023'!$J$4:$J$582,AC$1)</f>
        <v>0</v>
      </c>
      <c r="AD61" s="207">
        <f>SUMIFS('март 2023'!$G$4:$G$582,'март 2023'!$D$4:$D$582,$B61,'март 2023'!$J$4:$J$582,AD$1)</f>
        <v>0</v>
      </c>
      <c r="AE61" s="207">
        <f>SUMIFS('март 2023'!$G$4:$G$582,'март 2023'!$D$4:$D$582,$B61,'март 2023'!$J$4:$J$582,AE$1)</f>
        <v>0</v>
      </c>
      <c r="AF61" s="207">
        <f>SUMIFS('март 2023'!$G$4:$G$582,'март 2023'!$D$4:$D$582,$B61,'март 2023'!$J$4:$J$582,AF$1)</f>
        <v>0</v>
      </c>
      <c r="AG61" s="207">
        <f>SUMIFS('март 2023'!$G$4:$G$582,'март 2023'!$D$4:$D$582,$B61,'март 2023'!$J$4:$J$582,AG$1)</f>
        <v>0</v>
      </c>
      <c r="AH61" s="207">
        <f>SUMIFS('март 2023'!$G$4:$G$582,'март 2023'!$D$4:$D$582,$B61,'март 2023'!$J$4:$J$582,AH$1)</f>
        <v>0</v>
      </c>
      <c r="AI61" s="170">
        <f t="shared" si="1"/>
        <v>180</v>
      </c>
    </row>
    <row r="62" spans="2:35" ht="15" customHeight="1" x14ac:dyDescent="0.25">
      <c r="B62" s="216" t="s">
        <v>1800</v>
      </c>
      <c r="C62" s="213">
        <v>900</v>
      </c>
      <c r="D62" s="207">
        <f>SUMIFS('март 2023'!$G$4:$G$582,'март 2023'!$D$4:$D$582,$B62,'март 2023'!$J$4:$J$582,D$1)</f>
        <v>0</v>
      </c>
      <c r="E62" s="207">
        <f>SUMIFS('март 2023'!$G$4:$G$582,'март 2023'!$D$4:$D$582,$B62,'март 2023'!$J$4:$J$582,E$1)</f>
        <v>0</v>
      </c>
      <c r="F62" s="207">
        <f>SUMIFS('март 2023'!$G$4:$G$582,'март 2023'!$D$4:$D$582,$B62,'март 2023'!$J$4:$J$582,F$1)</f>
        <v>0</v>
      </c>
      <c r="G62" s="207">
        <f>SUMIFS('март 2023'!$G$4:$G$582,'март 2023'!$D$4:$D$582,$B62,'март 2023'!$J$4:$J$582,G$1)</f>
        <v>0</v>
      </c>
      <c r="H62" s="207">
        <f>SUMIFS('март 2023'!$G$4:$G$582,'март 2023'!$D$4:$D$582,$B62,'март 2023'!$J$4:$J$582,H$1)</f>
        <v>0</v>
      </c>
      <c r="I62" s="207">
        <f>SUMIFS('март 2023'!$G$4:$G$582,'март 2023'!$D$4:$D$582,$B62,'март 2023'!$J$4:$J$582,I$1)</f>
        <v>0</v>
      </c>
      <c r="J62" s="207">
        <f>SUMIFS('март 2023'!$G$4:$G$582,'март 2023'!$D$4:$D$582,$B62,'март 2023'!$J$4:$J$582,J$1)</f>
        <v>0</v>
      </c>
      <c r="K62" s="207">
        <f>SUMIFS('март 2023'!$G$4:$G$582,'март 2023'!$D$4:$D$582,$B62,'март 2023'!$J$4:$J$582,K$1)</f>
        <v>0</v>
      </c>
      <c r="L62" s="207">
        <f>SUMIFS('март 2023'!$G$4:$G$582,'март 2023'!$D$4:$D$582,$B62,'март 2023'!$J$4:$J$582,L$1)</f>
        <v>0</v>
      </c>
      <c r="M62" s="207">
        <f>SUMIFS('март 2023'!$G$4:$G$582,'март 2023'!$D$4:$D$582,$B62,'март 2023'!$J$4:$J$582,M$1)</f>
        <v>0</v>
      </c>
      <c r="N62" s="207">
        <f>SUMIFS('март 2023'!$G$4:$G$582,'март 2023'!$D$4:$D$582,$B62,'март 2023'!$J$4:$J$582,N$1)</f>
        <v>0</v>
      </c>
      <c r="O62" s="207">
        <f>SUMIFS('март 2023'!$G$4:$G$582,'март 2023'!$D$4:$D$582,$B62,'март 2023'!$J$4:$J$582,O$1)</f>
        <v>0</v>
      </c>
      <c r="P62" s="207">
        <f>SUMIFS('март 2023'!$G$4:$G$582,'март 2023'!$D$4:$D$582,$B62,'март 2023'!$J$4:$J$582,P$1)</f>
        <v>0</v>
      </c>
      <c r="Q62" s="207">
        <f>SUMIFS('март 2023'!$G$4:$G$582,'март 2023'!$D$4:$D$582,$B62,'март 2023'!$J$4:$J$582,Q$1)</f>
        <v>0</v>
      </c>
      <c r="R62" s="207">
        <f>SUMIFS('март 2023'!$G$4:$G$582,'март 2023'!$D$4:$D$582,$B62,'март 2023'!$J$4:$J$582,R$1)</f>
        <v>0</v>
      </c>
      <c r="S62" s="207">
        <f>SUMIFS('март 2023'!$G$4:$G$582,'март 2023'!$D$4:$D$582,$B62,'март 2023'!$J$4:$J$582,S$1)</f>
        <v>0</v>
      </c>
      <c r="T62" s="207">
        <f>SUMIFS('март 2023'!$G$4:$G$582,'март 2023'!$D$4:$D$582,$B62,'март 2023'!$J$4:$J$582,T$1)</f>
        <v>0</v>
      </c>
      <c r="U62" s="207">
        <f>SUMIFS('март 2023'!$G$4:$G$582,'март 2023'!$D$4:$D$582,$B62,'март 2023'!$J$4:$J$582,U$1)</f>
        <v>0</v>
      </c>
      <c r="V62" s="207">
        <f>SUMIFS('март 2023'!$G$4:$G$582,'март 2023'!$D$4:$D$582,$B62,'март 2023'!$J$4:$J$582,V$1)</f>
        <v>0</v>
      </c>
      <c r="W62" s="207">
        <f>SUMIFS('март 2023'!$G$4:$G$582,'март 2023'!$D$4:$D$582,$B62,'март 2023'!$J$4:$J$582,W$1)</f>
        <v>0</v>
      </c>
      <c r="X62" s="207">
        <f>SUMIFS('март 2023'!$G$4:$G$582,'март 2023'!$D$4:$D$582,$B62,'март 2023'!$J$4:$J$582,X$1)</f>
        <v>0</v>
      </c>
      <c r="Y62" s="207">
        <f>SUMIFS('март 2023'!$G$4:$G$582,'март 2023'!$D$4:$D$582,$B62,'март 2023'!$J$4:$J$582,Y$1)</f>
        <v>0</v>
      </c>
      <c r="Z62" s="207">
        <f>SUMIFS('март 2023'!$G$4:$G$582,'март 2023'!$D$4:$D$582,$B62,'март 2023'!$J$4:$J$582,Z$1)</f>
        <v>0</v>
      </c>
      <c r="AA62" s="207">
        <f>SUMIFS('март 2023'!$G$4:$G$582,'март 2023'!$D$4:$D$582,$B62,'март 2023'!$J$4:$J$582,AA$1)</f>
        <v>0</v>
      </c>
      <c r="AB62" s="207">
        <f>SUMIFS('март 2023'!$G$4:$G$582,'март 2023'!$D$4:$D$582,$B62,'март 2023'!$J$4:$J$582,AB$1)</f>
        <v>0</v>
      </c>
      <c r="AC62" s="207">
        <f>SUMIFS('март 2023'!$G$4:$G$582,'март 2023'!$D$4:$D$582,$B62,'март 2023'!$J$4:$J$582,AC$1)</f>
        <v>0</v>
      </c>
      <c r="AD62" s="207">
        <f>SUMIFS('март 2023'!$G$4:$G$582,'март 2023'!$D$4:$D$582,$B62,'март 2023'!$J$4:$J$582,AD$1)</f>
        <v>0</v>
      </c>
      <c r="AE62" s="207">
        <f>SUMIFS('март 2023'!$G$4:$G$582,'март 2023'!$D$4:$D$582,$B62,'март 2023'!$J$4:$J$582,AE$1)</f>
        <v>0</v>
      </c>
      <c r="AF62" s="207">
        <f>SUMIFS('март 2023'!$G$4:$G$582,'март 2023'!$D$4:$D$582,$B62,'март 2023'!$J$4:$J$582,AF$1)</f>
        <v>0</v>
      </c>
      <c r="AG62" s="207">
        <f>SUMIFS('март 2023'!$G$4:$G$582,'март 2023'!$D$4:$D$582,$B62,'март 2023'!$J$4:$J$582,AG$1)</f>
        <v>0</v>
      </c>
      <c r="AH62" s="207">
        <f>SUMIFS('март 2023'!$G$4:$G$582,'март 2023'!$D$4:$D$582,$B62,'март 2023'!$J$4:$J$582,AH$1)</f>
        <v>0</v>
      </c>
      <c r="AI62" s="170">
        <f t="shared" si="1"/>
        <v>0</v>
      </c>
    </row>
    <row r="63" spans="2:35" ht="15" customHeight="1" x14ac:dyDescent="0.25">
      <c r="B63" s="216" t="s">
        <v>1707</v>
      </c>
      <c r="C63" s="213">
        <v>190</v>
      </c>
      <c r="D63" s="207">
        <f>SUMIFS('март 2023'!$G$4:$G$582,'март 2023'!$D$4:$D$582,$B63,'март 2023'!$J$4:$J$582,D$1)</f>
        <v>0</v>
      </c>
      <c r="E63" s="207">
        <f>SUMIFS('март 2023'!$G$4:$G$582,'март 2023'!$D$4:$D$582,$B63,'март 2023'!$J$4:$J$582,E$1)</f>
        <v>0</v>
      </c>
      <c r="F63" s="207">
        <f>SUMIFS('март 2023'!$G$4:$G$582,'март 2023'!$D$4:$D$582,$B63,'март 2023'!$J$4:$J$582,F$1)</f>
        <v>0</v>
      </c>
      <c r="G63" s="207">
        <f>SUMIFS('март 2023'!$G$4:$G$582,'март 2023'!$D$4:$D$582,$B63,'март 2023'!$J$4:$J$582,G$1)</f>
        <v>0</v>
      </c>
      <c r="H63" s="207">
        <f>SUMIFS('март 2023'!$G$4:$G$582,'март 2023'!$D$4:$D$582,$B63,'март 2023'!$J$4:$J$582,H$1)</f>
        <v>0</v>
      </c>
      <c r="I63" s="207">
        <f>SUMIFS('март 2023'!$G$4:$G$582,'март 2023'!$D$4:$D$582,$B63,'март 2023'!$J$4:$J$582,I$1)</f>
        <v>0</v>
      </c>
      <c r="J63" s="207">
        <f>SUMIFS('март 2023'!$G$4:$G$582,'март 2023'!$D$4:$D$582,$B63,'март 2023'!$J$4:$J$582,J$1)</f>
        <v>0</v>
      </c>
      <c r="K63" s="207">
        <f>SUMIFS('март 2023'!$G$4:$G$582,'март 2023'!$D$4:$D$582,$B63,'март 2023'!$J$4:$J$582,K$1)</f>
        <v>0</v>
      </c>
      <c r="L63" s="207">
        <f>SUMIFS('март 2023'!$G$4:$G$582,'март 2023'!$D$4:$D$582,$B63,'март 2023'!$J$4:$J$582,L$1)</f>
        <v>0</v>
      </c>
      <c r="M63" s="207">
        <f>SUMIFS('март 2023'!$G$4:$G$582,'март 2023'!$D$4:$D$582,$B63,'март 2023'!$J$4:$J$582,M$1)</f>
        <v>0</v>
      </c>
      <c r="N63" s="207">
        <f>SUMIFS('март 2023'!$G$4:$G$582,'март 2023'!$D$4:$D$582,$B63,'март 2023'!$J$4:$J$582,N$1)</f>
        <v>0</v>
      </c>
      <c r="O63" s="207">
        <f>SUMIFS('март 2023'!$G$4:$G$582,'март 2023'!$D$4:$D$582,$B63,'март 2023'!$J$4:$J$582,O$1)</f>
        <v>0</v>
      </c>
      <c r="P63" s="207">
        <f>SUMIFS('март 2023'!$G$4:$G$582,'март 2023'!$D$4:$D$582,$B63,'март 2023'!$J$4:$J$582,P$1)</f>
        <v>0</v>
      </c>
      <c r="Q63" s="207">
        <f>SUMIFS('март 2023'!$G$4:$G$582,'март 2023'!$D$4:$D$582,$B63,'март 2023'!$J$4:$J$582,Q$1)</f>
        <v>0</v>
      </c>
      <c r="R63" s="207">
        <f>SUMIFS('март 2023'!$G$4:$G$582,'март 2023'!$D$4:$D$582,$B63,'март 2023'!$J$4:$J$582,R$1)</f>
        <v>0</v>
      </c>
      <c r="S63" s="207">
        <f>SUMIFS('март 2023'!$G$4:$G$582,'март 2023'!$D$4:$D$582,$B63,'март 2023'!$J$4:$J$582,S$1)</f>
        <v>0</v>
      </c>
      <c r="T63" s="207">
        <f>SUMIFS('март 2023'!$G$4:$G$582,'март 2023'!$D$4:$D$582,$B63,'март 2023'!$J$4:$J$582,T$1)</f>
        <v>0</v>
      </c>
      <c r="U63" s="207">
        <f>SUMIFS('март 2023'!$G$4:$G$582,'март 2023'!$D$4:$D$582,$B63,'март 2023'!$J$4:$J$582,U$1)</f>
        <v>0</v>
      </c>
      <c r="V63" s="207">
        <f>SUMIFS('март 2023'!$G$4:$G$582,'март 2023'!$D$4:$D$582,$B63,'март 2023'!$J$4:$J$582,V$1)</f>
        <v>0</v>
      </c>
      <c r="W63" s="207">
        <f>SUMIFS('март 2023'!$G$4:$G$582,'март 2023'!$D$4:$D$582,$B63,'март 2023'!$J$4:$J$582,W$1)</f>
        <v>23</v>
      </c>
      <c r="X63" s="207">
        <f>SUMIFS('март 2023'!$G$4:$G$582,'март 2023'!$D$4:$D$582,$B63,'март 2023'!$J$4:$J$582,X$1)</f>
        <v>0</v>
      </c>
      <c r="Y63" s="207">
        <f>SUMIFS('март 2023'!$G$4:$G$582,'март 2023'!$D$4:$D$582,$B63,'март 2023'!$J$4:$J$582,Y$1)</f>
        <v>0</v>
      </c>
      <c r="Z63" s="207">
        <f>SUMIFS('март 2023'!$G$4:$G$582,'март 2023'!$D$4:$D$582,$B63,'март 2023'!$J$4:$J$582,Z$1)</f>
        <v>0</v>
      </c>
      <c r="AA63" s="207">
        <f>SUMIFS('март 2023'!$G$4:$G$582,'март 2023'!$D$4:$D$582,$B63,'март 2023'!$J$4:$J$582,AA$1)</f>
        <v>0</v>
      </c>
      <c r="AB63" s="207">
        <f>SUMIFS('март 2023'!$G$4:$G$582,'март 2023'!$D$4:$D$582,$B63,'март 2023'!$J$4:$J$582,AB$1)</f>
        <v>0</v>
      </c>
      <c r="AC63" s="207">
        <f>SUMIFS('март 2023'!$G$4:$G$582,'март 2023'!$D$4:$D$582,$B63,'март 2023'!$J$4:$J$582,AC$1)</f>
        <v>0</v>
      </c>
      <c r="AD63" s="207">
        <f>SUMIFS('март 2023'!$G$4:$G$582,'март 2023'!$D$4:$D$582,$B63,'март 2023'!$J$4:$J$582,AD$1)</f>
        <v>0</v>
      </c>
      <c r="AE63" s="207">
        <f>SUMIFS('март 2023'!$G$4:$G$582,'март 2023'!$D$4:$D$582,$B63,'март 2023'!$J$4:$J$582,AE$1)</f>
        <v>0</v>
      </c>
      <c r="AF63" s="207">
        <f>SUMIFS('март 2023'!$G$4:$G$582,'март 2023'!$D$4:$D$582,$B63,'март 2023'!$J$4:$J$582,AF$1)</f>
        <v>0</v>
      </c>
      <c r="AG63" s="207">
        <f>SUMIFS('март 2023'!$G$4:$G$582,'март 2023'!$D$4:$D$582,$B63,'март 2023'!$J$4:$J$582,AG$1)</f>
        <v>0</v>
      </c>
      <c r="AH63" s="207">
        <f>SUMIFS('март 2023'!$G$4:$G$582,'март 2023'!$D$4:$D$582,$B63,'март 2023'!$J$4:$J$582,AH$1)</f>
        <v>0</v>
      </c>
      <c r="AI63" s="170">
        <f t="shared" si="1"/>
        <v>23</v>
      </c>
    </row>
    <row r="64" spans="2:35" ht="15" customHeight="1" x14ac:dyDescent="0.25">
      <c r="B64" s="216" t="s">
        <v>282</v>
      </c>
      <c r="C64" s="213">
        <v>190</v>
      </c>
      <c r="D64" s="207">
        <f>SUMIFS('март 2023'!$G$4:$G$582,'март 2023'!$D$4:$D$582,$B64,'март 2023'!$J$4:$J$582,D$1)</f>
        <v>0</v>
      </c>
      <c r="E64" s="207">
        <f>SUMIFS('март 2023'!$G$4:$G$582,'март 2023'!$D$4:$D$582,$B64,'март 2023'!$J$4:$J$582,E$1)</f>
        <v>0</v>
      </c>
      <c r="F64" s="207">
        <f>SUMIFS('март 2023'!$G$4:$G$582,'март 2023'!$D$4:$D$582,$B64,'март 2023'!$J$4:$J$582,F$1)</f>
        <v>0</v>
      </c>
      <c r="G64" s="207">
        <f>SUMIFS('март 2023'!$G$4:$G$582,'март 2023'!$D$4:$D$582,$B64,'март 2023'!$J$4:$J$582,G$1)</f>
        <v>0</v>
      </c>
      <c r="H64" s="207">
        <f>SUMIFS('март 2023'!$G$4:$G$582,'март 2023'!$D$4:$D$582,$B64,'март 2023'!$J$4:$J$582,H$1)</f>
        <v>0</v>
      </c>
      <c r="I64" s="207">
        <f>SUMIFS('март 2023'!$G$4:$G$582,'март 2023'!$D$4:$D$582,$B64,'март 2023'!$J$4:$J$582,I$1)</f>
        <v>0</v>
      </c>
      <c r="J64" s="207">
        <f>SUMIFS('март 2023'!$G$4:$G$582,'март 2023'!$D$4:$D$582,$B64,'март 2023'!$J$4:$J$582,J$1)</f>
        <v>0</v>
      </c>
      <c r="K64" s="207">
        <f>SUMIFS('март 2023'!$G$4:$G$582,'март 2023'!$D$4:$D$582,$B64,'март 2023'!$J$4:$J$582,K$1)</f>
        <v>0</v>
      </c>
      <c r="L64" s="207">
        <f>SUMIFS('март 2023'!$G$4:$G$582,'март 2023'!$D$4:$D$582,$B64,'март 2023'!$J$4:$J$582,L$1)</f>
        <v>0</v>
      </c>
      <c r="M64" s="207">
        <f>SUMIFS('март 2023'!$G$4:$G$582,'март 2023'!$D$4:$D$582,$B64,'март 2023'!$J$4:$J$582,M$1)</f>
        <v>0</v>
      </c>
      <c r="N64" s="207">
        <f>SUMIFS('март 2023'!$G$4:$G$582,'март 2023'!$D$4:$D$582,$B64,'март 2023'!$J$4:$J$582,N$1)</f>
        <v>0</v>
      </c>
      <c r="O64" s="207">
        <f>SUMIFS('март 2023'!$G$4:$G$582,'март 2023'!$D$4:$D$582,$B64,'март 2023'!$J$4:$J$582,O$1)</f>
        <v>0</v>
      </c>
      <c r="P64" s="207">
        <f>SUMIFS('март 2023'!$G$4:$G$582,'март 2023'!$D$4:$D$582,$B64,'март 2023'!$J$4:$J$582,P$1)</f>
        <v>0</v>
      </c>
      <c r="Q64" s="207">
        <f>SUMIFS('март 2023'!$G$4:$G$582,'март 2023'!$D$4:$D$582,$B64,'март 2023'!$J$4:$J$582,Q$1)</f>
        <v>0</v>
      </c>
      <c r="R64" s="207">
        <f>SUMIFS('март 2023'!$G$4:$G$582,'март 2023'!$D$4:$D$582,$B64,'март 2023'!$J$4:$J$582,R$1)</f>
        <v>0</v>
      </c>
      <c r="S64" s="207">
        <f>SUMIFS('март 2023'!$G$4:$G$582,'март 2023'!$D$4:$D$582,$B64,'март 2023'!$J$4:$J$582,S$1)</f>
        <v>0</v>
      </c>
      <c r="T64" s="207">
        <f>SUMIFS('март 2023'!$G$4:$G$582,'март 2023'!$D$4:$D$582,$B64,'март 2023'!$J$4:$J$582,T$1)</f>
        <v>0</v>
      </c>
      <c r="U64" s="207">
        <f>SUMIFS('март 2023'!$G$4:$G$582,'март 2023'!$D$4:$D$582,$B64,'март 2023'!$J$4:$J$582,U$1)</f>
        <v>0</v>
      </c>
      <c r="V64" s="207">
        <f>SUMIFS('март 2023'!$G$4:$G$582,'март 2023'!$D$4:$D$582,$B64,'март 2023'!$J$4:$J$582,V$1)</f>
        <v>0</v>
      </c>
      <c r="W64" s="207">
        <f>SUMIFS('март 2023'!$G$4:$G$582,'март 2023'!$D$4:$D$582,$B64,'март 2023'!$J$4:$J$582,W$1)</f>
        <v>0</v>
      </c>
      <c r="X64" s="207">
        <f>SUMIFS('март 2023'!$G$4:$G$582,'март 2023'!$D$4:$D$582,$B64,'март 2023'!$J$4:$J$582,X$1)</f>
        <v>80</v>
      </c>
      <c r="Y64" s="207">
        <f>SUMIFS('март 2023'!$G$4:$G$582,'март 2023'!$D$4:$D$582,$B64,'март 2023'!$J$4:$J$582,Y$1)</f>
        <v>0</v>
      </c>
      <c r="Z64" s="207">
        <f>SUMIFS('март 2023'!$G$4:$G$582,'март 2023'!$D$4:$D$582,$B64,'март 2023'!$J$4:$J$582,Z$1)</f>
        <v>0</v>
      </c>
      <c r="AA64" s="207">
        <f>SUMIFS('март 2023'!$G$4:$G$582,'март 2023'!$D$4:$D$582,$B64,'март 2023'!$J$4:$J$582,AA$1)</f>
        <v>0</v>
      </c>
      <c r="AB64" s="207">
        <f>SUMIFS('март 2023'!$G$4:$G$582,'март 2023'!$D$4:$D$582,$B64,'март 2023'!$J$4:$J$582,AB$1)</f>
        <v>0</v>
      </c>
      <c r="AC64" s="207">
        <f>SUMIFS('март 2023'!$G$4:$G$582,'март 2023'!$D$4:$D$582,$B64,'март 2023'!$J$4:$J$582,AC$1)</f>
        <v>0</v>
      </c>
      <c r="AD64" s="207">
        <f>SUMIFS('март 2023'!$G$4:$G$582,'март 2023'!$D$4:$D$582,$B64,'март 2023'!$J$4:$J$582,AD$1)</f>
        <v>0</v>
      </c>
      <c r="AE64" s="207">
        <f>SUMIFS('март 2023'!$G$4:$G$582,'март 2023'!$D$4:$D$582,$B64,'март 2023'!$J$4:$J$582,AE$1)</f>
        <v>80</v>
      </c>
      <c r="AF64" s="207">
        <f>SUMIFS('март 2023'!$G$4:$G$582,'март 2023'!$D$4:$D$582,$B64,'март 2023'!$J$4:$J$582,AF$1)</f>
        <v>0</v>
      </c>
      <c r="AG64" s="207">
        <f>SUMIFS('март 2023'!$G$4:$G$582,'март 2023'!$D$4:$D$582,$B64,'март 2023'!$J$4:$J$582,AG$1)</f>
        <v>0</v>
      </c>
      <c r="AH64" s="207">
        <f>SUMIFS('март 2023'!$G$4:$G$582,'март 2023'!$D$4:$D$582,$B64,'март 2023'!$J$4:$J$582,AH$1)</f>
        <v>0</v>
      </c>
      <c r="AI64" s="170">
        <f t="shared" si="1"/>
        <v>160</v>
      </c>
    </row>
    <row r="65" spans="2:35" ht="15" customHeight="1" x14ac:dyDescent="0.25">
      <c r="B65" s="216" t="s">
        <v>1498</v>
      </c>
      <c r="C65" s="213">
        <v>190</v>
      </c>
      <c r="D65" s="207">
        <f>SUMIFS('март 2023'!$G$4:$G$582,'март 2023'!$D$4:$D$582,$B65,'март 2023'!$J$4:$J$582,D$1)</f>
        <v>0</v>
      </c>
      <c r="E65" s="207">
        <f>SUMIFS('март 2023'!$G$4:$G$582,'март 2023'!$D$4:$D$582,$B65,'март 2023'!$J$4:$J$582,E$1)</f>
        <v>0</v>
      </c>
      <c r="F65" s="207">
        <f>SUMIFS('март 2023'!$G$4:$G$582,'март 2023'!$D$4:$D$582,$B65,'март 2023'!$J$4:$J$582,F$1)</f>
        <v>0</v>
      </c>
      <c r="G65" s="207">
        <f>SUMIFS('март 2023'!$G$4:$G$582,'март 2023'!$D$4:$D$582,$B65,'март 2023'!$J$4:$J$582,G$1)</f>
        <v>0</v>
      </c>
      <c r="H65" s="207">
        <f>SUMIFS('март 2023'!$G$4:$G$582,'март 2023'!$D$4:$D$582,$B65,'март 2023'!$J$4:$J$582,H$1)</f>
        <v>0</v>
      </c>
      <c r="I65" s="207">
        <f>SUMIFS('март 2023'!$G$4:$G$582,'март 2023'!$D$4:$D$582,$B65,'март 2023'!$J$4:$J$582,I$1)</f>
        <v>0</v>
      </c>
      <c r="J65" s="207">
        <f>SUMIFS('март 2023'!$G$4:$G$582,'март 2023'!$D$4:$D$582,$B65,'март 2023'!$J$4:$J$582,J$1)</f>
        <v>0</v>
      </c>
      <c r="K65" s="207">
        <f>SUMIFS('март 2023'!$G$4:$G$582,'март 2023'!$D$4:$D$582,$B65,'март 2023'!$J$4:$J$582,K$1)</f>
        <v>0</v>
      </c>
      <c r="L65" s="207">
        <f>SUMIFS('март 2023'!$G$4:$G$582,'март 2023'!$D$4:$D$582,$B65,'март 2023'!$J$4:$J$582,L$1)</f>
        <v>176</v>
      </c>
      <c r="M65" s="207">
        <f>SUMIFS('март 2023'!$G$4:$G$582,'март 2023'!$D$4:$D$582,$B65,'март 2023'!$J$4:$J$582,M$1)</f>
        <v>88</v>
      </c>
      <c r="N65" s="207">
        <f>SUMIFS('март 2023'!$G$4:$G$582,'март 2023'!$D$4:$D$582,$B65,'март 2023'!$J$4:$J$582,N$1)</f>
        <v>0</v>
      </c>
      <c r="O65" s="207">
        <f>SUMIFS('март 2023'!$G$4:$G$582,'март 2023'!$D$4:$D$582,$B65,'март 2023'!$J$4:$J$582,O$1)</f>
        <v>0</v>
      </c>
      <c r="P65" s="207">
        <f>SUMIFS('март 2023'!$G$4:$G$582,'март 2023'!$D$4:$D$582,$B65,'март 2023'!$J$4:$J$582,P$1)</f>
        <v>0</v>
      </c>
      <c r="Q65" s="207">
        <f>SUMIFS('март 2023'!$G$4:$G$582,'март 2023'!$D$4:$D$582,$B65,'март 2023'!$J$4:$J$582,Q$1)</f>
        <v>0</v>
      </c>
      <c r="R65" s="207">
        <f>SUMIFS('март 2023'!$G$4:$G$582,'март 2023'!$D$4:$D$582,$B65,'март 2023'!$J$4:$J$582,R$1)</f>
        <v>0</v>
      </c>
      <c r="S65" s="207">
        <f>SUMIFS('март 2023'!$G$4:$G$582,'март 2023'!$D$4:$D$582,$B65,'март 2023'!$J$4:$J$582,S$1)</f>
        <v>0</v>
      </c>
      <c r="T65" s="207">
        <f>SUMIFS('март 2023'!$G$4:$G$582,'март 2023'!$D$4:$D$582,$B65,'март 2023'!$J$4:$J$582,T$1)</f>
        <v>0</v>
      </c>
      <c r="U65" s="207">
        <f>SUMIFS('март 2023'!$G$4:$G$582,'март 2023'!$D$4:$D$582,$B65,'март 2023'!$J$4:$J$582,U$1)</f>
        <v>0</v>
      </c>
      <c r="V65" s="207">
        <f>SUMIFS('март 2023'!$G$4:$G$582,'март 2023'!$D$4:$D$582,$B65,'март 2023'!$J$4:$J$582,V$1)</f>
        <v>0</v>
      </c>
      <c r="W65" s="207">
        <f>SUMIFS('март 2023'!$G$4:$G$582,'март 2023'!$D$4:$D$582,$B65,'март 2023'!$J$4:$J$582,W$1)</f>
        <v>0</v>
      </c>
      <c r="X65" s="207">
        <f>SUMIFS('март 2023'!$G$4:$G$582,'март 2023'!$D$4:$D$582,$B65,'март 2023'!$J$4:$J$582,X$1)</f>
        <v>0</v>
      </c>
      <c r="Y65" s="207">
        <f>SUMIFS('март 2023'!$G$4:$G$582,'март 2023'!$D$4:$D$582,$B65,'март 2023'!$J$4:$J$582,Y$1)</f>
        <v>0</v>
      </c>
      <c r="Z65" s="207">
        <f>SUMIFS('март 2023'!$G$4:$G$582,'март 2023'!$D$4:$D$582,$B65,'март 2023'!$J$4:$J$582,Z$1)</f>
        <v>0</v>
      </c>
      <c r="AA65" s="207">
        <f>SUMIFS('март 2023'!$G$4:$G$582,'март 2023'!$D$4:$D$582,$B65,'март 2023'!$J$4:$J$582,AA$1)</f>
        <v>0</v>
      </c>
      <c r="AB65" s="207">
        <f>SUMIFS('март 2023'!$G$4:$G$582,'март 2023'!$D$4:$D$582,$B65,'март 2023'!$J$4:$J$582,AB$1)</f>
        <v>0</v>
      </c>
      <c r="AC65" s="207">
        <f>SUMIFS('март 2023'!$G$4:$G$582,'март 2023'!$D$4:$D$582,$B65,'март 2023'!$J$4:$J$582,AC$1)</f>
        <v>0</v>
      </c>
      <c r="AD65" s="207">
        <f>SUMIFS('март 2023'!$G$4:$G$582,'март 2023'!$D$4:$D$582,$B65,'март 2023'!$J$4:$J$582,AD$1)</f>
        <v>0</v>
      </c>
      <c r="AE65" s="207">
        <f>SUMIFS('март 2023'!$G$4:$G$582,'март 2023'!$D$4:$D$582,$B65,'март 2023'!$J$4:$J$582,AE$1)</f>
        <v>0</v>
      </c>
      <c r="AF65" s="207">
        <f>SUMIFS('март 2023'!$G$4:$G$582,'март 2023'!$D$4:$D$582,$B65,'март 2023'!$J$4:$J$582,AF$1)</f>
        <v>0</v>
      </c>
      <c r="AG65" s="207">
        <f>SUMIFS('март 2023'!$G$4:$G$582,'март 2023'!$D$4:$D$582,$B65,'март 2023'!$J$4:$J$582,AG$1)</f>
        <v>0</v>
      </c>
      <c r="AH65" s="207">
        <f>SUMIFS('март 2023'!$G$4:$G$582,'март 2023'!$D$4:$D$582,$B65,'март 2023'!$J$4:$J$582,AH$1)</f>
        <v>0</v>
      </c>
      <c r="AI65" s="170">
        <f t="shared" si="1"/>
        <v>264</v>
      </c>
    </row>
    <row r="66" spans="2:35" ht="15" customHeight="1" x14ac:dyDescent="0.25">
      <c r="B66" s="216" t="s">
        <v>1721</v>
      </c>
      <c r="C66" s="213">
        <v>180</v>
      </c>
      <c r="D66" s="207">
        <f>SUMIFS('март 2023'!$G$4:$G$582,'март 2023'!$D$4:$D$582,$B66,'март 2023'!$J$4:$J$582,D$1)</f>
        <v>0</v>
      </c>
      <c r="E66" s="207">
        <f>SUMIFS('март 2023'!$G$4:$G$582,'март 2023'!$D$4:$D$582,$B66,'март 2023'!$J$4:$J$582,E$1)</f>
        <v>0</v>
      </c>
      <c r="F66" s="207">
        <f>SUMIFS('март 2023'!$G$4:$G$582,'март 2023'!$D$4:$D$582,$B66,'март 2023'!$J$4:$J$582,F$1)</f>
        <v>0</v>
      </c>
      <c r="G66" s="207">
        <f>SUMIFS('март 2023'!$G$4:$G$582,'март 2023'!$D$4:$D$582,$B66,'март 2023'!$J$4:$J$582,G$1)</f>
        <v>0</v>
      </c>
      <c r="H66" s="207">
        <f>SUMIFS('март 2023'!$G$4:$G$582,'март 2023'!$D$4:$D$582,$B66,'март 2023'!$J$4:$J$582,H$1)</f>
        <v>0</v>
      </c>
      <c r="I66" s="207">
        <f>SUMIFS('март 2023'!$G$4:$G$582,'март 2023'!$D$4:$D$582,$B66,'март 2023'!$J$4:$J$582,I$1)</f>
        <v>0</v>
      </c>
      <c r="J66" s="207">
        <f>SUMIFS('март 2023'!$G$4:$G$582,'март 2023'!$D$4:$D$582,$B66,'март 2023'!$J$4:$J$582,J$1)</f>
        <v>0</v>
      </c>
      <c r="K66" s="207">
        <f>SUMIFS('март 2023'!$G$4:$G$582,'март 2023'!$D$4:$D$582,$B66,'март 2023'!$J$4:$J$582,K$1)</f>
        <v>0</v>
      </c>
      <c r="L66" s="207">
        <f>SUMIFS('март 2023'!$G$4:$G$582,'март 2023'!$D$4:$D$582,$B66,'март 2023'!$J$4:$J$582,L$1)</f>
        <v>0</v>
      </c>
      <c r="M66" s="207">
        <f>SUMIFS('март 2023'!$G$4:$G$582,'март 2023'!$D$4:$D$582,$B66,'март 2023'!$J$4:$J$582,M$1)</f>
        <v>0</v>
      </c>
      <c r="N66" s="207">
        <f>SUMIFS('март 2023'!$G$4:$G$582,'март 2023'!$D$4:$D$582,$B66,'март 2023'!$J$4:$J$582,N$1)</f>
        <v>0</v>
      </c>
      <c r="O66" s="207">
        <f>SUMIFS('март 2023'!$G$4:$G$582,'март 2023'!$D$4:$D$582,$B66,'март 2023'!$J$4:$J$582,O$1)</f>
        <v>0</v>
      </c>
      <c r="P66" s="207">
        <f>SUMIFS('март 2023'!$G$4:$G$582,'март 2023'!$D$4:$D$582,$B66,'март 2023'!$J$4:$J$582,P$1)</f>
        <v>0</v>
      </c>
      <c r="Q66" s="207">
        <f>SUMIFS('март 2023'!$G$4:$G$582,'март 2023'!$D$4:$D$582,$B66,'март 2023'!$J$4:$J$582,Q$1)</f>
        <v>0</v>
      </c>
      <c r="R66" s="207">
        <f>SUMIFS('март 2023'!$G$4:$G$582,'март 2023'!$D$4:$D$582,$B66,'март 2023'!$J$4:$J$582,R$1)</f>
        <v>0</v>
      </c>
      <c r="S66" s="207">
        <f>SUMIFS('март 2023'!$G$4:$G$582,'март 2023'!$D$4:$D$582,$B66,'март 2023'!$J$4:$J$582,S$1)</f>
        <v>0</v>
      </c>
      <c r="T66" s="207">
        <f>SUMIFS('март 2023'!$G$4:$G$582,'март 2023'!$D$4:$D$582,$B66,'март 2023'!$J$4:$J$582,T$1)</f>
        <v>0</v>
      </c>
      <c r="U66" s="207">
        <f>SUMIFS('март 2023'!$G$4:$G$582,'март 2023'!$D$4:$D$582,$B66,'март 2023'!$J$4:$J$582,U$1)</f>
        <v>0</v>
      </c>
      <c r="V66" s="207">
        <f>SUMIFS('март 2023'!$G$4:$G$582,'март 2023'!$D$4:$D$582,$B66,'март 2023'!$J$4:$J$582,V$1)</f>
        <v>0</v>
      </c>
      <c r="W66" s="207">
        <f>SUMIFS('март 2023'!$G$4:$G$582,'март 2023'!$D$4:$D$582,$B66,'март 2023'!$J$4:$J$582,W$1)</f>
        <v>0</v>
      </c>
      <c r="X66" s="207">
        <f>SUMIFS('март 2023'!$G$4:$G$582,'март 2023'!$D$4:$D$582,$B66,'март 2023'!$J$4:$J$582,X$1)</f>
        <v>0</v>
      </c>
      <c r="Y66" s="207">
        <f>SUMIFS('март 2023'!$G$4:$G$582,'март 2023'!$D$4:$D$582,$B66,'март 2023'!$J$4:$J$582,Y$1)</f>
        <v>0</v>
      </c>
      <c r="Z66" s="207">
        <f>SUMIFS('март 2023'!$G$4:$G$582,'март 2023'!$D$4:$D$582,$B66,'март 2023'!$J$4:$J$582,Z$1)</f>
        <v>0</v>
      </c>
      <c r="AA66" s="207">
        <f>SUMIFS('март 2023'!$G$4:$G$582,'март 2023'!$D$4:$D$582,$B66,'март 2023'!$J$4:$J$582,AA$1)</f>
        <v>32</v>
      </c>
      <c r="AB66" s="207">
        <f>SUMIFS('март 2023'!$G$4:$G$582,'март 2023'!$D$4:$D$582,$B66,'март 2023'!$J$4:$J$582,AB$1)</f>
        <v>0</v>
      </c>
      <c r="AC66" s="207">
        <f>SUMIFS('март 2023'!$G$4:$G$582,'март 2023'!$D$4:$D$582,$B66,'март 2023'!$J$4:$J$582,AC$1)</f>
        <v>0</v>
      </c>
      <c r="AD66" s="207">
        <f>SUMIFS('март 2023'!$G$4:$G$582,'март 2023'!$D$4:$D$582,$B66,'март 2023'!$J$4:$J$582,AD$1)</f>
        <v>0</v>
      </c>
      <c r="AE66" s="207">
        <f>SUMIFS('март 2023'!$G$4:$G$582,'март 2023'!$D$4:$D$582,$B66,'март 2023'!$J$4:$J$582,AE$1)</f>
        <v>0</v>
      </c>
      <c r="AF66" s="207">
        <f>SUMIFS('март 2023'!$G$4:$G$582,'март 2023'!$D$4:$D$582,$B66,'март 2023'!$J$4:$J$582,AF$1)</f>
        <v>0</v>
      </c>
      <c r="AG66" s="207">
        <f>SUMIFS('март 2023'!$G$4:$G$582,'март 2023'!$D$4:$D$582,$B66,'март 2023'!$J$4:$J$582,AG$1)</f>
        <v>0</v>
      </c>
      <c r="AH66" s="207">
        <f>SUMIFS('март 2023'!$G$4:$G$582,'март 2023'!$D$4:$D$582,$B66,'март 2023'!$J$4:$J$582,AH$1)</f>
        <v>0</v>
      </c>
      <c r="AI66" s="170">
        <f t="shared" si="1"/>
        <v>32</v>
      </c>
    </row>
    <row r="67" spans="2:35" ht="15" customHeight="1" x14ac:dyDescent="0.25">
      <c r="B67" s="212" t="s">
        <v>2166</v>
      </c>
      <c r="C67" s="211">
        <v>180</v>
      </c>
      <c r="D67" s="207">
        <f>SUMIFS('март 2023'!$G$4:$G$582,'март 2023'!$D$4:$D$582,$B67,'март 2023'!$J$4:$J$582,D$1)</f>
        <v>0</v>
      </c>
      <c r="E67" s="207">
        <f>SUMIFS('март 2023'!$G$4:$G$582,'март 2023'!$D$4:$D$582,$B67,'март 2023'!$J$4:$J$582,E$1)</f>
        <v>0</v>
      </c>
      <c r="F67" s="207">
        <f>SUMIFS('март 2023'!$G$4:$G$582,'март 2023'!$D$4:$D$582,$B67,'март 2023'!$J$4:$J$582,F$1)</f>
        <v>0</v>
      </c>
      <c r="G67" s="207">
        <f>SUMIFS('март 2023'!$G$4:$G$582,'март 2023'!$D$4:$D$582,$B67,'март 2023'!$J$4:$J$582,G$1)</f>
        <v>0</v>
      </c>
      <c r="H67" s="207">
        <f>SUMIFS('март 2023'!$G$4:$G$582,'март 2023'!$D$4:$D$582,$B67,'март 2023'!$J$4:$J$582,H$1)</f>
        <v>0</v>
      </c>
      <c r="I67" s="207">
        <f>SUMIFS('март 2023'!$G$4:$G$582,'март 2023'!$D$4:$D$582,$B67,'март 2023'!$J$4:$J$582,I$1)</f>
        <v>0</v>
      </c>
      <c r="J67" s="207">
        <f>SUMIFS('март 2023'!$G$4:$G$582,'март 2023'!$D$4:$D$582,$B67,'март 2023'!$J$4:$J$582,J$1)</f>
        <v>0</v>
      </c>
      <c r="K67" s="207">
        <f>SUMIFS('март 2023'!$G$4:$G$582,'март 2023'!$D$4:$D$582,$B67,'март 2023'!$J$4:$J$582,K$1)</f>
        <v>0</v>
      </c>
      <c r="L67" s="207">
        <f>SUMIFS('март 2023'!$G$4:$G$582,'март 2023'!$D$4:$D$582,$B67,'март 2023'!$J$4:$J$582,L$1)</f>
        <v>0</v>
      </c>
      <c r="M67" s="207">
        <f>SUMIFS('март 2023'!$G$4:$G$582,'март 2023'!$D$4:$D$582,$B67,'март 2023'!$J$4:$J$582,M$1)</f>
        <v>0</v>
      </c>
      <c r="N67" s="207">
        <f>SUMIFS('март 2023'!$G$4:$G$582,'март 2023'!$D$4:$D$582,$B67,'март 2023'!$J$4:$J$582,N$1)</f>
        <v>0</v>
      </c>
      <c r="O67" s="207">
        <f>SUMIFS('март 2023'!$G$4:$G$582,'март 2023'!$D$4:$D$582,$B67,'март 2023'!$J$4:$J$582,O$1)</f>
        <v>0</v>
      </c>
      <c r="P67" s="207">
        <f>SUMIFS('март 2023'!$G$4:$G$582,'март 2023'!$D$4:$D$582,$B67,'март 2023'!$J$4:$J$582,P$1)</f>
        <v>0</v>
      </c>
      <c r="Q67" s="207">
        <f>SUMIFS('март 2023'!$G$4:$G$582,'март 2023'!$D$4:$D$582,$B67,'март 2023'!$J$4:$J$582,Q$1)</f>
        <v>0</v>
      </c>
      <c r="R67" s="207">
        <f>SUMIFS('март 2023'!$G$4:$G$582,'март 2023'!$D$4:$D$582,$B67,'март 2023'!$J$4:$J$582,R$1)</f>
        <v>0</v>
      </c>
      <c r="S67" s="207">
        <f>SUMIFS('март 2023'!$G$4:$G$582,'март 2023'!$D$4:$D$582,$B67,'март 2023'!$J$4:$J$582,S$1)</f>
        <v>0</v>
      </c>
      <c r="T67" s="207">
        <f>SUMIFS('март 2023'!$G$4:$G$582,'март 2023'!$D$4:$D$582,$B67,'март 2023'!$J$4:$J$582,T$1)</f>
        <v>0</v>
      </c>
      <c r="U67" s="207">
        <f>SUMIFS('март 2023'!$G$4:$G$582,'март 2023'!$D$4:$D$582,$B67,'март 2023'!$J$4:$J$582,U$1)</f>
        <v>0</v>
      </c>
      <c r="V67" s="207">
        <f>SUMIFS('март 2023'!$G$4:$G$582,'март 2023'!$D$4:$D$582,$B67,'март 2023'!$J$4:$J$582,V$1)</f>
        <v>0</v>
      </c>
      <c r="W67" s="207">
        <f>SUMIFS('март 2023'!$G$4:$G$582,'март 2023'!$D$4:$D$582,$B67,'март 2023'!$J$4:$J$582,W$1)</f>
        <v>0</v>
      </c>
      <c r="X67" s="207">
        <f>SUMIFS('март 2023'!$G$4:$G$582,'март 2023'!$D$4:$D$582,$B67,'март 2023'!$J$4:$J$582,X$1)</f>
        <v>0</v>
      </c>
      <c r="Y67" s="207">
        <f>SUMIFS('март 2023'!$G$4:$G$582,'март 2023'!$D$4:$D$582,$B67,'март 2023'!$J$4:$J$582,Y$1)</f>
        <v>0</v>
      </c>
      <c r="Z67" s="207">
        <f>SUMIFS('март 2023'!$G$4:$G$582,'март 2023'!$D$4:$D$582,$B67,'март 2023'!$J$4:$J$582,Z$1)</f>
        <v>0</v>
      </c>
      <c r="AA67" s="207">
        <f>SUMIFS('март 2023'!$G$4:$G$582,'март 2023'!$D$4:$D$582,$B67,'март 2023'!$J$4:$J$582,AA$1)</f>
        <v>0</v>
      </c>
      <c r="AB67" s="207">
        <f>SUMIFS('март 2023'!$G$4:$G$582,'март 2023'!$D$4:$D$582,$B67,'март 2023'!$J$4:$J$582,AB$1)</f>
        <v>0</v>
      </c>
      <c r="AC67" s="207">
        <f>SUMIFS('март 2023'!$G$4:$G$582,'март 2023'!$D$4:$D$582,$B67,'март 2023'!$J$4:$J$582,AC$1)</f>
        <v>0</v>
      </c>
      <c r="AD67" s="207">
        <f>SUMIFS('март 2023'!$G$4:$G$582,'март 2023'!$D$4:$D$582,$B67,'март 2023'!$J$4:$J$582,AD$1)</f>
        <v>0</v>
      </c>
      <c r="AE67" s="207">
        <f>SUMIFS('март 2023'!$G$4:$G$582,'март 2023'!$D$4:$D$582,$B67,'март 2023'!$J$4:$J$582,AE$1)</f>
        <v>0</v>
      </c>
      <c r="AF67" s="207">
        <f>SUMIFS('март 2023'!$G$4:$G$582,'март 2023'!$D$4:$D$582,$B67,'март 2023'!$J$4:$J$582,AF$1)</f>
        <v>0</v>
      </c>
      <c r="AG67" s="207">
        <f>SUMIFS('март 2023'!$G$4:$G$582,'март 2023'!$D$4:$D$582,$B67,'март 2023'!$J$4:$J$582,AG$1)</f>
        <v>0</v>
      </c>
      <c r="AH67" s="207">
        <f>SUMIFS('март 2023'!$G$4:$G$582,'март 2023'!$D$4:$D$582,$B67,'март 2023'!$J$4:$J$582,AH$1)</f>
        <v>0</v>
      </c>
      <c r="AI67" s="170">
        <f t="shared" ref="AI67:AI130" si="2">SUM(D67:AH67)</f>
        <v>0</v>
      </c>
    </row>
    <row r="68" spans="2:35" ht="15" customHeight="1" x14ac:dyDescent="0.25">
      <c r="B68" s="216"/>
      <c r="C68" s="213"/>
      <c r="D68" s="207">
        <f>SUMIFS('март 2023'!$G$4:$G$582,'март 2023'!$D$4:$D$582,$B68,'март 2023'!$J$4:$J$582,D$1)</f>
        <v>0</v>
      </c>
      <c r="E68" s="207">
        <f>SUMIFS('март 2023'!$G$4:$G$582,'март 2023'!$D$4:$D$582,$B68,'март 2023'!$J$4:$J$582,E$1)</f>
        <v>0</v>
      </c>
      <c r="F68" s="207">
        <f>SUMIFS('март 2023'!$G$4:$G$582,'март 2023'!$D$4:$D$582,$B68,'март 2023'!$J$4:$J$582,F$1)</f>
        <v>0</v>
      </c>
      <c r="G68" s="207">
        <f>SUMIFS('март 2023'!$G$4:$G$582,'март 2023'!$D$4:$D$582,$B68,'март 2023'!$J$4:$J$582,G$1)</f>
        <v>0</v>
      </c>
      <c r="H68" s="207">
        <f>SUMIFS('март 2023'!$G$4:$G$582,'март 2023'!$D$4:$D$582,$B68,'март 2023'!$J$4:$J$582,H$1)</f>
        <v>0</v>
      </c>
      <c r="I68" s="207">
        <f>SUMIFS('март 2023'!$G$4:$G$582,'март 2023'!$D$4:$D$582,$B68,'март 2023'!$J$4:$J$582,I$1)</f>
        <v>0</v>
      </c>
      <c r="J68" s="207">
        <f>SUMIFS('март 2023'!$G$4:$G$582,'март 2023'!$D$4:$D$582,$B68,'март 2023'!$J$4:$J$582,J$1)</f>
        <v>0</v>
      </c>
      <c r="K68" s="207">
        <f>SUMIFS('март 2023'!$G$4:$G$582,'март 2023'!$D$4:$D$582,$B68,'март 2023'!$J$4:$J$582,K$1)</f>
        <v>0</v>
      </c>
      <c r="L68" s="207">
        <f>SUMIFS('март 2023'!$G$4:$G$582,'март 2023'!$D$4:$D$582,$B68,'март 2023'!$J$4:$J$582,L$1)</f>
        <v>0</v>
      </c>
      <c r="M68" s="207">
        <f>SUMIFS('март 2023'!$G$4:$G$582,'март 2023'!$D$4:$D$582,$B68,'март 2023'!$J$4:$J$582,M$1)</f>
        <v>0</v>
      </c>
      <c r="N68" s="207">
        <f>SUMIFS('март 2023'!$G$4:$G$582,'март 2023'!$D$4:$D$582,$B68,'март 2023'!$J$4:$J$582,N$1)</f>
        <v>0</v>
      </c>
      <c r="O68" s="207">
        <f>SUMIFS('март 2023'!$G$4:$G$582,'март 2023'!$D$4:$D$582,$B68,'март 2023'!$J$4:$J$582,O$1)</f>
        <v>0</v>
      </c>
      <c r="P68" s="207">
        <f>SUMIFS('март 2023'!$G$4:$G$582,'март 2023'!$D$4:$D$582,$B68,'март 2023'!$J$4:$J$582,P$1)</f>
        <v>0</v>
      </c>
      <c r="Q68" s="207">
        <f>SUMIFS('март 2023'!$G$4:$G$582,'март 2023'!$D$4:$D$582,$B68,'март 2023'!$J$4:$J$582,Q$1)</f>
        <v>0</v>
      </c>
      <c r="R68" s="207">
        <f>SUMIFS('март 2023'!$G$4:$G$582,'март 2023'!$D$4:$D$582,$B68,'март 2023'!$J$4:$J$582,R$1)</f>
        <v>0</v>
      </c>
      <c r="S68" s="207">
        <f>SUMIFS('март 2023'!$G$4:$G$582,'март 2023'!$D$4:$D$582,$B68,'март 2023'!$J$4:$J$582,S$1)</f>
        <v>0</v>
      </c>
      <c r="T68" s="207">
        <f>SUMIFS('март 2023'!$G$4:$G$582,'март 2023'!$D$4:$D$582,$B68,'март 2023'!$J$4:$J$582,T$1)</f>
        <v>0</v>
      </c>
      <c r="U68" s="207">
        <f>SUMIFS('март 2023'!$G$4:$G$582,'март 2023'!$D$4:$D$582,$B68,'март 2023'!$J$4:$J$582,U$1)</f>
        <v>0</v>
      </c>
      <c r="V68" s="207">
        <f>SUMIFS('март 2023'!$G$4:$G$582,'март 2023'!$D$4:$D$582,$B68,'март 2023'!$J$4:$J$582,V$1)</f>
        <v>0</v>
      </c>
      <c r="W68" s="207">
        <f>SUMIFS('март 2023'!$G$4:$G$582,'март 2023'!$D$4:$D$582,$B68,'март 2023'!$J$4:$J$582,W$1)</f>
        <v>0</v>
      </c>
      <c r="X68" s="207">
        <f>SUMIFS('март 2023'!$G$4:$G$582,'март 2023'!$D$4:$D$582,$B68,'март 2023'!$J$4:$J$582,X$1)</f>
        <v>0</v>
      </c>
      <c r="Y68" s="207">
        <f>SUMIFS('март 2023'!$G$4:$G$582,'март 2023'!$D$4:$D$582,$B68,'март 2023'!$J$4:$J$582,Y$1)</f>
        <v>0</v>
      </c>
      <c r="Z68" s="207">
        <f>SUMIFS('март 2023'!$G$4:$G$582,'март 2023'!$D$4:$D$582,$B68,'март 2023'!$J$4:$J$582,Z$1)</f>
        <v>0</v>
      </c>
      <c r="AA68" s="207">
        <f>SUMIFS('март 2023'!$G$4:$G$582,'март 2023'!$D$4:$D$582,$B68,'март 2023'!$J$4:$J$582,AA$1)</f>
        <v>0</v>
      </c>
      <c r="AB68" s="207">
        <f>SUMIFS('март 2023'!$G$4:$G$582,'март 2023'!$D$4:$D$582,$B68,'март 2023'!$J$4:$J$582,AB$1)</f>
        <v>0</v>
      </c>
      <c r="AC68" s="207">
        <f>SUMIFS('март 2023'!$G$4:$G$582,'март 2023'!$D$4:$D$582,$B68,'март 2023'!$J$4:$J$582,AC$1)</f>
        <v>0</v>
      </c>
      <c r="AD68" s="207">
        <f>SUMIFS('март 2023'!$G$4:$G$582,'март 2023'!$D$4:$D$582,$B68,'март 2023'!$J$4:$J$582,AD$1)</f>
        <v>0</v>
      </c>
      <c r="AE68" s="207">
        <f>SUMIFS('март 2023'!$G$4:$G$582,'март 2023'!$D$4:$D$582,$B68,'март 2023'!$J$4:$J$582,AE$1)</f>
        <v>0</v>
      </c>
      <c r="AF68" s="207">
        <f>SUMIFS('март 2023'!$G$4:$G$582,'март 2023'!$D$4:$D$582,$B68,'март 2023'!$J$4:$J$582,AF$1)</f>
        <v>0</v>
      </c>
      <c r="AG68" s="207">
        <f>SUMIFS('март 2023'!$G$4:$G$582,'март 2023'!$D$4:$D$582,$B68,'март 2023'!$J$4:$J$582,AG$1)</f>
        <v>0</v>
      </c>
      <c r="AH68" s="207">
        <f>SUMIFS('март 2023'!$G$4:$G$582,'март 2023'!$D$4:$D$582,$B68,'март 2023'!$J$4:$J$582,AH$1)</f>
        <v>0</v>
      </c>
      <c r="AI68" s="170">
        <f t="shared" si="2"/>
        <v>0</v>
      </c>
    </row>
    <row r="69" spans="2:35" ht="15" customHeight="1" x14ac:dyDescent="0.25">
      <c r="B69" s="216" t="s">
        <v>525</v>
      </c>
      <c r="C69" s="213">
        <v>25</v>
      </c>
      <c r="D69" s="207">
        <f>SUMIFS('март 2023'!$G$4:$G$582,'март 2023'!$D$4:$D$582,$B69,'март 2023'!$J$4:$J$582,D$1)</f>
        <v>0</v>
      </c>
      <c r="E69" s="207">
        <f>SUMIFS('март 2023'!$G$4:$G$582,'март 2023'!$D$4:$D$582,$B69,'март 2023'!$J$4:$J$582,E$1)</f>
        <v>0</v>
      </c>
      <c r="F69" s="207">
        <f>SUMIFS('март 2023'!$G$4:$G$582,'март 2023'!$D$4:$D$582,$B69,'март 2023'!$J$4:$J$582,F$1)</f>
        <v>0</v>
      </c>
      <c r="G69" s="207">
        <f>SUMIFS('март 2023'!$G$4:$G$582,'март 2023'!$D$4:$D$582,$B69,'март 2023'!$J$4:$J$582,G$1)</f>
        <v>0</v>
      </c>
      <c r="H69" s="207">
        <f>SUMIFS('март 2023'!$G$4:$G$582,'март 2023'!$D$4:$D$582,$B69,'март 2023'!$J$4:$J$582,H$1)</f>
        <v>0</v>
      </c>
      <c r="I69" s="207">
        <f>SUMIFS('март 2023'!$G$4:$G$582,'март 2023'!$D$4:$D$582,$B69,'март 2023'!$J$4:$J$582,I$1)</f>
        <v>0</v>
      </c>
      <c r="J69" s="207">
        <f>SUMIFS('март 2023'!$G$4:$G$582,'март 2023'!$D$4:$D$582,$B69,'март 2023'!$J$4:$J$582,J$1)</f>
        <v>0</v>
      </c>
      <c r="K69" s="207">
        <f>SUMIFS('март 2023'!$G$4:$G$582,'март 2023'!$D$4:$D$582,$B69,'март 2023'!$J$4:$J$582,K$1)</f>
        <v>0</v>
      </c>
      <c r="L69" s="207">
        <f>SUMIFS('март 2023'!$G$4:$G$582,'март 2023'!$D$4:$D$582,$B69,'март 2023'!$J$4:$J$582,L$1)</f>
        <v>0</v>
      </c>
      <c r="M69" s="207">
        <f>SUMIFS('март 2023'!$G$4:$G$582,'март 2023'!$D$4:$D$582,$B69,'март 2023'!$J$4:$J$582,M$1)</f>
        <v>0</v>
      </c>
      <c r="N69" s="207">
        <f>SUMIFS('март 2023'!$G$4:$G$582,'март 2023'!$D$4:$D$582,$B69,'март 2023'!$J$4:$J$582,N$1)</f>
        <v>0</v>
      </c>
      <c r="O69" s="207">
        <f>SUMIFS('март 2023'!$G$4:$G$582,'март 2023'!$D$4:$D$582,$B69,'март 2023'!$J$4:$J$582,O$1)</f>
        <v>0</v>
      </c>
      <c r="P69" s="207">
        <f>SUMIFS('март 2023'!$G$4:$G$582,'март 2023'!$D$4:$D$582,$B69,'март 2023'!$J$4:$J$582,P$1)</f>
        <v>0</v>
      </c>
      <c r="Q69" s="207">
        <f>SUMIFS('март 2023'!$G$4:$G$582,'март 2023'!$D$4:$D$582,$B69,'март 2023'!$J$4:$J$582,Q$1)</f>
        <v>0</v>
      </c>
      <c r="R69" s="207">
        <f>SUMIFS('март 2023'!$G$4:$G$582,'март 2023'!$D$4:$D$582,$B69,'март 2023'!$J$4:$J$582,R$1)</f>
        <v>0</v>
      </c>
      <c r="S69" s="207">
        <f>SUMIFS('март 2023'!$G$4:$G$582,'март 2023'!$D$4:$D$582,$B69,'март 2023'!$J$4:$J$582,S$1)</f>
        <v>0</v>
      </c>
      <c r="T69" s="207">
        <f>SUMIFS('март 2023'!$G$4:$G$582,'март 2023'!$D$4:$D$582,$B69,'март 2023'!$J$4:$J$582,T$1)</f>
        <v>0</v>
      </c>
      <c r="U69" s="207">
        <f>SUMIFS('март 2023'!$G$4:$G$582,'март 2023'!$D$4:$D$582,$B69,'март 2023'!$J$4:$J$582,U$1)</f>
        <v>0</v>
      </c>
      <c r="V69" s="207">
        <f>SUMIFS('март 2023'!$G$4:$G$582,'март 2023'!$D$4:$D$582,$B69,'март 2023'!$J$4:$J$582,V$1)</f>
        <v>0</v>
      </c>
      <c r="W69" s="207">
        <f>SUMIFS('март 2023'!$G$4:$G$582,'март 2023'!$D$4:$D$582,$B69,'март 2023'!$J$4:$J$582,W$1)</f>
        <v>0</v>
      </c>
      <c r="X69" s="207">
        <f>SUMIFS('март 2023'!$G$4:$G$582,'март 2023'!$D$4:$D$582,$B69,'март 2023'!$J$4:$J$582,X$1)</f>
        <v>0</v>
      </c>
      <c r="Y69" s="207">
        <f>SUMIFS('март 2023'!$G$4:$G$582,'март 2023'!$D$4:$D$582,$B69,'март 2023'!$J$4:$J$582,Y$1)</f>
        <v>0</v>
      </c>
      <c r="Z69" s="207">
        <f>SUMIFS('март 2023'!$G$4:$G$582,'март 2023'!$D$4:$D$582,$B69,'март 2023'!$J$4:$J$582,Z$1)</f>
        <v>0</v>
      </c>
      <c r="AA69" s="207">
        <f>SUMIFS('март 2023'!$G$4:$G$582,'март 2023'!$D$4:$D$582,$B69,'март 2023'!$J$4:$J$582,AA$1)</f>
        <v>0</v>
      </c>
      <c r="AB69" s="207">
        <f>SUMIFS('март 2023'!$G$4:$G$582,'март 2023'!$D$4:$D$582,$B69,'март 2023'!$J$4:$J$582,AB$1)</f>
        <v>0</v>
      </c>
      <c r="AC69" s="207">
        <f>SUMIFS('март 2023'!$G$4:$G$582,'март 2023'!$D$4:$D$582,$B69,'март 2023'!$J$4:$J$582,AC$1)</f>
        <v>0</v>
      </c>
      <c r="AD69" s="207">
        <f>SUMIFS('март 2023'!$G$4:$G$582,'март 2023'!$D$4:$D$582,$B69,'март 2023'!$J$4:$J$582,AD$1)</f>
        <v>0</v>
      </c>
      <c r="AE69" s="207">
        <f>SUMIFS('март 2023'!$G$4:$G$582,'март 2023'!$D$4:$D$582,$B69,'март 2023'!$J$4:$J$582,AE$1)</f>
        <v>0</v>
      </c>
      <c r="AF69" s="207">
        <f>SUMIFS('март 2023'!$G$4:$G$582,'март 2023'!$D$4:$D$582,$B69,'март 2023'!$J$4:$J$582,AF$1)</f>
        <v>0</v>
      </c>
      <c r="AG69" s="207">
        <f>SUMIFS('март 2023'!$G$4:$G$582,'март 2023'!$D$4:$D$582,$B69,'март 2023'!$J$4:$J$582,AG$1)</f>
        <v>0</v>
      </c>
      <c r="AH69" s="207">
        <f>SUMIFS('март 2023'!$G$4:$G$582,'март 2023'!$D$4:$D$582,$B69,'март 2023'!$J$4:$J$582,AH$1)</f>
        <v>144</v>
      </c>
      <c r="AI69" s="170">
        <f t="shared" si="2"/>
        <v>144</v>
      </c>
    </row>
    <row r="70" spans="2:35" ht="15" customHeight="1" x14ac:dyDescent="0.25">
      <c r="B70" s="216"/>
      <c r="C70" s="213"/>
      <c r="D70" s="207">
        <f>SUMIFS('март 2023'!$G$4:$G$582,'март 2023'!$D$4:$D$582,$B70,'март 2023'!$J$4:$J$582,D$1)</f>
        <v>0</v>
      </c>
      <c r="E70" s="207">
        <f>SUMIFS('март 2023'!$G$4:$G$582,'март 2023'!$D$4:$D$582,$B70,'март 2023'!$J$4:$J$582,E$1)</f>
        <v>0</v>
      </c>
      <c r="F70" s="207">
        <f>SUMIFS('март 2023'!$G$4:$G$582,'март 2023'!$D$4:$D$582,$B70,'март 2023'!$J$4:$J$582,F$1)</f>
        <v>0</v>
      </c>
      <c r="G70" s="207">
        <f>SUMIFS('март 2023'!$G$4:$G$582,'март 2023'!$D$4:$D$582,$B70,'март 2023'!$J$4:$J$582,G$1)</f>
        <v>0</v>
      </c>
      <c r="H70" s="207">
        <f>SUMIFS('март 2023'!$G$4:$G$582,'март 2023'!$D$4:$D$582,$B70,'март 2023'!$J$4:$J$582,H$1)</f>
        <v>0</v>
      </c>
      <c r="I70" s="207">
        <f>SUMIFS('март 2023'!$G$4:$G$582,'март 2023'!$D$4:$D$582,$B70,'март 2023'!$J$4:$J$582,I$1)</f>
        <v>0</v>
      </c>
      <c r="J70" s="207">
        <f>SUMIFS('март 2023'!$G$4:$G$582,'март 2023'!$D$4:$D$582,$B70,'март 2023'!$J$4:$J$582,J$1)</f>
        <v>0</v>
      </c>
      <c r="K70" s="207">
        <f>SUMIFS('март 2023'!$G$4:$G$582,'март 2023'!$D$4:$D$582,$B70,'март 2023'!$J$4:$J$582,K$1)</f>
        <v>0</v>
      </c>
      <c r="L70" s="207">
        <f>SUMIFS('март 2023'!$G$4:$G$582,'март 2023'!$D$4:$D$582,$B70,'март 2023'!$J$4:$J$582,L$1)</f>
        <v>0</v>
      </c>
      <c r="M70" s="207">
        <f>SUMIFS('март 2023'!$G$4:$G$582,'март 2023'!$D$4:$D$582,$B70,'март 2023'!$J$4:$J$582,M$1)</f>
        <v>0</v>
      </c>
      <c r="N70" s="207">
        <f>SUMIFS('март 2023'!$G$4:$G$582,'март 2023'!$D$4:$D$582,$B70,'март 2023'!$J$4:$J$582,N$1)</f>
        <v>0</v>
      </c>
      <c r="O70" s="207">
        <f>SUMIFS('март 2023'!$G$4:$G$582,'март 2023'!$D$4:$D$582,$B70,'март 2023'!$J$4:$J$582,O$1)</f>
        <v>0</v>
      </c>
      <c r="P70" s="207">
        <f>SUMIFS('март 2023'!$G$4:$G$582,'март 2023'!$D$4:$D$582,$B70,'март 2023'!$J$4:$J$582,P$1)</f>
        <v>0</v>
      </c>
      <c r="Q70" s="207">
        <f>SUMIFS('март 2023'!$G$4:$G$582,'март 2023'!$D$4:$D$582,$B70,'март 2023'!$J$4:$J$582,Q$1)</f>
        <v>0</v>
      </c>
      <c r="R70" s="207">
        <f>SUMIFS('март 2023'!$G$4:$G$582,'март 2023'!$D$4:$D$582,$B70,'март 2023'!$J$4:$J$582,R$1)</f>
        <v>0</v>
      </c>
      <c r="S70" s="207">
        <f>SUMIFS('март 2023'!$G$4:$G$582,'март 2023'!$D$4:$D$582,$B70,'март 2023'!$J$4:$J$582,S$1)</f>
        <v>0</v>
      </c>
      <c r="T70" s="207">
        <f>SUMIFS('март 2023'!$G$4:$G$582,'март 2023'!$D$4:$D$582,$B70,'март 2023'!$J$4:$J$582,T$1)</f>
        <v>0</v>
      </c>
      <c r="U70" s="207">
        <f>SUMIFS('март 2023'!$G$4:$G$582,'март 2023'!$D$4:$D$582,$B70,'март 2023'!$J$4:$J$582,U$1)</f>
        <v>0</v>
      </c>
      <c r="V70" s="207">
        <f>SUMIFS('март 2023'!$G$4:$G$582,'март 2023'!$D$4:$D$582,$B70,'март 2023'!$J$4:$J$582,V$1)</f>
        <v>0</v>
      </c>
      <c r="W70" s="207">
        <f>SUMIFS('март 2023'!$G$4:$G$582,'март 2023'!$D$4:$D$582,$B70,'март 2023'!$J$4:$J$582,W$1)</f>
        <v>0</v>
      </c>
      <c r="X70" s="207">
        <f>SUMIFS('март 2023'!$G$4:$G$582,'март 2023'!$D$4:$D$582,$B70,'март 2023'!$J$4:$J$582,X$1)</f>
        <v>0</v>
      </c>
      <c r="Y70" s="207">
        <f>SUMIFS('март 2023'!$G$4:$G$582,'март 2023'!$D$4:$D$582,$B70,'март 2023'!$J$4:$J$582,Y$1)</f>
        <v>0</v>
      </c>
      <c r="Z70" s="207">
        <f>SUMIFS('март 2023'!$G$4:$G$582,'март 2023'!$D$4:$D$582,$B70,'март 2023'!$J$4:$J$582,Z$1)</f>
        <v>0</v>
      </c>
      <c r="AA70" s="207">
        <f>SUMIFS('март 2023'!$G$4:$G$582,'март 2023'!$D$4:$D$582,$B70,'март 2023'!$J$4:$J$582,AA$1)</f>
        <v>0</v>
      </c>
      <c r="AB70" s="207">
        <f>SUMIFS('март 2023'!$G$4:$G$582,'март 2023'!$D$4:$D$582,$B70,'март 2023'!$J$4:$J$582,AB$1)</f>
        <v>0</v>
      </c>
      <c r="AC70" s="207">
        <f>SUMIFS('март 2023'!$G$4:$G$582,'март 2023'!$D$4:$D$582,$B70,'март 2023'!$J$4:$J$582,AC$1)</f>
        <v>0</v>
      </c>
      <c r="AD70" s="207">
        <f>SUMIFS('март 2023'!$G$4:$G$582,'март 2023'!$D$4:$D$582,$B70,'март 2023'!$J$4:$J$582,AD$1)</f>
        <v>0</v>
      </c>
      <c r="AE70" s="207">
        <f>SUMIFS('март 2023'!$G$4:$G$582,'март 2023'!$D$4:$D$582,$B70,'март 2023'!$J$4:$J$582,AE$1)</f>
        <v>0</v>
      </c>
      <c r="AF70" s="207">
        <f>SUMIFS('март 2023'!$G$4:$G$582,'март 2023'!$D$4:$D$582,$B70,'март 2023'!$J$4:$J$582,AF$1)</f>
        <v>0</v>
      </c>
      <c r="AG70" s="207">
        <f>SUMIFS('март 2023'!$G$4:$G$582,'март 2023'!$D$4:$D$582,$B70,'март 2023'!$J$4:$J$582,AG$1)</f>
        <v>0</v>
      </c>
      <c r="AH70" s="207">
        <f>SUMIFS('март 2023'!$G$4:$G$582,'март 2023'!$D$4:$D$582,$B70,'март 2023'!$J$4:$J$582,AH$1)</f>
        <v>0</v>
      </c>
      <c r="AI70" s="170">
        <f t="shared" si="2"/>
        <v>0</v>
      </c>
    </row>
    <row r="71" spans="2:35" ht="15" customHeight="1" x14ac:dyDescent="0.25">
      <c r="B71" s="212" t="s">
        <v>1622</v>
      </c>
      <c r="C71" s="211">
        <v>180</v>
      </c>
      <c r="D71" s="207">
        <f>SUMIFS('март 2023'!$G$4:$G$582,'март 2023'!$D$4:$D$582,$B71,'март 2023'!$J$4:$J$582,D$1)</f>
        <v>0</v>
      </c>
      <c r="E71" s="207">
        <f>SUMIFS('март 2023'!$G$4:$G$582,'март 2023'!$D$4:$D$582,$B71,'март 2023'!$J$4:$J$582,E$1)</f>
        <v>0</v>
      </c>
      <c r="F71" s="207">
        <f>SUMIFS('март 2023'!$G$4:$G$582,'март 2023'!$D$4:$D$582,$B71,'март 2023'!$J$4:$J$582,F$1)</f>
        <v>0</v>
      </c>
      <c r="G71" s="207">
        <f>SUMIFS('март 2023'!$G$4:$G$582,'март 2023'!$D$4:$D$582,$B71,'март 2023'!$J$4:$J$582,G$1)</f>
        <v>0</v>
      </c>
      <c r="H71" s="207">
        <f>SUMIFS('март 2023'!$G$4:$G$582,'март 2023'!$D$4:$D$582,$B71,'март 2023'!$J$4:$J$582,H$1)</f>
        <v>0</v>
      </c>
      <c r="I71" s="207">
        <f>SUMIFS('март 2023'!$G$4:$G$582,'март 2023'!$D$4:$D$582,$B71,'март 2023'!$J$4:$J$582,I$1)</f>
        <v>48</v>
      </c>
      <c r="J71" s="207">
        <f>SUMIFS('март 2023'!$G$4:$G$582,'март 2023'!$D$4:$D$582,$B71,'март 2023'!$J$4:$J$582,J$1)</f>
        <v>0</v>
      </c>
      <c r="K71" s="207">
        <f>SUMIFS('март 2023'!$G$4:$G$582,'март 2023'!$D$4:$D$582,$B71,'март 2023'!$J$4:$J$582,K$1)</f>
        <v>0</v>
      </c>
      <c r="L71" s="207">
        <f>SUMIFS('март 2023'!$G$4:$G$582,'март 2023'!$D$4:$D$582,$B71,'март 2023'!$J$4:$J$582,L$1)</f>
        <v>0</v>
      </c>
      <c r="M71" s="207">
        <f>SUMIFS('март 2023'!$G$4:$G$582,'март 2023'!$D$4:$D$582,$B71,'март 2023'!$J$4:$J$582,M$1)</f>
        <v>0</v>
      </c>
      <c r="N71" s="207">
        <f>SUMIFS('март 2023'!$G$4:$G$582,'март 2023'!$D$4:$D$582,$B71,'март 2023'!$J$4:$J$582,N$1)</f>
        <v>0</v>
      </c>
      <c r="O71" s="207">
        <f>SUMIFS('март 2023'!$G$4:$G$582,'март 2023'!$D$4:$D$582,$B71,'март 2023'!$J$4:$J$582,O$1)</f>
        <v>0</v>
      </c>
      <c r="P71" s="207">
        <f>SUMIFS('март 2023'!$G$4:$G$582,'март 2023'!$D$4:$D$582,$B71,'март 2023'!$J$4:$J$582,P$1)</f>
        <v>0</v>
      </c>
      <c r="Q71" s="207">
        <f>SUMIFS('март 2023'!$G$4:$G$582,'март 2023'!$D$4:$D$582,$B71,'март 2023'!$J$4:$J$582,Q$1)</f>
        <v>0</v>
      </c>
      <c r="R71" s="207">
        <f>SUMIFS('март 2023'!$G$4:$G$582,'март 2023'!$D$4:$D$582,$B71,'март 2023'!$J$4:$J$582,R$1)</f>
        <v>0</v>
      </c>
      <c r="S71" s="207">
        <f>SUMIFS('март 2023'!$G$4:$G$582,'март 2023'!$D$4:$D$582,$B71,'март 2023'!$J$4:$J$582,S$1)</f>
        <v>0</v>
      </c>
      <c r="T71" s="207">
        <f>SUMIFS('март 2023'!$G$4:$G$582,'март 2023'!$D$4:$D$582,$B71,'март 2023'!$J$4:$J$582,T$1)</f>
        <v>0</v>
      </c>
      <c r="U71" s="207">
        <f>SUMIFS('март 2023'!$G$4:$G$582,'март 2023'!$D$4:$D$582,$B71,'март 2023'!$J$4:$J$582,U$1)</f>
        <v>0</v>
      </c>
      <c r="V71" s="207">
        <f>SUMIFS('март 2023'!$G$4:$G$582,'март 2023'!$D$4:$D$582,$B71,'март 2023'!$J$4:$J$582,V$1)</f>
        <v>0</v>
      </c>
      <c r="W71" s="207">
        <f>SUMIFS('март 2023'!$G$4:$G$582,'март 2023'!$D$4:$D$582,$B71,'март 2023'!$J$4:$J$582,W$1)</f>
        <v>0</v>
      </c>
      <c r="X71" s="207">
        <f>SUMIFS('март 2023'!$G$4:$G$582,'март 2023'!$D$4:$D$582,$B71,'март 2023'!$J$4:$J$582,X$1)</f>
        <v>0</v>
      </c>
      <c r="Y71" s="207">
        <f>SUMIFS('март 2023'!$G$4:$G$582,'март 2023'!$D$4:$D$582,$B71,'март 2023'!$J$4:$J$582,Y$1)</f>
        <v>0</v>
      </c>
      <c r="Z71" s="207">
        <f>SUMIFS('март 2023'!$G$4:$G$582,'март 2023'!$D$4:$D$582,$B71,'март 2023'!$J$4:$J$582,Z$1)</f>
        <v>0</v>
      </c>
      <c r="AA71" s="207">
        <f>SUMIFS('март 2023'!$G$4:$G$582,'март 2023'!$D$4:$D$582,$B71,'март 2023'!$J$4:$J$582,AA$1)</f>
        <v>0</v>
      </c>
      <c r="AB71" s="207">
        <f>SUMIFS('март 2023'!$G$4:$G$582,'март 2023'!$D$4:$D$582,$B71,'март 2023'!$J$4:$J$582,AB$1)</f>
        <v>0</v>
      </c>
      <c r="AC71" s="207">
        <f>SUMIFS('март 2023'!$G$4:$G$582,'март 2023'!$D$4:$D$582,$B71,'март 2023'!$J$4:$J$582,AC$1)</f>
        <v>0</v>
      </c>
      <c r="AD71" s="207">
        <f>SUMIFS('март 2023'!$G$4:$G$582,'март 2023'!$D$4:$D$582,$B71,'март 2023'!$J$4:$J$582,AD$1)</f>
        <v>0</v>
      </c>
      <c r="AE71" s="207">
        <f>SUMIFS('март 2023'!$G$4:$G$582,'март 2023'!$D$4:$D$582,$B71,'март 2023'!$J$4:$J$582,AE$1)</f>
        <v>0</v>
      </c>
      <c r="AF71" s="207">
        <f>SUMIFS('март 2023'!$G$4:$G$582,'март 2023'!$D$4:$D$582,$B71,'март 2023'!$J$4:$J$582,AF$1)</f>
        <v>0</v>
      </c>
      <c r="AG71" s="207">
        <f>SUMIFS('март 2023'!$G$4:$G$582,'март 2023'!$D$4:$D$582,$B71,'март 2023'!$J$4:$J$582,AG$1)</f>
        <v>0</v>
      </c>
      <c r="AH71" s="207">
        <f>SUMIFS('март 2023'!$G$4:$G$582,'март 2023'!$D$4:$D$582,$B71,'март 2023'!$J$4:$J$582,AH$1)</f>
        <v>0</v>
      </c>
      <c r="AI71" s="170">
        <f t="shared" si="2"/>
        <v>48</v>
      </c>
    </row>
    <row r="72" spans="2:35" ht="15" customHeight="1" x14ac:dyDescent="0.25">
      <c r="B72" s="212" t="s">
        <v>2183</v>
      </c>
      <c r="C72" s="211">
        <v>180</v>
      </c>
      <c r="D72" s="207">
        <f>SUMIFS('март 2023'!$G$4:$G$582,'март 2023'!$D$4:$D$582,$B72,'март 2023'!$J$4:$J$582,D$1)</f>
        <v>0</v>
      </c>
      <c r="E72" s="207">
        <f>SUMIFS('март 2023'!$G$4:$G$582,'март 2023'!$D$4:$D$582,$B72,'март 2023'!$J$4:$J$582,E$1)</f>
        <v>0</v>
      </c>
      <c r="F72" s="207">
        <f>SUMIFS('март 2023'!$G$4:$G$582,'март 2023'!$D$4:$D$582,$B72,'март 2023'!$J$4:$J$582,F$1)</f>
        <v>0</v>
      </c>
      <c r="G72" s="207">
        <f>SUMIFS('март 2023'!$G$4:$G$582,'март 2023'!$D$4:$D$582,$B72,'март 2023'!$J$4:$J$582,G$1)</f>
        <v>0</v>
      </c>
      <c r="H72" s="207">
        <f>SUMIFS('март 2023'!$G$4:$G$582,'март 2023'!$D$4:$D$582,$B72,'март 2023'!$J$4:$J$582,H$1)</f>
        <v>0</v>
      </c>
      <c r="I72" s="207">
        <f>SUMIFS('март 2023'!$G$4:$G$582,'март 2023'!$D$4:$D$582,$B72,'март 2023'!$J$4:$J$582,I$1)</f>
        <v>0</v>
      </c>
      <c r="J72" s="207">
        <f>SUMIFS('март 2023'!$G$4:$G$582,'март 2023'!$D$4:$D$582,$B72,'март 2023'!$J$4:$J$582,J$1)</f>
        <v>0</v>
      </c>
      <c r="K72" s="207">
        <f>SUMIFS('март 2023'!$G$4:$G$582,'март 2023'!$D$4:$D$582,$B72,'март 2023'!$J$4:$J$582,K$1)</f>
        <v>0</v>
      </c>
      <c r="L72" s="207">
        <f>SUMIFS('март 2023'!$G$4:$G$582,'март 2023'!$D$4:$D$582,$B72,'март 2023'!$J$4:$J$582,L$1)</f>
        <v>0</v>
      </c>
      <c r="M72" s="207">
        <f>SUMIFS('март 2023'!$G$4:$G$582,'март 2023'!$D$4:$D$582,$B72,'март 2023'!$J$4:$J$582,M$1)</f>
        <v>0</v>
      </c>
      <c r="N72" s="207">
        <f>SUMIFS('март 2023'!$G$4:$G$582,'март 2023'!$D$4:$D$582,$B72,'март 2023'!$J$4:$J$582,N$1)</f>
        <v>0</v>
      </c>
      <c r="O72" s="207">
        <f>SUMIFS('март 2023'!$G$4:$G$582,'март 2023'!$D$4:$D$582,$B72,'март 2023'!$J$4:$J$582,O$1)</f>
        <v>0</v>
      </c>
      <c r="P72" s="207">
        <f>SUMIFS('март 2023'!$G$4:$G$582,'март 2023'!$D$4:$D$582,$B72,'март 2023'!$J$4:$J$582,P$1)</f>
        <v>0</v>
      </c>
      <c r="Q72" s="207">
        <f>SUMIFS('март 2023'!$G$4:$G$582,'март 2023'!$D$4:$D$582,$B72,'март 2023'!$J$4:$J$582,Q$1)</f>
        <v>0</v>
      </c>
      <c r="R72" s="207">
        <f>SUMIFS('март 2023'!$G$4:$G$582,'март 2023'!$D$4:$D$582,$B72,'март 2023'!$J$4:$J$582,R$1)</f>
        <v>0</v>
      </c>
      <c r="S72" s="207">
        <f>SUMIFS('март 2023'!$G$4:$G$582,'март 2023'!$D$4:$D$582,$B72,'март 2023'!$J$4:$J$582,S$1)</f>
        <v>0</v>
      </c>
      <c r="T72" s="207">
        <f>SUMIFS('март 2023'!$G$4:$G$582,'март 2023'!$D$4:$D$582,$B72,'март 2023'!$J$4:$J$582,T$1)</f>
        <v>0</v>
      </c>
      <c r="U72" s="207">
        <f>SUMIFS('март 2023'!$G$4:$G$582,'март 2023'!$D$4:$D$582,$B72,'март 2023'!$J$4:$J$582,U$1)</f>
        <v>0</v>
      </c>
      <c r="V72" s="207">
        <f>SUMIFS('март 2023'!$G$4:$G$582,'март 2023'!$D$4:$D$582,$B72,'март 2023'!$J$4:$J$582,V$1)</f>
        <v>0</v>
      </c>
      <c r="W72" s="207">
        <f>SUMIFS('март 2023'!$G$4:$G$582,'март 2023'!$D$4:$D$582,$B72,'март 2023'!$J$4:$J$582,W$1)</f>
        <v>0</v>
      </c>
      <c r="X72" s="207">
        <f>SUMIFS('март 2023'!$G$4:$G$582,'март 2023'!$D$4:$D$582,$B72,'март 2023'!$J$4:$J$582,X$1)</f>
        <v>0</v>
      </c>
      <c r="Y72" s="207">
        <f>SUMIFS('март 2023'!$G$4:$G$582,'март 2023'!$D$4:$D$582,$B72,'март 2023'!$J$4:$J$582,Y$1)</f>
        <v>0</v>
      </c>
      <c r="Z72" s="207">
        <f>SUMIFS('март 2023'!$G$4:$G$582,'март 2023'!$D$4:$D$582,$B72,'март 2023'!$J$4:$J$582,Z$1)</f>
        <v>0</v>
      </c>
      <c r="AA72" s="207">
        <f>SUMIFS('март 2023'!$G$4:$G$582,'март 2023'!$D$4:$D$582,$B72,'март 2023'!$J$4:$J$582,AA$1)</f>
        <v>0</v>
      </c>
      <c r="AB72" s="207">
        <f>SUMIFS('март 2023'!$G$4:$G$582,'март 2023'!$D$4:$D$582,$B72,'март 2023'!$J$4:$J$582,AB$1)</f>
        <v>0</v>
      </c>
      <c r="AC72" s="207">
        <f>SUMIFS('март 2023'!$G$4:$G$582,'март 2023'!$D$4:$D$582,$B72,'март 2023'!$J$4:$J$582,AC$1)</f>
        <v>0</v>
      </c>
      <c r="AD72" s="207">
        <f>SUMIFS('март 2023'!$G$4:$G$582,'март 2023'!$D$4:$D$582,$B72,'март 2023'!$J$4:$J$582,AD$1)</f>
        <v>0</v>
      </c>
      <c r="AE72" s="207">
        <f>SUMIFS('март 2023'!$G$4:$G$582,'март 2023'!$D$4:$D$582,$B72,'март 2023'!$J$4:$J$582,AE$1)</f>
        <v>0</v>
      </c>
      <c r="AF72" s="207">
        <f>SUMIFS('март 2023'!$G$4:$G$582,'март 2023'!$D$4:$D$582,$B72,'март 2023'!$J$4:$J$582,AF$1)</f>
        <v>0</v>
      </c>
      <c r="AG72" s="207">
        <f>SUMIFS('март 2023'!$G$4:$G$582,'март 2023'!$D$4:$D$582,$B72,'март 2023'!$J$4:$J$582,AG$1)</f>
        <v>0</v>
      </c>
      <c r="AH72" s="207">
        <f>SUMIFS('март 2023'!$G$4:$G$582,'март 2023'!$D$4:$D$582,$B72,'март 2023'!$J$4:$J$582,AH$1)</f>
        <v>0</v>
      </c>
      <c r="AI72" s="170">
        <f t="shared" si="2"/>
        <v>0</v>
      </c>
    </row>
    <row r="73" spans="2:35" ht="15" customHeight="1" x14ac:dyDescent="0.25">
      <c r="B73" s="216" t="s">
        <v>1372</v>
      </c>
      <c r="C73" s="211">
        <v>180</v>
      </c>
      <c r="D73" s="207">
        <f>SUMIFS('март 2023'!$G$4:$G$582,'март 2023'!$D$4:$D$582,$B73,'март 2023'!$J$4:$J$582,D$1)</f>
        <v>0</v>
      </c>
      <c r="E73" s="207">
        <f>SUMIFS('март 2023'!$G$4:$G$582,'март 2023'!$D$4:$D$582,$B73,'март 2023'!$J$4:$J$582,E$1)</f>
        <v>0</v>
      </c>
      <c r="F73" s="207">
        <f>SUMIFS('март 2023'!$G$4:$G$582,'март 2023'!$D$4:$D$582,$B73,'март 2023'!$J$4:$J$582,F$1)</f>
        <v>0</v>
      </c>
      <c r="G73" s="207">
        <f>SUMIFS('март 2023'!$G$4:$G$582,'март 2023'!$D$4:$D$582,$B73,'март 2023'!$J$4:$J$582,G$1)</f>
        <v>0</v>
      </c>
      <c r="H73" s="207">
        <f>SUMIFS('март 2023'!$G$4:$G$582,'март 2023'!$D$4:$D$582,$B73,'март 2023'!$J$4:$J$582,H$1)</f>
        <v>0</v>
      </c>
      <c r="I73" s="207">
        <f>SUMIFS('март 2023'!$G$4:$G$582,'март 2023'!$D$4:$D$582,$B73,'март 2023'!$J$4:$J$582,I$1)</f>
        <v>0</v>
      </c>
      <c r="J73" s="207">
        <f>SUMIFS('март 2023'!$G$4:$G$582,'март 2023'!$D$4:$D$582,$B73,'март 2023'!$J$4:$J$582,J$1)</f>
        <v>0</v>
      </c>
      <c r="K73" s="207">
        <f>SUMIFS('март 2023'!$G$4:$G$582,'март 2023'!$D$4:$D$582,$B73,'март 2023'!$J$4:$J$582,K$1)</f>
        <v>0</v>
      </c>
      <c r="L73" s="207">
        <f>SUMIFS('март 2023'!$G$4:$G$582,'март 2023'!$D$4:$D$582,$B73,'март 2023'!$J$4:$J$582,L$1)</f>
        <v>0</v>
      </c>
      <c r="M73" s="207">
        <f>SUMIFS('март 2023'!$G$4:$G$582,'март 2023'!$D$4:$D$582,$B73,'март 2023'!$J$4:$J$582,M$1)</f>
        <v>0</v>
      </c>
      <c r="N73" s="207">
        <f>SUMIFS('март 2023'!$G$4:$G$582,'март 2023'!$D$4:$D$582,$B73,'март 2023'!$J$4:$J$582,N$1)</f>
        <v>0</v>
      </c>
      <c r="O73" s="207">
        <f>SUMIFS('март 2023'!$G$4:$G$582,'март 2023'!$D$4:$D$582,$B73,'март 2023'!$J$4:$J$582,O$1)</f>
        <v>0</v>
      </c>
      <c r="P73" s="207">
        <f>SUMIFS('март 2023'!$G$4:$G$582,'март 2023'!$D$4:$D$582,$B73,'март 2023'!$J$4:$J$582,P$1)</f>
        <v>0</v>
      </c>
      <c r="Q73" s="207">
        <f>SUMIFS('март 2023'!$G$4:$G$582,'март 2023'!$D$4:$D$582,$B73,'март 2023'!$J$4:$J$582,Q$1)</f>
        <v>0</v>
      </c>
      <c r="R73" s="207">
        <f>SUMIFS('март 2023'!$G$4:$G$582,'март 2023'!$D$4:$D$582,$B73,'март 2023'!$J$4:$J$582,R$1)</f>
        <v>0</v>
      </c>
      <c r="S73" s="207">
        <f>SUMIFS('март 2023'!$G$4:$G$582,'март 2023'!$D$4:$D$582,$B73,'март 2023'!$J$4:$J$582,S$1)</f>
        <v>0</v>
      </c>
      <c r="T73" s="207">
        <f>SUMIFS('март 2023'!$G$4:$G$582,'март 2023'!$D$4:$D$582,$B73,'март 2023'!$J$4:$J$582,T$1)</f>
        <v>0</v>
      </c>
      <c r="U73" s="207">
        <f>SUMIFS('март 2023'!$G$4:$G$582,'март 2023'!$D$4:$D$582,$B73,'март 2023'!$J$4:$J$582,U$1)</f>
        <v>0</v>
      </c>
      <c r="V73" s="207">
        <f>SUMIFS('март 2023'!$G$4:$G$582,'март 2023'!$D$4:$D$582,$B73,'март 2023'!$J$4:$J$582,V$1)</f>
        <v>0</v>
      </c>
      <c r="W73" s="207">
        <f>SUMIFS('март 2023'!$G$4:$G$582,'март 2023'!$D$4:$D$582,$B73,'март 2023'!$J$4:$J$582,W$1)</f>
        <v>0</v>
      </c>
      <c r="X73" s="207">
        <f>SUMIFS('март 2023'!$G$4:$G$582,'март 2023'!$D$4:$D$582,$B73,'март 2023'!$J$4:$J$582,X$1)</f>
        <v>0</v>
      </c>
      <c r="Y73" s="207">
        <f>SUMIFS('март 2023'!$G$4:$G$582,'март 2023'!$D$4:$D$582,$B73,'март 2023'!$J$4:$J$582,Y$1)</f>
        <v>0</v>
      </c>
      <c r="Z73" s="207">
        <f>SUMIFS('март 2023'!$G$4:$G$582,'март 2023'!$D$4:$D$582,$B73,'март 2023'!$J$4:$J$582,Z$1)</f>
        <v>0</v>
      </c>
      <c r="AA73" s="207">
        <f>SUMIFS('март 2023'!$G$4:$G$582,'март 2023'!$D$4:$D$582,$B73,'март 2023'!$J$4:$J$582,AA$1)</f>
        <v>0</v>
      </c>
      <c r="AB73" s="207">
        <f>SUMIFS('март 2023'!$G$4:$G$582,'март 2023'!$D$4:$D$582,$B73,'март 2023'!$J$4:$J$582,AB$1)</f>
        <v>0</v>
      </c>
      <c r="AC73" s="207">
        <f>SUMIFS('март 2023'!$G$4:$G$582,'март 2023'!$D$4:$D$582,$B73,'март 2023'!$J$4:$J$582,AC$1)</f>
        <v>0</v>
      </c>
      <c r="AD73" s="207">
        <f>SUMIFS('март 2023'!$G$4:$G$582,'март 2023'!$D$4:$D$582,$B73,'март 2023'!$J$4:$J$582,AD$1)</f>
        <v>0</v>
      </c>
      <c r="AE73" s="207">
        <f>SUMIFS('март 2023'!$G$4:$G$582,'март 2023'!$D$4:$D$582,$B73,'март 2023'!$J$4:$J$582,AE$1)</f>
        <v>0</v>
      </c>
      <c r="AF73" s="207">
        <f>SUMIFS('март 2023'!$G$4:$G$582,'март 2023'!$D$4:$D$582,$B73,'март 2023'!$J$4:$J$582,AF$1)</f>
        <v>0</v>
      </c>
      <c r="AG73" s="207">
        <f>SUMIFS('март 2023'!$G$4:$G$582,'март 2023'!$D$4:$D$582,$B73,'март 2023'!$J$4:$J$582,AG$1)</f>
        <v>0</v>
      </c>
      <c r="AH73" s="207">
        <f>SUMIFS('март 2023'!$G$4:$G$582,'март 2023'!$D$4:$D$582,$B73,'март 2023'!$J$4:$J$582,AH$1)</f>
        <v>0</v>
      </c>
      <c r="AI73" s="170">
        <f t="shared" si="2"/>
        <v>0</v>
      </c>
    </row>
    <row r="74" spans="2:35" ht="15" customHeight="1" x14ac:dyDescent="0.25">
      <c r="B74" s="216" t="s">
        <v>2189</v>
      </c>
      <c r="C74" s="213">
        <v>180</v>
      </c>
      <c r="D74" s="207">
        <f>SUMIFS('март 2023'!$G$4:$G$582,'март 2023'!$D$4:$D$582,$B74,'март 2023'!$J$4:$J$582,D$1)</f>
        <v>0</v>
      </c>
      <c r="E74" s="207">
        <f>SUMIFS('март 2023'!$G$4:$G$582,'март 2023'!$D$4:$D$582,$B74,'март 2023'!$J$4:$J$582,E$1)</f>
        <v>0</v>
      </c>
      <c r="F74" s="207">
        <f>SUMIFS('март 2023'!$G$4:$G$582,'март 2023'!$D$4:$D$582,$B74,'март 2023'!$J$4:$J$582,F$1)</f>
        <v>0</v>
      </c>
      <c r="G74" s="207">
        <f>SUMIFS('март 2023'!$G$4:$G$582,'март 2023'!$D$4:$D$582,$B74,'март 2023'!$J$4:$J$582,G$1)</f>
        <v>0</v>
      </c>
      <c r="H74" s="207">
        <f>SUMIFS('март 2023'!$G$4:$G$582,'март 2023'!$D$4:$D$582,$B74,'март 2023'!$J$4:$J$582,H$1)</f>
        <v>0</v>
      </c>
      <c r="I74" s="207">
        <f>SUMIFS('март 2023'!$G$4:$G$582,'март 2023'!$D$4:$D$582,$B74,'март 2023'!$J$4:$J$582,I$1)</f>
        <v>0</v>
      </c>
      <c r="J74" s="207">
        <f>SUMIFS('март 2023'!$G$4:$G$582,'март 2023'!$D$4:$D$582,$B74,'март 2023'!$J$4:$J$582,J$1)</f>
        <v>0</v>
      </c>
      <c r="K74" s="207">
        <f>SUMIFS('март 2023'!$G$4:$G$582,'март 2023'!$D$4:$D$582,$B74,'март 2023'!$J$4:$J$582,K$1)</f>
        <v>0</v>
      </c>
      <c r="L74" s="207">
        <f>SUMIFS('март 2023'!$G$4:$G$582,'март 2023'!$D$4:$D$582,$B74,'март 2023'!$J$4:$J$582,L$1)</f>
        <v>0</v>
      </c>
      <c r="M74" s="207">
        <f>SUMIFS('март 2023'!$G$4:$G$582,'март 2023'!$D$4:$D$582,$B74,'март 2023'!$J$4:$J$582,M$1)</f>
        <v>0</v>
      </c>
      <c r="N74" s="207">
        <f>SUMIFS('март 2023'!$G$4:$G$582,'март 2023'!$D$4:$D$582,$B74,'март 2023'!$J$4:$J$582,N$1)</f>
        <v>0</v>
      </c>
      <c r="O74" s="207">
        <f>SUMIFS('март 2023'!$G$4:$G$582,'март 2023'!$D$4:$D$582,$B74,'март 2023'!$J$4:$J$582,O$1)</f>
        <v>0</v>
      </c>
      <c r="P74" s="207">
        <f>SUMIFS('март 2023'!$G$4:$G$582,'март 2023'!$D$4:$D$582,$B74,'март 2023'!$J$4:$J$582,P$1)</f>
        <v>0</v>
      </c>
      <c r="Q74" s="207">
        <f>SUMIFS('март 2023'!$G$4:$G$582,'март 2023'!$D$4:$D$582,$B74,'март 2023'!$J$4:$J$582,Q$1)</f>
        <v>0</v>
      </c>
      <c r="R74" s="207">
        <f>SUMIFS('март 2023'!$G$4:$G$582,'март 2023'!$D$4:$D$582,$B74,'март 2023'!$J$4:$J$582,R$1)</f>
        <v>0</v>
      </c>
      <c r="S74" s="207">
        <f>SUMIFS('март 2023'!$G$4:$G$582,'март 2023'!$D$4:$D$582,$B74,'март 2023'!$J$4:$J$582,S$1)</f>
        <v>0</v>
      </c>
      <c r="T74" s="207">
        <f>SUMIFS('март 2023'!$G$4:$G$582,'март 2023'!$D$4:$D$582,$B74,'март 2023'!$J$4:$J$582,T$1)</f>
        <v>0</v>
      </c>
      <c r="U74" s="207">
        <f>SUMIFS('март 2023'!$G$4:$G$582,'март 2023'!$D$4:$D$582,$B74,'март 2023'!$J$4:$J$582,U$1)</f>
        <v>0</v>
      </c>
      <c r="V74" s="207">
        <f>SUMIFS('март 2023'!$G$4:$G$582,'март 2023'!$D$4:$D$582,$B74,'март 2023'!$J$4:$J$582,V$1)</f>
        <v>0</v>
      </c>
      <c r="W74" s="207">
        <f>SUMIFS('март 2023'!$G$4:$G$582,'март 2023'!$D$4:$D$582,$B74,'март 2023'!$J$4:$J$582,W$1)</f>
        <v>0</v>
      </c>
      <c r="X74" s="207">
        <f>SUMIFS('март 2023'!$G$4:$G$582,'март 2023'!$D$4:$D$582,$B74,'март 2023'!$J$4:$J$582,X$1)</f>
        <v>0</v>
      </c>
      <c r="Y74" s="207">
        <f>SUMIFS('март 2023'!$G$4:$G$582,'март 2023'!$D$4:$D$582,$B74,'март 2023'!$J$4:$J$582,Y$1)</f>
        <v>0</v>
      </c>
      <c r="Z74" s="207">
        <f>SUMIFS('март 2023'!$G$4:$G$582,'март 2023'!$D$4:$D$582,$B74,'март 2023'!$J$4:$J$582,Z$1)</f>
        <v>0</v>
      </c>
      <c r="AA74" s="207">
        <f>SUMIFS('март 2023'!$G$4:$G$582,'март 2023'!$D$4:$D$582,$B74,'март 2023'!$J$4:$J$582,AA$1)</f>
        <v>0</v>
      </c>
      <c r="AB74" s="207">
        <f>SUMIFS('март 2023'!$G$4:$G$582,'март 2023'!$D$4:$D$582,$B74,'март 2023'!$J$4:$J$582,AB$1)</f>
        <v>0</v>
      </c>
      <c r="AC74" s="207">
        <f>SUMIFS('март 2023'!$G$4:$G$582,'март 2023'!$D$4:$D$582,$B74,'март 2023'!$J$4:$J$582,AC$1)</f>
        <v>0</v>
      </c>
      <c r="AD74" s="207">
        <f>SUMIFS('март 2023'!$G$4:$G$582,'март 2023'!$D$4:$D$582,$B74,'март 2023'!$J$4:$J$582,AD$1)</f>
        <v>0</v>
      </c>
      <c r="AE74" s="207">
        <f>SUMIFS('март 2023'!$G$4:$G$582,'март 2023'!$D$4:$D$582,$B74,'март 2023'!$J$4:$J$582,AE$1)</f>
        <v>0</v>
      </c>
      <c r="AF74" s="207">
        <f>SUMIFS('март 2023'!$G$4:$G$582,'март 2023'!$D$4:$D$582,$B74,'март 2023'!$J$4:$J$582,AF$1)</f>
        <v>0</v>
      </c>
      <c r="AG74" s="207">
        <f>SUMIFS('март 2023'!$G$4:$G$582,'март 2023'!$D$4:$D$582,$B74,'март 2023'!$J$4:$J$582,AG$1)</f>
        <v>0</v>
      </c>
      <c r="AH74" s="207">
        <f>SUMIFS('март 2023'!$G$4:$G$582,'март 2023'!$D$4:$D$582,$B74,'март 2023'!$J$4:$J$582,AH$1)</f>
        <v>0</v>
      </c>
      <c r="AI74" s="170">
        <f t="shared" si="2"/>
        <v>0</v>
      </c>
    </row>
    <row r="75" spans="2:35" ht="15" customHeight="1" x14ac:dyDescent="0.25">
      <c r="B75" s="212" t="s">
        <v>1779</v>
      </c>
      <c r="C75" s="211">
        <v>180</v>
      </c>
      <c r="D75" s="207">
        <f>SUMIFS('март 2023'!$G$4:$G$582,'март 2023'!$D$4:$D$582,$B75,'март 2023'!$J$4:$J$582,D$1)</f>
        <v>0</v>
      </c>
      <c r="E75" s="207">
        <f>SUMIFS('март 2023'!$G$4:$G$582,'март 2023'!$D$4:$D$582,$B75,'март 2023'!$J$4:$J$582,E$1)</f>
        <v>0</v>
      </c>
      <c r="F75" s="207">
        <f>SUMIFS('март 2023'!$G$4:$G$582,'март 2023'!$D$4:$D$582,$B75,'март 2023'!$J$4:$J$582,F$1)</f>
        <v>0</v>
      </c>
      <c r="G75" s="207">
        <f>SUMIFS('март 2023'!$G$4:$G$582,'март 2023'!$D$4:$D$582,$B75,'март 2023'!$J$4:$J$582,G$1)</f>
        <v>0</v>
      </c>
      <c r="H75" s="207">
        <f>SUMIFS('март 2023'!$G$4:$G$582,'март 2023'!$D$4:$D$582,$B75,'март 2023'!$J$4:$J$582,H$1)</f>
        <v>0</v>
      </c>
      <c r="I75" s="207">
        <f>SUMIFS('март 2023'!$G$4:$G$582,'март 2023'!$D$4:$D$582,$B75,'март 2023'!$J$4:$J$582,I$1)</f>
        <v>0</v>
      </c>
      <c r="J75" s="207">
        <f>SUMIFS('март 2023'!$G$4:$G$582,'март 2023'!$D$4:$D$582,$B75,'март 2023'!$J$4:$J$582,J$1)</f>
        <v>0</v>
      </c>
      <c r="K75" s="207">
        <f>SUMIFS('март 2023'!$G$4:$G$582,'март 2023'!$D$4:$D$582,$B75,'март 2023'!$J$4:$J$582,K$1)</f>
        <v>0</v>
      </c>
      <c r="L75" s="207">
        <f>SUMIFS('март 2023'!$G$4:$G$582,'март 2023'!$D$4:$D$582,$B75,'март 2023'!$J$4:$J$582,L$1)</f>
        <v>0</v>
      </c>
      <c r="M75" s="207">
        <f>SUMIFS('март 2023'!$G$4:$G$582,'март 2023'!$D$4:$D$582,$B75,'март 2023'!$J$4:$J$582,M$1)</f>
        <v>0</v>
      </c>
      <c r="N75" s="207">
        <f>SUMIFS('март 2023'!$G$4:$G$582,'март 2023'!$D$4:$D$582,$B75,'март 2023'!$J$4:$J$582,N$1)</f>
        <v>0</v>
      </c>
      <c r="O75" s="207">
        <f>SUMIFS('март 2023'!$G$4:$G$582,'март 2023'!$D$4:$D$582,$B75,'март 2023'!$J$4:$J$582,O$1)</f>
        <v>0</v>
      </c>
      <c r="P75" s="207">
        <f>SUMIFS('март 2023'!$G$4:$G$582,'март 2023'!$D$4:$D$582,$B75,'март 2023'!$J$4:$J$582,P$1)</f>
        <v>0</v>
      </c>
      <c r="Q75" s="207">
        <f>SUMIFS('март 2023'!$G$4:$G$582,'март 2023'!$D$4:$D$582,$B75,'март 2023'!$J$4:$J$582,Q$1)</f>
        <v>0</v>
      </c>
      <c r="R75" s="207">
        <f>SUMIFS('март 2023'!$G$4:$G$582,'март 2023'!$D$4:$D$582,$B75,'март 2023'!$J$4:$J$582,R$1)</f>
        <v>0</v>
      </c>
      <c r="S75" s="207">
        <f>SUMIFS('март 2023'!$G$4:$G$582,'март 2023'!$D$4:$D$582,$B75,'март 2023'!$J$4:$J$582,S$1)</f>
        <v>0</v>
      </c>
      <c r="T75" s="207">
        <f>SUMIFS('март 2023'!$G$4:$G$582,'март 2023'!$D$4:$D$582,$B75,'март 2023'!$J$4:$J$582,T$1)</f>
        <v>0</v>
      </c>
      <c r="U75" s="207">
        <f>SUMIFS('март 2023'!$G$4:$G$582,'март 2023'!$D$4:$D$582,$B75,'март 2023'!$J$4:$J$582,U$1)</f>
        <v>0</v>
      </c>
      <c r="V75" s="207">
        <f>SUMIFS('март 2023'!$G$4:$G$582,'март 2023'!$D$4:$D$582,$B75,'март 2023'!$J$4:$J$582,V$1)</f>
        <v>0</v>
      </c>
      <c r="W75" s="207">
        <f>SUMIFS('март 2023'!$G$4:$G$582,'март 2023'!$D$4:$D$582,$B75,'март 2023'!$J$4:$J$582,W$1)</f>
        <v>0</v>
      </c>
      <c r="X75" s="207">
        <f>SUMIFS('март 2023'!$G$4:$G$582,'март 2023'!$D$4:$D$582,$B75,'март 2023'!$J$4:$J$582,X$1)</f>
        <v>0</v>
      </c>
      <c r="Y75" s="207">
        <f>SUMIFS('март 2023'!$G$4:$G$582,'март 2023'!$D$4:$D$582,$B75,'март 2023'!$J$4:$J$582,Y$1)</f>
        <v>0</v>
      </c>
      <c r="Z75" s="207">
        <f>SUMIFS('март 2023'!$G$4:$G$582,'март 2023'!$D$4:$D$582,$B75,'март 2023'!$J$4:$J$582,Z$1)</f>
        <v>0</v>
      </c>
      <c r="AA75" s="207">
        <f>SUMIFS('март 2023'!$G$4:$G$582,'март 2023'!$D$4:$D$582,$B75,'март 2023'!$J$4:$J$582,AA$1)</f>
        <v>0</v>
      </c>
      <c r="AB75" s="207">
        <f>SUMIFS('март 2023'!$G$4:$G$582,'март 2023'!$D$4:$D$582,$B75,'март 2023'!$J$4:$J$582,AB$1)</f>
        <v>0</v>
      </c>
      <c r="AC75" s="207">
        <f>SUMIFS('март 2023'!$G$4:$G$582,'март 2023'!$D$4:$D$582,$B75,'март 2023'!$J$4:$J$582,AC$1)</f>
        <v>0</v>
      </c>
      <c r="AD75" s="207">
        <f>SUMIFS('март 2023'!$G$4:$G$582,'март 2023'!$D$4:$D$582,$B75,'март 2023'!$J$4:$J$582,AD$1)</f>
        <v>0</v>
      </c>
      <c r="AE75" s="207">
        <f>SUMIFS('март 2023'!$G$4:$G$582,'март 2023'!$D$4:$D$582,$B75,'март 2023'!$J$4:$J$582,AE$1)</f>
        <v>0</v>
      </c>
      <c r="AF75" s="207">
        <f>SUMIFS('март 2023'!$G$4:$G$582,'март 2023'!$D$4:$D$582,$B75,'март 2023'!$J$4:$J$582,AF$1)</f>
        <v>0</v>
      </c>
      <c r="AG75" s="207">
        <f>SUMIFS('март 2023'!$G$4:$G$582,'март 2023'!$D$4:$D$582,$B75,'март 2023'!$J$4:$J$582,AG$1)</f>
        <v>0</v>
      </c>
      <c r="AH75" s="207">
        <f>SUMIFS('март 2023'!$G$4:$G$582,'март 2023'!$D$4:$D$582,$B75,'март 2023'!$J$4:$J$582,AH$1)</f>
        <v>0</v>
      </c>
      <c r="AI75" s="170">
        <f t="shared" si="2"/>
        <v>0</v>
      </c>
    </row>
    <row r="76" spans="2:35" ht="15" customHeight="1" x14ac:dyDescent="0.25">
      <c r="B76" s="217" t="s">
        <v>634</v>
      </c>
      <c r="C76" s="213">
        <v>200</v>
      </c>
      <c r="D76" s="207">
        <f>SUMIFS('март 2023'!$G$4:$G$582,'март 2023'!$D$4:$D$582,$B76,'март 2023'!$J$4:$J$582,D$1)</f>
        <v>0</v>
      </c>
      <c r="E76" s="207">
        <f>SUMIFS('март 2023'!$G$4:$G$582,'март 2023'!$D$4:$D$582,$B76,'март 2023'!$J$4:$J$582,E$1)</f>
        <v>0</v>
      </c>
      <c r="F76" s="207">
        <f>SUMIFS('март 2023'!$G$4:$G$582,'март 2023'!$D$4:$D$582,$B76,'март 2023'!$J$4:$J$582,F$1)</f>
        <v>0</v>
      </c>
      <c r="G76" s="207">
        <f>SUMIFS('март 2023'!$G$4:$G$582,'март 2023'!$D$4:$D$582,$B76,'март 2023'!$J$4:$J$582,G$1)</f>
        <v>0</v>
      </c>
      <c r="H76" s="207">
        <f>SUMIFS('март 2023'!$G$4:$G$582,'март 2023'!$D$4:$D$582,$B76,'март 2023'!$J$4:$J$582,H$1)</f>
        <v>0</v>
      </c>
      <c r="I76" s="207">
        <f>SUMIFS('март 2023'!$G$4:$G$582,'март 2023'!$D$4:$D$582,$B76,'март 2023'!$J$4:$J$582,I$1)</f>
        <v>0</v>
      </c>
      <c r="J76" s="207">
        <f>SUMIFS('март 2023'!$G$4:$G$582,'март 2023'!$D$4:$D$582,$B76,'март 2023'!$J$4:$J$582,J$1)</f>
        <v>0</v>
      </c>
      <c r="K76" s="207">
        <f>SUMIFS('март 2023'!$G$4:$G$582,'март 2023'!$D$4:$D$582,$B76,'март 2023'!$J$4:$J$582,K$1)</f>
        <v>0</v>
      </c>
      <c r="L76" s="207">
        <f>SUMIFS('март 2023'!$G$4:$G$582,'март 2023'!$D$4:$D$582,$B76,'март 2023'!$J$4:$J$582,L$1)</f>
        <v>0</v>
      </c>
      <c r="M76" s="207">
        <f>SUMIFS('март 2023'!$G$4:$G$582,'март 2023'!$D$4:$D$582,$B76,'март 2023'!$J$4:$J$582,M$1)</f>
        <v>0</v>
      </c>
      <c r="N76" s="207">
        <f>SUMIFS('март 2023'!$G$4:$G$582,'март 2023'!$D$4:$D$582,$B76,'март 2023'!$J$4:$J$582,N$1)</f>
        <v>0</v>
      </c>
      <c r="O76" s="207">
        <f>SUMIFS('март 2023'!$G$4:$G$582,'март 2023'!$D$4:$D$582,$B76,'март 2023'!$J$4:$J$582,O$1)</f>
        <v>0</v>
      </c>
      <c r="P76" s="207">
        <f>SUMIFS('март 2023'!$G$4:$G$582,'март 2023'!$D$4:$D$582,$B76,'март 2023'!$J$4:$J$582,P$1)</f>
        <v>0</v>
      </c>
      <c r="Q76" s="207">
        <f>SUMIFS('март 2023'!$G$4:$G$582,'март 2023'!$D$4:$D$582,$B76,'март 2023'!$J$4:$J$582,Q$1)</f>
        <v>0</v>
      </c>
      <c r="R76" s="207">
        <f>SUMIFS('март 2023'!$G$4:$G$582,'март 2023'!$D$4:$D$582,$B76,'март 2023'!$J$4:$J$582,R$1)</f>
        <v>0</v>
      </c>
      <c r="S76" s="207">
        <f>SUMIFS('март 2023'!$G$4:$G$582,'март 2023'!$D$4:$D$582,$B76,'март 2023'!$J$4:$J$582,S$1)</f>
        <v>0</v>
      </c>
      <c r="T76" s="207">
        <f>SUMIFS('март 2023'!$G$4:$G$582,'март 2023'!$D$4:$D$582,$B76,'март 2023'!$J$4:$J$582,T$1)</f>
        <v>0</v>
      </c>
      <c r="U76" s="207">
        <f>SUMIFS('март 2023'!$G$4:$G$582,'март 2023'!$D$4:$D$582,$B76,'март 2023'!$J$4:$J$582,U$1)</f>
        <v>0</v>
      </c>
      <c r="V76" s="207">
        <f>SUMIFS('март 2023'!$G$4:$G$582,'март 2023'!$D$4:$D$582,$B76,'март 2023'!$J$4:$J$582,V$1)</f>
        <v>0</v>
      </c>
      <c r="W76" s="207">
        <f>SUMIFS('март 2023'!$G$4:$G$582,'март 2023'!$D$4:$D$582,$B76,'март 2023'!$J$4:$J$582,W$1)</f>
        <v>0</v>
      </c>
      <c r="X76" s="207">
        <f>SUMIFS('март 2023'!$G$4:$G$582,'март 2023'!$D$4:$D$582,$B76,'март 2023'!$J$4:$J$582,X$1)</f>
        <v>0</v>
      </c>
      <c r="Y76" s="207">
        <f>SUMIFS('март 2023'!$G$4:$G$582,'март 2023'!$D$4:$D$582,$B76,'март 2023'!$J$4:$J$582,Y$1)</f>
        <v>0</v>
      </c>
      <c r="Z76" s="207">
        <f>SUMIFS('март 2023'!$G$4:$G$582,'март 2023'!$D$4:$D$582,$B76,'март 2023'!$J$4:$J$582,Z$1)</f>
        <v>0</v>
      </c>
      <c r="AA76" s="207">
        <f>SUMIFS('март 2023'!$G$4:$G$582,'март 2023'!$D$4:$D$582,$B76,'март 2023'!$J$4:$J$582,AA$1)</f>
        <v>0</v>
      </c>
      <c r="AB76" s="207">
        <f>SUMIFS('март 2023'!$G$4:$G$582,'март 2023'!$D$4:$D$582,$B76,'март 2023'!$J$4:$J$582,AB$1)</f>
        <v>0</v>
      </c>
      <c r="AC76" s="207">
        <f>SUMIFS('март 2023'!$G$4:$G$582,'март 2023'!$D$4:$D$582,$B76,'март 2023'!$J$4:$J$582,AC$1)</f>
        <v>0</v>
      </c>
      <c r="AD76" s="207">
        <f>SUMIFS('март 2023'!$G$4:$G$582,'март 2023'!$D$4:$D$582,$B76,'март 2023'!$J$4:$J$582,AD$1)</f>
        <v>0</v>
      </c>
      <c r="AE76" s="207">
        <f>SUMIFS('март 2023'!$G$4:$G$582,'март 2023'!$D$4:$D$582,$B76,'март 2023'!$J$4:$J$582,AE$1)</f>
        <v>0</v>
      </c>
      <c r="AF76" s="207">
        <f>SUMIFS('март 2023'!$G$4:$G$582,'март 2023'!$D$4:$D$582,$B76,'март 2023'!$J$4:$J$582,AF$1)</f>
        <v>0</v>
      </c>
      <c r="AG76" s="207">
        <f>SUMIFS('март 2023'!$G$4:$G$582,'март 2023'!$D$4:$D$582,$B76,'март 2023'!$J$4:$J$582,AG$1)</f>
        <v>0</v>
      </c>
      <c r="AH76" s="207">
        <f>SUMIFS('март 2023'!$G$4:$G$582,'март 2023'!$D$4:$D$582,$B76,'март 2023'!$J$4:$J$582,AH$1)</f>
        <v>0</v>
      </c>
      <c r="AI76" s="170">
        <f t="shared" si="2"/>
        <v>0</v>
      </c>
    </row>
    <row r="77" spans="2:35" ht="15" customHeight="1" x14ac:dyDescent="0.25">
      <c r="B77" s="212" t="s">
        <v>1663</v>
      </c>
      <c r="C77" s="213">
        <v>185</v>
      </c>
      <c r="D77" s="207">
        <f>SUMIFS('март 2023'!$G$4:$G$582,'март 2023'!$D$4:$D$582,$B77,'март 2023'!$J$4:$J$582,D$1)</f>
        <v>0</v>
      </c>
      <c r="E77" s="207">
        <f>SUMIFS('март 2023'!$G$4:$G$582,'март 2023'!$D$4:$D$582,$B77,'март 2023'!$J$4:$J$582,E$1)</f>
        <v>0</v>
      </c>
      <c r="F77" s="207">
        <f>SUMIFS('март 2023'!$G$4:$G$582,'март 2023'!$D$4:$D$582,$B77,'март 2023'!$J$4:$J$582,F$1)</f>
        <v>0</v>
      </c>
      <c r="G77" s="207">
        <f>SUMIFS('март 2023'!$G$4:$G$582,'март 2023'!$D$4:$D$582,$B77,'март 2023'!$J$4:$J$582,G$1)</f>
        <v>0</v>
      </c>
      <c r="H77" s="207">
        <f>SUMIFS('март 2023'!$G$4:$G$582,'март 2023'!$D$4:$D$582,$B77,'март 2023'!$J$4:$J$582,H$1)</f>
        <v>0</v>
      </c>
      <c r="I77" s="207">
        <f>SUMIFS('март 2023'!$G$4:$G$582,'март 2023'!$D$4:$D$582,$B77,'март 2023'!$J$4:$J$582,I$1)</f>
        <v>0</v>
      </c>
      <c r="J77" s="207">
        <f>SUMIFS('март 2023'!$G$4:$G$582,'март 2023'!$D$4:$D$582,$B77,'март 2023'!$J$4:$J$582,J$1)</f>
        <v>0</v>
      </c>
      <c r="K77" s="207">
        <f>SUMIFS('март 2023'!$G$4:$G$582,'март 2023'!$D$4:$D$582,$B77,'март 2023'!$J$4:$J$582,K$1)</f>
        <v>0</v>
      </c>
      <c r="L77" s="207">
        <f>SUMIFS('март 2023'!$G$4:$G$582,'март 2023'!$D$4:$D$582,$B77,'март 2023'!$J$4:$J$582,L$1)</f>
        <v>0</v>
      </c>
      <c r="M77" s="207">
        <f>SUMIFS('март 2023'!$G$4:$G$582,'март 2023'!$D$4:$D$582,$B77,'март 2023'!$J$4:$J$582,M$1)</f>
        <v>8</v>
      </c>
      <c r="N77" s="207">
        <f>SUMIFS('март 2023'!$G$4:$G$582,'март 2023'!$D$4:$D$582,$B77,'март 2023'!$J$4:$J$582,N$1)</f>
        <v>0</v>
      </c>
      <c r="O77" s="207">
        <f>SUMIFS('март 2023'!$G$4:$G$582,'март 2023'!$D$4:$D$582,$B77,'март 2023'!$J$4:$J$582,O$1)</f>
        <v>0</v>
      </c>
      <c r="P77" s="207">
        <f>SUMIFS('март 2023'!$G$4:$G$582,'март 2023'!$D$4:$D$582,$B77,'март 2023'!$J$4:$J$582,P$1)</f>
        <v>0</v>
      </c>
      <c r="Q77" s="207">
        <f>SUMIFS('март 2023'!$G$4:$G$582,'март 2023'!$D$4:$D$582,$B77,'март 2023'!$J$4:$J$582,Q$1)</f>
        <v>0</v>
      </c>
      <c r="R77" s="207">
        <f>SUMIFS('март 2023'!$G$4:$G$582,'март 2023'!$D$4:$D$582,$B77,'март 2023'!$J$4:$J$582,R$1)</f>
        <v>0</v>
      </c>
      <c r="S77" s="207">
        <f>SUMIFS('март 2023'!$G$4:$G$582,'март 2023'!$D$4:$D$582,$B77,'март 2023'!$J$4:$J$582,S$1)</f>
        <v>0</v>
      </c>
      <c r="T77" s="207">
        <f>SUMIFS('март 2023'!$G$4:$G$582,'март 2023'!$D$4:$D$582,$B77,'март 2023'!$J$4:$J$582,T$1)</f>
        <v>0</v>
      </c>
      <c r="U77" s="207">
        <f>SUMIFS('март 2023'!$G$4:$G$582,'март 2023'!$D$4:$D$582,$B77,'март 2023'!$J$4:$J$582,U$1)</f>
        <v>0</v>
      </c>
      <c r="V77" s="207">
        <f>SUMIFS('март 2023'!$G$4:$G$582,'март 2023'!$D$4:$D$582,$B77,'март 2023'!$J$4:$J$582,V$1)</f>
        <v>0</v>
      </c>
      <c r="W77" s="207">
        <f>SUMIFS('март 2023'!$G$4:$G$582,'март 2023'!$D$4:$D$582,$B77,'март 2023'!$J$4:$J$582,W$1)</f>
        <v>0</v>
      </c>
      <c r="X77" s="207">
        <f>SUMIFS('март 2023'!$G$4:$G$582,'март 2023'!$D$4:$D$582,$B77,'март 2023'!$J$4:$J$582,X$1)</f>
        <v>0</v>
      </c>
      <c r="Y77" s="207">
        <f>SUMIFS('март 2023'!$G$4:$G$582,'март 2023'!$D$4:$D$582,$B77,'март 2023'!$J$4:$J$582,Y$1)</f>
        <v>0</v>
      </c>
      <c r="Z77" s="207">
        <f>SUMIFS('март 2023'!$G$4:$G$582,'март 2023'!$D$4:$D$582,$B77,'март 2023'!$J$4:$J$582,Z$1)</f>
        <v>0</v>
      </c>
      <c r="AA77" s="207">
        <f>SUMIFS('март 2023'!$G$4:$G$582,'март 2023'!$D$4:$D$582,$B77,'март 2023'!$J$4:$J$582,AA$1)</f>
        <v>0</v>
      </c>
      <c r="AB77" s="207">
        <f>SUMIFS('март 2023'!$G$4:$G$582,'март 2023'!$D$4:$D$582,$B77,'март 2023'!$J$4:$J$582,AB$1)</f>
        <v>0</v>
      </c>
      <c r="AC77" s="207">
        <f>SUMIFS('март 2023'!$G$4:$G$582,'март 2023'!$D$4:$D$582,$B77,'март 2023'!$J$4:$J$582,AC$1)</f>
        <v>0</v>
      </c>
      <c r="AD77" s="207">
        <f>SUMIFS('март 2023'!$G$4:$G$582,'март 2023'!$D$4:$D$582,$B77,'март 2023'!$J$4:$J$582,AD$1)</f>
        <v>0</v>
      </c>
      <c r="AE77" s="207">
        <f>SUMIFS('март 2023'!$G$4:$G$582,'март 2023'!$D$4:$D$582,$B77,'март 2023'!$J$4:$J$582,AE$1)</f>
        <v>0</v>
      </c>
      <c r="AF77" s="207">
        <f>SUMIFS('март 2023'!$G$4:$G$582,'март 2023'!$D$4:$D$582,$B77,'март 2023'!$J$4:$J$582,AF$1)</f>
        <v>0</v>
      </c>
      <c r="AG77" s="207">
        <f>SUMIFS('март 2023'!$G$4:$G$582,'март 2023'!$D$4:$D$582,$B77,'март 2023'!$J$4:$J$582,AG$1)</f>
        <v>0</v>
      </c>
      <c r="AH77" s="207">
        <f>SUMIFS('март 2023'!$G$4:$G$582,'март 2023'!$D$4:$D$582,$B77,'март 2023'!$J$4:$J$582,AH$1)</f>
        <v>36</v>
      </c>
      <c r="AI77" s="170">
        <f t="shared" si="2"/>
        <v>44</v>
      </c>
    </row>
    <row r="78" spans="2:35" ht="15" customHeight="1" x14ac:dyDescent="0.25">
      <c r="B78" s="212" t="s">
        <v>2193</v>
      </c>
      <c r="C78" s="211">
        <v>190</v>
      </c>
      <c r="D78" s="207">
        <f>SUMIFS('март 2023'!$G$4:$G$582,'март 2023'!$D$4:$D$582,$B78,'март 2023'!$J$4:$J$582,D$1)</f>
        <v>0</v>
      </c>
      <c r="E78" s="207">
        <f>SUMIFS('март 2023'!$G$4:$G$582,'март 2023'!$D$4:$D$582,$B78,'март 2023'!$J$4:$J$582,E$1)</f>
        <v>0</v>
      </c>
      <c r="F78" s="207">
        <f>SUMIFS('март 2023'!$G$4:$G$582,'март 2023'!$D$4:$D$582,$B78,'март 2023'!$J$4:$J$582,F$1)</f>
        <v>0</v>
      </c>
      <c r="G78" s="207">
        <f>SUMIFS('март 2023'!$G$4:$G$582,'март 2023'!$D$4:$D$582,$B78,'март 2023'!$J$4:$J$582,G$1)</f>
        <v>0</v>
      </c>
      <c r="H78" s="207">
        <f>SUMIFS('март 2023'!$G$4:$G$582,'март 2023'!$D$4:$D$582,$B78,'март 2023'!$J$4:$J$582,H$1)</f>
        <v>0</v>
      </c>
      <c r="I78" s="207">
        <f>SUMIFS('март 2023'!$G$4:$G$582,'март 2023'!$D$4:$D$582,$B78,'март 2023'!$J$4:$J$582,I$1)</f>
        <v>0</v>
      </c>
      <c r="J78" s="207">
        <f>SUMIFS('март 2023'!$G$4:$G$582,'март 2023'!$D$4:$D$582,$B78,'март 2023'!$J$4:$J$582,J$1)</f>
        <v>0</v>
      </c>
      <c r="K78" s="207">
        <f>SUMIFS('март 2023'!$G$4:$G$582,'март 2023'!$D$4:$D$582,$B78,'март 2023'!$J$4:$J$582,K$1)</f>
        <v>0</v>
      </c>
      <c r="L78" s="207">
        <f>SUMIFS('март 2023'!$G$4:$G$582,'март 2023'!$D$4:$D$582,$B78,'март 2023'!$J$4:$J$582,L$1)</f>
        <v>0</v>
      </c>
      <c r="M78" s="207">
        <f>SUMIFS('март 2023'!$G$4:$G$582,'март 2023'!$D$4:$D$582,$B78,'март 2023'!$J$4:$J$582,M$1)</f>
        <v>0</v>
      </c>
      <c r="N78" s="207">
        <f>SUMIFS('март 2023'!$G$4:$G$582,'март 2023'!$D$4:$D$582,$B78,'март 2023'!$J$4:$J$582,N$1)</f>
        <v>0</v>
      </c>
      <c r="O78" s="207">
        <f>SUMIFS('март 2023'!$G$4:$G$582,'март 2023'!$D$4:$D$582,$B78,'март 2023'!$J$4:$J$582,O$1)</f>
        <v>0</v>
      </c>
      <c r="P78" s="207">
        <f>SUMIFS('март 2023'!$G$4:$G$582,'март 2023'!$D$4:$D$582,$B78,'март 2023'!$J$4:$J$582,P$1)</f>
        <v>0</v>
      </c>
      <c r="Q78" s="207">
        <f>SUMIFS('март 2023'!$G$4:$G$582,'март 2023'!$D$4:$D$582,$B78,'март 2023'!$J$4:$J$582,Q$1)</f>
        <v>0</v>
      </c>
      <c r="R78" s="207">
        <f>SUMIFS('март 2023'!$G$4:$G$582,'март 2023'!$D$4:$D$582,$B78,'март 2023'!$J$4:$J$582,R$1)</f>
        <v>0</v>
      </c>
      <c r="S78" s="207">
        <f>SUMIFS('март 2023'!$G$4:$G$582,'март 2023'!$D$4:$D$582,$B78,'март 2023'!$J$4:$J$582,S$1)</f>
        <v>0</v>
      </c>
      <c r="T78" s="207">
        <f>SUMIFS('март 2023'!$G$4:$G$582,'март 2023'!$D$4:$D$582,$B78,'март 2023'!$J$4:$J$582,T$1)</f>
        <v>0</v>
      </c>
      <c r="U78" s="207">
        <f>SUMIFS('март 2023'!$G$4:$G$582,'март 2023'!$D$4:$D$582,$B78,'март 2023'!$J$4:$J$582,U$1)</f>
        <v>0</v>
      </c>
      <c r="V78" s="207">
        <f>SUMIFS('март 2023'!$G$4:$G$582,'март 2023'!$D$4:$D$582,$B78,'март 2023'!$J$4:$J$582,V$1)</f>
        <v>0</v>
      </c>
      <c r="W78" s="207">
        <f>SUMIFS('март 2023'!$G$4:$G$582,'март 2023'!$D$4:$D$582,$B78,'март 2023'!$J$4:$J$582,W$1)</f>
        <v>0</v>
      </c>
      <c r="X78" s="207">
        <f>SUMIFS('март 2023'!$G$4:$G$582,'март 2023'!$D$4:$D$582,$B78,'март 2023'!$J$4:$J$582,X$1)</f>
        <v>0</v>
      </c>
      <c r="Y78" s="207">
        <f>SUMIFS('март 2023'!$G$4:$G$582,'март 2023'!$D$4:$D$582,$B78,'март 2023'!$J$4:$J$582,Y$1)</f>
        <v>0</v>
      </c>
      <c r="Z78" s="207">
        <f>SUMIFS('март 2023'!$G$4:$G$582,'март 2023'!$D$4:$D$582,$B78,'март 2023'!$J$4:$J$582,Z$1)</f>
        <v>0</v>
      </c>
      <c r="AA78" s="207">
        <f>SUMIFS('март 2023'!$G$4:$G$582,'март 2023'!$D$4:$D$582,$B78,'март 2023'!$J$4:$J$582,AA$1)</f>
        <v>0</v>
      </c>
      <c r="AB78" s="207">
        <f>SUMIFS('март 2023'!$G$4:$G$582,'март 2023'!$D$4:$D$582,$B78,'март 2023'!$J$4:$J$582,AB$1)</f>
        <v>0</v>
      </c>
      <c r="AC78" s="207">
        <f>SUMIFS('март 2023'!$G$4:$G$582,'март 2023'!$D$4:$D$582,$B78,'март 2023'!$J$4:$J$582,AC$1)</f>
        <v>0</v>
      </c>
      <c r="AD78" s="207">
        <f>SUMIFS('март 2023'!$G$4:$G$582,'март 2023'!$D$4:$D$582,$B78,'март 2023'!$J$4:$J$582,AD$1)</f>
        <v>0</v>
      </c>
      <c r="AE78" s="207">
        <f>SUMIFS('март 2023'!$G$4:$G$582,'март 2023'!$D$4:$D$582,$B78,'март 2023'!$J$4:$J$582,AE$1)</f>
        <v>0</v>
      </c>
      <c r="AF78" s="207">
        <f>SUMIFS('март 2023'!$G$4:$G$582,'март 2023'!$D$4:$D$582,$B78,'март 2023'!$J$4:$J$582,AF$1)</f>
        <v>0</v>
      </c>
      <c r="AG78" s="207">
        <f>SUMIFS('март 2023'!$G$4:$G$582,'март 2023'!$D$4:$D$582,$B78,'март 2023'!$J$4:$J$582,AG$1)</f>
        <v>0</v>
      </c>
      <c r="AH78" s="207">
        <f>SUMIFS('март 2023'!$G$4:$G$582,'март 2023'!$D$4:$D$582,$B78,'март 2023'!$J$4:$J$582,AH$1)</f>
        <v>0</v>
      </c>
      <c r="AI78" s="170">
        <f t="shared" si="2"/>
        <v>0</v>
      </c>
    </row>
    <row r="79" spans="2:35" ht="15" customHeight="1" x14ac:dyDescent="0.25">
      <c r="B79" s="212" t="s">
        <v>2180</v>
      </c>
      <c r="C79" s="211">
        <v>180</v>
      </c>
      <c r="D79" s="207">
        <f>SUMIFS('март 2023'!$G$4:$G$582,'март 2023'!$D$4:$D$582,$B79,'март 2023'!$J$4:$J$582,D$1)</f>
        <v>0</v>
      </c>
      <c r="E79" s="207">
        <f>SUMIFS('март 2023'!$G$4:$G$582,'март 2023'!$D$4:$D$582,$B79,'март 2023'!$J$4:$J$582,E$1)</f>
        <v>0</v>
      </c>
      <c r="F79" s="207">
        <f>SUMIFS('март 2023'!$G$4:$G$582,'март 2023'!$D$4:$D$582,$B79,'март 2023'!$J$4:$J$582,F$1)</f>
        <v>0</v>
      </c>
      <c r="G79" s="207">
        <f>SUMIFS('март 2023'!$G$4:$G$582,'март 2023'!$D$4:$D$582,$B79,'март 2023'!$J$4:$J$582,G$1)</f>
        <v>0</v>
      </c>
      <c r="H79" s="207">
        <f>SUMIFS('март 2023'!$G$4:$G$582,'март 2023'!$D$4:$D$582,$B79,'март 2023'!$J$4:$J$582,H$1)</f>
        <v>0</v>
      </c>
      <c r="I79" s="207">
        <f>SUMIFS('март 2023'!$G$4:$G$582,'март 2023'!$D$4:$D$582,$B79,'март 2023'!$J$4:$J$582,I$1)</f>
        <v>0</v>
      </c>
      <c r="J79" s="207">
        <f>SUMIFS('март 2023'!$G$4:$G$582,'март 2023'!$D$4:$D$582,$B79,'март 2023'!$J$4:$J$582,J$1)</f>
        <v>0</v>
      </c>
      <c r="K79" s="207">
        <f>SUMIFS('март 2023'!$G$4:$G$582,'март 2023'!$D$4:$D$582,$B79,'март 2023'!$J$4:$J$582,K$1)</f>
        <v>0</v>
      </c>
      <c r="L79" s="207">
        <f>SUMIFS('март 2023'!$G$4:$G$582,'март 2023'!$D$4:$D$582,$B79,'март 2023'!$J$4:$J$582,L$1)</f>
        <v>0</v>
      </c>
      <c r="M79" s="207">
        <f>SUMIFS('март 2023'!$G$4:$G$582,'март 2023'!$D$4:$D$582,$B79,'март 2023'!$J$4:$J$582,M$1)</f>
        <v>0</v>
      </c>
      <c r="N79" s="207">
        <f>SUMIFS('март 2023'!$G$4:$G$582,'март 2023'!$D$4:$D$582,$B79,'март 2023'!$J$4:$J$582,N$1)</f>
        <v>0</v>
      </c>
      <c r="O79" s="207">
        <f>SUMIFS('март 2023'!$G$4:$G$582,'март 2023'!$D$4:$D$582,$B79,'март 2023'!$J$4:$J$582,O$1)</f>
        <v>0</v>
      </c>
      <c r="P79" s="207">
        <f>SUMIFS('март 2023'!$G$4:$G$582,'март 2023'!$D$4:$D$582,$B79,'март 2023'!$J$4:$J$582,P$1)</f>
        <v>0</v>
      </c>
      <c r="Q79" s="207">
        <f>SUMIFS('март 2023'!$G$4:$G$582,'март 2023'!$D$4:$D$582,$B79,'март 2023'!$J$4:$J$582,Q$1)</f>
        <v>0</v>
      </c>
      <c r="R79" s="207">
        <f>SUMIFS('март 2023'!$G$4:$G$582,'март 2023'!$D$4:$D$582,$B79,'март 2023'!$J$4:$J$582,R$1)</f>
        <v>0</v>
      </c>
      <c r="S79" s="207">
        <f>SUMIFS('март 2023'!$G$4:$G$582,'март 2023'!$D$4:$D$582,$B79,'март 2023'!$J$4:$J$582,S$1)</f>
        <v>0</v>
      </c>
      <c r="T79" s="207">
        <f>SUMIFS('март 2023'!$G$4:$G$582,'март 2023'!$D$4:$D$582,$B79,'март 2023'!$J$4:$J$582,T$1)</f>
        <v>0</v>
      </c>
      <c r="U79" s="207">
        <f>SUMIFS('март 2023'!$G$4:$G$582,'март 2023'!$D$4:$D$582,$B79,'март 2023'!$J$4:$J$582,U$1)</f>
        <v>0</v>
      </c>
      <c r="V79" s="207">
        <f>SUMIFS('март 2023'!$G$4:$G$582,'март 2023'!$D$4:$D$582,$B79,'март 2023'!$J$4:$J$582,V$1)</f>
        <v>0</v>
      </c>
      <c r="W79" s="207">
        <f>SUMIFS('март 2023'!$G$4:$G$582,'март 2023'!$D$4:$D$582,$B79,'март 2023'!$J$4:$J$582,W$1)</f>
        <v>0</v>
      </c>
      <c r="X79" s="207">
        <f>SUMIFS('март 2023'!$G$4:$G$582,'март 2023'!$D$4:$D$582,$B79,'март 2023'!$J$4:$J$582,X$1)</f>
        <v>0</v>
      </c>
      <c r="Y79" s="207">
        <f>SUMIFS('март 2023'!$G$4:$G$582,'март 2023'!$D$4:$D$582,$B79,'март 2023'!$J$4:$J$582,Y$1)</f>
        <v>0</v>
      </c>
      <c r="Z79" s="207">
        <f>SUMIFS('март 2023'!$G$4:$G$582,'март 2023'!$D$4:$D$582,$B79,'март 2023'!$J$4:$J$582,Z$1)</f>
        <v>0</v>
      </c>
      <c r="AA79" s="207">
        <f>SUMIFS('март 2023'!$G$4:$G$582,'март 2023'!$D$4:$D$582,$B79,'март 2023'!$J$4:$J$582,AA$1)</f>
        <v>0</v>
      </c>
      <c r="AB79" s="207">
        <f>SUMIFS('март 2023'!$G$4:$G$582,'март 2023'!$D$4:$D$582,$B79,'март 2023'!$J$4:$J$582,AB$1)</f>
        <v>0</v>
      </c>
      <c r="AC79" s="207">
        <f>SUMIFS('март 2023'!$G$4:$G$582,'март 2023'!$D$4:$D$582,$B79,'март 2023'!$J$4:$J$582,AC$1)</f>
        <v>0</v>
      </c>
      <c r="AD79" s="207">
        <f>SUMIFS('март 2023'!$G$4:$G$582,'март 2023'!$D$4:$D$582,$B79,'март 2023'!$J$4:$J$582,AD$1)</f>
        <v>0</v>
      </c>
      <c r="AE79" s="207">
        <f>SUMIFS('март 2023'!$G$4:$G$582,'март 2023'!$D$4:$D$582,$B79,'март 2023'!$J$4:$J$582,AE$1)</f>
        <v>0</v>
      </c>
      <c r="AF79" s="207">
        <f>SUMIFS('март 2023'!$G$4:$G$582,'март 2023'!$D$4:$D$582,$B79,'март 2023'!$J$4:$J$582,AF$1)</f>
        <v>0</v>
      </c>
      <c r="AG79" s="207">
        <f>SUMIFS('март 2023'!$G$4:$G$582,'март 2023'!$D$4:$D$582,$B79,'март 2023'!$J$4:$J$582,AG$1)</f>
        <v>0</v>
      </c>
      <c r="AH79" s="207">
        <f>SUMIFS('март 2023'!$G$4:$G$582,'март 2023'!$D$4:$D$582,$B79,'март 2023'!$J$4:$J$582,AH$1)</f>
        <v>0</v>
      </c>
      <c r="AI79" s="170">
        <f t="shared" si="2"/>
        <v>0</v>
      </c>
    </row>
    <row r="80" spans="2:35" ht="15" customHeight="1" x14ac:dyDescent="0.25">
      <c r="B80" s="212" t="s">
        <v>2190</v>
      </c>
      <c r="C80" s="211">
        <v>180</v>
      </c>
      <c r="D80" s="207">
        <f>SUMIFS('март 2023'!$G$4:$G$582,'март 2023'!$D$4:$D$582,$B80,'март 2023'!$J$4:$J$582,D$1)</f>
        <v>0</v>
      </c>
      <c r="E80" s="207">
        <f>SUMIFS('март 2023'!$G$4:$G$582,'март 2023'!$D$4:$D$582,$B80,'март 2023'!$J$4:$J$582,E$1)</f>
        <v>0</v>
      </c>
      <c r="F80" s="207">
        <f>SUMIFS('март 2023'!$G$4:$G$582,'март 2023'!$D$4:$D$582,$B80,'март 2023'!$J$4:$J$582,F$1)</f>
        <v>0</v>
      </c>
      <c r="G80" s="207">
        <f>SUMIFS('март 2023'!$G$4:$G$582,'март 2023'!$D$4:$D$582,$B80,'март 2023'!$J$4:$J$582,G$1)</f>
        <v>0</v>
      </c>
      <c r="H80" s="207">
        <f>SUMIFS('март 2023'!$G$4:$G$582,'март 2023'!$D$4:$D$582,$B80,'март 2023'!$J$4:$J$582,H$1)</f>
        <v>0</v>
      </c>
      <c r="I80" s="207">
        <f>SUMIFS('март 2023'!$G$4:$G$582,'март 2023'!$D$4:$D$582,$B80,'март 2023'!$J$4:$J$582,I$1)</f>
        <v>0</v>
      </c>
      <c r="J80" s="207">
        <f>SUMIFS('март 2023'!$G$4:$G$582,'март 2023'!$D$4:$D$582,$B80,'март 2023'!$J$4:$J$582,J$1)</f>
        <v>0</v>
      </c>
      <c r="K80" s="207">
        <f>SUMIFS('март 2023'!$G$4:$G$582,'март 2023'!$D$4:$D$582,$B80,'март 2023'!$J$4:$J$582,K$1)</f>
        <v>0</v>
      </c>
      <c r="L80" s="207">
        <f>SUMIFS('март 2023'!$G$4:$G$582,'март 2023'!$D$4:$D$582,$B80,'март 2023'!$J$4:$J$582,L$1)</f>
        <v>0</v>
      </c>
      <c r="M80" s="207">
        <f>SUMIFS('март 2023'!$G$4:$G$582,'март 2023'!$D$4:$D$582,$B80,'март 2023'!$J$4:$J$582,M$1)</f>
        <v>0</v>
      </c>
      <c r="N80" s="207">
        <f>SUMIFS('март 2023'!$G$4:$G$582,'март 2023'!$D$4:$D$582,$B80,'март 2023'!$J$4:$J$582,N$1)</f>
        <v>0</v>
      </c>
      <c r="O80" s="207">
        <f>SUMIFS('март 2023'!$G$4:$G$582,'март 2023'!$D$4:$D$582,$B80,'март 2023'!$J$4:$J$582,O$1)</f>
        <v>0</v>
      </c>
      <c r="P80" s="207">
        <f>SUMIFS('март 2023'!$G$4:$G$582,'март 2023'!$D$4:$D$582,$B80,'март 2023'!$J$4:$J$582,P$1)</f>
        <v>0</v>
      </c>
      <c r="Q80" s="207">
        <f>SUMIFS('март 2023'!$G$4:$G$582,'март 2023'!$D$4:$D$582,$B80,'март 2023'!$J$4:$J$582,Q$1)</f>
        <v>0</v>
      </c>
      <c r="R80" s="207">
        <f>SUMIFS('март 2023'!$G$4:$G$582,'март 2023'!$D$4:$D$582,$B80,'март 2023'!$J$4:$J$582,R$1)</f>
        <v>0</v>
      </c>
      <c r="S80" s="207">
        <f>SUMIFS('март 2023'!$G$4:$G$582,'март 2023'!$D$4:$D$582,$B80,'март 2023'!$J$4:$J$582,S$1)</f>
        <v>0</v>
      </c>
      <c r="T80" s="207">
        <f>SUMIFS('март 2023'!$G$4:$G$582,'март 2023'!$D$4:$D$582,$B80,'март 2023'!$J$4:$J$582,T$1)</f>
        <v>0</v>
      </c>
      <c r="U80" s="207">
        <f>SUMIFS('март 2023'!$G$4:$G$582,'март 2023'!$D$4:$D$582,$B80,'март 2023'!$J$4:$J$582,U$1)</f>
        <v>0</v>
      </c>
      <c r="V80" s="207">
        <f>SUMIFS('март 2023'!$G$4:$G$582,'март 2023'!$D$4:$D$582,$B80,'март 2023'!$J$4:$J$582,V$1)</f>
        <v>0</v>
      </c>
      <c r="W80" s="207">
        <f>SUMIFS('март 2023'!$G$4:$G$582,'март 2023'!$D$4:$D$582,$B80,'март 2023'!$J$4:$J$582,W$1)</f>
        <v>0</v>
      </c>
      <c r="X80" s="207">
        <f>SUMIFS('март 2023'!$G$4:$G$582,'март 2023'!$D$4:$D$582,$B80,'март 2023'!$J$4:$J$582,X$1)</f>
        <v>0</v>
      </c>
      <c r="Y80" s="207">
        <f>SUMIFS('март 2023'!$G$4:$G$582,'март 2023'!$D$4:$D$582,$B80,'март 2023'!$J$4:$J$582,Y$1)</f>
        <v>0</v>
      </c>
      <c r="Z80" s="207">
        <f>SUMIFS('март 2023'!$G$4:$G$582,'март 2023'!$D$4:$D$582,$B80,'март 2023'!$J$4:$J$582,Z$1)</f>
        <v>0</v>
      </c>
      <c r="AA80" s="207">
        <f>SUMIFS('март 2023'!$G$4:$G$582,'март 2023'!$D$4:$D$582,$B80,'март 2023'!$J$4:$J$582,AA$1)</f>
        <v>0</v>
      </c>
      <c r="AB80" s="207">
        <f>SUMIFS('март 2023'!$G$4:$G$582,'март 2023'!$D$4:$D$582,$B80,'март 2023'!$J$4:$J$582,AB$1)</f>
        <v>0</v>
      </c>
      <c r="AC80" s="207">
        <f>SUMIFS('март 2023'!$G$4:$G$582,'март 2023'!$D$4:$D$582,$B80,'март 2023'!$J$4:$J$582,AC$1)</f>
        <v>0</v>
      </c>
      <c r="AD80" s="207">
        <f>SUMIFS('март 2023'!$G$4:$G$582,'март 2023'!$D$4:$D$582,$B80,'март 2023'!$J$4:$J$582,AD$1)</f>
        <v>0</v>
      </c>
      <c r="AE80" s="207">
        <f>SUMIFS('март 2023'!$G$4:$G$582,'март 2023'!$D$4:$D$582,$B80,'март 2023'!$J$4:$J$582,AE$1)</f>
        <v>0</v>
      </c>
      <c r="AF80" s="207">
        <f>SUMIFS('март 2023'!$G$4:$G$582,'март 2023'!$D$4:$D$582,$B80,'март 2023'!$J$4:$J$582,AF$1)</f>
        <v>0</v>
      </c>
      <c r="AG80" s="207">
        <f>SUMIFS('март 2023'!$G$4:$G$582,'март 2023'!$D$4:$D$582,$B80,'март 2023'!$J$4:$J$582,AG$1)</f>
        <v>0</v>
      </c>
      <c r="AH80" s="207">
        <f>SUMIFS('март 2023'!$G$4:$G$582,'март 2023'!$D$4:$D$582,$B80,'март 2023'!$J$4:$J$582,AH$1)</f>
        <v>0</v>
      </c>
      <c r="AI80" s="170">
        <f t="shared" si="2"/>
        <v>0</v>
      </c>
    </row>
    <row r="81" spans="2:35" ht="15" customHeight="1" x14ac:dyDescent="0.25">
      <c r="B81" s="216" t="s">
        <v>371</v>
      </c>
      <c r="C81" s="213">
        <v>200</v>
      </c>
      <c r="D81" s="207">
        <f>SUMIFS('март 2023'!$G$4:$G$582,'март 2023'!$D$4:$D$582,$B81,'март 2023'!$J$4:$J$582,D$1)</f>
        <v>0</v>
      </c>
      <c r="E81" s="207">
        <f>SUMIFS('март 2023'!$G$4:$G$582,'март 2023'!$D$4:$D$582,$B81,'март 2023'!$J$4:$J$582,E$1)</f>
        <v>0</v>
      </c>
      <c r="F81" s="207">
        <f>SUMIFS('март 2023'!$G$4:$G$582,'март 2023'!$D$4:$D$582,$B81,'март 2023'!$J$4:$J$582,F$1)</f>
        <v>0</v>
      </c>
      <c r="G81" s="207">
        <f>SUMIFS('март 2023'!$G$4:$G$582,'март 2023'!$D$4:$D$582,$B81,'март 2023'!$J$4:$J$582,G$1)</f>
        <v>0</v>
      </c>
      <c r="H81" s="207">
        <f>SUMIFS('март 2023'!$G$4:$G$582,'март 2023'!$D$4:$D$582,$B81,'март 2023'!$J$4:$J$582,H$1)</f>
        <v>0</v>
      </c>
      <c r="I81" s="207">
        <f>SUMIFS('март 2023'!$G$4:$G$582,'март 2023'!$D$4:$D$582,$B81,'март 2023'!$J$4:$J$582,I$1)</f>
        <v>0</v>
      </c>
      <c r="J81" s="207">
        <f>SUMIFS('март 2023'!$G$4:$G$582,'март 2023'!$D$4:$D$582,$B81,'март 2023'!$J$4:$J$582,J$1)</f>
        <v>0</v>
      </c>
      <c r="K81" s="207">
        <f>SUMIFS('март 2023'!$G$4:$G$582,'март 2023'!$D$4:$D$582,$B81,'март 2023'!$J$4:$J$582,K$1)</f>
        <v>0</v>
      </c>
      <c r="L81" s="207">
        <f>SUMIFS('март 2023'!$G$4:$G$582,'март 2023'!$D$4:$D$582,$B81,'март 2023'!$J$4:$J$582,L$1)</f>
        <v>87</v>
      </c>
      <c r="M81" s="207">
        <f>SUMIFS('март 2023'!$G$4:$G$582,'март 2023'!$D$4:$D$582,$B81,'март 2023'!$J$4:$J$582,M$1)</f>
        <v>0</v>
      </c>
      <c r="N81" s="207">
        <f>SUMIFS('март 2023'!$G$4:$G$582,'март 2023'!$D$4:$D$582,$B81,'март 2023'!$J$4:$J$582,N$1)</f>
        <v>0</v>
      </c>
      <c r="O81" s="207">
        <f>SUMIFS('март 2023'!$G$4:$G$582,'март 2023'!$D$4:$D$582,$B81,'март 2023'!$J$4:$J$582,O$1)</f>
        <v>0</v>
      </c>
      <c r="P81" s="207">
        <f>SUMIFS('март 2023'!$G$4:$G$582,'март 2023'!$D$4:$D$582,$B81,'март 2023'!$J$4:$J$582,P$1)</f>
        <v>0</v>
      </c>
      <c r="Q81" s="207">
        <f>SUMIFS('март 2023'!$G$4:$G$582,'март 2023'!$D$4:$D$582,$B81,'март 2023'!$J$4:$J$582,Q$1)</f>
        <v>0</v>
      </c>
      <c r="R81" s="207">
        <f>SUMIFS('март 2023'!$G$4:$G$582,'март 2023'!$D$4:$D$582,$B81,'март 2023'!$J$4:$J$582,R$1)</f>
        <v>0</v>
      </c>
      <c r="S81" s="207">
        <f>SUMIFS('март 2023'!$G$4:$G$582,'март 2023'!$D$4:$D$582,$B81,'март 2023'!$J$4:$J$582,S$1)</f>
        <v>0</v>
      </c>
      <c r="T81" s="207">
        <f>SUMIFS('март 2023'!$G$4:$G$582,'март 2023'!$D$4:$D$582,$B81,'март 2023'!$J$4:$J$582,T$1)</f>
        <v>0</v>
      </c>
      <c r="U81" s="207">
        <f>SUMIFS('март 2023'!$G$4:$G$582,'март 2023'!$D$4:$D$582,$B81,'март 2023'!$J$4:$J$582,U$1)</f>
        <v>0</v>
      </c>
      <c r="V81" s="207">
        <f>SUMIFS('март 2023'!$G$4:$G$582,'март 2023'!$D$4:$D$582,$B81,'март 2023'!$J$4:$J$582,V$1)</f>
        <v>0</v>
      </c>
      <c r="W81" s="207">
        <f>SUMIFS('март 2023'!$G$4:$G$582,'март 2023'!$D$4:$D$582,$B81,'март 2023'!$J$4:$J$582,W$1)</f>
        <v>0</v>
      </c>
      <c r="X81" s="207">
        <f>SUMIFS('март 2023'!$G$4:$G$582,'март 2023'!$D$4:$D$582,$B81,'март 2023'!$J$4:$J$582,X$1)</f>
        <v>0</v>
      </c>
      <c r="Y81" s="207">
        <f>SUMIFS('март 2023'!$G$4:$G$582,'март 2023'!$D$4:$D$582,$B81,'март 2023'!$J$4:$J$582,Y$1)</f>
        <v>0</v>
      </c>
      <c r="Z81" s="207">
        <f>SUMIFS('март 2023'!$G$4:$G$582,'март 2023'!$D$4:$D$582,$B81,'март 2023'!$J$4:$J$582,Z$1)</f>
        <v>0</v>
      </c>
      <c r="AA81" s="207">
        <f>SUMIFS('март 2023'!$G$4:$G$582,'март 2023'!$D$4:$D$582,$B81,'март 2023'!$J$4:$J$582,AA$1)</f>
        <v>0</v>
      </c>
      <c r="AB81" s="207">
        <f>SUMIFS('март 2023'!$G$4:$G$582,'март 2023'!$D$4:$D$582,$B81,'март 2023'!$J$4:$J$582,AB$1)</f>
        <v>0</v>
      </c>
      <c r="AC81" s="207">
        <f>SUMIFS('март 2023'!$G$4:$G$582,'март 2023'!$D$4:$D$582,$B81,'март 2023'!$J$4:$J$582,AC$1)</f>
        <v>0</v>
      </c>
      <c r="AD81" s="207">
        <f>SUMIFS('март 2023'!$G$4:$G$582,'март 2023'!$D$4:$D$582,$B81,'март 2023'!$J$4:$J$582,AD$1)</f>
        <v>0</v>
      </c>
      <c r="AE81" s="207">
        <f>SUMIFS('март 2023'!$G$4:$G$582,'март 2023'!$D$4:$D$582,$B81,'март 2023'!$J$4:$J$582,AE$1)</f>
        <v>0</v>
      </c>
      <c r="AF81" s="207">
        <f>SUMIFS('март 2023'!$G$4:$G$582,'март 2023'!$D$4:$D$582,$B81,'март 2023'!$J$4:$J$582,AF$1)</f>
        <v>0</v>
      </c>
      <c r="AG81" s="207">
        <f>SUMIFS('март 2023'!$G$4:$G$582,'март 2023'!$D$4:$D$582,$B81,'март 2023'!$J$4:$J$582,AG$1)</f>
        <v>0</v>
      </c>
      <c r="AH81" s="207">
        <f>SUMIFS('март 2023'!$G$4:$G$582,'март 2023'!$D$4:$D$582,$B81,'март 2023'!$J$4:$J$582,AH$1)</f>
        <v>0</v>
      </c>
      <c r="AI81" s="170">
        <f t="shared" si="2"/>
        <v>87</v>
      </c>
    </row>
    <row r="82" spans="2:35" ht="15" customHeight="1" x14ac:dyDescent="0.25">
      <c r="B82" s="216" t="s">
        <v>857</v>
      </c>
      <c r="C82" s="213">
        <v>185</v>
      </c>
      <c r="D82" s="207">
        <f>SUMIFS('март 2023'!$G$4:$G$582,'март 2023'!$D$4:$D$582,$B82,'март 2023'!$J$4:$J$582,D$1)</f>
        <v>0</v>
      </c>
      <c r="E82" s="207">
        <f>SUMIFS('март 2023'!$G$4:$G$582,'март 2023'!$D$4:$D$582,$B82,'март 2023'!$J$4:$J$582,E$1)</f>
        <v>0</v>
      </c>
      <c r="F82" s="207">
        <f>SUMIFS('март 2023'!$G$4:$G$582,'март 2023'!$D$4:$D$582,$B82,'март 2023'!$J$4:$J$582,F$1)</f>
        <v>72</v>
      </c>
      <c r="G82" s="207">
        <f>SUMIFS('март 2023'!$G$4:$G$582,'март 2023'!$D$4:$D$582,$B82,'март 2023'!$J$4:$J$582,G$1)</f>
        <v>0</v>
      </c>
      <c r="H82" s="207">
        <f>SUMIFS('март 2023'!$G$4:$G$582,'март 2023'!$D$4:$D$582,$B82,'март 2023'!$J$4:$J$582,H$1)</f>
        <v>0</v>
      </c>
      <c r="I82" s="207">
        <f>SUMIFS('март 2023'!$G$4:$G$582,'март 2023'!$D$4:$D$582,$B82,'март 2023'!$J$4:$J$582,I$1)</f>
        <v>0</v>
      </c>
      <c r="J82" s="207">
        <f>SUMIFS('март 2023'!$G$4:$G$582,'март 2023'!$D$4:$D$582,$B82,'март 2023'!$J$4:$J$582,J$1)</f>
        <v>0</v>
      </c>
      <c r="K82" s="207">
        <f>SUMIFS('март 2023'!$G$4:$G$582,'март 2023'!$D$4:$D$582,$B82,'март 2023'!$J$4:$J$582,K$1)</f>
        <v>0</v>
      </c>
      <c r="L82" s="207">
        <f>SUMIFS('март 2023'!$G$4:$G$582,'март 2023'!$D$4:$D$582,$B82,'март 2023'!$J$4:$J$582,L$1)</f>
        <v>0</v>
      </c>
      <c r="M82" s="207">
        <f>SUMIFS('март 2023'!$G$4:$G$582,'март 2023'!$D$4:$D$582,$B82,'март 2023'!$J$4:$J$582,M$1)</f>
        <v>0</v>
      </c>
      <c r="N82" s="207">
        <f>SUMIFS('март 2023'!$G$4:$G$582,'март 2023'!$D$4:$D$582,$B82,'март 2023'!$J$4:$J$582,N$1)</f>
        <v>0</v>
      </c>
      <c r="O82" s="207">
        <f>SUMIFS('март 2023'!$G$4:$G$582,'март 2023'!$D$4:$D$582,$B82,'март 2023'!$J$4:$J$582,O$1)</f>
        <v>0</v>
      </c>
      <c r="P82" s="207">
        <f>SUMIFS('март 2023'!$G$4:$G$582,'март 2023'!$D$4:$D$582,$B82,'март 2023'!$J$4:$J$582,P$1)</f>
        <v>0</v>
      </c>
      <c r="Q82" s="207">
        <f>SUMIFS('март 2023'!$G$4:$G$582,'март 2023'!$D$4:$D$582,$B82,'март 2023'!$J$4:$J$582,Q$1)</f>
        <v>0</v>
      </c>
      <c r="R82" s="207">
        <f>SUMIFS('март 2023'!$G$4:$G$582,'март 2023'!$D$4:$D$582,$B82,'март 2023'!$J$4:$J$582,R$1)</f>
        <v>0</v>
      </c>
      <c r="S82" s="207">
        <f>SUMIFS('март 2023'!$G$4:$G$582,'март 2023'!$D$4:$D$582,$B82,'март 2023'!$J$4:$J$582,S$1)</f>
        <v>0</v>
      </c>
      <c r="T82" s="207">
        <f>SUMIFS('март 2023'!$G$4:$G$582,'март 2023'!$D$4:$D$582,$B82,'март 2023'!$J$4:$J$582,T$1)</f>
        <v>0</v>
      </c>
      <c r="U82" s="207">
        <f>SUMIFS('март 2023'!$G$4:$G$582,'март 2023'!$D$4:$D$582,$B82,'март 2023'!$J$4:$J$582,U$1)</f>
        <v>0</v>
      </c>
      <c r="V82" s="207">
        <f>SUMIFS('март 2023'!$G$4:$G$582,'март 2023'!$D$4:$D$582,$B82,'март 2023'!$J$4:$J$582,V$1)</f>
        <v>0</v>
      </c>
      <c r="W82" s="207">
        <f>SUMIFS('март 2023'!$G$4:$G$582,'март 2023'!$D$4:$D$582,$B82,'март 2023'!$J$4:$J$582,W$1)</f>
        <v>0</v>
      </c>
      <c r="X82" s="207">
        <f>SUMIFS('март 2023'!$G$4:$G$582,'март 2023'!$D$4:$D$582,$B82,'март 2023'!$J$4:$J$582,X$1)</f>
        <v>0</v>
      </c>
      <c r="Y82" s="207">
        <f>SUMIFS('март 2023'!$G$4:$G$582,'март 2023'!$D$4:$D$582,$B82,'март 2023'!$J$4:$J$582,Y$1)</f>
        <v>0</v>
      </c>
      <c r="Z82" s="207">
        <f>SUMIFS('март 2023'!$G$4:$G$582,'март 2023'!$D$4:$D$582,$B82,'март 2023'!$J$4:$J$582,Z$1)</f>
        <v>0</v>
      </c>
      <c r="AA82" s="207">
        <f>SUMIFS('март 2023'!$G$4:$G$582,'март 2023'!$D$4:$D$582,$B82,'март 2023'!$J$4:$J$582,AA$1)</f>
        <v>0</v>
      </c>
      <c r="AB82" s="207">
        <f>SUMIFS('март 2023'!$G$4:$G$582,'март 2023'!$D$4:$D$582,$B82,'март 2023'!$J$4:$J$582,AB$1)</f>
        <v>0</v>
      </c>
      <c r="AC82" s="207">
        <f>SUMIFS('март 2023'!$G$4:$G$582,'март 2023'!$D$4:$D$582,$B82,'март 2023'!$J$4:$J$582,AC$1)</f>
        <v>0</v>
      </c>
      <c r="AD82" s="207">
        <f>SUMIFS('март 2023'!$G$4:$G$582,'март 2023'!$D$4:$D$582,$B82,'март 2023'!$J$4:$J$582,AD$1)</f>
        <v>60</v>
      </c>
      <c r="AE82" s="207">
        <f>SUMIFS('март 2023'!$G$4:$G$582,'март 2023'!$D$4:$D$582,$B82,'март 2023'!$J$4:$J$582,AE$1)</f>
        <v>0</v>
      </c>
      <c r="AF82" s="207">
        <f>SUMIFS('март 2023'!$G$4:$G$582,'март 2023'!$D$4:$D$582,$B82,'март 2023'!$J$4:$J$582,AF$1)</f>
        <v>0</v>
      </c>
      <c r="AG82" s="207">
        <f>SUMIFS('март 2023'!$G$4:$G$582,'март 2023'!$D$4:$D$582,$B82,'март 2023'!$J$4:$J$582,AG$1)</f>
        <v>0</v>
      </c>
      <c r="AH82" s="207">
        <f>SUMIFS('март 2023'!$G$4:$G$582,'март 2023'!$D$4:$D$582,$B82,'март 2023'!$J$4:$J$582,AH$1)</f>
        <v>0</v>
      </c>
      <c r="AI82" s="170">
        <f t="shared" si="2"/>
        <v>132</v>
      </c>
    </row>
    <row r="83" spans="2:35" ht="15" customHeight="1" x14ac:dyDescent="0.25">
      <c r="B83" s="216" t="s">
        <v>561</v>
      </c>
      <c r="C83" s="213">
        <v>200</v>
      </c>
      <c r="D83" s="207">
        <f>SUMIFS('март 2023'!$G$4:$G$582,'март 2023'!$D$4:$D$582,$B83,'март 2023'!$J$4:$J$582,D$1)</f>
        <v>0</v>
      </c>
      <c r="E83" s="207">
        <f>SUMIFS('март 2023'!$G$4:$G$582,'март 2023'!$D$4:$D$582,$B83,'март 2023'!$J$4:$J$582,E$1)</f>
        <v>0</v>
      </c>
      <c r="F83" s="207">
        <f>SUMIFS('март 2023'!$G$4:$G$582,'март 2023'!$D$4:$D$582,$B83,'март 2023'!$J$4:$J$582,F$1)</f>
        <v>0</v>
      </c>
      <c r="G83" s="207">
        <f>SUMIFS('март 2023'!$G$4:$G$582,'март 2023'!$D$4:$D$582,$B83,'март 2023'!$J$4:$J$582,G$1)</f>
        <v>0</v>
      </c>
      <c r="H83" s="207">
        <f>SUMIFS('март 2023'!$G$4:$G$582,'март 2023'!$D$4:$D$582,$B83,'март 2023'!$J$4:$J$582,H$1)</f>
        <v>0</v>
      </c>
      <c r="I83" s="207">
        <f>SUMIFS('март 2023'!$G$4:$G$582,'март 2023'!$D$4:$D$582,$B83,'март 2023'!$J$4:$J$582,I$1)</f>
        <v>0</v>
      </c>
      <c r="J83" s="207">
        <f>SUMIFS('март 2023'!$G$4:$G$582,'март 2023'!$D$4:$D$582,$B83,'март 2023'!$J$4:$J$582,J$1)</f>
        <v>0</v>
      </c>
      <c r="K83" s="207">
        <f>SUMIFS('март 2023'!$G$4:$G$582,'март 2023'!$D$4:$D$582,$B83,'март 2023'!$J$4:$J$582,K$1)</f>
        <v>0</v>
      </c>
      <c r="L83" s="207">
        <f>SUMIFS('март 2023'!$G$4:$G$582,'март 2023'!$D$4:$D$582,$B83,'март 2023'!$J$4:$J$582,L$1)</f>
        <v>0</v>
      </c>
      <c r="M83" s="207">
        <f>SUMIFS('март 2023'!$G$4:$G$582,'март 2023'!$D$4:$D$582,$B83,'март 2023'!$J$4:$J$582,M$1)</f>
        <v>70</v>
      </c>
      <c r="N83" s="207">
        <f>SUMIFS('март 2023'!$G$4:$G$582,'март 2023'!$D$4:$D$582,$B83,'март 2023'!$J$4:$J$582,N$1)</f>
        <v>0</v>
      </c>
      <c r="O83" s="207">
        <f>SUMIFS('март 2023'!$G$4:$G$582,'март 2023'!$D$4:$D$582,$B83,'март 2023'!$J$4:$J$582,O$1)</f>
        <v>0</v>
      </c>
      <c r="P83" s="207">
        <f>SUMIFS('март 2023'!$G$4:$G$582,'март 2023'!$D$4:$D$582,$B83,'март 2023'!$J$4:$J$582,P$1)</f>
        <v>0</v>
      </c>
      <c r="Q83" s="207">
        <f>SUMIFS('март 2023'!$G$4:$G$582,'март 2023'!$D$4:$D$582,$B83,'март 2023'!$J$4:$J$582,Q$1)</f>
        <v>0</v>
      </c>
      <c r="R83" s="207">
        <f>SUMIFS('март 2023'!$G$4:$G$582,'март 2023'!$D$4:$D$582,$B83,'март 2023'!$J$4:$J$582,R$1)</f>
        <v>0</v>
      </c>
      <c r="S83" s="207">
        <f>SUMIFS('март 2023'!$G$4:$G$582,'март 2023'!$D$4:$D$582,$B83,'март 2023'!$J$4:$J$582,S$1)</f>
        <v>0</v>
      </c>
      <c r="T83" s="207">
        <f>SUMIFS('март 2023'!$G$4:$G$582,'март 2023'!$D$4:$D$582,$B83,'март 2023'!$J$4:$J$582,T$1)</f>
        <v>0</v>
      </c>
      <c r="U83" s="207">
        <f>SUMIFS('март 2023'!$G$4:$G$582,'март 2023'!$D$4:$D$582,$B83,'март 2023'!$J$4:$J$582,U$1)</f>
        <v>0</v>
      </c>
      <c r="V83" s="207">
        <f>SUMIFS('март 2023'!$G$4:$G$582,'март 2023'!$D$4:$D$582,$B83,'март 2023'!$J$4:$J$582,V$1)</f>
        <v>0</v>
      </c>
      <c r="W83" s="207">
        <f>SUMIFS('март 2023'!$G$4:$G$582,'март 2023'!$D$4:$D$582,$B83,'март 2023'!$J$4:$J$582,W$1)</f>
        <v>0</v>
      </c>
      <c r="X83" s="207">
        <f>SUMIFS('март 2023'!$G$4:$G$582,'март 2023'!$D$4:$D$582,$B83,'март 2023'!$J$4:$J$582,X$1)</f>
        <v>0</v>
      </c>
      <c r="Y83" s="207">
        <f>SUMIFS('март 2023'!$G$4:$G$582,'март 2023'!$D$4:$D$582,$B83,'март 2023'!$J$4:$J$582,Y$1)</f>
        <v>0</v>
      </c>
      <c r="Z83" s="207">
        <f>SUMIFS('март 2023'!$G$4:$G$582,'март 2023'!$D$4:$D$582,$B83,'март 2023'!$J$4:$J$582,Z$1)</f>
        <v>0</v>
      </c>
      <c r="AA83" s="207">
        <f>SUMIFS('март 2023'!$G$4:$G$582,'март 2023'!$D$4:$D$582,$B83,'март 2023'!$J$4:$J$582,AA$1)</f>
        <v>0</v>
      </c>
      <c r="AB83" s="207">
        <f>SUMIFS('март 2023'!$G$4:$G$582,'март 2023'!$D$4:$D$582,$B83,'март 2023'!$J$4:$J$582,AB$1)</f>
        <v>0</v>
      </c>
      <c r="AC83" s="207">
        <f>SUMIFS('март 2023'!$G$4:$G$582,'март 2023'!$D$4:$D$582,$B83,'март 2023'!$J$4:$J$582,AC$1)</f>
        <v>0</v>
      </c>
      <c r="AD83" s="207">
        <f>SUMIFS('март 2023'!$G$4:$G$582,'март 2023'!$D$4:$D$582,$B83,'март 2023'!$J$4:$J$582,AD$1)</f>
        <v>0</v>
      </c>
      <c r="AE83" s="207">
        <f>SUMIFS('март 2023'!$G$4:$G$582,'март 2023'!$D$4:$D$582,$B83,'март 2023'!$J$4:$J$582,AE$1)</f>
        <v>0</v>
      </c>
      <c r="AF83" s="207">
        <f>SUMIFS('март 2023'!$G$4:$G$582,'март 2023'!$D$4:$D$582,$B83,'март 2023'!$J$4:$J$582,AF$1)</f>
        <v>0</v>
      </c>
      <c r="AG83" s="207">
        <f>SUMIFS('март 2023'!$G$4:$G$582,'март 2023'!$D$4:$D$582,$B83,'март 2023'!$J$4:$J$582,AG$1)</f>
        <v>0</v>
      </c>
      <c r="AH83" s="207">
        <f>SUMIFS('март 2023'!$G$4:$G$582,'март 2023'!$D$4:$D$582,$B83,'март 2023'!$J$4:$J$582,AH$1)</f>
        <v>0</v>
      </c>
      <c r="AI83" s="170">
        <f t="shared" si="2"/>
        <v>70</v>
      </c>
    </row>
    <row r="84" spans="2:35" ht="15" customHeight="1" x14ac:dyDescent="0.25">
      <c r="B84" s="216" t="s">
        <v>1470</v>
      </c>
      <c r="C84" s="213">
        <v>180</v>
      </c>
      <c r="D84" s="207">
        <f>SUMIFS('март 2023'!$G$4:$G$582,'март 2023'!$D$4:$D$582,$B84,'март 2023'!$J$4:$J$582,D$1)</f>
        <v>0</v>
      </c>
      <c r="E84" s="207">
        <f>SUMIFS('март 2023'!$G$4:$G$582,'март 2023'!$D$4:$D$582,$B84,'март 2023'!$J$4:$J$582,E$1)</f>
        <v>0</v>
      </c>
      <c r="F84" s="207">
        <f>SUMIFS('март 2023'!$G$4:$G$582,'март 2023'!$D$4:$D$582,$B84,'март 2023'!$J$4:$J$582,F$1)</f>
        <v>0</v>
      </c>
      <c r="G84" s="207">
        <f>SUMIFS('март 2023'!$G$4:$G$582,'март 2023'!$D$4:$D$582,$B84,'март 2023'!$J$4:$J$582,G$1)</f>
        <v>0</v>
      </c>
      <c r="H84" s="207">
        <f>SUMIFS('март 2023'!$G$4:$G$582,'март 2023'!$D$4:$D$582,$B84,'март 2023'!$J$4:$J$582,H$1)</f>
        <v>0</v>
      </c>
      <c r="I84" s="207">
        <f>SUMIFS('март 2023'!$G$4:$G$582,'март 2023'!$D$4:$D$582,$B84,'март 2023'!$J$4:$J$582,I$1)</f>
        <v>0</v>
      </c>
      <c r="J84" s="207">
        <f>SUMIFS('март 2023'!$G$4:$G$582,'март 2023'!$D$4:$D$582,$B84,'март 2023'!$J$4:$J$582,J$1)</f>
        <v>0</v>
      </c>
      <c r="K84" s="207">
        <f>SUMIFS('март 2023'!$G$4:$G$582,'март 2023'!$D$4:$D$582,$B84,'март 2023'!$J$4:$J$582,K$1)</f>
        <v>0</v>
      </c>
      <c r="L84" s="207">
        <f>SUMIFS('март 2023'!$G$4:$G$582,'март 2023'!$D$4:$D$582,$B84,'март 2023'!$J$4:$J$582,L$1)</f>
        <v>0</v>
      </c>
      <c r="M84" s="207">
        <f>SUMIFS('март 2023'!$G$4:$G$582,'март 2023'!$D$4:$D$582,$B84,'март 2023'!$J$4:$J$582,M$1)</f>
        <v>0</v>
      </c>
      <c r="N84" s="207">
        <f>SUMIFS('март 2023'!$G$4:$G$582,'март 2023'!$D$4:$D$582,$B84,'март 2023'!$J$4:$J$582,N$1)</f>
        <v>0</v>
      </c>
      <c r="O84" s="207">
        <f>SUMIFS('март 2023'!$G$4:$G$582,'март 2023'!$D$4:$D$582,$B84,'март 2023'!$J$4:$J$582,O$1)</f>
        <v>0</v>
      </c>
      <c r="P84" s="207">
        <f>SUMIFS('март 2023'!$G$4:$G$582,'март 2023'!$D$4:$D$582,$B84,'март 2023'!$J$4:$J$582,P$1)</f>
        <v>0</v>
      </c>
      <c r="Q84" s="207">
        <f>SUMIFS('март 2023'!$G$4:$G$582,'март 2023'!$D$4:$D$582,$B84,'март 2023'!$J$4:$J$582,Q$1)</f>
        <v>0</v>
      </c>
      <c r="R84" s="207">
        <f>SUMIFS('март 2023'!$G$4:$G$582,'март 2023'!$D$4:$D$582,$B84,'март 2023'!$J$4:$J$582,R$1)</f>
        <v>0</v>
      </c>
      <c r="S84" s="207">
        <f>SUMIFS('март 2023'!$G$4:$G$582,'март 2023'!$D$4:$D$582,$B84,'март 2023'!$J$4:$J$582,S$1)</f>
        <v>0</v>
      </c>
      <c r="T84" s="207">
        <f>SUMIFS('март 2023'!$G$4:$G$582,'март 2023'!$D$4:$D$582,$B84,'март 2023'!$J$4:$J$582,T$1)</f>
        <v>0</v>
      </c>
      <c r="U84" s="207">
        <f>SUMIFS('март 2023'!$G$4:$G$582,'март 2023'!$D$4:$D$582,$B84,'март 2023'!$J$4:$J$582,U$1)</f>
        <v>0</v>
      </c>
      <c r="V84" s="207">
        <f>SUMIFS('март 2023'!$G$4:$G$582,'март 2023'!$D$4:$D$582,$B84,'март 2023'!$J$4:$J$582,V$1)</f>
        <v>0</v>
      </c>
      <c r="W84" s="207">
        <f>SUMIFS('март 2023'!$G$4:$G$582,'март 2023'!$D$4:$D$582,$B84,'март 2023'!$J$4:$J$582,W$1)</f>
        <v>0</v>
      </c>
      <c r="X84" s="207">
        <f>SUMIFS('март 2023'!$G$4:$G$582,'март 2023'!$D$4:$D$582,$B84,'март 2023'!$J$4:$J$582,X$1)</f>
        <v>0</v>
      </c>
      <c r="Y84" s="207">
        <f>SUMIFS('март 2023'!$G$4:$G$582,'март 2023'!$D$4:$D$582,$B84,'март 2023'!$J$4:$J$582,Y$1)</f>
        <v>0</v>
      </c>
      <c r="Z84" s="207">
        <f>SUMIFS('март 2023'!$G$4:$G$582,'март 2023'!$D$4:$D$582,$B84,'март 2023'!$J$4:$J$582,Z$1)</f>
        <v>0</v>
      </c>
      <c r="AA84" s="207">
        <f>SUMIFS('март 2023'!$G$4:$G$582,'март 2023'!$D$4:$D$582,$B84,'март 2023'!$J$4:$J$582,AA$1)</f>
        <v>0</v>
      </c>
      <c r="AB84" s="207">
        <f>SUMIFS('март 2023'!$G$4:$G$582,'март 2023'!$D$4:$D$582,$B84,'март 2023'!$J$4:$J$582,AB$1)</f>
        <v>0</v>
      </c>
      <c r="AC84" s="207">
        <f>SUMIFS('март 2023'!$G$4:$G$582,'март 2023'!$D$4:$D$582,$B84,'март 2023'!$J$4:$J$582,AC$1)</f>
        <v>0</v>
      </c>
      <c r="AD84" s="207">
        <f>SUMIFS('март 2023'!$G$4:$G$582,'март 2023'!$D$4:$D$582,$B84,'март 2023'!$J$4:$J$582,AD$1)</f>
        <v>0</v>
      </c>
      <c r="AE84" s="207">
        <f>SUMIFS('март 2023'!$G$4:$G$582,'март 2023'!$D$4:$D$582,$B84,'март 2023'!$J$4:$J$582,AE$1)</f>
        <v>0</v>
      </c>
      <c r="AF84" s="207">
        <f>SUMIFS('март 2023'!$G$4:$G$582,'март 2023'!$D$4:$D$582,$B84,'март 2023'!$J$4:$J$582,AF$1)</f>
        <v>0</v>
      </c>
      <c r="AG84" s="207">
        <f>SUMIFS('март 2023'!$G$4:$G$582,'март 2023'!$D$4:$D$582,$B84,'март 2023'!$J$4:$J$582,AG$1)</f>
        <v>0</v>
      </c>
      <c r="AH84" s="207">
        <f>SUMIFS('март 2023'!$G$4:$G$582,'март 2023'!$D$4:$D$582,$B84,'март 2023'!$J$4:$J$582,AH$1)</f>
        <v>0</v>
      </c>
      <c r="AI84" s="170">
        <f t="shared" si="2"/>
        <v>0</v>
      </c>
    </row>
    <row r="85" spans="2:35" ht="15" customHeight="1" x14ac:dyDescent="0.25">
      <c r="B85" s="212" t="s">
        <v>1608</v>
      </c>
      <c r="C85" s="211">
        <v>950</v>
      </c>
      <c r="D85" s="207">
        <f>SUMIFS('март 2023'!$G$4:$G$582,'март 2023'!$D$4:$D$582,$B85,'март 2023'!$J$4:$J$582,D$1)</f>
        <v>0</v>
      </c>
      <c r="E85" s="207">
        <f>SUMIFS('март 2023'!$G$4:$G$582,'март 2023'!$D$4:$D$582,$B85,'март 2023'!$J$4:$J$582,E$1)</f>
        <v>10</v>
      </c>
      <c r="F85" s="207">
        <f>SUMIFS('март 2023'!$G$4:$G$582,'март 2023'!$D$4:$D$582,$B85,'март 2023'!$J$4:$J$582,F$1)</f>
        <v>0</v>
      </c>
      <c r="G85" s="207">
        <f>SUMIFS('март 2023'!$G$4:$G$582,'март 2023'!$D$4:$D$582,$B85,'март 2023'!$J$4:$J$582,G$1)</f>
        <v>0</v>
      </c>
      <c r="H85" s="207">
        <f>SUMIFS('март 2023'!$G$4:$G$582,'март 2023'!$D$4:$D$582,$B85,'март 2023'!$J$4:$J$582,H$1)</f>
        <v>0</v>
      </c>
      <c r="I85" s="207">
        <f>SUMIFS('март 2023'!$G$4:$G$582,'март 2023'!$D$4:$D$582,$B85,'март 2023'!$J$4:$J$582,I$1)</f>
        <v>0</v>
      </c>
      <c r="J85" s="207">
        <f>SUMIFS('март 2023'!$G$4:$G$582,'март 2023'!$D$4:$D$582,$B85,'март 2023'!$J$4:$J$582,J$1)</f>
        <v>0</v>
      </c>
      <c r="K85" s="207">
        <f>SUMIFS('март 2023'!$G$4:$G$582,'март 2023'!$D$4:$D$582,$B85,'март 2023'!$J$4:$J$582,K$1)</f>
        <v>0</v>
      </c>
      <c r="L85" s="207">
        <f>SUMIFS('март 2023'!$G$4:$G$582,'март 2023'!$D$4:$D$582,$B85,'март 2023'!$J$4:$J$582,L$1)</f>
        <v>0</v>
      </c>
      <c r="M85" s="207">
        <f>SUMIFS('март 2023'!$G$4:$G$582,'март 2023'!$D$4:$D$582,$B85,'март 2023'!$J$4:$J$582,M$1)</f>
        <v>0</v>
      </c>
      <c r="N85" s="207">
        <f>SUMIFS('март 2023'!$G$4:$G$582,'март 2023'!$D$4:$D$582,$B85,'март 2023'!$J$4:$J$582,N$1)</f>
        <v>0</v>
      </c>
      <c r="O85" s="207">
        <f>SUMIFS('март 2023'!$G$4:$G$582,'март 2023'!$D$4:$D$582,$B85,'март 2023'!$J$4:$J$582,O$1)</f>
        <v>0</v>
      </c>
      <c r="P85" s="207">
        <f>SUMIFS('март 2023'!$G$4:$G$582,'март 2023'!$D$4:$D$582,$B85,'март 2023'!$J$4:$J$582,P$1)</f>
        <v>0</v>
      </c>
      <c r="Q85" s="207">
        <f>SUMIFS('март 2023'!$G$4:$G$582,'март 2023'!$D$4:$D$582,$B85,'март 2023'!$J$4:$J$582,Q$1)</f>
        <v>0</v>
      </c>
      <c r="R85" s="207">
        <f>SUMIFS('март 2023'!$G$4:$G$582,'март 2023'!$D$4:$D$582,$B85,'март 2023'!$J$4:$J$582,R$1)</f>
        <v>0</v>
      </c>
      <c r="S85" s="207">
        <f>SUMIFS('март 2023'!$G$4:$G$582,'март 2023'!$D$4:$D$582,$B85,'март 2023'!$J$4:$J$582,S$1)</f>
        <v>0</v>
      </c>
      <c r="T85" s="207">
        <f>SUMIFS('март 2023'!$G$4:$G$582,'март 2023'!$D$4:$D$582,$B85,'март 2023'!$J$4:$J$582,T$1)</f>
        <v>0</v>
      </c>
      <c r="U85" s="207">
        <f>SUMIFS('март 2023'!$G$4:$G$582,'март 2023'!$D$4:$D$582,$B85,'март 2023'!$J$4:$J$582,U$1)</f>
        <v>0</v>
      </c>
      <c r="V85" s="207">
        <f>SUMIFS('март 2023'!$G$4:$G$582,'март 2023'!$D$4:$D$582,$B85,'март 2023'!$J$4:$J$582,V$1)</f>
        <v>0</v>
      </c>
      <c r="W85" s="207">
        <f>SUMIFS('март 2023'!$G$4:$G$582,'март 2023'!$D$4:$D$582,$B85,'март 2023'!$J$4:$J$582,W$1)</f>
        <v>0</v>
      </c>
      <c r="X85" s="207">
        <f>SUMIFS('март 2023'!$G$4:$G$582,'март 2023'!$D$4:$D$582,$B85,'март 2023'!$J$4:$J$582,X$1)</f>
        <v>0</v>
      </c>
      <c r="Y85" s="207">
        <f>SUMIFS('март 2023'!$G$4:$G$582,'март 2023'!$D$4:$D$582,$B85,'март 2023'!$J$4:$J$582,Y$1)</f>
        <v>0</v>
      </c>
      <c r="Z85" s="207">
        <f>SUMIFS('март 2023'!$G$4:$G$582,'март 2023'!$D$4:$D$582,$B85,'март 2023'!$J$4:$J$582,Z$1)</f>
        <v>0</v>
      </c>
      <c r="AA85" s="207">
        <f>SUMIFS('март 2023'!$G$4:$G$582,'март 2023'!$D$4:$D$582,$B85,'март 2023'!$J$4:$J$582,AA$1)</f>
        <v>0</v>
      </c>
      <c r="AB85" s="207">
        <f>SUMIFS('март 2023'!$G$4:$G$582,'март 2023'!$D$4:$D$582,$B85,'март 2023'!$J$4:$J$582,AB$1)</f>
        <v>0</v>
      </c>
      <c r="AC85" s="207">
        <f>SUMIFS('март 2023'!$G$4:$G$582,'март 2023'!$D$4:$D$582,$B85,'март 2023'!$J$4:$J$582,AC$1)</f>
        <v>0</v>
      </c>
      <c r="AD85" s="207">
        <f>SUMIFS('март 2023'!$G$4:$G$582,'март 2023'!$D$4:$D$582,$B85,'март 2023'!$J$4:$J$582,AD$1)</f>
        <v>0</v>
      </c>
      <c r="AE85" s="207">
        <f>SUMIFS('март 2023'!$G$4:$G$582,'март 2023'!$D$4:$D$582,$B85,'март 2023'!$J$4:$J$582,AE$1)</f>
        <v>0</v>
      </c>
      <c r="AF85" s="207">
        <f>SUMIFS('март 2023'!$G$4:$G$582,'март 2023'!$D$4:$D$582,$B85,'март 2023'!$J$4:$J$582,AF$1)</f>
        <v>0</v>
      </c>
      <c r="AG85" s="207">
        <f>SUMIFS('март 2023'!$G$4:$G$582,'март 2023'!$D$4:$D$582,$B85,'март 2023'!$J$4:$J$582,AG$1)</f>
        <v>0</v>
      </c>
      <c r="AH85" s="207">
        <f>SUMIFS('март 2023'!$G$4:$G$582,'март 2023'!$D$4:$D$582,$B85,'март 2023'!$J$4:$J$582,AH$1)</f>
        <v>0</v>
      </c>
      <c r="AI85" s="170">
        <f t="shared" si="2"/>
        <v>10</v>
      </c>
    </row>
    <row r="86" spans="2:35" ht="15" customHeight="1" x14ac:dyDescent="0.25">
      <c r="B86" s="216" t="s">
        <v>1755</v>
      </c>
      <c r="C86" s="213">
        <v>200</v>
      </c>
      <c r="D86" s="207">
        <f>SUMIFS('март 2023'!$G$4:$G$582,'март 2023'!$D$4:$D$582,$B86,'март 2023'!$J$4:$J$582,D$1)</f>
        <v>0</v>
      </c>
      <c r="E86" s="207">
        <f>SUMIFS('март 2023'!$G$4:$G$582,'март 2023'!$D$4:$D$582,$B86,'март 2023'!$J$4:$J$582,E$1)</f>
        <v>0</v>
      </c>
      <c r="F86" s="207">
        <f>SUMIFS('март 2023'!$G$4:$G$582,'март 2023'!$D$4:$D$582,$B86,'март 2023'!$J$4:$J$582,F$1)</f>
        <v>0</v>
      </c>
      <c r="G86" s="207">
        <f>SUMIFS('март 2023'!$G$4:$G$582,'март 2023'!$D$4:$D$582,$B86,'март 2023'!$J$4:$J$582,G$1)</f>
        <v>0</v>
      </c>
      <c r="H86" s="207">
        <f>SUMIFS('март 2023'!$G$4:$G$582,'март 2023'!$D$4:$D$582,$B86,'март 2023'!$J$4:$J$582,H$1)</f>
        <v>0</v>
      </c>
      <c r="I86" s="207">
        <f>SUMIFS('март 2023'!$G$4:$G$582,'март 2023'!$D$4:$D$582,$B86,'март 2023'!$J$4:$J$582,I$1)</f>
        <v>0</v>
      </c>
      <c r="J86" s="207">
        <f>SUMIFS('март 2023'!$G$4:$G$582,'март 2023'!$D$4:$D$582,$B86,'март 2023'!$J$4:$J$582,J$1)</f>
        <v>0</v>
      </c>
      <c r="K86" s="207">
        <f>SUMIFS('март 2023'!$G$4:$G$582,'март 2023'!$D$4:$D$582,$B86,'март 2023'!$J$4:$J$582,K$1)</f>
        <v>0</v>
      </c>
      <c r="L86" s="207">
        <f>SUMIFS('март 2023'!$G$4:$G$582,'март 2023'!$D$4:$D$582,$B86,'март 2023'!$J$4:$J$582,L$1)</f>
        <v>0</v>
      </c>
      <c r="M86" s="207">
        <f>SUMIFS('март 2023'!$G$4:$G$582,'март 2023'!$D$4:$D$582,$B86,'март 2023'!$J$4:$J$582,M$1)</f>
        <v>0</v>
      </c>
      <c r="N86" s="207">
        <f>SUMIFS('март 2023'!$G$4:$G$582,'март 2023'!$D$4:$D$582,$B86,'март 2023'!$J$4:$J$582,N$1)</f>
        <v>0</v>
      </c>
      <c r="O86" s="207">
        <f>SUMIFS('март 2023'!$G$4:$G$582,'март 2023'!$D$4:$D$582,$B86,'март 2023'!$J$4:$J$582,O$1)</f>
        <v>0</v>
      </c>
      <c r="P86" s="207">
        <f>SUMIFS('март 2023'!$G$4:$G$582,'март 2023'!$D$4:$D$582,$B86,'март 2023'!$J$4:$J$582,P$1)</f>
        <v>0</v>
      </c>
      <c r="Q86" s="207">
        <f>SUMIFS('март 2023'!$G$4:$G$582,'март 2023'!$D$4:$D$582,$B86,'март 2023'!$J$4:$J$582,Q$1)</f>
        <v>0</v>
      </c>
      <c r="R86" s="207">
        <f>SUMIFS('март 2023'!$G$4:$G$582,'март 2023'!$D$4:$D$582,$B86,'март 2023'!$J$4:$J$582,R$1)</f>
        <v>0</v>
      </c>
      <c r="S86" s="207">
        <f>SUMIFS('март 2023'!$G$4:$G$582,'март 2023'!$D$4:$D$582,$B86,'март 2023'!$J$4:$J$582,S$1)</f>
        <v>0</v>
      </c>
      <c r="T86" s="207">
        <f>SUMIFS('март 2023'!$G$4:$G$582,'март 2023'!$D$4:$D$582,$B86,'март 2023'!$J$4:$J$582,T$1)</f>
        <v>0</v>
      </c>
      <c r="U86" s="207">
        <f>SUMIFS('март 2023'!$G$4:$G$582,'март 2023'!$D$4:$D$582,$B86,'март 2023'!$J$4:$J$582,U$1)</f>
        <v>0</v>
      </c>
      <c r="V86" s="207">
        <f>SUMIFS('март 2023'!$G$4:$G$582,'март 2023'!$D$4:$D$582,$B86,'март 2023'!$J$4:$J$582,V$1)</f>
        <v>0</v>
      </c>
      <c r="W86" s="207">
        <f>SUMIFS('март 2023'!$G$4:$G$582,'март 2023'!$D$4:$D$582,$B86,'март 2023'!$J$4:$J$582,W$1)</f>
        <v>0</v>
      </c>
      <c r="X86" s="207">
        <f>SUMIFS('март 2023'!$G$4:$G$582,'март 2023'!$D$4:$D$582,$B86,'март 2023'!$J$4:$J$582,X$1)</f>
        <v>0</v>
      </c>
      <c r="Y86" s="207">
        <f>SUMIFS('март 2023'!$G$4:$G$582,'март 2023'!$D$4:$D$582,$B86,'март 2023'!$J$4:$J$582,Y$1)</f>
        <v>0</v>
      </c>
      <c r="Z86" s="207">
        <f>SUMIFS('март 2023'!$G$4:$G$582,'март 2023'!$D$4:$D$582,$B86,'март 2023'!$J$4:$J$582,Z$1)</f>
        <v>0</v>
      </c>
      <c r="AA86" s="207">
        <f>SUMIFS('март 2023'!$G$4:$G$582,'март 2023'!$D$4:$D$582,$B86,'март 2023'!$J$4:$J$582,AA$1)</f>
        <v>0</v>
      </c>
      <c r="AB86" s="207">
        <f>SUMIFS('март 2023'!$G$4:$G$582,'март 2023'!$D$4:$D$582,$B86,'март 2023'!$J$4:$J$582,AB$1)</f>
        <v>0</v>
      </c>
      <c r="AC86" s="207">
        <f>SUMIFS('март 2023'!$G$4:$G$582,'март 2023'!$D$4:$D$582,$B86,'март 2023'!$J$4:$J$582,AC$1)</f>
        <v>0</v>
      </c>
      <c r="AD86" s="207">
        <f>SUMIFS('март 2023'!$G$4:$G$582,'март 2023'!$D$4:$D$582,$B86,'март 2023'!$J$4:$J$582,AD$1)</f>
        <v>0</v>
      </c>
      <c r="AE86" s="207">
        <f>SUMIFS('март 2023'!$G$4:$G$582,'март 2023'!$D$4:$D$582,$B86,'март 2023'!$J$4:$J$582,AE$1)</f>
        <v>0</v>
      </c>
      <c r="AF86" s="207">
        <f>SUMIFS('март 2023'!$G$4:$G$582,'март 2023'!$D$4:$D$582,$B86,'март 2023'!$J$4:$J$582,AF$1)</f>
        <v>0</v>
      </c>
      <c r="AG86" s="207">
        <f>SUMIFS('март 2023'!$G$4:$G$582,'март 2023'!$D$4:$D$582,$B86,'март 2023'!$J$4:$J$582,AG$1)</f>
        <v>30</v>
      </c>
      <c r="AH86" s="207">
        <f>SUMIFS('март 2023'!$G$4:$G$582,'март 2023'!$D$4:$D$582,$B86,'март 2023'!$J$4:$J$582,AH$1)</f>
        <v>0</v>
      </c>
      <c r="AI86" s="170">
        <f t="shared" si="2"/>
        <v>30</v>
      </c>
    </row>
    <row r="87" spans="2:35" ht="15" customHeight="1" x14ac:dyDescent="0.25">
      <c r="B87" s="216" t="s">
        <v>2191</v>
      </c>
      <c r="C87" s="213">
        <v>200</v>
      </c>
      <c r="D87" s="207">
        <f>SUMIFS('март 2023'!$G$4:$G$582,'март 2023'!$D$4:$D$582,$B87,'март 2023'!$J$4:$J$582,D$1)</f>
        <v>0</v>
      </c>
      <c r="E87" s="207">
        <f>SUMIFS('март 2023'!$G$4:$G$582,'март 2023'!$D$4:$D$582,$B87,'март 2023'!$J$4:$J$582,E$1)</f>
        <v>0</v>
      </c>
      <c r="F87" s="207">
        <f>SUMIFS('март 2023'!$G$4:$G$582,'март 2023'!$D$4:$D$582,$B87,'март 2023'!$J$4:$J$582,F$1)</f>
        <v>0</v>
      </c>
      <c r="G87" s="207">
        <f>SUMIFS('март 2023'!$G$4:$G$582,'март 2023'!$D$4:$D$582,$B87,'март 2023'!$J$4:$J$582,G$1)</f>
        <v>0</v>
      </c>
      <c r="H87" s="207">
        <f>SUMIFS('март 2023'!$G$4:$G$582,'март 2023'!$D$4:$D$582,$B87,'март 2023'!$J$4:$J$582,H$1)</f>
        <v>0</v>
      </c>
      <c r="I87" s="207">
        <f>SUMIFS('март 2023'!$G$4:$G$582,'март 2023'!$D$4:$D$582,$B87,'март 2023'!$J$4:$J$582,I$1)</f>
        <v>0</v>
      </c>
      <c r="J87" s="207">
        <f>SUMIFS('март 2023'!$G$4:$G$582,'март 2023'!$D$4:$D$582,$B87,'март 2023'!$J$4:$J$582,J$1)</f>
        <v>0</v>
      </c>
      <c r="K87" s="207">
        <f>SUMIFS('март 2023'!$G$4:$G$582,'март 2023'!$D$4:$D$582,$B87,'март 2023'!$J$4:$J$582,K$1)</f>
        <v>0</v>
      </c>
      <c r="L87" s="207">
        <f>SUMIFS('март 2023'!$G$4:$G$582,'март 2023'!$D$4:$D$582,$B87,'март 2023'!$J$4:$J$582,L$1)</f>
        <v>0</v>
      </c>
      <c r="M87" s="207">
        <f>SUMIFS('март 2023'!$G$4:$G$582,'март 2023'!$D$4:$D$582,$B87,'март 2023'!$J$4:$J$582,M$1)</f>
        <v>0</v>
      </c>
      <c r="N87" s="207">
        <f>SUMIFS('март 2023'!$G$4:$G$582,'март 2023'!$D$4:$D$582,$B87,'март 2023'!$J$4:$J$582,N$1)</f>
        <v>0</v>
      </c>
      <c r="O87" s="207">
        <f>SUMIFS('март 2023'!$G$4:$G$582,'март 2023'!$D$4:$D$582,$B87,'март 2023'!$J$4:$J$582,O$1)</f>
        <v>0</v>
      </c>
      <c r="P87" s="207">
        <f>SUMIFS('март 2023'!$G$4:$G$582,'март 2023'!$D$4:$D$582,$B87,'март 2023'!$J$4:$J$582,P$1)</f>
        <v>0</v>
      </c>
      <c r="Q87" s="207">
        <f>SUMIFS('март 2023'!$G$4:$G$582,'март 2023'!$D$4:$D$582,$B87,'март 2023'!$J$4:$J$582,Q$1)</f>
        <v>0</v>
      </c>
      <c r="R87" s="207">
        <f>SUMIFS('март 2023'!$G$4:$G$582,'март 2023'!$D$4:$D$582,$B87,'март 2023'!$J$4:$J$582,R$1)</f>
        <v>0</v>
      </c>
      <c r="S87" s="207">
        <f>SUMIFS('март 2023'!$G$4:$G$582,'март 2023'!$D$4:$D$582,$B87,'март 2023'!$J$4:$J$582,S$1)</f>
        <v>0</v>
      </c>
      <c r="T87" s="207">
        <f>SUMIFS('март 2023'!$G$4:$G$582,'март 2023'!$D$4:$D$582,$B87,'март 2023'!$J$4:$J$582,T$1)</f>
        <v>0</v>
      </c>
      <c r="U87" s="207">
        <f>SUMIFS('март 2023'!$G$4:$G$582,'март 2023'!$D$4:$D$582,$B87,'март 2023'!$J$4:$J$582,U$1)</f>
        <v>0</v>
      </c>
      <c r="V87" s="207">
        <f>SUMIFS('март 2023'!$G$4:$G$582,'март 2023'!$D$4:$D$582,$B87,'март 2023'!$J$4:$J$582,V$1)</f>
        <v>0</v>
      </c>
      <c r="W87" s="207">
        <f>SUMIFS('март 2023'!$G$4:$G$582,'март 2023'!$D$4:$D$582,$B87,'март 2023'!$J$4:$J$582,W$1)</f>
        <v>0</v>
      </c>
      <c r="X87" s="207">
        <f>SUMIFS('март 2023'!$G$4:$G$582,'март 2023'!$D$4:$D$582,$B87,'март 2023'!$J$4:$J$582,X$1)</f>
        <v>0</v>
      </c>
      <c r="Y87" s="207">
        <f>SUMIFS('март 2023'!$G$4:$G$582,'март 2023'!$D$4:$D$582,$B87,'март 2023'!$J$4:$J$582,Y$1)</f>
        <v>0</v>
      </c>
      <c r="Z87" s="207">
        <f>SUMIFS('март 2023'!$G$4:$G$582,'март 2023'!$D$4:$D$582,$B87,'март 2023'!$J$4:$J$582,Z$1)</f>
        <v>0</v>
      </c>
      <c r="AA87" s="207">
        <f>SUMIFS('март 2023'!$G$4:$G$582,'март 2023'!$D$4:$D$582,$B87,'март 2023'!$J$4:$J$582,AA$1)</f>
        <v>0</v>
      </c>
      <c r="AB87" s="207">
        <f>SUMIFS('март 2023'!$G$4:$G$582,'март 2023'!$D$4:$D$582,$B87,'март 2023'!$J$4:$J$582,AB$1)</f>
        <v>0</v>
      </c>
      <c r="AC87" s="207">
        <f>SUMIFS('март 2023'!$G$4:$G$582,'март 2023'!$D$4:$D$582,$B87,'март 2023'!$J$4:$J$582,AC$1)</f>
        <v>0</v>
      </c>
      <c r="AD87" s="207">
        <f>SUMIFS('март 2023'!$G$4:$G$582,'март 2023'!$D$4:$D$582,$B87,'март 2023'!$J$4:$J$582,AD$1)</f>
        <v>0</v>
      </c>
      <c r="AE87" s="207">
        <f>SUMIFS('март 2023'!$G$4:$G$582,'март 2023'!$D$4:$D$582,$B87,'март 2023'!$J$4:$J$582,AE$1)</f>
        <v>0</v>
      </c>
      <c r="AF87" s="207">
        <f>SUMIFS('март 2023'!$G$4:$G$582,'март 2023'!$D$4:$D$582,$B87,'март 2023'!$J$4:$J$582,AF$1)</f>
        <v>0</v>
      </c>
      <c r="AG87" s="207">
        <f>SUMIFS('март 2023'!$G$4:$G$582,'март 2023'!$D$4:$D$582,$B87,'март 2023'!$J$4:$J$582,AG$1)</f>
        <v>0</v>
      </c>
      <c r="AH87" s="207">
        <f>SUMIFS('март 2023'!$G$4:$G$582,'март 2023'!$D$4:$D$582,$B87,'март 2023'!$J$4:$J$582,AH$1)</f>
        <v>0</v>
      </c>
      <c r="AI87" s="170">
        <f t="shared" si="2"/>
        <v>0</v>
      </c>
    </row>
    <row r="88" spans="2:35" ht="15" customHeight="1" x14ac:dyDescent="0.25">
      <c r="B88" s="216" t="s">
        <v>898</v>
      </c>
      <c r="C88" s="213">
        <v>200</v>
      </c>
      <c r="D88" s="207">
        <f>SUMIFS('март 2023'!$G$4:$G$582,'март 2023'!$D$4:$D$582,$B88,'март 2023'!$J$4:$J$582,D$1)</f>
        <v>0</v>
      </c>
      <c r="E88" s="207">
        <f>SUMIFS('март 2023'!$G$4:$G$582,'март 2023'!$D$4:$D$582,$B88,'март 2023'!$J$4:$J$582,E$1)</f>
        <v>0</v>
      </c>
      <c r="F88" s="207">
        <f>SUMIFS('март 2023'!$G$4:$G$582,'март 2023'!$D$4:$D$582,$B88,'март 2023'!$J$4:$J$582,F$1)</f>
        <v>0</v>
      </c>
      <c r="G88" s="207">
        <f>SUMIFS('март 2023'!$G$4:$G$582,'март 2023'!$D$4:$D$582,$B88,'март 2023'!$J$4:$J$582,G$1)</f>
        <v>0</v>
      </c>
      <c r="H88" s="207">
        <f>SUMIFS('март 2023'!$G$4:$G$582,'март 2023'!$D$4:$D$582,$B88,'март 2023'!$J$4:$J$582,H$1)</f>
        <v>0</v>
      </c>
      <c r="I88" s="207">
        <f>SUMIFS('март 2023'!$G$4:$G$582,'март 2023'!$D$4:$D$582,$B88,'март 2023'!$J$4:$J$582,I$1)</f>
        <v>0</v>
      </c>
      <c r="J88" s="207">
        <f>SUMIFS('март 2023'!$G$4:$G$582,'март 2023'!$D$4:$D$582,$B88,'март 2023'!$J$4:$J$582,J$1)</f>
        <v>0</v>
      </c>
      <c r="K88" s="207">
        <f>SUMIFS('март 2023'!$G$4:$G$582,'март 2023'!$D$4:$D$582,$B88,'март 2023'!$J$4:$J$582,K$1)</f>
        <v>0</v>
      </c>
      <c r="L88" s="207">
        <f>SUMIFS('март 2023'!$G$4:$G$582,'март 2023'!$D$4:$D$582,$B88,'март 2023'!$J$4:$J$582,L$1)</f>
        <v>0</v>
      </c>
      <c r="M88" s="207">
        <f>SUMIFS('март 2023'!$G$4:$G$582,'март 2023'!$D$4:$D$582,$B88,'март 2023'!$J$4:$J$582,M$1)</f>
        <v>88</v>
      </c>
      <c r="N88" s="207">
        <f>SUMIFS('март 2023'!$G$4:$G$582,'март 2023'!$D$4:$D$582,$B88,'март 2023'!$J$4:$J$582,N$1)</f>
        <v>0</v>
      </c>
      <c r="O88" s="207">
        <f>SUMIFS('март 2023'!$G$4:$G$582,'март 2023'!$D$4:$D$582,$B88,'март 2023'!$J$4:$J$582,O$1)</f>
        <v>0</v>
      </c>
      <c r="P88" s="207">
        <f>SUMIFS('март 2023'!$G$4:$G$582,'март 2023'!$D$4:$D$582,$B88,'март 2023'!$J$4:$J$582,P$1)</f>
        <v>0</v>
      </c>
      <c r="Q88" s="207">
        <f>SUMIFS('март 2023'!$G$4:$G$582,'март 2023'!$D$4:$D$582,$B88,'март 2023'!$J$4:$J$582,Q$1)</f>
        <v>0</v>
      </c>
      <c r="R88" s="207">
        <f>SUMIFS('март 2023'!$G$4:$G$582,'март 2023'!$D$4:$D$582,$B88,'март 2023'!$J$4:$J$582,R$1)</f>
        <v>0</v>
      </c>
      <c r="S88" s="207">
        <f>SUMIFS('март 2023'!$G$4:$G$582,'март 2023'!$D$4:$D$582,$B88,'март 2023'!$J$4:$J$582,S$1)</f>
        <v>0</v>
      </c>
      <c r="T88" s="207">
        <f>SUMIFS('март 2023'!$G$4:$G$582,'март 2023'!$D$4:$D$582,$B88,'март 2023'!$J$4:$J$582,T$1)</f>
        <v>0</v>
      </c>
      <c r="U88" s="207">
        <f>SUMIFS('март 2023'!$G$4:$G$582,'март 2023'!$D$4:$D$582,$B88,'март 2023'!$J$4:$J$582,U$1)</f>
        <v>0</v>
      </c>
      <c r="V88" s="207">
        <f>SUMIFS('март 2023'!$G$4:$G$582,'март 2023'!$D$4:$D$582,$B88,'март 2023'!$J$4:$J$582,V$1)</f>
        <v>0</v>
      </c>
      <c r="W88" s="207">
        <f>SUMIFS('март 2023'!$G$4:$G$582,'март 2023'!$D$4:$D$582,$B88,'март 2023'!$J$4:$J$582,W$1)</f>
        <v>0</v>
      </c>
      <c r="X88" s="207">
        <f>SUMIFS('март 2023'!$G$4:$G$582,'март 2023'!$D$4:$D$582,$B88,'март 2023'!$J$4:$J$582,X$1)</f>
        <v>0</v>
      </c>
      <c r="Y88" s="207">
        <f>SUMIFS('март 2023'!$G$4:$G$582,'март 2023'!$D$4:$D$582,$B88,'март 2023'!$J$4:$J$582,Y$1)</f>
        <v>0</v>
      </c>
      <c r="Z88" s="207">
        <f>SUMIFS('март 2023'!$G$4:$G$582,'март 2023'!$D$4:$D$582,$B88,'март 2023'!$J$4:$J$582,Z$1)</f>
        <v>0</v>
      </c>
      <c r="AA88" s="207">
        <f>SUMIFS('март 2023'!$G$4:$G$582,'март 2023'!$D$4:$D$582,$B88,'март 2023'!$J$4:$J$582,AA$1)</f>
        <v>88</v>
      </c>
      <c r="AB88" s="207">
        <f>SUMIFS('март 2023'!$G$4:$G$582,'март 2023'!$D$4:$D$582,$B88,'март 2023'!$J$4:$J$582,AB$1)</f>
        <v>0</v>
      </c>
      <c r="AC88" s="207">
        <f>SUMIFS('март 2023'!$G$4:$G$582,'март 2023'!$D$4:$D$582,$B88,'март 2023'!$J$4:$J$582,AC$1)</f>
        <v>0</v>
      </c>
      <c r="AD88" s="207">
        <f>SUMIFS('март 2023'!$G$4:$G$582,'март 2023'!$D$4:$D$582,$B88,'март 2023'!$J$4:$J$582,AD$1)</f>
        <v>0</v>
      </c>
      <c r="AE88" s="207">
        <f>SUMIFS('март 2023'!$G$4:$G$582,'март 2023'!$D$4:$D$582,$B88,'март 2023'!$J$4:$J$582,AE$1)</f>
        <v>0</v>
      </c>
      <c r="AF88" s="207">
        <f>SUMIFS('март 2023'!$G$4:$G$582,'март 2023'!$D$4:$D$582,$B88,'март 2023'!$J$4:$J$582,AF$1)</f>
        <v>0</v>
      </c>
      <c r="AG88" s="207">
        <f>SUMIFS('март 2023'!$G$4:$G$582,'март 2023'!$D$4:$D$582,$B88,'март 2023'!$J$4:$J$582,AG$1)</f>
        <v>0</v>
      </c>
      <c r="AH88" s="207">
        <f>SUMIFS('март 2023'!$G$4:$G$582,'март 2023'!$D$4:$D$582,$B88,'март 2023'!$J$4:$J$582,AH$1)</f>
        <v>0</v>
      </c>
      <c r="AI88" s="170">
        <f t="shared" si="2"/>
        <v>176</v>
      </c>
    </row>
    <row r="89" spans="2:35" ht="15" customHeight="1" x14ac:dyDescent="0.25">
      <c r="B89" s="216" t="s">
        <v>468</v>
      </c>
      <c r="C89" s="213">
        <v>180</v>
      </c>
      <c r="D89" s="207">
        <f>SUMIFS('март 2023'!$G$4:$G$582,'март 2023'!$D$4:$D$582,$B89,'март 2023'!$J$4:$J$582,D$1)</f>
        <v>0</v>
      </c>
      <c r="E89" s="207">
        <f>SUMIFS('март 2023'!$G$4:$G$582,'март 2023'!$D$4:$D$582,$B89,'март 2023'!$J$4:$J$582,E$1)</f>
        <v>0</v>
      </c>
      <c r="F89" s="207">
        <f>SUMIFS('март 2023'!$G$4:$G$582,'март 2023'!$D$4:$D$582,$B89,'март 2023'!$J$4:$J$582,F$1)</f>
        <v>0</v>
      </c>
      <c r="G89" s="207">
        <f>SUMIFS('март 2023'!$G$4:$G$582,'март 2023'!$D$4:$D$582,$B89,'март 2023'!$J$4:$J$582,G$1)</f>
        <v>0</v>
      </c>
      <c r="H89" s="207">
        <f>SUMIFS('март 2023'!$G$4:$G$582,'март 2023'!$D$4:$D$582,$B89,'март 2023'!$J$4:$J$582,H$1)</f>
        <v>0</v>
      </c>
      <c r="I89" s="207">
        <f>SUMIFS('март 2023'!$G$4:$G$582,'март 2023'!$D$4:$D$582,$B89,'март 2023'!$J$4:$J$582,I$1)</f>
        <v>0</v>
      </c>
      <c r="J89" s="207">
        <f>SUMIFS('март 2023'!$G$4:$G$582,'март 2023'!$D$4:$D$582,$B89,'март 2023'!$J$4:$J$582,J$1)</f>
        <v>0</v>
      </c>
      <c r="K89" s="207">
        <f>SUMIFS('март 2023'!$G$4:$G$582,'март 2023'!$D$4:$D$582,$B89,'март 2023'!$J$4:$J$582,K$1)</f>
        <v>0</v>
      </c>
      <c r="L89" s="207">
        <f>SUMIFS('март 2023'!$G$4:$G$582,'март 2023'!$D$4:$D$582,$B89,'март 2023'!$J$4:$J$582,L$1)</f>
        <v>0</v>
      </c>
      <c r="M89" s="207">
        <f>SUMIFS('март 2023'!$G$4:$G$582,'март 2023'!$D$4:$D$582,$B89,'март 2023'!$J$4:$J$582,M$1)</f>
        <v>0</v>
      </c>
      <c r="N89" s="207">
        <f>SUMIFS('март 2023'!$G$4:$G$582,'март 2023'!$D$4:$D$582,$B89,'март 2023'!$J$4:$J$582,N$1)</f>
        <v>0</v>
      </c>
      <c r="O89" s="207">
        <f>SUMIFS('март 2023'!$G$4:$G$582,'март 2023'!$D$4:$D$582,$B89,'март 2023'!$J$4:$J$582,O$1)</f>
        <v>0</v>
      </c>
      <c r="P89" s="207">
        <f>SUMIFS('март 2023'!$G$4:$G$582,'март 2023'!$D$4:$D$582,$B89,'март 2023'!$J$4:$J$582,P$1)</f>
        <v>0</v>
      </c>
      <c r="Q89" s="207">
        <f>SUMIFS('март 2023'!$G$4:$G$582,'март 2023'!$D$4:$D$582,$B89,'март 2023'!$J$4:$J$582,Q$1)</f>
        <v>0</v>
      </c>
      <c r="R89" s="207">
        <f>SUMIFS('март 2023'!$G$4:$G$582,'март 2023'!$D$4:$D$582,$B89,'март 2023'!$J$4:$J$582,R$1)</f>
        <v>0</v>
      </c>
      <c r="S89" s="207">
        <f>SUMIFS('март 2023'!$G$4:$G$582,'март 2023'!$D$4:$D$582,$B89,'март 2023'!$J$4:$J$582,S$1)</f>
        <v>0</v>
      </c>
      <c r="T89" s="207">
        <f>SUMIFS('март 2023'!$G$4:$G$582,'март 2023'!$D$4:$D$582,$B89,'март 2023'!$J$4:$J$582,T$1)</f>
        <v>0</v>
      </c>
      <c r="U89" s="207">
        <f>SUMIFS('март 2023'!$G$4:$G$582,'март 2023'!$D$4:$D$582,$B89,'март 2023'!$J$4:$J$582,U$1)</f>
        <v>0</v>
      </c>
      <c r="V89" s="207">
        <f>SUMIFS('март 2023'!$G$4:$G$582,'март 2023'!$D$4:$D$582,$B89,'март 2023'!$J$4:$J$582,V$1)</f>
        <v>0</v>
      </c>
      <c r="W89" s="207">
        <f>SUMIFS('март 2023'!$G$4:$G$582,'март 2023'!$D$4:$D$582,$B89,'март 2023'!$J$4:$J$582,W$1)</f>
        <v>0</v>
      </c>
      <c r="X89" s="207">
        <f>SUMIFS('март 2023'!$G$4:$G$582,'март 2023'!$D$4:$D$582,$B89,'март 2023'!$J$4:$J$582,X$1)</f>
        <v>0</v>
      </c>
      <c r="Y89" s="207">
        <f>SUMIFS('март 2023'!$G$4:$G$582,'март 2023'!$D$4:$D$582,$B89,'март 2023'!$J$4:$J$582,Y$1)</f>
        <v>0</v>
      </c>
      <c r="Z89" s="207">
        <f>SUMIFS('март 2023'!$G$4:$G$582,'март 2023'!$D$4:$D$582,$B89,'март 2023'!$J$4:$J$582,Z$1)</f>
        <v>0</v>
      </c>
      <c r="AA89" s="207">
        <f>SUMIFS('март 2023'!$G$4:$G$582,'март 2023'!$D$4:$D$582,$B89,'март 2023'!$J$4:$J$582,AA$1)</f>
        <v>0</v>
      </c>
      <c r="AB89" s="207">
        <f>SUMIFS('март 2023'!$G$4:$G$582,'март 2023'!$D$4:$D$582,$B89,'март 2023'!$J$4:$J$582,AB$1)</f>
        <v>0</v>
      </c>
      <c r="AC89" s="207">
        <f>SUMIFS('март 2023'!$G$4:$G$582,'март 2023'!$D$4:$D$582,$B89,'март 2023'!$J$4:$J$582,AC$1)</f>
        <v>0</v>
      </c>
      <c r="AD89" s="207">
        <f>SUMIFS('март 2023'!$G$4:$G$582,'март 2023'!$D$4:$D$582,$B89,'март 2023'!$J$4:$J$582,AD$1)</f>
        <v>0</v>
      </c>
      <c r="AE89" s="207">
        <f>SUMIFS('март 2023'!$G$4:$G$582,'март 2023'!$D$4:$D$582,$B89,'март 2023'!$J$4:$J$582,AE$1)</f>
        <v>0</v>
      </c>
      <c r="AF89" s="207">
        <f>SUMIFS('март 2023'!$G$4:$G$582,'март 2023'!$D$4:$D$582,$B89,'март 2023'!$J$4:$J$582,AF$1)</f>
        <v>0</v>
      </c>
      <c r="AG89" s="207">
        <f>SUMIFS('март 2023'!$G$4:$G$582,'март 2023'!$D$4:$D$582,$B89,'март 2023'!$J$4:$J$582,AG$1)</f>
        <v>0</v>
      </c>
      <c r="AH89" s="207">
        <f>SUMIFS('март 2023'!$G$4:$G$582,'март 2023'!$D$4:$D$582,$B89,'март 2023'!$J$4:$J$582,AH$1)</f>
        <v>0</v>
      </c>
      <c r="AI89" s="170">
        <f t="shared" si="2"/>
        <v>0</v>
      </c>
    </row>
    <row r="90" spans="2:35" ht="15" customHeight="1" x14ac:dyDescent="0.25">
      <c r="B90" s="216" t="s">
        <v>1725</v>
      </c>
      <c r="C90" s="213">
        <v>180</v>
      </c>
      <c r="D90" s="207">
        <f>SUMIFS('март 2023'!$G$4:$G$582,'март 2023'!$D$4:$D$582,$B90,'март 2023'!$J$4:$J$582,D$1)</f>
        <v>0</v>
      </c>
      <c r="E90" s="207">
        <f>SUMIFS('март 2023'!$G$4:$G$582,'март 2023'!$D$4:$D$582,$B90,'март 2023'!$J$4:$J$582,E$1)</f>
        <v>0</v>
      </c>
      <c r="F90" s="207">
        <f>SUMIFS('март 2023'!$G$4:$G$582,'март 2023'!$D$4:$D$582,$B90,'март 2023'!$J$4:$J$582,F$1)</f>
        <v>0</v>
      </c>
      <c r="G90" s="207">
        <f>SUMIFS('март 2023'!$G$4:$G$582,'март 2023'!$D$4:$D$582,$B90,'март 2023'!$J$4:$J$582,G$1)</f>
        <v>0</v>
      </c>
      <c r="H90" s="207">
        <f>SUMIFS('март 2023'!$G$4:$G$582,'март 2023'!$D$4:$D$582,$B90,'март 2023'!$J$4:$J$582,H$1)</f>
        <v>0</v>
      </c>
      <c r="I90" s="207">
        <f>SUMIFS('март 2023'!$G$4:$G$582,'март 2023'!$D$4:$D$582,$B90,'март 2023'!$J$4:$J$582,I$1)</f>
        <v>0</v>
      </c>
      <c r="J90" s="207">
        <f>SUMIFS('март 2023'!$G$4:$G$582,'март 2023'!$D$4:$D$582,$B90,'март 2023'!$J$4:$J$582,J$1)</f>
        <v>0</v>
      </c>
      <c r="K90" s="207">
        <f>SUMIFS('март 2023'!$G$4:$G$582,'март 2023'!$D$4:$D$582,$B90,'март 2023'!$J$4:$J$582,K$1)</f>
        <v>0</v>
      </c>
      <c r="L90" s="207">
        <f>SUMIFS('март 2023'!$G$4:$G$582,'март 2023'!$D$4:$D$582,$B90,'март 2023'!$J$4:$J$582,L$1)</f>
        <v>0</v>
      </c>
      <c r="M90" s="207">
        <f>SUMIFS('март 2023'!$G$4:$G$582,'март 2023'!$D$4:$D$582,$B90,'март 2023'!$J$4:$J$582,M$1)</f>
        <v>0</v>
      </c>
      <c r="N90" s="207">
        <f>SUMIFS('март 2023'!$G$4:$G$582,'март 2023'!$D$4:$D$582,$B90,'март 2023'!$J$4:$J$582,N$1)</f>
        <v>0</v>
      </c>
      <c r="O90" s="207">
        <f>SUMIFS('март 2023'!$G$4:$G$582,'март 2023'!$D$4:$D$582,$B90,'март 2023'!$J$4:$J$582,O$1)</f>
        <v>0</v>
      </c>
      <c r="P90" s="207">
        <f>SUMIFS('март 2023'!$G$4:$G$582,'март 2023'!$D$4:$D$582,$B90,'март 2023'!$J$4:$J$582,P$1)</f>
        <v>0</v>
      </c>
      <c r="Q90" s="207">
        <f>SUMIFS('март 2023'!$G$4:$G$582,'март 2023'!$D$4:$D$582,$B90,'март 2023'!$J$4:$J$582,Q$1)</f>
        <v>0</v>
      </c>
      <c r="R90" s="207">
        <f>SUMIFS('март 2023'!$G$4:$G$582,'март 2023'!$D$4:$D$582,$B90,'март 2023'!$J$4:$J$582,R$1)</f>
        <v>0</v>
      </c>
      <c r="S90" s="207">
        <f>SUMIFS('март 2023'!$G$4:$G$582,'март 2023'!$D$4:$D$582,$B90,'март 2023'!$J$4:$J$582,S$1)</f>
        <v>0</v>
      </c>
      <c r="T90" s="207">
        <f>SUMIFS('март 2023'!$G$4:$G$582,'март 2023'!$D$4:$D$582,$B90,'март 2023'!$J$4:$J$582,T$1)</f>
        <v>0</v>
      </c>
      <c r="U90" s="207">
        <f>SUMIFS('март 2023'!$G$4:$G$582,'март 2023'!$D$4:$D$582,$B90,'март 2023'!$J$4:$J$582,U$1)</f>
        <v>0</v>
      </c>
      <c r="V90" s="207">
        <f>SUMIFS('март 2023'!$G$4:$G$582,'март 2023'!$D$4:$D$582,$B90,'март 2023'!$J$4:$J$582,V$1)</f>
        <v>0</v>
      </c>
      <c r="W90" s="207">
        <f>SUMIFS('март 2023'!$G$4:$G$582,'март 2023'!$D$4:$D$582,$B90,'март 2023'!$J$4:$J$582,W$1)</f>
        <v>0</v>
      </c>
      <c r="X90" s="207">
        <f>SUMIFS('март 2023'!$G$4:$G$582,'март 2023'!$D$4:$D$582,$B90,'март 2023'!$J$4:$J$582,X$1)</f>
        <v>0</v>
      </c>
      <c r="Y90" s="207">
        <f>SUMIFS('март 2023'!$G$4:$G$582,'март 2023'!$D$4:$D$582,$B90,'март 2023'!$J$4:$J$582,Y$1)</f>
        <v>0</v>
      </c>
      <c r="Z90" s="207">
        <f>SUMIFS('март 2023'!$G$4:$G$582,'март 2023'!$D$4:$D$582,$B90,'март 2023'!$J$4:$J$582,Z$1)</f>
        <v>0</v>
      </c>
      <c r="AA90" s="207">
        <f>SUMIFS('март 2023'!$G$4:$G$582,'март 2023'!$D$4:$D$582,$B90,'март 2023'!$J$4:$J$582,AA$1)</f>
        <v>48</v>
      </c>
      <c r="AB90" s="207">
        <f>SUMIFS('март 2023'!$G$4:$G$582,'март 2023'!$D$4:$D$582,$B90,'март 2023'!$J$4:$J$582,AB$1)</f>
        <v>0</v>
      </c>
      <c r="AC90" s="207">
        <f>SUMIFS('март 2023'!$G$4:$G$582,'март 2023'!$D$4:$D$582,$B90,'март 2023'!$J$4:$J$582,AC$1)</f>
        <v>0</v>
      </c>
      <c r="AD90" s="207">
        <f>SUMIFS('март 2023'!$G$4:$G$582,'март 2023'!$D$4:$D$582,$B90,'март 2023'!$J$4:$J$582,AD$1)</f>
        <v>0</v>
      </c>
      <c r="AE90" s="207">
        <f>SUMIFS('март 2023'!$G$4:$G$582,'март 2023'!$D$4:$D$582,$B90,'март 2023'!$J$4:$J$582,AE$1)</f>
        <v>0</v>
      </c>
      <c r="AF90" s="207">
        <f>SUMIFS('март 2023'!$G$4:$G$582,'март 2023'!$D$4:$D$582,$B90,'март 2023'!$J$4:$J$582,AF$1)</f>
        <v>0</v>
      </c>
      <c r="AG90" s="207">
        <f>SUMIFS('март 2023'!$G$4:$G$582,'март 2023'!$D$4:$D$582,$B90,'март 2023'!$J$4:$J$582,AG$1)</f>
        <v>0</v>
      </c>
      <c r="AH90" s="207">
        <f>SUMIFS('март 2023'!$G$4:$G$582,'март 2023'!$D$4:$D$582,$B90,'март 2023'!$J$4:$J$582,AH$1)</f>
        <v>0</v>
      </c>
      <c r="AI90" s="170">
        <f t="shared" si="2"/>
        <v>48</v>
      </c>
    </row>
    <row r="91" spans="2:35" ht="15" customHeight="1" x14ac:dyDescent="0.25">
      <c r="B91" s="212" t="s">
        <v>1773</v>
      </c>
      <c r="C91" s="211">
        <v>18</v>
      </c>
      <c r="D91" s="207">
        <f>SUMIFS('март 2023'!$G$4:$G$582,'март 2023'!$D$4:$D$582,$B91,'март 2023'!$J$4:$J$582,D$1)</f>
        <v>0</v>
      </c>
      <c r="E91" s="207">
        <f>SUMIFS('март 2023'!$G$4:$G$582,'март 2023'!$D$4:$D$582,$B91,'март 2023'!$J$4:$J$582,E$1)</f>
        <v>0</v>
      </c>
      <c r="F91" s="207">
        <f>SUMIFS('март 2023'!$G$4:$G$582,'март 2023'!$D$4:$D$582,$B91,'март 2023'!$J$4:$J$582,F$1)</f>
        <v>0</v>
      </c>
      <c r="G91" s="207">
        <f>SUMIFS('март 2023'!$G$4:$G$582,'март 2023'!$D$4:$D$582,$B91,'март 2023'!$J$4:$J$582,G$1)</f>
        <v>0</v>
      </c>
      <c r="H91" s="207">
        <f>SUMIFS('март 2023'!$G$4:$G$582,'март 2023'!$D$4:$D$582,$B91,'март 2023'!$J$4:$J$582,H$1)</f>
        <v>0</v>
      </c>
      <c r="I91" s="207">
        <f>SUMIFS('март 2023'!$G$4:$G$582,'март 2023'!$D$4:$D$582,$B91,'март 2023'!$J$4:$J$582,I$1)</f>
        <v>0</v>
      </c>
      <c r="J91" s="207">
        <f>SUMIFS('март 2023'!$G$4:$G$582,'март 2023'!$D$4:$D$582,$B91,'март 2023'!$J$4:$J$582,J$1)</f>
        <v>0</v>
      </c>
      <c r="K91" s="207">
        <f>SUMIFS('март 2023'!$G$4:$G$582,'март 2023'!$D$4:$D$582,$B91,'март 2023'!$J$4:$J$582,K$1)</f>
        <v>0</v>
      </c>
      <c r="L91" s="207">
        <f>SUMIFS('март 2023'!$G$4:$G$582,'март 2023'!$D$4:$D$582,$B91,'март 2023'!$J$4:$J$582,L$1)</f>
        <v>0</v>
      </c>
      <c r="M91" s="207">
        <f>SUMIFS('март 2023'!$G$4:$G$582,'март 2023'!$D$4:$D$582,$B91,'март 2023'!$J$4:$J$582,M$1)</f>
        <v>0</v>
      </c>
      <c r="N91" s="207">
        <f>SUMIFS('март 2023'!$G$4:$G$582,'март 2023'!$D$4:$D$582,$B91,'март 2023'!$J$4:$J$582,N$1)</f>
        <v>0</v>
      </c>
      <c r="O91" s="207">
        <f>SUMIFS('март 2023'!$G$4:$G$582,'март 2023'!$D$4:$D$582,$B91,'март 2023'!$J$4:$J$582,O$1)</f>
        <v>0</v>
      </c>
      <c r="P91" s="207">
        <f>SUMIFS('март 2023'!$G$4:$G$582,'март 2023'!$D$4:$D$582,$B91,'март 2023'!$J$4:$J$582,P$1)</f>
        <v>0</v>
      </c>
      <c r="Q91" s="207">
        <f>SUMIFS('март 2023'!$G$4:$G$582,'март 2023'!$D$4:$D$582,$B91,'март 2023'!$J$4:$J$582,Q$1)</f>
        <v>0</v>
      </c>
      <c r="R91" s="207">
        <f>SUMIFS('март 2023'!$G$4:$G$582,'март 2023'!$D$4:$D$582,$B91,'март 2023'!$J$4:$J$582,R$1)</f>
        <v>0</v>
      </c>
      <c r="S91" s="207">
        <f>SUMIFS('март 2023'!$G$4:$G$582,'март 2023'!$D$4:$D$582,$B91,'март 2023'!$J$4:$J$582,S$1)</f>
        <v>0</v>
      </c>
      <c r="T91" s="207">
        <f>SUMIFS('март 2023'!$G$4:$G$582,'март 2023'!$D$4:$D$582,$B91,'март 2023'!$J$4:$J$582,T$1)</f>
        <v>0</v>
      </c>
      <c r="U91" s="207">
        <f>SUMIFS('март 2023'!$G$4:$G$582,'март 2023'!$D$4:$D$582,$B91,'март 2023'!$J$4:$J$582,U$1)</f>
        <v>0</v>
      </c>
      <c r="V91" s="207">
        <f>SUMIFS('март 2023'!$G$4:$G$582,'март 2023'!$D$4:$D$582,$B91,'март 2023'!$J$4:$J$582,V$1)</f>
        <v>0</v>
      </c>
      <c r="W91" s="207">
        <f>SUMIFS('март 2023'!$G$4:$G$582,'март 2023'!$D$4:$D$582,$B91,'март 2023'!$J$4:$J$582,W$1)</f>
        <v>0</v>
      </c>
      <c r="X91" s="207">
        <f>SUMIFS('март 2023'!$G$4:$G$582,'март 2023'!$D$4:$D$582,$B91,'март 2023'!$J$4:$J$582,X$1)</f>
        <v>0</v>
      </c>
      <c r="Y91" s="207">
        <f>SUMIFS('март 2023'!$G$4:$G$582,'март 2023'!$D$4:$D$582,$B91,'март 2023'!$J$4:$J$582,Y$1)</f>
        <v>0</v>
      </c>
      <c r="Z91" s="207">
        <f>SUMIFS('март 2023'!$G$4:$G$582,'март 2023'!$D$4:$D$582,$B91,'март 2023'!$J$4:$J$582,Z$1)</f>
        <v>0</v>
      </c>
      <c r="AA91" s="207">
        <f>SUMIFS('март 2023'!$G$4:$G$582,'март 2023'!$D$4:$D$582,$B91,'март 2023'!$J$4:$J$582,AA$1)</f>
        <v>0</v>
      </c>
      <c r="AB91" s="207">
        <f>SUMIFS('март 2023'!$G$4:$G$582,'март 2023'!$D$4:$D$582,$B91,'март 2023'!$J$4:$J$582,AB$1)</f>
        <v>0</v>
      </c>
      <c r="AC91" s="207">
        <f>SUMIFS('март 2023'!$G$4:$G$582,'март 2023'!$D$4:$D$582,$B91,'март 2023'!$J$4:$J$582,AC$1)</f>
        <v>0</v>
      </c>
      <c r="AD91" s="207">
        <f>SUMIFS('март 2023'!$G$4:$G$582,'март 2023'!$D$4:$D$582,$B91,'март 2023'!$J$4:$J$582,AD$1)</f>
        <v>0</v>
      </c>
      <c r="AE91" s="207">
        <f>SUMIFS('март 2023'!$G$4:$G$582,'март 2023'!$D$4:$D$582,$B91,'март 2023'!$J$4:$J$582,AE$1)</f>
        <v>0</v>
      </c>
      <c r="AF91" s="207">
        <f>SUMIFS('март 2023'!$G$4:$G$582,'март 2023'!$D$4:$D$582,$B91,'март 2023'!$J$4:$J$582,AF$1)</f>
        <v>0</v>
      </c>
      <c r="AG91" s="207">
        <f>SUMIFS('март 2023'!$G$4:$G$582,'март 2023'!$D$4:$D$582,$B91,'март 2023'!$J$4:$J$582,AG$1)</f>
        <v>0</v>
      </c>
      <c r="AH91" s="207">
        <f>SUMIFS('март 2023'!$G$4:$G$582,'март 2023'!$D$4:$D$582,$B91,'март 2023'!$J$4:$J$582,AH$1)</f>
        <v>334</v>
      </c>
      <c r="AI91" s="170">
        <f t="shared" si="2"/>
        <v>334</v>
      </c>
    </row>
    <row r="92" spans="2:35" ht="15" customHeight="1" x14ac:dyDescent="0.25">
      <c r="B92" s="212" t="s">
        <v>2214</v>
      </c>
      <c r="C92" s="211">
        <v>200</v>
      </c>
      <c r="D92" s="207">
        <f>SUMIFS('март 2023'!$G$4:$G$582,'март 2023'!$D$4:$D$582,$B92,'март 2023'!$J$4:$J$582,D$1)</f>
        <v>0</v>
      </c>
      <c r="E92" s="207">
        <f>SUMIFS('март 2023'!$G$4:$G$582,'март 2023'!$D$4:$D$582,$B92,'март 2023'!$J$4:$J$582,E$1)</f>
        <v>0</v>
      </c>
      <c r="F92" s="207">
        <f>SUMIFS('март 2023'!$G$4:$G$582,'март 2023'!$D$4:$D$582,$B92,'март 2023'!$J$4:$J$582,F$1)</f>
        <v>0</v>
      </c>
      <c r="G92" s="207">
        <f>SUMIFS('март 2023'!$G$4:$G$582,'март 2023'!$D$4:$D$582,$B92,'март 2023'!$J$4:$J$582,G$1)</f>
        <v>0</v>
      </c>
      <c r="H92" s="207">
        <f>SUMIFS('март 2023'!$G$4:$G$582,'март 2023'!$D$4:$D$582,$B92,'март 2023'!$J$4:$J$582,H$1)</f>
        <v>0</v>
      </c>
      <c r="I92" s="207">
        <f>SUMIFS('март 2023'!$G$4:$G$582,'март 2023'!$D$4:$D$582,$B92,'март 2023'!$J$4:$J$582,I$1)</f>
        <v>0</v>
      </c>
      <c r="J92" s="207">
        <f>SUMIFS('март 2023'!$G$4:$G$582,'март 2023'!$D$4:$D$582,$B92,'март 2023'!$J$4:$J$582,J$1)</f>
        <v>0</v>
      </c>
      <c r="K92" s="207">
        <f>SUMIFS('март 2023'!$G$4:$G$582,'март 2023'!$D$4:$D$582,$B92,'март 2023'!$J$4:$J$582,K$1)</f>
        <v>0</v>
      </c>
      <c r="L92" s="207">
        <f>SUMIFS('март 2023'!$G$4:$G$582,'март 2023'!$D$4:$D$582,$B92,'март 2023'!$J$4:$J$582,L$1)</f>
        <v>0</v>
      </c>
      <c r="M92" s="207">
        <f>SUMIFS('март 2023'!$G$4:$G$582,'март 2023'!$D$4:$D$582,$B92,'март 2023'!$J$4:$J$582,M$1)</f>
        <v>0</v>
      </c>
      <c r="N92" s="207">
        <f>SUMIFS('март 2023'!$G$4:$G$582,'март 2023'!$D$4:$D$582,$B92,'март 2023'!$J$4:$J$582,N$1)</f>
        <v>0</v>
      </c>
      <c r="O92" s="207">
        <f>SUMIFS('март 2023'!$G$4:$G$582,'март 2023'!$D$4:$D$582,$B92,'март 2023'!$J$4:$J$582,O$1)</f>
        <v>0</v>
      </c>
      <c r="P92" s="207">
        <f>SUMIFS('март 2023'!$G$4:$G$582,'март 2023'!$D$4:$D$582,$B92,'март 2023'!$J$4:$J$582,P$1)</f>
        <v>0</v>
      </c>
      <c r="Q92" s="207">
        <f>SUMIFS('март 2023'!$G$4:$G$582,'март 2023'!$D$4:$D$582,$B92,'март 2023'!$J$4:$J$582,Q$1)</f>
        <v>0</v>
      </c>
      <c r="R92" s="207">
        <f>SUMIFS('март 2023'!$G$4:$G$582,'март 2023'!$D$4:$D$582,$B92,'март 2023'!$J$4:$J$582,R$1)</f>
        <v>0</v>
      </c>
      <c r="S92" s="207">
        <f>SUMIFS('март 2023'!$G$4:$G$582,'март 2023'!$D$4:$D$582,$B92,'март 2023'!$J$4:$J$582,S$1)</f>
        <v>0</v>
      </c>
      <c r="T92" s="207">
        <f>SUMIFS('март 2023'!$G$4:$G$582,'март 2023'!$D$4:$D$582,$B92,'март 2023'!$J$4:$J$582,T$1)</f>
        <v>0</v>
      </c>
      <c r="U92" s="207">
        <f>SUMIFS('март 2023'!$G$4:$G$582,'март 2023'!$D$4:$D$582,$B92,'март 2023'!$J$4:$J$582,U$1)</f>
        <v>0</v>
      </c>
      <c r="V92" s="207">
        <f>SUMIFS('март 2023'!$G$4:$G$582,'март 2023'!$D$4:$D$582,$B92,'март 2023'!$J$4:$J$582,V$1)</f>
        <v>0</v>
      </c>
      <c r="W92" s="207">
        <f>SUMIFS('март 2023'!$G$4:$G$582,'март 2023'!$D$4:$D$582,$B92,'март 2023'!$J$4:$J$582,W$1)</f>
        <v>0</v>
      </c>
      <c r="X92" s="207">
        <f>SUMIFS('март 2023'!$G$4:$G$582,'март 2023'!$D$4:$D$582,$B92,'март 2023'!$J$4:$J$582,X$1)</f>
        <v>0</v>
      </c>
      <c r="Y92" s="207">
        <f>SUMIFS('март 2023'!$G$4:$G$582,'март 2023'!$D$4:$D$582,$B92,'март 2023'!$J$4:$J$582,Y$1)</f>
        <v>0</v>
      </c>
      <c r="Z92" s="207">
        <f>SUMIFS('март 2023'!$G$4:$G$582,'март 2023'!$D$4:$D$582,$B92,'март 2023'!$J$4:$J$582,Z$1)</f>
        <v>0</v>
      </c>
      <c r="AA92" s="207">
        <f>SUMIFS('март 2023'!$G$4:$G$582,'март 2023'!$D$4:$D$582,$B92,'март 2023'!$J$4:$J$582,AA$1)</f>
        <v>0</v>
      </c>
      <c r="AB92" s="207">
        <f>SUMIFS('март 2023'!$G$4:$G$582,'март 2023'!$D$4:$D$582,$B92,'март 2023'!$J$4:$J$582,AB$1)</f>
        <v>0</v>
      </c>
      <c r="AC92" s="207">
        <f>SUMIFS('март 2023'!$G$4:$G$582,'март 2023'!$D$4:$D$582,$B92,'март 2023'!$J$4:$J$582,AC$1)</f>
        <v>0</v>
      </c>
      <c r="AD92" s="207">
        <f>SUMIFS('март 2023'!$G$4:$G$582,'март 2023'!$D$4:$D$582,$B92,'март 2023'!$J$4:$J$582,AD$1)</f>
        <v>0</v>
      </c>
      <c r="AE92" s="207">
        <f>SUMIFS('март 2023'!$G$4:$G$582,'март 2023'!$D$4:$D$582,$B92,'март 2023'!$J$4:$J$582,AE$1)</f>
        <v>0</v>
      </c>
      <c r="AF92" s="207">
        <f>SUMIFS('март 2023'!$G$4:$G$582,'март 2023'!$D$4:$D$582,$B92,'март 2023'!$J$4:$J$582,AF$1)</f>
        <v>0</v>
      </c>
      <c r="AG92" s="207">
        <f>SUMIFS('март 2023'!$G$4:$G$582,'март 2023'!$D$4:$D$582,$B92,'март 2023'!$J$4:$J$582,AG$1)</f>
        <v>0</v>
      </c>
      <c r="AH92" s="207">
        <f>SUMIFS('март 2023'!$G$4:$G$582,'март 2023'!$D$4:$D$582,$B92,'март 2023'!$J$4:$J$582,AH$1)</f>
        <v>0</v>
      </c>
      <c r="AI92" s="170">
        <f t="shared" si="2"/>
        <v>0</v>
      </c>
    </row>
    <row r="93" spans="2:35" ht="15" customHeight="1" x14ac:dyDescent="0.25">
      <c r="B93" s="212" t="s">
        <v>1720</v>
      </c>
      <c r="C93" s="211">
        <v>180</v>
      </c>
      <c r="D93" s="207">
        <f>SUMIFS('март 2023'!$G$4:$G$582,'март 2023'!$D$4:$D$582,$B93,'март 2023'!$J$4:$J$582,D$1)</f>
        <v>0</v>
      </c>
      <c r="E93" s="207">
        <f>SUMIFS('март 2023'!$G$4:$G$582,'март 2023'!$D$4:$D$582,$B93,'март 2023'!$J$4:$J$582,E$1)</f>
        <v>0</v>
      </c>
      <c r="F93" s="207">
        <f>SUMIFS('март 2023'!$G$4:$G$582,'март 2023'!$D$4:$D$582,$B93,'март 2023'!$J$4:$J$582,F$1)</f>
        <v>0</v>
      </c>
      <c r="G93" s="207">
        <f>SUMIFS('март 2023'!$G$4:$G$582,'март 2023'!$D$4:$D$582,$B93,'март 2023'!$J$4:$J$582,G$1)</f>
        <v>0</v>
      </c>
      <c r="H93" s="207">
        <f>SUMIFS('март 2023'!$G$4:$G$582,'март 2023'!$D$4:$D$582,$B93,'март 2023'!$J$4:$J$582,H$1)</f>
        <v>0</v>
      </c>
      <c r="I93" s="207">
        <f>SUMIFS('март 2023'!$G$4:$G$582,'март 2023'!$D$4:$D$582,$B93,'март 2023'!$J$4:$J$582,I$1)</f>
        <v>0</v>
      </c>
      <c r="J93" s="207">
        <f>SUMIFS('март 2023'!$G$4:$G$582,'март 2023'!$D$4:$D$582,$B93,'март 2023'!$J$4:$J$582,J$1)</f>
        <v>0</v>
      </c>
      <c r="K93" s="207">
        <f>SUMIFS('март 2023'!$G$4:$G$582,'март 2023'!$D$4:$D$582,$B93,'март 2023'!$J$4:$J$582,K$1)</f>
        <v>0</v>
      </c>
      <c r="L93" s="207">
        <f>SUMIFS('март 2023'!$G$4:$G$582,'март 2023'!$D$4:$D$582,$B93,'март 2023'!$J$4:$J$582,L$1)</f>
        <v>0</v>
      </c>
      <c r="M93" s="207">
        <f>SUMIFS('март 2023'!$G$4:$G$582,'март 2023'!$D$4:$D$582,$B93,'март 2023'!$J$4:$J$582,M$1)</f>
        <v>0</v>
      </c>
      <c r="N93" s="207">
        <f>SUMIFS('март 2023'!$G$4:$G$582,'март 2023'!$D$4:$D$582,$B93,'март 2023'!$J$4:$J$582,N$1)</f>
        <v>0</v>
      </c>
      <c r="O93" s="207">
        <f>SUMIFS('март 2023'!$G$4:$G$582,'март 2023'!$D$4:$D$582,$B93,'март 2023'!$J$4:$J$582,O$1)</f>
        <v>0</v>
      </c>
      <c r="P93" s="207">
        <f>SUMIFS('март 2023'!$G$4:$G$582,'март 2023'!$D$4:$D$582,$B93,'март 2023'!$J$4:$J$582,P$1)</f>
        <v>0</v>
      </c>
      <c r="Q93" s="207">
        <f>SUMIFS('март 2023'!$G$4:$G$582,'март 2023'!$D$4:$D$582,$B93,'март 2023'!$J$4:$J$582,Q$1)</f>
        <v>0</v>
      </c>
      <c r="R93" s="207">
        <f>SUMIFS('март 2023'!$G$4:$G$582,'март 2023'!$D$4:$D$582,$B93,'март 2023'!$J$4:$J$582,R$1)</f>
        <v>0</v>
      </c>
      <c r="S93" s="207">
        <f>SUMIFS('март 2023'!$G$4:$G$582,'март 2023'!$D$4:$D$582,$B93,'март 2023'!$J$4:$J$582,S$1)</f>
        <v>0</v>
      </c>
      <c r="T93" s="207">
        <f>SUMIFS('март 2023'!$G$4:$G$582,'март 2023'!$D$4:$D$582,$B93,'март 2023'!$J$4:$J$582,T$1)</f>
        <v>0</v>
      </c>
      <c r="U93" s="207">
        <f>SUMIFS('март 2023'!$G$4:$G$582,'март 2023'!$D$4:$D$582,$B93,'март 2023'!$J$4:$J$582,U$1)</f>
        <v>0</v>
      </c>
      <c r="V93" s="207">
        <f>SUMIFS('март 2023'!$G$4:$G$582,'март 2023'!$D$4:$D$582,$B93,'март 2023'!$J$4:$J$582,V$1)</f>
        <v>0</v>
      </c>
      <c r="W93" s="207">
        <f>SUMIFS('март 2023'!$G$4:$G$582,'март 2023'!$D$4:$D$582,$B93,'март 2023'!$J$4:$J$582,W$1)</f>
        <v>0</v>
      </c>
      <c r="X93" s="207">
        <f>SUMIFS('март 2023'!$G$4:$G$582,'март 2023'!$D$4:$D$582,$B93,'март 2023'!$J$4:$J$582,X$1)</f>
        <v>0</v>
      </c>
      <c r="Y93" s="207">
        <f>SUMIFS('март 2023'!$G$4:$G$582,'март 2023'!$D$4:$D$582,$B93,'март 2023'!$J$4:$J$582,Y$1)</f>
        <v>88</v>
      </c>
      <c r="Z93" s="207">
        <f>SUMIFS('март 2023'!$G$4:$G$582,'март 2023'!$D$4:$D$582,$B93,'март 2023'!$J$4:$J$582,Z$1)</f>
        <v>0</v>
      </c>
      <c r="AA93" s="207">
        <f>SUMIFS('март 2023'!$G$4:$G$582,'март 2023'!$D$4:$D$582,$B93,'март 2023'!$J$4:$J$582,AA$1)</f>
        <v>0</v>
      </c>
      <c r="AB93" s="207">
        <f>SUMIFS('март 2023'!$G$4:$G$582,'март 2023'!$D$4:$D$582,$B93,'март 2023'!$J$4:$J$582,AB$1)</f>
        <v>0</v>
      </c>
      <c r="AC93" s="207">
        <f>SUMIFS('март 2023'!$G$4:$G$582,'март 2023'!$D$4:$D$582,$B93,'март 2023'!$J$4:$J$582,AC$1)</f>
        <v>0</v>
      </c>
      <c r="AD93" s="207">
        <f>SUMIFS('март 2023'!$G$4:$G$582,'март 2023'!$D$4:$D$582,$B93,'март 2023'!$J$4:$J$582,AD$1)</f>
        <v>0</v>
      </c>
      <c r="AE93" s="207">
        <f>SUMIFS('март 2023'!$G$4:$G$582,'март 2023'!$D$4:$D$582,$B93,'март 2023'!$J$4:$J$582,AE$1)</f>
        <v>0</v>
      </c>
      <c r="AF93" s="207">
        <f>SUMIFS('март 2023'!$G$4:$G$582,'март 2023'!$D$4:$D$582,$B93,'март 2023'!$J$4:$J$582,AF$1)</f>
        <v>0</v>
      </c>
      <c r="AG93" s="207">
        <f>SUMIFS('март 2023'!$G$4:$G$582,'март 2023'!$D$4:$D$582,$B93,'март 2023'!$J$4:$J$582,AG$1)</f>
        <v>0</v>
      </c>
      <c r="AH93" s="207">
        <f>SUMIFS('март 2023'!$G$4:$G$582,'март 2023'!$D$4:$D$582,$B93,'март 2023'!$J$4:$J$582,AH$1)</f>
        <v>0</v>
      </c>
      <c r="AI93" s="170">
        <f t="shared" ref="AI93:AI109" si="3">SUM(D93:AH93)</f>
        <v>88</v>
      </c>
    </row>
    <row r="94" spans="2:35" ht="15" customHeight="1" x14ac:dyDescent="0.25">
      <c r="B94" s="212" t="s">
        <v>770</v>
      </c>
      <c r="C94" s="211">
        <v>190</v>
      </c>
      <c r="D94" s="207">
        <f>SUMIFS('март 2023'!$G$4:$G$582,'март 2023'!$D$4:$D$582,$B94,'март 2023'!$J$4:$J$582,D$1)</f>
        <v>0</v>
      </c>
      <c r="E94" s="207">
        <f>SUMIFS('март 2023'!$G$4:$G$582,'март 2023'!$D$4:$D$582,$B94,'март 2023'!$J$4:$J$582,E$1)</f>
        <v>0</v>
      </c>
      <c r="F94" s="207">
        <f>SUMIFS('март 2023'!$G$4:$G$582,'март 2023'!$D$4:$D$582,$B94,'март 2023'!$J$4:$J$582,F$1)</f>
        <v>16</v>
      </c>
      <c r="G94" s="207">
        <f>SUMIFS('март 2023'!$G$4:$G$582,'март 2023'!$D$4:$D$582,$B94,'март 2023'!$J$4:$J$582,G$1)</f>
        <v>0</v>
      </c>
      <c r="H94" s="207">
        <f>SUMIFS('март 2023'!$G$4:$G$582,'март 2023'!$D$4:$D$582,$B94,'март 2023'!$J$4:$J$582,H$1)</f>
        <v>0</v>
      </c>
      <c r="I94" s="207">
        <f>SUMIFS('март 2023'!$G$4:$G$582,'март 2023'!$D$4:$D$582,$B94,'март 2023'!$J$4:$J$582,I$1)</f>
        <v>0</v>
      </c>
      <c r="J94" s="207">
        <f>SUMIFS('март 2023'!$G$4:$G$582,'март 2023'!$D$4:$D$582,$B94,'март 2023'!$J$4:$J$582,J$1)</f>
        <v>0</v>
      </c>
      <c r="K94" s="207">
        <f>SUMIFS('март 2023'!$G$4:$G$582,'март 2023'!$D$4:$D$582,$B94,'март 2023'!$J$4:$J$582,K$1)</f>
        <v>0</v>
      </c>
      <c r="L94" s="207">
        <f>SUMIFS('март 2023'!$G$4:$G$582,'март 2023'!$D$4:$D$582,$B94,'март 2023'!$J$4:$J$582,L$1)</f>
        <v>0</v>
      </c>
      <c r="M94" s="207">
        <f>SUMIFS('март 2023'!$G$4:$G$582,'март 2023'!$D$4:$D$582,$B94,'март 2023'!$J$4:$J$582,M$1)</f>
        <v>0</v>
      </c>
      <c r="N94" s="207">
        <f>SUMIFS('март 2023'!$G$4:$G$582,'март 2023'!$D$4:$D$582,$B94,'март 2023'!$J$4:$J$582,N$1)</f>
        <v>0</v>
      </c>
      <c r="O94" s="207">
        <f>SUMIFS('март 2023'!$G$4:$G$582,'март 2023'!$D$4:$D$582,$B94,'март 2023'!$J$4:$J$582,O$1)</f>
        <v>0</v>
      </c>
      <c r="P94" s="207">
        <f>SUMIFS('март 2023'!$G$4:$G$582,'март 2023'!$D$4:$D$582,$B94,'март 2023'!$J$4:$J$582,P$1)</f>
        <v>0</v>
      </c>
      <c r="Q94" s="207">
        <f>SUMIFS('март 2023'!$G$4:$G$582,'март 2023'!$D$4:$D$582,$B94,'март 2023'!$J$4:$J$582,Q$1)</f>
        <v>0</v>
      </c>
      <c r="R94" s="207">
        <f>SUMIFS('март 2023'!$G$4:$G$582,'март 2023'!$D$4:$D$582,$B94,'март 2023'!$J$4:$J$582,R$1)</f>
        <v>0</v>
      </c>
      <c r="S94" s="207">
        <f>SUMIFS('март 2023'!$G$4:$G$582,'март 2023'!$D$4:$D$582,$B94,'март 2023'!$J$4:$J$582,S$1)</f>
        <v>0</v>
      </c>
      <c r="T94" s="207">
        <f>SUMIFS('март 2023'!$G$4:$G$582,'март 2023'!$D$4:$D$582,$B94,'март 2023'!$J$4:$J$582,T$1)</f>
        <v>0</v>
      </c>
      <c r="U94" s="207">
        <f>SUMIFS('март 2023'!$G$4:$G$582,'март 2023'!$D$4:$D$582,$B94,'март 2023'!$J$4:$J$582,U$1)</f>
        <v>0</v>
      </c>
      <c r="V94" s="207">
        <f>SUMIFS('март 2023'!$G$4:$G$582,'март 2023'!$D$4:$D$582,$B94,'март 2023'!$J$4:$J$582,V$1)</f>
        <v>0</v>
      </c>
      <c r="W94" s="207">
        <f>SUMIFS('март 2023'!$G$4:$G$582,'март 2023'!$D$4:$D$582,$B94,'март 2023'!$J$4:$J$582,W$1)</f>
        <v>0</v>
      </c>
      <c r="X94" s="207">
        <f>SUMIFS('март 2023'!$G$4:$G$582,'март 2023'!$D$4:$D$582,$B94,'март 2023'!$J$4:$J$582,X$1)</f>
        <v>80</v>
      </c>
      <c r="Y94" s="207">
        <f>SUMIFS('март 2023'!$G$4:$G$582,'март 2023'!$D$4:$D$582,$B94,'март 2023'!$J$4:$J$582,Y$1)</f>
        <v>0</v>
      </c>
      <c r="Z94" s="207">
        <f>SUMIFS('март 2023'!$G$4:$G$582,'март 2023'!$D$4:$D$582,$B94,'март 2023'!$J$4:$J$582,Z$1)</f>
        <v>0</v>
      </c>
      <c r="AA94" s="207">
        <f>SUMIFS('март 2023'!$G$4:$G$582,'март 2023'!$D$4:$D$582,$B94,'март 2023'!$J$4:$J$582,AA$1)</f>
        <v>0</v>
      </c>
      <c r="AB94" s="207">
        <f>SUMIFS('март 2023'!$G$4:$G$582,'март 2023'!$D$4:$D$582,$B94,'март 2023'!$J$4:$J$582,AB$1)</f>
        <v>0</v>
      </c>
      <c r="AC94" s="207">
        <f>SUMIFS('март 2023'!$G$4:$G$582,'март 2023'!$D$4:$D$582,$B94,'март 2023'!$J$4:$J$582,AC$1)</f>
        <v>0</v>
      </c>
      <c r="AD94" s="207">
        <f>SUMIFS('март 2023'!$G$4:$G$582,'март 2023'!$D$4:$D$582,$B94,'март 2023'!$J$4:$J$582,AD$1)</f>
        <v>0</v>
      </c>
      <c r="AE94" s="207">
        <f>SUMIFS('март 2023'!$G$4:$G$582,'март 2023'!$D$4:$D$582,$B94,'март 2023'!$J$4:$J$582,AE$1)</f>
        <v>0</v>
      </c>
      <c r="AF94" s="207">
        <f>SUMIFS('март 2023'!$G$4:$G$582,'март 2023'!$D$4:$D$582,$B94,'март 2023'!$J$4:$J$582,AF$1)</f>
        <v>0</v>
      </c>
      <c r="AG94" s="207">
        <f>SUMIFS('март 2023'!$G$4:$G$582,'март 2023'!$D$4:$D$582,$B94,'март 2023'!$J$4:$J$582,AG$1)</f>
        <v>0</v>
      </c>
      <c r="AH94" s="207">
        <f>SUMIFS('март 2023'!$G$4:$G$582,'март 2023'!$D$4:$D$582,$B94,'март 2023'!$J$4:$J$582,AH$1)</f>
        <v>80</v>
      </c>
      <c r="AI94" s="170">
        <f t="shared" si="3"/>
        <v>176</v>
      </c>
    </row>
    <row r="95" spans="2:35" ht="15" customHeight="1" x14ac:dyDescent="0.25">
      <c r="B95" s="212"/>
      <c r="C95" s="211"/>
      <c r="D95" s="207">
        <f>SUMIFS('март 2023'!$G$4:$G$582,'март 2023'!$D$4:$D$582,$B95,'март 2023'!$J$4:$J$582,D$1)</f>
        <v>0</v>
      </c>
      <c r="E95" s="207">
        <f>SUMIFS('март 2023'!$G$4:$G$582,'март 2023'!$D$4:$D$582,$B95,'март 2023'!$J$4:$J$582,E$1)</f>
        <v>0</v>
      </c>
      <c r="F95" s="207">
        <f>SUMIFS('март 2023'!$G$4:$G$582,'март 2023'!$D$4:$D$582,$B95,'март 2023'!$J$4:$J$582,F$1)</f>
        <v>0</v>
      </c>
      <c r="G95" s="207">
        <f>SUMIFS('март 2023'!$G$4:$G$582,'март 2023'!$D$4:$D$582,$B95,'март 2023'!$J$4:$J$582,G$1)</f>
        <v>0</v>
      </c>
      <c r="H95" s="207">
        <f>SUMIFS('март 2023'!$G$4:$G$582,'март 2023'!$D$4:$D$582,$B95,'март 2023'!$J$4:$J$582,H$1)</f>
        <v>0</v>
      </c>
      <c r="I95" s="207">
        <f>SUMIFS('март 2023'!$G$4:$G$582,'март 2023'!$D$4:$D$582,$B95,'март 2023'!$J$4:$J$582,I$1)</f>
        <v>0</v>
      </c>
      <c r="J95" s="207">
        <f>SUMIFS('март 2023'!$G$4:$G$582,'март 2023'!$D$4:$D$582,$B95,'март 2023'!$J$4:$J$582,J$1)</f>
        <v>0</v>
      </c>
      <c r="K95" s="207">
        <f>SUMIFS('март 2023'!$G$4:$G$582,'март 2023'!$D$4:$D$582,$B95,'март 2023'!$J$4:$J$582,K$1)</f>
        <v>0</v>
      </c>
      <c r="L95" s="207">
        <f>SUMIFS('март 2023'!$G$4:$G$582,'март 2023'!$D$4:$D$582,$B95,'март 2023'!$J$4:$J$582,L$1)</f>
        <v>0</v>
      </c>
      <c r="M95" s="207">
        <f>SUMIFS('март 2023'!$G$4:$G$582,'март 2023'!$D$4:$D$582,$B95,'март 2023'!$J$4:$J$582,M$1)</f>
        <v>0</v>
      </c>
      <c r="N95" s="207">
        <f>SUMIFS('март 2023'!$G$4:$G$582,'март 2023'!$D$4:$D$582,$B95,'март 2023'!$J$4:$J$582,N$1)</f>
        <v>0</v>
      </c>
      <c r="O95" s="207">
        <f>SUMIFS('март 2023'!$G$4:$G$582,'март 2023'!$D$4:$D$582,$B95,'март 2023'!$J$4:$J$582,O$1)</f>
        <v>0</v>
      </c>
      <c r="P95" s="207">
        <f>SUMIFS('март 2023'!$G$4:$G$582,'март 2023'!$D$4:$D$582,$B95,'март 2023'!$J$4:$J$582,P$1)</f>
        <v>0</v>
      </c>
      <c r="Q95" s="207">
        <f>SUMIFS('март 2023'!$G$4:$G$582,'март 2023'!$D$4:$D$582,$B95,'март 2023'!$J$4:$J$582,Q$1)</f>
        <v>0</v>
      </c>
      <c r="R95" s="207">
        <f>SUMIFS('март 2023'!$G$4:$G$582,'март 2023'!$D$4:$D$582,$B95,'март 2023'!$J$4:$J$582,R$1)</f>
        <v>0</v>
      </c>
      <c r="S95" s="207">
        <f>SUMIFS('март 2023'!$G$4:$G$582,'март 2023'!$D$4:$D$582,$B95,'март 2023'!$J$4:$J$582,S$1)</f>
        <v>0</v>
      </c>
      <c r="T95" s="207">
        <f>SUMIFS('март 2023'!$G$4:$G$582,'март 2023'!$D$4:$D$582,$B95,'март 2023'!$J$4:$J$582,T$1)</f>
        <v>0</v>
      </c>
      <c r="U95" s="207">
        <f>SUMIFS('март 2023'!$G$4:$G$582,'март 2023'!$D$4:$D$582,$B95,'март 2023'!$J$4:$J$582,U$1)</f>
        <v>0</v>
      </c>
      <c r="V95" s="207">
        <f>SUMIFS('март 2023'!$G$4:$G$582,'март 2023'!$D$4:$D$582,$B95,'март 2023'!$J$4:$J$582,V$1)</f>
        <v>0</v>
      </c>
      <c r="W95" s="207">
        <f>SUMIFS('март 2023'!$G$4:$G$582,'март 2023'!$D$4:$D$582,$B95,'март 2023'!$J$4:$J$582,W$1)</f>
        <v>0</v>
      </c>
      <c r="X95" s="207">
        <f>SUMIFS('март 2023'!$G$4:$G$582,'март 2023'!$D$4:$D$582,$B95,'март 2023'!$J$4:$J$582,X$1)</f>
        <v>0</v>
      </c>
      <c r="Y95" s="207">
        <f>SUMIFS('март 2023'!$G$4:$G$582,'март 2023'!$D$4:$D$582,$B95,'март 2023'!$J$4:$J$582,Y$1)</f>
        <v>0</v>
      </c>
      <c r="Z95" s="207">
        <f>SUMIFS('март 2023'!$G$4:$G$582,'март 2023'!$D$4:$D$582,$B95,'март 2023'!$J$4:$J$582,Z$1)</f>
        <v>0</v>
      </c>
      <c r="AA95" s="207">
        <f>SUMIFS('март 2023'!$G$4:$G$582,'март 2023'!$D$4:$D$582,$B95,'март 2023'!$J$4:$J$582,AA$1)</f>
        <v>0</v>
      </c>
      <c r="AB95" s="207">
        <f>SUMIFS('март 2023'!$G$4:$G$582,'март 2023'!$D$4:$D$582,$B95,'март 2023'!$J$4:$J$582,AB$1)</f>
        <v>0</v>
      </c>
      <c r="AC95" s="207">
        <f>SUMIFS('март 2023'!$G$4:$G$582,'март 2023'!$D$4:$D$582,$B95,'март 2023'!$J$4:$J$582,AC$1)</f>
        <v>0</v>
      </c>
      <c r="AD95" s="207">
        <f>SUMIFS('март 2023'!$G$4:$G$582,'март 2023'!$D$4:$D$582,$B95,'март 2023'!$J$4:$J$582,AD$1)</f>
        <v>0</v>
      </c>
      <c r="AE95" s="207">
        <f>SUMIFS('март 2023'!$G$4:$G$582,'март 2023'!$D$4:$D$582,$B95,'март 2023'!$J$4:$J$582,AE$1)</f>
        <v>0</v>
      </c>
      <c r="AF95" s="207">
        <f>SUMIFS('март 2023'!$G$4:$G$582,'март 2023'!$D$4:$D$582,$B95,'март 2023'!$J$4:$J$582,AF$1)</f>
        <v>0</v>
      </c>
      <c r="AG95" s="207">
        <f>SUMIFS('март 2023'!$G$4:$G$582,'март 2023'!$D$4:$D$582,$B95,'март 2023'!$J$4:$J$582,AG$1)</f>
        <v>0</v>
      </c>
      <c r="AH95" s="207">
        <f>SUMIFS('март 2023'!$G$4:$G$582,'март 2023'!$D$4:$D$582,$B95,'март 2023'!$J$4:$J$582,AH$1)</f>
        <v>0</v>
      </c>
      <c r="AI95" s="170">
        <f t="shared" si="3"/>
        <v>0</v>
      </c>
    </row>
    <row r="96" spans="2:35" ht="15" customHeight="1" x14ac:dyDescent="0.25">
      <c r="B96" s="218" t="s">
        <v>2194</v>
      </c>
      <c r="C96" s="219">
        <v>20</v>
      </c>
      <c r="D96" s="207">
        <f>SUMIFS('март 2023'!$G$4:$G$582,'март 2023'!$D$4:$D$582,$B96,'март 2023'!$J$4:$J$582,D$1)</f>
        <v>0</v>
      </c>
      <c r="E96" s="207">
        <f>SUMIFS('март 2023'!$G$4:$G$582,'март 2023'!$D$4:$D$582,$B96,'март 2023'!$J$4:$J$582,E$1)</f>
        <v>0</v>
      </c>
      <c r="F96" s="207">
        <f>SUMIFS('март 2023'!$G$4:$G$582,'март 2023'!$D$4:$D$582,$B96,'март 2023'!$J$4:$J$582,F$1)</f>
        <v>0</v>
      </c>
      <c r="G96" s="207">
        <f>SUMIFS('март 2023'!$G$4:$G$582,'март 2023'!$D$4:$D$582,$B96,'март 2023'!$J$4:$J$582,G$1)</f>
        <v>0</v>
      </c>
      <c r="H96" s="207">
        <f>SUMIFS('март 2023'!$G$4:$G$582,'март 2023'!$D$4:$D$582,$B96,'март 2023'!$J$4:$J$582,H$1)</f>
        <v>0</v>
      </c>
      <c r="I96" s="207">
        <f>SUMIFS('март 2023'!$G$4:$G$582,'март 2023'!$D$4:$D$582,$B96,'март 2023'!$J$4:$J$582,I$1)</f>
        <v>0</v>
      </c>
      <c r="J96" s="207">
        <f>SUMIFS('март 2023'!$G$4:$G$582,'март 2023'!$D$4:$D$582,$B96,'март 2023'!$J$4:$J$582,J$1)</f>
        <v>0</v>
      </c>
      <c r="K96" s="207">
        <f>SUMIFS('март 2023'!$G$4:$G$582,'март 2023'!$D$4:$D$582,$B96,'март 2023'!$J$4:$J$582,K$1)</f>
        <v>0</v>
      </c>
      <c r="L96" s="207">
        <f>SUMIFS('март 2023'!$G$4:$G$582,'март 2023'!$D$4:$D$582,$B96,'март 2023'!$J$4:$J$582,L$1)</f>
        <v>0</v>
      </c>
      <c r="M96" s="207">
        <f>SUMIFS('март 2023'!$G$4:$G$582,'март 2023'!$D$4:$D$582,$B96,'март 2023'!$J$4:$J$582,M$1)</f>
        <v>0</v>
      </c>
      <c r="N96" s="207">
        <f>SUMIFS('март 2023'!$G$4:$G$582,'март 2023'!$D$4:$D$582,$B96,'март 2023'!$J$4:$J$582,N$1)</f>
        <v>0</v>
      </c>
      <c r="O96" s="207">
        <f>SUMIFS('март 2023'!$G$4:$G$582,'март 2023'!$D$4:$D$582,$B96,'март 2023'!$J$4:$J$582,O$1)</f>
        <v>0</v>
      </c>
      <c r="P96" s="207">
        <f>SUMIFS('март 2023'!$G$4:$G$582,'март 2023'!$D$4:$D$582,$B96,'март 2023'!$J$4:$J$582,P$1)</f>
        <v>0</v>
      </c>
      <c r="Q96" s="207">
        <f>SUMIFS('март 2023'!$G$4:$G$582,'март 2023'!$D$4:$D$582,$B96,'март 2023'!$J$4:$J$582,Q$1)</f>
        <v>0</v>
      </c>
      <c r="R96" s="207">
        <f>SUMIFS('март 2023'!$G$4:$G$582,'март 2023'!$D$4:$D$582,$B96,'март 2023'!$J$4:$J$582,R$1)</f>
        <v>0</v>
      </c>
      <c r="S96" s="207">
        <f>SUMIFS('март 2023'!$G$4:$G$582,'март 2023'!$D$4:$D$582,$B96,'март 2023'!$J$4:$J$582,S$1)</f>
        <v>0</v>
      </c>
      <c r="T96" s="207">
        <f>SUMIFS('март 2023'!$G$4:$G$582,'март 2023'!$D$4:$D$582,$B96,'март 2023'!$J$4:$J$582,T$1)</f>
        <v>0</v>
      </c>
      <c r="U96" s="207">
        <f>SUMIFS('март 2023'!$G$4:$G$582,'март 2023'!$D$4:$D$582,$B96,'март 2023'!$J$4:$J$582,U$1)</f>
        <v>0</v>
      </c>
      <c r="V96" s="207">
        <f>SUMIFS('март 2023'!$G$4:$G$582,'март 2023'!$D$4:$D$582,$B96,'март 2023'!$J$4:$J$582,V$1)</f>
        <v>0</v>
      </c>
      <c r="W96" s="207">
        <f>SUMIFS('март 2023'!$G$4:$G$582,'март 2023'!$D$4:$D$582,$B96,'март 2023'!$J$4:$J$582,W$1)</f>
        <v>0</v>
      </c>
      <c r="X96" s="207">
        <f>SUMIFS('март 2023'!$G$4:$G$582,'март 2023'!$D$4:$D$582,$B96,'март 2023'!$J$4:$J$582,X$1)</f>
        <v>0</v>
      </c>
      <c r="Y96" s="207">
        <f>SUMIFS('март 2023'!$G$4:$G$582,'март 2023'!$D$4:$D$582,$B96,'март 2023'!$J$4:$J$582,Y$1)</f>
        <v>0</v>
      </c>
      <c r="Z96" s="207">
        <f>SUMIFS('март 2023'!$G$4:$G$582,'март 2023'!$D$4:$D$582,$B96,'март 2023'!$J$4:$J$582,Z$1)</f>
        <v>0</v>
      </c>
      <c r="AA96" s="207">
        <f>SUMIFS('март 2023'!$G$4:$G$582,'март 2023'!$D$4:$D$582,$B96,'март 2023'!$J$4:$J$582,AA$1)</f>
        <v>0</v>
      </c>
      <c r="AB96" s="207">
        <f>SUMIFS('март 2023'!$G$4:$G$582,'март 2023'!$D$4:$D$582,$B96,'март 2023'!$J$4:$J$582,AB$1)</f>
        <v>0</v>
      </c>
      <c r="AC96" s="207">
        <f>SUMIFS('март 2023'!$G$4:$G$582,'март 2023'!$D$4:$D$582,$B96,'март 2023'!$J$4:$J$582,AC$1)</f>
        <v>0</v>
      </c>
      <c r="AD96" s="207">
        <f>SUMIFS('март 2023'!$G$4:$G$582,'март 2023'!$D$4:$D$582,$B96,'март 2023'!$J$4:$J$582,AD$1)</f>
        <v>0</v>
      </c>
      <c r="AE96" s="207">
        <f>SUMIFS('март 2023'!$G$4:$G$582,'март 2023'!$D$4:$D$582,$B96,'март 2023'!$J$4:$J$582,AE$1)</f>
        <v>0</v>
      </c>
      <c r="AF96" s="207">
        <f>SUMIFS('март 2023'!$G$4:$G$582,'март 2023'!$D$4:$D$582,$B96,'март 2023'!$J$4:$J$582,AF$1)</f>
        <v>0</v>
      </c>
      <c r="AG96" s="207">
        <f>SUMIFS('март 2023'!$G$4:$G$582,'март 2023'!$D$4:$D$582,$B96,'март 2023'!$J$4:$J$582,AG$1)</f>
        <v>0</v>
      </c>
      <c r="AH96" s="207">
        <f>SUMIFS('март 2023'!$G$4:$G$582,'март 2023'!$D$4:$D$582,$B96,'март 2023'!$J$4:$J$582,AH$1)</f>
        <v>0</v>
      </c>
      <c r="AI96" s="170">
        <f t="shared" si="3"/>
        <v>0</v>
      </c>
    </row>
    <row r="97" spans="2:35" ht="15" customHeight="1" x14ac:dyDescent="0.25">
      <c r="B97" s="212" t="s">
        <v>2195</v>
      </c>
      <c r="C97" s="213">
        <v>20</v>
      </c>
      <c r="D97" s="207">
        <f>SUMIFS('март 2023'!$G$4:$G$582,'март 2023'!$D$4:$D$582,$B97,'март 2023'!$J$4:$J$582,D$1)</f>
        <v>0</v>
      </c>
      <c r="E97" s="207">
        <f>SUMIFS('март 2023'!$G$4:$G$582,'март 2023'!$D$4:$D$582,$B97,'март 2023'!$J$4:$J$582,E$1)</f>
        <v>0</v>
      </c>
      <c r="F97" s="207">
        <f>SUMIFS('март 2023'!$G$4:$G$582,'март 2023'!$D$4:$D$582,$B97,'март 2023'!$J$4:$J$582,F$1)</f>
        <v>0</v>
      </c>
      <c r="G97" s="207">
        <f>SUMIFS('март 2023'!$G$4:$G$582,'март 2023'!$D$4:$D$582,$B97,'март 2023'!$J$4:$J$582,G$1)</f>
        <v>0</v>
      </c>
      <c r="H97" s="207">
        <f>SUMIFS('март 2023'!$G$4:$G$582,'март 2023'!$D$4:$D$582,$B97,'март 2023'!$J$4:$J$582,H$1)</f>
        <v>0</v>
      </c>
      <c r="I97" s="207">
        <f>SUMIFS('март 2023'!$G$4:$G$582,'март 2023'!$D$4:$D$582,$B97,'март 2023'!$J$4:$J$582,I$1)</f>
        <v>0</v>
      </c>
      <c r="J97" s="207">
        <f>SUMIFS('март 2023'!$G$4:$G$582,'март 2023'!$D$4:$D$582,$B97,'март 2023'!$J$4:$J$582,J$1)</f>
        <v>0</v>
      </c>
      <c r="K97" s="207">
        <f>SUMIFS('март 2023'!$G$4:$G$582,'март 2023'!$D$4:$D$582,$B97,'март 2023'!$J$4:$J$582,K$1)</f>
        <v>0</v>
      </c>
      <c r="L97" s="207">
        <f>SUMIFS('март 2023'!$G$4:$G$582,'март 2023'!$D$4:$D$582,$B97,'март 2023'!$J$4:$J$582,L$1)</f>
        <v>0</v>
      </c>
      <c r="M97" s="207">
        <f>SUMIFS('март 2023'!$G$4:$G$582,'март 2023'!$D$4:$D$582,$B97,'март 2023'!$J$4:$J$582,M$1)</f>
        <v>0</v>
      </c>
      <c r="N97" s="207">
        <f>SUMIFS('март 2023'!$G$4:$G$582,'март 2023'!$D$4:$D$582,$B97,'март 2023'!$J$4:$J$582,N$1)</f>
        <v>0</v>
      </c>
      <c r="O97" s="207">
        <f>SUMIFS('март 2023'!$G$4:$G$582,'март 2023'!$D$4:$D$582,$B97,'март 2023'!$J$4:$J$582,O$1)</f>
        <v>0</v>
      </c>
      <c r="P97" s="207">
        <f>SUMIFS('март 2023'!$G$4:$G$582,'март 2023'!$D$4:$D$582,$B97,'март 2023'!$J$4:$J$582,P$1)</f>
        <v>0</v>
      </c>
      <c r="Q97" s="207">
        <f>SUMIFS('март 2023'!$G$4:$G$582,'март 2023'!$D$4:$D$582,$B97,'март 2023'!$J$4:$J$582,Q$1)</f>
        <v>0</v>
      </c>
      <c r="R97" s="207">
        <f>SUMIFS('март 2023'!$G$4:$G$582,'март 2023'!$D$4:$D$582,$B97,'март 2023'!$J$4:$J$582,R$1)</f>
        <v>0</v>
      </c>
      <c r="S97" s="207">
        <f>SUMIFS('март 2023'!$G$4:$G$582,'март 2023'!$D$4:$D$582,$B97,'март 2023'!$J$4:$J$582,S$1)</f>
        <v>0</v>
      </c>
      <c r="T97" s="207">
        <f>SUMIFS('март 2023'!$G$4:$G$582,'март 2023'!$D$4:$D$582,$B97,'март 2023'!$J$4:$J$582,T$1)</f>
        <v>0</v>
      </c>
      <c r="U97" s="207">
        <f>SUMIFS('март 2023'!$G$4:$G$582,'март 2023'!$D$4:$D$582,$B97,'март 2023'!$J$4:$J$582,U$1)</f>
        <v>0</v>
      </c>
      <c r="V97" s="207">
        <f>SUMIFS('март 2023'!$G$4:$G$582,'март 2023'!$D$4:$D$582,$B97,'март 2023'!$J$4:$J$582,V$1)</f>
        <v>0</v>
      </c>
      <c r="W97" s="207">
        <f>SUMIFS('март 2023'!$G$4:$G$582,'март 2023'!$D$4:$D$582,$B97,'март 2023'!$J$4:$J$582,W$1)</f>
        <v>0</v>
      </c>
      <c r="X97" s="207">
        <f>SUMIFS('март 2023'!$G$4:$G$582,'март 2023'!$D$4:$D$582,$B97,'март 2023'!$J$4:$J$582,X$1)</f>
        <v>0</v>
      </c>
      <c r="Y97" s="207">
        <f>SUMIFS('март 2023'!$G$4:$G$582,'март 2023'!$D$4:$D$582,$B97,'март 2023'!$J$4:$J$582,Y$1)</f>
        <v>0</v>
      </c>
      <c r="Z97" s="207">
        <f>SUMIFS('март 2023'!$G$4:$G$582,'март 2023'!$D$4:$D$582,$B97,'март 2023'!$J$4:$J$582,Z$1)</f>
        <v>0</v>
      </c>
      <c r="AA97" s="207">
        <f>SUMIFS('март 2023'!$G$4:$G$582,'март 2023'!$D$4:$D$582,$B97,'март 2023'!$J$4:$J$582,AA$1)</f>
        <v>0</v>
      </c>
      <c r="AB97" s="207">
        <f>SUMIFS('март 2023'!$G$4:$G$582,'март 2023'!$D$4:$D$582,$B97,'март 2023'!$J$4:$J$582,AB$1)</f>
        <v>0</v>
      </c>
      <c r="AC97" s="207">
        <f>SUMIFS('март 2023'!$G$4:$G$582,'март 2023'!$D$4:$D$582,$B97,'март 2023'!$J$4:$J$582,AC$1)</f>
        <v>0</v>
      </c>
      <c r="AD97" s="207">
        <f>SUMIFS('март 2023'!$G$4:$G$582,'март 2023'!$D$4:$D$582,$B97,'март 2023'!$J$4:$J$582,AD$1)</f>
        <v>0</v>
      </c>
      <c r="AE97" s="207">
        <f>SUMIFS('март 2023'!$G$4:$G$582,'март 2023'!$D$4:$D$582,$B97,'март 2023'!$J$4:$J$582,AE$1)</f>
        <v>0</v>
      </c>
      <c r="AF97" s="207">
        <f>SUMIFS('март 2023'!$G$4:$G$582,'март 2023'!$D$4:$D$582,$B97,'март 2023'!$J$4:$J$582,AF$1)</f>
        <v>0</v>
      </c>
      <c r="AG97" s="207">
        <f>SUMIFS('март 2023'!$G$4:$G$582,'март 2023'!$D$4:$D$582,$B97,'март 2023'!$J$4:$J$582,AG$1)</f>
        <v>0</v>
      </c>
      <c r="AH97" s="207">
        <f>SUMIFS('март 2023'!$G$4:$G$582,'март 2023'!$D$4:$D$582,$B97,'март 2023'!$J$4:$J$582,AH$1)</f>
        <v>0</v>
      </c>
      <c r="AI97" s="170">
        <f t="shared" si="3"/>
        <v>0</v>
      </c>
    </row>
    <row r="98" spans="2:35" ht="15" customHeight="1" x14ac:dyDescent="0.25">
      <c r="B98" s="212"/>
      <c r="C98" s="213"/>
      <c r="D98" s="207">
        <f>SUMIFS('март 2023'!$G$4:$G$582,'март 2023'!$D$4:$D$582,$B98,'март 2023'!$J$4:$J$582,D$1)</f>
        <v>0</v>
      </c>
      <c r="E98" s="207">
        <f>SUMIFS('март 2023'!$G$4:$G$582,'март 2023'!$D$4:$D$582,$B98,'март 2023'!$J$4:$J$582,E$1)</f>
        <v>0</v>
      </c>
      <c r="F98" s="207">
        <f>SUMIFS('март 2023'!$G$4:$G$582,'март 2023'!$D$4:$D$582,$B98,'март 2023'!$J$4:$J$582,F$1)</f>
        <v>0</v>
      </c>
      <c r="G98" s="207">
        <f>SUMIFS('март 2023'!$G$4:$G$582,'март 2023'!$D$4:$D$582,$B98,'март 2023'!$J$4:$J$582,G$1)</f>
        <v>0</v>
      </c>
      <c r="H98" s="207">
        <f>SUMIFS('март 2023'!$G$4:$G$582,'март 2023'!$D$4:$D$582,$B98,'март 2023'!$J$4:$J$582,H$1)</f>
        <v>0</v>
      </c>
      <c r="I98" s="207">
        <f>SUMIFS('март 2023'!$G$4:$G$582,'март 2023'!$D$4:$D$582,$B98,'март 2023'!$J$4:$J$582,I$1)</f>
        <v>0</v>
      </c>
      <c r="J98" s="207">
        <f>SUMIFS('март 2023'!$G$4:$G$582,'март 2023'!$D$4:$D$582,$B98,'март 2023'!$J$4:$J$582,J$1)</f>
        <v>0</v>
      </c>
      <c r="K98" s="207">
        <f>SUMIFS('март 2023'!$G$4:$G$582,'март 2023'!$D$4:$D$582,$B98,'март 2023'!$J$4:$J$582,K$1)</f>
        <v>0</v>
      </c>
      <c r="L98" s="207">
        <f>SUMIFS('март 2023'!$G$4:$G$582,'март 2023'!$D$4:$D$582,$B98,'март 2023'!$J$4:$J$582,L$1)</f>
        <v>0</v>
      </c>
      <c r="M98" s="207">
        <f>SUMIFS('март 2023'!$G$4:$G$582,'март 2023'!$D$4:$D$582,$B98,'март 2023'!$J$4:$J$582,M$1)</f>
        <v>0</v>
      </c>
      <c r="N98" s="207">
        <f>SUMIFS('март 2023'!$G$4:$G$582,'март 2023'!$D$4:$D$582,$B98,'март 2023'!$J$4:$J$582,N$1)</f>
        <v>0</v>
      </c>
      <c r="O98" s="207">
        <f>SUMIFS('март 2023'!$G$4:$G$582,'март 2023'!$D$4:$D$582,$B98,'март 2023'!$J$4:$J$582,O$1)</f>
        <v>0</v>
      </c>
      <c r="P98" s="207">
        <f>SUMIFS('март 2023'!$G$4:$G$582,'март 2023'!$D$4:$D$582,$B98,'март 2023'!$J$4:$J$582,P$1)</f>
        <v>0</v>
      </c>
      <c r="Q98" s="207">
        <f>SUMIFS('март 2023'!$G$4:$G$582,'март 2023'!$D$4:$D$582,$B98,'март 2023'!$J$4:$J$582,Q$1)</f>
        <v>0</v>
      </c>
      <c r="R98" s="207">
        <f>SUMIFS('март 2023'!$G$4:$G$582,'март 2023'!$D$4:$D$582,$B98,'март 2023'!$J$4:$J$582,R$1)</f>
        <v>0</v>
      </c>
      <c r="S98" s="207">
        <f>SUMIFS('март 2023'!$G$4:$G$582,'март 2023'!$D$4:$D$582,$B98,'март 2023'!$J$4:$J$582,S$1)</f>
        <v>0</v>
      </c>
      <c r="T98" s="207">
        <f>SUMIFS('март 2023'!$G$4:$G$582,'март 2023'!$D$4:$D$582,$B98,'март 2023'!$J$4:$J$582,T$1)</f>
        <v>0</v>
      </c>
      <c r="U98" s="207">
        <f>SUMIFS('март 2023'!$G$4:$G$582,'март 2023'!$D$4:$D$582,$B98,'март 2023'!$J$4:$J$582,U$1)</f>
        <v>0</v>
      </c>
      <c r="V98" s="207">
        <f>SUMIFS('март 2023'!$G$4:$G$582,'март 2023'!$D$4:$D$582,$B98,'март 2023'!$J$4:$J$582,V$1)</f>
        <v>0</v>
      </c>
      <c r="W98" s="207">
        <f>SUMIFS('март 2023'!$G$4:$G$582,'март 2023'!$D$4:$D$582,$B98,'март 2023'!$J$4:$J$582,W$1)</f>
        <v>0</v>
      </c>
      <c r="X98" s="207">
        <f>SUMIFS('март 2023'!$G$4:$G$582,'март 2023'!$D$4:$D$582,$B98,'март 2023'!$J$4:$J$582,X$1)</f>
        <v>0</v>
      </c>
      <c r="Y98" s="207">
        <f>SUMIFS('март 2023'!$G$4:$G$582,'март 2023'!$D$4:$D$582,$B98,'март 2023'!$J$4:$J$582,Y$1)</f>
        <v>0</v>
      </c>
      <c r="Z98" s="207">
        <f>SUMIFS('март 2023'!$G$4:$G$582,'март 2023'!$D$4:$D$582,$B98,'март 2023'!$J$4:$J$582,Z$1)</f>
        <v>0</v>
      </c>
      <c r="AA98" s="207">
        <f>SUMIFS('март 2023'!$G$4:$G$582,'март 2023'!$D$4:$D$582,$B98,'март 2023'!$J$4:$J$582,AA$1)</f>
        <v>0</v>
      </c>
      <c r="AB98" s="207">
        <f>SUMIFS('март 2023'!$G$4:$G$582,'март 2023'!$D$4:$D$582,$B98,'март 2023'!$J$4:$J$582,AB$1)</f>
        <v>0</v>
      </c>
      <c r="AC98" s="207">
        <f>SUMIFS('март 2023'!$G$4:$G$582,'март 2023'!$D$4:$D$582,$B98,'март 2023'!$J$4:$J$582,AC$1)</f>
        <v>0</v>
      </c>
      <c r="AD98" s="207">
        <f>SUMIFS('март 2023'!$G$4:$G$582,'март 2023'!$D$4:$D$582,$B98,'март 2023'!$J$4:$J$582,AD$1)</f>
        <v>0</v>
      </c>
      <c r="AE98" s="207">
        <f>SUMIFS('март 2023'!$G$4:$G$582,'март 2023'!$D$4:$D$582,$B98,'март 2023'!$J$4:$J$582,AE$1)</f>
        <v>0</v>
      </c>
      <c r="AF98" s="207">
        <f>SUMIFS('март 2023'!$G$4:$G$582,'март 2023'!$D$4:$D$582,$B98,'март 2023'!$J$4:$J$582,AF$1)</f>
        <v>0</v>
      </c>
      <c r="AG98" s="207">
        <f>SUMIFS('март 2023'!$G$4:$G$582,'март 2023'!$D$4:$D$582,$B98,'март 2023'!$J$4:$J$582,AG$1)</f>
        <v>0</v>
      </c>
      <c r="AH98" s="207">
        <f>SUMIFS('март 2023'!$G$4:$G$582,'март 2023'!$D$4:$D$582,$B98,'март 2023'!$J$4:$J$582,AH$1)</f>
        <v>0</v>
      </c>
      <c r="AI98" s="170">
        <f t="shared" si="3"/>
        <v>0</v>
      </c>
    </row>
    <row r="99" spans="2:35" ht="15" customHeight="1" x14ac:dyDescent="0.25">
      <c r="B99" s="212"/>
      <c r="C99" s="213"/>
      <c r="D99" s="207">
        <f>SUMIFS('март 2023'!$G$4:$G$582,'март 2023'!$D$4:$D$582,$B99,'март 2023'!$J$4:$J$582,D$1)</f>
        <v>0</v>
      </c>
      <c r="E99" s="207">
        <f>SUMIFS('март 2023'!$G$4:$G$582,'март 2023'!$D$4:$D$582,$B99,'март 2023'!$J$4:$J$582,E$1)</f>
        <v>0</v>
      </c>
      <c r="F99" s="207">
        <f>SUMIFS('март 2023'!$G$4:$G$582,'март 2023'!$D$4:$D$582,$B99,'март 2023'!$J$4:$J$582,F$1)</f>
        <v>0</v>
      </c>
      <c r="G99" s="207">
        <f>SUMIFS('март 2023'!$G$4:$G$582,'март 2023'!$D$4:$D$582,$B99,'март 2023'!$J$4:$J$582,G$1)</f>
        <v>0</v>
      </c>
      <c r="H99" s="207">
        <f>SUMIFS('март 2023'!$G$4:$G$582,'март 2023'!$D$4:$D$582,$B99,'март 2023'!$J$4:$J$582,H$1)</f>
        <v>0</v>
      </c>
      <c r="I99" s="207">
        <f>SUMIFS('март 2023'!$G$4:$G$582,'март 2023'!$D$4:$D$582,$B99,'март 2023'!$J$4:$J$582,I$1)</f>
        <v>0</v>
      </c>
      <c r="J99" s="207">
        <f>SUMIFS('март 2023'!$G$4:$G$582,'март 2023'!$D$4:$D$582,$B99,'март 2023'!$J$4:$J$582,J$1)</f>
        <v>0</v>
      </c>
      <c r="K99" s="207">
        <f>SUMIFS('март 2023'!$G$4:$G$582,'март 2023'!$D$4:$D$582,$B99,'март 2023'!$J$4:$J$582,K$1)</f>
        <v>0</v>
      </c>
      <c r="L99" s="207">
        <f>SUMIFS('март 2023'!$G$4:$G$582,'март 2023'!$D$4:$D$582,$B99,'март 2023'!$J$4:$J$582,L$1)</f>
        <v>0</v>
      </c>
      <c r="M99" s="207">
        <f>SUMIFS('март 2023'!$G$4:$G$582,'март 2023'!$D$4:$D$582,$B99,'март 2023'!$J$4:$J$582,M$1)</f>
        <v>0</v>
      </c>
      <c r="N99" s="207">
        <f>SUMIFS('март 2023'!$G$4:$G$582,'март 2023'!$D$4:$D$582,$B99,'март 2023'!$J$4:$J$582,N$1)</f>
        <v>0</v>
      </c>
      <c r="O99" s="207">
        <f>SUMIFS('март 2023'!$G$4:$G$582,'март 2023'!$D$4:$D$582,$B99,'март 2023'!$J$4:$J$582,O$1)</f>
        <v>0</v>
      </c>
      <c r="P99" s="207">
        <f>SUMIFS('март 2023'!$G$4:$G$582,'март 2023'!$D$4:$D$582,$B99,'март 2023'!$J$4:$J$582,P$1)</f>
        <v>0</v>
      </c>
      <c r="Q99" s="207">
        <f>SUMIFS('март 2023'!$G$4:$G$582,'март 2023'!$D$4:$D$582,$B99,'март 2023'!$J$4:$J$582,Q$1)</f>
        <v>0</v>
      </c>
      <c r="R99" s="207">
        <f>SUMIFS('март 2023'!$G$4:$G$582,'март 2023'!$D$4:$D$582,$B99,'март 2023'!$J$4:$J$582,R$1)</f>
        <v>0</v>
      </c>
      <c r="S99" s="207">
        <f>SUMIFS('март 2023'!$G$4:$G$582,'март 2023'!$D$4:$D$582,$B99,'март 2023'!$J$4:$J$582,S$1)</f>
        <v>0</v>
      </c>
      <c r="T99" s="207">
        <f>SUMIFS('март 2023'!$G$4:$G$582,'март 2023'!$D$4:$D$582,$B99,'март 2023'!$J$4:$J$582,T$1)</f>
        <v>0</v>
      </c>
      <c r="U99" s="207">
        <f>SUMIFS('март 2023'!$G$4:$G$582,'март 2023'!$D$4:$D$582,$B99,'март 2023'!$J$4:$J$582,U$1)</f>
        <v>0</v>
      </c>
      <c r="V99" s="207">
        <f>SUMIFS('март 2023'!$G$4:$G$582,'март 2023'!$D$4:$D$582,$B99,'март 2023'!$J$4:$J$582,V$1)</f>
        <v>0</v>
      </c>
      <c r="W99" s="207">
        <f>SUMIFS('март 2023'!$G$4:$G$582,'март 2023'!$D$4:$D$582,$B99,'март 2023'!$J$4:$J$582,W$1)</f>
        <v>0</v>
      </c>
      <c r="X99" s="207">
        <f>SUMIFS('март 2023'!$G$4:$G$582,'март 2023'!$D$4:$D$582,$B99,'март 2023'!$J$4:$J$582,X$1)</f>
        <v>0</v>
      </c>
      <c r="Y99" s="207">
        <f>SUMIFS('март 2023'!$G$4:$G$582,'март 2023'!$D$4:$D$582,$B99,'март 2023'!$J$4:$J$582,Y$1)</f>
        <v>0</v>
      </c>
      <c r="Z99" s="207">
        <f>SUMIFS('март 2023'!$G$4:$G$582,'март 2023'!$D$4:$D$582,$B99,'март 2023'!$J$4:$J$582,Z$1)</f>
        <v>0</v>
      </c>
      <c r="AA99" s="207">
        <f>SUMIFS('март 2023'!$G$4:$G$582,'март 2023'!$D$4:$D$582,$B99,'март 2023'!$J$4:$J$582,AA$1)</f>
        <v>0</v>
      </c>
      <c r="AB99" s="207">
        <f>SUMIFS('март 2023'!$G$4:$G$582,'март 2023'!$D$4:$D$582,$B99,'март 2023'!$J$4:$J$582,AB$1)</f>
        <v>0</v>
      </c>
      <c r="AC99" s="207">
        <f>SUMIFS('март 2023'!$G$4:$G$582,'март 2023'!$D$4:$D$582,$B99,'март 2023'!$J$4:$J$582,AC$1)</f>
        <v>0</v>
      </c>
      <c r="AD99" s="207">
        <f>SUMIFS('март 2023'!$G$4:$G$582,'март 2023'!$D$4:$D$582,$B99,'март 2023'!$J$4:$J$582,AD$1)</f>
        <v>0</v>
      </c>
      <c r="AE99" s="207">
        <f>SUMIFS('март 2023'!$G$4:$G$582,'март 2023'!$D$4:$D$582,$B99,'март 2023'!$J$4:$J$582,AE$1)</f>
        <v>0</v>
      </c>
      <c r="AF99" s="207">
        <f>SUMIFS('март 2023'!$G$4:$G$582,'март 2023'!$D$4:$D$582,$B99,'март 2023'!$J$4:$J$582,AF$1)</f>
        <v>0</v>
      </c>
      <c r="AG99" s="207">
        <f>SUMIFS('март 2023'!$G$4:$G$582,'март 2023'!$D$4:$D$582,$B99,'март 2023'!$J$4:$J$582,AG$1)</f>
        <v>0</v>
      </c>
      <c r="AH99" s="207">
        <f>SUMIFS('март 2023'!$G$4:$G$582,'март 2023'!$D$4:$D$582,$B99,'март 2023'!$J$4:$J$582,AH$1)</f>
        <v>0</v>
      </c>
      <c r="AI99" s="170">
        <f t="shared" si="3"/>
        <v>0</v>
      </c>
    </row>
    <row r="100" spans="2:35" ht="15" customHeight="1" x14ac:dyDescent="0.25">
      <c r="B100" s="216" t="s">
        <v>2196</v>
      </c>
      <c r="C100" s="213">
        <v>20</v>
      </c>
      <c r="D100" s="207">
        <f>SUMIFS('март 2023'!$G$4:$G$582,'март 2023'!$D$4:$D$582,$B100,'март 2023'!$J$4:$J$582,D$1)</f>
        <v>0</v>
      </c>
      <c r="E100" s="207">
        <f>SUMIFS('март 2023'!$G$4:$G$582,'март 2023'!$D$4:$D$582,$B100,'март 2023'!$J$4:$J$582,E$1)</f>
        <v>0</v>
      </c>
      <c r="F100" s="207">
        <f>SUMIFS('март 2023'!$G$4:$G$582,'март 2023'!$D$4:$D$582,$B100,'март 2023'!$J$4:$J$582,F$1)</f>
        <v>0</v>
      </c>
      <c r="G100" s="207">
        <f>SUMIFS('март 2023'!$G$4:$G$582,'март 2023'!$D$4:$D$582,$B100,'март 2023'!$J$4:$J$582,G$1)</f>
        <v>0</v>
      </c>
      <c r="H100" s="207">
        <f>SUMIFS('март 2023'!$G$4:$G$582,'март 2023'!$D$4:$D$582,$B100,'март 2023'!$J$4:$J$582,H$1)</f>
        <v>0</v>
      </c>
      <c r="I100" s="207">
        <f>SUMIFS('март 2023'!$G$4:$G$582,'март 2023'!$D$4:$D$582,$B100,'март 2023'!$J$4:$J$582,I$1)</f>
        <v>0</v>
      </c>
      <c r="J100" s="207">
        <f>SUMIFS('март 2023'!$G$4:$G$582,'март 2023'!$D$4:$D$582,$B100,'март 2023'!$J$4:$J$582,J$1)</f>
        <v>0</v>
      </c>
      <c r="K100" s="207">
        <f>SUMIFS('март 2023'!$G$4:$G$582,'март 2023'!$D$4:$D$582,$B100,'март 2023'!$J$4:$J$582,K$1)</f>
        <v>0</v>
      </c>
      <c r="L100" s="207">
        <f>SUMIFS('март 2023'!$G$4:$G$582,'март 2023'!$D$4:$D$582,$B100,'март 2023'!$J$4:$J$582,L$1)</f>
        <v>0</v>
      </c>
      <c r="M100" s="207">
        <f>SUMIFS('март 2023'!$G$4:$G$582,'март 2023'!$D$4:$D$582,$B100,'март 2023'!$J$4:$J$582,M$1)</f>
        <v>0</v>
      </c>
      <c r="N100" s="207">
        <f>SUMIFS('март 2023'!$G$4:$G$582,'март 2023'!$D$4:$D$582,$B100,'март 2023'!$J$4:$J$582,N$1)</f>
        <v>0</v>
      </c>
      <c r="O100" s="207">
        <f>SUMIFS('март 2023'!$G$4:$G$582,'март 2023'!$D$4:$D$582,$B100,'март 2023'!$J$4:$J$582,O$1)</f>
        <v>0</v>
      </c>
      <c r="P100" s="207">
        <f>SUMIFS('март 2023'!$G$4:$G$582,'март 2023'!$D$4:$D$582,$B100,'март 2023'!$J$4:$J$582,P$1)</f>
        <v>0</v>
      </c>
      <c r="Q100" s="207">
        <f>SUMIFS('март 2023'!$G$4:$G$582,'март 2023'!$D$4:$D$582,$B100,'март 2023'!$J$4:$J$582,Q$1)</f>
        <v>0</v>
      </c>
      <c r="R100" s="207">
        <f>SUMIFS('март 2023'!$G$4:$G$582,'март 2023'!$D$4:$D$582,$B100,'март 2023'!$J$4:$J$582,R$1)</f>
        <v>0</v>
      </c>
      <c r="S100" s="207">
        <f>SUMIFS('март 2023'!$G$4:$G$582,'март 2023'!$D$4:$D$582,$B100,'март 2023'!$J$4:$J$582,S$1)</f>
        <v>0</v>
      </c>
      <c r="T100" s="207">
        <f>SUMIFS('март 2023'!$G$4:$G$582,'март 2023'!$D$4:$D$582,$B100,'март 2023'!$J$4:$J$582,T$1)</f>
        <v>0</v>
      </c>
      <c r="U100" s="207">
        <f>SUMIFS('март 2023'!$G$4:$G$582,'март 2023'!$D$4:$D$582,$B100,'март 2023'!$J$4:$J$582,U$1)</f>
        <v>0</v>
      </c>
      <c r="V100" s="207">
        <f>SUMIFS('март 2023'!$G$4:$G$582,'март 2023'!$D$4:$D$582,$B100,'март 2023'!$J$4:$J$582,V$1)</f>
        <v>0</v>
      </c>
      <c r="W100" s="207">
        <f>SUMIFS('март 2023'!$G$4:$G$582,'март 2023'!$D$4:$D$582,$B100,'март 2023'!$J$4:$J$582,W$1)</f>
        <v>0</v>
      </c>
      <c r="X100" s="207">
        <f>SUMIFS('март 2023'!$G$4:$G$582,'март 2023'!$D$4:$D$582,$B100,'март 2023'!$J$4:$J$582,X$1)</f>
        <v>0</v>
      </c>
      <c r="Y100" s="207">
        <f>SUMIFS('март 2023'!$G$4:$G$582,'март 2023'!$D$4:$D$582,$B100,'март 2023'!$J$4:$J$582,Y$1)</f>
        <v>0</v>
      </c>
      <c r="Z100" s="207">
        <f>SUMIFS('март 2023'!$G$4:$G$582,'март 2023'!$D$4:$D$582,$B100,'март 2023'!$J$4:$J$582,Z$1)</f>
        <v>0</v>
      </c>
      <c r="AA100" s="207">
        <f>SUMIFS('март 2023'!$G$4:$G$582,'март 2023'!$D$4:$D$582,$B100,'март 2023'!$J$4:$J$582,AA$1)</f>
        <v>0</v>
      </c>
      <c r="AB100" s="207">
        <f>SUMIFS('март 2023'!$G$4:$G$582,'март 2023'!$D$4:$D$582,$B100,'март 2023'!$J$4:$J$582,AB$1)</f>
        <v>0</v>
      </c>
      <c r="AC100" s="207">
        <f>SUMIFS('март 2023'!$G$4:$G$582,'март 2023'!$D$4:$D$582,$B100,'март 2023'!$J$4:$J$582,AC$1)</f>
        <v>0</v>
      </c>
      <c r="AD100" s="207">
        <f>SUMIFS('март 2023'!$G$4:$G$582,'март 2023'!$D$4:$D$582,$B100,'март 2023'!$J$4:$J$582,AD$1)</f>
        <v>0</v>
      </c>
      <c r="AE100" s="207">
        <f>SUMIFS('март 2023'!$G$4:$G$582,'март 2023'!$D$4:$D$582,$B100,'март 2023'!$J$4:$J$582,AE$1)</f>
        <v>0</v>
      </c>
      <c r="AF100" s="207">
        <f>SUMIFS('март 2023'!$G$4:$G$582,'март 2023'!$D$4:$D$582,$B100,'март 2023'!$J$4:$J$582,AF$1)</f>
        <v>0</v>
      </c>
      <c r="AG100" s="207">
        <f>SUMIFS('март 2023'!$G$4:$G$582,'март 2023'!$D$4:$D$582,$B100,'март 2023'!$J$4:$J$582,AG$1)</f>
        <v>0</v>
      </c>
      <c r="AH100" s="207">
        <f>SUMIFS('март 2023'!$G$4:$G$582,'март 2023'!$D$4:$D$582,$B100,'март 2023'!$J$4:$J$582,AH$1)</f>
        <v>0</v>
      </c>
      <c r="AI100" s="170">
        <f t="shared" si="3"/>
        <v>0</v>
      </c>
    </row>
    <row r="101" spans="2:35" ht="16.899999999999999" customHeight="1" x14ac:dyDescent="0.25">
      <c r="B101" s="212" t="s">
        <v>2197</v>
      </c>
      <c r="C101" s="211">
        <v>20</v>
      </c>
      <c r="D101" s="207">
        <f>SUMIFS('март 2023'!$G$4:$G$582,'март 2023'!$D$4:$D$582,$B101,'март 2023'!$J$4:$J$582,D$1)</f>
        <v>0</v>
      </c>
      <c r="E101" s="207">
        <f>SUMIFS('март 2023'!$G$4:$G$582,'март 2023'!$D$4:$D$582,$B101,'март 2023'!$J$4:$J$582,E$1)</f>
        <v>0</v>
      </c>
      <c r="F101" s="207">
        <f>SUMIFS('март 2023'!$G$4:$G$582,'март 2023'!$D$4:$D$582,$B101,'март 2023'!$J$4:$J$582,F$1)</f>
        <v>0</v>
      </c>
      <c r="G101" s="207">
        <f>SUMIFS('март 2023'!$G$4:$G$582,'март 2023'!$D$4:$D$582,$B101,'март 2023'!$J$4:$J$582,G$1)</f>
        <v>0</v>
      </c>
      <c r="H101" s="207">
        <f>SUMIFS('март 2023'!$G$4:$G$582,'март 2023'!$D$4:$D$582,$B101,'март 2023'!$J$4:$J$582,H$1)</f>
        <v>0</v>
      </c>
      <c r="I101" s="207">
        <f>SUMIFS('март 2023'!$G$4:$G$582,'март 2023'!$D$4:$D$582,$B101,'март 2023'!$J$4:$J$582,I$1)</f>
        <v>0</v>
      </c>
      <c r="J101" s="207">
        <f>SUMIFS('март 2023'!$G$4:$G$582,'март 2023'!$D$4:$D$582,$B101,'март 2023'!$J$4:$J$582,J$1)</f>
        <v>0</v>
      </c>
      <c r="K101" s="207">
        <f>SUMIFS('март 2023'!$G$4:$G$582,'март 2023'!$D$4:$D$582,$B101,'март 2023'!$J$4:$J$582,K$1)</f>
        <v>0</v>
      </c>
      <c r="L101" s="207">
        <f>SUMIFS('март 2023'!$G$4:$G$582,'март 2023'!$D$4:$D$582,$B101,'март 2023'!$J$4:$J$582,L$1)</f>
        <v>0</v>
      </c>
      <c r="M101" s="207">
        <f>SUMIFS('март 2023'!$G$4:$G$582,'март 2023'!$D$4:$D$582,$B101,'март 2023'!$J$4:$J$582,M$1)</f>
        <v>0</v>
      </c>
      <c r="N101" s="207">
        <f>SUMIFS('март 2023'!$G$4:$G$582,'март 2023'!$D$4:$D$582,$B101,'март 2023'!$J$4:$J$582,N$1)</f>
        <v>0</v>
      </c>
      <c r="O101" s="207">
        <f>SUMIFS('март 2023'!$G$4:$G$582,'март 2023'!$D$4:$D$582,$B101,'март 2023'!$J$4:$J$582,O$1)</f>
        <v>0</v>
      </c>
      <c r="P101" s="207">
        <f>SUMIFS('март 2023'!$G$4:$G$582,'март 2023'!$D$4:$D$582,$B101,'март 2023'!$J$4:$J$582,P$1)</f>
        <v>0</v>
      </c>
      <c r="Q101" s="207">
        <f>SUMIFS('март 2023'!$G$4:$G$582,'март 2023'!$D$4:$D$582,$B101,'март 2023'!$J$4:$J$582,Q$1)</f>
        <v>0</v>
      </c>
      <c r="R101" s="207">
        <f>SUMIFS('март 2023'!$G$4:$G$582,'март 2023'!$D$4:$D$582,$B101,'март 2023'!$J$4:$J$582,R$1)</f>
        <v>0</v>
      </c>
      <c r="S101" s="207">
        <f>SUMIFS('март 2023'!$G$4:$G$582,'март 2023'!$D$4:$D$582,$B101,'март 2023'!$J$4:$J$582,S$1)</f>
        <v>0</v>
      </c>
      <c r="T101" s="207">
        <f>SUMIFS('март 2023'!$G$4:$G$582,'март 2023'!$D$4:$D$582,$B101,'март 2023'!$J$4:$J$582,T$1)</f>
        <v>0</v>
      </c>
      <c r="U101" s="207">
        <f>SUMIFS('март 2023'!$G$4:$G$582,'март 2023'!$D$4:$D$582,$B101,'март 2023'!$J$4:$J$582,U$1)</f>
        <v>0</v>
      </c>
      <c r="V101" s="207">
        <f>SUMIFS('март 2023'!$G$4:$G$582,'март 2023'!$D$4:$D$582,$B101,'март 2023'!$J$4:$J$582,V$1)</f>
        <v>0</v>
      </c>
      <c r="W101" s="207">
        <f>SUMIFS('март 2023'!$G$4:$G$582,'март 2023'!$D$4:$D$582,$B101,'март 2023'!$J$4:$J$582,W$1)</f>
        <v>0</v>
      </c>
      <c r="X101" s="207">
        <f>SUMIFS('март 2023'!$G$4:$G$582,'март 2023'!$D$4:$D$582,$B101,'март 2023'!$J$4:$J$582,X$1)</f>
        <v>0</v>
      </c>
      <c r="Y101" s="207">
        <f>SUMIFS('март 2023'!$G$4:$G$582,'март 2023'!$D$4:$D$582,$B101,'март 2023'!$J$4:$J$582,Y$1)</f>
        <v>0</v>
      </c>
      <c r="Z101" s="207">
        <f>SUMIFS('март 2023'!$G$4:$G$582,'март 2023'!$D$4:$D$582,$B101,'март 2023'!$J$4:$J$582,Z$1)</f>
        <v>0</v>
      </c>
      <c r="AA101" s="207">
        <f>SUMIFS('март 2023'!$G$4:$G$582,'март 2023'!$D$4:$D$582,$B101,'март 2023'!$J$4:$J$582,AA$1)</f>
        <v>0</v>
      </c>
      <c r="AB101" s="207">
        <f>SUMIFS('март 2023'!$G$4:$G$582,'март 2023'!$D$4:$D$582,$B101,'март 2023'!$J$4:$J$582,AB$1)</f>
        <v>0</v>
      </c>
      <c r="AC101" s="207">
        <f>SUMIFS('март 2023'!$G$4:$G$582,'март 2023'!$D$4:$D$582,$B101,'март 2023'!$J$4:$J$582,AC$1)</f>
        <v>0</v>
      </c>
      <c r="AD101" s="207">
        <f>SUMIFS('март 2023'!$G$4:$G$582,'март 2023'!$D$4:$D$582,$B101,'март 2023'!$J$4:$J$582,AD$1)</f>
        <v>0</v>
      </c>
      <c r="AE101" s="207">
        <f>SUMIFS('март 2023'!$G$4:$G$582,'март 2023'!$D$4:$D$582,$B101,'март 2023'!$J$4:$J$582,AE$1)</f>
        <v>0</v>
      </c>
      <c r="AF101" s="207">
        <f>SUMIFS('март 2023'!$G$4:$G$582,'март 2023'!$D$4:$D$582,$B101,'март 2023'!$J$4:$J$582,AF$1)</f>
        <v>0</v>
      </c>
      <c r="AG101" s="207">
        <f>SUMIFS('март 2023'!$G$4:$G$582,'март 2023'!$D$4:$D$582,$B101,'март 2023'!$J$4:$J$582,AG$1)</f>
        <v>0</v>
      </c>
      <c r="AH101" s="207">
        <f>SUMIFS('март 2023'!$G$4:$G$582,'март 2023'!$D$4:$D$582,$B101,'март 2023'!$J$4:$J$582,AH$1)</f>
        <v>0</v>
      </c>
      <c r="AI101" s="170">
        <f t="shared" si="3"/>
        <v>0</v>
      </c>
    </row>
    <row r="102" spans="2:35" ht="15" customHeight="1" x14ac:dyDescent="0.25">
      <c r="B102" s="212" t="s">
        <v>147</v>
      </c>
      <c r="C102" s="211">
        <v>200</v>
      </c>
      <c r="D102" s="207">
        <f>SUMIFS('март 2023'!$G$4:$G$582,'март 2023'!$D$4:$D$582,$B102,'март 2023'!$J$4:$J$582,D$1)</f>
        <v>0</v>
      </c>
      <c r="E102" s="207">
        <f>SUMIFS('март 2023'!$G$4:$G$582,'март 2023'!$D$4:$D$582,$B102,'март 2023'!$J$4:$J$582,E$1)</f>
        <v>0</v>
      </c>
      <c r="F102" s="207">
        <f>SUMIFS('март 2023'!$G$4:$G$582,'март 2023'!$D$4:$D$582,$B102,'март 2023'!$J$4:$J$582,F$1)</f>
        <v>0</v>
      </c>
      <c r="G102" s="207">
        <f>SUMIFS('март 2023'!$G$4:$G$582,'март 2023'!$D$4:$D$582,$B102,'март 2023'!$J$4:$J$582,G$1)</f>
        <v>0</v>
      </c>
      <c r="H102" s="207">
        <f>SUMIFS('март 2023'!$G$4:$G$582,'март 2023'!$D$4:$D$582,$B102,'март 2023'!$J$4:$J$582,H$1)</f>
        <v>0</v>
      </c>
      <c r="I102" s="207">
        <f>SUMIFS('март 2023'!$G$4:$G$582,'март 2023'!$D$4:$D$582,$B102,'март 2023'!$J$4:$J$582,I$1)</f>
        <v>0</v>
      </c>
      <c r="J102" s="207">
        <f>SUMIFS('март 2023'!$G$4:$G$582,'март 2023'!$D$4:$D$582,$B102,'март 2023'!$J$4:$J$582,J$1)</f>
        <v>0</v>
      </c>
      <c r="K102" s="207">
        <f>SUMIFS('март 2023'!$G$4:$G$582,'март 2023'!$D$4:$D$582,$B102,'март 2023'!$J$4:$J$582,K$1)</f>
        <v>0</v>
      </c>
      <c r="L102" s="207">
        <f>SUMIFS('март 2023'!$G$4:$G$582,'март 2023'!$D$4:$D$582,$B102,'март 2023'!$J$4:$J$582,L$1)</f>
        <v>0</v>
      </c>
      <c r="M102" s="207">
        <f>SUMIFS('март 2023'!$G$4:$G$582,'март 2023'!$D$4:$D$582,$B102,'март 2023'!$J$4:$J$582,M$1)</f>
        <v>0</v>
      </c>
      <c r="N102" s="207">
        <f>SUMIFS('март 2023'!$G$4:$G$582,'март 2023'!$D$4:$D$582,$B102,'март 2023'!$J$4:$J$582,N$1)</f>
        <v>0</v>
      </c>
      <c r="O102" s="207">
        <f>SUMIFS('март 2023'!$G$4:$G$582,'март 2023'!$D$4:$D$582,$B102,'март 2023'!$J$4:$J$582,O$1)</f>
        <v>0</v>
      </c>
      <c r="P102" s="207">
        <f>SUMIFS('март 2023'!$G$4:$G$582,'март 2023'!$D$4:$D$582,$B102,'март 2023'!$J$4:$J$582,P$1)</f>
        <v>0</v>
      </c>
      <c r="Q102" s="207">
        <f>SUMIFS('март 2023'!$G$4:$G$582,'март 2023'!$D$4:$D$582,$B102,'март 2023'!$J$4:$J$582,Q$1)</f>
        <v>0</v>
      </c>
      <c r="R102" s="207">
        <f>SUMIFS('март 2023'!$G$4:$G$582,'март 2023'!$D$4:$D$582,$B102,'март 2023'!$J$4:$J$582,R$1)</f>
        <v>0</v>
      </c>
      <c r="S102" s="207">
        <f>SUMIFS('март 2023'!$G$4:$G$582,'март 2023'!$D$4:$D$582,$B102,'март 2023'!$J$4:$J$582,S$1)</f>
        <v>0</v>
      </c>
      <c r="T102" s="207">
        <f>SUMIFS('март 2023'!$G$4:$G$582,'март 2023'!$D$4:$D$582,$B102,'март 2023'!$J$4:$J$582,T$1)</f>
        <v>0</v>
      </c>
      <c r="U102" s="207">
        <f>SUMIFS('март 2023'!$G$4:$G$582,'март 2023'!$D$4:$D$582,$B102,'март 2023'!$J$4:$J$582,U$1)</f>
        <v>0</v>
      </c>
      <c r="V102" s="207">
        <f>SUMIFS('март 2023'!$G$4:$G$582,'март 2023'!$D$4:$D$582,$B102,'март 2023'!$J$4:$J$582,V$1)</f>
        <v>0</v>
      </c>
      <c r="W102" s="207">
        <f>SUMIFS('март 2023'!$G$4:$G$582,'март 2023'!$D$4:$D$582,$B102,'март 2023'!$J$4:$J$582,W$1)</f>
        <v>0</v>
      </c>
      <c r="X102" s="207">
        <f>SUMIFS('март 2023'!$G$4:$G$582,'март 2023'!$D$4:$D$582,$B102,'март 2023'!$J$4:$J$582,X$1)</f>
        <v>0</v>
      </c>
      <c r="Y102" s="207">
        <f>SUMIFS('март 2023'!$G$4:$G$582,'март 2023'!$D$4:$D$582,$B102,'март 2023'!$J$4:$J$582,Y$1)</f>
        <v>0</v>
      </c>
      <c r="Z102" s="207">
        <f>SUMIFS('март 2023'!$G$4:$G$582,'март 2023'!$D$4:$D$582,$B102,'март 2023'!$J$4:$J$582,Z$1)</f>
        <v>0</v>
      </c>
      <c r="AA102" s="207">
        <f>SUMIFS('март 2023'!$G$4:$G$582,'март 2023'!$D$4:$D$582,$B102,'март 2023'!$J$4:$J$582,AA$1)</f>
        <v>0</v>
      </c>
      <c r="AB102" s="207">
        <f>SUMIFS('март 2023'!$G$4:$G$582,'март 2023'!$D$4:$D$582,$B102,'март 2023'!$J$4:$J$582,AB$1)</f>
        <v>0</v>
      </c>
      <c r="AC102" s="207">
        <f>SUMIFS('март 2023'!$G$4:$G$582,'март 2023'!$D$4:$D$582,$B102,'март 2023'!$J$4:$J$582,AC$1)</f>
        <v>0</v>
      </c>
      <c r="AD102" s="207">
        <f>SUMIFS('март 2023'!$G$4:$G$582,'март 2023'!$D$4:$D$582,$B102,'март 2023'!$J$4:$J$582,AD$1)</f>
        <v>0</v>
      </c>
      <c r="AE102" s="207">
        <f>SUMIFS('март 2023'!$G$4:$G$582,'март 2023'!$D$4:$D$582,$B102,'март 2023'!$J$4:$J$582,AE$1)</f>
        <v>0</v>
      </c>
      <c r="AF102" s="207">
        <f>SUMIFS('март 2023'!$G$4:$G$582,'март 2023'!$D$4:$D$582,$B102,'март 2023'!$J$4:$J$582,AF$1)</f>
        <v>0</v>
      </c>
      <c r="AG102" s="207">
        <f>SUMIFS('март 2023'!$G$4:$G$582,'март 2023'!$D$4:$D$582,$B102,'март 2023'!$J$4:$J$582,AG$1)</f>
        <v>0</v>
      </c>
      <c r="AH102" s="207">
        <f>SUMIFS('март 2023'!$G$4:$G$582,'март 2023'!$D$4:$D$582,$B102,'март 2023'!$J$4:$J$582,AH$1)</f>
        <v>0</v>
      </c>
      <c r="AI102" s="170">
        <f t="shared" si="3"/>
        <v>0</v>
      </c>
    </row>
    <row r="103" spans="2:35" ht="15" customHeight="1" x14ac:dyDescent="0.25">
      <c r="B103" s="212" t="s">
        <v>2198</v>
      </c>
      <c r="C103" s="211">
        <v>200</v>
      </c>
      <c r="D103" s="207">
        <f>SUMIFS('март 2023'!$G$4:$G$582,'март 2023'!$D$4:$D$582,$B103,'март 2023'!$J$4:$J$582,D$1)</f>
        <v>0</v>
      </c>
      <c r="E103" s="207">
        <f>SUMIFS('март 2023'!$G$4:$G$582,'март 2023'!$D$4:$D$582,$B103,'март 2023'!$J$4:$J$582,E$1)</f>
        <v>0</v>
      </c>
      <c r="F103" s="207">
        <f>SUMIFS('март 2023'!$G$4:$G$582,'март 2023'!$D$4:$D$582,$B103,'март 2023'!$J$4:$J$582,F$1)</f>
        <v>0</v>
      </c>
      <c r="G103" s="207">
        <f>SUMIFS('март 2023'!$G$4:$G$582,'март 2023'!$D$4:$D$582,$B103,'март 2023'!$J$4:$J$582,G$1)</f>
        <v>0</v>
      </c>
      <c r="H103" s="207">
        <f>SUMIFS('март 2023'!$G$4:$G$582,'март 2023'!$D$4:$D$582,$B103,'март 2023'!$J$4:$J$582,H$1)</f>
        <v>0</v>
      </c>
      <c r="I103" s="207">
        <f>SUMIFS('март 2023'!$G$4:$G$582,'март 2023'!$D$4:$D$582,$B103,'март 2023'!$J$4:$J$582,I$1)</f>
        <v>0</v>
      </c>
      <c r="J103" s="207">
        <f>SUMIFS('март 2023'!$G$4:$G$582,'март 2023'!$D$4:$D$582,$B103,'март 2023'!$J$4:$J$582,J$1)</f>
        <v>0</v>
      </c>
      <c r="K103" s="207">
        <f>SUMIFS('март 2023'!$G$4:$G$582,'март 2023'!$D$4:$D$582,$B103,'март 2023'!$J$4:$J$582,K$1)</f>
        <v>0</v>
      </c>
      <c r="L103" s="207">
        <f>SUMIFS('март 2023'!$G$4:$G$582,'март 2023'!$D$4:$D$582,$B103,'март 2023'!$J$4:$J$582,L$1)</f>
        <v>0</v>
      </c>
      <c r="M103" s="207">
        <f>SUMIFS('март 2023'!$G$4:$G$582,'март 2023'!$D$4:$D$582,$B103,'март 2023'!$J$4:$J$582,M$1)</f>
        <v>0</v>
      </c>
      <c r="N103" s="207">
        <f>SUMIFS('март 2023'!$G$4:$G$582,'март 2023'!$D$4:$D$582,$B103,'март 2023'!$J$4:$J$582,N$1)</f>
        <v>0</v>
      </c>
      <c r="O103" s="207">
        <f>SUMIFS('март 2023'!$G$4:$G$582,'март 2023'!$D$4:$D$582,$B103,'март 2023'!$J$4:$J$582,O$1)</f>
        <v>0</v>
      </c>
      <c r="P103" s="207">
        <f>SUMIFS('март 2023'!$G$4:$G$582,'март 2023'!$D$4:$D$582,$B103,'март 2023'!$J$4:$J$582,P$1)</f>
        <v>0</v>
      </c>
      <c r="Q103" s="207">
        <f>SUMIFS('март 2023'!$G$4:$G$582,'март 2023'!$D$4:$D$582,$B103,'март 2023'!$J$4:$J$582,Q$1)</f>
        <v>0</v>
      </c>
      <c r="R103" s="207">
        <f>SUMIFS('март 2023'!$G$4:$G$582,'март 2023'!$D$4:$D$582,$B103,'март 2023'!$J$4:$J$582,R$1)</f>
        <v>0</v>
      </c>
      <c r="S103" s="207">
        <f>SUMIFS('март 2023'!$G$4:$G$582,'март 2023'!$D$4:$D$582,$B103,'март 2023'!$J$4:$J$582,S$1)</f>
        <v>0</v>
      </c>
      <c r="T103" s="207">
        <f>SUMIFS('март 2023'!$G$4:$G$582,'март 2023'!$D$4:$D$582,$B103,'март 2023'!$J$4:$J$582,T$1)</f>
        <v>0</v>
      </c>
      <c r="U103" s="207">
        <f>SUMIFS('март 2023'!$G$4:$G$582,'март 2023'!$D$4:$D$582,$B103,'март 2023'!$J$4:$J$582,U$1)</f>
        <v>0</v>
      </c>
      <c r="V103" s="207">
        <f>SUMIFS('март 2023'!$G$4:$G$582,'март 2023'!$D$4:$D$582,$B103,'март 2023'!$J$4:$J$582,V$1)</f>
        <v>0</v>
      </c>
      <c r="W103" s="207">
        <f>SUMIFS('март 2023'!$G$4:$G$582,'март 2023'!$D$4:$D$582,$B103,'март 2023'!$J$4:$J$582,W$1)</f>
        <v>0</v>
      </c>
      <c r="X103" s="207">
        <f>SUMIFS('март 2023'!$G$4:$G$582,'март 2023'!$D$4:$D$582,$B103,'март 2023'!$J$4:$J$582,X$1)</f>
        <v>0</v>
      </c>
      <c r="Y103" s="207">
        <f>SUMIFS('март 2023'!$G$4:$G$582,'март 2023'!$D$4:$D$582,$B103,'март 2023'!$J$4:$J$582,Y$1)</f>
        <v>0</v>
      </c>
      <c r="Z103" s="207">
        <f>SUMIFS('март 2023'!$G$4:$G$582,'март 2023'!$D$4:$D$582,$B103,'март 2023'!$J$4:$J$582,Z$1)</f>
        <v>0</v>
      </c>
      <c r="AA103" s="207">
        <f>SUMIFS('март 2023'!$G$4:$G$582,'март 2023'!$D$4:$D$582,$B103,'март 2023'!$J$4:$J$582,AA$1)</f>
        <v>0</v>
      </c>
      <c r="AB103" s="207">
        <f>SUMIFS('март 2023'!$G$4:$G$582,'март 2023'!$D$4:$D$582,$B103,'март 2023'!$J$4:$J$582,AB$1)</f>
        <v>0</v>
      </c>
      <c r="AC103" s="207">
        <f>SUMIFS('март 2023'!$G$4:$G$582,'март 2023'!$D$4:$D$582,$B103,'март 2023'!$J$4:$J$582,AC$1)</f>
        <v>0</v>
      </c>
      <c r="AD103" s="207">
        <f>SUMIFS('март 2023'!$G$4:$G$582,'март 2023'!$D$4:$D$582,$B103,'март 2023'!$J$4:$J$582,AD$1)</f>
        <v>0</v>
      </c>
      <c r="AE103" s="207">
        <f>SUMIFS('март 2023'!$G$4:$G$582,'март 2023'!$D$4:$D$582,$B103,'март 2023'!$J$4:$J$582,AE$1)</f>
        <v>0</v>
      </c>
      <c r="AF103" s="207">
        <f>SUMIFS('март 2023'!$G$4:$G$582,'март 2023'!$D$4:$D$582,$B103,'март 2023'!$J$4:$J$582,AF$1)</f>
        <v>0</v>
      </c>
      <c r="AG103" s="207">
        <f>SUMIFS('март 2023'!$G$4:$G$582,'март 2023'!$D$4:$D$582,$B103,'март 2023'!$J$4:$J$582,AG$1)</f>
        <v>0</v>
      </c>
      <c r="AH103" s="207">
        <f>SUMIFS('март 2023'!$G$4:$G$582,'март 2023'!$D$4:$D$582,$B103,'март 2023'!$J$4:$J$582,AH$1)</f>
        <v>0</v>
      </c>
      <c r="AI103" s="170">
        <f t="shared" si="3"/>
        <v>0</v>
      </c>
    </row>
    <row r="104" spans="2:35" ht="15" customHeight="1" x14ac:dyDescent="0.25">
      <c r="B104" s="212" t="s">
        <v>352</v>
      </c>
      <c r="C104" s="211">
        <v>200</v>
      </c>
      <c r="D104" s="207">
        <f>SUMIFS('март 2023'!$G$4:$G$582,'март 2023'!$D$4:$D$582,$B104,'март 2023'!$J$4:$J$582,D$1)</f>
        <v>0</v>
      </c>
      <c r="E104" s="207">
        <f>SUMIFS('март 2023'!$G$4:$G$582,'март 2023'!$D$4:$D$582,$B104,'март 2023'!$J$4:$J$582,E$1)</f>
        <v>0</v>
      </c>
      <c r="F104" s="207">
        <f>SUMIFS('март 2023'!$G$4:$G$582,'март 2023'!$D$4:$D$582,$B104,'март 2023'!$J$4:$J$582,F$1)</f>
        <v>0</v>
      </c>
      <c r="G104" s="207">
        <f>SUMIFS('март 2023'!$G$4:$G$582,'март 2023'!$D$4:$D$582,$B104,'март 2023'!$J$4:$J$582,G$1)</f>
        <v>0</v>
      </c>
      <c r="H104" s="207">
        <f>SUMIFS('март 2023'!$G$4:$G$582,'март 2023'!$D$4:$D$582,$B104,'март 2023'!$J$4:$J$582,H$1)</f>
        <v>0</v>
      </c>
      <c r="I104" s="207">
        <f>SUMIFS('март 2023'!$G$4:$G$582,'март 2023'!$D$4:$D$582,$B104,'март 2023'!$J$4:$J$582,I$1)</f>
        <v>0</v>
      </c>
      <c r="J104" s="207">
        <f>SUMIFS('март 2023'!$G$4:$G$582,'март 2023'!$D$4:$D$582,$B104,'март 2023'!$J$4:$J$582,J$1)</f>
        <v>0</v>
      </c>
      <c r="K104" s="207">
        <f>SUMIFS('март 2023'!$G$4:$G$582,'март 2023'!$D$4:$D$582,$B104,'март 2023'!$J$4:$J$582,K$1)</f>
        <v>0</v>
      </c>
      <c r="L104" s="207">
        <f>SUMIFS('март 2023'!$G$4:$G$582,'март 2023'!$D$4:$D$582,$B104,'март 2023'!$J$4:$J$582,L$1)</f>
        <v>0</v>
      </c>
      <c r="M104" s="207">
        <f>SUMIFS('март 2023'!$G$4:$G$582,'март 2023'!$D$4:$D$582,$B104,'март 2023'!$J$4:$J$582,M$1)</f>
        <v>0</v>
      </c>
      <c r="N104" s="207">
        <f>SUMIFS('март 2023'!$G$4:$G$582,'март 2023'!$D$4:$D$582,$B104,'март 2023'!$J$4:$J$582,N$1)</f>
        <v>0</v>
      </c>
      <c r="O104" s="207">
        <f>SUMIFS('март 2023'!$G$4:$G$582,'март 2023'!$D$4:$D$582,$B104,'март 2023'!$J$4:$J$582,O$1)</f>
        <v>0</v>
      </c>
      <c r="P104" s="207">
        <f>SUMIFS('март 2023'!$G$4:$G$582,'март 2023'!$D$4:$D$582,$B104,'март 2023'!$J$4:$J$582,P$1)</f>
        <v>0</v>
      </c>
      <c r="Q104" s="207">
        <f>SUMIFS('март 2023'!$G$4:$G$582,'март 2023'!$D$4:$D$582,$B104,'март 2023'!$J$4:$J$582,Q$1)</f>
        <v>0</v>
      </c>
      <c r="R104" s="207">
        <f>SUMIFS('март 2023'!$G$4:$G$582,'март 2023'!$D$4:$D$582,$B104,'март 2023'!$J$4:$J$582,R$1)</f>
        <v>0</v>
      </c>
      <c r="S104" s="207">
        <f>SUMIFS('март 2023'!$G$4:$G$582,'март 2023'!$D$4:$D$582,$B104,'март 2023'!$J$4:$J$582,S$1)</f>
        <v>0</v>
      </c>
      <c r="T104" s="207">
        <f>SUMIFS('март 2023'!$G$4:$G$582,'март 2023'!$D$4:$D$582,$B104,'март 2023'!$J$4:$J$582,T$1)</f>
        <v>0</v>
      </c>
      <c r="U104" s="207">
        <f>SUMIFS('март 2023'!$G$4:$G$582,'март 2023'!$D$4:$D$582,$B104,'март 2023'!$J$4:$J$582,U$1)</f>
        <v>0</v>
      </c>
      <c r="V104" s="207">
        <f>SUMIFS('март 2023'!$G$4:$G$582,'март 2023'!$D$4:$D$582,$B104,'март 2023'!$J$4:$J$582,V$1)</f>
        <v>0</v>
      </c>
      <c r="W104" s="207">
        <f>SUMIFS('март 2023'!$G$4:$G$582,'март 2023'!$D$4:$D$582,$B104,'март 2023'!$J$4:$J$582,W$1)</f>
        <v>0</v>
      </c>
      <c r="X104" s="207">
        <f>SUMIFS('март 2023'!$G$4:$G$582,'март 2023'!$D$4:$D$582,$B104,'март 2023'!$J$4:$J$582,X$1)</f>
        <v>0</v>
      </c>
      <c r="Y104" s="207">
        <f>SUMIFS('март 2023'!$G$4:$G$582,'март 2023'!$D$4:$D$582,$B104,'март 2023'!$J$4:$J$582,Y$1)</f>
        <v>0</v>
      </c>
      <c r="Z104" s="207">
        <f>SUMIFS('март 2023'!$G$4:$G$582,'март 2023'!$D$4:$D$582,$B104,'март 2023'!$J$4:$J$582,Z$1)</f>
        <v>0</v>
      </c>
      <c r="AA104" s="207">
        <f>SUMIFS('март 2023'!$G$4:$G$582,'март 2023'!$D$4:$D$582,$B104,'март 2023'!$J$4:$J$582,AA$1)</f>
        <v>10</v>
      </c>
      <c r="AB104" s="207">
        <f>SUMIFS('март 2023'!$G$4:$G$582,'март 2023'!$D$4:$D$582,$B104,'март 2023'!$J$4:$J$582,AB$1)</f>
        <v>0</v>
      </c>
      <c r="AC104" s="207">
        <f>SUMIFS('март 2023'!$G$4:$G$582,'март 2023'!$D$4:$D$582,$B104,'март 2023'!$J$4:$J$582,AC$1)</f>
        <v>0</v>
      </c>
      <c r="AD104" s="207">
        <f>SUMIFS('март 2023'!$G$4:$G$582,'март 2023'!$D$4:$D$582,$B104,'март 2023'!$J$4:$J$582,AD$1)</f>
        <v>0</v>
      </c>
      <c r="AE104" s="207">
        <f>SUMIFS('март 2023'!$G$4:$G$582,'март 2023'!$D$4:$D$582,$B104,'март 2023'!$J$4:$J$582,AE$1)</f>
        <v>0</v>
      </c>
      <c r="AF104" s="207">
        <f>SUMIFS('март 2023'!$G$4:$G$582,'март 2023'!$D$4:$D$582,$B104,'март 2023'!$J$4:$J$582,AF$1)</f>
        <v>0</v>
      </c>
      <c r="AG104" s="207">
        <f>SUMIFS('март 2023'!$G$4:$G$582,'март 2023'!$D$4:$D$582,$B104,'март 2023'!$J$4:$J$582,AG$1)</f>
        <v>0</v>
      </c>
      <c r="AH104" s="207">
        <f>SUMIFS('март 2023'!$G$4:$G$582,'март 2023'!$D$4:$D$582,$B104,'март 2023'!$J$4:$J$582,AH$1)</f>
        <v>0</v>
      </c>
      <c r="AI104" s="170">
        <f t="shared" si="3"/>
        <v>10</v>
      </c>
    </row>
    <row r="105" spans="2:35" ht="15" customHeight="1" x14ac:dyDescent="0.25">
      <c r="B105" s="212" t="s">
        <v>276</v>
      </c>
      <c r="C105" s="211">
        <v>200</v>
      </c>
      <c r="D105" s="207">
        <f>SUMIFS('март 2023'!$G$4:$G$582,'март 2023'!$D$4:$D$582,$B105,'март 2023'!$J$4:$J$582,D$1)</f>
        <v>0</v>
      </c>
      <c r="E105" s="207">
        <f>SUMIFS('март 2023'!$G$4:$G$582,'март 2023'!$D$4:$D$582,$B105,'март 2023'!$J$4:$J$582,E$1)</f>
        <v>0</v>
      </c>
      <c r="F105" s="207">
        <f>SUMIFS('март 2023'!$G$4:$G$582,'март 2023'!$D$4:$D$582,$B105,'март 2023'!$J$4:$J$582,F$1)</f>
        <v>0</v>
      </c>
      <c r="G105" s="207">
        <f>SUMIFS('март 2023'!$G$4:$G$582,'март 2023'!$D$4:$D$582,$B105,'март 2023'!$J$4:$J$582,G$1)</f>
        <v>0</v>
      </c>
      <c r="H105" s="207">
        <f>SUMIFS('март 2023'!$G$4:$G$582,'март 2023'!$D$4:$D$582,$B105,'март 2023'!$J$4:$J$582,H$1)</f>
        <v>0</v>
      </c>
      <c r="I105" s="207">
        <f>SUMIFS('март 2023'!$G$4:$G$582,'март 2023'!$D$4:$D$582,$B105,'март 2023'!$J$4:$J$582,I$1)</f>
        <v>0</v>
      </c>
      <c r="J105" s="207">
        <f>SUMIFS('март 2023'!$G$4:$G$582,'март 2023'!$D$4:$D$582,$B105,'март 2023'!$J$4:$J$582,J$1)</f>
        <v>0</v>
      </c>
      <c r="K105" s="207">
        <f>SUMIFS('март 2023'!$G$4:$G$582,'март 2023'!$D$4:$D$582,$B105,'март 2023'!$J$4:$J$582,K$1)</f>
        <v>0</v>
      </c>
      <c r="L105" s="207">
        <f>SUMIFS('март 2023'!$G$4:$G$582,'март 2023'!$D$4:$D$582,$B105,'март 2023'!$J$4:$J$582,L$1)</f>
        <v>0</v>
      </c>
      <c r="M105" s="207">
        <f>SUMIFS('март 2023'!$G$4:$G$582,'март 2023'!$D$4:$D$582,$B105,'март 2023'!$J$4:$J$582,M$1)</f>
        <v>0</v>
      </c>
      <c r="N105" s="207">
        <f>SUMIFS('март 2023'!$G$4:$G$582,'март 2023'!$D$4:$D$582,$B105,'март 2023'!$J$4:$J$582,N$1)</f>
        <v>0</v>
      </c>
      <c r="O105" s="207">
        <f>SUMIFS('март 2023'!$G$4:$G$582,'март 2023'!$D$4:$D$582,$B105,'март 2023'!$J$4:$J$582,O$1)</f>
        <v>0</v>
      </c>
      <c r="P105" s="207">
        <f>SUMIFS('март 2023'!$G$4:$G$582,'март 2023'!$D$4:$D$582,$B105,'март 2023'!$J$4:$J$582,P$1)</f>
        <v>0</v>
      </c>
      <c r="Q105" s="207">
        <f>SUMIFS('март 2023'!$G$4:$G$582,'март 2023'!$D$4:$D$582,$B105,'март 2023'!$J$4:$J$582,Q$1)</f>
        <v>0</v>
      </c>
      <c r="R105" s="207">
        <f>SUMIFS('март 2023'!$G$4:$G$582,'март 2023'!$D$4:$D$582,$B105,'март 2023'!$J$4:$J$582,R$1)</f>
        <v>0</v>
      </c>
      <c r="S105" s="207">
        <f>SUMIFS('март 2023'!$G$4:$G$582,'март 2023'!$D$4:$D$582,$B105,'март 2023'!$J$4:$J$582,S$1)</f>
        <v>0</v>
      </c>
      <c r="T105" s="207">
        <f>SUMIFS('март 2023'!$G$4:$G$582,'март 2023'!$D$4:$D$582,$B105,'март 2023'!$J$4:$J$582,T$1)</f>
        <v>0</v>
      </c>
      <c r="U105" s="207">
        <f>SUMIFS('март 2023'!$G$4:$G$582,'март 2023'!$D$4:$D$582,$B105,'март 2023'!$J$4:$J$582,U$1)</f>
        <v>0</v>
      </c>
      <c r="V105" s="207">
        <f>SUMIFS('март 2023'!$G$4:$G$582,'март 2023'!$D$4:$D$582,$B105,'март 2023'!$J$4:$J$582,V$1)</f>
        <v>0</v>
      </c>
      <c r="W105" s="207">
        <f>SUMIFS('март 2023'!$G$4:$G$582,'март 2023'!$D$4:$D$582,$B105,'март 2023'!$J$4:$J$582,W$1)</f>
        <v>0</v>
      </c>
      <c r="X105" s="207">
        <f>SUMIFS('март 2023'!$G$4:$G$582,'март 2023'!$D$4:$D$582,$B105,'март 2023'!$J$4:$J$582,X$1)</f>
        <v>0</v>
      </c>
      <c r="Y105" s="207">
        <f>SUMIFS('март 2023'!$G$4:$G$582,'март 2023'!$D$4:$D$582,$B105,'март 2023'!$J$4:$J$582,Y$1)</f>
        <v>0</v>
      </c>
      <c r="Z105" s="207">
        <f>SUMIFS('март 2023'!$G$4:$G$582,'март 2023'!$D$4:$D$582,$B105,'март 2023'!$J$4:$J$582,Z$1)</f>
        <v>0</v>
      </c>
      <c r="AA105" s="207">
        <f>SUMIFS('март 2023'!$G$4:$G$582,'март 2023'!$D$4:$D$582,$B105,'март 2023'!$J$4:$J$582,AA$1)</f>
        <v>0</v>
      </c>
      <c r="AB105" s="207">
        <f>SUMIFS('март 2023'!$G$4:$G$582,'март 2023'!$D$4:$D$582,$B105,'март 2023'!$J$4:$J$582,AB$1)</f>
        <v>0</v>
      </c>
      <c r="AC105" s="207">
        <f>SUMIFS('март 2023'!$G$4:$G$582,'март 2023'!$D$4:$D$582,$B105,'март 2023'!$J$4:$J$582,AC$1)</f>
        <v>0</v>
      </c>
      <c r="AD105" s="207">
        <f>SUMIFS('март 2023'!$G$4:$G$582,'март 2023'!$D$4:$D$582,$B105,'март 2023'!$J$4:$J$582,AD$1)</f>
        <v>0</v>
      </c>
      <c r="AE105" s="207">
        <f>SUMIFS('март 2023'!$G$4:$G$582,'март 2023'!$D$4:$D$582,$B105,'март 2023'!$J$4:$J$582,AE$1)</f>
        <v>0</v>
      </c>
      <c r="AF105" s="207">
        <f>SUMIFS('март 2023'!$G$4:$G$582,'март 2023'!$D$4:$D$582,$B105,'март 2023'!$J$4:$J$582,AF$1)</f>
        <v>0</v>
      </c>
      <c r="AG105" s="207">
        <f>SUMIFS('март 2023'!$G$4:$G$582,'март 2023'!$D$4:$D$582,$B105,'март 2023'!$J$4:$J$582,AG$1)</f>
        <v>0</v>
      </c>
      <c r="AH105" s="207">
        <f>SUMIFS('март 2023'!$G$4:$G$582,'март 2023'!$D$4:$D$582,$B105,'март 2023'!$J$4:$J$582,AH$1)</f>
        <v>0</v>
      </c>
      <c r="AI105" s="170">
        <f t="shared" si="3"/>
        <v>0</v>
      </c>
    </row>
    <row r="106" spans="2:35" ht="15" customHeight="1" x14ac:dyDescent="0.25">
      <c r="B106" s="212" t="s">
        <v>2215</v>
      </c>
      <c r="C106" s="211">
        <v>200</v>
      </c>
      <c r="D106" s="207">
        <f>SUMIFS('март 2023'!$G$4:$G$582,'март 2023'!$D$4:$D$582,$B106,'март 2023'!$J$4:$J$582,D$1)</f>
        <v>0</v>
      </c>
      <c r="E106" s="207">
        <f>SUMIFS('март 2023'!$G$4:$G$582,'март 2023'!$D$4:$D$582,$B106,'март 2023'!$J$4:$J$582,E$1)</f>
        <v>0</v>
      </c>
      <c r="F106" s="207">
        <f>SUMIFS('март 2023'!$G$4:$G$582,'март 2023'!$D$4:$D$582,$B106,'март 2023'!$J$4:$J$582,F$1)</f>
        <v>0</v>
      </c>
      <c r="G106" s="207">
        <f>SUMIFS('март 2023'!$G$4:$G$582,'март 2023'!$D$4:$D$582,$B106,'март 2023'!$J$4:$J$582,G$1)</f>
        <v>0</v>
      </c>
      <c r="H106" s="207">
        <f>SUMIFS('март 2023'!$G$4:$G$582,'март 2023'!$D$4:$D$582,$B106,'март 2023'!$J$4:$J$582,H$1)</f>
        <v>0</v>
      </c>
      <c r="I106" s="207">
        <f>SUMIFS('март 2023'!$G$4:$G$582,'март 2023'!$D$4:$D$582,$B106,'март 2023'!$J$4:$J$582,I$1)</f>
        <v>0</v>
      </c>
      <c r="J106" s="207">
        <f>SUMIFS('март 2023'!$G$4:$G$582,'март 2023'!$D$4:$D$582,$B106,'март 2023'!$J$4:$J$582,J$1)</f>
        <v>0</v>
      </c>
      <c r="K106" s="207">
        <f>SUMIFS('март 2023'!$G$4:$G$582,'март 2023'!$D$4:$D$582,$B106,'март 2023'!$J$4:$J$582,K$1)</f>
        <v>0</v>
      </c>
      <c r="L106" s="207">
        <f>SUMIFS('март 2023'!$G$4:$G$582,'март 2023'!$D$4:$D$582,$B106,'март 2023'!$J$4:$J$582,L$1)</f>
        <v>0</v>
      </c>
      <c r="M106" s="207">
        <f>SUMIFS('март 2023'!$G$4:$G$582,'март 2023'!$D$4:$D$582,$B106,'март 2023'!$J$4:$J$582,M$1)</f>
        <v>0</v>
      </c>
      <c r="N106" s="207">
        <f>SUMIFS('март 2023'!$G$4:$G$582,'март 2023'!$D$4:$D$582,$B106,'март 2023'!$J$4:$J$582,N$1)</f>
        <v>0</v>
      </c>
      <c r="O106" s="207">
        <f>SUMIFS('март 2023'!$G$4:$G$582,'март 2023'!$D$4:$D$582,$B106,'март 2023'!$J$4:$J$582,O$1)</f>
        <v>0</v>
      </c>
      <c r="P106" s="207">
        <f>SUMIFS('март 2023'!$G$4:$G$582,'март 2023'!$D$4:$D$582,$B106,'март 2023'!$J$4:$J$582,P$1)</f>
        <v>0</v>
      </c>
      <c r="Q106" s="207">
        <f>SUMIFS('март 2023'!$G$4:$G$582,'март 2023'!$D$4:$D$582,$B106,'март 2023'!$J$4:$J$582,Q$1)</f>
        <v>0</v>
      </c>
      <c r="R106" s="207">
        <f>SUMIFS('март 2023'!$G$4:$G$582,'март 2023'!$D$4:$D$582,$B106,'март 2023'!$J$4:$J$582,R$1)</f>
        <v>0</v>
      </c>
      <c r="S106" s="207">
        <f>SUMIFS('март 2023'!$G$4:$G$582,'март 2023'!$D$4:$D$582,$B106,'март 2023'!$J$4:$J$582,S$1)</f>
        <v>0</v>
      </c>
      <c r="T106" s="207">
        <f>SUMIFS('март 2023'!$G$4:$G$582,'март 2023'!$D$4:$D$582,$B106,'март 2023'!$J$4:$J$582,T$1)</f>
        <v>0</v>
      </c>
      <c r="U106" s="207">
        <f>SUMIFS('март 2023'!$G$4:$G$582,'март 2023'!$D$4:$D$582,$B106,'март 2023'!$J$4:$J$582,U$1)</f>
        <v>0</v>
      </c>
      <c r="V106" s="207">
        <f>SUMIFS('март 2023'!$G$4:$G$582,'март 2023'!$D$4:$D$582,$B106,'март 2023'!$J$4:$J$582,V$1)</f>
        <v>0</v>
      </c>
      <c r="W106" s="207">
        <f>SUMIFS('март 2023'!$G$4:$G$582,'март 2023'!$D$4:$D$582,$B106,'март 2023'!$J$4:$J$582,W$1)</f>
        <v>0</v>
      </c>
      <c r="X106" s="207">
        <f>SUMIFS('март 2023'!$G$4:$G$582,'март 2023'!$D$4:$D$582,$B106,'март 2023'!$J$4:$J$582,X$1)</f>
        <v>0</v>
      </c>
      <c r="Y106" s="207">
        <f>SUMIFS('март 2023'!$G$4:$G$582,'март 2023'!$D$4:$D$582,$B106,'март 2023'!$J$4:$J$582,Y$1)</f>
        <v>0</v>
      </c>
      <c r="Z106" s="207">
        <f>SUMIFS('март 2023'!$G$4:$G$582,'март 2023'!$D$4:$D$582,$B106,'март 2023'!$J$4:$J$582,Z$1)</f>
        <v>0</v>
      </c>
      <c r="AA106" s="207">
        <f>SUMIFS('март 2023'!$G$4:$G$582,'март 2023'!$D$4:$D$582,$B106,'март 2023'!$J$4:$J$582,AA$1)</f>
        <v>0</v>
      </c>
      <c r="AB106" s="207">
        <f>SUMIFS('март 2023'!$G$4:$G$582,'март 2023'!$D$4:$D$582,$B106,'март 2023'!$J$4:$J$582,AB$1)</f>
        <v>0</v>
      </c>
      <c r="AC106" s="207">
        <f>SUMIFS('март 2023'!$G$4:$G$582,'март 2023'!$D$4:$D$582,$B106,'март 2023'!$J$4:$J$582,AC$1)</f>
        <v>0</v>
      </c>
      <c r="AD106" s="207">
        <f>SUMIFS('март 2023'!$G$4:$G$582,'март 2023'!$D$4:$D$582,$B106,'март 2023'!$J$4:$J$582,AD$1)</f>
        <v>0</v>
      </c>
      <c r="AE106" s="207">
        <f>SUMIFS('март 2023'!$G$4:$G$582,'март 2023'!$D$4:$D$582,$B106,'март 2023'!$J$4:$J$582,AE$1)</f>
        <v>0</v>
      </c>
      <c r="AF106" s="207">
        <f>SUMIFS('март 2023'!$G$4:$G$582,'март 2023'!$D$4:$D$582,$B106,'март 2023'!$J$4:$J$582,AF$1)</f>
        <v>0</v>
      </c>
      <c r="AG106" s="207">
        <f>SUMIFS('март 2023'!$G$4:$G$582,'март 2023'!$D$4:$D$582,$B106,'март 2023'!$J$4:$J$582,AG$1)</f>
        <v>0</v>
      </c>
      <c r="AH106" s="207">
        <f>SUMIFS('март 2023'!$G$4:$G$582,'март 2023'!$D$4:$D$582,$B106,'март 2023'!$J$4:$J$582,AH$1)</f>
        <v>0</v>
      </c>
      <c r="AI106" s="170">
        <f t="shared" si="3"/>
        <v>0</v>
      </c>
    </row>
    <row r="107" spans="2:35" ht="15" customHeight="1" x14ac:dyDescent="0.25">
      <c r="B107" s="212" t="s">
        <v>1837</v>
      </c>
      <c r="C107" s="213">
        <v>25</v>
      </c>
      <c r="D107" s="207">
        <f>SUMIFS('март 2023'!$G$4:$G$582,'март 2023'!$D$4:$D$582,$B107,'март 2023'!$J$4:$J$582,D$1)</f>
        <v>0</v>
      </c>
      <c r="E107" s="207">
        <f>SUMIFS('март 2023'!$G$4:$G$582,'март 2023'!$D$4:$D$582,$B107,'март 2023'!$J$4:$J$582,E$1)</f>
        <v>0</v>
      </c>
      <c r="F107" s="207">
        <f>SUMIFS('март 2023'!$G$4:$G$582,'март 2023'!$D$4:$D$582,$B107,'март 2023'!$J$4:$J$582,F$1)</f>
        <v>0</v>
      </c>
      <c r="G107" s="207">
        <f>SUMIFS('март 2023'!$G$4:$G$582,'март 2023'!$D$4:$D$582,$B107,'март 2023'!$J$4:$J$582,G$1)</f>
        <v>0</v>
      </c>
      <c r="H107" s="207">
        <f>SUMIFS('март 2023'!$G$4:$G$582,'март 2023'!$D$4:$D$582,$B107,'март 2023'!$J$4:$J$582,H$1)</f>
        <v>0</v>
      </c>
      <c r="I107" s="207">
        <f>SUMIFS('март 2023'!$G$4:$G$582,'март 2023'!$D$4:$D$582,$B107,'март 2023'!$J$4:$J$582,I$1)</f>
        <v>0</v>
      </c>
      <c r="J107" s="207">
        <f>SUMIFS('март 2023'!$G$4:$G$582,'март 2023'!$D$4:$D$582,$B107,'март 2023'!$J$4:$J$582,J$1)</f>
        <v>0</v>
      </c>
      <c r="K107" s="207">
        <f>SUMIFS('март 2023'!$G$4:$G$582,'март 2023'!$D$4:$D$582,$B107,'март 2023'!$J$4:$J$582,K$1)</f>
        <v>0</v>
      </c>
      <c r="L107" s="207">
        <f>SUMIFS('март 2023'!$G$4:$G$582,'март 2023'!$D$4:$D$582,$B107,'март 2023'!$J$4:$J$582,L$1)</f>
        <v>0</v>
      </c>
      <c r="M107" s="207">
        <f>SUMIFS('март 2023'!$G$4:$G$582,'март 2023'!$D$4:$D$582,$B107,'март 2023'!$J$4:$J$582,M$1)</f>
        <v>0</v>
      </c>
      <c r="N107" s="207">
        <f>SUMIFS('март 2023'!$G$4:$G$582,'март 2023'!$D$4:$D$582,$B107,'март 2023'!$J$4:$J$582,N$1)</f>
        <v>0</v>
      </c>
      <c r="O107" s="207">
        <f>SUMIFS('март 2023'!$G$4:$G$582,'март 2023'!$D$4:$D$582,$B107,'март 2023'!$J$4:$J$582,O$1)</f>
        <v>0</v>
      </c>
      <c r="P107" s="207">
        <f>SUMIFS('март 2023'!$G$4:$G$582,'март 2023'!$D$4:$D$582,$B107,'март 2023'!$J$4:$J$582,P$1)</f>
        <v>0</v>
      </c>
      <c r="Q107" s="207">
        <f>SUMIFS('март 2023'!$G$4:$G$582,'март 2023'!$D$4:$D$582,$B107,'март 2023'!$J$4:$J$582,Q$1)</f>
        <v>0</v>
      </c>
      <c r="R107" s="207">
        <f>SUMIFS('март 2023'!$G$4:$G$582,'март 2023'!$D$4:$D$582,$B107,'март 2023'!$J$4:$J$582,R$1)</f>
        <v>0</v>
      </c>
      <c r="S107" s="207">
        <f>SUMIFS('март 2023'!$G$4:$G$582,'март 2023'!$D$4:$D$582,$B107,'март 2023'!$J$4:$J$582,S$1)</f>
        <v>0</v>
      </c>
      <c r="T107" s="207">
        <f>SUMIFS('март 2023'!$G$4:$G$582,'март 2023'!$D$4:$D$582,$B107,'март 2023'!$J$4:$J$582,T$1)</f>
        <v>0</v>
      </c>
      <c r="U107" s="207">
        <f>SUMIFS('март 2023'!$G$4:$G$582,'март 2023'!$D$4:$D$582,$B107,'март 2023'!$J$4:$J$582,U$1)</f>
        <v>0</v>
      </c>
      <c r="V107" s="207">
        <f>SUMIFS('март 2023'!$G$4:$G$582,'март 2023'!$D$4:$D$582,$B107,'март 2023'!$J$4:$J$582,V$1)</f>
        <v>0</v>
      </c>
      <c r="W107" s="207">
        <f>SUMIFS('март 2023'!$G$4:$G$582,'март 2023'!$D$4:$D$582,$B107,'март 2023'!$J$4:$J$582,W$1)</f>
        <v>0</v>
      </c>
      <c r="X107" s="207">
        <f>SUMIFS('март 2023'!$G$4:$G$582,'март 2023'!$D$4:$D$582,$B107,'март 2023'!$J$4:$J$582,X$1)</f>
        <v>0</v>
      </c>
      <c r="Y107" s="207">
        <f>SUMIFS('март 2023'!$G$4:$G$582,'март 2023'!$D$4:$D$582,$B107,'март 2023'!$J$4:$J$582,Y$1)</f>
        <v>0</v>
      </c>
      <c r="Z107" s="207">
        <f>SUMIFS('март 2023'!$G$4:$G$582,'март 2023'!$D$4:$D$582,$B107,'март 2023'!$J$4:$J$582,Z$1)</f>
        <v>0</v>
      </c>
      <c r="AA107" s="207">
        <f>SUMIFS('март 2023'!$G$4:$G$582,'март 2023'!$D$4:$D$582,$B107,'март 2023'!$J$4:$J$582,AA$1)</f>
        <v>0</v>
      </c>
      <c r="AB107" s="207">
        <f>SUMIFS('март 2023'!$G$4:$G$582,'март 2023'!$D$4:$D$582,$B107,'март 2023'!$J$4:$J$582,AB$1)</f>
        <v>0</v>
      </c>
      <c r="AC107" s="207">
        <f>SUMIFS('март 2023'!$G$4:$G$582,'март 2023'!$D$4:$D$582,$B107,'март 2023'!$J$4:$J$582,AC$1)</f>
        <v>0</v>
      </c>
      <c r="AD107" s="207">
        <f>SUMIFS('март 2023'!$G$4:$G$582,'март 2023'!$D$4:$D$582,$B107,'март 2023'!$J$4:$J$582,AD$1)</f>
        <v>0</v>
      </c>
      <c r="AE107" s="207">
        <f>SUMIFS('март 2023'!$G$4:$G$582,'март 2023'!$D$4:$D$582,$B107,'март 2023'!$J$4:$J$582,AE$1)</f>
        <v>0</v>
      </c>
      <c r="AF107" s="207">
        <f>SUMIFS('март 2023'!$G$4:$G$582,'март 2023'!$D$4:$D$582,$B107,'март 2023'!$J$4:$J$582,AF$1)</f>
        <v>0</v>
      </c>
      <c r="AG107" s="207">
        <f>SUMIFS('март 2023'!$G$4:$G$582,'март 2023'!$D$4:$D$582,$B107,'март 2023'!$J$4:$J$582,AG$1)</f>
        <v>0</v>
      </c>
      <c r="AH107" s="207">
        <f>SUMIFS('март 2023'!$G$4:$G$582,'март 2023'!$D$4:$D$582,$B107,'март 2023'!$J$4:$J$582,AH$1)</f>
        <v>0</v>
      </c>
      <c r="AI107" s="170">
        <f t="shared" si="3"/>
        <v>0</v>
      </c>
    </row>
    <row r="108" spans="2:35" ht="15" customHeight="1" x14ac:dyDescent="0.25">
      <c r="B108" s="216" t="s">
        <v>2196</v>
      </c>
      <c r="C108" s="213">
        <v>20</v>
      </c>
      <c r="D108" s="207">
        <f>SUMIFS('март 2023'!$G$4:$G$582,'март 2023'!$D$4:$D$582,$B108,'март 2023'!$J$4:$J$582,D$1)</f>
        <v>0</v>
      </c>
      <c r="E108" s="207">
        <f>SUMIFS('март 2023'!$G$4:$G$582,'март 2023'!$D$4:$D$582,$B108,'март 2023'!$J$4:$J$582,E$1)</f>
        <v>0</v>
      </c>
      <c r="F108" s="207">
        <f>SUMIFS('март 2023'!$G$4:$G$582,'март 2023'!$D$4:$D$582,$B108,'март 2023'!$J$4:$J$582,F$1)</f>
        <v>0</v>
      </c>
      <c r="G108" s="207">
        <f>SUMIFS('март 2023'!$G$4:$G$582,'март 2023'!$D$4:$D$582,$B108,'март 2023'!$J$4:$J$582,G$1)</f>
        <v>0</v>
      </c>
      <c r="H108" s="207">
        <f>SUMIFS('март 2023'!$G$4:$G$582,'март 2023'!$D$4:$D$582,$B108,'март 2023'!$J$4:$J$582,H$1)</f>
        <v>0</v>
      </c>
      <c r="I108" s="207">
        <f>SUMIFS('март 2023'!$G$4:$G$582,'март 2023'!$D$4:$D$582,$B108,'март 2023'!$J$4:$J$582,I$1)</f>
        <v>0</v>
      </c>
      <c r="J108" s="207">
        <f>SUMIFS('март 2023'!$G$4:$G$582,'март 2023'!$D$4:$D$582,$B108,'март 2023'!$J$4:$J$582,J$1)</f>
        <v>0</v>
      </c>
      <c r="K108" s="207">
        <f>SUMIFS('март 2023'!$G$4:$G$582,'март 2023'!$D$4:$D$582,$B108,'март 2023'!$J$4:$J$582,K$1)</f>
        <v>0</v>
      </c>
      <c r="L108" s="207">
        <f>SUMIFS('март 2023'!$G$4:$G$582,'март 2023'!$D$4:$D$582,$B108,'март 2023'!$J$4:$J$582,L$1)</f>
        <v>0</v>
      </c>
      <c r="M108" s="207">
        <f>SUMIFS('март 2023'!$G$4:$G$582,'март 2023'!$D$4:$D$582,$B108,'март 2023'!$J$4:$J$582,M$1)</f>
        <v>0</v>
      </c>
      <c r="N108" s="207">
        <f>SUMIFS('март 2023'!$G$4:$G$582,'март 2023'!$D$4:$D$582,$B108,'март 2023'!$J$4:$J$582,N$1)</f>
        <v>0</v>
      </c>
      <c r="O108" s="207">
        <f>SUMIFS('март 2023'!$G$4:$G$582,'март 2023'!$D$4:$D$582,$B108,'март 2023'!$J$4:$J$582,O$1)</f>
        <v>0</v>
      </c>
      <c r="P108" s="207">
        <f>SUMIFS('март 2023'!$G$4:$G$582,'март 2023'!$D$4:$D$582,$B108,'март 2023'!$J$4:$J$582,P$1)</f>
        <v>0</v>
      </c>
      <c r="Q108" s="207">
        <f>SUMIFS('март 2023'!$G$4:$G$582,'март 2023'!$D$4:$D$582,$B108,'март 2023'!$J$4:$J$582,Q$1)</f>
        <v>0</v>
      </c>
      <c r="R108" s="207">
        <f>SUMIFS('март 2023'!$G$4:$G$582,'март 2023'!$D$4:$D$582,$B108,'март 2023'!$J$4:$J$582,R$1)</f>
        <v>0</v>
      </c>
      <c r="S108" s="207">
        <f>SUMIFS('март 2023'!$G$4:$G$582,'март 2023'!$D$4:$D$582,$B108,'март 2023'!$J$4:$J$582,S$1)</f>
        <v>0</v>
      </c>
      <c r="T108" s="207">
        <f>SUMIFS('март 2023'!$G$4:$G$582,'март 2023'!$D$4:$D$582,$B108,'март 2023'!$J$4:$J$582,T$1)</f>
        <v>0</v>
      </c>
      <c r="U108" s="207">
        <f>SUMIFS('март 2023'!$G$4:$G$582,'март 2023'!$D$4:$D$582,$B108,'март 2023'!$J$4:$J$582,U$1)</f>
        <v>0</v>
      </c>
      <c r="V108" s="207">
        <f>SUMIFS('март 2023'!$G$4:$G$582,'март 2023'!$D$4:$D$582,$B108,'март 2023'!$J$4:$J$582,V$1)</f>
        <v>0</v>
      </c>
      <c r="W108" s="207">
        <f>SUMIFS('март 2023'!$G$4:$G$582,'март 2023'!$D$4:$D$582,$B108,'март 2023'!$J$4:$J$582,W$1)</f>
        <v>0</v>
      </c>
      <c r="X108" s="207">
        <f>SUMIFS('март 2023'!$G$4:$G$582,'март 2023'!$D$4:$D$582,$B108,'март 2023'!$J$4:$J$582,X$1)</f>
        <v>0</v>
      </c>
      <c r="Y108" s="207">
        <f>SUMIFS('март 2023'!$G$4:$G$582,'март 2023'!$D$4:$D$582,$B108,'март 2023'!$J$4:$J$582,Y$1)</f>
        <v>0</v>
      </c>
      <c r="Z108" s="207">
        <f>SUMIFS('март 2023'!$G$4:$G$582,'март 2023'!$D$4:$D$582,$B108,'март 2023'!$J$4:$J$582,Z$1)</f>
        <v>0</v>
      </c>
      <c r="AA108" s="207">
        <f>SUMIFS('март 2023'!$G$4:$G$582,'март 2023'!$D$4:$D$582,$B108,'март 2023'!$J$4:$J$582,AA$1)</f>
        <v>0</v>
      </c>
      <c r="AB108" s="207">
        <f>SUMIFS('март 2023'!$G$4:$G$582,'март 2023'!$D$4:$D$582,$B108,'март 2023'!$J$4:$J$582,AB$1)</f>
        <v>0</v>
      </c>
      <c r="AC108" s="207">
        <f>SUMIFS('март 2023'!$G$4:$G$582,'март 2023'!$D$4:$D$582,$B108,'март 2023'!$J$4:$J$582,AC$1)</f>
        <v>0</v>
      </c>
      <c r="AD108" s="207">
        <f>SUMIFS('март 2023'!$G$4:$G$582,'март 2023'!$D$4:$D$582,$B108,'март 2023'!$J$4:$J$582,AD$1)</f>
        <v>0</v>
      </c>
      <c r="AE108" s="207">
        <f>SUMIFS('март 2023'!$G$4:$G$582,'март 2023'!$D$4:$D$582,$B108,'март 2023'!$J$4:$J$582,AE$1)</f>
        <v>0</v>
      </c>
      <c r="AF108" s="207">
        <f>SUMIFS('март 2023'!$G$4:$G$582,'март 2023'!$D$4:$D$582,$B108,'март 2023'!$J$4:$J$582,AF$1)</f>
        <v>0</v>
      </c>
      <c r="AG108" s="207">
        <f>SUMIFS('март 2023'!$G$4:$G$582,'март 2023'!$D$4:$D$582,$B108,'март 2023'!$J$4:$J$582,AG$1)</f>
        <v>0</v>
      </c>
      <c r="AH108" s="207">
        <f>SUMIFS('март 2023'!$G$4:$G$582,'март 2023'!$D$4:$D$582,$B108,'март 2023'!$J$4:$J$582,AH$1)</f>
        <v>0</v>
      </c>
      <c r="AI108" s="170">
        <f t="shared" si="3"/>
        <v>0</v>
      </c>
    </row>
    <row r="109" spans="2:35" ht="15" customHeight="1" x14ac:dyDescent="0.25">
      <c r="B109" s="212" t="s">
        <v>2199</v>
      </c>
      <c r="C109" s="211">
        <v>200</v>
      </c>
      <c r="D109" s="207">
        <f>SUMIFS('март 2023'!$G$4:$G$582,'март 2023'!$D$4:$D$582,$B109,'март 2023'!$J$4:$J$582,D$1)</f>
        <v>0</v>
      </c>
      <c r="E109" s="207">
        <f>SUMIFS('март 2023'!$G$4:$G$582,'март 2023'!$D$4:$D$582,$B109,'март 2023'!$J$4:$J$582,E$1)</f>
        <v>0</v>
      </c>
      <c r="F109" s="207">
        <f>SUMIFS('март 2023'!$G$4:$G$582,'март 2023'!$D$4:$D$582,$B109,'март 2023'!$J$4:$J$582,F$1)</f>
        <v>0</v>
      </c>
      <c r="G109" s="207">
        <f>SUMIFS('март 2023'!$G$4:$G$582,'март 2023'!$D$4:$D$582,$B109,'март 2023'!$J$4:$J$582,G$1)</f>
        <v>0</v>
      </c>
      <c r="H109" s="207">
        <f>SUMIFS('март 2023'!$G$4:$G$582,'март 2023'!$D$4:$D$582,$B109,'март 2023'!$J$4:$J$582,H$1)</f>
        <v>0</v>
      </c>
      <c r="I109" s="207">
        <f>SUMIFS('март 2023'!$G$4:$G$582,'март 2023'!$D$4:$D$582,$B109,'март 2023'!$J$4:$J$582,I$1)</f>
        <v>0</v>
      </c>
      <c r="J109" s="207">
        <f>SUMIFS('март 2023'!$G$4:$G$582,'март 2023'!$D$4:$D$582,$B109,'март 2023'!$J$4:$J$582,J$1)</f>
        <v>0</v>
      </c>
      <c r="K109" s="207">
        <f>SUMIFS('март 2023'!$G$4:$G$582,'март 2023'!$D$4:$D$582,$B109,'март 2023'!$J$4:$J$582,K$1)</f>
        <v>0</v>
      </c>
      <c r="L109" s="207">
        <f>SUMIFS('март 2023'!$G$4:$G$582,'март 2023'!$D$4:$D$582,$B109,'март 2023'!$J$4:$J$582,L$1)</f>
        <v>0</v>
      </c>
      <c r="M109" s="207">
        <f>SUMIFS('март 2023'!$G$4:$G$582,'март 2023'!$D$4:$D$582,$B109,'март 2023'!$J$4:$J$582,M$1)</f>
        <v>0</v>
      </c>
      <c r="N109" s="207">
        <f>SUMIFS('март 2023'!$G$4:$G$582,'март 2023'!$D$4:$D$582,$B109,'март 2023'!$J$4:$J$582,N$1)</f>
        <v>0</v>
      </c>
      <c r="O109" s="207">
        <f>SUMIFS('март 2023'!$G$4:$G$582,'март 2023'!$D$4:$D$582,$B109,'март 2023'!$J$4:$J$582,O$1)</f>
        <v>0</v>
      </c>
      <c r="P109" s="207">
        <f>SUMIFS('март 2023'!$G$4:$G$582,'март 2023'!$D$4:$D$582,$B109,'март 2023'!$J$4:$J$582,P$1)</f>
        <v>0</v>
      </c>
      <c r="Q109" s="207">
        <f>SUMIFS('март 2023'!$G$4:$G$582,'март 2023'!$D$4:$D$582,$B109,'март 2023'!$J$4:$J$582,Q$1)</f>
        <v>0</v>
      </c>
      <c r="R109" s="207">
        <f>SUMIFS('март 2023'!$G$4:$G$582,'март 2023'!$D$4:$D$582,$B109,'март 2023'!$J$4:$J$582,R$1)</f>
        <v>0</v>
      </c>
      <c r="S109" s="207">
        <f>SUMIFS('март 2023'!$G$4:$G$582,'март 2023'!$D$4:$D$582,$B109,'март 2023'!$J$4:$J$582,S$1)</f>
        <v>0</v>
      </c>
      <c r="T109" s="207">
        <f>SUMIFS('март 2023'!$G$4:$G$582,'март 2023'!$D$4:$D$582,$B109,'март 2023'!$J$4:$J$582,T$1)</f>
        <v>0</v>
      </c>
      <c r="U109" s="207">
        <f>SUMIFS('март 2023'!$G$4:$G$582,'март 2023'!$D$4:$D$582,$B109,'март 2023'!$J$4:$J$582,U$1)</f>
        <v>0</v>
      </c>
      <c r="V109" s="207">
        <f>SUMIFS('март 2023'!$G$4:$G$582,'март 2023'!$D$4:$D$582,$B109,'март 2023'!$J$4:$J$582,V$1)</f>
        <v>0</v>
      </c>
      <c r="W109" s="207">
        <f>SUMIFS('март 2023'!$G$4:$G$582,'март 2023'!$D$4:$D$582,$B109,'март 2023'!$J$4:$J$582,W$1)</f>
        <v>0</v>
      </c>
      <c r="X109" s="207">
        <f>SUMIFS('март 2023'!$G$4:$G$582,'март 2023'!$D$4:$D$582,$B109,'март 2023'!$J$4:$J$582,X$1)</f>
        <v>0</v>
      </c>
      <c r="Y109" s="207">
        <f>SUMIFS('март 2023'!$G$4:$G$582,'март 2023'!$D$4:$D$582,$B109,'март 2023'!$J$4:$J$582,Y$1)</f>
        <v>0</v>
      </c>
      <c r="Z109" s="207">
        <f>SUMIFS('март 2023'!$G$4:$G$582,'март 2023'!$D$4:$D$582,$B109,'март 2023'!$J$4:$J$582,Z$1)</f>
        <v>0</v>
      </c>
      <c r="AA109" s="207">
        <f>SUMIFS('март 2023'!$G$4:$G$582,'март 2023'!$D$4:$D$582,$B109,'март 2023'!$J$4:$J$582,AA$1)</f>
        <v>0</v>
      </c>
      <c r="AB109" s="207">
        <f>SUMIFS('март 2023'!$G$4:$G$582,'март 2023'!$D$4:$D$582,$B109,'март 2023'!$J$4:$J$582,AB$1)</f>
        <v>0</v>
      </c>
      <c r="AC109" s="207">
        <f>SUMIFS('март 2023'!$G$4:$G$582,'март 2023'!$D$4:$D$582,$B109,'март 2023'!$J$4:$J$582,AC$1)</f>
        <v>0</v>
      </c>
      <c r="AD109" s="207">
        <f>SUMIFS('март 2023'!$G$4:$G$582,'март 2023'!$D$4:$D$582,$B109,'март 2023'!$J$4:$J$582,AD$1)</f>
        <v>0</v>
      </c>
      <c r="AE109" s="207">
        <f>SUMIFS('март 2023'!$G$4:$G$582,'март 2023'!$D$4:$D$582,$B109,'март 2023'!$J$4:$J$582,AE$1)</f>
        <v>0</v>
      </c>
      <c r="AF109" s="207">
        <f>SUMIFS('март 2023'!$G$4:$G$582,'март 2023'!$D$4:$D$582,$B109,'март 2023'!$J$4:$J$582,AF$1)</f>
        <v>0</v>
      </c>
      <c r="AG109" s="207">
        <f>SUMIFS('март 2023'!$G$4:$G$582,'март 2023'!$D$4:$D$582,$B109,'март 2023'!$J$4:$J$582,AG$1)</f>
        <v>0</v>
      </c>
      <c r="AH109" s="207">
        <f>SUMIFS('март 2023'!$G$4:$G$582,'март 2023'!$D$4:$D$582,$B109,'март 2023'!$J$4:$J$582,AH$1)</f>
        <v>0</v>
      </c>
      <c r="AI109" s="170">
        <f t="shared" si="3"/>
        <v>0</v>
      </c>
    </row>
    <row r="110" spans="2:35" ht="15" customHeight="1" x14ac:dyDescent="0.25">
      <c r="B110" s="212"/>
      <c r="C110" s="211"/>
      <c r="D110" s="207">
        <f>SUMIFS('март 2023'!$G$4:$G$582,'март 2023'!$D$4:$D$582,$B110,'март 2023'!$J$4:$J$582,D$1)</f>
        <v>0</v>
      </c>
      <c r="E110" s="207">
        <f>SUMIFS('март 2023'!$G$4:$G$582,'март 2023'!$D$4:$D$582,$B110,'март 2023'!$J$4:$J$582,E$1)</f>
        <v>0</v>
      </c>
      <c r="F110" s="207">
        <f>SUMIFS('март 2023'!$G$4:$G$582,'март 2023'!$D$4:$D$582,$B110,'март 2023'!$J$4:$J$582,F$1)</f>
        <v>0</v>
      </c>
      <c r="G110" s="207">
        <f>SUMIFS('март 2023'!$G$4:$G$582,'март 2023'!$D$4:$D$582,$B110,'март 2023'!$J$4:$J$582,G$1)</f>
        <v>0</v>
      </c>
      <c r="H110" s="207">
        <f>SUMIFS('март 2023'!$G$4:$G$582,'март 2023'!$D$4:$D$582,$B110,'март 2023'!$J$4:$J$582,H$1)</f>
        <v>0</v>
      </c>
      <c r="I110" s="207">
        <f>SUMIFS('март 2023'!$G$4:$G$582,'март 2023'!$D$4:$D$582,$B110,'март 2023'!$J$4:$J$582,I$1)</f>
        <v>0</v>
      </c>
      <c r="J110" s="207">
        <f>SUMIFS('март 2023'!$G$4:$G$582,'март 2023'!$D$4:$D$582,$B110,'март 2023'!$J$4:$J$582,J$1)</f>
        <v>0</v>
      </c>
      <c r="K110" s="207">
        <f>SUMIFS('март 2023'!$G$4:$G$582,'март 2023'!$D$4:$D$582,$B110,'март 2023'!$J$4:$J$582,K$1)</f>
        <v>0</v>
      </c>
      <c r="L110" s="207">
        <f>SUMIFS('март 2023'!$G$4:$G$582,'март 2023'!$D$4:$D$582,$B110,'март 2023'!$J$4:$J$582,L$1)</f>
        <v>0</v>
      </c>
      <c r="M110" s="207">
        <f>SUMIFS('март 2023'!$G$4:$G$582,'март 2023'!$D$4:$D$582,$B110,'март 2023'!$J$4:$J$582,M$1)</f>
        <v>0</v>
      </c>
      <c r="N110" s="207">
        <f>SUMIFS('март 2023'!$G$4:$G$582,'март 2023'!$D$4:$D$582,$B110,'март 2023'!$J$4:$J$582,N$1)</f>
        <v>0</v>
      </c>
      <c r="O110" s="207">
        <f>SUMIFS('март 2023'!$G$4:$G$582,'март 2023'!$D$4:$D$582,$B110,'март 2023'!$J$4:$J$582,O$1)</f>
        <v>0</v>
      </c>
      <c r="P110" s="207">
        <f>SUMIFS('март 2023'!$G$4:$G$582,'март 2023'!$D$4:$D$582,$B110,'март 2023'!$J$4:$J$582,P$1)</f>
        <v>0</v>
      </c>
      <c r="Q110" s="207">
        <f>SUMIFS('март 2023'!$G$4:$G$582,'март 2023'!$D$4:$D$582,$B110,'март 2023'!$J$4:$J$582,Q$1)</f>
        <v>0</v>
      </c>
      <c r="R110" s="207">
        <f>SUMIFS('март 2023'!$G$4:$G$582,'март 2023'!$D$4:$D$582,$B110,'март 2023'!$J$4:$J$582,R$1)</f>
        <v>0</v>
      </c>
      <c r="S110" s="207">
        <f>SUMIFS('март 2023'!$G$4:$G$582,'март 2023'!$D$4:$D$582,$B110,'март 2023'!$J$4:$J$582,S$1)</f>
        <v>0</v>
      </c>
      <c r="T110" s="207">
        <f>SUMIFS('март 2023'!$G$4:$G$582,'март 2023'!$D$4:$D$582,$B110,'март 2023'!$J$4:$J$582,T$1)</f>
        <v>0</v>
      </c>
      <c r="U110" s="207">
        <f>SUMIFS('март 2023'!$G$4:$G$582,'март 2023'!$D$4:$D$582,$B110,'март 2023'!$J$4:$J$582,U$1)</f>
        <v>0</v>
      </c>
      <c r="V110" s="207">
        <f>SUMIFS('март 2023'!$G$4:$G$582,'март 2023'!$D$4:$D$582,$B110,'март 2023'!$J$4:$J$582,V$1)</f>
        <v>0</v>
      </c>
      <c r="W110" s="207">
        <f>SUMIFS('март 2023'!$G$4:$G$582,'март 2023'!$D$4:$D$582,$B110,'март 2023'!$J$4:$J$582,W$1)</f>
        <v>0</v>
      </c>
      <c r="X110" s="207">
        <f>SUMIFS('март 2023'!$G$4:$G$582,'март 2023'!$D$4:$D$582,$B110,'март 2023'!$J$4:$J$582,X$1)</f>
        <v>0</v>
      </c>
      <c r="Y110" s="207">
        <f>SUMIFS('март 2023'!$G$4:$G$582,'март 2023'!$D$4:$D$582,$B110,'март 2023'!$J$4:$J$582,Y$1)</f>
        <v>0</v>
      </c>
      <c r="Z110" s="207">
        <f>SUMIFS('март 2023'!$G$4:$G$582,'март 2023'!$D$4:$D$582,$B110,'март 2023'!$J$4:$J$582,Z$1)</f>
        <v>0</v>
      </c>
      <c r="AA110" s="207">
        <f>SUMIFS('март 2023'!$G$4:$G$582,'март 2023'!$D$4:$D$582,$B110,'март 2023'!$J$4:$J$582,AA$1)</f>
        <v>0</v>
      </c>
      <c r="AB110" s="207">
        <f>SUMIFS('март 2023'!$G$4:$G$582,'март 2023'!$D$4:$D$582,$B110,'март 2023'!$J$4:$J$582,AB$1)</f>
        <v>0</v>
      </c>
      <c r="AC110" s="207">
        <f>SUMIFS('март 2023'!$G$4:$G$582,'март 2023'!$D$4:$D$582,$B110,'март 2023'!$J$4:$J$582,AC$1)</f>
        <v>0</v>
      </c>
      <c r="AD110" s="207">
        <f>SUMIFS('март 2023'!$G$4:$G$582,'март 2023'!$D$4:$D$582,$B110,'март 2023'!$J$4:$J$582,AD$1)</f>
        <v>0</v>
      </c>
      <c r="AE110" s="207">
        <f>SUMIFS('март 2023'!$G$4:$G$582,'март 2023'!$D$4:$D$582,$B110,'март 2023'!$J$4:$J$582,AE$1)</f>
        <v>0</v>
      </c>
      <c r="AF110" s="207">
        <f>SUMIFS('март 2023'!$G$4:$G$582,'март 2023'!$D$4:$D$582,$B110,'март 2023'!$J$4:$J$582,AF$1)</f>
        <v>0</v>
      </c>
      <c r="AG110" s="207">
        <f>SUMIFS('март 2023'!$G$4:$G$582,'март 2023'!$D$4:$D$582,$B110,'март 2023'!$J$4:$J$582,AG$1)</f>
        <v>0</v>
      </c>
      <c r="AH110" s="207">
        <f>SUMIFS('март 2023'!$G$4:$G$582,'март 2023'!$D$4:$D$582,$B110,'март 2023'!$J$4:$J$582,AH$1)</f>
        <v>0</v>
      </c>
      <c r="AI110" s="170">
        <f t="shared" si="2"/>
        <v>0</v>
      </c>
    </row>
    <row r="111" spans="2:35" ht="15" customHeight="1" x14ac:dyDescent="0.25">
      <c r="B111" s="212"/>
      <c r="C111" s="211"/>
      <c r="D111" s="207">
        <f>SUMIFS('март 2023'!$G$4:$G$582,'март 2023'!$D$4:$D$582,$B111,'март 2023'!$J$4:$J$582,D$1)</f>
        <v>0</v>
      </c>
      <c r="E111" s="207">
        <f>SUMIFS('март 2023'!$G$4:$G$582,'март 2023'!$D$4:$D$582,$B111,'март 2023'!$J$4:$J$582,E$1)</f>
        <v>0</v>
      </c>
      <c r="F111" s="207">
        <f>SUMIFS('март 2023'!$G$4:$G$582,'март 2023'!$D$4:$D$582,$B111,'март 2023'!$J$4:$J$582,F$1)</f>
        <v>0</v>
      </c>
      <c r="G111" s="207">
        <f>SUMIFS('март 2023'!$G$4:$G$582,'март 2023'!$D$4:$D$582,$B111,'март 2023'!$J$4:$J$582,G$1)</f>
        <v>0</v>
      </c>
      <c r="H111" s="207">
        <f>SUMIFS('март 2023'!$G$4:$G$582,'март 2023'!$D$4:$D$582,$B111,'март 2023'!$J$4:$J$582,H$1)</f>
        <v>0</v>
      </c>
      <c r="I111" s="207">
        <f>SUMIFS('март 2023'!$G$4:$G$582,'март 2023'!$D$4:$D$582,$B111,'март 2023'!$J$4:$J$582,I$1)</f>
        <v>0</v>
      </c>
      <c r="J111" s="207">
        <f>SUMIFS('март 2023'!$G$4:$G$582,'март 2023'!$D$4:$D$582,$B111,'март 2023'!$J$4:$J$582,J$1)</f>
        <v>0</v>
      </c>
      <c r="K111" s="207">
        <f>SUMIFS('март 2023'!$G$4:$G$582,'март 2023'!$D$4:$D$582,$B111,'март 2023'!$J$4:$J$582,K$1)</f>
        <v>0</v>
      </c>
      <c r="L111" s="207">
        <f>SUMIFS('март 2023'!$G$4:$G$582,'март 2023'!$D$4:$D$582,$B111,'март 2023'!$J$4:$J$582,L$1)</f>
        <v>0</v>
      </c>
      <c r="M111" s="207">
        <f>SUMIFS('март 2023'!$G$4:$G$582,'март 2023'!$D$4:$D$582,$B111,'март 2023'!$J$4:$J$582,M$1)</f>
        <v>0</v>
      </c>
      <c r="N111" s="207">
        <f>SUMIFS('март 2023'!$G$4:$G$582,'март 2023'!$D$4:$D$582,$B111,'март 2023'!$J$4:$J$582,N$1)</f>
        <v>0</v>
      </c>
      <c r="O111" s="207">
        <f>SUMIFS('март 2023'!$G$4:$G$582,'март 2023'!$D$4:$D$582,$B111,'март 2023'!$J$4:$J$582,O$1)</f>
        <v>0</v>
      </c>
      <c r="P111" s="207">
        <f>SUMIFS('март 2023'!$G$4:$G$582,'март 2023'!$D$4:$D$582,$B111,'март 2023'!$J$4:$J$582,P$1)</f>
        <v>0</v>
      </c>
      <c r="Q111" s="207">
        <f>SUMIFS('март 2023'!$G$4:$G$582,'март 2023'!$D$4:$D$582,$B111,'март 2023'!$J$4:$J$582,Q$1)</f>
        <v>0</v>
      </c>
      <c r="R111" s="207">
        <f>SUMIFS('март 2023'!$G$4:$G$582,'март 2023'!$D$4:$D$582,$B111,'март 2023'!$J$4:$J$582,R$1)</f>
        <v>0</v>
      </c>
      <c r="S111" s="207">
        <f>SUMIFS('март 2023'!$G$4:$G$582,'март 2023'!$D$4:$D$582,$B111,'март 2023'!$J$4:$J$582,S$1)</f>
        <v>0</v>
      </c>
      <c r="T111" s="207">
        <f>SUMIFS('март 2023'!$G$4:$G$582,'март 2023'!$D$4:$D$582,$B111,'март 2023'!$J$4:$J$582,T$1)</f>
        <v>0</v>
      </c>
      <c r="U111" s="207">
        <f>SUMIFS('март 2023'!$G$4:$G$582,'март 2023'!$D$4:$D$582,$B111,'март 2023'!$J$4:$J$582,U$1)</f>
        <v>0</v>
      </c>
      <c r="V111" s="207">
        <f>SUMIFS('март 2023'!$G$4:$G$582,'март 2023'!$D$4:$D$582,$B111,'март 2023'!$J$4:$J$582,V$1)</f>
        <v>0</v>
      </c>
      <c r="W111" s="207">
        <f>SUMIFS('март 2023'!$G$4:$G$582,'март 2023'!$D$4:$D$582,$B111,'март 2023'!$J$4:$J$582,W$1)</f>
        <v>0</v>
      </c>
      <c r="X111" s="207">
        <f>SUMIFS('март 2023'!$G$4:$G$582,'март 2023'!$D$4:$D$582,$B111,'март 2023'!$J$4:$J$582,X$1)</f>
        <v>0</v>
      </c>
      <c r="Y111" s="207">
        <f>SUMIFS('март 2023'!$G$4:$G$582,'март 2023'!$D$4:$D$582,$B111,'март 2023'!$J$4:$J$582,Y$1)</f>
        <v>0</v>
      </c>
      <c r="Z111" s="207">
        <f>SUMIFS('март 2023'!$G$4:$G$582,'март 2023'!$D$4:$D$582,$B111,'март 2023'!$J$4:$J$582,Z$1)</f>
        <v>0</v>
      </c>
      <c r="AA111" s="207">
        <f>SUMIFS('март 2023'!$G$4:$G$582,'март 2023'!$D$4:$D$582,$B111,'март 2023'!$J$4:$J$582,AA$1)</f>
        <v>0</v>
      </c>
      <c r="AB111" s="207">
        <f>SUMIFS('март 2023'!$G$4:$G$582,'март 2023'!$D$4:$D$582,$B111,'март 2023'!$J$4:$J$582,AB$1)</f>
        <v>0</v>
      </c>
      <c r="AC111" s="207">
        <f>SUMIFS('март 2023'!$G$4:$G$582,'март 2023'!$D$4:$D$582,$B111,'март 2023'!$J$4:$J$582,AC$1)</f>
        <v>0</v>
      </c>
      <c r="AD111" s="207">
        <f>SUMIFS('март 2023'!$G$4:$G$582,'март 2023'!$D$4:$D$582,$B111,'март 2023'!$J$4:$J$582,AD$1)</f>
        <v>0</v>
      </c>
      <c r="AE111" s="207">
        <f>SUMIFS('март 2023'!$G$4:$G$582,'март 2023'!$D$4:$D$582,$B111,'март 2023'!$J$4:$J$582,AE$1)</f>
        <v>0</v>
      </c>
      <c r="AF111" s="207">
        <f>SUMIFS('март 2023'!$G$4:$G$582,'март 2023'!$D$4:$D$582,$B111,'март 2023'!$J$4:$J$582,AF$1)</f>
        <v>0</v>
      </c>
      <c r="AG111" s="207">
        <f>SUMIFS('март 2023'!$G$4:$G$582,'март 2023'!$D$4:$D$582,$B111,'март 2023'!$J$4:$J$582,AG$1)</f>
        <v>0</v>
      </c>
      <c r="AH111" s="207">
        <f>SUMIFS('март 2023'!$G$4:$G$582,'март 2023'!$D$4:$D$582,$B111,'март 2023'!$J$4:$J$582,AH$1)</f>
        <v>0</v>
      </c>
      <c r="AI111" s="170">
        <f t="shared" si="2"/>
        <v>0</v>
      </c>
    </row>
    <row r="112" spans="2:35" ht="15" hidden="1" customHeight="1" x14ac:dyDescent="0.25">
      <c r="B112" s="212"/>
      <c r="C112" s="211"/>
      <c r="D112" s="207">
        <f>SUMIFS('март 2023'!$G$4:$G$582,'март 2023'!$D$4:$D$582,$B112,'март 2023'!$J$4:$J$582,D$1)</f>
        <v>0</v>
      </c>
      <c r="E112" s="207">
        <f>SUMIFS('март 2023'!$G$4:$G$582,'март 2023'!$D$4:$D$582,$B112,'март 2023'!$J$4:$J$582,E$1)</f>
        <v>0</v>
      </c>
      <c r="F112" s="207">
        <f>SUMIFS('март 2023'!$G$4:$G$582,'март 2023'!$D$4:$D$582,$B112,'март 2023'!$J$4:$J$582,F$1)</f>
        <v>0</v>
      </c>
      <c r="G112" s="207">
        <f>SUMIFS('март 2023'!$G$4:$G$582,'март 2023'!$D$4:$D$582,$B112,'март 2023'!$J$4:$J$582,G$1)</f>
        <v>0</v>
      </c>
      <c r="H112" s="207">
        <f>SUMIFS('март 2023'!$G$4:$G$582,'март 2023'!$D$4:$D$582,$B112,'март 2023'!$J$4:$J$582,H$1)</f>
        <v>0</v>
      </c>
      <c r="I112" s="207">
        <f>SUMIFS('март 2023'!$G$4:$G$582,'март 2023'!$D$4:$D$582,$B112,'март 2023'!$J$4:$J$582,I$1)</f>
        <v>0</v>
      </c>
      <c r="J112" s="207">
        <f>SUMIFS('март 2023'!$G$4:$G$582,'март 2023'!$D$4:$D$582,$B112,'март 2023'!$J$4:$J$582,J$1)</f>
        <v>0</v>
      </c>
      <c r="K112" s="207">
        <f>SUMIFS('март 2023'!$G$4:$G$582,'март 2023'!$D$4:$D$582,$B112,'март 2023'!$J$4:$J$582,K$1)</f>
        <v>0</v>
      </c>
      <c r="L112" s="207">
        <f>SUMIFS('март 2023'!$G$4:$G$582,'март 2023'!$D$4:$D$582,$B112,'март 2023'!$J$4:$J$582,L$1)</f>
        <v>0</v>
      </c>
      <c r="M112" s="207">
        <f>SUMIFS('март 2023'!$G$4:$G$582,'март 2023'!$D$4:$D$582,$B112,'март 2023'!$J$4:$J$582,M$1)</f>
        <v>0</v>
      </c>
      <c r="N112" s="207">
        <f>SUMIFS('март 2023'!$G$4:$G$582,'март 2023'!$D$4:$D$582,$B112,'март 2023'!$J$4:$J$582,N$1)</f>
        <v>0</v>
      </c>
      <c r="O112" s="207">
        <f>SUMIFS('март 2023'!$G$4:$G$582,'март 2023'!$D$4:$D$582,$B112,'март 2023'!$J$4:$J$582,O$1)</f>
        <v>0</v>
      </c>
      <c r="P112" s="207">
        <f>SUMIFS('март 2023'!$G$4:$G$582,'март 2023'!$D$4:$D$582,$B112,'март 2023'!$J$4:$J$582,P$1)</f>
        <v>0</v>
      </c>
      <c r="Q112" s="207">
        <f>SUMIFS('март 2023'!$G$4:$G$582,'март 2023'!$D$4:$D$582,$B112,'март 2023'!$J$4:$J$582,Q$1)</f>
        <v>0</v>
      </c>
      <c r="R112" s="207">
        <f>SUMIFS('март 2023'!$G$4:$G$582,'март 2023'!$D$4:$D$582,$B112,'март 2023'!$J$4:$J$582,R$1)</f>
        <v>0</v>
      </c>
      <c r="S112" s="207">
        <f>SUMIFS('март 2023'!$G$4:$G$582,'март 2023'!$D$4:$D$582,$B112,'март 2023'!$J$4:$J$582,S$1)</f>
        <v>0</v>
      </c>
      <c r="T112" s="207">
        <f>SUMIFS('март 2023'!$G$4:$G$582,'март 2023'!$D$4:$D$582,$B112,'март 2023'!$J$4:$J$582,T$1)</f>
        <v>0</v>
      </c>
      <c r="U112" s="207">
        <f>SUMIFS('март 2023'!$G$4:$G$582,'март 2023'!$D$4:$D$582,$B112,'март 2023'!$J$4:$J$582,U$1)</f>
        <v>0</v>
      </c>
      <c r="V112" s="207">
        <f>SUMIFS('март 2023'!$G$4:$G$582,'март 2023'!$D$4:$D$582,$B112,'март 2023'!$J$4:$J$582,V$1)</f>
        <v>0</v>
      </c>
      <c r="W112" s="207">
        <f>SUMIFS('март 2023'!$G$4:$G$582,'март 2023'!$D$4:$D$582,$B112,'март 2023'!$J$4:$J$582,W$1)</f>
        <v>0</v>
      </c>
      <c r="X112" s="207">
        <f>SUMIFS('март 2023'!$G$4:$G$582,'март 2023'!$D$4:$D$582,$B112,'март 2023'!$J$4:$J$582,X$1)</f>
        <v>0</v>
      </c>
      <c r="Y112" s="207">
        <f>SUMIFS('март 2023'!$G$4:$G$582,'март 2023'!$D$4:$D$582,$B112,'март 2023'!$J$4:$J$582,Y$1)</f>
        <v>0</v>
      </c>
      <c r="Z112" s="207">
        <f>SUMIFS('март 2023'!$G$4:$G$582,'март 2023'!$D$4:$D$582,$B112,'март 2023'!$J$4:$J$582,Z$1)</f>
        <v>0</v>
      </c>
      <c r="AA112" s="207">
        <f>SUMIFS('март 2023'!$G$4:$G$582,'март 2023'!$D$4:$D$582,$B112,'март 2023'!$J$4:$J$582,AA$1)</f>
        <v>0</v>
      </c>
      <c r="AB112" s="207">
        <f>SUMIFS('март 2023'!$G$4:$G$582,'март 2023'!$D$4:$D$582,$B112,'март 2023'!$J$4:$J$582,AB$1)</f>
        <v>0</v>
      </c>
      <c r="AC112" s="207">
        <f>SUMIFS('март 2023'!$G$4:$G$582,'март 2023'!$D$4:$D$582,$B112,'март 2023'!$J$4:$J$582,AC$1)</f>
        <v>0</v>
      </c>
      <c r="AD112" s="207">
        <f>SUMIFS('март 2023'!$G$4:$G$582,'март 2023'!$D$4:$D$582,$B112,'март 2023'!$J$4:$J$582,AD$1)</f>
        <v>0</v>
      </c>
      <c r="AE112" s="207">
        <f>SUMIFS('март 2023'!$G$4:$G$582,'март 2023'!$D$4:$D$582,$B112,'март 2023'!$J$4:$J$582,AE$1)</f>
        <v>0</v>
      </c>
      <c r="AF112" s="207">
        <f>SUMIFS('март 2023'!$G$4:$G$582,'март 2023'!$D$4:$D$582,$B112,'март 2023'!$J$4:$J$582,AF$1)</f>
        <v>0</v>
      </c>
      <c r="AG112" s="207">
        <f>SUMIFS('март 2023'!$G$4:$G$582,'март 2023'!$D$4:$D$582,$B112,'март 2023'!$J$4:$J$582,AG$1)</f>
        <v>0</v>
      </c>
      <c r="AH112" s="207">
        <f>SUMIFS('март 2023'!$G$4:$G$582,'март 2023'!$D$4:$D$582,$B112,'март 2023'!$J$4:$J$582,AH$1)</f>
        <v>0</v>
      </c>
      <c r="AI112" s="220">
        <f t="shared" si="2"/>
        <v>0</v>
      </c>
    </row>
    <row r="113" spans="2:35" ht="15" hidden="1" customHeight="1" x14ac:dyDescent="0.25">
      <c r="B113" s="212"/>
      <c r="C113" s="211"/>
      <c r="D113" s="207">
        <f>SUMIFS('март 2023'!$G$4:$G$582,'март 2023'!$D$4:$D$582,$B113,'март 2023'!$J$4:$J$582,D$1)</f>
        <v>0</v>
      </c>
      <c r="E113" s="207">
        <f>SUMIFS('март 2023'!$G$4:$G$582,'март 2023'!$D$4:$D$582,$B113,'март 2023'!$J$4:$J$582,E$1)</f>
        <v>0</v>
      </c>
      <c r="F113" s="207">
        <f>SUMIFS('март 2023'!$G$4:$G$582,'март 2023'!$D$4:$D$582,$B113,'март 2023'!$J$4:$J$582,F$1)</f>
        <v>0</v>
      </c>
      <c r="G113" s="207">
        <f>SUMIFS('март 2023'!$G$4:$G$582,'март 2023'!$D$4:$D$582,$B113,'март 2023'!$J$4:$J$582,G$1)</f>
        <v>0</v>
      </c>
      <c r="H113" s="207">
        <f>SUMIFS('март 2023'!$G$4:$G$582,'март 2023'!$D$4:$D$582,$B113,'март 2023'!$J$4:$J$582,H$1)</f>
        <v>0</v>
      </c>
      <c r="I113" s="207">
        <f>SUMIFS('март 2023'!$G$4:$G$582,'март 2023'!$D$4:$D$582,$B113,'март 2023'!$J$4:$J$582,I$1)</f>
        <v>0</v>
      </c>
      <c r="J113" s="207">
        <f>SUMIFS('март 2023'!$G$4:$G$582,'март 2023'!$D$4:$D$582,$B113,'март 2023'!$J$4:$J$582,J$1)</f>
        <v>0</v>
      </c>
      <c r="K113" s="207">
        <f>SUMIFS('март 2023'!$G$4:$G$582,'март 2023'!$D$4:$D$582,$B113,'март 2023'!$J$4:$J$582,K$1)</f>
        <v>0</v>
      </c>
      <c r="L113" s="207">
        <f>SUMIFS('март 2023'!$G$4:$G$582,'март 2023'!$D$4:$D$582,$B113,'март 2023'!$J$4:$J$582,L$1)</f>
        <v>0</v>
      </c>
      <c r="M113" s="207">
        <f>SUMIFS('март 2023'!$G$4:$G$582,'март 2023'!$D$4:$D$582,$B113,'март 2023'!$J$4:$J$582,M$1)</f>
        <v>0</v>
      </c>
      <c r="N113" s="207">
        <f>SUMIFS('март 2023'!$G$4:$G$582,'март 2023'!$D$4:$D$582,$B113,'март 2023'!$J$4:$J$582,N$1)</f>
        <v>0</v>
      </c>
      <c r="O113" s="207">
        <f>SUMIFS('март 2023'!$G$4:$G$582,'март 2023'!$D$4:$D$582,$B113,'март 2023'!$J$4:$J$582,O$1)</f>
        <v>0</v>
      </c>
      <c r="P113" s="207">
        <f>SUMIFS('март 2023'!$G$4:$G$582,'март 2023'!$D$4:$D$582,$B113,'март 2023'!$J$4:$J$582,P$1)</f>
        <v>0</v>
      </c>
      <c r="Q113" s="207">
        <f>SUMIFS('март 2023'!$G$4:$G$582,'март 2023'!$D$4:$D$582,$B113,'март 2023'!$J$4:$J$582,Q$1)</f>
        <v>0</v>
      </c>
      <c r="R113" s="207">
        <f>SUMIFS('март 2023'!$G$4:$G$582,'март 2023'!$D$4:$D$582,$B113,'март 2023'!$J$4:$J$582,R$1)</f>
        <v>0</v>
      </c>
      <c r="S113" s="207">
        <f>SUMIFS('март 2023'!$G$4:$G$582,'март 2023'!$D$4:$D$582,$B113,'март 2023'!$J$4:$J$582,S$1)</f>
        <v>0</v>
      </c>
      <c r="T113" s="207">
        <f>SUMIFS('март 2023'!$G$4:$G$582,'март 2023'!$D$4:$D$582,$B113,'март 2023'!$J$4:$J$582,T$1)</f>
        <v>0</v>
      </c>
      <c r="U113" s="207">
        <f>SUMIFS('март 2023'!$G$4:$G$582,'март 2023'!$D$4:$D$582,$B113,'март 2023'!$J$4:$J$582,U$1)</f>
        <v>0</v>
      </c>
      <c r="V113" s="207">
        <f>SUMIFS('март 2023'!$G$4:$G$582,'март 2023'!$D$4:$D$582,$B113,'март 2023'!$J$4:$J$582,V$1)</f>
        <v>0</v>
      </c>
      <c r="W113" s="207">
        <f>SUMIFS('март 2023'!$G$4:$G$582,'март 2023'!$D$4:$D$582,$B113,'март 2023'!$J$4:$J$582,W$1)</f>
        <v>0</v>
      </c>
      <c r="X113" s="207">
        <f>SUMIFS('март 2023'!$G$4:$G$582,'март 2023'!$D$4:$D$582,$B113,'март 2023'!$J$4:$J$582,X$1)</f>
        <v>0</v>
      </c>
      <c r="Y113" s="207">
        <f>SUMIFS('март 2023'!$G$4:$G$582,'март 2023'!$D$4:$D$582,$B113,'март 2023'!$J$4:$J$582,Y$1)</f>
        <v>0</v>
      </c>
      <c r="Z113" s="207">
        <f>SUMIFS('март 2023'!$G$4:$G$582,'март 2023'!$D$4:$D$582,$B113,'март 2023'!$J$4:$J$582,Z$1)</f>
        <v>0</v>
      </c>
      <c r="AA113" s="207">
        <f>SUMIFS('март 2023'!$G$4:$G$582,'март 2023'!$D$4:$D$582,$B113,'март 2023'!$J$4:$J$582,AA$1)</f>
        <v>0</v>
      </c>
      <c r="AB113" s="207">
        <f>SUMIFS('март 2023'!$G$4:$G$582,'март 2023'!$D$4:$D$582,$B113,'март 2023'!$J$4:$J$582,AB$1)</f>
        <v>0</v>
      </c>
      <c r="AC113" s="207">
        <f>SUMIFS('март 2023'!$G$4:$G$582,'март 2023'!$D$4:$D$582,$B113,'март 2023'!$J$4:$J$582,AC$1)</f>
        <v>0</v>
      </c>
      <c r="AD113" s="207">
        <f>SUMIFS('март 2023'!$G$4:$G$582,'март 2023'!$D$4:$D$582,$B113,'март 2023'!$J$4:$J$582,AD$1)</f>
        <v>0</v>
      </c>
      <c r="AE113" s="207">
        <f>SUMIFS('март 2023'!$G$4:$G$582,'март 2023'!$D$4:$D$582,$B113,'март 2023'!$J$4:$J$582,AE$1)</f>
        <v>0</v>
      </c>
      <c r="AF113" s="207">
        <f>SUMIFS('март 2023'!$G$4:$G$582,'март 2023'!$D$4:$D$582,$B113,'март 2023'!$J$4:$J$582,AF$1)</f>
        <v>0</v>
      </c>
      <c r="AG113" s="207">
        <f>SUMIFS('март 2023'!$G$4:$G$582,'март 2023'!$D$4:$D$582,$B113,'март 2023'!$J$4:$J$582,AG$1)</f>
        <v>0</v>
      </c>
      <c r="AH113" s="207">
        <f>SUMIFS('март 2023'!$G$4:$G$582,'март 2023'!$D$4:$D$582,$B113,'март 2023'!$J$4:$J$582,AH$1)</f>
        <v>0</v>
      </c>
      <c r="AI113" s="220">
        <f t="shared" si="2"/>
        <v>0</v>
      </c>
    </row>
    <row r="114" spans="2:35" ht="15" hidden="1" customHeight="1" x14ac:dyDescent="0.25">
      <c r="B114" s="212"/>
      <c r="C114" s="211"/>
      <c r="D114" s="207">
        <f>SUMIFS('март 2023'!$G$4:$G$582,'март 2023'!$D$4:$D$582,$B114,'март 2023'!$J$4:$J$582,D$1)</f>
        <v>0</v>
      </c>
      <c r="E114" s="207">
        <f>SUMIFS('март 2023'!$G$4:$G$582,'март 2023'!$D$4:$D$582,$B114,'март 2023'!$J$4:$J$582,E$1)</f>
        <v>0</v>
      </c>
      <c r="F114" s="207">
        <f>SUMIFS('март 2023'!$G$4:$G$582,'март 2023'!$D$4:$D$582,$B114,'март 2023'!$J$4:$J$582,F$1)</f>
        <v>0</v>
      </c>
      <c r="G114" s="207">
        <f>SUMIFS('март 2023'!$G$4:$G$582,'март 2023'!$D$4:$D$582,$B114,'март 2023'!$J$4:$J$582,G$1)</f>
        <v>0</v>
      </c>
      <c r="H114" s="207">
        <f>SUMIFS('март 2023'!$G$4:$G$582,'март 2023'!$D$4:$D$582,$B114,'март 2023'!$J$4:$J$582,H$1)</f>
        <v>0</v>
      </c>
      <c r="I114" s="207">
        <f>SUMIFS('март 2023'!$G$4:$G$582,'март 2023'!$D$4:$D$582,$B114,'март 2023'!$J$4:$J$582,I$1)</f>
        <v>0</v>
      </c>
      <c r="J114" s="207">
        <f>SUMIFS('март 2023'!$G$4:$G$582,'март 2023'!$D$4:$D$582,$B114,'март 2023'!$J$4:$J$582,J$1)</f>
        <v>0</v>
      </c>
      <c r="K114" s="207">
        <f>SUMIFS('март 2023'!$G$4:$G$582,'март 2023'!$D$4:$D$582,$B114,'март 2023'!$J$4:$J$582,K$1)</f>
        <v>0</v>
      </c>
      <c r="L114" s="207">
        <f>SUMIFS('март 2023'!$G$4:$G$582,'март 2023'!$D$4:$D$582,$B114,'март 2023'!$J$4:$J$582,L$1)</f>
        <v>0</v>
      </c>
      <c r="M114" s="207">
        <f>SUMIFS('март 2023'!$G$4:$G$582,'март 2023'!$D$4:$D$582,$B114,'март 2023'!$J$4:$J$582,M$1)</f>
        <v>0</v>
      </c>
      <c r="N114" s="207">
        <f>SUMIFS('март 2023'!$G$4:$G$582,'март 2023'!$D$4:$D$582,$B114,'март 2023'!$J$4:$J$582,N$1)</f>
        <v>0</v>
      </c>
      <c r="O114" s="207">
        <f>SUMIFS('март 2023'!$G$4:$G$582,'март 2023'!$D$4:$D$582,$B114,'март 2023'!$J$4:$J$582,O$1)</f>
        <v>0</v>
      </c>
      <c r="P114" s="207">
        <f>SUMIFS('март 2023'!$G$4:$G$582,'март 2023'!$D$4:$D$582,$B114,'март 2023'!$J$4:$J$582,P$1)</f>
        <v>0</v>
      </c>
      <c r="Q114" s="207">
        <f>SUMIFS('март 2023'!$G$4:$G$582,'март 2023'!$D$4:$D$582,$B114,'март 2023'!$J$4:$J$582,Q$1)</f>
        <v>0</v>
      </c>
      <c r="R114" s="207">
        <f>SUMIFS('март 2023'!$G$4:$G$582,'март 2023'!$D$4:$D$582,$B114,'март 2023'!$J$4:$J$582,R$1)</f>
        <v>0</v>
      </c>
      <c r="S114" s="207">
        <f>SUMIFS('март 2023'!$G$4:$G$582,'март 2023'!$D$4:$D$582,$B114,'март 2023'!$J$4:$J$582,S$1)</f>
        <v>0</v>
      </c>
      <c r="T114" s="207">
        <f>SUMIFS('март 2023'!$G$4:$G$582,'март 2023'!$D$4:$D$582,$B114,'март 2023'!$J$4:$J$582,T$1)</f>
        <v>0</v>
      </c>
      <c r="U114" s="207">
        <f>SUMIFS('март 2023'!$G$4:$G$582,'март 2023'!$D$4:$D$582,$B114,'март 2023'!$J$4:$J$582,U$1)</f>
        <v>0</v>
      </c>
      <c r="V114" s="207">
        <f>SUMIFS('март 2023'!$G$4:$G$582,'март 2023'!$D$4:$D$582,$B114,'март 2023'!$J$4:$J$582,V$1)</f>
        <v>0</v>
      </c>
      <c r="W114" s="207">
        <f>SUMIFS('март 2023'!$G$4:$G$582,'март 2023'!$D$4:$D$582,$B114,'март 2023'!$J$4:$J$582,W$1)</f>
        <v>0</v>
      </c>
      <c r="X114" s="207">
        <f>SUMIFS('март 2023'!$G$4:$G$582,'март 2023'!$D$4:$D$582,$B114,'март 2023'!$J$4:$J$582,X$1)</f>
        <v>0</v>
      </c>
      <c r="Y114" s="207">
        <f>SUMIFS('март 2023'!$G$4:$G$582,'март 2023'!$D$4:$D$582,$B114,'март 2023'!$J$4:$J$582,Y$1)</f>
        <v>0</v>
      </c>
      <c r="Z114" s="207">
        <f>SUMIFS('март 2023'!$G$4:$G$582,'март 2023'!$D$4:$D$582,$B114,'март 2023'!$J$4:$J$582,Z$1)</f>
        <v>0</v>
      </c>
      <c r="AA114" s="207">
        <f>SUMIFS('март 2023'!$G$4:$G$582,'март 2023'!$D$4:$D$582,$B114,'март 2023'!$J$4:$J$582,AA$1)</f>
        <v>0</v>
      </c>
      <c r="AB114" s="207">
        <f>SUMIFS('март 2023'!$G$4:$G$582,'март 2023'!$D$4:$D$582,$B114,'март 2023'!$J$4:$J$582,AB$1)</f>
        <v>0</v>
      </c>
      <c r="AC114" s="207">
        <f>SUMIFS('март 2023'!$G$4:$G$582,'март 2023'!$D$4:$D$582,$B114,'март 2023'!$J$4:$J$582,AC$1)</f>
        <v>0</v>
      </c>
      <c r="AD114" s="207">
        <f>SUMIFS('март 2023'!$G$4:$G$582,'март 2023'!$D$4:$D$582,$B114,'март 2023'!$J$4:$J$582,AD$1)</f>
        <v>0</v>
      </c>
      <c r="AE114" s="207">
        <f>SUMIFS('март 2023'!$G$4:$G$582,'март 2023'!$D$4:$D$582,$B114,'март 2023'!$J$4:$J$582,AE$1)</f>
        <v>0</v>
      </c>
      <c r="AF114" s="207">
        <f>SUMIFS('март 2023'!$G$4:$G$582,'март 2023'!$D$4:$D$582,$B114,'март 2023'!$J$4:$J$582,AF$1)</f>
        <v>0</v>
      </c>
      <c r="AG114" s="207">
        <f>SUMIFS('март 2023'!$G$4:$G$582,'март 2023'!$D$4:$D$582,$B114,'март 2023'!$J$4:$J$582,AG$1)</f>
        <v>0</v>
      </c>
      <c r="AH114" s="207">
        <f>SUMIFS('март 2023'!$G$4:$G$582,'март 2023'!$D$4:$D$582,$B114,'март 2023'!$J$4:$J$582,AH$1)</f>
        <v>0</v>
      </c>
      <c r="AI114" s="220">
        <f t="shared" si="2"/>
        <v>0</v>
      </c>
    </row>
    <row r="115" spans="2:35" ht="15" hidden="1" customHeight="1" x14ac:dyDescent="0.25">
      <c r="B115" s="212"/>
      <c r="C115" s="211"/>
      <c r="D115" s="207">
        <f>SUMIFS('март 2023'!$G$4:$G$582,'март 2023'!$D$4:$D$582,$B115,'март 2023'!$J$4:$J$582,D$1)</f>
        <v>0</v>
      </c>
      <c r="E115" s="207">
        <f>SUMIFS('март 2023'!$G$4:$G$582,'март 2023'!$D$4:$D$582,$B115,'март 2023'!$J$4:$J$582,E$1)</f>
        <v>0</v>
      </c>
      <c r="F115" s="207">
        <f>SUMIFS('март 2023'!$G$4:$G$582,'март 2023'!$D$4:$D$582,$B115,'март 2023'!$J$4:$J$582,F$1)</f>
        <v>0</v>
      </c>
      <c r="G115" s="207">
        <f>SUMIFS('март 2023'!$G$4:$G$582,'март 2023'!$D$4:$D$582,$B115,'март 2023'!$J$4:$J$582,G$1)</f>
        <v>0</v>
      </c>
      <c r="H115" s="207">
        <f>SUMIFS('март 2023'!$G$4:$G$582,'март 2023'!$D$4:$D$582,$B115,'март 2023'!$J$4:$J$582,H$1)</f>
        <v>0</v>
      </c>
      <c r="I115" s="207">
        <f>SUMIFS('март 2023'!$G$4:$G$582,'март 2023'!$D$4:$D$582,$B115,'март 2023'!$J$4:$J$582,I$1)</f>
        <v>0</v>
      </c>
      <c r="J115" s="207">
        <f>SUMIFS('март 2023'!$G$4:$G$582,'март 2023'!$D$4:$D$582,$B115,'март 2023'!$J$4:$J$582,J$1)</f>
        <v>0</v>
      </c>
      <c r="K115" s="207">
        <f>SUMIFS('март 2023'!$G$4:$G$582,'март 2023'!$D$4:$D$582,$B115,'март 2023'!$J$4:$J$582,K$1)</f>
        <v>0</v>
      </c>
      <c r="L115" s="207">
        <f>SUMIFS('март 2023'!$G$4:$G$582,'март 2023'!$D$4:$D$582,$B115,'март 2023'!$J$4:$J$582,L$1)</f>
        <v>0</v>
      </c>
      <c r="M115" s="207">
        <f>SUMIFS('март 2023'!$G$4:$G$582,'март 2023'!$D$4:$D$582,$B115,'март 2023'!$J$4:$J$582,M$1)</f>
        <v>0</v>
      </c>
      <c r="N115" s="207">
        <f>SUMIFS('март 2023'!$G$4:$G$582,'март 2023'!$D$4:$D$582,$B115,'март 2023'!$J$4:$J$582,N$1)</f>
        <v>0</v>
      </c>
      <c r="O115" s="207">
        <f>SUMIFS('март 2023'!$G$4:$G$582,'март 2023'!$D$4:$D$582,$B115,'март 2023'!$J$4:$J$582,O$1)</f>
        <v>0</v>
      </c>
      <c r="P115" s="207">
        <f>SUMIFS('март 2023'!$G$4:$G$582,'март 2023'!$D$4:$D$582,$B115,'март 2023'!$J$4:$J$582,P$1)</f>
        <v>0</v>
      </c>
      <c r="Q115" s="207">
        <f>SUMIFS('март 2023'!$G$4:$G$582,'март 2023'!$D$4:$D$582,$B115,'март 2023'!$J$4:$J$582,Q$1)</f>
        <v>0</v>
      </c>
      <c r="R115" s="207">
        <f>SUMIFS('март 2023'!$G$4:$G$582,'март 2023'!$D$4:$D$582,$B115,'март 2023'!$J$4:$J$582,R$1)</f>
        <v>0</v>
      </c>
      <c r="S115" s="207">
        <f>SUMIFS('март 2023'!$G$4:$G$582,'март 2023'!$D$4:$D$582,$B115,'март 2023'!$J$4:$J$582,S$1)</f>
        <v>0</v>
      </c>
      <c r="T115" s="207">
        <f>SUMIFS('март 2023'!$G$4:$G$582,'март 2023'!$D$4:$D$582,$B115,'март 2023'!$J$4:$J$582,T$1)</f>
        <v>0</v>
      </c>
      <c r="U115" s="207">
        <f>SUMIFS('март 2023'!$G$4:$G$582,'март 2023'!$D$4:$D$582,$B115,'март 2023'!$J$4:$J$582,U$1)</f>
        <v>0</v>
      </c>
      <c r="V115" s="207">
        <f>SUMIFS('март 2023'!$G$4:$G$582,'март 2023'!$D$4:$D$582,$B115,'март 2023'!$J$4:$J$582,V$1)</f>
        <v>0</v>
      </c>
      <c r="W115" s="207">
        <f>SUMIFS('март 2023'!$G$4:$G$582,'март 2023'!$D$4:$D$582,$B115,'март 2023'!$J$4:$J$582,W$1)</f>
        <v>0</v>
      </c>
      <c r="X115" s="207">
        <f>SUMIFS('март 2023'!$G$4:$G$582,'март 2023'!$D$4:$D$582,$B115,'март 2023'!$J$4:$J$582,X$1)</f>
        <v>0</v>
      </c>
      <c r="Y115" s="207">
        <f>SUMIFS('март 2023'!$G$4:$G$582,'март 2023'!$D$4:$D$582,$B115,'март 2023'!$J$4:$J$582,Y$1)</f>
        <v>0</v>
      </c>
      <c r="Z115" s="207">
        <f>SUMIFS('март 2023'!$G$4:$G$582,'март 2023'!$D$4:$D$582,$B115,'март 2023'!$J$4:$J$582,Z$1)</f>
        <v>0</v>
      </c>
      <c r="AA115" s="207">
        <f>SUMIFS('март 2023'!$G$4:$G$582,'март 2023'!$D$4:$D$582,$B115,'март 2023'!$J$4:$J$582,AA$1)</f>
        <v>0</v>
      </c>
      <c r="AB115" s="207">
        <f>SUMIFS('март 2023'!$G$4:$G$582,'март 2023'!$D$4:$D$582,$B115,'март 2023'!$J$4:$J$582,AB$1)</f>
        <v>0</v>
      </c>
      <c r="AC115" s="207">
        <f>SUMIFS('март 2023'!$G$4:$G$582,'март 2023'!$D$4:$D$582,$B115,'март 2023'!$J$4:$J$582,AC$1)</f>
        <v>0</v>
      </c>
      <c r="AD115" s="207">
        <f>SUMIFS('март 2023'!$G$4:$G$582,'март 2023'!$D$4:$D$582,$B115,'март 2023'!$J$4:$J$582,AD$1)</f>
        <v>0</v>
      </c>
      <c r="AE115" s="207">
        <f>SUMIFS('март 2023'!$G$4:$G$582,'март 2023'!$D$4:$D$582,$B115,'март 2023'!$J$4:$J$582,AE$1)</f>
        <v>0</v>
      </c>
      <c r="AF115" s="207">
        <f>SUMIFS('март 2023'!$G$4:$G$582,'март 2023'!$D$4:$D$582,$B115,'март 2023'!$J$4:$J$582,AF$1)</f>
        <v>0</v>
      </c>
      <c r="AG115" s="207">
        <f>SUMIFS('март 2023'!$G$4:$G$582,'март 2023'!$D$4:$D$582,$B115,'март 2023'!$J$4:$J$582,AG$1)</f>
        <v>0</v>
      </c>
      <c r="AH115" s="207">
        <f>SUMIFS('март 2023'!$G$4:$G$582,'март 2023'!$D$4:$D$582,$B115,'март 2023'!$J$4:$J$582,AH$1)</f>
        <v>0</v>
      </c>
      <c r="AI115" s="220"/>
    </row>
    <row r="116" spans="2:35" ht="15" hidden="1" customHeight="1" x14ac:dyDescent="0.25">
      <c r="B116" s="212"/>
      <c r="C116" s="211"/>
      <c r="D116" s="207">
        <f>SUMIFS('март 2023'!$G$4:$G$582,'март 2023'!$D$4:$D$582,$B116,'март 2023'!$J$4:$J$582,D$1)</f>
        <v>0</v>
      </c>
      <c r="E116" s="207">
        <f>SUMIFS('март 2023'!$G$4:$G$582,'март 2023'!$D$4:$D$582,$B116,'март 2023'!$J$4:$J$582,E$1)</f>
        <v>0</v>
      </c>
      <c r="F116" s="207">
        <f>SUMIFS('март 2023'!$G$4:$G$582,'март 2023'!$D$4:$D$582,$B116,'март 2023'!$J$4:$J$582,F$1)</f>
        <v>0</v>
      </c>
      <c r="G116" s="207">
        <f>SUMIFS('март 2023'!$G$4:$G$582,'март 2023'!$D$4:$D$582,$B116,'март 2023'!$J$4:$J$582,G$1)</f>
        <v>0</v>
      </c>
      <c r="H116" s="207">
        <f>SUMIFS('март 2023'!$G$4:$G$582,'март 2023'!$D$4:$D$582,$B116,'март 2023'!$J$4:$J$582,H$1)</f>
        <v>0</v>
      </c>
      <c r="I116" s="207">
        <f>SUMIFS('март 2023'!$G$4:$G$582,'март 2023'!$D$4:$D$582,$B116,'март 2023'!$J$4:$J$582,I$1)</f>
        <v>0</v>
      </c>
      <c r="J116" s="207">
        <f>SUMIFS('март 2023'!$G$4:$G$582,'март 2023'!$D$4:$D$582,$B116,'март 2023'!$J$4:$J$582,J$1)</f>
        <v>0</v>
      </c>
      <c r="K116" s="207">
        <f>SUMIFS('март 2023'!$G$4:$G$582,'март 2023'!$D$4:$D$582,$B116,'март 2023'!$J$4:$J$582,K$1)</f>
        <v>0</v>
      </c>
      <c r="L116" s="207">
        <f>SUMIFS('март 2023'!$G$4:$G$582,'март 2023'!$D$4:$D$582,$B116,'март 2023'!$J$4:$J$582,L$1)</f>
        <v>0</v>
      </c>
      <c r="M116" s="207">
        <f>SUMIFS('март 2023'!$G$4:$G$582,'март 2023'!$D$4:$D$582,$B116,'март 2023'!$J$4:$J$582,M$1)</f>
        <v>0</v>
      </c>
      <c r="N116" s="207">
        <f>SUMIFS('март 2023'!$G$4:$G$582,'март 2023'!$D$4:$D$582,$B116,'март 2023'!$J$4:$J$582,N$1)</f>
        <v>0</v>
      </c>
      <c r="O116" s="207">
        <f>SUMIFS('март 2023'!$G$4:$G$582,'март 2023'!$D$4:$D$582,$B116,'март 2023'!$J$4:$J$582,O$1)</f>
        <v>0</v>
      </c>
      <c r="P116" s="207">
        <f>SUMIFS('март 2023'!$G$4:$G$582,'март 2023'!$D$4:$D$582,$B116,'март 2023'!$J$4:$J$582,P$1)</f>
        <v>0</v>
      </c>
      <c r="Q116" s="207">
        <f>SUMIFS('март 2023'!$G$4:$G$582,'март 2023'!$D$4:$D$582,$B116,'март 2023'!$J$4:$J$582,Q$1)</f>
        <v>0</v>
      </c>
      <c r="R116" s="207">
        <f>SUMIFS('март 2023'!$G$4:$G$582,'март 2023'!$D$4:$D$582,$B116,'март 2023'!$J$4:$J$582,R$1)</f>
        <v>0</v>
      </c>
      <c r="S116" s="207">
        <f>SUMIFS('март 2023'!$G$4:$G$582,'март 2023'!$D$4:$D$582,$B116,'март 2023'!$J$4:$J$582,S$1)</f>
        <v>0</v>
      </c>
      <c r="T116" s="207">
        <f>SUMIFS('март 2023'!$G$4:$G$582,'март 2023'!$D$4:$D$582,$B116,'март 2023'!$J$4:$J$582,T$1)</f>
        <v>0</v>
      </c>
      <c r="U116" s="207">
        <f>SUMIFS('март 2023'!$G$4:$G$582,'март 2023'!$D$4:$D$582,$B116,'март 2023'!$J$4:$J$582,U$1)</f>
        <v>0</v>
      </c>
      <c r="V116" s="207">
        <f>SUMIFS('март 2023'!$G$4:$G$582,'март 2023'!$D$4:$D$582,$B116,'март 2023'!$J$4:$J$582,V$1)</f>
        <v>0</v>
      </c>
      <c r="W116" s="207">
        <f>SUMIFS('март 2023'!$G$4:$G$582,'март 2023'!$D$4:$D$582,$B116,'март 2023'!$J$4:$J$582,W$1)</f>
        <v>0</v>
      </c>
      <c r="X116" s="207">
        <f>SUMIFS('март 2023'!$G$4:$G$582,'март 2023'!$D$4:$D$582,$B116,'март 2023'!$J$4:$J$582,X$1)</f>
        <v>0</v>
      </c>
      <c r="Y116" s="207">
        <f>SUMIFS('март 2023'!$G$4:$G$582,'март 2023'!$D$4:$D$582,$B116,'март 2023'!$J$4:$J$582,Y$1)</f>
        <v>0</v>
      </c>
      <c r="Z116" s="207">
        <f>SUMIFS('март 2023'!$G$4:$G$582,'март 2023'!$D$4:$D$582,$B116,'март 2023'!$J$4:$J$582,Z$1)</f>
        <v>0</v>
      </c>
      <c r="AA116" s="207">
        <f>SUMIFS('март 2023'!$G$4:$G$582,'март 2023'!$D$4:$D$582,$B116,'март 2023'!$J$4:$J$582,AA$1)</f>
        <v>0</v>
      </c>
      <c r="AB116" s="207">
        <f>SUMIFS('март 2023'!$G$4:$G$582,'март 2023'!$D$4:$D$582,$B116,'март 2023'!$J$4:$J$582,AB$1)</f>
        <v>0</v>
      </c>
      <c r="AC116" s="207">
        <f>SUMIFS('март 2023'!$G$4:$G$582,'март 2023'!$D$4:$D$582,$B116,'март 2023'!$J$4:$J$582,AC$1)</f>
        <v>0</v>
      </c>
      <c r="AD116" s="207">
        <f>SUMIFS('март 2023'!$G$4:$G$582,'март 2023'!$D$4:$D$582,$B116,'март 2023'!$J$4:$J$582,AD$1)</f>
        <v>0</v>
      </c>
      <c r="AE116" s="207">
        <f>SUMIFS('март 2023'!$G$4:$G$582,'март 2023'!$D$4:$D$582,$B116,'март 2023'!$J$4:$J$582,AE$1)</f>
        <v>0</v>
      </c>
      <c r="AF116" s="207">
        <f>SUMIFS('март 2023'!$G$4:$G$582,'март 2023'!$D$4:$D$582,$B116,'март 2023'!$J$4:$J$582,AF$1)</f>
        <v>0</v>
      </c>
      <c r="AG116" s="207">
        <f>SUMIFS('март 2023'!$G$4:$G$582,'март 2023'!$D$4:$D$582,$B116,'март 2023'!$J$4:$J$582,AG$1)</f>
        <v>0</v>
      </c>
      <c r="AH116" s="207">
        <f>SUMIFS('март 2023'!$G$4:$G$582,'март 2023'!$D$4:$D$582,$B116,'март 2023'!$J$4:$J$582,AH$1)</f>
        <v>0</v>
      </c>
      <c r="AI116" s="220">
        <f t="shared" si="2"/>
        <v>0</v>
      </c>
    </row>
    <row r="117" spans="2:35" ht="15" hidden="1" customHeight="1" x14ac:dyDescent="0.25">
      <c r="B117" s="212"/>
      <c r="C117" s="211"/>
      <c r="D117" s="207">
        <f>SUMIFS('март 2023'!$G$4:$G$582,'март 2023'!$D$4:$D$582,$B117,'март 2023'!$J$4:$J$582,D$1)</f>
        <v>0</v>
      </c>
      <c r="E117" s="207">
        <f>SUMIFS('март 2023'!$G$4:$G$582,'март 2023'!$D$4:$D$582,$B117,'март 2023'!$J$4:$J$582,E$1)</f>
        <v>0</v>
      </c>
      <c r="F117" s="207">
        <f>SUMIFS('март 2023'!$G$4:$G$582,'март 2023'!$D$4:$D$582,$B117,'март 2023'!$J$4:$J$582,F$1)</f>
        <v>0</v>
      </c>
      <c r="G117" s="207">
        <f>SUMIFS('март 2023'!$G$4:$G$582,'март 2023'!$D$4:$D$582,$B117,'март 2023'!$J$4:$J$582,G$1)</f>
        <v>0</v>
      </c>
      <c r="H117" s="207">
        <f>SUMIFS('март 2023'!$G$4:$G$582,'март 2023'!$D$4:$D$582,$B117,'март 2023'!$J$4:$J$582,H$1)</f>
        <v>0</v>
      </c>
      <c r="I117" s="207">
        <f>SUMIFS('март 2023'!$G$4:$G$582,'март 2023'!$D$4:$D$582,$B117,'март 2023'!$J$4:$J$582,I$1)</f>
        <v>0</v>
      </c>
      <c r="J117" s="207">
        <f>SUMIFS('март 2023'!$G$4:$G$582,'март 2023'!$D$4:$D$582,$B117,'март 2023'!$J$4:$J$582,J$1)</f>
        <v>0</v>
      </c>
      <c r="K117" s="207">
        <f>SUMIFS('март 2023'!$G$4:$G$582,'март 2023'!$D$4:$D$582,$B117,'март 2023'!$J$4:$J$582,K$1)</f>
        <v>0</v>
      </c>
      <c r="L117" s="207">
        <f>SUMIFS('март 2023'!$G$4:$G$582,'март 2023'!$D$4:$D$582,$B117,'март 2023'!$J$4:$J$582,L$1)</f>
        <v>0</v>
      </c>
      <c r="M117" s="207">
        <f>SUMIFS('март 2023'!$G$4:$G$582,'март 2023'!$D$4:$D$582,$B117,'март 2023'!$J$4:$J$582,M$1)</f>
        <v>0</v>
      </c>
      <c r="N117" s="207">
        <f>SUMIFS('март 2023'!$G$4:$G$582,'март 2023'!$D$4:$D$582,$B117,'март 2023'!$J$4:$J$582,N$1)</f>
        <v>0</v>
      </c>
      <c r="O117" s="207">
        <f>SUMIFS('март 2023'!$G$4:$G$582,'март 2023'!$D$4:$D$582,$B117,'март 2023'!$J$4:$J$582,O$1)</f>
        <v>0</v>
      </c>
      <c r="P117" s="207">
        <f>SUMIFS('март 2023'!$G$4:$G$582,'март 2023'!$D$4:$D$582,$B117,'март 2023'!$J$4:$J$582,P$1)</f>
        <v>0</v>
      </c>
      <c r="Q117" s="207">
        <f>SUMIFS('март 2023'!$G$4:$G$582,'март 2023'!$D$4:$D$582,$B117,'март 2023'!$J$4:$J$582,Q$1)</f>
        <v>0</v>
      </c>
      <c r="R117" s="207">
        <f>SUMIFS('март 2023'!$G$4:$G$582,'март 2023'!$D$4:$D$582,$B117,'март 2023'!$J$4:$J$582,R$1)</f>
        <v>0</v>
      </c>
      <c r="S117" s="207">
        <f>SUMIFS('март 2023'!$G$4:$G$582,'март 2023'!$D$4:$D$582,$B117,'март 2023'!$J$4:$J$582,S$1)</f>
        <v>0</v>
      </c>
      <c r="T117" s="207">
        <f>SUMIFS('март 2023'!$G$4:$G$582,'март 2023'!$D$4:$D$582,$B117,'март 2023'!$J$4:$J$582,T$1)</f>
        <v>0</v>
      </c>
      <c r="U117" s="207">
        <f>SUMIFS('март 2023'!$G$4:$G$582,'март 2023'!$D$4:$D$582,$B117,'март 2023'!$J$4:$J$582,U$1)</f>
        <v>0</v>
      </c>
      <c r="V117" s="207">
        <f>SUMIFS('март 2023'!$G$4:$G$582,'март 2023'!$D$4:$D$582,$B117,'март 2023'!$J$4:$J$582,V$1)</f>
        <v>0</v>
      </c>
      <c r="W117" s="207">
        <f>SUMIFS('март 2023'!$G$4:$G$582,'март 2023'!$D$4:$D$582,$B117,'март 2023'!$J$4:$J$582,W$1)</f>
        <v>0</v>
      </c>
      <c r="X117" s="207">
        <f>SUMIFS('март 2023'!$G$4:$G$582,'март 2023'!$D$4:$D$582,$B117,'март 2023'!$J$4:$J$582,X$1)</f>
        <v>0</v>
      </c>
      <c r="Y117" s="207">
        <f>SUMIFS('март 2023'!$G$4:$G$582,'март 2023'!$D$4:$D$582,$B117,'март 2023'!$J$4:$J$582,Y$1)</f>
        <v>0</v>
      </c>
      <c r="Z117" s="207">
        <f>SUMIFS('март 2023'!$G$4:$G$582,'март 2023'!$D$4:$D$582,$B117,'март 2023'!$J$4:$J$582,Z$1)</f>
        <v>0</v>
      </c>
      <c r="AA117" s="207">
        <f>SUMIFS('март 2023'!$G$4:$G$582,'март 2023'!$D$4:$D$582,$B117,'март 2023'!$J$4:$J$582,AA$1)</f>
        <v>0</v>
      </c>
      <c r="AB117" s="207">
        <f>SUMIFS('март 2023'!$G$4:$G$582,'март 2023'!$D$4:$D$582,$B117,'март 2023'!$J$4:$J$582,AB$1)</f>
        <v>0</v>
      </c>
      <c r="AC117" s="207">
        <f>SUMIFS('март 2023'!$G$4:$G$582,'март 2023'!$D$4:$D$582,$B117,'март 2023'!$J$4:$J$582,AC$1)</f>
        <v>0</v>
      </c>
      <c r="AD117" s="207">
        <f>SUMIFS('март 2023'!$G$4:$G$582,'март 2023'!$D$4:$D$582,$B117,'март 2023'!$J$4:$J$582,AD$1)</f>
        <v>0</v>
      </c>
      <c r="AE117" s="207">
        <f>SUMIFS('март 2023'!$G$4:$G$582,'март 2023'!$D$4:$D$582,$B117,'март 2023'!$J$4:$J$582,AE$1)</f>
        <v>0</v>
      </c>
      <c r="AF117" s="207">
        <f>SUMIFS('март 2023'!$G$4:$G$582,'март 2023'!$D$4:$D$582,$B117,'март 2023'!$J$4:$J$582,AF$1)</f>
        <v>0</v>
      </c>
      <c r="AG117" s="207">
        <f>SUMIFS('март 2023'!$G$4:$G$582,'март 2023'!$D$4:$D$582,$B117,'март 2023'!$J$4:$J$582,AG$1)</f>
        <v>0</v>
      </c>
      <c r="AH117" s="207">
        <f>SUMIFS('март 2023'!$G$4:$G$582,'март 2023'!$D$4:$D$582,$B117,'март 2023'!$J$4:$J$582,AH$1)</f>
        <v>0</v>
      </c>
      <c r="AI117" s="220">
        <f t="shared" si="2"/>
        <v>0</v>
      </c>
    </row>
    <row r="118" spans="2:35" ht="15" hidden="1" customHeight="1" x14ac:dyDescent="0.25">
      <c r="B118" s="216"/>
      <c r="C118" s="211"/>
      <c r="D118" s="207">
        <f>SUMIFS('март 2023'!$G$4:$G$582,'март 2023'!$D$4:$D$582,$B118,'март 2023'!$J$4:$J$582,D$1)</f>
        <v>0</v>
      </c>
      <c r="E118" s="207">
        <f>SUMIFS('март 2023'!$G$4:$G$582,'март 2023'!$D$4:$D$582,$B118,'март 2023'!$J$4:$J$582,E$1)</f>
        <v>0</v>
      </c>
      <c r="F118" s="207">
        <f>SUMIFS('март 2023'!$G$4:$G$582,'март 2023'!$D$4:$D$582,$B118,'март 2023'!$J$4:$J$582,F$1)</f>
        <v>0</v>
      </c>
      <c r="G118" s="207">
        <f>SUMIFS('март 2023'!$G$4:$G$582,'март 2023'!$D$4:$D$582,$B118,'март 2023'!$J$4:$J$582,G$1)</f>
        <v>0</v>
      </c>
      <c r="H118" s="207">
        <f>SUMIFS('март 2023'!$G$4:$G$582,'март 2023'!$D$4:$D$582,$B118,'март 2023'!$J$4:$J$582,H$1)</f>
        <v>0</v>
      </c>
      <c r="I118" s="207">
        <f>SUMIFS('март 2023'!$G$4:$G$582,'март 2023'!$D$4:$D$582,$B118,'март 2023'!$J$4:$J$582,I$1)</f>
        <v>0</v>
      </c>
      <c r="J118" s="207">
        <f>SUMIFS('март 2023'!$G$4:$G$582,'март 2023'!$D$4:$D$582,$B118,'март 2023'!$J$4:$J$582,J$1)</f>
        <v>0</v>
      </c>
      <c r="K118" s="207">
        <f>SUMIFS('март 2023'!$G$4:$G$582,'март 2023'!$D$4:$D$582,$B118,'март 2023'!$J$4:$J$582,K$1)</f>
        <v>0</v>
      </c>
      <c r="L118" s="207">
        <f>SUMIFS('март 2023'!$G$4:$G$582,'март 2023'!$D$4:$D$582,$B118,'март 2023'!$J$4:$J$582,L$1)</f>
        <v>0</v>
      </c>
      <c r="M118" s="207">
        <f>SUMIFS('март 2023'!$G$4:$G$582,'март 2023'!$D$4:$D$582,$B118,'март 2023'!$J$4:$J$582,M$1)</f>
        <v>0</v>
      </c>
      <c r="N118" s="207">
        <f>SUMIFS('март 2023'!$G$4:$G$582,'март 2023'!$D$4:$D$582,$B118,'март 2023'!$J$4:$J$582,N$1)</f>
        <v>0</v>
      </c>
      <c r="O118" s="207">
        <f>SUMIFS('март 2023'!$G$4:$G$582,'март 2023'!$D$4:$D$582,$B118,'март 2023'!$J$4:$J$582,O$1)</f>
        <v>0</v>
      </c>
      <c r="P118" s="207">
        <f>SUMIFS('март 2023'!$G$4:$G$582,'март 2023'!$D$4:$D$582,$B118,'март 2023'!$J$4:$J$582,P$1)</f>
        <v>0</v>
      </c>
      <c r="Q118" s="207">
        <f>SUMIFS('март 2023'!$G$4:$G$582,'март 2023'!$D$4:$D$582,$B118,'март 2023'!$J$4:$J$582,Q$1)</f>
        <v>0</v>
      </c>
      <c r="R118" s="207">
        <f>SUMIFS('март 2023'!$G$4:$G$582,'март 2023'!$D$4:$D$582,$B118,'март 2023'!$J$4:$J$582,R$1)</f>
        <v>0</v>
      </c>
      <c r="S118" s="207">
        <f>SUMIFS('март 2023'!$G$4:$G$582,'март 2023'!$D$4:$D$582,$B118,'март 2023'!$J$4:$J$582,S$1)</f>
        <v>0</v>
      </c>
      <c r="T118" s="207">
        <f>SUMIFS('март 2023'!$G$4:$G$582,'март 2023'!$D$4:$D$582,$B118,'март 2023'!$J$4:$J$582,T$1)</f>
        <v>0</v>
      </c>
      <c r="U118" s="207">
        <f>SUMIFS('март 2023'!$G$4:$G$582,'март 2023'!$D$4:$D$582,$B118,'март 2023'!$J$4:$J$582,U$1)</f>
        <v>0</v>
      </c>
      <c r="V118" s="207">
        <f>SUMIFS('март 2023'!$G$4:$G$582,'март 2023'!$D$4:$D$582,$B118,'март 2023'!$J$4:$J$582,V$1)</f>
        <v>0</v>
      </c>
      <c r="W118" s="207">
        <f>SUMIFS('март 2023'!$G$4:$G$582,'март 2023'!$D$4:$D$582,$B118,'март 2023'!$J$4:$J$582,W$1)</f>
        <v>0</v>
      </c>
      <c r="X118" s="207">
        <f>SUMIFS('март 2023'!$G$4:$G$582,'март 2023'!$D$4:$D$582,$B118,'март 2023'!$J$4:$J$582,X$1)</f>
        <v>0</v>
      </c>
      <c r="Y118" s="207">
        <f>SUMIFS('март 2023'!$G$4:$G$582,'март 2023'!$D$4:$D$582,$B118,'март 2023'!$J$4:$J$582,Y$1)</f>
        <v>0</v>
      </c>
      <c r="Z118" s="207">
        <f>SUMIFS('март 2023'!$G$4:$G$582,'март 2023'!$D$4:$D$582,$B118,'март 2023'!$J$4:$J$582,Z$1)</f>
        <v>0</v>
      </c>
      <c r="AA118" s="207">
        <f>SUMIFS('март 2023'!$G$4:$G$582,'март 2023'!$D$4:$D$582,$B118,'март 2023'!$J$4:$J$582,AA$1)</f>
        <v>0</v>
      </c>
      <c r="AB118" s="207">
        <f>SUMIFS('март 2023'!$G$4:$G$582,'март 2023'!$D$4:$D$582,$B118,'март 2023'!$J$4:$J$582,AB$1)</f>
        <v>0</v>
      </c>
      <c r="AC118" s="207">
        <f>SUMIFS('март 2023'!$G$4:$G$582,'март 2023'!$D$4:$D$582,$B118,'март 2023'!$J$4:$J$582,AC$1)</f>
        <v>0</v>
      </c>
      <c r="AD118" s="207">
        <f>SUMIFS('март 2023'!$G$4:$G$582,'март 2023'!$D$4:$D$582,$B118,'март 2023'!$J$4:$J$582,AD$1)</f>
        <v>0</v>
      </c>
      <c r="AE118" s="207">
        <f>SUMIFS('март 2023'!$G$4:$G$582,'март 2023'!$D$4:$D$582,$B118,'март 2023'!$J$4:$J$582,AE$1)</f>
        <v>0</v>
      </c>
      <c r="AF118" s="207">
        <f>SUMIFS('март 2023'!$G$4:$G$582,'март 2023'!$D$4:$D$582,$B118,'март 2023'!$J$4:$J$582,AF$1)</f>
        <v>0</v>
      </c>
      <c r="AG118" s="207">
        <f>SUMIFS('март 2023'!$G$4:$G$582,'март 2023'!$D$4:$D$582,$B118,'март 2023'!$J$4:$J$582,AG$1)</f>
        <v>0</v>
      </c>
      <c r="AH118" s="207">
        <f>SUMIFS('март 2023'!$G$4:$G$582,'март 2023'!$D$4:$D$582,$B118,'март 2023'!$J$4:$J$582,AH$1)</f>
        <v>0</v>
      </c>
      <c r="AI118" s="220">
        <f t="shared" si="2"/>
        <v>0</v>
      </c>
    </row>
    <row r="119" spans="2:35" ht="15" hidden="1" customHeight="1" x14ac:dyDescent="0.25">
      <c r="B119" s="216"/>
      <c r="C119" s="213"/>
      <c r="D119" s="207">
        <f>SUMIFS('март 2023'!$G$4:$G$582,'март 2023'!$D$4:$D$582,$B119,'март 2023'!$J$4:$J$582,D$1)</f>
        <v>0</v>
      </c>
      <c r="E119" s="207">
        <f>SUMIFS('март 2023'!$G$4:$G$582,'март 2023'!$D$4:$D$582,$B119,'март 2023'!$J$4:$J$582,E$1)</f>
        <v>0</v>
      </c>
      <c r="F119" s="207">
        <f>SUMIFS('март 2023'!$G$4:$G$582,'март 2023'!$D$4:$D$582,$B119,'март 2023'!$J$4:$J$582,F$1)</f>
        <v>0</v>
      </c>
      <c r="G119" s="207">
        <f>SUMIFS('март 2023'!$G$4:$G$582,'март 2023'!$D$4:$D$582,$B119,'март 2023'!$J$4:$J$582,G$1)</f>
        <v>0</v>
      </c>
      <c r="H119" s="207">
        <f>SUMIFS('март 2023'!$G$4:$G$582,'март 2023'!$D$4:$D$582,$B119,'март 2023'!$J$4:$J$582,H$1)</f>
        <v>0</v>
      </c>
      <c r="I119" s="207">
        <f>SUMIFS('март 2023'!$G$4:$G$582,'март 2023'!$D$4:$D$582,$B119,'март 2023'!$J$4:$J$582,I$1)</f>
        <v>0</v>
      </c>
      <c r="J119" s="207">
        <f>SUMIFS('март 2023'!$G$4:$G$582,'март 2023'!$D$4:$D$582,$B119,'март 2023'!$J$4:$J$582,J$1)</f>
        <v>0</v>
      </c>
      <c r="K119" s="207">
        <f>SUMIFS('март 2023'!$G$4:$G$582,'март 2023'!$D$4:$D$582,$B119,'март 2023'!$J$4:$J$582,K$1)</f>
        <v>0</v>
      </c>
      <c r="L119" s="207">
        <f>SUMIFS('март 2023'!$G$4:$G$582,'март 2023'!$D$4:$D$582,$B119,'март 2023'!$J$4:$J$582,L$1)</f>
        <v>0</v>
      </c>
      <c r="M119" s="207">
        <f>SUMIFS('март 2023'!$G$4:$G$582,'март 2023'!$D$4:$D$582,$B119,'март 2023'!$J$4:$J$582,M$1)</f>
        <v>0</v>
      </c>
      <c r="N119" s="207">
        <f>SUMIFS('март 2023'!$G$4:$G$582,'март 2023'!$D$4:$D$582,$B119,'март 2023'!$J$4:$J$582,N$1)</f>
        <v>0</v>
      </c>
      <c r="O119" s="207">
        <f>SUMIFS('март 2023'!$G$4:$G$582,'март 2023'!$D$4:$D$582,$B119,'март 2023'!$J$4:$J$582,O$1)</f>
        <v>0</v>
      </c>
      <c r="P119" s="207">
        <f>SUMIFS('март 2023'!$G$4:$G$582,'март 2023'!$D$4:$D$582,$B119,'март 2023'!$J$4:$J$582,P$1)</f>
        <v>0</v>
      </c>
      <c r="Q119" s="207">
        <f>SUMIFS('март 2023'!$G$4:$G$582,'март 2023'!$D$4:$D$582,$B119,'март 2023'!$J$4:$J$582,Q$1)</f>
        <v>0</v>
      </c>
      <c r="R119" s="207">
        <f>SUMIFS('март 2023'!$G$4:$G$582,'март 2023'!$D$4:$D$582,$B119,'март 2023'!$J$4:$J$582,R$1)</f>
        <v>0</v>
      </c>
      <c r="S119" s="207">
        <f>SUMIFS('март 2023'!$G$4:$G$582,'март 2023'!$D$4:$D$582,$B119,'март 2023'!$J$4:$J$582,S$1)</f>
        <v>0</v>
      </c>
      <c r="T119" s="207">
        <f>SUMIFS('март 2023'!$G$4:$G$582,'март 2023'!$D$4:$D$582,$B119,'март 2023'!$J$4:$J$582,T$1)</f>
        <v>0</v>
      </c>
      <c r="U119" s="207">
        <f>SUMIFS('март 2023'!$G$4:$G$582,'март 2023'!$D$4:$D$582,$B119,'март 2023'!$J$4:$J$582,U$1)</f>
        <v>0</v>
      </c>
      <c r="V119" s="207">
        <f>SUMIFS('март 2023'!$G$4:$G$582,'март 2023'!$D$4:$D$582,$B119,'март 2023'!$J$4:$J$582,V$1)</f>
        <v>0</v>
      </c>
      <c r="W119" s="207">
        <f>SUMIFS('март 2023'!$G$4:$G$582,'март 2023'!$D$4:$D$582,$B119,'март 2023'!$J$4:$J$582,W$1)</f>
        <v>0</v>
      </c>
      <c r="X119" s="207">
        <f>SUMIFS('март 2023'!$G$4:$G$582,'март 2023'!$D$4:$D$582,$B119,'март 2023'!$J$4:$J$582,X$1)</f>
        <v>0</v>
      </c>
      <c r="Y119" s="207">
        <f>SUMIFS('март 2023'!$G$4:$G$582,'март 2023'!$D$4:$D$582,$B119,'март 2023'!$J$4:$J$582,Y$1)</f>
        <v>0</v>
      </c>
      <c r="Z119" s="207">
        <f>SUMIFS('март 2023'!$G$4:$G$582,'март 2023'!$D$4:$D$582,$B119,'март 2023'!$J$4:$J$582,Z$1)</f>
        <v>0</v>
      </c>
      <c r="AA119" s="207">
        <f>SUMIFS('март 2023'!$G$4:$G$582,'март 2023'!$D$4:$D$582,$B119,'март 2023'!$J$4:$J$582,AA$1)</f>
        <v>0</v>
      </c>
      <c r="AB119" s="207">
        <f>SUMIFS('март 2023'!$G$4:$G$582,'март 2023'!$D$4:$D$582,$B119,'март 2023'!$J$4:$J$582,AB$1)</f>
        <v>0</v>
      </c>
      <c r="AC119" s="207">
        <f>SUMIFS('март 2023'!$G$4:$G$582,'март 2023'!$D$4:$D$582,$B119,'март 2023'!$J$4:$J$582,AC$1)</f>
        <v>0</v>
      </c>
      <c r="AD119" s="207">
        <f>SUMIFS('март 2023'!$G$4:$G$582,'март 2023'!$D$4:$D$582,$B119,'март 2023'!$J$4:$J$582,AD$1)</f>
        <v>0</v>
      </c>
      <c r="AE119" s="207">
        <f>SUMIFS('март 2023'!$G$4:$G$582,'март 2023'!$D$4:$D$582,$B119,'март 2023'!$J$4:$J$582,AE$1)</f>
        <v>0</v>
      </c>
      <c r="AF119" s="207">
        <f>SUMIFS('март 2023'!$G$4:$G$582,'март 2023'!$D$4:$D$582,$B119,'март 2023'!$J$4:$J$582,AF$1)</f>
        <v>0</v>
      </c>
      <c r="AG119" s="207">
        <f>SUMIFS('март 2023'!$G$4:$G$582,'март 2023'!$D$4:$D$582,$B119,'март 2023'!$J$4:$J$582,AG$1)</f>
        <v>0</v>
      </c>
      <c r="AH119" s="207">
        <f>SUMIFS('март 2023'!$G$4:$G$582,'март 2023'!$D$4:$D$582,$B119,'март 2023'!$J$4:$J$582,AH$1)</f>
        <v>0</v>
      </c>
      <c r="AI119" s="220">
        <f t="shared" si="2"/>
        <v>0</v>
      </c>
    </row>
    <row r="120" spans="2:35" ht="15" hidden="1" customHeight="1" x14ac:dyDescent="0.25">
      <c r="B120" s="212"/>
      <c r="C120" s="211"/>
      <c r="D120" s="207">
        <f>SUMIFS('март 2023'!$G$4:$G$582,'март 2023'!$D$4:$D$582,$B120,'март 2023'!$J$4:$J$582,D$1)</f>
        <v>0</v>
      </c>
      <c r="E120" s="207">
        <f>SUMIFS('март 2023'!$G$4:$G$582,'март 2023'!$D$4:$D$582,$B120,'март 2023'!$J$4:$J$582,E$1)</f>
        <v>0</v>
      </c>
      <c r="F120" s="207">
        <f>SUMIFS('март 2023'!$G$4:$G$582,'март 2023'!$D$4:$D$582,$B120,'март 2023'!$J$4:$J$582,F$1)</f>
        <v>0</v>
      </c>
      <c r="G120" s="207">
        <f>SUMIFS('март 2023'!$G$4:$G$582,'март 2023'!$D$4:$D$582,$B120,'март 2023'!$J$4:$J$582,G$1)</f>
        <v>0</v>
      </c>
      <c r="H120" s="207">
        <f>SUMIFS('март 2023'!$G$4:$G$582,'март 2023'!$D$4:$D$582,$B120,'март 2023'!$J$4:$J$582,H$1)</f>
        <v>0</v>
      </c>
      <c r="I120" s="207">
        <f>SUMIFS('март 2023'!$G$4:$G$582,'март 2023'!$D$4:$D$582,$B120,'март 2023'!$J$4:$J$582,I$1)</f>
        <v>0</v>
      </c>
      <c r="J120" s="207">
        <f>SUMIFS('март 2023'!$G$4:$G$582,'март 2023'!$D$4:$D$582,$B120,'март 2023'!$J$4:$J$582,J$1)</f>
        <v>0</v>
      </c>
      <c r="K120" s="207">
        <f>SUMIFS('март 2023'!$G$4:$G$582,'март 2023'!$D$4:$D$582,$B120,'март 2023'!$J$4:$J$582,K$1)</f>
        <v>0</v>
      </c>
      <c r="L120" s="207">
        <f>SUMIFS('март 2023'!$G$4:$G$582,'март 2023'!$D$4:$D$582,$B120,'март 2023'!$J$4:$J$582,L$1)</f>
        <v>0</v>
      </c>
      <c r="M120" s="207">
        <f>SUMIFS('март 2023'!$G$4:$G$582,'март 2023'!$D$4:$D$582,$B120,'март 2023'!$J$4:$J$582,M$1)</f>
        <v>0</v>
      </c>
      <c r="N120" s="207">
        <f>SUMIFS('март 2023'!$G$4:$G$582,'март 2023'!$D$4:$D$582,$B120,'март 2023'!$J$4:$J$582,N$1)</f>
        <v>0</v>
      </c>
      <c r="O120" s="207">
        <f>SUMIFS('март 2023'!$G$4:$G$582,'март 2023'!$D$4:$D$582,$B120,'март 2023'!$J$4:$J$582,O$1)</f>
        <v>0</v>
      </c>
      <c r="P120" s="207">
        <f>SUMIFS('март 2023'!$G$4:$G$582,'март 2023'!$D$4:$D$582,$B120,'март 2023'!$J$4:$J$582,P$1)</f>
        <v>0</v>
      </c>
      <c r="Q120" s="207">
        <f>SUMIFS('март 2023'!$G$4:$G$582,'март 2023'!$D$4:$D$582,$B120,'март 2023'!$J$4:$J$582,Q$1)</f>
        <v>0</v>
      </c>
      <c r="R120" s="207">
        <f>SUMIFS('март 2023'!$G$4:$G$582,'март 2023'!$D$4:$D$582,$B120,'март 2023'!$J$4:$J$582,R$1)</f>
        <v>0</v>
      </c>
      <c r="S120" s="207">
        <f>SUMIFS('март 2023'!$G$4:$G$582,'март 2023'!$D$4:$D$582,$B120,'март 2023'!$J$4:$J$582,S$1)</f>
        <v>0</v>
      </c>
      <c r="T120" s="207">
        <f>SUMIFS('март 2023'!$G$4:$G$582,'март 2023'!$D$4:$D$582,$B120,'март 2023'!$J$4:$J$582,T$1)</f>
        <v>0</v>
      </c>
      <c r="U120" s="207">
        <f>SUMIFS('март 2023'!$G$4:$G$582,'март 2023'!$D$4:$D$582,$B120,'март 2023'!$J$4:$J$582,U$1)</f>
        <v>0</v>
      </c>
      <c r="V120" s="207">
        <f>SUMIFS('март 2023'!$G$4:$G$582,'март 2023'!$D$4:$D$582,$B120,'март 2023'!$J$4:$J$582,V$1)</f>
        <v>0</v>
      </c>
      <c r="W120" s="207">
        <f>SUMIFS('март 2023'!$G$4:$G$582,'март 2023'!$D$4:$D$582,$B120,'март 2023'!$J$4:$J$582,W$1)</f>
        <v>0</v>
      </c>
      <c r="X120" s="207">
        <f>SUMIFS('март 2023'!$G$4:$G$582,'март 2023'!$D$4:$D$582,$B120,'март 2023'!$J$4:$J$582,X$1)</f>
        <v>0</v>
      </c>
      <c r="Y120" s="207">
        <f>SUMIFS('март 2023'!$G$4:$G$582,'март 2023'!$D$4:$D$582,$B120,'март 2023'!$J$4:$J$582,Y$1)</f>
        <v>0</v>
      </c>
      <c r="Z120" s="207">
        <f>SUMIFS('март 2023'!$G$4:$G$582,'март 2023'!$D$4:$D$582,$B120,'март 2023'!$J$4:$J$582,Z$1)</f>
        <v>0</v>
      </c>
      <c r="AA120" s="207">
        <f>SUMIFS('март 2023'!$G$4:$G$582,'март 2023'!$D$4:$D$582,$B120,'март 2023'!$J$4:$J$582,AA$1)</f>
        <v>0</v>
      </c>
      <c r="AB120" s="207">
        <f>SUMIFS('март 2023'!$G$4:$G$582,'март 2023'!$D$4:$D$582,$B120,'март 2023'!$J$4:$J$582,AB$1)</f>
        <v>0</v>
      </c>
      <c r="AC120" s="207">
        <f>SUMIFS('март 2023'!$G$4:$G$582,'март 2023'!$D$4:$D$582,$B120,'март 2023'!$J$4:$J$582,AC$1)</f>
        <v>0</v>
      </c>
      <c r="AD120" s="207">
        <f>SUMIFS('март 2023'!$G$4:$G$582,'март 2023'!$D$4:$D$582,$B120,'март 2023'!$J$4:$J$582,AD$1)</f>
        <v>0</v>
      </c>
      <c r="AE120" s="207">
        <f>SUMIFS('март 2023'!$G$4:$G$582,'март 2023'!$D$4:$D$582,$B120,'март 2023'!$J$4:$J$582,AE$1)</f>
        <v>0</v>
      </c>
      <c r="AF120" s="207">
        <f>SUMIFS('март 2023'!$G$4:$G$582,'март 2023'!$D$4:$D$582,$B120,'март 2023'!$J$4:$J$582,AF$1)</f>
        <v>0</v>
      </c>
      <c r="AG120" s="207">
        <f>SUMIFS('март 2023'!$G$4:$G$582,'март 2023'!$D$4:$D$582,$B120,'март 2023'!$J$4:$J$582,AG$1)</f>
        <v>0</v>
      </c>
      <c r="AH120" s="207">
        <f>SUMIFS('март 2023'!$G$4:$G$582,'март 2023'!$D$4:$D$582,$B120,'март 2023'!$J$4:$J$582,AH$1)</f>
        <v>0</v>
      </c>
      <c r="AI120" s="220"/>
    </row>
    <row r="121" spans="2:35" ht="15" hidden="1" customHeight="1" x14ac:dyDescent="0.25">
      <c r="B121" s="217"/>
      <c r="C121" s="213"/>
      <c r="D121" s="207">
        <f>SUMIFS('март 2023'!$G$4:$G$582,'март 2023'!$D$4:$D$582,$B121,'март 2023'!$J$4:$J$582,D$1)</f>
        <v>0</v>
      </c>
      <c r="E121" s="207">
        <f>SUMIFS('март 2023'!$G$4:$G$582,'март 2023'!$D$4:$D$582,$B121,'март 2023'!$J$4:$J$582,E$1)</f>
        <v>0</v>
      </c>
      <c r="F121" s="207">
        <f>SUMIFS('март 2023'!$G$4:$G$582,'март 2023'!$D$4:$D$582,$B121,'март 2023'!$J$4:$J$582,F$1)</f>
        <v>0</v>
      </c>
      <c r="G121" s="207">
        <f>SUMIFS('март 2023'!$G$4:$G$582,'март 2023'!$D$4:$D$582,$B121,'март 2023'!$J$4:$J$582,G$1)</f>
        <v>0</v>
      </c>
      <c r="H121" s="207">
        <f>SUMIFS('март 2023'!$G$4:$G$582,'март 2023'!$D$4:$D$582,$B121,'март 2023'!$J$4:$J$582,H$1)</f>
        <v>0</v>
      </c>
      <c r="I121" s="207">
        <f>SUMIFS('март 2023'!$G$4:$G$582,'март 2023'!$D$4:$D$582,$B121,'март 2023'!$J$4:$J$582,I$1)</f>
        <v>0</v>
      </c>
      <c r="J121" s="207">
        <f>SUMIFS('март 2023'!$G$4:$G$582,'март 2023'!$D$4:$D$582,$B121,'март 2023'!$J$4:$J$582,J$1)</f>
        <v>0</v>
      </c>
      <c r="K121" s="207">
        <f>SUMIFS('март 2023'!$G$4:$G$582,'март 2023'!$D$4:$D$582,$B121,'март 2023'!$J$4:$J$582,K$1)</f>
        <v>0</v>
      </c>
      <c r="L121" s="207">
        <f>SUMIFS('март 2023'!$G$4:$G$582,'март 2023'!$D$4:$D$582,$B121,'март 2023'!$J$4:$J$582,L$1)</f>
        <v>0</v>
      </c>
      <c r="M121" s="207">
        <f>SUMIFS('март 2023'!$G$4:$G$582,'март 2023'!$D$4:$D$582,$B121,'март 2023'!$J$4:$J$582,M$1)</f>
        <v>0</v>
      </c>
      <c r="N121" s="207">
        <f>SUMIFS('март 2023'!$G$4:$G$582,'март 2023'!$D$4:$D$582,$B121,'март 2023'!$J$4:$J$582,N$1)</f>
        <v>0</v>
      </c>
      <c r="O121" s="207">
        <f>SUMIFS('март 2023'!$G$4:$G$582,'март 2023'!$D$4:$D$582,$B121,'март 2023'!$J$4:$J$582,O$1)</f>
        <v>0</v>
      </c>
      <c r="P121" s="207">
        <f>SUMIFS('март 2023'!$G$4:$G$582,'март 2023'!$D$4:$D$582,$B121,'март 2023'!$J$4:$J$582,P$1)</f>
        <v>0</v>
      </c>
      <c r="Q121" s="207">
        <f>SUMIFS('март 2023'!$G$4:$G$582,'март 2023'!$D$4:$D$582,$B121,'март 2023'!$J$4:$J$582,Q$1)</f>
        <v>0</v>
      </c>
      <c r="R121" s="207">
        <f>SUMIFS('март 2023'!$G$4:$G$582,'март 2023'!$D$4:$D$582,$B121,'март 2023'!$J$4:$J$582,R$1)</f>
        <v>0</v>
      </c>
      <c r="S121" s="207">
        <f>SUMIFS('март 2023'!$G$4:$G$582,'март 2023'!$D$4:$D$582,$B121,'март 2023'!$J$4:$J$582,S$1)</f>
        <v>0</v>
      </c>
      <c r="T121" s="207">
        <f>SUMIFS('март 2023'!$G$4:$G$582,'март 2023'!$D$4:$D$582,$B121,'март 2023'!$J$4:$J$582,T$1)</f>
        <v>0</v>
      </c>
      <c r="U121" s="207">
        <f>SUMIFS('март 2023'!$G$4:$G$582,'март 2023'!$D$4:$D$582,$B121,'март 2023'!$J$4:$J$582,U$1)</f>
        <v>0</v>
      </c>
      <c r="V121" s="207">
        <f>SUMIFS('март 2023'!$G$4:$G$582,'март 2023'!$D$4:$D$582,$B121,'март 2023'!$J$4:$J$582,V$1)</f>
        <v>0</v>
      </c>
      <c r="W121" s="207">
        <f>SUMIFS('март 2023'!$G$4:$G$582,'март 2023'!$D$4:$D$582,$B121,'март 2023'!$J$4:$J$582,W$1)</f>
        <v>0</v>
      </c>
      <c r="X121" s="207">
        <f>SUMIFS('март 2023'!$G$4:$G$582,'март 2023'!$D$4:$D$582,$B121,'март 2023'!$J$4:$J$582,X$1)</f>
        <v>0</v>
      </c>
      <c r="Y121" s="207">
        <f>SUMIFS('март 2023'!$G$4:$G$582,'март 2023'!$D$4:$D$582,$B121,'март 2023'!$J$4:$J$582,Y$1)</f>
        <v>0</v>
      </c>
      <c r="Z121" s="207">
        <f>SUMIFS('март 2023'!$G$4:$G$582,'март 2023'!$D$4:$D$582,$B121,'март 2023'!$J$4:$J$582,Z$1)</f>
        <v>0</v>
      </c>
      <c r="AA121" s="207">
        <f>SUMIFS('март 2023'!$G$4:$G$582,'март 2023'!$D$4:$D$582,$B121,'март 2023'!$J$4:$J$582,AA$1)</f>
        <v>0</v>
      </c>
      <c r="AB121" s="207">
        <f>SUMIFS('март 2023'!$G$4:$G$582,'март 2023'!$D$4:$D$582,$B121,'март 2023'!$J$4:$J$582,AB$1)</f>
        <v>0</v>
      </c>
      <c r="AC121" s="207">
        <f>SUMIFS('март 2023'!$G$4:$G$582,'март 2023'!$D$4:$D$582,$B121,'март 2023'!$J$4:$J$582,AC$1)</f>
        <v>0</v>
      </c>
      <c r="AD121" s="207">
        <f>SUMIFS('март 2023'!$G$4:$G$582,'март 2023'!$D$4:$D$582,$B121,'март 2023'!$J$4:$J$582,AD$1)</f>
        <v>0</v>
      </c>
      <c r="AE121" s="207">
        <f>SUMIFS('март 2023'!$G$4:$G$582,'март 2023'!$D$4:$D$582,$B121,'март 2023'!$J$4:$J$582,AE$1)</f>
        <v>0</v>
      </c>
      <c r="AF121" s="207">
        <f>SUMIFS('март 2023'!$G$4:$G$582,'март 2023'!$D$4:$D$582,$B121,'март 2023'!$J$4:$J$582,AF$1)</f>
        <v>0</v>
      </c>
      <c r="AG121" s="207">
        <f>SUMIFS('март 2023'!$G$4:$G$582,'март 2023'!$D$4:$D$582,$B121,'март 2023'!$J$4:$J$582,AG$1)</f>
        <v>0</v>
      </c>
      <c r="AH121" s="207">
        <f>SUMIFS('март 2023'!$G$4:$G$582,'март 2023'!$D$4:$D$582,$B121,'март 2023'!$J$4:$J$582,AH$1)</f>
        <v>0</v>
      </c>
      <c r="AI121" s="220"/>
    </row>
    <row r="122" spans="2:35" ht="15" hidden="1" customHeight="1" x14ac:dyDescent="0.25">
      <c r="B122" s="212"/>
      <c r="C122" s="213"/>
      <c r="D122" s="207">
        <f>SUMIFS('март 2023'!$G$4:$G$582,'март 2023'!$D$4:$D$582,$B122,'март 2023'!$J$4:$J$582,D$1)</f>
        <v>0</v>
      </c>
      <c r="E122" s="207">
        <f>SUMIFS('март 2023'!$G$4:$G$582,'март 2023'!$D$4:$D$582,$B122,'март 2023'!$J$4:$J$582,E$1)</f>
        <v>0</v>
      </c>
      <c r="F122" s="207">
        <f>SUMIFS('март 2023'!$G$4:$G$582,'март 2023'!$D$4:$D$582,$B122,'март 2023'!$J$4:$J$582,F$1)</f>
        <v>0</v>
      </c>
      <c r="G122" s="207">
        <f>SUMIFS('март 2023'!$G$4:$G$582,'март 2023'!$D$4:$D$582,$B122,'март 2023'!$J$4:$J$582,G$1)</f>
        <v>0</v>
      </c>
      <c r="H122" s="207">
        <f>SUMIFS('март 2023'!$G$4:$G$582,'март 2023'!$D$4:$D$582,$B122,'март 2023'!$J$4:$J$582,H$1)</f>
        <v>0</v>
      </c>
      <c r="I122" s="207">
        <f>SUMIFS('март 2023'!$G$4:$G$582,'март 2023'!$D$4:$D$582,$B122,'март 2023'!$J$4:$J$582,I$1)</f>
        <v>0</v>
      </c>
      <c r="J122" s="207">
        <f>SUMIFS('март 2023'!$G$4:$G$582,'март 2023'!$D$4:$D$582,$B122,'март 2023'!$J$4:$J$582,J$1)</f>
        <v>0</v>
      </c>
      <c r="K122" s="207">
        <f>SUMIFS('март 2023'!$G$4:$G$582,'март 2023'!$D$4:$D$582,$B122,'март 2023'!$J$4:$J$582,K$1)</f>
        <v>0</v>
      </c>
      <c r="L122" s="207">
        <f>SUMIFS('март 2023'!$G$4:$G$582,'март 2023'!$D$4:$D$582,$B122,'март 2023'!$J$4:$J$582,L$1)</f>
        <v>0</v>
      </c>
      <c r="M122" s="207">
        <f>SUMIFS('март 2023'!$G$4:$G$582,'март 2023'!$D$4:$D$582,$B122,'март 2023'!$J$4:$J$582,M$1)</f>
        <v>0</v>
      </c>
      <c r="N122" s="207">
        <f>SUMIFS('март 2023'!$G$4:$G$582,'март 2023'!$D$4:$D$582,$B122,'март 2023'!$J$4:$J$582,N$1)</f>
        <v>0</v>
      </c>
      <c r="O122" s="207">
        <f>SUMIFS('март 2023'!$G$4:$G$582,'март 2023'!$D$4:$D$582,$B122,'март 2023'!$J$4:$J$582,O$1)</f>
        <v>0</v>
      </c>
      <c r="P122" s="207">
        <f>SUMIFS('март 2023'!$G$4:$G$582,'март 2023'!$D$4:$D$582,$B122,'март 2023'!$J$4:$J$582,P$1)</f>
        <v>0</v>
      </c>
      <c r="Q122" s="207">
        <f>SUMIFS('март 2023'!$G$4:$G$582,'март 2023'!$D$4:$D$582,$B122,'март 2023'!$J$4:$J$582,Q$1)</f>
        <v>0</v>
      </c>
      <c r="R122" s="207">
        <f>SUMIFS('март 2023'!$G$4:$G$582,'март 2023'!$D$4:$D$582,$B122,'март 2023'!$J$4:$J$582,R$1)</f>
        <v>0</v>
      </c>
      <c r="S122" s="207">
        <f>SUMIFS('март 2023'!$G$4:$G$582,'март 2023'!$D$4:$D$582,$B122,'март 2023'!$J$4:$J$582,S$1)</f>
        <v>0</v>
      </c>
      <c r="T122" s="207">
        <f>SUMIFS('март 2023'!$G$4:$G$582,'март 2023'!$D$4:$D$582,$B122,'март 2023'!$J$4:$J$582,T$1)</f>
        <v>0</v>
      </c>
      <c r="U122" s="207">
        <f>SUMIFS('март 2023'!$G$4:$G$582,'март 2023'!$D$4:$D$582,$B122,'март 2023'!$J$4:$J$582,U$1)</f>
        <v>0</v>
      </c>
      <c r="V122" s="207">
        <f>SUMIFS('март 2023'!$G$4:$G$582,'март 2023'!$D$4:$D$582,$B122,'март 2023'!$J$4:$J$582,V$1)</f>
        <v>0</v>
      </c>
      <c r="W122" s="207">
        <f>SUMIFS('март 2023'!$G$4:$G$582,'март 2023'!$D$4:$D$582,$B122,'март 2023'!$J$4:$J$582,W$1)</f>
        <v>0</v>
      </c>
      <c r="X122" s="207">
        <f>SUMIFS('март 2023'!$G$4:$G$582,'март 2023'!$D$4:$D$582,$B122,'март 2023'!$J$4:$J$582,X$1)</f>
        <v>0</v>
      </c>
      <c r="Y122" s="207">
        <f>SUMIFS('март 2023'!$G$4:$G$582,'март 2023'!$D$4:$D$582,$B122,'март 2023'!$J$4:$J$582,Y$1)</f>
        <v>0</v>
      </c>
      <c r="Z122" s="207">
        <f>SUMIFS('март 2023'!$G$4:$G$582,'март 2023'!$D$4:$D$582,$B122,'март 2023'!$J$4:$J$582,Z$1)</f>
        <v>0</v>
      </c>
      <c r="AA122" s="207">
        <f>SUMIFS('март 2023'!$G$4:$G$582,'март 2023'!$D$4:$D$582,$B122,'март 2023'!$J$4:$J$582,AA$1)</f>
        <v>0</v>
      </c>
      <c r="AB122" s="207">
        <f>SUMIFS('март 2023'!$G$4:$G$582,'март 2023'!$D$4:$D$582,$B122,'март 2023'!$J$4:$J$582,AB$1)</f>
        <v>0</v>
      </c>
      <c r="AC122" s="207">
        <f>SUMIFS('март 2023'!$G$4:$G$582,'март 2023'!$D$4:$D$582,$B122,'март 2023'!$J$4:$J$582,AC$1)</f>
        <v>0</v>
      </c>
      <c r="AD122" s="207">
        <f>SUMIFS('март 2023'!$G$4:$G$582,'март 2023'!$D$4:$D$582,$B122,'март 2023'!$J$4:$J$582,AD$1)</f>
        <v>0</v>
      </c>
      <c r="AE122" s="207">
        <f>SUMIFS('март 2023'!$G$4:$G$582,'март 2023'!$D$4:$D$582,$B122,'март 2023'!$J$4:$J$582,AE$1)</f>
        <v>0</v>
      </c>
      <c r="AF122" s="207">
        <f>SUMIFS('март 2023'!$G$4:$G$582,'март 2023'!$D$4:$D$582,$B122,'март 2023'!$J$4:$J$582,AF$1)</f>
        <v>0</v>
      </c>
      <c r="AG122" s="207">
        <f>SUMIFS('март 2023'!$G$4:$G$582,'март 2023'!$D$4:$D$582,$B122,'март 2023'!$J$4:$J$582,AG$1)</f>
        <v>0</v>
      </c>
      <c r="AH122" s="207">
        <f>SUMIFS('март 2023'!$G$4:$G$582,'март 2023'!$D$4:$D$582,$B122,'март 2023'!$J$4:$J$582,AH$1)</f>
        <v>0</v>
      </c>
      <c r="AI122" s="220"/>
    </row>
    <row r="123" spans="2:35" ht="15" hidden="1" customHeight="1" x14ac:dyDescent="0.25">
      <c r="B123" s="212"/>
      <c r="C123" s="211"/>
      <c r="D123" s="207">
        <f>SUMIFS('март 2023'!$G$4:$G$582,'март 2023'!$D$4:$D$582,$B123,'март 2023'!$J$4:$J$582,D$1)</f>
        <v>0</v>
      </c>
      <c r="E123" s="207">
        <f>SUMIFS('март 2023'!$G$4:$G$582,'март 2023'!$D$4:$D$582,$B123,'март 2023'!$J$4:$J$582,E$1)</f>
        <v>0</v>
      </c>
      <c r="F123" s="207">
        <f>SUMIFS('март 2023'!$G$4:$G$582,'март 2023'!$D$4:$D$582,$B123,'март 2023'!$J$4:$J$582,F$1)</f>
        <v>0</v>
      </c>
      <c r="G123" s="207">
        <f>SUMIFS('март 2023'!$G$4:$G$582,'март 2023'!$D$4:$D$582,$B123,'март 2023'!$J$4:$J$582,G$1)</f>
        <v>0</v>
      </c>
      <c r="H123" s="207">
        <f>SUMIFS('март 2023'!$G$4:$G$582,'март 2023'!$D$4:$D$582,$B123,'март 2023'!$J$4:$J$582,H$1)</f>
        <v>0</v>
      </c>
      <c r="I123" s="207">
        <f>SUMIFS('март 2023'!$G$4:$G$582,'март 2023'!$D$4:$D$582,$B123,'март 2023'!$J$4:$J$582,I$1)</f>
        <v>0</v>
      </c>
      <c r="J123" s="207">
        <f>SUMIFS('март 2023'!$G$4:$G$582,'март 2023'!$D$4:$D$582,$B123,'март 2023'!$J$4:$J$582,J$1)</f>
        <v>0</v>
      </c>
      <c r="K123" s="207">
        <f>SUMIFS('март 2023'!$G$4:$G$582,'март 2023'!$D$4:$D$582,$B123,'март 2023'!$J$4:$J$582,K$1)</f>
        <v>0</v>
      </c>
      <c r="L123" s="207">
        <f>SUMIFS('март 2023'!$G$4:$G$582,'март 2023'!$D$4:$D$582,$B123,'март 2023'!$J$4:$J$582,L$1)</f>
        <v>0</v>
      </c>
      <c r="M123" s="207">
        <f>SUMIFS('март 2023'!$G$4:$G$582,'март 2023'!$D$4:$D$582,$B123,'март 2023'!$J$4:$J$582,M$1)</f>
        <v>0</v>
      </c>
      <c r="N123" s="207">
        <f>SUMIFS('март 2023'!$G$4:$G$582,'март 2023'!$D$4:$D$582,$B123,'март 2023'!$J$4:$J$582,N$1)</f>
        <v>0</v>
      </c>
      <c r="O123" s="207">
        <f>SUMIFS('март 2023'!$G$4:$G$582,'март 2023'!$D$4:$D$582,$B123,'март 2023'!$J$4:$J$582,O$1)</f>
        <v>0</v>
      </c>
      <c r="P123" s="207">
        <f>SUMIFS('март 2023'!$G$4:$G$582,'март 2023'!$D$4:$D$582,$B123,'март 2023'!$J$4:$J$582,P$1)</f>
        <v>0</v>
      </c>
      <c r="Q123" s="207">
        <f>SUMIFS('март 2023'!$G$4:$G$582,'март 2023'!$D$4:$D$582,$B123,'март 2023'!$J$4:$J$582,Q$1)</f>
        <v>0</v>
      </c>
      <c r="R123" s="207">
        <f>SUMIFS('март 2023'!$G$4:$G$582,'март 2023'!$D$4:$D$582,$B123,'март 2023'!$J$4:$J$582,R$1)</f>
        <v>0</v>
      </c>
      <c r="S123" s="207">
        <f>SUMIFS('март 2023'!$G$4:$G$582,'март 2023'!$D$4:$D$582,$B123,'март 2023'!$J$4:$J$582,S$1)</f>
        <v>0</v>
      </c>
      <c r="T123" s="207">
        <f>SUMIFS('март 2023'!$G$4:$G$582,'март 2023'!$D$4:$D$582,$B123,'март 2023'!$J$4:$J$582,T$1)</f>
        <v>0</v>
      </c>
      <c r="U123" s="207">
        <f>SUMIFS('март 2023'!$G$4:$G$582,'март 2023'!$D$4:$D$582,$B123,'март 2023'!$J$4:$J$582,U$1)</f>
        <v>0</v>
      </c>
      <c r="V123" s="207">
        <f>SUMIFS('март 2023'!$G$4:$G$582,'март 2023'!$D$4:$D$582,$B123,'март 2023'!$J$4:$J$582,V$1)</f>
        <v>0</v>
      </c>
      <c r="W123" s="207">
        <f>SUMIFS('март 2023'!$G$4:$G$582,'март 2023'!$D$4:$D$582,$B123,'март 2023'!$J$4:$J$582,W$1)</f>
        <v>0</v>
      </c>
      <c r="X123" s="207">
        <f>SUMIFS('март 2023'!$G$4:$G$582,'март 2023'!$D$4:$D$582,$B123,'март 2023'!$J$4:$J$582,X$1)</f>
        <v>0</v>
      </c>
      <c r="Y123" s="207">
        <f>SUMIFS('март 2023'!$G$4:$G$582,'март 2023'!$D$4:$D$582,$B123,'март 2023'!$J$4:$J$582,Y$1)</f>
        <v>0</v>
      </c>
      <c r="Z123" s="207">
        <f>SUMIFS('март 2023'!$G$4:$G$582,'март 2023'!$D$4:$D$582,$B123,'март 2023'!$J$4:$J$582,Z$1)</f>
        <v>0</v>
      </c>
      <c r="AA123" s="207">
        <f>SUMIFS('март 2023'!$G$4:$G$582,'март 2023'!$D$4:$D$582,$B123,'март 2023'!$J$4:$J$582,AA$1)</f>
        <v>0</v>
      </c>
      <c r="AB123" s="207">
        <f>SUMIFS('март 2023'!$G$4:$G$582,'март 2023'!$D$4:$D$582,$B123,'март 2023'!$J$4:$J$582,AB$1)</f>
        <v>0</v>
      </c>
      <c r="AC123" s="207">
        <f>SUMIFS('март 2023'!$G$4:$G$582,'март 2023'!$D$4:$D$582,$B123,'март 2023'!$J$4:$J$582,AC$1)</f>
        <v>0</v>
      </c>
      <c r="AD123" s="207">
        <f>SUMIFS('март 2023'!$G$4:$G$582,'март 2023'!$D$4:$D$582,$B123,'март 2023'!$J$4:$J$582,AD$1)</f>
        <v>0</v>
      </c>
      <c r="AE123" s="207">
        <f>SUMIFS('март 2023'!$G$4:$G$582,'март 2023'!$D$4:$D$582,$B123,'март 2023'!$J$4:$J$582,AE$1)</f>
        <v>0</v>
      </c>
      <c r="AF123" s="207">
        <f>SUMIFS('март 2023'!$G$4:$G$582,'март 2023'!$D$4:$D$582,$B123,'март 2023'!$J$4:$J$582,AF$1)</f>
        <v>0</v>
      </c>
      <c r="AG123" s="207">
        <f>SUMIFS('март 2023'!$G$4:$G$582,'март 2023'!$D$4:$D$582,$B123,'март 2023'!$J$4:$J$582,AG$1)</f>
        <v>0</v>
      </c>
      <c r="AH123" s="207">
        <f>SUMIFS('март 2023'!$G$4:$G$582,'март 2023'!$D$4:$D$582,$B123,'март 2023'!$J$4:$J$582,AH$1)</f>
        <v>0</v>
      </c>
      <c r="AI123" s="220"/>
    </row>
    <row r="124" spans="2:35" ht="15" hidden="1" customHeight="1" x14ac:dyDescent="0.25">
      <c r="B124" s="212"/>
      <c r="C124" s="211"/>
      <c r="D124" s="207">
        <f>SUMIFS('март 2023'!$G$4:$G$582,'март 2023'!$D$4:$D$582,$B124,'март 2023'!$J$4:$J$582,D$1)</f>
        <v>0</v>
      </c>
      <c r="E124" s="207">
        <f>SUMIFS('март 2023'!$G$4:$G$582,'март 2023'!$D$4:$D$582,$B124,'март 2023'!$J$4:$J$582,E$1)</f>
        <v>0</v>
      </c>
      <c r="F124" s="207">
        <f>SUMIFS('март 2023'!$G$4:$G$582,'март 2023'!$D$4:$D$582,$B124,'март 2023'!$J$4:$J$582,F$1)</f>
        <v>0</v>
      </c>
      <c r="G124" s="207">
        <f>SUMIFS('март 2023'!$G$4:$G$582,'март 2023'!$D$4:$D$582,$B124,'март 2023'!$J$4:$J$582,G$1)</f>
        <v>0</v>
      </c>
      <c r="H124" s="207">
        <f>SUMIFS('март 2023'!$G$4:$G$582,'март 2023'!$D$4:$D$582,$B124,'март 2023'!$J$4:$J$582,H$1)</f>
        <v>0</v>
      </c>
      <c r="I124" s="207">
        <f>SUMIFS('март 2023'!$G$4:$G$582,'март 2023'!$D$4:$D$582,$B124,'март 2023'!$J$4:$J$582,I$1)</f>
        <v>0</v>
      </c>
      <c r="J124" s="207">
        <f>SUMIFS('март 2023'!$G$4:$G$582,'март 2023'!$D$4:$D$582,$B124,'март 2023'!$J$4:$J$582,J$1)</f>
        <v>0</v>
      </c>
      <c r="K124" s="207">
        <f>SUMIFS('март 2023'!$G$4:$G$582,'март 2023'!$D$4:$D$582,$B124,'март 2023'!$J$4:$J$582,K$1)</f>
        <v>0</v>
      </c>
      <c r="L124" s="207">
        <f>SUMIFS('март 2023'!$G$4:$G$582,'март 2023'!$D$4:$D$582,$B124,'март 2023'!$J$4:$J$582,L$1)</f>
        <v>0</v>
      </c>
      <c r="M124" s="207">
        <f>SUMIFS('март 2023'!$G$4:$G$582,'март 2023'!$D$4:$D$582,$B124,'март 2023'!$J$4:$J$582,M$1)</f>
        <v>0</v>
      </c>
      <c r="N124" s="207">
        <f>SUMIFS('март 2023'!$G$4:$G$582,'март 2023'!$D$4:$D$582,$B124,'март 2023'!$J$4:$J$582,N$1)</f>
        <v>0</v>
      </c>
      <c r="O124" s="207">
        <f>SUMIFS('март 2023'!$G$4:$G$582,'март 2023'!$D$4:$D$582,$B124,'март 2023'!$J$4:$J$582,O$1)</f>
        <v>0</v>
      </c>
      <c r="P124" s="207">
        <f>SUMIFS('март 2023'!$G$4:$G$582,'март 2023'!$D$4:$D$582,$B124,'март 2023'!$J$4:$J$582,P$1)</f>
        <v>0</v>
      </c>
      <c r="Q124" s="207">
        <f>SUMIFS('март 2023'!$G$4:$G$582,'март 2023'!$D$4:$D$582,$B124,'март 2023'!$J$4:$J$582,Q$1)</f>
        <v>0</v>
      </c>
      <c r="R124" s="207">
        <f>SUMIFS('март 2023'!$G$4:$G$582,'март 2023'!$D$4:$D$582,$B124,'март 2023'!$J$4:$J$582,R$1)</f>
        <v>0</v>
      </c>
      <c r="S124" s="207">
        <f>SUMIFS('март 2023'!$G$4:$G$582,'март 2023'!$D$4:$D$582,$B124,'март 2023'!$J$4:$J$582,S$1)</f>
        <v>0</v>
      </c>
      <c r="T124" s="207">
        <f>SUMIFS('март 2023'!$G$4:$G$582,'март 2023'!$D$4:$D$582,$B124,'март 2023'!$J$4:$J$582,T$1)</f>
        <v>0</v>
      </c>
      <c r="U124" s="207">
        <f>SUMIFS('март 2023'!$G$4:$G$582,'март 2023'!$D$4:$D$582,$B124,'март 2023'!$J$4:$J$582,U$1)</f>
        <v>0</v>
      </c>
      <c r="V124" s="207">
        <f>SUMIFS('март 2023'!$G$4:$G$582,'март 2023'!$D$4:$D$582,$B124,'март 2023'!$J$4:$J$582,V$1)</f>
        <v>0</v>
      </c>
      <c r="W124" s="207">
        <f>SUMIFS('март 2023'!$G$4:$G$582,'март 2023'!$D$4:$D$582,$B124,'март 2023'!$J$4:$J$582,W$1)</f>
        <v>0</v>
      </c>
      <c r="X124" s="207">
        <f>SUMIFS('март 2023'!$G$4:$G$582,'март 2023'!$D$4:$D$582,$B124,'март 2023'!$J$4:$J$582,X$1)</f>
        <v>0</v>
      </c>
      <c r="Y124" s="207">
        <f>SUMIFS('март 2023'!$G$4:$G$582,'март 2023'!$D$4:$D$582,$B124,'март 2023'!$J$4:$J$582,Y$1)</f>
        <v>0</v>
      </c>
      <c r="Z124" s="207">
        <f>SUMIFS('март 2023'!$G$4:$G$582,'март 2023'!$D$4:$D$582,$B124,'март 2023'!$J$4:$J$582,Z$1)</f>
        <v>0</v>
      </c>
      <c r="AA124" s="207">
        <f>SUMIFS('март 2023'!$G$4:$G$582,'март 2023'!$D$4:$D$582,$B124,'март 2023'!$J$4:$J$582,AA$1)</f>
        <v>0</v>
      </c>
      <c r="AB124" s="207">
        <f>SUMIFS('март 2023'!$G$4:$G$582,'март 2023'!$D$4:$D$582,$B124,'март 2023'!$J$4:$J$582,AB$1)</f>
        <v>0</v>
      </c>
      <c r="AC124" s="207">
        <f>SUMIFS('март 2023'!$G$4:$G$582,'март 2023'!$D$4:$D$582,$B124,'март 2023'!$J$4:$J$582,AC$1)</f>
        <v>0</v>
      </c>
      <c r="AD124" s="207">
        <f>SUMIFS('март 2023'!$G$4:$G$582,'март 2023'!$D$4:$D$582,$B124,'март 2023'!$J$4:$J$582,AD$1)</f>
        <v>0</v>
      </c>
      <c r="AE124" s="207">
        <f>SUMIFS('март 2023'!$G$4:$G$582,'март 2023'!$D$4:$D$582,$B124,'март 2023'!$J$4:$J$582,AE$1)</f>
        <v>0</v>
      </c>
      <c r="AF124" s="207">
        <f>SUMIFS('март 2023'!$G$4:$G$582,'март 2023'!$D$4:$D$582,$B124,'март 2023'!$J$4:$J$582,AF$1)</f>
        <v>0</v>
      </c>
      <c r="AG124" s="207">
        <f>SUMIFS('март 2023'!$G$4:$G$582,'март 2023'!$D$4:$D$582,$B124,'март 2023'!$J$4:$J$582,AG$1)</f>
        <v>0</v>
      </c>
      <c r="AH124" s="207">
        <f>SUMIFS('март 2023'!$G$4:$G$582,'март 2023'!$D$4:$D$582,$B124,'март 2023'!$J$4:$J$582,AH$1)</f>
        <v>0</v>
      </c>
      <c r="AI124" s="220"/>
    </row>
    <row r="125" spans="2:35" ht="15" hidden="1" customHeight="1" x14ac:dyDescent="0.25">
      <c r="B125" s="212"/>
      <c r="C125" s="211"/>
      <c r="D125" s="207">
        <f>SUMIFS('март 2023'!$G$4:$G$582,'март 2023'!$D$4:$D$582,$B125,'март 2023'!$J$4:$J$582,D$1)</f>
        <v>0</v>
      </c>
      <c r="E125" s="207">
        <f>SUMIFS('март 2023'!$G$4:$G$582,'март 2023'!$D$4:$D$582,$B125,'март 2023'!$J$4:$J$582,E$1)</f>
        <v>0</v>
      </c>
      <c r="F125" s="207">
        <f>SUMIFS('март 2023'!$G$4:$G$582,'март 2023'!$D$4:$D$582,$B125,'март 2023'!$J$4:$J$582,F$1)</f>
        <v>0</v>
      </c>
      <c r="G125" s="207">
        <f>SUMIFS('март 2023'!$G$4:$G$582,'март 2023'!$D$4:$D$582,$B125,'март 2023'!$J$4:$J$582,G$1)</f>
        <v>0</v>
      </c>
      <c r="H125" s="207">
        <f>SUMIFS('март 2023'!$G$4:$G$582,'март 2023'!$D$4:$D$582,$B125,'март 2023'!$J$4:$J$582,H$1)</f>
        <v>0</v>
      </c>
      <c r="I125" s="207">
        <f>SUMIFS('март 2023'!$G$4:$G$582,'март 2023'!$D$4:$D$582,$B125,'март 2023'!$J$4:$J$582,I$1)</f>
        <v>0</v>
      </c>
      <c r="J125" s="207">
        <f>SUMIFS('март 2023'!$G$4:$G$582,'март 2023'!$D$4:$D$582,$B125,'март 2023'!$J$4:$J$582,J$1)</f>
        <v>0</v>
      </c>
      <c r="K125" s="207">
        <f>SUMIFS('март 2023'!$G$4:$G$582,'март 2023'!$D$4:$D$582,$B125,'март 2023'!$J$4:$J$582,K$1)</f>
        <v>0</v>
      </c>
      <c r="L125" s="207">
        <f>SUMIFS('март 2023'!$G$4:$G$582,'март 2023'!$D$4:$D$582,$B125,'март 2023'!$J$4:$J$582,L$1)</f>
        <v>0</v>
      </c>
      <c r="M125" s="207">
        <f>SUMIFS('март 2023'!$G$4:$G$582,'март 2023'!$D$4:$D$582,$B125,'март 2023'!$J$4:$J$582,M$1)</f>
        <v>0</v>
      </c>
      <c r="N125" s="207">
        <f>SUMIFS('март 2023'!$G$4:$G$582,'март 2023'!$D$4:$D$582,$B125,'март 2023'!$J$4:$J$582,N$1)</f>
        <v>0</v>
      </c>
      <c r="O125" s="207">
        <f>SUMIFS('март 2023'!$G$4:$G$582,'март 2023'!$D$4:$D$582,$B125,'март 2023'!$J$4:$J$582,O$1)</f>
        <v>0</v>
      </c>
      <c r="P125" s="207">
        <f>SUMIFS('март 2023'!$G$4:$G$582,'март 2023'!$D$4:$D$582,$B125,'март 2023'!$J$4:$J$582,P$1)</f>
        <v>0</v>
      </c>
      <c r="Q125" s="207">
        <f>SUMIFS('март 2023'!$G$4:$G$582,'март 2023'!$D$4:$D$582,$B125,'март 2023'!$J$4:$J$582,Q$1)</f>
        <v>0</v>
      </c>
      <c r="R125" s="207">
        <f>SUMIFS('март 2023'!$G$4:$G$582,'март 2023'!$D$4:$D$582,$B125,'март 2023'!$J$4:$J$582,R$1)</f>
        <v>0</v>
      </c>
      <c r="S125" s="207">
        <f>SUMIFS('март 2023'!$G$4:$G$582,'март 2023'!$D$4:$D$582,$B125,'март 2023'!$J$4:$J$582,S$1)</f>
        <v>0</v>
      </c>
      <c r="T125" s="207">
        <f>SUMIFS('март 2023'!$G$4:$G$582,'март 2023'!$D$4:$D$582,$B125,'март 2023'!$J$4:$J$582,T$1)</f>
        <v>0</v>
      </c>
      <c r="U125" s="207">
        <f>SUMIFS('март 2023'!$G$4:$G$582,'март 2023'!$D$4:$D$582,$B125,'март 2023'!$J$4:$J$582,U$1)</f>
        <v>0</v>
      </c>
      <c r="V125" s="207">
        <f>SUMIFS('март 2023'!$G$4:$G$582,'март 2023'!$D$4:$D$582,$B125,'март 2023'!$J$4:$J$582,V$1)</f>
        <v>0</v>
      </c>
      <c r="W125" s="207">
        <f>SUMIFS('март 2023'!$G$4:$G$582,'март 2023'!$D$4:$D$582,$B125,'март 2023'!$J$4:$J$582,W$1)</f>
        <v>0</v>
      </c>
      <c r="X125" s="207">
        <f>SUMIFS('март 2023'!$G$4:$G$582,'март 2023'!$D$4:$D$582,$B125,'март 2023'!$J$4:$J$582,X$1)</f>
        <v>0</v>
      </c>
      <c r="Y125" s="207">
        <f>SUMIFS('март 2023'!$G$4:$G$582,'март 2023'!$D$4:$D$582,$B125,'март 2023'!$J$4:$J$582,Y$1)</f>
        <v>0</v>
      </c>
      <c r="Z125" s="207">
        <f>SUMIFS('март 2023'!$G$4:$G$582,'март 2023'!$D$4:$D$582,$B125,'март 2023'!$J$4:$J$582,Z$1)</f>
        <v>0</v>
      </c>
      <c r="AA125" s="207">
        <f>SUMIFS('март 2023'!$G$4:$G$582,'март 2023'!$D$4:$D$582,$B125,'март 2023'!$J$4:$J$582,AA$1)</f>
        <v>0</v>
      </c>
      <c r="AB125" s="207">
        <f>SUMIFS('март 2023'!$G$4:$G$582,'март 2023'!$D$4:$D$582,$B125,'март 2023'!$J$4:$J$582,AB$1)</f>
        <v>0</v>
      </c>
      <c r="AC125" s="207">
        <f>SUMIFS('март 2023'!$G$4:$G$582,'март 2023'!$D$4:$D$582,$B125,'март 2023'!$J$4:$J$582,AC$1)</f>
        <v>0</v>
      </c>
      <c r="AD125" s="207">
        <f>SUMIFS('март 2023'!$G$4:$G$582,'март 2023'!$D$4:$D$582,$B125,'март 2023'!$J$4:$J$582,AD$1)</f>
        <v>0</v>
      </c>
      <c r="AE125" s="207">
        <f>SUMIFS('март 2023'!$G$4:$G$582,'март 2023'!$D$4:$D$582,$B125,'март 2023'!$J$4:$J$582,AE$1)</f>
        <v>0</v>
      </c>
      <c r="AF125" s="207">
        <f>SUMIFS('март 2023'!$G$4:$G$582,'март 2023'!$D$4:$D$582,$B125,'март 2023'!$J$4:$J$582,AF$1)</f>
        <v>0</v>
      </c>
      <c r="AG125" s="207">
        <f>SUMIFS('март 2023'!$G$4:$G$582,'март 2023'!$D$4:$D$582,$B125,'март 2023'!$J$4:$J$582,AG$1)</f>
        <v>0</v>
      </c>
      <c r="AH125" s="207">
        <f>SUMIFS('март 2023'!$G$4:$G$582,'март 2023'!$D$4:$D$582,$B125,'март 2023'!$J$4:$J$582,AH$1)</f>
        <v>0</v>
      </c>
      <c r="AI125" s="220"/>
    </row>
    <row r="126" spans="2:35" ht="15" hidden="1" customHeight="1" x14ac:dyDescent="0.25">
      <c r="B126" s="216"/>
      <c r="C126" s="213"/>
      <c r="D126" s="207">
        <f>SUMIFS('март 2023'!$G$4:$G$582,'март 2023'!$D$4:$D$582,$B126,'март 2023'!$J$4:$J$582,D$1)</f>
        <v>0</v>
      </c>
      <c r="E126" s="207">
        <f>SUMIFS('март 2023'!$G$4:$G$582,'март 2023'!$D$4:$D$582,$B126,'март 2023'!$J$4:$J$582,E$1)</f>
        <v>0</v>
      </c>
      <c r="F126" s="207">
        <f>SUMIFS('март 2023'!$G$4:$G$582,'март 2023'!$D$4:$D$582,$B126,'март 2023'!$J$4:$J$582,F$1)</f>
        <v>0</v>
      </c>
      <c r="G126" s="207">
        <f>SUMIFS('март 2023'!$G$4:$G$582,'март 2023'!$D$4:$D$582,$B126,'март 2023'!$J$4:$J$582,G$1)</f>
        <v>0</v>
      </c>
      <c r="H126" s="207">
        <f>SUMIFS('март 2023'!$G$4:$G$582,'март 2023'!$D$4:$D$582,$B126,'март 2023'!$J$4:$J$582,H$1)</f>
        <v>0</v>
      </c>
      <c r="I126" s="207">
        <f>SUMIFS('март 2023'!$G$4:$G$582,'март 2023'!$D$4:$D$582,$B126,'март 2023'!$J$4:$J$582,I$1)</f>
        <v>0</v>
      </c>
      <c r="J126" s="207">
        <f>SUMIFS('март 2023'!$G$4:$G$582,'март 2023'!$D$4:$D$582,$B126,'март 2023'!$J$4:$J$582,J$1)</f>
        <v>0</v>
      </c>
      <c r="K126" s="207">
        <f>SUMIFS('март 2023'!$G$4:$G$582,'март 2023'!$D$4:$D$582,$B126,'март 2023'!$J$4:$J$582,K$1)</f>
        <v>0</v>
      </c>
      <c r="L126" s="207">
        <f>SUMIFS('март 2023'!$G$4:$G$582,'март 2023'!$D$4:$D$582,$B126,'март 2023'!$J$4:$J$582,L$1)</f>
        <v>0</v>
      </c>
      <c r="M126" s="207">
        <f>SUMIFS('март 2023'!$G$4:$G$582,'март 2023'!$D$4:$D$582,$B126,'март 2023'!$J$4:$J$582,M$1)</f>
        <v>0</v>
      </c>
      <c r="N126" s="207">
        <f>SUMIFS('март 2023'!$G$4:$G$582,'март 2023'!$D$4:$D$582,$B126,'март 2023'!$J$4:$J$582,N$1)</f>
        <v>0</v>
      </c>
      <c r="O126" s="207">
        <f>SUMIFS('март 2023'!$G$4:$G$582,'март 2023'!$D$4:$D$582,$B126,'март 2023'!$J$4:$J$582,O$1)</f>
        <v>0</v>
      </c>
      <c r="P126" s="207">
        <f>SUMIFS('март 2023'!$G$4:$G$582,'март 2023'!$D$4:$D$582,$B126,'март 2023'!$J$4:$J$582,P$1)</f>
        <v>0</v>
      </c>
      <c r="Q126" s="207">
        <f>SUMIFS('март 2023'!$G$4:$G$582,'март 2023'!$D$4:$D$582,$B126,'март 2023'!$J$4:$J$582,Q$1)</f>
        <v>0</v>
      </c>
      <c r="R126" s="207">
        <f>SUMIFS('март 2023'!$G$4:$G$582,'март 2023'!$D$4:$D$582,$B126,'март 2023'!$J$4:$J$582,R$1)</f>
        <v>0</v>
      </c>
      <c r="S126" s="207">
        <f>SUMIFS('март 2023'!$G$4:$G$582,'март 2023'!$D$4:$D$582,$B126,'март 2023'!$J$4:$J$582,S$1)</f>
        <v>0</v>
      </c>
      <c r="T126" s="207">
        <f>SUMIFS('март 2023'!$G$4:$G$582,'март 2023'!$D$4:$D$582,$B126,'март 2023'!$J$4:$J$582,T$1)</f>
        <v>0</v>
      </c>
      <c r="U126" s="207">
        <f>SUMIFS('март 2023'!$G$4:$G$582,'март 2023'!$D$4:$D$582,$B126,'март 2023'!$J$4:$J$582,U$1)</f>
        <v>0</v>
      </c>
      <c r="V126" s="207">
        <f>SUMIFS('март 2023'!$G$4:$G$582,'март 2023'!$D$4:$D$582,$B126,'март 2023'!$J$4:$J$582,V$1)</f>
        <v>0</v>
      </c>
      <c r="W126" s="207">
        <f>SUMIFS('март 2023'!$G$4:$G$582,'март 2023'!$D$4:$D$582,$B126,'март 2023'!$J$4:$J$582,W$1)</f>
        <v>0</v>
      </c>
      <c r="X126" s="207">
        <f>SUMIFS('март 2023'!$G$4:$G$582,'март 2023'!$D$4:$D$582,$B126,'март 2023'!$J$4:$J$582,X$1)</f>
        <v>0</v>
      </c>
      <c r="Y126" s="207">
        <f>SUMIFS('март 2023'!$G$4:$G$582,'март 2023'!$D$4:$D$582,$B126,'март 2023'!$J$4:$J$582,Y$1)</f>
        <v>0</v>
      </c>
      <c r="Z126" s="207">
        <f>SUMIFS('март 2023'!$G$4:$G$582,'март 2023'!$D$4:$D$582,$B126,'март 2023'!$J$4:$J$582,Z$1)</f>
        <v>0</v>
      </c>
      <c r="AA126" s="207">
        <f>SUMIFS('март 2023'!$G$4:$G$582,'март 2023'!$D$4:$D$582,$B126,'март 2023'!$J$4:$J$582,AA$1)</f>
        <v>0</v>
      </c>
      <c r="AB126" s="207">
        <f>SUMIFS('март 2023'!$G$4:$G$582,'март 2023'!$D$4:$D$582,$B126,'март 2023'!$J$4:$J$582,AB$1)</f>
        <v>0</v>
      </c>
      <c r="AC126" s="207">
        <f>SUMIFS('март 2023'!$G$4:$G$582,'март 2023'!$D$4:$D$582,$B126,'март 2023'!$J$4:$J$582,AC$1)</f>
        <v>0</v>
      </c>
      <c r="AD126" s="207">
        <f>SUMIFS('март 2023'!$G$4:$G$582,'март 2023'!$D$4:$D$582,$B126,'март 2023'!$J$4:$J$582,AD$1)</f>
        <v>0</v>
      </c>
      <c r="AE126" s="207">
        <f>SUMIFS('март 2023'!$G$4:$G$582,'март 2023'!$D$4:$D$582,$B126,'март 2023'!$J$4:$J$582,AE$1)</f>
        <v>0</v>
      </c>
      <c r="AF126" s="207">
        <f>SUMIFS('март 2023'!$G$4:$G$582,'март 2023'!$D$4:$D$582,$B126,'март 2023'!$J$4:$J$582,AF$1)</f>
        <v>0</v>
      </c>
      <c r="AG126" s="207">
        <f>SUMIFS('март 2023'!$G$4:$G$582,'март 2023'!$D$4:$D$582,$B126,'март 2023'!$J$4:$J$582,AG$1)</f>
        <v>0</v>
      </c>
      <c r="AH126" s="207">
        <f>SUMIFS('март 2023'!$G$4:$G$582,'март 2023'!$D$4:$D$582,$B126,'март 2023'!$J$4:$J$582,AH$1)</f>
        <v>0</v>
      </c>
      <c r="AI126" s="220">
        <f t="shared" si="2"/>
        <v>0</v>
      </c>
    </row>
    <row r="127" spans="2:35" ht="15" hidden="1" customHeight="1" x14ac:dyDescent="0.25">
      <c r="B127" s="216"/>
      <c r="C127" s="213"/>
      <c r="D127" s="207">
        <f>SUMIFS('март 2023'!$G$4:$G$582,'март 2023'!$D$4:$D$582,$B127,'март 2023'!$J$4:$J$582,D$1)</f>
        <v>0</v>
      </c>
      <c r="E127" s="207">
        <f>SUMIFS('март 2023'!$G$4:$G$582,'март 2023'!$D$4:$D$582,$B127,'март 2023'!$J$4:$J$582,E$1)</f>
        <v>0</v>
      </c>
      <c r="F127" s="207">
        <f>SUMIFS('март 2023'!$G$4:$G$582,'март 2023'!$D$4:$D$582,$B127,'март 2023'!$J$4:$J$582,F$1)</f>
        <v>0</v>
      </c>
      <c r="G127" s="207">
        <f>SUMIFS('март 2023'!$G$4:$G$582,'март 2023'!$D$4:$D$582,$B127,'март 2023'!$J$4:$J$582,G$1)</f>
        <v>0</v>
      </c>
      <c r="H127" s="207">
        <f>SUMIFS('март 2023'!$G$4:$G$582,'март 2023'!$D$4:$D$582,$B127,'март 2023'!$J$4:$J$582,H$1)</f>
        <v>0</v>
      </c>
      <c r="I127" s="207">
        <f>SUMIFS('март 2023'!$G$4:$G$582,'март 2023'!$D$4:$D$582,$B127,'март 2023'!$J$4:$J$582,I$1)</f>
        <v>0</v>
      </c>
      <c r="J127" s="207">
        <f>SUMIFS('март 2023'!$G$4:$G$582,'март 2023'!$D$4:$D$582,$B127,'март 2023'!$J$4:$J$582,J$1)</f>
        <v>0</v>
      </c>
      <c r="K127" s="207">
        <f>SUMIFS('март 2023'!$G$4:$G$582,'март 2023'!$D$4:$D$582,$B127,'март 2023'!$J$4:$J$582,K$1)</f>
        <v>0</v>
      </c>
      <c r="L127" s="207">
        <f>SUMIFS('март 2023'!$G$4:$G$582,'март 2023'!$D$4:$D$582,$B127,'март 2023'!$J$4:$J$582,L$1)</f>
        <v>0</v>
      </c>
      <c r="M127" s="207">
        <f>SUMIFS('март 2023'!$G$4:$G$582,'март 2023'!$D$4:$D$582,$B127,'март 2023'!$J$4:$J$582,M$1)</f>
        <v>0</v>
      </c>
      <c r="N127" s="207">
        <f>SUMIFS('март 2023'!$G$4:$G$582,'март 2023'!$D$4:$D$582,$B127,'март 2023'!$J$4:$J$582,N$1)</f>
        <v>0</v>
      </c>
      <c r="O127" s="207">
        <f>SUMIFS('март 2023'!$G$4:$G$582,'март 2023'!$D$4:$D$582,$B127,'март 2023'!$J$4:$J$582,O$1)</f>
        <v>0</v>
      </c>
      <c r="P127" s="207">
        <f>SUMIFS('март 2023'!$G$4:$G$582,'март 2023'!$D$4:$D$582,$B127,'март 2023'!$J$4:$J$582,P$1)</f>
        <v>0</v>
      </c>
      <c r="Q127" s="207">
        <f>SUMIFS('март 2023'!$G$4:$G$582,'март 2023'!$D$4:$D$582,$B127,'март 2023'!$J$4:$J$582,Q$1)</f>
        <v>0</v>
      </c>
      <c r="R127" s="207">
        <f>SUMIFS('март 2023'!$G$4:$G$582,'март 2023'!$D$4:$D$582,$B127,'март 2023'!$J$4:$J$582,R$1)</f>
        <v>0</v>
      </c>
      <c r="S127" s="207">
        <f>SUMIFS('март 2023'!$G$4:$G$582,'март 2023'!$D$4:$D$582,$B127,'март 2023'!$J$4:$J$582,S$1)</f>
        <v>0</v>
      </c>
      <c r="T127" s="207">
        <f>SUMIFS('март 2023'!$G$4:$G$582,'март 2023'!$D$4:$D$582,$B127,'март 2023'!$J$4:$J$582,T$1)</f>
        <v>0</v>
      </c>
      <c r="U127" s="207">
        <f>SUMIFS('март 2023'!$G$4:$G$582,'март 2023'!$D$4:$D$582,$B127,'март 2023'!$J$4:$J$582,U$1)</f>
        <v>0</v>
      </c>
      <c r="V127" s="207">
        <f>SUMIFS('март 2023'!$G$4:$G$582,'март 2023'!$D$4:$D$582,$B127,'март 2023'!$J$4:$J$582,V$1)</f>
        <v>0</v>
      </c>
      <c r="W127" s="207">
        <f>SUMIFS('март 2023'!$G$4:$G$582,'март 2023'!$D$4:$D$582,$B127,'март 2023'!$J$4:$J$582,W$1)</f>
        <v>0</v>
      </c>
      <c r="X127" s="207">
        <f>SUMIFS('март 2023'!$G$4:$G$582,'март 2023'!$D$4:$D$582,$B127,'март 2023'!$J$4:$J$582,X$1)</f>
        <v>0</v>
      </c>
      <c r="Y127" s="207">
        <f>SUMIFS('март 2023'!$G$4:$G$582,'март 2023'!$D$4:$D$582,$B127,'март 2023'!$J$4:$J$582,Y$1)</f>
        <v>0</v>
      </c>
      <c r="Z127" s="207">
        <f>SUMIFS('март 2023'!$G$4:$G$582,'март 2023'!$D$4:$D$582,$B127,'март 2023'!$J$4:$J$582,Z$1)</f>
        <v>0</v>
      </c>
      <c r="AA127" s="207">
        <f>SUMIFS('март 2023'!$G$4:$G$582,'март 2023'!$D$4:$D$582,$B127,'март 2023'!$J$4:$J$582,AA$1)</f>
        <v>0</v>
      </c>
      <c r="AB127" s="207">
        <f>SUMIFS('март 2023'!$G$4:$G$582,'март 2023'!$D$4:$D$582,$B127,'март 2023'!$J$4:$J$582,AB$1)</f>
        <v>0</v>
      </c>
      <c r="AC127" s="207">
        <f>SUMIFS('март 2023'!$G$4:$G$582,'март 2023'!$D$4:$D$582,$B127,'март 2023'!$J$4:$J$582,AC$1)</f>
        <v>0</v>
      </c>
      <c r="AD127" s="207">
        <f>SUMIFS('март 2023'!$G$4:$G$582,'март 2023'!$D$4:$D$582,$B127,'март 2023'!$J$4:$J$582,AD$1)</f>
        <v>0</v>
      </c>
      <c r="AE127" s="207">
        <f>SUMIFS('март 2023'!$G$4:$G$582,'март 2023'!$D$4:$D$582,$B127,'март 2023'!$J$4:$J$582,AE$1)</f>
        <v>0</v>
      </c>
      <c r="AF127" s="207">
        <f>SUMIFS('март 2023'!$G$4:$G$582,'март 2023'!$D$4:$D$582,$B127,'март 2023'!$J$4:$J$582,AF$1)</f>
        <v>0</v>
      </c>
      <c r="AG127" s="207">
        <f>SUMIFS('март 2023'!$G$4:$G$582,'март 2023'!$D$4:$D$582,$B127,'март 2023'!$J$4:$J$582,AG$1)</f>
        <v>0</v>
      </c>
      <c r="AH127" s="207">
        <f>SUMIFS('март 2023'!$G$4:$G$582,'март 2023'!$D$4:$D$582,$B127,'март 2023'!$J$4:$J$582,AH$1)</f>
        <v>0</v>
      </c>
      <c r="AI127" s="220">
        <f t="shared" si="2"/>
        <v>0</v>
      </c>
    </row>
    <row r="128" spans="2:35" ht="15" hidden="1" customHeight="1" x14ac:dyDescent="0.25">
      <c r="B128" s="216"/>
      <c r="C128" s="213"/>
      <c r="D128" s="207">
        <f>SUMIFS('март 2023'!$G$4:$G$582,'март 2023'!$D$4:$D$582,$B128,'март 2023'!$J$4:$J$582,D$1)</f>
        <v>0</v>
      </c>
      <c r="E128" s="207">
        <f>SUMIFS('март 2023'!$G$4:$G$582,'март 2023'!$D$4:$D$582,$B128,'март 2023'!$J$4:$J$582,E$1)</f>
        <v>0</v>
      </c>
      <c r="F128" s="207">
        <f>SUMIFS('март 2023'!$G$4:$G$582,'март 2023'!$D$4:$D$582,$B128,'март 2023'!$J$4:$J$582,F$1)</f>
        <v>0</v>
      </c>
      <c r="G128" s="207">
        <f>SUMIFS('март 2023'!$G$4:$G$582,'март 2023'!$D$4:$D$582,$B128,'март 2023'!$J$4:$J$582,G$1)</f>
        <v>0</v>
      </c>
      <c r="H128" s="207">
        <f>SUMIFS('март 2023'!$G$4:$G$582,'март 2023'!$D$4:$D$582,$B128,'март 2023'!$J$4:$J$582,H$1)</f>
        <v>0</v>
      </c>
      <c r="I128" s="207">
        <f>SUMIFS('март 2023'!$G$4:$G$582,'март 2023'!$D$4:$D$582,$B128,'март 2023'!$J$4:$J$582,I$1)</f>
        <v>0</v>
      </c>
      <c r="J128" s="207">
        <f>SUMIFS('март 2023'!$G$4:$G$582,'март 2023'!$D$4:$D$582,$B128,'март 2023'!$J$4:$J$582,J$1)</f>
        <v>0</v>
      </c>
      <c r="K128" s="207">
        <f>SUMIFS('март 2023'!$G$4:$G$582,'март 2023'!$D$4:$D$582,$B128,'март 2023'!$J$4:$J$582,K$1)</f>
        <v>0</v>
      </c>
      <c r="L128" s="207">
        <f>SUMIFS('март 2023'!$G$4:$G$582,'март 2023'!$D$4:$D$582,$B128,'март 2023'!$J$4:$J$582,L$1)</f>
        <v>0</v>
      </c>
      <c r="M128" s="207">
        <f>SUMIFS('март 2023'!$G$4:$G$582,'март 2023'!$D$4:$D$582,$B128,'март 2023'!$J$4:$J$582,M$1)</f>
        <v>0</v>
      </c>
      <c r="N128" s="207">
        <f>SUMIFS('март 2023'!$G$4:$G$582,'март 2023'!$D$4:$D$582,$B128,'март 2023'!$J$4:$J$582,N$1)</f>
        <v>0</v>
      </c>
      <c r="O128" s="207">
        <f>SUMIFS('март 2023'!$G$4:$G$582,'март 2023'!$D$4:$D$582,$B128,'март 2023'!$J$4:$J$582,O$1)</f>
        <v>0</v>
      </c>
      <c r="P128" s="207">
        <f>SUMIFS('март 2023'!$G$4:$G$582,'март 2023'!$D$4:$D$582,$B128,'март 2023'!$J$4:$J$582,P$1)</f>
        <v>0</v>
      </c>
      <c r="Q128" s="207">
        <f>SUMIFS('март 2023'!$G$4:$G$582,'март 2023'!$D$4:$D$582,$B128,'март 2023'!$J$4:$J$582,Q$1)</f>
        <v>0</v>
      </c>
      <c r="R128" s="207">
        <f>SUMIFS('март 2023'!$G$4:$G$582,'март 2023'!$D$4:$D$582,$B128,'март 2023'!$J$4:$J$582,R$1)</f>
        <v>0</v>
      </c>
      <c r="S128" s="207">
        <f>SUMIFS('март 2023'!$G$4:$G$582,'март 2023'!$D$4:$D$582,$B128,'март 2023'!$J$4:$J$582,S$1)</f>
        <v>0</v>
      </c>
      <c r="T128" s="207">
        <f>SUMIFS('март 2023'!$G$4:$G$582,'март 2023'!$D$4:$D$582,$B128,'март 2023'!$J$4:$J$582,T$1)</f>
        <v>0</v>
      </c>
      <c r="U128" s="207">
        <f>SUMIFS('март 2023'!$G$4:$G$582,'март 2023'!$D$4:$D$582,$B128,'март 2023'!$J$4:$J$582,U$1)</f>
        <v>0</v>
      </c>
      <c r="V128" s="207">
        <f>SUMIFS('март 2023'!$G$4:$G$582,'март 2023'!$D$4:$D$582,$B128,'март 2023'!$J$4:$J$582,V$1)</f>
        <v>0</v>
      </c>
      <c r="W128" s="207">
        <f>SUMIFS('март 2023'!$G$4:$G$582,'март 2023'!$D$4:$D$582,$B128,'март 2023'!$J$4:$J$582,W$1)</f>
        <v>0</v>
      </c>
      <c r="X128" s="207">
        <f>SUMIFS('март 2023'!$G$4:$G$582,'март 2023'!$D$4:$D$582,$B128,'март 2023'!$J$4:$J$582,X$1)</f>
        <v>0</v>
      </c>
      <c r="Y128" s="207">
        <f>SUMIFS('март 2023'!$G$4:$G$582,'март 2023'!$D$4:$D$582,$B128,'март 2023'!$J$4:$J$582,Y$1)</f>
        <v>0</v>
      </c>
      <c r="Z128" s="207">
        <f>SUMIFS('март 2023'!$G$4:$G$582,'март 2023'!$D$4:$D$582,$B128,'март 2023'!$J$4:$J$582,Z$1)</f>
        <v>0</v>
      </c>
      <c r="AA128" s="207">
        <f>SUMIFS('март 2023'!$G$4:$G$582,'март 2023'!$D$4:$D$582,$B128,'март 2023'!$J$4:$J$582,AA$1)</f>
        <v>0</v>
      </c>
      <c r="AB128" s="207">
        <f>SUMIFS('март 2023'!$G$4:$G$582,'март 2023'!$D$4:$D$582,$B128,'март 2023'!$J$4:$J$582,AB$1)</f>
        <v>0</v>
      </c>
      <c r="AC128" s="207">
        <f>SUMIFS('март 2023'!$G$4:$G$582,'март 2023'!$D$4:$D$582,$B128,'март 2023'!$J$4:$J$582,AC$1)</f>
        <v>0</v>
      </c>
      <c r="AD128" s="207">
        <f>SUMIFS('март 2023'!$G$4:$G$582,'март 2023'!$D$4:$D$582,$B128,'март 2023'!$J$4:$J$582,AD$1)</f>
        <v>0</v>
      </c>
      <c r="AE128" s="207">
        <f>SUMIFS('март 2023'!$G$4:$G$582,'март 2023'!$D$4:$D$582,$B128,'март 2023'!$J$4:$J$582,AE$1)</f>
        <v>0</v>
      </c>
      <c r="AF128" s="207">
        <f>SUMIFS('март 2023'!$G$4:$G$582,'март 2023'!$D$4:$D$582,$B128,'март 2023'!$J$4:$J$582,AF$1)</f>
        <v>0</v>
      </c>
      <c r="AG128" s="207">
        <f>SUMIFS('март 2023'!$G$4:$G$582,'март 2023'!$D$4:$D$582,$B128,'март 2023'!$J$4:$J$582,AG$1)</f>
        <v>0</v>
      </c>
      <c r="AH128" s="207">
        <f>SUMIFS('март 2023'!$G$4:$G$582,'март 2023'!$D$4:$D$582,$B128,'март 2023'!$J$4:$J$582,AH$1)</f>
        <v>0</v>
      </c>
      <c r="AI128" s="220">
        <f t="shared" si="2"/>
        <v>0</v>
      </c>
    </row>
    <row r="129" spans="2:35" ht="15" hidden="1" customHeight="1" x14ac:dyDescent="0.25">
      <c r="B129" s="212"/>
      <c r="C129" s="211"/>
      <c r="D129" s="207">
        <f>SUMIFS('март 2023'!$G$4:$G$582,'март 2023'!$D$4:$D$582,$B129,'март 2023'!$J$4:$J$582,D$1)</f>
        <v>0</v>
      </c>
      <c r="E129" s="207">
        <f>SUMIFS('март 2023'!$G$4:$G$582,'март 2023'!$D$4:$D$582,$B129,'март 2023'!$J$4:$J$582,E$1)</f>
        <v>0</v>
      </c>
      <c r="F129" s="207">
        <f>SUMIFS('март 2023'!$G$4:$G$582,'март 2023'!$D$4:$D$582,$B129,'март 2023'!$J$4:$J$582,F$1)</f>
        <v>0</v>
      </c>
      <c r="G129" s="207">
        <f>SUMIFS('март 2023'!$G$4:$G$582,'март 2023'!$D$4:$D$582,$B129,'март 2023'!$J$4:$J$582,G$1)</f>
        <v>0</v>
      </c>
      <c r="H129" s="207">
        <f>SUMIFS('март 2023'!$G$4:$G$582,'март 2023'!$D$4:$D$582,$B129,'март 2023'!$J$4:$J$582,H$1)</f>
        <v>0</v>
      </c>
      <c r="I129" s="207">
        <f>SUMIFS('март 2023'!$G$4:$G$582,'март 2023'!$D$4:$D$582,$B129,'март 2023'!$J$4:$J$582,I$1)</f>
        <v>0</v>
      </c>
      <c r="J129" s="207">
        <f>SUMIFS('март 2023'!$G$4:$G$582,'март 2023'!$D$4:$D$582,$B129,'март 2023'!$J$4:$J$582,J$1)</f>
        <v>0</v>
      </c>
      <c r="K129" s="207">
        <f>SUMIFS('март 2023'!$G$4:$G$582,'март 2023'!$D$4:$D$582,$B129,'март 2023'!$J$4:$J$582,K$1)</f>
        <v>0</v>
      </c>
      <c r="L129" s="207">
        <f>SUMIFS('март 2023'!$G$4:$G$582,'март 2023'!$D$4:$D$582,$B129,'март 2023'!$J$4:$J$582,L$1)</f>
        <v>0</v>
      </c>
      <c r="M129" s="207">
        <f>SUMIFS('март 2023'!$G$4:$G$582,'март 2023'!$D$4:$D$582,$B129,'март 2023'!$J$4:$J$582,M$1)</f>
        <v>0</v>
      </c>
      <c r="N129" s="207">
        <f>SUMIFS('март 2023'!$G$4:$G$582,'март 2023'!$D$4:$D$582,$B129,'март 2023'!$J$4:$J$582,N$1)</f>
        <v>0</v>
      </c>
      <c r="O129" s="207">
        <f>SUMIFS('март 2023'!$G$4:$G$582,'март 2023'!$D$4:$D$582,$B129,'март 2023'!$J$4:$J$582,O$1)</f>
        <v>0</v>
      </c>
      <c r="P129" s="207">
        <f>SUMIFS('март 2023'!$G$4:$G$582,'март 2023'!$D$4:$D$582,$B129,'март 2023'!$J$4:$J$582,P$1)</f>
        <v>0</v>
      </c>
      <c r="Q129" s="207">
        <f>SUMIFS('март 2023'!$G$4:$G$582,'март 2023'!$D$4:$D$582,$B129,'март 2023'!$J$4:$J$582,Q$1)</f>
        <v>0</v>
      </c>
      <c r="R129" s="207">
        <f>SUMIFS('март 2023'!$G$4:$G$582,'март 2023'!$D$4:$D$582,$B129,'март 2023'!$J$4:$J$582,R$1)</f>
        <v>0</v>
      </c>
      <c r="S129" s="207">
        <f>SUMIFS('март 2023'!$G$4:$G$582,'март 2023'!$D$4:$D$582,$B129,'март 2023'!$J$4:$J$582,S$1)</f>
        <v>0</v>
      </c>
      <c r="T129" s="207">
        <f>SUMIFS('март 2023'!$G$4:$G$582,'март 2023'!$D$4:$D$582,$B129,'март 2023'!$J$4:$J$582,T$1)</f>
        <v>0</v>
      </c>
      <c r="U129" s="207">
        <f>SUMIFS('март 2023'!$G$4:$G$582,'март 2023'!$D$4:$D$582,$B129,'март 2023'!$J$4:$J$582,U$1)</f>
        <v>0</v>
      </c>
      <c r="V129" s="207">
        <f>SUMIFS('март 2023'!$G$4:$G$582,'март 2023'!$D$4:$D$582,$B129,'март 2023'!$J$4:$J$582,V$1)</f>
        <v>0</v>
      </c>
      <c r="W129" s="207">
        <f>SUMIFS('март 2023'!$G$4:$G$582,'март 2023'!$D$4:$D$582,$B129,'март 2023'!$J$4:$J$582,W$1)</f>
        <v>0</v>
      </c>
      <c r="X129" s="207">
        <f>SUMIFS('март 2023'!$G$4:$G$582,'март 2023'!$D$4:$D$582,$B129,'март 2023'!$J$4:$J$582,X$1)</f>
        <v>0</v>
      </c>
      <c r="Y129" s="207">
        <f>SUMIFS('март 2023'!$G$4:$G$582,'март 2023'!$D$4:$D$582,$B129,'март 2023'!$J$4:$J$582,Y$1)</f>
        <v>0</v>
      </c>
      <c r="Z129" s="207">
        <f>SUMIFS('март 2023'!$G$4:$G$582,'март 2023'!$D$4:$D$582,$B129,'март 2023'!$J$4:$J$582,Z$1)</f>
        <v>0</v>
      </c>
      <c r="AA129" s="207">
        <f>SUMIFS('март 2023'!$G$4:$G$582,'март 2023'!$D$4:$D$582,$B129,'март 2023'!$J$4:$J$582,AA$1)</f>
        <v>0</v>
      </c>
      <c r="AB129" s="207">
        <f>SUMIFS('март 2023'!$G$4:$G$582,'март 2023'!$D$4:$D$582,$B129,'март 2023'!$J$4:$J$582,AB$1)</f>
        <v>0</v>
      </c>
      <c r="AC129" s="207">
        <f>SUMIFS('март 2023'!$G$4:$G$582,'март 2023'!$D$4:$D$582,$B129,'март 2023'!$J$4:$J$582,AC$1)</f>
        <v>0</v>
      </c>
      <c r="AD129" s="207">
        <f>SUMIFS('март 2023'!$G$4:$G$582,'март 2023'!$D$4:$D$582,$B129,'март 2023'!$J$4:$J$582,AD$1)</f>
        <v>0</v>
      </c>
      <c r="AE129" s="207">
        <f>SUMIFS('март 2023'!$G$4:$G$582,'март 2023'!$D$4:$D$582,$B129,'март 2023'!$J$4:$J$582,AE$1)</f>
        <v>0</v>
      </c>
      <c r="AF129" s="207">
        <f>SUMIFS('март 2023'!$G$4:$G$582,'март 2023'!$D$4:$D$582,$B129,'март 2023'!$J$4:$J$582,AF$1)</f>
        <v>0</v>
      </c>
      <c r="AG129" s="207">
        <f>SUMIFS('март 2023'!$G$4:$G$582,'март 2023'!$D$4:$D$582,$B129,'март 2023'!$J$4:$J$582,AG$1)</f>
        <v>0</v>
      </c>
      <c r="AH129" s="207">
        <f>SUMIFS('март 2023'!$G$4:$G$582,'март 2023'!$D$4:$D$582,$B129,'март 2023'!$J$4:$J$582,AH$1)</f>
        <v>0</v>
      </c>
      <c r="AI129" s="220"/>
    </row>
    <row r="130" spans="2:35" ht="15" hidden="1" customHeight="1" x14ac:dyDescent="0.25">
      <c r="B130" s="212"/>
      <c r="C130" s="211"/>
      <c r="D130" s="207">
        <f>SUMIFS('март 2023'!$G$4:$G$582,'март 2023'!$D$4:$D$582,$B130,'март 2023'!$J$4:$J$582,D$1)</f>
        <v>0</v>
      </c>
      <c r="E130" s="207">
        <f>SUMIFS('март 2023'!$G$4:$G$582,'март 2023'!$D$4:$D$582,$B130,'март 2023'!$J$4:$J$582,E$1)</f>
        <v>0</v>
      </c>
      <c r="F130" s="207">
        <f>SUMIFS('март 2023'!$G$4:$G$582,'март 2023'!$D$4:$D$582,$B130,'март 2023'!$J$4:$J$582,F$1)</f>
        <v>0</v>
      </c>
      <c r="G130" s="207">
        <f>SUMIFS('март 2023'!$G$4:$G$582,'март 2023'!$D$4:$D$582,$B130,'март 2023'!$J$4:$J$582,G$1)</f>
        <v>0</v>
      </c>
      <c r="H130" s="207">
        <f>SUMIFS('март 2023'!$G$4:$G$582,'март 2023'!$D$4:$D$582,$B130,'март 2023'!$J$4:$J$582,H$1)</f>
        <v>0</v>
      </c>
      <c r="I130" s="207">
        <f>SUMIFS('март 2023'!$G$4:$G$582,'март 2023'!$D$4:$D$582,$B130,'март 2023'!$J$4:$J$582,I$1)</f>
        <v>0</v>
      </c>
      <c r="J130" s="207">
        <f>SUMIFS('март 2023'!$G$4:$G$582,'март 2023'!$D$4:$D$582,$B130,'март 2023'!$J$4:$J$582,J$1)</f>
        <v>0</v>
      </c>
      <c r="K130" s="207">
        <f>SUMIFS('март 2023'!$G$4:$G$582,'март 2023'!$D$4:$D$582,$B130,'март 2023'!$J$4:$J$582,K$1)</f>
        <v>0</v>
      </c>
      <c r="L130" s="207">
        <f>SUMIFS('март 2023'!$G$4:$G$582,'март 2023'!$D$4:$D$582,$B130,'март 2023'!$J$4:$J$582,L$1)</f>
        <v>0</v>
      </c>
      <c r="M130" s="207">
        <f>SUMIFS('март 2023'!$G$4:$G$582,'март 2023'!$D$4:$D$582,$B130,'март 2023'!$J$4:$J$582,M$1)</f>
        <v>0</v>
      </c>
      <c r="N130" s="207">
        <f>SUMIFS('март 2023'!$G$4:$G$582,'март 2023'!$D$4:$D$582,$B130,'март 2023'!$J$4:$J$582,N$1)</f>
        <v>0</v>
      </c>
      <c r="O130" s="207">
        <f>SUMIFS('март 2023'!$G$4:$G$582,'март 2023'!$D$4:$D$582,$B130,'март 2023'!$J$4:$J$582,O$1)</f>
        <v>0</v>
      </c>
      <c r="P130" s="207">
        <f>SUMIFS('март 2023'!$G$4:$G$582,'март 2023'!$D$4:$D$582,$B130,'март 2023'!$J$4:$J$582,P$1)</f>
        <v>0</v>
      </c>
      <c r="Q130" s="207">
        <f>SUMIFS('март 2023'!$G$4:$G$582,'март 2023'!$D$4:$D$582,$B130,'март 2023'!$J$4:$J$582,Q$1)</f>
        <v>0</v>
      </c>
      <c r="R130" s="207">
        <f>SUMIFS('март 2023'!$G$4:$G$582,'март 2023'!$D$4:$D$582,$B130,'март 2023'!$J$4:$J$582,R$1)</f>
        <v>0</v>
      </c>
      <c r="S130" s="207">
        <f>SUMIFS('март 2023'!$G$4:$G$582,'март 2023'!$D$4:$D$582,$B130,'март 2023'!$J$4:$J$582,S$1)</f>
        <v>0</v>
      </c>
      <c r="T130" s="207">
        <f>SUMIFS('март 2023'!$G$4:$G$582,'март 2023'!$D$4:$D$582,$B130,'март 2023'!$J$4:$J$582,T$1)</f>
        <v>0</v>
      </c>
      <c r="U130" s="207">
        <f>SUMIFS('март 2023'!$G$4:$G$582,'март 2023'!$D$4:$D$582,$B130,'март 2023'!$J$4:$J$582,U$1)</f>
        <v>0</v>
      </c>
      <c r="V130" s="207">
        <f>SUMIFS('март 2023'!$G$4:$G$582,'март 2023'!$D$4:$D$582,$B130,'март 2023'!$J$4:$J$582,V$1)</f>
        <v>0</v>
      </c>
      <c r="W130" s="207">
        <f>SUMIFS('март 2023'!$G$4:$G$582,'март 2023'!$D$4:$D$582,$B130,'март 2023'!$J$4:$J$582,W$1)</f>
        <v>0</v>
      </c>
      <c r="X130" s="207">
        <f>SUMIFS('март 2023'!$G$4:$G$582,'март 2023'!$D$4:$D$582,$B130,'март 2023'!$J$4:$J$582,X$1)</f>
        <v>0</v>
      </c>
      <c r="Y130" s="207">
        <f>SUMIFS('март 2023'!$G$4:$G$582,'март 2023'!$D$4:$D$582,$B130,'март 2023'!$J$4:$J$582,Y$1)</f>
        <v>0</v>
      </c>
      <c r="Z130" s="207">
        <f>SUMIFS('март 2023'!$G$4:$G$582,'март 2023'!$D$4:$D$582,$B130,'март 2023'!$J$4:$J$582,Z$1)</f>
        <v>0</v>
      </c>
      <c r="AA130" s="207">
        <f>SUMIFS('март 2023'!$G$4:$G$582,'март 2023'!$D$4:$D$582,$B130,'март 2023'!$J$4:$J$582,AA$1)</f>
        <v>0</v>
      </c>
      <c r="AB130" s="207">
        <f>SUMIFS('март 2023'!$G$4:$G$582,'март 2023'!$D$4:$D$582,$B130,'март 2023'!$J$4:$J$582,AB$1)</f>
        <v>0</v>
      </c>
      <c r="AC130" s="207">
        <f>SUMIFS('март 2023'!$G$4:$G$582,'март 2023'!$D$4:$D$582,$B130,'март 2023'!$J$4:$J$582,AC$1)</f>
        <v>0</v>
      </c>
      <c r="AD130" s="207">
        <f>SUMIFS('март 2023'!$G$4:$G$582,'март 2023'!$D$4:$D$582,$B130,'март 2023'!$J$4:$J$582,AD$1)</f>
        <v>0</v>
      </c>
      <c r="AE130" s="207">
        <f>SUMIFS('март 2023'!$G$4:$G$582,'март 2023'!$D$4:$D$582,$B130,'март 2023'!$J$4:$J$582,AE$1)</f>
        <v>0</v>
      </c>
      <c r="AF130" s="207">
        <f>SUMIFS('март 2023'!$G$4:$G$582,'март 2023'!$D$4:$D$582,$B130,'март 2023'!$J$4:$J$582,AF$1)</f>
        <v>0</v>
      </c>
      <c r="AG130" s="207">
        <f>SUMIFS('март 2023'!$G$4:$G$582,'март 2023'!$D$4:$D$582,$B130,'март 2023'!$J$4:$J$582,AG$1)</f>
        <v>0</v>
      </c>
      <c r="AH130" s="207">
        <f>SUMIFS('март 2023'!$G$4:$G$582,'март 2023'!$D$4:$D$582,$B130,'март 2023'!$J$4:$J$582,AH$1)</f>
        <v>0</v>
      </c>
      <c r="AI130" s="220">
        <f t="shared" si="2"/>
        <v>0</v>
      </c>
    </row>
    <row r="131" spans="2:35" ht="15" hidden="1" customHeight="1" x14ac:dyDescent="0.25">
      <c r="B131" s="212"/>
      <c r="C131" s="211"/>
      <c r="D131" s="207">
        <f>SUMIFS('март 2023'!$G$4:$G$582,'март 2023'!$D$4:$D$582,$B131,'март 2023'!$J$4:$J$582,D$1)</f>
        <v>0</v>
      </c>
      <c r="E131" s="207">
        <f>SUMIFS('март 2023'!$G$4:$G$582,'март 2023'!$D$4:$D$582,$B131,'март 2023'!$J$4:$J$582,E$1)</f>
        <v>0</v>
      </c>
      <c r="F131" s="207">
        <f>SUMIFS('март 2023'!$G$4:$G$582,'март 2023'!$D$4:$D$582,$B131,'март 2023'!$J$4:$J$582,F$1)</f>
        <v>0</v>
      </c>
      <c r="G131" s="207">
        <f>SUMIFS('март 2023'!$G$4:$G$582,'март 2023'!$D$4:$D$582,$B131,'март 2023'!$J$4:$J$582,G$1)</f>
        <v>0</v>
      </c>
      <c r="H131" s="207">
        <f>SUMIFS('март 2023'!$G$4:$G$582,'март 2023'!$D$4:$D$582,$B131,'март 2023'!$J$4:$J$582,H$1)</f>
        <v>0</v>
      </c>
      <c r="I131" s="207">
        <f>SUMIFS('март 2023'!$G$4:$G$582,'март 2023'!$D$4:$D$582,$B131,'март 2023'!$J$4:$J$582,I$1)</f>
        <v>0</v>
      </c>
      <c r="J131" s="207">
        <f>SUMIFS('март 2023'!$G$4:$G$582,'март 2023'!$D$4:$D$582,$B131,'март 2023'!$J$4:$J$582,J$1)</f>
        <v>0</v>
      </c>
      <c r="K131" s="207">
        <f>SUMIFS('март 2023'!$G$4:$G$582,'март 2023'!$D$4:$D$582,$B131,'март 2023'!$J$4:$J$582,K$1)</f>
        <v>0</v>
      </c>
      <c r="L131" s="207">
        <f>SUMIFS('март 2023'!$G$4:$G$582,'март 2023'!$D$4:$D$582,$B131,'март 2023'!$J$4:$J$582,L$1)</f>
        <v>0</v>
      </c>
      <c r="M131" s="207">
        <f>SUMIFS('март 2023'!$G$4:$G$582,'март 2023'!$D$4:$D$582,$B131,'март 2023'!$J$4:$J$582,M$1)</f>
        <v>0</v>
      </c>
      <c r="N131" s="207">
        <f>SUMIFS('март 2023'!$G$4:$G$582,'март 2023'!$D$4:$D$582,$B131,'март 2023'!$J$4:$J$582,N$1)</f>
        <v>0</v>
      </c>
      <c r="O131" s="207">
        <f>SUMIFS('март 2023'!$G$4:$G$582,'март 2023'!$D$4:$D$582,$B131,'март 2023'!$J$4:$J$582,O$1)</f>
        <v>0</v>
      </c>
      <c r="P131" s="207">
        <f>SUMIFS('март 2023'!$G$4:$G$582,'март 2023'!$D$4:$D$582,$B131,'март 2023'!$J$4:$J$582,P$1)</f>
        <v>0</v>
      </c>
      <c r="Q131" s="207">
        <f>SUMIFS('март 2023'!$G$4:$G$582,'март 2023'!$D$4:$D$582,$B131,'март 2023'!$J$4:$J$582,Q$1)</f>
        <v>0</v>
      </c>
      <c r="R131" s="207">
        <f>SUMIFS('март 2023'!$G$4:$G$582,'март 2023'!$D$4:$D$582,$B131,'март 2023'!$J$4:$J$582,R$1)</f>
        <v>0</v>
      </c>
      <c r="S131" s="207">
        <f>SUMIFS('март 2023'!$G$4:$G$582,'март 2023'!$D$4:$D$582,$B131,'март 2023'!$J$4:$J$582,S$1)</f>
        <v>0</v>
      </c>
      <c r="T131" s="207">
        <f>SUMIFS('март 2023'!$G$4:$G$582,'март 2023'!$D$4:$D$582,$B131,'март 2023'!$J$4:$J$582,T$1)</f>
        <v>0</v>
      </c>
      <c r="U131" s="207">
        <f>SUMIFS('март 2023'!$G$4:$G$582,'март 2023'!$D$4:$D$582,$B131,'март 2023'!$J$4:$J$582,U$1)</f>
        <v>0</v>
      </c>
      <c r="V131" s="207">
        <f>SUMIFS('март 2023'!$G$4:$G$582,'март 2023'!$D$4:$D$582,$B131,'март 2023'!$J$4:$J$582,V$1)</f>
        <v>0</v>
      </c>
      <c r="W131" s="207">
        <f>SUMIFS('март 2023'!$G$4:$G$582,'март 2023'!$D$4:$D$582,$B131,'март 2023'!$J$4:$J$582,W$1)</f>
        <v>0</v>
      </c>
      <c r="X131" s="207">
        <f>SUMIFS('март 2023'!$G$4:$G$582,'март 2023'!$D$4:$D$582,$B131,'март 2023'!$J$4:$J$582,X$1)</f>
        <v>0</v>
      </c>
      <c r="Y131" s="207">
        <f>SUMIFS('март 2023'!$G$4:$G$582,'март 2023'!$D$4:$D$582,$B131,'март 2023'!$J$4:$J$582,Y$1)</f>
        <v>0</v>
      </c>
      <c r="Z131" s="207">
        <f>SUMIFS('март 2023'!$G$4:$G$582,'март 2023'!$D$4:$D$582,$B131,'март 2023'!$J$4:$J$582,Z$1)</f>
        <v>0</v>
      </c>
      <c r="AA131" s="207">
        <f>SUMIFS('март 2023'!$G$4:$G$582,'март 2023'!$D$4:$D$582,$B131,'март 2023'!$J$4:$J$582,AA$1)</f>
        <v>0</v>
      </c>
      <c r="AB131" s="207">
        <f>SUMIFS('март 2023'!$G$4:$G$582,'март 2023'!$D$4:$D$582,$B131,'март 2023'!$J$4:$J$582,AB$1)</f>
        <v>0</v>
      </c>
      <c r="AC131" s="207">
        <f>SUMIFS('март 2023'!$G$4:$G$582,'март 2023'!$D$4:$D$582,$B131,'март 2023'!$J$4:$J$582,AC$1)</f>
        <v>0</v>
      </c>
      <c r="AD131" s="207">
        <f>SUMIFS('март 2023'!$G$4:$G$582,'март 2023'!$D$4:$D$582,$B131,'март 2023'!$J$4:$J$582,AD$1)</f>
        <v>0</v>
      </c>
      <c r="AE131" s="207">
        <f>SUMIFS('март 2023'!$G$4:$G$582,'март 2023'!$D$4:$D$582,$B131,'март 2023'!$J$4:$J$582,AE$1)</f>
        <v>0</v>
      </c>
      <c r="AF131" s="207">
        <f>SUMIFS('март 2023'!$G$4:$G$582,'март 2023'!$D$4:$D$582,$B131,'март 2023'!$J$4:$J$582,AF$1)</f>
        <v>0</v>
      </c>
      <c r="AG131" s="207">
        <f>SUMIFS('март 2023'!$G$4:$G$582,'март 2023'!$D$4:$D$582,$B131,'март 2023'!$J$4:$J$582,AG$1)</f>
        <v>0</v>
      </c>
      <c r="AH131" s="207">
        <f>SUMIFS('март 2023'!$G$4:$G$582,'март 2023'!$D$4:$D$582,$B131,'март 2023'!$J$4:$J$582,AH$1)</f>
        <v>0</v>
      </c>
      <c r="AI131" s="220">
        <f t="shared" ref="AI131:AI140" si="4">SUM(D131:AH131)</f>
        <v>0</v>
      </c>
    </row>
    <row r="132" spans="2:35" ht="15" hidden="1" customHeight="1" x14ac:dyDescent="0.25">
      <c r="B132" s="218"/>
      <c r="C132" s="219"/>
      <c r="D132" s="207">
        <f>SUMIFS('март 2023'!$G$4:$G$582,'март 2023'!$D$4:$D$582,$B132,'март 2023'!$J$4:$J$582,D$1)</f>
        <v>0</v>
      </c>
      <c r="E132" s="207">
        <f>SUMIFS('март 2023'!$G$4:$G$582,'март 2023'!$D$4:$D$582,$B132,'март 2023'!$J$4:$J$582,E$1)</f>
        <v>0</v>
      </c>
      <c r="F132" s="207">
        <f>SUMIFS('март 2023'!$G$4:$G$582,'март 2023'!$D$4:$D$582,$B132,'март 2023'!$J$4:$J$582,F$1)</f>
        <v>0</v>
      </c>
      <c r="G132" s="207">
        <f>SUMIFS('март 2023'!$G$4:$G$582,'март 2023'!$D$4:$D$582,$B132,'март 2023'!$J$4:$J$582,G$1)</f>
        <v>0</v>
      </c>
      <c r="H132" s="207">
        <f>SUMIFS('март 2023'!$G$4:$G$582,'март 2023'!$D$4:$D$582,$B132,'март 2023'!$J$4:$J$582,H$1)</f>
        <v>0</v>
      </c>
      <c r="I132" s="207">
        <f>SUMIFS('март 2023'!$G$4:$G$582,'март 2023'!$D$4:$D$582,$B132,'март 2023'!$J$4:$J$582,I$1)</f>
        <v>0</v>
      </c>
      <c r="J132" s="207">
        <f>SUMIFS('март 2023'!$G$4:$G$582,'март 2023'!$D$4:$D$582,$B132,'март 2023'!$J$4:$J$582,J$1)</f>
        <v>0</v>
      </c>
      <c r="K132" s="207">
        <f>SUMIFS('март 2023'!$G$4:$G$582,'март 2023'!$D$4:$D$582,$B132,'март 2023'!$J$4:$J$582,K$1)</f>
        <v>0</v>
      </c>
      <c r="L132" s="207">
        <f>SUMIFS('март 2023'!$G$4:$G$582,'март 2023'!$D$4:$D$582,$B132,'март 2023'!$J$4:$J$582,L$1)</f>
        <v>0</v>
      </c>
      <c r="M132" s="207">
        <f>SUMIFS('март 2023'!$G$4:$G$582,'март 2023'!$D$4:$D$582,$B132,'март 2023'!$J$4:$J$582,M$1)</f>
        <v>0</v>
      </c>
      <c r="N132" s="207">
        <f>SUMIFS('март 2023'!$G$4:$G$582,'март 2023'!$D$4:$D$582,$B132,'март 2023'!$J$4:$J$582,N$1)</f>
        <v>0</v>
      </c>
      <c r="O132" s="207">
        <f>SUMIFS('март 2023'!$G$4:$G$582,'март 2023'!$D$4:$D$582,$B132,'март 2023'!$J$4:$J$582,O$1)</f>
        <v>0</v>
      </c>
      <c r="P132" s="207">
        <f>SUMIFS('март 2023'!$G$4:$G$582,'март 2023'!$D$4:$D$582,$B132,'март 2023'!$J$4:$J$582,P$1)</f>
        <v>0</v>
      </c>
      <c r="Q132" s="207">
        <f>SUMIFS('март 2023'!$G$4:$G$582,'март 2023'!$D$4:$D$582,$B132,'март 2023'!$J$4:$J$582,Q$1)</f>
        <v>0</v>
      </c>
      <c r="R132" s="207">
        <f>SUMIFS('март 2023'!$G$4:$G$582,'март 2023'!$D$4:$D$582,$B132,'март 2023'!$J$4:$J$582,R$1)</f>
        <v>0</v>
      </c>
      <c r="S132" s="207">
        <f>SUMIFS('март 2023'!$G$4:$G$582,'март 2023'!$D$4:$D$582,$B132,'март 2023'!$J$4:$J$582,S$1)</f>
        <v>0</v>
      </c>
      <c r="T132" s="207">
        <f>SUMIFS('март 2023'!$G$4:$G$582,'март 2023'!$D$4:$D$582,$B132,'март 2023'!$J$4:$J$582,T$1)</f>
        <v>0</v>
      </c>
      <c r="U132" s="207">
        <f>SUMIFS('март 2023'!$G$4:$G$582,'март 2023'!$D$4:$D$582,$B132,'март 2023'!$J$4:$J$582,U$1)</f>
        <v>0</v>
      </c>
      <c r="V132" s="207">
        <f>SUMIFS('март 2023'!$G$4:$G$582,'март 2023'!$D$4:$D$582,$B132,'март 2023'!$J$4:$J$582,V$1)</f>
        <v>0</v>
      </c>
      <c r="W132" s="207">
        <f>SUMIFS('март 2023'!$G$4:$G$582,'март 2023'!$D$4:$D$582,$B132,'март 2023'!$J$4:$J$582,W$1)</f>
        <v>0</v>
      </c>
      <c r="X132" s="207">
        <f>SUMIFS('март 2023'!$G$4:$G$582,'март 2023'!$D$4:$D$582,$B132,'март 2023'!$J$4:$J$582,X$1)</f>
        <v>0</v>
      </c>
      <c r="Y132" s="207">
        <f>SUMIFS('март 2023'!$G$4:$G$582,'март 2023'!$D$4:$D$582,$B132,'март 2023'!$J$4:$J$582,Y$1)</f>
        <v>0</v>
      </c>
      <c r="Z132" s="207">
        <f>SUMIFS('март 2023'!$G$4:$G$582,'март 2023'!$D$4:$D$582,$B132,'март 2023'!$J$4:$J$582,Z$1)</f>
        <v>0</v>
      </c>
      <c r="AA132" s="207">
        <f>SUMIFS('март 2023'!$G$4:$G$582,'март 2023'!$D$4:$D$582,$B132,'март 2023'!$J$4:$J$582,AA$1)</f>
        <v>0</v>
      </c>
      <c r="AB132" s="207">
        <f>SUMIFS('март 2023'!$G$4:$G$582,'март 2023'!$D$4:$D$582,$B132,'март 2023'!$J$4:$J$582,AB$1)</f>
        <v>0</v>
      </c>
      <c r="AC132" s="207">
        <f>SUMIFS('март 2023'!$G$4:$G$582,'март 2023'!$D$4:$D$582,$B132,'март 2023'!$J$4:$J$582,AC$1)</f>
        <v>0</v>
      </c>
      <c r="AD132" s="207">
        <f>SUMIFS('март 2023'!$G$4:$G$582,'март 2023'!$D$4:$D$582,$B132,'март 2023'!$J$4:$J$582,AD$1)</f>
        <v>0</v>
      </c>
      <c r="AE132" s="207">
        <f>SUMIFS('март 2023'!$G$4:$G$582,'март 2023'!$D$4:$D$582,$B132,'март 2023'!$J$4:$J$582,AE$1)</f>
        <v>0</v>
      </c>
      <c r="AF132" s="207">
        <f>SUMIFS('март 2023'!$G$4:$G$582,'март 2023'!$D$4:$D$582,$B132,'март 2023'!$J$4:$J$582,AF$1)</f>
        <v>0</v>
      </c>
      <c r="AG132" s="207">
        <f>SUMIFS('март 2023'!$G$4:$G$582,'март 2023'!$D$4:$D$582,$B132,'март 2023'!$J$4:$J$582,AG$1)</f>
        <v>0</v>
      </c>
      <c r="AH132" s="207">
        <f>SUMIFS('март 2023'!$G$4:$G$582,'март 2023'!$D$4:$D$582,$B132,'март 2023'!$J$4:$J$582,AH$1)</f>
        <v>0</v>
      </c>
      <c r="AI132" s="220">
        <f t="shared" si="4"/>
        <v>0</v>
      </c>
    </row>
    <row r="133" spans="2:35" ht="15" hidden="1" customHeight="1" x14ac:dyDescent="0.25">
      <c r="B133" s="212"/>
      <c r="C133" s="213"/>
      <c r="D133" s="207">
        <f>SUMIFS('март 2023'!$G$4:$G$582,'март 2023'!$D$4:$D$582,$B133,'март 2023'!$J$4:$J$582,D$1)</f>
        <v>0</v>
      </c>
      <c r="E133" s="207">
        <f>SUMIFS('март 2023'!$G$4:$G$582,'март 2023'!$D$4:$D$582,$B133,'март 2023'!$J$4:$J$582,E$1)</f>
        <v>0</v>
      </c>
      <c r="F133" s="207">
        <f>SUMIFS('март 2023'!$G$4:$G$582,'март 2023'!$D$4:$D$582,$B133,'март 2023'!$J$4:$J$582,F$1)</f>
        <v>0</v>
      </c>
      <c r="G133" s="207">
        <f>SUMIFS('март 2023'!$G$4:$G$582,'март 2023'!$D$4:$D$582,$B133,'март 2023'!$J$4:$J$582,G$1)</f>
        <v>0</v>
      </c>
      <c r="H133" s="207">
        <f>SUMIFS('март 2023'!$G$4:$G$582,'март 2023'!$D$4:$D$582,$B133,'март 2023'!$J$4:$J$582,H$1)</f>
        <v>0</v>
      </c>
      <c r="I133" s="207">
        <f>SUMIFS('март 2023'!$G$4:$G$582,'март 2023'!$D$4:$D$582,$B133,'март 2023'!$J$4:$J$582,I$1)</f>
        <v>0</v>
      </c>
      <c r="J133" s="207">
        <f>SUMIFS('март 2023'!$G$4:$G$582,'март 2023'!$D$4:$D$582,$B133,'март 2023'!$J$4:$J$582,J$1)</f>
        <v>0</v>
      </c>
      <c r="K133" s="207">
        <f>SUMIFS('март 2023'!$G$4:$G$582,'март 2023'!$D$4:$D$582,$B133,'март 2023'!$J$4:$J$582,K$1)</f>
        <v>0</v>
      </c>
      <c r="L133" s="207">
        <f>SUMIFS('март 2023'!$G$4:$G$582,'март 2023'!$D$4:$D$582,$B133,'март 2023'!$J$4:$J$582,L$1)</f>
        <v>0</v>
      </c>
      <c r="M133" s="207">
        <f>SUMIFS('март 2023'!$G$4:$G$582,'март 2023'!$D$4:$D$582,$B133,'март 2023'!$J$4:$J$582,M$1)</f>
        <v>0</v>
      </c>
      <c r="N133" s="207">
        <f>SUMIFS('март 2023'!$G$4:$G$582,'март 2023'!$D$4:$D$582,$B133,'март 2023'!$J$4:$J$582,N$1)</f>
        <v>0</v>
      </c>
      <c r="O133" s="207">
        <f>SUMIFS('март 2023'!$G$4:$G$582,'март 2023'!$D$4:$D$582,$B133,'март 2023'!$J$4:$J$582,O$1)</f>
        <v>0</v>
      </c>
      <c r="P133" s="207">
        <f>SUMIFS('март 2023'!$G$4:$G$582,'март 2023'!$D$4:$D$582,$B133,'март 2023'!$J$4:$J$582,P$1)</f>
        <v>0</v>
      </c>
      <c r="Q133" s="207">
        <f>SUMIFS('март 2023'!$G$4:$G$582,'март 2023'!$D$4:$D$582,$B133,'март 2023'!$J$4:$J$582,Q$1)</f>
        <v>0</v>
      </c>
      <c r="R133" s="207">
        <f>SUMIFS('март 2023'!$G$4:$G$582,'март 2023'!$D$4:$D$582,$B133,'март 2023'!$J$4:$J$582,R$1)</f>
        <v>0</v>
      </c>
      <c r="S133" s="207">
        <f>SUMIFS('март 2023'!$G$4:$G$582,'март 2023'!$D$4:$D$582,$B133,'март 2023'!$J$4:$J$582,S$1)</f>
        <v>0</v>
      </c>
      <c r="T133" s="207">
        <f>SUMIFS('март 2023'!$G$4:$G$582,'март 2023'!$D$4:$D$582,$B133,'март 2023'!$J$4:$J$582,T$1)</f>
        <v>0</v>
      </c>
      <c r="U133" s="207">
        <f>SUMIFS('март 2023'!$G$4:$G$582,'март 2023'!$D$4:$D$582,$B133,'март 2023'!$J$4:$J$582,U$1)</f>
        <v>0</v>
      </c>
      <c r="V133" s="207">
        <f>SUMIFS('март 2023'!$G$4:$G$582,'март 2023'!$D$4:$D$582,$B133,'март 2023'!$J$4:$J$582,V$1)</f>
        <v>0</v>
      </c>
      <c r="W133" s="207">
        <f>SUMIFS('март 2023'!$G$4:$G$582,'март 2023'!$D$4:$D$582,$B133,'март 2023'!$J$4:$J$582,W$1)</f>
        <v>0</v>
      </c>
      <c r="X133" s="207">
        <f>SUMIFS('март 2023'!$G$4:$G$582,'март 2023'!$D$4:$D$582,$B133,'март 2023'!$J$4:$J$582,X$1)</f>
        <v>0</v>
      </c>
      <c r="Y133" s="207">
        <f>SUMIFS('март 2023'!$G$4:$G$582,'март 2023'!$D$4:$D$582,$B133,'март 2023'!$J$4:$J$582,Y$1)</f>
        <v>0</v>
      </c>
      <c r="Z133" s="207">
        <f>SUMIFS('март 2023'!$G$4:$G$582,'март 2023'!$D$4:$D$582,$B133,'март 2023'!$J$4:$J$582,Z$1)</f>
        <v>0</v>
      </c>
      <c r="AA133" s="207">
        <f>SUMIFS('март 2023'!$G$4:$G$582,'март 2023'!$D$4:$D$582,$B133,'март 2023'!$J$4:$J$582,AA$1)</f>
        <v>0</v>
      </c>
      <c r="AB133" s="207">
        <f>SUMIFS('март 2023'!$G$4:$G$582,'март 2023'!$D$4:$D$582,$B133,'март 2023'!$J$4:$J$582,AB$1)</f>
        <v>0</v>
      </c>
      <c r="AC133" s="207">
        <f>SUMIFS('март 2023'!$G$4:$G$582,'март 2023'!$D$4:$D$582,$B133,'март 2023'!$J$4:$J$582,AC$1)</f>
        <v>0</v>
      </c>
      <c r="AD133" s="207">
        <f>SUMIFS('март 2023'!$G$4:$G$582,'март 2023'!$D$4:$D$582,$B133,'март 2023'!$J$4:$J$582,AD$1)</f>
        <v>0</v>
      </c>
      <c r="AE133" s="207">
        <f>SUMIFS('март 2023'!$G$4:$G$582,'март 2023'!$D$4:$D$582,$B133,'март 2023'!$J$4:$J$582,AE$1)</f>
        <v>0</v>
      </c>
      <c r="AF133" s="207">
        <f>SUMIFS('март 2023'!$G$4:$G$582,'март 2023'!$D$4:$D$582,$B133,'март 2023'!$J$4:$J$582,AF$1)</f>
        <v>0</v>
      </c>
      <c r="AG133" s="207">
        <f>SUMIFS('март 2023'!$G$4:$G$582,'март 2023'!$D$4:$D$582,$B133,'март 2023'!$J$4:$J$582,AG$1)</f>
        <v>0</v>
      </c>
      <c r="AH133" s="207">
        <f>SUMIFS('март 2023'!$G$4:$G$582,'март 2023'!$D$4:$D$582,$B133,'март 2023'!$J$4:$J$582,AH$1)</f>
        <v>0</v>
      </c>
      <c r="AI133" s="220">
        <f t="shared" si="4"/>
        <v>0</v>
      </c>
    </row>
    <row r="134" spans="2:35" ht="15" hidden="1" customHeight="1" x14ac:dyDescent="0.25">
      <c r="B134" s="212"/>
      <c r="C134" s="211"/>
      <c r="D134" s="207">
        <f>SUMIFS('март 2023'!$G$4:$G$582,'март 2023'!$D$4:$D$582,$B134,'март 2023'!$J$4:$J$582,D$1)</f>
        <v>0</v>
      </c>
      <c r="E134" s="207">
        <f>SUMIFS('март 2023'!$G$4:$G$582,'март 2023'!$D$4:$D$582,$B134,'март 2023'!$J$4:$J$582,E$1)</f>
        <v>0</v>
      </c>
      <c r="F134" s="207">
        <f>SUMIFS('март 2023'!$G$4:$G$582,'март 2023'!$D$4:$D$582,$B134,'март 2023'!$J$4:$J$582,F$1)</f>
        <v>0</v>
      </c>
      <c r="G134" s="207">
        <f>SUMIFS('март 2023'!$G$4:$G$582,'март 2023'!$D$4:$D$582,$B134,'март 2023'!$J$4:$J$582,G$1)</f>
        <v>0</v>
      </c>
      <c r="H134" s="207">
        <f>SUMIFS('март 2023'!$G$4:$G$582,'март 2023'!$D$4:$D$582,$B134,'март 2023'!$J$4:$J$582,H$1)</f>
        <v>0</v>
      </c>
      <c r="I134" s="207">
        <f>SUMIFS('март 2023'!$G$4:$G$582,'март 2023'!$D$4:$D$582,$B134,'март 2023'!$J$4:$J$582,I$1)</f>
        <v>0</v>
      </c>
      <c r="J134" s="207">
        <f>SUMIFS('март 2023'!$G$4:$G$582,'март 2023'!$D$4:$D$582,$B134,'март 2023'!$J$4:$J$582,J$1)</f>
        <v>0</v>
      </c>
      <c r="K134" s="207">
        <f>SUMIFS('март 2023'!$G$4:$G$582,'март 2023'!$D$4:$D$582,$B134,'март 2023'!$J$4:$J$582,K$1)</f>
        <v>0</v>
      </c>
      <c r="L134" s="207">
        <f>SUMIFS('март 2023'!$G$4:$G$582,'март 2023'!$D$4:$D$582,$B134,'март 2023'!$J$4:$J$582,L$1)</f>
        <v>0</v>
      </c>
      <c r="M134" s="207">
        <f>SUMIFS('март 2023'!$G$4:$G$582,'март 2023'!$D$4:$D$582,$B134,'март 2023'!$J$4:$J$582,M$1)</f>
        <v>0</v>
      </c>
      <c r="N134" s="207">
        <f>SUMIFS('март 2023'!$G$4:$G$582,'март 2023'!$D$4:$D$582,$B134,'март 2023'!$J$4:$J$582,N$1)</f>
        <v>0</v>
      </c>
      <c r="O134" s="207">
        <f>SUMIFS('март 2023'!$G$4:$G$582,'март 2023'!$D$4:$D$582,$B134,'март 2023'!$J$4:$J$582,O$1)</f>
        <v>0</v>
      </c>
      <c r="P134" s="207">
        <f>SUMIFS('март 2023'!$G$4:$G$582,'март 2023'!$D$4:$D$582,$B134,'март 2023'!$J$4:$J$582,P$1)</f>
        <v>0</v>
      </c>
      <c r="Q134" s="207">
        <f>SUMIFS('март 2023'!$G$4:$G$582,'март 2023'!$D$4:$D$582,$B134,'март 2023'!$J$4:$J$582,Q$1)</f>
        <v>0</v>
      </c>
      <c r="R134" s="207">
        <f>SUMIFS('март 2023'!$G$4:$G$582,'март 2023'!$D$4:$D$582,$B134,'март 2023'!$J$4:$J$582,R$1)</f>
        <v>0</v>
      </c>
      <c r="S134" s="207">
        <f>SUMIFS('март 2023'!$G$4:$G$582,'март 2023'!$D$4:$D$582,$B134,'март 2023'!$J$4:$J$582,S$1)</f>
        <v>0</v>
      </c>
      <c r="T134" s="207">
        <f>SUMIFS('март 2023'!$G$4:$G$582,'март 2023'!$D$4:$D$582,$B134,'март 2023'!$J$4:$J$582,T$1)</f>
        <v>0</v>
      </c>
      <c r="U134" s="207">
        <f>SUMIFS('март 2023'!$G$4:$G$582,'март 2023'!$D$4:$D$582,$B134,'март 2023'!$J$4:$J$582,U$1)</f>
        <v>0</v>
      </c>
      <c r="V134" s="207">
        <f>SUMIFS('март 2023'!$G$4:$G$582,'март 2023'!$D$4:$D$582,$B134,'март 2023'!$J$4:$J$582,V$1)</f>
        <v>0</v>
      </c>
      <c r="W134" s="207">
        <f>SUMIFS('март 2023'!$G$4:$G$582,'март 2023'!$D$4:$D$582,$B134,'март 2023'!$J$4:$J$582,W$1)</f>
        <v>0</v>
      </c>
      <c r="X134" s="207">
        <f>SUMIFS('март 2023'!$G$4:$G$582,'март 2023'!$D$4:$D$582,$B134,'март 2023'!$J$4:$J$582,X$1)</f>
        <v>0</v>
      </c>
      <c r="Y134" s="207">
        <f>SUMIFS('март 2023'!$G$4:$G$582,'март 2023'!$D$4:$D$582,$B134,'март 2023'!$J$4:$J$582,Y$1)</f>
        <v>0</v>
      </c>
      <c r="Z134" s="207">
        <f>SUMIFS('март 2023'!$G$4:$G$582,'март 2023'!$D$4:$D$582,$B134,'март 2023'!$J$4:$J$582,Z$1)</f>
        <v>0</v>
      </c>
      <c r="AA134" s="207">
        <f>SUMIFS('март 2023'!$G$4:$G$582,'март 2023'!$D$4:$D$582,$B134,'март 2023'!$J$4:$J$582,AA$1)</f>
        <v>0</v>
      </c>
      <c r="AB134" s="207">
        <f>SUMIFS('март 2023'!$G$4:$G$582,'март 2023'!$D$4:$D$582,$B134,'март 2023'!$J$4:$J$582,AB$1)</f>
        <v>0</v>
      </c>
      <c r="AC134" s="207">
        <f>SUMIFS('март 2023'!$G$4:$G$582,'март 2023'!$D$4:$D$582,$B134,'март 2023'!$J$4:$J$582,AC$1)</f>
        <v>0</v>
      </c>
      <c r="AD134" s="207">
        <f>SUMIFS('март 2023'!$G$4:$G$582,'март 2023'!$D$4:$D$582,$B134,'март 2023'!$J$4:$J$582,AD$1)</f>
        <v>0</v>
      </c>
      <c r="AE134" s="207">
        <f>SUMIFS('март 2023'!$G$4:$G$582,'март 2023'!$D$4:$D$582,$B134,'март 2023'!$J$4:$J$582,AE$1)</f>
        <v>0</v>
      </c>
      <c r="AF134" s="207">
        <f>SUMIFS('март 2023'!$G$4:$G$582,'март 2023'!$D$4:$D$582,$B134,'март 2023'!$J$4:$J$582,AF$1)</f>
        <v>0</v>
      </c>
      <c r="AG134" s="207">
        <f>SUMIFS('март 2023'!$G$4:$G$582,'март 2023'!$D$4:$D$582,$B134,'март 2023'!$J$4:$J$582,AG$1)</f>
        <v>0</v>
      </c>
      <c r="AH134" s="207">
        <f>SUMIFS('март 2023'!$G$4:$G$582,'март 2023'!$D$4:$D$582,$B134,'март 2023'!$J$4:$J$582,AH$1)</f>
        <v>0</v>
      </c>
      <c r="AI134" s="220">
        <f t="shared" si="4"/>
        <v>0</v>
      </c>
    </row>
    <row r="135" spans="2:35" ht="15" hidden="1" customHeight="1" x14ac:dyDescent="0.25">
      <c r="B135" s="212"/>
      <c r="C135" s="211"/>
      <c r="D135" s="207">
        <f>SUMIFS('март 2023'!$G$4:$G$582,'март 2023'!$D$4:$D$582,$B135,'март 2023'!$J$4:$J$582,D$1)</f>
        <v>0</v>
      </c>
      <c r="E135" s="207">
        <f>SUMIFS('март 2023'!$G$4:$G$582,'март 2023'!$D$4:$D$582,$B135,'март 2023'!$J$4:$J$582,E$1)</f>
        <v>0</v>
      </c>
      <c r="F135" s="207">
        <f>SUMIFS('март 2023'!$G$4:$G$582,'март 2023'!$D$4:$D$582,$B135,'март 2023'!$J$4:$J$582,F$1)</f>
        <v>0</v>
      </c>
      <c r="G135" s="207">
        <f>SUMIFS('март 2023'!$G$4:$G$582,'март 2023'!$D$4:$D$582,$B135,'март 2023'!$J$4:$J$582,G$1)</f>
        <v>0</v>
      </c>
      <c r="H135" s="207">
        <f>SUMIFS('март 2023'!$G$4:$G$582,'март 2023'!$D$4:$D$582,$B135,'март 2023'!$J$4:$J$582,H$1)</f>
        <v>0</v>
      </c>
      <c r="I135" s="207">
        <f>SUMIFS('март 2023'!$G$4:$G$582,'март 2023'!$D$4:$D$582,$B135,'март 2023'!$J$4:$J$582,I$1)</f>
        <v>0</v>
      </c>
      <c r="J135" s="207">
        <f>SUMIFS('март 2023'!$G$4:$G$582,'март 2023'!$D$4:$D$582,$B135,'март 2023'!$J$4:$J$582,J$1)</f>
        <v>0</v>
      </c>
      <c r="K135" s="207">
        <f>SUMIFS('март 2023'!$G$4:$G$582,'март 2023'!$D$4:$D$582,$B135,'март 2023'!$J$4:$J$582,K$1)</f>
        <v>0</v>
      </c>
      <c r="L135" s="207">
        <f>SUMIFS('март 2023'!$G$4:$G$582,'март 2023'!$D$4:$D$582,$B135,'март 2023'!$J$4:$J$582,L$1)</f>
        <v>0</v>
      </c>
      <c r="M135" s="207">
        <f>SUMIFS('март 2023'!$G$4:$G$582,'март 2023'!$D$4:$D$582,$B135,'март 2023'!$J$4:$J$582,M$1)</f>
        <v>0</v>
      </c>
      <c r="N135" s="207">
        <f>SUMIFS('март 2023'!$G$4:$G$582,'март 2023'!$D$4:$D$582,$B135,'март 2023'!$J$4:$J$582,N$1)</f>
        <v>0</v>
      </c>
      <c r="O135" s="207">
        <f>SUMIFS('март 2023'!$G$4:$G$582,'март 2023'!$D$4:$D$582,$B135,'март 2023'!$J$4:$J$582,O$1)</f>
        <v>0</v>
      </c>
      <c r="P135" s="207">
        <f>SUMIFS('март 2023'!$G$4:$G$582,'март 2023'!$D$4:$D$582,$B135,'март 2023'!$J$4:$J$582,P$1)</f>
        <v>0</v>
      </c>
      <c r="Q135" s="207">
        <f>SUMIFS('март 2023'!$G$4:$G$582,'март 2023'!$D$4:$D$582,$B135,'март 2023'!$J$4:$J$582,Q$1)</f>
        <v>0</v>
      </c>
      <c r="R135" s="207">
        <f>SUMIFS('март 2023'!$G$4:$G$582,'март 2023'!$D$4:$D$582,$B135,'март 2023'!$J$4:$J$582,R$1)</f>
        <v>0</v>
      </c>
      <c r="S135" s="207">
        <f>SUMIFS('март 2023'!$G$4:$G$582,'март 2023'!$D$4:$D$582,$B135,'март 2023'!$J$4:$J$582,S$1)</f>
        <v>0</v>
      </c>
      <c r="T135" s="207">
        <f>SUMIFS('март 2023'!$G$4:$G$582,'март 2023'!$D$4:$D$582,$B135,'март 2023'!$J$4:$J$582,T$1)</f>
        <v>0</v>
      </c>
      <c r="U135" s="207">
        <f>SUMIFS('март 2023'!$G$4:$G$582,'март 2023'!$D$4:$D$582,$B135,'март 2023'!$J$4:$J$582,U$1)</f>
        <v>0</v>
      </c>
      <c r="V135" s="207">
        <f>SUMIFS('март 2023'!$G$4:$G$582,'март 2023'!$D$4:$D$582,$B135,'март 2023'!$J$4:$J$582,V$1)</f>
        <v>0</v>
      </c>
      <c r="W135" s="207">
        <f>SUMIFS('март 2023'!$G$4:$G$582,'март 2023'!$D$4:$D$582,$B135,'март 2023'!$J$4:$J$582,W$1)</f>
        <v>0</v>
      </c>
      <c r="X135" s="207">
        <f>SUMIFS('март 2023'!$G$4:$G$582,'март 2023'!$D$4:$D$582,$B135,'март 2023'!$J$4:$J$582,X$1)</f>
        <v>0</v>
      </c>
      <c r="Y135" s="207">
        <f>SUMIFS('март 2023'!$G$4:$G$582,'март 2023'!$D$4:$D$582,$B135,'март 2023'!$J$4:$J$582,Y$1)</f>
        <v>0</v>
      </c>
      <c r="Z135" s="207">
        <f>SUMIFS('март 2023'!$G$4:$G$582,'март 2023'!$D$4:$D$582,$B135,'март 2023'!$J$4:$J$582,Z$1)</f>
        <v>0</v>
      </c>
      <c r="AA135" s="207">
        <f>SUMIFS('март 2023'!$G$4:$G$582,'март 2023'!$D$4:$D$582,$B135,'март 2023'!$J$4:$J$582,AA$1)</f>
        <v>0</v>
      </c>
      <c r="AB135" s="207">
        <f>SUMIFS('март 2023'!$G$4:$G$582,'март 2023'!$D$4:$D$582,$B135,'март 2023'!$J$4:$J$582,AB$1)</f>
        <v>0</v>
      </c>
      <c r="AC135" s="207">
        <f>SUMIFS('март 2023'!$G$4:$G$582,'март 2023'!$D$4:$D$582,$B135,'март 2023'!$J$4:$J$582,AC$1)</f>
        <v>0</v>
      </c>
      <c r="AD135" s="207">
        <f>SUMIFS('март 2023'!$G$4:$G$582,'март 2023'!$D$4:$D$582,$B135,'март 2023'!$J$4:$J$582,AD$1)</f>
        <v>0</v>
      </c>
      <c r="AE135" s="207">
        <f>SUMIFS('март 2023'!$G$4:$G$582,'март 2023'!$D$4:$D$582,$B135,'март 2023'!$J$4:$J$582,AE$1)</f>
        <v>0</v>
      </c>
      <c r="AF135" s="207">
        <f>SUMIFS('март 2023'!$G$4:$G$582,'март 2023'!$D$4:$D$582,$B135,'март 2023'!$J$4:$J$582,AF$1)</f>
        <v>0</v>
      </c>
      <c r="AG135" s="207">
        <f>SUMIFS('март 2023'!$G$4:$G$582,'март 2023'!$D$4:$D$582,$B135,'март 2023'!$J$4:$J$582,AG$1)</f>
        <v>0</v>
      </c>
      <c r="AH135" s="207">
        <f>SUMIFS('март 2023'!$G$4:$G$582,'март 2023'!$D$4:$D$582,$B135,'март 2023'!$J$4:$J$582,AH$1)</f>
        <v>0</v>
      </c>
      <c r="AI135" s="220">
        <f t="shared" si="4"/>
        <v>0</v>
      </c>
    </row>
    <row r="136" spans="2:35" ht="15" hidden="1" customHeight="1" x14ac:dyDescent="0.25">
      <c r="B136" s="212"/>
      <c r="C136" s="215"/>
      <c r="D136" s="207">
        <f>SUMIFS('март 2023'!$G$4:$G$582,'март 2023'!$D$4:$D$582,$B136,'март 2023'!$J$4:$J$582,D$1)</f>
        <v>0</v>
      </c>
      <c r="E136" s="207">
        <f>SUMIFS('март 2023'!$G$4:$G$582,'март 2023'!$D$4:$D$582,$B136,'март 2023'!$J$4:$J$582,E$1)</f>
        <v>0</v>
      </c>
      <c r="F136" s="207">
        <f>SUMIFS('март 2023'!$G$4:$G$582,'март 2023'!$D$4:$D$582,$B136,'март 2023'!$J$4:$J$582,F$1)</f>
        <v>0</v>
      </c>
      <c r="G136" s="207">
        <f>SUMIFS('март 2023'!$G$4:$G$582,'март 2023'!$D$4:$D$582,$B136,'март 2023'!$J$4:$J$582,G$1)</f>
        <v>0</v>
      </c>
      <c r="H136" s="207">
        <f>SUMIFS('март 2023'!$G$4:$G$582,'март 2023'!$D$4:$D$582,$B136,'март 2023'!$J$4:$J$582,H$1)</f>
        <v>0</v>
      </c>
      <c r="I136" s="207">
        <f>SUMIFS('март 2023'!$G$4:$G$582,'март 2023'!$D$4:$D$582,$B136,'март 2023'!$J$4:$J$582,I$1)</f>
        <v>0</v>
      </c>
      <c r="J136" s="207">
        <f>SUMIFS('март 2023'!$G$4:$G$582,'март 2023'!$D$4:$D$582,$B136,'март 2023'!$J$4:$J$582,J$1)</f>
        <v>0</v>
      </c>
      <c r="K136" s="207">
        <f>SUMIFS('март 2023'!$G$4:$G$582,'март 2023'!$D$4:$D$582,$B136,'март 2023'!$J$4:$J$582,K$1)</f>
        <v>0</v>
      </c>
      <c r="L136" s="207">
        <f>SUMIFS('март 2023'!$G$4:$G$582,'март 2023'!$D$4:$D$582,$B136,'март 2023'!$J$4:$J$582,L$1)</f>
        <v>0</v>
      </c>
      <c r="M136" s="207">
        <f>SUMIFS('март 2023'!$G$4:$G$582,'март 2023'!$D$4:$D$582,$B136,'март 2023'!$J$4:$J$582,M$1)</f>
        <v>0</v>
      </c>
      <c r="N136" s="207">
        <f>SUMIFS('март 2023'!$G$4:$G$582,'март 2023'!$D$4:$D$582,$B136,'март 2023'!$J$4:$J$582,N$1)</f>
        <v>0</v>
      </c>
      <c r="O136" s="207">
        <f>SUMIFS('март 2023'!$G$4:$G$582,'март 2023'!$D$4:$D$582,$B136,'март 2023'!$J$4:$J$582,O$1)</f>
        <v>0</v>
      </c>
      <c r="P136" s="207">
        <f>SUMIFS('март 2023'!$G$4:$G$582,'март 2023'!$D$4:$D$582,$B136,'март 2023'!$J$4:$J$582,P$1)</f>
        <v>0</v>
      </c>
      <c r="Q136" s="207">
        <f>SUMIFS('март 2023'!$G$4:$G$582,'март 2023'!$D$4:$D$582,$B136,'март 2023'!$J$4:$J$582,Q$1)</f>
        <v>0</v>
      </c>
      <c r="R136" s="207">
        <f>SUMIFS('март 2023'!$G$4:$G$582,'март 2023'!$D$4:$D$582,$B136,'март 2023'!$J$4:$J$582,R$1)</f>
        <v>0</v>
      </c>
      <c r="S136" s="207">
        <f>SUMIFS('март 2023'!$G$4:$G$582,'март 2023'!$D$4:$D$582,$B136,'март 2023'!$J$4:$J$582,S$1)</f>
        <v>0</v>
      </c>
      <c r="T136" s="207">
        <f>SUMIFS('март 2023'!$G$4:$G$582,'март 2023'!$D$4:$D$582,$B136,'март 2023'!$J$4:$J$582,T$1)</f>
        <v>0</v>
      </c>
      <c r="U136" s="207">
        <f>SUMIFS('март 2023'!$G$4:$G$582,'март 2023'!$D$4:$D$582,$B136,'март 2023'!$J$4:$J$582,U$1)</f>
        <v>0</v>
      </c>
      <c r="V136" s="207">
        <f>SUMIFS('март 2023'!$G$4:$G$582,'март 2023'!$D$4:$D$582,$B136,'март 2023'!$J$4:$J$582,V$1)</f>
        <v>0</v>
      </c>
      <c r="W136" s="207">
        <f>SUMIFS('март 2023'!$G$4:$G$582,'март 2023'!$D$4:$D$582,$B136,'март 2023'!$J$4:$J$582,W$1)</f>
        <v>0</v>
      </c>
      <c r="X136" s="207">
        <f>SUMIFS('март 2023'!$G$4:$G$582,'март 2023'!$D$4:$D$582,$B136,'март 2023'!$J$4:$J$582,X$1)</f>
        <v>0</v>
      </c>
      <c r="Y136" s="207">
        <f>SUMIFS('март 2023'!$G$4:$G$582,'март 2023'!$D$4:$D$582,$B136,'март 2023'!$J$4:$J$582,Y$1)</f>
        <v>0</v>
      </c>
      <c r="Z136" s="207">
        <f>SUMIFS('март 2023'!$G$4:$G$582,'март 2023'!$D$4:$D$582,$B136,'март 2023'!$J$4:$J$582,Z$1)</f>
        <v>0</v>
      </c>
      <c r="AA136" s="207">
        <f>SUMIFS('март 2023'!$G$4:$G$582,'март 2023'!$D$4:$D$582,$B136,'март 2023'!$J$4:$J$582,AA$1)</f>
        <v>0</v>
      </c>
      <c r="AB136" s="207">
        <f>SUMIFS('март 2023'!$G$4:$G$582,'март 2023'!$D$4:$D$582,$B136,'март 2023'!$J$4:$J$582,AB$1)</f>
        <v>0</v>
      </c>
      <c r="AC136" s="207">
        <f>SUMIFS('март 2023'!$G$4:$G$582,'март 2023'!$D$4:$D$582,$B136,'март 2023'!$J$4:$J$582,AC$1)</f>
        <v>0</v>
      </c>
      <c r="AD136" s="207">
        <f>SUMIFS('март 2023'!$G$4:$G$582,'март 2023'!$D$4:$D$582,$B136,'март 2023'!$J$4:$J$582,AD$1)</f>
        <v>0</v>
      </c>
      <c r="AE136" s="207">
        <f>SUMIFS('март 2023'!$G$4:$G$582,'март 2023'!$D$4:$D$582,$B136,'март 2023'!$J$4:$J$582,AE$1)</f>
        <v>0</v>
      </c>
      <c r="AF136" s="207">
        <f>SUMIFS('март 2023'!$G$4:$G$582,'март 2023'!$D$4:$D$582,$B136,'март 2023'!$J$4:$J$582,AF$1)</f>
        <v>0</v>
      </c>
      <c r="AG136" s="207">
        <f>SUMIFS('март 2023'!$G$4:$G$582,'март 2023'!$D$4:$D$582,$B136,'март 2023'!$J$4:$J$582,AG$1)</f>
        <v>0</v>
      </c>
      <c r="AH136" s="207">
        <f>SUMIFS('март 2023'!$G$4:$G$582,'март 2023'!$D$4:$D$582,$B136,'март 2023'!$J$4:$J$582,AH$1)</f>
        <v>0</v>
      </c>
      <c r="AI136" s="220">
        <f t="shared" si="4"/>
        <v>0</v>
      </c>
    </row>
    <row r="137" spans="2:35" ht="15" hidden="1" customHeight="1" x14ac:dyDescent="0.25">
      <c r="B137" s="212"/>
      <c r="C137" s="213"/>
      <c r="D137" s="207">
        <f>SUMIFS('март 2023'!$G$4:$G$582,'март 2023'!$D$4:$D$582,$B137,'март 2023'!$J$4:$J$582,D$1)</f>
        <v>0</v>
      </c>
      <c r="E137" s="207">
        <f>SUMIFS('март 2023'!$G$4:$G$582,'март 2023'!$D$4:$D$582,$B137,'март 2023'!$J$4:$J$582,E$1)</f>
        <v>0</v>
      </c>
      <c r="F137" s="207">
        <f>SUMIFS('март 2023'!$G$4:$G$582,'март 2023'!$D$4:$D$582,$B137,'март 2023'!$J$4:$J$582,F$1)</f>
        <v>0</v>
      </c>
      <c r="G137" s="207">
        <f>SUMIFS('март 2023'!$G$4:$G$582,'март 2023'!$D$4:$D$582,$B137,'март 2023'!$J$4:$J$582,G$1)</f>
        <v>0</v>
      </c>
      <c r="H137" s="207">
        <f>SUMIFS('март 2023'!$G$4:$G$582,'март 2023'!$D$4:$D$582,$B137,'март 2023'!$J$4:$J$582,H$1)</f>
        <v>0</v>
      </c>
      <c r="I137" s="207">
        <f>SUMIFS('март 2023'!$G$4:$G$582,'март 2023'!$D$4:$D$582,$B137,'март 2023'!$J$4:$J$582,I$1)</f>
        <v>0</v>
      </c>
      <c r="J137" s="207">
        <f>SUMIFS('март 2023'!$G$4:$G$582,'март 2023'!$D$4:$D$582,$B137,'март 2023'!$J$4:$J$582,J$1)</f>
        <v>0</v>
      </c>
      <c r="K137" s="207">
        <f>SUMIFS('март 2023'!$G$4:$G$582,'март 2023'!$D$4:$D$582,$B137,'март 2023'!$J$4:$J$582,K$1)</f>
        <v>0</v>
      </c>
      <c r="L137" s="207">
        <f>SUMIFS('март 2023'!$G$4:$G$582,'март 2023'!$D$4:$D$582,$B137,'март 2023'!$J$4:$J$582,L$1)</f>
        <v>0</v>
      </c>
      <c r="M137" s="207">
        <f>SUMIFS('март 2023'!$G$4:$G$582,'март 2023'!$D$4:$D$582,$B137,'март 2023'!$J$4:$J$582,M$1)</f>
        <v>0</v>
      </c>
      <c r="N137" s="207">
        <f>SUMIFS('март 2023'!$G$4:$G$582,'март 2023'!$D$4:$D$582,$B137,'март 2023'!$J$4:$J$582,N$1)</f>
        <v>0</v>
      </c>
      <c r="O137" s="207">
        <f>SUMIFS('март 2023'!$G$4:$G$582,'март 2023'!$D$4:$D$582,$B137,'март 2023'!$J$4:$J$582,O$1)</f>
        <v>0</v>
      </c>
      <c r="P137" s="207">
        <f>SUMIFS('март 2023'!$G$4:$G$582,'март 2023'!$D$4:$D$582,$B137,'март 2023'!$J$4:$J$582,P$1)</f>
        <v>0</v>
      </c>
      <c r="Q137" s="207">
        <f>SUMIFS('март 2023'!$G$4:$G$582,'март 2023'!$D$4:$D$582,$B137,'март 2023'!$J$4:$J$582,Q$1)</f>
        <v>0</v>
      </c>
      <c r="R137" s="207">
        <f>SUMIFS('март 2023'!$G$4:$G$582,'март 2023'!$D$4:$D$582,$B137,'март 2023'!$J$4:$J$582,R$1)</f>
        <v>0</v>
      </c>
      <c r="S137" s="207">
        <f>SUMIFS('март 2023'!$G$4:$G$582,'март 2023'!$D$4:$D$582,$B137,'март 2023'!$J$4:$J$582,S$1)</f>
        <v>0</v>
      </c>
      <c r="T137" s="207">
        <f>SUMIFS('март 2023'!$G$4:$G$582,'март 2023'!$D$4:$D$582,$B137,'март 2023'!$J$4:$J$582,T$1)</f>
        <v>0</v>
      </c>
      <c r="U137" s="207">
        <f>SUMIFS('март 2023'!$G$4:$G$582,'март 2023'!$D$4:$D$582,$B137,'март 2023'!$J$4:$J$582,U$1)</f>
        <v>0</v>
      </c>
      <c r="V137" s="207">
        <f>SUMIFS('март 2023'!$G$4:$G$582,'март 2023'!$D$4:$D$582,$B137,'март 2023'!$J$4:$J$582,V$1)</f>
        <v>0</v>
      </c>
      <c r="W137" s="207">
        <f>SUMIFS('март 2023'!$G$4:$G$582,'март 2023'!$D$4:$D$582,$B137,'март 2023'!$J$4:$J$582,W$1)</f>
        <v>0</v>
      </c>
      <c r="X137" s="207">
        <f>SUMIFS('март 2023'!$G$4:$G$582,'март 2023'!$D$4:$D$582,$B137,'март 2023'!$J$4:$J$582,X$1)</f>
        <v>0</v>
      </c>
      <c r="Y137" s="207">
        <f>SUMIFS('март 2023'!$G$4:$G$582,'март 2023'!$D$4:$D$582,$B137,'март 2023'!$J$4:$J$582,Y$1)</f>
        <v>0</v>
      </c>
      <c r="Z137" s="207">
        <f>SUMIFS('март 2023'!$G$4:$G$582,'март 2023'!$D$4:$D$582,$B137,'март 2023'!$J$4:$J$582,Z$1)</f>
        <v>0</v>
      </c>
      <c r="AA137" s="207">
        <f>SUMIFS('март 2023'!$G$4:$G$582,'март 2023'!$D$4:$D$582,$B137,'март 2023'!$J$4:$J$582,AA$1)</f>
        <v>0</v>
      </c>
      <c r="AB137" s="207">
        <f>SUMIFS('март 2023'!$G$4:$G$582,'март 2023'!$D$4:$D$582,$B137,'март 2023'!$J$4:$J$582,AB$1)</f>
        <v>0</v>
      </c>
      <c r="AC137" s="207">
        <f>SUMIFS('март 2023'!$G$4:$G$582,'март 2023'!$D$4:$D$582,$B137,'март 2023'!$J$4:$J$582,AC$1)</f>
        <v>0</v>
      </c>
      <c r="AD137" s="207">
        <f>SUMIFS('март 2023'!$G$4:$G$582,'март 2023'!$D$4:$D$582,$B137,'март 2023'!$J$4:$J$582,AD$1)</f>
        <v>0</v>
      </c>
      <c r="AE137" s="207">
        <f>SUMIFS('март 2023'!$G$4:$G$582,'март 2023'!$D$4:$D$582,$B137,'март 2023'!$J$4:$J$582,AE$1)</f>
        <v>0</v>
      </c>
      <c r="AF137" s="207">
        <f>SUMIFS('март 2023'!$G$4:$G$582,'март 2023'!$D$4:$D$582,$B137,'март 2023'!$J$4:$J$582,AF$1)</f>
        <v>0</v>
      </c>
      <c r="AG137" s="207">
        <f>SUMIFS('март 2023'!$G$4:$G$582,'март 2023'!$D$4:$D$582,$B137,'март 2023'!$J$4:$J$582,AG$1)</f>
        <v>0</v>
      </c>
      <c r="AH137" s="207">
        <f>SUMIFS('март 2023'!$G$4:$G$582,'март 2023'!$D$4:$D$582,$B137,'март 2023'!$J$4:$J$582,AH$1)</f>
        <v>0</v>
      </c>
      <c r="AI137" s="220">
        <f t="shared" si="4"/>
        <v>0</v>
      </c>
    </row>
    <row r="138" spans="2:35" ht="15" hidden="1" customHeight="1" x14ac:dyDescent="0.25">
      <c r="B138" s="216"/>
      <c r="C138" s="213"/>
      <c r="D138" s="207">
        <f>SUMIFS('март 2023'!$G$4:$G$582,'март 2023'!$D$4:$D$582,$B138,'март 2023'!$J$4:$J$582,D$1)</f>
        <v>0</v>
      </c>
      <c r="E138" s="207">
        <f>SUMIFS('март 2023'!$G$4:$G$582,'март 2023'!$D$4:$D$582,$B138,'март 2023'!$J$4:$J$582,E$1)</f>
        <v>0</v>
      </c>
      <c r="F138" s="207">
        <f>SUMIFS('март 2023'!$G$4:$G$582,'март 2023'!$D$4:$D$582,$B138,'март 2023'!$J$4:$J$582,F$1)</f>
        <v>0</v>
      </c>
      <c r="G138" s="207">
        <f>SUMIFS('март 2023'!$G$4:$G$582,'март 2023'!$D$4:$D$582,$B138,'март 2023'!$J$4:$J$582,G$1)</f>
        <v>0</v>
      </c>
      <c r="H138" s="207">
        <f>SUMIFS('март 2023'!$G$4:$G$582,'март 2023'!$D$4:$D$582,$B138,'март 2023'!$J$4:$J$582,H$1)</f>
        <v>0</v>
      </c>
      <c r="I138" s="207">
        <f>SUMIFS('март 2023'!$G$4:$G$582,'март 2023'!$D$4:$D$582,$B138,'март 2023'!$J$4:$J$582,I$1)</f>
        <v>0</v>
      </c>
      <c r="J138" s="207">
        <f>SUMIFS('март 2023'!$G$4:$G$582,'март 2023'!$D$4:$D$582,$B138,'март 2023'!$J$4:$J$582,J$1)</f>
        <v>0</v>
      </c>
      <c r="K138" s="207">
        <f>SUMIFS('март 2023'!$G$4:$G$582,'март 2023'!$D$4:$D$582,$B138,'март 2023'!$J$4:$J$582,K$1)</f>
        <v>0</v>
      </c>
      <c r="L138" s="207">
        <f>SUMIFS('март 2023'!$G$4:$G$582,'март 2023'!$D$4:$D$582,$B138,'март 2023'!$J$4:$J$582,L$1)</f>
        <v>0</v>
      </c>
      <c r="M138" s="207">
        <f>SUMIFS('март 2023'!$G$4:$G$582,'март 2023'!$D$4:$D$582,$B138,'март 2023'!$J$4:$J$582,M$1)</f>
        <v>0</v>
      </c>
      <c r="N138" s="207">
        <f>SUMIFS('март 2023'!$G$4:$G$582,'март 2023'!$D$4:$D$582,$B138,'март 2023'!$J$4:$J$582,N$1)</f>
        <v>0</v>
      </c>
      <c r="O138" s="207">
        <f>SUMIFS('март 2023'!$G$4:$G$582,'март 2023'!$D$4:$D$582,$B138,'март 2023'!$J$4:$J$582,O$1)</f>
        <v>0</v>
      </c>
      <c r="P138" s="207">
        <f>SUMIFS('март 2023'!$G$4:$G$582,'март 2023'!$D$4:$D$582,$B138,'март 2023'!$J$4:$J$582,P$1)</f>
        <v>0</v>
      </c>
      <c r="Q138" s="207">
        <f>SUMIFS('март 2023'!$G$4:$G$582,'март 2023'!$D$4:$D$582,$B138,'март 2023'!$J$4:$J$582,Q$1)</f>
        <v>0</v>
      </c>
      <c r="R138" s="207">
        <f>SUMIFS('март 2023'!$G$4:$G$582,'март 2023'!$D$4:$D$582,$B138,'март 2023'!$J$4:$J$582,R$1)</f>
        <v>0</v>
      </c>
      <c r="S138" s="207">
        <f>SUMIFS('март 2023'!$G$4:$G$582,'март 2023'!$D$4:$D$582,$B138,'март 2023'!$J$4:$J$582,S$1)</f>
        <v>0</v>
      </c>
      <c r="T138" s="207">
        <f>SUMIFS('март 2023'!$G$4:$G$582,'март 2023'!$D$4:$D$582,$B138,'март 2023'!$J$4:$J$582,T$1)</f>
        <v>0</v>
      </c>
      <c r="U138" s="207">
        <f>SUMIFS('март 2023'!$G$4:$G$582,'март 2023'!$D$4:$D$582,$B138,'март 2023'!$J$4:$J$582,U$1)</f>
        <v>0</v>
      </c>
      <c r="V138" s="207">
        <f>SUMIFS('март 2023'!$G$4:$G$582,'март 2023'!$D$4:$D$582,$B138,'март 2023'!$J$4:$J$582,V$1)</f>
        <v>0</v>
      </c>
      <c r="W138" s="207">
        <f>SUMIFS('март 2023'!$G$4:$G$582,'март 2023'!$D$4:$D$582,$B138,'март 2023'!$J$4:$J$582,W$1)</f>
        <v>0</v>
      </c>
      <c r="X138" s="207">
        <f>SUMIFS('март 2023'!$G$4:$G$582,'март 2023'!$D$4:$D$582,$B138,'март 2023'!$J$4:$J$582,X$1)</f>
        <v>0</v>
      </c>
      <c r="Y138" s="207">
        <f>SUMIFS('март 2023'!$G$4:$G$582,'март 2023'!$D$4:$D$582,$B138,'март 2023'!$J$4:$J$582,Y$1)</f>
        <v>0</v>
      </c>
      <c r="Z138" s="207">
        <f>SUMIFS('март 2023'!$G$4:$G$582,'март 2023'!$D$4:$D$582,$B138,'март 2023'!$J$4:$J$582,Z$1)</f>
        <v>0</v>
      </c>
      <c r="AA138" s="207">
        <f>SUMIFS('март 2023'!$G$4:$G$582,'март 2023'!$D$4:$D$582,$B138,'март 2023'!$J$4:$J$582,AA$1)</f>
        <v>0</v>
      </c>
      <c r="AB138" s="207">
        <f>SUMIFS('март 2023'!$G$4:$G$582,'март 2023'!$D$4:$D$582,$B138,'март 2023'!$J$4:$J$582,AB$1)</f>
        <v>0</v>
      </c>
      <c r="AC138" s="207">
        <f>SUMIFS('март 2023'!$G$4:$G$582,'март 2023'!$D$4:$D$582,$B138,'март 2023'!$J$4:$J$582,AC$1)</f>
        <v>0</v>
      </c>
      <c r="AD138" s="207">
        <f>SUMIFS('март 2023'!$G$4:$G$582,'март 2023'!$D$4:$D$582,$B138,'март 2023'!$J$4:$J$582,AD$1)</f>
        <v>0</v>
      </c>
      <c r="AE138" s="207">
        <f>SUMIFS('март 2023'!$G$4:$G$582,'март 2023'!$D$4:$D$582,$B138,'март 2023'!$J$4:$J$582,AE$1)</f>
        <v>0</v>
      </c>
      <c r="AF138" s="207">
        <f>SUMIFS('март 2023'!$G$4:$G$582,'март 2023'!$D$4:$D$582,$B138,'март 2023'!$J$4:$J$582,AF$1)</f>
        <v>0</v>
      </c>
      <c r="AG138" s="207">
        <f>SUMIFS('март 2023'!$G$4:$G$582,'март 2023'!$D$4:$D$582,$B138,'март 2023'!$J$4:$J$582,AG$1)</f>
        <v>0</v>
      </c>
      <c r="AH138" s="207">
        <f>SUMIFS('март 2023'!$G$4:$G$582,'март 2023'!$D$4:$D$582,$B138,'март 2023'!$J$4:$J$582,AH$1)</f>
        <v>0</v>
      </c>
      <c r="AI138" s="220">
        <f t="shared" si="4"/>
        <v>0</v>
      </c>
    </row>
    <row r="139" spans="2:35" ht="15" hidden="1" customHeight="1" x14ac:dyDescent="0.25">
      <c r="B139" s="212"/>
      <c r="C139" s="211"/>
      <c r="D139" s="207">
        <f>SUMIFS('март 2023'!$G$4:$G$582,'март 2023'!$D$4:$D$582,$B139,'март 2023'!$J$4:$J$582,D$1)</f>
        <v>0</v>
      </c>
      <c r="E139" s="207">
        <f>SUMIFS('март 2023'!$G$4:$G$582,'март 2023'!$D$4:$D$582,$B139,'март 2023'!$J$4:$J$582,E$1)</f>
        <v>0</v>
      </c>
      <c r="F139" s="207">
        <f>SUMIFS('март 2023'!$G$4:$G$582,'март 2023'!$D$4:$D$582,$B139,'март 2023'!$J$4:$J$582,F$1)</f>
        <v>0</v>
      </c>
      <c r="G139" s="207">
        <f>SUMIFS('март 2023'!$G$4:$G$582,'март 2023'!$D$4:$D$582,$B139,'март 2023'!$J$4:$J$582,G$1)</f>
        <v>0</v>
      </c>
      <c r="H139" s="207">
        <f>SUMIFS('март 2023'!$G$4:$G$582,'март 2023'!$D$4:$D$582,$B139,'март 2023'!$J$4:$J$582,H$1)</f>
        <v>0</v>
      </c>
      <c r="I139" s="207">
        <f>SUMIFS('март 2023'!$G$4:$G$582,'март 2023'!$D$4:$D$582,$B139,'март 2023'!$J$4:$J$582,I$1)</f>
        <v>0</v>
      </c>
      <c r="J139" s="207">
        <f>SUMIFS('март 2023'!$G$4:$G$582,'март 2023'!$D$4:$D$582,$B139,'март 2023'!$J$4:$J$582,J$1)</f>
        <v>0</v>
      </c>
      <c r="K139" s="207">
        <f>SUMIFS('март 2023'!$G$4:$G$582,'март 2023'!$D$4:$D$582,$B139,'март 2023'!$J$4:$J$582,K$1)</f>
        <v>0</v>
      </c>
      <c r="L139" s="207">
        <f>SUMIFS('март 2023'!$G$4:$G$582,'март 2023'!$D$4:$D$582,$B139,'март 2023'!$J$4:$J$582,L$1)</f>
        <v>0</v>
      </c>
      <c r="M139" s="207">
        <f>SUMIFS('март 2023'!$G$4:$G$582,'март 2023'!$D$4:$D$582,$B139,'март 2023'!$J$4:$J$582,M$1)</f>
        <v>0</v>
      </c>
      <c r="N139" s="207">
        <f>SUMIFS('март 2023'!$G$4:$G$582,'март 2023'!$D$4:$D$582,$B139,'март 2023'!$J$4:$J$582,N$1)</f>
        <v>0</v>
      </c>
      <c r="O139" s="207">
        <f>SUMIFS('март 2023'!$G$4:$G$582,'март 2023'!$D$4:$D$582,$B139,'март 2023'!$J$4:$J$582,O$1)</f>
        <v>0</v>
      </c>
      <c r="P139" s="207">
        <f>SUMIFS('март 2023'!$G$4:$G$582,'март 2023'!$D$4:$D$582,$B139,'март 2023'!$J$4:$J$582,P$1)</f>
        <v>0</v>
      </c>
      <c r="Q139" s="207">
        <f>SUMIFS('март 2023'!$G$4:$G$582,'март 2023'!$D$4:$D$582,$B139,'март 2023'!$J$4:$J$582,Q$1)</f>
        <v>0</v>
      </c>
      <c r="R139" s="207">
        <f>SUMIFS('март 2023'!$G$4:$G$582,'март 2023'!$D$4:$D$582,$B139,'март 2023'!$J$4:$J$582,R$1)</f>
        <v>0</v>
      </c>
      <c r="S139" s="207">
        <f>SUMIFS('март 2023'!$G$4:$G$582,'март 2023'!$D$4:$D$582,$B139,'март 2023'!$J$4:$J$582,S$1)</f>
        <v>0</v>
      </c>
      <c r="T139" s="207">
        <f>SUMIFS('март 2023'!$G$4:$G$582,'март 2023'!$D$4:$D$582,$B139,'март 2023'!$J$4:$J$582,T$1)</f>
        <v>0</v>
      </c>
      <c r="U139" s="207">
        <f>SUMIFS('март 2023'!$G$4:$G$582,'март 2023'!$D$4:$D$582,$B139,'март 2023'!$J$4:$J$582,U$1)</f>
        <v>0</v>
      </c>
      <c r="V139" s="207">
        <f>SUMIFS('март 2023'!$G$4:$G$582,'март 2023'!$D$4:$D$582,$B139,'март 2023'!$J$4:$J$582,V$1)</f>
        <v>0</v>
      </c>
      <c r="W139" s="207">
        <f>SUMIFS('март 2023'!$G$4:$G$582,'март 2023'!$D$4:$D$582,$B139,'март 2023'!$J$4:$J$582,W$1)</f>
        <v>0</v>
      </c>
      <c r="X139" s="207">
        <f>SUMIFS('март 2023'!$G$4:$G$582,'март 2023'!$D$4:$D$582,$B139,'март 2023'!$J$4:$J$582,X$1)</f>
        <v>0</v>
      </c>
      <c r="Y139" s="207">
        <f>SUMIFS('март 2023'!$G$4:$G$582,'март 2023'!$D$4:$D$582,$B139,'март 2023'!$J$4:$J$582,Y$1)</f>
        <v>0</v>
      </c>
      <c r="Z139" s="207">
        <f>SUMIFS('март 2023'!$G$4:$G$582,'март 2023'!$D$4:$D$582,$B139,'март 2023'!$J$4:$J$582,Z$1)</f>
        <v>0</v>
      </c>
      <c r="AA139" s="207">
        <f>SUMIFS('март 2023'!$G$4:$G$582,'март 2023'!$D$4:$D$582,$B139,'март 2023'!$J$4:$J$582,AA$1)</f>
        <v>0</v>
      </c>
      <c r="AB139" s="207">
        <f>SUMIFS('март 2023'!$G$4:$G$582,'март 2023'!$D$4:$D$582,$B139,'март 2023'!$J$4:$J$582,AB$1)</f>
        <v>0</v>
      </c>
      <c r="AC139" s="207">
        <f>SUMIFS('март 2023'!$G$4:$G$582,'март 2023'!$D$4:$D$582,$B139,'март 2023'!$J$4:$J$582,AC$1)</f>
        <v>0</v>
      </c>
      <c r="AD139" s="207">
        <f>SUMIFS('март 2023'!$G$4:$G$582,'март 2023'!$D$4:$D$582,$B139,'март 2023'!$J$4:$J$582,AD$1)</f>
        <v>0</v>
      </c>
      <c r="AE139" s="207">
        <f>SUMIFS('март 2023'!$G$4:$G$582,'март 2023'!$D$4:$D$582,$B139,'март 2023'!$J$4:$J$582,AE$1)</f>
        <v>0</v>
      </c>
      <c r="AF139" s="207">
        <f>SUMIFS('март 2023'!$G$4:$G$582,'март 2023'!$D$4:$D$582,$B139,'март 2023'!$J$4:$J$582,AF$1)</f>
        <v>0</v>
      </c>
      <c r="AG139" s="207">
        <f>SUMIFS('март 2023'!$G$4:$G$582,'март 2023'!$D$4:$D$582,$B139,'март 2023'!$J$4:$J$582,AG$1)</f>
        <v>0</v>
      </c>
      <c r="AH139" s="207">
        <f>SUMIFS('март 2023'!$G$4:$G$582,'март 2023'!$D$4:$D$582,$B139,'март 2023'!$J$4:$J$582,AH$1)</f>
        <v>0</v>
      </c>
      <c r="AI139" s="220">
        <f t="shared" si="4"/>
        <v>0</v>
      </c>
    </row>
    <row r="140" spans="2:35" ht="15" hidden="1" customHeight="1" x14ac:dyDescent="0.25">
      <c r="B140" s="212"/>
      <c r="C140" s="213"/>
      <c r="D140" s="207">
        <f>SUMIFS('март 2023'!$G$4:$G$582,'март 2023'!$D$4:$D$582,$B140,'март 2023'!$J$4:$J$582,D$1)</f>
        <v>0</v>
      </c>
      <c r="E140" s="207">
        <f>SUMIFS('март 2023'!$G$4:$G$582,'март 2023'!$D$4:$D$582,$B140,'март 2023'!$J$4:$J$582,E$1)</f>
        <v>0</v>
      </c>
      <c r="F140" s="207">
        <f>SUMIFS('март 2023'!$G$4:$G$582,'март 2023'!$D$4:$D$582,$B140,'март 2023'!$J$4:$J$582,F$1)</f>
        <v>0</v>
      </c>
      <c r="G140" s="207">
        <f>SUMIFS('март 2023'!$G$4:$G$582,'март 2023'!$D$4:$D$582,$B140,'март 2023'!$J$4:$J$582,G$1)</f>
        <v>0</v>
      </c>
      <c r="H140" s="207">
        <f>SUMIFS('март 2023'!$G$4:$G$582,'март 2023'!$D$4:$D$582,$B140,'март 2023'!$J$4:$J$582,H$1)</f>
        <v>0</v>
      </c>
      <c r="I140" s="207">
        <f>SUMIFS('март 2023'!$G$4:$G$582,'март 2023'!$D$4:$D$582,$B140,'март 2023'!$J$4:$J$582,I$1)</f>
        <v>0</v>
      </c>
      <c r="J140" s="207">
        <f>SUMIFS('март 2023'!$G$4:$G$582,'март 2023'!$D$4:$D$582,$B140,'март 2023'!$J$4:$J$582,J$1)</f>
        <v>0</v>
      </c>
      <c r="K140" s="207">
        <f>SUMIFS('март 2023'!$G$4:$G$582,'март 2023'!$D$4:$D$582,$B140,'март 2023'!$J$4:$J$582,K$1)</f>
        <v>0</v>
      </c>
      <c r="L140" s="207">
        <f>SUMIFS('март 2023'!$G$4:$G$582,'март 2023'!$D$4:$D$582,$B140,'март 2023'!$J$4:$J$582,L$1)</f>
        <v>0</v>
      </c>
      <c r="M140" s="207">
        <f>SUMIFS('март 2023'!$G$4:$G$582,'март 2023'!$D$4:$D$582,$B140,'март 2023'!$J$4:$J$582,M$1)</f>
        <v>0</v>
      </c>
      <c r="N140" s="207">
        <f>SUMIFS('март 2023'!$G$4:$G$582,'март 2023'!$D$4:$D$582,$B140,'март 2023'!$J$4:$J$582,N$1)</f>
        <v>0</v>
      </c>
      <c r="O140" s="207">
        <f>SUMIFS('март 2023'!$G$4:$G$582,'март 2023'!$D$4:$D$582,$B140,'март 2023'!$J$4:$J$582,O$1)</f>
        <v>0</v>
      </c>
      <c r="P140" s="207">
        <f>SUMIFS('март 2023'!$G$4:$G$582,'март 2023'!$D$4:$D$582,$B140,'март 2023'!$J$4:$J$582,P$1)</f>
        <v>0</v>
      </c>
      <c r="Q140" s="207">
        <f>SUMIFS('март 2023'!$G$4:$G$582,'март 2023'!$D$4:$D$582,$B140,'март 2023'!$J$4:$J$582,Q$1)</f>
        <v>0</v>
      </c>
      <c r="R140" s="207">
        <f>SUMIFS('март 2023'!$G$4:$G$582,'март 2023'!$D$4:$D$582,$B140,'март 2023'!$J$4:$J$582,R$1)</f>
        <v>0</v>
      </c>
      <c r="S140" s="207">
        <f>SUMIFS('март 2023'!$G$4:$G$582,'март 2023'!$D$4:$D$582,$B140,'март 2023'!$J$4:$J$582,S$1)</f>
        <v>0</v>
      </c>
      <c r="T140" s="207">
        <f>SUMIFS('март 2023'!$G$4:$G$582,'март 2023'!$D$4:$D$582,$B140,'март 2023'!$J$4:$J$582,T$1)</f>
        <v>0</v>
      </c>
      <c r="U140" s="207">
        <f>SUMIFS('март 2023'!$G$4:$G$582,'март 2023'!$D$4:$D$582,$B140,'март 2023'!$J$4:$J$582,U$1)</f>
        <v>0</v>
      </c>
      <c r="V140" s="207">
        <f>SUMIFS('март 2023'!$G$4:$G$582,'март 2023'!$D$4:$D$582,$B140,'март 2023'!$J$4:$J$582,V$1)</f>
        <v>0</v>
      </c>
      <c r="W140" s="207">
        <f>SUMIFS('март 2023'!$G$4:$G$582,'март 2023'!$D$4:$D$582,$B140,'март 2023'!$J$4:$J$582,W$1)</f>
        <v>0</v>
      </c>
      <c r="X140" s="207">
        <f>SUMIFS('март 2023'!$G$4:$G$582,'март 2023'!$D$4:$D$582,$B140,'март 2023'!$J$4:$J$582,X$1)</f>
        <v>0</v>
      </c>
      <c r="Y140" s="207">
        <f>SUMIFS('март 2023'!$G$4:$G$582,'март 2023'!$D$4:$D$582,$B140,'март 2023'!$J$4:$J$582,Y$1)</f>
        <v>0</v>
      </c>
      <c r="Z140" s="207">
        <f>SUMIFS('март 2023'!$G$4:$G$582,'март 2023'!$D$4:$D$582,$B140,'март 2023'!$J$4:$J$582,Z$1)</f>
        <v>0</v>
      </c>
      <c r="AA140" s="207">
        <f>SUMIFS('март 2023'!$G$4:$G$582,'март 2023'!$D$4:$D$582,$B140,'март 2023'!$J$4:$J$582,AA$1)</f>
        <v>0</v>
      </c>
      <c r="AB140" s="207">
        <f>SUMIFS('март 2023'!$G$4:$G$582,'март 2023'!$D$4:$D$582,$B140,'март 2023'!$J$4:$J$582,AB$1)</f>
        <v>0</v>
      </c>
      <c r="AC140" s="207">
        <f>SUMIFS('март 2023'!$G$4:$G$582,'март 2023'!$D$4:$D$582,$B140,'март 2023'!$J$4:$J$582,AC$1)</f>
        <v>0</v>
      </c>
      <c r="AD140" s="207">
        <f>SUMIFS('март 2023'!$G$4:$G$582,'март 2023'!$D$4:$D$582,$B140,'март 2023'!$J$4:$J$582,AD$1)</f>
        <v>0</v>
      </c>
      <c r="AE140" s="207">
        <f>SUMIFS('март 2023'!$G$4:$G$582,'март 2023'!$D$4:$D$582,$B140,'март 2023'!$J$4:$J$582,AE$1)</f>
        <v>0</v>
      </c>
      <c r="AF140" s="207">
        <f>SUMIFS('март 2023'!$G$4:$G$582,'март 2023'!$D$4:$D$582,$B140,'март 2023'!$J$4:$J$582,AF$1)</f>
        <v>0</v>
      </c>
      <c r="AG140" s="207">
        <f>SUMIFS('март 2023'!$G$4:$G$582,'март 2023'!$D$4:$D$582,$B140,'март 2023'!$J$4:$J$582,AG$1)</f>
        <v>0</v>
      </c>
      <c r="AH140" s="207">
        <f>SUMIFS('март 2023'!$G$4:$G$582,'март 2023'!$D$4:$D$582,$B140,'март 2023'!$J$4:$J$582,AH$1)</f>
        <v>0</v>
      </c>
      <c r="AI140" s="220">
        <f t="shared" si="4"/>
        <v>0</v>
      </c>
    </row>
    <row r="141" spans="2:35" ht="15" hidden="1" customHeight="1" x14ac:dyDescent="0.25">
      <c r="B141" s="212"/>
      <c r="C141" s="213"/>
      <c r="D141" s="207">
        <f>SUMIFS('март 2023'!$G$4:$G$582,'март 2023'!$D$4:$D$582,$B141,'март 2023'!$J$4:$J$582,D$1)</f>
        <v>0</v>
      </c>
      <c r="E141" s="207">
        <f>SUMIFS('март 2023'!$G$4:$G$582,'март 2023'!$D$4:$D$582,$B141,'март 2023'!$J$4:$J$582,E$1)</f>
        <v>0</v>
      </c>
      <c r="F141" s="207">
        <f>SUMIFS('март 2023'!$G$4:$G$582,'март 2023'!$D$4:$D$582,$B141,'март 2023'!$J$4:$J$582,F$1)</f>
        <v>0</v>
      </c>
      <c r="G141" s="207">
        <f>SUMIFS('март 2023'!$G$4:$G$582,'март 2023'!$D$4:$D$582,$B141,'март 2023'!$J$4:$J$582,G$1)</f>
        <v>0</v>
      </c>
      <c r="H141" s="207">
        <f>SUMIFS('март 2023'!$G$4:$G$582,'март 2023'!$D$4:$D$582,$B141,'март 2023'!$J$4:$J$582,H$1)</f>
        <v>0</v>
      </c>
      <c r="I141" s="207">
        <f>SUMIFS('март 2023'!$G$4:$G$582,'март 2023'!$D$4:$D$582,$B141,'март 2023'!$J$4:$J$582,I$1)</f>
        <v>0</v>
      </c>
      <c r="J141" s="207">
        <f>SUMIFS('март 2023'!$G$4:$G$582,'март 2023'!$D$4:$D$582,$B141,'март 2023'!$J$4:$J$582,J$1)</f>
        <v>0</v>
      </c>
      <c r="K141" s="207">
        <f>SUMIFS('март 2023'!$G$4:$G$582,'март 2023'!$D$4:$D$582,$B141,'март 2023'!$J$4:$J$582,K$1)</f>
        <v>0</v>
      </c>
      <c r="L141" s="207">
        <f>SUMIFS('март 2023'!$G$4:$G$582,'март 2023'!$D$4:$D$582,$B141,'март 2023'!$J$4:$J$582,L$1)</f>
        <v>0</v>
      </c>
      <c r="M141" s="207">
        <f>SUMIFS('март 2023'!$G$4:$G$582,'март 2023'!$D$4:$D$582,$B141,'март 2023'!$J$4:$J$582,M$1)</f>
        <v>0</v>
      </c>
      <c r="N141" s="207">
        <f>SUMIFS('март 2023'!$G$4:$G$582,'март 2023'!$D$4:$D$582,$B141,'март 2023'!$J$4:$J$582,N$1)</f>
        <v>0</v>
      </c>
      <c r="O141" s="207">
        <f>SUMIFS('март 2023'!$G$4:$G$582,'март 2023'!$D$4:$D$582,$B141,'март 2023'!$J$4:$J$582,O$1)</f>
        <v>0</v>
      </c>
      <c r="P141" s="207">
        <f>SUMIFS('март 2023'!$G$4:$G$582,'март 2023'!$D$4:$D$582,$B141,'март 2023'!$J$4:$J$582,P$1)</f>
        <v>0</v>
      </c>
      <c r="Q141" s="207">
        <f>SUMIFS('март 2023'!$G$4:$G$582,'март 2023'!$D$4:$D$582,$B141,'март 2023'!$J$4:$J$582,Q$1)</f>
        <v>0</v>
      </c>
      <c r="R141" s="207">
        <f>SUMIFS('март 2023'!$G$4:$G$582,'март 2023'!$D$4:$D$582,$B141,'март 2023'!$J$4:$J$582,R$1)</f>
        <v>0</v>
      </c>
      <c r="S141" s="207">
        <f>SUMIFS('март 2023'!$G$4:$G$582,'март 2023'!$D$4:$D$582,$B141,'март 2023'!$J$4:$J$582,S$1)</f>
        <v>0</v>
      </c>
      <c r="T141" s="207">
        <f>SUMIFS('март 2023'!$G$4:$G$582,'март 2023'!$D$4:$D$582,$B141,'март 2023'!$J$4:$J$582,T$1)</f>
        <v>0</v>
      </c>
      <c r="U141" s="207">
        <f>SUMIFS('март 2023'!$G$4:$G$582,'март 2023'!$D$4:$D$582,$B141,'март 2023'!$J$4:$J$582,U$1)</f>
        <v>0</v>
      </c>
      <c r="V141" s="207">
        <f>SUMIFS('март 2023'!$G$4:$G$582,'март 2023'!$D$4:$D$582,$B141,'март 2023'!$J$4:$J$582,V$1)</f>
        <v>0</v>
      </c>
      <c r="W141" s="207">
        <f>SUMIFS('март 2023'!$G$4:$G$582,'март 2023'!$D$4:$D$582,$B141,'март 2023'!$J$4:$J$582,W$1)</f>
        <v>0</v>
      </c>
      <c r="X141" s="207">
        <f>SUMIFS('март 2023'!$G$4:$G$582,'март 2023'!$D$4:$D$582,$B141,'март 2023'!$J$4:$J$582,X$1)</f>
        <v>0</v>
      </c>
      <c r="Y141" s="207">
        <f>SUMIFS('март 2023'!$G$4:$G$582,'март 2023'!$D$4:$D$582,$B141,'март 2023'!$J$4:$J$582,Y$1)</f>
        <v>0</v>
      </c>
      <c r="Z141" s="207">
        <f>SUMIFS('март 2023'!$G$4:$G$582,'март 2023'!$D$4:$D$582,$B141,'март 2023'!$J$4:$J$582,Z$1)</f>
        <v>0</v>
      </c>
      <c r="AA141" s="207">
        <f>SUMIFS('март 2023'!$G$4:$G$582,'март 2023'!$D$4:$D$582,$B141,'март 2023'!$J$4:$J$582,AA$1)</f>
        <v>0</v>
      </c>
      <c r="AB141" s="207">
        <f>SUMIFS('март 2023'!$G$4:$G$582,'март 2023'!$D$4:$D$582,$B141,'март 2023'!$J$4:$J$582,AB$1)</f>
        <v>0</v>
      </c>
      <c r="AC141" s="207">
        <f>SUMIFS('март 2023'!$G$4:$G$582,'март 2023'!$D$4:$D$582,$B141,'март 2023'!$J$4:$J$582,AC$1)</f>
        <v>0</v>
      </c>
      <c r="AD141" s="207">
        <f>SUMIFS('март 2023'!$G$4:$G$582,'март 2023'!$D$4:$D$582,$B141,'март 2023'!$J$4:$J$582,AD$1)</f>
        <v>0</v>
      </c>
      <c r="AE141" s="207">
        <f>SUMIFS('март 2023'!$G$4:$G$582,'март 2023'!$D$4:$D$582,$B141,'март 2023'!$J$4:$J$582,AE$1)</f>
        <v>0</v>
      </c>
      <c r="AF141" s="207">
        <f>SUMIFS('март 2023'!$G$4:$G$582,'март 2023'!$D$4:$D$582,$B141,'март 2023'!$J$4:$J$582,AF$1)</f>
        <v>0</v>
      </c>
      <c r="AG141" s="207">
        <f>SUMIFS('март 2023'!$G$4:$G$582,'март 2023'!$D$4:$D$582,$B141,'март 2023'!$J$4:$J$582,AG$1)</f>
        <v>0</v>
      </c>
      <c r="AH141" s="207">
        <f>SUMIFS('март 2023'!$G$4:$G$582,'март 2023'!$D$4:$D$582,$B141,'март 2023'!$J$4:$J$582,AH$1)</f>
        <v>0</v>
      </c>
      <c r="AI141" s="220">
        <f t="shared" ref="AI141:AI179" si="5">SUM(D141:AH141)</f>
        <v>0</v>
      </c>
    </row>
    <row r="142" spans="2:35" ht="15" hidden="1" customHeight="1" x14ac:dyDescent="0.25">
      <c r="B142" s="212"/>
      <c r="C142" s="213"/>
      <c r="D142" s="207">
        <f>SUMIFS('март 2023'!$G$4:$G$582,'март 2023'!$D$4:$D$582,$B142,'март 2023'!$J$4:$J$582,D$1)</f>
        <v>0</v>
      </c>
      <c r="E142" s="207">
        <f>SUMIFS('март 2023'!$G$4:$G$582,'март 2023'!$D$4:$D$582,$B142,'март 2023'!$J$4:$J$582,E$1)</f>
        <v>0</v>
      </c>
      <c r="F142" s="207">
        <f>SUMIFS('март 2023'!$G$4:$G$582,'март 2023'!$D$4:$D$582,$B142,'март 2023'!$J$4:$J$582,F$1)</f>
        <v>0</v>
      </c>
      <c r="G142" s="207">
        <f>SUMIFS('март 2023'!$G$4:$G$582,'март 2023'!$D$4:$D$582,$B142,'март 2023'!$J$4:$J$582,G$1)</f>
        <v>0</v>
      </c>
      <c r="H142" s="207">
        <f>SUMIFS('март 2023'!$G$4:$G$582,'март 2023'!$D$4:$D$582,$B142,'март 2023'!$J$4:$J$582,H$1)</f>
        <v>0</v>
      </c>
      <c r="I142" s="207">
        <f>SUMIFS('март 2023'!$G$4:$G$582,'март 2023'!$D$4:$D$582,$B142,'март 2023'!$J$4:$J$582,I$1)</f>
        <v>0</v>
      </c>
      <c r="J142" s="207">
        <f>SUMIFS('март 2023'!$G$4:$G$582,'март 2023'!$D$4:$D$582,$B142,'март 2023'!$J$4:$J$582,J$1)</f>
        <v>0</v>
      </c>
      <c r="K142" s="207">
        <f>SUMIFS('март 2023'!$G$4:$G$582,'март 2023'!$D$4:$D$582,$B142,'март 2023'!$J$4:$J$582,K$1)</f>
        <v>0</v>
      </c>
      <c r="L142" s="207">
        <f>SUMIFS('март 2023'!$G$4:$G$582,'март 2023'!$D$4:$D$582,$B142,'март 2023'!$J$4:$J$582,L$1)</f>
        <v>0</v>
      </c>
      <c r="M142" s="207">
        <f>SUMIFS('март 2023'!$G$4:$G$582,'март 2023'!$D$4:$D$582,$B142,'март 2023'!$J$4:$J$582,M$1)</f>
        <v>0</v>
      </c>
      <c r="N142" s="207">
        <f>SUMIFS('март 2023'!$G$4:$G$582,'март 2023'!$D$4:$D$582,$B142,'март 2023'!$J$4:$J$582,N$1)</f>
        <v>0</v>
      </c>
      <c r="O142" s="207">
        <f>SUMIFS('март 2023'!$G$4:$G$582,'март 2023'!$D$4:$D$582,$B142,'март 2023'!$J$4:$J$582,O$1)</f>
        <v>0</v>
      </c>
      <c r="P142" s="207">
        <f>SUMIFS('март 2023'!$G$4:$G$582,'март 2023'!$D$4:$D$582,$B142,'март 2023'!$J$4:$J$582,P$1)</f>
        <v>0</v>
      </c>
      <c r="Q142" s="207">
        <f>SUMIFS('март 2023'!$G$4:$G$582,'март 2023'!$D$4:$D$582,$B142,'март 2023'!$J$4:$J$582,Q$1)</f>
        <v>0</v>
      </c>
      <c r="R142" s="207">
        <f>SUMIFS('март 2023'!$G$4:$G$582,'март 2023'!$D$4:$D$582,$B142,'март 2023'!$J$4:$J$582,R$1)</f>
        <v>0</v>
      </c>
      <c r="S142" s="207">
        <f>SUMIFS('март 2023'!$G$4:$G$582,'март 2023'!$D$4:$D$582,$B142,'март 2023'!$J$4:$J$582,S$1)</f>
        <v>0</v>
      </c>
      <c r="T142" s="207">
        <f>SUMIFS('март 2023'!$G$4:$G$582,'март 2023'!$D$4:$D$582,$B142,'март 2023'!$J$4:$J$582,T$1)</f>
        <v>0</v>
      </c>
      <c r="U142" s="207">
        <f>SUMIFS('март 2023'!$G$4:$G$582,'март 2023'!$D$4:$D$582,$B142,'март 2023'!$J$4:$J$582,U$1)</f>
        <v>0</v>
      </c>
      <c r="V142" s="207">
        <f>SUMIFS('март 2023'!$G$4:$G$582,'март 2023'!$D$4:$D$582,$B142,'март 2023'!$J$4:$J$582,V$1)</f>
        <v>0</v>
      </c>
      <c r="W142" s="207">
        <f>SUMIFS('март 2023'!$G$4:$G$582,'март 2023'!$D$4:$D$582,$B142,'март 2023'!$J$4:$J$582,W$1)</f>
        <v>0</v>
      </c>
      <c r="X142" s="207">
        <f>SUMIFS('март 2023'!$G$4:$G$582,'март 2023'!$D$4:$D$582,$B142,'март 2023'!$J$4:$J$582,X$1)</f>
        <v>0</v>
      </c>
      <c r="Y142" s="207">
        <f>SUMIFS('март 2023'!$G$4:$G$582,'март 2023'!$D$4:$D$582,$B142,'март 2023'!$J$4:$J$582,Y$1)</f>
        <v>0</v>
      </c>
      <c r="Z142" s="207">
        <f>SUMIFS('март 2023'!$G$4:$G$582,'март 2023'!$D$4:$D$582,$B142,'март 2023'!$J$4:$J$582,Z$1)</f>
        <v>0</v>
      </c>
      <c r="AA142" s="207">
        <f>SUMIFS('март 2023'!$G$4:$G$582,'март 2023'!$D$4:$D$582,$B142,'март 2023'!$J$4:$J$582,AA$1)</f>
        <v>0</v>
      </c>
      <c r="AB142" s="207">
        <f>SUMIFS('март 2023'!$G$4:$G$582,'март 2023'!$D$4:$D$582,$B142,'март 2023'!$J$4:$J$582,AB$1)</f>
        <v>0</v>
      </c>
      <c r="AC142" s="207">
        <f>SUMIFS('март 2023'!$G$4:$G$582,'март 2023'!$D$4:$D$582,$B142,'март 2023'!$J$4:$J$582,AC$1)</f>
        <v>0</v>
      </c>
      <c r="AD142" s="207">
        <f>SUMIFS('март 2023'!$G$4:$G$582,'март 2023'!$D$4:$D$582,$B142,'март 2023'!$J$4:$J$582,AD$1)</f>
        <v>0</v>
      </c>
      <c r="AE142" s="207">
        <f>SUMIFS('март 2023'!$G$4:$G$582,'март 2023'!$D$4:$D$582,$B142,'март 2023'!$J$4:$J$582,AE$1)</f>
        <v>0</v>
      </c>
      <c r="AF142" s="207">
        <f>SUMIFS('март 2023'!$G$4:$G$582,'март 2023'!$D$4:$D$582,$B142,'март 2023'!$J$4:$J$582,AF$1)</f>
        <v>0</v>
      </c>
      <c r="AG142" s="207">
        <f>SUMIFS('март 2023'!$G$4:$G$582,'март 2023'!$D$4:$D$582,$B142,'март 2023'!$J$4:$J$582,AG$1)</f>
        <v>0</v>
      </c>
      <c r="AH142" s="207">
        <f>SUMIFS('март 2023'!$G$4:$G$582,'март 2023'!$D$4:$D$582,$B142,'март 2023'!$J$4:$J$582,AH$1)</f>
        <v>0</v>
      </c>
      <c r="AI142" s="220">
        <f t="shared" si="5"/>
        <v>0</v>
      </c>
    </row>
    <row r="143" spans="2:35" ht="15.75" hidden="1" x14ac:dyDescent="0.25">
      <c r="B143" s="212"/>
      <c r="C143" s="213"/>
      <c r="D143" s="207">
        <f>SUMIFS('март 2023'!$G$4:$G$582,'март 2023'!$D$4:$D$582,$B143,'март 2023'!$J$4:$J$582,D$1)</f>
        <v>0</v>
      </c>
      <c r="E143" s="207">
        <f>SUMIFS('март 2023'!$G$4:$G$582,'март 2023'!$D$4:$D$582,$B143,'март 2023'!$J$4:$J$582,E$1)</f>
        <v>0</v>
      </c>
      <c r="F143" s="207">
        <f>SUMIFS('март 2023'!$G$4:$G$582,'март 2023'!$D$4:$D$582,$B143,'март 2023'!$J$4:$J$582,F$1)</f>
        <v>0</v>
      </c>
      <c r="G143" s="207">
        <f>SUMIFS('март 2023'!$G$4:$G$582,'март 2023'!$D$4:$D$582,$B143,'март 2023'!$J$4:$J$582,G$1)</f>
        <v>0</v>
      </c>
      <c r="H143" s="207">
        <f>SUMIFS('март 2023'!$G$4:$G$582,'март 2023'!$D$4:$D$582,$B143,'март 2023'!$J$4:$J$582,H$1)</f>
        <v>0</v>
      </c>
      <c r="I143" s="207">
        <f>SUMIFS('март 2023'!$G$4:$G$582,'март 2023'!$D$4:$D$582,$B143,'март 2023'!$J$4:$J$582,I$1)</f>
        <v>0</v>
      </c>
      <c r="J143" s="207">
        <f>SUMIFS('март 2023'!$G$4:$G$582,'март 2023'!$D$4:$D$582,$B143,'март 2023'!$J$4:$J$582,J$1)</f>
        <v>0</v>
      </c>
      <c r="K143" s="207">
        <f>SUMIFS('март 2023'!$G$4:$G$582,'март 2023'!$D$4:$D$582,$B143,'март 2023'!$J$4:$J$582,K$1)</f>
        <v>0</v>
      </c>
      <c r="L143" s="207">
        <f>SUMIFS('март 2023'!$G$4:$G$582,'март 2023'!$D$4:$D$582,$B143,'март 2023'!$J$4:$J$582,L$1)</f>
        <v>0</v>
      </c>
      <c r="M143" s="207">
        <f>SUMIFS('март 2023'!$G$4:$G$582,'март 2023'!$D$4:$D$582,$B143,'март 2023'!$J$4:$J$582,M$1)</f>
        <v>0</v>
      </c>
      <c r="N143" s="207">
        <f>SUMIFS('март 2023'!$G$4:$G$582,'март 2023'!$D$4:$D$582,$B143,'март 2023'!$J$4:$J$582,N$1)</f>
        <v>0</v>
      </c>
      <c r="O143" s="207">
        <f>SUMIFS('март 2023'!$G$4:$G$582,'март 2023'!$D$4:$D$582,$B143,'март 2023'!$J$4:$J$582,O$1)</f>
        <v>0</v>
      </c>
      <c r="P143" s="207">
        <f>SUMIFS('март 2023'!$G$4:$G$582,'март 2023'!$D$4:$D$582,$B143,'март 2023'!$J$4:$J$582,P$1)</f>
        <v>0</v>
      </c>
      <c r="Q143" s="207">
        <f>SUMIFS('март 2023'!$G$4:$G$582,'март 2023'!$D$4:$D$582,$B143,'март 2023'!$J$4:$J$582,Q$1)</f>
        <v>0</v>
      </c>
      <c r="R143" s="207">
        <f>SUMIFS('март 2023'!$G$4:$G$582,'март 2023'!$D$4:$D$582,$B143,'март 2023'!$J$4:$J$582,R$1)</f>
        <v>0</v>
      </c>
      <c r="S143" s="207">
        <f>SUMIFS('март 2023'!$G$4:$G$582,'март 2023'!$D$4:$D$582,$B143,'март 2023'!$J$4:$J$582,S$1)</f>
        <v>0</v>
      </c>
      <c r="T143" s="207">
        <f>SUMIFS('март 2023'!$G$4:$G$582,'март 2023'!$D$4:$D$582,$B143,'март 2023'!$J$4:$J$582,T$1)</f>
        <v>0</v>
      </c>
      <c r="U143" s="207">
        <f>SUMIFS('март 2023'!$G$4:$G$582,'март 2023'!$D$4:$D$582,$B143,'март 2023'!$J$4:$J$582,U$1)</f>
        <v>0</v>
      </c>
      <c r="V143" s="207">
        <f>SUMIFS('март 2023'!$G$4:$G$582,'март 2023'!$D$4:$D$582,$B143,'март 2023'!$J$4:$J$582,V$1)</f>
        <v>0</v>
      </c>
      <c r="W143" s="207">
        <f>SUMIFS('март 2023'!$G$4:$G$582,'март 2023'!$D$4:$D$582,$B143,'март 2023'!$J$4:$J$582,W$1)</f>
        <v>0</v>
      </c>
      <c r="X143" s="207">
        <f>SUMIFS('март 2023'!$G$4:$G$582,'март 2023'!$D$4:$D$582,$B143,'март 2023'!$J$4:$J$582,X$1)</f>
        <v>0</v>
      </c>
      <c r="Y143" s="207">
        <f>SUMIFS('март 2023'!$G$4:$G$582,'март 2023'!$D$4:$D$582,$B143,'март 2023'!$J$4:$J$582,Y$1)</f>
        <v>0</v>
      </c>
      <c r="Z143" s="207">
        <f>SUMIFS('март 2023'!$G$4:$G$582,'март 2023'!$D$4:$D$582,$B143,'март 2023'!$J$4:$J$582,Z$1)</f>
        <v>0</v>
      </c>
      <c r="AA143" s="207">
        <f>SUMIFS('март 2023'!$G$4:$G$582,'март 2023'!$D$4:$D$582,$B143,'март 2023'!$J$4:$J$582,AA$1)</f>
        <v>0</v>
      </c>
      <c r="AB143" s="207">
        <f>SUMIFS('март 2023'!$G$4:$G$582,'март 2023'!$D$4:$D$582,$B143,'март 2023'!$J$4:$J$582,AB$1)</f>
        <v>0</v>
      </c>
      <c r="AC143" s="207">
        <f>SUMIFS('март 2023'!$G$4:$G$582,'март 2023'!$D$4:$D$582,$B143,'март 2023'!$J$4:$J$582,AC$1)</f>
        <v>0</v>
      </c>
      <c r="AD143" s="207">
        <f>SUMIFS('март 2023'!$G$4:$G$582,'март 2023'!$D$4:$D$582,$B143,'март 2023'!$J$4:$J$582,AD$1)</f>
        <v>0</v>
      </c>
      <c r="AE143" s="207">
        <f>SUMIFS('март 2023'!$G$4:$G$582,'март 2023'!$D$4:$D$582,$B143,'март 2023'!$J$4:$J$582,AE$1)</f>
        <v>0</v>
      </c>
      <c r="AF143" s="207">
        <f>SUMIFS('март 2023'!$G$4:$G$582,'март 2023'!$D$4:$D$582,$B143,'март 2023'!$J$4:$J$582,AF$1)</f>
        <v>0</v>
      </c>
      <c r="AG143" s="207">
        <f>SUMIFS('март 2023'!$G$4:$G$582,'март 2023'!$D$4:$D$582,$B143,'март 2023'!$J$4:$J$582,AG$1)</f>
        <v>0</v>
      </c>
      <c r="AH143" s="207">
        <f>SUMIFS('март 2023'!$G$4:$G$582,'март 2023'!$D$4:$D$582,$B143,'март 2023'!$J$4:$J$582,AH$1)</f>
        <v>0</v>
      </c>
      <c r="AI143" s="220">
        <f t="shared" si="5"/>
        <v>0</v>
      </c>
    </row>
    <row r="144" spans="2:35" ht="15.75" hidden="1" x14ac:dyDescent="0.25">
      <c r="B144" s="212"/>
      <c r="C144" s="213"/>
      <c r="D144" s="207">
        <f>SUMIFS('март 2023'!$G$4:$G$582,'март 2023'!$D$4:$D$582,$B144,'март 2023'!$J$4:$J$582,D$1)</f>
        <v>0</v>
      </c>
      <c r="E144" s="207">
        <f>SUMIFS('март 2023'!$G$4:$G$582,'март 2023'!$D$4:$D$582,$B144,'март 2023'!$J$4:$J$582,E$1)</f>
        <v>0</v>
      </c>
      <c r="F144" s="207">
        <f>SUMIFS('март 2023'!$G$4:$G$582,'март 2023'!$D$4:$D$582,$B144,'март 2023'!$J$4:$J$582,F$1)</f>
        <v>0</v>
      </c>
      <c r="G144" s="207">
        <f>SUMIFS('март 2023'!$G$4:$G$582,'март 2023'!$D$4:$D$582,$B144,'март 2023'!$J$4:$J$582,G$1)</f>
        <v>0</v>
      </c>
      <c r="H144" s="207">
        <f>SUMIFS('март 2023'!$G$4:$G$582,'март 2023'!$D$4:$D$582,$B144,'март 2023'!$J$4:$J$582,H$1)</f>
        <v>0</v>
      </c>
      <c r="I144" s="207">
        <f>SUMIFS('март 2023'!$G$4:$G$582,'март 2023'!$D$4:$D$582,$B144,'март 2023'!$J$4:$J$582,I$1)</f>
        <v>0</v>
      </c>
      <c r="J144" s="207">
        <f>SUMIFS('март 2023'!$G$4:$G$582,'март 2023'!$D$4:$D$582,$B144,'март 2023'!$J$4:$J$582,J$1)</f>
        <v>0</v>
      </c>
      <c r="K144" s="207">
        <f>SUMIFS('март 2023'!$G$4:$G$582,'март 2023'!$D$4:$D$582,$B144,'март 2023'!$J$4:$J$582,K$1)</f>
        <v>0</v>
      </c>
      <c r="L144" s="207">
        <f>SUMIFS('март 2023'!$G$4:$G$582,'март 2023'!$D$4:$D$582,$B144,'март 2023'!$J$4:$J$582,L$1)</f>
        <v>0</v>
      </c>
      <c r="M144" s="207">
        <f>SUMIFS('март 2023'!$G$4:$G$582,'март 2023'!$D$4:$D$582,$B144,'март 2023'!$J$4:$J$582,M$1)</f>
        <v>0</v>
      </c>
      <c r="N144" s="207">
        <f>SUMIFS('март 2023'!$G$4:$G$582,'март 2023'!$D$4:$D$582,$B144,'март 2023'!$J$4:$J$582,N$1)</f>
        <v>0</v>
      </c>
      <c r="O144" s="207">
        <f>SUMIFS('март 2023'!$G$4:$G$582,'март 2023'!$D$4:$D$582,$B144,'март 2023'!$J$4:$J$582,O$1)</f>
        <v>0</v>
      </c>
      <c r="P144" s="207">
        <f>SUMIFS('март 2023'!$G$4:$G$582,'март 2023'!$D$4:$D$582,$B144,'март 2023'!$J$4:$J$582,P$1)</f>
        <v>0</v>
      </c>
      <c r="Q144" s="207">
        <f>SUMIFS('март 2023'!$G$4:$G$582,'март 2023'!$D$4:$D$582,$B144,'март 2023'!$J$4:$J$582,Q$1)</f>
        <v>0</v>
      </c>
      <c r="R144" s="207">
        <f>SUMIFS('март 2023'!$G$4:$G$582,'март 2023'!$D$4:$D$582,$B144,'март 2023'!$J$4:$J$582,R$1)</f>
        <v>0</v>
      </c>
      <c r="S144" s="207">
        <f>SUMIFS('март 2023'!$G$4:$G$582,'март 2023'!$D$4:$D$582,$B144,'март 2023'!$J$4:$J$582,S$1)</f>
        <v>0</v>
      </c>
      <c r="T144" s="207">
        <f>SUMIFS('март 2023'!$G$4:$G$582,'март 2023'!$D$4:$D$582,$B144,'март 2023'!$J$4:$J$582,T$1)</f>
        <v>0</v>
      </c>
      <c r="U144" s="207">
        <f>SUMIFS('март 2023'!$G$4:$G$582,'март 2023'!$D$4:$D$582,$B144,'март 2023'!$J$4:$J$582,U$1)</f>
        <v>0</v>
      </c>
      <c r="V144" s="207">
        <f>SUMIFS('март 2023'!$G$4:$G$582,'март 2023'!$D$4:$D$582,$B144,'март 2023'!$J$4:$J$582,V$1)</f>
        <v>0</v>
      </c>
      <c r="W144" s="207">
        <f>SUMIFS('март 2023'!$G$4:$G$582,'март 2023'!$D$4:$D$582,$B144,'март 2023'!$J$4:$J$582,W$1)</f>
        <v>0</v>
      </c>
      <c r="X144" s="207">
        <f>SUMIFS('март 2023'!$G$4:$G$582,'март 2023'!$D$4:$D$582,$B144,'март 2023'!$J$4:$J$582,X$1)</f>
        <v>0</v>
      </c>
      <c r="Y144" s="207">
        <f>SUMIFS('март 2023'!$G$4:$G$582,'март 2023'!$D$4:$D$582,$B144,'март 2023'!$J$4:$J$582,Y$1)</f>
        <v>0</v>
      </c>
      <c r="Z144" s="207">
        <f>SUMIFS('март 2023'!$G$4:$G$582,'март 2023'!$D$4:$D$582,$B144,'март 2023'!$J$4:$J$582,Z$1)</f>
        <v>0</v>
      </c>
      <c r="AA144" s="207">
        <f>SUMIFS('март 2023'!$G$4:$G$582,'март 2023'!$D$4:$D$582,$B144,'март 2023'!$J$4:$J$582,AA$1)</f>
        <v>0</v>
      </c>
      <c r="AB144" s="207">
        <f>SUMIFS('март 2023'!$G$4:$G$582,'март 2023'!$D$4:$D$582,$B144,'март 2023'!$J$4:$J$582,AB$1)</f>
        <v>0</v>
      </c>
      <c r="AC144" s="207">
        <f>SUMIFS('март 2023'!$G$4:$G$582,'март 2023'!$D$4:$D$582,$B144,'март 2023'!$J$4:$J$582,AC$1)</f>
        <v>0</v>
      </c>
      <c r="AD144" s="207">
        <f>SUMIFS('март 2023'!$G$4:$G$582,'март 2023'!$D$4:$D$582,$B144,'март 2023'!$J$4:$J$582,AD$1)</f>
        <v>0</v>
      </c>
      <c r="AE144" s="207">
        <f>SUMIFS('март 2023'!$G$4:$G$582,'март 2023'!$D$4:$D$582,$B144,'март 2023'!$J$4:$J$582,AE$1)</f>
        <v>0</v>
      </c>
      <c r="AF144" s="207">
        <f>SUMIFS('март 2023'!$G$4:$G$582,'март 2023'!$D$4:$D$582,$B144,'март 2023'!$J$4:$J$582,AF$1)</f>
        <v>0</v>
      </c>
      <c r="AG144" s="207">
        <f>SUMIFS('март 2023'!$G$4:$G$582,'март 2023'!$D$4:$D$582,$B144,'март 2023'!$J$4:$J$582,AG$1)</f>
        <v>0</v>
      </c>
      <c r="AH144" s="207">
        <f>SUMIFS('март 2023'!$G$4:$G$582,'март 2023'!$D$4:$D$582,$B144,'март 2023'!$J$4:$J$582,AH$1)</f>
        <v>0</v>
      </c>
      <c r="AI144" s="220">
        <f t="shared" si="5"/>
        <v>0</v>
      </c>
    </row>
    <row r="145" spans="2:35" ht="15.75" hidden="1" x14ac:dyDescent="0.25">
      <c r="B145" s="212"/>
      <c r="C145" s="211"/>
      <c r="D145" s="207">
        <f>SUMIFS('март 2023'!$G$4:$G$582,'март 2023'!$D$4:$D$582,$B145,'март 2023'!$J$4:$J$582,D$1)</f>
        <v>0</v>
      </c>
      <c r="E145" s="207">
        <f>SUMIFS('март 2023'!$G$4:$G$582,'март 2023'!$D$4:$D$582,$B145,'март 2023'!$J$4:$J$582,E$1)</f>
        <v>0</v>
      </c>
      <c r="F145" s="207">
        <f>SUMIFS('март 2023'!$G$4:$G$582,'март 2023'!$D$4:$D$582,$B145,'март 2023'!$J$4:$J$582,F$1)</f>
        <v>0</v>
      </c>
      <c r="G145" s="207">
        <f>SUMIFS('март 2023'!$G$4:$G$582,'март 2023'!$D$4:$D$582,$B145,'март 2023'!$J$4:$J$582,G$1)</f>
        <v>0</v>
      </c>
      <c r="H145" s="207">
        <f>SUMIFS('март 2023'!$G$4:$G$582,'март 2023'!$D$4:$D$582,$B145,'март 2023'!$J$4:$J$582,H$1)</f>
        <v>0</v>
      </c>
      <c r="I145" s="207">
        <f>SUMIFS('март 2023'!$G$4:$G$582,'март 2023'!$D$4:$D$582,$B145,'март 2023'!$J$4:$J$582,I$1)</f>
        <v>0</v>
      </c>
      <c r="J145" s="207">
        <f>SUMIFS('март 2023'!$G$4:$G$582,'март 2023'!$D$4:$D$582,$B145,'март 2023'!$J$4:$J$582,J$1)</f>
        <v>0</v>
      </c>
      <c r="K145" s="207">
        <f>SUMIFS('март 2023'!$G$4:$G$582,'март 2023'!$D$4:$D$582,$B145,'март 2023'!$J$4:$J$582,K$1)</f>
        <v>0</v>
      </c>
      <c r="L145" s="207">
        <f>SUMIFS('март 2023'!$G$4:$G$582,'март 2023'!$D$4:$D$582,$B145,'март 2023'!$J$4:$J$582,L$1)</f>
        <v>0</v>
      </c>
      <c r="M145" s="207">
        <f>SUMIFS('март 2023'!$G$4:$G$582,'март 2023'!$D$4:$D$582,$B145,'март 2023'!$J$4:$J$582,M$1)</f>
        <v>0</v>
      </c>
      <c r="N145" s="207">
        <f>SUMIFS('март 2023'!$G$4:$G$582,'март 2023'!$D$4:$D$582,$B145,'март 2023'!$J$4:$J$582,N$1)</f>
        <v>0</v>
      </c>
      <c r="O145" s="207">
        <f>SUMIFS('март 2023'!$G$4:$G$582,'март 2023'!$D$4:$D$582,$B145,'март 2023'!$J$4:$J$582,O$1)</f>
        <v>0</v>
      </c>
      <c r="P145" s="207">
        <f>SUMIFS('март 2023'!$G$4:$G$582,'март 2023'!$D$4:$D$582,$B145,'март 2023'!$J$4:$J$582,P$1)</f>
        <v>0</v>
      </c>
      <c r="Q145" s="207">
        <f>SUMIFS('март 2023'!$G$4:$G$582,'март 2023'!$D$4:$D$582,$B145,'март 2023'!$J$4:$J$582,Q$1)</f>
        <v>0</v>
      </c>
      <c r="R145" s="207">
        <f>SUMIFS('март 2023'!$G$4:$G$582,'март 2023'!$D$4:$D$582,$B145,'март 2023'!$J$4:$J$582,R$1)</f>
        <v>0</v>
      </c>
      <c r="S145" s="207">
        <f>SUMIFS('март 2023'!$G$4:$G$582,'март 2023'!$D$4:$D$582,$B145,'март 2023'!$J$4:$J$582,S$1)</f>
        <v>0</v>
      </c>
      <c r="T145" s="207">
        <f>SUMIFS('март 2023'!$G$4:$G$582,'март 2023'!$D$4:$D$582,$B145,'март 2023'!$J$4:$J$582,T$1)</f>
        <v>0</v>
      </c>
      <c r="U145" s="207">
        <f>SUMIFS('март 2023'!$G$4:$G$582,'март 2023'!$D$4:$D$582,$B145,'март 2023'!$J$4:$J$582,U$1)</f>
        <v>0</v>
      </c>
      <c r="V145" s="207">
        <f>SUMIFS('март 2023'!$G$4:$G$582,'март 2023'!$D$4:$D$582,$B145,'март 2023'!$J$4:$J$582,V$1)</f>
        <v>0</v>
      </c>
      <c r="W145" s="207">
        <f>SUMIFS('март 2023'!$G$4:$G$582,'март 2023'!$D$4:$D$582,$B145,'март 2023'!$J$4:$J$582,W$1)</f>
        <v>0</v>
      </c>
      <c r="X145" s="207">
        <f>SUMIFS('март 2023'!$G$4:$G$582,'март 2023'!$D$4:$D$582,$B145,'март 2023'!$J$4:$J$582,X$1)</f>
        <v>0</v>
      </c>
      <c r="Y145" s="207">
        <f>SUMIFS('март 2023'!$G$4:$G$582,'март 2023'!$D$4:$D$582,$B145,'март 2023'!$J$4:$J$582,Y$1)</f>
        <v>0</v>
      </c>
      <c r="Z145" s="207">
        <f>SUMIFS('март 2023'!$G$4:$G$582,'март 2023'!$D$4:$D$582,$B145,'март 2023'!$J$4:$J$582,Z$1)</f>
        <v>0</v>
      </c>
      <c r="AA145" s="207">
        <f>SUMIFS('март 2023'!$G$4:$G$582,'март 2023'!$D$4:$D$582,$B145,'март 2023'!$J$4:$J$582,AA$1)</f>
        <v>0</v>
      </c>
      <c r="AB145" s="207">
        <f>SUMIFS('март 2023'!$G$4:$G$582,'март 2023'!$D$4:$D$582,$B145,'март 2023'!$J$4:$J$582,AB$1)</f>
        <v>0</v>
      </c>
      <c r="AC145" s="207">
        <f>SUMIFS('март 2023'!$G$4:$G$582,'март 2023'!$D$4:$D$582,$B145,'март 2023'!$J$4:$J$582,AC$1)</f>
        <v>0</v>
      </c>
      <c r="AD145" s="207">
        <f>SUMIFS('март 2023'!$G$4:$G$582,'март 2023'!$D$4:$D$582,$B145,'март 2023'!$J$4:$J$582,AD$1)</f>
        <v>0</v>
      </c>
      <c r="AE145" s="207">
        <f>SUMIFS('март 2023'!$G$4:$G$582,'март 2023'!$D$4:$D$582,$B145,'март 2023'!$J$4:$J$582,AE$1)</f>
        <v>0</v>
      </c>
      <c r="AF145" s="207">
        <f>SUMIFS('март 2023'!$G$4:$G$582,'март 2023'!$D$4:$D$582,$B145,'март 2023'!$J$4:$J$582,AF$1)</f>
        <v>0</v>
      </c>
      <c r="AG145" s="207">
        <f>SUMIFS('март 2023'!$G$4:$G$582,'март 2023'!$D$4:$D$582,$B145,'март 2023'!$J$4:$J$582,AG$1)</f>
        <v>0</v>
      </c>
      <c r="AH145" s="207">
        <f>SUMIFS('март 2023'!$G$4:$G$582,'март 2023'!$D$4:$D$582,$B145,'март 2023'!$J$4:$J$582,AH$1)</f>
        <v>0</v>
      </c>
      <c r="AI145" s="220">
        <f t="shared" si="5"/>
        <v>0</v>
      </c>
    </row>
    <row r="146" spans="2:35" ht="15.75" hidden="1" x14ac:dyDescent="0.25">
      <c r="B146" s="212"/>
      <c r="C146" s="211"/>
      <c r="D146" s="207">
        <f>SUMIFS('март 2023'!$G$4:$G$582,'март 2023'!$D$4:$D$582,$B146,'март 2023'!$J$4:$J$582,D$1)</f>
        <v>0</v>
      </c>
      <c r="E146" s="207">
        <f>SUMIFS('март 2023'!$G$4:$G$582,'март 2023'!$D$4:$D$582,$B146,'март 2023'!$J$4:$J$582,E$1)</f>
        <v>0</v>
      </c>
      <c r="F146" s="207">
        <f>SUMIFS('март 2023'!$G$4:$G$582,'март 2023'!$D$4:$D$582,$B146,'март 2023'!$J$4:$J$582,F$1)</f>
        <v>0</v>
      </c>
      <c r="G146" s="207">
        <f>SUMIFS('март 2023'!$G$4:$G$582,'март 2023'!$D$4:$D$582,$B146,'март 2023'!$J$4:$J$582,G$1)</f>
        <v>0</v>
      </c>
      <c r="H146" s="207">
        <f>SUMIFS('март 2023'!$G$4:$G$582,'март 2023'!$D$4:$D$582,$B146,'март 2023'!$J$4:$J$582,H$1)</f>
        <v>0</v>
      </c>
      <c r="I146" s="207">
        <f>SUMIFS('март 2023'!$G$4:$G$582,'март 2023'!$D$4:$D$582,$B146,'март 2023'!$J$4:$J$582,I$1)</f>
        <v>0</v>
      </c>
      <c r="J146" s="207">
        <f>SUMIFS('март 2023'!$G$4:$G$582,'март 2023'!$D$4:$D$582,$B146,'март 2023'!$J$4:$J$582,J$1)</f>
        <v>0</v>
      </c>
      <c r="K146" s="207">
        <f>SUMIFS('март 2023'!$G$4:$G$582,'март 2023'!$D$4:$D$582,$B146,'март 2023'!$J$4:$J$582,K$1)</f>
        <v>0</v>
      </c>
      <c r="L146" s="207">
        <f>SUMIFS('март 2023'!$G$4:$G$582,'март 2023'!$D$4:$D$582,$B146,'март 2023'!$J$4:$J$582,L$1)</f>
        <v>0</v>
      </c>
      <c r="M146" s="207">
        <f>SUMIFS('март 2023'!$G$4:$G$582,'март 2023'!$D$4:$D$582,$B146,'март 2023'!$J$4:$J$582,M$1)</f>
        <v>0</v>
      </c>
      <c r="N146" s="207">
        <f>SUMIFS('март 2023'!$G$4:$G$582,'март 2023'!$D$4:$D$582,$B146,'март 2023'!$J$4:$J$582,N$1)</f>
        <v>0</v>
      </c>
      <c r="O146" s="207">
        <f>SUMIFS('март 2023'!$G$4:$G$582,'март 2023'!$D$4:$D$582,$B146,'март 2023'!$J$4:$J$582,O$1)</f>
        <v>0</v>
      </c>
      <c r="P146" s="207">
        <f>SUMIFS('март 2023'!$G$4:$G$582,'март 2023'!$D$4:$D$582,$B146,'март 2023'!$J$4:$J$582,P$1)</f>
        <v>0</v>
      </c>
      <c r="Q146" s="207">
        <f>SUMIFS('март 2023'!$G$4:$G$582,'март 2023'!$D$4:$D$582,$B146,'март 2023'!$J$4:$J$582,Q$1)</f>
        <v>0</v>
      </c>
      <c r="R146" s="207">
        <f>SUMIFS('март 2023'!$G$4:$G$582,'март 2023'!$D$4:$D$582,$B146,'март 2023'!$J$4:$J$582,R$1)</f>
        <v>0</v>
      </c>
      <c r="S146" s="207">
        <f>SUMIFS('март 2023'!$G$4:$G$582,'март 2023'!$D$4:$D$582,$B146,'март 2023'!$J$4:$J$582,S$1)</f>
        <v>0</v>
      </c>
      <c r="T146" s="207">
        <f>SUMIFS('март 2023'!$G$4:$G$582,'март 2023'!$D$4:$D$582,$B146,'март 2023'!$J$4:$J$582,T$1)</f>
        <v>0</v>
      </c>
      <c r="U146" s="207">
        <f>SUMIFS('март 2023'!$G$4:$G$582,'март 2023'!$D$4:$D$582,$B146,'март 2023'!$J$4:$J$582,U$1)</f>
        <v>0</v>
      </c>
      <c r="V146" s="207">
        <f>SUMIFS('март 2023'!$G$4:$G$582,'март 2023'!$D$4:$D$582,$B146,'март 2023'!$J$4:$J$582,V$1)</f>
        <v>0</v>
      </c>
      <c r="W146" s="207">
        <f>SUMIFS('март 2023'!$G$4:$G$582,'март 2023'!$D$4:$D$582,$B146,'март 2023'!$J$4:$J$582,W$1)</f>
        <v>0</v>
      </c>
      <c r="X146" s="207">
        <f>SUMIFS('март 2023'!$G$4:$G$582,'март 2023'!$D$4:$D$582,$B146,'март 2023'!$J$4:$J$582,X$1)</f>
        <v>0</v>
      </c>
      <c r="Y146" s="207">
        <f>SUMIFS('март 2023'!$G$4:$G$582,'март 2023'!$D$4:$D$582,$B146,'март 2023'!$J$4:$J$582,Y$1)</f>
        <v>0</v>
      </c>
      <c r="Z146" s="207">
        <f>SUMIFS('март 2023'!$G$4:$G$582,'март 2023'!$D$4:$D$582,$B146,'март 2023'!$J$4:$J$582,Z$1)</f>
        <v>0</v>
      </c>
      <c r="AA146" s="207">
        <f>SUMIFS('март 2023'!$G$4:$G$582,'март 2023'!$D$4:$D$582,$B146,'март 2023'!$J$4:$J$582,AA$1)</f>
        <v>0</v>
      </c>
      <c r="AB146" s="207">
        <f>SUMIFS('март 2023'!$G$4:$G$582,'март 2023'!$D$4:$D$582,$B146,'март 2023'!$J$4:$J$582,AB$1)</f>
        <v>0</v>
      </c>
      <c r="AC146" s="207">
        <f>SUMIFS('март 2023'!$G$4:$G$582,'март 2023'!$D$4:$D$582,$B146,'март 2023'!$J$4:$J$582,AC$1)</f>
        <v>0</v>
      </c>
      <c r="AD146" s="207">
        <f>SUMIFS('март 2023'!$G$4:$G$582,'март 2023'!$D$4:$D$582,$B146,'март 2023'!$J$4:$J$582,AD$1)</f>
        <v>0</v>
      </c>
      <c r="AE146" s="207">
        <f>SUMIFS('март 2023'!$G$4:$G$582,'март 2023'!$D$4:$D$582,$B146,'март 2023'!$J$4:$J$582,AE$1)</f>
        <v>0</v>
      </c>
      <c r="AF146" s="207">
        <f>SUMIFS('март 2023'!$G$4:$G$582,'март 2023'!$D$4:$D$582,$B146,'март 2023'!$J$4:$J$582,AF$1)</f>
        <v>0</v>
      </c>
      <c r="AG146" s="207">
        <f>SUMIFS('март 2023'!$G$4:$G$582,'март 2023'!$D$4:$D$582,$B146,'март 2023'!$J$4:$J$582,AG$1)</f>
        <v>0</v>
      </c>
      <c r="AH146" s="207">
        <f>SUMIFS('март 2023'!$G$4:$G$582,'март 2023'!$D$4:$D$582,$B146,'март 2023'!$J$4:$J$582,AH$1)</f>
        <v>0</v>
      </c>
      <c r="AI146" s="220">
        <f t="shared" si="5"/>
        <v>0</v>
      </c>
    </row>
    <row r="147" spans="2:35" ht="15.75" hidden="1" x14ac:dyDescent="0.25">
      <c r="B147" s="212"/>
      <c r="C147" s="211"/>
      <c r="D147" s="207">
        <f>SUMIFS('март 2023'!$G$4:$G$582,'март 2023'!$D$4:$D$582,$B147,'март 2023'!$J$4:$J$582,D$1)</f>
        <v>0</v>
      </c>
      <c r="E147" s="207">
        <f>SUMIFS('март 2023'!$G$4:$G$582,'март 2023'!$D$4:$D$582,$B147,'март 2023'!$J$4:$J$582,E$1)</f>
        <v>0</v>
      </c>
      <c r="F147" s="207">
        <f>SUMIFS('март 2023'!$G$4:$G$582,'март 2023'!$D$4:$D$582,$B147,'март 2023'!$J$4:$J$582,F$1)</f>
        <v>0</v>
      </c>
      <c r="G147" s="207">
        <f>SUMIFS('март 2023'!$G$4:$G$582,'март 2023'!$D$4:$D$582,$B147,'март 2023'!$J$4:$J$582,G$1)</f>
        <v>0</v>
      </c>
      <c r="H147" s="207">
        <f>SUMIFS('март 2023'!$G$4:$G$582,'март 2023'!$D$4:$D$582,$B147,'март 2023'!$J$4:$J$582,H$1)</f>
        <v>0</v>
      </c>
      <c r="I147" s="207">
        <f>SUMIFS('март 2023'!$G$4:$G$582,'март 2023'!$D$4:$D$582,$B147,'март 2023'!$J$4:$J$582,I$1)</f>
        <v>0</v>
      </c>
      <c r="J147" s="207">
        <f>SUMIFS('март 2023'!$G$4:$G$582,'март 2023'!$D$4:$D$582,$B147,'март 2023'!$J$4:$J$582,J$1)</f>
        <v>0</v>
      </c>
      <c r="K147" s="207">
        <f>SUMIFS('март 2023'!$G$4:$G$582,'март 2023'!$D$4:$D$582,$B147,'март 2023'!$J$4:$J$582,K$1)</f>
        <v>0</v>
      </c>
      <c r="L147" s="207">
        <f>SUMIFS('март 2023'!$G$4:$G$582,'март 2023'!$D$4:$D$582,$B147,'март 2023'!$J$4:$J$582,L$1)</f>
        <v>0</v>
      </c>
      <c r="M147" s="207">
        <f>SUMIFS('март 2023'!$G$4:$G$582,'март 2023'!$D$4:$D$582,$B147,'март 2023'!$J$4:$J$582,M$1)</f>
        <v>0</v>
      </c>
      <c r="N147" s="207">
        <f>SUMIFS('март 2023'!$G$4:$G$582,'март 2023'!$D$4:$D$582,$B147,'март 2023'!$J$4:$J$582,N$1)</f>
        <v>0</v>
      </c>
      <c r="O147" s="207">
        <f>SUMIFS('март 2023'!$G$4:$G$582,'март 2023'!$D$4:$D$582,$B147,'март 2023'!$J$4:$J$582,O$1)</f>
        <v>0</v>
      </c>
      <c r="P147" s="207">
        <f>SUMIFS('март 2023'!$G$4:$G$582,'март 2023'!$D$4:$D$582,$B147,'март 2023'!$J$4:$J$582,P$1)</f>
        <v>0</v>
      </c>
      <c r="Q147" s="207">
        <f>SUMIFS('март 2023'!$G$4:$G$582,'март 2023'!$D$4:$D$582,$B147,'март 2023'!$J$4:$J$582,Q$1)</f>
        <v>0</v>
      </c>
      <c r="R147" s="207">
        <f>SUMIFS('март 2023'!$G$4:$G$582,'март 2023'!$D$4:$D$582,$B147,'март 2023'!$J$4:$J$582,R$1)</f>
        <v>0</v>
      </c>
      <c r="S147" s="207">
        <f>SUMIFS('март 2023'!$G$4:$G$582,'март 2023'!$D$4:$D$582,$B147,'март 2023'!$J$4:$J$582,S$1)</f>
        <v>0</v>
      </c>
      <c r="T147" s="207">
        <f>SUMIFS('март 2023'!$G$4:$G$582,'март 2023'!$D$4:$D$582,$B147,'март 2023'!$J$4:$J$582,T$1)</f>
        <v>0</v>
      </c>
      <c r="U147" s="207">
        <f>SUMIFS('март 2023'!$G$4:$G$582,'март 2023'!$D$4:$D$582,$B147,'март 2023'!$J$4:$J$582,U$1)</f>
        <v>0</v>
      </c>
      <c r="V147" s="207">
        <f>SUMIFS('март 2023'!$G$4:$G$582,'март 2023'!$D$4:$D$582,$B147,'март 2023'!$J$4:$J$582,V$1)</f>
        <v>0</v>
      </c>
      <c r="W147" s="207">
        <f>SUMIFS('март 2023'!$G$4:$G$582,'март 2023'!$D$4:$D$582,$B147,'март 2023'!$J$4:$J$582,W$1)</f>
        <v>0</v>
      </c>
      <c r="X147" s="207">
        <f>SUMIFS('март 2023'!$G$4:$G$582,'март 2023'!$D$4:$D$582,$B147,'март 2023'!$J$4:$J$582,X$1)</f>
        <v>0</v>
      </c>
      <c r="Y147" s="207">
        <f>SUMIFS('март 2023'!$G$4:$G$582,'март 2023'!$D$4:$D$582,$B147,'март 2023'!$J$4:$J$582,Y$1)</f>
        <v>0</v>
      </c>
      <c r="Z147" s="207">
        <f>SUMIFS('март 2023'!$G$4:$G$582,'март 2023'!$D$4:$D$582,$B147,'март 2023'!$J$4:$J$582,Z$1)</f>
        <v>0</v>
      </c>
      <c r="AA147" s="207">
        <f>SUMIFS('март 2023'!$G$4:$G$582,'март 2023'!$D$4:$D$582,$B147,'март 2023'!$J$4:$J$582,AA$1)</f>
        <v>0</v>
      </c>
      <c r="AB147" s="207">
        <f>SUMIFS('март 2023'!$G$4:$G$582,'март 2023'!$D$4:$D$582,$B147,'март 2023'!$J$4:$J$582,AB$1)</f>
        <v>0</v>
      </c>
      <c r="AC147" s="207">
        <f>SUMIFS('март 2023'!$G$4:$G$582,'март 2023'!$D$4:$D$582,$B147,'март 2023'!$J$4:$J$582,AC$1)</f>
        <v>0</v>
      </c>
      <c r="AD147" s="207">
        <f>SUMIFS('март 2023'!$G$4:$G$582,'март 2023'!$D$4:$D$582,$B147,'март 2023'!$J$4:$J$582,AD$1)</f>
        <v>0</v>
      </c>
      <c r="AE147" s="207">
        <f>SUMIFS('март 2023'!$G$4:$G$582,'март 2023'!$D$4:$D$582,$B147,'март 2023'!$J$4:$J$582,AE$1)</f>
        <v>0</v>
      </c>
      <c r="AF147" s="207">
        <f>SUMIFS('март 2023'!$G$4:$G$582,'март 2023'!$D$4:$D$582,$B147,'март 2023'!$J$4:$J$582,AF$1)</f>
        <v>0</v>
      </c>
      <c r="AG147" s="207">
        <f>SUMIFS('март 2023'!$G$4:$G$582,'март 2023'!$D$4:$D$582,$B147,'март 2023'!$J$4:$J$582,AG$1)</f>
        <v>0</v>
      </c>
      <c r="AH147" s="207">
        <f>SUMIFS('март 2023'!$G$4:$G$582,'март 2023'!$D$4:$D$582,$B147,'март 2023'!$J$4:$J$582,AH$1)</f>
        <v>0</v>
      </c>
      <c r="AI147" s="220">
        <f t="shared" si="5"/>
        <v>0</v>
      </c>
    </row>
    <row r="148" spans="2:35" ht="15.75" hidden="1" x14ac:dyDescent="0.25">
      <c r="B148" s="212"/>
      <c r="C148" s="211"/>
      <c r="D148" s="207">
        <f>SUMIFS('март 2023'!$G$4:$G$582,'март 2023'!$D$4:$D$582,$B148,'март 2023'!$J$4:$J$582,D$1)</f>
        <v>0</v>
      </c>
      <c r="E148" s="207">
        <f>SUMIFS('март 2023'!$G$4:$G$582,'март 2023'!$D$4:$D$582,$B148,'март 2023'!$J$4:$J$582,E$1)</f>
        <v>0</v>
      </c>
      <c r="F148" s="207">
        <f>SUMIFS('март 2023'!$G$4:$G$582,'март 2023'!$D$4:$D$582,$B148,'март 2023'!$J$4:$J$582,F$1)</f>
        <v>0</v>
      </c>
      <c r="G148" s="207">
        <f>SUMIFS('март 2023'!$G$4:$G$582,'март 2023'!$D$4:$D$582,$B148,'март 2023'!$J$4:$J$582,G$1)</f>
        <v>0</v>
      </c>
      <c r="H148" s="207">
        <f>SUMIFS('март 2023'!$G$4:$G$582,'март 2023'!$D$4:$D$582,$B148,'март 2023'!$J$4:$J$582,H$1)</f>
        <v>0</v>
      </c>
      <c r="I148" s="207">
        <f>SUMIFS('март 2023'!$G$4:$G$582,'март 2023'!$D$4:$D$582,$B148,'март 2023'!$J$4:$J$582,I$1)</f>
        <v>0</v>
      </c>
      <c r="J148" s="207">
        <f>SUMIFS('март 2023'!$G$4:$G$582,'март 2023'!$D$4:$D$582,$B148,'март 2023'!$J$4:$J$582,J$1)</f>
        <v>0</v>
      </c>
      <c r="K148" s="207">
        <f>SUMIFS('март 2023'!$G$4:$G$582,'март 2023'!$D$4:$D$582,$B148,'март 2023'!$J$4:$J$582,K$1)</f>
        <v>0</v>
      </c>
      <c r="L148" s="207">
        <f>SUMIFS('март 2023'!$G$4:$G$582,'март 2023'!$D$4:$D$582,$B148,'март 2023'!$J$4:$J$582,L$1)</f>
        <v>0</v>
      </c>
      <c r="M148" s="207">
        <f>SUMIFS('март 2023'!$G$4:$G$582,'март 2023'!$D$4:$D$582,$B148,'март 2023'!$J$4:$J$582,M$1)</f>
        <v>0</v>
      </c>
      <c r="N148" s="207">
        <f>SUMIFS('март 2023'!$G$4:$G$582,'март 2023'!$D$4:$D$582,$B148,'март 2023'!$J$4:$J$582,N$1)</f>
        <v>0</v>
      </c>
      <c r="O148" s="207">
        <f>SUMIFS('март 2023'!$G$4:$G$582,'март 2023'!$D$4:$D$582,$B148,'март 2023'!$J$4:$J$582,O$1)</f>
        <v>0</v>
      </c>
      <c r="P148" s="207">
        <f>SUMIFS('март 2023'!$G$4:$G$582,'март 2023'!$D$4:$D$582,$B148,'март 2023'!$J$4:$J$582,P$1)</f>
        <v>0</v>
      </c>
      <c r="Q148" s="207">
        <f>SUMIFS('март 2023'!$G$4:$G$582,'март 2023'!$D$4:$D$582,$B148,'март 2023'!$J$4:$J$582,Q$1)</f>
        <v>0</v>
      </c>
      <c r="R148" s="207">
        <f>SUMIFS('март 2023'!$G$4:$G$582,'март 2023'!$D$4:$D$582,$B148,'март 2023'!$J$4:$J$582,R$1)</f>
        <v>0</v>
      </c>
      <c r="S148" s="207">
        <f>SUMIFS('март 2023'!$G$4:$G$582,'март 2023'!$D$4:$D$582,$B148,'март 2023'!$J$4:$J$582,S$1)</f>
        <v>0</v>
      </c>
      <c r="T148" s="207">
        <f>SUMIFS('март 2023'!$G$4:$G$582,'март 2023'!$D$4:$D$582,$B148,'март 2023'!$J$4:$J$582,T$1)</f>
        <v>0</v>
      </c>
      <c r="U148" s="207">
        <f>SUMIFS('март 2023'!$G$4:$G$582,'март 2023'!$D$4:$D$582,$B148,'март 2023'!$J$4:$J$582,U$1)</f>
        <v>0</v>
      </c>
      <c r="V148" s="207">
        <f>SUMIFS('март 2023'!$G$4:$G$582,'март 2023'!$D$4:$D$582,$B148,'март 2023'!$J$4:$J$582,V$1)</f>
        <v>0</v>
      </c>
      <c r="W148" s="207">
        <f>SUMIFS('март 2023'!$G$4:$G$582,'март 2023'!$D$4:$D$582,$B148,'март 2023'!$J$4:$J$582,W$1)</f>
        <v>0</v>
      </c>
      <c r="X148" s="207">
        <f>SUMIFS('март 2023'!$G$4:$G$582,'март 2023'!$D$4:$D$582,$B148,'март 2023'!$J$4:$J$582,X$1)</f>
        <v>0</v>
      </c>
      <c r="Y148" s="207">
        <f>SUMIFS('март 2023'!$G$4:$G$582,'март 2023'!$D$4:$D$582,$B148,'март 2023'!$J$4:$J$582,Y$1)</f>
        <v>0</v>
      </c>
      <c r="Z148" s="207">
        <f>SUMIFS('март 2023'!$G$4:$G$582,'март 2023'!$D$4:$D$582,$B148,'март 2023'!$J$4:$J$582,Z$1)</f>
        <v>0</v>
      </c>
      <c r="AA148" s="207">
        <f>SUMIFS('март 2023'!$G$4:$G$582,'март 2023'!$D$4:$D$582,$B148,'март 2023'!$J$4:$J$582,AA$1)</f>
        <v>0</v>
      </c>
      <c r="AB148" s="207">
        <f>SUMIFS('март 2023'!$G$4:$G$582,'март 2023'!$D$4:$D$582,$B148,'март 2023'!$J$4:$J$582,AB$1)</f>
        <v>0</v>
      </c>
      <c r="AC148" s="207">
        <f>SUMIFS('март 2023'!$G$4:$G$582,'март 2023'!$D$4:$D$582,$B148,'март 2023'!$J$4:$J$582,AC$1)</f>
        <v>0</v>
      </c>
      <c r="AD148" s="207">
        <f>SUMIFS('март 2023'!$G$4:$G$582,'март 2023'!$D$4:$D$582,$B148,'март 2023'!$J$4:$J$582,AD$1)</f>
        <v>0</v>
      </c>
      <c r="AE148" s="207">
        <f>SUMIFS('март 2023'!$G$4:$G$582,'март 2023'!$D$4:$D$582,$B148,'март 2023'!$J$4:$J$582,AE$1)</f>
        <v>0</v>
      </c>
      <c r="AF148" s="207">
        <f>SUMIFS('март 2023'!$G$4:$G$582,'март 2023'!$D$4:$D$582,$B148,'март 2023'!$J$4:$J$582,AF$1)</f>
        <v>0</v>
      </c>
      <c r="AG148" s="207">
        <f>SUMIFS('март 2023'!$G$4:$G$582,'март 2023'!$D$4:$D$582,$B148,'март 2023'!$J$4:$J$582,AG$1)</f>
        <v>0</v>
      </c>
      <c r="AH148" s="207">
        <f>SUMIFS('март 2023'!$G$4:$G$582,'март 2023'!$D$4:$D$582,$B148,'март 2023'!$J$4:$J$582,AH$1)</f>
        <v>0</v>
      </c>
      <c r="AI148" s="220">
        <f t="shared" si="5"/>
        <v>0</v>
      </c>
    </row>
    <row r="149" spans="2:35" ht="15.75" hidden="1" x14ac:dyDescent="0.25">
      <c r="B149" s="212"/>
      <c r="C149" s="211"/>
      <c r="D149" s="207">
        <f>SUMIFS('март 2023'!$G$4:$G$582,'март 2023'!$D$4:$D$582,$B149,'март 2023'!$J$4:$J$582,D$1)</f>
        <v>0</v>
      </c>
      <c r="E149" s="207">
        <f>SUMIFS('март 2023'!$G$4:$G$582,'март 2023'!$D$4:$D$582,$B149,'март 2023'!$J$4:$J$582,E$1)</f>
        <v>0</v>
      </c>
      <c r="F149" s="207">
        <f>SUMIFS('март 2023'!$G$4:$G$582,'март 2023'!$D$4:$D$582,$B149,'март 2023'!$J$4:$J$582,F$1)</f>
        <v>0</v>
      </c>
      <c r="G149" s="207">
        <f>SUMIFS('март 2023'!$G$4:$G$582,'март 2023'!$D$4:$D$582,$B149,'март 2023'!$J$4:$J$582,G$1)</f>
        <v>0</v>
      </c>
      <c r="H149" s="207">
        <f>SUMIFS('март 2023'!$G$4:$G$582,'март 2023'!$D$4:$D$582,$B149,'март 2023'!$J$4:$J$582,H$1)</f>
        <v>0</v>
      </c>
      <c r="I149" s="207">
        <f>SUMIFS('март 2023'!$G$4:$G$582,'март 2023'!$D$4:$D$582,$B149,'март 2023'!$J$4:$J$582,I$1)</f>
        <v>0</v>
      </c>
      <c r="J149" s="207">
        <f>SUMIFS('март 2023'!$G$4:$G$582,'март 2023'!$D$4:$D$582,$B149,'март 2023'!$J$4:$J$582,J$1)</f>
        <v>0</v>
      </c>
      <c r="K149" s="207">
        <f>SUMIFS('март 2023'!$G$4:$G$582,'март 2023'!$D$4:$D$582,$B149,'март 2023'!$J$4:$J$582,K$1)</f>
        <v>0</v>
      </c>
      <c r="L149" s="207">
        <f>SUMIFS('март 2023'!$G$4:$G$582,'март 2023'!$D$4:$D$582,$B149,'март 2023'!$J$4:$J$582,L$1)</f>
        <v>0</v>
      </c>
      <c r="M149" s="207">
        <f>SUMIFS('март 2023'!$G$4:$G$582,'март 2023'!$D$4:$D$582,$B149,'март 2023'!$J$4:$J$582,M$1)</f>
        <v>0</v>
      </c>
      <c r="N149" s="207">
        <f>SUMIFS('март 2023'!$G$4:$G$582,'март 2023'!$D$4:$D$582,$B149,'март 2023'!$J$4:$J$582,N$1)</f>
        <v>0</v>
      </c>
      <c r="O149" s="207">
        <f>SUMIFS('март 2023'!$G$4:$G$582,'март 2023'!$D$4:$D$582,$B149,'март 2023'!$J$4:$J$582,O$1)</f>
        <v>0</v>
      </c>
      <c r="P149" s="207">
        <f>SUMIFS('март 2023'!$G$4:$G$582,'март 2023'!$D$4:$D$582,$B149,'март 2023'!$J$4:$J$582,P$1)</f>
        <v>0</v>
      </c>
      <c r="Q149" s="207">
        <f>SUMIFS('март 2023'!$G$4:$G$582,'март 2023'!$D$4:$D$582,$B149,'март 2023'!$J$4:$J$582,Q$1)</f>
        <v>0</v>
      </c>
      <c r="R149" s="207">
        <f>SUMIFS('март 2023'!$G$4:$G$582,'март 2023'!$D$4:$D$582,$B149,'март 2023'!$J$4:$J$582,R$1)</f>
        <v>0</v>
      </c>
      <c r="S149" s="207">
        <f>SUMIFS('март 2023'!$G$4:$G$582,'март 2023'!$D$4:$D$582,$B149,'март 2023'!$J$4:$J$582,S$1)</f>
        <v>0</v>
      </c>
      <c r="T149" s="207">
        <f>SUMIFS('март 2023'!$G$4:$G$582,'март 2023'!$D$4:$D$582,$B149,'март 2023'!$J$4:$J$582,T$1)</f>
        <v>0</v>
      </c>
      <c r="U149" s="207">
        <f>SUMIFS('март 2023'!$G$4:$G$582,'март 2023'!$D$4:$D$582,$B149,'март 2023'!$J$4:$J$582,U$1)</f>
        <v>0</v>
      </c>
      <c r="V149" s="207">
        <f>SUMIFS('март 2023'!$G$4:$G$582,'март 2023'!$D$4:$D$582,$B149,'март 2023'!$J$4:$J$582,V$1)</f>
        <v>0</v>
      </c>
      <c r="W149" s="207">
        <f>SUMIFS('март 2023'!$G$4:$G$582,'март 2023'!$D$4:$D$582,$B149,'март 2023'!$J$4:$J$582,W$1)</f>
        <v>0</v>
      </c>
      <c r="X149" s="207">
        <f>SUMIFS('март 2023'!$G$4:$G$582,'март 2023'!$D$4:$D$582,$B149,'март 2023'!$J$4:$J$582,X$1)</f>
        <v>0</v>
      </c>
      <c r="Y149" s="207">
        <f>SUMIFS('март 2023'!$G$4:$G$582,'март 2023'!$D$4:$D$582,$B149,'март 2023'!$J$4:$J$582,Y$1)</f>
        <v>0</v>
      </c>
      <c r="Z149" s="207">
        <f>SUMIFS('март 2023'!$G$4:$G$582,'март 2023'!$D$4:$D$582,$B149,'март 2023'!$J$4:$J$582,Z$1)</f>
        <v>0</v>
      </c>
      <c r="AA149" s="207">
        <f>SUMIFS('март 2023'!$G$4:$G$582,'март 2023'!$D$4:$D$582,$B149,'март 2023'!$J$4:$J$582,AA$1)</f>
        <v>0</v>
      </c>
      <c r="AB149" s="207">
        <f>SUMIFS('март 2023'!$G$4:$G$582,'март 2023'!$D$4:$D$582,$B149,'март 2023'!$J$4:$J$582,AB$1)</f>
        <v>0</v>
      </c>
      <c r="AC149" s="207">
        <f>SUMIFS('март 2023'!$G$4:$G$582,'март 2023'!$D$4:$D$582,$B149,'март 2023'!$J$4:$J$582,AC$1)</f>
        <v>0</v>
      </c>
      <c r="AD149" s="207">
        <f>SUMIFS('март 2023'!$G$4:$G$582,'март 2023'!$D$4:$D$582,$B149,'март 2023'!$J$4:$J$582,AD$1)</f>
        <v>0</v>
      </c>
      <c r="AE149" s="207">
        <f>SUMIFS('март 2023'!$G$4:$G$582,'март 2023'!$D$4:$D$582,$B149,'март 2023'!$J$4:$J$582,AE$1)</f>
        <v>0</v>
      </c>
      <c r="AF149" s="207">
        <f>SUMIFS('март 2023'!$G$4:$G$582,'март 2023'!$D$4:$D$582,$B149,'март 2023'!$J$4:$J$582,AF$1)</f>
        <v>0</v>
      </c>
      <c r="AG149" s="207">
        <f>SUMIFS('март 2023'!$G$4:$G$582,'март 2023'!$D$4:$D$582,$B149,'март 2023'!$J$4:$J$582,AG$1)</f>
        <v>0</v>
      </c>
      <c r="AH149" s="207">
        <f>SUMIFS('март 2023'!$G$4:$G$582,'март 2023'!$D$4:$D$582,$B149,'март 2023'!$J$4:$J$582,AH$1)</f>
        <v>0</v>
      </c>
      <c r="AI149" s="220">
        <f t="shared" si="5"/>
        <v>0</v>
      </c>
    </row>
    <row r="150" spans="2:35" ht="15.75" hidden="1" x14ac:dyDescent="0.25">
      <c r="B150" s="212"/>
      <c r="C150" s="211"/>
      <c r="D150" s="207">
        <f>SUMIFS('март 2023'!$G$4:$G$582,'март 2023'!$D$4:$D$582,$B150,'март 2023'!$J$4:$J$582,D$1)</f>
        <v>0</v>
      </c>
      <c r="E150" s="207">
        <f>SUMIFS('март 2023'!$G$4:$G$582,'март 2023'!$D$4:$D$582,$B150,'март 2023'!$J$4:$J$582,E$1)</f>
        <v>0</v>
      </c>
      <c r="F150" s="207">
        <f>SUMIFS('март 2023'!$G$4:$G$582,'март 2023'!$D$4:$D$582,$B150,'март 2023'!$J$4:$J$582,F$1)</f>
        <v>0</v>
      </c>
      <c r="G150" s="207">
        <f>SUMIFS('март 2023'!$G$4:$G$582,'март 2023'!$D$4:$D$582,$B150,'март 2023'!$J$4:$J$582,G$1)</f>
        <v>0</v>
      </c>
      <c r="H150" s="207">
        <f>SUMIFS('март 2023'!$G$4:$G$582,'март 2023'!$D$4:$D$582,$B150,'март 2023'!$J$4:$J$582,H$1)</f>
        <v>0</v>
      </c>
      <c r="I150" s="207">
        <f>SUMIFS('март 2023'!$G$4:$G$582,'март 2023'!$D$4:$D$582,$B150,'март 2023'!$J$4:$J$582,I$1)</f>
        <v>0</v>
      </c>
      <c r="J150" s="207">
        <f>SUMIFS('март 2023'!$G$4:$G$582,'март 2023'!$D$4:$D$582,$B150,'март 2023'!$J$4:$J$582,J$1)</f>
        <v>0</v>
      </c>
      <c r="K150" s="207">
        <f>SUMIFS('март 2023'!$G$4:$G$582,'март 2023'!$D$4:$D$582,$B150,'март 2023'!$J$4:$J$582,K$1)</f>
        <v>0</v>
      </c>
      <c r="L150" s="207">
        <f>SUMIFS('март 2023'!$G$4:$G$582,'март 2023'!$D$4:$D$582,$B150,'март 2023'!$J$4:$J$582,L$1)</f>
        <v>0</v>
      </c>
      <c r="M150" s="207">
        <f>SUMIFS('март 2023'!$G$4:$G$582,'март 2023'!$D$4:$D$582,$B150,'март 2023'!$J$4:$J$582,M$1)</f>
        <v>0</v>
      </c>
      <c r="N150" s="207">
        <f>SUMIFS('март 2023'!$G$4:$G$582,'март 2023'!$D$4:$D$582,$B150,'март 2023'!$J$4:$J$582,N$1)</f>
        <v>0</v>
      </c>
      <c r="O150" s="207">
        <f>SUMIFS('март 2023'!$G$4:$G$582,'март 2023'!$D$4:$D$582,$B150,'март 2023'!$J$4:$J$582,O$1)</f>
        <v>0</v>
      </c>
      <c r="P150" s="207">
        <f>SUMIFS('март 2023'!$G$4:$G$582,'март 2023'!$D$4:$D$582,$B150,'март 2023'!$J$4:$J$582,P$1)</f>
        <v>0</v>
      </c>
      <c r="Q150" s="207">
        <f>SUMIFS('март 2023'!$G$4:$G$582,'март 2023'!$D$4:$D$582,$B150,'март 2023'!$J$4:$J$582,Q$1)</f>
        <v>0</v>
      </c>
      <c r="R150" s="207">
        <f>SUMIFS('март 2023'!$G$4:$G$582,'март 2023'!$D$4:$D$582,$B150,'март 2023'!$J$4:$J$582,R$1)</f>
        <v>0</v>
      </c>
      <c r="S150" s="207">
        <f>SUMIFS('март 2023'!$G$4:$G$582,'март 2023'!$D$4:$D$582,$B150,'март 2023'!$J$4:$J$582,S$1)</f>
        <v>0</v>
      </c>
      <c r="T150" s="207">
        <f>SUMIFS('март 2023'!$G$4:$G$582,'март 2023'!$D$4:$D$582,$B150,'март 2023'!$J$4:$J$582,T$1)</f>
        <v>0</v>
      </c>
      <c r="U150" s="207">
        <f>SUMIFS('март 2023'!$G$4:$G$582,'март 2023'!$D$4:$D$582,$B150,'март 2023'!$J$4:$J$582,U$1)</f>
        <v>0</v>
      </c>
      <c r="V150" s="207">
        <f>SUMIFS('март 2023'!$G$4:$G$582,'март 2023'!$D$4:$D$582,$B150,'март 2023'!$J$4:$J$582,V$1)</f>
        <v>0</v>
      </c>
      <c r="W150" s="207">
        <f>SUMIFS('март 2023'!$G$4:$G$582,'март 2023'!$D$4:$D$582,$B150,'март 2023'!$J$4:$J$582,W$1)</f>
        <v>0</v>
      </c>
      <c r="X150" s="207">
        <f>SUMIFS('март 2023'!$G$4:$G$582,'март 2023'!$D$4:$D$582,$B150,'март 2023'!$J$4:$J$582,X$1)</f>
        <v>0</v>
      </c>
      <c r="Y150" s="207">
        <f>SUMIFS('март 2023'!$G$4:$G$582,'март 2023'!$D$4:$D$582,$B150,'март 2023'!$J$4:$J$582,Y$1)</f>
        <v>0</v>
      </c>
      <c r="Z150" s="207">
        <f>SUMIFS('март 2023'!$G$4:$G$582,'март 2023'!$D$4:$D$582,$B150,'март 2023'!$J$4:$J$582,Z$1)</f>
        <v>0</v>
      </c>
      <c r="AA150" s="207">
        <f>SUMIFS('март 2023'!$G$4:$G$582,'март 2023'!$D$4:$D$582,$B150,'март 2023'!$J$4:$J$582,AA$1)</f>
        <v>0</v>
      </c>
      <c r="AB150" s="207">
        <f>SUMIFS('март 2023'!$G$4:$G$582,'март 2023'!$D$4:$D$582,$B150,'март 2023'!$J$4:$J$582,AB$1)</f>
        <v>0</v>
      </c>
      <c r="AC150" s="207">
        <f>SUMIFS('март 2023'!$G$4:$G$582,'март 2023'!$D$4:$D$582,$B150,'март 2023'!$J$4:$J$582,AC$1)</f>
        <v>0</v>
      </c>
      <c r="AD150" s="207">
        <f>SUMIFS('март 2023'!$G$4:$G$582,'март 2023'!$D$4:$D$582,$B150,'март 2023'!$J$4:$J$582,AD$1)</f>
        <v>0</v>
      </c>
      <c r="AE150" s="207">
        <f>SUMIFS('март 2023'!$G$4:$G$582,'март 2023'!$D$4:$D$582,$B150,'март 2023'!$J$4:$J$582,AE$1)</f>
        <v>0</v>
      </c>
      <c r="AF150" s="207">
        <f>SUMIFS('март 2023'!$G$4:$G$582,'март 2023'!$D$4:$D$582,$B150,'март 2023'!$J$4:$J$582,AF$1)</f>
        <v>0</v>
      </c>
      <c r="AG150" s="207">
        <f>SUMIFS('март 2023'!$G$4:$G$582,'март 2023'!$D$4:$D$582,$B150,'март 2023'!$J$4:$J$582,AG$1)</f>
        <v>0</v>
      </c>
      <c r="AH150" s="207">
        <f>SUMIFS('март 2023'!$G$4:$G$582,'март 2023'!$D$4:$D$582,$B150,'март 2023'!$J$4:$J$582,AH$1)</f>
        <v>0</v>
      </c>
      <c r="AI150" s="220">
        <f t="shared" si="5"/>
        <v>0</v>
      </c>
    </row>
    <row r="151" spans="2:35" ht="15.75" hidden="1" x14ac:dyDescent="0.25">
      <c r="B151" s="212"/>
      <c r="C151" s="211"/>
      <c r="D151" s="207">
        <f>SUMIFS('март 2023'!$G$4:$G$582,'март 2023'!$D$4:$D$582,$B151,'март 2023'!$J$4:$J$582,D$1)</f>
        <v>0</v>
      </c>
      <c r="E151" s="207">
        <f>SUMIFS('март 2023'!$G$4:$G$582,'март 2023'!$D$4:$D$582,$B151,'март 2023'!$J$4:$J$582,E$1)</f>
        <v>0</v>
      </c>
      <c r="F151" s="207">
        <f>SUMIFS('март 2023'!$G$4:$G$582,'март 2023'!$D$4:$D$582,$B151,'март 2023'!$J$4:$J$582,F$1)</f>
        <v>0</v>
      </c>
      <c r="G151" s="207">
        <f>SUMIFS('март 2023'!$G$4:$G$582,'март 2023'!$D$4:$D$582,$B151,'март 2023'!$J$4:$J$582,G$1)</f>
        <v>0</v>
      </c>
      <c r="H151" s="207">
        <f>SUMIFS('март 2023'!$G$4:$G$582,'март 2023'!$D$4:$D$582,$B151,'март 2023'!$J$4:$J$582,H$1)</f>
        <v>0</v>
      </c>
      <c r="I151" s="207">
        <f>SUMIFS('март 2023'!$G$4:$G$582,'март 2023'!$D$4:$D$582,$B151,'март 2023'!$J$4:$J$582,I$1)</f>
        <v>0</v>
      </c>
      <c r="J151" s="207">
        <f>SUMIFS('март 2023'!$G$4:$G$582,'март 2023'!$D$4:$D$582,$B151,'март 2023'!$J$4:$J$582,J$1)</f>
        <v>0</v>
      </c>
      <c r="K151" s="207">
        <f>SUMIFS('март 2023'!$G$4:$G$582,'март 2023'!$D$4:$D$582,$B151,'март 2023'!$J$4:$J$582,K$1)</f>
        <v>0</v>
      </c>
      <c r="L151" s="207">
        <f>SUMIFS('март 2023'!$G$4:$G$582,'март 2023'!$D$4:$D$582,$B151,'март 2023'!$J$4:$J$582,L$1)</f>
        <v>0</v>
      </c>
      <c r="M151" s="207">
        <f>SUMIFS('март 2023'!$G$4:$G$582,'март 2023'!$D$4:$D$582,$B151,'март 2023'!$J$4:$J$582,M$1)</f>
        <v>0</v>
      </c>
      <c r="N151" s="207">
        <f>SUMIFS('март 2023'!$G$4:$G$582,'март 2023'!$D$4:$D$582,$B151,'март 2023'!$J$4:$J$582,N$1)</f>
        <v>0</v>
      </c>
      <c r="O151" s="207">
        <f>SUMIFS('март 2023'!$G$4:$G$582,'март 2023'!$D$4:$D$582,$B151,'март 2023'!$J$4:$J$582,O$1)</f>
        <v>0</v>
      </c>
      <c r="P151" s="207">
        <f>SUMIFS('март 2023'!$G$4:$G$582,'март 2023'!$D$4:$D$582,$B151,'март 2023'!$J$4:$J$582,P$1)</f>
        <v>0</v>
      </c>
      <c r="Q151" s="207">
        <f>SUMIFS('март 2023'!$G$4:$G$582,'март 2023'!$D$4:$D$582,$B151,'март 2023'!$J$4:$J$582,Q$1)</f>
        <v>0</v>
      </c>
      <c r="R151" s="207">
        <f>SUMIFS('март 2023'!$G$4:$G$582,'март 2023'!$D$4:$D$582,$B151,'март 2023'!$J$4:$J$582,R$1)</f>
        <v>0</v>
      </c>
      <c r="S151" s="207">
        <f>SUMIFS('март 2023'!$G$4:$G$582,'март 2023'!$D$4:$D$582,$B151,'март 2023'!$J$4:$J$582,S$1)</f>
        <v>0</v>
      </c>
      <c r="T151" s="207">
        <f>SUMIFS('март 2023'!$G$4:$G$582,'март 2023'!$D$4:$D$582,$B151,'март 2023'!$J$4:$J$582,T$1)</f>
        <v>0</v>
      </c>
      <c r="U151" s="207">
        <f>SUMIFS('март 2023'!$G$4:$G$582,'март 2023'!$D$4:$D$582,$B151,'март 2023'!$J$4:$J$582,U$1)</f>
        <v>0</v>
      </c>
      <c r="V151" s="207">
        <f>SUMIFS('март 2023'!$G$4:$G$582,'март 2023'!$D$4:$D$582,$B151,'март 2023'!$J$4:$J$582,V$1)</f>
        <v>0</v>
      </c>
      <c r="W151" s="207">
        <f>SUMIFS('март 2023'!$G$4:$G$582,'март 2023'!$D$4:$D$582,$B151,'март 2023'!$J$4:$J$582,W$1)</f>
        <v>0</v>
      </c>
      <c r="X151" s="207">
        <f>SUMIFS('март 2023'!$G$4:$G$582,'март 2023'!$D$4:$D$582,$B151,'март 2023'!$J$4:$J$582,X$1)</f>
        <v>0</v>
      </c>
      <c r="Y151" s="207">
        <f>SUMIFS('март 2023'!$G$4:$G$582,'март 2023'!$D$4:$D$582,$B151,'март 2023'!$J$4:$J$582,Y$1)</f>
        <v>0</v>
      </c>
      <c r="Z151" s="207">
        <f>SUMIFS('март 2023'!$G$4:$G$582,'март 2023'!$D$4:$D$582,$B151,'март 2023'!$J$4:$J$582,Z$1)</f>
        <v>0</v>
      </c>
      <c r="AA151" s="207">
        <f>SUMIFS('март 2023'!$G$4:$G$582,'март 2023'!$D$4:$D$582,$B151,'март 2023'!$J$4:$J$582,AA$1)</f>
        <v>0</v>
      </c>
      <c r="AB151" s="207">
        <f>SUMIFS('март 2023'!$G$4:$G$582,'март 2023'!$D$4:$D$582,$B151,'март 2023'!$J$4:$J$582,AB$1)</f>
        <v>0</v>
      </c>
      <c r="AC151" s="207">
        <f>SUMIFS('март 2023'!$G$4:$G$582,'март 2023'!$D$4:$D$582,$B151,'март 2023'!$J$4:$J$582,AC$1)</f>
        <v>0</v>
      </c>
      <c r="AD151" s="207">
        <f>SUMIFS('март 2023'!$G$4:$G$582,'март 2023'!$D$4:$D$582,$B151,'март 2023'!$J$4:$J$582,AD$1)</f>
        <v>0</v>
      </c>
      <c r="AE151" s="207">
        <f>SUMIFS('март 2023'!$G$4:$G$582,'март 2023'!$D$4:$D$582,$B151,'март 2023'!$J$4:$J$582,AE$1)</f>
        <v>0</v>
      </c>
      <c r="AF151" s="207">
        <f>SUMIFS('март 2023'!$G$4:$G$582,'март 2023'!$D$4:$D$582,$B151,'март 2023'!$J$4:$J$582,AF$1)</f>
        <v>0</v>
      </c>
      <c r="AG151" s="207">
        <f>SUMIFS('март 2023'!$G$4:$G$582,'март 2023'!$D$4:$D$582,$B151,'март 2023'!$J$4:$J$582,AG$1)</f>
        <v>0</v>
      </c>
      <c r="AH151" s="207">
        <f>SUMIFS('март 2023'!$G$4:$G$582,'март 2023'!$D$4:$D$582,$B151,'март 2023'!$J$4:$J$582,AH$1)</f>
        <v>0</v>
      </c>
      <c r="AI151" s="220">
        <f t="shared" si="5"/>
        <v>0</v>
      </c>
    </row>
    <row r="152" spans="2:35" ht="15.75" hidden="1" x14ac:dyDescent="0.25">
      <c r="B152" s="212"/>
      <c r="C152" s="211"/>
      <c r="D152" s="207">
        <f>SUMIFS('март 2023'!$G$4:$G$582,'март 2023'!$D$4:$D$582,$B152,'март 2023'!$J$4:$J$582,D$1)</f>
        <v>0</v>
      </c>
      <c r="E152" s="207">
        <f>SUMIFS('март 2023'!$G$4:$G$582,'март 2023'!$D$4:$D$582,$B152,'март 2023'!$J$4:$J$582,E$1)</f>
        <v>0</v>
      </c>
      <c r="F152" s="207">
        <f>SUMIFS('март 2023'!$G$4:$G$582,'март 2023'!$D$4:$D$582,$B152,'март 2023'!$J$4:$J$582,F$1)</f>
        <v>0</v>
      </c>
      <c r="G152" s="207">
        <f>SUMIFS('март 2023'!$G$4:$G$582,'март 2023'!$D$4:$D$582,$B152,'март 2023'!$J$4:$J$582,G$1)</f>
        <v>0</v>
      </c>
      <c r="H152" s="207">
        <f>SUMIFS('март 2023'!$G$4:$G$582,'март 2023'!$D$4:$D$582,$B152,'март 2023'!$J$4:$J$582,H$1)</f>
        <v>0</v>
      </c>
      <c r="I152" s="207">
        <f>SUMIFS('март 2023'!$G$4:$G$582,'март 2023'!$D$4:$D$582,$B152,'март 2023'!$J$4:$J$582,I$1)</f>
        <v>0</v>
      </c>
      <c r="J152" s="207">
        <f>SUMIFS('март 2023'!$G$4:$G$582,'март 2023'!$D$4:$D$582,$B152,'март 2023'!$J$4:$J$582,J$1)</f>
        <v>0</v>
      </c>
      <c r="K152" s="207">
        <f>SUMIFS('март 2023'!$G$4:$G$582,'март 2023'!$D$4:$D$582,$B152,'март 2023'!$J$4:$J$582,K$1)</f>
        <v>0</v>
      </c>
      <c r="L152" s="207">
        <f>SUMIFS('март 2023'!$G$4:$G$582,'март 2023'!$D$4:$D$582,$B152,'март 2023'!$J$4:$J$582,L$1)</f>
        <v>0</v>
      </c>
      <c r="M152" s="207">
        <f>SUMIFS('март 2023'!$G$4:$G$582,'март 2023'!$D$4:$D$582,$B152,'март 2023'!$J$4:$J$582,M$1)</f>
        <v>0</v>
      </c>
      <c r="N152" s="207">
        <f>SUMIFS('март 2023'!$G$4:$G$582,'март 2023'!$D$4:$D$582,$B152,'март 2023'!$J$4:$J$582,N$1)</f>
        <v>0</v>
      </c>
      <c r="O152" s="207">
        <f>SUMIFS('март 2023'!$G$4:$G$582,'март 2023'!$D$4:$D$582,$B152,'март 2023'!$J$4:$J$582,O$1)</f>
        <v>0</v>
      </c>
      <c r="P152" s="207">
        <f>SUMIFS('март 2023'!$G$4:$G$582,'март 2023'!$D$4:$D$582,$B152,'март 2023'!$J$4:$J$582,P$1)</f>
        <v>0</v>
      </c>
      <c r="Q152" s="207">
        <f>SUMIFS('март 2023'!$G$4:$G$582,'март 2023'!$D$4:$D$582,$B152,'март 2023'!$J$4:$J$582,Q$1)</f>
        <v>0</v>
      </c>
      <c r="R152" s="207">
        <f>SUMIFS('март 2023'!$G$4:$G$582,'март 2023'!$D$4:$D$582,$B152,'март 2023'!$J$4:$J$582,R$1)</f>
        <v>0</v>
      </c>
      <c r="S152" s="207">
        <f>SUMIFS('март 2023'!$G$4:$G$582,'март 2023'!$D$4:$D$582,$B152,'март 2023'!$J$4:$J$582,S$1)</f>
        <v>0</v>
      </c>
      <c r="T152" s="207">
        <f>SUMIFS('март 2023'!$G$4:$G$582,'март 2023'!$D$4:$D$582,$B152,'март 2023'!$J$4:$J$582,T$1)</f>
        <v>0</v>
      </c>
      <c r="U152" s="207">
        <f>SUMIFS('март 2023'!$G$4:$G$582,'март 2023'!$D$4:$D$582,$B152,'март 2023'!$J$4:$J$582,U$1)</f>
        <v>0</v>
      </c>
      <c r="V152" s="207">
        <f>SUMIFS('март 2023'!$G$4:$G$582,'март 2023'!$D$4:$D$582,$B152,'март 2023'!$J$4:$J$582,V$1)</f>
        <v>0</v>
      </c>
      <c r="W152" s="207">
        <f>SUMIFS('март 2023'!$G$4:$G$582,'март 2023'!$D$4:$D$582,$B152,'март 2023'!$J$4:$J$582,W$1)</f>
        <v>0</v>
      </c>
      <c r="X152" s="207">
        <f>SUMIFS('март 2023'!$G$4:$G$582,'март 2023'!$D$4:$D$582,$B152,'март 2023'!$J$4:$J$582,X$1)</f>
        <v>0</v>
      </c>
      <c r="Y152" s="207">
        <f>SUMIFS('март 2023'!$G$4:$G$582,'март 2023'!$D$4:$D$582,$B152,'март 2023'!$J$4:$J$582,Y$1)</f>
        <v>0</v>
      </c>
      <c r="Z152" s="207">
        <f>SUMIFS('март 2023'!$G$4:$G$582,'март 2023'!$D$4:$D$582,$B152,'март 2023'!$J$4:$J$582,Z$1)</f>
        <v>0</v>
      </c>
      <c r="AA152" s="207">
        <f>SUMIFS('март 2023'!$G$4:$G$582,'март 2023'!$D$4:$D$582,$B152,'март 2023'!$J$4:$J$582,AA$1)</f>
        <v>0</v>
      </c>
      <c r="AB152" s="207">
        <f>SUMIFS('март 2023'!$G$4:$G$582,'март 2023'!$D$4:$D$582,$B152,'март 2023'!$J$4:$J$582,AB$1)</f>
        <v>0</v>
      </c>
      <c r="AC152" s="207">
        <f>SUMIFS('март 2023'!$G$4:$G$582,'март 2023'!$D$4:$D$582,$B152,'март 2023'!$J$4:$J$582,AC$1)</f>
        <v>0</v>
      </c>
      <c r="AD152" s="207">
        <f>SUMIFS('март 2023'!$G$4:$G$582,'март 2023'!$D$4:$D$582,$B152,'март 2023'!$J$4:$J$582,AD$1)</f>
        <v>0</v>
      </c>
      <c r="AE152" s="207">
        <f>SUMIFS('март 2023'!$G$4:$G$582,'март 2023'!$D$4:$D$582,$B152,'март 2023'!$J$4:$J$582,AE$1)</f>
        <v>0</v>
      </c>
      <c r="AF152" s="207">
        <f>SUMIFS('март 2023'!$G$4:$G$582,'март 2023'!$D$4:$D$582,$B152,'март 2023'!$J$4:$J$582,AF$1)</f>
        <v>0</v>
      </c>
      <c r="AG152" s="207">
        <f>SUMIFS('март 2023'!$G$4:$G$582,'март 2023'!$D$4:$D$582,$B152,'март 2023'!$J$4:$J$582,AG$1)</f>
        <v>0</v>
      </c>
      <c r="AH152" s="207">
        <f>SUMIFS('март 2023'!$G$4:$G$582,'март 2023'!$D$4:$D$582,$B152,'март 2023'!$J$4:$J$582,AH$1)</f>
        <v>0</v>
      </c>
      <c r="AI152" s="220">
        <f t="shared" si="5"/>
        <v>0</v>
      </c>
    </row>
    <row r="153" spans="2:35" ht="15.75" hidden="1" x14ac:dyDescent="0.25">
      <c r="B153" s="212"/>
      <c r="C153" s="211"/>
      <c r="D153" s="207">
        <f>SUMIFS('март 2023'!$G$4:$G$582,'март 2023'!$D$4:$D$582,$B153,'март 2023'!$J$4:$J$582,D$1)</f>
        <v>0</v>
      </c>
      <c r="E153" s="207">
        <f>SUMIFS('март 2023'!$G$4:$G$582,'март 2023'!$D$4:$D$582,$B153,'март 2023'!$J$4:$J$582,E$1)</f>
        <v>0</v>
      </c>
      <c r="F153" s="207">
        <f>SUMIFS('март 2023'!$G$4:$G$582,'март 2023'!$D$4:$D$582,$B153,'март 2023'!$J$4:$J$582,F$1)</f>
        <v>0</v>
      </c>
      <c r="G153" s="207">
        <f>SUMIFS('март 2023'!$G$4:$G$582,'март 2023'!$D$4:$D$582,$B153,'март 2023'!$J$4:$J$582,G$1)</f>
        <v>0</v>
      </c>
      <c r="H153" s="207">
        <f>SUMIFS('март 2023'!$G$4:$G$582,'март 2023'!$D$4:$D$582,$B153,'март 2023'!$J$4:$J$582,H$1)</f>
        <v>0</v>
      </c>
      <c r="I153" s="207">
        <f>SUMIFS('март 2023'!$G$4:$G$582,'март 2023'!$D$4:$D$582,$B153,'март 2023'!$J$4:$J$582,I$1)</f>
        <v>0</v>
      </c>
      <c r="J153" s="207">
        <f>SUMIFS('март 2023'!$G$4:$G$582,'март 2023'!$D$4:$D$582,$B153,'март 2023'!$J$4:$J$582,J$1)</f>
        <v>0</v>
      </c>
      <c r="K153" s="207">
        <f>SUMIFS('март 2023'!$G$4:$G$582,'март 2023'!$D$4:$D$582,$B153,'март 2023'!$J$4:$J$582,K$1)</f>
        <v>0</v>
      </c>
      <c r="L153" s="207">
        <f>SUMIFS('март 2023'!$G$4:$G$582,'март 2023'!$D$4:$D$582,$B153,'март 2023'!$J$4:$J$582,L$1)</f>
        <v>0</v>
      </c>
      <c r="M153" s="207">
        <f>SUMIFS('март 2023'!$G$4:$G$582,'март 2023'!$D$4:$D$582,$B153,'март 2023'!$J$4:$J$582,M$1)</f>
        <v>0</v>
      </c>
      <c r="N153" s="207">
        <f>SUMIFS('март 2023'!$G$4:$G$582,'март 2023'!$D$4:$D$582,$B153,'март 2023'!$J$4:$J$582,N$1)</f>
        <v>0</v>
      </c>
      <c r="O153" s="207">
        <f>SUMIFS('март 2023'!$G$4:$G$582,'март 2023'!$D$4:$D$582,$B153,'март 2023'!$J$4:$J$582,O$1)</f>
        <v>0</v>
      </c>
      <c r="P153" s="207">
        <f>SUMIFS('март 2023'!$G$4:$G$582,'март 2023'!$D$4:$D$582,$B153,'март 2023'!$J$4:$J$582,P$1)</f>
        <v>0</v>
      </c>
      <c r="Q153" s="207">
        <f>SUMIFS('март 2023'!$G$4:$G$582,'март 2023'!$D$4:$D$582,$B153,'март 2023'!$J$4:$J$582,Q$1)</f>
        <v>0</v>
      </c>
      <c r="R153" s="207">
        <f>SUMIFS('март 2023'!$G$4:$G$582,'март 2023'!$D$4:$D$582,$B153,'март 2023'!$J$4:$J$582,R$1)</f>
        <v>0</v>
      </c>
      <c r="S153" s="207">
        <f>SUMIFS('март 2023'!$G$4:$G$582,'март 2023'!$D$4:$D$582,$B153,'март 2023'!$J$4:$J$582,S$1)</f>
        <v>0</v>
      </c>
      <c r="T153" s="207">
        <f>SUMIFS('март 2023'!$G$4:$G$582,'март 2023'!$D$4:$D$582,$B153,'март 2023'!$J$4:$J$582,T$1)</f>
        <v>0</v>
      </c>
      <c r="U153" s="207">
        <f>SUMIFS('март 2023'!$G$4:$G$582,'март 2023'!$D$4:$D$582,$B153,'март 2023'!$J$4:$J$582,U$1)</f>
        <v>0</v>
      </c>
      <c r="V153" s="207">
        <f>SUMIFS('март 2023'!$G$4:$G$582,'март 2023'!$D$4:$D$582,$B153,'март 2023'!$J$4:$J$582,V$1)</f>
        <v>0</v>
      </c>
      <c r="W153" s="207">
        <f>SUMIFS('март 2023'!$G$4:$G$582,'март 2023'!$D$4:$D$582,$B153,'март 2023'!$J$4:$J$582,W$1)</f>
        <v>0</v>
      </c>
      <c r="X153" s="207">
        <f>SUMIFS('март 2023'!$G$4:$G$582,'март 2023'!$D$4:$D$582,$B153,'март 2023'!$J$4:$J$582,X$1)</f>
        <v>0</v>
      </c>
      <c r="Y153" s="207">
        <f>SUMIFS('март 2023'!$G$4:$G$582,'март 2023'!$D$4:$D$582,$B153,'март 2023'!$J$4:$J$582,Y$1)</f>
        <v>0</v>
      </c>
      <c r="Z153" s="207">
        <f>SUMIFS('март 2023'!$G$4:$G$582,'март 2023'!$D$4:$D$582,$B153,'март 2023'!$J$4:$J$582,Z$1)</f>
        <v>0</v>
      </c>
      <c r="AA153" s="207">
        <f>SUMIFS('март 2023'!$G$4:$G$582,'март 2023'!$D$4:$D$582,$B153,'март 2023'!$J$4:$J$582,AA$1)</f>
        <v>0</v>
      </c>
      <c r="AB153" s="207">
        <f>SUMIFS('март 2023'!$G$4:$G$582,'март 2023'!$D$4:$D$582,$B153,'март 2023'!$J$4:$J$582,AB$1)</f>
        <v>0</v>
      </c>
      <c r="AC153" s="207">
        <f>SUMIFS('март 2023'!$G$4:$G$582,'март 2023'!$D$4:$D$582,$B153,'март 2023'!$J$4:$J$582,AC$1)</f>
        <v>0</v>
      </c>
      <c r="AD153" s="207">
        <f>SUMIFS('март 2023'!$G$4:$G$582,'март 2023'!$D$4:$D$582,$B153,'март 2023'!$J$4:$J$582,AD$1)</f>
        <v>0</v>
      </c>
      <c r="AE153" s="207">
        <f>SUMIFS('март 2023'!$G$4:$G$582,'март 2023'!$D$4:$D$582,$B153,'март 2023'!$J$4:$J$582,AE$1)</f>
        <v>0</v>
      </c>
      <c r="AF153" s="207">
        <f>SUMIFS('март 2023'!$G$4:$G$582,'март 2023'!$D$4:$D$582,$B153,'март 2023'!$J$4:$J$582,AF$1)</f>
        <v>0</v>
      </c>
      <c r="AG153" s="207">
        <f>SUMIFS('март 2023'!$G$4:$G$582,'март 2023'!$D$4:$D$582,$B153,'март 2023'!$J$4:$J$582,AG$1)</f>
        <v>0</v>
      </c>
      <c r="AH153" s="207">
        <f>SUMIFS('март 2023'!$G$4:$G$582,'март 2023'!$D$4:$D$582,$B153,'март 2023'!$J$4:$J$582,AH$1)</f>
        <v>0</v>
      </c>
      <c r="AI153" s="220">
        <f t="shared" si="5"/>
        <v>0</v>
      </c>
    </row>
    <row r="154" spans="2:35" ht="15.75" hidden="1" x14ac:dyDescent="0.25">
      <c r="B154" s="212"/>
      <c r="C154" s="211"/>
      <c r="D154" s="207">
        <f>SUMIFS('март 2023'!$G$4:$G$582,'март 2023'!$D$4:$D$582,$B154,'март 2023'!$J$4:$J$582,D$1)</f>
        <v>0</v>
      </c>
      <c r="E154" s="207">
        <f>SUMIFS('март 2023'!$G$4:$G$582,'март 2023'!$D$4:$D$582,$B154,'март 2023'!$J$4:$J$582,E$1)</f>
        <v>0</v>
      </c>
      <c r="F154" s="207">
        <f>SUMIFS('март 2023'!$G$4:$G$582,'март 2023'!$D$4:$D$582,$B154,'март 2023'!$J$4:$J$582,F$1)</f>
        <v>0</v>
      </c>
      <c r="G154" s="207">
        <f>SUMIFS('март 2023'!$G$4:$G$582,'март 2023'!$D$4:$D$582,$B154,'март 2023'!$J$4:$J$582,G$1)</f>
        <v>0</v>
      </c>
      <c r="H154" s="207">
        <f>SUMIFS('март 2023'!$G$4:$G$582,'март 2023'!$D$4:$D$582,$B154,'март 2023'!$J$4:$J$582,H$1)</f>
        <v>0</v>
      </c>
      <c r="I154" s="207">
        <f>SUMIFS('март 2023'!$G$4:$G$582,'март 2023'!$D$4:$D$582,$B154,'март 2023'!$J$4:$J$582,I$1)</f>
        <v>0</v>
      </c>
      <c r="J154" s="207">
        <f>SUMIFS('март 2023'!$G$4:$G$582,'март 2023'!$D$4:$D$582,$B154,'март 2023'!$J$4:$J$582,J$1)</f>
        <v>0</v>
      </c>
      <c r="K154" s="207">
        <f>SUMIFS('март 2023'!$G$4:$G$582,'март 2023'!$D$4:$D$582,$B154,'март 2023'!$J$4:$J$582,K$1)</f>
        <v>0</v>
      </c>
      <c r="L154" s="207">
        <f>SUMIFS('март 2023'!$G$4:$G$582,'март 2023'!$D$4:$D$582,$B154,'март 2023'!$J$4:$J$582,L$1)</f>
        <v>0</v>
      </c>
      <c r="M154" s="207">
        <f>SUMIFS('март 2023'!$G$4:$G$582,'март 2023'!$D$4:$D$582,$B154,'март 2023'!$J$4:$J$582,M$1)</f>
        <v>0</v>
      </c>
      <c r="N154" s="207">
        <f>SUMIFS('март 2023'!$G$4:$G$582,'март 2023'!$D$4:$D$582,$B154,'март 2023'!$J$4:$J$582,N$1)</f>
        <v>0</v>
      </c>
      <c r="O154" s="207">
        <f>SUMIFS('март 2023'!$G$4:$G$582,'март 2023'!$D$4:$D$582,$B154,'март 2023'!$J$4:$J$582,O$1)</f>
        <v>0</v>
      </c>
      <c r="P154" s="207">
        <f>SUMIFS('март 2023'!$G$4:$G$582,'март 2023'!$D$4:$D$582,$B154,'март 2023'!$J$4:$J$582,P$1)</f>
        <v>0</v>
      </c>
      <c r="Q154" s="207">
        <f>SUMIFS('март 2023'!$G$4:$G$582,'март 2023'!$D$4:$D$582,$B154,'март 2023'!$J$4:$J$582,Q$1)</f>
        <v>0</v>
      </c>
      <c r="R154" s="207">
        <f>SUMIFS('март 2023'!$G$4:$G$582,'март 2023'!$D$4:$D$582,$B154,'март 2023'!$J$4:$J$582,R$1)</f>
        <v>0</v>
      </c>
      <c r="S154" s="207">
        <f>SUMIFS('март 2023'!$G$4:$G$582,'март 2023'!$D$4:$D$582,$B154,'март 2023'!$J$4:$J$582,S$1)</f>
        <v>0</v>
      </c>
      <c r="T154" s="207">
        <f>SUMIFS('март 2023'!$G$4:$G$582,'март 2023'!$D$4:$D$582,$B154,'март 2023'!$J$4:$J$582,T$1)</f>
        <v>0</v>
      </c>
      <c r="U154" s="207">
        <f>SUMIFS('март 2023'!$G$4:$G$582,'март 2023'!$D$4:$D$582,$B154,'март 2023'!$J$4:$J$582,U$1)</f>
        <v>0</v>
      </c>
      <c r="V154" s="207">
        <f>SUMIFS('март 2023'!$G$4:$G$582,'март 2023'!$D$4:$D$582,$B154,'март 2023'!$J$4:$J$582,V$1)</f>
        <v>0</v>
      </c>
      <c r="W154" s="207">
        <f>SUMIFS('март 2023'!$G$4:$G$582,'март 2023'!$D$4:$D$582,$B154,'март 2023'!$J$4:$J$582,W$1)</f>
        <v>0</v>
      </c>
      <c r="X154" s="207">
        <f>SUMIFS('март 2023'!$G$4:$G$582,'март 2023'!$D$4:$D$582,$B154,'март 2023'!$J$4:$J$582,X$1)</f>
        <v>0</v>
      </c>
      <c r="Y154" s="207">
        <f>SUMIFS('март 2023'!$G$4:$G$582,'март 2023'!$D$4:$D$582,$B154,'март 2023'!$J$4:$J$582,Y$1)</f>
        <v>0</v>
      </c>
      <c r="Z154" s="207">
        <f>SUMIFS('март 2023'!$G$4:$G$582,'март 2023'!$D$4:$D$582,$B154,'март 2023'!$J$4:$J$582,Z$1)</f>
        <v>0</v>
      </c>
      <c r="AA154" s="207">
        <f>SUMIFS('март 2023'!$G$4:$G$582,'март 2023'!$D$4:$D$582,$B154,'март 2023'!$J$4:$J$582,AA$1)</f>
        <v>0</v>
      </c>
      <c r="AB154" s="207">
        <f>SUMIFS('март 2023'!$G$4:$G$582,'март 2023'!$D$4:$D$582,$B154,'март 2023'!$J$4:$J$582,AB$1)</f>
        <v>0</v>
      </c>
      <c r="AC154" s="207">
        <f>SUMIFS('март 2023'!$G$4:$G$582,'март 2023'!$D$4:$D$582,$B154,'март 2023'!$J$4:$J$582,AC$1)</f>
        <v>0</v>
      </c>
      <c r="AD154" s="207">
        <f>SUMIFS('март 2023'!$G$4:$G$582,'март 2023'!$D$4:$D$582,$B154,'март 2023'!$J$4:$J$582,AD$1)</f>
        <v>0</v>
      </c>
      <c r="AE154" s="207">
        <f>SUMIFS('март 2023'!$G$4:$G$582,'март 2023'!$D$4:$D$582,$B154,'март 2023'!$J$4:$J$582,AE$1)</f>
        <v>0</v>
      </c>
      <c r="AF154" s="207">
        <f>SUMIFS('март 2023'!$G$4:$G$582,'март 2023'!$D$4:$D$582,$B154,'март 2023'!$J$4:$J$582,AF$1)</f>
        <v>0</v>
      </c>
      <c r="AG154" s="207">
        <f>SUMIFS('март 2023'!$G$4:$G$582,'март 2023'!$D$4:$D$582,$B154,'март 2023'!$J$4:$J$582,AG$1)</f>
        <v>0</v>
      </c>
      <c r="AH154" s="207">
        <f>SUMIFS('март 2023'!$G$4:$G$582,'март 2023'!$D$4:$D$582,$B154,'март 2023'!$J$4:$J$582,AH$1)</f>
        <v>0</v>
      </c>
      <c r="AI154" s="220">
        <f t="shared" si="5"/>
        <v>0</v>
      </c>
    </row>
    <row r="155" spans="2:35" ht="15.75" hidden="1" x14ac:dyDescent="0.25">
      <c r="B155" s="212"/>
      <c r="C155" s="211"/>
      <c r="D155" s="207">
        <f>SUMIFS('март 2023'!$G$4:$G$582,'март 2023'!$D$4:$D$582,$B155,'март 2023'!$J$4:$J$582,D$1)</f>
        <v>0</v>
      </c>
      <c r="E155" s="207">
        <f>SUMIFS('март 2023'!$G$4:$G$582,'март 2023'!$D$4:$D$582,$B155,'март 2023'!$J$4:$J$582,E$1)</f>
        <v>0</v>
      </c>
      <c r="F155" s="207">
        <f>SUMIFS('март 2023'!$G$4:$G$582,'март 2023'!$D$4:$D$582,$B155,'март 2023'!$J$4:$J$582,F$1)</f>
        <v>0</v>
      </c>
      <c r="G155" s="207">
        <f>SUMIFS('март 2023'!$G$4:$G$582,'март 2023'!$D$4:$D$582,$B155,'март 2023'!$J$4:$J$582,G$1)</f>
        <v>0</v>
      </c>
      <c r="H155" s="207">
        <f>SUMIFS('март 2023'!$G$4:$G$582,'март 2023'!$D$4:$D$582,$B155,'март 2023'!$J$4:$J$582,H$1)</f>
        <v>0</v>
      </c>
      <c r="I155" s="207">
        <f>SUMIFS('март 2023'!$G$4:$G$582,'март 2023'!$D$4:$D$582,$B155,'март 2023'!$J$4:$J$582,I$1)</f>
        <v>0</v>
      </c>
      <c r="J155" s="207">
        <f>SUMIFS('март 2023'!$G$4:$G$582,'март 2023'!$D$4:$D$582,$B155,'март 2023'!$J$4:$J$582,J$1)</f>
        <v>0</v>
      </c>
      <c r="K155" s="207">
        <f>SUMIFS('март 2023'!$G$4:$G$582,'март 2023'!$D$4:$D$582,$B155,'март 2023'!$J$4:$J$582,K$1)</f>
        <v>0</v>
      </c>
      <c r="L155" s="207">
        <f>SUMIFS('март 2023'!$G$4:$G$582,'март 2023'!$D$4:$D$582,$B155,'март 2023'!$J$4:$J$582,L$1)</f>
        <v>0</v>
      </c>
      <c r="M155" s="207">
        <f>SUMIFS('март 2023'!$G$4:$G$582,'март 2023'!$D$4:$D$582,$B155,'март 2023'!$J$4:$J$582,M$1)</f>
        <v>0</v>
      </c>
      <c r="N155" s="207">
        <f>SUMIFS('март 2023'!$G$4:$G$582,'март 2023'!$D$4:$D$582,$B155,'март 2023'!$J$4:$J$582,N$1)</f>
        <v>0</v>
      </c>
      <c r="O155" s="207">
        <f>SUMIFS('март 2023'!$G$4:$G$582,'март 2023'!$D$4:$D$582,$B155,'март 2023'!$J$4:$J$582,O$1)</f>
        <v>0</v>
      </c>
      <c r="P155" s="207">
        <f>SUMIFS('март 2023'!$G$4:$G$582,'март 2023'!$D$4:$D$582,$B155,'март 2023'!$J$4:$J$582,P$1)</f>
        <v>0</v>
      </c>
      <c r="Q155" s="207">
        <f>SUMIFS('март 2023'!$G$4:$G$582,'март 2023'!$D$4:$D$582,$B155,'март 2023'!$J$4:$J$582,Q$1)</f>
        <v>0</v>
      </c>
      <c r="R155" s="207">
        <f>SUMIFS('март 2023'!$G$4:$G$582,'март 2023'!$D$4:$D$582,$B155,'март 2023'!$J$4:$J$582,R$1)</f>
        <v>0</v>
      </c>
      <c r="S155" s="207">
        <f>SUMIFS('март 2023'!$G$4:$G$582,'март 2023'!$D$4:$D$582,$B155,'март 2023'!$J$4:$J$582,S$1)</f>
        <v>0</v>
      </c>
      <c r="T155" s="207">
        <f>SUMIFS('март 2023'!$G$4:$G$582,'март 2023'!$D$4:$D$582,$B155,'март 2023'!$J$4:$J$582,T$1)</f>
        <v>0</v>
      </c>
      <c r="U155" s="207">
        <f>SUMIFS('март 2023'!$G$4:$G$582,'март 2023'!$D$4:$D$582,$B155,'март 2023'!$J$4:$J$582,U$1)</f>
        <v>0</v>
      </c>
      <c r="V155" s="207">
        <f>SUMIFS('март 2023'!$G$4:$G$582,'март 2023'!$D$4:$D$582,$B155,'март 2023'!$J$4:$J$582,V$1)</f>
        <v>0</v>
      </c>
      <c r="W155" s="207">
        <f>SUMIFS('март 2023'!$G$4:$G$582,'март 2023'!$D$4:$D$582,$B155,'март 2023'!$J$4:$J$582,W$1)</f>
        <v>0</v>
      </c>
      <c r="X155" s="207">
        <f>SUMIFS('март 2023'!$G$4:$G$582,'март 2023'!$D$4:$D$582,$B155,'март 2023'!$J$4:$J$582,X$1)</f>
        <v>0</v>
      </c>
      <c r="Y155" s="207">
        <f>SUMIFS('март 2023'!$G$4:$G$582,'март 2023'!$D$4:$D$582,$B155,'март 2023'!$J$4:$J$582,Y$1)</f>
        <v>0</v>
      </c>
      <c r="Z155" s="207">
        <f>SUMIFS('март 2023'!$G$4:$G$582,'март 2023'!$D$4:$D$582,$B155,'март 2023'!$J$4:$J$582,Z$1)</f>
        <v>0</v>
      </c>
      <c r="AA155" s="207">
        <f>SUMIFS('март 2023'!$G$4:$G$582,'март 2023'!$D$4:$D$582,$B155,'март 2023'!$J$4:$J$582,AA$1)</f>
        <v>0</v>
      </c>
      <c r="AB155" s="207">
        <f>SUMIFS('март 2023'!$G$4:$G$582,'март 2023'!$D$4:$D$582,$B155,'март 2023'!$J$4:$J$582,AB$1)</f>
        <v>0</v>
      </c>
      <c r="AC155" s="207">
        <f>SUMIFS('март 2023'!$G$4:$G$582,'март 2023'!$D$4:$D$582,$B155,'март 2023'!$J$4:$J$582,AC$1)</f>
        <v>0</v>
      </c>
      <c r="AD155" s="207">
        <f>SUMIFS('март 2023'!$G$4:$G$582,'март 2023'!$D$4:$D$582,$B155,'март 2023'!$J$4:$J$582,AD$1)</f>
        <v>0</v>
      </c>
      <c r="AE155" s="207">
        <f>SUMIFS('март 2023'!$G$4:$G$582,'март 2023'!$D$4:$D$582,$B155,'март 2023'!$J$4:$J$582,AE$1)</f>
        <v>0</v>
      </c>
      <c r="AF155" s="207">
        <f>SUMIFS('март 2023'!$G$4:$G$582,'март 2023'!$D$4:$D$582,$B155,'март 2023'!$J$4:$J$582,AF$1)</f>
        <v>0</v>
      </c>
      <c r="AG155" s="207">
        <f>SUMIFS('март 2023'!$G$4:$G$582,'март 2023'!$D$4:$D$582,$B155,'март 2023'!$J$4:$J$582,AG$1)</f>
        <v>0</v>
      </c>
      <c r="AH155" s="207">
        <f>SUMIFS('март 2023'!$G$4:$G$582,'март 2023'!$D$4:$D$582,$B155,'март 2023'!$J$4:$J$582,AH$1)</f>
        <v>0</v>
      </c>
      <c r="AI155" s="220">
        <f t="shared" si="5"/>
        <v>0</v>
      </c>
    </row>
    <row r="156" spans="2:35" ht="15.75" hidden="1" x14ac:dyDescent="0.25">
      <c r="B156" s="212"/>
      <c r="C156" s="211"/>
      <c r="D156" s="207">
        <f>SUMIFS('март 2023'!$G$4:$G$582,'март 2023'!$D$4:$D$582,$B156,'март 2023'!$J$4:$J$582,D$1)</f>
        <v>0</v>
      </c>
      <c r="E156" s="207">
        <f>SUMIFS('март 2023'!$G$4:$G$582,'март 2023'!$D$4:$D$582,$B156,'март 2023'!$J$4:$J$582,E$1)</f>
        <v>0</v>
      </c>
      <c r="F156" s="207">
        <f>SUMIFS('март 2023'!$G$4:$G$582,'март 2023'!$D$4:$D$582,$B156,'март 2023'!$J$4:$J$582,F$1)</f>
        <v>0</v>
      </c>
      <c r="G156" s="207">
        <f>SUMIFS('март 2023'!$G$4:$G$582,'март 2023'!$D$4:$D$582,$B156,'март 2023'!$J$4:$J$582,G$1)</f>
        <v>0</v>
      </c>
      <c r="H156" s="207">
        <f>SUMIFS('март 2023'!$G$4:$G$582,'март 2023'!$D$4:$D$582,$B156,'март 2023'!$J$4:$J$582,H$1)</f>
        <v>0</v>
      </c>
      <c r="I156" s="207">
        <f>SUMIFS('март 2023'!$G$4:$G$582,'март 2023'!$D$4:$D$582,$B156,'март 2023'!$J$4:$J$582,I$1)</f>
        <v>0</v>
      </c>
      <c r="J156" s="207">
        <f>SUMIFS('март 2023'!$G$4:$G$582,'март 2023'!$D$4:$D$582,$B156,'март 2023'!$J$4:$J$582,J$1)</f>
        <v>0</v>
      </c>
      <c r="K156" s="207">
        <f>SUMIFS('март 2023'!$G$4:$G$582,'март 2023'!$D$4:$D$582,$B156,'март 2023'!$J$4:$J$582,K$1)</f>
        <v>0</v>
      </c>
      <c r="L156" s="207">
        <f>SUMIFS('март 2023'!$G$4:$G$582,'март 2023'!$D$4:$D$582,$B156,'март 2023'!$J$4:$J$582,L$1)</f>
        <v>0</v>
      </c>
      <c r="M156" s="207">
        <f>SUMIFS('март 2023'!$G$4:$G$582,'март 2023'!$D$4:$D$582,$B156,'март 2023'!$J$4:$J$582,M$1)</f>
        <v>0</v>
      </c>
      <c r="N156" s="207">
        <f>SUMIFS('март 2023'!$G$4:$G$582,'март 2023'!$D$4:$D$582,$B156,'март 2023'!$J$4:$J$582,N$1)</f>
        <v>0</v>
      </c>
      <c r="O156" s="207">
        <f>SUMIFS('март 2023'!$G$4:$G$582,'март 2023'!$D$4:$D$582,$B156,'март 2023'!$J$4:$J$582,O$1)</f>
        <v>0</v>
      </c>
      <c r="P156" s="207">
        <f>SUMIFS('март 2023'!$G$4:$G$582,'март 2023'!$D$4:$D$582,$B156,'март 2023'!$J$4:$J$582,P$1)</f>
        <v>0</v>
      </c>
      <c r="Q156" s="207">
        <f>SUMIFS('март 2023'!$G$4:$G$582,'март 2023'!$D$4:$D$582,$B156,'март 2023'!$J$4:$J$582,Q$1)</f>
        <v>0</v>
      </c>
      <c r="R156" s="207">
        <f>SUMIFS('март 2023'!$G$4:$G$582,'март 2023'!$D$4:$D$582,$B156,'март 2023'!$J$4:$J$582,R$1)</f>
        <v>0</v>
      </c>
      <c r="S156" s="207">
        <f>SUMIFS('март 2023'!$G$4:$G$582,'март 2023'!$D$4:$D$582,$B156,'март 2023'!$J$4:$J$582,S$1)</f>
        <v>0</v>
      </c>
      <c r="T156" s="207">
        <f>SUMIFS('март 2023'!$G$4:$G$582,'март 2023'!$D$4:$D$582,$B156,'март 2023'!$J$4:$J$582,T$1)</f>
        <v>0</v>
      </c>
      <c r="U156" s="207">
        <f>SUMIFS('март 2023'!$G$4:$G$582,'март 2023'!$D$4:$D$582,$B156,'март 2023'!$J$4:$J$582,U$1)</f>
        <v>0</v>
      </c>
      <c r="V156" s="207">
        <f>SUMIFS('март 2023'!$G$4:$G$582,'март 2023'!$D$4:$D$582,$B156,'март 2023'!$J$4:$J$582,V$1)</f>
        <v>0</v>
      </c>
      <c r="W156" s="207">
        <f>SUMIFS('март 2023'!$G$4:$G$582,'март 2023'!$D$4:$D$582,$B156,'март 2023'!$J$4:$J$582,W$1)</f>
        <v>0</v>
      </c>
      <c r="X156" s="207">
        <f>SUMIFS('март 2023'!$G$4:$G$582,'март 2023'!$D$4:$D$582,$B156,'март 2023'!$J$4:$J$582,X$1)</f>
        <v>0</v>
      </c>
      <c r="Y156" s="207">
        <f>SUMIFS('март 2023'!$G$4:$G$582,'март 2023'!$D$4:$D$582,$B156,'март 2023'!$J$4:$J$582,Y$1)</f>
        <v>0</v>
      </c>
      <c r="Z156" s="207">
        <f>SUMIFS('март 2023'!$G$4:$G$582,'март 2023'!$D$4:$D$582,$B156,'март 2023'!$J$4:$J$582,Z$1)</f>
        <v>0</v>
      </c>
      <c r="AA156" s="207">
        <f>SUMIFS('март 2023'!$G$4:$G$582,'март 2023'!$D$4:$D$582,$B156,'март 2023'!$J$4:$J$582,AA$1)</f>
        <v>0</v>
      </c>
      <c r="AB156" s="207">
        <f>SUMIFS('март 2023'!$G$4:$G$582,'март 2023'!$D$4:$D$582,$B156,'март 2023'!$J$4:$J$582,AB$1)</f>
        <v>0</v>
      </c>
      <c r="AC156" s="207">
        <f>SUMIFS('март 2023'!$G$4:$G$582,'март 2023'!$D$4:$D$582,$B156,'март 2023'!$J$4:$J$582,AC$1)</f>
        <v>0</v>
      </c>
      <c r="AD156" s="207">
        <f>SUMIFS('март 2023'!$G$4:$G$582,'март 2023'!$D$4:$D$582,$B156,'март 2023'!$J$4:$J$582,AD$1)</f>
        <v>0</v>
      </c>
      <c r="AE156" s="207">
        <f>SUMIFS('март 2023'!$G$4:$G$582,'март 2023'!$D$4:$D$582,$B156,'март 2023'!$J$4:$J$582,AE$1)</f>
        <v>0</v>
      </c>
      <c r="AF156" s="207">
        <f>SUMIFS('март 2023'!$G$4:$G$582,'март 2023'!$D$4:$D$582,$B156,'март 2023'!$J$4:$J$582,AF$1)</f>
        <v>0</v>
      </c>
      <c r="AG156" s="207">
        <f>SUMIFS('март 2023'!$G$4:$G$582,'март 2023'!$D$4:$D$582,$B156,'март 2023'!$J$4:$J$582,AG$1)</f>
        <v>0</v>
      </c>
      <c r="AH156" s="207">
        <f>SUMIFS('март 2023'!$G$4:$G$582,'март 2023'!$D$4:$D$582,$B156,'март 2023'!$J$4:$J$582,AH$1)</f>
        <v>0</v>
      </c>
      <c r="AI156" s="220">
        <f t="shared" si="5"/>
        <v>0</v>
      </c>
    </row>
    <row r="157" spans="2:35" ht="15.75" hidden="1" x14ac:dyDescent="0.25">
      <c r="B157" s="212"/>
      <c r="C157" s="211"/>
      <c r="D157" s="207">
        <f>SUMIFS('март 2023'!$G$4:$G$582,'март 2023'!$D$4:$D$582,$B157,'март 2023'!$J$4:$J$582,D$1)</f>
        <v>0</v>
      </c>
      <c r="E157" s="207">
        <f>SUMIFS('март 2023'!$G$4:$G$582,'март 2023'!$D$4:$D$582,$B157,'март 2023'!$J$4:$J$582,E$1)</f>
        <v>0</v>
      </c>
      <c r="F157" s="207">
        <f>SUMIFS('март 2023'!$G$4:$G$582,'март 2023'!$D$4:$D$582,$B157,'март 2023'!$J$4:$J$582,F$1)</f>
        <v>0</v>
      </c>
      <c r="G157" s="207">
        <f>SUMIFS('март 2023'!$G$4:$G$582,'март 2023'!$D$4:$D$582,$B157,'март 2023'!$J$4:$J$582,G$1)</f>
        <v>0</v>
      </c>
      <c r="H157" s="207">
        <f>SUMIFS('март 2023'!$G$4:$G$582,'март 2023'!$D$4:$D$582,$B157,'март 2023'!$J$4:$J$582,H$1)</f>
        <v>0</v>
      </c>
      <c r="I157" s="207">
        <f>SUMIFS('март 2023'!$G$4:$G$582,'март 2023'!$D$4:$D$582,$B157,'март 2023'!$J$4:$J$582,I$1)</f>
        <v>0</v>
      </c>
      <c r="J157" s="207">
        <f>SUMIFS('март 2023'!$G$4:$G$582,'март 2023'!$D$4:$D$582,$B157,'март 2023'!$J$4:$J$582,J$1)</f>
        <v>0</v>
      </c>
      <c r="K157" s="207">
        <f>SUMIFS('март 2023'!$G$4:$G$582,'март 2023'!$D$4:$D$582,$B157,'март 2023'!$J$4:$J$582,K$1)</f>
        <v>0</v>
      </c>
      <c r="L157" s="207">
        <f>SUMIFS('март 2023'!$G$4:$G$582,'март 2023'!$D$4:$D$582,$B157,'март 2023'!$J$4:$J$582,L$1)</f>
        <v>0</v>
      </c>
      <c r="M157" s="207">
        <f>SUMIFS('март 2023'!$G$4:$G$582,'март 2023'!$D$4:$D$582,$B157,'март 2023'!$J$4:$J$582,M$1)</f>
        <v>0</v>
      </c>
      <c r="N157" s="207">
        <f>SUMIFS('март 2023'!$G$4:$G$582,'март 2023'!$D$4:$D$582,$B157,'март 2023'!$J$4:$J$582,N$1)</f>
        <v>0</v>
      </c>
      <c r="O157" s="207">
        <f>SUMIFS('март 2023'!$G$4:$G$582,'март 2023'!$D$4:$D$582,$B157,'март 2023'!$J$4:$J$582,O$1)</f>
        <v>0</v>
      </c>
      <c r="P157" s="207">
        <f>SUMIFS('март 2023'!$G$4:$G$582,'март 2023'!$D$4:$D$582,$B157,'март 2023'!$J$4:$J$582,P$1)</f>
        <v>0</v>
      </c>
      <c r="Q157" s="207">
        <f>SUMIFS('март 2023'!$G$4:$G$582,'март 2023'!$D$4:$D$582,$B157,'март 2023'!$J$4:$J$582,Q$1)</f>
        <v>0</v>
      </c>
      <c r="R157" s="207">
        <f>SUMIFS('март 2023'!$G$4:$G$582,'март 2023'!$D$4:$D$582,$B157,'март 2023'!$J$4:$J$582,R$1)</f>
        <v>0</v>
      </c>
      <c r="S157" s="207">
        <f>SUMIFS('март 2023'!$G$4:$G$582,'март 2023'!$D$4:$D$582,$B157,'март 2023'!$J$4:$J$582,S$1)</f>
        <v>0</v>
      </c>
      <c r="T157" s="207">
        <f>SUMIFS('март 2023'!$G$4:$G$582,'март 2023'!$D$4:$D$582,$B157,'март 2023'!$J$4:$J$582,T$1)</f>
        <v>0</v>
      </c>
      <c r="U157" s="207">
        <f>SUMIFS('март 2023'!$G$4:$G$582,'март 2023'!$D$4:$D$582,$B157,'март 2023'!$J$4:$J$582,U$1)</f>
        <v>0</v>
      </c>
      <c r="V157" s="207">
        <f>SUMIFS('март 2023'!$G$4:$G$582,'март 2023'!$D$4:$D$582,$B157,'март 2023'!$J$4:$J$582,V$1)</f>
        <v>0</v>
      </c>
      <c r="W157" s="207">
        <f>SUMIFS('март 2023'!$G$4:$G$582,'март 2023'!$D$4:$D$582,$B157,'март 2023'!$J$4:$J$582,W$1)</f>
        <v>0</v>
      </c>
      <c r="X157" s="207">
        <f>SUMIFS('март 2023'!$G$4:$G$582,'март 2023'!$D$4:$D$582,$B157,'март 2023'!$J$4:$J$582,X$1)</f>
        <v>0</v>
      </c>
      <c r="Y157" s="207">
        <f>SUMIFS('март 2023'!$G$4:$G$582,'март 2023'!$D$4:$D$582,$B157,'март 2023'!$J$4:$J$582,Y$1)</f>
        <v>0</v>
      </c>
      <c r="Z157" s="207">
        <f>SUMIFS('март 2023'!$G$4:$G$582,'март 2023'!$D$4:$D$582,$B157,'март 2023'!$J$4:$J$582,Z$1)</f>
        <v>0</v>
      </c>
      <c r="AA157" s="207">
        <f>SUMIFS('март 2023'!$G$4:$G$582,'март 2023'!$D$4:$D$582,$B157,'март 2023'!$J$4:$J$582,AA$1)</f>
        <v>0</v>
      </c>
      <c r="AB157" s="207">
        <f>SUMIFS('март 2023'!$G$4:$G$582,'март 2023'!$D$4:$D$582,$B157,'март 2023'!$J$4:$J$582,AB$1)</f>
        <v>0</v>
      </c>
      <c r="AC157" s="207">
        <f>SUMIFS('март 2023'!$G$4:$G$582,'март 2023'!$D$4:$D$582,$B157,'март 2023'!$J$4:$J$582,AC$1)</f>
        <v>0</v>
      </c>
      <c r="AD157" s="207">
        <f>SUMIFS('март 2023'!$G$4:$G$582,'март 2023'!$D$4:$D$582,$B157,'март 2023'!$J$4:$J$582,AD$1)</f>
        <v>0</v>
      </c>
      <c r="AE157" s="207">
        <f>SUMIFS('март 2023'!$G$4:$G$582,'март 2023'!$D$4:$D$582,$B157,'март 2023'!$J$4:$J$582,AE$1)</f>
        <v>0</v>
      </c>
      <c r="AF157" s="207">
        <f>SUMIFS('март 2023'!$G$4:$G$582,'март 2023'!$D$4:$D$582,$B157,'март 2023'!$J$4:$J$582,AF$1)</f>
        <v>0</v>
      </c>
      <c r="AG157" s="207">
        <f>SUMIFS('март 2023'!$G$4:$G$582,'март 2023'!$D$4:$D$582,$B157,'март 2023'!$J$4:$J$582,AG$1)</f>
        <v>0</v>
      </c>
      <c r="AH157" s="207">
        <f>SUMIFS('март 2023'!$G$4:$G$582,'март 2023'!$D$4:$D$582,$B157,'март 2023'!$J$4:$J$582,AH$1)</f>
        <v>0</v>
      </c>
      <c r="AI157" s="220">
        <f t="shared" si="5"/>
        <v>0</v>
      </c>
    </row>
    <row r="158" spans="2:35" ht="15.75" hidden="1" x14ac:dyDescent="0.25">
      <c r="B158" s="212"/>
      <c r="C158" s="211"/>
      <c r="D158" s="207">
        <f>SUMIFS('март 2023'!$G$4:$G$582,'март 2023'!$D$4:$D$582,$B158,'март 2023'!$J$4:$J$582,D$1)</f>
        <v>0</v>
      </c>
      <c r="E158" s="207">
        <f>SUMIFS('март 2023'!$G$4:$G$582,'март 2023'!$D$4:$D$582,$B158,'март 2023'!$J$4:$J$582,E$1)</f>
        <v>0</v>
      </c>
      <c r="F158" s="207">
        <f>SUMIFS('март 2023'!$G$4:$G$582,'март 2023'!$D$4:$D$582,$B158,'март 2023'!$J$4:$J$582,F$1)</f>
        <v>0</v>
      </c>
      <c r="G158" s="207">
        <f>SUMIFS('март 2023'!$G$4:$G$582,'март 2023'!$D$4:$D$582,$B158,'март 2023'!$J$4:$J$582,G$1)</f>
        <v>0</v>
      </c>
      <c r="H158" s="207">
        <f>SUMIFS('март 2023'!$G$4:$G$582,'март 2023'!$D$4:$D$582,$B158,'март 2023'!$J$4:$J$582,H$1)</f>
        <v>0</v>
      </c>
      <c r="I158" s="207">
        <f>SUMIFS('март 2023'!$G$4:$G$582,'март 2023'!$D$4:$D$582,$B158,'март 2023'!$J$4:$J$582,I$1)</f>
        <v>0</v>
      </c>
      <c r="J158" s="207">
        <f>SUMIFS('март 2023'!$G$4:$G$582,'март 2023'!$D$4:$D$582,$B158,'март 2023'!$J$4:$J$582,J$1)</f>
        <v>0</v>
      </c>
      <c r="K158" s="207">
        <f>SUMIFS('март 2023'!$G$4:$G$582,'март 2023'!$D$4:$D$582,$B158,'март 2023'!$J$4:$J$582,K$1)</f>
        <v>0</v>
      </c>
      <c r="L158" s="207">
        <f>SUMIFS('март 2023'!$G$4:$G$582,'март 2023'!$D$4:$D$582,$B158,'март 2023'!$J$4:$J$582,L$1)</f>
        <v>0</v>
      </c>
      <c r="M158" s="207">
        <f>SUMIFS('март 2023'!$G$4:$G$582,'март 2023'!$D$4:$D$582,$B158,'март 2023'!$J$4:$J$582,M$1)</f>
        <v>0</v>
      </c>
      <c r="N158" s="207">
        <f>SUMIFS('март 2023'!$G$4:$G$582,'март 2023'!$D$4:$D$582,$B158,'март 2023'!$J$4:$J$582,N$1)</f>
        <v>0</v>
      </c>
      <c r="O158" s="207">
        <f>SUMIFS('март 2023'!$G$4:$G$582,'март 2023'!$D$4:$D$582,$B158,'март 2023'!$J$4:$J$582,O$1)</f>
        <v>0</v>
      </c>
      <c r="P158" s="207">
        <f>SUMIFS('март 2023'!$G$4:$G$582,'март 2023'!$D$4:$D$582,$B158,'март 2023'!$J$4:$J$582,P$1)</f>
        <v>0</v>
      </c>
      <c r="Q158" s="207">
        <f>SUMIFS('март 2023'!$G$4:$G$582,'март 2023'!$D$4:$D$582,$B158,'март 2023'!$J$4:$J$582,Q$1)</f>
        <v>0</v>
      </c>
      <c r="R158" s="207">
        <f>SUMIFS('март 2023'!$G$4:$G$582,'март 2023'!$D$4:$D$582,$B158,'март 2023'!$J$4:$J$582,R$1)</f>
        <v>0</v>
      </c>
      <c r="S158" s="207">
        <f>SUMIFS('март 2023'!$G$4:$G$582,'март 2023'!$D$4:$D$582,$B158,'март 2023'!$J$4:$J$582,S$1)</f>
        <v>0</v>
      </c>
      <c r="T158" s="207">
        <f>SUMIFS('март 2023'!$G$4:$G$582,'март 2023'!$D$4:$D$582,$B158,'март 2023'!$J$4:$J$582,T$1)</f>
        <v>0</v>
      </c>
      <c r="U158" s="207">
        <f>SUMIFS('март 2023'!$G$4:$G$582,'март 2023'!$D$4:$D$582,$B158,'март 2023'!$J$4:$J$582,U$1)</f>
        <v>0</v>
      </c>
      <c r="V158" s="207">
        <f>SUMIFS('март 2023'!$G$4:$G$582,'март 2023'!$D$4:$D$582,$B158,'март 2023'!$J$4:$J$582,V$1)</f>
        <v>0</v>
      </c>
      <c r="W158" s="207">
        <f>SUMIFS('март 2023'!$G$4:$G$582,'март 2023'!$D$4:$D$582,$B158,'март 2023'!$J$4:$J$582,W$1)</f>
        <v>0</v>
      </c>
      <c r="X158" s="207">
        <f>SUMIFS('март 2023'!$G$4:$G$582,'март 2023'!$D$4:$D$582,$B158,'март 2023'!$J$4:$J$582,X$1)</f>
        <v>0</v>
      </c>
      <c r="Y158" s="207">
        <f>SUMIFS('март 2023'!$G$4:$G$582,'март 2023'!$D$4:$D$582,$B158,'март 2023'!$J$4:$J$582,Y$1)</f>
        <v>0</v>
      </c>
      <c r="Z158" s="207">
        <f>SUMIFS('март 2023'!$G$4:$G$582,'март 2023'!$D$4:$D$582,$B158,'март 2023'!$J$4:$J$582,Z$1)</f>
        <v>0</v>
      </c>
      <c r="AA158" s="207">
        <f>SUMIFS('март 2023'!$G$4:$G$582,'март 2023'!$D$4:$D$582,$B158,'март 2023'!$J$4:$J$582,AA$1)</f>
        <v>0</v>
      </c>
      <c r="AB158" s="207">
        <f>SUMIFS('март 2023'!$G$4:$G$582,'март 2023'!$D$4:$D$582,$B158,'март 2023'!$J$4:$J$582,AB$1)</f>
        <v>0</v>
      </c>
      <c r="AC158" s="207">
        <f>SUMIFS('март 2023'!$G$4:$G$582,'март 2023'!$D$4:$D$582,$B158,'март 2023'!$J$4:$J$582,AC$1)</f>
        <v>0</v>
      </c>
      <c r="AD158" s="207">
        <f>SUMIFS('март 2023'!$G$4:$G$582,'март 2023'!$D$4:$D$582,$B158,'март 2023'!$J$4:$J$582,AD$1)</f>
        <v>0</v>
      </c>
      <c r="AE158" s="207">
        <f>SUMIFS('март 2023'!$G$4:$G$582,'март 2023'!$D$4:$D$582,$B158,'март 2023'!$J$4:$J$582,AE$1)</f>
        <v>0</v>
      </c>
      <c r="AF158" s="207">
        <f>SUMIFS('март 2023'!$G$4:$G$582,'март 2023'!$D$4:$D$582,$B158,'март 2023'!$J$4:$J$582,AF$1)</f>
        <v>0</v>
      </c>
      <c r="AG158" s="207">
        <f>SUMIFS('март 2023'!$G$4:$G$582,'март 2023'!$D$4:$D$582,$B158,'март 2023'!$J$4:$J$582,AG$1)</f>
        <v>0</v>
      </c>
      <c r="AH158" s="207">
        <f>SUMIFS('март 2023'!$G$4:$G$582,'март 2023'!$D$4:$D$582,$B158,'март 2023'!$J$4:$J$582,AH$1)</f>
        <v>0</v>
      </c>
      <c r="AI158" s="220">
        <f t="shared" si="5"/>
        <v>0</v>
      </c>
    </row>
    <row r="159" spans="2:35" ht="15.75" hidden="1" x14ac:dyDescent="0.25">
      <c r="B159" s="212"/>
      <c r="C159" s="211"/>
      <c r="D159" s="207">
        <f>SUMIFS('март 2023'!$G$4:$G$582,'март 2023'!$D$4:$D$582,$B159,'март 2023'!$J$4:$J$582,D$1)</f>
        <v>0</v>
      </c>
      <c r="E159" s="207">
        <f>SUMIFS('март 2023'!$G$4:$G$582,'март 2023'!$D$4:$D$582,$B159,'март 2023'!$J$4:$J$582,E$1)</f>
        <v>0</v>
      </c>
      <c r="F159" s="207">
        <f>SUMIFS('март 2023'!$G$4:$G$582,'март 2023'!$D$4:$D$582,$B159,'март 2023'!$J$4:$J$582,F$1)</f>
        <v>0</v>
      </c>
      <c r="G159" s="207">
        <f>SUMIFS('март 2023'!$G$4:$G$582,'март 2023'!$D$4:$D$582,$B159,'март 2023'!$J$4:$J$582,G$1)</f>
        <v>0</v>
      </c>
      <c r="H159" s="207">
        <f>SUMIFS('март 2023'!$G$4:$G$582,'март 2023'!$D$4:$D$582,$B159,'март 2023'!$J$4:$J$582,H$1)</f>
        <v>0</v>
      </c>
      <c r="I159" s="207">
        <f>SUMIFS('март 2023'!$G$4:$G$582,'март 2023'!$D$4:$D$582,$B159,'март 2023'!$J$4:$J$582,I$1)</f>
        <v>0</v>
      </c>
      <c r="J159" s="207">
        <f>SUMIFS('март 2023'!$G$4:$G$582,'март 2023'!$D$4:$D$582,$B159,'март 2023'!$J$4:$J$582,J$1)</f>
        <v>0</v>
      </c>
      <c r="K159" s="207">
        <f>SUMIFS('март 2023'!$G$4:$G$582,'март 2023'!$D$4:$D$582,$B159,'март 2023'!$J$4:$J$582,K$1)</f>
        <v>0</v>
      </c>
      <c r="L159" s="207">
        <f>SUMIFS('март 2023'!$G$4:$G$582,'март 2023'!$D$4:$D$582,$B159,'март 2023'!$J$4:$J$582,L$1)</f>
        <v>0</v>
      </c>
      <c r="M159" s="207">
        <f>SUMIFS('март 2023'!$G$4:$G$582,'март 2023'!$D$4:$D$582,$B159,'март 2023'!$J$4:$J$582,M$1)</f>
        <v>0</v>
      </c>
      <c r="N159" s="207">
        <f>SUMIFS('март 2023'!$G$4:$G$582,'март 2023'!$D$4:$D$582,$B159,'март 2023'!$J$4:$J$582,N$1)</f>
        <v>0</v>
      </c>
      <c r="O159" s="207">
        <f>SUMIFS('март 2023'!$G$4:$G$582,'март 2023'!$D$4:$D$582,$B159,'март 2023'!$J$4:$J$582,O$1)</f>
        <v>0</v>
      </c>
      <c r="P159" s="207">
        <f>SUMIFS('март 2023'!$G$4:$G$582,'март 2023'!$D$4:$D$582,$B159,'март 2023'!$J$4:$J$582,P$1)</f>
        <v>0</v>
      </c>
      <c r="Q159" s="207">
        <f>SUMIFS('март 2023'!$G$4:$G$582,'март 2023'!$D$4:$D$582,$B159,'март 2023'!$J$4:$J$582,Q$1)</f>
        <v>0</v>
      </c>
      <c r="R159" s="207">
        <f>SUMIFS('март 2023'!$G$4:$G$582,'март 2023'!$D$4:$D$582,$B159,'март 2023'!$J$4:$J$582,R$1)</f>
        <v>0</v>
      </c>
      <c r="S159" s="207">
        <f>SUMIFS('март 2023'!$G$4:$G$582,'март 2023'!$D$4:$D$582,$B159,'март 2023'!$J$4:$J$582,S$1)</f>
        <v>0</v>
      </c>
      <c r="T159" s="207">
        <f>SUMIFS('март 2023'!$G$4:$G$582,'март 2023'!$D$4:$D$582,$B159,'март 2023'!$J$4:$J$582,T$1)</f>
        <v>0</v>
      </c>
      <c r="U159" s="207">
        <f>SUMIFS('март 2023'!$G$4:$G$582,'март 2023'!$D$4:$D$582,$B159,'март 2023'!$J$4:$J$582,U$1)</f>
        <v>0</v>
      </c>
      <c r="V159" s="207">
        <f>SUMIFS('март 2023'!$G$4:$G$582,'март 2023'!$D$4:$D$582,$B159,'март 2023'!$J$4:$J$582,V$1)</f>
        <v>0</v>
      </c>
      <c r="W159" s="207">
        <f>SUMIFS('март 2023'!$G$4:$G$582,'март 2023'!$D$4:$D$582,$B159,'март 2023'!$J$4:$J$582,W$1)</f>
        <v>0</v>
      </c>
      <c r="X159" s="207">
        <f>SUMIFS('март 2023'!$G$4:$G$582,'март 2023'!$D$4:$D$582,$B159,'март 2023'!$J$4:$J$582,X$1)</f>
        <v>0</v>
      </c>
      <c r="Y159" s="207">
        <f>SUMIFS('март 2023'!$G$4:$G$582,'март 2023'!$D$4:$D$582,$B159,'март 2023'!$J$4:$J$582,Y$1)</f>
        <v>0</v>
      </c>
      <c r="Z159" s="207">
        <f>SUMIFS('март 2023'!$G$4:$G$582,'март 2023'!$D$4:$D$582,$B159,'март 2023'!$J$4:$J$582,Z$1)</f>
        <v>0</v>
      </c>
      <c r="AA159" s="207">
        <f>SUMIFS('март 2023'!$G$4:$G$582,'март 2023'!$D$4:$D$582,$B159,'март 2023'!$J$4:$J$582,AA$1)</f>
        <v>0</v>
      </c>
      <c r="AB159" s="207">
        <f>SUMIFS('март 2023'!$G$4:$G$582,'март 2023'!$D$4:$D$582,$B159,'март 2023'!$J$4:$J$582,AB$1)</f>
        <v>0</v>
      </c>
      <c r="AC159" s="207">
        <f>SUMIFS('март 2023'!$G$4:$G$582,'март 2023'!$D$4:$D$582,$B159,'март 2023'!$J$4:$J$582,AC$1)</f>
        <v>0</v>
      </c>
      <c r="AD159" s="207">
        <f>SUMIFS('март 2023'!$G$4:$G$582,'март 2023'!$D$4:$D$582,$B159,'март 2023'!$J$4:$J$582,AD$1)</f>
        <v>0</v>
      </c>
      <c r="AE159" s="207">
        <f>SUMIFS('март 2023'!$G$4:$G$582,'март 2023'!$D$4:$D$582,$B159,'март 2023'!$J$4:$J$582,AE$1)</f>
        <v>0</v>
      </c>
      <c r="AF159" s="207">
        <f>SUMIFS('март 2023'!$G$4:$G$582,'март 2023'!$D$4:$D$582,$B159,'март 2023'!$J$4:$J$582,AF$1)</f>
        <v>0</v>
      </c>
      <c r="AG159" s="207">
        <f>SUMIFS('март 2023'!$G$4:$G$582,'март 2023'!$D$4:$D$582,$B159,'март 2023'!$J$4:$J$582,AG$1)</f>
        <v>0</v>
      </c>
      <c r="AH159" s="207">
        <f>SUMIFS('март 2023'!$G$4:$G$582,'март 2023'!$D$4:$D$582,$B159,'март 2023'!$J$4:$J$582,AH$1)</f>
        <v>0</v>
      </c>
      <c r="AI159" s="220">
        <f t="shared" si="5"/>
        <v>0</v>
      </c>
    </row>
    <row r="160" spans="2:35" ht="15.75" hidden="1" x14ac:dyDescent="0.25">
      <c r="B160" s="212"/>
      <c r="C160" s="211"/>
      <c r="D160" s="207">
        <f>SUMIFS('март 2023'!$G$4:$G$582,'март 2023'!$D$4:$D$582,$B160,'март 2023'!$J$4:$J$582,D$1)</f>
        <v>0</v>
      </c>
      <c r="E160" s="207">
        <f>SUMIFS('март 2023'!$G$4:$G$582,'март 2023'!$D$4:$D$582,$B160,'март 2023'!$J$4:$J$582,E$1)</f>
        <v>0</v>
      </c>
      <c r="F160" s="207">
        <f>SUMIFS('март 2023'!$G$4:$G$582,'март 2023'!$D$4:$D$582,$B160,'март 2023'!$J$4:$J$582,F$1)</f>
        <v>0</v>
      </c>
      <c r="G160" s="207">
        <f>SUMIFS('март 2023'!$G$4:$G$582,'март 2023'!$D$4:$D$582,$B160,'март 2023'!$J$4:$J$582,G$1)</f>
        <v>0</v>
      </c>
      <c r="H160" s="207">
        <f>SUMIFS('март 2023'!$G$4:$G$582,'март 2023'!$D$4:$D$582,$B160,'март 2023'!$J$4:$J$582,H$1)</f>
        <v>0</v>
      </c>
      <c r="I160" s="207">
        <f>SUMIFS('март 2023'!$G$4:$G$582,'март 2023'!$D$4:$D$582,$B160,'март 2023'!$J$4:$J$582,I$1)</f>
        <v>0</v>
      </c>
      <c r="J160" s="207">
        <f>SUMIFS('март 2023'!$G$4:$G$582,'март 2023'!$D$4:$D$582,$B160,'март 2023'!$J$4:$J$582,J$1)</f>
        <v>0</v>
      </c>
      <c r="K160" s="207">
        <f>SUMIFS('март 2023'!$G$4:$G$582,'март 2023'!$D$4:$D$582,$B160,'март 2023'!$J$4:$J$582,K$1)</f>
        <v>0</v>
      </c>
      <c r="L160" s="207">
        <f>SUMIFS('март 2023'!$G$4:$G$582,'март 2023'!$D$4:$D$582,$B160,'март 2023'!$J$4:$J$582,L$1)</f>
        <v>0</v>
      </c>
      <c r="M160" s="207">
        <f>SUMIFS('март 2023'!$G$4:$G$582,'март 2023'!$D$4:$D$582,$B160,'март 2023'!$J$4:$J$582,M$1)</f>
        <v>0</v>
      </c>
      <c r="N160" s="207">
        <f>SUMIFS('март 2023'!$G$4:$G$582,'март 2023'!$D$4:$D$582,$B160,'март 2023'!$J$4:$J$582,N$1)</f>
        <v>0</v>
      </c>
      <c r="O160" s="207">
        <f>SUMIFS('март 2023'!$G$4:$G$582,'март 2023'!$D$4:$D$582,$B160,'март 2023'!$J$4:$J$582,O$1)</f>
        <v>0</v>
      </c>
      <c r="P160" s="207">
        <f>SUMIFS('март 2023'!$G$4:$G$582,'март 2023'!$D$4:$D$582,$B160,'март 2023'!$J$4:$J$582,P$1)</f>
        <v>0</v>
      </c>
      <c r="Q160" s="207">
        <f>SUMIFS('март 2023'!$G$4:$G$582,'март 2023'!$D$4:$D$582,$B160,'март 2023'!$J$4:$J$582,Q$1)</f>
        <v>0</v>
      </c>
      <c r="R160" s="207">
        <f>SUMIFS('март 2023'!$G$4:$G$582,'март 2023'!$D$4:$D$582,$B160,'март 2023'!$J$4:$J$582,R$1)</f>
        <v>0</v>
      </c>
      <c r="S160" s="207">
        <f>SUMIFS('март 2023'!$G$4:$G$582,'март 2023'!$D$4:$D$582,$B160,'март 2023'!$J$4:$J$582,S$1)</f>
        <v>0</v>
      </c>
      <c r="T160" s="207">
        <f>SUMIFS('март 2023'!$G$4:$G$582,'март 2023'!$D$4:$D$582,$B160,'март 2023'!$J$4:$J$582,T$1)</f>
        <v>0</v>
      </c>
      <c r="U160" s="207">
        <f>SUMIFS('март 2023'!$G$4:$G$582,'март 2023'!$D$4:$D$582,$B160,'март 2023'!$J$4:$J$582,U$1)</f>
        <v>0</v>
      </c>
      <c r="V160" s="207">
        <f>SUMIFS('март 2023'!$G$4:$G$582,'март 2023'!$D$4:$D$582,$B160,'март 2023'!$J$4:$J$582,V$1)</f>
        <v>0</v>
      </c>
      <c r="W160" s="207">
        <f>SUMIFS('март 2023'!$G$4:$G$582,'март 2023'!$D$4:$D$582,$B160,'март 2023'!$J$4:$J$582,W$1)</f>
        <v>0</v>
      </c>
      <c r="X160" s="207">
        <f>SUMIFS('март 2023'!$G$4:$G$582,'март 2023'!$D$4:$D$582,$B160,'март 2023'!$J$4:$J$582,X$1)</f>
        <v>0</v>
      </c>
      <c r="Y160" s="207">
        <f>SUMIFS('март 2023'!$G$4:$G$582,'март 2023'!$D$4:$D$582,$B160,'март 2023'!$J$4:$J$582,Y$1)</f>
        <v>0</v>
      </c>
      <c r="Z160" s="207">
        <f>SUMIFS('март 2023'!$G$4:$G$582,'март 2023'!$D$4:$D$582,$B160,'март 2023'!$J$4:$J$582,Z$1)</f>
        <v>0</v>
      </c>
      <c r="AA160" s="207">
        <f>SUMIFS('март 2023'!$G$4:$G$582,'март 2023'!$D$4:$D$582,$B160,'март 2023'!$J$4:$J$582,AA$1)</f>
        <v>0</v>
      </c>
      <c r="AB160" s="207">
        <f>SUMIFS('март 2023'!$G$4:$G$582,'март 2023'!$D$4:$D$582,$B160,'март 2023'!$J$4:$J$582,AB$1)</f>
        <v>0</v>
      </c>
      <c r="AC160" s="207">
        <f>SUMIFS('март 2023'!$G$4:$G$582,'март 2023'!$D$4:$D$582,$B160,'март 2023'!$J$4:$J$582,AC$1)</f>
        <v>0</v>
      </c>
      <c r="AD160" s="207">
        <f>SUMIFS('март 2023'!$G$4:$G$582,'март 2023'!$D$4:$D$582,$B160,'март 2023'!$J$4:$J$582,AD$1)</f>
        <v>0</v>
      </c>
      <c r="AE160" s="207">
        <f>SUMIFS('март 2023'!$G$4:$G$582,'март 2023'!$D$4:$D$582,$B160,'март 2023'!$J$4:$J$582,AE$1)</f>
        <v>0</v>
      </c>
      <c r="AF160" s="207">
        <f>SUMIFS('март 2023'!$G$4:$G$582,'март 2023'!$D$4:$D$582,$B160,'март 2023'!$J$4:$J$582,AF$1)</f>
        <v>0</v>
      </c>
      <c r="AG160" s="207">
        <f>SUMIFS('март 2023'!$G$4:$G$582,'март 2023'!$D$4:$D$582,$B160,'март 2023'!$J$4:$J$582,AG$1)</f>
        <v>0</v>
      </c>
      <c r="AH160" s="207">
        <f>SUMIFS('март 2023'!$G$4:$G$582,'март 2023'!$D$4:$D$582,$B160,'март 2023'!$J$4:$J$582,AH$1)</f>
        <v>0</v>
      </c>
      <c r="AI160" s="220">
        <f t="shared" si="5"/>
        <v>0</v>
      </c>
    </row>
    <row r="161" spans="2:35" ht="15.75" hidden="1" x14ac:dyDescent="0.25">
      <c r="B161" s="212"/>
      <c r="C161" s="211"/>
      <c r="D161" s="207">
        <f>SUMIFS('март 2023'!$G$4:$G$582,'март 2023'!$D$4:$D$582,$B161,'март 2023'!$J$4:$J$582,D$1)</f>
        <v>0</v>
      </c>
      <c r="E161" s="207">
        <f>SUMIFS('март 2023'!$G$4:$G$582,'март 2023'!$D$4:$D$582,$B161,'март 2023'!$J$4:$J$582,E$1)</f>
        <v>0</v>
      </c>
      <c r="F161" s="207">
        <f>SUMIFS('март 2023'!$G$4:$G$582,'март 2023'!$D$4:$D$582,$B161,'март 2023'!$J$4:$J$582,F$1)</f>
        <v>0</v>
      </c>
      <c r="G161" s="207">
        <f>SUMIFS('март 2023'!$G$4:$G$582,'март 2023'!$D$4:$D$582,$B161,'март 2023'!$J$4:$J$582,G$1)</f>
        <v>0</v>
      </c>
      <c r="H161" s="207">
        <f>SUMIFS('март 2023'!$G$4:$G$582,'март 2023'!$D$4:$D$582,$B161,'март 2023'!$J$4:$J$582,H$1)</f>
        <v>0</v>
      </c>
      <c r="I161" s="207">
        <f>SUMIFS('март 2023'!$G$4:$G$582,'март 2023'!$D$4:$D$582,$B161,'март 2023'!$J$4:$J$582,I$1)</f>
        <v>0</v>
      </c>
      <c r="J161" s="207">
        <f>SUMIFS('март 2023'!$G$4:$G$582,'март 2023'!$D$4:$D$582,$B161,'март 2023'!$J$4:$J$582,J$1)</f>
        <v>0</v>
      </c>
      <c r="K161" s="207">
        <f>SUMIFS('март 2023'!$G$4:$G$582,'март 2023'!$D$4:$D$582,$B161,'март 2023'!$J$4:$J$582,K$1)</f>
        <v>0</v>
      </c>
      <c r="L161" s="207">
        <f>SUMIFS('март 2023'!$G$4:$G$582,'март 2023'!$D$4:$D$582,$B161,'март 2023'!$J$4:$J$582,L$1)</f>
        <v>0</v>
      </c>
      <c r="M161" s="207">
        <f>SUMIFS('март 2023'!$G$4:$G$582,'март 2023'!$D$4:$D$582,$B161,'март 2023'!$J$4:$J$582,M$1)</f>
        <v>0</v>
      </c>
      <c r="N161" s="207">
        <f>SUMIFS('март 2023'!$G$4:$G$582,'март 2023'!$D$4:$D$582,$B161,'март 2023'!$J$4:$J$582,N$1)</f>
        <v>0</v>
      </c>
      <c r="O161" s="207">
        <f>SUMIFS('март 2023'!$G$4:$G$582,'март 2023'!$D$4:$D$582,$B161,'март 2023'!$J$4:$J$582,O$1)</f>
        <v>0</v>
      </c>
      <c r="P161" s="207">
        <f>SUMIFS('март 2023'!$G$4:$G$582,'март 2023'!$D$4:$D$582,$B161,'март 2023'!$J$4:$J$582,P$1)</f>
        <v>0</v>
      </c>
      <c r="Q161" s="207">
        <f>SUMIFS('март 2023'!$G$4:$G$582,'март 2023'!$D$4:$D$582,$B161,'март 2023'!$J$4:$J$582,Q$1)</f>
        <v>0</v>
      </c>
      <c r="R161" s="207">
        <f>SUMIFS('март 2023'!$G$4:$G$582,'март 2023'!$D$4:$D$582,$B161,'март 2023'!$J$4:$J$582,R$1)</f>
        <v>0</v>
      </c>
      <c r="S161" s="207">
        <f>SUMIFS('март 2023'!$G$4:$G$582,'март 2023'!$D$4:$D$582,$B161,'март 2023'!$J$4:$J$582,S$1)</f>
        <v>0</v>
      </c>
      <c r="T161" s="207">
        <f>SUMIFS('март 2023'!$G$4:$G$582,'март 2023'!$D$4:$D$582,$B161,'март 2023'!$J$4:$J$582,T$1)</f>
        <v>0</v>
      </c>
      <c r="U161" s="207">
        <f>SUMIFS('март 2023'!$G$4:$G$582,'март 2023'!$D$4:$D$582,$B161,'март 2023'!$J$4:$J$582,U$1)</f>
        <v>0</v>
      </c>
      <c r="V161" s="207">
        <f>SUMIFS('март 2023'!$G$4:$G$582,'март 2023'!$D$4:$D$582,$B161,'март 2023'!$J$4:$J$582,V$1)</f>
        <v>0</v>
      </c>
      <c r="W161" s="207">
        <f>SUMIFS('март 2023'!$G$4:$G$582,'март 2023'!$D$4:$D$582,$B161,'март 2023'!$J$4:$J$582,W$1)</f>
        <v>0</v>
      </c>
      <c r="X161" s="207">
        <f>SUMIFS('март 2023'!$G$4:$G$582,'март 2023'!$D$4:$D$582,$B161,'март 2023'!$J$4:$J$582,X$1)</f>
        <v>0</v>
      </c>
      <c r="Y161" s="207">
        <f>SUMIFS('март 2023'!$G$4:$G$582,'март 2023'!$D$4:$D$582,$B161,'март 2023'!$J$4:$J$582,Y$1)</f>
        <v>0</v>
      </c>
      <c r="Z161" s="207">
        <f>SUMIFS('март 2023'!$G$4:$G$582,'март 2023'!$D$4:$D$582,$B161,'март 2023'!$J$4:$J$582,Z$1)</f>
        <v>0</v>
      </c>
      <c r="AA161" s="207">
        <f>SUMIFS('март 2023'!$G$4:$G$582,'март 2023'!$D$4:$D$582,$B161,'март 2023'!$J$4:$J$582,AA$1)</f>
        <v>0</v>
      </c>
      <c r="AB161" s="207">
        <f>SUMIFS('март 2023'!$G$4:$G$582,'март 2023'!$D$4:$D$582,$B161,'март 2023'!$J$4:$J$582,AB$1)</f>
        <v>0</v>
      </c>
      <c r="AC161" s="207">
        <f>SUMIFS('март 2023'!$G$4:$G$582,'март 2023'!$D$4:$D$582,$B161,'март 2023'!$J$4:$J$582,AC$1)</f>
        <v>0</v>
      </c>
      <c r="AD161" s="207">
        <f>SUMIFS('март 2023'!$G$4:$G$582,'март 2023'!$D$4:$D$582,$B161,'март 2023'!$J$4:$J$582,AD$1)</f>
        <v>0</v>
      </c>
      <c r="AE161" s="207">
        <f>SUMIFS('март 2023'!$G$4:$G$582,'март 2023'!$D$4:$D$582,$B161,'март 2023'!$J$4:$J$582,AE$1)</f>
        <v>0</v>
      </c>
      <c r="AF161" s="207">
        <f>SUMIFS('март 2023'!$G$4:$G$582,'март 2023'!$D$4:$D$582,$B161,'март 2023'!$J$4:$J$582,AF$1)</f>
        <v>0</v>
      </c>
      <c r="AG161" s="207">
        <f>SUMIFS('март 2023'!$G$4:$G$582,'март 2023'!$D$4:$D$582,$B161,'март 2023'!$J$4:$J$582,AG$1)</f>
        <v>0</v>
      </c>
      <c r="AH161" s="207">
        <f>SUMIFS('март 2023'!$G$4:$G$582,'март 2023'!$D$4:$D$582,$B161,'март 2023'!$J$4:$J$582,AH$1)</f>
        <v>0</v>
      </c>
      <c r="AI161" s="220">
        <f t="shared" si="5"/>
        <v>0</v>
      </c>
    </row>
    <row r="162" spans="2:35" ht="15.75" hidden="1" x14ac:dyDescent="0.25">
      <c r="B162" s="212"/>
      <c r="C162" s="211"/>
      <c r="D162" s="207">
        <f>SUMIFS('март 2023'!$G$4:$G$582,'март 2023'!$D$4:$D$582,$B162,'март 2023'!$J$4:$J$582,D$1)</f>
        <v>0</v>
      </c>
      <c r="E162" s="207">
        <f>SUMIFS('март 2023'!$G$4:$G$582,'март 2023'!$D$4:$D$582,$B162,'март 2023'!$J$4:$J$582,E$1)</f>
        <v>0</v>
      </c>
      <c r="F162" s="207">
        <f>SUMIFS('март 2023'!$G$4:$G$582,'март 2023'!$D$4:$D$582,$B162,'март 2023'!$J$4:$J$582,F$1)</f>
        <v>0</v>
      </c>
      <c r="G162" s="207">
        <f>SUMIFS('март 2023'!$G$4:$G$582,'март 2023'!$D$4:$D$582,$B162,'март 2023'!$J$4:$J$582,G$1)</f>
        <v>0</v>
      </c>
      <c r="H162" s="207">
        <f>SUMIFS('март 2023'!$G$4:$G$582,'март 2023'!$D$4:$D$582,$B162,'март 2023'!$J$4:$J$582,H$1)</f>
        <v>0</v>
      </c>
      <c r="I162" s="207">
        <f>SUMIFS('март 2023'!$G$4:$G$582,'март 2023'!$D$4:$D$582,$B162,'март 2023'!$J$4:$J$582,I$1)</f>
        <v>0</v>
      </c>
      <c r="J162" s="207">
        <f>SUMIFS('март 2023'!$G$4:$G$582,'март 2023'!$D$4:$D$582,$B162,'март 2023'!$J$4:$J$582,J$1)</f>
        <v>0</v>
      </c>
      <c r="K162" s="207">
        <f>SUMIFS('март 2023'!$G$4:$G$582,'март 2023'!$D$4:$D$582,$B162,'март 2023'!$J$4:$J$582,K$1)</f>
        <v>0</v>
      </c>
      <c r="L162" s="207">
        <f>SUMIFS('март 2023'!$G$4:$G$582,'март 2023'!$D$4:$D$582,$B162,'март 2023'!$J$4:$J$582,L$1)</f>
        <v>0</v>
      </c>
      <c r="M162" s="207">
        <f>SUMIFS('март 2023'!$G$4:$G$582,'март 2023'!$D$4:$D$582,$B162,'март 2023'!$J$4:$J$582,M$1)</f>
        <v>0</v>
      </c>
      <c r="N162" s="207">
        <f>SUMIFS('март 2023'!$G$4:$G$582,'март 2023'!$D$4:$D$582,$B162,'март 2023'!$J$4:$J$582,N$1)</f>
        <v>0</v>
      </c>
      <c r="O162" s="207">
        <f>SUMIFS('март 2023'!$G$4:$G$582,'март 2023'!$D$4:$D$582,$B162,'март 2023'!$J$4:$J$582,O$1)</f>
        <v>0</v>
      </c>
      <c r="P162" s="207">
        <f>SUMIFS('март 2023'!$G$4:$G$582,'март 2023'!$D$4:$D$582,$B162,'март 2023'!$J$4:$J$582,P$1)</f>
        <v>0</v>
      </c>
      <c r="Q162" s="207">
        <f>SUMIFS('март 2023'!$G$4:$G$582,'март 2023'!$D$4:$D$582,$B162,'март 2023'!$J$4:$J$582,Q$1)</f>
        <v>0</v>
      </c>
      <c r="R162" s="207">
        <f>SUMIFS('март 2023'!$G$4:$G$582,'март 2023'!$D$4:$D$582,$B162,'март 2023'!$J$4:$J$582,R$1)</f>
        <v>0</v>
      </c>
      <c r="S162" s="207">
        <f>SUMIFS('март 2023'!$G$4:$G$582,'март 2023'!$D$4:$D$582,$B162,'март 2023'!$J$4:$J$582,S$1)</f>
        <v>0</v>
      </c>
      <c r="T162" s="207">
        <f>SUMIFS('март 2023'!$G$4:$G$582,'март 2023'!$D$4:$D$582,$B162,'март 2023'!$J$4:$J$582,T$1)</f>
        <v>0</v>
      </c>
      <c r="U162" s="207">
        <f>SUMIFS('март 2023'!$G$4:$G$582,'март 2023'!$D$4:$D$582,$B162,'март 2023'!$J$4:$J$582,U$1)</f>
        <v>0</v>
      </c>
      <c r="V162" s="207">
        <f>SUMIFS('март 2023'!$G$4:$G$582,'март 2023'!$D$4:$D$582,$B162,'март 2023'!$J$4:$J$582,V$1)</f>
        <v>0</v>
      </c>
      <c r="W162" s="207">
        <f>SUMIFS('март 2023'!$G$4:$G$582,'март 2023'!$D$4:$D$582,$B162,'март 2023'!$J$4:$J$582,W$1)</f>
        <v>0</v>
      </c>
      <c r="X162" s="207">
        <f>SUMIFS('март 2023'!$G$4:$G$582,'март 2023'!$D$4:$D$582,$B162,'март 2023'!$J$4:$J$582,X$1)</f>
        <v>0</v>
      </c>
      <c r="Y162" s="207">
        <f>SUMIFS('март 2023'!$G$4:$G$582,'март 2023'!$D$4:$D$582,$B162,'март 2023'!$J$4:$J$582,Y$1)</f>
        <v>0</v>
      </c>
      <c r="Z162" s="207">
        <f>SUMIFS('март 2023'!$G$4:$G$582,'март 2023'!$D$4:$D$582,$B162,'март 2023'!$J$4:$J$582,Z$1)</f>
        <v>0</v>
      </c>
      <c r="AA162" s="207">
        <f>SUMIFS('март 2023'!$G$4:$G$582,'март 2023'!$D$4:$D$582,$B162,'март 2023'!$J$4:$J$582,AA$1)</f>
        <v>0</v>
      </c>
      <c r="AB162" s="207">
        <f>SUMIFS('март 2023'!$G$4:$G$582,'март 2023'!$D$4:$D$582,$B162,'март 2023'!$J$4:$J$582,AB$1)</f>
        <v>0</v>
      </c>
      <c r="AC162" s="207">
        <f>SUMIFS('март 2023'!$G$4:$G$582,'март 2023'!$D$4:$D$582,$B162,'март 2023'!$J$4:$J$582,AC$1)</f>
        <v>0</v>
      </c>
      <c r="AD162" s="207">
        <f>SUMIFS('март 2023'!$G$4:$G$582,'март 2023'!$D$4:$D$582,$B162,'март 2023'!$J$4:$J$582,AD$1)</f>
        <v>0</v>
      </c>
      <c r="AE162" s="207">
        <f>SUMIFS('март 2023'!$G$4:$G$582,'март 2023'!$D$4:$D$582,$B162,'март 2023'!$J$4:$J$582,AE$1)</f>
        <v>0</v>
      </c>
      <c r="AF162" s="207">
        <f>SUMIFS('март 2023'!$G$4:$G$582,'март 2023'!$D$4:$D$582,$B162,'март 2023'!$J$4:$J$582,AF$1)</f>
        <v>0</v>
      </c>
      <c r="AG162" s="207">
        <f>SUMIFS('март 2023'!$G$4:$G$582,'март 2023'!$D$4:$D$582,$B162,'март 2023'!$J$4:$J$582,AG$1)</f>
        <v>0</v>
      </c>
      <c r="AH162" s="207">
        <f>SUMIFS('март 2023'!$G$4:$G$582,'март 2023'!$D$4:$D$582,$B162,'март 2023'!$J$4:$J$582,AH$1)</f>
        <v>0</v>
      </c>
      <c r="AI162" s="220">
        <f t="shared" si="5"/>
        <v>0</v>
      </c>
    </row>
    <row r="163" spans="2:35" ht="15.75" hidden="1" x14ac:dyDescent="0.25">
      <c r="B163" s="212"/>
      <c r="C163" s="211"/>
      <c r="D163" s="207">
        <f>SUMIFS('март 2023'!$G$4:$G$582,'март 2023'!$D$4:$D$582,$B163,'март 2023'!$J$4:$J$582,D$1)</f>
        <v>0</v>
      </c>
      <c r="E163" s="207">
        <f>SUMIFS('март 2023'!$G$4:$G$582,'март 2023'!$D$4:$D$582,$B163,'март 2023'!$J$4:$J$582,E$1)</f>
        <v>0</v>
      </c>
      <c r="F163" s="207">
        <f>SUMIFS('март 2023'!$G$4:$G$582,'март 2023'!$D$4:$D$582,$B163,'март 2023'!$J$4:$J$582,F$1)</f>
        <v>0</v>
      </c>
      <c r="G163" s="207">
        <f>SUMIFS('март 2023'!$G$4:$G$582,'март 2023'!$D$4:$D$582,$B163,'март 2023'!$J$4:$J$582,G$1)</f>
        <v>0</v>
      </c>
      <c r="H163" s="207">
        <f>SUMIFS('март 2023'!$G$4:$G$582,'март 2023'!$D$4:$D$582,$B163,'март 2023'!$J$4:$J$582,H$1)</f>
        <v>0</v>
      </c>
      <c r="I163" s="207">
        <f>SUMIFS('март 2023'!$G$4:$G$582,'март 2023'!$D$4:$D$582,$B163,'март 2023'!$J$4:$J$582,I$1)</f>
        <v>0</v>
      </c>
      <c r="J163" s="207">
        <f>SUMIFS('март 2023'!$G$4:$G$582,'март 2023'!$D$4:$D$582,$B163,'март 2023'!$J$4:$J$582,J$1)</f>
        <v>0</v>
      </c>
      <c r="K163" s="207">
        <f>SUMIFS('март 2023'!$G$4:$G$582,'март 2023'!$D$4:$D$582,$B163,'март 2023'!$J$4:$J$582,K$1)</f>
        <v>0</v>
      </c>
      <c r="L163" s="207">
        <f>SUMIFS('март 2023'!$G$4:$G$582,'март 2023'!$D$4:$D$582,$B163,'март 2023'!$J$4:$J$582,L$1)</f>
        <v>0</v>
      </c>
      <c r="M163" s="207">
        <f>SUMIFS('март 2023'!$G$4:$G$582,'март 2023'!$D$4:$D$582,$B163,'март 2023'!$J$4:$J$582,M$1)</f>
        <v>0</v>
      </c>
      <c r="N163" s="207">
        <f>SUMIFS('март 2023'!$G$4:$G$582,'март 2023'!$D$4:$D$582,$B163,'март 2023'!$J$4:$J$582,N$1)</f>
        <v>0</v>
      </c>
      <c r="O163" s="207">
        <f>SUMIFS('март 2023'!$G$4:$G$582,'март 2023'!$D$4:$D$582,$B163,'март 2023'!$J$4:$J$582,O$1)</f>
        <v>0</v>
      </c>
      <c r="P163" s="207">
        <f>SUMIFS('март 2023'!$G$4:$G$582,'март 2023'!$D$4:$D$582,$B163,'март 2023'!$J$4:$J$582,P$1)</f>
        <v>0</v>
      </c>
      <c r="Q163" s="207">
        <f>SUMIFS('март 2023'!$G$4:$G$582,'март 2023'!$D$4:$D$582,$B163,'март 2023'!$J$4:$J$582,Q$1)</f>
        <v>0</v>
      </c>
      <c r="R163" s="207">
        <f>SUMIFS('март 2023'!$G$4:$G$582,'март 2023'!$D$4:$D$582,$B163,'март 2023'!$J$4:$J$582,R$1)</f>
        <v>0</v>
      </c>
      <c r="S163" s="207">
        <f>SUMIFS('март 2023'!$G$4:$G$582,'март 2023'!$D$4:$D$582,$B163,'март 2023'!$J$4:$J$582,S$1)</f>
        <v>0</v>
      </c>
      <c r="T163" s="207">
        <f>SUMIFS('март 2023'!$G$4:$G$582,'март 2023'!$D$4:$D$582,$B163,'март 2023'!$J$4:$J$582,T$1)</f>
        <v>0</v>
      </c>
      <c r="U163" s="207">
        <f>SUMIFS('март 2023'!$G$4:$G$582,'март 2023'!$D$4:$D$582,$B163,'март 2023'!$J$4:$J$582,U$1)</f>
        <v>0</v>
      </c>
      <c r="V163" s="207">
        <f>SUMIFS('март 2023'!$G$4:$G$582,'март 2023'!$D$4:$D$582,$B163,'март 2023'!$J$4:$J$582,V$1)</f>
        <v>0</v>
      </c>
      <c r="W163" s="207">
        <f>SUMIFS('март 2023'!$G$4:$G$582,'март 2023'!$D$4:$D$582,$B163,'март 2023'!$J$4:$J$582,W$1)</f>
        <v>0</v>
      </c>
      <c r="X163" s="207">
        <f>SUMIFS('март 2023'!$G$4:$G$582,'март 2023'!$D$4:$D$582,$B163,'март 2023'!$J$4:$J$582,X$1)</f>
        <v>0</v>
      </c>
      <c r="Y163" s="207">
        <f>SUMIFS('март 2023'!$G$4:$G$582,'март 2023'!$D$4:$D$582,$B163,'март 2023'!$J$4:$J$582,Y$1)</f>
        <v>0</v>
      </c>
      <c r="Z163" s="207">
        <f>SUMIFS('март 2023'!$G$4:$G$582,'март 2023'!$D$4:$D$582,$B163,'март 2023'!$J$4:$J$582,Z$1)</f>
        <v>0</v>
      </c>
      <c r="AA163" s="207">
        <f>SUMIFS('март 2023'!$G$4:$G$582,'март 2023'!$D$4:$D$582,$B163,'март 2023'!$J$4:$J$582,AA$1)</f>
        <v>0</v>
      </c>
      <c r="AB163" s="207">
        <f>SUMIFS('март 2023'!$G$4:$G$582,'март 2023'!$D$4:$D$582,$B163,'март 2023'!$J$4:$J$582,AB$1)</f>
        <v>0</v>
      </c>
      <c r="AC163" s="207">
        <f>SUMIFS('март 2023'!$G$4:$G$582,'март 2023'!$D$4:$D$582,$B163,'март 2023'!$J$4:$J$582,AC$1)</f>
        <v>0</v>
      </c>
      <c r="AD163" s="207">
        <f>SUMIFS('март 2023'!$G$4:$G$582,'март 2023'!$D$4:$D$582,$B163,'март 2023'!$J$4:$J$582,AD$1)</f>
        <v>0</v>
      </c>
      <c r="AE163" s="207">
        <f>SUMIFS('март 2023'!$G$4:$G$582,'март 2023'!$D$4:$D$582,$B163,'март 2023'!$J$4:$J$582,AE$1)</f>
        <v>0</v>
      </c>
      <c r="AF163" s="207">
        <f>SUMIFS('март 2023'!$G$4:$G$582,'март 2023'!$D$4:$D$582,$B163,'март 2023'!$J$4:$J$582,AF$1)</f>
        <v>0</v>
      </c>
      <c r="AG163" s="207">
        <f>SUMIFS('март 2023'!$G$4:$G$582,'март 2023'!$D$4:$D$582,$B163,'март 2023'!$J$4:$J$582,AG$1)</f>
        <v>0</v>
      </c>
      <c r="AH163" s="207">
        <f>SUMIFS('март 2023'!$G$4:$G$582,'март 2023'!$D$4:$D$582,$B163,'март 2023'!$J$4:$J$582,AH$1)</f>
        <v>0</v>
      </c>
      <c r="AI163" s="220">
        <f t="shared" si="5"/>
        <v>0</v>
      </c>
    </row>
    <row r="164" spans="2:35" ht="15.75" hidden="1" x14ac:dyDescent="0.25">
      <c r="B164" s="212"/>
      <c r="C164" s="211"/>
      <c r="D164" s="207">
        <f>SUMIFS('март 2023'!$G$4:$G$582,'март 2023'!$D$4:$D$582,$B164,'март 2023'!$J$4:$J$582,D$1)</f>
        <v>0</v>
      </c>
      <c r="E164" s="207">
        <f>SUMIFS('март 2023'!$G$4:$G$582,'март 2023'!$D$4:$D$582,$B164,'март 2023'!$J$4:$J$582,E$1)</f>
        <v>0</v>
      </c>
      <c r="F164" s="207">
        <f>SUMIFS('март 2023'!$G$4:$G$582,'март 2023'!$D$4:$D$582,$B164,'март 2023'!$J$4:$J$582,F$1)</f>
        <v>0</v>
      </c>
      <c r="G164" s="207">
        <f>SUMIFS('март 2023'!$G$4:$G$582,'март 2023'!$D$4:$D$582,$B164,'март 2023'!$J$4:$J$582,G$1)</f>
        <v>0</v>
      </c>
      <c r="H164" s="207">
        <f>SUMIFS('март 2023'!$G$4:$G$582,'март 2023'!$D$4:$D$582,$B164,'март 2023'!$J$4:$J$582,H$1)</f>
        <v>0</v>
      </c>
      <c r="I164" s="207">
        <f>SUMIFS('март 2023'!$G$4:$G$582,'март 2023'!$D$4:$D$582,$B164,'март 2023'!$J$4:$J$582,I$1)</f>
        <v>0</v>
      </c>
      <c r="J164" s="207">
        <f>SUMIFS('март 2023'!$G$4:$G$582,'март 2023'!$D$4:$D$582,$B164,'март 2023'!$J$4:$J$582,J$1)</f>
        <v>0</v>
      </c>
      <c r="K164" s="207">
        <f>SUMIFS('март 2023'!$G$4:$G$582,'март 2023'!$D$4:$D$582,$B164,'март 2023'!$J$4:$J$582,K$1)</f>
        <v>0</v>
      </c>
      <c r="L164" s="207">
        <f>SUMIFS('март 2023'!$G$4:$G$582,'март 2023'!$D$4:$D$582,$B164,'март 2023'!$J$4:$J$582,L$1)</f>
        <v>0</v>
      </c>
      <c r="M164" s="207">
        <f>SUMIFS('март 2023'!$G$4:$G$582,'март 2023'!$D$4:$D$582,$B164,'март 2023'!$J$4:$J$582,M$1)</f>
        <v>0</v>
      </c>
      <c r="N164" s="207">
        <f>SUMIFS('март 2023'!$G$4:$G$582,'март 2023'!$D$4:$D$582,$B164,'март 2023'!$J$4:$J$582,N$1)</f>
        <v>0</v>
      </c>
      <c r="O164" s="207">
        <f>SUMIFS('март 2023'!$G$4:$G$582,'март 2023'!$D$4:$D$582,$B164,'март 2023'!$J$4:$J$582,O$1)</f>
        <v>0</v>
      </c>
      <c r="P164" s="207">
        <f>SUMIFS('март 2023'!$G$4:$G$582,'март 2023'!$D$4:$D$582,$B164,'март 2023'!$J$4:$J$582,P$1)</f>
        <v>0</v>
      </c>
      <c r="Q164" s="207">
        <f>SUMIFS('март 2023'!$G$4:$G$582,'март 2023'!$D$4:$D$582,$B164,'март 2023'!$J$4:$J$582,Q$1)</f>
        <v>0</v>
      </c>
      <c r="R164" s="207">
        <f>SUMIFS('март 2023'!$G$4:$G$582,'март 2023'!$D$4:$D$582,$B164,'март 2023'!$J$4:$J$582,R$1)</f>
        <v>0</v>
      </c>
      <c r="S164" s="207">
        <f>SUMIFS('март 2023'!$G$4:$G$582,'март 2023'!$D$4:$D$582,$B164,'март 2023'!$J$4:$J$582,S$1)</f>
        <v>0</v>
      </c>
      <c r="T164" s="207">
        <f>SUMIFS('март 2023'!$G$4:$G$582,'март 2023'!$D$4:$D$582,$B164,'март 2023'!$J$4:$J$582,T$1)</f>
        <v>0</v>
      </c>
      <c r="U164" s="207">
        <f>SUMIFS('март 2023'!$G$4:$G$582,'март 2023'!$D$4:$D$582,$B164,'март 2023'!$J$4:$J$582,U$1)</f>
        <v>0</v>
      </c>
      <c r="V164" s="207">
        <f>SUMIFS('март 2023'!$G$4:$G$582,'март 2023'!$D$4:$D$582,$B164,'март 2023'!$J$4:$J$582,V$1)</f>
        <v>0</v>
      </c>
      <c r="W164" s="207">
        <f>SUMIFS('март 2023'!$G$4:$G$582,'март 2023'!$D$4:$D$582,$B164,'март 2023'!$J$4:$J$582,W$1)</f>
        <v>0</v>
      </c>
      <c r="X164" s="207">
        <f>SUMIFS('март 2023'!$G$4:$G$582,'март 2023'!$D$4:$D$582,$B164,'март 2023'!$J$4:$J$582,X$1)</f>
        <v>0</v>
      </c>
      <c r="Y164" s="207">
        <f>SUMIFS('март 2023'!$G$4:$G$582,'март 2023'!$D$4:$D$582,$B164,'март 2023'!$J$4:$J$582,Y$1)</f>
        <v>0</v>
      </c>
      <c r="Z164" s="207">
        <f>SUMIFS('март 2023'!$G$4:$G$582,'март 2023'!$D$4:$D$582,$B164,'март 2023'!$J$4:$J$582,Z$1)</f>
        <v>0</v>
      </c>
      <c r="AA164" s="207">
        <f>SUMIFS('март 2023'!$G$4:$G$582,'март 2023'!$D$4:$D$582,$B164,'март 2023'!$J$4:$J$582,AA$1)</f>
        <v>0</v>
      </c>
      <c r="AB164" s="207">
        <f>SUMIFS('март 2023'!$G$4:$G$582,'март 2023'!$D$4:$D$582,$B164,'март 2023'!$J$4:$J$582,AB$1)</f>
        <v>0</v>
      </c>
      <c r="AC164" s="207">
        <f>SUMIFS('март 2023'!$G$4:$G$582,'март 2023'!$D$4:$D$582,$B164,'март 2023'!$J$4:$J$582,AC$1)</f>
        <v>0</v>
      </c>
      <c r="AD164" s="207">
        <f>SUMIFS('март 2023'!$G$4:$G$582,'март 2023'!$D$4:$D$582,$B164,'март 2023'!$J$4:$J$582,AD$1)</f>
        <v>0</v>
      </c>
      <c r="AE164" s="207">
        <f>SUMIFS('март 2023'!$G$4:$G$582,'март 2023'!$D$4:$D$582,$B164,'март 2023'!$J$4:$J$582,AE$1)</f>
        <v>0</v>
      </c>
      <c r="AF164" s="207">
        <f>SUMIFS('март 2023'!$G$4:$G$582,'март 2023'!$D$4:$D$582,$B164,'март 2023'!$J$4:$J$582,AF$1)</f>
        <v>0</v>
      </c>
      <c r="AG164" s="207">
        <f>SUMIFS('март 2023'!$G$4:$G$582,'март 2023'!$D$4:$D$582,$B164,'март 2023'!$J$4:$J$582,AG$1)</f>
        <v>0</v>
      </c>
      <c r="AH164" s="207">
        <f>SUMIFS('март 2023'!$G$4:$G$582,'март 2023'!$D$4:$D$582,$B164,'март 2023'!$J$4:$J$582,AH$1)</f>
        <v>0</v>
      </c>
      <c r="AI164" s="220">
        <f t="shared" si="5"/>
        <v>0</v>
      </c>
    </row>
    <row r="165" spans="2:35" ht="15.75" hidden="1" x14ac:dyDescent="0.25">
      <c r="B165" s="212"/>
      <c r="C165" s="211"/>
      <c r="D165" s="207">
        <f>SUMIFS('март 2023'!$G$4:$G$582,'март 2023'!$D$4:$D$582,$B165,'март 2023'!$J$4:$J$582,D$1)</f>
        <v>0</v>
      </c>
      <c r="E165" s="207">
        <f>SUMIFS('март 2023'!$G$4:$G$582,'март 2023'!$D$4:$D$582,$B165,'март 2023'!$J$4:$J$582,E$1)</f>
        <v>0</v>
      </c>
      <c r="F165" s="207">
        <f>SUMIFS('март 2023'!$G$4:$G$582,'март 2023'!$D$4:$D$582,$B165,'март 2023'!$J$4:$J$582,F$1)</f>
        <v>0</v>
      </c>
      <c r="G165" s="207">
        <f>SUMIFS('март 2023'!$G$4:$G$582,'март 2023'!$D$4:$D$582,$B165,'март 2023'!$J$4:$J$582,G$1)</f>
        <v>0</v>
      </c>
      <c r="H165" s="207">
        <f>SUMIFS('март 2023'!$G$4:$G$582,'март 2023'!$D$4:$D$582,$B165,'март 2023'!$J$4:$J$582,H$1)</f>
        <v>0</v>
      </c>
      <c r="I165" s="207">
        <f>SUMIFS('март 2023'!$G$4:$G$582,'март 2023'!$D$4:$D$582,$B165,'март 2023'!$J$4:$J$582,I$1)</f>
        <v>0</v>
      </c>
      <c r="J165" s="207">
        <f>SUMIFS('март 2023'!$G$4:$G$582,'март 2023'!$D$4:$D$582,$B165,'март 2023'!$J$4:$J$582,J$1)</f>
        <v>0</v>
      </c>
      <c r="K165" s="207">
        <f>SUMIFS('март 2023'!$G$4:$G$582,'март 2023'!$D$4:$D$582,$B165,'март 2023'!$J$4:$J$582,K$1)</f>
        <v>0</v>
      </c>
      <c r="L165" s="207">
        <f>SUMIFS('март 2023'!$G$4:$G$582,'март 2023'!$D$4:$D$582,$B165,'март 2023'!$J$4:$J$582,L$1)</f>
        <v>0</v>
      </c>
      <c r="M165" s="207">
        <f>SUMIFS('март 2023'!$G$4:$G$582,'март 2023'!$D$4:$D$582,$B165,'март 2023'!$J$4:$J$582,M$1)</f>
        <v>0</v>
      </c>
      <c r="N165" s="207">
        <f>SUMIFS('март 2023'!$G$4:$G$582,'март 2023'!$D$4:$D$582,$B165,'март 2023'!$J$4:$J$582,N$1)</f>
        <v>0</v>
      </c>
      <c r="O165" s="207">
        <f>SUMIFS('март 2023'!$G$4:$G$582,'март 2023'!$D$4:$D$582,$B165,'март 2023'!$J$4:$J$582,O$1)</f>
        <v>0</v>
      </c>
      <c r="P165" s="207">
        <f>SUMIFS('март 2023'!$G$4:$G$582,'март 2023'!$D$4:$D$582,$B165,'март 2023'!$J$4:$J$582,P$1)</f>
        <v>0</v>
      </c>
      <c r="Q165" s="207">
        <f>SUMIFS('март 2023'!$G$4:$G$582,'март 2023'!$D$4:$D$582,$B165,'март 2023'!$J$4:$J$582,Q$1)</f>
        <v>0</v>
      </c>
      <c r="R165" s="207">
        <f>SUMIFS('март 2023'!$G$4:$G$582,'март 2023'!$D$4:$D$582,$B165,'март 2023'!$J$4:$J$582,R$1)</f>
        <v>0</v>
      </c>
      <c r="S165" s="207">
        <f>SUMIFS('март 2023'!$G$4:$G$582,'март 2023'!$D$4:$D$582,$B165,'март 2023'!$J$4:$J$582,S$1)</f>
        <v>0</v>
      </c>
      <c r="T165" s="207">
        <f>SUMIFS('март 2023'!$G$4:$G$582,'март 2023'!$D$4:$D$582,$B165,'март 2023'!$J$4:$J$582,T$1)</f>
        <v>0</v>
      </c>
      <c r="U165" s="207">
        <f>SUMIFS('март 2023'!$G$4:$G$582,'март 2023'!$D$4:$D$582,$B165,'март 2023'!$J$4:$J$582,U$1)</f>
        <v>0</v>
      </c>
      <c r="V165" s="207">
        <f>SUMIFS('март 2023'!$G$4:$G$582,'март 2023'!$D$4:$D$582,$B165,'март 2023'!$J$4:$J$582,V$1)</f>
        <v>0</v>
      </c>
      <c r="W165" s="207">
        <f>SUMIFS('март 2023'!$G$4:$G$582,'март 2023'!$D$4:$D$582,$B165,'март 2023'!$J$4:$J$582,W$1)</f>
        <v>0</v>
      </c>
      <c r="X165" s="207">
        <f>SUMIFS('март 2023'!$G$4:$G$582,'март 2023'!$D$4:$D$582,$B165,'март 2023'!$J$4:$J$582,X$1)</f>
        <v>0</v>
      </c>
      <c r="Y165" s="207">
        <f>SUMIFS('март 2023'!$G$4:$G$582,'март 2023'!$D$4:$D$582,$B165,'март 2023'!$J$4:$J$582,Y$1)</f>
        <v>0</v>
      </c>
      <c r="Z165" s="207">
        <f>SUMIFS('март 2023'!$G$4:$G$582,'март 2023'!$D$4:$D$582,$B165,'март 2023'!$J$4:$J$582,Z$1)</f>
        <v>0</v>
      </c>
      <c r="AA165" s="207">
        <f>SUMIFS('март 2023'!$G$4:$G$582,'март 2023'!$D$4:$D$582,$B165,'март 2023'!$J$4:$J$582,AA$1)</f>
        <v>0</v>
      </c>
      <c r="AB165" s="207">
        <f>SUMIFS('март 2023'!$G$4:$G$582,'март 2023'!$D$4:$D$582,$B165,'март 2023'!$J$4:$J$582,AB$1)</f>
        <v>0</v>
      </c>
      <c r="AC165" s="207">
        <f>SUMIFS('март 2023'!$G$4:$G$582,'март 2023'!$D$4:$D$582,$B165,'март 2023'!$J$4:$J$582,AC$1)</f>
        <v>0</v>
      </c>
      <c r="AD165" s="207">
        <f>SUMIFS('март 2023'!$G$4:$G$582,'март 2023'!$D$4:$D$582,$B165,'март 2023'!$J$4:$J$582,AD$1)</f>
        <v>0</v>
      </c>
      <c r="AE165" s="207">
        <f>SUMIFS('март 2023'!$G$4:$G$582,'март 2023'!$D$4:$D$582,$B165,'март 2023'!$J$4:$J$582,AE$1)</f>
        <v>0</v>
      </c>
      <c r="AF165" s="207">
        <f>SUMIFS('март 2023'!$G$4:$G$582,'март 2023'!$D$4:$D$582,$B165,'март 2023'!$J$4:$J$582,AF$1)</f>
        <v>0</v>
      </c>
      <c r="AG165" s="207">
        <f>SUMIFS('март 2023'!$G$4:$G$582,'март 2023'!$D$4:$D$582,$B165,'март 2023'!$J$4:$J$582,AG$1)</f>
        <v>0</v>
      </c>
      <c r="AH165" s="207">
        <f>SUMIFS('март 2023'!$G$4:$G$582,'март 2023'!$D$4:$D$582,$B165,'март 2023'!$J$4:$J$582,AH$1)</f>
        <v>0</v>
      </c>
      <c r="AI165" s="220">
        <f t="shared" si="5"/>
        <v>0</v>
      </c>
    </row>
    <row r="166" spans="2:35" ht="15.75" hidden="1" x14ac:dyDescent="0.25">
      <c r="B166" s="212"/>
      <c r="C166" s="211"/>
      <c r="D166" s="207">
        <f>SUMIFS('март 2023'!$G$4:$G$582,'март 2023'!$D$4:$D$582,$B166,'март 2023'!$J$4:$J$582,D$1)</f>
        <v>0</v>
      </c>
      <c r="E166" s="207">
        <f>SUMIFS('март 2023'!$G$4:$G$582,'март 2023'!$D$4:$D$582,$B166,'март 2023'!$J$4:$J$582,E$1)</f>
        <v>0</v>
      </c>
      <c r="F166" s="207">
        <f>SUMIFS('март 2023'!$G$4:$G$582,'март 2023'!$D$4:$D$582,$B166,'март 2023'!$J$4:$J$582,F$1)</f>
        <v>0</v>
      </c>
      <c r="G166" s="207">
        <f>SUMIFS('март 2023'!$G$4:$G$582,'март 2023'!$D$4:$D$582,$B166,'март 2023'!$J$4:$J$582,G$1)</f>
        <v>0</v>
      </c>
      <c r="H166" s="207">
        <f>SUMIFS('март 2023'!$G$4:$G$582,'март 2023'!$D$4:$D$582,$B166,'март 2023'!$J$4:$J$582,H$1)</f>
        <v>0</v>
      </c>
      <c r="I166" s="207">
        <f>SUMIFS('март 2023'!$G$4:$G$582,'март 2023'!$D$4:$D$582,$B166,'март 2023'!$J$4:$J$582,I$1)</f>
        <v>0</v>
      </c>
      <c r="J166" s="207">
        <f>SUMIFS('март 2023'!$G$4:$G$582,'март 2023'!$D$4:$D$582,$B166,'март 2023'!$J$4:$J$582,J$1)</f>
        <v>0</v>
      </c>
      <c r="K166" s="207">
        <f>SUMIFS('март 2023'!$G$4:$G$582,'март 2023'!$D$4:$D$582,$B166,'март 2023'!$J$4:$J$582,K$1)</f>
        <v>0</v>
      </c>
      <c r="L166" s="207">
        <f>SUMIFS('март 2023'!$G$4:$G$582,'март 2023'!$D$4:$D$582,$B166,'март 2023'!$J$4:$J$582,L$1)</f>
        <v>0</v>
      </c>
      <c r="M166" s="207">
        <f>SUMIFS('март 2023'!$G$4:$G$582,'март 2023'!$D$4:$D$582,$B166,'март 2023'!$J$4:$J$582,M$1)</f>
        <v>0</v>
      </c>
      <c r="N166" s="207">
        <f>SUMIFS('март 2023'!$G$4:$G$582,'март 2023'!$D$4:$D$582,$B166,'март 2023'!$J$4:$J$582,N$1)</f>
        <v>0</v>
      </c>
      <c r="O166" s="207">
        <f>SUMIFS('март 2023'!$G$4:$G$582,'март 2023'!$D$4:$D$582,$B166,'март 2023'!$J$4:$J$582,O$1)</f>
        <v>0</v>
      </c>
      <c r="P166" s="207">
        <f>SUMIFS('март 2023'!$G$4:$G$582,'март 2023'!$D$4:$D$582,$B166,'март 2023'!$J$4:$J$582,P$1)</f>
        <v>0</v>
      </c>
      <c r="Q166" s="207">
        <f>SUMIFS('март 2023'!$G$4:$G$582,'март 2023'!$D$4:$D$582,$B166,'март 2023'!$J$4:$J$582,Q$1)</f>
        <v>0</v>
      </c>
      <c r="R166" s="207">
        <f>SUMIFS('март 2023'!$G$4:$G$582,'март 2023'!$D$4:$D$582,$B166,'март 2023'!$J$4:$J$582,R$1)</f>
        <v>0</v>
      </c>
      <c r="S166" s="207">
        <f>SUMIFS('март 2023'!$G$4:$G$582,'март 2023'!$D$4:$D$582,$B166,'март 2023'!$J$4:$J$582,S$1)</f>
        <v>0</v>
      </c>
      <c r="T166" s="207">
        <f>SUMIFS('март 2023'!$G$4:$G$582,'март 2023'!$D$4:$D$582,$B166,'март 2023'!$J$4:$J$582,T$1)</f>
        <v>0</v>
      </c>
      <c r="U166" s="207">
        <f>SUMIFS('март 2023'!$G$4:$G$582,'март 2023'!$D$4:$D$582,$B166,'март 2023'!$J$4:$J$582,U$1)</f>
        <v>0</v>
      </c>
      <c r="V166" s="207">
        <f>SUMIFS('март 2023'!$G$4:$G$582,'март 2023'!$D$4:$D$582,$B166,'март 2023'!$J$4:$J$582,V$1)</f>
        <v>0</v>
      </c>
      <c r="W166" s="207">
        <f>SUMIFS('март 2023'!$G$4:$G$582,'март 2023'!$D$4:$D$582,$B166,'март 2023'!$J$4:$J$582,W$1)</f>
        <v>0</v>
      </c>
      <c r="X166" s="207">
        <f>SUMIFS('март 2023'!$G$4:$G$582,'март 2023'!$D$4:$D$582,$B166,'март 2023'!$J$4:$J$582,X$1)</f>
        <v>0</v>
      </c>
      <c r="Y166" s="207">
        <f>SUMIFS('март 2023'!$G$4:$G$582,'март 2023'!$D$4:$D$582,$B166,'март 2023'!$J$4:$J$582,Y$1)</f>
        <v>0</v>
      </c>
      <c r="Z166" s="207">
        <f>SUMIFS('март 2023'!$G$4:$G$582,'март 2023'!$D$4:$D$582,$B166,'март 2023'!$J$4:$J$582,Z$1)</f>
        <v>0</v>
      </c>
      <c r="AA166" s="207">
        <f>SUMIFS('март 2023'!$G$4:$G$582,'март 2023'!$D$4:$D$582,$B166,'март 2023'!$J$4:$J$582,AA$1)</f>
        <v>0</v>
      </c>
      <c r="AB166" s="207">
        <f>SUMIFS('март 2023'!$G$4:$G$582,'март 2023'!$D$4:$D$582,$B166,'март 2023'!$J$4:$J$582,AB$1)</f>
        <v>0</v>
      </c>
      <c r="AC166" s="207">
        <f>SUMIFS('март 2023'!$G$4:$G$582,'март 2023'!$D$4:$D$582,$B166,'март 2023'!$J$4:$J$582,AC$1)</f>
        <v>0</v>
      </c>
      <c r="AD166" s="207">
        <f>SUMIFS('март 2023'!$G$4:$G$582,'март 2023'!$D$4:$D$582,$B166,'март 2023'!$J$4:$J$582,AD$1)</f>
        <v>0</v>
      </c>
      <c r="AE166" s="207">
        <f>SUMIFS('март 2023'!$G$4:$G$582,'март 2023'!$D$4:$D$582,$B166,'март 2023'!$J$4:$J$582,AE$1)</f>
        <v>0</v>
      </c>
      <c r="AF166" s="207">
        <f>SUMIFS('март 2023'!$G$4:$G$582,'март 2023'!$D$4:$D$582,$B166,'март 2023'!$J$4:$J$582,AF$1)</f>
        <v>0</v>
      </c>
      <c r="AG166" s="207">
        <f>SUMIFS('март 2023'!$G$4:$G$582,'март 2023'!$D$4:$D$582,$B166,'март 2023'!$J$4:$J$582,AG$1)</f>
        <v>0</v>
      </c>
      <c r="AH166" s="207">
        <f>SUMIFS('март 2023'!$G$4:$G$582,'март 2023'!$D$4:$D$582,$B166,'март 2023'!$J$4:$J$582,AH$1)</f>
        <v>0</v>
      </c>
      <c r="AI166" s="220">
        <f t="shared" si="5"/>
        <v>0</v>
      </c>
    </row>
    <row r="167" spans="2:35" ht="15.75" hidden="1" x14ac:dyDescent="0.25">
      <c r="B167" s="212"/>
      <c r="C167" s="211"/>
      <c r="D167" s="207">
        <f>SUMIFS('март 2023'!$G$4:$G$582,'март 2023'!$D$4:$D$582,$B167,'март 2023'!$J$4:$J$582,D$1)</f>
        <v>0</v>
      </c>
      <c r="E167" s="207">
        <f>SUMIFS('март 2023'!$G$4:$G$582,'март 2023'!$D$4:$D$582,$B167,'март 2023'!$J$4:$J$582,E$1)</f>
        <v>0</v>
      </c>
      <c r="F167" s="207">
        <f>SUMIFS('март 2023'!$G$4:$G$582,'март 2023'!$D$4:$D$582,$B167,'март 2023'!$J$4:$J$582,F$1)</f>
        <v>0</v>
      </c>
      <c r="G167" s="207">
        <f>SUMIFS('март 2023'!$G$4:$G$582,'март 2023'!$D$4:$D$582,$B167,'март 2023'!$J$4:$J$582,G$1)</f>
        <v>0</v>
      </c>
      <c r="H167" s="207">
        <f>SUMIFS('март 2023'!$G$4:$G$582,'март 2023'!$D$4:$D$582,$B167,'март 2023'!$J$4:$J$582,H$1)</f>
        <v>0</v>
      </c>
      <c r="I167" s="207">
        <f>SUMIFS('март 2023'!$G$4:$G$582,'март 2023'!$D$4:$D$582,$B167,'март 2023'!$J$4:$J$582,I$1)</f>
        <v>0</v>
      </c>
      <c r="J167" s="207">
        <f>SUMIFS('март 2023'!$G$4:$G$582,'март 2023'!$D$4:$D$582,$B167,'март 2023'!$J$4:$J$582,J$1)</f>
        <v>0</v>
      </c>
      <c r="K167" s="207">
        <f>SUMIFS('март 2023'!$G$4:$G$582,'март 2023'!$D$4:$D$582,$B167,'март 2023'!$J$4:$J$582,K$1)</f>
        <v>0</v>
      </c>
      <c r="L167" s="207">
        <f>SUMIFS('март 2023'!$G$4:$G$582,'март 2023'!$D$4:$D$582,$B167,'март 2023'!$J$4:$J$582,L$1)</f>
        <v>0</v>
      </c>
      <c r="M167" s="207">
        <f>SUMIFS('март 2023'!$G$4:$G$582,'март 2023'!$D$4:$D$582,$B167,'март 2023'!$J$4:$J$582,M$1)</f>
        <v>0</v>
      </c>
      <c r="N167" s="207">
        <f>SUMIFS('март 2023'!$G$4:$G$582,'март 2023'!$D$4:$D$582,$B167,'март 2023'!$J$4:$J$582,N$1)</f>
        <v>0</v>
      </c>
      <c r="O167" s="207">
        <f>SUMIFS('март 2023'!$G$4:$G$582,'март 2023'!$D$4:$D$582,$B167,'март 2023'!$J$4:$J$582,O$1)</f>
        <v>0</v>
      </c>
      <c r="P167" s="207">
        <f>SUMIFS('март 2023'!$G$4:$G$582,'март 2023'!$D$4:$D$582,$B167,'март 2023'!$J$4:$J$582,P$1)</f>
        <v>0</v>
      </c>
      <c r="Q167" s="207">
        <f>SUMIFS('март 2023'!$G$4:$G$582,'март 2023'!$D$4:$D$582,$B167,'март 2023'!$J$4:$J$582,Q$1)</f>
        <v>0</v>
      </c>
      <c r="R167" s="207">
        <f>SUMIFS('март 2023'!$G$4:$G$582,'март 2023'!$D$4:$D$582,$B167,'март 2023'!$J$4:$J$582,R$1)</f>
        <v>0</v>
      </c>
      <c r="S167" s="207">
        <f>SUMIFS('март 2023'!$G$4:$G$582,'март 2023'!$D$4:$D$582,$B167,'март 2023'!$J$4:$J$582,S$1)</f>
        <v>0</v>
      </c>
      <c r="T167" s="207">
        <f>SUMIFS('март 2023'!$G$4:$G$582,'март 2023'!$D$4:$D$582,$B167,'март 2023'!$J$4:$J$582,T$1)</f>
        <v>0</v>
      </c>
      <c r="U167" s="207">
        <f>SUMIFS('март 2023'!$G$4:$G$582,'март 2023'!$D$4:$D$582,$B167,'март 2023'!$J$4:$J$582,U$1)</f>
        <v>0</v>
      </c>
      <c r="V167" s="207">
        <f>SUMIFS('март 2023'!$G$4:$G$582,'март 2023'!$D$4:$D$582,$B167,'март 2023'!$J$4:$J$582,V$1)</f>
        <v>0</v>
      </c>
      <c r="W167" s="207">
        <f>SUMIFS('март 2023'!$G$4:$G$582,'март 2023'!$D$4:$D$582,$B167,'март 2023'!$J$4:$J$582,W$1)</f>
        <v>0</v>
      </c>
      <c r="X167" s="207">
        <f>SUMIFS('март 2023'!$G$4:$G$582,'март 2023'!$D$4:$D$582,$B167,'март 2023'!$J$4:$J$582,X$1)</f>
        <v>0</v>
      </c>
      <c r="Y167" s="207">
        <f>SUMIFS('март 2023'!$G$4:$G$582,'март 2023'!$D$4:$D$582,$B167,'март 2023'!$J$4:$J$582,Y$1)</f>
        <v>0</v>
      </c>
      <c r="Z167" s="207">
        <f>SUMIFS('март 2023'!$G$4:$G$582,'март 2023'!$D$4:$D$582,$B167,'март 2023'!$J$4:$J$582,Z$1)</f>
        <v>0</v>
      </c>
      <c r="AA167" s="207">
        <f>SUMIFS('март 2023'!$G$4:$G$582,'март 2023'!$D$4:$D$582,$B167,'март 2023'!$J$4:$J$582,AA$1)</f>
        <v>0</v>
      </c>
      <c r="AB167" s="207">
        <f>SUMIFS('март 2023'!$G$4:$G$582,'март 2023'!$D$4:$D$582,$B167,'март 2023'!$J$4:$J$582,AB$1)</f>
        <v>0</v>
      </c>
      <c r="AC167" s="207">
        <f>SUMIFS('март 2023'!$G$4:$G$582,'март 2023'!$D$4:$D$582,$B167,'март 2023'!$J$4:$J$582,AC$1)</f>
        <v>0</v>
      </c>
      <c r="AD167" s="207">
        <f>SUMIFS('март 2023'!$G$4:$G$582,'март 2023'!$D$4:$D$582,$B167,'март 2023'!$J$4:$J$582,AD$1)</f>
        <v>0</v>
      </c>
      <c r="AE167" s="207">
        <f>SUMIFS('март 2023'!$G$4:$G$582,'март 2023'!$D$4:$D$582,$B167,'март 2023'!$J$4:$J$582,AE$1)</f>
        <v>0</v>
      </c>
      <c r="AF167" s="207">
        <f>SUMIFS('март 2023'!$G$4:$G$582,'март 2023'!$D$4:$D$582,$B167,'март 2023'!$J$4:$J$582,AF$1)</f>
        <v>0</v>
      </c>
      <c r="AG167" s="207">
        <f>SUMIFS('март 2023'!$G$4:$G$582,'март 2023'!$D$4:$D$582,$B167,'март 2023'!$J$4:$J$582,AG$1)</f>
        <v>0</v>
      </c>
      <c r="AH167" s="207">
        <f>SUMIFS('март 2023'!$G$4:$G$582,'март 2023'!$D$4:$D$582,$B167,'март 2023'!$J$4:$J$582,AH$1)</f>
        <v>0</v>
      </c>
      <c r="AI167" s="220">
        <f t="shared" si="5"/>
        <v>0</v>
      </c>
    </row>
    <row r="168" spans="2:35" ht="15.75" hidden="1" x14ac:dyDescent="0.25">
      <c r="B168" s="212"/>
      <c r="C168" s="211"/>
      <c r="D168" s="207">
        <f>SUMIFS('март 2023'!$G$4:$G$582,'март 2023'!$D$4:$D$582,$B168,'март 2023'!$J$4:$J$582,D$1)</f>
        <v>0</v>
      </c>
      <c r="E168" s="207">
        <f>SUMIFS('март 2023'!$G$4:$G$582,'март 2023'!$D$4:$D$582,$B168,'март 2023'!$J$4:$J$582,E$1)</f>
        <v>0</v>
      </c>
      <c r="F168" s="207">
        <f>SUMIFS('март 2023'!$G$4:$G$582,'март 2023'!$D$4:$D$582,$B168,'март 2023'!$J$4:$J$582,F$1)</f>
        <v>0</v>
      </c>
      <c r="G168" s="207">
        <f>SUMIFS('март 2023'!$G$4:$G$582,'март 2023'!$D$4:$D$582,$B168,'март 2023'!$J$4:$J$582,G$1)</f>
        <v>0</v>
      </c>
      <c r="H168" s="207">
        <f>SUMIFS('март 2023'!$G$4:$G$582,'март 2023'!$D$4:$D$582,$B168,'март 2023'!$J$4:$J$582,H$1)</f>
        <v>0</v>
      </c>
      <c r="I168" s="207">
        <f>SUMIFS('март 2023'!$G$4:$G$582,'март 2023'!$D$4:$D$582,$B168,'март 2023'!$J$4:$J$582,I$1)</f>
        <v>0</v>
      </c>
      <c r="J168" s="207">
        <f>SUMIFS('март 2023'!$G$4:$G$582,'март 2023'!$D$4:$D$582,$B168,'март 2023'!$J$4:$J$582,J$1)</f>
        <v>0</v>
      </c>
      <c r="K168" s="207">
        <f>SUMIFS('март 2023'!$G$4:$G$582,'март 2023'!$D$4:$D$582,$B168,'март 2023'!$J$4:$J$582,K$1)</f>
        <v>0</v>
      </c>
      <c r="L168" s="207">
        <f>SUMIFS('март 2023'!$G$4:$G$582,'март 2023'!$D$4:$D$582,$B168,'март 2023'!$J$4:$J$582,L$1)</f>
        <v>0</v>
      </c>
      <c r="M168" s="207">
        <f>SUMIFS('март 2023'!$G$4:$G$582,'март 2023'!$D$4:$D$582,$B168,'март 2023'!$J$4:$J$582,M$1)</f>
        <v>0</v>
      </c>
      <c r="N168" s="207">
        <f>SUMIFS('март 2023'!$G$4:$G$582,'март 2023'!$D$4:$D$582,$B168,'март 2023'!$J$4:$J$582,N$1)</f>
        <v>0</v>
      </c>
      <c r="O168" s="207">
        <f>SUMIFS('март 2023'!$G$4:$G$582,'март 2023'!$D$4:$D$582,$B168,'март 2023'!$J$4:$J$582,O$1)</f>
        <v>0</v>
      </c>
      <c r="P168" s="207">
        <f>SUMIFS('март 2023'!$G$4:$G$582,'март 2023'!$D$4:$D$582,$B168,'март 2023'!$J$4:$J$582,P$1)</f>
        <v>0</v>
      </c>
      <c r="Q168" s="207">
        <f>SUMIFS('март 2023'!$G$4:$G$582,'март 2023'!$D$4:$D$582,$B168,'март 2023'!$J$4:$J$582,Q$1)</f>
        <v>0</v>
      </c>
      <c r="R168" s="207">
        <f>SUMIFS('март 2023'!$G$4:$G$582,'март 2023'!$D$4:$D$582,$B168,'март 2023'!$J$4:$J$582,R$1)</f>
        <v>0</v>
      </c>
      <c r="S168" s="207">
        <f>SUMIFS('март 2023'!$G$4:$G$582,'март 2023'!$D$4:$D$582,$B168,'март 2023'!$J$4:$J$582,S$1)</f>
        <v>0</v>
      </c>
      <c r="T168" s="207">
        <f>SUMIFS('март 2023'!$G$4:$G$582,'март 2023'!$D$4:$D$582,$B168,'март 2023'!$J$4:$J$582,T$1)</f>
        <v>0</v>
      </c>
      <c r="U168" s="207">
        <f>SUMIFS('март 2023'!$G$4:$G$582,'март 2023'!$D$4:$D$582,$B168,'март 2023'!$J$4:$J$582,U$1)</f>
        <v>0</v>
      </c>
      <c r="V168" s="207">
        <f>SUMIFS('март 2023'!$G$4:$G$582,'март 2023'!$D$4:$D$582,$B168,'март 2023'!$J$4:$J$582,V$1)</f>
        <v>0</v>
      </c>
      <c r="W168" s="207">
        <f>SUMIFS('март 2023'!$G$4:$G$582,'март 2023'!$D$4:$D$582,$B168,'март 2023'!$J$4:$J$582,W$1)</f>
        <v>0</v>
      </c>
      <c r="X168" s="207">
        <f>SUMIFS('март 2023'!$G$4:$G$582,'март 2023'!$D$4:$D$582,$B168,'март 2023'!$J$4:$J$582,X$1)</f>
        <v>0</v>
      </c>
      <c r="Y168" s="207">
        <f>SUMIFS('март 2023'!$G$4:$G$582,'март 2023'!$D$4:$D$582,$B168,'март 2023'!$J$4:$J$582,Y$1)</f>
        <v>0</v>
      </c>
      <c r="Z168" s="207">
        <f>SUMIFS('март 2023'!$G$4:$G$582,'март 2023'!$D$4:$D$582,$B168,'март 2023'!$J$4:$J$582,Z$1)</f>
        <v>0</v>
      </c>
      <c r="AA168" s="207">
        <f>SUMIFS('март 2023'!$G$4:$G$582,'март 2023'!$D$4:$D$582,$B168,'март 2023'!$J$4:$J$582,AA$1)</f>
        <v>0</v>
      </c>
      <c r="AB168" s="207">
        <f>SUMIFS('март 2023'!$G$4:$G$582,'март 2023'!$D$4:$D$582,$B168,'март 2023'!$J$4:$J$582,AB$1)</f>
        <v>0</v>
      </c>
      <c r="AC168" s="207">
        <f>SUMIFS('март 2023'!$G$4:$G$582,'март 2023'!$D$4:$D$582,$B168,'март 2023'!$J$4:$J$582,AC$1)</f>
        <v>0</v>
      </c>
      <c r="AD168" s="207">
        <f>SUMIFS('март 2023'!$G$4:$G$582,'март 2023'!$D$4:$D$582,$B168,'март 2023'!$J$4:$J$582,AD$1)</f>
        <v>0</v>
      </c>
      <c r="AE168" s="207">
        <f>SUMIFS('март 2023'!$G$4:$G$582,'март 2023'!$D$4:$D$582,$B168,'март 2023'!$J$4:$J$582,AE$1)</f>
        <v>0</v>
      </c>
      <c r="AF168" s="207">
        <f>SUMIFS('март 2023'!$G$4:$G$582,'март 2023'!$D$4:$D$582,$B168,'март 2023'!$J$4:$J$582,AF$1)</f>
        <v>0</v>
      </c>
      <c r="AG168" s="207">
        <f>SUMIFS('март 2023'!$G$4:$G$582,'март 2023'!$D$4:$D$582,$B168,'март 2023'!$J$4:$J$582,AG$1)</f>
        <v>0</v>
      </c>
      <c r="AH168" s="207">
        <f>SUMIFS('март 2023'!$G$4:$G$582,'март 2023'!$D$4:$D$582,$B168,'март 2023'!$J$4:$J$582,AH$1)</f>
        <v>0</v>
      </c>
      <c r="AI168" s="220">
        <f t="shared" si="5"/>
        <v>0</v>
      </c>
    </row>
    <row r="169" spans="2:35" ht="15.75" hidden="1" x14ac:dyDescent="0.25">
      <c r="B169" s="212"/>
      <c r="C169" s="211"/>
      <c r="D169" s="207">
        <f>SUMIFS('март 2023'!$G$4:$G$582,'март 2023'!$D$4:$D$582,$B169,'март 2023'!$J$4:$J$582,D$1)</f>
        <v>0</v>
      </c>
      <c r="E169" s="207">
        <f>SUMIFS('март 2023'!$G$4:$G$582,'март 2023'!$D$4:$D$582,$B169,'март 2023'!$J$4:$J$582,E$1)</f>
        <v>0</v>
      </c>
      <c r="F169" s="207">
        <f>SUMIFS('март 2023'!$G$4:$G$582,'март 2023'!$D$4:$D$582,$B169,'март 2023'!$J$4:$J$582,F$1)</f>
        <v>0</v>
      </c>
      <c r="G169" s="207">
        <f>SUMIFS('март 2023'!$G$4:$G$582,'март 2023'!$D$4:$D$582,$B169,'март 2023'!$J$4:$J$582,G$1)</f>
        <v>0</v>
      </c>
      <c r="H169" s="207">
        <f>SUMIFS('март 2023'!$G$4:$G$582,'март 2023'!$D$4:$D$582,$B169,'март 2023'!$J$4:$J$582,H$1)</f>
        <v>0</v>
      </c>
      <c r="I169" s="207">
        <f>SUMIFS('март 2023'!$G$4:$G$582,'март 2023'!$D$4:$D$582,$B169,'март 2023'!$J$4:$J$582,I$1)</f>
        <v>0</v>
      </c>
      <c r="J169" s="207">
        <f>SUMIFS('март 2023'!$G$4:$G$582,'март 2023'!$D$4:$D$582,$B169,'март 2023'!$J$4:$J$582,J$1)</f>
        <v>0</v>
      </c>
      <c r="K169" s="207">
        <f>SUMIFS('март 2023'!$G$4:$G$582,'март 2023'!$D$4:$D$582,$B169,'март 2023'!$J$4:$J$582,K$1)</f>
        <v>0</v>
      </c>
      <c r="L169" s="207">
        <f>SUMIFS('март 2023'!$G$4:$G$582,'март 2023'!$D$4:$D$582,$B169,'март 2023'!$J$4:$J$582,L$1)</f>
        <v>0</v>
      </c>
      <c r="M169" s="207">
        <f>SUMIFS('март 2023'!$G$4:$G$582,'март 2023'!$D$4:$D$582,$B169,'март 2023'!$J$4:$J$582,M$1)</f>
        <v>0</v>
      </c>
      <c r="N169" s="207">
        <f>SUMIFS('март 2023'!$G$4:$G$582,'март 2023'!$D$4:$D$582,$B169,'март 2023'!$J$4:$J$582,N$1)</f>
        <v>0</v>
      </c>
      <c r="O169" s="207">
        <f>SUMIFS('март 2023'!$G$4:$G$582,'март 2023'!$D$4:$D$582,$B169,'март 2023'!$J$4:$J$582,O$1)</f>
        <v>0</v>
      </c>
      <c r="P169" s="207">
        <f>SUMIFS('март 2023'!$G$4:$G$582,'март 2023'!$D$4:$D$582,$B169,'март 2023'!$J$4:$J$582,P$1)</f>
        <v>0</v>
      </c>
      <c r="Q169" s="207">
        <f>SUMIFS('март 2023'!$G$4:$G$582,'март 2023'!$D$4:$D$582,$B169,'март 2023'!$J$4:$J$582,Q$1)</f>
        <v>0</v>
      </c>
      <c r="R169" s="207">
        <f>SUMIFS('март 2023'!$G$4:$G$582,'март 2023'!$D$4:$D$582,$B169,'март 2023'!$J$4:$J$582,R$1)</f>
        <v>0</v>
      </c>
      <c r="S169" s="207">
        <f>SUMIFS('март 2023'!$G$4:$G$582,'март 2023'!$D$4:$D$582,$B169,'март 2023'!$J$4:$J$582,S$1)</f>
        <v>0</v>
      </c>
      <c r="T169" s="207">
        <f>SUMIFS('март 2023'!$G$4:$G$582,'март 2023'!$D$4:$D$582,$B169,'март 2023'!$J$4:$J$582,T$1)</f>
        <v>0</v>
      </c>
      <c r="U169" s="207">
        <f>SUMIFS('март 2023'!$G$4:$G$582,'март 2023'!$D$4:$D$582,$B169,'март 2023'!$J$4:$J$582,U$1)</f>
        <v>0</v>
      </c>
      <c r="V169" s="207">
        <f>SUMIFS('март 2023'!$G$4:$G$582,'март 2023'!$D$4:$D$582,$B169,'март 2023'!$J$4:$J$582,V$1)</f>
        <v>0</v>
      </c>
      <c r="W169" s="207">
        <f>SUMIFS('март 2023'!$G$4:$G$582,'март 2023'!$D$4:$D$582,$B169,'март 2023'!$J$4:$J$582,W$1)</f>
        <v>0</v>
      </c>
      <c r="X169" s="207">
        <f>SUMIFS('март 2023'!$G$4:$G$582,'март 2023'!$D$4:$D$582,$B169,'март 2023'!$J$4:$J$582,X$1)</f>
        <v>0</v>
      </c>
      <c r="Y169" s="207">
        <f>SUMIFS('март 2023'!$G$4:$G$582,'март 2023'!$D$4:$D$582,$B169,'март 2023'!$J$4:$J$582,Y$1)</f>
        <v>0</v>
      </c>
      <c r="Z169" s="207">
        <f>SUMIFS('март 2023'!$G$4:$G$582,'март 2023'!$D$4:$D$582,$B169,'март 2023'!$J$4:$J$582,Z$1)</f>
        <v>0</v>
      </c>
      <c r="AA169" s="207">
        <f>SUMIFS('март 2023'!$G$4:$G$582,'март 2023'!$D$4:$D$582,$B169,'март 2023'!$J$4:$J$582,AA$1)</f>
        <v>0</v>
      </c>
      <c r="AB169" s="207">
        <f>SUMIFS('март 2023'!$G$4:$G$582,'март 2023'!$D$4:$D$582,$B169,'март 2023'!$J$4:$J$582,AB$1)</f>
        <v>0</v>
      </c>
      <c r="AC169" s="207">
        <f>SUMIFS('март 2023'!$G$4:$G$582,'март 2023'!$D$4:$D$582,$B169,'март 2023'!$J$4:$J$582,AC$1)</f>
        <v>0</v>
      </c>
      <c r="AD169" s="207">
        <f>SUMIFS('март 2023'!$G$4:$G$582,'март 2023'!$D$4:$D$582,$B169,'март 2023'!$J$4:$J$582,AD$1)</f>
        <v>0</v>
      </c>
      <c r="AE169" s="207">
        <f>SUMIFS('март 2023'!$G$4:$G$582,'март 2023'!$D$4:$D$582,$B169,'март 2023'!$J$4:$J$582,AE$1)</f>
        <v>0</v>
      </c>
      <c r="AF169" s="207">
        <f>SUMIFS('март 2023'!$G$4:$G$582,'март 2023'!$D$4:$D$582,$B169,'март 2023'!$J$4:$J$582,AF$1)</f>
        <v>0</v>
      </c>
      <c r="AG169" s="207">
        <f>SUMIFS('март 2023'!$G$4:$G$582,'март 2023'!$D$4:$D$582,$B169,'март 2023'!$J$4:$J$582,AG$1)</f>
        <v>0</v>
      </c>
      <c r="AH169" s="207">
        <f>SUMIFS('март 2023'!$G$4:$G$582,'март 2023'!$D$4:$D$582,$B169,'март 2023'!$J$4:$J$582,AH$1)</f>
        <v>0</v>
      </c>
      <c r="AI169" s="220">
        <f t="shared" si="5"/>
        <v>0</v>
      </c>
    </row>
    <row r="170" spans="2:35" ht="15.75" hidden="1" x14ac:dyDescent="0.25">
      <c r="B170" s="212"/>
      <c r="C170" s="211"/>
      <c r="D170" s="207">
        <f>SUMIFS('март 2023'!$G$4:$G$582,'март 2023'!$D$4:$D$582,$B170,'март 2023'!$J$4:$J$582,D$1)</f>
        <v>0</v>
      </c>
      <c r="E170" s="207">
        <f>SUMIFS('март 2023'!$G$4:$G$582,'март 2023'!$D$4:$D$582,$B170,'март 2023'!$J$4:$J$582,E$1)</f>
        <v>0</v>
      </c>
      <c r="F170" s="207">
        <f>SUMIFS('март 2023'!$G$4:$G$582,'март 2023'!$D$4:$D$582,$B170,'март 2023'!$J$4:$J$582,F$1)</f>
        <v>0</v>
      </c>
      <c r="G170" s="207">
        <f>SUMIFS('март 2023'!$G$4:$G$582,'март 2023'!$D$4:$D$582,$B170,'март 2023'!$J$4:$J$582,G$1)</f>
        <v>0</v>
      </c>
      <c r="H170" s="207">
        <f>SUMIFS('март 2023'!$G$4:$G$582,'март 2023'!$D$4:$D$582,$B170,'март 2023'!$J$4:$J$582,H$1)</f>
        <v>0</v>
      </c>
      <c r="I170" s="207">
        <f>SUMIFS('март 2023'!$G$4:$G$582,'март 2023'!$D$4:$D$582,$B170,'март 2023'!$J$4:$J$582,I$1)</f>
        <v>0</v>
      </c>
      <c r="J170" s="207">
        <f>SUMIFS('март 2023'!$G$4:$G$582,'март 2023'!$D$4:$D$582,$B170,'март 2023'!$J$4:$J$582,J$1)</f>
        <v>0</v>
      </c>
      <c r="K170" s="207">
        <f>SUMIFS('март 2023'!$G$4:$G$582,'март 2023'!$D$4:$D$582,$B170,'март 2023'!$J$4:$J$582,K$1)</f>
        <v>0</v>
      </c>
      <c r="L170" s="207">
        <f>SUMIFS('март 2023'!$G$4:$G$582,'март 2023'!$D$4:$D$582,$B170,'март 2023'!$J$4:$J$582,L$1)</f>
        <v>0</v>
      </c>
      <c r="M170" s="207">
        <f>SUMIFS('март 2023'!$G$4:$G$582,'март 2023'!$D$4:$D$582,$B170,'март 2023'!$J$4:$J$582,M$1)</f>
        <v>0</v>
      </c>
      <c r="N170" s="207">
        <f>SUMIFS('март 2023'!$G$4:$G$582,'март 2023'!$D$4:$D$582,$B170,'март 2023'!$J$4:$J$582,N$1)</f>
        <v>0</v>
      </c>
      <c r="O170" s="207">
        <f>SUMIFS('март 2023'!$G$4:$G$582,'март 2023'!$D$4:$D$582,$B170,'март 2023'!$J$4:$J$582,O$1)</f>
        <v>0</v>
      </c>
      <c r="P170" s="207">
        <f>SUMIFS('март 2023'!$G$4:$G$582,'март 2023'!$D$4:$D$582,$B170,'март 2023'!$J$4:$J$582,P$1)</f>
        <v>0</v>
      </c>
      <c r="Q170" s="207">
        <f>SUMIFS('март 2023'!$G$4:$G$582,'март 2023'!$D$4:$D$582,$B170,'март 2023'!$J$4:$J$582,Q$1)</f>
        <v>0</v>
      </c>
      <c r="R170" s="207">
        <f>SUMIFS('март 2023'!$G$4:$G$582,'март 2023'!$D$4:$D$582,$B170,'март 2023'!$J$4:$J$582,R$1)</f>
        <v>0</v>
      </c>
      <c r="S170" s="207">
        <f>SUMIFS('март 2023'!$G$4:$G$582,'март 2023'!$D$4:$D$582,$B170,'март 2023'!$J$4:$J$582,S$1)</f>
        <v>0</v>
      </c>
      <c r="T170" s="207">
        <f>SUMIFS('март 2023'!$G$4:$G$582,'март 2023'!$D$4:$D$582,$B170,'март 2023'!$J$4:$J$582,T$1)</f>
        <v>0</v>
      </c>
      <c r="U170" s="207">
        <f>SUMIFS('март 2023'!$G$4:$G$582,'март 2023'!$D$4:$D$582,$B170,'март 2023'!$J$4:$J$582,U$1)</f>
        <v>0</v>
      </c>
      <c r="V170" s="207">
        <f>SUMIFS('март 2023'!$G$4:$G$582,'март 2023'!$D$4:$D$582,$B170,'март 2023'!$J$4:$J$582,V$1)</f>
        <v>0</v>
      </c>
      <c r="W170" s="207">
        <f>SUMIFS('март 2023'!$G$4:$G$582,'март 2023'!$D$4:$D$582,$B170,'март 2023'!$J$4:$J$582,W$1)</f>
        <v>0</v>
      </c>
      <c r="X170" s="207">
        <f>SUMIFS('март 2023'!$G$4:$G$582,'март 2023'!$D$4:$D$582,$B170,'март 2023'!$J$4:$J$582,X$1)</f>
        <v>0</v>
      </c>
      <c r="Y170" s="207">
        <f>SUMIFS('март 2023'!$G$4:$G$582,'март 2023'!$D$4:$D$582,$B170,'март 2023'!$J$4:$J$582,Y$1)</f>
        <v>0</v>
      </c>
      <c r="Z170" s="207">
        <f>SUMIFS('март 2023'!$G$4:$G$582,'март 2023'!$D$4:$D$582,$B170,'март 2023'!$J$4:$J$582,Z$1)</f>
        <v>0</v>
      </c>
      <c r="AA170" s="207">
        <f>SUMIFS('март 2023'!$G$4:$G$582,'март 2023'!$D$4:$D$582,$B170,'март 2023'!$J$4:$J$582,AA$1)</f>
        <v>0</v>
      </c>
      <c r="AB170" s="207">
        <f>SUMIFS('март 2023'!$G$4:$G$582,'март 2023'!$D$4:$D$582,$B170,'март 2023'!$J$4:$J$582,AB$1)</f>
        <v>0</v>
      </c>
      <c r="AC170" s="207">
        <f>SUMIFS('март 2023'!$G$4:$G$582,'март 2023'!$D$4:$D$582,$B170,'март 2023'!$J$4:$J$582,AC$1)</f>
        <v>0</v>
      </c>
      <c r="AD170" s="207">
        <f>SUMIFS('март 2023'!$G$4:$G$582,'март 2023'!$D$4:$D$582,$B170,'март 2023'!$J$4:$J$582,AD$1)</f>
        <v>0</v>
      </c>
      <c r="AE170" s="207">
        <f>SUMIFS('март 2023'!$G$4:$G$582,'март 2023'!$D$4:$D$582,$B170,'март 2023'!$J$4:$J$582,AE$1)</f>
        <v>0</v>
      </c>
      <c r="AF170" s="207">
        <f>SUMIFS('март 2023'!$G$4:$G$582,'март 2023'!$D$4:$D$582,$B170,'март 2023'!$J$4:$J$582,AF$1)</f>
        <v>0</v>
      </c>
      <c r="AG170" s="207">
        <f>SUMIFS('март 2023'!$G$4:$G$582,'март 2023'!$D$4:$D$582,$B170,'март 2023'!$J$4:$J$582,AG$1)</f>
        <v>0</v>
      </c>
      <c r="AH170" s="207">
        <f>SUMIFS('март 2023'!$G$4:$G$582,'март 2023'!$D$4:$D$582,$B170,'март 2023'!$J$4:$J$582,AH$1)</f>
        <v>0</v>
      </c>
      <c r="AI170" s="220">
        <f t="shared" si="5"/>
        <v>0</v>
      </c>
    </row>
    <row r="171" spans="2:35" ht="15.75" hidden="1" x14ac:dyDescent="0.25">
      <c r="B171" s="212"/>
      <c r="C171" s="211"/>
      <c r="D171" s="207">
        <f>SUMIFS('март 2023'!$G$4:$G$582,'март 2023'!$D$4:$D$582,$B171,'март 2023'!$J$4:$J$582,D$1)</f>
        <v>0</v>
      </c>
      <c r="E171" s="207">
        <f>SUMIFS('март 2023'!$G$4:$G$582,'март 2023'!$D$4:$D$582,$B171,'март 2023'!$J$4:$J$582,E$1)</f>
        <v>0</v>
      </c>
      <c r="F171" s="207">
        <f>SUMIFS('март 2023'!$G$4:$G$582,'март 2023'!$D$4:$D$582,$B171,'март 2023'!$J$4:$J$582,F$1)</f>
        <v>0</v>
      </c>
      <c r="G171" s="207">
        <f>SUMIFS('март 2023'!$G$4:$G$582,'март 2023'!$D$4:$D$582,$B171,'март 2023'!$J$4:$J$582,G$1)</f>
        <v>0</v>
      </c>
      <c r="H171" s="207">
        <f>SUMIFS('март 2023'!$G$4:$G$582,'март 2023'!$D$4:$D$582,$B171,'март 2023'!$J$4:$J$582,H$1)</f>
        <v>0</v>
      </c>
      <c r="I171" s="207">
        <f>SUMIFS('март 2023'!$G$4:$G$582,'март 2023'!$D$4:$D$582,$B171,'март 2023'!$J$4:$J$582,I$1)</f>
        <v>0</v>
      </c>
      <c r="J171" s="207">
        <f>SUMIFS('март 2023'!$G$4:$G$582,'март 2023'!$D$4:$D$582,$B171,'март 2023'!$J$4:$J$582,J$1)</f>
        <v>0</v>
      </c>
      <c r="K171" s="207">
        <f>SUMIFS('март 2023'!$G$4:$G$582,'март 2023'!$D$4:$D$582,$B171,'март 2023'!$J$4:$J$582,K$1)</f>
        <v>0</v>
      </c>
      <c r="L171" s="207">
        <f>SUMIFS('март 2023'!$G$4:$G$582,'март 2023'!$D$4:$D$582,$B171,'март 2023'!$J$4:$J$582,L$1)</f>
        <v>0</v>
      </c>
      <c r="M171" s="207">
        <f>SUMIFS('март 2023'!$G$4:$G$582,'март 2023'!$D$4:$D$582,$B171,'март 2023'!$J$4:$J$582,M$1)</f>
        <v>0</v>
      </c>
      <c r="N171" s="207">
        <f>SUMIFS('март 2023'!$G$4:$G$582,'март 2023'!$D$4:$D$582,$B171,'март 2023'!$J$4:$J$582,N$1)</f>
        <v>0</v>
      </c>
      <c r="O171" s="207">
        <f>SUMIFS('март 2023'!$G$4:$G$582,'март 2023'!$D$4:$D$582,$B171,'март 2023'!$J$4:$J$582,O$1)</f>
        <v>0</v>
      </c>
      <c r="P171" s="207">
        <f>SUMIFS('март 2023'!$G$4:$G$582,'март 2023'!$D$4:$D$582,$B171,'март 2023'!$J$4:$J$582,P$1)</f>
        <v>0</v>
      </c>
      <c r="Q171" s="207">
        <f>SUMIFS('март 2023'!$G$4:$G$582,'март 2023'!$D$4:$D$582,$B171,'март 2023'!$J$4:$J$582,Q$1)</f>
        <v>0</v>
      </c>
      <c r="R171" s="207">
        <f>SUMIFS('март 2023'!$G$4:$G$582,'март 2023'!$D$4:$D$582,$B171,'март 2023'!$J$4:$J$582,R$1)</f>
        <v>0</v>
      </c>
      <c r="S171" s="207">
        <f>SUMIFS('март 2023'!$G$4:$G$582,'март 2023'!$D$4:$D$582,$B171,'март 2023'!$J$4:$J$582,S$1)</f>
        <v>0</v>
      </c>
      <c r="T171" s="207">
        <f>SUMIFS('март 2023'!$G$4:$G$582,'март 2023'!$D$4:$D$582,$B171,'март 2023'!$J$4:$J$582,T$1)</f>
        <v>0</v>
      </c>
      <c r="U171" s="207">
        <f>SUMIFS('март 2023'!$G$4:$G$582,'март 2023'!$D$4:$D$582,$B171,'март 2023'!$J$4:$J$582,U$1)</f>
        <v>0</v>
      </c>
      <c r="V171" s="207">
        <f>SUMIFS('март 2023'!$G$4:$G$582,'март 2023'!$D$4:$D$582,$B171,'март 2023'!$J$4:$J$582,V$1)</f>
        <v>0</v>
      </c>
      <c r="W171" s="207">
        <f>SUMIFS('март 2023'!$G$4:$G$582,'март 2023'!$D$4:$D$582,$B171,'март 2023'!$J$4:$J$582,W$1)</f>
        <v>0</v>
      </c>
      <c r="X171" s="207">
        <f>SUMIFS('март 2023'!$G$4:$G$582,'март 2023'!$D$4:$D$582,$B171,'март 2023'!$J$4:$J$582,X$1)</f>
        <v>0</v>
      </c>
      <c r="Y171" s="207">
        <f>SUMIFS('март 2023'!$G$4:$G$582,'март 2023'!$D$4:$D$582,$B171,'март 2023'!$J$4:$J$582,Y$1)</f>
        <v>0</v>
      </c>
      <c r="Z171" s="207">
        <f>SUMIFS('март 2023'!$G$4:$G$582,'март 2023'!$D$4:$D$582,$B171,'март 2023'!$J$4:$J$582,Z$1)</f>
        <v>0</v>
      </c>
      <c r="AA171" s="207">
        <f>SUMIFS('март 2023'!$G$4:$G$582,'март 2023'!$D$4:$D$582,$B171,'март 2023'!$J$4:$J$582,AA$1)</f>
        <v>0</v>
      </c>
      <c r="AB171" s="207">
        <f>SUMIFS('март 2023'!$G$4:$G$582,'март 2023'!$D$4:$D$582,$B171,'март 2023'!$J$4:$J$582,AB$1)</f>
        <v>0</v>
      </c>
      <c r="AC171" s="207">
        <f>SUMIFS('март 2023'!$G$4:$G$582,'март 2023'!$D$4:$D$582,$B171,'март 2023'!$J$4:$J$582,AC$1)</f>
        <v>0</v>
      </c>
      <c r="AD171" s="207">
        <f>SUMIFS('март 2023'!$G$4:$G$582,'март 2023'!$D$4:$D$582,$B171,'март 2023'!$J$4:$J$582,AD$1)</f>
        <v>0</v>
      </c>
      <c r="AE171" s="207">
        <f>SUMIFS('март 2023'!$G$4:$G$582,'март 2023'!$D$4:$D$582,$B171,'март 2023'!$J$4:$J$582,AE$1)</f>
        <v>0</v>
      </c>
      <c r="AF171" s="207">
        <f>SUMIFS('март 2023'!$G$4:$G$582,'март 2023'!$D$4:$D$582,$B171,'март 2023'!$J$4:$J$582,AF$1)</f>
        <v>0</v>
      </c>
      <c r="AG171" s="207">
        <f>SUMIFS('март 2023'!$G$4:$G$582,'март 2023'!$D$4:$D$582,$B171,'март 2023'!$J$4:$J$582,AG$1)</f>
        <v>0</v>
      </c>
      <c r="AH171" s="207">
        <f>SUMIFS('март 2023'!$G$4:$G$582,'март 2023'!$D$4:$D$582,$B171,'март 2023'!$J$4:$J$582,AH$1)</f>
        <v>0</v>
      </c>
      <c r="AI171" s="220">
        <f t="shared" si="5"/>
        <v>0</v>
      </c>
    </row>
    <row r="172" spans="2:35" ht="15.75" hidden="1" x14ac:dyDescent="0.25">
      <c r="B172" s="212"/>
      <c r="C172" s="211"/>
      <c r="D172" s="207">
        <f>SUMIFS('март 2023'!$G$4:$G$582,'март 2023'!$D$4:$D$582,$B172,'март 2023'!$J$4:$J$582,D$1)</f>
        <v>0</v>
      </c>
      <c r="E172" s="207">
        <f>SUMIFS('март 2023'!$G$4:$G$582,'март 2023'!$D$4:$D$582,$B172,'март 2023'!$J$4:$J$582,E$1)</f>
        <v>0</v>
      </c>
      <c r="F172" s="207">
        <f>SUMIFS('март 2023'!$G$4:$G$582,'март 2023'!$D$4:$D$582,$B172,'март 2023'!$J$4:$J$582,F$1)</f>
        <v>0</v>
      </c>
      <c r="G172" s="207">
        <f>SUMIFS('март 2023'!$G$4:$G$582,'март 2023'!$D$4:$D$582,$B172,'март 2023'!$J$4:$J$582,G$1)</f>
        <v>0</v>
      </c>
      <c r="H172" s="207">
        <f>SUMIFS('март 2023'!$G$4:$G$582,'март 2023'!$D$4:$D$582,$B172,'март 2023'!$J$4:$J$582,H$1)</f>
        <v>0</v>
      </c>
      <c r="I172" s="207">
        <f>SUMIFS('март 2023'!$G$4:$G$582,'март 2023'!$D$4:$D$582,$B172,'март 2023'!$J$4:$J$582,I$1)</f>
        <v>0</v>
      </c>
      <c r="J172" s="207">
        <f>SUMIFS('март 2023'!$G$4:$G$582,'март 2023'!$D$4:$D$582,$B172,'март 2023'!$J$4:$J$582,J$1)</f>
        <v>0</v>
      </c>
      <c r="K172" s="207">
        <f>SUMIFS('март 2023'!$G$4:$G$582,'март 2023'!$D$4:$D$582,$B172,'март 2023'!$J$4:$J$582,K$1)</f>
        <v>0</v>
      </c>
      <c r="L172" s="207">
        <f>SUMIFS('март 2023'!$G$4:$G$582,'март 2023'!$D$4:$D$582,$B172,'март 2023'!$J$4:$J$582,L$1)</f>
        <v>0</v>
      </c>
      <c r="M172" s="207">
        <f>SUMIFS('март 2023'!$G$4:$G$582,'март 2023'!$D$4:$D$582,$B172,'март 2023'!$J$4:$J$582,M$1)</f>
        <v>0</v>
      </c>
      <c r="N172" s="207">
        <f>SUMIFS('март 2023'!$G$4:$G$582,'март 2023'!$D$4:$D$582,$B172,'март 2023'!$J$4:$J$582,N$1)</f>
        <v>0</v>
      </c>
      <c r="O172" s="207">
        <f>SUMIFS('март 2023'!$G$4:$G$582,'март 2023'!$D$4:$D$582,$B172,'март 2023'!$J$4:$J$582,O$1)</f>
        <v>0</v>
      </c>
      <c r="P172" s="207">
        <f>SUMIFS('март 2023'!$G$4:$G$582,'март 2023'!$D$4:$D$582,$B172,'март 2023'!$J$4:$J$582,P$1)</f>
        <v>0</v>
      </c>
      <c r="Q172" s="207">
        <f>SUMIFS('март 2023'!$G$4:$G$582,'март 2023'!$D$4:$D$582,$B172,'март 2023'!$J$4:$J$582,Q$1)</f>
        <v>0</v>
      </c>
      <c r="R172" s="207">
        <f>SUMIFS('март 2023'!$G$4:$G$582,'март 2023'!$D$4:$D$582,$B172,'март 2023'!$J$4:$J$582,R$1)</f>
        <v>0</v>
      </c>
      <c r="S172" s="207">
        <f>SUMIFS('март 2023'!$G$4:$G$582,'март 2023'!$D$4:$D$582,$B172,'март 2023'!$J$4:$J$582,S$1)</f>
        <v>0</v>
      </c>
      <c r="T172" s="207">
        <f>SUMIFS('март 2023'!$G$4:$G$582,'март 2023'!$D$4:$D$582,$B172,'март 2023'!$J$4:$J$582,T$1)</f>
        <v>0</v>
      </c>
      <c r="U172" s="207">
        <f>SUMIFS('март 2023'!$G$4:$G$582,'март 2023'!$D$4:$D$582,$B172,'март 2023'!$J$4:$J$582,U$1)</f>
        <v>0</v>
      </c>
      <c r="V172" s="207">
        <f>SUMIFS('март 2023'!$G$4:$G$582,'март 2023'!$D$4:$D$582,$B172,'март 2023'!$J$4:$J$582,V$1)</f>
        <v>0</v>
      </c>
      <c r="W172" s="207">
        <f>SUMIFS('март 2023'!$G$4:$G$582,'март 2023'!$D$4:$D$582,$B172,'март 2023'!$J$4:$J$582,W$1)</f>
        <v>0</v>
      </c>
      <c r="X172" s="207">
        <f>SUMIFS('март 2023'!$G$4:$G$582,'март 2023'!$D$4:$D$582,$B172,'март 2023'!$J$4:$J$582,X$1)</f>
        <v>0</v>
      </c>
      <c r="Y172" s="207">
        <f>SUMIFS('март 2023'!$G$4:$G$582,'март 2023'!$D$4:$D$582,$B172,'март 2023'!$J$4:$J$582,Y$1)</f>
        <v>0</v>
      </c>
      <c r="Z172" s="207">
        <f>SUMIFS('март 2023'!$G$4:$G$582,'март 2023'!$D$4:$D$582,$B172,'март 2023'!$J$4:$J$582,Z$1)</f>
        <v>0</v>
      </c>
      <c r="AA172" s="207">
        <f>SUMIFS('март 2023'!$G$4:$G$582,'март 2023'!$D$4:$D$582,$B172,'март 2023'!$J$4:$J$582,AA$1)</f>
        <v>0</v>
      </c>
      <c r="AB172" s="207">
        <f>SUMIFS('март 2023'!$G$4:$G$582,'март 2023'!$D$4:$D$582,$B172,'март 2023'!$J$4:$J$582,AB$1)</f>
        <v>0</v>
      </c>
      <c r="AC172" s="207">
        <f>SUMIFS('март 2023'!$G$4:$G$582,'март 2023'!$D$4:$D$582,$B172,'март 2023'!$J$4:$J$582,AC$1)</f>
        <v>0</v>
      </c>
      <c r="AD172" s="207">
        <f>SUMIFS('март 2023'!$G$4:$G$582,'март 2023'!$D$4:$D$582,$B172,'март 2023'!$J$4:$J$582,AD$1)</f>
        <v>0</v>
      </c>
      <c r="AE172" s="207">
        <f>SUMIFS('март 2023'!$G$4:$G$582,'март 2023'!$D$4:$D$582,$B172,'март 2023'!$J$4:$J$582,AE$1)</f>
        <v>0</v>
      </c>
      <c r="AF172" s="207">
        <f>SUMIFS('март 2023'!$G$4:$G$582,'март 2023'!$D$4:$D$582,$B172,'март 2023'!$J$4:$J$582,AF$1)</f>
        <v>0</v>
      </c>
      <c r="AG172" s="207">
        <f>SUMIFS('март 2023'!$G$4:$G$582,'март 2023'!$D$4:$D$582,$B172,'март 2023'!$J$4:$J$582,AG$1)</f>
        <v>0</v>
      </c>
      <c r="AH172" s="207">
        <f>SUMIFS('март 2023'!$G$4:$G$582,'март 2023'!$D$4:$D$582,$B172,'март 2023'!$J$4:$J$582,AH$1)</f>
        <v>0</v>
      </c>
      <c r="AI172" s="220">
        <f t="shared" si="5"/>
        <v>0</v>
      </c>
    </row>
    <row r="173" spans="2:35" ht="15.75" hidden="1" x14ac:dyDescent="0.25">
      <c r="B173" s="212"/>
      <c r="C173" s="211"/>
      <c r="D173" s="207">
        <f>SUMIFS('март 2023'!$G$4:$G$582,'март 2023'!$D$4:$D$582,$B173,'март 2023'!$J$4:$J$582,D$1)</f>
        <v>0</v>
      </c>
      <c r="E173" s="207">
        <f>SUMIFS('март 2023'!$G$4:$G$582,'март 2023'!$D$4:$D$582,$B173,'март 2023'!$J$4:$J$582,E$1)</f>
        <v>0</v>
      </c>
      <c r="F173" s="207">
        <f>SUMIFS('март 2023'!$G$4:$G$582,'март 2023'!$D$4:$D$582,$B173,'март 2023'!$J$4:$J$582,F$1)</f>
        <v>0</v>
      </c>
      <c r="G173" s="207">
        <f>SUMIFS('март 2023'!$G$4:$G$582,'март 2023'!$D$4:$D$582,$B173,'март 2023'!$J$4:$J$582,G$1)</f>
        <v>0</v>
      </c>
      <c r="H173" s="207">
        <f>SUMIFS('март 2023'!$G$4:$G$582,'март 2023'!$D$4:$D$582,$B173,'март 2023'!$J$4:$J$582,H$1)</f>
        <v>0</v>
      </c>
      <c r="I173" s="207">
        <f>SUMIFS('март 2023'!$G$4:$G$582,'март 2023'!$D$4:$D$582,$B173,'март 2023'!$J$4:$J$582,I$1)</f>
        <v>0</v>
      </c>
      <c r="J173" s="207">
        <f>SUMIFS('март 2023'!$G$4:$G$582,'март 2023'!$D$4:$D$582,$B173,'март 2023'!$J$4:$J$582,J$1)</f>
        <v>0</v>
      </c>
      <c r="K173" s="207">
        <f>SUMIFS('март 2023'!$G$4:$G$582,'март 2023'!$D$4:$D$582,$B173,'март 2023'!$J$4:$J$582,K$1)</f>
        <v>0</v>
      </c>
      <c r="L173" s="207">
        <f>SUMIFS('март 2023'!$G$4:$G$582,'март 2023'!$D$4:$D$582,$B173,'март 2023'!$J$4:$J$582,L$1)</f>
        <v>0</v>
      </c>
      <c r="M173" s="207">
        <f>SUMIFS('март 2023'!$G$4:$G$582,'март 2023'!$D$4:$D$582,$B173,'март 2023'!$J$4:$J$582,M$1)</f>
        <v>0</v>
      </c>
      <c r="N173" s="207">
        <f>SUMIFS('март 2023'!$G$4:$G$582,'март 2023'!$D$4:$D$582,$B173,'март 2023'!$J$4:$J$582,N$1)</f>
        <v>0</v>
      </c>
      <c r="O173" s="207">
        <f>SUMIFS('март 2023'!$G$4:$G$582,'март 2023'!$D$4:$D$582,$B173,'март 2023'!$J$4:$J$582,O$1)</f>
        <v>0</v>
      </c>
      <c r="P173" s="207">
        <f>SUMIFS('март 2023'!$G$4:$G$582,'март 2023'!$D$4:$D$582,$B173,'март 2023'!$J$4:$J$582,P$1)</f>
        <v>0</v>
      </c>
      <c r="Q173" s="207">
        <f>SUMIFS('март 2023'!$G$4:$G$582,'март 2023'!$D$4:$D$582,$B173,'март 2023'!$J$4:$J$582,Q$1)</f>
        <v>0</v>
      </c>
      <c r="R173" s="207">
        <f>SUMIFS('март 2023'!$G$4:$G$582,'март 2023'!$D$4:$D$582,$B173,'март 2023'!$J$4:$J$582,R$1)</f>
        <v>0</v>
      </c>
      <c r="S173" s="207">
        <f>SUMIFS('март 2023'!$G$4:$G$582,'март 2023'!$D$4:$D$582,$B173,'март 2023'!$J$4:$J$582,S$1)</f>
        <v>0</v>
      </c>
      <c r="T173" s="207">
        <f>SUMIFS('март 2023'!$G$4:$G$582,'март 2023'!$D$4:$D$582,$B173,'март 2023'!$J$4:$J$582,T$1)</f>
        <v>0</v>
      </c>
      <c r="U173" s="207">
        <f>SUMIFS('март 2023'!$G$4:$G$582,'март 2023'!$D$4:$D$582,$B173,'март 2023'!$J$4:$J$582,U$1)</f>
        <v>0</v>
      </c>
      <c r="V173" s="207">
        <f>SUMIFS('март 2023'!$G$4:$G$582,'март 2023'!$D$4:$D$582,$B173,'март 2023'!$J$4:$J$582,V$1)</f>
        <v>0</v>
      </c>
      <c r="W173" s="207">
        <f>SUMIFS('март 2023'!$G$4:$G$582,'март 2023'!$D$4:$D$582,$B173,'март 2023'!$J$4:$J$582,W$1)</f>
        <v>0</v>
      </c>
      <c r="X173" s="207">
        <f>SUMIFS('март 2023'!$G$4:$G$582,'март 2023'!$D$4:$D$582,$B173,'март 2023'!$J$4:$J$582,X$1)</f>
        <v>0</v>
      </c>
      <c r="Y173" s="207">
        <f>SUMIFS('март 2023'!$G$4:$G$582,'март 2023'!$D$4:$D$582,$B173,'март 2023'!$J$4:$J$582,Y$1)</f>
        <v>0</v>
      </c>
      <c r="Z173" s="207">
        <f>SUMIFS('март 2023'!$G$4:$G$582,'март 2023'!$D$4:$D$582,$B173,'март 2023'!$J$4:$J$582,Z$1)</f>
        <v>0</v>
      </c>
      <c r="AA173" s="207">
        <f>SUMIFS('март 2023'!$G$4:$G$582,'март 2023'!$D$4:$D$582,$B173,'март 2023'!$J$4:$J$582,AA$1)</f>
        <v>0</v>
      </c>
      <c r="AB173" s="207">
        <f>SUMIFS('март 2023'!$G$4:$G$582,'март 2023'!$D$4:$D$582,$B173,'март 2023'!$J$4:$J$582,AB$1)</f>
        <v>0</v>
      </c>
      <c r="AC173" s="207">
        <f>SUMIFS('март 2023'!$G$4:$G$582,'март 2023'!$D$4:$D$582,$B173,'март 2023'!$J$4:$J$582,AC$1)</f>
        <v>0</v>
      </c>
      <c r="AD173" s="207">
        <f>SUMIFS('март 2023'!$G$4:$G$582,'март 2023'!$D$4:$D$582,$B173,'март 2023'!$J$4:$J$582,AD$1)</f>
        <v>0</v>
      </c>
      <c r="AE173" s="207">
        <f>SUMIFS('март 2023'!$G$4:$G$582,'март 2023'!$D$4:$D$582,$B173,'март 2023'!$J$4:$J$582,AE$1)</f>
        <v>0</v>
      </c>
      <c r="AF173" s="207">
        <f>SUMIFS('март 2023'!$G$4:$G$582,'март 2023'!$D$4:$D$582,$B173,'март 2023'!$J$4:$J$582,AF$1)</f>
        <v>0</v>
      </c>
      <c r="AG173" s="207">
        <f>SUMIFS('март 2023'!$G$4:$G$582,'март 2023'!$D$4:$D$582,$B173,'март 2023'!$J$4:$J$582,AG$1)</f>
        <v>0</v>
      </c>
      <c r="AH173" s="207">
        <f>SUMIFS('март 2023'!$G$4:$G$582,'март 2023'!$D$4:$D$582,$B173,'март 2023'!$J$4:$J$582,AH$1)</f>
        <v>0</v>
      </c>
      <c r="AI173" s="220">
        <f t="shared" si="5"/>
        <v>0</v>
      </c>
    </row>
    <row r="174" spans="2:35" ht="15.75" hidden="1" x14ac:dyDescent="0.25">
      <c r="B174" s="212"/>
      <c r="C174" s="211"/>
      <c r="D174" s="207">
        <f>SUMIFS('март 2023'!$G$4:$G$582,'март 2023'!$D$4:$D$582,$B174,'март 2023'!$J$4:$J$582,D$1)</f>
        <v>0</v>
      </c>
      <c r="E174" s="207">
        <f>SUMIFS('март 2023'!$G$4:$G$582,'март 2023'!$D$4:$D$582,$B174,'март 2023'!$J$4:$J$582,E$1)</f>
        <v>0</v>
      </c>
      <c r="F174" s="207">
        <f>SUMIFS('март 2023'!$G$4:$G$582,'март 2023'!$D$4:$D$582,$B174,'март 2023'!$J$4:$J$582,F$1)</f>
        <v>0</v>
      </c>
      <c r="G174" s="207">
        <f>SUMIFS('март 2023'!$G$4:$G$582,'март 2023'!$D$4:$D$582,$B174,'март 2023'!$J$4:$J$582,G$1)</f>
        <v>0</v>
      </c>
      <c r="H174" s="207">
        <f>SUMIFS('март 2023'!$G$4:$G$582,'март 2023'!$D$4:$D$582,$B174,'март 2023'!$J$4:$J$582,H$1)</f>
        <v>0</v>
      </c>
      <c r="I174" s="207">
        <f>SUMIFS('март 2023'!$G$4:$G$582,'март 2023'!$D$4:$D$582,$B174,'март 2023'!$J$4:$J$582,I$1)</f>
        <v>0</v>
      </c>
      <c r="J174" s="207">
        <f>SUMIFS('март 2023'!$G$4:$G$582,'март 2023'!$D$4:$D$582,$B174,'март 2023'!$J$4:$J$582,J$1)</f>
        <v>0</v>
      </c>
      <c r="K174" s="207">
        <f>SUMIFS('март 2023'!$G$4:$G$582,'март 2023'!$D$4:$D$582,$B174,'март 2023'!$J$4:$J$582,K$1)</f>
        <v>0</v>
      </c>
      <c r="L174" s="207">
        <f>SUMIFS('март 2023'!$G$4:$G$582,'март 2023'!$D$4:$D$582,$B174,'март 2023'!$J$4:$J$582,L$1)</f>
        <v>0</v>
      </c>
      <c r="M174" s="207">
        <f>SUMIFS('март 2023'!$G$4:$G$582,'март 2023'!$D$4:$D$582,$B174,'март 2023'!$J$4:$J$582,M$1)</f>
        <v>0</v>
      </c>
      <c r="N174" s="207">
        <f>SUMIFS('март 2023'!$G$4:$G$582,'март 2023'!$D$4:$D$582,$B174,'март 2023'!$J$4:$J$582,N$1)</f>
        <v>0</v>
      </c>
      <c r="O174" s="207">
        <f>SUMIFS('март 2023'!$G$4:$G$582,'март 2023'!$D$4:$D$582,$B174,'март 2023'!$J$4:$J$582,O$1)</f>
        <v>0</v>
      </c>
      <c r="P174" s="207">
        <f>SUMIFS('март 2023'!$G$4:$G$582,'март 2023'!$D$4:$D$582,$B174,'март 2023'!$J$4:$J$582,P$1)</f>
        <v>0</v>
      </c>
      <c r="Q174" s="207">
        <f>SUMIFS('март 2023'!$G$4:$G$582,'март 2023'!$D$4:$D$582,$B174,'март 2023'!$J$4:$J$582,Q$1)</f>
        <v>0</v>
      </c>
      <c r="R174" s="207">
        <f>SUMIFS('март 2023'!$G$4:$G$582,'март 2023'!$D$4:$D$582,$B174,'март 2023'!$J$4:$J$582,R$1)</f>
        <v>0</v>
      </c>
      <c r="S174" s="207">
        <f>SUMIFS('март 2023'!$G$4:$G$582,'март 2023'!$D$4:$D$582,$B174,'март 2023'!$J$4:$J$582,S$1)</f>
        <v>0</v>
      </c>
      <c r="T174" s="207">
        <f>SUMIFS('март 2023'!$G$4:$G$582,'март 2023'!$D$4:$D$582,$B174,'март 2023'!$J$4:$J$582,T$1)</f>
        <v>0</v>
      </c>
      <c r="U174" s="207">
        <f>SUMIFS('март 2023'!$G$4:$G$582,'март 2023'!$D$4:$D$582,$B174,'март 2023'!$J$4:$J$582,U$1)</f>
        <v>0</v>
      </c>
      <c r="V174" s="207">
        <f>SUMIFS('март 2023'!$G$4:$G$582,'март 2023'!$D$4:$D$582,$B174,'март 2023'!$J$4:$J$582,V$1)</f>
        <v>0</v>
      </c>
      <c r="W174" s="207">
        <f>SUMIFS('март 2023'!$G$4:$G$582,'март 2023'!$D$4:$D$582,$B174,'март 2023'!$J$4:$J$582,W$1)</f>
        <v>0</v>
      </c>
      <c r="X174" s="207">
        <f>SUMIFS('март 2023'!$G$4:$G$582,'март 2023'!$D$4:$D$582,$B174,'март 2023'!$J$4:$J$582,X$1)</f>
        <v>0</v>
      </c>
      <c r="Y174" s="207">
        <f>SUMIFS('март 2023'!$G$4:$G$582,'март 2023'!$D$4:$D$582,$B174,'март 2023'!$J$4:$J$582,Y$1)</f>
        <v>0</v>
      </c>
      <c r="Z174" s="207">
        <f>SUMIFS('март 2023'!$G$4:$G$582,'март 2023'!$D$4:$D$582,$B174,'март 2023'!$J$4:$J$582,Z$1)</f>
        <v>0</v>
      </c>
      <c r="AA174" s="207">
        <f>SUMIFS('март 2023'!$G$4:$G$582,'март 2023'!$D$4:$D$582,$B174,'март 2023'!$J$4:$J$582,AA$1)</f>
        <v>0</v>
      </c>
      <c r="AB174" s="207">
        <f>SUMIFS('март 2023'!$G$4:$G$582,'март 2023'!$D$4:$D$582,$B174,'март 2023'!$J$4:$J$582,AB$1)</f>
        <v>0</v>
      </c>
      <c r="AC174" s="207">
        <f>SUMIFS('март 2023'!$G$4:$G$582,'март 2023'!$D$4:$D$582,$B174,'март 2023'!$J$4:$J$582,AC$1)</f>
        <v>0</v>
      </c>
      <c r="AD174" s="207">
        <f>SUMIFS('март 2023'!$G$4:$G$582,'март 2023'!$D$4:$D$582,$B174,'март 2023'!$J$4:$J$582,AD$1)</f>
        <v>0</v>
      </c>
      <c r="AE174" s="207">
        <f>SUMIFS('март 2023'!$G$4:$G$582,'март 2023'!$D$4:$D$582,$B174,'март 2023'!$J$4:$J$582,AE$1)</f>
        <v>0</v>
      </c>
      <c r="AF174" s="207">
        <f>SUMIFS('март 2023'!$G$4:$G$582,'март 2023'!$D$4:$D$582,$B174,'март 2023'!$J$4:$J$582,AF$1)</f>
        <v>0</v>
      </c>
      <c r="AG174" s="207">
        <f>SUMIFS('март 2023'!$G$4:$G$582,'март 2023'!$D$4:$D$582,$B174,'март 2023'!$J$4:$J$582,AG$1)</f>
        <v>0</v>
      </c>
      <c r="AH174" s="207">
        <f>SUMIFS('март 2023'!$G$4:$G$582,'март 2023'!$D$4:$D$582,$B174,'март 2023'!$J$4:$J$582,AH$1)</f>
        <v>0</v>
      </c>
      <c r="AI174" s="220">
        <f t="shared" si="5"/>
        <v>0</v>
      </c>
    </row>
    <row r="175" spans="2:35" ht="15.75" hidden="1" x14ac:dyDescent="0.25">
      <c r="B175" s="212"/>
      <c r="C175" s="211"/>
      <c r="D175" s="207">
        <f>SUMIFS('март 2023'!$G$4:$G$582,'март 2023'!$D$4:$D$582,$B175,'март 2023'!$J$4:$J$582,D$1)</f>
        <v>0</v>
      </c>
      <c r="E175" s="207">
        <f>SUMIFS('март 2023'!$G$4:$G$582,'март 2023'!$D$4:$D$582,$B175,'март 2023'!$J$4:$J$582,E$1)</f>
        <v>0</v>
      </c>
      <c r="F175" s="207">
        <f>SUMIFS('март 2023'!$G$4:$G$582,'март 2023'!$D$4:$D$582,$B175,'март 2023'!$J$4:$J$582,F$1)</f>
        <v>0</v>
      </c>
      <c r="G175" s="207">
        <f>SUMIFS('март 2023'!$G$4:$G$582,'март 2023'!$D$4:$D$582,$B175,'март 2023'!$J$4:$J$582,G$1)</f>
        <v>0</v>
      </c>
      <c r="H175" s="207">
        <f>SUMIFS('март 2023'!$G$4:$G$582,'март 2023'!$D$4:$D$582,$B175,'март 2023'!$J$4:$J$582,H$1)</f>
        <v>0</v>
      </c>
      <c r="I175" s="207">
        <f>SUMIFS('март 2023'!$G$4:$G$582,'март 2023'!$D$4:$D$582,$B175,'март 2023'!$J$4:$J$582,I$1)</f>
        <v>0</v>
      </c>
      <c r="J175" s="207">
        <f>SUMIFS('март 2023'!$G$4:$G$582,'март 2023'!$D$4:$D$582,$B175,'март 2023'!$J$4:$J$582,J$1)</f>
        <v>0</v>
      </c>
      <c r="K175" s="207">
        <f>SUMIFS('март 2023'!$G$4:$G$582,'март 2023'!$D$4:$D$582,$B175,'март 2023'!$J$4:$J$582,K$1)</f>
        <v>0</v>
      </c>
      <c r="L175" s="207">
        <f>SUMIFS('март 2023'!$G$4:$G$582,'март 2023'!$D$4:$D$582,$B175,'март 2023'!$J$4:$J$582,L$1)</f>
        <v>0</v>
      </c>
      <c r="M175" s="207">
        <f>SUMIFS('март 2023'!$G$4:$G$582,'март 2023'!$D$4:$D$582,$B175,'март 2023'!$J$4:$J$582,M$1)</f>
        <v>0</v>
      </c>
      <c r="N175" s="207">
        <f>SUMIFS('март 2023'!$G$4:$G$582,'март 2023'!$D$4:$D$582,$B175,'март 2023'!$J$4:$J$582,N$1)</f>
        <v>0</v>
      </c>
      <c r="O175" s="207">
        <f>SUMIFS('март 2023'!$G$4:$G$582,'март 2023'!$D$4:$D$582,$B175,'март 2023'!$J$4:$J$582,O$1)</f>
        <v>0</v>
      </c>
      <c r="P175" s="207">
        <f>SUMIFS('март 2023'!$G$4:$G$582,'март 2023'!$D$4:$D$582,$B175,'март 2023'!$J$4:$J$582,P$1)</f>
        <v>0</v>
      </c>
      <c r="Q175" s="207">
        <f>SUMIFS('март 2023'!$G$4:$G$582,'март 2023'!$D$4:$D$582,$B175,'март 2023'!$J$4:$J$582,Q$1)</f>
        <v>0</v>
      </c>
      <c r="R175" s="207">
        <f>SUMIFS('март 2023'!$G$4:$G$582,'март 2023'!$D$4:$D$582,$B175,'март 2023'!$J$4:$J$582,R$1)</f>
        <v>0</v>
      </c>
      <c r="S175" s="207">
        <f>SUMIFS('март 2023'!$G$4:$G$582,'март 2023'!$D$4:$D$582,$B175,'март 2023'!$J$4:$J$582,S$1)</f>
        <v>0</v>
      </c>
      <c r="T175" s="207">
        <f>SUMIFS('март 2023'!$G$4:$G$582,'март 2023'!$D$4:$D$582,$B175,'март 2023'!$J$4:$J$582,T$1)</f>
        <v>0</v>
      </c>
      <c r="U175" s="207">
        <f>SUMIFS('март 2023'!$G$4:$G$582,'март 2023'!$D$4:$D$582,$B175,'март 2023'!$J$4:$J$582,U$1)</f>
        <v>0</v>
      </c>
      <c r="V175" s="207">
        <f>SUMIFS('март 2023'!$G$4:$G$582,'март 2023'!$D$4:$D$582,$B175,'март 2023'!$J$4:$J$582,V$1)</f>
        <v>0</v>
      </c>
      <c r="W175" s="207">
        <f>SUMIFS('март 2023'!$G$4:$G$582,'март 2023'!$D$4:$D$582,$B175,'март 2023'!$J$4:$J$582,W$1)</f>
        <v>0</v>
      </c>
      <c r="X175" s="207">
        <f>SUMIFS('март 2023'!$G$4:$G$582,'март 2023'!$D$4:$D$582,$B175,'март 2023'!$J$4:$J$582,X$1)</f>
        <v>0</v>
      </c>
      <c r="Y175" s="207">
        <f>SUMIFS('март 2023'!$G$4:$G$582,'март 2023'!$D$4:$D$582,$B175,'март 2023'!$J$4:$J$582,Y$1)</f>
        <v>0</v>
      </c>
      <c r="Z175" s="207">
        <f>SUMIFS('март 2023'!$G$4:$G$582,'март 2023'!$D$4:$D$582,$B175,'март 2023'!$J$4:$J$582,Z$1)</f>
        <v>0</v>
      </c>
      <c r="AA175" s="207">
        <f>SUMIFS('март 2023'!$G$4:$G$582,'март 2023'!$D$4:$D$582,$B175,'март 2023'!$J$4:$J$582,AA$1)</f>
        <v>0</v>
      </c>
      <c r="AB175" s="207">
        <f>SUMIFS('март 2023'!$G$4:$G$582,'март 2023'!$D$4:$D$582,$B175,'март 2023'!$J$4:$J$582,AB$1)</f>
        <v>0</v>
      </c>
      <c r="AC175" s="207">
        <f>SUMIFS('март 2023'!$G$4:$G$582,'март 2023'!$D$4:$D$582,$B175,'март 2023'!$J$4:$J$582,AC$1)</f>
        <v>0</v>
      </c>
      <c r="AD175" s="207">
        <f>SUMIFS('март 2023'!$G$4:$G$582,'март 2023'!$D$4:$D$582,$B175,'март 2023'!$J$4:$J$582,AD$1)</f>
        <v>0</v>
      </c>
      <c r="AE175" s="207">
        <f>SUMIFS('март 2023'!$G$4:$G$582,'март 2023'!$D$4:$D$582,$B175,'март 2023'!$J$4:$J$582,AE$1)</f>
        <v>0</v>
      </c>
      <c r="AF175" s="207">
        <f>SUMIFS('март 2023'!$G$4:$G$582,'март 2023'!$D$4:$D$582,$B175,'март 2023'!$J$4:$J$582,AF$1)</f>
        <v>0</v>
      </c>
      <c r="AG175" s="207">
        <f>SUMIFS('март 2023'!$G$4:$G$582,'март 2023'!$D$4:$D$582,$B175,'март 2023'!$J$4:$J$582,AG$1)</f>
        <v>0</v>
      </c>
      <c r="AH175" s="207">
        <f>SUMIFS('март 2023'!$G$4:$G$582,'март 2023'!$D$4:$D$582,$B175,'март 2023'!$J$4:$J$582,AH$1)</f>
        <v>0</v>
      </c>
      <c r="AI175" s="220">
        <f t="shared" si="5"/>
        <v>0</v>
      </c>
    </row>
    <row r="176" spans="2:35" ht="15.75" hidden="1" x14ac:dyDescent="0.25">
      <c r="B176" s="212"/>
      <c r="C176" s="211"/>
      <c r="D176" s="207">
        <f>SUMIFS('март 2023'!$G$4:$G$582,'март 2023'!$D$4:$D$582,$B176,'март 2023'!$J$4:$J$582,D$1)</f>
        <v>0</v>
      </c>
      <c r="E176" s="207">
        <f>SUMIFS('март 2023'!$G$4:$G$582,'март 2023'!$D$4:$D$582,$B176,'март 2023'!$J$4:$J$582,E$1)</f>
        <v>0</v>
      </c>
      <c r="F176" s="207">
        <f>SUMIFS('март 2023'!$G$4:$G$582,'март 2023'!$D$4:$D$582,$B176,'март 2023'!$J$4:$J$582,F$1)</f>
        <v>0</v>
      </c>
      <c r="G176" s="207">
        <f>SUMIFS('март 2023'!$G$4:$G$582,'март 2023'!$D$4:$D$582,$B176,'март 2023'!$J$4:$J$582,G$1)</f>
        <v>0</v>
      </c>
      <c r="H176" s="207">
        <f>SUMIFS('март 2023'!$G$4:$G$582,'март 2023'!$D$4:$D$582,$B176,'март 2023'!$J$4:$J$582,H$1)</f>
        <v>0</v>
      </c>
      <c r="I176" s="207">
        <f>SUMIFS('март 2023'!$G$4:$G$582,'март 2023'!$D$4:$D$582,$B176,'март 2023'!$J$4:$J$582,I$1)</f>
        <v>0</v>
      </c>
      <c r="J176" s="207">
        <f>SUMIFS('март 2023'!$G$4:$G$582,'март 2023'!$D$4:$D$582,$B176,'март 2023'!$J$4:$J$582,J$1)</f>
        <v>0</v>
      </c>
      <c r="K176" s="207">
        <f>SUMIFS('март 2023'!$G$4:$G$582,'март 2023'!$D$4:$D$582,$B176,'март 2023'!$J$4:$J$582,K$1)</f>
        <v>0</v>
      </c>
      <c r="L176" s="207">
        <f>SUMIFS('март 2023'!$G$4:$G$582,'март 2023'!$D$4:$D$582,$B176,'март 2023'!$J$4:$J$582,L$1)</f>
        <v>0</v>
      </c>
      <c r="M176" s="207">
        <f>SUMIFS('март 2023'!$G$4:$G$582,'март 2023'!$D$4:$D$582,$B176,'март 2023'!$J$4:$J$582,M$1)</f>
        <v>0</v>
      </c>
      <c r="N176" s="207">
        <f>SUMIFS('март 2023'!$G$4:$G$582,'март 2023'!$D$4:$D$582,$B176,'март 2023'!$J$4:$J$582,N$1)</f>
        <v>0</v>
      </c>
      <c r="O176" s="207">
        <f>SUMIFS('март 2023'!$G$4:$G$582,'март 2023'!$D$4:$D$582,$B176,'март 2023'!$J$4:$J$582,O$1)</f>
        <v>0</v>
      </c>
      <c r="P176" s="207">
        <f>SUMIFS('март 2023'!$G$4:$G$582,'март 2023'!$D$4:$D$582,$B176,'март 2023'!$J$4:$J$582,P$1)</f>
        <v>0</v>
      </c>
      <c r="Q176" s="207">
        <f>SUMIFS('март 2023'!$G$4:$G$582,'март 2023'!$D$4:$D$582,$B176,'март 2023'!$J$4:$J$582,Q$1)</f>
        <v>0</v>
      </c>
      <c r="R176" s="207">
        <f>SUMIFS('март 2023'!$G$4:$G$582,'март 2023'!$D$4:$D$582,$B176,'март 2023'!$J$4:$J$582,R$1)</f>
        <v>0</v>
      </c>
      <c r="S176" s="207">
        <f>SUMIFS('март 2023'!$G$4:$G$582,'март 2023'!$D$4:$D$582,$B176,'март 2023'!$J$4:$J$582,S$1)</f>
        <v>0</v>
      </c>
      <c r="T176" s="207">
        <f>SUMIFS('март 2023'!$G$4:$G$582,'март 2023'!$D$4:$D$582,$B176,'март 2023'!$J$4:$J$582,T$1)</f>
        <v>0</v>
      </c>
      <c r="U176" s="207">
        <f>SUMIFS('март 2023'!$G$4:$G$582,'март 2023'!$D$4:$D$582,$B176,'март 2023'!$J$4:$J$582,U$1)</f>
        <v>0</v>
      </c>
      <c r="V176" s="207">
        <f>SUMIFS('март 2023'!$G$4:$G$582,'март 2023'!$D$4:$D$582,$B176,'март 2023'!$J$4:$J$582,V$1)</f>
        <v>0</v>
      </c>
      <c r="W176" s="207">
        <f>SUMIFS('март 2023'!$G$4:$G$582,'март 2023'!$D$4:$D$582,$B176,'март 2023'!$J$4:$J$582,W$1)</f>
        <v>0</v>
      </c>
      <c r="X176" s="207">
        <f>SUMIFS('март 2023'!$G$4:$G$582,'март 2023'!$D$4:$D$582,$B176,'март 2023'!$J$4:$J$582,X$1)</f>
        <v>0</v>
      </c>
      <c r="Y176" s="207">
        <f>SUMIFS('март 2023'!$G$4:$G$582,'март 2023'!$D$4:$D$582,$B176,'март 2023'!$J$4:$J$582,Y$1)</f>
        <v>0</v>
      </c>
      <c r="Z176" s="207">
        <f>SUMIFS('март 2023'!$G$4:$G$582,'март 2023'!$D$4:$D$582,$B176,'март 2023'!$J$4:$J$582,Z$1)</f>
        <v>0</v>
      </c>
      <c r="AA176" s="207">
        <f>SUMIFS('март 2023'!$G$4:$G$582,'март 2023'!$D$4:$D$582,$B176,'март 2023'!$J$4:$J$582,AA$1)</f>
        <v>0</v>
      </c>
      <c r="AB176" s="207">
        <f>SUMIFS('март 2023'!$G$4:$G$582,'март 2023'!$D$4:$D$582,$B176,'март 2023'!$J$4:$J$582,AB$1)</f>
        <v>0</v>
      </c>
      <c r="AC176" s="207">
        <f>SUMIFS('март 2023'!$G$4:$G$582,'март 2023'!$D$4:$D$582,$B176,'март 2023'!$J$4:$J$582,AC$1)</f>
        <v>0</v>
      </c>
      <c r="AD176" s="207">
        <f>SUMIFS('март 2023'!$G$4:$G$582,'март 2023'!$D$4:$D$582,$B176,'март 2023'!$J$4:$J$582,AD$1)</f>
        <v>0</v>
      </c>
      <c r="AE176" s="207">
        <f>SUMIFS('март 2023'!$G$4:$G$582,'март 2023'!$D$4:$D$582,$B176,'март 2023'!$J$4:$J$582,AE$1)</f>
        <v>0</v>
      </c>
      <c r="AF176" s="207">
        <f>SUMIFS('март 2023'!$G$4:$G$582,'март 2023'!$D$4:$D$582,$B176,'март 2023'!$J$4:$J$582,AF$1)</f>
        <v>0</v>
      </c>
      <c r="AG176" s="207">
        <f>SUMIFS('март 2023'!$G$4:$G$582,'март 2023'!$D$4:$D$582,$B176,'март 2023'!$J$4:$J$582,AG$1)</f>
        <v>0</v>
      </c>
      <c r="AH176" s="207">
        <f>SUMIFS('март 2023'!$G$4:$G$582,'март 2023'!$D$4:$D$582,$B176,'март 2023'!$J$4:$J$582,AH$1)</f>
        <v>0</v>
      </c>
      <c r="AI176" s="220">
        <f t="shared" si="5"/>
        <v>0</v>
      </c>
    </row>
    <row r="177" spans="2:35" ht="15.75" hidden="1" x14ac:dyDescent="0.25">
      <c r="B177" s="212"/>
      <c r="C177" s="211"/>
      <c r="D177" s="207">
        <f>SUMIFS('март 2023'!$G$4:$G$582,'март 2023'!$D$4:$D$582,$B177,'март 2023'!$J$4:$J$582,D$1)</f>
        <v>0</v>
      </c>
      <c r="E177" s="207">
        <f>SUMIFS('март 2023'!$G$4:$G$582,'март 2023'!$D$4:$D$582,$B177,'март 2023'!$J$4:$J$582,E$1)</f>
        <v>0</v>
      </c>
      <c r="F177" s="207">
        <f>SUMIFS('март 2023'!$G$4:$G$582,'март 2023'!$D$4:$D$582,$B177,'март 2023'!$J$4:$J$582,F$1)</f>
        <v>0</v>
      </c>
      <c r="G177" s="207">
        <f>SUMIFS('март 2023'!$G$4:$G$582,'март 2023'!$D$4:$D$582,$B177,'март 2023'!$J$4:$J$582,G$1)</f>
        <v>0</v>
      </c>
      <c r="H177" s="207">
        <f>SUMIFS('март 2023'!$G$4:$G$582,'март 2023'!$D$4:$D$582,$B177,'март 2023'!$J$4:$J$582,H$1)</f>
        <v>0</v>
      </c>
      <c r="I177" s="207">
        <f>SUMIFS('март 2023'!$G$4:$G$582,'март 2023'!$D$4:$D$582,$B177,'март 2023'!$J$4:$J$582,I$1)</f>
        <v>0</v>
      </c>
      <c r="J177" s="207">
        <f>SUMIFS('март 2023'!$G$4:$G$582,'март 2023'!$D$4:$D$582,$B177,'март 2023'!$J$4:$J$582,J$1)</f>
        <v>0</v>
      </c>
      <c r="K177" s="207">
        <f>SUMIFS('март 2023'!$G$4:$G$582,'март 2023'!$D$4:$D$582,$B177,'март 2023'!$J$4:$J$582,K$1)</f>
        <v>0</v>
      </c>
      <c r="L177" s="207">
        <f>SUMIFS('март 2023'!$G$4:$G$582,'март 2023'!$D$4:$D$582,$B177,'март 2023'!$J$4:$J$582,L$1)</f>
        <v>0</v>
      </c>
      <c r="M177" s="207">
        <f>SUMIFS('март 2023'!$G$4:$G$582,'март 2023'!$D$4:$D$582,$B177,'март 2023'!$J$4:$J$582,M$1)</f>
        <v>0</v>
      </c>
      <c r="N177" s="207">
        <f>SUMIFS('март 2023'!$G$4:$G$582,'март 2023'!$D$4:$D$582,$B177,'март 2023'!$J$4:$J$582,N$1)</f>
        <v>0</v>
      </c>
      <c r="O177" s="207">
        <f>SUMIFS('март 2023'!$G$4:$G$582,'март 2023'!$D$4:$D$582,$B177,'март 2023'!$J$4:$J$582,O$1)</f>
        <v>0</v>
      </c>
      <c r="P177" s="207">
        <f>SUMIFS('март 2023'!$G$4:$G$582,'март 2023'!$D$4:$D$582,$B177,'март 2023'!$J$4:$J$582,P$1)</f>
        <v>0</v>
      </c>
      <c r="Q177" s="207">
        <f>SUMIFS('март 2023'!$G$4:$G$582,'март 2023'!$D$4:$D$582,$B177,'март 2023'!$J$4:$J$582,Q$1)</f>
        <v>0</v>
      </c>
      <c r="R177" s="207">
        <f>SUMIFS('март 2023'!$G$4:$G$582,'март 2023'!$D$4:$D$582,$B177,'март 2023'!$J$4:$J$582,R$1)</f>
        <v>0</v>
      </c>
      <c r="S177" s="207">
        <f>SUMIFS('март 2023'!$G$4:$G$582,'март 2023'!$D$4:$D$582,$B177,'март 2023'!$J$4:$J$582,S$1)</f>
        <v>0</v>
      </c>
      <c r="T177" s="207">
        <f>SUMIFS('март 2023'!$G$4:$G$582,'март 2023'!$D$4:$D$582,$B177,'март 2023'!$J$4:$J$582,T$1)</f>
        <v>0</v>
      </c>
      <c r="U177" s="207">
        <f>SUMIFS('март 2023'!$G$4:$G$582,'март 2023'!$D$4:$D$582,$B177,'март 2023'!$J$4:$J$582,U$1)</f>
        <v>0</v>
      </c>
      <c r="V177" s="207">
        <f>SUMIFS('март 2023'!$G$4:$G$582,'март 2023'!$D$4:$D$582,$B177,'март 2023'!$J$4:$J$582,V$1)</f>
        <v>0</v>
      </c>
      <c r="W177" s="207">
        <f>SUMIFS('март 2023'!$G$4:$G$582,'март 2023'!$D$4:$D$582,$B177,'март 2023'!$J$4:$J$582,W$1)</f>
        <v>0</v>
      </c>
      <c r="X177" s="207">
        <f>SUMIFS('март 2023'!$G$4:$G$582,'март 2023'!$D$4:$D$582,$B177,'март 2023'!$J$4:$J$582,X$1)</f>
        <v>0</v>
      </c>
      <c r="Y177" s="207">
        <f>SUMIFS('март 2023'!$G$4:$G$582,'март 2023'!$D$4:$D$582,$B177,'март 2023'!$J$4:$J$582,Y$1)</f>
        <v>0</v>
      </c>
      <c r="Z177" s="207">
        <f>SUMIFS('март 2023'!$G$4:$G$582,'март 2023'!$D$4:$D$582,$B177,'март 2023'!$J$4:$J$582,Z$1)</f>
        <v>0</v>
      </c>
      <c r="AA177" s="207">
        <f>SUMIFS('март 2023'!$G$4:$G$582,'март 2023'!$D$4:$D$582,$B177,'март 2023'!$J$4:$J$582,AA$1)</f>
        <v>0</v>
      </c>
      <c r="AB177" s="207">
        <f>SUMIFS('март 2023'!$G$4:$G$582,'март 2023'!$D$4:$D$582,$B177,'март 2023'!$J$4:$J$582,AB$1)</f>
        <v>0</v>
      </c>
      <c r="AC177" s="207">
        <f>SUMIFS('март 2023'!$G$4:$G$582,'март 2023'!$D$4:$D$582,$B177,'март 2023'!$J$4:$J$582,AC$1)</f>
        <v>0</v>
      </c>
      <c r="AD177" s="207">
        <f>SUMIFS('март 2023'!$G$4:$G$582,'март 2023'!$D$4:$D$582,$B177,'март 2023'!$J$4:$J$582,AD$1)</f>
        <v>0</v>
      </c>
      <c r="AE177" s="207">
        <f>SUMIFS('март 2023'!$G$4:$G$582,'март 2023'!$D$4:$D$582,$B177,'март 2023'!$J$4:$J$582,AE$1)</f>
        <v>0</v>
      </c>
      <c r="AF177" s="207">
        <f>SUMIFS('март 2023'!$G$4:$G$582,'март 2023'!$D$4:$D$582,$B177,'март 2023'!$J$4:$J$582,AF$1)</f>
        <v>0</v>
      </c>
      <c r="AG177" s="207">
        <f>SUMIFS('март 2023'!$G$4:$G$582,'март 2023'!$D$4:$D$582,$B177,'март 2023'!$J$4:$J$582,AG$1)</f>
        <v>0</v>
      </c>
      <c r="AH177" s="207">
        <f>SUMIFS('март 2023'!$G$4:$G$582,'март 2023'!$D$4:$D$582,$B177,'март 2023'!$J$4:$J$582,AH$1)</f>
        <v>0</v>
      </c>
      <c r="AI177" s="220">
        <f t="shared" si="5"/>
        <v>0</v>
      </c>
    </row>
    <row r="178" spans="2:35" ht="15.75" hidden="1" x14ac:dyDescent="0.25">
      <c r="B178" s="212"/>
      <c r="C178" s="211"/>
      <c r="D178" s="207">
        <f>SUMIFS('март 2023'!$G$4:$G$582,'март 2023'!$D$4:$D$582,$B178,'март 2023'!$J$4:$J$582,D$1)</f>
        <v>0</v>
      </c>
      <c r="E178" s="207">
        <f>SUMIFS('март 2023'!$G$4:$G$582,'март 2023'!$D$4:$D$582,$B178,'март 2023'!$J$4:$J$582,E$1)</f>
        <v>0</v>
      </c>
      <c r="F178" s="207">
        <f>SUMIFS('март 2023'!$G$4:$G$582,'март 2023'!$D$4:$D$582,$B178,'март 2023'!$J$4:$J$582,F$1)</f>
        <v>0</v>
      </c>
      <c r="G178" s="207">
        <f>SUMIFS('март 2023'!$G$4:$G$582,'март 2023'!$D$4:$D$582,$B178,'март 2023'!$J$4:$J$582,G$1)</f>
        <v>0</v>
      </c>
      <c r="H178" s="207">
        <f>SUMIFS('март 2023'!$G$4:$G$582,'март 2023'!$D$4:$D$582,$B178,'март 2023'!$J$4:$J$582,H$1)</f>
        <v>0</v>
      </c>
      <c r="I178" s="207">
        <f>SUMIFS('март 2023'!$G$4:$G$582,'март 2023'!$D$4:$D$582,$B178,'март 2023'!$J$4:$J$582,I$1)</f>
        <v>0</v>
      </c>
      <c r="J178" s="207">
        <f>SUMIFS('март 2023'!$G$4:$G$582,'март 2023'!$D$4:$D$582,$B178,'март 2023'!$J$4:$J$582,J$1)</f>
        <v>0</v>
      </c>
      <c r="K178" s="207">
        <f>SUMIFS('март 2023'!$G$4:$G$582,'март 2023'!$D$4:$D$582,$B178,'март 2023'!$J$4:$J$582,K$1)</f>
        <v>0</v>
      </c>
      <c r="L178" s="207">
        <f>SUMIFS('март 2023'!$G$4:$G$582,'март 2023'!$D$4:$D$582,$B178,'март 2023'!$J$4:$J$582,L$1)</f>
        <v>0</v>
      </c>
      <c r="M178" s="207">
        <f>SUMIFS('март 2023'!$G$4:$G$582,'март 2023'!$D$4:$D$582,$B178,'март 2023'!$J$4:$J$582,M$1)</f>
        <v>0</v>
      </c>
      <c r="N178" s="207">
        <f>SUMIFS('март 2023'!$G$4:$G$582,'март 2023'!$D$4:$D$582,$B178,'март 2023'!$J$4:$J$582,N$1)</f>
        <v>0</v>
      </c>
      <c r="O178" s="207">
        <f>SUMIFS('март 2023'!$G$4:$G$582,'март 2023'!$D$4:$D$582,$B178,'март 2023'!$J$4:$J$582,O$1)</f>
        <v>0</v>
      </c>
      <c r="P178" s="207">
        <f>SUMIFS('март 2023'!$G$4:$G$582,'март 2023'!$D$4:$D$582,$B178,'март 2023'!$J$4:$J$582,P$1)</f>
        <v>0</v>
      </c>
      <c r="Q178" s="207">
        <f>SUMIFS('март 2023'!$G$4:$G$582,'март 2023'!$D$4:$D$582,$B178,'март 2023'!$J$4:$J$582,Q$1)</f>
        <v>0</v>
      </c>
      <c r="R178" s="207">
        <f>SUMIFS('март 2023'!$G$4:$G$582,'март 2023'!$D$4:$D$582,$B178,'март 2023'!$J$4:$J$582,R$1)</f>
        <v>0</v>
      </c>
      <c r="S178" s="207">
        <f>SUMIFS('март 2023'!$G$4:$G$582,'март 2023'!$D$4:$D$582,$B178,'март 2023'!$J$4:$J$582,S$1)</f>
        <v>0</v>
      </c>
      <c r="T178" s="207">
        <f>SUMIFS('март 2023'!$G$4:$G$582,'март 2023'!$D$4:$D$582,$B178,'март 2023'!$J$4:$J$582,T$1)</f>
        <v>0</v>
      </c>
      <c r="U178" s="207">
        <f>SUMIFS('март 2023'!$G$4:$G$582,'март 2023'!$D$4:$D$582,$B178,'март 2023'!$J$4:$J$582,U$1)</f>
        <v>0</v>
      </c>
      <c r="V178" s="207">
        <f>SUMIFS('март 2023'!$G$4:$G$582,'март 2023'!$D$4:$D$582,$B178,'март 2023'!$J$4:$J$582,V$1)</f>
        <v>0</v>
      </c>
      <c r="W178" s="207">
        <f>SUMIFS('март 2023'!$G$4:$G$582,'март 2023'!$D$4:$D$582,$B178,'март 2023'!$J$4:$J$582,W$1)</f>
        <v>0</v>
      </c>
      <c r="X178" s="207">
        <f>SUMIFS('март 2023'!$G$4:$G$582,'март 2023'!$D$4:$D$582,$B178,'март 2023'!$J$4:$J$582,X$1)</f>
        <v>0</v>
      </c>
      <c r="Y178" s="207">
        <f>SUMIFS('март 2023'!$G$4:$G$582,'март 2023'!$D$4:$D$582,$B178,'март 2023'!$J$4:$J$582,Y$1)</f>
        <v>0</v>
      </c>
      <c r="Z178" s="207">
        <f>SUMIFS('март 2023'!$G$4:$G$582,'март 2023'!$D$4:$D$582,$B178,'март 2023'!$J$4:$J$582,Z$1)</f>
        <v>0</v>
      </c>
      <c r="AA178" s="207">
        <f>SUMIFS('март 2023'!$G$4:$G$582,'март 2023'!$D$4:$D$582,$B178,'март 2023'!$J$4:$J$582,AA$1)</f>
        <v>0</v>
      </c>
      <c r="AB178" s="207">
        <f>SUMIFS('март 2023'!$G$4:$G$582,'март 2023'!$D$4:$D$582,$B178,'март 2023'!$J$4:$J$582,AB$1)</f>
        <v>0</v>
      </c>
      <c r="AC178" s="207">
        <f>SUMIFS('март 2023'!$G$4:$G$582,'март 2023'!$D$4:$D$582,$B178,'март 2023'!$J$4:$J$582,AC$1)</f>
        <v>0</v>
      </c>
      <c r="AD178" s="207">
        <f>SUMIFS('март 2023'!$G$4:$G$582,'март 2023'!$D$4:$D$582,$B178,'март 2023'!$J$4:$J$582,AD$1)</f>
        <v>0</v>
      </c>
      <c r="AE178" s="207">
        <f>SUMIFS('март 2023'!$G$4:$G$582,'март 2023'!$D$4:$D$582,$B178,'март 2023'!$J$4:$J$582,AE$1)</f>
        <v>0</v>
      </c>
      <c r="AF178" s="207">
        <f>SUMIFS('март 2023'!$G$4:$G$582,'март 2023'!$D$4:$D$582,$B178,'март 2023'!$J$4:$J$582,AF$1)</f>
        <v>0</v>
      </c>
      <c r="AG178" s="207">
        <f>SUMIFS('март 2023'!$G$4:$G$582,'март 2023'!$D$4:$D$582,$B178,'март 2023'!$J$4:$J$582,AG$1)</f>
        <v>0</v>
      </c>
      <c r="AH178" s="207">
        <f>SUMIFS('март 2023'!$G$4:$G$582,'март 2023'!$D$4:$D$582,$B178,'март 2023'!$J$4:$J$582,AH$1)</f>
        <v>0</v>
      </c>
      <c r="AI178" s="220">
        <f t="shared" si="5"/>
        <v>0</v>
      </c>
    </row>
    <row r="179" spans="2:35" ht="15.75" x14ac:dyDescent="0.25">
      <c r="B179" s="212"/>
      <c r="C179" s="221"/>
      <c r="D179" s="207">
        <f>SUMIFS('март 2023'!$G$4:$G$582,'март 2023'!$D$4:$D$582,$B179,'март 2023'!$J$4:$J$582,D$1)</f>
        <v>0</v>
      </c>
      <c r="E179" s="207">
        <f>SUMIFS('март 2023'!$G$4:$G$582,'март 2023'!$D$4:$D$582,$B179,'март 2023'!$J$4:$J$582,E$1)</f>
        <v>0</v>
      </c>
      <c r="F179" s="207">
        <f>SUMIFS('март 2023'!$G$4:$G$582,'март 2023'!$D$4:$D$582,$B179,'март 2023'!$J$4:$J$582,F$1)</f>
        <v>0</v>
      </c>
      <c r="G179" s="207">
        <f>SUMIFS('март 2023'!$G$4:$G$582,'март 2023'!$D$4:$D$582,$B179,'март 2023'!$J$4:$J$582,G$1)</f>
        <v>0</v>
      </c>
      <c r="H179" s="207">
        <f>SUMIFS('март 2023'!$G$4:$G$582,'март 2023'!$D$4:$D$582,$B179,'март 2023'!$J$4:$J$582,H$1)</f>
        <v>0</v>
      </c>
      <c r="I179" s="207">
        <f>SUMIFS('март 2023'!$G$4:$G$582,'март 2023'!$D$4:$D$582,$B179,'март 2023'!$J$4:$J$582,I$1)</f>
        <v>0</v>
      </c>
      <c r="J179" s="207">
        <f>SUMIFS('март 2023'!$G$4:$G$582,'март 2023'!$D$4:$D$582,$B179,'март 2023'!$J$4:$J$582,J$1)</f>
        <v>0</v>
      </c>
      <c r="K179" s="207">
        <f>SUMIFS('март 2023'!$G$4:$G$582,'март 2023'!$D$4:$D$582,$B179,'март 2023'!$J$4:$J$582,K$1)</f>
        <v>0</v>
      </c>
      <c r="L179" s="207">
        <f>SUMIFS('март 2023'!$G$4:$G$582,'март 2023'!$D$4:$D$582,$B179,'март 2023'!$J$4:$J$582,L$1)</f>
        <v>0</v>
      </c>
      <c r="M179" s="207">
        <f>SUMIFS('март 2023'!$G$4:$G$582,'март 2023'!$D$4:$D$582,$B179,'март 2023'!$J$4:$J$582,M$1)</f>
        <v>0</v>
      </c>
      <c r="N179" s="207">
        <f>SUMIFS('март 2023'!$G$4:$G$582,'март 2023'!$D$4:$D$582,$B179,'март 2023'!$J$4:$J$582,N$1)</f>
        <v>0</v>
      </c>
      <c r="O179" s="207">
        <f>SUMIFS('март 2023'!$G$4:$G$582,'март 2023'!$D$4:$D$582,$B179,'март 2023'!$J$4:$J$582,O$1)</f>
        <v>0</v>
      </c>
      <c r="P179" s="207">
        <f>SUMIFS('март 2023'!$G$4:$G$582,'март 2023'!$D$4:$D$582,$B179,'март 2023'!$J$4:$J$582,P$1)</f>
        <v>0</v>
      </c>
      <c r="Q179" s="207">
        <f>SUMIFS('март 2023'!$G$4:$G$582,'март 2023'!$D$4:$D$582,$B179,'март 2023'!$J$4:$J$582,Q$1)</f>
        <v>0</v>
      </c>
      <c r="R179" s="207">
        <f>SUMIFS('март 2023'!$G$4:$G$582,'март 2023'!$D$4:$D$582,$B179,'март 2023'!$J$4:$J$582,R$1)</f>
        <v>0</v>
      </c>
      <c r="S179" s="207">
        <f>SUMIFS('март 2023'!$G$4:$G$582,'март 2023'!$D$4:$D$582,$B179,'март 2023'!$J$4:$J$582,S$1)</f>
        <v>0</v>
      </c>
      <c r="T179" s="207">
        <f>SUMIFS('март 2023'!$G$4:$G$582,'март 2023'!$D$4:$D$582,$B179,'март 2023'!$J$4:$J$582,T$1)</f>
        <v>0</v>
      </c>
      <c r="U179" s="207">
        <f>SUMIFS('март 2023'!$G$4:$G$582,'март 2023'!$D$4:$D$582,$B179,'март 2023'!$J$4:$J$582,U$1)</f>
        <v>0</v>
      </c>
      <c r="V179" s="207">
        <f>SUMIFS('март 2023'!$G$4:$G$582,'март 2023'!$D$4:$D$582,$B179,'март 2023'!$J$4:$J$582,V$1)</f>
        <v>0</v>
      </c>
      <c r="W179" s="207">
        <f>SUMIFS('март 2023'!$G$4:$G$582,'март 2023'!$D$4:$D$582,$B179,'март 2023'!$J$4:$J$582,W$1)</f>
        <v>0</v>
      </c>
      <c r="X179" s="207">
        <f>SUMIFS('март 2023'!$G$4:$G$582,'март 2023'!$D$4:$D$582,$B179,'март 2023'!$J$4:$J$582,X$1)</f>
        <v>0</v>
      </c>
      <c r="Y179" s="207">
        <f>SUMIFS('март 2023'!$G$4:$G$582,'март 2023'!$D$4:$D$582,$B179,'март 2023'!$J$4:$J$582,Y$1)</f>
        <v>0</v>
      </c>
      <c r="Z179" s="207">
        <f>SUMIFS('март 2023'!$G$4:$G$582,'март 2023'!$D$4:$D$582,$B179,'март 2023'!$J$4:$J$582,Z$1)</f>
        <v>0</v>
      </c>
      <c r="AA179" s="207">
        <f>SUMIFS('март 2023'!$G$4:$G$582,'март 2023'!$D$4:$D$582,$B179,'март 2023'!$J$4:$J$582,AA$1)</f>
        <v>0</v>
      </c>
      <c r="AB179" s="207">
        <f>SUMIFS('март 2023'!$G$4:$G$582,'март 2023'!$D$4:$D$582,$B179,'март 2023'!$J$4:$J$582,AB$1)</f>
        <v>0</v>
      </c>
      <c r="AC179" s="207">
        <f>SUMIFS('март 2023'!$G$4:$G$582,'март 2023'!$D$4:$D$582,$B179,'март 2023'!$J$4:$J$582,AC$1)</f>
        <v>0</v>
      </c>
      <c r="AD179" s="207">
        <f>SUMIFS('март 2023'!$G$4:$G$582,'март 2023'!$D$4:$D$582,$B179,'март 2023'!$J$4:$J$582,AD$1)</f>
        <v>0</v>
      </c>
      <c r="AE179" s="207">
        <f>SUMIFS('март 2023'!$G$4:$G$582,'март 2023'!$D$4:$D$582,$B179,'март 2023'!$J$4:$J$582,AE$1)</f>
        <v>0</v>
      </c>
      <c r="AF179" s="207">
        <f>SUMIFS('март 2023'!$G$4:$G$582,'март 2023'!$D$4:$D$582,$B179,'март 2023'!$J$4:$J$582,AF$1)</f>
        <v>0</v>
      </c>
      <c r="AG179" s="207">
        <f>SUMIFS('март 2023'!$G$4:$G$582,'март 2023'!$D$4:$D$582,$B179,'март 2023'!$J$4:$J$582,AG$1)</f>
        <v>0</v>
      </c>
      <c r="AH179" s="207">
        <f>SUMIFS('март 2023'!$G$4:$G$582,'март 2023'!$D$4:$D$582,$B179,'март 2023'!$J$4:$J$582,AH$1)</f>
        <v>0</v>
      </c>
      <c r="AI179" s="220">
        <f t="shared" si="5"/>
        <v>0</v>
      </c>
    </row>
  </sheetData>
  <dataValidations count="1">
    <dataValidation type="list" allowBlank="1" showInputMessage="1" showErrorMessage="1" sqref="B36:B179" xr:uid="{00F7004C-0013-43A0-83A0-00D100C300C9}">
      <formula1>$E$4:$E$146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0000000}">
          <x14:formula1>
            <xm:f>справочник!$E$4:$E$159</xm:f>
          </x14:formula1>
          <xm:sqref>B3:B35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16"/>
  <dimension ref="B1:AI176"/>
  <sheetViews>
    <sheetView showZeros="0" topLeftCell="A5" zoomScale="70" workbookViewId="0">
      <selection activeCell="A38" sqref="A38:XFD38"/>
    </sheetView>
  </sheetViews>
  <sheetFormatPr defaultRowHeight="15" x14ac:dyDescent="0.25"/>
  <cols>
    <col min="1" max="1" width="2.140625" customWidth="1"/>
    <col min="2" max="2" width="35.28515625" bestFit="1" customWidth="1"/>
    <col min="4" max="34" width="6.7109375" customWidth="1"/>
  </cols>
  <sheetData>
    <row r="1" spans="2:35" ht="15" customHeight="1" x14ac:dyDescent="0.25">
      <c r="B1" s="191">
        <v>44958</v>
      </c>
      <c r="C1" s="192"/>
      <c r="D1" s="157">
        <f>B1</f>
        <v>44958</v>
      </c>
      <c r="E1" s="157">
        <f>D1+1</f>
        <v>44959</v>
      </c>
      <c r="F1" s="157">
        <f t="shared" ref="F1:AH1" si="0">E1+1</f>
        <v>44960</v>
      </c>
      <c r="G1" s="157">
        <f t="shared" si="0"/>
        <v>44961</v>
      </c>
      <c r="H1" s="157">
        <f t="shared" si="0"/>
        <v>44962</v>
      </c>
      <c r="I1" s="157">
        <f t="shared" si="0"/>
        <v>44963</v>
      </c>
      <c r="J1" s="157">
        <f t="shared" si="0"/>
        <v>44964</v>
      </c>
      <c r="K1" s="157">
        <f t="shared" si="0"/>
        <v>44965</v>
      </c>
      <c r="L1" s="157">
        <f t="shared" si="0"/>
        <v>44966</v>
      </c>
      <c r="M1" s="157">
        <f t="shared" si="0"/>
        <v>44967</v>
      </c>
      <c r="N1" s="157">
        <f t="shared" si="0"/>
        <v>44968</v>
      </c>
      <c r="O1" s="157">
        <f t="shared" si="0"/>
        <v>44969</v>
      </c>
      <c r="P1" s="157">
        <f t="shared" si="0"/>
        <v>44970</v>
      </c>
      <c r="Q1" s="157">
        <f t="shared" si="0"/>
        <v>44971</v>
      </c>
      <c r="R1" s="157">
        <f t="shared" si="0"/>
        <v>44972</v>
      </c>
      <c r="S1" s="157">
        <f t="shared" si="0"/>
        <v>44973</v>
      </c>
      <c r="T1" s="157">
        <f t="shared" si="0"/>
        <v>44974</v>
      </c>
      <c r="U1" s="157">
        <f t="shared" si="0"/>
        <v>44975</v>
      </c>
      <c r="V1" s="157">
        <f t="shared" si="0"/>
        <v>44976</v>
      </c>
      <c r="W1" s="157">
        <f t="shared" si="0"/>
        <v>44977</v>
      </c>
      <c r="X1" s="157">
        <f t="shared" si="0"/>
        <v>44978</v>
      </c>
      <c r="Y1" s="157">
        <f t="shared" si="0"/>
        <v>44979</v>
      </c>
      <c r="Z1" s="157">
        <f t="shared" si="0"/>
        <v>44980</v>
      </c>
      <c r="AA1" s="157">
        <f t="shared" si="0"/>
        <v>44981</v>
      </c>
      <c r="AB1" s="157">
        <f t="shared" si="0"/>
        <v>44982</v>
      </c>
      <c r="AC1" s="157">
        <f t="shared" si="0"/>
        <v>44983</v>
      </c>
      <c r="AD1" s="157">
        <f t="shared" si="0"/>
        <v>44984</v>
      </c>
      <c r="AE1" s="157">
        <f t="shared" si="0"/>
        <v>44985</v>
      </c>
      <c r="AF1" s="157">
        <f t="shared" si="0"/>
        <v>44986</v>
      </c>
      <c r="AG1" s="157">
        <f t="shared" si="0"/>
        <v>44987</v>
      </c>
      <c r="AH1" s="157">
        <f t="shared" si="0"/>
        <v>44988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SUMIFS('февраль 2023'!$G$4:$G$497,'февраль 2023'!$D$4:$D$497,$B3,'февраль 2023'!$J$4:$J$497,D$1)</f>
        <v>1275</v>
      </c>
      <c r="E3" s="198">
        <f>SUMIFS('февраль 2023'!$G$4:$G$497,'февраль 2023'!$D$4:$D$497,$B3,'февраль 2023'!$J$4:$J$497,E$1)</f>
        <v>0</v>
      </c>
      <c r="F3" s="198">
        <f>SUMIFS('февраль 2023'!$G$4:$G$497,'февраль 2023'!$D$4:$D$497,$B3,'февраль 2023'!$J$4:$J$497,F$1)</f>
        <v>0</v>
      </c>
      <c r="G3" s="198">
        <f>SUMIFS('февраль 2023'!$G$4:$G$497,'февраль 2023'!$D$4:$D$497,$B3,'февраль 2023'!$J$4:$J$497,G$1)</f>
        <v>0</v>
      </c>
      <c r="H3" s="198">
        <f>SUMIFS('февраль 2023'!$G$4:$G$497,'февраль 2023'!$D$4:$D$497,$B3,'февраль 2023'!$J$4:$J$497,H$1)</f>
        <v>0</v>
      </c>
      <c r="I3" s="198">
        <f>SUMIFS('февраль 2023'!$G$4:$G$497,'февраль 2023'!$D$4:$D$497,$B3,'февраль 2023'!$J$4:$J$497,I$1)</f>
        <v>875</v>
      </c>
      <c r="J3" s="198">
        <f>SUMIFS('февраль 2023'!$G$4:$G$497,'февраль 2023'!$D$4:$D$497,$B3,'февраль 2023'!$J$4:$J$497,J$1)</f>
        <v>0</v>
      </c>
      <c r="K3" s="198">
        <f>SUMIFS('февраль 2023'!$G$4:$G$497,'февраль 2023'!$D$4:$D$497,$B3,'февраль 2023'!$J$4:$J$497,K$1)</f>
        <v>0</v>
      </c>
      <c r="L3" s="198">
        <f>SUMIFS('февраль 2023'!$G$4:$G$497,'февраль 2023'!$D$4:$D$497,$B3,'февраль 2023'!$J$4:$J$497,L$1)</f>
        <v>1295</v>
      </c>
      <c r="M3" s="198">
        <f>SUMIFS('февраль 2023'!$G$4:$G$497,'февраль 2023'!$D$4:$D$497,$B3,'февраль 2023'!$J$4:$J$497,M$1)</f>
        <v>0</v>
      </c>
      <c r="N3" s="198">
        <f>SUMIFS('февраль 2023'!$G$4:$G$497,'февраль 2023'!$D$4:$D$497,$B3,'февраль 2023'!$J$4:$J$497,N$1)</f>
        <v>1750</v>
      </c>
      <c r="O3" s="198">
        <f>SUMIFS('февраль 2023'!$G$4:$G$497,'февраль 2023'!$D$4:$D$497,$B3,'февраль 2023'!$J$4:$J$497,O$1)</f>
        <v>0</v>
      </c>
      <c r="P3" s="198">
        <f>SUMIFS('февраль 2023'!$G$4:$G$497,'февраль 2023'!$D$4:$D$497,$B3,'февраль 2023'!$J$4:$J$497,P$1)</f>
        <v>0</v>
      </c>
      <c r="Q3" s="198">
        <f>SUMIFS('февраль 2023'!$G$4:$G$497,'февраль 2023'!$D$4:$D$497,$B3,'февраль 2023'!$J$4:$J$497,Q$1)</f>
        <v>0</v>
      </c>
      <c r="R3" s="198">
        <f>SUMIFS('февраль 2023'!$G$4:$G$497,'февраль 2023'!$D$4:$D$497,$B3,'февраль 2023'!$J$4:$J$497,R$1)</f>
        <v>0</v>
      </c>
      <c r="S3" s="198">
        <f>SUMIFS('февраль 2023'!$G$4:$G$497,'февраль 2023'!$D$4:$D$497,$B3,'февраль 2023'!$J$4:$J$497,S$1)</f>
        <v>0</v>
      </c>
      <c r="T3" s="198">
        <f>SUMIFS('февраль 2023'!$G$4:$G$497,'февраль 2023'!$D$4:$D$497,$B3,'февраль 2023'!$J$4:$J$497,T$1)</f>
        <v>0</v>
      </c>
      <c r="U3" s="198">
        <f>SUMIFS('февраль 2023'!$G$4:$G$497,'февраль 2023'!$D$4:$D$497,$B3,'февраль 2023'!$J$4:$J$497,U$1)</f>
        <v>0</v>
      </c>
      <c r="V3" s="198">
        <f>SUMIFS('февраль 2023'!$G$4:$G$497,'февраль 2023'!$D$4:$D$497,$B3,'февраль 2023'!$J$4:$J$497,V$1)</f>
        <v>0</v>
      </c>
      <c r="W3" s="198">
        <f>SUMIFS('февраль 2023'!$G$4:$G$497,'февраль 2023'!$D$4:$D$497,$B3,'февраль 2023'!$J$4:$J$497,W$1)</f>
        <v>0</v>
      </c>
      <c r="X3" s="198">
        <f>SUMIFS('февраль 2023'!$G$4:$G$497,'февраль 2023'!$D$4:$D$497,$B3,'февраль 2023'!$J$4:$J$497,X$1)</f>
        <v>0</v>
      </c>
      <c r="Y3" s="198">
        <f>SUMIFS('февраль 2023'!$G$4:$G$497,'февраль 2023'!$D$4:$D$497,$B3,'февраль 2023'!$J$4:$J$497,Y$1)</f>
        <v>1400</v>
      </c>
      <c r="Z3" s="198">
        <f>SUMIFS('февраль 2023'!$G$4:$G$497,'февраль 2023'!$D$4:$D$497,$B3,'февраль 2023'!$J$4:$J$497,Z$1)</f>
        <v>700</v>
      </c>
      <c r="AA3" s="198">
        <f>SUMIFS('февраль 2023'!$G$4:$G$497,'февраль 2023'!$D$4:$D$497,$B3,'февраль 2023'!$J$4:$J$497,AA$1)</f>
        <v>0</v>
      </c>
      <c r="AB3" s="198">
        <f>SUMIFS('февраль 2023'!$G$4:$G$497,'февраль 2023'!$D$4:$D$497,$B3,'февраль 2023'!$J$4:$J$497,AB$1)</f>
        <v>0</v>
      </c>
      <c r="AC3" s="198">
        <f>SUMIFS('февраль 2023'!$G$4:$G$497,'февраль 2023'!$D$4:$D$497,$B3,'февраль 2023'!$J$4:$J$497,AC$1)</f>
        <v>0</v>
      </c>
      <c r="AD3" s="198">
        <f>SUMIFS('февраль 2023'!$G$4:$G$497,'февраль 2023'!$D$4:$D$497,$B3,'февраль 2023'!$J$4:$J$497,AD$1)</f>
        <v>0</v>
      </c>
      <c r="AE3" s="198">
        <f>SUMIFS('февраль 2023'!$G$4:$G$497,'февраль 2023'!$D$4:$D$497,$B3,'февраль 2023'!$J$4:$J$497,AE$1)</f>
        <v>0</v>
      </c>
      <c r="AF3" s="198">
        <f>SUMIFS('февраль 2023'!$G$4:$G$497,'февраль 2023'!$D$4:$D$497,$B3,'февраль 2023'!$J$4:$J$497,AF$1)</f>
        <v>0</v>
      </c>
      <c r="AG3" s="198">
        <f>SUMIFS('февраль 2023'!$G$4:$G$497,'февраль 2023'!$D$4:$D$497,$B3,'февраль 2023'!$J$4:$J$497,AG$1)</f>
        <v>0</v>
      </c>
      <c r="AH3" s="198">
        <f>SUMIFS('февраль 2023'!$G$4:$G$497,'февраль 2023'!$D$4:$D$497,$B3,'февраль 2023'!$J$4:$J$497,AH$1)</f>
        <v>0</v>
      </c>
      <c r="AI3" s="166">
        <f t="shared" ref="AI3:AI66" si="1">SUM(D3:AH3)</f>
        <v>7295</v>
      </c>
    </row>
    <row r="4" spans="2:35" ht="15" customHeight="1" x14ac:dyDescent="0.25">
      <c r="B4" s="199" t="s">
        <v>74</v>
      </c>
      <c r="C4" s="200">
        <v>25</v>
      </c>
      <c r="D4" s="198">
        <f>SUMIFS('февраль 2023'!$G$4:$G$497,'февраль 2023'!$D$4:$D$497,$B4,'февраль 2023'!$J$4:$J$497,D$1)</f>
        <v>0</v>
      </c>
      <c r="E4" s="198">
        <f>SUMIFS('февраль 2023'!$G$4:$G$497,'февраль 2023'!$D$4:$D$497,$B4,'февраль 2023'!$J$4:$J$497,E$1)</f>
        <v>0</v>
      </c>
      <c r="F4" s="198">
        <f>SUMIFS('февраль 2023'!$G$4:$G$497,'февраль 2023'!$D$4:$D$497,$B4,'февраль 2023'!$J$4:$J$497,F$1)</f>
        <v>0</v>
      </c>
      <c r="G4" s="198">
        <f>SUMIFS('февраль 2023'!$G$4:$G$497,'февраль 2023'!$D$4:$D$497,$B4,'февраль 2023'!$J$4:$J$497,G$1)</f>
        <v>0</v>
      </c>
      <c r="H4" s="198">
        <f>SUMIFS('февраль 2023'!$G$4:$G$497,'февраль 2023'!$D$4:$D$497,$B4,'февраль 2023'!$J$4:$J$497,H$1)</f>
        <v>0</v>
      </c>
      <c r="I4" s="198">
        <f>SUMIFS('февраль 2023'!$G$4:$G$497,'февраль 2023'!$D$4:$D$497,$B4,'февраль 2023'!$J$4:$J$497,I$1)</f>
        <v>0</v>
      </c>
      <c r="J4" s="198">
        <f>SUMIFS('февраль 2023'!$G$4:$G$497,'февраль 2023'!$D$4:$D$497,$B4,'февраль 2023'!$J$4:$J$497,J$1)</f>
        <v>0</v>
      </c>
      <c r="K4" s="198">
        <f>SUMIFS('февраль 2023'!$G$4:$G$497,'февраль 2023'!$D$4:$D$497,$B4,'февраль 2023'!$J$4:$J$497,K$1)</f>
        <v>0</v>
      </c>
      <c r="L4" s="198">
        <f>SUMIFS('февраль 2023'!$G$4:$G$497,'февраль 2023'!$D$4:$D$497,$B4,'февраль 2023'!$J$4:$J$497,L$1)</f>
        <v>0</v>
      </c>
      <c r="M4" s="198">
        <f>SUMIFS('февраль 2023'!$G$4:$G$497,'февраль 2023'!$D$4:$D$497,$B4,'февраль 2023'!$J$4:$J$497,M$1)</f>
        <v>0</v>
      </c>
      <c r="N4" s="198">
        <f>SUMIFS('февраль 2023'!$G$4:$G$497,'февраль 2023'!$D$4:$D$497,$B4,'февраль 2023'!$J$4:$J$497,N$1)</f>
        <v>0</v>
      </c>
      <c r="O4" s="198">
        <f>SUMIFS('февраль 2023'!$G$4:$G$497,'февраль 2023'!$D$4:$D$497,$B4,'февраль 2023'!$J$4:$J$497,O$1)</f>
        <v>0</v>
      </c>
      <c r="P4" s="198">
        <f>SUMIFS('февраль 2023'!$G$4:$G$497,'февраль 2023'!$D$4:$D$497,$B4,'февраль 2023'!$J$4:$J$497,P$1)</f>
        <v>0</v>
      </c>
      <c r="Q4" s="198">
        <f>SUMIFS('февраль 2023'!$G$4:$G$497,'февраль 2023'!$D$4:$D$497,$B4,'февраль 2023'!$J$4:$J$497,Q$1)</f>
        <v>0</v>
      </c>
      <c r="R4" s="198">
        <f>SUMIFS('февраль 2023'!$G$4:$G$497,'февраль 2023'!$D$4:$D$497,$B4,'февраль 2023'!$J$4:$J$497,R$1)</f>
        <v>0</v>
      </c>
      <c r="S4" s="198">
        <f>SUMIFS('февраль 2023'!$G$4:$G$497,'февраль 2023'!$D$4:$D$497,$B4,'февраль 2023'!$J$4:$J$497,S$1)</f>
        <v>0</v>
      </c>
      <c r="T4" s="198">
        <f>SUMIFS('февраль 2023'!$G$4:$G$497,'февраль 2023'!$D$4:$D$497,$B4,'февраль 2023'!$J$4:$J$497,T$1)</f>
        <v>800</v>
      </c>
      <c r="U4" s="198">
        <f>SUMIFS('февраль 2023'!$G$4:$G$497,'февраль 2023'!$D$4:$D$497,$B4,'февраль 2023'!$J$4:$J$497,U$1)</f>
        <v>0</v>
      </c>
      <c r="V4" s="198">
        <f>SUMIFS('февраль 2023'!$G$4:$G$497,'февраль 2023'!$D$4:$D$497,$B4,'февраль 2023'!$J$4:$J$497,V$1)</f>
        <v>0</v>
      </c>
      <c r="W4" s="198">
        <f>SUMIFS('февраль 2023'!$G$4:$G$497,'февраль 2023'!$D$4:$D$497,$B4,'февраль 2023'!$J$4:$J$497,W$1)</f>
        <v>0</v>
      </c>
      <c r="X4" s="198">
        <f>SUMIFS('февраль 2023'!$G$4:$G$497,'февраль 2023'!$D$4:$D$497,$B4,'февраль 2023'!$J$4:$J$497,X$1)</f>
        <v>0</v>
      </c>
      <c r="Y4" s="198">
        <f>SUMIFS('февраль 2023'!$G$4:$G$497,'февраль 2023'!$D$4:$D$497,$B4,'февраль 2023'!$J$4:$J$497,Y$1)</f>
        <v>0</v>
      </c>
      <c r="Z4" s="198">
        <f>SUMIFS('февраль 2023'!$G$4:$G$497,'февраль 2023'!$D$4:$D$497,$B4,'февраль 2023'!$J$4:$J$497,Z$1)</f>
        <v>0</v>
      </c>
      <c r="AA4" s="198">
        <f>SUMIFS('февраль 2023'!$G$4:$G$497,'февраль 2023'!$D$4:$D$497,$B4,'февраль 2023'!$J$4:$J$497,AA$1)</f>
        <v>0</v>
      </c>
      <c r="AB4" s="198">
        <f>SUMIFS('февраль 2023'!$G$4:$G$497,'февраль 2023'!$D$4:$D$497,$B4,'февраль 2023'!$J$4:$J$497,AB$1)</f>
        <v>0</v>
      </c>
      <c r="AC4" s="198">
        <f>SUMIFS('февраль 2023'!$G$4:$G$497,'февраль 2023'!$D$4:$D$497,$B4,'февраль 2023'!$J$4:$J$497,AC$1)</f>
        <v>0</v>
      </c>
      <c r="AD4" s="198">
        <f>SUMIFS('февраль 2023'!$G$4:$G$497,'февраль 2023'!$D$4:$D$497,$B4,'февраль 2023'!$J$4:$J$497,AD$1)</f>
        <v>0</v>
      </c>
      <c r="AE4" s="198">
        <f>SUMIFS('февраль 2023'!$G$4:$G$497,'февраль 2023'!$D$4:$D$497,$B4,'февраль 2023'!$J$4:$J$497,AE$1)</f>
        <v>0</v>
      </c>
      <c r="AF4" s="198">
        <f>SUMIFS('февраль 2023'!$G$4:$G$497,'февраль 2023'!$D$4:$D$497,$B4,'февраль 2023'!$J$4:$J$497,AF$1)</f>
        <v>0</v>
      </c>
      <c r="AG4" s="198">
        <f>SUMIFS('февраль 2023'!$G$4:$G$497,'февраль 2023'!$D$4:$D$497,$B4,'февраль 2023'!$J$4:$J$497,AG$1)</f>
        <v>0</v>
      </c>
      <c r="AH4" s="198">
        <f>SUMIFS('февраль 2023'!$G$4:$G$497,'февраль 2023'!$D$4:$D$497,$B4,'февраль 2023'!$J$4:$J$497,AH$1)</f>
        <v>0</v>
      </c>
      <c r="AI4" s="170">
        <f t="shared" si="1"/>
        <v>800</v>
      </c>
    </row>
    <row r="5" spans="2:35" ht="15" customHeight="1" x14ac:dyDescent="0.25">
      <c r="B5" s="199" t="s">
        <v>165</v>
      </c>
      <c r="C5" s="200">
        <v>25</v>
      </c>
      <c r="D5" s="198">
        <f>SUMIFS('февраль 2023'!$G$4:$G$497,'февраль 2023'!$D$4:$D$497,$B5,'февраль 2023'!$J$4:$J$497,D$1)</f>
        <v>800</v>
      </c>
      <c r="E5" s="198">
        <f>SUMIFS('февраль 2023'!$G$4:$G$497,'февраль 2023'!$D$4:$D$497,$B5,'февраль 2023'!$J$4:$J$497,E$1)</f>
        <v>0</v>
      </c>
      <c r="F5" s="198">
        <f>SUMIFS('февраль 2023'!$G$4:$G$497,'февраль 2023'!$D$4:$D$497,$B5,'февраль 2023'!$J$4:$J$497,F$1)</f>
        <v>0</v>
      </c>
      <c r="G5" s="198">
        <f>SUMIFS('февраль 2023'!$G$4:$G$497,'февраль 2023'!$D$4:$D$497,$B5,'февраль 2023'!$J$4:$J$497,G$1)</f>
        <v>0</v>
      </c>
      <c r="H5" s="198">
        <f>SUMIFS('февраль 2023'!$G$4:$G$497,'февраль 2023'!$D$4:$D$497,$B5,'февраль 2023'!$J$4:$J$497,H$1)</f>
        <v>0</v>
      </c>
      <c r="I5" s="198">
        <f>SUMIFS('февраль 2023'!$G$4:$G$497,'февраль 2023'!$D$4:$D$497,$B5,'февраль 2023'!$J$4:$J$497,I$1)</f>
        <v>0</v>
      </c>
      <c r="J5" s="198">
        <f>SUMIFS('февраль 2023'!$G$4:$G$497,'февраль 2023'!$D$4:$D$497,$B5,'февраль 2023'!$J$4:$J$497,J$1)</f>
        <v>0</v>
      </c>
      <c r="K5" s="198">
        <f>SUMIFS('февраль 2023'!$G$4:$G$497,'февраль 2023'!$D$4:$D$497,$B5,'февраль 2023'!$J$4:$J$497,K$1)</f>
        <v>0</v>
      </c>
      <c r="L5" s="198">
        <f>SUMIFS('февраль 2023'!$G$4:$G$497,'февраль 2023'!$D$4:$D$497,$B5,'февраль 2023'!$J$4:$J$497,L$1)</f>
        <v>0</v>
      </c>
      <c r="M5" s="198">
        <f>SUMIFS('февраль 2023'!$G$4:$G$497,'февраль 2023'!$D$4:$D$497,$B5,'февраль 2023'!$J$4:$J$497,M$1)</f>
        <v>0</v>
      </c>
      <c r="N5" s="198">
        <f>SUMIFS('февраль 2023'!$G$4:$G$497,'февраль 2023'!$D$4:$D$497,$B5,'февраль 2023'!$J$4:$J$497,N$1)</f>
        <v>0</v>
      </c>
      <c r="O5" s="198">
        <f>SUMIFS('февраль 2023'!$G$4:$G$497,'февраль 2023'!$D$4:$D$497,$B5,'февраль 2023'!$J$4:$J$497,O$1)</f>
        <v>0</v>
      </c>
      <c r="P5" s="198">
        <f>SUMIFS('февраль 2023'!$G$4:$G$497,'февраль 2023'!$D$4:$D$497,$B5,'февраль 2023'!$J$4:$J$497,P$1)</f>
        <v>0</v>
      </c>
      <c r="Q5" s="198">
        <f>SUMIFS('февраль 2023'!$G$4:$G$497,'февраль 2023'!$D$4:$D$497,$B5,'февраль 2023'!$J$4:$J$497,Q$1)</f>
        <v>0</v>
      </c>
      <c r="R5" s="198">
        <f>SUMIFS('февраль 2023'!$G$4:$G$497,'февраль 2023'!$D$4:$D$497,$B5,'февраль 2023'!$J$4:$J$497,R$1)</f>
        <v>0</v>
      </c>
      <c r="S5" s="198">
        <f>SUMIFS('февраль 2023'!$G$4:$G$497,'февраль 2023'!$D$4:$D$497,$B5,'февраль 2023'!$J$4:$J$497,S$1)</f>
        <v>0</v>
      </c>
      <c r="T5" s="198">
        <f>SUMIFS('февраль 2023'!$G$4:$G$497,'февраль 2023'!$D$4:$D$497,$B5,'февраль 2023'!$J$4:$J$497,T$1)</f>
        <v>0</v>
      </c>
      <c r="U5" s="198">
        <f>SUMIFS('февраль 2023'!$G$4:$G$497,'февраль 2023'!$D$4:$D$497,$B5,'февраль 2023'!$J$4:$J$497,U$1)</f>
        <v>0</v>
      </c>
      <c r="V5" s="198">
        <f>SUMIFS('февраль 2023'!$G$4:$G$497,'февраль 2023'!$D$4:$D$497,$B5,'февраль 2023'!$J$4:$J$497,V$1)</f>
        <v>0</v>
      </c>
      <c r="W5" s="198">
        <f>SUMIFS('февраль 2023'!$G$4:$G$497,'февраль 2023'!$D$4:$D$497,$B5,'февраль 2023'!$J$4:$J$497,W$1)</f>
        <v>0</v>
      </c>
      <c r="X5" s="198">
        <f>SUMIFS('февраль 2023'!$G$4:$G$497,'февраль 2023'!$D$4:$D$497,$B5,'февраль 2023'!$J$4:$J$497,X$1)</f>
        <v>0</v>
      </c>
      <c r="Y5" s="198">
        <f>SUMIFS('февраль 2023'!$G$4:$G$497,'февраль 2023'!$D$4:$D$497,$B5,'февраль 2023'!$J$4:$J$497,Y$1)</f>
        <v>0</v>
      </c>
      <c r="Z5" s="198">
        <f>SUMIFS('февраль 2023'!$G$4:$G$497,'февраль 2023'!$D$4:$D$497,$B5,'февраль 2023'!$J$4:$J$497,Z$1)</f>
        <v>0</v>
      </c>
      <c r="AA5" s="198">
        <f>SUMIFS('февраль 2023'!$G$4:$G$497,'февраль 2023'!$D$4:$D$497,$B5,'февраль 2023'!$J$4:$J$497,AA$1)</f>
        <v>0</v>
      </c>
      <c r="AB5" s="198">
        <f>SUMIFS('февраль 2023'!$G$4:$G$497,'февраль 2023'!$D$4:$D$497,$B5,'февраль 2023'!$J$4:$J$497,AB$1)</f>
        <v>0</v>
      </c>
      <c r="AC5" s="198">
        <f>SUMIFS('февраль 2023'!$G$4:$G$497,'февраль 2023'!$D$4:$D$497,$B5,'февраль 2023'!$J$4:$J$497,AC$1)</f>
        <v>0</v>
      </c>
      <c r="AD5" s="198">
        <f>SUMIFS('февраль 2023'!$G$4:$G$497,'февраль 2023'!$D$4:$D$497,$B5,'февраль 2023'!$J$4:$J$497,AD$1)</f>
        <v>0</v>
      </c>
      <c r="AE5" s="198">
        <f>SUMIFS('февраль 2023'!$G$4:$G$497,'февраль 2023'!$D$4:$D$497,$B5,'февраль 2023'!$J$4:$J$497,AE$1)</f>
        <v>0</v>
      </c>
      <c r="AF5" s="198">
        <f>SUMIFS('февраль 2023'!$G$4:$G$497,'февраль 2023'!$D$4:$D$497,$B5,'февраль 2023'!$J$4:$J$497,AF$1)</f>
        <v>0</v>
      </c>
      <c r="AG5" s="198">
        <f>SUMIFS('февраль 2023'!$G$4:$G$497,'февраль 2023'!$D$4:$D$497,$B5,'февраль 2023'!$J$4:$J$497,AG$1)</f>
        <v>0</v>
      </c>
      <c r="AH5" s="198">
        <f>SUMIFS('февраль 2023'!$G$4:$G$497,'февраль 2023'!$D$4:$D$497,$B5,'февраль 2023'!$J$4:$J$497,AH$1)</f>
        <v>0</v>
      </c>
      <c r="AI5" s="170">
        <f t="shared" si="1"/>
        <v>800</v>
      </c>
    </row>
    <row r="6" spans="2:35" ht="15" customHeight="1" x14ac:dyDescent="0.25">
      <c r="B6" s="199" t="s">
        <v>2084</v>
      </c>
      <c r="C6" s="200">
        <v>22.7</v>
      </c>
      <c r="D6" s="198">
        <f>SUMIFS('февраль 2023'!$G$4:$G$497,'февраль 2023'!$D$4:$D$497,$B6,'февраль 2023'!$J$4:$J$497,D$1)</f>
        <v>0</v>
      </c>
      <c r="E6" s="198">
        <f>SUMIFS('февраль 2023'!$G$4:$G$497,'февраль 2023'!$D$4:$D$497,$B6,'февраль 2023'!$J$4:$J$497,E$1)</f>
        <v>0</v>
      </c>
      <c r="F6" s="198">
        <f>SUMIFS('февраль 2023'!$G$4:$G$497,'февраль 2023'!$D$4:$D$497,$B6,'февраль 2023'!$J$4:$J$497,F$1)</f>
        <v>0</v>
      </c>
      <c r="G6" s="198">
        <f>SUMIFS('февраль 2023'!$G$4:$G$497,'февраль 2023'!$D$4:$D$497,$B6,'февраль 2023'!$J$4:$J$497,G$1)</f>
        <v>0</v>
      </c>
      <c r="H6" s="198">
        <f>SUMIFS('февраль 2023'!$G$4:$G$497,'февраль 2023'!$D$4:$D$497,$B6,'февраль 2023'!$J$4:$J$497,H$1)</f>
        <v>0</v>
      </c>
      <c r="I6" s="198">
        <f>SUMIFS('февраль 2023'!$G$4:$G$497,'февраль 2023'!$D$4:$D$497,$B6,'февраль 2023'!$J$4:$J$497,I$1)</f>
        <v>0</v>
      </c>
      <c r="J6" s="198">
        <f>SUMIFS('февраль 2023'!$G$4:$G$497,'февраль 2023'!$D$4:$D$497,$B6,'февраль 2023'!$J$4:$J$497,J$1)</f>
        <v>0</v>
      </c>
      <c r="K6" s="198">
        <f>SUMIFS('февраль 2023'!$G$4:$G$497,'февраль 2023'!$D$4:$D$497,$B6,'февраль 2023'!$J$4:$J$497,K$1)</f>
        <v>0</v>
      </c>
      <c r="L6" s="198">
        <f>SUMIFS('февраль 2023'!$G$4:$G$497,'февраль 2023'!$D$4:$D$497,$B6,'февраль 2023'!$J$4:$J$497,L$1)</f>
        <v>0</v>
      </c>
      <c r="M6" s="198">
        <f>SUMIFS('февраль 2023'!$G$4:$G$497,'февраль 2023'!$D$4:$D$497,$B6,'февраль 2023'!$J$4:$J$497,M$1)</f>
        <v>0</v>
      </c>
      <c r="N6" s="198">
        <f>SUMIFS('февраль 2023'!$G$4:$G$497,'февраль 2023'!$D$4:$D$497,$B6,'февраль 2023'!$J$4:$J$497,N$1)</f>
        <v>0</v>
      </c>
      <c r="O6" s="198">
        <f>SUMIFS('февраль 2023'!$G$4:$G$497,'февраль 2023'!$D$4:$D$497,$B6,'февраль 2023'!$J$4:$J$497,O$1)</f>
        <v>0</v>
      </c>
      <c r="P6" s="198">
        <f>SUMIFS('февраль 2023'!$G$4:$G$497,'февраль 2023'!$D$4:$D$497,$B6,'февраль 2023'!$J$4:$J$497,P$1)</f>
        <v>0</v>
      </c>
      <c r="Q6" s="198">
        <f>SUMIFS('февраль 2023'!$G$4:$G$497,'февраль 2023'!$D$4:$D$497,$B6,'февраль 2023'!$J$4:$J$497,Q$1)</f>
        <v>0</v>
      </c>
      <c r="R6" s="198">
        <f>SUMIFS('февраль 2023'!$G$4:$G$497,'февраль 2023'!$D$4:$D$497,$B6,'февраль 2023'!$J$4:$J$497,R$1)</f>
        <v>0</v>
      </c>
      <c r="S6" s="198">
        <f>SUMIFS('февраль 2023'!$G$4:$G$497,'февраль 2023'!$D$4:$D$497,$B6,'февраль 2023'!$J$4:$J$497,S$1)</f>
        <v>0</v>
      </c>
      <c r="T6" s="198">
        <f>SUMIFS('февраль 2023'!$G$4:$G$497,'февраль 2023'!$D$4:$D$497,$B6,'февраль 2023'!$J$4:$J$497,T$1)</f>
        <v>0</v>
      </c>
      <c r="U6" s="198">
        <f>SUMIFS('февраль 2023'!$G$4:$G$497,'февраль 2023'!$D$4:$D$497,$B6,'февраль 2023'!$J$4:$J$497,U$1)</f>
        <v>0</v>
      </c>
      <c r="V6" s="198">
        <f>SUMIFS('февраль 2023'!$G$4:$G$497,'февраль 2023'!$D$4:$D$497,$B6,'февраль 2023'!$J$4:$J$497,V$1)</f>
        <v>0</v>
      </c>
      <c r="W6" s="198">
        <f>SUMIFS('февраль 2023'!$G$4:$G$497,'февраль 2023'!$D$4:$D$497,$B6,'февраль 2023'!$J$4:$J$497,W$1)</f>
        <v>0</v>
      </c>
      <c r="X6" s="198">
        <f>SUMIFS('февраль 2023'!$G$4:$G$497,'февраль 2023'!$D$4:$D$497,$B6,'февраль 2023'!$J$4:$J$497,X$1)</f>
        <v>0</v>
      </c>
      <c r="Y6" s="198">
        <f>SUMIFS('февраль 2023'!$G$4:$G$497,'февраль 2023'!$D$4:$D$497,$B6,'февраль 2023'!$J$4:$J$497,Y$1)</f>
        <v>0</v>
      </c>
      <c r="Z6" s="198">
        <f>SUMIFS('февраль 2023'!$G$4:$G$497,'февраль 2023'!$D$4:$D$497,$B6,'февраль 2023'!$J$4:$J$497,Z$1)</f>
        <v>0</v>
      </c>
      <c r="AA6" s="198">
        <f>SUMIFS('февраль 2023'!$G$4:$G$497,'февраль 2023'!$D$4:$D$497,$B6,'февраль 2023'!$J$4:$J$497,AA$1)</f>
        <v>0</v>
      </c>
      <c r="AB6" s="198">
        <f>SUMIFS('февраль 2023'!$G$4:$G$497,'февраль 2023'!$D$4:$D$497,$B6,'февраль 2023'!$J$4:$J$497,AB$1)</f>
        <v>0</v>
      </c>
      <c r="AC6" s="198">
        <f>SUMIFS('февраль 2023'!$G$4:$G$497,'февраль 2023'!$D$4:$D$497,$B6,'февраль 2023'!$J$4:$J$497,AC$1)</f>
        <v>0</v>
      </c>
      <c r="AD6" s="198">
        <f>SUMIFS('февраль 2023'!$G$4:$G$497,'февраль 2023'!$D$4:$D$497,$B6,'февраль 2023'!$J$4:$J$497,AD$1)</f>
        <v>0</v>
      </c>
      <c r="AE6" s="198">
        <f>SUMIFS('февраль 2023'!$G$4:$G$497,'февраль 2023'!$D$4:$D$497,$B6,'февраль 2023'!$J$4:$J$497,AE$1)</f>
        <v>0</v>
      </c>
      <c r="AF6" s="198">
        <f>SUMIFS('февраль 2023'!$G$4:$G$497,'февраль 2023'!$D$4:$D$497,$B6,'февраль 2023'!$J$4:$J$497,AF$1)</f>
        <v>0</v>
      </c>
      <c r="AG6" s="198">
        <f>SUMIFS('февраль 2023'!$G$4:$G$497,'февраль 2023'!$D$4:$D$497,$B6,'февраль 2023'!$J$4:$J$497,AG$1)</f>
        <v>0</v>
      </c>
      <c r="AH6" s="198">
        <f>SUMIFS('февраль 2023'!$G$4:$G$497,'февраль 2023'!$D$4:$D$497,$B6,'февраль 2023'!$J$4:$J$497,AH$1)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SUMIFS('февраль 2023'!$G$4:$G$497,'февраль 2023'!$D$4:$D$497,$B7,'февраль 2023'!$J$4:$J$497,D$1)</f>
        <v>0</v>
      </c>
      <c r="E7" s="198">
        <f>SUMIFS('февраль 2023'!$G$4:$G$497,'февраль 2023'!$D$4:$D$497,$B7,'февраль 2023'!$J$4:$J$497,E$1)</f>
        <v>0</v>
      </c>
      <c r="F7" s="198">
        <f>SUMIFS('февраль 2023'!$G$4:$G$497,'февраль 2023'!$D$4:$D$497,$B7,'февраль 2023'!$J$4:$J$497,F$1)</f>
        <v>0</v>
      </c>
      <c r="G7" s="198">
        <f>SUMIFS('февраль 2023'!$G$4:$G$497,'февраль 2023'!$D$4:$D$497,$B7,'февраль 2023'!$J$4:$J$497,G$1)</f>
        <v>0</v>
      </c>
      <c r="H7" s="198">
        <f>SUMIFS('февраль 2023'!$G$4:$G$497,'февраль 2023'!$D$4:$D$497,$B7,'февраль 2023'!$J$4:$J$497,H$1)</f>
        <v>0</v>
      </c>
      <c r="I7" s="198">
        <f>SUMIFS('февраль 2023'!$G$4:$G$497,'февраль 2023'!$D$4:$D$497,$B7,'февраль 2023'!$J$4:$J$497,I$1)</f>
        <v>0</v>
      </c>
      <c r="J7" s="198">
        <f>SUMIFS('февраль 2023'!$G$4:$G$497,'февраль 2023'!$D$4:$D$497,$B7,'февраль 2023'!$J$4:$J$497,J$1)</f>
        <v>0</v>
      </c>
      <c r="K7" s="198">
        <f>SUMIFS('февраль 2023'!$G$4:$G$497,'февраль 2023'!$D$4:$D$497,$B7,'февраль 2023'!$J$4:$J$497,K$1)</f>
        <v>0</v>
      </c>
      <c r="L7" s="198">
        <f>SUMIFS('февраль 2023'!$G$4:$G$497,'февраль 2023'!$D$4:$D$497,$B7,'февраль 2023'!$J$4:$J$497,L$1)</f>
        <v>0</v>
      </c>
      <c r="M7" s="198">
        <f>SUMIFS('февраль 2023'!$G$4:$G$497,'февраль 2023'!$D$4:$D$497,$B7,'февраль 2023'!$J$4:$J$497,M$1)</f>
        <v>0</v>
      </c>
      <c r="N7" s="198">
        <f>SUMIFS('февраль 2023'!$G$4:$G$497,'февраль 2023'!$D$4:$D$497,$B7,'февраль 2023'!$J$4:$J$497,N$1)</f>
        <v>0</v>
      </c>
      <c r="O7" s="198">
        <f>SUMIFS('февраль 2023'!$G$4:$G$497,'февраль 2023'!$D$4:$D$497,$B7,'февраль 2023'!$J$4:$J$497,O$1)</f>
        <v>0</v>
      </c>
      <c r="P7" s="198">
        <f>SUMIFS('февраль 2023'!$G$4:$G$497,'февраль 2023'!$D$4:$D$497,$B7,'февраль 2023'!$J$4:$J$497,P$1)</f>
        <v>0</v>
      </c>
      <c r="Q7" s="198">
        <f>SUMIFS('февраль 2023'!$G$4:$G$497,'февраль 2023'!$D$4:$D$497,$B7,'февраль 2023'!$J$4:$J$497,Q$1)</f>
        <v>0</v>
      </c>
      <c r="R7" s="198">
        <f>SUMIFS('февраль 2023'!$G$4:$G$497,'февраль 2023'!$D$4:$D$497,$B7,'февраль 2023'!$J$4:$J$497,R$1)</f>
        <v>0</v>
      </c>
      <c r="S7" s="198">
        <f>SUMIFS('февраль 2023'!$G$4:$G$497,'февраль 2023'!$D$4:$D$497,$B7,'февраль 2023'!$J$4:$J$497,S$1)</f>
        <v>0</v>
      </c>
      <c r="T7" s="198">
        <f>SUMIFS('февраль 2023'!$G$4:$G$497,'февраль 2023'!$D$4:$D$497,$B7,'февраль 2023'!$J$4:$J$497,T$1)</f>
        <v>0</v>
      </c>
      <c r="U7" s="198">
        <f>SUMIFS('февраль 2023'!$G$4:$G$497,'февраль 2023'!$D$4:$D$497,$B7,'февраль 2023'!$J$4:$J$497,U$1)</f>
        <v>0</v>
      </c>
      <c r="V7" s="198">
        <f>SUMIFS('февраль 2023'!$G$4:$G$497,'февраль 2023'!$D$4:$D$497,$B7,'февраль 2023'!$J$4:$J$497,V$1)</f>
        <v>0</v>
      </c>
      <c r="W7" s="198">
        <f>SUMIFS('февраль 2023'!$G$4:$G$497,'февраль 2023'!$D$4:$D$497,$B7,'февраль 2023'!$J$4:$J$497,W$1)</f>
        <v>0</v>
      </c>
      <c r="X7" s="198">
        <f>SUMIFS('февраль 2023'!$G$4:$G$497,'февраль 2023'!$D$4:$D$497,$B7,'февраль 2023'!$J$4:$J$497,X$1)</f>
        <v>0</v>
      </c>
      <c r="Y7" s="198">
        <f>SUMIFS('февраль 2023'!$G$4:$G$497,'февраль 2023'!$D$4:$D$497,$B7,'февраль 2023'!$J$4:$J$497,Y$1)</f>
        <v>0</v>
      </c>
      <c r="Z7" s="198">
        <f>SUMIFS('февраль 2023'!$G$4:$G$497,'февраль 2023'!$D$4:$D$497,$B7,'февраль 2023'!$J$4:$J$497,Z$1)</f>
        <v>0</v>
      </c>
      <c r="AA7" s="198">
        <f>SUMIFS('февраль 2023'!$G$4:$G$497,'февраль 2023'!$D$4:$D$497,$B7,'февраль 2023'!$J$4:$J$497,AA$1)</f>
        <v>0</v>
      </c>
      <c r="AB7" s="198">
        <f>SUMIFS('февраль 2023'!$G$4:$G$497,'февраль 2023'!$D$4:$D$497,$B7,'февраль 2023'!$J$4:$J$497,AB$1)</f>
        <v>0</v>
      </c>
      <c r="AC7" s="198">
        <f>SUMIFS('февраль 2023'!$G$4:$G$497,'февраль 2023'!$D$4:$D$497,$B7,'февраль 2023'!$J$4:$J$497,AC$1)</f>
        <v>0</v>
      </c>
      <c r="AD7" s="198">
        <f>SUMIFS('февраль 2023'!$G$4:$G$497,'февраль 2023'!$D$4:$D$497,$B7,'февраль 2023'!$J$4:$J$497,AD$1)</f>
        <v>0</v>
      </c>
      <c r="AE7" s="198">
        <f>SUMIFS('февраль 2023'!$G$4:$G$497,'февраль 2023'!$D$4:$D$497,$B7,'февраль 2023'!$J$4:$J$497,AE$1)</f>
        <v>0</v>
      </c>
      <c r="AF7" s="198">
        <f>SUMIFS('февраль 2023'!$G$4:$G$497,'февраль 2023'!$D$4:$D$497,$B7,'февраль 2023'!$J$4:$J$497,AF$1)</f>
        <v>0</v>
      </c>
      <c r="AG7" s="198">
        <f>SUMIFS('февраль 2023'!$G$4:$G$497,'февраль 2023'!$D$4:$D$497,$B7,'февраль 2023'!$J$4:$J$497,AG$1)</f>
        <v>0</v>
      </c>
      <c r="AH7" s="198">
        <f>SUMIFS('февраль 2023'!$G$4:$G$497,'февраль 2023'!$D$4:$D$497,$B7,'февраль 2023'!$J$4:$J$497,AH$1)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SUMIFS('февраль 2023'!$G$4:$G$497,'февраль 2023'!$D$4:$D$497,$B8,'февраль 2023'!$J$4:$J$497,D$1)</f>
        <v>0</v>
      </c>
      <c r="E8" s="198">
        <f>SUMIFS('февраль 2023'!$G$4:$G$497,'февраль 2023'!$D$4:$D$497,$B8,'февраль 2023'!$J$4:$J$497,E$1)</f>
        <v>0</v>
      </c>
      <c r="F8" s="198">
        <f>SUMIFS('февраль 2023'!$G$4:$G$497,'февраль 2023'!$D$4:$D$497,$B8,'февраль 2023'!$J$4:$J$497,F$1)</f>
        <v>0</v>
      </c>
      <c r="G8" s="198">
        <f>SUMIFS('февраль 2023'!$G$4:$G$497,'февраль 2023'!$D$4:$D$497,$B8,'февраль 2023'!$J$4:$J$497,G$1)</f>
        <v>0</v>
      </c>
      <c r="H8" s="198">
        <f>SUMIFS('февраль 2023'!$G$4:$G$497,'февраль 2023'!$D$4:$D$497,$B8,'февраль 2023'!$J$4:$J$497,H$1)</f>
        <v>0</v>
      </c>
      <c r="I8" s="198">
        <f>SUMIFS('февраль 2023'!$G$4:$G$497,'февраль 2023'!$D$4:$D$497,$B8,'февраль 2023'!$J$4:$J$497,I$1)</f>
        <v>0</v>
      </c>
      <c r="J8" s="198">
        <f>SUMIFS('февраль 2023'!$G$4:$G$497,'февраль 2023'!$D$4:$D$497,$B8,'февраль 2023'!$J$4:$J$497,J$1)</f>
        <v>0</v>
      </c>
      <c r="K8" s="198">
        <f>SUMIFS('февраль 2023'!$G$4:$G$497,'февраль 2023'!$D$4:$D$497,$B8,'февраль 2023'!$J$4:$J$497,K$1)</f>
        <v>0</v>
      </c>
      <c r="L8" s="198">
        <f>SUMIFS('февраль 2023'!$G$4:$G$497,'февраль 2023'!$D$4:$D$497,$B8,'февраль 2023'!$J$4:$J$497,L$1)</f>
        <v>0</v>
      </c>
      <c r="M8" s="198">
        <f>SUMIFS('февраль 2023'!$G$4:$G$497,'февраль 2023'!$D$4:$D$497,$B8,'февраль 2023'!$J$4:$J$497,M$1)</f>
        <v>0</v>
      </c>
      <c r="N8" s="198">
        <f>SUMIFS('февраль 2023'!$G$4:$G$497,'февраль 2023'!$D$4:$D$497,$B8,'февраль 2023'!$J$4:$J$497,N$1)</f>
        <v>0</v>
      </c>
      <c r="O8" s="198">
        <f>SUMIFS('февраль 2023'!$G$4:$G$497,'февраль 2023'!$D$4:$D$497,$B8,'февраль 2023'!$J$4:$J$497,O$1)</f>
        <v>0</v>
      </c>
      <c r="P8" s="198">
        <f>SUMIFS('февраль 2023'!$G$4:$G$497,'февраль 2023'!$D$4:$D$497,$B8,'февраль 2023'!$J$4:$J$497,P$1)</f>
        <v>0</v>
      </c>
      <c r="Q8" s="198">
        <f>SUMIFS('февраль 2023'!$G$4:$G$497,'февраль 2023'!$D$4:$D$497,$B8,'февраль 2023'!$J$4:$J$497,Q$1)</f>
        <v>0</v>
      </c>
      <c r="R8" s="198">
        <f>SUMIFS('февраль 2023'!$G$4:$G$497,'февраль 2023'!$D$4:$D$497,$B8,'февраль 2023'!$J$4:$J$497,R$1)</f>
        <v>0</v>
      </c>
      <c r="S8" s="198">
        <f>SUMIFS('февраль 2023'!$G$4:$G$497,'февраль 2023'!$D$4:$D$497,$B8,'февраль 2023'!$J$4:$J$497,S$1)</f>
        <v>0</v>
      </c>
      <c r="T8" s="198">
        <f>SUMIFS('февраль 2023'!$G$4:$G$497,'февраль 2023'!$D$4:$D$497,$B8,'февраль 2023'!$J$4:$J$497,T$1)</f>
        <v>0</v>
      </c>
      <c r="U8" s="198">
        <f>SUMIFS('февраль 2023'!$G$4:$G$497,'февраль 2023'!$D$4:$D$497,$B8,'февраль 2023'!$J$4:$J$497,U$1)</f>
        <v>0</v>
      </c>
      <c r="V8" s="198">
        <f>SUMIFS('февраль 2023'!$G$4:$G$497,'февраль 2023'!$D$4:$D$497,$B8,'февраль 2023'!$J$4:$J$497,V$1)</f>
        <v>0</v>
      </c>
      <c r="W8" s="198">
        <f>SUMIFS('февраль 2023'!$G$4:$G$497,'февраль 2023'!$D$4:$D$497,$B8,'февраль 2023'!$J$4:$J$497,W$1)</f>
        <v>0</v>
      </c>
      <c r="X8" s="198">
        <f>SUMIFS('февраль 2023'!$G$4:$G$497,'февраль 2023'!$D$4:$D$497,$B8,'февраль 2023'!$J$4:$J$497,X$1)</f>
        <v>0</v>
      </c>
      <c r="Y8" s="198">
        <f>SUMIFS('февраль 2023'!$G$4:$G$497,'февраль 2023'!$D$4:$D$497,$B8,'февраль 2023'!$J$4:$J$497,Y$1)</f>
        <v>0</v>
      </c>
      <c r="Z8" s="198">
        <f>SUMIFS('февраль 2023'!$G$4:$G$497,'февраль 2023'!$D$4:$D$497,$B8,'февраль 2023'!$J$4:$J$497,Z$1)</f>
        <v>0</v>
      </c>
      <c r="AA8" s="198">
        <f>SUMIFS('февраль 2023'!$G$4:$G$497,'февраль 2023'!$D$4:$D$497,$B8,'февраль 2023'!$J$4:$J$497,AA$1)</f>
        <v>0</v>
      </c>
      <c r="AB8" s="198">
        <f>SUMIFS('февраль 2023'!$G$4:$G$497,'февраль 2023'!$D$4:$D$497,$B8,'февраль 2023'!$J$4:$J$497,AB$1)</f>
        <v>0</v>
      </c>
      <c r="AC8" s="198">
        <f>SUMIFS('февраль 2023'!$G$4:$G$497,'февраль 2023'!$D$4:$D$497,$B8,'февраль 2023'!$J$4:$J$497,AC$1)</f>
        <v>0</v>
      </c>
      <c r="AD8" s="198">
        <f>SUMIFS('февраль 2023'!$G$4:$G$497,'февраль 2023'!$D$4:$D$497,$B8,'февраль 2023'!$J$4:$J$497,AD$1)</f>
        <v>0</v>
      </c>
      <c r="AE8" s="198">
        <f>SUMIFS('февраль 2023'!$G$4:$G$497,'февраль 2023'!$D$4:$D$497,$B8,'февраль 2023'!$J$4:$J$497,AE$1)</f>
        <v>0</v>
      </c>
      <c r="AF8" s="198">
        <f>SUMIFS('февраль 2023'!$G$4:$G$497,'февраль 2023'!$D$4:$D$497,$B8,'февраль 2023'!$J$4:$J$497,AF$1)</f>
        <v>0</v>
      </c>
      <c r="AG8" s="198">
        <f>SUMIFS('февраль 2023'!$G$4:$G$497,'февраль 2023'!$D$4:$D$497,$B8,'февраль 2023'!$J$4:$J$497,AG$1)</f>
        <v>0</v>
      </c>
      <c r="AH8" s="198">
        <f>SUMIFS('февраль 2023'!$G$4:$G$497,'февраль 2023'!$D$4:$D$497,$B8,'февраль 2023'!$J$4:$J$497,AH$1)</f>
        <v>0</v>
      </c>
      <c r="AI8" s="170">
        <f t="shared" si="1"/>
        <v>0</v>
      </c>
    </row>
    <row r="9" spans="2:35" ht="15" customHeight="1" x14ac:dyDescent="0.25">
      <c r="B9" s="199" t="s">
        <v>2053</v>
      </c>
      <c r="C9" s="200">
        <v>25</v>
      </c>
      <c r="D9" s="198">
        <f>SUMIFS('февраль 2023'!$G$4:$G$497,'февраль 2023'!$D$4:$D$497,$B9,'февраль 2023'!$J$4:$J$497,D$1)</f>
        <v>0</v>
      </c>
      <c r="E9" s="198">
        <f>SUMIFS('февраль 2023'!$G$4:$G$497,'февраль 2023'!$D$4:$D$497,$B9,'февраль 2023'!$J$4:$J$497,E$1)</f>
        <v>0</v>
      </c>
      <c r="F9" s="198">
        <f>SUMIFS('февраль 2023'!$G$4:$G$497,'февраль 2023'!$D$4:$D$497,$B9,'февраль 2023'!$J$4:$J$497,F$1)</f>
        <v>0</v>
      </c>
      <c r="G9" s="198">
        <f>SUMIFS('февраль 2023'!$G$4:$G$497,'февраль 2023'!$D$4:$D$497,$B9,'февраль 2023'!$J$4:$J$497,G$1)</f>
        <v>0</v>
      </c>
      <c r="H9" s="198">
        <f>SUMIFS('февраль 2023'!$G$4:$G$497,'февраль 2023'!$D$4:$D$497,$B9,'февраль 2023'!$J$4:$J$497,H$1)</f>
        <v>0</v>
      </c>
      <c r="I9" s="198">
        <f>SUMIFS('февраль 2023'!$G$4:$G$497,'февраль 2023'!$D$4:$D$497,$B9,'февраль 2023'!$J$4:$J$497,I$1)</f>
        <v>0</v>
      </c>
      <c r="J9" s="198">
        <f>SUMIFS('февраль 2023'!$G$4:$G$497,'февраль 2023'!$D$4:$D$497,$B9,'февраль 2023'!$J$4:$J$497,J$1)</f>
        <v>0</v>
      </c>
      <c r="K9" s="198">
        <f>SUMIFS('февраль 2023'!$G$4:$G$497,'февраль 2023'!$D$4:$D$497,$B9,'февраль 2023'!$J$4:$J$497,K$1)</f>
        <v>0</v>
      </c>
      <c r="L9" s="198">
        <f>SUMIFS('февраль 2023'!$G$4:$G$497,'февраль 2023'!$D$4:$D$497,$B9,'февраль 2023'!$J$4:$J$497,L$1)</f>
        <v>0</v>
      </c>
      <c r="M9" s="198">
        <f>SUMIFS('февраль 2023'!$G$4:$G$497,'февраль 2023'!$D$4:$D$497,$B9,'февраль 2023'!$J$4:$J$497,M$1)</f>
        <v>0</v>
      </c>
      <c r="N9" s="198">
        <f>SUMIFS('февраль 2023'!$G$4:$G$497,'февраль 2023'!$D$4:$D$497,$B9,'февраль 2023'!$J$4:$J$497,N$1)</f>
        <v>0</v>
      </c>
      <c r="O9" s="198">
        <f>SUMIFS('февраль 2023'!$G$4:$G$497,'февраль 2023'!$D$4:$D$497,$B9,'февраль 2023'!$J$4:$J$497,O$1)</f>
        <v>0</v>
      </c>
      <c r="P9" s="198">
        <f>SUMIFS('февраль 2023'!$G$4:$G$497,'февраль 2023'!$D$4:$D$497,$B9,'февраль 2023'!$J$4:$J$497,P$1)</f>
        <v>0</v>
      </c>
      <c r="Q9" s="198">
        <f>SUMIFS('февраль 2023'!$G$4:$G$497,'февраль 2023'!$D$4:$D$497,$B9,'февраль 2023'!$J$4:$J$497,Q$1)</f>
        <v>0</v>
      </c>
      <c r="R9" s="198">
        <f>SUMIFS('февраль 2023'!$G$4:$G$497,'февраль 2023'!$D$4:$D$497,$B9,'февраль 2023'!$J$4:$J$497,R$1)</f>
        <v>0</v>
      </c>
      <c r="S9" s="198">
        <f>SUMIFS('февраль 2023'!$G$4:$G$497,'февраль 2023'!$D$4:$D$497,$B9,'февраль 2023'!$J$4:$J$497,S$1)</f>
        <v>0</v>
      </c>
      <c r="T9" s="198">
        <f>SUMIFS('февраль 2023'!$G$4:$G$497,'февраль 2023'!$D$4:$D$497,$B9,'февраль 2023'!$J$4:$J$497,T$1)</f>
        <v>0</v>
      </c>
      <c r="U9" s="198">
        <f>SUMIFS('февраль 2023'!$G$4:$G$497,'февраль 2023'!$D$4:$D$497,$B9,'февраль 2023'!$J$4:$J$497,U$1)</f>
        <v>0</v>
      </c>
      <c r="V9" s="198">
        <f>SUMIFS('февраль 2023'!$G$4:$G$497,'февраль 2023'!$D$4:$D$497,$B9,'февраль 2023'!$J$4:$J$497,V$1)</f>
        <v>0</v>
      </c>
      <c r="W9" s="198">
        <f>SUMIFS('февраль 2023'!$G$4:$G$497,'февраль 2023'!$D$4:$D$497,$B9,'февраль 2023'!$J$4:$J$497,W$1)</f>
        <v>0</v>
      </c>
      <c r="X9" s="198">
        <f>SUMIFS('февраль 2023'!$G$4:$G$497,'февраль 2023'!$D$4:$D$497,$B9,'февраль 2023'!$J$4:$J$497,X$1)</f>
        <v>0</v>
      </c>
      <c r="Y9" s="198">
        <f>SUMIFS('февраль 2023'!$G$4:$G$497,'февраль 2023'!$D$4:$D$497,$B9,'февраль 2023'!$J$4:$J$497,Y$1)</f>
        <v>0</v>
      </c>
      <c r="Z9" s="198">
        <f>SUMIFS('февраль 2023'!$G$4:$G$497,'февраль 2023'!$D$4:$D$497,$B9,'февраль 2023'!$J$4:$J$497,Z$1)</f>
        <v>0</v>
      </c>
      <c r="AA9" s="198">
        <f>SUMIFS('февраль 2023'!$G$4:$G$497,'февраль 2023'!$D$4:$D$497,$B9,'февраль 2023'!$J$4:$J$497,AA$1)</f>
        <v>0</v>
      </c>
      <c r="AB9" s="198">
        <f>SUMIFS('февраль 2023'!$G$4:$G$497,'февраль 2023'!$D$4:$D$497,$B9,'февраль 2023'!$J$4:$J$497,AB$1)</f>
        <v>0</v>
      </c>
      <c r="AC9" s="198">
        <f>SUMIFS('февраль 2023'!$G$4:$G$497,'февраль 2023'!$D$4:$D$497,$B9,'февраль 2023'!$J$4:$J$497,AC$1)</f>
        <v>0</v>
      </c>
      <c r="AD9" s="198">
        <f>SUMIFS('февраль 2023'!$G$4:$G$497,'февраль 2023'!$D$4:$D$497,$B9,'февраль 2023'!$J$4:$J$497,AD$1)</f>
        <v>0</v>
      </c>
      <c r="AE9" s="198">
        <f>SUMIFS('февраль 2023'!$G$4:$G$497,'февраль 2023'!$D$4:$D$497,$B9,'февраль 2023'!$J$4:$J$497,AE$1)</f>
        <v>0</v>
      </c>
      <c r="AF9" s="198">
        <f>SUMIFS('февраль 2023'!$G$4:$G$497,'февраль 2023'!$D$4:$D$497,$B9,'февраль 2023'!$J$4:$J$497,AF$1)</f>
        <v>0</v>
      </c>
      <c r="AG9" s="198">
        <f>SUMIFS('февраль 2023'!$G$4:$G$497,'февраль 2023'!$D$4:$D$497,$B9,'февраль 2023'!$J$4:$J$497,AG$1)</f>
        <v>0</v>
      </c>
      <c r="AH9" s="198">
        <f>SUMIFS('февраль 2023'!$G$4:$G$497,'февраль 2023'!$D$4:$D$497,$B9,'февраль 2023'!$J$4:$J$497,AH$1)</f>
        <v>0</v>
      </c>
      <c r="AI9" s="170">
        <f t="shared" si="1"/>
        <v>0</v>
      </c>
    </row>
    <row r="10" spans="2:35" ht="15" customHeight="1" x14ac:dyDescent="0.25">
      <c r="B10" s="199" t="s">
        <v>2094</v>
      </c>
      <c r="C10" s="200">
        <v>22.7</v>
      </c>
      <c r="D10" s="198">
        <f>SUMIFS('февраль 2023'!$G$4:$G$497,'февраль 2023'!$D$4:$D$497,$B10,'февраль 2023'!$J$4:$J$497,D$1)</f>
        <v>0</v>
      </c>
      <c r="E10" s="198">
        <f>SUMIFS('февраль 2023'!$G$4:$G$497,'февраль 2023'!$D$4:$D$497,$B10,'февраль 2023'!$J$4:$J$497,E$1)</f>
        <v>0</v>
      </c>
      <c r="F10" s="198">
        <f>SUMIFS('февраль 2023'!$G$4:$G$497,'февраль 2023'!$D$4:$D$497,$B10,'февраль 2023'!$J$4:$J$497,F$1)</f>
        <v>0</v>
      </c>
      <c r="G10" s="198">
        <f>SUMIFS('февраль 2023'!$G$4:$G$497,'февраль 2023'!$D$4:$D$497,$B10,'февраль 2023'!$J$4:$J$497,G$1)</f>
        <v>0</v>
      </c>
      <c r="H10" s="198">
        <f>SUMIFS('февраль 2023'!$G$4:$G$497,'февраль 2023'!$D$4:$D$497,$B10,'февраль 2023'!$J$4:$J$497,H$1)</f>
        <v>0</v>
      </c>
      <c r="I10" s="198">
        <f>SUMIFS('февраль 2023'!$G$4:$G$497,'февраль 2023'!$D$4:$D$497,$B10,'февраль 2023'!$J$4:$J$497,I$1)</f>
        <v>0</v>
      </c>
      <c r="J10" s="198">
        <f>SUMIFS('февраль 2023'!$G$4:$G$497,'февраль 2023'!$D$4:$D$497,$B10,'февраль 2023'!$J$4:$J$497,J$1)</f>
        <v>0</v>
      </c>
      <c r="K10" s="198">
        <f>SUMIFS('февраль 2023'!$G$4:$G$497,'февраль 2023'!$D$4:$D$497,$B10,'февраль 2023'!$J$4:$J$497,K$1)</f>
        <v>0</v>
      </c>
      <c r="L10" s="198">
        <f>SUMIFS('февраль 2023'!$G$4:$G$497,'февраль 2023'!$D$4:$D$497,$B10,'февраль 2023'!$J$4:$J$497,L$1)</f>
        <v>0</v>
      </c>
      <c r="M10" s="198">
        <f>SUMIFS('февраль 2023'!$G$4:$G$497,'февраль 2023'!$D$4:$D$497,$B10,'февраль 2023'!$J$4:$J$497,M$1)</f>
        <v>0</v>
      </c>
      <c r="N10" s="198">
        <f>SUMIFS('февраль 2023'!$G$4:$G$497,'февраль 2023'!$D$4:$D$497,$B10,'февраль 2023'!$J$4:$J$497,N$1)</f>
        <v>0</v>
      </c>
      <c r="O10" s="198">
        <f>SUMIFS('февраль 2023'!$G$4:$G$497,'февраль 2023'!$D$4:$D$497,$B10,'февраль 2023'!$J$4:$J$497,O$1)</f>
        <v>0</v>
      </c>
      <c r="P10" s="198">
        <f>SUMIFS('февраль 2023'!$G$4:$G$497,'февраль 2023'!$D$4:$D$497,$B10,'февраль 2023'!$J$4:$J$497,P$1)</f>
        <v>0</v>
      </c>
      <c r="Q10" s="198">
        <f>SUMIFS('февраль 2023'!$G$4:$G$497,'февраль 2023'!$D$4:$D$497,$B10,'февраль 2023'!$J$4:$J$497,Q$1)</f>
        <v>0</v>
      </c>
      <c r="R10" s="198">
        <f>SUMIFS('февраль 2023'!$G$4:$G$497,'февраль 2023'!$D$4:$D$497,$B10,'февраль 2023'!$J$4:$J$497,R$1)</f>
        <v>0</v>
      </c>
      <c r="S10" s="198">
        <f>SUMIFS('февраль 2023'!$G$4:$G$497,'февраль 2023'!$D$4:$D$497,$B10,'февраль 2023'!$J$4:$J$497,S$1)</f>
        <v>0</v>
      </c>
      <c r="T10" s="198">
        <f>SUMIFS('февраль 2023'!$G$4:$G$497,'февраль 2023'!$D$4:$D$497,$B10,'февраль 2023'!$J$4:$J$497,T$1)</f>
        <v>0</v>
      </c>
      <c r="U10" s="198">
        <f>SUMIFS('февраль 2023'!$G$4:$G$497,'февраль 2023'!$D$4:$D$497,$B10,'февраль 2023'!$J$4:$J$497,U$1)</f>
        <v>0</v>
      </c>
      <c r="V10" s="198">
        <f>SUMIFS('февраль 2023'!$G$4:$G$497,'февраль 2023'!$D$4:$D$497,$B10,'февраль 2023'!$J$4:$J$497,V$1)</f>
        <v>0</v>
      </c>
      <c r="W10" s="198">
        <f>SUMIFS('февраль 2023'!$G$4:$G$497,'февраль 2023'!$D$4:$D$497,$B10,'февраль 2023'!$J$4:$J$497,W$1)</f>
        <v>0</v>
      </c>
      <c r="X10" s="198">
        <f>SUMIFS('февраль 2023'!$G$4:$G$497,'февраль 2023'!$D$4:$D$497,$B10,'февраль 2023'!$J$4:$J$497,X$1)</f>
        <v>0</v>
      </c>
      <c r="Y10" s="198">
        <f>SUMIFS('февраль 2023'!$G$4:$G$497,'февраль 2023'!$D$4:$D$497,$B10,'февраль 2023'!$J$4:$J$497,Y$1)</f>
        <v>0</v>
      </c>
      <c r="Z10" s="198">
        <f>SUMIFS('февраль 2023'!$G$4:$G$497,'февраль 2023'!$D$4:$D$497,$B10,'февраль 2023'!$J$4:$J$497,Z$1)</f>
        <v>0</v>
      </c>
      <c r="AA10" s="198">
        <f>SUMIFS('февраль 2023'!$G$4:$G$497,'февраль 2023'!$D$4:$D$497,$B10,'февраль 2023'!$J$4:$J$497,AA$1)</f>
        <v>0</v>
      </c>
      <c r="AB10" s="198">
        <f>SUMIFS('февраль 2023'!$G$4:$G$497,'февраль 2023'!$D$4:$D$497,$B10,'февраль 2023'!$J$4:$J$497,AB$1)</f>
        <v>0</v>
      </c>
      <c r="AC10" s="198">
        <f>SUMIFS('февраль 2023'!$G$4:$G$497,'февраль 2023'!$D$4:$D$497,$B10,'февраль 2023'!$J$4:$J$497,AC$1)</f>
        <v>0</v>
      </c>
      <c r="AD10" s="198">
        <f>SUMIFS('февраль 2023'!$G$4:$G$497,'февраль 2023'!$D$4:$D$497,$B10,'февраль 2023'!$J$4:$J$497,AD$1)</f>
        <v>0</v>
      </c>
      <c r="AE10" s="198">
        <f>SUMIFS('февраль 2023'!$G$4:$G$497,'февраль 2023'!$D$4:$D$497,$B10,'февраль 2023'!$J$4:$J$497,AE$1)</f>
        <v>0</v>
      </c>
      <c r="AF10" s="198">
        <f>SUMIFS('февраль 2023'!$G$4:$G$497,'февраль 2023'!$D$4:$D$497,$B10,'февраль 2023'!$J$4:$J$497,AF$1)</f>
        <v>0</v>
      </c>
      <c r="AG10" s="198">
        <f>SUMIFS('февраль 2023'!$G$4:$G$497,'февраль 2023'!$D$4:$D$497,$B10,'февраль 2023'!$J$4:$J$497,AG$1)</f>
        <v>0</v>
      </c>
      <c r="AH10" s="198">
        <f>SUMIFS('февраль 2023'!$G$4:$G$497,'февраль 2023'!$D$4:$D$497,$B10,'февраль 2023'!$J$4:$J$497,AH$1)</f>
        <v>0</v>
      </c>
      <c r="AI10" s="170">
        <f t="shared" si="1"/>
        <v>0</v>
      </c>
    </row>
    <row r="11" spans="2:35" ht="15" customHeight="1" x14ac:dyDescent="0.25">
      <c r="B11" s="202" t="s">
        <v>1880</v>
      </c>
      <c r="C11" s="203">
        <v>22.7</v>
      </c>
      <c r="D11" s="198">
        <f>SUMIFS('февраль 2023'!$G$4:$G$497,'февраль 2023'!$D$4:$D$497,$B11,'февраль 2023'!$J$4:$J$497,D$1)</f>
        <v>0</v>
      </c>
      <c r="E11" s="198">
        <f>SUMIFS('февраль 2023'!$G$4:$G$497,'февраль 2023'!$D$4:$D$497,$B11,'февраль 2023'!$J$4:$J$497,E$1)</f>
        <v>0</v>
      </c>
      <c r="F11" s="198">
        <f>SUMIFS('февраль 2023'!$G$4:$G$497,'февраль 2023'!$D$4:$D$497,$B11,'февраль 2023'!$J$4:$J$497,F$1)</f>
        <v>0</v>
      </c>
      <c r="G11" s="198">
        <f>SUMIFS('февраль 2023'!$G$4:$G$497,'февраль 2023'!$D$4:$D$497,$B11,'февраль 2023'!$J$4:$J$497,G$1)</f>
        <v>0</v>
      </c>
      <c r="H11" s="198">
        <f>SUMIFS('февраль 2023'!$G$4:$G$497,'февраль 2023'!$D$4:$D$497,$B11,'февраль 2023'!$J$4:$J$497,H$1)</f>
        <v>0</v>
      </c>
      <c r="I11" s="198">
        <f>SUMIFS('февраль 2023'!$G$4:$G$497,'февраль 2023'!$D$4:$D$497,$B11,'февраль 2023'!$J$4:$J$497,I$1)</f>
        <v>0</v>
      </c>
      <c r="J11" s="198">
        <f>SUMIFS('февраль 2023'!$G$4:$G$497,'февраль 2023'!$D$4:$D$497,$B11,'февраль 2023'!$J$4:$J$497,J$1)</f>
        <v>0</v>
      </c>
      <c r="K11" s="198">
        <f>SUMIFS('февраль 2023'!$G$4:$G$497,'февраль 2023'!$D$4:$D$497,$B11,'февраль 2023'!$J$4:$J$497,K$1)</f>
        <v>0</v>
      </c>
      <c r="L11" s="198">
        <f>SUMIFS('февраль 2023'!$G$4:$G$497,'февраль 2023'!$D$4:$D$497,$B11,'февраль 2023'!$J$4:$J$497,L$1)</f>
        <v>0</v>
      </c>
      <c r="M11" s="198">
        <f>SUMIFS('февраль 2023'!$G$4:$G$497,'февраль 2023'!$D$4:$D$497,$B11,'февраль 2023'!$J$4:$J$497,M$1)</f>
        <v>0</v>
      </c>
      <c r="N11" s="198">
        <f>SUMIFS('февраль 2023'!$G$4:$G$497,'февраль 2023'!$D$4:$D$497,$B11,'февраль 2023'!$J$4:$J$497,N$1)</f>
        <v>0</v>
      </c>
      <c r="O11" s="198">
        <f>SUMIFS('февраль 2023'!$G$4:$G$497,'февраль 2023'!$D$4:$D$497,$B11,'февраль 2023'!$J$4:$J$497,O$1)</f>
        <v>0</v>
      </c>
      <c r="P11" s="198">
        <f>SUMIFS('февраль 2023'!$G$4:$G$497,'февраль 2023'!$D$4:$D$497,$B11,'февраль 2023'!$J$4:$J$497,P$1)</f>
        <v>0</v>
      </c>
      <c r="Q11" s="198">
        <f>SUMIFS('февраль 2023'!$G$4:$G$497,'февраль 2023'!$D$4:$D$497,$B11,'февраль 2023'!$J$4:$J$497,Q$1)</f>
        <v>0</v>
      </c>
      <c r="R11" s="198">
        <f>SUMIFS('февраль 2023'!$G$4:$G$497,'февраль 2023'!$D$4:$D$497,$B11,'февраль 2023'!$J$4:$J$497,R$1)</f>
        <v>1400</v>
      </c>
      <c r="S11" s="198">
        <f>SUMIFS('февраль 2023'!$G$4:$G$497,'февраль 2023'!$D$4:$D$497,$B11,'февраль 2023'!$J$4:$J$497,S$1)</f>
        <v>0</v>
      </c>
      <c r="T11" s="198">
        <f>SUMIFS('февраль 2023'!$G$4:$G$497,'февраль 2023'!$D$4:$D$497,$B11,'февраль 2023'!$J$4:$J$497,T$1)</f>
        <v>0</v>
      </c>
      <c r="U11" s="198">
        <f>SUMIFS('февраль 2023'!$G$4:$G$497,'февраль 2023'!$D$4:$D$497,$B11,'февраль 2023'!$J$4:$J$497,U$1)</f>
        <v>0</v>
      </c>
      <c r="V11" s="198">
        <f>SUMIFS('февраль 2023'!$G$4:$G$497,'февраль 2023'!$D$4:$D$497,$B11,'февраль 2023'!$J$4:$J$497,V$1)</f>
        <v>0</v>
      </c>
      <c r="W11" s="198">
        <f>SUMIFS('февраль 2023'!$G$4:$G$497,'февраль 2023'!$D$4:$D$497,$B11,'февраль 2023'!$J$4:$J$497,W$1)</f>
        <v>0</v>
      </c>
      <c r="X11" s="198">
        <f>SUMIFS('февраль 2023'!$G$4:$G$497,'февраль 2023'!$D$4:$D$497,$B11,'февраль 2023'!$J$4:$J$497,X$1)</f>
        <v>0</v>
      </c>
      <c r="Y11" s="198">
        <f>SUMIFS('февраль 2023'!$G$4:$G$497,'февраль 2023'!$D$4:$D$497,$B11,'февраль 2023'!$J$4:$J$497,Y$1)</f>
        <v>0</v>
      </c>
      <c r="Z11" s="198">
        <f>SUMIFS('февраль 2023'!$G$4:$G$497,'февраль 2023'!$D$4:$D$497,$B11,'февраль 2023'!$J$4:$J$497,Z$1)</f>
        <v>0</v>
      </c>
      <c r="AA11" s="198">
        <f>SUMIFS('февраль 2023'!$G$4:$G$497,'февраль 2023'!$D$4:$D$497,$B11,'февраль 2023'!$J$4:$J$497,AA$1)</f>
        <v>0</v>
      </c>
      <c r="AB11" s="198">
        <f>SUMIFS('февраль 2023'!$G$4:$G$497,'февраль 2023'!$D$4:$D$497,$B11,'февраль 2023'!$J$4:$J$497,AB$1)</f>
        <v>0</v>
      </c>
      <c r="AC11" s="198">
        <f>SUMIFS('февраль 2023'!$G$4:$G$497,'февраль 2023'!$D$4:$D$497,$B11,'февраль 2023'!$J$4:$J$497,AC$1)</f>
        <v>0</v>
      </c>
      <c r="AD11" s="198">
        <f>SUMIFS('февраль 2023'!$G$4:$G$497,'февраль 2023'!$D$4:$D$497,$B11,'февраль 2023'!$J$4:$J$497,AD$1)</f>
        <v>0</v>
      </c>
      <c r="AE11" s="198">
        <f>SUMIFS('февраль 2023'!$G$4:$G$497,'февраль 2023'!$D$4:$D$497,$B11,'февраль 2023'!$J$4:$J$497,AE$1)</f>
        <v>0</v>
      </c>
      <c r="AF11" s="198">
        <f>SUMIFS('февраль 2023'!$G$4:$G$497,'февраль 2023'!$D$4:$D$497,$B11,'февраль 2023'!$J$4:$J$497,AF$1)</f>
        <v>0</v>
      </c>
      <c r="AG11" s="198">
        <f>SUMIFS('февраль 2023'!$G$4:$G$497,'февраль 2023'!$D$4:$D$497,$B11,'февраль 2023'!$J$4:$J$497,AG$1)</f>
        <v>0</v>
      </c>
      <c r="AH11" s="198">
        <f>SUMIFS('февраль 2023'!$G$4:$G$497,'февраль 2023'!$D$4:$D$497,$B11,'февраль 2023'!$J$4:$J$497,AH$1)</f>
        <v>0</v>
      </c>
      <c r="AI11" s="170">
        <f t="shared" si="1"/>
        <v>1400</v>
      </c>
    </row>
    <row r="12" spans="2:35" ht="15" customHeight="1" x14ac:dyDescent="0.25">
      <c r="B12" s="202" t="s">
        <v>86</v>
      </c>
      <c r="C12" s="203">
        <v>22.7</v>
      </c>
      <c r="D12" s="198">
        <f>SUMIFS('февраль 2023'!$G$4:$G$497,'февраль 2023'!$D$4:$D$497,$B12,'февраль 2023'!$J$4:$J$497,D$1)</f>
        <v>0</v>
      </c>
      <c r="E12" s="198">
        <f>SUMIFS('февраль 2023'!$G$4:$G$497,'февраль 2023'!$D$4:$D$497,$B12,'февраль 2023'!$J$4:$J$497,E$1)</f>
        <v>0</v>
      </c>
      <c r="F12" s="198">
        <f>SUMIFS('февраль 2023'!$G$4:$G$497,'февраль 2023'!$D$4:$D$497,$B12,'февраль 2023'!$J$4:$J$497,F$1)</f>
        <v>800</v>
      </c>
      <c r="G12" s="198">
        <f>SUMIFS('февраль 2023'!$G$4:$G$497,'февраль 2023'!$D$4:$D$497,$B12,'февраль 2023'!$J$4:$J$497,G$1)</f>
        <v>0</v>
      </c>
      <c r="H12" s="198">
        <f>SUMIFS('февраль 2023'!$G$4:$G$497,'февраль 2023'!$D$4:$D$497,$B12,'февраль 2023'!$J$4:$J$497,H$1)</f>
        <v>0</v>
      </c>
      <c r="I12" s="198">
        <f>SUMIFS('февраль 2023'!$G$4:$G$497,'февраль 2023'!$D$4:$D$497,$B12,'февраль 2023'!$J$4:$J$497,I$1)</f>
        <v>800</v>
      </c>
      <c r="J12" s="198">
        <f>SUMIFS('февраль 2023'!$G$4:$G$497,'февраль 2023'!$D$4:$D$497,$B12,'февраль 2023'!$J$4:$J$497,J$1)</f>
        <v>0</v>
      </c>
      <c r="K12" s="198">
        <f>SUMIFS('февраль 2023'!$G$4:$G$497,'февраль 2023'!$D$4:$D$497,$B12,'февраль 2023'!$J$4:$J$497,K$1)</f>
        <v>0</v>
      </c>
      <c r="L12" s="198">
        <f>SUMIFS('февраль 2023'!$G$4:$G$497,'февраль 2023'!$D$4:$D$497,$B12,'февраль 2023'!$J$4:$J$497,L$1)</f>
        <v>1456</v>
      </c>
      <c r="M12" s="198">
        <f>SUMIFS('февраль 2023'!$G$4:$G$497,'февраль 2023'!$D$4:$D$497,$B12,'февраль 2023'!$J$4:$J$497,M$1)</f>
        <v>0</v>
      </c>
      <c r="N12" s="198">
        <f>SUMIFS('февраль 2023'!$G$4:$G$497,'февраль 2023'!$D$4:$D$497,$B12,'февраль 2023'!$J$4:$J$497,N$1)</f>
        <v>0</v>
      </c>
      <c r="O12" s="198">
        <f>SUMIFS('февраль 2023'!$G$4:$G$497,'февраль 2023'!$D$4:$D$497,$B12,'февраль 2023'!$J$4:$J$497,O$1)</f>
        <v>0</v>
      </c>
      <c r="P12" s="198">
        <f>SUMIFS('февраль 2023'!$G$4:$G$497,'февраль 2023'!$D$4:$D$497,$B12,'февраль 2023'!$J$4:$J$497,P$1)</f>
        <v>0</v>
      </c>
      <c r="Q12" s="198">
        <f>SUMIFS('февраль 2023'!$G$4:$G$497,'февраль 2023'!$D$4:$D$497,$B12,'февраль 2023'!$J$4:$J$497,Q$1)</f>
        <v>800</v>
      </c>
      <c r="R12" s="198">
        <f>SUMIFS('февраль 2023'!$G$4:$G$497,'февраль 2023'!$D$4:$D$497,$B12,'февраль 2023'!$J$4:$J$497,R$1)</f>
        <v>800</v>
      </c>
      <c r="S12" s="198">
        <f>SUMIFS('февраль 2023'!$G$4:$G$497,'февраль 2023'!$D$4:$D$497,$B12,'февраль 2023'!$J$4:$J$497,S$1)</f>
        <v>0</v>
      </c>
      <c r="T12" s="198">
        <f>SUMIFS('февраль 2023'!$G$4:$G$497,'февраль 2023'!$D$4:$D$497,$B12,'февраль 2023'!$J$4:$J$497,T$1)</f>
        <v>0</v>
      </c>
      <c r="U12" s="198">
        <f>SUMIFS('февраль 2023'!$G$4:$G$497,'февраль 2023'!$D$4:$D$497,$B12,'февраль 2023'!$J$4:$J$497,U$1)</f>
        <v>0</v>
      </c>
      <c r="V12" s="198">
        <f>SUMIFS('февраль 2023'!$G$4:$G$497,'февраль 2023'!$D$4:$D$497,$B12,'февраль 2023'!$J$4:$J$497,V$1)</f>
        <v>0</v>
      </c>
      <c r="W12" s="198">
        <f>SUMIFS('февраль 2023'!$G$4:$G$497,'февраль 2023'!$D$4:$D$497,$B12,'февраль 2023'!$J$4:$J$497,W$1)</f>
        <v>0</v>
      </c>
      <c r="X12" s="198">
        <f>SUMIFS('февраль 2023'!$G$4:$G$497,'февраль 2023'!$D$4:$D$497,$B12,'февраль 2023'!$J$4:$J$497,X$1)</f>
        <v>800</v>
      </c>
      <c r="Y12" s="198">
        <f>SUMIFS('февраль 2023'!$G$4:$G$497,'февраль 2023'!$D$4:$D$497,$B12,'февраль 2023'!$J$4:$J$497,Y$1)</f>
        <v>800</v>
      </c>
      <c r="Z12" s="198">
        <f>SUMIFS('февраль 2023'!$G$4:$G$497,'февраль 2023'!$D$4:$D$497,$B12,'февраль 2023'!$J$4:$J$497,Z$1)</f>
        <v>0</v>
      </c>
      <c r="AA12" s="198">
        <f>SUMIFS('февраль 2023'!$G$4:$G$497,'февраль 2023'!$D$4:$D$497,$B12,'февраль 2023'!$J$4:$J$497,AA$1)</f>
        <v>0</v>
      </c>
      <c r="AB12" s="198">
        <f>SUMIFS('февраль 2023'!$G$4:$G$497,'февраль 2023'!$D$4:$D$497,$B12,'февраль 2023'!$J$4:$J$497,AB$1)</f>
        <v>0</v>
      </c>
      <c r="AC12" s="198">
        <f>SUMIFS('февраль 2023'!$G$4:$G$497,'февраль 2023'!$D$4:$D$497,$B12,'февраль 2023'!$J$4:$J$497,AC$1)</f>
        <v>0</v>
      </c>
      <c r="AD12" s="198">
        <f>SUMIFS('февраль 2023'!$G$4:$G$497,'февраль 2023'!$D$4:$D$497,$B12,'февраль 2023'!$J$4:$J$497,AD$1)</f>
        <v>0</v>
      </c>
      <c r="AE12" s="198">
        <f>SUMIFS('февраль 2023'!$G$4:$G$497,'февраль 2023'!$D$4:$D$497,$B12,'февраль 2023'!$J$4:$J$497,AE$1)</f>
        <v>0</v>
      </c>
      <c r="AF12" s="198">
        <f>SUMIFS('февраль 2023'!$G$4:$G$497,'февраль 2023'!$D$4:$D$497,$B12,'февраль 2023'!$J$4:$J$497,AF$1)</f>
        <v>0</v>
      </c>
      <c r="AG12" s="198">
        <f>SUMIFS('февраль 2023'!$G$4:$G$497,'февраль 2023'!$D$4:$D$497,$B12,'февраль 2023'!$J$4:$J$497,AG$1)</f>
        <v>0</v>
      </c>
      <c r="AH12" s="198">
        <f>SUMIFS('февраль 2023'!$G$4:$G$497,'февраль 2023'!$D$4:$D$497,$B12,'февраль 2023'!$J$4:$J$497,AH$1)</f>
        <v>0</v>
      </c>
      <c r="AI12" s="170">
        <f t="shared" si="1"/>
        <v>6256</v>
      </c>
    </row>
    <row r="13" spans="2:35" ht="15" customHeight="1" x14ac:dyDescent="0.25">
      <c r="B13" s="199" t="s">
        <v>2103</v>
      </c>
      <c r="C13" s="200">
        <v>25</v>
      </c>
      <c r="D13" s="198">
        <f>SUMIFS('февраль 2023'!$G$4:$G$497,'февраль 2023'!$D$4:$D$497,$B13,'февраль 2023'!$J$4:$J$497,D$1)</f>
        <v>0</v>
      </c>
      <c r="E13" s="198">
        <f>SUMIFS('февраль 2023'!$G$4:$G$497,'февраль 2023'!$D$4:$D$497,$B13,'февраль 2023'!$J$4:$J$497,E$1)</f>
        <v>0</v>
      </c>
      <c r="F13" s="198">
        <f>SUMIFS('февраль 2023'!$G$4:$G$497,'февраль 2023'!$D$4:$D$497,$B13,'февраль 2023'!$J$4:$J$497,F$1)</f>
        <v>0</v>
      </c>
      <c r="G13" s="198">
        <f>SUMIFS('февраль 2023'!$G$4:$G$497,'февраль 2023'!$D$4:$D$497,$B13,'февраль 2023'!$J$4:$J$497,G$1)</f>
        <v>0</v>
      </c>
      <c r="H13" s="198">
        <f>SUMIFS('февраль 2023'!$G$4:$G$497,'февраль 2023'!$D$4:$D$497,$B13,'февраль 2023'!$J$4:$J$497,H$1)</f>
        <v>0</v>
      </c>
      <c r="I13" s="198">
        <f>SUMIFS('февраль 2023'!$G$4:$G$497,'февраль 2023'!$D$4:$D$497,$B13,'февраль 2023'!$J$4:$J$497,I$1)</f>
        <v>0</v>
      </c>
      <c r="J13" s="198">
        <f>SUMIFS('февраль 2023'!$G$4:$G$497,'февраль 2023'!$D$4:$D$497,$B13,'февраль 2023'!$J$4:$J$497,J$1)</f>
        <v>0</v>
      </c>
      <c r="K13" s="198">
        <f>SUMIFS('февраль 2023'!$G$4:$G$497,'февраль 2023'!$D$4:$D$497,$B13,'февраль 2023'!$J$4:$J$497,K$1)</f>
        <v>0</v>
      </c>
      <c r="L13" s="198">
        <f>SUMIFS('февраль 2023'!$G$4:$G$497,'февраль 2023'!$D$4:$D$497,$B13,'февраль 2023'!$J$4:$J$497,L$1)</f>
        <v>0</v>
      </c>
      <c r="M13" s="198">
        <f>SUMIFS('февраль 2023'!$G$4:$G$497,'февраль 2023'!$D$4:$D$497,$B13,'февраль 2023'!$J$4:$J$497,M$1)</f>
        <v>0</v>
      </c>
      <c r="N13" s="198">
        <f>SUMIFS('февраль 2023'!$G$4:$G$497,'февраль 2023'!$D$4:$D$497,$B13,'февраль 2023'!$J$4:$J$497,N$1)</f>
        <v>0</v>
      </c>
      <c r="O13" s="198">
        <f>SUMIFS('февраль 2023'!$G$4:$G$497,'февраль 2023'!$D$4:$D$497,$B13,'февраль 2023'!$J$4:$J$497,O$1)</f>
        <v>0</v>
      </c>
      <c r="P13" s="198">
        <f>SUMIFS('февраль 2023'!$G$4:$G$497,'февраль 2023'!$D$4:$D$497,$B13,'февраль 2023'!$J$4:$J$497,P$1)</f>
        <v>0</v>
      </c>
      <c r="Q13" s="198">
        <f>SUMIFS('февраль 2023'!$G$4:$G$497,'февраль 2023'!$D$4:$D$497,$B13,'февраль 2023'!$J$4:$J$497,Q$1)</f>
        <v>0</v>
      </c>
      <c r="R13" s="198">
        <f>SUMIFS('февраль 2023'!$G$4:$G$497,'февраль 2023'!$D$4:$D$497,$B13,'февраль 2023'!$J$4:$J$497,R$1)</f>
        <v>0</v>
      </c>
      <c r="S13" s="198">
        <f>SUMIFS('февраль 2023'!$G$4:$G$497,'февраль 2023'!$D$4:$D$497,$B13,'февраль 2023'!$J$4:$J$497,S$1)</f>
        <v>0</v>
      </c>
      <c r="T13" s="198">
        <f>SUMIFS('февраль 2023'!$G$4:$G$497,'февраль 2023'!$D$4:$D$497,$B13,'февраль 2023'!$J$4:$J$497,T$1)</f>
        <v>0</v>
      </c>
      <c r="U13" s="198">
        <f>SUMIFS('февраль 2023'!$G$4:$G$497,'февраль 2023'!$D$4:$D$497,$B13,'февраль 2023'!$J$4:$J$497,U$1)</f>
        <v>0</v>
      </c>
      <c r="V13" s="198">
        <f>SUMIFS('февраль 2023'!$G$4:$G$497,'февраль 2023'!$D$4:$D$497,$B13,'февраль 2023'!$J$4:$J$497,V$1)</f>
        <v>0</v>
      </c>
      <c r="W13" s="198">
        <f>SUMIFS('февраль 2023'!$G$4:$G$497,'февраль 2023'!$D$4:$D$497,$B13,'февраль 2023'!$J$4:$J$497,W$1)</f>
        <v>0</v>
      </c>
      <c r="X13" s="198">
        <f>SUMIFS('февраль 2023'!$G$4:$G$497,'февраль 2023'!$D$4:$D$497,$B13,'февраль 2023'!$J$4:$J$497,X$1)</f>
        <v>0</v>
      </c>
      <c r="Y13" s="198">
        <f>SUMIFS('февраль 2023'!$G$4:$G$497,'февраль 2023'!$D$4:$D$497,$B13,'февраль 2023'!$J$4:$J$497,Y$1)</f>
        <v>0</v>
      </c>
      <c r="Z13" s="198">
        <f>SUMIFS('февраль 2023'!$G$4:$G$497,'февраль 2023'!$D$4:$D$497,$B13,'февраль 2023'!$J$4:$J$497,Z$1)</f>
        <v>0</v>
      </c>
      <c r="AA13" s="198">
        <f>SUMIFS('февраль 2023'!$G$4:$G$497,'февраль 2023'!$D$4:$D$497,$B13,'февраль 2023'!$J$4:$J$497,AA$1)</f>
        <v>0</v>
      </c>
      <c r="AB13" s="198">
        <f>SUMIFS('февраль 2023'!$G$4:$G$497,'февраль 2023'!$D$4:$D$497,$B13,'февраль 2023'!$J$4:$J$497,AB$1)</f>
        <v>0</v>
      </c>
      <c r="AC13" s="198">
        <f>SUMIFS('февраль 2023'!$G$4:$G$497,'февраль 2023'!$D$4:$D$497,$B13,'февраль 2023'!$J$4:$J$497,AC$1)</f>
        <v>0</v>
      </c>
      <c r="AD13" s="198">
        <f>SUMIFS('февраль 2023'!$G$4:$G$497,'февраль 2023'!$D$4:$D$497,$B13,'февраль 2023'!$J$4:$J$497,AD$1)</f>
        <v>0</v>
      </c>
      <c r="AE13" s="198">
        <f>SUMIFS('февраль 2023'!$G$4:$G$497,'февраль 2023'!$D$4:$D$497,$B13,'февраль 2023'!$J$4:$J$497,AE$1)</f>
        <v>0</v>
      </c>
      <c r="AF13" s="198">
        <f>SUMIFS('февраль 2023'!$G$4:$G$497,'февраль 2023'!$D$4:$D$497,$B13,'февраль 2023'!$J$4:$J$497,AF$1)</f>
        <v>0</v>
      </c>
      <c r="AG13" s="198">
        <f>SUMIFS('февраль 2023'!$G$4:$G$497,'февраль 2023'!$D$4:$D$497,$B13,'февраль 2023'!$J$4:$J$497,AG$1)</f>
        <v>0</v>
      </c>
      <c r="AH13" s="198">
        <f>SUMIFS('февраль 2023'!$G$4:$G$497,'февраль 2023'!$D$4:$D$497,$B13,'февраль 2023'!$J$4:$J$497,AH$1)</f>
        <v>0</v>
      </c>
      <c r="AI13" s="170">
        <f t="shared" si="1"/>
        <v>0</v>
      </c>
    </row>
    <row r="14" spans="2:35" ht="15" customHeight="1" x14ac:dyDescent="0.25">
      <c r="B14" s="202" t="s">
        <v>1985</v>
      </c>
      <c r="C14" s="203">
        <v>25</v>
      </c>
      <c r="D14" s="198">
        <f>SUMIFS('февраль 2023'!$G$4:$G$497,'февраль 2023'!$D$4:$D$497,$B14,'февраль 2023'!$J$4:$J$497,D$1)</f>
        <v>0</v>
      </c>
      <c r="E14" s="198">
        <f>SUMIFS('февраль 2023'!$G$4:$G$497,'февраль 2023'!$D$4:$D$497,$B14,'февраль 2023'!$J$4:$J$497,E$1)</f>
        <v>0</v>
      </c>
      <c r="F14" s="198">
        <f>SUMIFS('февраль 2023'!$G$4:$G$497,'февраль 2023'!$D$4:$D$497,$B14,'февраль 2023'!$J$4:$J$497,F$1)</f>
        <v>0</v>
      </c>
      <c r="G14" s="198">
        <f>SUMIFS('февраль 2023'!$G$4:$G$497,'февраль 2023'!$D$4:$D$497,$B14,'февраль 2023'!$J$4:$J$497,G$1)</f>
        <v>0</v>
      </c>
      <c r="H14" s="198">
        <f>SUMIFS('февраль 2023'!$G$4:$G$497,'февраль 2023'!$D$4:$D$497,$B14,'февраль 2023'!$J$4:$J$497,H$1)</f>
        <v>0</v>
      </c>
      <c r="I14" s="198">
        <f>SUMIFS('февраль 2023'!$G$4:$G$497,'февраль 2023'!$D$4:$D$497,$B14,'февраль 2023'!$J$4:$J$497,I$1)</f>
        <v>0</v>
      </c>
      <c r="J14" s="198">
        <f>SUMIFS('февраль 2023'!$G$4:$G$497,'февраль 2023'!$D$4:$D$497,$B14,'февраль 2023'!$J$4:$J$497,J$1)</f>
        <v>0</v>
      </c>
      <c r="K14" s="198">
        <f>SUMIFS('февраль 2023'!$G$4:$G$497,'февраль 2023'!$D$4:$D$497,$B14,'февраль 2023'!$J$4:$J$497,K$1)</f>
        <v>0</v>
      </c>
      <c r="L14" s="198">
        <f>SUMIFS('февраль 2023'!$G$4:$G$497,'февраль 2023'!$D$4:$D$497,$B14,'февраль 2023'!$J$4:$J$497,L$1)</f>
        <v>0</v>
      </c>
      <c r="M14" s="198">
        <f>SUMIFS('февраль 2023'!$G$4:$G$497,'февраль 2023'!$D$4:$D$497,$B14,'февраль 2023'!$J$4:$J$497,M$1)</f>
        <v>0</v>
      </c>
      <c r="N14" s="198">
        <f>SUMIFS('февраль 2023'!$G$4:$G$497,'февраль 2023'!$D$4:$D$497,$B14,'февраль 2023'!$J$4:$J$497,N$1)</f>
        <v>0</v>
      </c>
      <c r="O14" s="198">
        <f>SUMIFS('февраль 2023'!$G$4:$G$497,'февраль 2023'!$D$4:$D$497,$B14,'февраль 2023'!$J$4:$J$497,O$1)</f>
        <v>0</v>
      </c>
      <c r="P14" s="198">
        <f>SUMIFS('февраль 2023'!$G$4:$G$497,'февраль 2023'!$D$4:$D$497,$B14,'февраль 2023'!$J$4:$J$497,P$1)</f>
        <v>0</v>
      </c>
      <c r="Q14" s="198">
        <f>SUMIFS('февраль 2023'!$G$4:$G$497,'февраль 2023'!$D$4:$D$497,$B14,'февраль 2023'!$J$4:$J$497,Q$1)</f>
        <v>0</v>
      </c>
      <c r="R14" s="198">
        <f>SUMIFS('февраль 2023'!$G$4:$G$497,'февраль 2023'!$D$4:$D$497,$B14,'февраль 2023'!$J$4:$J$497,R$1)</f>
        <v>0</v>
      </c>
      <c r="S14" s="198">
        <f>SUMIFS('февраль 2023'!$G$4:$G$497,'февраль 2023'!$D$4:$D$497,$B14,'февраль 2023'!$J$4:$J$497,S$1)</f>
        <v>0</v>
      </c>
      <c r="T14" s="198">
        <f>SUMIFS('февраль 2023'!$G$4:$G$497,'февраль 2023'!$D$4:$D$497,$B14,'февраль 2023'!$J$4:$J$497,T$1)</f>
        <v>0</v>
      </c>
      <c r="U14" s="198">
        <f>SUMIFS('февраль 2023'!$G$4:$G$497,'февраль 2023'!$D$4:$D$497,$B14,'февраль 2023'!$J$4:$J$497,U$1)</f>
        <v>0</v>
      </c>
      <c r="V14" s="198">
        <f>SUMIFS('февраль 2023'!$G$4:$G$497,'февраль 2023'!$D$4:$D$497,$B14,'февраль 2023'!$J$4:$J$497,V$1)</f>
        <v>0</v>
      </c>
      <c r="W14" s="198">
        <f>SUMIFS('февраль 2023'!$G$4:$G$497,'февраль 2023'!$D$4:$D$497,$B14,'февраль 2023'!$J$4:$J$497,W$1)</f>
        <v>0</v>
      </c>
      <c r="X14" s="198">
        <f>SUMIFS('февраль 2023'!$G$4:$G$497,'февраль 2023'!$D$4:$D$497,$B14,'февраль 2023'!$J$4:$J$497,X$1)</f>
        <v>0</v>
      </c>
      <c r="Y14" s="198">
        <f>SUMIFS('февраль 2023'!$G$4:$G$497,'февраль 2023'!$D$4:$D$497,$B14,'февраль 2023'!$J$4:$J$497,Y$1)</f>
        <v>0</v>
      </c>
      <c r="Z14" s="198">
        <f>SUMIFS('февраль 2023'!$G$4:$G$497,'февраль 2023'!$D$4:$D$497,$B14,'февраль 2023'!$J$4:$J$497,Z$1)</f>
        <v>0</v>
      </c>
      <c r="AA14" s="198">
        <f>SUMIFS('февраль 2023'!$G$4:$G$497,'февраль 2023'!$D$4:$D$497,$B14,'февраль 2023'!$J$4:$J$497,AA$1)</f>
        <v>0</v>
      </c>
      <c r="AB14" s="198">
        <f>SUMIFS('февраль 2023'!$G$4:$G$497,'февраль 2023'!$D$4:$D$497,$B14,'февраль 2023'!$J$4:$J$497,AB$1)</f>
        <v>0</v>
      </c>
      <c r="AC14" s="198">
        <f>SUMIFS('февраль 2023'!$G$4:$G$497,'февраль 2023'!$D$4:$D$497,$B14,'февраль 2023'!$J$4:$J$497,AC$1)</f>
        <v>0</v>
      </c>
      <c r="AD14" s="198">
        <f>SUMIFS('февраль 2023'!$G$4:$G$497,'февраль 2023'!$D$4:$D$497,$B14,'февраль 2023'!$J$4:$J$497,AD$1)</f>
        <v>0</v>
      </c>
      <c r="AE14" s="198">
        <f>SUMIFS('февраль 2023'!$G$4:$G$497,'февраль 2023'!$D$4:$D$497,$B14,'февраль 2023'!$J$4:$J$497,AE$1)</f>
        <v>0</v>
      </c>
      <c r="AF14" s="198">
        <f>SUMIFS('февраль 2023'!$G$4:$G$497,'февраль 2023'!$D$4:$D$497,$B14,'февраль 2023'!$J$4:$J$497,AF$1)</f>
        <v>0</v>
      </c>
      <c r="AG14" s="198">
        <f>SUMIFS('февраль 2023'!$G$4:$G$497,'февраль 2023'!$D$4:$D$497,$B14,'февраль 2023'!$J$4:$J$497,AG$1)</f>
        <v>0</v>
      </c>
      <c r="AH14" s="198">
        <f>SUMIFS('февраль 2023'!$G$4:$G$497,'февраль 2023'!$D$4:$D$497,$B14,'февраль 2023'!$J$4:$J$497,AH$1)</f>
        <v>0</v>
      </c>
      <c r="AI14" s="170">
        <f t="shared" si="1"/>
        <v>0</v>
      </c>
    </row>
    <row r="15" spans="2:35" ht="15" customHeight="1" x14ac:dyDescent="0.25">
      <c r="B15" s="202" t="s">
        <v>2104</v>
      </c>
      <c r="C15" s="203">
        <v>25</v>
      </c>
      <c r="D15" s="198">
        <f>SUMIFS('февраль 2023'!$G$4:$G$497,'февраль 2023'!$D$4:$D$497,$B15,'февраль 2023'!$J$4:$J$497,D$1)</f>
        <v>0</v>
      </c>
      <c r="E15" s="198">
        <f>SUMIFS('февраль 2023'!$G$4:$G$497,'февраль 2023'!$D$4:$D$497,$B15,'февраль 2023'!$J$4:$J$497,E$1)</f>
        <v>0</v>
      </c>
      <c r="F15" s="198">
        <f>SUMIFS('февраль 2023'!$G$4:$G$497,'февраль 2023'!$D$4:$D$497,$B15,'февраль 2023'!$J$4:$J$497,F$1)</f>
        <v>0</v>
      </c>
      <c r="G15" s="198">
        <f>SUMIFS('февраль 2023'!$G$4:$G$497,'февраль 2023'!$D$4:$D$497,$B15,'февраль 2023'!$J$4:$J$497,G$1)</f>
        <v>0</v>
      </c>
      <c r="H15" s="198">
        <f>SUMIFS('февраль 2023'!$G$4:$G$497,'февраль 2023'!$D$4:$D$497,$B15,'февраль 2023'!$J$4:$J$497,H$1)</f>
        <v>0</v>
      </c>
      <c r="I15" s="198">
        <f>SUMIFS('февраль 2023'!$G$4:$G$497,'февраль 2023'!$D$4:$D$497,$B15,'февраль 2023'!$J$4:$J$497,I$1)</f>
        <v>0</v>
      </c>
      <c r="J15" s="198">
        <f>SUMIFS('февраль 2023'!$G$4:$G$497,'февраль 2023'!$D$4:$D$497,$B15,'февраль 2023'!$J$4:$J$497,J$1)</f>
        <v>0</v>
      </c>
      <c r="K15" s="198">
        <f>SUMIFS('февраль 2023'!$G$4:$G$497,'февраль 2023'!$D$4:$D$497,$B15,'февраль 2023'!$J$4:$J$497,K$1)</f>
        <v>0</v>
      </c>
      <c r="L15" s="198">
        <f>SUMIFS('февраль 2023'!$G$4:$G$497,'февраль 2023'!$D$4:$D$497,$B15,'февраль 2023'!$J$4:$J$497,L$1)</f>
        <v>0</v>
      </c>
      <c r="M15" s="198">
        <f>SUMIFS('февраль 2023'!$G$4:$G$497,'февраль 2023'!$D$4:$D$497,$B15,'февраль 2023'!$J$4:$J$497,M$1)</f>
        <v>0</v>
      </c>
      <c r="N15" s="198">
        <f>SUMIFS('февраль 2023'!$G$4:$G$497,'февраль 2023'!$D$4:$D$497,$B15,'февраль 2023'!$J$4:$J$497,N$1)</f>
        <v>0</v>
      </c>
      <c r="O15" s="198">
        <f>SUMIFS('февраль 2023'!$G$4:$G$497,'февраль 2023'!$D$4:$D$497,$B15,'февраль 2023'!$J$4:$J$497,O$1)</f>
        <v>0</v>
      </c>
      <c r="P15" s="198">
        <f>SUMIFS('февраль 2023'!$G$4:$G$497,'февраль 2023'!$D$4:$D$497,$B15,'февраль 2023'!$J$4:$J$497,P$1)</f>
        <v>0</v>
      </c>
      <c r="Q15" s="198">
        <f>SUMIFS('февраль 2023'!$G$4:$G$497,'февраль 2023'!$D$4:$D$497,$B15,'февраль 2023'!$J$4:$J$497,Q$1)</f>
        <v>0</v>
      </c>
      <c r="R15" s="198">
        <f>SUMIFS('февраль 2023'!$G$4:$G$497,'февраль 2023'!$D$4:$D$497,$B15,'февраль 2023'!$J$4:$J$497,R$1)</f>
        <v>0</v>
      </c>
      <c r="S15" s="198">
        <f>SUMIFS('февраль 2023'!$G$4:$G$497,'февраль 2023'!$D$4:$D$497,$B15,'февраль 2023'!$J$4:$J$497,S$1)</f>
        <v>0</v>
      </c>
      <c r="T15" s="198">
        <f>SUMIFS('февраль 2023'!$G$4:$G$497,'февраль 2023'!$D$4:$D$497,$B15,'февраль 2023'!$J$4:$J$497,T$1)</f>
        <v>0</v>
      </c>
      <c r="U15" s="198">
        <f>SUMIFS('февраль 2023'!$G$4:$G$497,'февраль 2023'!$D$4:$D$497,$B15,'февраль 2023'!$J$4:$J$497,U$1)</f>
        <v>0</v>
      </c>
      <c r="V15" s="198">
        <f>SUMIFS('февраль 2023'!$G$4:$G$497,'февраль 2023'!$D$4:$D$497,$B15,'февраль 2023'!$J$4:$J$497,V$1)</f>
        <v>0</v>
      </c>
      <c r="W15" s="198">
        <f>SUMIFS('февраль 2023'!$G$4:$G$497,'февраль 2023'!$D$4:$D$497,$B15,'февраль 2023'!$J$4:$J$497,W$1)</f>
        <v>0</v>
      </c>
      <c r="X15" s="198">
        <f>SUMIFS('февраль 2023'!$G$4:$G$497,'февраль 2023'!$D$4:$D$497,$B15,'февраль 2023'!$J$4:$J$497,X$1)</f>
        <v>0</v>
      </c>
      <c r="Y15" s="198">
        <f>SUMIFS('февраль 2023'!$G$4:$G$497,'февраль 2023'!$D$4:$D$497,$B15,'февраль 2023'!$J$4:$J$497,Y$1)</f>
        <v>0</v>
      </c>
      <c r="Z15" s="198">
        <f>SUMIFS('февраль 2023'!$G$4:$G$497,'февраль 2023'!$D$4:$D$497,$B15,'февраль 2023'!$J$4:$J$497,Z$1)</f>
        <v>0</v>
      </c>
      <c r="AA15" s="198">
        <f>SUMIFS('февраль 2023'!$G$4:$G$497,'февраль 2023'!$D$4:$D$497,$B15,'февраль 2023'!$J$4:$J$497,AA$1)</f>
        <v>0</v>
      </c>
      <c r="AB15" s="198">
        <f>SUMIFS('февраль 2023'!$G$4:$G$497,'февраль 2023'!$D$4:$D$497,$B15,'февраль 2023'!$J$4:$J$497,AB$1)</f>
        <v>0</v>
      </c>
      <c r="AC15" s="198">
        <f>SUMIFS('февраль 2023'!$G$4:$G$497,'февраль 2023'!$D$4:$D$497,$B15,'февраль 2023'!$J$4:$J$497,AC$1)</f>
        <v>0</v>
      </c>
      <c r="AD15" s="198">
        <f>SUMIFS('февраль 2023'!$G$4:$G$497,'февраль 2023'!$D$4:$D$497,$B15,'февраль 2023'!$J$4:$J$497,AD$1)</f>
        <v>0</v>
      </c>
      <c r="AE15" s="198">
        <f>SUMIFS('февраль 2023'!$G$4:$G$497,'февраль 2023'!$D$4:$D$497,$B15,'февраль 2023'!$J$4:$J$497,AE$1)</f>
        <v>0</v>
      </c>
      <c r="AF15" s="198">
        <f>SUMIFS('февраль 2023'!$G$4:$G$497,'февраль 2023'!$D$4:$D$497,$B15,'февраль 2023'!$J$4:$J$497,AF$1)</f>
        <v>0</v>
      </c>
      <c r="AG15" s="198">
        <f>SUMIFS('февраль 2023'!$G$4:$G$497,'февраль 2023'!$D$4:$D$497,$B15,'февраль 2023'!$J$4:$J$497,AG$1)</f>
        <v>0</v>
      </c>
      <c r="AH15" s="198">
        <f>SUMIFS('февраль 2023'!$G$4:$G$497,'февраль 2023'!$D$4:$D$497,$B15,'февраль 2023'!$J$4:$J$497,AH$1)</f>
        <v>0</v>
      </c>
      <c r="AI15" s="170">
        <f t="shared" si="1"/>
        <v>0</v>
      </c>
    </row>
    <row r="16" spans="2:35" ht="15" customHeight="1" x14ac:dyDescent="0.25">
      <c r="B16" s="199" t="s">
        <v>571</v>
      </c>
      <c r="C16" s="200">
        <v>25</v>
      </c>
      <c r="D16" s="198">
        <f>SUMIFS('февраль 2023'!$G$4:$G$497,'февраль 2023'!$D$4:$D$497,$B16,'февраль 2023'!$J$4:$J$497,D$1)</f>
        <v>0</v>
      </c>
      <c r="E16" s="198">
        <f>SUMIFS('февраль 2023'!$G$4:$G$497,'февраль 2023'!$D$4:$D$497,$B16,'февраль 2023'!$J$4:$J$497,E$1)</f>
        <v>0</v>
      </c>
      <c r="F16" s="198">
        <f>SUMIFS('февраль 2023'!$G$4:$G$497,'февраль 2023'!$D$4:$D$497,$B16,'февраль 2023'!$J$4:$J$497,F$1)</f>
        <v>0</v>
      </c>
      <c r="G16" s="198">
        <f>SUMIFS('февраль 2023'!$G$4:$G$497,'февраль 2023'!$D$4:$D$497,$B16,'февраль 2023'!$J$4:$J$497,G$1)</f>
        <v>0</v>
      </c>
      <c r="H16" s="198">
        <f>SUMIFS('февраль 2023'!$G$4:$G$497,'февраль 2023'!$D$4:$D$497,$B16,'февраль 2023'!$J$4:$J$497,H$1)</f>
        <v>0</v>
      </c>
      <c r="I16" s="198">
        <f>SUMIFS('февраль 2023'!$G$4:$G$497,'февраль 2023'!$D$4:$D$497,$B16,'февраль 2023'!$J$4:$J$497,I$1)</f>
        <v>0</v>
      </c>
      <c r="J16" s="198">
        <f>SUMIFS('февраль 2023'!$G$4:$G$497,'февраль 2023'!$D$4:$D$497,$B16,'февраль 2023'!$J$4:$J$497,J$1)</f>
        <v>0</v>
      </c>
      <c r="K16" s="198">
        <f>SUMIFS('февраль 2023'!$G$4:$G$497,'февраль 2023'!$D$4:$D$497,$B16,'февраль 2023'!$J$4:$J$497,K$1)</f>
        <v>0</v>
      </c>
      <c r="L16" s="198">
        <f>SUMIFS('февраль 2023'!$G$4:$G$497,'февраль 2023'!$D$4:$D$497,$B16,'февраль 2023'!$J$4:$J$497,L$1)</f>
        <v>0</v>
      </c>
      <c r="M16" s="198">
        <f>SUMIFS('февраль 2023'!$G$4:$G$497,'февраль 2023'!$D$4:$D$497,$B16,'февраль 2023'!$J$4:$J$497,M$1)</f>
        <v>0</v>
      </c>
      <c r="N16" s="198">
        <f>SUMIFS('февраль 2023'!$G$4:$G$497,'февраль 2023'!$D$4:$D$497,$B16,'февраль 2023'!$J$4:$J$497,N$1)</f>
        <v>0</v>
      </c>
      <c r="O16" s="198">
        <f>SUMIFS('февраль 2023'!$G$4:$G$497,'февраль 2023'!$D$4:$D$497,$B16,'февраль 2023'!$J$4:$J$497,O$1)</f>
        <v>0</v>
      </c>
      <c r="P16" s="198">
        <f>SUMIFS('февраль 2023'!$G$4:$G$497,'февраль 2023'!$D$4:$D$497,$B16,'февраль 2023'!$J$4:$J$497,P$1)</f>
        <v>0</v>
      </c>
      <c r="Q16" s="198">
        <f>SUMIFS('февраль 2023'!$G$4:$G$497,'февраль 2023'!$D$4:$D$497,$B16,'февраль 2023'!$J$4:$J$497,Q$1)</f>
        <v>0</v>
      </c>
      <c r="R16" s="198">
        <f>SUMIFS('февраль 2023'!$G$4:$G$497,'февраль 2023'!$D$4:$D$497,$B16,'февраль 2023'!$J$4:$J$497,R$1)</f>
        <v>0</v>
      </c>
      <c r="S16" s="198">
        <f>SUMIFS('февраль 2023'!$G$4:$G$497,'февраль 2023'!$D$4:$D$497,$B16,'февраль 2023'!$J$4:$J$497,S$1)</f>
        <v>0</v>
      </c>
      <c r="T16" s="198">
        <f>SUMIFS('февраль 2023'!$G$4:$G$497,'февраль 2023'!$D$4:$D$497,$B16,'февраль 2023'!$J$4:$J$497,T$1)</f>
        <v>0</v>
      </c>
      <c r="U16" s="198">
        <f>SUMIFS('февраль 2023'!$G$4:$G$497,'февраль 2023'!$D$4:$D$497,$B16,'февраль 2023'!$J$4:$J$497,U$1)</f>
        <v>0</v>
      </c>
      <c r="V16" s="198">
        <f>SUMIFS('февраль 2023'!$G$4:$G$497,'февраль 2023'!$D$4:$D$497,$B16,'февраль 2023'!$J$4:$J$497,V$1)</f>
        <v>0</v>
      </c>
      <c r="W16" s="198">
        <f>SUMIFS('февраль 2023'!$G$4:$G$497,'февраль 2023'!$D$4:$D$497,$B16,'февраль 2023'!$J$4:$J$497,W$1)</f>
        <v>0</v>
      </c>
      <c r="X16" s="198">
        <f>SUMIFS('февраль 2023'!$G$4:$G$497,'февраль 2023'!$D$4:$D$497,$B16,'февраль 2023'!$J$4:$J$497,X$1)</f>
        <v>0</v>
      </c>
      <c r="Y16" s="198">
        <f>SUMIFS('февраль 2023'!$G$4:$G$497,'февраль 2023'!$D$4:$D$497,$B16,'февраль 2023'!$J$4:$J$497,Y$1)</f>
        <v>0</v>
      </c>
      <c r="Z16" s="198">
        <f>SUMIFS('февраль 2023'!$G$4:$G$497,'февраль 2023'!$D$4:$D$497,$B16,'февраль 2023'!$J$4:$J$497,Z$1)</f>
        <v>0</v>
      </c>
      <c r="AA16" s="198">
        <f>SUMIFS('февраль 2023'!$G$4:$G$497,'февраль 2023'!$D$4:$D$497,$B16,'февраль 2023'!$J$4:$J$497,AA$1)</f>
        <v>0</v>
      </c>
      <c r="AB16" s="198">
        <f>SUMIFS('февраль 2023'!$G$4:$G$497,'февраль 2023'!$D$4:$D$497,$B16,'февраль 2023'!$J$4:$J$497,AB$1)</f>
        <v>0</v>
      </c>
      <c r="AC16" s="198">
        <f>SUMIFS('февраль 2023'!$G$4:$G$497,'февраль 2023'!$D$4:$D$497,$B16,'февраль 2023'!$J$4:$J$497,AC$1)</f>
        <v>0</v>
      </c>
      <c r="AD16" s="198">
        <f>SUMIFS('февраль 2023'!$G$4:$G$497,'февраль 2023'!$D$4:$D$497,$B16,'февраль 2023'!$J$4:$J$497,AD$1)</f>
        <v>0</v>
      </c>
      <c r="AE16" s="198">
        <f>SUMIFS('февраль 2023'!$G$4:$G$497,'февраль 2023'!$D$4:$D$497,$B16,'февраль 2023'!$J$4:$J$497,AE$1)</f>
        <v>0</v>
      </c>
      <c r="AF16" s="198">
        <f>SUMIFS('февраль 2023'!$G$4:$G$497,'февраль 2023'!$D$4:$D$497,$B16,'февраль 2023'!$J$4:$J$497,AF$1)</f>
        <v>0</v>
      </c>
      <c r="AG16" s="198">
        <f>SUMIFS('февраль 2023'!$G$4:$G$497,'февраль 2023'!$D$4:$D$497,$B16,'февраль 2023'!$J$4:$J$497,AG$1)</f>
        <v>0</v>
      </c>
      <c r="AH16" s="198">
        <f>SUMIFS('февраль 2023'!$G$4:$G$497,'февраль 2023'!$D$4:$D$497,$B16,'февраль 2023'!$J$4:$J$497,AH$1)</f>
        <v>0</v>
      </c>
      <c r="AI16" s="170">
        <f t="shared" si="1"/>
        <v>0</v>
      </c>
    </row>
    <row r="17" spans="2:35" ht="15" customHeight="1" x14ac:dyDescent="0.25">
      <c r="B17" s="199" t="s">
        <v>2081</v>
      </c>
      <c r="C17" s="200">
        <v>25</v>
      </c>
      <c r="D17" s="198">
        <f>SUMIFS('февраль 2023'!$G$4:$G$497,'февраль 2023'!$D$4:$D$497,$B17,'февраль 2023'!$J$4:$J$497,D$1)</f>
        <v>0</v>
      </c>
      <c r="E17" s="198">
        <f>SUMIFS('февраль 2023'!$G$4:$G$497,'февраль 2023'!$D$4:$D$497,$B17,'февраль 2023'!$J$4:$J$497,E$1)</f>
        <v>0</v>
      </c>
      <c r="F17" s="198">
        <f>SUMIFS('февраль 2023'!$G$4:$G$497,'февраль 2023'!$D$4:$D$497,$B17,'февраль 2023'!$J$4:$J$497,F$1)</f>
        <v>0</v>
      </c>
      <c r="G17" s="198">
        <f>SUMIFS('февраль 2023'!$G$4:$G$497,'февраль 2023'!$D$4:$D$497,$B17,'февраль 2023'!$J$4:$J$497,G$1)</f>
        <v>0</v>
      </c>
      <c r="H17" s="198">
        <f>SUMIFS('февраль 2023'!$G$4:$G$497,'февраль 2023'!$D$4:$D$497,$B17,'февраль 2023'!$J$4:$J$497,H$1)</f>
        <v>0</v>
      </c>
      <c r="I17" s="198">
        <f>SUMIFS('февраль 2023'!$G$4:$G$497,'февраль 2023'!$D$4:$D$497,$B17,'февраль 2023'!$J$4:$J$497,I$1)</f>
        <v>0</v>
      </c>
      <c r="J17" s="198">
        <f>SUMIFS('февраль 2023'!$G$4:$G$497,'февраль 2023'!$D$4:$D$497,$B17,'февраль 2023'!$J$4:$J$497,J$1)</f>
        <v>0</v>
      </c>
      <c r="K17" s="198">
        <f>SUMIFS('февраль 2023'!$G$4:$G$497,'февраль 2023'!$D$4:$D$497,$B17,'февраль 2023'!$J$4:$J$497,K$1)</f>
        <v>0</v>
      </c>
      <c r="L17" s="198">
        <f>SUMIFS('февраль 2023'!$G$4:$G$497,'февраль 2023'!$D$4:$D$497,$B17,'февраль 2023'!$J$4:$J$497,L$1)</f>
        <v>0</v>
      </c>
      <c r="M17" s="198">
        <f>SUMIFS('февраль 2023'!$G$4:$G$497,'февраль 2023'!$D$4:$D$497,$B17,'февраль 2023'!$J$4:$J$497,M$1)</f>
        <v>0</v>
      </c>
      <c r="N17" s="198">
        <f>SUMIFS('февраль 2023'!$G$4:$G$497,'февраль 2023'!$D$4:$D$497,$B17,'февраль 2023'!$J$4:$J$497,N$1)</f>
        <v>0</v>
      </c>
      <c r="O17" s="198">
        <f>SUMIFS('февраль 2023'!$G$4:$G$497,'февраль 2023'!$D$4:$D$497,$B17,'февраль 2023'!$J$4:$J$497,O$1)</f>
        <v>0</v>
      </c>
      <c r="P17" s="198">
        <f>SUMIFS('февраль 2023'!$G$4:$G$497,'февраль 2023'!$D$4:$D$497,$B17,'февраль 2023'!$J$4:$J$497,P$1)</f>
        <v>0</v>
      </c>
      <c r="Q17" s="198">
        <f>SUMIFS('февраль 2023'!$G$4:$G$497,'февраль 2023'!$D$4:$D$497,$B17,'февраль 2023'!$J$4:$J$497,Q$1)</f>
        <v>0</v>
      </c>
      <c r="R17" s="198">
        <f>SUMIFS('февраль 2023'!$G$4:$G$497,'февраль 2023'!$D$4:$D$497,$B17,'февраль 2023'!$J$4:$J$497,R$1)</f>
        <v>0</v>
      </c>
      <c r="S17" s="198">
        <f>SUMIFS('февраль 2023'!$G$4:$G$497,'февраль 2023'!$D$4:$D$497,$B17,'февраль 2023'!$J$4:$J$497,S$1)</f>
        <v>0</v>
      </c>
      <c r="T17" s="198">
        <f>SUMIFS('февраль 2023'!$G$4:$G$497,'февраль 2023'!$D$4:$D$497,$B17,'февраль 2023'!$J$4:$J$497,T$1)</f>
        <v>0</v>
      </c>
      <c r="U17" s="198">
        <f>SUMIFS('февраль 2023'!$G$4:$G$497,'февраль 2023'!$D$4:$D$497,$B17,'февраль 2023'!$J$4:$J$497,U$1)</f>
        <v>0</v>
      </c>
      <c r="V17" s="198">
        <f>SUMIFS('февраль 2023'!$G$4:$G$497,'февраль 2023'!$D$4:$D$497,$B17,'февраль 2023'!$J$4:$J$497,V$1)</f>
        <v>0</v>
      </c>
      <c r="W17" s="198">
        <f>SUMIFS('февраль 2023'!$G$4:$G$497,'февраль 2023'!$D$4:$D$497,$B17,'февраль 2023'!$J$4:$J$497,W$1)</f>
        <v>0</v>
      </c>
      <c r="X17" s="198">
        <f>SUMIFS('февраль 2023'!$G$4:$G$497,'февраль 2023'!$D$4:$D$497,$B17,'февраль 2023'!$J$4:$J$497,X$1)</f>
        <v>0</v>
      </c>
      <c r="Y17" s="198">
        <f>SUMIFS('февраль 2023'!$G$4:$G$497,'февраль 2023'!$D$4:$D$497,$B17,'февраль 2023'!$J$4:$J$497,Y$1)</f>
        <v>0</v>
      </c>
      <c r="Z17" s="198">
        <f>SUMIFS('февраль 2023'!$G$4:$G$497,'февраль 2023'!$D$4:$D$497,$B17,'февраль 2023'!$J$4:$J$497,Z$1)</f>
        <v>0</v>
      </c>
      <c r="AA17" s="198">
        <f>SUMIFS('февраль 2023'!$G$4:$G$497,'февраль 2023'!$D$4:$D$497,$B17,'февраль 2023'!$J$4:$J$497,AA$1)</f>
        <v>0</v>
      </c>
      <c r="AB17" s="198">
        <f>SUMIFS('февраль 2023'!$G$4:$G$497,'февраль 2023'!$D$4:$D$497,$B17,'февраль 2023'!$J$4:$J$497,AB$1)</f>
        <v>0</v>
      </c>
      <c r="AC17" s="198">
        <f>SUMIFS('февраль 2023'!$G$4:$G$497,'февраль 2023'!$D$4:$D$497,$B17,'февраль 2023'!$J$4:$J$497,AC$1)</f>
        <v>0</v>
      </c>
      <c r="AD17" s="198">
        <f>SUMIFS('февраль 2023'!$G$4:$G$497,'февраль 2023'!$D$4:$D$497,$B17,'февраль 2023'!$J$4:$J$497,AD$1)</f>
        <v>0</v>
      </c>
      <c r="AE17" s="198">
        <f>SUMIFS('февраль 2023'!$G$4:$G$497,'февраль 2023'!$D$4:$D$497,$B17,'февраль 2023'!$J$4:$J$497,AE$1)</f>
        <v>0</v>
      </c>
      <c r="AF17" s="198">
        <f>SUMIFS('февраль 2023'!$G$4:$G$497,'февраль 2023'!$D$4:$D$497,$B17,'февраль 2023'!$J$4:$J$497,AF$1)</f>
        <v>0</v>
      </c>
      <c r="AG17" s="198">
        <f>SUMIFS('февраль 2023'!$G$4:$G$497,'февраль 2023'!$D$4:$D$497,$B17,'февраль 2023'!$J$4:$J$497,AG$1)</f>
        <v>0</v>
      </c>
      <c r="AH17" s="198">
        <f>SUMIFS('февраль 2023'!$G$4:$G$497,'февраль 2023'!$D$4:$D$497,$B17,'февраль 2023'!$J$4:$J$497,AH$1)</f>
        <v>0</v>
      </c>
      <c r="AI17" s="170">
        <f t="shared" si="1"/>
        <v>0</v>
      </c>
    </row>
    <row r="18" spans="2:35" ht="15" customHeight="1" x14ac:dyDescent="0.25">
      <c r="B18" s="199" t="s">
        <v>27</v>
      </c>
      <c r="C18" s="200">
        <v>25</v>
      </c>
      <c r="D18" s="198">
        <f>SUMIFS('февраль 2023'!$G$4:$G$497,'февраль 2023'!$D$4:$D$497,$B18,'февраль 2023'!$J$4:$J$497,D$1)</f>
        <v>0</v>
      </c>
      <c r="E18" s="198">
        <f>SUMIFS('февраль 2023'!$G$4:$G$497,'февраль 2023'!$D$4:$D$497,$B18,'февраль 2023'!$J$4:$J$497,E$1)</f>
        <v>0</v>
      </c>
      <c r="F18" s="198">
        <f>SUMIFS('февраль 2023'!$G$4:$G$497,'февраль 2023'!$D$4:$D$497,$B18,'февраль 2023'!$J$4:$J$497,F$1)</f>
        <v>0</v>
      </c>
      <c r="G18" s="198">
        <f>SUMIFS('февраль 2023'!$G$4:$G$497,'февраль 2023'!$D$4:$D$497,$B18,'февраль 2023'!$J$4:$J$497,G$1)</f>
        <v>0</v>
      </c>
      <c r="H18" s="198">
        <f>SUMIFS('февраль 2023'!$G$4:$G$497,'февраль 2023'!$D$4:$D$497,$B18,'февраль 2023'!$J$4:$J$497,H$1)</f>
        <v>0</v>
      </c>
      <c r="I18" s="198">
        <f>SUMIFS('февраль 2023'!$G$4:$G$497,'февраль 2023'!$D$4:$D$497,$B18,'февраль 2023'!$J$4:$J$497,I$1)</f>
        <v>0</v>
      </c>
      <c r="J18" s="198">
        <f>SUMIFS('февраль 2023'!$G$4:$G$497,'февраль 2023'!$D$4:$D$497,$B18,'февраль 2023'!$J$4:$J$497,J$1)</f>
        <v>0</v>
      </c>
      <c r="K18" s="198">
        <f>SUMIFS('февраль 2023'!$G$4:$G$497,'февраль 2023'!$D$4:$D$497,$B18,'февраль 2023'!$J$4:$J$497,K$1)</f>
        <v>0</v>
      </c>
      <c r="L18" s="198">
        <f>SUMIFS('февраль 2023'!$G$4:$G$497,'февраль 2023'!$D$4:$D$497,$B18,'февраль 2023'!$J$4:$J$497,L$1)</f>
        <v>0</v>
      </c>
      <c r="M18" s="198">
        <f>SUMIFS('февраль 2023'!$G$4:$G$497,'февраль 2023'!$D$4:$D$497,$B18,'февраль 2023'!$J$4:$J$497,M$1)</f>
        <v>0</v>
      </c>
      <c r="N18" s="198">
        <f>SUMIFS('февраль 2023'!$G$4:$G$497,'февраль 2023'!$D$4:$D$497,$B18,'февраль 2023'!$J$4:$J$497,N$1)</f>
        <v>0</v>
      </c>
      <c r="O18" s="198">
        <f>SUMIFS('февраль 2023'!$G$4:$G$497,'февраль 2023'!$D$4:$D$497,$B18,'февраль 2023'!$J$4:$J$497,O$1)</f>
        <v>0</v>
      </c>
      <c r="P18" s="198">
        <f>SUMIFS('февраль 2023'!$G$4:$G$497,'февраль 2023'!$D$4:$D$497,$B18,'февраль 2023'!$J$4:$J$497,P$1)</f>
        <v>0</v>
      </c>
      <c r="Q18" s="198">
        <f>SUMIFS('февраль 2023'!$G$4:$G$497,'февраль 2023'!$D$4:$D$497,$B18,'февраль 2023'!$J$4:$J$497,Q$1)</f>
        <v>0</v>
      </c>
      <c r="R18" s="198">
        <f>SUMIFS('февраль 2023'!$G$4:$G$497,'февраль 2023'!$D$4:$D$497,$B18,'февраль 2023'!$J$4:$J$497,R$1)</f>
        <v>0</v>
      </c>
      <c r="S18" s="198">
        <f>SUMIFS('февраль 2023'!$G$4:$G$497,'февраль 2023'!$D$4:$D$497,$B18,'февраль 2023'!$J$4:$J$497,S$1)</f>
        <v>800</v>
      </c>
      <c r="T18" s="198">
        <f>SUMIFS('февраль 2023'!$G$4:$G$497,'февраль 2023'!$D$4:$D$497,$B18,'февраль 2023'!$J$4:$J$497,T$1)</f>
        <v>800</v>
      </c>
      <c r="U18" s="198">
        <f>SUMIFS('февраль 2023'!$G$4:$G$497,'февраль 2023'!$D$4:$D$497,$B18,'февраль 2023'!$J$4:$J$497,U$1)</f>
        <v>0</v>
      </c>
      <c r="V18" s="198">
        <f>SUMIFS('февраль 2023'!$G$4:$G$497,'февраль 2023'!$D$4:$D$497,$B18,'февраль 2023'!$J$4:$J$497,V$1)</f>
        <v>0</v>
      </c>
      <c r="W18" s="198">
        <f>SUMIFS('февраль 2023'!$G$4:$G$497,'февраль 2023'!$D$4:$D$497,$B18,'февраль 2023'!$J$4:$J$497,W$1)</f>
        <v>0</v>
      </c>
      <c r="X18" s="198">
        <f>SUMIFS('февраль 2023'!$G$4:$G$497,'февраль 2023'!$D$4:$D$497,$B18,'февраль 2023'!$J$4:$J$497,X$1)</f>
        <v>0</v>
      </c>
      <c r="Y18" s="198">
        <f>SUMIFS('февраль 2023'!$G$4:$G$497,'февраль 2023'!$D$4:$D$497,$B18,'февраль 2023'!$J$4:$J$497,Y$1)</f>
        <v>0</v>
      </c>
      <c r="Z18" s="198">
        <f>SUMIFS('февраль 2023'!$G$4:$G$497,'февраль 2023'!$D$4:$D$497,$B18,'февраль 2023'!$J$4:$J$497,Z$1)</f>
        <v>0</v>
      </c>
      <c r="AA18" s="198">
        <f>SUMIFS('февраль 2023'!$G$4:$G$497,'февраль 2023'!$D$4:$D$497,$B18,'февраль 2023'!$J$4:$J$497,AA$1)</f>
        <v>0</v>
      </c>
      <c r="AB18" s="198">
        <f>SUMIFS('февраль 2023'!$G$4:$G$497,'февраль 2023'!$D$4:$D$497,$B18,'февраль 2023'!$J$4:$J$497,AB$1)</f>
        <v>0</v>
      </c>
      <c r="AC18" s="198">
        <f>SUMIFS('февраль 2023'!$G$4:$G$497,'февраль 2023'!$D$4:$D$497,$B18,'февраль 2023'!$J$4:$J$497,AC$1)</f>
        <v>0</v>
      </c>
      <c r="AD18" s="198">
        <f>SUMIFS('февраль 2023'!$G$4:$G$497,'февраль 2023'!$D$4:$D$497,$B18,'февраль 2023'!$J$4:$J$497,AD$1)</f>
        <v>0</v>
      </c>
      <c r="AE18" s="198">
        <f>SUMIFS('февраль 2023'!$G$4:$G$497,'февраль 2023'!$D$4:$D$497,$B18,'февраль 2023'!$J$4:$J$497,AE$1)</f>
        <v>0</v>
      </c>
      <c r="AF18" s="198">
        <f>SUMIFS('февраль 2023'!$G$4:$G$497,'февраль 2023'!$D$4:$D$497,$B18,'февраль 2023'!$J$4:$J$497,AF$1)</f>
        <v>0</v>
      </c>
      <c r="AG18" s="198">
        <f>SUMIFS('февраль 2023'!$G$4:$G$497,'февраль 2023'!$D$4:$D$497,$B18,'февраль 2023'!$J$4:$J$497,AG$1)</f>
        <v>0</v>
      </c>
      <c r="AH18" s="198">
        <f>SUMIFS('февраль 2023'!$G$4:$G$497,'февраль 2023'!$D$4:$D$497,$B18,'февраль 2023'!$J$4:$J$497,AH$1)</f>
        <v>0</v>
      </c>
      <c r="AI18" s="170">
        <f t="shared" si="1"/>
        <v>1600</v>
      </c>
    </row>
    <row r="19" spans="2:35" ht="15" customHeight="1" x14ac:dyDescent="0.25">
      <c r="B19" s="199" t="s">
        <v>445</v>
      </c>
      <c r="C19" s="200">
        <v>25</v>
      </c>
      <c r="D19" s="198">
        <f>SUMIFS('февраль 2023'!$G$4:$G$497,'февраль 2023'!$D$4:$D$497,$B19,'февраль 2023'!$J$4:$J$497,D$1)</f>
        <v>0</v>
      </c>
      <c r="E19" s="198">
        <f>SUMIFS('февраль 2023'!$G$4:$G$497,'февраль 2023'!$D$4:$D$497,$B19,'февраль 2023'!$J$4:$J$497,E$1)</f>
        <v>0</v>
      </c>
      <c r="F19" s="198">
        <f>SUMIFS('февраль 2023'!$G$4:$G$497,'февраль 2023'!$D$4:$D$497,$B19,'февраль 2023'!$J$4:$J$497,F$1)</f>
        <v>0</v>
      </c>
      <c r="G19" s="198">
        <f>SUMIFS('февраль 2023'!$G$4:$G$497,'февраль 2023'!$D$4:$D$497,$B19,'февраль 2023'!$J$4:$J$497,G$1)</f>
        <v>0</v>
      </c>
      <c r="H19" s="198">
        <f>SUMIFS('февраль 2023'!$G$4:$G$497,'февраль 2023'!$D$4:$D$497,$B19,'февраль 2023'!$J$4:$J$497,H$1)</f>
        <v>0</v>
      </c>
      <c r="I19" s="198">
        <f>SUMIFS('февраль 2023'!$G$4:$G$497,'февраль 2023'!$D$4:$D$497,$B19,'февраль 2023'!$J$4:$J$497,I$1)</f>
        <v>0</v>
      </c>
      <c r="J19" s="198">
        <f>SUMIFS('февраль 2023'!$G$4:$G$497,'февраль 2023'!$D$4:$D$497,$B19,'февраль 2023'!$J$4:$J$497,J$1)</f>
        <v>0</v>
      </c>
      <c r="K19" s="198">
        <f>SUMIFS('февраль 2023'!$G$4:$G$497,'февраль 2023'!$D$4:$D$497,$B19,'февраль 2023'!$J$4:$J$497,K$1)</f>
        <v>0</v>
      </c>
      <c r="L19" s="198">
        <f>SUMIFS('февраль 2023'!$G$4:$G$497,'февраль 2023'!$D$4:$D$497,$B19,'февраль 2023'!$J$4:$J$497,L$1)</f>
        <v>0</v>
      </c>
      <c r="M19" s="198">
        <f>SUMIFS('февраль 2023'!$G$4:$G$497,'февраль 2023'!$D$4:$D$497,$B19,'февраль 2023'!$J$4:$J$497,M$1)</f>
        <v>0</v>
      </c>
      <c r="N19" s="198">
        <f>SUMIFS('февраль 2023'!$G$4:$G$497,'февраль 2023'!$D$4:$D$497,$B19,'февраль 2023'!$J$4:$J$497,N$1)</f>
        <v>0</v>
      </c>
      <c r="O19" s="198">
        <f>SUMIFS('февраль 2023'!$G$4:$G$497,'февраль 2023'!$D$4:$D$497,$B19,'февраль 2023'!$J$4:$J$497,O$1)</f>
        <v>0</v>
      </c>
      <c r="P19" s="198">
        <f>SUMIFS('февраль 2023'!$G$4:$G$497,'февраль 2023'!$D$4:$D$497,$B19,'февраль 2023'!$J$4:$J$497,P$1)</f>
        <v>0</v>
      </c>
      <c r="Q19" s="198">
        <f>SUMIFS('февраль 2023'!$G$4:$G$497,'февраль 2023'!$D$4:$D$497,$B19,'февраль 2023'!$J$4:$J$497,Q$1)</f>
        <v>0</v>
      </c>
      <c r="R19" s="198">
        <f>SUMIFS('февраль 2023'!$G$4:$G$497,'февраль 2023'!$D$4:$D$497,$B19,'февраль 2023'!$J$4:$J$497,R$1)</f>
        <v>0</v>
      </c>
      <c r="S19" s="198">
        <f>SUMIFS('февраль 2023'!$G$4:$G$497,'февраль 2023'!$D$4:$D$497,$B19,'февраль 2023'!$J$4:$J$497,S$1)</f>
        <v>0</v>
      </c>
      <c r="T19" s="198">
        <f>SUMIFS('февраль 2023'!$G$4:$G$497,'февраль 2023'!$D$4:$D$497,$B19,'февраль 2023'!$J$4:$J$497,T$1)</f>
        <v>0</v>
      </c>
      <c r="U19" s="198">
        <f>SUMIFS('февраль 2023'!$G$4:$G$497,'февраль 2023'!$D$4:$D$497,$B19,'февраль 2023'!$J$4:$J$497,U$1)</f>
        <v>0</v>
      </c>
      <c r="V19" s="198">
        <f>SUMIFS('февраль 2023'!$G$4:$G$497,'февраль 2023'!$D$4:$D$497,$B19,'февраль 2023'!$J$4:$J$497,V$1)</f>
        <v>0</v>
      </c>
      <c r="W19" s="198">
        <f>SUMIFS('февраль 2023'!$G$4:$G$497,'февраль 2023'!$D$4:$D$497,$B19,'февраль 2023'!$J$4:$J$497,W$1)</f>
        <v>0</v>
      </c>
      <c r="X19" s="198">
        <f>SUMIFS('февраль 2023'!$G$4:$G$497,'февраль 2023'!$D$4:$D$497,$B19,'февраль 2023'!$J$4:$J$497,X$1)</f>
        <v>0</v>
      </c>
      <c r="Y19" s="198">
        <f>SUMIFS('февраль 2023'!$G$4:$G$497,'февраль 2023'!$D$4:$D$497,$B19,'февраль 2023'!$J$4:$J$497,Y$1)</f>
        <v>0</v>
      </c>
      <c r="Z19" s="198">
        <f>SUMIFS('февраль 2023'!$G$4:$G$497,'февраль 2023'!$D$4:$D$497,$B19,'февраль 2023'!$J$4:$J$497,Z$1)</f>
        <v>0</v>
      </c>
      <c r="AA19" s="198">
        <f>SUMIFS('февраль 2023'!$G$4:$G$497,'февраль 2023'!$D$4:$D$497,$B19,'февраль 2023'!$J$4:$J$497,AA$1)</f>
        <v>0</v>
      </c>
      <c r="AB19" s="198">
        <f>SUMIFS('февраль 2023'!$G$4:$G$497,'февраль 2023'!$D$4:$D$497,$B19,'февраль 2023'!$J$4:$J$497,AB$1)</f>
        <v>0</v>
      </c>
      <c r="AC19" s="198">
        <f>SUMIFS('февраль 2023'!$G$4:$G$497,'февраль 2023'!$D$4:$D$497,$B19,'февраль 2023'!$J$4:$J$497,AC$1)</f>
        <v>0</v>
      </c>
      <c r="AD19" s="198">
        <f>SUMIFS('февраль 2023'!$G$4:$G$497,'февраль 2023'!$D$4:$D$497,$B19,'февраль 2023'!$J$4:$J$497,AD$1)</f>
        <v>0</v>
      </c>
      <c r="AE19" s="198">
        <f>SUMIFS('февраль 2023'!$G$4:$G$497,'февраль 2023'!$D$4:$D$497,$B19,'февраль 2023'!$J$4:$J$497,AE$1)</f>
        <v>0</v>
      </c>
      <c r="AF19" s="198">
        <f>SUMIFS('февраль 2023'!$G$4:$G$497,'февраль 2023'!$D$4:$D$497,$B19,'февраль 2023'!$J$4:$J$497,AF$1)</f>
        <v>0</v>
      </c>
      <c r="AG19" s="198">
        <f>SUMIFS('февраль 2023'!$G$4:$G$497,'февраль 2023'!$D$4:$D$497,$B19,'февраль 2023'!$J$4:$J$497,AG$1)</f>
        <v>0</v>
      </c>
      <c r="AH19" s="198">
        <f>SUMIFS('февраль 2023'!$G$4:$G$497,'февраль 2023'!$D$4:$D$497,$B19,'февраль 2023'!$J$4:$J$497,AH$1)</f>
        <v>0</v>
      </c>
      <c r="AI19" s="170">
        <f t="shared" si="1"/>
        <v>0</v>
      </c>
    </row>
    <row r="20" spans="2:35" ht="15" customHeight="1" x14ac:dyDescent="0.25">
      <c r="B20" s="202"/>
      <c r="C20" s="200"/>
      <c r="D20" s="198">
        <f>SUMIFS('февраль 2023'!$G$4:$G$497,'февраль 2023'!$D$4:$D$497,$B20,'февраль 2023'!$J$4:$J$497,D$1)</f>
        <v>0</v>
      </c>
      <c r="E20" s="198">
        <f>SUMIFS('февраль 2023'!$G$4:$G$497,'февраль 2023'!$D$4:$D$497,$B20,'февраль 2023'!$J$4:$J$497,E$1)</f>
        <v>0</v>
      </c>
      <c r="F20" s="198">
        <f>SUMIFS('февраль 2023'!$G$4:$G$497,'февраль 2023'!$D$4:$D$497,$B20,'февраль 2023'!$J$4:$J$497,F$1)</f>
        <v>0</v>
      </c>
      <c r="G20" s="198">
        <f>SUMIFS('февраль 2023'!$G$4:$G$497,'февраль 2023'!$D$4:$D$497,$B20,'февраль 2023'!$J$4:$J$497,G$1)</f>
        <v>0</v>
      </c>
      <c r="H20" s="198">
        <f>SUMIFS('февраль 2023'!$G$4:$G$497,'февраль 2023'!$D$4:$D$497,$B20,'февраль 2023'!$J$4:$J$497,H$1)</f>
        <v>0</v>
      </c>
      <c r="I20" s="198">
        <f>SUMIFS('февраль 2023'!$G$4:$G$497,'февраль 2023'!$D$4:$D$497,$B20,'февраль 2023'!$J$4:$J$497,I$1)</f>
        <v>0</v>
      </c>
      <c r="J20" s="198">
        <f>SUMIFS('февраль 2023'!$G$4:$G$497,'февраль 2023'!$D$4:$D$497,$B20,'февраль 2023'!$J$4:$J$497,J$1)</f>
        <v>0</v>
      </c>
      <c r="K20" s="198">
        <f>SUMIFS('февраль 2023'!$G$4:$G$497,'февраль 2023'!$D$4:$D$497,$B20,'февраль 2023'!$J$4:$J$497,K$1)</f>
        <v>0</v>
      </c>
      <c r="L20" s="198">
        <f>SUMIFS('февраль 2023'!$G$4:$G$497,'февраль 2023'!$D$4:$D$497,$B20,'февраль 2023'!$J$4:$J$497,L$1)</f>
        <v>0</v>
      </c>
      <c r="M20" s="198">
        <f>SUMIFS('февраль 2023'!$G$4:$G$497,'февраль 2023'!$D$4:$D$497,$B20,'февраль 2023'!$J$4:$J$497,M$1)</f>
        <v>0</v>
      </c>
      <c r="N20" s="198">
        <f>SUMIFS('февраль 2023'!$G$4:$G$497,'февраль 2023'!$D$4:$D$497,$B20,'февраль 2023'!$J$4:$J$497,N$1)</f>
        <v>0</v>
      </c>
      <c r="O20" s="198">
        <f>SUMIFS('февраль 2023'!$G$4:$G$497,'февраль 2023'!$D$4:$D$497,$B20,'февраль 2023'!$J$4:$J$497,O$1)</f>
        <v>0</v>
      </c>
      <c r="P20" s="198">
        <f>SUMIFS('февраль 2023'!$G$4:$G$497,'февраль 2023'!$D$4:$D$497,$B20,'февраль 2023'!$J$4:$J$497,P$1)</f>
        <v>0</v>
      </c>
      <c r="Q20" s="198">
        <f>SUMIFS('февраль 2023'!$G$4:$G$497,'февраль 2023'!$D$4:$D$497,$B20,'февраль 2023'!$J$4:$J$497,Q$1)</f>
        <v>0</v>
      </c>
      <c r="R20" s="198">
        <f>SUMIFS('февраль 2023'!$G$4:$G$497,'февраль 2023'!$D$4:$D$497,$B20,'февраль 2023'!$J$4:$J$497,R$1)</f>
        <v>0</v>
      </c>
      <c r="S20" s="198">
        <f>SUMIFS('февраль 2023'!$G$4:$G$497,'февраль 2023'!$D$4:$D$497,$B20,'февраль 2023'!$J$4:$J$497,S$1)</f>
        <v>0</v>
      </c>
      <c r="T20" s="198">
        <f>SUMIFS('февраль 2023'!$G$4:$G$497,'февраль 2023'!$D$4:$D$497,$B20,'февраль 2023'!$J$4:$J$497,T$1)</f>
        <v>0</v>
      </c>
      <c r="U20" s="198">
        <f>SUMIFS('февраль 2023'!$G$4:$G$497,'февраль 2023'!$D$4:$D$497,$B20,'февраль 2023'!$J$4:$J$497,U$1)</f>
        <v>0</v>
      </c>
      <c r="V20" s="198">
        <f>SUMIFS('февраль 2023'!$G$4:$G$497,'февраль 2023'!$D$4:$D$497,$B20,'февраль 2023'!$J$4:$J$497,V$1)</f>
        <v>0</v>
      </c>
      <c r="W20" s="198">
        <f>SUMIFS('февраль 2023'!$G$4:$G$497,'февраль 2023'!$D$4:$D$497,$B20,'февраль 2023'!$J$4:$J$497,W$1)</f>
        <v>0</v>
      </c>
      <c r="X20" s="198">
        <f>SUMIFS('февраль 2023'!$G$4:$G$497,'февраль 2023'!$D$4:$D$497,$B20,'февраль 2023'!$J$4:$J$497,X$1)</f>
        <v>0</v>
      </c>
      <c r="Y20" s="198">
        <f>SUMIFS('февраль 2023'!$G$4:$G$497,'февраль 2023'!$D$4:$D$497,$B20,'февраль 2023'!$J$4:$J$497,Y$1)</f>
        <v>0</v>
      </c>
      <c r="Z20" s="198">
        <f>SUMIFS('февраль 2023'!$G$4:$G$497,'февраль 2023'!$D$4:$D$497,$B20,'февраль 2023'!$J$4:$J$497,Z$1)</f>
        <v>0</v>
      </c>
      <c r="AA20" s="198">
        <f>SUMIFS('февраль 2023'!$G$4:$G$497,'февраль 2023'!$D$4:$D$497,$B20,'февраль 2023'!$J$4:$J$497,AA$1)</f>
        <v>0</v>
      </c>
      <c r="AB20" s="198">
        <f>SUMIFS('февраль 2023'!$G$4:$G$497,'февраль 2023'!$D$4:$D$497,$B20,'февраль 2023'!$J$4:$J$497,AB$1)</f>
        <v>0</v>
      </c>
      <c r="AC20" s="198">
        <f>SUMIFS('февраль 2023'!$G$4:$G$497,'февраль 2023'!$D$4:$D$497,$B20,'февраль 2023'!$J$4:$J$497,AC$1)</f>
        <v>0</v>
      </c>
      <c r="AD20" s="198">
        <f>SUMIFS('февраль 2023'!$G$4:$G$497,'февраль 2023'!$D$4:$D$497,$B20,'февраль 2023'!$J$4:$J$497,AD$1)</f>
        <v>0</v>
      </c>
      <c r="AE20" s="198">
        <f>SUMIFS('февраль 2023'!$G$4:$G$497,'февраль 2023'!$D$4:$D$497,$B20,'февраль 2023'!$J$4:$J$497,AE$1)</f>
        <v>0</v>
      </c>
      <c r="AF20" s="198">
        <f>SUMIFS('февраль 2023'!$G$4:$G$497,'февраль 2023'!$D$4:$D$497,$B20,'февраль 2023'!$J$4:$J$497,AF$1)</f>
        <v>0</v>
      </c>
      <c r="AG20" s="198">
        <f>SUMIFS('февраль 2023'!$G$4:$G$497,'февраль 2023'!$D$4:$D$497,$B20,'февраль 2023'!$J$4:$J$497,AG$1)</f>
        <v>0</v>
      </c>
      <c r="AH20" s="198">
        <f>SUMIFS('февраль 2023'!$G$4:$G$497,'февраль 2023'!$D$4:$D$497,$B20,'февраль 2023'!$J$4:$J$497,AH$1)</f>
        <v>0</v>
      </c>
      <c r="AI20" s="170">
        <f t="shared" si="1"/>
        <v>0</v>
      </c>
    </row>
    <row r="21" spans="2:35" ht="15" hidden="1" customHeight="1" x14ac:dyDescent="0.25">
      <c r="B21" s="202"/>
      <c r="C21" s="200"/>
      <c r="D21" s="198">
        <f>SUMIFS('февраль 2023'!$G$4:$G$497,'февраль 2023'!$D$4:$D$497,$B21,'февраль 2023'!$J$4:$J$497,D$1)</f>
        <v>0</v>
      </c>
      <c r="E21" s="198">
        <f>SUMIFS('февраль 2023'!$G$4:$G$497,'февраль 2023'!$D$4:$D$497,$B21,'февраль 2023'!$J$4:$J$497,E$1)</f>
        <v>0</v>
      </c>
      <c r="F21" s="198">
        <f>SUMIFS('февраль 2023'!$G$4:$G$497,'февраль 2023'!$D$4:$D$497,$B21,'февраль 2023'!$J$4:$J$497,F$1)</f>
        <v>0</v>
      </c>
      <c r="G21" s="198">
        <f>SUMIFS('февраль 2023'!$G$4:$G$497,'февраль 2023'!$D$4:$D$497,$B21,'февраль 2023'!$J$4:$J$497,G$1)</f>
        <v>0</v>
      </c>
      <c r="H21" s="198">
        <f>SUMIFS('февраль 2023'!$G$4:$G$497,'февраль 2023'!$D$4:$D$497,$B21,'февраль 2023'!$J$4:$J$497,H$1)</f>
        <v>0</v>
      </c>
      <c r="I21" s="198">
        <f>SUMIFS('февраль 2023'!$G$4:$G$497,'февраль 2023'!$D$4:$D$497,$B21,'февраль 2023'!$J$4:$J$497,I$1)</f>
        <v>0</v>
      </c>
      <c r="J21" s="198">
        <f>SUMIFS('февраль 2023'!$G$4:$G$497,'февраль 2023'!$D$4:$D$497,$B21,'февраль 2023'!$J$4:$J$497,J$1)</f>
        <v>0</v>
      </c>
      <c r="K21" s="198">
        <f>SUMIFS('февраль 2023'!$G$4:$G$497,'февраль 2023'!$D$4:$D$497,$B21,'февраль 2023'!$J$4:$J$497,K$1)</f>
        <v>0</v>
      </c>
      <c r="L21" s="198">
        <f>SUMIFS('февраль 2023'!$G$4:$G$497,'февраль 2023'!$D$4:$D$497,$B21,'февраль 2023'!$J$4:$J$497,L$1)</f>
        <v>0</v>
      </c>
      <c r="M21" s="198">
        <f>SUMIFS('февраль 2023'!$G$4:$G$497,'февраль 2023'!$D$4:$D$497,$B21,'февраль 2023'!$J$4:$J$497,M$1)</f>
        <v>0</v>
      </c>
      <c r="N21" s="198">
        <f>SUMIFS('февраль 2023'!$G$4:$G$497,'февраль 2023'!$D$4:$D$497,$B21,'февраль 2023'!$J$4:$J$497,N$1)</f>
        <v>0</v>
      </c>
      <c r="O21" s="198">
        <f>SUMIFS('февраль 2023'!$G$4:$G$497,'февраль 2023'!$D$4:$D$497,$B21,'февраль 2023'!$J$4:$J$497,O$1)</f>
        <v>0</v>
      </c>
      <c r="P21" s="198">
        <f>SUMIFS('февраль 2023'!$G$4:$G$497,'февраль 2023'!$D$4:$D$497,$B21,'февраль 2023'!$J$4:$J$497,P$1)</f>
        <v>0</v>
      </c>
      <c r="Q21" s="198">
        <f>SUMIFS('февраль 2023'!$G$4:$G$497,'февраль 2023'!$D$4:$D$497,$B21,'февраль 2023'!$J$4:$J$497,Q$1)</f>
        <v>0</v>
      </c>
      <c r="R21" s="198">
        <f>SUMIFS('февраль 2023'!$G$4:$G$497,'февраль 2023'!$D$4:$D$497,$B21,'февраль 2023'!$J$4:$J$497,R$1)</f>
        <v>0</v>
      </c>
      <c r="S21" s="198">
        <f>SUMIFS('февраль 2023'!$G$4:$G$497,'февраль 2023'!$D$4:$D$497,$B21,'февраль 2023'!$J$4:$J$497,S$1)</f>
        <v>0</v>
      </c>
      <c r="T21" s="198">
        <f>SUMIFS('февраль 2023'!$G$4:$G$497,'февраль 2023'!$D$4:$D$497,$B21,'февраль 2023'!$J$4:$J$497,T$1)</f>
        <v>0</v>
      </c>
      <c r="U21" s="198">
        <f>SUMIFS('февраль 2023'!$G$4:$G$497,'февраль 2023'!$D$4:$D$497,$B21,'февраль 2023'!$J$4:$J$497,U$1)</f>
        <v>0</v>
      </c>
      <c r="V21" s="198">
        <f>SUMIFS('февраль 2023'!$G$4:$G$497,'февраль 2023'!$D$4:$D$497,$B21,'февраль 2023'!$J$4:$J$497,V$1)</f>
        <v>0</v>
      </c>
      <c r="W21" s="198">
        <f>SUMIFS('февраль 2023'!$G$4:$G$497,'февраль 2023'!$D$4:$D$497,$B21,'февраль 2023'!$J$4:$J$497,W$1)</f>
        <v>0</v>
      </c>
      <c r="X21" s="198">
        <f>SUMIFS('февраль 2023'!$G$4:$G$497,'февраль 2023'!$D$4:$D$497,$B21,'февраль 2023'!$J$4:$J$497,X$1)</f>
        <v>0</v>
      </c>
      <c r="Y21" s="198">
        <f>SUMIFS('февраль 2023'!$G$4:$G$497,'февраль 2023'!$D$4:$D$497,$B21,'февраль 2023'!$J$4:$J$497,Y$1)</f>
        <v>0</v>
      </c>
      <c r="Z21" s="198">
        <f>SUMIFS('февраль 2023'!$G$4:$G$497,'февраль 2023'!$D$4:$D$497,$B21,'февраль 2023'!$J$4:$J$497,Z$1)</f>
        <v>0</v>
      </c>
      <c r="AA21" s="198">
        <f>SUMIFS('февраль 2023'!$G$4:$G$497,'февраль 2023'!$D$4:$D$497,$B21,'февраль 2023'!$J$4:$J$497,AA$1)</f>
        <v>0</v>
      </c>
      <c r="AB21" s="198">
        <f>SUMIFS('февраль 2023'!$G$4:$G$497,'февраль 2023'!$D$4:$D$497,$B21,'февраль 2023'!$J$4:$J$497,AB$1)</f>
        <v>0</v>
      </c>
      <c r="AC21" s="198">
        <f>SUMIFS('февраль 2023'!$G$4:$G$497,'февраль 2023'!$D$4:$D$497,$B21,'февраль 2023'!$J$4:$J$497,AC$1)</f>
        <v>0</v>
      </c>
      <c r="AD21" s="198">
        <f>SUMIFS('февраль 2023'!$G$4:$G$497,'февраль 2023'!$D$4:$D$497,$B21,'февраль 2023'!$J$4:$J$497,AD$1)</f>
        <v>0</v>
      </c>
      <c r="AE21" s="198">
        <f>SUMIFS('февраль 2023'!$G$4:$G$497,'февраль 2023'!$D$4:$D$497,$B21,'февраль 2023'!$J$4:$J$497,AE$1)</f>
        <v>0</v>
      </c>
      <c r="AF21" s="198">
        <f>SUMIFS('февраль 2023'!$G$4:$G$497,'февраль 2023'!$D$4:$D$497,$B21,'февраль 2023'!$J$4:$J$497,AF$1)</f>
        <v>0</v>
      </c>
      <c r="AG21" s="198">
        <f>SUMIFS('февраль 2023'!$G$4:$G$497,'февраль 2023'!$D$4:$D$497,$B21,'февраль 2023'!$J$4:$J$497,AG$1)</f>
        <v>0</v>
      </c>
      <c r="AH21" s="198">
        <f>SUMIFS('февраль 2023'!$G$4:$G$497,'февраль 2023'!$D$4:$D$497,$B21,'февраль 2023'!$J$4:$J$497,AH$1)</f>
        <v>0</v>
      </c>
      <c r="AI21" s="170">
        <f t="shared" si="1"/>
        <v>0</v>
      </c>
    </row>
    <row r="22" spans="2:35" ht="15" hidden="1" customHeight="1" x14ac:dyDescent="0.25">
      <c r="B22" s="202"/>
      <c r="C22" s="200"/>
      <c r="D22" s="198">
        <f>SUMIFS('февраль 2023'!$G$4:$G$497,'февраль 2023'!$D$4:$D$497,$B22,'февраль 2023'!$J$4:$J$497,D$1)</f>
        <v>0</v>
      </c>
      <c r="E22" s="198">
        <f>SUMIFS('февраль 2023'!$G$4:$G$497,'февраль 2023'!$D$4:$D$497,$B22,'февраль 2023'!$J$4:$J$497,E$1)</f>
        <v>0</v>
      </c>
      <c r="F22" s="198">
        <f>SUMIFS('февраль 2023'!$G$4:$G$497,'февраль 2023'!$D$4:$D$497,$B22,'февраль 2023'!$J$4:$J$497,F$1)</f>
        <v>0</v>
      </c>
      <c r="G22" s="198">
        <f>SUMIFS('февраль 2023'!$G$4:$G$497,'февраль 2023'!$D$4:$D$497,$B22,'февраль 2023'!$J$4:$J$497,G$1)</f>
        <v>0</v>
      </c>
      <c r="H22" s="198">
        <f>SUMIFS('февраль 2023'!$G$4:$G$497,'февраль 2023'!$D$4:$D$497,$B22,'февраль 2023'!$J$4:$J$497,H$1)</f>
        <v>0</v>
      </c>
      <c r="I22" s="198">
        <f>SUMIFS('февраль 2023'!$G$4:$G$497,'февраль 2023'!$D$4:$D$497,$B22,'февраль 2023'!$J$4:$J$497,I$1)</f>
        <v>0</v>
      </c>
      <c r="J22" s="198">
        <f>SUMIFS('февраль 2023'!$G$4:$G$497,'февраль 2023'!$D$4:$D$497,$B22,'февраль 2023'!$J$4:$J$497,J$1)</f>
        <v>0</v>
      </c>
      <c r="K22" s="198">
        <f>SUMIFS('февраль 2023'!$G$4:$G$497,'февраль 2023'!$D$4:$D$497,$B22,'февраль 2023'!$J$4:$J$497,K$1)</f>
        <v>0</v>
      </c>
      <c r="L22" s="198">
        <f>SUMIFS('февраль 2023'!$G$4:$G$497,'февраль 2023'!$D$4:$D$497,$B22,'февраль 2023'!$J$4:$J$497,L$1)</f>
        <v>0</v>
      </c>
      <c r="M22" s="198">
        <f>SUMIFS('февраль 2023'!$G$4:$G$497,'февраль 2023'!$D$4:$D$497,$B22,'февраль 2023'!$J$4:$J$497,M$1)</f>
        <v>0</v>
      </c>
      <c r="N22" s="198">
        <f>SUMIFS('февраль 2023'!$G$4:$G$497,'февраль 2023'!$D$4:$D$497,$B22,'февраль 2023'!$J$4:$J$497,N$1)</f>
        <v>0</v>
      </c>
      <c r="O22" s="198">
        <f>SUMIFS('февраль 2023'!$G$4:$G$497,'февраль 2023'!$D$4:$D$497,$B22,'февраль 2023'!$J$4:$J$497,O$1)</f>
        <v>0</v>
      </c>
      <c r="P22" s="198">
        <f>SUMIFS('февраль 2023'!$G$4:$G$497,'февраль 2023'!$D$4:$D$497,$B22,'февраль 2023'!$J$4:$J$497,P$1)</f>
        <v>0</v>
      </c>
      <c r="Q22" s="198">
        <f>SUMIFS('февраль 2023'!$G$4:$G$497,'февраль 2023'!$D$4:$D$497,$B22,'февраль 2023'!$J$4:$J$497,Q$1)</f>
        <v>0</v>
      </c>
      <c r="R22" s="198">
        <f>SUMIFS('февраль 2023'!$G$4:$G$497,'февраль 2023'!$D$4:$D$497,$B22,'февраль 2023'!$J$4:$J$497,R$1)</f>
        <v>0</v>
      </c>
      <c r="S22" s="198">
        <f>SUMIFS('февраль 2023'!$G$4:$G$497,'февраль 2023'!$D$4:$D$497,$B22,'февраль 2023'!$J$4:$J$497,S$1)</f>
        <v>0</v>
      </c>
      <c r="T22" s="198">
        <f>SUMIFS('февраль 2023'!$G$4:$G$497,'февраль 2023'!$D$4:$D$497,$B22,'февраль 2023'!$J$4:$J$497,T$1)</f>
        <v>0</v>
      </c>
      <c r="U22" s="198">
        <f>SUMIFS('февраль 2023'!$G$4:$G$497,'февраль 2023'!$D$4:$D$497,$B22,'февраль 2023'!$J$4:$J$497,U$1)</f>
        <v>0</v>
      </c>
      <c r="V22" s="198">
        <f>SUMIFS('февраль 2023'!$G$4:$G$497,'февраль 2023'!$D$4:$D$497,$B22,'февраль 2023'!$J$4:$J$497,V$1)</f>
        <v>0</v>
      </c>
      <c r="W22" s="198">
        <f>SUMIFS('февраль 2023'!$G$4:$G$497,'февраль 2023'!$D$4:$D$497,$B22,'февраль 2023'!$J$4:$J$497,W$1)</f>
        <v>0</v>
      </c>
      <c r="X22" s="198">
        <f>SUMIFS('февраль 2023'!$G$4:$G$497,'февраль 2023'!$D$4:$D$497,$B22,'февраль 2023'!$J$4:$J$497,X$1)</f>
        <v>0</v>
      </c>
      <c r="Y22" s="198">
        <f>SUMIFS('февраль 2023'!$G$4:$G$497,'февраль 2023'!$D$4:$D$497,$B22,'февраль 2023'!$J$4:$J$497,Y$1)</f>
        <v>0</v>
      </c>
      <c r="Z22" s="198">
        <f>SUMIFS('февраль 2023'!$G$4:$G$497,'февраль 2023'!$D$4:$D$497,$B22,'февраль 2023'!$J$4:$J$497,Z$1)</f>
        <v>0</v>
      </c>
      <c r="AA22" s="198">
        <f>SUMIFS('февраль 2023'!$G$4:$G$497,'февраль 2023'!$D$4:$D$497,$B22,'февраль 2023'!$J$4:$J$497,AA$1)</f>
        <v>0</v>
      </c>
      <c r="AB22" s="198">
        <f>SUMIFS('февраль 2023'!$G$4:$G$497,'февраль 2023'!$D$4:$D$497,$B22,'февраль 2023'!$J$4:$J$497,AB$1)</f>
        <v>0</v>
      </c>
      <c r="AC22" s="198">
        <f>SUMIFS('февраль 2023'!$G$4:$G$497,'февраль 2023'!$D$4:$D$497,$B22,'февраль 2023'!$J$4:$J$497,AC$1)</f>
        <v>0</v>
      </c>
      <c r="AD22" s="198">
        <f>SUMIFS('февраль 2023'!$G$4:$G$497,'февраль 2023'!$D$4:$D$497,$B22,'февраль 2023'!$J$4:$J$497,AD$1)</f>
        <v>0</v>
      </c>
      <c r="AE22" s="198">
        <f>SUMIFS('февраль 2023'!$G$4:$G$497,'февраль 2023'!$D$4:$D$497,$B22,'февраль 2023'!$J$4:$J$497,AE$1)</f>
        <v>0</v>
      </c>
      <c r="AF22" s="198">
        <f>SUMIFS('февраль 2023'!$G$4:$G$497,'февраль 2023'!$D$4:$D$497,$B22,'февраль 2023'!$J$4:$J$497,AF$1)</f>
        <v>0</v>
      </c>
      <c r="AG22" s="198">
        <f>SUMIFS('февраль 2023'!$G$4:$G$497,'февраль 2023'!$D$4:$D$497,$B22,'февраль 2023'!$J$4:$J$497,AG$1)</f>
        <v>0</v>
      </c>
      <c r="AH22" s="198">
        <f>SUMIFS('февраль 2023'!$G$4:$G$497,'февраль 2023'!$D$4:$D$497,$B22,'февраль 2023'!$J$4:$J$497,AH$1)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SUMIFS('февраль 2023'!$G$4:$G$497,'февраль 2023'!$D$4:$D$497,$B23,'февраль 2023'!$J$4:$J$497,D$1)</f>
        <v>0</v>
      </c>
      <c r="E23" s="198">
        <f>SUMIFS('февраль 2023'!$G$4:$G$497,'февраль 2023'!$D$4:$D$497,$B23,'февраль 2023'!$J$4:$J$497,E$1)</f>
        <v>0</v>
      </c>
      <c r="F23" s="198">
        <f>SUMIFS('февраль 2023'!$G$4:$G$497,'февраль 2023'!$D$4:$D$497,$B23,'февраль 2023'!$J$4:$J$497,F$1)</f>
        <v>0</v>
      </c>
      <c r="G23" s="198">
        <f>SUMIFS('февраль 2023'!$G$4:$G$497,'февраль 2023'!$D$4:$D$497,$B23,'февраль 2023'!$J$4:$J$497,G$1)</f>
        <v>0</v>
      </c>
      <c r="H23" s="198">
        <f>SUMIFS('февраль 2023'!$G$4:$G$497,'февраль 2023'!$D$4:$D$497,$B23,'февраль 2023'!$J$4:$J$497,H$1)</f>
        <v>0</v>
      </c>
      <c r="I23" s="198">
        <f>SUMIFS('февраль 2023'!$G$4:$G$497,'февраль 2023'!$D$4:$D$497,$B23,'февраль 2023'!$J$4:$J$497,I$1)</f>
        <v>0</v>
      </c>
      <c r="J23" s="198">
        <f>SUMIFS('февраль 2023'!$G$4:$G$497,'февраль 2023'!$D$4:$D$497,$B23,'февраль 2023'!$J$4:$J$497,J$1)</f>
        <v>0</v>
      </c>
      <c r="K23" s="198">
        <f>SUMIFS('февраль 2023'!$G$4:$G$497,'февраль 2023'!$D$4:$D$497,$B23,'февраль 2023'!$J$4:$J$497,K$1)</f>
        <v>0</v>
      </c>
      <c r="L23" s="198">
        <f>SUMIFS('февраль 2023'!$G$4:$G$497,'февраль 2023'!$D$4:$D$497,$B23,'февраль 2023'!$J$4:$J$497,L$1)</f>
        <v>0</v>
      </c>
      <c r="M23" s="198">
        <f>SUMIFS('февраль 2023'!$G$4:$G$497,'февраль 2023'!$D$4:$D$497,$B23,'февраль 2023'!$J$4:$J$497,M$1)</f>
        <v>0</v>
      </c>
      <c r="N23" s="198">
        <f>SUMIFS('февраль 2023'!$G$4:$G$497,'февраль 2023'!$D$4:$D$497,$B23,'февраль 2023'!$J$4:$J$497,N$1)</f>
        <v>0</v>
      </c>
      <c r="O23" s="198">
        <f>SUMIFS('февраль 2023'!$G$4:$G$497,'февраль 2023'!$D$4:$D$497,$B23,'февраль 2023'!$J$4:$J$497,O$1)</f>
        <v>0</v>
      </c>
      <c r="P23" s="198">
        <f>SUMIFS('февраль 2023'!$G$4:$G$497,'февраль 2023'!$D$4:$D$497,$B23,'февраль 2023'!$J$4:$J$497,P$1)</f>
        <v>0</v>
      </c>
      <c r="Q23" s="198">
        <f>SUMIFS('февраль 2023'!$G$4:$G$497,'февраль 2023'!$D$4:$D$497,$B23,'февраль 2023'!$J$4:$J$497,Q$1)</f>
        <v>0</v>
      </c>
      <c r="R23" s="198">
        <f>SUMIFS('февраль 2023'!$G$4:$G$497,'февраль 2023'!$D$4:$D$497,$B23,'февраль 2023'!$J$4:$J$497,R$1)</f>
        <v>0</v>
      </c>
      <c r="S23" s="198">
        <f>SUMIFS('февраль 2023'!$G$4:$G$497,'февраль 2023'!$D$4:$D$497,$B23,'февраль 2023'!$J$4:$J$497,S$1)</f>
        <v>0</v>
      </c>
      <c r="T23" s="198">
        <f>SUMIFS('февраль 2023'!$G$4:$G$497,'февраль 2023'!$D$4:$D$497,$B23,'февраль 2023'!$J$4:$J$497,T$1)</f>
        <v>0</v>
      </c>
      <c r="U23" s="198">
        <f>SUMIFS('февраль 2023'!$G$4:$G$497,'февраль 2023'!$D$4:$D$497,$B23,'февраль 2023'!$J$4:$J$497,U$1)</f>
        <v>0</v>
      </c>
      <c r="V23" s="198">
        <f>SUMIFS('февраль 2023'!$G$4:$G$497,'февраль 2023'!$D$4:$D$497,$B23,'февраль 2023'!$J$4:$J$497,V$1)</f>
        <v>0</v>
      </c>
      <c r="W23" s="198">
        <f>SUMIFS('февраль 2023'!$G$4:$G$497,'февраль 2023'!$D$4:$D$497,$B23,'февраль 2023'!$J$4:$J$497,W$1)</f>
        <v>0</v>
      </c>
      <c r="X23" s="198">
        <f>SUMIFS('февраль 2023'!$G$4:$G$497,'февраль 2023'!$D$4:$D$497,$B23,'февраль 2023'!$J$4:$J$497,X$1)</f>
        <v>0</v>
      </c>
      <c r="Y23" s="198">
        <f>SUMIFS('февраль 2023'!$G$4:$G$497,'февраль 2023'!$D$4:$D$497,$B23,'февраль 2023'!$J$4:$J$497,Y$1)</f>
        <v>0</v>
      </c>
      <c r="Z23" s="198">
        <f>SUMIFS('февраль 2023'!$G$4:$G$497,'февраль 2023'!$D$4:$D$497,$B23,'февраль 2023'!$J$4:$J$497,Z$1)</f>
        <v>0</v>
      </c>
      <c r="AA23" s="198">
        <f>SUMIFS('февраль 2023'!$G$4:$G$497,'февраль 2023'!$D$4:$D$497,$B23,'февраль 2023'!$J$4:$J$497,AA$1)</f>
        <v>0</v>
      </c>
      <c r="AB23" s="198">
        <f>SUMIFS('февраль 2023'!$G$4:$G$497,'февраль 2023'!$D$4:$D$497,$B23,'февраль 2023'!$J$4:$J$497,AB$1)</f>
        <v>0</v>
      </c>
      <c r="AC23" s="198">
        <f>SUMIFS('февраль 2023'!$G$4:$G$497,'февраль 2023'!$D$4:$D$497,$B23,'февраль 2023'!$J$4:$J$497,AC$1)</f>
        <v>0</v>
      </c>
      <c r="AD23" s="198">
        <f>SUMIFS('февраль 2023'!$G$4:$G$497,'февраль 2023'!$D$4:$D$497,$B23,'февраль 2023'!$J$4:$J$497,AD$1)</f>
        <v>0</v>
      </c>
      <c r="AE23" s="198">
        <f>SUMIFS('февраль 2023'!$G$4:$G$497,'февраль 2023'!$D$4:$D$497,$B23,'февраль 2023'!$J$4:$J$497,AE$1)</f>
        <v>0</v>
      </c>
      <c r="AF23" s="198">
        <f>SUMIFS('февраль 2023'!$G$4:$G$497,'февраль 2023'!$D$4:$D$497,$B23,'февраль 2023'!$J$4:$J$497,AF$1)</f>
        <v>0</v>
      </c>
      <c r="AG23" s="198">
        <f>SUMIFS('февраль 2023'!$G$4:$G$497,'февраль 2023'!$D$4:$D$497,$B23,'февраль 2023'!$J$4:$J$497,AG$1)</f>
        <v>0</v>
      </c>
      <c r="AH23" s="198">
        <f>SUMIFS('февраль 2023'!$G$4:$G$497,'февраль 2023'!$D$4:$D$497,$B23,'февраль 2023'!$J$4:$J$497,AH$1)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SUMIFS('февраль 2023'!$G$4:$G$497,'февраль 2023'!$D$4:$D$497,$B24,'февраль 2023'!$J$4:$J$497,D$1)</f>
        <v>0</v>
      </c>
      <c r="E24" s="198">
        <f>SUMIFS('февраль 2023'!$G$4:$G$497,'февраль 2023'!$D$4:$D$497,$B24,'февраль 2023'!$J$4:$J$497,E$1)</f>
        <v>0</v>
      </c>
      <c r="F24" s="198">
        <f>SUMIFS('февраль 2023'!$G$4:$G$497,'февраль 2023'!$D$4:$D$497,$B24,'февраль 2023'!$J$4:$J$497,F$1)</f>
        <v>0</v>
      </c>
      <c r="G24" s="198">
        <f>SUMIFS('февраль 2023'!$G$4:$G$497,'февраль 2023'!$D$4:$D$497,$B24,'февраль 2023'!$J$4:$J$497,G$1)</f>
        <v>0</v>
      </c>
      <c r="H24" s="198">
        <f>SUMIFS('февраль 2023'!$G$4:$G$497,'февраль 2023'!$D$4:$D$497,$B24,'февраль 2023'!$J$4:$J$497,H$1)</f>
        <v>0</v>
      </c>
      <c r="I24" s="198">
        <f>SUMIFS('февраль 2023'!$G$4:$G$497,'февраль 2023'!$D$4:$D$497,$B24,'февраль 2023'!$J$4:$J$497,I$1)</f>
        <v>0</v>
      </c>
      <c r="J24" s="198">
        <f>SUMIFS('февраль 2023'!$G$4:$G$497,'февраль 2023'!$D$4:$D$497,$B24,'февраль 2023'!$J$4:$J$497,J$1)</f>
        <v>0</v>
      </c>
      <c r="K24" s="198">
        <f>SUMIFS('февраль 2023'!$G$4:$G$497,'февраль 2023'!$D$4:$D$497,$B24,'февраль 2023'!$J$4:$J$497,K$1)</f>
        <v>0</v>
      </c>
      <c r="L24" s="198">
        <f>SUMIFS('февраль 2023'!$G$4:$G$497,'февраль 2023'!$D$4:$D$497,$B24,'февраль 2023'!$J$4:$J$497,L$1)</f>
        <v>0</v>
      </c>
      <c r="M24" s="198">
        <f>SUMIFS('февраль 2023'!$G$4:$G$497,'февраль 2023'!$D$4:$D$497,$B24,'февраль 2023'!$J$4:$J$497,M$1)</f>
        <v>0</v>
      </c>
      <c r="N24" s="198">
        <f>SUMIFS('февраль 2023'!$G$4:$G$497,'февраль 2023'!$D$4:$D$497,$B24,'февраль 2023'!$J$4:$J$497,N$1)</f>
        <v>0</v>
      </c>
      <c r="O24" s="198">
        <f>SUMIFS('февраль 2023'!$G$4:$G$497,'февраль 2023'!$D$4:$D$497,$B24,'февраль 2023'!$J$4:$J$497,O$1)</f>
        <v>0</v>
      </c>
      <c r="P24" s="198">
        <f>SUMIFS('февраль 2023'!$G$4:$G$497,'февраль 2023'!$D$4:$D$497,$B24,'февраль 2023'!$J$4:$J$497,P$1)</f>
        <v>0</v>
      </c>
      <c r="Q24" s="198">
        <f>SUMIFS('февраль 2023'!$G$4:$G$497,'февраль 2023'!$D$4:$D$497,$B24,'февраль 2023'!$J$4:$J$497,Q$1)</f>
        <v>0</v>
      </c>
      <c r="R24" s="198">
        <f>SUMIFS('февраль 2023'!$G$4:$G$497,'февраль 2023'!$D$4:$D$497,$B24,'февраль 2023'!$J$4:$J$497,R$1)</f>
        <v>0</v>
      </c>
      <c r="S24" s="198">
        <f>SUMIFS('февраль 2023'!$G$4:$G$497,'февраль 2023'!$D$4:$D$497,$B24,'февраль 2023'!$J$4:$J$497,S$1)</f>
        <v>0</v>
      </c>
      <c r="T24" s="198">
        <f>SUMIFS('февраль 2023'!$G$4:$G$497,'февраль 2023'!$D$4:$D$497,$B24,'февраль 2023'!$J$4:$J$497,T$1)</f>
        <v>0</v>
      </c>
      <c r="U24" s="198">
        <f>SUMIFS('февраль 2023'!$G$4:$G$497,'февраль 2023'!$D$4:$D$497,$B24,'февраль 2023'!$J$4:$J$497,U$1)</f>
        <v>0</v>
      </c>
      <c r="V24" s="198">
        <f>SUMIFS('февраль 2023'!$G$4:$G$497,'февраль 2023'!$D$4:$D$497,$B24,'февраль 2023'!$J$4:$J$497,V$1)</f>
        <v>0</v>
      </c>
      <c r="W24" s="198">
        <f>SUMIFS('февраль 2023'!$G$4:$G$497,'февраль 2023'!$D$4:$D$497,$B24,'февраль 2023'!$J$4:$J$497,W$1)</f>
        <v>0</v>
      </c>
      <c r="X24" s="198">
        <f>SUMIFS('февраль 2023'!$G$4:$G$497,'февраль 2023'!$D$4:$D$497,$B24,'февраль 2023'!$J$4:$J$497,X$1)</f>
        <v>0</v>
      </c>
      <c r="Y24" s="198">
        <f>SUMIFS('февраль 2023'!$G$4:$G$497,'февраль 2023'!$D$4:$D$497,$B24,'февраль 2023'!$J$4:$J$497,Y$1)</f>
        <v>0</v>
      </c>
      <c r="Z24" s="198">
        <f>SUMIFS('февраль 2023'!$G$4:$G$497,'февраль 2023'!$D$4:$D$497,$B24,'февраль 2023'!$J$4:$J$497,Z$1)</f>
        <v>0</v>
      </c>
      <c r="AA24" s="198">
        <f>SUMIFS('февраль 2023'!$G$4:$G$497,'февраль 2023'!$D$4:$D$497,$B24,'февраль 2023'!$J$4:$J$497,AA$1)</f>
        <v>0</v>
      </c>
      <c r="AB24" s="198">
        <f>SUMIFS('февраль 2023'!$G$4:$G$497,'февраль 2023'!$D$4:$D$497,$B24,'февраль 2023'!$J$4:$J$497,AB$1)</f>
        <v>0</v>
      </c>
      <c r="AC24" s="198">
        <f>SUMIFS('февраль 2023'!$G$4:$G$497,'февраль 2023'!$D$4:$D$497,$B24,'февраль 2023'!$J$4:$J$497,AC$1)</f>
        <v>0</v>
      </c>
      <c r="AD24" s="198">
        <f>SUMIFS('февраль 2023'!$G$4:$G$497,'февраль 2023'!$D$4:$D$497,$B24,'февраль 2023'!$J$4:$J$497,AD$1)</f>
        <v>0</v>
      </c>
      <c r="AE24" s="198">
        <f>SUMIFS('февраль 2023'!$G$4:$G$497,'февраль 2023'!$D$4:$D$497,$B24,'февраль 2023'!$J$4:$J$497,AE$1)</f>
        <v>0</v>
      </c>
      <c r="AF24" s="198">
        <f>SUMIFS('февраль 2023'!$G$4:$G$497,'февраль 2023'!$D$4:$D$497,$B24,'февраль 2023'!$J$4:$J$497,AF$1)</f>
        <v>0</v>
      </c>
      <c r="AG24" s="198">
        <f>SUMIFS('февраль 2023'!$G$4:$G$497,'февраль 2023'!$D$4:$D$497,$B24,'февраль 2023'!$J$4:$J$497,AG$1)</f>
        <v>0</v>
      </c>
      <c r="AH24" s="198">
        <f>SUMIFS('февраль 2023'!$G$4:$G$497,'февраль 2023'!$D$4:$D$497,$B24,'февраль 2023'!$J$4:$J$497,AH$1)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SUMIFS('февраль 2023'!$G$4:$G$497,'февраль 2023'!$D$4:$D$497,$B25,'февраль 2023'!$J$4:$J$497,D$1)</f>
        <v>0</v>
      </c>
      <c r="E25" s="198">
        <f>SUMIFS('февраль 2023'!$G$4:$G$497,'февраль 2023'!$D$4:$D$497,$B25,'февраль 2023'!$J$4:$J$497,E$1)</f>
        <v>0</v>
      </c>
      <c r="F25" s="198">
        <f>SUMIFS('февраль 2023'!$G$4:$G$497,'февраль 2023'!$D$4:$D$497,$B25,'февраль 2023'!$J$4:$J$497,F$1)</f>
        <v>0</v>
      </c>
      <c r="G25" s="198">
        <f>SUMIFS('февраль 2023'!$G$4:$G$497,'февраль 2023'!$D$4:$D$497,$B25,'февраль 2023'!$J$4:$J$497,G$1)</f>
        <v>0</v>
      </c>
      <c r="H25" s="198">
        <f>SUMIFS('февраль 2023'!$G$4:$G$497,'февраль 2023'!$D$4:$D$497,$B25,'февраль 2023'!$J$4:$J$497,H$1)</f>
        <v>0</v>
      </c>
      <c r="I25" s="198">
        <f>SUMIFS('февраль 2023'!$G$4:$G$497,'февраль 2023'!$D$4:$D$497,$B25,'февраль 2023'!$J$4:$J$497,I$1)</f>
        <v>0</v>
      </c>
      <c r="J25" s="198">
        <f>SUMIFS('февраль 2023'!$G$4:$G$497,'февраль 2023'!$D$4:$D$497,$B25,'февраль 2023'!$J$4:$J$497,J$1)</f>
        <v>0</v>
      </c>
      <c r="K25" s="198">
        <f>SUMIFS('февраль 2023'!$G$4:$G$497,'февраль 2023'!$D$4:$D$497,$B25,'февраль 2023'!$J$4:$J$497,K$1)</f>
        <v>0</v>
      </c>
      <c r="L25" s="198">
        <f>SUMIFS('февраль 2023'!$G$4:$G$497,'февраль 2023'!$D$4:$D$497,$B25,'февраль 2023'!$J$4:$J$497,L$1)</f>
        <v>0</v>
      </c>
      <c r="M25" s="198">
        <f>SUMIFS('февраль 2023'!$G$4:$G$497,'февраль 2023'!$D$4:$D$497,$B25,'февраль 2023'!$J$4:$J$497,M$1)</f>
        <v>0</v>
      </c>
      <c r="N25" s="198">
        <f>SUMIFS('февраль 2023'!$G$4:$G$497,'февраль 2023'!$D$4:$D$497,$B25,'февраль 2023'!$J$4:$J$497,N$1)</f>
        <v>0</v>
      </c>
      <c r="O25" s="198">
        <f>SUMIFS('февраль 2023'!$G$4:$G$497,'февраль 2023'!$D$4:$D$497,$B25,'февраль 2023'!$J$4:$J$497,O$1)</f>
        <v>0</v>
      </c>
      <c r="P25" s="198">
        <f>SUMIFS('февраль 2023'!$G$4:$G$497,'февраль 2023'!$D$4:$D$497,$B25,'февраль 2023'!$J$4:$J$497,P$1)</f>
        <v>0</v>
      </c>
      <c r="Q25" s="198">
        <f>SUMIFS('февраль 2023'!$G$4:$G$497,'февраль 2023'!$D$4:$D$497,$B25,'февраль 2023'!$J$4:$J$497,Q$1)</f>
        <v>0</v>
      </c>
      <c r="R25" s="198">
        <f>SUMIFS('февраль 2023'!$G$4:$G$497,'февраль 2023'!$D$4:$D$497,$B25,'февраль 2023'!$J$4:$J$497,R$1)</f>
        <v>0</v>
      </c>
      <c r="S25" s="198">
        <f>SUMIFS('февраль 2023'!$G$4:$G$497,'февраль 2023'!$D$4:$D$497,$B25,'февраль 2023'!$J$4:$J$497,S$1)</f>
        <v>0</v>
      </c>
      <c r="T25" s="198">
        <f>SUMIFS('февраль 2023'!$G$4:$G$497,'февраль 2023'!$D$4:$D$497,$B25,'февраль 2023'!$J$4:$J$497,T$1)</f>
        <v>0</v>
      </c>
      <c r="U25" s="198">
        <f>SUMIFS('февраль 2023'!$G$4:$G$497,'февраль 2023'!$D$4:$D$497,$B25,'февраль 2023'!$J$4:$J$497,U$1)</f>
        <v>0</v>
      </c>
      <c r="V25" s="198">
        <f>SUMIFS('февраль 2023'!$G$4:$G$497,'февраль 2023'!$D$4:$D$497,$B25,'февраль 2023'!$J$4:$J$497,V$1)</f>
        <v>0</v>
      </c>
      <c r="W25" s="198">
        <f>SUMIFS('февраль 2023'!$G$4:$G$497,'февраль 2023'!$D$4:$D$497,$B25,'февраль 2023'!$J$4:$J$497,W$1)</f>
        <v>0</v>
      </c>
      <c r="X25" s="198">
        <f>SUMIFS('февраль 2023'!$G$4:$G$497,'февраль 2023'!$D$4:$D$497,$B25,'февраль 2023'!$J$4:$J$497,X$1)</f>
        <v>0</v>
      </c>
      <c r="Y25" s="198">
        <f>SUMIFS('февраль 2023'!$G$4:$G$497,'февраль 2023'!$D$4:$D$497,$B25,'февраль 2023'!$J$4:$J$497,Y$1)</f>
        <v>0</v>
      </c>
      <c r="Z25" s="198">
        <f>SUMIFS('февраль 2023'!$G$4:$G$497,'февраль 2023'!$D$4:$D$497,$B25,'февраль 2023'!$J$4:$J$497,Z$1)</f>
        <v>0</v>
      </c>
      <c r="AA25" s="198">
        <f>SUMIFS('февраль 2023'!$G$4:$G$497,'февраль 2023'!$D$4:$D$497,$B25,'февраль 2023'!$J$4:$J$497,AA$1)</f>
        <v>0</v>
      </c>
      <c r="AB25" s="198">
        <f>SUMIFS('февраль 2023'!$G$4:$G$497,'февраль 2023'!$D$4:$D$497,$B25,'февраль 2023'!$J$4:$J$497,AB$1)</f>
        <v>0</v>
      </c>
      <c r="AC25" s="198">
        <f>SUMIFS('февраль 2023'!$G$4:$G$497,'февраль 2023'!$D$4:$D$497,$B25,'февраль 2023'!$J$4:$J$497,AC$1)</f>
        <v>0</v>
      </c>
      <c r="AD25" s="198">
        <f>SUMIFS('февраль 2023'!$G$4:$G$497,'февраль 2023'!$D$4:$D$497,$B25,'февраль 2023'!$J$4:$J$497,AD$1)</f>
        <v>0</v>
      </c>
      <c r="AE25" s="198">
        <f>SUMIFS('февраль 2023'!$G$4:$G$497,'февраль 2023'!$D$4:$D$497,$B25,'февраль 2023'!$J$4:$J$497,AE$1)</f>
        <v>0</v>
      </c>
      <c r="AF25" s="198">
        <f>SUMIFS('февраль 2023'!$G$4:$G$497,'февраль 2023'!$D$4:$D$497,$B25,'февраль 2023'!$J$4:$J$497,AF$1)</f>
        <v>0</v>
      </c>
      <c r="AG25" s="198">
        <f>SUMIFS('февраль 2023'!$G$4:$G$497,'февраль 2023'!$D$4:$D$497,$B25,'февраль 2023'!$J$4:$J$497,AG$1)</f>
        <v>0</v>
      </c>
      <c r="AH25" s="198">
        <f>SUMIFS('февраль 2023'!$G$4:$G$497,'февраль 2023'!$D$4:$D$497,$B25,'февраль 2023'!$J$4:$J$497,AH$1)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SUMIFS('февраль 2023'!$G$4:$G$497,'февраль 2023'!$D$4:$D$497,$B26,'февраль 2023'!$J$4:$J$497,D$1)</f>
        <v>0</v>
      </c>
      <c r="E26" s="198">
        <f>SUMIFS('февраль 2023'!$G$4:$G$497,'февраль 2023'!$D$4:$D$497,$B26,'февраль 2023'!$J$4:$J$497,E$1)</f>
        <v>0</v>
      </c>
      <c r="F26" s="198">
        <f>SUMIFS('февраль 2023'!$G$4:$G$497,'февраль 2023'!$D$4:$D$497,$B26,'февраль 2023'!$J$4:$J$497,F$1)</f>
        <v>0</v>
      </c>
      <c r="G26" s="198">
        <f>SUMIFS('февраль 2023'!$G$4:$G$497,'февраль 2023'!$D$4:$D$497,$B26,'февраль 2023'!$J$4:$J$497,G$1)</f>
        <v>0</v>
      </c>
      <c r="H26" s="198">
        <f>SUMIFS('февраль 2023'!$G$4:$G$497,'февраль 2023'!$D$4:$D$497,$B26,'февраль 2023'!$J$4:$J$497,H$1)</f>
        <v>0</v>
      </c>
      <c r="I26" s="198">
        <f>SUMIFS('февраль 2023'!$G$4:$G$497,'февраль 2023'!$D$4:$D$497,$B26,'февраль 2023'!$J$4:$J$497,I$1)</f>
        <v>0</v>
      </c>
      <c r="J26" s="198">
        <f>SUMIFS('февраль 2023'!$G$4:$G$497,'февраль 2023'!$D$4:$D$497,$B26,'февраль 2023'!$J$4:$J$497,J$1)</f>
        <v>0</v>
      </c>
      <c r="K26" s="198">
        <f>SUMIFS('февраль 2023'!$G$4:$G$497,'февраль 2023'!$D$4:$D$497,$B26,'февраль 2023'!$J$4:$J$497,K$1)</f>
        <v>0</v>
      </c>
      <c r="L26" s="198">
        <f>SUMIFS('февраль 2023'!$G$4:$G$497,'февраль 2023'!$D$4:$D$497,$B26,'февраль 2023'!$J$4:$J$497,L$1)</f>
        <v>0</v>
      </c>
      <c r="M26" s="198">
        <f>SUMIFS('февраль 2023'!$G$4:$G$497,'февраль 2023'!$D$4:$D$497,$B26,'февраль 2023'!$J$4:$J$497,M$1)</f>
        <v>0</v>
      </c>
      <c r="N26" s="198">
        <f>SUMIFS('февраль 2023'!$G$4:$G$497,'февраль 2023'!$D$4:$D$497,$B26,'февраль 2023'!$J$4:$J$497,N$1)</f>
        <v>0</v>
      </c>
      <c r="O26" s="198">
        <f>SUMIFS('февраль 2023'!$G$4:$G$497,'февраль 2023'!$D$4:$D$497,$B26,'февраль 2023'!$J$4:$J$497,O$1)</f>
        <v>0</v>
      </c>
      <c r="P26" s="198">
        <f>SUMIFS('февраль 2023'!$G$4:$G$497,'февраль 2023'!$D$4:$D$497,$B26,'февраль 2023'!$J$4:$J$497,P$1)</f>
        <v>0</v>
      </c>
      <c r="Q26" s="198">
        <f>SUMIFS('февраль 2023'!$G$4:$G$497,'февраль 2023'!$D$4:$D$497,$B26,'февраль 2023'!$J$4:$J$497,Q$1)</f>
        <v>0</v>
      </c>
      <c r="R26" s="198">
        <f>SUMIFS('февраль 2023'!$G$4:$G$497,'февраль 2023'!$D$4:$D$497,$B26,'февраль 2023'!$J$4:$J$497,R$1)</f>
        <v>0</v>
      </c>
      <c r="S26" s="198">
        <f>SUMIFS('февраль 2023'!$G$4:$G$497,'февраль 2023'!$D$4:$D$497,$B26,'февраль 2023'!$J$4:$J$497,S$1)</f>
        <v>0</v>
      </c>
      <c r="T26" s="198">
        <f>SUMIFS('февраль 2023'!$G$4:$G$497,'февраль 2023'!$D$4:$D$497,$B26,'февраль 2023'!$J$4:$J$497,T$1)</f>
        <v>0</v>
      </c>
      <c r="U26" s="198">
        <f>SUMIFS('февраль 2023'!$G$4:$G$497,'февраль 2023'!$D$4:$D$497,$B26,'февраль 2023'!$J$4:$J$497,U$1)</f>
        <v>0</v>
      </c>
      <c r="V26" s="198">
        <f>SUMIFS('февраль 2023'!$G$4:$G$497,'февраль 2023'!$D$4:$D$497,$B26,'февраль 2023'!$J$4:$J$497,V$1)</f>
        <v>0</v>
      </c>
      <c r="W26" s="198">
        <f>SUMIFS('февраль 2023'!$G$4:$G$497,'февраль 2023'!$D$4:$D$497,$B26,'февраль 2023'!$J$4:$J$497,W$1)</f>
        <v>0</v>
      </c>
      <c r="X26" s="198">
        <f>SUMIFS('февраль 2023'!$G$4:$G$497,'февраль 2023'!$D$4:$D$497,$B26,'февраль 2023'!$J$4:$J$497,X$1)</f>
        <v>0</v>
      </c>
      <c r="Y26" s="198">
        <f>SUMIFS('февраль 2023'!$G$4:$G$497,'февраль 2023'!$D$4:$D$497,$B26,'февраль 2023'!$J$4:$J$497,Y$1)</f>
        <v>0</v>
      </c>
      <c r="Z26" s="198">
        <f>SUMIFS('февраль 2023'!$G$4:$G$497,'февраль 2023'!$D$4:$D$497,$B26,'февраль 2023'!$J$4:$J$497,Z$1)</f>
        <v>0</v>
      </c>
      <c r="AA26" s="198">
        <f>SUMIFS('февраль 2023'!$G$4:$G$497,'февраль 2023'!$D$4:$D$497,$B26,'февраль 2023'!$J$4:$J$497,AA$1)</f>
        <v>0</v>
      </c>
      <c r="AB26" s="198">
        <f>SUMIFS('февраль 2023'!$G$4:$G$497,'февраль 2023'!$D$4:$D$497,$B26,'февраль 2023'!$J$4:$J$497,AB$1)</f>
        <v>0</v>
      </c>
      <c r="AC26" s="198">
        <f>SUMIFS('февраль 2023'!$G$4:$G$497,'февраль 2023'!$D$4:$D$497,$B26,'февраль 2023'!$J$4:$J$497,AC$1)</f>
        <v>0</v>
      </c>
      <c r="AD26" s="198">
        <f>SUMIFS('февраль 2023'!$G$4:$G$497,'февраль 2023'!$D$4:$D$497,$B26,'февраль 2023'!$J$4:$J$497,AD$1)</f>
        <v>0</v>
      </c>
      <c r="AE26" s="198">
        <f>SUMIFS('февраль 2023'!$G$4:$G$497,'февраль 2023'!$D$4:$D$497,$B26,'февраль 2023'!$J$4:$J$497,AE$1)</f>
        <v>0</v>
      </c>
      <c r="AF26" s="198">
        <f>SUMIFS('февраль 2023'!$G$4:$G$497,'февраль 2023'!$D$4:$D$497,$B26,'февраль 2023'!$J$4:$J$497,AF$1)</f>
        <v>0</v>
      </c>
      <c r="AG26" s="198">
        <f>SUMIFS('февраль 2023'!$G$4:$G$497,'февраль 2023'!$D$4:$D$497,$B26,'февраль 2023'!$J$4:$J$497,AG$1)</f>
        <v>0</v>
      </c>
      <c r="AH26" s="198">
        <f>SUMIFS('февраль 2023'!$G$4:$G$497,'февраль 2023'!$D$4:$D$497,$B26,'февраль 2023'!$J$4:$J$497,AH$1)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SUMIFS('февраль 2023'!$G$4:$G$497,'февраль 2023'!$D$4:$D$497,$B27,'февраль 2023'!$J$4:$J$497,D$1)</f>
        <v>0</v>
      </c>
      <c r="E27" s="198">
        <f>SUMIFS('февраль 2023'!$G$4:$G$497,'февраль 2023'!$D$4:$D$497,$B27,'февраль 2023'!$J$4:$J$497,E$1)</f>
        <v>0</v>
      </c>
      <c r="F27" s="198">
        <f>SUMIFS('февраль 2023'!$G$4:$G$497,'февраль 2023'!$D$4:$D$497,$B27,'февраль 2023'!$J$4:$J$497,F$1)</f>
        <v>0</v>
      </c>
      <c r="G27" s="198">
        <f>SUMIFS('февраль 2023'!$G$4:$G$497,'февраль 2023'!$D$4:$D$497,$B27,'февраль 2023'!$J$4:$J$497,G$1)</f>
        <v>0</v>
      </c>
      <c r="H27" s="198">
        <f>SUMIFS('февраль 2023'!$G$4:$G$497,'февраль 2023'!$D$4:$D$497,$B27,'февраль 2023'!$J$4:$J$497,H$1)</f>
        <v>0</v>
      </c>
      <c r="I27" s="198">
        <f>SUMIFS('февраль 2023'!$G$4:$G$497,'февраль 2023'!$D$4:$D$497,$B27,'февраль 2023'!$J$4:$J$497,I$1)</f>
        <v>0</v>
      </c>
      <c r="J27" s="198">
        <f>SUMIFS('февраль 2023'!$G$4:$G$497,'февраль 2023'!$D$4:$D$497,$B27,'февраль 2023'!$J$4:$J$497,J$1)</f>
        <v>0</v>
      </c>
      <c r="K27" s="198">
        <f>SUMIFS('февраль 2023'!$G$4:$G$497,'февраль 2023'!$D$4:$D$497,$B27,'февраль 2023'!$J$4:$J$497,K$1)</f>
        <v>0</v>
      </c>
      <c r="L27" s="198">
        <f>SUMIFS('февраль 2023'!$G$4:$G$497,'февраль 2023'!$D$4:$D$497,$B27,'февраль 2023'!$J$4:$J$497,L$1)</f>
        <v>0</v>
      </c>
      <c r="M27" s="198">
        <f>SUMIFS('февраль 2023'!$G$4:$G$497,'февраль 2023'!$D$4:$D$497,$B27,'февраль 2023'!$J$4:$J$497,M$1)</f>
        <v>0</v>
      </c>
      <c r="N27" s="198">
        <f>SUMIFS('февраль 2023'!$G$4:$G$497,'февраль 2023'!$D$4:$D$497,$B27,'февраль 2023'!$J$4:$J$497,N$1)</f>
        <v>0</v>
      </c>
      <c r="O27" s="198">
        <f>SUMIFS('февраль 2023'!$G$4:$G$497,'февраль 2023'!$D$4:$D$497,$B27,'февраль 2023'!$J$4:$J$497,O$1)</f>
        <v>0</v>
      </c>
      <c r="P27" s="198">
        <f>SUMIFS('февраль 2023'!$G$4:$G$497,'февраль 2023'!$D$4:$D$497,$B27,'февраль 2023'!$J$4:$J$497,P$1)</f>
        <v>0</v>
      </c>
      <c r="Q27" s="198">
        <f>SUMIFS('февраль 2023'!$G$4:$G$497,'февраль 2023'!$D$4:$D$497,$B27,'февраль 2023'!$J$4:$J$497,Q$1)</f>
        <v>0</v>
      </c>
      <c r="R27" s="198">
        <f>SUMIFS('февраль 2023'!$G$4:$G$497,'февраль 2023'!$D$4:$D$497,$B27,'февраль 2023'!$J$4:$J$497,R$1)</f>
        <v>0</v>
      </c>
      <c r="S27" s="198">
        <f>SUMIFS('февраль 2023'!$G$4:$G$497,'февраль 2023'!$D$4:$D$497,$B27,'февраль 2023'!$J$4:$J$497,S$1)</f>
        <v>0</v>
      </c>
      <c r="T27" s="198">
        <f>SUMIFS('февраль 2023'!$G$4:$G$497,'февраль 2023'!$D$4:$D$497,$B27,'февраль 2023'!$J$4:$J$497,T$1)</f>
        <v>0</v>
      </c>
      <c r="U27" s="198">
        <f>SUMIFS('февраль 2023'!$G$4:$G$497,'февраль 2023'!$D$4:$D$497,$B27,'февраль 2023'!$J$4:$J$497,U$1)</f>
        <v>0</v>
      </c>
      <c r="V27" s="198">
        <f>SUMIFS('февраль 2023'!$G$4:$G$497,'февраль 2023'!$D$4:$D$497,$B27,'февраль 2023'!$J$4:$J$497,V$1)</f>
        <v>0</v>
      </c>
      <c r="W27" s="198">
        <f>SUMIFS('февраль 2023'!$G$4:$G$497,'февраль 2023'!$D$4:$D$497,$B27,'февраль 2023'!$J$4:$J$497,W$1)</f>
        <v>0</v>
      </c>
      <c r="X27" s="198">
        <f>SUMIFS('февраль 2023'!$G$4:$G$497,'февраль 2023'!$D$4:$D$497,$B27,'февраль 2023'!$J$4:$J$497,X$1)</f>
        <v>0</v>
      </c>
      <c r="Y27" s="198">
        <f>SUMIFS('февраль 2023'!$G$4:$G$497,'февраль 2023'!$D$4:$D$497,$B27,'февраль 2023'!$J$4:$J$497,Y$1)</f>
        <v>0</v>
      </c>
      <c r="Z27" s="198">
        <f>SUMIFS('февраль 2023'!$G$4:$G$497,'февраль 2023'!$D$4:$D$497,$B27,'февраль 2023'!$J$4:$J$497,Z$1)</f>
        <v>0</v>
      </c>
      <c r="AA27" s="198">
        <f>SUMIFS('февраль 2023'!$G$4:$G$497,'февраль 2023'!$D$4:$D$497,$B27,'февраль 2023'!$J$4:$J$497,AA$1)</f>
        <v>0</v>
      </c>
      <c r="AB27" s="198">
        <f>SUMIFS('февраль 2023'!$G$4:$G$497,'февраль 2023'!$D$4:$D$497,$B27,'февраль 2023'!$J$4:$J$497,AB$1)</f>
        <v>0</v>
      </c>
      <c r="AC27" s="198">
        <f>SUMIFS('февраль 2023'!$G$4:$G$497,'февраль 2023'!$D$4:$D$497,$B27,'февраль 2023'!$J$4:$J$497,AC$1)</f>
        <v>0</v>
      </c>
      <c r="AD27" s="198">
        <f>SUMIFS('февраль 2023'!$G$4:$G$497,'февраль 2023'!$D$4:$D$497,$B27,'февраль 2023'!$J$4:$J$497,AD$1)</f>
        <v>0</v>
      </c>
      <c r="AE27" s="198">
        <f>SUMIFS('февраль 2023'!$G$4:$G$497,'февраль 2023'!$D$4:$D$497,$B27,'февраль 2023'!$J$4:$J$497,AE$1)</f>
        <v>0</v>
      </c>
      <c r="AF27" s="198">
        <f>SUMIFS('февраль 2023'!$G$4:$G$497,'февраль 2023'!$D$4:$D$497,$B27,'февраль 2023'!$J$4:$J$497,AF$1)</f>
        <v>0</v>
      </c>
      <c r="AG27" s="198">
        <f>SUMIFS('февраль 2023'!$G$4:$G$497,'февраль 2023'!$D$4:$D$497,$B27,'февраль 2023'!$J$4:$J$497,AG$1)</f>
        <v>0</v>
      </c>
      <c r="AH27" s="198">
        <f>SUMIFS('февраль 2023'!$G$4:$G$497,'февраль 2023'!$D$4:$D$497,$B27,'февраль 2023'!$J$4:$J$497,AH$1)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SUMIFS('февраль 2023'!$G$4:$G$497,'февраль 2023'!$D$4:$D$497,$B28,'февраль 2023'!$J$4:$J$497,D$1)</f>
        <v>0</v>
      </c>
      <c r="E28" s="198">
        <f>SUMIFS('февраль 2023'!$G$4:$G$497,'февраль 2023'!$D$4:$D$497,$B28,'февраль 2023'!$J$4:$J$497,E$1)</f>
        <v>0</v>
      </c>
      <c r="F28" s="198">
        <f>SUMIFS('февраль 2023'!$G$4:$G$497,'февраль 2023'!$D$4:$D$497,$B28,'февраль 2023'!$J$4:$J$497,F$1)</f>
        <v>0</v>
      </c>
      <c r="G28" s="198">
        <f>SUMIFS('февраль 2023'!$G$4:$G$497,'февраль 2023'!$D$4:$D$497,$B28,'февраль 2023'!$J$4:$J$497,G$1)</f>
        <v>0</v>
      </c>
      <c r="H28" s="198">
        <f>SUMIFS('февраль 2023'!$G$4:$G$497,'февраль 2023'!$D$4:$D$497,$B28,'февраль 2023'!$J$4:$J$497,H$1)</f>
        <v>0</v>
      </c>
      <c r="I28" s="198">
        <f>SUMIFS('февраль 2023'!$G$4:$G$497,'февраль 2023'!$D$4:$D$497,$B28,'февраль 2023'!$J$4:$J$497,I$1)</f>
        <v>0</v>
      </c>
      <c r="J28" s="198">
        <f>SUMIFS('февраль 2023'!$G$4:$G$497,'февраль 2023'!$D$4:$D$497,$B28,'февраль 2023'!$J$4:$J$497,J$1)</f>
        <v>0</v>
      </c>
      <c r="K28" s="198">
        <f>SUMIFS('февраль 2023'!$G$4:$G$497,'февраль 2023'!$D$4:$D$497,$B28,'февраль 2023'!$J$4:$J$497,K$1)</f>
        <v>0</v>
      </c>
      <c r="L28" s="198">
        <f>SUMIFS('февраль 2023'!$G$4:$G$497,'февраль 2023'!$D$4:$D$497,$B28,'февраль 2023'!$J$4:$J$497,L$1)</f>
        <v>0</v>
      </c>
      <c r="M28" s="198">
        <f>SUMIFS('февраль 2023'!$G$4:$G$497,'февраль 2023'!$D$4:$D$497,$B28,'февраль 2023'!$J$4:$J$497,M$1)</f>
        <v>0</v>
      </c>
      <c r="N28" s="198">
        <f>SUMIFS('февраль 2023'!$G$4:$G$497,'февраль 2023'!$D$4:$D$497,$B28,'февраль 2023'!$J$4:$J$497,N$1)</f>
        <v>0</v>
      </c>
      <c r="O28" s="198">
        <f>SUMIFS('февраль 2023'!$G$4:$G$497,'февраль 2023'!$D$4:$D$497,$B28,'февраль 2023'!$J$4:$J$497,O$1)</f>
        <v>0</v>
      </c>
      <c r="P28" s="198">
        <f>SUMIFS('февраль 2023'!$G$4:$G$497,'февраль 2023'!$D$4:$D$497,$B28,'февраль 2023'!$J$4:$J$497,P$1)</f>
        <v>0</v>
      </c>
      <c r="Q28" s="198">
        <f>SUMIFS('февраль 2023'!$G$4:$G$497,'февраль 2023'!$D$4:$D$497,$B28,'февраль 2023'!$J$4:$J$497,Q$1)</f>
        <v>0</v>
      </c>
      <c r="R28" s="198">
        <f>SUMIFS('февраль 2023'!$G$4:$G$497,'февраль 2023'!$D$4:$D$497,$B28,'февраль 2023'!$J$4:$J$497,R$1)</f>
        <v>0</v>
      </c>
      <c r="S28" s="198">
        <f>SUMIFS('февраль 2023'!$G$4:$G$497,'февраль 2023'!$D$4:$D$497,$B28,'февраль 2023'!$J$4:$J$497,S$1)</f>
        <v>0</v>
      </c>
      <c r="T28" s="198">
        <f>SUMIFS('февраль 2023'!$G$4:$G$497,'февраль 2023'!$D$4:$D$497,$B28,'февраль 2023'!$J$4:$J$497,T$1)</f>
        <v>0</v>
      </c>
      <c r="U28" s="198">
        <f>SUMIFS('февраль 2023'!$G$4:$G$497,'февраль 2023'!$D$4:$D$497,$B28,'февраль 2023'!$J$4:$J$497,U$1)</f>
        <v>0</v>
      </c>
      <c r="V28" s="198">
        <f>SUMIFS('февраль 2023'!$G$4:$G$497,'февраль 2023'!$D$4:$D$497,$B28,'февраль 2023'!$J$4:$J$497,V$1)</f>
        <v>0</v>
      </c>
      <c r="W28" s="198">
        <f>SUMIFS('февраль 2023'!$G$4:$G$497,'февраль 2023'!$D$4:$D$497,$B28,'февраль 2023'!$J$4:$J$497,W$1)</f>
        <v>0</v>
      </c>
      <c r="X28" s="198">
        <f>SUMIFS('февраль 2023'!$G$4:$G$497,'февраль 2023'!$D$4:$D$497,$B28,'февраль 2023'!$J$4:$J$497,X$1)</f>
        <v>0</v>
      </c>
      <c r="Y28" s="198">
        <f>SUMIFS('февраль 2023'!$G$4:$G$497,'февраль 2023'!$D$4:$D$497,$B28,'февраль 2023'!$J$4:$J$497,Y$1)</f>
        <v>0</v>
      </c>
      <c r="Z28" s="198">
        <f>SUMIFS('февраль 2023'!$G$4:$G$497,'февраль 2023'!$D$4:$D$497,$B28,'февраль 2023'!$J$4:$J$497,Z$1)</f>
        <v>0</v>
      </c>
      <c r="AA28" s="198">
        <f>SUMIFS('февраль 2023'!$G$4:$G$497,'февраль 2023'!$D$4:$D$497,$B28,'февраль 2023'!$J$4:$J$497,AA$1)</f>
        <v>0</v>
      </c>
      <c r="AB28" s="198">
        <f>SUMIFS('февраль 2023'!$G$4:$G$497,'февраль 2023'!$D$4:$D$497,$B28,'февраль 2023'!$J$4:$J$497,AB$1)</f>
        <v>0</v>
      </c>
      <c r="AC28" s="198">
        <f>SUMIFS('февраль 2023'!$G$4:$G$497,'февраль 2023'!$D$4:$D$497,$B28,'февраль 2023'!$J$4:$J$497,AC$1)</f>
        <v>0</v>
      </c>
      <c r="AD28" s="198">
        <f>SUMIFS('февраль 2023'!$G$4:$G$497,'февраль 2023'!$D$4:$D$497,$B28,'февраль 2023'!$J$4:$J$497,AD$1)</f>
        <v>0</v>
      </c>
      <c r="AE28" s="198">
        <f>SUMIFS('февраль 2023'!$G$4:$G$497,'февраль 2023'!$D$4:$D$497,$B28,'февраль 2023'!$J$4:$J$497,AE$1)</f>
        <v>0</v>
      </c>
      <c r="AF28" s="198">
        <f>SUMIFS('февраль 2023'!$G$4:$G$497,'февраль 2023'!$D$4:$D$497,$B28,'февраль 2023'!$J$4:$J$497,AF$1)</f>
        <v>0</v>
      </c>
      <c r="AG28" s="198">
        <f>SUMIFS('февраль 2023'!$G$4:$G$497,'февраль 2023'!$D$4:$D$497,$B28,'февраль 2023'!$J$4:$J$497,AG$1)</f>
        <v>0</v>
      </c>
      <c r="AH28" s="198">
        <f>SUMIFS('февраль 2023'!$G$4:$G$497,'февраль 2023'!$D$4:$D$497,$B28,'февраль 2023'!$J$4:$J$497,AH$1)</f>
        <v>0</v>
      </c>
      <c r="AI28" s="170">
        <f t="shared" si="1"/>
        <v>0</v>
      </c>
    </row>
    <row r="29" spans="2:35" ht="15" customHeight="1" x14ac:dyDescent="0.25">
      <c r="B29" s="202"/>
      <c r="C29" s="200"/>
      <c r="D29" s="198">
        <f>SUMIFS('февраль 2023'!$G$4:$G$497,'февраль 2023'!$D$4:$D$497,$B29,'февраль 2023'!$J$4:$J$497,D$1)</f>
        <v>0</v>
      </c>
      <c r="E29" s="198">
        <f>SUMIFS('февраль 2023'!$G$4:$G$497,'февраль 2023'!$D$4:$D$497,$B29,'февраль 2023'!$J$4:$J$497,E$1)</f>
        <v>0</v>
      </c>
      <c r="F29" s="198">
        <f>SUMIFS('февраль 2023'!$G$4:$G$497,'февраль 2023'!$D$4:$D$497,$B29,'февраль 2023'!$J$4:$J$497,F$1)</f>
        <v>0</v>
      </c>
      <c r="G29" s="198">
        <f>SUMIFS('февраль 2023'!$G$4:$G$497,'февраль 2023'!$D$4:$D$497,$B29,'февраль 2023'!$J$4:$J$497,G$1)</f>
        <v>0</v>
      </c>
      <c r="H29" s="198">
        <f>SUMIFS('февраль 2023'!$G$4:$G$497,'февраль 2023'!$D$4:$D$497,$B29,'февраль 2023'!$J$4:$J$497,H$1)</f>
        <v>0</v>
      </c>
      <c r="I29" s="198">
        <f>SUMIFS('февраль 2023'!$G$4:$G$497,'февраль 2023'!$D$4:$D$497,$B29,'февраль 2023'!$J$4:$J$497,I$1)</f>
        <v>0</v>
      </c>
      <c r="J29" s="198">
        <f>SUMIFS('февраль 2023'!$G$4:$G$497,'февраль 2023'!$D$4:$D$497,$B29,'февраль 2023'!$J$4:$J$497,J$1)</f>
        <v>0</v>
      </c>
      <c r="K29" s="198">
        <f>SUMIFS('февраль 2023'!$G$4:$G$497,'февраль 2023'!$D$4:$D$497,$B29,'февраль 2023'!$J$4:$J$497,K$1)</f>
        <v>0</v>
      </c>
      <c r="L29" s="198">
        <f>SUMIFS('февраль 2023'!$G$4:$G$497,'февраль 2023'!$D$4:$D$497,$B29,'февраль 2023'!$J$4:$J$497,L$1)</f>
        <v>0</v>
      </c>
      <c r="M29" s="198">
        <f>SUMIFS('февраль 2023'!$G$4:$G$497,'февраль 2023'!$D$4:$D$497,$B29,'февраль 2023'!$J$4:$J$497,M$1)</f>
        <v>0</v>
      </c>
      <c r="N29" s="198">
        <f>SUMIFS('февраль 2023'!$G$4:$G$497,'февраль 2023'!$D$4:$D$497,$B29,'февраль 2023'!$J$4:$J$497,N$1)</f>
        <v>0</v>
      </c>
      <c r="O29" s="198">
        <f>SUMIFS('февраль 2023'!$G$4:$G$497,'февраль 2023'!$D$4:$D$497,$B29,'февраль 2023'!$J$4:$J$497,O$1)</f>
        <v>0</v>
      </c>
      <c r="P29" s="198">
        <f>SUMIFS('февраль 2023'!$G$4:$G$497,'февраль 2023'!$D$4:$D$497,$B29,'февраль 2023'!$J$4:$J$497,P$1)</f>
        <v>0</v>
      </c>
      <c r="Q29" s="198">
        <f>SUMIFS('февраль 2023'!$G$4:$G$497,'февраль 2023'!$D$4:$D$497,$B29,'февраль 2023'!$J$4:$J$497,Q$1)</f>
        <v>0</v>
      </c>
      <c r="R29" s="198">
        <f>SUMIFS('февраль 2023'!$G$4:$G$497,'февраль 2023'!$D$4:$D$497,$B29,'февраль 2023'!$J$4:$J$497,R$1)</f>
        <v>0</v>
      </c>
      <c r="S29" s="198">
        <f>SUMIFS('февраль 2023'!$G$4:$G$497,'февраль 2023'!$D$4:$D$497,$B29,'февраль 2023'!$J$4:$J$497,S$1)</f>
        <v>0</v>
      </c>
      <c r="T29" s="198">
        <f>SUMIFS('февраль 2023'!$G$4:$G$497,'февраль 2023'!$D$4:$D$497,$B29,'февраль 2023'!$J$4:$J$497,T$1)</f>
        <v>0</v>
      </c>
      <c r="U29" s="198">
        <f>SUMIFS('февраль 2023'!$G$4:$G$497,'февраль 2023'!$D$4:$D$497,$B29,'февраль 2023'!$J$4:$J$497,U$1)</f>
        <v>0</v>
      </c>
      <c r="V29" s="198">
        <f>SUMIFS('февраль 2023'!$G$4:$G$497,'февраль 2023'!$D$4:$D$497,$B29,'февраль 2023'!$J$4:$J$497,V$1)</f>
        <v>0</v>
      </c>
      <c r="W29" s="198">
        <f>SUMIFS('февраль 2023'!$G$4:$G$497,'февраль 2023'!$D$4:$D$497,$B29,'февраль 2023'!$J$4:$J$497,W$1)</f>
        <v>0</v>
      </c>
      <c r="X29" s="198">
        <f>SUMIFS('февраль 2023'!$G$4:$G$497,'февраль 2023'!$D$4:$D$497,$B29,'февраль 2023'!$J$4:$J$497,X$1)</f>
        <v>0</v>
      </c>
      <c r="Y29" s="198">
        <f>SUMIFS('февраль 2023'!$G$4:$G$497,'февраль 2023'!$D$4:$D$497,$B29,'февраль 2023'!$J$4:$J$497,Y$1)</f>
        <v>0</v>
      </c>
      <c r="Z29" s="198">
        <f>SUMIFS('февраль 2023'!$G$4:$G$497,'февраль 2023'!$D$4:$D$497,$B29,'февраль 2023'!$J$4:$J$497,Z$1)</f>
        <v>0</v>
      </c>
      <c r="AA29" s="198">
        <f>SUMIFS('февраль 2023'!$G$4:$G$497,'февраль 2023'!$D$4:$D$497,$B29,'февраль 2023'!$J$4:$J$497,AA$1)</f>
        <v>0</v>
      </c>
      <c r="AB29" s="198">
        <f>SUMIFS('февраль 2023'!$G$4:$G$497,'февраль 2023'!$D$4:$D$497,$B29,'февраль 2023'!$J$4:$J$497,AB$1)</f>
        <v>0</v>
      </c>
      <c r="AC29" s="198">
        <f>SUMIFS('февраль 2023'!$G$4:$G$497,'февраль 2023'!$D$4:$D$497,$B29,'февраль 2023'!$J$4:$J$497,AC$1)</f>
        <v>0</v>
      </c>
      <c r="AD29" s="198">
        <f>SUMIFS('февраль 2023'!$G$4:$G$497,'февраль 2023'!$D$4:$D$497,$B29,'февраль 2023'!$J$4:$J$497,AD$1)</f>
        <v>0</v>
      </c>
      <c r="AE29" s="198">
        <f>SUMIFS('февраль 2023'!$G$4:$G$497,'февраль 2023'!$D$4:$D$497,$B29,'февраль 2023'!$J$4:$J$497,AE$1)</f>
        <v>0</v>
      </c>
      <c r="AF29" s="198">
        <f>SUMIFS('февраль 2023'!$G$4:$G$497,'февраль 2023'!$D$4:$D$497,$B29,'февраль 2023'!$J$4:$J$497,AF$1)</f>
        <v>0</v>
      </c>
      <c r="AG29" s="198">
        <f>SUMIFS('февраль 2023'!$G$4:$G$497,'февраль 2023'!$D$4:$D$497,$B29,'февраль 2023'!$J$4:$J$497,AG$1)</f>
        <v>0</v>
      </c>
      <c r="AH29" s="198">
        <f>SUMIFS('февраль 2023'!$G$4:$G$497,'февраль 2023'!$D$4:$D$497,$B29,'февраль 2023'!$J$4:$J$497,AH$1)</f>
        <v>0</v>
      </c>
      <c r="AI29" s="170">
        <f t="shared" si="1"/>
        <v>0</v>
      </c>
    </row>
    <row r="30" spans="2:35" ht="15" customHeight="1" x14ac:dyDescent="0.25">
      <c r="B30" s="205" t="s">
        <v>2107</v>
      </c>
      <c r="C30" s="206">
        <v>25</v>
      </c>
      <c r="D30" s="207">
        <f>SUMIFS('февраль 2023'!$G$4:$G$497,'февраль 2023'!$D$4:$D$497,$B30,'февраль 2023'!$J$4:$J$497,D$1)</f>
        <v>0</v>
      </c>
      <c r="E30" s="207">
        <f>SUMIFS('февраль 2023'!$G$4:$G$497,'февраль 2023'!$D$4:$D$497,$B30,'февраль 2023'!$J$4:$J$497,E$1)</f>
        <v>0</v>
      </c>
      <c r="F30" s="207">
        <f>SUMIFS('февраль 2023'!$G$4:$G$497,'февраль 2023'!$D$4:$D$497,$B30,'февраль 2023'!$J$4:$J$497,F$1)</f>
        <v>0</v>
      </c>
      <c r="G30" s="207">
        <f>SUMIFS('февраль 2023'!$G$4:$G$497,'февраль 2023'!$D$4:$D$497,$B30,'февраль 2023'!$J$4:$J$497,G$1)</f>
        <v>0</v>
      </c>
      <c r="H30" s="207">
        <f>SUMIFS('февраль 2023'!$G$4:$G$497,'февраль 2023'!$D$4:$D$497,$B30,'февраль 2023'!$J$4:$J$497,H$1)</f>
        <v>0</v>
      </c>
      <c r="I30" s="207">
        <f>SUMIFS('февраль 2023'!$G$4:$G$497,'февраль 2023'!$D$4:$D$497,$B30,'февраль 2023'!$J$4:$J$497,I$1)</f>
        <v>0</v>
      </c>
      <c r="J30" s="207">
        <f>SUMIFS('февраль 2023'!$G$4:$G$497,'февраль 2023'!$D$4:$D$497,$B30,'февраль 2023'!$J$4:$J$497,J$1)</f>
        <v>0</v>
      </c>
      <c r="K30" s="207">
        <f>SUMIFS('февраль 2023'!$G$4:$G$497,'февраль 2023'!$D$4:$D$497,$B30,'февраль 2023'!$J$4:$J$497,K$1)</f>
        <v>0</v>
      </c>
      <c r="L30" s="207">
        <f>SUMIFS('февраль 2023'!$G$4:$G$497,'февраль 2023'!$D$4:$D$497,$B30,'февраль 2023'!$J$4:$J$497,L$1)</f>
        <v>0</v>
      </c>
      <c r="M30" s="207">
        <f>SUMIFS('февраль 2023'!$G$4:$G$497,'февраль 2023'!$D$4:$D$497,$B30,'февраль 2023'!$J$4:$J$497,M$1)</f>
        <v>0</v>
      </c>
      <c r="N30" s="207">
        <f>SUMIFS('февраль 2023'!$G$4:$G$497,'февраль 2023'!$D$4:$D$497,$B30,'февраль 2023'!$J$4:$J$497,N$1)</f>
        <v>0</v>
      </c>
      <c r="O30" s="207">
        <f>SUMIFS('февраль 2023'!$G$4:$G$497,'февраль 2023'!$D$4:$D$497,$B30,'февраль 2023'!$J$4:$J$497,O$1)</f>
        <v>0</v>
      </c>
      <c r="P30" s="207">
        <f>SUMIFS('февраль 2023'!$G$4:$G$497,'февраль 2023'!$D$4:$D$497,$B30,'февраль 2023'!$J$4:$J$497,P$1)</f>
        <v>0</v>
      </c>
      <c r="Q30" s="207">
        <f>SUMIFS('февраль 2023'!$G$4:$G$497,'февраль 2023'!$D$4:$D$497,$B30,'февраль 2023'!$J$4:$J$497,Q$1)</f>
        <v>0</v>
      </c>
      <c r="R30" s="207">
        <f>SUMIFS('февраль 2023'!$G$4:$G$497,'февраль 2023'!$D$4:$D$497,$B30,'февраль 2023'!$J$4:$J$497,R$1)</f>
        <v>0</v>
      </c>
      <c r="S30" s="207">
        <f>SUMIFS('февраль 2023'!$G$4:$G$497,'февраль 2023'!$D$4:$D$497,$B30,'февраль 2023'!$J$4:$J$497,S$1)</f>
        <v>0</v>
      </c>
      <c r="T30" s="207">
        <f>SUMIFS('февраль 2023'!$G$4:$G$497,'февраль 2023'!$D$4:$D$497,$B30,'февраль 2023'!$J$4:$J$497,T$1)</f>
        <v>0</v>
      </c>
      <c r="U30" s="207">
        <f>SUMIFS('февраль 2023'!$G$4:$G$497,'февраль 2023'!$D$4:$D$497,$B30,'февраль 2023'!$J$4:$J$497,U$1)</f>
        <v>0</v>
      </c>
      <c r="V30" s="207">
        <f>SUMIFS('февраль 2023'!$G$4:$G$497,'февраль 2023'!$D$4:$D$497,$B30,'февраль 2023'!$J$4:$J$497,V$1)</f>
        <v>0</v>
      </c>
      <c r="W30" s="207">
        <f>SUMIFS('февраль 2023'!$G$4:$G$497,'февраль 2023'!$D$4:$D$497,$B30,'февраль 2023'!$J$4:$J$497,W$1)</f>
        <v>0</v>
      </c>
      <c r="X30" s="207">
        <f>SUMIFS('февраль 2023'!$G$4:$G$497,'февраль 2023'!$D$4:$D$497,$B30,'февраль 2023'!$J$4:$J$497,X$1)</f>
        <v>0</v>
      </c>
      <c r="Y30" s="207">
        <f>SUMIFS('февраль 2023'!$G$4:$G$497,'февраль 2023'!$D$4:$D$497,$B30,'февраль 2023'!$J$4:$J$497,Y$1)</f>
        <v>0</v>
      </c>
      <c r="Z30" s="207">
        <f>SUMIFS('февраль 2023'!$G$4:$G$497,'февраль 2023'!$D$4:$D$497,$B30,'февраль 2023'!$J$4:$J$497,Z$1)</f>
        <v>0</v>
      </c>
      <c r="AA30" s="207">
        <f>SUMIFS('февраль 2023'!$G$4:$G$497,'февраль 2023'!$D$4:$D$497,$B30,'февраль 2023'!$J$4:$J$497,AA$1)</f>
        <v>0</v>
      </c>
      <c r="AB30" s="207">
        <f>SUMIFS('февраль 2023'!$G$4:$G$497,'февраль 2023'!$D$4:$D$497,$B30,'февраль 2023'!$J$4:$J$497,AB$1)</f>
        <v>0</v>
      </c>
      <c r="AC30" s="207">
        <f>SUMIFS('февраль 2023'!$G$4:$G$497,'февраль 2023'!$D$4:$D$497,$B30,'февраль 2023'!$J$4:$J$497,AC$1)</f>
        <v>0</v>
      </c>
      <c r="AD30" s="207">
        <f>SUMIFS('февраль 2023'!$G$4:$G$497,'февраль 2023'!$D$4:$D$497,$B30,'февраль 2023'!$J$4:$J$497,AD$1)</f>
        <v>0</v>
      </c>
      <c r="AE30" s="207">
        <f>SUMIFS('февраль 2023'!$G$4:$G$497,'февраль 2023'!$D$4:$D$497,$B30,'февраль 2023'!$J$4:$J$497,AE$1)</f>
        <v>0</v>
      </c>
      <c r="AF30" s="207">
        <f>SUMIFS('февраль 2023'!$G$4:$G$497,'февраль 2023'!$D$4:$D$497,$B30,'февраль 2023'!$J$4:$J$497,AF$1)</f>
        <v>0</v>
      </c>
      <c r="AG30" s="207">
        <f>SUMIFS('февраль 2023'!$G$4:$G$497,'февраль 2023'!$D$4:$D$497,$B30,'февраль 2023'!$J$4:$J$497,AG$1)</f>
        <v>0</v>
      </c>
      <c r="AH30" s="207">
        <f>SUMIFS('февраль 2023'!$G$4:$G$497,'февраль 2023'!$D$4:$D$497,$B30,'февраль 2023'!$J$4:$J$497,AH$1)</f>
        <v>0</v>
      </c>
      <c r="AI30" s="170">
        <f t="shared" si="1"/>
        <v>0</v>
      </c>
    </row>
    <row r="31" spans="2:35" ht="15" customHeight="1" x14ac:dyDescent="0.25">
      <c r="B31" s="208" t="s">
        <v>1392</v>
      </c>
      <c r="C31" s="206">
        <v>25</v>
      </c>
      <c r="D31" s="207">
        <f>SUMIFS('февраль 2023'!$G$4:$G$497,'февраль 2023'!$D$4:$D$497,$B31,'февраль 2023'!$J$4:$J$497,D$1)</f>
        <v>400</v>
      </c>
      <c r="E31" s="207">
        <f>SUMIFS('февраль 2023'!$G$4:$G$497,'февраль 2023'!$D$4:$D$497,$B31,'февраль 2023'!$J$4:$J$497,E$1)</f>
        <v>0</v>
      </c>
      <c r="F31" s="207">
        <f>SUMIFS('февраль 2023'!$G$4:$G$497,'февраль 2023'!$D$4:$D$497,$B31,'февраль 2023'!$J$4:$J$497,F$1)</f>
        <v>800</v>
      </c>
      <c r="G31" s="207">
        <f>SUMIFS('февраль 2023'!$G$4:$G$497,'февраль 2023'!$D$4:$D$497,$B31,'февраль 2023'!$J$4:$J$497,G$1)</f>
        <v>0</v>
      </c>
      <c r="H31" s="207">
        <f>SUMIFS('февраль 2023'!$G$4:$G$497,'февраль 2023'!$D$4:$D$497,$B31,'февраль 2023'!$J$4:$J$497,H$1)</f>
        <v>0</v>
      </c>
      <c r="I31" s="207">
        <f>SUMIFS('февраль 2023'!$G$4:$G$497,'февраль 2023'!$D$4:$D$497,$B31,'февраль 2023'!$J$4:$J$497,I$1)</f>
        <v>0</v>
      </c>
      <c r="J31" s="207">
        <f>SUMIFS('февраль 2023'!$G$4:$G$497,'февраль 2023'!$D$4:$D$497,$B31,'февраль 2023'!$J$4:$J$497,J$1)</f>
        <v>0</v>
      </c>
      <c r="K31" s="207">
        <f>SUMIFS('февраль 2023'!$G$4:$G$497,'февраль 2023'!$D$4:$D$497,$B31,'февраль 2023'!$J$4:$J$497,K$1)</f>
        <v>0</v>
      </c>
      <c r="L31" s="207">
        <f>SUMIFS('февраль 2023'!$G$4:$G$497,'февраль 2023'!$D$4:$D$497,$B31,'февраль 2023'!$J$4:$J$497,L$1)</f>
        <v>120</v>
      </c>
      <c r="M31" s="207">
        <f>SUMIFS('февраль 2023'!$G$4:$G$497,'февраль 2023'!$D$4:$D$497,$B31,'февраль 2023'!$J$4:$J$497,M$1)</f>
        <v>0</v>
      </c>
      <c r="N31" s="207">
        <f>SUMIFS('февраль 2023'!$G$4:$G$497,'февраль 2023'!$D$4:$D$497,$B31,'февраль 2023'!$J$4:$J$497,N$1)</f>
        <v>0</v>
      </c>
      <c r="O31" s="207">
        <f>SUMIFS('февраль 2023'!$G$4:$G$497,'февраль 2023'!$D$4:$D$497,$B31,'февраль 2023'!$J$4:$J$497,O$1)</f>
        <v>0</v>
      </c>
      <c r="P31" s="207">
        <f>SUMIFS('февраль 2023'!$G$4:$G$497,'февраль 2023'!$D$4:$D$497,$B31,'февраль 2023'!$J$4:$J$497,P$1)</f>
        <v>0</v>
      </c>
      <c r="Q31" s="207">
        <f>SUMIFS('февраль 2023'!$G$4:$G$497,'февраль 2023'!$D$4:$D$497,$B31,'февраль 2023'!$J$4:$J$497,Q$1)</f>
        <v>0</v>
      </c>
      <c r="R31" s="207">
        <f>SUMIFS('февраль 2023'!$G$4:$G$497,'февраль 2023'!$D$4:$D$497,$B31,'февраль 2023'!$J$4:$J$497,R$1)</f>
        <v>0</v>
      </c>
      <c r="S31" s="207">
        <f>SUMIFS('февраль 2023'!$G$4:$G$497,'февраль 2023'!$D$4:$D$497,$B31,'февраль 2023'!$J$4:$J$497,S$1)</f>
        <v>0</v>
      </c>
      <c r="T31" s="207">
        <f>SUMIFS('февраль 2023'!$G$4:$G$497,'февраль 2023'!$D$4:$D$497,$B31,'февраль 2023'!$J$4:$J$497,T$1)</f>
        <v>0</v>
      </c>
      <c r="U31" s="207">
        <f>SUMIFS('февраль 2023'!$G$4:$G$497,'февраль 2023'!$D$4:$D$497,$B31,'февраль 2023'!$J$4:$J$497,U$1)</f>
        <v>0</v>
      </c>
      <c r="V31" s="207">
        <f>SUMIFS('февраль 2023'!$G$4:$G$497,'февраль 2023'!$D$4:$D$497,$B31,'февраль 2023'!$J$4:$J$497,V$1)</f>
        <v>0</v>
      </c>
      <c r="W31" s="207">
        <f>SUMIFS('февраль 2023'!$G$4:$G$497,'февраль 2023'!$D$4:$D$497,$B31,'февраль 2023'!$J$4:$J$497,W$1)</f>
        <v>0</v>
      </c>
      <c r="X31" s="207">
        <f>SUMIFS('февраль 2023'!$G$4:$G$497,'февраль 2023'!$D$4:$D$497,$B31,'февраль 2023'!$J$4:$J$497,X$1)</f>
        <v>0</v>
      </c>
      <c r="Y31" s="207">
        <f>SUMIFS('февраль 2023'!$G$4:$G$497,'февраль 2023'!$D$4:$D$497,$B31,'февраль 2023'!$J$4:$J$497,Y$1)</f>
        <v>0</v>
      </c>
      <c r="Z31" s="207">
        <f>SUMIFS('февраль 2023'!$G$4:$G$497,'февраль 2023'!$D$4:$D$497,$B31,'февраль 2023'!$J$4:$J$497,Z$1)</f>
        <v>0</v>
      </c>
      <c r="AA31" s="207">
        <f>SUMIFS('февраль 2023'!$G$4:$G$497,'февраль 2023'!$D$4:$D$497,$B31,'февраль 2023'!$J$4:$J$497,AA$1)</f>
        <v>0</v>
      </c>
      <c r="AB31" s="207">
        <f>SUMIFS('февраль 2023'!$G$4:$G$497,'февраль 2023'!$D$4:$D$497,$B31,'февраль 2023'!$J$4:$J$497,AB$1)</f>
        <v>0</v>
      </c>
      <c r="AC31" s="207">
        <f>SUMIFS('февраль 2023'!$G$4:$G$497,'февраль 2023'!$D$4:$D$497,$B31,'февраль 2023'!$J$4:$J$497,AC$1)</f>
        <v>0</v>
      </c>
      <c r="AD31" s="207">
        <f>SUMIFS('февраль 2023'!$G$4:$G$497,'февраль 2023'!$D$4:$D$497,$B31,'февраль 2023'!$J$4:$J$497,AD$1)</f>
        <v>0</v>
      </c>
      <c r="AE31" s="207">
        <f>SUMIFS('февраль 2023'!$G$4:$G$497,'февраль 2023'!$D$4:$D$497,$B31,'февраль 2023'!$J$4:$J$497,AE$1)</f>
        <v>0</v>
      </c>
      <c r="AF31" s="207">
        <f>SUMIFS('февраль 2023'!$G$4:$G$497,'февраль 2023'!$D$4:$D$497,$B31,'февраль 2023'!$J$4:$J$497,AF$1)</f>
        <v>0</v>
      </c>
      <c r="AG31" s="207">
        <f>SUMIFS('февраль 2023'!$G$4:$G$497,'февраль 2023'!$D$4:$D$497,$B31,'февраль 2023'!$J$4:$J$497,AG$1)</f>
        <v>0</v>
      </c>
      <c r="AH31" s="207">
        <f>SUMIFS('февраль 2023'!$G$4:$G$497,'февраль 2023'!$D$4:$D$497,$B31,'февраль 2023'!$J$4:$J$497,AH$1)</f>
        <v>0</v>
      </c>
      <c r="AI31" s="170">
        <f t="shared" si="1"/>
        <v>1320</v>
      </c>
    </row>
    <row r="32" spans="2:35" ht="15" customHeight="1" x14ac:dyDescent="0.25">
      <c r="B32" s="209"/>
      <c r="C32" s="206"/>
      <c r="D32" s="207">
        <f>SUMIFS('февраль 2023'!$G$4:$G$497,'февраль 2023'!$D$4:$D$497,$B32,'февраль 2023'!$J$4:$J$497,D$1)</f>
        <v>0</v>
      </c>
      <c r="E32" s="207">
        <f>SUMIFS('февраль 2023'!$G$4:$G$497,'февраль 2023'!$D$4:$D$497,$B32,'февраль 2023'!$J$4:$J$497,E$1)</f>
        <v>0</v>
      </c>
      <c r="F32" s="207">
        <f>SUMIFS('февраль 2023'!$G$4:$G$497,'февраль 2023'!$D$4:$D$497,$B32,'февраль 2023'!$J$4:$J$497,F$1)</f>
        <v>0</v>
      </c>
      <c r="G32" s="207">
        <f>SUMIFS('февраль 2023'!$G$4:$G$497,'февраль 2023'!$D$4:$D$497,$B32,'февраль 2023'!$J$4:$J$497,G$1)</f>
        <v>0</v>
      </c>
      <c r="H32" s="207">
        <f>SUMIFS('февраль 2023'!$G$4:$G$497,'февраль 2023'!$D$4:$D$497,$B32,'февраль 2023'!$J$4:$J$497,H$1)</f>
        <v>0</v>
      </c>
      <c r="I32" s="207">
        <f>SUMIFS('февраль 2023'!$G$4:$G$497,'февраль 2023'!$D$4:$D$497,$B32,'февраль 2023'!$J$4:$J$497,I$1)</f>
        <v>0</v>
      </c>
      <c r="J32" s="207">
        <f>SUMIFS('февраль 2023'!$G$4:$G$497,'февраль 2023'!$D$4:$D$497,$B32,'февраль 2023'!$J$4:$J$497,J$1)</f>
        <v>0</v>
      </c>
      <c r="K32" s="207">
        <f>SUMIFS('февраль 2023'!$G$4:$G$497,'февраль 2023'!$D$4:$D$497,$B32,'февраль 2023'!$J$4:$J$497,K$1)</f>
        <v>0</v>
      </c>
      <c r="L32" s="207">
        <f>SUMIFS('февраль 2023'!$G$4:$G$497,'февраль 2023'!$D$4:$D$497,$B32,'февраль 2023'!$J$4:$J$497,L$1)</f>
        <v>0</v>
      </c>
      <c r="M32" s="207">
        <f>SUMIFS('февраль 2023'!$G$4:$G$497,'февраль 2023'!$D$4:$D$497,$B32,'февраль 2023'!$J$4:$J$497,M$1)</f>
        <v>0</v>
      </c>
      <c r="N32" s="207">
        <f>SUMIFS('февраль 2023'!$G$4:$G$497,'февраль 2023'!$D$4:$D$497,$B32,'февраль 2023'!$J$4:$J$497,N$1)</f>
        <v>0</v>
      </c>
      <c r="O32" s="207">
        <f>SUMIFS('февраль 2023'!$G$4:$G$497,'февраль 2023'!$D$4:$D$497,$B32,'февраль 2023'!$J$4:$J$497,O$1)</f>
        <v>0</v>
      </c>
      <c r="P32" s="207">
        <f>SUMIFS('февраль 2023'!$G$4:$G$497,'февраль 2023'!$D$4:$D$497,$B32,'февраль 2023'!$J$4:$J$497,P$1)</f>
        <v>0</v>
      </c>
      <c r="Q32" s="207">
        <f>SUMIFS('февраль 2023'!$G$4:$G$497,'февраль 2023'!$D$4:$D$497,$B32,'февраль 2023'!$J$4:$J$497,Q$1)</f>
        <v>0</v>
      </c>
      <c r="R32" s="207">
        <f>SUMIFS('февраль 2023'!$G$4:$G$497,'февраль 2023'!$D$4:$D$497,$B32,'февраль 2023'!$J$4:$J$497,R$1)</f>
        <v>0</v>
      </c>
      <c r="S32" s="207">
        <f>SUMIFS('февраль 2023'!$G$4:$G$497,'февраль 2023'!$D$4:$D$497,$B32,'февраль 2023'!$J$4:$J$497,S$1)</f>
        <v>0</v>
      </c>
      <c r="T32" s="207">
        <f>SUMIFS('февраль 2023'!$G$4:$G$497,'февраль 2023'!$D$4:$D$497,$B32,'февраль 2023'!$J$4:$J$497,T$1)</f>
        <v>0</v>
      </c>
      <c r="U32" s="207">
        <f>SUMIFS('февраль 2023'!$G$4:$G$497,'февраль 2023'!$D$4:$D$497,$B32,'февраль 2023'!$J$4:$J$497,U$1)</f>
        <v>0</v>
      </c>
      <c r="V32" s="207">
        <f>SUMIFS('февраль 2023'!$G$4:$G$497,'февраль 2023'!$D$4:$D$497,$B32,'февраль 2023'!$J$4:$J$497,V$1)</f>
        <v>0</v>
      </c>
      <c r="W32" s="207">
        <f>SUMIFS('февраль 2023'!$G$4:$G$497,'февраль 2023'!$D$4:$D$497,$B32,'февраль 2023'!$J$4:$J$497,W$1)</f>
        <v>0</v>
      </c>
      <c r="X32" s="207">
        <f>SUMIFS('февраль 2023'!$G$4:$G$497,'февраль 2023'!$D$4:$D$497,$B32,'февраль 2023'!$J$4:$J$497,X$1)</f>
        <v>0</v>
      </c>
      <c r="Y32" s="207">
        <f>SUMIFS('февраль 2023'!$G$4:$G$497,'февраль 2023'!$D$4:$D$497,$B32,'февраль 2023'!$J$4:$J$497,Y$1)</f>
        <v>0</v>
      </c>
      <c r="Z32" s="207">
        <f>SUMIFS('февраль 2023'!$G$4:$G$497,'февраль 2023'!$D$4:$D$497,$B32,'февраль 2023'!$J$4:$J$497,Z$1)</f>
        <v>0</v>
      </c>
      <c r="AA32" s="207">
        <f>SUMIFS('февраль 2023'!$G$4:$G$497,'февраль 2023'!$D$4:$D$497,$B32,'февраль 2023'!$J$4:$J$497,AA$1)</f>
        <v>0</v>
      </c>
      <c r="AB32" s="207">
        <f>SUMIFS('февраль 2023'!$G$4:$G$497,'февраль 2023'!$D$4:$D$497,$B32,'февраль 2023'!$J$4:$J$497,AB$1)</f>
        <v>0</v>
      </c>
      <c r="AC32" s="207">
        <f>SUMIFS('февраль 2023'!$G$4:$G$497,'февраль 2023'!$D$4:$D$497,$B32,'февраль 2023'!$J$4:$J$497,AC$1)</f>
        <v>0</v>
      </c>
      <c r="AD32" s="207">
        <f>SUMIFS('февраль 2023'!$G$4:$G$497,'февраль 2023'!$D$4:$D$497,$B32,'февраль 2023'!$J$4:$J$497,AD$1)</f>
        <v>0</v>
      </c>
      <c r="AE32" s="207">
        <f>SUMIFS('февраль 2023'!$G$4:$G$497,'февраль 2023'!$D$4:$D$497,$B32,'февраль 2023'!$J$4:$J$497,AE$1)</f>
        <v>0</v>
      </c>
      <c r="AF32" s="207">
        <f>SUMIFS('февраль 2023'!$G$4:$G$497,'февраль 2023'!$D$4:$D$497,$B32,'февраль 2023'!$J$4:$J$497,AF$1)</f>
        <v>0</v>
      </c>
      <c r="AG32" s="207">
        <f>SUMIFS('февраль 2023'!$G$4:$G$497,'февраль 2023'!$D$4:$D$497,$B32,'февраль 2023'!$J$4:$J$497,AG$1)</f>
        <v>0</v>
      </c>
      <c r="AH32" s="207">
        <f>SUMIFS('февраль 2023'!$G$4:$G$497,'февраль 2023'!$D$4:$D$497,$B32,'февраль 2023'!$J$4:$J$497,AH$1)</f>
        <v>0</v>
      </c>
      <c r="AI32" s="170">
        <f t="shared" si="1"/>
        <v>0</v>
      </c>
    </row>
    <row r="33" spans="2:35" ht="15" customHeight="1" x14ac:dyDescent="0.25">
      <c r="B33" s="210" t="s">
        <v>1344</v>
      </c>
      <c r="C33" s="211">
        <v>25</v>
      </c>
      <c r="D33" s="207">
        <f>SUMIFS('февраль 2023'!$G$4:$G$497,'февраль 2023'!$D$4:$D$497,$B33,'февраль 2023'!$J$4:$J$497,D$1)</f>
        <v>0</v>
      </c>
      <c r="E33" s="207">
        <f>SUMIFS('февраль 2023'!$G$4:$G$497,'февраль 2023'!$D$4:$D$497,$B33,'февраль 2023'!$J$4:$J$497,E$1)</f>
        <v>0</v>
      </c>
      <c r="F33" s="207">
        <f>SUMIFS('февраль 2023'!$G$4:$G$497,'февраль 2023'!$D$4:$D$497,$B33,'февраль 2023'!$J$4:$J$497,F$1)</f>
        <v>0</v>
      </c>
      <c r="G33" s="207">
        <f>SUMIFS('февраль 2023'!$G$4:$G$497,'февраль 2023'!$D$4:$D$497,$B33,'февраль 2023'!$J$4:$J$497,G$1)</f>
        <v>0</v>
      </c>
      <c r="H33" s="207">
        <f>SUMIFS('февраль 2023'!$G$4:$G$497,'февраль 2023'!$D$4:$D$497,$B33,'февраль 2023'!$J$4:$J$497,H$1)</f>
        <v>0</v>
      </c>
      <c r="I33" s="207">
        <f>SUMIFS('февраль 2023'!$G$4:$G$497,'февраль 2023'!$D$4:$D$497,$B33,'февраль 2023'!$J$4:$J$497,I$1)</f>
        <v>0</v>
      </c>
      <c r="J33" s="207">
        <f>SUMIFS('февраль 2023'!$G$4:$G$497,'февраль 2023'!$D$4:$D$497,$B33,'февраль 2023'!$J$4:$J$497,J$1)</f>
        <v>0</v>
      </c>
      <c r="K33" s="207">
        <f>SUMIFS('февраль 2023'!$G$4:$G$497,'февраль 2023'!$D$4:$D$497,$B33,'февраль 2023'!$J$4:$J$497,K$1)</f>
        <v>0</v>
      </c>
      <c r="L33" s="207">
        <f>SUMIFS('февраль 2023'!$G$4:$G$497,'февраль 2023'!$D$4:$D$497,$B33,'февраль 2023'!$J$4:$J$497,L$1)</f>
        <v>0</v>
      </c>
      <c r="M33" s="207">
        <f>SUMIFS('февраль 2023'!$G$4:$G$497,'февраль 2023'!$D$4:$D$497,$B33,'февраль 2023'!$J$4:$J$497,M$1)</f>
        <v>0</v>
      </c>
      <c r="N33" s="207">
        <f>SUMIFS('февраль 2023'!$G$4:$G$497,'февраль 2023'!$D$4:$D$497,$B33,'февраль 2023'!$J$4:$J$497,N$1)</f>
        <v>0</v>
      </c>
      <c r="O33" s="207">
        <f>SUMIFS('февраль 2023'!$G$4:$G$497,'февраль 2023'!$D$4:$D$497,$B33,'февраль 2023'!$J$4:$J$497,O$1)</f>
        <v>0</v>
      </c>
      <c r="P33" s="207">
        <f>SUMIFS('февраль 2023'!$G$4:$G$497,'февраль 2023'!$D$4:$D$497,$B33,'февраль 2023'!$J$4:$J$497,P$1)</f>
        <v>0</v>
      </c>
      <c r="Q33" s="207">
        <f>SUMIFS('февраль 2023'!$G$4:$G$497,'февраль 2023'!$D$4:$D$497,$B33,'февраль 2023'!$J$4:$J$497,Q$1)</f>
        <v>0</v>
      </c>
      <c r="R33" s="207">
        <f>SUMIFS('февраль 2023'!$G$4:$G$497,'февраль 2023'!$D$4:$D$497,$B33,'февраль 2023'!$J$4:$J$497,R$1)</f>
        <v>0</v>
      </c>
      <c r="S33" s="207">
        <f>SUMIFS('февраль 2023'!$G$4:$G$497,'февраль 2023'!$D$4:$D$497,$B33,'февраль 2023'!$J$4:$J$497,S$1)</f>
        <v>0</v>
      </c>
      <c r="T33" s="207">
        <f>SUMIFS('февраль 2023'!$G$4:$G$497,'февраль 2023'!$D$4:$D$497,$B33,'февраль 2023'!$J$4:$J$497,T$1)</f>
        <v>0</v>
      </c>
      <c r="U33" s="207">
        <f>SUMIFS('февраль 2023'!$G$4:$G$497,'февраль 2023'!$D$4:$D$497,$B33,'февраль 2023'!$J$4:$J$497,U$1)</f>
        <v>0</v>
      </c>
      <c r="V33" s="207">
        <f>SUMIFS('февраль 2023'!$G$4:$G$497,'февраль 2023'!$D$4:$D$497,$B33,'февраль 2023'!$J$4:$J$497,V$1)</f>
        <v>0</v>
      </c>
      <c r="W33" s="207">
        <f>SUMIFS('февраль 2023'!$G$4:$G$497,'февраль 2023'!$D$4:$D$497,$B33,'февраль 2023'!$J$4:$J$497,W$1)</f>
        <v>0</v>
      </c>
      <c r="X33" s="207">
        <f>SUMIFS('февраль 2023'!$G$4:$G$497,'февраль 2023'!$D$4:$D$497,$B33,'февраль 2023'!$J$4:$J$497,X$1)</f>
        <v>0</v>
      </c>
      <c r="Y33" s="207">
        <f>SUMIFS('февраль 2023'!$G$4:$G$497,'февраль 2023'!$D$4:$D$497,$B33,'февраль 2023'!$J$4:$J$497,Y$1)</f>
        <v>0</v>
      </c>
      <c r="Z33" s="207">
        <f>SUMIFS('февраль 2023'!$G$4:$G$497,'февраль 2023'!$D$4:$D$497,$B33,'февраль 2023'!$J$4:$J$497,Z$1)</f>
        <v>0</v>
      </c>
      <c r="AA33" s="207">
        <f>SUMIFS('февраль 2023'!$G$4:$G$497,'февраль 2023'!$D$4:$D$497,$B33,'февраль 2023'!$J$4:$J$497,AA$1)</f>
        <v>0</v>
      </c>
      <c r="AB33" s="207">
        <f>SUMIFS('февраль 2023'!$G$4:$G$497,'февраль 2023'!$D$4:$D$497,$B33,'февраль 2023'!$J$4:$J$497,AB$1)</f>
        <v>0</v>
      </c>
      <c r="AC33" s="207">
        <f>SUMIFS('февраль 2023'!$G$4:$G$497,'февраль 2023'!$D$4:$D$497,$B33,'февраль 2023'!$J$4:$J$497,AC$1)</f>
        <v>0</v>
      </c>
      <c r="AD33" s="207">
        <f>SUMIFS('февраль 2023'!$G$4:$G$497,'февраль 2023'!$D$4:$D$497,$B33,'февраль 2023'!$J$4:$J$497,AD$1)</f>
        <v>0</v>
      </c>
      <c r="AE33" s="207">
        <f>SUMIFS('февраль 2023'!$G$4:$G$497,'февраль 2023'!$D$4:$D$497,$B33,'февраль 2023'!$J$4:$J$497,AE$1)</f>
        <v>0</v>
      </c>
      <c r="AF33" s="207">
        <f>SUMIFS('февраль 2023'!$G$4:$G$497,'февраль 2023'!$D$4:$D$497,$B33,'февраль 2023'!$J$4:$J$497,AF$1)</f>
        <v>0</v>
      </c>
      <c r="AG33" s="207">
        <f>SUMIFS('февраль 2023'!$G$4:$G$497,'февраль 2023'!$D$4:$D$497,$B33,'февраль 2023'!$J$4:$J$497,AG$1)</f>
        <v>0</v>
      </c>
      <c r="AH33" s="207">
        <f>SUMIFS('февраль 2023'!$G$4:$G$497,'февраль 2023'!$D$4:$D$497,$B33,'февраль 2023'!$J$4:$J$497,AH$1)</f>
        <v>0</v>
      </c>
      <c r="AI33" s="170">
        <f t="shared" si="1"/>
        <v>0</v>
      </c>
    </row>
    <row r="34" spans="2:35" ht="15" customHeight="1" x14ac:dyDescent="0.25">
      <c r="B34" s="212" t="s">
        <v>754</v>
      </c>
      <c r="C34" s="213">
        <v>20</v>
      </c>
      <c r="D34" s="207">
        <f>SUMIFS('февраль 2023'!$G$4:$G$497,'февраль 2023'!$D$4:$D$497,$B34,'февраль 2023'!$J$4:$J$497,D$1)</f>
        <v>0</v>
      </c>
      <c r="E34" s="207">
        <f>SUMIFS('февраль 2023'!$G$4:$G$497,'февраль 2023'!$D$4:$D$497,$B34,'февраль 2023'!$J$4:$J$497,E$1)</f>
        <v>0</v>
      </c>
      <c r="F34" s="207">
        <f>SUMIFS('февраль 2023'!$G$4:$G$497,'февраль 2023'!$D$4:$D$497,$B34,'февраль 2023'!$J$4:$J$497,F$1)</f>
        <v>0</v>
      </c>
      <c r="G34" s="207">
        <f>SUMIFS('февраль 2023'!$G$4:$G$497,'февраль 2023'!$D$4:$D$497,$B34,'февраль 2023'!$J$4:$J$497,G$1)</f>
        <v>0</v>
      </c>
      <c r="H34" s="207">
        <f>SUMIFS('февраль 2023'!$G$4:$G$497,'февраль 2023'!$D$4:$D$497,$B34,'февраль 2023'!$J$4:$J$497,H$1)</f>
        <v>0</v>
      </c>
      <c r="I34" s="207">
        <f>SUMIFS('февраль 2023'!$G$4:$G$497,'февраль 2023'!$D$4:$D$497,$B34,'февраль 2023'!$J$4:$J$497,I$1)</f>
        <v>1000</v>
      </c>
      <c r="J34" s="207">
        <f>SUMIFS('февраль 2023'!$G$4:$G$497,'февраль 2023'!$D$4:$D$497,$B34,'февраль 2023'!$J$4:$J$497,J$1)</f>
        <v>0</v>
      </c>
      <c r="K34" s="207">
        <f>SUMIFS('февраль 2023'!$G$4:$G$497,'февраль 2023'!$D$4:$D$497,$B34,'февраль 2023'!$J$4:$J$497,K$1)</f>
        <v>0</v>
      </c>
      <c r="L34" s="207">
        <f>SUMIFS('февраль 2023'!$G$4:$G$497,'февраль 2023'!$D$4:$D$497,$B34,'февраль 2023'!$J$4:$J$497,L$1)</f>
        <v>0</v>
      </c>
      <c r="M34" s="207">
        <f>SUMIFS('февраль 2023'!$G$4:$G$497,'февраль 2023'!$D$4:$D$497,$B34,'февраль 2023'!$J$4:$J$497,M$1)</f>
        <v>0</v>
      </c>
      <c r="N34" s="207">
        <f>SUMIFS('февраль 2023'!$G$4:$G$497,'февраль 2023'!$D$4:$D$497,$B34,'февраль 2023'!$J$4:$J$497,N$1)</f>
        <v>0</v>
      </c>
      <c r="O34" s="207">
        <f>SUMIFS('февраль 2023'!$G$4:$G$497,'февраль 2023'!$D$4:$D$497,$B34,'февраль 2023'!$J$4:$J$497,O$1)</f>
        <v>0</v>
      </c>
      <c r="P34" s="207">
        <f>SUMIFS('февраль 2023'!$G$4:$G$497,'февраль 2023'!$D$4:$D$497,$B34,'февраль 2023'!$J$4:$J$497,P$1)</f>
        <v>0</v>
      </c>
      <c r="Q34" s="207">
        <f>SUMIFS('февраль 2023'!$G$4:$G$497,'февраль 2023'!$D$4:$D$497,$B34,'февраль 2023'!$J$4:$J$497,Q$1)</f>
        <v>0</v>
      </c>
      <c r="R34" s="207">
        <f>SUMIFS('февраль 2023'!$G$4:$G$497,'февраль 2023'!$D$4:$D$497,$B34,'февраль 2023'!$J$4:$J$497,R$1)</f>
        <v>0</v>
      </c>
      <c r="S34" s="207">
        <f>SUMIFS('февраль 2023'!$G$4:$G$497,'февраль 2023'!$D$4:$D$497,$B34,'февраль 2023'!$J$4:$J$497,S$1)</f>
        <v>0</v>
      </c>
      <c r="T34" s="207">
        <f>SUMIFS('февраль 2023'!$G$4:$G$497,'февраль 2023'!$D$4:$D$497,$B34,'февраль 2023'!$J$4:$J$497,T$1)</f>
        <v>0</v>
      </c>
      <c r="U34" s="207">
        <f>SUMIFS('февраль 2023'!$G$4:$G$497,'февраль 2023'!$D$4:$D$497,$B34,'февраль 2023'!$J$4:$J$497,U$1)</f>
        <v>0</v>
      </c>
      <c r="V34" s="207">
        <f>SUMIFS('февраль 2023'!$G$4:$G$497,'февраль 2023'!$D$4:$D$497,$B34,'февраль 2023'!$J$4:$J$497,V$1)</f>
        <v>0</v>
      </c>
      <c r="W34" s="207">
        <f>SUMIFS('февраль 2023'!$G$4:$G$497,'февраль 2023'!$D$4:$D$497,$B34,'февраль 2023'!$J$4:$J$497,W$1)</f>
        <v>0</v>
      </c>
      <c r="X34" s="207">
        <f>SUMIFS('февраль 2023'!$G$4:$G$497,'февраль 2023'!$D$4:$D$497,$B34,'февраль 2023'!$J$4:$J$497,X$1)</f>
        <v>0</v>
      </c>
      <c r="Y34" s="207">
        <f>SUMIFS('февраль 2023'!$G$4:$G$497,'февраль 2023'!$D$4:$D$497,$B34,'февраль 2023'!$J$4:$J$497,Y$1)</f>
        <v>0</v>
      </c>
      <c r="Z34" s="207">
        <f>SUMIFS('февраль 2023'!$G$4:$G$497,'февраль 2023'!$D$4:$D$497,$B34,'февраль 2023'!$J$4:$J$497,Z$1)</f>
        <v>0</v>
      </c>
      <c r="AA34" s="207">
        <f>SUMIFS('февраль 2023'!$G$4:$G$497,'февраль 2023'!$D$4:$D$497,$B34,'февраль 2023'!$J$4:$J$497,AA$1)</f>
        <v>0</v>
      </c>
      <c r="AB34" s="207">
        <f>SUMIFS('февраль 2023'!$G$4:$G$497,'февраль 2023'!$D$4:$D$497,$B34,'февраль 2023'!$J$4:$J$497,AB$1)</f>
        <v>0</v>
      </c>
      <c r="AC34" s="207">
        <f>SUMIFS('февраль 2023'!$G$4:$G$497,'февраль 2023'!$D$4:$D$497,$B34,'февраль 2023'!$J$4:$J$497,AC$1)</f>
        <v>0</v>
      </c>
      <c r="AD34" s="207">
        <f>SUMIFS('февраль 2023'!$G$4:$G$497,'февраль 2023'!$D$4:$D$497,$B34,'февраль 2023'!$J$4:$J$497,AD$1)</f>
        <v>0</v>
      </c>
      <c r="AE34" s="207">
        <f>SUMIFS('февраль 2023'!$G$4:$G$497,'февраль 2023'!$D$4:$D$497,$B34,'февраль 2023'!$J$4:$J$497,AE$1)</f>
        <v>0</v>
      </c>
      <c r="AF34" s="207">
        <f>SUMIFS('февраль 2023'!$G$4:$G$497,'февраль 2023'!$D$4:$D$497,$B34,'февраль 2023'!$J$4:$J$497,AF$1)</f>
        <v>0</v>
      </c>
      <c r="AG34" s="207">
        <f>SUMIFS('февраль 2023'!$G$4:$G$497,'февраль 2023'!$D$4:$D$497,$B34,'февраль 2023'!$J$4:$J$497,AG$1)</f>
        <v>0</v>
      </c>
      <c r="AH34" s="207">
        <f>SUMIFS('февраль 2023'!$G$4:$G$497,'февраль 2023'!$D$4:$D$497,$B34,'февраль 2023'!$J$4:$J$497,AH$1)</f>
        <v>0</v>
      </c>
      <c r="AI34" s="170">
        <f t="shared" si="1"/>
        <v>1000</v>
      </c>
    </row>
    <row r="35" spans="2:35" ht="15" customHeight="1" x14ac:dyDescent="0.25">
      <c r="B35" s="212"/>
      <c r="C35" s="211"/>
      <c r="D35" s="207">
        <f>SUMIFS('февраль 2023'!$G$4:$G$497,'февраль 2023'!$D$4:$D$497,$B35,'февраль 2023'!$J$4:$J$497,D$1)</f>
        <v>0</v>
      </c>
      <c r="E35" s="207">
        <f>SUMIFS('февраль 2023'!$G$4:$G$497,'февраль 2023'!$D$4:$D$497,$B35,'февраль 2023'!$J$4:$J$497,E$1)</f>
        <v>0</v>
      </c>
      <c r="F35" s="207">
        <f>SUMIFS('февраль 2023'!$G$4:$G$497,'февраль 2023'!$D$4:$D$497,$B35,'февраль 2023'!$J$4:$J$497,F$1)</f>
        <v>0</v>
      </c>
      <c r="G35" s="207">
        <f>SUMIFS('февраль 2023'!$G$4:$G$497,'февраль 2023'!$D$4:$D$497,$B35,'февраль 2023'!$J$4:$J$497,G$1)</f>
        <v>0</v>
      </c>
      <c r="H35" s="207">
        <f>SUMIFS('февраль 2023'!$G$4:$G$497,'февраль 2023'!$D$4:$D$497,$B35,'февраль 2023'!$J$4:$J$497,H$1)</f>
        <v>0</v>
      </c>
      <c r="I35" s="207">
        <f>SUMIFS('февраль 2023'!$G$4:$G$497,'февраль 2023'!$D$4:$D$497,$B35,'февраль 2023'!$J$4:$J$497,I$1)</f>
        <v>0</v>
      </c>
      <c r="J35" s="207">
        <f>SUMIFS('февраль 2023'!$G$4:$G$497,'февраль 2023'!$D$4:$D$497,$B35,'февраль 2023'!$J$4:$J$497,J$1)</f>
        <v>0</v>
      </c>
      <c r="K35" s="207">
        <f>SUMIFS('февраль 2023'!$G$4:$G$497,'февраль 2023'!$D$4:$D$497,$B35,'февраль 2023'!$J$4:$J$497,K$1)</f>
        <v>0</v>
      </c>
      <c r="L35" s="207">
        <f>SUMIFS('февраль 2023'!$G$4:$G$497,'февраль 2023'!$D$4:$D$497,$B35,'февраль 2023'!$J$4:$J$497,L$1)</f>
        <v>0</v>
      </c>
      <c r="M35" s="207">
        <f>SUMIFS('февраль 2023'!$G$4:$G$497,'февраль 2023'!$D$4:$D$497,$B35,'февраль 2023'!$J$4:$J$497,M$1)</f>
        <v>0</v>
      </c>
      <c r="N35" s="207">
        <f>SUMIFS('февраль 2023'!$G$4:$G$497,'февраль 2023'!$D$4:$D$497,$B35,'февраль 2023'!$J$4:$J$497,N$1)</f>
        <v>0</v>
      </c>
      <c r="O35" s="207">
        <f>SUMIFS('февраль 2023'!$G$4:$G$497,'февраль 2023'!$D$4:$D$497,$B35,'февраль 2023'!$J$4:$J$497,O$1)</f>
        <v>0</v>
      </c>
      <c r="P35" s="207">
        <f>SUMIFS('февраль 2023'!$G$4:$G$497,'февраль 2023'!$D$4:$D$497,$B35,'февраль 2023'!$J$4:$J$497,P$1)</f>
        <v>0</v>
      </c>
      <c r="Q35" s="207">
        <f>SUMIFS('февраль 2023'!$G$4:$G$497,'февраль 2023'!$D$4:$D$497,$B35,'февраль 2023'!$J$4:$J$497,Q$1)</f>
        <v>0</v>
      </c>
      <c r="R35" s="207">
        <f>SUMIFS('февраль 2023'!$G$4:$G$497,'февраль 2023'!$D$4:$D$497,$B35,'февраль 2023'!$J$4:$J$497,R$1)</f>
        <v>0</v>
      </c>
      <c r="S35" s="207">
        <f>SUMIFS('февраль 2023'!$G$4:$G$497,'февраль 2023'!$D$4:$D$497,$B35,'февраль 2023'!$J$4:$J$497,S$1)</f>
        <v>0</v>
      </c>
      <c r="T35" s="207">
        <f>SUMIFS('февраль 2023'!$G$4:$G$497,'февраль 2023'!$D$4:$D$497,$B35,'февраль 2023'!$J$4:$J$497,T$1)</f>
        <v>0</v>
      </c>
      <c r="U35" s="207">
        <f>SUMIFS('февраль 2023'!$G$4:$G$497,'февраль 2023'!$D$4:$D$497,$B35,'февраль 2023'!$J$4:$J$497,U$1)</f>
        <v>0</v>
      </c>
      <c r="V35" s="207">
        <f>SUMIFS('февраль 2023'!$G$4:$G$497,'февраль 2023'!$D$4:$D$497,$B35,'февраль 2023'!$J$4:$J$497,V$1)</f>
        <v>0</v>
      </c>
      <c r="W35" s="207">
        <f>SUMIFS('февраль 2023'!$G$4:$G$497,'февраль 2023'!$D$4:$D$497,$B35,'февраль 2023'!$J$4:$J$497,W$1)</f>
        <v>0</v>
      </c>
      <c r="X35" s="207">
        <f>SUMIFS('февраль 2023'!$G$4:$G$497,'февраль 2023'!$D$4:$D$497,$B35,'февраль 2023'!$J$4:$J$497,X$1)</f>
        <v>0</v>
      </c>
      <c r="Y35" s="207">
        <f>SUMIFS('февраль 2023'!$G$4:$G$497,'февраль 2023'!$D$4:$D$497,$B35,'февраль 2023'!$J$4:$J$497,Y$1)</f>
        <v>0</v>
      </c>
      <c r="Z35" s="207">
        <f>SUMIFS('февраль 2023'!$G$4:$G$497,'февраль 2023'!$D$4:$D$497,$B35,'февраль 2023'!$J$4:$J$497,Z$1)</f>
        <v>0</v>
      </c>
      <c r="AA35" s="207">
        <f>SUMIFS('февраль 2023'!$G$4:$G$497,'февраль 2023'!$D$4:$D$497,$B35,'февраль 2023'!$J$4:$J$497,AA$1)</f>
        <v>0</v>
      </c>
      <c r="AB35" s="207">
        <f>SUMIFS('февраль 2023'!$G$4:$G$497,'февраль 2023'!$D$4:$D$497,$B35,'февраль 2023'!$J$4:$J$497,AB$1)</f>
        <v>0</v>
      </c>
      <c r="AC35" s="207">
        <f>SUMIFS('февраль 2023'!$G$4:$G$497,'февраль 2023'!$D$4:$D$497,$B35,'февраль 2023'!$J$4:$J$497,AC$1)</f>
        <v>0</v>
      </c>
      <c r="AD35" s="207">
        <f>SUMIFS('февраль 2023'!$G$4:$G$497,'февраль 2023'!$D$4:$D$497,$B35,'февраль 2023'!$J$4:$J$497,AD$1)</f>
        <v>0</v>
      </c>
      <c r="AE35" s="207">
        <f>SUMIFS('февраль 2023'!$G$4:$G$497,'февраль 2023'!$D$4:$D$497,$B35,'февраль 2023'!$J$4:$J$497,AE$1)</f>
        <v>0</v>
      </c>
      <c r="AF35" s="207">
        <f>SUMIFS('февраль 2023'!$G$4:$G$497,'февраль 2023'!$D$4:$D$497,$B35,'февраль 2023'!$J$4:$J$497,AF$1)</f>
        <v>0</v>
      </c>
      <c r="AG35" s="207">
        <f>SUMIFS('февраль 2023'!$G$4:$G$497,'февраль 2023'!$D$4:$D$497,$B35,'февраль 2023'!$J$4:$J$497,AG$1)</f>
        <v>0</v>
      </c>
      <c r="AH35" s="207">
        <f>SUMIFS('февраль 2023'!$G$4:$G$497,'февраль 2023'!$D$4:$D$497,$B35,'февраль 2023'!$J$4:$J$497,AH$1)</f>
        <v>0</v>
      </c>
      <c r="AI35" s="170">
        <f t="shared" si="1"/>
        <v>0</v>
      </c>
    </row>
    <row r="36" spans="2:35" ht="15" customHeight="1" x14ac:dyDescent="0.25">
      <c r="B36" s="212" t="s">
        <v>1813</v>
      </c>
      <c r="C36" s="215">
        <v>22.68</v>
      </c>
      <c r="D36" s="207">
        <f>SUMIFS('февраль 2023'!$G$4:$G$497,'февраль 2023'!$D$4:$D$497,$B36,'февраль 2023'!$J$4:$J$497,D$1)</f>
        <v>0</v>
      </c>
      <c r="E36" s="207">
        <f>SUMIFS('февраль 2023'!$G$4:$G$497,'февраль 2023'!$D$4:$D$497,$B36,'февраль 2023'!$J$4:$J$497,E$1)</f>
        <v>0</v>
      </c>
      <c r="F36" s="207">
        <f>SUMIFS('февраль 2023'!$G$4:$G$497,'февраль 2023'!$D$4:$D$497,$B36,'февраль 2023'!$J$4:$J$497,F$1)</f>
        <v>1600</v>
      </c>
      <c r="G36" s="207">
        <f>SUMIFS('февраль 2023'!$G$4:$G$497,'февраль 2023'!$D$4:$D$497,$B36,'февраль 2023'!$J$4:$J$497,G$1)</f>
        <v>0</v>
      </c>
      <c r="H36" s="207">
        <f>SUMIFS('февраль 2023'!$G$4:$G$497,'февраль 2023'!$D$4:$D$497,$B36,'февраль 2023'!$J$4:$J$497,H$1)</f>
        <v>0</v>
      </c>
      <c r="I36" s="207">
        <f>SUMIFS('февраль 2023'!$G$4:$G$497,'февраль 2023'!$D$4:$D$497,$B36,'февраль 2023'!$J$4:$J$497,I$1)</f>
        <v>0</v>
      </c>
      <c r="J36" s="207">
        <f>SUMIFS('февраль 2023'!$G$4:$G$497,'февраль 2023'!$D$4:$D$497,$B36,'февраль 2023'!$J$4:$J$497,J$1)</f>
        <v>0</v>
      </c>
      <c r="K36" s="207">
        <f>SUMIFS('февраль 2023'!$G$4:$G$497,'февраль 2023'!$D$4:$D$497,$B36,'февраль 2023'!$J$4:$J$497,K$1)</f>
        <v>800</v>
      </c>
      <c r="L36" s="207">
        <f>SUMIFS('февраль 2023'!$G$4:$G$497,'февраль 2023'!$D$4:$D$497,$B36,'февраль 2023'!$J$4:$J$497,L$1)</f>
        <v>0</v>
      </c>
      <c r="M36" s="207">
        <f>SUMIFS('февраль 2023'!$G$4:$G$497,'февраль 2023'!$D$4:$D$497,$B36,'февраль 2023'!$J$4:$J$497,M$1)</f>
        <v>0</v>
      </c>
      <c r="N36" s="207">
        <f>SUMIFS('февраль 2023'!$G$4:$G$497,'февраль 2023'!$D$4:$D$497,$B36,'февраль 2023'!$J$4:$J$497,N$1)</f>
        <v>0</v>
      </c>
      <c r="O36" s="207">
        <f>SUMIFS('февраль 2023'!$G$4:$G$497,'февраль 2023'!$D$4:$D$497,$B36,'февраль 2023'!$J$4:$J$497,O$1)</f>
        <v>0</v>
      </c>
      <c r="P36" s="207">
        <f>SUMIFS('февраль 2023'!$G$4:$G$497,'февраль 2023'!$D$4:$D$497,$B36,'февраль 2023'!$J$4:$J$497,P$1)</f>
        <v>0</v>
      </c>
      <c r="Q36" s="207">
        <f>SUMIFS('февраль 2023'!$G$4:$G$497,'февраль 2023'!$D$4:$D$497,$B36,'февраль 2023'!$J$4:$J$497,Q$1)</f>
        <v>0</v>
      </c>
      <c r="R36" s="207">
        <f>SUMIFS('февраль 2023'!$G$4:$G$497,'февраль 2023'!$D$4:$D$497,$B36,'февраль 2023'!$J$4:$J$497,R$1)</f>
        <v>0</v>
      </c>
      <c r="S36" s="207">
        <f>SUMIFS('февраль 2023'!$G$4:$G$497,'февраль 2023'!$D$4:$D$497,$B36,'февраль 2023'!$J$4:$J$497,S$1)</f>
        <v>800</v>
      </c>
      <c r="T36" s="207">
        <f>SUMIFS('февраль 2023'!$G$4:$G$497,'февраль 2023'!$D$4:$D$497,$B36,'февраль 2023'!$J$4:$J$497,T$1)</f>
        <v>0</v>
      </c>
      <c r="U36" s="207">
        <f>SUMIFS('февраль 2023'!$G$4:$G$497,'февраль 2023'!$D$4:$D$497,$B36,'февраль 2023'!$J$4:$J$497,U$1)</f>
        <v>0</v>
      </c>
      <c r="V36" s="207">
        <f>SUMIFS('февраль 2023'!$G$4:$G$497,'февраль 2023'!$D$4:$D$497,$B36,'февраль 2023'!$J$4:$J$497,V$1)</f>
        <v>0</v>
      </c>
      <c r="W36" s="207">
        <f>SUMIFS('февраль 2023'!$G$4:$G$497,'февраль 2023'!$D$4:$D$497,$B36,'февраль 2023'!$J$4:$J$497,W$1)</f>
        <v>0</v>
      </c>
      <c r="X36" s="207">
        <f>SUMIFS('февраль 2023'!$G$4:$G$497,'февраль 2023'!$D$4:$D$497,$B36,'февраль 2023'!$J$4:$J$497,X$1)</f>
        <v>0</v>
      </c>
      <c r="Y36" s="207">
        <f>SUMIFS('февраль 2023'!$G$4:$G$497,'февраль 2023'!$D$4:$D$497,$B36,'февраль 2023'!$J$4:$J$497,Y$1)</f>
        <v>0</v>
      </c>
      <c r="Z36" s="207">
        <f>SUMIFS('февраль 2023'!$G$4:$G$497,'февраль 2023'!$D$4:$D$497,$B36,'февраль 2023'!$J$4:$J$497,Z$1)</f>
        <v>520</v>
      </c>
      <c r="AA36" s="207">
        <f>SUMIFS('февраль 2023'!$G$4:$G$497,'февраль 2023'!$D$4:$D$497,$B36,'февраль 2023'!$J$4:$J$497,AA$1)</f>
        <v>0</v>
      </c>
      <c r="AB36" s="207">
        <f>SUMIFS('февраль 2023'!$G$4:$G$497,'февраль 2023'!$D$4:$D$497,$B36,'февраль 2023'!$J$4:$J$497,AB$1)</f>
        <v>0</v>
      </c>
      <c r="AC36" s="207">
        <f>SUMIFS('февраль 2023'!$G$4:$G$497,'февраль 2023'!$D$4:$D$497,$B36,'февраль 2023'!$J$4:$J$497,AC$1)</f>
        <v>0</v>
      </c>
      <c r="AD36" s="207">
        <f>SUMIFS('февраль 2023'!$G$4:$G$497,'февраль 2023'!$D$4:$D$497,$B36,'февраль 2023'!$J$4:$J$497,AD$1)</f>
        <v>0</v>
      </c>
      <c r="AE36" s="207">
        <f>SUMIFS('февраль 2023'!$G$4:$G$497,'февраль 2023'!$D$4:$D$497,$B36,'февраль 2023'!$J$4:$J$497,AE$1)</f>
        <v>0</v>
      </c>
      <c r="AF36" s="207">
        <f>SUMIFS('февраль 2023'!$G$4:$G$497,'февраль 2023'!$D$4:$D$497,$B36,'февраль 2023'!$J$4:$J$497,AF$1)</f>
        <v>0</v>
      </c>
      <c r="AG36" s="207">
        <f>SUMIFS('февраль 2023'!$G$4:$G$497,'февраль 2023'!$D$4:$D$497,$B36,'февраль 2023'!$J$4:$J$497,AG$1)</f>
        <v>0</v>
      </c>
      <c r="AH36" s="207">
        <f>SUMIFS('февраль 2023'!$G$4:$G$497,'февраль 2023'!$D$4:$D$497,$B36,'февраль 2023'!$J$4:$J$497,AH$1)</f>
        <v>0</v>
      </c>
      <c r="AI36" s="170">
        <f t="shared" si="1"/>
        <v>3720</v>
      </c>
    </row>
    <row r="37" spans="2:35" ht="15" customHeight="1" x14ac:dyDescent="0.25">
      <c r="B37" s="212" t="s">
        <v>492</v>
      </c>
      <c r="C37" s="211">
        <v>25</v>
      </c>
      <c r="D37" s="207">
        <f>SUMIFS('февраль 2023'!$G$4:$G$497,'февраль 2023'!$D$4:$D$497,$B37,'февраль 2023'!$J$4:$J$497,D$1)</f>
        <v>0</v>
      </c>
      <c r="E37" s="207">
        <f>SUMIFS('февраль 2023'!$G$4:$G$497,'февраль 2023'!$D$4:$D$497,$B37,'февраль 2023'!$J$4:$J$497,E$1)</f>
        <v>440</v>
      </c>
      <c r="F37" s="207">
        <f>SUMIFS('февраль 2023'!$G$4:$G$497,'февраль 2023'!$D$4:$D$497,$B37,'февраль 2023'!$J$4:$J$497,F$1)</f>
        <v>0</v>
      </c>
      <c r="G37" s="207">
        <f>SUMIFS('февраль 2023'!$G$4:$G$497,'февраль 2023'!$D$4:$D$497,$B37,'февраль 2023'!$J$4:$J$497,G$1)</f>
        <v>0</v>
      </c>
      <c r="H37" s="207">
        <f>SUMIFS('февраль 2023'!$G$4:$G$497,'февраль 2023'!$D$4:$D$497,$B37,'февраль 2023'!$J$4:$J$497,H$1)</f>
        <v>0</v>
      </c>
      <c r="I37" s="207">
        <f>SUMIFS('февраль 2023'!$G$4:$G$497,'февраль 2023'!$D$4:$D$497,$B37,'февраль 2023'!$J$4:$J$497,I$1)</f>
        <v>0</v>
      </c>
      <c r="J37" s="207">
        <f>SUMIFS('февраль 2023'!$G$4:$G$497,'февраль 2023'!$D$4:$D$497,$B37,'февраль 2023'!$J$4:$J$497,J$1)</f>
        <v>0</v>
      </c>
      <c r="K37" s="207">
        <f>SUMIFS('февраль 2023'!$G$4:$G$497,'февраль 2023'!$D$4:$D$497,$B37,'февраль 2023'!$J$4:$J$497,K$1)</f>
        <v>0</v>
      </c>
      <c r="L37" s="207">
        <f>SUMIFS('февраль 2023'!$G$4:$G$497,'февраль 2023'!$D$4:$D$497,$B37,'февраль 2023'!$J$4:$J$497,L$1)</f>
        <v>0</v>
      </c>
      <c r="M37" s="207">
        <f>SUMIFS('февраль 2023'!$G$4:$G$497,'февраль 2023'!$D$4:$D$497,$B37,'февраль 2023'!$J$4:$J$497,M$1)</f>
        <v>0</v>
      </c>
      <c r="N37" s="207">
        <f>SUMIFS('февраль 2023'!$G$4:$G$497,'февраль 2023'!$D$4:$D$497,$B37,'февраль 2023'!$J$4:$J$497,N$1)</f>
        <v>0</v>
      </c>
      <c r="O37" s="207">
        <f>SUMIFS('февраль 2023'!$G$4:$G$497,'февраль 2023'!$D$4:$D$497,$B37,'февраль 2023'!$J$4:$J$497,O$1)</f>
        <v>0</v>
      </c>
      <c r="P37" s="207">
        <f>SUMIFS('февраль 2023'!$G$4:$G$497,'февраль 2023'!$D$4:$D$497,$B37,'февраль 2023'!$J$4:$J$497,P$1)</f>
        <v>0</v>
      </c>
      <c r="Q37" s="207">
        <f>SUMIFS('февраль 2023'!$G$4:$G$497,'февраль 2023'!$D$4:$D$497,$B37,'февраль 2023'!$J$4:$J$497,Q$1)</f>
        <v>0</v>
      </c>
      <c r="R37" s="207">
        <f>SUMIFS('февраль 2023'!$G$4:$G$497,'февраль 2023'!$D$4:$D$497,$B37,'февраль 2023'!$J$4:$J$497,R$1)</f>
        <v>0</v>
      </c>
      <c r="S37" s="207">
        <f>SUMIFS('февраль 2023'!$G$4:$G$497,'февраль 2023'!$D$4:$D$497,$B37,'февраль 2023'!$J$4:$J$497,S$1)</f>
        <v>0</v>
      </c>
      <c r="T37" s="207">
        <f>SUMIFS('февраль 2023'!$G$4:$G$497,'февраль 2023'!$D$4:$D$497,$B37,'февраль 2023'!$J$4:$J$497,T$1)</f>
        <v>800</v>
      </c>
      <c r="U37" s="207">
        <f>SUMIFS('февраль 2023'!$G$4:$G$497,'февраль 2023'!$D$4:$D$497,$B37,'февраль 2023'!$J$4:$J$497,U$1)</f>
        <v>0</v>
      </c>
      <c r="V37" s="207">
        <f>SUMIFS('февраль 2023'!$G$4:$G$497,'февраль 2023'!$D$4:$D$497,$B37,'февраль 2023'!$J$4:$J$497,V$1)</f>
        <v>0</v>
      </c>
      <c r="W37" s="207">
        <f>SUMIFS('февраль 2023'!$G$4:$G$497,'февраль 2023'!$D$4:$D$497,$B37,'февраль 2023'!$J$4:$J$497,W$1)</f>
        <v>0</v>
      </c>
      <c r="X37" s="207">
        <f>SUMIFS('февраль 2023'!$G$4:$G$497,'февраль 2023'!$D$4:$D$497,$B37,'февраль 2023'!$J$4:$J$497,X$1)</f>
        <v>0</v>
      </c>
      <c r="Y37" s="207">
        <f>SUMIFS('февраль 2023'!$G$4:$G$497,'февраль 2023'!$D$4:$D$497,$B37,'февраль 2023'!$J$4:$J$497,Y$1)</f>
        <v>0</v>
      </c>
      <c r="Z37" s="207">
        <f>SUMIFS('февраль 2023'!$G$4:$G$497,'февраль 2023'!$D$4:$D$497,$B37,'февраль 2023'!$J$4:$J$497,Z$1)</f>
        <v>0</v>
      </c>
      <c r="AA37" s="207">
        <f>SUMIFS('февраль 2023'!$G$4:$G$497,'февраль 2023'!$D$4:$D$497,$B37,'февраль 2023'!$J$4:$J$497,AA$1)</f>
        <v>0</v>
      </c>
      <c r="AB37" s="207">
        <f>SUMIFS('февраль 2023'!$G$4:$G$497,'февраль 2023'!$D$4:$D$497,$B37,'февраль 2023'!$J$4:$J$497,AB$1)</f>
        <v>0</v>
      </c>
      <c r="AC37" s="207">
        <f>SUMIFS('февраль 2023'!$G$4:$G$497,'февраль 2023'!$D$4:$D$497,$B37,'февраль 2023'!$J$4:$J$497,AC$1)</f>
        <v>0</v>
      </c>
      <c r="AD37" s="207">
        <f>SUMIFS('февраль 2023'!$G$4:$G$497,'февраль 2023'!$D$4:$D$497,$B37,'февраль 2023'!$J$4:$J$497,AD$1)</f>
        <v>0</v>
      </c>
      <c r="AE37" s="207">
        <f>SUMIFS('февраль 2023'!$G$4:$G$497,'февраль 2023'!$D$4:$D$497,$B37,'февраль 2023'!$J$4:$J$497,AE$1)</f>
        <v>800</v>
      </c>
      <c r="AF37" s="207">
        <f>SUMIFS('февраль 2023'!$G$4:$G$497,'февраль 2023'!$D$4:$D$497,$B37,'февраль 2023'!$J$4:$J$497,AF$1)</f>
        <v>0</v>
      </c>
      <c r="AG37" s="207">
        <f>SUMIFS('февраль 2023'!$G$4:$G$497,'февраль 2023'!$D$4:$D$497,$B37,'февраль 2023'!$J$4:$J$497,AG$1)</f>
        <v>0</v>
      </c>
      <c r="AH37" s="207">
        <f>SUMIFS('февраль 2023'!$G$4:$G$497,'февраль 2023'!$D$4:$D$497,$B37,'февраль 2023'!$J$4:$J$497,AH$1)</f>
        <v>0</v>
      </c>
      <c r="AI37" s="170">
        <f t="shared" si="1"/>
        <v>2040</v>
      </c>
    </row>
    <row r="38" spans="2:35" ht="15" customHeight="1" x14ac:dyDescent="0.25">
      <c r="B38" s="216" t="s">
        <v>1600</v>
      </c>
      <c r="C38" s="213">
        <v>25</v>
      </c>
      <c r="D38" s="207">
        <f>SUMIFS('февраль 2023'!$G$4:$G$497,'февраль 2023'!$D$4:$D$497,$B38,'февраль 2023'!$J$4:$J$497,D$1)</f>
        <v>0</v>
      </c>
      <c r="E38" s="207">
        <f>SUMIFS('февраль 2023'!$G$4:$G$497,'февраль 2023'!$D$4:$D$497,$B38,'февраль 2023'!$J$4:$J$497,E$1)</f>
        <v>0</v>
      </c>
      <c r="F38" s="207">
        <f>SUMIFS('февраль 2023'!$G$4:$G$497,'февраль 2023'!$D$4:$D$497,$B38,'февраль 2023'!$J$4:$J$497,F$1)</f>
        <v>0</v>
      </c>
      <c r="G38" s="207">
        <f>SUMIFS('февраль 2023'!$G$4:$G$497,'февраль 2023'!$D$4:$D$497,$B38,'февраль 2023'!$J$4:$J$497,G$1)</f>
        <v>0</v>
      </c>
      <c r="H38" s="207">
        <f>SUMIFS('февраль 2023'!$G$4:$G$497,'февраль 2023'!$D$4:$D$497,$B38,'февраль 2023'!$J$4:$J$497,H$1)</f>
        <v>0</v>
      </c>
      <c r="I38" s="207">
        <f>SUMIFS('февраль 2023'!$G$4:$G$497,'февраль 2023'!$D$4:$D$497,$B38,'февраль 2023'!$J$4:$J$497,I$1)</f>
        <v>0</v>
      </c>
      <c r="J38" s="207">
        <f>SUMIFS('февраль 2023'!$G$4:$G$497,'февраль 2023'!$D$4:$D$497,$B38,'февраль 2023'!$J$4:$J$497,J$1)</f>
        <v>0</v>
      </c>
      <c r="K38" s="207">
        <f>SUMIFS('февраль 2023'!$G$4:$G$497,'февраль 2023'!$D$4:$D$497,$B38,'февраль 2023'!$J$4:$J$497,K$1)</f>
        <v>0</v>
      </c>
      <c r="L38" s="207">
        <f>SUMIFS('февраль 2023'!$G$4:$G$497,'февраль 2023'!$D$4:$D$497,$B38,'февраль 2023'!$J$4:$J$497,L$1)</f>
        <v>0</v>
      </c>
      <c r="M38" s="207">
        <f>SUMIFS('февраль 2023'!$G$4:$G$497,'февраль 2023'!$D$4:$D$497,$B38,'февраль 2023'!$J$4:$J$497,M$1)</f>
        <v>0</v>
      </c>
      <c r="N38" s="207">
        <f>SUMIFS('февраль 2023'!$G$4:$G$497,'февраль 2023'!$D$4:$D$497,$B38,'февраль 2023'!$J$4:$J$497,N$1)</f>
        <v>0</v>
      </c>
      <c r="O38" s="207">
        <f>SUMIFS('февраль 2023'!$G$4:$G$497,'февраль 2023'!$D$4:$D$497,$B38,'февраль 2023'!$J$4:$J$497,O$1)</f>
        <v>0</v>
      </c>
      <c r="P38" s="207">
        <f>SUMIFS('февраль 2023'!$G$4:$G$497,'февраль 2023'!$D$4:$D$497,$B38,'февраль 2023'!$J$4:$J$497,P$1)</f>
        <v>0</v>
      </c>
      <c r="Q38" s="207">
        <f>SUMIFS('февраль 2023'!$G$4:$G$497,'февраль 2023'!$D$4:$D$497,$B38,'февраль 2023'!$J$4:$J$497,Q$1)</f>
        <v>0</v>
      </c>
      <c r="R38" s="207">
        <f>SUMIFS('февраль 2023'!$G$4:$G$497,'февраль 2023'!$D$4:$D$497,$B38,'февраль 2023'!$J$4:$J$497,R$1)</f>
        <v>0</v>
      </c>
      <c r="S38" s="207">
        <f>SUMIFS('февраль 2023'!$G$4:$G$497,'февраль 2023'!$D$4:$D$497,$B38,'февраль 2023'!$J$4:$J$497,S$1)</f>
        <v>0</v>
      </c>
      <c r="T38" s="207">
        <f>SUMIFS('февраль 2023'!$G$4:$G$497,'февраль 2023'!$D$4:$D$497,$B38,'февраль 2023'!$J$4:$J$497,T$1)</f>
        <v>0</v>
      </c>
      <c r="U38" s="207">
        <f>SUMIFS('февраль 2023'!$G$4:$G$497,'февраль 2023'!$D$4:$D$497,$B38,'февраль 2023'!$J$4:$J$497,U$1)</f>
        <v>0</v>
      </c>
      <c r="V38" s="207">
        <f>SUMIFS('февраль 2023'!$G$4:$G$497,'февраль 2023'!$D$4:$D$497,$B38,'февраль 2023'!$J$4:$J$497,V$1)</f>
        <v>0</v>
      </c>
      <c r="W38" s="207">
        <f>SUMIFS('февраль 2023'!$G$4:$G$497,'февраль 2023'!$D$4:$D$497,$B38,'февраль 2023'!$J$4:$J$497,W$1)</f>
        <v>800</v>
      </c>
      <c r="X38" s="207">
        <f>SUMIFS('февраль 2023'!$G$4:$G$497,'февраль 2023'!$D$4:$D$497,$B38,'февраль 2023'!$J$4:$J$497,X$1)</f>
        <v>0</v>
      </c>
      <c r="Y38" s="207">
        <f>SUMIFS('февраль 2023'!$G$4:$G$497,'февраль 2023'!$D$4:$D$497,$B38,'февраль 2023'!$J$4:$J$497,Y$1)</f>
        <v>0</v>
      </c>
      <c r="Z38" s="207">
        <f>SUMIFS('февраль 2023'!$G$4:$G$497,'февраль 2023'!$D$4:$D$497,$B38,'февраль 2023'!$J$4:$J$497,Z$1)</f>
        <v>0</v>
      </c>
      <c r="AA38" s="207">
        <f>SUMIFS('февраль 2023'!$G$4:$G$497,'февраль 2023'!$D$4:$D$497,$B38,'февраль 2023'!$J$4:$J$497,AA$1)</f>
        <v>800</v>
      </c>
      <c r="AB38" s="207">
        <f>SUMIFS('февраль 2023'!$G$4:$G$497,'февраль 2023'!$D$4:$D$497,$B38,'февраль 2023'!$J$4:$J$497,AB$1)</f>
        <v>0</v>
      </c>
      <c r="AC38" s="207">
        <f>SUMIFS('февраль 2023'!$G$4:$G$497,'февраль 2023'!$D$4:$D$497,$B38,'февраль 2023'!$J$4:$J$497,AC$1)</f>
        <v>0</v>
      </c>
      <c r="AD38" s="207">
        <f>SUMIFS('февраль 2023'!$G$4:$G$497,'февраль 2023'!$D$4:$D$497,$B38,'февраль 2023'!$J$4:$J$497,AD$1)</f>
        <v>0</v>
      </c>
      <c r="AE38" s="207">
        <f>SUMIFS('февраль 2023'!$G$4:$G$497,'февраль 2023'!$D$4:$D$497,$B38,'февраль 2023'!$J$4:$J$497,AE$1)</f>
        <v>0</v>
      </c>
      <c r="AF38" s="207">
        <f>SUMIFS('февраль 2023'!$G$4:$G$497,'февраль 2023'!$D$4:$D$497,$B38,'февраль 2023'!$J$4:$J$497,AF$1)</f>
        <v>0</v>
      </c>
      <c r="AG38" s="207">
        <f>SUMIFS('февраль 2023'!$G$4:$G$497,'февраль 2023'!$D$4:$D$497,$B38,'февраль 2023'!$J$4:$J$497,AG$1)</f>
        <v>0</v>
      </c>
      <c r="AH38" s="207">
        <f>SUMIFS('февраль 2023'!$G$4:$G$497,'февраль 2023'!$D$4:$D$497,$B38,'февраль 2023'!$J$4:$J$497,AH$1)</f>
        <v>0</v>
      </c>
      <c r="AI38" s="170">
        <f t="shared" si="1"/>
        <v>1600</v>
      </c>
    </row>
    <row r="39" spans="2:35" ht="15" customHeight="1" x14ac:dyDescent="0.25">
      <c r="B39" s="212" t="s">
        <v>1848</v>
      </c>
      <c r="C39" s="215">
        <v>22.68</v>
      </c>
      <c r="D39" s="207">
        <f>SUMIFS('февраль 2023'!$G$4:$G$497,'февраль 2023'!$D$4:$D$497,$B39,'февраль 2023'!$J$4:$J$497,D$1)</f>
        <v>0</v>
      </c>
      <c r="E39" s="207">
        <f>SUMIFS('февраль 2023'!$G$4:$G$497,'февраль 2023'!$D$4:$D$497,$B39,'февраль 2023'!$J$4:$J$497,E$1)</f>
        <v>0</v>
      </c>
      <c r="F39" s="207">
        <f>SUMIFS('февраль 2023'!$G$4:$G$497,'февраль 2023'!$D$4:$D$497,$B39,'февраль 2023'!$J$4:$J$497,F$1)</f>
        <v>0</v>
      </c>
      <c r="G39" s="207">
        <f>SUMIFS('февраль 2023'!$G$4:$G$497,'февраль 2023'!$D$4:$D$497,$B39,'февраль 2023'!$J$4:$J$497,G$1)</f>
        <v>0</v>
      </c>
      <c r="H39" s="207">
        <f>SUMIFS('февраль 2023'!$G$4:$G$497,'февраль 2023'!$D$4:$D$497,$B39,'февраль 2023'!$J$4:$J$497,H$1)</f>
        <v>0</v>
      </c>
      <c r="I39" s="207">
        <f>SUMIFS('февраль 2023'!$G$4:$G$497,'февраль 2023'!$D$4:$D$497,$B39,'февраль 2023'!$J$4:$J$497,I$1)</f>
        <v>0</v>
      </c>
      <c r="J39" s="207">
        <f>SUMIFS('февраль 2023'!$G$4:$G$497,'февраль 2023'!$D$4:$D$497,$B39,'февраль 2023'!$J$4:$J$497,J$1)</f>
        <v>0</v>
      </c>
      <c r="K39" s="207">
        <f>SUMIFS('февраль 2023'!$G$4:$G$497,'февраль 2023'!$D$4:$D$497,$B39,'февраль 2023'!$J$4:$J$497,K$1)</f>
        <v>0</v>
      </c>
      <c r="L39" s="207">
        <f>SUMIFS('февраль 2023'!$G$4:$G$497,'февраль 2023'!$D$4:$D$497,$B39,'февраль 2023'!$J$4:$J$497,L$1)</f>
        <v>800</v>
      </c>
      <c r="M39" s="207">
        <f>SUMIFS('февраль 2023'!$G$4:$G$497,'февраль 2023'!$D$4:$D$497,$B39,'февраль 2023'!$J$4:$J$497,M$1)</f>
        <v>0</v>
      </c>
      <c r="N39" s="207">
        <f>SUMIFS('февраль 2023'!$G$4:$G$497,'февраль 2023'!$D$4:$D$497,$B39,'февраль 2023'!$J$4:$J$497,N$1)</f>
        <v>0</v>
      </c>
      <c r="O39" s="207">
        <f>SUMIFS('февраль 2023'!$G$4:$G$497,'февраль 2023'!$D$4:$D$497,$B39,'февраль 2023'!$J$4:$J$497,O$1)</f>
        <v>0</v>
      </c>
      <c r="P39" s="207">
        <f>SUMIFS('февраль 2023'!$G$4:$G$497,'февраль 2023'!$D$4:$D$497,$B39,'февраль 2023'!$J$4:$J$497,P$1)</f>
        <v>0</v>
      </c>
      <c r="Q39" s="207">
        <f>SUMIFS('февраль 2023'!$G$4:$G$497,'февраль 2023'!$D$4:$D$497,$B39,'февраль 2023'!$J$4:$J$497,Q$1)</f>
        <v>0</v>
      </c>
      <c r="R39" s="207">
        <f>SUMIFS('февраль 2023'!$G$4:$G$497,'февраль 2023'!$D$4:$D$497,$B39,'февраль 2023'!$J$4:$J$497,R$1)</f>
        <v>0</v>
      </c>
      <c r="S39" s="207">
        <f>SUMIFS('февраль 2023'!$G$4:$G$497,'февраль 2023'!$D$4:$D$497,$B39,'февраль 2023'!$J$4:$J$497,S$1)</f>
        <v>0</v>
      </c>
      <c r="T39" s="207">
        <f>SUMIFS('февраль 2023'!$G$4:$G$497,'февраль 2023'!$D$4:$D$497,$B39,'февраль 2023'!$J$4:$J$497,T$1)</f>
        <v>0</v>
      </c>
      <c r="U39" s="207">
        <f>SUMIFS('февраль 2023'!$G$4:$G$497,'февраль 2023'!$D$4:$D$497,$B39,'февраль 2023'!$J$4:$J$497,U$1)</f>
        <v>0</v>
      </c>
      <c r="V39" s="207">
        <f>SUMIFS('февраль 2023'!$G$4:$G$497,'февраль 2023'!$D$4:$D$497,$B39,'февраль 2023'!$J$4:$J$497,V$1)</f>
        <v>0</v>
      </c>
      <c r="W39" s="207">
        <f>SUMIFS('февраль 2023'!$G$4:$G$497,'февраль 2023'!$D$4:$D$497,$B39,'февраль 2023'!$J$4:$J$497,W$1)</f>
        <v>0</v>
      </c>
      <c r="X39" s="207">
        <f>SUMIFS('февраль 2023'!$G$4:$G$497,'февраль 2023'!$D$4:$D$497,$B39,'февраль 2023'!$J$4:$J$497,X$1)</f>
        <v>0</v>
      </c>
      <c r="Y39" s="207">
        <f>SUMIFS('февраль 2023'!$G$4:$G$497,'февраль 2023'!$D$4:$D$497,$B39,'февраль 2023'!$J$4:$J$497,Y$1)</f>
        <v>0</v>
      </c>
      <c r="Z39" s="207">
        <f>SUMIFS('февраль 2023'!$G$4:$G$497,'февраль 2023'!$D$4:$D$497,$B39,'февраль 2023'!$J$4:$J$497,Z$1)</f>
        <v>0</v>
      </c>
      <c r="AA39" s="207">
        <f>SUMIFS('февраль 2023'!$G$4:$G$497,'февраль 2023'!$D$4:$D$497,$B39,'февраль 2023'!$J$4:$J$497,AA$1)</f>
        <v>0</v>
      </c>
      <c r="AB39" s="207">
        <f>SUMIFS('февраль 2023'!$G$4:$G$497,'февраль 2023'!$D$4:$D$497,$B39,'февраль 2023'!$J$4:$J$497,AB$1)</f>
        <v>0</v>
      </c>
      <c r="AC39" s="207">
        <f>SUMIFS('февраль 2023'!$G$4:$G$497,'февраль 2023'!$D$4:$D$497,$B39,'февраль 2023'!$J$4:$J$497,AC$1)</f>
        <v>0</v>
      </c>
      <c r="AD39" s="207">
        <f>SUMIFS('февраль 2023'!$G$4:$G$497,'февраль 2023'!$D$4:$D$497,$B39,'февраль 2023'!$J$4:$J$497,AD$1)</f>
        <v>0</v>
      </c>
      <c r="AE39" s="207">
        <f>SUMIFS('февраль 2023'!$G$4:$G$497,'февраль 2023'!$D$4:$D$497,$B39,'февраль 2023'!$J$4:$J$497,AE$1)</f>
        <v>0</v>
      </c>
      <c r="AF39" s="207">
        <f>SUMIFS('февраль 2023'!$G$4:$G$497,'февраль 2023'!$D$4:$D$497,$B39,'февраль 2023'!$J$4:$J$497,AF$1)</f>
        <v>0</v>
      </c>
      <c r="AG39" s="207">
        <f>SUMIFS('февраль 2023'!$G$4:$G$497,'февраль 2023'!$D$4:$D$497,$B39,'февраль 2023'!$J$4:$J$497,AG$1)</f>
        <v>0</v>
      </c>
      <c r="AH39" s="207">
        <f>SUMIFS('февраль 2023'!$G$4:$G$497,'февраль 2023'!$D$4:$D$497,$B39,'февраль 2023'!$J$4:$J$497,AH$1)</f>
        <v>0</v>
      </c>
      <c r="AI39" s="170">
        <f t="shared" si="1"/>
        <v>800</v>
      </c>
    </row>
    <row r="40" spans="2:35" ht="15" customHeight="1" x14ac:dyDescent="0.25">
      <c r="B40" s="216" t="s">
        <v>680</v>
      </c>
      <c r="C40" s="213">
        <v>200</v>
      </c>
      <c r="D40" s="207">
        <f>SUMIFS('февраль 2023'!$G$4:$G$497,'февраль 2023'!$D$4:$D$497,$B40,'февраль 2023'!$J$4:$J$497,D$1)</f>
        <v>0</v>
      </c>
      <c r="E40" s="207">
        <f>SUMIFS('февраль 2023'!$G$4:$G$497,'февраль 2023'!$D$4:$D$497,$B40,'февраль 2023'!$J$4:$J$497,E$1)</f>
        <v>0</v>
      </c>
      <c r="F40" s="207">
        <f>SUMIFS('февраль 2023'!$G$4:$G$497,'февраль 2023'!$D$4:$D$497,$B40,'февраль 2023'!$J$4:$J$497,F$1)</f>
        <v>0</v>
      </c>
      <c r="G40" s="207">
        <f>SUMIFS('февраль 2023'!$G$4:$G$497,'февраль 2023'!$D$4:$D$497,$B40,'февраль 2023'!$J$4:$J$497,G$1)</f>
        <v>0</v>
      </c>
      <c r="H40" s="207">
        <f>SUMIFS('февраль 2023'!$G$4:$G$497,'февраль 2023'!$D$4:$D$497,$B40,'февраль 2023'!$J$4:$J$497,H$1)</f>
        <v>0</v>
      </c>
      <c r="I40" s="207">
        <f>SUMIFS('февраль 2023'!$G$4:$G$497,'февраль 2023'!$D$4:$D$497,$B40,'февраль 2023'!$J$4:$J$497,I$1)</f>
        <v>0</v>
      </c>
      <c r="J40" s="207">
        <f>SUMIFS('февраль 2023'!$G$4:$G$497,'февраль 2023'!$D$4:$D$497,$B40,'февраль 2023'!$J$4:$J$497,J$1)</f>
        <v>0</v>
      </c>
      <c r="K40" s="207">
        <f>SUMIFS('февраль 2023'!$G$4:$G$497,'февраль 2023'!$D$4:$D$497,$B40,'февраль 2023'!$J$4:$J$497,K$1)</f>
        <v>25</v>
      </c>
      <c r="L40" s="207">
        <f>SUMIFS('февраль 2023'!$G$4:$G$497,'февраль 2023'!$D$4:$D$497,$B40,'февраль 2023'!$J$4:$J$497,L$1)</f>
        <v>0</v>
      </c>
      <c r="M40" s="207">
        <f>SUMIFS('февраль 2023'!$G$4:$G$497,'февраль 2023'!$D$4:$D$497,$B40,'февраль 2023'!$J$4:$J$497,M$1)</f>
        <v>0</v>
      </c>
      <c r="N40" s="207">
        <f>SUMIFS('февраль 2023'!$G$4:$G$497,'февраль 2023'!$D$4:$D$497,$B40,'февраль 2023'!$J$4:$J$497,N$1)</f>
        <v>0</v>
      </c>
      <c r="O40" s="207">
        <f>SUMIFS('февраль 2023'!$G$4:$G$497,'февраль 2023'!$D$4:$D$497,$B40,'февраль 2023'!$J$4:$J$497,O$1)</f>
        <v>0</v>
      </c>
      <c r="P40" s="207">
        <f>SUMIFS('февраль 2023'!$G$4:$G$497,'февраль 2023'!$D$4:$D$497,$B40,'февраль 2023'!$J$4:$J$497,P$1)</f>
        <v>0</v>
      </c>
      <c r="Q40" s="207">
        <f>SUMIFS('февраль 2023'!$G$4:$G$497,'февраль 2023'!$D$4:$D$497,$B40,'февраль 2023'!$J$4:$J$497,Q$1)</f>
        <v>0</v>
      </c>
      <c r="R40" s="207">
        <f>SUMIFS('февраль 2023'!$G$4:$G$497,'февраль 2023'!$D$4:$D$497,$B40,'февраль 2023'!$J$4:$J$497,R$1)</f>
        <v>0</v>
      </c>
      <c r="S40" s="207">
        <f>SUMIFS('февраль 2023'!$G$4:$G$497,'февраль 2023'!$D$4:$D$497,$B40,'февраль 2023'!$J$4:$J$497,S$1)</f>
        <v>0</v>
      </c>
      <c r="T40" s="207">
        <f>SUMIFS('февраль 2023'!$G$4:$G$497,'февраль 2023'!$D$4:$D$497,$B40,'февраль 2023'!$J$4:$J$497,T$1)</f>
        <v>0</v>
      </c>
      <c r="U40" s="207">
        <f>SUMIFS('февраль 2023'!$G$4:$G$497,'февраль 2023'!$D$4:$D$497,$B40,'февраль 2023'!$J$4:$J$497,U$1)</f>
        <v>0</v>
      </c>
      <c r="V40" s="207">
        <f>SUMIFS('февраль 2023'!$G$4:$G$497,'февраль 2023'!$D$4:$D$497,$B40,'февраль 2023'!$J$4:$J$497,V$1)</f>
        <v>0</v>
      </c>
      <c r="W40" s="207">
        <f>SUMIFS('февраль 2023'!$G$4:$G$497,'февраль 2023'!$D$4:$D$497,$B40,'февраль 2023'!$J$4:$J$497,W$1)</f>
        <v>0</v>
      </c>
      <c r="X40" s="207">
        <f>SUMIFS('февраль 2023'!$G$4:$G$497,'февраль 2023'!$D$4:$D$497,$B40,'февраль 2023'!$J$4:$J$497,X$1)</f>
        <v>0</v>
      </c>
      <c r="Y40" s="207">
        <f>SUMIFS('февраль 2023'!$G$4:$G$497,'февраль 2023'!$D$4:$D$497,$B40,'февраль 2023'!$J$4:$J$497,Y$1)</f>
        <v>0</v>
      </c>
      <c r="Z40" s="207">
        <f>SUMIFS('февраль 2023'!$G$4:$G$497,'февраль 2023'!$D$4:$D$497,$B40,'февраль 2023'!$J$4:$J$497,Z$1)</f>
        <v>0</v>
      </c>
      <c r="AA40" s="207">
        <f>SUMIFS('февраль 2023'!$G$4:$G$497,'февраль 2023'!$D$4:$D$497,$B40,'февраль 2023'!$J$4:$J$497,AA$1)</f>
        <v>0</v>
      </c>
      <c r="AB40" s="207">
        <f>SUMIFS('февраль 2023'!$G$4:$G$497,'февраль 2023'!$D$4:$D$497,$B40,'февраль 2023'!$J$4:$J$497,AB$1)</f>
        <v>0</v>
      </c>
      <c r="AC40" s="207">
        <f>SUMIFS('февраль 2023'!$G$4:$G$497,'февраль 2023'!$D$4:$D$497,$B40,'февраль 2023'!$J$4:$J$497,AC$1)</f>
        <v>0</v>
      </c>
      <c r="AD40" s="207">
        <f>SUMIFS('февраль 2023'!$G$4:$G$497,'февраль 2023'!$D$4:$D$497,$B40,'февраль 2023'!$J$4:$J$497,AD$1)</f>
        <v>0</v>
      </c>
      <c r="AE40" s="207">
        <f>SUMIFS('февраль 2023'!$G$4:$G$497,'февраль 2023'!$D$4:$D$497,$B40,'февраль 2023'!$J$4:$J$497,AE$1)</f>
        <v>0</v>
      </c>
      <c r="AF40" s="207">
        <f>SUMIFS('февраль 2023'!$G$4:$G$497,'февраль 2023'!$D$4:$D$497,$B40,'февраль 2023'!$J$4:$J$497,AF$1)</f>
        <v>0</v>
      </c>
      <c r="AG40" s="207">
        <f>SUMIFS('февраль 2023'!$G$4:$G$497,'февраль 2023'!$D$4:$D$497,$B40,'февраль 2023'!$J$4:$J$497,AG$1)</f>
        <v>0</v>
      </c>
      <c r="AH40" s="207">
        <f>SUMIFS('февраль 2023'!$G$4:$G$497,'февраль 2023'!$D$4:$D$497,$B40,'февраль 2023'!$J$4:$J$497,AH$1)</f>
        <v>0</v>
      </c>
      <c r="AI40" s="170">
        <f t="shared" si="1"/>
        <v>25</v>
      </c>
    </row>
    <row r="41" spans="2:35" ht="15" customHeight="1" x14ac:dyDescent="0.25">
      <c r="B41" s="216"/>
      <c r="C41" s="213"/>
      <c r="D41" s="207">
        <f>SUMIFS('февраль 2023'!$G$4:$G$497,'февраль 2023'!$D$4:$D$497,$B41,'февраль 2023'!$J$4:$J$497,D$1)</f>
        <v>0</v>
      </c>
      <c r="E41" s="207">
        <f>SUMIFS('февраль 2023'!$G$4:$G$497,'февраль 2023'!$D$4:$D$497,$B41,'февраль 2023'!$J$4:$J$497,E$1)</f>
        <v>0</v>
      </c>
      <c r="F41" s="207">
        <f>SUMIFS('февраль 2023'!$G$4:$G$497,'февраль 2023'!$D$4:$D$497,$B41,'февраль 2023'!$J$4:$J$497,F$1)</f>
        <v>0</v>
      </c>
      <c r="G41" s="207">
        <f>SUMIFS('февраль 2023'!$G$4:$G$497,'февраль 2023'!$D$4:$D$497,$B41,'февраль 2023'!$J$4:$J$497,G$1)</f>
        <v>0</v>
      </c>
      <c r="H41" s="207">
        <f>SUMIFS('февраль 2023'!$G$4:$G$497,'февраль 2023'!$D$4:$D$497,$B41,'февраль 2023'!$J$4:$J$497,H$1)</f>
        <v>0</v>
      </c>
      <c r="I41" s="207">
        <f>SUMIFS('февраль 2023'!$G$4:$G$497,'февраль 2023'!$D$4:$D$497,$B41,'февраль 2023'!$J$4:$J$497,I$1)</f>
        <v>0</v>
      </c>
      <c r="J41" s="207">
        <f>SUMIFS('февраль 2023'!$G$4:$G$497,'февраль 2023'!$D$4:$D$497,$B41,'февраль 2023'!$J$4:$J$497,J$1)</f>
        <v>0</v>
      </c>
      <c r="K41" s="207">
        <f>SUMIFS('февраль 2023'!$G$4:$G$497,'февраль 2023'!$D$4:$D$497,$B41,'февраль 2023'!$J$4:$J$497,K$1)</f>
        <v>0</v>
      </c>
      <c r="L41" s="207">
        <f>SUMIFS('февраль 2023'!$G$4:$G$497,'февраль 2023'!$D$4:$D$497,$B41,'февраль 2023'!$J$4:$J$497,L$1)</f>
        <v>0</v>
      </c>
      <c r="M41" s="207">
        <f>SUMIFS('февраль 2023'!$G$4:$G$497,'февраль 2023'!$D$4:$D$497,$B41,'февраль 2023'!$J$4:$J$497,M$1)</f>
        <v>0</v>
      </c>
      <c r="N41" s="207">
        <f>SUMIFS('февраль 2023'!$G$4:$G$497,'февраль 2023'!$D$4:$D$497,$B41,'февраль 2023'!$J$4:$J$497,N$1)</f>
        <v>0</v>
      </c>
      <c r="O41" s="207">
        <f>SUMIFS('февраль 2023'!$G$4:$G$497,'февраль 2023'!$D$4:$D$497,$B41,'февраль 2023'!$J$4:$J$497,O$1)</f>
        <v>0</v>
      </c>
      <c r="P41" s="207">
        <f>SUMIFS('февраль 2023'!$G$4:$G$497,'февраль 2023'!$D$4:$D$497,$B41,'февраль 2023'!$J$4:$J$497,P$1)</f>
        <v>0</v>
      </c>
      <c r="Q41" s="207">
        <f>SUMIFS('февраль 2023'!$G$4:$G$497,'февраль 2023'!$D$4:$D$497,$B41,'февраль 2023'!$J$4:$J$497,Q$1)</f>
        <v>0</v>
      </c>
      <c r="R41" s="207">
        <f>SUMIFS('февраль 2023'!$G$4:$G$497,'февраль 2023'!$D$4:$D$497,$B41,'февраль 2023'!$J$4:$J$497,R$1)</f>
        <v>0</v>
      </c>
      <c r="S41" s="207">
        <f>SUMIFS('февраль 2023'!$G$4:$G$497,'февраль 2023'!$D$4:$D$497,$B41,'февраль 2023'!$J$4:$J$497,S$1)</f>
        <v>0</v>
      </c>
      <c r="T41" s="207">
        <f>SUMIFS('февраль 2023'!$G$4:$G$497,'февраль 2023'!$D$4:$D$497,$B41,'февраль 2023'!$J$4:$J$497,T$1)</f>
        <v>0</v>
      </c>
      <c r="U41" s="207">
        <f>SUMIFS('февраль 2023'!$G$4:$G$497,'февраль 2023'!$D$4:$D$497,$B41,'февраль 2023'!$J$4:$J$497,U$1)</f>
        <v>0</v>
      </c>
      <c r="V41" s="207">
        <f>SUMIFS('февраль 2023'!$G$4:$G$497,'февраль 2023'!$D$4:$D$497,$B41,'февраль 2023'!$J$4:$J$497,V$1)</f>
        <v>0</v>
      </c>
      <c r="W41" s="207">
        <f>SUMIFS('февраль 2023'!$G$4:$G$497,'февраль 2023'!$D$4:$D$497,$B41,'февраль 2023'!$J$4:$J$497,W$1)</f>
        <v>0</v>
      </c>
      <c r="X41" s="207">
        <f>SUMIFS('февраль 2023'!$G$4:$G$497,'февраль 2023'!$D$4:$D$497,$B41,'февраль 2023'!$J$4:$J$497,X$1)</f>
        <v>0</v>
      </c>
      <c r="Y41" s="207">
        <f>SUMIFS('февраль 2023'!$G$4:$G$497,'февраль 2023'!$D$4:$D$497,$B41,'февраль 2023'!$J$4:$J$497,Y$1)</f>
        <v>0</v>
      </c>
      <c r="Z41" s="207">
        <f>SUMIFS('февраль 2023'!$G$4:$G$497,'февраль 2023'!$D$4:$D$497,$B41,'февраль 2023'!$J$4:$J$497,Z$1)</f>
        <v>0</v>
      </c>
      <c r="AA41" s="207">
        <f>SUMIFS('февраль 2023'!$G$4:$G$497,'февраль 2023'!$D$4:$D$497,$B41,'февраль 2023'!$J$4:$J$497,AA$1)</f>
        <v>0</v>
      </c>
      <c r="AB41" s="207">
        <f>SUMIFS('февраль 2023'!$G$4:$G$497,'февраль 2023'!$D$4:$D$497,$B41,'февраль 2023'!$J$4:$J$497,AB$1)</f>
        <v>0</v>
      </c>
      <c r="AC41" s="207">
        <f>SUMIFS('февраль 2023'!$G$4:$G$497,'февраль 2023'!$D$4:$D$497,$B41,'февраль 2023'!$J$4:$J$497,AC$1)</f>
        <v>0</v>
      </c>
      <c r="AD41" s="207">
        <f>SUMIFS('февраль 2023'!$G$4:$G$497,'февраль 2023'!$D$4:$D$497,$B41,'февраль 2023'!$J$4:$J$497,AD$1)</f>
        <v>0</v>
      </c>
      <c r="AE41" s="207">
        <f>SUMIFS('февраль 2023'!$G$4:$G$497,'февраль 2023'!$D$4:$D$497,$B41,'февраль 2023'!$J$4:$J$497,AE$1)</f>
        <v>0</v>
      </c>
      <c r="AF41" s="207">
        <f>SUMIFS('февраль 2023'!$G$4:$G$497,'февраль 2023'!$D$4:$D$497,$B41,'февраль 2023'!$J$4:$J$497,AF$1)</f>
        <v>0</v>
      </c>
      <c r="AG41" s="207">
        <f>SUMIFS('февраль 2023'!$G$4:$G$497,'февраль 2023'!$D$4:$D$497,$B41,'февраль 2023'!$J$4:$J$497,AG$1)</f>
        <v>0</v>
      </c>
      <c r="AH41" s="207">
        <f>SUMIFS('февраль 2023'!$G$4:$G$497,'февраль 2023'!$D$4:$D$497,$B41,'февраль 2023'!$J$4:$J$497,AH$1)</f>
        <v>0</v>
      </c>
      <c r="AI41" s="170">
        <f t="shared" si="1"/>
        <v>0</v>
      </c>
    </row>
    <row r="42" spans="2:35" ht="15" customHeight="1" x14ac:dyDescent="0.25">
      <c r="B42" s="216"/>
      <c r="C42" s="213"/>
      <c r="D42" s="207">
        <f>SUMIFS('февраль 2023'!$G$4:$G$497,'февраль 2023'!$D$4:$D$497,$B42,'февраль 2023'!$J$4:$J$497,D$1)</f>
        <v>0</v>
      </c>
      <c r="E42" s="207">
        <f>SUMIFS('февраль 2023'!$G$4:$G$497,'февраль 2023'!$D$4:$D$497,$B42,'февраль 2023'!$J$4:$J$497,E$1)</f>
        <v>0</v>
      </c>
      <c r="F42" s="207">
        <f>SUMIFS('февраль 2023'!$G$4:$G$497,'февраль 2023'!$D$4:$D$497,$B42,'февраль 2023'!$J$4:$J$497,F$1)</f>
        <v>0</v>
      </c>
      <c r="G42" s="207">
        <f>SUMIFS('февраль 2023'!$G$4:$G$497,'февраль 2023'!$D$4:$D$497,$B42,'февраль 2023'!$J$4:$J$497,G$1)</f>
        <v>0</v>
      </c>
      <c r="H42" s="207">
        <f>SUMIFS('февраль 2023'!$G$4:$G$497,'февраль 2023'!$D$4:$D$497,$B42,'февраль 2023'!$J$4:$J$497,H$1)</f>
        <v>0</v>
      </c>
      <c r="I42" s="207">
        <f>SUMIFS('февраль 2023'!$G$4:$G$497,'февраль 2023'!$D$4:$D$497,$B42,'февраль 2023'!$J$4:$J$497,I$1)</f>
        <v>0</v>
      </c>
      <c r="J42" s="207">
        <f>SUMIFS('февраль 2023'!$G$4:$G$497,'февраль 2023'!$D$4:$D$497,$B42,'февраль 2023'!$J$4:$J$497,J$1)</f>
        <v>0</v>
      </c>
      <c r="K42" s="207">
        <f>SUMIFS('февраль 2023'!$G$4:$G$497,'февраль 2023'!$D$4:$D$497,$B42,'февраль 2023'!$J$4:$J$497,K$1)</f>
        <v>0</v>
      </c>
      <c r="L42" s="207">
        <f>SUMIFS('февраль 2023'!$G$4:$G$497,'февраль 2023'!$D$4:$D$497,$B42,'февраль 2023'!$J$4:$J$497,L$1)</f>
        <v>0</v>
      </c>
      <c r="M42" s="207">
        <f>SUMIFS('февраль 2023'!$G$4:$G$497,'февраль 2023'!$D$4:$D$497,$B42,'февраль 2023'!$J$4:$J$497,M$1)</f>
        <v>0</v>
      </c>
      <c r="N42" s="207">
        <f>SUMIFS('февраль 2023'!$G$4:$G$497,'февраль 2023'!$D$4:$D$497,$B42,'февраль 2023'!$J$4:$J$497,N$1)</f>
        <v>0</v>
      </c>
      <c r="O42" s="207">
        <f>SUMIFS('февраль 2023'!$G$4:$G$497,'февраль 2023'!$D$4:$D$497,$B42,'февраль 2023'!$J$4:$J$497,O$1)</f>
        <v>0</v>
      </c>
      <c r="P42" s="207">
        <f>SUMIFS('февраль 2023'!$G$4:$G$497,'февраль 2023'!$D$4:$D$497,$B42,'февраль 2023'!$J$4:$J$497,P$1)</f>
        <v>0</v>
      </c>
      <c r="Q42" s="207">
        <f>SUMIFS('февраль 2023'!$G$4:$G$497,'февраль 2023'!$D$4:$D$497,$B42,'февраль 2023'!$J$4:$J$497,Q$1)</f>
        <v>0</v>
      </c>
      <c r="R42" s="207">
        <f>SUMIFS('февраль 2023'!$G$4:$G$497,'февраль 2023'!$D$4:$D$497,$B42,'февраль 2023'!$J$4:$J$497,R$1)</f>
        <v>0</v>
      </c>
      <c r="S42" s="207">
        <f>SUMIFS('февраль 2023'!$G$4:$G$497,'февраль 2023'!$D$4:$D$497,$B42,'февраль 2023'!$J$4:$J$497,S$1)</f>
        <v>0</v>
      </c>
      <c r="T42" s="207">
        <f>SUMIFS('февраль 2023'!$G$4:$G$497,'февраль 2023'!$D$4:$D$497,$B42,'февраль 2023'!$J$4:$J$497,T$1)</f>
        <v>0</v>
      </c>
      <c r="U42" s="207">
        <f>SUMIFS('февраль 2023'!$G$4:$G$497,'февраль 2023'!$D$4:$D$497,$B42,'февраль 2023'!$J$4:$J$497,U$1)</f>
        <v>0</v>
      </c>
      <c r="V42" s="207">
        <f>SUMIFS('февраль 2023'!$G$4:$G$497,'февраль 2023'!$D$4:$D$497,$B42,'февраль 2023'!$J$4:$J$497,V$1)</f>
        <v>0</v>
      </c>
      <c r="W42" s="207">
        <f>SUMIFS('февраль 2023'!$G$4:$G$497,'февраль 2023'!$D$4:$D$497,$B42,'февраль 2023'!$J$4:$J$497,W$1)</f>
        <v>0</v>
      </c>
      <c r="X42" s="207">
        <f>SUMIFS('февраль 2023'!$G$4:$G$497,'февраль 2023'!$D$4:$D$497,$B42,'февраль 2023'!$J$4:$J$497,X$1)</f>
        <v>0</v>
      </c>
      <c r="Y42" s="207">
        <f>SUMIFS('февраль 2023'!$G$4:$G$497,'февраль 2023'!$D$4:$D$497,$B42,'февраль 2023'!$J$4:$J$497,Y$1)</f>
        <v>0</v>
      </c>
      <c r="Z42" s="207">
        <f>SUMIFS('февраль 2023'!$G$4:$G$497,'февраль 2023'!$D$4:$D$497,$B42,'февраль 2023'!$J$4:$J$497,Z$1)</f>
        <v>0</v>
      </c>
      <c r="AA42" s="207">
        <f>SUMIFS('февраль 2023'!$G$4:$G$497,'февраль 2023'!$D$4:$D$497,$B42,'февраль 2023'!$J$4:$J$497,AA$1)</f>
        <v>0</v>
      </c>
      <c r="AB42" s="207">
        <f>SUMIFS('февраль 2023'!$G$4:$G$497,'февраль 2023'!$D$4:$D$497,$B42,'февраль 2023'!$J$4:$J$497,AB$1)</f>
        <v>0</v>
      </c>
      <c r="AC42" s="207">
        <f>SUMIFS('февраль 2023'!$G$4:$G$497,'февраль 2023'!$D$4:$D$497,$B42,'февраль 2023'!$J$4:$J$497,AC$1)</f>
        <v>0</v>
      </c>
      <c r="AD42" s="207">
        <f>SUMIFS('февраль 2023'!$G$4:$G$497,'февраль 2023'!$D$4:$D$497,$B42,'февраль 2023'!$J$4:$J$497,AD$1)</f>
        <v>0</v>
      </c>
      <c r="AE42" s="207">
        <f>SUMIFS('февраль 2023'!$G$4:$G$497,'февраль 2023'!$D$4:$D$497,$B42,'февраль 2023'!$J$4:$J$497,AE$1)</f>
        <v>0</v>
      </c>
      <c r="AF42" s="207">
        <f>SUMIFS('февраль 2023'!$G$4:$G$497,'февраль 2023'!$D$4:$D$497,$B42,'февраль 2023'!$J$4:$J$497,AF$1)</f>
        <v>0</v>
      </c>
      <c r="AG42" s="207">
        <f>SUMIFS('февраль 2023'!$G$4:$G$497,'февраль 2023'!$D$4:$D$497,$B42,'февраль 2023'!$J$4:$J$497,AG$1)</f>
        <v>0</v>
      </c>
      <c r="AH42" s="207">
        <f>SUMIFS('февраль 2023'!$G$4:$G$497,'февраль 2023'!$D$4:$D$497,$B42,'февраль 2023'!$J$4:$J$497,AH$1)</f>
        <v>0</v>
      </c>
      <c r="AI42" s="170">
        <f t="shared" si="1"/>
        <v>0</v>
      </c>
    </row>
    <row r="43" spans="2:35" ht="15" customHeight="1" x14ac:dyDescent="0.25">
      <c r="B43" s="212"/>
      <c r="C43" s="215"/>
      <c r="D43" s="207">
        <f>SUMIFS('февраль 2023'!$G$4:$G$497,'февраль 2023'!$D$4:$D$497,$B43,'февраль 2023'!$J$4:$J$497,D$1)</f>
        <v>0</v>
      </c>
      <c r="E43" s="207">
        <f>SUMIFS('февраль 2023'!$G$4:$G$497,'февраль 2023'!$D$4:$D$497,$B43,'февраль 2023'!$J$4:$J$497,E$1)</f>
        <v>0</v>
      </c>
      <c r="F43" s="207">
        <f>SUMIFS('февраль 2023'!$G$4:$G$497,'февраль 2023'!$D$4:$D$497,$B43,'февраль 2023'!$J$4:$J$497,F$1)</f>
        <v>0</v>
      </c>
      <c r="G43" s="207">
        <f>SUMIFS('февраль 2023'!$G$4:$G$497,'февраль 2023'!$D$4:$D$497,$B43,'февраль 2023'!$J$4:$J$497,G$1)</f>
        <v>0</v>
      </c>
      <c r="H43" s="207">
        <f>SUMIFS('февраль 2023'!$G$4:$G$497,'февраль 2023'!$D$4:$D$497,$B43,'февраль 2023'!$J$4:$J$497,H$1)</f>
        <v>0</v>
      </c>
      <c r="I43" s="207">
        <f>SUMIFS('февраль 2023'!$G$4:$G$497,'февраль 2023'!$D$4:$D$497,$B43,'февраль 2023'!$J$4:$J$497,I$1)</f>
        <v>0</v>
      </c>
      <c r="J43" s="207">
        <f>SUMIFS('февраль 2023'!$G$4:$G$497,'февраль 2023'!$D$4:$D$497,$B43,'февраль 2023'!$J$4:$J$497,J$1)</f>
        <v>0</v>
      </c>
      <c r="K43" s="207">
        <f>SUMIFS('февраль 2023'!$G$4:$G$497,'февраль 2023'!$D$4:$D$497,$B43,'февраль 2023'!$J$4:$J$497,K$1)</f>
        <v>0</v>
      </c>
      <c r="L43" s="207">
        <f>SUMIFS('февраль 2023'!$G$4:$G$497,'февраль 2023'!$D$4:$D$497,$B43,'февраль 2023'!$J$4:$J$497,L$1)</f>
        <v>0</v>
      </c>
      <c r="M43" s="207">
        <f>SUMIFS('февраль 2023'!$G$4:$G$497,'февраль 2023'!$D$4:$D$497,$B43,'февраль 2023'!$J$4:$J$497,M$1)</f>
        <v>0</v>
      </c>
      <c r="N43" s="207">
        <f>SUMIFS('февраль 2023'!$G$4:$G$497,'февраль 2023'!$D$4:$D$497,$B43,'февраль 2023'!$J$4:$J$497,N$1)</f>
        <v>0</v>
      </c>
      <c r="O43" s="207">
        <f>SUMIFS('февраль 2023'!$G$4:$G$497,'февраль 2023'!$D$4:$D$497,$B43,'февраль 2023'!$J$4:$J$497,O$1)</f>
        <v>0</v>
      </c>
      <c r="P43" s="207">
        <f>SUMIFS('февраль 2023'!$G$4:$G$497,'февраль 2023'!$D$4:$D$497,$B43,'февраль 2023'!$J$4:$J$497,P$1)</f>
        <v>0</v>
      </c>
      <c r="Q43" s="207">
        <f>SUMIFS('февраль 2023'!$G$4:$G$497,'февраль 2023'!$D$4:$D$497,$B43,'февраль 2023'!$J$4:$J$497,Q$1)</f>
        <v>0</v>
      </c>
      <c r="R43" s="207">
        <f>SUMIFS('февраль 2023'!$G$4:$G$497,'февраль 2023'!$D$4:$D$497,$B43,'февраль 2023'!$J$4:$J$497,R$1)</f>
        <v>0</v>
      </c>
      <c r="S43" s="207">
        <f>SUMIFS('февраль 2023'!$G$4:$G$497,'февраль 2023'!$D$4:$D$497,$B43,'февраль 2023'!$J$4:$J$497,S$1)</f>
        <v>0</v>
      </c>
      <c r="T43" s="207">
        <f>SUMIFS('февраль 2023'!$G$4:$G$497,'февраль 2023'!$D$4:$D$497,$B43,'февраль 2023'!$J$4:$J$497,T$1)</f>
        <v>0</v>
      </c>
      <c r="U43" s="207">
        <f>SUMIFS('февраль 2023'!$G$4:$G$497,'февраль 2023'!$D$4:$D$497,$B43,'февраль 2023'!$J$4:$J$497,U$1)</f>
        <v>0</v>
      </c>
      <c r="V43" s="207">
        <f>SUMIFS('февраль 2023'!$G$4:$G$497,'февраль 2023'!$D$4:$D$497,$B43,'февраль 2023'!$J$4:$J$497,V$1)</f>
        <v>0</v>
      </c>
      <c r="W43" s="207">
        <f>SUMIFS('февраль 2023'!$G$4:$G$497,'февраль 2023'!$D$4:$D$497,$B43,'февраль 2023'!$J$4:$J$497,W$1)</f>
        <v>0</v>
      </c>
      <c r="X43" s="207">
        <f>SUMIFS('февраль 2023'!$G$4:$G$497,'февраль 2023'!$D$4:$D$497,$B43,'февраль 2023'!$J$4:$J$497,X$1)</f>
        <v>0</v>
      </c>
      <c r="Y43" s="207">
        <f>SUMIFS('февраль 2023'!$G$4:$G$497,'февраль 2023'!$D$4:$D$497,$B43,'февраль 2023'!$J$4:$J$497,Y$1)</f>
        <v>0</v>
      </c>
      <c r="Z43" s="207">
        <f>SUMIFS('февраль 2023'!$G$4:$G$497,'февраль 2023'!$D$4:$D$497,$B43,'февраль 2023'!$J$4:$J$497,Z$1)</f>
        <v>0</v>
      </c>
      <c r="AA43" s="207">
        <f>SUMIFS('февраль 2023'!$G$4:$G$497,'февраль 2023'!$D$4:$D$497,$B43,'февраль 2023'!$J$4:$J$497,AA$1)</f>
        <v>0</v>
      </c>
      <c r="AB43" s="207">
        <f>SUMIFS('февраль 2023'!$G$4:$G$497,'февраль 2023'!$D$4:$D$497,$B43,'февраль 2023'!$J$4:$J$497,AB$1)</f>
        <v>0</v>
      </c>
      <c r="AC43" s="207">
        <f>SUMIFS('февраль 2023'!$G$4:$G$497,'февраль 2023'!$D$4:$D$497,$B43,'февраль 2023'!$J$4:$J$497,AC$1)</f>
        <v>0</v>
      </c>
      <c r="AD43" s="207">
        <f>SUMIFS('февраль 2023'!$G$4:$G$497,'февраль 2023'!$D$4:$D$497,$B43,'февраль 2023'!$J$4:$J$497,AD$1)</f>
        <v>0</v>
      </c>
      <c r="AE43" s="207">
        <f>SUMIFS('февраль 2023'!$G$4:$G$497,'февраль 2023'!$D$4:$D$497,$B43,'февраль 2023'!$J$4:$J$497,AE$1)</f>
        <v>0</v>
      </c>
      <c r="AF43" s="207">
        <f>SUMIFS('февраль 2023'!$G$4:$G$497,'февраль 2023'!$D$4:$D$497,$B43,'февраль 2023'!$J$4:$J$497,AF$1)</f>
        <v>0</v>
      </c>
      <c r="AG43" s="207">
        <f>SUMIFS('февраль 2023'!$G$4:$G$497,'февраль 2023'!$D$4:$D$497,$B43,'февраль 2023'!$J$4:$J$497,AG$1)</f>
        <v>0</v>
      </c>
      <c r="AH43" s="207">
        <f>SUMIFS('февраль 2023'!$G$4:$G$497,'февраль 2023'!$D$4:$D$497,$B43,'февраль 2023'!$J$4:$J$497,AH$1)</f>
        <v>0</v>
      </c>
      <c r="AI43" s="170">
        <f t="shared" si="1"/>
        <v>0</v>
      </c>
    </row>
    <row r="44" spans="2:35" ht="15" customHeight="1" x14ac:dyDescent="0.25">
      <c r="B44" s="212" t="s">
        <v>2125</v>
      </c>
      <c r="C44" s="211">
        <v>25</v>
      </c>
      <c r="D44" s="207">
        <f>SUMIFS('февраль 2023'!$G$4:$G$497,'февраль 2023'!$D$4:$D$497,$B44,'февраль 2023'!$J$4:$J$497,D$1)</f>
        <v>0</v>
      </c>
      <c r="E44" s="207">
        <f>SUMIFS('февраль 2023'!$G$4:$G$497,'февраль 2023'!$D$4:$D$497,$B44,'февраль 2023'!$J$4:$J$497,E$1)</f>
        <v>0</v>
      </c>
      <c r="F44" s="207">
        <f>SUMIFS('февраль 2023'!$G$4:$G$497,'февраль 2023'!$D$4:$D$497,$B44,'февраль 2023'!$J$4:$J$497,F$1)</f>
        <v>0</v>
      </c>
      <c r="G44" s="207">
        <f>SUMIFS('февраль 2023'!$G$4:$G$497,'февраль 2023'!$D$4:$D$497,$B44,'февраль 2023'!$J$4:$J$497,G$1)</f>
        <v>0</v>
      </c>
      <c r="H44" s="207">
        <f>SUMIFS('февраль 2023'!$G$4:$G$497,'февраль 2023'!$D$4:$D$497,$B44,'февраль 2023'!$J$4:$J$497,H$1)</f>
        <v>0</v>
      </c>
      <c r="I44" s="207">
        <f>SUMIFS('февраль 2023'!$G$4:$G$497,'февраль 2023'!$D$4:$D$497,$B44,'февраль 2023'!$J$4:$J$497,I$1)</f>
        <v>0</v>
      </c>
      <c r="J44" s="207">
        <f>SUMIFS('февраль 2023'!$G$4:$G$497,'февраль 2023'!$D$4:$D$497,$B44,'февраль 2023'!$J$4:$J$497,J$1)</f>
        <v>0</v>
      </c>
      <c r="K44" s="207">
        <f>SUMIFS('февраль 2023'!$G$4:$G$497,'февраль 2023'!$D$4:$D$497,$B44,'февраль 2023'!$J$4:$J$497,K$1)</f>
        <v>0</v>
      </c>
      <c r="L44" s="207">
        <f>SUMIFS('февраль 2023'!$G$4:$G$497,'февраль 2023'!$D$4:$D$497,$B44,'февраль 2023'!$J$4:$J$497,L$1)</f>
        <v>0</v>
      </c>
      <c r="M44" s="207">
        <f>SUMIFS('февраль 2023'!$G$4:$G$497,'февраль 2023'!$D$4:$D$497,$B44,'февраль 2023'!$J$4:$J$497,M$1)</f>
        <v>0</v>
      </c>
      <c r="N44" s="207">
        <f>SUMIFS('февраль 2023'!$G$4:$G$497,'февраль 2023'!$D$4:$D$497,$B44,'февраль 2023'!$J$4:$J$497,N$1)</f>
        <v>0</v>
      </c>
      <c r="O44" s="207">
        <f>SUMIFS('февраль 2023'!$G$4:$G$497,'февраль 2023'!$D$4:$D$497,$B44,'февраль 2023'!$J$4:$J$497,O$1)</f>
        <v>0</v>
      </c>
      <c r="P44" s="207">
        <f>SUMIFS('февраль 2023'!$G$4:$G$497,'февраль 2023'!$D$4:$D$497,$B44,'февраль 2023'!$J$4:$J$497,P$1)</f>
        <v>0</v>
      </c>
      <c r="Q44" s="207">
        <f>SUMIFS('февраль 2023'!$G$4:$G$497,'февраль 2023'!$D$4:$D$497,$B44,'февраль 2023'!$J$4:$J$497,Q$1)</f>
        <v>0</v>
      </c>
      <c r="R44" s="207">
        <f>SUMIFS('февраль 2023'!$G$4:$G$497,'февраль 2023'!$D$4:$D$497,$B44,'февраль 2023'!$J$4:$J$497,R$1)</f>
        <v>0</v>
      </c>
      <c r="S44" s="207">
        <f>SUMIFS('февраль 2023'!$G$4:$G$497,'февраль 2023'!$D$4:$D$497,$B44,'февраль 2023'!$J$4:$J$497,S$1)</f>
        <v>0</v>
      </c>
      <c r="T44" s="207">
        <f>SUMIFS('февраль 2023'!$G$4:$G$497,'февраль 2023'!$D$4:$D$497,$B44,'февраль 2023'!$J$4:$J$497,T$1)</f>
        <v>0</v>
      </c>
      <c r="U44" s="207">
        <f>SUMIFS('февраль 2023'!$G$4:$G$497,'февраль 2023'!$D$4:$D$497,$B44,'февраль 2023'!$J$4:$J$497,U$1)</f>
        <v>0</v>
      </c>
      <c r="V44" s="207">
        <f>SUMIFS('февраль 2023'!$G$4:$G$497,'февраль 2023'!$D$4:$D$497,$B44,'февраль 2023'!$J$4:$J$497,V$1)</f>
        <v>0</v>
      </c>
      <c r="W44" s="207">
        <f>SUMIFS('февраль 2023'!$G$4:$G$497,'февраль 2023'!$D$4:$D$497,$B44,'февраль 2023'!$J$4:$J$497,W$1)</f>
        <v>0</v>
      </c>
      <c r="X44" s="207">
        <f>SUMIFS('февраль 2023'!$G$4:$G$497,'февраль 2023'!$D$4:$D$497,$B44,'февраль 2023'!$J$4:$J$497,X$1)</f>
        <v>0</v>
      </c>
      <c r="Y44" s="207">
        <f>SUMIFS('февраль 2023'!$G$4:$G$497,'февраль 2023'!$D$4:$D$497,$B44,'февраль 2023'!$J$4:$J$497,Y$1)</f>
        <v>0</v>
      </c>
      <c r="Z44" s="207">
        <f>SUMIFS('февраль 2023'!$G$4:$G$497,'февраль 2023'!$D$4:$D$497,$B44,'февраль 2023'!$J$4:$J$497,Z$1)</f>
        <v>0</v>
      </c>
      <c r="AA44" s="207">
        <f>SUMIFS('февраль 2023'!$G$4:$G$497,'февраль 2023'!$D$4:$D$497,$B44,'февраль 2023'!$J$4:$J$497,AA$1)</f>
        <v>0</v>
      </c>
      <c r="AB44" s="207">
        <f>SUMIFS('февраль 2023'!$G$4:$G$497,'февраль 2023'!$D$4:$D$497,$B44,'февраль 2023'!$J$4:$J$497,AB$1)</f>
        <v>0</v>
      </c>
      <c r="AC44" s="207">
        <f>SUMIFS('февраль 2023'!$G$4:$G$497,'февраль 2023'!$D$4:$D$497,$B44,'февраль 2023'!$J$4:$J$497,AC$1)</f>
        <v>0</v>
      </c>
      <c r="AD44" s="207">
        <f>SUMIFS('февраль 2023'!$G$4:$G$497,'февраль 2023'!$D$4:$D$497,$B44,'февраль 2023'!$J$4:$J$497,AD$1)</f>
        <v>0</v>
      </c>
      <c r="AE44" s="207">
        <f>SUMIFS('февраль 2023'!$G$4:$G$497,'февраль 2023'!$D$4:$D$497,$B44,'февраль 2023'!$J$4:$J$497,AE$1)</f>
        <v>0</v>
      </c>
      <c r="AF44" s="207">
        <f>SUMIFS('февраль 2023'!$G$4:$G$497,'февраль 2023'!$D$4:$D$497,$B44,'февраль 2023'!$J$4:$J$497,AF$1)</f>
        <v>0</v>
      </c>
      <c r="AG44" s="207">
        <f>SUMIFS('февраль 2023'!$G$4:$G$497,'февраль 2023'!$D$4:$D$497,$B44,'февраль 2023'!$J$4:$J$497,AG$1)</f>
        <v>0</v>
      </c>
      <c r="AH44" s="207">
        <f>SUMIFS('февраль 2023'!$G$4:$G$497,'февраль 2023'!$D$4:$D$497,$B44,'февраль 2023'!$J$4:$J$497,AH$1)</f>
        <v>0</v>
      </c>
      <c r="AI44" s="170">
        <f t="shared" si="1"/>
        <v>0</v>
      </c>
    </row>
    <row r="45" spans="2:35" ht="15" customHeight="1" x14ac:dyDescent="0.25">
      <c r="B45" s="212"/>
      <c r="C45" s="213"/>
      <c r="D45" s="207">
        <f>SUMIFS('февраль 2023'!$G$4:$G$497,'февраль 2023'!$D$4:$D$497,$B45,'февраль 2023'!$J$4:$J$497,D$1)</f>
        <v>0</v>
      </c>
      <c r="E45" s="207">
        <f>SUMIFS('февраль 2023'!$G$4:$G$497,'февраль 2023'!$D$4:$D$497,$B45,'февраль 2023'!$J$4:$J$497,E$1)</f>
        <v>0</v>
      </c>
      <c r="F45" s="207">
        <f>SUMIFS('февраль 2023'!$G$4:$G$497,'февраль 2023'!$D$4:$D$497,$B45,'февраль 2023'!$J$4:$J$497,F$1)</f>
        <v>0</v>
      </c>
      <c r="G45" s="207">
        <f>SUMIFS('февраль 2023'!$G$4:$G$497,'февраль 2023'!$D$4:$D$497,$B45,'февраль 2023'!$J$4:$J$497,G$1)</f>
        <v>0</v>
      </c>
      <c r="H45" s="207">
        <f>SUMIFS('февраль 2023'!$G$4:$G$497,'февраль 2023'!$D$4:$D$497,$B45,'февраль 2023'!$J$4:$J$497,H$1)</f>
        <v>0</v>
      </c>
      <c r="I45" s="207">
        <f>SUMIFS('февраль 2023'!$G$4:$G$497,'февраль 2023'!$D$4:$D$497,$B45,'февраль 2023'!$J$4:$J$497,I$1)</f>
        <v>0</v>
      </c>
      <c r="J45" s="207">
        <f>SUMIFS('февраль 2023'!$G$4:$G$497,'февраль 2023'!$D$4:$D$497,$B45,'февраль 2023'!$J$4:$J$497,J$1)</f>
        <v>0</v>
      </c>
      <c r="K45" s="207">
        <f>SUMIFS('февраль 2023'!$G$4:$G$497,'февраль 2023'!$D$4:$D$497,$B45,'февраль 2023'!$J$4:$J$497,K$1)</f>
        <v>0</v>
      </c>
      <c r="L45" s="207">
        <f>SUMIFS('февраль 2023'!$G$4:$G$497,'февраль 2023'!$D$4:$D$497,$B45,'февраль 2023'!$J$4:$J$497,L$1)</f>
        <v>0</v>
      </c>
      <c r="M45" s="207">
        <f>SUMIFS('февраль 2023'!$G$4:$G$497,'февраль 2023'!$D$4:$D$497,$B45,'февраль 2023'!$J$4:$J$497,M$1)</f>
        <v>0</v>
      </c>
      <c r="N45" s="207">
        <f>SUMIFS('февраль 2023'!$G$4:$G$497,'февраль 2023'!$D$4:$D$497,$B45,'февраль 2023'!$J$4:$J$497,N$1)</f>
        <v>0</v>
      </c>
      <c r="O45" s="207">
        <f>SUMIFS('февраль 2023'!$G$4:$G$497,'февраль 2023'!$D$4:$D$497,$B45,'февраль 2023'!$J$4:$J$497,O$1)</f>
        <v>0</v>
      </c>
      <c r="P45" s="207">
        <f>SUMIFS('февраль 2023'!$G$4:$G$497,'февраль 2023'!$D$4:$D$497,$B45,'февраль 2023'!$J$4:$J$497,P$1)</f>
        <v>0</v>
      </c>
      <c r="Q45" s="207">
        <f>SUMIFS('февраль 2023'!$G$4:$G$497,'февраль 2023'!$D$4:$D$497,$B45,'февраль 2023'!$J$4:$J$497,Q$1)</f>
        <v>0</v>
      </c>
      <c r="R45" s="207">
        <f>SUMIFS('февраль 2023'!$G$4:$G$497,'февраль 2023'!$D$4:$D$497,$B45,'февраль 2023'!$J$4:$J$497,R$1)</f>
        <v>0</v>
      </c>
      <c r="S45" s="207">
        <f>SUMIFS('февраль 2023'!$G$4:$G$497,'февраль 2023'!$D$4:$D$497,$B45,'февраль 2023'!$J$4:$J$497,S$1)</f>
        <v>0</v>
      </c>
      <c r="T45" s="207">
        <f>SUMIFS('февраль 2023'!$G$4:$G$497,'февраль 2023'!$D$4:$D$497,$B45,'февраль 2023'!$J$4:$J$497,T$1)</f>
        <v>0</v>
      </c>
      <c r="U45" s="207">
        <f>SUMIFS('февраль 2023'!$G$4:$G$497,'февраль 2023'!$D$4:$D$497,$B45,'февраль 2023'!$J$4:$J$497,U$1)</f>
        <v>0</v>
      </c>
      <c r="V45" s="207">
        <f>SUMIFS('февраль 2023'!$G$4:$G$497,'февраль 2023'!$D$4:$D$497,$B45,'февраль 2023'!$J$4:$J$497,V$1)</f>
        <v>0</v>
      </c>
      <c r="W45" s="207">
        <f>SUMIFS('февраль 2023'!$G$4:$G$497,'февраль 2023'!$D$4:$D$497,$B45,'февраль 2023'!$J$4:$J$497,W$1)</f>
        <v>0</v>
      </c>
      <c r="X45" s="207">
        <f>SUMIFS('февраль 2023'!$G$4:$G$497,'февраль 2023'!$D$4:$D$497,$B45,'февраль 2023'!$J$4:$J$497,X$1)</f>
        <v>0</v>
      </c>
      <c r="Y45" s="207">
        <f>SUMIFS('февраль 2023'!$G$4:$G$497,'февраль 2023'!$D$4:$D$497,$B45,'февраль 2023'!$J$4:$J$497,Y$1)</f>
        <v>0</v>
      </c>
      <c r="Z45" s="207">
        <f>SUMIFS('февраль 2023'!$G$4:$G$497,'февраль 2023'!$D$4:$D$497,$B45,'февраль 2023'!$J$4:$J$497,Z$1)</f>
        <v>0</v>
      </c>
      <c r="AA45" s="207">
        <f>SUMIFS('февраль 2023'!$G$4:$G$497,'февраль 2023'!$D$4:$D$497,$B45,'февраль 2023'!$J$4:$J$497,AA$1)</f>
        <v>0</v>
      </c>
      <c r="AB45" s="207">
        <f>SUMIFS('февраль 2023'!$G$4:$G$497,'февраль 2023'!$D$4:$D$497,$B45,'февраль 2023'!$J$4:$J$497,AB$1)</f>
        <v>0</v>
      </c>
      <c r="AC45" s="207">
        <f>SUMIFS('февраль 2023'!$G$4:$G$497,'февраль 2023'!$D$4:$D$497,$B45,'февраль 2023'!$J$4:$J$497,AC$1)</f>
        <v>0</v>
      </c>
      <c r="AD45" s="207">
        <f>SUMIFS('февраль 2023'!$G$4:$G$497,'февраль 2023'!$D$4:$D$497,$B45,'февраль 2023'!$J$4:$J$497,AD$1)</f>
        <v>0</v>
      </c>
      <c r="AE45" s="207">
        <f>SUMIFS('февраль 2023'!$G$4:$G$497,'февраль 2023'!$D$4:$D$497,$B45,'февраль 2023'!$J$4:$J$497,AE$1)</f>
        <v>0</v>
      </c>
      <c r="AF45" s="207">
        <f>SUMIFS('февраль 2023'!$G$4:$G$497,'февраль 2023'!$D$4:$D$497,$B45,'февраль 2023'!$J$4:$J$497,AF$1)</f>
        <v>0</v>
      </c>
      <c r="AG45" s="207">
        <f>SUMIFS('февраль 2023'!$G$4:$G$497,'февраль 2023'!$D$4:$D$497,$B45,'февраль 2023'!$J$4:$J$497,AG$1)</f>
        <v>0</v>
      </c>
      <c r="AH45" s="207">
        <f>SUMIFS('февраль 2023'!$G$4:$G$497,'февраль 2023'!$D$4:$D$497,$B45,'февраль 2023'!$J$4:$J$497,AH$1)</f>
        <v>0</v>
      </c>
      <c r="AI45" s="170">
        <f t="shared" si="1"/>
        <v>0</v>
      </c>
    </row>
    <row r="46" spans="2:35" ht="15" customHeight="1" x14ac:dyDescent="0.25">
      <c r="B46" s="208" t="s">
        <v>684</v>
      </c>
      <c r="C46" s="213">
        <v>20</v>
      </c>
      <c r="D46" s="207">
        <f>SUMIFS('февраль 2023'!$G$4:$G$497,'февраль 2023'!$D$4:$D$497,$B46,'февраль 2023'!$J$4:$J$497,D$1)</f>
        <v>0</v>
      </c>
      <c r="E46" s="207">
        <f>SUMIFS('февраль 2023'!$G$4:$G$497,'февраль 2023'!$D$4:$D$497,$B46,'февраль 2023'!$J$4:$J$497,E$1)</f>
        <v>0</v>
      </c>
      <c r="F46" s="207">
        <f>SUMIFS('февраль 2023'!$G$4:$G$497,'февраль 2023'!$D$4:$D$497,$B46,'февраль 2023'!$J$4:$J$497,F$1)</f>
        <v>0</v>
      </c>
      <c r="G46" s="207">
        <f>SUMIFS('февраль 2023'!$G$4:$G$497,'февраль 2023'!$D$4:$D$497,$B46,'февраль 2023'!$J$4:$J$497,G$1)</f>
        <v>0</v>
      </c>
      <c r="H46" s="207">
        <f>SUMIFS('февраль 2023'!$G$4:$G$497,'февраль 2023'!$D$4:$D$497,$B46,'февраль 2023'!$J$4:$J$497,H$1)</f>
        <v>0</v>
      </c>
      <c r="I46" s="207">
        <f>SUMIFS('февраль 2023'!$G$4:$G$497,'февраль 2023'!$D$4:$D$497,$B46,'февраль 2023'!$J$4:$J$497,I$1)</f>
        <v>0</v>
      </c>
      <c r="J46" s="207">
        <f>SUMIFS('февраль 2023'!$G$4:$G$497,'февраль 2023'!$D$4:$D$497,$B46,'февраль 2023'!$J$4:$J$497,J$1)</f>
        <v>0</v>
      </c>
      <c r="K46" s="207">
        <f>SUMIFS('февраль 2023'!$G$4:$G$497,'февраль 2023'!$D$4:$D$497,$B46,'февраль 2023'!$J$4:$J$497,K$1)</f>
        <v>0</v>
      </c>
      <c r="L46" s="207">
        <f>SUMIFS('февраль 2023'!$G$4:$G$497,'февраль 2023'!$D$4:$D$497,$B46,'февраль 2023'!$J$4:$J$497,L$1)</f>
        <v>0</v>
      </c>
      <c r="M46" s="207">
        <f>SUMIFS('февраль 2023'!$G$4:$G$497,'февраль 2023'!$D$4:$D$497,$B46,'февраль 2023'!$J$4:$J$497,M$1)</f>
        <v>0</v>
      </c>
      <c r="N46" s="207">
        <f>SUMIFS('февраль 2023'!$G$4:$G$497,'февраль 2023'!$D$4:$D$497,$B46,'февраль 2023'!$J$4:$J$497,N$1)</f>
        <v>0</v>
      </c>
      <c r="O46" s="207">
        <f>SUMIFS('февраль 2023'!$G$4:$G$497,'февраль 2023'!$D$4:$D$497,$B46,'февраль 2023'!$J$4:$J$497,O$1)</f>
        <v>0</v>
      </c>
      <c r="P46" s="207">
        <f>SUMIFS('февраль 2023'!$G$4:$G$497,'февраль 2023'!$D$4:$D$497,$B46,'февраль 2023'!$J$4:$J$497,P$1)</f>
        <v>0</v>
      </c>
      <c r="Q46" s="207">
        <f>SUMIFS('февраль 2023'!$G$4:$G$497,'февраль 2023'!$D$4:$D$497,$B46,'февраль 2023'!$J$4:$J$497,Q$1)</f>
        <v>0</v>
      </c>
      <c r="R46" s="207">
        <f>SUMIFS('февраль 2023'!$G$4:$G$497,'февраль 2023'!$D$4:$D$497,$B46,'февраль 2023'!$J$4:$J$497,R$1)</f>
        <v>0</v>
      </c>
      <c r="S46" s="207">
        <f>SUMIFS('февраль 2023'!$G$4:$G$497,'февраль 2023'!$D$4:$D$497,$B46,'февраль 2023'!$J$4:$J$497,S$1)</f>
        <v>0</v>
      </c>
      <c r="T46" s="207">
        <f>SUMIFS('февраль 2023'!$G$4:$G$497,'февраль 2023'!$D$4:$D$497,$B46,'февраль 2023'!$J$4:$J$497,T$1)</f>
        <v>0</v>
      </c>
      <c r="U46" s="207">
        <f>SUMIFS('февраль 2023'!$G$4:$G$497,'февраль 2023'!$D$4:$D$497,$B46,'февраль 2023'!$J$4:$J$497,U$1)</f>
        <v>0</v>
      </c>
      <c r="V46" s="207">
        <f>SUMIFS('февраль 2023'!$G$4:$G$497,'февраль 2023'!$D$4:$D$497,$B46,'февраль 2023'!$J$4:$J$497,V$1)</f>
        <v>0</v>
      </c>
      <c r="W46" s="207">
        <f>SUMIFS('февраль 2023'!$G$4:$G$497,'февраль 2023'!$D$4:$D$497,$B46,'февраль 2023'!$J$4:$J$497,W$1)</f>
        <v>0</v>
      </c>
      <c r="X46" s="207">
        <f>SUMIFS('февраль 2023'!$G$4:$G$497,'февраль 2023'!$D$4:$D$497,$B46,'февраль 2023'!$J$4:$J$497,X$1)</f>
        <v>0</v>
      </c>
      <c r="Y46" s="207">
        <f>SUMIFS('февраль 2023'!$G$4:$G$497,'февраль 2023'!$D$4:$D$497,$B46,'февраль 2023'!$J$4:$J$497,Y$1)</f>
        <v>0</v>
      </c>
      <c r="Z46" s="207">
        <f>SUMIFS('февраль 2023'!$G$4:$G$497,'февраль 2023'!$D$4:$D$497,$B46,'февраль 2023'!$J$4:$J$497,Z$1)</f>
        <v>0</v>
      </c>
      <c r="AA46" s="207">
        <f>SUMIFS('февраль 2023'!$G$4:$G$497,'февраль 2023'!$D$4:$D$497,$B46,'февраль 2023'!$J$4:$J$497,AA$1)</f>
        <v>0</v>
      </c>
      <c r="AB46" s="207">
        <f>SUMIFS('февраль 2023'!$G$4:$G$497,'февраль 2023'!$D$4:$D$497,$B46,'февраль 2023'!$J$4:$J$497,AB$1)</f>
        <v>0</v>
      </c>
      <c r="AC46" s="207">
        <f>SUMIFS('февраль 2023'!$G$4:$G$497,'февраль 2023'!$D$4:$D$497,$B46,'февраль 2023'!$J$4:$J$497,AC$1)</f>
        <v>0</v>
      </c>
      <c r="AD46" s="207">
        <f>SUMIFS('февраль 2023'!$G$4:$G$497,'февраль 2023'!$D$4:$D$497,$B46,'февраль 2023'!$J$4:$J$497,AD$1)</f>
        <v>0</v>
      </c>
      <c r="AE46" s="207">
        <f>SUMIFS('февраль 2023'!$G$4:$G$497,'февраль 2023'!$D$4:$D$497,$B46,'февраль 2023'!$J$4:$J$497,AE$1)</f>
        <v>0</v>
      </c>
      <c r="AF46" s="207">
        <f>SUMIFS('февраль 2023'!$G$4:$G$497,'февраль 2023'!$D$4:$D$497,$B46,'февраль 2023'!$J$4:$J$497,AF$1)</f>
        <v>0</v>
      </c>
      <c r="AG46" s="207">
        <f>SUMIFS('февраль 2023'!$G$4:$G$497,'февраль 2023'!$D$4:$D$497,$B46,'февраль 2023'!$J$4:$J$497,AG$1)</f>
        <v>0</v>
      </c>
      <c r="AH46" s="207">
        <f>SUMIFS('февраль 2023'!$G$4:$G$497,'февраль 2023'!$D$4:$D$497,$B46,'февраль 2023'!$J$4:$J$497,AH$1)</f>
        <v>0</v>
      </c>
      <c r="AI46" s="170">
        <f t="shared" si="1"/>
        <v>0</v>
      </c>
    </row>
    <row r="47" spans="2:35" ht="15" customHeight="1" x14ac:dyDescent="0.25">
      <c r="B47" s="212" t="s">
        <v>1062</v>
      </c>
      <c r="C47" s="213">
        <v>20</v>
      </c>
      <c r="D47" s="207">
        <f>SUMIFS('февраль 2023'!$G$4:$G$497,'февраль 2023'!$D$4:$D$497,$B47,'февраль 2023'!$J$4:$J$497,D$1)</f>
        <v>0</v>
      </c>
      <c r="E47" s="207">
        <f>SUMIFS('февраль 2023'!$G$4:$G$497,'февраль 2023'!$D$4:$D$497,$B47,'февраль 2023'!$J$4:$J$497,E$1)</f>
        <v>0</v>
      </c>
      <c r="F47" s="207">
        <f>SUMIFS('февраль 2023'!$G$4:$G$497,'февраль 2023'!$D$4:$D$497,$B47,'февраль 2023'!$J$4:$J$497,F$1)</f>
        <v>0</v>
      </c>
      <c r="G47" s="207">
        <f>SUMIFS('февраль 2023'!$G$4:$G$497,'февраль 2023'!$D$4:$D$497,$B47,'февраль 2023'!$J$4:$J$497,G$1)</f>
        <v>0</v>
      </c>
      <c r="H47" s="207">
        <f>SUMIFS('февраль 2023'!$G$4:$G$497,'февраль 2023'!$D$4:$D$497,$B47,'февраль 2023'!$J$4:$J$497,H$1)</f>
        <v>0</v>
      </c>
      <c r="I47" s="207">
        <f>SUMIFS('февраль 2023'!$G$4:$G$497,'февраль 2023'!$D$4:$D$497,$B47,'февраль 2023'!$J$4:$J$497,I$1)</f>
        <v>0</v>
      </c>
      <c r="J47" s="207">
        <f>SUMIFS('февраль 2023'!$G$4:$G$497,'февраль 2023'!$D$4:$D$497,$B47,'февраль 2023'!$J$4:$J$497,J$1)</f>
        <v>0</v>
      </c>
      <c r="K47" s="207">
        <f>SUMIFS('февраль 2023'!$G$4:$G$497,'февраль 2023'!$D$4:$D$497,$B47,'февраль 2023'!$J$4:$J$497,K$1)</f>
        <v>0</v>
      </c>
      <c r="L47" s="207">
        <f>SUMIFS('февраль 2023'!$G$4:$G$497,'февраль 2023'!$D$4:$D$497,$B47,'февраль 2023'!$J$4:$J$497,L$1)</f>
        <v>0</v>
      </c>
      <c r="M47" s="207">
        <f>SUMIFS('февраль 2023'!$G$4:$G$497,'февраль 2023'!$D$4:$D$497,$B47,'февраль 2023'!$J$4:$J$497,M$1)</f>
        <v>0</v>
      </c>
      <c r="N47" s="207">
        <f>SUMIFS('февраль 2023'!$G$4:$G$497,'февраль 2023'!$D$4:$D$497,$B47,'февраль 2023'!$J$4:$J$497,N$1)</f>
        <v>0</v>
      </c>
      <c r="O47" s="207">
        <f>SUMIFS('февраль 2023'!$G$4:$G$497,'февраль 2023'!$D$4:$D$497,$B47,'февраль 2023'!$J$4:$J$497,O$1)</f>
        <v>0</v>
      </c>
      <c r="P47" s="207">
        <f>SUMIFS('февраль 2023'!$G$4:$G$497,'февраль 2023'!$D$4:$D$497,$B47,'февраль 2023'!$J$4:$J$497,P$1)</f>
        <v>0</v>
      </c>
      <c r="Q47" s="207">
        <f>SUMIFS('февраль 2023'!$G$4:$G$497,'февраль 2023'!$D$4:$D$497,$B47,'февраль 2023'!$J$4:$J$497,Q$1)</f>
        <v>0</v>
      </c>
      <c r="R47" s="207">
        <f>SUMIFS('февраль 2023'!$G$4:$G$497,'февраль 2023'!$D$4:$D$497,$B47,'февраль 2023'!$J$4:$J$497,R$1)</f>
        <v>0</v>
      </c>
      <c r="S47" s="207">
        <f>SUMIFS('февраль 2023'!$G$4:$G$497,'февраль 2023'!$D$4:$D$497,$B47,'февраль 2023'!$J$4:$J$497,S$1)</f>
        <v>0</v>
      </c>
      <c r="T47" s="207">
        <f>SUMIFS('февраль 2023'!$G$4:$G$497,'февраль 2023'!$D$4:$D$497,$B47,'февраль 2023'!$J$4:$J$497,T$1)</f>
        <v>0</v>
      </c>
      <c r="U47" s="207">
        <f>SUMIFS('февраль 2023'!$G$4:$G$497,'февраль 2023'!$D$4:$D$497,$B47,'февраль 2023'!$J$4:$J$497,U$1)</f>
        <v>0</v>
      </c>
      <c r="V47" s="207">
        <f>SUMIFS('февраль 2023'!$G$4:$G$497,'февраль 2023'!$D$4:$D$497,$B47,'февраль 2023'!$J$4:$J$497,V$1)</f>
        <v>0</v>
      </c>
      <c r="W47" s="207">
        <f>SUMIFS('февраль 2023'!$G$4:$G$497,'февраль 2023'!$D$4:$D$497,$B47,'февраль 2023'!$J$4:$J$497,W$1)</f>
        <v>0</v>
      </c>
      <c r="X47" s="207">
        <f>SUMIFS('февраль 2023'!$G$4:$G$497,'февраль 2023'!$D$4:$D$497,$B47,'февраль 2023'!$J$4:$J$497,X$1)</f>
        <v>0</v>
      </c>
      <c r="Y47" s="207">
        <f>SUMIFS('февраль 2023'!$G$4:$G$497,'февраль 2023'!$D$4:$D$497,$B47,'февраль 2023'!$J$4:$J$497,Y$1)</f>
        <v>0</v>
      </c>
      <c r="Z47" s="207">
        <f>SUMIFS('февраль 2023'!$G$4:$G$497,'февраль 2023'!$D$4:$D$497,$B47,'февраль 2023'!$J$4:$J$497,Z$1)</f>
        <v>0</v>
      </c>
      <c r="AA47" s="207">
        <f>SUMIFS('февраль 2023'!$G$4:$G$497,'февраль 2023'!$D$4:$D$497,$B47,'февраль 2023'!$J$4:$J$497,AA$1)</f>
        <v>0</v>
      </c>
      <c r="AB47" s="207">
        <f>SUMIFS('февраль 2023'!$G$4:$G$497,'февраль 2023'!$D$4:$D$497,$B47,'февраль 2023'!$J$4:$J$497,AB$1)</f>
        <v>0</v>
      </c>
      <c r="AC47" s="207">
        <f>SUMIFS('февраль 2023'!$G$4:$G$497,'февраль 2023'!$D$4:$D$497,$B47,'февраль 2023'!$J$4:$J$497,AC$1)</f>
        <v>0</v>
      </c>
      <c r="AD47" s="207">
        <f>SUMIFS('февраль 2023'!$G$4:$G$497,'февраль 2023'!$D$4:$D$497,$B47,'февраль 2023'!$J$4:$J$497,AD$1)</f>
        <v>0</v>
      </c>
      <c r="AE47" s="207">
        <f>SUMIFS('февраль 2023'!$G$4:$G$497,'февраль 2023'!$D$4:$D$497,$B47,'февраль 2023'!$J$4:$J$497,AE$1)</f>
        <v>0</v>
      </c>
      <c r="AF47" s="207">
        <f>SUMIFS('февраль 2023'!$G$4:$G$497,'февраль 2023'!$D$4:$D$497,$B47,'февраль 2023'!$J$4:$J$497,AF$1)</f>
        <v>0</v>
      </c>
      <c r="AG47" s="207">
        <f>SUMIFS('февраль 2023'!$G$4:$G$497,'февраль 2023'!$D$4:$D$497,$B47,'февраль 2023'!$J$4:$J$497,AG$1)</f>
        <v>0</v>
      </c>
      <c r="AH47" s="207">
        <f>SUMIFS('февраль 2023'!$G$4:$G$497,'февраль 2023'!$D$4:$D$497,$B47,'февраль 2023'!$J$4:$J$497,AH$1)</f>
        <v>0</v>
      </c>
      <c r="AI47" s="170">
        <f t="shared" si="1"/>
        <v>0</v>
      </c>
    </row>
    <row r="48" spans="2:35" ht="15" customHeight="1" x14ac:dyDescent="0.25">
      <c r="B48" s="212" t="s">
        <v>1084</v>
      </c>
      <c r="C48" s="213">
        <v>20</v>
      </c>
      <c r="D48" s="207">
        <f>SUMIFS('февраль 2023'!$G$4:$G$497,'февраль 2023'!$D$4:$D$497,$B48,'февраль 2023'!$J$4:$J$497,D$1)</f>
        <v>0</v>
      </c>
      <c r="E48" s="207">
        <f>SUMIFS('февраль 2023'!$G$4:$G$497,'февраль 2023'!$D$4:$D$497,$B48,'февраль 2023'!$J$4:$J$497,E$1)</f>
        <v>0</v>
      </c>
      <c r="F48" s="207">
        <f>SUMIFS('февраль 2023'!$G$4:$G$497,'февраль 2023'!$D$4:$D$497,$B48,'февраль 2023'!$J$4:$J$497,F$1)</f>
        <v>0</v>
      </c>
      <c r="G48" s="207">
        <f>SUMIFS('февраль 2023'!$G$4:$G$497,'февраль 2023'!$D$4:$D$497,$B48,'февраль 2023'!$J$4:$J$497,G$1)</f>
        <v>0</v>
      </c>
      <c r="H48" s="207">
        <f>SUMIFS('февраль 2023'!$G$4:$G$497,'февраль 2023'!$D$4:$D$497,$B48,'февраль 2023'!$J$4:$J$497,H$1)</f>
        <v>0</v>
      </c>
      <c r="I48" s="207">
        <f>SUMIFS('февраль 2023'!$G$4:$G$497,'февраль 2023'!$D$4:$D$497,$B48,'февраль 2023'!$J$4:$J$497,I$1)</f>
        <v>0</v>
      </c>
      <c r="J48" s="207">
        <f>SUMIFS('февраль 2023'!$G$4:$G$497,'февраль 2023'!$D$4:$D$497,$B48,'февраль 2023'!$J$4:$J$497,J$1)</f>
        <v>0</v>
      </c>
      <c r="K48" s="207">
        <f>SUMIFS('февраль 2023'!$G$4:$G$497,'февраль 2023'!$D$4:$D$497,$B48,'февраль 2023'!$J$4:$J$497,K$1)</f>
        <v>0</v>
      </c>
      <c r="L48" s="207">
        <f>SUMIFS('февраль 2023'!$G$4:$G$497,'февраль 2023'!$D$4:$D$497,$B48,'февраль 2023'!$J$4:$J$497,L$1)</f>
        <v>0</v>
      </c>
      <c r="M48" s="207">
        <f>SUMIFS('февраль 2023'!$G$4:$G$497,'февраль 2023'!$D$4:$D$497,$B48,'февраль 2023'!$J$4:$J$497,M$1)</f>
        <v>0</v>
      </c>
      <c r="N48" s="207">
        <f>SUMIFS('февраль 2023'!$G$4:$G$497,'февраль 2023'!$D$4:$D$497,$B48,'февраль 2023'!$J$4:$J$497,N$1)</f>
        <v>0</v>
      </c>
      <c r="O48" s="207">
        <f>SUMIFS('февраль 2023'!$G$4:$G$497,'февраль 2023'!$D$4:$D$497,$B48,'февраль 2023'!$J$4:$J$497,O$1)</f>
        <v>0</v>
      </c>
      <c r="P48" s="207">
        <f>SUMIFS('февраль 2023'!$G$4:$G$497,'февраль 2023'!$D$4:$D$497,$B48,'февраль 2023'!$J$4:$J$497,P$1)</f>
        <v>0</v>
      </c>
      <c r="Q48" s="207">
        <f>SUMIFS('февраль 2023'!$G$4:$G$497,'февраль 2023'!$D$4:$D$497,$B48,'февраль 2023'!$J$4:$J$497,Q$1)</f>
        <v>0</v>
      </c>
      <c r="R48" s="207">
        <f>SUMIFS('февраль 2023'!$G$4:$G$497,'февраль 2023'!$D$4:$D$497,$B48,'февраль 2023'!$J$4:$J$497,R$1)</f>
        <v>0</v>
      </c>
      <c r="S48" s="207">
        <f>SUMIFS('февраль 2023'!$G$4:$G$497,'февраль 2023'!$D$4:$D$497,$B48,'февраль 2023'!$J$4:$J$497,S$1)</f>
        <v>0</v>
      </c>
      <c r="T48" s="207">
        <f>SUMIFS('февраль 2023'!$G$4:$G$497,'февраль 2023'!$D$4:$D$497,$B48,'февраль 2023'!$J$4:$J$497,T$1)</f>
        <v>0</v>
      </c>
      <c r="U48" s="207">
        <f>SUMIFS('февраль 2023'!$G$4:$G$497,'февраль 2023'!$D$4:$D$497,$B48,'февраль 2023'!$J$4:$J$497,U$1)</f>
        <v>0</v>
      </c>
      <c r="V48" s="207">
        <f>SUMIFS('февраль 2023'!$G$4:$G$497,'февраль 2023'!$D$4:$D$497,$B48,'февраль 2023'!$J$4:$J$497,V$1)</f>
        <v>0</v>
      </c>
      <c r="W48" s="207">
        <f>SUMIFS('февраль 2023'!$G$4:$G$497,'февраль 2023'!$D$4:$D$497,$B48,'февраль 2023'!$J$4:$J$497,W$1)</f>
        <v>0</v>
      </c>
      <c r="X48" s="207">
        <f>SUMIFS('февраль 2023'!$G$4:$G$497,'февраль 2023'!$D$4:$D$497,$B48,'февраль 2023'!$J$4:$J$497,X$1)</f>
        <v>0</v>
      </c>
      <c r="Y48" s="207">
        <f>SUMIFS('февраль 2023'!$G$4:$G$497,'февраль 2023'!$D$4:$D$497,$B48,'февраль 2023'!$J$4:$J$497,Y$1)</f>
        <v>0</v>
      </c>
      <c r="Z48" s="207">
        <f>SUMIFS('февраль 2023'!$G$4:$G$497,'февраль 2023'!$D$4:$D$497,$B48,'февраль 2023'!$J$4:$J$497,Z$1)</f>
        <v>0</v>
      </c>
      <c r="AA48" s="207">
        <f>SUMIFS('февраль 2023'!$G$4:$G$497,'февраль 2023'!$D$4:$D$497,$B48,'февраль 2023'!$J$4:$J$497,AA$1)</f>
        <v>0</v>
      </c>
      <c r="AB48" s="207">
        <f>SUMIFS('февраль 2023'!$G$4:$G$497,'февраль 2023'!$D$4:$D$497,$B48,'февраль 2023'!$J$4:$J$497,AB$1)</f>
        <v>0</v>
      </c>
      <c r="AC48" s="207">
        <f>SUMIFS('февраль 2023'!$G$4:$G$497,'февраль 2023'!$D$4:$D$497,$B48,'февраль 2023'!$J$4:$J$497,AC$1)</f>
        <v>0</v>
      </c>
      <c r="AD48" s="207">
        <f>SUMIFS('февраль 2023'!$G$4:$G$497,'февраль 2023'!$D$4:$D$497,$B48,'февраль 2023'!$J$4:$J$497,AD$1)</f>
        <v>0</v>
      </c>
      <c r="AE48" s="207">
        <f>SUMIFS('февраль 2023'!$G$4:$G$497,'февраль 2023'!$D$4:$D$497,$B48,'февраль 2023'!$J$4:$J$497,AE$1)</f>
        <v>0</v>
      </c>
      <c r="AF48" s="207">
        <f>SUMIFS('февраль 2023'!$G$4:$G$497,'февраль 2023'!$D$4:$D$497,$B48,'февраль 2023'!$J$4:$J$497,AF$1)</f>
        <v>0</v>
      </c>
      <c r="AG48" s="207">
        <f>SUMIFS('февраль 2023'!$G$4:$G$497,'февраль 2023'!$D$4:$D$497,$B48,'февраль 2023'!$J$4:$J$497,AG$1)</f>
        <v>0</v>
      </c>
      <c r="AH48" s="207">
        <f>SUMIFS('февраль 2023'!$G$4:$G$497,'февраль 2023'!$D$4:$D$497,$B48,'февраль 2023'!$J$4:$J$497,AH$1)</f>
        <v>0</v>
      </c>
      <c r="AI48" s="170">
        <f t="shared" si="1"/>
        <v>0</v>
      </c>
    </row>
    <row r="49" spans="2:35" ht="15" customHeight="1" x14ac:dyDescent="0.25">
      <c r="B49" s="212" t="s">
        <v>440</v>
      </c>
      <c r="C49" s="213">
        <v>20</v>
      </c>
      <c r="D49" s="207">
        <f>SUMIFS('февраль 2023'!$G$4:$G$497,'февраль 2023'!$D$4:$D$497,$B49,'февраль 2023'!$J$4:$J$497,D$1)</f>
        <v>0</v>
      </c>
      <c r="E49" s="207">
        <f>SUMIFS('февраль 2023'!$G$4:$G$497,'февраль 2023'!$D$4:$D$497,$B49,'февраль 2023'!$J$4:$J$497,E$1)</f>
        <v>0</v>
      </c>
      <c r="F49" s="207">
        <f>SUMIFS('февраль 2023'!$G$4:$G$497,'февраль 2023'!$D$4:$D$497,$B49,'февраль 2023'!$J$4:$J$497,F$1)</f>
        <v>0</v>
      </c>
      <c r="G49" s="207">
        <f>SUMIFS('февраль 2023'!$G$4:$G$497,'февраль 2023'!$D$4:$D$497,$B49,'февраль 2023'!$J$4:$J$497,G$1)</f>
        <v>0</v>
      </c>
      <c r="H49" s="207">
        <f>SUMIFS('февраль 2023'!$G$4:$G$497,'февраль 2023'!$D$4:$D$497,$B49,'февраль 2023'!$J$4:$J$497,H$1)</f>
        <v>0</v>
      </c>
      <c r="I49" s="207">
        <f>SUMIFS('февраль 2023'!$G$4:$G$497,'февраль 2023'!$D$4:$D$497,$B49,'февраль 2023'!$J$4:$J$497,I$1)</f>
        <v>0</v>
      </c>
      <c r="J49" s="207">
        <f>SUMIFS('февраль 2023'!$G$4:$G$497,'февраль 2023'!$D$4:$D$497,$B49,'февраль 2023'!$J$4:$J$497,J$1)</f>
        <v>0</v>
      </c>
      <c r="K49" s="207">
        <f>SUMIFS('февраль 2023'!$G$4:$G$497,'февраль 2023'!$D$4:$D$497,$B49,'февраль 2023'!$J$4:$J$497,K$1)</f>
        <v>0</v>
      </c>
      <c r="L49" s="207">
        <f>SUMIFS('февраль 2023'!$G$4:$G$497,'февраль 2023'!$D$4:$D$497,$B49,'февраль 2023'!$J$4:$J$497,L$1)</f>
        <v>0</v>
      </c>
      <c r="M49" s="207">
        <f>SUMIFS('февраль 2023'!$G$4:$G$497,'февраль 2023'!$D$4:$D$497,$B49,'февраль 2023'!$J$4:$J$497,M$1)</f>
        <v>0</v>
      </c>
      <c r="N49" s="207">
        <f>SUMIFS('февраль 2023'!$G$4:$G$497,'февраль 2023'!$D$4:$D$497,$B49,'февраль 2023'!$J$4:$J$497,N$1)</f>
        <v>0</v>
      </c>
      <c r="O49" s="207">
        <f>SUMIFS('февраль 2023'!$G$4:$G$497,'февраль 2023'!$D$4:$D$497,$B49,'февраль 2023'!$J$4:$J$497,O$1)</f>
        <v>0</v>
      </c>
      <c r="P49" s="207">
        <f>SUMIFS('февраль 2023'!$G$4:$G$497,'февраль 2023'!$D$4:$D$497,$B49,'февраль 2023'!$J$4:$J$497,P$1)</f>
        <v>0</v>
      </c>
      <c r="Q49" s="207">
        <f>SUMIFS('февраль 2023'!$G$4:$G$497,'февраль 2023'!$D$4:$D$497,$B49,'февраль 2023'!$J$4:$J$497,Q$1)</f>
        <v>0</v>
      </c>
      <c r="R49" s="207">
        <f>SUMIFS('февраль 2023'!$G$4:$G$497,'февраль 2023'!$D$4:$D$497,$B49,'февраль 2023'!$J$4:$J$497,R$1)</f>
        <v>0</v>
      </c>
      <c r="S49" s="207">
        <f>SUMIFS('февраль 2023'!$G$4:$G$497,'февраль 2023'!$D$4:$D$497,$B49,'февраль 2023'!$J$4:$J$497,S$1)</f>
        <v>0</v>
      </c>
      <c r="T49" s="207">
        <f>SUMIFS('февраль 2023'!$G$4:$G$497,'февраль 2023'!$D$4:$D$497,$B49,'февраль 2023'!$J$4:$J$497,T$1)</f>
        <v>0</v>
      </c>
      <c r="U49" s="207">
        <f>SUMIFS('февраль 2023'!$G$4:$G$497,'февраль 2023'!$D$4:$D$497,$B49,'февраль 2023'!$J$4:$J$497,U$1)</f>
        <v>0</v>
      </c>
      <c r="V49" s="207">
        <f>SUMIFS('февраль 2023'!$G$4:$G$497,'февраль 2023'!$D$4:$D$497,$B49,'февраль 2023'!$J$4:$J$497,V$1)</f>
        <v>0</v>
      </c>
      <c r="W49" s="207">
        <f>SUMIFS('февраль 2023'!$G$4:$G$497,'февраль 2023'!$D$4:$D$497,$B49,'февраль 2023'!$J$4:$J$497,W$1)</f>
        <v>0</v>
      </c>
      <c r="X49" s="207">
        <f>SUMIFS('февраль 2023'!$G$4:$G$497,'февраль 2023'!$D$4:$D$497,$B49,'февраль 2023'!$J$4:$J$497,X$1)</f>
        <v>0</v>
      </c>
      <c r="Y49" s="207">
        <f>SUMIFS('февраль 2023'!$G$4:$G$497,'февраль 2023'!$D$4:$D$497,$B49,'февраль 2023'!$J$4:$J$497,Y$1)</f>
        <v>0</v>
      </c>
      <c r="Z49" s="207">
        <f>SUMIFS('февраль 2023'!$G$4:$G$497,'февраль 2023'!$D$4:$D$497,$B49,'февраль 2023'!$J$4:$J$497,Z$1)</f>
        <v>0</v>
      </c>
      <c r="AA49" s="207">
        <f>SUMIFS('февраль 2023'!$G$4:$G$497,'февраль 2023'!$D$4:$D$497,$B49,'февраль 2023'!$J$4:$J$497,AA$1)</f>
        <v>0</v>
      </c>
      <c r="AB49" s="207">
        <f>SUMIFS('февраль 2023'!$G$4:$G$497,'февраль 2023'!$D$4:$D$497,$B49,'февраль 2023'!$J$4:$J$497,AB$1)</f>
        <v>0</v>
      </c>
      <c r="AC49" s="207">
        <f>SUMIFS('февраль 2023'!$G$4:$G$497,'февраль 2023'!$D$4:$D$497,$B49,'февраль 2023'!$J$4:$J$497,AC$1)</f>
        <v>0</v>
      </c>
      <c r="AD49" s="207">
        <f>SUMIFS('февраль 2023'!$G$4:$G$497,'февраль 2023'!$D$4:$D$497,$B49,'февраль 2023'!$J$4:$J$497,AD$1)</f>
        <v>0</v>
      </c>
      <c r="AE49" s="207">
        <f>SUMIFS('февраль 2023'!$G$4:$G$497,'февраль 2023'!$D$4:$D$497,$B49,'февраль 2023'!$J$4:$J$497,AE$1)</f>
        <v>0</v>
      </c>
      <c r="AF49" s="207">
        <f>SUMIFS('февраль 2023'!$G$4:$G$497,'февраль 2023'!$D$4:$D$497,$B49,'февраль 2023'!$J$4:$J$497,AF$1)</f>
        <v>0</v>
      </c>
      <c r="AG49" s="207">
        <f>SUMIFS('февраль 2023'!$G$4:$G$497,'февраль 2023'!$D$4:$D$497,$B49,'февраль 2023'!$J$4:$J$497,AG$1)</f>
        <v>0</v>
      </c>
      <c r="AH49" s="207">
        <f>SUMIFS('февраль 2023'!$G$4:$G$497,'февраль 2023'!$D$4:$D$497,$B49,'февраль 2023'!$J$4:$J$497,AH$1)</f>
        <v>0</v>
      </c>
      <c r="AI49" s="170">
        <f t="shared" si="1"/>
        <v>0</v>
      </c>
    </row>
    <row r="50" spans="2:35" ht="15" customHeight="1" x14ac:dyDescent="0.25">
      <c r="B50" s="217"/>
      <c r="C50" s="213"/>
      <c r="D50" s="207">
        <f>SUMIFS('февраль 2023'!$G$4:$G$497,'февраль 2023'!$D$4:$D$497,$B50,'февраль 2023'!$J$4:$J$497,D$1)</f>
        <v>0</v>
      </c>
      <c r="E50" s="207">
        <f>SUMIFS('февраль 2023'!$G$4:$G$497,'февраль 2023'!$D$4:$D$497,$B50,'февраль 2023'!$J$4:$J$497,E$1)</f>
        <v>0</v>
      </c>
      <c r="F50" s="207">
        <f>SUMIFS('февраль 2023'!$G$4:$G$497,'февраль 2023'!$D$4:$D$497,$B50,'февраль 2023'!$J$4:$J$497,F$1)</f>
        <v>0</v>
      </c>
      <c r="G50" s="207">
        <f>SUMIFS('февраль 2023'!$G$4:$G$497,'февраль 2023'!$D$4:$D$497,$B50,'февраль 2023'!$J$4:$J$497,G$1)</f>
        <v>0</v>
      </c>
      <c r="H50" s="207">
        <f>SUMIFS('февраль 2023'!$G$4:$G$497,'февраль 2023'!$D$4:$D$497,$B50,'февраль 2023'!$J$4:$J$497,H$1)</f>
        <v>0</v>
      </c>
      <c r="I50" s="207">
        <f>SUMIFS('февраль 2023'!$G$4:$G$497,'февраль 2023'!$D$4:$D$497,$B50,'февраль 2023'!$J$4:$J$497,I$1)</f>
        <v>0</v>
      </c>
      <c r="J50" s="207">
        <f>SUMIFS('февраль 2023'!$G$4:$G$497,'февраль 2023'!$D$4:$D$497,$B50,'февраль 2023'!$J$4:$J$497,J$1)</f>
        <v>0</v>
      </c>
      <c r="K50" s="207">
        <f>SUMIFS('февраль 2023'!$G$4:$G$497,'февраль 2023'!$D$4:$D$497,$B50,'февраль 2023'!$J$4:$J$497,K$1)</f>
        <v>0</v>
      </c>
      <c r="L50" s="207">
        <f>SUMIFS('февраль 2023'!$G$4:$G$497,'февраль 2023'!$D$4:$D$497,$B50,'февраль 2023'!$J$4:$J$497,L$1)</f>
        <v>0</v>
      </c>
      <c r="M50" s="207">
        <f>SUMIFS('февраль 2023'!$G$4:$G$497,'февраль 2023'!$D$4:$D$497,$B50,'февраль 2023'!$J$4:$J$497,M$1)</f>
        <v>0</v>
      </c>
      <c r="N50" s="207">
        <f>SUMIFS('февраль 2023'!$G$4:$G$497,'февраль 2023'!$D$4:$D$497,$B50,'февраль 2023'!$J$4:$J$497,N$1)</f>
        <v>0</v>
      </c>
      <c r="O50" s="207">
        <f>SUMIFS('февраль 2023'!$G$4:$G$497,'февраль 2023'!$D$4:$D$497,$B50,'февраль 2023'!$J$4:$J$497,O$1)</f>
        <v>0</v>
      </c>
      <c r="P50" s="207">
        <f>SUMIFS('февраль 2023'!$G$4:$G$497,'февраль 2023'!$D$4:$D$497,$B50,'февраль 2023'!$J$4:$J$497,P$1)</f>
        <v>0</v>
      </c>
      <c r="Q50" s="207">
        <f>SUMIFS('февраль 2023'!$G$4:$G$497,'февраль 2023'!$D$4:$D$497,$B50,'февраль 2023'!$J$4:$J$497,Q$1)</f>
        <v>0</v>
      </c>
      <c r="R50" s="207">
        <f>SUMIFS('февраль 2023'!$G$4:$G$497,'февраль 2023'!$D$4:$D$497,$B50,'февраль 2023'!$J$4:$J$497,R$1)</f>
        <v>0</v>
      </c>
      <c r="S50" s="207">
        <f>SUMIFS('февраль 2023'!$G$4:$G$497,'февраль 2023'!$D$4:$D$497,$B50,'февраль 2023'!$J$4:$J$497,S$1)</f>
        <v>0</v>
      </c>
      <c r="T50" s="207">
        <f>SUMIFS('февраль 2023'!$G$4:$G$497,'февраль 2023'!$D$4:$D$497,$B50,'февраль 2023'!$J$4:$J$497,T$1)</f>
        <v>0</v>
      </c>
      <c r="U50" s="207">
        <f>SUMIFS('февраль 2023'!$G$4:$G$497,'февраль 2023'!$D$4:$D$497,$B50,'февраль 2023'!$J$4:$J$497,U$1)</f>
        <v>0</v>
      </c>
      <c r="V50" s="207">
        <f>SUMIFS('февраль 2023'!$G$4:$G$497,'февраль 2023'!$D$4:$D$497,$B50,'февраль 2023'!$J$4:$J$497,V$1)</f>
        <v>0</v>
      </c>
      <c r="W50" s="207">
        <f>SUMIFS('февраль 2023'!$G$4:$G$497,'февраль 2023'!$D$4:$D$497,$B50,'февраль 2023'!$J$4:$J$497,W$1)</f>
        <v>0</v>
      </c>
      <c r="X50" s="207">
        <f>SUMIFS('февраль 2023'!$G$4:$G$497,'февраль 2023'!$D$4:$D$497,$B50,'февраль 2023'!$J$4:$J$497,X$1)</f>
        <v>0</v>
      </c>
      <c r="Y50" s="207">
        <f>SUMIFS('февраль 2023'!$G$4:$G$497,'февраль 2023'!$D$4:$D$497,$B50,'февраль 2023'!$J$4:$J$497,Y$1)</f>
        <v>0</v>
      </c>
      <c r="Z50" s="207">
        <f>SUMIFS('февраль 2023'!$G$4:$G$497,'февраль 2023'!$D$4:$D$497,$B50,'февраль 2023'!$J$4:$J$497,Z$1)</f>
        <v>0</v>
      </c>
      <c r="AA50" s="207">
        <f>SUMIFS('февраль 2023'!$G$4:$G$497,'февраль 2023'!$D$4:$D$497,$B50,'февраль 2023'!$J$4:$J$497,AA$1)</f>
        <v>0</v>
      </c>
      <c r="AB50" s="207">
        <f>SUMIFS('февраль 2023'!$G$4:$G$497,'февраль 2023'!$D$4:$D$497,$B50,'февраль 2023'!$J$4:$J$497,AB$1)</f>
        <v>0</v>
      </c>
      <c r="AC50" s="207">
        <f>SUMIFS('февраль 2023'!$G$4:$G$497,'февраль 2023'!$D$4:$D$497,$B50,'февраль 2023'!$J$4:$J$497,AC$1)</f>
        <v>0</v>
      </c>
      <c r="AD50" s="207">
        <f>SUMIFS('февраль 2023'!$G$4:$G$497,'февраль 2023'!$D$4:$D$497,$B50,'февраль 2023'!$J$4:$J$497,AD$1)</f>
        <v>0</v>
      </c>
      <c r="AE50" s="207">
        <f>SUMIFS('февраль 2023'!$G$4:$G$497,'февраль 2023'!$D$4:$D$497,$B50,'февраль 2023'!$J$4:$J$497,AE$1)</f>
        <v>0</v>
      </c>
      <c r="AF50" s="207">
        <f>SUMIFS('февраль 2023'!$G$4:$G$497,'февраль 2023'!$D$4:$D$497,$B50,'февраль 2023'!$J$4:$J$497,AF$1)</f>
        <v>0</v>
      </c>
      <c r="AG50" s="207">
        <f>SUMIFS('февраль 2023'!$G$4:$G$497,'февраль 2023'!$D$4:$D$497,$B50,'февраль 2023'!$J$4:$J$497,AG$1)</f>
        <v>0</v>
      </c>
      <c r="AH50" s="207">
        <f>SUMIFS('февраль 2023'!$G$4:$G$497,'февраль 2023'!$D$4:$D$497,$B50,'февраль 2023'!$J$4:$J$497,AH$1)</f>
        <v>0</v>
      </c>
      <c r="AI50" s="170">
        <f t="shared" si="1"/>
        <v>0</v>
      </c>
    </row>
    <row r="51" spans="2:35" ht="15" customHeight="1" x14ac:dyDescent="0.25">
      <c r="B51" s="217"/>
      <c r="C51" s="213"/>
      <c r="D51" s="207">
        <f>SUMIFS('февраль 2023'!$G$4:$G$497,'февраль 2023'!$D$4:$D$497,$B51,'февраль 2023'!$J$4:$J$497,D$1)</f>
        <v>0</v>
      </c>
      <c r="E51" s="207">
        <f>SUMIFS('февраль 2023'!$G$4:$G$497,'февраль 2023'!$D$4:$D$497,$B51,'февраль 2023'!$J$4:$J$497,E$1)</f>
        <v>0</v>
      </c>
      <c r="F51" s="207">
        <f>SUMIFS('февраль 2023'!$G$4:$G$497,'февраль 2023'!$D$4:$D$497,$B51,'февраль 2023'!$J$4:$J$497,F$1)</f>
        <v>0</v>
      </c>
      <c r="G51" s="207">
        <f>SUMIFS('февраль 2023'!$G$4:$G$497,'февраль 2023'!$D$4:$D$497,$B51,'февраль 2023'!$J$4:$J$497,G$1)</f>
        <v>0</v>
      </c>
      <c r="H51" s="207">
        <f>SUMIFS('февраль 2023'!$G$4:$G$497,'февраль 2023'!$D$4:$D$497,$B51,'февраль 2023'!$J$4:$J$497,H$1)</f>
        <v>0</v>
      </c>
      <c r="I51" s="207">
        <f>SUMIFS('февраль 2023'!$G$4:$G$497,'февраль 2023'!$D$4:$D$497,$B51,'февраль 2023'!$J$4:$J$497,I$1)</f>
        <v>0</v>
      </c>
      <c r="J51" s="207">
        <f>SUMIFS('февраль 2023'!$G$4:$G$497,'февраль 2023'!$D$4:$D$497,$B51,'февраль 2023'!$J$4:$J$497,J$1)</f>
        <v>0</v>
      </c>
      <c r="K51" s="207">
        <f>SUMIFS('февраль 2023'!$G$4:$G$497,'февраль 2023'!$D$4:$D$497,$B51,'февраль 2023'!$J$4:$J$497,K$1)</f>
        <v>0</v>
      </c>
      <c r="L51" s="207">
        <f>SUMIFS('февраль 2023'!$G$4:$G$497,'февраль 2023'!$D$4:$D$497,$B51,'февраль 2023'!$J$4:$J$497,L$1)</f>
        <v>0</v>
      </c>
      <c r="M51" s="207">
        <f>SUMIFS('февраль 2023'!$G$4:$G$497,'февраль 2023'!$D$4:$D$497,$B51,'февраль 2023'!$J$4:$J$497,M$1)</f>
        <v>0</v>
      </c>
      <c r="N51" s="207">
        <f>SUMIFS('февраль 2023'!$G$4:$G$497,'февраль 2023'!$D$4:$D$497,$B51,'февраль 2023'!$J$4:$J$497,N$1)</f>
        <v>0</v>
      </c>
      <c r="O51" s="207">
        <f>SUMIFS('февраль 2023'!$G$4:$G$497,'февраль 2023'!$D$4:$D$497,$B51,'февраль 2023'!$J$4:$J$497,O$1)</f>
        <v>0</v>
      </c>
      <c r="P51" s="207">
        <f>SUMIFS('февраль 2023'!$G$4:$G$497,'февраль 2023'!$D$4:$D$497,$B51,'февраль 2023'!$J$4:$J$497,P$1)</f>
        <v>0</v>
      </c>
      <c r="Q51" s="207">
        <f>SUMIFS('февраль 2023'!$G$4:$G$497,'февраль 2023'!$D$4:$D$497,$B51,'февраль 2023'!$J$4:$J$497,Q$1)</f>
        <v>0</v>
      </c>
      <c r="R51" s="207">
        <f>SUMIFS('февраль 2023'!$G$4:$G$497,'февраль 2023'!$D$4:$D$497,$B51,'февраль 2023'!$J$4:$J$497,R$1)</f>
        <v>0</v>
      </c>
      <c r="S51" s="207">
        <f>SUMIFS('февраль 2023'!$G$4:$G$497,'февраль 2023'!$D$4:$D$497,$B51,'февраль 2023'!$J$4:$J$497,S$1)</f>
        <v>0</v>
      </c>
      <c r="T51" s="207">
        <f>SUMIFS('февраль 2023'!$G$4:$G$497,'февраль 2023'!$D$4:$D$497,$B51,'февраль 2023'!$J$4:$J$497,T$1)</f>
        <v>0</v>
      </c>
      <c r="U51" s="207">
        <f>SUMIFS('февраль 2023'!$G$4:$G$497,'февраль 2023'!$D$4:$D$497,$B51,'февраль 2023'!$J$4:$J$497,U$1)</f>
        <v>0</v>
      </c>
      <c r="V51" s="207">
        <f>SUMIFS('февраль 2023'!$G$4:$G$497,'февраль 2023'!$D$4:$D$497,$B51,'февраль 2023'!$J$4:$J$497,V$1)</f>
        <v>0</v>
      </c>
      <c r="W51" s="207">
        <f>SUMIFS('февраль 2023'!$G$4:$G$497,'февраль 2023'!$D$4:$D$497,$B51,'февраль 2023'!$J$4:$J$497,W$1)</f>
        <v>0</v>
      </c>
      <c r="X51" s="207">
        <f>SUMIFS('февраль 2023'!$G$4:$G$497,'февраль 2023'!$D$4:$D$497,$B51,'февраль 2023'!$J$4:$J$497,X$1)</f>
        <v>0</v>
      </c>
      <c r="Y51" s="207">
        <f>SUMIFS('февраль 2023'!$G$4:$G$497,'февраль 2023'!$D$4:$D$497,$B51,'февраль 2023'!$J$4:$J$497,Y$1)</f>
        <v>0</v>
      </c>
      <c r="Z51" s="207">
        <f>SUMIFS('февраль 2023'!$G$4:$G$497,'февраль 2023'!$D$4:$D$497,$B51,'февраль 2023'!$J$4:$J$497,Z$1)</f>
        <v>0</v>
      </c>
      <c r="AA51" s="207">
        <f>SUMIFS('февраль 2023'!$G$4:$G$497,'февраль 2023'!$D$4:$D$497,$B51,'февраль 2023'!$J$4:$J$497,AA$1)</f>
        <v>0</v>
      </c>
      <c r="AB51" s="207">
        <f>SUMIFS('февраль 2023'!$G$4:$G$497,'февраль 2023'!$D$4:$D$497,$B51,'февраль 2023'!$J$4:$J$497,AB$1)</f>
        <v>0</v>
      </c>
      <c r="AC51" s="207">
        <f>SUMIFS('февраль 2023'!$G$4:$G$497,'февраль 2023'!$D$4:$D$497,$B51,'февраль 2023'!$J$4:$J$497,AC$1)</f>
        <v>0</v>
      </c>
      <c r="AD51" s="207">
        <f>SUMIFS('февраль 2023'!$G$4:$G$497,'февраль 2023'!$D$4:$D$497,$B51,'февраль 2023'!$J$4:$J$497,AD$1)</f>
        <v>0</v>
      </c>
      <c r="AE51" s="207">
        <f>SUMIFS('февраль 2023'!$G$4:$G$497,'февраль 2023'!$D$4:$D$497,$B51,'февраль 2023'!$J$4:$J$497,AE$1)</f>
        <v>0</v>
      </c>
      <c r="AF51" s="207">
        <f>SUMIFS('февраль 2023'!$G$4:$G$497,'февраль 2023'!$D$4:$D$497,$B51,'февраль 2023'!$J$4:$J$497,AF$1)</f>
        <v>0</v>
      </c>
      <c r="AG51" s="207">
        <f>SUMIFS('февраль 2023'!$G$4:$G$497,'февраль 2023'!$D$4:$D$497,$B51,'февраль 2023'!$J$4:$J$497,AG$1)</f>
        <v>0</v>
      </c>
      <c r="AH51" s="207">
        <f>SUMIFS('февраль 2023'!$G$4:$G$497,'февраль 2023'!$D$4:$D$497,$B51,'февраль 2023'!$J$4:$J$497,AH$1)</f>
        <v>0</v>
      </c>
      <c r="AI51" s="170">
        <f t="shared" si="1"/>
        <v>0</v>
      </c>
    </row>
    <row r="52" spans="2:35" ht="15" customHeight="1" x14ac:dyDescent="0.25">
      <c r="B52" s="217" t="s">
        <v>2141</v>
      </c>
      <c r="C52" s="213">
        <v>200</v>
      </c>
      <c r="D52" s="207">
        <f>SUMIFS('февраль 2023'!$G$4:$G$497,'февраль 2023'!$D$4:$D$497,$B52,'февраль 2023'!$J$4:$J$497,D$1)</f>
        <v>0</v>
      </c>
      <c r="E52" s="207">
        <f>SUMIFS('февраль 2023'!$G$4:$G$497,'февраль 2023'!$D$4:$D$497,$B52,'февраль 2023'!$J$4:$J$497,E$1)</f>
        <v>0</v>
      </c>
      <c r="F52" s="207">
        <f>SUMIFS('февраль 2023'!$G$4:$G$497,'февраль 2023'!$D$4:$D$497,$B52,'февраль 2023'!$J$4:$J$497,F$1)</f>
        <v>0</v>
      </c>
      <c r="G52" s="207">
        <f>SUMIFS('февраль 2023'!$G$4:$G$497,'февраль 2023'!$D$4:$D$497,$B52,'февраль 2023'!$J$4:$J$497,G$1)</f>
        <v>0</v>
      </c>
      <c r="H52" s="207">
        <f>SUMIFS('февраль 2023'!$G$4:$G$497,'февраль 2023'!$D$4:$D$497,$B52,'февраль 2023'!$J$4:$J$497,H$1)</f>
        <v>0</v>
      </c>
      <c r="I52" s="207">
        <f>SUMIFS('февраль 2023'!$G$4:$G$497,'февраль 2023'!$D$4:$D$497,$B52,'февраль 2023'!$J$4:$J$497,I$1)</f>
        <v>0</v>
      </c>
      <c r="J52" s="207">
        <f>SUMIFS('февраль 2023'!$G$4:$G$497,'февраль 2023'!$D$4:$D$497,$B52,'февраль 2023'!$J$4:$J$497,J$1)</f>
        <v>0</v>
      </c>
      <c r="K52" s="207">
        <f>SUMIFS('февраль 2023'!$G$4:$G$497,'февраль 2023'!$D$4:$D$497,$B52,'февраль 2023'!$J$4:$J$497,K$1)</f>
        <v>0</v>
      </c>
      <c r="L52" s="207">
        <f>SUMIFS('февраль 2023'!$G$4:$G$497,'февраль 2023'!$D$4:$D$497,$B52,'февраль 2023'!$J$4:$J$497,L$1)</f>
        <v>0</v>
      </c>
      <c r="M52" s="207">
        <f>SUMIFS('февраль 2023'!$G$4:$G$497,'февраль 2023'!$D$4:$D$497,$B52,'февраль 2023'!$J$4:$J$497,M$1)</f>
        <v>0</v>
      </c>
      <c r="N52" s="207">
        <f>SUMIFS('февраль 2023'!$G$4:$G$497,'февраль 2023'!$D$4:$D$497,$B52,'февраль 2023'!$J$4:$J$497,N$1)</f>
        <v>0</v>
      </c>
      <c r="O52" s="207">
        <f>SUMIFS('февраль 2023'!$G$4:$G$497,'февраль 2023'!$D$4:$D$497,$B52,'февраль 2023'!$J$4:$J$497,O$1)</f>
        <v>0</v>
      </c>
      <c r="P52" s="207">
        <f>SUMIFS('февраль 2023'!$G$4:$G$497,'февраль 2023'!$D$4:$D$497,$B52,'февраль 2023'!$J$4:$J$497,P$1)</f>
        <v>0</v>
      </c>
      <c r="Q52" s="207">
        <f>SUMIFS('февраль 2023'!$G$4:$G$497,'февраль 2023'!$D$4:$D$497,$B52,'февраль 2023'!$J$4:$J$497,Q$1)</f>
        <v>0</v>
      </c>
      <c r="R52" s="207">
        <f>SUMIFS('февраль 2023'!$G$4:$G$497,'февраль 2023'!$D$4:$D$497,$B52,'февраль 2023'!$J$4:$J$497,R$1)</f>
        <v>0</v>
      </c>
      <c r="S52" s="207">
        <f>SUMIFS('февраль 2023'!$G$4:$G$497,'февраль 2023'!$D$4:$D$497,$B52,'февраль 2023'!$J$4:$J$497,S$1)</f>
        <v>0</v>
      </c>
      <c r="T52" s="207">
        <f>SUMIFS('февраль 2023'!$G$4:$G$497,'февраль 2023'!$D$4:$D$497,$B52,'февраль 2023'!$J$4:$J$497,T$1)</f>
        <v>0</v>
      </c>
      <c r="U52" s="207">
        <f>SUMIFS('февраль 2023'!$G$4:$G$497,'февраль 2023'!$D$4:$D$497,$B52,'февраль 2023'!$J$4:$J$497,U$1)</f>
        <v>0</v>
      </c>
      <c r="V52" s="207">
        <f>SUMIFS('февраль 2023'!$G$4:$G$497,'февраль 2023'!$D$4:$D$497,$B52,'февраль 2023'!$J$4:$J$497,V$1)</f>
        <v>0</v>
      </c>
      <c r="W52" s="207">
        <f>SUMIFS('февраль 2023'!$G$4:$G$497,'февраль 2023'!$D$4:$D$497,$B52,'февраль 2023'!$J$4:$J$497,W$1)</f>
        <v>0</v>
      </c>
      <c r="X52" s="207">
        <f>SUMIFS('февраль 2023'!$G$4:$G$497,'февраль 2023'!$D$4:$D$497,$B52,'февраль 2023'!$J$4:$J$497,X$1)</f>
        <v>0</v>
      </c>
      <c r="Y52" s="207">
        <f>SUMIFS('февраль 2023'!$G$4:$G$497,'февраль 2023'!$D$4:$D$497,$B52,'февраль 2023'!$J$4:$J$497,Y$1)</f>
        <v>0</v>
      </c>
      <c r="Z52" s="207">
        <f>SUMIFS('февраль 2023'!$G$4:$G$497,'февраль 2023'!$D$4:$D$497,$B52,'февраль 2023'!$J$4:$J$497,Z$1)</f>
        <v>0</v>
      </c>
      <c r="AA52" s="207">
        <f>SUMIFS('февраль 2023'!$G$4:$G$497,'февраль 2023'!$D$4:$D$497,$B52,'февраль 2023'!$J$4:$J$497,AA$1)</f>
        <v>0</v>
      </c>
      <c r="AB52" s="207">
        <f>SUMIFS('февраль 2023'!$G$4:$G$497,'февраль 2023'!$D$4:$D$497,$B52,'февраль 2023'!$J$4:$J$497,AB$1)</f>
        <v>0</v>
      </c>
      <c r="AC52" s="207">
        <f>SUMIFS('февраль 2023'!$G$4:$G$497,'февраль 2023'!$D$4:$D$497,$B52,'февраль 2023'!$J$4:$J$497,AC$1)</f>
        <v>0</v>
      </c>
      <c r="AD52" s="207">
        <f>SUMIFS('февраль 2023'!$G$4:$G$497,'февраль 2023'!$D$4:$D$497,$B52,'февраль 2023'!$J$4:$J$497,AD$1)</f>
        <v>0</v>
      </c>
      <c r="AE52" s="207">
        <f>SUMIFS('февраль 2023'!$G$4:$G$497,'февраль 2023'!$D$4:$D$497,$B52,'февраль 2023'!$J$4:$J$497,AE$1)</f>
        <v>0</v>
      </c>
      <c r="AF52" s="207">
        <f>SUMIFS('февраль 2023'!$G$4:$G$497,'февраль 2023'!$D$4:$D$497,$B52,'февраль 2023'!$J$4:$J$497,AF$1)</f>
        <v>0</v>
      </c>
      <c r="AG52" s="207">
        <f>SUMIFS('февраль 2023'!$G$4:$G$497,'февраль 2023'!$D$4:$D$497,$B52,'февраль 2023'!$J$4:$J$497,AG$1)</f>
        <v>0</v>
      </c>
      <c r="AH52" s="207">
        <f>SUMIFS('февраль 2023'!$G$4:$G$497,'февраль 2023'!$D$4:$D$497,$B52,'февраль 2023'!$J$4:$J$497,AH$1)</f>
        <v>0</v>
      </c>
      <c r="AI52" s="170">
        <f t="shared" si="1"/>
        <v>0</v>
      </c>
    </row>
    <row r="53" spans="2:35" ht="15" customHeight="1" x14ac:dyDescent="0.25">
      <c r="B53" s="217" t="s">
        <v>110</v>
      </c>
      <c r="C53" s="213">
        <v>200</v>
      </c>
      <c r="D53" s="207">
        <f>SUMIFS('февраль 2023'!$G$4:$G$497,'февраль 2023'!$D$4:$D$497,$B53,'февраль 2023'!$J$4:$J$497,D$1)</f>
        <v>0</v>
      </c>
      <c r="E53" s="207">
        <f>SUMIFS('февраль 2023'!$G$4:$G$497,'февраль 2023'!$D$4:$D$497,$B53,'февраль 2023'!$J$4:$J$497,E$1)</f>
        <v>0</v>
      </c>
      <c r="F53" s="207">
        <f>SUMIFS('февраль 2023'!$G$4:$G$497,'февраль 2023'!$D$4:$D$497,$B53,'февраль 2023'!$J$4:$J$497,F$1)</f>
        <v>0</v>
      </c>
      <c r="G53" s="207">
        <f>SUMIFS('февраль 2023'!$G$4:$G$497,'февраль 2023'!$D$4:$D$497,$B53,'февраль 2023'!$J$4:$J$497,G$1)</f>
        <v>0</v>
      </c>
      <c r="H53" s="207">
        <f>SUMIFS('февраль 2023'!$G$4:$G$497,'февраль 2023'!$D$4:$D$497,$B53,'февраль 2023'!$J$4:$J$497,H$1)</f>
        <v>0</v>
      </c>
      <c r="I53" s="207">
        <f>SUMIFS('февраль 2023'!$G$4:$G$497,'февраль 2023'!$D$4:$D$497,$B53,'февраль 2023'!$J$4:$J$497,I$1)</f>
        <v>0</v>
      </c>
      <c r="J53" s="207">
        <f>SUMIFS('февраль 2023'!$G$4:$G$497,'февраль 2023'!$D$4:$D$497,$B53,'февраль 2023'!$J$4:$J$497,J$1)</f>
        <v>0</v>
      </c>
      <c r="K53" s="207">
        <f>SUMIFS('февраль 2023'!$G$4:$G$497,'февраль 2023'!$D$4:$D$497,$B53,'февраль 2023'!$J$4:$J$497,K$1)</f>
        <v>0</v>
      </c>
      <c r="L53" s="207">
        <f>SUMIFS('февраль 2023'!$G$4:$G$497,'февраль 2023'!$D$4:$D$497,$B53,'февраль 2023'!$J$4:$J$497,L$1)</f>
        <v>88</v>
      </c>
      <c r="M53" s="207">
        <f>SUMIFS('февраль 2023'!$G$4:$G$497,'февраль 2023'!$D$4:$D$497,$B53,'февраль 2023'!$J$4:$J$497,M$1)</f>
        <v>0</v>
      </c>
      <c r="N53" s="207">
        <f>SUMIFS('февраль 2023'!$G$4:$G$497,'февраль 2023'!$D$4:$D$497,$B53,'февраль 2023'!$J$4:$J$497,N$1)</f>
        <v>0</v>
      </c>
      <c r="O53" s="207">
        <f>SUMIFS('февраль 2023'!$G$4:$G$497,'февраль 2023'!$D$4:$D$497,$B53,'февраль 2023'!$J$4:$J$497,O$1)</f>
        <v>0</v>
      </c>
      <c r="P53" s="207">
        <f>SUMIFS('февраль 2023'!$G$4:$G$497,'февраль 2023'!$D$4:$D$497,$B53,'февраль 2023'!$J$4:$J$497,P$1)</f>
        <v>0</v>
      </c>
      <c r="Q53" s="207">
        <f>SUMIFS('февраль 2023'!$G$4:$G$497,'февраль 2023'!$D$4:$D$497,$B53,'февраль 2023'!$J$4:$J$497,Q$1)</f>
        <v>0</v>
      </c>
      <c r="R53" s="207">
        <f>SUMIFS('февраль 2023'!$G$4:$G$497,'февраль 2023'!$D$4:$D$497,$B53,'февраль 2023'!$J$4:$J$497,R$1)</f>
        <v>0</v>
      </c>
      <c r="S53" s="207">
        <f>SUMIFS('февраль 2023'!$G$4:$G$497,'февраль 2023'!$D$4:$D$497,$B53,'февраль 2023'!$J$4:$J$497,S$1)</f>
        <v>0</v>
      </c>
      <c r="T53" s="207">
        <f>SUMIFS('февраль 2023'!$G$4:$G$497,'февраль 2023'!$D$4:$D$497,$B53,'февраль 2023'!$J$4:$J$497,T$1)</f>
        <v>0</v>
      </c>
      <c r="U53" s="207">
        <f>SUMIFS('февраль 2023'!$G$4:$G$497,'февраль 2023'!$D$4:$D$497,$B53,'февраль 2023'!$J$4:$J$497,U$1)</f>
        <v>0</v>
      </c>
      <c r="V53" s="207">
        <f>SUMIFS('февраль 2023'!$G$4:$G$497,'февраль 2023'!$D$4:$D$497,$B53,'февраль 2023'!$J$4:$J$497,V$1)</f>
        <v>0</v>
      </c>
      <c r="W53" s="207">
        <f>SUMIFS('февраль 2023'!$G$4:$G$497,'февраль 2023'!$D$4:$D$497,$B53,'февраль 2023'!$J$4:$J$497,W$1)</f>
        <v>88</v>
      </c>
      <c r="X53" s="207">
        <f>SUMIFS('февраль 2023'!$G$4:$G$497,'февраль 2023'!$D$4:$D$497,$B53,'февраль 2023'!$J$4:$J$497,X$1)</f>
        <v>0</v>
      </c>
      <c r="Y53" s="207">
        <f>SUMIFS('февраль 2023'!$G$4:$G$497,'февраль 2023'!$D$4:$D$497,$B53,'февраль 2023'!$J$4:$J$497,Y$1)</f>
        <v>0</v>
      </c>
      <c r="Z53" s="207">
        <f>SUMIFS('февраль 2023'!$G$4:$G$497,'февраль 2023'!$D$4:$D$497,$B53,'февраль 2023'!$J$4:$J$497,Z$1)</f>
        <v>0</v>
      </c>
      <c r="AA53" s="207">
        <f>SUMIFS('февраль 2023'!$G$4:$G$497,'февраль 2023'!$D$4:$D$497,$B53,'февраль 2023'!$J$4:$J$497,AA$1)</f>
        <v>0</v>
      </c>
      <c r="AB53" s="207">
        <f>SUMIFS('февраль 2023'!$G$4:$G$497,'февраль 2023'!$D$4:$D$497,$B53,'февраль 2023'!$J$4:$J$497,AB$1)</f>
        <v>0</v>
      </c>
      <c r="AC53" s="207">
        <f>SUMIFS('февраль 2023'!$G$4:$G$497,'февраль 2023'!$D$4:$D$497,$B53,'февраль 2023'!$J$4:$J$497,AC$1)</f>
        <v>0</v>
      </c>
      <c r="AD53" s="207">
        <f>SUMIFS('февраль 2023'!$G$4:$G$497,'февраль 2023'!$D$4:$D$497,$B53,'февраль 2023'!$J$4:$J$497,AD$1)</f>
        <v>0</v>
      </c>
      <c r="AE53" s="207">
        <f>SUMIFS('февраль 2023'!$G$4:$G$497,'февраль 2023'!$D$4:$D$497,$B53,'февраль 2023'!$J$4:$J$497,AE$1)</f>
        <v>0</v>
      </c>
      <c r="AF53" s="207">
        <f>SUMIFS('февраль 2023'!$G$4:$G$497,'февраль 2023'!$D$4:$D$497,$B53,'февраль 2023'!$J$4:$J$497,AF$1)</f>
        <v>0</v>
      </c>
      <c r="AG53" s="207">
        <f>SUMIFS('февраль 2023'!$G$4:$G$497,'февраль 2023'!$D$4:$D$497,$B53,'февраль 2023'!$J$4:$J$497,AG$1)</f>
        <v>0</v>
      </c>
      <c r="AH53" s="207">
        <f>SUMIFS('февраль 2023'!$G$4:$G$497,'февраль 2023'!$D$4:$D$497,$B53,'февраль 2023'!$J$4:$J$497,AH$1)</f>
        <v>0</v>
      </c>
      <c r="AI53" s="170">
        <f t="shared" si="1"/>
        <v>176</v>
      </c>
    </row>
    <row r="54" spans="2:35" ht="15" customHeight="1" x14ac:dyDescent="0.25">
      <c r="B54" s="216"/>
      <c r="C54" s="213"/>
      <c r="D54" s="207">
        <f>SUMIFS('февраль 2023'!$G$4:$G$497,'февраль 2023'!$D$4:$D$497,$B54,'февраль 2023'!$J$4:$J$497,D$1)</f>
        <v>0</v>
      </c>
      <c r="E54" s="207">
        <f>SUMIFS('февраль 2023'!$G$4:$G$497,'февраль 2023'!$D$4:$D$497,$B54,'февраль 2023'!$J$4:$J$497,E$1)</f>
        <v>0</v>
      </c>
      <c r="F54" s="207">
        <f>SUMIFS('февраль 2023'!$G$4:$G$497,'февраль 2023'!$D$4:$D$497,$B54,'февраль 2023'!$J$4:$J$497,F$1)</f>
        <v>0</v>
      </c>
      <c r="G54" s="207">
        <f>SUMIFS('февраль 2023'!$G$4:$G$497,'февраль 2023'!$D$4:$D$497,$B54,'февраль 2023'!$J$4:$J$497,G$1)</f>
        <v>0</v>
      </c>
      <c r="H54" s="207">
        <f>SUMIFS('февраль 2023'!$G$4:$G$497,'февраль 2023'!$D$4:$D$497,$B54,'февраль 2023'!$J$4:$J$497,H$1)</f>
        <v>0</v>
      </c>
      <c r="I54" s="207">
        <f>SUMIFS('февраль 2023'!$G$4:$G$497,'февраль 2023'!$D$4:$D$497,$B54,'февраль 2023'!$J$4:$J$497,I$1)</f>
        <v>0</v>
      </c>
      <c r="J54" s="207">
        <f>SUMIFS('февраль 2023'!$G$4:$G$497,'февраль 2023'!$D$4:$D$497,$B54,'февраль 2023'!$J$4:$J$497,J$1)</f>
        <v>0</v>
      </c>
      <c r="K54" s="207">
        <f>SUMIFS('февраль 2023'!$G$4:$G$497,'февраль 2023'!$D$4:$D$497,$B54,'февраль 2023'!$J$4:$J$497,K$1)</f>
        <v>0</v>
      </c>
      <c r="L54" s="207">
        <f>SUMIFS('февраль 2023'!$G$4:$G$497,'февраль 2023'!$D$4:$D$497,$B54,'февраль 2023'!$J$4:$J$497,L$1)</f>
        <v>0</v>
      </c>
      <c r="M54" s="207">
        <f>SUMIFS('февраль 2023'!$G$4:$G$497,'февраль 2023'!$D$4:$D$497,$B54,'февраль 2023'!$J$4:$J$497,M$1)</f>
        <v>0</v>
      </c>
      <c r="N54" s="207">
        <f>SUMIFS('февраль 2023'!$G$4:$G$497,'февраль 2023'!$D$4:$D$497,$B54,'февраль 2023'!$J$4:$J$497,N$1)</f>
        <v>0</v>
      </c>
      <c r="O54" s="207">
        <f>SUMIFS('февраль 2023'!$G$4:$G$497,'февраль 2023'!$D$4:$D$497,$B54,'февраль 2023'!$J$4:$J$497,O$1)</f>
        <v>0</v>
      </c>
      <c r="P54" s="207">
        <f>SUMIFS('февраль 2023'!$G$4:$G$497,'февраль 2023'!$D$4:$D$497,$B54,'февраль 2023'!$J$4:$J$497,P$1)</f>
        <v>0</v>
      </c>
      <c r="Q54" s="207">
        <f>SUMIFS('февраль 2023'!$G$4:$G$497,'февраль 2023'!$D$4:$D$497,$B54,'февраль 2023'!$J$4:$J$497,Q$1)</f>
        <v>0</v>
      </c>
      <c r="R54" s="207">
        <f>SUMIFS('февраль 2023'!$G$4:$G$497,'февраль 2023'!$D$4:$D$497,$B54,'февраль 2023'!$J$4:$J$497,R$1)</f>
        <v>0</v>
      </c>
      <c r="S54" s="207">
        <f>SUMIFS('февраль 2023'!$G$4:$G$497,'февраль 2023'!$D$4:$D$497,$B54,'февраль 2023'!$J$4:$J$497,S$1)</f>
        <v>0</v>
      </c>
      <c r="T54" s="207">
        <f>SUMIFS('февраль 2023'!$G$4:$G$497,'февраль 2023'!$D$4:$D$497,$B54,'февраль 2023'!$J$4:$J$497,T$1)</f>
        <v>0</v>
      </c>
      <c r="U54" s="207">
        <f>SUMIFS('февраль 2023'!$G$4:$G$497,'февраль 2023'!$D$4:$D$497,$B54,'февраль 2023'!$J$4:$J$497,U$1)</f>
        <v>0</v>
      </c>
      <c r="V54" s="207">
        <f>SUMIFS('февраль 2023'!$G$4:$G$497,'февраль 2023'!$D$4:$D$497,$B54,'февраль 2023'!$J$4:$J$497,V$1)</f>
        <v>0</v>
      </c>
      <c r="W54" s="207">
        <f>SUMIFS('февраль 2023'!$G$4:$G$497,'февраль 2023'!$D$4:$D$497,$B54,'февраль 2023'!$J$4:$J$497,W$1)</f>
        <v>0</v>
      </c>
      <c r="X54" s="207">
        <f>SUMIFS('февраль 2023'!$G$4:$G$497,'февраль 2023'!$D$4:$D$497,$B54,'февраль 2023'!$J$4:$J$497,X$1)</f>
        <v>0</v>
      </c>
      <c r="Y54" s="207">
        <f>SUMIFS('февраль 2023'!$G$4:$G$497,'февраль 2023'!$D$4:$D$497,$B54,'февраль 2023'!$J$4:$J$497,Y$1)</f>
        <v>0</v>
      </c>
      <c r="Z54" s="207">
        <f>SUMIFS('февраль 2023'!$G$4:$G$497,'февраль 2023'!$D$4:$D$497,$B54,'февраль 2023'!$J$4:$J$497,Z$1)</f>
        <v>0</v>
      </c>
      <c r="AA54" s="207">
        <f>SUMIFS('февраль 2023'!$G$4:$G$497,'февраль 2023'!$D$4:$D$497,$B54,'февраль 2023'!$J$4:$J$497,AA$1)</f>
        <v>0</v>
      </c>
      <c r="AB54" s="207">
        <f>SUMIFS('февраль 2023'!$G$4:$G$497,'февраль 2023'!$D$4:$D$497,$B54,'февраль 2023'!$J$4:$J$497,AB$1)</f>
        <v>0</v>
      </c>
      <c r="AC54" s="207">
        <f>SUMIFS('февраль 2023'!$G$4:$G$497,'февраль 2023'!$D$4:$D$497,$B54,'февраль 2023'!$J$4:$J$497,AC$1)</f>
        <v>0</v>
      </c>
      <c r="AD54" s="207">
        <f>SUMIFS('февраль 2023'!$G$4:$G$497,'февраль 2023'!$D$4:$D$497,$B54,'февраль 2023'!$J$4:$J$497,AD$1)</f>
        <v>0</v>
      </c>
      <c r="AE54" s="207">
        <f>SUMIFS('февраль 2023'!$G$4:$G$497,'февраль 2023'!$D$4:$D$497,$B54,'февраль 2023'!$J$4:$J$497,AE$1)</f>
        <v>0</v>
      </c>
      <c r="AF54" s="207">
        <f>SUMIFS('февраль 2023'!$G$4:$G$497,'февраль 2023'!$D$4:$D$497,$B54,'февраль 2023'!$J$4:$J$497,AF$1)</f>
        <v>0</v>
      </c>
      <c r="AG54" s="207">
        <f>SUMIFS('февраль 2023'!$G$4:$G$497,'февраль 2023'!$D$4:$D$497,$B54,'февраль 2023'!$J$4:$J$497,AG$1)</f>
        <v>0</v>
      </c>
      <c r="AH54" s="207">
        <f>SUMIFS('февраль 2023'!$G$4:$G$497,'февраль 2023'!$D$4:$D$497,$B54,'февраль 2023'!$J$4:$J$497,AH$1)</f>
        <v>0</v>
      </c>
      <c r="AI54" s="170">
        <f t="shared" si="1"/>
        <v>0</v>
      </c>
    </row>
    <row r="55" spans="2:35" ht="15" customHeight="1" x14ac:dyDescent="0.25">
      <c r="B55" s="216" t="s">
        <v>1897</v>
      </c>
      <c r="C55" s="213">
        <v>200</v>
      </c>
      <c r="D55" s="207">
        <f>SUMIFS('февраль 2023'!$G$4:$G$497,'февраль 2023'!$D$4:$D$497,$B55,'февраль 2023'!$J$4:$J$497,D$1)</f>
        <v>0</v>
      </c>
      <c r="E55" s="207">
        <f>SUMIFS('февраль 2023'!$G$4:$G$497,'февраль 2023'!$D$4:$D$497,$B55,'февраль 2023'!$J$4:$J$497,E$1)</f>
        <v>0</v>
      </c>
      <c r="F55" s="207">
        <f>SUMIFS('февраль 2023'!$G$4:$G$497,'февраль 2023'!$D$4:$D$497,$B55,'февраль 2023'!$J$4:$J$497,F$1)</f>
        <v>0</v>
      </c>
      <c r="G55" s="207">
        <f>SUMIFS('февраль 2023'!$G$4:$G$497,'февраль 2023'!$D$4:$D$497,$B55,'февраль 2023'!$J$4:$J$497,G$1)</f>
        <v>0</v>
      </c>
      <c r="H55" s="207">
        <f>SUMIFS('февраль 2023'!$G$4:$G$497,'февраль 2023'!$D$4:$D$497,$B55,'февраль 2023'!$J$4:$J$497,H$1)</f>
        <v>0</v>
      </c>
      <c r="I55" s="207">
        <f>SUMIFS('февраль 2023'!$G$4:$G$497,'февраль 2023'!$D$4:$D$497,$B55,'февраль 2023'!$J$4:$J$497,I$1)</f>
        <v>0</v>
      </c>
      <c r="J55" s="207">
        <f>SUMIFS('февраль 2023'!$G$4:$G$497,'февраль 2023'!$D$4:$D$497,$B55,'февраль 2023'!$J$4:$J$497,J$1)</f>
        <v>0</v>
      </c>
      <c r="K55" s="207">
        <f>SUMIFS('февраль 2023'!$G$4:$G$497,'февраль 2023'!$D$4:$D$497,$B55,'февраль 2023'!$J$4:$J$497,K$1)</f>
        <v>0</v>
      </c>
      <c r="L55" s="207">
        <f>SUMIFS('февраль 2023'!$G$4:$G$497,'февраль 2023'!$D$4:$D$497,$B55,'февраль 2023'!$J$4:$J$497,L$1)</f>
        <v>0</v>
      </c>
      <c r="M55" s="207">
        <f>SUMIFS('февраль 2023'!$G$4:$G$497,'февраль 2023'!$D$4:$D$497,$B55,'февраль 2023'!$J$4:$J$497,M$1)</f>
        <v>0</v>
      </c>
      <c r="N55" s="207">
        <f>SUMIFS('февраль 2023'!$G$4:$G$497,'февраль 2023'!$D$4:$D$497,$B55,'февраль 2023'!$J$4:$J$497,N$1)</f>
        <v>0</v>
      </c>
      <c r="O55" s="207">
        <f>SUMIFS('февраль 2023'!$G$4:$G$497,'февраль 2023'!$D$4:$D$497,$B55,'февраль 2023'!$J$4:$J$497,O$1)</f>
        <v>0</v>
      </c>
      <c r="P55" s="207">
        <f>SUMIFS('февраль 2023'!$G$4:$G$497,'февраль 2023'!$D$4:$D$497,$B55,'февраль 2023'!$J$4:$J$497,P$1)</f>
        <v>0</v>
      </c>
      <c r="Q55" s="207">
        <f>SUMIFS('февраль 2023'!$G$4:$G$497,'февраль 2023'!$D$4:$D$497,$B55,'февраль 2023'!$J$4:$J$497,Q$1)</f>
        <v>0</v>
      </c>
      <c r="R55" s="207">
        <f>SUMIFS('февраль 2023'!$G$4:$G$497,'февраль 2023'!$D$4:$D$497,$B55,'февраль 2023'!$J$4:$J$497,R$1)</f>
        <v>0</v>
      </c>
      <c r="S55" s="207">
        <f>SUMIFS('февраль 2023'!$G$4:$G$497,'февраль 2023'!$D$4:$D$497,$B55,'февраль 2023'!$J$4:$J$497,S$1)</f>
        <v>0</v>
      </c>
      <c r="T55" s="207">
        <f>SUMIFS('февраль 2023'!$G$4:$G$497,'февраль 2023'!$D$4:$D$497,$B55,'февраль 2023'!$J$4:$J$497,T$1)</f>
        <v>25</v>
      </c>
      <c r="U55" s="207">
        <f>SUMIFS('февраль 2023'!$G$4:$G$497,'февраль 2023'!$D$4:$D$497,$B55,'февраль 2023'!$J$4:$J$497,U$1)</f>
        <v>0</v>
      </c>
      <c r="V55" s="207">
        <f>SUMIFS('февраль 2023'!$G$4:$G$497,'февраль 2023'!$D$4:$D$497,$B55,'февраль 2023'!$J$4:$J$497,V$1)</f>
        <v>0</v>
      </c>
      <c r="W55" s="207">
        <f>SUMIFS('февраль 2023'!$G$4:$G$497,'февраль 2023'!$D$4:$D$497,$B55,'февраль 2023'!$J$4:$J$497,W$1)</f>
        <v>0</v>
      </c>
      <c r="X55" s="207">
        <f>SUMIFS('февраль 2023'!$G$4:$G$497,'февраль 2023'!$D$4:$D$497,$B55,'февраль 2023'!$J$4:$J$497,X$1)</f>
        <v>0</v>
      </c>
      <c r="Y55" s="207">
        <f>SUMIFS('февраль 2023'!$G$4:$G$497,'февраль 2023'!$D$4:$D$497,$B55,'февраль 2023'!$J$4:$J$497,Y$1)</f>
        <v>0</v>
      </c>
      <c r="Z55" s="207">
        <f>SUMIFS('февраль 2023'!$G$4:$G$497,'февраль 2023'!$D$4:$D$497,$B55,'февраль 2023'!$J$4:$J$497,Z$1)</f>
        <v>0</v>
      </c>
      <c r="AA55" s="207">
        <f>SUMIFS('февраль 2023'!$G$4:$G$497,'февраль 2023'!$D$4:$D$497,$B55,'февраль 2023'!$J$4:$J$497,AA$1)</f>
        <v>0</v>
      </c>
      <c r="AB55" s="207">
        <f>SUMIFS('февраль 2023'!$G$4:$G$497,'февраль 2023'!$D$4:$D$497,$B55,'февраль 2023'!$J$4:$J$497,AB$1)</f>
        <v>0</v>
      </c>
      <c r="AC55" s="207">
        <f>SUMIFS('февраль 2023'!$G$4:$G$497,'февраль 2023'!$D$4:$D$497,$B55,'февраль 2023'!$J$4:$J$497,AC$1)</f>
        <v>0</v>
      </c>
      <c r="AD55" s="207">
        <f>SUMIFS('февраль 2023'!$G$4:$G$497,'февраль 2023'!$D$4:$D$497,$B55,'февраль 2023'!$J$4:$J$497,AD$1)</f>
        <v>0</v>
      </c>
      <c r="AE55" s="207">
        <f>SUMIFS('февраль 2023'!$G$4:$G$497,'февраль 2023'!$D$4:$D$497,$B55,'февраль 2023'!$J$4:$J$497,AE$1)</f>
        <v>0</v>
      </c>
      <c r="AF55" s="207">
        <f>SUMIFS('февраль 2023'!$G$4:$G$497,'февраль 2023'!$D$4:$D$497,$B55,'февраль 2023'!$J$4:$J$497,AF$1)</f>
        <v>0</v>
      </c>
      <c r="AG55" s="207">
        <f>SUMIFS('февраль 2023'!$G$4:$G$497,'февраль 2023'!$D$4:$D$497,$B55,'февраль 2023'!$J$4:$J$497,AG$1)</f>
        <v>0</v>
      </c>
      <c r="AH55" s="207">
        <f>SUMIFS('февраль 2023'!$G$4:$G$497,'февраль 2023'!$D$4:$D$497,$B55,'февраль 2023'!$J$4:$J$497,AH$1)</f>
        <v>0</v>
      </c>
      <c r="AI55" s="170">
        <f t="shared" si="1"/>
        <v>25</v>
      </c>
    </row>
    <row r="56" spans="2:35" ht="15.75" x14ac:dyDescent="0.25">
      <c r="B56" s="212" t="s">
        <v>2148</v>
      </c>
      <c r="C56" s="211">
        <v>190</v>
      </c>
      <c r="D56" s="207">
        <f>SUMIFS('февраль 2023'!$G$4:$G$497,'февраль 2023'!$D$4:$D$497,$B56,'февраль 2023'!$J$4:$J$497,D$1)</f>
        <v>0</v>
      </c>
      <c r="E56" s="207">
        <f>SUMIFS('февраль 2023'!$G$4:$G$497,'февраль 2023'!$D$4:$D$497,$B56,'февраль 2023'!$J$4:$J$497,E$1)</f>
        <v>0</v>
      </c>
      <c r="F56" s="207">
        <f>SUMIFS('февраль 2023'!$G$4:$G$497,'февраль 2023'!$D$4:$D$497,$B56,'февраль 2023'!$J$4:$J$497,F$1)</f>
        <v>0</v>
      </c>
      <c r="G56" s="207">
        <f>SUMIFS('февраль 2023'!$G$4:$G$497,'февраль 2023'!$D$4:$D$497,$B56,'февраль 2023'!$J$4:$J$497,G$1)</f>
        <v>0</v>
      </c>
      <c r="H56" s="207">
        <f>SUMIFS('февраль 2023'!$G$4:$G$497,'февраль 2023'!$D$4:$D$497,$B56,'февраль 2023'!$J$4:$J$497,H$1)</f>
        <v>0</v>
      </c>
      <c r="I56" s="207">
        <f>SUMIFS('февраль 2023'!$G$4:$G$497,'февраль 2023'!$D$4:$D$497,$B56,'февраль 2023'!$J$4:$J$497,I$1)</f>
        <v>0</v>
      </c>
      <c r="J56" s="207">
        <f>SUMIFS('февраль 2023'!$G$4:$G$497,'февраль 2023'!$D$4:$D$497,$B56,'февраль 2023'!$J$4:$J$497,J$1)</f>
        <v>0</v>
      </c>
      <c r="K56" s="207">
        <f>SUMIFS('февраль 2023'!$G$4:$G$497,'февраль 2023'!$D$4:$D$497,$B56,'февраль 2023'!$J$4:$J$497,K$1)</f>
        <v>0</v>
      </c>
      <c r="L56" s="207">
        <f>SUMIFS('февраль 2023'!$G$4:$G$497,'февраль 2023'!$D$4:$D$497,$B56,'февраль 2023'!$J$4:$J$497,L$1)</f>
        <v>0</v>
      </c>
      <c r="M56" s="207">
        <f>SUMIFS('февраль 2023'!$G$4:$G$497,'февраль 2023'!$D$4:$D$497,$B56,'февраль 2023'!$J$4:$J$497,M$1)</f>
        <v>0</v>
      </c>
      <c r="N56" s="207">
        <f>SUMIFS('февраль 2023'!$G$4:$G$497,'февраль 2023'!$D$4:$D$497,$B56,'февраль 2023'!$J$4:$J$497,N$1)</f>
        <v>0</v>
      </c>
      <c r="O56" s="207">
        <f>SUMIFS('февраль 2023'!$G$4:$G$497,'февраль 2023'!$D$4:$D$497,$B56,'февраль 2023'!$J$4:$J$497,O$1)</f>
        <v>0</v>
      </c>
      <c r="P56" s="207">
        <f>SUMIFS('февраль 2023'!$G$4:$G$497,'февраль 2023'!$D$4:$D$497,$B56,'февраль 2023'!$J$4:$J$497,P$1)</f>
        <v>0</v>
      </c>
      <c r="Q56" s="207">
        <f>SUMIFS('февраль 2023'!$G$4:$G$497,'февраль 2023'!$D$4:$D$497,$B56,'февраль 2023'!$J$4:$J$497,Q$1)</f>
        <v>0</v>
      </c>
      <c r="R56" s="207">
        <f>SUMIFS('февраль 2023'!$G$4:$G$497,'февраль 2023'!$D$4:$D$497,$B56,'февраль 2023'!$J$4:$J$497,R$1)</f>
        <v>0</v>
      </c>
      <c r="S56" s="207">
        <f>SUMIFS('февраль 2023'!$G$4:$G$497,'февраль 2023'!$D$4:$D$497,$B56,'февраль 2023'!$J$4:$J$497,S$1)</f>
        <v>0</v>
      </c>
      <c r="T56" s="207">
        <f>SUMIFS('февраль 2023'!$G$4:$G$497,'февраль 2023'!$D$4:$D$497,$B56,'февраль 2023'!$J$4:$J$497,T$1)</f>
        <v>0</v>
      </c>
      <c r="U56" s="207">
        <f>SUMIFS('февраль 2023'!$G$4:$G$497,'февраль 2023'!$D$4:$D$497,$B56,'февраль 2023'!$J$4:$J$497,U$1)</f>
        <v>0</v>
      </c>
      <c r="V56" s="207">
        <f>SUMIFS('февраль 2023'!$G$4:$G$497,'февраль 2023'!$D$4:$D$497,$B56,'февраль 2023'!$J$4:$J$497,V$1)</f>
        <v>0</v>
      </c>
      <c r="W56" s="207">
        <f>SUMIFS('февраль 2023'!$G$4:$G$497,'февраль 2023'!$D$4:$D$497,$B56,'февраль 2023'!$J$4:$J$497,W$1)</f>
        <v>0</v>
      </c>
      <c r="X56" s="207">
        <f>SUMIFS('февраль 2023'!$G$4:$G$497,'февраль 2023'!$D$4:$D$497,$B56,'февраль 2023'!$J$4:$J$497,X$1)</f>
        <v>0</v>
      </c>
      <c r="Y56" s="207">
        <f>SUMIFS('февраль 2023'!$G$4:$G$497,'февраль 2023'!$D$4:$D$497,$B56,'февраль 2023'!$J$4:$J$497,Y$1)</f>
        <v>0</v>
      </c>
      <c r="Z56" s="207">
        <f>SUMIFS('февраль 2023'!$G$4:$G$497,'февраль 2023'!$D$4:$D$497,$B56,'февраль 2023'!$J$4:$J$497,Z$1)</f>
        <v>0</v>
      </c>
      <c r="AA56" s="207">
        <f>SUMIFS('февраль 2023'!$G$4:$G$497,'февраль 2023'!$D$4:$D$497,$B56,'февраль 2023'!$J$4:$J$497,AA$1)</f>
        <v>0</v>
      </c>
      <c r="AB56" s="207">
        <f>SUMIFS('февраль 2023'!$G$4:$G$497,'февраль 2023'!$D$4:$D$497,$B56,'февраль 2023'!$J$4:$J$497,AB$1)</f>
        <v>0</v>
      </c>
      <c r="AC56" s="207">
        <f>SUMIFS('февраль 2023'!$G$4:$G$497,'февраль 2023'!$D$4:$D$497,$B56,'февраль 2023'!$J$4:$J$497,AC$1)</f>
        <v>0</v>
      </c>
      <c r="AD56" s="207">
        <f>SUMIFS('февраль 2023'!$G$4:$G$497,'февраль 2023'!$D$4:$D$497,$B56,'февраль 2023'!$J$4:$J$497,AD$1)</f>
        <v>0</v>
      </c>
      <c r="AE56" s="207">
        <f>SUMIFS('февраль 2023'!$G$4:$G$497,'февраль 2023'!$D$4:$D$497,$B56,'февраль 2023'!$J$4:$J$497,AE$1)</f>
        <v>0</v>
      </c>
      <c r="AF56" s="207">
        <f>SUMIFS('февраль 2023'!$G$4:$G$497,'февраль 2023'!$D$4:$D$497,$B56,'февраль 2023'!$J$4:$J$497,AF$1)</f>
        <v>0</v>
      </c>
      <c r="AG56" s="207">
        <f>SUMIFS('февраль 2023'!$G$4:$G$497,'февраль 2023'!$D$4:$D$497,$B56,'февраль 2023'!$J$4:$J$497,AG$1)</f>
        <v>0</v>
      </c>
      <c r="AH56" s="207">
        <f>SUMIFS('февраль 2023'!$G$4:$G$497,'февраль 2023'!$D$4:$D$497,$B56,'февраль 2023'!$J$4:$J$497,AH$1)</f>
        <v>0</v>
      </c>
      <c r="AI56" s="170">
        <f t="shared" si="1"/>
        <v>0</v>
      </c>
    </row>
    <row r="57" spans="2:35" ht="15.75" x14ac:dyDescent="0.25">
      <c r="B57" s="216" t="s">
        <v>1869</v>
      </c>
      <c r="C57" s="213">
        <v>200</v>
      </c>
      <c r="D57" s="207">
        <f>SUMIFS('февраль 2023'!$G$4:$G$497,'февраль 2023'!$D$4:$D$497,$B57,'февраль 2023'!$J$4:$J$497,D$1)</f>
        <v>0</v>
      </c>
      <c r="E57" s="207">
        <f>SUMIFS('февраль 2023'!$G$4:$G$497,'февраль 2023'!$D$4:$D$497,$B57,'февраль 2023'!$J$4:$J$497,E$1)</f>
        <v>0</v>
      </c>
      <c r="F57" s="207">
        <f>SUMIFS('февраль 2023'!$G$4:$G$497,'февраль 2023'!$D$4:$D$497,$B57,'февраль 2023'!$J$4:$J$497,F$1)</f>
        <v>0</v>
      </c>
      <c r="G57" s="207">
        <f>SUMIFS('февраль 2023'!$G$4:$G$497,'февраль 2023'!$D$4:$D$497,$B57,'февраль 2023'!$J$4:$J$497,G$1)</f>
        <v>0</v>
      </c>
      <c r="H57" s="207">
        <f>SUMIFS('февраль 2023'!$G$4:$G$497,'февраль 2023'!$D$4:$D$497,$B57,'февраль 2023'!$J$4:$J$497,H$1)</f>
        <v>0</v>
      </c>
      <c r="I57" s="207">
        <f>SUMIFS('февраль 2023'!$G$4:$G$497,'февраль 2023'!$D$4:$D$497,$B57,'февраль 2023'!$J$4:$J$497,I$1)</f>
        <v>0</v>
      </c>
      <c r="J57" s="207">
        <f>SUMIFS('февраль 2023'!$G$4:$G$497,'февраль 2023'!$D$4:$D$497,$B57,'февраль 2023'!$J$4:$J$497,J$1)</f>
        <v>0</v>
      </c>
      <c r="K57" s="207">
        <f>SUMIFS('февраль 2023'!$G$4:$G$497,'февраль 2023'!$D$4:$D$497,$B57,'февраль 2023'!$J$4:$J$497,K$1)</f>
        <v>0</v>
      </c>
      <c r="L57" s="207">
        <f>SUMIFS('февраль 2023'!$G$4:$G$497,'февраль 2023'!$D$4:$D$497,$B57,'февраль 2023'!$J$4:$J$497,L$1)</f>
        <v>0</v>
      </c>
      <c r="M57" s="207">
        <f>SUMIFS('февраль 2023'!$G$4:$G$497,'февраль 2023'!$D$4:$D$497,$B57,'февраль 2023'!$J$4:$J$497,M$1)</f>
        <v>0</v>
      </c>
      <c r="N57" s="207">
        <f>SUMIFS('февраль 2023'!$G$4:$G$497,'февраль 2023'!$D$4:$D$497,$B57,'февраль 2023'!$J$4:$J$497,N$1)</f>
        <v>88</v>
      </c>
      <c r="O57" s="207">
        <f>SUMIFS('февраль 2023'!$G$4:$G$497,'февраль 2023'!$D$4:$D$497,$B57,'февраль 2023'!$J$4:$J$497,O$1)</f>
        <v>0</v>
      </c>
      <c r="P57" s="207">
        <f>SUMIFS('февраль 2023'!$G$4:$G$497,'февраль 2023'!$D$4:$D$497,$B57,'февраль 2023'!$J$4:$J$497,P$1)</f>
        <v>0</v>
      </c>
      <c r="Q57" s="207">
        <f>SUMIFS('февраль 2023'!$G$4:$G$497,'февраль 2023'!$D$4:$D$497,$B57,'февраль 2023'!$J$4:$J$497,Q$1)</f>
        <v>0</v>
      </c>
      <c r="R57" s="207">
        <f>SUMIFS('февраль 2023'!$G$4:$G$497,'февраль 2023'!$D$4:$D$497,$B57,'февраль 2023'!$J$4:$J$497,R$1)</f>
        <v>0</v>
      </c>
      <c r="S57" s="207">
        <f>SUMIFS('февраль 2023'!$G$4:$G$497,'февраль 2023'!$D$4:$D$497,$B57,'февраль 2023'!$J$4:$J$497,S$1)</f>
        <v>0</v>
      </c>
      <c r="T57" s="207">
        <f>SUMIFS('февраль 2023'!$G$4:$G$497,'февраль 2023'!$D$4:$D$497,$B57,'февраль 2023'!$J$4:$J$497,T$1)</f>
        <v>0</v>
      </c>
      <c r="U57" s="207">
        <f>SUMIFS('февраль 2023'!$G$4:$G$497,'февраль 2023'!$D$4:$D$497,$B57,'февраль 2023'!$J$4:$J$497,U$1)</f>
        <v>0</v>
      </c>
      <c r="V57" s="207">
        <f>SUMIFS('февраль 2023'!$G$4:$G$497,'февраль 2023'!$D$4:$D$497,$B57,'февраль 2023'!$J$4:$J$497,V$1)</f>
        <v>0</v>
      </c>
      <c r="W57" s="207">
        <f>SUMIFS('февраль 2023'!$G$4:$G$497,'февраль 2023'!$D$4:$D$497,$B57,'февраль 2023'!$J$4:$J$497,W$1)</f>
        <v>0</v>
      </c>
      <c r="X57" s="207">
        <f>SUMIFS('февраль 2023'!$G$4:$G$497,'февраль 2023'!$D$4:$D$497,$B57,'февраль 2023'!$J$4:$J$497,X$1)</f>
        <v>0</v>
      </c>
      <c r="Y57" s="207">
        <f>SUMIFS('февраль 2023'!$G$4:$G$497,'февраль 2023'!$D$4:$D$497,$B57,'февраль 2023'!$J$4:$J$497,Y$1)</f>
        <v>0</v>
      </c>
      <c r="Z57" s="207">
        <f>SUMIFS('февраль 2023'!$G$4:$G$497,'февраль 2023'!$D$4:$D$497,$B57,'февраль 2023'!$J$4:$J$497,Z$1)</f>
        <v>0</v>
      </c>
      <c r="AA57" s="207">
        <f>SUMIFS('февраль 2023'!$G$4:$G$497,'февраль 2023'!$D$4:$D$497,$B57,'февраль 2023'!$J$4:$J$497,AA$1)</f>
        <v>0</v>
      </c>
      <c r="AB57" s="207">
        <f>SUMIFS('февраль 2023'!$G$4:$G$497,'февраль 2023'!$D$4:$D$497,$B57,'февраль 2023'!$J$4:$J$497,AB$1)</f>
        <v>0</v>
      </c>
      <c r="AC57" s="207">
        <f>SUMIFS('февраль 2023'!$G$4:$G$497,'февраль 2023'!$D$4:$D$497,$B57,'февраль 2023'!$J$4:$J$497,AC$1)</f>
        <v>0</v>
      </c>
      <c r="AD57" s="207">
        <f>SUMIFS('февраль 2023'!$G$4:$G$497,'февраль 2023'!$D$4:$D$497,$B57,'февраль 2023'!$J$4:$J$497,AD$1)</f>
        <v>0</v>
      </c>
      <c r="AE57" s="207">
        <f>SUMIFS('февраль 2023'!$G$4:$G$497,'февраль 2023'!$D$4:$D$497,$B57,'февраль 2023'!$J$4:$J$497,AE$1)</f>
        <v>0</v>
      </c>
      <c r="AF57" s="207">
        <f>SUMIFS('февраль 2023'!$G$4:$G$497,'февраль 2023'!$D$4:$D$497,$B57,'февраль 2023'!$J$4:$J$497,AF$1)</f>
        <v>0</v>
      </c>
      <c r="AG57" s="207">
        <f>SUMIFS('февраль 2023'!$G$4:$G$497,'февраль 2023'!$D$4:$D$497,$B57,'февраль 2023'!$J$4:$J$497,AG$1)</f>
        <v>0</v>
      </c>
      <c r="AH57" s="207">
        <f>SUMIFS('февраль 2023'!$G$4:$G$497,'февраль 2023'!$D$4:$D$497,$B57,'февраль 2023'!$J$4:$J$497,AH$1)</f>
        <v>0</v>
      </c>
      <c r="AI57" s="170">
        <f t="shared" si="1"/>
        <v>88</v>
      </c>
    </row>
    <row r="58" spans="2:35" ht="15" customHeight="1" x14ac:dyDescent="0.25">
      <c r="B58" s="216" t="s">
        <v>66</v>
      </c>
      <c r="C58" s="213">
        <v>200</v>
      </c>
      <c r="D58" s="207">
        <f>SUMIFS('февраль 2023'!$G$4:$G$497,'февраль 2023'!$D$4:$D$497,$B58,'февраль 2023'!$J$4:$J$497,D$1)</f>
        <v>0</v>
      </c>
      <c r="E58" s="207">
        <f>SUMIFS('февраль 2023'!$G$4:$G$497,'февраль 2023'!$D$4:$D$497,$B58,'февраль 2023'!$J$4:$J$497,E$1)</f>
        <v>88</v>
      </c>
      <c r="F58" s="207">
        <f>SUMIFS('февраль 2023'!$G$4:$G$497,'февраль 2023'!$D$4:$D$497,$B58,'февраль 2023'!$J$4:$J$497,F$1)</f>
        <v>0</v>
      </c>
      <c r="G58" s="207">
        <f>SUMIFS('февраль 2023'!$G$4:$G$497,'февраль 2023'!$D$4:$D$497,$B58,'февраль 2023'!$J$4:$J$497,G$1)</f>
        <v>0</v>
      </c>
      <c r="H58" s="207">
        <f>SUMIFS('февраль 2023'!$G$4:$G$497,'февраль 2023'!$D$4:$D$497,$B58,'февраль 2023'!$J$4:$J$497,H$1)</f>
        <v>0</v>
      </c>
      <c r="I58" s="207">
        <f>SUMIFS('февраль 2023'!$G$4:$G$497,'февраль 2023'!$D$4:$D$497,$B58,'февраль 2023'!$J$4:$J$497,I$1)</f>
        <v>0</v>
      </c>
      <c r="J58" s="207">
        <f>SUMIFS('февраль 2023'!$G$4:$G$497,'февраль 2023'!$D$4:$D$497,$B58,'февраль 2023'!$J$4:$J$497,J$1)</f>
        <v>0</v>
      </c>
      <c r="K58" s="207">
        <f>SUMIFS('февраль 2023'!$G$4:$G$497,'февраль 2023'!$D$4:$D$497,$B58,'февраль 2023'!$J$4:$J$497,K$1)</f>
        <v>0</v>
      </c>
      <c r="L58" s="207">
        <f>SUMIFS('февраль 2023'!$G$4:$G$497,'февраль 2023'!$D$4:$D$497,$B58,'февраль 2023'!$J$4:$J$497,L$1)</f>
        <v>0</v>
      </c>
      <c r="M58" s="207">
        <f>SUMIFS('февраль 2023'!$G$4:$G$497,'февраль 2023'!$D$4:$D$497,$B58,'февраль 2023'!$J$4:$J$497,M$1)</f>
        <v>0</v>
      </c>
      <c r="N58" s="207">
        <f>SUMIFS('февраль 2023'!$G$4:$G$497,'февраль 2023'!$D$4:$D$497,$B58,'февраль 2023'!$J$4:$J$497,N$1)</f>
        <v>0</v>
      </c>
      <c r="O58" s="207">
        <f>SUMIFS('февраль 2023'!$G$4:$G$497,'февраль 2023'!$D$4:$D$497,$B58,'февраль 2023'!$J$4:$J$497,O$1)</f>
        <v>0</v>
      </c>
      <c r="P58" s="207">
        <f>SUMIFS('февраль 2023'!$G$4:$G$497,'февраль 2023'!$D$4:$D$497,$B58,'февраль 2023'!$J$4:$J$497,P$1)</f>
        <v>0</v>
      </c>
      <c r="Q58" s="207">
        <f>SUMIFS('февраль 2023'!$G$4:$G$497,'февраль 2023'!$D$4:$D$497,$B58,'февраль 2023'!$J$4:$J$497,Q$1)</f>
        <v>0</v>
      </c>
      <c r="R58" s="207">
        <f>SUMIFS('февраль 2023'!$G$4:$G$497,'февраль 2023'!$D$4:$D$497,$B58,'февраль 2023'!$J$4:$J$497,R$1)</f>
        <v>0</v>
      </c>
      <c r="S58" s="207">
        <f>SUMIFS('февраль 2023'!$G$4:$G$497,'февраль 2023'!$D$4:$D$497,$B58,'февраль 2023'!$J$4:$J$497,S$1)</f>
        <v>0</v>
      </c>
      <c r="T58" s="207">
        <f>SUMIFS('февраль 2023'!$G$4:$G$497,'февраль 2023'!$D$4:$D$497,$B58,'февраль 2023'!$J$4:$J$497,T$1)</f>
        <v>88</v>
      </c>
      <c r="U58" s="207">
        <f>SUMIFS('февраль 2023'!$G$4:$G$497,'февраль 2023'!$D$4:$D$497,$B58,'февраль 2023'!$J$4:$J$497,U$1)</f>
        <v>0</v>
      </c>
      <c r="V58" s="207">
        <f>SUMIFS('февраль 2023'!$G$4:$G$497,'февраль 2023'!$D$4:$D$497,$B58,'февраль 2023'!$J$4:$J$497,V$1)</f>
        <v>0</v>
      </c>
      <c r="W58" s="207">
        <f>SUMIFS('февраль 2023'!$G$4:$G$497,'февраль 2023'!$D$4:$D$497,$B58,'февраль 2023'!$J$4:$J$497,W$1)</f>
        <v>0</v>
      </c>
      <c r="X58" s="207">
        <f>SUMIFS('февраль 2023'!$G$4:$G$497,'февраль 2023'!$D$4:$D$497,$B58,'февраль 2023'!$J$4:$J$497,X$1)</f>
        <v>0</v>
      </c>
      <c r="Y58" s="207">
        <f>SUMIFS('февраль 2023'!$G$4:$G$497,'февраль 2023'!$D$4:$D$497,$B58,'февраль 2023'!$J$4:$J$497,Y$1)</f>
        <v>0</v>
      </c>
      <c r="Z58" s="207">
        <f>SUMIFS('февраль 2023'!$G$4:$G$497,'февраль 2023'!$D$4:$D$497,$B58,'февраль 2023'!$J$4:$J$497,Z$1)</f>
        <v>0</v>
      </c>
      <c r="AA58" s="207">
        <f>SUMIFS('февраль 2023'!$G$4:$G$497,'февраль 2023'!$D$4:$D$497,$B58,'февраль 2023'!$J$4:$J$497,AA$1)</f>
        <v>0</v>
      </c>
      <c r="AB58" s="207">
        <f>SUMIFS('февраль 2023'!$G$4:$G$497,'февраль 2023'!$D$4:$D$497,$B58,'февраль 2023'!$J$4:$J$497,AB$1)</f>
        <v>0</v>
      </c>
      <c r="AC58" s="207">
        <f>SUMIFS('февраль 2023'!$G$4:$G$497,'февраль 2023'!$D$4:$D$497,$B58,'февраль 2023'!$J$4:$J$497,AC$1)</f>
        <v>0</v>
      </c>
      <c r="AD58" s="207">
        <f>SUMIFS('февраль 2023'!$G$4:$G$497,'февраль 2023'!$D$4:$D$497,$B58,'февраль 2023'!$J$4:$J$497,AD$1)</f>
        <v>0</v>
      </c>
      <c r="AE58" s="207">
        <f>SUMIFS('февраль 2023'!$G$4:$G$497,'февраль 2023'!$D$4:$D$497,$B58,'февраль 2023'!$J$4:$J$497,AE$1)</f>
        <v>0</v>
      </c>
      <c r="AF58" s="207">
        <f>SUMIFS('февраль 2023'!$G$4:$G$497,'февраль 2023'!$D$4:$D$497,$B58,'февраль 2023'!$J$4:$J$497,AF$1)</f>
        <v>0</v>
      </c>
      <c r="AG58" s="207">
        <f>SUMIFS('февраль 2023'!$G$4:$G$497,'февраль 2023'!$D$4:$D$497,$B58,'февраль 2023'!$J$4:$J$497,AG$1)</f>
        <v>0</v>
      </c>
      <c r="AH58" s="207">
        <f>SUMIFS('февраль 2023'!$G$4:$G$497,'февраль 2023'!$D$4:$D$497,$B58,'февраль 2023'!$J$4:$J$497,AH$1)</f>
        <v>0</v>
      </c>
      <c r="AI58" s="170">
        <f t="shared" si="1"/>
        <v>176</v>
      </c>
    </row>
    <row r="59" spans="2:35" ht="15" customHeight="1" x14ac:dyDescent="0.25">
      <c r="B59" s="216" t="s">
        <v>38</v>
      </c>
      <c r="C59" s="213">
        <v>200</v>
      </c>
      <c r="D59" s="207">
        <f>SUMIFS('февраль 2023'!$G$4:$G$497,'февраль 2023'!$D$4:$D$497,$B59,'февраль 2023'!$J$4:$J$497,D$1)</f>
        <v>0</v>
      </c>
      <c r="E59" s="207">
        <f>SUMIFS('февраль 2023'!$G$4:$G$497,'февраль 2023'!$D$4:$D$497,$B59,'февраль 2023'!$J$4:$J$497,E$1)</f>
        <v>0</v>
      </c>
      <c r="F59" s="207">
        <f>SUMIFS('февраль 2023'!$G$4:$G$497,'февраль 2023'!$D$4:$D$497,$B59,'февраль 2023'!$J$4:$J$497,F$1)</f>
        <v>0</v>
      </c>
      <c r="G59" s="207">
        <f>SUMIFS('февраль 2023'!$G$4:$G$497,'февраль 2023'!$D$4:$D$497,$B59,'февраль 2023'!$J$4:$J$497,G$1)</f>
        <v>0</v>
      </c>
      <c r="H59" s="207">
        <f>SUMIFS('февраль 2023'!$G$4:$G$497,'февраль 2023'!$D$4:$D$497,$B59,'февраль 2023'!$J$4:$J$497,H$1)</f>
        <v>0</v>
      </c>
      <c r="I59" s="207">
        <f>SUMIFS('февраль 2023'!$G$4:$G$497,'февраль 2023'!$D$4:$D$497,$B59,'февраль 2023'!$J$4:$J$497,I$1)</f>
        <v>0</v>
      </c>
      <c r="J59" s="207">
        <f>SUMIFS('февраль 2023'!$G$4:$G$497,'февраль 2023'!$D$4:$D$497,$B59,'февраль 2023'!$J$4:$J$497,J$1)</f>
        <v>0</v>
      </c>
      <c r="K59" s="207">
        <f>SUMIFS('февраль 2023'!$G$4:$G$497,'февраль 2023'!$D$4:$D$497,$B59,'февраль 2023'!$J$4:$J$497,K$1)</f>
        <v>0</v>
      </c>
      <c r="L59" s="207">
        <f>SUMIFS('февраль 2023'!$G$4:$G$497,'февраль 2023'!$D$4:$D$497,$B59,'февраль 2023'!$J$4:$J$497,L$1)</f>
        <v>0</v>
      </c>
      <c r="M59" s="207">
        <f>SUMIFS('февраль 2023'!$G$4:$G$497,'февраль 2023'!$D$4:$D$497,$B59,'февраль 2023'!$J$4:$J$497,M$1)</f>
        <v>0</v>
      </c>
      <c r="N59" s="207">
        <f>SUMIFS('февраль 2023'!$G$4:$G$497,'февраль 2023'!$D$4:$D$497,$B59,'февраль 2023'!$J$4:$J$497,N$1)</f>
        <v>0</v>
      </c>
      <c r="O59" s="207">
        <f>SUMIFS('февраль 2023'!$G$4:$G$497,'февраль 2023'!$D$4:$D$497,$B59,'февраль 2023'!$J$4:$J$497,O$1)</f>
        <v>0</v>
      </c>
      <c r="P59" s="207">
        <f>SUMIFS('февраль 2023'!$G$4:$G$497,'февраль 2023'!$D$4:$D$497,$B59,'февраль 2023'!$J$4:$J$497,P$1)</f>
        <v>0</v>
      </c>
      <c r="Q59" s="207">
        <f>SUMIFS('февраль 2023'!$G$4:$G$497,'февраль 2023'!$D$4:$D$497,$B59,'февраль 2023'!$J$4:$J$497,Q$1)</f>
        <v>0</v>
      </c>
      <c r="R59" s="207">
        <f>SUMIFS('февраль 2023'!$G$4:$G$497,'февраль 2023'!$D$4:$D$497,$B59,'февраль 2023'!$J$4:$J$497,R$1)</f>
        <v>0</v>
      </c>
      <c r="S59" s="207">
        <f>SUMIFS('февраль 2023'!$G$4:$G$497,'февраль 2023'!$D$4:$D$497,$B59,'февраль 2023'!$J$4:$J$497,S$1)</f>
        <v>0</v>
      </c>
      <c r="T59" s="207">
        <f>SUMIFS('февраль 2023'!$G$4:$G$497,'февраль 2023'!$D$4:$D$497,$B59,'февраль 2023'!$J$4:$J$497,T$1)</f>
        <v>0</v>
      </c>
      <c r="U59" s="207">
        <f>SUMIFS('февраль 2023'!$G$4:$G$497,'февраль 2023'!$D$4:$D$497,$B59,'февраль 2023'!$J$4:$J$497,U$1)</f>
        <v>0</v>
      </c>
      <c r="V59" s="207">
        <f>SUMIFS('февраль 2023'!$G$4:$G$497,'февраль 2023'!$D$4:$D$497,$B59,'февраль 2023'!$J$4:$J$497,V$1)</f>
        <v>0</v>
      </c>
      <c r="W59" s="207">
        <f>SUMIFS('февраль 2023'!$G$4:$G$497,'февраль 2023'!$D$4:$D$497,$B59,'февраль 2023'!$J$4:$J$497,W$1)</f>
        <v>0</v>
      </c>
      <c r="X59" s="207">
        <f>SUMIFS('февраль 2023'!$G$4:$G$497,'февраль 2023'!$D$4:$D$497,$B59,'февраль 2023'!$J$4:$J$497,X$1)</f>
        <v>0</v>
      </c>
      <c r="Y59" s="207">
        <f>SUMIFS('февраль 2023'!$G$4:$G$497,'февраль 2023'!$D$4:$D$497,$B59,'февраль 2023'!$J$4:$J$497,Y$1)</f>
        <v>0</v>
      </c>
      <c r="Z59" s="207">
        <f>SUMIFS('февраль 2023'!$G$4:$G$497,'февраль 2023'!$D$4:$D$497,$B59,'февраль 2023'!$J$4:$J$497,Z$1)</f>
        <v>0</v>
      </c>
      <c r="AA59" s="207">
        <f>SUMIFS('февраль 2023'!$G$4:$G$497,'февраль 2023'!$D$4:$D$497,$B59,'февраль 2023'!$J$4:$J$497,AA$1)</f>
        <v>0</v>
      </c>
      <c r="AB59" s="207">
        <f>SUMIFS('февраль 2023'!$G$4:$G$497,'февраль 2023'!$D$4:$D$497,$B59,'февраль 2023'!$J$4:$J$497,AB$1)</f>
        <v>0</v>
      </c>
      <c r="AC59" s="207">
        <f>SUMIFS('февраль 2023'!$G$4:$G$497,'февраль 2023'!$D$4:$D$497,$B59,'февраль 2023'!$J$4:$J$497,AC$1)</f>
        <v>0</v>
      </c>
      <c r="AD59" s="207">
        <f>SUMIFS('февраль 2023'!$G$4:$G$497,'февраль 2023'!$D$4:$D$497,$B59,'февраль 2023'!$J$4:$J$497,AD$1)</f>
        <v>0</v>
      </c>
      <c r="AE59" s="207">
        <f>SUMIFS('февраль 2023'!$G$4:$G$497,'февраль 2023'!$D$4:$D$497,$B59,'февраль 2023'!$J$4:$J$497,AE$1)</f>
        <v>0</v>
      </c>
      <c r="AF59" s="207">
        <f>SUMIFS('февраль 2023'!$G$4:$G$497,'февраль 2023'!$D$4:$D$497,$B59,'февраль 2023'!$J$4:$J$497,AF$1)</f>
        <v>0</v>
      </c>
      <c r="AG59" s="207">
        <f>SUMIFS('февраль 2023'!$G$4:$G$497,'февраль 2023'!$D$4:$D$497,$B59,'февраль 2023'!$J$4:$J$497,AG$1)</f>
        <v>0</v>
      </c>
      <c r="AH59" s="207">
        <f>SUMIFS('февраль 2023'!$G$4:$G$497,'февраль 2023'!$D$4:$D$497,$B59,'февраль 2023'!$J$4:$J$497,AH$1)</f>
        <v>0</v>
      </c>
      <c r="AI59" s="170">
        <f t="shared" si="1"/>
        <v>0</v>
      </c>
    </row>
    <row r="60" spans="2:35" ht="15" customHeight="1" x14ac:dyDescent="0.25">
      <c r="B60" s="216"/>
      <c r="C60" s="213"/>
      <c r="D60" s="207">
        <f>SUMIFS('февраль 2023'!$G$4:$G$497,'февраль 2023'!$D$4:$D$497,$B60,'февраль 2023'!$J$4:$J$497,D$1)</f>
        <v>0</v>
      </c>
      <c r="E60" s="207">
        <f>SUMIFS('февраль 2023'!$G$4:$G$497,'февраль 2023'!$D$4:$D$497,$B60,'февраль 2023'!$J$4:$J$497,E$1)</f>
        <v>0</v>
      </c>
      <c r="F60" s="207">
        <f>SUMIFS('февраль 2023'!$G$4:$G$497,'февраль 2023'!$D$4:$D$497,$B60,'февраль 2023'!$J$4:$J$497,F$1)</f>
        <v>0</v>
      </c>
      <c r="G60" s="207">
        <f>SUMIFS('февраль 2023'!$G$4:$G$497,'февраль 2023'!$D$4:$D$497,$B60,'февраль 2023'!$J$4:$J$497,G$1)</f>
        <v>0</v>
      </c>
      <c r="H60" s="207">
        <f>SUMIFS('февраль 2023'!$G$4:$G$497,'февраль 2023'!$D$4:$D$497,$B60,'февраль 2023'!$J$4:$J$497,H$1)</f>
        <v>0</v>
      </c>
      <c r="I60" s="207">
        <f>SUMIFS('февраль 2023'!$G$4:$G$497,'февраль 2023'!$D$4:$D$497,$B60,'февраль 2023'!$J$4:$J$497,I$1)</f>
        <v>0</v>
      </c>
      <c r="J60" s="207">
        <f>SUMIFS('февраль 2023'!$G$4:$G$497,'февраль 2023'!$D$4:$D$497,$B60,'февраль 2023'!$J$4:$J$497,J$1)</f>
        <v>0</v>
      </c>
      <c r="K60" s="207">
        <f>SUMIFS('февраль 2023'!$G$4:$G$497,'февраль 2023'!$D$4:$D$497,$B60,'февраль 2023'!$J$4:$J$497,K$1)</f>
        <v>0</v>
      </c>
      <c r="L60" s="207">
        <f>SUMIFS('февраль 2023'!$G$4:$G$497,'февраль 2023'!$D$4:$D$497,$B60,'февраль 2023'!$J$4:$J$497,L$1)</f>
        <v>0</v>
      </c>
      <c r="M60" s="207">
        <f>SUMIFS('февраль 2023'!$G$4:$G$497,'февраль 2023'!$D$4:$D$497,$B60,'февраль 2023'!$J$4:$J$497,M$1)</f>
        <v>0</v>
      </c>
      <c r="N60" s="207">
        <f>SUMIFS('февраль 2023'!$G$4:$G$497,'февраль 2023'!$D$4:$D$497,$B60,'февраль 2023'!$J$4:$J$497,N$1)</f>
        <v>0</v>
      </c>
      <c r="O60" s="207">
        <f>SUMIFS('февраль 2023'!$G$4:$G$497,'февраль 2023'!$D$4:$D$497,$B60,'февраль 2023'!$J$4:$J$497,O$1)</f>
        <v>0</v>
      </c>
      <c r="P60" s="207">
        <f>SUMIFS('февраль 2023'!$G$4:$G$497,'февраль 2023'!$D$4:$D$497,$B60,'февраль 2023'!$J$4:$J$497,P$1)</f>
        <v>0</v>
      </c>
      <c r="Q60" s="207">
        <f>SUMIFS('февраль 2023'!$G$4:$G$497,'февраль 2023'!$D$4:$D$497,$B60,'февраль 2023'!$J$4:$J$497,Q$1)</f>
        <v>0</v>
      </c>
      <c r="R60" s="207">
        <f>SUMIFS('февраль 2023'!$G$4:$G$497,'февраль 2023'!$D$4:$D$497,$B60,'февраль 2023'!$J$4:$J$497,R$1)</f>
        <v>0</v>
      </c>
      <c r="S60" s="207">
        <f>SUMIFS('февраль 2023'!$G$4:$G$497,'февраль 2023'!$D$4:$D$497,$B60,'февраль 2023'!$J$4:$J$497,S$1)</f>
        <v>0</v>
      </c>
      <c r="T60" s="207">
        <f>SUMIFS('февраль 2023'!$G$4:$G$497,'февраль 2023'!$D$4:$D$497,$B60,'февраль 2023'!$J$4:$J$497,T$1)</f>
        <v>0</v>
      </c>
      <c r="U60" s="207">
        <f>SUMIFS('февраль 2023'!$G$4:$G$497,'февраль 2023'!$D$4:$D$497,$B60,'февраль 2023'!$J$4:$J$497,U$1)</f>
        <v>0</v>
      </c>
      <c r="V60" s="207">
        <f>SUMIFS('февраль 2023'!$G$4:$G$497,'февраль 2023'!$D$4:$D$497,$B60,'февраль 2023'!$J$4:$J$497,V$1)</f>
        <v>0</v>
      </c>
      <c r="W60" s="207">
        <f>SUMIFS('февраль 2023'!$G$4:$G$497,'февраль 2023'!$D$4:$D$497,$B60,'февраль 2023'!$J$4:$J$497,W$1)</f>
        <v>0</v>
      </c>
      <c r="X60" s="207">
        <f>SUMIFS('февраль 2023'!$G$4:$G$497,'февраль 2023'!$D$4:$D$497,$B60,'февраль 2023'!$J$4:$J$497,X$1)</f>
        <v>0</v>
      </c>
      <c r="Y60" s="207">
        <f>SUMIFS('февраль 2023'!$G$4:$G$497,'февраль 2023'!$D$4:$D$497,$B60,'февраль 2023'!$J$4:$J$497,Y$1)</f>
        <v>0</v>
      </c>
      <c r="Z60" s="207">
        <f>SUMIFS('февраль 2023'!$G$4:$G$497,'февраль 2023'!$D$4:$D$497,$B60,'февраль 2023'!$J$4:$J$497,Z$1)</f>
        <v>0</v>
      </c>
      <c r="AA60" s="207">
        <f>SUMIFS('февраль 2023'!$G$4:$G$497,'февраль 2023'!$D$4:$D$497,$B60,'февраль 2023'!$J$4:$J$497,AA$1)</f>
        <v>0</v>
      </c>
      <c r="AB60" s="207">
        <f>SUMIFS('февраль 2023'!$G$4:$G$497,'февраль 2023'!$D$4:$D$497,$B60,'февраль 2023'!$J$4:$J$497,AB$1)</f>
        <v>0</v>
      </c>
      <c r="AC60" s="207">
        <f>SUMIFS('февраль 2023'!$G$4:$G$497,'февраль 2023'!$D$4:$D$497,$B60,'февраль 2023'!$J$4:$J$497,AC$1)</f>
        <v>0</v>
      </c>
      <c r="AD60" s="207">
        <f>SUMIFS('февраль 2023'!$G$4:$G$497,'февраль 2023'!$D$4:$D$497,$B60,'февраль 2023'!$J$4:$J$497,AD$1)</f>
        <v>0</v>
      </c>
      <c r="AE60" s="207">
        <f>SUMIFS('февраль 2023'!$G$4:$G$497,'февраль 2023'!$D$4:$D$497,$B60,'февраль 2023'!$J$4:$J$497,AE$1)</f>
        <v>0</v>
      </c>
      <c r="AF60" s="207">
        <f>SUMIFS('февраль 2023'!$G$4:$G$497,'февраль 2023'!$D$4:$D$497,$B60,'февраль 2023'!$J$4:$J$497,AF$1)</f>
        <v>0</v>
      </c>
      <c r="AG60" s="207">
        <f>SUMIFS('февраль 2023'!$G$4:$G$497,'февраль 2023'!$D$4:$D$497,$B60,'февраль 2023'!$J$4:$J$497,AG$1)</f>
        <v>0</v>
      </c>
      <c r="AH60" s="207">
        <f>SUMIFS('февраль 2023'!$G$4:$G$497,'февраль 2023'!$D$4:$D$497,$B60,'февраль 2023'!$J$4:$J$497,AH$1)</f>
        <v>0</v>
      </c>
      <c r="AI60" s="170">
        <f t="shared" si="1"/>
        <v>0</v>
      </c>
    </row>
    <row r="61" spans="2:35" ht="15" customHeight="1" x14ac:dyDescent="0.25">
      <c r="B61" s="216"/>
      <c r="C61" s="213"/>
      <c r="D61" s="207">
        <f>SUMIFS('февраль 2023'!$G$4:$G$497,'февраль 2023'!$D$4:$D$497,$B61,'февраль 2023'!$J$4:$J$497,D$1)</f>
        <v>0</v>
      </c>
      <c r="E61" s="207">
        <f>SUMIFS('февраль 2023'!$G$4:$G$497,'февраль 2023'!$D$4:$D$497,$B61,'февраль 2023'!$J$4:$J$497,E$1)</f>
        <v>0</v>
      </c>
      <c r="F61" s="207">
        <f>SUMIFS('февраль 2023'!$G$4:$G$497,'февраль 2023'!$D$4:$D$497,$B61,'февраль 2023'!$J$4:$J$497,F$1)</f>
        <v>0</v>
      </c>
      <c r="G61" s="207">
        <f>SUMIFS('февраль 2023'!$G$4:$G$497,'февраль 2023'!$D$4:$D$497,$B61,'февраль 2023'!$J$4:$J$497,G$1)</f>
        <v>0</v>
      </c>
      <c r="H61" s="207">
        <f>SUMIFS('февраль 2023'!$G$4:$G$497,'февраль 2023'!$D$4:$D$497,$B61,'февраль 2023'!$J$4:$J$497,H$1)</f>
        <v>0</v>
      </c>
      <c r="I61" s="207">
        <f>SUMIFS('февраль 2023'!$G$4:$G$497,'февраль 2023'!$D$4:$D$497,$B61,'февраль 2023'!$J$4:$J$497,I$1)</f>
        <v>0</v>
      </c>
      <c r="J61" s="207">
        <f>SUMIFS('февраль 2023'!$G$4:$G$497,'февраль 2023'!$D$4:$D$497,$B61,'февраль 2023'!$J$4:$J$497,J$1)</f>
        <v>0</v>
      </c>
      <c r="K61" s="207">
        <f>SUMIFS('февраль 2023'!$G$4:$G$497,'февраль 2023'!$D$4:$D$497,$B61,'февраль 2023'!$J$4:$J$497,K$1)</f>
        <v>0</v>
      </c>
      <c r="L61" s="207">
        <f>SUMIFS('февраль 2023'!$G$4:$G$497,'февраль 2023'!$D$4:$D$497,$B61,'февраль 2023'!$J$4:$J$497,L$1)</f>
        <v>0</v>
      </c>
      <c r="M61" s="207">
        <f>SUMIFS('февраль 2023'!$G$4:$G$497,'февраль 2023'!$D$4:$D$497,$B61,'февраль 2023'!$J$4:$J$497,M$1)</f>
        <v>0</v>
      </c>
      <c r="N61" s="207">
        <f>SUMIFS('февраль 2023'!$G$4:$G$497,'февраль 2023'!$D$4:$D$497,$B61,'февраль 2023'!$J$4:$J$497,N$1)</f>
        <v>0</v>
      </c>
      <c r="O61" s="207">
        <f>SUMIFS('февраль 2023'!$G$4:$G$497,'февраль 2023'!$D$4:$D$497,$B61,'февраль 2023'!$J$4:$J$497,O$1)</f>
        <v>0</v>
      </c>
      <c r="P61" s="207">
        <f>SUMIFS('февраль 2023'!$G$4:$G$497,'февраль 2023'!$D$4:$D$497,$B61,'февраль 2023'!$J$4:$J$497,P$1)</f>
        <v>0</v>
      </c>
      <c r="Q61" s="207">
        <f>SUMIFS('февраль 2023'!$G$4:$G$497,'февраль 2023'!$D$4:$D$497,$B61,'февраль 2023'!$J$4:$J$497,Q$1)</f>
        <v>0</v>
      </c>
      <c r="R61" s="207">
        <f>SUMIFS('февраль 2023'!$G$4:$G$497,'февраль 2023'!$D$4:$D$497,$B61,'февраль 2023'!$J$4:$J$497,R$1)</f>
        <v>0</v>
      </c>
      <c r="S61" s="207">
        <f>SUMIFS('февраль 2023'!$G$4:$G$497,'февраль 2023'!$D$4:$D$497,$B61,'февраль 2023'!$J$4:$J$497,S$1)</f>
        <v>0</v>
      </c>
      <c r="T61" s="207">
        <f>SUMIFS('февраль 2023'!$G$4:$G$497,'февраль 2023'!$D$4:$D$497,$B61,'февраль 2023'!$J$4:$J$497,T$1)</f>
        <v>0</v>
      </c>
      <c r="U61" s="207">
        <f>SUMIFS('февраль 2023'!$G$4:$G$497,'февраль 2023'!$D$4:$D$497,$B61,'февраль 2023'!$J$4:$J$497,U$1)</f>
        <v>0</v>
      </c>
      <c r="V61" s="207">
        <f>SUMIFS('февраль 2023'!$G$4:$G$497,'февраль 2023'!$D$4:$D$497,$B61,'февраль 2023'!$J$4:$J$497,V$1)</f>
        <v>0</v>
      </c>
      <c r="W61" s="207">
        <f>SUMIFS('февраль 2023'!$G$4:$G$497,'февраль 2023'!$D$4:$D$497,$B61,'февраль 2023'!$J$4:$J$497,W$1)</f>
        <v>0</v>
      </c>
      <c r="X61" s="207">
        <f>SUMIFS('февраль 2023'!$G$4:$G$497,'февраль 2023'!$D$4:$D$497,$B61,'февраль 2023'!$J$4:$J$497,X$1)</f>
        <v>0</v>
      </c>
      <c r="Y61" s="207">
        <f>SUMIFS('февраль 2023'!$G$4:$G$497,'февраль 2023'!$D$4:$D$497,$B61,'февраль 2023'!$J$4:$J$497,Y$1)</f>
        <v>0</v>
      </c>
      <c r="Z61" s="207">
        <f>SUMIFS('февраль 2023'!$G$4:$G$497,'февраль 2023'!$D$4:$D$497,$B61,'февраль 2023'!$J$4:$J$497,Z$1)</f>
        <v>0</v>
      </c>
      <c r="AA61" s="207">
        <f>SUMIFS('февраль 2023'!$G$4:$G$497,'февраль 2023'!$D$4:$D$497,$B61,'февраль 2023'!$J$4:$J$497,AA$1)</f>
        <v>0</v>
      </c>
      <c r="AB61" s="207">
        <f>SUMIFS('февраль 2023'!$G$4:$G$497,'февраль 2023'!$D$4:$D$497,$B61,'февраль 2023'!$J$4:$J$497,AB$1)</f>
        <v>0</v>
      </c>
      <c r="AC61" s="207">
        <f>SUMIFS('февраль 2023'!$G$4:$G$497,'февраль 2023'!$D$4:$D$497,$B61,'февраль 2023'!$J$4:$J$497,AC$1)</f>
        <v>0</v>
      </c>
      <c r="AD61" s="207">
        <f>SUMIFS('февраль 2023'!$G$4:$G$497,'февраль 2023'!$D$4:$D$497,$B61,'февраль 2023'!$J$4:$J$497,AD$1)</f>
        <v>0</v>
      </c>
      <c r="AE61" s="207">
        <f>SUMIFS('февраль 2023'!$G$4:$G$497,'февраль 2023'!$D$4:$D$497,$B61,'февраль 2023'!$J$4:$J$497,AE$1)</f>
        <v>0</v>
      </c>
      <c r="AF61" s="207">
        <f>SUMIFS('февраль 2023'!$G$4:$G$497,'февраль 2023'!$D$4:$D$497,$B61,'февраль 2023'!$J$4:$J$497,AF$1)</f>
        <v>0</v>
      </c>
      <c r="AG61" s="207">
        <f>SUMIFS('февраль 2023'!$G$4:$G$497,'февраль 2023'!$D$4:$D$497,$B61,'февраль 2023'!$J$4:$J$497,AG$1)</f>
        <v>0</v>
      </c>
      <c r="AH61" s="207">
        <f>SUMIFS('февраль 2023'!$G$4:$G$497,'февраль 2023'!$D$4:$D$497,$B61,'февраль 2023'!$J$4:$J$497,AH$1)</f>
        <v>0</v>
      </c>
      <c r="AI61" s="170">
        <f t="shared" si="1"/>
        <v>0</v>
      </c>
    </row>
    <row r="62" spans="2:35" ht="15" customHeight="1" x14ac:dyDescent="0.25">
      <c r="B62" s="216" t="s">
        <v>1800</v>
      </c>
      <c r="C62" s="213">
        <v>900</v>
      </c>
      <c r="D62" s="207">
        <f>SUMIFS('февраль 2023'!$G$4:$G$497,'февраль 2023'!$D$4:$D$497,$B62,'февраль 2023'!$J$4:$J$497,D$1)</f>
        <v>0</v>
      </c>
      <c r="E62" s="207">
        <f>SUMIFS('февраль 2023'!$G$4:$G$497,'февраль 2023'!$D$4:$D$497,$B62,'февраль 2023'!$J$4:$J$497,E$1)</f>
        <v>21</v>
      </c>
      <c r="F62" s="207">
        <f>SUMIFS('февраль 2023'!$G$4:$G$497,'февраль 2023'!$D$4:$D$497,$B62,'февраль 2023'!$J$4:$J$497,F$1)</f>
        <v>0</v>
      </c>
      <c r="G62" s="207">
        <f>SUMIFS('февраль 2023'!$G$4:$G$497,'февраль 2023'!$D$4:$D$497,$B62,'февраль 2023'!$J$4:$J$497,G$1)</f>
        <v>0</v>
      </c>
      <c r="H62" s="207">
        <f>SUMIFS('февраль 2023'!$G$4:$G$497,'февраль 2023'!$D$4:$D$497,$B62,'февраль 2023'!$J$4:$J$497,H$1)</f>
        <v>0</v>
      </c>
      <c r="I62" s="207">
        <f>SUMIFS('февраль 2023'!$G$4:$G$497,'февраль 2023'!$D$4:$D$497,$B62,'февраль 2023'!$J$4:$J$497,I$1)</f>
        <v>0</v>
      </c>
      <c r="J62" s="207">
        <f>SUMIFS('февраль 2023'!$G$4:$G$497,'февраль 2023'!$D$4:$D$497,$B62,'февраль 2023'!$J$4:$J$497,J$1)</f>
        <v>0</v>
      </c>
      <c r="K62" s="207">
        <f>SUMIFS('февраль 2023'!$G$4:$G$497,'февраль 2023'!$D$4:$D$497,$B62,'февраль 2023'!$J$4:$J$497,K$1)</f>
        <v>17</v>
      </c>
      <c r="L62" s="207">
        <f>SUMIFS('февраль 2023'!$G$4:$G$497,'февраль 2023'!$D$4:$D$497,$B62,'февраль 2023'!$J$4:$J$497,L$1)</f>
        <v>0</v>
      </c>
      <c r="M62" s="207">
        <f>SUMIFS('февраль 2023'!$G$4:$G$497,'февраль 2023'!$D$4:$D$497,$B62,'февраль 2023'!$J$4:$J$497,M$1)</f>
        <v>0</v>
      </c>
      <c r="N62" s="207">
        <f>SUMIFS('февраль 2023'!$G$4:$G$497,'февраль 2023'!$D$4:$D$497,$B62,'февраль 2023'!$J$4:$J$497,N$1)</f>
        <v>0</v>
      </c>
      <c r="O62" s="207">
        <f>SUMIFS('февраль 2023'!$G$4:$G$497,'февраль 2023'!$D$4:$D$497,$B62,'февраль 2023'!$J$4:$J$497,O$1)</f>
        <v>0</v>
      </c>
      <c r="P62" s="207">
        <f>SUMIFS('февраль 2023'!$G$4:$G$497,'февраль 2023'!$D$4:$D$497,$B62,'февраль 2023'!$J$4:$J$497,P$1)</f>
        <v>0</v>
      </c>
      <c r="Q62" s="207">
        <f>SUMIFS('февраль 2023'!$G$4:$G$497,'февраль 2023'!$D$4:$D$497,$B62,'февраль 2023'!$J$4:$J$497,Q$1)</f>
        <v>0</v>
      </c>
      <c r="R62" s="207">
        <f>SUMIFS('февраль 2023'!$G$4:$G$497,'февраль 2023'!$D$4:$D$497,$B62,'февраль 2023'!$J$4:$J$497,R$1)</f>
        <v>0</v>
      </c>
      <c r="S62" s="207">
        <f>SUMIFS('февраль 2023'!$G$4:$G$497,'февраль 2023'!$D$4:$D$497,$B62,'февраль 2023'!$J$4:$J$497,S$1)</f>
        <v>0</v>
      </c>
      <c r="T62" s="207">
        <f>SUMIFS('февраль 2023'!$G$4:$G$497,'февраль 2023'!$D$4:$D$497,$B62,'февраль 2023'!$J$4:$J$497,T$1)</f>
        <v>0</v>
      </c>
      <c r="U62" s="207">
        <f>SUMIFS('февраль 2023'!$G$4:$G$497,'февраль 2023'!$D$4:$D$497,$B62,'февраль 2023'!$J$4:$J$497,U$1)</f>
        <v>0</v>
      </c>
      <c r="V62" s="207">
        <f>SUMIFS('февраль 2023'!$G$4:$G$497,'февраль 2023'!$D$4:$D$497,$B62,'февраль 2023'!$J$4:$J$497,V$1)</f>
        <v>0</v>
      </c>
      <c r="W62" s="207">
        <f>SUMIFS('февраль 2023'!$G$4:$G$497,'февраль 2023'!$D$4:$D$497,$B62,'февраль 2023'!$J$4:$J$497,W$1)</f>
        <v>0</v>
      </c>
      <c r="X62" s="207">
        <f>SUMIFS('февраль 2023'!$G$4:$G$497,'февраль 2023'!$D$4:$D$497,$B62,'февраль 2023'!$J$4:$J$497,X$1)</f>
        <v>0</v>
      </c>
      <c r="Y62" s="207">
        <f>SUMIFS('февраль 2023'!$G$4:$G$497,'февраль 2023'!$D$4:$D$497,$B62,'февраль 2023'!$J$4:$J$497,Y$1)</f>
        <v>0</v>
      </c>
      <c r="Z62" s="207">
        <f>SUMIFS('февраль 2023'!$G$4:$G$497,'февраль 2023'!$D$4:$D$497,$B62,'февраль 2023'!$J$4:$J$497,Z$1)</f>
        <v>0</v>
      </c>
      <c r="AA62" s="207">
        <f>SUMIFS('февраль 2023'!$G$4:$G$497,'февраль 2023'!$D$4:$D$497,$B62,'февраль 2023'!$J$4:$J$497,AA$1)</f>
        <v>0</v>
      </c>
      <c r="AB62" s="207">
        <f>SUMIFS('февраль 2023'!$G$4:$G$497,'февраль 2023'!$D$4:$D$497,$B62,'февраль 2023'!$J$4:$J$497,AB$1)</f>
        <v>0</v>
      </c>
      <c r="AC62" s="207">
        <f>SUMIFS('февраль 2023'!$G$4:$G$497,'февраль 2023'!$D$4:$D$497,$B62,'февраль 2023'!$J$4:$J$497,AC$1)</f>
        <v>0</v>
      </c>
      <c r="AD62" s="207">
        <f>SUMIFS('февраль 2023'!$G$4:$G$497,'февраль 2023'!$D$4:$D$497,$B62,'февраль 2023'!$J$4:$J$497,AD$1)</f>
        <v>0</v>
      </c>
      <c r="AE62" s="207">
        <f>SUMIFS('февраль 2023'!$G$4:$G$497,'февраль 2023'!$D$4:$D$497,$B62,'февраль 2023'!$J$4:$J$497,AE$1)</f>
        <v>0</v>
      </c>
      <c r="AF62" s="207">
        <f>SUMIFS('февраль 2023'!$G$4:$G$497,'февраль 2023'!$D$4:$D$497,$B62,'февраль 2023'!$J$4:$J$497,AF$1)</f>
        <v>0</v>
      </c>
      <c r="AG62" s="207">
        <f>SUMIFS('февраль 2023'!$G$4:$G$497,'февраль 2023'!$D$4:$D$497,$B62,'февраль 2023'!$J$4:$J$497,AG$1)</f>
        <v>0</v>
      </c>
      <c r="AH62" s="207">
        <f>SUMIFS('февраль 2023'!$G$4:$G$497,'февраль 2023'!$D$4:$D$497,$B62,'февраль 2023'!$J$4:$J$497,AH$1)</f>
        <v>0</v>
      </c>
      <c r="AI62" s="170">
        <f t="shared" si="1"/>
        <v>38</v>
      </c>
    </row>
    <row r="63" spans="2:35" ht="15" customHeight="1" x14ac:dyDescent="0.25">
      <c r="B63" s="216" t="s">
        <v>1707</v>
      </c>
      <c r="C63" s="213">
        <v>190</v>
      </c>
      <c r="D63" s="207">
        <f>SUMIFS('февраль 2023'!$G$4:$G$497,'февраль 2023'!$D$4:$D$497,$B63,'февраль 2023'!$J$4:$J$497,D$1)</f>
        <v>0</v>
      </c>
      <c r="E63" s="207">
        <f>SUMIFS('февраль 2023'!$G$4:$G$497,'февраль 2023'!$D$4:$D$497,$B63,'февраль 2023'!$J$4:$J$497,E$1)</f>
        <v>0</v>
      </c>
      <c r="F63" s="207">
        <f>SUMIFS('февраль 2023'!$G$4:$G$497,'февраль 2023'!$D$4:$D$497,$B63,'февраль 2023'!$J$4:$J$497,F$1)</f>
        <v>0</v>
      </c>
      <c r="G63" s="207">
        <f>SUMIFS('февраль 2023'!$G$4:$G$497,'февраль 2023'!$D$4:$D$497,$B63,'февраль 2023'!$J$4:$J$497,G$1)</f>
        <v>0</v>
      </c>
      <c r="H63" s="207">
        <f>SUMIFS('февраль 2023'!$G$4:$G$497,'февраль 2023'!$D$4:$D$497,$B63,'февраль 2023'!$J$4:$J$497,H$1)</f>
        <v>0</v>
      </c>
      <c r="I63" s="207">
        <f>SUMIFS('февраль 2023'!$G$4:$G$497,'февраль 2023'!$D$4:$D$497,$B63,'февраль 2023'!$J$4:$J$497,I$1)</f>
        <v>0</v>
      </c>
      <c r="J63" s="207">
        <f>SUMIFS('февраль 2023'!$G$4:$G$497,'февраль 2023'!$D$4:$D$497,$B63,'февраль 2023'!$J$4:$J$497,J$1)</f>
        <v>0</v>
      </c>
      <c r="K63" s="207">
        <f>SUMIFS('февраль 2023'!$G$4:$G$497,'февраль 2023'!$D$4:$D$497,$B63,'февраль 2023'!$J$4:$J$497,K$1)</f>
        <v>0</v>
      </c>
      <c r="L63" s="207">
        <f>SUMIFS('февраль 2023'!$G$4:$G$497,'февраль 2023'!$D$4:$D$497,$B63,'февраль 2023'!$J$4:$J$497,L$1)</f>
        <v>0</v>
      </c>
      <c r="M63" s="207">
        <f>SUMIFS('февраль 2023'!$G$4:$G$497,'февраль 2023'!$D$4:$D$497,$B63,'февраль 2023'!$J$4:$J$497,M$1)</f>
        <v>0</v>
      </c>
      <c r="N63" s="207">
        <f>SUMIFS('февраль 2023'!$G$4:$G$497,'февраль 2023'!$D$4:$D$497,$B63,'февраль 2023'!$J$4:$J$497,N$1)</f>
        <v>0</v>
      </c>
      <c r="O63" s="207">
        <f>SUMIFS('февраль 2023'!$G$4:$G$497,'февраль 2023'!$D$4:$D$497,$B63,'февраль 2023'!$J$4:$J$497,O$1)</f>
        <v>0</v>
      </c>
      <c r="P63" s="207">
        <f>SUMIFS('февраль 2023'!$G$4:$G$497,'февраль 2023'!$D$4:$D$497,$B63,'февраль 2023'!$J$4:$J$497,P$1)</f>
        <v>0</v>
      </c>
      <c r="Q63" s="207">
        <f>SUMIFS('февраль 2023'!$G$4:$G$497,'февраль 2023'!$D$4:$D$497,$B63,'февраль 2023'!$J$4:$J$497,Q$1)</f>
        <v>0</v>
      </c>
      <c r="R63" s="207">
        <f>SUMIFS('февраль 2023'!$G$4:$G$497,'февраль 2023'!$D$4:$D$497,$B63,'февраль 2023'!$J$4:$J$497,R$1)</f>
        <v>0</v>
      </c>
      <c r="S63" s="207">
        <f>SUMIFS('февраль 2023'!$G$4:$G$497,'февраль 2023'!$D$4:$D$497,$B63,'февраль 2023'!$J$4:$J$497,S$1)</f>
        <v>0</v>
      </c>
      <c r="T63" s="207">
        <f>SUMIFS('февраль 2023'!$G$4:$G$497,'февраль 2023'!$D$4:$D$497,$B63,'февраль 2023'!$J$4:$J$497,T$1)</f>
        <v>0</v>
      </c>
      <c r="U63" s="207">
        <f>SUMIFS('февраль 2023'!$G$4:$G$497,'февраль 2023'!$D$4:$D$497,$B63,'февраль 2023'!$J$4:$J$497,U$1)</f>
        <v>0</v>
      </c>
      <c r="V63" s="207">
        <f>SUMIFS('февраль 2023'!$G$4:$G$497,'февраль 2023'!$D$4:$D$497,$B63,'февраль 2023'!$J$4:$J$497,V$1)</f>
        <v>0</v>
      </c>
      <c r="W63" s="207">
        <f>SUMIFS('февраль 2023'!$G$4:$G$497,'февраль 2023'!$D$4:$D$497,$B63,'февраль 2023'!$J$4:$J$497,W$1)</f>
        <v>0</v>
      </c>
      <c r="X63" s="207">
        <f>SUMIFS('февраль 2023'!$G$4:$G$497,'февраль 2023'!$D$4:$D$497,$B63,'февраль 2023'!$J$4:$J$497,X$1)</f>
        <v>0</v>
      </c>
      <c r="Y63" s="207">
        <f>SUMIFS('февраль 2023'!$G$4:$G$497,'февраль 2023'!$D$4:$D$497,$B63,'февраль 2023'!$J$4:$J$497,Y$1)</f>
        <v>0</v>
      </c>
      <c r="Z63" s="207">
        <f>SUMIFS('февраль 2023'!$G$4:$G$497,'февраль 2023'!$D$4:$D$497,$B63,'февраль 2023'!$J$4:$J$497,Z$1)</f>
        <v>0</v>
      </c>
      <c r="AA63" s="207">
        <f>SUMIFS('февраль 2023'!$G$4:$G$497,'февраль 2023'!$D$4:$D$497,$B63,'февраль 2023'!$J$4:$J$497,AA$1)</f>
        <v>0</v>
      </c>
      <c r="AB63" s="207">
        <f>SUMIFS('февраль 2023'!$G$4:$G$497,'февраль 2023'!$D$4:$D$497,$B63,'февраль 2023'!$J$4:$J$497,AB$1)</f>
        <v>0</v>
      </c>
      <c r="AC63" s="207">
        <f>SUMIFS('февраль 2023'!$G$4:$G$497,'февраль 2023'!$D$4:$D$497,$B63,'февраль 2023'!$J$4:$J$497,AC$1)</f>
        <v>0</v>
      </c>
      <c r="AD63" s="207">
        <f>SUMIFS('февраль 2023'!$G$4:$G$497,'февраль 2023'!$D$4:$D$497,$B63,'февраль 2023'!$J$4:$J$497,AD$1)</f>
        <v>0</v>
      </c>
      <c r="AE63" s="207">
        <f>SUMIFS('февраль 2023'!$G$4:$G$497,'февраль 2023'!$D$4:$D$497,$B63,'февраль 2023'!$J$4:$J$497,AE$1)</f>
        <v>0</v>
      </c>
      <c r="AF63" s="207">
        <f>SUMIFS('февраль 2023'!$G$4:$G$497,'февраль 2023'!$D$4:$D$497,$B63,'февраль 2023'!$J$4:$J$497,AF$1)</f>
        <v>0</v>
      </c>
      <c r="AG63" s="207">
        <f>SUMIFS('февраль 2023'!$G$4:$G$497,'февраль 2023'!$D$4:$D$497,$B63,'февраль 2023'!$J$4:$J$497,AG$1)</f>
        <v>0</v>
      </c>
      <c r="AH63" s="207">
        <f>SUMIFS('февраль 2023'!$G$4:$G$497,'февраль 2023'!$D$4:$D$497,$B63,'февраль 2023'!$J$4:$J$497,AH$1)</f>
        <v>0</v>
      </c>
      <c r="AI63" s="170">
        <f t="shared" si="1"/>
        <v>0</v>
      </c>
    </row>
    <row r="64" spans="2:35" ht="15" customHeight="1" x14ac:dyDescent="0.25">
      <c r="B64" s="216" t="s">
        <v>2216</v>
      </c>
      <c r="C64" s="213">
        <v>190</v>
      </c>
      <c r="D64" s="207">
        <f>SUMIFS('февраль 2023'!$G$4:$G$497,'февраль 2023'!$D$4:$D$497,$B64,'февраль 2023'!$J$4:$J$497,D$1)</f>
        <v>0</v>
      </c>
      <c r="E64" s="207">
        <f>SUMIFS('февраль 2023'!$G$4:$G$497,'февраль 2023'!$D$4:$D$497,$B64,'февраль 2023'!$J$4:$J$497,E$1)</f>
        <v>0</v>
      </c>
      <c r="F64" s="207">
        <f>SUMIFS('февраль 2023'!$G$4:$G$497,'февраль 2023'!$D$4:$D$497,$B64,'февраль 2023'!$J$4:$J$497,F$1)</f>
        <v>0</v>
      </c>
      <c r="G64" s="207">
        <f>SUMIFS('февраль 2023'!$G$4:$G$497,'февраль 2023'!$D$4:$D$497,$B64,'февраль 2023'!$J$4:$J$497,G$1)</f>
        <v>0</v>
      </c>
      <c r="H64" s="207">
        <f>SUMIFS('февраль 2023'!$G$4:$G$497,'февраль 2023'!$D$4:$D$497,$B64,'февраль 2023'!$J$4:$J$497,H$1)</f>
        <v>0</v>
      </c>
      <c r="I64" s="207">
        <f>SUMIFS('февраль 2023'!$G$4:$G$497,'февраль 2023'!$D$4:$D$497,$B64,'февраль 2023'!$J$4:$J$497,I$1)</f>
        <v>0</v>
      </c>
      <c r="J64" s="207">
        <f>SUMIFS('февраль 2023'!$G$4:$G$497,'февраль 2023'!$D$4:$D$497,$B64,'февраль 2023'!$J$4:$J$497,J$1)</f>
        <v>0</v>
      </c>
      <c r="K64" s="207">
        <f>SUMIFS('февраль 2023'!$G$4:$G$497,'февраль 2023'!$D$4:$D$497,$B64,'февраль 2023'!$J$4:$J$497,K$1)</f>
        <v>0</v>
      </c>
      <c r="L64" s="207">
        <f>SUMIFS('февраль 2023'!$G$4:$G$497,'февраль 2023'!$D$4:$D$497,$B64,'февраль 2023'!$J$4:$J$497,L$1)</f>
        <v>0</v>
      </c>
      <c r="M64" s="207">
        <f>SUMIFS('февраль 2023'!$G$4:$G$497,'февраль 2023'!$D$4:$D$497,$B64,'февраль 2023'!$J$4:$J$497,M$1)</f>
        <v>0</v>
      </c>
      <c r="N64" s="207">
        <f>SUMIFS('февраль 2023'!$G$4:$G$497,'февраль 2023'!$D$4:$D$497,$B64,'февраль 2023'!$J$4:$J$497,N$1)</f>
        <v>0</v>
      </c>
      <c r="O64" s="207">
        <f>SUMIFS('февраль 2023'!$G$4:$G$497,'февраль 2023'!$D$4:$D$497,$B64,'февраль 2023'!$J$4:$J$497,O$1)</f>
        <v>0</v>
      </c>
      <c r="P64" s="207">
        <f>SUMIFS('февраль 2023'!$G$4:$G$497,'февраль 2023'!$D$4:$D$497,$B64,'февраль 2023'!$J$4:$J$497,P$1)</f>
        <v>0</v>
      </c>
      <c r="Q64" s="207">
        <f>SUMIFS('февраль 2023'!$G$4:$G$497,'февраль 2023'!$D$4:$D$497,$B64,'февраль 2023'!$J$4:$J$497,Q$1)</f>
        <v>0</v>
      </c>
      <c r="R64" s="207">
        <f>SUMIFS('февраль 2023'!$G$4:$G$497,'февраль 2023'!$D$4:$D$497,$B64,'февраль 2023'!$J$4:$J$497,R$1)</f>
        <v>0</v>
      </c>
      <c r="S64" s="207">
        <f>SUMIFS('февраль 2023'!$G$4:$G$497,'февраль 2023'!$D$4:$D$497,$B64,'февраль 2023'!$J$4:$J$497,S$1)</f>
        <v>0</v>
      </c>
      <c r="T64" s="207">
        <f>SUMIFS('февраль 2023'!$G$4:$G$497,'февраль 2023'!$D$4:$D$497,$B64,'февраль 2023'!$J$4:$J$497,T$1)</f>
        <v>0</v>
      </c>
      <c r="U64" s="207">
        <f>SUMIFS('февраль 2023'!$G$4:$G$497,'февраль 2023'!$D$4:$D$497,$B64,'февраль 2023'!$J$4:$J$497,U$1)</f>
        <v>0</v>
      </c>
      <c r="V64" s="207">
        <f>SUMIFS('февраль 2023'!$G$4:$G$497,'февраль 2023'!$D$4:$D$497,$B64,'февраль 2023'!$J$4:$J$497,V$1)</f>
        <v>0</v>
      </c>
      <c r="W64" s="207">
        <f>SUMIFS('февраль 2023'!$G$4:$G$497,'февраль 2023'!$D$4:$D$497,$B64,'февраль 2023'!$J$4:$J$497,W$1)</f>
        <v>0</v>
      </c>
      <c r="X64" s="207">
        <f>SUMIFS('февраль 2023'!$G$4:$G$497,'февраль 2023'!$D$4:$D$497,$B64,'февраль 2023'!$J$4:$J$497,X$1)</f>
        <v>0</v>
      </c>
      <c r="Y64" s="207">
        <f>SUMIFS('февраль 2023'!$G$4:$G$497,'февраль 2023'!$D$4:$D$497,$B64,'февраль 2023'!$J$4:$J$497,Y$1)</f>
        <v>0</v>
      </c>
      <c r="Z64" s="207">
        <f>SUMIFS('февраль 2023'!$G$4:$G$497,'февраль 2023'!$D$4:$D$497,$B64,'февраль 2023'!$J$4:$J$497,Z$1)</f>
        <v>0</v>
      </c>
      <c r="AA64" s="207">
        <f>SUMIFS('февраль 2023'!$G$4:$G$497,'февраль 2023'!$D$4:$D$497,$B64,'февраль 2023'!$J$4:$J$497,AA$1)</f>
        <v>0</v>
      </c>
      <c r="AB64" s="207">
        <f>SUMIFS('февраль 2023'!$G$4:$G$497,'февраль 2023'!$D$4:$D$497,$B64,'февраль 2023'!$J$4:$J$497,AB$1)</f>
        <v>0</v>
      </c>
      <c r="AC64" s="207">
        <f>SUMIFS('февраль 2023'!$G$4:$G$497,'февраль 2023'!$D$4:$D$497,$B64,'февраль 2023'!$J$4:$J$497,AC$1)</f>
        <v>0</v>
      </c>
      <c r="AD64" s="207">
        <f>SUMIFS('февраль 2023'!$G$4:$G$497,'февраль 2023'!$D$4:$D$497,$B64,'февраль 2023'!$J$4:$J$497,AD$1)</f>
        <v>0</v>
      </c>
      <c r="AE64" s="207">
        <f>SUMIFS('февраль 2023'!$G$4:$G$497,'февраль 2023'!$D$4:$D$497,$B64,'февраль 2023'!$J$4:$J$497,AE$1)</f>
        <v>0</v>
      </c>
      <c r="AF64" s="207">
        <f>SUMIFS('февраль 2023'!$G$4:$G$497,'февраль 2023'!$D$4:$D$497,$B64,'февраль 2023'!$J$4:$J$497,AF$1)</f>
        <v>0</v>
      </c>
      <c r="AG64" s="207">
        <f>SUMIFS('февраль 2023'!$G$4:$G$497,'февраль 2023'!$D$4:$D$497,$B64,'февраль 2023'!$J$4:$J$497,AG$1)</f>
        <v>0</v>
      </c>
      <c r="AH64" s="207">
        <f>SUMIFS('февраль 2023'!$G$4:$G$497,'февраль 2023'!$D$4:$D$497,$B64,'февраль 2023'!$J$4:$J$497,AH$1)</f>
        <v>0</v>
      </c>
      <c r="AI64" s="170">
        <f t="shared" si="1"/>
        <v>0</v>
      </c>
    </row>
    <row r="65" spans="2:35" ht="15" customHeight="1" x14ac:dyDescent="0.25">
      <c r="B65" s="216" t="s">
        <v>1498</v>
      </c>
      <c r="C65" s="213">
        <v>190</v>
      </c>
      <c r="D65" s="207">
        <f>SUMIFS('февраль 2023'!$G$4:$G$497,'февраль 2023'!$D$4:$D$497,$B65,'февраль 2023'!$J$4:$J$497,D$1)</f>
        <v>0</v>
      </c>
      <c r="E65" s="207">
        <f>SUMIFS('февраль 2023'!$G$4:$G$497,'февраль 2023'!$D$4:$D$497,$B65,'февраль 2023'!$J$4:$J$497,E$1)</f>
        <v>88</v>
      </c>
      <c r="F65" s="207">
        <f>SUMIFS('февраль 2023'!$G$4:$G$497,'февраль 2023'!$D$4:$D$497,$B65,'февраль 2023'!$J$4:$J$497,F$1)</f>
        <v>0</v>
      </c>
      <c r="G65" s="207">
        <f>SUMIFS('февраль 2023'!$G$4:$G$497,'февраль 2023'!$D$4:$D$497,$B65,'февраль 2023'!$J$4:$J$497,G$1)</f>
        <v>0</v>
      </c>
      <c r="H65" s="207">
        <f>SUMIFS('февраль 2023'!$G$4:$G$497,'февраль 2023'!$D$4:$D$497,$B65,'февраль 2023'!$J$4:$J$497,H$1)</f>
        <v>0</v>
      </c>
      <c r="I65" s="207">
        <f>SUMIFS('февраль 2023'!$G$4:$G$497,'февраль 2023'!$D$4:$D$497,$B65,'февраль 2023'!$J$4:$J$497,I$1)</f>
        <v>0</v>
      </c>
      <c r="J65" s="207">
        <f>SUMIFS('февраль 2023'!$G$4:$G$497,'февраль 2023'!$D$4:$D$497,$B65,'февраль 2023'!$J$4:$J$497,J$1)</f>
        <v>0</v>
      </c>
      <c r="K65" s="207">
        <f>SUMIFS('февраль 2023'!$G$4:$G$497,'февраль 2023'!$D$4:$D$497,$B65,'февраль 2023'!$J$4:$J$497,K$1)</f>
        <v>0</v>
      </c>
      <c r="L65" s="207">
        <f>SUMIFS('февраль 2023'!$G$4:$G$497,'февраль 2023'!$D$4:$D$497,$B65,'февраль 2023'!$J$4:$J$497,L$1)</f>
        <v>0</v>
      </c>
      <c r="M65" s="207">
        <f>SUMIFS('февраль 2023'!$G$4:$G$497,'февраль 2023'!$D$4:$D$497,$B65,'февраль 2023'!$J$4:$J$497,M$1)</f>
        <v>0</v>
      </c>
      <c r="N65" s="207">
        <f>SUMIFS('февраль 2023'!$G$4:$G$497,'февраль 2023'!$D$4:$D$497,$B65,'февраль 2023'!$J$4:$J$497,N$1)</f>
        <v>88</v>
      </c>
      <c r="O65" s="207">
        <f>SUMIFS('февраль 2023'!$G$4:$G$497,'февраль 2023'!$D$4:$D$497,$B65,'февраль 2023'!$J$4:$J$497,O$1)</f>
        <v>0</v>
      </c>
      <c r="P65" s="207">
        <f>SUMIFS('февраль 2023'!$G$4:$G$497,'февраль 2023'!$D$4:$D$497,$B65,'февраль 2023'!$J$4:$J$497,P$1)</f>
        <v>0</v>
      </c>
      <c r="Q65" s="207">
        <f>SUMIFS('февраль 2023'!$G$4:$G$497,'февраль 2023'!$D$4:$D$497,$B65,'февраль 2023'!$J$4:$J$497,Q$1)</f>
        <v>0</v>
      </c>
      <c r="R65" s="207">
        <f>SUMIFS('февраль 2023'!$G$4:$G$497,'февраль 2023'!$D$4:$D$497,$B65,'февраль 2023'!$J$4:$J$497,R$1)</f>
        <v>88</v>
      </c>
      <c r="S65" s="207">
        <f>SUMIFS('февраль 2023'!$G$4:$G$497,'февраль 2023'!$D$4:$D$497,$B65,'февраль 2023'!$J$4:$J$497,S$1)</f>
        <v>0</v>
      </c>
      <c r="T65" s="207">
        <f>SUMIFS('февраль 2023'!$G$4:$G$497,'февраль 2023'!$D$4:$D$497,$B65,'февраль 2023'!$J$4:$J$497,T$1)</f>
        <v>88</v>
      </c>
      <c r="U65" s="207">
        <f>SUMIFS('февраль 2023'!$G$4:$G$497,'февраль 2023'!$D$4:$D$497,$B65,'февраль 2023'!$J$4:$J$497,U$1)</f>
        <v>0</v>
      </c>
      <c r="V65" s="207">
        <f>SUMIFS('февраль 2023'!$G$4:$G$497,'февраль 2023'!$D$4:$D$497,$B65,'февраль 2023'!$J$4:$J$497,V$1)</f>
        <v>0</v>
      </c>
      <c r="W65" s="207">
        <f>SUMIFS('февраль 2023'!$G$4:$G$497,'февраль 2023'!$D$4:$D$497,$B65,'февраль 2023'!$J$4:$J$497,W$1)</f>
        <v>0</v>
      </c>
      <c r="X65" s="207">
        <f>SUMIFS('февраль 2023'!$G$4:$G$497,'февраль 2023'!$D$4:$D$497,$B65,'февраль 2023'!$J$4:$J$497,X$1)</f>
        <v>0</v>
      </c>
      <c r="Y65" s="207">
        <f>SUMIFS('февраль 2023'!$G$4:$G$497,'февраль 2023'!$D$4:$D$497,$B65,'февраль 2023'!$J$4:$J$497,Y$1)</f>
        <v>0</v>
      </c>
      <c r="Z65" s="207">
        <f>SUMIFS('февраль 2023'!$G$4:$G$497,'февраль 2023'!$D$4:$D$497,$B65,'февраль 2023'!$J$4:$J$497,Z$1)</f>
        <v>0</v>
      </c>
      <c r="AA65" s="207">
        <f>SUMIFS('февраль 2023'!$G$4:$G$497,'февраль 2023'!$D$4:$D$497,$B65,'февраль 2023'!$J$4:$J$497,AA$1)</f>
        <v>0</v>
      </c>
      <c r="AB65" s="207">
        <f>SUMIFS('февраль 2023'!$G$4:$G$497,'февраль 2023'!$D$4:$D$497,$B65,'февраль 2023'!$J$4:$J$497,AB$1)</f>
        <v>0</v>
      </c>
      <c r="AC65" s="207">
        <f>SUMIFS('февраль 2023'!$G$4:$G$497,'февраль 2023'!$D$4:$D$497,$B65,'февраль 2023'!$J$4:$J$497,AC$1)</f>
        <v>0</v>
      </c>
      <c r="AD65" s="207">
        <f>SUMIFS('февраль 2023'!$G$4:$G$497,'февраль 2023'!$D$4:$D$497,$B65,'февраль 2023'!$J$4:$J$497,AD$1)</f>
        <v>0</v>
      </c>
      <c r="AE65" s="207">
        <f>SUMIFS('февраль 2023'!$G$4:$G$497,'февраль 2023'!$D$4:$D$497,$B65,'февраль 2023'!$J$4:$J$497,AE$1)</f>
        <v>0</v>
      </c>
      <c r="AF65" s="207">
        <f>SUMIFS('февраль 2023'!$G$4:$G$497,'февраль 2023'!$D$4:$D$497,$B65,'февраль 2023'!$J$4:$J$497,AF$1)</f>
        <v>0</v>
      </c>
      <c r="AG65" s="207">
        <f>SUMIFS('февраль 2023'!$G$4:$G$497,'февраль 2023'!$D$4:$D$497,$B65,'февраль 2023'!$J$4:$J$497,AG$1)</f>
        <v>0</v>
      </c>
      <c r="AH65" s="207">
        <f>SUMIFS('февраль 2023'!$G$4:$G$497,'февраль 2023'!$D$4:$D$497,$B65,'февраль 2023'!$J$4:$J$497,AH$1)</f>
        <v>0</v>
      </c>
      <c r="AI65" s="170">
        <f t="shared" si="1"/>
        <v>352</v>
      </c>
    </row>
    <row r="66" spans="2:35" ht="15" customHeight="1" x14ac:dyDescent="0.25">
      <c r="B66" s="212" t="s">
        <v>2166</v>
      </c>
      <c r="C66" s="211">
        <v>180</v>
      </c>
      <c r="D66" s="207">
        <f>SUMIFS('февраль 2023'!$G$4:$G$497,'февраль 2023'!$D$4:$D$497,$B66,'февраль 2023'!$J$4:$J$497,D$1)</f>
        <v>0</v>
      </c>
      <c r="E66" s="207">
        <f>SUMIFS('февраль 2023'!$G$4:$G$497,'февраль 2023'!$D$4:$D$497,$B66,'февраль 2023'!$J$4:$J$497,E$1)</f>
        <v>0</v>
      </c>
      <c r="F66" s="207">
        <f>SUMIFS('февраль 2023'!$G$4:$G$497,'февраль 2023'!$D$4:$D$497,$B66,'февраль 2023'!$J$4:$J$497,F$1)</f>
        <v>0</v>
      </c>
      <c r="G66" s="207">
        <f>SUMIFS('февраль 2023'!$G$4:$G$497,'февраль 2023'!$D$4:$D$497,$B66,'февраль 2023'!$J$4:$J$497,G$1)</f>
        <v>0</v>
      </c>
      <c r="H66" s="207">
        <f>SUMIFS('февраль 2023'!$G$4:$G$497,'февраль 2023'!$D$4:$D$497,$B66,'февраль 2023'!$J$4:$J$497,H$1)</f>
        <v>0</v>
      </c>
      <c r="I66" s="207">
        <f>SUMIFS('февраль 2023'!$G$4:$G$497,'февраль 2023'!$D$4:$D$497,$B66,'февраль 2023'!$J$4:$J$497,I$1)</f>
        <v>0</v>
      </c>
      <c r="J66" s="207">
        <f>SUMIFS('февраль 2023'!$G$4:$G$497,'февраль 2023'!$D$4:$D$497,$B66,'февраль 2023'!$J$4:$J$497,J$1)</f>
        <v>0</v>
      </c>
      <c r="K66" s="207">
        <f>SUMIFS('февраль 2023'!$G$4:$G$497,'февраль 2023'!$D$4:$D$497,$B66,'февраль 2023'!$J$4:$J$497,K$1)</f>
        <v>0</v>
      </c>
      <c r="L66" s="207">
        <f>SUMIFS('февраль 2023'!$G$4:$G$497,'февраль 2023'!$D$4:$D$497,$B66,'февраль 2023'!$J$4:$J$497,L$1)</f>
        <v>0</v>
      </c>
      <c r="M66" s="207">
        <f>SUMIFS('февраль 2023'!$G$4:$G$497,'февраль 2023'!$D$4:$D$497,$B66,'февраль 2023'!$J$4:$J$497,M$1)</f>
        <v>0</v>
      </c>
      <c r="N66" s="207">
        <f>SUMIFS('февраль 2023'!$G$4:$G$497,'февраль 2023'!$D$4:$D$497,$B66,'февраль 2023'!$J$4:$J$497,N$1)</f>
        <v>0</v>
      </c>
      <c r="O66" s="207">
        <f>SUMIFS('февраль 2023'!$G$4:$G$497,'февраль 2023'!$D$4:$D$497,$B66,'февраль 2023'!$J$4:$J$497,O$1)</f>
        <v>0</v>
      </c>
      <c r="P66" s="207">
        <f>SUMIFS('февраль 2023'!$G$4:$G$497,'февраль 2023'!$D$4:$D$497,$B66,'февраль 2023'!$J$4:$J$497,P$1)</f>
        <v>0</v>
      </c>
      <c r="Q66" s="207">
        <f>SUMIFS('февраль 2023'!$G$4:$G$497,'февраль 2023'!$D$4:$D$497,$B66,'февраль 2023'!$J$4:$J$497,Q$1)</f>
        <v>0</v>
      </c>
      <c r="R66" s="207">
        <f>SUMIFS('февраль 2023'!$G$4:$G$497,'февраль 2023'!$D$4:$D$497,$B66,'февраль 2023'!$J$4:$J$497,R$1)</f>
        <v>0</v>
      </c>
      <c r="S66" s="207">
        <f>SUMIFS('февраль 2023'!$G$4:$G$497,'февраль 2023'!$D$4:$D$497,$B66,'февраль 2023'!$J$4:$J$497,S$1)</f>
        <v>0</v>
      </c>
      <c r="T66" s="207">
        <f>SUMIFS('февраль 2023'!$G$4:$G$497,'февраль 2023'!$D$4:$D$497,$B66,'февраль 2023'!$J$4:$J$497,T$1)</f>
        <v>0</v>
      </c>
      <c r="U66" s="207">
        <f>SUMIFS('февраль 2023'!$G$4:$G$497,'февраль 2023'!$D$4:$D$497,$B66,'февраль 2023'!$J$4:$J$497,U$1)</f>
        <v>0</v>
      </c>
      <c r="V66" s="207">
        <f>SUMIFS('февраль 2023'!$G$4:$G$497,'февраль 2023'!$D$4:$D$497,$B66,'февраль 2023'!$J$4:$J$497,V$1)</f>
        <v>0</v>
      </c>
      <c r="W66" s="207">
        <f>SUMIFS('февраль 2023'!$G$4:$G$497,'февраль 2023'!$D$4:$D$497,$B66,'февраль 2023'!$J$4:$J$497,W$1)</f>
        <v>0</v>
      </c>
      <c r="X66" s="207">
        <f>SUMIFS('февраль 2023'!$G$4:$G$497,'февраль 2023'!$D$4:$D$497,$B66,'февраль 2023'!$J$4:$J$497,X$1)</f>
        <v>0</v>
      </c>
      <c r="Y66" s="207">
        <f>SUMIFS('февраль 2023'!$G$4:$G$497,'февраль 2023'!$D$4:$D$497,$B66,'февраль 2023'!$J$4:$J$497,Y$1)</f>
        <v>0</v>
      </c>
      <c r="Z66" s="207">
        <f>SUMIFS('февраль 2023'!$G$4:$G$497,'февраль 2023'!$D$4:$D$497,$B66,'февраль 2023'!$J$4:$J$497,Z$1)</f>
        <v>0</v>
      </c>
      <c r="AA66" s="207">
        <f>SUMIFS('февраль 2023'!$G$4:$G$497,'февраль 2023'!$D$4:$D$497,$B66,'февраль 2023'!$J$4:$J$497,AA$1)</f>
        <v>0</v>
      </c>
      <c r="AB66" s="207">
        <f>SUMIFS('февраль 2023'!$G$4:$G$497,'февраль 2023'!$D$4:$D$497,$B66,'февраль 2023'!$J$4:$J$497,AB$1)</f>
        <v>0</v>
      </c>
      <c r="AC66" s="207">
        <f>SUMIFS('февраль 2023'!$G$4:$G$497,'февраль 2023'!$D$4:$D$497,$B66,'февраль 2023'!$J$4:$J$497,AC$1)</f>
        <v>0</v>
      </c>
      <c r="AD66" s="207">
        <f>SUMIFS('февраль 2023'!$G$4:$G$497,'февраль 2023'!$D$4:$D$497,$B66,'февраль 2023'!$J$4:$J$497,AD$1)</f>
        <v>0</v>
      </c>
      <c r="AE66" s="207">
        <f>SUMIFS('февраль 2023'!$G$4:$G$497,'февраль 2023'!$D$4:$D$497,$B66,'февраль 2023'!$J$4:$J$497,AE$1)</f>
        <v>0</v>
      </c>
      <c r="AF66" s="207">
        <f>SUMIFS('февраль 2023'!$G$4:$G$497,'февраль 2023'!$D$4:$D$497,$B66,'февраль 2023'!$J$4:$J$497,AF$1)</f>
        <v>0</v>
      </c>
      <c r="AG66" s="207">
        <f>SUMIFS('февраль 2023'!$G$4:$G$497,'февраль 2023'!$D$4:$D$497,$B66,'февраль 2023'!$J$4:$J$497,AG$1)</f>
        <v>0</v>
      </c>
      <c r="AH66" s="207">
        <f>SUMIFS('февраль 2023'!$G$4:$G$497,'февраль 2023'!$D$4:$D$497,$B66,'февраль 2023'!$J$4:$J$497,AH$1)</f>
        <v>0</v>
      </c>
      <c r="AI66" s="170">
        <f t="shared" si="1"/>
        <v>0</v>
      </c>
    </row>
    <row r="67" spans="2:35" ht="15" customHeight="1" x14ac:dyDescent="0.25">
      <c r="B67" s="216"/>
      <c r="C67" s="213"/>
      <c r="D67" s="207">
        <f>SUMIFS('февраль 2023'!$G$4:$G$497,'февраль 2023'!$D$4:$D$497,$B67,'февраль 2023'!$J$4:$J$497,D$1)</f>
        <v>0</v>
      </c>
      <c r="E67" s="207">
        <f>SUMIFS('февраль 2023'!$G$4:$G$497,'февраль 2023'!$D$4:$D$497,$B67,'февраль 2023'!$J$4:$J$497,E$1)</f>
        <v>0</v>
      </c>
      <c r="F67" s="207">
        <f>SUMIFS('февраль 2023'!$G$4:$G$497,'февраль 2023'!$D$4:$D$497,$B67,'февраль 2023'!$J$4:$J$497,F$1)</f>
        <v>0</v>
      </c>
      <c r="G67" s="207">
        <f>SUMIFS('февраль 2023'!$G$4:$G$497,'февраль 2023'!$D$4:$D$497,$B67,'февраль 2023'!$J$4:$J$497,G$1)</f>
        <v>0</v>
      </c>
      <c r="H67" s="207">
        <f>SUMIFS('февраль 2023'!$G$4:$G$497,'февраль 2023'!$D$4:$D$497,$B67,'февраль 2023'!$J$4:$J$497,H$1)</f>
        <v>0</v>
      </c>
      <c r="I67" s="207">
        <f>SUMIFS('февраль 2023'!$G$4:$G$497,'февраль 2023'!$D$4:$D$497,$B67,'февраль 2023'!$J$4:$J$497,I$1)</f>
        <v>0</v>
      </c>
      <c r="J67" s="207">
        <f>SUMIFS('февраль 2023'!$G$4:$G$497,'февраль 2023'!$D$4:$D$497,$B67,'февраль 2023'!$J$4:$J$497,J$1)</f>
        <v>0</v>
      </c>
      <c r="K67" s="207">
        <f>SUMIFS('февраль 2023'!$G$4:$G$497,'февраль 2023'!$D$4:$D$497,$B67,'февраль 2023'!$J$4:$J$497,K$1)</f>
        <v>0</v>
      </c>
      <c r="L67" s="207">
        <f>SUMIFS('февраль 2023'!$G$4:$G$497,'февраль 2023'!$D$4:$D$497,$B67,'февраль 2023'!$J$4:$J$497,L$1)</f>
        <v>0</v>
      </c>
      <c r="M67" s="207">
        <f>SUMIFS('февраль 2023'!$G$4:$G$497,'февраль 2023'!$D$4:$D$497,$B67,'февраль 2023'!$J$4:$J$497,M$1)</f>
        <v>0</v>
      </c>
      <c r="N67" s="207">
        <f>SUMIFS('февраль 2023'!$G$4:$G$497,'февраль 2023'!$D$4:$D$497,$B67,'февраль 2023'!$J$4:$J$497,N$1)</f>
        <v>0</v>
      </c>
      <c r="O67" s="207">
        <f>SUMIFS('февраль 2023'!$G$4:$G$497,'февраль 2023'!$D$4:$D$497,$B67,'февраль 2023'!$J$4:$J$497,O$1)</f>
        <v>0</v>
      </c>
      <c r="P67" s="207">
        <f>SUMIFS('февраль 2023'!$G$4:$G$497,'февраль 2023'!$D$4:$D$497,$B67,'февраль 2023'!$J$4:$J$497,P$1)</f>
        <v>0</v>
      </c>
      <c r="Q67" s="207">
        <f>SUMIFS('февраль 2023'!$G$4:$G$497,'февраль 2023'!$D$4:$D$497,$B67,'февраль 2023'!$J$4:$J$497,Q$1)</f>
        <v>0</v>
      </c>
      <c r="R67" s="207">
        <f>SUMIFS('февраль 2023'!$G$4:$G$497,'февраль 2023'!$D$4:$D$497,$B67,'февраль 2023'!$J$4:$J$497,R$1)</f>
        <v>0</v>
      </c>
      <c r="S67" s="207">
        <f>SUMIFS('февраль 2023'!$G$4:$G$497,'февраль 2023'!$D$4:$D$497,$B67,'февраль 2023'!$J$4:$J$497,S$1)</f>
        <v>0</v>
      </c>
      <c r="T67" s="207">
        <f>SUMIFS('февраль 2023'!$G$4:$G$497,'февраль 2023'!$D$4:$D$497,$B67,'февраль 2023'!$J$4:$J$497,T$1)</f>
        <v>0</v>
      </c>
      <c r="U67" s="207">
        <f>SUMIFS('февраль 2023'!$G$4:$G$497,'февраль 2023'!$D$4:$D$497,$B67,'февраль 2023'!$J$4:$J$497,U$1)</f>
        <v>0</v>
      </c>
      <c r="V67" s="207">
        <f>SUMIFS('февраль 2023'!$G$4:$G$497,'февраль 2023'!$D$4:$D$497,$B67,'февраль 2023'!$J$4:$J$497,V$1)</f>
        <v>0</v>
      </c>
      <c r="W67" s="207">
        <f>SUMIFS('февраль 2023'!$G$4:$G$497,'февраль 2023'!$D$4:$D$497,$B67,'февраль 2023'!$J$4:$J$497,W$1)</f>
        <v>0</v>
      </c>
      <c r="X67" s="207">
        <f>SUMIFS('февраль 2023'!$G$4:$G$497,'февраль 2023'!$D$4:$D$497,$B67,'февраль 2023'!$J$4:$J$497,X$1)</f>
        <v>0</v>
      </c>
      <c r="Y67" s="207">
        <f>SUMIFS('февраль 2023'!$G$4:$G$497,'февраль 2023'!$D$4:$D$497,$B67,'февраль 2023'!$J$4:$J$497,Y$1)</f>
        <v>0</v>
      </c>
      <c r="Z67" s="207">
        <f>SUMIFS('февраль 2023'!$G$4:$G$497,'февраль 2023'!$D$4:$D$497,$B67,'февраль 2023'!$J$4:$J$497,Z$1)</f>
        <v>0</v>
      </c>
      <c r="AA67" s="207">
        <f>SUMIFS('февраль 2023'!$G$4:$G$497,'февраль 2023'!$D$4:$D$497,$B67,'февраль 2023'!$J$4:$J$497,AA$1)</f>
        <v>0</v>
      </c>
      <c r="AB67" s="207">
        <f>SUMIFS('февраль 2023'!$G$4:$G$497,'февраль 2023'!$D$4:$D$497,$B67,'февраль 2023'!$J$4:$J$497,AB$1)</f>
        <v>0</v>
      </c>
      <c r="AC67" s="207">
        <f>SUMIFS('февраль 2023'!$G$4:$G$497,'февраль 2023'!$D$4:$D$497,$B67,'февраль 2023'!$J$4:$J$497,AC$1)</f>
        <v>0</v>
      </c>
      <c r="AD67" s="207">
        <f>SUMIFS('февраль 2023'!$G$4:$G$497,'февраль 2023'!$D$4:$D$497,$B67,'февраль 2023'!$J$4:$J$497,AD$1)</f>
        <v>0</v>
      </c>
      <c r="AE67" s="207">
        <f>SUMIFS('февраль 2023'!$G$4:$G$497,'февраль 2023'!$D$4:$D$497,$B67,'февраль 2023'!$J$4:$J$497,AE$1)</f>
        <v>0</v>
      </c>
      <c r="AF67" s="207">
        <f>SUMIFS('февраль 2023'!$G$4:$G$497,'февраль 2023'!$D$4:$D$497,$B67,'февраль 2023'!$J$4:$J$497,AF$1)</f>
        <v>0</v>
      </c>
      <c r="AG67" s="207">
        <f>SUMIFS('февраль 2023'!$G$4:$G$497,'февраль 2023'!$D$4:$D$497,$B67,'февраль 2023'!$J$4:$J$497,AG$1)</f>
        <v>0</v>
      </c>
      <c r="AH67" s="207">
        <f>SUMIFS('февраль 2023'!$G$4:$G$497,'февраль 2023'!$D$4:$D$497,$B67,'февраль 2023'!$J$4:$J$497,AH$1)</f>
        <v>0</v>
      </c>
      <c r="AI67" s="170">
        <f t="shared" ref="AI67:AI130" si="2">SUM(D67:AH67)</f>
        <v>0</v>
      </c>
    </row>
    <row r="68" spans="2:35" ht="15" customHeight="1" x14ac:dyDescent="0.25">
      <c r="B68" s="216"/>
      <c r="C68" s="213"/>
      <c r="D68" s="207">
        <f>SUMIFS('февраль 2023'!$G$4:$G$497,'февраль 2023'!$D$4:$D$497,$B68,'февраль 2023'!$J$4:$J$497,D$1)</f>
        <v>0</v>
      </c>
      <c r="E68" s="207">
        <f>SUMIFS('февраль 2023'!$G$4:$G$497,'февраль 2023'!$D$4:$D$497,$B68,'февраль 2023'!$J$4:$J$497,E$1)</f>
        <v>0</v>
      </c>
      <c r="F68" s="207">
        <f>SUMIFS('февраль 2023'!$G$4:$G$497,'февраль 2023'!$D$4:$D$497,$B68,'февраль 2023'!$J$4:$J$497,F$1)</f>
        <v>0</v>
      </c>
      <c r="G68" s="207">
        <f>SUMIFS('февраль 2023'!$G$4:$G$497,'февраль 2023'!$D$4:$D$497,$B68,'февраль 2023'!$J$4:$J$497,G$1)</f>
        <v>0</v>
      </c>
      <c r="H68" s="207">
        <f>SUMIFS('февраль 2023'!$G$4:$G$497,'февраль 2023'!$D$4:$D$497,$B68,'февраль 2023'!$J$4:$J$497,H$1)</f>
        <v>0</v>
      </c>
      <c r="I68" s="207">
        <f>SUMIFS('февраль 2023'!$G$4:$G$497,'февраль 2023'!$D$4:$D$497,$B68,'февраль 2023'!$J$4:$J$497,I$1)</f>
        <v>0</v>
      </c>
      <c r="J68" s="207">
        <f>SUMIFS('февраль 2023'!$G$4:$G$497,'февраль 2023'!$D$4:$D$497,$B68,'февраль 2023'!$J$4:$J$497,J$1)</f>
        <v>0</v>
      </c>
      <c r="K68" s="207">
        <f>SUMIFS('февраль 2023'!$G$4:$G$497,'февраль 2023'!$D$4:$D$497,$B68,'февраль 2023'!$J$4:$J$497,K$1)</f>
        <v>0</v>
      </c>
      <c r="L68" s="207">
        <f>SUMIFS('февраль 2023'!$G$4:$G$497,'февраль 2023'!$D$4:$D$497,$B68,'февраль 2023'!$J$4:$J$497,L$1)</f>
        <v>0</v>
      </c>
      <c r="M68" s="207">
        <f>SUMIFS('февраль 2023'!$G$4:$G$497,'февраль 2023'!$D$4:$D$497,$B68,'февраль 2023'!$J$4:$J$497,M$1)</f>
        <v>0</v>
      </c>
      <c r="N68" s="207">
        <f>SUMIFS('февраль 2023'!$G$4:$G$497,'февраль 2023'!$D$4:$D$497,$B68,'февраль 2023'!$J$4:$J$497,N$1)</f>
        <v>0</v>
      </c>
      <c r="O68" s="207">
        <f>SUMIFS('февраль 2023'!$G$4:$G$497,'февраль 2023'!$D$4:$D$497,$B68,'февраль 2023'!$J$4:$J$497,O$1)</f>
        <v>0</v>
      </c>
      <c r="P68" s="207">
        <f>SUMIFS('февраль 2023'!$G$4:$G$497,'февраль 2023'!$D$4:$D$497,$B68,'февраль 2023'!$J$4:$J$497,P$1)</f>
        <v>0</v>
      </c>
      <c r="Q68" s="207">
        <f>SUMIFS('февраль 2023'!$G$4:$G$497,'февраль 2023'!$D$4:$D$497,$B68,'февраль 2023'!$J$4:$J$497,Q$1)</f>
        <v>0</v>
      </c>
      <c r="R68" s="207">
        <f>SUMIFS('февраль 2023'!$G$4:$G$497,'февраль 2023'!$D$4:$D$497,$B68,'февраль 2023'!$J$4:$J$497,R$1)</f>
        <v>0</v>
      </c>
      <c r="S68" s="207">
        <f>SUMIFS('февраль 2023'!$G$4:$G$497,'февраль 2023'!$D$4:$D$497,$B68,'февраль 2023'!$J$4:$J$497,S$1)</f>
        <v>0</v>
      </c>
      <c r="T68" s="207">
        <f>SUMIFS('февраль 2023'!$G$4:$G$497,'февраль 2023'!$D$4:$D$497,$B68,'февраль 2023'!$J$4:$J$497,T$1)</f>
        <v>0</v>
      </c>
      <c r="U68" s="207">
        <f>SUMIFS('февраль 2023'!$G$4:$G$497,'февраль 2023'!$D$4:$D$497,$B68,'февраль 2023'!$J$4:$J$497,U$1)</f>
        <v>0</v>
      </c>
      <c r="V68" s="207">
        <f>SUMIFS('февраль 2023'!$G$4:$G$497,'февраль 2023'!$D$4:$D$497,$B68,'февраль 2023'!$J$4:$J$497,V$1)</f>
        <v>0</v>
      </c>
      <c r="W68" s="207">
        <f>SUMIFS('февраль 2023'!$G$4:$G$497,'февраль 2023'!$D$4:$D$497,$B68,'февраль 2023'!$J$4:$J$497,W$1)</f>
        <v>0</v>
      </c>
      <c r="X68" s="207">
        <f>SUMIFS('февраль 2023'!$G$4:$G$497,'февраль 2023'!$D$4:$D$497,$B68,'февраль 2023'!$J$4:$J$497,X$1)</f>
        <v>0</v>
      </c>
      <c r="Y68" s="207">
        <f>SUMIFS('февраль 2023'!$G$4:$G$497,'февраль 2023'!$D$4:$D$497,$B68,'февраль 2023'!$J$4:$J$497,Y$1)</f>
        <v>0</v>
      </c>
      <c r="Z68" s="207">
        <f>SUMIFS('февраль 2023'!$G$4:$G$497,'февраль 2023'!$D$4:$D$497,$B68,'февраль 2023'!$J$4:$J$497,Z$1)</f>
        <v>0</v>
      </c>
      <c r="AA68" s="207">
        <f>SUMIFS('февраль 2023'!$G$4:$G$497,'февраль 2023'!$D$4:$D$497,$B68,'февраль 2023'!$J$4:$J$497,AA$1)</f>
        <v>0</v>
      </c>
      <c r="AB68" s="207">
        <f>SUMIFS('февраль 2023'!$G$4:$G$497,'февраль 2023'!$D$4:$D$497,$B68,'февраль 2023'!$J$4:$J$497,AB$1)</f>
        <v>0</v>
      </c>
      <c r="AC68" s="207">
        <f>SUMIFS('февраль 2023'!$G$4:$G$497,'февраль 2023'!$D$4:$D$497,$B68,'февраль 2023'!$J$4:$J$497,AC$1)</f>
        <v>0</v>
      </c>
      <c r="AD68" s="207">
        <f>SUMIFS('февраль 2023'!$G$4:$G$497,'февраль 2023'!$D$4:$D$497,$B68,'февраль 2023'!$J$4:$J$497,AD$1)</f>
        <v>0</v>
      </c>
      <c r="AE68" s="207">
        <f>SUMIFS('февраль 2023'!$G$4:$G$497,'февраль 2023'!$D$4:$D$497,$B68,'февраль 2023'!$J$4:$J$497,AE$1)</f>
        <v>0</v>
      </c>
      <c r="AF68" s="207">
        <f>SUMIFS('февраль 2023'!$G$4:$G$497,'февраль 2023'!$D$4:$D$497,$B68,'февраль 2023'!$J$4:$J$497,AF$1)</f>
        <v>0</v>
      </c>
      <c r="AG68" s="207">
        <f>SUMIFS('февраль 2023'!$G$4:$G$497,'февраль 2023'!$D$4:$D$497,$B68,'февраль 2023'!$J$4:$J$497,AG$1)</f>
        <v>0</v>
      </c>
      <c r="AH68" s="207">
        <f>SUMIFS('февраль 2023'!$G$4:$G$497,'февраль 2023'!$D$4:$D$497,$B68,'февраль 2023'!$J$4:$J$497,AH$1)</f>
        <v>0</v>
      </c>
      <c r="AI68" s="170">
        <f t="shared" si="2"/>
        <v>0</v>
      </c>
    </row>
    <row r="69" spans="2:35" ht="15" customHeight="1" x14ac:dyDescent="0.25">
      <c r="B69" s="216"/>
      <c r="C69" s="213"/>
      <c r="D69" s="207">
        <f>SUMIFS('февраль 2023'!$G$4:$G$497,'февраль 2023'!$D$4:$D$497,$B69,'февраль 2023'!$J$4:$J$497,D$1)</f>
        <v>0</v>
      </c>
      <c r="E69" s="207">
        <f>SUMIFS('февраль 2023'!$G$4:$G$497,'февраль 2023'!$D$4:$D$497,$B69,'февраль 2023'!$J$4:$J$497,E$1)</f>
        <v>0</v>
      </c>
      <c r="F69" s="207">
        <f>SUMIFS('февраль 2023'!$G$4:$G$497,'февраль 2023'!$D$4:$D$497,$B69,'февраль 2023'!$J$4:$J$497,F$1)</f>
        <v>0</v>
      </c>
      <c r="G69" s="207">
        <f>SUMIFS('февраль 2023'!$G$4:$G$497,'февраль 2023'!$D$4:$D$497,$B69,'февраль 2023'!$J$4:$J$497,G$1)</f>
        <v>0</v>
      </c>
      <c r="H69" s="207">
        <f>SUMIFS('февраль 2023'!$G$4:$G$497,'февраль 2023'!$D$4:$D$497,$B69,'февраль 2023'!$J$4:$J$497,H$1)</f>
        <v>0</v>
      </c>
      <c r="I69" s="207">
        <f>SUMIFS('февраль 2023'!$G$4:$G$497,'февраль 2023'!$D$4:$D$497,$B69,'февраль 2023'!$J$4:$J$497,I$1)</f>
        <v>0</v>
      </c>
      <c r="J69" s="207">
        <f>SUMIFS('февраль 2023'!$G$4:$G$497,'февраль 2023'!$D$4:$D$497,$B69,'февраль 2023'!$J$4:$J$497,J$1)</f>
        <v>0</v>
      </c>
      <c r="K69" s="207">
        <f>SUMIFS('февраль 2023'!$G$4:$G$497,'февраль 2023'!$D$4:$D$497,$B69,'февраль 2023'!$J$4:$J$497,K$1)</f>
        <v>0</v>
      </c>
      <c r="L69" s="207">
        <f>SUMIFS('февраль 2023'!$G$4:$G$497,'февраль 2023'!$D$4:$D$497,$B69,'февраль 2023'!$J$4:$J$497,L$1)</f>
        <v>0</v>
      </c>
      <c r="M69" s="207">
        <f>SUMIFS('февраль 2023'!$G$4:$G$497,'февраль 2023'!$D$4:$D$497,$B69,'февраль 2023'!$J$4:$J$497,M$1)</f>
        <v>0</v>
      </c>
      <c r="N69" s="207">
        <f>SUMIFS('февраль 2023'!$G$4:$G$497,'февраль 2023'!$D$4:$D$497,$B69,'февраль 2023'!$J$4:$J$497,N$1)</f>
        <v>0</v>
      </c>
      <c r="O69" s="207">
        <f>SUMIFS('февраль 2023'!$G$4:$G$497,'февраль 2023'!$D$4:$D$497,$B69,'февраль 2023'!$J$4:$J$497,O$1)</f>
        <v>0</v>
      </c>
      <c r="P69" s="207">
        <f>SUMIFS('февраль 2023'!$G$4:$G$497,'февраль 2023'!$D$4:$D$497,$B69,'февраль 2023'!$J$4:$J$497,P$1)</f>
        <v>0</v>
      </c>
      <c r="Q69" s="207">
        <f>SUMIFS('февраль 2023'!$G$4:$G$497,'февраль 2023'!$D$4:$D$497,$B69,'февраль 2023'!$J$4:$J$497,Q$1)</f>
        <v>0</v>
      </c>
      <c r="R69" s="207">
        <f>SUMIFS('февраль 2023'!$G$4:$G$497,'февраль 2023'!$D$4:$D$497,$B69,'февраль 2023'!$J$4:$J$497,R$1)</f>
        <v>0</v>
      </c>
      <c r="S69" s="207">
        <f>SUMIFS('февраль 2023'!$G$4:$G$497,'февраль 2023'!$D$4:$D$497,$B69,'февраль 2023'!$J$4:$J$497,S$1)</f>
        <v>0</v>
      </c>
      <c r="T69" s="207">
        <f>SUMIFS('февраль 2023'!$G$4:$G$497,'февраль 2023'!$D$4:$D$497,$B69,'февраль 2023'!$J$4:$J$497,T$1)</f>
        <v>0</v>
      </c>
      <c r="U69" s="207">
        <f>SUMIFS('февраль 2023'!$G$4:$G$497,'февраль 2023'!$D$4:$D$497,$B69,'февраль 2023'!$J$4:$J$497,U$1)</f>
        <v>0</v>
      </c>
      <c r="V69" s="207">
        <f>SUMIFS('февраль 2023'!$G$4:$G$497,'февраль 2023'!$D$4:$D$497,$B69,'февраль 2023'!$J$4:$J$497,V$1)</f>
        <v>0</v>
      </c>
      <c r="W69" s="207">
        <f>SUMIFS('февраль 2023'!$G$4:$G$497,'февраль 2023'!$D$4:$D$497,$B69,'февраль 2023'!$J$4:$J$497,W$1)</f>
        <v>0</v>
      </c>
      <c r="X69" s="207">
        <f>SUMIFS('февраль 2023'!$G$4:$G$497,'февраль 2023'!$D$4:$D$497,$B69,'февраль 2023'!$J$4:$J$497,X$1)</f>
        <v>0</v>
      </c>
      <c r="Y69" s="207">
        <f>SUMIFS('февраль 2023'!$G$4:$G$497,'февраль 2023'!$D$4:$D$497,$B69,'февраль 2023'!$J$4:$J$497,Y$1)</f>
        <v>0</v>
      </c>
      <c r="Z69" s="207">
        <f>SUMIFS('февраль 2023'!$G$4:$G$497,'февраль 2023'!$D$4:$D$497,$B69,'февраль 2023'!$J$4:$J$497,Z$1)</f>
        <v>0</v>
      </c>
      <c r="AA69" s="207">
        <f>SUMIFS('февраль 2023'!$G$4:$G$497,'февраль 2023'!$D$4:$D$497,$B69,'февраль 2023'!$J$4:$J$497,AA$1)</f>
        <v>0</v>
      </c>
      <c r="AB69" s="207">
        <f>SUMIFS('февраль 2023'!$G$4:$G$497,'февраль 2023'!$D$4:$D$497,$B69,'февраль 2023'!$J$4:$J$497,AB$1)</f>
        <v>0</v>
      </c>
      <c r="AC69" s="207">
        <f>SUMIFS('февраль 2023'!$G$4:$G$497,'февраль 2023'!$D$4:$D$497,$B69,'февраль 2023'!$J$4:$J$497,AC$1)</f>
        <v>0</v>
      </c>
      <c r="AD69" s="207">
        <f>SUMIFS('февраль 2023'!$G$4:$G$497,'февраль 2023'!$D$4:$D$497,$B69,'февраль 2023'!$J$4:$J$497,AD$1)</f>
        <v>0</v>
      </c>
      <c r="AE69" s="207">
        <f>SUMIFS('февраль 2023'!$G$4:$G$497,'февраль 2023'!$D$4:$D$497,$B69,'февраль 2023'!$J$4:$J$497,AE$1)</f>
        <v>0</v>
      </c>
      <c r="AF69" s="207">
        <f>SUMIFS('февраль 2023'!$G$4:$G$497,'февраль 2023'!$D$4:$D$497,$B69,'февраль 2023'!$J$4:$J$497,AF$1)</f>
        <v>0</v>
      </c>
      <c r="AG69" s="207">
        <f>SUMIFS('февраль 2023'!$G$4:$G$497,'февраль 2023'!$D$4:$D$497,$B69,'февраль 2023'!$J$4:$J$497,AG$1)</f>
        <v>0</v>
      </c>
      <c r="AH69" s="207">
        <f>SUMIFS('февраль 2023'!$G$4:$G$497,'февраль 2023'!$D$4:$D$497,$B69,'февраль 2023'!$J$4:$J$497,AH$1)</f>
        <v>0</v>
      </c>
      <c r="AI69" s="170">
        <f t="shared" si="2"/>
        <v>0</v>
      </c>
    </row>
    <row r="70" spans="2:35" ht="15" customHeight="1" x14ac:dyDescent="0.25">
      <c r="B70" s="212" t="s">
        <v>1622</v>
      </c>
      <c r="C70" s="211">
        <v>180</v>
      </c>
      <c r="D70" s="207">
        <f>SUMIFS('февраль 2023'!$G$4:$G$497,'февраль 2023'!$D$4:$D$497,$B70,'февраль 2023'!$J$4:$J$497,D$1)</f>
        <v>0</v>
      </c>
      <c r="E70" s="207">
        <f>SUMIFS('февраль 2023'!$G$4:$G$497,'февраль 2023'!$D$4:$D$497,$B70,'февраль 2023'!$J$4:$J$497,E$1)</f>
        <v>0</v>
      </c>
      <c r="F70" s="207">
        <f>SUMIFS('февраль 2023'!$G$4:$G$497,'февраль 2023'!$D$4:$D$497,$B70,'февраль 2023'!$J$4:$J$497,F$1)</f>
        <v>0</v>
      </c>
      <c r="G70" s="207">
        <f>SUMIFS('февраль 2023'!$G$4:$G$497,'февраль 2023'!$D$4:$D$497,$B70,'февраль 2023'!$J$4:$J$497,G$1)</f>
        <v>0</v>
      </c>
      <c r="H70" s="207">
        <f>SUMIFS('февраль 2023'!$G$4:$G$497,'февраль 2023'!$D$4:$D$497,$B70,'февраль 2023'!$J$4:$J$497,H$1)</f>
        <v>0</v>
      </c>
      <c r="I70" s="207">
        <f>SUMIFS('февраль 2023'!$G$4:$G$497,'февраль 2023'!$D$4:$D$497,$B70,'февраль 2023'!$J$4:$J$497,I$1)</f>
        <v>0</v>
      </c>
      <c r="J70" s="207">
        <f>SUMIFS('февраль 2023'!$G$4:$G$497,'февраль 2023'!$D$4:$D$497,$B70,'февраль 2023'!$J$4:$J$497,J$1)</f>
        <v>0</v>
      </c>
      <c r="K70" s="207">
        <f>SUMIFS('февраль 2023'!$G$4:$G$497,'февраль 2023'!$D$4:$D$497,$B70,'февраль 2023'!$J$4:$J$497,K$1)</f>
        <v>0</v>
      </c>
      <c r="L70" s="207">
        <f>SUMIFS('февраль 2023'!$G$4:$G$497,'февраль 2023'!$D$4:$D$497,$B70,'февраль 2023'!$J$4:$J$497,L$1)</f>
        <v>20</v>
      </c>
      <c r="M70" s="207">
        <f>SUMIFS('февраль 2023'!$G$4:$G$497,'февраль 2023'!$D$4:$D$497,$B70,'февраль 2023'!$J$4:$J$497,M$1)</f>
        <v>0</v>
      </c>
      <c r="N70" s="207">
        <f>SUMIFS('февраль 2023'!$G$4:$G$497,'февраль 2023'!$D$4:$D$497,$B70,'февраль 2023'!$J$4:$J$497,N$1)</f>
        <v>0</v>
      </c>
      <c r="O70" s="207">
        <f>SUMIFS('февраль 2023'!$G$4:$G$497,'февраль 2023'!$D$4:$D$497,$B70,'февраль 2023'!$J$4:$J$497,O$1)</f>
        <v>0</v>
      </c>
      <c r="P70" s="207">
        <f>SUMIFS('февраль 2023'!$G$4:$G$497,'февраль 2023'!$D$4:$D$497,$B70,'февраль 2023'!$J$4:$J$497,P$1)</f>
        <v>0</v>
      </c>
      <c r="Q70" s="207">
        <f>SUMIFS('февраль 2023'!$G$4:$G$497,'февраль 2023'!$D$4:$D$497,$B70,'февраль 2023'!$J$4:$J$497,Q$1)</f>
        <v>0</v>
      </c>
      <c r="R70" s="207">
        <f>SUMIFS('февраль 2023'!$G$4:$G$497,'февраль 2023'!$D$4:$D$497,$B70,'февраль 2023'!$J$4:$J$497,R$1)</f>
        <v>0</v>
      </c>
      <c r="S70" s="207">
        <f>SUMIFS('февраль 2023'!$G$4:$G$497,'февраль 2023'!$D$4:$D$497,$B70,'февраль 2023'!$J$4:$J$497,S$1)</f>
        <v>0</v>
      </c>
      <c r="T70" s="207">
        <f>SUMIFS('февраль 2023'!$G$4:$G$497,'февраль 2023'!$D$4:$D$497,$B70,'февраль 2023'!$J$4:$J$497,T$1)</f>
        <v>0</v>
      </c>
      <c r="U70" s="207">
        <f>SUMIFS('февраль 2023'!$G$4:$G$497,'февраль 2023'!$D$4:$D$497,$B70,'февраль 2023'!$J$4:$J$497,U$1)</f>
        <v>0</v>
      </c>
      <c r="V70" s="207">
        <f>SUMIFS('февраль 2023'!$G$4:$G$497,'февраль 2023'!$D$4:$D$497,$B70,'февраль 2023'!$J$4:$J$497,V$1)</f>
        <v>0</v>
      </c>
      <c r="W70" s="207">
        <f>SUMIFS('февраль 2023'!$G$4:$G$497,'февраль 2023'!$D$4:$D$497,$B70,'февраль 2023'!$J$4:$J$497,W$1)</f>
        <v>0</v>
      </c>
      <c r="X70" s="207">
        <f>SUMIFS('февраль 2023'!$G$4:$G$497,'февраль 2023'!$D$4:$D$497,$B70,'февраль 2023'!$J$4:$J$497,X$1)</f>
        <v>0</v>
      </c>
      <c r="Y70" s="207">
        <f>SUMIFS('февраль 2023'!$G$4:$G$497,'февраль 2023'!$D$4:$D$497,$B70,'февраль 2023'!$J$4:$J$497,Y$1)</f>
        <v>0</v>
      </c>
      <c r="Z70" s="207">
        <f>SUMIFS('февраль 2023'!$G$4:$G$497,'февраль 2023'!$D$4:$D$497,$B70,'февраль 2023'!$J$4:$J$497,Z$1)</f>
        <v>0</v>
      </c>
      <c r="AA70" s="207">
        <f>SUMIFS('февраль 2023'!$G$4:$G$497,'февраль 2023'!$D$4:$D$497,$B70,'февраль 2023'!$J$4:$J$497,AA$1)</f>
        <v>0</v>
      </c>
      <c r="AB70" s="207">
        <f>SUMIFS('февраль 2023'!$G$4:$G$497,'февраль 2023'!$D$4:$D$497,$B70,'февраль 2023'!$J$4:$J$497,AB$1)</f>
        <v>0</v>
      </c>
      <c r="AC70" s="207">
        <f>SUMIFS('февраль 2023'!$G$4:$G$497,'февраль 2023'!$D$4:$D$497,$B70,'февраль 2023'!$J$4:$J$497,AC$1)</f>
        <v>0</v>
      </c>
      <c r="AD70" s="207">
        <f>SUMIFS('февраль 2023'!$G$4:$G$497,'февраль 2023'!$D$4:$D$497,$B70,'февраль 2023'!$J$4:$J$497,AD$1)</f>
        <v>0</v>
      </c>
      <c r="AE70" s="207">
        <f>SUMIFS('февраль 2023'!$G$4:$G$497,'февраль 2023'!$D$4:$D$497,$B70,'февраль 2023'!$J$4:$J$497,AE$1)</f>
        <v>0</v>
      </c>
      <c r="AF70" s="207">
        <f>SUMIFS('февраль 2023'!$G$4:$G$497,'февраль 2023'!$D$4:$D$497,$B70,'февраль 2023'!$J$4:$J$497,AF$1)</f>
        <v>0</v>
      </c>
      <c r="AG70" s="207">
        <f>SUMIFS('февраль 2023'!$G$4:$G$497,'февраль 2023'!$D$4:$D$497,$B70,'февраль 2023'!$J$4:$J$497,AG$1)</f>
        <v>0</v>
      </c>
      <c r="AH70" s="207">
        <f>SUMIFS('февраль 2023'!$G$4:$G$497,'февраль 2023'!$D$4:$D$497,$B70,'февраль 2023'!$J$4:$J$497,AH$1)</f>
        <v>0</v>
      </c>
      <c r="AI70" s="170">
        <f t="shared" si="2"/>
        <v>20</v>
      </c>
    </row>
    <row r="71" spans="2:35" ht="15" customHeight="1" x14ac:dyDescent="0.25">
      <c r="B71" s="212" t="s">
        <v>2183</v>
      </c>
      <c r="C71" s="211">
        <v>180</v>
      </c>
      <c r="D71" s="207">
        <f>SUMIFS('февраль 2023'!$G$4:$G$497,'февраль 2023'!$D$4:$D$497,$B71,'февраль 2023'!$J$4:$J$497,D$1)</f>
        <v>0</v>
      </c>
      <c r="E71" s="207">
        <f>SUMIFS('февраль 2023'!$G$4:$G$497,'февраль 2023'!$D$4:$D$497,$B71,'февраль 2023'!$J$4:$J$497,E$1)</f>
        <v>0</v>
      </c>
      <c r="F71" s="207">
        <f>SUMIFS('февраль 2023'!$G$4:$G$497,'февраль 2023'!$D$4:$D$497,$B71,'февраль 2023'!$J$4:$J$497,F$1)</f>
        <v>0</v>
      </c>
      <c r="G71" s="207">
        <f>SUMIFS('февраль 2023'!$G$4:$G$497,'февраль 2023'!$D$4:$D$497,$B71,'февраль 2023'!$J$4:$J$497,G$1)</f>
        <v>0</v>
      </c>
      <c r="H71" s="207">
        <f>SUMIFS('февраль 2023'!$G$4:$G$497,'февраль 2023'!$D$4:$D$497,$B71,'февраль 2023'!$J$4:$J$497,H$1)</f>
        <v>0</v>
      </c>
      <c r="I71" s="207">
        <f>SUMIFS('февраль 2023'!$G$4:$G$497,'февраль 2023'!$D$4:$D$497,$B71,'февраль 2023'!$J$4:$J$497,I$1)</f>
        <v>0</v>
      </c>
      <c r="J71" s="207">
        <f>SUMIFS('февраль 2023'!$G$4:$G$497,'февраль 2023'!$D$4:$D$497,$B71,'февраль 2023'!$J$4:$J$497,J$1)</f>
        <v>0</v>
      </c>
      <c r="K71" s="207">
        <f>SUMIFS('февраль 2023'!$G$4:$G$497,'февраль 2023'!$D$4:$D$497,$B71,'февраль 2023'!$J$4:$J$497,K$1)</f>
        <v>0</v>
      </c>
      <c r="L71" s="207">
        <f>SUMIFS('февраль 2023'!$G$4:$G$497,'февраль 2023'!$D$4:$D$497,$B71,'февраль 2023'!$J$4:$J$497,L$1)</f>
        <v>0</v>
      </c>
      <c r="M71" s="207">
        <f>SUMIFS('февраль 2023'!$G$4:$G$497,'февраль 2023'!$D$4:$D$497,$B71,'февраль 2023'!$J$4:$J$497,M$1)</f>
        <v>0</v>
      </c>
      <c r="N71" s="207">
        <f>SUMIFS('февраль 2023'!$G$4:$G$497,'февраль 2023'!$D$4:$D$497,$B71,'февраль 2023'!$J$4:$J$497,N$1)</f>
        <v>0</v>
      </c>
      <c r="O71" s="207">
        <f>SUMIFS('февраль 2023'!$G$4:$G$497,'февраль 2023'!$D$4:$D$497,$B71,'февраль 2023'!$J$4:$J$497,O$1)</f>
        <v>0</v>
      </c>
      <c r="P71" s="207">
        <f>SUMIFS('февраль 2023'!$G$4:$G$497,'февраль 2023'!$D$4:$D$497,$B71,'февраль 2023'!$J$4:$J$497,P$1)</f>
        <v>0</v>
      </c>
      <c r="Q71" s="207">
        <f>SUMIFS('февраль 2023'!$G$4:$G$497,'февраль 2023'!$D$4:$D$497,$B71,'февраль 2023'!$J$4:$J$497,Q$1)</f>
        <v>0</v>
      </c>
      <c r="R71" s="207">
        <f>SUMIFS('февраль 2023'!$G$4:$G$497,'февраль 2023'!$D$4:$D$497,$B71,'февраль 2023'!$J$4:$J$497,R$1)</f>
        <v>0</v>
      </c>
      <c r="S71" s="207">
        <f>SUMIFS('февраль 2023'!$G$4:$G$497,'февраль 2023'!$D$4:$D$497,$B71,'февраль 2023'!$J$4:$J$497,S$1)</f>
        <v>0</v>
      </c>
      <c r="T71" s="207">
        <f>SUMIFS('февраль 2023'!$G$4:$G$497,'февраль 2023'!$D$4:$D$497,$B71,'февраль 2023'!$J$4:$J$497,T$1)</f>
        <v>0</v>
      </c>
      <c r="U71" s="207">
        <f>SUMIFS('февраль 2023'!$G$4:$G$497,'февраль 2023'!$D$4:$D$497,$B71,'февраль 2023'!$J$4:$J$497,U$1)</f>
        <v>0</v>
      </c>
      <c r="V71" s="207">
        <f>SUMIFS('февраль 2023'!$G$4:$G$497,'февраль 2023'!$D$4:$D$497,$B71,'февраль 2023'!$J$4:$J$497,V$1)</f>
        <v>0</v>
      </c>
      <c r="W71" s="207">
        <f>SUMIFS('февраль 2023'!$G$4:$G$497,'февраль 2023'!$D$4:$D$497,$B71,'февраль 2023'!$J$4:$J$497,W$1)</f>
        <v>0</v>
      </c>
      <c r="X71" s="207">
        <f>SUMIFS('февраль 2023'!$G$4:$G$497,'февраль 2023'!$D$4:$D$497,$B71,'февраль 2023'!$J$4:$J$497,X$1)</f>
        <v>0</v>
      </c>
      <c r="Y71" s="207">
        <f>SUMIFS('февраль 2023'!$G$4:$G$497,'февраль 2023'!$D$4:$D$497,$B71,'февраль 2023'!$J$4:$J$497,Y$1)</f>
        <v>0</v>
      </c>
      <c r="Z71" s="207">
        <f>SUMIFS('февраль 2023'!$G$4:$G$497,'февраль 2023'!$D$4:$D$497,$B71,'февраль 2023'!$J$4:$J$497,Z$1)</f>
        <v>0</v>
      </c>
      <c r="AA71" s="207">
        <f>SUMIFS('февраль 2023'!$G$4:$G$497,'февраль 2023'!$D$4:$D$497,$B71,'февраль 2023'!$J$4:$J$497,AA$1)</f>
        <v>0</v>
      </c>
      <c r="AB71" s="207">
        <f>SUMIFS('февраль 2023'!$G$4:$G$497,'февраль 2023'!$D$4:$D$497,$B71,'февраль 2023'!$J$4:$J$497,AB$1)</f>
        <v>0</v>
      </c>
      <c r="AC71" s="207">
        <f>SUMIFS('февраль 2023'!$G$4:$G$497,'февраль 2023'!$D$4:$D$497,$B71,'февраль 2023'!$J$4:$J$497,AC$1)</f>
        <v>0</v>
      </c>
      <c r="AD71" s="207">
        <f>SUMIFS('февраль 2023'!$G$4:$G$497,'февраль 2023'!$D$4:$D$497,$B71,'февраль 2023'!$J$4:$J$497,AD$1)</f>
        <v>0</v>
      </c>
      <c r="AE71" s="207">
        <f>SUMIFS('февраль 2023'!$G$4:$G$497,'февраль 2023'!$D$4:$D$497,$B71,'февраль 2023'!$J$4:$J$497,AE$1)</f>
        <v>0</v>
      </c>
      <c r="AF71" s="207">
        <f>SUMIFS('февраль 2023'!$G$4:$G$497,'февраль 2023'!$D$4:$D$497,$B71,'февраль 2023'!$J$4:$J$497,AF$1)</f>
        <v>0</v>
      </c>
      <c r="AG71" s="207">
        <f>SUMIFS('февраль 2023'!$G$4:$G$497,'февраль 2023'!$D$4:$D$497,$B71,'февраль 2023'!$J$4:$J$497,AG$1)</f>
        <v>0</v>
      </c>
      <c r="AH71" s="207">
        <f>SUMIFS('февраль 2023'!$G$4:$G$497,'февраль 2023'!$D$4:$D$497,$B71,'февраль 2023'!$J$4:$J$497,AH$1)</f>
        <v>0</v>
      </c>
      <c r="AI71" s="170">
        <f t="shared" si="2"/>
        <v>0</v>
      </c>
    </row>
    <row r="72" spans="2:35" ht="15" customHeight="1" x14ac:dyDescent="0.25">
      <c r="B72" s="216" t="s">
        <v>1372</v>
      </c>
      <c r="C72" s="211">
        <v>180</v>
      </c>
      <c r="D72" s="207">
        <f>SUMIFS('февраль 2023'!$G$4:$G$497,'февраль 2023'!$D$4:$D$497,$B72,'февраль 2023'!$J$4:$J$497,D$1)</f>
        <v>0</v>
      </c>
      <c r="E72" s="207">
        <f>SUMIFS('февраль 2023'!$G$4:$G$497,'февраль 2023'!$D$4:$D$497,$B72,'февраль 2023'!$J$4:$J$497,E$1)</f>
        <v>0</v>
      </c>
      <c r="F72" s="207">
        <f>SUMIFS('февраль 2023'!$G$4:$G$497,'февраль 2023'!$D$4:$D$497,$B72,'февраль 2023'!$J$4:$J$497,F$1)</f>
        <v>0</v>
      </c>
      <c r="G72" s="207">
        <f>SUMIFS('февраль 2023'!$G$4:$G$497,'февраль 2023'!$D$4:$D$497,$B72,'февраль 2023'!$J$4:$J$497,G$1)</f>
        <v>0</v>
      </c>
      <c r="H72" s="207">
        <f>SUMIFS('февраль 2023'!$G$4:$G$497,'февраль 2023'!$D$4:$D$497,$B72,'февраль 2023'!$J$4:$J$497,H$1)</f>
        <v>0</v>
      </c>
      <c r="I72" s="207">
        <f>SUMIFS('февраль 2023'!$G$4:$G$497,'февраль 2023'!$D$4:$D$497,$B72,'февраль 2023'!$J$4:$J$497,I$1)</f>
        <v>0</v>
      </c>
      <c r="J72" s="207">
        <f>SUMIFS('февраль 2023'!$G$4:$G$497,'февраль 2023'!$D$4:$D$497,$B72,'февраль 2023'!$J$4:$J$497,J$1)</f>
        <v>0</v>
      </c>
      <c r="K72" s="207">
        <f>SUMIFS('февраль 2023'!$G$4:$G$497,'февраль 2023'!$D$4:$D$497,$B72,'февраль 2023'!$J$4:$J$497,K$1)</f>
        <v>0</v>
      </c>
      <c r="L72" s="207">
        <f>SUMIFS('февраль 2023'!$G$4:$G$497,'февраль 2023'!$D$4:$D$497,$B72,'февраль 2023'!$J$4:$J$497,L$1)</f>
        <v>0</v>
      </c>
      <c r="M72" s="207">
        <f>SUMIFS('февраль 2023'!$G$4:$G$497,'февраль 2023'!$D$4:$D$497,$B72,'февраль 2023'!$J$4:$J$497,M$1)</f>
        <v>0</v>
      </c>
      <c r="N72" s="207">
        <f>SUMIFS('февраль 2023'!$G$4:$G$497,'февраль 2023'!$D$4:$D$497,$B72,'февраль 2023'!$J$4:$J$497,N$1)</f>
        <v>0</v>
      </c>
      <c r="O72" s="207">
        <f>SUMIFS('февраль 2023'!$G$4:$G$497,'февраль 2023'!$D$4:$D$497,$B72,'февраль 2023'!$J$4:$J$497,O$1)</f>
        <v>0</v>
      </c>
      <c r="P72" s="207">
        <f>SUMIFS('февраль 2023'!$G$4:$G$497,'февраль 2023'!$D$4:$D$497,$B72,'февраль 2023'!$J$4:$J$497,P$1)</f>
        <v>0</v>
      </c>
      <c r="Q72" s="207">
        <f>SUMIFS('февраль 2023'!$G$4:$G$497,'февраль 2023'!$D$4:$D$497,$B72,'февраль 2023'!$J$4:$J$497,Q$1)</f>
        <v>0</v>
      </c>
      <c r="R72" s="207">
        <f>SUMIFS('февраль 2023'!$G$4:$G$497,'февраль 2023'!$D$4:$D$497,$B72,'февраль 2023'!$J$4:$J$497,R$1)</f>
        <v>0</v>
      </c>
      <c r="S72" s="207">
        <f>SUMIFS('февраль 2023'!$G$4:$G$497,'февраль 2023'!$D$4:$D$497,$B72,'февраль 2023'!$J$4:$J$497,S$1)</f>
        <v>0</v>
      </c>
      <c r="T72" s="207">
        <f>SUMIFS('февраль 2023'!$G$4:$G$497,'февраль 2023'!$D$4:$D$497,$B72,'февраль 2023'!$J$4:$J$497,T$1)</f>
        <v>0</v>
      </c>
      <c r="U72" s="207">
        <f>SUMIFS('февраль 2023'!$G$4:$G$497,'февраль 2023'!$D$4:$D$497,$B72,'февраль 2023'!$J$4:$J$497,U$1)</f>
        <v>0</v>
      </c>
      <c r="V72" s="207">
        <f>SUMIFS('февраль 2023'!$G$4:$G$497,'февраль 2023'!$D$4:$D$497,$B72,'февраль 2023'!$J$4:$J$497,V$1)</f>
        <v>0</v>
      </c>
      <c r="W72" s="207">
        <f>SUMIFS('февраль 2023'!$G$4:$G$497,'февраль 2023'!$D$4:$D$497,$B72,'февраль 2023'!$J$4:$J$497,W$1)</f>
        <v>0</v>
      </c>
      <c r="X72" s="207">
        <f>SUMIFS('февраль 2023'!$G$4:$G$497,'февраль 2023'!$D$4:$D$497,$B72,'февраль 2023'!$J$4:$J$497,X$1)</f>
        <v>0</v>
      </c>
      <c r="Y72" s="207">
        <f>SUMIFS('февраль 2023'!$G$4:$G$497,'февраль 2023'!$D$4:$D$497,$B72,'февраль 2023'!$J$4:$J$497,Y$1)</f>
        <v>0</v>
      </c>
      <c r="Z72" s="207">
        <f>SUMIFS('февраль 2023'!$G$4:$G$497,'февраль 2023'!$D$4:$D$497,$B72,'февраль 2023'!$J$4:$J$497,Z$1)</f>
        <v>0</v>
      </c>
      <c r="AA72" s="207">
        <f>SUMIFS('февраль 2023'!$G$4:$G$497,'февраль 2023'!$D$4:$D$497,$B72,'февраль 2023'!$J$4:$J$497,AA$1)</f>
        <v>0</v>
      </c>
      <c r="AB72" s="207">
        <f>SUMIFS('февраль 2023'!$G$4:$G$497,'февраль 2023'!$D$4:$D$497,$B72,'февраль 2023'!$J$4:$J$497,AB$1)</f>
        <v>0</v>
      </c>
      <c r="AC72" s="207">
        <f>SUMIFS('февраль 2023'!$G$4:$G$497,'февраль 2023'!$D$4:$D$497,$B72,'февраль 2023'!$J$4:$J$497,AC$1)</f>
        <v>0</v>
      </c>
      <c r="AD72" s="207">
        <f>SUMIFS('февраль 2023'!$G$4:$G$497,'февраль 2023'!$D$4:$D$497,$B72,'февраль 2023'!$J$4:$J$497,AD$1)</f>
        <v>0</v>
      </c>
      <c r="AE72" s="207">
        <f>SUMIFS('февраль 2023'!$G$4:$G$497,'февраль 2023'!$D$4:$D$497,$B72,'февраль 2023'!$J$4:$J$497,AE$1)</f>
        <v>0</v>
      </c>
      <c r="AF72" s="207">
        <f>SUMIFS('февраль 2023'!$G$4:$G$497,'февраль 2023'!$D$4:$D$497,$B72,'февраль 2023'!$J$4:$J$497,AF$1)</f>
        <v>0</v>
      </c>
      <c r="AG72" s="207">
        <f>SUMIFS('февраль 2023'!$G$4:$G$497,'февраль 2023'!$D$4:$D$497,$B72,'февраль 2023'!$J$4:$J$497,AG$1)</f>
        <v>0</v>
      </c>
      <c r="AH72" s="207">
        <f>SUMIFS('февраль 2023'!$G$4:$G$497,'февраль 2023'!$D$4:$D$497,$B72,'февраль 2023'!$J$4:$J$497,AH$1)</f>
        <v>0</v>
      </c>
      <c r="AI72" s="170">
        <f t="shared" si="2"/>
        <v>0</v>
      </c>
    </row>
    <row r="73" spans="2:35" ht="15" customHeight="1" x14ac:dyDescent="0.25">
      <c r="B73" s="216" t="s">
        <v>2189</v>
      </c>
      <c r="C73" s="213">
        <v>180</v>
      </c>
      <c r="D73" s="207">
        <f>SUMIFS('февраль 2023'!$G$4:$G$497,'февраль 2023'!$D$4:$D$497,$B73,'февраль 2023'!$J$4:$J$497,D$1)</f>
        <v>0</v>
      </c>
      <c r="E73" s="207">
        <f>SUMIFS('февраль 2023'!$G$4:$G$497,'февраль 2023'!$D$4:$D$497,$B73,'февраль 2023'!$J$4:$J$497,E$1)</f>
        <v>0</v>
      </c>
      <c r="F73" s="207">
        <f>SUMIFS('февраль 2023'!$G$4:$G$497,'февраль 2023'!$D$4:$D$497,$B73,'февраль 2023'!$J$4:$J$497,F$1)</f>
        <v>0</v>
      </c>
      <c r="G73" s="207">
        <f>SUMIFS('февраль 2023'!$G$4:$G$497,'февраль 2023'!$D$4:$D$497,$B73,'февраль 2023'!$J$4:$J$497,G$1)</f>
        <v>0</v>
      </c>
      <c r="H73" s="207">
        <f>SUMIFS('февраль 2023'!$G$4:$G$497,'февраль 2023'!$D$4:$D$497,$B73,'февраль 2023'!$J$4:$J$497,H$1)</f>
        <v>0</v>
      </c>
      <c r="I73" s="207">
        <f>SUMIFS('февраль 2023'!$G$4:$G$497,'февраль 2023'!$D$4:$D$497,$B73,'февраль 2023'!$J$4:$J$497,I$1)</f>
        <v>0</v>
      </c>
      <c r="J73" s="207">
        <f>SUMIFS('февраль 2023'!$G$4:$G$497,'февраль 2023'!$D$4:$D$497,$B73,'февраль 2023'!$J$4:$J$497,J$1)</f>
        <v>0</v>
      </c>
      <c r="K73" s="207">
        <f>SUMIFS('февраль 2023'!$G$4:$G$497,'февраль 2023'!$D$4:$D$497,$B73,'февраль 2023'!$J$4:$J$497,K$1)</f>
        <v>0</v>
      </c>
      <c r="L73" s="207">
        <f>SUMIFS('февраль 2023'!$G$4:$G$497,'февраль 2023'!$D$4:$D$497,$B73,'февраль 2023'!$J$4:$J$497,L$1)</f>
        <v>0</v>
      </c>
      <c r="M73" s="207">
        <f>SUMIFS('февраль 2023'!$G$4:$G$497,'февраль 2023'!$D$4:$D$497,$B73,'февраль 2023'!$J$4:$J$497,M$1)</f>
        <v>0</v>
      </c>
      <c r="N73" s="207">
        <f>SUMIFS('февраль 2023'!$G$4:$G$497,'февраль 2023'!$D$4:$D$497,$B73,'февраль 2023'!$J$4:$J$497,N$1)</f>
        <v>0</v>
      </c>
      <c r="O73" s="207">
        <f>SUMIFS('февраль 2023'!$G$4:$G$497,'февраль 2023'!$D$4:$D$497,$B73,'февраль 2023'!$J$4:$J$497,O$1)</f>
        <v>0</v>
      </c>
      <c r="P73" s="207">
        <f>SUMIFS('февраль 2023'!$G$4:$G$497,'февраль 2023'!$D$4:$D$497,$B73,'февраль 2023'!$J$4:$J$497,P$1)</f>
        <v>0</v>
      </c>
      <c r="Q73" s="207">
        <f>SUMIFS('февраль 2023'!$G$4:$G$497,'февраль 2023'!$D$4:$D$497,$B73,'февраль 2023'!$J$4:$J$497,Q$1)</f>
        <v>0</v>
      </c>
      <c r="R73" s="207">
        <f>SUMIFS('февраль 2023'!$G$4:$G$497,'февраль 2023'!$D$4:$D$497,$B73,'февраль 2023'!$J$4:$J$497,R$1)</f>
        <v>0</v>
      </c>
      <c r="S73" s="207">
        <f>SUMIFS('февраль 2023'!$G$4:$G$497,'февраль 2023'!$D$4:$D$497,$B73,'февраль 2023'!$J$4:$J$497,S$1)</f>
        <v>0</v>
      </c>
      <c r="T73" s="207">
        <f>SUMIFS('февраль 2023'!$G$4:$G$497,'февраль 2023'!$D$4:$D$497,$B73,'февраль 2023'!$J$4:$J$497,T$1)</f>
        <v>0</v>
      </c>
      <c r="U73" s="207">
        <f>SUMIFS('февраль 2023'!$G$4:$G$497,'февраль 2023'!$D$4:$D$497,$B73,'февраль 2023'!$J$4:$J$497,U$1)</f>
        <v>0</v>
      </c>
      <c r="V73" s="207">
        <f>SUMIFS('февраль 2023'!$G$4:$G$497,'февраль 2023'!$D$4:$D$497,$B73,'февраль 2023'!$J$4:$J$497,V$1)</f>
        <v>0</v>
      </c>
      <c r="W73" s="207">
        <f>SUMIFS('февраль 2023'!$G$4:$G$497,'февраль 2023'!$D$4:$D$497,$B73,'февраль 2023'!$J$4:$J$497,W$1)</f>
        <v>0</v>
      </c>
      <c r="X73" s="207">
        <f>SUMIFS('февраль 2023'!$G$4:$G$497,'февраль 2023'!$D$4:$D$497,$B73,'февраль 2023'!$J$4:$J$497,X$1)</f>
        <v>0</v>
      </c>
      <c r="Y73" s="207">
        <f>SUMIFS('февраль 2023'!$G$4:$G$497,'февраль 2023'!$D$4:$D$497,$B73,'февраль 2023'!$J$4:$J$497,Y$1)</f>
        <v>0</v>
      </c>
      <c r="Z73" s="207">
        <f>SUMIFS('февраль 2023'!$G$4:$G$497,'февраль 2023'!$D$4:$D$497,$B73,'февраль 2023'!$J$4:$J$497,Z$1)</f>
        <v>0</v>
      </c>
      <c r="AA73" s="207">
        <f>SUMIFS('февраль 2023'!$G$4:$G$497,'февраль 2023'!$D$4:$D$497,$B73,'февраль 2023'!$J$4:$J$497,AA$1)</f>
        <v>0</v>
      </c>
      <c r="AB73" s="207">
        <f>SUMIFS('февраль 2023'!$G$4:$G$497,'февраль 2023'!$D$4:$D$497,$B73,'февраль 2023'!$J$4:$J$497,AB$1)</f>
        <v>0</v>
      </c>
      <c r="AC73" s="207">
        <f>SUMIFS('февраль 2023'!$G$4:$G$497,'февраль 2023'!$D$4:$D$497,$B73,'февраль 2023'!$J$4:$J$497,AC$1)</f>
        <v>0</v>
      </c>
      <c r="AD73" s="207">
        <f>SUMIFS('февраль 2023'!$G$4:$G$497,'февраль 2023'!$D$4:$D$497,$B73,'февраль 2023'!$J$4:$J$497,AD$1)</f>
        <v>0</v>
      </c>
      <c r="AE73" s="207">
        <f>SUMIFS('февраль 2023'!$G$4:$G$497,'февраль 2023'!$D$4:$D$497,$B73,'февраль 2023'!$J$4:$J$497,AE$1)</f>
        <v>0</v>
      </c>
      <c r="AF73" s="207">
        <f>SUMIFS('февраль 2023'!$G$4:$G$497,'февраль 2023'!$D$4:$D$497,$B73,'февраль 2023'!$J$4:$J$497,AF$1)</f>
        <v>0</v>
      </c>
      <c r="AG73" s="207">
        <f>SUMIFS('февраль 2023'!$G$4:$G$497,'февраль 2023'!$D$4:$D$497,$B73,'февраль 2023'!$J$4:$J$497,AG$1)</f>
        <v>0</v>
      </c>
      <c r="AH73" s="207">
        <f>SUMIFS('февраль 2023'!$G$4:$G$497,'февраль 2023'!$D$4:$D$497,$B73,'февраль 2023'!$J$4:$J$497,AH$1)</f>
        <v>0</v>
      </c>
      <c r="AI73" s="170">
        <f t="shared" si="2"/>
        <v>0</v>
      </c>
    </row>
    <row r="74" spans="2:35" ht="15" customHeight="1" x14ac:dyDescent="0.25">
      <c r="B74" s="212" t="s">
        <v>1779</v>
      </c>
      <c r="C74" s="211">
        <v>180</v>
      </c>
      <c r="D74" s="207">
        <f>SUMIFS('февраль 2023'!$G$4:$G$497,'февраль 2023'!$D$4:$D$497,$B74,'февраль 2023'!$J$4:$J$497,D$1)</f>
        <v>88</v>
      </c>
      <c r="E74" s="207">
        <f>SUMIFS('февраль 2023'!$G$4:$G$497,'февраль 2023'!$D$4:$D$497,$B74,'февраль 2023'!$J$4:$J$497,E$1)</f>
        <v>0</v>
      </c>
      <c r="F74" s="207">
        <f>SUMIFS('февраль 2023'!$G$4:$G$497,'февраль 2023'!$D$4:$D$497,$B74,'февраль 2023'!$J$4:$J$497,F$1)</f>
        <v>0</v>
      </c>
      <c r="G74" s="207">
        <f>SUMIFS('февраль 2023'!$G$4:$G$497,'февраль 2023'!$D$4:$D$497,$B74,'февраль 2023'!$J$4:$J$497,G$1)</f>
        <v>0</v>
      </c>
      <c r="H74" s="207">
        <f>SUMIFS('февраль 2023'!$G$4:$G$497,'февраль 2023'!$D$4:$D$497,$B74,'февраль 2023'!$J$4:$J$497,H$1)</f>
        <v>0</v>
      </c>
      <c r="I74" s="207">
        <f>SUMIFS('февраль 2023'!$G$4:$G$497,'февраль 2023'!$D$4:$D$497,$B74,'февраль 2023'!$J$4:$J$497,I$1)</f>
        <v>0</v>
      </c>
      <c r="J74" s="207">
        <f>SUMIFS('февраль 2023'!$G$4:$G$497,'февраль 2023'!$D$4:$D$497,$B74,'февраль 2023'!$J$4:$J$497,J$1)</f>
        <v>0</v>
      </c>
      <c r="K74" s="207">
        <f>SUMIFS('февраль 2023'!$G$4:$G$497,'февраль 2023'!$D$4:$D$497,$B74,'февраль 2023'!$J$4:$J$497,K$1)</f>
        <v>0</v>
      </c>
      <c r="L74" s="207">
        <f>SUMIFS('февраль 2023'!$G$4:$G$497,'февраль 2023'!$D$4:$D$497,$B74,'февраль 2023'!$J$4:$J$497,L$1)</f>
        <v>0</v>
      </c>
      <c r="M74" s="207">
        <f>SUMIFS('февраль 2023'!$G$4:$G$497,'февраль 2023'!$D$4:$D$497,$B74,'февраль 2023'!$J$4:$J$497,M$1)</f>
        <v>0</v>
      </c>
      <c r="N74" s="207">
        <f>SUMIFS('февраль 2023'!$G$4:$G$497,'февраль 2023'!$D$4:$D$497,$B74,'февраль 2023'!$J$4:$J$497,N$1)</f>
        <v>0</v>
      </c>
      <c r="O74" s="207">
        <f>SUMIFS('февраль 2023'!$G$4:$G$497,'февраль 2023'!$D$4:$D$497,$B74,'февраль 2023'!$J$4:$J$497,O$1)</f>
        <v>0</v>
      </c>
      <c r="P74" s="207">
        <f>SUMIFS('февраль 2023'!$G$4:$G$497,'февраль 2023'!$D$4:$D$497,$B74,'февраль 2023'!$J$4:$J$497,P$1)</f>
        <v>0</v>
      </c>
      <c r="Q74" s="207">
        <f>SUMIFS('февраль 2023'!$G$4:$G$497,'февраль 2023'!$D$4:$D$497,$B74,'февраль 2023'!$J$4:$J$497,Q$1)</f>
        <v>0</v>
      </c>
      <c r="R74" s="207">
        <f>SUMIFS('февраль 2023'!$G$4:$G$497,'февраль 2023'!$D$4:$D$497,$B74,'февраль 2023'!$J$4:$J$497,R$1)</f>
        <v>0</v>
      </c>
      <c r="S74" s="207">
        <f>SUMIFS('февраль 2023'!$G$4:$G$497,'февраль 2023'!$D$4:$D$497,$B74,'февраль 2023'!$J$4:$J$497,S$1)</f>
        <v>0</v>
      </c>
      <c r="T74" s="207">
        <f>SUMIFS('февраль 2023'!$G$4:$G$497,'февраль 2023'!$D$4:$D$497,$B74,'февраль 2023'!$J$4:$J$497,T$1)</f>
        <v>0</v>
      </c>
      <c r="U74" s="207">
        <f>SUMIFS('февраль 2023'!$G$4:$G$497,'февраль 2023'!$D$4:$D$497,$B74,'февраль 2023'!$J$4:$J$497,U$1)</f>
        <v>0</v>
      </c>
      <c r="V74" s="207">
        <f>SUMIFS('февраль 2023'!$G$4:$G$497,'февраль 2023'!$D$4:$D$497,$B74,'февраль 2023'!$J$4:$J$497,V$1)</f>
        <v>0</v>
      </c>
      <c r="W74" s="207">
        <f>SUMIFS('февраль 2023'!$G$4:$G$497,'февраль 2023'!$D$4:$D$497,$B74,'февраль 2023'!$J$4:$J$497,W$1)</f>
        <v>0</v>
      </c>
      <c r="X74" s="207">
        <f>SUMIFS('февраль 2023'!$G$4:$G$497,'февраль 2023'!$D$4:$D$497,$B74,'февраль 2023'!$J$4:$J$497,X$1)</f>
        <v>0</v>
      </c>
      <c r="Y74" s="207">
        <f>SUMIFS('февраль 2023'!$G$4:$G$497,'февраль 2023'!$D$4:$D$497,$B74,'февраль 2023'!$J$4:$J$497,Y$1)</f>
        <v>0</v>
      </c>
      <c r="Z74" s="207">
        <f>SUMIFS('февраль 2023'!$G$4:$G$497,'февраль 2023'!$D$4:$D$497,$B74,'февраль 2023'!$J$4:$J$497,Z$1)</f>
        <v>0</v>
      </c>
      <c r="AA74" s="207">
        <f>SUMIFS('февраль 2023'!$G$4:$G$497,'февраль 2023'!$D$4:$D$497,$B74,'февраль 2023'!$J$4:$J$497,AA$1)</f>
        <v>0</v>
      </c>
      <c r="AB74" s="207">
        <f>SUMIFS('февраль 2023'!$G$4:$G$497,'февраль 2023'!$D$4:$D$497,$B74,'февраль 2023'!$J$4:$J$497,AB$1)</f>
        <v>0</v>
      </c>
      <c r="AC74" s="207">
        <f>SUMIFS('февраль 2023'!$G$4:$G$497,'февраль 2023'!$D$4:$D$497,$B74,'февраль 2023'!$J$4:$J$497,AC$1)</f>
        <v>0</v>
      </c>
      <c r="AD74" s="207">
        <f>SUMIFS('февраль 2023'!$G$4:$G$497,'февраль 2023'!$D$4:$D$497,$B74,'февраль 2023'!$J$4:$J$497,AD$1)</f>
        <v>0</v>
      </c>
      <c r="AE74" s="207">
        <f>SUMIFS('февраль 2023'!$G$4:$G$497,'февраль 2023'!$D$4:$D$497,$B74,'февраль 2023'!$J$4:$J$497,AE$1)</f>
        <v>0</v>
      </c>
      <c r="AF74" s="207">
        <f>SUMIFS('февраль 2023'!$G$4:$G$497,'февраль 2023'!$D$4:$D$497,$B74,'февраль 2023'!$J$4:$J$497,AF$1)</f>
        <v>0</v>
      </c>
      <c r="AG74" s="207">
        <f>SUMIFS('февраль 2023'!$G$4:$G$497,'февраль 2023'!$D$4:$D$497,$B74,'февраль 2023'!$J$4:$J$497,AG$1)</f>
        <v>0</v>
      </c>
      <c r="AH74" s="207">
        <f>SUMIFS('февраль 2023'!$G$4:$G$497,'февраль 2023'!$D$4:$D$497,$B74,'февраль 2023'!$J$4:$J$497,AH$1)</f>
        <v>0</v>
      </c>
      <c r="AI74" s="170">
        <f t="shared" si="2"/>
        <v>88</v>
      </c>
    </row>
    <row r="75" spans="2:35" ht="15" customHeight="1" x14ac:dyDescent="0.25">
      <c r="B75" s="217" t="s">
        <v>634</v>
      </c>
      <c r="C75" s="213">
        <v>200</v>
      </c>
      <c r="D75" s="207">
        <f>SUMIFS('февраль 2023'!$G$4:$G$497,'февраль 2023'!$D$4:$D$497,$B75,'февраль 2023'!$J$4:$J$497,D$1)</f>
        <v>0</v>
      </c>
      <c r="E75" s="207">
        <f>SUMIFS('февраль 2023'!$G$4:$G$497,'февраль 2023'!$D$4:$D$497,$B75,'февраль 2023'!$J$4:$J$497,E$1)</f>
        <v>0</v>
      </c>
      <c r="F75" s="207">
        <f>SUMIFS('февраль 2023'!$G$4:$G$497,'февраль 2023'!$D$4:$D$497,$B75,'февраль 2023'!$J$4:$J$497,F$1)</f>
        <v>0</v>
      </c>
      <c r="G75" s="207">
        <f>SUMIFS('февраль 2023'!$G$4:$G$497,'февраль 2023'!$D$4:$D$497,$B75,'февраль 2023'!$J$4:$J$497,G$1)</f>
        <v>0</v>
      </c>
      <c r="H75" s="207">
        <f>SUMIFS('февраль 2023'!$G$4:$G$497,'февраль 2023'!$D$4:$D$497,$B75,'февраль 2023'!$J$4:$J$497,H$1)</f>
        <v>0</v>
      </c>
      <c r="I75" s="207">
        <f>SUMIFS('февраль 2023'!$G$4:$G$497,'февраль 2023'!$D$4:$D$497,$B75,'февраль 2023'!$J$4:$J$497,I$1)</f>
        <v>0</v>
      </c>
      <c r="J75" s="207">
        <f>SUMIFS('февраль 2023'!$G$4:$G$497,'февраль 2023'!$D$4:$D$497,$B75,'февраль 2023'!$J$4:$J$497,J$1)</f>
        <v>0</v>
      </c>
      <c r="K75" s="207">
        <f>SUMIFS('февраль 2023'!$G$4:$G$497,'февраль 2023'!$D$4:$D$497,$B75,'февраль 2023'!$J$4:$J$497,K$1)</f>
        <v>0</v>
      </c>
      <c r="L75" s="207">
        <f>SUMIFS('февраль 2023'!$G$4:$G$497,'февраль 2023'!$D$4:$D$497,$B75,'февраль 2023'!$J$4:$J$497,L$1)</f>
        <v>0</v>
      </c>
      <c r="M75" s="207">
        <f>SUMIFS('февраль 2023'!$G$4:$G$497,'февраль 2023'!$D$4:$D$497,$B75,'февраль 2023'!$J$4:$J$497,M$1)</f>
        <v>0</v>
      </c>
      <c r="N75" s="207">
        <f>SUMIFS('февраль 2023'!$G$4:$G$497,'февраль 2023'!$D$4:$D$497,$B75,'февраль 2023'!$J$4:$J$497,N$1)</f>
        <v>0</v>
      </c>
      <c r="O75" s="207">
        <f>SUMIFS('февраль 2023'!$G$4:$G$497,'февраль 2023'!$D$4:$D$497,$B75,'февраль 2023'!$J$4:$J$497,O$1)</f>
        <v>0</v>
      </c>
      <c r="P75" s="207">
        <f>SUMIFS('февраль 2023'!$G$4:$G$497,'февраль 2023'!$D$4:$D$497,$B75,'февраль 2023'!$J$4:$J$497,P$1)</f>
        <v>0</v>
      </c>
      <c r="Q75" s="207">
        <f>SUMIFS('февраль 2023'!$G$4:$G$497,'февраль 2023'!$D$4:$D$497,$B75,'февраль 2023'!$J$4:$J$497,Q$1)</f>
        <v>0</v>
      </c>
      <c r="R75" s="207">
        <f>SUMIFS('февраль 2023'!$G$4:$G$497,'февраль 2023'!$D$4:$D$497,$B75,'февраль 2023'!$J$4:$J$497,R$1)</f>
        <v>0</v>
      </c>
      <c r="S75" s="207">
        <f>SUMIFS('февраль 2023'!$G$4:$G$497,'февраль 2023'!$D$4:$D$497,$B75,'февраль 2023'!$J$4:$J$497,S$1)</f>
        <v>0</v>
      </c>
      <c r="T75" s="207">
        <f>SUMIFS('февраль 2023'!$G$4:$G$497,'февраль 2023'!$D$4:$D$497,$B75,'февраль 2023'!$J$4:$J$497,T$1)</f>
        <v>0</v>
      </c>
      <c r="U75" s="207">
        <f>SUMIFS('февраль 2023'!$G$4:$G$497,'февраль 2023'!$D$4:$D$497,$B75,'февраль 2023'!$J$4:$J$497,U$1)</f>
        <v>0</v>
      </c>
      <c r="V75" s="207">
        <f>SUMIFS('февраль 2023'!$G$4:$G$497,'февраль 2023'!$D$4:$D$497,$B75,'февраль 2023'!$J$4:$J$497,V$1)</f>
        <v>0</v>
      </c>
      <c r="W75" s="207">
        <f>SUMIFS('февраль 2023'!$G$4:$G$497,'февраль 2023'!$D$4:$D$497,$B75,'февраль 2023'!$J$4:$J$497,W$1)</f>
        <v>0</v>
      </c>
      <c r="X75" s="207">
        <f>SUMIFS('февраль 2023'!$G$4:$G$497,'февраль 2023'!$D$4:$D$497,$B75,'февраль 2023'!$J$4:$J$497,X$1)</f>
        <v>0</v>
      </c>
      <c r="Y75" s="207">
        <f>SUMIFS('февраль 2023'!$G$4:$G$497,'февраль 2023'!$D$4:$D$497,$B75,'февраль 2023'!$J$4:$J$497,Y$1)</f>
        <v>80</v>
      </c>
      <c r="Z75" s="207">
        <f>SUMIFS('февраль 2023'!$G$4:$G$497,'февраль 2023'!$D$4:$D$497,$B75,'февраль 2023'!$J$4:$J$497,Z$1)</f>
        <v>0</v>
      </c>
      <c r="AA75" s="207">
        <f>SUMIFS('февраль 2023'!$G$4:$G$497,'февраль 2023'!$D$4:$D$497,$B75,'февраль 2023'!$J$4:$J$497,AA$1)</f>
        <v>0</v>
      </c>
      <c r="AB75" s="207">
        <f>SUMIFS('февраль 2023'!$G$4:$G$497,'февраль 2023'!$D$4:$D$497,$B75,'февраль 2023'!$J$4:$J$497,AB$1)</f>
        <v>0</v>
      </c>
      <c r="AC75" s="207">
        <f>SUMIFS('февраль 2023'!$G$4:$G$497,'февраль 2023'!$D$4:$D$497,$B75,'февраль 2023'!$J$4:$J$497,AC$1)</f>
        <v>0</v>
      </c>
      <c r="AD75" s="207">
        <f>SUMIFS('февраль 2023'!$G$4:$G$497,'февраль 2023'!$D$4:$D$497,$B75,'февраль 2023'!$J$4:$J$497,AD$1)</f>
        <v>176</v>
      </c>
      <c r="AE75" s="207">
        <f>SUMIFS('февраль 2023'!$G$4:$G$497,'февраль 2023'!$D$4:$D$497,$B75,'февраль 2023'!$J$4:$J$497,AE$1)</f>
        <v>0</v>
      </c>
      <c r="AF75" s="207">
        <f>SUMIFS('февраль 2023'!$G$4:$G$497,'февраль 2023'!$D$4:$D$497,$B75,'февраль 2023'!$J$4:$J$497,AF$1)</f>
        <v>0</v>
      </c>
      <c r="AG75" s="207">
        <f>SUMIFS('февраль 2023'!$G$4:$G$497,'февраль 2023'!$D$4:$D$497,$B75,'февраль 2023'!$J$4:$J$497,AG$1)</f>
        <v>0</v>
      </c>
      <c r="AH75" s="207">
        <f>SUMIFS('февраль 2023'!$G$4:$G$497,'февраль 2023'!$D$4:$D$497,$B75,'февраль 2023'!$J$4:$J$497,AH$1)</f>
        <v>0</v>
      </c>
      <c r="AI75" s="170">
        <f t="shared" si="2"/>
        <v>256</v>
      </c>
    </row>
    <row r="76" spans="2:35" ht="15" customHeight="1" x14ac:dyDescent="0.25">
      <c r="B76" s="212" t="s">
        <v>1663</v>
      </c>
      <c r="C76" s="213">
        <v>185</v>
      </c>
      <c r="D76" s="207">
        <f>SUMIFS('февраль 2023'!$G$4:$G$497,'февраль 2023'!$D$4:$D$497,$B76,'февраль 2023'!$J$4:$J$497,D$1)</f>
        <v>0</v>
      </c>
      <c r="E76" s="207">
        <f>SUMIFS('февраль 2023'!$G$4:$G$497,'февраль 2023'!$D$4:$D$497,$B76,'февраль 2023'!$J$4:$J$497,E$1)</f>
        <v>0</v>
      </c>
      <c r="F76" s="207">
        <f>SUMIFS('февраль 2023'!$G$4:$G$497,'февраль 2023'!$D$4:$D$497,$B76,'февраль 2023'!$J$4:$J$497,F$1)</f>
        <v>0</v>
      </c>
      <c r="G76" s="207">
        <f>SUMIFS('февраль 2023'!$G$4:$G$497,'февраль 2023'!$D$4:$D$497,$B76,'февраль 2023'!$J$4:$J$497,G$1)</f>
        <v>0</v>
      </c>
      <c r="H76" s="207">
        <f>SUMIFS('февраль 2023'!$G$4:$G$497,'февраль 2023'!$D$4:$D$497,$B76,'февраль 2023'!$J$4:$J$497,H$1)</f>
        <v>0</v>
      </c>
      <c r="I76" s="207">
        <f>SUMIFS('февраль 2023'!$G$4:$G$497,'февраль 2023'!$D$4:$D$497,$B76,'февраль 2023'!$J$4:$J$497,I$1)</f>
        <v>0</v>
      </c>
      <c r="J76" s="207">
        <f>SUMIFS('февраль 2023'!$G$4:$G$497,'февраль 2023'!$D$4:$D$497,$B76,'февраль 2023'!$J$4:$J$497,J$1)</f>
        <v>0</v>
      </c>
      <c r="K76" s="207">
        <f>SUMIFS('февраль 2023'!$G$4:$G$497,'февраль 2023'!$D$4:$D$497,$B76,'февраль 2023'!$J$4:$J$497,K$1)</f>
        <v>0</v>
      </c>
      <c r="L76" s="207">
        <f>SUMIFS('февраль 2023'!$G$4:$G$497,'февраль 2023'!$D$4:$D$497,$B76,'февраль 2023'!$J$4:$J$497,L$1)</f>
        <v>0</v>
      </c>
      <c r="M76" s="207">
        <f>SUMIFS('февраль 2023'!$G$4:$G$497,'февраль 2023'!$D$4:$D$497,$B76,'февраль 2023'!$J$4:$J$497,M$1)</f>
        <v>0</v>
      </c>
      <c r="N76" s="207">
        <f>SUMIFS('февраль 2023'!$G$4:$G$497,'февраль 2023'!$D$4:$D$497,$B76,'февраль 2023'!$J$4:$J$497,N$1)</f>
        <v>0</v>
      </c>
      <c r="O76" s="207">
        <f>SUMIFS('февраль 2023'!$G$4:$G$497,'февраль 2023'!$D$4:$D$497,$B76,'февраль 2023'!$J$4:$J$497,O$1)</f>
        <v>0</v>
      </c>
      <c r="P76" s="207">
        <f>SUMIFS('февраль 2023'!$G$4:$G$497,'февраль 2023'!$D$4:$D$497,$B76,'февраль 2023'!$J$4:$J$497,P$1)</f>
        <v>0</v>
      </c>
      <c r="Q76" s="207">
        <f>SUMIFS('февраль 2023'!$G$4:$G$497,'февраль 2023'!$D$4:$D$497,$B76,'февраль 2023'!$J$4:$J$497,Q$1)</f>
        <v>0</v>
      </c>
      <c r="R76" s="207">
        <f>SUMIFS('февраль 2023'!$G$4:$G$497,'февраль 2023'!$D$4:$D$497,$B76,'февраль 2023'!$J$4:$J$497,R$1)</f>
        <v>0</v>
      </c>
      <c r="S76" s="207">
        <f>SUMIFS('февраль 2023'!$G$4:$G$497,'февраль 2023'!$D$4:$D$497,$B76,'февраль 2023'!$J$4:$J$497,S$1)</f>
        <v>0</v>
      </c>
      <c r="T76" s="207">
        <f>SUMIFS('февраль 2023'!$G$4:$G$497,'февраль 2023'!$D$4:$D$497,$B76,'февраль 2023'!$J$4:$J$497,T$1)</f>
        <v>0</v>
      </c>
      <c r="U76" s="207">
        <f>SUMIFS('февраль 2023'!$G$4:$G$497,'февраль 2023'!$D$4:$D$497,$B76,'февраль 2023'!$J$4:$J$497,U$1)</f>
        <v>0</v>
      </c>
      <c r="V76" s="207">
        <f>SUMIFS('февраль 2023'!$G$4:$G$497,'февраль 2023'!$D$4:$D$497,$B76,'февраль 2023'!$J$4:$J$497,V$1)</f>
        <v>0</v>
      </c>
      <c r="W76" s="207">
        <f>SUMIFS('февраль 2023'!$G$4:$G$497,'февраль 2023'!$D$4:$D$497,$B76,'февраль 2023'!$J$4:$J$497,W$1)</f>
        <v>0</v>
      </c>
      <c r="X76" s="207">
        <f>SUMIFS('февраль 2023'!$G$4:$G$497,'февраль 2023'!$D$4:$D$497,$B76,'февраль 2023'!$J$4:$J$497,X$1)</f>
        <v>0</v>
      </c>
      <c r="Y76" s="207">
        <f>SUMIFS('февраль 2023'!$G$4:$G$497,'февраль 2023'!$D$4:$D$497,$B76,'февраль 2023'!$J$4:$J$497,Y$1)</f>
        <v>0</v>
      </c>
      <c r="Z76" s="207">
        <f>SUMIFS('февраль 2023'!$G$4:$G$497,'февраль 2023'!$D$4:$D$497,$B76,'февраль 2023'!$J$4:$J$497,Z$1)</f>
        <v>80</v>
      </c>
      <c r="AA76" s="207">
        <f>SUMIFS('февраль 2023'!$G$4:$G$497,'февраль 2023'!$D$4:$D$497,$B76,'февраль 2023'!$J$4:$J$497,AA$1)</f>
        <v>0</v>
      </c>
      <c r="AB76" s="207">
        <f>SUMIFS('февраль 2023'!$G$4:$G$497,'февраль 2023'!$D$4:$D$497,$B76,'февраль 2023'!$J$4:$J$497,AB$1)</f>
        <v>0</v>
      </c>
      <c r="AC76" s="207">
        <f>SUMIFS('февраль 2023'!$G$4:$G$497,'февраль 2023'!$D$4:$D$497,$B76,'февраль 2023'!$J$4:$J$497,AC$1)</f>
        <v>0</v>
      </c>
      <c r="AD76" s="207">
        <f>SUMIFS('февраль 2023'!$G$4:$G$497,'февраль 2023'!$D$4:$D$497,$B76,'февраль 2023'!$J$4:$J$497,AD$1)</f>
        <v>0</v>
      </c>
      <c r="AE76" s="207">
        <f>SUMIFS('февраль 2023'!$G$4:$G$497,'февраль 2023'!$D$4:$D$497,$B76,'февраль 2023'!$J$4:$J$497,AE$1)</f>
        <v>0</v>
      </c>
      <c r="AF76" s="207">
        <f>SUMIFS('февраль 2023'!$G$4:$G$497,'февраль 2023'!$D$4:$D$497,$B76,'февраль 2023'!$J$4:$J$497,AF$1)</f>
        <v>0</v>
      </c>
      <c r="AG76" s="207">
        <f>SUMIFS('февраль 2023'!$G$4:$G$497,'февраль 2023'!$D$4:$D$497,$B76,'февраль 2023'!$J$4:$J$497,AG$1)</f>
        <v>0</v>
      </c>
      <c r="AH76" s="207">
        <f>SUMIFS('февраль 2023'!$G$4:$G$497,'февраль 2023'!$D$4:$D$497,$B76,'февраль 2023'!$J$4:$J$497,AH$1)</f>
        <v>0</v>
      </c>
      <c r="AI76" s="170">
        <f t="shared" si="2"/>
        <v>80</v>
      </c>
    </row>
    <row r="77" spans="2:35" ht="15" customHeight="1" x14ac:dyDescent="0.25">
      <c r="B77" s="212" t="s">
        <v>2193</v>
      </c>
      <c r="C77" s="211">
        <v>190</v>
      </c>
      <c r="D77" s="207">
        <f>SUMIFS('февраль 2023'!$G$4:$G$497,'февраль 2023'!$D$4:$D$497,$B77,'февраль 2023'!$J$4:$J$497,D$1)</f>
        <v>0</v>
      </c>
      <c r="E77" s="207">
        <f>SUMIFS('февраль 2023'!$G$4:$G$497,'февраль 2023'!$D$4:$D$497,$B77,'февраль 2023'!$J$4:$J$497,E$1)</f>
        <v>0</v>
      </c>
      <c r="F77" s="207">
        <f>SUMIFS('февраль 2023'!$G$4:$G$497,'февраль 2023'!$D$4:$D$497,$B77,'февраль 2023'!$J$4:$J$497,F$1)</f>
        <v>0</v>
      </c>
      <c r="G77" s="207">
        <f>SUMIFS('февраль 2023'!$G$4:$G$497,'февраль 2023'!$D$4:$D$497,$B77,'февраль 2023'!$J$4:$J$497,G$1)</f>
        <v>0</v>
      </c>
      <c r="H77" s="207">
        <f>SUMIFS('февраль 2023'!$G$4:$G$497,'февраль 2023'!$D$4:$D$497,$B77,'февраль 2023'!$J$4:$J$497,H$1)</f>
        <v>0</v>
      </c>
      <c r="I77" s="207">
        <f>SUMIFS('февраль 2023'!$G$4:$G$497,'февраль 2023'!$D$4:$D$497,$B77,'февраль 2023'!$J$4:$J$497,I$1)</f>
        <v>0</v>
      </c>
      <c r="J77" s="207">
        <f>SUMIFS('февраль 2023'!$G$4:$G$497,'февраль 2023'!$D$4:$D$497,$B77,'февраль 2023'!$J$4:$J$497,J$1)</f>
        <v>0</v>
      </c>
      <c r="K77" s="207">
        <f>SUMIFS('февраль 2023'!$G$4:$G$497,'февраль 2023'!$D$4:$D$497,$B77,'февраль 2023'!$J$4:$J$497,K$1)</f>
        <v>0</v>
      </c>
      <c r="L77" s="207">
        <f>SUMIFS('февраль 2023'!$G$4:$G$497,'февраль 2023'!$D$4:$D$497,$B77,'февраль 2023'!$J$4:$J$497,L$1)</f>
        <v>0</v>
      </c>
      <c r="M77" s="207">
        <f>SUMIFS('февраль 2023'!$G$4:$G$497,'февраль 2023'!$D$4:$D$497,$B77,'февраль 2023'!$J$4:$J$497,M$1)</f>
        <v>0</v>
      </c>
      <c r="N77" s="207">
        <f>SUMIFS('февраль 2023'!$G$4:$G$497,'февраль 2023'!$D$4:$D$497,$B77,'февраль 2023'!$J$4:$J$497,N$1)</f>
        <v>0</v>
      </c>
      <c r="O77" s="207">
        <f>SUMIFS('февраль 2023'!$G$4:$G$497,'февраль 2023'!$D$4:$D$497,$B77,'февраль 2023'!$J$4:$J$497,O$1)</f>
        <v>0</v>
      </c>
      <c r="P77" s="207">
        <f>SUMIFS('февраль 2023'!$G$4:$G$497,'февраль 2023'!$D$4:$D$497,$B77,'февраль 2023'!$J$4:$J$497,P$1)</f>
        <v>0</v>
      </c>
      <c r="Q77" s="207">
        <f>SUMIFS('февраль 2023'!$G$4:$G$497,'февраль 2023'!$D$4:$D$497,$B77,'февраль 2023'!$J$4:$J$497,Q$1)</f>
        <v>0</v>
      </c>
      <c r="R77" s="207">
        <f>SUMIFS('февраль 2023'!$G$4:$G$497,'февраль 2023'!$D$4:$D$497,$B77,'февраль 2023'!$J$4:$J$497,R$1)</f>
        <v>0</v>
      </c>
      <c r="S77" s="207">
        <f>SUMIFS('февраль 2023'!$G$4:$G$497,'февраль 2023'!$D$4:$D$497,$B77,'февраль 2023'!$J$4:$J$497,S$1)</f>
        <v>0</v>
      </c>
      <c r="T77" s="207">
        <f>SUMIFS('февраль 2023'!$G$4:$G$497,'февраль 2023'!$D$4:$D$497,$B77,'февраль 2023'!$J$4:$J$497,T$1)</f>
        <v>0</v>
      </c>
      <c r="U77" s="207">
        <f>SUMIFS('февраль 2023'!$G$4:$G$497,'февраль 2023'!$D$4:$D$497,$B77,'февраль 2023'!$J$4:$J$497,U$1)</f>
        <v>0</v>
      </c>
      <c r="V77" s="207">
        <f>SUMIFS('февраль 2023'!$G$4:$G$497,'февраль 2023'!$D$4:$D$497,$B77,'февраль 2023'!$J$4:$J$497,V$1)</f>
        <v>0</v>
      </c>
      <c r="W77" s="207">
        <f>SUMIFS('февраль 2023'!$G$4:$G$497,'февраль 2023'!$D$4:$D$497,$B77,'февраль 2023'!$J$4:$J$497,W$1)</f>
        <v>0</v>
      </c>
      <c r="X77" s="207">
        <f>SUMIFS('февраль 2023'!$G$4:$G$497,'февраль 2023'!$D$4:$D$497,$B77,'февраль 2023'!$J$4:$J$497,X$1)</f>
        <v>0</v>
      </c>
      <c r="Y77" s="207">
        <f>SUMIFS('февраль 2023'!$G$4:$G$497,'февраль 2023'!$D$4:$D$497,$B77,'февраль 2023'!$J$4:$J$497,Y$1)</f>
        <v>0</v>
      </c>
      <c r="Z77" s="207">
        <f>SUMIFS('февраль 2023'!$G$4:$G$497,'февраль 2023'!$D$4:$D$497,$B77,'февраль 2023'!$J$4:$J$497,Z$1)</f>
        <v>0</v>
      </c>
      <c r="AA77" s="207">
        <f>SUMIFS('февраль 2023'!$G$4:$G$497,'февраль 2023'!$D$4:$D$497,$B77,'февраль 2023'!$J$4:$J$497,AA$1)</f>
        <v>0</v>
      </c>
      <c r="AB77" s="207">
        <f>SUMIFS('февраль 2023'!$G$4:$G$497,'февраль 2023'!$D$4:$D$497,$B77,'февраль 2023'!$J$4:$J$497,AB$1)</f>
        <v>0</v>
      </c>
      <c r="AC77" s="207">
        <f>SUMIFS('февраль 2023'!$G$4:$G$497,'февраль 2023'!$D$4:$D$497,$B77,'февраль 2023'!$J$4:$J$497,AC$1)</f>
        <v>0</v>
      </c>
      <c r="AD77" s="207">
        <f>SUMIFS('февраль 2023'!$G$4:$G$497,'февраль 2023'!$D$4:$D$497,$B77,'февраль 2023'!$J$4:$J$497,AD$1)</f>
        <v>0</v>
      </c>
      <c r="AE77" s="207">
        <f>SUMIFS('февраль 2023'!$G$4:$G$497,'февраль 2023'!$D$4:$D$497,$B77,'февраль 2023'!$J$4:$J$497,AE$1)</f>
        <v>0</v>
      </c>
      <c r="AF77" s="207">
        <f>SUMIFS('февраль 2023'!$G$4:$G$497,'февраль 2023'!$D$4:$D$497,$B77,'февраль 2023'!$J$4:$J$497,AF$1)</f>
        <v>0</v>
      </c>
      <c r="AG77" s="207">
        <f>SUMIFS('февраль 2023'!$G$4:$G$497,'февраль 2023'!$D$4:$D$497,$B77,'февраль 2023'!$J$4:$J$497,AG$1)</f>
        <v>0</v>
      </c>
      <c r="AH77" s="207">
        <f>SUMIFS('февраль 2023'!$G$4:$G$497,'февраль 2023'!$D$4:$D$497,$B77,'февраль 2023'!$J$4:$J$497,AH$1)</f>
        <v>0</v>
      </c>
      <c r="AI77" s="170">
        <f t="shared" si="2"/>
        <v>0</v>
      </c>
    </row>
    <row r="78" spans="2:35" ht="15" customHeight="1" x14ac:dyDescent="0.25">
      <c r="B78" s="212" t="s">
        <v>2180</v>
      </c>
      <c r="C78" s="211">
        <v>180</v>
      </c>
      <c r="D78" s="207">
        <f>SUMIFS('февраль 2023'!$G$4:$G$497,'февраль 2023'!$D$4:$D$497,$B78,'февраль 2023'!$J$4:$J$497,D$1)</f>
        <v>0</v>
      </c>
      <c r="E78" s="207">
        <f>SUMIFS('февраль 2023'!$G$4:$G$497,'февраль 2023'!$D$4:$D$497,$B78,'февраль 2023'!$J$4:$J$497,E$1)</f>
        <v>0</v>
      </c>
      <c r="F78" s="207">
        <f>SUMIFS('февраль 2023'!$G$4:$G$497,'февраль 2023'!$D$4:$D$497,$B78,'февраль 2023'!$J$4:$J$497,F$1)</f>
        <v>0</v>
      </c>
      <c r="G78" s="207">
        <f>SUMIFS('февраль 2023'!$G$4:$G$497,'февраль 2023'!$D$4:$D$497,$B78,'февраль 2023'!$J$4:$J$497,G$1)</f>
        <v>0</v>
      </c>
      <c r="H78" s="207">
        <f>SUMIFS('февраль 2023'!$G$4:$G$497,'февраль 2023'!$D$4:$D$497,$B78,'февраль 2023'!$J$4:$J$497,H$1)</f>
        <v>0</v>
      </c>
      <c r="I78" s="207">
        <f>SUMIFS('февраль 2023'!$G$4:$G$497,'февраль 2023'!$D$4:$D$497,$B78,'февраль 2023'!$J$4:$J$497,I$1)</f>
        <v>0</v>
      </c>
      <c r="J78" s="207">
        <f>SUMIFS('февраль 2023'!$G$4:$G$497,'февраль 2023'!$D$4:$D$497,$B78,'февраль 2023'!$J$4:$J$497,J$1)</f>
        <v>0</v>
      </c>
      <c r="K78" s="207">
        <f>SUMIFS('февраль 2023'!$G$4:$G$497,'февраль 2023'!$D$4:$D$497,$B78,'февраль 2023'!$J$4:$J$497,K$1)</f>
        <v>0</v>
      </c>
      <c r="L78" s="207">
        <f>SUMIFS('февраль 2023'!$G$4:$G$497,'февраль 2023'!$D$4:$D$497,$B78,'февраль 2023'!$J$4:$J$497,L$1)</f>
        <v>0</v>
      </c>
      <c r="M78" s="207">
        <f>SUMIFS('февраль 2023'!$G$4:$G$497,'февраль 2023'!$D$4:$D$497,$B78,'февраль 2023'!$J$4:$J$497,M$1)</f>
        <v>0</v>
      </c>
      <c r="N78" s="207">
        <f>SUMIFS('февраль 2023'!$G$4:$G$497,'февраль 2023'!$D$4:$D$497,$B78,'февраль 2023'!$J$4:$J$497,N$1)</f>
        <v>0</v>
      </c>
      <c r="O78" s="207">
        <f>SUMIFS('февраль 2023'!$G$4:$G$497,'февраль 2023'!$D$4:$D$497,$B78,'февраль 2023'!$J$4:$J$497,O$1)</f>
        <v>0</v>
      </c>
      <c r="P78" s="207">
        <f>SUMIFS('февраль 2023'!$G$4:$G$497,'февраль 2023'!$D$4:$D$497,$B78,'февраль 2023'!$J$4:$J$497,P$1)</f>
        <v>0</v>
      </c>
      <c r="Q78" s="207">
        <f>SUMIFS('февраль 2023'!$G$4:$G$497,'февраль 2023'!$D$4:$D$497,$B78,'февраль 2023'!$J$4:$J$497,Q$1)</f>
        <v>0</v>
      </c>
      <c r="R78" s="207">
        <f>SUMIFS('февраль 2023'!$G$4:$G$497,'февраль 2023'!$D$4:$D$497,$B78,'февраль 2023'!$J$4:$J$497,R$1)</f>
        <v>0</v>
      </c>
      <c r="S78" s="207">
        <f>SUMIFS('февраль 2023'!$G$4:$G$497,'февраль 2023'!$D$4:$D$497,$B78,'февраль 2023'!$J$4:$J$497,S$1)</f>
        <v>0</v>
      </c>
      <c r="T78" s="207">
        <f>SUMIFS('февраль 2023'!$G$4:$G$497,'февраль 2023'!$D$4:$D$497,$B78,'февраль 2023'!$J$4:$J$497,T$1)</f>
        <v>0</v>
      </c>
      <c r="U78" s="207">
        <f>SUMIFS('февраль 2023'!$G$4:$G$497,'февраль 2023'!$D$4:$D$497,$B78,'февраль 2023'!$J$4:$J$497,U$1)</f>
        <v>0</v>
      </c>
      <c r="V78" s="207">
        <f>SUMIFS('февраль 2023'!$G$4:$G$497,'февраль 2023'!$D$4:$D$497,$B78,'февраль 2023'!$J$4:$J$497,V$1)</f>
        <v>0</v>
      </c>
      <c r="W78" s="207">
        <f>SUMIFS('февраль 2023'!$G$4:$G$497,'февраль 2023'!$D$4:$D$497,$B78,'февраль 2023'!$J$4:$J$497,W$1)</f>
        <v>0</v>
      </c>
      <c r="X78" s="207">
        <f>SUMIFS('февраль 2023'!$G$4:$G$497,'февраль 2023'!$D$4:$D$497,$B78,'февраль 2023'!$J$4:$J$497,X$1)</f>
        <v>0</v>
      </c>
      <c r="Y78" s="207">
        <f>SUMIFS('февраль 2023'!$G$4:$G$497,'февраль 2023'!$D$4:$D$497,$B78,'февраль 2023'!$J$4:$J$497,Y$1)</f>
        <v>0</v>
      </c>
      <c r="Z78" s="207">
        <f>SUMIFS('февраль 2023'!$G$4:$G$497,'февраль 2023'!$D$4:$D$497,$B78,'февраль 2023'!$J$4:$J$497,Z$1)</f>
        <v>0</v>
      </c>
      <c r="AA78" s="207">
        <f>SUMIFS('февраль 2023'!$G$4:$G$497,'февраль 2023'!$D$4:$D$497,$B78,'февраль 2023'!$J$4:$J$497,AA$1)</f>
        <v>0</v>
      </c>
      <c r="AB78" s="207">
        <f>SUMIFS('февраль 2023'!$G$4:$G$497,'февраль 2023'!$D$4:$D$497,$B78,'февраль 2023'!$J$4:$J$497,AB$1)</f>
        <v>0</v>
      </c>
      <c r="AC78" s="207">
        <f>SUMIFS('февраль 2023'!$G$4:$G$497,'февраль 2023'!$D$4:$D$497,$B78,'февраль 2023'!$J$4:$J$497,AC$1)</f>
        <v>0</v>
      </c>
      <c r="AD78" s="207">
        <f>SUMIFS('февраль 2023'!$G$4:$G$497,'февраль 2023'!$D$4:$D$497,$B78,'февраль 2023'!$J$4:$J$497,AD$1)</f>
        <v>0</v>
      </c>
      <c r="AE78" s="207">
        <f>SUMIFS('февраль 2023'!$G$4:$G$497,'февраль 2023'!$D$4:$D$497,$B78,'февраль 2023'!$J$4:$J$497,AE$1)</f>
        <v>0</v>
      </c>
      <c r="AF78" s="207">
        <f>SUMIFS('февраль 2023'!$G$4:$G$497,'февраль 2023'!$D$4:$D$497,$B78,'февраль 2023'!$J$4:$J$497,AF$1)</f>
        <v>0</v>
      </c>
      <c r="AG78" s="207">
        <f>SUMIFS('февраль 2023'!$G$4:$G$497,'февраль 2023'!$D$4:$D$497,$B78,'февраль 2023'!$J$4:$J$497,AG$1)</f>
        <v>0</v>
      </c>
      <c r="AH78" s="207">
        <f>SUMIFS('февраль 2023'!$G$4:$G$497,'февраль 2023'!$D$4:$D$497,$B78,'февраль 2023'!$J$4:$J$497,AH$1)</f>
        <v>0</v>
      </c>
      <c r="AI78" s="170">
        <f t="shared" si="2"/>
        <v>0</v>
      </c>
    </row>
    <row r="79" spans="2:35" ht="15" customHeight="1" x14ac:dyDescent="0.25">
      <c r="B79" s="212" t="s">
        <v>2190</v>
      </c>
      <c r="C79" s="211">
        <v>180</v>
      </c>
      <c r="D79" s="207">
        <f>SUMIFS('февраль 2023'!$G$4:$G$497,'февраль 2023'!$D$4:$D$497,$B79,'февраль 2023'!$J$4:$J$497,D$1)</f>
        <v>0</v>
      </c>
      <c r="E79" s="207">
        <f>SUMIFS('февраль 2023'!$G$4:$G$497,'февраль 2023'!$D$4:$D$497,$B79,'февраль 2023'!$J$4:$J$497,E$1)</f>
        <v>0</v>
      </c>
      <c r="F79" s="207">
        <f>SUMIFS('февраль 2023'!$G$4:$G$497,'февраль 2023'!$D$4:$D$497,$B79,'февраль 2023'!$J$4:$J$497,F$1)</f>
        <v>0</v>
      </c>
      <c r="G79" s="207">
        <f>SUMIFS('февраль 2023'!$G$4:$G$497,'февраль 2023'!$D$4:$D$497,$B79,'февраль 2023'!$J$4:$J$497,G$1)</f>
        <v>0</v>
      </c>
      <c r="H79" s="207">
        <f>SUMIFS('февраль 2023'!$G$4:$G$497,'февраль 2023'!$D$4:$D$497,$B79,'февраль 2023'!$J$4:$J$497,H$1)</f>
        <v>0</v>
      </c>
      <c r="I79" s="207">
        <f>SUMIFS('февраль 2023'!$G$4:$G$497,'февраль 2023'!$D$4:$D$497,$B79,'февраль 2023'!$J$4:$J$497,I$1)</f>
        <v>0</v>
      </c>
      <c r="J79" s="207">
        <f>SUMIFS('февраль 2023'!$G$4:$G$497,'февраль 2023'!$D$4:$D$497,$B79,'февраль 2023'!$J$4:$J$497,J$1)</f>
        <v>0</v>
      </c>
      <c r="K79" s="207">
        <f>SUMIFS('февраль 2023'!$G$4:$G$497,'февраль 2023'!$D$4:$D$497,$B79,'февраль 2023'!$J$4:$J$497,K$1)</f>
        <v>0</v>
      </c>
      <c r="L79" s="207">
        <f>SUMIFS('февраль 2023'!$G$4:$G$497,'февраль 2023'!$D$4:$D$497,$B79,'февраль 2023'!$J$4:$J$497,L$1)</f>
        <v>0</v>
      </c>
      <c r="M79" s="207">
        <f>SUMIFS('февраль 2023'!$G$4:$G$497,'февраль 2023'!$D$4:$D$497,$B79,'февраль 2023'!$J$4:$J$497,M$1)</f>
        <v>0</v>
      </c>
      <c r="N79" s="207">
        <f>SUMIFS('февраль 2023'!$G$4:$G$497,'февраль 2023'!$D$4:$D$497,$B79,'февраль 2023'!$J$4:$J$497,N$1)</f>
        <v>0</v>
      </c>
      <c r="O79" s="207">
        <f>SUMIFS('февраль 2023'!$G$4:$G$497,'февраль 2023'!$D$4:$D$497,$B79,'февраль 2023'!$J$4:$J$497,O$1)</f>
        <v>0</v>
      </c>
      <c r="P79" s="207">
        <f>SUMIFS('февраль 2023'!$G$4:$G$497,'февраль 2023'!$D$4:$D$497,$B79,'февраль 2023'!$J$4:$J$497,P$1)</f>
        <v>0</v>
      </c>
      <c r="Q79" s="207">
        <f>SUMIFS('февраль 2023'!$G$4:$G$497,'февраль 2023'!$D$4:$D$497,$B79,'февраль 2023'!$J$4:$J$497,Q$1)</f>
        <v>0</v>
      </c>
      <c r="R79" s="207">
        <f>SUMIFS('февраль 2023'!$G$4:$G$497,'февраль 2023'!$D$4:$D$497,$B79,'февраль 2023'!$J$4:$J$497,R$1)</f>
        <v>0</v>
      </c>
      <c r="S79" s="207">
        <f>SUMIFS('февраль 2023'!$G$4:$G$497,'февраль 2023'!$D$4:$D$497,$B79,'февраль 2023'!$J$4:$J$497,S$1)</f>
        <v>0</v>
      </c>
      <c r="T79" s="207">
        <f>SUMIFS('февраль 2023'!$G$4:$G$497,'февраль 2023'!$D$4:$D$497,$B79,'февраль 2023'!$J$4:$J$497,T$1)</f>
        <v>0</v>
      </c>
      <c r="U79" s="207">
        <f>SUMIFS('февраль 2023'!$G$4:$G$497,'февраль 2023'!$D$4:$D$497,$B79,'февраль 2023'!$J$4:$J$497,U$1)</f>
        <v>0</v>
      </c>
      <c r="V79" s="207">
        <f>SUMIFS('февраль 2023'!$G$4:$G$497,'февраль 2023'!$D$4:$D$497,$B79,'февраль 2023'!$J$4:$J$497,V$1)</f>
        <v>0</v>
      </c>
      <c r="W79" s="207">
        <f>SUMIFS('февраль 2023'!$G$4:$G$497,'февраль 2023'!$D$4:$D$497,$B79,'февраль 2023'!$J$4:$J$497,W$1)</f>
        <v>0</v>
      </c>
      <c r="X79" s="207">
        <f>SUMIFS('февраль 2023'!$G$4:$G$497,'февраль 2023'!$D$4:$D$497,$B79,'февраль 2023'!$J$4:$J$497,X$1)</f>
        <v>0</v>
      </c>
      <c r="Y79" s="207">
        <f>SUMIFS('февраль 2023'!$G$4:$G$497,'февраль 2023'!$D$4:$D$497,$B79,'февраль 2023'!$J$4:$J$497,Y$1)</f>
        <v>0</v>
      </c>
      <c r="Z79" s="207">
        <f>SUMIFS('февраль 2023'!$G$4:$G$497,'февраль 2023'!$D$4:$D$497,$B79,'февраль 2023'!$J$4:$J$497,Z$1)</f>
        <v>0</v>
      </c>
      <c r="AA79" s="207">
        <f>SUMIFS('февраль 2023'!$G$4:$G$497,'февраль 2023'!$D$4:$D$497,$B79,'февраль 2023'!$J$4:$J$497,AA$1)</f>
        <v>0</v>
      </c>
      <c r="AB79" s="207">
        <f>SUMIFS('февраль 2023'!$G$4:$G$497,'февраль 2023'!$D$4:$D$497,$B79,'февраль 2023'!$J$4:$J$497,AB$1)</f>
        <v>0</v>
      </c>
      <c r="AC79" s="207">
        <f>SUMIFS('февраль 2023'!$G$4:$G$497,'февраль 2023'!$D$4:$D$497,$B79,'февраль 2023'!$J$4:$J$497,AC$1)</f>
        <v>0</v>
      </c>
      <c r="AD79" s="207">
        <f>SUMIFS('февраль 2023'!$G$4:$G$497,'февраль 2023'!$D$4:$D$497,$B79,'февраль 2023'!$J$4:$J$497,AD$1)</f>
        <v>0</v>
      </c>
      <c r="AE79" s="207">
        <f>SUMIFS('февраль 2023'!$G$4:$G$497,'февраль 2023'!$D$4:$D$497,$B79,'февраль 2023'!$J$4:$J$497,AE$1)</f>
        <v>0</v>
      </c>
      <c r="AF79" s="207">
        <f>SUMIFS('февраль 2023'!$G$4:$G$497,'февраль 2023'!$D$4:$D$497,$B79,'февраль 2023'!$J$4:$J$497,AF$1)</f>
        <v>0</v>
      </c>
      <c r="AG79" s="207">
        <f>SUMIFS('февраль 2023'!$G$4:$G$497,'февраль 2023'!$D$4:$D$497,$B79,'февраль 2023'!$J$4:$J$497,AG$1)</f>
        <v>0</v>
      </c>
      <c r="AH79" s="207">
        <f>SUMIFS('февраль 2023'!$G$4:$G$497,'февраль 2023'!$D$4:$D$497,$B79,'февраль 2023'!$J$4:$J$497,AH$1)</f>
        <v>0</v>
      </c>
      <c r="AI79" s="170">
        <f t="shared" si="2"/>
        <v>0</v>
      </c>
    </row>
    <row r="80" spans="2:35" ht="15" customHeight="1" x14ac:dyDescent="0.25">
      <c r="B80" s="216" t="s">
        <v>371</v>
      </c>
      <c r="C80" s="213">
        <v>200</v>
      </c>
      <c r="D80" s="207">
        <f>SUMIFS('февраль 2023'!$G$4:$G$497,'февраль 2023'!$D$4:$D$497,$B80,'февраль 2023'!$J$4:$J$497,D$1)</f>
        <v>0</v>
      </c>
      <c r="E80" s="207">
        <f>SUMIFS('февраль 2023'!$G$4:$G$497,'февраль 2023'!$D$4:$D$497,$B80,'февраль 2023'!$J$4:$J$497,E$1)</f>
        <v>0</v>
      </c>
      <c r="F80" s="207">
        <f>SUMIFS('февраль 2023'!$G$4:$G$497,'февраль 2023'!$D$4:$D$497,$B80,'февраль 2023'!$J$4:$J$497,F$1)</f>
        <v>0</v>
      </c>
      <c r="G80" s="207">
        <f>SUMIFS('февраль 2023'!$G$4:$G$497,'февраль 2023'!$D$4:$D$497,$B80,'февраль 2023'!$J$4:$J$497,G$1)</f>
        <v>0</v>
      </c>
      <c r="H80" s="207">
        <f>SUMIFS('февраль 2023'!$G$4:$G$497,'февраль 2023'!$D$4:$D$497,$B80,'февраль 2023'!$J$4:$J$497,H$1)</f>
        <v>0</v>
      </c>
      <c r="I80" s="207">
        <f>SUMIFS('февраль 2023'!$G$4:$G$497,'февраль 2023'!$D$4:$D$497,$B80,'февраль 2023'!$J$4:$J$497,I$1)</f>
        <v>0</v>
      </c>
      <c r="J80" s="207">
        <f>SUMIFS('февраль 2023'!$G$4:$G$497,'февраль 2023'!$D$4:$D$497,$B80,'февраль 2023'!$J$4:$J$497,J$1)</f>
        <v>0</v>
      </c>
      <c r="K80" s="207">
        <f>SUMIFS('февраль 2023'!$G$4:$G$497,'февраль 2023'!$D$4:$D$497,$B80,'февраль 2023'!$J$4:$J$497,K$1)</f>
        <v>0</v>
      </c>
      <c r="L80" s="207">
        <f>SUMIFS('февраль 2023'!$G$4:$G$497,'февраль 2023'!$D$4:$D$497,$B80,'февраль 2023'!$J$4:$J$497,L$1)</f>
        <v>0</v>
      </c>
      <c r="M80" s="207">
        <f>SUMIFS('февраль 2023'!$G$4:$G$497,'февраль 2023'!$D$4:$D$497,$B80,'февраль 2023'!$J$4:$J$497,M$1)</f>
        <v>0</v>
      </c>
      <c r="N80" s="207">
        <f>SUMIFS('февраль 2023'!$G$4:$G$497,'февраль 2023'!$D$4:$D$497,$B80,'февраль 2023'!$J$4:$J$497,N$1)</f>
        <v>0</v>
      </c>
      <c r="O80" s="207">
        <f>SUMIFS('февраль 2023'!$G$4:$G$497,'февраль 2023'!$D$4:$D$497,$B80,'февраль 2023'!$J$4:$J$497,O$1)</f>
        <v>0</v>
      </c>
      <c r="P80" s="207">
        <f>SUMIFS('февраль 2023'!$G$4:$G$497,'февраль 2023'!$D$4:$D$497,$B80,'февраль 2023'!$J$4:$J$497,P$1)</f>
        <v>0</v>
      </c>
      <c r="Q80" s="207">
        <f>SUMIFS('февраль 2023'!$G$4:$G$497,'февраль 2023'!$D$4:$D$497,$B80,'февраль 2023'!$J$4:$J$497,Q$1)</f>
        <v>0</v>
      </c>
      <c r="R80" s="207">
        <f>SUMIFS('февраль 2023'!$G$4:$G$497,'февраль 2023'!$D$4:$D$497,$B80,'февраль 2023'!$J$4:$J$497,R$1)</f>
        <v>0</v>
      </c>
      <c r="S80" s="207">
        <f>SUMIFS('февраль 2023'!$G$4:$G$497,'февраль 2023'!$D$4:$D$497,$B80,'февраль 2023'!$J$4:$J$497,S$1)</f>
        <v>0</v>
      </c>
      <c r="T80" s="207">
        <f>SUMIFS('февраль 2023'!$G$4:$G$497,'февраль 2023'!$D$4:$D$497,$B80,'февраль 2023'!$J$4:$J$497,T$1)</f>
        <v>0</v>
      </c>
      <c r="U80" s="207">
        <f>SUMIFS('февраль 2023'!$G$4:$G$497,'февраль 2023'!$D$4:$D$497,$B80,'февраль 2023'!$J$4:$J$497,U$1)</f>
        <v>0</v>
      </c>
      <c r="V80" s="207">
        <f>SUMIFS('февраль 2023'!$G$4:$G$497,'февраль 2023'!$D$4:$D$497,$B80,'февраль 2023'!$J$4:$J$497,V$1)</f>
        <v>0</v>
      </c>
      <c r="W80" s="207">
        <f>SUMIFS('февраль 2023'!$G$4:$G$497,'февраль 2023'!$D$4:$D$497,$B80,'февраль 2023'!$J$4:$J$497,W$1)</f>
        <v>0</v>
      </c>
      <c r="X80" s="207">
        <f>SUMIFS('февраль 2023'!$G$4:$G$497,'февраль 2023'!$D$4:$D$497,$B80,'февраль 2023'!$J$4:$J$497,X$1)</f>
        <v>0</v>
      </c>
      <c r="Y80" s="207">
        <f>SUMIFS('февраль 2023'!$G$4:$G$497,'февраль 2023'!$D$4:$D$497,$B80,'февраль 2023'!$J$4:$J$497,Y$1)</f>
        <v>0</v>
      </c>
      <c r="Z80" s="207">
        <f>SUMIFS('февраль 2023'!$G$4:$G$497,'февраль 2023'!$D$4:$D$497,$B80,'февраль 2023'!$J$4:$J$497,Z$1)</f>
        <v>0</v>
      </c>
      <c r="AA80" s="207">
        <f>SUMIFS('февраль 2023'!$G$4:$G$497,'февраль 2023'!$D$4:$D$497,$B80,'февраль 2023'!$J$4:$J$497,AA$1)</f>
        <v>0</v>
      </c>
      <c r="AB80" s="207">
        <f>SUMIFS('февраль 2023'!$G$4:$G$497,'февраль 2023'!$D$4:$D$497,$B80,'февраль 2023'!$J$4:$J$497,AB$1)</f>
        <v>0</v>
      </c>
      <c r="AC80" s="207">
        <f>SUMIFS('февраль 2023'!$G$4:$G$497,'февраль 2023'!$D$4:$D$497,$B80,'февраль 2023'!$J$4:$J$497,AC$1)</f>
        <v>0</v>
      </c>
      <c r="AD80" s="207">
        <f>SUMIFS('февраль 2023'!$G$4:$G$497,'февраль 2023'!$D$4:$D$497,$B80,'февраль 2023'!$J$4:$J$497,AD$1)</f>
        <v>0</v>
      </c>
      <c r="AE80" s="207">
        <f>SUMIFS('февраль 2023'!$G$4:$G$497,'февраль 2023'!$D$4:$D$497,$B80,'февраль 2023'!$J$4:$J$497,AE$1)</f>
        <v>0</v>
      </c>
      <c r="AF80" s="207">
        <f>SUMIFS('февраль 2023'!$G$4:$G$497,'февраль 2023'!$D$4:$D$497,$B80,'февраль 2023'!$J$4:$J$497,AF$1)</f>
        <v>0</v>
      </c>
      <c r="AG80" s="207">
        <f>SUMIFS('февраль 2023'!$G$4:$G$497,'февраль 2023'!$D$4:$D$497,$B80,'февраль 2023'!$J$4:$J$497,AG$1)</f>
        <v>0</v>
      </c>
      <c r="AH80" s="207">
        <f>SUMIFS('февраль 2023'!$G$4:$G$497,'февраль 2023'!$D$4:$D$497,$B80,'февраль 2023'!$J$4:$J$497,AH$1)</f>
        <v>0</v>
      </c>
      <c r="AI80" s="170">
        <f t="shared" si="2"/>
        <v>0</v>
      </c>
    </row>
    <row r="81" spans="2:35" ht="15" customHeight="1" x14ac:dyDescent="0.25">
      <c r="B81" s="216"/>
      <c r="C81" s="213"/>
      <c r="D81" s="207">
        <f>SUMIFS('февраль 2023'!$G$4:$G$497,'февраль 2023'!$D$4:$D$497,$B81,'февраль 2023'!$J$4:$J$497,D$1)</f>
        <v>0</v>
      </c>
      <c r="E81" s="207">
        <f>SUMIFS('февраль 2023'!$G$4:$G$497,'февраль 2023'!$D$4:$D$497,$B81,'февраль 2023'!$J$4:$J$497,E$1)</f>
        <v>0</v>
      </c>
      <c r="F81" s="207">
        <f>SUMIFS('февраль 2023'!$G$4:$G$497,'февраль 2023'!$D$4:$D$497,$B81,'февраль 2023'!$J$4:$J$497,F$1)</f>
        <v>0</v>
      </c>
      <c r="G81" s="207">
        <f>SUMIFS('февраль 2023'!$G$4:$G$497,'февраль 2023'!$D$4:$D$497,$B81,'февраль 2023'!$J$4:$J$497,G$1)</f>
        <v>0</v>
      </c>
      <c r="H81" s="207">
        <f>SUMIFS('февраль 2023'!$G$4:$G$497,'февраль 2023'!$D$4:$D$497,$B81,'февраль 2023'!$J$4:$J$497,H$1)</f>
        <v>0</v>
      </c>
      <c r="I81" s="207">
        <f>SUMIFS('февраль 2023'!$G$4:$G$497,'февраль 2023'!$D$4:$D$497,$B81,'февраль 2023'!$J$4:$J$497,I$1)</f>
        <v>0</v>
      </c>
      <c r="J81" s="207">
        <f>SUMIFS('февраль 2023'!$G$4:$G$497,'февраль 2023'!$D$4:$D$497,$B81,'февраль 2023'!$J$4:$J$497,J$1)</f>
        <v>0</v>
      </c>
      <c r="K81" s="207">
        <f>SUMIFS('февраль 2023'!$G$4:$G$497,'февраль 2023'!$D$4:$D$497,$B81,'февраль 2023'!$J$4:$J$497,K$1)</f>
        <v>0</v>
      </c>
      <c r="L81" s="207">
        <f>SUMIFS('февраль 2023'!$G$4:$G$497,'февраль 2023'!$D$4:$D$497,$B81,'февраль 2023'!$J$4:$J$497,L$1)</f>
        <v>0</v>
      </c>
      <c r="M81" s="207">
        <f>SUMIFS('февраль 2023'!$G$4:$G$497,'февраль 2023'!$D$4:$D$497,$B81,'февраль 2023'!$J$4:$J$497,M$1)</f>
        <v>0</v>
      </c>
      <c r="N81" s="207">
        <f>SUMIFS('февраль 2023'!$G$4:$G$497,'февраль 2023'!$D$4:$D$497,$B81,'февраль 2023'!$J$4:$J$497,N$1)</f>
        <v>0</v>
      </c>
      <c r="O81" s="207">
        <f>SUMIFS('февраль 2023'!$G$4:$G$497,'февраль 2023'!$D$4:$D$497,$B81,'февраль 2023'!$J$4:$J$497,O$1)</f>
        <v>0</v>
      </c>
      <c r="P81" s="207">
        <f>SUMIFS('февраль 2023'!$G$4:$G$497,'февраль 2023'!$D$4:$D$497,$B81,'февраль 2023'!$J$4:$J$497,P$1)</f>
        <v>0</v>
      </c>
      <c r="Q81" s="207">
        <f>SUMIFS('февраль 2023'!$G$4:$G$497,'февраль 2023'!$D$4:$D$497,$B81,'февраль 2023'!$J$4:$J$497,Q$1)</f>
        <v>0</v>
      </c>
      <c r="R81" s="207">
        <f>SUMIFS('февраль 2023'!$G$4:$G$497,'февраль 2023'!$D$4:$D$497,$B81,'февраль 2023'!$J$4:$J$497,R$1)</f>
        <v>0</v>
      </c>
      <c r="S81" s="207">
        <f>SUMIFS('февраль 2023'!$G$4:$G$497,'февраль 2023'!$D$4:$D$497,$B81,'февраль 2023'!$J$4:$J$497,S$1)</f>
        <v>0</v>
      </c>
      <c r="T81" s="207">
        <f>SUMIFS('февраль 2023'!$G$4:$G$497,'февраль 2023'!$D$4:$D$497,$B81,'февраль 2023'!$J$4:$J$497,T$1)</f>
        <v>0</v>
      </c>
      <c r="U81" s="207">
        <f>SUMIFS('февраль 2023'!$G$4:$G$497,'февраль 2023'!$D$4:$D$497,$B81,'февраль 2023'!$J$4:$J$497,U$1)</f>
        <v>0</v>
      </c>
      <c r="V81" s="207">
        <f>SUMIFS('февраль 2023'!$G$4:$G$497,'февраль 2023'!$D$4:$D$497,$B81,'февраль 2023'!$J$4:$J$497,V$1)</f>
        <v>0</v>
      </c>
      <c r="W81" s="207">
        <f>SUMIFS('февраль 2023'!$G$4:$G$497,'февраль 2023'!$D$4:$D$497,$B81,'февраль 2023'!$J$4:$J$497,W$1)</f>
        <v>0</v>
      </c>
      <c r="X81" s="207">
        <f>SUMIFS('февраль 2023'!$G$4:$G$497,'февраль 2023'!$D$4:$D$497,$B81,'февраль 2023'!$J$4:$J$497,X$1)</f>
        <v>0</v>
      </c>
      <c r="Y81" s="207">
        <f>SUMIFS('февраль 2023'!$G$4:$G$497,'февраль 2023'!$D$4:$D$497,$B81,'февраль 2023'!$J$4:$J$497,Y$1)</f>
        <v>0</v>
      </c>
      <c r="Z81" s="207">
        <f>SUMIFS('февраль 2023'!$G$4:$G$497,'февраль 2023'!$D$4:$D$497,$B81,'февраль 2023'!$J$4:$J$497,Z$1)</f>
        <v>0</v>
      </c>
      <c r="AA81" s="207">
        <f>SUMIFS('февраль 2023'!$G$4:$G$497,'февраль 2023'!$D$4:$D$497,$B81,'февраль 2023'!$J$4:$J$497,AA$1)</f>
        <v>0</v>
      </c>
      <c r="AB81" s="207">
        <f>SUMIFS('февраль 2023'!$G$4:$G$497,'февраль 2023'!$D$4:$D$497,$B81,'февраль 2023'!$J$4:$J$497,AB$1)</f>
        <v>0</v>
      </c>
      <c r="AC81" s="207">
        <f>SUMIFS('февраль 2023'!$G$4:$G$497,'февраль 2023'!$D$4:$D$497,$B81,'февраль 2023'!$J$4:$J$497,AC$1)</f>
        <v>0</v>
      </c>
      <c r="AD81" s="207">
        <f>SUMIFS('февраль 2023'!$G$4:$G$497,'февраль 2023'!$D$4:$D$497,$B81,'февраль 2023'!$J$4:$J$497,AD$1)</f>
        <v>0</v>
      </c>
      <c r="AE81" s="207">
        <f>SUMIFS('февраль 2023'!$G$4:$G$497,'февраль 2023'!$D$4:$D$497,$B81,'февраль 2023'!$J$4:$J$497,AE$1)</f>
        <v>0</v>
      </c>
      <c r="AF81" s="207">
        <f>SUMIFS('февраль 2023'!$G$4:$G$497,'февраль 2023'!$D$4:$D$497,$B81,'февраль 2023'!$J$4:$J$497,AF$1)</f>
        <v>0</v>
      </c>
      <c r="AG81" s="207">
        <f>SUMIFS('февраль 2023'!$G$4:$G$497,'февраль 2023'!$D$4:$D$497,$B81,'февраль 2023'!$J$4:$J$497,AG$1)</f>
        <v>0</v>
      </c>
      <c r="AH81" s="207">
        <f>SUMIFS('февраль 2023'!$G$4:$G$497,'февраль 2023'!$D$4:$D$497,$B81,'февраль 2023'!$J$4:$J$497,AH$1)</f>
        <v>0</v>
      </c>
      <c r="AI81" s="170">
        <f t="shared" si="2"/>
        <v>0</v>
      </c>
    </row>
    <row r="82" spans="2:35" ht="15" customHeight="1" x14ac:dyDescent="0.25">
      <c r="B82" s="216"/>
      <c r="C82" s="213"/>
      <c r="D82" s="207">
        <f>SUMIFS('февраль 2023'!$G$4:$G$497,'февраль 2023'!$D$4:$D$497,$B82,'февраль 2023'!$J$4:$J$497,D$1)</f>
        <v>0</v>
      </c>
      <c r="E82" s="207">
        <f>SUMIFS('февраль 2023'!$G$4:$G$497,'февраль 2023'!$D$4:$D$497,$B82,'февраль 2023'!$J$4:$J$497,E$1)</f>
        <v>0</v>
      </c>
      <c r="F82" s="207">
        <f>SUMIFS('февраль 2023'!$G$4:$G$497,'февраль 2023'!$D$4:$D$497,$B82,'февраль 2023'!$J$4:$J$497,F$1)</f>
        <v>0</v>
      </c>
      <c r="G82" s="207">
        <f>SUMIFS('февраль 2023'!$G$4:$G$497,'февраль 2023'!$D$4:$D$497,$B82,'февраль 2023'!$J$4:$J$497,G$1)</f>
        <v>0</v>
      </c>
      <c r="H82" s="207">
        <f>SUMIFS('февраль 2023'!$G$4:$G$497,'февраль 2023'!$D$4:$D$497,$B82,'февраль 2023'!$J$4:$J$497,H$1)</f>
        <v>0</v>
      </c>
      <c r="I82" s="207">
        <f>SUMIFS('февраль 2023'!$G$4:$G$497,'февраль 2023'!$D$4:$D$497,$B82,'февраль 2023'!$J$4:$J$497,I$1)</f>
        <v>0</v>
      </c>
      <c r="J82" s="207">
        <f>SUMIFS('февраль 2023'!$G$4:$G$497,'февраль 2023'!$D$4:$D$497,$B82,'февраль 2023'!$J$4:$J$497,J$1)</f>
        <v>0</v>
      </c>
      <c r="K82" s="207">
        <f>SUMIFS('февраль 2023'!$G$4:$G$497,'февраль 2023'!$D$4:$D$497,$B82,'февраль 2023'!$J$4:$J$497,K$1)</f>
        <v>0</v>
      </c>
      <c r="L82" s="207">
        <f>SUMIFS('февраль 2023'!$G$4:$G$497,'февраль 2023'!$D$4:$D$497,$B82,'февраль 2023'!$J$4:$J$497,L$1)</f>
        <v>0</v>
      </c>
      <c r="M82" s="207">
        <f>SUMIFS('февраль 2023'!$G$4:$G$497,'февраль 2023'!$D$4:$D$497,$B82,'февраль 2023'!$J$4:$J$497,M$1)</f>
        <v>0</v>
      </c>
      <c r="N82" s="207">
        <f>SUMIFS('февраль 2023'!$G$4:$G$497,'февраль 2023'!$D$4:$D$497,$B82,'февраль 2023'!$J$4:$J$497,N$1)</f>
        <v>0</v>
      </c>
      <c r="O82" s="207">
        <f>SUMIFS('февраль 2023'!$G$4:$G$497,'февраль 2023'!$D$4:$D$497,$B82,'февраль 2023'!$J$4:$J$497,O$1)</f>
        <v>0</v>
      </c>
      <c r="P82" s="207">
        <f>SUMIFS('февраль 2023'!$G$4:$G$497,'февраль 2023'!$D$4:$D$497,$B82,'февраль 2023'!$J$4:$J$497,P$1)</f>
        <v>0</v>
      </c>
      <c r="Q82" s="207">
        <f>SUMIFS('февраль 2023'!$G$4:$G$497,'февраль 2023'!$D$4:$D$497,$B82,'февраль 2023'!$J$4:$J$497,Q$1)</f>
        <v>0</v>
      </c>
      <c r="R82" s="207">
        <f>SUMIFS('февраль 2023'!$G$4:$G$497,'февраль 2023'!$D$4:$D$497,$B82,'февраль 2023'!$J$4:$J$497,R$1)</f>
        <v>0</v>
      </c>
      <c r="S82" s="207">
        <f>SUMIFS('февраль 2023'!$G$4:$G$497,'февраль 2023'!$D$4:$D$497,$B82,'февраль 2023'!$J$4:$J$497,S$1)</f>
        <v>0</v>
      </c>
      <c r="T82" s="207">
        <f>SUMIFS('февраль 2023'!$G$4:$G$497,'февраль 2023'!$D$4:$D$497,$B82,'февраль 2023'!$J$4:$J$497,T$1)</f>
        <v>0</v>
      </c>
      <c r="U82" s="207">
        <f>SUMIFS('февраль 2023'!$G$4:$G$497,'февраль 2023'!$D$4:$D$497,$B82,'февраль 2023'!$J$4:$J$497,U$1)</f>
        <v>0</v>
      </c>
      <c r="V82" s="207">
        <f>SUMIFS('февраль 2023'!$G$4:$G$497,'февраль 2023'!$D$4:$D$497,$B82,'февраль 2023'!$J$4:$J$497,V$1)</f>
        <v>0</v>
      </c>
      <c r="W82" s="207">
        <f>SUMIFS('февраль 2023'!$G$4:$G$497,'февраль 2023'!$D$4:$D$497,$B82,'февраль 2023'!$J$4:$J$497,W$1)</f>
        <v>0</v>
      </c>
      <c r="X82" s="207">
        <f>SUMIFS('февраль 2023'!$G$4:$G$497,'февраль 2023'!$D$4:$D$497,$B82,'февраль 2023'!$J$4:$J$497,X$1)</f>
        <v>0</v>
      </c>
      <c r="Y82" s="207">
        <f>SUMIFS('февраль 2023'!$G$4:$G$497,'февраль 2023'!$D$4:$D$497,$B82,'февраль 2023'!$J$4:$J$497,Y$1)</f>
        <v>0</v>
      </c>
      <c r="Z82" s="207">
        <f>SUMIFS('февраль 2023'!$G$4:$G$497,'февраль 2023'!$D$4:$D$497,$B82,'февраль 2023'!$J$4:$J$497,Z$1)</f>
        <v>0</v>
      </c>
      <c r="AA82" s="207">
        <f>SUMIFS('февраль 2023'!$G$4:$G$497,'февраль 2023'!$D$4:$D$497,$B82,'февраль 2023'!$J$4:$J$497,AA$1)</f>
        <v>0</v>
      </c>
      <c r="AB82" s="207">
        <f>SUMIFS('февраль 2023'!$G$4:$G$497,'февраль 2023'!$D$4:$D$497,$B82,'февраль 2023'!$J$4:$J$497,AB$1)</f>
        <v>0</v>
      </c>
      <c r="AC82" s="207">
        <f>SUMIFS('февраль 2023'!$G$4:$G$497,'февраль 2023'!$D$4:$D$497,$B82,'февраль 2023'!$J$4:$J$497,AC$1)</f>
        <v>0</v>
      </c>
      <c r="AD82" s="207">
        <f>SUMIFS('февраль 2023'!$G$4:$G$497,'февраль 2023'!$D$4:$D$497,$B82,'февраль 2023'!$J$4:$J$497,AD$1)</f>
        <v>0</v>
      </c>
      <c r="AE82" s="207">
        <f>SUMIFS('февраль 2023'!$G$4:$G$497,'февраль 2023'!$D$4:$D$497,$B82,'февраль 2023'!$J$4:$J$497,AE$1)</f>
        <v>0</v>
      </c>
      <c r="AF82" s="207">
        <f>SUMIFS('февраль 2023'!$G$4:$G$497,'февраль 2023'!$D$4:$D$497,$B82,'февраль 2023'!$J$4:$J$497,AF$1)</f>
        <v>0</v>
      </c>
      <c r="AG82" s="207">
        <f>SUMIFS('февраль 2023'!$G$4:$G$497,'февраль 2023'!$D$4:$D$497,$B82,'февраль 2023'!$J$4:$J$497,AG$1)</f>
        <v>0</v>
      </c>
      <c r="AH82" s="207">
        <f>SUMIFS('февраль 2023'!$G$4:$G$497,'февраль 2023'!$D$4:$D$497,$B82,'февраль 2023'!$J$4:$J$497,AH$1)</f>
        <v>0</v>
      </c>
      <c r="AI82" s="170">
        <f t="shared" si="2"/>
        <v>0</v>
      </c>
    </row>
    <row r="83" spans="2:35" ht="15" customHeight="1" x14ac:dyDescent="0.25">
      <c r="B83" s="216"/>
      <c r="C83" s="213"/>
      <c r="D83" s="207">
        <f>SUMIFS('февраль 2023'!$G$4:$G$497,'февраль 2023'!$D$4:$D$497,$B83,'февраль 2023'!$J$4:$J$497,D$1)</f>
        <v>0</v>
      </c>
      <c r="E83" s="207">
        <f>SUMIFS('февраль 2023'!$G$4:$G$497,'февраль 2023'!$D$4:$D$497,$B83,'февраль 2023'!$J$4:$J$497,E$1)</f>
        <v>0</v>
      </c>
      <c r="F83" s="207">
        <f>SUMIFS('февраль 2023'!$G$4:$G$497,'февраль 2023'!$D$4:$D$497,$B83,'февраль 2023'!$J$4:$J$497,F$1)</f>
        <v>0</v>
      </c>
      <c r="G83" s="207">
        <f>SUMIFS('февраль 2023'!$G$4:$G$497,'февраль 2023'!$D$4:$D$497,$B83,'февраль 2023'!$J$4:$J$497,G$1)</f>
        <v>0</v>
      </c>
      <c r="H83" s="207">
        <f>SUMIFS('февраль 2023'!$G$4:$G$497,'февраль 2023'!$D$4:$D$497,$B83,'февраль 2023'!$J$4:$J$497,H$1)</f>
        <v>0</v>
      </c>
      <c r="I83" s="207">
        <f>SUMIFS('февраль 2023'!$G$4:$G$497,'февраль 2023'!$D$4:$D$497,$B83,'февраль 2023'!$J$4:$J$497,I$1)</f>
        <v>0</v>
      </c>
      <c r="J83" s="207">
        <f>SUMIFS('февраль 2023'!$G$4:$G$497,'февраль 2023'!$D$4:$D$497,$B83,'февраль 2023'!$J$4:$J$497,J$1)</f>
        <v>0</v>
      </c>
      <c r="K83" s="207">
        <f>SUMIFS('февраль 2023'!$G$4:$G$497,'февраль 2023'!$D$4:$D$497,$B83,'февраль 2023'!$J$4:$J$497,K$1)</f>
        <v>0</v>
      </c>
      <c r="L83" s="207">
        <f>SUMIFS('февраль 2023'!$G$4:$G$497,'февраль 2023'!$D$4:$D$497,$B83,'февраль 2023'!$J$4:$J$497,L$1)</f>
        <v>0</v>
      </c>
      <c r="M83" s="207">
        <f>SUMIFS('февраль 2023'!$G$4:$G$497,'февраль 2023'!$D$4:$D$497,$B83,'февраль 2023'!$J$4:$J$497,M$1)</f>
        <v>0</v>
      </c>
      <c r="N83" s="207">
        <f>SUMIFS('февраль 2023'!$G$4:$G$497,'февраль 2023'!$D$4:$D$497,$B83,'февраль 2023'!$J$4:$J$497,N$1)</f>
        <v>0</v>
      </c>
      <c r="O83" s="207">
        <f>SUMIFS('февраль 2023'!$G$4:$G$497,'февраль 2023'!$D$4:$D$497,$B83,'февраль 2023'!$J$4:$J$497,O$1)</f>
        <v>0</v>
      </c>
      <c r="P83" s="207">
        <f>SUMIFS('февраль 2023'!$G$4:$G$497,'февраль 2023'!$D$4:$D$497,$B83,'февраль 2023'!$J$4:$J$497,P$1)</f>
        <v>0</v>
      </c>
      <c r="Q83" s="207">
        <f>SUMIFS('февраль 2023'!$G$4:$G$497,'февраль 2023'!$D$4:$D$497,$B83,'февраль 2023'!$J$4:$J$497,Q$1)</f>
        <v>0</v>
      </c>
      <c r="R83" s="207">
        <f>SUMIFS('февраль 2023'!$G$4:$G$497,'февраль 2023'!$D$4:$D$497,$B83,'февраль 2023'!$J$4:$J$497,R$1)</f>
        <v>0</v>
      </c>
      <c r="S83" s="207">
        <f>SUMIFS('февраль 2023'!$G$4:$G$497,'февраль 2023'!$D$4:$D$497,$B83,'февраль 2023'!$J$4:$J$497,S$1)</f>
        <v>0</v>
      </c>
      <c r="T83" s="207">
        <f>SUMIFS('февраль 2023'!$G$4:$G$497,'февраль 2023'!$D$4:$D$497,$B83,'февраль 2023'!$J$4:$J$497,T$1)</f>
        <v>0</v>
      </c>
      <c r="U83" s="207">
        <f>SUMIFS('февраль 2023'!$G$4:$G$497,'февраль 2023'!$D$4:$D$497,$B83,'февраль 2023'!$J$4:$J$497,U$1)</f>
        <v>0</v>
      </c>
      <c r="V83" s="207">
        <f>SUMIFS('февраль 2023'!$G$4:$G$497,'февраль 2023'!$D$4:$D$497,$B83,'февраль 2023'!$J$4:$J$497,V$1)</f>
        <v>0</v>
      </c>
      <c r="W83" s="207">
        <f>SUMIFS('февраль 2023'!$G$4:$G$497,'февраль 2023'!$D$4:$D$497,$B83,'февраль 2023'!$J$4:$J$497,W$1)</f>
        <v>0</v>
      </c>
      <c r="X83" s="207">
        <f>SUMIFS('февраль 2023'!$G$4:$G$497,'февраль 2023'!$D$4:$D$497,$B83,'февраль 2023'!$J$4:$J$497,X$1)</f>
        <v>0</v>
      </c>
      <c r="Y83" s="207">
        <f>SUMIFS('февраль 2023'!$G$4:$G$497,'февраль 2023'!$D$4:$D$497,$B83,'февраль 2023'!$J$4:$J$497,Y$1)</f>
        <v>0</v>
      </c>
      <c r="Z83" s="207">
        <f>SUMIFS('февраль 2023'!$G$4:$G$497,'февраль 2023'!$D$4:$D$497,$B83,'февраль 2023'!$J$4:$J$497,Z$1)</f>
        <v>0</v>
      </c>
      <c r="AA83" s="207">
        <f>SUMIFS('февраль 2023'!$G$4:$G$497,'февраль 2023'!$D$4:$D$497,$B83,'февраль 2023'!$J$4:$J$497,AA$1)</f>
        <v>0</v>
      </c>
      <c r="AB83" s="207">
        <f>SUMIFS('февраль 2023'!$G$4:$G$497,'февраль 2023'!$D$4:$D$497,$B83,'февраль 2023'!$J$4:$J$497,AB$1)</f>
        <v>0</v>
      </c>
      <c r="AC83" s="207">
        <f>SUMIFS('февраль 2023'!$G$4:$G$497,'февраль 2023'!$D$4:$D$497,$B83,'февраль 2023'!$J$4:$J$497,AC$1)</f>
        <v>0</v>
      </c>
      <c r="AD83" s="207">
        <f>SUMIFS('февраль 2023'!$G$4:$G$497,'февраль 2023'!$D$4:$D$497,$B83,'февраль 2023'!$J$4:$J$497,AD$1)</f>
        <v>0</v>
      </c>
      <c r="AE83" s="207">
        <f>SUMIFS('февраль 2023'!$G$4:$G$497,'февраль 2023'!$D$4:$D$497,$B83,'февраль 2023'!$J$4:$J$497,AE$1)</f>
        <v>0</v>
      </c>
      <c r="AF83" s="207">
        <f>SUMIFS('февраль 2023'!$G$4:$G$497,'февраль 2023'!$D$4:$D$497,$B83,'февраль 2023'!$J$4:$J$497,AF$1)</f>
        <v>0</v>
      </c>
      <c r="AG83" s="207">
        <f>SUMIFS('февраль 2023'!$G$4:$G$497,'февраль 2023'!$D$4:$D$497,$B83,'февраль 2023'!$J$4:$J$497,AG$1)</f>
        <v>0</v>
      </c>
      <c r="AH83" s="207">
        <f>SUMIFS('февраль 2023'!$G$4:$G$497,'февраль 2023'!$D$4:$D$497,$B83,'февраль 2023'!$J$4:$J$497,AH$1)</f>
        <v>0</v>
      </c>
      <c r="AI83" s="170">
        <f t="shared" si="2"/>
        <v>0</v>
      </c>
    </row>
    <row r="84" spans="2:35" ht="15" customHeight="1" x14ac:dyDescent="0.25">
      <c r="B84" s="212" t="s">
        <v>1608</v>
      </c>
      <c r="C84" s="211">
        <v>950</v>
      </c>
      <c r="D84" s="207">
        <f>SUMIFS('февраль 2023'!$G$4:$G$497,'февраль 2023'!$D$4:$D$497,$B84,'февраль 2023'!$J$4:$J$497,D$1)</f>
        <v>0</v>
      </c>
      <c r="E84" s="207">
        <f>SUMIFS('февраль 2023'!$G$4:$G$497,'февраль 2023'!$D$4:$D$497,$B84,'февраль 2023'!$J$4:$J$497,E$1)</f>
        <v>0</v>
      </c>
      <c r="F84" s="207">
        <f>SUMIFS('февраль 2023'!$G$4:$G$497,'февраль 2023'!$D$4:$D$497,$B84,'февраль 2023'!$J$4:$J$497,F$1)</f>
        <v>0</v>
      </c>
      <c r="G84" s="207">
        <f>SUMIFS('февраль 2023'!$G$4:$G$497,'февраль 2023'!$D$4:$D$497,$B84,'февраль 2023'!$J$4:$J$497,G$1)</f>
        <v>0</v>
      </c>
      <c r="H84" s="207">
        <f>SUMIFS('февраль 2023'!$G$4:$G$497,'февраль 2023'!$D$4:$D$497,$B84,'февраль 2023'!$J$4:$J$497,H$1)</f>
        <v>0</v>
      </c>
      <c r="I84" s="207">
        <f>SUMIFS('февраль 2023'!$G$4:$G$497,'февраль 2023'!$D$4:$D$497,$B84,'февраль 2023'!$J$4:$J$497,I$1)</f>
        <v>0</v>
      </c>
      <c r="J84" s="207">
        <f>SUMIFS('февраль 2023'!$G$4:$G$497,'февраль 2023'!$D$4:$D$497,$B84,'февраль 2023'!$J$4:$J$497,J$1)</f>
        <v>0</v>
      </c>
      <c r="K84" s="207">
        <f>SUMIFS('февраль 2023'!$G$4:$G$497,'февраль 2023'!$D$4:$D$497,$B84,'февраль 2023'!$J$4:$J$497,K$1)</f>
        <v>18</v>
      </c>
      <c r="L84" s="207">
        <f>SUMIFS('февраль 2023'!$G$4:$G$497,'февраль 2023'!$D$4:$D$497,$B84,'февраль 2023'!$J$4:$J$497,L$1)</f>
        <v>0</v>
      </c>
      <c r="M84" s="207">
        <f>SUMIFS('февраль 2023'!$G$4:$G$497,'февраль 2023'!$D$4:$D$497,$B84,'февраль 2023'!$J$4:$J$497,M$1)</f>
        <v>0</v>
      </c>
      <c r="N84" s="207">
        <f>SUMIFS('февраль 2023'!$G$4:$G$497,'февраль 2023'!$D$4:$D$497,$B84,'февраль 2023'!$J$4:$J$497,N$1)</f>
        <v>0</v>
      </c>
      <c r="O84" s="207">
        <f>SUMIFS('февраль 2023'!$G$4:$G$497,'февраль 2023'!$D$4:$D$497,$B84,'февраль 2023'!$J$4:$J$497,O$1)</f>
        <v>0</v>
      </c>
      <c r="P84" s="207">
        <f>SUMIFS('февраль 2023'!$G$4:$G$497,'февраль 2023'!$D$4:$D$497,$B84,'февраль 2023'!$J$4:$J$497,P$1)</f>
        <v>0</v>
      </c>
      <c r="Q84" s="207">
        <f>SUMIFS('февраль 2023'!$G$4:$G$497,'февраль 2023'!$D$4:$D$497,$B84,'февраль 2023'!$J$4:$J$497,Q$1)</f>
        <v>0</v>
      </c>
      <c r="R84" s="207">
        <f>SUMIFS('февраль 2023'!$G$4:$G$497,'февраль 2023'!$D$4:$D$497,$B84,'февраль 2023'!$J$4:$J$497,R$1)</f>
        <v>0</v>
      </c>
      <c r="S84" s="207">
        <f>SUMIFS('февраль 2023'!$G$4:$G$497,'февраль 2023'!$D$4:$D$497,$B84,'февраль 2023'!$J$4:$J$497,S$1)</f>
        <v>0</v>
      </c>
      <c r="T84" s="207">
        <f>SUMIFS('февраль 2023'!$G$4:$G$497,'февраль 2023'!$D$4:$D$497,$B84,'февраль 2023'!$J$4:$J$497,T$1)</f>
        <v>0</v>
      </c>
      <c r="U84" s="207">
        <f>SUMIFS('февраль 2023'!$G$4:$G$497,'февраль 2023'!$D$4:$D$497,$B84,'февраль 2023'!$J$4:$J$497,U$1)</f>
        <v>0</v>
      </c>
      <c r="V84" s="207">
        <f>SUMIFS('февраль 2023'!$G$4:$G$497,'февраль 2023'!$D$4:$D$497,$B84,'февраль 2023'!$J$4:$J$497,V$1)</f>
        <v>0</v>
      </c>
      <c r="W84" s="207">
        <f>SUMIFS('февраль 2023'!$G$4:$G$497,'февраль 2023'!$D$4:$D$497,$B84,'февраль 2023'!$J$4:$J$497,W$1)</f>
        <v>0</v>
      </c>
      <c r="X84" s="207">
        <f>SUMIFS('февраль 2023'!$G$4:$G$497,'февраль 2023'!$D$4:$D$497,$B84,'февраль 2023'!$J$4:$J$497,X$1)</f>
        <v>0</v>
      </c>
      <c r="Y84" s="207">
        <f>SUMIFS('февраль 2023'!$G$4:$G$497,'февраль 2023'!$D$4:$D$497,$B84,'февраль 2023'!$J$4:$J$497,Y$1)</f>
        <v>0</v>
      </c>
      <c r="Z84" s="207">
        <f>SUMIFS('февраль 2023'!$G$4:$G$497,'февраль 2023'!$D$4:$D$497,$B84,'февраль 2023'!$J$4:$J$497,Z$1)</f>
        <v>0</v>
      </c>
      <c r="AA84" s="207">
        <f>SUMIFS('февраль 2023'!$G$4:$G$497,'февраль 2023'!$D$4:$D$497,$B84,'февраль 2023'!$J$4:$J$497,AA$1)</f>
        <v>0</v>
      </c>
      <c r="AB84" s="207">
        <f>SUMIFS('февраль 2023'!$G$4:$G$497,'февраль 2023'!$D$4:$D$497,$B84,'февраль 2023'!$J$4:$J$497,AB$1)</f>
        <v>0</v>
      </c>
      <c r="AC84" s="207">
        <f>SUMIFS('февраль 2023'!$G$4:$G$497,'февраль 2023'!$D$4:$D$497,$B84,'февраль 2023'!$J$4:$J$497,AC$1)</f>
        <v>0</v>
      </c>
      <c r="AD84" s="207">
        <f>SUMIFS('февраль 2023'!$G$4:$G$497,'февраль 2023'!$D$4:$D$497,$B84,'февраль 2023'!$J$4:$J$497,AD$1)</f>
        <v>0</v>
      </c>
      <c r="AE84" s="207">
        <f>SUMIFS('февраль 2023'!$G$4:$G$497,'февраль 2023'!$D$4:$D$497,$B84,'февраль 2023'!$J$4:$J$497,AE$1)</f>
        <v>0</v>
      </c>
      <c r="AF84" s="207">
        <f>SUMIFS('февраль 2023'!$G$4:$G$497,'февраль 2023'!$D$4:$D$497,$B84,'февраль 2023'!$J$4:$J$497,AF$1)</f>
        <v>0</v>
      </c>
      <c r="AG84" s="207">
        <f>SUMIFS('февраль 2023'!$G$4:$G$497,'февраль 2023'!$D$4:$D$497,$B84,'февраль 2023'!$J$4:$J$497,AG$1)</f>
        <v>0</v>
      </c>
      <c r="AH84" s="207">
        <f>SUMIFS('февраль 2023'!$G$4:$G$497,'февраль 2023'!$D$4:$D$497,$B84,'февраль 2023'!$J$4:$J$497,AH$1)</f>
        <v>0</v>
      </c>
      <c r="AI84" s="170">
        <f t="shared" si="2"/>
        <v>18</v>
      </c>
    </row>
    <row r="85" spans="2:35" ht="15" customHeight="1" x14ac:dyDescent="0.25">
      <c r="B85" s="216" t="s">
        <v>1755</v>
      </c>
      <c r="C85" s="213">
        <v>200</v>
      </c>
      <c r="D85" s="207">
        <f>SUMIFS('февраль 2023'!$G$4:$G$497,'февраль 2023'!$D$4:$D$497,$B85,'февраль 2023'!$J$4:$J$497,D$1)</f>
        <v>0</v>
      </c>
      <c r="E85" s="207">
        <f>SUMIFS('февраль 2023'!$G$4:$G$497,'февраль 2023'!$D$4:$D$497,$B85,'февраль 2023'!$J$4:$J$497,E$1)</f>
        <v>0</v>
      </c>
      <c r="F85" s="207">
        <f>SUMIFS('февраль 2023'!$G$4:$G$497,'февраль 2023'!$D$4:$D$497,$B85,'февраль 2023'!$J$4:$J$497,F$1)</f>
        <v>0</v>
      </c>
      <c r="G85" s="207">
        <f>SUMIFS('февраль 2023'!$G$4:$G$497,'февраль 2023'!$D$4:$D$497,$B85,'февраль 2023'!$J$4:$J$497,G$1)</f>
        <v>0</v>
      </c>
      <c r="H85" s="207">
        <f>SUMIFS('февраль 2023'!$G$4:$G$497,'февраль 2023'!$D$4:$D$497,$B85,'февраль 2023'!$J$4:$J$497,H$1)</f>
        <v>0</v>
      </c>
      <c r="I85" s="207">
        <f>SUMIFS('февраль 2023'!$G$4:$G$497,'февраль 2023'!$D$4:$D$497,$B85,'февраль 2023'!$J$4:$J$497,I$1)</f>
        <v>0</v>
      </c>
      <c r="J85" s="207">
        <f>SUMIFS('февраль 2023'!$G$4:$G$497,'февраль 2023'!$D$4:$D$497,$B85,'февраль 2023'!$J$4:$J$497,J$1)</f>
        <v>0</v>
      </c>
      <c r="K85" s="207">
        <f>SUMIFS('февраль 2023'!$G$4:$G$497,'февраль 2023'!$D$4:$D$497,$B85,'февраль 2023'!$J$4:$J$497,K$1)</f>
        <v>0</v>
      </c>
      <c r="L85" s="207">
        <f>SUMIFS('февраль 2023'!$G$4:$G$497,'февраль 2023'!$D$4:$D$497,$B85,'февраль 2023'!$J$4:$J$497,L$1)</f>
        <v>0</v>
      </c>
      <c r="M85" s="207">
        <f>SUMIFS('февраль 2023'!$G$4:$G$497,'февраль 2023'!$D$4:$D$497,$B85,'февраль 2023'!$J$4:$J$497,M$1)</f>
        <v>0</v>
      </c>
      <c r="N85" s="207">
        <f>SUMIFS('февраль 2023'!$G$4:$G$497,'февраль 2023'!$D$4:$D$497,$B85,'февраль 2023'!$J$4:$J$497,N$1)</f>
        <v>0</v>
      </c>
      <c r="O85" s="207">
        <f>SUMIFS('февраль 2023'!$G$4:$G$497,'февраль 2023'!$D$4:$D$497,$B85,'февраль 2023'!$J$4:$J$497,O$1)</f>
        <v>0</v>
      </c>
      <c r="P85" s="207">
        <f>SUMIFS('февраль 2023'!$G$4:$G$497,'февраль 2023'!$D$4:$D$497,$B85,'февраль 2023'!$J$4:$J$497,P$1)</f>
        <v>0</v>
      </c>
      <c r="Q85" s="207">
        <f>SUMIFS('февраль 2023'!$G$4:$G$497,'февраль 2023'!$D$4:$D$497,$B85,'февраль 2023'!$J$4:$J$497,Q$1)</f>
        <v>0</v>
      </c>
      <c r="R85" s="207">
        <f>SUMIFS('февраль 2023'!$G$4:$G$497,'февраль 2023'!$D$4:$D$497,$B85,'февраль 2023'!$J$4:$J$497,R$1)</f>
        <v>0</v>
      </c>
      <c r="S85" s="207">
        <f>SUMIFS('февраль 2023'!$G$4:$G$497,'февраль 2023'!$D$4:$D$497,$B85,'февраль 2023'!$J$4:$J$497,S$1)</f>
        <v>0</v>
      </c>
      <c r="T85" s="207">
        <f>SUMIFS('февраль 2023'!$G$4:$G$497,'февраль 2023'!$D$4:$D$497,$B85,'февраль 2023'!$J$4:$J$497,T$1)</f>
        <v>0</v>
      </c>
      <c r="U85" s="207">
        <f>SUMIFS('февраль 2023'!$G$4:$G$497,'февраль 2023'!$D$4:$D$497,$B85,'февраль 2023'!$J$4:$J$497,U$1)</f>
        <v>0</v>
      </c>
      <c r="V85" s="207">
        <f>SUMIFS('февраль 2023'!$G$4:$G$497,'февраль 2023'!$D$4:$D$497,$B85,'февраль 2023'!$J$4:$J$497,V$1)</f>
        <v>0</v>
      </c>
      <c r="W85" s="207">
        <f>SUMIFS('февраль 2023'!$G$4:$G$497,'февраль 2023'!$D$4:$D$497,$B85,'февраль 2023'!$J$4:$J$497,W$1)</f>
        <v>0</v>
      </c>
      <c r="X85" s="207">
        <f>SUMIFS('февраль 2023'!$G$4:$G$497,'февраль 2023'!$D$4:$D$497,$B85,'февраль 2023'!$J$4:$J$497,X$1)</f>
        <v>0</v>
      </c>
      <c r="Y85" s="207">
        <f>SUMIFS('февраль 2023'!$G$4:$G$497,'февраль 2023'!$D$4:$D$497,$B85,'февраль 2023'!$J$4:$J$497,Y$1)</f>
        <v>0</v>
      </c>
      <c r="Z85" s="207">
        <f>SUMIFS('февраль 2023'!$G$4:$G$497,'февраль 2023'!$D$4:$D$497,$B85,'февраль 2023'!$J$4:$J$497,Z$1)</f>
        <v>0</v>
      </c>
      <c r="AA85" s="207">
        <f>SUMIFS('февраль 2023'!$G$4:$G$497,'февраль 2023'!$D$4:$D$497,$B85,'февраль 2023'!$J$4:$J$497,AA$1)</f>
        <v>0</v>
      </c>
      <c r="AB85" s="207">
        <f>SUMIFS('февраль 2023'!$G$4:$G$497,'февраль 2023'!$D$4:$D$497,$B85,'февраль 2023'!$J$4:$J$497,AB$1)</f>
        <v>0</v>
      </c>
      <c r="AC85" s="207">
        <f>SUMIFS('февраль 2023'!$G$4:$G$497,'февраль 2023'!$D$4:$D$497,$B85,'февраль 2023'!$J$4:$J$497,AC$1)</f>
        <v>0</v>
      </c>
      <c r="AD85" s="207">
        <f>SUMIFS('февраль 2023'!$G$4:$G$497,'февраль 2023'!$D$4:$D$497,$B85,'февраль 2023'!$J$4:$J$497,AD$1)</f>
        <v>0</v>
      </c>
      <c r="AE85" s="207">
        <f>SUMIFS('февраль 2023'!$G$4:$G$497,'февраль 2023'!$D$4:$D$497,$B85,'февраль 2023'!$J$4:$J$497,AE$1)</f>
        <v>0</v>
      </c>
      <c r="AF85" s="207">
        <f>SUMIFS('февраль 2023'!$G$4:$G$497,'февраль 2023'!$D$4:$D$497,$B85,'февраль 2023'!$J$4:$J$497,AF$1)</f>
        <v>0</v>
      </c>
      <c r="AG85" s="207">
        <f>SUMIFS('февраль 2023'!$G$4:$G$497,'февраль 2023'!$D$4:$D$497,$B85,'февраль 2023'!$J$4:$J$497,AG$1)</f>
        <v>0</v>
      </c>
      <c r="AH85" s="207">
        <f>SUMIFS('февраль 2023'!$G$4:$G$497,'февраль 2023'!$D$4:$D$497,$B85,'февраль 2023'!$J$4:$J$497,AH$1)</f>
        <v>0</v>
      </c>
      <c r="AI85" s="170">
        <f t="shared" si="2"/>
        <v>0</v>
      </c>
    </row>
    <row r="86" spans="2:35" ht="15" customHeight="1" x14ac:dyDescent="0.25">
      <c r="B86" s="216" t="s">
        <v>2191</v>
      </c>
      <c r="C86" s="213">
        <v>200</v>
      </c>
      <c r="D86" s="207">
        <f>SUMIFS('февраль 2023'!$G$4:$G$497,'февраль 2023'!$D$4:$D$497,$B86,'февраль 2023'!$J$4:$J$497,D$1)</f>
        <v>0</v>
      </c>
      <c r="E86" s="207">
        <f>SUMIFS('февраль 2023'!$G$4:$G$497,'февраль 2023'!$D$4:$D$497,$B86,'февраль 2023'!$J$4:$J$497,E$1)</f>
        <v>0</v>
      </c>
      <c r="F86" s="207">
        <f>SUMIFS('февраль 2023'!$G$4:$G$497,'февраль 2023'!$D$4:$D$497,$B86,'февраль 2023'!$J$4:$J$497,F$1)</f>
        <v>0</v>
      </c>
      <c r="G86" s="207">
        <f>SUMIFS('февраль 2023'!$G$4:$G$497,'февраль 2023'!$D$4:$D$497,$B86,'февраль 2023'!$J$4:$J$497,G$1)</f>
        <v>0</v>
      </c>
      <c r="H86" s="207">
        <f>SUMIFS('февраль 2023'!$G$4:$G$497,'февраль 2023'!$D$4:$D$497,$B86,'февраль 2023'!$J$4:$J$497,H$1)</f>
        <v>0</v>
      </c>
      <c r="I86" s="207">
        <f>SUMIFS('февраль 2023'!$G$4:$G$497,'февраль 2023'!$D$4:$D$497,$B86,'февраль 2023'!$J$4:$J$497,I$1)</f>
        <v>0</v>
      </c>
      <c r="J86" s="207">
        <f>SUMIFS('февраль 2023'!$G$4:$G$497,'февраль 2023'!$D$4:$D$497,$B86,'февраль 2023'!$J$4:$J$497,J$1)</f>
        <v>0</v>
      </c>
      <c r="K86" s="207">
        <f>SUMIFS('февраль 2023'!$G$4:$G$497,'февраль 2023'!$D$4:$D$497,$B86,'февраль 2023'!$J$4:$J$497,K$1)</f>
        <v>0</v>
      </c>
      <c r="L86" s="207">
        <f>SUMIFS('февраль 2023'!$G$4:$G$497,'февраль 2023'!$D$4:$D$497,$B86,'февраль 2023'!$J$4:$J$497,L$1)</f>
        <v>0</v>
      </c>
      <c r="M86" s="207">
        <f>SUMIFS('февраль 2023'!$G$4:$G$497,'февраль 2023'!$D$4:$D$497,$B86,'февраль 2023'!$J$4:$J$497,M$1)</f>
        <v>0</v>
      </c>
      <c r="N86" s="207">
        <f>SUMIFS('февраль 2023'!$G$4:$G$497,'февраль 2023'!$D$4:$D$497,$B86,'февраль 2023'!$J$4:$J$497,N$1)</f>
        <v>0</v>
      </c>
      <c r="O86" s="207">
        <f>SUMIFS('февраль 2023'!$G$4:$G$497,'февраль 2023'!$D$4:$D$497,$B86,'февраль 2023'!$J$4:$J$497,O$1)</f>
        <v>0</v>
      </c>
      <c r="P86" s="207">
        <f>SUMIFS('февраль 2023'!$G$4:$G$497,'февраль 2023'!$D$4:$D$497,$B86,'февраль 2023'!$J$4:$J$497,P$1)</f>
        <v>0</v>
      </c>
      <c r="Q86" s="207">
        <f>SUMIFS('февраль 2023'!$G$4:$G$497,'февраль 2023'!$D$4:$D$497,$B86,'февраль 2023'!$J$4:$J$497,Q$1)</f>
        <v>0</v>
      </c>
      <c r="R86" s="207">
        <f>SUMIFS('февраль 2023'!$G$4:$G$497,'февраль 2023'!$D$4:$D$497,$B86,'февраль 2023'!$J$4:$J$497,R$1)</f>
        <v>0</v>
      </c>
      <c r="S86" s="207">
        <f>SUMIFS('февраль 2023'!$G$4:$G$497,'февраль 2023'!$D$4:$D$497,$B86,'февраль 2023'!$J$4:$J$497,S$1)</f>
        <v>0</v>
      </c>
      <c r="T86" s="207">
        <f>SUMIFS('февраль 2023'!$G$4:$G$497,'февраль 2023'!$D$4:$D$497,$B86,'февраль 2023'!$J$4:$J$497,T$1)</f>
        <v>0</v>
      </c>
      <c r="U86" s="207">
        <f>SUMIFS('февраль 2023'!$G$4:$G$497,'февраль 2023'!$D$4:$D$497,$B86,'февраль 2023'!$J$4:$J$497,U$1)</f>
        <v>0</v>
      </c>
      <c r="V86" s="207">
        <f>SUMIFS('февраль 2023'!$G$4:$G$497,'февраль 2023'!$D$4:$D$497,$B86,'февраль 2023'!$J$4:$J$497,V$1)</f>
        <v>0</v>
      </c>
      <c r="W86" s="207">
        <f>SUMIFS('февраль 2023'!$G$4:$G$497,'февраль 2023'!$D$4:$D$497,$B86,'февраль 2023'!$J$4:$J$497,W$1)</f>
        <v>0</v>
      </c>
      <c r="X86" s="207">
        <f>SUMIFS('февраль 2023'!$G$4:$G$497,'февраль 2023'!$D$4:$D$497,$B86,'февраль 2023'!$J$4:$J$497,X$1)</f>
        <v>0</v>
      </c>
      <c r="Y86" s="207">
        <f>SUMIFS('февраль 2023'!$G$4:$G$497,'февраль 2023'!$D$4:$D$497,$B86,'февраль 2023'!$J$4:$J$497,Y$1)</f>
        <v>0</v>
      </c>
      <c r="Z86" s="207">
        <f>SUMIFS('февраль 2023'!$G$4:$G$497,'февраль 2023'!$D$4:$D$497,$B86,'февраль 2023'!$J$4:$J$497,Z$1)</f>
        <v>0</v>
      </c>
      <c r="AA86" s="207">
        <f>SUMIFS('февраль 2023'!$G$4:$G$497,'февраль 2023'!$D$4:$D$497,$B86,'февраль 2023'!$J$4:$J$497,AA$1)</f>
        <v>0</v>
      </c>
      <c r="AB86" s="207">
        <f>SUMIFS('февраль 2023'!$G$4:$G$497,'февраль 2023'!$D$4:$D$497,$B86,'февраль 2023'!$J$4:$J$497,AB$1)</f>
        <v>0</v>
      </c>
      <c r="AC86" s="207">
        <f>SUMIFS('февраль 2023'!$G$4:$G$497,'февраль 2023'!$D$4:$D$497,$B86,'февраль 2023'!$J$4:$J$497,AC$1)</f>
        <v>0</v>
      </c>
      <c r="AD86" s="207">
        <f>SUMIFS('февраль 2023'!$G$4:$G$497,'февраль 2023'!$D$4:$D$497,$B86,'февраль 2023'!$J$4:$J$497,AD$1)</f>
        <v>0</v>
      </c>
      <c r="AE86" s="207">
        <f>SUMIFS('февраль 2023'!$G$4:$G$497,'февраль 2023'!$D$4:$D$497,$B86,'февраль 2023'!$J$4:$J$497,AE$1)</f>
        <v>0</v>
      </c>
      <c r="AF86" s="207">
        <f>SUMIFS('февраль 2023'!$G$4:$G$497,'февраль 2023'!$D$4:$D$497,$B86,'февраль 2023'!$J$4:$J$497,AF$1)</f>
        <v>0</v>
      </c>
      <c r="AG86" s="207">
        <f>SUMIFS('февраль 2023'!$G$4:$G$497,'февраль 2023'!$D$4:$D$497,$B86,'февраль 2023'!$J$4:$J$497,AG$1)</f>
        <v>0</v>
      </c>
      <c r="AH86" s="207">
        <f>SUMIFS('февраль 2023'!$G$4:$G$497,'февраль 2023'!$D$4:$D$497,$B86,'февраль 2023'!$J$4:$J$497,AH$1)</f>
        <v>0</v>
      </c>
      <c r="AI86" s="170">
        <f t="shared" si="2"/>
        <v>0</v>
      </c>
    </row>
    <row r="87" spans="2:35" ht="15" customHeight="1" x14ac:dyDescent="0.25">
      <c r="B87" s="216" t="s">
        <v>898</v>
      </c>
      <c r="C87" s="213">
        <v>200</v>
      </c>
      <c r="D87" s="207">
        <f>SUMIFS('февраль 2023'!$G$4:$G$497,'февраль 2023'!$D$4:$D$497,$B87,'февраль 2023'!$J$4:$J$497,D$1)</f>
        <v>0</v>
      </c>
      <c r="E87" s="207">
        <f>SUMIFS('февраль 2023'!$G$4:$G$497,'февраль 2023'!$D$4:$D$497,$B87,'февраль 2023'!$J$4:$J$497,E$1)</f>
        <v>0</v>
      </c>
      <c r="F87" s="207">
        <f>SUMIFS('февраль 2023'!$G$4:$G$497,'февраль 2023'!$D$4:$D$497,$B87,'февраль 2023'!$J$4:$J$497,F$1)</f>
        <v>88</v>
      </c>
      <c r="G87" s="207">
        <f>SUMIFS('февраль 2023'!$G$4:$G$497,'февраль 2023'!$D$4:$D$497,$B87,'февраль 2023'!$J$4:$J$497,G$1)</f>
        <v>0</v>
      </c>
      <c r="H87" s="207">
        <f>SUMIFS('февраль 2023'!$G$4:$G$497,'февраль 2023'!$D$4:$D$497,$B87,'февраль 2023'!$J$4:$J$497,H$1)</f>
        <v>0</v>
      </c>
      <c r="I87" s="207">
        <f>SUMIFS('февраль 2023'!$G$4:$G$497,'февраль 2023'!$D$4:$D$497,$B87,'февраль 2023'!$J$4:$J$497,I$1)</f>
        <v>0</v>
      </c>
      <c r="J87" s="207">
        <f>SUMIFS('февраль 2023'!$G$4:$G$497,'февраль 2023'!$D$4:$D$497,$B87,'февраль 2023'!$J$4:$J$497,J$1)</f>
        <v>0</v>
      </c>
      <c r="K87" s="207">
        <f>SUMIFS('февраль 2023'!$G$4:$G$497,'февраль 2023'!$D$4:$D$497,$B87,'февраль 2023'!$J$4:$J$497,K$1)</f>
        <v>0</v>
      </c>
      <c r="L87" s="207">
        <f>SUMIFS('февраль 2023'!$G$4:$G$497,'февраль 2023'!$D$4:$D$497,$B87,'февраль 2023'!$J$4:$J$497,L$1)</f>
        <v>0</v>
      </c>
      <c r="M87" s="207">
        <f>SUMIFS('февраль 2023'!$G$4:$G$497,'февраль 2023'!$D$4:$D$497,$B87,'февраль 2023'!$J$4:$J$497,M$1)</f>
        <v>0</v>
      </c>
      <c r="N87" s="207">
        <f>SUMIFS('февраль 2023'!$G$4:$G$497,'февраль 2023'!$D$4:$D$497,$B87,'февраль 2023'!$J$4:$J$497,N$1)</f>
        <v>0</v>
      </c>
      <c r="O87" s="207">
        <f>SUMIFS('февраль 2023'!$G$4:$G$497,'февраль 2023'!$D$4:$D$497,$B87,'февраль 2023'!$J$4:$J$497,O$1)</f>
        <v>0</v>
      </c>
      <c r="P87" s="207">
        <f>SUMIFS('февраль 2023'!$G$4:$G$497,'февраль 2023'!$D$4:$D$497,$B87,'февраль 2023'!$J$4:$J$497,P$1)</f>
        <v>0</v>
      </c>
      <c r="Q87" s="207">
        <f>SUMIFS('февраль 2023'!$G$4:$G$497,'февраль 2023'!$D$4:$D$497,$B87,'февраль 2023'!$J$4:$J$497,Q$1)</f>
        <v>0</v>
      </c>
      <c r="R87" s="207">
        <f>SUMIFS('февраль 2023'!$G$4:$G$497,'февраль 2023'!$D$4:$D$497,$B87,'февраль 2023'!$J$4:$J$497,R$1)</f>
        <v>0</v>
      </c>
      <c r="S87" s="207">
        <f>SUMIFS('февраль 2023'!$G$4:$G$497,'февраль 2023'!$D$4:$D$497,$B87,'февраль 2023'!$J$4:$J$497,S$1)</f>
        <v>0</v>
      </c>
      <c r="T87" s="207">
        <f>SUMIFS('февраль 2023'!$G$4:$G$497,'февраль 2023'!$D$4:$D$497,$B87,'февраль 2023'!$J$4:$J$497,T$1)</f>
        <v>0</v>
      </c>
      <c r="U87" s="207">
        <f>SUMIFS('февраль 2023'!$G$4:$G$497,'февраль 2023'!$D$4:$D$497,$B87,'февраль 2023'!$J$4:$J$497,U$1)</f>
        <v>0</v>
      </c>
      <c r="V87" s="207">
        <f>SUMIFS('февраль 2023'!$G$4:$G$497,'февраль 2023'!$D$4:$D$497,$B87,'февраль 2023'!$J$4:$J$497,V$1)</f>
        <v>0</v>
      </c>
      <c r="W87" s="207">
        <f>SUMIFS('февраль 2023'!$G$4:$G$497,'февраль 2023'!$D$4:$D$497,$B87,'февраль 2023'!$J$4:$J$497,W$1)</f>
        <v>0</v>
      </c>
      <c r="X87" s="207">
        <f>SUMIFS('февраль 2023'!$G$4:$G$497,'февраль 2023'!$D$4:$D$497,$B87,'февраль 2023'!$J$4:$J$497,X$1)</f>
        <v>0</v>
      </c>
      <c r="Y87" s="207">
        <f>SUMIFS('февраль 2023'!$G$4:$G$497,'февраль 2023'!$D$4:$D$497,$B87,'февраль 2023'!$J$4:$J$497,Y$1)</f>
        <v>0</v>
      </c>
      <c r="Z87" s="207">
        <f>SUMIFS('февраль 2023'!$G$4:$G$497,'февраль 2023'!$D$4:$D$497,$B87,'февраль 2023'!$J$4:$J$497,Z$1)</f>
        <v>0</v>
      </c>
      <c r="AA87" s="207">
        <f>SUMIFS('февраль 2023'!$G$4:$G$497,'февраль 2023'!$D$4:$D$497,$B87,'февраль 2023'!$J$4:$J$497,AA$1)</f>
        <v>0</v>
      </c>
      <c r="AB87" s="207">
        <f>SUMIFS('февраль 2023'!$G$4:$G$497,'февраль 2023'!$D$4:$D$497,$B87,'февраль 2023'!$J$4:$J$497,AB$1)</f>
        <v>0</v>
      </c>
      <c r="AC87" s="207">
        <f>SUMIFS('февраль 2023'!$G$4:$G$497,'февраль 2023'!$D$4:$D$497,$B87,'февраль 2023'!$J$4:$J$497,AC$1)</f>
        <v>0</v>
      </c>
      <c r="AD87" s="207">
        <f>SUMIFS('февраль 2023'!$G$4:$G$497,'февраль 2023'!$D$4:$D$497,$B87,'февраль 2023'!$J$4:$J$497,AD$1)</f>
        <v>0</v>
      </c>
      <c r="AE87" s="207">
        <f>SUMIFS('февраль 2023'!$G$4:$G$497,'февраль 2023'!$D$4:$D$497,$B87,'февраль 2023'!$J$4:$J$497,AE$1)</f>
        <v>0</v>
      </c>
      <c r="AF87" s="207">
        <f>SUMIFS('февраль 2023'!$G$4:$G$497,'февраль 2023'!$D$4:$D$497,$B87,'февраль 2023'!$J$4:$J$497,AF$1)</f>
        <v>0</v>
      </c>
      <c r="AG87" s="207">
        <f>SUMIFS('февраль 2023'!$G$4:$G$497,'февраль 2023'!$D$4:$D$497,$B87,'февраль 2023'!$J$4:$J$497,AG$1)</f>
        <v>0</v>
      </c>
      <c r="AH87" s="207">
        <f>SUMIFS('февраль 2023'!$G$4:$G$497,'февраль 2023'!$D$4:$D$497,$B87,'февраль 2023'!$J$4:$J$497,AH$1)</f>
        <v>0</v>
      </c>
      <c r="AI87" s="170">
        <f t="shared" si="2"/>
        <v>88</v>
      </c>
    </row>
    <row r="88" spans="2:35" ht="15" customHeight="1" x14ac:dyDescent="0.25">
      <c r="B88" s="212" t="s">
        <v>1773</v>
      </c>
      <c r="C88" s="211">
        <v>18</v>
      </c>
      <c r="D88" s="207">
        <f>SUMIFS('февраль 2023'!$G$4:$G$497,'февраль 2023'!$D$4:$D$497,$B88,'февраль 2023'!$J$4:$J$497,D$1)</f>
        <v>0</v>
      </c>
      <c r="E88" s="207">
        <f>SUMIFS('февраль 2023'!$G$4:$G$497,'февраль 2023'!$D$4:$D$497,$B88,'февраль 2023'!$J$4:$J$497,E$1)</f>
        <v>0</v>
      </c>
      <c r="F88" s="207">
        <f>SUMIFS('февраль 2023'!$G$4:$G$497,'февраль 2023'!$D$4:$D$497,$B88,'февраль 2023'!$J$4:$J$497,F$1)</f>
        <v>0</v>
      </c>
      <c r="G88" s="207">
        <f>SUMIFS('февраль 2023'!$G$4:$G$497,'февраль 2023'!$D$4:$D$497,$B88,'февраль 2023'!$J$4:$J$497,G$1)</f>
        <v>0</v>
      </c>
      <c r="H88" s="207">
        <f>SUMIFS('февраль 2023'!$G$4:$G$497,'февраль 2023'!$D$4:$D$497,$B88,'февраль 2023'!$J$4:$J$497,H$1)</f>
        <v>0</v>
      </c>
      <c r="I88" s="207">
        <f>SUMIFS('февраль 2023'!$G$4:$G$497,'февраль 2023'!$D$4:$D$497,$B88,'февраль 2023'!$J$4:$J$497,I$1)</f>
        <v>0</v>
      </c>
      <c r="J88" s="207">
        <f>SUMIFS('февраль 2023'!$G$4:$G$497,'февраль 2023'!$D$4:$D$497,$B88,'февраль 2023'!$J$4:$J$497,J$1)</f>
        <v>0</v>
      </c>
      <c r="K88" s="207">
        <f>SUMIFS('февраль 2023'!$G$4:$G$497,'февраль 2023'!$D$4:$D$497,$B88,'февраль 2023'!$J$4:$J$497,K$1)</f>
        <v>0</v>
      </c>
      <c r="L88" s="207">
        <f>SUMIFS('февраль 2023'!$G$4:$G$497,'февраль 2023'!$D$4:$D$497,$B88,'февраль 2023'!$J$4:$J$497,L$1)</f>
        <v>0</v>
      </c>
      <c r="M88" s="207">
        <f>SUMIFS('февраль 2023'!$G$4:$G$497,'февраль 2023'!$D$4:$D$497,$B88,'февраль 2023'!$J$4:$J$497,M$1)</f>
        <v>0</v>
      </c>
      <c r="N88" s="207">
        <f>SUMIFS('февраль 2023'!$G$4:$G$497,'февраль 2023'!$D$4:$D$497,$B88,'февраль 2023'!$J$4:$J$497,N$1)</f>
        <v>0</v>
      </c>
      <c r="O88" s="207">
        <f>SUMIFS('февраль 2023'!$G$4:$G$497,'февраль 2023'!$D$4:$D$497,$B88,'февраль 2023'!$J$4:$J$497,O$1)</f>
        <v>0</v>
      </c>
      <c r="P88" s="207">
        <f>SUMIFS('февраль 2023'!$G$4:$G$497,'февраль 2023'!$D$4:$D$497,$B88,'февраль 2023'!$J$4:$J$497,P$1)</f>
        <v>0</v>
      </c>
      <c r="Q88" s="207">
        <f>SUMIFS('февраль 2023'!$G$4:$G$497,'февраль 2023'!$D$4:$D$497,$B88,'февраль 2023'!$J$4:$J$497,Q$1)</f>
        <v>0</v>
      </c>
      <c r="R88" s="207">
        <f>SUMIFS('февраль 2023'!$G$4:$G$497,'февраль 2023'!$D$4:$D$497,$B88,'февраль 2023'!$J$4:$J$497,R$1)</f>
        <v>0</v>
      </c>
      <c r="S88" s="207">
        <f>SUMIFS('февраль 2023'!$G$4:$G$497,'февраль 2023'!$D$4:$D$497,$B88,'февраль 2023'!$J$4:$J$497,S$1)</f>
        <v>0</v>
      </c>
      <c r="T88" s="207">
        <f>SUMIFS('февраль 2023'!$G$4:$G$497,'февраль 2023'!$D$4:$D$497,$B88,'февраль 2023'!$J$4:$J$497,T$1)</f>
        <v>0</v>
      </c>
      <c r="U88" s="207">
        <f>SUMIFS('февраль 2023'!$G$4:$G$497,'февраль 2023'!$D$4:$D$497,$B88,'февраль 2023'!$J$4:$J$497,U$1)</f>
        <v>0</v>
      </c>
      <c r="V88" s="207">
        <f>SUMIFS('февраль 2023'!$G$4:$G$497,'февраль 2023'!$D$4:$D$497,$B88,'февраль 2023'!$J$4:$J$497,V$1)</f>
        <v>0</v>
      </c>
      <c r="W88" s="207">
        <f>SUMIFS('февраль 2023'!$G$4:$G$497,'февраль 2023'!$D$4:$D$497,$B88,'февраль 2023'!$J$4:$J$497,W$1)</f>
        <v>0</v>
      </c>
      <c r="X88" s="207">
        <f>SUMIFS('февраль 2023'!$G$4:$G$497,'февраль 2023'!$D$4:$D$497,$B88,'февраль 2023'!$J$4:$J$497,X$1)</f>
        <v>0</v>
      </c>
      <c r="Y88" s="207">
        <f>SUMIFS('февраль 2023'!$G$4:$G$497,'февраль 2023'!$D$4:$D$497,$B88,'февраль 2023'!$J$4:$J$497,Y$1)</f>
        <v>0</v>
      </c>
      <c r="Z88" s="207">
        <f>SUMIFS('февраль 2023'!$G$4:$G$497,'февраль 2023'!$D$4:$D$497,$B88,'февраль 2023'!$J$4:$J$497,Z$1)</f>
        <v>0</v>
      </c>
      <c r="AA88" s="207">
        <f>SUMIFS('февраль 2023'!$G$4:$G$497,'февраль 2023'!$D$4:$D$497,$B88,'февраль 2023'!$J$4:$J$497,AA$1)</f>
        <v>0</v>
      </c>
      <c r="AB88" s="207">
        <f>SUMIFS('февраль 2023'!$G$4:$G$497,'февраль 2023'!$D$4:$D$497,$B88,'февраль 2023'!$J$4:$J$497,AB$1)</f>
        <v>0</v>
      </c>
      <c r="AC88" s="207">
        <f>SUMIFS('февраль 2023'!$G$4:$G$497,'февраль 2023'!$D$4:$D$497,$B88,'февраль 2023'!$J$4:$J$497,AC$1)</f>
        <v>0</v>
      </c>
      <c r="AD88" s="207">
        <f>SUMIFS('февраль 2023'!$G$4:$G$497,'февраль 2023'!$D$4:$D$497,$B88,'февраль 2023'!$J$4:$J$497,AD$1)</f>
        <v>0</v>
      </c>
      <c r="AE88" s="207">
        <f>SUMIFS('февраль 2023'!$G$4:$G$497,'февраль 2023'!$D$4:$D$497,$B88,'февраль 2023'!$J$4:$J$497,AE$1)</f>
        <v>0</v>
      </c>
      <c r="AF88" s="207">
        <f>SUMIFS('февраль 2023'!$G$4:$G$497,'февраль 2023'!$D$4:$D$497,$B88,'февраль 2023'!$J$4:$J$497,AF$1)</f>
        <v>0</v>
      </c>
      <c r="AG88" s="207">
        <f>SUMIFS('февраль 2023'!$G$4:$G$497,'февраль 2023'!$D$4:$D$497,$B88,'февраль 2023'!$J$4:$J$497,AG$1)</f>
        <v>0</v>
      </c>
      <c r="AH88" s="207">
        <f>SUMIFS('февраль 2023'!$G$4:$G$497,'февраль 2023'!$D$4:$D$497,$B88,'февраль 2023'!$J$4:$J$497,AH$1)</f>
        <v>0</v>
      </c>
      <c r="AI88" s="170">
        <f t="shared" si="2"/>
        <v>0</v>
      </c>
    </row>
    <row r="89" spans="2:35" ht="15" customHeight="1" x14ac:dyDescent="0.25">
      <c r="B89" s="212" t="s">
        <v>2214</v>
      </c>
      <c r="C89" s="211">
        <v>200</v>
      </c>
      <c r="D89" s="207">
        <f>SUMIFS('февраль 2023'!$G$4:$G$497,'февраль 2023'!$D$4:$D$497,$B89,'февраль 2023'!$J$4:$J$497,D$1)</f>
        <v>0</v>
      </c>
      <c r="E89" s="207">
        <f>SUMIFS('февраль 2023'!$G$4:$G$497,'февраль 2023'!$D$4:$D$497,$B89,'февраль 2023'!$J$4:$J$497,E$1)</f>
        <v>0</v>
      </c>
      <c r="F89" s="207">
        <f>SUMIFS('февраль 2023'!$G$4:$G$497,'февраль 2023'!$D$4:$D$497,$B89,'февраль 2023'!$J$4:$J$497,F$1)</f>
        <v>0</v>
      </c>
      <c r="G89" s="207">
        <f>SUMIFS('февраль 2023'!$G$4:$G$497,'февраль 2023'!$D$4:$D$497,$B89,'февраль 2023'!$J$4:$J$497,G$1)</f>
        <v>0</v>
      </c>
      <c r="H89" s="207">
        <f>SUMIFS('февраль 2023'!$G$4:$G$497,'февраль 2023'!$D$4:$D$497,$B89,'февраль 2023'!$J$4:$J$497,H$1)</f>
        <v>0</v>
      </c>
      <c r="I89" s="207">
        <f>SUMIFS('февраль 2023'!$G$4:$G$497,'февраль 2023'!$D$4:$D$497,$B89,'февраль 2023'!$J$4:$J$497,I$1)</f>
        <v>0</v>
      </c>
      <c r="J89" s="207">
        <f>SUMIFS('февраль 2023'!$G$4:$G$497,'февраль 2023'!$D$4:$D$497,$B89,'февраль 2023'!$J$4:$J$497,J$1)</f>
        <v>0</v>
      </c>
      <c r="K89" s="207">
        <f>SUMIFS('февраль 2023'!$G$4:$G$497,'февраль 2023'!$D$4:$D$497,$B89,'февраль 2023'!$J$4:$J$497,K$1)</f>
        <v>0</v>
      </c>
      <c r="L89" s="207">
        <f>SUMIFS('февраль 2023'!$G$4:$G$497,'февраль 2023'!$D$4:$D$497,$B89,'февраль 2023'!$J$4:$J$497,L$1)</f>
        <v>0</v>
      </c>
      <c r="M89" s="207">
        <f>SUMIFS('февраль 2023'!$G$4:$G$497,'февраль 2023'!$D$4:$D$497,$B89,'февраль 2023'!$J$4:$J$497,M$1)</f>
        <v>0</v>
      </c>
      <c r="N89" s="207">
        <f>SUMIFS('февраль 2023'!$G$4:$G$497,'февраль 2023'!$D$4:$D$497,$B89,'февраль 2023'!$J$4:$J$497,N$1)</f>
        <v>0</v>
      </c>
      <c r="O89" s="207">
        <f>SUMIFS('февраль 2023'!$G$4:$G$497,'февраль 2023'!$D$4:$D$497,$B89,'февраль 2023'!$J$4:$J$497,O$1)</f>
        <v>0</v>
      </c>
      <c r="P89" s="207">
        <f>SUMIFS('февраль 2023'!$G$4:$G$497,'февраль 2023'!$D$4:$D$497,$B89,'февраль 2023'!$J$4:$J$497,P$1)</f>
        <v>0</v>
      </c>
      <c r="Q89" s="207">
        <f>SUMIFS('февраль 2023'!$G$4:$G$497,'февраль 2023'!$D$4:$D$497,$B89,'февраль 2023'!$J$4:$J$497,Q$1)</f>
        <v>0</v>
      </c>
      <c r="R89" s="207">
        <f>SUMIFS('февраль 2023'!$G$4:$G$497,'февраль 2023'!$D$4:$D$497,$B89,'февраль 2023'!$J$4:$J$497,R$1)</f>
        <v>0</v>
      </c>
      <c r="S89" s="207">
        <f>SUMIFS('февраль 2023'!$G$4:$G$497,'февраль 2023'!$D$4:$D$497,$B89,'февраль 2023'!$J$4:$J$497,S$1)</f>
        <v>0</v>
      </c>
      <c r="T89" s="207">
        <f>SUMIFS('февраль 2023'!$G$4:$G$497,'февраль 2023'!$D$4:$D$497,$B89,'февраль 2023'!$J$4:$J$497,T$1)</f>
        <v>0</v>
      </c>
      <c r="U89" s="207">
        <f>SUMIFS('февраль 2023'!$G$4:$G$497,'февраль 2023'!$D$4:$D$497,$B89,'февраль 2023'!$J$4:$J$497,U$1)</f>
        <v>0</v>
      </c>
      <c r="V89" s="207">
        <f>SUMIFS('февраль 2023'!$G$4:$G$497,'февраль 2023'!$D$4:$D$497,$B89,'февраль 2023'!$J$4:$J$497,V$1)</f>
        <v>0</v>
      </c>
      <c r="W89" s="207">
        <f>SUMIFS('февраль 2023'!$G$4:$G$497,'февраль 2023'!$D$4:$D$497,$B89,'февраль 2023'!$J$4:$J$497,W$1)</f>
        <v>0</v>
      </c>
      <c r="X89" s="207">
        <f>SUMIFS('февраль 2023'!$G$4:$G$497,'февраль 2023'!$D$4:$D$497,$B89,'февраль 2023'!$J$4:$J$497,X$1)</f>
        <v>0</v>
      </c>
      <c r="Y89" s="207">
        <f>SUMIFS('февраль 2023'!$G$4:$G$497,'февраль 2023'!$D$4:$D$497,$B89,'февраль 2023'!$J$4:$J$497,Y$1)</f>
        <v>0</v>
      </c>
      <c r="Z89" s="207">
        <f>SUMIFS('февраль 2023'!$G$4:$G$497,'февраль 2023'!$D$4:$D$497,$B89,'февраль 2023'!$J$4:$J$497,Z$1)</f>
        <v>0</v>
      </c>
      <c r="AA89" s="207">
        <f>SUMIFS('февраль 2023'!$G$4:$G$497,'февраль 2023'!$D$4:$D$497,$B89,'февраль 2023'!$J$4:$J$497,AA$1)</f>
        <v>0</v>
      </c>
      <c r="AB89" s="207">
        <f>SUMIFS('февраль 2023'!$G$4:$G$497,'февраль 2023'!$D$4:$D$497,$B89,'февраль 2023'!$J$4:$J$497,AB$1)</f>
        <v>0</v>
      </c>
      <c r="AC89" s="207">
        <f>SUMIFS('февраль 2023'!$G$4:$G$497,'февраль 2023'!$D$4:$D$497,$B89,'февраль 2023'!$J$4:$J$497,AC$1)</f>
        <v>0</v>
      </c>
      <c r="AD89" s="207">
        <f>SUMIFS('февраль 2023'!$G$4:$G$497,'февраль 2023'!$D$4:$D$497,$B89,'февраль 2023'!$J$4:$J$497,AD$1)</f>
        <v>0</v>
      </c>
      <c r="AE89" s="207">
        <f>SUMIFS('февраль 2023'!$G$4:$G$497,'февраль 2023'!$D$4:$D$497,$B89,'февраль 2023'!$J$4:$J$497,AE$1)</f>
        <v>0</v>
      </c>
      <c r="AF89" s="207">
        <f>SUMIFS('февраль 2023'!$G$4:$G$497,'февраль 2023'!$D$4:$D$497,$B89,'февраль 2023'!$J$4:$J$497,AF$1)</f>
        <v>0</v>
      </c>
      <c r="AG89" s="207">
        <f>SUMIFS('февраль 2023'!$G$4:$G$497,'февраль 2023'!$D$4:$D$497,$B89,'февраль 2023'!$J$4:$J$497,AG$1)</f>
        <v>0</v>
      </c>
      <c r="AH89" s="207">
        <f>SUMIFS('февраль 2023'!$G$4:$G$497,'февраль 2023'!$D$4:$D$497,$B89,'февраль 2023'!$J$4:$J$497,AH$1)</f>
        <v>0</v>
      </c>
      <c r="AI89" s="170">
        <f t="shared" si="2"/>
        <v>0</v>
      </c>
    </row>
    <row r="90" spans="2:35" ht="15" customHeight="1" x14ac:dyDescent="0.25">
      <c r="B90" s="212" t="s">
        <v>1720</v>
      </c>
      <c r="C90" s="211">
        <v>180</v>
      </c>
      <c r="D90" s="207">
        <f>SUMIFS('февраль 2023'!$G$4:$G$497,'февраль 2023'!$D$4:$D$497,$B90,'февраль 2023'!$J$4:$J$497,D$1)</f>
        <v>0</v>
      </c>
      <c r="E90" s="207">
        <f>SUMIFS('февраль 2023'!$G$4:$G$497,'февраль 2023'!$D$4:$D$497,$B90,'февраль 2023'!$J$4:$J$497,E$1)</f>
        <v>0</v>
      </c>
      <c r="F90" s="207">
        <f>SUMIFS('февраль 2023'!$G$4:$G$497,'февраль 2023'!$D$4:$D$497,$B90,'февраль 2023'!$J$4:$J$497,F$1)</f>
        <v>0</v>
      </c>
      <c r="G90" s="207">
        <f>SUMIFS('февраль 2023'!$G$4:$G$497,'февраль 2023'!$D$4:$D$497,$B90,'февраль 2023'!$J$4:$J$497,G$1)</f>
        <v>0</v>
      </c>
      <c r="H90" s="207">
        <f>SUMIFS('февраль 2023'!$G$4:$G$497,'февраль 2023'!$D$4:$D$497,$B90,'февраль 2023'!$J$4:$J$497,H$1)</f>
        <v>0</v>
      </c>
      <c r="I90" s="207">
        <f>SUMIFS('февраль 2023'!$G$4:$G$497,'февраль 2023'!$D$4:$D$497,$B90,'февраль 2023'!$J$4:$J$497,I$1)</f>
        <v>0</v>
      </c>
      <c r="J90" s="207">
        <f>SUMIFS('февраль 2023'!$G$4:$G$497,'февраль 2023'!$D$4:$D$497,$B90,'февраль 2023'!$J$4:$J$497,J$1)</f>
        <v>0</v>
      </c>
      <c r="K90" s="207">
        <f>SUMIFS('февраль 2023'!$G$4:$G$497,'февраль 2023'!$D$4:$D$497,$B90,'февраль 2023'!$J$4:$J$497,K$1)</f>
        <v>0</v>
      </c>
      <c r="L90" s="207">
        <f>SUMIFS('февраль 2023'!$G$4:$G$497,'февраль 2023'!$D$4:$D$497,$B90,'февраль 2023'!$J$4:$J$497,L$1)</f>
        <v>0</v>
      </c>
      <c r="M90" s="207">
        <f>SUMIFS('февраль 2023'!$G$4:$G$497,'февраль 2023'!$D$4:$D$497,$B90,'февраль 2023'!$J$4:$J$497,M$1)</f>
        <v>0</v>
      </c>
      <c r="N90" s="207">
        <f>SUMIFS('февраль 2023'!$G$4:$G$497,'февраль 2023'!$D$4:$D$497,$B90,'февраль 2023'!$J$4:$J$497,N$1)</f>
        <v>0</v>
      </c>
      <c r="O90" s="207">
        <f>SUMIFS('февраль 2023'!$G$4:$G$497,'февраль 2023'!$D$4:$D$497,$B90,'февраль 2023'!$J$4:$J$497,O$1)</f>
        <v>0</v>
      </c>
      <c r="P90" s="207">
        <f>SUMIFS('февраль 2023'!$G$4:$G$497,'февраль 2023'!$D$4:$D$497,$B90,'февраль 2023'!$J$4:$J$497,P$1)</f>
        <v>0</v>
      </c>
      <c r="Q90" s="207">
        <f>SUMIFS('февраль 2023'!$G$4:$G$497,'февраль 2023'!$D$4:$D$497,$B90,'февраль 2023'!$J$4:$J$497,Q$1)</f>
        <v>0</v>
      </c>
      <c r="R90" s="207">
        <f>SUMIFS('февраль 2023'!$G$4:$G$497,'февраль 2023'!$D$4:$D$497,$B90,'февраль 2023'!$J$4:$J$497,R$1)</f>
        <v>0</v>
      </c>
      <c r="S90" s="207">
        <f>SUMIFS('февраль 2023'!$G$4:$G$497,'февраль 2023'!$D$4:$D$497,$B90,'февраль 2023'!$J$4:$J$497,S$1)</f>
        <v>0</v>
      </c>
      <c r="T90" s="207">
        <f>SUMIFS('февраль 2023'!$G$4:$G$497,'февраль 2023'!$D$4:$D$497,$B90,'февраль 2023'!$J$4:$J$497,T$1)</f>
        <v>0</v>
      </c>
      <c r="U90" s="207">
        <f>SUMIFS('февраль 2023'!$G$4:$G$497,'февраль 2023'!$D$4:$D$497,$B90,'февраль 2023'!$J$4:$J$497,U$1)</f>
        <v>0</v>
      </c>
      <c r="V90" s="207">
        <f>SUMIFS('февраль 2023'!$G$4:$G$497,'февраль 2023'!$D$4:$D$497,$B90,'февраль 2023'!$J$4:$J$497,V$1)</f>
        <v>0</v>
      </c>
      <c r="W90" s="207">
        <f>SUMIFS('февраль 2023'!$G$4:$G$497,'февраль 2023'!$D$4:$D$497,$B90,'февраль 2023'!$J$4:$J$497,W$1)</f>
        <v>0</v>
      </c>
      <c r="X90" s="207">
        <f>SUMIFS('февраль 2023'!$G$4:$G$497,'февраль 2023'!$D$4:$D$497,$B90,'февраль 2023'!$J$4:$J$497,X$1)</f>
        <v>0</v>
      </c>
      <c r="Y90" s="207">
        <f>SUMIFS('февраль 2023'!$G$4:$G$497,'февраль 2023'!$D$4:$D$497,$B90,'февраль 2023'!$J$4:$J$497,Y$1)</f>
        <v>0</v>
      </c>
      <c r="Z90" s="207">
        <f>SUMIFS('февраль 2023'!$G$4:$G$497,'февраль 2023'!$D$4:$D$497,$B90,'февраль 2023'!$J$4:$J$497,Z$1)</f>
        <v>0</v>
      </c>
      <c r="AA90" s="207">
        <f>SUMIFS('февраль 2023'!$G$4:$G$497,'февраль 2023'!$D$4:$D$497,$B90,'февраль 2023'!$J$4:$J$497,AA$1)</f>
        <v>0</v>
      </c>
      <c r="AB90" s="207">
        <f>SUMIFS('февраль 2023'!$G$4:$G$497,'февраль 2023'!$D$4:$D$497,$B90,'февраль 2023'!$J$4:$J$497,AB$1)</f>
        <v>0</v>
      </c>
      <c r="AC90" s="207">
        <f>SUMIFS('февраль 2023'!$G$4:$G$497,'февраль 2023'!$D$4:$D$497,$B90,'февраль 2023'!$J$4:$J$497,AC$1)</f>
        <v>0</v>
      </c>
      <c r="AD90" s="207">
        <f>SUMIFS('февраль 2023'!$G$4:$G$497,'февраль 2023'!$D$4:$D$497,$B90,'февраль 2023'!$J$4:$J$497,AD$1)</f>
        <v>0</v>
      </c>
      <c r="AE90" s="207">
        <f>SUMIFS('февраль 2023'!$G$4:$G$497,'февраль 2023'!$D$4:$D$497,$B90,'февраль 2023'!$J$4:$J$497,AE$1)</f>
        <v>0</v>
      </c>
      <c r="AF90" s="207">
        <f>SUMIFS('февраль 2023'!$G$4:$G$497,'февраль 2023'!$D$4:$D$497,$B90,'февраль 2023'!$J$4:$J$497,AF$1)</f>
        <v>0</v>
      </c>
      <c r="AG90" s="207">
        <f>SUMIFS('февраль 2023'!$G$4:$G$497,'февраль 2023'!$D$4:$D$497,$B90,'февраль 2023'!$J$4:$J$497,AG$1)</f>
        <v>0</v>
      </c>
      <c r="AH90" s="207">
        <f>SUMIFS('февраль 2023'!$G$4:$G$497,'февраль 2023'!$D$4:$D$497,$B90,'февраль 2023'!$J$4:$J$497,AH$1)</f>
        <v>0</v>
      </c>
      <c r="AI90" s="170">
        <f t="shared" si="2"/>
        <v>0</v>
      </c>
    </row>
    <row r="91" spans="2:35" ht="15" customHeight="1" x14ac:dyDescent="0.25">
      <c r="B91" s="212"/>
      <c r="C91" s="211"/>
      <c r="D91" s="207">
        <f>SUMIFS('февраль 2023'!$G$4:$G$497,'февраль 2023'!$D$4:$D$497,$B91,'февраль 2023'!$J$4:$J$497,D$1)</f>
        <v>0</v>
      </c>
      <c r="E91" s="207">
        <f>SUMIFS('февраль 2023'!$G$4:$G$497,'февраль 2023'!$D$4:$D$497,$B91,'февраль 2023'!$J$4:$J$497,E$1)</f>
        <v>0</v>
      </c>
      <c r="F91" s="207">
        <f>SUMIFS('февраль 2023'!$G$4:$G$497,'февраль 2023'!$D$4:$D$497,$B91,'февраль 2023'!$J$4:$J$497,F$1)</f>
        <v>0</v>
      </c>
      <c r="G91" s="207">
        <f>SUMIFS('февраль 2023'!$G$4:$G$497,'февраль 2023'!$D$4:$D$497,$B91,'февраль 2023'!$J$4:$J$497,G$1)</f>
        <v>0</v>
      </c>
      <c r="H91" s="207">
        <f>SUMIFS('февраль 2023'!$G$4:$G$497,'февраль 2023'!$D$4:$D$497,$B91,'февраль 2023'!$J$4:$J$497,H$1)</f>
        <v>0</v>
      </c>
      <c r="I91" s="207">
        <f>SUMIFS('февраль 2023'!$G$4:$G$497,'февраль 2023'!$D$4:$D$497,$B91,'февраль 2023'!$J$4:$J$497,I$1)</f>
        <v>0</v>
      </c>
      <c r="J91" s="207">
        <f>SUMIFS('февраль 2023'!$G$4:$G$497,'февраль 2023'!$D$4:$D$497,$B91,'февраль 2023'!$J$4:$J$497,J$1)</f>
        <v>0</v>
      </c>
      <c r="K91" s="207">
        <f>SUMIFS('февраль 2023'!$G$4:$G$497,'февраль 2023'!$D$4:$D$497,$B91,'февраль 2023'!$J$4:$J$497,K$1)</f>
        <v>0</v>
      </c>
      <c r="L91" s="207">
        <f>SUMIFS('февраль 2023'!$G$4:$G$497,'февраль 2023'!$D$4:$D$497,$B91,'февраль 2023'!$J$4:$J$497,L$1)</f>
        <v>0</v>
      </c>
      <c r="M91" s="207">
        <f>SUMIFS('февраль 2023'!$G$4:$G$497,'февраль 2023'!$D$4:$D$497,$B91,'февраль 2023'!$J$4:$J$497,M$1)</f>
        <v>0</v>
      </c>
      <c r="N91" s="207">
        <f>SUMIFS('февраль 2023'!$G$4:$G$497,'февраль 2023'!$D$4:$D$497,$B91,'февраль 2023'!$J$4:$J$497,N$1)</f>
        <v>0</v>
      </c>
      <c r="O91" s="207">
        <f>SUMIFS('февраль 2023'!$G$4:$G$497,'февраль 2023'!$D$4:$D$497,$B91,'февраль 2023'!$J$4:$J$497,O$1)</f>
        <v>0</v>
      </c>
      <c r="P91" s="207">
        <f>SUMIFS('февраль 2023'!$G$4:$G$497,'февраль 2023'!$D$4:$D$497,$B91,'февраль 2023'!$J$4:$J$497,P$1)</f>
        <v>0</v>
      </c>
      <c r="Q91" s="207">
        <f>SUMIFS('февраль 2023'!$G$4:$G$497,'февраль 2023'!$D$4:$D$497,$B91,'февраль 2023'!$J$4:$J$497,Q$1)</f>
        <v>0</v>
      </c>
      <c r="R91" s="207">
        <f>SUMIFS('февраль 2023'!$G$4:$G$497,'февраль 2023'!$D$4:$D$497,$B91,'февраль 2023'!$J$4:$J$497,R$1)</f>
        <v>0</v>
      </c>
      <c r="S91" s="207">
        <f>SUMIFS('февраль 2023'!$G$4:$G$497,'февраль 2023'!$D$4:$D$497,$B91,'февраль 2023'!$J$4:$J$497,S$1)</f>
        <v>0</v>
      </c>
      <c r="T91" s="207">
        <f>SUMIFS('февраль 2023'!$G$4:$G$497,'февраль 2023'!$D$4:$D$497,$B91,'февраль 2023'!$J$4:$J$497,T$1)</f>
        <v>0</v>
      </c>
      <c r="U91" s="207">
        <f>SUMIFS('февраль 2023'!$G$4:$G$497,'февраль 2023'!$D$4:$D$497,$B91,'февраль 2023'!$J$4:$J$497,U$1)</f>
        <v>0</v>
      </c>
      <c r="V91" s="207">
        <f>SUMIFS('февраль 2023'!$G$4:$G$497,'февраль 2023'!$D$4:$D$497,$B91,'февраль 2023'!$J$4:$J$497,V$1)</f>
        <v>0</v>
      </c>
      <c r="W91" s="207">
        <f>SUMIFS('февраль 2023'!$G$4:$G$497,'февраль 2023'!$D$4:$D$497,$B91,'февраль 2023'!$J$4:$J$497,W$1)</f>
        <v>0</v>
      </c>
      <c r="X91" s="207">
        <f>SUMIFS('февраль 2023'!$G$4:$G$497,'февраль 2023'!$D$4:$D$497,$B91,'февраль 2023'!$J$4:$J$497,X$1)</f>
        <v>0</v>
      </c>
      <c r="Y91" s="207">
        <f>SUMIFS('февраль 2023'!$G$4:$G$497,'февраль 2023'!$D$4:$D$497,$B91,'февраль 2023'!$J$4:$J$497,Y$1)</f>
        <v>0</v>
      </c>
      <c r="Z91" s="207">
        <f>SUMIFS('февраль 2023'!$G$4:$G$497,'февраль 2023'!$D$4:$D$497,$B91,'февраль 2023'!$J$4:$J$497,Z$1)</f>
        <v>0</v>
      </c>
      <c r="AA91" s="207">
        <f>SUMIFS('февраль 2023'!$G$4:$G$497,'февраль 2023'!$D$4:$D$497,$B91,'февраль 2023'!$J$4:$J$497,AA$1)</f>
        <v>0</v>
      </c>
      <c r="AB91" s="207">
        <f>SUMIFS('февраль 2023'!$G$4:$G$497,'февраль 2023'!$D$4:$D$497,$B91,'февраль 2023'!$J$4:$J$497,AB$1)</f>
        <v>0</v>
      </c>
      <c r="AC91" s="207">
        <f>SUMIFS('февраль 2023'!$G$4:$G$497,'февраль 2023'!$D$4:$D$497,$B91,'февраль 2023'!$J$4:$J$497,AC$1)</f>
        <v>0</v>
      </c>
      <c r="AD91" s="207">
        <f>SUMIFS('февраль 2023'!$G$4:$G$497,'февраль 2023'!$D$4:$D$497,$B91,'февраль 2023'!$J$4:$J$497,AD$1)</f>
        <v>0</v>
      </c>
      <c r="AE91" s="207">
        <f>SUMIFS('февраль 2023'!$G$4:$G$497,'февраль 2023'!$D$4:$D$497,$B91,'февраль 2023'!$J$4:$J$497,AE$1)</f>
        <v>0</v>
      </c>
      <c r="AF91" s="207">
        <f>SUMIFS('февраль 2023'!$G$4:$G$497,'февраль 2023'!$D$4:$D$497,$B91,'февраль 2023'!$J$4:$J$497,AF$1)</f>
        <v>0</v>
      </c>
      <c r="AG91" s="207">
        <f>SUMIFS('февраль 2023'!$G$4:$G$497,'февраль 2023'!$D$4:$D$497,$B91,'февраль 2023'!$J$4:$J$497,AG$1)</f>
        <v>0</v>
      </c>
      <c r="AH91" s="207">
        <f>SUMIFS('февраль 2023'!$G$4:$G$497,'февраль 2023'!$D$4:$D$497,$B91,'февраль 2023'!$J$4:$J$497,AH$1)</f>
        <v>0</v>
      </c>
      <c r="AI91" s="170">
        <f t="shared" si="2"/>
        <v>0</v>
      </c>
    </row>
    <row r="92" spans="2:35" ht="15" customHeight="1" x14ac:dyDescent="0.25">
      <c r="B92" s="212"/>
      <c r="C92" s="211"/>
      <c r="D92" s="207">
        <f>SUMIFS('февраль 2023'!$G$4:$G$497,'февраль 2023'!$D$4:$D$497,$B92,'февраль 2023'!$J$4:$J$497,D$1)</f>
        <v>0</v>
      </c>
      <c r="E92" s="207">
        <f>SUMIFS('февраль 2023'!$G$4:$G$497,'февраль 2023'!$D$4:$D$497,$B92,'февраль 2023'!$J$4:$J$497,E$1)</f>
        <v>0</v>
      </c>
      <c r="F92" s="207">
        <f>SUMIFS('февраль 2023'!$G$4:$G$497,'февраль 2023'!$D$4:$D$497,$B92,'февраль 2023'!$J$4:$J$497,F$1)</f>
        <v>0</v>
      </c>
      <c r="G92" s="207">
        <f>SUMIFS('февраль 2023'!$G$4:$G$497,'февраль 2023'!$D$4:$D$497,$B92,'февраль 2023'!$J$4:$J$497,G$1)</f>
        <v>0</v>
      </c>
      <c r="H92" s="207">
        <f>SUMIFS('февраль 2023'!$G$4:$G$497,'февраль 2023'!$D$4:$D$497,$B92,'февраль 2023'!$J$4:$J$497,H$1)</f>
        <v>0</v>
      </c>
      <c r="I92" s="207">
        <f>SUMIFS('февраль 2023'!$G$4:$G$497,'февраль 2023'!$D$4:$D$497,$B92,'февраль 2023'!$J$4:$J$497,I$1)</f>
        <v>0</v>
      </c>
      <c r="J92" s="207">
        <f>SUMIFS('февраль 2023'!$G$4:$G$497,'февраль 2023'!$D$4:$D$497,$B92,'февраль 2023'!$J$4:$J$497,J$1)</f>
        <v>0</v>
      </c>
      <c r="K92" s="207">
        <f>SUMIFS('февраль 2023'!$G$4:$G$497,'февраль 2023'!$D$4:$D$497,$B92,'февраль 2023'!$J$4:$J$497,K$1)</f>
        <v>0</v>
      </c>
      <c r="L92" s="207">
        <f>SUMIFS('февраль 2023'!$G$4:$G$497,'февраль 2023'!$D$4:$D$497,$B92,'февраль 2023'!$J$4:$J$497,L$1)</f>
        <v>0</v>
      </c>
      <c r="M92" s="207">
        <f>SUMIFS('февраль 2023'!$G$4:$G$497,'февраль 2023'!$D$4:$D$497,$B92,'февраль 2023'!$J$4:$J$497,M$1)</f>
        <v>0</v>
      </c>
      <c r="N92" s="207">
        <f>SUMIFS('февраль 2023'!$G$4:$G$497,'февраль 2023'!$D$4:$D$497,$B92,'февраль 2023'!$J$4:$J$497,N$1)</f>
        <v>0</v>
      </c>
      <c r="O92" s="207">
        <f>SUMIFS('февраль 2023'!$G$4:$G$497,'февраль 2023'!$D$4:$D$497,$B92,'февраль 2023'!$J$4:$J$497,O$1)</f>
        <v>0</v>
      </c>
      <c r="P92" s="207">
        <f>SUMIFS('февраль 2023'!$G$4:$G$497,'февраль 2023'!$D$4:$D$497,$B92,'февраль 2023'!$J$4:$J$497,P$1)</f>
        <v>0</v>
      </c>
      <c r="Q92" s="207">
        <f>SUMIFS('февраль 2023'!$G$4:$G$497,'февраль 2023'!$D$4:$D$497,$B92,'февраль 2023'!$J$4:$J$497,Q$1)</f>
        <v>0</v>
      </c>
      <c r="R92" s="207">
        <f>SUMIFS('февраль 2023'!$G$4:$G$497,'февраль 2023'!$D$4:$D$497,$B92,'февраль 2023'!$J$4:$J$497,R$1)</f>
        <v>0</v>
      </c>
      <c r="S92" s="207">
        <f>SUMIFS('февраль 2023'!$G$4:$G$497,'февраль 2023'!$D$4:$D$497,$B92,'февраль 2023'!$J$4:$J$497,S$1)</f>
        <v>0</v>
      </c>
      <c r="T92" s="207">
        <f>SUMIFS('февраль 2023'!$G$4:$G$497,'февраль 2023'!$D$4:$D$497,$B92,'февраль 2023'!$J$4:$J$497,T$1)</f>
        <v>0</v>
      </c>
      <c r="U92" s="207">
        <f>SUMIFS('февраль 2023'!$G$4:$G$497,'февраль 2023'!$D$4:$D$497,$B92,'февраль 2023'!$J$4:$J$497,U$1)</f>
        <v>0</v>
      </c>
      <c r="V92" s="207">
        <f>SUMIFS('февраль 2023'!$G$4:$G$497,'февраль 2023'!$D$4:$D$497,$B92,'февраль 2023'!$J$4:$J$497,V$1)</f>
        <v>0</v>
      </c>
      <c r="W92" s="207">
        <f>SUMIFS('февраль 2023'!$G$4:$G$497,'февраль 2023'!$D$4:$D$497,$B92,'февраль 2023'!$J$4:$J$497,W$1)</f>
        <v>0</v>
      </c>
      <c r="X92" s="207">
        <f>SUMIFS('февраль 2023'!$G$4:$G$497,'февраль 2023'!$D$4:$D$497,$B92,'февраль 2023'!$J$4:$J$497,X$1)</f>
        <v>0</v>
      </c>
      <c r="Y92" s="207">
        <f>SUMIFS('февраль 2023'!$G$4:$G$497,'февраль 2023'!$D$4:$D$497,$B92,'февраль 2023'!$J$4:$J$497,Y$1)</f>
        <v>0</v>
      </c>
      <c r="Z92" s="207">
        <f>SUMIFS('февраль 2023'!$G$4:$G$497,'февраль 2023'!$D$4:$D$497,$B92,'февраль 2023'!$J$4:$J$497,Z$1)</f>
        <v>0</v>
      </c>
      <c r="AA92" s="207">
        <f>SUMIFS('февраль 2023'!$G$4:$G$497,'февраль 2023'!$D$4:$D$497,$B92,'февраль 2023'!$J$4:$J$497,AA$1)</f>
        <v>0</v>
      </c>
      <c r="AB92" s="207">
        <f>SUMIFS('февраль 2023'!$G$4:$G$497,'февраль 2023'!$D$4:$D$497,$B92,'февраль 2023'!$J$4:$J$497,AB$1)</f>
        <v>0</v>
      </c>
      <c r="AC92" s="207">
        <f>SUMIFS('февраль 2023'!$G$4:$G$497,'февраль 2023'!$D$4:$D$497,$B92,'февраль 2023'!$J$4:$J$497,AC$1)</f>
        <v>0</v>
      </c>
      <c r="AD92" s="207">
        <f>SUMIFS('февраль 2023'!$G$4:$G$497,'февраль 2023'!$D$4:$D$497,$B92,'февраль 2023'!$J$4:$J$497,AD$1)</f>
        <v>0</v>
      </c>
      <c r="AE92" s="207">
        <f>SUMIFS('февраль 2023'!$G$4:$G$497,'февраль 2023'!$D$4:$D$497,$B92,'февраль 2023'!$J$4:$J$497,AE$1)</f>
        <v>0</v>
      </c>
      <c r="AF92" s="207">
        <f>SUMIFS('февраль 2023'!$G$4:$G$497,'февраль 2023'!$D$4:$D$497,$B92,'февраль 2023'!$J$4:$J$497,AF$1)</f>
        <v>0</v>
      </c>
      <c r="AG92" s="207">
        <f>SUMIFS('февраль 2023'!$G$4:$G$497,'февраль 2023'!$D$4:$D$497,$B92,'февраль 2023'!$J$4:$J$497,AG$1)</f>
        <v>0</v>
      </c>
      <c r="AH92" s="207">
        <f>SUMIFS('февраль 2023'!$G$4:$G$497,'февраль 2023'!$D$4:$D$497,$B92,'февраль 2023'!$J$4:$J$497,AH$1)</f>
        <v>0</v>
      </c>
      <c r="AI92" s="170">
        <f t="shared" si="2"/>
        <v>0</v>
      </c>
    </row>
    <row r="93" spans="2:35" ht="15" customHeight="1" x14ac:dyDescent="0.25">
      <c r="B93" s="218" t="s">
        <v>2194</v>
      </c>
      <c r="C93" s="219">
        <v>20</v>
      </c>
      <c r="D93" s="207">
        <f>SUMIFS('февраль 2023'!$G$4:$G$497,'февраль 2023'!$D$4:$D$497,$B93,'февраль 2023'!$J$4:$J$497,D$1)</f>
        <v>0</v>
      </c>
      <c r="E93" s="207">
        <f>SUMIFS('февраль 2023'!$G$4:$G$497,'февраль 2023'!$D$4:$D$497,$B93,'февраль 2023'!$J$4:$J$497,E$1)</f>
        <v>0</v>
      </c>
      <c r="F93" s="207">
        <f>SUMIFS('февраль 2023'!$G$4:$G$497,'февраль 2023'!$D$4:$D$497,$B93,'февраль 2023'!$J$4:$J$497,F$1)</f>
        <v>0</v>
      </c>
      <c r="G93" s="207">
        <f>SUMIFS('февраль 2023'!$G$4:$G$497,'февраль 2023'!$D$4:$D$497,$B93,'февраль 2023'!$J$4:$J$497,G$1)</f>
        <v>0</v>
      </c>
      <c r="H93" s="207">
        <f>SUMIFS('февраль 2023'!$G$4:$G$497,'февраль 2023'!$D$4:$D$497,$B93,'февраль 2023'!$J$4:$J$497,H$1)</f>
        <v>0</v>
      </c>
      <c r="I93" s="207">
        <f>SUMIFS('февраль 2023'!$G$4:$G$497,'февраль 2023'!$D$4:$D$497,$B93,'февраль 2023'!$J$4:$J$497,I$1)</f>
        <v>0</v>
      </c>
      <c r="J93" s="207">
        <f>SUMIFS('февраль 2023'!$G$4:$G$497,'февраль 2023'!$D$4:$D$497,$B93,'февраль 2023'!$J$4:$J$497,J$1)</f>
        <v>0</v>
      </c>
      <c r="K93" s="207">
        <f>SUMIFS('февраль 2023'!$G$4:$G$497,'февраль 2023'!$D$4:$D$497,$B93,'февраль 2023'!$J$4:$J$497,K$1)</f>
        <v>0</v>
      </c>
      <c r="L93" s="207">
        <f>SUMIFS('февраль 2023'!$G$4:$G$497,'февраль 2023'!$D$4:$D$497,$B93,'февраль 2023'!$J$4:$J$497,L$1)</f>
        <v>0</v>
      </c>
      <c r="M93" s="207">
        <f>SUMIFS('февраль 2023'!$G$4:$G$497,'февраль 2023'!$D$4:$D$497,$B93,'февраль 2023'!$J$4:$J$497,M$1)</f>
        <v>0</v>
      </c>
      <c r="N93" s="207">
        <f>SUMIFS('февраль 2023'!$G$4:$G$497,'февраль 2023'!$D$4:$D$497,$B93,'февраль 2023'!$J$4:$J$497,N$1)</f>
        <v>0</v>
      </c>
      <c r="O93" s="207">
        <f>SUMIFS('февраль 2023'!$G$4:$G$497,'февраль 2023'!$D$4:$D$497,$B93,'февраль 2023'!$J$4:$J$497,O$1)</f>
        <v>0</v>
      </c>
      <c r="P93" s="207">
        <f>SUMIFS('февраль 2023'!$G$4:$G$497,'февраль 2023'!$D$4:$D$497,$B93,'февраль 2023'!$J$4:$J$497,P$1)</f>
        <v>0</v>
      </c>
      <c r="Q93" s="207">
        <f>SUMIFS('февраль 2023'!$G$4:$G$497,'февраль 2023'!$D$4:$D$497,$B93,'февраль 2023'!$J$4:$J$497,Q$1)</f>
        <v>0</v>
      </c>
      <c r="R93" s="207">
        <f>SUMIFS('февраль 2023'!$G$4:$G$497,'февраль 2023'!$D$4:$D$497,$B93,'февраль 2023'!$J$4:$J$497,R$1)</f>
        <v>0</v>
      </c>
      <c r="S93" s="207">
        <f>SUMIFS('февраль 2023'!$G$4:$G$497,'февраль 2023'!$D$4:$D$497,$B93,'февраль 2023'!$J$4:$J$497,S$1)</f>
        <v>0</v>
      </c>
      <c r="T93" s="207">
        <f>SUMIFS('февраль 2023'!$G$4:$G$497,'февраль 2023'!$D$4:$D$497,$B93,'февраль 2023'!$J$4:$J$497,T$1)</f>
        <v>0</v>
      </c>
      <c r="U93" s="207">
        <f>SUMIFS('февраль 2023'!$G$4:$G$497,'февраль 2023'!$D$4:$D$497,$B93,'февраль 2023'!$J$4:$J$497,U$1)</f>
        <v>0</v>
      </c>
      <c r="V93" s="207">
        <f>SUMIFS('февраль 2023'!$G$4:$G$497,'февраль 2023'!$D$4:$D$497,$B93,'февраль 2023'!$J$4:$J$497,V$1)</f>
        <v>0</v>
      </c>
      <c r="W93" s="207">
        <f>SUMIFS('февраль 2023'!$G$4:$G$497,'февраль 2023'!$D$4:$D$497,$B93,'февраль 2023'!$J$4:$J$497,W$1)</f>
        <v>0</v>
      </c>
      <c r="X93" s="207">
        <f>SUMIFS('февраль 2023'!$G$4:$G$497,'февраль 2023'!$D$4:$D$497,$B93,'февраль 2023'!$J$4:$J$497,X$1)</f>
        <v>0</v>
      </c>
      <c r="Y93" s="207">
        <f>SUMIFS('февраль 2023'!$G$4:$G$497,'февраль 2023'!$D$4:$D$497,$B93,'февраль 2023'!$J$4:$J$497,Y$1)</f>
        <v>0</v>
      </c>
      <c r="Z93" s="207">
        <f>SUMIFS('февраль 2023'!$G$4:$G$497,'февраль 2023'!$D$4:$D$497,$B93,'февраль 2023'!$J$4:$J$497,Z$1)</f>
        <v>0</v>
      </c>
      <c r="AA93" s="207">
        <f>SUMIFS('февраль 2023'!$G$4:$G$497,'февраль 2023'!$D$4:$D$497,$B93,'февраль 2023'!$J$4:$J$497,AA$1)</f>
        <v>0</v>
      </c>
      <c r="AB93" s="207">
        <f>SUMIFS('февраль 2023'!$G$4:$G$497,'февраль 2023'!$D$4:$D$497,$B93,'февраль 2023'!$J$4:$J$497,AB$1)</f>
        <v>0</v>
      </c>
      <c r="AC93" s="207">
        <f>SUMIFS('февраль 2023'!$G$4:$G$497,'февраль 2023'!$D$4:$D$497,$B93,'февраль 2023'!$J$4:$J$497,AC$1)</f>
        <v>0</v>
      </c>
      <c r="AD93" s="207">
        <f>SUMIFS('февраль 2023'!$G$4:$G$497,'февраль 2023'!$D$4:$D$497,$B93,'февраль 2023'!$J$4:$J$497,AD$1)</f>
        <v>0</v>
      </c>
      <c r="AE93" s="207">
        <f>SUMIFS('февраль 2023'!$G$4:$G$497,'февраль 2023'!$D$4:$D$497,$B93,'февраль 2023'!$J$4:$J$497,AE$1)</f>
        <v>0</v>
      </c>
      <c r="AF93" s="207">
        <f>SUMIFS('февраль 2023'!$G$4:$G$497,'февраль 2023'!$D$4:$D$497,$B93,'февраль 2023'!$J$4:$J$497,AF$1)</f>
        <v>0</v>
      </c>
      <c r="AG93" s="207">
        <f>SUMIFS('февраль 2023'!$G$4:$G$497,'февраль 2023'!$D$4:$D$497,$B93,'февраль 2023'!$J$4:$J$497,AG$1)</f>
        <v>0</v>
      </c>
      <c r="AH93" s="207">
        <f>SUMIFS('февраль 2023'!$G$4:$G$497,'февраль 2023'!$D$4:$D$497,$B93,'февраль 2023'!$J$4:$J$497,AH$1)</f>
        <v>0</v>
      </c>
      <c r="AI93" s="170">
        <f t="shared" si="2"/>
        <v>0</v>
      </c>
    </row>
    <row r="94" spans="2:35" ht="15" customHeight="1" x14ac:dyDescent="0.25">
      <c r="B94" s="212" t="s">
        <v>2195</v>
      </c>
      <c r="C94" s="213">
        <v>20</v>
      </c>
      <c r="D94" s="207">
        <f>SUMIFS('февраль 2023'!$G$4:$G$497,'февраль 2023'!$D$4:$D$497,$B94,'февраль 2023'!$J$4:$J$497,D$1)</f>
        <v>0</v>
      </c>
      <c r="E94" s="207">
        <f>SUMIFS('февраль 2023'!$G$4:$G$497,'февраль 2023'!$D$4:$D$497,$B94,'февраль 2023'!$J$4:$J$497,E$1)</f>
        <v>0</v>
      </c>
      <c r="F94" s="207">
        <f>SUMIFS('февраль 2023'!$G$4:$G$497,'февраль 2023'!$D$4:$D$497,$B94,'февраль 2023'!$J$4:$J$497,F$1)</f>
        <v>0</v>
      </c>
      <c r="G94" s="207">
        <f>SUMIFS('февраль 2023'!$G$4:$G$497,'февраль 2023'!$D$4:$D$497,$B94,'февраль 2023'!$J$4:$J$497,G$1)</f>
        <v>0</v>
      </c>
      <c r="H94" s="207">
        <f>SUMIFS('февраль 2023'!$G$4:$G$497,'февраль 2023'!$D$4:$D$497,$B94,'февраль 2023'!$J$4:$J$497,H$1)</f>
        <v>0</v>
      </c>
      <c r="I94" s="207">
        <f>SUMIFS('февраль 2023'!$G$4:$G$497,'февраль 2023'!$D$4:$D$497,$B94,'февраль 2023'!$J$4:$J$497,I$1)</f>
        <v>0</v>
      </c>
      <c r="J94" s="207">
        <f>SUMIFS('февраль 2023'!$G$4:$G$497,'февраль 2023'!$D$4:$D$497,$B94,'февраль 2023'!$J$4:$J$497,J$1)</f>
        <v>0</v>
      </c>
      <c r="K94" s="207">
        <f>SUMIFS('февраль 2023'!$G$4:$G$497,'февраль 2023'!$D$4:$D$497,$B94,'февраль 2023'!$J$4:$J$497,K$1)</f>
        <v>0</v>
      </c>
      <c r="L94" s="207">
        <f>SUMIFS('февраль 2023'!$G$4:$G$497,'февраль 2023'!$D$4:$D$497,$B94,'февраль 2023'!$J$4:$J$497,L$1)</f>
        <v>0</v>
      </c>
      <c r="M94" s="207">
        <f>SUMIFS('февраль 2023'!$G$4:$G$497,'февраль 2023'!$D$4:$D$497,$B94,'февраль 2023'!$J$4:$J$497,M$1)</f>
        <v>0</v>
      </c>
      <c r="N94" s="207">
        <f>SUMIFS('февраль 2023'!$G$4:$G$497,'февраль 2023'!$D$4:$D$497,$B94,'февраль 2023'!$J$4:$J$497,N$1)</f>
        <v>0</v>
      </c>
      <c r="O94" s="207">
        <f>SUMIFS('февраль 2023'!$G$4:$G$497,'февраль 2023'!$D$4:$D$497,$B94,'февраль 2023'!$J$4:$J$497,O$1)</f>
        <v>0</v>
      </c>
      <c r="P94" s="207">
        <f>SUMIFS('февраль 2023'!$G$4:$G$497,'февраль 2023'!$D$4:$D$497,$B94,'февраль 2023'!$J$4:$J$497,P$1)</f>
        <v>0</v>
      </c>
      <c r="Q94" s="207">
        <f>SUMIFS('февраль 2023'!$G$4:$G$497,'февраль 2023'!$D$4:$D$497,$B94,'февраль 2023'!$J$4:$J$497,Q$1)</f>
        <v>0</v>
      </c>
      <c r="R94" s="207">
        <f>SUMIFS('февраль 2023'!$G$4:$G$497,'февраль 2023'!$D$4:$D$497,$B94,'февраль 2023'!$J$4:$J$497,R$1)</f>
        <v>0</v>
      </c>
      <c r="S94" s="207">
        <f>SUMIFS('февраль 2023'!$G$4:$G$497,'февраль 2023'!$D$4:$D$497,$B94,'февраль 2023'!$J$4:$J$497,S$1)</f>
        <v>0</v>
      </c>
      <c r="T94" s="207">
        <f>SUMIFS('февраль 2023'!$G$4:$G$497,'февраль 2023'!$D$4:$D$497,$B94,'февраль 2023'!$J$4:$J$497,T$1)</f>
        <v>0</v>
      </c>
      <c r="U94" s="207">
        <f>SUMIFS('февраль 2023'!$G$4:$G$497,'февраль 2023'!$D$4:$D$497,$B94,'февраль 2023'!$J$4:$J$497,U$1)</f>
        <v>0</v>
      </c>
      <c r="V94" s="207">
        <f>SUMIFS('февраль 2023'!$G$4:$G$497,'февраль 2023'!$D$4:$D$497,$B94,'февраль 2023'!$J$4:$J$497,V$1)</f>
        <v>0</v>
      </c>
      <c r="W94" s="207">
        <f>SUMIFS('февраль 2023'!$G$4:$G$497,'февраль 2023'!$D$4:$D$497,$B94,'февраль 2023'!$J$4:$J$497,W$1)</f>
        <v>0</v>
      </c>
      <c r="X94" s="207">
        <f>SUMIFS('февраль 2023'!$G$4:$G$497,'февраль 2023'!$D$4:$D$497,$B94,'февраль 2023'!$J$4:$J$497,X$1)</f>
        <v>0</v>
      </c>
      <c r="Y94" s="207">
        <f>SUMIFS('февраль 2023'!$G$4:$G$497,'февраль 2023'!$D$4:$D$497,$B94,'февраль 2023'!$J$4:$J$497,Y$1)</f>
        <v>0</v>
      </c>
      <c r="Z94" s="207">
        <f>SUMIFS('февраль 2023'!$G$4:$G$497,'февраль 2023'!$D$4:$D$497,$B94,'февраль 2023'!$J$4:$J$497,Z$1)</f>
        <v>0</v>
      </c>
      <c r="AA94" s="207">
        <f>SUMIFS('февраль 2023'!$G$4:$G$497,'февраль 2023'!$D$4:$D$497,$B94,'февраль 2023'!$J$4:$J$497,AA$1)</f>
        <v>0</v>
      </c>
      <c r="AB94" s="207">
        <f>SUMIFS('февраль 2023'!$G$4:$G$497,'февраль 2023'!$D$4:$D$497,$B94,'февраль 2023'!$J$4:$J$497,AB$1)</f>
        <v>0</v>
      </c>
      <c r="AC94" s="207">
        <f>SUMIFS('февраль 2023'!$G$4:$G$497,'февраль 2023'!$D$4:$D$497,$B94,'февраль 2023'!$J$4:$J$497,AC$1)</f>
        <v>0</v>
      </c>
      <c r="AD94" s="207">
        <f>SUMIFS('февраль 2023'!$G$4:$G$497,'февраль 2023'!$D$4:$D$497,$B94,'февраль 2023'!$J$4:$J$497,AD$1)</f>
        <v>0</v>
      </c>
      <c r="AE94" s="207">
        <f>SUMIFS('февраль 2023'!$G$4:$G$497,'февраль 2023'!$D$4:$D$497,$B94,'февраль 2023'!$J$4:$J$497,AE$1)</f>
        <v>0</v>
      </c>
      <c r="AF94" s="207">
        <f>SUMIFS('февраль 2023'!$G$4:$G$497,'февраль 2023'!$D$4:$D$497,$B94,'февраль 2023'!$J$4:$J$497,AF$1)</f>
        <v>0</v>
      </c>
      <c r="AG94" s="207">
        <f>SUMIFS('февраль 2023'!$G$4:$G$497,'февраль 2023'!$D$4:$D$497,$B94,'февраль 2023'!$J$4:$J$497,AG$1)</f>
        <v>0</v>
      </c>
      <c r="AH94" s="207">
        <f>SUMIFS('февраль 2023'!$G$4:$G$497,'февраль 2023'!$D$4:$D$497,$B94,'февраль 2023'!$J$4:$J$497,AH$1)</f>
        <v>0</v>
      </c>
      <c r="AI94" s="170">
        <f t="shared" si="2"/>
        <v>0</v>
      </c>
    </row>
    <row r="95" spans="2:35" ht="15" customHeight="1" x14ac:dyDescent="0.25">
      <c r="B95" s="212"/>
      <c r="C95" s="213"/>
      <c r="D95" s="207">
        <f>SUMIFS('февраль 2023'!$G$4:$G$497,'февраль 2023'!$D$4:$D$497,$B95,'февраль 2023'!$J$4:$J$497,D$1)</f>
        <v>0</v>
      </c>
      <c r="E95" s="207">
        <f>SUMIFS('февраль 2023'!$G$4:$G$497,'февраль 2023'!$D$4:$D$497,$B95,'февраль 2023'!$J$4:$J$497,E$1)</f>
        <v>0</v>
      </c>
      <c r="F95" s="207">
        <f>SUMIFS('февраль 2023'!$G$4:$G$497,'февраль 2023'!$D$4:$D$497,$B95,'февраль 2023'!$J$4:$J$497,F$1)</f>
        <v>0</v>
      </c>
      <c r="G95" s="207">
        <f>SUMIFS('февраль 2023'!$G$4:$G$497,'февраль 2023'!$D$4:$D$497,$B95,'февраль 2023'!$J$4:$J$497,G$1)</f>
        <v>0</v>
      </c>
      <c r="H95" s="207">
        <f>SUMIFS('февраль 2023'!$G$4:$G$497,'февраль 2023'!$D$4:$D$497,$B95,'февраль 2023'!$J$4:$J$497,H$1)</f>
        <v>0</v>
      </c>
      <c r="I95" s="207">
        <f>SUMIFS('февраль 2023'!$G$4:$G$497,'февраль 2023'!$D$4:$D$497,$B95,'февраль 2023'!$J$4:$J$497,I$1)</f>
        <v>0</v>
      </c>
      <c r="J95" s="207">
        <f>SUMIFS('февраль 2023'!$G$4:$G$497,'февраль 2023'!$D$4:$D$497,$B95,'февраль 2023'!$J$4:$J$497,J$1)</f>
        <v>0</v>
      </c>
      <c r="K95" s="207">
        <f>SUMIFS('февраль 2023'!$G$4:$G$497,'февраль 2023'!$D$4:$D$497,$B95,'февраль 2023'!$J$4:$J$497,K$1)</f>
        <v>0</v>
      </c>
      <c r="L95" s="207">
        <f>SUMIFS('февраль 2023'!$G$4:$G$497,'февраль 2023'!$D$4:$D$497,$B95,'февраль 2023'!$J$4:$J$497,L$1)</f>
        <v>0</v>
      </c>
      <c r="M95" s="207">
        <f>SUMIFS('февраль 2023'!$G$4:$G$497,'февраль 2023'!$D$4:$D$497,$B95,'февраль 2023'!$J$4:$J$497,M$1)</f>
        <v>0</v>
      </c>
      <c r="N95" s="207">
        <f>SUMIFS('февраль 2023'!$G$4:$G$497,'февраль 2023'!$D$4:$D$497,$B95,'февраль 2023'!$J$4:$J$497,N$1)</f>
        <v>0</v>
      </c>
      <c r="O95" s="207">
        <f>SUMIFS('февраль 2023'!$G$4:$G$497,'февраль 2023'!$D$4:$D$497,$B95,'февраль 2023'!$J$4:$J$497,O$1)</f>
        <v>0</v>
      </c>
      <c r="P95" s="207">
        <f>SUMIFS('февраль 2023'!$G$4:$G$497,'февраль 2023'!$D$4:$D$497,$B95,'февраль 2023'!$J$4:$J$497,P$1)</f>
        <v>0</v>
      </c>
      <c r="Q95" s="207">
        <f>SUMIFS('февраль 2023'!$G$4:$G$497,'февраль 2023'!$D$4:$D$497,$B95,'февраль 2023'!$J$4:$J$497,Q$1)</f>
        <v>0</v>
      </c>
      <c r="R95" s="207">
        <f>SUMIFS('февраль 2023'!$G$4:$G$497,'февраль 2023'!$D$4:$D$497,$B95,'февраль 2023'!$J$4:$J$497,R$1)</f>
        <v>0</v>
      </c>
      <c r="S95" s="207">
        <f>SUMIFS('февраль 2023'!$G$4:$G$497,'февраль 2023'!$D$4:$D$497,$B95,'февраль 2023'!$J$4:$J$497,S$1)</f>
        <v>0</v>
      </c>
      <c r="T95" s="207">
        <f>SUMIFS('февраль 2023'!$G$4:$G$497,'февраль 2023'!$D$4:$D$497,$B95,'февраль 2023'!$J$4:$J$497,T$1)</f>
        <v>0</v>
      </c>
      <c r="U95" s="207">
        <f>SUMIFS('февраль 2023'!$G$4:$G$497,'февраль 2023'!$D$4:$D$497,$B95,'февраль 2023'!$J$4:$J$497,U$1)</f>
        <v>0</v>
      </c>
      <c r="V95" s="207">
        <f>SUMIFS('февраль 2023'!$G$4:$G$497,'февраль 2023'!$D$4:$D$497,$B95,'февраль 2023'!$J$4:$J$497,V$1)</f>
        <v>0</v>
      </c>
      <c r="W95" s="207">
        <f>SUMIFS('февраль 2023'!$G$4:$G$497,'февраль 2023'!$D$4:$D$497,$B95,'февраль 2023'!$J$4:$J$497,W$1)</f>
        <v>0</v>
      </c>
      <c r="X95" s="207">
        <f>SUMIFS('февраль 2023'!$G$4:$G$497,'февраль 2023'!$D$4:$D$497,$B95,'февраль 2023'!$J$4:$J$497,X$1)</f>
        <v>0</v>
      </c>
      <c r="Y95" s="207">
        <f>SUMIFS('февраль 2023'!$G$4:$G$497,'февраль 2023'!$D$4:$D$497,$B95,'февраль 2023'!$J$4:$J$497,Y$1)</f>
        <v>0</v>
      </c>
      <c r="Z95" s="207">
        <f>SUMIFS('февраль 2023'!$G$4:$G$497,'февраль 2023'!$D$4:$D$497,$B95,'февраль 2023'!$J$4:$J$497,Z$1)</f>
        <v>0</v>
      </c>
      <c r="AA95" s="207">
        <f>SUMIFS('февраль 2023'!$G$4:$G$497,'февраль 2023'!$D$4:$D$497,$B95,'февраль 2023'!$J$4:$J$497,AA$1)</f>
        <v>0</v>
      </c>
      <c r="AB95" s="207">
        <f>SUMIFS('февраль 2023'!$G$4:$G$497,'февраль 2023'!$D$4:$D$497,$B95,'февраль 2023'!$J$4:$J$497,AB$1)</f>
        <v>0</v>
      </c>
      <c r="AC95" s="207">
        <f>SUMIFS('февраль 2023'!$G$4:$G$497,'февраль 2023'!$D$4:$D$497,$B95,'февраль 2023'!$J$4:$J$497,AC$1)</f>
        <v>0</v>
      </c>
      <c r="AD95" s="207">
        <f>SUMIFS('февраль 2023'!$G$4:$G$497,'февраль 2023'!$D$4:$D$497,$B95,'февраль 2023'!$J$4:$J$497,AD$1)</f>
        <v>0</v>
      </c>
      <c r="AE95" s="207">
        <f>SUMIFS('февраль 2023'!$G$4:$G$497,'февраль 2023'!$D$4:$D$497,$B95,'февраль 2023'!$J$4:$J$497,AE$1)</f>
        <v>0</v>
      </c>
      <c r="AF95" s="207">
        <f>SUMIFS('февраль 2023'!$G$4:$G$497,'февраль 2023'!$D$4:$D$497,$B95,'февраль 2023'!$J$4:$J$497,AF$1)</f>
        <v>0</v>
      </c>
      <c r="AG95" s="207">
        <f>SUMIFS('февраль 2023'!$G$4:$G$497,'февраль 2023'!$D$4:$D$497,$B95,'февраль 2023'!$J$4:$J$497,AG$1)</f>
        <v>0</v>
      </c>
      <c r="AH95" s="207">
        <f>SUMIFS('февраль 2023'!$G$4:$G$497,'февраль 2023'!$D$4:$D$497,$B95,'февраль 2023'!$J$4:$J$497,AH$1)</f>
        <v>0</v>
      </c>
      <c r="AI95" s="170">
        <f t="shared" si="2"/>
        <v>0</v>
      </c>
    </row>
    <row r="96" spans="2:35" ht="15" customHeight="1" x14ac:dyDescent="0.25">
      <c r="B96" s="212"/>
      <c r="C96" s="213"/>
      <c r="D96" s="207">
        <f>SUMIFS('февраль 2023'!$G$4:$G$497,'февраль 2023'!$D$4:$D$497,$B96,'февраль 2023'!$J$4:$J$497,D$1)</f>
        <v>0</v>
      </c>
      <c r="E96" s="207">
        <f>SUMIFS('февраль 2023'!$G$4:$G$497,'февраль 2023'!$D$4:$D$497,$B96,'февраль 2023'!$J$4:$J$497,E$1)</f>
        <v>0</v>
      </c>
      <c r="F96" s="207">
        <f>SUMIFS('февраль 2023'!$G$4:$G$497,'февраль 2023'!$D$4:$D$497,$B96,'февраль 2023'!$J$4:$J$497,F$1)</f>
        <v>0</v>
      </c>
      <c r="G96" s="207">
        <f>SUMIFS('февраль 2023'!$G$4:$G$497,'февраль 2023'!$D$4:$D$497,$B96,'февраль 2023'!$J$4:$J$497,G$1)</f>
        <v>0</v>
      </c>
      <c r="H96" s="207">
        <f>SUMIFS('февраль 2023'!$G$4:$G$497,'февраль 2023'!$D$4:$D$497,$B96,'февраль 2023'!$J$4:$J$497,H$1)</f>
        <v>0</v>
      </c>
      <c r="I96" s="207">
        <f>SUMIFS('февраль 2023'!$G$4:$G$497,'февраль 2023'!$D$4:$D$497,$B96,'февраль 2023'!$J$4:$J$497,I$1)</f>
        <v>0</v>
      </c>
      <c r="J96" s="207">
        <f>SUMIFS('февраль 2023'!$G$4:$G$497,'февраль 2023'!$D$4:$D$497,$B96,'февраль 2023'!$J$4:$J$497,J$1)</f>
        <v>0</v>
      </c>
      <c r="K96" s="207">
        <f>SUMIFS('февраль 2023'!$G$4:$G$497,'февраль 2023'!$D$4:$D$497,$B96,'февраль 2023'!$J$4:$J$497,K$1)</f>
        <v>0</v>
      </c>
      <c r="L96" s="207">
        <f>SUMIFS('февраль 2023'!$G$4:$G$497,'февраль 2023'!$D$4:$D$497,$B96,'февраль 2023'!$J$4:$J$497,L$1)</f>
        <v>0</v>
      </c>
      <c r="M96" s="207">
        <f>SUMIFS('февраль 2023'!$G$4:$G$497,'февраль 2023'!$D$4:$D$497,$B96,'февраль 2023'!$J$4:$J$497,M$1)</f>
        <v>0</v>
      </c>
      <c r="N96" s="207">
        <f>SUMIFS('февраль 2023'!$G$4:$G$497,'февраль 2023'!$D$4:$D$497,$B96,'февраль 2023'!$J$4:$J$497,N$1)</f>
        <v>0</v>
      </c>
      <c r="O96" s="207">
        <f>SUMIFS('февраль 2023'!$G$4:$G$497,'февраль 2023'!$D$4:$D$497,$B96,'февраль 2023'!$J$4:$J$497,O$1)</f>
        <v>0</v>
      </c>
      <c r="P96" s="207">
        <f>SUMIFS('февраль 2023'!$G$4:$G$497,'февраль 2023'!$D$4:$D$497,$B96,'февраль 2023'!$J$4:$J$497,P$1)</f>
        <v>0</v>
      </c>
      <c r="Q96" s="207">
        <f>SUMIFS('февраль 2023'!$G$4:$G$497,'февраль 2023'!$D$4:$D$497,$B96,'февраль 2023'!$J$4:$J$497,Q$1)</f>
        <v>0</v>
      </c>
      <c r="R96" s="207">
        <f>SUMIFS('февраль 2023'!$G$4:$G$497,'февраль 2023'!$D$4:$D$497,$B96,'февраль 2023'!$J$4:$J$497,R$1)</f>
        <v>0</v>
      </c>
      <c r="S96" s="207">
        <f>SUMIFS('февраль 2023'!$G$4:$G$497,'февраль 2023'!$D$4:$D$497,$B96,'февраль 2023'!$J$4:$J$497,S$1)</f>
        <v>0</v>
      </c>
      <c r="T96" s="207">
        <f>SUMIFS('февраль 2023'!$G$4:$G$497,'февраль 2023'!$D$4:$D$497,$B96,'февраль 2023'!$J$4:$J$497,T$1)</f>
        <v>0</v>
      </c>
      <c r="U96" s="207">
        <f>SUMIFS('февраль 2023'!$G$4:$G$497,'февраль 2023'!$D$4:$D$497,$B96,'февраль 2023'!$J$4:$J$497,U$1)</f>
        <v>0</v>
      </c>
      <c r="V96" s="207">
        <f>SUMIFS('февраль 2023'!$G$4:$G$497,'февраль 2023'!$D$4:$D$497,$B96,'февраль 2023'!$J$4:$J$497,V$1)</f>
        <v>0</v>
      </c>
      <c r="W96" s="207">
        <f>SUMIFS('февраль 2023'!$G$4:$G$497,'февраль 2023'!$D$4:$D$497,$B96,'февраль 2023'!$J$4:$J$497,W$1)</f>
        <v>0</v>
      </c>
      <c r="X96" s="207">
        <f>SUMIFS('февраль 2023'!$G$4:$G$497,'февраль 2023'!$D$4:$D$497,$B96,'февраль 2023'!$J$4:$J$497,X$1)</f>
        <v>0</v>
      </c>
      <c r="Y96" s="207">
        <f>SUMIFS('февраль 2023'!$G$4:$G$497,'февраль 2023'!$D$4:$D$497,$B96,'февраль 2023'!$J$4:$J$497,Y$1)</f>
        <v>0</v>
      </c>
      <c r="Z96" s="207">
        <f>SUMIFS('февраль 2023'!$G$4:$G$497,'февраль 2023'!$D$4:$D$497,$B96,'февраль 2023'!$J$4:$J$497,Z$1)</f>
        <v>0</v>
      </c>
      <c r="AA96" s="207">
        <f>SUMIFS('февраль 2023'!$G$4:$G$497,'февраль 2023'!$D$4:$D$497,$B96,'февраль 2023'!$J$4:$J$497,AA$1)</f>
        <v>0</v>
      </c>
      <c r="AB96" s="207">
        <f>SUMIFS('февраль 2023'!$G$4:$G$497,'февраль 2023'!$D$4:$D$497,$B96,'февраль 2023'!$J$4:$J$497,AB$1)</f>
        <v>0</v>
      </c>
      <c r="AC96" s="207">
        <f>SUMIFS('февраль 2023'!$G$4:$G$497,'февраль 2023'!$D$4:$D$497,$B96,'февраль 2023'!$J$4:$J$497,AC$1)</f>
        <v>0</v>
      </c>
      <c r="AD96" s="207">
        <f>SUMIFS('февраль 2023'!$G$4:$G$497,'февраль 2023'!$D$4:$D$497,$B96,'февраль 2023'!$J$4:$J$497,AD$1)</f>
        <v>0</v>
      </c>
      <c r="AE96" s="207">
        <f>SUMIFS('февраль 2023'!$G$4:$G$497,'февраль 2023'!$D$4:$D$497,$B96,'февраль 2023'!$J$4:$J$497,AE$1)</f>
        <v>0</v>
      </c>
      <c r="AF96" s="207">
        <f>SUMIFS('февраль 2023'!$G$4:$G$497,'февраль 2023'!$D$4:$D$497,$B96,'февраль 2023'!$J$4:$J$497,AF$1)</f>
        <v>0</v>
      </c>
      <c r="AG96" s="207">
        <f>SUMIFS('февраль 2023'!$G$4:$G$497,'февраль 2023'!$D$4:$D$497,$B96,'февраль 2023'!$J$4:$J$497,AG$1)</f>
        <v>0</v>
      </c>
      <c r="AH96" s="207">
        <f>SUMIFS('февраль 2023'!$G$4:$G$497,'февраль 2023'!$D$4:$D$497,$B96,'февраль 2023'!$J$4:$J$497,AH$1)</f>
        <v>0</v>
      </c>
      <c r="AI96" s="170">
        <f t="shared" si="2"/>
        <v>0</v>
      </c>
    </row>
    <row r="97" spans="2:35" ht="15" customHeight="1" x14ac:dyDescent="0.25">
      <c r="B97" s="216" t="s">
        <v>2196</v>
      </c>
      <c r="C97" s="213">
        <v>20</v>
      </c>
      <c r="D97" s="207">
        <f>SUMIFS('февраль 2023'!$G$4:$G$497,'февраль 2023'!$D$4:$D$497,$B97,'февраль 2023'!$J$4:$J$497,D$1)</f>
        <v>0</v>
      </c>
      <c r="E97" s="207">
        <f>SUMIFS('февраль 2023'!$G$4:$G$497,'февраль 2023'!$D$4:$D$497,$B97,'февраль 2023'!$J$4:$J$497,E$1)</f>
        <v>0</v>
      </c>
      <c r="F97" s="207">
        <f>SUMIFS('февраль 2023'!$G$4:$G$497,'февраль 2023'!$D$4:$D$497,$B97,'февраль 2023'!$J$4:$J$497,F$1)</f>
        <v>0</v>
      </c>
      <c r="G97" s="207">
        <f>SUMIFS('февраль 2023'!$G$4:$G$497,'февраль 2023'!$D$4:$D$497,$B97,'февраль 2023'!$J$4:$J$497,G$1)</f>
        <v>0</v>
      </c>
      <c r="H97" s="207">
        <f>SUMIFS('февраль 2023'!$G$4:$G$497,'февраль 2023'!$D$4:$D$497,$B97,'февраль 2023'!$J$4:$J$497,H$1)</f>
        <v>0</v>
      </c>
      <c r="I97" s="207">
        <f>SUMIFS('февраль 2023'!$G$4:$G$497,'февраль 2023'!$D$4:$D$497,$B97,'февраль 2023'!$J$4:$J$497,I$1)</f>
        <v>0</v>
      </c>
      <c r="J97" s="207">
        <f>SUMIFS('февраль 2023'!$G$4:$G$497,'февраль 2023'!$D$4:$D$497,$B97,'февраль 2023'!$J$4:$J$497,J$1)</f>
        <v>0</v>
      </c>
      <c r="K97" s="207">
        <f>SUMIFS('февраль 2023'!$G$4:$G$497,'февраль 2023'!$D$4:$D$497,$B97,'февраль 2023'!$J$4:$J$497,K$1)</f>
        <v>0</v>
      </c>
      <c r="L97" s="207">
        <f>SUMIFS('февраль 2023'!$G$4:$G$497,'февраль 2023'!$D$4:$D$497,$B97,'февраль 2023'!$J$4:$J$497,L$1)</f>
        <v>0</v>
      </c>
      <c r="M97" s="207">
        <f>SUMIFS('февраль 2023'!$G$4:$G$497,'февраль 2023'!$D$4:$D$497,$B97,'февраль 2023'!$J$4:$J$497,M$1)</f>
        <v>0</v>
      </c>
      <c r="N97" s="207">
        <f>SUMIFS('февраль 2023'!$G$4:$G$497,'февраль 2023'!$D$4:$D$497,$B97,'февраль 2023'!$J$4:$J$497,N$1)</f>
        <v>0</v>
      </c>
      <c r="O97" s="207">
        <f>SUMIFS('февраль 2023'!$G$4:$G$497,'февраль 2023'!$D$4:$D$497,$B97,'февраль 2023'!$J$4:$J$497,O$1)</f>
        <v>0</v>
      </c>
      <c r="P97" s="207">
        <f>SUMIFS('февраль 2023'!$G$4:$G$497,'февраль 2023'!$D$4:$D$497,$B97,'февраль 2023'!$J$4:$J$497,P$1)</f>
        <v>0</v>
      </c>
      <c r="Q97" s="207">
        <f>SUMIFS('февраль 2023'!$G$4:$G$497,'февраль 2023'!$D$4:$D$497,$B97,'февраль 2023'!$J$4:$J$497,Q$1)</f>
        <v>0</v>
      </c>
      <c r="R97" s="207">
        <f>SUMIFS('февраль 2023'!$G$4:$G$497,'февраль 2023'!$D$4:$D$497,$B97,'февраль 2023'!$J$4:$J$497,R$1)</f>
        <v>0</v>
      </c>
      <c r="S97" s="207">
        <f>SUMIFS('февраль 2023'!$G$4:$G$497,'февраль 2023'!$D$4:$D$497,$B97,'февраль 2023'!$J$4:$J$497,S$1)</f>
        <v>0</v>
      </c>
      <c r="T97" s="207">
        <f>SUMIFS('февраль 2023'!$G$4:$G$497,'февраль 2023'!$D$4:$D$497,$B97,'февраль 2023'!$J$4:$J$497,T$1)</f>
        <v>0</v>
      </c>
      <c r="U97" s="207">
        <f>SUMIFS('февраль 2023'!$G$4:$G$497,'февраль 2023'!$D$4:$D$497,$B97,'февраль 2023'!$J$4:$J$497,U$1)</f>
        <v>0</v>
      </c>
      <c r="V97" s="207">
        <f>SUMIFS('февраль 2023'!$G$4:$G$497,'февраль 2023'!$D$4:$D$497,$B97,'февраль 2023'!$J$4:$J$497,V$1)</f>
        <v>0</v>
      </c>
      <c r="W97" s="207">
        <f>SUMIFS('февраль 2023'!$G$4:$G$497,'февраль 2023'!$D$4:$D$497,$B97,'февраль 2023'!$J$4:$J$497,W$1)</f>
        <v>0</v>
      </c>
      <c r="X97" s="207">
        <f>SUMIFS('февраль 2023'!$G$4:$G$497,'февраль 2023'!$D$4:$D$497,$B97,'февраль 2023'!$J$4:$J$497,X$1)</f>
        <v>0</v>
      </c>
      <c r="Y97" s="207">
        <f>SUMIFS('февраль 2023'!$G$4:$G$497,'февраль 2023'!$D$4:$D$497,$B97,'февраль 2023'!$J$4:$J$497,Y$1)</f>
        <v>0</v>
      </c>
      <c r="Z97" s="207">
        <f>SUMIFS('февраль 2023'!$G$4:$G$497,'февраль 2023'!$D$4:$D$497,$B97,'февраль 2023'!$J$4:$J$497,Z$1)</f>
        <v>0</v>
      </c>
      <c r="AA97" s="207">
        <f>SUMIFS('февраль 2023'!$G$4:$G$497,'февраль 2023'!$D$4:$D$497,$B97,'февраль 2023'!$J$4:$J$497,AA$1)</f>
        <v>0</v>
      </c>
      <c r="AB97" s="207">
        <f>SUMIFS('февраль 2023'!$G$4:$G$497,'февраль 2023'!$D$4:$D$497,$B97,'февраль 2023'!$J$4:$J$497,AB$1)</f>
        <v>0</v>
      </c>
      <c r="AC97" s="207">
        <f>SUMIFS('февраль 2023'!$G$4:$G$497,'февраль 2023'!$D$4:$D$497,$B97,'февраль 2023'!$J$4:$J$497,AC$1)</f>
        <v>0</v>
      </c>
      <c r="AD97" s="207">
        <f>SUMIFS('февраль 2023'!$G$4:$G$497,'февраль 2023'!$D$4:$D$497,$B97,'февраль 2023'!$J$4:$J$497,AD$1)</f>
        <v>0</v>
      </c>
      <c r="AE97" s="207">
        <f>SUMIFS('февраль 2023'!$G$4:$G$497,'февраль 2023'!$D$4:$D$497,$B97,'февраль 2023'!$J$4:$J$497,AE$1)</f>
        <v>0</v>
      </c>
      <c r="AF97" s="207">
        <f>SUMIFS('февраль 2023'!$G$4:$G$497,'февраль 2023'!$D$4:$D$497,$B97,'февраль 2023'!$J$4:$J$497,AF$1)</f>
        <v>0</v>
      </c>
      <c r="AG97" s="207">
        <f>SUMIFS('февраль 2023'!$G$4:$G$497,'февраль 2023'!$D$4:$D$497,$B97,'февраль 2023'!$J$4:$J$497,AG$1)</f>
        <v>0</v>
      </c>
      <c r="AH97" s="207">
        <f>SUMIFS('февраль 2023'!$G$4:$G$497,'февраль 2023'!$D$4:$D$497,$B97,'февраль 2023'!$J$4:$J$497,AH$1)</f>
        <v>0</v>
      </c>
      <c r="AI97" s="170">
        <f t="shared" si="2"/>
        <v>0</v>
      </c>
    </row>
    <row r="98" spans="2:35" ht="16.899999999999999" customHeight="1" x14ac:dyDescent="0.25">
      <c r="B98" s="212" t="s">
        <v>2197</v>
      </c>
      <c r="C98" s="211">
        <v>20</v>
      </c>
      <c r="D98" s="207">
        <f>SUMIFS('февраль 2023'!$G$4:$G$497,'февраль 2023'!$D$4:$D$497,$B98,'февраль 2023'!$J$4:$J$497,D$1)</f>
        <v>0</v>
      </c>
      <c r="E98" s="207">
        <f>SUMIFS('февраль 2023'!$G$4:$G$497,'февраль 2023'!$D$4:$D$497,$B98,'февраль 2023'!$J$4:$J$497,E$1)</f>
        <v>0</v>
      </c>
      <c r="F98" s="207">
        <f>SUMIFS('февраль 2023'!$G$4:$G$497,'февраль 2023'!$D$4:$D$497,$B98,'февраль 2023'!$J$4:$J$497,F$1)</f>
        <v>0</v>
      </c>
      <c r="G98" s="207">
        <f>SUMIFS('февраль 2023'!$G$4:$G$497,'февраль 2023'!$D$4:$D$497,$B98,'февраль 2023'!$J$4:$J$497,G$1)</f>
        <v>0</v>
      </c>
      <c r="H98" s="207">
        <f>SUMIFS('февраль 2023'!$G$4:$G$497,'февраль 2023'!$D$4:$D$497,$B98,'февраль 2023'!$J$4:$J$497,H$1)</f>
        <v>0</v>
      </c>
      <c r="I98" s="207">
        <f>SUMIFS('февраль 2023'!$G$4:$G$497,'февраль 2023'!$D$4:$D$497,$B98,'февраль 2023'!$J$4:$J$497,I$1)</f>
        <v>0</v>
      </c>
      <c r="J98" s="207">
        <f>SUMIFS('февраль 2023'!$G$4:$G$497,'февраль 2023'!$D$4:$D$497,$B98,'февраль 2023'!$J$4:$J$497,J$1)</f>
        <v>0</v>
      </c>
      <c r="K98" s="207">
        <f>SUMIFS('февраль 2023'!$G$4:$G$497,'февраль 2023'!$D$4:$D$497,$B98,'февраль 2023'!$J$4:$J$497,K$1)</f>
        <v>0</v>
      </c>
      <c r="L98" s="207">
        <f>SUMIFS('февраль 2023'!$G$4:$G$497,'февраль 2023'!$D$4:$D$497,$B98,'февраль 2023'!$J$4:$J$497,L$1)</f>
        <v>0</v>
      </c>
      <c r="M98" s="207">
        <f>SUMIFS('февраль 2023'!$G$4:$G$497,'февраль 2023'!$D$4:$D$497,$B98,'февраль 2023'!$J$4:$J$497,M$1)</f>
        <v>0</v>
      </c>
      <c r="N98" s="207">
        <f>SUMIFS('февраль 2023'!$G$4:$G$497,'февраль 2023'!$D$4:$D$497,$B98,'февраль 2023'!$J$4:$J$497,N$1)</f>
        <v>0</v>
      </c>
      <c r="O98" s="207">
        <f>SUMIFS('февраль 2023'!$G$4:$G$497,'февраль 2023'!$D$4:$D$497,$B98,'февраль 2023'!$J$4:$J$497,O$1)</f>
        <v>0</v>
      </c>
      <c r="P98" s="207">
        <f>SUMIFS('февраль 2023'!$G$4:$G$497,'февраль 2023'!$D$4:$D$497,$B98,'февраль 2023'!$J$4:$J$497,P$1)</f>
        <v>0</v>
      </c>
      <c r="Q98" s="207">
        <f>SUMIFS('февраль 2023'!$G$4:$G$497,'февраль 2023'!$D$4:$D$497,$B98,'февраль 2023'!$J$4:$J$497,Q$1)</f>
        <v>0</v>
      </c>
      <c r="R98" s="207">
        <f>SUMIFS('февраль 2023'!$G$4:$G$497,'февраль 2023'!$D$4:$D$497,$B98,'февраль 2023'!$J$4:$J$497,R$1)</f>
        <v>0</v>
      </c>
      <c r="S98" s="207">
        <f>SUMIFS('февраль 2023'!$G$4:$G$497,'февраль 2023'!$D$4:$D$497,$B98,'февраль 2023'!$J$4:$J$497,S$1)</f>
        <v>0</v>
      </c>
      <c r="T98" s="207">
        <f>SUMIFS('февраль 2023'!$G$4:$G$497,'февраль 2023'!$D$4:$D$497,$B98,'февраль 2023'!$J$4:$J$497,T$1)</f>
        <v>0</v>
      </c>
      <c r="U98" s="207">
        <f>SUMIFS('февраль 2023'!$G$4:$G$497,'февраль 2023'!$D$4:$D$497,$B98,'февраль 2023'!$J$4:$J$497,U$1)</f>
        <v>0</v>
      </c>
      <c r="V98" s="207">
        <f>SUMIFS('февраль 2023'!$G$4:$G$497,'февраль 2023'!$D$4:$D$497,$B98,'февраль 2023'!$J$4:$J$497,V$1)</f>
        <v>0</v>
      </c>
      <c r="W98" s="207">
        <f>SUMIFS('февраль 2023'!$G$4:$G$497,'февраль 2023'!$D$4:$D$497,$B98,'февраль 2023'!$J$4:$J$497,W$1)</f>
        <v>0</v>
      </c>
      <c r="X98" s="207">
        <f>SUMIFS('февраль 2023'!$G$4:$G$497,'февраль 2023'!$D$4:$D$497,$B98,'февраль 2023'!$J$4:$J$497,X$1)</f>
        <v>0</v>
      </c>
      <c r="Y98" s="207">
        <f>SUMIFS('февраль 2023'!$G$4:$G$497,'февраль 2023'!$D$4:$D$497,$B98,'февраль 2023'!$J$4:$J$497,Y$1)</f>
        <v>0</v>
      </c>
      <c r="Z98" s="207">
        <f>SUMIFS('февраль 2023'!$G$4:$G$497,'февраль 2023'!$D$4:$D$497,$B98,'февраль 2023'!$J$4:$J$497,Z$1)</f>
        <v>0</v>
      </c>
      <c r="AA98" s="207">
        <f>SUMIFS('февраль 2023'!$G$4:$G$497,'февраль 2023'!$D$4:$D$497,$B98,'февраль 2023'!$J$4:$J$497,AA$1)</f>
        <v>0</v>
      </c>
      <c r="AB98" s="207">
        <f>SUMIFS('февраль 2023'!$G$4:$G$497,'февраль 2023'!$D$4:$D$497,$B98,'февраль 2023'!$J$4:$J$497,AB$1)</f>
        <v>0</v>
      </c>
      <c r="AC98" s="207">
        <f>SUMIFS('февраль 2023'!$G$4:$G$497,'февраль 2023'!$D$4:$D$497,$B98,'февраль 2023'!$J$4:$J$497,AC$1)</f>
        <v>0</v>
      </c>
      <c r="AD98" s="207">
        <f>SUMIFS('февраль 2023'!$G$4:$G$497,'февраль 2023'!$D$4:$D$497,$B98,'февраль 2023'!$J$4:$J$497,AD$1)</f>
        <v>0</v>
      </c>
      <c r="AE98" s="207">
        <f>SUMIFS('февраль 2023'!$G$4:$G$497,'февраль 2023'!$D$4:$D$497,$B98,'февраль 2023'!$J$4:$J$497,AE$1)</f>
        <v>0</v>
      </c>
      <c r="AF98" s="207">
        <f>SUMIFS('февраль 2023'!$G$4:$G$497,'февраль 2023'!$D$4:$D$497,$B98,'февраль 2023'!$J$4:$J$497,AF$1)</f>
        <v>0</v>
      </c>
      <c r="AG98" s="207">
        <f>SUMIFS('февраль 2023'!$G$4:$G$497,'февраль 2023'!$D$4:$D$497,$B98,'февраль 2023'!$J$4:$J$497,AG$1)</f>
        <v>0</v>
      </c>
      <c r="AH98" s="207">
        <f>SUMIFS('февраль 2023'!$G$4:$G$497,'февраль 2023'!$D$4:$D$497,$B98,'февраль 2023'!$J$4:$J$497,AH$1)</f>
        <v>0</v>
      </c>
      <c r="AI98" s="170">
        <f t="shared" si="2"/>
        <v>0</v>
      </c>
    </row>
    <row r="99" spans="2:35" ht="15" customHeight="1" x14ac:dyDescent="0.25">
      <c r="B99" s="212" t="s">
        <v>147</v>
      </c>
      <c r="C99" s="211">
        <v>200</v>
      </c>
      <c r="D99" s="207">
        <f>SUMIFS('февраль 2023'!$G$4:$G$497,'февраль 2023'!$D$4:$D$497,$B99,'февраль 2023'!$J$4:$J$497,D$1)</f>
        <v>0</v>
      </c>
      <c r="E99" s="207">
        <f>SUMIFS('февраль 2023'!$G$4:$G$497,'февраль 2023'!$D$4:$D$497,$B99,'февраль 2023'!$J$4:$J$497,E$1)</f>
        <v>0</v>
      </c>
      <c r="F99" s="207">
        <f>SUMIFS('февраль 2023'!$G$4:$G$497,'февраль 2023'!$D$4:$D$497,$B99,'февраль 2023'!$J$4:$J$497,F$1)</f>
        <v>0</v>
      </c>
      <c r="G99" s="207">
        <f>SUMIFS('февраль 2023'!$G$4:$G$497,'февраль 2023'!$D$4:$D$497,$B99,'февраль 2023'!$J$4:$J$497,G$1)</f>
        <v>0</v>
      </c>
      <c r="H99" s="207">
        <f>SUMIFS('февраль 2023'!$G$4:$G$497,'февраль 2023'!$D$4:$D$497,$B99,'февраль 2023'!$J$4:$J$497,H$1)</f>
        <v>0</v>
      </c>
      <c r="I99" s="207">
        <f>SUMIFS('февраль 2023'!$G$4:$G$497,'февраль 2023'!$D$4:$D$497,$B99,'февраль 2023'!$J$4:$J$497,I$1)</f>
        <v>0</v>
      </c>
      <c r="J99" s="207">
        <f>SUMIFS('февраль 2023'!$G$4:$G$497,'февраль 2023'!$D$4:$D$497,$B99,'февраль 2023'!$J$4:$J$497,J$1)</f>
        <v>0</v>
      </c>
      <c r="K99" s="207">
        <f>SUMIFS('февраль 2023'!$G$4:$G$497,'февраль 2023'!$D$4:$D$497,$B99,'февраль 2023'!$J$4:$J$497,K$1)</f>
        <v>0</v>
      </c>
      <c r="L99" s="207">
        <f>SUMIFS('февраль 2023'!$G$4:$G$497,'февраль 2023'!$D$4:$D$497,$B99,'февраль 2023'!$J$4:$J$497,L$1)</f>
        <v>0</v>
      </c>
      <c r="M99" s="207">
        <f>SUMIFS('февраль 2023'!$G$4:$G$497,'февраль 2023'!$D$4:$D$497,$B99,'февраль 2023'!$J$4:$J$497,M$1)</f>
        <v>0</v>
      </c>
      <c r="N99" s="207">
        <f>SUMIFS('февраль 2023'!$G$4:$G$497,'февраль 2023'!$D$4:$D$497,$B99,'февраль 2023'!$J$4:$J$497,N$1)</f>
        <v>0</v>
      </c>
      <c r="O99" s="207">
        <f>SUMIFS('февраль 2023'!$G$4:$G$497,'февраль 2023'!$D$4:$D$497,$B99,'февраль 2023'!$J$4:$J$497,O$1)</f>
        <v>0</v>
      </c>
      <c r="P99" s="207">
        <f>SUMIFS('февраль 2023'!$G$4:$G$497,'февраль 2023'!$D$4:$D$497,$B99,'февраль 2023'!$J$4:$J$497,P$1)</f>
        <v>0</v>
      </c>
      <c r="Q99" s="207">
        <f>SUMIFS('февраль 2023'!$G$4:$G$497,'февраль 2023'!$D$4:$D$497,$B99,'февраль 2023'!$J$4:$J$497,Q$1)</f>
        <v>0</v>
      </c>
      <c r="R99" s="207">
        <f>SUMIFS('февраль 2023'!$G$4:$G$497,'февраль 2023'!$D$4:$D$497,$B99,'февраль 2023'!$J$4:$J$497,R$1)</f>
        <v>0</v>
      </c>
      <c r="S99" s="207">
        <f>SUMIFS('февраль 2023'!$G$4:$G$497,'февраль 2023'!$D$4:$D$497,$B99,'февраль 2023'!$J$4:$J$497,S$1)</f>
        <v>0</v>
      </c>
      <c r="T99" s="207">
        <f>SUMIFS('февраль 2023'!$G$4:$G$497,'февраль 2023'!$D$4:$D$497,$B99,'февраль 2023'!$J$4:$J$497,T$1)</f>
        <v>0</v>
      </c>
      <c r="U99" s="207">
        <f>SUMIFS('февраль 2023'!$G$4:$G$497,'февраль 2023'!$D$4:$D$497,$B99,'февраль 2023'!$J$4:$J$497,U$1)</f>
        <v>0</v>
      </c>
      <c r="V99" s="207">
        <f>SUMIFS('февраль 2023'!$G$4:$G$497,'февраль 2023'!$D$4:$D$497,$B99,'февраль 2023'!$J$4:$J$497,V$1)</f>
        <v>0</v>
      </c>
      <c r="W99" s="207">
        <f>SUMIFS('февраль 2023'!$G$4:$G$497,'февраль 2023'!$D$4:$D$497,$B99,'февраль 2023'!$J$4:$J$497,W$1)</f>
        <v>0</v>
      </c>
      <c r="X99" s="207">
        <f>SUMIFS('февраль 2023'!$G$4:$G$497,'февраль 2023'!$D$4:$D$497,$B99,'февраль 2023'!$J$4:$J$497,X$1)</f>
        <v>0</v>
      </c>
      <c r="Y99" s="207">
        <f>SUMIFS('февраль 2023'!$G$4:$G$497,'февраль 2023'!$D$4:$D$497,$B99,'февраль 2023'!$J$4:$J$497,Y$1)</f>
        <v>0</v>
      </c>
      <c r="Z99" s="207">
        <f>SUMIFS('февраль 2023'!$G$4:$G$497,'февраль 2023'!$D$4:$D$497,$B99,'февраль 2023'!$J$4:$J$497,Z$1)</f>
        <v>0</v>
      </c>
      <c r="AA99" s="207">
        <f>SUMIFS('февраль 2023'!$G$4:$G$497,'февраль 2023'!$D$4:$D$497,$B99,'февраль 2023'!$J$4:$J$497,AA$1)</f>
        <v>0</v>
      </c>
      <c r="AB99" s="207">
        <f>SUMIFS('февраль 2023'!$G$4:$G$497,'февраль 2023'!$D$4:$D$497,$B99,'февраль 2023'!$J$4:$J$497,AB$1)</f>
        <v>0</v>
      </c>
      <c r="AC99" s="207">
        <f>SUMIFS('февраль 2023'!$G$4:$G$497,'февраль 2023'!$D$4:$D$497,$B99,'февраль 2023'!$J$4:$J$497,AC$1)</f>
        <v>0</v>
      </c>
      <c r="AD99" s="207">
        <f>SUMIFS('февраль 2023'!$G$4:$G$497,'февраль 2023'!$D$4:$D$497,$B99,'февраль 2023'!$J$4:$J$497,AD$1)</f>
        <v>0</v>
      </c>
      <c r="AE99" s="207">
        <f>SUMIFS('февраль 2023'!$G$4:$G$497,'февраль 2023'!$D$4:$D$497,$B99,'февраль 2023'!$J$4:$J$497,AE$1)</f>
        <v>0</v>
      </c>
      <c r="AF99" s="207">
        <f>SUMIFS('февраль 2023'!$G$4:$G$497,'февраль 2023'!$D$4:$D$497,$B99,'февраль 2023'!$J$4:$J$497,AF$1)</f>
        <v>0</v>
      </c>
      <c r="AG99" s="207">
        <f>SUMIFS('февраль 2023'!$G$4:$G$497,'февраль 2023'!$D$4:$D$497,$B99,'февраль 2023'!$J$4:$J$497,AG$1)</f>
        <v>0</v>
      </c>
      <c r="AH99" s="207">
        <f>SUMIFS('февраль 2023'!$G$4:$G$497,'февраль 2023'!$D$4:$D$497,$B99,'февраль 2023'!$J$4:$J$497,AH$1)</f>
        <v>0</v>
      </c>
      <c r="AI99" s="170">
        <f t="shared" si="2"/>
        <v>0</v>
      </c>
    </row>
    <row r="100" spans="2:35" ht="15" customHeight="1" x14ac:dyDescent="0.25">
      <c r="B100" s="212" t="s">
        <v>2198</v>
      </c>
      <c r="C100" s="211">
        <v>200</v>
      </c>
      <c r="D100" s="207">
        <f>SUMIFS('февраль 2023'!$G$4:$G$497,'февраль 2023'!$D$4:$D$497,$B100,'февраль 2023'!$J$4:$J$497,D$1)</f>
        <v>0</v>
      </c>
      <c r="E100" s="207">
        <f>SUMIFS('февраль 2023'!$G$4:$G$497,'февраль 2023'!$D$4:$D$497,$B100,'февраль 2023'!$J$4:$J$497,E$1)</f>
        <v>0</v>
      </c>
      <c r="F100" s="207">
        <f>SUMIFS('февраль 2023'!$G$4:$G$497,'февраль 2023'!$D$4:$D$497,$B100,'февраль 2023'!$J$4:$J$497,F$1)</f>
        <v>0</v>
      </c>
      <c r="G100" s="207">
        <f>SUMIFS('февраль 2023'!$G$4:$G$497,'февраль 2023'!$D$4:$D$497,$B100,'февраль 2023'!$J$4:$J$497,G$1)</f>
        <v>0</v>
      </c>
      <c r="H100" s="207">
        <f>SUMIFS('февраль 2023'!$G$4:$G$497,'февраль 2023'!$D$4:$D$497,$B100,'февраль 2023'!$J$4:$J$497,H$1)</f>
        <v>0</v>
      </c>
      <c r="I100" s="207">
        <f>SUMIFS('февраль 2023'!$G$4:$G$497,'февраль 2023'!$D$4:$D$497,$B100,'февраль 2023'!$J$4:$J$497,I$1)</f>
        <v>0</v>
      </c>
      <c r="J100" s="207">
        <f>SUMIFS('февраль 2023'!$G$4:$G$497,'февраль 2023'!$D$4:$D$497,$B100,'февраль 2023'!$J$4:$J$497,J$1)</f>
        <v>0</v>
      </c>
      <c r="K100" s="207">
        <f>SUMIFS('февраль 2023'!$G$4:$G$497,'февраль 2023'!$D$4:$D$497,$B100,'февраль 2023'!$J$4:$J$497,K$1)</f>
        <v>0</v>
      </c>
      <c r="L100" s="207">
        <f>SUMIFS('февраль 2023'!$G$4:$G$497,'февраль 2023'!$D$4:$D$497,$B100,'февраль 2023'!$J$4:$J$497,L$1)</f>
        <v>0</v>
      </c>
      <c r="M100" s="207">
        <f>SUMIFS('февраль 2023'!$G$4:$G$497,'февраль 2023'!$D$4:$D$497,$B100,'февраль 2023'!$J$4:$J$497,M$1)</f>
        <v>0</v>
      </c>
      <c r="N100" s="207">
        <f>SUMIFS('февраль 2023'!$G$4:$G$497,'февраль 2023'!$D$4:$D$497,$B100,'февраль 2023'!$J$4:$J$497,N$1)</f>
        <v>0</v>
      </c>
      <c r="O100" s="207">
        <f>SUMIFS('февраль 2023'!$G$4:$G$497,'февраль 2023'!$D$4:$D$497,$B100,'февраль 2023'!$J$4:$J$497,O$1)</f>
        <v>0</v>
      </c>
      <c r="P100" s="207">
        <f>SUMIFS('февраль 2023'!$G$4:$G$497,'февраль 2023'!$D$4:$D$497,$B100,'февраль 2023'!$J$4:$J$497,P$1)</f>
        <v>0</v>
      </c>
      <c r="Q100" s="207">
        <f>SUMIFS('февраль 2023'!$G$4:$G$497,'февраль 2023'!$D$4:$D$497,$B100,'февраль 2023'!$J$4:$J$497,Q$1)</f>
        <v>0</v>
      </c>
      <c r="R100" s="207">
        <f>SUMIFS('февраль 2023'!$G$4:$G$497,'февраль 2023'!$D$4:$D$497,$B100,'февраль 2023'!$J$4:$J$497,R$1)</f>
        <v>0</v>
      </c>
      <c r="S100" s="207">
        <f>SUMIFS('февраль 2023'!$G$4:$G$497,'февраль 2023'!$D$4:$D$497,$B100,'февраль 2023'!$J$4:$J$497,S$1)</f>
        <v>0</v>
      </c>
      <c r="T100" s="207">
        <f>SUMIFS('февраль 2023'!$G$4:$G$497,'февраль 2023'!$D$4:$D$497,$B100,'февраль 2023'!$J$4:$J$497,T$1)</f>
        <v>0</v>
      </c>
      <c r="U100" s="207">
        <f>SUMIFS('февраль 2023'!$G$4:$G$497,'февраль 2023'!$D$4:$D$497,$B100,'февраль 2023'!$J$4:$J$497,U$1)</f>
        <v>0</v>
      </c>
      <c r="V100" s="207">
        <f>SUMIFS('февраль 2023'!$G$4:$G$497,'февраль 2023'!$D$4:$D$497,$B100,'февраль 2023'!$J$4:$J$497,V$1)</f>
        <v>0</v>
      </c>
      <c r="W100" s="207">
        <f>SUMIFS('февраль 2023'!$G$4:$G$497,'февраль 2023'!$D$4:$D$497,$B100,'февраль 2023'!$J$4:$J$497,W$1)</f>
        <v>0</v>
      </c>
      <c r="X100" s="207">
        <f>SUMIFS('февраль 2023'!$G$4:$G$497,'февраль 2023'!$D$4:$D$497,$B100,'февраль 2023'!$J$4:$J$497,X$1)</f>
        <v>0</v>
      </c>
      <c r="Y100" s="207">
        <f>SUMIFS('февраль 2023'!$G$4:$G$497,'февраль 2023'!$D$4:$D$497,$B100,'февраль 2023'!$J$4:$J$497,Y$1)</f>
        <v>0</v>
      </c>
      <c r="Z100" s="207">
        <f>SUMIFS('февраль 2023'!$G$4:$G$497,'февраль 2023'!$D$4:$D$497,$B100,'февраль 2023'!$J$4:$J$497,Z$1)</f>
        <v>0</v>
      </c>
      <c r="AA100" s="207">
        <f>SUMIFS('февраль 2023'!$G$4:$G$497,'февраль 2023'!$D$4:$D$497,$B100,'февраль 2023'!$J$4:$J$497,AA$1)</f>
        <v>0</v>
      </c>
      <c r="AB100" s="207">
        <f>SUMIFS('февраль 2023'!$G$4:$G$497,'февраль 2023'!$D$4:$D$497,$B100,'февраль 2023'!$J$4:$J$497,AB$1)</f>
        <v>0</v>
      </c>
      <c r="AC100" s="207">
        <f>SUMIFS('февраль 2023'!$G$4:$G$497,'февраль 2023'!$D$4:$D$497,$B100,'февраль 2023'!$J$4:$J$497,AC$1)</f>
        <v>0</v>
      </c>
      <c r="AD100" s="207">
        <f>SUMIFS('февраль 2023'!$G$4:$G$497,'февраль 2023'!$D$4:$D$497,$B100,'февраль 2023'!$J$4:$J$497,AD$1)</f>
        <v>0</v>
      </c>
      <c r="AE100" s="207">
        <f>SUMIFS('февраль 2023'!$G$4:$G$497,'февраль 2023'!$D$4:$D$497,$B100,'февраль 2023'!$J$4:$J$497,AE$1)</f>
        <v>0</v>
      </c>
      <c r="AF100" s="207">
        <f>SUMIFS('февраль 2023'!$G$4:$G$497,'февраль 2023'!$D$4:$D$497,$B100,'февраль 2023'!$J$4:$J$497,AF$1)</f>
        <v>0</v>
      </c>
      <c r="AG100" s="207">
        <f>SUMIFS('февраль 2023'!$G$4:$G$497,'февраль 2023'!$D$4:$D$497,$B100,'февраль 2023'!$J$4:$J$497,AG$1)</f>
        <v>0</v>
      </c>
      <c r="AH100" s="207">
        <f>SUMIFS('февраль 2023'!$G$4:$G$497,'февраль 2023'!$D$4:$D$497,$B100,'февраль 2023'!$J$4:$J$497,AH$1)</f>
        <v>0</v>
      </c>
      <c r="AI100" s="170">
        <f t="shared" si="2"/>
        <v>0</v>
      </c>
    </row>
    <row r="101" spans="2:35" ht="15" customHeight="1" x14ac:dyDescent="0.25">
      <c r="B101" s="212" t="s">
        <v>352</v>
      </c>
      <c r="C101" s="211">
        <v>200</v>
      </c>
      <c r="D101" s="207">
        <f>SUMIFS('февраль 2023'!$G$4:$G$497,'февраль 2023'!$D$4:$D$497,$B101,'февраль 2023'!$J$4:$J$497,D$1)</f>
        <v>0</v>
      </c>
      <c r="E101" s="207">
        <f>SUMIFS('февраль 2023'!$G$4:$G$497,'февраль 2023'!$D$4:$D$497,$B101,'февраль 2023'!$J$4:$J$497,E$1)</f>
        <v>0</v>
      </c>
      <c r="F101" s="207">
        <f>SUMIFS('февраль 2023'!$G$4:$G$497,'февраль 2023'!$D$4:$D$497,$B101,'февраль 2023'!$J$4:$J$497,F$1)</f>
        <v>0</v>
      </c>
      <c r="G101" s="207">
        <f>SUMIFS('февраль 2023'!$G$4:$G$497,'февраль 2023'!$D$4:$D$497,$B101,'февраль 2023'!$J$4:$J$497,G$1)</f>
        <v>0</v>
      </c>
      <c r="H101" s="207">
        <f>SUMIFS('февраль 2023'!$G$4:$G$497,'февраль 2023'!$D$4:$D$497,$B101,'февраль 2023'!$J$4:$J$497,H$1)</f>
        <v>0</v>
      </c>
      <c r="I101" s="207">
        <f>SUMIFS('февраль 2023'!$G$4:$G$497,'февраль 2023'!$D$4:$D$497,$B101,'февраль 2023'!$J$4:$J$497,I$1)</f>
        <v>0</v>
      </c>
      <c r="J101" s="207">
        <f>SUMIFS('февраль 2023'!$G$4:$G$497,'февраль 2023'!$D$4:$D$497,$B101,'февраль 2023'!$J$4:$J$497,J$1)</f>
        <v>0</v>
      </c>
      <c r="K101" s="207">
        <f>SUMIFS('февраль 2023'!$G$4:$G$497,'февраль 2023'!$D$4:$D$497,$B101,'февраль 2023'!$J$4:$J$497,K$1)</f>
        <v>0</v>
      </c>
      <c r="L101" s="207">
        <f>SUMIFS('февраль 2023'!$G$4:$G$497,'февраль 2023'!$D$4:$D$497,$B101,'февраль 2023'!$J$4:$J$497,L$1)</f>
        <v>0</v>
      </c>
      <c r="M101" s="207">
        <f>SUMIFS('февраль 2023'!$G$4:$G$497,'февраль 2023'!$D$4:$D$497,$B101,'февраль 2023'!$J$4:$J$497,M$1)</f>
        <v>0</v>
      </c>
      <c r="N101" s="207">
        <f>SUMIFS('февраль 2023'!$G$4:$G$497,'февраль 2023'!$D$4:$D$497,$B101,'февраль 2023'!$J$4:$J$497,N$1)</f>
        <v>0</v>
      </c>
      <c r="O101" s="207">
        <f>SUMIFS('февраль 2023'!$G$4:$G$497,'февраль 2023'!$D$4:$D$497,$B101,'февраль 2023'!$J$4:$J$497,O$1)</f>
        <v>0</v>
      </c>
      <c r="P101" s="207">
        <f>SUMIFS('февраль 2023'!$G$4:$G$497,'февраль 2023'!$D$4:$D$497,$B101,'февраль 2023'!$J$4:$J$497,P$1)</f>
        <v>0</v>
      </c>
      <c r="Q101" s="207">
        <f>SUMIFS('февраль 2023'!$G$4:$G$497,'февраль 2023'!$D$4:$D$497,$B101,'февраль 2023'!$J$4:$J$497,Q$1)</f>
        <v>0</v>
      </c>
      <c r="R101" s="207">
        <f>SUMIFS('февраль 2023'!$G$4:$G$497,'февраль 2023'!$D$4:$D$497,$B101,'февраль 2023'!$J$4:$J$497,R$1)</f>
        <v>0</v>
      </c>
      <c r="S101" s="207">
        <f>SUMIFS('февраль 2023'!$G$4:$G$497,'февраль 2023'!$D$4:$D$497,$B101,'февраль 2023'!$J$4:$J$497,S$1)</f>
        <v>0</v>
      </c>
      <c r="T101" s="207">
        <f>SUMIFS('февраль 2023'!$G$4:$G$497,'февраль 2023'!$D$4:$D$497,$B101,'февраль 2023'!$J$4:$J$497,T$1)</f>
        <v>0</v>
      </c>
      <c r="U101" s="207">
        <f>SUMIFS('февраль 2023'!$G$4:$G$497,'февраль 2023'!$D$4:$D$497,$B101,'февраль 2023'!$J$4:$J$497,U$1)</f>
        <v>0</v>
      </c>
      <c r="V101" s="207">
        <f>SUMIFS('февраль 2023'!$G$4:$G$497,'февраль 2023'!$D$4:$D$497,$B101,'февраль 2023'!$J$4:$J$497,V$1)</f>
        <v>0</v>
      </c>
      <c r="W101" s="207">
        <f>SUMIFS('февраль 2023'!$G$4:$G$497,'февраль 2023'!$D$4:$D$497,$B101,'февраль 2023'!$J$4:$J$497,W$1)</f>
        <v>0</v>
      </c>
      <c r="X101" s="207">
        <f>SUMIFS('февраль 2023'!$G$4:$G$497,'февраль 2023'!$D$4:$D$497,$B101,'февраль 2023'!$J$4:$J$497,X$1)</f>
        <v>0</v>
      </c>
      <c r="Y101" s="207">
        <f>SUMIFS('февраль 2023'!$G$4:$G$497,'февраль 2023'!$D$4:$D$497,$B101,'февраль 2023'!$J$4:$J$497,Y$1)</f>
        <v>0</v>
      </c>
      <c r="Z101" s="207">
        <f>SUMIFS('февраль 2023'!$G$4:$G$497,'февраль 2023'!$D$4:$D$497,$B101,'февраль 2023'!$J$4:$J$497,Z$1)</f>
        <v>0</v>
      </c>
      <c r="AA101" s="207">
        <f>SUMIFS('февраль 2023'!$G$4:$G$497,'февраль 2023'!$D$4:$D$497,$B101,'февраль 2023'!$J$4:$J$497,AA$1)</f>
        <v>0</v>
      </c>
      <c r="AB101" s="207">
        <f>SUMIFS('февраль 2023'!$G$4:$G$497,'февраль 2023'!$D$4:$D$497,$B101,'февраль 2023'!$J$4:$J$497,AB$1)</f>
        <v>0</v>
      </c>
      <c r="AC101" s="207">
        <f>SUMIFS('февраль 2023'!$G$4:$G$497,'февраль 2023'!$D$4:$D$497,$B101,'февраль 2023'!$J$4:$J$497,AC$1)</f>
        <v>0</v>
      </c>
      <c r="AD101" s="207">
        <f>SUMIFS('февраль 2023'!$G$4:$G$497,'февраль 2023'!$D$4:$D$497,$B101,'февраль 2023'!$J$4:$J$497,AD$1)</f>
        <v>0</v>
      </c>
      <c r="AE101" s="207">
        <f>SUMIFS('февраль 2023'!$G$4:$G$497,'февраль 2023'!$D$4:$D$497,$B101,'февраль 2023'!$J$4:$J$497,AE$1)</f>
        <v>0</v>
      </c>
      <c r="AF101" s="207">
        <f>SUMIFS('февраль 2023'!$G$4:$G$497,'февраль 2023'!$D$4:$D$497,$B101,'февраль 2023'!$J$4:$J$497,AF$1)</f>
        <v>0</v>
      </c>
      <c r="AG101" s="207">
        <f>SUMIFS('февраль 2023'!$G$4:$G$497,'февраль 2023'!$D$4:$D$497,$B101,'февраль 2023'!$J$4:$J$497,AG$1)</f>
        <v>0</v>
      </c>
      <c r="AH101" s="207">
        <f>SUMIFS('февраль 2023'!$G$4:$G$497,'февраль 2023'!$D$4:$D$497,$B101,'февраль 2023'!$J$4:$J$497,AH$1)</f>
        <v>0</v>
      </c>
      <c r="AI101" s="170">
        <f t="shared" si="2"/>
        <v>0</v>
      </c>
    </row>
    <row r="102" spans="2:35" ht="15" customHeight="1" x14ac:dyDescent="0.25">
      <c r="B102" s="212" t="s">
        <v>276</v>
      </c>
      <c r="C102" s="211">
        <v>200</v>
      </c>
      <c r="D102" s="207">
        <f>SUMIFS('февраль 2023'!$G$4:$G$497,'февраль 2023'!$D$4:$D$497,$B102,'февраль 2023'!$J$4:$J$497,D$1)</f>
        <v>0</v>
      </c>
      <c r="E102" s="207">
        <f>SUMIFS('февраль 2023'!$G$4:$G$497,'февраль 2023'!$D$4:$D$497,$B102,'февраль 2023'!$J$4:$J$497,E$1)</f>
        <v>0</v>
      </c>
      <c r="F102" s="207">
        <f>SUMIFS('февраль 2023'!$G$4:$G$497,'февраль 2023'!$D$4:$D$497,$B102,'февраль 2023'!$J$4:$J$497,F$1)</f>
        <v>0</v>
      </c>
      <c r="G102" s="207">
        <f>SUMIFS('февраль 2023'!$G$4:$G$497,'февраль 2023'!$D$4:$D$497,$B102,'февраль 2023'!$J$4:$J$497,G$1)</f>
        <v>0</v>
      </c>
      <c r="H102" s="207">
        <f>SUMIFS('февраль 2023'!$G$4:$G$497,'февраль 2023'!$D$4:$D$497,$B102,'февраль 2023'!$J$4:$J$497,H$1)</f>
        <v>0</v>
      </c>
      <c r="I102" s="207">
        <f>SUMIFS('февраль 2023'!$G$4:$G$497,'февраль 2023'!$D$4:$D$497,$B102,'февраль 2023'!$J$4:$J$497,I$1)</f>
        <v>0</v>
      </c>
      <c r="J102" s="207">
        <f>SUMIFS('февраль 2023'!$G$4:$G$497,'февраль 2023'!$D$4:$D$497,$B102,'февраль 2023'!$J$4:$J$497,J$1)</f>
        <v>0</v>
      </c>
      <c r="K102" s="207">
        <f>SUMIFS('февраль 2023'!$G$4:$G$497,'февраль 2023'!$D$4:$D$497,$B102,'февраль 2023'!$J$4:$J$497,K$1)</f>
        <v>0</v>
      </c>
      <c r="L102" s="207">
        <f>SUMIFS('февраль 2023'!$G$4:$G$497,'февраль 2023'!$D$4:$D$497,$B102,'февраль 2023'!$J$4:$J$497,L$1)</f>
        <v>0</v>
      </c>
      <c r="M102" s="207">
        <f>SUMIFS('февраль 2023'!$G$4:$G$497,'февраль 2023'!$D$4:$D$497,$B102,'февраль 2023'!$J$4:$J$497,M$1)</f>
        <v>0</v>
      </c>
      <c r="N102" s="207">
        <f>SUMIFS('февраль 2023'!$G$4:$G$497,'февраль 2023'!$D$4:$D$497,$B102,'февраль 2023'!$J$4:$J$497,N$1)</f>
        <v>0</v>
      </c>
      <c r="O102" s="207">
        <f>SUMIFS('февраль 2023'!$G$4:$G$497,'февраль 2023'!$D$4:$D$497,$B102,'февраль 2023'!$J$4:$J$497,O$1)</f>
        <v>0</v>
      </c>
      <c r="P102" s="207">
        <f>SUMIFS('февраль 2023'!$G$4:$G$497,'февраль 2023'!$D$4:$D$497,$B102,'февраль 2023'!$J$4:$J$497,P$1)</f>
        <v>0</v>
      </c>
      <c r="Q102" s="207">
        <f>SUMIFS('февраль 2023'!$G$4:$G$497,'февраль 2023'!$D$4:$D$497,$B102,'февраль 2023'!$J$4:$J$497,Q$1)</f>
        <v>0</v>
      </c>
      <c r="R102" s="207">
        <f>SUMIFS('февраль 2023'!$G$4:$G$497,'февраль 2023'!$D$4:$D$497,$B102,'февраль 2023'!$J$4:$J$497,R$1)</f>
        <v>0</v>
      </c>
      <c r="S102" s="207">
        <f>SUMIFS('февраль 2023'!$G$4:$G$497,'февраль 2023'!$D$4:$D$497,$B102,'февраль 2023'!$J$4:$J$497,S$1)</f>
        <v>0</v>
      </c>
      <c r="T102" s="207">
        <f>SUMIFS('февраль 2023'!$G$4:$G$497,'февраль 2023'!$D$4:$D$497,$B102,'февраль 2023'!$J$4:$J$497,T$1)</f>
        <v>0</v>
      </c>
      <c r="U102" s="207">
        <f>SUMIFS('февраль 2023'!$G$4:$G$497,'февраль 2023'!$D$4:$D$497,$B102,'февраль 2023'!$J$4:$J$497,U$1)</f>
        <v>0</v>
      </c>
      <c r="V102" s="207">
        <f>SUMIFS('февраль 2023'!$G$4:$G$497,'февраль 2023'!$D$4:$D$497,$B102,'февраль 2023'!$J$4:$J$497,V$1)</f>
        <v>0</v>
      </c>
      <c r="W102" s="207">
        <f>SUMIFS('февраль 2023'!$G$4:$G$497,'февраль 2023'!$D$4:$D$497,$B102,'февраль 2023'!$J$4:$J$497,W$1)</f>
        <v>0</v>
      </c>
      <c r="X102" s="207">
        <f>SUMIFS('февраль 2023'!$G$4:$G$497,'февраль 2023'!$D$4:$D$497,$B102,'февраль 2023'!$J$4:$J$497,X$1)</f>
        <v>0</v>
      </c>
      <c r="Y102" s="207">
        <f>SUMIFS('февраль 2023'!$G$4:$G$497,'февраль 2023'!$D$4:$D$497,$B102,'февраль 2023'!$J$4:$J$497,Y$1)</f>
        <v>0</v>
      </c>
      <c r="Z102" s="207">
        <f>SUMIFS('февраль 2023'!$G$4:$G$497,'февраль 2023'!$D$4:$D$497,$B102,'февраль 2023'!$J$4:$J$497,Z$1)</f>
        <v>0</v>
      </c>
      <c r="AA102" s="207">
        <f>SUMIFS('февраль 2023'!$G$4:$G$497,'февраль 2023'!$D$4:$D$497,$B102,'февраль 2023'!$J$4:$J$497,AA$1)</f>
        <v>0</v>
      </c>
      <c r="AB102" s="207">
        <f>SUMIFS('февраль 2023'!$G$4:$G$497,'февраль 2023'!$D$4:$D$497,$B102,'февраль 2023'!$J$4:$J$497,AB$1)</f>
        <v>0</v>
      </c>
      <c r="AC102" s="207">
        <f>SUMIFS('февраль 2023'!$G$4:$G$497,'февраль 2023'!$D$4:$D$497,$B102,'февраль 2023'!$J$4:$J$497,AC$1)</f>
        <v>0</v>
      </c>
      <c r="AD102" s="207">
        <f>SUMIFS('февраль 2023'!$G$4:$G$497,'февраль 2023'!$D$4:$D$497,$B102,'февраль 2023'!$J$4:$J$497,AD$1)</f>
        <v>0</v>
      </c>
      <c r="AE102" s="207">
        <f>SUMIFS('февраль 2023'!$G$4:$G$497,'февраль 2023'!$D$4:$D$497,$B102,'февраль 2023'!$J$4:$J$497,AE$1)</f>
        <v>0</v>
      </c>
      <c r="AF102" s="207">
        <f>SUMIFS('февраль 2023'!$G$4:$G$497,'февраль 2023'!$D$4:$D$497,$B102,'февраль 2023'!$J$4:$J$497,AF$1)</f>
        <v>0</v>
      </c>
      <c r="AG102" s="207">
        <f>SUMIFS('февраль 2023'!$G$4:$G$497,'февраль 2023'!$D$4:$D$497,$B102,'февраль 2023'!$J$4:$J$497,AG$1)</f>
        <v>0</v>
      </c>
      <c r="AH102" s="207">
        <f>SUMIFS('февраль 2023'!$G$4:$G$497,'февраль 2023'!$D$4:$D$497,$B102,'февраль 2023'!$J$4:$J$497,AH$1)</f>
        <v>0</v>
      </c>
      <c r="AI102" s="170">
        <f t="shared" si="2"/>
        <v>0</v>
      </c>
    </row>
    <row r="103" spans="2:35" ht="15" customHeight="1" x14ac:dyDescent="0.25">
      <c r="B103" s="212" t="s">
        <v>2215</v>
      </c>
      <c r="C103" s="211">
        <v>200</v>
      </c>
      <c r="D103" s="207">
        <f>SUMIFS('февраль 2023'!$G$4:$G$497,'февраль 2023'!$D$4:$D$497,$B103,'февраль 2023'!$J$4:$J$497,D$1)</f>
        <v>0</v>
      </c>
      <c r="E103" s="207">
        <f>SUMIFS('февраль 2023'!$G$4:$G$497,'февраль 2023'!$D$4:$D$497,$B103,'февраль 2023'!$J$4:$J$497,E$1)</f>
        <v>0</v>
      </c>
      <c r="F103" s="207">
        <f>SUMIFS('февраль 2023'!$G$4:$G$497,'февраль 2023'!$D$4:$D$497,$B103,'февраль 2023'!$J$4:$J$497,F$1)</f>
        <v>0</v>
      </c>
      <c r="G103" s="207">
        <f>SUMIFS('февраль 2023'!$G$4:$G$497,'февраль 2023'!$D$4:$D$497,$B103,'февраль 2023'!$J$4:$J$497,G$1)</f>
        <v>0</v>
      </c>
      <c r="H103" s="207">
        <f>SUMIFS('февраль 2023'!$G$4:$G$497,'февраль 2023'!$D$4:$D$497,$B103,'февраль 2023'!$J$4:$J$497,H$1)</f>
        <v>0</v>
      </c>
      <c r="I103" s="207">
        <f>SUMIFS('февраль 2023'!$G$4:$G$497,'февраль 2023'!$D$4:$D$497,$B103,'февраль 2023'!$J$4:$J$497,I$1)</f>
        <v>0</v>
      </c>
      <c r="J103" s="207">
        <f>SUMIFS('февраль 2023'!$G$4:$G$497,'февраль 2023'!$D$4:$D$497,$B103,'февраль 2023'!$J$4:$J$497,J$1)</f>
        <v>0</v>
      </c>
      <c r="K103" s="207">
        <f>SUMIFS('февраль 2023'!$G$4:$G$497,'февраль 2023'!$D$4:$D$497,$B103,'февраль 2023'!$J$4:$J$497,K$1)</f>
        <v>0</v>
      </c>
      <c r="L103" s="207">
        <f>SUMIFS('февраль 2023'!$G$4:$G$497,'февраль 2023'!$D$4:$D$497,$B103,'февраль 2023'!$J$4:$J$497,L$1)</f>
        <v>0</v>
      </c>
      <c r="M103" s="207">
        <f>SUMIFS('февраль 2023'!$G$4:$G$497,'февраль 2023'!$D$4:$D$497,$B103,'февраль 2023'!$J$4:$J$497,M$1)</f>
        <v>0</v>
      </c>
      <c r="N103" s="207">
        <f>SUMIFS('февраль 2023'!$G$4:$G$497,'февраль 2023'!$D$4:$D$497,$B103,'февраль 2023'!$J$4:$J$497,N$1)</f>
        <v>0</v>
      </c>
      <c r="O103" s="207">
        <f>SUMIFS('февраль 2023'!$G$4:$G$497,'февраль 2023'!$D$4:$D$497,$B103,'февраль 2023'!$J$4:$J$497,O$1)</f>
        <v>0</v>
      </c>
      <c r="P103" s="207">
        <f>SUMIFS('февраль 2023'!$G$4:$G$497,'февраль 2023'!$D$4:$D$497,$B103,'февраль 2023'!$J$4:$J$497,P$1)</f>
        <v>0</v>
      </c>
      <c r="Q103" s="207">
        <f>SUMIFS('февраль 2023'!$G$4:$G$497,'февраль 2023'!$D$4:$D$497,$B103,'февраль 2023'!$J$4:$J$497,Q$1)</f>
        <v>0</v>
      </c>
      <c r="R103" s="207">
        <f>SUMIFS('февраль 2023'!$G$4:$G$497,'февраль 2023'!$D$4:$D$497,$B103,'февраль 2023'!$J$4:$J$497,R$1)</f>
        <v>0</v>
      </c>
      <c r="S103" s="207">
        <f>SUMIFS('февраль 2023'!$G$4:$G$497,'февраль 2023'!$D$4:$D$497,$B103,'февраль 2023'!$J$4:$J$497,S$1)</f>
        <v>0</v>
      </c>
      <c r="T103" s="207">
        <f>SUMIFS('февраль 2023'!$G$4:$G$497,'февраль 2023'!$D$4:$D$497,$B103,'февраль 2023'!$J$4:$J$497,T$1)</f>
        <v>0</v>
      </c>
      <c r="U103" s="207">
        <f>SUMIFS('февраль 2023'!$G$4:$G$497,'февраль 2023'!$D$4:$D$497,$B103,'февраль 2023'!$J$4:$J$497,U$1)</f>
        <v>0</v>
      </c>
      <c r="V103" s="207">
        <f>SUMIFS('февраль 2023'!$G$4:$G$497,'февраль 2023'!$D$4:$D$497,$B103,'февраль 2023'!$J$4:$J$497,V$1)</f>
        <v>0</v>
      </c>
      <c r="W103" s="207">
        <f>SUMIFS('февраль 2023'!$G$4:$G$497,'февраль 2023'!$D$4:$D$497,$B103,'февраль 2023'!$J$4:$J$497,W$1)</f>
        <v>0</v>
      </c>
      <c r="X103" s="207">
        <f>SUMIFS('февраль 2023'!$G$4:$G$497,'февраль 2023'!$D$4:$D$497,$B103,'февраль 2023'!$J$4:$J$497,X$1)</f>
        <v>0</v>
      </c>
      <c r="Y103" s="207">
        <f>SUMIFS('февраль 2023'!$G$4:$G$497,'февраль 2023'!$D$4:$D$497,$B103,'февраль 2023'!$J$4:$J$497,Y$1)</f>
        <v>0</v>
      </c>
      <c r="Z103" s="207">
        <f>SUMIFS('февраль 2023'!$G$4:$G$497,'февраль 2023'!$D$4:$D$497,$B103,'февраль 2023'!$J$4:$J$497,Z$1)</f>
        <v>0</v>
      </c>
      <c r="AA103" s="207">
        <f>SUMIFS('февраль 2023'!$G$4:$G$497,'февраль 2023'!$D$4:$D$497,$B103,'февраль 2023'!$J$4:$J$497,AA$1)</f>
        <v>0</v>
      </c>
      <c r="AB103" s="207">
        <f>SUMIFS('февраль 2023'!$G$4:$G$497,'февраль 2023'!$D$4:$D$497,$B103,'февраль 2023'!$J$4:$J$497,AB$1)</f>
        <v>0</v>
      </c>
      <c r="AC103" s="207">
        <f>SUMIFS('февраль 2023'!$G$4:$G$497,'февраль 2023'!$D$4:$D$497,$B103,'февраль 2023'!$J$4:$J$497,AC$1)</f>
        <v>0</v>
      </c>
      <c r="AD103" s="207">
        <f>SUMIFS('февраль 2023'!$G$4:$G$497,'февраль 2023'!$D$4:$D$497,$B103,'февраль 2023'!$J$4:$J$497,AD$1)</f>
        <v>0</v>
      </c>
      <c r="AE103" s="207">
        <f>SUMIFS('февраль 2023'!$G$4:$G$497,'февраль 2023'!$D$4:$D$497,$B103,'февраль 2023'!$J$4:$J$497,AE$1)</f>
        <v>0</v>
      </c>
      <c r="AF103" s="207">
        <f>SUMIFS('февраль 2023'!$G$4:$G$497,'февраль 2023'!$D$4:$D$497,$B103,'февраль 2023'!$J$4:$J$497,AF$1)</f>
        <v>0</v>
      </c>
      <c r="AG103" s="207">
        <f>SUMIFS('февраль 2023'!$G$4:$G$497,'февраль 2023'!$D$4:$D$497,$B103,'февраль 2023'!$J$4:$J$497,AG$1)</f>
        <v>0</v>
      </c>
      <c r="AH103" s="207">
        <f>SUMIFS('февраль 2023'!$G$4:$G$497,'февраль 2023'!$D$4:$D$497,$B103,'февраль 2023'!$J$4:$J$497,AH$1)</f>
        <v>0</v>
      </c>
      <c r="AI103" s="170">
        <f t="shared" si="2"/>
        <v>0</v>
      </c>
    </row>
    <row r="104" spans="2:35" ht="15" customHeight="1" x14ac:dyDescent="0.25">
      <c r="B104" s="212" t="s">
        <v>1837</v>
      </c>
      <c r="C104" s="213">
        <v>25</v>
      </c>
      <c r="D104" s="207">
        <f>SUMIFS('февраль 2023'!$G$4:$G$497,'февраль 2023'!$D$4:$D$497,$B104,'февраль 2023'!$J$4:$J$497,D$1)</f>
        <v>0</v>
      </c>
      <c r="E104" s="207">
        <f>SUMIFS('февраль 2023'!$G$4:$G$497,'февраль 2023'!$D$4:$D$497,$B104,'февраль 2023'!$J$4:$J$497,E$1)</f>
        <v>0</v>
      </c>
      <c r="F104" s="207">
        <f>SUMIFS('февраль 2023'!$G$4:$G$497,'февраль 2023'!$D$4:$D$497,$B104,'февраль 2023'!$J$4:$J$497,F$1)</f>
        <v>0</v>
      </c>
      <c r="G104" s="207">
        <f>SUMIFS('февраль 2023'!$G$4:$G$497,'февраль 2023'!$D$4:$D$497,$B104,'февраль 2023'!$J$4:$J$497,G$1)</f>
        <v>0</v>
      </c>
      <c r="H104" s="207">
        <f>SUMIFS('февраль 2023'!$G$4:$G$497,'февраль 2023'!$D$4:$D$497,$B104,'февраль 2023'!$J$4:$J$497,H$1)</f>
        <v>0</v>
      </c>
      <c r="I104" s="207">
        <f>SUMIFS('февраль 2023'!$G$4:$G$497,'февраль 2023'!$D$4:$D$497,$B104,'февраль 2023'!$J$4:$J$497,I$1)</f>
        <v>0</v>
      </c>
      <c r="J104" s="207">
        <f>SUMIFS('февраль 2023'!$G$4:$G$497,'февраль 2023'!$D$4:$D$497,$B104,'февраль 2023'!$J$4:$J$497,J$1)</f>
        <v>0</v>
      </c>
      <c r="K104" s="207">
        <f>SUMIFS('февраль 2023'!$G$4:$G$497,'февраль 2023'!$D$4:$D$497,$B104,'февраль 2023'!$J$4:$J$497,K$1)</f>
        <v>160</v>
      </c>
      <c r="L104" s="207">
        <f>SUMIFS('февраль 2023'!$G$4:$G$497,'февраль 2023'!$D$4:$D$497,$B104,'февраль 2023'!$J$4:$J$497,L$1)</f>
        <v>0</v>
      </c>
      <c r="M104" s="207">
        <f>SUMIFS('февраль 2023'!$G$4:$G$497,'февраль 2023'!$D$4:$D$497,$B104,'февраль 2023'!$J$4:$J$497,M$1)</f>
        <v>0</v>
      </c>
      <c r="N104" s="207">
        <f>SUMIFS('февраль 2023'!$G$4:$G$497,'февраль 2023'!$D$4:$D$497,$B104,'февраль 2023'!$J$4:$J$497,N$1)</f>
        <v>0</v>
      </c>
      <c r="O104" s="207">
        <f>SUMIFS('февраль 2023'!$G$4:$G$497,'февраль 2023'!$D$4:$D$497,$B104,'февраль 2023'!$J$4:$J$497,O$1)</f>
        <v>0</v>
      </c>
      <c r="P104" s="207">
        <f>SUMIFS('февраль 2023'!$G$4:$G$497,'февраль 2023'!$D$4:$D$497,$B104,'февраль 2023'!$J$4:$J$497,P$1)</f>
        <v>0</v>
      </c>
      <c r="Q104" s="207">
        <f>SUMIFS('февраль 2023'!$G$4:$G$497,'февраль 2023'!$D$4:$D$497,$B104,'февраль 2023'!$J$4:$J$497,Q$1)</f>
        <v>0</v>
      </c>
      <c r="R104" s="207">
        <f>SUMIFS('февраль 2023'!$G$4:$G$497,'февраль 2023'!$D$4:$D$497,$B104,'февраль 2023'!$J$4:$J$497,R$1)</f>
        <v>0</v>
      </c>
      <c r="S104" s="207">
        <f>SUMIFS('февраль 2023'!$G$4:$G$497,'февраль 2023'!$D$4:$D$497,$B104,'февраль 2023'!$J$4:$J$497,S$1)</f>
        <v>0</v>
      </c>
      <c r="T104" s="207">
        <f>SUMIFS('февраль 2023'!$G$4:$G$497,'февраль 2023'!$D$4:$D$497,$B104,'февраль 2023'!$J$4:$J$497,T$1)</f>
        <v>0</v>
      </c>
      <c r="U104" s="207">
        <f>SUMIFS('февраль 2023'!$G$4:$G$497,'февраль 2023'!$D$4:$D$497,$B104,'февраль 2023'!$J$4:$J$497,U$1)</f>
        <v>0</v>
      </c>
      <c r="V104" s="207">
        <f>SUMIFS('февраль 2023'!$G$4:$G$497,'февраль 2023'!$D$4:$D$497,$B104,'февраль 2023'!$J$4:$J$497,V$1)</f>
        <v>0</v>
      </c>
      <c r="W104" s="207">
        <f>SUMIFS('февраль 2023'!$G$4:$G$497,'февраль 2023'!$D$4:$D$497,$B104,'февраль 2023'!$J$4:$J$497,W$1)</f>
        <v>0</v>
      </c>
      <c r="X104" s="207">
        <f>SUMIFS('февраль 2023'!$G$4:$G$497,'февраль 2023'!$D$4:$D$497,$B104,'февраль 2023'!$J$4:$J$497,X$1)</f>
        <v>0</v>
      </c>
      <c r="Y104" s="207">
        <f>SUMIFS('февраль 2023'!$G$4:$G$497,'февраль 2023'!$D$4:$D$497,$B104,'февраль 2023'!$J$4:$J$497,Y$1)</f>
        <v>0</v>
      </c>
      <c r="Z104" s="207">
        <f>SUMIFS('февраль 2023'!$G$4:$G$497,'февраль 2023'!$D$4:$D$497,$B104,'февраль 2023'!$J$4:$J$497,Z$1)</f>
        <v>0</v>
      </c>
      <c r="AA104" s="207">
        <f>SUMIFS('февраль 2023'!$G$4:$G$497,'февраль 2023'!$D$4:$D$497,$B104,'февраль 2023'!$J$4:$J$497,AA$1)</f>
        <v>0</v>
      </c>
      <c r="AB104" s="207">
        <f>SUMIFS('февраль 2023'!$G$4:$G$497,'февраль 2023'!$D$4:$D$497,$B104,'февраль 2023'!$J$4:$J$497,AB$1)</f>
        <v>0</v>
      </c>
      <c r="AC104" s="207">
        <f>SUMIFS('февраль 2023'!$G$4:$G$497,'февраль 2023'!$D$4:$D$497,$B104,'февраль 2023'!$J$4:$J$497,AC$1)</f>
        <v>0</v>
      </c>
      <c r="AD104" s="207">
        <f>SUMIFS('февраль 2023'!$G$4:$G$497,'февраль 2023'!$D$4:$D$497,$B104,'февраль 2023'!$J$4:$J$497,AD$1)</f>
        <v>0</v>
      </c>
      <c r="AE104" s="207">
        <f>SUMIFS('февраль 2023'!$G$4:$G$497,'февраль 2023'!$D$4:$D$497,$B104,'февраль 2023'!$J$4:$J$497,AE$1)</f>
        <v>0</v>
      </c>
      <c r="AF104" s="207">
        <f>SUMIFS('февраль 2023'!$G$4:$G$497,'февраль 2023'!$D$4:$D$497,$B104,'февраль 2023'!$J$4:$J$497,AF$1)</f>
        <v>0</v>
      </c>
      <c r="AG104" s="207">
        <f>SUMIFS('февраль 2023'!$G$4:$G$497,'февраль 2023'!$D$4:$D$497,$B104,'февраль 2023'!$J$4:$J$497,AG$1)</f>
        <v>0</v>
      </c>
      <c r="AH104" s="207">
        <f>SUMIFS('февраль 2023'!$G$4:$G$497,'февраль 2023'!$D$4:$D$497,$B104,'февраль 2023'!$J$4:$J$497,AH$1)</f>
        <v>0</v>
      </c>
      <c r="AI104" s="170">
        <f t="shared" si="2"/>
        <v>160</v>
      </c>
    </row>
    <row r="105" spans="2:35" ht="15" customHeight="1" x14ac:dyDescent="0.25">
      <c r="B105" s="216" t="s">
        <v>2196</v>
      </c>
      <c r="C105" s="213">
        <v>20</v>
      </c>
      <c r="D105" s="207">
        <f>SUMIFS('февраль 2023'!$G$4:$G$497,'февраль 2023'!$D$4:$D$497,$B105,'февраль 2023'!$J$4:$J$497,D$1)</f>
        <v>0</v>
      </c>
      <c r="E105" s="207">
        <f>SUMIFS('февраль 2023'!$G$4:$G$497,'февраль 2023'!$D$4:$D$497,$B105,'февраль 2023'!$J$4:$J$497,E$1)</f>
        <v>0</v>
      </c>
      <c r="F105" s="207">
        <f>SUMIFS('февраль 2023'!$G$4:$G$497,'февраль 2023'!$D$4:$D$497,$B105,'февраль 2023'!$J$4:$J$497,F$1)</f>
        <v>0</v>
      </c>
      <c r="G105" s="207">
        <f>SUMIFS('февраль 2023'!$G$4:$G$497,'февраль 2023'!$D$4:$D$497,$B105,'февраль 2023'!$J$4:$J$497,G$1)</f>
        <v>0</v>
      </c>
      <c r="H105" s="207">
        <f>SUMIFS('февраль 2023'!$G$4:$G$497,'февраль 2023'!$D$4:$D$497,$B105,'февраль 2023'!$J$4:$J$497,H$1)</f>
        <v>0</v>
      </c>
      <c r="I105" s="207">
        <f>SUMIFS('февраль 2023'!$G$4:$G$497,'февраль 2023'!$D$4:$D$497,$B105,'февраль 2023'!$J$4:$J$497,I$1)</f>
        <v>0</v>
      </c>
      <c r="J105" s="207">
        <f>SUMIFS('февраль 2023'!$G$4:$G$497,'февраль 2023'!$D$4:$D$497,$B105,'февраль 2023'!$J$4:$J$497,J$1)</f>
        <v>0</v>
      </c>
      <c r="K105" s="207">
        <f>SUMIFS('февраль 2023'!$G$4:$G$497,'февраль 2023'!$D$4:$D$497,$B105,'февраль 2023'!$J$4:$J$497,K$1)</f>
        <v>0</v>
      </c>
      <c r="L105" s="207">
        <f>SUMIFS('февраль 2023'!$G$4:$G$497,'февраль 2023'!$D$4:$D$497,$B105,'февраль 2023'!$J$4:$J$497,L$1)</f>
        <v>0</v>
      </c>
      <c r="M105" s="207">
        <f>SUMIFS('февраль 2023'!$G$4:$G$497,'февраль 2023'!$D$4:$D$497,$B105,'февраль 2023'!$J$4:$J$497,M$1)</f>
        <v>0</v>
      </c>
      <c r="N105" s="207">
        <f>SUMIFS('февраль 2023'!$G$4:$G$497,'февраль 2023'!$D$4:$D$497,$B105,'февраль 2023'!$J$4:$J$497,N$1)</f>
        <v>0</v>
      </c>
      <c r="O105" s="207">
        <f>SUMIFS('февраль 2023'!$G$4:$G$497,'февраль 2023'!$D$4:$D$497,$B105,'февраль 2023'!$J$4:$J$497,O$1)</f>
        <v>0</v>
      </c>
      <c r="P105" s="207">
        <f>SUMIFS('февраль 2023'!$G$4:$G$497,'февраль 2023'!$D$4:$D$497,$B105,'февраль 2023'!$J$4:$J$497,P$1)</f>
        <v>0</v>
      </c>
      <c r="Q105" s="207">
        <f>SUMIFS('февраль 2023'!$G$4:$G$497,'февраль 2023'!$D$4:$D$497,$B105,'февраль 2023'!$J$4:$J$497,Q$1)</f>
        <v>0</v>
      </c>
      <c r="R105" s="207">
        <f>SUMIFS('февраль 2023'!$G$4:$G$497,'февраль 2023'!$D$4:$D$497,$B105,'февраль 2023'!$J$4:$J$497,R$1)</f>
        <v>0</v>
      </c>
      <c r="S105" s="207">
        <f>SUMIFS('февраль 2023'!$G$4:$G$497,'февраль 2023'!$D$4:$D$497,$B105,'февраль 2023'!$J$4:$J$497,S$1)</f>
        <v>0</v>
      </c>
      <c r="T105" s="207">
        <f>SUMIFS('февраль 2023'!$G$4:$G$497,'февраль 2023'!$D$4:$D$497,$B105,'февраль 2023'!$J$4:$J$497,T$1)</f>
        <v>0</v>
      </c>
      <c r="U105" s="207">
        <f>SUMIFS('февраль 2023'!$G$4:$G$497,'февраль 2023'!$D$4:$D$497,$B105,'февраль 2023'!$J$4:$J$497,U$1)</f>
        <v>0</v>
      </c>
      <c r="V105" s="207">
        <f>SUMIFS('февраль 2023'!$G$4:$G$497,'февраль 2023'!$D$4:$D$497,$B105,'февраль 2023'!$J$4:$J$497,V$1)</f>
        <v>0</v>
      </c>
      <c r="W105" s="207">
        <f>SUMIFS('февраль 2023'!$G$4:$G$497,'февраль 2023'!$D$4:$D$497,$B105,'февраль 2023'!$J$4:$J$497,W$1)</f>
        <v>0</v>
      </c>
      <c r="X105" s="207">
        <f>SUMIFS('февраль 2023'!$G$4:$G$497,'февраль 2023'!$D$4:$D$497,$B105,'февраль 2023'!$J$4:$J$497,X$1)</f>
        <v>0</v>
      </c>
      <c r="Y105" s="207">
        <f>SUMIFS('февраль 2023'!$G$4:$G$497,'февраль 2023'!$D$4:$D$497,$B105,'февраль 2023'!$J$4:$J$497,Y$1)</f>
        <v>0</v>
      </c>
      <c r="Z105" s="207">
        <f>SUMIFS('февраль 2023'!$G$4:$G$497,'февраль 2023'!$D$4:$D$497,$B105,'февраль 2023'!$J$4:$J$497,Z$1)</f>
        <v>0</v>
      </c>
      <c r="AA105" s="207">
        <f>SUMIFS('февраль 2023'!$G$4:$G$497,'февраль 2023'!$D$4:$D$497,$B105,'февраль 2023'!$J$4:$J$497,AA$1)</f>
        <v>0</v>
      </c>
      <c r="AB105" s="207">
        <f>SUMIFS('февраль 2023'!$G$4:$G$497,'февраль 2023'!$D$4:$D$497,$B105,'февраль 2023'!$J$4:$J$497,AB$1)</f>
        <v>0</v>
      </c>
      <c r="AC105" s="207">
        <f>SUMIFS('февраль 2023'!$G$4:$G$497,'февраль 2023'!$D$4:$D$497,$B105,'февраль 2023'!$J$4:$J$497,AC$1)</f>
        <v>0</v>
      </c>
      <c r="AD105" s="207">
        <f>SUMIFS('февраль 2023'!$G$4:$G$497,'февраль 2023'!$D$4:$D$497,$B105,'февраль 2023'!$J$4:$J$497,AD$1)</f>
        <v>0</v>
      </c>
      <c r="AE105" s="207">
        <f>SUMIFS('февраль 2023'!$G$4:$G$497,'февраль 2023'!$D$4:$D$497,$B105,'февраль 2023'!$J$4:$J$497,AE$1)</f>
        <v>0</v>
      </c>
      <c r="AF105" s="207">
        <f>SUMIFS('февраль 2023'!$G$4:$G$497,'февраль 2023'!$D$4:$D$497,$B105,'февраль 2023'!$J$4:$J$497,AF$1)</f>
        <v>0</v>
      </c>
      <c r="AG105" s="207">
        <f>SUMIFS('февраль 2023'!$G$4:$G$497,'февраль 2023'!$D$4:$D$497,$B105,'февраль 2023'!$J$4:$J$497,AG$1)</f>
        <v>0</v>
      </c>
      <c r="AH105" s="207">
        <f>SUMIFS('февраль 2023'!$G$4:$G$497,'февраль 2023'!$D$4:$D$497,$B105,'февраль 2023'!$J$4:$J$497,AH$1)</f>
        <v>0</v>
      </c>
      <c r="AI105" s="170">
        <f t="shared" si="2"/>
        <v>0</v>
      </c>
    </row>
    <row r="106" spans="2:35" ht="15" customHeight="1" x14ac:dyDescent="0.25">
      <c r="B106" s="212" t="s">
        <v>2199</v>
      </c>
      <c r="C106" s="211">
        <v>200</v>
      </c>
      <c r="D106" s="207">
        <f>SUMIFS('февраль 2023'!$G$4:$G$497,'февраль 2023'!$D$4:$D$497,$B106,'февраль 2023'!$J$4:$J$497,D$1)</f>
        <v>0</v>
      </c>
      <c r="E106" s="207">
        <f>SUMIFS('февраль 2023'!$G$4:$G$497,'февраль 2023'!$D$4:$D$497,$B106,'февраль 2023'!$J$4:$J$497,E$1)</f>
        <v>0</v>
      </c>
      <c r="F106" s="207">
        <f>SUMIFS('февраль 2023'!$G$4:$G$497,'февраль 2023'!$D$4:$D$497,$B106,'февраль 2023'!$J$4:$J$497,F$1)</f>
        <v>0</v>
      </c>
      <c r="G106" s="207">
        <f>SUMIFS('февраль 2023'!$G$4:$G$497,'февраль 2023'!$D$4:$D$497,$B106,'февраль 2023'!$J$4:$J$497,G$1)</f>
        <v>0</v>
      </c>
      <c r="H106" s="207">
        <f>SUMIFS('февраль 2023'!$G$4:$G$497,'февраль 2023'!$D$4:$D$497,$B106,'февраль 2023'!$J$4:$J$497,H$1)</f>
        <v>0</v>
      </c>
      <c r="I106" s="207">
        <f>SUMIFS('февраль 2023'!$G$4:$G$497,'февраль 2023'!$D$4:$D$497,$B106,'февраль 2023'!$J$4:$J$497,I$1)</f>
        <v>0</v>
      </c>
      <c r="J106" s="207">
        <f>SUMIFS('февраль 2023'!$G$4:$G$497,'февраль 2023'!$D$4:$D$497,$B106,'февраль 2023'!$J$4:$J$497,J$1)</f>
        <v>0</v>
      </c>
      <c r="K106" s="207">
        <f>SUMIFS('февраль 2023'!$G$4:$G$497,'февраль 2023'!$D$4:$D$497,$B106,'февраль 2023'!$J$4:$J$497,K$1)</f>
        <v>0</v>
      </c>
      <c r="L106" s="207">
        <f>SUMIFS('февраль 2023'!$G$4:$G$497,'февраль 2023'!$D$4:$D$497,$B106,'февраль 2023'!$J$4:$J$497,L$1)</f>
        <v>0</v>
      </c>
      <c r="M106" s="207">
        <f>SUMIFS('февраль 2023'!$G$4:$G$497,'февраль 2023'!$D$4:$D$497,$B106,'февраль 2023'!$J$4:$J$497,M$1)</f>
        <v>0</v>
      </c>
      <c r="N106" s="207">
        <f>SUMIFS('февраль 2023'!$G$4:$G$497,'февраль 2023'!$D$4:$D$497,$B106,'февраль 2023'!$J$4:$J$497,N$1)</f>
        <v>0</v>
      </c>
      <c r="O106" s="207">
        <f>SUMIFS('февраль 2023'!$G$4:$G$497,'февраль 2023'!$D$4:$D$497,$B106,'февраль 2023'!$J$4:$J$497,O$1)</f>
        <v>0</v>
      </c>
      <c r="P106" s="207">
        <f>SUMIFS('февраль 2023'!$G$4:$G$497,'февраль 2023'!$D$4:$D$497,$B106,'февраль 2023'!$J$4:$J$497,P$1)</f>
        <v>0</v>
      </c>
      <c r="Q106" s="207">
        <f>SUMIFS('февраль 2023'!$G$4:$G$497,'февраль 2023'!$D$4:$D$497,$B106,'февраль 2023'!$J$4:$J$497,Q$1)</f>
        <v>0</v>
      </c>
      <c r="R106" s="207">
        <f>SUMIFS('февраль 2023'!$G$4:$G$497,'февраль 2023'!$D$4:$D$497,$B106,'февраль 2023'!$J$4:$J$497,R$1)</f>
        <v>0</v>
      </c>
      <c r="S106" s="207">
        <f>SUMIFS('февраль 2023'!$G$4:$G$497,'февраль 2023'!$D$4:$D$497,$B106,'февраль 2023'!$J$4:$J$497,S$1)</f>
        <v>0</v>
      </c>
      <c r="T106" s="207">
        <f>SUMIFS('февраль 2023'!$G$4:$G$497,'февраль 2023'!$D$4:$D$497,$B106,'февраль 2023'!$J$4:$J$497,T$1)</f>
        <v>0</v>
      </c>
      <c r="U106" s="207">
        <f>SUMIFS('февраль 2023'!$G$4:$G$497,'февраль 2023'!$D$4:$D$497,$B106,'февраль 2023'!$J$4:$J$497,U$1)</f>
        <v>0</v>
      </c>
      <c r="V106" s="207">
        <f>SUMIFS('февраль 2023'!$G$4:$G$497,'февраль 2023'!$D$4:$D$497,$B106,'февраль 2023'!$J$4:$J$497,V$1)</f>
        <v>0</v>
      </c>
      <c r="W106" s="207">
        <f>SUMIFS('февраль 2023'!$G$4:$G$497,'февраль 2023'!$D$4:$D$497,$B106,'февраль 2023'!$J$4:$J$497,W$1)</f>
        <v>0</v>
      </c>
      <c r="X106" s="207">
        <f>SUMIFS('февраль 2023'!$G$4:$G$497,'февраль 2023'!$D$4:$D$497,$B106,'февраль 2023'!$J$4:$J$497,X$1)</f>
        <v>0</v>
      </c>
      <c r="Y106" s="207">
        <f>SUMIFS('февраль 2023'!$G$4:$G$497,'февраль 2023'!$D$4:$D$497,$B106,'февраль 2023'!$J$4:$J$497,Y$1)</f>
        <v>0</v>
      </c>
      <c r="Z106" s="207">
        <f>SUMIFS('февраль 2023'!$G$4:$G$497,'февраль 2023'!$D$4:$D$497,$B106,'февраль 2023'!$J$4:$J$497,Z$1)</f>
        <v>0</v>
      </c>
      <c r="AA106" s="207">
        <f>SUMIFS('февраль 2023'!$G$4:$G$497,'февраль 2023'!$D$4:$D$497,$B106,'февраль 2023'!$J$4:$J$497,AA$1)</f>
        <v>0</v>
      </c>
      <c r="AB106" s="207">
        <f>SUMIFS('февраль 2023'!$G$4:$G$497,'февраль 2023'!$D$4:$D$497,$B106,'февраль 2023'!$J$4:$J$497,AB$1)</f>
        <v>0</v>
      </c>
      <c r="AC106" s="207">
        <f>SUMIFS('февраль 2023'!$G$4:$G$497,'февраль 2023'!$D$4:$D$497,$B106,'февраль 2023'!$J$4:$J$497,AC$1)</f>
        <v>0</v>
      </c>
      <c r="AD106" s="207">
        <f>SUMIFS('февраль 2023'!$G$4:$G$497,'февраль 2023'!$D$4:$D$497,$B106,'февраль 2023'!$J$4:$J$497,AD$1)</f>
        <v>0</v>
      </c>
      <c r="AE106" s="207">
        <f>SUMIFS('февраль 2023'!$G$4:$G$497,'февраль 2023'!$D$4:$D$497,$B106,'февраль 2023'!$J$4:$J$497,AE$1)</f>
        <v>0</v>
      </c>
      <c r="AF106" s="207">
        <f>SUMIFS('февраль 2023'!$G$4:$G$497,'февраль 2023'!$D$4:$D$497,$B106,'февраль 2023'!$J$4:$J$497,AF$1)</f>
        <v>0</v>
      </c>
      <c r="AG106" s="207">
        <f>SUMIFS('февраль 2023'!$G$4:$G$497,'февраль 2023'!$D$4:$D$497,$B106,'февраль 2023'!$J$4:$J$497,AG$1)</f>
        <v>0</v>
      </c>
      <c r="AH106" s="207">
        <f>SUMIFS('февраль 2023'!$G$4:$G$497,'февраль 2023'!$D$4:$D$497,$B106,'февраль 2023'!$J$4:$J$497,AH$1)</f>
        <v>0</v>
      </c>
      <c r="AI106" s="170">
        <f t="shared" si="2"/>
        <v>0</v>
      </c>
    </row>
    <row r="107" spans="2:35" ht="15" customHeight="1" x14ac:dyDescent="0.25">
      <c r="B107" s="212"/>
      <c r="C107" s="211"/>
      <c r="D107" s="207">
        <f>SUMIFS('январь 2023'!$G$4:$G$508,'январь 2023'!$D$4:$D$508,$B106,'январь 2023'!$J$4:$J$508,D$1)</f>
        <v>0</v>
      </c>
      <c r="E107" s="207">
        <f>SUMIFS('январь 2023'!$G$4:$G$508,'январь 2023'!$D$4:$D$508,$B106,'январь 2023'!$J$4:$J$508,E$1)</f>
        <v>0</v>
      </c>
      <c r="F107" s="207">
        <f>SUMIFS('январь 2023'!$G$4:$G$508,'январь 2023'!$D$4:$D$508,$B106,'январь 2023'!$J$4:$J$508,F$1)</f>
        <v>0</v>
      </c>
      <c r="G107" s="207">
        <f>SUMIFS('январь 2023'!$G$4:$G$508,'январь 2023'!$D$4:$D$508,$B106,'январь 2023'!$J$4:$J$508,G$1)</f>
        <v>0</v>
      </c>
      <c r="H107" s="207">
        <f>SUMIFS('январь 2023'!$G$4:$G$508,'январь 2023'!$D$4:$D$508,$B106,'январь 2023'!$J$4:$J$508,H$1)</f>
        <v>0</v>
      </c>
      <c r="I107" s="207">
        <f>SUMIFS('январь 2023'!$G$4:$G$508,'январь 2023'!$D$4:$D$508,$B106,'январь 2023'!$J$4:$J$508,I$1)</f>
        <v>0</v>
      </c>
      <c r="J107" s="207">
        <f>SUMIFS('январь 2023'!$G$4:$G$508,'январь 2023'!$D$4:$D$508,$B106,'январь 2023'!$J$4:$J$508,J$1)</f>
        <v>0</v>
      </c>
      <c r="K107" s="207">
        <f>SUMIFS('январь 2023'!$G$4:$G$508,'январь 2023'!$D$4:$D$508,$B106,'январь 2023'!$J$4:$J$508,K$1)</f>
        <v>0</v>
      </c>
      <c r="L107" s="207">
        <f>SUMIFS('январь 2023'!$G$4:$G$508,'январь 2023'!$D$4:$D$508,$B106,'январь 2023'!$J$4:$J$508,L$1)</f>
        <v>0</v>
      </c>
      <c r="M107" s="207">
        <f>SUMIFS('январь 2023'!$G$4:$G$508,'январь 2023'!$D$4:$D$508,$B106,'январь 2023'!$J$4:$J$508,M$1)</f>
        <v>0</v>
      </c>
      <c r="N107" s="207">
        <f>SUMIFS('январь 2023'!$G$4:$G$508,'январь 2023'!$D$4:$D$508,$B106,'январь 2023'!$J$4:$J$508,N$1)</f>
        <v>0</v>
      </c>
      <c r="O107" s="207">
        <f>SUMIFS('январь 2023'!$G$4:$G$508,'январь 2023'!$D$4:$D$508,$B106,'январь 2023'!$J$4:$J$508,O$1)</f>
        <v>0</v>
      </c>
      <c r="P107" s="207">
        <f>SUMIFS('январь 2023'!$G$4:$G$508,'январь 2023'!$D$4:$D$508,$B106,'январь 2023'!$J$4:$J$508,P$1)</f>
        <v>0</v>
      </c>
      <c r="Q107" s="207">
        <f>SUMIFS('январь 2023'!$G$4:$G$508,'январь 2023'!$D$4:$D$508,$B106,'январь 2023'!$J$4:$J$508,Q$1)</f>
        <v>0</v>
      </c>
      <c r="R107" s="207">
        <f>SUMIFS('январь 2023'!$G$4:$G$508,'январь 2023'!$D$4:$D$508,$B106,'январь 2023'!$J$4:$J$508,R$1)</f>
        <v>0</v>
      </c>
      <c r="S107" s="207">
        <f>SUMIFS('январь 2023'!$G$4:$G$508,'январь 2023'!$D$4:$D$508,$B106,'январь 2023'!$J$4:$J$508,S$1)</f>
        <v>0</v>
      </c>
      <c r="T107" s="207">
        <f>SUMIFS('январь 2023'!$G$4:$G$508,'январь 2023'!$D$4:$D$508,$B106,'январь 2023'!$J$4:$J$508,T$1)</f>
        <v>0</v>
      </c>
      <c r="U107" s="207">
        <f>SUMIFS('январь 2023'!$G$4:$G$508,'январь 2023'!$D$4:$D$508,$B106,'январь 2023'!$J$4:$J$508,U$1)</f>
        <v>0</v>
      </c>
      <c r="V107" s="207">
        <f>SUMIFS('январь 2023'!$G$4:$G$508,'январь 2023'!$D$4:$D$508,$B106,'январь 2023'!$J$4:$J$508,V$1)</f>
        <v>0</v>
      </c>
      <c r="W107" s="207">
        <f>SUMIFS('январь 2023'!$G$4:$G$508,'январь 2023'!$D$4:$D$508,$B106,'январь 2023'!$J$4:$J$508,W$1)</f>
        <v>0</v>
      </c>
      <c r="X107" s="207">
        <f>SUMIFS('январь 2023'!$G$4:$G$508,'январь 2023'!$D$4:$D$508,$B106,'январь 2023'!$J$4:$J$508,X$1)</f>
        <v>0</v>
      </c>
      <c r="Y107" s="207">
        <f>SUMIFS('январь 2023'!$G$4:$G$508,'январь 2023'!$D$4:$D$508,$B106,'январь 2023'!$J$4:$J$508,Y$1)</f>
        <v>0</v>
      </c>
      <c r="Z107" s="207">
        <f>SUMIFS('январь 2023'!$G$4:$G$508,'январь 2023'!$D$4:$D$508,$B106,'январь 2023'!$J$4:$J$508,Z$1)</f>
        <v>0</v>
      </c>
      <c r="AA107" s="207">
        <f>SUMIFS('январь 2023'!$G$4:$G$508,'январь 2023'!$D$4:$D$508,$B106,'январь 2023'!$J$4:$J$508,AA$1)</f>
        <v>0</v>
      </c>
      <c r="AB107" s="207">
        <f>SUMIFS('январь 2023'!$G$4:$G$508,'январь 2023'!$D$4:$D$508,$B106,'январь 2023'!$J$4:$J$508,AB$1)</f>
        <v>0</v>
      </c>
      <c r="AC107" s="207">
        <f>SUMIFS('январь 2023'!$G$4:$G$508,'январь 2023'!$D$4:$D$508,$B106,'январь 2023'!$J$4:$J$508,AC$1)</f>
        <v>0</v>
      </c>
      <c r="AD107" s="207">
        <f>SUMIFS('январь 2023'!$G$4:$G$508,'январь 2023'!$D$4:$D$508,$B106,'январь 2023'!$J$4:$J$508,AD$1)</f>
        <v>0</v>
      </c>
      <c r="AE107" s="207">
        <f>SUMIFS('январь 2023'!$G$4:$G$508,'январь 2023'!$D$4:$D$508,$B106,'январь 2023'!$J$4:$J$508,AE$1)</f>
        <v>0</v>
      </c>
      <c r="AF107" s="207">
        <f>SUMIFS('январь 2023'!$G$4:$G$508,'январь 2023'!$D$4:$D$508,$B106,'январь 2023'!$J$4:$J$508,AF$1)</f>
        <v>0</v>
      </c>
      <c r="AG107" s="207">
        <f>SUMIFS('январь 2023'!$G$4:$G$508,'январь 2023'!$D$4:$D$508,$B106,'январь 2023'!$J$4:$J$508,AG$1)</f>
        <v>0</v>
      </c>
      <c r="AH107" s="207">
        <f>SUMIFS('январь 2023'!$G$4:$G$508,'январь 2023'!$D$4:$D$508,$B106,'январь 2023'!$J$4:$J$508,AH$1)</f>
        <v>0</v>
      </c>
      <c r="AI107" s="170">
        <f t="shared" si="2"/>
        <v>0</v>
      </c>
    </row>
    <row r="108" spans="2:35" ht="15" customHeight="1" x14ac:dyDescent="0.25">
      <c r="B108" s="212"/>
      <c r="C108" s="211"/>
      <c r="D108" s="207">
        <f>SUMIFS('январь 2023'!$G$4:$G$508,'январь 2023'!$D$4:$D$508,$B108,'январь 2023'!$J$4:$J$508,D$1)</f>
        <v>0</v>
      </c>
      <c r="E108" s="207">
        <f>SUMIFS('январь 2023'!$G$4:$G$508,'январь 2023'!$D$4:$D$508,$B108,'январь 2023'!$J$4:$J$508,E$1)</f>
        <v>0</v>
      </c>
      <c r="F108" s="207">
        <f>SUMIFS('январь 2023'!$G$4:$G$508,'январь 2023'!$D$4:$D$508,$B108,'январь 2023'!$J$4:$J$508,F$1)</f>
        <v>0</v>
      </c>
      <c r="G108" s="207">
        <f>SUMIFS('январь 2023'!$G$4:$G$508,'январь 2023'!$D$4:$D$508,$B108,'январь 2023'!$J$4:$J$508,G$1)</f>
        <v>0</v>
      </c>
      <c r="H108" s="207">
        <f>SUMIFS('январь 2023'!$G$4:$G$508,'январь 2023'!$D$4:$D$508,$B108,'январь 2023'!$J$4:$J$508,H$1)</f>
        <v>0</v>
      </c>
      <c r="I108" s="207">
        <f>SUMIFS('январь 2023'!$G$4:$G$508,'январь 2023'!$D$4:$D$508,$B108,'январь 2023'!$J$4:$J$508,I$1)</f>
        <v>0</v>
      </c>
      <c r="J108" s="207">
        <f>SUMIFS('январь 2023'!$G$4:$G$508,'январь 2023'!$D$4:$D$508,$B108,'январь 2023'!$J$4:$J$508,J$1)</f>
        <v>0</v>
      </c>
      <c r="K108" s="207">
        <f>SUMIFS('январь 2023'!$G$4:$G$508,'январь 2023'!$D$4:$D$508,$B108,'январь 2023'!$J$4:$J$508,K$1)</f>
        <v>0</v>
      </c>
      <c r="L108" s="207">
        <f>SUMIFS('январь 2023'!$G$4:$G$508,'январь 2023'!$D$4:$D$508,$B108,'январь 2023'!$J$4:$J$508,L$1)</f>
        <v>0</v>
      </c>
      <c r="M108" s="207">
        <f>SUMIFS('январь 2023'!$G$4:$G$508,'январь 2023'!$D$4:$D$508,$B108,'январь 2023'!$J$4:$J$508,M$1)</f>
        <v>0</v>
      </c>
      <c r="N108" s="207">
        <f>SUMIFS('январь 2023'!$G$4:$G$508,'январь 2023'!$D$4:$D$508,$B108,'январь 2023'!$J$4:$J$508,N$1)</f>
        <v>0</v>
      </c>
      <c r="O108" s="207">
        <f>SUMIFS('январь 2023'!$G$4:$G$508,'январь 2023'!$D$4:$D$508,$B108,'январь 2023'!$J$4:$J$508,O$1)</f>
        <v>0</v>
      </c>
      <c r="P108" s="207">
        <f>SUMIFS('январь 2023'!$G$4:$G$508,'январь 2023'!$D$4:$D$508,$B108,'январь 2023'!$J$4:$J$508,P$1)</f>
        <v>0</v>
      </c>
      <c r="Q108" s="207">
        <f>SUMIFS('январь 2023'!$G$4:$G$508,'январь 2023'!$D$4:$D$508,$B108,'январь 2023'!$J$4:$J$508,Q$1)</f>
        <v>0</v>
      </c>
      <c r="R108" s="207">
        <f>SUMIFS('январь 2023'!$G$4:$G$508,'январь 2023'!$D$4:$D$508,$B108,'январь 2023'!$J$4:$J$508,R$1)</f>
        <v>0</v>
      </c>
      <c r="S108" s="207">
        <f>SUMIFS('январь 2023'!$G$4:$G$508,'январь 2023'!$D$4:$D$508,$B108,'январь 2023'!$J$4:$J$508,S$1)</f>
        <v>0</v>
      </c>
      <c r="T108" s="207">
        <f>SUMIFS('январь 2023'!$G$4:$G$508,'январь 2023'!$D$4:$D$508,$B108,'январь 2023'!$J$4:$J$508,T$1)</f>
        <v>0</v>
      </c>
      <c r="U108" s="207">
        <f>SUMIFS('январь 2023'!$G$4:$G$508,'январь 2023'!$D$4:$D$508,$B108,'январь 2023'!$J$4:$J$508,U$1)</f>
        <v>0</v>
      </c>
      <c r="V108" s="207">
        <f>SUMIFS('январь 2023'!$G$4:$G$508,'январь 2023'!$D$4:$D$508,$B108,'январь 2023'!$J$4:$J$508,V$1)</f>
        <v>0</v>
      </c>
      <c r="W108" s="207">
        <f>SUMIFS('январь 2023'!$G$4:$G$508,'январь 2023'!$D$4:$D$508,$B108,'январь 2023'!$J$4:$J$508,W$1)</f>
        <v>0</v>
      </c>
      <c r="X108" s="207">
        <f>SUMIFS('январь 2023'!$G$4:$G$508,'январь 2023'!$D$4:$D$508,$B108,'январь 2023'!$J$4:$J$508,X$1)</f>
        <v>0</v>
      </c>
      <c r="Y108" s="207">
        <f>SUMIFS('январь 2023'!$G$4:$G$508,'январь 2023'!$D$4:$D$508,$B108,'январь 2023'!$J$4:$J$508,Y$1)</f>
        <v>0</v>
      </c>
      <c r="Z108" s="207">
        <f>SUMIFS('январь 2023'!$G$4:$G$508,'январь 2023'!$D$4:$D$508,$B108,'январь 2023'!$J$4:$J$508,Z$1)</f>
        <v>0</v>
      </c>
      <c r="AA108" s="207">
        <f>SUMIFS('январь 2023'!$G$4:$G$508,'январь 2023'!$D$4:$D$508,$B108,'январь 2023'!$J$4:$J$508,AA$1)</f>
        <v>0</v>
      </c>
      <c r="AB108" s="207">
        <f>SUMIFS('январь 2023'!$G$4:$G$508,'январь 2023'!$D$4:$D$508,$B108,'январь 2023'!$J$4:$J$508,AB$1)</f>
        <v>0</v>
      </c>
      <c r="AC108" s="207">
        <f>SUMIFS('январь 2023'!$G$4:$G$508,'январь 2023'!$D$4:$D$508,$B108,'январь 2023'!$J$4:$J$508,AC$1)</f>
        <v>0</v>
      </c>
      <c r="AD108" s="207">
        <f>SUMIFS('январь 2023'!$G$4:$G$508,'январь 2023'!$D$4:$D$508,$B108,'январь 2023'!$J$4:$J$508,AD$1)</f>
        <v>0</v>
      </c>
      <c r="AE108" s="207">
        <f>SUMIFS('январь 2023'!$G$4:$G$508,'январь 2023'!$D$4:$D$508,$B108,'январь 2023'!$J$4:$J$508,AE$1)</f>
        <v>0</v>
      </c>
      <c r="AF108" s="207">
        <f>SUMIFS('январь 2023'!$G$4:$G$508,'январь 2023'!$D$4:$D$508,$B108,'январь 2023'!$J$4:$J$508,AF$1)</f>
        <v>0</v>
      </c>
      <c r="AG108" s="207">
        <f>SUMIFS('январь 2023'!$G$4:$G$508,'январь 2023'!$D$4:$D$508,$B108,'январь 2023'!$J$4:$J$508,AG$1)</f>
        <v>0</v>
      </c>
      <c r="AH108" s="207">
        <f>SUMIFS('январь 2023'!$G$4:$G$508,'январь 2023'!$D$4:$D$508,$B108,'январь 2023'!$J$4:$J$508,AH$1)</f>
        <v>0</v>
      </c>
      <c r="AI108" s="170">
        <f t="shared" si="2"/>
        <v>0</v>
      </c>
    </row>
    <row r="109" spans="2:35" ht="15" hidden="1" customHeight="1" x14ac:dyDescent="0.25">
      <c r="B109" s="212"/>
      <c r="C109" s="211"/>
      <c r="D109" s="207">
        <f>SUMIFS('январь 2023'!$G$4:$G$508,'январь 2023'!$D$4:$D$508,$B109,'январь 2023'!$J$4:$J$508,D$1)</f>
        <v>0</v>
      </c>
      <c r="E109" s="207">
        <f>SUMIFS('январь 2023'!$G$4:$G$508,'январь 2023'!$D$4:$D$508,$B109,'январь 2023'!$J$4:$J$508,E$1)</f>
        <v>0</v>
      </c>
      <c r="F109" s="207">
        <f>SUMIFS('январь 2023'!$G$4:$G$508,'январь 2023'!$D$4:$D$508,$B109,'январь 2023'!$J$4:$J$508,F$1)</f>
        <v>0</v>
      </c>
      <c r="G109" s="207">
        <f>SUMIFS('январь 2023'!$G$4:$G$508,'январь 2023'!$D$4:$D$508,$B109,'январь 2023'!$J$4:$J$508,G$1)</f>
        <v>0</v>
      </c>
      <c r="H109" s="207">
        <f>SUMIFS('январь 2023'!$G$4:$G$508,'январь 2023'!$D$4:$D$508,$B109,'январь 2023'!$J$4:$J$508,H$1)</f>
        <v>0</v>
      </c>
      <c r="I109" s="207">
        <f>SUMIFS('январь 2023'!$G$4:$G$508,'январь 2023'!$D$4:$D$508,$B109,'январь 2023'!$J$4:$J$508,I$1)</f>
        <v>0</v>
      </c>
      <c r="J109" s="207">
        <f>SUMIFS('январь 2023'!$G$4:$G$508,'январь 2023'!$D$4:$D$508,$B109,'январь 2023'!$J$4:$J$508,J$1)</f>
        <v>0</v>
      </c>
      <c r="K109" s="207">
        <f>SUMIFS('январь 2023'!$G$4:$G$508,'январь 2023'!$D$4:$D$508,$B109,'январь 2023'!$J$4:$J$508,K$1)</f>
        <v>0</v>
      </c>
      <c r="L109" s="207">
        <f>SUMIFS('январь 2023'!$G$4:$G$508,'январь 2023'!$D$4:$D$508,$B109,'январь 2023'!$J$4:$J$508,L$1)</f>
        <v>0</v>
      </c>
      <c r="M109" s="207">
        <f>SUMIFS('январь 2023'!$G$4:$G$508,'январь 2023'!$D$4:$D$508,$B109,'январь 2023'!$J$4:$J$508,M$1)</f>
        <v>0</v>
      </c>
      <c r="N109" s="207">
        <f>SUMIFS('январь 2023'!$G$4:$G$508,'январь 2023'!$D$4:$D$508,$B109,'январь 2023'!$J$4:$J$508,N$1)</f>
        <v>0</v>
      </c>
      <c r="O109" s="207">
        <f>SUMIFS('январь 2023'!$G$4:$G$508,'январь 2023'!$D$4:$D$508,$B109,'январь 2023'!$J$4:$J$508,O$1)</f>
        <v>0</v>
      </c>
      <c r="P109" s="207">
        <f>SUMIFS('январь 2023'!$G$4:$G$508,'январь 2023'!$D$4:$D$508,$B109,'январь 2023'!$J$4:$J$508,P$1)</f>
        <v>0</v>
      </c>
      <c r="Q109" s="207">
        <f>SUMIFS('январь 2023'!$G$4:$G$508,'январь 2023'!$D$4:$D$508,$B109,'январь 2023'!$J$4:$J$508,Q$1)</f>
        <v>0</v>
      </c>
      <c r="R109" s="207">
        <f>SUMIFS('январь 2023'!$G$4:$G$508,'январь 2023'!$D$4:$D$508,$B109,'январь 2023'!$J$4:$J$508,R$1)</f>
        <v>0</v>
      </c>
      <c r="S109" s="207">
        <f>SUMIFS('январь 2023'!$G$4:$G$508,'январь 2023'!$D$4:$D$508,$B109,'январь 2023'!$J$4:$J$508,S$1)</f>
        <v>0</v>
      </c>
      <c r="T109" s="207">
        <f>SUMIFS('январь 2023'!$G$4:$G$508,'январь 2023'!$D$4:$D$508,$B109,'январь 2023'!$J$4:$J$508,T$1)</f>
        <v>0</v>
      </c>
      <c r="U109" s="207">
        <f>SUMIFS('январь 2023'!$G$4:$G$508,'январь 2023'!$D$4:$D$508,$B109,'январь 2023'!$J$4:$J$508,U$1)</f>
        <v>0</v>
      </c>
      <c r="V109" s="207">
        <f>SUMIFS('январь 2023'!$G$4:$G$508,'январь 2023'!$D$4:$D$508,$B109,'январь 2023'!$J$4:$J$508,V$1)</f>
        <v>0</v>
      </c>
      <c r="W109" s="207">
        <f>SUMIFS('январь 2023'!$G$4:$G$508,'январь 2023'!$D$4:$D$508,$B109,'январь 2023'!$J$4:$J$508,W$1)</f>
        <v>0</v>
      </c>
      <c r="X109" s="207">
        <f>SUMIFS('январь 2023'!$G$4:$G$508,'январь 2023'!$D$4:$D$508,$B109,'январь 2023'!$J$4:$J$508,X$1)</f>
        <v>0</v>
      </c>
      <c r="Y109" s="207">
        <f>SUMIFS('январь 2023'!$G$4:$G$508,'январь 2023'!$D$4:$D$508,$B109,'январь 2023'!$J$4:$J$508,Y$1)</f>
        <v>0</v>
      </c>
      <c r="Z109" s="207">
        <f>SUMIFS('январь 2023'!$G$4:$G$508,'январь 2023'!$D$4:$D$508,$B109,'январь 2023'!$J$4:$J$508,Z$1)</f>
        <v>0</v>
      </c>
      <c r="AA109" s="207">
        <f>SUMIFS('январь 2023'!$G$4:$G$508,'январь 2023'!$D$4:$D$508,$B109,'январь 2023'!$J$4:$J$508,AA$1)</f>
        <v>0</v>
      </c>
      <c r="AB109" s="207">
        <f>SUMIFS('январь 2023'!$G$4:$G$508,'январь 2023'!$D$4:$D$508,$B109,'январь 2023'!$J$4:$J$508,AB$1)</f>
        <v>0</v>
      </c>
      <c r="AC109" s="207">
        <f>SUMIFS('январь 2023'!$G$4:$G$508,'январь 2023'!$D$4:$D$508,$B109,'январь 2023'!$J$4:$J$508,AC$1)</f>
        <v>0</v>
      </c>
      <c r="AD109" s="207">
        <f>SUMIFS('январь 2023'!$G$4:$G$508,'январь 2023'!$D$4:$D$508,$B109,'январь 2023'!$J$4:$J$508,AD$1)</f>
        <v>0</v>
      </c>
      <c r="AE109" s="207">
        <f>SUMIFS('январь 2023'!$G$4:$G$508,'январь 2023'!$D$4:$D$508,$B109,'январь 2023'!$J$4:$J$508,AE$1)</f>
        <v>0</v>
      </c>
      <c r="AF109" s="207">
        <f>SUMIFS('январь 2023'!$G$4:$G$508,'январь 2023'!$D$4:$D$508,$B109,'январь 2023'!$J$4:$J$508,AF$1)</f>
        <v>0</v>
      </c>
      <c r="AG109" s="207">
        <f>SUMIFS('январь 2023'!$G$4:$G$508,'январь 2023'!$D$4:$D$508,$B109,'январь 2023'!$J$4:$J$508,AG$1)</f>
        <v>0</v>
      </c>
      <c r="AH109" s="207">
        <f>SUMIFS('январь 2023'!$G$4:$G$508,'январь 2023'!$D$4:$D$508,$B109,'январь 2023'!$J$4:$J$508,AH$1)</f>
        <v>0</v>
      </c>
      <c r="AI109" s="220">
        <f t="shared" si="2"/>
        <v>0</v>
      </c>
    </row>
    <row r="110" spans="2:35" ht="15" hidden="1" customHeight="1" x14ac:dyDescent="0.25">
      <c r="B110" s="212"/>
      <c r="C110" s="211"/>
      <c r="D110" s="207">
        <f>SUMIFS('январь 2023'!$G$4:$G$508,'январь 2023'!$D$4:$D$508,$B110,'январь 2023'!$J$4:$J$508,D$1)</f>
        <v>0</v>
      </c>
      <c r="E110" s="207">
        <f>SUMIFS('январь 2023'!$G$4:$G$508,'январь 2023'!$D$4:$D$508,$B110,'январь 2023'!$J$4:$J$508,E$1)</f>
        <v>0</v>
      </c>
      <c r="F110" s="207">
        <f>SUMIFS('январь 2023'!$G$4:$G$508,'январь 2023'!$D$4:$D$508,$B110,'январь 2023'!$J$4:$J$508,F$1)</f>
        <v>0</v>
      </c>
      <c r="G110" s="207">
        <f>SUMIFS('январь 2023'!$G$4:$G$508,'январь 2023'!$D$4:$D$508,$B110,'январь 2023'!$J$4:$J$508,G$1)</f>
        <v>0</v>
      </c>
      <c r="H110" s="207">
        <f>SUMIFS('январь 2023'!$G$4:$G$508,'январь 2023'!$D$4:$D$508,$B110,'январь 2023'!$J$4:$J$508,H$1)</f>
        <v>0</v>
      </c>
      <c r="I110" s="207">
        <f>SUMIFS('январь 2023'!$G$4:$G$508,'январь 2023'!$D$4:$D$508,$B110,'январь 2023'!$J$4:$J$508,I$1)</f>
        <v>0</v>
      </c>
      <c r="J110" s="207">
        <f>SUMIFS('январь 2023'!$G$4:$G$508,'январь 2023'!$D$4:$D$508,$B110,'январь 2023'!$J$4:$J$508,J$1)</f>
        <v>0</v>
      </c>
      <c r="K110" s="207">
        <f>SUMIFS('январь 2023'!$G$4:$G$508,'январь 2023'!$D$4:$D$508,$B110,'январь 2023'!$J$4:$J$508,K$1)</f>
        <v>0</v>
      </c>
      <c r="L110" s="207">
        <f>SUMIFS('январь 2023'!$G$4:$G$508,'январь 2023'!$D$4:$D$508,$B110,'январь 2023'!$J$4:$J$508,L$1)</f>
        <v>0</v>
      </c>
      <c r="M110" s="207">
        <f>SUMIFS('январь 2023'!$G$4:$G$508,'январь 2023'!$D$4:$D$508,$B110,'январь 2023'!$J$4:$J$508,M$1)</f>
        <v>0</v>
      </c>
      <c r="N110" s="207">
        <f>SUMIFS('январь 2023'!$G$4:$G$508,'январь 2023'!$D$4:$D$508,$B110,'январь 2023'!$J$4:$J$508,N$1)</f>
        <v>0</v>
      </c>
      <c r="O110" s="207">
        <f>SUMIFS('январь 2023'!$G$4:$G$508,'январь 2023'!$D$4:$D$508,$B110,'январь 2023'!$J$4:$J$508,O$1)</f>
        <v>0</v>
      </c>
      <c r="P110" s="207">
        <f>SUMIFS('январь 2023'!$G$4:$G$508,'январь 2023'!$D$4:$D$508,$B110,'январь 2023'!$J$4:$J$508,P$1)</f>
        <v>0</v>
      </c>
      <c r="Q110" s="207">
        <f>SUMIFS('январь 2023'!$G$4:$G$508,'январь 2023'!$D$4:$D$508,$B110,'январь 2023'!$J$4:$J$508,Q$1)</f>
        <v>0</v>
      </c>
      <c r="R110" s="207">
        <f>SUMIFS('январь 2023'!$G$4:$G$508,'январь 2023'!$D$4:$D$508,$B110,'январь 2023'!$J$4:$J$508,R$1)</f>
        <v>0</v>
      </c>
      <c r="S110" s="207">
        <f>SUMIFS('январь 2023'!$G$4:$G$508,'январь 2023'!$D$4:$D$508,$B110,'январь 2023'!$J$4:$J$508,S$1)</f>
        <v>0</v>
      </c>
      <c r="T110" s="207">
        <f>SUMIFS('январь 2023'!$G$4:$G$508,'январь 2023'!$D$4:$D$508,$B110,'январь 2023'!$J$4:$J$508,T$1)</f>
        <v>0</v>
      </c>
      <c r="U110" s="207">
        <f>SUMIFS('январь 2023'!$G$4:$G$508,'январь 2023'!$D$4:$D$508,$B110,'январь 2023'!$J$4:$J$508,U$1)</f>
        <v>0</v>
      </c>
      <c r="V110" s="207">
        <f>SUMIFS('январь 2023'!$G$4:$G$508,'январь 2023'!$D$4:$D$508,$B110,'январь 2023'!$J$4:$J$508,V$1)</f>
        <v>0</v>
      </c>
      <c r="W110" s="207">
        <f>SUMIFS('январь 2023'!$G$4:$G$508,'январь 2023'!$D$4:$D$508,$B110,'январь 2023'!$J$4:$J$508,W$1)</f>
        <v>0</v>
      </c>
      <c r="X110" s="207">
        <f>SUMIFS('январь 2023'!$G$4:$G$508,'январь 2023'!$D$4:$D$508,$B110,'январь 2023'!$J$4:$J$508,X$1)</f>
        <v>0</v>
      </c>
      <c r="Y110" s="207">
        <f>SUMIFS('январь 2023'!$G$4:$G$508,'январь 2023'!$D$4:$D$508,$B110,'январь 2023'!$J$4:$J$508,Y$1)</f>
        <v>0</v>
      </c>
      <c r="Z110" s="207">
        <f>SUMIFS('январь 2023'!$G$4:$G$508,'январь 2023'!$D$4:$D$508,$B110,'январь 2023'!$J$4:$J$508,Z$1)</f>
        <v>0</v>
      </c>
      <c r="AA110" s="207">
        <f>SUMIFS('январь 2023'!$G$4:$G$508,'январь 2023'!$D$4:$D$508,$B110,'январь 2023'!$J$4:$J$508,AA$1)</f>
        <v>0</v>
      </c>
      <c r="AB110" s="207">
        <f>SUMIFS('январь 2023'!$G$4:$G$508,'январь 2023'!$D$4:$D$508,$B110,'январь 2023'!$J$4:$J$508,AB$1)</f>
        <v>0</v>
      </c>
      <c r="AC110" s="207">
        <f>SUMIFS('январь 2023'!$G$4:$G$508,'январь 2023'!$D$4:$D$508,$B110,'январь 2023'!$J$4:$J$508,AC$1)</f>
        <v>0</v>
      </c>
      <c r="AD110" s="207">
        <f>SUMIFS('январь 2023'!$G$4:$G$508,'январь 2023'!$D$4:$D$508,$B110,'январь 2023'!$J$4:$J$508,AD$1)</f>
        <v>0</v>
      </c>
      <c r="AE110" s="207">
        <f>SUMIFS('январь 2023'!$G$4:$G$508,'январь 2023'!$D$4:$D$508,$B110,'январь 2023'!$J$4:$J$508,AE$1)</f>
        <v>0</v>
      </c>
      <c r="AF110" s="207">
        <f>SUMIFS('январь 2023'!$G$4:$G$508,'январь 2023'!$D$4:$D$508,$B110,'январь 2023'!$J$4:$J$508,AF$1)</f>
        <v>0</v>
      </c>
      <c r="AG110" s="207">
        <f>SUMIFS('январь 2023'!$G$4:$G$508,'январь 2023'!$D$4:$D$508,$B110,'январь 2023'!$J$4:$J$508,AG$1)</f>
        <v>0</v>
      </c>
      <c r="AH110" s="207">
        <f>SUMIFS('январь 2023'!$G$4:$G$508,'январь 2023'!$D$4:$D$508,$B110,'январь 2023'!$J$4:$J$508,AH$1)</f>
        <v>0</v>
      </c>
      <c r="AI110" s="220">
        <f t="shared" si="2"/>
        <v>0</v>
      </c>
    </row>
    <row r="111" spans="2:35" ht="15" hidden="1" customHeight="1" x14ac:dyDescent="0.25">
      <c r="B111" s="212"/>
      <c r="C111" s="211"/>
      <c r="D111" s="207">
        <f>SUMIFS('январь 2023'!$G$4:$G$508,'январь 2023'!$D$4:$D$508,$B111,'январь 2023'!$J$4:$J$508,D$1)</f>
        <v>0</v>
      </c>
      <c r="E111" s="207">
        <f>SUMIFS('январь 2023'!$G$4:$G$508,'январь 2023'!$D$4:$D$508,$B111,'январь 2023'!$J$4:$J$508,E$1)</f>
        <v>0</v>
      </c>
      <c r="F111" s="207">
        <f>SUMIFS('январь 2023'!$G$4:$G$508,'январь 2023'!$D$4:$D$508,$B111,'январь 2023'!$J$4:$J$508,F$1)</f>
        <v>0</v>
      </c>
      <c r="G111" s="207">
        <f>SUMIFS('январь 2023'!$G$4:$G$508,'январь 2023'!$D$4:$D$508,$B111,'январь 2023'!$J$4:$J$508,G$1)</f>
        <v>0</v>
      </c>
      <c r="H111" s="207">
        <f>SUMIFS('январь 2023'!$G$4:$G$508,'январь 2023'!$D$4:$D$508,$B111,'январь 2023'!$J$4:$J$508,H$1)</f>
        <v>0</v>
      </c>
      <c r="I111" s="207">
        <f>SUMIFS('январь 2023'!$G$4:$G$508,'январь 2023'!$D$4:$D$508,$B111,'январь 2023'!$J$4:$J$508,I$1)</f>
        <v>0</v>
      </c>
      <c r="J111" s="207">
        <f>SUMIFS('январь 2023'!$G$4:$G$508,'январь 2023'!$D$4:$D$508,$B111,'январь 2023'!$J$4:$J$508,J$1)</f>
        <v>0</v>
      </c>
      <c r="K111" s="207">
        <f>SUMIFS('январь 2023'!$G$4:$G$508,'январь 2023'!$D$4:$D$508,$B111,'январь 2023'!$J$4:$J$508,K$1)</f>
        <v>0</v>
      </c>
      <c r="L111" s="207">
        <f>SUMIFS('январь 2023'!$G$4:$G$508,'январь 2023'!$D$4:$D$508,$B111,'январь 2023'!$J$4:$J$508,L$1)</f>
        <v>0</v>
      </c>
      <c r="M111" s="207">
        <f>SUMIFS('январь 2023'!$G$4:$G$508,'январь 2023'!$D$4:$D$508,$B111,'январь 2023'!$J$4:$J$508,M$1)</f>
        <v>0</v>
      </c>
      <c r="N111" s="207">
        <f>SUMIFS('январь 2023'!$G$4:$G$508,'январь 2023'!$D$4:$D$508,$B111,'январь 2023'!$J$4:$J$508,N$1)</f>
        <v>0</v>
      </c>
      <c r="O111" s="207">
        <f>SUMIFS('январь 2023'!$G$4:$G$508,'январь 2023'!$D$4:$D$508,$B111,'январь 2023'!$J$4:$J$508,O$1)</f>
        <v>0</v>
      </c>
      <c r="P111" s="207">
        <f>SUMIFS('январь 2023'!$G$4:$G$508,'январь 2023'!$D$4:$D$508,$B111,'январь 2023'!$J$4:$J$508,P$1)</f>
        <v>0</v>
      </c>
      <c r="Q111" s="207">
        <f>SUMIFS('январь 2023'!$G$4:$G$508,'январь 2023'!$D$4:$D$508,$B111,'январь 2023'!$J$4:$J$508,Q$1)</f>
        <v>0</v>
      </c>
      <c r="R111" s="207">
        <f>SUMIFS('январь 2023'!$G$4:$G$508,'январь 2023'!$D$4:$D$508,$B111,'январь 2023'!$J$4:$J$508,R$1)</f>
        <v>0</v>
      </c>
      <c r="S111" s="207">
        <f>SUMIFS('январь 2023'!$G$4:$G$508,'январь 2023'!$D$4:$D$508,$B111,'январь 2023'!$J$4:$J$508,S$1)</f>
        <v>0</v>
      </c>
      <c r="T111" s="207">
        <f>SUMIFS('январь 2023'!$G$4:$G$508,'январь 2023'!$D$4:$D$508,$B111,'январь 2023'!$J$4:$J$508,T$1)</f>
        <v>0</v>
      </c>
      <c r="U111" s="207">
        <f>SUMIFS('январь 2023'!$G$4:$G$508,'январь 2023'!$D$4:$D$508,$B111,'январь 2023'!$J$4:$J$508,U$1)</f>
        <v>0</v>
      </c>
      <c r="V111" s="207">
        <f>SUMIFS('январь 2023'!$G$4:$G$508,'январь 2023'!$D$4:$D$508,$B111,'январь 2023'!$J$4:$J$508,V$1)</f>
        <v>0</v>
      </c>
      <c r="W111" s="207">
        <f>SUMIFS('январь 2023'!$G$4:$G$508,'январь 2023'!$D$4:$D$508,$B111,'январь 2023'!$J$4:$J$508,W$1)</f>
        <v>0</v>
      </c>
      <c r="X111" s="207">
        <f>SUMIFS('январь 2023'!$G$4:$G$508,'январь 2023'!$D$4:$D$508,$B111,'январь 2023'!$J$4:$J$508,X$1)</f>
        <v>0</v>
      </c>
      <c r="Y111" s="207">
        <f>SUMIFS('январь 2023'!$G$4:$G$508,'январь 2023'!$D$4:$D$508,$B111,'январь 2023'!$J$4:$J$508,Y$1)</f>
        <v>0</v>
      </c>
      <c r="Z111" s="207">
        <f>SUMIFS('январь 2023'!$G$4:$G$508,'январь 2023'!$D$4:$D$508,$B111,'январь 2023'!$J$4:$J$508,Z$1)</f>
        <v>0</v>
      </c>
      <c r="AA111" s="207">
        <f>SUMIFS('январь 2023'!$G$4:$G$508,'январь 2023'!$D$4:$D$508,$B111,'январь 2023'!$J$4:$J$508,AA$1)</f>
        <v>0</v>
      </c>
      <c r="AB111" s="207">
        <f>SUMIFS('январь 2023'!$G$4:$G$508,'январь 2023'!$D$4:$D$508,$B111,'январь 2023'!$J$4:$J$508,AB$1)</f>
        <v>0</v>
      </c>
      <c r="AC111" s="207">
        <f>SUMIFS('январь 2023'!$G$4:$G$508,'январь 2023'!$D$4:$D$508,$B111,'январь 2023'!$J$4:$J$508,AC$1)</f>
        <v>0</v>
      </c>
      <c r="AD111" s="207">
        <f>SUMIFS('январь 2023'!$G$4:$G$508,'январь 2023'!$D$4:$D$508,$B111,'январь 2023'!$J$4:$J$508,AD$1)</f>
        <v>0</v>
      </c>
      <c r="AE111" s="207">
        <f>SUMIFS('январь 2023'!$G$4:$G$508,'январь 2023'!$D$4:$D$508,$B111,'январь 2023'!$J$4:$J$508,AE$1)</f>
        <v>0</v>
      </c>
      <c r="AF111" s="207">
        <f>SUMIFS('январь 2023'!$G$4:$G$508,'январь 2023'!$D$4:$D$508,$B111,'январь 2023'!$J$4:$J$508,AF$1)</f>
        <v>0</v>
      </c>
      <c r="AG111" s="207">
        <f>SUMIFS('январь 2023'!$G$4:$G$508,'январь 2023'!$D$4:$D$508,$B111,'январь 2023'!$J$4:$J$508,AG$1)</f>
        <v>0</v>
      </c>
      <c r="AH111" s="207">
        <f>SUMIFS('январь 2023'!$G$4:$G$508,'январь 2023'!$D$4:$D$508,$B111,'январь 2023'!$J$4:$J$508,AH$1)</f>
        <v>0</v>
      </c>
      <c r="AI111" s="220">
        <f t="shared" si="2"/>
        <v>0</v>
      </c>
    </row>
    <row r="112" spans="2:35" ht="15" hidden="1" customHeight="1" x14ac:dyDescent="0.25">
      <c r="B112" s="212"/>
      <c r="C112" s="211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20"/>
    </row>
    <row r="113" spans="2:35" ht="15" hidden="1" customHeight="1" x14ac:dyDescent="0.25">
      <c r="B113" s="212"/>
      <c r="C113" s="211"/>
      <c r="D113" s="207">
        <f>SUMIFS('январь 2023'!$G$4:$G$508,'январь 2023'!$D$4:$D$508,$B113,'январь 2023'!$J$4:$J$508,D$1)</f>
        <v>0</v>
      </c>
      <c r="E113" s="207">
        <f>SUMIFS('январь 2023'!$G$4:$G$508,'январь 2023'!$D$4:$D$508,$B113,'январь 2023'!$J$4:$J$508,E$1)</f>
        <v>0</v>
      </c>
      <c r="F113" s="207">
        <f>SUMIFS('январь 2023'!$G$4:$G$508,'январь 2023'!$D$4:$D$508,$B113,'январь 2023'!$J$4:$J$508,F$1)</f>
        <v>0</v>
      </c>
      <c r="G113" s="207">
        <f>SUMIFS('январь 2023'!$G$4:$G$508,'январь 2023'!$D$4:$D$508,$B113,'январь 2023'!$J$4:$J$508,G$1)</f>
        <v>0</v>
      </c>
      <c r="H113" s="207">
        <f>SUMIFS('январь 2023'!$G$4:$G$508,'январь 2023'!$D$4:$D$508,$B113,'январь 2023'!$J$4:$J$508,H$1)</f>
        <v>0</v>
      </c>
      <c r="I113" s="207">
        <f>SUMIFS('январь 2023'!$G$4:$G$508,'январь 2023'!$D$4:$D$508,$B113,'январь 2023'!$J$4:$J$508,I$1)</f>
        <v>0</v>
      </c>
      <c r="J113" s="207">
        <f>SUMIFS('январь 2023'!$G$4:$G$508,'январь 2023'!$D$4:$D$508,$B113,'январь 2023'!$J$4:$J$508,J$1)</f>
        <v>0</v>
      </c>
      <c r="K113" s="207">
        <f>SUMIFS('январь 2023'!$G$4:$G$508,'январь 2023'!$D$4:$D$508,$B113,'январь 2023'!$J$4:$J$508,K$1)</f>
        <v>0</v>
      </c>
      <c r="L113" s="207">
        <f>SUMIFS('январь 2023'!$G$4:$G$508,'январь 2023'!$D$4:$D$508,$B113,'январь 2023'!$J$4:$J$508,L$1)</f>
        <v>0</v>
      </c>
      <c r="M113" s="207">
        <f>SUMIFS('январь 2023'!$G$4:$G$508,'январь 2023'!$D$4:$D$508,$B113,'январь 2023'!$J$4:$J$508,M$1)</f>
        <v>0</v>
      </c>
      <c r="N113" s="207">
        <f>SUMIFS('январь 2023'!$G$4:$G$508,'январь 2023'!$D$4:$D$508,$B113,'январь 2023'!$J$4:$J$508,N$1)</f>
        <v>0</v>
      </c>
      <c r="O113" s="207">
        <f>SUMIFS('январь 2023'!$G$4:$G$508,'январь 2023'!$D$4:$D$508,$B113,'январь 2023'!$J$4:$J$508,O$1)</f>
        <v>0</v>
      </c>
      <c r="P113" s="207">
        <f>SUMIFS('январь 2023'!$G$4:$G$508,'январь 2023'!$D$4:$D$508,$B113,'январь 2023'!$J$4:$J$508,P$1)</f>
        <v>0</v>
      </c>
      <c r="Q113" s="207">
        <f>SUMIFS('январь 2023'!$G$4:$G$508,'январь 2023'!$D$4:$D$508,$B113,'январь 2023'!$J$4:$J$508,Q$1)</f>
        <v>0</v>
      </c>
      <c r="R113" s="207">
        <f>SUMIFS('январь 2023'!$G$4:$G$508,'январь 2023'!$D$4:$D$508,$B113,'январь 2023'!$J$4:$J$508,R$1)</f>
        <v>0</v>
      </c>
      <c r="S113" s="207">
        <f>SUMIFS('январь 2023'!$G$4:$G$508,'январь 2023'!$D$4:$D$508,$B113,'январь 2023'!$J$4:$J$508,S$1)</f>
        <v>0</v>
      </c>
      <c r="T113" s="207">
        <f>SUMIFS('январь 2023'!$G$4:$G$508,'январь 2023'!$D$4:$D$508,$B113,'январь 2023'!$J$4:$J$508,T$1)</f>
        <v>0</v>
      </c>
      <c r="U113" s="207">
        <f>SUMIFS('январь 2023'!$G$4:$G$508,'январь 2023'!$D$4:$D$508,$B113,'январь 2023'!$J$4:$J$508,U$1)</f>
        <v>0</v>
      </c>
      <c r="V113" s="207">
        <f>SUMIFS('январь 2023'!$G$4:$G$508,'январь 2023'!$D$4:$D$508,$B113,'январь 2023'!$J$4:$J$508,V$1)</f>
        <v>0</v>
      </c>
      <c r="W113" s="207">
        <f>SUMIFS('январь 2023'!$G$4:$G$508,'январь 2023'!$D$4:$D$508,$B113,'январь 2023'!$J$4:$J$508,W$1)</f>
        <v>0</v>
      </c>
      <c r="X113" s="207">
        <f>SUMIFS('январь 2023'!$G$4:$G$508,'январь 2023'!$D$4:$D$508,$B113,'январь 2023'!$J$4:$J$508,X$1)</f>
        <v>0</v>
      </c>
      <c r="Y113" s="207">
        <f>SUMIFS('январь 2023'!$G$4:$G$508,'январь 2023'!$D$4:$D$508,$B113,'январь 2023'!$J$4:$J$508,Y$1)</f>
        <v>0</v>
      </c>
      <c r="Z113" s="207">
        <f>SUMIFS('январь 2023'!$G$4:$G$508,'январь 2023'!$D$4:$D$508,$B113,'январь 2023'!$J$4:$J$508,Z$1)</f>
        <v>0</v>
      </c>
      <c r="AA113" s="207">
        <f>SUMIFS('январь 2023'!$G$4:$G$508,'январь 2023'!$D$4:$D$508,$B113,'январь 2023'!$J$4:$J$508,AA$1)</f>
        <v>0</v>
      </c>
      <c r="AB113" s="207">
        <f>SUMIFS('январь 2023'!$G$4:$G$508,'январь 2023'!$D$4:$D$508,$B113,'январь 2023'!$J$4:$J$508,AB$1)</f>
        <v>0</v>
      </c>
      <c r="AC113" s="207">
        <f>SUMIFS('январь 2023'!$G$4:$G$508,'январь 2023'!$D$4:$D$508,$B113,'январь 2023'!$J$4:$J$508,AC$1)</f>
        <v>0</v>
      </c>
      <c r="AD113" s="207">
        <f>SUMIFS('январь 2023'!$G$4:$G$508,'январь 2023'!$D$4:$D$508,$B113,'январь 2023'!$J$4:$J$508,AD$1)</f>
        <v>0</v>
      </c>
      <c r="AE113" s="207">
        <f>SUMIFS('январь 2023'!$G$4:$G$508,'январь 2023'!$D$4:$D$508,$B113,'январь 2023'!$J$4:$J$508,AE$1)</f>
        <v>0</v>
      </c>
      <c r="AF113" s="207">
        <f>SUMIFS('январь 2023'!$G$4:$G$508,'январь 2023'!$D$4:$D$508,$B113,'январь 2023'!$J$4:$J$508,AF$1)</f>
        <v>0</v>
      </c>
      <c r="AG113" s="207">
        <f>SUMIFS('январь 2023'!$G$4:$G$508,'январь 2023'!$D$4:$D$508,$B113,'январь 2023'!$J$4:$J$508,AG$1)</f>
        <v>0</v>
      </c>
      <c r="AH113" s="207">
        <f>SUMIFS('январь 2023'!$G$4:$G$508,'январь 2023'!$D$4:$D$508,$B113,'январь 2023'!$J$4:$J$508,AH$1)</f>
        <v>0</v>
      </c>
      <c r="AI113" s="220">
        <f t="shared" si="2"/>
        <v>0</v>
      </c>
    </row>
    <row r="114" spans="2:35" ht="15" hidden="1" customHeight="1" x14ac:dyDescent="0.25">
      <c r="B114" s="212"/>
      <c r="C114" s="211"/>
      <c r="D114" s="207">
        <f>SUMIFS('январь 2023'!$G$4:$G$508,'январь 2023'!$D$4:$D$508,$B114,'январь 2023'!$J$4:$J$508,D$1)</f>
        <v>0</v>
      </c>
      <c r="E114" s="207">
        <f>SUMIFS('январь 2023'!$G$4:$G$508,'январь 2023'!$D$4:$D$508,$B114,'январь 2023'!$J$4:$J$508,E$1)</f>
        <v>0</v>
      </c>
      <c r="F114" s="207">
        <f>SUMIFS('январь 2023'!$G$4:$G$508,'январь 2023'!$D$4:$D$508,$B114,'январь 2023'!$J$4:$J$508,F$1)</f>
        <v>0</v>
      </c>
      <c r="G114" s="207">
        <f>SUMIFS('январь 2023'!$G$4:$G$508,'январь 2023'!$D$4:$D$508,$B114,'январь 2023'!$J$4:$J$508,G$1)</f>
        <v>0</v>
      </c>
      <c r="H114" s="207">
        <f>SUMIFS('январь 2023'!$G$4:$G$508,'январь 2023'!$D$4:$D$508,$B114,'январь 2023'!$J$4:$J$508,H$1)</f>
        <v>0</v>
      </c>
      <c r="I114" s="207">
        <f>SUMIFS('январь 2023'!$G$4:$G$508,'январь 2023'!$D$4:$D$508,$B114,'январь 2023'!$J$4:$J$508,I$1)</f>
        <v>0</v>
      </c>
      <c r="J114" s="207">
        <f>SUMIFS('январь 2023'!$G$4:$G$508,'январь 2023'!$D$4:$D$508,$B114,'январь 2023'!$J$4:$J$508,J$1)</f>
        <v>0</v>
      </c>
      <c r="K114" s="207">
        <f>SUMIFS('январь 2023'!$G$4:$G$508,'январь 2023'!$D$4:$D$508,$B114,'январь 2023'!$J$4:$J$508,K$1)</f>
        <v>0</v>
      </c>
      <c r="L114" s="207">
        <f>SUMIFS('январь 2023'!$G$4:$G$508,'январь 2023'!$D$4:$D$508,$B114,'январь 2023'!$J$4:$J$508,L$1)</f>
        <v>0</v>
      </c>
      <c r="M114" s="207">
        <f>SUMIFS('январь 2023'!$G$4:$G$508,'январь 2023'!$D$4:$D$508,$B114,'январь 2023'!$J$4:$J$508,M$1)</f>
        <v>0</v>
      </c>
      <c r="N114" s="207">
        <f>SUMIFS('январь 2023'!$G$4:$G$508,'январь 2023'!$D$4:$D$508,$B114,'январь 2023'!$J$4:$J$508,N$1)</f>
        <v>0</v>
      </c>
      <c r="O114" s="207">
        <f>SUMIFS('январь 2023'!$G$4:$G$508,'январь 2023'!$D$4:$D$508,$B114,'январь 2023'!$J$4:$J$508,O$1)</f>
        <v>0</v>
      </c>
      <c r="P114" s="207">
        <f>SUMIFS('январь 2023'!$G$4:$G$508,'январь 2023'!$D$4:$D$508,$B114,'январь 2023'!$J$4:$J$508,P$1)</f>
        <v>0</v>
      </c>
      <c r="Q114" s="207">
        <f>SUMIFS('январь 2023'!$G$4:$G$508,'январь 2023'!$D$4:$D$508,$B114,'январь 2023'!$J$4:$J$508,Q$1)</f>
        <v>0</v>
      </c>
      <c r="R114" s="207">
        <f>SUMIFS('январь 2023'!$G$4:$G$508,'январь 2023'!$D$4:$D$508,$B114,'январь 2023'!$J$4:$J$508,R$1)</f>
        <v>0</v>
      </c>
      <c r="S114" s="207">
        <f>SUMIFS('январь 2023'!$G$4:$G$508,'январь 2023'!$D$4:$D$508,$B114,'январь 2023'!$J$4:$J$508,S$1)</f>
        <v>0</v>
      </c>
      <c r="T114" s="207">
        <f>SUMIFS('январь 2023'!$G$4:$G$508,'январь 2023'!$D$4:$D$508,$B114,'январь 2023'!$J$4:$J$508,T$1)</f>
        <v>0</v>
      </c>
      <c r="U114" s="207">
        <f>SUMIFS('январь 2023'!$G$4:$G$508,'январь 2023'!$D$4:$D$508,$B114,'январь 2023'!$J$4:$J$508,U$1)</f>
        <v>0</v>
      </c>
      <c r="V114" s="207">
        <f>SUMIFS('январь 2023'!$G$4:$G$508,'январь 2023'!$D$4:$D$508,$B114,'январь 2023'!$J$4:$J$508,V$1)</f>
        <v>0</v>
      </c>
      <c r="W114" s="207">
        <f>SUMIFS('январь 2023'!$G$4:$G$508,'январь 2023'!$D$4:$D$508,$B114,'январь 2023'!$J$4:$J$508,W$1)</f>
        <v>0</v>
      </c>
      <c r="X114" s="207">
        <f>SUMIFS('январь 2023'!$G$4:$G$508,'январь 2023'!$D$4:$D$508,$B114,'январь 2023'!$J$4:$J$508,X$1)</f>
        <v>0</v>
      </c>
      <c r="Y114" s="207">
        <f>SUMIFS('январь 2023'!$G$4:$G$508,'январь 2023'!$D$4:$D$508,$B114,'январь 2023'!$J$4:$J$508,Y$1)</f>
        <v>0</v>
      </c>
      <c r="Z114" s="207">
        <f>SUMIFS('январь 2023'!$G$4:$G$508,'январь 2023'!$D$4:$D$508,$B114,'январь 2023'!$J$4:$J$508,Z$1)</f>
        <v>0</v>
      </c>
      <c r="AA114" s="207">
        <f>SUMIFS('январь 2023'!$G$4:$G$508,'январь 2023'!$D$4:$D$508,$B114,'январь 2023'!$J$4:$J$508,AA$1)</f>
        <v>0</v>
      </c>
      <c r="AB114" s="207">
        <f>SUMIFS('январь 2023'!$G$4:$G$508,'январь 2023'!$D$4:$D$508,$B114,'январь 2023'!$J$4:$J$508,AB$1)</f>
        <v>0</v>
      </c>
      <c r="AC114" s="207">
        <f>SUMIFS('январь 2023'!$G$4:$G$508,'январь 2023'!$D$4:$D$508,$B114,'январь 2023'!$J$4:$J$508,AC$1)</f>
        <v>0</v>
      </c>
      <c r="AD114" s="207">
        <f>SUMIFS('январь 2023'!$G$4:$G$508,'январь 2023'!$D$4:$D$508,$B114,'январь 2023'!$J$4:$J$508,AD$1)</f>
        <v>0</v>
      </c>
      <c r="AE114" s="207">
        <f>SUMIFS('январь 2023'!$G$4:$G$508,'январь 2023'!$D$4:$D$508,$B114,'январь 2023'!$J$4:$J$508,AE$1)</f>
        <v>0</v>
      </c>
      <c r="AF114" s="207">
        <f>SUMIFS('январь 2023'!$G$4:$G$508,'январь 2023'!$D$4:$D$508,$B114,'январь 2023'!$J$4:$J$508,AF$1)</f>
        <v>0</v>
      </c>
      <c r="AG114" s="207">
        <f>SUMIFS('январь 2023'!$G$4:$G$508,'январь 2023'!$D$4:$D$508,$B114,'январь 2023'!$J$4:$J$508,AG$1)</f>
        <v>0</v>
      </c>
      <c r="AH114" s="207">
        <f>SUMIFS('январь 2023'!$G$4:$G$508,'январь 2023'!$D$4:$D$508,$B114,'январь 2023'!$J$4:$J$508,AH$1)</f>
        <v>0</v>
      </c>
      <c r="AI114" s="220">
        <f t="shared" si="2"/>
        <v>0</v>
      </c>
    </row>
    <row r="115" spans="2:35" ht="15" hidden="1" customHeight="1" x14ac:dyDescent="0.25">
      <c r="B115" s="216"/>
      <c r="C115" s="211"/>
      <c r="D115" s="207">
        <f>SUMIFS('январь 2023'!$G$4:$G$508,'январь 2023'!$D$4:$D$508,$B115,'январь 2023'!$J$4:$J$508,D$1)</f>
        <v>0</v>
      </c>
      <c r="E115" s="207">
        <f>SUMIFS('январь 2023'!$G$4:$G$508,'январь 2023'!$D$4:$D$508,$B115,'январь 2023'!$J$4:$J$508,E$1)</f>
        <v>0</v>
      </c>
      <c r="F115" s="207">
        <f>SUMIFS('январь 2023'!$G$4:$G$508,'январь 2023'!$D$4:$D$508,$B115,'январь 2023'!$J$4:$J$508,F$1)</f>
        <v>0</v>
      </c>
      <c r="G115" s="207">
        <f>SUMIFS('январь 2023'!$G$4:$G$508,'январь 2023'!$D$4:$D$508,$B115,'январь 2023'!$J$4:$J$508,G$1)</f>
        <v>0</v>
      </c>
      <c r="H115" s="207">
        <f>SUMIFS('январь 2023'!$G$4:$G$508,'январь 2023'!$D$4:$D$508,$B115,'январь 2023'!$J$4:$J$508,H$1)</f>
        <v>0</v>
      </c>
      <c r="I115" s="207">
        <f>SUMIFS('январь 2023'!$G$4:$G$508,'январь 2023'!$D$4:$D$508,$B115,'январь 2023'!$J$4:$J$508,I$1)</f>
        <v>0</v>
      </c>
      <c r="J115" s="207">
        <f>SUMIFS('январь 2023'!$G$4:$G$508,'январь 2023'!$D$4:$D$508,$B115,'январь 2023'!$J$4:$J$508,J$1)</f>
        <v>0</v>
      </c>
      <c r="K115" s="207">
        <f>SUMIFS('январь 2023'!$G$4:$G$508,'январь 2023'!$D$4:$D$508,$B115,'январь 2023'!$J$4:$J$508,K$1)</f>
        <v>0</v>
      </c>
      <c r="L115" s="207">
        <f>SUMIFS('январь 2023'!$G$4:$G$508,'январь 2023'!$D$4:$D$508,$B115,'январь 2023'!$J$4:$J$508,L$1)</f>
        <v>0</v>
      </c>
      <c r="M115" s="207">
        <f>SUMIFS('январь 2023'!$G$4:$G$508,'январь 2023'!$D$4:$D$508,$B115,'январь 2023'!$J$4:$J$508,M$1)</f>
        <v>0</v>
      </c>
      <c r="N115" s="207">
        <f>SUMIFS('январь 2023'!$G$4:$G$508,'январь 2023'!$D$4:$D$508,$B115,'январь 2023'!$J$4:$J$508,N$1)</f>
        <v>0</v>
      </c>
      <c r="O115" s="207">
        <f>SUMIFS('январь 2023'!$G$4:$G$508,'январь 2023'!$D$4:$D$508,$B115,'январь 2023'!$J$4:$J$508,O$1)</f>
        <v>0</v>
      </c>
      <c r="P115" s="207">
        <f>SUMIFS('январь 2023'!$G$4:$G$508,'январь 2023'!$D$4:$D$508,$B115,'январь 2023'!$J$4:$J$508,P$1)</f>
        <v>0</v>
      </c>
      <c r="Q115" s="207">
        <f>SUMIFS('январь 2023'!$G$4:$G$508,'январь 2023'!$D$4:$D$508,$B115,'январь 2023'!$J$4:$J$508,Q$1)</f>
        <v>0</v>
      </c>
      <c r="R115" s="207">
        <f>SUMIFS('январь 2023'!$G$4:$G$508,'январь 2023'!$D$4:$D$508,$B115,'январь 2023'!$J$4:$J$508,R$1)</f>
        <v>0</v>
      </c>
      <c r="S115" s="207">
        <f>SUMIFS('январь 2023'!$G$4:$G$508,'январь 2023'!$D$4:$D$508,$B115,'январь 2023'!$J$4:$J$508,S$1)</f>
        <v>0</v>
      </c>
      <c r="T115" s="207">
        <f>SUMIFS('январь 2023'!$G$4:$G$508,'январь 2023'!$D$4:$D$508,$B115,'январь 2023'!$J$4:$J$508,T$1)</f>
        <v>0</v>
      </c>
      <c r="U115" s="207">
        <f>SUMIFS('январь 2023'!$G$4:$G$508,'январь 2023'!$D$4:$D$508,$B115,'январь 2023'!$J$4:$J$508,U$1)</f>
        <v>0</v>
      </c>
      <c r="V115" s="207">
        <f>SUMIFS('январь 2023'!$G$4:$G$508,'январь 2023'!$D$4:$D$508,$B115,'январь 2023'!$J$4:$J$508,V$1)</f>
        <v>0</v>
      </c>
      <c r="W115" s="207">
        <f>SUMIFS('январь 2023'!$G$4:$G$508,'январь 2023'!$D$4:$D$508,$B115,'январь 2023'!$J$4:$J$508,W$1)</f>
        <v>0</v>
      </c>
      <c r="X115" s="207">
        <f>SUMIFS('январь 2023'!$G$4:$G$508,'январь 2023'!$D$4:$D$508,$B115,'январь 2023'!$J$4:$J$508,X$1)</f>
        <v>0</v>
      </c>
      <c r="Y115" s="207">
        <f>SUMIFS('январь 2023'!$G$4:$G$508,'январь 2023'!$D$4:$D$508,$B115,'январь 2023'!$J$4:$J$508,Y$1)</f>
        <v>0</v>
      </c>
      <c r="Z115" s="207">
        <f>SUMIFS('январь 2023'!$G$4:$G$508,'январь 2023'!$D$4:$D$508,$B115,'январь 2023'!$J$4:$J$508,Z$1)</f>
        <v>0</v>
      </c>
      <c r="AA115" s="207">
        <f>SUMIFS('январь 2023'!$G$4:$G$508,'январь 2023'!$D$4:$D$508,$B115,'январь 2023'!$J$4:$J$508,AA$1)</f>
        <v>0</v>
      </c>
      <c r="AB115" s="207">
        <f>SUMIFS('январь 2023'!$G$4:$G$508,'январь 2023'!$D$4:$D$508,$B115,'январь 2023'!$J$4:$J$508,AB$1)</f>
        <v>0</v>
      </c>
      <c r="AC115" s="207">
        <f>SUMIFS('январь 2023'!$G$4:$G$508,'январь 2023'!$D$4:$D$508,$B115,'январь 2023'!$J$4:$J$508,AC$1)</f>
        <v>0</v>
      </c>
      <c r="AD115" s="207">
        <f>SUMIFS('январь 2023'!$G$4:$G$508,'январь 2023'!$D$4:$D$508,$B115,'январь 2023'!$J$4:$J$508,AD$1)</f>
        <v>0</v>
      </c>
      <c r="AE115" s="207">
        <f>SUMIFS('январь 2023'!$G$4:$G$508,'январь 2023'!$D$4:$D$508,$B115,'январь 2023'!$J$4:$J$508,AE$1)</f>
        <v>0</v>
      </c>
      <c r="AF115" s="207">
        <f>SUMIFS('январь 2023'!$G$4:$G$508,'январь 2023'!$D$4:$D$508,$B115,'январь 2023'!$J$4:$J$508,AF$1)</f>
        <v>0</v>
      </c>
      <c r="AG115" s="207">
        <f>SUMIFS('январь 2023'!$G$4:$G$508,'январь 2023'!$D$4:$D$508,$B115,'январь 2023'!$J$4:$J$508,AG$1)</f>
        <v>0</v>
      </c>
      <c r="AH115" s="207">
        <f>SUMIFS('январь 2023'!$G$4:$G$508,'январь 2023'!$D$4:$D$508,$B115,'январь 2023'!$J$4:$J$508,AH$1)</f>
        <v>0</v>
      </c>
      <c r="AI115" s="220">
        <f t="shared" si="2"/>
        <v>0</v>
      </c>
    </row>
    <row r="116" spans="2:35" ht="15" hidden="1" customHeight="1" x14ac:dyDescent="0.25">
      <c r="B116" s="216"/>
      <c r="C116" s="213"/>
      <c r="D116" s="207">
        <f>SUMIFS('январь 2023'!$G$4:$G$508,'январь 2023'!$D$4:$D$508,$B116,'январь 2023'!$J$4:$J$508,D$1)</f>
        <v>0</v>
      </c>
      <c r="E116" s="207">
        <f>SUMIFS('январь 2023'!$G$4:$G$508,'январь 2023'!$D$4:$D$508,$B116,'январь 2023'!$J$4:$J$508,E$1)</f>
        <v>0</v>
      </c>
      <c r="F116" s="207">
        <f>SUMIFS('январь 2023'!$G$4:$G$508,'январь 2023'!$D$4:$D$508,$B116,'январь 2023'!$J$4:$J$508,F$1)</f>
        <v>0</v>
      </c>
      <c r="G116" s="207">
        <f>SUMIFS('январь 2023'!$G$4:$G$508,'январь 2023'!$D$4:$D$508,$B116,'январь 2023'!$J$4:$J$508,G$1)</f>
        <v>0</v>
      </c>
      <c r="H116" s="207">
        <f>SUMIFS('январь 2023'!$G$4:$G$508,'январь 2023'!$D$4:$D$508,$B116,'январь 2023'!$J$4:$J$508,H$1)</f>
        <v>0</v>
      </c>
      <c r="I116" s="207">
        <f>SUMIFS('январь 2023'!$G$4:$G$508,'январь 2023'!$D$4:$D$508,$B116,'январь 2023'!$J$4:$J$508,I$1)</f>
        <v>0</v>
      </c>
      <c r="J116" s="207">
        <f>SUMIFS('январь 2023'!$G$4:$G$508,'январь 2023'!$D$4:$D$508,$B116,'январь 2023'!$J$4:$J$508,J$1)</f>
        <v>0</v>
      </c>
      <c r="K116" s="207">
        <f>SUMIFS('январь 2023'!$G$4:$G$508,'январь 2023'!$D$4:$D$508,$B116,'январь 2023'!$J$4:$J$508,K$1)</f>
        <v>0</v>
      </c>
      <c r="L116" s="207">
        <f>SUMIFS('январь 2023'!$G$4:$G$508,'январь 2023'!$D$4:$D$508,$B116,'январь 2023'!$J$4:$J$508,L$1)</f>
        <v>0</v>
      </c>
      <c r="M116" s="207">
        <f>SUMIFS('январь 2023'!$G$4:$G$508,'январь 2023'!$D$4:$D$508,$B116,'январь 2023'!$J$4:$J$508,M$1)</f>
        <v>0</v>
      </c>
      <c r="N116" s="207">
        <f>SUMIFS('январь 2023'!$G$4:$G$508,'январь 2023'!$D$4:$D$508,$B116,'январь 2023'!$J$4:$J$508,N$1)</f>
        <v>0</v>
      </c>
      <c r="O116" s="207">
        <f>SUMIFS('январь 2023'!$G$4:$G$508,'январь 2023'!$D$4:$D$508,$B116,'январь 2023'!$J$4:$J$508,O$1)</f>
        <v>0</v>
      </c>
      <c r="P116" s="207">
        <f>SUMIFS('январь 2023'!$G$4:$G$508,'январь 2023'!$D$4:$D$508,$B116,'январь 2023'!$J$4:$J$508,P$1)</f>
        <v>0</v>
      </c>
      <c r="Q116" s="207">
        <f>SUMIFS('январь 2023'!$G$4:$G$508,'январь 2023'!$D$4:$D$508,$B116,'январь 2023'!$J$4:$J$508,Q$1)</f>
        <v>0</v>
      </c>
      <c r="R116" s="207">
        <f>SUMIFS('январь 2023'!$G$4:$G$508,'январь 2023'!$D$4:$D$508,$B116,'январь 2023'!$J$4:$J$508,R$1)</f>
        <v>0</v>
      </c>
      <c r="S116" s="207">
        <f>SUMIFS('январь 2023'!$G$4:$G$508,'январь 2023'!$D$4:$D$508,$B116,'январь 2023'!$J$4:$J$508,S$1)</f>
        <v>0</v>
      </c>
      <c r="T116" s="207">
        <f>SUMIFS('январь 2023'!$G$4:$G$508,'январь 2023'!$D$4:$D$508,$B116,'январь 2023'!$J$4:$J$508,T$1)</f>
        <v>0</v>
      </c>
      <c r="U116" s="207">
        <f>SUMIFS('январь 2023'!$G$4:$G$508,'январь 2023'!$D$4:$D$508,$B116,'январь 2023'!$J$4:$J$508,U$1)</f>
        <v>0</v>
      </c>
      <c r="V116" s="207">
        <f>SUMIFS('январь 2023'!$G$4:$G$508,'январь 2023'!$D$4:$D$508,$B116,'январь 2023'!$J$4:$J$508,V$1)</f>
        <v>0</v>
      </c>
      <c r="W116" s="207">
        <f>SUMIFS('январь 2023'!$G$4:$G$508,'январь 2023'!$D$4:$D$508,$B116,'январь 2023'!$J$4:$J$508,W$1)</f>
        <v>0</v>
      </c>
      <c r="X116" s="207">
        <f>SUMIFS('январь 2023'!$G$4:$G$508,'январь 2023'!$D$4:$D$508,$B116,'январь 2023'!$J$4:$J$508,X$1)</f>
        <v>0</v>
      </c>
      <c r="Y116" s="207">
        <f>SUMIFS('январь 2023'!$G$4:$G$508,'январь 2023'!$D$4:$D$508,$B116,'январь 2023'!$J$4:$J$508,Y$1)</f>
        <v>0</v>
      </c>
      <c r="Z116" s="207">
        <f>SUMIFS('январь 2023'!$G$4:$G$508,'январь 2023'!$D$4:$D$508,$B116,'январь 2023'!$J$4:$J$508,Z$1)</f>
        <v>0</v>
      </c>
      <c r="AA116" s="207">
        <f>SUMIFS('январь 2023'!$G$4:$G$508,'январь 2023'!$D$4:$D$508,$B116,'январь 2023'!$J$4:$J$508,AA$1)</f>
        <v>0</v>
      </c>
      <c r="AB116" s="207">
        <f>SUMIFS('январь 2023'!$G$4:$G$508,'январь 2023'!$D$4:$D$508,$B116,'январь 2023'!$J$4:$J$508,AB$1)</f>
        <v>0</v>
      </c>
      <c r="AC116" s="207">
        <f>SUMIFS('январь 2023'!$G$4:$G$508,'январь 2023'!$D$4:$D$508,$B116,'январь 2023'!$J$4:$J$508,AC$1)</f>
        <v>0</v>
      </c>
      <c r="AD116" s="207">
        <f>SUMIFS('январь 2023'!$G$4:$G$508,'январь 2023'!$D$4:$D$508,$B116,'январь 2023'!$J$4:$J$508,AD$1)</f>
        <v>0</v>
      </c>
      <c r="AE116" s="207">
        <f>SUMIFS('январь 2023'!$G$4:$G$508,'январь 2023'!$D$4:$D$508,$B116,'январь 2023'!$J$4:$J$508,AE$1)</f>
        <v>0</v>
      </c>
      <c r="AF116" s="207">
        <f>SUMIFS('январь 2023'!$G$4:$G$508,'январь 2023'!$D$4:$D$508,$B116,'январь 2023'!$J$4:$J$508,AF$1)</f>
        <v>0</v>
      </c>
      <c r="AG116" s="207">
        <f>SUMIFS('январь 2023'!$G$4:$G$508,'январь 2023'!$D$4:$D$508,$B116,'январь 2023'!$J$4:$J$508,AG$1)</f>
        <v>0</v>
      </c>
      <c r="AH116" s="207">
        <f>SUMIFS('январь 2023'!$G$4:$G$508,'январь 2023'!$D$4:$D$508,$B116,'январь 2023'!$J$4:$J$508,AH$1)</f>
        <v>0</v>
      </c>
      <c r="AI116" s="220">
        <f t="shared" si="2"/>
        <v>0</v>
      </c>
    </row>
    <row r="117" spans="2:35" ht="15" hidden="1" customHeight="1" x14ac:dyDescent="0.25">
      <c r="B117" s="212"/>
      <c r="C117" s="211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20"/>
    </row>
    <row r="118" spans="2:35" ht="15" hidden="1" customHeight="1" x14ac:dyDescent="0.25">
      <c r="B118" s="217"/>
      <c r="C118" s="213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20"/>
    </row>
    <row r="119" spans="2:35" ht="15" hidden="1" customHeight="1" x14ac:dyDescent="0.25">
      <c r="B119" s="212"/>
      <c r="C119" s="213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20"/>
    </row>
    <row r="120" spans="2:35" ht="15" hidden="1" customHeight="1" x14ac:dyDescent="0.25">
      <c r="B120" s="212"/>
      <c r="C120" s="211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20"/>
    </row>
    <row r="121" spans="2:35" ht="15" hidden="1" customHeight="1" x14ac:dyDescent="0.25">
      <c r="B121" s="212"/>
      <c r="C121" s="211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20"/>
    </row>
    <row r="122" spans="2:35" ht="15" hidden="1" customHeight="1" x14ac:dyDescent="0.25">
      <c r="B122" s="212"/>
      <c r="C122" s="211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20"/>
    </row>
    <row r="123" spans="2:35" ht="15" hidden="1" customHeight="1" x14ac:dyDescent="0.25">
      <c r="B123" s="216"/>
      <c r="C123" s="213"/>
      <c r="D123" s="207">
        <f>SUMIFS('январь 2023'!$G$4:$G$508,'январь 2023'!$D$4:$D$508,$B123,'январь 2023'!$J$4:$J$508,D$1)</f>
        <v>0</v>
      </c>
      <c r="E123" s="207">
        <f>SUMIFS('январь 2023'!$G$4:$G$508,'январь 2023'!$D$4:$D$508,$B123,'январь 2023'!$J$4:$J$508,E$1)</f>
        <v>0</v>
      </c>
      <c r="F123" s="207">
        <f>SUMIFS('январь 2023'!$G$4:$G$508,'январь 2023'!$D$4:$D$508,$B123,'январь 2023'!$J$4:$J$508,F$1)</f>
        <v>0</v>
      </c>
      <c r="G123" s="207">
        <f>SUMIFS('январь 2023'!$G$4:$G$508,'январь 2023'!$D$4:$D$508,$B123,'январь 2023'!$J$4:$J$508,G$1)</f>
        <v>0</v>
      </c>
      <c r="H123" s="207">
        <f>SUMIFS('январь 2023'!$G$4:$G$508,'январь 2023'!$D$4:$D$508,$B123,'январь 2023'!$J$4:$J$508,H$1)</f>
        <v>0</v>
      </c>
      <c r="I123" s="207">
        <f>SUMIFS('январь 2023'!$G$4:$G$508,'январь 2023'!$D$4:$D$508,$B123,'январь 2023'!$J$4:$J$508,I$1)</f>
        <v>0</v>
      </c>
      <c r="J123" s="207">
        <f>SUMIFS('январь 2023'!$G$4:$G$508,'январь 2023'!$D$4:$D$508,$B123,'январь 2023'!$J$4:$J$508,J$1)</f>
        <v>0</v>
      </c>
      <c r="K123" s="207">
        <f>SUMIFS('январь 2023'!$G$4:$G$508,'январь 2023'!$D$4:$D$508,$B123,'январь 2023'!$J$4:$J$508,K$1)</f>
        <v>0</v>
      </c>
      <c r="L123" s="207">
        <f>SUMIFS('январь 2023'!$G$4:$G$508,'январь 2023'!$D$4:$D$508,$B123,'январь 2023'!$J$4:$J$508,L$1)</f>
        <v>0</v>
      </c>
      <c r="M123" s="207">
        <f>SUMIFS('январь 2023'!$G$4:$G$508,'январь 2023'!$D$4:$D$508,$B123,'январь 2023'!$J$4:$J$508,M$1)</f>
        <v>0</v>
      </c>
      <c r="N123" s="207">
        <f>SUMIFS('январь 2023'!$G$4:$G$508,'январь 2023'!$D$4:$D$508,$B123,'январь 2023'!$J$4:$J$508,N$1)</f>
        <v>0</v>
      </c>
      <c r="O123" s="207">
        <f>SUMIFS('январь 2023'!$G$4:$G$508,'январь 2023'!$D$4:$D$508,$B123,'январь 2023'!$J$4:$J$508,O$1)</f>
        <v>0</v>
      </c>
      <c r="P123" s="207">
        <f>SUMIFS('январь 2023'!$G$4:$G$508,'январь 2023'!$D$4:$D$508,$B123,'январь 2023'!$J$4:$J$508,P$1)</f>
        <v>0</v>
      </c>
      <c r="Q123" s="207">
        <f>SUMIFS('январь 2023'!$G$4:$G$508,'январь 2023'!$D$4:$D$508,$B123,'январь 2023'!$J$4:$J$508,Q$1)</f>
        <v>0</v>
      </c>
      <c r="R123" s="207">
        <f>SUMIFS('январь 2023'!$G$4:$G$508,'январь 2023'!$D$4:$D$508,$B123,'январь 2023'!$J$4:$J$508,R$1)</f>
        <v>0</v>
      </c>
      <c r="S123" s="207">
        <f>SUMIFS('январь 2023'!$G$4:$G$508,'январь 2023'!$D$4:$D$508,$B123,'январь 2023'!$J$4:$J$508,S$1)</f>
        <v>0</v>
      </c>
      <c r="T123" s="207">
        <f>SUMIFS('январь 2023'!$G$4:$G$508,'январь 2023'!$D$4:$D$508,$B123,'январь 2023'!$J$4:$J$508,T$1)</f>
        <v>0</v>
      </c>
      <c r="U123" s="207">
        <f>SUMIFS('январь 2023'!$G$4:$G$508,'январь 2023'!$D$4:$D$508,$B123,'январь 2023'!$J$4:$J$508,U$1)</f>
        <v>0</v>
      </c>
      <c r="V123" s="207">
        <f>SUMIFS('январь 2023'!$G$4:$G$508,'январь 2023'!$D$4:$D$508,$B123,'январь 2023'!$J$4:$J$508,V$1)</f>
        <v>0</v>
      </c>
      <c r="W123" s="207">
        <f>SUMIFS('январь 2023'!$G$4:$G$508,'январь 2023'!$D$4:$D$508,$B123,'январь 2023'!$J$4:$J$508,W$1)</f>
        <v>0</v>
      </c>
      <c r="X123" s="207">
        <f>SUMIFS('январь 2023'!$G$4:$G$508,'январь 2023'!$D$4:$D$508,$B123,'январь 2023'!$J$4:$J$508,X$1)</f>
        <v>0</v>
      </c>
      <c r="Y123" s="207">
        <f>SUMIFS('январь 2023'!$G$4:$G$508,'январь 2023'!$D$4:$D$508,$B123,'январь 2023'!$J$4:$J$508,Y$1)</f>
        <v>0</v>
      </c>
      <c r="Z123" s="207">
        <f>SUMIFS('январь 2023'!$G$4:$G$508,'январь 2023'!$D$4:$D$508,$B123,'январь 2023'!$J$4:$J$508,Z$1)</f>
        <v>0</v>
      </c>
      <c r="AA123" s="207">
        <f>SUMIFS('январь 2023'!$G$4:$G$508,'январь 2023'!$D$4:$D$508,$B123,'январь 2023'!$J$4:$J$508,AA$1)</f>
        <v>0</v>
      </c>
      <c r="AB123" s="207">
        <f>SUMIFS('январь 2023'!$G$4:$G$508,'январь 2023'!$D$4:$D$508,$B123,'январь 2023'!$J$4:$J$508,AB$1)</f>
        <v>0</v>
      </c>
      <c r="AC123" s="207">
        <f>SUMIFS('январь 2023'!$G$4:$G$508,'январь 2023'!$D$4:$D$508,$B123,'январь 2023'!$J$4:$J$508,AC$1)</f>
        <v>0</v>
      </c>
      <c r="AD123" s="207">
        <f>SUMIFS('январь 2023'!$G$4:$G$508,'январь 2023'!$D$4:$D$508,$B123,'январь 2023'!$J$4:$J$508,AD$1)</f>
        <v>0</v>
      </c>
      <c r="AE123" s="207">
        <f>SUMIFS('январь 2023'!$G$4:$G$508,'январь 2023'!$D$4:$D$508,$B123,'январь 2023'!$J$4:$J$508,AE$1)</f>
        <v>0</v>
      </c>
      <c r="AF123" s="207">
        <f>SUMIFS('январь 2023'!$G$4:$G$508,'январь 2023'!$D$4:$D$508,$B123,'январь 2023'!$J$4:$J$508,AF$1)</f>
        <v>0</v>
      </c>
      <c r="AG123" s="207">
        <f>SUMIFS('январь 2023'!$G$4:$G$508,'январь 2023'!$D$4:$D$508,$B123,'январь 2023'!$J$4:$J$508,AG$1)</f>
        <v>0</v>
      </c>
      <c r="AH123" s="207">
        <f>SUMIFS('январь 2023'!$G$4:$G$508,'январь 2023'!$D$4:$D$508,$B123,'январь 2023'!$J$4:$J$508,AH$1)</f>
        <v>0</v>
      </c>
      <c r="AI123" s="220">
        <f t="shared" si="2"/>
        <v>0</v>
      </c>
    </row>
    <row r="124" spans="2:35" ht="15" hidden="1" customHeight="1" x14ac:dyDescent="0.25">
      <c r="B124" s="216"/>
      <c r="C124" s="213"/>
      <c r="D124" s="207">
        <f>SUMIFS('январь 2023'!$G$4:$G$508,'январь 2023'!$D$4:$D$508,$B124,'январь 2023'!$J$4:$J$508,D$1)</f>
        <v>0</v>
      </c>
      <c r="E124" s="207">
        <f>SUMIFS('январь 2023'!$G$4:$G$508,'январь 2023'!$D$4:$D$508,$B124,'январь 2023'!$J$4:$J$508,E$1)</f>
        <v>0</v>
      </c>
      <c r="F124" s="207">
        <f>SUMIFS('январь 2023'!$G$4:$G$508,'январь 2023'!$D$4:$D$508,$B124,'январь 2023'!$J$4:$J$508,F$1)</f>
        <v>0</v>
      </c>
      <c r="G124" s="207">
        <f>SUMIFS('январь 2023'!$G$4:$G$508,'январь 2023'!$D$4:$D$508,$B124,'январь 2023'!$J$4:$J$508,G$1)</f>
        <v>0</v>
      </c>
      <c r="H124" s="207">
        <f>SUMIFS('январь 2023'!$G$4:$G$508,'январь 2023'!$D$4:$D$508,$B124,'январь 2023'!$J$4:$J$508,H$1)</f>
        <v>0</v>
      </c>
      <c r="I124" s="207">
        <f>SUMIFS('январь 2023'!$G$4:$G$508,'январь 2023'!$D$4:$D$508,$B124,'январь 2023'!$J$4:$J$508,I$1)</f>
        <v>0</v>
      </c>
      <c r="J124" s="207">
        <f>SUMIFS('январь 2023'!$G$4:$G$508,'январь 2023'!$D$4:$D$508,$B124,'январь 2023'!$J$4:$J$508,J$1)</f>
        <v>0</v>
      </c>
      <c r="K124" s="207">
        <f>SUMIFS('январь 2023'!$G$4:$G$508,'январь 2023'!$D$4:$D$508,$B124,'январь 2023'!$J$4:$J$508,K$1)</f>
        <v>0</v>
      </c>
      <c r="L124" s="207">
        <f>SUMIFS('январь 2023'!$G$4:$G$508,'январь 2023'!$D$4:$D$508,$B124,'январь 2023'!$J$4:$J$508,L$1)</f>
        <v>0</v>
      </c>
      <c r="M124" s="207">
        <f>SUMIFS('январь 2023'!$G$4:$G$508,'январь 2023'!$D$4:$D$508,$B124,'январь 2023'!$J$4:$J$508,M$1)</f>
        <v>0</v>
      </c>
      <c r="N124" s="207">
        <f>SUMIFS('январь 2023'!$G$4:$G$508,'январь 2023'!$D$4:$D$508,$B124,'январь 2023'!$J$4:$J$508,N$1)</f>
        <v>0</v>
      </c>
      <c r="O124" s="207">
        <f>SUMIFS('январь 2023'!$G$4:$G$508,'январь 2023'!$D$4:$D$508,$B124,'январь 2023'!$J$4:$J$508,O$1)</f>
        <v>0</v>
      </c>
      <c r="P124" s="207">
        <f>SUMIFS('январь 2023'!$G$4:$G$508,'январь 2023'!$D$4:$D$508,$B124,'январь 2023'!$J$4:$J$508,P$1)</f>
        <v>0</v>
      </c>
      <c r="Q124" s="207">
        <f>SUMIFS('январь 2023'!$G$4:$G$508,'январь 2023'!$D$4:$D$508,$B124,'январь 2023'!$J$4:$J$508,Q$1)</f>
        <v>0</v>
      </c>
      <c r="R124" s="207">
        <f>SUMIFS('январь 2023'!$G$4:$G$508,'январь 2023'!$D$4:$D$508,$B124,'январь 2023'!$J$4:$J$508,R$1)</f>
        <v>0</v>
      </c>
      <c r="S124" s="207">
        <f>SUMIFS('январь 2023'!$G$4:$G$508,'январь 2023'!$D$4:$D$508,$B124,'январь 2023'!$J$4:$J$508,S$1)</f>
        <v>0</v>
      </c>
      <c r="T124" s="207">
        <f>SUMIFS('январь 2023'!$G$4:$G$508,'январь 2023'!$D$4:$D$508,$B124,'январь 2023'!$J$4:$J$508,T$1)</f>
        <v>0</v>
      </c>
      <c r="U124" s="207">
        <f>SUMIFS('январь 2023'!$G$4:$G$508,'январь 2023'!$D$4:$D$508,$B124,'январь 2023'!$J$4:$J$508,U$1)</f>
        <v>0</v>
      </c>
      <c r="V124" s="207">
        <f>SUMIFS('январь 2023'!$G$4:$G$508,'январь 2023'!$D$4:$D$508,$B124,'январь 2023'!$J$4:$J$508,V$1)</f>
        <v>0</v>
      </c>
      <c r="W124" s="207">
        <f>SUMIFS('январь 2023'!$G$4:$G$508,'январь 2023'!$D$4:$D$508,$B124,'январь 2023'!$J$4:$J$508,W$1)</f>
        <v>0</v>
      </c>
      <c r="X124" s="207">
        <f>SUMIFS('январь 2023'!$G$4:$G$508,'январь 2023'!$D$4:$D$508,$B124,'январь 2023'!$J$4:$J$508,X$1)</f>
        <v>0</v>
      </c>
      <c r="Y124" s="207">
        <f>SUMIFS('январь 2023'!$G$4:$G$508,'январь 2023'!$D$4:$D$508,$B124,'январь 2023'!$J$4:$J$508,Y$1)</f>
        <v>0</v>
      </c>
      <c r="Z124" s="207">
        <f>SUMIFS('январь 2023'!$G$4:$G$508,'январь 2023'!$D$4:$D$508,$B124,'январь 2023'!$J$4:$J$508,Z$1)</f>
        <v>0</v>
      </c>
      <c r="AA124" s="207">
        <f>SUMIFS('январь 2023'!$G$4:$G$508,'январь 2023'!$D$4:$D$508,$B124,'январь 2023'!$J$4:$J$508,AA$1)</f>
        <v>0</v>
      </c>
      <c r="AB124" s="207">
        <f>SUMIFS('январь 2023'!$G$4:$G$508,'январь 2023'!$D$4:$D$508,$B124,'январь 2023'!$J$4:$J$508,AB$1)</f>
        <v>0</v>
      </c>
      <c r="AC124" s="207">
        <f>SUMIFS('январь 2023'!$G$4:$G$508,'январь 2023'!$D$4:$D$508,$B124,'январь 2023'!$J$4:$J$508,AC$1)</f>
        <v>0</v>
      </c>
      <c r="AD124" s="207">
        <f>SUMIFS('январь 2023'!$G$4:$G$508,'январь 2023'!$D$4:$D$508,$B124,'январь 2023'!$J$4:$J$508,AD$1)</f>
        <v>0</v>
      </c>
      <c r="AE124" s="207">
        <f>SUMIFS('январь 2023'!$G$4:$G$508,'январь 2023'!$D$4:$D$508,$B124,'январь 2023'!$J$4:$J$508,AE$1)</f>
        <v>0</v>
      </c>
      <c r="AF124" s="207">
        <f>SUMIFS('январь 2023'!$G$4:$G$508,'январь 2023'!$D$4:$D$508,$B124,'январь 2023'!$J$4:$J$508,AF$1)</f>
        <v>0</v>
      </c>
      <c r="AG124" s="207">
        <f>SUMIFS('январь 2023'!$G$4:$G$508,'январь 2023'!$D$4:$D$508,$B124,'январь 2023'!$J$4:$J$508,AG$1)</f>
        <v>0</v>
      </c>
      <c r="AH124" s="207">
        <f>SUMIFS('январь 2023'!$G$4:$G$508,'январь 2023'!$D$4:$D$508,$B124,'январь 2023'!$J$4:$J$508,AH$1)</f>
        <v>0</v>
      </c>
      <c r="AI124" s="220">
        <f t="shared" si="2"/>
        <v>0</v>
      </c>
    </row>
    <row r="125" spans="2:35" ht="15" hidden="1" customHeight="1" x14ac:dyDescent="0.25">
      <c r="B125" s="216"/>
      <c r="C125" s="213"/>
      <c r="D125" s="207">
        <f>SUMIFS('январь 2023'!$G$4:$G$508,'январь 2023'!$D$4:$D$508,$B125,'январь 2023'!$J$4:$J$508,D$1)</f>
        <v>0</v>
      </c>
      <c r="E125" s="207">
        <f>SUMIFS('январь 2023'!$G$4:$G$508,'январь 2023'!$D$4:$D$508,$B125,'январь 2023'!$J$4:$J$508,E$1)</f>
        <v>0</v>
      </c>
      <c r="F125" s="207">
        <f>SUMIFS('январь 2023'!$G$4:$G$508,'январь 2023'!$D$4:$D$508,$B125,'январь 2023'!$J$4:$J$508,F$1)</f>
        <v>0</v>
      </c>
      <c r="G125" s="207">
        <f>SUMIFS('январь 2023'!$G$4:$G$508,'январь 2023'!$D$4:$D$508,$B125,'январь 2023'!$J$4:$J$508,G$1)</f>
        <v>0</v>
      </c>
      <c r="H125" s="207">
        <f>SUMIFS('январь 2023'!$G$4:$G$508,'январь 2023'!$D$4:$D$508,$B125,'январь 2023'!$J$4:$J$508,H$1)</f>
        <v>0</v>
      </c>
      <c r="I125" s="207">
        <f>SUMIFS('январь 2023'!$G$4:$G$508,'январь 2023'!$D$4:$D$508,$B125,'январь 2023'!$J$4:$J$508,I$1)</f>
        <v>0</v>
      </c>
      <c r="J125" s="207">
        <f>SUMIFS('январь 2023'!$G$4:$G$508,'январь 2023'!$D$4:$D$508,$B125,'январь 2023'!$J$4:$J$508,J$1)</f>
        <v>0</v>
      </c>
      <c r="K125" s="207">
        <f>SUMIFS('январь 2023'!$G$4:$G$508,'январь 2023'!$D$4:$D$508,$B125,'январь 2023'!$J$4:$J$508,K$1)</f>
        <v>0</v>
      </c>
      <c r="L125" s="207">
        <f>SUMIFS('январь 2023'!$G$4:$G$508,'январь 2023'!$D$4:$D$508,$B125,'январь 2023'!$J$4:$J$508,L$1)</f>
        <v>0</v>
      </c>
      <c r="M125" s="207">
        <f>SUMIFS('январь 2023'!$G$4:$G$508,'январь 2023'!$D$4:$D$508,$B125,'январь 2023'!$J$4:$J$508,M$1)</f>
        <v>0</v>
      </c>
      <c r="N125" s="207">
        <f>SUMIFS('январь 2023'!$G$4:$G$508,'январь 2023'!$D$4:$D$508,$B125,'январь 2023'!$J$4:$J$508,N$1)</f>
        <v>0</v>
      </c>
      <c r="O125" s="207">
        <f>SUMIFS('январь 2023'!$G$4:$G$508,'январь 2023'!$D$4:$D$508,$B125,'январь 2023'!$J$4:$J$508,O$1)</f>
        <v>0</v>
      </c>
      <c r="P125" s="207">
        <f>SUMIFS('январь 2023'!$G$4:$G$508,'январь 2023'!$D$4:$D$508,$B125,'январь 2023'!$J$4:$J$508,P$1)</f>
        <v>0</v>
      </c>
      <c r="Q125" s="207">
        <f>SUMIFS('январь 2023'!$G$4:$G$508,'январь 2023'!$D$4:$D$508,$B125,'январь 2023'!$J$4:$J$508,Q$1)</f>
        <v>0</v>
      </c>
      <c r="R125" s="207">
        <f>SUMIFS('январь 2023'!$G$4:$G$508,'январь 2023'!$D$4:$D$508,$B125,'январь 2023'!$J$4:$J$508,R$1)</f>
        <v>0</v>
      </c>
      <c r="S125" s="207">
        <f>SUMIFS('январь 2023'!$G$4:$G$508,'январь 2023'!$D$4:$D$508,$B125,'январь 2023'!$J$4:$J$508,S$1)</f>
        <v>0</v>
      </c>
      <c r="T125" s="207">
        <f>SUMIFS('январь 2023'!$G$4:$G$508,'январь 2023'!$D$4:$D$508,$B125,'январь 2023'!$J$4:$J$508,T$1)</f>
        <v>0</v>
      </c>
      <c r="U125" s="207">
        <f>SUMIFS('январь 2023'!$G$4:$G$508,'январь 2023'!$D$4:$D$508,$B125,'январь 2023'!$J$4:$J$508,U$1)</f>
        <v>0</v>
      </c>
      <c r="V125" s="207">
        <f>SUMIFS('январь 2023'!$G$4:$G$508,'январь 2023'!$D$4:$D$508,$B125,'январь 2023'!$J$4:$J$508,V$1)</f>
        <v>0</v>
      </c>
      <c r="W125" s="207">
        <f>SUMIFS('январь 2023'!$G$4:$G$508,'январь 2023'!$D$4:$D$508,$B125,'январь 2023'!$J$4:$J$508,W$1)</f>
        <v>0</v>
      </c>
      <c r="X125" s="207">
        <f>SUMIFS('январь 2023'!$G$4:$G$508,'январь 2023'!$D$4:$D$508,$B125,'январь 2023'!$J$4:$J$508,X$1)</f>
        <v>0</v>
      </c>
      <c r="Y125" s="207">
        <f>SUMIFS('январь 2023'!$G$4:$G$508,'январь 2023'!$D$4:$D$508,$B125,'январь 2023'!$J$4:$J$508,Y$1)</f>
        <v>0</v>
      </c>
      <c r="Z125" s="207">
        <f>SUMIFS('январь 2023'!$G$4:$G$508,'январь 2023'!$D$4:$D$508,$B125,'январь 2023'!$J$4:$J$508,Z$1)</f>
        <v>0</v>
      </c>
      <c r="AA125" s="207">
        <f>SUMIFS('январь 2023'!$G$4:$G$508,'январь 2023'!$D$4:$D$508,$B125,'январь 2023'!$J$4:$J$508,AA$1)</f>
        <v>0</v>
      </c>
      <c r="AB125" s="207">
        <f>SUMIFS('январь 2023'!$G$4:$G$508,'январь 2023'!$D$4:$D$508,$B125,'январь 2023'!$J$4:$J$508,AB$1)</f>
        <v>0</v>
      </c>
      <c r="AC125" s="207">
        <f>SUMIFS('январь 2023'!$G$4:$G$508,'январь 2023'!$D$4:$D$508,$B125,'январь 2023'!$J$4:$J$508,AC$1)</f>
        <v>0</v>
      </c>
      <c r="AD125" s="207">
        <f>SUMIFS('январь 2023'!$G$4:$G$508,'январь 2023'!$D$4:$D$508,$B125,'январь 2023'!$J$4:$J$508,AD$1)</f>
        <v>0</v>
      </c>
      <c r="AE125" s="207">
        <f>SUMIFS('январь 2023'!$G$4:$G$508,'январь 2023'!$D$4:$D$508,$B125,'январь 2023'!$J$4:$J$508,AE$1)</f>
        <v>0</v>
      </c>
      <c r="AF125" s="207">
        <f>SUMIFS('январь 2023'!$G$4:$G$508,'январь 2023'!$D$4:$D$508,$B125,'январь 2023'!$J$4:$J$508,AF$1)</f>
        <v>0</v>
      </c>
      <c r="AG125" s="207">
        <f>SUMIFS('январь 2023'!$G$4:$G$508,'январь 2023'!$D$4:$D$508,$B125,'январь 2023'!$J$4:$J$508,AG$1)</f>
        <v>0</v>
      </c>
      <c r="AH125" s="207">
        <f>SUMIFS('январь 2023'!$G$4:$G$508,'январь 2023'!$D$4:$D$508,$B125,'январь 2023'!$J$4:$J$508,AH$1)</f>
        <v>0</v>
      </c>
      <c r="AI125" s="220">
        <f t="shared" si="2"/>
        <v>0</v>
      </c>
    </row>
    <row r="126" spans="2:35" ht="15" hidden="1" customHeight="1" x14ac:dyDescent="0.25">
      <c r="B126" s="212"/>
      <c r="C126" s="211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20"/>
    </row>
    <row r="127" spans="2:35" ht="15" hidden="1" customHeight="1" x14ac:dyDescent="0.25">
      <c r="B127" s="212"/>
      <c r="C127" s="211"/>
      <c r="D127" s="207">
        <f>SUMIFS('январь 2023'!$G$4:$G$508,'январь 2023'!$D$4:$D$508,$B127,'январь 2023'!$J$4:$J$508,D$1)</f>
        <v>0</v>
      </c>
      <c r="E127" s="207">
        <f>SUMIFS('январь 2023'!$G$4:$G$508,'январь 2023'!$D$4:$D$508,$B127,'январь 2023'!$J$4:$J$508,E$1)</f>
        <v>0</v>
      </c>
      <c r="F127" s="207">
        <f>SUMIFS('январь 2023'!$G$4:$G$508,'январь 2023'!$D$4:$D$508,$B127,'январь 2023'!$J$4:$J$508,F$1)</f>
        <v>0</v>
      </c>
      <c r="G127" s="207">
        <f>SUMIFS('январь 2023'!$G$4:$G$508,'январь 2023'!$D$4:$D$508,$B127,'январь 2023'!$J$4:$J$508,G$1)</f>
        <v>0</v>
      </c>
      <c r="H127" s="207">
        <f>SUMIFS('январь 2023'!$G$4:$G$508,'январь 2023'!$D$4:$D$508,$B127,'январь 2023'!$J$4:$J$508,H$1)</f>
        <v>0</v>
      </c>
      <c r="I127" s="207">
        <f>SUMIFS('январь 2023'!$G$4:$G$508,'январь 2023'!$D$4:$D$508,$B127,'январь 2023'!$J$4:$J$508,I$1)</f>
        <v>0</v>
      </c>
      <c r="J127" s="207">
        <f>SUMIFS('январь 2023'!$G$4:$G$508,'январь 2023'!$D$4:$D$508,$B127,'январь 2023'!$J$4:$J$508,J$1)</f>
        <v>0</v>
      </c>
      <c r="K127" s="207">
        <f>SUMIFS('январь 2023'!$G$4:$G$508,'январь 2023'!$D$4:$D$508,$B127,'январь 2023'!$J$4:$J$508,K$1)</f>
        <v>0</v>
      </c>
      <c r="L127" s="207">
        <f>SUMIFS('январь 2023'!$G$4:$G$508,'январь 2023'!$D$4:$D$508,$B127,'январь 2023'!$J$4:$J$508,L$1)</f>
        <v>0</v>
      </c>
      <c r="M127" s="207">
        <f>SUMIFS('январь 2023'!$G$4:$G$508,'январь 2023'!$D$4:$D$508,$B127,'январь 2023'!$J$4:$J$508,M$1)</f>
        <v>0</v>
      </c>
      <c r="N127" s="207">
        <f>SUMIFS('январь 2023'!$G$4:$G$508,'январь 2023'!$D$4:$D$508,$B127,'январь 2023'!$J$4:$J$508,N$1)</f>
        <v>0</v>
      </c>
      <c r="O127" s="207">
        <f>SUMIFS('январь 2023'!$G$4:$G$508,'январь 2023'!$D$4:$D$508,$B127,'январь 2023'!$J$4:$J$508,O$1)</f>
        <v>0</v>
      </c>
      <c r="P127" s="207">
        <f>SUMIFS('январь 2023'!$G$4:$G$508,'январь 2023'!$D$4:$D$508,$B127,'январь 2023'!$J$4:$J$508,P$1)</f>
        <v>0</v>
      </c>
      <c r="Q127" s="207">
        <f>SUMIFS('январь 2023'!$G$4:$G$508,'январь 2023'!$D$4:$D$508,$B127,'январь 2023'!$J$4:$J$508,Q$1)</f>
        <v>0</v>
      </c>
      <c r="R127" s="207">
        <f>SUMIFS('январь 2023'!$G$4:$G$508,'январь 2023'!$D$4:$D$508,$B127,'январь 2023'!$J$4:$J$508,R$1)</f>
        <v>0</v>
      </c>
      <c r="S127" s="207">
        <f>SUMIFS('январь 2023'!$G$4:$G$508,'январь 2023'!$D$4:$D$508,$B127,'январь 2023'!$J$4:$J$508,S$1)</f>
        <v>0</v>
      </c>
      <c r="T127" s="207">
        <f>SUMIFS('январь 2023'!$G$4:$G$508,'январь 2023'!$D$4:$D$508,$B127,'январь 2023'!$J$4:$J$508,T$1)</f>
        <v>0</v>
      </c>
      <c r="U127" s="207">
        <f>SUMIFS('январь 2023'!$G$4:$G$508,'январь 2023'!$D$4:$D$508,$B127,'январь 2023'!$J$4:$J$508,U$1)</f>
        <v>0</v>
      </c>
      <c r="V127" s="207">
        <f>SUMIFS('январь 2023'!$G$4:$G$508,'январь 2023'!$D$4:$D$508,$B127,'январь 2023'!$J$4:$J$508,V$1)</f>
        <v>0</v>
      </c>
      <c r="W127" s="207">
        <f>SUMIFS('январь 2023'!$G$4:$G$508,'январь 2023'!$D$4:$D$508,$B127,'январь 2023'!$J$4:$J$508,W$1)</f>
        <v>0</v>
      </c>
      <c r="X127" s="207">
        <f>SUMIFS('январь 2023'!$G$4:$G$508,'январь 2023'!$D$4:$D$508,$B127,'январь 2023'!$J$4:$J$508,X$1)</f>
        <v>0</v>
      </c>
      <c r="Y127" s="207">
        <f>SUMIFS('январь 2023'!$G$4:$G$508,'январь 2023'!$D$4:$D$508,$B127,'январь 2023'!$J$4:$J$508,Y$1)</f>
        <v>0</v>
      </c>
      <c r="Z127" s="207">
        <f>SUMIFS('январь 2023'!$G$4:$G$508,'январь 2023'!$D$4:$D$508,$B127,'январь 2023'!$J$4:$J$508,Z$1)</f>
        <v>0</v>
      </c>
      <c r="AA127" s="207">
        <f>SUMIFS('январь 2023'!$G$4:$G$508,'январь 2023'!$D$4:$D$508,$B127,'январь 2023'!$J$4:$J$508,AA$1)</f>
        <v>0</v>
      </c>
      <c r="AB127" s="207">
        <f>SUMIFS('январь 2023'!$G$4:$G$508,'январь 2023'!$D$4:$D$508,$B127,'январь 2023'!$J$4:$J$508,AB$1)</f>
        <v>0</v>
      </c>
      <c r="AC127" s="207">
        <f>SUMIFS('январь 2023'!$G$4:$G$508,'январь 2023'!$D$4:$D$508,$B127,'январь 2023'!$J$4:$J$508,AC$1)</f>
        <v>0</v>
      </c>
      <c r="AD127" s="207">
        <f>SUMIFS('январь 2023'!$G$4:$G$508,'январь 2023'!$D$4:$D$508,$B127,'январь 2023'!$J$4:$J$508,AD$1)</f>
        <v>0</v>
      </c>
      <c r="AE127" s="207">
        <f>SUMIFS('январь 2023'!$G$4:$G$508,'январь 2023'!$D$4:$D$508,$B127,'январь 2023'!$J$4:$J$508,AE$1)</f>
        <v>0</v>
      </c>
      <c r="AF127" s="207">
        <f>SUMIFS('январь 2023'!$G$4:$G$508,'январь 2023'!$D$4:$D$508,$B127,'январь 2023'!$J$4:$J$508,AF$1)</f>
        <v>0</v>
      </c>
      <c r="AG127" s="207">
        <f>SUMIFS('январь 2023'!$G$4:$G$508,'январь 2023'!$D$4:$D$508,$B127,'январь 2023'!$J$4:$J$508,AG$1)</f>
        <v>0</v>
      </c>
      <c r="AH127" s="207">
        <f>SUMIFS('январь 2023'!$G$4:$G$508,'январь 2023'!$D$4:$D$508,$B127,'январь 2023'!$J$4:$J$508,AH$1)</f>
        <v>0</v>
      </c>
      <c r="AI127" s="220">
        <f t="shared" si="2"/>
        <v>0</v>
      </c>
    </row>
    <row r="128" spans="2:35" ht="15" hidden="1" customHeight="1" x14ac:dyDescent="0.25">
      <c r="B128" s="212"/>
      <c r="C128" s="211"/>
      <c r="D128" s="207">
        <f>SUMIFS('январь 2023'!$G$4:$G$508,'январь 2023'!$D$4:$D$508,$B128,'январь 2023'!$J$4:$J$508,D$1)</f>
        <v>0</v>
      </c>
      <c r="E128" s="207">
        <f>SUMIFS('январь 2023'!$G$4:$G$508,'январь 2023'!$D$4:$D$508,$B128,'январь 2023'!$J$4:$J$508,E$1)</f>
        <v>0</v>
      </c>
      <c r="F128" s="207">
        <f>SUMIFS('январь 2023'!$G$4:$G$508,'январь 2023'!$D$4:$D$508,$B128,'январь 2023'!$J$4:$J$508,F$1)</f>
        <v>0</v>
      </c>
      <c r="G128" s="207">
        <f>SUMIFS('январь 2023'!$G$4:$G$508,'январь 2023'!$D$4:$D$508,$B128,'январь 2023'!$J$4:$J$508,G$1)</f>
        <v>0</v>
      </c>
      <c r="H128" s="207">
        <f>SUMIFS('январь 2023'!$G$4:$G$508,'январь 2023'!$D$4:$D$508,$B128,'январь 2023'!$J$4:$J$508,H$1)</f>
        <v>0</v>
      </c>
      <c r="I128" s="207">
        <f>SUMIFS('январь 2023'!$G$4:$G$508,'январь 2023'!$D$4:$D$508,$B128,'январь 2023'!$J$4:$J$508,I$1)</f>
        <v>0</v>
      </c>
      <c r="J128" s="207">
        <f>SUMIFS('январь 2023'!$G$4:$G$508,'январь 2023'!$D$4:$D$508,$B128,'январь 2023'!$J$4:$J$508,J$1)</f>
        <v>0</v>
      </c>
      <c r="K128" s="207">
        <f>SUMIFS('январь 2023'!$G$4:$G$508,'январь 2023'!$D$4:$D$508,$B128,'январь 2023'!$J$4:$J$508,K$1)</f>
        <v>0</v>
      </c>
      <c r="L128" s="207">
        <f>SUMIFS('январь 2023'!$G$4:$G$508,'январь 2023'!$D$4:$D$508,$B128,'январь 2023'!$J$4:$J$508,L$1)</f>
        <v>0</v>
      </c>
      <c r="M128" s="207">
        <f>SUMIFS('январь 2023'!$G$4:$G$508,'январь 2023'!$D$4:$D$508,$B128,'январь 2023'!$J$4:$J$508,M$1)</f>
        <v>0</v>
      </c>
      <c r="N128" s="207">
        <f>SUMIFS('январь 2023'!$G$4:$G$508,'январь 2023'!$D$4:$D$508,$B128,'январь 2023'!$J$4:$J$508,N$1)</f>
        <v>0</v>
      </c>
      <c r="O128" s="207">
        <f>SUMIFS('январь 2023'!$G$4:$G$508,'январь 2023'!$D$4:$D$508,$B128,'январь 2023'!$J$4:$J$508,O$1)</f>
        <v>0</v>
      </c>
      <c r="P128" s="207">
        <f>SUMIFS('январь 2023'!$G$4:$G$508,'январь 2023'!$D$4:$D$508,$B128,'январь 2023'!$J$4:$J$508,P$1)</f>
        <v>0</v>
      </c>
      <c r="Q128" s="207">
        <f>SUMIFS('январь 2023'!$G$4:$G$508,'январь 2023'!$D$4:$D$508,$B128,'январь 2023'!$J$4:$J$508,Q$1)</f>
        <v>0</v>
      </c>
      <c r="R128" s="207">
        <f>SUMIFS('январь 2023'!$G$4:$G$508,'январь 2023'!$D$4:$D$508,$B128,'январь 2023'!$J$4:$J$508,R$1)</f>
        <v>0</v>
      </c>
      <c r="S128" s="207">
        <f>SUMIFS('январь 2023'!$G$4:$G$508,'январь 2023'!$D$4:$D$508,$B128,'январь 2023'!$J$4:$J$508,S$1)</f>
        <v>0</v>
      </c>
      <c r="T128" s="207">
        <f>SUMIFS('январь 2023'!$G$4:$G$508,'январь 2023'!$D$4:$D$508,$B128,'январь 2023'!$J$4:$J$508,T$1)</f>
        <v>0</v>
      </c>
      <c r="U128" s="207">
        <f>SUMIFS('январь 2023'!$G$4:$G$508,'январь 2023'!$D$4:$D$508,$B128,'январь 2023'!$J$4:$J$508,U$1)</f>
        <v>0</v>
      </c>
      <c r="V128" s="207">
        <f>SUMIFS('январь 2023'!$G$4:$G$508,'январь 2023'!$D$4:$D$508,$B128,'январь 2023'!$J$4:$J$508,V$1)</f>
        <v>0</v>
      </c>
      <c r="W128" s="207">
        <f>SUMIFS('январь 2023'!$G$4:$G$508,'январь 2023'!$D$4:$D$508,$B128,'январь 2023'!$J$4:$J$508,W$1)</f>
        <v>0</v>
      </c>
      <c r="X128" s="207">
        <f>SUMIFS('январь 2023'!$G$4:$G$508,'январь 2023'!$D$4:$D$508,$B128,'январь 2023'!$J$4:$J$508,X$1)</f>
        <v>0</v>
      </c>
      <c r="Y128" s="207">
        <f>SUMIFS('январь 2023'!$G$4:$G$508,'январь 2023'!$D$4:$D$508,$B128,'январь 2023'!$J$4:$J$508,Y$1)</f>
        <v>0</v>
      </c>
      <c r="Z128" s="207">
        <f>SUMIFS('январь 2023'!$G$4:$G$508,'январь 2023'!$D$4:$D$508,$B128,'январь 2023'!$J$4:$J$508,Z$1)</f>
        <v>0</v>
      </c>
      <c r="AA128" s="207">
        <f>SUMIFS('январь 2023'!$G$4:$G$508,'январь 2023'!$D$4:$D$508,$B128,'январь 2023'!$J$4:$J$508,AA$1)</f>
        <v>0</v>
      </c>
      <c r="AB128" s="207">
        <f>SUMIFS('январь 2023'!$G$4:$G$508,'январь 2023'!$D$4:$D$508,$B128,'январь 2023'!$J$4:$J$508,AB$1)</f>
        <v>0</v>
      </c>
      <c r="AC128" s="207">
        <f>SUMIFS('январь 2023'!$G$4:$G$508,'январь 2023'!$D$4:$D$508,$B128,'январь 2023'!$J$4:$J$508,AC$1)</f>
        <v>0</v>
      </c>
      <c r="AD128" s="207">
        <f>SUMIFS('январь 2023'!$G$4:$G$508,'январь 2023'!$D$4:$D$508,$B128,'январь 2023'!$J$4:$J$508,AD$1)</f>
        <v>0</v>
      </c>
      <c r="AE128" s="207">
        <f>SUMIFS('январь 2023'!$G$4:$G$508,'январь 2023'!$D$4:$D$508,$B128,'январь 2023'!$J$4:$J$508,AE$1)</f>
        <v>0</v>
      </c>
      <c r="AF128" s="207">
        <f>SUMIFS('январь 2023'!$G$4:$G$508,'январь 2023'!$D$4:$D$508,$B128,'январь 2023'!$J$4:$J$508,AF$1)</f>
        <v>0</v>
      </c>
      <c r="AG128" s="207">
        <f>SUMIFS('январь 2023'!$G$4:$G$508,'январь 2023'!$D$4:$D$508,$B128,'январь 2023'!$J$4:$J$508,AG$1)</f>
        <v>0</v>
      </c>
      <c r="AH128" s="207">
        <f>SUMIFS('январь 2023'!$G$4:$G$508,'январь 2023'!$D$4:$D$508,$B128,'январь 2023'!$J$4:$J$508,AH$1)</f>
        <v>0</v>
      </c>
      <c r="AI128" s="220">
        <f t="shared" si="2"/>
        <v>0</v>
      </c>
    </row>
    <row r="129" spans="2:35" ht="15" hidden="1" customHeight="1" x14ac:dyDescent="0.25">
      <c r="B129" s="218"/>
      <c r="C129" s="219"/>
      <c r="D129" s="207">
        <f>SUMIFS('январь 2023'!$G$4:$G$508,'январь 2023'!$D$4:$D$508,$B129,'январь 2023'!$J$4:$J$508,D$1)</f>
        <v>0</v>
      </c>
      <c r="E129" s="207">
        <f>SUMIFS('январь 2023'!$G$4:$G$508,'январь 2023'!$D$4:$D$508,$B129,'январь 2023'!$J$4:$J$508,E$1)</f>
        <v>0</v>
      </c>
      <c r="F129" s="207">
        <f>SUMIFS('январь 2023'!$G$4:$G$508,'январь 2023'!$D$4:$D$508,$B129,'январь 2023'!$J$4:$J$508,F$1)</f>
        <v>0</v>
      </c>
      <c r="G129" s="207">
        <f>SUMIFS('январь 2023'!$G$4:$G$508,'январь 2023'!$D$4:$D$508,$B129,'январь 2023'!$J$4:$J$508,G$1)</f>
        <v>0</v>
      </c>
      <c r="H129" s="207">
        <f>SUMIFS('январь 2023'!$G$4:$G$508,'январь 2023'!$D$4:$D$508,$B129,'январь 2023'!$J$4:$J$508,H$1)</f>
        <v>0</v>
      </c>
      <c r="I129" s="207">
        <f>SUMIFS('январь 2023'!$G$4:$G$508,'январь 2023'!$D$4:$D$508,$B129,'январь 2023'!$J$4:$J$508,I$1)</f>
        <v>0</v>
      </c>
      <c r="J129" s="207">
        <f>SUMIFS('январь 2023'!$G$4:$G$508,'январь 2023'!$D$4:$D$508,$B129,'январь 2023'!$J$4:$J$508,J$1)</f>
        <v>0</v>
      </c>
      <c r="K129" s="207">
        <f>SUMIFS('январь 2023'!$G$4:$G$508,'январь 2023'!$D$4:$D$508,$B129,'январь 2023'!$J$4:$J$508,K$1)</f>
        <v>0</v>
      </c>
      <c r="L129" s="207">
        <f>SUMIFS('январь 2023'!$G$4:$G$508,'январь 2023'!$D$4:$D$508,$B129,'январь 2023'!$J$4:$J$508,L$1)</f>
        <v>0</v>
      </c>
      <c r="M129" s="207">
        <f>SUMIFS('январь 2023'!$G$4:$G$508,'январь 2023'!$D$4:$D$508,$B129,'январь 2023'!$J$4:$J$508,M$1)</f>
        <v>0</v>
      </c>
      <c r="N129" s="207">
        <f>SUMIFS('январь 2023'!$G$4:$G$508,'январь 2023'!$D$4:$D$508,$B129,'январь 2023'!$J$4:$J$508,N$1)</f>
        <v>0</v>
      </c>
      <c r="O129" s="207">
        <f>SUMIFS('январь 2023'!$G$4:$G$508,'январь 2023'!$D$4:$D$508,$B129,'январь 2023'!$J$4:$J$508,O$1)</f>
        <v>0</v>
      </c>
      <c r="P129" s="207">
        <f>SUMIFS('январь 2023'!$G$4:$G$508,'январь 2023'!$D$4:$D$508,$B129,'январь 2023'!$J$4:$J$508,P$1)</f>
        <v>0</v>
      </c>
      <c r="Q129" s="207">
        <f>SUMIFS('январь 2023'!$G$4:$G$508,'январь 2023'!$D$4:$D$508,$B129,'январь 2023'!$J$4:$J$508,Q$1)</f>
        <v>0</v>
      </c>
      <c r="R129" s="207">
        <f>SUMIFS('январь 2023'!$G$4:$G$508,'январь 2023'!$D$4:$D$508,$B129,'январь 2023'!$J$4:$J$508,R$1)</f>
        <v>0</v>
      </c>
      <c r="S129" s="207">
        <f>SUMIFS('январь 2023'!$G$4:$G$508,'январь 2023'!$D$4:$D$508,$B129,'январь 2023'!$J$4:$J$508,S$1)</f>
        <v>0</v>
      </c>
      <c r="T129" s="207">
        <f>SUMIFS('январь 2023'!$G$4:$G$508,'январь 2023'!$D$4:$D$508,$B129,'январь 2023'!$J$4:$J$508,T$1)</f>
        <v>0</v>
      </c>
      <c r="U129" s="207">
        <f>SUMIFS('январь 2023'!$G$4:$G$508,'январь 2023'!$D$4:$D$508,$B129,'январь 2023'!$J$4:$J$508,U$1)</f>
        <v>0</v>
      </c>
      <c r="V129" s="207">
        <f>SUMIFS('январь 2023'!$G$4:$G$508,'январь 2023'!$D$4:$D$508,$B129,'январь 2023'!$J$4:$J$508,V$1)</f>
        <v>0</v>
      </c>
      <c r="W129" s="207">
        <f>SUMIFS('январь 2023'!$G$4:$G$508,'январь 2023'!$D$4:$D$508,$B129,'январь 2023'!$J$4:$J$508,W$1)</f>
        <v>0</v>
      </c>
      <c r="X129" s="207">
        <f>SUMIFS('январь 2023'!$G$4:$G$508,'январь 2023'!$D$4:$D$508,$B129,'январь 2023'!$J$4:$J$508,X$1)</f>
        <v>0</v>
      </c>
      <c r="Y129" s="207">
        <f>SUMIFS('январь 2023'!$G$4:$G$508,'январь 2023'!$D$4:$D$508,$B129,'январь 2023'!$J$4:$J$508,Y$1)</f>
        <v>0</v>
      </c>
      <c r="Z129" s="207">
        <f>SUMIFS('январь 2023'!$G$4:$G$508,'январь 2023'!$D$4:$D$508,$B129,'январь 2023'!$J$4:$J$508,Z$1)</f>
        <v>0</v>
      </c>
      <c r="AA129" s="207">
        <f>SUMIFS('январь 2023'!$G$4:$G$508,'январь 2023'!$D$4:$D$508,$B129,'январь 2023'!$J$4:$J$508,AA$1)</f>
        <v>0</v>
      </c>
      <c r="AB129" s="207">
        <f>SUMIFS('январь 2023'!$G$4:$G$508,'январь 2023'!$D$4:$D$508,$B129,'январь 2023'!$J$4:$J$508,AB$1)</f>
        <v>0</v>
      </c>
      <c r="AC129" s="207">
        <f>SUMIFS('январь 2023'!$G$4:$G$508,'январь 2023'!$D$4:$D$508,$B129,'январь 2023'!$J$4:$J$508,AC$1)</f>
        <v>0</v>
      </c>
      <c r="AD129" s="207">
        <f>SUMIFS('январь 2023'!$G$4:$G$508,'январь 2023'!$D$4:$D$508,$B129,'январь 2023'!$J$4:$J$508,AD$1)</f>
        <v>0</v>
      </c>
      <c r="AE129" s="207">
        <f>SUMIFS('январь 2023'!$G$4:$G$508,'январь 2023'!$D$4:$D$508,$B129,'январь 2023'!$J$4:$J$508,AE$1)</f>
        <v>0</v>
      </c>
      <c r="AF129" s="207">
        <f>SUMIFS('январь 2023'!$G$4:$G$508,'январь 2023'!$D$4:$D$508,$B129,'январь 2023'!$J$4:$J$508,AF$1)</f>
        <v>0</v>
      </c>
      <c r="AG129" s="207">
        <f>SUMIFS('январь 2023'!$G$4:$G$508,'январь 2023'!$D$4:$D$508,$B129,'январь 2023'!$J$4:$J$508,AG$1)</f>
        <v>0</v>
      </c>
      <c r="AH129" s="207">
        <f>SUMIFS('январь 2023'!$G$4:$G$508,'январь 2023'!$D$4:$D$508,$B129,'январь 2023'!$J$4:$J$508,AH$1)</f>
        <v>0</v>
      </c>
      <c r="AI129" s="220">
        <f t="shared" si="2"/>
        <v>0</v>
      </c>
    </row>
    <row r="130" spans="2:35" ht="15" hidden="1" customHeight="1" x14ac:dyDescent="0.25">
      <c r="B130" s="212"/>
      <c r="C130" s="213"/>
      <c r="D130" s="207">
        <f>SUMIFS('январь 2023'!$G$4:$G$508,'январь 2023'!$D$4:$D$508,$B130,'январь 2023'!$J$4:$J$508,D$1)</f>
        <v>0</v>
      </c>
      <c r="E130" s="207">
        <f>SUMIFS('январь 2023'!$G$4:$G$508,'январь 2023'!$D$4:$D$508,$B130,'январь 2023'!$J$4:$J$508,E$1)</f>
        <v>0</v>
      </c>
      <c r="F130" s="207">
        <f>SUMIFS('январь 2023'!$G$4:$G$508,'январь 2023'!$D$4:$D$508,$B130,'январь 2023'!$J$4:$J$508,F$1)</f>
        <v>0</v>
      </c>
      <c r="G130" s="207">
        <f>SUMIFS('январь 2023'!$G$4:$G$508,'январь 2023'!$D$4:$D$508,$B130,'январь 2023'!$J$4:$J$508,G$1)</f>
        <v>0</v>
      </c>
      <c r="H130" s="207">
        <f>SUMIFS('январь 2023'!$G$4:$G$508,'январь 2023'!$D$4:$D$508,$B130,'январь 2023'!$J$4:$J$508,H$1)</f>
        <v>0</v>
      </c>
      <c r="I130" s="207">
        <f>SUMIFS('январь 2023'!$G$4:$G$508,'январь 2023'!$D$4:$D$508,$B130,'январь 2023'!$J$4:$J$508,I$1)</f>
        <v>0</v>
      </c>
      <c r="J130" s="207">
        <f>SUMIFS('январь 2023'!$G$4:$G$508,'январь 2023'!$D$4:$D$508,$B130,'январь 2023'!$J$4:$J$508,J$1)</f>
        <v>0</v>
      </c>
      <c r="K130" s="207">
        <f>SUMIFS('январь 2023'!$G$4:$G$508,'январь 2023'!$D$4:$D$508,$B130,'январь 2023'!$J$4:$J$508,K$1)</f>
        <v>0</v>
      </c>
      <c r="L130" s="207">
        <f>SUMIFS('январь 2023'!$G$4:$G$508,'январь 2023'!$D$4:$D$508,$B130,'январь 2023'!$J$4:$J$508,L$1)</f>
        <v>0</v>
      </c>
      <c r="M130" s="207">
        <f>SUMIFS('январь 2023'!$G$4:$G$508,'январь 2023'!$D$4:$D$508,$B130,'январь 2023'!$J$4:$J$508,M$1)</f>
        <v>0</v>
      </c>
      <c r="N130" s="207">
        <f>SUMIFS('январь 2023'!$G$4:$G$508,'январь 2023'!$D$4:$D$508,$B130,'январь 2023'!$J$4:$J$508,N$1)</f>
        <v>0</v>
      </c>
      <c r="O130" s="207">
        <f>SUMIFS('январь 2023'!$G$4:$G$508,'январь 2023'!$D$4:$D$508,$B130,'январь 2023'!$J$4:$J$508,O$1)</f>
        <v>0</v>
      </c>
      <c r="P130" s="207">
        <f>SUMIFS('январь 2023'!$G$4:$G$508,'январь 2023'!$D$4:$D$508,$B130,'январь 2023'!$J$4:$J$508,P$1)</f>
        <v>0</v>
      </c>
      <c r="Q130" s="207">
        <f>SUMIFS('январь 2023'!$G$4:$G$508,'январь 2023'!$D$4:$D$508,$B130,'январь 2023'!$J$4:$J$508,Q$1)</f>
        <v>0</v>
      </c>
      <c r="R130" s="207">
        <f>SUMIFS('январь 2023'!$G$4:$G$508,'январь 2023'!$D$4:$D$508,$B130,'январь 2023'!$J$4:$J$508,R$1)</f>
        <v>0</v>
      </c>
      <c r="S130" s="207">
        <f>SUMIFS('январь 2023'!$G$4:$G$508,'январь 2023'!$D$4:$D$508,$B130,'январь 2023'!$J$4:$J$508,S$1)</f>
        <v>0</v>
      </c>
      <c r="T130" s="207">
        <f>SUMIFS('январь 2023'!$G$4:$G$508,'январь 2023'!$D$4:$D$508,$B130,'январь 2023'!$J$4:$J$508,T$1)</f>
        <v>0</v>
      </c>
      <c r="U130" s="207">
        <f>SUMIFS('январь 2023'!$G$4:$G$508,'январь 2023'!$D$4:$D$508,$B130,'январь 2023'!$J$4:$J$508,U$1)</f>
        <v>0</v>
      </c>
      <c r="V130" s="207">
        <f>SUMIFS('январь 2023'!$G$4:$G$508,'январь 2023'!$D$4:$D$508,$B130,'январь 2023'!$J$4:$J$508,V$1)</f>
        <v>0</v>
      </c>
      <c r="W130" s="207">
        <f>SUMIFS('январь 2023'!$G$4:$G$508,'январь 2023'!$D$4:$D$508,$B130,'январь 2023'!$J$4:$J$508,W$1)</f>
        <v>0</v>
      </c>
      <c r="X130" s="207">
        <f>SUMIFS('январь 2023'!$G$4:$G$508,'январь 2023'!$D$4:$D$508,$B130,'январь 2023'!$J$4:$J$508,X$1)</f>
        <v>0</v>
      </c>
      <c r="Y130" s="207">
        <f>SUMIFS('январь 2023'!$G$4:$G$508,'январь 2023'!$D$4:$D$508,$B130,'январь 2023'!$J$4:$J$508,Y$1)</f>
        <v>0</v>
      </c>
      <c r="Z130" s="207">
        <f>SUMIFS('январь 2023'!$G$4:$G$508,'январь 2023'!$D$4:$D$508,$B130,'январь 2023'!$J$4:$J$508,Z$1)</f>
        <v>0</v>
      </c>
      <c r="AA130" s="207">
        <f>SUMIFS('январь 2023'!$G$4:$G$508,'январь 2023'!$D$4:$D$508,$B130,'январь 2023'!$J$4:$J$508,AA$1)</f>
        <v>0</v>
      </c>
      <c r="AB130" s="207">
        <f>SUMIFS('январь 2023'!$G$4:$G$508,'январь 2023'!$D$4:$D$508,$B130,'январь 2023'!$J$4:$J$508,AB$1)</f>
        <v>0</v>
      </c>
      <c r="AC130" s="207">
        <f>SUMIFS('январь 2023'!$G$4:$G$508,'январь 2023'!$D$4:$D$508,$B130,'январь 2023'!$J$4:$J$508,AC$1)</f>
        <v>0</v>
      </c>
      <c r="AD130" s="207">
        <f>SUMIFS('январь 2023'!$G$4:$G$508,'январь 2023'!$D$4:$D$508,$B130,'январь 2023'!$J$4:$J$508,AD$1)</f>
        <v>0</v>
      </c>
      <c r="AE130" s="207">
        <f>SUMIFS('январь 2023'!$G$4:$G$508,'январь 2023'!$D$4:$D$508,$B130,'январь 2023'!$J$4:$J$508,AE$1)</f>
        <v>0</v>
      </c>
      <c r="AF130" s="207">
        <f>SUMIFS('январь 2023'!$G$4:$G$508,'январь 2023'!$D$4:$D$508,$B130,'январь 2023'!$J$4:$J$508,AF$1)</f>
        <v>0</v>
      </c>
      <c r="AG130" s="207">
        <f>SUMIFS('январь 2023'!$G$4:$G$508,'январь 2023'!$D$4:$D$508,$B130,'январь 2023'!$J$4:$J$508,AG$1)</f>
        <v>0</v>
      </c>
      <c r="AH130" s="207">
        <f>SUMIFS('январь 2023'!$G$4:$G$508,'январь 2023'!$D$4:$D$508,$B130,'январь 2023'!$J$4:$J$508,AH$1)</f>
        <v>0</v>
      </c>
      <c r="AI130" s="220">
        <f t="shared" si="2"/>
        <v>0</v>
      </c>
    </row>
    <row r="131" spans="2:35" ht="15" hidden="1" customHeight="1" x14ac:dyDescent="0.25">
      <c r="B131" s="212"/>
      <c r="C131" s="211"/>
      <c r="D131" s="207">
        <f>SUMIFS('январь 2023'!$G$4:$G$508,'январь 2023'!$D$4:$D$508,$B131,'январь 2023'!$J$4:$J$508,D$1)</f>
        <v>0</v>
      </c>
      <c r="E131" s="207">
        <f>SUMIFS('январь 2023'!$G$4:$G$508,'январь 2023'!$D$4:$D$508,$B131,'январь 2023'!$J$4:$J$508,E$1)</f>
        <v>0</v>
      </c>
      <c r="F131" s="207">
        <f>SUMIFS('январь 2023'!$G$4:$G$508,'январь 2023'!$D$4:$D$508,$B131,'январь 2023'!$J$4:$J$508,F$1)</f>
        <v>0</v>
      </c>
      <c r="G131" s="207">
        <f>SUMIFS('январь 2023'!$G$4:$G$508,'январь 2023'!$D$4:$D$508,$B131,'январь 2023'!$J$4:$J$508,G$1)</f>
        <v>0</v>
      </c>
      <c r="H131" s="207">
        <f>SUMIFS('январь 2023'!$G$4:$G$508,'январь 2023'!$D$4:$D$508,$B131,'январь 2023'!$J$4:$J$508,H$1)</f>
        <v>0</v>
      </c>
      <c r="I131" s="207">
        <f>SUMIFS('январь 2023'!$G$4:$G$508,'январь 2023'!$D$4:$D$508,$B131,'январь 2023'!$J$4:$J$508,I$1)</f>
        <v>0</v>
      </c>
      <c r="J131" s="207">
        <f>SUMIFS('январь 2023'!$G$4:$G$508,'январь 2023'!$D$4:$D$508,$B131,'январь 2023'!$J$4:$J$508,J$1)</f>
        <v>0</v>
      </c>
      <c r="K131" s="207">
        <f>SUMIFS('январь 2023'!$G$4:$G$508,'январь 2023'!$D$4:$D$508,$B131,'январь 2023'!$J$4:$J$508,K$1)</f>
        <v>0</v>
      </c>
      <c r="L131" s="207">
        <f>SUMIFS('январь 2023'!$G$4:$G$508,'январь 2023'!$D$4:$D$508,$B131,'январь 2023'!$J$4:$J$508,L$1)</f>
        <v>0</v>
      </c>
      <c r="M131" s="207">
        <f>SUMIFS('январь 2023'!$G$4:$G$508,'январь 2023'!$D$4:$D$508,$B131,'январь 2023'!$J$4:$J$508,M$1)</f>
        <v>0</v>
      </c>
      <c r="N131" s="207">
        <f>SUMIFS('январь 2023'!$G$4:$G$508,'январь 2023'!$D$4:$D$508,$B131,'январь 2023'!$J$4:$J$508,N$1)</f>
        <v>0</v>
      </c>
      <c r="O131" s="207">
        <f>SUMIFS('январь 2023'!$G$4:$G$508,'январь 2023'!$D$4:$D$508,$B131,'январь 2023'!$J$4:$J$508,O$1)</f>
        <v>0</v>
      </c>
      <c r="P131" s="207">
        <f>SUMIFS('январь 2023'!$G$4:$G$508,'январь 2023'!$D$4:$D$508,$B131,'январь 2023'!$J$4:$J$508,P$1)</f>
        <v>0</v>
      </c>
      <c r="Q131" s="207">
        <f>SUMIFS('январь 2023'!$G$4:$G$508,'январь 2023'!$D$4:$D$508,$B131,'январь 2023'!$J$4:$J$508,Q$1)</f>
        <v>0</v>
      </c>
      <c r="R131" s="207">
        <f>SUMIFS('январь 2023'!$G$4:$G$508,'январь 2023'!$D$4:$D$508,$B131,'январь 2023'!$J$4:$J$508,R$1)</f>
        <v>0</v>
      </c>
      <c r="S131" s="207">
        <f>SUMIFS('январь 2023'!$G$4:$G$508,'январь 2023'!$D$4:$D$508,$B131,'январь 2023'!$J$4:$J$508,S$1)</f>
        <v>0</v>
      </c>
      <c r="T131" s="207">
        <f>SUMIFS('январь 2023'!$G$4:$G$508,'январь 2023'!$D$4:$D$508,$B131,'январь 2023'!$J$4:$J$508,T$1)</f>
        <v>0</v>
      </c>
      <c r="U131" s="207">
        <f>SUMIFS('январь 2023'!$G$4:$G$508,'январь 2023'!$D$4:$D$508,$B131,'январь 2023'!$J$4:$J$508,U$1)</f>
        <v>0</v>
      </c>
      <c r="V131" s="207">
        <f>SUMIFS('январь 2023'!$G$4:$G$508,'январь 2023'!$D$4:$D$508,$B131,'январь 2023'!$J$4:$J$508,V$1)</f>
        <v>0</v>
      </c>
      <c r="W131" s="207">
        <f>SUMIFS('январь 2023'!$G$4:$G$508,'январь 2023'!$D$4:$D$508,$B131,'январь 2023'!$J$4:$J$508,W$1)</f>
        <v>0</v>
      </c>
      <c r="X131" s="207">
        <f>SUMIFS('январь 2023'!$G$4:$G$508,'январь 2023'!$D$4:$D$508,$B131,'январь 2023'!$J$4:$J$508,X$1)</f>
        <v>0</v>
      </c>
      <c r="Y131" s="207">
        <f>SUMIFS('январь 2023'!$G$4:$G$508,'январь 2023'!$D$4:$D$508,$B131,'январь 2023'!$J$4:$J$508,Y$1)</f>
        <v>0</v>
      </c>
      <c r="Z131" s="207">
        <f>SUMIFS('январь 2023'!$G$4:$G$508,'январь 2023'!$D$4:$D$508,$B131,'январь 2023'!$J$4:$J$508,Z$1)</f>
        <v>0</v>
      </c>
      <c r="AA131" s="207">
        <f>SUMIFS('январь 2023'!$G$4:$G$508,'январь 2023'!$D$4:$D$508,$B131,'январь 2023'!$J$4:$J$508,AA$1)</f>
        <v>0</v>
      </c>
      <c r="AB131" s="207">
        <f>SUMIFS('январь 2023'!$G$4:$G$508,'январь 2023'!$D$4:$D$508,$B131,'январь 2023'!$J$4:$J$508,AB$1)</f>
        <v>0</v>
      </c>
      <c r="AC131" s="207">
        <f>SUMIFS('январь 2023'!$G$4:$G$508,'январь 2023'!$D$4:$D$508,$B131,'январь 2023'!$J$4:$J$508,AC$1)</f>
        <v>0</v>
      </c>
      <c r="AD131" s="207">
        <f>SUMIFS('январь 2023'!$G$4:$G$508,'январь 2023'!$D$4:$D$508,$B131,'январь 2023'!$J$4:$J$508,AD$1)</f>
        <v>0</v>
      </c>
      <c r="AE131" s="207">
        <f>SUMIFS('январь 2023'!$G$4:$G$508,'январь 2023'!$D$4:$D$508,$B131,'январь 2023'!$J$4:$J$508,AE$1)</f>
        <v>0</v>
      </c>
      <c r="AF131" s="207">
        <f>SUMIFS('январь 2023'!$G$4:$G$508,'январь 2023'!$D$4:$D$508,$B131,'январь 2023'!$J$4:$J$508,AF$1)</f>
        <v>0</v>
      </c>
      <c r="AG131" s="207">
        <f>SUMIFS('январь 2023'!$G$4:$G$508,'январь 2023'!$D$4:$D$508,$B131,'январь 2023'!$J$4:$J$508,AG$1)</f>
        <v>0</v>
      </c>
      <c r="AH131" s="207">
        <f>SUMIFS('январь 2023'!$G$4:$G$508,'январь 2023'!$D$4:$D$508,$B131,'январь 2023'!$J$4:$J$508,AH$1)</f>
        <v>0</v>
      </c>
      <c r="AI131" s="220">
        <f t="shared" ref="AI131:AI137" si="3">SUM(D131:AH131)</f>
        <v>0</v>
      </c>
    </row>
    <row r="132" spans="2:35" ht="15" hidden="1" customHeight="1" x14ac:dyDescent="0.25">
      <c r="B132" s="212"/>
      <c r="C132" s="211"/>
      <c r="D132" s="207">
        <f>SUMIFS('январь 2023'!$G$4:$G$508,'январь 2023'!$D$4:$D$508,$B132,'январь 2023'!$J$4:$J$508,D$1)</f>
        <v>0</v>
      </c>
      <c r="E132" s="207">
        <f>SUMIFS('январь 2023'!$G$4:$G$508,'январь 2023'!$D$4:$D$508,$B132,'январь 2023'!$J$4:$J$508,E$1)</f>
        <v>0</v>
      </c>
      <c r="F132" s="207">
        <f>SUMIFS('январь 2023'!$G$4:$G$508,'январь 2023'!$D$4:$D$508,$B132,'январь 2023'!$J$4:$J$508,F$1)</f>
        <v>0</v>
      </c>
      <c r="G132" s="207">
        <f>SUMIFS('январь 2023'!$G$4:$G$508,'январь 2023'!$D$4:$D$508,$B132,'январь 2023'!$J$4:$J$508,G$1)</f>
        <v>0</v>
      </c>
      <c r="H132" s="207">
        <f>SUMIFS('январь 2023'!$G$4:$G$508,'январь 2023'!$D$4:$D$508,$B132,'январь 2023'!$J$4:$J$508,H$1)</f>
        <v>0</v>
      </c>
      <c r="I132" s="207">
        <f>SUMIFS('январь 2023'!$G$4:$G$508,'январь 2023'!$D$4:$D$508,$B132,'январь 2023'!$J$4:$J$508,I$1)</f>
        <v>0</v>
      </c>
      <c r="J132" s="207">
        <f>SUMIFS('январь 2023'!$G$4:$G$508,'январь 2023'!$D$4:$D$508,$B132,'январь 2023'!$J$4:$J$508,J$1)</f>
        <v>0</v>
      </c>
      <c r="K132" s="207">
        <f>SUMIFS('январь 2023'!$G$4:$G$508,'январь 2023'!$D$4:$D$508,$B132,'январь 2023'!$J$4:$J$508,K$1)</f>
        <v>0</v>
      </c>
      <c r="L132" s="207">
        <f>SUMIFS('январь 2023'!$G$4:$G$508,'январь 2023'!$D$4:$D$508,$B132,'январь 2023'!$J$4:$J$508,L$1)</f>
        <v>0</v>
      </c>
      <c r="M132" s="207">
        <f>SUMIFS('январь 2023'!$G$4:$G$508,'январь 2023'!$D$4:$D$508,$B132,'январь 2023'!$J$4:$J$508,M$1)</f>
        <v>0</v>
      </c>
      <c r="N132" s="207">
        <f>SUMIFS('январь 2023'!$G$4:$G$508,'январь 2023'!$D$4:$D$508,$B132,'январь 2023'!$J$4:$J$508,N$1)</f>
        <v>0</v>
      </c>
      <c r="O132" s="207">
        <f>SUMIFS('январь 2023'!$G$4:$G$508,'январь 2023'!$D$4:$D$508,$B132,'январь 2023'!$J$4:$J$508,O$1)</f>
        <v>0</v>
      </c>
      <c r="P132" s="207">
        <f>SUMIFS('январь 2023'!$G$4:$G$508,'январь 2023'!$D$4:$D$508,$B132,'январь 2023'!$J$4:$J$508,P$1)</f>
        <v>0</v>
      </c>
      <c r="Q132" s="207">
        <f>SUMIFS('январь 2023'!$G$4:$G$508,'январь 2023'!$D$4:$D$508,$B132,'январь 2023'!$J$4:$J$508,Q$1)</f>
        <v>0</v>
      </c>
      <c r="R132" s="207">
        <f>SUMIFS('январь 2023'!$G$4:$G$508,'январь 2023'!$D$4:$D$508,$B132,'январь 2023'!$J$4:$J$508,R$1)</f>
        <v>0</v>
      </c>
      <c r="S132" s="207">
        <f>SUMIFS('январь 2023'!$G$4:$G$508,'январь 2023'!$D$4:$D$508,$B132,'январь 2023'!$J$4:$J$508,S$1)</f>
        <v>0</v>
      </c>
      <c r="T132" s="207">
        <f>SUMIFS('январь 2023'!$G$4:$G$508,'январь 2023'!$D$4:$D$508,$B132,'январь 2023'!$J$4:$J$508,T$1)</f>
        <v>0</v>
      </c>
      <c r="U132" s="207">
        <f>SUMIFS('январь 2023'!$G$4:$G$508,'январь 2023'!$D$4:$D$508,$B132,'январь 2023'!$J$4:$J$508,U$1)</f>
        <v>0</v>
      </c>
      <c r="V132" s="207">
        <f>SUMIFS('январь 2023'!$G$4:$G$508,'январь 2023'!$D$4:$D$508,$B132,'январь 2023'!$J$4:$J$508,V$1)</f>
        <v>0</v>
      </c>
      <c r="W132" s="207">
        <f>SUMIFS('январь 2023'!$G$4:$G$508,'январь 2023'!$D$4:$D$508,$B132,'январь 2023'!$J$4:$J$508,W$1)</f>
        <v>0</v>
      </c>
      <c r="X132" s="207">
        <f>SUMIFS('январь 2023'!$G$4:$G$508,'январь 2023'!$D$4:$D$508,$B132,'январь 2023'!$J$4:$J$508,X$1)</f>
        <v>0</v>
      </c>
      <c r="Y132" s="207">
        <f>SUMIFS('январь 2023'!$G$4:$G$508,'январь 2023'!$D$4:$D$508,$B132,'январь 2023'!$J$4:$J$508,Y$1)</f>
        <v>0</v>
      </c>
      <c r="Z132" s="207">
        <f>SUMIFS('январь 2023'!$G$4:$G$508,'январь 2023'!$D$4:$D$508,$B132,'январь 2023'!$J$4:$J$508,Z$1)</f>
        <v>0</v>
      </c>
      <c r="AA132" s="207">
        <f>SUMIFS('январь 2023'!$G$4:$G$508,'январь 2023'!$D$4:$D$508,$B132,'январь 2023'!$J$4:$J$508,AA$1)</f>
        <v>0</v>
      </c>
      <c r="AB132" s="207">
        <f>SUMIFS('январь 2023'!$G$4:$G$508,'январь 2023'!$D$4:$D$508,$B132,'январь 2023'!$J$4:$J$508,AB$1)</f>
        <v>0</v>
      </c>
      <c r="AC132" s="207">
        <f>SUMIFS('январь 2023'!$G$4:$G$508,'январь 2023'!$D$4:$D$508,$B132,'январь 2023'!$J$4:$J$508,AC$1)</f>
        <v>0</v>
      </c>
      <c r="AD132" s="207">
        <f>SUMIFS('январь 2023'!$G$4:$G$508,'январь 2023'!$D$4:$D$508,$B132,'январь 2023'!$J$4:$J$508,AD$1)</f>
        <v>0</v>
      </c>
      <c r="AE132" s="207">
        <f>SUMIFS('январь 2023'!$G$4:$G$508,'январь 2023'!$D$4:$D$508,$B132,'январь 2023'!$J$4:$J$508,AE$1)</f>
        <v>0</v>
      </c>
      <c r="AF132" s="207">
        <f>SUMIFS('январь 2023'!$G$4:$G$508,'январь 2023'!$D$4:$D$508,$B132,'январь 2023'!$J$4:$J$508,AF$1)</f>
        <v>0</v>
      </c>
      <c r="AG132" s="207">
        <f>SUMIFS('январь 2023'!$G$4:$G$508,'январь 2023'!$D$4:$D$508,$B132,'январь 2023'!$J$4:$J$508,AG$1)</f>
        <v>0</v>
      </c>
      <c r="AH132" s="207">
        <f>SUMIFS('январь 2023'!$G$4:$G$508,'январь 2023'!$D$4:$D$508,$B132,'январь 2023'!$J$4:$J$508,AH$1)</f>
        <v>0</v>
      </c>
      <c r="AI132" s="220">
        <f t="shared" si="3"/>
        <v>0</v>
      </c>
    </row>
    <row r="133" spans="2:35" ht="15" hidden="1" customHeight="1" x14ac:dyDescent="0.25">
      <c r="B133" s="212"/>
      <c r="C133" s="215"/>
      <c r="D133" s="207">
        <f>SUMIFS('январь 2023'!$G$4:$G$508,'январь 2023'!$D$4:$D$508,$B133,'январь 2023'!$J$4:$J$508,D$1)</f>
        <v>0</v>
      </c>
      <c r="E133" s="207">
        <f>SUMIFS('январь 2023'!$G$4:$G$508,'январь 2023'!$D$4:$D$508,$B133,'январь 2023'!$J$4:$J$508,E$1)</f>
        <v>0</v>
      </c>
      <c r="F133" s="207">
        <f>SUMIFS('январь 2023'!$G$4:$G$508,'январь 2023'!$D$4:$D$508,$B133,'январь 2023'!$J$4:$J$508,F$1)</f>
        <v>0</v>
      </c>
      <c r="G133" s="207">
        <f>SUMIFS('январь 2023'!$G$4:$G$508,'январь 2023'!$D$4:$D$508,$B133,'январь 2023'!$J$4:$J$508,G$1)</f>
        <v>0</v>
      </c>
      <c r="H133" s="207">
        <f>SUMIFS('январь 2023'!$G$4:$G$508,'январь 2023'!$D$4:$D$508,$B133,'январь 2023'!$J$4:$J$508,H$1)</f>
        <v>0</v>
      </c>
      <c r="I133" s="207">
        <f>SUMIFS('январь 2023'!$G$4:$G$508,'январь 2023'!$D$4:$D$508,$B133,'январь 2023'!$J$4:$J$508,I$1)</f>
        <v>0</v>
      </c>
      <c r="J133" s="207">
        <f>SUMIFS('январь 2023'!$G$4:$G$508,'январь 2023'!$D$4:$D$508,$B133,'январь 2023'!$J$4:$J$508,J$1)</f>
        <v>0</v>
      </c>
      <c r="K133" s="207">
        <f>SUMIFS('январь 2023'!$G$4:$G$508,'январь 2023'!$D$4:$D$508,$B133,'январь 2023'!$J$4:$J$508,K$1)</f>
        <v>0</v>
      </c>
      <c r="L133" s="207">
        <f>SUMIFS('январь 2023'!$G$4:$G$508,'январь 2023'!$D$4:$D$508,$B133,'январь 2023'!$J$4:$J$508,L$1)</f>
        <v>0</v>
      </c>
      <c r="M133" s="207">
        <f>SUMIFS('январь 2023'!$G$4:$G$508,'январь 2023'!$D$4:$D$508,$B133,'январь 2023'!$J$4:$J$508,M$1)</f>
        <v>0</v>
      </c>
      <c r="N133" s="207">
        <f>SUMIFS('январь 2023'!$G$4:$G$508,'январь 2023'!$D$4:$D$508,$B133,'январь 2023'!$J$4:$J$508,N$1)</f>
        <v>0</v>
      </c>
      <c r="O133" s="207">
        <f>SUMIFS('январь 2023'!$G$4:$G$508,'январь 2023'!$D$4:$D$508,$B133,'январь 2023'!$J$4:$J$508,O$1)</f>
        <v>0</v>
      </c>
      <c r="P133" s="207">
        <f>SUMIFS('январь 2023'!$G$4:$G$508,'январь 2023'!$D$4:$D$508,$B133,'январь 2023'!$J$4:$J$508,P$1)</f>
        <v>0</v>
      </c>
      <c r="Q133" s="207">
        <f>SUMIFS('январь 2023'!$G$4:$G$508,'январь 2023'!$D$4:$D$508,$B133,'январь 2023'!$J$4:$J$508,Q$1)</f>
        <v>0</v>
      </c>
      <c r="R133" s="207">
        <f>SUMIFS('январь 2023'!$G$4:$G$508,'январь 2023'!$D$4:$D$508,$B133,'январь 2023'!$J$4:$J$508,R$1)</f>
        <v>0</v>
      </c>
      <c r="S133" s="207">
        <f>SUMIFS('январь 2023'!$G$4:$G$508,'январь 2023'!$D$4:$D$508,$B133,'январь 2023'!$J$4:$J$508,S$1)</f>
        <v>0</v>
      </c>
      <c r="T133" s="207">
        <f>SUMIFS('январь 2023'!$G$4:$G$508,'январь 2023'!$D$4:$D$508,$B133,'январь 2023'!$J$4:$J$508,T$1)</f>
        <v>0</v>
      </c>
      <c r="U133" s="207">
        <f>SUMIFS('январь 2023'!$G$4:$G$508,'январь 2023'!$D$4:$D$508,$B133,'январь 2023'!$J$4:$J$508,U$1)</f>
        <v>0</v>
      </c>
      <c r="V133" s="207">
        <f>SUMIFS('январь 2023'!$G$4:$G$508,'январь 2023'!$D$4:$D$508,$B133,'январь 2023'!$J$4:$J$508,V$1)</f>
        <v>0</v>
      </c>
      <c r="W133" s="207">
        <f>SUMIFS('январь 2023'!$G$4:$G$508,'январь 2023'!$D$4:$D$508,$B133,'январь 2023'!$J$4:$J$508,W$1)</f>
        <v>0</v>
      </c>
      <c r="X133" s="207">
        <f>SUMIFS('январь 2023'!$G$4:$G$508,'январь 2023'!$D$4:$D$508,$B133,'январь 2023'!$J$4:$J$508,X$1)</f>
        <v>0</v>
      </c>
      <c r="Y133" s="207">
        <f>SUMIFS('январь 2023'!$G$4:$G$508,'январь 2023'!$D$4:$D$508,$B133,'январь 2023'!$J$4:$J$508,Y$1)</f>
        <v>0</v>
      </c>
      <c r="Z133" s="207">
        <f>SUMIFS('январь 2023'!$G$4:$G$508,'январь 2023'!$D$4:$D$508,$B133,'январь 2023'!$J$4:$J$508,Z$1)</f>
        <v>0</v>
      </c>
      <c r="AA133" s="207">
        <f>SUMIFS('январь 2023'!$G$4:$G$508,'январь 2023'!$D$4:$D$508,$B133,'январь 2023'!$J$4:$J$508,AA$1)</f>
        <v>0</v>
      </c>
      <c r="AB133" s="207">
        <f>SUMIFS('январь 2023'!$G$4:$G$508,'январь 2023'!$D$4:$D$508,$B133,'январь 2023'!$J$4:$J$508,AB$1)</f>
        <v>0</v>
      </c>
      <c r="AC133" s="207">
        <f>SUMIFS('январь 2023'!$G$4:$G$508,'январь 2023'!$D$4:$D$508,$B133,'январь 2023'!$J$4:$J$508,AC$1)</f>
        <v>0</v>
      </c>
      <c r="AD133" s="207">
        <f>SUMIFS('январь 2023'!$G$4:$G$508,'январь 2023'!$D$4:$D$508,$B133,'январь 2023'!$J$4:$J$508,AD$1)</f>
        <v>0</v>
      </c>
      <c r="AE133" s="207">
        <f>SUMIFS('январь 2023'!$G$4:$G$508,'январь 2023'!$D$4:$D$508,$B133,'январь 2023'!$J$4:$J$508,AE$1)</f>
        <v>0</v>
      </c>
      <c r="AF133" s="207">
        <f>SUMIFS('январь 2023'!$G$4:$G$508,'январь 2023'!$D$4:$D$508,$B133,'январь 2023'!$J$4:$J$508,AF$1)</f>
        <v>0</v>
      </c>
      <c r="AG133" s="207">
        <f>SUMIFS('январь 2023'!$G$4:$G$508,'январь 2023'!$D$4:$D$508,$B133,'январь 2023'!$J$4:$J$508,AG$1)</f>
        <v>0</v>
      </c>
      <c r="AH133" s="207">
        <f>SUMIFS('январь 2023'!$G$4:$G$508,'январь 2023'!$D$4:$D$508,$B133,'январь 2023'!$J$4:$J$508,AH$1)</f>
        <v>0</v>
      </c>
      <c r="AI133" s="220">
        <f t="shared" si="3"/>
        <v>0</v>
      </c>
    </row>
    <row r="134" spans="2:35" ht="15" hidden="1" customHeight="1" x14ac:dyDescent="0.25">
      <c r="B134" s="212"/>
      <c r="C134" s="213"/>
      <c r="D134" s="207">
        <f>SUMIFS('январь 2023'!$G$4:$G$508,'январь 2023'!$D$4:$D$508,$B134,'январь 2023'!$J$4:$J$508,D$1)</f>
        <v>0</v>
      </c>
      <c r="E134" s="207">
        <f>SUMIFS('январь 2023'!$G$4:$G$508,'январь 2023'!$D$4:$D$508,$B134,'январь 2023'!$J$4:$J$508,E$1)</f>
        <v>0</v>
      </c>
      <c r="F134" s="207">
        <f>SUMIFS('январь 2023'!$G$4:$G$508,'январь 2023'!$D$4:$D$508,$B134,'январь 2023'!$J$4:$J$508,F$1)</f>
        <v>0</v>
      </c>
      <c r="G134" s="207">
        <f>SUMIFS('январь 2023'!$G$4:$G$508,'январь 2023'!$D$4:$D$508,$B134,'январь 2023'!$J$4:$J$508,G$1)</f>
        <v>0</v>
      </c>
      <c r="H134" s="207">
        <f>SUMIFS('январь 2023'!$G$4:$G$508,'январь 2023'!$D$4:$D$508,$B134,'январь 2023'!$J$4:$J$508,H$1)</f>
        <v>0</v>
      </c>
      <c r="I134" s="207">
        <f>SUMIFS('январь 2023'!$G$4:$G$508,'январь 2023'!$D$4:$D$508,$B134,'январь 2023'!$J$4:$J$508,I$1)</f>
        <v>0</v>
      </c>
      <c r="J134" s="207">
        <f>SUMIFS('январь 2023'!$G$4:$G$508,'январь 2023'!$D$4:$D$508,$B134,'январь 2023'!$J$4:$J$508,J$1)</f>
        <v>0</v>
      </c>
      <c r="K134" s="207">
        <f>SUMIFS('январь 2023'!$G$4:$G$508,'январь 2023'!$D$4:$D$508,$B134,'январь 2023'!$J$4:$J$508,K$1)</f>
        <v>0</v>
      </c>
      <c r="L134" s="207">
        <f>SUMIFS('январь 2023'!$G$4:$G$508,'январь 2023'!$D$4:$D$508,$B134,'январь 2023'!$J$4:$J$508,L$1)</f>
        <v>0</v>
      </c>
      <c r="M134" s="207">
        <f>SUMIFS('январь 2023'!$G$4:$G$508,'январь 2023'!$D$4:$D$508,$B134,'январь 2023'!$J$4:$J$508,M$1)</f>
        <v>0</v>
      </c>
      <c r="N134" s="207">
        <f>SUMIFS('январь 2023'!$G$4:$G$508,'январь 2023'!$D$4:$D$508,$B134,'январь 2023'!$J$4:$J$508,N$1)</f>
        <v>0</v>
      </c>
      <c r="O134" s="207">
        <f>SUMIFS('январь 2023'!$G$4:$G$508,'январь 2023'!$D$4:$D$508,$B134,'январь 2023'!$J$4:$J$508,O$1)</f>
        <v>0</v>
      </c>
      <c r="P134" s="207">
        <f>SUMIFS('январь 2023'!$G$4:$G$508,'январь 2023'!$D$4:$D$508,$B134,'январь 2023'!$J$4:$J$508,P$1)</f>
        <v>0</v>
      </c>
      <c r="Q134" s="207">
        <f>SUMIFS('январь 2023'!$G$4:$G$508,'январь 2023'!$D$4:$D$508,$B134,'январь 2023'!$J$4:$J$508,Q$1)</f>
        <v>0</v>
      </c>
      <c r="R134" s="207">
        <f>SUMIFS('январь 2023'!$G$4:$G$508,'январь 2023'!$D$4:$D$508,$B134,'январь 2023'!$J$4:$J$508,R$1)</f>
        <v>0</v>
      </c>
      <c r="S134" s="207">
        <f>SUMIFS('январь 2023'!$G$4:$G$508,'январь 2023'!$D$4:$D$508,$B134,'январь 2023'!$J$4:$J$508,S$1)</f>
        <v>0</v>
      </c>
      <c r="T134" s="207">
        <f>SUMIFS('январь 2023'!$G$4:$G$508,'январь 2023'!$D$4:$D$508,$B134,'январь 2023'!$J$4:$J$508,T$1)</f>
        <v>0</v>
      </c>
      <c r="U134" s="207">
        <f>SUMIFS('январь 2023'!$G$4:$G$508,'январь 2023'!$D$4:$D$508,$B134,'январь 2023'!$J$4:$J$508,U$1)</f>
        <v>0</v>
      </c>
      <c r="V134" s="207">
        <f>SUMIFS('январь 2023'!$G$4:$G$508,'январь 2023'!$D$4:$D$508,$B134,'январь 2023'!$J$4:$J$508,V$1)</f>
        <v>0</v>
      </c>
      <c r="W134" s="207">
        <f>SUMIFS('январь 2023'!$G$4:$G$508,'январь 2023'!$D$4:$D$508,$B134,'январь 2023'!$J$4:$J$508,W$1)</f>
        <v>0</v>
      </c>
      <c r="X134" s="207">
        <f>SUMIFS('январь 2023'!$G$4:$G$508,'январь 2023'!$D$4:$D$508,$B134,'январь 2023'!$J$4:$J$508,X$1)</f>
        <v>0</v>
      </c>
      <c r="Y134" s="207">
        <f>SUMIFS('январь 2023'!$G$4:$G$508,'январь 2023'!$D$4:$D$508,$B134,'январь 2023'!$J$4:$J$508,Y$1)</f>
        <v>0</v>
      </c>
      <c r="Z134" s="207">
        <f>SUMIFS('январь 2023'!$G$4:$G$508,'январь 2023'!$D$4:$D$508,$B134,'январь 2023'!$J$4:$J$508,Z$1)</f>
        <v>0</v>
      </c>
      <c r="AA134" s="207">
        <f>SUMIFS('январь 2023'!$G$4:$G$508,'январь 2023'!$D$4:$D$508,$B134,'январь 2023'!$J$4:$J$508,AA$1)</f>
        <v>0</v>
      </c>
      <c r="AB134" s="207">
        <f>SUMIFS('январь 2023'!$G$4:$G$508,'январь 2023'!$D$4:$D$508,$B134,'январь 2023'!$J$4:$J$508,AB$1)</f>
        <v>0</v>
      </c>
      <c r="AC134" s="207">
        <f>SUMIFS('январь 2023'!$G$4:$G$508,'январь 2023'!$D$4:$D$508,$B134,'январь 2023'!$J$4:$J$508,AC$1)</f>
        <v>0</v>
      </c>
      <c r="AD134" s="207">
        <f>SUMIFS('январь 2023'!$G$4:$G$508,'январь 2023'!$D$4:$D$508,$B134,'январь 2023'!$J$4:$J$508,AD$1)</f>
        <v>0</v>
      </c>
      <c r="AE134" s="207">
        <f>SUMIFS('январь 2023'!$G$4:$G$508,'январь 2023'!$D$4:$D$508,$B134,'январь 2023'!$J$4:$J$508,AE$1)</f>
        <v>0</v>
      </c>
      <c r="AF134" s="207">
        <f>SUMIFS('январь 2023'!$G$4:$G$508,'январь 2023'!$D$4:$D$508,$B134,'январь 2023'!$J$4:$J$508,AF$1)</f>
        <v>0</v>
      </c>
      <c r="AG134" s="207">
        <f>SUMIFS('январь 2023'!$G$4:$G$508,'январь 2023'!$D$4:$D$508,$B134,'январь 2023'!$J$4:$J$508,AG$1)</f>
        <v>0</v>
      </c>
      <c r="AH134" s="207">
        <f>SUMIFS('январь 2023'!$G$4:$G$508,'январь 2023'!$D$4:$D$508,$B134,'январь 2023'!$J$4:$J$508,AH$1)</f>
        <v>0</v>
      </c>
      <c r="AI134" s="220">
        <f t="shared" si="3"/>
        <v>0</v>
      </c>
    </row>
    <row r="135" spans="2:35" ht="15" hidden="1" customHeight="1" x14ac:dyDescent="0.25">
      <c r="B135" s="216"/>
      <c r="C135" s="213"/>
      <c r="D135" s="207">
        <f>SUMIFS('январь 2023'!$G$4:$G$508,'январь 2023'!$D$4:$D$508,$B135,'январь 2023'!$J$4:$J$508,D$1)</f>
        <v>0</v>
      </c>
      <c r="E135" s="207">
        <f>SUMIFS('январь 2023'!$G$4:$G$508,'январь 2023'!$D$4:$D$508,$B135,'январь 2023'!$J$4:$J$508,E$1)</f>
        <v>0</v>
      </c>
      <c r="F135" s="207">
        <f>SUMIFS('январь 2023'!$G$4:$G$508,'январь 2023'!$D$4:$D$508,$B135,'январь 2023'!$J$4:$J$508,F$1)</f>
        <v>0</v>
      </c>
      <c r="G135" s="207">
        <f>SUMIFS('январь 2023'!$G$4:$G$508,'январь 2023'!$D$4:$D$508,$B135,'январь 2023'!$J$4:$J$508,G$1)</f>
        <v>0</v>
      </c>
      <c r="H135" s="207">
        <f>SUMIFS('январь 2023'!$G$4:$G$508,'январь 2023'!$D$4:$D$508,$B135,'январь 2023'!$J$4:$J$508,H$1)</f>
        <v>0</v>
      </c>
      <c r="I135" s="207">
        <f>SUMIFS('январь 2023'!$G$4:$G$508,'январь 2023'!$D$4:$D$508,$B135,'январь 2023'!$J$4:$J$508,I$1)</f>
        <v>0</v>
      </c>
      <c r="J135" s="207">
        <f>SUMIFS('январь 2023'!$G$4:$G$508,'январь 2023'!$D$4:$D$508,$B135,'январь 2023'!$J$4:$J$508,J$1)</f>
        <v>0</v>
      </c>
      <c r="K135" s="207">
        <f>SUMIFS('январь 2023'!$G$4:$G$508,'январь 2023'!$D$4:$D$508,$B135,'январь 2023'!$J$4:$J$508,K$1)</f>
        <v>0</v>
      </c>
      <c r="L135" s="207">
        <f>SUMIFS('январь 2023'!$G$4:$G$508,'январь 2023'!$D$4:$D$508,$B135,'январь 2023'!$J$4:$J$508,L$1)</f>
        <v>0</v>
      </c>
      <c r="M135" s="207">
        <f>SUMIFS('январь 2023'!$G$4:$G$508,'январь 2023'!$D$4:$D$508,$B135,'январь 2023'!$J$4:$J$508,M$1)</f>
        <v>0</v>
      </c>
      <c r="N135" s="207">
        <f>SUMIFS('январь 2023'!$G$4:$G$508,'январь 2023'!$D$4:$D$508,$B135,'январь 2023'!$J$4:$J$508,N$1)</f>
        <v>0</v>
      </c>
      <c r="O135" s="207">
        <f>SUMIFS('январь 2023'!$G$4:$G$508,'январь 2023'!$D$4:$D$508,$B135,'январь 2023'!$J$4:$J$508,O$1)</f>
        <v>0</v>
      </c>
      <c r="P135" s="207">
        <f>SUMIFS('январь 2023'!$G$4:$G$508,'январь 2023'!$D$4:$D$508,$B135,'январь 2023'!$J$4:$J$508,P$1)</f>
        <v>0</v>
      </c>
      <c r="Q135" s="207">
        <f>SUMIFS('январь 2023'!$G$4:$G$508,'январь 2023'!$D$4:$D$508,$B135,'январь 2023'!$J$4:$J$508,Q$1)</f>
        <v>0</v>
      </c>
      <c r="R135" s="207">
        <f>SUMIFS('январь 2023'!$G$4:$G$508,'январь 2023'!$D$4:$D$508,$B135,'январь 2023'!$J$4:$J$508,R$1)</f>
        <v>0</v>
      </c>
      <c r="S135" s="207">
        <f>SUMIFS('январь 2023'!$G$4:$G$508,'январь 2023'!$D$4:$D$508,$B135,'январь 2023'!$J$4:$J$508,S$1)</f>
        <v>0</v>
      </c>
      <c r="T135" s="207">
        <f>SUMIFS('январь 2023'!$G$4:$G$508,'январь 2023'!$D$4:$D$508,$B135,'январь 2023'!$J$4:$J$508,T$1)</f>
        <v>0</v>
      </c>
      <c r="U135" s="207">
        <f>SUMIFS('январь 2023'!$G$4:$G$508,'январь 2023'!$D$4:$D$508,$B135,'январь 2023'!$J$4:$J$508,U$1)</f>
        <v>0</v>
      </c>
      <c r="V135" s="207">
        <f>SUMIFS('январь 2023'!$G$4:$G$508,'январь 2023'!$D$4:$D$508,$B135,'январь 2023'!$J$4:$J$508,V$1)</f>
        <v>0</v>
      </c>
      <c r="W135" s="207">
        <f>SUMIFS('январь 2023'!$G$4:$G$508,'январь 2023'!$D$4:$D$508,$B135,'январь 2023'!$J$4:$J$508,W$1)</f>
        <v>0</v>
      </c>
      <c r="X135" s="207">
        <f>SUMIFS('январь 2023'!$G$4:$G$508,'январь 2023'!$D$4:$D$508,$B135,'январь 2023'!$J$4:$J$508,X$1)</f>
        <v>0</v>
      </c>
      <c r="Y135" s="207">
        <f>SUMIFS('январь 2023'!$G$4:$G$508,'январь 2023'!$D$4:$D$508,$B135,'январь 2023'!$J$4:$J$508,Y$1)</f>
        <v>0</v>
      </c>
      <c r="Z135" s="207">
        <f>SUMIFS('январь 2023'!$G$4:$G$508,'январь 2023'!$D$4:$D$508,$B135,'январь 2023'!$J$4:$J$508,Z$1)</f>
        <v>0</v>
      </c>
      <c r="AA135" s="207">
        <f>SUMIFS('январь 2023'!$G$4:$G$508,'январь 2023'!$D$4:$D$508,$B135,'январь 2023'!$J$4:$J$508,AA$1)</f>
        <v>0</v>
      </c>
      <c r="AB135" s="207">
        <f>SUMIFS('январь 2023'!$G$4:$G$508,'январь 2023'!$D$4:$D$508,$B135,'январь 2023'!$J$4:$J$508,AB$1)</f>
        <v>0</v>
      </c>
      <c r="AC135" s="207">
        <f>SUMIFS('январь 2023'!$G$4:$G$508,'январь 2023'!$D$4:$D$508,$B135,'январь 2023'!$J$4:$J$508,AC$1)</f>
        <v>0</v>
      </c>
      <c r="AD135" s="207">
        <f>SUMIFS('январь 2023'!$G$4:$G$508,'январь 2023'!$D$4:$D$508,$B135,'январь 2023'!$J$4:$J$508,AD$1)</f>
        <v>0</v>
      </c>
      <c r="AE135" s="207">
        <f>SUMIFS('январь 2023'!$G$4:$G$508,'январь 2023'!$D$4:$D$508,$B135,'январь 2023'!$J$4:$J$508,AE$1)</f>
        <v>0</v>
      </c>
      <c r="AF135" s="207">
        <f>SUMIFS('январь 2023'!$G$4:$G$508,'январь 2023'!$D$4:$D$508,$B135,'январь 2023'!$J$4:$J$508,AF$1)</f>
        <v>0</v>
      </c>
      <c r="AG135" s="207">
        <f>SUMIFS('январь 2023'!$G$4:$G$508,'январь 2023'!$D$4:$D$508,$B135,'январь 2023'!$J$4:$J$508,AG$1)</f>
        <v>0</v>
      </c>
      <c r="AH135" s="207">
        <f>SUMIFS('январь 2023'!$G$4:$G$508,'январь 2023'!$D$4:$D$508,$B135,'январь 2023'!$J$4:$J$508,AH$1)</f>
        <v>0</v>
      </c>
      <c r="AI135" s="220">
        <f t="shared" si="3"/>
        <v>0</v>
      </c>
    </row>
    <row r="136" spans="2:35" ht="15" hidden="1" customHeight="1" x14ac:dyDescent="0.25">
      <c r="B136" s="212"/>
      <c r="C136" s="211"/>
      <c r="D136" s="207">
        <f>SUMIFS('январь 2023'!$G$4:$G$508,'январь 2023'!$D$4:$D$508,$B136,'январь 2023'!$J$4:$J$508,D$1)</f>
        <v>0</v>
      </c>
      <c r="E136" s="207">
        <f>SUMIFS('январь 2023'!$G$4:$G$508,'январь 2023'!$D$4:$D$508,$B136,'январь 2023'!$J$4:$J$508,E$1)</f>
        <v>0</v>
      </c>
      <c r="F136" s="207">
        <f>SUMIFS('январь 2023'!$G$4:$G$508,'январь 2023'!$D$4:$D$508,$B136,'январь 2023'!$J$4:$J$508,F$1)</f>
        <v>0</v>
      </c>
      <c r="G136" s="207">
        <f>SUMIFS('январь 2023'!$G$4:$G$508,'январь 2023'!$D$4:$D$508,$B136,'январь 2023'!$J$4:$J$508,G$1)</f>
        <v>0</v>
      </c>
      <c r="H136" s="207">
        <f>SUMIFS('январь 2023'!$G$4:$G$508,'январь 2023'!$D$4:$D$508,$B136,'январь 2023'!$J$4:$J$508,H$1)</f>
        <v>0</v>
      </c>
      <c r="I136" s="207">
        <f>SUMIFS('январь 2023'!$G$4:$G$508,'январь 2023'!$D$4:$D$508,$B136,'январь 2023'!$J$4:$J$508,I$1)</f>
        <v>0</v>
      </c>
      <c r="J136" s="207">
        <f>SUMIFS('январь 2023'!$G$4:$G$508,'январь 2023'!$D$4:$D$508,$B136,'январь 2023'!$J$4:$J$508,J$1)</f>
        <v>0</v>
      </c>
      <c r="K136" s="207">
        <f>SUMIFS('январь 2023'!$G$4:$G$508,'январь 2023'!$D$4:$D$508,$B136,'январь 2023'!$J$4:$J$508,K$1)</f>
        <v>0</v>
      </c>
      <c r="L136" s="207">
        <f>SUMIFS('январь 2023'!$G$4:$G$508,'январь 2023'!$D$4:$D$508,$B136,'январь 2023'!$J$4:$J$508,L$1)</f>
        <v>0</v>
      </c>
      <c r="M136" s="207">
        <f>SUMIFS('январь 2023'!$G$4:$G$508,'январь 2023'!$D$4:$D$508,$B136,'январь 2023'!$J$4:$J$508,M$1)</f>
        <v>0</v>
      </c>
      <c r="N136" s="207">
        <f>SUMIFS('январь 2023'!$G$4:$G$508,'январь 2023'!$D$4:$D$508,$B136,'январь 2023'!$J$4:$J$508,N$1)</f>
        <v>0</v>
      </c>
      <c r="O136" s="207">
        <f>SUMIFS('январь 2023'!$G$4:$G$508,'январь 2023'!$D$4:$D$508,$B136,'январь 2023'!$J$4:$J$508,O$1)</f>
        <v>0</v>
      </c>
      <c r="P136" s="207">
        <f>SUMIFS('январь 2023'!$G$4:$G$508,'январь 2023'!$D$4:$D$508,$B136,'январь 2023'!$J$4:$J$508,P$1)</f>
        <v>0</v>
      </c>
      <c r="Q136" s="207">
        <f>SUMIFS('январь 2023'!$G$4:$G$508,'январь 2023'!$D$4:$D$508,$B136,'январь 2023'!$J$4:$J$508,Q$1)</f>
        <v>0</v>
      </c>
      <c r="R136" s="207">
        <f>SUMIFS('январь 2023'!$G$4:$G$508,'январь 2023'!$D$4:$D$508,$B136,'январь 2023'!$J$4:$J$508,R$1)</f>
        <v>0</v>
      </c>
      <c r="S136" s="207">
        <f>SUMIFS('январь 2023'!$G$4:$G$508,'январь 2023'!$D$4:$D$508,$B136,'январь 2023'!$J$4:$J$508,S$1)</f>
        <v>0</v>
      </c>
      <c r="T136" s="207">
        <f>SUMIFS('январь 2023'!$G$4:$G$508,'январь 2023'!$D$4:$D$508,$B136,'январь 2023'!$J$4:$J$508,T$1)</f>
        <v>0</v>
      </c>
      <c r="U136" s="207">
        <f>SUMIFS('январь 2023'!$G$4:$G$508,'январь 2023'!$D$4:$D$508,$B136,'январь 2023'!$J$4:$J$508,U$1)</f>
        <v>0</v>
      </c>
      <c r="V136" s="207">
        <f>SUMIFS('январь 2023'!$G$4:$G$508,'январь 2023'!$D$4:$D$508,$B136,'январь 2023'!$J$4:$J$508,V$1)</f>
        <v>0</v>
      </c>
      <c r="W136" s="207">
        <f>SUMIFS('январь 2023'!$G$4:$G$508,'январь 2023'!$D$4:$D$508,$B136,'январь 2023'!$J$4:$J$508,W$1)</f>
        <v>0</v>
      </c>
      <c r="X136" s="207">
        <f>SUMIFS('январь 2023'!$G$4:$G$508,'январь 2023'!$D$4:$D$508,$B136,'январь 2023'!$J$4:$J$508,X$1)</f>
        <v>0</v>
      </c>
      <c r="Y136" s="207">
        <f>SUMIFS('январь 2023'!$G$4:$G$508,'январь 2023'!$D$4:$D$508,$B136,'январь 2023'!$J$4:$J$508,Y$1)</f>
        <v>0</v>
      </c>
      <c r="Z136" s="207">
        <f>SUMIFS('январь 2023'!$G$4:$G$508,'январь 2023'!$D$4:$D$508,$B136,'январь 2023'!$J$4:$J$508,Z$1)</f>
        <v>0</v>
      </c>
      <c r="AA136" s="207">
        <f>SUMIFS('январь 2023'!$G$4:$G$508,'январь 2023'!$D$4:$D$508,$B136,'январь 2023'!$J$4:$J$508,AA$1)</f>
        <v>0</v>
      </c>
      <c r="AB136" s="207">
        <f>SUMIFS('январь 2023'!$G$4:$G$508,'январь 2023'!$D$4:$D$508,$B136,'январь 2023'!$J$4:$J$508,AB$1)</f>
        <v>0</v>
      </c>
      <c r="AC136" s="207">
        <f>SUMIFS('январь 2023'!$G$4:$G$508,'январь 2023'!$D$4:$D$508,$B136,'январь 2023'!$J$4:$J$508,AC$1)</f>
        <v>0</v>
      </c>
      <c r="AD136" s="207">
        <f>SUMIFS('январь 2023'!$G$4:$G$508,'январь 2023'!$D$4:$D$508,$B136,'январь 2023'!$J$4:$J$508,AD$1)</f>
        <v>0</v>
      </c>
      <c r="AE136" s="207">
        <f>SUMIFS('январь 2023'!$G$4:$G$508,'январь 2023'!$D$4:$D$508,$B136,'январь 2023'!$J$4:$J$508,AE$1)</f>
        <v>0</v>
      </c>
      <c r="AF136" s="207">
        <f>SUMIFS('январь 2023'!$G$4:$G$508,'январь 2023'!$D$4:$D$508,$B136,'январь 2023'!$J$4:$J$508,AF$1)</f>
        <v>0</v>
      </c>
      <c r="AG136" s="207">
        <f>SUMIFS('январь 2023'!$G$4:$G$508,'январь 2023'!$D$4:$D$508,$B136,'январь 2023'!$J$4:$J$508,AG$1)</f>
        <v>0</v>
      </c>
      <c r="AH136" s="207">
        <f>SUMIFS('январь 2023'!$G$4:$G$508,'январь 2023'!$D$4:$D$508,$B136,'январь 2023'!$J$4:$J$508,AH$1)</f>
        <v>0</v>
      </c>
      <c r="AI136" s="220">
        <f t="shared" si="3"/>
        <v>0</v>
      </c>
    </row>
    <row r="137" spans="2:35" ht="15" hidden="1" customHeight="1" x14ac:dyDescent="0.25">
      <c r="B137" s="212"/>
      <c r="C137" s="213"/>
      <c r="D137" s="207">
        <f>SUMIFS('январь 2023'!$G$4:$G$508,'январь 2023'!$D$4:$D$508,$B137,'январь 2023'!$J$4:$J$508,D$1)</f>
        <v>0</v>
      </c>
      <c r="E137" s="207">
        <f>SUMIFS('январь 2023'!$G$4:$G$508,'январь 2023'!$D$4:$D$508,$B137,'январь 2023'!$J$4:$J$508,E$1)</f>
        <v>0</v>
      </c>
      <c r="F137" s="207">
        <f>SUMIFS('январь 2023'!$G$4:$G$508,'январь 2023'!$D$4:$D$508,$B137,'январь 2023'!$J$4:$J$508,F$1)</f>
        <v>0</v>
      </c>
      <c r="G137" s="207">
        <f>SUMIFS('январь 2023'!$G$4:$G$508,'январь 2023'!$D$4:$D$508,$B137,'январь 2023'!$J$4:$J$508,G$1)</f>
        <v>0</v>
      </c>
      <c r="H137" s="207">
        <f>SUMIFS('январь 2023'!$G$4:$G$508,'январь 2023'!$D$4:$D$508,$B137,'январь 2023'!$J$4:$J$508,H$1)</f>
        <v>0</v>
      </c>
      <c r="I137" s="207">
        <f>SUMIFS('январь 2023'!$G$4:$G$508,'январь 2023'!$D$4:$D$508,$B137,'январь 2023'!$J$4:$J$508,I$1)</f>
        <v>0</v>
      </c>
      <c r="J137" s="207">
        <f>SUMIFS('январь 2023'!$G$4:$G$508,'январь 2023'!$D$4:$D$508,$B137,'январь 2023'!$J$4:$J$508,J$1)</f>
        <v>0</v>
      </c>
      <c r="K137" s="207">
        <f>SUMIFS('январь 2023'!$G$4:$G$508,'январь 2023'!$D$4:$D$508,$B137,'январь 2023'!$J$4:$J$508,K$1)</f>
        <v>0</v>
      </c>
      <c r="L137" s="207">
        <f>SUMIFS('январь 2023'!$G$4:$G$508,'январь 2023'!$D$4:$D$508,$B137,'январь 2023'!$J$4:$J$508,L$1)</f>
        <v>0</v>
      </c>
      <c r="M137" s="207">
        <f>SUMIFS('январь 2023'!$G$4:$G$508,'январь 2023'!$D$4:$D$508,$B137,'январь 2023'!$J$4:$J$508,M$1)</f>
        <v>0</v>
      </c>
      <c r="N137" s="207">
        <f>SUMIFS('январь 2023'!$G$4:$G$508,'январь 2023'!$D$4:$D$508,$B137,'январь 2023'!$J$4:$J$508,N$1)</f>
        <v>0</v>
      </c>
      <c r="O137" s="207">
        <f>SUMIFS('январь 2023'!$G$4:$G$508,'январь 2023'!$D$4:$D$508,$B137,'январь 2023'!$J$4:$J$508,O$1)</f>
        <v>0</v>
      </c>
      <c r="P137" s="207">
        <f>SUMIFS('январь 2023'!$G$4:$G$508,'январь 2023'!$D$4:$D$508,$B137,'январь 2023'!$J$4:$J$508,P$1)</f>
        <v>0</v>
      </c>
      <c r="Q137" s="207">
        <f>SUMIFS('январь 2023'!$G$4:$G$508,'январь 2023'!$D$4:$D$508,$B137,'январь 2023'!$J$4:$J$508,Q$1)</f>
        <v>0</v>
      </c>
      <c r="R137" s="207">
        <f>SUMIFS('январь 2023'!$G$4:$G$508,'январь 2023'!$D$4:$D$508,$B137,'январь 2023'!$J$4:$J$508,R$1)</f>
        <v>0</v>
      </c>
      <c r="S137" s="207">
        <f>SUMIFS('январь 2023'!$G$4:$G$508,'январь 2023'!$D$4:$D$508,$B137,'январь 2023'!$J$4:$J$508,S$1)</f>
        <v>0</v>
      </c>
      <c r="T137" s="207">
        <f>SUMIFS('январь 2023'!$G$4:$G$508,'январь 2023'!$D$4:$D$508,$B137,'январь 2023'!$J$4:$J$508,T$1)</f>
        <v>0</v>
      </c>
      <c r="U137" s="207">
        <f>SUMIFS('январь 2023'!$G$4:$G$508,'январь 2023'!$D$4:$D$508,$B137,'январь 2023'!$J$4:$J$508,U$1)</f>
        <v>0</v>
      </c>
      <c r="V137" s="207">
        <f>SUMIFS('январь 2023'!$G$4:$G$508,'январь 2023'!$D$4:$D$508,$B137,'январь 2023'!$J$4:$J$508,V$1)</f>
        <v>0</v>
      </c>
      <c r="W137" s="207">
        <f>SUMIFS('январь 2023'!$G$4:$G$508,'январь 2023'!$D$4:$D$508,$B137,'январь 2023'!$J$4:$J$508,W$1)</f>
        <v>0</v>
      </c>
      <c r="X137" s="207">
        <f>SUMIFS('январь 2023'!$G$4:$G$508,'январь 2023'!$D$4:$D$508,$B137,'январь 2023'!$J$4:$J$508,X$1)</f>
        <v>0</v>
      </c>
      <c r="Y137" s="207">
        <f>SUMIFS('январь 2023'!$G$4:$G$508,'январь 2023'!$D$4:$D$508,$B137,'январь 2023'!$J$4:$J$508,Y$1)</f>
        <v>0</v>
      </c>
      <c r="Z137" s="207">
        <f>SUMIFS('январь 2023'!$G$4:$G$508,'январь 2023'!$D$4:$D$508,$B137,'январь 2023'!$J$4:$J$508,Z$1)</f>
        <v>0</v>
      </c>
      <c r="AA137" s="207">
        <f>SUMIFS('январь 2023'!$G$4:$G$508,'январь 2023'!$D$4:$D$508,$B137,'январь 2023'!$J$4:$J$508,AA$1)</f>
        <v>0</v>
      </c>
      <c r="AB137" s="207">
        <f>SUMIFS('январь 2023'!$G$4:$G$508,'январь 2023'!$D$4:$D$508,$B137,'январь 2023'!$J$4:$J$508,AB$1)</f>
        <v>0</v>
      </c>
      <c r="AC137" s="207">
        <f>SUMIFS('январь 2023'!$G$4:$G$508,'январь 2023'!$D$4:$D$508,$B137,'январь 2023'!$J$4:$J$508,AC$1)</f>
        <v>0</v>
      </c>
      <c r="AD137" s="207">
        <f>SUMIFS('январь 2023'!$G$4:$G$508,'январь 2023'!$D$4:$D$508,$B137,'январь 2023'!$J$4:$J$508,AD$1)</f>
        <v>0</v>
      </c>
      <c r="AE137" s="207">
        <f>SUMIFS('январь 2023'!$G$4:$G$508,'январь 2023'!$D$4:$D$508,$B137,'январь 2023'!$J$4:$J$508,AE$1)</f>
        <v>0</v>
      </c>
      <c r="AF137" s="207">
        <f>SUMIFS('январь 2023'!$G$4:$G$508,'январь 2023'!$D$4:$D$508,$B137,'январь 2023'!$J$4:$J$508,AF$1)</f>
        <v>0</v>
      </c>
      <c r="AG137" s="207">
        <f>SUMIFS('январь 2023'!$G$4:$G$508,'январь 2023'!$D$4:$D$508,$B137,'январь 2023'!$J$4:$J$508,AG$1)</f>
        <v>0</v>
      </c>
      <c r="AH137" s="207">
        <f>SUMIFS('январь 2023'!$G$4:$G$508,'январь 2023'!$D$4:$D$508,$B137,'январь 2023'!$J$4:$J$508,AH$1)</f>
        <v>0</v>
      </c>
      <c r="AI137" s="220">
        <f t="shared" si="3"/>
        <v>0</v>
      </c>
    </row>
    <row r="138" spans="2:35" ht="15" hidden="1" customHeight="1" x14ac:dyDescent="0.25">
      <c r="B138" s="212"/>
      <c r="C138" s="213"/>
      <c r="D138" s="207">
        <f>SUMIFS('январь 2023'!$G$4:$G$508,'январь 2023'!$D$4:$D$508,$B138,'январь 2023'!$J$4:$J$508,D$1)</f>
        <v>0</v>
      </c>
      <c r="E138" s="207">
        <f>SUMIFS('январь 2023'!$G$4:$G$508,'январь 2023'!$D$4:$D$508,$B138,'январь 2023'!$J$4:$J$508,E$1)</f>
        <v>0</v>
      </c>
      <c r="F138" s="207">
        <f>SUMIFS('январь 2023'!$G$4:$G$508,'январь 2023'!$D$4:$D$508,$B138,'январь 2023'!$J$4:$J$508,F$1)</f>
        <v>0</v>
      </c>
      <c r="G138" s="207">
        <f>SUMIFS('январь 2023'!$G$4:$G$508,'январь 2023'!$D$4:$D$508,$B138,'январь 2023'!$J$4:$J$508,G$1)</f>
        <v>0</v>
      </c>
      <c r="H138" s="207">
        <f>SUMIFS('январь 2023'!$G$4:$G$508,'январь 2023'!$D$4:$D$508,$B138,'январь 2023'!$J$4:$J$508,H$1)</f>
        <v>0</v>
      </c>
      <c r="I138" s="207">
        <f>SUMIFS('январь 2023'!$G$4:$G$508,'январь 2023'!$D$4:$D$508,$B138,'январь 2023'!$J$4:$J$508,I$1)</f>
        <v>0</v>
      </c>
      <c r="J138" s="207">
        <f>SUMIFS('январь 2023'!$G$4:$G$508,'январь 2023'!$D$4:$D$508,$B138,'январь 2023'!$J$4:$J$508,J$1)</f>
        <v>0</v>
      </c>
      <c r="K138" s="207">
        <f>SUMIFS('январь 2023'!$G$4:$G$508,'январь 2023'!$D$4:$D$508,$B138,'январь 2023'!$J$4:$J$508,K$1)</f>
        <v>0</v>
      </c>
      <c r="L138" s="207">
        <f>SUMIFS('январь 2023'!$G$4:$G$508,'январь 2023'!$D$4:$D$508,$B138,'январь 2023'!$J$4:$J$508,L$1)</f>
        <v>0</v>
      </c>
      <c r="M138" s="207">
        <f>SUMIFS('январь 2023'!$G$4:$G$508,'январь 2023'!$D$4:$D$508,$B138,'январь 2023'!$J$4:$J$508,M$1)</f>
        <v>0</v>
      </c>
      <c r="N138" s="207">
        <f>SUMIFS('январь 2023'!$G$4:$G$508,'январь 2023'!$D$4:$D$508,$B138,'январь 2023'!$J$4:$J$508,N$1)</f>
        <v>0</v>
      </c>
      <c r="O138" s="207">
        <f>SUMIFS('январь 2023'!$G$4:$G$508,'январь 2023'!$D$4:$D$508,$B138,'январь 2023'!$J$4:$J$508,O$1)</f>
        <v>0</v>
      </c>
      <c r="P138" s="207">
        <f>SUMIFS('январь 2023'!$G$4:$G$508,'январь 2023'!$D$4:$D$508,$B138,'январь 2023'!$J$4:$J$508,P$1)</f>
        <v>0</v>
      </c>
      <c r="Q138" s="207">
        <f>SUMIFS('январь 2023'!$G$4:$G$508,'январь 2023'!$D$4:$D$508,$B138,'январь 2023'!$J$4:$J$508,Q$1)</f>
        <v>0</v>
      </c>
      <c r="R138" s="207">
        <f>SUMIFS('январь 2023'!$G$4:$G$508,'январь 2023'!$D$4:$D$508,$B138,'январь 2023'!$J$4:$J$508,R$1)</f>
        <v>0</v>
      </c>
      <c r="S138" s="207">
        <f>SUMIFS('январь 2023'!$G$4:$G$508,'январь 2023'!$D$4:$D$508,$B138,'январь 2023'!$J$4:$J$508,S$1)</f>
        <v>0</v>
      </c>
      <c r="T138" s="207">
        <f>SUMIFS('январь 2023'!$G$4:$G$508,'январь 2023'!$D$4:$D$508,$B138,'январь 2023'!$J$4:$J$508,T$1)</f>
        <v>0</v>
      </c>
      <c r="U138" s="207">
        <f>SUMIFS('январь 2023'!$G$4:$G$508,'январь 2023'!$D$4:$D$508,$B138,'январь 2023'!$J$4:$J$508,U$1)</f>
        <v>0</v>
      </c>
      <c r="V138" s="207">
        <f>SUMIFS('январь 2023'!$G$4:$G$508,'январь 2023'!$D$4:$D$508,$B138,'январь 2023'!$J$4:$J$508,V$1)</f>
        <v>0</v>
      </c>
      <c r="W138" s="207">
        <f>SUMIFS('январь 2023'!$G$4:$G$508,'январь 2023'!$D$4:$D$508,$B138,'январь 2023'!$J$4:$J$508,W$1)</f>
        <v>0</v>
      </c>
      <c r="X138" s="207">
        <f>SUMIFS('январь 2023'!$G$4:$G$508,'январь 2023'!$D$4:$D$508,$B138,'январь 2023'!$J$4:$J$508,X$1)</f>
        <v>0</v>
      </c>
      <c r="Y138" s="207">
        <f>SUMIFS('январь 2023'!$G$4:$G$508,'январь 2023'!$D$4:$D$508,$B138,'январь 2023'!$J$4:$J$508,Y$1)</f>
        <v>0</v>
      </c>
      <c r="Z138" s="207">
        <f>SUMIFS('январь 2023'!$G$4:$G$508,'январь 2023'!$D$4:$D$508,$B138,'январь 2023'!$J$4:$J$508,Z$1)</f>
        <v>0</v>
      </c>
      <c r="AA138" s="207">
        <f>SUMIFS('январь 2023'!$G$4:$G$508,'январь 2023'!$D$4:$D$508,$B138,'январь 2023'!$J$4:$J$508,AA$1)</f>
        <v>0</v>
      </c>
      <c r="AB138" s="207">
        <f>SUMIFS('январь 2023'!$G$4:$G$508,'январь 2023'!$D$4:$D$508,$B138,'январь 2023'!$J$4:$J$508,AB$1)</f>
        <v>0</v>
      </c>
      <c r="AC138" s="207">
        <f>SUMIFS('январь 2023'!$G$4:$G$508,'январь 2023'!$D$4:$D$508,$B138,'январь 2023'!$J$4:$J$508,AC$1)</f>
        <v>0</v>
      </c>
      <c r="AD138" s="207">
        <f>SUMIFS('январь 2023'!$G$4:$G$508,'январь 2023'!$D$4:$D$508,$B138,'январь 2023'!$J$4:$J$508,AD$1)</f>
        <v>0</v>
      </c>
      <c r="AE138" s="207">
        <f>SUMIFS('январь 2023'!$G$4:$G$508,'январь 2023'!$D$4:$D$508,$B138,'январь 2023'!$J$4:$J$508,AE$1)</f>
        <v>0</v>
      </c>
      <c r="AF138" s="207">
        <f>SUMIFS('январь 2023'!$G$4:$G$508,'январь 2023'!$D$4:$D$508,$B138,'январь 2023'!$J$4:$J$508,AF$1)</f>
        <v>0</v>
      </c>
      <c r="AG138" s="207">
        <f>SUMIFS('январь 2023'!$G$4:$G$508,'январь 2023'!$D$4:$D$508,$B138,'январь 2023'!$J$4:$J$508,AG$1)</f>
        <v>0</v>
      </c>
      <c r="AH138" s="207">
        <f>SUMIFS('январь 2023'!$G$4:$G$508,'январь 2023'!$D$4:$D$508,$B138,'январь 2023'!$J$4:$J$508,AH$1)</f>
        <v>0</v>
      </c>
      <c r="AI138" s="220">
        <f t="shared" ref="AI138:AI176" si="4">SUM(D138:AH138)</f>
        <v>0</v>
      </c>
    </row>
    <row r="139" spans="2:35" ht="15" hidden="1" customHeight="1" x14ac:dyDescent="0.25">
      <c r="B139" s="212"/>
      <c r="C139" s="213"/>
      <c r="D139" s="207">
        <f>SUMIFS('январь 2023'!$G$4:$G$508,'январь 2023'!$D$4:$D$508,$B139,'январь 2023'!$J$4:$J$508,D$1)</f>
        <v>0</v>
      </c>
      <c r="E139" s="207">
        <f>SUMIFS('январь 2023'!$G$4:$G$508,'январь 2023'!$D$4:$D$508,$B139,'январь 2023'!$J$4:$J$508,E$1)</f>
        <v>0</v>
      </c>
      <c r="F139" s="207">
        <f>SUMIFS('январь 2023'!$G$4:$G$508,'январь 2023'!$D$4:$D$508,$B139,'январь 2023'!$J$4:$J$508,F$1)</f>
        <v>0</v>
      </c>
      <c r="G139" s="207">
        <f>SUMIFS('январь 2023'!$G$4:$G$508,'январь 2023'!$D$4:$D$508,$B139,'январь 2023'!$J$4:$J$508,G$1)</f>
        <v>0</v>
      </c>
      <c r="H139" s="207">
        <f>SUMIFS('январь 2023'!$G$4:$G$508,'январь 2023'!$D$4:$D$508,$B139,'январь 2023'!$J$4:$J$508,H$1)</f>
        <v>0</v>
      </c>
      <c r="I139" s="207">
        <f>SUMIFS('январь 2023'!$G$4:$G$508,'январь 2023'!$D$4:$D$508,$B139,'январь 2023'!$J$4:$J$508,I$1)</f>
        <v>0</v>
      </c>
      <c r="J139" s="207">
        <f>SUMIFS('январь 2023'!$G$4:$G$508,'январь 2023'!$D$4:$D$508,$B139,'январь 2023'!$J$4:$J$508,J$1)</f>
        <v>0</v>
      </c>
      <c r="K139" s="207">
        <f>SUMIFS('январь 2023'!$G$4:$G$508,'январь 2023'!$D$4:$D$508,$B139,'январь 2023'!$J$4:$J$508,K$1)</f>
        <v>0</v>
      </c>
      <c r="L139" s="207">
        <f>SUMIFS('январь 2023'!$G$4:$G$508,'январь 2023'!$D$4:$D$508,$B139,'январь 2023'!$J$4:$J$508,L$1)</f>
        <v>0</v>
      </c>
      <c r="M139" s="207">
        <f>SUMIFS('январь 2023'!$G$4:$G$508,'январь 2023'!$D$4:$D$508,$B139,'январь 2023'!$J$4:$J$508,M$1)</f>
        <v>0</v>
      </c>
      <c r="N139" s="207">
        <f>SUMIFS('январь 2023'!$G$4:$G$508,'январь 2023'!$D$4:$D$508,$B139,'январь 2023'!$J$4:$J$508,N$1)</f>
        <v>0</v>
      </c>
      <c r="O139" s="207">
        <f>SUMIFS('январь 2023'!$G$4:$G$508,'январь 2023'!$D$4:$D$508,$B139,'январь 2023'!$J$4:$J$508,O$1)</f>
        <v>0</v>
      </c>
      <c r="P139" s="207">
        <f>SUMIFS('январь 2023'!$G$4:$G$508,'январь 2023'!$D$4:$D$508,$B139,'январь 2023'!$J$4:$J$508,P$1)</f>
        <v>0</v>
      </c>
      <c r="Q139" s="207">
        <f>SUMIFS('январь 2023'!$G$4:$G$508,'январь 2023'!$D$4:$D$508,$B139,'январь 2023'!$J$4:$J$508,Q$1)</f>
        <v>0</v>
      </c>
      <c r="R139" s="207">
        <f>SUMIFS('январь 2023'!$G$4:$G$508,'январь 2023'!$D$4:$D$508,$B139,'январь 2023'!$J$4:$J$508,R$1)</f>
        <v>0</v>
      </c>
      <c r="S139" s="207">
        <f>SUMIFS('январь 2023'!$G$4:$G$508,'январь 2023'!$D$4:$D$508,$B139,'январь 2023'!$J$4:$J$508,S$1)</f>
        <v>0</v>
      </c>
      <c r="T139" s="207">
        <f>SUMIFS('январь 2023'!$G$4:$G$508,'январь 2023'!$D$4:$D$508,$B139,'январь 2023'!$J$4:$J$508,T$1)</f>
        <v>0</v>
      </c>
      <c r="U139" s="207">
        <f>SUMIFS('январь 2023'!$G$4:$G$508,'январь 2023'!$D$4:$D$508,$B139,'январь 2023'!$J$4:$J$508,U$1)</f>
        <v>0</v>
      </c>
      <c r="V139" s="207">
        <f>SUMIFS('январь 2023'!$G$4:$G$508,'январь 2023'!$D$4:$D$508,$B139,'январь 2023'!$J$4:$J$508,V$1)</f>
        <v>0</v>
      </c>
      <c r="W139" s="207">
        <f>SUMIFS('январь 2023'!$G$4:$G$508,'январь 2023'!$D$4:$D$508,$B139,'январь 2023'!$J$4:$J$508,W$1)</f>
        <v>0</v>
      </c>
      <c r="X139" s="207">
        <f>SUMIFS('январь 2023'!$G$4:$G$508,'январь 2023'!$D$4:$D$508,$B139,'январь 2023'!$J$4:$J$508,X$1)</f>
        <v>0</v>
      </c>
      <c r="Y139" s="207">
        <f>SUMIFS('январь 2023'!$G$4:$G$508,'январь 2023'!$D$4:$D$508,$B139,'январь 2023'!$J$4:$J$508,Y$1)</f>
        <v>0</v>
      </c>
      <c r="Z139" s="207">
        <f>SUMIFS('январь 2023'!$G$4:$G$508,'январь 2023'!$D$4:$D$508,$B139,'январь 2023'!$J$4:$J$508,Z$1)</f>
        <v>0</v>
      </c>
      <c r="AA139" s="207">
        <f>SUMIFS('январь 2023'!$G$4:$G$508,'январь 2023'!$D$4:$D$508,$B139,'январь 2023'!$J$4:$J$508,AA$1)</f>
        <v>0</v>
      </c>
      <c r="AB139" s="207">
        <f>SUMIFS('январь 2023'!$G$4:$G$508,'январь 2023'!$D$4:$D$508,$B139,'январь 2023'!$J$4:$J$508,AB$1)</f>
        <v>0</v>
      </c>
      <c r="AC139" s="207">
        <f>SUMIFS('январь 2023'!$G$4:$G$508,'январь 2023'!$D$4:$D$508,$B139,'январь 2023'!$J$4:$J$508,AC$1)</f>
        <v>0</v>
      </c>
      <c r="AD139" s="207">
        <f>SUMIFS('январь 2023'!$G$4:$G$508,'январь 2023'!$D$4:$D$508,$B139,'январь 2023'!$J$4:$J$508,AD$1)</f>
        <v>0</v>
      </c>
      <c r="AE139" s="207">
        <f>SUMIFS('январь 2023'!$G$4:$G$508,'январь 2023'!$D$4:$D$508,$B139,'январь 2023'!$J$4:$J$508,AE$1)</f>
        <v>0</v>
      </c>
      <c r="AF139" s="207">
        <f>SUMIFS('январь 2023'!$G$4:$G$508,'январь 2023'!$D$4:$D$508,$B139,'январь 2023'!$J$4:$J$508,AF$1)</f>
        <v>0</v>
      </c>
      <c r="AG139" s="207">
        <f>SUMIFS('январь 2023'!$G$4:$G$508,'январь 2023'!$D$4:$D$508,$B139,'январь 2023'!$J$4:$J$508,AG$1)</f>
        <v>0</v>
      </c>
      <c r="AH139" s="207">
        <f>SUMIFS('январь 2023'!$G$4:$G$508,'январь 2023'!$D$4:$D$508,$B139,'январь 2023'!$J$4:$J$508,AH$1)</f>
        <v>0</v>
      </c>
      <c r="AI139" s="220">
        <f t="shared" si="4"/>
        <v>0</v>
      </c>
    </row>
    <row r="140" spans="2:35" ht="15.75" hidden="1" x14ac:dyDescent="0.25">
      <c r="B140" s="212"/>
      <c r="C140" s="213"/>
      <c r="D140" s="207">
        <f>SUMIFS('январь 2023'!$G$4:$G$508,'январь 2023'!$D$4:$D$508,$B140,'январь 2023'!$J$4:$J$508,D$1)</f>
        <v>0</v>
      </c>
      <c r="E140" s="207">
        <f>SUMIFS('январь 2023'!$G$4:$G$508,'январь 2023'!$D$4:$D$508,$B140,'январь 2023'!$J$4:$J$508,E$1)</f>
        <v>0</v>
      </c>
      <c r="F140" s="207">
        <f>SUMIFS('январь 2023'!$G$4:$G$508,'январь 2023'!$D$4:$D$508,$B140,'январь 2023'!$J$4:$J$508,F$1)</f>
        <v>0</v>
      </c>
      <c r="G140" s="207">
        <f>SUMIFS('январь 2023'!$G$4:$G$508,'январь 2023'!$D$4:$D$508,$B140,'январь 2023'!$J$4:$J$508,G$1)</f>
        <v>0</v>
      </c>
      <c r="H140" s="207">
        <f>SUMIFS('январь 2023'!$G$4:$G$508,'январь 2023'!$D$4:$D$508,$B140,'январь 2023'!$J$4:$J$508,H$1)</f>
        <v>0</v>
      </c>
      <c r="I140" s="207">
        <f>SUMIFS('январь 2023'!$G$4:$G$508,'январь 2023'!$D$4:$D$508,$B140,'январь 2023'!$J$4:$J$508,I$1)</f>
        <v>0</v>
      </c>
      <c r="J140" s="207">
        <f>SUMIFS('январь 2023'!$G$4:$G$508,'январь 2023'!$D$4:$D$508,$B140,'январь 2023'!$J$4:$J$508,J$1)</f>
        <v>0</v>
      </c>
      <c r="K140" s="207">
        <f>SUMIFS('январь 2023'!$G$4:$G$508,'январь 2023'!$D$4:$D$508,$B140,'январь 2023'!$J$4:$J$508,K$1)</f>
        <v>0</v>
      </c>
      <c r="L140" s="207">
        <f>SUMIFS('январь 2023'!$G$4:$G$508,'январь 2023'!$D$4:$D$508,$B140,'январь 2023'!$J$4:$J$508,L$1)</f>
        <v>0</v>
      </c>
      <c r="M140" s="207">
        <f>SUMIFS('январь 2023'!$G$4:$G$508,'январь 2023'!$D$4:$D$508,$B140,'январь 2023'!$J$4:$J$508,M$1)</f>
        <v>0</v>
      </c>
      <c r="N140" s="207">
        <f>SUMIFS('январь 2023'!$G$4:$G$508,'январь 2023'!$D$4:$D$508,$B140,'январь 2023'!$J$4:$J$508,N$1)</f>
        <v>0</v>
      </c>
      <c r="O140" s="207">
        <f>SUMIFS('январь 2023'!$G$4:$G$508,'январь 2023'!$D$4:$D$508,$B140,'январь 2023'!$J$4:$J$508,O$1)</f>
        <v>0</v>
      </c>
      <c r="P140" s="207">
        <f>SUMIFS('январь 2023'!$G$4:$G$508,'январь 2023'!$D$4:$D$508,$B140,'январь 2023'!$J$4:$J$508,P$1)</f>
        <v>0</v>
      </c>
      <c r="Q140" s="207">
        <f>SUMIFS('январь 2023'!$G$4:$G$508,'январь 2023'!$D$4:$D$508,$B140,'январь 2023'!$J$4:$J$508,Q$1)</f>
        <v>0</v>
      </c>
      <c r="R140" s="207">
        <f>SUMIFS('январь 2023'!$G$4:$G$508,'январь 2023'!$D$4:$D$508,$B140,'январь 2023'!$J$4:$J$508,R$1)</f>
        <v>0</v>
      </c>
      <c r="S140" s="207">
        <f>SUMIFS('январь 2023'!$G$4:$G$508,'январь 2023'!$D$4:$D$508,$B140,'январь 2023'!$J$4:$J$508,S$1)</f>
        <v>0</v>
      </c>
      <c r="T140" s="207">
        <f>SUMIFS('январь 2023'!$G$4:$G$508,'январь 2023'!$D$4:$D$508,$B140,'январь 2023'!$J$4:$J$508,T$1)</f>
        <v>0</v>
      </c>
      <c r="U140" s="207">
        <f>SUMIFS('январь 2023'!$G$4:$G$508,'январь 2023'!$D$4:$D$508,$B140,'январь 2023'!$J$4:$J$508,U$1)</f>
        <v>0</v>
      </c>
      <c r="V140" s="207">
        <f>SUMIFS('январь 2023'!$G$4:$G$508,'январь 2023'!$D$4:$D$508,$B140,'январь 2023'!$J$4:$J$508,V$1)</f>
        <v>0</v>
      </c>
      <c r="W140" s="207">
        <f>SUMIFS('январь 2023'!$G$4:$G$508,'январь 2023'!$D$4:$D$508,$B140,'январь 2023'!$J$4:$J$508,W$1)</f>
        <v>0</v>
      </c>
      <c r="X140" s="207">
        <f>SUMIFS('январь 2023'!$G$4:$G$508,'январь 2023'!$D$4:$D$508,$B140,'январь 2023'!$J$4:$J$508,X$1)</f>
        <v>0</v>
      </c>
      <c r="Y140" s="207">
        <f>SUMIFS('январь 2023'!$G$4:$G$508,'январь 2023'!$D$4:$D$508,$B140,'январь 2023'!$J$4:$J$508,Y$1)</f>
        <v>0</v>
      </c>
      <c r="Z140" s="207">
        <f>SUMIFS('январь 2023'!$G$4:$G$508,'январь 2023'!$D$4:$D$508,$B140,'январь 2023'!$J$4:$J$508,Z$1)</f>
        <v>0</v>
      </c>
      <c r="AA140" s="207">
        <f>SUMIFS('январь 2023'!$G$4:$G$508,'январь 2023'!$D$4:$D$508,$B140,'январь 2023'!$J$4:$J$508,AA$1)</f>
        <v>0</v>
      </c>
      <c r="AB140" s="207">
        <f>SUMIFS('январь 2023'!$G$4:$G$508,'январь 2023'!$D$4:$D$508,$B140,'январь 2023'!$J$4:$J$508,AB$1)</f>
        <v>0</v>
      </c>
      <c r="AC140" s="207">
        <f>SUMIFS('январь 2023'!$G$4:$G$508,'январь 2023'!$D$4:$D$508,$B140,'январь 2023'!$J$4:$J$508,AC$1)</f>
        <v>0</v>
      </c>
      <c r="AD140" s="207">
        <f>SUMIFS('январь 2023'!$G$4:$G$508,'январь 2023'!$D$4:$D$508,$B140,'январь 2023'!$J$4:$J$508,AD$1)</f>
        <v>0</v>
      </c>
      <c r="AE140" s="207">
        <f>SUMIFS('январь 2023'!$G$4:$G$508,'январь 2023'!$D$4:$D$508,$B140,'январь 2023'!$J$4:$J$508,AE$1)</f>
        <v>0</v>
      </c>
      <c r="AF140" s="207">
        <f>SUMIFS('январь 2023'!$G$4:$G$508,'январь 2023'!$D$4:$D$508,$B140,'январь 2023'!$J$4:$J$508,AF$1)</f>
        <v>0</v>
      </c>
      <c r="AG140" s="207">
        <f>SUMIFS('январь 2023'!$G$4:$G$508,'январь 2023'!$D$4:$D$508,$B140,'январь 2023'!$J$4:$J$508,AG$1)</f>
        <v>0</v>
      </c>
      <c r="AH140" s="207">
        <f>SUMIFS('январь 2023'!$G$4:$G$508,'январь 2023'!$D$4:$D$508,$B140,'январь 2023'!$J$4:$J$508,AH$1)</f>
        <v>0</v>
      </c>
      <c r="AI140" s="220">
        <f t="shared" si="4"/>
        <v>0</v>
      </c>
    </row>
    <row r="141" spans="2:35" ht="15.75" hidden="1" x14ac:dyDescent="0.25">
      <c r="B141" s="212"/>
      <c r="C141" s="213"/>
      <c r="D141" s="207">
        <f>SUMIFS('январь 2023'!$G$4:$G$508,'январь 2023'!$D$4:$D$508,$B141,'январь 2023'!$J$4:$J$508,D$1)</f>
        <v>0</v>
      </c>
      <c r="E141" s="207">
        <f>SUMIFS('январь 2023'!$G$4:$G$508,'январь 2023'!$D$4:$D$508,$B141,'январь 2023'!$J$4:$J$508,E$1)</f>
        <v>0</v>
      </c>
      <c r="F141" s="207">
        <f>SUMIFS('январь 2023'!$G$4:$G$508,'январь 2023'!$D$4:$D$508,$B141,'январь 2023'!$J$4:$J$508,F$1)</f>
        <v>0</v>
      </c>
      <c r="G141" s="207">
        <f>SUMIFS('январь 2023'!$G$4:$G$508,'январь 2023'!$D$4:$D$508,$B141,'январь 2023'!$J$4:$J$508,G$1)</f>
        <v>0</v>
      </c>
      <c r="H141" s="207">
        <f>SUMIFS('январь 2023'!$G$4:$G$508,'январь 2023'!$D$4:$D$508,$B141,'январь 2023'!$J$4:$J$508,H$1)</f>
        <v>0</v>
      </c>
      <c r="I141" s="207">
        <f>SUMIFS('январь 2023'!$G$4:$G$508,'январь 2023'!$D$4:$D$508,$B141,'январь 2023'!$J$4:$J$508,I$1)</f>
        <v>0</v>
      </c>
      <c r="J141" s="207">
        <f>SUMIFS('январь 2023'!$G$4:$G$508,'январь 2023'!$D$4:$D$508,$B141,'январь 2023'!$J$4:$J$508,J$1)</f>
        <v>0</v>
      </c>
      <c r="K141" s="207">
        <f>SUMIFS('январь 2023'!$G$4:$G$508,'январь 2023'!$D$4:$D$508,$B141,'январь 2023'!$J$4:$J$508,K$1)</f>
        <v>0</v>
      </c>
      <c r="L141" s="207">
        <f>SUMIFS('январь 2023'!$G$4:$G$508,'январь 2023'!$D$4:$D$508,$B141,'январь 2023'!$J$4:$J$508,L$1)</f>
        <v>0</v>
      </c>
      <c r="M141" s="207">
        <f>SUMIFS('январь 2023'!$G$4:$G$508,'январь 2023'!$D$4:$D$508,$B141,'январь 2023'!$J$4:$J$508,M$1)</f>
        <v>0</v>
      </c>
      <c r="N141" s="207">
        <f>SUMIFS('январь 2023'!$G$4:$G$508,'январь 2023'!$D$4:$D$508,$B141,'январь 2023'!$J$4:$J$508,N$1)</f>
        <v>0</v>
      </c>
      <c r="O141" s="207">
        <f>SUMIFS('январь 2023'!$G$4:$G$508,'январь 2023'!$D$4:$D$508,$B141,'январь 2023'!$J$4:$J$508,O$1)</f>
        <v>0</v>
      </c>
      <c r="P141" s="207">
        <f>SUMIFS('январь 2023'!$G$4:$G$508,'январь 2023'!$D$4:$D$508,$B141,'январь 2023'!$J$4:$J$508,P$1)</f>
        <v>0</v>
      </c>
      <c r="Q141" s="207">
        <f>SUMIFS('январь 2023'!$G$4:$G$508,'январь 2023'!$D$4:$D$508,$B141,'январь 2023'!$J$4:$J$508,Q$1)</f>
        <v>0</v>
      </c>
      <c r="R141" s="207">
        <f>SUMIFS('январь 2023'!$G$4:$G$508,'январь 2023'!$D$4:$D$508,$B141,'январь 2023'!$J$4:$J$508,R$1)</f>
        <v>0</v>
      </c>
      <c r="S141" s="207">
        <f>SUMIFS('январь 2023'!$G$4:$G$508,'январь 2023'!$D$4:$D$508,$B141,'январь 2023'!$J$4:$J$508,S$1)</f>
        <v>0</v>
      </c>
      <c r="T141" s="207">
        <f>SUMIFS('январь 2023'!$G$4:$G$508,'январь 2023'!$D$4:$D$508,$B141,'январь 2023'!$J$4:$J$508,T$1)</f>
        <v>0</v>
      </c>
      <c r="U141" s="207">
        <f>SUMIFS('январь 2023'!$G$4:$G$508,'январь 2023'!$D$4:$D$508,$B141,'январь 2023'!$J$4:$J$508,U$1)</f>
        <v>0</v>
      </c>
      <c r="V141" s="207">
        <f>SUMIFS('январь 2023'!$G$4:$G$508,'январь 2023'!$D$4:$D$508,$B141,'январь 2023'!$J$4:$J$508,V$1)</f>
        <v>0</v>
      </c>
      <c r="W141" s="207">
        <f>SUMIFS('январь 2023'!$G$4:$G$508,'январь 2023'!$D$4:$D$508,$B141,'январь 2023'!$J$4:$J$508,W$1)</f>
        <v>0</v>
      </c>
      <c r="X141" s="207">
        <f>SUMIFS('январь 2023'!$G$4:$G$508,'январь 2023'!$D$4:$D$508,$B141,'январь 2023'!$J$4:$J$508,X$1)</f>
        <v>0</v>
      </c>
      <c r="Y141" s="207">
        <f>SUMIFS('январь 2023'!$G$4:$G$508,'январь 2023'!$D$4:$D$508,$B141,'январь 2023'!$J$4:$J$508,Y$1)</f>
        <v>0</v>
      </c>
      <c r="Z141" s="207">
        <f>SUMIFS('январь 2023'!$G$4:$G$508,'январь 2023'!$D$4:$D$508,$B141,'январь 2023'!$J$4:$J$508,Z$1)</f>
        <v>0</v>
      </c>
      <c r="AA141" s="207">
        <f>SUMIFS('январь 2023'!$G$4:$G$508,'январь 2023'!$D$4:$D$508,$B141,'январь 2023'!$J$4:$J$508,AA$1)</f>
        <v>0</v>
      </c>
      <c r="AB141" s="207">
        <f>SUMIFS('январь 2023'!$G$4:$G$508,'январь 2023'!$D$4:$D$508,$B141,'январь 2023'!$J$4:$J$508,AB$1)</f>
        <v>0</v>
      </c>
      <c r="AC141" s="207">
        <f>SUMIFS('январь 2023'!$G$4:$G$508,'январь 2023'!$D$4:$D$508,$B141,'январь 2023'!$J$4:$J$508,AC$1)</f>
        <v>0</v>
      </c>
      <c r="AD141" s="207">
        <f>SUMIFS('январь 2023'!$G$4:$G$508,'январь 2023'!$D$4:$D$508,$B141,'январь 2023'!$J$4:$J$508,AD$1)</f>
        <v>0</v>
      </c>
      <c r="AE141" s="207">
        <f>SUMIFS('январь 2023'!$G$4:$G$508,'январь 2023'!$D$4:$D$508,$B141,'январь 2023'!$J$4:$J$508,AE$1)</f>
        <v>0</v>
      </c>
      <c r="AF141" s="207">
        <f>SUMIFS('январь 2023'!$G$4:$G$508,'январь 2023'!$D$4:$D$508,$B141,'январь 2023'!$J$4:$J$508,AF$1)</f>
        <v>0</v>
      </c>
      <c r="AG141" s="207">
        <f>SUMIFS('январь 2023'!$G$4:$G$508,'январь 2023'!$D$4:$D$508,$B141,'январь 2023'!$J$4:$J$508,AG$1)</f>
        <v>0</v>
      </c>
      <c r="AH141" s="207">
        <f>SUMIFS('январь 2023'!$G$4:$G$508,'январь 2023'!$D$4:$D$508,$B141,'январь 2023'!$J$4:$J$508,AH$1)</f>
        <v>0</v>
      </c>
      <c r="AI141" s="220">
        <f t="shared" si="4"/>
        <v>0</v>
      </c>
    </row>
    <row r="142" spans="2:35" ht="15.75" hidden="1" x14ac:dyDescent="0.25">
      <c r="B142" s="212"/>
      <c r="C142" s="211"/>
      <c r="D142" s="207">
        <f>SUMIFS('январь 2023'!$G$4:$G$508,'январь 2023'!$D$4:$D$508,$B142,'январь 2023'!$J$4:$J$508,D$1)</f>
        <v>0</v>
      </c>
      <c r="E142" s="207">
        <f>SUMIFS('январь 2023'!$G$4:$G$508,'январь 2023'!$D$4:$D$508,$B142,'январь 2023'!$J$4:$J$508,E$1)</f>
        <v>0</v>
      </c>
      <c r="F142" s="207">
        <f>SUMIFS('январь 2023'!$G$4:$G$508,'январь 2023'!$D$4:$D$508,$B142,'январь 2023'!$J$4:$J$508,F$1)</f>
        <v>0</v>
      </c>
      <c r="G142" s="207">
        <f>SUMIFS('январь 2023'!$G$4:$G$508,'январь 2023'!$D$4:$D$508,$B142,'январь 2023'!$J$4:$J$508,G$1)</f>
        <v>0</v>
      </c>
      <c r="H142" s="207">
        <f>SUMIFS('январь 2023'!$G$4:$G$508,'январь 2023'!$D$4:$D$508,$B142,'январь 2023'!$J$4:$J$508,H$1)</f>
        <v>0</v>
      </c>
      <c r="I142" s="207">
        <f>SUMIFS('январь 2023'!$G$4:$G$508,'январь 2023'!$D$4:$D$508,$B142,'январь 2023'!$J$4:$J$508,I$1)</f>
        <v>0</v>
      </c>
      <c r="J142" s="207">
        <f>SUMIFS('январь 2023'!$G$4:$G$508,'январь 2023'!$D$4:$D$508,$B142,'январь 2023'!$J$4:$J$508,J$1)</f>
        <v>0</v>
      </c>
      <c r="K142" s="207">
        <f>SUMIFS('январь 2023'!$G$4:$G$508,'январь 2023'!$D$4:$D$508,$B142,'январь 2023'!$J$4:$J$508,K$1)</f>
        <v>0</v>
      </c>
      <c r="L142" s="207">
        <f>SUMIFS('январь 2023'!$G$4:$G$508,'январь 2023'!$D$4:$D$508,$B142,'январь 2023'!$J$4:$J$508,L$1)</f>
        <v>0</v>
      </c>
      <c r="M142" s="207">
        <f>SUMIFS('январь 2023'!$G$4:$G$508,'январь 2023'!$D$4:$D$508,$B142,'январь 2023'!$J$4:$J$508,M$1)</f>
        <v>0</v>
      </c>
      <c r="N142" s="207">
        <f>SUMIFS('январь 2023'!$G$4:$G$508,'январь 2023'!$D$4:$D$508,$B142,'январь 2023'!$J$4:$J$508,N$1)</f>
        <v>0</v>
      </c>
      <c r="O142" s="207">
        <f>SUMIFS('январь 2023'!$G$4:$G$508,'январь 2023'!$D$4:$D$508,$B142,'январь 2023'!$J$4:$J$508,O$1)</f>
        <v>0</v>
      </c>
      <c r="P142" s="207">
        <f>SUMIFS('январь 2023'!$G$4:$G$508,'январь 2023'!$D$4:$D$508,$B142,'январь 2023'!$J$4:$J$508,P$1)</f>
        <v>0</v>
      </c>
      <c r="Q142" s="207">
        <f>SUMIFS('январь 2023'!$G$4:$G$508,'январь 2023'!$D$4:$D$508,$B142,'январь 2023'!$J$4:$J$508,Q$1)</f>
        <v>0</v>
      </c>
      <c r="R142" s="207">
        <f>SUMIFS('январь 2023'!$G$4:$G$508,'январь 2023'!$D$4:$D$508,$B142,'январь 2023'!$J$4:$J$508,R$1)</f>
        <v>0</v>
      </c>
      <c r="S142" s="207">
        <f>SUMIFS('январь 2023'!$G$4:$G$508,'январь 2023'!$D$4:$D$508,$B142,'январь 2023'!$J$4:$J$508,S$1)</f>
        <v>0</v>
      </c>
      <c r="T142" s="207">
        <f>SUMIFS('январь 2023'!$G$4:$G$508,'январь 2023'!$D$4:$D$508,$B142,'январь 2023'!$J$4:$J$508,T$1)</f>
        <v>0</v>
      </c>
      <c r="U142" s="207">
        <f>SUMIFS('январь 2023'!$G$4:$G$508,'январь 2023'!$D$4:$D$508,$B142,'январь 2023'!$J$4:$J$508,U$1)</f>
        <v>0</v>
      </c>
      <c r="V142" s="207">
        <f>SUMIFS('январь 2023'!$G$4:$G$508,'январь 2023'!$D$4:$D$508,$B142,'январь 2023'!$J$4:$J$508,V$1)</f>
        <v>0</v>
      </c>
      <c r="W142" s="207">
        <f>SUMIFS('январь 2023'!$G$4:$G$508,'январь 2023'!$D$4:$D$508,$B142,'январь 2023'!$J$4:$J$508,W$1)</f>
        <v>0</v>
      </c>
      <c r="X142" s="207">
        <f>SUMIFS('январь 2023'!$G$4:$G$508,'январь 2023'!$D$4:$D$508,$B142,'январь 2023'!$J$4:$J$508,X$1)</f>
        <v>0</v>
      </c>
      <c r="Y142" s="207">
        <f>SUMIFS('январь 2023'!$G$4:$G$508,'январь 2023'!$D$4:$D$508,$B142,'январь 2023'!$J$4:$J$508,Y$1)</f>
        <v>0</v>
      </c>
      <c r="Z142" s="207">
        <f>SUMIFS('январь 2023'!$G$4:$G$508,'январь 2023'!$D$4:$D$508,$B142,'январь 2023'!$J$4:$J$508,Z$1)</f>
        <v>0</v>
      </c>
      <c r="AA142" s="207">
        <f>SUMIFS('январь 2023'!$G$4:$G$508,'январь 2023'!$D$4:$D$508,$B142,'январь 2023'!$J$4:$J$508,AA$1)</f>
        <v>0</v>
      </c>
      <c r="AB142" s="207">
        <f>SUMIFS('январь 2023'!$G$4:$G$508,'январь 2023'!$D$4:$D$508,$B142,'январь 2023'!$J$4:$J$508,AB$1)</f>
        <v>0</v>
      </c>
      <c r="AC142" s="207">
        <f>SUMIFS('январь 2023'!$G$4:$G$508,'январь 2023'!$D$4:$D$508,$B142,'январь 2023'!$J$4:$J$508,AC$1)</f>
        <v>0</v>
      </c>
      <c r="AD142" s="207">
        <f>SUMIFS('январь 2023'!$G$4:$G$508,'январь 2023'!$D$4:$D$508,$B142,'январь 2023'!$J$4:$J$508,AD$1)</f>
        <v>0</v>
      </c>
      <c r="AE142" s="207">
        <f>SUMIFS('январь 2023'!$G$4:$G$508,'январь 2023'!$D$4:$D$508,$B142,'январь 2023'!$J$4:$J$508,AE$1)</f>
        <v>0</v>
      </c>
      <c r="AF142" s="207">
        <f>SUMIFS('январь 2023'!$G$4:$G$508,'январь 2023'!$D$4:$D$508,$B142,'январь 2023'!$J$4:$J$508,AF$1)</f>
        <v>0</v>
      </c>
      <c r="AG142" s="207">
        <f>SUMIFS('январь 2023'!$G$4:$G$508,'январь 2023'!$D$4:$D$508,$B142,'январь 2023'!$J$4:$J$508,AG$1)</f>
        <v>0</v>
      </c>
      <c r="AH142" s="207">
        <f>SUMIFS('январь 2023'!$G$4:$G$508,'январь 2023'!$D$4:$D$508,$B142,'январь 2023'!$J$4:$J$508,AH$1)</f>
        <v>0</v>
      </c>
      <c r="AI142" s="220">
        <f t="shared" si="4"/>
        <v>0</v>
      </c>
    </row>
    <row r="143" spans="2:35" ht="15.75" hidden="1" x14ac:dyDescent="0.25">
      <c r="B143" s="212"/>
      <c r="C143" s="211"/>
      <c r="D143" s="207">
        <f>SUMIFS('январь 2023'!$G$4:$G$508,'январь 2023'!$D$4:$D$508,$B143,'январь 2023'!$J$4:$J$508,D$1)</f>
        <v>0</v>
      </c>
      <c r="E143" s="207">
        <f>SUMIFS('январь 2023'!$G$4:$G$508,'январь 2023'!$D$4:$D$508,$B143,'январь 2023'!$J$4:$J$508,E$1)</f>
        <v>0</v>
      </c>
      <c r="F143" s="207">
        <f>SUMIFS('январь 2023'!$G$4:$G$508,'январь 2023'!$D$4:$D$508,$B143,'январь 2023'!$J$4:$J$508,F$1)</f>
        <v>0</v>
      </c>
      <c r="G143" s="207">
        <f>SUMIFS('январь 2023'!$G$4:$G$508,'январь 2023'!$D$4:$D$508,$B143,'январь 2023'!$J$4:$J$508,G$1)</f>
        <v>0</v>
      </c>
      <c r="H143" s="207">
        <f>SUMIFS('январь 2023'!$G$4:$G$508,'январь 2023'!$D$4:$D$508,$B143,'январь 2023'!$J$4:$J$508,H$1)</f>
        <v>0</v>
      </c>
      <c r="I143" s="207">
        <f>SUMIFS('январь 2023'!$G$4:$G$508,'январь 2023'!$D$4:$D$508,$B143,'январь 2023'!$J$4:$J$508,I$1)</f>
        <v>0</v>
      </c>
      <c r="J143" s="207">
        <f>SUMIFS('январь 2023'!$G$4:$G$508,'январь 2023'!$D$4:$D$508,$B143,'январь 2023'!$J$4:$J$508,J$1)</f>
        <v>0</v>
      </c>
      <c r="K143" s="207">
        <f>SUMIFS('январь 2023'!$G$4:$G$508,'январь 2023'!$D$4:$D$508,$B143,'январь 2023'!$J$4:$J$508,K$1)</f>
        <v>0</v>
      </c>
      <c r="L143" s="207">
        <f>SUMIFS('январь 2023'!$G$4:$G$508,'январь 2023'!$D$4:$D$508,$B143,'январь 2023'!$J$4:$J$508,L$1)</f>
        <v>0</v>
      </c>
      <c r="M143" s="207">
        <f>SUMIFS('январь 2023'!$G$4:$G$508,'январь 2023'!$D$4:$D$508,$B143,'январь 2023'!$J$4:$J$508,M$1)</f>
        <v>0</v>
      </c>
      <c r="N143" s="207">
        <f>SUMIFS('январь 2023'!$G$4:$G$508,'январь 2023'!$D$4:$D$508,$B143,'январь 2023'!$J$4:$J$508,N$1)</f>
        <v>0</v>
      </c>
      <c r="O143" s="207">
        <f>SUMIFS('январь 2023'!$G$4:$G$508,'январь 2023'!$D$4:$D$508,$B143,'январь 2023'!$J$4:$J$508,O$1)</f>
        <v>0</v>
      </c>
      <c r="P143" s="207">
        <f>SUMIFS('январь 2023'!$G$4:$G$508,'январь 2023'!$D$4:$D$508,$B143,'январь 2023'!$J$4:$J$508,P$1)</f>
        <v>0</v>
      </c>
      <c r="Q143" s="207">
        <f>SUMIFS('январь 2023'!$G$4:$G$508,'январь 2023'!$D$4:$D$508,$B143,'январь 2023'!$J$4:$J$508,Q$1)</f>
        <v>0</v>
      </c>
      <c r="R143" s="207">
        <f>SUMIFS('январь 2023'!$G$4:$G$508,'январь 2023'!$D$4:$D$508,$B143,'январь 2023'!$J$4:$J$508,R$1)</f>
        <v>0</v>
      </c>
      <c r="S143" s="207">
        <f>SUMIFS('январь 2023'!$G$4:$G$508,'январь 2023'!$D$4:$D$508,$B143,'январь 2023'!$J$4:$J$508,S$1)</f>
        <v>0</v>
      </c>
      <c r="T143" s="207">
        <f>SUMIFS('январь 2023'!$G$4:$G$508,'январь 2023'!$D$4:$D$508,$B143,'январь 2023'!$J$4:$J$508,T$1)</f>
        <v>0</v>
      </c>
      <c r="U143" s="207">
        <f>SUMIFS('январь 2023'!$G$4:$G$508,'январь 2023'!$D$4:$D$508,$B143,'январь 2023'!$J$4:$J$508,U$1)</f>
        <v>0</v>
      </c>
      <c r="V143" s="207">
        <f>SUMIFS('январь 2023'!$G$4:$G$508,'январь 2023'!$D$4:$D$508,$B143,'январь 2023'!$J$4:$J$508,V$1)</f>
        <v>0</v>
      </c>
      <c r="W143" s="207">
        <f>SUMIFS('январь 2023'!$G$4:$G$508,'январь 2023'!$D$4:$D$508,$B143,'январь 2023'!$J$4:$J$508,W$1)</f>
        <v>0</v>
      </c>
      <c r="X143" s="207">
        <f>SUMIFS('январь 2023'!$G$4:$G$508,'январь 2023'!$D$4:$D$508,$B143,'январь 2023'!$J$4:$J$508,X$1)</f>
        <v>0</v>
      </c>
      <c r="Y143" s="207">
        <f>SUMIFS('январь 2023'!$G$4:$G$508,'январь 2023'!$D$4:$D$508,$B143,'январь 2023'!$J$4:$J$508,Y$1)</f>
        <v>0</v>
      </c>
      <c r="Z143" s="207">
        <f>SUMIFS('январь 2023'!$G$4:$G$508,'январь 2023'!$D$4:$D$508,$B143,'январь 2023'!$J$4:$J$508,Z$1)</f>
        <v>0</v>
      </c>
      <c r="AA143" s="207">
        <f>SUMIFS('январь 2023'!$G$4:$G$508,'январь 2023'!$D$4:$D$508,$B143,'январь 2023'!$J$4:$J$508,AA$1)</f>
        <v>0</v>
      </c>
      <c r="AB143" s="207">
        <f>SUMIFS('январь 2023'!$G$4:$G$508,'январь 2023'!$D$4:$D$508,$B143,'январь 2023'!$J$4:$J$508,AB$1)</f>
        <v>0</v>
      </c>
      <c r="AC143" s="207">
        <f>SUMIFS('январь 2023'!$G$4:$G$508,'январь 2023'!$D$4:$D$508,$B143,'январь 2023'!$J$4:$J$508,AC$1)</f>
        <v>0</v>
      </c>
      <c r="AD143" s="207">
        <f>SUMIFS('январь 2023'!$G$4:$G$508,'январь 2023'!$D$4:$D$508,$B143,'январь 2023'!$J$4:$J$508,AD$1)</f>
        <v>0</v>
      </c>
      <c r="AE143" s="207">
        <f>SUMIFS('январь 2023'!$G$4:$G$508,'январь 2023'!$D$4:$D$508,$B143,'январь 2023'!$J$4:$J$508,AE$1)</f>
        <v>0</v>
      </c>
      <c r="AF143" s="207">
        <f>SUMIFS('январь 2023'!$G$4:$G$508,'январь 2023'!$D$4:$D$508,$B143,'январь 2023'!$J$4:$J$508,AF$1)</f>
        <v>0</v>
      </c>
      <c r="AG143" s="207">
        <f>SUMIFS('январь 2023'!$G$4:$G$508,'январь 2023'!$D$4:$D$508,$B143,'январь 2023'!$J$4:$J$508,AG$1)</f>
        <v>0</v>
      </c>
      <c r="AH143" s="207">
        <f>SUMIFS('январь 2023'!$G$4:$G$508,'январь 2023'!$D$4:$D$508,$B143,'январь 2023'!$J$4:$J$508,AH$1)</f>
        <v>0</v>
      </c>
      <c r="AI143" s="220">
        <f t="shared" si="4"/>
        <v>0</v>
      </c>
    </row>
    <row r="144" spans="2:35" ht="15.75" hidden="1" x14ac:dyDescent="0.25">
      <c r="B144" s="212"/>
      <c r="C144" s="211"/>
      <c r="D144" s="207">
        <f>SUMIFS('январь 2023'!$G$4:$G$508,'январь 2023'!$D$4:$D$508,$B144,'январь 2023'!$J$4:$J$508,D$1)</f>
        <v>0</v>
      </c>
      <c r="E144" s="207">
        <f>SUMIFS('январь 2023'!$G$4:$G$508,'январь 2023'!$D$4:$D$508,$B144,'январь 2023'!$J$4:$J$508,E$1)</f>
        <v>0</v>
      </c>
      <c r="F144" s="207">
        <f>SUMIFS('январь 2023'!$G$4:$G$508,'январь 2023'!$D$4:$D$508,$B144,'январь 2023'!$J$4:$J$508,F$1)</f>
        <v>0</v>
      </c>
      <c r="G144" s="207">
        <f>SUMIFS('январь 2023'!$G$4:$G$508,'январь 2023'!$D$4:$D$508,$B144,'январь 2023'!$J$4:$J$508,G$1)</f>
        <v>0</v>
      </c>
      <c r="H144" s="207">
        <f>SUMIFS('январь 2023'!$G$4:$G$508,'январь 2023'!$D$4:$D$508,$B144,'январь 2023'!$J$4:$J$508,H$1)</f>
        <v>0</v>
      </c>
      <c r="I144" s="207">
        <f>SUMIFS('январь 2023'!$G$4:$G$508,'январь 2023'!$D$4:$D$508,$B144,'январь 2023'!$J$4:$J$508,I$1)</f>
        <v>0</v>
      </c>
      <c r="J144" s="207">
        <f>SUMIFS('январь 2023'!$G$4:$G$508,'январь 2023'!$D$4:$D$508,$B144,'январь 2023'!$J$4:$J$508,J$1)</f>
        <v>0</v>
      </c>
      <c r="K144" s="207">
        <f>SUMIFS('январь 2023'!$G$4:$G$508,'январь 2023'!$D$4:$D$508,$B144,'январь 2023'!$J$4:$J$508,K$1)</f>
        <v>0</v>
      </c>
      <c r="L144" s="207">
        <f>SUMIFS('январь 2023'!$G$4:$G$508,'январь 2023'!$D$4:$D$508,$B144,'январь 2023'!$J$4:$J$508,L$1)</f>
        <v>0</v>
      </c>
      <c r="M144" s="207">
        <f>SUMIFS('январь 2023'!$G$4:$G$508,'январь 2023'!$D$4:$D$508,$B144,'январь 2023'!$J$4:$J$508,M$1)</f>
        <v>0</v>
      </c>
      <c r="N144" s="207">
        <f>SUMIFS('январь 2023'!$G$4:$G$508,'январь 2023'!$D$4:$D$508,$B144,'январь 2023'!$J$4:$J$508,N$1)</f>
        <v>0</v>
      </c>
      <c r="O144" s="207">
        <f>SUMIFS('январь 2023'!$G$4:$G$508,'январь 2023'!$D$4:$D$508,$B144,'январь 2023'!$J$4:$J$508,O$1)</f>
        <v>0</v>
      </c>
      <c r="P144" s="207">
        <f>SUMIFS('январь 2023'!$G$4:$G$508,'январь 2023'!$D$4:$D$508,$B144,'январь 2023'!$J$4:$J$508,P$1)</f>
        <v>0</v>
      </c>
      <c r="Q144" s="207">
        <f>SUMIFS('январь 2023'!$G$4:$G$508,'январь 2023'!$D$4:$D$508,$B144,'январь 2023'!$J$4:$J$508,Q$1)</f>
        <v>0</v>
      </c>
      <c r="R144" s="207">
        <f>SUMIFS('январь 2023'!$G$4:$G$508,'январь 2023'!$D$4:$D$508,$B144,'январь 2023'!$J$4:$J$508,R$1)</f>
        <v>0</v>
      </c>
      <c r="S144" s="207">
        <f>SUMIFS('январь 2023'!$G$4:$G$508,'январь 2023'!$D$4:$D$508,$B144,'январь 2023'!$J$4:$J$508,S$1)</f>
        <v>0</v>
      </c>
      <c r="T144" s="207">
        <f>SUMIFS('январь 2023'!$G$4:$G$508,'январь 2023'!$D$4:$D$508,$B144,'январь 2023'!$J$4:$J$508,T$1)</f>
        <v>0</v>
      </c>
      <c r="U144" s="207">
        <f>SUMIFS('январь 2023'!$G$4:$G$508,'январь 2023'!$D$4:$D$508,$B144,'январь 2023'!$J$4:$J$508,U$1)</f>
        <v>0</v>
      </c>
      <c r="V144" s="207">
        <f>SUMIFS('январь 2023'!$G$4:$G$508,'январь 2023'!$D$4:$D$508,$B144,'январь 2023'!$J$4:$J$508,V$1)</f>
        <v>0</v>
      </c>
      <c r="W144" s="207">
        <f>SUMIFS('январь 2023'!$G$4:$G$508,'январь 2023'!$D$4:$D$508,$B144,'январь 2023'!$J$4:$J$508,W$1)</f>
        <v>0</v>
      </c>
      <c r="X144" s="207">
        <f>SUMIFS('январь 2023'!$G$4:$G$508,'январь 2023'!$D$4:$D$508,$B144,'январь 2023'!$J$4:$J$508,X$1)</f>
        <v>0</v>
      </c>
      <c r="Y144" s="207">
        <f>SUMIFS('январь 2023'!$G$4:$G$508,'январь 2023'!$D$4:$D$508,$B144,'январь 2023'!$J$4:$J$508,Y$1)</f>
        <v>0</v>
      </c>
      <c r="Z144" s="207">
        <f>SUMIFS('январь 2023'!$G$4:$G$508,'январь 2023'!$D$4:$D$508,$B144,'январь 2023'!$J$4:$J$508,Z$1)</f>
        <v>0</v>
      </c>
      <c r="AA144" s="207">
        <f>SUMIFS('январь 2023'!$G$4:$G$508,'январь 2023'!$D$4:$D$508,$B144,'январь 2023'!$J$4:$J$508,AA$1)</f>
        <v>0</v>
      </c>
      <c r="AB144" s="207">
        <f>SUMIFS('январь 2023'!$G$4:$G$508,'январь 2023'!$D$4:$D$508,$B144,'январь 2023'!$J$4:$J$508,AB$1)</f>
        <v>0</v>
      </c>
      <c r="AC144" s="207">
        <f>SUMIFS('январь 2023'!$G$4:$G$508,'январь 2023'!$D$4:$D$508,$B144,'январь 2023'!$J$4:$J$508,AC$1)</f>
        <v>0</v>
      </c>
      <c r="AD144" s="207">
        <f>SUMIFS('январь 2023'!$G$4:$G$508,'январь 2023'!$D$4:$D$508,$B144,'январь 2023'!$J$4:$J$508,AD$1)</f>
        <v>0</v>
      </c>
      <c r="AE144" s="207">
        <f>SUMIFS('январь 2023'!$G$4:$G$508,'январь 2023'!$D$4:$D$508,$B144,'январь 2023'!$J$4:$J$508,AE$1)</f>
        <v>0</v>
      </c>
      <c r="AF144" s="207">
        <f>SUMIFS('январь 2023'!$G$4:$G$508,'январь 2023'!$D$4:$D$508,$B144,'январь 2023'!$J$4:$J$508,AF$1)</f>
        <v>0</v>
      </c>
      <c r="AG144" s="207">
        <f>SUMIFS('январь 2023'!$G$4:$G$508,'январь 2023'!$D$4:$D$508,$B144,'январь 2023'!$J$4:$J$508,AG$1)</f>
        <v>0</v>
      </c>
      <c r="AH144" s="207">
        <f>SUMIFS('январь 2023'!$G$4:$G$508,'январь 2023'!$D$4:$D$508,$B144,'январь 2023'!$J$4:$J$508,AH$1)</f>
        <v>0</v>
      </c>
      <c r="AI144" s="220">
        <f t="shared" si="4"/>
        <v>0</v>
      </c>
    </row>
    <row r="145" spans="2:35" ht="15.75" hidden="1" x14ac:dyDescent="0.25">
      <c r="B145" s="212"/>
      <c r="C145" s="211"/>
      <c r="D145" s="207">
        <f>SUMIFS('январь 2023'!$G$4:$G$508,'январь 2023'!$D$4:$D$508,$B145,'январь 2023'!$J$4:$J$508,D$1)</f>
        <v>0</v>
      </c>
      <c r="E145" s="207">
        <f>SUMIFS('январь 2023'!$G$4:$G$508,'январь 2023'!$D$4:$D$508,$B145,'январь 2023'!$J$4:$J$508,E$1)</f>
        <v>0</v>
      </c>
      <c r="F145" s="207">
        <f>SUMIFS('январь 2023'!$G$4:$G$508,'январь 2023'!$D$4:$D$508,$B145,'январь 2023'!$J$4:$J$508,F$1)</f>
        <v>0</v>
      </c>
      <c r="G145" s="207">
        <f>SUMIFS('январь 2023'!$G$4:$G$508,'январь 2023'!$D$4:$D$508,$B145,'январь 2023'!$J$4:$J$508,G$1)</f>
        <v>0</v>
      </c>
      <c r="H145" s="207">
        <f>SUMIFS('январь 2023'!$G$4:$G$508,'январь 2023'!$D$4:$D$508,$B145,'январь 2023'!$J$4:$J$508,H$1)</f>
        <v>0</v>
      </c>
      <c r="I145" s="207">
        <f>SUMIFS('январь 2023'!$G$4:$G$508,'январь 2023'!$D$4:$D$508,$B145,'январь 2023'!$J$4:$J$508,I$1)</f>
        <v>0</v>
      </c>
      <c r="J145" s="207">
        <f>SUMIFS('январь 2023'!$G$4:$G$508,'январь 2023'!$D$4:$D$508,$B145,'январь 2023'!$J$4:$J$508,J$1)</f>
        <v>0</v>
      </c>
      <c r="K145" s="207">
        <f>SUMIFS('январь 2023'!$G$4:$G$508,'январь 2023'!$D$4:$D$508,$B145,'январь 2023'!$J$4:$J$508,K$1)</f>
        <v>0</v>
      </c>
      <c r="L145" s="207">
        <f>SUMIFS('январь 2023'!$G$4:$G$508,'январь 2023'!$D$4:$D$508,$B145,'январь 2023'!$J$4:$J$508,L$1)</f>
        <v>0</v>
      </c>
      <c r="M145" s="207">
        <f>SUMIFS('январь 2023'!$G$4:$G$508,'январь 2023'!$D$4:$D$508,$B145,'январь 2023'!$J$4:$J$508,M$1)</f>
        <v>0</v>
      </c>
      <c r="N145" s="207">
        <f>SUMIFS('январь 2023'!$G$4:$G$508,'январь 2023'!$D$4:$D$508,$B145,'январь 2023'!$J$4:$J$508,N$1)</f>
        <v>0</v>
      </c>
      <c r="O145" s="207">
        <f>SUMIFS('январь 2023'!$G$4:$G$508,'январь 2023'!$D$4:$D$508,$B145,'январь 2023'!$J$4:$J$508,O$1)</f>
        <v>0</v>
      </c>
      <c r="P145" s="207">
        <f>SUMIFS('январь 2023'!$G$4:$G$508,'январь 2023'!$D$4:$D$508,$B145,'январь 2023'!$J$4:$J$508,P$1)</f>
        <v>0</v>
      </c>
      <c r="Q145" s="207">
        <f>SUMIFS('январь 2023'!$G$4:$G$508,'январь 2023'!$D$4:$D$508,$B145,'январь 2023'!$J$4:$J$508,Q$1)</f>
        <v>0</v>
      </c>
      <c r="R145" s="207">
        <f>SUMIFS('январь 2023'!$G$4:$G$508,'январь 2023'!$D$4:$D$508,$B145,'январь 2023'!$J$4:$J$508,R$1)</f>
        <v>0</v>
      </c>
      <c r="S145" s="207">
        <f>SUMIFS('январь 2023'!$G$4:$G$508,'январь 2023'!$D$4:$D$508,$B145,'январь 2023'!$J$4:$J$508,S$1)</f>
        <v>0</v>
      </c>
      <c r="T145" s="207">
        <f>SUMIFS('январь 2023'!$G$4:$G$508,'январь 2023'!$D$4:$D$508,$B145,'январь 2023'!$J$4:$J$508,T$1)</f>
        <v>0</v>
      </c>
      <c r="U145" s="207">
        <f>SUMIFS('январь 2023'!$G$4:$G$508,'январь 2023'!$D$4:$D$508,$B145,'январь 2023'!$J$4:$J$508,U$1)</f>
        <v>0</v>
      </c>
      <c r="V145" s="207">
        <f>SUMIFS('январь 2023'!$G$4:$G$508,'январь 2023'!$D$4:$D$508,$B145,'январь 2023'!$J$4:$J$508,V$1)</f>
        <v>0</v>
      </c>
      <c r="W145" s="207">
        <f>SUMIFS('январь 2023'!$G$4:$G$508,'январь 2023'!$D$4:$D$508,$B145,'январь 2023'!$J$4:$J$508,W$1)</f>
        <v>0</v>
      </c>
      <c r="X145" s="207">
        <f>SUMIFS('январь 2023'!$G$4:$G$508,'январь 2023'!$D$4:$D$508,$B145,'январь 2023'!$J$4:$J$508,X$1)</f>
        <v>0</v>
      </c>
      <c r="Y145" s="207">
        <f>SUMIFS('январь 2023'!$G$4:$G$508,'январь 2023'!$D$4:$D$508,$B145,'январь 2023'!$J$4:$J$508,Y$1)</f>
        <v>0</v>
      </c>
      <c r="Z145" s="207">
        <f>SUMIFS('январь 2023'!$G$4:$G$508,'январь 2023'!$D$4:$D$508,$B145,'январь 2023'!$J$4:$J$508,Z$1)</f>
        <v>0</v>
      </c>
      <c r="AA145" s="207">
        <f>SUMIFS('январь 2023'!$G$4:$G$508,'январь 2023'!$D$4:$D$508,$B145,'январь 2023'!$J$4:$J$508,AA$1)</f>
        <v>0</v>
      </c>
      <c r="AB145" s="207">
        <f>SUMIFS('январь 2023'!$G$4:$G$508,'январь 2023'!$D$4:$D$508,$B145,'январь 2023'!$J$4:$J$508,AB$1)</f>
        <v>0</v>
      </c>
      <c r="AC145" s="207">
        <f>SUMIFS('январь 2023'!$G$4:$G$508,'январь 2023'!$D$4:$D$508,$B145,'январь 2023'!$J$4:$J$508,AC$1)</f>
        <v>0</v>
      </c>
      <c r="AD145" s="207">
        <f>SUMIFS('январь 2023'!$G$4:$G$508,'январь 2023'!$D$4:$D$508,$B145,'январь 2023'!$J$4:$J$508,AD$1)</f>
        <v>0</v>
      </c>
      <c r="AE145" s="207">
        <f>SUMIFS('январь 2023'!$G$4:$G$508,'январь 2023'!$D$4:$D$508,$B145,'январь 2023'!$J$4:$J$508,AE$1)</f>
        <v>0</v>
      </c>
      <c r="AF145" s="207">
        <f>SUMIFS('январь 2023'!$G$4:$G$508,'январь 2023'!$D$4:$D$508,$B145,'январь 2023'!$J$4:$J$508,AF$1)</f>
        <v>0</v>
      </c>
      <c r="AG145" s="207">
        <f>SUMIFS('январь 2023'!$G$4:$G$508,'январь 2023'!$D$4:$D$508,$B145,'январь 2023'!$J$4:$J$508,AG$1)</f>
        <v>0</v>
      </c>
      <c r="AH145" s="207">
        <f>SUMIFS('январь 2023'!$G$4:$G$508,'январь 2023'!$D$4:$D$508,$B145,'январь 2023'!$J$4:$J$508,AH$1)</f>
        <v>0</v>
      </c>
      <c r="AI145" s="220">
        <f t="shared" si="4"/>
        <v>0</v>
      </c>
    </row>
    <row r="146" spans="2:35" ht="15.75" hidden="1" x14ac:dyDescent="0.25">
      <c r="B146" s="212"/>
      <c r="C146" s="211"/>
      <c r="D146" s="207">
        <f>SUMIFS('январь 2023'!$G$4:$G$508,'январь 2023'!$D$4:$D$508,$B146,'январь 2023'!$J$4:$J$508,D$1)</f>
        <v>0</v>
      </c>
      <c r="E146" s="207">
        <f>SUMIFS('январь 2023'!$G$4:$G$508,'январь 2023'!$D$4:$D$508,$B146,'январь 2023'!$J$4:$J$508,E$1)</f>
        <v>0</v>
      </c>
      <c r="F146" s="207">
        <f>SUMIFS('январь 2023'!$G$4:$G$508,'январь 2023'!$D$4:$D$508,$B146,'январь 2023'!$J$4:$J$508,F$1)</f>
        <v>0</v>
      </c>
      <c r="G146" s="207">
        <f>SUMIFS('январь 2023'!$G$4:$G$508,'январь 2023'!$D$4:$D$508,$B146,'январь 2023'!$J$4:$J$508,G$1)</f>
        <v>0</v>
      </c>
      <c r="H146" s="207">
        <f>SUMIFS('январь 2023'!$G$4:$G$508,'январь 2023'!$D$4:$D$508,$B146,'январь 2023'!$J$4:$J$508,H$1)</f>
        <v>0</v>
      </c>
      <c r="I146" s="207">
        <f>SUMIFS('январь 2023'!$G$4:$G$508,'январь 2023'!$D$4:$D$508,$B146,'январь 2023'!$J$4:$J$508,I$1)</f>
        <v>0</v>
      </c>
      <c r="J146" s="207">
        <f>SUMIFS('январь 2023'!$G$4:$G$508,'январь 2023'!$D$4:$D$508,$B146,'январь 2023'!$J$4:$J$508,J$1)</f>
        <v>0</v>
      </c>
      <c r="K146" s="207">
        <f>SUMIFS('январь 2023'!$G$4:$G$508,'январь 2023'!$D$4:$D$508,$B146,'январь 2023'!$J$4:$J$508,K$1)</f>
        <v>0</v>
      </c>
      <c r="L146" s="207">
        <f>SUMIFS('январь 2023'!$G$4:$G$508,'январь 2023'!$D$4:$D$508,$B146,'январь 2023'!$J$4:$J$508,L$1)</f>
        <v>0</v>
      </c>
      <c r="M146" s="207">
        <f>SUMIFS('январь 2023'!$G$4:$G$508,'январь 2023'!$D$4:$D$508,$B146,'январь 2023'!$J$4:$J$508,M$1)</f>
        <v>0</v>
      </c>
      <c r="N146" s="207">
        <f>SUMIFS('январь 2023'!$G$4:$G$508,'январь 2023'!$D$4:$D$508,$B146,'январь 2023'!$J$4:$J$508,N$1)</f>
        <v>0</v>
      </c>
      <c r="O146" s="207">
        <f>SUMIFS('январь 2023'!$G$4:$G$508,'январь 2023'!$D$4:$D$508,$B146,'январь 2023'!$J$4:$J$508,O$1)</f>
        <v>0</v>
      </c>
      <c r="P146" s="207">
        <f>SUMIFS('январь 2023'!$G$4:$G$508,'январь 2023'!$D$4:$D$508,$B146,'январь 2023'!$J$4:$J$508,P$1)</f>
        <v>0</v>
      </c>
      <c r="Q146" s="207">
        <f>SUMIFS('январь 2023'!$G$4:$G$508,'январь 2023'!$D$4:$D$508,$B146,'январь 2023'!$J$4:$J$508,Q$1)</f>
        <v>0</v>
      </c>
      <c r="R146" s="207">
        <f>SUMIFS('январь 2023'!$G$4:$G$508,'январь 2023'!$D$4:$D$508,$B146,'январь 2023'!$J$4:$J$508,R$1)</f>
        <v>0</v>
      </c>
      <c r="S146" s="207">
        <f>SUMIFS('январь 2023'!$G$4:$G$508,'январь 2023'!$D$4:$D$508,$B146,'январь 2023'!$J$4:$J$508,S$1)</f>
        <v>0</v>
      </c>
      <c r="T146" s="207">
        <f>SUMIFS('январь 2023'!$G$4:$G$508,'январь 2023'!$D$4:$D$508,$B146,'январь 2023'!$J$4:$J$508,T$1)</f>
        <v>0</v>
      </c>
      <c r="U146" s="207">
        <f>SUMIFS('январь 2023'!$G$4:$G$508,'январь 2023'!$D$4:$D$508,$B146,'январь 2023'!$J$4:$J$508,U$1)</f>
        <v>0</v>
      </c>
      <c r="V146" s="207">
        <f>SUMIFS('январь 2023'!$G$4:$G$508,'январь 2023'!$D$4:$D$508,$B146,'январь 2023'!$J$4:$J$508,V$1)</f>
        <v>0</v>
      </c>
      <c r="W146" s="207">
        <f>SUMIFS('январь 2023'!$G$4:$G$508,'январь 2023'!$D$4:$D$508,$B146,'январь 2023'!$J$4:$J$508,W$1)</f>
        <v>0</v>
      </c>
      <c r="X146" s="207">
        <f>SUMIFS('январь 2023'!$G$4:$G$508,'январь 2023'!$D$4:$D$508,$B146,'январь 2023'!$J$4:$J$508,X$1)</f>
        <v>0</v>
      </c>
      <c r="Y146" s="207">
        <f>SUMIFS('январь 2023'!$G$4:$G$508,'январь 2023'!$D$4:$D$508,$B146,'январь 2023'!$J$4:$J$508,Y$1)</f>
        <v>0</v>
      </c>
      <c r="Z146" s="207">
        <f>SUMIFS('январь 2023'!$G$4:$G$508,'январь 2023'!$D$4:$D$508,$B146,'январь 2023'!$J$4:$J$508,Z$1)</f>
        <v>0</v>
      </c>
      <c r="AA146" s="207">
        <f>SUMIFS('январь 2023'!$G$4:$G$508,'январь 2023'!$D$4:$D$508,$B146,'январь 2023'!$J$4:$J$508,AA$1)</f>
        <v>0</v>
      </c>
      <c r="AB146" s="207">
        <f>SUMIFS('январь 2023'!$G$4:$G$508,'январь 2023'!$D$4:$D$508,$B146,'январь 2023'!$J$4:$J$508,AB$1)</f>
        <v>0</v>
      </c>
      <c r="AC146" s="207">
        <f>SUMIFS('январь 2023'!$G$4:$G$508,'январь 2023'!$D$4:$D$508,$B146,'январь 2023'!$J$4:$J$508,AC$1)</f>
        <v>0</v>
      </c>
      <c r="AD146" s="207">
        <f>SUMIFS('январь 2023'!$G$4:$G$508,'январь 2023'!$D$4:$D$508,$B146,'январь 2023'!$J$4:$J$508,AD$1)</f>
        <v>0</v>
      </c>
      <c r="AE146" s="207">
        <f>SUMIFS('январь 2023'!$G$4:$G$508,'январь 2023'!$D$4:$D$508,$B146,'январь 2023'!$J$4:$J$508,AE$1)</f>
        <v>0</v>
      </c>
      <c r="AF146" s="207">
        <f>SUMIFS('январь 2023'!$G$4:$G$508,'январь 2023'!$D$4:$D$508,$B146,'январь 2023'!$J$4:$J$508,AF$1)</f>
        <v>0</v>
      </c>
      <c r="AG146" s="207">
        <f>SUMIFS('январь 2023'!$G$4:$G$508,'январь 2023'!$D$4:$D$508,$B146,'январь 2023'!$J$4:$J$508,AG$1)</f>
        <v>0</v>
      </c>
      <c r="AH146" s="207">
        <f>SUMIFS('январь 2023'!$G$4:$G$508,'январь 2023'!$D$4:$D$508,$B146,'январь 2023'!$J$4:$J$508,AH$1)</f>
        <v>0</v>
      </c>
      <c r="AI146" s="220">
        <f t="shared" si="4"/>
        <v>0</v>
      </c>
    </row>
    <row r="147" spans="2:35" ht="15.75" hidden="1" x14ac:dyDescent="0.25">
      <c r="B147" s="212"/>
      <c r="C147" s="211"/>
      <c r="D147" s="207">
        <f>SUMIFS('январь 2023'!$G$4:$G$508,'январь 2023'!$D$4:$D$508,$B147,'январь 2023'!$J$4:$J$508,D$1)</f>
        <v>0</v>
      </c>
      <c r="E147" s="207">
        <f>SUMIFS('январь 2023'!$G$4:$G$508,'январь 2023'!$D$4:$D$508,$B147,'январь 2023'!$J$4:$J$508,E$1)</f>
        <v>0</v>
      </c>
      <c r="F147" s="207">
        <f>SUMIFS('январь 2023'!$G$4:$G$508,'январь 2023'!$D$4:$D$508,$B147,'январь 2023'!$J$4:$J$508,F$1)</f>
        <v>0</v>
      </c>
      <c r="G147" s="207">
        <f>SUMIFS('январь 2023'!$G$4:$G$508,'январь 2023'!$D$4:$D$508,$B147,'январь 2023'!$J$4:$J$508,G$1)</f>
        <v>0</v>
      </c>
      <c r="H147" s="207">
        <f>SUMIFS('январь 2023'!$G$4:$G$508,'январь 2023'!$D$4:$D$508,$B147,'январь 2023'!$J$4:$J$508,H$1)</f>
        <v>0</v>
      </c>
      <c r="I147" s="207">
        <f>SUMIFS('январь 2023'!$G$4:$G$508,'январь 2023'!$D$4:$D$508,$B147,'январь 2023'!$J$4:$J$508,I$1)</f>
        <v>0</v>
      </c>
      <c r="J147" s="207">
        <f>SUMIFS('январь 2023'!$G$4:$G$508,'январь 2023'!$D$4:$D$508,$B147,'январь 2023'!$J$4:$J$508,J$1)</f>
        <v>0</v>
      </c>
      <c r="K147" s="207">
        <f>SUMIFS('январь 2023'!$G$4:$G$508,'январь 2023'!$D$4:$D$508,$B147,'январь 2023'!$J$4:$J$508,K$1)</f>
        <v>0</v>
      </c>
      <c r="L147" s="207">
        <f>SUMIFS('январь 2023'!$G$4:$G$508,'январь 2023'!$D$4:$D$508,$B147,'январь 2023'!$J$4:$J$508,L$1)</f>
        <v>0</v>
      </c>
      <c r="M147" s="207">
        <f>SUMIFS('январь 2023'!$G$4:$G$508,'январь 2023'!$D$4:$D$508,$B147,'январь 2023'!$J$4:$J$508,M$1)</f>
        <v>0</v>
      </c>
      <c r="N147" s="207">
        <f>SUMIFS('январь 2023'!$G$4:$G$508,'январь 2023'!$D$4:$D$508,$B147,'январь 2023'!$J$4:$J$508,N$1)</f>
        <v>0</v>
      </c>
      <c r="O147" s="207">
        <f>SUMIFS('январь 2023'!$G$4:$G$508,'январь 2023'!$D$4:$D$508,$B147,'январь 2023'!$J$4:$J$508,O$1)</f>
        <v>0</v>
      </c>
      <c r="P147" s="207">
        <f>SUMIFS('январь 2023'!$G$4:$G$508,'январь 2023'!$D$4:$D$508,$B147,'январь 2023'!$J$4:$J$508,P$1)</f>
        <v>0</v>
      </c>
      <c r="Q147" s="207">
        <f>SUMIFS('январь 2023'!$G$4:$G$508,'январь 2023'!$D$4:$D$508,$B147,'январь 2023'!$J$4:$J$508,Q$1)</f>
        <v>0</v>
      </c>
      <c r="R147" s="207">
        <f>SUMIFS('январь 2023'!$G$4:$G$508,'январь 2023'!$D$4:$D$508,$B147,'январь 2023'!$J$4:$J$508,R$1)</f>
        <v>0</v>
      </c>
      <c r="S147" s="207">
        <f>SUMIFS('январь 2023'!$G$4:$G$508,'январь 2023'!$D$4:$D$508,$B147,'январь 2023'!$J$4:$J$508,S$1)</f>
        <v>0</v>
      </c>
      <c r="T147" s="207">
        <f>SUMIFS('январь 2023'!$G$4:$G$508,'январь 2023'!$D$4:$D$508,$B147,'январь 2023'!$J$4:$J$508,T$1)</f>
        <v>0</v>
      </c>
      <c r="U147" s="207">
        <f>SUMIFS('январь 2023'!$G$4:$G$508,'январь 2023'!$D$4:$D$508,$B147,'январь 2023'!$J$4:$J$508,U$1)</f>
        <v>0</v>
      </c>
      <c r="V147" s="207">
        <f>SUMIFS('январь 2023'!$G$4:$G$508,'январь 2023'!$D$4:$D$508,$B147,'январь 2023'!$J$4:$J$508,V$1)</f>
        <v>0</v>
      </c>
      <c r="W147" s="207">
        <f>SUMIFS('январь 2023'!$G$4:$G$508,'январь 2023'!$D$4:$D$508,$B147,'январь 2023'!$J$4:$J$508,W$1)</f>
        <v>0</v>
      </c>
      <c r="X147" s="207">
        <f>SUMIFS('январь 2023'!$G$4:$G$508,'январь 2023'!$D$4:$D$508,$B147,'январь 2023'!$J$4:$J$508,X$1)</f>
        <v>0</v>
      </c>
      <c r="Y147" s="207">
        <f>SUMIFS('январь 2023'!$G$4:$G$508,'январь 2023'!$D$4:$D$508,$B147,'январь 2023'!$J$4:$J$508,Y$1)</f>
        <v>0</v>
      </c>
      <c r="Z147" s="207">
        <f>SUMIFS('январь 2023'!$G$4:$G$508,'январь 2023'!$D$4:$D$508,$B147,'январь 2023'!$J$4:$J$508,Z$1)</f>
        <v>0</v>
      </c>
      <c r="AA147" s="207">
        <f>SUMIFS('январь 2023'!$G$4:$G$508,'январь 2023'!$D$4:$D$508,$B147,'январь 2023'!$J$4:$J$508,AA$1)</f>
        <v>0</v>
      </c>
      <c r="AB147" s="207">
        <f>SUMIFS('январь 2023'!$G$4:$G$508,'январь 2023'!$D$4:$D$508,$B147,'январь 2023'!$J$4:$J$508,AB$1)</f>
        <v>0</v>
      </c>
      <c r="AC147" s="207">
        <f>SUMIFS('январь 2023'!$G$4:$G$508,'январь 2023'!$D$4:$D$508,$B147,'январь 2023'!$J$4:$J$508,AC$1)</f>
        <v>0</v>
      </c>
      <c r="AD147" s="207">
        <f>SUMIFS('январь 2023'!$G$4:$G$508,'январь 2023'!$D$4:$D$508,$B147,'январь 2023'!$J$4:$J$508,AD$1)</f>
        <v>0</v>
      </c>
      <c r="AE147" s="207">
        <f>SUMIFS('январь 2023'!$G$4:$G$508,'январь 2023'!$D$4:$D$508,$B147,'январь 2023'!$J$4:$J$508,AE$1)</f>
        <v>0</v>
      </c>
      <c r="AF147" s="207">
        <f>SUMIFS('январь 2023'!$G$4:$G$508,'январь 2023'!$D$4:$D$508,$B147,'январь 2023'!$J$4:$J$508,AF$1)</f>
        <v>0</v>
      </c>
      <c r="AG147" s="207">
        <f>SUMIFS('январь 2023'!$G$4:$G$508,'январь 2023'!$D$4:$D$508,$B147,'январь 2023'!$J$4:$J$508,AG$1)</f>
        <v>0</v>
      </c>
      <c r="AH147" s="207">
        <f>SUMIFS('январь 2023'!$G$4:$G$508,'январь 2023'!$D$4:$D$508,$B147,'январь 2023'!$J$4:$J$508,AH$1)</f>
        <v>0</v>
      </c>
      <c r="AI147" s="220">
        <f t="shared" si="4"/>
        <v>0</v>
      </c>
    </row>
    <row r="148" spans="2:35" ht="15.75" hidden="1" x14ac:dyDescent="0.25">
      <c r="B148" s="212"/>
      <c r="C148" s="211"/>
      <c r="D148" s="207">
        <f>SUMIFS('январь 2023'!$G$4:$G$508,'январь 2023'!$D$4:$D$508,$B148,'январь 2023'!$J$4:$J$508,D$1)</f>
        <v>0</v>
      </c>
      <c r="E148" s="207">
        <f>SUMIFS('январь 2023'!$G$4:$G$508,'январь 2023'!$D$4:$D$508,$B148,'январь 2023'!$J$4:$J$508,E$1)</f>
        <v>0</v>
      </c>
      <c r="F148" s="207">
        <f>SUMIFS('январь 2023'!$G$4:$G$508,'январь 2023'!$D$4:$D$508,$B148,'январь 2023'!$J$4:$J$508,F$1)</f>
        <v>0</v>
      </c>
      <c r="G148" s="207">
        <f>SUMIFS('январь 2023'!$G$4:$G$508,'январь 2023'!$D$4:$D$508,$B148,'январь 2023'!$J$4:$J$508,G$1)</f>
        <v>0</v>
      </c>
      <c r="H148" s="207">
        <f>SUMIFS('январь 2023'!$G$4:$G$508,'январь 2023'!$D$4:$D$508,$B148,'январь 2023'!$J$4:$J$508,H$1)</f>
        <v>0</v>
      </c>
      <c r="I148" s="207">
        <f>SUMIFS('январь 2023'!$G$4:$G$508,'январь 2023'!$D$4:$D$508,$B148,'январь 2023'!$J$4:$J$508,I$1)</f>
        <v>0</v>
      </c>
      <c r="J148" s="207">
        <f>SUMIFS('январь 2023'!$G$4:$G$508,'январь 2023'!$D$4:$D$508,$B148,'январь 2023'!$J$4:$J$508,J$1)</f>
        <v>0</v>
      </c>
      <c r="K148" s="207">
        <f>SUMIFS('январь 2023'!$G$4:$G$508,'январь 2023'!$D$4:$D$508,$B148,'январь 2023'!$J$4:$J$508,K$1)</f>
        <v>0</v>
      </c>
      <c r="L148" s="207">
        <f>SUMIFS('январь 2023'!$G$4:$G$508,'январь 2023'!$D$4:$D$508,$B148,'январь 2023'!$J$4:$J$508,L$1)</f>
        <v>0</v>
      </c>
      <c r="M148" s="207">
        <f>SUMIFS('январь 2023'!$G$4:$G$508,'январь 2023'!$D$4:$D$508,$B148,'январь 2023'!$J$4:$J$508,M$1)</f>
        <v>0</v>
      </c>
      <c r="N148" s="207">
        <f>SUMIFS('январь 2023'!$G$4:$G$508,'январь 2023'!$D$4:$D$508,$B148,'январь 2023'!$J$4:$J$508,N$1)</f>
        <v>0</v>
      </c>
      <c r="O148" s="207">
        <f>SUMIFS('январь 2023'!$G$4:$G$508,'январь 2023'!$D$4:$D$508,$B148,'январь 2023'!$J$4:$J$508,O$1)</f>
        <v>0</v>
      </c>
      <c r="P148" s="207">
        <f>SUMIFS('январь 2023'!$G$4:$G$508,'январь 2023'!$D$4:$D$508,$B148,'январь 2023'!$J$4:$J$508,P$1)</f>
        <v>0</v>
      </c>
      <c r="Q148" s="207">
        <f>SUMIFS('январь 2023'!$G$4:$G$508,'январь 2023'!$D$4:$D$508,$B148,'январь 2023'!$J$4:$J$508,Q$1)</f>
        <v>0</v>
      </c>
      <c r="R148" s="207">
        <f>SUMIFS('январь 2023'!$G$4:$G$508,'январь 2023'!$D$4:$D$508,$B148,'январь 2023'!$J$4:$J$508,R$1)</f>
        <v>0</v>
      </c>
      <c r="S148" s="207">
        <f>SUMIFS('январь 2023'!$G$4:$G$508,'январь 2023'!$D$4:$D$508,$B148,'январь 2023'!$J$4:$J$508,S$1)</f>
        <v>0</v>
      </c>
      <c r="T148" s="207">
        <f>SUMIFS('январь 2023'!$G$4:$G$508,'январь 2023'!$D$4:$D$508,$B148,'январь 2023'!$J$4:$J$508,T$1)</f>
        <v>0</v>
      </c>
      <c r="U148" s="207">
        <f>SUMIFS('январь 2023'!$G$4:$G$508,'январь 2023'!$D$4:$D$508,$B148,'январь 2023'!$J$4:$J$508,U$1)</f>
        <v>0</v>
      </c>
      <c r="V148" s="207">
        <f>SUMIFS('январь 2023'!$G$4:$G$508,'январь 2023'!$D$4:$D$508,$B148,'январь 2023'!$J$4:$J$508,V$1)</f>
        <v>0</v>
      </c>
      <c r="W148" s="207">
        <f>SUMIFS('январь 2023'!$G$4:$G$508,'январь 2023'!$D$4:$D$508,$B148,'январь 2023'!$J$4:$J$508,W$1)</f>
        <v>0</v>
      </c>
      <c r="X148" s="207">
        <f>SUMIFS('январь 2023'!$G$4:$G$508,'январь 2023'!$D$4:$D$508,$B148,'январь 2023'!$J$4:$J$508,X$1)</f>
        <v>0</v>
      </c>
      <c r="Y148" s="207">
        <f>SUMIFS('январь 2023'!$G$4:$G$508,'январь 2023'!$D$4:$D$508,$B148,'январь 2023'!$J$4:$J$508,Y$1)</f>
        <v>0</v>
      </c>
      <c r="Z148" s="207">
        <f>SUMIFS('январь 2023'!$G$4:$G$508,'январь 2023'!$D$4:$D$508,$B148,'январь 2023'!$J$4:$J$508,Z$1)</f>
        <v>0</v>
      </c>
      <c r="AA148" s="207">
        <f>SUMIFS('январь 2023'!$G$4:$G$508,'январь 2023'!$D$4:$D$508,$B148,'январь 2023'!$J$4:$J$508,AA$1)</f>
        <v>0</v>
      </c>
      <c r="AB148" s="207">
        <f>SUMIFS('январь 2023'!$G$4:$G$508,'январь 2023'!$D$4:$D$508,$B148,'январь 2023'!$J$4:$J$508,AB$1)</f>
        <v>0</v>
      </c>
      <c r="AC148" s="207">
        <f>SUMIFS('январь 2023'!$G$4:$G$508,'январь 2023'!$D$4:$D$508,$B148,'январь 2023'!$J$4:$J$508,AC$1)</f>
        <v>0</v>
      </c>
      <c r="AD148" s="207">
        <f>SUMIFS('январь 2023'!$G$4:$G$508,'январь 2023'!$D$4:$D$508,$B148,'январь 2023'!$J$4:$J$508,AD$1)</f>
        <v>0</v>
      </c>
      <c r="AE148" s="207">
        <f>SUMIFS('январь 2023'!$G$4:$G$508,'январь 2023'!$D$4:$D$508,$B148,'январь 2023'!$J$4:$J$508,AE$1)</f>
        <v>0</v>
      </c>
      <c r="AF148" s="207">
        <f>SUMIFS('январь 2023'!$G$4:$G$508,'январь 2023'!$D$4:$D$508,$B148,'январь 2023'!$J$4:$J$508,AF$1)</f>
        <v>0</v>
      </c>
      <c r="AG148" s="207">
        <f>SUMIFS('январь 2023'!$G$4:$G$508,'январь 2023'!$D$4:$D$508,$B148,'январь 2023'!$J$4:$J$508,AG$1)</f>
        <v>0</v>
      </c>
      <c r="AH148" s="207">
        <f>SUMIFS('январь 2023'!$G$4:$G$508,'январь 2023'!$D$4:$D$508,$B148,'январь 2023'!$J$4:$J$508,AH$1)</f>
        <v>0</v>
      </c>
      <c r="AI148" s="220">
        <f t="shared" si="4"/>
        <v>0</v>
      </c>
    </row>
    <row r="149" spans="2:35" ht="15.75" hidden="1" x14ac:dyDescent="0.25">
      <c r="B149" s="212"/>
      <c r="C149" s="211"/>
      <c r="D149" s="207">
        <f>SUMIFS('январь 2023'!$G$4:$G$508,'январь 2023'!$D$4:$D$508,$B149,'январь 2023'!$J$4:$J$508,D$1)</f>
        <v>0</v>
      </c>
      <c r="E149" s="207">
        <f>SUMIFS('январь 2023'!$G$4:$G$508,'январь 2023'!$D$4:$D$508,$B149,'январь 2023'!$J$4:$J$508,E$1)</f>
        <v>0</v>
      </c>
      <c r="F149" s="207">
        <f>SUMIFS('январь 2023'!$G$4:$G$508,'январь 2023'!$D$4:$D$508,$B149,'январь 2023'!$J$4:$J$508,F$1)</f>
        <v>0</v>
      </c>
      <c r="G149" s="207">
        <f>SUMIFS('январь 2023'!$G$4:$G$508,'январь 2023'!$D$4:$D$508,$B149,'январь 2023'!$J$4:$J$508,G$1)</f>
        <v>0</v>
      </c>
      <c r="H149" s="207">
        <f>SUMIFS('январь 2023'!$G$4:$G$508,'январь 2023'!$D$4:$D$508,$B149,'январь 2023'!$J$4:$J$508,H$1)</f>
        <v>0</v>
      </c>
      <c r="I149" s="207">
        <f>SUMIFS('январь 2023'!$G$4:$G$508,'январь 2023'!$D$4:$D$508,$B149,'январь 2023'!$J$4:$J$508,I$1)</f>
        <v>0</v>
      </c>
      <c r="J149" s="207">
        <f>SUMIFS('январь 2023'!$G$4:$G$508,'январь 2023'!$D$4:$D$508,$B149,'январь 2023'!$J$4:$J$508,J$1)</f>
        <v>0</v>
      </c>
      <c r="K149" s="207">
        <f>SUMIFS('январь 2023'!$G$4:$G$508,'январь 2023'!$D$4:$D$508,$B149,'январь 2023'!$J$4:$J$508,K$1)</f>
        <v>0</v>
      </c>
      <c r="L149" s="207">
        <f>SUMIFS('январь 2023'!$G$4:$G$508,'январь 2023'!$D$4:$D$508,$B149,'январь 2023'!$J$4:$J$508,L$1)</f>
        <v>0</v>
      </c>
      <c r="M149" s="207">
        <f>SUMIFS('январь 2023'!$G$4:$G$508,'январь 2023'!$D$4:$D$508,$B149,'январь 2023'!$J$4:$J$508,M$1)</f>
        <v>0</v>
      </c>
      <c r="N149" s="207">
        <f>SUMIFS('январь 2023'!$G$4:$G$508,'январь 2023'!$D$4:$D$508,$B149,'январь 2023'!$J$4:$J$508,N$1)</f>
        <v>0</v>
      </c>
      <c r="O149" s="207">
        <f>SUMIFS('январь 2023'!$G$4:$G$508,'январь 2023'!$D$4:$D$508,$B149,'январь 2023'!$J$4:$J$508,O$1)</f>
        <v>0</v>
      </c>
      <c r="P149" s="207">
        <f>SUMIFS('январь 2023'!$G$4:$G$508,'январь 2023'!$D$4:$D$508,$B149,'январь 2023'!$J$4:$J$508,P$1)</f>
        <v>0</v>
      </c>
      <c r="Q149" s="207">
        <f>SUMIFS('январь 2023'!$G$4:$G$508,'январь 2023'!$D$4:$D$508,$B149,'январь 2023'!$J$4:$J$508,Q$1)</f>
        <v>0</v>
      </c>
      <c r="R149" s="207">
        <f>SUMIFS('январь 2023'!$G$4:$G$508,'январь 2023'!$D$4:$D$508,$B149,'январь 2023'!$J$4:$J$508,R$1)</f>
        <v>0</v>
      </c>
      <c r="S149" s="207">
        <f>SUMIFS('январь 2023'!$G$4:$G$508,'январь 2023'!$D$4:$D$508,$B149,'январь 2023'!$J$4:$J$508,S$1)</f>
        <v>0</v>
      </c>
      <c r="T149" s="207">
        <f>SUMIFS('январь 2023'!$G$4:$G$508,'январь 2023'!$D$4:$D$508,$B149,'январь 2023'!$J$4:$J$508,T$1)</f>
        <v>0</v>
      </c>
      <c r="U149" s="207">
        <f>SUMIFS('январь 2023'!$G$4:$G$508,'январь 2023'!$D$4:$D$508,$B149,'январь 2023'!$J$4:$J$508,U$1)</f>
        <v>0</v>
      </c>
      <c r="V149" s="207">
        <f>SUMIFS('январь 2023'!$G$4:$G$508,'январь 2023'!$D$4:$D$508,$B149,'январь 2023'!$J$4:$J$508,V$1)</f>
        <v>0</v>
      </c>
      <c r="W149" s="207">
        <f>SUMIFS('январь 2023'!$G$4:$G$508,'январь 2023'!$D$4:$D$508,$B149,'январь 2023'!$J$4:$J$508,W$1)</f>
        <v>0</v>
      </c>
      <c r="X149" s="207">
        <f>SUMIFS('январь 2023'!$G$4:$G$508,'январь 2023'!$D$4:$D$508,$B149,'январь 2023'!$J$4:$J$508,X$1)</f>
        <v>0</v>
      </c>
      <c r="Y149" s="207">
        <f>SUMIFS('январь 2023'!$G$4:$G$508,'январь 2023'!$D$4:$D$508,$B149,'январь 2023'!$J$4:$J$508,Y$1)</f>
        <v>0</v>
      </c>
      <c r="Z149" s="207">
        <f>SUMIFS('январь 2023'!$G$4:$G$508,'январь 2023'!$D$4:$D$508,$B149,'январь 2023'!$J$4:$J$508,Z$1)</f>
        <v>0</v>
      </c>
      <c r="AA149" s="207">
        <f>SUMIFS('январь 2023'!$G$4:$G$508,'январь 2023'!$D$4:$D$508,$B149,'январь 2023'!$J$4:$J$508,AA$1)</f>
        <v>0</v>
      </c>
      <c r="AB149" s="207">
        <f>SUMIFS('январь 2023'!$G$4:$G$508,'январь 2023'!$D$4:$D$508,$B149,'январь 2023'!$J$4:$J$508,AB$1)</f>
        <v>0</v>
      </c>
      <c r="AC149" s="207">
        <f>SUMIFS('январь 2023'!$G$4:$G$508,'январь 2023'!$D$4:$D$508,$B149,'январь 2023'!$J$4:$J$508,AC$1)</f>
        <v>0</v>
      </c>
      <c r="AD149" s="207">
        <f>SUMIFS('январь 2023'!$G$4:$G$508,'январь 2023'!$D$4:$D$508,$B149,'январь 2023'!$J$4:$J$508,AD$1)</f>
        <v>0</v>
      </c>
      <c r="AE149" s="207">
        <f>SUMIFS('январь 2023'!$G$4:$G$508,'январь 2023'!$D$4:$D$508,$B149,'январь 2023'!$J$4:$J$508,AE$1)</f>
        <v>0</v>
      </c>
      <c r="AF149" s="207">
        <f>SUMIFS('январь 2023'!$G$4:$G$508,'январь 2023'!$D$4:$D$508,$B149,'январь 2023'!$J$4:$J$508,AF$1)</f>
        <v>0</v>
      </c>
      <c r="AG149" s="207">
        <f>SUMIFS('январь 2023'!$G$4:$G$508,'январь 2023'!$D$4:$D$508,$B149,'январь 2023'!$J$4:$J$508,AG$1)</f>
        <v>0</v>
      </c>
      <c r="AH149" s="207">
        <f>SUMIFS('январь 2023'!$G$4:$G$508,'январь 2023'!$D$4:$D$508,$B149,'январь 2023'!$J$4:$J$508,AH$1)</f>
        <v>0</v>
      </c>
      <c r="AI149" s="220">
        <f t="shared" si="4"/>
        <v>0</v>
      </c>
    </row>
    <row r="150" spans="2:35" ht="15.75" hidden="1" x14ac:dyDescent="0.25">
      <c r="B150" s="212"/>
      <c r="C150" s="211"/>
      <c r="D150" s="207">
        <f>SUMIFS('январь 2023'!$G$4:$G$508,'январь 2023'!$D$4:$D$508,$B150,'январь 2023'!$J$4:$J$508,D$1)</f>
        <v>0</v>
      </c>
      <c r="E150" s="207">
        <f>SUMIFS('январь 2023'!$G$4:$G$508,'январь 2023'!$D$4:$D$508,$B150,'январь 2023'!$J$4:$J$508,E$1)</f>
        <v>0</v>
      </c>
      <c r="F150" s="207">
        <f>SUMIFS('январь 2023'!$G$4:$G$508,'январь 2023'!$D$4:$D$508,$B150,'январь 2023'!$J$4:$J$508,F$1)</f>
        <v>0</v>
      </c>
      <c r="G150" s="207">
        <f>SUMIFS('январь 2023'!$G$4:$G$508,'январь 2023'!$D$4:$D$508,$B150,'январь 2023'!$J$4:$J$508,G$1)</f>
        <v>0</v>
      </c>
      <c r="H150" s="207">
        <f>SUMIFS('январь 2023'!$G$4:$G$508,'январь 2023'!$D$4:$D$508,$B150,'январь 2023'!$J$4:$J$508,H$1)</f>
        <v>0</v>
      </c>
      <c r="I150" s="207">
        <f>SUMIFS('январь 2023'!$G$4:$G$508,'январь 2023'!$D$4:$D$508,$B150,'январь 2023'!$J$4:$J$508,I$1)</f>
        <v>0</v>
      </c>
      <c r="J150" s="207">
        <f>SUMIFS('январь 2023'!$G$4:$G$508,'январь 2023'!$D$4:$D$508,$B150,'январь 2023'!$J$4:$J$508,J$1)</f>
        <v>0</v>
      </c>
      <c r="K150" s="207">
        <f>SUMIFS('январь 2023'!$G$4:$G$508,'январь 2023'!$D$4:$D$508,$B150,'январь 2023'!$J$4:$J$508,K$1)</f>
        <v>0</v>
      </c>
      <c r="L150" s="207">
        <f>SUMIFS('январь 2023'!$G$4:$G$508,'январь 2023'!$D$4:$D$508,$B150,'январь 2023'!$J$4:$J$508,L$1)</f>
        <v>0</v>
      </c>
      <c r="M150" s="207">
        <f>SUMIFS('январь 2023'!$G$4:$G$508,'январь 2023'!$D$4:$D$508,$B150,'январь 2023'!$J$4:$J$508,M$1)</f>
        <v>0</v>
      </c>
      <c r="N150" s="207">
        <f>SUMIFS('январь 2023'!$G$4:$G$508,'январь 2023'!$D$4:$D$508,$B150,'январь 2023'!$J$4:$J$508,N$1)</f>
        <v>0</v>
      </c>
      <c r="O150" s="207">
        <f>SUMIFS('январь 2023'!$G$4:$G$508,'январь 2023'!$D$4:$D$508,$B150,'январь 2023'!$J$4:$J$508,O$1)</f>
        <v>0</v>
      </c>
      <c r="P150" s="207">
        <f>SUMIFS('январь 2023'!$G$4:$G$508,'январь 2023'!$D$4:$D$508,$B150,'январь 2023'!$J$4:$J$508,P$1)</f>
        <v>0</v>
      </c>
      <c r="Q150" s="207">
        <f>SUMIFS('январь 2023'!$G$4:$G$508,'январь 2023'!$D$4:$D$508,$B150,'январь 2023'!$J$4:$J$508,Q$1)</f>
        <v>0</v>
      </c>
      <c r="R150" s="207">
        <f>SUMIFS('январь 2023'!$G$4:$G$508,'январь 2023'!$D$4:$D$508,$B150,'январь 2023'!$J$4:$J$508,R$1)</f>
        <v>0</v>
      </c>
      <c r="S150" s="207">
        <f>SUMIFS('январь 2023'!$G$4:$G$508,'январь 2023'!$D$4:$D$508,$B150,'январь 2023'!$J$4:$J$508,S$1)</f>
        <v>0</v>
      </c>
      <c r="T150" s="207">
        <f>SUMIFS('январь 2023'!$G$4:$G$508,'январь 2023'!$D$4:$D$508,$B150,'январь 2023'!$J$4:$J$508,T$1)</f>
        <v>0</v>
      </c>
      <c r="U150" s="207">
        <f>SUMIFS('январь 2023'!$G$4:$G$508,'январь 2023'!$D$4:$D$508,$B150,'январь 2023'!$J$4:$J$508,U$1)</f>
        <v>0</v>
      </c>
      <c r="V150" s="207">
        <f>SUMIFS('январь 2023'!$G$4:$G$508,'январь 2023'!$D$4:$D$508,$B150,'январь 2023'!$J$4:$J$508,V$1)</f>
        <v>0</v>
      </c>
      <c r="W150" s="207">
        <f>SUMIFS('январь 2023'!$G$4:$G$508,'январь 2023'!$D$4:$D$508,$B150,'январь 2023'!$J$4:$J$508,W$1)</f>
        <v>0</v>
      </c>
      <c r="X150" s="207">
        <f>SUMIFS('январь 2023'!$G$4:$G$508,'январь 2023'!$D$4:$D$508,$B150,'январь 2023'!$J$4:$J$508,X$1)</f>
        <v>0</v>
      </c>
      <c r="Y150" s="207">
        <f>SUMIFS('январь 2023'!$G$4:$G$508,'январь 2023'!$D$4:$D$508,$B150,'январь 2023'!$J$4:$J$508,Y$1)</f>
        <v>0</v>
      </c>
      <c r="Z150" s="207">
        <f>SUMIFS('январь 2023'!$G$4:$G$508,'январь 2023'!$D$4:$D$508,$B150,'январь 2023'!$J$4:$J$508,Z$1)</f>
        <v>0</v>
      </c>
      <c r="AA150" s="207">
        <f>SUMIFS('январь 2023'!$G$4:$G$508,'январь 2023'!$D$4:$D$508,$B150,'январь 2023'!$J$4:$J$508,AA$1)</f>
        <v>0</v>
      </c>
      <c r="AB150" s="207">
        <f>SUMIFS('январь 2023'!$G$4:$G$508,'январь 2023'!$D$4:$D$508,$B150,'январь 2023'!$J$4:$J$508,AB$1)</f>
        <v>0</v>
      </c>
      <c r="AC150" s="207">
        <f>SUMIFS('январь 2023'!$G$4:$G$508,'январь 2023'!$D$4:$D$508,$B150,'январь 2023'!$J$4:$J$508,AC$1)</f>
        <v>0</v>
      </c>
      <c r="AD150" s="207">
        <f>SUMIFS('январь 2023'!$G$4:$G$508,'январь 2023'!$D$4:$D$508,$B150,'январь 2023'!$J$4:$J$508,AD$1)</f>
        <v>0</v>
      </c>
      <c r="AE150" s="207">
        <f>SUMIFS('январь 2023'!$G$4:$G$508,'январь 2023'!$D$4:$D$508,$B150,'январь 2023'!$J$4:$J$508,AE$1)</f>
        <v>0</v>
      </c>
      <c r="AF150" s="207">
        <f>SUMIFS('январь 2023'!$G$4:$G$508,'январь 2023'!$D$4:$D$508,$B150,'январь 2023'!$J$4:$J$508,AF$1)</f>
        <v>0</v>
      </c>
      <c r="AG150" s="207">
        <f>SUMIFS('январь 2023'!$G$4:$G$508,'январь 2023'!$D$4:$D$508,$B150,'январь 2023'!$J$4:$J$508,AG$1)</f>
        <v>0</v>
      </c>
      <c r="AH150" s="207">
        <f>SUMIFS('январь 2023'!$G$4:$G$508,'январь 2023'!$D$4:$D$508,$B150,'январь 2023'!$J$4:$J$508,AH$1)</f>
        <v>0</v>
      </c>
      <c r="AI150" s="220">
        <f t="shared" si="4"/>
        <v>0</v>
      </c>
    </row>
    <row r="151" spans="2:35" ht="15.75" hidden="1" x14ac:dyDescent="0.25">
      <c r="B151" s="212"/>
      <c r="C151" s="211"/>
      <c r="D151" s="207">
        <f>SUMIFS('январь 2023'!$G$4:$G$508,'январь 2023'!$D$4:$D$508,$B151,'январь 2023'!$J$4:$J$508,D$1)</f>
        <v>0</v>
      </c>
      <c r="E151" s="207">
        <f>SUMIFS('январь 2023'!$G$4:$G$508,'январь 2023'!$D$4:$D$508,$B151,'январь 2023'!$J$4:$J$508,E$1)</f>
        <v>0</v>
      </c>
      <c r="F151" s="207">
        <f>SUMIFS('январь 2023'!$G$4:$G$508,'январь 2023'!$D$4:$D$508,$B151,'январь 2023'!$J$4:$J$508,F$1)</f>
        <v>0</v>
      </c>
      <c r="G151" s="207">
        <f>SUMIFS('январь 2023'!$G$4:$G$508,'январь 2023'!$D$4:$D$508,$B151,'январь 2023'!$J$4:$J$508,G$1)</f>
        <v>0</v>
      </c>
      <c r="H151" s="207">
        <f>SUMIFS('январь 2023'!$G$4:$G$508,'январь 2023'!$D$4:$D$508,$B151,'январь 2023'!$J$4:$J$508,H$1)</f>
        <v>0</v>
      </c>
      <c r="I151" s="207">
        <f>SUMIFS('январь 2023'!$G$4:$G$508,'январь 2023'!$D$4:$D$508,$B151,'январь 2023'!$J$4:$J$508,I$1)</f>
        <v>0</v>
      </c>
      <c r="J151" s="207">
        <f>SUMIFS('январь 2023'!$G$4:$G$508,'январь 2023'!$D$4:$D$508,$B151,'январь 2023'!$J$4:$J$508,J$1)</f>
        <v>0</v>
      </c>
      <c r="K151" s="207">
        <f>SUMIFS('январь 2023'!$G$4:$G$508,'январь 2023'!$D$4:$D$508,$B151,'январь 2023'!$J$4:$J$508,K$1)</f>
        <v>0</v>
      </c>
      <c r="L151" s="207">
        <f>SUMIFS('январь 2023'!$G$4:$G$508,'январь 2023'!$D$4:$D$508,$B151,'январь 2023'!$J$4:$J$508,L$1)</f>
        <v>0</v>
      </c>
      <c r="M151" s="207">
        <f>SUMIFS('январь 2023'!$G$4:$G$508,'январь 2023'!$D$4:$D$508,$B151,'январь 2023'!$J$4:$J$508,M$1)</f>
        <v>0</v>
      </c>
      <c r="N151" s="207">
        <f>SUMIFS('январь 2023'!$G$4:$G$508,'январь 2023'!$D$4:$D$508,$B151,'январь 2023'!$J$4:$J$508,N$1)</f>
        <v>0</v>
      </c>
      <c r="O151" s="207">
        <f>SUMIFS('январь 2023'!$G$4:$G$508,'январь 2023'!$D$4:$D$508,$B151,'январь 2023'!$J$4:$J$508,O$1)</f>
        <v>0</v>
      </c>
      <c r="P151" s="207">
        <f>SUMIFS('январь 2023'!$G$4:$G$508,'январь 2023'!$D$4:$D$508,$B151,'январь 2023'!$J$4:$J$508,P$1)</f>
        <v>0</v>
      </c>
      <c r="Q151" s="207">
        <f>SUMIFS('январь 2023'!$G$4:$G$508,'январь 2023'!$D$4:$D$508,$B151,'январь 2023'!$J$4:$J$508,Q$1)</f>
        <v>0</v>
      </c>
      <c r="R151" s="207">
        <f>SUMIFS('январь 2023'!$G$4:$G$508,'январь 2023'!$D$4:$D$508,$B151,'январь 2023'!$J$4:$J$508,R$1)</f>
        <v>0</v>
      </c>
      <c r="S151" s="207">
        <f>SUMIFS('январь 2023'!$G$4:$G$508,'январь 2023'!$D$4:$D$508,$B151,'январь 2023'!$J$4:$J$508,S$1)</f>
        <v>0</v>
      </c>
      <c r="T151" s="207">
        <f>SUMIFS('январь 2023'!$G$4:$G$508,'январь 2023'!$D$4:$D$508,$B151,'январь 2023'!$J$4:$J$508,T$1)</f>
        <v>0</v>
      </c>
      <c r="U151" s="207">
        <f>SUMIFS('январь 2023'!$G$4:$G$508,'январь 2023'!$D$4:$D$508,$B151,'январь 2023'!$J$4:$J$508,U$1)</f>
        <v>0</v>
      </c>
      <c r="V151" s="207">
        <f>SUMIFS('январь 2023'!$G$4:$G$508,'январь 2023'!$D$4:$D$508,$B151,'январь 2023'!$J$4:$J$508,V$1)</f>
        <v>0</v>
      </c>
      <c r="W151" s="207">
        <f>SUMIFS('январь 2023'!$G$4:$G$508,'январь 2023'!$D$4:$D$508,$B151,'январь 2023'!$J$4:$J$508,W$1)</f>
        <v>0</v>
      </c>
      <c r="X151" s="207">
        <f>SUMIFS('январь 2023'!$G$4:$G$508,'январь 2023'!$D$4:$D$508,$B151,'январь 2023'!$J$4:$J$508,X$1)</f>
        <v>0</v>
      </c>
      <c r="Y151" s="207">
        <f>SUMIFS('январь 2023'!$G$4:$G$508,'январь 2023'!$D$4:$D$508,$B151,'январь 2023'!$J$4:$J$508,Y$1)</f>
        <v>0</v>
      </c>
      <c r="Z151" s="207">
        <f>SUMIFS('январь 2023'!$G$4:$G$508,'январь 2023'!$D$4:$D$508,$B151,'январь 2023'!$J$4:$J$508,Z$1)</f>
        <v>0</v>
      </c>
      <c r="AA151" s="207">
        <f>SUMIFS('январь 2023'!$G$4:$G$508,'январь 2023'!$D$4:$D$508,$B151,'январь 2023'!$J$4:$J$508,AA$1)</f>
        <v>0</v>
      </c>
      <c r="AB151" s="207">
        <f>SUMIFS('январь 2023'!$G$4:$G$508,'январь 2023'!$D$4:$D$508,$B151,'январь 2023'!$J$4:$J$508,AB$1)</f>
        <v>0</v>
      </c>
      <c r="AC151" s="207">
        <f>SUMIFS('январь 2023'!$G$4:$G$508,'январь 2023'!$D$4:$D$508,$B151,'январь 2023'!$J$4:$J$508,AC$1)</f>
        <v>0</v>
      </c>
      <c r="AD151" s="207">
        <f>SUMIFS('январь 2023'!$G$4:$G$508,'январь 2023'!$D$4:$D$508,$B151,'январь 2023'!$J$4:$J$508,AD$1)</f>
        <v>0</v>
      </c>
      <c r="AE151" s="207">
        <f>SUMIFS('январь 2023'!$G$4:$G$508,'январь 2023'!$D$4:$D$508,$B151,'январь 2023'!$J$4:$J$508,AE$1)</f>
        <v>0</v>
      </c>
      <c r="AF151" s="207">
        <f>SUMIFS('январь 2023'!$G$4:$G$508,'январь 2023'!$D$4:$D$508,$B151,'январь 2023'!$J$4:$J$508,AF$1)</f>
        <v>0</v>
      </c>
      <c r="AG151" s="207">
        <f>SUMIFS('январь 2023'!$G$4:$G$508,'январь 2023'!$D$4:$D$508,$B151,'январь 2023'!$J$4:$J$508,AG$1)</f>
        <v>0</v>
      </c>
      <c r="AH151" s="207">
        <f>SUMIFS('январь 2023'!$G$4:$G$508,'январь 2023'!$D$4:$D$508,$B151,'январь 2023'!$J$4:$J$508,AH$1)</f>
        <v>0</v>
      </c>
      <c r="AI151" s="220">
        <f t="shared" si="4"/>
        <v>0</v>
      </c>
    </row>
    <row r="152" spans="2:35" ht="15.75" hidden="1" x14ac:dyDescent="0.25">
      <c r="B152" s="212"/>
      <c r="C152" s="211"/>
      <c r="D152" s="207">
        <f>SUMIFS('январь 2023'!$G$4:$G$508,'январь 2023'!$D$4:$D$508,$B152,'январь 2023'!$J$4:$J$508,D$1)</f>
        <v>0</v>
      </c>
      <c r="E152" s="207">
        <f>SUMIFS('январь 2023'!$G$4:$G$508,'январь 2023'!$D$4:$D$508,$B152,'январь 2023'!$J$4:$J$508,E$1)</f>
        <v>0</v>
      </c>
      <c r="F152" s="207">
        <f>SUMIFS('январь 2023'!$G$4:$G$508,'январь 2023'!$D$4:$D$508,$B152,'январь 2023'!$J$4:$J$508,F$1)</f>
        <v>0</v>
      </c>
      <c r="G152" s="207">
        <f>SUMIFS('январь 2023'!$G$4:$G$508,'январь 2023'!$D$4:$D$508,$B152,'январь 2023'!$J$4:$J$508,G$1)</f>
        <v>0</v>
      </c>
      <c r="H152" s="207">
        <f>SUMIFS('январь 2023'!$G$4:$G$508,'январь 2023'!$D$4:$D$508,$B152,'январь 2023'!$J$4:$J$508,H$1)</f>
        <v>0</v>
      </c>
      <c r="I152" s="207">
        <f>SUMIFS('январь 2023'!$G$4:$G$508,'январь 2023'!$D$4:$D$508,$B152,'январь 2023'!$J$4:$J$508,I$1)</f>
        <v>0</v>
      </c>
      <c r="J152" s="207">
        <f>SUMIFS('январь 2023'!$G$4:$G$508,'январь 2023'!$D$4:$D$508,$B152,'январь 2023'!$J$4:$J$508,J$1)</f>
        <v>0</v>
      </c>
      <c r="K152" s="207">
        <f>SUMIFS('январь 2023'!$G$4:$G$508,'январь 2023'!$D$4:$D$508,$B152,'январь 2023'!$J$4:$J$508,K$1)</f>
        <v>0</v>
      </c>
      <c r="L152" s="207">
        <f>SUMIFS('январь 2023'!$G$4:$G$508,'январь 2023'!$D$4:$D$508,$B152,'январь 2023'!$J$4:$J$508,L$1)</f>
        <v>0</v>
      </c>
      <c r="M152" s="207">
        <f>SUMIFS('январь 2023'!$G$4:$G$508,'январь 2023'!$D$4:$D$508,$B152,'январь 2023'!$J$4:$J$508,M$1)</f>
        <v>0</v>
      </c>
      <c r="N152" s="207">
        <f>SUMIFS('январь 2023'!$G$4:$G$508,'январь 2023'!$D$4:$D$508,$B152,'январь 2023'!$J$4:$J$508,N$1)</f>
        <v>0</v>
      </c>
      <c r="O152" s="207">
        <f>SUMIFS('январь 2023'!$G$4:$G$508,'январь 2023'!$D$4:$D$508,$B152,'январь 2023'!$J$4:$J$508,O$1)</f>
        <v>0</v>
      </c>
      <c r="P152" s="207">
        <f>SUMIFS('январь 2023'!$G$4:$G$508,'январь 2023'!$D$4:$D$508,$B152,'январь 2023'!$J$4:$J$508,P$1)</f>
        <v>0</v>
      </c>
      <c r="Q152" s="207">
        <f>SUMIFS('январь 2023'!$G$4:$G$508,'январь 2023'!$D$4:$D$508,$B152,'январь 2023'!$J$4:$J$508,Q$1)</f>
        <v>0</v>
      </c>
      <c r="R152" s="207">
        <f>SUMIFS('январь 2023'!$G$4:$G$508,'январь 2023'!$D$4:$D$508,$B152,'январь 2023'!$J$4:$J$508,R$1)</f>
        <v>0</v>
      </c>
      <c r="S152" s="207">
        <f>SUMIFS('январь 2023'!$G$4:$G$508,'январь 2023'!$D$4:$D$508,$B152,'январь 2023'!$J$4:$J$508,S$1)</f>
        <v>0</v>
      </c>
      <c r="T152" s="207">
        <f>SUMIFS('январь 2023'!$G$4:$G$508,'январь 2023'!$D$4:$D$508,$B152,'январь 2023'!$J$4:$J$508,T$1)</f>
        <v>0</v>
      </c>
      <c r="U152" s="207">
        <f>SUMIFS('январь 2023'!$G$4:$G$508,'январь 2023'!$D$4:$D$508,$B152,'январь 2023'!$J$4:$J$508,U$1)</f>
        <v>0</v>
      </c>
      <c r="V152" s="207">
        <f>SUMIFS('январь 2023'!$G$4:$G$508,'январь 2023'!$D$4:$D$508,$B152,'январь 2023'!$J$4:$J$508,V$1)</f>
        <v>0</v>
      </c>
      <c r="W152" s="207">
        <f>SUMIFS('январь 2023'!$G$4:$G$508,'январь 2023'!$D$4:$D$508,$B152,'январь 2023'!$J$4:$J$508,W$1)</f>
        <v>0</v>
      </c>
      <c r="X152" s="207">
        <f>SUMIFS('январь 2023'!$G$4:$G$508,'январь 2023'!$D$4:$D$508,$B152,'январь 2023'!$J$4:$J$508,X$1)</f>
        <v>0</v>
      </c>
      <c r="Y152" s="207">
        <f>SUMIFS('январь 2023'!$G$4:$G$508,'январь 2023'!$D$4:$D$508,$B152,'январь 2023'!$J$4:$J$508,Y$1)</f>
        <v>0</v>
      </c>
      <c r="Z152" s="207">
        <f>SUMIFS('январь 2023'!$G$4:$G$508,'январь 2023'!$D$4:$D$508,$B152,'январь 2023'!$J$4:$J$508,Z$1)</f>
        <v>0</v>
      </c>
      <c r="AA152" s="207">
        <f>SUMIFS('январь 2023'!$G$4:$G$508,'январь 2023'!$D$4:$D$508,$B152,'январь 2023'!$J$4:$J$508,AA$1)</f>
        <v>0</v>
      </c>
      <c r="AB152" s="207">
        <f>SUMIFS('январь 2023'!$G$4:$G$508,'январь 2023'!$D$4:$D$508,$B152,'январь 2023'!$J$4:$J$508,AB$1)</f>
        <v>0</v>
      </c>
      <c r="AC152" s="207">
        <f>SUMIFS('январь 2023'!$G$4:$G$508,'январь 2023'!$D$4:$D$508,$B152,'январь 2023'!$J$4:$J$508,AC$1)</f>
        <v>0</v>
      </c>
      <c r="AD152" s="207">
        <f>SUMIFS('январь 2023'!$G$4:$G$508,'январь 2023'!$D$4:$D$508,$B152,'январь 2023'!$J$4:$J$508,AD$1)</f>
        <v>0</v>
      </c>
      <c r="AE152" s="207">
        <f>SUMIFS('январь 2023'!$G$4:$G$508,'январь 2023'!$D$4:$D$508,$B152,'январь 2023'!$J$4:$J$508,AE$1)</f>
        <v>0</v>
      </c>
      <c r="AF152" s="207">
        <f>SUMIFS('январь 2023'!$G$4:$G$508,'январь 2023'!$D$4:$D$508,$B152,'январь 2023'!$J$4:$J$508,AF$1)</f>
        <v>0</v>
      </c>
      <c r="AG152" s="207">
        <f>SUMIFS('январь 2023'!$G$4:$G$508,'январь 2023'!$D$4:$D$508,$B152,'январь 2023'!$J$4:$J$508,AG$1)</f>
        <v>0</v>
      </c>
      <c r="AH152" s="207">
        <f>SUMIFS('январь 2023'!$G$4:$G$508,'январь 2023'!$D$4:$D$508,$B152,'январь 2023'!$J$4:$J$508,AH$1)</f>
        <v>0</v>
      </c>
      <c r="AI152" s="220">
        <f t="shared" si="4"/>
        <v>0</v>
      </c>
    </row>
    <row r="153" spans="2:35" ht="15.75" hidden="1" x14ac:dyDescent="0.25">
      <c r="B153" s="212"/>
      <c r="C153" s="211"/>
      <c r="D153" s="207">
        <f>SUMIFS('январь 2023'!$G$4:$G$508,'январь 2023'!$D$4:$D$508,$B153,'январь 2023'!$J$4:$J$508,D$1)</f>
        <v>0</v>
      </c>
      <c r="E153" s="207">
        <f>SUMIFS('январь 2023'!$G$4:$G$508,'январь 2023'!$D$4:$D$508,$B153,'январь 2023'!$J$4:$J$508,E$1)</f>
        <v>0</v>
      </c>
      <c r="F153" s="207">
        <f>SUMIFS('январь 2023'!$G$4:$G$508,'январь 2023'!$D$4:$D$508,$B153,'январь 2023'!$J$4:$J$508,F$1)</f>
        <v>0</v>
      </c>
      <c r="G153" s="207">
        <f>SUMIFS('январь 2023'!$G$4:$G$508,'январь 2023'!$D$4:$D$508,$B153,'январь 2023'!$J$4:$J$508,G$1)</f>
        <v>0</v>
      </c>
      <c r="H153" s="207">
        <f>SUMIFS('январь 2023'!$G$4:$G$508,'январь 2023'!$D$4:$D$508,$B153,'январь 2023'!$J$4:$J$508,H$1)</f>
        <v>0</v>
      </c>
      <c r="I153" s="207">
        <f>SUMIFS('январь 2023'!$G$4:$G$508,'январь 2023'!$D$4:$D$508,$B153,'январь 2023'!$J$4:$J$508,I$1)</f>
        <v>0</v>
      </c>
      <c r="J153" s="207">
        <f>SUMIFS('январь 2023'!$G$4:$G$508,'январь 2023'!$D$4:$D$508,$B153,'январь 2023'!$J$4:$J$508,J$1)</f>
        <v>0</v>
      </c>
      <c r="K153" s="207">
        <f>SUMIFS('январь 2023'!$G$4:$G$508,'январь 2023'!$D$4:$D$508,$B153,'январь 2023'!$J$4:$J$508,K$1)</f>
        <v>0</v>
      </c>
      <c r="L153" s="207">
        <f>SUMIFS('январь 2023'!$G$4:$G$508,'январь 2023'!$D$4:$D$508,$B153,'январь 2023'!$J$4:$J$508,L$1)</f>
        <v>0</v>
      </c>
      <c r="M153" s="207">
        <f>SUMIFS('январь 2023'!$G$4:$G$508,'январь 2023'!$D$4:$D$508,$B153,'январь 2023'!$J$4:$J$508,M$1)</f>
        <v>0</v>
      </c>
      <c r="N153" s="207">
        <f>SUMIFS('январь 2023'!$G$4:$G$508,'январь 2023'!$D$4:$D$508,$B153,'январь 2023'!$J$4:$J$508,N$1)</f>
        <v>0</v>
      </c>
      <c r="O153" s="207">
        <f>SUMIFS('январь 2023'!$G$4:$G$508,'январь 2023'!$D$4:$D$508,$B153,'январь 2023'!$J$4:$J$508,O$1)</f>
        <v>0</v>
      </c>
      <c r="P153" s="207">
        <f>SUMIFS('январь 2023'!$G$4:$G$508,'январь 2023'!$D$4:$D$508,$B153,'январь 2023'!$J$4:$J$508,P$1)</f>
        <v>0</v>
      </c>
      <c r="Q153" s="207">
        <f>SUMIFS('январь 2023'!$G$4:$G$508,'январь 2023'!$D$4:$D$508,$B153,'январь 2023'!$J$4:$J$508,Q$1)</f>
        <v>0</v>
      </c>
      <c r="R153" s="207">
        <f>SUMIFS('январь 2023'!$G$4:$G$508,'январь 2023'!$D$4:$D$508,$B153,'январь 2023'!$J$4:$J$508,R$1)</f>
        <v>0</v>
      </c>
      <c r="S153" s="207">
        <f>SUMIFS('январь 2023'!$G$4:$G$508,'январь 2023'!$D$4:$D$508,$B153,'январь 2023'!$J$4:$J$508,S$1)</f>
        <v>0</v>
      </c>
      <c r="T153" s="207">
        <f>SUMIFS('январь 2023'!$G$4:$G$508,'январь 2023'!$D$4:$D$508,$B153,'январь 2023'!$J$4:$J$508,T$1)</f>
        <v>0</v>
      </c>
      <c r="U153" s="207">
        <f>SUMIFS('январь 2023'!$G$4:$G$508,'январь 2023'!$D$4:$D$508,$B153,'январь 2023'!$J$4:$J$508,U$1)</f>
        <v>0</v>
      </c>
      <c r="V153" s="207">
        <f>SUMIFS('январь 2023'!$G$4:$G$508,'январь 2023'!$D$4:$D$508,$B153,'январь 2023'!$J$4:$J$508,V$1)</f>
        <v>0</v>
      </c>
      <c r="W153" s="207">
        <f>SUMIFS('январь 2023'!$G$4:$G$508,'январь 2023'!$D$4:$D$508,$B153,'январь 2023'!$J$4:$J$508,W$1)</f>
        <v>0</v>
      </c>
      <c r="X153" s="207">
        <f>SUMIFS('январь 2023'!$G$4:$G$508,'январь 2023'!$D$4:$D$508,$B153,'январь 2023'!$J$4:$J$508,X$1)</f>
        <v>0</v>
      </c>
      <c r="Y153" s="207">
        <f>SUMIFS('январь 2023'!$G$4:$G$508,'январь 2023'!$D$4:$D$508,$B153,'январь 2023'!$J$4:$J$508,Y$1)</f>
        <v>0</v>
      </c>
      <c r="Z153" s="207">
        <f>SUMIFS('январь 2023'!$G$4:$G$508,'январь 2023'!$D$4:$D$508,$B153,'январь 2023'!$J$4:$J$508,Z$1)</f>
        <v>0</v>
      </c>
      <c r="AA153" s="207">
        <f>SUMIFS('январь 2023'!$G$4:$G$508,'январь 2023'!$D$4:$D$508,$B153,'январь 2023'!$J$4:$J$508,AA$1)</f>
        <v>0</v>
      </c>
      <c r="AB153" s="207">
        <f>SUMIFS('январь 2023'!$G$4:$G$508,'январь 2023'!$D$4:$D$508,$B153,'январь 2023'!$J$4:$J$508,AB$1)</f>
        <v>0</v>
      </c>
      <c r="AC153" s="207">
        <f>SUMIFS('январь 2023'!$G$4:$G$508,'январь 2023'!$D$4:$D$508,$B153,'январь 2023'!$J$4:$J$508,AC$1)</f>
        <v>0</v>
      </c>
      <c r="AD153" s="207">
        <f>SUMIFS('январь 2023'!$G$4:$G$508,'январь 2023'!$D$4:$D$508,$B153,'январь 2023'!$J$4:$J$508,AD$1)</f>
        <v>0</v>
      </c>
      <c r="AE153" s="207">
        <f>SUMIFS('январь 2023'!$G$4:$G$508,'январь 2023'!$D$4:$D$508,$B153,'январь 2023'!$J$4:$J$508,AE$1)</f>
        <v>0</v>
      </c>
      <c r="AF153" s="207">
        <f>SUMIFS('январь 2023'!$G$4:$G$508,'январь 2023'!$D$4:$D$508,$B153,'январь 2023'!$J$4:$J$508,AF$1)</f>
        <v>0</v>
      </c>
      <c r="AG153" s="207">
        <f>SUMIFS('январь 2023'!$G$4:$G$508,'январь 2023'!$D$4:$D$508,$B153,'январь 2023'!$J$4:$J$508,AG$1)</f>
        <v>0</v>
      </c>
      <c r="AH153" s="207">
        <f>SUMIFS('январь 2023'!$G$4:$G$508,'январь 2023'!$D$4:$D$508,$B153,'январь 2023'!$J$4:$J$508,AH$1)</f>
        <v>0</v>
      </c>
      <c r="AI153" s="220">
        <f t="shared" si="4"/>
        <v>0</v>
      </c>
    </row>
    <row r="154" spans="2:35" ht="15.75" hidden="1" x14ac:dyDescent="0.25">
      <c r="B154" s="212"/>
      <c r="C154" s="211"/>
      <c r="D154" s="207">
        <f>SUMIFS('январь 2023'!$G$4:$G$508,'январь 2023'!$D$4:$D$508,$B154,'январь 2023'!$J$4:$J$508,D$1)</f>
        <v>0</v>
      </c>
      <c r="E154" s="207">
        <f>SUMIFS('январь 2023'!$G$4:$G$508,'январь 2023'!$D$4:$D$508,$B154,'январь 2023'!$J$4:$J$508,E$1)</f>
        <v>0</v>
      </c>
      <c r="F154" s="207">
        <f>SUMIFS('январь 2023'!$G$4:$G$508,'январь 2023'!$D$4:$D$508,$B154,'январь 2023'!$J$4:$J$508,F$1)</f>
        <v>0</v>
      </c>
      <c r="G154" s="207">
        <f>SUMIFS('январь 2023'!$G$4:$G$508,'январь 2023'!$D$4:$D$508,$B154,'январь 2023'!$J$4:$J$508,G$1)</f>
        <v>0</v>
      </c>
      <c r="H154" s="207">
        <f>SUMIFS('январь 2023'!$G$4:$G$508,'январь 2023'!$D$4:$D$508,$B154,'январь 2023'!$J$4:$J$508,H$1)</f>
        <v>0</v>
      </c>
      <c r="I154" s="207">
        <f>SUMIFS('январь 2023'!$G$4:$G$508,'январь 2023'!$D$4:$D$508,$B154,'январь 2023'!$J$4:$J$508,I$1)</f>
        <v>0</v>
      </c>
      <c r="J154" s="207">
        <f>SUMIFS('январь 2023'!$G$4:$G$508,'январь 2023'!$D$4:$D$508,$B154,'январь 2023'!$J$4:$J$508,J$1)</f>
        <v>0</v>
      </c>
      <c r="K154" s="207">
        <f>SUMIFS('январь 2023'!$G$4:$G$508,'январь 2023'!$D$4:$D$508,$B154,'январь 2023'!$J$4:$J$508,K$1)</f>
        <v>0</v>
      </c>
      <c r="L154" s="207">
        <f>SUMIFS('январь 2023'!$G$4:$G$508,'январь 2023'!$D$4:$D$508,$B154,'январь 2023'!$J$4:$J$508,L$1)</f>
        <v>0</v>
      </c>
      <c r="M154" s="207">
        <f>SUMIFS('январь 2023'!$G$4:$G$508,'январь 2023'!$D$4:$D$508,$B154,'январь 2023'!$J$4:$J$508,M$1)</f>
        <v>0</v>
      </c>
      <c r="N154" s="207">
        <f>SUMIFS('январь 2023'!$G$4:$G$508,'январь 2023'!$D$4:$D$508,$B154,'январь 2023'!$J$4:$J$508,N$1)</f>
        <v>0</v>
      </c>
      <c r="O154" s="207">
        <f>SUMIFS('январь 2023'!$G$4:$G$508,'январь 2023'!$D$4:$D$508,$B154,'январь 2023'!$J$4:$J$508,O$1)</f>
        <v>0</v>
      </c>
      <c r="P154" s="207">
        <f>SUMIFS('январь 2023'!$G$4:$G$508,'январь 2023'!$D$4:$D$508,$B154,'январь 2023'!$J$4:$J$508,P$1)</f>
        <v>0</v>
      </c>
      <c r="Q154" s="207">
        <f>SUMIFS('январь 2023'!$G$4:$G$508,'январь 2023'!$D$4:$D$508,$B154,'январь 2023'!$J$4:$J$508,Q$1)</f>
        <v>0</v>
      </c>
      <c r="R154" s="207">
        <f>SUMIFS('январь 2023'!$G$4:$G$508,'январь 2023'!$D$4:$D$508,$B154,'январь 2023'!$J$4:$J$508,R$1)</f>
        <v>0</v>
      </c>
      <c r="S154" s="207">
        <f>SUMIFS('январь 2023'!$G$4:$G$508,'январь 2023'!$D$4:$D$508,$B154,'январь 2023'!$J$4:$J$508,S$1)</f>
        <v>0</v>
      </c>
      <c r="T154" s="207">
        <f>SUMIFS('январь 2023'!$G$4:$G$508,'январь 2023'!$D$4:$D$508,$B154,'январь 2023'!$J$4:$J$508,T$1)</f>
        <v>0</v>
      </c>
      <c r="U154" s="207">
        <f>SUMIFS('январь 2023'!$G$4:$G$508,'январь 2023'!$D$4:$D$508,$B154,'январь 2023'!$J$4:$J$508,U$1)</f>
        <v>0</v>
      </c>
      <c r="V154" s="207">
        <f>SUMIFS('январь 2023'!$G$4:$G$508,'январь 2023'!$D$4:$D$508,$B154,'январь 2023'!$J$4:$J$508,V$1)</f>
        <v>0</v>
      </c>
      <c r="W154" s="207">
        <f>SUMIFS('январь 2023'!$G$4:$G$508,'январь 2023'!$D$4:$D$508,$B154,'январь 2023'!$J$4:$J$508,W$1)</f>
        <v>0</v>
      </c>
      <c r="X154" s="207">
        <f>SUMIFS('январь 2023'!$G$4:$G$508,'январь 2023'!$D$4:$D$508,$B154,'январь 2023'!$J$4:$J$508,X$1)</f>
        <v>0</v>
      </c>
      <c r="Y154" s="207">
        <f>SUMIFS('январь 2023'!$G$4:$G$508,'январь 2023'!$D$4:$D$508,$B154,'январь 2023'!$J$4:$J$508,Y$1)</f>
        <v>0</v>
      </c>
      <c r="Z154" s="207">
        <f>SUMIFS('январь 2023'!$G$4:$G$508,'январь 2023'!$D$4:$D$508,$B154,'январь 2023'!$J$4:$J$508,Z$1)</f>
        <v>0</v>
      </c>
      <c r="AA154" s="207">
        <f>SUMIFS('январь 2023'!$G$4:$G$508,'январь 2023'!$D$4:$D$508,$B154,'январь 2023'!$J$4:$J$508,AA$1)</f>
        <v>0</v>
      </c>
      <c r="AB154" s="207">
        <f>SUMIFS('январь 2023'!$G$4:$G$508,'январь 2023'!$D$4:$D$508,$B154,'январь 2023'!$J$4:$J$508,AB$1)</f>
        <v>0</v>
      </c>
      <c r="AC154" s="207">
        <f>SUMIFS('январь 2023'!$G$4:$G$508,'январь 2023'!$D$4:$D$508,$B154,'январь 2023'!$J$4:$J$508,AC$1)</f>
        <v>0</v>
      </c>
      <c r="AD154" s="207">
        <f>SUMIFS('январь 2023'!$G$4:$G$508,'январь 2023'!$D$4:$D$508,$B154,'январь 2023'!$J$4:$J$508,AD$1)</f>
        <v>0</v>
      </c>
      <c r="AE154" s="207">
        <f>SUMIFS('январь 2023'!$G$4:$G$508,'январь 2023'!$D$4:$D$508,$B154,'январь 2023'!$J$4:$J$508,AE$1)</f>
        <v>0</v>
      </c>
      <c r="AF154" s="207">
        <f>SUMIFS('январь 2023'!$G$4:$G$508,'январь 2023'!$D$4:$D$508,$B154,'январь 2023'!$J$4:$J$508,AF$1)</f>
        <v>0</v>
      </c>
      <c r="AG154" s="207">
        <f>SUMIFS('январь 2023'!$G$4:$G$508,'январь 2023'!$D$4:$D$508,$B154,'январь 2023'!$J$4:$J$508,AG$1)</f>
        <v>0</v>
      </c>
      <c r="AH154" s="207">
        <f>SUMIFS('январь 2023'!$G$4:$G$508,'январь 2023'!$D$4:$D$508,$B154,'январь 2023'!$J$4:$J$508,AH$1)</f>
        <v>0</v>
      </c>
      <c r="AI154" s="220">
        <f t="shared" si="4"/>
        <v>0</v>
      </c>
    </row>
    <row r="155" spans="2:35" ht="15.75" hidden="1" x14ac:dyDescent="0.25">
      <c r="B155" s="212"/>
      <c r="C155" s="211"/>
      <c r="D155" s="207">
        <f>SUMIFS('январь 2023'!$G$4:$G$508,'январь 2023'!$D$4:$D$508,$B155,'январь 2023'!$J$4:$J$508,D$1)</f>
        <v>0</v>
      </c>
      <c r="E155" s="207">
        <f>SUMIFS('январь 2023'!$G$4:$G$508,'январь 2023'!$D$4:$D$508,$B155,'январь 2023'!$J$4:$J$508,E$1)</f>
        <v>0</v>
      </c>
      <c r="F155" s="207">
        <f>SUMIFS('январь 2023'!$G$4:$G$508,'январь 2023'!$D$4:$D$508,$B155,'январь 2023'!$J$4:$J$508,F$1)</f>
        <v>0</v>
      </c>
      <c r="G155" s="207">
        <f>SUMIFS('январь 2023'!$G$4:$G$508,'январь 2023'!$D$4:$D$508,$B155,'январь 2023'!$J$4:$J$508,G$1)</f>
        <v>0</v>
      </c>
      <c r="H155" s="207">
        <f>SUMIFS('январь 2023'!$G$4:$G$508,'январь 2023'!$D$4:$D$508,$B155,'январь 2023'!$J$4:$J$508,H$1)</f>
        <v>0</v>
      </c>
      <c r="I155" s="207">
        <f>SUMIFS('январь 2023'!$G$4:$G$508,'январь 2023'!$D$4:$D$508,$B155,'январь 2023'!$J$4:$J$508,I$1)</f>
        <v>0</v>
      </c>
      <c r="J155" s="207">
        <f>SUMIFS('январь 2023'!$G$4:$G$508,'январь 2023'!$D$4:$D$508,$B155,'январь 2023'!$J$4:$J$508,J$1)</f>
        <v>0</v>
      </c>
      <c r="K155" s="207">
        <f>SUMIFS('январь 2023'!$G$4:$G$508,'январь 2023'!$D$4:$D$508,$B155,'январь 2023'!$J$4:$J$508,K$1)</f>
        <v>0</v>
      </c>
      <c r="L155" s="207">
        <f>SUMIFS('январь 2023'!$G$4:$G$508,'январь 2023'!$D$4:$D$508,$B155,'январь 2023'!$J$4:$J$508,L$1)</f>
        <v>0</v>
      </c>
      <c r="M155" s="207">
        <f>SUMIFS('январь 2023'!$G$4:$G$508,'январь 2023'!$D$4:$D$508,$B155,'январь 2023'!$J$4:$J$508,M$1)</f>
        <v>0</v>
      </c>
      <c r="N155" s="207">
        <f>SUMIFS('январь 2023'!$G$4:$G$508,'январь 2023'!$D$4:$D$508,$B155,'январь 2023'!$J$4:$J$508,N$1)</f>
        <v>0</v>
      </c>
      <c r="O155" s="207">
        <f>SUMIFS('январь 2023'!$G$4:$G$508,'январь 2023'!$D$4:$D$508,$B155,'январь 2023'!$J$4:$J$508,O$1)</f>
        <v>0</v>
      </c>
      <c r="P155" s="207">
        <f>SUMIFS('январь 2023'!$G$4:$G$508,'январь 2023'!$D$4:$D$508,$B155,'январь 2023'!$J$4:$J$508,P$1)</f>
        <v>0</v>
      </c>
      <c r="Q155" s="207">
        <f>SUMIFS('январь 2023'!$G$4:$G$508,'январь 2023'!$D$4:$D$508,$B155,'январь 2023'!$J$4:$J$508,Q$1)</f>
        <v>0</v>
      </c>
      <c r="R155" s="207">
        <f>SUMIFS('январь 2023'!$G$4:$G$508,'январь 2023'!$D$4:$D$508,$B155,'январь 2023'!$J$4:$J$508,R$1)</f>
        <v>0</v>
      </c>
      <c r="S155" s="207">
        <f>SUMIFS('январь 2023'!$G$4:$G$508,'январь 2023'!$D$4:$D$508,$B155,'январь 2023'!$J$4:$J$508,S$1)</f>
        <v>0</v>
      </c>
      <c r="T155" s="207">
        <f>SUMIFS('январь 2023'!$G$4:$G$508,'январь 2023'!$D$4:$D$508,$B155,'январь 2023'!$J$4:$J$508,T$1)</f>
        <v>0</v>
      </c>
      <c r="U155" s="207">
        <f>SUMIFS('январь 2023'!$G$4:$G$508,'январь 2023'!$D$4:$D$508,$B155,'январь 2023'!$J$4:$J$508,U$1)</f>
        <v>0</v>
      </c>
      <c r="V155" s="207">
        <f>SUMIFS('январь 2023'!$G$4:$G$508,'январь 2023'!$D$4:$D$508,$B155,'январь 2023'!$J$4:$J$508,V$1)</f>
        <v>0</v>
      </c>
      <c r="W155" s="207">
        <f>SUMIFS('январь 2023'!$G$4:$G$508,'январь 2023'!$D$4:$D$508,$B155,'январь 2023'!$J$4:$J$508,W$1)</f>
        <v>0</v>
      </c>
      <c r="X155" s="207">
        <f>SUMIFS('январь 2023'!$G$4:$G$508,'январь 2023'!$D$4:$D$508,$B155,'январь 2023'!$J$4:$J$508,X$1)</f>
        <v>0</v>
      </c>
      <c r="Y155" s="207">
        <f>SUMIFS('январь 2023'!$G$4:$G$508,'январь 2023'!$D$4:$D$508,$B155,'январь 2023'!$J$4:$J$508,Y$1)</f>
        <v>0</v>
      </c>
      <c r="Z155" s="207">
        <f>SUMIFS('январь 2023'!$G$4:$G$508,'январь 2023'!$D$4:$D$508,$B155,'январь 2023'!$J$4:$J$508,Z$1)</f>
        <v>0</v>
      </c>
      <c r="AA155" s="207">
        <f>SUMIFS('январь 2023'!$G$4:$G$508,'январь 2023'!$D$4:$D$508,$B155,'январь 2023'!$J$4:$J$508,AA$1)</f>
        <v>0</v>
      </c>
      <c r="AB155" s="207">
        <f>SUMIFS('январь 2023'!$G$4:$G$508,'январь 2023'!$D$4:$D$508,$B155,'январь 2023'!$J$4:$J$508,AB$1)</f>
        <v>0</v>
      </c>
      <c r="AC155" s="207">
        <f>SUMIFS('январь 2023'!$G$4:$G$508,'январь 2023'!$D$4:$D$508,$B155,'январь 2023'!$J$4:$J$508,AC$1)</f>
        <v>0</v>
      </c>
      <c r="AD155" s="207">
        <f>SUMIFS('январь 2023'!$G$4:$G$508,'январь 2023'!$D$4:$D$508,$B155,'январь 2023'!$J$4:$J$508,AD$1)</f>
        <v>0</v>
      </c>
      <c r="AE155" s="207">
        <f>SUMIFS('январь 2023'!$G$4:$G$508,'январь 2023'!$D$4:$D$508,$B155,'январь 2023'!$J$4:$J$508,AE$1)</f>
        <v>0</v>
      </c>
      <c r="AF155" s="207">
        <f>SUMIFS('январь 2023'!$G$4:$G$508,'январь 2023'!$D$4:$D$508,$B155,'январь 2023'!$J$4:$J$508,AF$1)</f>
        <v>0</v>
      </c>
      <c r="AG155" s="207">
        <f>SUMIFS('январь 2023'!$G$4:$G$508,'январь 2023'!$D$4:$D$508,$B155,'январь 2023'!$J$4:$J$508,AG$1)</f>
        <v>0</v>
      </c>
      <c r="AH155" s="207">
        <f>SUMIFS('январь 2023'!$G$4:$G$508,'январь 2023'!$D$4:$D$508,$B155,'январь 2023'!$J$4:$J$508,AH$1)</f>
        <v>0</v>
      </c>
      <c r="AI155" s="220">
        <f t="shared" si="4"/>
        <v>0</v>
      </c>
    </row>
    <row r="156" spans="2:35" ht="15.75" hidden="1" x14ac:dyDescent="0.25">
      <c r="B156" s="212"/>
      <c r="C156" s="211"/>
      <c r="D156" s="207">
        <f>SUMIFS('январь 2023'!$G$4:$G$508,'январь 2023'!$D$4:$D$508,$B156,'январь 2023'!$J$4:$J$508,D$1)</f>
        <v>0</v>
      </c>
      <c r="E156" s="207">
        <f>SUMIFS('январь 2023'!$G$4:$G$508,'январь 2023'!$D$4:$D$508,$B156,'январь 2023'!$J$4:$J$508,E$1)</f>
        <v>0</v>
      </c>
      <c r="F156" s="207">
        <f>SUMIFS('январь 2023'!$G$4:$G$508,'январь 2023'!$D$4:$D$508,$B156,'январь 2023'!$J$4:$J$508,F$1)</f>
        <v>0</v>
      </c>
      <c r="G156" s="207">
        <f>SUMIFS('январь 2023'!$G$4:$G$508,'январь 2023'!$D$4:$D$508,$B156,'январь 2023'!$J$4:$J$508,G$1)</f>
        <v>0</v>
      </c>
      <c r="H156" s="207">
        <f>SUMIFS('январь 2023'!$G$4:$G$508,'январь 2023'!$D$4:$D$508,$B156,'январь 2023'!$J$4:$J$508,H$1)</f>
        <v>0</v>
      </c>
      <c r="I156" s="207">
        <f>SUMIFS('январь 2023'!$G$4:$G$508,'январь 2023'!$D$4:$D$508,$B156,'январь 2023'!$J$4:$J$508,I$1)</f>
        <v>0</v>
      </c>
      <c r="J156" s="207">
        <f>SUMIFS('январь 2023'!$G$4:$G$508,'январь 2023'!$D$4:$D$508,$B156,'январь 2023'!$J$4:$J$508,J$1)</f>
        <v>0</v>
      </c>
      <c r="K156" s="207">
        <f>SUMIFS('январь 2023'!$G$4:$G$508,'январь 2023'!$D$4:$D$508,$B156,'январь 2023'!$J$4:$J$508,K$1)</f>
        <v>0</v>
      </c>
      <c r="L156" s="207">
        <f>SUMIFS('январь 2023'!$G$4:$G$508,'январь 2023'!$D$4:$D$508,$B156,'январь 2023'!$J$4:$J$508,L$1)</f>
        <v>0</v>
      </c>
      <c r="M156" s="207">
        <f>SUMIFS('январь 2023'!$G$4:$G$508,'январь 2023'!$D$4:$D$508,$B156,'январь 2023'!$J$4:$J$508,M$1)</f>
        <v>0</v>
      </c>
      <c r="N156" s="207">
        <f>SUMIFS('январь 2023'!$G$4:$G$508,'январь 2023'!$D$4:$D$508,$B156,'январь 2023'!$J$4:$J$508,N$1)</f>
        <v>0</v>
      </c>
      <c r="O156" s="207">
        <f>SUMIFS('январь 2023'!$G$4:$G$508,'январь 2023'!$D$4:$D$508,$B156,'январь 2023'!$J$4:$J$508,O$1)</f>
        <v>0</v>
      </c>
      <c r="P156" s="207">
        <f>SUMIFS('январь 2023'!$G$4:$G$508,'январь 2023'!$D$4:$D$508,$B156,'январь 2023'!$J$4:$J$508,P$1)</f>
        <v>0</v>
      </c>
      <c r="Q156" s="207">
        <f>SUMIFS('январь 2023'!$G$4:$G$508,'январь 2023'!$D$4:$D$508,$B156,'январь 2023'!$J$4:$J$508,Q$1)</f>
        <v>0</v>
      </c>
      <c r="R156" s="207">
        <f>SUMIFS('январь 2023'!$G$4:$G$508,'январь 2023'!$D$4:$D$508,$B156,'январь 2023'!$J$4:$J$508,R$1)</f>
        <v>0</v>
      </c>
      <c r="S156" s="207">
        <f>SUMIFS('январь 2023'!$G$4:$G$508,'январь 2023'!$D$4:$D$508,$B156,'январь 2023'!$J$4:$J$508,S$1)</f>
        <v>0</v>
      </c>
      <c r="T156" s="207">
        <f>SUMIFS('январь 2023'!$G$4:$G$508,'январь 2023'!$D$4:$D$508,$B156,'январь 2023'!$J$4:$J$508,T$1)</f>
        <v>0</v>
      </c>
      <c r="U156" s="207">
        <f>SUMIFS('январь 2023'!$G$4:$G$508,'январь 2023'!$D$4:$D$508,$B156,'январь 2023'!$J$4:$J$508,U$1)</f>
        <v>0</v>
      </c>
      <c r="V156" s="207">
        <f>SUMIFS('январь 2023'!$G$4:$G$508,'январь 2023'!$D$4:$D$508,$B156,'январь 2023'!$J$4:$J$508,V$1)</f>
        <v>0</v>
      </c>
      <c r="W156" s="207">
        <f>SUMIFS('январь 2023'!$G$4:$G$508,'январь 2023'!$D$4:$D$508,$B156,'январь 2023'!$J$4:$J$508,W$1)</f>
        <v>0</v>
      </c>
      <c r="X156" s="207">
        <f>SUMIFS('январь 2023'!$G$4:$G$508,'январь 2023'!$D$4:$D$508,$B156,'январь 2023'!$J$4:$J$508,X$1)</f>
        <v>0</v>
      </c>
      <c r="Y156" s="207">
        <f>SUMIFS('январь 2023'!$G$4:$G$508,'январь 2023'!$D$4:$D$508,$B156,'январь 2023'!$J$4:$J$508,Y$1)</f>
        <v>0</v>
      </c>
      <c r="Z156" s="207">
        <f>SUMIFS('январь 2023'!$G$4:$G$508,'январь 2023'!$D$4:$D$508,$B156,'январь 2023'!$J$4:$J$508,Z$1)</f>
        <v>0</v>
      </c>
      <c r="AA156" s="207">
        <f>SUMIFS('январь 2023'!$G$4:$G$508,'январь 2023'!$D$4:$D$508,$B156,'январь 2023'!$J$4:$J$508,AA$1)</f>
        <v>0</v>
      </c>
      <c r="AB156" s="207">
        <f>SUMIFS('январь 2023'!$G$4:$G$508,'январь 2023'!$D$4:$D$508,$B156,'январь 2023'!$J$4:$J$508,AB$1)</f>
        <v>0</v>
      </c>
      <c r="AC156" s="207">
        <f>SUMIFS('январь 2023'!$G$4:$G$508,'январь 2023'!$D$4:$D$508,$B156,'январь 2023'!$J$4:$J$508,AC$1)</f>
        <v>0</v>
      </c>
      <c r="AD156" s="207">
        <f>SUMIFS('январь 2023'!$G$4:$G$508,'январь 2023'!$D$4:$D$508,$B156,'январь 2023'!$J$4:$J$508,AD$1)</f>
        <v>0</v>
      </c>
      <c r="AE156" s="207">
        <f>SUMIFS('январь 2023'!$G$4:$G$508,'январь 2023'!$D$4:$D$508,$B156,'январь 2023'!$J$4:$J$508,AE$1)</f>
        <v>0</v>
      </c>
      <c r="AF156" s="207">
        <f>SUMIFS('январь 2023'!$G$4:$G$508,'январь 2023'!$D$4:$D$508,$B156,'январь 2023'!$J$4:$J$508,AF$1)</f>
        <v>0</v>
      </c>
      <c r="AG156" s="207">
        <f>SUMIFS('январь 2023'!$G$4:$G$508,'январь 2023'!$D$4:$D$508,$B156,'январь 2023'!$J$4:$J$508,AG$1)</f>
        <v>0</v>
      </c>
      <c r="AH156" s="207">
        <f>SUMIFS('январь 2023'!$G$4:$G$508,'январь 2023'!$D$4:$D$508,$B156,'январь 2023'!$J$4:$J$508,AH$1)</f>
        <v>0</v>
      </c>
      <c r="AI156" s="220">
        <f t="shared" si="4"/>
        <v>0</v>
      </c>
    </row>
    <row r="157" spans="2:35" ht="15.75" hidden="1" x14ac:dyDescent="0.25">
      <c r="B157" s="212"/>
      <c r="C157" s="211"/>
      <c r="D157" s="207">
        <f>SUMIFS('январь 2023'!$G$4:$G$508,'январь 2023'!$D$4:$D$508,$B157,'январь 2023'!$J$4:$J$508,D$1)</f>
        <v>0</v>
      </c>
      <c r="E157" s="207">
        <f>SUMIFS('январь 2023'!$G$4:$G$508,'январь 2023'!$D$4:$D$508,$B157,'январь 2023'!$J$4:$J$508,E$1)</f>
        <v>0</v>
      </c>
      <c r="F157" s="207">
        <f>SUMIFS('январь 2023'!$G$4:$G$508,'январь 2023'!$D$4:$D$508,$B157,'январь 2023'!$J$4:$J$508,F$1)</f>
        <v>0</v>
      </c>
      <c r="G157" s="207">
        <f>SUMIFS('январь 2023'!$G$4:$G$508,'январь 2023'!$D$4:$D$508,$B157,'январь 2023'!$J$4:$J$508,G$1)</f>
        <v>0</v>
      </c>
      <c r="H157" s="207">
        <f>SUMIFS('январь 2023'!$G$4:$G$508,'январь 2023'!$D$4:$D$508,$B157,'январь 2023'!$J$4:$J$508,H$1)</f>
        <v>0</v>
      </c>
      <c r="I157" s="207">
        <f>SUMIFS('январь 2023'!$G$4:$G$508,'январь 2023'!$D$4:$D$508,$B157,'январь 2023'!$J$4:$J$508,I$1)</f>
        <v>0</v>
      </c>
      <c r="J157" s="207">
        <f>SUMIFS('январь 2023'!$G$4:$G$508,'январь 2023'!$D$4:$D$508,$B157,'январь 2023'!$J$4:$J$508,J$1)</f>
        <v>0</v>
      </c>
      <c r="K157" s="207">
        <f>SUMIFS('январь 2023'!$G$4:$G$508,'январь 2023'!$D$4:$D$508,$B157,'январь 2023'!$J$4:$J$508,K$1)</f>
        <v>0</v>
      </c>
      <c r="L157" s="207">
        <f>SUMIFS('январь 2023'!$G$4:$G$508,'январь 2023'!$D$4:$D$508,$B157,'январь 2023'!$J$4:$J$508,L$1)</f>
        <v>0</v>
      </c>
      <c r="M157" s="207">
        <f>SUMIFS('январь 2023'!$G$4:$G$508,'январь 2023'!$D$4:$D$508,$B157,'январь 2023'!$J$4:$J$508,M$1)</f>
        <v>0</v>
      </c>
      <c r="N157" s="207">
        <f>SUMIFS('январь 2023'!$G$4:$G$508,'январь 2023'!$D$4:$D$508,$B157,'январь 2023'!$J$4:$J$508,N$1)</f>
        <v>0</v>
      </c>
      <c r="O157" s="207">
        <f>SUMIFS('январь 2023'!$G$4:$G$508,'январь 2023'!$D$4:$D$508,$B157,'январь 2023'!$J$4:$J$508,O$1)</f>
        <v>0</v>
      </c>
      <c r="P157" s="207">
        <f>SUMIFS('январь 2023'!$G$4:$G$508,'январь 2023'!$D$4:$D$508,$B157,'январь 2023'!$J$4:$J$508,P$1)</f>
        <v>0</v>
      </c>
      <c r="Q157" s="207">
        <f>SUMIFS('январь 2023'!$G$4:$G$508,'январь 2023'!$D$4:$D$508,$B157,'январь 2023'!$J$4:$J$508,Q$1)</f>
        <v>0</v>
      </c>
      <c r="R157" s="207">
        <f>SUMIFS('январь 2023'!$G$4:$G$508,'январь 2023'!$D$4:$D$508,$B157,'январь 2023'!$J$4:$J$508,R$1)</f>
        <v>0</v>
      </c>
      <c r="S157" s="207">
        <f>SUMIFS('январь 2023'!$G$4:$G$508,'январь 2023'!$D$4:$D$508,$B157,'январь 2023'!$J$4:$J$508,S$1)</f>
        <v>0</v>
      </c>
      <c r="T157" s="207">
        <f>SUMIFS('январь 2023'!$G$4:$G$508,'январь 2023'!$D$4:$D$508,$B157,'январь 2023'!$J$4:$J$508,T$1)</f>
        <v>0</v>
      </c>
      <c r="U157" s="207">
        <f>SUMIFS('январь 2023'!$G$4:$G$508,'январь 2023'!$D$4:$D$508,$B157,'январь 2023'!$J$4:$J$508,U$1)</f>
        <v>0</v>
      </c>
      <c r="V157" s="207">
        <f>SUMIFS('январь 2023'!$G$4:$G$508,'январь 2023'!$D$4:$D$508,$B157,'январь 2023'!$J$4:$J$508,V$1)</f>
        <v>0</v>
      </c>
      <c r="W157" s="207">
        <f>SUMIFS('январь 2023'!$G$4:$G$508,'январь 2023'!$D$4:$D$508,$B157,'январь 2023'!$J$4:$J$508,W$1)</f>
        <v>0</v>
      </c>
      <c r="X157" s="207">
        <f>SUMIFS('январь 2023'!$G$4:$G$508,'январь 2023'!$D$4:$D$508,$B157,'январь 2023'!$J$4:$J$508,X$1)</f>
        <v>0</v>
      </c>
      <c r="Y157" s="207">
        <f>SUMIFS('январь 2023'!$G$4:$G$508,'январь 2023'!$D$4:$D$508,$B157,'январь 2023'!$J$4:$J$508,Y$1)</f>
        <v>0</v>
      </c>
      <c r="Z157" s="207">
        <f>SUMIFS('январь 2023'!$G$4:$G$508,'январь 2023'!$D$4:$D$508,$B157,'январь 2023'!$J$4:$J$508,Z$1)</f>
        <v>0</v>
      </c>
      <c r="AA157" s="207">
        <f>SUMIFS('январь 2023'!$G$4:$G$508,'январь 2023'!$D$4:$D$508,$B157,'январь 2023'!$J$4:$J$508,AA$1)</f>
        <v>0</v>
      </c>
      <c r="AB157" s="207">
        <f>SUMIFS('январь 2023'!$G$4:$G$508,'январь 2023'!$D$4:$D$508,$B157,'январь 2023'!$J$4:$J$508,AB$1)</f>
        <v>0</v>
      </c>
      <c r="AC157" s="207">
        <f>SUMIFS('январь 2023'!$G$4:$G$508,'январь 2023'!$D$4:$D$508,$B157,'январь 2023'!$J$4:$J$508,AC$1)</f>
        <v>0</v>
      </c>
      <c r="AD157" s="207">
        <f>SUMIFS('январь 2023'!$G$4:$G$508,'январь 2023'!$D$4:$D$508,$B157,'январь 2023'!$J$4:$J$508,AD$1)</f>
        <v>0</v>
      </c>
      <c r="AE157" s="207">
        <f>SUMIFS('январь 2023'!$G$4:$G$508,'январь 2023'!$D$4:$D$508,$B157,'январь 2023'!$J$4:$J$508,AE$1)</f>
        <v>0</v>
      </c>
      <c r="AF157" s="207">
        <f>SUMIFS('январь 2023'!$G$4:$G$508,'январь 2023'!$D$4:$D$508,$B157,'январь 2023'!$J$4:$J$508,AF$1)</f>
        <v>0</v>
      </c>
      <c r="AG157" s="207">
        <f>SUMIFS('январь 2023'!$G$4:$G$508,'январь 2023'!$D$4:$D$508,$B157,'январь 2023'!$J$4:$J$508,AG$1)</f>
        <v>0</v>
      </c>
      <c r="AH157" s="207">
        <f>SUMIFS('январь 2023'!$G$4:$G$508,'январь 2023'!$D$4:$D$508,$B157,'январь 2023'!$J$4:$J$508,AH$1)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SUMIFS('январь 2023'!$G$4:$G$508,'январь 2023'!$D$4:$D$508,$B158,'январь 2023'!$J$4:$J$508,D$1)</f>
        <v>0</v>
      </c>
      <c r="E158" s="207">
        <f>SUMIFS('январь 2023'!$G$4:$G$508,'январь 2023'!$D$4:$D$508,$B158,'январь 2023'!$J$4:$J$508,E$1)</f>
        <v>0</v>
      </c>
      <c r="F158" s="207">
        <f>SUMIFS('январь 2023'!$G$4:$G$508,'январь 2023'!$D$4:$D$508,$B158,'январь 2023'!$J$4:$J$508,F$1)</f>
        <v>0</v>
      </c>
      <c r="G158" s="207">
        <f>SUMIFS('январь 2023'!$G$4:$G$508,'январь 2023'!$D$4:$D$508,$B158,'январь 2023'!$J$4:$J$508,G$1)</f>
        <v>0</v>
      </c>
      <c r="H158" s="207">
        <f>SUMIFS('январь 2023'!$G$4:$G$508,'январь 2023'!$D$4:$D$508,$B158,'январь 2023'!$J$4:$J$508,H$1)</f>
        <v>0</v>
      </c>
      <c r="I158" s="207">
        <f>SUMIFS('январь 2023'!$G$4:$G$508,'январь 2023'!$D$4:$D$508,$B158,'январь 2023'!$J$4:$J$508,I$1)</f>
        <v>0</v>
      </c>
      <c r="J158" s="207">
        <f>SUMIFS('январь 2023'!$G$4:$G$508,'январь 2023'!$D$4:$D$508,$B158,'январь 2023'!$J$4:$J$508,J$1)</f>
        <v>0</v>
      </c>
      <c r="K158" s="207">
        <f>SUMIFS('январь 2023'!$G$4:$G$508,'январь 2023'!$D$4:$D$508,$B158,'январь 2023'!$J$4:$J$508,K$1)</f>
        <v>0</v>
      </c>
      <c r="L158" s="207">
        <f>SUMIFS('январь 2023'!$G$4:$G$508,'январь 2023'!$D$4:$D$508,$B158,'январь 2023'!$J$4:$J$508,L$1)</f>
        <v>0</v>
      </c>
      <c r="M158" s="207">
        <f>SUMIFS('январь 2023'!$G$4:$G$508,'январь 2023'!$D$4:$D$508,$B158,'январь 2023'!$J$4:$J$508,M$1)</f>
        <v>0</v>
      </c>
      <c r="N158" s="207">
        <f>SUMIFS('январь 2023'!$G$4:$G$508,'январь 2023'!$D$4:$D$508,$B158,'январь 2023'!$J$4:$J$508,N$1)</f>
        <v>0</v>
      </c>
      <c r="O158" s="207">
        <f>SUMIFS('январь 2023'!$G$4:$G$508,'январь 2023'!$D$4:$D$508,$B158,'январь 2023'!$J$4:$J$508,O$1)</f>
        <v>0</v>
      </c>
      <c r="P158" s="207">
        <f>SUMIFS('январь 2023'!$G$4:$G$508,'январь 2023'!$D$4:$D$508,$B158,'январь 2023'!$J$4:$J$508,P$1)</f>
        <v>0</v>
      </c>
      <c r="Q158" s="207">
        <f>SUMIFS('январь 2023'!$G$4:$G$508,'январь 2023'!$D$4:$D$508,$B158,'январь 2023'!$J$4:$J$508,Q$1)</f>
        <v>0</v>
      </c>
      <c r="R158" s="207">
        <f>SUMIFS('январь 2023'!$G$4:$G$508,'январь 2023'!$D$4:$D$508,$B158,'январь 2023'!$J$4:$J$508,R$1)</f>
        <v>0</v>
      </c>
      <c r="S158" s="207">
        <f>SUMIFS('январь 2023'!$G$4:$G$508,'январь 2023'!$D$4:$D$508,$B158,'январь 2023'!$J$4:$J$508,S$1)</f>
        <v>0</v>
      </c>
      <c r="T158" s="207">
        <f>SUMIFS('январь 2023'!$G$4:$G$508,'январь 2023'!$D$4:$D$508,$B158,'январь 2023'!$J$4:$J$508,T$1)</f>
        <v>0</v>
      </c>
      <c r="U158" s="207">
        <f>SUMIFS('январь 2023'!$G$4:$G$508,'январь 2023'!$D$4:$D$508,$B158,'январь 2023'!$J$4:$J$508,U$1)</f>
        <v>0</v>
      </c>
      <c r="V158" s="207">
        <f>SUMIFS('январь 2023'!$G$4:$G$508,'январь 2023'!$D$4:$D$508,$B158,'январь 2023'!$J$4:$J$508,V$1)</f>
        <v>0</v>
      </c>
      <c r="W158" s="207">
        <f>SUMIFS('январь 2023'!$G$4:$G$508,'январь 2023'!$D$4:$D$508,$B158,'январь 2023'!$J$4:$J$508,W$1)</f>
        <v>0</v>
      </c>
      <c r="X158" s="207">
        <f>SUMIFS('январь 2023'!$G$4:$G$508,'январь 2023'!$D$4:$D$508,$B158,'январь 2023'!$J$4:$J$508,X$1)</f>
        <v>0</v>
      </c>
      <c r="Y158" s="207">
        <f>SUMIFS('январь 2023'!$G$4:$G$508,'январь 2023'!$D$4:$D$508,$B158,'январь 2023'!$J$4:$J$508,Y$1)</f>
        <v>0</v>
      </c>
      <c r="Z158" s="207">
        <f>SUMIFS('январь 2023'!$G$4:$G$508,'январь 2023'!$D$4:$D$508,$B158,'январь 2023'!$J$4:$J$508,Z$1)</f>
        <v>0</v>
      </c>
      <c r="AA158" s="207">
        <f>SUMIFS('январь 2023'!$G$4:$G$508,'январь 2023'!$D$4:$D$508,$B158,'январь 2023'!$J$4:$J$508,AA$1)</f>
        <v>0</v>
      </c>
      <c r="AB158" s="207">
        <f>SUMIFS('январь 2023'!$G$4:$G$508,'январь 2023'!$D$4:$D$508,$B158,'январь 2023'!$J$4:$J$508,AB$1)</f>
        <v>0</v>
      </c>
      <c r="AC158" s="207">
        <f>SUMIFS('январь 2023'!$G$4:$G$508,'январь 2023'!$D$4:$D$508,$B158,'январь 2023'!$J$4:$J$508,AC$1)</f>
        <v>0</v>
      </c>
      <c r="AD158" s="207">
        <f>SUMIFS('январь 2023'!$G$4:$G$508,'январь 2023'!$D$4:$D$508,$B158,'январь 2023'!$J$4:$J$508,AD$1)</f>
        <v>0</v>
      </c>
      <c r="AE158" s="207">
        <f>SUMIFS('январь 2023'!$G$4:$G$508,'январь 2023'!$D$4:$D$508,$B158,'январь 2023'!$J$4:$J$508,AE$1)</f>
        <v>0</v>
      </c>
      <c r="AF158" s="207">
        <f>SUMIFS('январь 2023'!$G$4:$G$508,'январь 2023'!$D$4:$D$508,$B158,'январь 2023'!$J$4:$J$508,AF$1)</f>
        <v>0</v>
      </c>
      <c r="AG158" s="207">
        <f>SUMIFS('январь 2023'!$G$4:$G$508,'январь 2023'!$D$4:$D$508,$B158,'январь 2023'!$J$4:$J$508,AG$1)</f>
        <v>0</v>
      </c>
      <c r="AH158" s="207">
        <f>SUMIFS('январь 2023'!$G$4:$G$508,'январь 2023'!$D$4:$D$508,$B158,'январь 2023'!$J$4:$J$508,AH$1)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SUMIFS('январь 2023'!$G$4:$G$508,'январь 2023'!$D$4:$D$508,$B159,'январь 2023'!$J$4:$J$508,D$1)</f>
        <v>0</v>
      </c>
      <c r="E159" s="207">
        <f>SUMIFS('январь 2023'!$G$4:$G$508,'январь 2023'!$D$4:$D$508,$B159,'январь 2023'!$J$4:$J$508,E$1)</f>
        <v>0</v>
      </c>
      <c r="F159" s="207">
        <f>SUMIFS('январь 2023'!$G$4:$G$508,'январь 2023'!$D$4:$D$508,$B159,'январь 2023'!$J$4:$J$508,F$1)</f>
        <v>0</v>
      </c>
      <c r="G159" s="207">
        <f>SUMIFS('январь 2023'!$G$4:$G$508,'январь 2023'!$D$4:$D$508,$B159,'январь 2023'!$J$4:$J$508,G$1)</f>
        <v>0</v>
      </c>
      <c r="H159" s="207">
        <f>SUMIFS('январь 2023'!$G$4:$G$508,'январь 2023'!$D$4:$D$508,$B159,'январь 2023'!$J$4:$J$508,H$1)</f>
        <v>0</v>
      </c>
      <c r="I159" s="207">
        <f>SUMIFS('январь 2023'!$G$4:$G$508,'январь 2023'!$D$4:$D$508,$B159,'январь 2023'!$J$4:$J$508,I$1)</f>
        <v>0</v>
      </c>
      <c r="J159" s="207">
        <f>SUMIFS('январь 2023'!$G$4:$G$508,'январь 2023'!$D$4:$D$508,$B159,'январь 2023'!$J$4:$J$508,J$1)</f>
        <v>0</v>
      </c>
      <c r="K159" s="207">
        <f>SUMIFS('январь 2023'!$G$4:$G$508,'январь 2023'!$D$4:$D$508,$B159,'январь 2023'!$J$4:$J$508,K$1)</f>
        <v>0</v>
      </c>
      <c r="L159" s="207">
        <f>SUMIFS('январь 2023'!$G$4:$G$508,'январь 2023'!$D$4:$D$508,$B159,'январь 2023'!$J$4:$J$508,L$1)</f>
        <v>0</v>
      </c>
      <c r="M159" s="207">
        <f>SUMIFS('январь 2023'!$G$4:$G$508,'январь 2023'!$D$4:$D$508,$B159,'январь 2023'!$J$4:$J$508,M$1)</f>
        <v>0</v>
      </c>
      <c r="N159" s="207">
        <f>SUMIFS('январь 2023'!$G$4:$G$508,'январь 2023'!$D$4:$D$508,$B159,'январь 2023'!$J$4:$J$508,N$1)</f>
        <v>0</v>
      </c>
      <c r="O159" s="207">
        <f>SUMIFS('январь 2023'!$G$4:$G$508,'январь 2023'!$D$4:$D$508,$B159,'январь 2023'!$J$4:$J$508,O$1)</f>
        <v>0</v>
      </c>
      <c r="P159" s="207">
        <f>SUMIFS('январь 2023'!$G$4:$G$508,'январь 2023'!$D$4:$D$508,$B159,'январь 2023'!$J$4:$J$508,P$1)</f>
        <v>0</v>
      </c>
      <c r="Q159" s="207">
        <f>SUMIFS('январь 2023'!$G$4:$G$508,'январь 2023'!$D$4:$D$508,$B159,'январь 2023'!$J$4:$J$508,Q$1)</f>
        <v>0</v>
      </c>
      <c r="R159" s="207">
        <f>SUMIFS('январь 2023'!$G$4:$G$508,'январь 2023'!$D$4:$D$508,$B159,'январь 2023'!$J$4:$J$508,R$1)</f>
        <v>0</v>
      </c>
      <c r="S159" s="207">
        <f>SUMIFS('январь 2023'!$G$4:$G$508,'январь 2023'!$D$4:$D$508,$B159,'январь 2023'!$J$4:$J$508,S$1)</f>
        <v>0</v>
      </c>
      <c r="T159" s="207">
        <f>SUMIFS('январь 2023'!$G$4:$G$508,'январь 2023'!$D$4:$D$508,$B159,'январь 2023'!$J$4:$J$508,T$1)</f>
        <v>0</v>
      </c>
      <c r="U159" s="207">
        <f>SUMIFS('январь 2023'!$G$4:$G$508,'январь 2023'!$D$4:$D$508,$B159,'январь 2023'!$J$4:$J$508,U$1)</f>
        <v>0</v>
      </c>
      <c r="V159" s="207">
        <f>SUMIFS('январь 2023'!$G$4:$G$508,'январь 2023'!$D$4:$D$508,$B159,'январь 2023'!$J$4:$J$508,V$1)</f>
        <v>0</v>
      </c>
      <c r="W159" s="207">
        <f>SUMIFS('январь 2023'!$G$4:$G$508,'январь 2023'!$D$4:$D$508,$B159,'январь 2023'!$J$4:$J$508,W$1)</f>
        <v>0</v>
      </c>
      <c r="X159" s="207">
        <f>SUMIFS('январь 2023'!$G$4:$G$508,'январь 2023'!$D$4:$D$508,$B159,'январь 2023'!$J$4:$J$508,X$1)</f>
        <v>0</v>
      </c>
      <c r="Y159" s="207">
        <f>SUMIFS('январь 2023'!$G$4:$G$508,'январь 2023'!$D$4:$D$508,$B159,'январь 2023'!$J$4:$J$508,Y$1)</f>
        <v>0</v>
      </c>
      <c r="Z159" s="207">
        <f>SUMIFS('январь 2023'!$G$4:$G$508,'январь 2023'!$D$4:$D$508,$B159,'январь 2023'!$J$4:$J$508,Z$1)</f>
        <v>0</v>
      </c>
      <c r="AA159" s="207">
        <f>SUMIFS('январь 2023'!$G$4:$G$508,'январь 2023'!$D$4:$D$508,$B159,'январь 2023'!$J$4:$J$508,AA$1)</f>
        <v>0</v>
      </c>
      <c r="AB159" s="207">
        <f>SUMIFS('январь 2023'!$G$4:$G$508,'январь 2023'!$D$4:$D$508,$B159,'январь 2023'!$J$4:$J$508,AB$1)</f>
        <v>0</v>
      </c>
      <c r="AC159" s="207">
        <f>SUMIFS('январь 2023'!$G$4:$G$508,'январь 2023'!$D$4:$D$508,$B159,'январь 2023'!$J$4:$J$508,AC$1)</f>
        <v>0</v>
      </c>
      <c r="AD159" s="207">
        <f>SUMIFS('январь 2023'!$G$4:$G$508,'январь 2023'!$D$4:$D$508,$B159,'январь 2023'!$J$4:$J$508,AD$1)</f>
        <v>0</v>
      </c>
      <c r="AE159" s="207">
        <f>SUMIFS('январь 2023'!$G$4:$G$508,'январь 2023'!$D$4:$D$508,$B159,'январь 2023'!$J$4:$J$508,AE$1)</f>
        <v>0</v>
      </c>
      <c r="AF159" s="207">
        <f>SUMIFS('январь 2023'!$G$4:$G$508,'январь 2023'!$D$4:$D$508,$B159,'январь 2023'!$J$4:$J$508,AF$1)</f>
        <v>0</v>
      </c>
      <c r="AG159" s="207">
        <f>SUMIFS('январь 2023'!$G$4:$G$508,'январь 2023'!$D$4:$D$508,$B159,'январь 2023'!$J$4:$J$508,AG$1)</f>
        <v>0</v>
      </c>
      <c r="AH159" s="207">
        <f>SUMIFS('январь 2023'!$G$4:$G$508,'январь 2023'!$D$4:$D$508,$B159,'январь 2023'!$J$4:$J$508,AH$1)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SUMIFS('январь 2023'!$G$4:$G$508,'январь 2023'!$D$4:$D$508,$B160,'январь 2023'!$J$4:$J$508,D$1)</f>
        <v>0</v>
      </c>
      <c r="E160" s="207">
        <f>SUMIFS('январь 2023'!$G$4:$G$508,'январь 2023'!$D$4:$D$508,$B160,'январь 2023'!$J$4:$J$508,E$1)</f>
        <v>0</v>
      </c>
      <c r="F160" s="207">
        <f>SUMIFS('январь 2023'!$G$4:$G$508,'январь 2023'!$D$4:$D$508,$B160,'январь 2023'!$J$4:$J$508,F$1)</f>
        <v>0</v>
      </c>
      <c r="G160" s="207">
        <f>SUMIFS('январь 2023'!$G$4:$G$508,'январь 2023'!$D$4:$D$508,$B160,'январь 2023'!$J$4:$J$508,G$1)</f>
        <v>0</v>
      </c>
      <c r="H160" s="207">
        <f>SUMIFS('январь 2023'!$G$4:$G$508,'январь 2023'!$D$4:$D$508,$B160,'январь 2023'!$J$4:$J$508,H$1)</f>
        <v>0</v>
      </c>
      <c r="I160" s="207">
        <f>SUMIFS('январь 2023'!$G$4:$G$508,'январь 2023'!$D$4:$D$508,$B160,'январь 2023'!$J$4:$J$508,I$1)</f>
        <v>0</v>
      </c>
      <c r="J160" s="207">
        <f>SUMIFS('январь 2023'!$G$4:$G$508,'январь 2023'!$D$4:$D$508,$B160,'январь 2023'!$J$4:$J$508,J$1)</f>
        <v>0</v>
      </c>
      <c r="K160" s="207">
        <f>SUMIFS('январь 2023'!$G$4:$G$508,'январь 2023'!$D$4:$D$508,$B160,'январь 2023'!$J$4:$J$508,K$1)</f>
        <v>0</v>
      </c>
      <c r="L160" s="207">
        <f>SUMIFS('январь 2023'!$G$4:$G$508,'январь 2023'!$D$4:$D$508,$B160,'январь 2023'!$J$4:$J$508,L$1)</f>
        <v>0</v>
      </c>
      <c r="M160" s="207">
        <f>SUMIFS('январь 2023'!$G$4:$G$508,'январь 2023'!$D$4:$D$508,$B160,'январь 2023'!$J$4:$J$508,M$1)</f>
        <v>0</v>
      </c>
      <c r="N160" s="207">
        <f>SUMIFS('январь 2023'!$G$4:$G$508,'январь 2023'!$D$4:$D$508,$B160,'январь 2023'!$J$4:$J$508,N$1)</f>
        <v>0</v>
      </c>
      <c r="O160" s="207">
        <f>SUMIFS('январь 2023'!$G$4:$G$508,'январь 2023'!$D$4:$D$508,$B160,'январь 2023'!$J$4:$J$508,O$1)</f>
        <v>0</v>
      </c>
      <c r="P160" s="207">
        <f>SUMIFS('январь 2023'!$G$4:$G$508,'январь 2023'!$D$4:$D$508,$B160,'январь 2023'!$J$4:$J$508,P$1)</f>
        <v>0</v>
      </c>
      <c r="Q160" s="207">
        <f>SUMIFS('январь 2023'!$G$4:$G$508,'январь 2023'!$D$4:$D$508,$B160,'январь 2023'!$J$4:$J$508,Q$1)</f>
        <v>0</v>
      </c>
      <c r="R160" s="207">
        <f>SUMIFS('январь 2023'!$G$4:$G$508,'январь 2023'!$D$4:$D$508,$B160,'январь 2023'!$J$4:$J$508,R$1)</f>
        <v>0</v>
      </c>
      <c r="S160" s="207">
        <f>SUMIFS('январь 2023'!$G$4:$G$508,'январь 2023'!$D$4:$D$508,$B160,'январь 2023'!$J$4:$J$508,S$1)</f>
        <v>0</v>
      </c>
      <c r="T160" s="207">
        <f>SUMIFS('январь 2023'!$G$4:$G$508,'январь 2023'!$D$4:$D$508,$B160,'январь 2023'!$J$4:$J$508,T$1)</f>
        <v>0</v>
      </c>
      <c r="U160" s="207">
        <f>SUMIFS('январь 2023'!$G$4:$G$508,'январь 2023'!$D$4:$D$508,$B160,'январь 2023'!$J$4:$J$508,U$1)</f>
        <v>0</v>
      </c>
      <c r="V160" s="207">
        <f>SUMIFS('январь 2023'!$G$4:$G$508,'январь 2023'!$D$4:$D$508,$B160,'январь 2023'!$J$4:$J$508,V$1)</f>
        <v>0</v>
      </c>
      <c r="W160" s="207">
        <f>SUMIFS('январь 2023'!$G$4:$G$508,'январь 2023'!$D$4:$D$508,$B160,'январь 2023'!$J$4:$J$508,W$1)</f>
        <v>0</v>
      </c>
      <c r="X160" s="207">
        <f>SUMIFS('январь 2023'!$G$4:$G$508,'январь 2023'!$D$4:$D$508,$B160,'январь 2023'!$J$4:$J$508,X$1)</f>
        <v>0</v>
      </c>
      <c r="Y160" s="207">
        <f>SUMIFS('январь 2023'!$G$4:$G$508,'январь 2023'!$D$4:$D$508,$B160,'январь 2023'!$J$4:$J$508,Y$1)</f>
        <v>0</v>
      </c>
      <c r="Z160" s="207">
        <f>SUMIFS('январь 2023'!$G$4:$G$508,'январь 2023'!$D$4:$D$508,$B160,'январь 2023'!$J$4:$J$508,Z$1)</f>
        <v>0</v>
      </c>
      <c r="AA160" s="207">
        <f>SUMIFS('январь 2023'!$G$4:$G$508,'январь 2023'!$D$4:$D$508,$B160,'январь 2023'!$J$4:$J$508,AA$1)</f>
        <v>0</v>
      </c>
      <c r="AB160" s="207">
        <f>SUMIFS('январь 2023'!$G$4:$G$508,'январь 2023'!$D$4:$D$508,$B160,'январь 2023'!$J$4:$J$508,AB$1)</f>
        <v>0</v>
      </c>
      <c r="AC160" s="207">
        <f>SUMIFS('январь 2023'!$G$4:$G$508,'январь 2023'!$D$4:$D$508,$B160,'январь 2023'!$J$4:$J$508,AC$1)</f>
        <v>0</v>
      </c>
      <c r="AD160" s="207">
        <f>SUMIFS('январь 2023'!$G$4:$G$508,'январь 2023'!$D$4:$D$508,$B160,'январь 2023'!$J$4:$J$508,AD$1)</f>
        <v>0</v>
      </c>
      <c r="AE160" s="207">
        <f>SUMIFS('январь 2023'!$G$4:$G$508,'январь 2023'!$D$4:$D$508,$B160,'январь 2023'!$J$4:$J$508,AE$1)</f>
        <v>0</v>
      </c>
      <c r="AF160" s="207">
        <f>SUMIFS('январь 2023'!$G$4:$G$508,'январь 2023'!$D$4:$D$508,$B160,'январь 2023'!$J$4:$J$508,AF$1)</f>
        <v>0</v>
      </c>
      <c r="AG160" s="207">
        <f>SUMIFS('январь 2023'!$G$4:$G$508,'январь 2023'!$D$4:$D$508,$B160,'январь 2023'!$J$4:$J$508,AG$1)</f>
        <v>0</v>
      </c>
      <c r="AH160" s="207">
        <f>SUMIFS('январь 2023'!$G$4:$G$508,'январь 2023'!$D$4:$D$508,$B160,'январь 2023'!$J$4:$J$508,AH$1)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SUMIFS('январь 2023'!$G$4:$G$508,'январь 2023'!$D$4:$D$508,$B161,'январь 2023'!$J$4:$J$508,D$1)</f>
        <v>0</v>
      </c>
      <c r="E161" s="207">
        <f>SUMIFS('январь 2023'!$G$4:$G$508,'январь 2023'!$D$4:$D$508,$B161,'январь 2023'!$J$4:$J$508,E$1)</f>
        <v>0</v>
      </c>
      <c r="F161" s="207">
        <f>SUMIFS('январь 2023'!$G$4:$G$508,'январь 2023'!$D$4:$D$508,$B161,'январь 2023'!$J$4:$J$508,F$1)</f>
        <v>0</v>
      </c>
      <c r="G161" s="207">
        <f>SUMIFS('январь 2023'!$G$4:$G$508,'январь 2023'!$D$4:$D$508,$B161,'январь 2023'!$J$4:$J$508,G$1)</f>
        <v>0</v>
      </c>
      <c r="H161" s="207">
        <f>SUMIFS('январь 2023'!$G$4:$G$508,'январь 2023'!$D$4:$D$508,$B161,'январь 2023'!$J$4:$J$508,H$1)</f>
        <v>0</v>
      </c>
      <c r="I161" s="207">
        <f>SUMIFS('январь 2023'!$G$4:$G$508,'январь 2023'!$D$4:$D$508,$B161,'январь 2023'!$J$4:$J$508,I$1)</f>
        <v>0</v>
      </c>
      <c r="J161" s="207">
        <f>SUMIFS('январь 2023'!$G$4:$G$508,'январь 2023'!$D$4:$D$508,$B161,'январь 2023'!$J$4:$J$508,J$1)</f>
        <v>0</v>
      </c>
      <c r="K161" s="207">
        <f>SUMIFS('январь 2023'!$G$4:$G$508,'январь 2023'!$D$4:$D$508,$B161,'январь 2023'!$J$4:$J$508,K$1)</f>
        <v>0</v>
      </c>
      <c r="L161" s="207">
        <f>SUMIFS('январь 2023'!$G$4:$G$508,'январь 2023'!$D$4:$D$508,$B161,'январь 2023'!$J$4:$J$508,L$1)</f>
        <v>0</v>
      </c>
      <c r="M161" s="207">
        <f>SUMIFS('январь 2023'!$G$4:$G$508,'январь 2023'!$D$4:$D$508,$B161,'январь 2023'!$J$4:$J$508,M$1)</f>
        <v>0</v>
      </c>
      <c r="N161" s="207">
        <f>SUMIFS('январь 2023'!$G$4:$G$508,'январь 2023'!$D$4:$D$508,$B161,'январь 2023'!$J$4:$J$508,N$1)</f>
        <v>0</v>
      </c>
      <c r="O161" s="207">
        <f>SUMIFS('январь 2023'!$G$4:$G$508,'январь 2023'!$D$4:$D$508,$B161,'январь 2023'!$J$4:$J$508,O$1)</f>
        <v>0</v>
      </c>
      <c r="P161" s="207">
        <f>SUMIFS('январь 2023'!$G$4:$G$508,'январь 2023'!$D$4:$D$508,$B161,'январь 2023'!$J$4:$J$508,P$1)</f>
        <v>0</v>
      </c>
      <c r="Q161" s="207">
        <f>SUMIFS('январь 2023'!$G$4:$G$508,'январь 2023'!$D$4:$D$508,$B161,'январь 2023'!$J$4:$J$508,Q$1)</f>
        <v>0</v>
      </c>
      <c r="R161" s="207">
        <f>SUMIFS('январь 2023'!$G$4:$G$508,'январь 2023'!$D$4:$D$508,$B161,'январь 2023'!$J$4:$J$508,R$1)</f>
        <v>0</v>
      </c>
      <c r="S161" s="207">
        <f>SUMIFS('январь 2023'!$G$4:$G$508,'январь 2023'!$D$4:$D$508,$B161,'январь 2023'!$J$4:$J$508,S$1)</f>
        <v>0</v>
      </c>
      <c r="T161" s="207">
        <f>SUMIFS('январь 2023'!$G$4:$G$508,'январь 2023'!$D$4:$D$508,$B161,'январь 2023'!$J$4:$J$508,T$1)</f>
        <v>0</v>
      </c>
      <c r="U161" s="207">
        <f>SUMIFS('январь 2023'!$G$4:$G$508,'январь 2023'!$D$4:$D$508,$B161,'январь 2023'!$J$4:$J$508,U$1)</f>
        <v>0</v>
      </c>
      <c r="V161" s="207">
        <f>SUMIFS('январь 2023'!$G$4:$G$508,'январь 2023'!$D$4:$D$508,$B161,'январь 2023'!$J$4:$J$508,V$1)</f>
        <v>0</v>
      </c>
      <c r="W161" s="207">
        <f>SUMIFS('январь 2023'!$G$4:$G$508,'январь 2023'!$D$4:$D$508,$B161,'январь 2023'!$J$4:$J$508,W$1)</f>
        <v>0</v>
      </c>
      <c r="X161" s="207">
        <f>SUMIFS('январь 2023'!$G$4:$G$508,'январь 2023'!$D$4:$D$508,$B161,'январь 2023'!$J$4:$J$508,X$1)</f>
        <v>0</v>
      </c>
      <c r="Y161" s="207">
        <f>SUMIFS('январь 2023'!$G$4:$G$508,'январь 2023'!$D$4:$D$508,$B161,'январь 2023'!$J$4:$J$508,Y$1)</f>
        <v>0</v>
      </c>
      <c r="Z161" s="207">
        <f>SUMIFS('январь 2023'!$G$4:$G$508,'январь 2023'!$D$4:$D$508,$B161,'январь 2023'!$J$4:$J$508,Z$1)</f>
        <v>0</v>
      </c>
      <c r="AA161" s="207">
        <f>SUMIFS('январь 2023'!$G$4:$G$508,'январь 2023'!$D$4:$D$508,$B161,'январь 2023'!$J$4:$J$508,AA$1)</f>
        <v>0</v>
      </c>
      <c r="AB161" s="207">
        <f>SUMIFS('январь 2023'!$G$4:$G$508,'январь 2023'!$D$4:$D$508,$B161,'январь 2023'!$J$4:$J$508,AB$1)</f>
        <v>0</v>
      </c>
      <c r="AC161" s="207">
        <f>SUMIFS('январь 2023'!$G$4:$G$508,'январь 2023'!$D$4:$D$508,$B161,'январь 2023'!$J$4:$J$508,AC$1)</f>
        <v>0</v>
      </c>
      <c r="AD161" s="207">
        <f>SUMIFS('январь 2023'!$G$4:$G$508,'январь 2023'!$D$4:$D$508,$B161,'январь 2023'!$J$4:$J$508,AD$1)</f>
        <v>0</v>
      </c>
      <c r="AE161" s="207">
        <f>SUMIFS('январь 2023'!$G$4:$G$508,'январь 2023'!$D$4:$D$508,$B161,'январь 2023'!$J$4:$J$508,AE$1)</f>
        <v>0</v>
      </c>
      <c r="AF161" s="207">
        <f>SUMIFS('январь 2023'!$G$4:$G$508,'январь 2023'!$D$4:$D$508,$B161,'январь 2023'!$J$4:$J$508,AF$1)</f>
        <v>0</v>
      </c>
      <c r="AG161" s="207">
        <f>SUMIFS('январь 2023'!$G$4:$G$508,'январь 2023'!$D$4:$D$508,$B161,'январь 2023'!$J$4:$J$508,AG$1)</f>
        <v>0</v>
      </c>
      <c r="AH161" s="207">
        <f>SUMIFS('январь 2023'!$G$4:$G$508,'январь 2023'!$D$4:$D$508,$B161,'январь 2023'!$J$4:$J$508,AH$1)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SUMIFS('январь 2023'!$G$4:$G$508,'январь 2023'!$D$4:$D$508,$B162,'январь 2023'!$J$4:$J$508,D$1)</f>
        <v>0</v>
      </c>
      <c r="E162" s="207">
        <f>SUMIFS('январь 2023'!$G$4:$G$508,'январь 2023'!$D$4:$D$508,$B162,'январь 2023'!$J$4:$J$508,E$1)</f>
        <v>0</v>
      </c>
      <c r="F162" s="207">
        <f>SUMIFS('январь 2023'!$G$4:$G$508,'январь 2023'!$D$4:$D$508,$B162,'январь 2023'!$J$4:$J$508,F$1)</f>
        <v>0</v>
      </c>
      <c r="G162" s="207">
        <f>SUMIFS('январь 2023'!$G$4:$G$508,'январь 2023'!$D$4:$D$508,$B162,'январь 2023'!$J$4:$J$508,G$1)</f>
        <v>0</v>
      </c>
      <c r="H162" s="207">
        <f>SUMIFS('январь 2023'!$G$4:$G$508,'январь 2023'!$D$4:$D$508,$B162,'январь 2023'!$J$4:$J$508,H$1)</f>
        <v>0</v>
      </c>
      <c r="I162" s="207">
        <f>SUMIFS('январь 2023'!$G$4:$G$508,'январь 2023'!$D$4:$D$508,$B162,'январь 2023'!$J$4:$J$508,I$1)</f>
        <v>0</v>
      </c>
      <c r="J162" s="207">
        <f>SUMIFS('январь 2023'!$G$4:$G$508,'январь 2023'!$D$4:$D$508,$B162,'январь 2023'!$J$4:$J$508,J$1)</f>
        <v>0</v>
      </c>
      <c r="K162" s="207">
        <f>SUMIFS('январь 2023'!$G$4:$G$508,'январь 2023'!$D$4:$D$508,$B162,'январь 2023'!$J$4:$J$508,K$1)</f>
        <v>0</v>
      </c>
      <c r="L162" s="207">
        <f>SUMIFS('январь 2023'!$G$4:$G$508,'январь 2023'!$D$4:$D$508,$B162,'январь 2023'!$J$4:$J$508,L$1)</f>
        <v>0</v>
      </c>
      <c r="M162" s="207">
        <f>SUMIFS('январь 2023'!$G$4:$G$508,'январь 2023'!$D$4:$D$508,$B162,'январь 2023'!$J$4:$J$508,M$1)</f>
        <v>0</v>
      </c>
      <c r="N162" s="207">
        <f>SUMIFS('январь 2023'!$G$4:$G$508,'январь 2023'!$D$4:$D$508,$B162,'январь 2023'!$J$4:$J$508,N$1)</f>
        <v>0</v>
      </c>
      <c r="O162" s="207">
        <f>SUMIFS('январь 2023'!$G$4:$G$508,'январь 2023'!$D$4:$D$508,$B162,'январь 2023'!$J$4:$J$508,O$1)</f>
        <v>0</v>
      </c>
      <c r="P162" s="207">
        <f>SUMIFS('январь 2023'!$G$4:$G$508,'январь 2023'!$D$4:$D$508,$B162,'январь 2023'!$J$4:$J$508,P$1)</f>
        <v>0</v>
      </c>
      <c r="Q162" s="207">
        <f>SUMIFS('январь 2023'!$G$4:$G$508,'январь 2023'!$D$4:$D$508,$B162,'январь 2023'!$J$4:$J$508,Q$1)</f>
        <v>0</v>
      </c>
      <c r="R162" s="207">
        <f>SUMIFS('январь 2023'!$G$4:$G$508,'январь 2023'!$D$4:$D$508,$B162,'январь 2023'!$J$4:$J$508,R$1)</f>
        <v>0</v>
      </c>
      <c r="S162" s="207">
        <f>SUMIFS('январь 2023'!$G$4:$G$508,'январь 2023'!$D$4:$D$508,$B162,'январь 2023'!$J$4:$J$508,S$1)</f>
        <v>0</v>
      </c>
      <c r="T162" s="207">
        <f>SUMIFS('январь 2023'!$G$4:$G$508,'январь 2023'!$D$4:$D$508,$B162,'январь 2023'!$J$4:$J$508,T$1)</f>
        <v>0</v>
      </c>
      <c r="U162" s="207">
        <f>SUMIFS('январь 2023'!$G$4:$G$508,'январь 2023'!$D$4:$D$508,$B162,'январь 2023'!$J$4:$J$508,U$1)</f>
        <v>0</v>
      </c>
      <c r="V162" s="207">
        <f>SUMIFS('январь 2023'!$G$4:$G$508,'январь 2023'!$D$4:$D$508,$B162,'январь 2023'!$J$4:$J$508,V$1)</f>
        <v>0</v>
      </c>
      <c r="W162" s="207">
        <f>SUMIFS('январь 2023'!$G$4:$G$508,'январь 2023'!$D$4:$D$508,$B162,'январь 2023'!$J$4:$J$508,W$1)</f>
        <v>0</v>
      </c>
      <c r="X162" s="207">
        <f>SUMIFS('январь 2023'!$G$4:$G$508,'январь 2023'!$D$4:$D$508,$B162,'январь 2023'!$J$4:$J$508,X$1)</f>
        <v>0</v>
      </c>
      <c r="Y162" s="207">
        <f>SUMIFS('январь 2023'!$G$4:$G$508,'январь 2023'!$D$4:$D$508,$B162,'январь 2023'!$J$4:$J$508,Y$1)</f>
        <v>0</v>
      </c>
      <c r="Z162" s="207">
        <f>SUMIFS('январь 2023'!$G$4:$G$508,'январь 2023'!$D$4:$D$508,$B162,'январь 2023'!$J$4:$J$508,Z$1)</f>
        <v>0</v>
      </c>
      <c r="AA162" s="207">
        <f>SUMIFS('январь 2023'!$G$4:$G$508,'январь 2023'!$D$4:$D$508,$B162,'январь 2023'!$J$4:$J$508,AA$1)</f>
        <v>0</v>
      </c>
      <c r="AB162" s="207">
        <f>SUMIFS('январь 2023'!$G$4:$G$508,'январь 2023'!$D$4:$D$508,$B162,'январь 2023'!$J$4:$J$508,AB$1)</f>
        <v>0</v>
      </c>
      <c r="AC162" s="207">
        <f>SUMIFS('январь 2023'!$G$4:$G$508,'январь 2023'!$D$4:$D$508,$B162,'январь 2023'!$J$4:$J$508,AC$1)</f>
        <v>0</v>
      </c>
      <c r="AD162" s="207">
        <f>SUMIFS('январь 2023'!$G$4:$G$508,'январь 2023'!$D$4:$D$508,$B162,'январь 2023'!$J$4:$J$508,AD$1)</f>
        <v>0</v>
      </c>
      <c r="AE162" s="207">
        <f>SUMIFS('январь 2023'!$G$4:$G$508,'январь 2023'!$D$4:$D$508,$B162,'январь 2023'!$J$4:$J$508,AE$1)</f>
        <v>0</v>
      </c>
      <c r="AF162" s="207">
        <f>SUMIFS('январь 2023'!$G$4:$G$508,'январь 2023'!$D$4:$D$508,$B162,'январь 2023'!$J$4:$J$508,AF$1)</f>
        <v>0</v>
      </c>
      <c r="AG162" s="207">
        <f>SUMIFS('январь 2023'!$G$4:$G$508,'январь 2023'!$D$4:$D$508,$B162,'январь 2023'!$J$4:$J$508,AG$1)</f>
        <v>0</v>
      </c>
      <c r="AH162" s="207">
        <f>SUMIFS('январь 2023'!$G$4:$G$508,'январь 2023'!$D$4:$D$508,$B162,'январь 2023'!$J$4:$J$508,AH$1)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SUMIFS('январь 2023'!$G$4:$G$508,'январь 2023'!$D$4:$D$508,$B163,'январь 2023'!$J$4:$J$508,D$1)</f>
        <v>0</v>
      </c>
      <c r="E163" s="207">
        <f>SUMIFS('январь 2023'!$G$4:$G$508,'январь 2023'!$D$4:$D$508,$B163,'январь 2023'!$J$4:$J$508,E$1)</f>
        <v>0</v>
      </c>
      <c r="F163" s="207">
        <f>SUMIFS('январь 2023'!$G$4:$G$508,'январь 2023'!$D$4:$D$508,$B163,'январь 2023'!$J$4:$J$508,F$1)</f>
        <v>0</v>
      </c>
      <c r="G163" s="207">
        <f>SUMIFS('январь 2023'!$G$4:$G$508,'январь 2023'!$D$4:$D$508,$B163,'январь 2023'!$J$4:$J$508,G$1)</f>
        <v>0</v>
      </c>
      <c r="H163" s="207">
        <f>SUMIFS('январь 2023'!$G$4:$G$508,'январь 2023'!$D$4:$D$508,$B163,'январь 2023'!$J$4:$J$508,H$1)</f>
        <v>0</v>
      </c>
      <c r="I163" s="207">
        <f>SUMIFS('январь 2023'!$G$4:$G$508,'январь 2023'!$D$4:$D$508,$B163,'январь 2023'!$J$4:$J$508,I$1)</f>
        <v>0</v>
      </c>
      <c r="J163" s="207">
        <f>SUMIFS('январь 2023'!$G$4:$G$508,'январь 2023'!$D$4:$D$508,$B163,'январь 2023'!$J$4:$J$508,J$1)</f>
        <v>0</v>
      </c>
      <c r="K163" s="207">
        <f>SUMIFS('январь 2023'!$G$4:$G$508,'январь 2023'!$D$4:$D$508,$B163,'январь 2023'!$J$4:$J$508,K$1)</f>
        <v>0</v>
      </c>
      <c r="L163" s="207">
        <f>SUMIFS('январь 2023'!$G$4:$G$508,'январь 2023'!$D$4:$D$508,$B163,'январь 2023'!$J$4:$J$508,L$1)</f>
        <v>0</v>
      </c>
      <c r="M163" s="207">
        <f>SUMIFS('январь 2023'!$G$4:$G$508,'январь 2023'!$D$4:$D$508,$B163,'январь 2023'!$J$4:$J$508,M$1)</f>
        <v>0</v>
      </c>
      <c r="N163" s="207">
        <f>SUMIFS('январь 2023'!$G$4:$G$508,'январь 2023'!$D$4:$D$508,$B163,'январь 2023'!$J$4:$J$508,N$1)</f>
        <v>0</v>
      </c>
      <c r="O163" s="207">
        <f>SUMIFS('январь 2023'!$G$4:$G$508,'январь 2023'!$D$4:$D$508,$B163,'январь 2023'!$J$4:$J$508,O$1)</f>
        <v>0</v>
      </c>
      <c r="P163" s="207">
        <f>SUMIFS('январь 2023'!$G$4:$G$508,'январь 2023'!$D$4:$D$508,$B163,'январь 2023'!$J$4:$J$508,P$1)</f>
        <v>0</v>
      </c>
      <c r="Q163" s="207">
        <f>SUMIFS('январь 2023'!$G$4:$G$508,'январь 2023'!$D$4:$D$508,$B163,'январь 2023'!$J$4:$J$508,Q$1)</f>
        <v>0</v>
      </c>
      <c r="R163" s="207">
        <f>SUMIFS('январь 2023'!$G$4:$G$508,'январь 2023'!$D$4:$D$508,$B163,'январь 2023'!$J$4:$J$508,R$1)</f>
        <v>0</v>
      </c>
      <c r="S163" s="207">
        <f>SUMIFS('январь 2023'!$G$4:$G$508,'январь 2023'!$D$4:$D$508,$B163,'январь 2023'!$J$4:$J$508,S$1)</f>
        <v>0</v>
      </c>
      <c r="T163" s="207">
        <f>SUMIFS('январь 2023'!$G$4:$G$508,'январь 2023'!$D$4:$D$508,$B163,'январь 2023'!$J$4:$J$508,T$1)</f>
        <v>0</v>
      </c>
      <c r="U163" s="207">
        <f>SUMIFS('январь 2023'!$G$4:$G$508,'январь 2023'!$D$4:$D$508,$B163,'январь 2023'!$J$4:$J$508,U$1)</f>
        <v>0</v>
      </c>
      <c r="V163" s="207">
        <f>SUMIFS('январь 2023'!$G$4:$G$508,'январь 2023'!$D$4:$D$508,$B163,'январь 2023'!$J$4:$J$508,V$1)</f>
        <v>0</v>
      </c>
      <c r="W163" s="207">
        <f>SUMIFS('январь 2023'!$G$4:$G$508,'январь 2023'!$D$4:$D$508,$B163,'январь 2023'!$J$4:$J$508,W$1)</f>
        <v>0</v>
      </c>
      <c r="X163" s="207">
        <f>SUMIFS('январь 2023'!$G$4:$G$508,'январь 2023'!$D$4:$D$508,$B163,'январь 2023'!$J$4:$J$508,X$1)</f>
        <v>0</v>
      </c>
      <c r="Y163" s="207">
        <f>SUMIFS('январь 2023'!$G$4:$G$508,'январь 2023'!$D$4:$D$508,$B163,'январь 2023'!$J$4:$J$508,Y$1)</f>
        <v>0</v>
      </c>
      <c r="Z163" s="207">
        <f>SUMIFS('январь 2023'!$G$4:$G$508,'январь 2023'!$D$4:$D$508,$B163,'январь 2023'!$J$4:$J$508,Z$1)</f>
        <v>0</v>
      </c>
      <c r="AA163" s="207">
        <f>SUMIFS('январь 2023'!$G$4:$G$508,'январь 2023'!$D$4:$D$508,$B163,'январь 2023'!$J$4:$J$508,AA$1)</f>
        <v>0</v>
      </c>
      <c r="AB163" s="207">
        <f>SUMIFS('январь 2023'!$G$4:$G$508,'январь 2023'!$D$4:$D$508,$B163,'январь 2023'!$J$4:$J$508,AB$1)</f>
        <v>0</v>
      </c>
      <c r="AC163" s="207">
        <f>SUMIFS('январь 2023'!$G$4:$G$508,'январь 2023'!$D$4:$D$508,$B163,'январь 2023'!$J$4:$J$508,AC$1)</f>
        <v>0</v>
      </c>
      <c r="AD163" s="207">
        <f>SUMIFS('январь 2023'!$G$4:$G$508,'январь 2023'!$D$4:$D$508,$B163,'январь 2023'!$J$4:$J$508,AD$1)</f>
        <v>0</v>
      </c>
      <c r="AE163" s="207">
        <f>SUMIFS('январь 2023'!$G$4:$G$508,'январь 2023'!$D$4:$D$508,$B163,'январь 2023'!$J$4:$J$508,AE$1)</f>
        <v>0</v>
      </c>
      <c r="AF163" s="207">
        <f>SUMIFS('январь 2023'!$G$4:$G$508,'январь 2023'!$D$4:$D$508,$B163,'январь 2023'!$J$4:$J$508,AF$1)</f>
        <v>0</v>
      </c>
      <c r="AG163" s="207">
        <f>SUMIFS('январь 2023'!$G$4:$G$508,'январь 2023'!$D$4:$D$508,$B163,'январь 2023'!$J$4:$J$508,AG$1)</f>
        <v>0</v>
      </c>
      <c r="AH163" s="207">
        <f>SUMIFS('январь 2023'!$G$4:$G$508,'январь 2023'!$D$4:$D$508,$B163,'январь 2023'!$J$4:$J$508,AH$1)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SUMIFS('январь 2023'!$G$4:$G$508,'январь 2023'!$D$4:$D$508,$B164,'январь 2023'!$J$4:$J$508,D$1)</f>
        <v>0</v>
      </c>
      <c r="E164" s="207">
        <f>SUMIFS('январь 2023'!$G$4:$G$508,'январь 2023'!$D$4:$D$508,$B164,'январь 2023'!$J$4:$J$508,E$1)</f>
        <v>0</v>
      </c>
      <c r="F164" s="207">
        <f>SUMIFS('январь 2023'!$G$4:$G$508,'январь 2023'!$D$4:$D$508,$B164,'январь 2023'!$J$4:$J$508,F$1)</f>
        <v>0</v>
      </c>
      <c r="G164" s="207">
        <f>SUMIFS('январь 2023'!$G$4:$G$508,'январь 2023'!$D$4:$D$508,$B164,'январь 2023'!$J$4:$J$508,G$1)</f>
        <v>0</v>
      </c>
      <c r="H164" s="207">
        <f>SUMIFS('январь 2023'!$G$4:$G$508,'январь 2023'!$D$4:$D$508,$B164,'январь 2023'!$J$4:$J$508,H$1)</f>
        <v>0</v>
      </c>
      <c r="I164" s="207">
        <f>SUMIFS('январь 2023'!$G$4:$G$508,'январь 2023'!$D$4:$D$508,$B164,'январь 2023'!$J$4:$J$508,I$1)</f>
        <v>0</v>
      </c>
      <c r="J164" s="207">
        <f>SUMIFS('январь 2023'!$G$4:$G$508,'январь 2023'!$D$4:$D$508,$B164,'январь 2023'!$J$4:$J$508,J$1)</f>
        <v>0</v>
      </c>
      <c r="K164" s="207">
        <f>SUMIFS('январь 2023'!$G$4:$G$508,'январь 2023'!$D$4:$D$508,$B164,'январь 2023'!$J$4:$J$508,K$1)</f>
        <v>0</v>
      </c>
      <c r="L164" s="207">
        <f>SUMIFS('январь 2023'!$G$4:$G$508,'январь 2023'!$D$4:$D$508,$B164,'январь 2023'!$J$4:$J$508,L$1)</f>
        <v>0</v>
      </c>
      <c r="M164" s="207">
        <f>SUMIFS('январь 2023'!$G$4:$G$508,'январь 2023'!$D$4:$D$508,$B164,'январь 2023'!$J$4:$J$508,M$1)</f>
        <v>0</v>
      </c>
      <c r="N164" s="207">
        <f>SUMIFS('январь 2023'!$G$4:$G$508,'январь 2023'!$D$4:$D$508,$B164,'январь 2023'!$J$4:$J$508,N$1)</f>
        <v>0</v>
      </c>
      <c r="O164" s="207">
        <f>SUMIFS('январь 2023'!$G$4:$G$508,'январь 2023'!$D$4:$D$508,$B164,'январь 2023'!$J$4:$J$508,O$1)</f>
        <v>0</v>
      </c>
      <c r="P164" s="207">
        <f>SUMIFS('январь 2023'!$G$4:$G$508,'январь 2023'!$D$4:$D$508,$B164,'январь 2023'!$J$4:$J$508,P$1)</f>
        <v>0</v>
      </c>
      <c r="Q164" s="207">
        <f>SUMIFS('январь 2023'!$G$4:$G$508,'январь 2023'!$D$4:$D$508,$B164,'январь 2023'!$J$4:$J$508,Q$1)</f>
        <v>0</v>
      </c>
      <c r="R164" s="207">
        <f>SUMIFS('январь 2023'!$G$4:$G$508,'январь 2023'!$D$4:$D$508,$B164,'январь 2023'!$J$4:$J$508,R$1)</f>
        <v>0</v>
      </c>
      <c r="S164" s="207">
        <f>SUMIFS('январь 2023'!$G$4:$G$508,'январь 2023'!$D$4:$D$508,$B164,'январь 2023'!$J$4:$J$508,S$1)</f>
        <v>0</v>
      </c>
      <c r="T164" s="207">
        <f>SUMIFS('январь 2023'!$G$4:$G$508,'январь 2023'!$D$4:$D$508,$B164,'январь 2023'!$J$4:$J$508,T$1)</f>
        <v>0</v>
      </c>
      <c r="U164" s="207">
        <f>SUMIFS('январь 2023'!$G$4:$G$508,'январь 2023'!$D$4:$D$508,$B164,'январь 2023'!$J$4:$J$508,U$1)</f>
        <v>0</v>
      </c>
      <c r="V164" s="207">
        <f>SUMIFS('январь 2023'!$G$4:$G$508,'январь 2023'!$D$4:$D$508,$B164,'январь 2023'!$J$4:$J$508,V$1)</f>
        <v>0</v>
      </c>
      <c r="W164" s="207">
        <f>SUMIFS('январь 2023'!$G$4:$G$508,'январь 2023'!$D$4:$D$508,$B164,'январь 2023'!$J$4:$J$508,W$1)</f>
        <v>0</v>
      </c>
      <c r="X164" s="207">
        <f>SUMIFS('январь 2023'!$G$4:$G$508,'январь 2023'!$D$4:$D$508,$B164,'январь 2023'!$J$4:$J$508,X$1)</f>
        <v>0</v>
      </c>
      <c r="Y164" s="207">
        <f>SUMIFS('январь 2023'!$G$4:$G$508,'январь 2023'!$D$4:$D$508,$B164,'январь 2023'!$J$4:$J$508,Y$1)</f>
        <v>0</v>
      </c>
      <c r="Z164" s="207">
        <f>SUMIFS('январь 2023'!$G$4:$G$508,'январь 2023'!$D$4:$D$508,$B164,'январь 2023'!$J$4:$J$508,Z$1)</f>
        <v>0</v>
      </c>
      <c r="AA164" s="207">
        <f>SUMIFS('январь 2023'!$G$4:$G$508,'январь 2023'!$D$4:$D$508,$B164,'январь 2023'!$J$4:$J$508,AA$1)</f>
        <v>0</v>
      </c>
      <c r="AB164" s="207">
        <f>SUMIFS('январь 2023'!$G$4:$G$508,'январь 2023'!$D$4:$D$508,$B164,'январь 2023'!$J$4:$J$508,AB$1)</f>
        <v>0</v>
      </c>
      <c r="AC164" s="207">
        <f>SUMIFS('январь 2023'!$G$4:$G$508,'январь 2023'!$D$4:$D$508,$B164,'январь 2023'!$J$4:$J$508,AC$1)</f>
        <v>0</v>
      </c>
      <c r="AD164" s="207">
        <f>SUMIFS('январь 2023'!$G$4:$G$508,'январь 2023'!$D$4:$D$508,$B164,'январь 2023'!$J$4:$J$508,AD$1)</f>
        <v>0</v>
      </c>
      <c r="AE164" s="207">
        <f>SUMIFS('январь 2023'!$G$4:$G$508,'январь 2023'!$D$4:$D$508,$B164,'январь 2023'!$J$4:$J$508,AE$1)</f>
        <v>0</v>
      </c>
      <c r="AF164" s="207">
        <f>SUMIFS('январь 2023'!$G$4:$G$508,'январь 2023'!$D$4:$D$508,$B164,'январь 2023'!$J$4:$J$508,AF$1)</f>
        <v>0</v>
      </c>
      <c r="AG164" s="207">
        <f>SUMIFS('январь 2023'!$G$4:$G$508,'январь 2023'!$D$4:$D$508,$B164,'январь 2023'!$J$4:$J$508,AG$1)</f>
        <v>0</v>
      </c>
      <c r="AH164" s="207">
        <f>SUMIFS('январь 2023'!$G$4:$G$508,'январь 2023'!$D$4:$D$508,$B164,'январь 2023'!$J$4:$J$508,AH$1)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SUMIFS('январь 2023'!$G$4:$G$508,'январь 2023'!$D$4:$D$508,$B165,'январь 2023'!$J$4:$J$508,D$1)</f>
        <v>0</v>
      </c>
      <c r="E165" s="207">
        <f>SUMIFS('январь 2023'!$G$4:$G$508,'январь 2023'!$D$4:$D$508,$B165,'январь 2023'!$J$4:$J$508,E$1)</f>
        <v>0</v>
      </c>
      <c r="F165" s="207">
        <f>SUMIFS('январь 2023'!$G$4:$G$508,'январь 2023'!$D$4:$D$508,$B165,'январь 2023'!$J$4:$J$508,F$1)</f>
        <v>0</v>
      </c>
      <c r="G165" s="207">
        <f>SUMIFS('январь 2023'!$G$4:$G$508,'январь 2023'!$D$4:$D$508,$B165,'январь 2023'!$J$4:$J$508,G$1)</f>
        <v>0</v>
      </c>
      <c r="H165" s="207">
        <f>SUMIFS('январь 2023'!$G$4:$G$508,'январь 2023'!$D$4:$D$508,$B165,'январь 2023'!$J$4:$J$508,H$1)</f>
        <v>0</v>
      </c>
      <c r="I165" s="207">
        <f>SUMIFS('январь 2023'!$G$4:$G$508,'январь 2023'!$D$4:$D$508,$B165,'январь 2023'!$J$4:$J$508,I$1)</f>
        <v>0</v>
      </c>
      <c r="J165" s="207">
        <f>SUMIFS('январь 2023'!$G$4:$G$508,'январь 2023'!$D$4:$D$508,$B165,'январь 2023'!$J$4:$J$508,J$1)</f>
        <v>0</v>
      </c>
      <c r="K165" s="207">
        <f>SUMIFS('январь 2023'!$G$4:$G$508,'январь 2023'!$D$4:$D$508,$B165,'январь 2023'!$J$4:$J$508,K$1)</f>
        <v>0</v>
      </c>
      <c r="L165" s="207">
        <f>SUMIFS('январь 2023'!$G$4:$G$508,'январь 2023'!$D$4:$D$508,$B165,'январь 2023'!$J$4:$J$508,L$1)</f>
        <v>0</v>
      </c>
      <c r="M165" s="207">
        <f>SUMIFS('январь 2023'!$G$4:$G$508,'январь 2023'!$D$4:$D$508,$B165,'январь 2023'!$J$4:$J$508,M$1)</f>
        <v>0</v>
      </c>
      <c r="N165" s="207">
        <f>SUMIFS('январь 2023'!$G$4:$G$508,'январь 2023'!$D$4:$D$508,$B165,'январь 2023'!$J$4:$J$508,N$1)</f>
        <v>0</v>
      </c>
      <c r="O165" s="207">
        <f>SUMIFS('январь 2023'!$G$4:$G$508,'январь 2023'!$D$4:$D$508,$B165,'январь 2023'!$J$4:$J$508,O$1)</f>
        <v>0</v>
      </c>
      <c r="P165" s="207">
        <f>SUMIFS('январь 2023'!$G$4:$G$508,'январь 2023'!$D$4:$D$508,$B165,'январь 2023'!$J$4:$J$508,P$1)</f>
        <v>0</v>
      </c>
      <c r="Q165" s="207">
        <f>SUMIFS('январь 2023'!$G$4:$G$508,'январь 2023'!$D$4:$D$508,$B165,'январь 2023'!$J$4:$J$508,Q$1)</f>
        <v>0</v>
      </c>
      <c r="R165" s="207">
        <f>SUMIFS('январь 2023'!$G$4:$G$508,'январь 2023'!$D$4:$D$508,$B165,'январь 2023'!$J$4:$J$508,R$1)</f>
        <v>0</v>
      </c>
      <c r="S165" s="207">
        <f>SUMIFS('январь 2023'!$G$4:$G$508,'январь 2023'!$D$4:$D$508,$B165,'январь 2023'!$J$4:$J$508,S$1)</f>
        <v>0</v>
      </c>
      <c r="T165" s="207">
        <f>SUMIFS('январь 2023'!$G$4:$G$508,'январь 2023'!$D$4:$D$508,$B165,'январь 2023'!$J$4:$J$508,T$1)</f>
        <v>0</v>
      </c>
      <c r="U165" s="207">
        <f>SUMIFS('январь 2023'!$G$4:$G$508,'январь 2023'!$D$4:$D$508,$B165,'январь 2023'!$J$4:$J$508,U$1)</f>
        <v>0</v>
      </c>
      <c r="V165" s="207">
        <f>SUMIFS('январь 2023'!$G$4:$G$508,'январь 2023'!$D$4:$D$508,$B165,'январь 2023'!$J$4:$J$508,V$1)</f>
        <v>0</v>
      </c>
      <c r="W165" s="207">
        <f>SUMIFS('январь 2023'!$G$4:$G$508,'январь 2023'!$D$4:$D$508,$B165,'январь 2023'!$J$4:$J$508,W$1)</f>
        <v>0</v>
      </c>
      <c r="X165" s="207">
        <f>SUMIFS('январь 2023'!$G$4:$G$508,'январь 2023'!$D$4:$D$508,$B165,'январь 2023'!$J$4:$J$508,X$1)</f>
        <v>0</v>
      </c>
      <c r="Y165" s="207">
        <f>SUMIFS('январь 2023'!$G$4:$G$508,'январь 2023'!$D$4:$D$508,$B165,'январь 2023'!$J$4:$J$508,Y$1)</f>
        <v>0</v>
      </c>
      <c r="Z165" s="207">
        <f>SUMIFS('январь 2023'!$G$4:$G$508,'январь 2023'!$D$4:$D$508,$B165,'январь 2023'!$J$4:$J$508,Z$1)</f>
        <v>0</v>
      </c>
      <c r="AA165" s="207">
        <f>SUMIFS('январь 2023'!$G$4:$G$508,'январь 2023'!$D$4:$D$508,$B165,'январь 2023'!$J$4:$J$508,AA$1)</f>
        <v>0</v>
      </c>
      <c r="AB165" s="207">
        <f>SUMIFS('январь 2023'!$G$4:$G$508,'январь 2023'!$D$4:$D$508,$B165,'январь 2023'!$J$4:$J$508,AB$1)</f>
        <v>0</v>
      </c>
      <c r="AC165" s="207">
        <f>SUMIFS('январь 2023'!$G$4:$G$508,'январь 2023'!$D$4:$D$508,$B165,'январь 2023'!$J$4:$J$508,AC$1)</f>
        <v>0</v>
      </c>
      <c r="AD165" s="207">
        <f>SUMIFS('январь 2023'!$G$4:$G$508,'январь 2023'!$D$4:$D$508,$B165,'январь 2023'!$J$4:$J$508,AD$1)</f>
        <v>0</v>
      </c>
      <c r="AE165" s="207">
        <f>SUMIFS('январь 2023'!$G$4:$G$508,'январь 2023'!$D$4:$D$508,$B165,'январь 2023'!$J$4:$J$508,AE$1)</f>
        <v>0</v>
      </c>
      <c r="AF165" s="207">
        <f>SUMIFS('январь 2023'!$G$4:$G$508,'январь 2023'!$D$4:$D$508,$B165,'январь 2023'!$J$4:$J$508,AF$1)</f>
        <v>0</v>
      </c>
      <c r="AG165" s="207">
        <f>SUMIFS('январь 2023'!$G$4:$G$508,'январь 2023'!$D$4:$D$508,$B165,'январь 2023'!$J$4:$J$508,AG$1)</f>
        <v>0</v>
      </c>
      <c r="AH165" s="207">
        <f>SUMIFS('январь 2023'!$G$4:$G$508,'январь 2023'!$D$4:$D$508,$B165,'январь 2023'!$J$4:$J$508,AH$1)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SUMIFS('январь 2023'!$G$4:$G$508,'январь 2023'!$D$4:$D$508,$B166,'январь 2023'!$J$4:$J$508,D$1)</f>
        <v>0</v>
      </c>
      <c r="E166" s="207">
        <f>SUMIFS('январь 2023'!$G$4:$G$508,'январь 2023'!$D$4:$D$508,$B166,'январь 2023'!$J$4:$J$508,E$1)</f>
        <v>0</v>
      </c>
      <c r="F166" s="207">
        <f>SUMIFS('январь 2023'!$G$4:$G$508,'январь 2023'!$D$4:$D$508,$B166,'январь 2023'!$J$4:$J$508,F$1)</f>
        <v>0</v>
      </c>
      <c r="G166" s="207">
        <f>SUMIFS('январь 2023'!$G$4:$G$508,'январь 2023'!$D$4:$D$508,$B166,'январь 2023'!$J$4:$J$508,G$1)</f>
        <v>0</v>
      </c>
      <c r="H166" s="207">
        <f>SUMIFS('январь 2023'!$G$4:$G$508,'январь 2023'!$D$4:$D$508,$B166,'январь 2023'!$J$4:$J$508,H$1)</f>
        <v>0</v>
      </c>
      <c r="I166" s="207">
        <f>SUMIFS('январь 2023'!$G$4:$G$508,'январь 2023'!$D$4:$D$508,$B166,'январь 2023'!$J$4:$J$508,I$1)</f>
        <v>0</v>
      </c>
      <c r="J166" s="207">
        <f>SUMIFS('январь 2023'!$G$4:$G$508,'январь 2023'!$D$4:$D$508,$B166,'январь 2023'!$J$4:$J$508,J$1)</f>
        <v>0</v>
      </c>
      <c r="K166" s="207">
        <f>SUMIFS('январь 2023'!$G$4:$G$508,'январь 2023'!$D$4:$D$508,$B166,'январь 2023'!$J$4:$J$508,K$1)</f>
        <v>0</v>
      </c>
      <c r="L166" s="207">
        <f>SUMIFS('январь 2023'!$G$4:$G$508,'январь 2023'!$D$4:$D$508,$B166,'январь 2023'!$J$4:$J$508,L$1)</f>
        <v>0</v>
      </c>
      <c r="M166" s="207">
        <f>SUMIFS('январь 2023'!$G$4:$G$508,'январь 2023'!$D$4:$D$508,$B166,'январь 2023'!$J$4:$J$508,M$1)</f>
        <v>0</v>
      </c>
      <c r="N166" s="207">
        <f>SUMIFS('январь 2023'!$G$4:$G$508,'январь 2023'!$D$4:$D$508,$B166,'январь 2023'!$J$4:$J$508,N$1)</f>
        <v>0</v>
      </c>
      <c r="O166" s="207">
        <f>SUMIFS('январь 2023'!$G$4:$G$508,'январь 2023'!$D$4:$D$508,$B166,'январь 2023'!$J$4:$J$508,O$1)</f>
        <v>0</v>
      </c>
      <c r="P166" s="207">
        <f>SUMIFS('январь 2023'!$G$4:$G$508,'январь 2023'!$D$4:$D$508,$B166,'январь 2023'!$J$4:$J$508,P$1)</f>
        <v>0</v>
      </c>
      <c r="Q166" s="207">
        <f>SUMIFS('январь 2023'!$G$4:$G$508,'январь 2023'!$D$4:$D$508,$B166,'январь 2023'!$J$4:$J$508,Q$1)</f>
        <v>0</v>
      </c>
      <c r="R166" s="207">
        <f>SUMIFS('январь 2023'!$G$4:$G$508,'январь 2023'!$D$4:$D$508,$B166,'январь 2023'!$J$4:$J$508,R$1)</f>
        <v>0</v>
      </c>
      <c r="S166" s="207">
        <f>SUMIFS('январь 2023'!$G$4:$G$508,'январь 2023'!$D$4:$D$508,$B166,'январь 2023'!$J$4:$J$508,S$1)</f>
        <v>0</v>
      </c>
      <c r="T166" s="207">
        <f>SUMIFS('январь 2023'!$G$4:$G$508,'январь 2023'!$D$4:$D$508,$B166,'январь 2023'!$J$4:$J$508,T$1)</f>
        <v>0</v>
      </c>
      <c r="U166" s="207">
        <f>SUMIFS('январь 2023'!$G$4:$G$508,'январь 2023'!$D$4:$D$508,$B166,'январь 2023'!$J$4:$J$508,U$1)</f>
        <v>0</v>
      </c>
      <c r="V166" s="207">
        <f>SUMIFS('январь 2023'!$G$4:$G$508,'январь 2023'!$D$4:$D$508,$B166,'январь 2023'!$J$4:$J$508,V$1)</f>
        <v>0</v>
      </c>
      <c r="W166" s="207">
        <f>SUMIFS('январь 2023'!$G$4:$G$508,'январь 2023'!$D$4:$D$508,$B166,'январь 2023'!$J$4:$J$508,W$1)</f>
        <v>0</v>
      </c>
      <c r="X166" s="207">
        <f>SUMIFS('январь 2023'!$G$4:$G$508,'январь 2023'!$D$4:$D$508,$B166,'январь 2023'!$J$4:$J$508,X$1)</f>
        <v>0</v>
      </c>
      <c r="Y166" s="207">
        <f>SUMIFS('январь 2023'!$G$4:$G$508,'январь 2023'!$D$4:$D$508,$B166,'январь 2023'!$J$4:$J$508,Y$1)</f>
        <v>0</v>
      </c>
      <c r="Z166" s="207">
        <f>SUMIFS('январь 2023'!$G$4:$G$508,'январь 2023'!$D$4:$D$508,$B166,'январь 2023'!$J$4:$J$508,Z$1)</f>
        <v>0</v>
      </c>
      <c r="AA166" s="207">
        <f>SUMIFS('январь 2023'!$G$4:$G$508,'январь 2023'!$D$4:$D$508,$B166,'январь 2023'!$J$4:$J$508,AA$1)</f>
        <v>0</v>
      </c>
      <c r="AB166" s="207">
        <f>SUMIFS('январь 2023'!$G$4:$G$508,'январь 2023'!$D$4:$D$508,$B166,'январь 2023'!$J$4:$J$508,AB$1)</f>
        <v>0</v>
      </c>
      <c r="AC166" s="207">
        <f>SUMIFS('январь 2023'!$G$4:$G$508,'январь 2023'!$D$4:$D$508,$B166,'январь 2023'!$J$4:$J$508,AC$1)</f>
        <v>0</v>
      </c>
      <c r="AD166" s="207">
        <f>SUMIFS('январь 2023'!$G$4:$G$508,'январь 2023'!$D$4:$D$508,$B166,'январь 2023'!$J$4:$J$508,AD$1)</f>
        <v>0</v>
      </c>
      <c r="AE166" s="207">
        <f>SUMIFS('январь 2023'!$G$4:$G$508,'январь 2023'!$D$4:$D$508,$B166,'январь 2023'!$J$4:$J$508,AE$1)</f>
        <v>0</v>
      </c>
      <c r="AF166" s="207">
        <f>SUMIFS('январь 2023'!$G$4:$G$508,'январь 2023'!$D$4:$D$508,$B166,'январь 2023'!$J$4:$J$508,AF$1)</f>
        <v>0</v>
      </c>
      <c r="AG166" s="207">
        <f>SUMIFS('январь 2023'!$G$4:$G$508,'январь 2023'!$D$4:$D$508,$B166,'январь 2023'!$J$4:$J$508,AG$1)</f>
        <v>0</v>
      </c>
      <c r="AH166" s="207">
        <f>SUMIFS('январь 2023'!$G$4:$G$508,'январь 2023'!$D$4:$D$508,$B166,'январь 2023'!$J$4:$J$508,AH$1)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SUMIFS('январь 2023'!$G$4:$G$508,'январь 2023'!$D$4:$D$508,$B167,'январь 2023'!$J$4:$J$508,D$1)</f>
        <v>0</v>
      </c>
      <c r="E167" s="207">
        <f>SUMIFS('январь 2023'!$G$4:$G$508,'январь 2023'!$D$4:$D$508,$B167,'январь 2023'!$J$4:$J$508,E$1)</f>
        <v>0</v>
      </c>
      <c r="F167" s="207">
        <f>SUMIFS('январь 2023'!$G$4:$G$508,'январь 2023'!$D$4:$D$508,$B167,'январь 2023'!$J$4:$J$508,F$1)</f>
        <v>0</v>
      </c>
      <c r="G167" s="207">
        <f>SUMIFS('январь 2023'!$G$4:$G$508,'январь 2023'!$D$4:$D$508,$B167,'январь 2023'!$J$4:$J$508,G$1)</f>
        <v>0</v>
      </c>
      <c r="H167" s="207">
        <f>SUMIFS('январь 2023'!$G$4:$G$508,'январь 2023'!$D$4:$D$508,$B167,'январь 2023'!$J$4:$J$508,H$1)</f>
        <v>0</v>
      </c>
      <c r="I167" s="207">
        <f>SUMIFS('январь 2023'!$G$4:$G$508,'январь 2023'!$D$4:$D$508,$B167,'январь 2023'!$J$4:$J$508,I$1)</f>
        <v>0</v>
      </c>
      <c r="J167" s="207">
        <f>SUMIFS('январь 2023'!$G$4:$G$508,'январь 2023'!$D$4:$D$508,$B167,'январь 2023'!$J$4:$J$508,J$1)</f>
        <v>0</v>
      </c>
      <c r="K167" s="207">
        <f>SUMIFS('январь 2023'!$G$4:$G$508,'январь 2023'!$D$4:$D$508,$B167,'январь 2023'!$J$4:$J$508,K$1)</f>
        <v>0</v>
      </c>
      <c r="L167" s="207">
        <f>SUMIFS('январь 2023'!$G$4:$G$508,'январь 2023'!$D$4:$D$508,$B167,'январь 2023'!$J$4:$J$508,L$1)</f>
        <v>0</v>
      </c>
      <c r="M167" s="207">
        <f>SUMIFS('январь 2023'!$G$4:$G$508,'январь 2023'!$D$4:$D$508,$B167,'январь 2023'!$J$4:$J$508,M$1)</f>
        <v>0</v>
      </c>
      <c r="N167" s="207">
        <f>SUMIFS('январь 2023'!$G$4:$G$508,'январь 2023'!$D$4:$D$508,$B167,'январь 2023'!$J$4:$J$508,N$1)</f>
        <v>0</v>
      </c>
      <c r="O167" s="207">
        <f>SUMIFS('январь 2023'!$G$4:$G$508,'январь 2023'!$D$4:$D$508,$B167,'январь 2023'!$J$4:$J$508,O$1)</f>
        <v>0</v>
      </c>
      <c r="P167" s="207">
        <f>SUMIFS('январь 2023'!$G$4:$G$508,'январь 2023'!$D$4:$D$508,$B167,'январь 2023'!$J$4:$J$508,P$1)</f>
        <v>0</v>
      </c>
      <c r="Q167" s="207">
        <f>SUMIFS('январь 2023'!$G$4:$G$508,'январь 2023'!$D$4:$D$508,$B167,'январь 2023'!$J$4:$J$508,Q$1)</f>
        <v>0</v>
      </c>
      <c r="R167" s="207">
        <f>SUMIFS('январь 2023'!$G$4:$G$508,'январь 2023'!$D$4:$D$508,$B167,'январь 2023'!$J$4:$J$508,R$1)</f>
        <v>0</v>
      </c>
      <c r="S167" s="207">
        <f>SUMIFS('январь 2023'!$G$4:$G$508,'январь 2023'!$D$4:$D$508,$B167,'январь 2023'!$J$4:$J$508,S$1)</f>
        <v>0</v>
      </c>
      <c r="T167" s="207">
        <f>SUMIFS('январь 2023'!$G$4:$G$508,'январь 2023'!$D$4:$D$508,$B167,'январь 2023'!$J$4:$J$508,T$1)</f>
        <v>0</v>
      </c>
      <c r="U167" s="207">
        <f>SUMIFS('январь 2023'!$G$4:$G$508,'январь 2023'!$D$4:$D$508,$B167,'январь 2023'!$J$4:$J$508,U$1)</f>
        <v>0</v>
      </c>
      <c r="V167" s="207">
        <f>SUMIFS('январь 2023'!$G$4:$G$508,'январь 2023'!$D$4:$D$508,$B167,'январь 2023'!$J$4:$J$508,V$1)</f>
        <v>0</v>
      </c>
      <c r="W167" s="207">
        <f>SUMIFS('январь 2023'!$G$4:$G$508,'январь 2023'!$D$4:$D$508,$B167,'январь 2023'!$J$4:$J$508,W$1)</f>
        <v>0</v>
      </c>
      <c r="X167" s="207">
        <f>SUMIFS('январь 2023'!$G$4:$G$508,'январь 2023'!$D$4:$D$508,$B167,'январь 2023'!$J$4:$J$508,X$1)</f>
        <v>0</v>
      </c>
      <c r="Y167" s="207">
        <f>SUMIFS('январь 2023'!$G$4:$G$508,'январь 2023'!$D$4:$D$508,$B167,'январь 2023'!$J$4:$J$508,Y$1)</f>
        <v>0</v>
      </c>
      <c r="Z167" s="207">
        <f>SUMIFS('январь 2023'!$G$4:$G$508,'январь 2023'!$D$4:$D$508,$B167,'январь 2023'!$J$4:$J$508,Z$1)</f>
        <v>0</v>
      </c>
      <c r="AA167" s="207">
        <f>SUMIFS('январь 2023'!$G$4:$G$508,'январь 2023'!$D$4:$D$508,$B167,'январь 2023'!$J$4:$J$508,AA$1)</f>
        <v>0</v>
      </c>
      <c r="AB167" s="207">
        <f>SUMIFS('январь 2023'!$G$4:$G$508,'январь 2023'!$D$4:$D$508,$B167,'январь 2023'!$J$4:$J$508,AB$1)</f>
        <v>0</v>
      </c>
      <c r="AC167" s="207">
        <f>SUMIFS('январь 2023'!$G$4:$G$508,'январь 2023'!$D$4:$D$508,$B167,'январь 2023'!$J$4:$J$508,AC$1)</f>
        <v>0</v>
      </c>
      <c r="AD167" s="207">
        <f>SUMIFS('январь 2023'!$G$4:$G$508,'январь 2023'!$D$4:$D$508,$B167,'январь 2023'!$J$4:$J$508,AD$1)</f>
        <v>0</v>
      </c>
      <c r="AE167" s="207">
        <f>SUMIFS('январь 2023'!$G$4:$G$508,'январь 2023'!$D$4:$D$508,$B167,'январь 2023'!$J$4:$J$508,AE$1)</f>
        <v>0</v>
      </c>
      <c r="AF167" s="207">
        <f>SUMIFS('январь 2023'!$G$4:$G$508,'январь 2023'!$D$4:$D$508,$B167,'январь 2023'!$J$4:$J$508,AF$1)</f>
        <v>0</v>
      </c>
      <c r="AG167" s="207">
        <f>SUMIFS('январь 2023'!$G$4:$G$508,'январь 2023'!$D$4:$D$508,$B167,'январь 2023'!$J$4:$J$508,AG$1)</f>
        <v>0</v>
      </c>
      <c r="AH167" s="207">
        <f>SUMIFS('январь 2023'!$G$4:$G$508,'январь 2023'!$D$4:$D$508,$B167,'январь 2023'!$J$4:$J$508,AH$1)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SUMIFS('январь 2023'!$G$4:$G$508,'январь 2023'!$D$4:$D$508,$B168,'январь 2023'!$J$4:$J$508,D$1)</f>
        <v>0</v>
      </c>
      <c r="E168" s="207">
        <f>SUMIFS('январь 2023'!$G$4:$G$508,'январь 2023'!$D$4:$D$508,$B168,'январь 2023'!$J$4:$J$508,E$1)</f>
        <v>0</v>
      </c>
      <c r="F168" s="207">
        <f>SUMIFS('январь 2023'!$G$4:$G$508,'январь 2023'!$D$4:$D$508,$B168,'январь 2023'!$J$4:$J$508,F$1)</f>
        <v>0</v>
      </c>
      <c r="G168" s="207">
        <f>SUMIFS('январь 2023'!$G$4:$G$508,'январь 2023'!$D$4:$D$508,$B168,'январь 2023'!$J$4:$J$508,G$1)</f>
        <v>0</v>
      </c>
      <c r="H168" s="207">
        <f>SUMIFS('январь 2023'!$G$4:$G$508,'январь 2023'!$D$4:$D$508,$B168,'январь 2023'!$J$4:$J$508,H$1)</f>
        <v>0</v>
      </c>
      <c r="I168" s="207">
        <f>SUMIFS('январь 2023'!$G$4:$G$508,'январь 2023'!$D$4:$D$508,$B168,'январь 2023'!$J$4:$J$508,I$1)</f>
        <v>0</v>
      </c>
      <c r="J168" s="207">
        <f>SUMIFS('январь 2023'!$G$4:$G$508,'январь 2023'!$D$4:$D$508,$B168,'январь 2023'!$J$4:$J$508,J$1)</f>
        <v>0</v>
      </c>
      <c r="K168" s="207">
        <f>SUMIFS('январь 2023'!$G$4:$G$508,'январь 2023'!$D$4:$D$508,$B168,'январь 2023'!$J$4:$J$508,K$1)</f>
        <v>0</v>
      </c>
      <c r="L168" s="207">
        <f>SUMIFS('январь 2023'!$G$4:$G$508,'январь 2023'!$D$4:$D$508,$B168,'январь 2023'!$J$4:$J$508,L$1)</f>
        <v>0</v>
      </c>
      <c r="M168" s="207">
        <f>SUMIFS('январь 2023'!$G$4:$G$508,'январь 2023'!$D$4:$D$508,$B168,'январь 2023'!$J$4:$J$508,M$1)</f>
        <v>0</v>
      </c>
      <c r="N168" s="207">
        <f>SUMIFS('январь 2023'!$G$4:$G$508,'январь 2023'!$D$4:$D$508,$B168,'январь 2023'!$J$4:$J$508,N$1)</f>
        <v>0</v>
      </c>
      <c r="O168" s="207">
        <f>SUMIFS('январь 2023'!$G$4:$G$508,'январь 2023'!$D$4:$D$508,$B168,'январь 2023'!$J$4:$J$508,O$1)</f>
        <v>0</v>
      </c>
      <c r="P168" s="207">
        <f>SUMIFS('январь 2023'!$G$4:$G$508,'январь 2023'!$D$4:$D$508,$B168,'январь 2023'!$J$4:$J$508,P$1)</f>
        <v>0</v>
      </c>
      <c r="Q168" s="207">
        <f>SUMIFS('январь 2023'!$G$4:$G$508,'январь 2023'!$D$4:$D$508,$B168,'январь 2023'!$J$4:$J$508,Q$1)</f>
        <v>0</v>
      </c>
      <c r="R168" s="207">
        <f>SUMIFS('январь 2023'!$G$4:$G$508,'январь 2023'!$D$4:$D$508,$B168,'январь 2023'!$J$4:$J$508,R$1)</f>
        <v>0</v>
      </c>
      <c r="S168" s="207">
        <f>SUMIFS('январь 2023'!$G$4:$G$508,'январь 2023'!$D$4:$D$508,$B168,'январь 2023'!$J$4:$J$508,S$1)</f>
        <v>0</v>
      </c>
      <c r="T168" s="207">
        <f>SUMIFS('январь 2023'!$G$4:$G$508,'январь 2023'!$D$4:$D$508,$B168,'январь 2023'!$J$4:$J$508,T$1)</f>
        <v>0</v>
      </c>
      <c r="U168" s="207">
        <f>SUMIFS('январь 2023'!$G$4:$G$508,'январь 2023'!$D$4:$D$508,$B168,'январь 2023'!$J$4:$J$508,U$1)</f>
        <v>0</v>
      </c>
      <c r="V168" s="207">
        <f>SUMIFS('январь 2023'!$G$4:$G$508,'январь 2023'!$D$4:$D$508,$B168,'январь 2023'!$J$4:$J$508,V$1)</f>
        <v>0</v>
      </c>
      <c r="W168" s="207">
        <f>SUMIFS('январь 2023'!$G$4:$G$508,'январь 2023'!$D$4:$D$508,$B168,'январь 2023'!$J$4:$J$508,W$1)</f>
        <v>0</v>
      </c>
      <c r="X168" s="207">
        <f>SUMIFS('январь 2023'!$G$4:$G$508,'январь 2023'!$D$4:$D$508,$B168,'январь 2023'!$J$4:$J$508,X$1)</f>
        <v>0</v>
      </c>
      <c r="Y168" s="207">
        <f>SUMIFS('январь 2023'!$G$4:$G$508,'январь 2023'!$D$4:$D$508,$B168,'январь 2023'!$J$4:$J$508,Y$1)</f>
        <v>0</v>
      </c>
      <c r="Z168" s="207">
        <f>SUMIFS('январь 2023'!$G$4:$G$508,'январь 2023'!$D$4:$D$508,$B168,'январь 2023'!$J$4:$J$508,Z$1)</f>
        <v>0</v>
      </c>
      <c r="AA168" s="207">
        <f>SUMIFS('январь 2023'!$G$4:$G$508,'январь 2023'!$D$4:$D$508,$B168,'январь 2023'!$J$4:$J$508,AA$1)</f>
        <v>0</v>
      </c>
      <c r="AB168" s="207">
        <f>SUMIFS('январь 2023'!$G$4:$G$508,'январь 2023'!$D$4:$D$508,$B168,'январь 2023'!$J$4:$J$508,AB$1)</f>
        <v>0</v>
      </c>
      <c r="AC168" s="207">
        <f>SUMIFS('январь 2023'!$G$4:$G$508,'январь 2023'!$D$4:$D$508,$B168,'январь 2023'!$J$4:$J$508,AC$1)</f>
        <v>0</v>
      </c>
      <c r="AD168" s="207">
        <f>SUMIFS('январь 2023'!$G$4:$G$508,'январь 2023'!$D$4:$D$508,$B168,'январь 2023'!$J$4:$J$508,AD$1)</f>
        <v>0</v>
      </c>
      <c r="AE168" s="207">
        <f>SUMIFS('январь 2023'!$G$4:$G$508,'январь 2023'!$D$4:$D$508,$B168,'январь 2023'!$J$4:$J$508,AE$1)</f>
        <v>0</v>
      </c>
      <c r="AF168" s="207">
        <f>SUMIFS('январь 2023'!$G$4:$G$508,'январь 2023'!$D$4:$D$508,$B168,'январь 2023'!$J$4:$J$508,AF$1)</f>
        <v>0</v>
      </c>
      <c r="AG168" s="207">
        <f>SUMIFS('январь 2023'!$G$4:$G$508,'январь 2023'!$D$4:$D$508,$B168,'январь 2023'!$J$4:$J$508,AG$1)</f>
        <v>0</v>
      </c>
      <c r="AH168" s="207">
        <f>SUMIFS('январь 2023'!$G$4:$G$508,'январь 2023'!$D$4:$D$508,$B168,'январь 2023'!$J$4:$J$508,AH$1)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SUMIFS('январь 2023'!$G$4:$G$508,'январь 2023'!$D$4:$D$508,$B169,'январь 2023'!$J$4:$J$508,D$1)</f>
        <v>0</v>
      </c>
      <c r="E169" s="207">
        <f>SUMIFS('январь 2023'!$G$4:$G$508,'январь 2023'!$D$4:$D$508,$B169,'январь 2023'!$J$4:$J$508,E$1)</f>
        <v>0</v>
      </c>
      <c r="F169" s="207">
        <f>SUMIFS('январь 2023'!$G$4:$G$508,'январь 2023'!$D$4:$D$508,$B169,'январь 2023'!$J$4:$J$508,F$1)</f>
        <v>0</v>
      </c>
      <c r="G169" s="207">
        <f>SUMIFS('январь 2023'!$G$4:$G$508,'январь 2023'!$D$4:$D$508,$B169,'январь 2023'!$J$4:$J$508,G$1)</f>
        <v>0</v>
      </c>
      <c r="H169" s="207">
        <f>SUMIFS('январь 2023'!$G$4:$G$508,'январь 2023'!$D$4:$D$508,$B169,'январь 2023'!$J$4:$J$508,H$1)</f>
        <v>0</v>
      </c>
      <c r="I169" s="207">
        <f>SUMIFS('январь 2023'!$G$4:$G$508,'январь 2023'!$D$4:$D$508,$B169,'январь 2023'!$J$4:$J$508,I$1)</f>
        <v>0</v>
      </c>
      <c r="J169" s="207">
        <f>SUMIFS('январь 2023'!$G$4:$G$508,'январь 2023'!$D$4:$D$508,$B169,'январь 2023'!$J$4:$J$508,J$1)</f>
        <v>0</v>
      </c>
      <c r="K169" s="207">
        <f>SUMIFS('январь 2023'!$G$4:$G$508,'январь 2023'!$D$4:$D$508,$B169,'январь 2023'!$J$4:$J$508,K$1)</f>
        <v>0</v>
      </c>
      <c r="L169" s="207">
        <f>SUMIFS('январь 2023'!$G$4:$G$508,'январь 2023'!$D$4:$D$508,$B169,'январь 2023'!$J$4:$J$508,L$1)</f>
        <v>0</v>
      </c>
      <c r="M169" s="207">
        <f>SUMIFS('январь 2023'!$G$4:$G$508,'январь 2023'!$D$4:$D$508,$B169,'январь 2023'!$J$4:$J$508,M$1)</f>
        <v>0</v>
      </c>
      <c r="N169" s="207">
        <f>SUMIFS('январь 2023'!$G$4:$G$508,'январь 2023'!$D$4:$D$508,$B169,'январь 2023'!$J$4:$J$508,N$1)</f>
        <v>0</v>
      </c>
      <c r="O169" s="207">
        <f>SUMIFS('январь 2023'!$G$4:$G$508,'январь 2023'!$D$4:$D$508,$B169,'январь 2023'!$J$4:$J$508,O$1)</f>
        <v>0</v>
      </c>
      <c r="P169" s="207">
        <f>SUMIFS('январь 2023'!$G$4:$G$508,'январь 2023'!$D$4:$D$508,$B169,'январь 2023'!$J$4:$J$508,P$1)</f>
        <v>0</v>
      </c>
      <c r="Q169" s="207">
        <f>SUMIFS('январь 2023'!$G$4:$G$508,'январь 2023'!$D$4:$D$508,$B169,'январь 2023'!$J$4:$J$508,Q$1)</f>
        <v>0</v>
      </c>
      <c r="R169" s="207">
        <f>SUMIFS('январь 2023'!$G$4:$G$508,'январь 2023'!$D$4:$D$508,$B169,'январь 2023'!$J$4:$J$508,R$1)</f>
        <v>0</v>
      </c>
      <c r="S169" s="207">
        <f>SUMIFS('январь 2023'!$G$4:$G$508,'январь 2023'!$D$4:$D$508,$B169,'январь 2023'!$J$4:$J$508,S$1)</f>
        <v>0</v>
      </c>
      <c r="T169" s="207">
        <f>SUMIFS('январь 2023'!$G$4:$G$508,'январь 2023'!$D$4:$D$508,$B169,'январь 2023'!$J$4:$J$508,T$1)</f>
        <v>0</v>
      </c>
      <c r="U169" s="207">
        <f>SUMIFS('январь 2023'!$G$4:$G$508,'январь 2023'!$D$4:$D$508,$B169,'январь 2023'!$J$4:$J$508,U$1)</f>
        <v>0</v>
      </c>
      <c r="V169" s="207">
        <f>SUMIFS('январь 2023'!$G$4:$G$508,'январь 2023'!$D$4:$D$508,$B169,'январь 2023'!$J$4:$J$508,V$1)</f>
        <v>0</v>
      </c>
      <c r="W169" s="207">
        <f>SUMIFS('январь 2023'!$G$4:$G$508,'январь 2023'!$D$4:$D$508,$B169,'январь 2023'!$J$4:$J$508,W$1)</f>
        <v>0</v>
      </c>
      <c r="X169" s="207">
        <f>SUMIFS('январь 2023'!$G$4:$G$508,'январь 2023'!$D$4:$D$508,$B169,'январь 2023'!$J$4:$J$508,X$1)</f>
        <v>0</v>
      </c>
      <c r="Y169" s="207">
        <f>SUMIFS('январь 2023'!$G$4:$G$508,'январь 2023'!$D$4:$D$508,$B169,'январь 2023'!$J$4:$J$508,Y$1)</f>
        <v>0</v>
      </c>
      <c r="Z169" s="207">
        <f>SUMIFS('январь 2023'!$G$4:$G$508,'январь 2023'!$D$4:$D$508,$B169,'январь 2023'!$J$4:$J$508,Z$1)</f>
        <v>0</v>
      </c>
      <c r="AA169" s="207">
        <f>SUMIFS('январь 2023'!$G$4:$G$508,'январь 2023'!$D$4:$D$508,$B169,'январь 2023'!$J$4:$J$508,AA$1)</f>
        <v>0</v>
      </c>
      <c r="AB169" s="207">
        <f>SUMIFS('январь 2023'!$G$4:$G$508,'январь 2023'!$D$4:$D$508,$B169,'январь 2023'!$J$4:$J$508,AB$1)</f>
        <v>0</v>
      </c>
      <c r="AC169" s="207">
        <f>SUMIFS('январь 2023'!$G$4:$G$508,'январь 2023'!$D$4:$D$508,$B169,'январь 2023'!$J$4:$J$508,AC$1)</f>
        <v>0</v>
      </c>
      <c r="AD169" s="207">
        <f>SUMIFS('январь 2023'!$G$4:$G$508,'январь 2023'!$D$4:$D$508,$B169,'январь 2023'!$J$4:$J$508,AD$1)</f>
        <v>0</v>
      </c>
      <c r="AE169" s="207">
        <f>SUMIFS('январь 2023'!$G$4:$G$508,'январь 2023'!$D$4:$D$508,$B169,'январь 2023'!$J$4:$J$508,AE$1)</f>
        <v>0</v>
      </c>
      <c r="AF169" s="207">
        <f>SUMIFS('январь 2023'!$G$4:$G$508,'январь 2023'!$D$4:$D$508,$B169,'январь 2023'!$J$4:$J$508,AF$1)</f>
        <v>0</v>
      </c>
      <c r="AG169" s="207">
        <f>SUMIFS('январь 2023'!$G$4:$G$508,'январь 2023'!$D$4:$D$508,$B169,'январь 2023'!$J$4:$J$508,AG$1)</f>
        <v>0</v>
      </c>
      <c r="AH169" s="207">
        <f>SUMIFS('январь 2023'!$G$4:$G$508,'январь 2023'!$D$4:$D$508,$B169,'январь 2023'!$J$4:$J$508,AH$1)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SUMIFS('январь 2023'!$G$4:$G$508,'январь 2023'!$D$4:$D$508,$B170,'январь 2023'!$J$4:$J$508,D$1)</f>
        <v>0</v>
      </c>
      <c r="E170" s="207">
        <f>SUMIFS('январь 2023'!$G$4:$G$508,'январь 2023'!$D$4:$D$508,$B170,'январь 2023'!$J$4:$J$508,E$1)</f>
        <v>0</v>
      </c>
      <c r="F170" s="207">
        <f>SUMIFS('январь 2023'!$G$4:$G$508,'январь 2023'!$D$4:$D$508,$B170,'январь 2023'!$J$4:$J$508,F$1)</f>
        <v>0</v>
      </c>
      <c r="G170" s="207">
        <f>SUMIFS('январь 2023'!$G$4:$G$508,'январь 2023'!$D$4:$D$508,$B170,'январь 2023'!$J$4:$J$508,G$1)</f>
        <v>0</v>
      </c>
      <c r="H170" s="207">
        <f>SUMIFS('январь 2023'!$G$4:$G$508,'январь 2023'!$D$4:$D$508,$B170,'январь 2023'!$J$4:$J$508,H$1)</f>
        <v>0</v>
      </c>
      <c r="I170" s="207">
        <f>SUMIFS('январь 2023'!$G$4:$G$508,'январь 2023'!$D$4:$D$508,$B170,'январь 2023'!$J$4:$J$508,I$1)</f>
        <v>0</v>
      </c>
      <c r="J170" s="207">
        <f>SUMIFS('январь 2023'!$G$4:$G$508,'январь 2023'!$D$4:$D$508,$B170,'январь 2023'!$J$4:$J$508,J$1)</f>
        <v>0</v>
      </c>
      <c r="K170" s="207">
        <f>SUMIFS('январь 2023'!$G$4:$G$508,'январь 2023'!$D$4:$D$508,$B170,'январь 2023'!$J$4:$J$508,K$1)</f>
        <v>0</v>
      </c>
      <c r="L170" s="207">
        <f>SUMIFS('январь 2023'!$G$4:$G$508,'январь 2023'!$D$4:$D$508,$B170,'январь 2023'!$J$4:$J$508,L$1)</f>
        <v>0</v>
      </c>
      <c r="M170" s="207">
        <f>SUMIFS('январь 2023'!$G$4:$G$508,'январь 2023'!$D$4:$D$508,$B170,'январь 2023'!$J$4:$J$508,M$1)</f>
        <v>0</v>
      </c>
      <c r="N170" s="207">
        <f>SUMIFS('январь 2023'!$G$4:$G$508,'январь 2023'!$D$4:$D$508,$B170,'январь 2023'!$J$4:$J$508,N$1)</f>
        <v>0</v>
      </c>
      <c r="O170" s="207">
        <f>SUMIFS('январь 2023'!$G$4:$G$508,'январь 2023'!$D$4:$D$508,$B170,'январь 2023'!$J$4:$J$508,O$1)</f>
        <v>0</v>
      </c>
      <c r="P170" s="207">
        <f>SUMIFS('январь 2023'!$G$4:$G$508,'январь 2023'!$D$4:$D$508,$B170,'январь 2023'!$J$4:$J$508,P$1)</f>
        <v>0</v>
      </c>
      <c r="Q170" s="207">
        <f>SUMIFS('январь 2023'!$G$4:$G$508,'январь 2023'!$D$4:$D$508,$B170,'январь 2023'!$J$4:$J$508,Q$1)</f>
        <v>0</v>
      </c>
      <c r="R170" s="207">
        <f>SUMIFS('январь 2023'!$G$4:$G$508,'январь 2023'!$D$4:$D$508,$B170,'январь 2023'!$J$4:$J$508,R$1)</f>
        <v>0</v>
      </c>
      <c r="S170" s="207">
        <f>SUMIFS('январь 2023'!$G$4:$G$508,'январь 2023'!$D$4:$D$508,$B170,'январь 2023'!$J$4:$J$508,S$1)</f>
        <v>0</v>
      </c>
      <c r="T170" s="207">
        <f>SUMIFS('январь 2023'!$G$4:$G$508,'январь 2023'!$D$4:$D$508,$B170,'январь 2023'!$J$4:$J$508,T$1)</f>
        <v>0</v>
      </c>
      <c r="U170" s="207">
        <f>SUMIFS('январь 2023'!$G$4:$G$508,'январь 2023'!$D$4:$D$508,$B170,'январь 2023'!$J$4:$J$508,U$1)</f>
        <v>0</v>
      </c>
      <c r="V170" s="207">
        <f>SUMIFS('январь 2023'!$G$4:$G$508,'январь 2023'!$D$4:$D$508,$B170,'январь 2023'!$J$4:$J$508,V$1)</f>
        <v>0</v>
      </c>
      <c r="W170" s="207">
        <f>SUMIFS('январь 2023'!$G$4:$G$508,'январь 2023'!$D$4:$D$508,$B170,'январь 2023'!$J$4:$J$508,W$1)</f>
        <v>0</v>
      </c>
      <c r="X170" s="207">
        <f>SUMIFS('январь 2023'!$G$4:$G$508,'январь 2023'!$D$4:$D$508,$B170,'январь 2023'!$J$4:$J$508,X$1)</f>
        <v>0</v>
      </c>
      <c r="Y170" s="207">
        <f>SUMIFS('январь 2023'!$G$4:$G$508,'январь 2023'!$D$4:$D$508,$B170,'январь 2023'!$J$4:$J$508,Y$1)</f>
        <v>0</v>
      </c>
      <c r="Z170" s="207">
        <f>SUMIFS('январь 2023'!$G$4:$G$508,'январь 2023'!$D$4:$D$508,$B170,'январь 2023'!$J$4:$J$508,Z$1)</f>
        <v>0</v>
      </c>
      <c r="AA170" s="207">
        <f>SUMIFS('январь 2023'!$G$4:$G$508,'январь 2023'!$D$4:$D$508,$B170,'январь 2023'!$J$4:$J$508,AA$1)</f>
        <v>0</v>
      </c>
      <c r="AB170" s="207">
        <f>SUMIFS('январь 2023'!$G$4:$G$508,'январь 2023'!$D$4:$D$508,$B170,'январь 2023'!$J$4:$J$508,AB$1)</f>
        <v>0</v>
      </c>
      <c r="AC170" s="207">
        <f>SUMIFS('январь 2023'!$G$4:$G$508,'январь 2023'!$D$4:$D$508,$B170,'январь 2023'!$J$4:$J$508,AC$1)</f>
        <v>0</v>
      </c>
      <c r="AD170" s="207">
        <f>SUMIFS('январь 2023'!$G$4:$G$508,'январь 2023'!$D$4:$D$508,$B170,'январь 2023'!$J$4:$J$508,AD$1)</f>
        <v>0</v>
      </c>
      <c r="AE170" s="207">
        <f>SUMIFS('январь 2023'!$G$4:$G$508,'январь 2023'!$D$4:$D$508,$B170,'январь 2023'!$J$4:$J$508,AE$1)</f>
        <v>0</v>
      </c>
      <c r="AF170" s="207">
        <f>SUMIFS('январь 2023'!$G$4:$G$508,'январь 2023'!$D$4:$D$508,$B170,'январь 2023'!$J$4:$J$508,AF$1)</f>
        <v>0</v>
      </c>
      <c r="AG170" s="207">
        <f>SUMIFS('январь 2023'!$G$4:$G$508,'январь 2023'!$D$4:$D$508,$B170,'январь 2023'!$J$4:$J$508,AG$1)</f>
        <v>0</v>
      </c>
      <c r="AH170" s="207">
        <f>SUMIFS('январь 2023'!$G$4:$G$508,'январь 2023'!$D$4:$D$508,$B170,'январь 2023'!$J$4:$J$508,AH$1)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SUMIFS('январь 2023'!$G$4:$G$508,'январь 2023'!$D$4:$D$508,$B171,'январь 2023'!$J$4:$J$508,D$1)</f>
        <v>0</v>
      </c>
      <c r="E171" s="207">
        <f>SUMIFS('январь 2023'!$G$4:$G$508,'январь 2023'!$D$4:$D$508,$B171,'январь 2023'!$J$4:$J$508,E$1)</f>
        <v>0</v>
      </c>
      <c r="F171" s="207">
        <f>SUMIFS('январь 2023'!$G$4:$G$508,'январь 2023'!$D$4:$D$508,$B171,'январь 2023'!$J$4:$J$508,F$1)</f>
        <v>0</v>
      </c>
      <c r="G171" s="207">
        <f>SUMIFS('январь 2023'!$G$4:$G$508,'январь 2023'!$D$4:$D$508,$B171,'январь 2023'!$J$4:$J$508,G$1)</f>
        <v>0</v>
      </c>
      <c r="H171" s="207">
        <f>SUMIFS('январь 2023'!$G$4:$G$508,'январь 2023'!$D$4:$D$508,$B171,'январь 2023'!$J$4:$J$508,H$1)</f>
        <v>0</v>
      </c>
      <c r="I171" s="207">
        <f>SUMIFS('январь 2023'!$G$4:$G$508,'январь 2023'!$D$4:$D$508,$B171,'январь 2023'!$J$4:$J$508,I$1)</f>
        <v>0</v>
      </c>
      <c r="J171" s="207">
        <f>SUMIFS('январь 2023'!$G$4:$G$508,'январь 2023'!$D$4:$D$508,$B171,'январь 2023'!$J$4:$J$508,J$1)</f>
        <v>0</v>
      </c>
      <c r="K171" s="207">
        <f>SUMIFS('январь 2023'!$G$4:$G$508,'январь 2023'!$D$4:$D$508,$B171,'январь 2023'!$J$4:$J$508,K$1)</f>
        <v>0</v>
      </c>
      <c r="L171" s="207">
        <f>SUMIFS('январь 2023'!$G$4:$G$508,'январь 2023'!$D$4:$D$508,$B171,'январь 2023'!$J$4:$J$508,L$1)</f>
        <v>0</v>
      </c>
      <c r="M171" s="207">
        <f>SUMIFS('январь 2023'!$G$4:$G$508,'январь 2023'!$D$4:$D$508,$B171,'январь 2023'!$J$4:$J$508,M$1)</f>
        <v>0</v>
      </c>
      <c r="N171" s="207">
        <f>SUMIFS('январь 2023'!$G$4:$G$508,'январь 2023'!$D$4:$D$508,$B171,'январь 2023'!$J$4:$J$508,N$1)</f>
        <v>0</v>
      </c>
      <c r="O171" s="207">
        <f>SUMIFS('январь 2023'!$G$4:$G$508,'январь 2023'!$D$4:$D$508,$B171,'январь 2023'!$J$4:$J$508,O$1)</f>
        <v>0</v>
      </c>
      <c r="P171" s="207">
        <f>SUMIFS('январь 2023'!$G$4:$G$508,'январь 2023'!$D$4:$D$508,$B171,'январь 2023'!$J$4:$J$508,P$1)</f>
        <v>0</v>
      </c>
      <c r="Q171" s="207">
        <f>SUMIFS('январь 2023'!$G$4:$G$508,'январь 2023'!$D$4:$D$508,$B171,'январь 2023'!$J$4:$J$508,Q$1)</f>
        <v>0</v>
      </c>
      <c r="R171" s="207">
        <f>SUMIFS('январь 2023'!$G$4:$G$508,'январь 2023'!$D$4:$D$508,$B171,'январь 2023'!$J$4:$J$508,R$1)</f>
        <v>0</v>
      </c>
      <c r="S171" s="207">
        <f>SUMIFS('январь 2023'!$G$4:$G$508,'январь 2023'!$D$4:$D$508,$B171,'январь 2023'!$J$4:$J$508,S$1)</f>
        <v>0</v>
      </c>
      <c r="T171" s="207">
        <f>SUMIFS('январь 2023'!$G$4:$G$508,'январь 2023'!$D$4:$D$508,$B171,'январь 2023'!$J$4:$J$508,T$1)</f>
        <v>0</v>
      </c>
      <c r="U171" s="207">
        <f>SUMIFS('январь 2023'!$G$4:$G$508,'январь 2023'!$D$4:$D$508,$B171,'январь 2023'!$J$4:$J$508,U$1)</f>
        <v>0</v>
      </c>
      <c r="V171" s="207">
        <f>SUMIFS('январь 2023'!$G$4:$G$508,'январь 2023'!$D$4:$D$508,$B171,'январь 2023'!$J$4:$J$508,V$1)</f>
        <v>0</v>
      </c>
      <c r="W171" s="207">
        <f>SUMIFS('январь 2023'!$G$4:$G$508,'январь 2023'!$D$4:$D$508,$B171,'январь 2023'!$J$4:$J$508,W$1)</f>
        <v>0</v>
      </c>
      <c r="X171" s="207">
        <f>SUMIFS('январь 2023'!$G$4:$G$508,'январь 2023'!$D$4:$D$508,$B171,'январь 2023'!$J$4:$J$508,X$1)</f>
        <v>0</v>
      </c>
      <c r="Y171" s="207">
        <f>SUMIFS('январь 2023'!$G$4:$G$508,'январь 2023'!$D$4:$D$508,$B171,'январь 2023'!$J$4:$J$508,Y$1)</f>
        <v>0</v>
      </c>
      <c r="Z171" s="207">
        <f>SUMIFS('январь 2023'!$G$4:$G$508,'январь 2023'!$D$4:$D$508,$B171,'январь 2023'!$J$4:$J$508,Z$1)</f>
        <v>0</v>
      </c>
      <c r="AA171" s="207">
        <f>SUMIFS('январь 2023'!$G$4:$G$508,'январь 2023'!$D$4:$D$508,$B171,'январь 2023'!$J$4:$J$508,AA$1)</f>
        <v>0</v>
      </c>
      <c r="AB171" s="207">
        <f>SUMIFS('январь 2023'!$G$4:$G$508,'январь 2023'!$D$4:$D$508,$B171,'январь 2023'!$J$4:$J$508,AB$1)</f>
        <v>0</v>
      </c>
      <c r="AC171" s="207">
        <f>SUMIFS('январь 2023'!$G$4:$G$508,'январь 2023'!$D$4:$D$508,$B171,'январь 2023'!$J$4:$J$508,AC$1)</f>
        <v>0</v>
      </c>
      <c r="AD171" s="207">
        <f>SUMIFS('январь 2023'!$G$4:$G$508,'январь 2023'!$D$4:$D$508,$B171,'январь 2023'!$J$4:$J$508,AD$1)</f>
        <v>0</v>
      </c>
      <c r="AE171" s="207">
        <f>SUMIFS('январь 2023'!$G$4:$G$508,'январь 2023'!$D$4:$D$508,$B171,'январь 2023'!$J$4:$J$508,AE$1)</f>
        <v>0</v>
      </c>
      <c r="AF171" s="207">
        <f>SUMIFS('январь 2023'!$G$4:$G$508,'январь 2023'!$D$4:$D$508,$B171,'январь 2023'!$J$4:$J$508,AF$1)</f>
        <v>0</v>
      </c>
      <c r="AG171" s="207">
        <f>SUMIFS('январь 2023'!$G$4:$G$508,'январь 2023'!$D$4:$D$508,$B171,'январь 2023'!$J$4:$J$508,AG$1)</f>
        <v>0</v>
      </c>
      <c r="AH171" s="207">
        <f>SUMIFS('январь 2023'!$G$4:$G$508,'январь 2023'!$D$4:$D$508,$B171,'январь 2023'!$J$4:$J$508,AH$1)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SUMIFS('январь 2023'!$G$4:$G$508,'январь 2023'!$D$4:$D$508,$B172,'январь 2023'!$J$4:$J$508,D$1)</f>
        <v>0</v>
      </c>
      <c r="E172" s="207">
        <f>SUMIFS('январь 2023'!$G$4:$G$508,'январь 2023'!$D$4:$D$508,$B172,'январь 2023'!$J$4:$J$508,E$1)</f>
        <v>0</v>
      </c>
      <c r="F172" s="207">
        <f>SUMIFS('январь 2023'!$G$4:$G$508,'январь 2023'!$D$4:$D$508,$B172,'январь 2023'!$J$4:$J$508,F$1)</f>
        <v>0</v>
      </c>
      <c r="G172" s="207">
        <f>SUMIFS('январь 2023'!$G$4:$G$508,'январь 2023'!$D$4:$D$508,$B172,'январь 2023'!$J$4:$J$508,G$1)</f>
        <v>0</v>
      </c>
      <c r="H172" s="207">
        <f>SUMIFS('январь 2023'!$G$4:$G$508,'январь 2023'!$D$4:$D$508,$B172,'январь 2023'!$J$4:$J$508,H$1)</f>
        <v>0</v>
      </c>
      <c r="I172" s="207">
        <f>SUMIFS('январь 2023'!$G$4:$G$508,'январь 2023'!$D$4:$D$508,$B172,'январь 2023'!$J$4:$J$508,I$1)</f>
        <v>0</v>
      </c>
      <c r="J172" s="207">
        <f>SUMIFS('январь 2023'!$G$4:$G$508,'январь 2023'!$D$4:$D$508,$B172,'январь 2023'!$J$4:$J$508,J$1)</f>
        <v>0</v>
      </c>
      <c r="K172" s="207">
        <f>SUMIFS('январь 2023'!$G$4:$G$508,'январь 2023'!$D$4:$D$508,$B172,'январь 2023'!$J$4:$J$508,K$1)</f>
        <v>0</v>
      </c>
      <c r="L172" s="207">
        <f>SUMIFS('январь 2023'!$G$4:$G$508,'январь 2023'!$D$4:$D$508,$B172,'январь 2023'!$J$4:$J$508,L$1)</f>
        <v>0</v>
      </c>
      <c r="M172" s="207">
        <f>SUMIFS('январь 2023'!$G$4:$G$508,'январь 2023'!$D$4:$D$508,$B172,'январь 2023'!$J$4:$J$508,M$1)</f>
        <v>0</v>
      </c>
      <c r="N172" s="207">
        <f>SUMIFS('январь 2023'!$G$4:$G$508,'январь 2023'!$D$4:$D$508,$B172,'январь 2023'!$J$4:$J$508,N$1)</f>
        <v>0</v>
      </c>
      <c r="O172" s="207">
        <f>SUMIFS('январь 2023'!$G$4:$G$508,'январь 2023'!$D$4:$D$508,$B172,'январь 2023'!$J$4:$J$508,O$1)</f>
        <v>0</v>
      </c>
      <c r="P172" s="207">
        <f>SUMIFS('январь 2023'!$G$4:$G$508,'январь 2023'!$D$4:$D$508,$B172,'январь 2023'!$J$4:$J$508,P$1)</f>
        <v>0</v>
      </c>
      <c r="Q172" s="207">
        <f>SUMIFS('январь 2023'!$G$4:$G$508,'январь 2023'!$D$4:$D$508,$B172,'январь 2023'!$J$4:$J$508,Q$1)</f>
        <v>0</v>
      </c>
      <c r="R172" s="207">
        <f>SUMIFS('январь 2023'!$G$4:$G$508,'январь 2023'!$D$4:$D$508,$B172,'январь 2023'!$J$4:$J$508,R$1)</f>
        <v>0</v>
      </c>
      <c r="S172" s="207">
        <f>SUMIFS('январь 2023'!$G$4:$G$508,'январь 2023'!$D$4:$D$508,$B172,'январь 2023'!$J$4:$J$508,S$1)</f>
        <v>0</v>
      </c>
      <c r="T172" s="207">
        <f>SUMIFS('январь 2023'!$G$4:$G$508,'январь 2023'!$D$4:$D$508,$B172,'январь 2023'!$J$4:$J$508,T$1)</f>
        <v>0</v>
      </c>
      <c r="U172" s="207">
        <f>SUMIFS('январь 2023'!$G$4:$G$508,'январь 2023'!$D$4:$D$508,$B172,'январь 2023'!$J$4:$J$508,U$1)</f>
        <v>0</v>
      </c>
      <c r="V172" s="207">
        <f>SUMIFS('январь 2023'!$G$4:$G$508,'январь 2023'!$D$4:$D$508,$B172,'январь 2023'!$J$4:$J$508,V$1)</f>
        <v>0</v>
      </c>
      <c r="W172" s="207">
        <f>SUMIFS('январь 2023'!$G$4:$G$508,'январь 2023'!$D$4:$D$508,$B172,'январь 2023'!$J$4:$J$508,W$1)</f>
        <v>0</v>
      </c>
      <c r="X172" s="207">
        <f>SUMIFS('январь 2023'!$G$4:$G$508,'январь 2023'!$D$4:$D$508,$B172,'январь 2023'!$J$4:$J$508,X$1)</f>
        <v>0</v>
      </c>
      <c r="Y172" s="207">
        <f>SUMIFS('январь 2023'!$G$4:$G$508,'январь 2023'!$D$4:$D$508,$B172,'январь 2023'!$J$4:$J$508,Y$1)</f>
        <v>0</v>
      </c>
      <c r="Z172" s="207">
        <f>SUMIFS('январь 2023'!$G$4:$G$508,'январь 2023'!$D$4:$D$508,$B172,'январь 2023'!$J$4:$J$508,Z$1)</f>
        <v>0</v>
      </c>
      <c r="AA172" s="207">
        <f>SUMIFS('январь 2023'!$G$4:$G$508,'январь 2023'!$D$4:$D$508,$B172,'январь 2023'!$J$4:$J$508,AA$1)</f>
        <v>0</v>
      </c>
      <c r="AB172" s="207">
        <f>SUMIFS('январь 2023'!$G$4:$G$508,'январь 2023'!$D$4:$D$508,$B172,'январь 2023'!$J$4:$J$508,AB$1)</f>
        <v>0</v>
      </c>
      <c r="AC172" s="207">
        <f>SUMIFS('январь 2023'!$G$4:$G$508,'январь 2023'!$D$4:$D$508,$B172,'январь 2023'!$J$4:$J$508,AC$1)</f>
        <v>0</v>
      </c>
      <c r="AD172" s="207">
        <f>SUMIFS('январь 2023'!$G$4:$G$508,'январь 2023'!$D$4:$D$508,$B172,'январь 2023'!$J$4:$J$508,AD$1)</f>
        <v>0</v>
      </c>
      <c r="AE172" s="207">
        <f>SUMIFS('январь 2023'!$G$4:$G$508,'январь 2023'!$D$4:$D$508,$B172,'январь 2023'!$J$4:$J$508,AE$1)</f>
        <v>0</v>
      </c>
      <c r="AF172" s="207">
        <f>SUMIFS('январь 2023'!$G$4:$G$508,'январь 2023'!$D$4:$D$508,$B172,'январь 2023'!$J$4:$J$508,AF$1)</f>
        <v>0</v>
      </c>
      <c r="AG172" s="207">
        <f>SUMIFS('январь 2023'!$G$4:$G$508,'январь 2023'!$D$4:$D$508,$B172,'январь 2023'!$J$4:$J$508,AG$1)</f>
        <v>0</v>
      </c>
      <c r="AH172" s="207">
        <f>SUMIFS('январь 2023'!$G$4:$G$508,'январь 2023'!$D$4:$D$508,$B172,'январь 2023'!$J$4:$J$508,AH$1)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SUMIFS('январь 2023'!$G$4:$G$508,'январь 2023'!$D$4:$D$508,$B173,'январь 2023'!$J$4:$J$508,D$1)</f>
        <v>0</v>
      </c>
      <c r="E173" s="207">
        <f>SUMIFS('январь 2023'!$G$4:$G$508,'январь 2023'!$D$4:$D$508,$B173,'январь 2023'!$J$4:$J$508,E$1)</f>
        <v>0</v>
      </c>
      <c r="F173" s="207">
        <f>SUMIFS('январь 2023'!$G$4:$G$508,'январь 2023'!$D$4:$D$508,$B173,'январь 2023'!$J$4:$J$508,F$1)</f>
        <v>0</v>
      </c>
      <c r="G173" s="207">
        <f>SUMIFS('январь 2023'!$G$4:$G$508,'январь 2023'!$D$4:$D$508,$B173,'январь 2023'!$J$4:$J$508,G$1)</f>
        <v>0</v>
      </c>
      <c r="H173" s="207">
        <f>SUMIFS('январь 2023'!$G$4:$G$508,'январь 2023'!$D$4:$D$508,$B173,'январь 2023'!$J$4:$J$508,H$1)</f>
        <v>0</v>
      </c>
      <c r="I173" s="207">
        <f>SUMIFS('январь 2023'!$G$4:$G$508,'январь 2023'!$D$4:$D$508,$B173,'январь 2023'!$J$4:$J$508,I$1)</f>
        <v>0</v>
      </c>
      <c r="J173" s="207">
        <f>SUMIFS('январь 2023'!$G$4:$G$508,'январь 2023'!$D$4:$D$508,$B173,'январь 2023'!$J$4:$J$508,J$1)</f>
        <v>0</v>
      </c>
      <c r="K173" s="207">
        <f>SUMIFS('январь 2023'!$G$4:$G$508,'январь 2023'!$D$4:$D$508,$B173,'январь 2023'!$J$4:$J$508,K$1)</f>
        <v>0</v>
      </c>
      <c r="L173" s="207">
        <f>SUMIFS('январь 2023'!$G$4:$G$508,'январь 2023'!$D$4:$D$508,$B173,'январь 2023'!$J$4:$J$508,L$1)</f>
        <v>0</v>
      </c>
      <c r="M173" s="207">
        <f>SUMIFS('январь 2023'!$G$4:$G$508,'январь 2023'!$D$4:$D$508,$B173,'январь 2023'!$J$4:$J$508,M$1)</f>
        <v>0</v>
      </c>
      <c r="N173" s="207">
        <f>SUMIFS('январь 2023'!$G$4:$G$508,'январь 2023'!$D$4:$D$508,$B173,'январь 2023'!$J$4:$J$508,N$1)</f>
        <v>0</v>
      </c>
      <c r="O173" s="207">
        <f>SUMIFS('январь 2023'!$G$4:$G$508,'январь 2023'!$D$4:$D$508,$B173,'январь 2023'!$J$4:$J$508,O$1)</f>
        <v>0</v>
      </c>
      <c r="P173" s="207">
        <f>SUMIFS('январь 2023'!$G$4:$G$508,'январь 2023'!$D$4:$D$508,$B173,'январь 2023'!$J$4:$J$508,P$1)</f>
        <v>0</v>
      </c>
      <c r="Q173" s="207">
        <f>SUMIFS('январь 2023'!$G$4:$G$508,'январь 2023'!$D$4:$D$508,$B173,'январь 2023'!$J$4:$J$508,Q$1)</f>
        <v>0</v>
      </c>
      <c r="R173" s="207">
        <f>SUMIFS('январь 2023'!$G$4:$G$508,'январь 2023'!$D$4:$D$508,$B173,'январь 2023'!$J$4:$J$508,R$1)</f>
        <v>0</v>
      </c>
      <c r="S173" s="207">
        <f>SUMIFS('январь 2023'!$G$4:$G$508,'январь 2023'!$D$4:$D$508,$B173,'январь 2023'!$J$4:$J$508,S$1)</f>
        <v>0</v>
      </c>
      <c r="T173" s="207">
        <f>SUMIFS('январь 2023'!$G$4:$G$508,'январь 2023'!$D$4:$D$508,$B173,'январь 2023'!$J$4:$J$508,T$1)</f>
        <v>0</v>
      </c>
      <c r="U173" s="207">
        <f>SUMIFS('январь 2023'!$G$4:$G$508,'январь 2023'!$D$4:$D$508,$B173,'январь 2023'!$J$4:$J$508,U$1)</f>
        <v>0</v>
      </c>
      <c r="V173" s="207">
        <f>SUMIFS('январь 2023'!$G$4:$G$508,'январь 2023'!$D$4:$D$508,$B173,'январь 2023'!$J$4:$J$508,V$1)</f>
        <v>0</v>
      </c>
      <c r="W173" s="207">
        <f>SUMIFS('январь 2023'!$G$4:$G$508,'январь 2023'!$D$4:$D$508,$B173,'январь 2023'!$J$4:$J$508,W$1)</f>
        <v>0</v>
      </c>
      <c r="X173" s="207">
        <f>SUMIFS('январь 2023'!$G$4:$G$508,'январь 2023'!$D$4:$D$508,$B173,'январь 2023'!$J$4:$J$508,X$1)</f>
        <v>0</v>
      </c>
      <c r="Y173" s="207">
        <f>SUMIFS('январь 2023'!$G$4:$G$508,'январь 2023'!$D$4:$D$508,$B173,'январь 2023'!$J$4:$J$508,Y$1)</f>
        <v>0</v>
      </c>
      <c r="Z173" s="207">
        <f>SUMIFS('январь 2023'!$G$4:$G$508,'январь 2023'!$D$4:$D$508,$B173,'январь 2023'!$J$4:$J$508,Z$1)</f>
        <v>0</v>
      </c>
      <c r="AA173" s="207">
        <f>SUMIFS('январь 2023'!$G$4:$G$508,'январь 2023'!$D$4:$D$508,$B173,'январь 2023'!$J$4:$J$508,AA$1)</f>
        <v>0</v>
      </c>
      <c r="AB173" s="207">
        <f>SUMIFS('январь 2023'!$G$4:$G$508,'январь 2023'!$D$4:$D$508,$B173,'январь 2023'!$J$4:$J$508,AB$1)</f>
        <v>0</v>
      </c>
      <c r="AC173" s="207">
        <f>SUMIFS('январь 2023'!$G$4:$G$508,'январь 2023'!$D$4:$D$508,$B173,'январь 2023'!$J$4:$J$508,AC$1)</f>
        <v>0</v>
      </c>
      <c r="AD173" s="207">
        <f>SUMIFS('январь 2023'!$G$4:$G$508,'январь 2023'!$D$4:$D$508,$B173,'январь 2023'!$J$4:$J$508,AD$1)</f>
        <v>0</v>
      </c>
      <c r="AE173" s="207">
        <f>SUMIFS('январь 2023'!$G$4:$G$508,'январь 2023'!$D$4:$D$508,$B173,'январь 2023'!$J$4:$J$508,AE$1)</f>
        <v>0</v>
      </c>
      <c r="AF173" s="207">
        <f>SUMIFS('январь 2023'!$G$4:$G$508,'январь 2023'!$D$4:$D$508,$B173,'январь 2023'!$J$4:$J$508,AF$1)</f>
        <v>0</v>
      </c>
      <c r="AG173" s="207">
        <f>SUMIFS('январь 2023'!$G$4:$G$508,'январь 2023'!$D$4:$D$508,$B173,'январь 2023'!$J$4:$J$508,AG$1)</f>
        <v>0</v>
      </c>
      <c r="AH173" s="207">
        <f>SUMIFS('январь 2023'!$G$4:$G$508,'январь 2023'!$D$4:$D$508,$B173,'январь 2023'!$J$4:$J$508,AH$1)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SUMIFS('январь 2023'!$G$4:$G$508,'январь 2023'!$D$4:$D$508,$B174,'январь 2023'!$J$4:$J$508,D$1)</f>
        <v>0</v>
      </c>
      <c r="E174" s="207">
        <f>SUMIFS('январь 2023'!$G$4:$G$508,'январь 2023'!$D$4:$D$508,$B174,'январь 2023'!$J$4:$J$508,E$1)</f>
        <v>0</v>
      </c>
      <c r="F174" s="207">
        <f>SUMIFS('январь 2023'!$G$4:$G$508,'январь 2023'!$D$4:$D$508,$B174,'январь 2023'!$J$4:$J$508,F$1)</f>
        <v>0</v>
      </c>
      <c r="G174" s="207">
        <f>SUMIFS('январь 2023'!$G$4:$G$508,'январь 2023'!$D$4:$D$508,$B174,'январь 2023'!$J$4:$J$508,G$1)</f>
        <v>0</v>
      </c>
      <c r="H174" s="207">
        <f>SUMIFS('январь 2023'!$G$4:$G$508,'январь 2023'!$D$4:$D$508,$B174,'январь 2023'!$J$4:$J$508,H$1)</f>
        <v>0</v>
      </c>
      <c r="I174" s="207">
        <f>SUMIFS('январь 2023'!$G$4:$G$508,'январь 2023'!$D$4:$D$508,$B174,'январь 2023'!$J$4:$J$508,I$1)</f>
        <v>0</v>
      </c>
      <c r="J174" s="207">
        <f>SUMIFS('январь 2023'!$G$4:$G$508,'январь 2023'!$D$4:$D$508,$B174,'январь 2023'!$J$4:$J$508,J$1)</f>
        <v>0</v>
      </c>
      <c r="K174" s="207">
        <f>SUMIFS('январь 2023'!$G$4:$G$508,'январь 2023'!$D$4:$D$508,$B174,'январь 2023'!$J$4:$J$508,K$1)</f>
        <v>0</v>
      </c>
      <c r="L174" s="207">
        <f>SUMIFS('январь 2023'!$G$4:$G$508,'январь 2023'!$D$4:$D$508,$B174,'январь 2023'!$J$4:$J$508,L$1)</f>
        <v>0</v>
      </c>
      <c r="M174" s="207">
        <f>SUMIFS('январь 2023'!$G$4:$G$508,'январь 2023'!$D$4:$D$508,$B174,'январь 2023'!$J$4:$J$508,M$1)</f>
        <v>0</v>
      </c>
      <c r="N174" s="207">
        <f>SUMIFS('январь 2023'!$G$4:$G$508,'январь 2023'!$D$4:$D$508,$B174,'январь 2023'!$J$4:$J$508,N$1)</f>
        <v>0</v>
      </c>
      <c r="O174" s="207">
        <f>SUMIFS('январь 2023'!$G$4:$G$508,'январь 2023'!$D$4:$D$508,$B174,'январь 2023'!$J$4:$J$508,O$1)</f>
        <v>0</v>
      </c>
      <c r="P174" s="207">
        <f>SUMIFS('январь 2023'!$G$4:$G$508,'январь 2023'!$D$4:$D$508,$B174,'январь 2023'!$J$4:$J$508,P$1)</f>
        <v>0</v>
      </c>
      <c r="Q174" s="207">
        <f>SUMIFS('январь 2023'!$G$4:$G$508,'январь 2023'!$D$4:$D$508,$B174,'январь 2023'!$J$4:$J$508,Q$1)</f>
        <v>0</v>
      </c>
      <c r="R174" s="207">
        <f>SUMIFS('январь 2023'!$G$4:$G$508,'январь 2023'!$D$4:$D$508,$B174,'январь 2023'!$J$4:$J$508,R$1)</f>
        <v>0</v>
      </c>
      <c r="S174" s="207">
        <f>SUMIFS('январь 2023'!$G$4:$G$508,'январь 2023'!$D$4:$D$508,$B174,'январь 2023'!$J$4:$J$508,S$1)</f>
        <v>0</v>
      </c>
      <c r="T174" s="207">
        <f>SUMIFS('январь 2023'!$G$4:$G$508,'январь 2023'!$D$4:$D$508,$B174,'январь 2023'!$J$4:$J$508,T$1)</f>
        <v>0</v>
      </c>
      <c r="U174" s="207">
        <f>SUMIFS('январь 2023'!$G$4:$G$508,'январь 2023'!$D$4:$D$508,$B174,'январь 2023'!$J$4:$J$508,U$1)</f>
        <v>0</v>
      </c>
      <c r="V174" s="207">
        <f>SUMIFS('январь 2023'!$G$4:$G$508,'январь 2023'!$D$4:$D$508,$B174,'январь 2023'!$J$4:$J$508,V$1)</f>
        <v>0</v>
      </c>
      <c r="W174" s="207">
        <f>SUMIFS('январь 2023'!$G$4:$G$508,'январь 2023'!$D$4:$D$508,$B174,'январь 2023'!$J$4:$J$508,W$1)</f>
        <v>0</v>
      </c>
      <c r="X174" s="207">
        <f>SUMIFS('январь 2023'!$G$4:$G$508,'январь 2023'!$D$4:$D$508,$B174,'январь 2023'!$J$4:$J$508,X$1)</f>
        <v>0</v>
      </c>
      <c r="Y174" s="207">
        <f>SUMIFS('январь 2023'!$G$4:$G$508,'январь 2023'!$D$4:$D$508,$B174,'январь 2023'!$J$4:$J$508,Y$1)</f>
        <v>0</v>
      </c>
      <c r="Z174" s="207">
        <f>SUMIFS('январь 2023'!$G$4:$G$508,'январь 2023'!$D$4:$D$508,$B174,'январь 2023'!$J$4:$J$508,Z$1)</f>
        <v>0</v>
      </c>
      <c r="AA174" s="207">
        <f>SUMIFS('январь 2023'!$G$4:$G$508,'январь 2023'!$D$4:$D$508,$B174,'январь 2023'!$J$4:$J$508,AA$1)</f>
        <v>0</v>
      </c>
      <c r="AB174" s="207">
        <f>SUMIFS('январь 2023'!$G$4:$G$508,'январь 2023'!$D$4:$D$508,$B174,'январь 2023'!$J$4:$J$508,AB$1)</f>
        <v>0</v>
      </c>
      <c r="AC174" s="207">
        <f>SUMIFS('январь 2023'!$G$4:$G$508,'январь 2023'!$D$4:$D$508,$B174,'январь 2023'!$J$4:$J$508,AC$1)</f>
        <v>0</v>
      </c>
      <c r="AD174" s="207">
        <f>SUMIFS('январь 2023'!$G$4:$G$508,'январь 2023'!$D$4:$D$508,$B174,'январь 2023'!$J$4:$J$508,AD$1)</f>
        <v>0</v>
      </c>
      <c r="AE174" s="207">
        <f>SUMIFS('январь 2023'!$G$4:$G$508,'январь 2023'!$D$4:$D$508,$B174,'январь 2023'!$J$4:$J$508,AE$1)</f>
        <v>0</v>
      </c>
      <c r="AF174" s="207">
        <f>SUMIFS('январь 2023'!$G$4:$G$508,'январь 2023'!$D$4:$D$508,$B174,'январь 2023'!$J$4:$J$508,AF$1)</f>
        <v>0</v>
      </c>
      <c r="AG174" s="207">
        <f>SUMIFS('январь 2023'!$G$4:$G$508,'январь 2023'!$D$4:$D$508,$B174,'январь 2023'!$J$4:$J$508,AG$1)</f>
        <v>0</v>
      </c>
      <c r="AH174" s="207">
        <f>SUMIFS('январь 2023'!$G$4:$G$508,'январь 2023'!$D$4:$D$508,$B174,'январь 2023'!$J$4:$J$508,AH$1)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SUMIFS('январь 2023'!$G$4:$G$508,'январь 2023'!$D$4:$D$508,$B175,'январь 2023'!$J$4:$J$508,D$1)</f>
        <v>0</v>
      </c>
      <c r="E175" s="207">
        <f>SUMIFS('январь 2023'!$G$4:$G$508,'январь 2023'!$D$4:$D$508,$B175,'январь 2023'!$J$4:$J$508,E$1)</f>
        <v>0</v>
      </c>
      <c r="F175" s="207">
        <f>SUMIFS('январь 2023'!$G$4:$G$508,'январь 2023'!$D$4:$D$508,$B175,'январь 2023'!$J$4:$J$508,F$1)</f>
        <v>0</v>
      </c>
      <c r="G175" s="207">
        <f>SUMIFS('январь 2023'!$G$4:$G$508,'январь 2023'!$D$4:$D$508,$B175,'январь 2023'!$J$4:$J$508,G$1)</f>
        <v>0</v>
      </c>
      <c r="H175" s="207">
        <f>SUMIFS('январь 2023'!$G$4:$G$508,'январь 2023'!$D$4:$D$508,$B175,'январь 2023'!$J$4:$J$508,H$1)</f>
        <v>0</v>
      </c>
      <c r="I175" s="207">
        <f>SUMIFS('январь 2023'!$G$4:$G$508,'январь 2023'!$D$4:$D$508,$B175,'январь 2023'!$J$4:$J$508,I$1)</f>
        <v>0</v>
      </c>
      <c r="J175" s="207">
        <f>SUMIFS('январь 2023'!$G$4:$G$508,'январь 2023'!$D$4:$D$508,$B175,'январь 2023'!$J$4:$J$508,J$1)</f>
        <v>0</v>
      </c>
      <c r="K175" s="207">
        <f>SUMIFS('январь 2023'!$G$4:$G$508,'январь 2023'!$D$4:$D$508,$B175,'январь 2023'!$J$4:$J$508,K$1)</f>
        <v>0</v>
      </c>
      <c r="L175" s="207">
        <f>SUMIFS('январь 2023'!$G$4:$G$508,'январь 2023'!$D$4:$D$508,$B175,'январь 2023'!$J$4:$J$508,L$1)</f>
        <v>0</v>
      </c>
      <c r="M175" s="207">
        <f>SUMIFS('январь 2023'!$G$4:$G$508,'январь 2023'!$D$4:$D$508,$B175,'январь 2023'!$J$4:$J$508,M$1)</f>
        <v>0</v>
      </c>
      <c r="N175" s="207">
        <f>SUMIFS('январь 2023'!$G$4:$G$508,'январь 2023'!$D$4:$D$508,$B175,'январь 2023'!$J$4:$J$508,N$1)</f>
        <v>0</v>
      </c>
      <c r="O175" s="207">
        <f>SUMIFS('январь 2023'!$G$4:$G$508,'январь 2023'!$D$4:$D$508,$B175,'январь 2023'!$J$4:$J$508,O$1)</f>
        <v>0</v>
      </c>
      <c r="P175" s="207">
        <f>SUMIFS('январь 2023'!$G$4:$G$508,'январь 2023'!$D$4:$D$508,$B175,'январь 2023'!$J$4:$J$508,P$1)</f>
        <v>0</v>
      </c>
      <c r="Q175" s="207">
        <f>SUMIFS('январь 2023'!$G$4:$G$508,'январь 2023'!$D$4:$D$508,$B175,'январь 2023'!$J$4:$J$508,Q$1)</f>
        <v>0</v>
      </c>
      <c r="R175" s="207">
        <f>SUMIFS('январь 2023'!$G$4:$G$508,'январь 2023'!$D$4:$D$508,$B175,'январь 2023'!$J$4:$J$508,R$1)</f>
        <v>0</v>
      </c>
      <c r="S175" s="207">
        <f>SUMIFS('январь 2023'!$G$4:$G$508,'январь 2023'!$D$4:$D$508,$B175,'январь 2023'!$J$4:$J$508,S$1)</f>
        <v>0</v>
      </c>
      <c r="T175" s="207">
        <f>SUMIFS('январь 2023'!$G$4:$G$508,'январь 2023'!$D$4:$D$508,$B175,'январь 2023'!$J$4:$J$508,T$1)</f>
        <v>0</v>
      </c>
      <c r="U175" s="207">
        <f>SUMIFS('январь 2023'!$G$4:$G$508,'январь 2023'!$D$4:$D$508,$B175,'январь 2023'!$J$4:$J$508,U$1)</f>
        <v>0</v>
      </c>
      <c r="V175" s="207">
        <f>SUMIFS('январь 2023'!$G$4:$G$508,'январь 2023'!$D$4:$D$508,$B175,'январь 2023'!$J$4:$J$508,V$1)</f>
        <v>0</v>
      </c>
      <c r="W175" s="207">
        <f>SUMIFS('январь 2023'!$G$4:$G$508,'январь 2023'!$D$4:$D$508,$B175,'январь 2023'!$J$4:$J$508,W$1)</f>
        <v>0</v>
      </c>
      <c r="X175" s="207">
        <f>SUMIFS('январь 2023'!$G$4:$G$508,'январь 2023'!$D$4:$D$508,$B175,'январь 2023'!$J$4:$J$508,X$1)</f>
        <v>0</v>
      </c>
      <c r="Y175" s="207">
        <f>SUMIFS('январь 2023'!$G$4:$G$508,'январь 2023'!$D$4:$D$508,$B175,'январь 2023'!$J$4:$J$508,Y$1)</f>
        <v>0</v>
      </c>
      <c r="Z175" s="207">
        <f>SUMIFS('январь 2023'!$G$4:$G$508,'январь 2023'!$D$4:$D$508,$B175,'январь 2023'!$J$4:$J$508,Z$1)</f>
        <v>0</v>
      </c>
      <c r="AA175" s="207">
        <f>SUMIFS('январь 2023'!$G$4:$G$508,'январь 2023'!$D$4:$D$508,$B175,'январь 2023'!$J$4:$J$508,AA$1)</f>
        <v>0</v>
      </c>
      <c r="AB175" s="207">
        <f>SUMIFS('январь 2023'!$G$4:$G$508,'январь 2023'!$D$4:$D$508,$B175,'январь 2023'!$J$4:$J$508,AB$1)</f>
        <v>0</v>
      </c>
      <c r="AC175" s="207">
        <f>SUMIFS('январь 2023'!$G$4:$G$508,'январь 2023'!$D$4:$D$508,$B175,'январь 2023'!$J$4:$J$508,AC$1)</f>
        <v>0</v>
      </c>
      <c r="AD175" s="207">
        <f>SUMIFS('январь 2023'!$G$4:$G$508,'январь 2023'!$D$4:$D$508,$B175,'январь 2023'!$J$4:$J$508,AD$1)</f>
        <v>0</v>
      </c>
      <c r="AE175" s="207">
        <f>SUMIFS('январь 2023'!$G$4:$G$508,'январь 2023'!$D$4:$D$508,$B175,'январь 2023'!$J$4:$J$508,AE$1)</f>
        <v>0</v>
      </c>
      <c r="AF175" s="207">
        <f>SUMIFS('январь 2023'!$G$4:$G$508,'январь 2023'!$D$4:$D$508,$B175,'январь 2023'!$J$4:$J$508,AF$1)</f>
        <v>0</v>
      </c>
      <c r="AG175" s="207">
        <f>SUMIFS('январь 2023'!$G$4:$G$508,'январь 2023'!$D$4:$D$508,$B175,'январь 2023'!$J$4:$J$508,AG$1)</f>
        <v>0</v>
      </c>
      <c r="AH175" s="207">
        <f>SUMIFS('январь 2023'!$G$4:$G$508,'январь 2023'!$D$4:$D$508,$B175,'январь 2023'!$J$4:$J$508,AH$1)</f>
        <v>0</v>
      </c>
      <c r="AI175" s="220">
        <f t="shared" si="4"/>
        <v>0</v>
      </c>
    </row>
    <row r="176" spans="2:35" ht="15.75" x14ac:dyDescent="0.25">
      <c r="B176" s="212"/>
      <c r="C176" s="221"/>
      <c r="D176" s="207">
        <f>SUMIFS('январь 2023'!$G$4:$G$508,'январь 2023'!$D$4:$D$508,$B176,'январь 2023'!$J$4:$J$508,D$1)</f>
        <v>0</v>
      </c>
      <c r="E176" s="207">
        <f>SUMIFS('январь 2023'!$G$4:$G$508,'январь 2023'!$D$4:$D$508,$B176,'январь 2023'!$J$4:$J$508,E$1)</f>
        <v>0</v>
      </c>
      <c r="F176" s="207">
        <f>SUMIFS('январь 2023'!$G$4:$G$508,'январь 2023'!$D$4:$D$508,$B176,'январь 2023'!$J$4:$J$508,F$1)</f>
        <v>0</v>
      </c>
      <c r="G176" s="207">
        <f>SUMIFS('январь 2023'!$G$4:$G$508,'январь 2023'!$D$4:$D$508,$B176,'январь 2023'!$J$4:$J$508,G$1)</f>
        <v>0</v>
      </c>
      <c r="H176" s="207">
        <f>SUMIFS('январь 2023'!$G$4:$G$508,'январь 2023'!$D$4:$D$508,$B176,'январь 2023'!$J$4:$J$508,H$1)</f>
        <v>0</v>
      </c>
      <c r="I176" s="207">
        <f>SUMIFS('январь 2023'!$G$4:$G$508,'январь 2023'!$D$4:$D$508,$B176,'январь 2023'!$J$4:$J$508,I$1)</f>
        <v>0</v>
      </c>
      <c r="J176" s="207">
        <f>SUMIFS('январь 2023'!$G$4:$G$508,'январь 2023'!$D$4:$D$508,$B176,'январь 2023'!$J$4:$J$508,J$1)</f>
        <v>0</v>
      </c>
      <c r="K176" s="207">
        <f>SUMIFS('январь 2023'!$G$4:$G$508,'январь 2023'!$D$4:$D$508,$B176,'январь 2023'!$J$4:$J$508,K$1)</f>
        <v>0</v>
      </c>
      <c r="L176" s="207">
        <f>SUMIFS('январь 2023'!$G$4:$G$508,'январь 2023'!$D$4:$D$508,$B176,'январь 2023'!$J$4:$J$508,L$1)</f>
        <v>0</v>
      </c>
      <c r="M176" s="207">
        <f>SUMIFS('январь 2023'!$G$4:$G$508,'январь 2023'!$D$4:$D$508,$B176,'январь 2023'!$J$4:$J$508,M$1)</f>
        <v>0</v>
      </c>
      <c r="N176" s="207">
        <f>SUMIFS('январь 2023'!$G$4:$G$508,'январь 2023'!$D$4:$D$508,$B176,'январь 2023'!$J$4:$J$508,N$1)</f>
        <v>0</v>
      </c>
      <c r="O176" s="207">
        <f>SUMIFS('январь 2023'!$G$4:$G$508,'январь 2023'!$D$4:$D$508,$B176,'январь 2023'!$J$4:$J$508,O$1)</f>
        <v>0</v>
      </c>
      <c r="P176" s="207">
        <f>SUMIFS('январь 2023'!$G$4:$G$508,'январь 2023'!$D$4:$D$508,$B176,'январь 2023'!$J$4:$J$508,P$1)</f>
        <v>0</v>
      </c>
      <c r="Q176" s="207">
        <f>SUMIFS('январь 2023'!$G$4:$G$508,'январь 2023'!$D$4:$D$508,$B176,'январь 2023'!$J$4:$J$508,Q$1)</f>
        <v>0</v>
      </c>
      <c r="R176" s="207">
        <f>SUMIFS('январь 2023'!$G$4:$G$508,'январь 2023'!$D$4:$D$508,$B176,'январь 2023'!$J$4:$J$508,R$1)</f>
        <v>0</v>
      </c>
      <c r="S176" s="207">
        <f>SUMIFS('январь 2023'!$G$4:$G$508,'январь 2023'!$D$4:$D$508,$B176,'январь 2023'!$J$4:$J$508,S$1)</f>
        <v>0</v>
      </c>
      <c r="T176" s="207">
        <f>SUMIFS('январь 2023'!$G$4:$G$508,'январь 2023'!$D$4:$D$508,$B176,'январь 2023'!$J$4:$J$508,T$1)</f>
        <v>0</v>
      </c>
      <c r="U176" s="207">
        <f>SUMIFS('январь 2023'!$G$4:$G$508,'январь 2023'!$D$4:$D$508,$B176,'январь 2023'!$J$4:$J$508,U$1)</f>
        <v>0</v>
      </c>
      <c r="V176" s="207">
        <f>SUMIFS('январь 2023'!$G$4:$G$508,'январь 2023'!$D$4:$D$508,$B176,'январь 2023'!$J$4:$J$508,V$1)</f>
        <v>0</v>
      </c>
      <c r="W176" s="207">
        <f>SUMIFS('январь 2023'!$G$4:$G$508,'январь 2023'!$D$4:$D$508,$B176,'январь 2023'!$J$4:$J$508,W$1)</f>
        <v>0</v>
      </c>
      <c r="X176" s="207">
        <f>SUMIFS('январь 2023'!$G$4:$G$508,'январь 2023'!$D$4:$D$508,$B176,'январь 2023'!$J$4:$J$508,X$1)</f>
        <v>0</v>
      </c>
      <c r="Y176" s="207">
        <f>SUMIFS('январь 2023'!$G$4:$G$508,'январь 2023'!$D$4:$D$508,$B176,'январь 2023'!$J$4:$J$508,Y$1)</f>
        <v>0</v>
      </c>
      <c r="Z176" s="207">
        <f>SUMIFS('январь 2023'!$G$4:$G$508,'январь 2023'!$D$4:$D$508,$B176,'январь 2023'!$J$4:$J$508,Z$1)</f>
        <v>0</v>
      </c>
      <c r="AA176" s="207">
        <f>SUMIFS('январь 2023'!$G$4:$G$508,'январь 2023'!$D$4:$D$508,$B176,'январь 2023'!$J$4:$J$508,AA$1)</f>
        <v>0</v>
      </c>
      <c r="AB176" s="207">
        <f>SUMIFS('январь 2023'!$G$4:$G$508,'январь 2023'!$D$4:$D$508,$B176,'январь 2023'!$J$4:$J$508,AB$1)</f>
        <v>0</v>
      </c>
      <c r="AC176" s="207">
        <f>SUMIFS('январь 2023'!$G$4:$G$508,'январь 2023'!$D$4:$D$508,$B176,'январь 2023'!$J$4:$J$508,AC$1)</f>
        <v>0</v>
      </c>
      <c r="AD176" s="207">
        <f>SUMIFS('январь 2023'!$G$4:$G$508,'январь 2023'!$D$4:$D$508,$B176,'январь 2023'!$J$4:$J$508,AD$1)</f>
        <v>0</v>
      </c>
      <c r="AE176" s="207">
        <f>SUMIFS('январь 2023'!$G$4:$G$508,'январь 2023'!$D$4:$D$508,$B176,'январь 2023'!$J$4:$J$508,AE$1)</f>
        <v>0</v>
      </c>
      <c r="AF176" s="207">
        <f>SUMIFS('январь 2023'!$G$4:$G$508,'январь 2023'!$D$4:$D$508,$B176,'январь 2023'!$J$4:$J$508,AF$1)</f>
        <v>0</v>
      </c>
      <c r="AG176" s="207">
        <f>SUMIFS('январь 2023'!$G$4:$G$508,'январь 2023'!$D$4:$D$508,$B176,'январь 2023'!$J$4:$J$508,AG$1)</f>
        <v>0</v>
      </c>
      <c r="AH176" s="207">
        <f>SUMIFS('январь 2023'!$G$4:$G$508,'январь 2023'!$D$4:$D$508,$B176,'январь 2023'!$J$4:$J$508,AH$1)</f>
        <v>0</v>
      </c>
      <c r="AI176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0000000}">
          <x14:formula1>
            <xm:f>справочник!$E$4:$E$159</xm:f>
          </x14:formula1>
          <xm:sqref>B3:B176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17"/>
  <dimension ref="B1:AI176"/>
  <sheetViews>
    <sheetView showZeros="0" topLeftCell="A20" zoomScale="70" workbookViewId="0">
      <selection activeCell="A38" sqref="A38:XFD38"/>
    </sheetView>
  </sheetViews>
  <sheetFormatPr defaultRowHeight="15" x14ac:dyDescent="0.25"/>
  <cols>
    <col min="1" max="1" width="2.140625" customWidth="1"/>
    <col min="2" max="2" width="35.28515625" bestFit="1" customWidth="1"/>
    <col min="4" max="34" width="6.7109375" customWidth="1"/>
  </cols>
  <sheetData>
    <row r="1" spans="2:35" ht="15" customHeight="1" x14ac:dyDescent="0.25">
      <c r="B1" s="191">
        <v>44927</v>
      </c>
      <c r="C1" s="192"/>
      <c r="D1" s="157">
        <f>B1</f>
        <v>44927</v>
      </c>
      <c r="E1" s="157">
        <f>D1+1</f>
        <v>44928</v>
      </c>
      <c r="F1" s="157">
        <f t="shared" ref="F1:AH1" si="0">E1+1</f>
        <v>44929</v>
      </c>
      <c r="G1" s="157">
        <f t="shared" si="0"/>
        <v>44930</v>
      </c>
      <c r="H1" s="157">
        <f t="shared" si="0"/>
        <v>44931</v>
      </c>
      <c r="I1" s="157">
        <f t="shared" si="0"/>
        <v>44932</v>
      </c>
      <c r="J1" s="157">
        <f t="shared" si="0"/>
        <v>44933</v>
      </c>
      <c r="K1" s="157">
        <f t="shared" si="0"/>
        <v>44934</v>
      </c>
      <c r="L1" s="157">
        <f t="shared" si="0"/>
        <v>44935</v>
      </c>
      <c r="M1" s="157">
        <f t="shared" si="0"/>
        <v>44936</v>
      </c>
      <c r="N1" s="157">
        <f t="shared" si="0"/>
        <v>44937</v>
      </c>
      <c r="O1" s="157">
        <f t="shared" si="0"/>
        <v>44938</v>
      </c>
      <c r="P1" s="157">
        <f t="shared" si="0"/>
        <v>44939</v>
      </c>
      <c r="Q1" s="157">
        <f t="shared" si="0"/>
        <v>44940</v>
      </c>
      <c r="R1" s="157">
        <f t="shared" si="0"/>
        <v>44941</v>
      </c>
      <c r="S1" s="157">
        <f t="shared" si="0"/>
        <v>44942</v>
      </c>
      <c r="T1" s="157">
        <f t="shared" si="0"/>
        <v>44943</v>
      </c>
      <c r="U1" s="157">
        <f t="shared" si="0"/>
        <v>44944</v>
      </c>
      <c r="V1" s="157">
        <f t="shared" si="0"/>
        <v>44945</v>
      </c>
      <c r="W1" s="157">
        <f t="shared" si="0"/>
        <v>44946</v>
      </c>
      <c r="X1" s="157">
        <f t="shared" si="0"/>
        <v>44947</v>
      </c>
      <c r="Y1" s="157">
        <f t="shared" si="0"/>
        <v>44948</v>
      </c>
      <c r="Z1" s="157">
        <f t="shared" si="0"/>
        <v>44949</v>
      </c>
      <c r="AA1" s="157">
        <f t="shared" si="0"/>
        <v>44950</v>
      </c>
      <c r="AB1" s="157">
        <f t="shared" si="0"/>
        <v>44951</v>
      </c>
      <c r="AC1" s="157">
        <f t="shared" si="0"/>
        <v>44952</v>
      </c>
      <c r="AD1" s="157">
        <f t="shared" si="0"/>
        <v>44953</v>
      </c>
      <c r="AE1" s="157">
        <f t="shared" si="0"/>
        <v>44954</v>
      </c>
      <c r="AF1" s="157">
        <f t="shared" si="0"/>
        <v>44955</v>
      </c>
      <c r="AG1" s="157">
        <f t="shared" si="0"/>
        <v>44956</v>
      </c>
      <c r="AH1" s="157">
        <f t="shared" si="0"/>
        <v>44957</v>
      </c>
      <c r="AI1" s="158"/>
    </row>
    <row r="2" spans="2:35" ht="15" customHeight="1" x14ac:dyDescent="0.25">
      <c r="B2" s="193"/>
      <c r="C2" s="192"/>
      <c r="D2" s="194">
        <v>1</v>
      </c>
      <c r="E2" s="195">
        <v>2</v>
      </c>
      <c r="F2" s="195">
        <v>3</v>
      </c>
      <c r="G2" s="195">
        <v>4</v>
      </c>
      <c r="H2" s="195">
        <v>5</v>
      </c>
      <c r="I2" s="195">
        <v>6</v>
      </c>
      <c r="J2" s="195">
        <v>7</v>
      </c>
      <c r="K2" s="195">
        <v>8</v>
      </c>
      <c r="L2" s="195">
        <v>9</v>
      </c>
      <c r="M2" s="195">
        <v>10</v>
      </c>
      <c r="N2" s="195">
        <v>11</v>
      </c>
      <c r="O2" s="195">
        <v>12</v>
      </c>
      <c r="P2" s="195">
        <v>13</v>
      </c>
      <c r="Q2" s="195">
        <v>14</v>
      </c>
      <c r="R2" s="195">
        <v>15</v>
      </c>
      <c r="S2" s="195">
        <v>16</v>
      </c>
      <c r="T2" s="195">
        <v>17</v>
      </c>
      <c r="U2" s="195">
        <v>18</v>
      </c>
      <c r="V2" s="195">
        <v>19</v>
      </c>
      <c r="W2" s="195">
        <v>20</v>
      </c>
      <c r="X2" s="195">
        <v>21</v>
      </c>
      <c r="Y2" s="195">
        <v>22</v>
      </c>
      <c r="Z2" s="195">
        <v>23</v>
      </c>
      <c r="AA2" s="195">
        <v>24</v>
      </c>
      <c r="AB2" s="195">
        <v>25</v>
      </c>
      <c r="AC2" s="195">
        <v>26</v>
      </c>
      <c r="AD2" s="195">
        <v>27</v>
      </c>
      <c r="AE2" s="195">
        <v>28</v>
      </c>
      <c r="AF2" s="195">
        <v>29</v>
      </c>
      <c r="AG2" s="195">
        <v>30</v>
      </c>
      <c r="AH2" s="195">
        <v>31</v>
      </c>
      <c r="AI2" s="158"/>
    </row>
    <row r="3" spans="2:35" ht="15" customHeight="1" x14ac:dyDescent="0.25">
      <c r="B3" s="196" t="s">
        <v>58</v>
      </c>
      <c r="C3" s="197">
        <v>22.68</v>
      </c>
      <c r="D3" s="198">
        <f>SUMIFS('январь 2023'!$G$4:$G$508,'январь 2023'!$D$4:$D$508,$B3,'январь 2023'!$J$4:$J$508,D$1)</f>
        <v>0</v>
      </c>
      <c r="E3" s="198">
        <f>SUMIFS('январь 2023'!$G$4:$G$508,'январь 2023'!$D$4:$D$508,$B3,'январь 2023'!$J$4:$J$508,E$1)</f>
        <v>0</v>
      </c>
      <c r="F3" s="198">
        <f>SUMIFS('январь 2023'!$G$4:$G$508,'январь 2023'!$D$4:$D$508,$B3,'январь 2023'!$J$4:$J$508,F$1)</f>
        <v>0</v>
      </c>
      <c r="G3" s="198">
        <f>SUMIFS('январь 2023'!$G$4:$G$508,'январь 2023'!$D$4:$D$508,$B3,'январь 2023'!$J$4:$J$508,G$1)</f>
        <v>0</v>
      </c>
      <c r="H3" s="198">
        <f>SUMIFS('январь 2023'!$G$4:$G$508,'январь 2023'!$D$4:$D$508,$B3,'январь 2023'!$J$4:$J$508,H$1)</f>
        <v>1400</v>
      </c>
      <c r="I3" s="198">
        <f>SUMIFS('январь 2023'!$G$4:$G$508,'январь 2023'!$D$4:$D$508,$B3,'январь 2023'!$J$4:$J$508,I$1)</f>
        <v>0</v>
      </c>
      <c r="J3" s="198">
        <f>SUMIFS('январь 2023'!$G$4:$G$508,'январь 2023'!$D$4:$D$508,$B3,'январь 2023'!$J$4:$J$508,J$1)</f>
        <v>0</v>
      </c>
      <c r="K3" s="198">
        <f>SUMIFS('январь 2023'!$G$4:$G$508,'январь 2023'!$D$4:$D$508,$B3,'январь 2023'!$J$4:$J$508,K$1)</f>
        <v>0</v>
      </c>
      <c r="L3" s="198">
        <f>SUMIFS('январь 2023'!$G$4:$G$508,'январь 2023'!$D$4:$D$508,$B3,'январь 2023'!$J$4:$J$508,L$1)</f>
        <v>875</v>
      </c>
      <c r="M3" s="198">
        <f>SUMIFS('январь 2023'!$G$4:$G$508,'январь 2023'!$D$4:$D$508,$B3,'январь 2023'!$J$4:$J$508,M$1)</f>
        <v>1400</v>
      </c>
      <c r="N3" s="198">
        <f>SUMIFS('январь 2023'!$G$4:$G$508,'январь 2023'!$D$4:$D$508,$B3,'январь 2023'!$J$4:$J$508,N$1)</f>
        <v>0</v>
      </c>
      <c r="O3" s="198">
        <f>SUMIFS('январь 2023'!$G$4:$G$508,'январь 2023'!$D$4:$D$508,$B3,'январь 2023'!$J$4:$J$508,O$1)</f>
        <v>0</v>
      </c>
      <c r="P3" s="198">
        <f>SUMIFS('январь 2023'!$G$4:$G$508,'январь 2023'!$D$4:$D$508,$B3,'январь 2023'!$J$4:$J$508,P$1)</f>
        <v>0</v>
      </c>
      <c r="Q3" s="198">
        <f>SUMIFS('январь 2023'!$G$4:$G$508,'январь 2023'!$D$4:$D$508,$B3,'январь 2023'!$J$4:$J$508,Q$1)</f>
        <v>0</v>
      </c>
      <c r="R3" s="198">
        <f>SUMIFS('январь 2023'!$G$4:$G$508,'январь 2023'!$D$4:$D$508,$B3,'январь 2023'!$J$4:$J$508,R$1)</f>
        <v>0</v>
      </c>
      <c r="S3" s="198">
        <f>SUMIFS('январь 2023'!$G$4:$G$508,'январь 2023'!$D$4:$D$508,$B3,'январь 2023'!$J$4:$J$508,S$1)</f>
        <v>0</v>
      </c>
      <c r="T3" s="198">
        <f>SUMIFS('январь 2023'!$G$4:$G$508,'январь 2023'!$D$4:$D$508,$B3,'январь 2023'!$J$4:$J$508,T$1)</f>
        <v>0</v>
      </c>
      <c r="U3" s="198">
        <f>SUMIFS('январь 2023'!$G$4:$G$508,'январь 2023'!$D$4:$D$508,$B3,'январь 2023'!$J$4:$J$508,U$1)</f>
        <v>1400</v>
      </c>
      <c r="V3" s="198">
        <f>SUMIFS('январь 2023'!$G$4:$G$508,'январь 2023'!$D$4:$D$508,$B3,'январь 2023'!$J$4:$J$508,V$1)</f>
        <v>0</v>
      </c>
      <c r="W3" s="198">
        <f>SUMIFS('январь 2023'!$G$4:$G$508,'январь 2023'!$D$4:$D$508,$B3,'январь 2023'!$J$4:$J$508,W$1)</f>
        <v>2100</v>
      </c>
      <c r="X3" s="198">
        <f>SUMIFS('январь 2023'!$G$4:$G$508,'январь 2023'!$D$4:$D$508,$B3,'январь 2023'!$J$4:$J$508,X$1)</f>
        <v>0</v>
      </c>
      <c r="Y3" s="198">
        <f>SUMIFS('январь 2023'!$G$4:$G$508,'январь 2023'!$D$4:$D$508,$B3,'январь 2023'!$J$4:$J$508,Y$1)</f>
        <v>0</v>
      </c>
      <c r="Z3" s="198">
        <f>SUMIFS('январь 2023'!$G$4:$G$508,'январь 2023'!$D$4:$D$508,$B3,'январь 2023'!$J$4:$J$508,Z$1)</f>
        <v>0</v>
      </c>
      <c r="AA3" s="198">
        <f>SUMIFS('январь 2023'!$G$4:$G$508,'январь 2023'!$D$4:$D$508,$B3,'январь 2023'!$J$4:$J$508,AA$1)</f>
        <v>0</v>
      </c>
      <c r="AB3" s="198">
        <f>SUMIFS('январь 2023'!$G$4:$G$508,'январь 2023'!$D$4:$D$508,$B3,'январь 2023'!$J$4:$J$508,AB$1)</f>
        <v>0</v>
      </c>
      <c r="AC3" s="198">
        <f>SUMIFS('январь 2023'!$G$4:$G$508,'январь 2023'!$D$4:$D$508,$B3,'январь 2023'!$J$4:$J$508,AC$1)</f>
        <v>875</v>
      </c>
      <c r="AD3" s="198">
        <f>SUMIFS('январь 2023'!$G$4:$G$508,'январь 2023'!$D$4:$D$508,$B3,'январь 2023'!$J$4:$J$508,AD$1)</f>
        <v>0</v>
      </c>
      <c r="AE3" s="198">
        <f>SUMIFS('январь 2023'!$G$4:$G$508,'январь 2023'!$D$4:$D$508,$B3,'январь 2023'!$J$4:$J$508,AE$1)</f>
        <v>0</v>
      </c>
      <c r="AF3" s="198">
        <f>SUMIFS('январь 2023'!$G$4:$G$508,'январь 2023'!$D$4:$D$508,$B3,'январь 2023'!$J$4:$J$508,AF$1)</f>
        <v>0</v>
      </c>
      <c r="AG3" s="198">
        <f>SUMIFS('январь 2023'!$G$4:$G$508,'январь 2023'!$D$4:$D$508,$B3,'январь 2023'!$J$4:$J$508,AG$1)</f>
        <v>875</v>
      </c>
      <c r="AH3" s="198">
        <f>SUMIFS('январь 2023'!$G$4:$G$508,'январь 2023'!$D$4:$D$508,$B3,'январь 2023'!$J$4:$J$508,AH$1)</f>
        <v>0</v>
      </c>
      <c r="AI3" s="166">
        <f t="shared" ref="AI3:AI66" si="1">SUM(D3:AH3)</f>
        <v>8925</v>
      </c>
    </row>
    <row r="4" spans="2:35" ht="15" customHeight="1" x14ac:dyDescent="0.25">
      <c r="B4" s="199" t="s">
        <v>74</v>
      </c>
      <c r="C4" s="200">
        <v>25</v>
      </c>
      <c r="D4" s="198">
        <f>SUMIFS('январь 2023'!$G$4:$G$508,'январь 2023'!$D$4:$D$508,$B4,'январь 2023'!$J$4:$J$508,D$1)</f>
        <v>0</v>
      </c>
      <c r="E4" s="198">
        <f>SUMIFS('январь 2023'!$G$4:$G$508,'январь 2023'!$D$4:$D$508,$B4,'январь 2023'!$J$4:$J$508,E$1)</f>
        <v>0</v>
      </c>
      <c r="F4" s="198">
        <f>SUMIFS('январь 2023'!$G$4:$G$508,'январь 2023'!$D$4:$D$508,$B4,'январь 2023'!$J$4:$J$508,F$1)</f>
        <v>0</v>
      </c>
      <c r="G4" s="198">
        <f>SUMIFS('январь 2023'!$G$4:$G$508,'январь 2023'!$D$4:$D$508,$B4,'январь 2023'!$J$4:$J$508,G$1)</f>
        <v>0</v>
      </c>
      <c r="H4" s="198">
        <f>SUMIFS('январь 2023'!$G$4:$G$508,'январь 2023'!$D$4:$D$508,$B4,'январь 2023'!$J$4:$J$508,H$1)</f>
        <v>0</v>
      </c>
      <c r="I4" s="198">
        <f>SUMIFS('январь 2023'!$G$4:$G$508,'январь 2023'!$D$4:$D$508,$B4,'январь 2023'!$J$4:$J$508,I$1)</f>
        <v>0</v>
      </c>
      <c r="J4" s="198">
        <f>SUMIFS('январь 2023'!$G$4:$G$508,'январь 2023'!$D$4:$D$508,$B4,'январь 2023'!$J$4:$J$508,J$1)</f>
        <v>0</v>
      </c>
      <c r="K4" s="198">
        <f>SUMIFS('январь 2023'!$G$4:$G$508,'январь 2023'!$D$4:$D$508,$B4,'январь 2023'!$J$4:$J$508,K$1)</f>
        <v>0</v>
      </c>
      <c r="L4" s="198">
        <f>SUMIFS('январь 2023'!$G$4:$G$508,'январь 2023'!$D$4:$D$508,$B4,'январь 2023'!$J$4:$J$508,L$1)</f>
        <v>680</v>
      </c>
      <c r="M4" s="198">
        <f>SUMIFS('январь 2023'!$G$4:$G$508,'январь 2023'!$D$4:$D$508,$B4,'январь 2023'!$J$4:$J$508,M$1)</f>
        <v>0</v>
      </c>
      <c r="N4" s="198">
        <f>SUMIFS('январь 2023'!$G$4:$G$508,'январь 2023'!$D$4:$D$508,$B4,'январь 2023'!$J$4:$J$508,N$1)</f>
        <v>0</v>
      </c>
      <c r="O4" s="198">
        <f>SUMIFS('январь 2023'!$G$4:$G$508,'январь 2023'!$D$4:$D$508,$B4,'январь 2023'!$J$4:$J$508,O$1)</f>
        <v>0</v>
      </c>
      <c r="P4" s="198">
        <f>SUMIFS('январь 2023'!$G$4:$G$508,'январь 2023'!$D$4:$D$508,$B4,'январь 2023'!$J$4:$J$508,P$1)</f>
        <v>0</v>
      </c>
      <c r="Q4" s="198">
        <f>SUMIFS('январь 2023'!$G$4:$G$508,'январь 2023'!$D$4:$D$508,$B4,'январь 2023'!$J$4:$J$508,Q$1)</f>
        <v>0</v>
      </c>
      <c r="R4" s="198">
        <f>SUMIFS('январь 2023'!$G$4:$G$508,'январь 2023'!$D$4:$D$508,$B4,'январь 2023'!$J$4:$J$508,R$1)</f>
        <v>0</v>
      </c>
      <c r="S4" s="198">
        <f>SUMIFS('январь 2023'!$G$4:$G$508,'январь 2023'!$D$4:$D$508,$B4,'январь 2023'!$J$4:$J$508,S$1)</f>
        <v>0</v>
      </c>
      <c r="T4" s="198">
        <f>SUMIFS('январь 2023'!$G$4:$G$508,'январь 2023'!$D$4:$D$508,$B4,'январь 2023'!$J$4:$J$508,T$1)</f>
        <v>0</v>
      </c>
      <c r="U4" s="198">
        <f>SUMIFS('январь 2023'!$G$4:$G$508,'январь 2023'!$D$4:$D$508,$B4,'январь 2023'!$J$4:$J$508,U$1)</f>
        <v>0</v>
      </c>
      <c r="V4" s="198">
        <f>SUMIFS('январь 2023'!$G$4:$G$508,'январь 2023'!$D$4:$D$508,$B4,'январь 2023'!$J$4:$J$508,V$1)</f>
        <v>0</v>
      </c>
      <c r="W4" s="198">
        <f>SUMIFS('январь 2023'!$G$4:$G$508,'январь 2023'!$D$4:$D$508,$B4,'январь 2023'!$J$4:$J$508,W$1)</f>
        <v>800</v>
      </c>
      <c r="X4" s="198">
        <f>SUMIFS('январь 2023'!$G$4:$G$508,'январь 2023'!$D$4:$D$508,$B4,'январь 2023'!$J$4:$J$508,X$1)</f>
        <v>0</v>
      </c>
      <c r="Y4" s="198">
        <f>SUMIFS('январь 2023'!$G$4:$G$508,'январь 2023'!$D$4:$D$508,$B4,'январь 2023'!$J$4:$J$508,Y$1)</f>
        <v>0</v>
      </c>
      <c r="Z4" s="198">
        <f>SUMIFS('январь 2023'!$G$4:$G$508,'январь 2023'!$D$4:$D$508,$B4,'январь 2023'!$J$4:$J$508,Z$1)</f>
        <v>0</v>
      </c>
      <c r="AA4" s="198">
        <f>SUMIFS('январь 2023'!$G$4:$G$508,'январь 2023'!$D$4:$D$508,$B4,'январь 2023'!$J$4:$J$508,AA$1)</f>
        <v>0</v>
      </c>
      <c r="AB4" s="198">
        <f>SUMIFS('январь 2023'!$G$4:$G$508,'январь 2023'!$D$4:$D$508,$B4,'январь 2023'!$J$4:$J$508,AB$1)</f>
        <v>0</v>
      </c>
      <c r="AC4" s="198">
        <f>SUMIFS('январь 2023'!$G$4:$G$508,'январь 2023'!$D$4:$D$508,$B4,'январь 2023'!$J$4:$J$508,AC$1)</f>
        <v>0</v>
      </c>
      <c r="AD4" s="198">
        <f>SUMIFS('январь 2023'!$G$4:$G$508,'январь 2023'!$D$4:$D$508,$B4,'январь 2023'!$J$4:$J$508,AD$1)</f>
        <v>0</v>
      </c>
      <c r="AE4" s="198">
        <f>SUMIFS('январь 2023'!$G$4:$G$508,'январь 2023'!$D$4:$D$508,$B4,'январь 2023'!$J$4:$J$508,AE$1)</f>
        <v>0</v>
      </c>
      <c r="AF4" s="198">
        <f>SUMIFS('январь 2023'!$G$4:$G$508,'январь 2023'!$D$4:$D$508,$B4,'январь 2023'!$J$4:$J$508,AF$1)</f>
        <v>0</v>
      </c>
      <c r="AG4" s="198">
        <f>SUMIFS('январь 2023'!$G$4:$G$508,'январь 2023'!$D$4:$D$508,$B4,'январь 2023'!$J$4:$J$508,AG$1)</f>
        <v>0</v>
      </c>
      <c r="AH4" s="198">
        <f>SUMIFS('январь 2023'!$G$4:$G$508,'январь 2023'!$D$4:$D$508,$B4,'январь 2023'!$J$4:$J$508,AH$1)</f>
        <v>0</v>
      </c>
      <c r="AI4" s="170">
        <f t="shared" si="1"/>
        <v>1480</v>
      </c>
    </row>
    <row r="5" spans="2:35" ht="15" customHeight="1" x14ac:dyDescent="0.25">
      <c r="B5" s="199" t="s">
        <v>165</v>
      </c>
      <c r="C5" s="200">
        <v>25</v>
      </c>
      <c r="D5" s="198">
        <f>SUMIFS('январь 2023'!$G$4:$G$508,'январь 2023'!$D$4:$D$508,$B5,'январь 2023'!$J$4:$J$508,D$1)</f>
        <v>0</v>
      </c>
      <c r="E5" s="198">
        <f>SUMIFS('январь 2023'!$G$4:$G$508,'январь 2023'!$D$4:$D$508,$B5,'январь 2023'!$J$4:$J$508,E$1)</f>
        <v>0</v>
      </c>
      <c r="F5" s="198">
        <f>SUMIFS('январь 2023'!$G$4:$G$508,'январь 2023'!$D$4:$D$508,$B5,'январь 2023'!$J$4:$J$508,F$1)</f>
        <v>0</v>
      </c>
      <c r="G5" s="198">
        <f>SUMIFS('январь 2023'!$G$4:$G$508,'январь 2023'!$D$4:$D$508,$B5,'январь 2023'!$J$4:$J$508,G$1)</f>
        <v>800</v>
      </c>
      <c r="H5" s="198">
        <f>SUMIFS('январь 2023'!$G$4:$G$508,'январь 2023'!$D$4:$D$508,$B5,'январь 2023'!$J$4:$J$508,H$1)</f>
        <v>0</v>
      </c>
      <c r="I5" s="198">
        <f>SUMIFS('январь 2023'!$G$4:$G$508,'январь 2023'!$D$4:$D$508,$B5,'январь 2023'!$J$4:$J$508,I$1)</f>
        <v>0</v>
      </c>
      <c r="J5" s="198">
        <f>SUMIFS('январь 2023'!$G$4:$G$508,'январь 2023'!$D$4:$D$508,$B5,'январь 2023'!$J$4:$J$508,J$1)</f>
        <v>0</v>
      </c>
      <c r="K5" s="198">
        <f>SUMIFS('январь 2023'!$G$4:$G$508,'январь 2023'!$D$4:$D$508,$B5,'январь 2023'!$J$4:$J$508,K$1)</f>
        <v>0</v>
      </c>
      <c r="L5" s="198">
        <f>SUMIFS('январь 2023'!$G$4:$G$508,'январь 2023'!$D$4:$D$508,$B5,'январь 2023'!$J$4:$J$508,L$1)</f>
        <v>0</v>
      </c>
      <c r="M5" s="198">
        <f>SUMIFS('январь 2023'!$G$4:$G$508,'январь 2023'!$D$4:$D$508,$B5,'январь 2023'!$J$4:$J$508,M$1)</f>
        <v>0</v>
      </c>
      <c r="N5" s="198">
        <f>SUMIFS('январь 2023'!$G$4:$G$508,'январь 2023'!$D$4:$D$508,$B5,'январь 2023'!$J$4:$J$508,N$1)</f>
        <v>0</v>
      </c>
      <c r="O5" s="198">
        <f>SUMIFS('январь 2023'!$G$4:$G$508,'январь 2023'!$D$4:$D$508,$B5,'январь 2023'!$J$4:$J$508,O$1)</f>
        <v>0</v>
      </c>
      <c r="P5" s="198">
        <f>SUMIFS('январь 2023'!$G$4:$G$508,'январь 2023'!$D$4:$D$508,$B5,'январь 2023'!$J$4:$J$508,P$1)</f>
        <v>0</v>
      </c>
      <c r="Q5" s="198">
        <f>SUMIFS('январь 2023'!$G$4:$G$508,'январь 2023'!$D$4:$D$508,$B5,'январь 2023'!$J$4:$J$508,Q$1)</f>
        <v>0</v>
      </c>
      <c r="R5" s="198">
        <f>SUMIFS('январь 2023'!$G$4:$G$508,'январь 2023'!$D$4:$D$508,$B5,'январь 2023'!$J$4:$J$508,R$1)</f>
        <v>0</v>
      </c>
      <c r="S5" s="198">
        <f>SUMIFS('январь 2023'!$G$4:$G$508,'январь 2023'!$D$4:$D$508,$B5,'январь 2023'!$J$4:$J$508,S$1)</f>
        <v>800</v>
      </c>
      <c r="T5" s="198">
        <f>SUMIFS('январь 2023'!$G$4:$G$508,'январь 2023'!$D$4:$D$508,$B5,'январь 2023'!$J$4:$J$508,T$1)</f>
        <v>0</v>
      </c>
      <c r="U5" s="198">
        <f>SUMIFS('январь 2023'!$G$4:$G$508,'январь 2023'!$D$4:$D$508,$B5,'январь 2023'!$J$4:$J$508,U$1)</f>
        <v>0</v>
      </c>
      <c r="V5" s="198">
        <f>SUMIFS('январь 2023'!$G$4:$G$508,'январь 2023'!$D$4:$D$508,$B5,'январь 2023'!$J$4:$J$508,V$1)</f>
        <v>0</v>
      </c>
      <c r="W5" s="198">
        <f>SUMIFS('январь 2023'!$G$4:$G$508,'январь 2023'!$D$4:$D$508,$B5,'январь 2023'!$J$4:$J$508,W$1)</f>
        <v>0</v>
      </c>
      <c r="X5" s="198">
        <f>SUMIFS('январь 2023'!$G$4:$G$508,'январь 2023'!$D$4:$D$508,$B5,'январь 2023'!$J$4:$J$508,X$1)</f>
        <v>0</v>
      </c>
      <c r="Y5" s="198">
        <f>SUMIFS('январь 2023'!$G$4:$G$508,'январь 2023'!$D$4:$D$508,$B5,'январь 2023'!$J$4:$J$508,Y$1)</f>
        <v>0</v>
      </c>
      <c r="Z5" s="198">
        <f>SUMIFS('январь 2023'!$G$4:$G$508,'январь 2023'!$D$4:$D$508,$B5,'январь 2023'!$J$4:$J$508,Z$1)</f>
        <v>0</v>
      </c>
      <c r="AA5" s="198">
        <f>SUMIFS('январь 2023'!$G$4:$G$508,'январь 2023'!$D$4:$D$508,$B5,'январь 2023'!$J$4:$J$508,AA$1)</f>
        <v>0</v>
      </c>
      <c r="AB5" s="198">
        <f>SUMIFS('январь 2023'!$G$4:$G$508,'январь 2023'!$D$4:$D$508,$B5,'январь 2023'!$J$4:$J$508,AB$1)</f>
        <v>0</v>
      </c>
      <c r="AC5" s="198">
        <f>SUMIFS('январь 2023'!$G$4:$G$508,'январь 2023'!$D$4:$D$508,$B5,'январь 2023'!$J$4:$J$508,AC$1)</f>
        <v>0</v>
      </c>
      <c r="AD5" s="198">
        <f>SUMIFS('январь 2023'!$G$4:$G$508,'январь 2023'!$D$4:$D$508,$B5,'январь 2023'!$J$4:$J$508,AD$1)</f>
        <v>0</v>
      </c>
      <c r="AE5" s="198">
        <f>SUMIFS('январь 2023'!$G$4:$G$508,'январь 2023'!$D$4:$D$508,$B5,'январь 2023'!$J$4:$J$508,AE$1)</f>
        <v>0</v>
      </c>
      <c r="AF5" s="198">
        <f>SUMIFS('январь 2023'!$G$4:$G$508,'январь 2023'!$D$4:$D$508,$B5,'январь 2023'!$J$4:$J$508,AF$1)</f>
        <v>0</v>
      </c>
      <c r="AG5" s="198">
        <f>SUMIFS('январь 2023'!$G$4:$G$508,'январь 2023'!$D$4:$D$508,$B5,'январь 2023'!$J$4:$J$508,AG$1)</f>
        <v>0</v>
      </c>
      <c r="AH5" s="198">
        <f>SUMIFS('январь 2023'!$G$4:$G$508,'январь 2023'!$D$4:$D$508,$B5,'январь 2023'!$J$4:$J$508,AH$1)</f>
        <v>0</v>
      </c>
      <c r="AI5" s="170">
        <f t="shared" si="1"/>
        <v>1600</v>
      </c>
    </row>
    <row r="6" spans="2:35" ht="15" customHeight="1" x14ac:dyDescent="0.25">
      <c r="B6" s="199" t="s">
        <v>2084</v>
      </c>
      <c r="C6" s="200">
        <v>22.7</v>
      </c>
      <c r="D6" s="198">
        <f>SUMIFS('январь 2023'!$G$4:$G$508,'январь 2023'!$D$4:$D$508,$B6,'январь 2023'!$J$4:$J$508,D$1)</f>
        <v>0</v>
      </c>
      <c r="E6" s="198">
        <f>SUMIFS('январь 2023'!$G$4:$G$508,'январь 2023'!$D$4:$D$508,$B6,'январь 2023'!$J$4:$J$508,E$1)</f>
        <v>0</v>
      </c>
      <c r="F6" s="198">
        <f>SUMIFS('январь 2023'!$G$4:$G$508,'январь 2023'!$D$4:$D$508,$B6,'январь 2023'!$J$4:$J$508,F$1)</f>
        <v>0</v>
      </c>
      <c r="G6" s="198">
        <f>SUMIFS('январь 2023'!$G$4:$G$508,'январь 2023'!$D$4:$D$508,$B6,'январь 2023'!$J$4:$J$508,G$1)</f>
        <v>0</v>
      </c>
      <c r="H6" s="198">
        <f>SUMIFS('январь 2023'!$G$4:$G$508,'январь 2023'!$D$4:$D$508,$B6,'январь 2023'!$J$4:$J$508,H$1)</f>
        <v>0</v>
      </c>
      <c r="I6" s="198">
        <f>SUMIFS('январь 2023'!$G$4:$G$508,'январь 2023'!$D$4:$D$508,$B6,'январь 2023'!$J$4:$J$508,I$1)</f>
        <v>0</v>
      </c>
      <c r="J6" s="198">
        <f>SUMIFS('январь 2023'!$G$4:$G$508,'январь 2023'!$D$4:$D$508,$B6,'январь 2023'!$J$4:$J$508,J$1)</f>
        <v>0</v>
      </c>
      <c r="K6" s="198">
        <f>SUMIFS('январь 2023'!$G$4:$G$508,'январь 2023'!$D$4:$D$508,$B6,'январь 2023'!$J$4:$J$508,K$1)</f>
        <v>0</v>
      </c>
      <c r="L6" s="198">
        <f>SUMIFS('январь 2023'!$G$4:$G$508,'январь 2023'!$D$4:$D$508,$B6,'январь 2023'!$J$4:$J$508,L$1)</f>
        <v>0</v>
      </c>
      <c r="M6" s="198">
        <f>SUMIFS('январь 2023'!$G$4:$G$508,'январь 2023'!$D$4:$D$508,$B6,'январь 2023'!$J$4:$J$508,M$1)</f>
        <v>0</v>
      </c>
      <c r="N6" s="198">
        <f>SUMIFS('январь 2023'!$G$4:$G$508,'январь 2023'!$D$4:$D$508,$B6,'январь 2023'!$J$4:$J$508,N$1)</f>
        <v>0</v>
      </c>
      <c r="O6" s="198">
        <f>SUMIFS('январь 2023'!$G$4:$G$508,'январь 2023'!$D$4:$D$508,$B6,'январь 2023'!$J$4:$J$508,O$1)</f>
        <v>0</v>
      </c>
      <c r="P6" s="198">
        <f>SUMIFS('январь 2023'!$G$4:$G$508,'январь 2023'!$D$4:$D$508,$B6,'январь 2023'!$J$4:$J$508,P$1)</f>
        <v>0</v>
      </c>
      <c r="Q6" s="198">
        <f>SUMIFS('январь 2023'!$G$4:$G$508,'январь 2023'!$D$4:$D$508,$B6,'январь 2023'!$J$4:$J$508,Q$1)</f>
        <v>0</v>
      </c>
      <c r="R6" s="198">
        <f>SUMIFS('январь 2023'!$G$4:$G$508,'январь 2023'!$D$4:$D$508,$B6,'январь 2023'!$J$4:$J$508,R$1)</f>
        <v>0</v>
      </c>
      <c r="S6" s="198">
        <f>SUMIFS('январь 2023'!$G$4:$G$508,'январь 2023'!$D$4:$D$508,$B6,'январь 2023'!$J$4:$J$508,S$1)</f>
        <v>0</v>
      </c>
      <c r="T6" s="198">
        <f>SUMIFS('январь 2023'!$G$4:$G$508,'январь 2023'!$D$4:$D$508,$B6,'январь 2023'!$J$4:$J$508,T$1)</f>
        <v>0</v>
      </c>
      <c r="U6" s="198">
        <f>SUMIFS('январь 2023'!$G$4:$G$508,'январь 2023'!$D$4:$D$508,$B6,'январь 2023'!$J$4:$J$508,U$1)</f>
        <v>0</v>
      </c>
      <c r="V6" s="198">
        <f>SUMIFS('январь 2023'!$G$4:$G$508,'январь 2023'!$D$4:$D$508,$B6,'январь 2023'!$J$4:$J$508,V$1)</f>
        <v>0</v>
      </c>
      <c r="W6" s="198">
        <f>SUMIFS('январь 2023'!$G$4:$G$508,'январь 2023'!$D$4:$D$508,$B6,'январь 2023'!$J$4:$J$508,W$1)</f>
        <v>0</v>
      </c>
      <c r="X6" s="198">
        <f>SUMIFS('январь 2023'!$G$4:$G$508,'январь 2023'!$D$4:$D$508,$B6,'январь 2023'!$J$4:$J$508,X$1)</f>
        <v>0</v>
      </c>
      <c r="Y6" s="198">
        <f>SUMIFS('январь 2023'!$G$4:$G$508,'январь 2023'!$D$4:$D$508,$B6,'январь 2023'!$J$4:$J$508,Y$1)</f>
        <v>0</v>
      </c>
      <c r="Z6" s="198">
        <f>SUMIFS('январь 2023'!$G$4:$G$508,'январь 2023'!$D$4:$D$508,$B6,'январь 2023'!$J$4:$J$508,Z$1)</f>
        <v>0</v>
      </c>
      <c r="AA6" s="198">
        <f>SUMIFS('январь 2023'!$G$4:$G$508,'январь 2023'!$D$4:$D$508,$B6,'январь 2023'!$J$4:$J$508,AA$1)</f>
        <v>0</v>
      </c>
      <c r="AB6" s="198">
        <f>SUMIFS('январь 2023'!$G$4:$G$508,'январь 2023'!$D$4:$D$508,$B6,'январь 2023'!$J$4:$J$508,AB$1)</f>
        <v>0</v>
      </c>
      <c r="AC6" s="198">
        <f>SUMIFS('январь 2023'!$G$4:$G$508,'январь 2023'!$D$4:$D$508,$B6,'январь 2023'!$J$4:$J$508,AC$1)</f>
        <v>0</v>
      </c>
      <c r="AD6" s="198">
        <f>SUMIFS('январь 2023'!$G$4:$G$508,'январь 2023'!$D$4:$D$508,$B6,'январь 2023'!$J$4:$J$508,AD$1)</f>
        <v>0</v>
      </c>
      <c r="AE6" s="198">
        <f>SUMIFS('январь 2023'!$G$4:$G$508,'январь 2023'!$D$4:$D$508,$B6,'январь 2023'!$J$4:$J$508,AE$1)</f>
        <v>0</v>
      </c>
      <c r="AF6" s="198">
        <f>SUMIFS('январь 2023'!$G$4:$G$508,'январь 2023'!$D$4:$D$508,$B6,'январь 2023'!$J$4:$J$508,AF$1)</f>
        <v>0</v>
      </c>
      <c r="AG6" s="198">
        <f>SUMIFS('январь 2023'!$G$4:$G$508,'январь 2023'!$D$4:$D$508,$B6,'январь 2023'!$J$4:$J$508,AG$1)</f>
        <v>0</v>
      </c>
      <c r="AH6" s="198">
        <f>SUMIFS('январь 2023'!$G$4:$G$508,'январь 2023'!$D$4:$D$508,$B6,'январь 2023'!$J$4:$J$508,AH$1)</f>
        <v>0</v>
      </c>
      <c r="AI6" s="170">
        <f t="shared" si="1"/>
        <v>0</v>
      </c>
    </row>
    <row r="7" spans="2:35" ht="15" customHeight="1" x14ac:dyDescent="0.25">
      <c r="B7" s="199" t="s">
        <v>2087</v>
      </c>
      <c r="C7" s="200">
        <v>22.7</v>
      </c>
      <c r="D7" s="198">
        <f>SUMIFS('январь 2023'!$G$4:$G$508,'январь 2023'!$D$4:$D$508,$B7,'январь 2023'!$J$4:$J$508,D$1)</f>
        <v>0</v>
      </c>
      <c r="E7" s="198">
        <f>SUMIFS('январь 2023'!$G$4:$G$508,'январь 2023'!$D$4:$D$508,$B7,'январь 2023'!$J$4:$J$508,E$1)</f>
        <v>0</v>
      </c>
      <c r="F7" s="198">
        <f>SUMIFS('январь 2023'!$G$4:$G$508,'январь 2023'!$D$4:$D$508,$B7,'январь 2023'!$J$4:$J$508,F$1)</f>
        <v>0</v>
      </c>
      <c r="G7" s="198">
        <f>SUMIFS('январь 2023'!$G$4:$G$508,'январь 2023'!$D$4:$D$508,$B7,'январь 2023'!$J$4:$J$508,G$1)</f>
        <v>0</v>
      </c>
      <c r="H7" s="198">
        <f>SUMIFS('январь 2023'!$G$4:$G$508,'январь 2023'!$D$4:$D$508,$B7,'январь 2023'!$J$4:$J$508,H$1)</f>
        <v>0</v>
      </c>
      <c r="I7" s="198">
        <f>SUMIFS('январь 2023'!$G$4:$G$508,'январь 2023'!$D$4:$D$508,$B7,'январь 2023'!$J$4:$J$508,I$1)</f>
        <v>0</v>
      </c>
      <c r="J7" s="198">
        <f>SUMIFS('январь 2023'!$G$4:$G$508,'январь 2023'!$D$4:$D$508,$B7,'январь 2023'!$J$4:$J$508,J$1)</f>
        <v>0</v>
      </c>
      <c r="K7" s="198">
        <f>SUMIFS('январь 2023'!$G$4:$G$508,'январь 2023'!$D$4:$D$508,$B7,'январь 2023'!$J$4:$J$508,K$1)</f>
        <v>0</v>
      </c>
      <c r="L7" s="198">
        <f>SUMIFS('январь 2023'!$G$4:$G$508,'январь 2023'!$D$4:$D$508,$B7,'январь 2023'!$J$4:$J$508,L$1)</f>
        <v>0</v>
      </c>
      <c r="M7" s="198">
        <f>SUMIFS('январь 2023'!$G$4:$G$508,'январь 2023'!$D$4:$D$508,$B7,'январь 2023'!$J$4:$J$508,M$1)</f>
        <v>0</v>
      </c>
      <c r="N7" s="198">
        <f>SUMIFS('январь 2023'!$G$4:$G$508,'январь 2023'!$D$4:$D$508,$B7,'январь 2023'!$J$4:$J$508,N$1)</f>
        <v>0</v>
      </c>
      <c r="O7" s="198">
        <f>SUMIFS('январь 2023'!$G$4:$G$508,'январь 2023'!$D$4:$D$508,$B7,'январь 2023'!$J$4:$J$508,O$1)</f>
        <v>0</v>
      </c>
      <c r="P7" s="198">
        <f>SUMIFS('январь 2023'!$G$4:$G$508,'январь 2023'!$D$4:$D$508,$B7,'январь 2023'!$J$4:$J$508,P$1)</f>
        <v>0</v>
      </c>
      <c r="Q7" s="198">
        <f>SUMIFS('январь 2023'!$G$4:$G$508,'январь 2023'!$D$4:$D$508,$B7,'январь 2023'!$J$4:$J$508,Q$1)</f>
        <v>0</v>
      </c>
      <c r="R7" s="198">
        <f>SUMIFS('январь 2023'!$G$4:$G$508,'январь 2023'!$D$4:$D$508,$B7,'январь 2023'!$J$4:$J$508,R$1)</f>
        <v>0</v>
      </c>
      <c r="S7" s="198">
        <f>SUMIFS('январь 2023'!$G$4:$G$508,'январь 2023'!$D$4:$D$508,$B7,'январь 2023'!$J$4:$J$508,S$1)</f>
        <v>0</v>
      </c>
      <c r="T7" s="198">
        <f>SUMIFS('январь 2023'!$G$4:$G$508,'январь 2023'!$D$4:$D$508,$B7,'январь 2023'!$J$4:$J$508,T$1)</f>
        <v>0</v>
      </c>
      <c r="U7" s="198">
        <f>SUMIFS('январь 2023'!$G$4:$G$508,'январь 2023'!$D$4:$D$508,$B7,'январь 2023'!$J$4:$J$508,U$1)</f>
        <v>0</v>
      </c>
      <c r="V7" s="198">
        <f>SUMIFS('январь 2023'!$G$4:$G$508,'январь 2023'!$D$4:$D$508,$B7,'январь 2023'!$J$4:$J$508,V$1)</f>
        <v>0</v>
      </c>
      <c r="W7" s="198">
        <f>SUMIFS('январь 2023'!$G$4:$G$508,'январь 2023'!$D$4:$D$508,$B7,'январь 2023'!$J$4:$J$508,W$1)</f>
        <v>0</v>
      </c>
      <c r="X7" s="198">
        <f>SUMIFS('январь 2023'!$G$4:$G$508,'январь 2023'!$D$4:$D$508,$B7,'январь 2023'!$J$4:$J$508,X$1)</f>
        <v>0</v>
      </c>
      <c r="Y7" s="198">
        <f>SUMIFS('январь 2023'!$G$4:$G$508,'январь 2023'!$D$4:$D$508,$B7,'январь 2023'!$J$4:$J$508,Y$1)</f>
        <v>0</v>
      </c>
      <c r="Z7" s="198">
        <f>SUMIFS('январь 2023'!$G$4:$G$508,'январь 2023'!$D$4:$D$508,$B7,'январь 2023'!$J$4:$J$508,Z$1)</f>
        <v>0</v>
      </c>
      <c r="AA7" s="198">
        <f>SUMIFS('январь 2023'!$G$4:$G$508,'январь 2023'!$D$4:$D$508,$B7,'январь 2023'!$J$4:$J$508,AA$1)</f>
        <v>0</v>
      </c>
      <c r="AB7" s="198">
        <f>SUMIFS('январь 2023'!$G$4:$G$508,'январь 2023'!$D$4:$D$508,$B7,'январь 2023'!$J$4:$J$508,AB$1)</f>
        <v>0</v>
      </c>
      <c r="AC7" s="198">
        <f>SUMIFS('январь 2023'!$G$4:$G$508,'январь 2023'!$D$4:$D$508,$B7,'январь 2023'!$J$4:$J$508,AC$1)</f>
        <v>0</v>
      </c>
      <c r="AD7" s="198">
        <f>SUMIFS('январь 2023'!$G$4:$G$508,'январь 2023'!$D$4:$D$508,$B7,'январь 2023'!$J$4:$J$508,AD$1)</f>
        <v>0</v>
      </c>
      <c r="AE7" s="198">
        <f>SUMIFS('январь 2023'!$G$4:$G$508,'январь 2023'!$D$4:$D$508,$B7,'январь 2023'!$J$4:$J$508,AE$1)</f>
        <v>0</v>
      </c>
      <c r="AF7" s="198">
        <f>SUMIFS('январь 2023'!$G$4:$G$508,'январь 2023'!$D$4:$D$508,$B7,'январь 2023'!$J$4:$J$508,AF$1)</f>
        <v>0</v>
      </c>
      <c r="AG7" s="198">
        <f>SUMIFS('январь 2023'!$G$4:$G$508,'январь 2023'!$D$4:$D$508,$B7,'январь 2023'!$J$4:$J$508,AG$1)</f>
        <v>0</v>
      </c>
      <c r="AH7" s="198">
        <f>SUMIFS('январь 2023'!$G$4:$G$508,'январь 2023'!$D$4:$D$508,$B7,'январь 2023'!$J$4:$J$508,AH$1)</f>
        <v>0</v>
      </c>
      <c r="AI7" s="170">
        <f t="shared" si="1"/>
        <v>0</v>
      </c>
    </row>
    <row r="8" spans="2:35" ht="15" customHeight="1" x14ac:dyDescent="0.25">
      <c r="B8" s="201" t="s">
        <v>176</v>
      </c>
      <c r="C8" s="200">
        <v>22.7</v>
      </c>
      <c r="D8" s="198">
        <f>SUMIFS('январь 2023'!$G$4:$G$508,'январь 2023'!$D$4:$D$508,$B8,'январь 2023'!$J$4:$J$508,D$1)</f>
        <v>0</v>
      </c>
      <c r="E8" s="198">
        <f>SUMIFS('январь 2023'!$G$4:$G$508,'январь 2023'!$D$4:$D$508,$B8,'январь 2023'!$J$4:$J$508,E$1)</f>
        <v>0</v>
      </c>
      <c r="F8" s="198">
        <f>SUMIFS('январь 2023'!$G$4:$G$508,'январь 2023'!$D$4:$D$508,$B8,'январь 2023'!$J$4:$J$508,F$1)</f>
        <v>0</v>
      </c>
      <c r="G8" s="198">
        <f>SUMIFS('январь 2023'!$G$4:$G$508,'январь 2023'!$D$4:$D$508,$B8,'январь 2023'!$J$4:$J$508,G$1)</f>
        <v>0</v>
      </c>
      <c r="H8" s="198">
        <f>SUMIFS('январь 2023'!$G$4:$G$508,'январь 2023'!$D$4:$D$508,$B8,'январь 2023'!$J$4:$J$508,H$1)</f>
        <v>0</v>
      </c>
      <c r="I8" s="198">
        <f>SUMIFS('январь 2023'!$G$4:$G$508,'январь 2023'!$D$4:$D$508,$B8,'январь 2023'!$J$4:$J$508,I$1)</f>
        <v>0</v>
      </c>
      <c r="J8" s="198">
        <f>SUMIFS('январь 2023'!$G$4:$G$508,'январь 2023'!$D$4:$D$508,$B8,'январь 2023'!$J$4:$J$508,J$1)</f>
        <v>0</v>
      </c>
      <c r="K8" s="198">
        <f>SUMIFS('январь 2023'!$G$4:$G$508,'январь 2023'!$D$4:$D$508,$B8,'январь 2023'!$J$4:$J$508,K$1)</f>
        <v>0</v>
      </c>
      <c r="L8" s="198">
        <f>SUMIFS('январь 2023'!$G$4:$G$508,'январь 2023'!$D$4:$D$508,$B8,'январь 2023'!$J$4:$J$508,L$1)</f>
        <v>0</v>
      </c>
      <c r="M8" s="198">
        <f>SUMIFS('январь 2023'!$G$4:$G$508,'январь 2023'!$D$4:$D$508,$B8,'январь 2023'!$J$4:$J$508,M$1)</f>
        <v>0</v>
      </c>
      <c r="N8" s="198">
        <f>SUMIFS('январь 2023'!$G$4:$G$508,'январь 2023'!$D$4:$D$508,$B8,'январь 2023'!$J$4:$J$508,N$1)</f>
        <v>0</v>
      </c>
      <c r="O8" s="198">
        <f>SUMIFS('январь 2023'!$G$4:$G$508,'январь 2023'!$D$4:$D$508,$B8,'январь 2023'!$J$4:$J$508,O$1)</f>
        <v>0</v>
      </c>
      <c r="P8" s="198">
        <f>SUMIFS('январь 2023'!$G$4:$G$508,'январь 2023'!$D$4:$D$508,$B8,'январь 2023'!$J$4:$J$508,P$1)</f>
        <v>0</v>
      </c>
      <c r="Q8" s="198">
        <f>SUMIFS('январь 2023'!$G$4:$G$508,'январь 2023'!$D$4:$D$508,$B8,'январь 2023'!$J$4:$J$508,Q$1)</f>
        <v>0</v>
      </c>
      <c r="R8" s="198">
        <f>SUMIFS('январь 2023'!$G$4:$G$508,'январь 2023'!$D$4:$D$508,$B8,'январь 2023'!$J$4:$J$508,R$1)</f>
        <v>0</v>
      </c>
      <c r="S8" s="198">
        <f>SUMIFS('январь 2023'!$G$4:$G$508,'январь 2023'!$D$4:$D$508,$B8,'январь 2023'!$J$4:$J$508,S$1)</f>
        <v>0</v>
      </c>
      <c r="T8" s="198">
        <f>SUMIFS('январь 2023'!$G$4:$G$508,'январь 2023'!$D$4:$D$508,$B8,'январь 2023'!$J$4:$J$508,T$1)</f>
        <v>0</v>
      </c>
      <c r="U8" s="198">
        <f>SUMIFS('январь 2023'!$G$4:$G$508,'январь 2023'!$D$4:$D$508,$B8,'январь 2023'!$J$4:$J$508,U$1)</f>
        <v>0</v>
      </c>
      <c r="V8" s="198">
        <f>SUMIFS('январь 2023'!$G$4:$G$508,'январь 2023'!$D$4:$D$508,$B8,'январь 2023'!$J$4:$J$508,V$1)</f>
        <v>0</v>
      </c>
      <c r="W8" s="198">
        <f>SUMIFS('январь 2023'!$G$4:$G$508,'январь 2023'!$D$4:$D$508,$B8,'январь 2023'!$J$4:$J$508,W$1)</f>
        <v>0</v>
      </c>
      <c r="X8" s="198">
        <f>SUMIFS('январь 2023'!$G$4:$G$508,'январь 2023'!$D$4:$D$508,$B8,'январь 2023'!$J$4:$J$508,X$1)</f>
        <v>0</v>
      </c>
      <c r="Y8" s="198">
        <f>SUMIFS('январь 2023'!$G$4:$G$508,'январь 2023'!$D$4:$D$508,$B8,'январь 2023'!$J$4:$J$508,Y$1)</f>
        <v>0</v>
      </c>
      <c r="Z8" s="198">
        <f>SUMIFS('январь 2023'!$G$4:$G$508,'январь 2023'!$D$4:$D$508,$B8,'январь 2023'!$J$4:$J$508,Z$1)</f>
        <v>0</v>
      </c>
      <c r="AA8" s="198">
        <f>SUMIFS('январь 2023'!$G$4:$G$508,'январь 2023'!$D$4:$D$508,$B8,'январь 2023'!$J$4:$J$508,AA$1)</f>
        <v>0</v>
      </c>
      <c r="AB8" s="198">
        <f>SUMIFS('январь 2023'!$G$4:$G$508,'январь 2023'!$D$4:$D$508,$B8,'январь 2023'!$J$4:$J$508,AB$1)</f>
        <v>0</v>
      </c>
      <c r="AC8" s="198">
        <f>SUMIFS('январь 2023'!$G$4:$G$508,'январь 2023'!$D$4:$D$508,$B8,'январь 2023'!$J$4:$J$508,AC$1)</f>
        <v>0</v>
      </c>
      <c r="AD8" s="198">
        <f>SUMIFS('январь 2023'!$G$4:$G$508,'январь 2023'!$D$4:$D$508,$B8,'январь 2023'!$J$4:$J$508,AD$1)</f>
        <v>0</v>
      </c>
      <c r="AE8" s="198">
        <f>SUMIFS('январь 2023'!$G$4:$G$508,'январь 2023'!$D$4:$D$508,$B8,'январь 2023'!$J$4:$J$508,AE$1)</f>
        <v>0</v>
      </c>
      <c r="AF8" s="198">
        <f>SUMIFS('январь 2023'!$G$4:$G$508,'январь 2023'!$D$4:$D$508,$B8,'январь 2023'!$J$4:$J$508,AF$1)</f>
        <v>0</v>
      </c>
      <c r="AG8" s="198">
        <f>SUMIFS('январь 2023'!$G$4:$G$508,'январь 2023'!$D$4:$D$508,$B8,'январь 2023'!$J$4:$J$508,AG$1)</f>
        <v>0</v>
      </c>
      <c r="AH8" s="198">
        <f>SUMIFS('январь 2023'!$G$4:$G$508,'январь 2023'!$D$4:$D$508,$B8,'январь 2023'!$J$4:$J$508,AH$1)</f>
        <v>0</v>
      </c>
      <c r="AI8" s="170">
        <f t="shared" si="1"/>
        <v>0</v>
      </c>
    </row>
    <row r="9" spans="2:35" ht="15" customHeight="1" x14ac:dyDescent="0.25">
      <c r="B9" s="199" t="s">
        <v>2053</v>
      </c>
      <c r="C9" s="200">
        <v>25</v>
      </c>
      <c r="D9" s="198">
        <f>SUMIFS('январь 2023'!$G$4:$G$508,'январь 2023'!$D$4:$D$508,$B9,'январь 2023'!$J$4:$J$508,D$1)</f>
        <v>0</v>
      </c>
      <c r="E9" s="198">
        <f>SUMIFS('январь 2023'!$G$4:$G$508,'январь 2023'!$D$4:$D$508,$B9,'январь 2023'!$J$4:$J$508,E$1)</f>
        <v>0</v>
      </c>
      <c r="F9" s="198">
        <f>SUMIFS('январь 2023'!$G$4:$G$508,'январь 2023'!$D$4:$D$508,$B9,'январь 2023'!$J$4:$J$508,F$1)</f>
        <v>0</v>
      </c>
      <c r="G9" s="198">
        <f>SUMIFS('январь 2023'!$G$4:$G$508,'январь 2023'!$D$4:$D$508,$B9,'январь 2023'!$J$4:$J$508,G$1)</f>
        <v>0</v>
      </c>
      <c r="H9" s="198">
        <f>SUMIFS('январь 2023'!$G$4:$G$508,'январь 2023'!$D$4:$D$508,$B9,'январь 2023'!$J$4:$J$508,H$1)</f>
        <v>0</v>
      </c>
      <c r="I9" s="198">
        <f>SUMIFS('январь 2023'!$G$4:$G$508,'январь 2023'!$D$4:$D$508,$B9,'январь 2023'!$J$4:$J$508,I$1)</f>
        <v>0</v>
      </c>
      <c r="J9" s="198">
        <f>SUMIFS('январь 2023'!$G$4:$G$508,'январь 2023'!$D$4:$D$508,$B9,'январь 2023'!$J$4:$J$508,J$1)</f>
        <v>0</v>
      </c>
      <c r="K9" s="198">
        <f>SUMIFS('январь 2023'!$G$4:$G$508,'январь 2023'!$D$4:$D$508,$B9,'январь 2023'!$J$4:$J$508,K$1)</f>
        <v>0</v>
      </c>
      <c r="L9" s="198">
        <f>SUMIFS('январь 2023'!$G$4:$G$508,'январь 2023'!$D$4:$D$508,$B9,'январь 2023'!$J$4:$J$508,L$1)</f>
        <v>0</v>
      </c>
      <c r="M9" s="198">
        <f>SUMIFS('январь 2023'!$G$4:$G$508,'январь 2023'!$D$4:$D$508,$B9,'январь 2023'!$J$4:$J$508,M$1)</f>
        <v>0</v>
      </c>
      <c r="N9" s="198">
        <f>SUMIFS('январь 2023'!$G$4:$G$508,'январь 2023'!$D$4:$D$508,$B9,'январь 2023'!$J$4:$J$508,N$1)</f>
        <v>0</v>
      </c>
      <c r="O9" s="198">
        <f>SUMIFS('январь 2023'!$G$4:$G$508,'январь 2023'!$D$4:$D$508,$B9,'январь 2023'!$J$4:$J$508,O$1)</f>
        <v>0</v>
      </c>
      <c r="P9" s="198">
        <f>SUMIFS('январь 2023'!$G$4:$G$508,'январь 2023'!$D$4:$D$508,$B9,'январь 2023'!$J$4:$J$508,P$1)</f>
        <v>0</v>
      </c>
      <c r="Q9" s="198">
        <f>SUMIFS('январь 2023'!$G$4:$G$508,'январь 2023'!$D$4:$D$508,$B9,'январь 2023'!$J$4:$J$508,Q$1)</f>
        <v>0</v>
      </c>
      <c r="R9" s="198">
        <f>SUMIFS('январь 2023'!$G$4:$G$508,'январь 2023'!$D$4:$D$508,$B9,'январь 2023'!$J$4:$J$508,R$1)</f>
        <v>0</v>
      </c>
      <c r="S9" s="198">
        <f>SUMIFS('январь 2023'!$G$4:$G$508,'январь 2023'!$D$4:$D$508,$B9,'январь 2023'!$J$4:$J$508,S$1)</f>
        <v>0</v>
      </c>
      <c r="T9" s="198">
        <f>SUMIFS('январь 2023'!$G$4:$G$508,'январь 2023'!$D$4:$D$508,$B9,'январь 2023'!$J$4:$J$508,T$1)</f>
        <v>0</v>
      </c>
      <c r="U9" s="198">
        <f>SUMIFS('январь 2023'!$G$4:$G$508,'январь 2023'!$D$4:$D$508,$B9,'январь 2023'!$J$4:$J$508,U$1)</f>
        <v>0</v>
      </c>
      <c r="V9" s="198">
        <f>SUMIFS('январь 2023'!$G$4:$G$508,'январь 2023'!$D$4:$D$508,$B9,'январь 2023'!$J$4:$J$508,V$1)</f>
        <v>0</v>
      </c>
      <c r="W9" s="198">
        <f>SUMIFS('январь 2023'!$G$4:$G$508,'январь 2023'!$D$4:$D$508,$B9,'январь 2023'!$J$4:$J$508,W$1)</f>
        <v>0</v>
      </c>
      <c r="X9" s="198">
        <f>SUMIFS('январь 2023'!$G$4:$G$508,'январь 2023'!$D$4:$D$508,$B9,'январь 2023'!$J$4:$J$508,X$1)</f>
        <v>0</v>
      </c>
      <c r="Y9" s="198">
        <f>SUMIFS('январь 2023'!$G$4:$G$508,'январь 2023'!$D$4:$D$508,$B9,'январь 2023'!$J$4:$J$508,Y$1)</f>
        <v>0</v>
      </c>
      <c r="Z9" s="198">
        <f>SUMIFS('январь 2023'!$G$4:$G$508,'январь 2023'!$D$4:$D$508,$B9,'январь 2023'!$J$4:$J$508,Z$1)</f>
        <v>0</v>
      </c>
      <c r="AA9" s="198">
        <f>SUMIFS('январь 2023'!$G$4:$G$508,'январь 2023'!$D$4:$D$508,$B9,'январь 2023'!$J$4:$J$508,AA$1)</f>
        <v>0</v>
      </c>
      <c r="AB9" s="198">
        <f>SUMIFS('январь 2023'!$G$4:$G$508,'январь 2023'!$D$4:$D$508,$B9,'январь 2023'!$J$4:$J$508,AB$1)</f>
        <v>0</v>
      </c>
      <c r="AC9" s="198">
        <f>SUMIFS('январь 2023'!$G$4:$G$508,'январь 2023'!$D$4:$D$508,$B9,'январь 2023'!$J$4:$J$508,AC$1)</f>
        <v>0</v>
      </c>
      <c r="AD9" s="198">
        <f>SUMIFS('январь 2023'!$G$4:$G$508,'январь 2023'!$D$4:$D$508,$B9,'январь 2023'!$J$4:$J$508,AD$1)</f>
        <v>0</v>
      </c>
      <c r="AE9" s="198">
        <f>SUMIFS('январь 2023'!$G$4:$G$508,'январь 2023'!$D$4:$D$508,$B9,'январь 2023'!$J$4:$J$508,AE$1)</f>
        <v>0</v>
      </c>
      <c r="AF9" s="198">
        <f>SUMIFS('январь 2023'!$G$4:$G$508,'январь 2023'!$D$4:$D$508,$B9,'январь 2023'!$J$4:$J$508,AF$1)</f>
        <v>0</v>
      </c>
      <c r="AG9" s="198">
        <f>SUMIFS('январь 2023'!$G$4:$G$508,'январь 2023'!$D$4:$D$508,$B9,'январь 2023'!$J$4:$J$508,AG$1)</f>
        <v>400</v>
      </c>
      <c r="AH9" s="198">
        <f>SUMIFS('январь 2023'!$G$4:$G$508,'январь 2023'!$D$4:$D$508,$B9,'январь 2023'!$J$4:$J$508,AH$1)</f>
        <v>0</v>
      </c>
      <c r="AI9" s="170">
        <f t="shared" si="1"/>
        <v>400</v>
      </c>
    </row>
    <row r="10" spans="2:35" ht="15" customHeight="1" x14ac:dyDescent="0.25">
      <c r="B10" s="199" t="s">
        <v>2094</v>
      </c>
      <c r="C10" s="200">
        <v>22.7</v>
      </c>
      <c r="D10" s="198">
        <f>SUMIFS('январь 2023'!$G$4:$G$508,'январь 2023'!$D$4:$D$508,$B10,'январь 2023'!$J$4:$J$508,D$1)</f>
        <v>0</v>
      </c>
      <c r="E10" s="198">
        <f>SUMIFS('январь 2023'!$G$4:$G$508,'январь 2023'!$D$4:$D$508,$B10,'январь 2023'!$J$4:$J$508,E$1)</f>
        <v>0</v>
      </c>
      <c r="F10" s="198">
        <f>SUMIFS('январь 2023'!$G$4:$G$508,'январь 2023'!$D$4:$D$508,$B10,'январь 2023'!$J$4:$J$508,F$1)</f>
        <v>0</v>
      </c>
      <c r="G10" s="198">
        <f>SUMIFS('январь 2023'!$G$4:$G$508,'январь 2023'!$D$4:$D$508,$B10,'январь 2023'!$J$4:$J$508,G$1)</f>
        <v>0</v>
      </c>
      <c r="H10" s="198">
        <f>SUMIFS('январь 2023'!$G$4:$G$508,'январь 2023'!$D$4:$D$508,$B10,'январь 2023'!$J$4:$J$508,H$1)</f>
        <v>0</v>
      </c>
      <c r="I10" s="198">
        <f>SUMIFS('январь 2023'!$G$4:$G$508,'январь 2023'!$D$4:$D$508,$B10,'январь 2023'!$J$4:$J$508,I$1)</f>
        <v>0</v>
      </c>
      <c r="J10" s="198">
        <f>SUMIFS('январь 2023'!$G$4:$G$508,'январь 2023'!$D$4:$D$508,$B10,'январь 2023'!$J$4:$J$508,J$1)</f>
        <v>0</v>
      </c>
      <c r="K10" s="198">
        <f>SUMIFS('январь 2023'!$G$4:$G$508,'январь 2023'!$D$4:$D$508,$B10,'январь 2023'!$J$4:$J$508,K$1)</f>
        <v>0</v>
      </c>
      <c r="L10" s="198">
        <f>SUMIFS('январь 2023'!$G$4:$G$508,'январь 2023'!$D$4:$D$508,$B10,'январь 2023'!$J$4:$J$508,L$1)</f>
        <v>0</v>
      </c>
      <c r="M10" s="198">
        <f>SUMIFS('январь 2023'!$G$4:$G$508,'январь 2023'!$D$4:$D$508,$B10,'январь 2023'!$J$4:$J$508,M$1)</f>
        <v>0</v>
      </c>
      <c r="N10" s="198">
        <f>SUMIFS('январь 2023'!$G$4:$G$508,'январь 2023'!$D$4:$D$508,$B10,'январь 2023'!$J$4:$J$508,N$1)</f>
        <v>0</v>
      </c>
      <c r="O10" s="198">
        <f>SUMIFS('январь 2023'!$G$4:$G$508,'январь 2023'!$D$4:$D$508,$B10,'январь 2023'!$J$4:$J$508,O$1)</f>
        <v>0</v>
      </c>
      <c r="P10" s="198">
        <f>SUMIFS('январь 2023'!$G$4:$G$508,'январь 2023'!$D$4:$D$508,$B10,'январь 2023'!$J$4:$J$508,P$1)</f>
        <v>0</v>
      </c>
      <c r="Q10" s="198">
        <f>SUMIFS('январь 2023'!$G$4:$G$508,'январь 2023'!$D$4:$D$508,$B10,'январь 2023'!$J$4:$J$508,Q$1)</f>
        <v>0</v>
      </c>
      <c r="R10" s="198">
        <f>SUMIFS('январь 2023'!$G$4:$G$508,'январь 2023'!$D$4:$D$508,$B10,'январь 2023'!$J$4:$J$508,R$1)</f>
        <v>0</v>
      </c>
      <c r="S10" s="198">
        <f>SUMIFS('январь 2023'!$G$4:$G$508,'январь 2023'!$D$4:$D$508,$B10,'январь 2023'!$J$4:$J$508,S$1)</f>
        <v>0</v>
      </c>
      <c r="T10" s="198">
        <f>SUMIFS('январь 2023'!$G$4:$G$508,'январь 2023'!$D$4:$D$508,$B10,'январь 2023'!$J$4:$J$508,T$1)</f>
        <v>0</v>
      </c>
      <c r="U10" s="198">
        <f>SUMIFS('январь 2023'!$G$4:$G$508,'январь 2023'!$D$4:$D$508,$B10,'январь 2023'!$J$4:$J$508,U$1)</f>
        <v>0</v>
      </c>
      <c r="V10" s="198">
        <f>SUMIFS('январь 2023'!$G$4:$G$508,'январь 2023'!$D$4:$D$508,$B10,'январь 2023'!$J$4:$J$508,V$1)</f>
        <v>0</v>
      </c>
      <c r="W10" s="198">
        <f>SUMIFS('январь 2023'!$G$4:$G$508,'январь 2023'!$D$4:$D$508,$B10,'январь 2023'!$J$4:$J$508,W$1)</f>
        <v>0</v>
      </c>
      <c r="X10" s="198">
        <f>SUMIFS('январь 2023'!$G$4:$G$508,'январь 2023'!$D$4:$D$508,$B10,'январь 2023'!$J$4:$J$508,X$1)</f>
        <v>0</v>
      </c>
      <c r="Y10" s="198">
        <f>SUMIFS('январь 2023'!$G$4:$G$508,'январь 2023'!$D$4:$D$508,$B10,'январь 2023'!$J$4:$J$508,Y$1)</f>
        <v>0</v>
      </c>
      <c r="Z10" s="198">
        <f>SUMIFS('январь 2023'!$G$4:$G$508,'январь 2023'!$D$4:$D$508,$B10,'январь 2023'!$J$4:$J$508,Z$1)</f>
        <v>0</v>
      </c>
      <c r="AA10" s="198">
        <f>SUMIFS('январь 2023'!$G$4:$G$508,'январь 2023'!$D$4:$D$508,$B10,'январь 2023'!$J$4:$J$508,AA$1)</f>
        <v>0</v>
      </c>
      <c r="AB10" s="198">
        <f>SUMIFS('январь 2023'!$G$4:$G$508,'январь 2023'!$D$4:$D$508,$B10,'январь 2023'!$J$4:$J$508,AB$1)</f>
        <v>0</v>
      </c>
      <c r="AC10" s="198">
        <f>SUMIFS('январь 2023'!$G$4:$G$508,'январь 2023'!$D$4:$D$508,$B10,'январь 2023'!$J$4:$J$508,AC$1)</f>
        <v>0</v>
      </c>
      <c r="AD10" s="198">
        <f>SUMIFS('январь 2023'!$G$4:$G$508,'январь 2023'!$D$4:$D$508,$B10,'январь 2023'!$J$4:$J$508,AD$1)</f>
        <v>0</v>
      </c>
      <c r="AE10" s="198">
        <f>SUMIFS('январь 2023'!$G$4:$G$508,'январь 2023'!$D$4:$D$508,$B10,'январь 2023'!$J$4:$J$508,AE$1)</f>
        <v>0</v>
      </c>
      <c r="AF10" s="198">
        <f>SUMIFS('январь 2023'!$G$4:$G$508,'январь 2023'!$D$4:$D$508,$B10,'январь 2023'!$J$4:$J$508,AF$1)</f>
        <v>0</v>
      </c>
      <c r="AG10" s="198">
        <f>SUMIFS('январь 2023'!$G$4:$G$508,'январь 2023'!$D$4:$D$508,$B10,'январь 2023'!$J$4:$J$508,AG$1)</f>
        <v>0</v>
      </c>
      <c r="AH10" s="198">
        <f>SUMIFS('январь 2023'!$G$4:$G$508,'январь 2023'!$D$4:$D$508,$B10,'январь 2023'!$J$4:$J$508,AH$1)</f>
        <v>0</v>
      </c>
      <c r="AI10" s="170">
        <f t="shared" si="1"/>
        <v>0</v>
      </c>
    </row>
    <row r="11" spans="2:35" ht="15" customHeight="1" x14ac:dyDescent="0.25">
      <c r="B11" s="202" t="s">
        <v>1880</v>
      </c>
      <c r="C11" s="203">
        <v>22.7</v>
      </c>
      <c r="D11" s="198">
        <f>SUMIFS('январь 2023'!$G$4:$G$508,'январь 2023'!$D$4:$D$508,$B11,'январь 2023'!$J$4:$J$508,D$1)</f>
        <v>0</v>
      </c>
      <c r="E11" s="198">
        <f>SUMIFS('январь 2023'!$G$4:$G$508,'январь 2023'!$D$4:$D$508,$B11,'январь 2023'!$J$4:$J$508,E$1)</f>
        <v>0</v>
      </c>
      <c r="F11" s="198">
        <f>SUMIFS('январь 2023'!$G$4:$G$508,'январь 2023'!$D$4:$D$508,$B11,'январь 2023'!$J$4:$J$508,F$1)</f>
        <v>0</v>
      </c>
      <c r="G11" s="198">
        <f>SUMIFS('январь 2023'!$G$4:$G$508,'январь 2023'!$D$4:$D$508,$B11,'январь 2023'!$J$4:$J$508,G$1)</f>
        <v>0</v>
      </c>
      <c r="H11" s="198">
        <f>SUMIFS('январь 2023'!$G$4:$G$508,'январь 2023'!$D$4:$D$508,$B11,'январь 2023'!$J$4:$J$508,H$1)</f>
        <v>0</v>
      </c>
      <c r="I11" s="198">
        <f>SUMIFS('январь 2023'!$G$4:$G$508,'январь 2023'!$D$4:$D$508,$B11,'январь 2023'!$J$4:$J$508,I$1)</f>
        <v>0</v>
      </c>
      <c r="J11" s="198">
        <f>SUMIFS('январь 2023'!$G$4:$G$508,'январь 2023'!$D$4:$D$508,$B11,'январь 2023'!$J$4:$J$508,J$1)</f>
        <v>0</v>
      </c>
      <c r="K11" s="198">
        <f>SUMIFS('январь 2023'!$G$4:$G$508,'январь 2023'!$D$4:$D$508,$B11,'январь 2023'!$J$4:$J$508,K$1)</f>
        <v>0</v>
      </c>
      <c r="L11" s="198">
        <f>SUMIFS('январь 2023'!$G$4:$G$508,'январь 2023'!$D$4:$D$508,$B11,'январь 2023'!$J$4:$J$508,L$1)</f>
        <v>0</v>
      </c>
      <c r="M11" s="198">
        <f>SUMIFS('январь 2023'!$G$4:$G$508,'январь 2023'!$D$4:$D$508,$B11,'январь 2023'!$J$4:$J$508,M$1)</f>
        <v>0</v>
      </c>
      <c r="N11" s="198">
        <f>SUMIFS('январь 2023'!$G$4:$G$508,'январь 2023'!$D$4:$D$508,$B11,'январь 2023'!$J$4:$J$508,N$1)</f>
        <v>0</v>
      </c>
      <c r="O11" s="198">
        <f>SUMIFS('январь 2023'!$G$4:$G$508,'январь 2023'!$D$4:$D$508,$B11,'январь 2023'!$J$4:$J$508,O$1)</f>
        <v>0</v>
      </c>
      <c r="P11" s="198">
        <f>SUMIFS('январь 2023'!$G$4:$G$508,'январь 2023'!$D$4:$D$508,$B11,'январь 2023'!$J$4:$J$508,P$1)</f>
        <v>0</v>
      </c>
      <c r="Q11" s="198">
        <f>SUMIFS('январь 2023'!$G$4:$G$508,'январь 2023'!$D$4:$D$508,$B11,'январь 2023'!$J$4:$J$508,Q$1)</f>
        <v>0</v>
      </c>
      <c r="R11" s="198">
        <f>SUMIFS('январь 2023'!$G$4:$G$508,'январь 2023'!$D$4:$D$508,$B11,'январь 2023'!$J$4:$J$508,R$1)</f>
        <v>0</v>
      </c>
      <c r="S11" s="198">
        <f>SUMIFS('январь 2023'!$G$4:$G$508,'январь 2023'!$D$4:$D$508,$B11,'январь 2023'!$J$4:$J$508,S$1)</f>
        <v>0</v>
      </c>
      <c r="T11" s="198">
        <f>SUMIFS('январь 2023'!$G$4:$G$508,'январь 2023'!$D$4:$D$508,$B11,'январь 2023'!$J$4:$J$508,T$1)</f>
        <v>0</v>
      </c>
      <c r="U11" s="198">
        <f>SUMIFS('январь 2023'!$G$4:$G$508,'январь 2023'!$D$4:$D$508,$B11,'январь 2023'!$J$4:$J$508,U$1)</f>
        <v>0</v>
      </c>
      <c r="V11" s="198">
        <f>SUMIFS('январь 2023'!$G$4:$G$508,'январь 2023'!$D$4:$D$508,$B11,'январь 2023'!$J$4:$J$508,V$1)</f>
        <v>0</v>
      </c>
      <c r="W11" s="198">
        <f>SUMIFS('январь 2023'!$G$4:$G$508,'январь 2023'!$D$4:$D$508,$B11,'январь 2023'!$J$4:$J$508,W$1)</f>
        <v>0</v>
      </c>
      <c r="X11" s="198">
        <f>SUMIFS('январь 2023'!$G$4:$G$508,'январь 2023'!$D$4:$D$508,$B11,'январь 2023'!$J$4:$J$508,X$1)</f>
        <v>0</v>
      </c>
      <c r="Y11" s="198">
        <f>SUMIFS('январь 2023'!$G$4:$G$508,'январь 2023'!$D$4:$D$508,$B11,'январь 2023'!$J$4:$J$508,Y$1)</f>
        <v>0</v>
      </c>
      <c r="Z11" s="198">
        <f>SUMIFS('январь 2023'!$G$4:$G$508,'январь 2023'!$D$4:$D$508,$B11,'январь 2023'!$J$4:$J$508,Z$1)</f>
        <v>0</v>
      </c>
      <c r="AA11" s="198">
        <f>SUMIFS('январь 2023'!$G$4:$G$508,'январь 2023'!$D$4:$D$508,$B11,'январь 2023'!$J$4:$J$508,AA$1)</f>
        <v>0</v>
      </c>
      <c r="AB11" s="198">
        <f>SUMIFS('январь 2023'!$G$4:$G$508,'январь 2023'!$D$4:$D$508,$B11,'январь 2023'!$J$4:$J$508,AB$1)</f>
        <v>0</v>
      </c>
      <c r="AC11" s="198">
        <f>SUMIFS('январь 2023'!$G$4:$G$508,'январь 2023'!$D$4:$D$508,$B11,'январь 2023'!$J$4:$J$508,AC$1)</f>
        <v>0</v>
      </c>
      <c r="AD11" s="198">
        <f>SUMIFS('январь 2023'!$G$4:$G$508,'январь 2023'!$D$4:$D$508,$B11,'январь 2023'!$J$4:$J$508,AD$1)</f>
        <v>0</v>
      </c>
      <c r="AE11" s="198">
        <f>SUMIFS('январь 2023'!$G$4:$G$508,'январь 2023'!$D$4:$D$508,$B11,'январь 2023'!$J$4:$J$508,AE$1)</f>
        <v>0</v>
      </c>
      <c r="AF11" s="198">
        <f>SUMIFS('январь 2023'!$G$4:$G$508,'январь 2023'!$D$4:$D$508,$B11,'январь 2023'!$J$4:$J$508,AF$1)</f>
        <v>0</v>
      </c>
      <c r="AG11" s="198">
        <f>SUMIFS('январь 2023'!$G$4:$G$508,'январь 2023'!$D$4:$D$508,$B11,'январь 2023'!$J$4:$J$508,AG$1)</f>
        <v>0</v>
      </c>
      <c r="AH11" s="198">
        <f>SUMIFS('январь 2023'!$G$4:$G$508,'январь 2023'!$D$4:$D$508,$B11,'январь 2023'!$J$4:$J$508,AH$1)</f>
        <v>0</v>
      </c>
      <c r="AI11" s="170">
        <f t="shared" si="1"/>
        <v>0</v>
      </c>
    </row>
    <row r="12" spans="2:35" ht="15" customHeight="1" x14ac:dyDescent="0.25">
      <c r="B12" s="202" t="s">
        <v>86</v>
      </c>
      <c r="C12" s="203">
        <v>22.7</v>
      </c>
      <c r="D12" s="198">
        <f>SUMIFS('январь 2023'!$G$4:$G$508,'январь 2023'!$D$4:$D$508,$B12,'январь 2023'!$J$4:$J$508,D$1)</f>
        <v>0</v>
      </c>
      <c r="E12" s="198">
        <f>SUMIFS('январь 2023'!$G$4:$G$508,'январь 2023'!$D$4:$D$508,$B12,'январь 2023'!$J$4:$J$508,E$1)</f>
        <v>0</v>
      </c>
      <c r="F12" s="198">
        <f>SUMIFS('январь 2023'!$G$4:$G$508,'январь 2023'!$D$4:$D$508,$B12,'январь 2023'!$J$4:$J$508,F$1)</f>
        <v>0</v>
      </c>
      <c r="G12" s="198">
        <f>SUMIFS('январь 2023'!$G$4:$G$508,'январь 2023'!$D$4:$D$508,$B12,'январь 2023'!$J$4:$J$508,G$1)</f>
        <v>0</v>
      </c>
      <c r="H12" s="198">
        <f>SUMIFS('январь 2023'!$G$4:$G$508,'январь 2023'!$D$4:$D$508,$B12,'январь 2023'!$J$4:$J$508,H$1)</f>
        <v>0</v>
      </c>
      <c r="I12" s="198">
        <f>SUMIFS('январь 2023'!$G$4:$G$508,'январь 2023'!$D$4:$D$508,$B12,'январь 2023'!$J$4:$J$508,I$1)</f>
        <v>0</v>
      </c>
      <c r="J12" s="198">
        <f>SUMIFS('январь 2023'!$G$4:$G$508,'январь 2023'!$D$4:$D$508,$B12,'январь 2023'!$J$4:$J$508,J$1)</f>
        <v>0</v>
      </c>
      <c r="K12" s="198">
        <f>SUMIFS('январь 2023'!$G$4:$G$508,'январь 2023'!$D$4:$D$508,$B12,'январь 2023'!$J$4:$J$508,K$1)</f>
        <v>0</v>
      </c>
      <c r="L12" s="198">
        <f>SUMIFS('январь 2023'!$G$4:$G$508,'январь 2023'!$D$4:$D$508,$B12,'январь 2023'!$J$4:$J$508,L$1)</f>
        <v>0</v>
      </c>
      <c r="M12" s="198">
        <f>SUMIFS('январь 2023'!$G$4:$G$508,'январь 2023'!$D$4:$D$508,$B12,'январь 2023'!$J$4:$J$508,M$1)</f>
        <v>0</v>
      </c>
      <c r="N12" s="198">
        <f>SUMIFS('январь 2023'!$G$4:$G$508,'январь 2023'!$D$4:$D$508,$B12,'январь 2023'!$J$4:$J$508,N$1)</f>
        <v>0</v>
      </c>
      <c r="O12" s="198">
        <f>SUMIFS('январь 2023'!$G$4:$G$508,'январь 2023'!$D$4:$D$508,$B12,'январь 2023'!$J$4:$J$508,O$1)</f>
        <v>0</v>
      </c>
      <c r="P12" s="198">
        <f>SUMIFS('январь 2023'!$G$4:$G$508,'январь 2023'!$D$4:$D$508,$B12,'январь 2023'!$J$4:$J$508,P$1)</f>
        <v>0</v>
      </c>
      <c r="Q12" s="198">
        <f>SUMIFS('январь 2023'!$G$4:$G$508,'январь 2023'!$D$4:$D$508,$B12,'январь 2023'!$J$4:$J$508,Q$1)</f>
        <v>0</v>
      </c>
      <c r="R12" s="198">
        <f>SUMIFS('январь 2023'!$G$4:$G$508,'январь 2023'!$D$4:$D$508,$B12,'январь 2023'!$J$4:$J$508,R$1)</f>
        <v>0</v>
      </c>
      <c r="S12" s="198">
        <f>SUMIFS('январь 2023'!$G$4:$G$508,'январь 2023'!$D$4:$D$508,$B12,'январь 2023'!$J$4:$J$508,S$1)</f>
        <v>0</v>
      </c>
      <c r="T12" s="198">
        <f>SUMIFS('январь 2023'!$G$4:$G$508,'январь 2023'!$D$4:$D$508,$B12,'январь 2023'!$J$4:$J$508,T$1)</f>
        <v>0</v>
      </c>
      <c r="U12" s="198">
        <f>SUMIFS('январь 2023'!$G$4:$G$508,'январь 2023'!$D$4:$D$508,$B12,'январь 2023'!$J$4:$J$508,U$1)</f>
        <v>0</v>
      </c>
      <c r="V12" s="198">
        <f>SUMIFS('январь 2023'!$G$4:$G$508,'январь 2023'!$D$4:$D$508,$B12,'январь 2023'!$J$4:$J$508,V$1)</f>
        <v>0</v>
      </c>
      <c r="W12" s="198">
        <f>SUMIFS('январь 2023'!$G$4:$G$508,'январь 2023'!$D$4:$D$508,$B12,'январь 2023'!$J$4:$J$508,W$1)</f>
        <v>0</v>
      </c>
      <c r="X12" s="198">
        <f>SUMIFS('январь 2023'!$G$4:$G$508,'январь 2023'!$D$4:$D$508,$B12,'январь 2023'!$J$4:$J$508,X$1)</f>
        <v>0</v>
      </c>
      <c r="Y12" s="198">
        <f>SUMIFS('январь 2023'!$G$4:$G$508,'январь 2023'!$D$4:$D$508,$B12,'январь 2023'!$J$4:$J$508,Y$1)</f>
        <v>0</v>
      </c>
      <c r="Z12" s="198">
        <f>SUMIFS('январь 2023'!$G$4:$G$508,'январь 2023'!$D$4:$D$508,$B12,'январь 2023'!$J$4:$J$508,Z$1)</f>
        <v>0</v>
      </c>
      <c r="AA12" s="198">
        <f>SUMIFS('январь 2023'!$G$4:$G$508,'январь 2023'!$D$4:$D$508,$B12,'январь 2023'!$J$4:$J$508,AA$1)</f>
        <v>0</v>
      </c>
      <c r="AB12" s="198">
        <f>SUMIFS('январь 2023'!$G$4:$G$508,'январь 2023'!$D$4:$D$508,$B12,'январь 2023'!$J$4:$J$508,AB$1)</f>
        <v>0</v>
      </c>
      <c r="AC12" s="198">
        <f>SUMIFS('январь 2023'!$G$4:$G$508,'январь 2023'!$D$4:$D$508,$B12,'январь 2023'!$J$4:$J$508,AC$1)</f>
        <v>0</v>
      </c>
      <c r="AD12" s="198">
        <f>SUMIFS('январь 2023'!$G$4:$G$508,'январь 2023'!$D$4:$D$508,$B12,'январь 2023'!$J$4:$J$508,AD$1)</f>
        <v>0</v>
      </c>
      <c r="AE12" s="198">
        <f>SUMIFS('январь 2023'!$G$4:$G$508,'январь 2023'!$D$4:$D$508,$B12,'январь 2023'!$J$4:$J$508,AE$1)</f>
        <v>0</v>
      </c>
      <c r="AF12" s="198">
        <f>SUMIFS('январь 2023'!$G$4:$G$508,'январь 2023'!$D$4:$D$508,$B12,'январь 2023'!$J$4:$J$508,AF$1)</f>
        <v>0</v>
      </c>
      <c r="AG12" s="198">
        <f>SUMIFS('январь 2023'!$G$4:$G$508,'январь 2023'!$D$4:$D$508,$B12,'январь 2023'!$J$4:$J$508,AG$1)</f>
        <v>0</v>
      </c>
      <c r="AH12" s="198">
        <f>SUMIFS('январь 2023'!$G$4:$G$508,'январь 2023'!$D$4:$D$508,$B12,'январь 2023'!$J$4:$J$508,AH$1)</f>
        <v>640</v>
      </c>
      <c r="AI12" s="170">
        <f t="shared" si="1"/>
        <v>640</v>
      </c>
    </row>
    <row r="13" spans="2:35" ht="15" customHeight="1" x14ac:dyDescent="0.25">
      <c r="B13" s="199" t="s">
        <v>2103</v>
      </c>
      <c r="C13" s="200">
        <v>25</v>
      </c>
      <c r="D13" s="198">
        <f>SUMIFS('январь 2023'!$G$4:$G$508,'январь 2023'!$D$4:$D$508,$B13,'январь 2023'!$J$4:$J$508,D$1)</f>
        <v>0</v>
      </c>
      <c r="E13" s="198">
        <f>SUMIFS('январь 2023'!$G$4:$G$508,'январь 2023'!$D$4:$D$508,$B13,'январь 2023'!$J$4:$J$508,E$1)</f>
        <v>0</v>
      </c>
      <c r="F13" s="198">
        <f>SUMIFS('январь 2023'!$G$4:$G$508,'январь 2023'!$D$4:$D$508,$B13,'январь 2023'!$J$4:$J$508,F$1)</f>
        <v>0</v>
      </c>
      <c r="G13" s="198">
        <f>SUMIFS('январь 2023'!$G$4:$G$508,'январь 2023'!$D$4:$D$508,$B13,'январь 2023'!$J$4:$J$508,G$1)</f>
        <v>0</v>
      </c>
      <c r="H13" s="198">
        <f>SUMIFS('январь 2023'!$G$4:$G$508,'январь 2023'!$D$4:$D$508,$B13,'январь 2023'!$J$4:$J$508,H$1)</f>
        <v>0</v>
      </c>
      <c r="I13" s="198">
        <f>SUMIFS('январь 2023'!$G$4:$G$508,'январь 2023'!$D$4:$D$508,$B13,'январь 2023'!$J$4:$J$508,I$1)</f>
        <v>0</v>
      </c>
      <c r="J13" s="198">
        <f>SUMIFS('январь 2023'!$G$4:$G$508,'январь 2023'!$D$4:$D$508,$B13,'январь 2023'!$J$4:$J$508,J$1)</f>
        <v>0</v>
      </c>
      <c r="K13" s="198">
        <f>SUMIFS('январь 2023'!$G$4:$G$508,'январь 2023'!$D$4:$D$508,$B13,'январь 2023'!$J$4:$J$508,K$1)</f>
        <v>0</v>
      </c>
      <c r="L13" s="198">
        <f>SUMIFS('январь 2023'!$G$4:$G$508,'январь 2023'!$D$4:$D$508,$B13,'январь 2023'!$J$4:$J$508,L$1)</f>
        <v>0</v>
      </c>
      <c r="M13" s="198">
        <f>SUMIFS('январь 2023'!$G$4:$G$508,'январь 2023'!$D$4:$D$508,$B13,'январь 2023'!$J$4:$J$508,M$1)</f>
        <v>0</v>
      </c>
      <c r="N13" s="198">
        <f>SUMIFS('январь 2023'!$G$4:$G$508,'январь 2023'!$D$4:$D$508,$B13,'январь 2023'!$J$4:$J$508,N$1)</f>
        <v>0</v>
      </c>
      <c r="O13" s="198">
        <f>SUMIFS('январь 2023'!$G$4:$G$508,'январь 2023'!$D$4:$D$508,$B13,'январь 2023'!$J$4:$J$508,O$1)</f>
        <v>0</v>
      </c>
      <c r="P13" s="198">
        <f>SUMIFS('январь 2023'!$G$4:$G$508,'январь 2023'!$D$4:$D$508,$B13,'январь 2023'!$J$4:$J$508,P$1)</f>
        <v>0</v>
      </c>
      <c r="Q13" s="198">
        <f>SUMIFS('январь 2023'!$G$4:$G$508,'январь 2023'!$D$4:$D$508,$B13,'январь 2023'!$J$4:$J$508,Q$1)</f>
        <v>0</v>
      </c>
      <c r="R13" s="198">
        <f>SUMIFS('январь 2023'!$G$4:$G$508,'январь 2023'!$D$4:$D$508,$B13,'январь 2023'!$J$4:$J$508,R$1)</f>
        <v>0</v>
      </c>
      <c r="S13" s="198">
        <f>SUMIFS('январь 2023'!$G$4:$G$508,'январь 2023'!$D$4:$D$508,$B13,'январь 2023'!$J$4:$J$508,S$1)</f>
        <v>0</v>
      </c>
      <c r="T13" s="198">
        <f>SUMIFS('январь 2023'!$G$4:$G$508,'январь 2023'!$D$4:$D$508,$B13,'январь 2023'!$J$4:$J$508,T$1)</f>
        <v>0</v>
      </c>
      <c r="U13" s="198">
        <f>SUMIFS('январь 2023'!$G$4:$G$508,'январь 2023'!$D$4:$D$508,$B13,'январь 2023'!$J$4:$J$508,U$1)</f>
        <v>0</v>
      </c>
      <c r="V13" s="198">
        <f>SUMIFS('январь 2023'!$G$4:$G$508,'январь 2023'!$D$4:$D$508,$B13,'январь 2023'!$J$4:$J$508,V$1)</f>
        <v>0</v>
      </c>
      <c r="W13" s="198">
        <f>SUMIFS('январь 2023'!$G$4:$G$508,'январь 2023'!$D$4:$D$508,$B13,'январь 2023'!$J$4:$J$508,W$1)</f>
        <v>0</v>
      </c>
      <c r="X13" s="198">
        <f>SUMIFS('январь 2023'!$G$4:$G$508,'январь 2023'!$D$4:$D$508,$B13,'январь 2023'!$J$4:$J$508,X$1)</f>
        <v>0</v>
      </c>
      <c r="Y13" s="198">
        <f>SUMIFS('январь 2023'!$G$4:$G$508,'январь 2023'!$D$4:$D$508,$B13,'январь 2023'!$J$4:$J$508,Y$1)</f>
        <v>0</v>
      </c>
      <c r="Z13" s="198">
        <f>SUMIFS('январь 2023'!$G$4:$G$508,'январь 2023'!$D$4:$D$508,$B13,'январь 2023'!$J$4:$J$508,Z$1)</f>
        <v>0</v>
      </c>
      <c r="AA13" s="198">
        <f>SUMIFS('январь 2023'!$G$4:$G$508,'январь 2023'!$D$4:$D$508,$B13,'январь 2023'!$J$4:$J$508,AA$1)</f>
        <v>0</v>
      </c>
      <c r="AB13" s="198">
        <f>SUMIFS('январь 2023'!$G$4:$G$508,'январь 2023'!$D$4:$D$508,$B13,'январь 2023'!$J$4:$J$508,AB$1)</f>
        <v>0</v>
      </c>
      <c r="AC13" s="198">
        <f>SUMIFS('январь 2023'!$G$4:$G$508,'январь 2023'!$D$4:$D$508,$B13,'январь 2023'!$J$4:$J$508,AC$1)</f>
        <v>0</v>
      </c>
      <c r="AD13" s="198">
        <f>SUMIFS('январь 2023'!$G$4:$G$508,'январь 2023'!$D$4:$D$508,$B13,'январь 2023'!$J$4:$J$508,AD$1)</f>
        <v>0</v>
      </c>
      <c r="AE13" s="198">
        <f>SUMIFS('январь 2023'!$G$4:$G$508,'январь 2023'!$D$4:$D$508,$B13,'январь 2023'!$J$4:$J$508,AE$1)</f>
        <v>0</v>
      </c>
      <c r="AF13" s="198">
        <f>SUMIFS('январь 2023'!$G$4:$G$508,'январь 2023'!$D$4:$D$508,$B13,'январь 2023'!$J$4:$J$508,AF$1)</f>
        <v>0</v>
      </c>
      <c r="AG13" s="198">
        <f>SUMIFS('январь 2023'!$G$4:$G$508,'январь 2023'!$D$4:$D$508,$B13,'январь 2023'!$J$4:$J$508,AG$1)</f>
        <v>0</v>
      </c>
      <c r="AH13" s="198">
        <f>SUMIFS('январь 2023'!$G$4:$G$508,'январь 2023'!$D$4:$D$508,$B13,'январь 2023'!$J$4:$J$508,AH$1)</f>
        <v>0</v>
      </c>
      <c r="AI13" s="170">
        <f t="shared" si="1"/>
        <v>0</v>
      </c>
    </row>
    <row r="14" spans="2:35" ht="15" customHeight="1" x14ac:dyDescent="0.25">
      <c r="B14" s="202" t="s">
        <v>1985</v>
      </c>
      <c r="C14" s="203">
        <v>25</v>
      </c>
      <c r="D14" s="198">
        <f>SUMIFS('январь 2023'!$G$4:$G$508,'январь 2023'!$D$4:$D$508,$B14,'январь 2023'!$J$4:$J$508,D$1)</f>
        <v>0</v>
      </c>
      <c r="E14" s="198">
        <f>SUMIFS('январь 2023'!$G$4:$G$508,'январь 2023'!$D$4:$D$508,$B14,'январь 2023'!$J$4:$J$508,E$1)</f>
        <v>0</v>
      </c>
      <c r="F14" s="198">
        <f>SUMIFS('январь 2023'!$G$4:$G$508,'январь 2023'!$D$4:$D$508,$B14,'январь 2023'!$J$4:$J$508,F$1)</f>
        <v>0</v>
      </c>
      <c r="G14" s="198">
        <f>SUMIFS('январь 2023'!$G$4:$G$508,'январь 2023'!$D$4:$D$508,$B14,'январь 2023'!$J$4:$J$508,G$1)</f>
        <v>0</v>
      </c>
      <c r="H14" s="198">
        <f>SUMIFS('январь 2023'!$G$4:$G$508,'январь 2023'!$D$4:$D$508,$B14,'январь 2023'!$J$4:$J$508,H$1)</f>
        <v>0</v>
      </c>
      <c r="I14" s="198">
        <f>SUMIFS('январь 2023'!$G$4:$G$508,'январь 2023'!$D$4:$D$508,$B14,'январь 2023'!$J$4:$J$508,I$1)</f>
        <v>0</v>
      </c>
      <c r="J14" s="198">
        <f>SUMIFS('январь 2023'!$G$4:$G$508,'январь 2023'!$D$4:$D$508,$B14,'январь 2023'!$J$4:$J$508,J$1)</f>
        <v>0</v>
      </c>
      <c r="K14" s="198">
        <f>SUMIFS('январь 2023'!$G$4:$G$508,'январь 2023'!$D$4:$D$508,$B14,'январь 2023'!$J$4:$J$508,K$1)</f>
        <v>0</v>
      </c>
      <c r="L14" s="198">
        <f>SUMIFS('январь 2023'!$G$4:$G$508,'январь 2023'!$D$4:$D$508,$B14,'январь 2023'!$J$4:$J$508,L$1)</f>
        <v>0</v>
      </c>
      <c r="M14" s="198">
        <f>SUMIFS('январь 2023'!$G$4:$G$508,'январь 2023'!$D$4:$D$508,$B14,'январь 2023'!$J$4:$J$508,M$1)</f>
        <v>0</v>
      </c>
      <c r="N14" s="198">
        <f>SUMIFS('январь 2023'!$G$4:$G$508,'январь 2023'!$D$4:$D$508,$B14,'январь 2023'!$J$4:$J$508,N$1)</f>
        <v>0</v>
      </c>
      <c r="O14" s="198">
        <f>SUMIFS('январь 2023'!$G$4:$G$508,'январь 2023'!$D$4:$D$508,$B14,'январь 2023'!$J$4:$J$508,O$1)</f>
        <v>0</v>
      </c>
      <c r="P14" s="198">
        <f>SUMIFS('январь 2023'!$G$4:$G$508,'январь 2023'!$D$4:$D$508,$B14,'январь 2023'!$J$4:$J$508,P$1)</f>
        <v>0</v>
      </c>
      <c r="Q14" s="198">
        <f>SUMIFS('январь 2023'!$G$4:$G$508,'январь 2023'!$D$4:$D$508,$B14,'январь 2023'!$J$4:$J$508,Q$1)</f>
        <v>0</v>
      </c>
      <c r="R14" s="198">
        <f>SUMIFS('январь 2023'!$G$4:$G$508,'январь 2023'!$D$4:$D$508,$B14,'январь 2023'!$J$4:$J$508,R$1)</f>
        <v>0</v>
      </c>
      <c r="S14" s="198">
        <f>SUMIFS('январь 2023'!$G$4:$G$508,'январь 2023'!$D$4:$D$508,$B14,'январь 2023'!$J$4:$J$508,S$1)</f>
        <v>800</v>
      </c>
      <c r="T14" s="198">
        <f>SUMIFS('январь 2023'!$G$4:$G$508,'январь 2023'!$D$4:$D$508,$B14,'январь 2023'!$J$4:$J$508,T$1)</f>
        <v>800</v>
      </c>
      <c r="U14" s="198">
        <f>SUMIFS('январь 2023'!$G$4:$G$508,'январь 2023'!$D$4:$D$508,$B14,'январь 2023'!$J$4:$J$508,U$1)</f>
        <v>0</v>
      </c>
      <c r="V14" s="198">
        <f>SUMIFS('январь 2023'!$G$4:$G$508,'январь 2023'!$D$4:$D$508,$B14,'январь 2023'!$J$4:$J$508,V$1)</f>
        <v>0</v>
      </c>
      <c r="W14" s="198">
        <f>SUMIFS('январь 2023'!$G$4:$G$508,'январь 2023'!$D$4:$D$508,$B14,'январь 2023'!$J$4:$J$508,W$1)</f>
        <v>0</v>
      </c>
      <c r="X14" s="198">
        <f>SUMIFS('январь 2023'!$G$4:$G$508,'январь 2023'!$D$4:$D$508,$B14,'январь 2023'!$J$4:$J$508,X$1)</f>
        <v>0</v>
      </c>
      <c r="Y14" s="198">
        <f>SUMIFS('январь 2023'!$G$4:$G$508,'январь 2023'!$D$4:$D$508,$B14,'январь 2023'!$J$4:$J$508,Y$1)</f>
        <v>0</v>
      </c>
      <c r="Z14" s="198">
        <f>SUMIFS('январь 2023'!$G$4:$G$508,'январь 2023'!$D$4:$D$508,$B14,'январь 2023'!$J$4:$J$508,Z$1)</f>
        <v>0</v>
      </c>
      <c r="AA14" s="198">
        <f>SUMIFS('январь 2023'!$G$4:$G$508,'январь 2023'!$D$4:$D$508,$B14,'январь 2023'!$J$4:$J$508,AA$1)</f>
        <v>0</v>
      </c>
      <c r="AB14" s="198">
        <f>SUMIFS('январь 2023'!$G$4:$G$508,'январь 2023'!$D$4:$D$508,$B14,'январь 2023'!$J$4:$J$508,AB$1)</f>
        <v>0</v>
      </c>
      <c r="AC14" s="198">
        <f>SUMIFS('январь 2023'!$G$4:$G$508,'январь 2023'!$D$4:$D$508,$B14,'январь 2023'!$J$4:$J$508,AC$1)</f>
        <v>0</v>
      </c>
      <c r="AD14" s="198">
        <f>SUMIFS('январь 2023'!$G$4:$G$508,'январь 2023'!$D$4:$D$508,$B14,'январь 2023'!$J$4:$J$508,AD$1)</f>
        <v>0</v>
      </c>
      <c r="AE14" s="198">
        <f>SUMIFS('январь 2023'!$G$4:$G$508,'январь 2023'!$D$4:$D$508,$B14,'январь 2023'!$J$4:$J$508,AE$1)</f>
        <v>0</v>
      </c>
      <c r="AF14" s="198">
        <f>SUMIFS('январь 2023'!$G$4:$G$508,'январь 2023'!$D$4:$D$508,$B14,'январь 2023'!$J$4:$J$508,AF$1)</f>
        <v>0</v>
      </c>
      <c r="AG14" s="198">
        <f>SUMIFS('январь 2023'!$G$4:$G$508,'январь 2023'!$D$4:$D$508,$B14,'январь 2023'!$J$4:$J$508,AG$1)</f>
        <v>0</v>
      </c>
      <c r="AH14" s="198">
        <f>SUMIFS('январь 2023'!$G$4:$G$508,'январь 2023'!$D$4:$D$508,$B14,'январь 2023'!$J$4:$J$508,AH$1)</f>
        <v>0</v>
      </c>
      <c r="AI14" s="170">
        <f t="shared" si="1"/>
        <v>1600</v>
      </c>
    </row>
    <row r="15" spans="2:35" ht="15" customHeight="1" x14ac:dyDescent="0.25">
      <c r="B15" s="202" t="s">
        <v>2104</v>
      </c>
      <c r="C15" s="203">
        <v>25</v>
      </c>
      <c r="D15" s="198">
        <f>SUMIFS('январь 2023'!$G$4:$G$508,'январь 2023'!$D$4:$D$508,$B15,'январь 2023'!$J$4:$J$508,D$1)</f>
        <v>0</v>
      </c>
      <c r="E15" s="198">
        <f>SUMIFS('январь 2023'!$G$4:$G$508,'январь 2023'!$D$4:$D$508,$B15,'январь 2023'!$J$4:$J$508,E$1)</f>
        <v>0</v>
      </c>
      <c r="F15" s="198">
        <f>SUMIFS('январь 2023'!$G$4:$G$508,'январь 2023'!$D$4:$D$508,$B15,'январь 2023'!$J$4:$J$508,F$1)</f>
        <v>0</v>
      </c>
      <c r="G15" s="198">
        <f>SUMIFS('январь 2023'!$G$4:$G$508,'январь 2023'!$D$4:$D$508,$B15,'январь 2023'!$J$4:$J$508,G$1)</f>
        <v>0</v>
      </c>
      <c r="H15" s="198">
        <f>SUMIFS('январь 2023'!$G$4:$G$508,'январь 2023'!$D$4:$D$508,$B15,'январь 2023'!$J$4:$J$508,H$1)</f>
        <v>0</v>
      </c>
      <c r="I15" s="198">
        <f>SUMIFS('январь 2023'!$G$4:$G$508,'январь 2023'!$D$4:$D$508,$B15,'январь 2023'!$J$4:$J$508,I$1)</f>
        <v>0</v>
      </c>
      <c r="J15" s="198">
        <f>SUMIFS('январь 2023'!$G$4:$G$508,'январь 2023'!$D$4:$D$508,$B15,'январь 2023'!$J$4:$J$508,J$1)</f>
        <v>0</v>
      </c>
      <c r="K15" s="198">
        <f>SUMIFS('январь 2023'!$G$4:$G$508,'январь 2023'!$D$4:$D$508,$B15,'январь 2023'!$J$4:$J$508,K$1)</f>
        <v>0</v>
      </c>
      <c r="L15" s="198">
        <f>SUMIFS('январь 2023'!$G$4:$G$508,'январь 2023'!$D$4:$D$508,$B15,'январь 2023'!$J$4:$J$508,L$1)</f>
        <v>0</v>
      </c>
      <c r="M15" s="198">
        <f>SUMIFS('январь 2023'!$G$4:$G$508,'январь 2023'!$D$4:$D$508,$B15,'январь 2023'!$J$4:$J$508,M$1)</f>
        <v>0</v>
      </c>
      <c r="N15" s="198">
        <f>SUMIFS('январь 2023'!$G$4:$G$508,'январь 2023'!$D$4:$D$508,$B15,'январь 2023'!$J$4:$J$508,N$1)</f>
        <v>0</v>
      </c>
      <c r="O15" s="198">
        <f>SUMIFS('январь 2023'!$G$4:$G$508,'январь 2023'!$D$4:$D$508,$B15,'январь 2023'!$J$4:$J$508,O$1)</f>
        <v>0</v>
      </c>
      <c r="P15" s="198">
        <f>SUMIFS('январь 2023'!$G$4:$G$508,'январь 2023'!$D$4:$D$508,$B15,'январь 2023'!$J$4:$J$508,P$1)</f>
        <v>0</v>
      </c>
      <c r="Q15" s="198">
        <f>SUMIFS('январь 2023'!$G$4:$G$508,'январь 2023'!$D$4:$D$508,$B15,'январь 2023'!$J$4:$J$508,Q$1)</f>
        <v>0</v>
      </c>
      <c r="R15" s="198">
        <f>SUMIFS('январь 2023'!$G$4:$G$508,'январь 2023'!$D$4:$D$508,$B15,'январь 2023'!$J$4:$J$508,R$1)</f>
        <v>0</v>
      </c>
      <c r="S15" s="198">
        <f>SUMIFS('январь 2023'!$G$4:$G$508,'январь 2023'!$D$4:$D$508,$B15,'январь 2023'!$J$4:$J$508,S$1)</f>
        <v>0</v>
      </c>
      <c r="T15" s="198">
        <f>SUMIFS('январь 2023'!$G$4:$G$508,'январь 2023'!$D$4:$D$508,$B15,'январь 2023'!$J$4:$J$508,T$1)</f>
        <v>0</v>
      </c>
      <c r="U15" s="198">
        <f>SUMIFS('январь 2023'!$G$4:$G$508,'январь 2023'!$D$4:$D$508,$B15,'январь 2023'!$J$4:$J$508,U$1)</f>
        <v>0</v>
      </c>
      <c r="V15" s="198">
        <f>SUMIFS('январь 2023'!$G$4:$G$508,'январь 2023'!$D$4:$D$508,$B15,'январь 2023'!$J$4:$J$508,V$1)</f>
        <v>0</v>
      </c>
      <c r="W15" s="198">
        <f>SUMIFS('январь 2023'!$G$4:$G$508,'январь 2023'!$D$4:$D$508,$B15,'январь 2023'!$J$4:$J$508,W$1)</f>
        <v>0</v>
      </c>
      <c r="X15" s="198">
        <f>SUMIFS('январь 2023'!$G$4:$G$508,'январь 2023'!$D$4:$D$508,$B15,'январь 2023'!$J$4:$J$508,X$1)</f>
        <v>0</v>
      </c>
      <c r="Y15" s="198">
        <f>SUMIFS('январь 2023'!$G$4:$G$508,'январь 2023'!$D$4:$D$508,$B15,'январь 2023'!$J$4:$J$508,Y$1)</f>
        <v>0</v>
      </c>
      <c r="Z15" s="198">
        <f>SUMIFS('январь 2023'!$G$4:$G$508,'январь 2023'!$D$4:$D$508,$B15,'январь 2023'!$J$4:$J$508,Z$1)</f>
        <v>0</v>
      </c>
      <c r="AA15" s="198">
        <f>SUMIFS('январь 2023'!$G$4:$G$508,'январь 2023'!$D$4:$D$508,$B15,'январь 2023'!$J$4:$J$508,AA$1)</f>
        <v>0</v>
      </c>
      <c r="AB15" s="198">
        <f>SUMIFS('январь 2023'!$G$4:$G$508,'январь 2023'!$D$4:$D$508,$B15,'январь 2023'!$J$4:$J$508,AB$1)</f>
        <v>0</v>
      </c>
      <c r="AC15" s="198">
        <f>SUMIFS('январь 2023'!$G$4:$G$508,'январь 2023'!$D$4:$D$508,$B15,'январь 2023'!$J$4:$J$508,AC$1)</f>
        <v>0</v>
      </c>
      <c r="AD15" s="198">
        <f>SUMIFS('январь 2023'!$G$4:$G$508,'январь 2023'!$D$4:$D$508,$B15,'январь 2023'!$J$4:$J$508,AD$1)</f>
        <v>0</v>
      </c>
      <c r="AE15" s="198">
        <f>SUMIFS('январь 2023'!$G$4:$G$508,'январь 2023'!$D$4:$D$508,$B15,'январь 2023'!$J$4:$J$508,AE$1)</f>
        <v>0</v>
      </c>
      <c r="AF15" s="198">
        <f>SUMIFS('январь 2023'!$G$4:$G$508,'январь 2023'!$D$4:$D$508,$B15,'январь 2023'!$J$4:$J$508,AF$1)</f>
        <v>0</v>
      </c>
      <c r="AG15" s="198">
        <f>SUMIFS('январь 2023'!$G$4:$G$508,'январь 2023'!$D$4:$D$508,$B15,'январь 2023'!$J$4:$J$508,AG$1)</f>
        <v>0</v>
      </c>
      <c r="AH15" s="198">
        <f>SUMIFS('январь 2023'!$G$4:$G$508,'январь 2023'!$D$4:$D$508,$B15,'январь 2023'!$J$4:$J$508,AH$1)</f>
        <v>0</v>
      </c>
      <c r="AI15" s="170">
        <f t="shared" si="1"/>
        <v>0</v>
      </c>
    </row>
    <row r="16" spans="2:35" ht="15" customHeight="1" x14ac:dyDescent="0.25">
      <c r="B16" s="199" t="s">
        <v>571</v>
      </c>
      <c r="C16" s="200">
        <v>25</v>
      </c>
      <c r="D16" s="198">
        <f>SUMIFS('январь 2023'!$G$4:$G$508,'январь 2023'!$D$4:$D$508,$B16,'январь 2023'!$J$4:$J$508,D$1)</f>
        <v>0</v>
      </c>
      <c r="E16" s="198">
        <f>SUMIFS('январь 2023'!$G$4:$G$508,'январь 2023'!$D$4:$D$508,$B16,'январь 2023'!$J$4:$J$508,E$1)</f>
        <v>0</v>
      </c>
      <c r="F16" s="198">
        <f>SUMIFS('январь 2023'!$G$4:$G$508,'январь 2023'!$D$4:$D$508,$B16,'январь 2023'!$J$4:$J$508,F$1)</f>
        <v>0</v>
      </c>
      <c r="G16" s="198">
        <f>SUMIFS('январь 2023'!$G$4:$G$508,'январь 2023'!$D$4:$D$508,$B16,'январь 2023'!$J$4:$J$508,G$1)</f>
        <v>0</v>
      </c>
      <c r="H16" s="198">
        <f>SUMIFS('январь 2023'!$G$4:$G$508,'январь 2023'!$D$4:$D$508,$B16,'январь 2023'!$J$4:$J$508,H$1)</f>
        <v>0</v>
      </c>
      <c r="I16" s="198">
        <f>SUMIFS('январь 2023'!$G$4:$G$508,'январь 2023'!$D$4:$D$508,$B16,'январь 2023'!$J$4:$J$508,I$1)</f>
        <v>0</v>
      </c>
      <c r="J16" s="198">
        <f>SUMIFS('январь 2023'!$G$4:$G$508,'январь 2023'!$D$4:$D$508,$B16,'январь 2023'!$J$4:$J$508,J$1)</f>
        <v>0</v>
      </c>
      <c r="K16" s="198">
        <f>SUMIFS('январь 2023'!$G$4:$G$508,'январь 2023'!$D$4:$D$508,$B16,'январь 2023'!$J$4:$J$508,K$1)</f>
        <v>0</v>
      </c>
      <c r="L16" s="198">
        <f>SUMIFS('январь 2023'!$G$4:$G$508,'январь 2023'!$D$4:$D$508,$B16,'январь 2023'!$J$4:$J$508,L$1)</f>
        <v>0</v>
      </c>
      <c r="M16" s="198">
        <f>SUMIFS('январь 2023'!$G$4:$G$508,'январь 2023'!$D$4:$D$508,$B16,'январь 2023'!$J$4:$J$508,M$1)</f>
        <v>0</v>
      </c>
      <c r="N16" s="198">
        <f>SUMIFS('январь 2023'!$G$4:$G$508,'январь 2023'!$D$4:$D$508,$B16,'январь 2023'!$J$4:$J$508,N$1)</f>
        <v>0</v>
      </c>
      <c r="O16" s="198">
        <f>SUMIFS('январь 2023'!$G$4:$G$508,'январь 2023'!$D$4:$D$508,$B16,'январь 2023'!$J$4:$J$508,O$1)</f>
        <v>0</v>
      </c>
      <c r="P16" s="198">
        <f>SUMIFS('январь 2023'!$G$4:$G$508,'январь 2023'!$D$4:$D$508,$B16,'январь 2023'!$J$4:$J$508,P$1)</f>
        <v>0</v>
      </c>
      <c r="Q16" s="198">
        <f>SUMIFS('январь 2023'!$G$4:$G$508,'январь 2023'!$D$4:$D$508,$B16,'январь 2023'!$J$4:$J$508,Q$1)</f>
        <v>0</v>
      </c>
      <c r="R16" s="198">
        <f>SUMIFS('январь 2023'!$G$4:$G$508,'январь 2023'!$D$4:$D$508,$B16,'январь 2023'!$J$4:$J$508,R$1)</f>
        <v>0</v>
      </c>
      <c r="S16" s="198">
        <f>SUMIFS('январь 2023'!$G$4:$G$508,'январь 2023'!$D$4:$D$508,$B16,'январь 2023'!$J$4:$J$508,S$1)</f>
        <v>0</v>
      </c>
      <c r="T16" s="198">
        <f>SUMIFS('январь 2023'!$G$4:$G$508,'январь 2023'!$D$4:$D$508,$B16,'январь 2023'!$J$4:$J$508,T$1)</f>
        <v>0</v>
      </c>
      <c r="U16" s="198">
        <f>SUMIFS('январь 2023'!$G$4:$G$508,'январь 2023'!$D$4:$D$508,$B16,'январь 2023'!$J$4:$J$508,U$1)</f>
        <v>0</v>
      </c>
      <c r="V16" s="198">
        <f>SUMIFS('январь 2023'!$G$4:$G$508,'январь 2023'!$D$4:$D$508,$B16,'январь 2023'!$J$4:$J$508,V$1)</f>
        <v>0</v>
      </c>
      <c r="W16" s="198">
        <f>SUMIFS('январь 2023'!$G$4:$G$508,'январь 2023'!$D$4:$D$508,$B16,'январь 2023'!$J$4:$J$508,W$1)</f>
        <v>0</v>
      </c>
      <c r="X16" s="198">
        <f>SUMIFS('январь 2023'!$G$4:$G$508,'январь 2023'!$D$4:$D$508,$B16,'январь 2023'!$J$4:$J$508,X$1)</f>
        <v>0</v>
      </c>
      <c r="Y16" s="198">
        <f>SUMIFS('январь 2023'!$G$4:$G$508,'январь 2023'!$D$4:$D$508,$B16,'январь 2023'!$J$4:$J$508,Y$1)</f>
        <v>0</v>
      </c>
      <c r="Z16" s="198">
        <f>SUMIFS('январь 2023'!$G$4:$G$508,'январь 2023'!$D$4:$D$508,$B16,'январь 2023'!$J$4:$J$508,Z$1)</f>
        <v>0</v>
      </c>
      <c r="AA16" s="198">
        <f>SUMIFS('январь 2023'!$G$4:$G$508,'январь 2023'!$D$4:$D$508,$B16,'январь 2023'!$J$4:$J$508,AA$1)</f>
        <v>0</v>
      </c>
      <c r="AB16" s="198">
        <f>SUMIFS('январь 2023'!$G$4:$G$508,'январь 2023'!$D$4:$D$508,$B16,'январь 2023'!$J$4:$J$508,AB$1)</f>
        <v>0</v>
      </c>
      <c r="AC16" s="198">
        <f>SUMIFS('январь 2023'!$G$4:$G$508,'январь 2023'!$D$4:$D$508,$B16,'январь 2023'!$J$4:$J$508,AC$1)</f>
        <v>0</v>
      </c>
      <c r="AD16" s="198">
        <f>SUMIFS('январь 2023'!$G$4:$G$508,'январь 2023'!$D$4:$D$508,$B16,'январь 2023'!$J$4:$J$508,AD$1)</f>
        <v>0</v>
      </c>
      <c r="AE16" s="198">
        <f>SUMIFS('январь 2023'!$G$4:$G$508,'январь 2023'!$D$4:$D$508,$B16,'январь 2023'!$J$4:$J$508,AE$1)</f>
        <v>0</v>
      </c>
      <c r="AF16" s="198">
        <f>SUMIFS('январь 2023'!$G$4:$G$508,'январь 2023'!$D$4:$D$508,$B16,'январь 2023'!$J$4:$J$508,AF$1)</f>
        <v>0</v>
      </c>
      <c r="AG16" s="198">
        <f>SUMIFS('январь 2023'!$G$4:$G$508,'январь 2023'!$D$4:$D$508,$B16,'январь 2023'!$J$4:$J$508,AG$1)</f>
        <v>0</v>
      </c>
      <c r="AH16" s="198">
        <f>SUMIFS('январь 2023'!$G$4:$G$508,'январь 2023'!$D$4:$D$508,$B16,'январь 2023'!$J$4:$J$508,AH$1)</f>
        <v>0</v>
      </c>
      <c r="AI16" s="170">
        <f t="shared" si="1"/>
        <v>0</v>
      </c>
    </row>
    <row r="17" spans="2:35" ht="15" customHeight="1" x14ac:dyDescent="0.25">
      <c r="B17" s="199" t="s">
        <v>2081</v>
      </c>
      <c r="C17" s="200">
        <v>25</v>
      </c>
      <c r="D17" s="198">
        <f>SUMIFS('январь 2023'!$G$4:$G$508,'январь 2023'!$D$4:$D$508,$B17,'январь 2023'!$J$4:$J$508,D$1)</f>
        <v>0</v>
      </c>
      <c r="E17" s="198">
        <f>SUMIFS('январь 2023'!$G$4:$G$508,'январь 2023'!$D$4:$D$508,$B17,'январь 2023'!$J$4:$J$508,E$1)</f>
        <v>0</v>
      </c>
      <c r="F17" s="198">
        <f>SUMIFS('январь 2023'!$G$4:$G$508,'январь 2023'!$D$4:$D$508,$B17,'январь 2023'!$J$4:$J$508,F$1)</f>
        <v>0</v>
      </c>
      <c r="G17" s="198">
        <f>SUMIFS('январь 2023'!$G$4:$G$508,'январь 2023'!$D$4:$D$508,$B17,'январь 2023'!$J$4:$J$508,G$1)</f>
        <v>0</v>
      </c>
      <c r="H17" s="198">
        <f>SUMIFS('январь 2023'!$G$4:$G$508,'январь 2023'!$D$4:$D$508,$B17,'январь 2023'!$J$4:$J$508,H$1)</f>
        <v>0</v>
      </c>
      <c r="I17" s="198">
        <f>SUMIFS('январь 2023'!$G$4:$G$508,'январь 2023'!$D$4:$D$508,$B17,'январь 2023'!$J$4:$J$508,I$1)</f>
        <v>0</v>
      </c>
      <c r="J17" s="198">
        <f>SUMIFS('январь 2023'!$G$4:$G$508,'январь 2023'!$D$4:$D$508,$B17,'январь 2023'!$J$4:$J$508,J$1)</f>
        <v>0</v>
      </c>
      <c r="K17" s="198">
        <f>SUMIFS('январь 2023'!$G$4:$G$508,'январь 2023'!$D$4:$D$508,$B17,'январь 2023'!$J$4:$J$508,K$1)</f>
        <v>0</v>
      </c>
      <c r="L17" s="198">
        <f>SUMIFS('январь 2023'!$G$4:$G$508,'январь 2023'!$D$4:$D$508,$B17,'январь 2023'!$J$4:$J$508,L$1)</f>
        <v>0</v>
      </c>
      <c r="M17" s="198">
        <f>SUMIFS('январь 2023'!$G$4:$G$508,'январь 2023'!$D$4:$D$508,$B17,'январь 2023'!$J$4:$J$508,M$1)</f>
        <v>0</v>
      </c>
      <c r="N17" s="198">
        <f>SUMIFS('январь 2023'!$G$4:$G$508,'январь 2023'!$D$4:$D$508,$B17,'январь 2023'!$J$4:$J$508,N$1)</f>
        <v>0</v>
      </c>
      <c r="O17" s="198">
        <f>SUMIFS('январь 2023'!$G$4:$G$508,'январь 2023'!$D$4:$D$508,$B17,'январь 2023'!$J$4:$J$508,O$1)</f>
        <v>0</v>
      </c>
      <c r="P17" s="198">
        <f>SUMIFS('январь 2023'!$G$4:$G$508,'январь 2023'!$D$4:$D$508,$B17,'январь 2023'!$J$4:$J$508,P$1)</f>
        <v>0</v>
      </c>
      <c r="Q17" s="198">
        <f>SUMIFS('январь 2023'!$G$4:$G$508,'январь 2023'!$D$4:$D$508,$B17,'январь 2023'!$J$4:$J$508,Q$1)</f>
        <v>0</v>
      </c>
      <c r="R17" s="198">
        <f>SUMIFS('январь 2023'!$G$4:$G$508,'январь 2023'!$D$4:$D$508,$B17,'январь 2023'!$J$4:$J$508,R$1)</f>
        <v>0</v>
      </c>
      <c r="S17" s="198">
        <f>SUMIFS('январь 2023'!$G$4:$G$508,'январь 2023'!$D$4:$D$508,$B17,'январь 2023'!$J$4:$J$508,S$1)</f>
        <v>0</v>
      </c>
      <c r="T17" s="198">
        <f>SUMIFS('январь 2023'!$G$4:$G$508,'январь 2023'!$D$4:$D$508,$B17,'январь 2023'!$J$4:$J$508,T$1)</f>
        <v>0</v>
      </c>
      <c r="U17" s="198">
        <f>SUMIFS('январь 2023'!$G$4:$G$508,'январь 2023'!$D$4:$D$508,$B17,'январь 2023'!$J$4:$J$508,U$1)</f>
        <v>0</v>
      </c>
      <c r="V17" s="198">
        <f>SUMIFS('январь 2023'!$G$4:$G$508,'январь 2023'!$D$4:$D$508,$B17,'январь 2023'!$J$4:$J$508,V$1)</f>
        <v>0</v>
      </c>
      <c r="W17" s="198">
        <f>SUMIFS('январь 2023'!$G$4:$G$508,'январь 2023'!$D$4:$D$508,$B17,'январь 2023'!$J$4:$J$508,W$1)</f>
        <v>0</v>
      </c>
      <c r="X17" s="198">
        <f>SUMIFS('январь 2023'!$G$4:$G$508,'январь 2023'!$D$4:$D$508,$B17,'январь 2023'!$J$4:$J$508,X$1)</f>
        <v>0</v>
      </c>
      <c r="Y17" s="198">
        <f>SUMIFS('январь 2023'!$G$4:$G$508,'январь 2023'!$D$4:$D$508,$B17,'январь 2023'!$J$4:$J$508,Y$1)</f>
        <v>0</v>
      </c>
      <c r="Z17" s="198">
        <f>SUMIFS('январь 2023'!$G$4:$G$508,'январь 2023'!$D$4:$D$508,$B17,'январь 2023'!$J$4:$J$508,Z$1)</f>
        <v>0</v>
      </c>
      <c r="AA17" s="198">
        <f>SUMIFS('январь 2023'!$G$4:$G$508,'январь 2023'!$D$4:$D$508,$B17,'январь 2023'!$J$4:$J$508,AA$1)</f>
        <v>0</v>
      </c>
      <c r="AB17" s="198">
        <f>SUMIFS('январь 2023'!$G$4:$G$508,'январь 2023'!$D$4:$D$508,$B17,'январь 2023'!$J$4:$J$508,AB$1)</f>
        <v>0</v>
      </c>
      <c r="AC17" s="198">
        <f>SUMIFS('январь 2023'!$G$4:$G$508,'январь 2023'!$D$4:$D$508,$B17,'январь 2023'!$J$4:$J$508,AC$1)</f>
        <v>0</v>
      </c>
      <c r="AD17" s="198">
        <f>SUMIFS('январь 2023'!$G$4:$G$508,'январь 2023'!$D$4:$D$508,$B17,'январь 2023'!$J$4:$J$508,AD$1)</f>
        <v>0</v>
      </c>
      <c r="AE17" s="198">
        <f>SUMIFS('январь 2023'!$G$4:$G$508,'январь 2023'!$D$4:$D$508,$B17,'январь 2023'!$J$4:$J$508,AE$1)</f>
        <v>0</v>
      </c>
      <c r="AF17" s="198">
        <f>SUMIFS('январь 2023'!$G$4:$G$508,'январь 2023'!$D$4:$D$508,$B17,'январь 2023'!$J$4:$J$508,AF$1)</f>
        <v>0</v>
      </c>
      <c r="AG17" s="198">
        <f>SUMIFS('январь 2023'!$G$4:$G$508,'январь 2023'!$D$4:$D$508,$B17,'январь 2023'!$J$4:$J$508,AG$1)</f>
        <v>0</v>
      </c>
      <c r="AH17" s="198">
        <f>SUMIFS('январь 2023'!$G$4:$G$508,'январь 2023'!$D$4:$D$508,$B17,'январь 2023'!$J$4:$J$508,AH$1)</f>
        <v>0</v>
      </c>
      <c r="AI17" s="170">
        <f t="shared" si="1"/>
        <v>0</v>
      </c>
    </row>
    <row r="18" spans="2:35" ht="15" customHeight="1" x14ac:dyDescent="0.25">
      <c r="B18" s="199" t="s">
        <v>27</v>
      </c>
      <c r="C18" s="200">
        <v>25</v>
      </c>
      <c r="D18" s="198">
        <f>SUMIFS('январь 2023'!$G$4:$G$508,'январь 2023'!$D$4:$D$508,$B18,'январь 2023'!$J$4:$J$508,D$1)</f>
        <v>0</v>
      </c>
      <c r="E18" s="198">
        <f>SUMIFS('январь 2023'!$G$4:$G$508,'январь 2023'!$D$4:$D$508,$B18,'январь 2023'!$J$4:$J$508,E$1)</f>
        <v>0</v>
      </c>
      <c r="F18" s="198">
        <f>SUMIFS('январь 2023'!$G$4:$G$508,'январь 2023'!$D$4:$D$508,$B18,'январь 2023'!$J$4:$J$508,F$1)</f>
        <v>0</v>
      </c>
      <c r="G18" s="198">
        <f>SUMIFS('январь 2023'!$G$4:$G$508,'январь 2023'!$D$4:$D$508,$B18,'январь 2023'!$J$4:$J$508,G$1)</f>
        <v>0</v>
      </c>
      <c r="H18" s="198">
        <f>SUMIFS('январь 2023'!$G$4:$G$508,'январь 2023'!$D$4:$D$508,$B18,'январь 2023'!$J$4:$J$508,H$1)</f>
        <v>0</v>
      </c>
      <c r="I18" s="198">
        <f>SUMIFS('январь 2023'!$G$4:$G$508,'январь 2023'!$D$4:$D$508,$B18,'январь 2023'!$J$4:$J$508,I$1)</f>
        <v>800</v>
      </c>
      <c r="J18" s="198">
        <f>SUMIFS('январь 2023'!$G$4:$G$508,'январь 2023'!$D$4:$D$508,$B18,'январь 2023'!$J$4:$J$508,J$1)</f>
        <v>0</v>
      </c>
      <c r="K18" s="198">
        <f>SUMIFS('январь 2023'!$G$4:$G$508,'январь 2023'!$D$4:$D$508,$B18,'январь 2023'!$J$4:$J$508,K$1)</f>
        <v>0</v>
      </c>
      <c r="L18" s="198">
        <f>SUMIFS('январь 2023'!$G$4:$G$508,'январь 2023'!$D$4:$D$508,$B18,'январь 2023'!$J$4:$J$508,L$1)</f>
        <v>0</v>
      </c>
      <c r="M18" s="198">
        <f>SUMIFS('январь 2023'!$G$4:$G$508,'январь 2023'!$D$4:$D$508,$B18,'январь 2023'!$J$4:$J$508,M$1)</f>
        <v>800</v>
      </c>
      <c r="N18" s="198">
        <f>SUMIFS('январь 2023'!$G$4:$G$508,'январь 2023'!$D$4:$D$508,$B18,'январь 2023'!$J$4:$J$508,N$1)</f>
        <v>0</v>
      </c>
      <c r="O18" s="198">
        <f>SUMIFS('январь 2023'!$G$4:$G$508,'январь 2023'!$D$4:$D$508,$B18,'январь 2023'!$J$4:$J$508,O$1)</f>
        <v>0</v>
      </c>
      <c r="P18" s="198">
        <f>SUMIFS('январь 2023'!$G$4:$G$508,'январь 2023'!$D$4:$D$508,$B18,'январь 2023'!$J$4:$J$508,P$1)</f>
        <v>0</v>
      </c>
      <c r="Q18" s="198">
        <f>SUMIFS('январь 2023'!$G$4:$G$508,'январь 2023'!$D$4:$D$508,$B18,'январь 2023'!$J$4:$J$508,Q$1)</f>
        <v>0</v>
      </c>
      <c r="R18" s="198">
        <f>SUMIFS('январь 2023'!$G$4:$G$508,'январь 2023'!$D$4:$D$508,$B18,'январь 2023'!$J$4:$J$508,R$1)</f>
        <v>0</v>
      </c>
      <c r="S18" s="198">
        <f>SUMIFS('январь 2023'!$G$4:$G$508,'январь 2023'!$D$4:$D$508,$B18,'январь 2023'!$J$4:$J$508,S$1)</f>
        <v>0</v>
      </c>
      <c r="T18" s="198">
        <f>SUMIFS('январь 2023'!$G$4:$G$508,'январь 2023'!$D$4:$D$508,$B18,'январь 2023'!$J$4:$J$508,T$1)</f>
        <v>0</v>
      </c>
      <c r="U18" s="198">
        <f>SUMIFS('январь 2023'!$G$4:$G$508,'январь 2023'!$D$4:$D$508,$B18,'январь 2023'!$J$4:$J$508,U$1)</f>
        <v>0</v>
      </c>
      <c r="V18" s="198">
        <f>SUMIFS('январь 2023'!$G$4:$G$508,'январь 2023'!$D$4:$D$508,$B18,'январь 2023'!$J$4:$J$508,V$1)</f>
        <v>0</v>
      </c>
      <c r="W18" s="198">
        <f>SUMIFS('январь 2023'!$G$4:$G$508,'январь 2023'!$D$4:$D$508,$B18,'январь 2023'!$J$4:$J$508,W$1)</f>
        <v>0</v>
      </c>
      <c r="X18" s="198">
        <f>SUMIFS('январь 2023'!$G$4:$G$508,'январь 2023'!$D$4:$D$508,$B18,'январь 2023'!$J$4:$J$508,X$1)</f>
        <v>0</v>
      </c>
      <c r="Y18" s="198">
        <f>SUMIFS('январь 2023'!$G$4:$G$508,'январь 2023'!$D$4:$D$508,$B18,'январь 2023'!$J$4:$J$508,Y$1)</f>
        <v>0</v>
      </c>
      <c r="Z18" s="198">
        <f>SUMIFS('январь 2023'!$G$4:$G$508,'январь 2023'!$D$4:$D$508,$B18,'январь 2023'!$J$4:$J$508,Z$1)</f>
        <v>0</v>
      </c>
      <c r="AA18" s="198">
        <f>SUMIFS('январь 2023'!$G$4:$G$508,'январь 2023'!$D$4:$D$508,$B18,'январь 2023'!$J$4:$J$508,AA$1)</f>
        <v>0</v>
      </c>
      <c r="AB18" s="198">
        <f>SUMIFS('январь 2023'!$G$4:$G$508,'январь 2023'!$D$4:$D$508,$B18,'январь 2023'!$J$4:$J$508,AB$1)</f>
        <v>0</v>
      </c>
      <c r="AC18" s="198">
        <f>SUMIFS('январь 2023'!$G$4:$G$508,'январь 2023'!$D$4:$D$508,$B18,'январь 2023'!$J$4:$J$508,AC$1)</f>
        <v>0</v>
      </c>
      <c r="AD18" s="198">
        <f>SUMIFS('январь 2023'!$G$4:$G$508,'январь 2023'!$D$4:$D$508,$B18,'январь 2023'!$J$4:$J$508,AD$1)</f>
        <v>0</v>
      </c>
      <c r="AE18" s="198">
        <f>SUMIFS('январь 2023'!$G$4:$G$508,'январь 2023'!$D$4:$D$508,$B18,'январь 2023'!$J$4:$J$508,AE$1)</f>
        <v>0</v>
      </c>
      <c r="AF18" s="198">
        <f>SUMIFS('январь 2023'!$G$4:$G$508,'январь 2023'!$D$4:$D$508,$B18,'январь 2023'!$J$4:$J$508,AF$1)</f>
        <v>0</v>
      </c>
      <c r="AG18" s="198">
        <f>SUMIFS('январь 2023'!$G$4:$G$508,'январь 2023'!$D$4:$D$508,$B18,'январь 2023'!$J$4:$J$508,AG$1)</f>
        <v>0</v>
      </c>
      <c r="AH18" s="198">
        <f>SUMIFS('январь 2023'!$G$4:$G$508,'январь 2023'!$D$4:$D$508,$B18,'январь 2023'!$J$4:$J$508,AH$1)</f>
        <v>0</v>
      </c>
      <c r="AI18" s="170">
        <f t="shared" si="1"/>
        <v>1600</v>
      </c>
    </row>
    <row r="19" spans="2:35" ht="15" customHeight="1" x14ac:dyDescent="0.25">
      <c r="B19" s="199" t="s">
        <v>445</v>
      </c>
      <c r="C19" s="200">
        <v>25</v>
      </c>
      <c r="D19" s="198">
        <f>SUMIFS('январь 2023'!$G$4:$G$508,'январь 2023'!$D$4:$D$508,$B19,'январь 2023'!$J$4:$J$508,D$1)</f>
        <v>0</v>
      </c>
      <c r="E19" s="198">
        <f>SUMIFS('январь 2023'!$G$4:$G$508,'январь 2023'!$D$4:$D$508,$B19,'январь 2023'!$J$4:$J$508,E$1)</f>
        <v>0</v>
      </c>
      <c r="F19" s="198">
        <f>SUMIFS('январь 2023'!$G$4:$G$508,'январь 2023'!$D$4:$D$508,$B19,'январь 2023'!$J$4:$J$508,F$1)</f>
        <v>0</v>
      </c>
      <c r="G19" s="198">
        <f>SUMIFS('январь 2023'!$G$4:$G$508,'январь 2023'!$D$4:$D$508,$B19,'январь 2023'!$J$4:$J$508,G$1)</f>
        <v>0</v>
      </c>
      <c r="H19" s="198">
        <f>SUMIFS('январь 2023'!$G$4:$G$508,'январь 2023'!$D$4:$D$508,$B19,'январь 2023'!$J$4:$J$508,H$1)</f>
        <v>0</v>
      </c>
      <c r="I19" s="198">
        <f>SUMIFS('январь 2023'!$G$4:$G$508,'январь 2023'!$D$4:$D$508,$B19,'январь 2023'!$J$4:$J$508,I$1)</f>
        <v>0</v>
      </c>
      <c r="J19" s="198">
        <f>SUMIFS('январь 2023'!$G$4:$G$508,'январь 2023'!$D$4:$D$508,$B19,'январь 2023'!$J$4:$J$508,J$1)</f>
        <v>0</v>
      </c>
      <c r="K19" s="198">
        <f>SUMIFS('январь 2023'!$G$4:$G$508,'январь 2023'!$D$4:$D$508,$B19,'январь 2023'!$J$4:$J$508,K$1)</f>
        <v>0</v>
      </c>
      <c r="L19" s="198">
        <f>SUMIFS('январь 2023'!$G$4:$G$508,'январь 2023'!$D$4:$D$508,$B19,'январь 2023'!$J$4:$J$508,L$1)</f>
        <v>0</v>
      </c>
      <c r="M19" s="198">
        <f>SUMIFS('январь 2023'!$G$4:$G$508,'январь 2023'!$D$4:$D$508,$B19,'январь 2023'!$J$4:$J$508,M$1)</f>
        <v>0</v>
      </c>
      <c r="N19" s="198">
        <f>SUMIFS('январь 2023'!$G$4:$G$508,'январь 2023'!$D$4:$D$508,$B19,'январь 2023'!$J$4:$J$508,N$1)</f>
        <v>0</v>
      </c>
      <c r="O19" s="198">
        <f>SUMIFS('январь 2023'!$G$4:$G$508,'январь 2023'!$D$4:$D$508,$B19,'январь 2023'!$J$4:$J$508,O$1)</f>
        <v>400</v>
      </c>
      <c r="P19" s="198">
        <f>SUMIFS('январь 2023'!$G$4:$G$508,'январь 2023'!$D$4:$D$508,$B19,'январь 2023'!$J$4:$J$508,P$1)</f>
        <v>0</v>
      </c>
      <c r="Q19" s="198">
        <f>SUMIFS('январь 2023'!$G$4:$G$508,'январь 2023'!$D$4:$D$508,$B19,'январь 2023'!$J$4:$J$508,Q$1)</f>
        <v>0</v>
      </c>
      <c r="R19" s="198">
        <f>SUMIFS('январь 2023'!$G$4:$G$508,'январь 2023'!$D$4:$D$508,$B19,'январь 2023'!$J$4:$J$508,R$1)</f>
        <v>0</v>
      </c>
      <c r="S19" s="198">
        <f>SUMIFS('январь 2023'!$G$4:$G$508,'январь 2023'!$D$4:$D$508,$B19,'январь 2023'!$J$4:$J$508,S$1)</f>
        <v>0</v>
      </c>
      <c r="T19" s="198">
        <f>SUMIFS('январь 2023'!$G$4:$G$508,'январь 2023'!$D$4:$D$508,$B19,'январь 2023'!$J$4:$J$508,T$1)</f>
        <v>0</v>
      </c>
      <c r="U19" s="198">
        <f>SUMIFS('январь 2023'!$G$4:$G$508,'январь 2023'!$D$4:$D$508,$B19,'январь 2023'!$J$4:$J$508,U$1)</f>
        <v>0</v>
      </c>
      <c r="V19" s="198">
        <f>SUMIFS('январь 2023'!$G$4:$G$508,'январь 2023'!$D$4:$D$508,$B19,'январь 2023'!$J$4:$J$508,V$1)</f>
        <v>0</v>
      </c>
      <c r="W19" s="198">
        <f>SUMIFS('январь 2023'!$G$4:$G$508,'январь 2023'!$D$4:$D$508,$B19,'январь 2023'!$J$4:$J$508,W$1)</f>
        <v>0</v>
      </c>
      <c r="X19" s="198">
        <f>SUMIFS('январь 2023'!$G$4:$G$508,'январь 2023'!$D$4:$D$508,$B19,'январь 2023'!$J$4:$J$508,X$1)</f>
        <v>0</v>
      </c>
      <c r="Y19" s="198">
        <f>SUMIFS('январь 2023'!$G$4:$G$508,'январь 2023'!$D$4:$D$508,$B19,'январь 2023'!$J$4:$J$508,Y$1)</f>
        <v>0</v>
      </c>
      <c r="Z19" s="198">
        <f>SUMIFS('январь 2023'!$G$4:$G$508,'январь 2023'!$D$4:$D$508,$B19,'январь 2023'!$J$4:$J$508,Z$1)</f>
        <v>0</v>
      </c>
      <c r="AA19" s="198">
        <f>SUMIFS('январь 2023'!$G$4:$G$508,'январь 2023'!$D$4:$D$508,$B19,'январь 2023'!$J$4:$J$508,AA$1)</f>
        <v>0</v>
      </c>
      <c r="AB19" s="198">
        <f>SUMIFS('январь 2023'!$G$4:$G$508,'январь 2023'!$D$4:$D$508,$B19,'январь 2023'!$J$4:$J$508,AB$1)</f>
        <v>0</v>
      </c>
      <c r="AC19" s="198">
        <f>SUMIFS('январь 2023'!$G$4:$G$508,'январь 2023'!$D$4:$D$508,$B19,'январь 2023'!$J$4:$J$508,AC$1)</f>
        <v>0</v>
      </c>
      <c r="AD19" s="198">
        <f>SUMIFS('январь 2023'!$G$4:$G$508,'январь 2023'!$D$4:$D$508,$B19,'январь 2023'!$J$4:$J$508,AD$1)</f>
        <v>0</v>
      </c>
      <c r="AE19" s="198">
        <f>SUMIFS('январь 2023'!$G$4:$G$508,'январь 2023'!$D$4:$D$508,$B19,'январь 2023'!$J$4:$J$508,AE$1)</f>
        <v>0</v>
      </c>
      <c r="AF19" s="198">
        <f>SUMIFS('январь 2023'!$G$4:$G$508,'январь 2023'!$D$4:$D$508,$B19,'январь 2023'!$J$4:$J$508,AF$1)</f>
        <v>0</v>
      </c>
      <c r="AG19" s="198">
        <f>SUMIFS('январь 2023'!$G$4:$G$508,'январь 2023'!$D$4:$D$508,$B19,'январь 2023'!$J$4:$J$508,AG$1)</f>
        <v>0</v>
      </c>
      <c r="AH19" s="198">
        <f>SUMIFS('январь 2023'!$G$4:$G$508,'январь 2023'!$D$4:$D$508,$B19,'январь 2023'!$J$4:$J$508,AH$1)</f>
        <v>0</v>
      </c>
      <c r="AI19" s="170">
        <f t="shared" si="1"/>
        <v>400</v>
      </c>
    </row>
    <row r="20" spans="2:35" ht="15" customHeight="1" x14ac:dyDescent="0.25">
      <c r="B20" s="202"/>
      <c r="C20" s="200"/>
      <c r="D20" s="198">
        <f>SUMIFS('январь 2023'!$G$4:$G$508,'январь 2023'!$D$4:$D$508,$B20,'январь 2023'!$J$4:$J$508,D$1)</f>
        <v>0</v>
      </c>
      <c r="E20" s="198">
        <f>SUMIFS('январь 2023'!$G$4:$G$508,'январь 2023'!$D$4:$D$508,$B20,'январь 2023'!$J$4:$J$508,E$1)</f>
        <v>0</v>
      </c>
      <c r="F20" s="198">
        <f>SUMIFS('январь 2023'!$G$4:$G$508,'январь 2023'!$D$4:$D$508,$B20,'январь 2023'!$J$4:$J$508,F$1)</f>
        <v>0</v>
      </c>
      <c r="G20" s="198">
        <f>SUMIFS('январь 2023'!$G$4:$G$508,'январь 2023'!$D$4:$D$508,$B20,'январь 2023'!$J$4:$J$508,G$1)</f>
        <v>0</v>
      </c>
      <c r="H20" s="198">
        <f>SUMIFS('январь 2023'!$G$4:$G$508,'январь 2023'!$D$4:$D$508,$B20,'январь 2023'!$J$4:$J$508,H$1)</f>
        <v>0</v>
      </c>
      <c r="I20" s="198">
        <f>SUMIFS('январь 2023'!$G$4:$G$508,'январь 2023'!$D$4:$D$508,$B20,'январь 2023'!$J$4:$J$508,I$1)</f>
        <v>0</v>
      </c>
      <c r="J20" s="198">
        <f>SUMIFS('январь 2023'!$G$4:$G$508,'январь 2023'!$D$4:$D$508,$B20,'январь 2023'!$J$4:$J$508,J$1)</f>
        <v>0</v>
      </c>
      <c r="K20" s="198">
        <f>SUMIFS('январь 2023'!$G$4:$G$508,'январь 2023'!$D$4:$D$508,$B20,'январь 2023'!$J$4:$J$508,K$1)</f>
        <v>0</v>
      </c>
      <c r="L20" s="198">
        <f>SUMIFS('январь 2023'!$G$4:$G$508,'январь 2023'!$D$4:$D$508,$B20,'январь 2023'!$J$4:$J$508,L$1)</f>
        <v>0</v>
      </c>
      <c r="M20" s="198">
        <f>SUMIFS('январь 2023'!$G$4:$G$508,'январь 2023'!$D$4:$D$508,$B20,'январь 2023'!$J$4:$J$508,M$1)</f>
        <v>0</v>
      </c>
      <c r="N20" s="198">
        <f>SUMIFS('январь 2023'!$G$4:$G$508,'январь 2023'!$D$4:$D$508,$B20,'январь 2023'!$J$4:$J$508,N$1)</f>
        <v>0</v>
      </c>
      <c r="O20" s="198">
        <f>SUMIFS('январь 2023'!$G$4:$G$508,'январь 2023'!$D$4:$D$508,$B20,'январь 2023'!$J$4:$J$508,O$1)</f>
        <v>0</v>
      </c>
      <c r="P20" s="198">
        <f>SUMIFS('январь 2023'!$G$4:$G$508,'январь 2023'!$D$4:$D$508,$B20,'январь 2023'!$J$4:$J$508,P$1)</f>
        <v>0</v>
      </c>
      <c r="Q20" s="198">
        <f>SUMIFS('январь 2023'!$G$4:$G$508,'январь 2023'!$D$4:$D$508,$B20,'январь 2023'!$J$4:$J$508,Q$1)</f>
        <v>0</v>
      </c>
      <c r="R20" s="198">
        <f>SUMIFS('январь 2023'!$G$4:$G$508,'январь 2023'!$D$4:$D$508,$B20,'январь 2023'!$J$4:$J$508,R$1)</f>
        <v>0</v>
      </c>
      <c r="S20" s="198">
        <f>SUMIFS('январь 2023'!$G$4:$G$508,'январь 2023'!$D$4:$D$508,$B20,'январь 2023'!$J$4:$J$508,S$1)</f>
        <v>0</v>
      </c>
      <c r="T20" s="198">
        <f>SUMIFS('январь 2023'!$G$4:$G$508,'январь 2023'!$D$4:$D$508,$B20,'январь 2023'!$J$4:$J$508,T$1)</f>
        <v>0</v>
      </c>
      <c r="U20" s="198">
        <f>SUMIFS('январь 2023'!$G$4:$G$508,'январь 2023'!$D$4:$D$508,$B20,'январь 2023'!$J$4:$J$508,U$1)</f>
        <v>0</v>
      </c>
      <c r="V20" s="198">
        <f>SUMIFS('январь 2023'!$G$4:$G$508,'январь 2023'!$D$4:$D$508,$B20,'январь 2023'!$J$4:$J$508,V$1)</f>
        <v>0</v>
      </c>
      <c r="W20" s="198">
        <f>SUMIFS('январь 2023'!$G$4:$G$508,'январь 2023'!$D$4:$D$508,$B20,'январь 2023'!$J$4:$J$508,W$1)</f>
        <v>0</v>
      </c>
      <c r="X20" s="198">
        <f>SUMIFS('январь 2023'!$G$4:$G$508,'январь 2023'!$D$4:$D$508,$B20,'январь 2023'!$J$4:$J$508,X$1)</f>
        <v>0</v>
      </c>
      <c r="Y20" s="198">
        <f>SUMIFS('январь 2023'!$G$4:$G$508,'январь 2023'!$D$4:$D$508,$B20,'январь 2023'!$J$4:$J$508,Y$1)</f>
        <v>0</v>
      </c>
      <c r="Z20" s="198">
        <f>SUMIFS('январь 2023'!$G$4:$G$508,'январь 2023'!$D$4:$D$508,$B20,'январь 2023'!$J$4:$J$508,Z$1)</f>
        <v>0</v>
      </c>
      <c r="AA20" s="198">
        <f>SUMIFS('январь 2023'!$G$4:$G$508,'январь 2023'!$D$4:$D$508,$B20,'январь 2023'!$J$4:$J$508,AA$1)</f>
        <v>0</v>
      </c>
      <c r="AB20" s="198">
        <f>SUMIFS('январь 2023'!$G$4:$G$508,'январь 2023'!$D$4:$D$508,$B20,'январь 2023'!$J$4:$J$508,AB$1)</f>
        <v>0</v>
      </c>
      <c r="AC20" s="198">
        <f>SUMIFS('январь 2023'!$G$4:$G$508,'январь 2023'!$D$4:$D$508,$B20,'январь 2023'!$J$4:$J$508,AC$1)</f>
        <v>0</v>
      </c>
      <c r="AD20" s="198">
        <f>SUMIFS('январь 2023'!$G$4:$G$508,'январь 2023'!$D$4:$D$508,$B20,'январь 2023'!$J$4:$J$508,AD$1)</f>
        <v>0</v>
      </c>
      <c r="AE20" s="198">
        <f>SUMIFS('январь 2023'!$G$4:$G$508,'январь 2023'!$D$4:$D$508,$B20,'январь 2023'!$J$4:$J$508,AE$1)</f>
        <v>0</v>
      </c>
      <c r="AF20" s="198">
        <f>SUMIFS('январь 2023'!$G$4:$G$508,'январь 2023'!$D$4:$D$508,$B20,'январь 2023'!$J$4:$J$508,AF$1)</f>
        <v>0</v>
      </c>
      <c r="AG20" s="198">
        <f>SUMIFS('январь 2023'!$G$4:$G$508,'январь 2023'!$D$4:$D$508,$B20,'январь 2023'!$J$4:$J$508,AG$1)</f>
        <v>0</v>
      </c>
      <c r="AH20" s="198">
        <f>SUMIFS('январь 2023'!$G$4:$G$508,'январь 2023'!$D$4:$D$508,$B20,'январь 2023'!$J$4:$J$508,AH$1)</f>
        <v>0</v>
      </c>
      <c r="AI20" s="170">
        <f t="shared" si="1"/>
        <v>0</v>
      </c>
    </row>
    <row r="21" spans="2:35" ht="15" hidden="1" customHeight="1" x14ac:dyDescent="0.25">
      <c r="B21" s="202"/>
      <c r="C21" s="200"/>
      <c r="D21" s="198">
        <f>SUMIFS('январь 2023'!$G$4:$G$508,'январь 2023'!$D$4:$D$508,$B21,'январь 2023'!$J$4:$J$508,D$1)</f>
        <v>0</v>
      </c>
      <c r="E21" s="198">
        <f>SUMIFS('январь 2023'!$G$4:$G$508,'январь 2023'!$D$4:$D$508,$B21,'январь 2023'!$J$4:$J$508,E$1)</f>
        <v>0</v>
      </c>
      <c r="F21" s="198">
        <f>SUMIFS('январь 2023'!$G$4:$G$508,'январь 2023'!$D$4:$D$508,$B21,'январь 2023'!$J$4:$J$508,F$1)</f>
        <v>0</v>
      </c>
      <c r="G21" s="198">
        <f>SUMIFS('январь 2023'!$G$4:$G$508,'январь 2023'!$D$4:$D$508,$B21,'январь 2023'!$J$4:$J$508,G$1)</f>
        <v>0</v>
      </c>
      <c r="H21" s="198">
        <f>SUMIFS('январь 2023'!$G$4:$G$508,'январь 2023'!$D$4:$D$508,$B21,'январь 2023'!$J$4:$J$508,H$1)</f>
        <v>0</v>
      </c>
      <c r="I21" s="198">
        <f>SUMIFS('январь 2023'!$G$4:$G$508,'январь 2023'!$D$4:$D$508,$B21,'январь 2023'!$J$4:$J$508,I$1)</f>
        <v>0</v>
      </c>
      <c r="J21" s="198">
        <f>SUMIFS('январь 2023'!$G$4:$G$508,'январь 2023'!$D$4:$D$508,$B21,'январь 2023'!$J$4:$J$508,J$1)</f>
        <v>0</v>
      </c>
      <c r="K21" s="198">
        <f>SUMIFS('январь 2023'!$G$4:$G$508,'январь 2023'!$D$4:$D$508,$B21,'январь 2023'!$J$4:$J$508,K$1)</f>
        <v>0</v>
      </c>
      <c r="L21" s="198">
        <f>SUMIFS('январь 2023'!$G$4:$G$508,'январь 2023'!$D$4:$D$508,$B21,'январь 2023'!$J$4:$J$508,L$1)</f>
        <v>0</v>
      </c>
      <c r="M21" s="198">
        <f>SUMIFS('январь 2023'!$G$4:$G$508,'январь 2023'!$D$4:$D$508,$B21,'январь 2023'!$J$4:$J$508,M$1)</f>
        <v>0</v>
      </c>
      <c r="N21" s="198">
        <f>SUMIFS('январь 2023'!$G$4:$G$508,'январь 2023'!$D$4:$D$508,$B21,'январь 2023'!$J$4:$J$508,N$1)</f>
        <v>0</v>
      </c>
      <c r="O21" s="198">
        <f>SUMIFS('январь 2023'!$G$4:$G$508,'январь 2023'!$D$4:$D$508,$B21,'январь 2023'!$J$4:$J$508,O$1)</f>
        <v>0</v>
      </c>
      <c r="P21" s="198">
        <f>SUMIFS('январь 2023'!$G$4:$G$508,'январь 2023'!$D$4:$D$508,$B21,'январь 2023'!$J$4:$J$508,P$1)</f>
        <v>0</v>
      </c>
      <c r="Q21" s="198">
        <f>SUMIFS('январь 2023'!$G$4:$G$508,'январь 2023'!$D$4:$D$508,$B21,'январь 2023'!$J$4:$J$508,Q$1)</f>
        <v>0</v>
      </c>
      <c r="R21" s="198">
        <f>SUMIFS('январь 2023'!$G$4:$G$508,'январь 2023'!$D$4:$D$508,$B21,'январь 2023'!$J$4:$J$508,R$1)</f>
        <v>0</v>
      </c>
      <c r="S21" s="198">
        <f>SUMIFS('январь 2023'!$G$4:$G$508,'январь 2023'!$D$4:$D$508,$B21,'январь 2023'!$J$4:$J$508,S$1)</f>
        <v>0</v>
      </c>
      <c r="T21" s="198">
        <f>SUMIFS('январь 2023'!$G$4:$G$508,'январь 2023'!$D$4:$D$508,$B21,'январь 2023'!$J$4:$J$508,T$1)</f>
        <v>0</v>
      </c>
      <c r="U21" s="198">
        <f>SUMIFS('январь 2023'!$G$4:$G$508,'январь 2023'!$D$4:$D$508,$B21,'январь 2023'!$J$4:$J$508,U$1)</f>
        <v>0</v>
      </c>
      <c r="V21" s="198">
        <f>SUMIFS('январь 2023'!$G$4:$G$508,'январь 2023'!$D$4:$D$508,$B21,'январь 2023'!$J$4:$J$508,V$1)</f>
        <v>0</v>
      </c>
      <c r="W21" s="198">
        <f>SUMIFS('январь 2023'!$G$4:$G$508,'январь 2023'!$D$4:$D$508,$B21,'январь 2023'!$J$4:$J$508,W$1)</f>
        <v>0</v>
      </c>
      <c r="X21" s="198">
        <f>SUMIFS('январь 2023'!$G$4:$G$508,'январь 2023'!$D$4:$D$508,$B21,'январь 2023'!$J$4:$J$508,X$1)</f>
        <v>0</v>
      </c>
      <c r="Y21" s="198">
        <f>SUMIFS('январь 2023'!$G$4:$G$508,'январь 2023'!$D$4:$D$508,$B21,'январь 2023'!$J$4:$J$508,Y$1)</f>
        <v>0</v>
      </c>
      <c r="Z21" s="198">
        <f>SUMIFS('январь 2023'!$G$4:$G$508,'январь 2023'!$D$4:$D$508,$B21,'январь 2023'!$J$4:$J$508,Z$1)</f>
        <v>0</v>
      </c>
      <c r="AA21" s="198">
        <f>SUMIFS('январь 2023'!$G$4:$G$508,'январь 2023'!$D$4:$D$508,$B21,'январь 2023'!$J$4:$J$508,AA$1)</f>
        <v>0</v>
      </c>
      <c r="AB21" s="198">
        <f>SUMIFS('январь 2023'!$G$4:$G$508,'январь 2023'!$D$4:$D$508,$B21,'январь 2023'!$J$4:$J$508,AB$1)</f>
        <v>0</v>
      </c>
      <c r="AC21" s="198">
        <f>SUMIFS('январь 2023'!$G$4:$G$508,'январь 2023'!$D$4:$D$508,$B21,'январь 2023'!$J$4:$J$508,AC$1)</f>
        <v>0</v>
      </c>
      <c r="AD21" s="198">
        <f>SUMIFS('январь 2023'!$G$4:$G$508,'январь 2023'!$D$4:$D$508,$B21,'январь 2023'!$J$4:$J$508,AD$1)</f>
        <v>0</v>
      </c>
      <c r="AE21" s="198">
        <f>SUMIFS('январь 2023'!$G$4:$G$508,'январь 2023'!$D$4:$D$508,$B21,'январь 2023'!$J$4:$J$508,AE$1)</f>
        <v>0</v>
      </c>
      <c r="AF21" s="198">
        <f>SUMIFS('январь 2023'!$G$4:$G$508,'январь 2023'!$D$4:$D$508,$B21,'январь 2023'!$J$4:$J$508,AF$1)</f>
        <v>0</v>
      </c>
      <c r="AG21" s="198">
        <f>SUMIFS('январь 2023'!$G$4:$G$508,'январь 2023'!$D$4:$D$508,$B21,'январь 2023'!$J$4:$J$508,AG$1)</f>
        <v>0</v>
      </c>
      <c r="AH21" s="198">
        <f>SUMIFS('январь 2023'!$G$4:$G$508,'январь 2023'!$D$4:$D$508,$B21,'январь 2023'!$J$4:$J$508,AH$1)</f>
        <v>0</v>
      </c>
      <c r="AI21" s="170">
        <f t="shared" si="1"/>
        <v>0</v>
      </c>
    </row>
    <row r="22" spans="2:35" ht="15" hidden="1" customHeight="1" x14ac:dyDescent="0.25">
      <c r="B22" s="202"/>
      <c r="C22" s="200"/>
      <c r="D22" s="198">
        <f>SUMIFS('январь 2023'!$G$4:$G$508,'январь 2023'!$D$4:$D$508,$B22,'январь 2023'!$J$4:$J$508,D$1)</f>
        <v>0</v>
      </c>
      <c r="E22" s="198">
        <f>SUMIFS('январь 2023'!$G$4:$G$508,'январь 2023'!$D$4:$D$508,$B22,'январь 2023'!$J$4:$J$508,E$1)</f>
        <v>0</v>
      </c>
      <c r="F22" s="198">
        <f>SUMIFS('январь 2023'!$G$4:$G$508,'январь 2023'!$D$4:$D$508,$B22,'январь 2023'!$J$4:$J$508,F$1)</f>
        <v>0</v>
      </c>
      <c r="G22" s="198">
        <f>SUMIFS('январь 2023'!$G$4:$G$508,'январь 2023'!$D$4:$D$508,$B22,'январь 2023'!$J$4:$J$508,G$1)</f>
        <v>0</v>
      </c>
      <c r="H22" s="198">
        <f>SUMIFS('январь 2023'!$G$4:$G$508,'январь 2023'!$D$4:$D$508,$B22,'январь 2023'!$J$4:$J$508,H$1)</f>
        <v>0</v>
      </c>
      <c r="I22" s="198">
        <f>SUMIFS('январь 2023'!$G$4:$G$508,'январь 2023'!$D$4:$D$508,$B22,'январь 2023'!$J$4:$J$508,I$1)</f>
        <v>0</v>
      </c>
      <c r="J22" s="198">
        <f>SUMIFS('январь 2023'!$G$4:$G$508,'январь 2023'!$D$4:$D$508,$B22,'январь 2023'!$J$4:$J$508,J$1)</f>
        <v>0</v>
      </c>
      <c r="K22" s="198">
        <f>SUMIFS('январь 2023'!$G$4:$G$508,'январь 2023'!$D$4:$D$508,$B22,'январь 2023'!$J$4:$J$508,K$1)</f>
        <v>0</v>
      </c>
      <c r="L22" s="198">
        <f>SUMIFS('январь 2023'!$G$4:$G$508,'январь 2023'!$D$4:$D$508,$B22,'январь 2023'!$J$4:$J$508,L$1)</f>
        <v>0</v>
      </c>
      <c r="M22" s="198">
        <f>SUMIFS('январь 2023'!$G$4:$G$508,'январь 2023'!$D$4:$D$508,$B22,'январь 2023'!$J$4:$J$508,M$1)</f>
        <v>0</v>
      </c>
      <c r="N22" s="198">
        <f>SUMIFS('январь 2023'!$G$4:$G$508,'январь 2023'!$D$4:$D$508,$B22,'январь 2023'!$J$4:$J$508,N$1)</f>
        <v>0</v>
      </c>
      <c r="O22" s="198">
        <f>SUMIFS('январь 2023'!$G$4:$G$508,'январь 2023'!$D$4:$D$508,$B22,'январь 2023'!$J$4:$J$508,O$1)</f>
        <v>0</v>
      </c>
      <c r="P22" s="198">
        <f>SUMIFS('январь 2023'!$G$4:$G$508,'январь 2023'!$D$4:$D$508,$B22,'январь 2023'!$J$4:$J$508,P$1)</f>
        <v>0</v>
      </c>
      <c r="Q22" s="198">
        <f>SUMIFS('январь 2023'!$G$4:$G$508,'январь 2023'!$D$4:$D$508,$B22,'январь 2023'!$J$4:$J$508,Q$1)</f>
        <v>0</v>
      </c>
      <c r="R22" s="198">
        <f>SUMIFS('январь 2023'!$G$4:$G$508,'январь 2023'!$D$4:$D$508,$B22,'январь 2023'!$J$4:$J$508,R$1)</f>
        <v>0</v>
      </c>
      <c r="S22" s="198">
        <f>SUMIFS('январь 2023'!$G$4:$G$508,'январь 2023'!$D$4:$D$508,$B22,'январь 2023'!$J$4:$J$508,S$1)</f>
        <v>0</v>
      </c>
      <c r="T22" s="198">
        <f>SUMIFS('январь 2023'!$G$4:$G$508,'январь 2023'!$D$4:$D$508,$B22,'январь 2023'!$J$4:$J$508,T$1)</f>
        <v>0</v>
      </c>
      <c r="U22" s="198">
        <f>SUMIFS('январь 2023'!$G$4:$G$508,'январь 2023'!$D$4:$D$508,$B22,'январь 2023'!$J$4:$J$508,U$1)</f>
        <v>0</v>
      </c>
      <c r="V22" s="198">
        <f>SUMIFS('январь 2023'!$G$4:$G$508,'январь 2023'!$D$4:$D$508,$B22,'январь 2023'!$J$4:$J$508,V$1)</f>
        <v>0</v>
      </c>
      <c r="W22" s="198">
        <f>SUMIFS('январь 2023'!$G$4:$G$508,'январь 2023'!$D$4:$D$508,$B22,'январь 2023'!$J$4:$J$508,W$1)</f>
        <v>0</v>
      </c>
      <c r="X22" s="198">
        <f>SUMIFS('январь 2023'!$G$4:$G$508,'январь 2023'!$D$4:$D$508,$B22,'январь 2023'!$J$4:$J$508,X$1)</f>
        <v>0</v>
      </c>
      <c r="Y22" s="198">
        <f>SUMIFS('январь 2023'!$G$4:$G$508,'январь 2023'!$D$4:$D$508,$B22,'январь 2023'!$J$4:$J$508,Y$1)</f>
        <v>0</v>
      </c>
      <c r="Z22" s="198">
        <f>SUMIFS('январь 2023'!$G$4:$G$508,'январь 2023'!$D$4:$D$508,$B22,'январь 2023'!$J$4:$J$508,Z$1)</f>
        <v>0</v>
      </c>
      <c r="AA22" s="198">
        <f>SUMIFS('январь 2023'!$G$4:$G$508,'январь 2023'!$D$4:$D$508,$B22,'январь 2023'!$J$4:$J$508,AA$1)</f>
        <v>0</v>
      </c>
      <c r="AB22" s="198">
        <f>SUMIFS('январь 2023'!$G$4:$G$508,'январь 2023'!$D$4:$D$508,$B22,'январь 2023'!$J$4:$J$508,AB$1)</f>
        <v>0</v>
      </c>
      <c r="AC22" s="198">
        <f>SUMIFS('январь 2023'!$G$4:$G$508,'январь 2023'!$D$4:$D$508,$B22,'январь 2023'!$J$4:$J$508,AC$1)</f>
        <v>0</v>
      </c>
      <c r="AD22" s="198">
        <f>SUMIFS('январь 2023'!$G$4:$G$508,'январь 2023'!$D$4:$D$508,$B22,'январь 2023'!$J$4:$J$508,AD$1)</f>
        <v>0</v>
      </c>
      <c r="AE22" s="198">
        <f>SUMIFS('январь 2023'!$G$4:$G$508,'январь 2023'!$D$4:$D$508,$B22,'январь 2023'!$J$4:$J$508,AE$1)</f>
        <v>0</v>
      </c>
      <c r="AF22" s="198">
        <f>SUMIFS('январь 2023'!$G$4:$G$508,'январь 2023'!$D$4:$D$508,$B22,'январь 2023'!$J$4:$J$508,AF$1)</f>
        <v>0</v>
      </c>
      <c r="AG22" s="198">
        <f>SUMIFS('январь 2023'!$G$4:$G$508,'январь 2023'!$D$4:$D$508,$B22,'январь 2023'!$J$4:$J$508,AG$1)</f>
        <v>0</v>
      </c>
      <c r="AH22" s="198">
        <f>SUMIFS('январь 2023'!$G$4:$G$508,'январь 2023'!$D$4:$D$508,$B22,'январь 2023'!$J$4:$J$508,AH$1)</f>
        <v>0</v>
      </c>
      <c r="AI22" s="170">
        <f t="shared" si="1"/>
        <v>0</v>
      </c>
    </row>
    <row r="23" spans="2:35" ht="15" hidden="1" customHeight="1" x14ac:dyDescent="0.25">
      <c r="B23" s="202"/>
      <c r="C23" s="200"/>
      <c r="D23" s="198">
        <f>SUMIFS('январь 2023'!$G$4:$G$508,'январь 2023'!$D$4:$D$508,$B23,'январь 2023'!$J$4:$J$508,D$1)</f>
        <v>0</v>
      </c>
      <c r="E23" s="198">
        <f>SUMIFS('январь 2023'!$G$4:$G$508,'январь 2023'!$D$4:$D$508,$B23,'январь 2023'!$J$4:$J$508,E$1)</f>
        <v>0</v>
      </c>
      <c r="F23" s="198">
        <f>SUMIFS('январь 2023'!$G$4:$G$508,'январь 2023'!$D$4:$D$508,$B23,'январь 2023'!$J$4:$J$508,F$1)</f>
        <v>0</v>
      </c>
      <c r="G23" s="198">
        <f>SUMIFS('январь 2023'!$G$4:$G$508,'январь 2023'!$D$4:$D$508,$B23,'январь 2023'!$J$4:$J$508,G$1)</f>
        <v>0</v>
      </c>
      <c r="H23" s="198">
        <f>SUMIFS('январь 2023'!$G$4:$G$508,'январь 2023'!$D$4:$D$508,$B23,'январь 2023'!$J$4:$J$508,H$1)</f>
        <v>0</v>
      </c>
      <c r="I23" s="198">
        <f>SUMIFS('январь 2023'!$G$4:$G$508,'январь 2023'!$D$4:$D$508,$B23,'январь 2023'!$J$4:$J$508,I$1)</f>
        <v>0</v>
      </c>
      <c r="J23" s="198">
        <f>SUMIFS('январь 2023'!$G$4:$G$508,'январь 2023'!$D$4:$D$508,$B23,'январь 2023'!$J$4:$J$508,J$1)</f>
        <v>0</v>
      </c>
      <c r="K23" s="198">
        <f>SUMIFS('январь 2023'!$G$4:$G$508,'январь 2023'!$D$4:$D$508,$B23,'январь 2023'!$J$4:$J$508,K$1)</f>
        <v>0</v>
      </c>
      <c r="L23" s="198">
        <f>SUMIFS('январь 2023'!$G$4:$G$508,'январь 2023'!$D$4:$D$508,$B23,'январь 2023'!$J$4:$J$508,L$1)</f>
        <v>0</v>
      </c>
      <c r="M23" s="198">
        <f>SUMIFS('январь 2023'!$G$4:$G$508,'январь 2023'!$D$4:$D$508,$B23,'январь 2023'!$J$4:$J$508,M$1)</f>
        <v>0</v>
      </c>
      <c r="N23" s="198">
        <f>SUMIFS('январь 2023'!$G$4:$G$508,'январь 2023'!$D$4:$D$508,$B23,'январь 2023'!$J$4:$J$508,N$1)</f>
        <v>0</v>
      </c>
      <c r="O23" s="198">
        <f>SUMIFS('январь 2023'!$G$4:$G$508,'январь 2023'!$D$4:$D$508,$B23,'январь 2023'!$J$4:$J$508,O$1)</f>
        <v>0</v>
      </c>
      <c r="P23" s="198">
        <f>SUMIFS('январь 2023'!$G$4:$G$508,'январь 2023'!$D$4:$D$508,$B23,'январь 2023'!$J$4:$J$508,P$1)</f>
        <v>0</v>
      </c>
      <c r="Q23" s="198">
        <f>SUMIFS('январь 2023'!$G$4:$G$508,'январь 2023'!$D$4:$D$508,$B23,'январь 2023'!$J$4:$J$508,Q$1)</f>
        <v>0</v>
      </c>
      <c r="R23" s="198">
        <f>SUMIFS('январь 2023'!$G$4:$G$508,'январь 2023'!$D$4:$D$508,$B23,'январь 2023'!$J$4:$J$508,R$1)</f>
        <v>0</v>
      </c>
      <c r="S23" s="198">
        <f>SUMIFS('январь 2023'!$G$4:$G$508,'январь 2023'!$D$4:$D$508,$B23,'январь 2023'!$J$4:$J$508,S$1)</f>
        <v>0</v>
      </c>
      <c r="T23" s="198">
        <f>SUMIFS('январь 2023'!$G$4:$G$508,'январь 2023'!$D$4:$D$508,$B23,'январь 2023'!$J$4:$J$508,T$1)</f>
        <v>0</v>
      </c>
      <c r="U23" s="198">
        <f>SUMIFS('январь 2023'!$G$4:$G$508,'январь 2023'!$D$4:$D$508,$B23,'январь 2023'!$J$4:$J$508,U$1)</f>
        <v>0</v>
      </c>
      <c r="V23" s="198">
        <f>SUMIFS('январь 2023'!$G$4:$G$508,'январь 2023'!$D$4:$D$508,$B23,'январь 2023'!$J$4:$J$508,V$1)</f>
        <v>0</v>
      </c>
      <c r="W23" s="198">
        <f>SUMIFS('январь 2023'!$G$4:$G$508,'январь 2023'!$D$4:$D$508,$B23,'январь 2023'!$J$4:$J$508,W$1)</f>
        <v>0</v>
      </c>
      <c r="X23" s="198">
        <f>SUMIFS('январь 2023'!$G$4:$G$508,'январь 2023'!$D$4:$D$508,$B23,'январь 2023'!$J$4:$J$508,X$1)</f>
        <v>0</v>
      </c>
      <c r="Y23" s="198">
        <f>SUMIFS('январь 2023'!$G$4:$G$508,'январь 2023'!$D$4:$D$508,$B23,'январь 2023'!$J$4:$J$508,Y$1)</f>
        <v>0</v>
      </c>
      <c r="Z23" s="198">
        <f>SUMIFS('январь 2023'!$G$4:$G$508,'январь 2023'!$D$4:$D$508,$B23,'январь 2023'!$J$4:$J$508,Z$1)</f>
        <v>0</v>
      </c>
      <c r="AA23" s="198">
        <f>SUMIFS('январь 2023'!$G$4:$G$508,'январь 2023'!$D$4:$D$508,$B23,'январь 2023'!$J$4:$J$508,AA$1)</f>
        <v>0</v>
      </c>
      <c r="AB23" s="198">
        <f>SUMIFS('январь 2023'!$G$4:$G$508,'январь 2023'!$D$4:$D$508,$B23,'январь 2023'!$J$4:$J$508,AB$1)</f>
        <v>0</v>
      </c>
      <c r="AC23" s="198">
        <f>SUMIFS('январь 2023'!$G$4:$G$508,'январь 2023'!$D$4:$D$508,$B23,'январь 2023'!$J$4:$J$508,AC$1)</f>
        <v>0</v>
      </c>
      <c r="AD23" s="198">
        <f>SUMIFS('январь 2023'!$G$4:$G$508,'январь 2023'!$D$4:$D$508,$B23,'январь 2023'!$J$4:$J$508,AD$1)</f>
        <v>0</v>
      </c>
      <c r="AE23" s="198">
        <f>SUMIFS('январь 2023'!$G$4:$G$508,'январь 2023'!$D$4:$D$508,$B23,'январь 2023'!$J$4:$J$508,AE$1)</f>
        <v>0</v>
      </c>
      <c r="AF23" s="198">
        <f>SUMIFS('январь 2023'!$G$4:$G$508,'январь 2023'!$D$4:$D$508,$B23,'январь 2023'!$J$4:$J$508,AF$1)</f>
        <v>0</v>
      </c>
      <c r="AG23" s="198">
        <f>SUMIFS('январь 2023'!$G$4:$G$508,'январь 2023'!$D$4:$D$508,$B23,'январь 2023'!$J$4:$J$508,AG$1)</f>
        <v>0</v>
      </c>
      <c r="AH23" s="198">
        <f>SUMIFS('январь 2023'!$G$4:$G$508,'январь 2023'!$D$4:$D$508,$B23,'январь 2023'!$J$4:$J$508,AH$1)</f>
        <v>0</v>
      </c>
      <c r="AI23" s="170">
        <f t="shared" si="1"/>
        <v>0</v>
      </c>
    </row>
    <row r="24" spans="2:35" ht="15" hidden="1" customHeight="1" x14ac:dyDescent="0.25">
      <c r="B24" s="202"/>
      <c r="C24" s="200"/>
      <c r="D24" s="198">
        <f>SUMIFS('январь 2023'!$G$4:$G$508,'январь 2023'!$D$4:$D$508,$B24,'январь 2023'!$J$4:$J$508,D$1)</f>
        <v>0</v>
      </c>
      <c r="E24" s="198">
        <f>SUMIFS('январь 2023'!$G$4:$G$508,'январь 2023'!$D$4:$D$508,$B24,'январь 2023'!$J$4:$J$508,E$1)</f>
        <v>0</v>
      </c>
      <c r="F24" s="198">
        <f>SUMIFS('январь 2023'!$G$4:$G$508,'январь 2023'!$D$4:$D$508,$B24,'январь 2023'!$J$4:$J$508,F$1)</f>
        <v>0</v>
      </c>
      <c r="G24" s="198">
        <f>SUMIFS('январь 2023'!$G$4:$G$508,'январь 2023'!$D$4:$D$508,$B24,'январь 2023'!$J$4:$J$508,G$1)</f>
        <v>0</v>
      </c>
      <c r="H24" s="198">
        <f>SUMIFS('январь 2023'!$G$4:$G$508,'январь 2023'!$D$4:$D$508,$B24,'январь 2023'!$J$4:$J$508,H$1)</f>
        <v>0</v>
      </c>
      <c r="I24" s="198">
        <f>SUMIFS('январь 2023'!$G$4:$G$508,'январь 2023'!$D$4:$D$508,$B24,'январь 2023'!$J$4:$J$508,I$1)</f>
        <v>0</v>
      </c>
      <c r="J24" s="198">
        <f>SUMIFS('январь 2023'!$G$4:$G$508,'январь 2023'!$D$4:$D$508,$B24,'январь 2023'!$J$4:$J$508,J$1)</f>
        <v>0</v>
      </c>
      <c r="K24" s="198">
        <f>SUMIFS('январь 2023'!$G$4:$G$508,'январь 2023'!$D$4:$D$508,$B24,'январь 2023'!$J$4:$J$508,K$1)</f>
        <v>0</v>
      </c>
      <c r="L24" s="198">
        <f>SUMIFS('январь 2023'!$G$4:$G$508,'январь 2023'!$D$4:$D$508,$B24,'январь 2023'!$J$4:$J$508,L$1)</f>
        <v>0</v>
      </c>
      <c r="M24" s="198">
        <f>SUMIFS('январь 2023'!$G$4:$G$508,'январь 2023'!$D$4:$D$508,$B24,'январь 2023'!$J$4:$J$508,M$1)</f>
        <v>0</v>
      </c>
      <c r="N24" s="198">
        <f>SUMIFS('январь 2023'!$G$4:$G$508,'январь 2023'!$D$4:$D$508,$B24,'январь 2023'!$J$4:$J$508,N$1)</f>
        <v>0</v>
      </c>
      <c r="O24" s="198">
        <f>SUMIFS('январь 2023'!$G$4:$G$508,'январь 2023'!$D$4:$D$508,$B24,'январь 2023'!$J$4:$J$508,O$1)</f>
        <v>0</v>
      </c>
      <c r="P24" s="198">
        <f>SUMIFS('январь 2023'!$G$4:$G$508,'январь 2023'!$D$4:$D$508,$B24,'январь 2023'!$J$4:$J$508,P$1)</f>
        <v>0</v>
      </c>
      <c r="Q24" s="198">
        <f>SUMIFS('январь 2023'!$G$4:$G$508,'январь 2023'!$D$4:$D$508,$B24,'январь 2023'!$J$4:$J$508,Q$1)</f>
        <v>0</v>
      </c>
      <c r="R24" s="198">
        <f>SUMIFS('январь 2023'!$G$4:$G$508,'январь 2023'!$D$4:$D$508,$B24,'январь 2023'!$J$4:$J$508,R$1)</f>
        <v>0</v>
      </c>
      <c r="S24" s="198">
        <f>SUMIFS('январь 2023'!$G$4:$G$508,'январь 2023'!$D$4:$D$508,$B24,'январь 2023'!$J$4:$J$508,S$1)</f>
        <v>0</v>
      </c>
      <c r="T24" s="198">
        <f>SUMIFS('январь 2023'!$G$4:$G$508,'январь 2023'!$D$4:$D$508,$B24,'январь 2023'!$J$4:$J$508,T$1)</f>
        <v>0</v>
      </c>
      <c r="U24" s="198">
        <f>SUMIFS('январь 2023'!$G$4:$G$508,'январь 2023'!$D$4:$D$508,$B24,'январь 2023'!$J$4:$J$508,U$1)</f>
        <v>0</v>
      </c>
      <c r="V24" s="198">
        <f>SUMIFS('январь 2023'!$G$4:$G$508,'январь 2023'!$D$4:$D$508,$B24,'январь 2023'!$J$4:$J$508,V$1)</f>
        <v>0</v>
      </c>
      <c r="W24" s="198">
        <f>SUMIFS('январь 2023'!$G$4:$G$508,'январь 2023'!$D$4:$D$508,$B24,'январь 2023'!$J$4:$J$508,W$1)</f>
        <v>0</v>
      </c>
      <c r="X24" s="198">
        <f>SUMIFS('январь 2023'!$G$4:$G$508,'январь 2023'!$D$4:$D$508,$B24,'январь 2023'!$J$4:$J$508,X$1)</f>
        <v>0</v>
      </c>
      <c r="Y24" s="198">
        <f>SUMIFS('январь 2023'!$G$4:$G$508,'январь 2023'!$D$4:$D$508,$B24,'январь 2023'!$J$4:$J$508,Y$1)</f>
        <v>0</v>
      </c>
      <c r="Z24" s="198">
        <f>SUMIFS('январь 2023'!$G$4:$G$508,'январь 2023'!$D$4:$D$508,$B24,'январь 2023'!$J$4:$J$508,Z$1)</f>
        <v>0</v>
      </c>
      <c r="AA24" s="198">
        <f>SUMIFS('январь 2023'!$G$4:$G$508,'январь 2023'!$D$4:$D$508,$B24,'январь 2023'!$J$4:$J$508,AA$1)</f>
        <v>0</v>
      </c>
      <c r="AB24" s="198">
        <f>SUMIFS('январь 2023'!$G$4:$G$508,'январь 2023'!$D$4:$D$508,$B24,'январь 2023'!$J$4:$J$508,AB$1)</f>
        <v>0</v>
      </c>
      <c r="AC24" s="198">
        <f>SUMIFS('январь 2023'!$G$4:$G$508,'январь 2023'!$D$4:$D$508,$B24,'январь 2023'!$J$4:$J$508,AC$1)</f>
        <v>0</v>
      </c>
      <c r="AD24" s="198">
        <f>SUMIFS('январь 2023'!$G$4:$G$508,'январь 2023'!$D$4:$D$508,$B24,'январь 2023'!$J$4:$J$508,AD$1)</f>
        <v>0</v>
      </c>
      <c r="AE24" s="198">
        <f>SUMIFS('январь 2023'!$G$4:$G$508,'январь 2023'!$D$4:$D$508,$B24,'январь 2023'!$J$4:$J$508,AE$1)</f>
        <v>0</v>
      </c>
      <c r="AF24" s="198">
        <f>SUMIFS('январь 2023'!$G$4:$G$508,'январь 2023'!$D$4:$D$508,$B24,'январь 2023'!$J$4:$J$508,AF$1)</f>
        <v>0</v>
      </c>
      <c r="AG24" s="198">
        <f>SUMIFS('январь 2023'!$G$4:$G$508,'январь 2023'!$D$4:$D$508,$B24,'январь 2023'!$J$4:$J$508,AG$1)</f>
        <v>0</v>
      </c>
      <c r="AH24" s="198">
        <f>SUMIFS('январь 2023'!$G$4:$G$508,'январь 2023'!$D$4:$D$508,$B24,'январь 2023'!$J$4:$J$508,AH$1)</f>
        <v>0</v>
      </c>
      <c r="AI24" s="170">
        <f t="shared" si="1"/>
        <v>0</v>
      </c>
    </row>
    <row r="25" spans="2:35" ht="15" hidden="1" customHeight="1" x14ac:dyDescent="0.25">
      <c r="B25" s="202"/>
      <c r="C25" s="200"/>
      <c r="D25" s="198">
        <f>SUMIFS('январь 2023'!$G$4:$G$508,'январь 2023'!$D$4:$D$508,$B25,'январь 2023'!$J$4:$J$508,D$1)</f>
        <v>0</v>
      </c>
      <c r="E25" s="198">
        <f>SUMIFS('январь 2023'!$G$4:$G$508,'январь 2023'!$D$4:$D$508,$B25,'январь 2023'!$J$4:$J$508,E$1)</f>
        <v>0</v>
      </c>
      <c r="F25" s="198">
        <f>SUMIFS('январь 2023'!$G$4:$G$508,'январь 2023'!$D$4:$D$508,$B25,'январь 2023'!$J$4:$J$508,F$1)</f>
        <v>0</v>
      </c>
      <c r="G25" s="198">
        <f>SUMIFS('январь 2023'!$G$4:$G$508,'январь 2023'!$D$4:$D$508,$B25,'январь 2023'!$J$4:$J$508,G$1)</f>
        <v>0</v>
      </c>
      <c r="H25" s="198">
        <f>SUMIFS('январь 2023'!$G$4:$G$508,'январь 2023'!$D$4:$D$508,$B25,'январь 2023'!$J$4:$J$508,H$1)</f>
        <v>0</v>
      </c>
      <c r="I25" s="198">
        <f>SUMIFS('январь 2023'!$G$4:$G$508,'январь 2023'!$D$4:$D$508,$B25,'январь 2023'!$J$4:$J$508,I$1)</f>
        <v>0</v>
      </c>
      <c r="J25" s="198">
        <f>SUMIFS('январь 2023'!$G$4:$G$508,'январь 2023'!$D$4:$D$508,$B25,'январь 2023'!$J$4:$J$508,J$1)</f>
        <v>0</v>
      </c>
      <c r="K25" s="198">
        <f>SUMIFS('январь 2023'!$G$4:$G$508,'январь 2023'!$D$4:$D$508,$B25,'январь 2023'!$J$4:$J$508,K$1)</f>
        <v>0</v>
      </c>
      <c r="L25" s="198">
        <f>SUMIFS('январь 2023'!$G$4:$G$508,'январь 2023'!$D$4:$D$508,$B25,'январь 2023'!$J$4:$J$508,L$1)</f>
        <v>0</v>
      </c>
      <c r="M25" s="198">
        <f>SUMIFS('январь 2023'!$G$4:$G$508,'январь 2023'!$D$4:$D$508,$B25,'январь 2023'!$J$4:$J$508,M$1)</f>
        <v>0</v>
      </c>
      <c r="N25" s="198">
        <f>SUMIFS('январь 2023'!$G$4:$G$508,'январь 2023'!$D$4:$D$508,$B25,'январь 2023'!$J$4:$J$508,N$1)</f>
        <v>0</v>
      </c>
      <c r="O25" s="198">
        <f>SUMIFS('январь 2023'!$G$4:$G$508,'январь 2023'!$D$4:$D$508,$B25,'январь 2023'!$J$4:$J$508,O$1)</f>
        <v>0</v>
      </c>
      <c r="P25" s="198">
        <f>SUMIFS('январь 2023'!$G$4:$G$508,'январь 2023'!$D$4:$D$508,$B25,'январь 2023'!$J$4:$J$508,P$1)</f>
        <v>0</v>
      </c>
      <c r="Q25" s="198">
        <f>SUMIFS('январь 2023'!$G$4:$G$508,'январь 2023'!$D$4:$D$508,$B25,'январь 2023'!$J$4:$J$508,Q$1)</f>
        <v>0</v>
      </c>
      <c r="R25" s="198">
        <f>SUMIFS('январь 2023'!$G$4:$G$508,'январь 2023'!$D$4:$D$508,$B25,'январь 2023'!$J$4:$J$508,R$1)</f>
        <v>0</v>
      </c>
      <c r="S25" s="198">
        <f>SUMIFS('январь 2023'!$G$4:$G$508,'январь 2023'!$D$4:$D$508,$B25,'январь 2023'!$J$4:$J$508,S$1)</f>
        <v>0</v>
      </c>
      <c r="T25" s="198">
        <f>SUMIFS('январь 2023'!$G$4:$G$508,'январь 2023'!$D$4:$D$508,$B25,'январь 2023'!$J$4:$J$508,T$1)</f>
        <v>0</v>
      </c>
      <c r="U25" s="198">
        <f>SUMIFS('январь 2023'!$G$4:$G$508,'январь 2023'!$D$4:$D$508,$B25,'январь 2023'!$J$4:$J$508,U$1)</f>
        <v>0</v>
      </c>
      <c r="V25" s="198">
        <f>SUMIFS('январь 2023'!$G$4:$G$508,'январь 2023'!$D$4:$D$508,$B25,'январь 2023'!$J$4:$J$508,V$1)</f>
        <v>0</v>
      </c>
      <c r="W25" s="198">
        <f>SUMIFS('январь 2023'!$G$4:$G$508,'январь 2023'!$D$4:$D$508,$B25,'январь 2023'!$J$4:$J$508,W$1)</f>
        <v>0</v>
      </c>
      <c r="X25" s="198">
        <f>SUMIFS('январь 2023'!$G$4:$G$508,'январь 2023'!$D$4:$D$508,$B25,'январь 2023'!$J$4:$J$508,X$1)</f>
        <v>0</v>
      </c>
      <c r="Y25" s="198">
        <f>SUMIFS('январь 2023'!$G$4:$G$508,'январь 2023'!$D$4:$D$508,$B25,'январь 2023'!$J$4:$J$508,Y$1)</f>
        <v>0</v>
      </c>
      <c r="Z25" s="198">
        <f>SUMIFS('январь 2023'!$G$4:$G$508,'январь 2023'!$D$4:$D$508,$B25,'январь 2023'!$J$4:$J$508,Z$1)</f>
        <v>0</v>
      </c>
      <c r="AA25" s="198">
        <f>SUMIFS('январь 2023'!$G$4:$G$508,'январь 2023'!$D$4:$D$508,$B25,'январь 2023'!$J$4:$J$508,AA$1)</f>
        <v>0</v>
      </c>
      <c r="AB25" s="198">
        <f>SUMIFS('январь 2023'!$G$4:$G$508,'январь 2023'!$D$4:$D$508,$B25,'январь 2023'!$J$4:$J$508,AB$1)</f>
        <v>0</v>
      </c>
      <c r="AC25" s="198">
        <f>SUMIFS('январь 2023'!$G$4:$G$508,'январь 2023'!$D$4:$D$508,$B25,'январь 2023'!$J$4:$J$508,AC$1)</f>
        <v>0</v>
      </c>
      <c r="AD25" s="198">
        <f>SUMIFS('январь 2023'!$G$4:$G$508,'январь 2023'!$D$4:$D$508,$B25,'январь 2023'!$J$4:$J$508,AD$1)</f>
        <v>0</v>
      </c>
      <c r="AE25" s="198">
        <f>SUMIFS('январь 2023'!$G$4:$G$508,'январь 2023'!$D$4:$D$508,$B25,'январь 2023'!$J$4:$J$508,AE$1)</f>
        <v>0</v>
      </c>
      <c r="AF25" s="198">
        <f>SUMIFS('январь 2023'!$G$4:$G$508,'январь 2023'!$D$4:$D$508,$B25,'январь 2023'!$J$4:$J$508,AF$1)</f>
        <v>0</v>
      </c>
      <c r="AG25" s="198">
        <f>SUMIFS('январь 2023'!$G$4:$G$508,'январь 2023'!$D$4:$D$508,$B25,'январь 2023'!$J$4:$J$508,AG$1)</f>
        <v>0</v>
      </c>
      <c r="AH25" s="198">
        <f>SUMIFS('январь 2023'!$G$4:$G$508,'январь 2023'!$D$4:$D$508,$B25,'январь 2023'!$J$4:$J$508,AH$1)</f>
        <v>0</v>
      </c>
      <c r="AI25" s="170">
        <f t="shared" si="1"/>
        <v>0</v>
      </c>
    </row>
    <row r="26" spans="2:35" ht="15" hidden="1" customHeight="1" x14ac:dyDescent="0.25">
      <c r="B26" s="202"/>
      <c r="C26" s="200"/>
      <c r="D26" s="198">
        <f>SUMIFS('январь 2023'!$G$4:$G$508,'январь 2023'!$D$4:$D$508,$B26,'январь 2023'!$J$4:$J$508,D$1)</f>
        <v>0</v>
      </c>
      <c r="E26" s="198">
        <f>SUMIFS('январь 2023'!$G$4:$G$508,'январь 2023'!$D$4:$D$508,$B26,'январь 2023'!$J$4:$J$508,E$1)</f>
        <v>0</v>
      </c>
      <c r="F26" s="198">
        <f>SUMIFS('январь 2023'!$G$4:$G$508,'январь 2023'!$D$4:$D$508,$B26,'январь 2023'!$J$4:$J$508,F$1)</f>
        <v>0</v>
      </c>
      <c r="G26" s="198">
        <f>SUMIFS('январь 2023'!$G$4:$G$508,'январь 2023'!$D$4:$D$508,$B26,'январь 2023'!$J$4:$J$508,G$1)</f>
        <v>0</v>
      </c>
      <c r="H26" s="198">
        <f>SUMIFS('январь 2023'!$G$4:$G$508,'январь 2023'!$D$4:$D$508,$B26,'январь 2023'!$J$4:$J$508,H$1)</f>
        <v>0</v>
      </c>
      <c r="I26" s="198">
        <f>SUMIFS('январь 2023'!$G$4:$G$508,'январь 2023'!$D$4:$D$508,$B26,'январь 2023'!$J$4:$J$508,I$1)</f>
        <v>0</v>
      </c>
      <c r="J26" s="198">
        <f>SUMIFS('январь 2023'!$G$4:$G$508,'январь 2023'!$D$4:$D$508,$B26,'январь 2023'!$J$4:$J$508,J$1)</f>
        <v>0</v>
      </c>
      <c r="K26" s="198">
        <f>SUMIFS('январь 2023'!$G$4:$G$508,'январь 2023'!$D$4:$D$508,$B26,'январь 2023'!$J$4:$J$508,K$1)</f>
        <v>0</v>
      </c>
      <c r="L26" s="198">
        <f>SUMIFS('январь 2023'!$G$4:$G$508,'январь 2023'!$D$4:$D$508,$B26,'январь 2023'!$J$4:$J$508,L$1)</f>
        <v>0</v>
      </c>
      <c r="M26" s="198">
        <f>SUMIFS('январь 2023'!$G$4:$G$508,'январь 2023'!$D$4:$D$508,$B26,'январь 2023'!$J$4:$J$508,M$1)</f>
        <v>0</v>
      </c>
      <c r="N26" s="198">
        <f>SUMIFS('январь 2023'!$G$4:$G$508,'январь 2023'!$D$4:$D$508,$B26,'январь 2023'!$J$4:$J$508,N$1)</f>
        <v>0</v>
      </c>
      <c r="O26" s="198">
        <f>SUMIFS('январь 2023'!$G$4:$G$508,'январь 2023'!$D$4:$D$508,$B26,'январь 2023'!$J$4:$J$508,O$1)</f>
        <v>0</v>
      </c>
      <c r="P26" s="198">
        <f>SUMIFS('январь 2023'!$G$4:$G$508,'январь 2023'!$D$4:$D$508,$B26,'январь 2023'!$J$4:$J$508,P$1)</f>
        <v>0</v>
      </c>
      <c r="Q26" s="198">
        <f>SUMIFS('январь 2023'!$G$4:$G$508,'январь 2023'!$D$4:$D$508,$B26,'январь 2023'!$J$4:$J$508,Q$1)</f>
        <v>0</v>
      </c>
      <c r="R26" s="198">
        <f>SUMIFS('январь 2023'!$G$4:$G$508,'январь 2023'!$D$4:$D$508,$B26,'январь 2023'!$J$4:$J$508,R$1)</f>
        <v>0</v>
      </c>
      <c r="S26" s="198">
        <f>SUMIFS('январь 2023'!$G$4:$G$508,'январь 2023'!$D$4:$D$508,$B26,'январь 2023'!$J$4:$J$508,S$1)</f>
        <v>0</v>
      </c>
      <c r="T26" s="198">
        <f>SUMIFS('январь 2023'!$G$4:$G$508,'январь 2023'!$D$4:$D$508,$B26,'январь 2023'!$J$4:$J$508,T$1)</f>
        <v>0</v>
      </c>
      <c r="U26" s="198">
        <f>SUMIFS('январь 2023'!$G$4:$G$508,'январь 2023'!$D$4:$D$508,$B26,'январь 2023'!$J$4:$J$508,U$1)</f>
        <v>0</v>
      </c>
      <c r="V26" s="198">
        <f>SUMIFS('январь 2023'!$G$4:$G$508,'январь 2023'!$D$4:$D$508,$B26,'январь 2023'!$J$4:$J$508,V$1)</f>
        <v>0</v>
      </c>
      <c r="W26" s="198">
        <f>SUMIFS('январь 2023'!$G$4:$G$508,'январь 2023'!$D$4:$D$508,$B26,'январь 2023'!$J$4:$J$508,W$1)</f>
        <v>0</v>
      </c>
      <c r="X26" s="198">
        <f>SUMIFS('январь 2023'!$G$4:$G$508,'январь 2023'!$D$4:$D$508,$B26,'январь 2023'!$J$4:$J$508,X$1)</f>
        <v>0</v>
      </c>
      <c r="Y26" s="198">
        <f>SUMIFS('январь 2023'!$G$4:$G$508,'январь 2023'!$D$4:$D$508,$B26,'январь 2023'!$J$4:$J$508,Y$1)</f>
        <v>0</v>
      </c>
      <c r="Z26" s="198">
        <f>SUMIFS('январь 2023'!$G$4:$G$508,'январь 2023'!$D$4:$D$508,$B26,'январь 2023'!$J$4:$J$508,Z$1)</f>
        <v>0</v>
      </c>
      <c r="AA26" s="198">
        <f>SUMIFS('январь 2023'!$G$4:$G$508,'январь 2023'!$D$4:$D$508,$B26,'январь 2023'!$J$4:$J$508,AA$1)</f>
        <v>0</v>
      </c>
      <c r="AB26" s="198">
        <f>SUMIFS('январь 2023'!$G$4:$G$508,'январь 2023'!$D$4:$D$508,$B26,'январь 2023'!$J$4:$J$508,AB$1)</f>
        <v>0</v>
      </c>
      <c r="AC26" s="198">
        <f>SUMIFS('январь 2023'!$G$4:$G$508,'январь 2023'!$D$4:$D$508,$B26,'январь 2023'!$J$4:$J$508,AC$1)</f>
        <v>0</v>
      </c>
      <c r="AD26" s="198">
        <f>SUMIFS('январь 2023'!$G$4:$G$508,'январь 2023'!$D$4:$D$508,$B26,'январь 2023'!$J$4:$J$508,AD$1)</f>
        <v>0</v>
      </c>
      <c r="AE26" s="198">
        <f>SUMIFS('январь 2023'!$G$4:$G$508,'январь 2023'!$D$4:$D$508,$B26,'январь 2023'!$J$4:$J$508,AE$1)</f>
        <v>0</v>
      </c>
      <c r="AF26" s="198">
        <f>SUMIFS('январь 2023'!$G$4:$G$508,'январь 2023'!$D$4:$D$508,$B26,'январь 2023'!$J$4:$J$508,AF$1)</f>
        <v>0</v>
      </c>
      <c r="AG26" s="198">
        <f>SUMIFS('январь 2023'!$G$4:$G$508,'январь 2023'!$D$4:$D$508,$B26,'январь 2023'!$J$4:$J$508,AG$1)</f>
        <v>0</v>
      </c>
      <c r="AH26" s="198">
        <f>SUMIFS('январь 2023'!$G$4:$G$508,'январь 2023'!$D$4:$D$508,$B26,'январь 2023'!$J$4:$J$508,AH$1)</f>
        <v>0</v>
      </c>
      <c r="AI26" s="170">
        <f t="shared" si="1"/>
        <v>0</v>
      </c>
    </row>
    <row r="27" spans="2:35" ht="15" hidden="1" customHeight="1" x14ac:dyDescent="0.25">
      <c r="B27" s="202"/>
      <c r="C27" s="200"/>
      <c r="D27" s="198">
        <f>SUMIFS('январь 2023'!$G$4:$G$508,'январь 2023'!$D$4:$D$508,$B27,'январь 2023'!$J$4:$J$508,D$1)</f>
        <v>0</v>
      </c>
      <c r="E27" s="198">
        <f>SUMIFS('январь 2023'!$G$4:$G$508,'январь 2023'!$D$4:$D$508,$B27,'январь 2023'!$J$4:$J$508,E$1)</f>
        <v>0</v>
      </c>
      <c r="F27" s="198">
        <f>SUMIFS('январь 2023'!$G$4:$G$508,'январь 2023'!$D$4:$D$508,$B27,'январь 2023'!$J$4:$J$508,F$1)</f>
        <v>0</v>
      </c>
      <c r="G27" s="198">
        <f>SUMIFS('январь 2023'!$G$4:$G$508,'январь 2023'!$D$4:$D$508,$B27,'январь 2023'!$J$4:$J$508,G$1)</f>
        <v>0</v>
      </c>
      <c r="H27" s="198">
        <f>SUMIFS('январь 2023'!$G$4:$G$508,'январь 2023'!$D$4:$D$508,$B27,'январь 2023'!$J$4:$J$508,H$1)</f>
        <v>0</v>
      </c>
      <c r="I27" s="198">
        <f>SUMIFS('январь 2023'!$G$4:$G$508,'январь 2023'!$D$4:$D$508,$B27,'январь 2023'!$J$4:$J$508,I$1)</f>
        <v>0</v>
      </c>
      <c r="J27" s="198">
        <f>SUMIFS('январь 2023'!$G$4:$G$508,'январь 2023'!$D$4:$D$508,$B27,'январь 2023'!$J$4:$J$508,J$1)</f>
        <v>0</v>
      </c>
      <c r="K27" s="198">
        <f>SUMIFS('январь 2023'!$G$4:$G$508,'январь 2023'!$D$4:$D$508,$B27,'январь 2023'!$J$4:$J$508,K$1)</f>
        <v>0</v>
      </c>
      <c r="L27" s="198">
        <f>SUMIFS('январь 2023'!$G$4:$G$508,'январь 2023'!$D$4:$D$508,$B27,'январь 2023'!$J$4:$J$508,L$1)</f>
        <v>0</v>
      </c>
      <c r="M27" s="198">
        <f>SUMIFS('январь 2023'!$G$4:$G$508,'январь 2023'!$D$4:$D$508,$B27,'январь 2023'!$J$4:$J$508,M$1)</f>
        <v>0</v>
      </c>
      <c r="N27" s="198">
        <f>SUMIFS('январь 2023'!$G$4:$G$508,'январь 2023'!$D$4:$D$508,$B27,'январь 2023'!$J$4:$J$508,N$1)</f>
        <v>0</v>
      </c>
      <c r="O27" s="198">
        <f>SUMIFS('январь 2023'!$G$4:$G$508,'январь 2023'!$D$4:$D$508,$B27,'январь 2023'!$J$4:$J$508,O$1)</f>
        <v>0</v>
      </c>
      <c r="P27" s="198">
        <f>SUMIFS('январь 2023'!$G$4:$G$508,'январь 2023'!$D$4:$D$508,$B27,'январь 2023'!$J$4:$J$508,P$1)</f>
        <v>0</v>
      </c>
      <c r="Q27" s="198">
        <f>SUMIFS('январь 2023'!$G$4:$G$508,'январь 2023'!$D$4:$D$508,$B27,'январь 2023'!$J$4:$J$508,Q$1)</f>
        <v>0</v>
      </c>
      <c r="R27" s="198">
        <f>SUMIFS('январь 2023'!$G$4:$G$508,'январь 2023'!$D$4:$D$508,$B27,'январь 2023'!$J$4:$J$508,R$1)</f>
        <v>0</v>
      </c>
      <c r="S27" s="198">
        <f>SUMIFS('январь 2023'!$G$4:$G$508,'январь 2023'!$D$4:$D$508,$B27,'январь 2023'!$J$4:$J$508,S$1)</f>
        <v>0</v>
      </c>
      <c r="T27" s="198">
        <f>SUMIFS('январь 2023'!$G$4:$G$508,'январь 2023'!$D$4:$D$508,$B27,'январь 2023'!$J$4:$J$508,T$1)</f>
        <v>0</v>
      </c>
      <c r="U27" s="198">
        <f>SUMIFS('январь 2023'!$G$4:$G$508,'январь 2023'!$D$4:$D$508,$B27,'январь 2023'!$J$4:$J$508,U$1)</f>
        <v>0</v>
      </c>
      <c r="V27" s="198">
        <f>SUMIFS('январь 2023'!$G$4:$G$508,'январь 2023'!$D$4:$D$508,$B27,'январь 2023'!$J$4:$J$508,V$1)</f>
        <v>0</v>
      </c>
      <c r="W27" s="198">
        <f>SUMIFS('январь 2023'!$G$4:$G$508,'январь 2023'!$D$4:$D$508,$B27,'январь 2023'!$J$4:$J$508,W$1)</f>
        <v>0</v>
      </c>
      <c r="X27" s="198">
        <f>SUMIFS('январь 2023'!$G$4:$G$508,'январь 2023'!$D$4:$D$508,$B27,'январь 2023'!$J$4:$J$508,X$1)</f>
        <v>0</v>
      </c>
      <c r="Y27" s="198">
        <f>SUMIFS('январь 2023'!$G$4:$G$508,'январь 2023'!$D$4:$D$508,$B27,'январь 2023'!$J$4:$J$508,Y$1)</f>
        <v>0</v>
      </c>
      <c r="Z27" s="198">
        <f>SUMIFS('январь 2023'!$G$4:$G$508,'январь 2023'!$D$4:$D$508,$B27,'январь 2023'!$J$4:$J$508,Z$1)</f>
        <v>0</v>
      </c>
      <c r="AA27" s="198">
        <f>SUMIFS('январь 2023'!$G$4:$G$508,'январь 2023'!$D$4:$D$508,$B27,'январь 2023'!$J$4:$J$508,AA$1)</f>
        <v>0</v>
      </c>
      <c r="AB27" s="198">
        <f>SUMIFS('январь 2023'!$G$4:$G$508,'январь 2023'!$D$4:$D$508,$B27,'январь 2023'!$J$4:$J$508,AB$1)</f>
        <v>0</v>
      </c>
      <c r="AC27" s="198">
        <f>SUMIFS('январь 2023'!$G$4:$G$508,'январь 2023'!$D$4:$D$508,$B27,'январь 2023'!$J$4:$J$508,AC$1)</f>
        <v>0</v>
      </c>
      <c r="AD27" s="198">
        <f>SUMIFS('январь 2023'!$G$4:$G$508,'январь 2023'!$D$4:$D$508,$B27,'январь 2023'!$J$4:$J$508,AD$1)</f>
        <v>0</v>
      </c>
      <c r="AE27" s="198">
        <f>SUMIFS('январь 2023'!$G$4:$G$508,'январь 2023'!$D$4:$D$508,$B27,'январь 2023'!$J$4:$J$508,AE$1)</f>
        <v>0</v>
      </c>
      <c r="AF27" s="198">
        <f>SUMIFS('январь 2023'!$G$4:$G$508,'январь 2023'!$D$4:$D$508,$B27,'январь 2023'!$J$4:$J$508,AF$1)</f>
        <v>0</v>
      </c>
      <c r="AG27" s="198">
        <f>SUMIFS('январь 2023'!$G$4:$G$508,'январь 2023'!$D$4:$D$508,$B27,'январь 2023'!$J$4:$J$508,AG$1)</f>
        <v>0</v>
      </c>
      <c r="AH27" s="198">
        <f>SUMIFS('январь 2023'!$G$4:$G$508,'январь 2023'!$D$4:$D$508,$B27,'январь 2023'!$J$4:$J$508,AH$1)</f>
        <v>0</v>
      </c>
      <c r="AI27" s="170">
        <f t="shared" si="1"/>
        <v>0</v>
      </c>
    </row>
    <row r="28" spans="2:35" ht="15" hidden="1" customHeight="1" x14ac:dyDescent="0.25">
      <c r="B28" s="202"/>
      <c r="C28" s="200"/>
      <c r="D28" s="198">
        <f>SUMIFS('январь 2023'!$G$4:$G$508,'январь 2023'!$D$4:$D$508,$B28,'январь 2023'!$J$4:$J$508,D$1)</f>
        <v>0</v>
      </c>
      <c r="E28" s="198">
        <f>SUMIFS('январь 2023'!$G$4:$G$508,'январь 2023'!$D$4:$D$508,$B28,'январь 2023'!$J$4:$J$508,E$1)</f>
        <v>0</v>
      </c>
      <c r="F28" s="198">
        <f>SUMIFS('январь 2023'!$G$4:$G$508,'январь 2023'!$D$4:$D$508,$B28,'январь 2023'!$J$4:$J$508,F$1)</f>
        <v>0</v>
      </c>
      <c r="G28" s="198">
        <f>SUMIFS('январь 2023'!$G$4:$G$508,'январь 2023'!$D$4:$D$508,$B28,'январь 2023'!$J$4:$J$508,G$1)</f>
        <v>0</v>
      </c>
      <c r="H28" s="198">
        <f>SUMIFS('январь 2023'!$G$4:$G$508,'январь 2023'!$D$4:$D$508,$B28,'январь 2023'!$J$4:$J$508,H$1)</f>
        <v>0</v>
      </c>
      <c r="I28" s="198">
        <f>SUMIFS('январь 2023'!$G$4:$G$508,'январь 2023'!$D$4:$D$508,$B28,'январь 2023'!$J$4:$J$508,I$1)</f>
        <v>0</v>
      </c>
      <c r="J28" s="198">
        <f>SUMIFS('январь 2023'!$G$4:$G$508,'январь 2023'!$D$4:$D$508,$B28,'январь 2023'!$J$4:$J$508,J$1)</f>
        <v>0</v>
      </c>
      <c r="K28" s="198">
        <f>SUMIFS('январь 2023'!$G$4:$G$508,'январь 2023'!$D$4:$D$508,$B28,'январь 2023'!$J$4:$J$508,K$1)</f>
        <v>0</v>
      </c>
      <c r="L28" s="198">
        <f>SUMIFS('январь 2023'!$G$4:$G$508,'январь 2023'!$D$4:$D$508,$B28,'январь 2023'!$J$4:$J$508,L$1)</f>
        <v>0</v>
      </c>
      <c r="M28" s="198">
        <f>SUMIFS('январь 2023'!$G$4:$G$508,'январь 2023'!$D$4:$D$508,$B28,'январь 2023'!$J$4:$J$508,M$1)</f>
        <v>0</v>
      </c>
      <c r="N28" s="198">
        <f>SUMIFS('январь 2023'!$G$4:$G$508,'январь 2023'!$D$4:$D$508,$B28,'январь 2023'!$J$4:$J$508,N$1)</f>
        <v>0</v>
      </c>
      <c r="O28" s="198">
        <f>SUMIFS('январь 2023'!$G$4:$G$508,'январь 2023'!$D$4:$D$508,$B28,'январь 2023'!$J$4:$J$508,O$1)</f>
        <v>0</v>
      </c>
      <c r="P28" s="198">
        <f>SUMIFS('январь 2023'!$G$4:$G$508,'январь 2023'!$D$4:$D$508,$B28,'январь 2023'!$J$4:$J$508,P$1)</f>
        <v>0</v>
      </c>
      <c r="Q28" s="198">
        <f>SUMIFS('январь 2023'!$G$4:$G$508,'январь 2023'!$D$4:$D$508,$B28,'январь 2023'!$J$4:$J$508,Q$1)</f>
        <v>0</v>
      </c>
      <c r="R28" s="198">
        <f>SUMIFS('январь 2023'!$G$4:$G$508,'январь 2023'!$D$4:$D$508,$B28,'январь 2023'!$J$4:$J$508,R$1)</f>
        <v>0</v>
      </c>
      <c r="S28" s="198">
        <f>SUMIFS('январь 2023'!$G$4:$G$508,'январь 2023'!$D$4:$D$508,$B28,'январь 2023'!$J$4:$J$508,S$1)</f>
        <v>0</v>
      </c>
      <c r="T28" s="198">
        <f>SUMIFS('январь 2023'!$G$4:$G$508,'январь 2023'!$D$4:$D$508,$B28,'январь 2023'!$J$4:$J$508,T$1)</f>
        <v>0</v>
      </c>
      <c r="U28" s="198">
        <f>SUMIFS('январь 2023'!$G$4:$G$508,'январь 2023'!$D$4:$D$508,$B28,'январь 2023'!$J$4:$J$508,U$1)</f>
        <v>0</v>
      </c>
      <c r="V28" s="198">
        <f>SUMIFS('январь 2023'!$G$4:$G$508,'январь 2023'!$D$4:$D$508,$B28,'январь 2023'!$J$4:$J$508,V$1)</f>
        <v>0</v>
      </c>
      <c r="W28" s="198">
        <f>SUMIFS('январь 2023'!$G$4:$G$508,'январь 2023'!$D$4:$D$508,$B28,'январь 2023'!$J$4:$J$508,W$1)</f>
        <v>0</v>
      </c>
      <c r="X28" s="198">
        <f>SUMIFS('январь 2023'!$G$4:$G$508,'январь 2023'!$D$4:$D$508,$B28,'январь 2023'!$J$4:$J$508,X$1)</f>
        <v>0</v>
      </c>
      <c r="Y28" s="198">
        <f>SUMIFS('январь 2023'!$G$4:$G$508,'январь 2023'!$D$4:$D$508,$B28,'январь 2023'!$J$4:$J$508,Y$1)</f>
        <v>0</v>
      </c>
      <c r="Z28" s="198">
        <f>SUMIFS('январь 2023'!$G$4:$G$508,'январь 2023'!$D$4:$D$508,$B28,'январь 2023'!$J$4:$J$508,Z$1)</f>
        <v>0</v>
      </c>
      <c r="AA28" s="198">
        <f>SUMIFS('январь 2023'!$G$4:$G$508,'январь 2023'!$D$4:$D$508,$B28,'январь 2023'!$J$4:$J$508,AA$1)</f>
        <v>0</v>
      </c>
      <c r="AB28" s="198">
        <f>SUMIFS('январь 2023'!$G$4:$G$508,'январь 2023'!$D$4:$D$508,$B28,'январь 2023'!$J$4:$J$508,AB$1)</f>
        <v>0</v>
      </c>
      <c r="AC28" s="198">
        <f>SUMIFS('январь 2023'!$G$4:$G$508,'январь 2023'!$D$4:$D$508,$B28,'январь 2023'!$J$4:$J$508,AC$1)</f>
        <v>0</v>
      </c>
      <c r="AD28" s="198">
        <f>SUMIFS('январь 2023'!$G$4:$G$508,'январь 2023'!$D$4:$D$508,$B28,'январь 2023'!$J$4:$J$508,AD$1)</f>
        <v>0</v>
      </c>
      <c r="AE28" s="198">
        <f>SUMIFS('январь 2023'!$G$4:$G$508,'январь 2023'!$D$4:$D$508,$B28,'январь 2023'!$J$4:$J$508,AE$1)</f>
        <v>0</v>
      </c>
      <c r="AF28" s="198">
        <f>SUMIFS('январь 2023'!$G$4:$G$508,'январь 2023'!$D$4:$D$508,$B28,'январь 2023'!$J$4:$J$508,AF$1)</f>
        <v>0</v>
      </c>
      <c r="AG28" s="198">
        <f>SUMIFS('январь 2023'!$G$4:$G$508,'январь 2023'!$D$4:$D$508,$B28,'январь 2023'!$J$4:$J$508,AG$1)</f>
        <v>0</v>
      </c>
      <c r="AH28" s="198">
        <f>SUMIFS('январь 2023'!$G$4:$G$508,'январь 2023'!$D$4:$D$508,$B28,'январь 2023'!$J$4:$J$508,AH$1)</f>
        <v>0</v>
      </c>
      <c r="AI28" s="170">
        <f t="shared" si="1"/>
        <v>0</v>
      </c>
    </row>
    <row r="29" spans="2:35" ht="15" customHeight="1" x14ac:dyDescent="0.25">
      <c r="B29" s="202"/>
      <c r="C29" s="200"/>
      <c r="D29" s="198">
        <f>SUMIFS('январь 2023'!$G$4:$G$508,'январь 2023'!$D$4:$D$508,$B29,'январь 2023'!$J$4:$J$508,D$1)</f>
        <v>0</v>
      </c>
      <c r="E29" s="198">
        <f>SUMIFS('январь 2023'!$G$4:$G$508,'январь 2023'!$D$4:$D$508,$B29,'январь 2023'!$J$4:$J$508,E$1)</f>
        <v>0</v>
      </c>
      <c r="F29" s="198">
        <f>SUMIFS('январь 2023'!$G$4:$G$508,'январь 2023'!$D$4:$D$508,$B29,'январь 2023'!$J$4:$J$508,F$1)</f>
        <v>0</v>
      </c>
      <c r="G29" s="198">
        <f>SUMIFS('январь 2023'!$G$4:$G$508,'январь 2023'!$D$4:$D$508,$B29,'январь 2023'!$J$4:$J$508,G$1)</f>
        <v>0</v>
      </c>
      <c r="H29" s="198">
        <f>SUMIFS('январь 2023'!$G$4:$G$508,'январь 2023'!$D$4:$D$508,$B29,'январь 2023'!$J$4:$J$508,H$1)</f>
        <v>0</v>
      </c>
      <c r="I29" s="198">
        <f>SUMIFS('январь 2023'!$G$4:$G$508,'январь 2023'!$D$4:$D$508,$B29,'январь 2023'!$J$4:$J$508,I$1)</f>
        <v>0</v>
      </c>
      <c r="J29" s="198">
        <f>SUMIFS('январь 2023'!$G$4:$G$508,'январь 2023'!$D$4:$D$508,$B29,'январь 2023'!$J$4:$J$508,J$1)</f>
        <v>0</v>
      </c>
      <c r="K29" s="198">
        <f>SUMIFS('январь 2023'!$G$4:$G$508,'январь 2023'!$D$4:$D$508,$B29,'январь 2023'!$J$4:$J$508,K$1)</f>
        <v>0</v>
      </c>
      <c r="L29" s="198">
        <f>SUMIFS('январь 2023'!$G$4:$G$508,'январь 2023'!$D$4:$D$508,$B29,'январь 2023'!$J$4:$J$508,L$1)</f>
        <v>0</v>
      </c>
      <c r="M29" s="198">
        <f>SUMIFS('январь 2023'!$G$4:$G$508,'январь 2023'!$D$4:$D$508,$B29,'январь 2023'!$J$4:$J$508,M$1)</f>
        <v>0</v>
      </c>
      <c r="N29" s="198">
        <f>SUMIFS('январь 2023'!$G$4:$G$508,'январь 2023'!$D$4:$D$508,$B29,'январь 2023'!$J$4:$J$508,N$1)</f>
        <v>0</v>
      </c>
      <c r="O29" s="198">
        <f>SUMIFS('январь 2023'!$G$4:$G$508,'январь 2023'!$D$4:$D$508,$B29,'январь 2023'!$J$4:$J$508,O$1)</f>
        <v>0</v>
      </c>
      <c r="P29" s="198">
        <f>SUMIFS('январь 2023'!$G$4:$G$508,'январь 2023'!$D$4:$D$508,$B29,'январь 2023'!$J$4:$J$508,P$1)</f>
        <v>0</v>
      </c>
      <c r="Q29" s="198">
        <f>SUMIFS('январь 2023'!$G$4:$G$508,'январь 2023'!$D$4:$D$508,$B29,'январь 2023'!$J$4:$J$508,Q$1)</f>
        <v>0</v>
      </c>
      <c r="R29" s="198">
        <f>SUMIFS('январь 2023'!$G$4:$G$508,'январь 2023'!$D$4:$D$508,$B29,'январь 2023'!$J$4:$J$508,R$1)</f>
        <v>0</v>
      </c>
      <c r="S29" s="198">
        <f>SUMIFS('январь 2023'!$G$4:$G$508,'январь 2023'!$D$4:$D$508,$B29,'январь 2023'!$J$4:$J$508,S$1)</f>
        <v>0</v>
      </c>
      <c r="T29" s="198">
        <f>SUMIFS('январь 2023'!$G$4:$G$508,'январь 2023'!$D$4:$D$508,$B29,'январь 2023'!$J$4:$J$508,T$1)</f>
        <v>0</v>
      </c>
      <c r="U29" s="198">
        <f>SUMIFS('январь 2023'!$G$4:$G$508,'январь 2023'!$D$4:$D$508,$B29,'январь 2023'!$J$4:$J$508,U$1)</f>
        <v>0</v>
      </c>
      <c r="V29" s="198">
        <f>SUMIFS('январь 2023'!$G$4:$G$508,'январь 2023'!$D$4:$D$508,$B29,'январь 2023'!$J$4:$J$508,V$1)</f>
        <v>0</v>
      </c>
      <c r="W29" s="198">
        <f>SUMIFS('январь 2023'!$G$4:$G$508,'январь 2023'!$D$4:$D$508,$B29,'январь 2023'!$J$4:$J$508,W$1)</f>
        <v>0</v>
      </c>
      <c r="X29" s="198">
        <f>SUMIFS('январь 2023'!$G$4:$G$508,'январь 2023'!$D$4:$D$508,$B29,'январь 2023'!$J$4:$J$508,X$1)</f>
        <v>0</v>
      </c>
      <c r="Y29" s="198">
        <f>SUMIFS('январь 2023'!$G$4:$G$508,'январь 2023'!$D$4:$D$508,$B29,'январь 2023'!$J$4:$J$508,Y$1)</f>
        <v>0</v>
      </c>
      <c r="Z29" s="198">
        <f>SUMIFS('январь 2023'!$G$4:$G$508,'январь 2023'!$D$4:$D$508,$B29,'январь 2023'!$J$4:$J$508,Z$1)</f>
        <v>0</v>
      </c>
      <c r="AA29" s="198">
        <f>SUMIFS('январь 2023'!$G$4:$G$508,'январь 2023'!$D$4:$D$508,$B29,'январь 2023'!$J$4:$J$508,AA$1)</f>
        <v>0</v>
      </c>
      <c r="AB29" s="198">
        <f>SUMIFS('январь 2023'!$G$4:$G$508,'январь 2023'!$D$4:$D$508,$B29,'январь 2023'!$J$4:$J$508,AB$1)</f>
        <v>0</v>
      </c>
      <c r="AC29" s="198">
        <f>SUMIFS('январь 2023'!$G$4:$G$508,'январь 2023'!$D$4:$D$508,$B29,'январь 2023'!$J$4:$J$508,AC$1)</f>
        <v>0</v>
      </c>
      <c r="AD29" s="198">
        <f>SUMIFS('январь 2023'!$G$4:$G$508,'январь 2023'!$D$4:$D$508,$B29,'январь 2023'!$J$4:$J$508,AD$1)</f>
        <v>0</v>
      </c>
      <c r="AE29" s="198">
        <f>SUMIFS('январь 2023'!$G$4:$G$508,'январь 2023'!$D$4:$D$508,$B29,'январь 2023'!$J$4:$J$508,AE$1)</f>
        <v>0</v>
      </c>
      <c r="AF29" s="198">
        <f>SUMIFS('январь 2023'!$G$4:$G$508,'январь 2023'!$D$4:$D$508,$B29,'январь 2023'!$J$4:$J$508,AF$1)</f>
        <v>0</v>
      </c>
      <c r="AG29" s="198">
        <f>SUMIFS('январь 2023'!$G$4:$G$508,'январь 2023'!$D$4:$D$508,$B29,'январь 2023'!$J$4:$J$508,AG$1)</f>
        <v>0</v>
      </c>
      <c r="AH29" s="198">
        <f>SUMIFS('январь 2023'!$G$4:$G$508,'январь 2023'!$D$4:$D$508,$B29,'январь 2023'!$J$4:$J$508,AH$1)</f>
        <v>0</v>
      </c>
      <c r="AI29" s="170">
        <f t="shared" si="1"/>
        <v>0</v>
      </c>
    </row>
    <row r="30" spans="2:35" ht="15" customHeight="1" x14ac:dyDescent="0.25">
      <c r="B30" s="205" t="s">
        <v>2107</v>
      </c>
      <c r="C30" s="206">
        <v>25</v>
      </c>
      <c r="D30" s="207">
        <f>SUMIFS('январь 2023'!$G$4:$G$508,'январь 2023'!$D$4:$D$508,$B30,'январь 2023'!$J$4:$J$508,D$1)</f>
        <v>0</v>
      </c>
      <c r="E30" s="207">
        <f>SUMIFS('январь 2023'!$G$4:$G$508,'январь 2023'!$D$4:$D$508,$B30,'январь 2023'!$J$4:$J$508,E$1)</f>
        <v>0</v>
      </c>
      <c r="F30" s="207">
        <f>SUMIFS('январь 2023'!$G$4:$G$508,'январь 2023'!$D$4:$D$508,$B30,'январь 2023'!$J$4:$J$508,F$1)</f>
        <v>0</v>
      </c>
      <c r="G30" s="207">
        <f>SUMIFS('январь 2023'!$G$4:$G$508,'январь 2023'!$D$4:$D$508,$B30,'январь 2023'!$J$4:$J$508,G$1)</f>
        <v>0</v>
      </c>
      <c r="H30" s="207">
        <f>SUMIFS('январь 2023'!$G$4:$G$508,'январь 2023'!$D$4:$D$508,$B30,'январь 2023'!$J$4:$J$508,H$1)</f>
        <v>0</v>
      </c>
      <c r="I30" s="207">
        <f>SUMIFS('январь 2023'!$G$4:$G$508,'январь 2023'!$D$4:$D$508,$B30,'январь 2023'!$J$4:$J$508,I$1)</f>
        <v>0</v>
      </c>
      <c r="J30" s="207">
        <f>SUMIFS('январь 2023'!$G$4:$G$508,'январь 2023'!$D$4:$D$508,$B30,'январь 2023'!$J$4:$J$508,J$1)</f>
        <v>0</v>
      </c>
      <c r="K30" s="207">
        <f>SUMIFS('январь 2023'!$G$4:$G$508,'январь 2023'!$D$4:$D$508,$B30,'январь 2023'!$J$4:$J$508,K$1)</f>
        <v>0</v>
      </c>
      <c r="L30" s="207">
        <f>SUMIFS('январь 2023'!$G$4:$G$508,'январь 2023'!$D$4:$D$508,$B30,'январь 2023'!$J$4:$J$508,L$1)</f>
        <v>0</v>
      </c>
      <c r="M30" s="207">
        <f>SUMIFS('январь 2023'!$G$4:$G$508,'январь 2023'!$D$4:$D$508,$B30,'январь 2023'!$J$4:$J$508,M$1)</f>
        <v>0</v>
      </c>
      <c r="N30" s="207">
        <f>SUMIFS('январь 2023'!$G$4:$G$508,'январь 2023'!$D$4:$D$508,$B30,'январь 2023'!$J$4:$J$508,N$1)</f>
        <v>0</v>
      </c>
      <c r="O30" s="207">
        <f>SUMIFS('январь 2023'!$G$4:$G$508,'январь 2023'!$D$4:$D$508,$B30,'январь 2023'!$J$4:$J$508,O$1)</f>
        <v>0</v>
      </c>
      <c r="P30" s="207">
        <f>SUMIFS('январь 2023'!$G$4:$G$508,'январь 2023'!$D$4:$D$508,$B30,'январь 2023'!$J$4:$J$508,P$1)</f>
        <v>0</v>
      </c>
      <c r="Q30" s="207">
        <f>SUMIFS('январь 2023'!$G$4:$G$508,'январь 2023'!$D$4:$D$508,$B30,'январь 2023'!$J$4:$J$508,Q$1)</f>
        <v>0</v>
      </c>
      <c r="R30" s="207">
        <f>SUMIFS('январь 2023'!$G$4:$G$508,'январь 2023'!$D$4:$D$508,$B30,'январь 2023'!$J$4:$J$508,R$1)</f>
        <v>0</v>
      </c>
      <c r="S30" s="207">
        <f>SUMIFS('январь 2023'!$G$4:$G$508,'январь 2023'!$D$4:$D$508,$B30,'январь 2023'!$J$4:$J$508,S$1)</f>
        <v>0</v>
      </c>
      <c r="T30" s="207">
        <f>SUMIFS('январь 2023'!$G$4:$G$508,'январь 2023'!$D$4:$D$508,$B30,'январь 2023'!$J$4:$J$508,T$1)</f>
        <v>0</v>
      </c>
      <c r="U30" s="207">
        <f>SUMIFS('январь 2023'!$G$4:$G$508,'январь 2023'!$D$4:$D$508,$B30,'январь 2023'!$J$4:$J$508,U$1)</f>
        <v>0</v>
      </c>
      <c r="V30" s="207">
        <f>SUMIFS('январь 2023'!$G$4:$G$508,'январь 2023'!$D$4:$D$508,$B30,'январь 2023'!$J$4:$J$508,V$1)</f>
        <v>0</v>
      </c>
      <c r="W30" s="207">
        <f>SUMIFS('январь 2023'!$G$4:$G$508,'январь 2023'!$D$4:$D$508,$B30,'январь 2023'!$J$4:$J$508,W$1)</f>
        <v>0</v>
      </c>
      <c r="X30" s="207">
        <f>SUMIFS('январь 2023'!$G$4:$G$508,'январь 2023'!$D$4:$D$508,$B30,'январь 2023'!$J$4:$J$508,X$1)</f>
        <v>0</v>
      </c>
      <c r="Y30" s="207">
        <f>SUMIFS('январь 2023'!$G$4:$G$508,'январь 2023'!$D$4:$D$508,$B30,'январь 2023'!$J$4:$J$508,Y$1)</f>
        <v>0</v>
      </c>
      <c r="Z30" s="207">
        <f>SUMIFS('январь 2023'!$G$4:$G$508,'январь 2023'!$D$4:$D$508,$B30,'январь 2023'!$J$4:$J$508,Z$1)</f>
        <v>0</v>
      </c>
      <c r="AA30" s="207">
        <f>SUMIFS('январь 2023'!$G$4:$G$508,'январь 2023'!$D$4:$D$508,$B30,'январь 2023'!$J$4:$J$508,AA$1)</f>
        <v>0</v>
      </c>
      <c r="AB30" s="207">
        <f>SUMIFS('январь 2023'!$G$4:$G$508,'январь 2023'!$D$4:$D$508,$B30,'январь 2023'!$J$4:$J$508,AB$1)</f>
        <v>0</v>
      </c>
      <c r="AC30" s="207">
        <f>SUMIFS('январь 2023'!$G$4:$G$508,'январь 2023'!$D$4:$D$508,$B30,'январь 2023'!$J$4:$J$508,AC$1)</f>
        <v>95</v>
      </c>
      <c r="AD30" s="207">
        <f>SUMIFS('январь 2023'!$G$4:$G$508,'январь 2023'!$D$4:$D$508,$B30,'январь 2023'!$J$4:$J$508,AD$1)</f>
        <v>0</v>
      </c>
      <c r="AE30" s="207">
        <f>SUMIFS('январь 2023'!$G$4:$G$508,'январь 2023'!$D$4:$D$508,$B30,'январь 2023'!$J$4:$J$508,AE$1)</f>
        <v>0</v>
      </c>
      <c r="AF30" s="207">
        <f>SUMIFS('январь 2023'!$G$4:$G$508,'январь 2023'!$D$4:$D$508,$B30,'январь 2023'!$J$4:$J$508,AF$1)</f>
        <v>0</v>
      </c>
      <c r="AG30" s="207">
        <f>SUMIFS('январь 2023'!$G$4:$G$508,'январь 2023'!$D$4:$D$508,$B30,'январь 2023'!$J$4:$J$508,AG$1)</f>
        <v>0</v>
      </c>
      <c r="AH30" s="207">
        <f>SUMIFS('январь 2023'!$G$4:$G$508,'январь 2023'!$D$4:$D$508,$B30,'январь 2023'!$J$4:$J$508,AH$1)</f>
        <v>0</v>
      </c>
      <c r="AI30" s="170">
        <f t="shared" si="1"/>
        <v>95</v>
      </c>
    </row>
    <row r="31" spans="2:35" ht="15" customHeight="1" x14ac:dyDescent="0.25">
      <c r="B31" s="208" t="s">
        <v>1392</v>
      </c>
      <c r="C31" s="206">
        <v>25</v>
      </c>
      <c r="D31" s="207">
        <f>SUMIFS('январь 2023'!$G$4:$G$508,'январь 2023'!$D$4:$D$508,$B31,'январь 2023'!$J$4:$J$508,D$1)</f>
        <v>0</v>
      </c>
      <c r="E31" s="207">
        <f>SUMIFS('январь 2023'!$G$4:$G$508,'январь 2023'!$D$4:$D$508,$B31,'январь 2023'!$J$4:$J$508,E$1)</f>
        <v>0</v>
      </c>
      <c r="F31" s="207">
        <f>SUMIFS('январь 2023'!$G$4:$G$508,'январь 2023'!$D$4:$D$508,$B31,'январь 2023'!$J$4:$J$508,F$1)</f>
        <v>0</v>
      </c>
      <c r="G31" s="207">
        <f>SUMIFS('январь 2023'!$G$4:$G$508,'январь 2023'!$D$4:$D$508,$B31,'январь 2023'!$J$4:$J$508,G$1)</f>
        <v>0</v>
      </c>
      <c r="H31" s="207">
        <f>SUMIFS('январь 2023'!$G$4:$G$508,'январь 2023'!$D$4:$D$508,$B31,'январь 2023'!$J$4:$J$508,H$1)</f>
        <v>0</v>
      </c>
      <c r="I31" s="207">
        <f>SUMIFS('январь 2023'!$G$4:$G$508,'январь 2023'!$D$4:$D$508,$B31,'январь 2023'!$J$4:$J$508,I$1)</f>
        <v>0</v>
      </c>
      <c r="J31" s="207">
        <f>SUMIFS('январь 2023'!$G$4:$G$508,'январь 2023'!$D$4:$D$508,$B31,'январь 2023'!$J$4:$J$508,J$1)</f>
        <v>0</v>
      </c>
      <c r="K31" s="207">
        <f>SUMIFS('январь 2023'!$G$4:$G$508,'январь 2023'!$D$4:$D$508,$B31,'январь 2023'!$J$4:$J$508,K$1)</f>
        <v>0</v>
      </c>
      <c r="L31" s="207">
        <f>SUMIFS('январь 2023'!$G$4:$G$508,'январь 2023'!$D$4:$D$508,$B31,'январь 2023'!$J$4:$J$508,L$1)</f>
        <v>0</v>
      </c>
      <c r="M31" s="207">
        <f>SUMIFS('январь 2023'!$G$4:$G$508,'январь 2023'!$D$4:$D$508,$B31,'январь 2023'!$J$4:$J$508,M$1)</f>
        <v>0</v>
      </c>
      <c r="N31" s="207">
        <f>SUMIFS('январь 2023'!$G$4:$G$508,'январь 2023'!$D$4:$D$508,$B31,'январь 2023'!$J$4:$J$508,N$1)</f>
        <v>0</v>
      </c>
      <c r="O31" s="207">
        <f>SUMIFS('январь 2023'!$G$4:$G$508,'январь 2023'!$D$4:$D$508,$B31,'январь 2023'!$J$4:$J$508,O$1)</f>
        <v>0</v>
      </c>
      <c r="P31" s="207">
        <f>SUMIFS('январь 2023'!$G$4:$G$508,'январь 2023'!$D$4:$D$508,$B31,'январь 2023'!$J$4:$J$508,P$1)</f>
        <v>0</v>
      </c>
      <c r="Q31" s="207">
        <f>SUMIFS('январь 2023'!$G$4:$G$508,'январь 2023'!$D$4:$D$508,$B31,'январь 2023'!$J$4:$J$508,Q$1)</f>
        <v>0</v>
      </c>
      <c r="R31" s="207">
        <f>SUMIFS('январь 2023'!$G$4:$G$508,'январь 2023'!$D$4:$D$508,$B31,'январь 2023'!$J$4:$J$508,R$1)</f>
        <v>0</v>
      </c>
      <c r="S31" s="207">
        <f>SUMIFS('январь 2023'!$G$4:$G$508,'январь 2023'!$D$4:$D$508,$B31,'январь 2023'!$J$4:$J$508,S$1)</f>
        <v>0</v>
      </c>
      <c r="T31" s="207">
        <f>SUMIFS('январь 2023'!$G$4:$G$508,'январь 2023'!$D$4:$D$508,$B31,'январь 2023'!$J$4:$J$508,T$1)</f>
        <v>0</v>
      </c>
      <c r="U31" s="207">
        <f>SUMIFS('январь 2023'!$G$4:$G$508,'январь 2023'!$D$4:$D$508,$B31,'январь 2023'!$J$4:$J$508,U$1)</f>
        <v>0</v>
      </c>
      <c r="V31" s="207">
        <f>SUMIFS('январь 2023'!$G$4:$G$508,'январь 2023'!$D$4:$D$508,$B31,'январь 2023'!$J$4:$J$508,V$1)</f>
        <v>0</v>
      </c>
      <c r="W31" s="207">
        <f>SUMIFS('январь 2023'!$G$4:$G$508,'январь 2023'!$D$4:$D$508,$B31,'январь 2023'!$J$4:$J$508,W$1)</f>
        <v>0</v>
      </c>
      <c r="X31" s="207">
        <f>SUMIFS('январь 2023'!$G$4:$G$508,'январь 2023'!$D$4:$D$508,$B31,'январь 2023'!$J$4:$J$508,X$1)</f>
        <v>0</v>
      </c>
      <c r="Y31" s="207">
        <f>SUMIFS('январь 2023'!$G$4:$G$508,'январь 2023'!$D$4:$D$508,$B31,'январь 2023'!$J$4:$J$508,Y$1)</f>
        <v>0</v>
      </c>
      <c r="Z31" s="207">
        <f>SUMIFS('январь 2023'!$G$4:$G$508,'январь 2023'!$D$4:$D$508,$B31,'январь 2023'!$J$4:$J$508,Z$1)</f>
        <v>700</v>
      </c>
      <c r="AA31" s="207">
        <f>SUMIFS('январь 2023'!$G$4:$G$508,'январь 2023'!$D$4:$D$508,$B31,'январь 2023'!$J$4:$J$508,AA$1)</f>
        <v>0</v>
      </c>
      <c r="AB31" s="207">
        <f>SUMIFS('январь 2023'!$G$4:$G$508,'январь 2023'!$D$4:$D$508,$B31,'январь 2023'!$J$4:$J$508,AB$1)</f>
        <v>0</v>
      </c>
      <c r="AC31" s="207">
        <f>SUMIFS('январь 2023'!$G$4:$G$508,'январь 2023'!$D$4:$D$508,$B31,'январь 2023'!$J$4:$J$508,AC$1)</f>
        <v>800</v>
      </c>
      <c r="AD31" s="207">
        <f>SUMIFS('январь 2023'!$G$4:$G$508,'январь 2023'!$D$4:$D$508,$B31,'январь 2023'!$J$4:$J$508,AD$1)</f>
        <v>800</v>
      </c>
      <c r="AE31" s="207">
        <f>SUMIFS('январь 2023'!$G$4:$G$508,'январь 2023'!$D$4:$D$508,$B31,'январь 2023'!$J$4:$J$508,AE$1)</f>
        <v>0</v>
      </c>
      <c r="AF31" s="207">
        <f>SUMIFS('январь 2023'!$G$4:$G$508,'январь 2023'!$D$4:$D$508,$B31,'январь 2023'!$J$4:$J$508,AF$1)</f>
        <v>0</v>
      </c>
      <c r="AG31" s="207">
        <f>SUMIFS('январь 2023'!$G$4:$G$508,'январь 2023'!$D$4:$D$508,$B31,'январь 2023'!$J$4:$J$508,AG$1)</f>
        <v>0</v>
      </c>
      <c r="AH31" s="207">
        <f>SUMIFS('январь 2023'!$G$4:$G$508,'январь 2023'!$D$4:$D$508,$B31,'январь 2023'!$J$4:$J$508,AH$1)</f>
        <v>0</v>
      </c>
      <c r="AI31" s="170">
        <f t="shared" si="1"/>
        <v>2300</v>
      </c>
    </row>
    <row r="32" spans="2:35" ht="15" customHeight="1" x14ac:dyDescent="0.25">
      <c r="B32" s="209"/>
      <c r="C32" s="206"/>
      <c r="D32" s="207">
        <f>SUMIFS('январь 2023'!$G$4:$G$508,'январь 2023'!$D$4:$D$508,$B32,'январь 2023'!$J$4:$J$508,D$1)</f>
        <v>0</v>
      </c>
      <c r="E32" s="207">
        <f>SUMIFS('январь 2023'!$G$4:$G$508,'январь 2023'!$D$4:$D$508,$B32,'январь 2023'!$J$4:$J$508,E$1)</f>
        <v>0</v>
      </c>
      <c r="F32" s="207">
        <f>SUMIFS('январь 2023'!$G$4:$G$508,'январь 2023'!$D$4:$D$508,$B32,'январь 2023'!$J$4:$J$508,F$1)</f>
        <v>0</v>
      </c>
      <c r="G32" s="207">
        <f>SUMIFS('январь 2023'!$G$4:$G$508,'январь 2023'!$D$4:$D$508,$B32,'январь 2023'!$J$4:$J$508,G$1)</f>
        <v>0</v>
      </c>
      <c r="H32" s="207">
        <f>SUMIFS('январь 2023'!$G$4:$G$508,'январь 2023'!$D$4:$D$508,$B32,'январь 2023'!$J$4:$J$508,H$1)</f>
        <v>0</v>
      </c>
      <c r="I32" s="207">
        <f>SUMIFS('январь 2023'!$G$4:$G$508,'январь 2023'!$D$4:$D$508,$B32,'январь 2023'!$J$4:$J$508,I$1)</f>
        <v>0</v>
      </c>
      <c r="J32" s="207">
        <f>SUMIFS('январь 2023'!$G$4:$G$508,'январь 2023'!$D$4:$D$508,$B32,'январь 2023'!$J$4:$J$508,J$1)</f>
        <v>0</v>
      </c>
      <c r="K32" s="207">
        <f>SUMIFS('январь 2023'!$G$4:$G$508,'январь 2023'!$D$4:$D$508,$B32,'январь 2023'!$J$4:$J$508,K$1)</f>
        <v>0</v>
      </c>
      <c r="L32" s="207">
        <f>SUMIFS('январь 2023'!$G$4:$G$508,'январь 2023'!$D$4:$D$508,$B32,'январь 2023'!$J$4:$J$508,L$1)</f>
        <v>0</v>
      </c>
      <c r="M32" s="207">
        <f>SUMIFS('январь 2023'!$G$4:$G$508,'январь 2023'!$D$4:$D$508,$B32,'январь 2023'!$J$4:$J$508,M$1)</f>
        <v>0</v>
      </c>
      <c r="N32" s="207">
        <f>SUMIFS('январь 2023'!$G$4:$G$508,'январь 2023'!$D$4:$D$508,$B32,'январь 2023'!$J$4:$J$508,N$1)</f>
        <v>0</v>
      </c>
      <c r="O32" s="207">
        <f>SUMIFS('январь 2023'!$G$4:$G$508,'январь 2023'!$D$4:$D$508,$B32,'январь 2023'!$J$4:$J$508,O$1)</f>
        <v>0</v>
      </c>
      <c r="P32" s="207">
        <f>SUMIFS('январь 2023'!$G$4:$G$508,'январь 2023'!$D$4:$D$508,$B32,'январь 2023'!$J$4:$J$508,P$1)</f>
        <v>0</v>
      </c>
      <c r="Q32" s="207">
        <f>SUMIFS('январь 2023'!$G$4:$G$508,'январь 2023'!$D$4:$D$508,$B32,'январь 2023'!$J$4:$J$508,Q$1)</f>
        <v>0</v>
      </c>
      <c r="R32" s="207">
        <f>SUMIFS('январь 2023'!$G$4:$G$508,'январь 2023'!$D$4:$D$508,$B32,'январь 2023'!$J$4:$J$508,R$1)</f>
        <v>0</v>
      </c>
      <c r="S32" s="207">
        <f>SUMIFS('январь 2023'!$G$4:$G$508,'январь 2023'!$D$4:$D$508,$B32,'январь 2023'!$J$4:$J$508,S$1)</f>
        <v>0</v>
      </c>
      <c r="T32" s="207">
        <f>SUMIFS('январь 2023'!$G$4:$G$508,'январь 2023'!$D$4:$D$508,$B32,'январь 2023'!$J$4:$J$508,T$1)</f>
        <v>0</v>
      </c>
      <c r="U32" s="207">
        <f>SUMIFS('январь 2023'!$G$4:$G$508,'январь 2023'!$D$4:$D$508,$B32,'январь 2023'!$J$4:$J$508,U$1)</f>
        <v>0</v>
      </c>
      <c r="V32" s="207">
        <f>SUMIFS('январь 2023'!$G$4:$G$508,'январь 2023'!$D$4:$D$508,$B32,'январь 2023'!$J$4:$J$508,V$1)</f>
        <v>0</v>
      </c>
      <c r="W32" s="207">
        <f>SUMIFS('январь 2023'!$G$4:$G$508,'январь 2023'!$D$4:$D$508,$B32,'январь 2023'!$J$4:$J$508,W$1)</f>
        <v>0</v>
      </c>
      <c r="X32" s="207">
        <f>SUMIFS('январь 2023'!$G$4:$G$508,'январь 2023'!$D$4:$D$508,$B32,'январь 2023'!$J$4:$J$508,X$1)</f>
        <v>0</v>
      </c>
      <c r="Y32" s="207">
        <f>SUMIFS('январь 2023'!$G$4:$G$508,'январь 2023'!$D$4:$D$508,$B32,'январь 2023'!$J$4:$J$508,Y$1)</f>
        <v>0</v>
      </c>
      <c r="Z32" s="207">
        <f>SUMIFS('январь 2023'!$G$4:$G$508,'январь 2023'!$D$4:$D$508,$B32,'январь 2023'!$J$4:$J$508,Z$1)</f>
        <v>0</v>
      </c>
      <c r="AA32" s="207">
        <f>SUMIFS('январь 2023'!$G$4:$G$508,'январь 2023'!$D$4:$D$508,$B32,'январь 2023'!$J$4:$J$508,AA$1)</f>
        <v>0</v>
      </c>
      <c r="AB32" s="207">
        <f>SUMIFS('январь 2023'!$G$4:$G$508,'январь 2023'!$D$4:$D$508,$B32,'январь 2023'!$J$4:$J$508,AB$1)</f>
        <v>0</v>
      </c>
      <c r="AC32" s="207">
        <f>SUMIFS('январь 2023'!$G$4:$G$508,'январь 2023'!$D$4:$D$508,$B32,'январь 2023'!$J$4:$J$508,AC$1)</f>
        <v>0</v>
      </c>
      <c r="AD32" s="207">
        <f>SUMIFS('январь 2023'!$G$4:$G$508,'январь 2023'!$D$4:$D$508,$B32,'январь 2023'!$J$4:$J$508,AD$1)</f>
        <v>0</v>
      </c>
      <c r="AE32" s="207">
        <f>SUMIFS('январь 2023'!$G$4:$G$508,'январь 2023'!$D$4:$D$508,$B32,'январь 2023'!$J$4:$J$508,AE$1)</f>
        <v>0</v>
      </c>
      <c r="AF32" s="207">
        <f>SUMIFS('январь 2023'!$G$4:$G$508,'январь 2023'!$D$4:$D$508,$B32,'январь 2023'!$J$4:$J$508,AF$1)</f>
        <v>0</v>
      </c>
      <c r="AG32" s="207">
        <f>SUMIFS('январь 2023'!$G$4:$G$508,'январь 2023'!$D$4:$D$508,$B32,'январь 2023'!$J$4:$J$508,AG$1)</f>
        <v>0</v>
      </c>
      <c r="AH32" s="207">
        <f>SUMIFS('январь 2023'!$G$4:$G$508,'январь 2023'!$D$4:$D$508,$B32,'январь 2023'!$J$4:$J$508,AH$1)</f>
        <v>0</v>
      </c>
      <c r="AI32" s="170">
        <f t="shared" si="1"/>
        <v>0</v>
      </c>
    </row>
    <row r="33" spans="2:35" ht="15" customHeight="1" x14ac:dyDescent="0.25">
      <c r="B33" s="210" t="s">
        <v>1344</v>
      </c>
      <c r="C33" s="211">
        <v>25</v>
      </c>
      <c r="D33" s="207">
        <f>SUMIFS('январь 2023'!$G$4:$G$508,'январь 2023'!$D$4:$D$508,$B33,'январь 2023'!$J$4:$J$508,D$1)</f>
        <v>0</v>
      </c>
      <c r="E33" s="207">
        <f>SUMIFS('январь 2023'!$G$4:$G$508,'январь 2023'!$D$4:$D$508,$B33,'январь 2023'!$J$4:$J$508,E$1)</f>
        <v>0</v>
      </c>
      <c r="F33" s="207">
        <f>SUMIFS('январь 2023'!$G$4:$G$508,'январь 2023'!$D$4:$D$508,$B33,'январь 2023'!$J$4:$J$508,F$1)</f>
        <v>0</v>
      </c>
      <c r="G33" s="207">
        <f>SUMIFS('январь 2023'!$G$4:$G$508,'январь 2023'!$D$4:$D$508,$B33,'январь 2023'!$J$4:$J$508,G$1)</f>
        <v>0</v>
      </c>
      <c r="H33" s="207">
        <f>SUMIFS('январь 2023'!$G$4:$G$508,'январь 2023'!$D$4:$D$508,$B33,'январь 2023'!$J$4:$J$508,H$1)</f>
        <v>0</v>
      </c>
      <c r="I33" s="207">
        <f>SUMIFS('январь 2023'!$G$4:$G$508,'январь 2023'!$D$4:$D$508,$B33,'январь 2023'!$J$4:$J$508,I$1)</f>
        <v>0</v>
      </c>
      <c r="J33" s="207">
        <f>SUMIFS('январь 2023'!$G$4:$G$508,'январь 2023'!$D$4:$D$508,$B33,'январь 2023'!$J$4:$J$508,J$1)</f>
        <v>0</v>
      </c>
      <c r="K33" s="207">
        <f>SUMIFS('январь 2023'!$G$4:$G$508,'январь 2023'!$D$4:$D$508,$B33,'январь 2023'!$J$4:$J$508,K$1)</f>
        <v>0</v>
      </c>
      <c r="L33" s="207">
        <f>SUMIFS('январь 2023'!$G$4:$G$508,'январь 2023'!$D$4:$D$508,$B33,'январь 2023'!$J$4:$J$508,L$1)</f>
        <v>0</v>
      </c>
      <c r="M33" s="207">
        <f>SUMIFS('январь 2023'!$G$4:$G$508,'январь 2023'!$D$4:$D$508,$B33,'январь 2023'!$J$4:$J$508,M$1)</f>
        <v>0</v>
      </c>
      <c r="N33" s="207">
        <f>SUMIFS('январь 2023'!$G$4:$G$508,'январь 2023'!$D$4:$D$508,$B33,'январь 2023'!$J$4:$J$508,N$1)</f>
        <v>0</v>
      </c>
      <c r="O33" s="207">
        <f>SUMIFS('январь 2023'!$G$4:$G$508,'январь 2023'!$D$4:$D$508,$B33,'январь 2023'!$J$4:$J$508,O$1)</f>
        <v>0</v>
      </c>
      <c r="P33" s="207">
        <f>SUMIFS('январь 2023'!$G$4:$G$508,'январь 2023'!$D$4:$D$508,$B33,'январь 2023'!$J$4:$J$508,P$1)</f>
        <v>0</v>
      </c>
      <c r="Q33" s="207">
        <f>SUMIFS('январь 2023'!$G$4:$G$508,'январь 2023'!$D$4:$D$508,$B33,'январь 2023'!$J$4:$J$508,Q$1)</f>
        <v>0</v>
      </c>
      <c r="R33" s="207">
        <f>SUMIFS('январь 2023'!$G$4:$G$508,'январь 2023'!$D$4:$D$508,$B33,'январь 2023'!$J$4:$J$508,R$1)</f>
        <v>0</v>
      </c>
      <c r="S33" s="207">
        <f>SUMIFS('январь 2023'!$G$4:$G$508,'январь 2023'!$D$4:$D$508,$B33,'январь 2023'!$J$4:$J$508,S$1)</f>
        <v>0</v>
      </c>
      <c r="T33" s="207">
        <f>SUMIFS('январь 2023'!$G$4:$G$508,'январь 2023'!$D$4:$D$508,$B33,'январь 2023'!$J$4:$J$508,T$1)</f>
        <v>0</v>
      </c>
      <c r="U33" s="207">
        <f>SUMIFS('январь 2023'!$G$4:$G$508,'январь 2023'!$D$4:$D$508,$B33,'январь 2023'!$J$4:$J$508,U$1)</f>
        <v>0</v>
      </c>
      <c r="V33" s="207">
        <f>SUMIFS('январь 2023'!$G$4:$G$508,'январь 2023'!$D$4:$D$508,$B33,'январь 2023'!$J$4:$J$508,V$1)</f>
        <v>0</v>
      </c>
      <c r="W33" s="207">
        <f>SUMIFS('январь 2023'!$G$4:$G$508,'январь 2023'!$D$4:$D$508,$B33,'январь 2023'!$J$4:$J$508,W$1)</f>
        <v>0</v>
      </c>
      <c r="X33" s="207">
        <f>SUMIFS('январь 2023'!$G$4:$G$508,'январь 2023'!$D$4:$D$508,$B33,'январь 2023'!$J$4:$J$508,X$1)</f>
        <v>0</v>
      </c>
      <c r="Y33" s="207">
        <f>SUMIFS('январь 2023'!$G$4:$G$508,'январь 2023'!$D$4:$D$508,$B33,'январь 2023'!$J$4:$J$508,Y$1)</f>
        <v>0</v>
      </c>
      <c r="Z33" s="207">
        <f>SUMIFS('январь 2023'!$G$4:$G$508,'январь 2023'!$D$4:$D$508,$B33,'январь 2023'!$J$4:$J$508,Z$1)</f>
        <v>0</v>
      </c>
      <c r="AA33" s="207">
        <f>SUMIFS('январь 2023'!$G$4:$G$508,'январь 2023'!$D$4:$D$508,$B33,'январь 2023'!$J$4:$J$508,AA$1)</f>
        <v>0</v>
      </c>
      <c r="AB33" s="207">
        <f>SUMIFS('январь 2023'!$G$4:$G$508,'январь 2023'!$D$4:$D$508,$B33,'январь 2023'!$J$4:$J$508,AB$1)</f>
        <v>0</v>
      </c>
      <c r="AC33" s="207">
        <f>SUMIFS('январь 2023'!$G$4:$G$508,'январь 2023'!$D$4:$D$508,$B33,'январь 2023'!$J$4:$J$508,AC$1)</f>
        <v>0</v>
      </c>
      <c r="AD33" s="207">
        <f>SUMIFS('январь 2023'!$G$4:$G$508,'январь 2023'!$D$4:$D$508,$B33,'январь 2023'!$J$4:$J$508,AD$1)</f>
        <v>0</v>
      </c>
      <c r="AE33" s="207">
        <f>SUMIFS('январь 2023'!$G$4:$G$508,'январь 2023'!$D$4:$D$508,$B33,'январь 2023'!$J$4:$J$508,AE$1)</f>
        <v>0</v>
      </c>
      <c r="AF33" s="207">
        <f>SUMIFS('январь 2023'!$G$4:$G$508,'январь 2023'!$D$4:$D$508,$B33,'январь 2023'!$J$4:$J$508,AF$1)</f>
        <v>0</v>
      </c>
      <c r="AG33" s="207">
        <f>SUMIFS('январь 2023'!$G$4:$G$508,'январь 2023'!$D$4:$D$508,$B33,'январь 2023'!$J$4:$J$508,AG$1)</f>
        <v>0</v>
      </c>
      <c r="AH33" s="207">
        <f>SUMIFS('январь 2023'!$G$4:$G$508,'январь 2023'!$D$4:$D$508,$B33,'январь 2023'!$J$4:$J$508,AH$1)</f>
        <v>0</v>
      </c>
      <c r="AI33" s="170">
        <f t="shared" si="1"/>
        <v>0</v>
      </c>
    </row>
    <row r="34" spans="2:35" ht="15" customHeight="1" x14ac:dyDescent="0.25">
      <c r="B34" s="212" t="s">
        <v>754</v>
      </c>
      <c r="C34" s="213">
        <v>20</v>
      </c>
      <c r="D34" s="207">
        <f>SUMIFS('январь 2023'!$G$4:$G$508,'январь 2023'!$D$4:$D$508,$B34,'январь 2023'!$J$4:$J$508,D$1)</f>
        <v>0</v>
      </c>
      <c r="E34" s="207">
        <f>SUMIFS('январь 2023'!$G$4:$G$508,'январь 2023'!$D$4:$D$508,$B34,'январь 2023'!$J$4:$J$508,E$1)</f>
        <v>0</v>
      </c>
      <c r="F34" s="207">
        <f>SUMIFS('январь 2023'!$G$4:$G$508,'январь 2023'!$D$4:$D$508,$B34,'январь 2023'!$J$4:$J$508,F$1)</f>
        <v>0</v>
      </c>
      <c r="G34" s="207">
        <f>SUMIFS('январь 2023'!$G$4:$G$508,'январь 2023'!$D$4:$D$508,$B34,'январь 2023'!$J$4:$J$508,G$1)</f>
        <v>0</v>
      </c>
      <c r="H34" s="207">
        <f>SUMIFS('январь 2023'!$G$4:$G$508,'январь 2023'!$D$4:$D$508,$B34,'январь 2023'!$J$4:$J$508,H$1)</f>
        <v>0</v>
      </c>
      <c r="I34" s="207">
        <f>SUMIFS('январь 2023'!$G$4:$G$508,'январь 2023'!$D$4:$D$508,$B34,'январь 2023'!$J$4:$J$508,I$1)</f>
        <v>0</v>
      </c>
      <c r="J34" s="207">
        <f>SUMIFS('январь 2023'!$G$4:$G$508,'январь 2023'!$D$4:$D$508,$B34,'январь 2023'!$J$4:$J$508,J$1)</f>
        <v>0</v>
      </c>
      <c r="K34" s="207">
        <f>SUMIFS('январь 2023'!$G$4:$G$508,'январь 2023'!$D$4:$D$508,$B34,'январь 2023'!$J$4:$J$508,K$1)</f>
        <v>0</v>
      </c>
      <c r="L34" s="207">
        <f>SUMIFS('январь 2023'!$G$4:$G$508,'январь 2023'!$D$4:$D$508,$B34,'январь 2023'!$J$4:$J$508,L$1)</f>
        <v>0</v>
      </c>
      <c r="M34" s="207">
        <f>SUMIFS('январь 2023'!$G$4:$G$508,'январь 2023'!$D$4:$D$508,$B34,'январь 2023'!$J$4:$J$508,M$1)</f>
        <v>0</v>
      </c>
      <c r="N34" s="207">
        <f>SUMIFS('январь 2023'!$G$4:$G$508,'январь 2023'!$D$4:$D$508,$B34,'январь 2023'!$J$4:$J$508,N$1)</f>
        <v>0</v>
      </c>
      <c r="O34" s="207">
        <f>SUMIFS('январь 2023'!$G$4:$G$508,'январь 2023'!$D$4:$D$508,$B34,'январь 2023'!$J$4:$J$508,O$1)</f>
        <v>0</v>
      </c>
      <c r="P34" s="207">
        <f>SUMIFS('январь 2023'!$G$4:$G$508,'январь 2023'!$D$4:$D$508,$B34,'январь 2023'!$J$4:$J$508,P$1)</f>
        <v>0</v>
      </c>
      <c r="Q34" s="207">
        <f>SUMIFS('январь 2023'!$G$4:$G$508,'январь 2023'!$D$4:$D$508,$B34,'январь 2023'!$J$4:$J$508,Q$1)</f>
        <v>0</v>
      </c>
      <c r="R34" s="207">
        <f>SUMIFS('январь 2023'!$G$4:$G$508,'январь 2023'!$D$4:$D$508,$B34,'январь 2023'!$J$4:$J$508,R$1)</f>
        <v>0</v>
      </c>
      <c r="S34" s="207">
        <f>SUMIFS('январь 2023'!$G$4:$G$508,'январь 2023'!$D$4:$D$508,$B34,'январь 2023'!$J$4:$J$508,S$1)</f>
        <v>0</v>
      </c>
      <c r="T34" s="207">
        <f>SUMIFS('январь 2023'!$G$4:$G$508,'январь 2023'!$D$4:$D$508,$B34,'январь 2023'!$J$4:$J$508,T$1)</f>
        <v>0</v>
      </c>
      <c r="U34" s="207">
        <f>SUMIFS('январь 2023'!$G$4:$G$508,'январь 2023'!$D$4:$D$508,$B34,'январь 2023'!$J$4:$J$508,U$1)</f>
        <v>0</v>
      </c>
      <c r="V34" s="207">
        <f>SUMIFS('январь 2023'!$G$4:$G$508,'январь 2023'!$D$4:$D$508,$B34,'январь 2023'!$J$4:$J$508,V$1)</f>
        <v>0</v>
      </c>
      <c r="W34" s="207">
        <f>SUMIFS('январь 2023'!$G$4:$G$508,'январь 2023'!$D$4:$D$508,$B34,'январь 2023'!$J$4:$J$508,W$1)</f>
        <v>0</v>
      </c>
      <c r="X34" s="207">
        <f>SUMIFS('январь 2023'!$G$4:$G$508,'январь 2023'!$D$4:$D$508,$B34,'январь 2023'!$J$4:$J$508,X$1)</f>
        <v>0</v>
      </c>
      <c r="Y34" s="207">
        <f>SUMIFS('январь 2023'!$G$4:$G$508,'январь 2023'!$D$4:$D$508,$B34,'январь 2023'!$J$4:$J$508,Y$1)</f>
        <v>0</v>
      </c>
      <c r="Z34" s="207">
        <f>SUMIFS('январь 2023'!$G$4:$G$508,'январь 2023'!$D$4:$D$508,$B34,'январь 2023'!$J$4:$J$508,Z$1)</f>
        <v>0</v>
      </c>
      <c r="AA34" s="207">
        <f>SUMIFS('январь 2023'!$G$4:$G$508,'январь 2023'!$D$4:$D$508,$B34,'январь 2023'!$J$4:$J$508,AA$1)</f>
        <v>0</v>
      </c>
      <c r="AB34" s="207">
        <f>SUMIFS('январь 2023'!$G$4:$G$508,'январь 2023'!$D$4:$D$508,$B34,'январь 2023'!$J$4:$J$508,AB$1)</f>
        <v>0</v>
      </c>
      <c r="AC34" s="207">
        <f>SUMIFS('январь 2023'!$G$4:$G$508,'январь 2023'!$D$4:$D$508,$B34,'январь 2023'!$J$4:$J$508,AC$1)</f>
        <v>0</v>
      </c>
      <c r="AD34" s="207">
        <f>SUMIFS('январь 2023'!$G$4:$G$508,'январь 2023'!$D$4:$D$508,$B34,'январь 2023'!$J$4:$J$508,AD$1)</f>
        <v>0</v>
      </c>
      <c r="AE34" s="207">
        <f>SUMIFS('январь 2023'!$G$4:$G$508,'январь 2023'!$D$4:$D$508,$B34,'январь 2023'!$J$4:$J$508,AE$1)</f>
        <v>0</v>
      </c>
      <c r="AF34" s="207">
        <f>SUMIFS('январь 2023'!$G$4:$G$508,'январь 2023'!$D$4:$D$508,$B34,'январь 2023'!$J$4:$J$508,AF$1)</f>
        <v>0</v>
      </c>
      <c r="AG34" s="207">
        <f>SUMIFS('январь 2023'!$G$4:$G$508,'январь 2023'!$D$4:$D$508,$B34,'январь 2023'!$J$4:$J$508,AG$1)</f>
        <v>0</v>
      </c>
      <c r="AH34" s="207">
        <f>SUMIFS('январь 2023'!$G$4:$G$508,'январь 2023'!$D$4:$D$508,$B34,'январь 2023'!$J$4:$J$508,AH$1)</f>
        <v>0</v>
      </c>
      <c r="AI34" s="170">
        <f t="shared" si="1"/>
        <v>0</v>
      </c>
    </row>
    <row r="35" spans="2:35" ht="15" customHeight="1" x14ac:dyDescent="0.25">
      <c r="B35" s="212"/>
      <c r="C35" s="211"/>
      <c r="D35" s="207">
        <f>SUMIFS('январь 2023'!$G$4:$G$508,'январь 2023'!$D$4:$D$508,$B35,'январь 2023'!$J$4:$J$508,D$1)</f>
        <v>0</v>
      </c>
      <c r="E35" s="207">
        <f>SUMIFS('январь 2023'!$G$4:$G$508,'январь 2023'!$D$4:$D$508,$B35,'январь 2023'!$J$4:$J$508,E$1)</f>
        <v>0</v>
      </c>
      <c r="F35" s="207">
        <f>SUMIFS('январь 2023'!$G$4:$G$508,'январь 2023'!$D$4:$D$508,$B35,'январь 2023'!$J$4:$J$508,F$1)</f>
        <v>0</v>
      </c>
      <c r="G35" s="207">
        <f>SUMIFS('январь 2023'!$G$4:$G$508,'январь 2023'!$D$4:$D$508,$B35,'январь 2023'!$J$4:$J$508,G$1)</f>
        <v>0</v>
      </c>
      <c r="H35" s="207">
        <f>SUMIFS('январь 2023'!$G$4:$G$508,'январь 2023'!$D$4:$D$508,$B35,'январь 2023'!$J$4:$J$508,H$1)</f>
        <v>0</v>
      </c>
      <c r="I35" s="207">
        <f>SUMIFS('январь 2023'!$G$4:$G$508,'январь 2023'!$D$4:$D$508,$B35,'январь 2023'!$J$4:$J$508,I$1)</f>
        <v>0</v>
      </c>
      <c r="J35" s="207">
        <f>SUMIFS('январь 2023'!$G$4:$G$508,'январь 2023'!$D$4:$D$508,$B35,'январь 2023'!$J$4:$J$508,J$1)</f>
        <v>0</v>
      </c>
      <c r="K35" s="207">
        <f>SUMIFS('январь 2023'!$G$4:$G$508,'январь 2023'!$D$4:$D$508,$B35,'январь 2023'!$J$4:$J$508,K$1)</f>
        <v>0</v>
      </c>
      <c r="L35" s="207">
        <f>SUMIFS('январь 2023'!$G$4:$G$508,'январь 2023'!$D$4:$D$508,$B35,'январь 2023'!$J$4:$J$508,L$1)</f>
        <v>0</v>
      </c>
      <c r="M35" s="207">
        <f>SUMIFS('январь 2023'!$G$4:$G$508,'январь 2023'!$D$4:$D$508,$B35,'январь 2023'!$J$4:$J$508,M$1)</f>
        <v>0</v>
      </c>
      <c r="N35" s="207">
        <f>SUMIFS('январь 2023'!$G$4:$G$508,'январь 2023'!$D$4:$D$508,$B35,'январь 2023'!$J$4:$J$508,N$1)</f>
        <v>0</v>
      </c>
      <c r="O35" s="207">
        <f>SUMIFS('январь 2023'!$G$4:$G$508,'январь 2023'!$D$4:$D$508,$B35,'январь 2023'!$J$4:$J$508,O$1)</f>
        <v>0</v>
      </c>
      <c r="P35" s="207">
        <f>SUMIFS('январь 2023'!$G$4:$G$508,'январь 2023'!$D$4:$D$508,$B35,'январь 2023'!$J$4:$J$508,P$1)</f>
        <v>0</v>
      </c>
      <c r="Q35" s="207">
        <f>SUMIFS('январь 2023'!$G$4:$G$508,'январь 2023'!$D$4:$D$508,$B35,'январь 2023'!$J$4:$J$508,Q$1)</f>
        <v>0</v>
      </c>
      <c r="R35" s="207">
        <f>SUMIFS('январь 2023'!$G$4:$G$508,'январь 2023'!$D$4:$D$508,$B35,'январь 2023'!$J$4:$J$508,R$1)</f>
        <v>0</v>
      </c>
      <c r="S35" s="207">
        <f>SUMIFS('январь 2023'!$G$4:$G$508,'январь 2023'!$D$4:$D$508,$B35,'январь 2023'!$J$4:$J$508,S$1)</f>
        <v>0</v>
      </c>
      <c r="T35" s="207">
        <f>SUMIFS('январь 2023'!$G$4:$G$508,'январь 2023'!$D$4:$D$508,$B35,'январь 2023'!$J$4:$J$508,T$1)</f>
        <v>0</v>
      </c>
      <c r="U35" s="207">
        <f>SUMIFS('январь 2023'!$G$4:$G$508,'январь 2023'!$D$4:$D$508,$B35,'январь 2023'!$J$4:$J$508,U$1)</f>
        <v>0</v>
      </c>
      <c r="V35" s="207">
        <f>SUMIFS('январь 2023'!$G$4:$G$508,'январь 2023'!$D$4:$D$508,$B35,'январь 2023'!$J$4:$J$508,V$1)</f>
        <v>0</v>
      </c>
      <c r="W35" s="207">
        <f>SUMIFS('январь 2023'!$G$4:$G$508,'январь 2023'!$D$4:$D$508,$B35,'январь 2023'!$J$4:$J$508,W$1)</f>
        <v>0</v>
      </c>
      <c r="X35" s="207">
        <f>SUMIFS('январь 2023'!$G$4:$G$508,'январь 2023'!$D$4:$D$508,$B35,'январь 2023'!$J$4:$J$508,X$1)</f>
        <v>0</v>
      </c>
      <c r="Y35" s="207">
        <f>SUMIFS('январь 2023'!$G$4:$G$508,'январь 2023'!$D$4:$D$508,$B35,'январь 2023'!$J$4:$J$508,Y$1)</f>
        <v>0</v>
      </c>
      <c r="Z35" s="207">
        <f>SUMIFS('январь 2023'!$G$4:$G$508,'январь 2023'!$D$4:$D$508,$B35,'январь 2023'!$J$4:$J$508,Z$1)</f>
        <v>0</v>
      </c>
      <c r="AA35" s="207">
        <f>SUMIFS('январь 2023'!$G$4:$G$508,'январь 2023'!$D$4:$D$508,$B35,'январь 2023'!$J$4:$J$508,AA$1)</f>
        <v>0</v>
      </c>
      <c r="AB35" s="207">
        <f>SUMIFS('январь 2023'!$G$4:$G$508,'январь 2023'!$D$4:$D$508,$B35,'январь 2023'!$J$4:$J$508,AB$1)</f>
        <v>0</v>
      </c>
      <c r="AC35" s="207">
        <f>SUMIFS('январь 2023'!$G$4:$G$508,'январь 2023'!$D$4:$D$508,$B35,'январь 2023'!$J$4:$J$508,AC$1)</f>
        <v>0</v>
      </c>
      <c r="AD35" s="207">
        <f>SUMIFS('январь 2023'!$G$4:$G$508,'январь 2023'!$D$4:$D$508,$B35,'январь 2023'!$J$4:$J$508,AD$1)</f>
        <v>0</v>
      </c>
      <c r="AE35" s="207">
        <f>SUMIFS('январь 2023'!$G$4:$G$508,'январь 2023'!$D$4:$D$508,$B35,'январь 2023'!$J$4:$J$508,AE$1)</f>
        <v>0</v>
      </c>
      <c r="AF35" s="207">
        <f>SUMIFS('январь 2023'!$G$4:$G$508,'январь 2023'!$D$4:$D$508,$B35,'январь 2023'!$J$4:$J$508,AF$1)</f>
        <v>0</v>
      </c>
      <c r="AG35" s="207">
        <f>SUMIFS('январь 2023'!$G$4:$G$508,'январь 2023'!$D$4:$D$508,$B35,'январь 2023'!$J$4:$J$508,AG$1)</f>
        <v>0</v>
      </c>
      <c r="AH35" s="207">
        <f>SUMIFS('январь 2023'!$G$4:$G$508,'январь 2023'!$D$4:$D$508,$B35,'январь 2023'!$J$4:$J$508,AH$1)</f>
        <v>0</v>
      </c>
      <c r="AI35" s="170">
        <f t="shared" si="1"/>
        <v>0</v>
      </c>
    </row>
    <row r="36" spans="2:35" ht="15" customHeight="1" x14ac:dyDescent="0.25">
      <c r="B36" s="212" t="s">
        <v>1813</v>
      </c>
      <c r="C36" s="215">
        <v>22.68</v>
      </c>
      <c r="D36" s="207">
        <f>SUMIFS('январь 2023'!$G$4:$G$508,'январь 2023'!$D$4:$D$508,$B36,'январь 2023'!$J$4:$J$508,D$1)</f>
        <v>0</v>
      </c>
      <c r="E36" s="207">
        <f>SUMIFS('январь 2023'!$G$4:$G$508,'январь 2023'!$D$4:$D$508,$B36,'январь 2023'!$J$4:$J$508,E$1)</f>
        <v>0</v>
      </c>
      <c r="F36" s="207">
        <f>SUMIFS('январь 2023'!$G$4:$G$508,'январь 2023'!$D$4:$D$508,$B36,'январь 2023'!$J$4:$J$508,F$1)</f>
        <v>0</v>
      </c>
      <c r="G36" s="207">
        <f>SUMIFS('январь 2023'!$G$4:$G$508,'январь 2023'!$D$4:$D$508,$B36,'январь 2023'!$J$4:$J$508,G$1)</f>
        <v>0</v>
      </c>
      <c r="H36" s="207">
        <f>SUMIFS('январь 2023'!$G$4:$G$508,'январь 2023'!$D$4:$D$508,$B36,'январь 2023'!$J$4:$J$508,H$1)</f>
        <v>0</v>
      </c>
      <c r="I36" s="207">
        <f>SUMIFS('январь 2023'!$G$4:$G$508,'январь 2023'!$D$4:$D$508,$B36,'январь 2023'!$J$4:$J$508,I$1)</f>
        <v>0</v>
      </c>
      <c r="J36" s="207">
        <f>SUMIFS('январь 2023'!$G$4:$G$508,'январь 2023'!$D$4:$D$508,$B36,'январь 2023'!$J$4:$J$508,J$1)</f>
        <v>0</v>
      </c>
      <c r="K36" s="207">
        <f>SUMIFS('январь 2023'!$G$4:$G$508,'январь 2023'!$D$4:$D$508,$B36,'январь 2023'!$J$4:$J$508,K$1)</f>
        <v>0</v>
      </c>
      <c r="L36" s="207">
        <f>SUMIFS('январь 2023'!$G$4:$G$508,'январь 2023'!$D$4:$D$508,$B36,'январь 2023'!$J$4:$J$508,L$1)</f>
        <v>800</v>
      </c>
      <c r="M36" s="207">
        <f>SUMIFS('январь 2023'!$G$4:$G$508,'январь 2023'!$D$4:$D$508,$B36,'январь 2023'!$J$4:$J$508,M$1)</f>
        <v>0</v>
      </c>
      <c r="N36" s="207">
        <f>SUMIFS('январь 2023'!$G$4:$G$508,'январь 2023'!$D$4:$D$508,$B36,'январь 2023'!$J$4:$J$508,N$1)</f>
        <v>0</v>
      </c>
      <c r="O36" s="207">
        <f>SUMIFS('январь 2023'!$G$4:$G$508,'январь 2023'!$D$4:$D$508,$B36,'январь 2023'!$J$4:$J$508,O$1)</f>
        <v>0</v>
      </c>
      <c r="P36" s="207">
        <f>SUMIFS('январь 2023'!$G$4:$G$508,'январь 2023'!$D$4:$D$508,$B36,'январь 2023'!$J$4:$J$508,P$1)</f>
        <v>0</v>
      </c>
      <c r="Q36" s="207">
        <f>SUMIFS('январь 2023'!$G$4:$G$508,'январь 2023'!$D$4:$D$508,$B36,'январь 2023'!$J$4:$J$508,Q$1)</f>
        <v>0</v>
      </c>
      <c r="R36" s="207">
        <f>SUMIFS('январь 2023'!$G$4:$G$508,'январь 2023'!$D$4:$D$508,$B36,'январь 2023'!$J$4:$J$508,R$1)</f>
        <v>0</v>
      </c>
      <c r="S36" s="207">
        <f>SUMIFS('январь 2023'!$G$4:$G$508,'январь 2023'!$D$4:$D$508,$B36,'январь 2023'!$J$4:$J$508,S$1)</f>
        <v>0</v>
      </c>
      <c r="T36" s="207">
        <f>SUMIFS('январь 2023'!$G$4:$G$508,'январь 2023'!$D$4:$D$508,$B36,'январь 2023'!$J$4:$J$508,T$1)</f>
        <v>0</v>
      </c>
      <c r="U36" s="207">
        <f>SUMIFS('январь 2023'!$G$4:$G$508,'январь 2023'!$D$4:$D$508,$B36,'январь 2023'!$J$4:$J$508,U$1)</f>
        <v>0</v>
      </c>
      <c r="V36" s="207">
        <f>SUMIFS('январь 2023'!$G$4:$G$508,'январь 2023'!$D$4:$D$508,$B36,'январь 2023'!$J$4:$J$508,V$1)</f>
        <v>0</v>
      </c>
      <c r="W36" s="207">
        <f>SUMIFS('январь 2023'!$G$4:$G$508,'январь 2023'!$D$4:$D$508,$B36,'январь 2023'!$J$4:$J$508,W$1)</f>
        <v>0</v>
      </c>
      <c r="X36" s="207">
        <f>SUMIFS('январь 2023'!$G$4:$G$508,'январь 2023'!$D$4:$D$508,$B36,'январь 2023'!$J$4:$J$508,X$1)</f>
        <v>0</v>
      </c>
      <c r="Y36" s="207">
        <f>SUMIFS('январь 2023'!$G$4:$G$508,'январь 2023'!$D$4:$D$508,$B36,'январь 2023'!$J$4:$J$508,Y$1)</f>
        <v>0</v>
      </c>
      <c r="Z36" s="207">
        <f>SUMIFS('январь 2023'!$G$4:$G$508,'январь 2023'!$D$4:$D$508,$B36,'январь 2023'!$J$4:$J$508,Z$1)</f>
        <v>0</v>
      </c>
      <c r="AA36" s="207">
        <f>SUMIFS('январь 2023'!$G$4:$G$508,'январь 2023'!$D$4:$D$508,$B36,'январь 2023'!$J$4:$J$508,AA$1)</f>
        <v>0</v>
      </c>
      <c r="AB36" s="207">
        <f>SUMIFS('январь 2023'!$G$4:$G$508,'январь 2023'!$D$4:$D$508,$B36,'январь 2023'!$J$4:$J$508,AB$1)</f>
        <v>0</v>
      </c>
      <c r="AC36" s="207">
        <f>SUMIFS('январь 2023'!$G$4:$G$508,'январь 2023'!$D$4:$D$508,$B36,'январь 2023'!$J$4:$J$508,AC$1)</f>
        <v>0</v>
      </c>
      <c r="AD36" s="207">
        <f>SUMIFS('январь 2023'!$G$4:$G$508,'январь 2023'!$D$4:$D$508,$B36,'январь 2023'!$J$4:$J$508,AD$1)</f>
        <v>0</v>
      </c>
      <c r="AE36" s="207">
        <f>SUMIFS('январь 2023'!$G$4:$G$508,'январь 2023'!$D$4:$D$508,$B36,'январь 2023'!$J$4:$J$508,AE$1)</f>
        <v>0</v>
      </c>
      <c r="AF36" s="207">
        <f>SUMIFS('январь 2023'!$G$4:$G$508,'январь 2023'!$D$4:$D$508,$B36,'январь 2023'!$J$4:$J$508,AF$1)</f>
        <v>0</v>
      </c>
      <c r="AG36" s="207">
        <f>SUMIFS('январь 2023'!$G$4:$G$508,'январь 2023'!$D$4:$D$508,$B36,'январь 2023'!$J$4:$J$508,AG$1)</f>
        <v>0</v>
      </c>
      <c r="AH36" s="207">
        <f>SUMIFS('январь 2023'!$G$4:$G$508,'январь 2023'!$D$4:$D$508,$B36,'январь 2023'!$J$4:$J$508,AH$1)</f>
        <v>800</v>
      </c>
      <c r="AI36" s="170">
        <f t="shared" si="1"/>
        <v>1600</v>
      </c>
    </row>
    <row r="37" spans="2:35" ht="15" customHeight="1" x14ac:dyDescent="0.25">
      <c r="B37" s="212" t="s">
        <v>492</v>
      </c>
      <c r="C37" s="211">
        <v>25</v>
      </c>
      <c r="D37" s="207">
        <f>SUMIFS('январь 2023'!$G$4:$G$508,'январь 2023'!$D$4:$D$508,$B37,'январь 2023'!$J$4:$J$508,D$1)</f>
        <v>0</v>
      </c>
      <c r="E37" s="207">
        <f>SUMIFS('январь 2023'!$G$4:$G$508,'январь 2023'!$D$4:$D$508,$B37,'январь 2023'!$J$4:$J$508,E$1)</f>
        <v>0</v>
      </c>
      <c r="F37" s="207">
        <f>SUMIFS('январь 2023'!$G$4:$G$508,'январь 2023'!$D$4:$D$508,$B37,'январь 2023'!$J$4:$J$508,F$1)</f>
        <v>0</v>
      </c>
      <c r="G37" s="207">
        <f>SUMIFS('январь 2023'!$G$4:$G$508,'январь 2023'!$D$4:$D$508,$B37,'январь 2023'!$J$4:$J$508,G$1)</f>
        <v>0</v>
      </c>
      <c r="H37" s="207">
        <f>SUMIFS('январь 2023'!$G$4:$G$508,'январь 2023'!$D$4:$D$508,$B37,'январь 2023'!$J$4:$J$508,H$1)</f>
        <v>0</v>
      </c>
      <c r="I37" s="207">
        <f>SUMIFS('январь 2023'!$G$4:$G$508,'январь 2023'!$D$4:$D$508,$B37,'январь 2023'!$J$4:$J$508,I$1)</f>
        <v>0</v>
      </c>
      <c r="J37" s="207">
        <f>SUMIFS('январь 2023'!$G$4:$G$508,'январь 2023'!$D$4:$D$508,$B37,'январь 2023'!$J$4:$J$508,J$1)</f>
        <v>0</v>
      </c>
      <c r="K37" s="207">
        <f>SUMIFS('январь 2023'!$G$4:$G$508,'январь 2023'!$D$4:$D$508,$B37,'январь 2023'!$J$4:$J$508,K$1)</f>
        <v>0</v>
      </c>
      <c r="L37" s="207">
        <f>SUMIFS('январь 2023'!$G$4:$G$508,'январь 2023'!$D$4:$D$508,$B37,'январь 2023'!$J$4:$J$508,L$1)</f>
        <v>0</v>
      </c>
      <c r="M37" s="207">
        <f>SUMIFS('январь 2023'!$G$4:$G$508,'январь 2023'!$D$4:$D$508,$B37,'январь 2023'!$J$4:$J$508,M$1)</f>
        <v>0</v>
      </c>
      <c r="N37" s="207">
        <f>SUMIFS('январь 2023'!$G$4:$G$508,'январь 2023'!$D$4:$D$508,$B37,'январь 2023'!$J$4:$J$508,N$1)</f>
        <v>0</v>
      </c>
      <c r="O37" s="207">
        <f>SUMIFS('январь 2023'!$G$4:$G$508,'январь 2023'!$D$4:$D$508,$B37,'январь 2023'!$J$4:$J$508,O$1)</f>
        <v>0</v>
      </c>
      <c r="P37" s="207">
        <f>SUMIFS('январь 2023'!$G$4:$G$508,'январь 2023'!$D$4:$D$508,$B37,'январь 2023'!$J$4:$J$508,P$1)</f>
        <v>0</v>
      </c>
      <c r="Q37" s="207">
        <f>SUMIFS('январь 2023'!$G$4:$G$508,'январь 2023'!$D$4:$D$508,$B37,'январь 2023'!$J$4:$J$508,Q$1)</f>
        <v>0</v>
      </c>
      <c r="R37" s="207">
        <f>SUMIFS('январь 2023'!$G$4:$G$508,'январь 2023'!$D$4:$D$508,$B37,'январь 2023'!$J$4:$J$508,R$1)</f>
        <v>0</v>
      </c>
      <c r="S37" s="207">
        <f>SUMIFS('январь 2023'!$G$4:$G$508,'январь 2023'!$D$4:$D$508,$B37,'январь 2023'!$J$4:$J$508,S$1)</f>
        <v>0</v>
      </c>
      <c r="T37" s="207">
        <f>SUMIFS('январь 2023'!$G$4:$G$508,'январь 2023'!$D$4:$D$508,$B37,'январь 2023'!$J$4:$J$508,T$1)</f>
        <v>0</v>
      </c>
      <c r="U37" s="207">
        <f>SUMIFS('январь 2023'!$G$4:$G$508,'январь 2023'!$D$4:$D$508,$B37,'январь 2023'!$J$4:$J$508,U$1)</f>
        <v>0</v>
      </c>
      <c r="V37" s="207">
        <f>SUMIFS('январь 2023'!$G$4:$G$508,'январь 2023'!$D$4:$D$508,$B37,'январь 2023'!$J$4:$J$508,V$1)</f>
        <v>0</v>
      </c>
      <c r="W37" s="207">
        <f>SUMIFS('январь 2023'!$G$4:$G$508,'январь 2023'!$D$4:$D$508,$B37,'январь 2023'!$J$4:$J$508,W$1)</f>
        <v>0</v>
      </c>
      <c r="X37" s="207">
        <f>SUMIFS('январь 2023'!$G$4:$G$508,'январь 2023'!$D$4:$D$508,$B37,'январь 2023'!$J$4:$J$508,X$1)</f>
        <v>0</v>
      </c>
      <c r="Y37" s="207">
        <f>SUMIFS('январь 2023'!$G$4:$G$508,'январь 2023'!$D$4:$D$508,$B37,'январь 2023'!$J$4:$J$508,Y$1)</f>
        <v>0</v>
      </c>
      <c r="Z37" s="207">
        <f>SUMIFS('январь 2023'!$G$4:$G$508,'январь 2023'!$D$4:$D$508,$B37,'январь 2023'!$J$4:$J$508,Z$1)</f>
        <v>0</v>
      </c>
      <c r="AA37" s="207">
        <f>SUMIFS('январь 2023'!$G$4:$G$508,'январь 2023'!$D$4:$D$508,$B37,'январь 2023'!$J$4:$J$508,AA$1)</f>
        <v>0</v>
      </c>
      <c r="AB37" s="207">
        <f>SUMIFS('январь 2023'!$G$4:$G$508,'январь 2023'!$D$4:$D$508,$B37,'январь 2023'!$J$4:$J$508,AB$1)</f>
        <v>0</v>
      </c>
      <c r="AC37" s="207">
        <f>SUMIFS('январь 2023'!$G$4:$G$508,'январь 2023'!$D$4:$D$508,$B37,'январь 2023'!$J$4:$J$508,AC$1)</f>
        <v>0</v>
      </c>
      <c r="AD37" s="207">
        <f>SUMIFS('январь 2023'!$G$4:$G$508,'январь 2023'!$D$4:$D$508,$B37,'январь 2023'!$J$4:$J$508,AD$1)</f>
        <v>0</v>
      </c>
      <c r="AE37" s="207">
        <f>SUMIFS('январь 2023'!$G$4:$G$508,'январь 2023'!$D$4:$D$508,$B37,'январь 2023'!$J$4:$J$508,AE$1)</f>
        <v>0</v>
      </c>
      <c r="AF37" s="207">
        <f>SUMIFS('январь 2023'!$G$4:$G$508,'январь 2023'!$D$4:$D$508,$B37,'январь 2023'!$J$4:$J$508,AF$1)</f>
        <v>0</v>
      </c>
      <c r="AG37" s="207">
        <f>SUMIFS('январь 2023'!$G$4:$G$508,'январь 2023'!$D$4:$D$508,$B37,'январь 2023'!$J$4:$J$508,AG$1)</f>
        <v>0</v>
      </c>
      <c r="AH37" s="207">
        <f>SUMIFS('январь 2023'!$G$4:$G$508,'январь 2023'!$D$4:$D$508,$B37,'январь 2023'!$J$4:$J$508,AH$1)</f>
        <v>0</v>
      </c>
      <c r="AI37" s="170">
        <f t="shared" si="1"/>
        <v>0</v>
      </c>
    </row>
    <row r="38" spans="2:35" ht="15" customHeight="1" x14ac:dyDescent="0.25">
      <c r="B38" s="216" t="s">
        <v>1600</v>
      </c>
      <c r="C38" s="213">
        <v>25</v>
      </c>
      <c r="D38" s="207">
        <f>SUMIFS('январь 2023'!$G$4:$G$508,'январь 2023'!$D$4:$D$508,$B38,'январь 2023'!$J$4:$J$508,D$1)</f>
        <v>0</v>
      </c>
      <c r="E38" s="207">
        <f>SUMIFS('январь 2023'!$G$4:$G$508,'январь 2023'!$D$4:$D$508,$B38,'январь 2023'!$J$4:$J$508,E$1)</f>
        <v>0</v>
      </c>
      <c r="F38" s="207">
        <f>SUMIFS('январь 2023'!$G$4:$G$508,'январь 2023'!$D$4:$D$508,$B38,'январь 2023'!$J$4:$J$508,F$1)</f>
        <v>0</v>
      </c>
      <c r="G38" s="207">
        <f>SUMIFS('январь 2023'!$G$4:$G$508,'январь 2023'!$D$4:$D$508,$B38,'январь 2023'!$J$4:$J$508,G$1)</f>
        <v>0</v>
      </c>
      <c r="H38" s="207">
        <f>SUMIFS('январь 2023'!$G$4:$G$508,'январь 2023'!$D$4:$D$508,$B38,'январь 2023'!$J$4:$J$508,H$1)</f>
        <v>0</v>
      </c>
      <c r="I38" s="207">
        <f>SUMIFS('январь 2023'!$G$4:$G$508,'январь 2023'!$D$4:$D$508,$B38,'январь 2023'!$J$4:$J$508,I$1)</f>
        <v>0</v>
      </c>
      <c r="J38" s="207">
        <f>SUMIFS('январь 2023'!$G$4:$G$508,'январь 2023'!$D$4:$D$508,$B38,'январь 2023'!$J$4:$J$508,J$1)</f>
        <v>0</v>
      </c>
      <c r="K38" s="207">
        <f>SUMIFS('январь 2023'!$G$4:$G$508,'январь 2023'!$D$4:$D$508,$B38,'январь 2023'!$J$4:$J$508,K$1)</f>
        <v>0</v>
      </c>
      <c r="L38" s="207">
        <f>SUMIFS('январь 2023'!$G$4:$G$508,'январь 2023'!$D$4:$D$508,$B38,'январь 2023'!$J$4:$J$508,L$1)</f>
        <v>0</v>
      </c>
      <c r="M38" s="207">
        <f>SUMIFS('январь 2023'!$G$4:$G$508,'январь 2023'!$D$4:$D$508,$B38,'январь 2023'!$J$4:$J$508,M$1)</f>
        <v>0</v>
      </c>
      <c r="N38" s="207">
        <f>SUMIFS('январь 2023'!$G$4:$G$508,'январь 2023'!$D$4:$D$508,$B38,'январь 2023'!$J$4:$J$508,N$1)</f>
        <v>0</v>
      </c>
      <c r="O38" s="207">
        <f>SUMIFS('январь 2023'!$G$4:$G$508,'январь 2023'!$D$4:$D$508,$B38,'январь 2023'!$J$4:$J$508,O$1)</f>
        <v>0</v>
      </c>
      <c r="P38" s="207">
        <f>SUMIFS('январь 2023'!$G$4:$G$508,'январь 2023'!$D$4:$D$508,$B38,'январь 2023'!$J$4:$J$508,P$1)</f>
        <v>0</v>
      </c>
      <c r="Q38" s="207">
        <f>SUMIFS('январь 2023'!$G$4:$G$508,'январь 2023'!$D$4:$D$508,$B38,'январь 2023'!$J$4:$J$508,Q$1)</f>
        <v>0</v>
      </c>
      <c r="R38" s="207">
        <f>SUMIFS('январь 2023'!$G$4:$G$508,'январь 2023'!$D$4:$D$508,$B38,'январь 2023'!$J$4:$J$508,R$1)</f>
        <v>0</v>
      </c>
      <c r="S38" s="207">
        <f>SUMIFS('январь 2023'!$G$4:$G$508,'январь 2023'!$D$4:$D$508,$B38,'январь 2023'!$J$4:$J$508,S$1)</f>
        <v>0</v>
      </c>
      <c r="T38" s="207">
        <f>SUMIFS('январь 2023'!$G$4:$G$508,'январь 2023'!$D$4:$D$508,$B38,'январь 2023'!$J$4:$J$508,T$1)</f>
        <v>0</v>
      </c>
      <c r="U38" s="207">
        <f>SUMIFS('январь 2023'!$G$4:$G$508,'январь 2023'!$D$4:$D$508,$B38,'январь 2023'!$J$4:$J$508,U$1)</f>
        <v>0</v>
      </c>
      <c r="V38" s="207">
        <f>SUMIFS('январь 2023'!$G$4:$G$508,'январь 2023'!$D$4:$D$508,$B38,'январь 2023'!$J$4:$J$508,V$1)</f>
        <v>0</v>
      </c>
      <c r="W38" s="207">
        <f>SUMIFS('январь 2023'!$G$4:$G$508,'январь 2023'!$D$4:$D$508,$B38,'январь 2023'!$J$4:$J$508,W$1)</f>
        <v>0</v>
      </c>
      <c r="X38" s="207">
        <f>SUMIFS('январь 2023'!$G$4:$G$508,'январь 2023'!$D$4:$D$508,$B38,'январь 2023'!$J$4:$J$508,X$1)</f>
        <v>0</v>
      </c>
      <c r="Y38" s="207">
        <f>SUMIFS('январь 2023'!$G$4:$G$508,'январь 2023'!$D$4:$D$508,$B38,'январь 2023'!$J$4:$J$508,Y$1)</f>
        <v>0</v>
      </c>
      <c r="Z38" s="207">
        <f>SUMIFS('январь 2023'!$G$4:$G$508,'январь 2023'!$D$4:$D$508,$B38,'январь 2023'!$J$4:$J$508,Z$1)</f>
        <v>0</v>
      </c>
      <c r="AA38" s="207">
        <f>SUMIFS('январь 2023'!$G$4:$G$508,'январь 2023'!$D$4:$D$508,$B38,'январь 2023'!$J$4:$J$508,AA$1)</f>
        <v>0</v>
      </c>
      <c r="AB38" s="207">
        <f>SUMIFS('январь 2023'!$G$4:$G$508,'январь 2023'!$D$4:$D$508,$B38,'январь 2023'!$J$4:$J$508,AB$1)</f>
        <v>0</v>
      </c>
      <c r="AC38" s="207">
        <f>SUMIFS('январь 2023'!$G$4:$G$508,'январь 2023'!$D$4:$D$508,$B38,'январь 2023'!$J$4:$J$508,AC$1)</f>
        <v>0</v>
      </c>
      <c r="AD38" s="207">
        <f>SUMIFS('январь 2023'!$G$4:$G$508,'январь 2023'!$D$4:$D$508,$B38,'январь 2023'!$J$4:$J$508,AD$1)</f>
        <v>0</v>
      </c>
      <c r="AE38" s="207">
        <f>SUMIFS('январь 2023'!$G$4:$G$508,'январь 2023'!$D$4:$D$508,$B38,'январь 2023'!$J$4:$J$508,AE$1)</f>
        <v>0</v>
      </c>
      <c r="AF38" s="207">
        <f>SUMIFS('январь 2023'!$G$4:$G$508,'январь 2023'!$D$4:$D$508,$B38,'январь 2023'!$J$4:$J$508,AF$1)</f>
        <v>0</v>
      </c>
      <c r="AG38" s="207">
        <f>SUMIFS('январь 2023'!$G$4:$G$508,'январь 2023'!$D$4:$D$508,$B38,'январь 2023'!$J$4:$J$508,AG$1)</f>
        <v>0</v>
      </c>
      <c r="AH38" s="207">
        <f>SUMIFS('январь 2023'!$G$4:$G$508,'январь 2023'!$D$4:$D$508,$B38,'январь 2023'!$J$4:$J$508,AH$1)</f>
        <v>0</v>
      </c>
      <c r="AI38" s="170">
        <f t="shared" si="1"/>
        <v>0</v>
      </c>
    </row>
    <row r="39" spans="2:35" ht="15" customHeight="1" x14ac:dyDescent="0.25">
      <c r="B39" s="212" t="s">
        <v>1848</v>
      </c>
      <c r="C39" s="215">
        <v>22.68</v>
      </c>
      <c r="D39" s="207">
        <f>SUMIFS('январь 2023'!$G$4:$G$508,'январь 2023'!$D$4:$D$508,$B39,'январь 2023'!$J$4:$J$508,D$1)</f>
        <v>0</v>
      </c>
      <c r="E39" s="207">
        <f>SUMIFS('январь 2023'!$G$4:$G$508,'январь 2023'!$D$4:$D$508,$B39,'январь 2023'!$J$4:$J$508,E$1)</f>
        <v>0</v>
      </c>
      <c r="F39" s="207">
        <f>SUMIFS('январь 2023'!$G$4:$G$508,'январь 2023'!$D$4:$D$508,$B39,'январь 2023'!$J$4:$J$508,F$1)</f>
        <v>0</v>
      </c>
      <c r="G39" s="207">
        <f>SUMIFS('январь 2023'!$G$4:$G$508,'январь 2023'!$D$4:$D$508,$B39,'январь 2023'!$J$4:$J$508,G$1)</f>
        <v>0</v>
      </c>
      <c r="H39" s="207">
        <f>SUMIFS('январь 2023'!$G$4:$G$508,'январь 2023'!$D$4:$D$508,$B39,'январь 2023'!$J$4:$J$508,H$1)</f>
        <v>0</v>
      </c>
      <c r="I39" s="207">
        <f>SUMIFS('январь 2023'!$G$4:$G$508,'январь 2023'!$D$4:$D$508,$B39,'январь 2023'!$J$4:$J$508,I$1)</f>
        <v>0</v>
      </c>
      <c r="J39" s="207">
        <f>SUMIFS('январь 2023'!$G$4:$G$508,'январь 2023'!$D$4:$D$508,$B39,'январь 2023'!$J$4:$J$508,J$1)</f>
        <v>0</v>
      </c>
      <c r="K39" s="207">
        <f>SUMIFS('январь 2023'!$G$4:$G$508,'январь 2023'!$D$4:$D$508,$B39,'январь 2023'!$J$4:$J$508,K$1)</f>
        <v>0</v>
      </c>
      <c r="L39" s="207">
        <f>SUMIFS('январь 2023'!$G$4:$G$508,'январь 2023'!$D$4:$D$508,$B39,'январь 2023'!$J$4:$J$508,L$1)</f>
        <v>0</v>
      </c>
      <c r="M39" s="207">
        <f>SUMIFS('январь 2023'!$G$4:$G$508,'январь 2023'!$D$4:$D$508,$B39,'январь 2023'!$J$4:$J$508,M$1)</f>
        <v>0</v>
      </c>
      <c r="N39" s="207">
        <f>SUMIFS('январь 2023'!$G$4:$G$508,'январь 2023'!$D$4:$D$508,$B39,'январь 2023'!$J$4:$J$508,N$1)</f>
        <v>0</v>
      </c>
      <c r="O39" s="207">
        <f>SUMIFS('январь 2023'!$G$4:$G$508,'январь 2023'!$D$4:$D$508,$B39,'январь 2023'!$J$4:$J$508,O$1)</f>
        <v>0</v>
      </c>
      <c r="P39" s="207">
        <f>SUMIFS('январь 2023'!$G$4:$G$508,'январь 2023'!$D$4:$D$508,$B39,'январь 2023'!$J$4:$J$508,P$1)</f>
        <v>0</v>
      </c>
      <c r="Q39" s="207">
        <f>SUMIFS('январь 2023'!$G$4:$G$508,'январь 2023'!$D$4:$D$508,$B39,'январь 2023'!$J$4:$J$508,Q$1)</f>
        <v>0</v>
      </c>
      <c r="R39" s="207">
        <f>SUMIFS('январь 2023'!$G$4:$G$508,'январь 2023'!$D$4:$D$508,$B39,'январь 2023'!$J$4:$J$508,R$1)</f>
        <v>0</v>
      </c>
      <c r="S39" s="207">
        <f>SUMIFS('январь 2023'!$G$4:$G$508,'январь 2023'!$D$4:$D$508,$B39,'январь 2023'!$J$4:$J$508,S$1)</f>
        <v>0</v>
      </c>
      <c r="T39" s="207">
        <f>SUMIFS('январь 2023'!$G$4:$G$508,'январь 2023'!$D$4:$D$508,$B39,'январь 2023'!$J$4:$J$508,T$1)</f>
        <v>0</v>
      </c>
      <c r="U39" s="207">
        <f>SUMIFS('январь 2023'!$G$4:$G$508,'январь 2023'!$D$4:$D$508,$B39,'январь 2023'!$J$4:$J$508,U$1)</f>
        <v>0</v>
      </c>
      <c r="V39" s="207">
        <f>SUMIFS('январь 2023'!$G$4:$G$508,'январь 2023'!$D$4:$D$508,$B39,'январь 2023'!$J$4:$J$508,V$1)</f>
        <v>0</v>
      </c>
      <c r="W39" s="207">
        <f>SUMIFS('январь 2023'!$G$4:$G$508,'январь 2023'!$D$4:$D$508,$B39,'январь 2023'!$J$4:$J$508,W$1)</f>
        <v>0</v>
      </c>
      <c r="X39" s="207">
        <f>SUMIFS('январь 2023'!$G$4:$G$508,'январь 2023'!$D$4:$D$508,$B39,'январь 2023'!$J$4:$J$508,X$1)</f>
        <v>0</v>
      </c>
      <c r="Y39" s="207">
        <f>SUMIFS('январь 2023'!$G$4:$G$508,'январь 2023'!$D$4:$D$508,$B39,'январь 2023'!$J$4:$J$508,Y$1)</f>
        <v>0</v>
      </c>
      <c r="Z39" s="207">
        <f>SUMIFS('январь 2023'!$G$4:$G$508,'январь 2023'!$D$4:$D$508,$B39,'январь 2023'!$J$4:$J$508,Z$1)</f>
        <v>0</v>
      </c>
      <c r="AA39" s="207">
        <f>SUMIFS('январь 2023'!$G$4:$G$508,'январь 2023'!$D$4:$D$508,$B39,'январь 2023'!$J$4:$J$508,AA$1)</f>
        <v>0</v>
      </c>
      <c r="AB39" s="207">
        <f>SUMIFS('январь 2023'!$G$4:$G$508,'январь 2023'!$D$4:$D$508,$B39,'январь 2023'!$J$4:$J$508,AB$1)</f>
        <v>800</v>
      </c>
      <c r="AC39" s="207">
        <f>SUMIFS('январь 2023'!$G$4:$G$508,'январь 2023'!$D$4:$D$508,$B39,'январь 2023'!$J$4:$J$508,AC$1)</f>
        <v>0</v>
      </c>
      <c r="AD39" s="207">
        <f>SUMIFS('январь 2023'!$G$4:$G$508,'январь 2023'!$D$4:$D$508,$B39,'январь 2023'!$J$4:$J$508,AD$1)</f>
        <v>880</v>
      </c>
      <c r="AE39" s="207">
        <f>SUMIFS('январь 2023'!$G$4:$G$508,'январь 2023'!$D$4:$D$508,$B39,'январь 2023'!$J$4:$J$508,AE$1)</f>
        <v>0</v>
      </c>
      <c r="AF39" s="207">
        <f>SUMIFS('январь 2023'!$G$4:$G$508,'январь 2023'!$D$4:$D$508,$B39,'январь 2023'!$J$4:$J$508,AF$1)</f>
        <v>0</v>
      </c>
      <c r="AG39" s="207">
        <f>SUMIFS('январь 2023'!$G$4:$G$508,'январь 2023'!$D$4:$D$508,$B39,'январь 2023'!$J$4:$J$508,AG$1)</f>
        <v>800</v>
      </c>
      <c r="AH39" s="207">
        <f>SUMIFS('январь 2023'!$G$4:$G$508,'январь 2023'!$D$4:$D$508,$B39,'январь 2023'!$J$4:$J$508,AH$1)</f>
        <v>0</v>
      </c>
      <c r="AI39" s="170">
        <f t="shared" si="1"/>
        <v>2480</v>
      </c>
    </row>
    <row r="40" spans="2:35" ht="15" customHeight="1" x14ac:dyDescent="0.25">
      <c r="B40" s="216" t="s">
        <v>680</v>
      </c>
      <c r="C40" s="213">
        <v>200</v>
      </c>
      <c r="D40" s="207">
        <f>SUMIFS('январь 2023'!$G$4:$G$508,'январь 2023'!$D$4:$D$508,$B40,'январь 2023'!$J$4:$J$508,D$1)</f>
        <v>0</v>
      </c>
      <c r="E40" s="207">
        <f>SUMIFS('январь 2023'!$G$4:$G$508,'январь 2023'!$D$4:$D$508,$B40,'январь 2023'!$J$4:$J$508,E$1)</f>
        <v>0</v>
      </c>
      <c r="F40" s="207">
        <f>SUMIFS('январь 2023'!$G$4:$G$508,'январь 2023'!$D$4:$D$508,$B40,'январь 2023'!$J$4:$J$508,F$1)</f>
        <v>0</v>
      </c>
      <c r="G40" s="207">
        <f>SUMIFS('январь 2023'!$G$4:$G$508,'январь 2023'!$D$4:$D$508,$B40,'январь 2023'!$J$4:$J$508,G$1)</f>
        <v>0</v>
      </c>
      <c r="H40" s="207">
        <f>SUMIFS('январь 2023'!$G$4:$G$508,'январь 2023'!$D$4:$D$508,$B40,'январь 2023'!$J$4:$J$508,H$1)</f>
        <v>0</v>
      </c>
      <c r="I40" s="207">
        <f>SUMIFS('январь 2023'!$G$4:$G$508,'январь 2023'!$D$4:$D$508,$B40,'январь 2023'!$J$4:$J$508,I$1)</f>
        <v>0</v>
      </c>
      <c r="J40" s="207">
        <f>SUMIFS('январь 2023'!$G$4:$G$508,'январь 2023'!$D$4:$D$508,$B40,'январь 2023'!$J$4:$J$508,J$1)</f>
        <v>0</v>
      </c>
      <c r="K40" s="207">
        <f>SUMIFS('январь 2023'!$G$4:$G$508,'январь 2023'!$D$4:$D$508,$B40,'январь 2023'!$J$4:$J$508,K$1)</f>
        <v>0</v>
      </c>
      <c r="L40" s="207">
        <f>SUMIFS('январь 2023'!$G$4:$G$508,'январь 2023'!$D$4:$D$508,$B40,'январь 2023'!$J$4:$J$508,L$1)</f>
        <v>0</v>
      </c>
      <c r="M40" s="207">
        <f>SUMIFS('январь 2023'!$G$4:$G$508,'январь 2023'!$D$4:$D$508,$B40,'январь 2023'!$J$4:$J$508,M$1)</f>
        <v>0</v>
      </c>
      <c r="N40" s="207">
        <f>SUMIFS('январь 2023'!$G$4:$G$508,'январь 2023'!$D$4:$D$508,$B40,'январь 2023'!$J$4:$J$508,N$1)</f>
        <v>0</v>
      </c>
      <c r="O40" s="207">
        <f>SUMIFS('январь 2023'!$G$4:$G$508,'январь 2023'!$D$4:$D$508,$B40,'январь 2023'!$J$4:$J$508,O$1)</f>
        <v>0</v>
      </c>
      <c r="P40" s="207">
        <f>SUMIFS('январь 2023'!$G$4:$G$508,'январь 2023'!$D$4:$D$508,$B40,'январь 2023'!$J$4:$J$508,P$1)</f>
        <v>0</v>
      </c>
      <c r="Q40" s="207">
        <f>SUMIFS('январь 2023'!$G$4:$G$508,'январь 2023'!$D$4:$D$508,$B40,'январь 2023'!$J$4:$J$508,Q$1)</f>
        <v>0</v>
      </c>
      <c r="R40" s="207">
        <f>SUMIFS('январь 2023'!$G$4:$G$508,'январь 2023'!$D$4:$D$508,$B40,'январь 2023'!$J$4:$J$508,R$1)</f>
        <v>0</v>
      </c>
      <c r="S40" s="207">
        <f>SUMIFS('январь 2023'!$G$4:$G$508,'январь 2023'!$D$4:$D$508,$B40,'январь 2023'!$J$4:$J$508,S$1)</f>
        <v>0</v>
      </c>
      <c r="T40" s="207">
        <f>SUMIFS('январь 2023'!$G$4:$G$508,'январь 2023'!$D$4:$D$508,$B40,'январь 2023'!$J$4:$J$508,T$1)</f>
        <v>0</v>
      </c>
      <c r="U40" s="207">
        <f>SUMIFS('январь 2023'!$G$4:$G$508,'январь 2023'!$D$4:$D$508,$B40,'январь 2023'!$J$4:$J$508,U$1)</f>
        <v>0</v>
      </c>
      <c r="V40" s="207">
        <f>SUMIFS('январь 2023'!$G$4:$G$508,'январь 2023'!$D$4:$D$508,$B40,'январь 2023'!$J$4:$J$508,V$1)</f>
        <v>0</v>
      </c>
      <c r="W40" s="207">
        <f>SUMIFS('январь 2023'!$G$4:$G$508,'январь 2023'!$D$4:$D$508,$B40,'январь 2023'!$J$4:$J$508,W$1)</f>
        <v>0</v>
      </c>
      <c r="X40" s="207">
        <f>SUMIFS('январь 2023'!$G$4:$G$508,'январь 2023'!$D$4:$D$508,$B40,'январь 2023'!$J$4:$J$508,X$1)</f>
        <v>0</v>
      </c>
      <c r="Y40" s="207">
        <f>SUMIFS('январь 2023'!$G$4:$G$508,'январь 2023'!$D$4:$D$508,$B40,'январь 2023'!$J$4:$J$508,Y$1)</f>
        <v>0</v>
      </c>
      <c r="Z40" s="207">
        <f>SUMIFS('январь 2023'!$G$4:$G$508,'январь 2023'!$D$4:$D$508,$B40,'январь 2023'!$J$4:$J$508,Z$1)</f>
        <v>0</v>
      </c>
      <c r="AA40" s="207">
        <f>SUMIFS('январь 2023'!$G$4:$G$508,'январь 2023'!$D$4:$D$508,$B40,'январь 2023'!$J$4:$J$508,AA$1)</f>
        <v>0</v>
      </c>
      <c r="AB40" s="207">
        <f>SUMIFS('январь 2023'!$G$4:$G$508,'январь 2023'!$D$4:$D$508,$B40,'январь 2023'!$J$4:$J$508,AB$1)</f>
        <v>0</v>
      </c>
      <c r="AC40" s="207">
        <f>SUMIFS('январь 2023'!$G$4:$G$508,'январь 2023'!$D$4:$D$508,$B40,'январь 2023'!$J$4:$J$508,AC$1)</f>
        <v>0</v>
      </c>
      <c r="AD40" s="207">
        <f>SUMIFS('январь 2023'!$G$4:$G$508,'январь 2023'!$D$4:$D$508,$B40,'январь 2023'!$J$4:$J$508,AD$1)</f>
        <v>0</v>
      </c>
      <c r="AE40" s="207">
        <f>SUMIFS('январь 2023'!$G$4:$G$508,'январь 2023'!$D$4:$D$508,$B40,'январь 2023'!$J$4:$J$508,AE$1)</f>
        <v>0</v>
      </c>
      <c r="AF40" s="207">
        <f>SUMIFS('январь 2023'!$G$4:$G$508,'январь 2023'!$D$4:$D$508,$B40,'январь 2023'!$J$4:$J$508,AF$1)</f>
        <v>0</v>
      </c>
      <c r="AG40" s="207">
        <f>SUMIFS('январь 2023'!$G$4:$G$508,'январь 2023'!$D$4:$D$508,$B40,'январь 2023'!$J$4:$J$508,AG$1)</f>
        <v>0</v>
      </c>
      <c r="AH40" s="207">
        <f>SUMIFS('январь 2023'!$G$4:$G$508,'январь 2023'!$D$4:$D$508,$B40,'январь 2023'!$J$4:$J$508,AH$1)</f>
        <v>0</v>
      </c>
      <c r="AI40" s="170">
        <f t="shared" si="1"/>
        <v>0</v>
      </c>
    </row>
    <row r="41" spans="2:35" ht="15" customHeight="1" x14ac:dyDescent="0.25">
      <c r="B41" s="216"/>
      <c r="C41" s="213"/>
      <c r="D41" s="207">
        <f>SUMIFS('январь 2023'!$G$4:$G$508,'январь 2023'!$D$4:$D$508,$B41,'январь 2023'!$J$4:$J$508,D$1)</f>
        <v>0</v>
      </c>
      <c r="E41" s="207">
        <f>SUMIFS('январь 2023'!$G$4:$G$508,'январь 2023'!$D$4:$D$508,$B41,'январь 2023'!$J$4:$J$508,E$1)</f>
        <v>0</v>
      </c>
      <c r="F41" s="207">
        <f>SUMIFS('январь 2023'!$G$4:$G$508,'январь 2023'!$D$4:$D$508,$B41,'январь 2023'!$J$4:$J$508,F$1)</f>
        <v>0</v>
      </c>
      <c r="G41" s="207">
        <f>SUMIFS('январь 2023'!$G$4:$G$508,'январь 2023'!$D$4:$D$508,$B41,'январь 2023'!$J$4:$J$508,G$1)</f>
        <v>0</v>
      </c>
      <c r="H41" s="207">
        <f>SUMIFS('январь 2023'!$G$4:$G$508,'январь 2023'!$D$4:$D$508,$B41,'январь 2023'!$J$4:$J$508,H$1)</f>
        <v>0</v>
      </c>
      <c r="I41" s="207">
        <f>SUMIFS('январь 2023'!$G$4:$G$508,'январь 2023'!$D$4:$D$508,$B41,'январь 2023'!$J$4:$J$508,I$1)</f>
        <v>0</v>
      </c>
      <c r="J41" s="207">
        <f>SUMIFS('январь 2023'!$G$4:$G$508,'январь 2023'!$D$4:$D$508,$B41,'январь 2023'!$J$4:$J$508,J$1)</f>
        <v>0</v>
      </c>
      <c r="K41" s="207">
        <f>SUMIFS('январь 2023'!$G$4:$G$508,'январь 2023'!$D$4:$D$508,$B41,'январь 2023'!$J$4:$J$508,K$1)</f>
        <v>0</v>
      </c>
      <c r="L41" s="207">
        <f>SUMIFS('январь 2023'!$G$4:$G$508,'январь 2023'!$D$4:$D$508,$B41,'январь 2023'!$J$4:$J$508,L$1)</f>
        <v>0</v>
      </c>
      <c r="M41" s="207">
        <f>SUMIFS('январь 2023'!$G$4:$G$508,'январь 2023'!$D$4:$D$508,$B41,'январь 2023'!$J$4:$J$508,M$1)</f>
        <v>0</v>
      </c>
      <c r="N41" s="207">
        <f>SUMIFS('январь 2023'!$G$4:$G$508,'январь 2023'!$D$4:$D$508,$B41,'январь 2023'!$J$4:$J$508,N$1)</f>
        <v>0</v>
      </c>
      <c r="O41" s="207">
        <f>SUMIFS('январь 2023'!$G$4:$G$508,'январь 2023'!$D$4:$D$508,$B41,'январь 2023'!$J$4:$J$508,O$1)</f>
        <v>0</v>
      </c>
      <c r="P41" s="207">
        <f>SUMIFS('январь 2023'!$G$4:$G$508,'январь 2023'!$D$4:$D$508,$B41,'январь 2023'!$J$4:$J$508,P$1)</f>
        <v>0</v>
      </c>
      <c r="Q41" s="207">
        <f>SUMIFS('январь 2023'!$G$4:$G$508,'январь 2023'!$D$4:$D$508,$B41,'январь 2023'!$J$4:$J$508,Q$1)</f>
        <v>0</v>
      </c>
      <c r="R41" s="207">
        <f>SUMIFS('январь 2023'!$G$4:$G$508,'январь 2023'!$D$4:$D$508,$B41,'январь 2023'!$J$4:$J$508,R$1)</f>
        <v>0</v>
      </c>
      <c r="S41" s="207">
        <f>SUMIFS('январь 2023'!$G$4:$G$508,'январь 2023'!$D$4:$D$508,$B41,'январь 2023'!$J$4:$J$508,S$1)</f>
        <v>0</v>
      </c>
      <c r="T41" s="207">
        <f>SUMIFS('январь 2023'!$G$4:$G$508,'январь 2023'!$D$4:$D$508,$B41,'январь 2023'!$J$4:$J$508,T$1)</f>
        <v>0</v>
      </c>
      <c r="U41" s="207">
        <f>SUMIFS('январь 2023'!$G$4:$G$508,'январь 2023'!$D$4:$D$508,$B41,'январь 2023'!$J$4:$J$508,U$1)</f>
        <v>0</v>
      </c>
      <c r="V41" s="207">
        <f>SUMIFS('январь 2023'!$G$4:$G$508,'январь 2023'!$D$4:$D$508,$B41,'январь 2023'!$J$4:$J$508,V$1)</f>
        <v>0</v>
      </c>
      <c r="W41" s="207">
        <f>SUMIFS('январь 2023'!$G$4:$G$508,'январь 2023'!$D$4:$D$508,$B41,'январь 2023'!$J$4:$J$508,W$1)</f>
        <v>0</v>
      </c>
      <c r="X41" s="207">
        <f>SUMIFS('январь 2023'!$G$4:$G$508,'январь 2023'!$D$4:$D$508,$B41,'январь 2023'!$J$4:$J$508,X$1)</f>
        <v>0</v>
      </c>
      <c r="Y41" s="207">
        <f>SUMIFS('январь 2023'!$G$4:$G$508,'январь 2023'!$D$4:$D$508,$B41,'январь 2023'!$J$4:$J$508,Y$1)</f>
        <v>0</v>
      </c>
      <c r="Z41" s="207">
        <f>SUMIFS('январь 2023'!$G$4:$G$508,'январь 2023'!$D$4:$D$508,$B41,'январь 2023'!$J$4:$J$508,Z$1)</f>
        <v>0</v>
      </c>
      <c r="AA41" s="207">
        <f>SUMIFS('январь 2023'!$G$4:$G$508,'январь 2023'!$D$4:$D$508,$B41,'январь 2023'!$J$4:$J$508,AA$1)</f>
        <v>0</v>
      </c>
      <c r="AB41" s="207">
        <f>SUMIFS('январь 2023'!$G$4:$G$508,'январь 2023'!$D$4:$D$508,$B41,'январь 2023'!$J$4:$J$508,AB$1)</f>
        <v>0</v>
      </c>
      <c r="AC41" s="207">
        <f>SUMIFS('январь 2023'!$G$4:$G$508,'январь 2023'!$D$4:$D$508,$B41,'январь 2023'!$J$4:$J$508,AC$1)</f>
        <v>0</v>
      </c>
      <c r="AD41" s="207">
        <f>SUMIFS('январь 2023'!$G$4:$G$508,'январь 2023'!$D$4:$D$508,$B41,'январь 2023'!$J$4:$J$508,AD$1)</f>
        <v>0</v>
      </c>
      <c r="AE41" s="207">
        <f>SUMIFS('январь 2023'!$G$4:$G$508,'январь 2023'!$D$4:$D$508,$B41,'январь 2023'!$J$4:$J$508,AE$1)</f>
        <v>0</v>
      </c>
      <c r="AF41" s="207">
        <f>SUMIFS('январь 2023'!$G$4:$G$508,'январь 2023'!$D$4:$D$508,$B41,'январь 2023'!$J$4:$J$508,AF$1)</f>
        <v>0</v>
      </c>
      <c r="AG41" s="207">
        <f>SUMIFS('январь 2023'!$G$4:$G$508,'январь 2023'!$D$4:$D$508,$B41,'январь 2023'!$J$4:$J$508,AG$1)</f>
        <v>0</v>
      </c>
      <c r="AH41" s="207">
        <f>SUMIFS('январь 2023'!$G$4:$G$508,'январь 2023'!$D$4:$D$508,$B41,'январь 2023'!$J$4:$J$508,AH$1)</f>
        <v>0</v>
      </c>
      <c r="AI41" s="170">
        <f t="shared" si="1"/>
        <v>0</v>
      </c>
    </row>
    <row r="42" spans="2:35" ht="15" customHeight="1" x14ac:dyDescent="0.25">
      <c r="B42" s="216"/>
      <c r="C42" s="213"/>
      <c r="D42" s="207">
        <f>SUMIFS('январь 2023'!$G$4:$G$508,'январь 2023'!$D$4:$D$508,$B42,'январь 2023'!$J$4:$J$508,D$1)</f>
        <v>0</v>
      </c>
      <c r="E42" s="207">
        <f>SUMIFS('январь 2023'!$G$4:$G$508,'январь 2023'!$D$4:$D$508,$B42,'январь 2023'!$J$4:$J$508,E$1)</f>
        <v>0</v>
      </c>
      <c r="F42" s="207">
        <f>SUMIFS('январь 2023'!$G$4:$G$508,'январь 2023'!$D$4:$D$508,$B42,'январь 2023'!$J$4:$J$508,F$1)</f>
        <v>0</v>
      </c>
      <c r="G42" s="207">
        <f>SUMIFS('январь 2023'!$G$4:$G$508,'январь 2023'!$D$4:$D$508,$B42,'январь 2023'!$J$4:$J$508,G$1)</f>
        <v>0</v>
      </c>
      <c r="H42" s="207">
        <f>SUMIFS('январь 2023'!$G$4:$G$508,'январь 2023'!$D$4:$D$508,$B42,'январь 2023'!$J$4:$J$508,H$1)</f>
        <v>0</v>
      </c>
      <c r="I42" s="207">
        <f>SUMIFS('январь 2023'!$G$4:$G$508,'январь 2023'!$D$4:$D$508,$B42,'январь 2023'!$J$4:$J$508,I$1)</f>
        <v>0</v>
      </c>
      <c r="J42" s="207">
        <f>SUMIFS('январь 2023'!$G$4:$G$508,'январь 2023'!$D$4:$D$508,$B42,'январь 2023'!$J$4:$J$508,J$1)</f>
        <v>0</v>
      </c>
      <c r="K42" s="207">
        <f>SUMIFS('январь 2023'!$G$4:$G$508,'январь 2023'!$D$4:$D$508,$B42,'январь 2023'!$J$4:$J$508,K$1)</f>
        <v>0</v>
      </c>
      <c r="L42" s="207">
        <f>SUMIFS('январь 2023'!$G$4:$G$508,'январь 2023'!$D$4:$D$508,$B42,'январь 2023'!$J$4:$J$508,L$1)</f>
        <v>0</v>
      </c>
      <c r="M42" s="207">
        <f>SUMIFS('январь 2023'!$G$4:$G$508,'январь 2023'!$D$4:$D$508,$B42,'январь 2023'!$J$4:$J$508,M$1)</f>
        <v>0</v>
      </c>
      <c r="N42" s="207">
        <f>SUMIFS('январь 2023'!$G$4:$G$508,'январь 2023'!$D$4:$D$508,$B42,'январь 2023'!$J$4:$J$508,N$1)</f>
        <v>0</v>
      </c>
      <c r="O42" s="207">
        <f>SUMIFS('январь 2023'!$G$4:$G$508,'январь 2023'!$D$4:$D$508,$B42,'январь 2023'!$J$4:$J$508,O$1)</f>
        <v>0</v>
      </c>
      <c r="P42" s="207">
        <f>SUMIFS('январь 2023'!$G$4:$G$508,'январь 2023'!$D$4:$D$508,$B42,'январь 2023'!$J$4:$J$508,P$1)</f>
        <v>0</v>
      </c>
      <c r="Q42" s="207">
        <f>SUMIFS('январь 2023'!$G$4:$G$508,'январь 2023'!$D$4:$D$508,$B42,'январь 2023'!$J$4:$J$508,Q$1)</f>
        <v>0</v>
      </c>
      <c r="R42" s="207">
        <f>SUMIFS('январь 2023'!$G$4:$G$508,'январь 2023'!$D$4:$D$508,$B42,'январь 2023'!$J$4:$J$508,R$1)</f>
        <v>0</v>
      </c>
      <c r="S42" s="207">
        <f>SUMIFS('январь 2023'!$G$4:$G$508,'январь 2023'!$D$4:$D$508,$B42,'январь 2023'!$J$4:$J$508,S$1)</f>
        <v>0</v>
      </c>
      <c r="T42" s="207">
        <f>SUMIFS('январь 2023'!$G$4:$G$508,'январь 2023'!$D$4:$D$508,$B42,'январь 2023'!$J$4:$J$508,T$1)</f>
        <v>0</v>
      </c>
      <c r="U42" s="207">
        <f>SUMIFS('январь 2023'!$G$4:$G$508,'январь 2023'!$D$4:$D$508,$B42,'январь 2023'!$J$4:$J$508,U$1)</f>
        <v>0</v>
      </c>
      <c r="V42" s="207">
        <f>SUMIFS('январь 2023'!$G$4:$G$508,'январь 2023'!$D$4:$D$508,$B42,'январь 2023'!$J$4:$J$508,V$1)</f>
        <v>0</v>
      </c>
      <c r="W42" s="207">
        <f>SUMIFS('январь 2023'!$G$4:$G$508,'январь 2023'!$D$4:$D$508,$B42,'январь 2023'!$J$4:$J$508,W$1)</f>
        <v>0</v>
      </c>
      <c r="X42" s="207">
        <f>SUMIFS('январь 2023'!$G$4:$G$508,'январь 2023'!$D$4:$D$508,$B42,'январь 2023'!$J$4:$J$508,X$1)</f>
        <v>0</v>
      </c>
      <c r="Y42" s="207">
        <f>SUMIFS('январь 2023'!$G$4:$G$508,'январь 2023'!$D$4:$D$508,$B42,'январь 2023'!$J$4:$J$508,Y$1)</f>
        <v>0</v>
      </c>
      <c r="Z42" s="207">
        <f>SUMIFS('январь 2023'!$G$4:$G$508,'январь 2023'!$D$4:$D$508,$B42,'январь 2023'!$J$4:$J$508,Z$1)</f>
        <v>0</v>
      </c>
      <c r="AA42" s="207">
        <f>SUMIFS('январь 2023'!$G$4:$G$508,'январь 2023'!$D$4:$D$508,$B42,'январь 2023'!$J$4:$J$508,AA$1)</f>
        <v>0</v>
      </c>
      <c r="AB42" s="207">
        <f>SUMIFS('январь 2023'!$G$4:$G$508,'январь 2023'!$D$4:$D$508,$B42,'январь 2023'!$J$4:$J$508,AB$1)</f>
        <v>0</v>
      </c>
      <c r="AC42" s="207">
        <f>SUMIFS('январь 2023'!$G$4:$G$508,'январь 2023'!$D$4:$D$508,$B42,'январь 2023'!$J$4:$J$508,AC$1)</f>
        <v>0</v>
      </c>
      <c r="AD42" s="207">
        <f>SUMIFS('январь 2023'!$G$4:$G$508,'январь 2023'!$D$4:$D$508,$B42,'январь 2023'!$J$4:$J$508,AD$1)</f>
        <v>0</v>
      </c>
      <c r="AE42" s="207">
        <f>SUMIFS('январь 2023'!$G$4:$G$508,'январь 2023'!$D$4:$D$508,$B42,'январь 2023'!$J$4:$J$508,AE$1)</f>
        <v>0</v>
      </c>
      <c r="AF42" s="207">
        <f>SUMIFS('январь 2023'!$G$4:$G$508,'январь 2023'!$D$4:$D$508,$B42,'январь 2023'!$J$4:$J$508,AF$1)</f>
        <v>0</v>
      </c>
      <c r="AG42" s="207">
        <f>SUMIFS('январь 2023'!$G$4:$G$508,'январь 2023'!$D$4:$D$508,$B42,'январь 2023'!$J$4:$J$508,AG$1)</f>
        <v>0</v>
      </c>
      <c r="AH42" s="207">
        <f>SUMIFS('январь 2023'!$G$4:$G$508,'январь 2023'!$D$4:$D$508,$B42,'январь 2023'!$J$4:$J$508,AH$1)</f>
        <v>0</v>
      </c>
      <c r="AI42" s="170">
        <f t="shared" si="1"/>
        <v>0</v>
      </c>
    </row>
    <row r="43" spans="2:35" ht="15" customHeight="1" x14ac:dyDescent="0.25">
      <c r="B43" s="212"/>
      <c r="C43" s="215"/>
      <c r="D43" s="207">
        <f>SUMIFS('январь 2023'!$G$4:$G$508,'январь 2023'!$D$4:$D$508,$B43,'январь 2023'!$J$4:$J$508,D$1)</f>
        <v>0</v>
      </c>
      <c r="E43" s="207">
        <f>SUMIFS('январь 2023'!$G$4:$G$508,'январь 2023'!$D$4:$D$508,$B43,'январь 2023'!$J$4:$J$508,E$1)</f>
        <v>0</v>
      </c>
      <c r="F43" s="207">
        <f>SUMIFS('январь 2023'!$G$4:$G$508,'январь 2023'!$D$4:$D$508,$B43,'январь 2023'!$J$4:$J$508,F$1)</f>
        <v>0</v>
      </c>
      <c r="G43" s="207">
        <f>SUMIFS('январь 2023'!$G$4:$G$508,'январь 2023'!$D$4:$D$508,$B43,'январь 2023'!$J$4:$J$508,G$1)</f>
        <v>0</v>
      </c>
      <c r="H43" s="207">
        <f>SUMIFS('январь 2023'!$G$4:$G$508,'январь 2023'!$D$4:$D$508,$B43,'январь 2023'!$J$4:$J$508,H$1)</f>
        <v>0</v>
      </c>
      <c r="I43" s="207">
        <f>SUMIFS('январь 2023'!$G$4:$G$508,'январь 2023'!$D$4:$D$508,$B43,'январь 2023'!$J$4:$J$508,I$1)</f>
        <v>0</v>
      </c>
      <c r="J43" s="207">
        <f>SUMIFS('январь 2023'!$G$4:$G$508,'январь 2023'!$D$4:$D$508,$B43,'январь 2023'!$J$4:$J$508,J$1)</f>
        <v>0</v>
      </c>
      <c r="K43" s="207">
        <f>SUMIFS('январь 2023'!$G$4:$G$508,'январь 2023'!$D$4:$D$508,$B43,'январь 2023'!$J$4:$J$508,K$1)</f>
        <v>0</v>
      </c>
      <c r="L43" s="207">
        <f>SUMIFS('январь 2023'!$G$4:$G$508,'январь 2023'!$D$4:$D$508,$B43,'январь 2023'!$J$4:$J$508,L$1)</f>
        <v>0</v>
      </c>
      <c r="M43" s="207">
        <f>SUMIFS('январь 2023'!$G$4:$G$508,'январь 2023'!$D$4:$D$508,$B43,'январь 2023'!$J$4:$J$508,M$1)</f>
        <v>0</v>
      </c>
      <c r="N43" s="207">
        <f>SUMIFS('январь 2023'!$G$4:$G$508,'январь 2023'!$D$4:$D$508,$B43,'январь 2023'!$J$4:$J$508,N$1)</f>
        <v>0</v>
      </c>
      <c r="O43" s="207">
        <f>SUMIFS('январь 2023'!$G$4:$G$508,'январь 2023'!$D$4:$D$508,$B43,'январь 2023'!$J$4:$J$508,O$1)</f>
        <v>0</v>
      </c>
      <c r="P43" s="207">
        <f>SUMIFS('январь 2023'!$G$4:$G$508,'январь 2023'!$D$4:$D$508,$B43,'январь 2023'!$J$4:$J$508,P$1)</f>
        <v>0</v>
      </c>
      <c r="Q43" s="207">
        <f>SUMIFS('январь 2023'!$G$4:$G$508,'январь 2023'!$D$4:$D$508,$B43,'январь 2023'!$J$4:$J$508,Q$1)</f>
        <v>0</v>
      </c>
      <c r="R43" s="207">
        <f>SUMIFS('январь 2023'!$G$4:$G$508,'январь 2023'!$D$4:$D$508,$B43,'январь 2023'!$J$4:$J$508,R$1)</f>
        <v>0</v>
      </c>
      <c r="S43" s="207">
        <f>SUMIFS('январь 2023'!$G$4:$G$508,'январь 2023'!$D$4:$D$508,$B43,'январь 2023'!$J$4:$J$508,S$1)</f>
        <v>0</v>
      </c>
      <c r="T43" s="207">
        <f>SUMIFS('январь 2023'!$G$4:$G$508,'январь 2023'!$D$4:$D$508,$B43,'январь 2023'!$J$4:$J$508,T$1)</f>
        <v>0</v>
      </c>
      <c r="U43" s="207">
        <f>SUMIFS('январь 2023'!$G$4:$G$508,'январь 2023'!$D$4:$D$508,$B43,'январь 2023'!$J$4:$J$508,U$1)</f>
        <v>0</v>
      </c>
      <c r="V43" s="207">
        <f>SUMIFS('январь 2023'!$G$4:$G$508,'январь 2023'!$D$4:$D$508,$B43,'январь 2023'!$J$4:$J$508,V$1)</f>
        <v>0</v>
      </c>
      <c r="W43" s="207">
        <f>SUMIFS('январь 2023'!$G$4:$G$508,'январь 2023'!$D$4:$D$508,$B43,'январь 2023'!$J$4:$J$508,W$1)</f>
        <v>0</v>
      </c>
      <c r="X43" s="207">
        <f>SUMIFS('январь 2023'!$G$4:$G$508,'январь 2023'!$D$4:$D$508,$B43,'январь 2023'!$J$4:$J$508,X$1)</f>
        <v>0</v>
      </c>
      <c r="Y43" s="207">
        <f>SUMIFS('январь 2023'!$G$4:$G$508,'январь 2023'!$D$4:$D$508,$B43,'январь 2023'!$J$4:$J$508,Y$1)</f>
        <v>0</v>
      </c>
      <c r="Z43" s="207">
        <f>SUMIFS('январь 2023'!$G$4:$G$508,'январь 2023'!$D$4:$D$508,$B43,'январь 2023'!$J$4:$J$508,Z$1)</f>
        <v>0</v>
      </c>
      <c r="AA43" s="207">
        <f>SUMIFS('январь 2023'!$G$4:$G$508,'январь 2023'!$D$4:$D$508,$B43,'январь 2023'!$J$4:$J$508,AA$1)</f>
        <v>0</v>
      </c>
      <c r="AB43" s="207">
        <f>SUMIFS('январь 2023'!$G$4:$G$508,'январь 2023'!$D$4:$D$508,$B43,'январь 2023'!$J$4:$J$508,AB$1)</f>
        <v>0</v>
      </c>
      <c r="AC43" s="207">
        <f>SUMIFS('январь 2023'!$G$4:$G$508,'январь 2023'!$D$4:$D$508,$B43,'январь 2023'!$J$4:$J$508,AC$1)</f>
        <v>0</v>
      </c>
      <c r="AD43" s="207">
        <f>SUMIFS('январь 2023'!$G$4:$G$508,'январь 2023'!$D$4:$D$508,$B43,'январь 2023'!$J$4:$J$508,AD$1)</f>
        <v>0</v>
      </c>
      <c r="AE43" s="207">
        <f>SUMIFS('январь 2023'!$G$4:$G$508,'январь 2023'!$D$4:$D$508,$B43,'январь 2023'!$J$4:$J$508,AE$1)</f>
        <v>0</v>
      </c>
      <c r="AF43" s="207">
        <f>SUMIFS('январь 2023'!$G$4:$G$508,'январь 2023'!$D$4:$D$508,$B43,'январь 2023'!$J$4:$J$508,AF$1)</f>
        <v>0</v>
      </c>
      <c r="AG43" s="207">
        <f>SUMIFS('январь 2023'!$G$4:$G$508,'январь 2023'!$D$4:$D$508,$B43,'январь 2023'!$J$4:$J$508,AG$1)</f>
        <v>0</v>
      </c>
      <c r="AH43" s="207">
        <f>SUMIFS('январь 2023'!$G$4:$G$508,'январь 2023'!$D$4:$D$508,$B43,'январь 2023'!$J$4:$J$508,AH$1)</f>
        <v>0</v>
      </c>
      <c r="AI43" s="170">
        <f t="shared" si="1"/>
        <v>0</v>
      </c>
    </row>
    <row r="44" spans="2:35" ht="15" customHeight="1" x14ac:dyDescent="0.25">
      <c r="B44" s="212" t="s">
        <v>2125</v>
      </c>
      <c r="C44" s="211">
        <v>25</v>
      </c>
      <c r="D44" s="207">
        <f>SUMIFS('январь 2023'!$G$4:$G$508,'январь 2023'!$D$4:$D$508,$B44,'январь 2023'!$J$4:$J$508,D$1)</f>
        <v>0</v>
      </c>
      <c r="E44" s="207">
        <f>SUMIFS('январь 2023'!$G$4:$G$508,'январь 2023'!$D$4:$D$508,$B44,'январь 2023'!$J$4:$J$508,E$1)</f>
        <v>0</v>
      </c>
      <c r="F44" s="207">
        <f>SUMIFS('январь 2023'!$G$4:$G$508,'январь 2023'!$D$4:$D$508,$B44,'январь 2023'!$J$4:$J$508,F$1)</f>
        <v>0</v>
      </c>
      <c r="G44" s="207">
        <f>SUMIFS('январь 2023'!$G$4:$G$508,'январь 2023'!$D$4:$D$508,$B44,'январь 2023'!$J$4:$J$508,G$1)</f>
        <v>0</v>
      </c>
      <c r="H44" s="207">
        <f>SUMIFS('январь 2023'!$G$4:$G$508,'январь 2023'!$D$4:$D$508,$B44,'январь 2023'!$J$4:$J$508,H$1)</f>
        <v>0</v>
      </c>
      <c r="I44" s="207">
        <f>SUMIFS('январь 2023'!$G$4:$G$508,'январь 2023'!$D$4:$D$508,$B44,'январь 2023'!$J$4:$J$508,I$1)</f>
        <v>0</v>
      </c>
      <c r="J44" s="207">
        <f>SUMIFS('январь 2023'!$G$4:$G$508,'январь 2023'!$D$4:$D$508,$B44,'январь 2023'!$J$4:$J$508,J$1)</f>
        <v>0</v>
      </c>
      <c r="K44" s="207">
        <f>SUMIFS('январь 2023'!$G$4:$G$508,'январь 2023'!$D$4:$D$508,$B44,'январь 2023'!$J$4:$J$508,K$1)</f>
        <v>0</v>
      </c>
      <c r="L44" s="207">
        <f>SUMIFS('январь 2023'!$G$4:$G$508,'январь 2023'!$D$4:$D$508,$B44,'январь 2023'!$J$4:$J$508,L$1)</f>
        <v>0</v>
      </c>
      <c r="M44" s="207">
        <f>SUMIFS('январь 2023'!$G$4:$G$508,'январь 2023'!$D$4:$D$508,$B44,'январь 2023'!$J$4:$J$508,M$1)</f>
        <v>0</v>
      </c>
      <c r="N44" s="207">
        <f>SUMIFS('январь 2023'!$G$4:$G$508,'январь 2023'!$D$4:$D$508,$B44,'январь 2023'!$J$4:$J$508,N$1)</f>
        <v>0</v>
      </c>
      <c r="O44" s="207">
        <f>SUMIFS('январь 2023'!$G$4:$G$508,'январь 2023'!$D$4:$D$508,$B44,'январь 2023'!$J$4:$J$508,O$1)</f>
        <v>0</v>
      </c>
      <c r="P44" s="207">
        <f>SUMIFS('январь 2023'!$G$4:$G$508,'январь 2023'!$D$4:$D$508,$B44,'январь 2023'!$J$4:$J$508,P$1)</f>
        <v>0</v>
      </c>
      <c r="Q44" s="207">
        <f>SUMIFS('январь 2023'!$G$4:$G$508,'январь 2023'!$D$4:$D$508,$B44,'январь 2023'!$J$4:$J$508,Q$1)</f>
        <v>0</v>
      </c>
      <c r="R44" s="207">
        <f>SUMIFS('январь 2023'!$G$4:$G$508,'январь 2023'!$D$4:$D$508,$B44,'январь 2023'!$J$4:$J$508,R$1)</f>
        <v>0</v>
      </c>
      <c r="S44" s="207">
        <f>SUMIFS('январь 2023'!$G$4:$G$508,'январь 2023'!$D$4:$D$508,$B44,'январь 2023'!$J$4:$J$508,S$1)</f>
        <v>0</v>
      </c>
      <c r="T44" s="207">
        <f>SUMIFS('январь 2023'!$G$4:$G$508,'январь 2023'!$D$4:$D$508,$B44,'январь 2023'!$J$4:$J$508,T$1)</f>
        <v>0</v>
      </c>
      <c r="U44" s="207">
        <f>SUMIFS('январь 2023'!$G$4:$G$508,'январь 2023'!$D$4:$D$508,$B44,'январь 2023'!$J$4:$J$508,U$1)</f>
        <v>0</v>
      </c>
      <c r="V44" s="207">
        <f>SUMIFS('январь 2023'!$G$4:$G$508,'январь 2023'!$D$4:$D$508,$B44,'январь 2023'!$J$4:$J$508,V$1)</f>
        <v>0</v>
      </c>
      <c r="W44" s="207">
        <f>SUMIFS('январь 2023'!$G$4:$G$508,'январь 2023'!$D$4:$D$508,$B44,'январь 2023'!$J$4:$J$508,W$1)</f>
        <v>0</v>
      </c>
      <c r="X44" s="207">
        <f>SUMIFS('январь 2023'!$G$4:$G$508,'январь 2023'!$D$4:$D$508,$B44,'январь 2023'!$J$4:$J$508,X$1)</f>
        <v>0</v>
      </c>
      <c r="Y44" s="207">
        <f>SUMIFS('январь 2023'!$G$4:$G$508,'январь 2023'!$D$4:$D$508,$B44,'январь 2023'!$J$4:$J$508,Y$1)</f>
        <v>0</v>
      </c>
      <c r="Z44" s="207">
        <f>SUMIFS('январь 2023'!$G$4:$G$508,'январь 2023'!$D$4:$D$508,$B44,'январь 2023'!$J$4:$J$508,Z$1)</f>
        <v>0</v>
      </c>
      <c r="AA44" s="207">
        <f>SUMIFS('январь 2023'!$G$4:$G$508,'январь 2023'!$D$4:$D$508,$B44,'январь 2023'!$J$4:$J$508,AA$1)</f>
        <v>0</v>
      </c>
      <c r="AB44" s="207">
        <f>SUMIFS('январь 2023'!$G$4:$G$508,'январь 2023'!$D$4:$D$508,$B44,'январь 2023'!$J$4:$J$508,AB$1)</f>
        <v>0</v>
      </c>
      <c r="AC44" s="207">
        <f>SUMIFS('январь 2023'!$G$4:$G$508,'январь 2023'!$D$4:$D$508,$B44,'январь 2023'!$J$4:$J$508,AC$1)</f>
        <v>0</v>
      </c>
      <c r="AD44" s="207">
        <f>SUMIFS('январь 2023'!$G$4:$G$508,'январь 2023'!$D$4:$D$508,$B44,'январь 2023'!$J$4:$J$508,AD$1)</f>
        <v>0</v>
      </c>
      <c r="AE44" s="207">
        <f>SUMIFS('январь 2023'!$G$4:$G$508,'январь 2023'!$D$4:$D$508,$B44,'январь 2023'!$J$4:$J$508,AE$1)</f>
        <v>0</v>
      </c>
      <c r="AF44" s="207">
        <f>SUMIFS('январь 2023'!$G$4:$G$508,'январь 2023'!$D$4:$D$508,$B44,'январь 2023'!$J$4:$J$508,AF$1)</f>
        <v>0</v>
      </c>
      <c r="AG44" s="207">
        <f>SUMIFS('январь 2023'!$G$4:$G$508,'январь 2023'!$D$4:$D$508,$B44,'январь 2023'!$J$4:$J$508,AG$1)</f>
        <v>0</v>
      </c>
      <c r="AH44" s="207">
        <f>SUMIFS('январь 2023'!$G$4:$G$508,'январь 2023'!$D$4:$D$508,$B44,'январь 2023'!$J$4:$J$508,AH$1)</f>
        <v>0</v>
      </c>
      <c r="AI44" s="170">
        <f t="shared" si="1"/>
        <v>0</v>
      </c>
    </row>
    <row r="45" spans="2:35" ht="15" customHeight="1" x14ac:dyDescent="0.25">
      <c r="B45" s="212"/>
      <c r="C45" s="213"/>
      <c r="D45" s="207">
        <f>SUMIFS('январь 2023'!$G$4:$G$508,'январь 2023'!$D$4:$D$508,$B45,'январь 2023'!$J$4:$J$508,D$1)</f>
        <v>0</v>
      </c>
      <c r="E45" s="207">
        <f>SUMIFS('январь 2023'!$G$4:$G$508,'январь 2023'!$D$4:$D$508,$B45,'январь 2023'!$J$4:$J$508,E$1)</f>
        <v>0</v>
      </c>
      <c r="F45" s="207">
        <f>SUMIFS('январь 2023'!$G$4:$G$508,'январь 2023'!$D$4:$D$508,$B45,'январь 2023'!$J$4:$J$508,F$1)</f>
        <v>0</v>
      </c>
      <c r="G45" s="207">
        <f>SUMIFS('январь 2023'!$G$4:$G$508,'январь 2023'!$D$4:$D$508,$B45,'январь 2023'!$J$4:$J$508,G$1)</f>
        <v>0</v>
      </c>
      <c r="H45" s="207">
        <f>SUMIFS('январь 2023'!$G$4:$G$508,'январь 2023'!$D$4:$D$508,$B45,'январь 2023'!$J$4:$J$508,H$1)</f>
        <v>0</v>
      </c>
      <c r="I45" s="207">
        <f>SUMIFS('январь 2023'!$G$4:$G$508,'январь 2023'!$D$4:$D$508,$B45,'январь 2023'!$J$4:$J$508,I$1)</f>
        <v>0</v>
      </c>
      <c r="J45" s="207">
        <f>SUMIFS('январь 2023'!$G$4:$G$508,'январь 2023'!$D$4:$D$508,$B45,'январь 2023'!$J$4:$J$508,J$1)</f>
        <v>0</v>
      </c>
      <c r="K45" s="207">
        <f>SUMIFS('январь 2023'!$G$4:$G$508,'январь 2023'!$D$4:$D$508,$B45,'январь 2023'!$J$4:$J$508,K$1)</f>
        <v>0</v>
      </c>
      <c r="L45" s="207">
        <f>SUMIFS('январь 2023'!$G$4:$G$508,'январь 2023'!$D$4:$D$508,$B45,'январь 2023'!$J$4:$J$508,L$1)</f>
        <v>0</v>
      </c>
      <c r="M45" s="207">
        <f>SUMIFS('январь 2023'!$G$4:$G$508,'январь 2023'!$D$4:$D$508,$B45,'январь 2023'!$J$4:$J$508,M$1)</f>
        <v>0</v>
      </c>
      <c r="N45" s="207">
        <f>SUMIFS('январь 2023'!$G$4:$G$508,'январь 2023'!$D$4:$D$508,$B45,'январь 2023'!$J$4:$J$508,N$1)</f>
        <v>0</v>
      </c>
      <c r="O45" s="207">
        <f>SUMIFS('январь 2023'!$G$4:$G$508,'январь 2023'!$D$4:$D$508,$B45,'январь 2023'!$J$4:$J$508,O$1)</f>
        <v>0</v>
      </c>
      <c r="P45" s="207">
        <f>SUMIFS('январь 2023'!$G$4:$G$508,'январь 2023'!$D$4:$D$508,$B45,'январь 2023'!$J$4:$J$508,P$1)</f>
        <v>0</v>
      </c>
      <c r="Q45" s="207">
        <f>SUMIFS('январь 2023'!$G$4:$G$508,'январь 2023'!$D$4:$D$508,$B45,'январь 2023'!$J$4:$J$508,Q$1)</f>
        <v>0</v>
      </c>
      <c r="R45" s="207">
        <f>SUMIFS('январь 2023'!$G$4:$G$508,'январь 2023'!$D$4:$D$508,$B45,'январь 2023'!$J$4:$J$508,R$1)</f>
        <v>0</v>
      </c>
      <c r="S45" s="207">
        <f>SUMIFS('январь 2023'!$G$4:$G$508,'январь 2023'!$D$4:$D$508,$B45,'январь 2023'!$J$4:$J$508,S$1)</f>
        <v>0</v>
      </c>
      <c r="T45" s="207">
        <f>SUMIFS('январь 2023'!$G$4:$G$508,'январь 2023'!$D$4:$D$508,$B45,'январь 2023'!$J$4:$J$508,T$1)</f>
        <v>0</v>
      </c>
      <c r="U45" s="207">
        <f>SUMIFS('январь 2023'!$G$4:$G$508,'январь 2023'!$D$4:$D$508,$B45,'январь 2023'!$J$4:$J$508,U$1)</f>
        <v>0</v>
      </c>
      <c r="V45" s="207">
        <f>SUMIFS('январь 2023'!$G$4:$G$508,'январь 2023'!$D$4:$D$508,$B45,'январь 2023'!$J$4:$J$508,V$1)</f>
        <v>0</v>
      </c>
      <c r="W45" s="207">
        <f>SUMIFS('январь 2023'!$G$4:$G$508,'январь 2023'!$D$4:$D$508,$B45,'январь 2023'!$J$4:$J$508,W$1)</f>
        <v>0</v>
      </c>
      <c r="X45" s="207">
        <f>SUMIFS('январь 2023'!$G$4:$G$508,'январь 2023'!$D$4:$D$508,$B45,'январь 2023'!$J$4:$J$508,X$1)</f>
        <v>0</v>
      </c>
      <c r="Y45" s="207">
        <f>SUMIFS('январь 2023'!$G$4:$G$508,'январь 2023'!$D$4:$D$508,$B45,'январь 2023'!$J$4:$J$508,Y$1)</f>
        <v>0</v>
      </c>
      <c r="Z45" s="207">
        <f>SUMIFS('январь 2023'!$G$4:$G$508,'январь 2023'!$D$4:$D$508,$B45,'январь 2023'!$J$4:$J$508,Z$1)</f>
        <v>0</v>
      </c>
      <c r="AA45" s="207">
        <f>SUMIFS('январь 2023'!$G$4:$G$508,'январь 2023'!$D$4:$D$508,$B45,'январь 2023'!$J$4:$J$508,AA$1)</f>
        <v>0</v>
      </c>
      <c r="AB45" s="207">
        <f>SUMIFS('январь 2023'!$G$4:$G$508,'январь 2023'!$D$4:$D$508,$B45,'январь 2023'!$J$4:$J$508,AB$1)</f>
        <v>0</v>
      </c>
      <c r="AC45" s="207">
        <f>SUMIFS('январь 2023'!$G$4:$G$508,'январь 2023'!$D$4:$D$508,$B45,'январь 2023'!$J$4:$J$508,AC$1)</f>
        <v>0</v>
      </c>
      <c r="AD45" s="207">
        <f>SUMIFS('январь 2023'!$G$4:$G$508,'январь 2023'!$D$4:$D$508,$B45,'январь 2023'!$J$4:$J$508,AD$1)</f>
        <v>0</v>
      </c>
      <c r="AE45" s="207">
        <f>SUMIFS('январь 2023'!$G$4:$G$508,'январь 2023'!$D$4:$D$508,$B45,'январь 2023'!$J$4:$J$508,AE$1)</f>
        <v>0</v>
      </c>
      <c r="AF45" s="207">
        <f>SUMIFS('январь 2023'!$G$4:$G$508,'январь 2023'!$D$4:$D$508,$B45,'январь 2023'!$J$4:$J$508,AF$1)</f>
        <v>0</v>
      </c>
      <c r="AG45" s="207">
        <f>SUMIFS('январь 2023'!$G$4:$G$508,'январь 2023'!$D$4:$D$508,$B45,'январь 2023'!$J$4:$J$508,AG$1)</f>
        <v>0</v>
      </c>
      <c r="AH45" s="207">
        <f>SUMIFS('январь 2023'!$G$4:$G$508,'январь 2023'!$D$4:$D$508,$B45,'январь 2023'!$J$4:$J$508,AH$1)</f>
        <v>0</v>
      </c>
      <c r="AI45" s="170">
        <f t="shared" si="1"/>
        <v>0</v>
      </c>
    </row>
    <row r="46" spans="2:35" ht="15" customHeight="1" x14ac:dyDescent="0.25">
      <c r="B46" s="208" t="s">
        <v>684</v>
      </c>
      <c r="C46" s="213">
        <v>20</v>
      </c>
      <c r="D46" s="207">
        <f>SUMIFS('январь 2023'!$G$4:$G$508,'январь 2023'!$D$4:$D$508,$B46,'январь 2023'!$J$4:$J$508,D$1)</f>
        <v>0</v>
      </c>
      <c r="E46" s="207">
        <f>SUMIFS('январь 2023'!$G$4:$G$508,'январь 2023'!$D$4:$D$508,$B46,'январь 2023'!$J$4:$J$508,E$1)</f>
        <v>0</v>
      </c>
      <c r="F46" s="207">
        <f>SUMIFS('январь 2023'!$G$4:$G$508,'январь 2023'!$D$4:$D$508,$B46,'январь 2023'!$J$4:$J$508,F$1)</f>
        <v>0</v>
      </c>
      <c r="G46" s="207">
        <f>SUMIFS('январь 2023'!$G$4:$G$508,'январь 2023'!$D$4:$D$508,$B46,'январь 2023'!$J$4:$J$508,G$1)</f>
        <v>0</v>
      </c>
      <c r="H46" s="207">
        <f>SUMIFS('январь 2023'!$G$4:$G$508,'январь 2023'!$D$4:$D$508,$B46,'январь 2023'!$J$4:$J$508,H$1)</f>
        <v>0</v>
      </c>
      <c r="I46" s="207">
        <f>SUMIFS('январь 2023'!$G$4:$G$508,'январь 2023'!$D$4:$D$508,$B46,'январь 2023'!$J$4:$J$508,I$1)</f>
        <v>0</v>
      </c>
      <c r="J46" s="207">
        <f>SUMIFS('январь 2023'!$G$4:$G$508,'январь 2023'!$D$4:$D$508,$B46,'январь 2023'!$J$4:$J$508,J$1)</f>
        <v>0</v>
      </c>
      <c r="K46" s="207">
        <f>SUMIFS('январь 2023'!$G$4:$G$508,'январь 2023'!$D$4:$D$508,$B46,'январь 2023'!$J$4:$J$508,K$1)</f>
        <v>0</v>
      </c>
      <c r="L46" s="207">
        <f>SUMIFS('январь 2023'!$G$4:$G$508,'январь 2023'!$D$4:$D$508,$B46,'январь 2023'!$J$4:$J$508,L$1)</f>
        <v>0</v>
      </c>
      <c r="M46" s="207">
        <f>SUMIFS('январь 2023'!$G$4:$G$508,'январь 2023'!$D$4:$D$508,$B46,'январь 2023'!$J$4:$J$508,M$1)</f>
        <v>0</v>
      </c>
      <c r="N46" s="207">
        <f>SUMIFS('январь 2023'!$G$4:$G$508,'январь 2023'!$D$4:$D$508,$B46,'январь 2023'!$J$4:$J$508,N$1)</f>
        <v>0</v>
      </c>
      <c r="O46" s="207">
        <f>SUMIFS('январь 2023'!$G$4:$G$508,'январь 2023'!$D$4:$D$508,$B46,'январь 2023'!$J$4:$J$508,O$1)</f>
        <v>0</v>
      </c>
      <c r="P46" s="207">
        <f>SUMIFS('январь 2023'!$G$4:$G$508,'январь 2023'!$D$4:$D$508,$B46,'январь 2023'!$J$4:$J$508,P$1)</f>
        <v>0</v>
      </c>
      <c r="Q46" s="207">
        <f>SUMIFS('январь 2023'!$G$4:$G$508,'январь 2023'!$D$4:$D$508,$B46,'январь 2023'!$J$4:$J$508,Q$1)</f>
        <v>0</v>
      </c>
      <c r="R46" s="207">
        <f>SUMIFS('январь 2023'!$G$4:$G$508,'январь 2023'!$D$4:$D$508,$B46,'январь 2023'!$J$4:$J$508,R$1)</f>
        <v>0</v>
      </c>
      <c r="S46" s="207">
        <f>SUMIFS('январь 2023'!$G$4:$G$508,'январь 2023'!$D$4:$D$508,$B46,'январь 2023'!$J$4:$J$508,S$1)</f>
        <v>0</v>
      </c>
      <c r="T46" s="207">
        <f>SUMIFS('январь 2023'!$G$4:$G$508,'январь 2023'!$D$4:$D$508,$B46,'январь 2023'!$J$4:$J$508,T$1)</f>
        <v>0</v>
      </c>
      <c r="U46" s="207">
        <f>SUMIFS('январь 2023'!$G$4:$G$508,'январь 2023'!$D$4:$D$508,$B46,'январь 2023'!$J$4:$J$508,U$1)</f>
        <v>0</v>
      </c>
      <c r="V46" s="207">
        <f>SUMIFS('январь 2023'!$G$4:$G$508,'январь 2023'!$D$4:$D$508,$B46,'январь 2023'!$J$4:$J$508,V$1)</f>
        <v>0</v>
      </c>
      <c r="W46" s="207">
        <f>SUMIFS('январь 2023'!$G$4:$G$508,'январь 2023'!$D$4:$D$508,$B46,'январь 2023'!$J$4:$J$508,W$1)</f>
        <v>0</v>
      </c>
      <c r="X46" s="207">
        <f>SUMIFS('январь 2023'!$G$4:$G$508,'январь 2023'!$D$4:$D$508,$B46,'январь 2023'!$J$4:$J$508,X$1)</f>
        <v>0</v>
      </c>
      <c r="Y46" s="207">
        <f>SUMIFS('январь 2023'!$G$4:$G$508,'январь 2023'!$D$4:$D$508,$B46,'январь 2023'!$J$4:$J$508,Y$1)</f>
        <v>0</v>
      </c>
      <c r="Z46" s="207">
        <f>SUMIFS('январь 2023'!$G$4:$G$508,'январь 2023'!$D$4:$D$508,$B46,'январь 2023'!$J$4:$J$508,Z$1)</f>
        <v>0</v>
      </c>
      <c r="AA46" s="207">
        <f>SUMIFS('январь 2023'!$G$4:$G$508,'январь 2023'!$D$4:$D$508,$B46,'январь 2023'!$J$4:$J$508,AA$1)</f>
        <v>0</v>
      </c>
      <c r="AB46" s="207">
        <f>SUMIFS('январь 2023'!$G$4:$G$508,'январь 2023'!$D$4:$D$508,$B46,'январь 2023'!$J$4:$J$508,AB$1)</f>
        <v>0</v>
      </c>
      <c r="AC46" s="207">
        <f>SUMIFS('январь 2023'!$G$4:$G$508,'январь 2023'!$D$4:$D$508,$B46,'январь 2023'!$J$4:$J$508,AC$1)</f>
        <v>1000</v>
      </c>
      <c r="AD46" s="207">
        <f>SUMIFS('январь 2023'!$G$4:$G$508,'январь 2023'!$D$4:$D$508,$B46,'январь 2023'!$J$4:$J$508,AD$1)</f>
        <v>0</v>
      </c>
      <c r="AE46" s="207">
        <f>SUMIFS('январь 2023'!$G$4:$G$508,'январь 2023'!$D$4:$D$508,$B46,'январь 2023'!$J$4:$J$508,AE$1)</f>
        <v>0</v>
      </c>
      <c r="AF46" s="207">
        <f>SUMIFS('январь 2023'!$G$4:$G$508,'январь 2023'!$D$4:$D$508,$B46,'январь 2023'!$J$4:$J$508,AF$1)</f>
        <v>0</v>
      </c>
      <c r="AG46" s="207">
        <f>SUMIFS('январь 2023'!$G$4:$G$508,'январь 2023'!$D$4:$D$508,$B46,'январь 2023'!$J$4:$J$508,AG$1)</f>
        <v>0</v>
      </c>
      <c r="AH46" s="207">
        <f>SUMIFS('январь 2023'!$G$4:$G$508,'январь 2023'!$D$4:$D$508,$B46,'январь 2023'!$J$4:$J$508,AH$1)</f>
        <v>0</v>
      </c>
      <c r="AI46" s="170">
        <f t="shared" si="1"/>
        <v>1000</v>
      </c>
    </row>
    <row r="47" spans="2:35" ht="15" customHeight="1" x14ac:dyDescent="0.25">
      <c r="B47" s="212" t="s">
        <v>1062</v>
      </c>
      <c r="C47" s="213">
        <v>20</v>
      </c>
      <c r="D47" s="207">
        <f>SUMIFS('январь 2023'!$G$4:$G$508,'январь 2023'!$D$4:$D$508,$B47,'январь 2023'!$J$4:$J$508,D$1)</f>
        <v>0</v>
      </c>
      <c r="E47" s="207">
        <f>SUMIFS('январь 2023'!$G$4:$G$508,'январь 2023'!$D$4:$D$508,$B47,'январь 2023'!$J$4:$J$508,E$1)</f>
        <v>0</v>
      </c>
      <c r="F47" s="207">
        <f>SUMIFS('январь 2023'!$G$4:$G$508,'январь 2023'!$D$4:$D$508,$B47,'январь 2023'!$J$4:$J$508,F$1)</f>
        <v>0</v>
      </c>
      <c r="G47" s="207">
        <f>SUMIFS('январь 2023'!$G$4:$G$508,'январь 2023'!$D$4:$D$508,$B47,'январь 2023'!$J$4:$J$508,G$1)</f>
        <v>0</v>
      </c>
      <c r="H47" s="207">
        <f>SUMIFS('январь 2023'!$G$4:$G$508,'январь 2023'!$D$4:$D$508,$B47,'январь 2023'!$J$4:$J$508,H$1)</f>
        <v>0</v>
      </c>
      <c r="I47" s="207">
        <f>SUMIFS('январь 2023'!$G$4:$G$508,'январь 2023'!$D$4:$D$508,$B47,'январь 2023'!$J$4:$J$508,I$1)</f>
        <v>0</v>
      </c>
      <c r="J47" s="207">
        <f>SUMIFS('январь 2023'!$G$4:$G$508,'январь 2023'!$D$4:$D$508,$B47,'январь 2023'!$J$4:$J$508,J$1)</f>
        <v>0</v>
      </c>
      <c r="K47" s="207">
        <f>SUMIFS('январь 2023'!$G$4:$G$508,'январь 2023'!$D$4:$D$508,$B47,'январь 2023'!$J$4:$J$508,K$1)</f>
        <v>0</v>
      </c>
      <c r="L47" s="207">
        <f>SUMIFS('январь 2023'!$G$4:$G$508,'январь 2023'!$D$4:$D$508,$B47,'январь 2023'!$J$4:$J$508,L$1)</f>
        <v>0</v>
      </c>
      <c r="M47" s="207">
        <f>SUMIFS('январь 2023'!$G$4:$G$508,'январь 2023'!$D$4:$D$508,$B47,'январь 2023'!$J$4:$J$508,M$1)</f>
        <v>0</v>
      </c>
      <c r="N47" s="207">
        <f>SUMIFS('январь 2023'!$G$4:$G$508,'январь 2023'!$D$4:$D$508,$B47,'январь 2023'!$J$4:$J$508,N$1)</f>
        <v>0</v>
      </c>
      <c r="O47" s="207">
        <f>SUMIFS('январь 2023'!$G$4:$G$508,'январь 2023'!$D$4:$D$508,$B47,'январь 2023'!$J$4:$J$508,O$1)</f>
        <v>0</v>
      </c>
      <c r="P47" s="207">
        <f>SUMIFS('январь 2023'!$G$4:$G$508,'январь 2023'!$D$4:$D$508,$B47,'январь 2023'!$J$4:$J$508,P$1)</f>
        <v>0</v>
      </c>
      <c r="Q47" s="207">
        <f>SUMIFS('январь 2023'!$G$4:$G$508,'январь 2023'!$D$4:$D$508,$B47,'январь 2023'!$J$4:$J$508,Q$1)</f>
        <v>0</v>
      </c>
      <c r="R47" s="207">
        <f>SUMIFS('январь 2023'!$G$4:$G$508,'январь 2023'!$D$4:$D$508,$B47,'январь 2023'!$J$4:$J$508,R$1)</f>
        <v>0</v>
      </c>
      <c r="S47" s="207">
        <f>SUMIFS('январь 2023'!$G$4:$G$508,'январь 2023'!$D$4:$D$508,$B47,'январь 2023'!$J$4:$J$508,S$1)</f>
        <v>0</v>
      </c>
      <c r="T47" s="207">
        <f>SUMIFS('январь 2023'!$G$4:$G$508,'январь 2023'!$D$4:$D$508,$B47,'январь 2023'!$J$4:$J$508,T$1)</f>
        <v>0</v>
      </c>
      <c r="U47" s="207">
        <f>SUMIFS('январь 2023'!$G$4:$G$508,'январь 2023'!$D$4:$D$508,$B47,'январь 2023'!$J$4:$J$508,U$1)</f>
        <v>0</v>
      </c>
      <c r="V47" s="207">
        <f>SUMIFS('январь 2023'!$G$4:$G$508,'январь 2023'!$D$4:$D$508,$B47,'январь 2023'!$J$4:$J$508,V$1)</f>
        <v>0</v>
      </c>
      <c r="W47" s="207">
        <f>SUMIFS('январь 2023'!$G$4:$G$508,'январь 2023'!$D$4:$D$508,$B47,'январь 2023'!$J$4:$J$508,W$1)</f>
        <v>0</v>
      </c>
      <c r="X47" s="207">
        <f>SUMIFS('январь 2023'!$G$4:$G$508,'январь 2023'!$D$4:$D$508,$B47,'январь 2023'!$J$4:$J$508,X$1)</f>
        <v>0</v>
      </c>
      <c r="Y47" s="207">
        <f>SUMIFS('январь 2023'!$G$4:$G$508,'январь 2023'!$D$4:$D$508,$B47,'январь 2023'!$J$4:$J$508,Y$1)</f>
        <v>0</v>
      </c>
      <c r="Z47" s="207">
        <f>SUMIFS('январь 2023'!$G$4:$G$508,'январь 2023'!$D$4:$D$508,$B47,'январь 2023'!$J$4:$J$508,Z$1)</f>
        <v>0</v>
      </c>
      <c r="AA47" s="207">
        <f>SUMIFS('январь 2023'!$G$4:$G$508,'январь 2023'!$D$4:$D$508,$B47,'январь 2023'!$J$4:$J$508,AA$1)</f>
        <v>0</v>
      </c>
      <c r="AB47" s="207">
        <f>SUMIFS('январь 2023'!$G$4:$G$508,'январь 2023'!$D$4:$D$508,$B47,'январь 2023'!$J$4:$J$508,AB$1)</f>
        <v>120</v>
      </c>
      <c r="AC47" s="207">
        <f>SUMIFS('январь 2023'!$G$4:$G$508,'январь 2023'!$D$4:$D$508,$B47,'январь 2023'!$J$4:$J$508,AC$1)</f>
        <v>0</v>
      </c>
      <c r="AD47" s="207">
        <f>SUMIFS('январь 2023'!$G$4:$G$508,'январь 2023'!$D$4:$D$508,$B47,'январь 2023'!$J$4:$J$508,AD$1)</f>
        <v>0</v>
      </c>
      <c r="AE47" s="207">
        <f>SUMIFS('январь 2023'!$G$4:$G$508,'январь 2023'!$D$4:$D$508,$B47,'январь 2023'!$J$4:$J$508,AE$1)</f>
        <v>0</v>
      </c>
      <c r="AF47" s="207">
        <f>SUMIFS('январь 2023'!$G$4:$G$508,'январь 2023'!$D$4:$D$508,$B47,'январь 2023'!$J$4:$J$508,AF$1)</f>
        <v>0</v>
      </c>
      <c r="AG47" s="207">
        <f>SUMIFS('январь 2023'!$G$4:$G$508,'январь 2023'!$D$4:$D$508,$B47,'январь 2023'!$J$4:$J$508,AG$1)</f>
        <v>0</v>
      </c>
      <c r="AH47" s="207">
        <f>SUMIFS('январь 2023'!$G$4:$G$508,'январь 2023'!$D$4:$D$508,$B47,'январь 2023'!$J$4:$J$508,AH$1)</f>
        <v>0</v>
      </c>
      <c r="AI47" s="170">
        <f t="shared" si="1"/>
        <v>120</v>
      </c>
    </row>
    <row r="48" spans="2:35" ht="15" customHeight="1" x14ac:dyDescent="0.25">
      <c r="B48" s="212" t="s">
        <v>1084</v>
      </c>
      <c r="C48" s="213">
        <v>20</v>
      </c>
      <c r="D48" s="207">
        <f>SUMIFS('январь 2023'!$G$4:$G$508,'январь 2023'!$D$4:$D$508,$B48,'январь 2023'!$J$4:$J$508,D$1)</f>
        <v>0</v>
      </c>
      <c r="E48" s="207">
        <f>SUMIFS('январь 2023'!$G$4:$G$508,'январь 2023'!$D$4:$D$508,$B48,'январь 2023'!$J$4:$J$508,E$1)</f>
        <v>0</v>
      </c>
      <c r="F48" s="207">
        <f>SUMIFS('январь 2023'!$G$4:$G$508,'январь 2023'!$D$4:$D$508,$B48,'январь 2023'!$J$4:$J$508,F$1)</f>
        <v>0</v>
      </c>
      <c r="G48" s="207">
        <f>SUMIFS('январь 2023'!$G$4:$G$508,'январь 2023'!$D$4:$D$508,$B48,'январь 2023'!$J$4:$J$508,G$1)</f>
        <v>0</v>
      </c>
      <c r="H48" s="207">
        <f>SUMIFS('январь 2023'!$G$4:$G$508,'январь 2023'!$D$4:$D$508,$B48,'январь 2023'!$J$4:$J$508,H$1)</f>
        <v>0</v>
      </c>
      <c r="I48" s="207">
        <f>SUMIFS('январь 2023'!$G$4:$G$508,'январь 2023'!$D$4:$D$508,$B48,'январь 2023'!$J$4:$J$508,I$1)</f>
        <v>0</v>
      </c>
      <c r="J48" s="207">
        <f>SUMIFS('январь 2023'!$G$4:$G$508,'январь 2023'!$D$4:$D$508,$B48,'январь 2023'!$J$4:$J$508,J$1)</f>
        <v>0</v>
      </c>
      <c r="K48" s="207">
        <f>SUMIFS('январь 2023'!$G$4:$G$508,'январь 2023'!$D$4:$D$508,$B48,'январь 2023'!$J$4:$J$508,K$1)</f>
        <v>0</v>
      </c>
      <c r="L48" s="207">
        <f>SUMIFS('январь 2023'!$G$4:$G$508,'январь 2023'!$D$4:$D$508,$B48,'январь 2023'!$J$4:$J$508,L$1)</f>
        <v>0</v>
      </c>
      <c r="M48" s="207">
        <f>SUMIFS('январь 2023'!$G$4:$G$508,'январь 2023'!$D$4:$D$508,$B48,'январь 2023'!$J$4:$J$508,M$1)</f>
        <v>0</v>
      </c>
      <c r="N48" s="207">
        <f>SUMIFS('январь 2023'!$G$4:$G$508,'январь 2023'!$D$4:$D$508,$B48,'январь 2023'!$J$4:$J$508,N$1)</f>
        <v>0</v>
      </c>
      <c r="O48" s="207">
        <f>SUMIFS('январь 2023'!$G$4:$G$508,'январь 2023'!$D$4:$D$508,$B48,'январь 2023'!$J$4:$J$508,O$1)</f>
        <v>50</v>
      </c>
      <c r="P48" s="207">
        <f>SUMIFS('январь 2023'!$G$4:$G$508,'январь 2023'!$D$4:$D$508,$B48,'январь 2023'!$J$4:$J$508,P$1)</f>
        <v>0</v>
      </c>
      <c r="Q48" s="207">
        <f>SUMIFS('январь 2023'!$G$4:$G$508,'январь 2023'!$D$4:$D$508,$B48,'январь 2023'!$J$4:$J$508,Q$1)</f>
        <v>0</v>
      </c>
      <c r="R48" s="207">
        <f>SUMIFS('январь 2023'!$G$4:$G$508,'январь 2023'!$D$4:$D$508,$B48,'январь 2023'!$J$4:$J$508,R$1)</f>
        <v>0</v>
      </c>
      <c r="S48" s="207">
        <f>SUMIFS('январь 2023'!$G$4:$G$508,'январь 2023'!$D$4:$D$508,$B48,'январь 2023'!$J$4:$J$508,S$1)</f>
        <v>0</v>
      </c>
      <c r="T48" s="207">
        <f>SUMIFS('январь 2023'!$G$4:$G$508,'январь 2023'!$D$4:$D$508,$B48,'январь 2023'!$J$4:$J$508,T$1)</f>
        <v>0</v>
      </c>
      <c r="U48" s="207">
        <f>SUMIFS('январь 2023'!$G$4:$G$508,'январь 2023'!$D$4:$D$508,$B48,'январь 2023'!$J$4:$J$508,U$1)</f>
        <v>0</v>
      </c>
      <c r="V48" s="207">
        <f>SUMIFS('январь 2023'!$G$4:$G$508,'январь 2023'!$D$4:$D$508,$B48,'январь 2023'!$J$4:$J$508,V$1)</f>
        <v>0</v>
      </c>
      <c r="W48" s="207">
        <f>SUMIFS('январь 2023'!$G$4:$G$508,'январь 2023'!$D$4:$D$508,$B48,'январь 2023'!$J$4:$J$508,W$1)</f>
        <v>0</v>
      </c>
      <c r="X48" s="207">
        <f>SUMIFS('январь 2023'!$G$4:$G$508,'январь 2023'!$D$4:$D$508,$B48,'январь 2023'!$J$4:$J$508,X$1)</f>
        <v>0</v>
      </c>
      <c r="Y48" s="207">
        <f>SUMIFS('январь 2023'!$G$4:$G$508,'январь 2023'!$D$4:$D$508,$B48,'январь 2023'!$J$4:$J$508,Y$1)</f>
        <v>0</v>
      </c>
      <c r="Z48" s="207">
        <f>SUMIFS('январь 2023'!$G$4:$G$508,'январь 2023'!$D$4:$D$508,$B48,'январь 2023'!$J$4:$J$508,Z$1)</f>
        <v>0</v>
      </c>
      <c r="AA48" s="207">
        <f>SUMIFS('январь 2023'!$G$4:$G$508,'январь 2023'!$D$4:$D$508,$B48,'январь 2023'!$J$4:$J$508,AA$1)</f>
        <v>0</v>
      </c>
      <c r="AB48" s="207">
        <f>SUMIFS('январь 2023'!$G$4:$G$508,'январь 2023'!$D$4:$D$508,$B48,'январь 2023'!$J$4:$J$508,AB$1)</f>
        <v>0</v>
      </c>
      <c r="AC48" s="207">
        <f>SUMIFS('январь 2023'!$G$4:$G$508,'январь 2023'!$D$4:$D$508,$B48,'январь 2023'!$J$4:$J$508,AC$1)</f>
        <v>0</v>
      </c>
      <c r="AD48" s="207">
        <f>SUMIFS('январь 2023'!$G$4:$G$508,'январь 2023'!$D$4:$D$508,$B48,'январь 2023'!$J$4:$J$508,AD$1)</f>
        <v>0</v>
      </c>
      <c r="AE48" s="207">
        <f>SUMIFS('январь 2023'!$G$4:$G$508,'январь 2023'!$D$4:$D$508,$B48,'январь 2023'!$J$4:$J$508,AE$1)</f>
        <v>0</v>
      </c>
      <c r="AF48" s="207">
        <f>SUMIFS('январь 2023'!$G$4:$G$508,'январь 2023'!$D$4:$D$508,$B48,'январь 2023'!$J$4:$J$508,AF$1)</f>
        <v>0</v>
      </c>
      <c r="AG48" s="207">
        <f>SUMIFS('январь 2023'!$G$4:$G$508,'январь 2023'!$D$4:$D$508,$B48,'январь 2023'!$J$4:$J$508,AG$1)</f>
        <v>0</v>
      </c>
      <c r="AH48" s="207">
        <f>SUMIFS('январь 2023'!$G$4:$G$508,'январь 2023'!$D$4:$D$508,$B48,'январь 2023'!$J$4:$J$508,AH$1)</f>
        <v>0</v>
      </c>
      <c r="AI48" s="170">
        <f t="shared" si="1"/>
        <v>50</v>
      </c>
    </row>
    <row r="49" spans="2:35" ht="15" customHeight="1" x14ac:dyDescent="0.25">
      <c r="B49" s="212" t="s">
        <v>440</v>
      </c>
      <c r="C49" s="213">
        <v>20</v>
      </c>
      <c r="D49" s="207">
        <f>SUMIFS('январь 2023'!$G$4:$G$508,'январь 2023'!$D$4:$D$508,$B49,'январь 2023'!$J$4:$J$508,D$1)</f>
        <v>0</v>
      </c>
      <c r="E49" s="207">
        <f>SUMIFS('январь 2023'!$G$4:$G$508,'январь 2023'!$D$4:$D$508,$B49,'январь 2023'!$J$4:$J$508,E$1)</f>
        <v>0</v>
      </c>
      <c r="F49" s="207">
        <f>SUMIFS('январь 2023'!$G$4:$G$508,'январь 2023'!$D$4:$D$508,$B49,'январь 2023'!$J$4:$J$508,F$1)</f>
        <v>0</v>
      </c>
      <c r="G49" s="207">
        <f>SUMIFS('январь 2023'!$G$4:$G$508,'январь 2023'!$D$4:$D$508,$B49,'январь 2023'!$J$4:$J$508,G$1)</f>
        <v>0</v>
      </c>
      <c r="H49" s="207">
        <f>SUMIFS('январь 2023'!$G$4:$G$508,'январь 2023'!$D$4:$D$508,$B49,'январь 2023'!$J$4:$J$508,H$1)</f>
        <v>0</v>
      </c>
      <c r="I49" s="207">
        <f>SUMIFS('январь 2023'!$G$4:$G$508,'январь 2023'!$D$4:$D$508,$B49,'январь 2023'!$J$4:$J$508,I$1)</f>
        <v>0</v>
      </c>
      <c r="J49" s="207">
        <f>SUMIFS('январь 2023'!$G$4:$G$508,'январь 2023'!$D$4:$D$508,$B49,'январь 2023'!$J$4:$J$508,J$1)</f>
        <v>0</v>
      </c>
      <c r="K49" s="207">
        <f>SUMIFS('январь 2023'!$G$4:$G$508,'январь 2023'!$D$4:$D$508,$B49,'январь 2023'!$J$4:$J$508,K$1)</f>
        <v>0</v>
      </c>
      <c r="L49" s="207">
        <f>SUMIFS('январь 2023'!$G$4:$G$508,'январь 2023'!$D$4:$D$508,$B49,'январь 2023'!$J$4:$J$508,L$1)</f>
        <v>0</v>
      </c>
      <c r="M49" s="207">
        <f>SUMIFS('январь 2023'!$G$4:$G$508,'январь 2023'!$D$4:$D$508,$B49,'январь 2023'!$J$4:$J$508,M$1)</f>
        <v>0</v>
      </c>
      <c r="N49" s="207">
        <f>SUMIFS('январь 2023'!$G$4:$G$508,'январь 2023'!$D$4:$D$508,$B49,'январь 2023'!$J$4:$J$508,N$1)</f>
        <v>0</v>
      </c>
      <c r="O49" s="207">
        <f>SUMIFS('январь 2023'!$G$4:$G$508,'январь 2023'!$D$4:$D$508,$B49,'январь 2023'!$J$4:$J$508,O$1)</f>
        <v>0</v>
      </c>
      <c r="P49" s="207">
        <f>SUMIFS('январь 2023'!$G$4:$G$508,'январь 2023'!$D$4:$D$508,$B49,'январь 2023'!$J$4:$J$508,P$1)</f>
        <v>0</v>
      </c>
      <c r="Q49" s="207">
        <f>SUMIFS('январь 2023'!$G$4:$G$508,'январь 2023'!$D$4:$D$508,$B49,'январь 2023'!$J$4:$J$508,Q$1)</f>
        <v>0</v>
      </c>
      <c r="R49" s="207">
        <f>SUMIFS('январь 2023'!$G$4:$G$508,'январь 2023'!$D$4:$D$508,$B49,'январь 2023'!$J$4:$J$508,R$1)</f>
        <v>0</v>
      </c>
      <c r="S49" s="207">
        <f>SUMIFS('январь 2023'!$G$4:$G$508,'январь 2023'!$D$4:$D$508,$B49,'январь 2023'!$J$4:$J$508,S$1)</f>
        <v>0</v>
      </c>
      <c r="T49" s="207">
        <f>SUMIFS('январь 2023'!$G$4:$G$508,'январь 2023'!$D$4:$D$508,$B49,'январь 2023'!$J$4:$J$508,T$1)</f>
        <v>0</v>
      </c>
      <c r="U49" s="207">
        <f>SUMIFS('январь 2023'!$G$4:$G$508,'январь 2023'!$D$4:$D$508,$B49,'январь 2023'!$J$4:$J$508,U$1)</f>
        <v>0</v>
      </c>
      <c r="V49" s="207">
        <f>SUMIFS('январь 2023'!$G$4:$G$508,'январь 2023'!$D$4:$D$508,$B49,'январь 2023'!$J$4:$J$508,V$1)</f>
        <v>0</v>
      </c>
      <c r="W49" s="207">
        <f>SUMIFS('январь 2023'!$G$4:$G$508,'январь 2023'!$D$4:$D$508,$B49,'январь 2023'!$J$4:$J$508,W$1)</f>
        <v>0</v>
      </c>
      <c r="X49" s="207">
        <f>SUMIFS('январь 2023'!$G$4:$G$508,'январь 2023'!$D$4:$D$508,$B49,'январь 2023'!$J$4:$J$508,X$1)</f>
        <v>0</v>
      </c>
      <c r="Y49" s="207">
        <f>SUMIFS('январь 2023'!$G$4:$G$508,'январь 2023'!$D$4:$D$508,$B49,'январь 2023'!$J$4:$J$508,Y$1)</f>
        <v>0</v>
      </c>
      <c r="Z49" s="207">
        <f>SUMIFS('январь 2023'!$G$4:$G$508,'январь 2023'!$D$4:$D$508,$B49,'январь 2023'!$J$4:$J$508,Z$1)</f>
        <v>0</v>
      </c>
      <c r="AA49" s="207">
        <f>SUMIFS('январь 2023'!$G$4:$G$508,'январь 2023'!$D$4:$D$508,$B49,'январь 2023'!$J$4:$J$508,AA$1)</f>
        <v>0</v>
      </c>
      <c r="AB49" s="207">
        <f>SUMIFS('январь 2023'!$G$4:$G$508,'январь 2023'!$D$4:$D$508,$B49,'январь 2023'!$J$4:$J$508,AB$1)</f>
        <v>0</v>
      </c>
      <c r="AC49" s="207">
        <f>SUMIFS('январь 2023'!$G$4:$G$508,'январь 2023'!$D$4:$D$508,$B49,'январь 2023'!$J$4:$J$508,AC$1)</f>
        <v>0</v>
      </c>
      <c r="AD49" s="207">
        <f>SUMIFS('январь 2023'!$G$4:$G$508,'январь 2023'!$D$4:$D$508,$B49,'январь 2023'!$J$4:$J$508,AD$1)</f>
        <v>0</v>
      </c>
      <c r="AE49" s="207">
        <f>SUMIFS('январь 2023'!$G$4:$G$508,'январь 2023'!$D$4:$D$508,$B49,'январь 2023'!$J$4:$J$508,AE$1)</f>
        <v>0</v>
      </c>
      <c r="AF49" s="207">
        <f>SUMIFS('январь 2023'!$G$4:$G$508,'январь 2023'!$D$4:$D$508,$B49,'январь 2023'!$J$4:$J$508,AF$1)</f>
        <v>0</v>
      </c>
      <c r="AG49" s="207">
        <f>SUMIFS('январь 2023'!$G$4:$G$508,'январь 2023'!$D$4:$D$508,$B49,'январь 2023'!$J$4:$J$508,AG$1)</f>
        <v>0</v>
      </c>
      <c r="AH49" s="207">
        <f>SUMIFS('январь 2023'!$G$4:$G$508,'январь 2023'!$D$4:$D$508,$B49,'январь 2023'!$J$4:$J$508,AH$1)</f>
        <v>0</v>
      </c>
      <c r="AI49" s="170">
        <f t="shared" si="1"/>
        <v>0</v>
      </c>
    </row>
    <row r="50" spans="2:35" ht="15" customHeight="1" x14ac:dyDescent="0.25">
      <c r="B50" s="217"/>
      <c r="C50" s="213"/>
      <c r="D50" s="207">
        <f>SUMIFS('январь 2023'!$G$4:$G$508,'январь 2023'!$D$4:$D$508,$B50,'январь 2023'!$J$4:$J$508,D$1)</f>
        <v>0</v>
      </c>
      <c r="E50" s="207">
        <f>SUMIFS('январь 2023'!$G$4:$G$508,'январь 2023'!$D$4:$D$508,$B50,'январь 2023'!$J$4:$J$508,E$1)</f>
        <v>0</v>
      </c>
      <c r="F50" s="207">
        <f>SUMIFS('январь 2023'!$G$4:$G$508,'январь 2023'!$D$4:$D$508,$B50,'январь 2023'!$J$4:$J$508,F$1)</f>
        <v>0</v>
      </c>
      <c r="G50" s="207">
        <f>SUMIFS('январь 2023'!$G$4:$G$508,'январь 2023'!$D$4:$D$508,$B50,'январь 2023'!$J$4:$J$508,G$1)</f>
        <v>0</v>
      </c>
      <c r="H50" s="207">
        <f>SUMIFS('январь 2023'!$G$4:$G$508,'январь 2023'!$D$4:$D$508,$B50,'январь 2023'!$J$4:$J$508,H$1)</f>
        <v>0</v>
      </c>
      <c r="I50" s="207">
        <f>SUMIFS('январь 2023'!$G$4:$G$508,'январь 2023'!$D$4:$D$508,$B50,'январь 2023'!$J$4:$J$508,I$1)</f>
        <v>0</v>
      </c>
      <c r="J50" s="207">
        <f>SUMIFS('январь 2023'!$G$4:$G$508,'январь 2023'!$D$4:$D$508,$B50,'январь 2023'!$J$4:$J$508,J$1)</f>
        <v>0</v>
      </c>
      <c r="K50" s="207">
        <f>SUMIFS('январь 2023'!$G$4:$G$508,'январь 2023'!$D$4:$D$508,$B50,'январь 2023'!$J$4:$J$508,K$1)</f>
        <v>0</v>
      </c>
      <c r="L50" s="207">
        <f>SUMIFS('январь 2023'!$G$4:$G$508,'январь 2023'!$D$4:$D$508,$B50,'январь 2023'!$J$4:$J$508,L$1)</f>
        <v>0</v>
      </c>
      <c r="M50" s="207">
        <f>SUMIFS('январь 2023'!$G$4:$G$508,'январь 2023'!$D$4:$D$508,$B50,'январь 2023'!$J$4:$J$508,M$1)</f>
        <v>0</v>
      </c>
      <c r="N50" s="207">
        <f>SUMIFS('январь 2023'!$G$4:$G$508,'январь 2023'!$D$4:$D$508,$B50,'январь 2023'!$J$4:$J$508,N$1)</f>
        <v>0</v>
      </c>
      <c r="O50" s="207">
        <f>SUMIFS('январь 2023'!$G$4:$G$508,'январь 2023'!$D$4:$D$508,$B50,'январь 2023'!$J$4:$J$508,O$1)</f>
        <v>0</v>
      </c>
      <c r="P50" s="207">
        <f>SUMIFS('январь 2023'!$G$4:$G$508,'январь 2023'!$D$4:$D$508,$B50,'январь 2023'!$J$4:$J$508,P$1)</f>
        <v>0</v>
      </c>
      <c r="Q50" s="207">
        <f>SUMIFS('январь 2023'!$G$4:$G$508,'январь 2023'!$D$4:$D$508,$B50,'январь 2023'!$J$4:$J$508,Q$1)</f>
        <v>0</v>
      </c>
      <c r="R50" s="207">
        <f>SUMIFS('январь 2023'!$G$4:$G$508,'январь 2023'!$D$4:$D$508,$B50,'январь 2023'!$J$4:$J$508,R$1)</f>
        <v>0</v>
      </c>
      <c r="S50" s="207">
        <f>SUMIFS('январь 2023'!$G$4:$G$508,'январь 2023'!$D$4:$D$508,$B50,'январь 2023'!$J$4:$J$508,S$1)</f>
        <v>0</v>
      </c>
      <c r="T50" s="207">
        <f>SUMIFS('январь 2023'!$G$4:$G$508,'январь 2023'!$D$4:$D$508,$B50,'январь 2023'!$J$4:$J$508,T$1)</f>
        <v>0</v>
      </c>
      <c r="U50" s="207">
        <f>SUMIFS('январь 2023'!$G$4:$G$508,'январь 2023'!$D$4:$D$508,$B50,'январь 2023'!$J$4:$J$508,U$1)</f>
        <v>0</v>
      </c>
      <c r="V50" s="207">
        <f>SUMIFS('январь 2023'!$G$4:$G$508,'январь 2023'!$D$4:$D$508,$B50,'январь 2023'!$J$4:$J$508,V$1)</f>
        <v>0</v>
      </c>
      <c r="W50" s="207">
        <f>SUMIFS('январь 2023'!$G$4:$G$508,'январь 2023'!$D$4:$D$508,$B50,'январь 2023'!$J$4:$J$508,W$1)</f>
        <v>0</v>
      </c>
      <c r="X50" s="207">
        <f>SUMIFS('январь 2023'!$G$4:$G$508,'январь 2023'!$D$4:$D$508,$B50,'январь 2023'!$J$4:$J$508,X$1)</f>
        <v>0</v>
      </c>
      <c r="Y50" s="207">
        <f>SUMIFS('январь 2023'!$G$4:$G$508,'январь 2023'!$D$4:$D$508,$B50,'январь 2023'!$J$4:$J$508,Y$1)</f>
        <v>0</v>
      </c>
      <c r="Z50" s="207">
        <f>SUMIFS('январь 2023'!$G$4:$G$508,'январь 2023'!$D$4:$D$508,$B50,'январь 2023'!$J$4:$J$508,Z$1)</f>
        <v>0</v>
      </c>
      <c r="AA50" s="207">
        <f>SUMIFS('январь 2023'!$G$4:$G$508,'январь 2023'!$D$4:$D$508,$B50,'январь 2023'!$J$4:$J$508,AA$1)</f>
        <v>0</v>
      </c>
      <c r="AB50" s="207">
        <f>SUMIFS('январь 2023'!$G$4:$G$508,'январь 2023'!$D$4:$D$508,$B50,'январь 2023'!$J$4:$J$508,AB$1)</f>
        <v>0</v>
      </c>
      <c r="AC50" s="207">
        <f>SUMIFS('январь 2023'!$G$4:$G$508,'январь 2023'!$D$4:$D$508,$B50,'январь 2023'!$J$4:$J$508,AC$1)</f>
        <v>0</v>
      </c>
      <c r="AD50" s="207">
        <f>SUMIFS('январь 2023'!$G$4:$G$508,'январь 2023'!$D$4:$D$508,$B50,'январь 2023'!$J$4:$J$508,AD$1)</f>
        <v>0</v>
      </c>
      <c r="AE50" s="207">
        <f>SUMIFS('январь 2023'!$G$4:$G$508,'январь 2023'!$D$4:$D$508,$B50,'январь 2023'!$J$4:$J$508,AE$1)</f>
        <v>0</v>
      </c>
      <c r="AF50" s="207">
        <f>SUMIFS('январь 2023'!$G$4:$G$508,'январь 2023'!$D$4:$D$508,$B50,'январь 2023'!$J$4:$J$508,AF$1)</f>
        <v>0</v>
      </c>
      <c r="AG50" s="207">
        <f>SUMIFS('январь 2023'!$G$4:$G$508,'январь 2023'!$D$4:$D$508,$B50,'январь 2023'!$J$4:$J$508,AG$1)</f>
        <v>0</v>
      </c>
      <c r="AH50" s="207">
        <f>SUMIFS('январь 2023'!$G$4:$G$508,'январь 2023'!$D$4:$D$508,$B50,'январь 2023'!$J$4:$J$508,AH$1)</f>
        <v>0</v>
      </c>
      <c r="AI50" s="170">
        <f t="shared" si="1"/>
        <v>0</v>
      </c>
    </row>
    <row r="51" spans="2:35" ht="15" customHeight="1" x14ac:dyDescent="0.25">
      <c r="B51" s="217"/>
      <c r="C51" s="213"/>
      <c r="D51" s="207">
        <f>SUMIFS('январь 2023'!$G$4:$G$508,'январь 2023'!$D$4:$D$508,$B51,'январь 2023'!$J$4:$J$508,D$1)</f>
        <v>0</v>
      </c>
      <c r="E51" s="207">
        <f>SUMIFS('январь 2023'!$G$4:$G$508,'январь 2023'!$D$4:$D$508,$B51,'январь 2023'!$J$4:$J$508,E$1)</f>
        <v>0</v>
      </c>
      <c r="F51" s="207">
        <f>SUMIFS('январь 2023'!$G$4:$G$508,'январь 2023'!$D$4:$D$508,$B51,'январь 2023'!$J$4:$J$508,F$1)</f>
        <v>0</v>
      </c>
      <c r="G51" s="207">
        <f>SUMIFS('январь 2023'!$G$4:$G$508,'январь 2023'!$D$4:$D$508,$B51,'январь 2023'!$J$4:$J$508,G$1)</f>
        <v>0</v>
      </c>
      <c r="H51" s="207">
        <f>SUMIFS('январь 2023'!$G$4:$G$508,'январь 2023'!$D$4:$D$508,$B51,'январь 2023'!$J$4:$J$508,H$1)</f>
        <v>0</v>
      </c>
      <c r="I51" s="207">
        <f>SUMIFS('январь 2023'!$G$4:$G$508,'январь 2023'!$D$4:$D$508,$B51,'январь 2023'!$J$4:$J$508,I$1)</f>
        <v>0</v>
      </c>
      <c r="J51" s="207">
        <f>SUMIFS('январь 2023'!$G$4:$G$508,'январь 2023'!$D$4:$D$508,$B51,'январь 2023'!$J$4:$J$508,J$1)</f>
        <v>0</v>
      </c>
      <c r="K51" s="207">
        <f>SUMIFS('январь 2023'!$G$4:$G$508,'январь 2023'!$D$4:$D$508,$B51,'январь 2023'!$J$4:$J$508,K$1)</f>
        <v>0</v>
      </c>
      <c r="L51" s="207">
        <f>SUMIFS('январь 2023'!$G$4:$G$508,'январь 2023'!$D$4:$D$508,$B51,'январь 2023'!$J$4:$J$508,L$1)</f>
        <v>0</v>
      </c>
      <c r="M51" s="207">
        <f>SUMIFS('январь 2023'!$G$4:$G$508,'январь 2023'!$D$4:$D$508,$B51,'январь 2023'!$J$4:$J$508,M$1)</f>
        <v>0</v>
      </c>
      <c r="N51" s="207">
        <f>SUMIFS('январь 2023'!$G$4:$G$508,'январь 2023'!$D$4:$D$508,$B51,'январь 2023'!$J$4:$J$508,N$1)</f>
        <v>0</v>
      </c>
      <c r="O51" s="207">
        <f>SUMIFS('январь 2023'!$G$4:$G$508,'январь 2023'!$D$4:$D$508,$B51,'январь 2023'!$J$4:$J$508,O$1)</f>
        <v>0</v>
      </c>
      <c r="P51" s="207">
        <f>SUMIFS('январь 2023'!$G$4:$G$508,'январь 2023'!$D$4:$D$508,$B51,'январь 2023'!$J$4:$J$508,P$1)</f>
        <v>0</v>
      </c>
      <c r="Q51" s="207">
        <f>SUMIFS('январь 2023'!$G$4:$G$508,'январь 2023'!$D$4:$D$508,$B51,'январь 2023'!$J$4:$J$508,Q$1)</f>
        <v>0</v>
      </c>
      <c r="R51" s="207">
        <f>SUMIFS('январь 2023'!$G$4:$G$508,'январь 2023'!$D$4:$D$508,$B51,'январь 2023'!$J$4:$J$508,R$1)</f>
        <v>0</v>
      </c>
      <c r="S51" s="207">
        <f>SUMIFS('январь 2023'!$G$4:$G$508,'январь 2023'!$D$4:$D$508,$B51,'январь 2023'!$J$4:$J$508,S$1)</f>
        <v>0</v>
      </c>
      <c r="T51" s="207">
        <f>SUMIFS('январь 2023'!$G$4:$G$508,'январь 2023'!$D$4:$D$508,$B51,'январь 2023'!$J$4:$J$508,T$1)</f>
        <v>0</v>
      </c>
      <c r="U51" s="207">
        <f>SUMIFS('январь 2023'!$G$4:$G$508,'январь 2023'!$D$4:$D$508,$B51,'январь 2023'!$J$4:$J$508,U$1)</f>
        <v>0</v>
      </c>
      <c r="V51" s="207">
        <f>SUMIFS('январь 2023'!$G$4:$G$508,'январь 2023'!$D$4:$D$508,$B51,'январь 2023'!$J$4:$J$508,V$1)</f>
        <v>0</v>
      </c>
      <c r="W51" s="207">
        <f>SUMIFS('январь 2023'!$G$4:$G$508,'январь 2023'!$D$4:$D$508,$B51,'январь 2023'!$J$4:$J$508,W$1)</f>
        <v>0</v>
      </c>
      <c r="X51" s="207">
        <f>SUMIFS('январь 2023'!$G$4:$G$508,'январь 2023'!$D$4:$D$508,$B51,'январь 2023'!$J$4:$J$508,X$1)</f>
        <v>0</v>
      </c>
      <c r="Y51" s="207">
        <f>SUMIFS('январь 2023'!$G$4:$G$508,'январь 2023'!$D$4:$D$508,$B51,'январь 2023'!$J$4:$J$508,Y$1)</f>
        <v>0</v>
      </c>
      <c r="Z51" s="207">
        <f>SUMIFS('январь 2023'!$G$4:$G$508,'январь 2023'!$D$4:$D$508,$B51,'январь 2023'!$J$4:$J$508,Z$1)</f>
        <v>0</v>
      </c>
      <c r="AA51" s="207">
        <f>SUMIFS('январь 2023'!$G$4:$G$508,'январь 2023'!$D$4:$D$508,$B51,'январь 2023'!$J$4:$J$508,AA$1)</f>
        <v>0</v>
      </c>
      <c r="AB51" s="207">
        <f>SUMIFS('январь 2023'!$G$4:$G$508,'январь 2023'!$D$4:$D$508,$B51,'январь 2023'!$J$4:$J$508,AB$1)</f>
        <v>0</v>
      </c>
      <c r="AC51" s="207">
        <f>SUMIFS('январь 2023'!$G$4:$G$508,'январь 2023'!$D$4:$D$508,$B51,'январь 2023'!$J$4:$J$508,AC$1)</f>
        <v>0</v>
      </c>
      <c r="AD51" s="207">
        <f>SUMIFS('январь 2023'!$G$4:$G$508,'январь 2023'!$D$4:$D$508,$B51,'январь 2023'!$J$4:$J$508,AD$1)</f>
        <v>0</v>
      </c>
      <c r="AE51" s="207">
        <f>SUMIFS('январь 2023'!$G$4:$G$508,'январь 2023'!$D$4:$D$508,$B51,'январь 2023'!$J$4:$J$508,AE$1)</f>
        <v>0</v>
      </c>
      <c r="AF51" s="207">
        <f>SUMIFS('январь 2023'!$G$4:$G$508,'январь 2023'!$D$4:$D$508,$B51,'январь 2023'!$J$4:$J$508,AF$1)</f>
        <v>0</v>
      </c>
      <c r="AG51" s="207">
        <f>SUMIFS('январь 2023'!$G$4:$G$508,'январь 2023'!$D$4:$D$508,$B51,'январь 2023'!$J$4:$J$508,AG$1)</f>
        <v>0</v>
      </c>
      <c r="AH51" s="207">
        <f>SUMIFS('январь 2023'!$G$4:$G$508,'январь 2023'!$D$4:$D$508,$B51,'январь 2023'!$J$4:$J$508,AH$1)</f>
        <v>0</v>
      </c>
      <c r="AI51" s="170">
        <f t="shared" si="1"/>
        <v>0</v>
      </c>
    </row>
    <row r="52" spans="2:35" ht="15" customHeight="1" x14ac:dyDescent="0.25">
      <c r="B52" s="217" t="s">
        <v>2141</v>
      </c>
      <c r="C52" s="213">
        <v>200</v>
      </c>
      <c r="D52" s="207">
        <f>SUMIFS('январь 2023'!$G$4:$G$508,'январь 2023'!$D$4:$D$508,$B52,'январь 2023'!$J$4:$J$508,D$1)</f>
        <v>0</v>
      </c>
      <c r="E52" s="207">
        <f>SUMIFS('январь 2023'!$G$4:$G$508,'январь 2023'!$D$4:$D$508,$B52,'январь 2023'!$J$4:$J$508,E$1)</f>
        <v>0</v>
      </c>
      <c r="F52" s="207">
        <f>SUMIFS('январь 2023'!$G$4:$G$508,'январь 2023'!$D$4:$D$508,$B52,'январь 2023'!$J$4:$J$508,F$1)</f>
        <v>0</v>
      </c>
      <c r="G52" s="207">
        <f>SUMIFS('январь 2023'!$G$4:$G$508,'январь 2023'!$D$4:$D$508,$B52,'январь 2023'!$J$4:$J$508,G$1)</f>
        <v>0</v>
      </c>
      <c r="H52" s="207">
        <f>SUMIFS('январь 2023'!$G$4:$G$508,'январь 2023'!$D$4:$D$508,$B52,'январь 2023'!$J$4:$J$508,H$1)</f>
        <v>0</v>
      </c>
      <c r="I52" s="207">
        <f>SUMIFS('январь 2023'!$G$4:$G$508,'январь 2023'!$D$4:$D$508,$B52,'январь 2023'!$J$4:$J$508,I$1)</f>
        <v>0</v>
      </c>
      <c r="J52" s="207">
        <f>SUMIFS('январь 2023'!$G$4:$G$508,'январь 2023'!$D$4:$D$508,$B52,'январь 2023'!$J$4:$J$508,J$1)</f>
        <v>0</v>
      </c>
      <c r="K52" s="207">
        <f>SUMIFS('январь 2023'!$G$4:$G$508,'январь 2023'!$D$4:$D$508,$B52,'январь 2023'!$J$4:$J$508,K$1)</f>
        <v>0</v>
      </c>
      <c r="L52" s="207">
        <f>SUMIFS('январь 2023'!$G$4:$G$508,'январь 2023'!$D$4:$D$508,$B52,'январь 2023'!$J$4:$J$508,L$1)</f>
        <v>0</v>
      </c>
      <c r="M52" s="207">
        <f>SUMIFS('январь 2023'!$G$4:$G$508,'январь 2023'!$D$4:$D$508,$B52,'январь 2023'!$J$4:$J$508,M$1)</f>
        <v>0</v>
      </c>
      <c r="N52" s="207">
        <f>SUMIFS('январь 2023'!$G$4:$G$508,'январь 2023'!$D$4:$D$508,$B52,'январь 2023'!$J$4:$J$508,N$1)</f>
        <v>0</v>
      </c>
      <c r="O52" s="207">
        <f>SUMIFS('январь 2023'!$G$4:$G$508,'январь 2023'!$D$4:$D$508,$B52,'январь 2023'!$J$4:$J$508,O$1)</f>
        <v>0</v>
      </c>
      <c r="P52" s="207">
        <f>SUMIFS('январь 2023'!$G$4:$G$508,'январь 2023'!$D$4:$D$508,$B52,'январь 2023'!$J$4:$J$508,P$1)</f>
        <v>0</v>
      </c>
      <c r="Q52" s="207">
        <f>SUMIFS('январь 2023'!$G$4:$G$508,'январь 2023'!$D$4:$D$508,$B52,'январь 2023'!$J$4:$J$508,Q$1)</f>
        <v>0</v>
      </c>
      <c r="R52" s="207">
        <f>SUMIFS('январь 2023'!$G$4:$G$508,'январь 2023'!$D$4:$D$508,$B52,'январь 2023'!$J$4:$J$508,R$1)</f>
        <v>0</v>
      </c>
      <c r="S52" s="207">
        <f>SUMIFS('январь 2023'!$G$4:$G$508,'январь 2023'!$D$4:$D$508,$B52,'январь 2023'!$J$4:$J$508,S$1)</f>
        <v>0</v>
      </c>
      <c r="T52" s="207">
        <f>SUMIFS('январь 2023'!$G$4:$G$508,'январь 2023'!$D$4:$D$508,$B52,'январь 2023'!$J$4:$J$508,T$1)</f>
        <v>0</v>
      </c>
      <c r="U52" s="207">
        <f>SUMIFS('январь 2023'!$G$4:$G$508,'январь 2023'!$D$4:$D$508,$B52,'январь 2023'!$J$4:$J$508,U$1)</f>
        <v>0</v>
      </c>
      <c r="V52" s="207">
        <f>SUMIFS('январь 2023'!$G$4:$G$508,'январь 2023'!$D$4:$D$508,$B52,'январь 2023'!$J$4:$J$508,V$1)</f>
        <v>0</v>
      </c>
      <c r="W52" s="207">
        <f>SUMIFS('январь 2023'!$G$4:$G$508,'январь 2023'!$D$4:$D$508,$B52,'январь 2023'!$J$4:$J$508,W$1)</f>
        <v>0</v>
      </c>
      <c r="X52" s="207">
        <f>SUMIFS('январь 2023'!$G$4:$G$508,'январь 2023'!$D$4:$D$508,$B52,'январь 2023'!$J$4:$J$508,X$1)</f>
        <v>0</v>
      </c>
      <c r="Y52" s="207">
        <f>SUMIFS('январь 2023'!$G$4:$G$508,'январь 2023'!$D$4:$D$508,$B52,'январь 2023'!$J$4:$J$508,Y$1)</f>
        <v>0</v>
      </c>
      <c r="Z52" s="207">
        <f>SUMIFS('январь 2023'!$G$4:$G$508,'январь 2023'!$D$4:$D$508,$B52,'январь 2023'!$J$4:$J$508,Z$1)</f>
        <v>0</v>
      </c>
      <c r="AA52" s="207">
        <f>SUMIFS('январь 2023'!$G$4:$G$508,'январь 2023'!$D$4:$D$508,$B52,'январь 2023'!$J$4:$J$508,AA$1)</f>
        <v>0</v>
      </c>
      <c r="AB52" s="207">
        <f>SUMIFS('январь 2023'!$G$4:$G$508,'январь 2023'!$D$4:$D$508,$B52,'январь 2023'!$J$4:$J$508,AB$1)</f>
        <v>0</v>
      </c>
      <c r="AC52" s="207">
        <f>SUMIFS('январь 2023'!$G$4:$G$508,'январь 2023'!$D$4:$D$508,$B52,'январь 2023'!$J$4:$J$508,AC$1)</f>
        <v>0</v>
      </c>
      <c r="AD52" s="207">
        <f>SUMIFS('январь 2023'!$G$4:$G$508,'январь 2023'!$D$4:$D$508,$B52,'январь 2023'!$J$4:$J$508,AD$1)</f>
        <v>0</v>
      </c>
      <c r="AE52" s="207">
        <f>SUMIFS('январь 2023'!$G$4:$G$508,'январь 2023'!$D$4:$D$508,$B52,'январь 2023'!$J$4:$J$508,AE$1)</f>
        <v>0</v>
      </c>
      <c r="AF52" s="207">
        <f>SUMIFS('январь 2023'!$G$4:$G$508,'январь 2023'!$D$4:$D$508,$B52,'январь 2023'!$J$4:$J$508,AF$1)</f>
        <v>0</v>
      </c>
      <c r="AG52" s="207">
        <f>SUMIFS('январь 2023'!$G$4:$G$508,'январь 2023'!$D$4:$D$508,$B52,'январь 2023'!$J$4:$J$508,AG$1)</f>
        <v>0</v>
      </c>
      <c r="AH52" s="207">
        <f>SUMIFS('январь 2023'!$G$4:$G$508,'январь 2023'!$D$4:$D$508,$B52,'январь 2023'!$J$4:$J$508,AH$1)</f>
        <v>0</v>
      </c>
      <c r="AI52" s="170">
        <f t="shared" si="1"/>
        <v>0</v>
      </c>
    </row>
    <row r="53" spans="2:35" ht="15" customHeight="1" x14ac:dyDescent="0.25">
      <c r="B53" s="217" t="s">
        <v>110</v>
      </c>
      <c r="C53" s="213">
        <v>200</v>
      </c>
      <c r="D53" s="207">
        <f>SUMIFS('январь 2023'!$G$4:$G$508,'январь 2023'!$D$4:$D$508,$B53,'январь 2023'!$J$4:$J$508,D$1)</f>
        <v>0</v>
      </c>
      <c r="E53" s="207">
        <f>SUMIFS('январь 2023'!$G$4:$G$508,'январь 2023'!$D$4:$D$508,$B53,'январь 2023'!$J$4:$J$508,E$1)</f>
        <v>0</v>
      </c>
      <c r="F53" s="207">
        <f>SUMIFS('январь 2023'!$G$4:$G$508,'январь 2023'!$D$4:$D$508,$B53,'январь 2023'!$J$4:$J$508,F$1)</f>
        <v>0</v>
      </c>
      <c r="G53" s="207">
        <f>SUMIFS('январь 2023'!$G$4:$G$508,'январь 2023'!$D$4:$D$508,$B53,'январь 2023'!$J$4:$J$508,G$1)</f>
        <v>0</v>
      </c>
      <c r="H53" s="207">
        <f>SUMIFS('январь 2023'!$G$4:$G$508,'январь 2023'!$D$4:$D$508,$B53,'январь 2023'!$J$4:$J$508,H$1)</f>
        <v>0</v>
      </c>
      <c r="I53" s="207">
        <f>SUMIFS('январь 2023'!$G$4:$G$508,'январь 2023'!$D$4:$D$508,$B53,'январь 2023'!$J$4:$J$508,I$1)</f>
        <v>0</v>
      </c>
      <c r="J53" s="207">
        <f>SUMIFS('январь 2023'!$G$4:$G$508,'январь 2023'!$D$4:$D$508,$B53,'январь 2023'!$J$4:$J$508,J$1)</f>
        <v>0</v>
      </c>
      <c r="K53" s="207">
        <f>SUMIFS('январь 2023'!$G$4:$G$508,'январь 2023'!$D$4:$D$508,$B53,'январь 2023'!$J$4:$J$508,K$1)</f>
        <v>0</v>
      </c>
      <c r="L53" s="207">
        <f>SUMIFS('январь 2023'!$G$4:$G$508,'январь 2023'!$D$4:$D$508,$B53,'январь 2023'!$J$4:$J$508,L$1)</f>
        <v>0</v>
      </c>
      <c r="M53" s="207">
        <f>SUMIFS('январь 2023'!$G$4:$G$508,'январь 2023'!$D$4:$D$508,$B53,'январь 2023'!$J$4:$J$508,M$1)</f>
        <v>0</v>
      </c>
      <c r="N53" s="207">
        <f>SUMIFS('январь 2023'!$G$4:$G$508,'январь 2023'!$D$4:$D$508,$B53,'январь 2023'!$J$4:$J$508,N$1)</f>
        <v>0</v>
      </c>
      <c r="O53" s="207">
        <f>SUMIFS('январь 2023'!$G$4:$G$508,'январь 2023'!$D$4:$D$508,$B53,'январь 2023'!$J$4:$J$508,O$1)</f>
        <v>0</v>
      </c>
      <c r="P53" s="207">
        <f>SUMIFS('январь 2023'!$G$4:$G$508,'январь 2023'!$D$4:$D$508,$B53,'январь 2023'!$J$4:$J$508,P$1)</f>
        <v>0</v>
      </c>
      <c r="Q53" s="207">
        <f>SUMIFS('январь 2023'!$G$4:$G$508,'январь 2023'!$D$4:$D$508,$B53,'январь 2023'!$J$4:$J$508,Q$1)</f>
        <v>0</v>
      </c>
      <c r="R53" s="207">
        <f>SUMIFS('январь 2023'!$G$4:$G$508,'январь 2023'!$D$4:$D$508,$B53,'январь 2023'!$J$4:$J$508,R$1)</f>
        <v>0</v>
      </c>
      <c r="S53" s="207">
        <f>SUMIFS('январь 2023'!$G$4:$G$508,'январь 2023'!$D$4:$D$508,$B53,'январь 2023'!$J$4:$J$508,S$1)</f>
        <v>0</v>
      </c>
      <c r="T53" s="207">
        <f>SUMIFS('январь 2023'!$G$4:$G$508,'январь 2023'!$D$4:$D$508,$B53,'январь 2023'!$J$4:$J$508,T$1)</f>
        <v>0</v>
      </c>
      <c r="U53" s="207">
        <f>SUMIFS('январь 2023'!$G$4:$G$508,'январь 2023'!$D$4:$D$508,$B53,'январь 2023'!$J$4:$J$508,U$1)</f>
        <v>0</v>
      </c>
      <c r="V53" s="207">
        <f>SUMIFS('январь 2023'!$G$4:$G$508,'январь 2023'!$D$4:$D$508,$B53,'январь 2023'!$J$4:$J$508,V$1)</f>
        <v>0</v>
      </c>
      <c r="W53" s="207">
        <f>SUMIFS('январь 2023'!$G$4:$G$508,'январь 2023'!$D$4:$D$508,$B53,'январь 2023'!$J$4:$J$508,W$1)</f>
        <v>0</v>
      </c>
      <c r="X53" s="207">
        <f>SUMIFS('январь 2023'!$G$4:$G$508,'январь 2023'!$D$4:$D$508,$B53,'январь 2023'!$J$4:$J$508,X$1)</f>
        <v>0</v>
      </c>
      <c r="Y53" s="207">
        <f>SUMIFS('январь 2023'!$G$4:$G$508,'январь 2023'!$D$4:$D$508,$B53,'январь 2023'!$J$4:$J$508,Y$1)</f>
        <v>0</v>
      </c>
      <c r="Z53" s="207">
        <f>SUMIFS('январь 2023'!$G$4:$G$508,'январь 2023'!$D$4:$D$508,$B53,'январь 2023'!$J$4:$J$508,Z$1)</f>
        <v>0</v>
      </c>
      <c r="AA53" s="207">
        <f>SUMIFS('январь 2023'!$G$4:$G$508,'январь 2023'!$D$4:$D$508,$B53,'январь 2023'!$J$4:$J$508,AA$1)</f>
        <v>0</v>
      </c>
      <c r="AB53" s="207">
        <f>SUMIFS('январь 2023'!$G$4:$G$508,'январь 2023'!$D$4:$D$508,$B53,'январь 2023'!$J$4:$J$508,AB$1)</f>
        <v>0</v>
      </c>
      <c r="AC53" s="207">
        <f>SUMIFS('январь 2023'!$G$4:$G$508,'январь 2023'!$D$4:$D$508,$B53,'январь 2023'!$J$4:$J$508,AC$1)</f>
        <v>0</v>
      </c>
      <c r="AD53" s="207">
        <f>SUMIFS('январь 2023'!$G$4:$G$508,'январь 2023'!$D$4:$D$508,$B53,'январь 2023'!$J$4:$J$508,AD$1)</f>
        <v>0</v>
      </c>
      <c r="AE53" s="207">
        <f>SUMIFS('январь 2023'!$G$4:$G$508,'январь 2023'!$D$4:$D$508,$B53,'январь 2023'!$J$4:$J$508,AE$1)</f>
        <v>0</v>
      </c>
      <c r="AF53" s="207">
        <f>SUMIFS('январь 2023'!$G$4:$G$508,'январь 2023'!$D$4:$D$508,$B53,'январь 2023'!$J$4:$J$508,AF$1)</f>
        <v>0</v>
      </c>
      <c r="AG53" s="207">
        <f>SUMIFS('январь 2023'!$G$4:$G$508,'январь 2023'!$D$4:$D$508,$B53,'январь 2023'!$J$4:$J$508,AG$1)</f>
        <v>0</v>
      </c>
      <c r="AH53" s="207">
        <f>SUMIFS('январь 2023'!$G$4:$G$508,'январь 2023'!$D$4:$D$508,$B53,'январь 2023'!$J$4:$J$508,AH$1)</f>
        <v>0</v>
      </c>
      <c r="AI53" s="170">
        <f t="shared" si="1"/>
        <v>0</v>
      </c>
    </row>
    <row r="54" spans="2:35" ht="15" customHeight="1" x14ac:dyDescent="0.25">
      <c r="B54" s="216"/>
      <c r="C54" s="213"/>
      <c r="D54" s="207">
        <f>SUMIFS('январь 2023'!$G$4:$G$508,'январь 2023'!$D$4:$D$508,$B54,'январь 2023'!$J$4:$J$508,D$1)</f>
        <v>0</v>
      </c>
      <c r="E54" s="207">
        <f>SUMIFS('январь 2023'!$G$4:$G$508,'январь 2023'!$D$4:$D$508,$B54,'январь 2023'!$J$4:$J$508,E$1)</f>
        <v>0</v>
      </c>
      <c r="F54" s="207">
        <f>SUMIFS('январь 2023'!$G$4:$G$508,'январь 2023'!$D$4:$D$508,$B54,'январь 2023'!$J$4:$J$508,F$1)</f>
        <v>0</v>
      </c>
      <c r="G54" s="207">
        <f>SUMIFS('январь 2023'!$G$4:$G$508,'январь 2023'!$D$4:$D$508,$B54,'январь 2023'!$J$4:$J$508,G$1)</f>
        <v>0</v>
      </c>
      <c r="H54" s="207">
        <f>SUMIFS('январь 2023'!$G$4:$G$508,'январь 2023'!$D$4:$D$508,$B54,'январь 2023'!$J$4:$J$508,H$1)</f>
        <v>0</v>
      </c>
      <c r="I54" s="207">
        <f>SUMIFS('январь 2023'!$G$4:$G$508,'январь 2023'!$D$4:$D$508,$B54,'январь 2023'!$J$4:$J$508,I$1)</f>
        <v>0</v>
      </c>
      <c r="J54" s="207">
        <f>SUMIFS('январь 2023'!$G$4:$G$508,'январь 2023'!$D$4:$D$508,$B54,'январь 2023'!$J$4:$J$508,J$1)</f>
        <v>0</v>
      </c>
      <c r="K54" s="207">
        <f>SUMIFS('январь 2023'!$G$4:$G$508,'январь 2023'!$D$4:$D$508,$B54,'январь 2023'!$J$4:$J$508,K$1)</f>
        <v>0</v>
      </c>
      <c r="L54" s="207">
        <f>SUMIFS('январь 2023'!$G$4:$G$508,'январь 2023'!$D$4:$D$508,$B54,'январь 2023'!$J$4:$J$508,L$1)</f>
        <v>0</v>
      </c>
      <c r="M54" s="207">
        <f>SUMIFS('январь 2023'!$G$4:$G$508,'январь 2023'!$D$4:$D$508,$B54,'январь 2023'!$J$4:$J$508,M$1)</f>
        <v>0</v>
      </c>
      <c r="N54" s="207">
        <f>SUMIFS('январь 2023'!$G$4:$G$508,'январь 2023'!$D$4:$D$508,$B54,'январь 2023'!$J$4:$J$508,N$1)</f>
        <v>0</v>
      </c>
      <c r="O54" s="207">
        <f>SUMIFS('январь 2023'!$G$4:$G$508,'январь 2023'!$D$4:$D$508,$B54,'январь 2023'!$J$4:$J$508,O$1)</f>
        <v>0</v>
      </c>
      <c r="P54" s="207">
        <f>SUMIFS('январь 2023'!$G$4:$G$508,'январь 2023'!$D$4:$D$508,$B54,'январь 2023'!$J$4:$J$508,P$1)</f>
        <v>0</v>
      </c>
      <c r="Q54" s="207">
        <f>SUMIFS('январь 2023'!$G$4:$G$508,'январь 2023'!$D$4:$D$508,$B54,'январь 2023'!$J$4:$J$508,Q$1)</f>
        <v>0</v>
      </c>
      <c r="R54" s="207">
        <f>SUMIFS('январь 2023'!$G$4:$G$508,'январь 2023'!$D$4:$D$508,$B54,'январь 2023'!$J$4:$J$508,R$1)</f>
        <v>0</v>
      </c>
      <c r="S54" s="207">
        <f>SUMIFS('январь 2023'!$G$4:$G$508,'январь 2023'!$D$4:$D$508,$B54,'январь 2023'!$J$4:$J$508,S$1)</f>
        <v>0</v>
      </c>
      <c r="T54" s="207">
        <f>SUMIFS('январь 2023'!$G$4:$G$508,'январь 2023'!$D$4:$D$508,$B54,'январь 2023'!$J$4:$J$508,T$1)</f>
        <v>0</v>
      </c>
      <c r="U54" s="207">
        <f>SUMIFS('январь 2023'!$G$4:$G$508,'январь 2023'!$D$4:$D$508,$B54,'январь 2023'!$J$4:$J$508,U$1)</f>
        <v>0</v>
      </c>
      <c r="V54" s="207">
        <f>SUMIFS('январь 2023'!$G$4:$G$508,'январь 2023'!$D$4:$D$508,$B54,'январь 2023'!$J$4:$J$508,V$1)</f>
        <v>0</v>
      </c>
      <c r="W54" s="207">
        <f>SUMIFS('январь 2023'!$G$4:$G$508,'январь 2023'!$D$4:$D$508,$B54,'январь 2023'!$J$4:$J$508,W$1)</f>
        <v>0</v>
      </c>
      <c r="X54" s="207">
        <f>SUMIFS('январь 2023'!$G$4:$G$508,'январь 2023'!$D$4:$D$508,$B54,'январь 2023'!$J$4:$J$508,X$1)</f>
        <v>0</v>
      </c>
      <c r="Y54" s="207">
        <f>SUMIFS('январь 2023'!$G$4:$G$508,'январь 2023'!$D$4:$D$508,$B54,'январь 2023'!$J$4:$J$508,Y$1)</f>
        <v>0</v>
      </c>
      <c r="Z54" s="207">
        <f>SUMIFS('январь 2023'!$G$4:$G$508,'январь 2023'!$D$4:$D$508,$B54,'январь 2023'!$J$4:$J$508,Z$1)</f>
        <v>0</v>
      </c>
      <c r="AA54" s="207">
        <f>SUMIFS('январь 2023'!$G$4:$G$508,'январь 2023'!$D$4:$D$508,$B54,'январь 2023'!$J$4:$J$508,AA$1)</f>
        <v>0</v>
      </c>
      <c r="AB54" s="207">
        <f>SUMIFS('январь 2023'!$G$4:$G$508,'январь 2023'!$D$4:$D$508,$B54,'январь 2023'!$J$4:$J$508,AB$1)</f>
        <v>0</v>
      </c>
      <c r="AC54" s="207">
        <f>SUMIFS('январь 2023'!$G$4:$G$508,'январь 2023'!$D$4:$D$508,$B54,'январь 2023'!$J$4:$J$508,AC$1)</f>
        <v>0</v>
      </c>
      <c r="AD54" s="207">
        <f>SUMIFS('январь 2023'!$G$4:$G$508,'январь 2023'!$D$4:$D$508,$B54,'январь 2023'!$J$4:$J$508,AD$1)</f>
        <v>0</v>
      </c>
      <c r="AE54" s="207">
        <f>SUMIFS('январь 2023'!$G$4:$G$508,'январь 2023'!$D$4:$D$508,$B54,'январь 2023'!$J$4:$J$508,AE$1)</f>
        <v>0</v>
      </c>
      <c r="AF54" s="207">
        <f>SUMIFS('январь 2023'!$G$4:$G$508,'январь 2023'!$D$4:$D$508,$B54,'январь 2023'!$J$4:$J$508,AF$1)</f>
        <v>0</v>
      </c>
      <c r="AG54" s="207">
        <f>SUMIFS('январь 2023'!$G$4:$G$508,'январь 2023'!$D$4:$D$508,$B54,'январь 2023'!$J$4:$J$508,AG$1)</f>
        <v>0</v>
      </c>
      <c r="AH54" s="207">
        <f>SUMIFS('январь 2023'!$G$4:$G$508,'январь 2023'!$D$4:$D$508,$B54,'январь 2023'!$J$4:$J$508,AH$1)</f>
        <v>0</v>
      </c>
      <c r="AI54" s="170">
        <f t="shared" si="1"/>
        <v>0</v>
      </c>
    </row>
    <row r="55" spans="2:35" ht="15" customHeight="1" x14ac:dyDescent="0.25">
      <c r="B55" s="216" t="s">
        <v>1897</v>
      </c>
      <c r="C55" s="213">
        <v>200</v>
      </c>
      <c r="D55" s="207">
        <f>SUMIFS('январь 2023'!$G$4:$G$508,'январь 2023'!$D$4:$D$508,$B55,'январь 2023'!$J$4:$J$508,D$1)</f>
        <v>0</v>
      </c>
      <c r="E55" s="207">
        <f>SUMIFS('январь 2023'!$G$4:$G$508,'январь 2023'!$D$4:$D$508,$B55,'январь 2023'!$J$4:$J$508,E$1)</f>
        <v>0</v>
      </c>
      <c r="F55" s="207">
        <f>SUMIFS('январь 2023'!$G$4:$G$508,'январь 2023'!$D$4:$D$508,$B55,'январь 2023'!$J$4:$J$508,F$1)</f>
        <v>0</v>
      </c>
      <c r="G55" s="207">
        <f>SUMIFS('январь 2023'!$G$4:$G$508,'январь 2023'!$D$4:$D$508,$B55,'январь 2023'!$J$4:$J$508,G$1)</f>
        <v>0</v>
      </c>
      <c r="H55" s="207">
        <f>SUMIFS('январь 2023'!$G$4:$G$508,'январь 2023'!$D$4:$D$508,$B55,'январь 2023'!$J$4:$J$508,H$1)</f>
        <v>0</v>
      </c>
      <c r="I55" s="207">
        <f>SUMIFS('январь 2023'!$G$4:$G$508,'январь 2023'!$D$4:$D$508,$B55,'январь 2023'!$J$4:$J$508,I$1)</f>
        <v>0</v>
      </c>
      <c r="J55" s="207">
        <f>SUMIFS('январь 2023'!$G$4:$G$508,'январь 2023'!$D$4:$D$508,$B55,'январь 2023'!$J$4:$J$508,J$1)</f>
        <v>0</v>
      </c>
      <c r="K55" s="207">
        <f>SUMIFS('январь 2023'!$G$4:$G$508,'январь 2023'!$D$4:$D$508,$B55,'январь 2023'!$J$4:$J$508,K$1)</f>
        <v>0</v>
      </c>
      <c r="L55" s="207">
        <f>SUMIFS('январь 2023'!$G$4:$G$508,'январь 2023'!$D$4:$D$508,$B55,'январь 2023'!$J$4:$J$508,L$1)</f>
        <v>0</v>
      </c>
      <c r="M55" s="207">
        <f>SUMIFS('январь 2023'!$G$4:$G$508,'январь 2023'!$D$4:$D$508,$B55,'январь 2023'!$J$4:$J$508,M$1)</f>
        <v>0</v>
      </c>
      <c r="N55" s="207">
        <f>SUMIFS('январь 2023'!$G$4:$G$508,'январь 2023'!$D$4:$D$508,$B55,'январь 2023'!$J$4:$J$508,N$1)</f>
        <v>0</v>
      </c>
      <c r="O55" s="207">
        <f>SUMIFS('январь 2023'!$G$4:$G$508,'январь 2023'!$D$4:$D$508,$B55,'январь 2023'!$J$4:$J$508,O$1)</f>
        <v>0</v>
      </c>
      <c r="P55" s="207">
        <f>SUMIFS('январь 2023'!$G$4:$G$508,'январь 2023'!$D$4:$D$508,$B55,'январь 2023'!$J$4:$J$508,P$1)</f>
        <v>0</v>
      </c>
      <c r="Q55" s="207">
        <f>SUMIFS('январь 2023'!$G$4:$G$508,'январь 2023'!$D$4:$D$508,$B55,'январь 2023'!$J$4:$J$508,Q$1)</f>
        <v>0</v>
      </c>
      <c r="R55" s="207">
        <f>SUMIFS('январь 2023'!$G$4:$G$508,'январь 2023'!$D$4:$D$508,$B55,'январь 2023'!$J$4:$J$508,R$1)</f>
        <v>0</v>
      </c>
      <c r="S55" s="207">
        <f>SUMIFS('январь 2023'!$G$4:$G$508,'январь 2023'!$D$4:$D$508,$B55,'январь 2023'!$J$4:$J$508,S$1)</f>
        <v>0</v>
      </c>
      <c r="T55" s="207">
        <f>SUMIFS('январь 2023'!$G$4:$G$508,'январь 2023'!$D$4:$D$508,$B55,'январь 2023'!$J$4:$J$508,T$1)</f>
        <v>0</v>
      </c>
      <c r="U55" s="207">
        <f>SUMIFS('январь 2023'!$G$4:$G$508,'январь 2023'!$D$4:$D$508,$B55,'январь 2023'!$J$4:$J$508,U$1)</f>
        <v>0</v>
      </c>
      <c r="V55" s="207">
        <f>SUMIFS('январь 2023'!$G$4:$G$508,'январь 2023'!$D$4:$D$508,$B55,'январь 2023'!$J$4:$J$508,V$1)</f>
        <v>0</v>
      </c>
      <c r="W55" s="207">
        <f>SUMIFS('январь 2023'!$G$4:$G$508,'январь 2023'!$D$4:$D$508,$B55,'январь 2023'!$J$4:$J$508,W$1)</f>
        <v>0</v>
      </c>
      <c r="X55" s="207">
        <f>SUMIFS('январь 2023'!$G$4:$G$508,'январь 2023'!$D$4:$D$508,$B55,'январь 2023'!$J$4:$J$508,X$1)</f>
        <v>0</v>
      </c>
      <c r="Y55" s="207">
        <f>SUMIFS('январь 2023'!$G$4:$G$508,'январь 2023'!$D$4:$D$508,$B55,'январь 2023'!$J$4:$J$508,Y$1)</f>
        <v>0</v>
      </c>
      <c r="Z55" s="207">
        <f>SUMIFS('январь 2023'!$G$4:$G$508,'январь 2023'!$D$4:$D$508,$B55,'январь 2023'!$J$4:$J$508,Z$1)</f>
        <v>0</v>
      </c>
      <c r="AA55" s="207">
        <f>SUMIFS('январь 2023'!$G$4:$G$508,'январь 2023'!$D$4:$D$508,$B55,'январь 2023'!$J$4:$J$508,AA$1)</f>
        <v>0</v>
      </c>
      <c r="AB55" s="207">
        <f>SUMIFS('январь 2023'!$G$4:$G$508,'январь 2023'!$D$4:$D$508,$B55,'январь 2023'!$J$4:$J$508,AB$1)</f>
        <v>0</v>
      </c>
      <c r="AC55" s="207">
        <f>SUMIFS('январь 2023'!$G$4:$G$508,'январь 2023'!$D$4:$D$508,$B55,'январь 2023'!$J$4:$J$508,AC$1)</f>
        <v>0</v>
      </c>
      <c r="AD55" s="207">
        <f>SUMIFS('январь 2023'!$G$4:$G$508,'январь 2023'!$D$4:$D$508,$B55,'январь 2023'!$J$4:$J$508,AD$1)</f>
        <v>0</v>
      </c>
      <c r="AE55" s="207">
        <f>SUMIFS('январь 2023'!$G$4:$G$508,'январь 2023'!$D$4:$D$508,$B55,'январь 2023'!$J$4:$J$508,AE$1)</f>
        <v>0</v>
      </c>
      <c r="AF55" s="207">
        <f>SUMIFS('январь 2023'!$G$4:$G$508,'январь 2023'!$D$4:$D$508,$B55,'январь 2023'!$J$4:$J$508,AF$1)</f>
        <v>0</v>
      </c>
      <c r="AG55" s="207">
        <f>SUMIFS('январь 2023'!$G$4:$G$508,'январь 2023'!$D$4:$D$508,$B55,'январь 2023'!$J$4:$J$508,AG$1)</f>
        <v>0</v>
      </c>
      <c r="AH55" s="207">
        <f>SUMIFS('январь 2023'!$G$4:$G$508,'январь 2023'!$D$4:$D$508,$B55,'январь 2023'!$J$4:$J$508,AH$1)</f>
        <v>0</v>
      </c>
      <c r="AI55" s="170">
        <f t="shared" si="1"/>
        <v>0</v>
      </c>
    </row>
    <row r="56" spans="2:35" ht="15.75" x14ac:dyDescent="0.25">
      <c r="B56" s="212" t="s">
        <v>2148</v>
      </c>
      <c r="C56" s="211">
        <v>190</v>
      </c>
      <c r="D56" s="207">
        <f>SUMIFS('январь 2023'!$G$4:$G$508,'январь 2023'!$D$4:$D$508,$B56,'январь 2023'!$J$4:$J$508,D$1)</f>
        <v>0</v>
      </c>
      <c r="E56" s="207">
        <f>SUMIFS('январь 2023'!$G$4:$G$508,'январь 2023'!$D$4:$D$508,$B56,'январь 2023'!$J$4:$J$508,E$1)</f>
        <v>0</v>
      </c>
      <c r="F56" s="207">
        <f>SUMIFS('январь 2023'!$G$4:$G$508,'январь 2023'!$D$4:$D$508,$B56,'январь 2023'!$J$4:$J$508,F$1)</f>
        <v>0</v>
      </c>
      <c r="G56" s="207">
        <f>SUMIFS('январь 2023'!$G$4:$G$508,'январь 2023'!$D$4:$D$508,$B56,'январь 2023'!$J$4:$J$508,G$1)</f>
        <v>0</v>
      </c>
      <c r="H56" s="207">
        <f>SUMIFS('январь 2023'!$G$4:$G$508,'январь 2023'!$D$4:$D$508,$B56,'январь 2023'!$J$4:$J$508,H$1)</f>
        <v>0</v>
      </c>
      <c r="I56" s="207">
        <f>SUMIFS('январь 2023'!$G$4:$G$508,'январь 2023'!$D$4:$D$508,$B56,'январь 2023'!$J$4:$J$508,I$1)</f>
        <v>0</v>
      </c>
      <c r="J56" s="207">
        <f>SUMIFS('январь 2023'!$G$4:$G$508,'январь 2023'!$D$4:$D$508,$B56,'январь 2023'!$J$4:$J$508,J$1)</f>
        <v>0</v>
      </c>
      <c r="K56" s="207">
        <f>SUMIFS('январь 2023'!$G$4:$G$508,'январь 2023'!$D$4:$D$508,$B56,'январь 2023'!$J$4:$J$508,K$1)</f>
        <v>0</v>
      </c>
      <c r="L56" s="207">
        <f>SUMIFS('январь 2023'!$G$4:$G$508,'январь 2023'!$D$4:$D$508,$B56,'январь 2023'!$J$4:$J$508,L$1)</f>
        <v>0</v>
      </c>
      <c r="M56" s="207">
        <f>SUMIFS('январь 2023'!$G$4:$G$508,'январь 2023'!$D$4:$D$508,$B56,'январь 2023'!$J$4:$J$508,M$1)</f>
        <v>0</v>
      </c>
      <c r="N56" s="207">
        <f>SUMIFS('январь 2023'!$G$4:$G$508,'январь 2023'!$D$4:$D$508,$B56,'январь 2023'!$J$4:$J$508,N$1)</f>
        <v>0</v>
      </c>
      <c r="O56" s="207">
        <f>SUMIFS('январь 2023'!$G$4:$G$508,'январь 2023'!$D$4:$D$508,$B56,'январь 2023'!$J$4:$J$508,O$1)</f>
        <v>0</v>
      </c>
      <c r="P56" s="207">
        <f>SUMIFS('январь 2023'!$G$4:$G$508,'январь 2023'!$D$4:$D$508,$B56,'январь 2023'!$J$4:$J$508,P$1)</f>
        <v>0</v>
      </c>
      <c r="Q56" s="207">
        <f>SUMIFS('январь 2023'!$G$4:$G$508,'январь 2023'!$D$4:$D$508,$B56,'январь 2023'!$J$4:$J$508,Q$1)</f>
        <v>0</v>
      </c>
      <c r="R56" s="207">
        <f>SUMIFS('январь 2023'!$G$4:$G$508,'январь 2023'!$D$4:$D$508,$B56,'январь 2023'!$J$4:$J$508,R$1)</f>
        <v>0</v>
      </c>
      <c r="S56" s="207">
        <f>SUMIFS('январь 2023'!$G$4:$G$508,'январь 2023'!$D$4:$D$508,$B56,'январь 2023'!$J$4:$J$508,S$1)</f>
        <v>0</v>
      </c>
      <c r="T56" s="207">
        <f>SUMIFS('январь 2023'!$G$4:$G$508,'январь 2023'!$D$4:$D$508,$B56,'январь 2023'!$J$4:$J$508,T$1)</f>
        <v>0</v>
      </c>
      <c r="U56" s="207">
        <f>SUMIFS('январь 2023'!$G$4:$G$508,'январь 2023'!$D$4:$D$508,$B56,'январь 2023'!$J$4:$J$508,U$1)</f>
        <v>0</v>
      </c>
      <c r="V56" s="207">
        <f>SUMIFS('январь 2023'!$G$4:$G$508,'январь 2023'!$D$4:$D$508,$B56,'январь 2023'!$J$4:$J$508,V$1)</f>
        <v>0</v>
      </c>
      <c r="W56" s="207">
        <f>SUMIFS('январь 2023'!$G$4:$G$508,'январь 2023'!$D$4:$D$508,$B56,'январь 2023'!$J$4:$J$508,W$1)</f>
        <v>0</v>
      </c>
      <c r="X56" s="207">
        <f>SUMIFS('январь 2023'!$G$4:$G$508,'январь 2023'!$D$4:$D$508,$B56,'январь 2023'!$J$4:$J$508,X$1)</f>
        <v>0</v>
      </c>
      <c r="Y56" s="207">
        <f>SUMIFS('январь 2023'!$G$4:$G$508,'январь 2023'!$D$4:$D$508,$B56,'январь 2023'!$J$4:$J$508,Y$1)</f>
        <v>0</v>
      </c>
      <c r="Z56" s="207">
        <f>SUMIFS('январь 2023'!$G$4:$G$508,'январь 2023'!$D$4:$D$508,$B56,'январь 2023'!$J$4:$J$508,Z$1)</f>
        <v>0</v>
      </c>
      <c r="AA56" s="207">
        <f>SUMIFS('январь 2023'!$G$4:$G$508,'январь 2023'!$D$4:$D$508,$B56,'январь 2023'!$J$4:$J$508,AA$1)</f>
        <v>0</v>
      </c>
      <c r="AB56" s="207">
        <f>SUMIFS('январь 2023'!$G$4:$G$508,'январь 2023'!$D$4:$D$508,$B56,'январь 2023'!$J$4:$J$508,AB$1)</f>
        <v>0</v>
      </c>
      <c r="AC56" s="207">
        <f>SUMIFS('январь 2023'!$G$4:$G$508,'январь 2023'!$D$4:$D$508,$B56,'январь 2023'!$J$4:$J$508,AC$1)</f>
        <v>0</v>
      </c>
      <c r="AD56" s="207">
        <f>SUMIFS('январь 2023'!$G$4:$G$508,'январь 2023'!$D$4:$D$508,$B56,'январь 2023'!$J$4:$J$508,AD$1)</f>
        <v>0</v>
      </c>
      <c r="AE56" s="207">
        <f>SUMIFS('январь 2023'!$G$4:$G$508,'январь 2023'!$D$4:$D$508,$B56,'январь 2023'!$J$4:$J$508,AE$1)</f>
        <v>0</v>
      </c>
      <c r="AF56" s="207">
        <f>SUMIFS('январь 2023'!$G$4:$G$508,'январь 2023'!$D$4:$D$508,$B56,'январь 2023'!$J$4:$J$508,AF$1)</f>
        <v>0</v>
      </c>
      <c r="AG56" s="207">
        <f>SUMIFS('январь 2023'!$G$4:$G$508,'январь 2023'!$D$4:$D$508,$B56,'январь 2023'!$J$4:$J$508,AG$1)</f>
        <v>0</v>
      </c>
      <c r="AH56" s="207">
        <f>SUMIFS('январь 2023'!$G$4:$G$508,'январь 2023'!$D$4:$D$508,$B56,'январь 2023'!$J$4:$J$508,AH$1)</f>
        <v>0</v>
      </c>
      <c r="AI56" s="170">
        <f t="shared" si="1"/>
        <v>0</v>
      </c>
    </row>
    <row r="57" spans="2:35" ht="15.75" x14ac:dyDescent="0.25">
      <c r="B57" s="216" t="s">
        <v>1869</v>
      </c>
      <c r="C57" s="213">
        <v>200</v>
      </c>
      <c r="D57" s="207">
        <f>SUMIFS('январь 2023'!$G$4:$G$508,'январь 2023'!$D$4:$D$508,$B57,'январь 2023'!$J$4:$J$508,D$1)</f>
        <v>0</v>
      </c>
      <c r="E57" s="207">
        <f>SUMIFS('январь 2023'!$G$4:$G$508,'январь 2023'!$D$4:$D$508,$B57,'январь 2023'!$J$4:$J$508,E$1)</f>
        <v>0</v>
      </c>
      <c r="F57" s="207">
        <f>SUMIFS('январь 2023'!$G$4:$G$508,'январь 2023'!$D$4:$D$508,$B57,'январь 2023'!$J$4:$J$508,F$1)</f>
        <v>0</v>
      </c>
      <c r="G57" s="207">
        <f>SUMIFS('январь 2023'!$G$4:$G$508,'январь 2023'!$D$4:$D$508,$B57,'январь 2023'!$J$4:$J$508,G$1)</f>
        <v>0</v>
      </c>
      <c r="H57" s="207">
        <f>SUMIFS('январь 2023'!$G$4:$G$508,'январь 2023'!$D$4:$D$508,$B57,'январь 2023'!$J$4:$J$508,H$1)</f>
        <v>0</v>
      </c>
      <c r="I57" s="207">
        <f>SUMIFS('январь 2023'!$G$4:$G$508,'январь 2023'!$D$4:$D$508,$B57,'январь 2023'!$J$4:$J$508,I$1)</f>
        <v>0</v>
      </c>
      <c r="J57" s="207">
        <f>SUMIFS('январь 2023'!$G$4:$G$508,'январь 2023'!$D$4:$D$508,$B57,'январь 2023'!$J$4:$J$508,J$1)</f>
        <v>0</v>
      </c>
      <c r="K57" s="207">
        <f>SUMIFS('январь 2023'!$G$4:$G$508,'январь 2023'!$D$4:$D$508,$B57,'январь 2023'!$J$4:$J$508,K$1)</f>
        <v>0</v>
      </c>
      <c r="L57" s="207">
        <f>SUMIFS('январь 2023'!$G$4:$G$508,'январь 2023'!$D$4:$D$508,$B57,'январь 2023'!$J$4:$J$508,L$1)</f>
        <v>0</v>
      </c>
      <c r="M57" s="207">
        <f>SUMIFS('январь 2023'!$G$4:$G$508,'январь 2023'!$D$4:$D$508,$B57,'январь 2023'!$J$4:$J$508,M$1)</f>
        <v>0</v>
      </c>
      <c r="N57" s="207">
        <f>SUMIFS('январь 2023'!$G$4:$G$508,'январь 2023'!$D$4:$D$508,$B57,'январь 2023'!$J$4:$J$508,N$1)</f>
        <v>0</v>
      </c>
      <c r="O57" s="207">
        <f>SUMIFS('январь 2023'!$G$4:$G$508,'январь 2023'!$D$4:$D$508,$B57,'январь 2023'!$J$4:$J$508,O$1)</f>
        <v>0</v>
      </c>
      <c r="P57" s="207">
        <f>SUMIFS('январь 2023'!$G$4:$G$508,'январь 2023'!$D$4:$D$508,$B57,'январь 2023'!$J$4:$J$508,P$1)</f>
        <v>0</v>
      </c>
      <c r="Q57" s="207">
        <f>SUMIFS('январь 2023'!$G$4:$G$508,'январь 2023'!$D$4:$D$508,$B57,'январь 2023'!$J$4:$J$508,Q$1)</f>
        <v>0</v>
      </c>
      <c r="R57" s="207">
        <f>SUMIFS('январь 2023'!$G$4:$G$508,'январь 2023'!$D$4:$D$508,$B57,'январь 2023'!$J$4:$J$508,R$1)</f>
        <v>0</v>
      </c>
      <c r="S57" s="207">
        <f>SUMIFS('январь 2023'!$G$4:$G$508,'январь 2023'!$D$4:$D$508,$B57,'январь 2023'!$J$4:$J$508,S$1)</f>
        <v>0</v>
      </c>
      <c r="T57" s="207">
        <f>SUMIFS('январь 2023'!$G$4:$G$508,'январь 2023'!$D$4:$D$508,$B57,'январь 2023'!$J$4:$J$508,T$1)</f>
        <v>0</v>
      </c>
      <c r="U57" s="207">
        <f>SUMIFS('январь 2023'!$G$4:$G$508,'январь 2023'!$D$4:$D$508,$B57,'январь 2023'!$J$4:$J$508,U$1)</f>
        <v>0</v>
      </c>
      <c r="V57" s="207">
        <f>SUMIFS('январь 2023'!$G$4:$G$508,'январь 2023'!$D$4:$D$508,$B57,'январь 2023'!$J$4:$J$508,V$1)</f>
        <v>0</v>
      </c>
      <c r="W57" s="207">
        <f>SUMIFS('январь 2023'!$G$4:$G$508,'январь 2023'!$D$4:$D$508,$B57,'январь 2023'!$J$4:$J$508,W$1)</f>
        <v>0</v>
      </c>
      <c r="X57" s="207">
        <f>SUMIFS('январь 2023'!$G$4:$G$508,'январь 2023'!$D$4:$D$508,$B57,'январь 2023'!$J$4:$J$508,X$1)</f>
        <v>0</v>
      </c>
      <c r="Y57" s="207">
        <f>SUMIFS('январь 2023'!$G$4:$G$508,'январь 2023'!$D$4:$D$508,$B57,'январь 2023'!$J$4:$J$508,Y$1)</f>
        <v>0</v>
      </c>
      <c r="Z57" s="207">
        <f>SUMIFS('январь 2023'!$G$4:$G$508,'январь 2023'!$D$4:$D$508,$B57,'январь 2023'!$J$4:$J$508,Z$1)</f>
        <v>0</v>
      </c>
      <c r="AA57" s="207">
        <f>SUMIFS('январь 2023'!$G$4:$G$508,'январь 2023'!$D$4:$D$508,$B57,'январь 2023'!$J$4:$J$508,AA$1)</f>
        <v>0</v>
      </c>
      <c r="AB57" s="207">
        <f>SUMIFS('январь 2023'!$G$4:$G$508,'январь 2023'!$D$4:$D$508,$B57,'январь 2023'!$J$4:$J$508,AB$1)</f>
        <v>0</v>
      </c>
      <c r="AC57" s="207">
        <f>SUMIFS('январь 2023'!$G$4:$G$508,'январь 2023'!$D$4:$D$508,$B57,'январь 2023'!$J$4:$J$508,AC$1)</f>
        <v>0</v>
      </c>
      <c r="AD57" s="207">
        <f>SUMIFS('январь 2023'!$G$4:$G$508,'январь 2023'!$D$4:$D$508,$B57,'январь 2023'!$J$4:$J$508,AD$1)</f>
        <v>0</v>
      </c>
      <c r="AE57" s="207">
        <f>SUMIFS('январь 2023'!$G$4:$G$508,'январь 2023'!$D$4:$D$508,$B57,'январь 2023'!$J$4:$J$508,AE$1)</f>
        <v>0</v>
      </c>
      <c r="AF57" s="207">
        <f>SUMIFS('январь 2023'!$G$4:$G$508,'январь 2023'!$D$4:$D$508,$B57,'январь 2023'!$J$4:$J$508,AF$1)</f>
        <v>0</v>
      </c>
      <c r="AG57" s="207">
        <f>SUMIFS('январь 2023'!$G$4:$G$508,'январь 2023'!$D$4:$D$508,$B57,'январь 2023'!$J$4:$J$508,AG$1)</f>
        <v>88</v>
      </c>
      <c r="AH57" s="207">
        <f>SUMIFS('январь 2023'!$G$4:$G$508,'январь 2023'!$D$4:$D$508,$B57,'январь 2023'!$J$4:$J$508,AH$1)</f>
        <v>0</v>
      </c>
      <c r="AI57" s="170">
        <f t="shared" si="1"/>
        <v>88</v>
      </c>
    </row>
    <row r="58" spans="2:35" ht="15" customHeight="1" x14ac:dyDescent="0.25">
      <c r="B58" s="216" t="s">
        <v>66</v>
      </c>
      <c r="C58" s="213">
        <v>200</v>
      </c>
      <c r="D58" s="207">
        <f>SUMIFS('январь 2023'!$G$4:$G$508,'январь 2023'!$D$4:$D$508,$B58,'январь 2023'!$J$4:$J$508,D$1)</f>
        <v>0</v>
      </c>
      <c r="E58" s="207">
        <f>SUMIFS('январь 2023'!$G$4:$G$508,'январь 2023'!$D$4:$D$508,$B58,'январь 2023'!$J$4:$J$508,E$1)</f>
        <v>0</v>
      </c>
      <c r="F58" s="207">
        <f>SUMIFS('январь 2023'!$G$4:$G$508,'январь 2023'!$D$4:$D$508,$B58,'январь 2023'!$J$4:$J$508,F$1)</f>
        <v>0</v>
      </c>
      <c r="G58" s="207">
        <f>SUMIFS('январь 2023'!$G$4:$G$508,'январь 2023'!$D$4:$D$508,$B58,'январь 2023'!$J$4:$J$508,G$1)</f>
        <v>0</v>
      </c>
      <c r="H58" s="207">
        <f>SUMIFS('январь 2023'!$G$4:$G$508,'январь 2023'!$D$4:$D$508,$B58,'январь 2023'!$J$4:$J$508,H$1)</f>
        <v>0</v>
      </c>
      <c r="I58" s="207">
        <f>SUMIFS('январь 2023'!$G$4:$G$508,'январь 2023'!$D$4:$D$508,$B58,'январь 2023'!$J$4:$J$508,I$1)</f>
        <v>0</v>
      </c>
      <c r="J58" s="207">
        <f>SUMIFS('январь 2023'!$G$4:$G$508,'январь 2023'!$D$4:$D$508,$B58,'январь 2023'!$J$4:$J$508,J$1)</f>
        <v>0</v>
      </c>
      <c r="K58" s="207">
        <f>SUMIFS('январь 2023'!$G$4:$G$508,'январь 2023'!$D$4:$D$508,$B58,'январь 2023'!$J$4:$J$508,K$1)</f>
        <v>0</v>
      </c>
      <c r="L58" s="207">
        <f>SUMIFS('январь 2023'!$G$4:$G$508,'январь 2023'!$D$4:$D$508,$B58,'январь 2023'!$J$4:$J$508,L$1)</f>
        <v>0</v>
      </c>
      <c r="M58" s="207">
        <f>SUMIFS('январь 2023'!$G$4:$G$508,'январь 2023'!$D$4:$D$508,$B58,'январь 2023'!$J$4:$J$508,M$1)</f>
        <v>0</v>
      </c>
      <c r="N58" s="207">
        <f>SUMIFS('январь 2023'!$G$4:$G$508,'январь 2023'!$D$4:$D$508,$B58,'январь 2023'!$J$4:$J$508,N$1)</f>
        <v>0</v>
      </c>
      <c r="O58" s="207">
        <f>SUMIFS('январь 2023'!$G$4:$G$508,'январь 2023'!$D$4:$D$508,$B58,'январь 2023'!$J$4:$J$508,O$1)</f>
        <v>0</v>
      </c>
      <c r="P58" s="207">
        <f>SUMIFS('январь 2023'!$G$4:$G$508,'январь 2023'!$D$4:$D$508,$B58,'январь 2023'!$J$4:$J$508,P$1)</f>
        <v>0</v>
      </c>
      <c r="Q58" s="207">
        <f>SUMIFS('январь 2023'!$G$4:$G$508,'январь 2023'!$D$4:$D$508,$B58,'январь 2023'!$J$4:$J$508,Q$1)</f>
        <v>0</v>
      </c>
      <c r="R58" s="207">
        <f>SUMIFS('январь 2023'!$G$4:$G$508,'январь 2023'!$D$4:$D$508,$B58,'январь 2023'!$J$4:$J$508,R$1)</f>
        <v>0</v>
      </c>
      <c r="S58" s="207">
        <f>SUMIFS('январь 2023'!$G$4:$G$508,'январь 2023'!$D$4:$D$508,$B58,'январь 2023'!$J$4:$J$508,S$1)</f>
        <v>0</v>
      </c>
      <c r="T58" s="207">
        <f>SUMIFS('январь 2023'!$G$4:$G$508,'январь 2023'!$D$4:$D$508,$B58,'январь 2023'!$J$4:$J$508,T$1)</f>
        <v>0</v>
      </c>
      <c r="U58" s="207">
        <f>SUMIFS('январь 2023'!$G$4:$G$508,'январь 2023'!$D$4:$D$508,$B58,'январь 2023'!$J$4:$J$508,U$1)</f>
        <v>0</v>
      </c>
      <c r="V58" s="207">
        <f>SUMIFS('январь 2023'!$G$4:$G$508,'январь 2023'!$D$4:$D$508,$B58,'январь 2023'!$J$4:$J$508,V$1)</f>
        <v>0</v>
      </c>
      <c r="W58" s="207">
        <f>SUMIFS('январь 2023'!$G$4:$G$508,'январь 2023'!$D$4:$D$508,$B58,'январь 2023'!$J$4:$J$508,W$1)</f>
        <v>0</v>
      </c>
      <c r="X58" s="207">
        <f>SUMIFS('январь 2023'!$G$4:$G$508,'январь 2023'!$D$4:$D$508,$B58,'январь 2023'!$J$4:$J$508,X$1)</f>
        <v>0</v>
      </c>
      <c r="Y58" s="207">
        <f>SUMIFS('январь 2023'!$G$4:$G$508,'январь 2023'!$D$4:$D$508,$B58,'январь 2023'!$J$4:$J$508,Y$1)</f>
        <v>0</v>
      </c>
      <c r="Z58" s="207">
        <f>SUMIFS('январь 2023'!$G$4:$G$508,'январь 2023'!$D$4:$D$508,$B58,'январь 2023'!$J$4:$J$508,Z$1)</f>
        <v>0</v>
      </c>
      <c r="AA58" s="207">
        <f>SUMIFS('январь 2023'!$G$4:$G$508,'январь 2023'!$D$4:$D$508,$B58,'январь 2023'!$J$4:$J$508,AA$1)</f>
        <v>0</v>
      </c>
      <c r="AB58" s="207">
        <f>SUMIFS('январь 2023'!$G$4:$G$508,'январь 2023'!$D$4:$D$508,$B58,'январь 2023'!$J$4:$J$508,AB$1)</f>
        <v>0</v>
      </c>
      <c r="AC58" s="207">
        <f>SUMIFS('январь 2023'!$G$4:$G$508,'январь 2023'!$D$4:$D$508,$B58,'январь 2023'!$J$4:$J$508,AC$1)</f>
        <v>0</v>
      </c>
      <c r="AD58" s="207">
        <f>SUMIFS('январь 2023'!$G$4:$G$508,'январь 2023'!$D$4:$D$508,$B58,'январь 2023'!$J$4:$J$508,AD$1)</f>
        <v>0</v>
      </c>
      <c r="AE58" s="207">
        <f>SUMIFS('январь 2023'!$G$4:$G$508,'январь 2023'!$D$4:$D$508,$B58,'январь 2023'!$J$4:$J$508,AE$1)</f>
        <v>0</v>
      </c>
      <c r="AF58" s="207">
        <f>SUMIFS('январь 2023'!$G$4:$G$508,'январь 2023'!$D$4:$D$508,$B58,'январь 2023'!$J$4:$J$508,AF$1)</f>
        <v>0</v>
      </c>
      <c r="AG58" s="207">
        <f>SUMIFS('январь 2023'!$G$4:$G$508,'январь 2023'!$D$4:$D$508,$B58,'январь 2023'!$J$4:$J$508,AG$1)</f>
        <v>0</v>
      </c>
      <c r="AH58" s="207">
        <f>SUMIFS('январь 2023'!$G$4:$G$508,'январь 2023'!$D$4:$D$508,$B58,'январь 2023'!$J$4:$J$508,AH$1)</f>
        <v>0</v>
      </c>
      <c r="AI58" s="170">
        <f t="shared" si="1"/>
        <v>0</v>
      </c>
    </row>
    <row r="59" spans="2:35" ht="15" customHeight="1" x14ac:dyDescent="0.25">
      <c r="B59" s="216" t="s">
        <v>38</v>
      </c>
      <c r="C59" s="213">
        <v>200</v>
      </c>
      <c r="D59" s="207">
        <f>SUMIFS('январь 2023'!$G$4:$G$508,'январь 2023'!$D$4:$D$508,$B59,'январь 2023'!$J$4:$J$508,D$1)</f>
        <v>0</v>
      </c>
      <c r="E59" s="207">
        <f>SUMIFS('январь 2023'!$G$4:$G$508,'январь 2023'!$D$4:$D$508,$B59,'январь 2023'!$J$4:$J$508,E$1)</f>
        <v>0</v>
      </c>
      <c r="F59" s="207">
        <f>SUMIFS('январь 2023'!$G$4:$G$508,'январь 2023'!$D$4:$D$508,$B59,'январь 2023'!$J$4:$J$508,F$1)</f>
        <v>0</v>
      </c>
      <c r="G59" s="207">
        <f>SUMIFS('январь 2023'!$G$4:$G$508,'январь 2023'!$D$4:$D$508,$B59,'январь 2023'!$J$4:$J$508,G$1)</f>
        <v>0</v>
      </c>
      <c r="H59" s="207">
        <f>SUMIFS('январь 2023'!$G$4:$G$508,'январь 2023'!$D$4:$D$508,$B59,'январь 2023'!$J$4:$J$508,H$1)</f>
        <v>0</v>
      </c>
      <c r="I59" s="207">
        <f>SUMIFS('январь 2023'!$G$4:$G$508,'январь 2023'!$D$4:$D$508,$B59,'январь 2023'!$J$4:$J$508,I$1)</f>
        <v>0</v>
      </c>
      <c r="J59" s="207">
        <f>SUMIFS('январь 2023'!$G$4:$G$508,'январь 2023'!$D$4:$D$508,$B59,'январь 2023'!$J$4:$J$508,J$1)</f>
        <v>0</v>
      </c>
      <c r="K59" s="207">
        <f>SUMIFS('январь 2023'!$G$4:$G$508,'январь 2023'!$D$4:$D$508,$B59,'январь 2023'!$J$4:$J$508,K$1)</f>
        <v>0</v>
      </c>
      <c r="L59" s="207">
        <f>SUMIFS('январь 2023'!$G$4:$G$508,'январь 2023'!$D$4:$D$508,$B59,'январь 2023'!$J$4:$J$508,L$1)</f>
        <v>88</v>
      </c>
      <c r="M59" s="207">
        <f>SUMIFS('январь 2023'!$G$4:$G$508,'январь 2023'!$D$4:$D$508,$B59,'январь 2023'!$J$4:$J$508,M$1)</f>
        <v>88</v>
      </c>
      <c r="N59" s="207">
        <f>SUMIFS('январь 2023'!$G$4:$G$508,'январь 2023'!$D$4:$D$508,$B59,'январь 2023'!$J$4:$J$508,N$1)</f>
        <v>0</v>
      </c>
      <c r="O59" s="207">
        <f>SUMIFS('январь 2023'!$G$4:$G$508,'январь 2023'!$D$4:$D$508,$B59,'январь 2023'!$J$4:$J$508,O$1)</f>
        <v>0</v>
      </c>
      <c r="P59" s="207">
        <f>SUMIFS('январь 2023'!$G$4:$G$508,'январь 2023'!$D$4:$D$508,$B59,'январь 2023'!$J$4:$J$508,P$1)</f>
        <v>0</v>
      </c>
      <c r="Q59" s="207">
        <f>SUMIFS('январь 2023'!$G$4:$G$508,'январь 2023'!$D$4:$D$508,$B59,'январь 2023'!$J$4:$J$508,Q$1)</f>
        <v>0</v>
      </c>
      <c r="R59" s="207">
        <f>SUMIFS('январь 2023'!$G$4:$G$508,'январь 2023'!$D$4:$D$508,$B59,'январь 2023'!$J$4:$J$508,R$1)</f>
        <v>0</v>
      </c>
      <c r="S59" s="207">
        <f>SUMIFS('январь 2023'!$G$4:$G$508,'январь 2023'!$D$4:$D$508,$B59,'январь 2023'!$J$4:$J$508,S$1)</f>
        <v>0</v>
      </c>
      <c r="T59" s="207">
        <f>SUMIFS('январь 2023'!$G$4:$G$508,'январь 2023'!$D$4:$D$508,$B59,'январь 2023'!$J$4:$J$508,T$1)</f>
        <v>0</v>
      </c>
      <c r="U59" s="207">
        <f>SUMIFS('январь 2023'!$G$4:$G$508,'январь 2023'!$D$4:$D$508,$B59,'январь 2023'!$J$4:$J$508,U$1)</f>
        <v>0</v>
      </c>
      <c r="V59" s="207">
        <f>SUMIFS('январь 2023'!$G$4:$G$508,'январь 2023'!$D$4:$D$508,$B59,'январь 2023'!$J$4:$J$508,V$1)</f>
        <v>0</v>
      </c>
      <c r="W59" s="207">
        <f>SUMIFS('январь 2023'!$G$4:$G$508,'январь 2023'!$D$4:$D$508,$B59,'январь 2023'!$J$4:$J$508,W$1)</f>
        <v>0</v>
      </c>
      <c r="X59" s="207">
        <f>SUMIFS('январь 2023'!$G$4:$G$508,'январь 2023'!$D$4:$D$508,$B59,'январь 2023'!$J$4:$J$508,X$1)</f>
        <v>0</v>
      </c>
      <c r="Y59" s="207">
        <f>SUMIFS('январь 2023'!$G$4:$G$508,'январь 2023'!$D$4:$D$508,$B59,'январь 2023'!$J$4:$J$508,Y$1)</f>
        <v>0</v>
      </c>
      <c r="Z59" s="207">
        <f>SUMIFS('январь 2023'!$G$4:$G$508,'январь 2023'!$D$4:$D$508,$B59,'январь 2023'!$J$4:$J$508,Z$1)</f>
        <v>88</v>
      </c>
      <c r="AA59" s="207">
        <f>SUMIFS('январь 2023'!$G$4:$G$508,'январь 2023'!$D$4:$D$508,$B59,'январь 2023'!$J$4:$J$508,AA$1)</f>
        <v>0</v>
      </c>
      <c r="AB59" s="207">
        <f>SUMIFS('январь 2023'!$G$4:$G$508,'январь 2023'!$D$4:$D$508,$B59,'январь 2023'!$J$4:$J$508,AB$1)</f>
        <v>0</v>
      </c>
      <c r="AC59" s="207">
        <f>SUMIFS('январь 2023'!$G$4:$G$508,'январь 2023'!$D$4:$D$508,$B59,'январь 2023'!$J$4:$J$508,AC$1)</f>
        <v>0</v>
      </c>
      <c r="AD59" s="207">
        <f>SUMIFS('январь 2023'!$G$4:$G$508,'январь 2023'!$D$4:$D$508,$B59,'январь 2023'!$J$4:$J$508,AD$1)</f>
        <v>0</v>
      </c>
      <c r="AE59" s="207">
        <f>SUMIFS('январь 2023'!$G$4:$G$508,'январь 2023'!$D$4:$D$508,$B59,'январь 2023'!$J$4:$J$508,AE$1)</f>
        <v>88</v>
      </c>
      <c r="AF59" s="207">
        <f>SUMIFS('январь 2023'!$G$4:$G$508,'январь 2023'!$D$4:$D$508,$B59,'январь 2023'!$J$4:$J$508,AF$1)</f>
        <v>0</v>
      </c>
      <c r="AG59" s="207">
        <f>SUMIFS('январь 2023'!$G$4:$G$508,'январь 2023'!$D$4:$D$508,$B59,'январь 2023'!$J$4:$J$508,AG$1)</f>
        <v>0</v>
      </c>
      <c r="AH59" s="207">
        <f>SUMIFS('январь 2023'!$G$4:$G$508,'январь 2023'!$D$4:$D$508,$B59,'январь 2023'!$J$4:$J$508,AH$1)</f>
        <v>0</v>
      </c>
      <c r="AI59" s="170">
        <f t="shared" si="1"/>
        <v>352</v>
      </c>
    </row>
    <row r="60" spans="2:35" ht="15" customHeight="1" x14ac:dyDescent="0.25">
      <c r="B60" s="216"/>
      <c r="C60" s="213"/>
      <c r="D60" s="207">
        <f>SUMIFS('январь 2023'!$G$4:$G$508,'январь 2023'!$D$4:$D$508,$B60,'январь 2023'!$J$4:$J$508,D$1)</f>
        <v>0</v>
      </c>
      <c r="E60" s="207">
        <f>SUMIFS('январь 2023'!$G$4:$G$508,'январь 2023'!$D$4:$D$508,$B60,'январь 2023'!$J$4:$J$508,E$1)</f>
        <v>0</v>
      </c>
      <c r="F60" s="207">
        <f>SUMIFS('январь 2023'!$G$4:$G$508,'январь 2023'!$D$4:$D$508,$B60,'январь 2023'!$J$4:$J$508,F$1)</f>
        <v>0</v>
      </c>
      <c r="G60" s="207">
        <f>SUMIFS('январь 2023'!$G$4:$G$508,'январь 2023'!$D$4:$D$508,$B60,'январь 2023'!$J$4:$J$508,G$1)</f>
        <v>0</v>
      </c>
      <c r="H60" s="207">
        <f>SUMIFS('январь 2023'!$G$4:$G$508,'январь 2023'!$D$4:$D$508,$B60,'январь 2023'!$J$4:$J$508,H$1)</f>
        <v>0</v>
      </c>
      <c r="I60" s="207">
        <f>SUMIFS('январь 2023'!$G$4:$G$508,'январь 2023'!$D$4:$D$508,$B60,'январь 2023'!$J$4:$J$508,I$1)</f>
        <v>0</v>
      </c>
      <c r="J60" s="207">
        <f>SUMIFS('январь 2023'!$G$4:$G$508,'январь 2023'!$D$4:$D$508,$B60,'январь 2023'!$J$4:$J$508,J$1)</f>
        <v>0</v>
      </c>
      <c r="K60" s="207">
        <f>SUMIFS('январь 2023'!$G$4:$G$508,'январь 2023'!$D$4:$D$508,$B60,'январь 2023'!$J$4:$J$508,K$1)</f>
        <v>0</v>
      </c>
      <c r="L60" s="207">
        <f>SUMIFS('январь 2023'!$G$4:$G$508,'январь 2023'!$D$4:$D$508,$B60,'январь 2023'!$J$4:$J$508,L$1)</f>
        <v>0</v>
      </c>
      <c r="M60" s="207">
        <f>SUMIFS('январь 2023'!$G$4:$G$508,'январь 2023'!$D$4:$D$508,$B60,'январь 2023'!$J$4:$J$508,M$1)</f>
        <v>0</v>
      </c>
      <c r="N60" s="207">
        <f>SUMIFS('январь 2023'!$G$4:$G$508,'январь 2023'!$D$4:$D$508,$B60,'январь 2023'!$J$4:$J$508,N$1)</f>
        <v>0</v>
      </c>
      <c r="O60" s="207">
        <f>SUMIFS('январь 2023'!$G$4:$G$508,'январь 2023'!$D$4:$D$508,$B60,'январь 2023'!$J$4:$J$508,O$1)</f>
        <v>0</v>
      </c>
      <c r="P60" s="207">
        <f>SUMIFS('январь 2023'!$G$4:$G$508,'январь 2023'!$D$4:$D$508,$B60,'январь 2023'!$J$4:$J$508,P$1)</f>
        <v>0</v>
      </c>
      <c r="Q60" s="207">
        <f>SUMIFS('январь 2023'!$G$4:$G$508,'январь 2023'!$D$4:$D$508,$B60,'январь 2023'!$J$4:$J$508,Q$1)</f>
        <v>0</v>
      </c>
      <c r="R60" s="207">
        <f>SUMIFS('январь 2023'!$G$4:$G$508,'январь 2023'!$D$4:$D$508,$B60,'январь 2023'!$J$4:$J$508,R$1)</f>
        <v>0</v>
      </c>
      <c r="S60" s="207">
        <f>SUMIFS('январь 2023'!$G$4:$G$508,'январь 2023'!$D$4:$D$508,$B60,'январь 2023'!$J$4:$J$508,S$1)</f>
        <v>0</v>
      </c>
      <c r="T60" s="207">
        <f>SUMIFS('январь 2023'!$G$4:$G$508,'январь 2023'!$D$4:$D$508,$B60,'январь 2023'!$J$4:$J$508,T$1)</f>
        <v>0</v>
      </c>
      <c r="U60" s="207">
        <f>SUMIFS('январь 2023'!$G$4:$G$508,'январь 2023'!$D$4:$D$508,$B60,'январь 2023'!$J$4:$J$508,U$1)</f>
        <v>0</v>
      </c>
      <c r="V60" s="207">
        <f>SUMIFS('январь 2023'!$G$4:$G$508,'январь 2023'!$D$4:$D$508,$B60,'январь 2023'!$J$4:$J$508,V$1)</f>
        <v>0</v>
      </c>
      <c r="W60" s="207">
        <f>SUMIFS('январь 2023'!$G$4:$G$508,'январь 2023'!$D$4:$D$508,$B60,'январь 2023'!$J$4:$J$508,W$1)</f>
        <v>0</v>
      </c>
      <c r="X60" s="207">
        <f>SUMIFS('январь 2023'!$G$4:$G$508,'январь 2023'!$D$4:$D$508,$B60,'январь 2023'!$J$4:$J$508,X$1)</f>
        <v>0</v>
      </c>
      <c r="Y60" s="207">
        <f>SUMIFS('январь 2023'!$G$4:$G$508,'январь 2023'!$D$4:$D$508,$B60,'январь 2023'!$J$4:$J$508,Y$1)</f>
        <v>0</v>
      </c>
      <c r="Z60" s="207">
        <f>SUMIFS('январь 2023'!$G$4:$G$508,'январь 2023'!$D$4:$D$508,$B60,'январь 2023'!$J$4:$J$508,Z$1)</f>
        <v>0</v>
      </c>
      <c r="AA60" s="207">
        <f>SUMIFS('январь 2023'!$G$4:$G$508,'январь 2023'!$D$4:$D$508,$B60,'январь 2023'!$J$4:$J$508,AA$1)</f>
        <v>0</v>
      </c>
      <c r="AB60" s="207">
        <f>SUMIFS('январь 2023'!$G$4:$G$508,'январь 2023'!$D$4:$D$508,$B60,'январь 2023'!$J$4:$J$508,AB$1)</f>
        <v>0</v>
      </c>
      <c r="AC60" s="207">
        <f>SUMIFS('январь 2023'!$G$4:$G$508,'январь 2023'!$D$4:$D$508,$B60,'январь 2023'!$J$4:$J$508,AC$1)</f>
        <v>0</v>
      </c>
      <c r="AD60" s="207">
        <f>SUMIFS('январь 2023'!$G$4:$G$508,'январь 2023'!$D$4:$D$508,$B60,'январь 2023'!$J$4:$J$508,AD$1)</f>
        <v>0</v>
      </c>
      <c r="AE60" s="207">
        <f>SUMIFS('январь 2023'!$G$4:$G$508,'январь 2023'!$D$4:$D$508,$B60,'январь 2023'!$J$4:$J$508,AE$1)</f>
        <v>0</v>
      </c>
      <c r="AF60" s="207">
        <f>SUMIFS('январь 2023'!$G$4:$G$508,'январь 2023'!$D$4:$D$508,$B60,'январь 2023'!$J$4:$J$508,AF$1)</f>
        <v>0</v>
      </c>
      <c r="AG60" s="207">
        <f>SUMIFS('январь 2023'!$G$4:$G$508,'январь 2023'!$D$4:$D$508,$B60,'январь 2023'!$J$4:$J$508,AG$1)</f>
        <v>0</v>
      </c>
      <c r="AH60" s="207">
        <f>SUMIFS('январь 2023'!$G$4:$G$508,'январь 2023'!$D$4:$D$508,$B60,'январь 2023'!$J$4:$J$508,AH$1)</f>
        <v>0</v>
      </c>
      <c r="AI60" s="170">
        <f t="shared" si="1"/>
        <v>0</v>
      </c>
    </row>
    <row r="61" spans="2:35" ht="15" customHeight="1" x14ac:dyDescent="0.25">
      <c r="B61" s="216"/>
      <c r="C61" s="213"/>
      <c r="D61" s="207">
        <f>SUMIFS('январь 2023'!$G$4:$G$508,'январь 2023'!$D$4:$D$508,$B61,'январь 2023'!$J$4:$J$508,D$1)</f>
        <v>0</v>
      </c>
      <c r="E61" s="207">
        <f>SUMIFS('январь 2023'!$G$4:$G$508,'январь 2023'!$D$4:$D$508,$B61,'январь 2023'!$J$4:$J$508,E$1)</f>
        <v>0</v>
      </c>
      <c r="F61" s="207">
        <f>SUMIFS('январь 2023'!$G$4:$G$508,'январь 2023'!$D$4:$D$508,$B61,'январь 2023'!$J$4:$J$508,F$1)</f>
        <v>0</v>
      </c>
      <c r="G61" s="207">
        <f>SUMIFS('январь 2023'!$G$4:$G$508,'январь 2023'!$D$4:$D$508,$B61,'январь 2023'!$J$4:$J$508,G$1)</f>
        <v>0</v>
      </c>
      <c r="H61" s="207">
        <f>SUMIFS('январь 2023'!$G$4:$G$508,'январь 2023'!$D$4:$D$508,$B61,'январь 2023'!$J$4:$J$508,H$1)</f>
        <v>0</v>
      </c>
      <c r="I61" s="207">
        <f>SUMIFS('январь 2023'!$G$4:$G$508,'январь 2023'!$D$4:$D$508,$B61,'январь 2023'!$J$4:$J$508,I$1)</f>
        <v>0</v>
      </c>
      <c r="J61" s="207">
        <f>SUMIFS('январь 2023'!$G$4:$G$508,'январь 2023'!$D$4:$D$508,$B61,'январь 2023'!$J$4:$J$508,J$1)</f>
        <v>0</v>
      </c>
      <c r="K61" s="207">
        <f>SUMIFS('январь 2023'!$G$4:$G$508,'январь 2023'!$D$4:$D$508,$B61,'январь 2023'!$J$4:$J$508,K$1)</f>
        <v>0</v>
      </c>
      <c r="L61" s="207">
        <f>SUMIFS('январь 2023'!$G$4:$G$508,'январь 2023'!$D$4:$D$508,$B61,'январь 2023'!$J$4:$J$508,L$1)</f>
        <v>0</v>
      </c>
      <c r="M61" s="207">
        <f>SUMIFS('январь 2023'!$G$4:$G$508,'январь 2023'!$D$4:$D$508,$B61,'январь 2023'!$J$4:$J$508,M$1)</f>
        <v>0</v>
      </c>
      <c r="N61" s="207">
        <f>SUMIFS('январь 2023'!$G$4:$G$508,'январь 2023'!$D$4:$D$508,$B61,'январь 2023'!$J$4:$J$508,N$1)</f>
        <v>0</v>
      </c>
      <c r="O61" s="207">
        <f>SUMIFS('январь 2023'!$G$4:$G$508,'январь 2023'!$D$4:$D$508,$B61,'январь 2023'!$J$4:$J$508,O$1)</f>
        <v>0</v>
      </c>
      <c r="P61" s="207">
        <f>SUMIFS('январь 2023'!$G$4:$G$508,'январь 2023'!$D$4:$D$508,$B61,'январь 2023'!$J$4:$J$508,P$1)</f>
        <v>0</v>
      </c>
      <c r="Q61" s="207">
        <f>SUMIFS('январь 2023'!$G$4:$G$508,'январь 2023'!$D$4:$D$508,$B61,'январь 2023'!$J$4:$J$508,Q$1)</f>
        <v>0</v>
      </c>
      <c r="R61" s="207">
        <f>SUMIFS('январь 2023'!$G$4:$G$508,'январь 2023'!$D$4:$D$508,$B61,'январь 2023'!$J$4:$J$508,R$1)</f>
        <v>0</v>
      </c>
      <c r="S61" s="207">
        <f>SUMIFS('январь 2023'!$G$4:$G$508,'январь 2023'!$D$4:$D$508,$B61,'январь 2023'!$J$4:$J$508,S$1)</f>
        <v>0</v>
      </c>
      <c r="T61" s="207">
        <f>SUMIFS('январь 2023'!$G$4:$G$508,'январь 2023'!$D$4:$D$508,$B61,'январь 2023'!$J$4:$J$508,T$1)</f>
        <v>0</v>
      </c>
      <c r="U61" s="207">
        <f>SUMIFS('январь 2023'!$G$4:$G$508,'январь 2023'!$D$4:$D$508,$B61,'январь 2023'!$J$4:$J$508,U$1)</f>
        <v>0</v>
      </c>
      <c r="V61" s="207">
        <f>SUMIFS('январь 2023'!$G$4:$G$508,'январь 2023'!$D$4:$D$508,$B61,'январь 2023'!$J$4:$J$508,V$1)</f>
        <v>0</v>
      </c>
      <c r="W61" s="207">
        <f>SUMIFS('январь 2023'!$G$4:$G$508,'январь 2023'!$D$4:$D$508,$B61,'январь 2023'!$J$4:$J$508,W$1)</f>
        <v>0</v>
      </c>
      <c r="X61" s="207">
        <f>SUMIFS('январь 2023'!$G$4:$G$508,'январь 2023'!$D$4:$D$508,$B61,'январь 2023'!$J$4:$J$508,X$1)</f>
        <v>0</v>
      </c>
      <c r="Y61" s="207">
        <f>SUMIFS('январь 2023'!$G$4:$G$508,'январь 2023'!$D$4:$D$508,$B61,'январь 2023'!$J$4:$J$508,Y$1)</f>
        <v>0</v>
      </c>
      <c r="Z61" s="207">
        <f>SUMIFS('январь 2023'!$G$4:$G$508,'январь 2023'!$D$4:$D$508,$B61,'январь 2023'!$J$4:$J$508,Z$1)</f>
        <v>0</v>
      </c>
      <c r="AA61" s="207">
        <f>SUMIFS('январь 2023'!$G$4:$G$508,'январь 2023'!$D$4:$D$508,$B61,'январь 2023'!$J$4:$J$508,AA$1)</f>
        <v>0</v>
      </c>
      <c r="AB61" s="207">
        <f>SUMIFS('январь 2023'!$G$4:$G$508,'январь 2023'!$D$4:$D$508,$B61,'январь 2023'!$J$4:$J$508,AB$1)</f>
        <v>0</v>
      </c>
      <c r="AC61" s="207">
        <f>SUMIFS('январь 2023'!$G$4:$G$508,'январь 2023'!$D$4:$D$508,$B61,'январь 2023'!$J$4:$J$508,AC$1)</f>
        <v>0</v>
      </c>
      <c r="AD61" s="207">
        <f>SUMIFS('январь 2023'!$G$4:$G$508,'январь 2023'!$D$4:$D$508,$B61,'январь 2023'!$J$4:$J$508,AD$1)</f>
        <v>0</v>
      </c>
      <c r="AE61" s="207">
        <f>SUMIFS('январь 2023'!$G$4:$G$508,'январь 2023'!$D$4:$D$508,$B61,'январь 2023'!$J$4:$J$508,AE$1)</f>
        <v>0</v>
      </c>
      <c r="AF61" s="207">
        <f>SUMIFS('январь 2023'!$G$4:$G$508,'январь 2023'!$D$4:$D$508,$B61,'январь 2023'!$J$4:$J$508,AF$1)</f>
        <v>0</v>
      </c>
      <c r="AG61" s="207">
        <f>SUMIFS('январь 2023'!$G$4:$G$508,'январь 2023'!$D$4:$D$508,$B61,'январь 2023'!$J$4:$J$508,AG$1)</f>
        <v>0</v>
      </c>
      <c r="AH61" s="207">
        <f>SUMIFS('январь 2023'!$G$4:$G$508,'январь 2023'!$D$4:$D$508,$B61,'январь 2023'!$J$4:$J$508,AH$1)</f>
        <v>0</v>
      </c>
      <c r="AI61" s="170">
        <f t="shared" si="1"/>
        <v>0</v>
      </c>
    </row>
    <row r="62" spans="2:35" ht="15" customHeight="1" x14ac:dyDescent="0.25">
      <c r="B62" s="216" t="s">
        <v>1800</v>
      </c>
      <c r="C62" s="213">
        <v>900</v>
      </c>
      <c r="D62" s="207">
        <f>SUMIFS('январь 2023'!$G$4:$G$508,'январь 2023'!$D$4:$D$508,$B62,'январь 2023'!$J$4:$J$508,D$1)</f>
        <v>0</v>
      </c>
      <c r="E62" s="207">
        <f>SUMIFS('январь 2023'!$G$4:$G$508,'январь 2023'!$D$4:$D$508,$B62,'январь 2023'!$J$4:$J$508,E$1)</f>
        <v>0</v>
      </c>
      <c r="F62" s="207">
        <f>SUMIFS('январь 2023'!$G$4:$G$508,'январь 2023'!$D$4:$D$508,$B62,'январь 2023'!$J$4:$J$508,F$1)</f>
        <v>0</v>
      </c>
      <c r="G62" s="207">
        <f>SUMIFS('январь 2023'!$G$4:$G$508,'январь 2023'!$D$4:$D$508,$B62,'январь 2023'!$J$4:$J$508,G$1)</f>
        <v>0</v>
      </c>
      <c r="H62" s="207">
        <f>SUMIFS('январь 2023'!$G$4:$G$508,'январь 2023'!$D$4:$D$508,$B62,'январь 2023'!$J$4:$J$508,H$1)</f>
        <v>0</v>
      </c>
      <c r="I62" s="207">
        <f>SUMIFS('январь 2023'!$G$4:$G$508,'январь 2023'!$D$4:$D$508,$B62,'январь 2023'!$J$4:$J$508,I$1)</f>
        <v>0</v>
      </c>
      <c r="J62" s="207">
        <f>SUMIFS('январь 2023'!$G$4:$G$508,'январь 2023'!$D$4:$D$508,$B62,'январь 2023'!$J$4:$J$508,J$1)</f>
        <v>0</v>
      </c>
      <c r="K62" s="207">
        <f>SUMIFS('январь 2023'!$G$4:$G$508,'январь 2023'!$D$4:$D$508,$B62,'январь 2023'!$J$4:$J$508,K$1)</f>
        <v>0</v>
      </c>
      <c r="L62" s="207">
        <f>SUMIFS('январь 2023'!$G$4:$G$508,'январь 2023'!$D$4:$D$508,$B62,'январь 2023'!$J$4:$J$508,L$1)</f>
        <v>0</v>
      </c>
      <c r="M62" s="207">
        <f>SUMIFS('январь 2023'!$G$4:$G$508,'январь 2023'!$D$4:$D$508,$B62,'январь 2023'!$J$4:$J$508,M$1)</f>
        <v>0</v>
      </c>
      <c r="N62" s="207">
        <f>SUMIFS('январь 2023'!$G$4:$G$508,'январь 2023'!$D$4:$D$508,$B62,'январь 2023'!$J$4:$J$508,N$1)</f>
        <v>0</v>
      </c>
      <c r="O62" s="207">
        <f>SUMIFS('январь 2023'!$G$4:$G$508,'январь 2023'!$D$4:$D$508,$B62,'январь 2023'!$J$4:$J$508,O$1)</f>
        <v>0</v>
      </c>
      <c r="P62" s="207">
        <f>SUMIFS('январь 2023'!$G$4:$G$508,'январь 2023'!$D$4:$D$508,$B62,'январь 2023'!$J$4:$J$508,P$1)</f>
        <v>0</v>
      </c>
      <c r="Q62" s="207">
        <f>SUMIFS('январь 2023'!$G$4:$G$508,'январь 2023'!$D$4:$D$508,$B62,'январь 2023'!$J$4:$J$508,Q$1)</f>
        <v>0</v>
      </c>
      <c r="R62" s="207">
        <f>SUMIFS('январь 2023'!$G$4:$G$508,'январь 2023'!$D$4:$D$508,$B62,'январь 2023'!$J$4:$J$508,R$1)</f>
        <v>0</v>
      </c>
      <c r="S62" s="207">
        <f>SUMIFS('январь 2023'!$G$4:$G$508,'январь 2023'!$D$4:$D$508,$B62,'январь 2023'!$J$4:$J$508,S$1)</f>
        <v>0</v>
      </c>
      <c r="T62" s="207">
        <f>SUMIFS('январь 2023'!$G$4:$G$508,'январь 2023'!$D$4:$D$508,$B62,'январь 2023'!$J$4:$J$508,T$1)</f>
        <v>0</v>
      </c>
      <c r="U62" s="207">
        <f>SUMIFS('январь 2023'!$G$4:$G$508,'январь 2023'!$D$4:$D$508,$B62,'январь 2023'!$J$4:$J$508,U$1)</f>
        <v>0</v>
      </c>
      <c r="V62" s="207">
        <f>SUMIFS('январь 2023'!$G$4:$G$508,'январь 2023'!$D$4:$D$508,$B62,'январь 2023'!$J$4:$J$508,V$1)</f>
        <v>0</v>
      </c>
      <c r="W62" s="207">
        <f>SUMIFS('январь 2023'!$G$4:$G$508,'январь 2023'!$D$4:$D$508,$B62,'январь 2023'!$J$4:$J$508,W$1)</f>
        <v>0</v>
      </c>
      <c r="X62" s="207">
        <f>SUMIFS('январь 2023'!$G$4:$G$508,'январь 2023'!$D$4:$D$508,$B62,'январь 2023'!$J$4:$J$508,X$1)</f>
        <v>0</v>
      </c>
      <c r="Y62" s="207">
        <f>SUMIFS('январь 2023'!$G$4:$G$508,'январь 2023'!$D$4:$D$508,$B62,'январь 2023'!$J$4:$J$508,Y$1)</f>
        <v>0</v>
      </c>
      <c r="Z62" s="207">
        <f>SUMIFS('январь 2023'!$G$4:$G$508,'январь 2023'!$D$4:$D$508,$B62,'январь 2023'!$J$4:$J$508,Z$1)</f>
        <v>0</v>
      </c>
      <c r="AA62" s="207">
        <f>SUMIFS('январь 2023'!$G$4:$G$508,'январь 2023'!$D$4:$D$508,$B62,'январь 2023'!$J$4:$J$508,AA$1)</f>
        <v>0</v>
      </c>
      <c r="AB62" s="207">
        <f>SUMIFS('январь 2023'!$G$4:$G$508,'январь 2023'!$D$4:$D$508,$B62,'январь 2023'!$J$4:$J$508,AB$1)</f>
        <v>0</v>
      </c>
      <c r="AC62" s="207">
        <f>SUMIFS('январь 2023'!$G$4:$G$508,'январь 2023'!$D$4:$D$508,$B62,'январь 2023'!$J$4:$J$508,AC$1)</f>
        <v>0</v>
      </c>
      <c r="AD62" s="207">
        <f>SUMIFS('январь 2023'!$G$4:$G$508,'январь 2023'!$D$4:$D$508,$B62,'январь 2023'!$J$4:$J$508,AD$1)</f>
        <v>0</v>
      </c>
      <c r="AE62" s="207">
        <f>SUMIFS('январь 2023'!$G$4:$G$508,'январь 2023'!$D$4:$D$508,$B62,'январь 2023'!$J$4:$J$508,AE$1)</f>
        <v>0</v>
      </c>
      <c r="AF62" s="207">
        <f>SUMIFS('январь 2023'!$G$4:$G$508,'январь 2023'!$D$4:$D$508,$B62,'январь 2023'!$J$4:$J$508,AF$1)</f>
        <v>0</v>
      </c>
      <c r="AG62" s="207">
        <f>SUMIFS('январь 2023'!$G$4:$G$508,'январь 2023'!$D$4:$D$508,$B62,'январь 2023'!$J$4:$J$508,AG$1)</f>
        <v>33</v>
      </c>
      <c r="AH62" s="207">
        <f>SUMIFS('январь 2023'!$G$4:$G$508,'январь 2023'!$D$4:$D$508,$B62,'январь 2023'!$J$4:$J$508,AH$1)</f>
        <v>0</v>
      </c>
      <c r="AI62" s="170">
        <f t="shared" si="1"/>
        <v>33</v>
      </c>
    </row>
    <row r="63" spans="2:35" ht="15" customHeight="1" x14ac:dyDescent="0.25">
      <c r="B63" s="216" t="s">
        <v>1707</v>
      </c>
      <c r="C63" s="213">
        <v>190</v>
      </c>
      <c r="D63" s="207">
        <f>SUMIFS('январь 2023'!$G$4:$G$508,'январь 2023'!$D$4:$D$508,$B63,'январь 2023'!$J$4:$J$508,D$1)</f>
        <v>0</v>
      </c>
      <c r="E63" s="207">
        <f>SUMIFS('январь 2023'!$G$4:$G$508,'январь 2023'!$D$4:$D$508,$B63,'январь 2023'!$J$4:$J$508,E$1)</f>
        <v>0</v>
      </c>
      <c r="F63" s="207">
        <f>SUMIFS('январь 2023'!$G$4:$G$508,'январь 2023'!$D$4:$D$508,$B63,'январь 2023'!$J$4:$J$508,F$1)</f>
        <v>0</v>
      </c>
      <c r="G63" s="207">
        <f>SUMIFS('январь 2023'!$G$4:$G$508,'январь 2023'!$D$4:$D$508,$B63,'январь 2023'!$J$4:$J$508,G$1)</f>
        <v>0</v>
      </c>
      <c r="H63" s="207">
        <f>SUMIFS('январь 2023'!$G$4:$G$508,'январь 2023'!$D$4:$D$508,$B63,'январь 2023'!$J$4:$J$508,H$1)</f>
        <v>0</v>
      </c>
      <c r="I63" s="207">
        <f>SUMIFS('январь 2023'!$G$4:$G$508,'январь 2023'!$D$4:$D$508,$B63,'январь 2023'!$J$4:$J$508,I$1)</f>
        <v>0</v>
      </c>
      <c r="J63" s="207">
        <f>SUMIFS('январь 2023'!$G$4:$G$508,'январь 2023'!$D$4:$D$508,$B63,'январь 2023'!$J$4:$J$508,J$1)</f>
        <v>0</v>
      </c>
      <c r="K63" s="207">
        <f>SUMIFS('январь 2023'!$G$4:$G$508,'январь 2023'!$D$4:$D$508,$B63,'январь 2023'!$J$4:$J$508,K$1)</f>
        <v>0</v>
      </c>
      <c r="L63" s="207">
        <f>SUMIFS('январь 2023'!$G$4:$G$508,'январь 2023'!$D$4:$D$508,$B63,'январь 2023'!$J$4:$J$508,L$1)</f>
        <v>0</v>
      </c>
      <c r="M63" s="207">
        <f>SUMIFS('январь 2023'!$G$4:$G$508,'январь 2023'!$D$4:$D$508,$B63,'январь 2023'!$J$4:$J$508,M$1)</f>
        <v>0</v>
      </c>
      <c r="N63" s="207">
        <f>SUMIFS('январь 2023'!$G$4:$G$508,'январь 2023'!$D$4:$D$508,$B63,'январь 2023'!$J$4:$J$508,N$1)</f>
        <v>0</v>
      </c>
      <c r="O63" s="207">
        <f>SUMIFS('январь 2023'!$G$4:$G$508,'январь 2023'!$D$4:$D$508,$B63,'январь 2023'!$J$4:$J$508,O$1)</f>
        <v>0</v>
      </c>
      <c r="P63" s="207">
        <f>SUMIFS('январь 2023'!$G$4:$G$508,'январь 2023'!$D$4:$D$508,$B63,'январь 2023'!$J$4:$J$508,P$1)</f>
        <v>0</v>
      </c>
      <c r="Q63" s="207">
        <f>SUMIFS('январь 2023'!$G$4:$G$508,'январь 2023'!$D$4:$D$508,$B63,'январь 2023'!$J$4:$J$508,Q$1)</f>
        <v>0</v>
      </c>
      <c r="R63" s="207">
        <f>SUMIFS('январь 2023'!$G$4:$G$508,'январь 2023'!$D$4:$D$508,$B63,'январь 2023'!$J$4:$J$508,R$1)</f>
        <v>0</v>
      </c>
      <c r="S63" s="207">
        <f>SUMIFS('январь 2023'!$G$4:$G$508,'январь 2023'!$D$4:$D$508,$B63,'январь 2023'!$J$4:$J$508,S$1)</f>
        <v>0</v>
      </c>
      <c r="T63" s="207">
        <f>SUMIFS('январь 2023'!$G$4:$G$508,'январь 2023'!$D$4:$D$508,$B63,'январь 2023'!$J$4:$J$508,T$1)</f>
        <v>0</v>
      </c>
      <c r="U63" s="207">
        <f>SUMIFS('январь 2023'!$G$4:$G$508,'январь 2023'!$D$4:$D$508,$B63,'январь 2023'!$J$4:$J$508,U$1)</f>
        <v>0</v>
      </c>
      <c r="V63" s="207">
        <f>SUMIFS('январь 2023'!$G$4:$G$508,'январь 2023'!$D$4:$D$508,$B63,'январь 2023'!$J$4:$J$508,V$1)</f>
        <v>0</v>
      </c>
      <c r="W63" s="207">
        <f>SUMIFS('январь 2023'!$G$4:$G$508,'январь 2023'!$D$4:$D$508,$B63,'январь 2023'!$J$4:$J$508,W$1)</f>
        <v>0</v>
      </c>
      <c r="X63" s="207">
        <f>SUMIFS('январь 2023'!$G$4:$G$508,'январь 2023'!$D$4:$D$508,$B63,'январь 2023'!$J$4:$J$508,X$1)</f>
        <v>0</v>
      </c>
      <c r="Y63" s="207">
        <f>SUMIFS('январь 2023'!$G$4:$G$508,'январь 2023'!$D$4:$D$508,$B63,'январь 2023'!$J$4:$J$508,Y$1)</f>
        <v>0</v>
      </c>
      <c r="Z63" s="207">
        <f>SUMIFS('январь 2023'!$G$4:$G$508,'январь 2023'!$D$4:$D$508,$B63,'январь 2023'!$J$4:$J$508,Z$1)</f>
        <v>0</v>
      </c>
      <c r="AA63" s="207">
        <f>SUMIFS('январь 2023'!$G$4:$G$508,'январь 2023'!$D$4:$D$508,$B63,'январь 2023'!$J$4:$J$508,AA$1)</f>
        <v>0</v>
      </c>
      <c r="AB63" s="207">
        <f>SUMIFS('январь 2023'!$G$4:$G$508,'январь 2023'!$D$4:$D$508,$B63,'январь 2023'!$J$4:$J$508,AB$1)</f>
        <v>0</v>
      </c>
      <c r="AC63" s="207">
        <f>SUMIFS('январь 2023'!$G$4:$G$508,'январь 2023'!$D$4:$D$508,$B63,'январь 2023'!$J$4:$J$508,AC$1)</f>
        <v>6</v>
      </c>
      <c r="AD63" s="207">
        <f>SUMIFS('январь 2023'!$G$4:$G$508,'январь 2023'!$D$4:$D$508,$B63,'январь 2023'!$J$4:$J$508,AD$1)</f>
        <v>0</v>
      </c>
      <c r="AE63" s="207">
        <f>SUMIFS('январь 2023'!$G$4:$G$508,'январь 2023'!$D$4:$D$508,$B63,'январь 2023'!$J$4:$J$508,AE$1)</f>
        <v>0</v>
      </c>
      <c r="AF63" s="207">
        <f>SUMIFS('январь 2023'!$G$4:$G$508,'январь 2023'!$D$4:$D$508,$B63,'январь 2023'!$J$4:$J$508,AF$1)</f>
        <v>0</v>
      </c>
      <c r="AG63" s="207">
        <f>SUMIFS('январь 2023'!$G$4:$G$508,'январь 2023'!$D$4:$D$508,$B63,'январь 2023'!$J$4:$J$508,AG$1)</f>
        <v>0</v>
      </c>
      <c r="AH63" s="207">
        <f>SUMIFS('январь 2023'!$G$4:$G$508,'январь 2023'!$D$4:$D$508,$B63,'январь 2023'!$J$4:$J$508,AH$1)</f>
        <v>0</v>
      </c>
      <c r="AI63" s="170">
        <f t="shared" si="1"/>
        <v>6</v>
      </c>
    </row>
    <row r="64" spans="2:35" ht="15" customHeight="1" x14ac:dyDescent="0.25">
      <c r="B64" s="216" t="s">
        <v>2216</v>
      </c>
      <c r="C64" s="213">
        <v>190</v>
      </c>
      <c r="D64" s="207">
        <f>SUMIFS('январь 2023'!$G$4:$G$508,'январь 2023'!$D$4:$D$508,$B64,'январь 2023'!$J$4:$J$508,D$1)</f>
        <v>0</v>
      </c>
      <c r="E64" s="207">
        <f>SUMIFS('январь 2023'!$G$4:$G$508,'январь 2023'!$D$4:$D$508,$B64,'январь 2023'!$J$4:$J$508,E$1)</f>
        <v>0</v>
      </c>
      <c r="F64" s="207">
        <f>SUMIFS('январь 2023'!$G$4:$G$508,'январь 2023'!$D$4:$D$508,$B64,'январь 2023'!$J$4:$J$508,F$1)</f>
        <v>0</v>
      </c>
      <c r="G64" s="207">
        <f>SUMIFS('январь 2023'!$G$4:$G$508,'январь 2023'!$D$4:$D$508,$B64,'январь 2023'!$J$4:$J$508,G$1)</f>
        <v>0</v>
      </c>
      <c r="H64" s="207">
        <f>SUMIFS('январь 2023'!$G$4:$G$508,'январь 2023'!$D$4:$D$508,$B64,'январь 2023'!$J$4:$J$508,H$1)</f>
        <v>0</v>
      </c>
      <c r="I64" s="207">
        <f>SUMIFS('январь 2023'!$G$4:$G$508,'январь 2023'!$D$4:$D$508,$B64,'январь 2023'!$J$4:$J$508,I$1)</f>
        <v>0</v>
      </c>
      <c r="J64" s="207">
        <f>SUMIFS('январь 2023'!$G$4:$G$508,'январь 2023'!$D$4:$D$508,$B64,'январь 2023'!$J$4:$J$508,J$1)</f>
        <v>0</v>
      </c>
      <c r="K64" s="207">
        <f>SUMIFS('январь 2023'!$G$4:$G$508,'январь 2023'!$D$4:$D$508,$B64,'январь 2023'!$J$4:$J$508,K$1)</f>
        <v>0</v>
      </c>
      <c r="L64" s="207">
        <f>SUMIFS('январь 2023'!$G$4:$G$508,'январь 2023'!$D$4:$D$508,$B64,'январь 2023'!$J$4:$J$508,L$1)</f>
        <v>0</v>
      </c>
      <c r="M64" s="207">
        <f>SUMIFS('январь 2023'!$G$4:$G$508,'январь 2023'!$D$4:$D$508,$B64,'январь 2023'!$J$4:$J$508,M$1)</f>
        <v>0</v>
      </c>
      <c r="N64" s="207">
        <f>SUMIFS('январь 2023'!$G$4:$G$508,'январь 2023'!$D$4:$D$508,$B64,'январь 2023'!$J$4:$J$508,N$1)</f>
        <v>0</v>
      </c>
      <c r="O64" s="207">
        <f>SUMIFS('январь 2023'!$G$4:$G$508,'январь 2023'!$D$4:$D$508,$B64,'январь 2023'!$J$4:$J$508,O$1)</f>
        <v>0</v>
      </c>
      <c r="P64" s="207">
        <f>SUMIFS('январь 2023'!$G$4:$G$508,'январь 2023'!$D$4:$D$508,$B64,'январь 2023'!$J$4:$J$508,P$1)</f>
        <v>0</v>
      </c>
      <c r="Q64" s="207">
        <f>SUMIFS('январь 2023'!$G$4:$G$508,'январь 2023'!$D$4:$D$508,$B64,'январь 2023'!$J$4:$J$508,Q$1)</f>
        <v>0</v>
      </c>
      <c r="R64" s="207">
        <f>SUMIFS('январь 2023'!$G$4:$G$508,'январь 2023'!$D$4:$D$508,$B64,'январь 2023'!$J$4:$J$508,R$1)</f>
        <v>0</v>
      </c>
      <c r="S64" s="207">
        <f>SUMIFS('январь 2023'!$G$4:$G$508,'январь 2023'!$D$4:$D$508,$B64,'январь 2023'!$J$4:$J$508,S$1)</f>
        <v>0</v>
      </c>
      <c r="T64" s="207">
        <f>SUMIFS('январь 2023'!$G$4:$G$508,'январь 2023'!$D$4:$D$508,$B64,'январь 2023'!$J$4:$J$508,T$1)</f>
        <v>0</v>
      </c>
      <c r="U64" s="207">
        <f>SUMIFS('январь 2023'!$G$4:$G$508,'январь 2023'!$D$4:$D$508,$B64,'январь 2023'!$J$4:$J$508,U$1)</f>
        <v>0</v>
      </c>
      <c r="V64" s="207">
        <f>SUMIFS('январь 2023'!$G$4:$G$508,'январь 2023'!$D$4:$D$508,$B64,'январь 2023'!$J$4:$J$508,V$1)</f>
        <v>0</v>
      </c>
      <c r="W64" s="207">
        <f>SUMIFS('январь 2023'!$G$4:$G$508,'январь 2023'!$D$4:$D$508,$B64,'январь 2023'!$J$4:$J$508,W$1)</f>
        <v>0</v>
      </c>
      <c r="X64" s="207">
        <f>SUMIFS('январь 2023'!$G$4:$G$508,'январь 2023'!$D$4:$D$508,$B64,'январь 2023'!$J$4:$J$508,X$1)</f>
        <v>0</v>
      </c>
      <c r="Y64" s="207">
        <f>SUMIFS('январь 2023'!$G$4:$G$508,'январь 2023'!$D$4:$D$508,$B64,'январь 2023'!$J$4:$J$508,Y$1)</f>
        <v>0</v>
      </c>
      <c r="Z64" s="207">
        <f>SUMIFS('январь 2023'!$G$4:$G$508,'январь 2023'!$D$4:$D$508,$B64,'январь 2023'!$J$4:$J$508,Z$1)</f>
        <v>0</v>
      </c>
      <c r="AA64" s="207">
        <f>SUMIFS('январь 2023'!$G$4:$G$508,'январь 2023'!$D$4:$D$508,$B64,'январь 2023'!$J$4:$J$508,AA$1)</f>
        <v>0</v>
      </c>
      <c r="AB64" s="207">
        <f>SUMIFS('январь 2023'!$G$4:$G$508,'январь 2023'!$D$4:$D$508,$B64,'январь 2023'!$J$4:$J$508,AB$1)</f>
        <v>0</v>
      </c>
      <c r="AC64" s="207">
        <f>SUMIFS('январь 2023'!$G$4:$G$508,'январь 2023'!$D$4:$D$508,$B64,'январь 2023'!$J$4:$J$508,AC$1)</f>
        <v>0</v>
      </c>
      <c r="AD64" s="207">
        <f>SUMIFS('январь 2023'!$G$4:$G$508,'январь 2023'!$D$4:$D$508,$B64,'январь 2023'!$J$4:$J$508,AD$1)</f>
        <v>0</v>
      </c>
      <c r="AE64" s="207">
        <f>SUMIFS('январь 2023'!$G$4:$G$508,'январь 2023'!$D$4:$D$508,$B64,'январь 2023'!$J$4:$J$508,AE$1)</f>
        <v>0</v>
      </c>
      <c r="AF64" s="207">
        <f>SUMIFS('январь 2023'!$G$4:$G$508,'январь 2023'!$D$4:$D$508,$B64,'январь 2023'!$J$4:$J$508,AF$1)</f>
        <v>0</v>
      </c>
      <c r="AG64" s="207">
        <f>SUMIFS('январь 2023'!$G$4:$G$508,'январь 2023'!$D$4:$D$508,$B64,'январь 2023'!$J$4:$J$508,AG$1)</f>
        <v>0</v>
      </c>
      <c r="AH64" s="207">
        <f>SUMIFS('январь 2023'!$G$4:$G$508,'январь 2023'!$D$4:$D$508,$B64,'январь 2023'!$J$4:$J$508,AH$1)</f>
        <v>0</v>
      </c>
      <c r="AI64" s="170">
        <f t="shared" si="1"/>
        <v>0</v>
      </c>
    </row>
    <row r="65" spans="2:35" ht="15" customHeight="1" x14ac:dyDescent="0.25">
      <c r="B65" s="216" t="s">
        <v>1498</v>
      </c>
      <c r="C65" s="213">
        <v>190</v>
      </c>
      <c r="D65" s="207">
        <f>SUMIFS('январь 2023'!$G$4:$G$508,'январь 2023'!$D$4:$D$508,$B65,'январь 2023'!$J$4:$J$508,D$1)</f>
        <v>0</v>
      </c>
      <c r="E65" s="207">
        <f>SUMIFS('январь 2023'!$G$4:$G$508,'январь 2023'!$D$4:$D$508,$B65,'январь 2023'!$J$4:$J$508,E$1)</f>
        <v>0</v>
      </c>
      <c r="F65" s="207">
        <f>SUMIFS('январь 2023'!$G$4:$G$508,'январь 2023'!$D$4:$D$508,$B65,'январь 2023'!$J$4:$J$508,F$1)</f>
        <v>0</v>
      </c>
      <c r="G65" s="207">
        <f>SUMIFS('январь 2023'!$G$4:$G$508,'январь 2023'!$D$4:$D$508,$B65,'январь 2023'!$J$4:$J$508,G$1)</f>
        <v>0</v>
      </c>
      <c r="H65" s="207">
        <f>SUMIFS('январь 2023'!$G$4:$G$508,'январь 2023'!$D$4:$D$508,$B65,'январь 2023'!$J$4:$J$508,H$1)</f>
        <v>0</v>
      </c>
      <c r="I65" s="207">
        <f>SUMIFS('январь 2023'!$G$4:$G$508,'январь 2023'!$D$4:$D$508,$B65,'январь 2023'!$J$4:$J$508,I$1)</f>
        <v>0</v>
      </c>
      <c r="J65" s="207">
        <f>SUMIFS('январь 2023'!$G$4:$G$508,'январь 2023'!$D$4:$D$508,$B65,'январь 2023'!$J$4:$J$508,J$1)</f>
        <v>0</v>
      </c>
      <c r="K65" s="207">
        <f>SUMIFS('январь 2023'!$G$4:$G$508,'январь 2023'!$D$4:$D$508,$B65,'январь 2023'!$J$4:$J$508,K$1)</f>
        <v>0</v>
      </c>
      <c r="L65" s="207">
        <f>SUMIFS('январь 2023'!$G$4:$G$508,'январь 2023'!$D$4:$D$508,$B65,'январь 2023'!$J$4:$J$508,L$1)</f>
        <v>0</v>
      </c>
      <c r="M65" s="207">
        <f>SUMIFS('январь 2023'!$G$4:$G$508,'январь 2023'!$D$4:$D$508,$B65,'январь 2023'!$J$4:$J$508,M$1)</f>
        <v>0</v>
      </c>
      <c r="N65" s="207">
        <f>SUMIFS('январь 2023'!$G$4:$G$508,'январь 2023'!$D$4:$D$508,$B65,'январь 2023'!$J$4:$J$508,N$1)</f>
        <v>0</v>
      </c>
      <c r="O65" s="207">
        <f>SUMIFS('январь 2023'!$G$4:$G$508,'январь 2023'!$D$4:$D$508,$B65,'январь 2023'!$J$4:$J$508,O$1)</f>
        <v>0</v>
      </c>
      <c r="P65" s="207">
        <f>SUMIFS('январь 2023'!$G$4:$G$508,'январь 2023'!$D$4:$D$508,$B65,'январь 2023'!$J$4:$J$508,P$1)</f>
        <v>0</v>
      </c>
      <c r="Q65" s="207">
        <f>SUMIFS('январь 2023'!$G$4:$G$508,'январь 2023'!$D$4:$D$508,$B65,'январь 2023'!$J$4:$J$508,Q$1)</f>
        <v>0</v>
      </c>
      <c r="R65" s="207">
        <f>SUMIFS('январь 2023'!$G$4:$G$508,'январь 2023'!$D$4:$D$508,$B65,'январь 2023'!$J$4:$J$508,R$1)</f>
        <v>0</v>
      </c>
      <c r="S65" s="207">
        <f>SUMIFS('январь 2023'!$G$4:$G$508,'январь 2023'!$D$4:$D$508,$B65,'январь 2023'!$J$4:$J$508,S$1)</f>
        <v>0</v>
      </c>
      <c r="T65" s="207">
        <f>SUMIFS('январь 2023'!$G$4:$G$508,'январь 2023'!$D$4:$D$508,$B65,'январь 2023'!$J$4:$J$508,T$1)</f>
        <v>0</v>
      </c>
      <c r="U65" s="207">
        <f>SUMIFS('январь 2023'!$G$4:$G$508,'январь 2023'!$D$4:$D$508,$B65,'январь 2023'!$J$4:$J$508,U$1)</f>
        <v>88</v>
      </c>
      <c r="V65" s="207">
        <f>SUMIFS('январь 2023'!$G$4:$G$508,'январь 2023'!$D$4:$D$508,$B65,'январь 2023'!$J$4:$J$508,V$1)</f>
        <v>0</v>
      </c>
      <c r="W65" s="207">
        <f>SUMIFS('январь 2023'!$G$4:$G$508,'январь 2023'!$D$4:$D$508,$B65,'январь 2023'!$J$4:$J$508,W$1)</f>
        <v>0</v>
      </c>
      <c r="X65" s="207">
        <f>SUMIFS('январь 2023'!$G$4:$G$508,'январь 2023'!$D$4:$D$508,$B65,'январь 2023'!$J$4:$J$508,X$1)</f>
        <v>0</v>
      </c>
      <c r="Y65" s="207">
        <f>SUMIFS('январь 2023'!$G$4:$G$508,'январь 2023'!$D$4:$D$508,$B65,'январь 2023'!$J$4:$J$508,Y$1)</f>
        <v>0</v>
      </c>
      <c r="Z65" s="207">
        <f>SUMIFS('январь 2023'!$G$4:$G$508,'январь 2023'!$D$4:$D$508,$B65,'январь 2023'!$J$4:$J$508,Z$1)</f>
        <v>0</v>
      </c>
      <c r="AA65" s="207">
        <f>SUMIFS('январь 2023'!$G$4:$G$508,'январь 2023'!$D$4:$D$508,$B65,'январь 2023'!$J$4:$J$508,AA$1)</f>
        <v>0</v>
      </c>
      <c r="AB65" s="207">
        <f>SUMIFS('январь 2023'!$G$4:$G$508,'январь 2023'!$D$4:$D$508,$B65,'январь 2023'!$J$4:$J$508,AB$1)</f>
        <v>0</v>
      </c>
      <c r="AC65" s="207">
        <f>SUMIFS('январь 2023'!$G$4:$G$508,'январь 2023'!$D$4:$D$508,$B65,'январь 2023'!$J$4:$J$508,AC$1)</f>
        <v>0</v>
      </c>
      <c r="AD65" s="207">
        <f>SUMIFS('январь 2023'!$G$4:$G$508,'январь 2023'!$D$4:$D$508,$B65,'январь 2023'!$J$4:$J$508,AD$1)</f>
        <v>88</v>
      </c>
      <c r="AE65" s="207">
        <f>SUMIFS('январь 2023'!$G$4:$G$508,'январь 2023'!$D$4:$D$508,$B65,'январь 2023'!$J$4:$J$508,AE$1)</f>
        <v>0</v>
      </c>
      <c r="AF65" s="207">
        <f>SUMIFS('январь 2023'!$G$4:$G$508,'январь 2023'!$D$4:$D$508,$B65,'январь 2023'!$J$4:$J$508,AF$1)</f>
        <v>0</v>
      </c>
      <c r="AG65" s="207">
        <f>SUMIFS('январь 2023'!$G$4:$G$508,'январь 2023'!$D$4:$D$508,$B65,'январь 2023'!$J$4:$J$508,AG$1)</f>
        <v>0</v>
      </c>
      <c r="AH65" s="207">
        <f>SUMIFS('январь 2023'!$G$4:$G$508,'январь 2023'!$D$4:$D$508,$B65,'январь 2023'!$J$4:$J$508,AH$1)</f>
        <v>0</v>
      </c>
      <c r="AI65" s="170">
        <f t="shared" si="1"/>
        <v>176</v>
      </c>
    </row>
    <row r="66" spans="2:35" ht="15" customHeight="1" x14ac:dyDescent="0.25">
      <c r="B66" s="212" t="s">
        <v>2166</v>
      </c>
      <c r="C66" s="211">
        <v>180</v>
      </c>
      <c r="D66" s="207">
        <f>SUMIFS('январь 2023'!$G$4:$G$508,'январь 2023'!$D$4:$D$508,$B66,'январь 2023'!$J$4:$J$508,D$1)</f>
        <v>0</v>
      </c>
      <c r="E66" s="207">
        <f>SUMIFS('январь 2023'!$G$4:$G$508,'январь 2023'!$D$4:$D$508,$B66,'январь 2023'!$J$4:$J$508,E$1)</f>
        <v>0</v>
      </c>
      <c r="F66" s="207">
        <f>SUMIFS('январь 2023'!$G$4:$G$508,'январь 2023'!$D$4:$D$508,$B66,'январь 2023'!$J$4:$J$508,F$1)</f>
        <v>0</v>
      </c>
      <c r="G66" s="207">
        <f>SUMIFS('январь 2023'!$G$4:$G$508,'январь 2023'!$D$4:$D$508,$B66,'январь 2023'!$J$4:$J$508,G$1)</f>
        <v>0</v>
      </c>
      <c r="H66" s="207">
        <f>SUMIFS('январь 2023'!$G$4:$G$508,'январь 2023'!$D$4:$D$508,$B66,'январь 2023'!$J$4:$J$508,H$1)</f>
        <v>0</v>
      </c>
      <c r="I66" s="207">
        <f>SUMIFS('январь 2023'!$G$4:$G$508,'январь 2023'!$D$4:$D$508,$B66,'январь 2023'!$J$4:$J$508,I$1)</f>
        <v>0</v>
      </c>
      <c r="J66" s="207">
        <f>SUMIFS('январь 2023'!$G$4:$G$508,'январь 2023'!$D$4:$D$508,$B66,'январь 2023'!$J$4:$J$508,J$1)</f>
        <v>0</v>
      </c>
      <c r="K66" s="207">
        <f>SUMIFS('январь 2023'!$G$4:$G$508,'январь 2023'!$D$4:$D$508,$B66,'январь 2023'!$J$4:$J$508,K$1)</f>
        <v>0</v>
      </c>
      <c r="L66" s="207">
        <f>SUMIFS('январь 2023'!$G$4:$G$508,'январь 2023'!$D$4:$D$508,$B66,'январь 2023'!$J$4:$J$508,L$1)</f>
        <v>0</v>
      </c>
      <c r="M66" s="207">
        <f>SUMIFS('январь 2023'!$G$4:$G$508,'январь 2023'!$D$4:$D$508,$B66,'январь 2023'!$J$4:$J$508,M$1)</f>
        <v>0</v>
      </c>
      <c r="N66" s="207">
        <f>SUMIFS('январь 2023'!$G$4:$G$508,'январь 2023'!$D$4:$D$508,$B66,'январь 2023'!$J$4:$J$508,N$1)</f>
        <v>0</v>
      </c>
      <c r="O66" s="207">
        <f>SUMIFS('январь 2023'!$G$4:$G$508,'январь 2023'!$D$4:$D$508,$B66,'январь 2023'!$J$4:$J$508,O$1)</f>
        <v>0</v>
      </c>
      <c r="P66" s="207">
        <f>SUMIFS('январь 2023'!$G$4:$G$508,'январь 2023'!$D$4:$D$508,$B66,'январь 2023'!$J$4:$J$508,P$1)</f>
        <v>0</v>
      </c>
      <c r="Q66" s="207">
        <f>SUMIFS('январь 2023'!$G$4:$G$508,'январь 2023'!$D$4:$D$508,$B66,'январь 2023'!$J$4:$J$508,Q$1)</f>
        <v>0</v>
      </c>
      <c r="R66" s="207">
        <f>SUMIFS('январь 2023'!$G$4:$G$508,'январь 2023'!$D$4:$D$508,$B66,'январь 2023'!$J$4:$J$508,R$1)</f>
        <v>0</v>
      </c>
      <c r="S66" s="207">
        <f>SUMIFS('январь 2023'!$G$4:$G$508,'январь 2023'!$D$4:$D$508,$B66,'январь 2023'!$J$4:$J$508,S$1)</f>
        <v>0</v>
      </c>
      <c r="T66" s="207">
        <f>SUMIFS('январь 2023'!$G$4:$G$508,'январь 2023'!$D$4:$D$508,$B66,'январь 2023'!$J$4:$J$508,T$1)</f>
        <v>0</v>
      </c>
      <c r="U66" s="207">
        <f>SUMIFS('январь 2023'!$G$4:$G$508,'январь 2023'!$D$4:$D$508,$B66,'январь 2023'!$J$4:$J$508,U$1)</f>
        <v>0</v>
      </c>
      <c r="V66" s="207">
        <f>SUMIFS('январь 2023'!$G$4:$G$508,'январь 2023'!$D$4:$D$508,$B66,'январь 2023'!$J$4:$J$508,V$1)</f>
        <v>0</v>
      </c>
      <c r="W66" s="207">
        <f>SUMIFS('январь 2023'!$G$4:$G$508,'январь 2023'!$D$4:$D$508,$B66,'январь 2023'!$J$4:$J$508,W$1)</f>
        <v>0</v>
      </c>
      <c r="X66" s="207">
        <f>SUMIFS('январь 2023'!$G$4:$G$508,'январь 2023'!$D$4:$D$508,$B66,'январь 2023'!$J$4:$J$508,X$1)</f>
        <v>0</v>
      </c>
      <c r="Y66" s="207">
        <f>SUMIFS('январь 2023'!$G$4:$G$508,'январь 2023'!$D$4:$D$508,$B66,'январь 2023'!$J$4:$J$508,Y$1)</f>
        <v>0</v>
      </c>
      <c r="Z66" s="207">
        <f>SUMIFS('январь 2023'!$G$4:$G$508,'январь 2023'!$D$4:$D$508,$B66,'январь 2023'!$J$4:$J$508,Z$1)</f>
        <v>0</v>
      </c>
      <c r="AA66" s="207">
        <f>SUMIFS('январь 2023'!$G$4:$G$508,'январь 2023'!$D$4:$D$508,$B66,'январь 2023'!$J$4:$J$508,AA$1)</f>
        <v>0</v>
      </c>
      <c r="AB66" s="207">
        <f>SUMIFS('январь 2023'!$G$4:$G$508,'январь 2023'!$D$4:$D$508,$B66,'январь 2023'!$J$4:$J$508,AB$1)</f>
        <v>0</v>
      </c>
      <c r="AC66" s="207">
        <f>SUMIFS('январь 2023'!$G$4:$G$508,'январь 2023'!$D$4:$D$508,$B66,'январь 2023'!$J$4:$J$508,AC$1)</f>
        <v>0</v>
      </c>
      <c r="AD66" s="207">
        <f>SUMIFS('январь 2023'!$G$4:$G$508,'январь 2023'!$D$4:$D$508,$B66,'январь 2023'!$J$4:$J$508,AD$1)</f>
        <v>0</v>
      </c>
      <c r="AE66" s="207">
        <f>SUMIFS('январь 2023'!$G$4:$G$508,'январь 2023'!$D$4:$D$508,$B66,'январь 2023'!$J$4:$J$508,AE$1)</f>
        <v>0</v>
      </c>
      <c r="AF66" s="207">
        <f>SUMIFS('январь 2023'!$G$4:$G$508,'январь 2023'!$D$4:$D$508,$B66,'январь 2023'!$J$4:$J$508,AF$1)</f>
        <v>0</v>
      </c>
      <c r="AG66" s="207">
        <f>SUMIFS('январь 2023'!$G$4:$G$508,'январь 2023'!$D$4:$D$508,$B66,'январь 2023'!$J$4:$J$508,AG$1)</f>
        <v>0</v>
      </c>
      <c r="AH66" s="207">
        <f>SUMIFS('январь 2023'!$G$4:$G$508,'январь 2023'!$D$4:$D$508,$B66,'январь 2023'!$J$4:$J$508,AH$1)</f>
        <v>0</v>
      </c>
      <c r="AI66" s="170">
        <f t="shared" si="1"/>
        <v>0</v>
      </c>
    </row>
    <row r="67" spans="2:35" ht="15" customHeight="1" x14ac:dyDescent="0.25">
      <c r="B67" s="216"/>
      <c r="C67" s="213"/>
      <c r="D67" s="207">
        <f>SUMIFS('январь 2023'!$G$4:$G$508,'январь 2023'!$D$4:$D$508,$B67,'январь 2023'!$J$4:$J$508,D$1)</f>
        <v>0</v>
      </c>
      <c r="E67" s="207">
        <f>SUMIFS('январь 2023'!$G$4:$G$508,'январь 2023'!$D$4:$D$508,$B67,'январь 2023'!$J$4:$J$508,E$1)</f>
        <v>0</v>
      </c>
      <c r="F67" s="207">
        <f>SUMIFS('январь 2023'!$G$4:$G$508,'январь 2023'!$D$4:$D$508,$B67,'январь 2023'!$J$4:$J$508,F$1)</f>
        <v>0</v>
      </c>
      <c r="G67" s="207">
        <f>SUMIFS('январь 2023'!$G$4:$G$508,'январь 2023'!$D$4:$D$508,$B67,'январь 2023'!$J$4:$J$508,G$1)</f>
        <v>0</v>
      </c>
      <c r="H67" s="207">
        <f>SUMIFS('январь 2023'!$G$4:$G$508,'январь 2023'!$D$4:$D$508,$B67,'январь 2023'!$J$4:$J$508,H$1)</f>
        <v>0</v>
      </c>
      <c r="I67" s="207">
        <f>SUMIFS('январь 2023'!$G$4:$G$508,'январь 2023'!$D$4:$D$508,$B67,'январь 2023'!$J$4:$J$508,I$1)</f>
        <v>0</v>
      </c>
      <c r="J67" s="207">
        <f>SUMIFS('январь 2023'!$G$4:$G$508,'январь 2023'!$D$4:$D$508,$B67,'январь 2023'!$J$4:$J$508,J$1)</f>
        <v>0</v>
      </c>
      <c r="K67" s="207">
        <f>SUMIFS('январь 2023'!$G$4:$G$508,'январь 2023'!$D$4:$D$508,$B67,'январь 2023'!$J$4:$J$508,K$1)</f>
        <v>0</v>
      </c>
      <c r="L67" s="207">
        <f>SUMIFS('январь 2023'!$G$4:$G$508,'январь 2023'!$D$4:$D$508,$B67,'январь 2023'!$J$4:$J$508,L$1)</f>
        <v>0</v>
      </c>
      <c r="M67" s="207">
        <f>SUMIFS('январь 2023'!$G$4:$G$508,'январь 2023'!$D$4:$D$508,$B67,'январь 2023'!$J$4:$J$508,M$1)</f>
        <v>0</v>
      </c>
      <c r="N67" s="207">
        <f>SUMIFS('январь 2023'!$G$4:$G$508,'январь 2023'!$D$4:$D$508,$B67,'январь 2023'!$J$4:$J$508,N$1)</f>
        <v>0</v>
      </c>
      <c r="O67" s="207">
        <f>SUMIFS('январь 2023'!$G$4:$G$508,'январь 2023'!$D$4:$D$508,$B67,'январь 2023'!$J$4:$J$508,O$1)</f>
        <v>0</v>
      </c>
      <c r="P67" s="207">
        <f>SUMIFS('январь 2023'!$G$4:$G$508,'январь 2023'!$D$4:$D$508,$B67,'январь 2023'!$J$4:$J$508,P$1)</f>
        <v>0</v>
      </c>
      <c r="Q67" s="207">
        <f>SUMIFS('январь 2023'!$G$4:$G$508,'январь 2023'!$D$4:$D$508,$B67,'январь 2023'!$J$4:$J$508,Q$1)</f>
        <v>0</v>
      </c>
      <c r="R67" s="207">
        <f>SUMIFS('январь 2023'!$G$4:$G$508,'январь 2023'!$D$4:$D$508,$B67,'январь 2023'!$J$4:$J$508,R$1)</f>
        <v>0</v>
      </c>
      <c r="S67" s="207">
        <f>SUMIFS('январь 2023'!$G$4:$G$508,'январь 2023'!$D$4:$D$508,$B67,'январь 2023'!$J$4:$J$508,S$1)</f>
        <v>0</v>
      </c>
      <c r="T67" s="207">
        <f>SUMIFS('январь 2023'!$G$4:$G$508,'январь 2023'!$D$4:$D$508,$B67,'январь 2023'!$J$4:$J$508,T$1)</f>
        <v>0</v>
      </c>
      <c r="U67" s="207">
        <f>SUMIFS('январь 2023'!$G$4:$G$508,'январь 2023'!$D$4:$D$508,$B67,'январь 2023'!$J$4:$J$508,U$1)</f>
        <v>0</v>
      </c>
      <c r="V67" s="207">
        <f>SUMIFS('январь 2023'!$G$4:$G$508,'январь 2023'!$D$4:$D$508,$B67,'январь 2023'!$J$4:$J$508,V$1)</f>
        <v>0</v>
      </c>
      <c r="W67" s="207">
        <f>SUMIFS('январь 2023'!$G$4:$G$508,'январь 2023'!$D$4:$D$508,$B67,'январь 2023'!$J$4:$J$508,W$1)</f>
        <v>0</v>
      </c>
      <c r="X67" s="207">
        <f>SUMIFS('январь 2023'!$G$4:$G$508,'январь 2023'!$D$4:$D$508,$B67,'январь 2023'!$J$4:$J$508,X$1)</f>
        <v>0</v>
      </c>
      <c r="Y67" s="207">
        <f>SUMIFS('январь 2023'!$G$4:$G$508,'январь 2023'!$D$4:$D$508,$B67,'январь 2023'!$J$4:$J$508,Y$1)</f>
        <v>0</v>
      </c>
      <c r="Z67" s="207">
        <f>SUMIFS('январь 2023'!$G$4:$G$508,'январь 2023'!$D$4:$D$508,$B67,'январь 2023'!$J$4:$J$508,Z$1)</f>
        <v>0</v>
      </c>
      <c r="AA67" s="207">
        <f>SUMIFS('январь 2023'!$G$4:$G$508,'январь 2023'!$D$4:$D$508,$B67,'январь 2023'!$J$4:$J$508,AA$1)</f>
        <v>0</v>
      </c>
      <c r="AB67" s="207">
        <f>SUMIFS('январь 2023'!$G$4:$G$508,'январь 2023'!$D$4:$D$508,$B67,'январь 2023'!$J$4:$J$508,AB$1)</f>
        <v>0</v>
      </c>
      <c r="AC67" s="207">
        <f>SUMIFS('январь 2023'!$G$4:$G$508,'январь 2023'!$D$4:$D$508,$B67,'январь 2023'!$J$4:$J$508,AC$1)</f>
        <v>0</v>
      </c>
      <c r="AD67" s="207">
        <f>SUMIFS('январь 2023'!$G$4:$G$508,'январь 2023'!$D$4:$D$508,$B67,'январь 2023'!$J$4:$J$508,AD$1)</f>
        <v>0</v>
      </c>
      <c r="AE67" s="207">
        <f>SUMIFS('январь 2023'!$G$4:$G$508,'январь 2023'!$D$4:$D$508,$B67,'январь 2023'!$J$4:$J$508,AE$1)</f>
        <v>0</v>
      </c>
      <c r="AF67" s="207">
        <f>SUMIFS('январь 2023'!$G$4:$G$508,'январь 2023'!$D$4:$D$508,$B67,'январь 2023'!$J$4:$J$508,AF$1)</f>
        <v>0</v>
      </c>
      <c r="AG67" s="207">
        <f>SUMIFS('январь 2023'!$G$4:$G$508,'январь 2023'!$D$4:$D$508,$B67,'январь 2023'!$J$4:$J$508,AG$1)</f>
        <v>0</v>
      </c>
      <c r="AH67" s="207">
        <f>SUMIFS('январь 2023'!$G$4:$G$508,'январь 2023'!$D$4:$D$508,$B67,'январь 2023'!$J$4:$J$508,AH$1)</f>
        <v>0</v>
      </c>
      <c r="AI67" s="170">
        <f t="shared" ref="AI67:AI130" si="2">SUM(D67:AH67)</f>
        <v>0</v>
      </c>
    </row>
    <row r="68" spans="2:35" ht="15" customHeight="1" x14ac:dyDescent="0.25">
      <c r="B68" s="216"/>
      <c r="C68" s="213"/>
      <c r="D68" s="207">
        <f>SUMIFS('январь 2023'!$G$4:$G$508,'январь 2023'!$D$4:$D$508,$B68,'январь 2023'!$J$4:$J$508,D$1)</f>
        <v>0</v>
      </c>
      <c r="E68" s="207">
        <f>SUMIFS('январь 2023'!$G$4:$G$508,'январь 2023'!$D$4:$D$508,$B68,'январь 2023'!$J$4:$J$508,E$1)</f>
        <v>0</v>
      </c>
      <c r="F68" s="207">
        <f>SUMIFS('январь 2023'!$G$4:$G$508,'январь 2023'!$D$4:$D$508,$B68,'январь 2023'!$J$4:$J$508,F$1)</f>
        <v>0</v>
      </c>
      <c r="G68" s="207">
        <f>SUMIFS('январь 2023'!$G$4:$G$508,'январь 2023'!$D$4:$D$508,$B68,'январь 2023'!$J$4:$J$508,G$1)</f>
        <v>0</v>
      </c>
      <c r="H68" s="207">
        <f>SUMIFS('январь 2023'!$G$4:$G$508,'январь 2023'!$D$4:$D$508,$B68,'январь 2023'!$J$4:$J$508,H$1)</f>
        <v>0</v>
      </c>
      <c r="I68" s="207">
        <f>SUMIFS('январь 2023'!$G$4:$G$508,'январь 2023'!$D$4:$D$508,$B68,'январь 2023'!$J$4:$J$508,I$1)</f>
        <v>0</v>
      </c>
      <c r="J68" s="207">
        <f>SUMIFS('январь 2023'!$G$4:$G$508,'январь 2023'!$D$4:$D$508,$B68,'январь 2023'!$J$4:$J$508,J$1)</f>
        <v>0</v>
      </c>
      <c r="K68" s="207">
        <f>SUMIFS('январь 2023'!$G$4:$G$508,'январь 2023'!$D$4:$D$508,$B68,'январь 2023'!$J$4:$J$508,K$1)</f>
        <v>0</v>
      </c>
      <c r="L68" s="207">
        <f>SUMIFS('январь 2023'!$G$4:$G$508,'январь 2023'!$D$4:$D$508,$B68,'январь 2023'!$J$4:$J$508,L$1)</f>
        <v>0</v>
      </c>
      <c r="M68" s="207">
        <f>SUMIFS('январь 2023'!$G$4:$G$508,'январь 2023'!$D$4:$D$508,$B68,'январь 2023'!$J$4:$J$508,M$1)</f>
        <v>0</v>
      </c>
      <c r="N68" s="207">
        <f>SUMIFS('январь 2023'!$G$4:$G$508,'январь 2023'!$D$4:$D$508,$B68,'январь 2023'!$J$4:$J$508,N$1)</f>
        <v>0</v>
      </c>
      <c r="O68" s="207">
        <f>SUMIFS('январь 2023'!$G$4:$G$508,'январь 2023'!$D$4:$D$508,$B68,'январь 2023'!$J$4:$J$508,O$1)</f>
        <v>0</v>
      </c>
      <c r="P68" s="207">
        <f>SUMIFS('январь 2023'!$G$4:$G$508,'январь 2023'!$D$4:$D$508,$B68,'январь 2023'!$J$4:$J$508,P$1)</f>
        <v>0</v>
      </c>
      <c r="Q68" s="207">
        <f>SUMIFS('январь 2023'!$G$4:$G$508,'январь 2023'!$D$4:$D$508,$B68,'январь 2023'!$J$4:$J$508,Q$1)</f>
        <v>0</v>
      </c>
      <c r="R68" s="207">
        <f>SUMIFS('январь 2023'!$G$4:$G$508,'январь 2023'!$D$4:$D$508,$B68,'январь 2023'!$J$4:$J$508,R$1)</f>
        <v>0</v>
      </c>
      <c r="S68" s="207">
        <f>SUMIFS('январь 2023'!$G$4:$G$508,'январь 2023'!$D$4:$D$508,$B68,'январь 2023'!$J$4:$J$508,S$1)</f>
        <v>0</v>
      </c>
      <c r="T68" s="207">
        <f>SUMIFS('январь 2023'!$G$4:$G$508,'январь 2023'!$D$4:$D$508,$B68,'январь 2023'!$J$4:$J$508,T$1)</f>
        <v>0</v>
      </c>
      <c r="U68" s="207">
        <f>SUMIFS('январь 2023'!$G$4:$G$508,'январь 2023'!$D$4:$D$508,$B68,'январь 2023'!$J$4:$J$508,U$1)</f>
        <v>0</v>
      </c>
      <c r="V68" s="207">
        <f>SUMIFS('январь 2023'!$G$4:$G$508,'январь 2023'!$D$4:$D$508,$B68,'январь 2023'!$J$4:$J$508,V$1)</f>
        <v>0</v>
      </c>
      <c r="W68" s="207">
        <f>SUMIFS('январь 2023'!$G$4:$G$508,'январь 2023'!$D$4:$D$508,$B68,'январь 2023'!$J$4:$J$508,W$1)</f>
        <v>0</v>
      </c>
      <c r="X68" s="207">
        <f>SUMIFS('январь 2023'!$G$4:$G$508,'январь 2023'!$D$4:$D$508,$B68,'январь 2023'!$J$4:$J$508,X$1)</f>
        <v>0</v>
      </c>
      <c r="Y68" s="207">
        <f>SUMIFS('январь 2023'!$G$4:$G$508,'январь 2023'!$D$4:$D$508,$B68,'январь 2023'!$J$4:$J$508,Y$1)</f>
        <v>0</v>
      </c>
      <c r="Z68" s="207">
        <f>SUMIFS('январь 2023'!$G$4:$G$508,'январь 2023'!$D$4:$D$508,$B68,'январь 2023'!$J$4:$J$508,Z$1)</f>
        <v>0</v>
      </c>
      <c r="AA68" s="207">
        <f>SUMIFS('январь 2023'!$G$4:$G$508,'январь 2023'!$D$4:$D$508,$B68,'январь 2023'!$J$4:$J$508,AA$1)</f>
        <v>0</v>
      </c>
      <c r="AB68" s="207">
        <f>SUMIFS('январь 2023'!$G$4:$G$508,'январь 2023'!$D$4:$D$508,$B68,'январь 2023'!$J$4:$J$508,AB$1)</f>
        <v>0</v>
      </c>
      <c r="AC68" s="207">
        <f>SUMIFS('январь 2023'!$G$4:$G$508,'январь 2023'!$D$4:$D$508,$B68,'январь 2023'!$J$4:$J$508,AC$1)</f>
        <v>0</v>
      </c>
      <c r="AD68" s="207">
        <f>SUMIFS('январь 2023'!$G$4:$G$508,'январь 2023'!$D$4:$D$508,$B68,'январь 2023'!$J$4:$J$508,AD$1)</f>
        <v>0</v>
      </c>
      <c r="AE68" s="207">
        <f>SUMIFS('январь 2023'!$G$4:$G$508,'январь 2023'!$D$4:$D$508,$B68,'январь 2023'!$J$4:$J$508,AE$1)</f>
        <v>0</v>
      </c>
      <c r="AF68" s="207">
        <f>SUMIFS('январь 2023'!$G$4:$G$508,'январь 2023'!$D$4:$D$508,$B68,'январь 2023'!$J$4:$J$508,AF$1)</f>
        <v>0</v>
      </c>
      <c r="AG68" s="207">
        <f>SUMIFS('январь 2023'!$G$4:$G$508,'январь 2023'!$D$4:$D$508,$B68,'январь 2023'!$J$4:$J$508,AG$1)</f>
        <v>0</v>
      </c>
      <c r="AH68" s="207">
        <f>SUMIFS('январь 2023'!$G$4:$G$508,'январь 2023'!$D$4:$D$508,$B68,'январь 2023'!$J$4:$J$508,AH$1)</f>
        <v>0</v>
      </c>
      <c r="AI68" s="170">
        <f t="shared" si="2"/>
        <v>0</v>
      </c>
    </row>
    <row r="69" spans="2:35" ht="15" customHeight="1" x14ac:dyDescent="0.25">
      <c r="B69" s="216"/>
      <c r="C69" s="213"/>
      <c r="D69" s="207">
        <f>SUMIFS('январь 2023'!$G$4:$G$508,'январь 2023'!$D$4:$D$508,$B69,'январь 2023'!$J$4:$J$508,D$1)</f>
        <v>0</v>
      </c>
      <c r="E69" s="207">
        <f>SUMIFS('январь 2023'!$G$4:$G$508,'январь 2023'!$D$4:$D$508,$B69,'январь 2023'!$J$4:$J$508,E$1)</f>
        <v>0</v>
      </c>
      <c r="F69" s="207">
        <f>SUMIFS('январь 2023'!$G$4:$G$508,'январь 2023'!$D$4:$D$508,$B69,'январь 2023'!$J$4:$J$508,F$1)</f>
        <v>0</v>
      </c>
      <c r="G69" s="207">
        <f>SUMIFS('январь 2023'!$G$4:$G$508,'январь 2023'!$D$4:$D$508,$B69,'январь 2023'!$J$4:$J$508,G$1)</f>
        <v>0</v>
      </c>
      <c r="H69" s="207">
        <f>SUMIFS('январь 2023'!$G$4:$G$508,'январь 2023'!$D$4:$D$508,$B69,'январь 2023'!$J$4:$J$508,H$1)</f>
        <v>0</v>
      </c>
      <c r="I69" s="207">
        <f>SUMIFS('январь 2023'!$G$4:$G$508,'январь 2023'!$D$4:$D$508,$B69,'январь 2023'!$J$4:$J$508,I$1)</f>
        <v>0</v>
      </c>
      <c r="J69" s="207">
        <f>SUMIFS('январь 2023'!$G$4:$G$508,'январь 2023'!$D$4:$D$508,$B69,'январь 2023'!$J$4:$J$508,J$1)</f>
        <v>0</v>
      </c>
      <c r="K69" s="207">
        <f>SUMIFS('январь 2023'!$G$4:$G$508,'январь 2023'!$D$4:$D$508,$B69,'январь 2023'!$J$4:$J$508,K$1)</f>
        <v>0</v>
      </c>
      <c r="L69" s="207">
        <f>SUMIFS('январь 2023'!$G$4:$G$508,'январь 2023'!$D$4:$D$508,$B69,'январь 2023'!$J$4:$J$508,L$1)</f>
        <v>0</v>
      </c>
      <c r="M69" s="207">
        <f>SUMIFS('январь 2023'!$G$4:$G$508,'январь 2023'!$D$4:$D$508,$B69,'январь 2023'!$J$4:$J$508,M$1)</f>
        <v>0</v>
      </c>
      <c r="N69" s="207">
        <f>SUMIFS('январь 2023'!$G$4:$G$508,'январь 2023'!$D$4:$D$508,$B69,'январь 2023'!$J$4:$J$508,N$1)</f>
        <v>0</v>
      </c>
      <c r="O69" s="207">
        <f>SUMIFS('январь 2023'!$G$4:$G$508,'январь 2023'!$D$4:$D$508,$B69,'январь 2023'!$J$4:$J$508,O$1)</f>
        <v>0</v>
      </c>
      <c r="P69" s="207">
        <f>SUMIFS('январь 2023'!$G$4:$G$508,'январь 2023'!$D$4:$D$508,$B69,'январь 2023'!$J$4:$J$508,P$1)</f>
        <v>0</v>
      </c>
      <c r="Q69" s="207">
        <f>SUMIFS('январь 2023'!$G$4:$G$508,'январь 2023'!$D$4:$D$508,$B69,'январь 2023'!$J$4:$J$508,Q$1)</f>
        <v>0</v>
      </c>
      <c r="R69" s="207">
        <f>SUMIFS('январь 2023'!$G$4:$G$508,'январь 2023'!$D$4:$D$508,$B69,'январь 2023'!$J$4:$J$508,R$1)</f>
        <v>0</v>
      </c>
      <c r="S69" s="207">
        <f>SUMIFS('январь 2023'!$G$4:$G$508,'январь 2023'!$D$4:$D$508,$B69,'январь 2023'!$J$4:$J$508,S$1)</f>
        <v>0</v>
      </c>
      <c r="T69" s="207">
        <f>SUMIFS('январь 2023'!$G$4:$G$508,'январь 2023'!$D$4:$D$508,$B69,'январь 2023'!$J$4:$J$508,T$1)</f>
        <v>0</v>
      </c>
      <c r="U69" s="207">
        <f>SUMIFS('январь 2023'!$G$4:$G$508,'январь 2023'!$D$4:$D$508,$B69,'январь 2023'!$J$4:$J$508,U$1)</f>
        <v>0</v>
      </c>
      <c r="V69" s="207">
        <f>SUMIFS('январь 2023'!$G$4:$G$508,'январь 2023'!$D$4:$D$508,$B69,'январь 2023'!$J$4:$J$508,V$1)</f>
        <v>0</v>
      </c>
      <c r="W69" s="207">
        <f>SUMIFS('январь 2023'!$G$4:$G$508,'январь 2023'!$D$4:$D$508,$B69,'январь 2023'!$J$4:$J$508,W$1)</f>
        <v>0</v>
      </c>
      <c r="X69" s="207">
        <f>SUMIFS('январь 2023'!$G$4:$G$508,'январь 2023'!$D$4:$D$508,$B69,'январь 2023'!$J$4:$J$508,X$1)</f>
        <v>0</v>
      </c>
      <c r="Y69" s="207">
        <f>SUMIFS('январь 2023'!$G$4:$G$508,'январь 2023'!$D$4:$D$508,$B69,'январь 2023'!$J$4:$J$508,Y$1)</f>
        <v>0</v>
      </c>
      <c r="Z69" s="207">
        <f>SUMIFS('январь 2023'!$G$4:$G$508,'январь 2023'!$D$4:$D$508,$B69,'январь 2023'!$J$4:$J$508,Z$1)</f>
        <v>0</v>
      </c>
      <c r="AA69" s="207">
        <f>SUMIFS('январь 2023'!$G$4:$G$508,'январь 2023'!$D$4:$D$508,$B69,'январь 2023'!$J$4:$J$508,AA$1)</f>
        <v>0</v>
      </c>
      <c r="AB69" s="207">
        <f>SUMIFS('январь 2023'!$G$4:$G$508,'январь 2023'!$D$4:$D$508,$B69,'январь 2023'!$J$4:$J$508,AB$1)</f>
        <v>0</v>
      </c>
      <c r="AC69" s="207">
        <f>SUMIFS('январь 2023'!$G$4:$G$508,'январь 2023'!$D$4:$D$508,$B69,'январь 2023'!$J$4:$J$508,AC$1)</f>
        <v>0</v>
      </c>
      <c r="AD69" s="207">
        <f>SUMIFS('январь 2023'!$G$4:$G$508,'январь 2023'!$D$4:$D$508,$B69,'январь 2023'!$J$4:$J$508,AD$1)</f>
        <v>0</v>
      </c>
      <c r="AE69" s="207">
        <f>SUMIFS('январь 2023'!$G$4:$G$508,'январь 2023'!$D$4:$D$508,$B69,'январь 2023'!$J$4:$J$508,AE$1)</f>
        <v>0</v>
      </c>
      <c r="AF69" s="207">
        <f>SUMIFS('январь 2023'!$G$4:$G$508,'январь 2023'!$D$4:$D$508,$B69,'январь 2023'!$J$4:$J$508,AF$1)</f>
        <v>0</v>
      </c>
      <c r="AG69" s="207">
        <f>SUMIFS('январь 2023'!$G$4:$G$508,'январь 2023'!$D$4:$D$508,$B69,'январь 2023'!$J$4:$J$508,AG$1)</f>
        <v>0</v>
      </c>
      <c r="AH69" s="207">
        <f>SUMIFS('январь 2023'!$G$4:$G$508,'январь 2023'!$D$4:$D$508,$B69,'январь 2023'!$J$4:$J$508,AH$1)</f>
        <v>0</v>
      </c>
      <c r="AI69" s="170">
        <f t="shared" si="2"/>
        <v>0</v>
      </c>
    </row>
    <row r="70" spans="2:35" ht="15" customHeight="1" x14ac:dyDescent="0.25">
      <c r="B70" s="212" t="s">
        <v>1622</v>
      </c>
      <c r="C70" s="211">
        <v>180</v>
      </c>
      <c r="D70" s="207">
        <f>SUMIFS('январь 2023'!$G$4:$G$508,'январь 2023'!$D$4:$D$508,$B70,'январь 2023'!$J$4:$J$508,D$1)</f>
        <v>0</v>
      </c>
      <c r="E70" s="207">
        <f>SUMIFS('январь 2023'!$G$4:$G$508,'январь 2023'!$D$4:$D$508,$B70,'январь 2023'!$J$4:$J$508,E$1)</f>
        <v>0</v>
      </c>
      <c r="F70" s="207">
        <f>SUMIFS('январь 2023'!$G$4:$G$508,'январь 2023'!$D$4:$D$508,$B70,'январь 2023'!$J$4:$J$508,F$1)</f>
        <v>0</v>
      </c>
      <c r="G70" s="207">
        <f>SUMIFS('январь 2023'!$G$4:$G$508,'январь 2023'!$D$4:$D$508,$B70,'январь 2023'!$J$4:$J$508,G$1)</f>
        <v>0</v>
      </c>
      <c r="H70" s="207">
        <f>SUMIFS('январь 2023'!$G$4:$G$508,'январь 2023'!$D$4:$D$508,$B70,'январь 2023'!$J$4:$J$508,H$1)</f>
        <v>0</v>
      </c>
      <c r="I70" s="207">
        <f>SUMIFS('январь 2023'!$G$4:$G$508,'январь 2023'!$D$4:$D$508,$B70,'январь 2023'!$J$4:$J$508,I$1)</f>
        <v>0</v>
      </c>
      <c r="J70" s="207">
        <f>SUMIFS('январь 2023'!$G$4:$G$508,'январь 2023'!$D$4:$D$508,$B70,'январь 2023'!$J$4:$J$508,J$1)</f>
        <v>0</v>
      </c>
      <c r="K70" s="207">
        <f>SUMIFS('январь 2023'!$G$4:$G$508,'январь 2023'!$D$4:$D$508,$B70,'январь 2023'!$J$4:$J$508,K$1)</f>
        <v>0</v>
      </c>
      <c r="L70" s="207">
        <f>SUMIFS('январь 2023'!$G$4:$G$508,'январь 2023'!$D$4:$D$508,$B70,'январь 2023'!$J$4:$J$508,L$1)</f>
        <v>0</v>
      </c>
      <c r="M70" s="207">
        <f>SUMIFS('январь 2023'!$G$4:$G$508,'январь 2023'!$D$4:$D$508,$B70,'январь 2023'!$J$4:$J$508,M$1)</f>
        <v>0</v>
      </c>
      <c r="N70" s="207">
        <f>SUMIFS('январь 2023'!$G$4:$G$508,'январь 2023'!$D$4:$D$508,$B70,'январь 2023'!$J$4:$J$508,N$1)</f>
        <v>0</v>
      </c>
      <c r="O70" s="207">
        <f>SUMIFS('январь 2023'!$G$4:$G$508,'январь 2023'!$D$4:$D$508,$B70,'январь 2023'!$J$4:$J$508,O$1)</f>
        <v>0</v>
      </c>
      <c r="P70" s="207">
        <f>SUMIFS('январь 2023'!$G$4:$G$508,'январь 2023'!$D$4:$D$508,$B70,'январь 2023'!$J$4:$J$508,P$1)</f>
        <v>0</v>
      </c>
      <c r="Q70" s="207">
        <f>SUMIFS('январь 2023'!$G$4:$G$508,'январь 2023'!$D$4:$D$508,$B70,'январь 2023'!$J$4:$J$508,Q$1)</f>
        <v>0</v>
      </c>
      <c r="R70" s="207">
        <f>SUMIFS('январь 2023'!$G$4:$G$508,'январь 2023'!$D$4:$D$508,$B70,'январь 2023'!$J$4:$J$508,R$1)</f>
        <v>0</v>
      </c>
      <c r="S70" s="207">
        <f>SUMIFS('январь 2023'!$G$4:$G$508,'январь 2023'!$D$4:$D$508,$B70,'январь 2023'!$J$4:$J$508,S$1)</f>
        <v>0</v>
      </c>
      <c r="T70" s="207">
        <f>SUMIFS('январь 2023'!$G$4:$G$508,'январь 2023'!$D$4:$D$508,$B70,'январь 2023'!$J$4:$J$508,T$1)</f>
        <v>0</v>
      </c>
      <c r="U70" s="207">
        <f>SUMIFS('январь 2023'!$G$4:$G$508,'январь 2023'!$D$4:$D$508,$B70,'январь 2023'!$J$4:$J$508,U$1)</f>
        <v>0</v>
      </c>
      <c r="V70" s="207">
        <f>SUMIFS('январь 2023'!$G$4:$G$508,'январь 2023'!$D$4:$D$508,$B70,'январь 2023'!$J$4:$J$508,V$1)</f>
        <v>0</v>
      </c>
      <c r="W70" s="207">
        <f>SUMIFS('январь 2023'!$G$4:$G$508,'январь 2023'!$D$4:$D$508,$B70,'январь 2023'!$J$4:$J$508,W$1)</f>
        <v>0</v>
      </c>
      <c r="X70" s="207">
        <f>SUMIFS('январь 2023'!$G$4:$G$508,'январь 2023'!$D$4:$D$508,$B70,'январь 2023'!$J$4:$J$508,X$1)</f>
        <v>0</v>
      </c>
      <c r="Y70" s="207">
        <f>SUMIFS('январь 2023'!$G$4:$G$508,'январь 2023'!$D$4:$D$508,$B70,'январь 2023'!$J$4:$J$508,Y$1)</f>
        <v>0</v>
      </c>
      <c r="Z70" s="207">
        <f>SUMIFS('январь 2023'!$G$4:$G$508,'январь 2023'!$D$4:$D$508,$B70,'январь 2023'!$J$4:$J$508,Z$1)</f>
        <v>0</v>
      </c>
      <c r="AA70" s="207">
        <f>SUMIFS('январь 2023'!$G$4:$G$508,'январь 2023'!$D$4:$D$508,$B70,'январь 2023'!$J$4:$J$508,AA$1)</f>
        <v>0</v>
      </c>
      <c r="AB70" s="207">
        <f>SUMIFS('январь 2023'!$G$4:$G$508,'январь 2023'!$D$4:$D$508,$B70,'январь 2023'!$J$4:$J$508,AB$1)</f>
        <v>0</v>
      </c>
      <c r="AC70" s="207">
        <f>SUMIFS('январь 2023'!$G$4:$G$508,'январь 2023'!$D$4:$D$508,$B70,'январь 2023'!$J$4:$J$508,AC$1)</f>
        <v>0</v>
      </c>
      <c r="AD70" s="207">
        <f>SUMIFS('январь 2023'!$G$4:$G$508,'январь 2023'!$D$4:$D$508,$B70,'январь 2023'!$J$4:$J$508,AD$1)</f>
        <v>0</v>
      </c>
      <c r="AE70" s="207">
        <f>SUMIFS('январь 2023'!$G$4:$G$508,'январь 2023'!$D$4:$D$508,$B70,'январь 2023'!$J$4:$J$508,AE$1)</f>
        <v>0</v>
      </c>
      <c r="AF70" s="207">
        <f>SUMIFS('январь 2023'!$G$4:$G$508,'январь 2023'!$D$4:$D$508,$B70,'январь 2023'!$J$4:$J$508,AF$1)</f>
        <v>0</v>
      </c>
      <c r="AG70" s="207">
        <f>SUMIFS('январь 2023'!$G$4:$G$508,'январь 2023'!$D$4:$D$508,$B70,'январь 2023'!$J$4:$J$508,AG$1)</f>
        <v>0</v>
      </c>
      <c r="AH70" s="207">
        <f>SUMIFS('январь 2023'!$G$4:$G$508,'январь 2023'!$D$4:$D$508,$B70,'январь 2023'!$J$4:$J$508,AH$1)</f>
        <v>0</v>
      </c>
      <c r="AI70" s="170">
        <f t="shared" si="2"/>
        <v>0</v>
      </c>
    </row>
    <row r="71" spans="2:35" ht="15" customHeight="1" x14ac:dyDescent="0.25">
      <c r="B71" s="212" t="s">
        <v>2183</v>
      </c>
      <c r="C71" s="211">
        <v>180</v>
      </c>
      <c r="D71" s="207">
        <f>SUMIFS('январь 2023'!$G$4:$G$508,'январь 2023'!$D$4:$D$508,$B71,'январь 2023'!$J$4:$J$508,D$1)</f>
        <v>0</v>
      </c>
      <c r="E71" s="207">
        <f>SUMIFS('январь 2023'!$G$4:$G$508,'январь 2023'!$D$4:$D$508,$B71,'январь 2023'!$J$4:$J$508,E$1)</f>
        <v>0</v>
      </c>
      <c r="F71" s="207">
        <f>SUMIFS('январь 2023'!$G$4:$G$508,'январь 2023'!$D$4:$D$508,$B71,'январь 2023'!$J$4:$J$508,F$1)</f>
        <v>0</v>
      </c>
      <c r="G71" s="207">
        <f>SUMIFS('январь 2023'!$G$4:$G$508,'январь 2023'!$D$4:$D$508,$B71,'январь 2023'!$J$4:$J$508,G$1)</f>
        <v>0</v>
      </c>
      <c r="H71" s="207">
        <f>SUMIFS('январь 2023'!$G$4:$G$508,'январь 2023'!$D$4:$D$508,$B71,'январь 2023'!$J$4:$J$508,H$1)</f>
        <v>0</v>
      </c>
      <c r="I71" s="207">
        <f>SUMIFS('январь 2023'!$G$4:$G$508,'январь 2023'!$D$4:$D$508,$B71,'январь 2023'!$J$4:$J$508,I$1)</f>
        <v>0</v>
      </c>
      <c r="J71" s="207">
        <f>SUMIFS('январь 2023'!$G$4:$G$508,'январь 2023'!$D$4:$D$508,$B71,'январь 2023'!$J$4:$J$508,J$1)</f>
        <v>0</v>
      </c>
      <c r="K71" s="207">
        <f>SUMIFS('январь 2023'!$G$4:$G$508,'январь 2023'!$D$4:$D$508,$B71,'январь 2023'!$J$4:$J$508,K$1)</f>
        <v>0</v>
      </c>
      <c r="L71" s="207">
        <f>SUMIFS('январь 2023'!$G$4:$G$508,'январь 2023'!$D$4:$D$508,$B71,'январь 2023'!$J$4:$J$508,L$1)</f>
        <v>0</v>
      </c>
      <c r="M71" s="207">
        <f>SUMIFS('январь 2023'!$G$4:$G$508,'январь 2023'!$D$4:$D$508,$B71,'январь 2023'!$J$4:$J$508,M$1)</f>
        <v>0</v>
      </c>
      <c r="N71" s="207">
        <f>SUMIFS('январь 2023'!$G$4:$G$508,'январь 2023'!$D$4:$D$508,$B71,'январь 2023'!$J$4:$J$508,N$1)</f>
        <v>0</v>
      </c>
      <c r="O71" s="207">
        <f>SUMIFS('январь 2023'!$G$4:$G$508,'январь 2023'!$D$4:$D$508,$B71,'январь 2023'!$J$4:$J$508,O$1)</f>
        <v>0</v>
      </c>
      <c r="P71" s="207">
        <f>SUMIFS('январь 2023'!$G$4:$G$508,'январь 2023'!$D$4:$D$508,$B71,'январь 2023'!$J$4:$J$508,P$1)</f>
        <v>0</v>
      </c>
      <c r="Q71" s="207">
        <f>SUMIFS('январь 2023'!$G$4:$G$508,'январь 2023'!$D$4:$D$508,$B71,'январь 2023'!$J$4:$J$508,Q$1)</f>
        <v>0</v>
      </c>
      <c r="R71" s="207">
        <f>SUMIFS('январь 2023'!$G$4:$G$508,'январь 2023'!$D$4:$D$508,$B71,'январь 2023'!$J$4:$J$508,R$1)</f>
        <v>0</v>
      </c>
      <c r="S71" s="207">
        <f>SUMIFS('январь 2023'!$G$4:$G$508,'январь 2023'!$D$4:$D$508,$B71,'январь 2023'!$J$4:$J$508,S$1)</f>
        <v>0</v>
      </c>
      <c r="T71" s="207">
        <f>SUMIFS('январь 2023'!$G$4:$G$508,'январь 2023'!$D$4:$D$508,$B71,'январь 2023'!$J$4:$J$508,T$1)</f>
        <v>0</v>
      </c>
      <c r="U71" s="207">
        <f>SUMIFS('январь 2023'!$G$4:$G$508,'январь 2023'!$D$4:$D$508,$B71,'январь 2023'!$J$4:$J$508,U$1)</f>
        <v>0</v>
      </c>
      <c r="V71" s="207">
        <f>SUMIFS('январь 2023'!$G$4:$G$508,'январь 2023'!$D$4:$D$508,$B71,'январь 2023'!$J$4:$J$508,V$1)</f>
        <v>0</v>
      </c>
      <c r="W71" s="207">
        <f>SUMIFS('январь 2023'!$G$4:$G$508,'январь 2023'!$D$4:$D$508,$B71,'январь 2023'!$J$4:$J$508,W$1)</f>
        <v>0</v>
      </c>
      <c r="X71" s="207">
        <f>SUMIFS('январь 2023'!$G$4:$G$508,'январь 2023'!$D$4:$D$508,$B71,'январь 2023'!$J$4:$J$508,X$1)</f>
        <v>0</v>
      </c>
      <c r="Y71" s="207">
        <f>SUMIFS('январь 2023'!$G$4:$G$508,'январь 2023'!$D$4:$D$508,$B71,'январь 2023'!$J$4:$J$508,Y$1)</f>
        <v>0</v>
      </c>
      <c r="Z71" s="207">
        <f>SUMIFS('январь 2023'!$G$4:$G$508,'январь 2023'!$D$4:$D$508,$B71,'январь 2023'!$J$4:$J$508,Z$1)</f>
        <v>0</v>
      </c>
      <c r="AA71" s="207">
        <f>SUMIFS('январь 2023'!$G$4:$G$508,'январь 2023'!$D$4:$D$508,$B71,'январь 2023'!$J$4:$J$508,AA$1)</f>
        <v>0</v>
      </c>
      <c r="AB71" s="207">
        <f>SUMIFS('январь 2023'!$G$4:$G$508,'январь 2023'!$D$4:$D$508,$B71,'январь 2023'!$J$4:$J$508,AB$1)</f>
        <v>0</v>
      </c>
      <c r="AC71" s="207">
        <f>SUMIFS('январь 2023'!$G$4:$G$508,'январь 2023'!$D$4:$D$508,$B71,'январь 2023'!$J$4:$J$508,AC$1)</f>
        <v>0</v>
      </c>
      <c r="AD71" s="207">
        <f>SUMIFS('январь 2023'!$G$4:$G$508,'январь 2023'!$D$4:$D$508,$B71,'январь 2023'!$J$4:$J$508,AD$1)</f>
        <v>0</v>
      </c>
      <c r="AE71" s="207">
        <f>SUMIFS('январь 2023'!$G$4:$G$508,'январь 2023'!$D$4:$D$508,$B71,'январь 2023'!$J$4:$J$508,AE$1)</f>
        <v>0</v>
      </c>
      <c r="AF71" s="207">
        <f>SUMIFS('январь 2023'!$G$4:$G$508,'январь 2023'!$D$4:$D$508,$B71,'январь 2023'!$J$4:$J$508,AF$1)</f>
        <v>0</v>
      </c>
      <c r="AG71" s="207">
        <f>SUMIFS('январь 2023'!$G$4:$G$508,'январь 2023'!$D$4:$D$508,$B71,'январь 2023'!$J$4:$J$508,AG$1)</f>
        <v>0</v>
      </c>
      <c r="AH71" s="207">
        <f>SUMIFS('январь 2023'!$G$4:$G$508,'январь 2023'!$D$4:$D$508,$B71,'январь 2023'!$J$4:$J$508,AH$1)</f>
        <v>0</v>
      </c>
      <c r="AI71" s="170">
        <f t="shared" si="2"/>
        <v>0</v>
      </c>
    </row>
    <row r="72" spans="2:35" ht="15" customHeight="1" x14ac:dyDescent="0.25">
      <c r="B72" s="216" t="s">
        <v>1372</v>
      </c>
      <c r="C72" s="211">
        <v>180</v>
      </c>
      <c r="D72" s="207">
        <f>SUMIFS('январь 2023'!$G$4:$G$508,'январь 2023'!$D$4:$D$508,$B72,'январь 2023'!$J$4:$J$508,D$1)</f>
        <v>0</v>
      </c>
      <c r="E72" s="207">
        <f>SUMIFS('январь 2023'!$G$4:$G$508,'январь 2023'!$D$4:$D$508,$B72,'январь 2023'!$J$4:$J$508,E$1)</f>
        <v>0</v>
      </c>
      <c r="F72" s="207">
        <f>SUMIFS('январь 2023'!$G$4:$G$508,'январь 2023'!$D$4:$D$508,$B72,'январь 2023'!$J$4:$J$508,F$1)</f>
        <v>0</v>
      </c>
      <c r="G72" s="207">
        <f>SUMIFS('январь 2023'!$G$4:$G$508,'январь 2023'!$D$4:$D$508,$B72,'январь 2023'!$J$4:$J$508,G$1)</f>
        <v>0</v>
      </c>
      <c r="H72" s="207">
        <f>SUMIFS('январь 2023'!$G$4:$G$508,'январь 2023'!$D$4:$D$508,$B72,'январь 2023'!$J$4:$J$508,H$1)</f>
        <v>0</v>
      </c>
      <c r="I72" s="207">
        <f>SUMIFS('январь 2023'!$G$4:$G$508,'январь 2023'!$D$4:$D$508,$B72,'январь 2023'!$J$4:$J$508,I$1)</f>
        <v>0</v>
      </c>
      <c r="J72" s="207">
        <f>SUMIFS('январь 2023'!$G$4:$G$508,'январь 2023'!$D$4:$D$508,$B72,'январь 2023'!$J$4:$J$508,J$1)</f>
        <v>0</v>
      </c>
      <c r="K72" s="207">
        <f>SUMIFS('январь 2023'!$G$4:$G$508,'январь 2023'!$D$4:$D$508,$B72,'январь 2023'!$J$4:$J$508,K$1)</f>
        <v>0</v>
      </c>
      <c r="L72" s="207">
        <f>SUMIFS('январь 2023'!$G$4:$G$508,'январь 2023'!$D$4:$D$508,$B72,'январь 2023'!$J$4:$J$508,L$1)</f>
        <v>0</v>
      </c>
      <c r="M72" s="207">
        <f>SUMIFS('январь 2023'!$G$4:$G$508,'январь 2023'!$D$4:$D$508,$B72,'январь 2023'!$J$4:$J$508,M$1)</f>
        <v>0</v>
      </c>
      <c r="N72" s="207">
        <f>SUMIFS('январь 2023'!$G$4:$G$508,'январь 2023'!$D$4:$D$508,$B72,'январь 2023'!$J$4:$J$508,N$1)</f>
        <v>0</v>
      </c>
      <c r="O72" s="207">
        <f>SUMIFS('январь 2023'!$G$4:$G$508,'январь 2023'!$D$4:$D$508,$B72,'январь 2023'!$J$4:$J$508,O$1)</f>
        <v>0</v>
      </c>
      <c r="P72" s="207">
        <f>SUMIFS('январь 2023'!$G$4:$G$508,'январь 2023'!$D$4:$D$508,$B72,'январь 2023'!$J$4:$J$508,P$1)</f>
        <v>0</v>
      </c>
      <c r="Q72" s="207">
        <f>SUMIFS('январь 2023'!$G$4:$G$508,'январь 2023'!$D$4:$D$508,$B72,'январь 2023'!$J$4:$J$508,Q$1)</f>
        <v>0</v>
      </c>
      <c r="R72" s="207">
        <f>SUMIFS('январь 2023'!$G$4:$G$508,'январь 2023'!$D$4:$D$508,$B72,'январь 2023'!$J$4:$J$508,R$1)</f>
        <v>0</v>
      </c>
      <c r="S72" s="207">
        <f>SUMIFS('январь 2023'!$G$4:$G$508,'январь 2023'!$D$4:$D$508,$B72,'январь 2023'!$J$4:$J$508,S$1)</f>
        <v>0</v>
      </c>
      <c r="T72" s="207">
        <f>SUMIFS('январь 2023'!$G$4:$G$508,'январь 2023'!$D$4:$D$508,$B72,'январь 2023'!$J$4:$J$508,T$1)</f>
        <v>0</v>
      </c>
      <c r="U72" s="207">
        <f>SUMIFS('январь 2023'!$G$4:$G$508,'январь 2023'!$D$4:$D$508,$B72,'январь 2023'!$J$4:$J$508,U$1)</f>
        <v>0</v>
      </c>
      <c r="V72" s="207">
        <f>SUMIFS('январь 2023'!$G$4:$G$508,'январь 2023'!$D$4:$D$508,$B72,'январь 2023'!$J$4:$J$508,V$1)</f>
        <v>0</v>
      </c>
      <c r="W72" s="207">
        <f>SUMIFS('январь 2023'!$G$4:$G$508,'январь 2023'!$D$4:$D$508,$B72,'январь 2023'!$J$4:$J$508,W$1)</f>
        <v>0</v>
      </c>
      <c r="X72" s="207">
        <f>SUMIFS('январь 2023'!$G$4:$G$508,'январь 2023'!$D$4:$D$508,$B72,'январь 2023'!$J$4:$J$508,X$1)</f>
        <v>0</v>
      </c>
      <c r="Y72" s="207">
        <f>SUMIFS('январь 2023'!$G$4:$G$508,'январь 2023'!$D$4:$D$508,$B72,'январь 2023'!$J$4:$J$508,Y$1)</f>
        <v>0</v>
      </c>
      <c r="Z72" s="207">
        <f>SUMIFS('январь 2023'!$G$4:$G$508,'январь 2023'!$D$4:$D$508,$B72,'январь 2023'!$J$4:$J$508,Z$1)</f>
        <v>0</v>
      </c>
      <c r="AA72" s="207">
        <f>SUMIFS('январь 2023'!$G$4:$G$508,'январь 2023'!$D$4:$D$508,$B72,'январь 2023'!$J$4:$J$508,AA$1)</f>
        <v>0</v>
      </c>
      <c r="AB72" s="207">
        <f>SUMIFS('январь 2023'!$G$4:$G$508,'январь 2023'!$D$4:$D$508,$B72,'январь 2023'!$J$4:$J$508,AB$1)</f>
        <v>0</v>
      </c>
      <c r="AC72" s="207">
        <f>SUMIFS('январь 2023'!$G$4:$G$508,'январь 2023'!$D$4:$D$508,$B72,'январь 2023'!$J$4:$J$508,AC$1)</f>
        <v>0</v>
      </c>
      <c r="AD72" s="207">
        <f>SUMIFS('январь 2023'!$G$4:$G$508,'январь 2023'!$D$4:$D$508,$B72,'январь 2023'!$J$4:$J$508,AD$1)</f>
        <v>0</v>
      </c>
      <c r="AE72" s="207">
        <f>SUMIFS('январь 2023'!$G$4:$G$508,'январь 2023'!$D$4:$D$508,$B72,'январь 2023'!$J$4:$J$508,AE$1)</f>
        <v>0</v>
      </c>
      <c r="AF72" s="207">
        <f>SUMIFS('январь 2023'!$G$4:$G$508,'январь 2023'!$D$4:$D$508,$B72,'январь 2023'!$J$4:$J$508,AF$1)</f>
        <v>0</v>
      </c>
      <c r="AG72" s="207">
        <f>SUMIFS('январь 2023'!$G$4:$G$508,'январь 2023'!$D$4:$D$508,$B72,'январь 2023'!$J$4:$J$508,AG$1)</f>
        <v>0</v>
      </c>
      <c r="AH72" s="207">
        <f>SUMIFS('январь 2023'!$G$4:$G$508,'январь 2023'!$D$4:$D$508,$B72,'январь 2023'!$J$4:$J$508,AH$1)</f>
        <v>0</v>
      </c>
      <c r="AI72" s="170">
        <f t="shared" si="2"/>
        <v>0</v>
      </c>
    </row>
    <row r="73" spans="2:35" ht="15" customHeight="1" x14ac:dyDescent="0.25">
      <c r="B73" s="216" t="s">
        <v>2189</v>
      </c>
      <c r="C73" s="213">
        <v>180</v>
      </c>
      <c r="D73" s="207">
        <f>SUMIFS('январь 2023'!$G$4:$G$508,'январь 2023'!$D$4:$D$508,$B73,'январь 2023'!$J$4:$J$508,D$1)</f>
        <v>0</v>
      </c>
      <c r="E73" s="207">
        <f>SUMIFS('январь 2023'!$G$4:$G$508,'январь 2023'!$D$4:$D$508,$B73,'январь 2023'!$J$4:$J$508,E$1)</f>
        <v>0</v>
      </c>
      <c r="F73" s="207">
        <f>SUMIFS('январь 2023'!$G$4:$G$508,'январь 2023'!$D$4:$D$508,$B73,'январь 2023'!$J$4:$J$508,F$1)</f>
        <v>0</v>
      </c>
      <c r="G73" s="207">
        <f>SUMIFS('январь 2023'!$G$4:$G$508,'январь 2023'!$D$4:$D$508,$B73,'январь 2023'!$J$4:$J$508,G$1)</f>
        <v>0</v>
      </c>
      <c r="H73" s="207">
        <f>SUMIFS('январь 2023'!$G$4:$G$508,'январь 2023'!$D$4:$D$508,$B73,'январь 2023'!$J$4:$J$508,H$1)</f>
        <v>0</v>
      </c>
      <c r="I73" s="207">
        <f>SUMIFS('январь 2023'!$G$4:$G$508,'январь 2023'!$D$4:$D$508,$B73,'январь 2023'!$J$4:$J$508,I$1)</f>
        <v>0</v>
      </c>
      <c r="J73" s="207">
        <f>SUMIFS('январь 2023'!$G$4:$G$508,'январь 2023'!$D$4:$D$508,$B73,'январь 2023'!$J$4:$J$508,J$1)</f>
        <v>0</v>
      </c>
      <c r="K73" s="207">
        <f>SUMIFS('январь 2023'!$G$4:$G$508,'январь 2023'!$D$4:$D$508,$B73,'январь 2023'!$J$4:$J$508,K$1)</f>
        <v>0</v>
      </c>
      <c r="L73" s="207">
        <f>SUMIFS('январь 2023'!$G$4:$G$508,'январь 2023'!$D$4:$D$508,$B73,'январь 2023'!$J$4:$J$508,L$1)</f>
        <v>0</v>
      </c>
      <c r="M73" s="207">
        <f>SUMIFS('январь 2023'!$G$4:$G$508,'январь 2023'!$D$4:$D$508,$B73,'январь 2023'!$J$4:$J$508,M$1)</f>
        <v>0</v>
      </c>
      <c r="N73" s="207">
        <f>SUMIFS('январь 2023'!$G$4:$G$508,'январь 2023'!$D$4:$D$508,$B73,'январь 2023'!$J$4:$J$508,N$1)</f>
        <v>0</v>
      </c>
      <c r="O73" s="207">
        <f>SUMIFS('январь 2023'!$G$4:$G$508,'январь 2023'!$D$4:$D$508,$B73,'январь 2023'!$J$4:$J$508,O$1)</f>
        <v>0</v>
      </c>
      <c r="P73" s="207">
        <f>SUMIFS('январь 2023'!$G$4:$G$508,'январь 2023'!$D$4:$D$508,$B73,'январь 2023'!$J$4:$J$508,P$1)</f>
        <v>0</v>
      </c>
      <c r="Q73" s="207">
        <f>SUMIFS('январь 2023'!$G$4:$G$508,'январь 2023'!$D$4:$D$508,$B73,'январь 2023'!$J$4:$J$508,Q$1)</f>
        <v>0</v>
      </c>
      <c r="R73" s="207">
        <f>SUMIFS('январь 2023'!$G$4:$G$508,'январь 2023'!$D$4:$D$508,$B73,'январь 2023'!$J$4:$J$508,R$1)</f>
        <v>0</v>
      </c>
      <c r="S73" s="207">
        <f>SUMIFS('январь 2023'!$G$4:$G$508,'январь 2023'!$D$4:$D$508,$B73,'январь 2023'!$J$4:$J$508,S$1)</f>
        <v>0</v>
      </c>
      <c r="T73" s="207">
        <f>SUMIFS('январь 2023'!$G$4:$G$508,'январь 2023'!$D$4:$D$508,$B73,'январь 2023'!$J$4:$J$508,T$1)</f>
        <v>0</v>
      </c>
      <c r="U73" s="207">
        <f>SUMIFS('январь 2023'!$G$4:$G$508,'январь 2023'!$D$4:$D$508,$B73,'январь 2023'!$J$4:$J$508,U$1)</f>
        <v>0</v>
      </c>
      <c r="V73" s="207">
        <f>SUMIFS('январь 2023'!$G$4:$G$508,'январь 2023'!$D$4:$D$508,$B73,'январь 2023'!$J$4:$J$508,V$1)</f>
        <v>0</v>
      </c>
      <c r="W73" s="207">
        <f>SUMIFS('январь 2023'!$G$4:$G$508,'январь 2023'!$D$4:$D$508,$B73,'январь 2023'!$J$4:$J$508,W$1)</f>
        <v>0</v>
      </c>
      <c r="X73" s="207">
        <f>SUMIFS('январь 2023'!$G$4:$G$508,'январь 2023'!$D$4:$D$508,$B73,'январь 2023'!$J$4:$J$508,X$1)</f>
        <v>0</v>
      </c>
      <c r="Y73" s="207">
        <f>SUMIFS('январь 2023'!$G$4:$G$508,'январь 2023'!$D$4:$D$508,$B73,'январь 2023'!$J$4:$J$508,Y$1)</f>
        <v>0</v>
      </c>
      <c r="Z73" s="207">
        <f>SUMIFS('январь 2023'!$G$4:$G$508,'январь 2023'!$D$4:$D$508,$B73,'январь 2023'!$J$4:$J$508,Z$1)</f>
        <v>0</v>
      </c>
      <c r="AA73" s="207">
        <f>SUMIFS('январь 2023'!$G$4:$G$508,'январь 2023'!$D$4:$D$508,$B73,'январь 2023'!$J$4:$J$508,AA$1)</f>
        <v>0</v>
      </c>
      <c r="AB73" s="207">
        <f>SUMIFS('январь 2023'!$G$4:$G$508,'январь 2023'!$D$4:$D$508,$B73,'январь 2023'!$J$4:$J$508,AB$1)</f>
        <v>0</v>
      </c>
      <c r="AC73" s="207">
        <f>SUMIFS('январь 2023'!$G$4:$G$508,'январь 2023'!$D$4:$D$508,$B73,'январь 2023'!$J$4:$J$508,AC$1)</f>
        <v>0</v>
      </c>
      <c r="AD73" s="207">
        <f>SUMIFS('январь 2023'!$G$4:$G$508,'январь 2023'!$D$4:$D$508,$B73,'январь 2023'!$J$4:$J$508,AD$1)</f>
        <v>0</v>
      </c>
      <c r="AE73" s="207">
        <f>SUMIFS('январь 2023'!$G$4:$G$508,'январь 2023'!$D$4:$D$508,$B73,'январь 2023'!$J$4:$J$508,AE$1)</f>
        <v>0</v>
      </c>
      <c r="AF73" s="207">
        <f>SUMIFS('январь 2023'!$G$4:$G$508,'январь 2023'!$D$4:$D$508,$B73,'январь 2023'!$J$4:$J$508,AF$1)</f>
        <v>0</v>
      </c>
      <c r="AG73" s="207">
        <f>SUMIFS('январь 2023'!$G$4:$G$508,'январь 2023'!$D$4:$D$508,$B73,'январь 2023'!$J$4:$J$508,AG$1)</f>
        <v>0</v>
      </c>
      <c r="AH73" s="207">
        <f>SUMIFS('январь 2023'!$G$4:$G$508,'январь 2023'!$D$4:$D$508,$B73,'январь 2023'!$J$4:$J$508,AH$1)</f>
        <v>0</v>
      </c>
      <c r="AI73" s="170">
        <f t="shared" si="2"/>
        <v>0</v>
      </c>
    </row>
    <row r="74" spans="2:35" ht="15" customHeight="1" x14ac:dyDescent="0.25">
      <c r="B74" s="212" t="s">
        <v>1779</v>
      </c>
      <c r="C74" s="211">
        <v>180</v>
      </c>
      <c r="D74" s="207">
        <f>SUMIFS('январь 2023'!$G$4:$G$508,'январь 2023'!$D$4:$D$508,$B74,'январь 2023'!$J$4:$J$508,D$1)</f>
        <v>0</v>
      </c>
      <c r="E74" s="207">
        <f>SUMIFS('январь 2023'!$G$4:$G$508,'январь 2023'!$D$4:$D$508,$B74,'январь 2023'!$J$4:$J$508,E$1)</f>
        <v>0</v>
      </c>
      <c r="F74" s="207">
        <f>SUMIFS('январь 2023'!$G$4:$G$508,'январь 2023'!$D$4:$D$508,$B74,'январь 2023'!$J$4:$J$508,F$1)</f>
        <v>0</v>
      </c>
      <c r="G74" s="207">
        <f>SUMIFS('январь 2023'!$G$4:$G$508,'январь 2023'!$D$4:$D$508,$B74,'январь 2023'!$J$4:$J$508,G$1)</f>
        <v>88</v>
      </c>
      <c r="H74" s="207">
        <f>SUMIFS('январь 2023'!$G$4:$G$508,'январь 2023'!$D$4:$D$508,$B74,'январь 2023'!$J$4:$J$508,H$1)</f>
        <v>0</v>
      </c>
      <c r="I74" s="207">
        <f>SUMIFS('январь 2023'!$G$4:$G$508,'январь 2023'!$D$4:$D$508,$B74,'январь 2023'!$J$4:$J$508,I$1)</f>
        <v>88</v>
      </c>
      <c r="J74" s="207">
        <f>SUMIFS('январь 2023'!$G$4:$G$508,'январь 2023'!$D$4:$D$508,$B74,'январь 2023'!$J$4:$J$508,J$1)</f>
        <v>0</v>
      </c>
      <c r="K74" s="207">
        <f>SUMIFS('январь 2023'!$G$4:$G$508,'январь 2023'!$D$4:$D$508,$B74,'январь 2023'!$J$4:$J$508,K$1)</f>
        <v>0</v>
      </c>
      <c r="L74" s="207">
        <f>SUMIFS('январь 2023'!$G$4:$G$508,'январь 2023'!$D$4:$D$508,$B74,'январь 2023'!$J$4:$J$508,L$1)</f>
        <v>88</v>
      </c>
      <c r="M74" s="207">
        <f>SUMIFS('январь 2023'!$G$4:$G$508,'январь 2023'!$D$4:$D$508,$B74,'январь 2023'!$J$4:$J$508,M$1)</f>
        <v>0</v>
      </c>
      <c r="N74" s="207">
        <f>SUMIFS('январь 2023'!$G$4:$G$508,'январь 2023'!$D$4:$D$508,$B74,'январь 2023'!$J$4:$J$508,N$1)</f>
        <v>0</v>
      </c>
      <c r="O74" s="207">
        <f>SUMIFS('январь 2023'!$G$4:$G$508,'январь 2023'!$D$4:$D$508,$B74,'январь 2023'!$J$4:$J$508,O$1)</f>
        <v>0</v>
      </c>
      <c r="P74" s="207">
        <f>SUMIFS('январь 2023'!$G$4:$G$508,'январь 2023'!$D$4:$D$508,$B74,'январь 2023'!$J$4:$J$508,P$1)</f>
        <v>0</v>
      </c>
      <c r="Q74" s="207">
        <f>SUMIFS('январь 2023'!$G$4:$G$508,'январь 2023'!$D$4:$D$508,$B74,'январь 2023'!$J$4:$J$508,Q$1)</f>
        <v>0</v>
      </c>
      <c r="R74" s="207">
        <f>SUMIFS('январь 2023'!$G$4:$G$508,'январь 2023'!$D$4:$D$508,$B74,'январь 2023'!$J$4:$J$508,R$1)</f>
        <v>0</v>
      </c>
      <c r="S74" s="207">
        <f>SUMIFS('январь 2023'!$G$4:$G$508,'январь 2023'!$D$4:$D$508,$B74,'январь 2023'!$J$4:$J$508,S$1)</f>
        <v>0</v>
      </c>
      <c r="T74" s="207">
        <f>SUMIFS('январь 2023'!$G$4:$G$508,'январь 2023'!$D$4:$D$508,$B74,'январь 2023'!$J$4:$J$508,T$1)</f>
        <v>0</v>
      </c>
      <c r="U74" s="207">
        <f>SUMIFS('январь 2023'!$G$4:$G$508,'январь 2023'!$D$4:$D$508,$B74,'январь 2023'!$J$4:$J$508,U$1)</f>
        <v>0</v>
      </c>
      <c r="V74" s="207">
        <f>SUMIFS('январь 2023'!$G$4:$G$508,'январь 2023'!$D$4:$D$508,$B74,'январь 2023'!$J$4:$J$508,V$1)</f>
        <v>0</v>
      </c>
      <c r="W74" s="207">
        <f>SUMIFS('январь 2023'!$G$4:$G$508,'январь 2023'!$D$4:$D$508,$B74,'январь 2023'!$J$4:$J$508,W$1)</f>
        <v>0</v>
      </c>
      <c r="X74" s="207">
        <f>SUMIFS('январь 2023'!$G$4:$G$508,'январь 2023'!$D$4:$D$508,$B74,'январь 2023'!$J$4:$J$508,X$1)</f>
        <v>0</v>
      </c>
      <c r="Y74" s="207">
        <f>SUMIFS('январь 2023'!$G$4:$G$508,'январь 2023'!$D$4:$D$508,$B74,'январь 2023'!$J$4:$J$508,Y$1)</f>
        <v>0</v>
      </c>
      <c r="Z74" s="207">
        <f>SUMIFS('январь 2023'!$G$4:$G$508,'январь 2023'!$D$4:$D$508,$B74,'январь 2023'!$J$4:$J$508,Z$1)</f>
        <v>0</v>
      </c>
      <c r="AA74" s="207">
        <f>SUMIFS('январь 2023'!$G$4:$G$508,'январь 2023'!$D$4:$D$508,$B74,'январь 2023'!$J$4:$J$508,AA$1)</f>
        <v>264</v>
      </c>
      <c r="AB74" s="207">
        <f>SUMIFS('январь 2023'!$G$4:$G$508,'январь 2023'!$D$4:$D$508,$B74,'январь 2023'!$J$4:$J$508,AB$1)</f>
        <v>0</v>
      </c>
      <c r="AC74" s="207">
        <f>SUMIFS('январь 2023'!$G$4:$G$508,'январь 2023'!$D$4:$D$508,$B74,'январь 2023'!$J$4:$J$508,AC$1)</f>
        <v>0</v>
      </c>
      <c r="AD74" s="207">
        <f>SUMIFS('январь 2023'!$G$4:$G$508,'январь 2023'!$D$4:$D$508,$B74,'январь 2023'!$J$4:$J$508,AD$1)</f>
        <v>0</v>
      </c>
      <c r="AE74" s="207">
        <f>SUMIFS('январь 2023'!$G$4:$G$508,'январь 2023'!$D$4:$D$508,$B74,'январь 2023'!$J$4:$J$508,AE$1)</f>
        <v>0</v>
      </c>
      <c r="AF74" s="207">
        <f>SUMIFS('январь 2023'!$G$4:$G$508,'январь 2023'!$D$4:$D$508,$B74,'январь 2023'!$J$4:$J$508,AF$1)</f>
        <v>0</v>
      </c>
      <c r="AG74" s="207">
        <f>SUMIFS('январь 2023'!$G$4:$G$508,'январь 2023'!$D$4:$D$508,$B74,'январь 2023'!$J$4:$J$508,AG$1)</f>
        <v>40</v>
      </c>
      <c r="AH74" s="207">
        <f>SUMIFS('январь 2023'!$G$4:$G$508,'январь 2023'!$D$4:$D$508,$B74,'январь 2023'!$J$4:$J$508,AH$1)</f>
        <v>0</v>
      </c>
      <c r="AI74" s="170">
        <f t="shared" si="2"/>
        <v>568</v>
      </c>
    </row>
    <row r="75" spans="2:35" ht="15" customHeight="1" x14ac:dyDescent="0.25">
      <c r="B75" s="217" t="s">
        <v>634</v>
      </c>
      <c r="C75" s="213">
        <v>200</v>
      </c>
      <c r="D75" s="207">
        <f>SUMIFS('январь 2023'!$G$4:$G$508,'январь 2023'!$D$4:$D$508,$B75,'январь 2023'!$J$4:$J$508,D$1)</f>
        <v>0</v>
      </c>
      <c r="E75" s="207">
        <f>SUMIFS('январь 2023'!$G$4:$G$508,'январь 2023'!$D$4:$D$508,$B75,'январь 2023'!$J$4:$J$508,E$1)</f>
        <v>0</v>
      </c>
      <c r="F75" s="207">
        <f>SUMIFS('январь 2023'!$G$4:$G$508,'январь 2023'!$D$4:$D$508,$B75,'январь 2023'!$J$4:$J$508,F$1)</f>
        <v>0</v>
      </c>
      <c r="G75" s="207">
        <f>SUMIFS('январь 2023'!$G$4:$G$508,'январь 2023'!$D$4:$D$508,$B75,'январь 2023'!$J$4:$J$508,G$1)</f>
        <v>0</v>
      </c>
      <c r="H75" s="207">
        <f>SUMIFS('январь 2023'!$G$4:$G$508,'январь 2023'!$D$4:$D$508,$B75,'январь 2023'!$J$4:$J$508,H$1)</f>
        <v>0</v>
      </c>
      <c r="I75" s="207">
        <f>SUMIFS('январь 2023'!$G$4:$G$508,'январь 2023'!$D$4:$D$508,$B75,'январь 2023'!$J$4:$J$508,I$1)</f>
        <v>80</v>
      </c>
      <c r="J75" s="207">
        <f>SUMIFS('январь 2023'!$G$4:$G$508,'январь 2023'!$D$4:$D$508,$B75,'январь 2023'!$J$4:$J$508,J$1)</f>
        <v>0</v>
      </c>
      <c r="K75" s="207">
        <f>SUMIFS('январь 2023'!$G$4:$G$508,'январь 2023'!$D$4:$D$508,$B75,'январь 2023'!$J$4:$J$508,K$1)</f>
        <v>0</v>
      </c>
      <c r="L75" s="207">
        <f>SUMIFS('январь 2023'!$G$4:$G$508,'январь 2023'!$D$4:$D$508,$B75,'январь 2023'!$J$4:$J$508,L$1)</f>
        <v>0</v>
      </c>
      <c r="M75" s="207">
        <f>SUMIFS('январь 2023'!$G$4:$G$508,'январь 2023'!$D$4:$D$508,$B75,'январь 2023'!$J$4:$J$508,M$1)</f>
        <v>0</v>
      </c>
      <c r="N75" s="207">
        <f>SUMIFS('январь 2023'!$G$4:$G$508,'январь 2023'!$D$4:$D$508,$B75,'январь 2023'!$J$4:$J$508,N$1)</f>
        <v>0</v>
      </c>
      <c r="O75" s="207">
        <f>SUMIFS('январь 2023'!$G$4:$G$508,'январь 2023'!$D$4:$D$508,$B75,'январь 2023'!$J$4:$J$508,O$1)</f>
        <v>0</v>
      </c>
      <c r="P75" s="207">
        <f>SUMIFS('январь 2023'!$G$4:$G$508,'январь 2023'!$D$4:$D$508,$B75,'январь 2023'!$J$4:$J$508,P$1)</f>
        <v>0</v>
      </c>
      <c r="Q75" s="207">
        <f>SUMIFS('январь 2023'!$G$4:$G$508,'январь 2023'!$D$4:$D$508,$B75,'январь 2023'!$J$4:$J$508,Q$1)</f>
        <v>0</v>
      </c>
      <c r="R75" s="207">
        <f>SUMIFS('январь 2023'!$G$4:$G$508,'январь 2023'!$D$4:$D$508,$B75,'январь 2023'!$J$4:$J$508,R$1)</f>
        <v>0</v>
      </c>
      <c r="S75" s="207">
        <f>SUMIFS('январь 2023'!$G$4:$G$508,'январь 2023'!$D$4:$D$508,$B75,'январь 2023'!$J$4:$J$508,S$1)</f>
        <v>0</v>
      </c>
      <c r="T75" s="207">
        <f>SUMIFS('январь 2023'!$G$4:$G$508,'январь 2023'!$D$4:$D$508,$B75,'январь 2023'!$J$4:$J$508,T$1)</f>
        <v>0</v>
      </c>
      <c r="U75" s="207">
        <f>SUMIFS('январь 2023'!$G$4:$G$508,'январь 2023'!$D$4:$D$508,$B75,'январь 2023'!$J$4:$J$508,U$1)</f>
        <v>0</v>
      </c>
      <c r="V75" s="207">
        <f>SUMIFS('январь 2023'!$G$4:$G$508,'январь 2023'!$D$4:$D$508,$B75,'январь 2023'!$J$4:$J$508,V$1)</f>
        <v>0</v>
      </c>
      <c r="W75" s="207">
        <f>SUMIFS('январь 2023'!$G$4:$G$508,'январь 2023'!$D$4:$D$508,$B75,'январь 2023'!$J$4:$J$508,W$1)</f>
        <v>0</v>
      </c>
      <c r="X75" s="207">
        <f>SUMIFS('январь 2023'!$G$4:$G$508,'январь 2023'!$D$4:$D$508,$B75,'январь 2023'!$J$4:$J$508,X$1)</f>
        <v>0</v>
      </c>
      <c r="Y75" s="207">
        <f>SUMIFS('январь 2023'!$G$4:$G$508,'январь 2023'!$D$4:$D$508,$B75,'январь 2023'!$J$4:$J$508,Y$1)</f>
        <v>0</v>
      </c>
      <c r="Z75" s="207">
        <f>SUMIFS('январь 2023'!$G$4:$G$508,'январь 2023'!$D$4:$D$508,$B75,'январь 2023'!$J$4:$J$508,Z$1)</f>
        <v>0</v>
      </c>
      <c r="AA75" s="207">
        <f>SUMIFS('январь 2023'!$G$4:$G$508,'январь 2023'!$D$4:$D$508,$B75,'январь 2023'!$J$4:$J$508,AA$1)</f>
        <v>0</v>
      </c>
      <c r="AB75" s="207">
        <f>SUMIFS('январь 2023'!$G$4:$G$508,'январь 2023'!$D$4:$D$508,$B75,'январь 2023'!$J$4:$J$508,AB$1)</f>
        <v>0</v>
      </c>
      <c r="AC75" s="207">
        <f>SUMIFS('январь 2023'!$G$4:$G$508,'январь 2023'!$D$4:$D$508,$B75,'январь 2023'!$J$4:$J$508,AC$1)</f>
        <v>0</v>
      </c>
      <c r="AD75" s="207">
        <f>SUMIFS('январь 2023'!$G$4:$G$508,'январь 2023'!$D$4:$D$508,$B75,'январь 2023'!$J$4:$J$508,AD$1)</f>
        <v>0</v>
      </c>
      <c r="AE75" s="207">
        <f>SUMIFS('январь 2023'!$G$4:$G$508,'январь 2023'!$D$4:$D$508,$B75,'январь 2023'!$J$4:$J$508,AE$1)</f>
        <v>0</v>
      </c>
      <c r="AF75" s="207">
        <f>SUMIFS('январь 2023'!$G$4:$G$508,'январь 2023'!$D$4:$D$508,$B75,'январь 2023'!$J$4:$J$508,AF$1)</f>
        <v>0</v>
      </c>
      <c r="AG75" s="207">
        <f>SUMIFS('январь 2023'!$G$4:$G$508,'январь 2023'!$D$4:$D$508,$B75,'январь 2023'!$J$4:$J$508,AG$1)</f>
        <v>0</v>
      </c>
      <c r="AH75" s="207">
        <f>SUMIFS('январь 2023'!$G$4:$G$508,'январь 2023'!$D$4:$D$508,$B75,'январь 2023'!$J$4:$J$508,AH$1)</f>
        <v>0</v>
      </c>
      <c r="AI75" s="170">
        <f t="shared" si="2"/>
        <v>80</v>
      </c>
    </row>
    <row r="76" spans="2:35" ht="15" customHeight="1" x14ac:dyDescent="0.25">
      <c r="B76" s="212" t="s">
        <v>1663</v>
      </c>
      <c r="C76" s="213">
        <v>185</v>
      </c>
      <c r="D76" s="207">
        <f>SUMIFS('январь 2023'!$G$4:$G$508,'январь 2023'!$D$4:$D$508,$B76,'январь 2023'!$J$4:$J$508,D$1)</f>
        <v>0</v>
      </c>
      <c r="E76" s="207">
        <f>SUMIFS('январь 2023'!$G$4:$G$508,'январь 2023'!$D$4:$D$508,$B76,'январь 2023'!$J$4:$J$508,E$1)</f>
        <v>0</v>
      </c>
      <c r="F76" s="207">
        <f>SUMIFS('январь 2023'!$G$4:$G$508,'январь 2023'!$D$4:$D$508,$B76,'январь 2023'!$J$4:$J$508,F$1)</f>
        <v>0</v>
      </c>
      <c r="G76" s="207">
        <f>SUMIFS('январь 2023'!$G$4:$G$508,'январь 2023'!$D$4:$D$508,$B76,'январь 2023'!$J$4:$J$508,G$1)</f>
        <v>0</v>
      </c>
      <c r="H76" s="207">
        <f>SUMIFS('январь 2023'!$G$4:$G$508,'январь 2023'!$D$4:$D$508,$B76,'январь 2023'!$J$4:$J$508,H$1)</f>
        <v>0</v>
      </c>
      <c r="I76" s="207">
        <f>SUMIFS('январь 2023'!$G$4:$G$508,'январь 2023'!$D$4:$D$508,$B76,'январь 2023'!$J$4:$J$508,I$1)</f>
        <v>0</v>
      </c>
      <c r="J76" s="207">
        <f>SUMIFS('январь 2023'!$G$4:$G$508,'январь 2023'!$D$4:$D$508,$B76,'январь 2023'!$J$4:$J$508,J$1)</f>
        <v>0</v>
      </c>
      <c r="K76" s="207">
        <f>SUMIFS('январь 2023'!$G$4:$G$508,'январь 2023'!$D$4:$D$508,$B76,'январь 2023'!$J$4:$J$508,K$1)</f>
        <v>0</v>
      </c>
      <c r="L76" s="207">
        <f>SUMIFS('январь 2023'!$G$4:$G$508,'январь 2023'!$D$4:$D$508,$B76,'январь 2023'!$J$4:$J$508,L$1)</f>
        <v>0</v>
      </c>
      <c r="M76" s="207">
        <f>SUMIFS('январь 2023'!$G$4:$G$508,'январь 2023'!$D$4:$D$508,$B76,'январь 2023'!$J$4:$J$508,M$1)</f>
        <v>0</v>
      </c>
      <c r="N76" s="207">
        <f>SUMIFS('январь 2023'!$G$4:$G$508,'январь 2023'!$D$4:$D$508,$B76,'январь 2023'!$J$4:$J$508,N$1)</f>
        <v>0</v>
      </c>
      <c r="O76" s="207">
        <f>SUMIFS('январь 2023'!$G$4:$G$508,'январь 2023'!$D$4:$D$508,$B76,'январь 2023'!$J$4:$J$508,O$1)</f>
        <v>160</v>
      </c>
      <c r="P76" s="207">
        <f>SUMIFS('январь 2023'!$G$4:$G$508,'январь 2023'!$D$4:$D$508,$B76,'январь 2023'!$J$4:$J$508,P$1)</f>
        <v>0</v>
      </c>
      <c r="Q76" s="207">
        <f>SUMIFS('январь 2023'!$G$4:$G$508,'январь 2023'!$D$4:$D$508,$B76,'январь 2023'!$J$4:$J$508,Q$1)</f>
        <v>0</v>
      </c>
      <c r="R76" s="207">
        <f>SUMIFS('январь 2023'!$G$4:$G$508,'январь 2023'!$D$4:$D$508,$B76,'январь 2023'!$J$4:$J$508,R$1)</f>
        <v>0</v>
      </c>
      <c r="S76" s="207">
        <f>SUMIFS('январь 2023'!$G$4:$G$508,'январь 2023'!$D$4:$D$508,$B76,'январь 2023'!$J$4:$J$508,S$1)</f>
        <v>0</v>
      </c>
      <c r="T76" s="207">
        <f>SUMIFS('январь 2023'!$G$4:$G$508,'январь 2023'!$D$4:$D$508,$B76,'январь 2023'!$J$4:$J$508,T$1)</f>
        <v>0</v>
      </c>
      <c r="U76" s="207">
        <f>SUMIFS('январь 2023'!$G$4:$G$508,'январь 2023'!$D$4:$D$508,$B76,'январь 2023'!$J$4:$J$508,U$1)</f>
        <v>0</v>
      </c>
      <c r="V76" s="207">
        <f>SUMIFS('январь 2023'!$G$4:$G$508,'январь 2023'!$D$4:$D$508,$B76,'январь 2023'!$J$4:$J$508,V$1)</f>
        <v>0</v>
      </c>
      <c r="W76" s="207">
        <f>SUMIFS('январь 2023'!$G$4:$G$508,'январь 2023'!$D$4:$D$508,$B76,'январь 2023'!$J$4:$J$508,W$1)</f>
        <v>0</v>
      </c>
      <c r="X76" s="207">
        <f>SUMIFS('январь 2023'!$G$4:$G$508,'январь 2023'!$D$4:$D$508,$B76,'январь 2023'!$J$4:$J$508,X$1)</f>
        <v>0</v>
      </c>
      <c r="Y76" s="207">
        <f>SUMIFS('январь 2023'!$G$4:$G$508,'январь 2023'!$D$4:$D$508,$B76,'январь 2023'!$J$4:$J$508,Y$1)</f>
        <v>0</v>
      </c>
      <c r="Z76" s="207">
        <f>SUMIFS('январь 2023'!$G$4:$G$508,'январь 2023'!$D$4:$D$508,$B76,'январь 2023'!$J$4:$J$508,Z$1)</f>
        <v>0</v>
      </c>
      <c r="AA76" s="207">
        <f>SUMIFS('январь 2023'!$G$4:$G$508,'январь 2023'!$D$4:$D$508,$B76,'январь 2023'!$J$4:$J$508,AA$1)</f>
        <v>0</v>
      </c>
      <c r="AB76" s="207">
        <f>SUMIFS('январь 2023'!$G$4:$G$508,'январь 2023'!$D$4:$D$508,$B76,'январь 2023'!$J$4:$J$508,AB$1)</f>
        <v>240</v>
      </c>
      <c r="AC76" s="207">
        <f>SUMIFS('январь 2023'!$G$4:$G$508,'январь 2023'!$D$4:$D$508,$B76,'январь 2023'!$J$4:$J$508,AC$1)</f>
        <v>0</v>
      </c>
      <c r="AD76" s="207">
        <f>SUMIFS('январь 2023'!$G$4:$G$508,'январь 2023'!$D$4:$D$508,$B76,'январь 2023'!$J$4:$J$508,AD$1)</f>
        <v>0</v>
      </c>
      <c r="AE76" s="207">
        <f>SUMIFS('январь 2023'!$G$4:$G$508,'январь 2023'!$D$4:$D$508,$B76,'январь 2023'!$J$4:$J$508,AE$1)</f>
        <v>0</v>
      </c>
      <c r="AF76" s="207">
        <f>SUMIFS('январь 2023'!$G$4:$G$508,'январь 2023'!$D$4:$D$508,$B76,'январь 2023'!$J$4:$J$508,AF$1)</f>
        <v>0</v>
      </c>
      <c r="AG76" s="207">
        <f>SUMIFS('январь 2023'!$G$4:$G$508,'январь 2023'!$D$4:$D$508,$B76,'январь 2023'!$J$4:$J$508,AG$1)</f>
        <v>0</v>
      </c>
      <c r="AH76" s="207">
        <f>SUMIFS('январь 2023'!$G$4:$G$508,'январь 2023'!$D$4:$D$508,$B76,'январь 2023'!$J$4:$J$508,AH$1)</f>
        <v>0</v>
      </c>
      <c r="AI76" s="170">
        <f t="shared" si="2"/>
        <v>400</v>
      </c>
    </row>
    <row r="77" spans="2:35" ht="15" customHeight="1" x14ac:dyDescent="0.25">
      <c r="B77" s="212" t="s">
        <v>2193</v>
      </c>
      <c r="C77" s="211">
        <v>190</v>
      </c>
      <c r="D77" s="207">
        <f>SUMIFS('январь 2023'!$G$4:$G$508,'январь 2023'!$D$4:$D$508,$B77,'январь 2023'!$J$4:$J$508,D$1)</f>
        <v>0</v>
      </c>
      <c r="E77" s="207">
        <f>SUMIFS('январь 2023'!$G$4:$G$508,'январь 2023'!$D$4:$D$508,$B77,'январь 2023'!$J$4:$J$508,E$1)</f>
        <v>0</v>
      </c>
      <c r="F77" s="207">
        <f>SUMIFS('январь 2023'!$G$4:$G$508,'январь 2023'!$D$4:$D$508,$B77,'январь 2023'!$J$4:$J$508,F$1)</f>
        <v>0</v>
      </c>
      <c r="G77" s="207">
        <f>SUMIFS('январь 2023'!$G$4:$G$508,'январь 2023'!$D$4:$D$508,$B77,'январь 2023'!$J$4:$J$508,G$1)</f>
        <v>0</v>
      </c>
      <c r="H77" s="207">
        <f>SUMIFS('январь 2023'!$G$4:$G$508,'январь 2023'!$D$4:$D$508,$B77,'январь 2023'!$J$4:$J$508,H$1)</f>
        <v>0</v>
      </c>
      <c r="I77" s="207">
        <f>SUMIFS('январь 2023'!$G$4:$G$508,'январь 2023'!$D$4:$D$508,$B77,'январь 2023'!$J$4:$J$508,I$1)</f>
        <v>0</v>
      </c>
      <c r="J77" s="207">
        <f>SUMIFS('январь 2023'!$G$4:$G$508,'январь 2023'!$D$4:$D$508,$B77,'январь 2023'!$J$4:$J$508,J$1)</f>
        <v>0</v>
      </c>
      <c r="K77" s="207">
        <f>SUMIFS('январь 2023'!$G$4:$G$508,'январь 2023'!$D$4:$D$508,$B77,'январь 2023'!$J$4:$J$508,K$1)</f>
        <v>0</v>
      </c>
      <c r="L77" s="207">
        <f>SUMIFS('январь 2023'!$G$4:$G$508,'январь 2023'!$D$4:$D$508,$B77,'январь 2023'!$J$4:$J$508,L$1)</f>
        <v>0</v>
      </c>
      <c r="M77" s="207">
        <f>SUMIFS('январь 2023'!$G$4:$G$508,'январь 2023'!$D$4:$D$508,$B77,'январь 2023'!$J$4:$J$508,M$1)</f>
        <v>0</v>
      </c>
      <c r="N77" s="207">
        <f>SUMIFS('январь 2023'!$G$4:$G$508,'январь 2023'!$D$4:$D$508,$B77,'январь 2023'!$J$4:$J$508,N$1)</f>
        <v>0</v>
      </c>
      <c r="O77" s="207">
        <f>SUMIFS('январь 2023'!$G$4:$G$508,'январь 2023'!$D$4:$D$508,$B77,'январь 2023'!$J$4:$J$508,O$1)</f>
        <v>0</v>
      </c>
      <c r="P77" s="207">
        <f>SUMIFS('январь 2023'!$G$4:$G$508,'январь 2023'!$D$4:$D$508,$B77,'январь 2023'!$J$4:$J$508,P$1)</f>
        <v>0</v>
      </c>
      <c r="Q77" s="207">
        <f>SUMIFS('январь 2023'!$G$4:$G$508,'январь 2023'!$D$4:$D$508,$B77,'январь 2023'!$J$4:$J$508,Q$1)</f>
        <v>0</v>
      </c>
      <c r="R77" s="207">
        <f>SUMIFS('январь 2023'!$G$4:$G$508,'январь 2023'!$D$4:$D$508,$B77,'январь 2023'!$J$4:$J$508,R$1)</f>
        <v>0</v>
      </c>
      <c r="S77" s="207">
        <f>SUMIFS('январь 2023'!$G$4:$G$508,'январь 2023'!$D$4:$D$508,$B77,'январь 2023'!$J$4:$J$508,S$1)</f>
        <v>0</v>
      </c>
      <c r="T77" s="207">
        <f>SUMIFS('январь 2023'!$G$4:$G$508,'январь 2023'!$D$4:$D$508,$B77,'январь 2023'!$J$4:$J$508,T$1)</f>
        <v>0</v>
      </c>
      <c r="U77" s="207">
        <f>SUMIFS('январь 2023'!$G$4:$G$508,'январь 2023'!$D$4:$D$508,$B77,'январь 2023'!$J$4:$J$508,U$1)</f>
        <v>0</v>
      </c>
      <c r="V77" s="207">
        <f>SUMIFS('январь 2023'!$G$4:$G$508,'январь 2023'!$D$4:$D$508,$B77,'январь 2023'!$J$4:$J$508,V$1)</f>
        <v>0</v>
      </c>
      <c r="W77" s="207">
        <f>SUMIFS('январь 2023'!$G$4:$G$508,'январь 2023'!$D$4:$D$508,$B77,'январь 2023'!$J$4:$J$508,W$1)</f>
        <v>0</v>
      </c>
      <c r="X77" s="207">
        <f>SUMIFS('январь 2023'!$G$4:$G$508,'январь 2023'!$D$4:$D$508,$B77,'январь 2023'!$J$4:$J$508,X$1)</f>
        <v>0</v>
      </c>
      <c r="Y77" s="207">
        <f>SUMIFS('январь 2023'!$G$4:$G$508,'январь 2023'!$D$4:$D$508,$B77,'январь 2023'!$J$4:$J$508,Y$1)</f>
        <v>0</v>
      </c>
      <c r="Z77" s="207">
        <f>SUMIFS('январь 2023'!$G$4:$G$508,'январь 2023'!$D$4:$D$508,$B77,'январь 2023'!$J$4:$J$508,Z$1)</f>
        <v>0</v>
      </c>
      <c r="AA77" s="207">
        <f>SUMIFS('январь 2023'!$G$4:$G$508,'январь 2023'!$D$4:$D$508,$B77,'январь 2023'!$J$4:$J$508,AA$1)</f>
        <v>0</v>
      </c>
      <c r="AB77" s="207">
        <f>SUMIFS('январь 2023'!$G$4:$G$508,'январь 2023'!$D$4:$D$508,$B77,'январь 2023'!$J$4:$J$508,AB$1)</f>
        <v>0</v>
      </c>
      <c r="AC77" s="207">
        <f>SUMIFS('январь 2023'!$G$4:$G$508,'январь 2023'!$D$4:$D$508,$B77,'январь 2023'!$J$4:$J$508,AC$1)</f>
        <v>0</v>
      </c>
      <c r="AD77" s="207">
        <f>SUMIFS('январь 2023'!$G$4:$G$508,'январь 2023'!$D$4:$D$508,$B77,'январь 2023'!$J$4:$J$508,AD$1)</f>
        <v>0</v>
      </c>
      <c r="AE77" s="207">
        <f>SUMIFS('январь 2023'!$G$4:$G$508,'январь 2023'!$D$4:$D$508,$B77,'январь 2023'!$J$4:$J$508,AE$1)</f>
        <v>0</v>
      </c>
      <c r="AF77" s="207">
        <f>SUMIFS('январь 2023'!$G$4:$G$508,'январь 2023'!$D$4:$D$508,$B77,'январь 2023'!$J$4:$J$508,AF$1)</f>
        <v>0</v>
      </c>
      <c r="AG77" s="207">
        <f>SUMIFS('январь 2023'!$G$4:$G$508,'январь 2023'!$D$4:$D$508,$B77,'январь 2023'!$J$4:$J$508,AG$1)</f>
        <v>0</v>
      </c>
      <c r="AH77" s="207">
        <f>SUMIFS('январь 2023'!$G$4:$G$508,'январь 2023'!$D$4:$D$508,$B77,'январь 2023'!$J$4:$J$508,AH$1)</f>
        <v>0</v>
      </c>
      <c r="AI77" s="170">
        <f t="shared" si="2"/>
        <v>0</v>
      </c>
    </row>
    <row r="78" spans="2:35" ht="15" customHeight="1" x14ac:dyDescent="0.25">
      <c r="B78" s="212" t="s">
        <v>2180</v>
      </c>
      <c r="C78" s="211">
        <v>180</v>
      </c>
      <c r="D78" s="207">
        <f>SUMIFS('январь 2023'!$G$4:$G$508,'январь 2023'!$D$4:$D$508,$B78,'январь 2023'!$J$4:$J$508,D$1)</f>
        <v>0</v>
      </c>
      <c r="E78" s="207">
        <f>SUMIFS('январь 2023'!$G$4:$G$508,'январь 2023'!$D$4:$D$508,$B78,'январь 2023'!$J$4:$J$508,E$1)</f>
        <v>0</v>
      </c>
      <c r="F78" s="207">
        <f>SUMIFS('январь 2023'!$G$4:$G$508,'январь 2023'!$D$4:$D$508,$B78,'январь 2023'!$J$4:$J$508,F$1)</f>
        <v>0</v>
      </c>
      <c r="G78" s="207">
        <f>SUMIFS('январь 2023'!$G$4:$G$508,'январь 2023'!$D$4:$D$508,$B78,'январь 2023'!$J$4:$J$508,G$1)</f>
        <v>0</v>
      </c>
      <c r="H78" s="207">
        <f>SUMIFS('январь 2023'!$G$4:$G$508,'январь 2023'!$D$4:$D$508,$B78,'январь 2023'!$J$4:$J$508,H$1)</f>
        <v>0</v>
      </c>
      <c r="I78" s="207">
        <f>SUMIFS('январь 2023'!$G$4:$G$508,'январь 2023'!$D$4:$D$508,$B78,'январь 2023'!$J$4:$J$508,I$1)</f>
        <v>0</v>
      </c>
      <c r="J78" s="207">
        <f>SUMIFS('январь 2023'!$G$4:$G$508,'январь 2023'!$D$4:$D$508,$B78,'январь 2023'!$J$4:$J$508,J$1)</f>
        <v>0</v>
      </c>
      <c r="K78" s="207">
        <f>SUMIFS('январь 2023'!$G$4:$G$508,'январь 2023'!$D$4:$D$508,$B78,'январь 2023'!$J$4:$J$508,K$1)</f>
        <v>0</v>
      </c>
      <c r="L78" s="207">
        <f>SUMIFS('январь 2023'!$G$4:$G$508,'январь 2023'!$D$4:$D$508,$B78,'январь 2023'!$J$4:$J$508,L$1)</f>
        <v>0</v>
      </c>
      <c r="M78" s="207">
        <f>SUMIFS('январь 2023'!$G$4:$G$508,'январь 2023'!$D$4:$D$508,$B78,'январь 2023'!$J$4:$J$508,M$1)</f>
        <v>0</v>
      </c>
      <c r="N78" s="207">
        <f>SUMIFS('январь 2023'!$G$4:$G$508,'январь 2023'!$D$4:$D$508,$B78,'январь 2023'!$J$4:$J$508,N$1)</f>
        <v>0</v>
      </c>
      <c r="O78" s="207">
        <f>SUMIFS('январь 2023'!$G$4:$G$508,'январь 2023'!$D$4:$D$508,$B78,'январь 2023'!$J$4:$J$508,O$1)</f>
        <v>0</v>
      </c>
      <c r="P78" s="207">
        <f>SUMIFS('январь 2023'!$G$4:$G$508,'январь 2023'!$D$4:$D$508,$B78,'январь 2023'!$J$4:$J$508,P$1)</f>
        <v>0</v>
      </c>
      <c r="Q78" s="207">
        <f>SUMIFS('январь 2023'!$G$4:$G$508,'январь 2023'!$D$4:$D$508,$B78,'январь 2023'!$J$4:$J$508,Q$1)</f>
        <v>0</v>
      </c>
      <c r="R78" s="207">
        <f>SUMIFS('январь 2023'!$G$4:$G$508,'январь 2023'!$D$4:$D$508,$B78,'январь 2023'!$J$4:$J$508,R$1)</f>
        <v>0</v>
      </c>
      <c r="S78" s="207">
        <f>SUMIFS('январь 2023'!$G$4:$G$508,'январь 2023'!$D$4:$D$508,$B78,'январь 2023'!$J$4:$J$508,S$1)</f>
        <v>0</v>
      </c>
      <c r="T78" s="207">
        <f>SUMIFS('январь 2023'!$G$4:$G$508,'январь 2023'!$D$4:$D$508,$B78,'январь 2023'!$J$4:$J$508,T$1)</f>
        <v>0</v>
      </c>
      <c r="U78" s="207">
        <f>SUMIFS('январь 2023'!$G$4:$G$508,'январь 2023'!$D$4:$D$508,$B78,'январь 2023'!$J$4:$J$508,U$1)</f>
        <v>0</v>
      </c>
      <c r="V78" s="207">
        <f>SUMIFS('январь 2023'!$G$4:$G$508,'январь 2023'!$D$4:$D$508,$B78,'январь 2023'!$J$4:$J$508,V$1)</f>
        <v>0</v>
      </c>
      <c r="W78" s="207">
        <f>SUMIFS('январь 2023'!$G$4:$G$508,'январь 2023'!$D$4:$D$508,$B78,'январь 2023'!$J$4:$J$508,W$1)</f>
        <v>0</v>
      </c>
      <c r="X78" s="207">
        <f>SUMIFS('январь 2023'!$G$4:$G$508,'январь 2023'!$D$4:$D$508,$B78,'январь 2023'!$J$4:$J$508,X$1)</f>
        <v>0</v>
      </c>
      <c r="Y78" s="207">
        <f>SUMIFS('январь 2023'!$G$4:$G$508,'январь 2023'!$D$4:$D$508,$B78,'январь 2023'!$J$4:$J$508,Y$1)</f>
        <v>0</v>
      </c>
      <c r="Z78" s="207">
        <f>SUMIFS('январь 2023'!$G$4:$G$508,'январь 2023'!$D$4:$D$508,$B78,'январь 2023'!$J$4:$J$508,Z$1)</f>
        <v>0</v>
      </c>
      <c r="AA78" s="207">
        <f>SUMIFS('январь 2023'!$G$4:$G$508,'январь 2023'!$D$4:$D$508,$B78,'январь 2023'!$J$4:$J$508,AA$1)</f>
        <v>0</v>
      </c>
      <c r="AB78" s="207">
        <f>SUMIFS('январь 2023'!$G$4:$G$508,'январь 2023'!$D$4:$D$508,$B78,'январь 2023'!$J$4:$J$508,AB$1)</f>
        <v>0</v>
      </c>
      <c r="AC78" s="207">
        <f>SUMIFS('январь 2023'!$G$4:$G$508,'январь 2023'!$D$4:$D$508,$B78,'январь 2023'!$J$4:$J$508,AC$1)</f>
        <v>0</v>
      </c>
      <c r="AD78" s="207">
        <f>SUMIFS('январь 2023'!$G$4:$G$508,'январь 2023'!$D$4:$D$508,$B78,'январь 2023'!$J$4:$J$508,AD$1)</f>
        <v>0</v>
      </c>
      <c r="AE78" s="207">
        <f>SUMIFS('январь 2023'!$G$4:$G$508,'январь 2023'!$D$4:$D$508,$B78,'январь 2023'!$J$4:$J$508,AE$1)</f>
        <v>0</v>
      </c>
      <c r="AF78" s="207">
        <f>SUMIFS('январь 2023'!$G$4:$G$508,'январь 2023'!$D$4:$D$508,$B78,'январь 2023'!$J$4:$J$508,AF$1)</f>
        <v>0</v>
      </c>
      <c r="AG78" s="207">
        <f>SUMIFS('январь 2023'!$G$4:$G$508,'январь 2023'!$D$4:$D$508,$B78,'январь 2023'!$J$4:$J$508,AG$1)</f>
        <v>0</v>
      </c>
      <c r="AH78" s="207">
        <f>SUMIFS('январь 2023'!$G$4:$G$508,'январь 2023'!$D$4:$D$508,$B78,'январь 2023'!$J$4:$J$508,AH$1)</f>
        <v>0</v>
      </c>
      <c r="AI78" s="170">
        <f t="shared" si="2"/>
        <v>0</v>
      </c>
    </row>
    <row r="79" spans="2:35" ht="15" customHeight="1" x14ac:dyDescent="0.25">
      <c r="B79" s="212" t="s">
        <v>2190</v>
      </c>
      <c r="C79" s="211">
        <v>180</v>
      </c>
      <c r="D79" s="207">
        <f>SUMIFS('январь 2023'!$G$4:$G$508,'январь 2023'!$D$4:$D$508,$B79,'январь 2023'!$J$4:$J$508,D$1)</f>
        <v>0</v>
      </c>
      <c r="E79" s="207">
        <f>SUMIFS('январь 2023'!$G$4:$G$508,'январь 2023'!$D$4:$D$508,$B79,'январь 2023'!$J$4:$J$508,E$1)</f>
        <v>0</v>
      </c>
      <c r="F79" s="207">
        <f>SUMIFS('январь 2023'!$G$4:$G$508,'январь 2023'!$D$4:$D$508,$B79,'январь 2023'!$J$4:$J$508,F$1)</f>
        <v>0</v>
      </c>
      <c r="G79" s="207">
        <f>SUMIFS('январь 2023'!$G$4:$G$508,'январь 2023'!$D$4:$D$508,$B79,'январь 2023'!$J$4:$J$508,G$1)</f>
        <v>0</v>
      </c>
      <c r="H79" s="207">
        <f>SUMIFS('январь 2023'!$G$4:$G$508,'январь 2023'!$D$4:$D$508,$B79,'январь 2023'!$J$4:$J$508,H$1)</f>
        <v>0</v>
      </c>
      <c r="I79" s="207">
        <f>SUMIFS('январь 2023'!$G$4:$G$508,'январь 2023'!$D$4:$D$508,$B79,'январь 2023'!$J$4:$J$508,I$1)</f>
        <v>0</v>
      </c>
      <c r="J79" s="207">
        <f>SUMIFS('январь 2023'!$G$4:$G$508,'январь 2023'!$D$4:$D$508,$B79,'январь 2023'!$J$4:$J$508,J$1)</f>
        <v>0</v>
      </c>
      <c r="K79" s="207">
        <f>SUMIFS('январь 2023'!$G$4:$G$508,'январь 2023'!$D$4:$D$508,$B79,'январь 2023'!$J$4:$J$508,K$1)</f>
        <v>0</v>
      </c>
      <c r="L79" s="207">
        <f>SUMIFS('январь 2023'!$G$4:$G$508,'январь 2023'!$D$4:$D$508,$B79,'январь 2023'!$J$4:$J$508,L$1)</f>
        <v>0</v>
      </c>
      <c r="M79" s="207">
        <f>SUMIFS('январь 2023'!$G$4:$G$508,'январь 2023'!$D$4:$D$508,$B79,'январь 2023'!$J$4:$J$508,M$1)</f>
        <v>0</v>
      </c>
      <c r="N79" s="207">
        <f>SUMIFS('январь 2023'!$G$4:$G$508,'январь 2023'!$D$4:$D$508,$B79,'январь 2023'!$J$4:$J$508,N$1)</f>
        <v>0</v>
      </c>
      <c r="O79" s="207">
        <f>SUMIFS('январь 2023'!$G$4:$G$508,'январь 2023'!$D$4:$D$508,$B79,'январь 2023'!$J$4:$J$508,O$1)</f>
        <v>0</v>
      </c>
      <c r="P79" s="207">
        <f>SUMIFS('январь 2023'!$G$4:$G$508,'январь 2023'!$D$4:$D$508,$B79,'январь 2023'!$J$4:$J$508,P$1)</f>
        <v>0</v>
      </c>
      <c r="Q79" s="207">
        <f>SUMIFS('январь 2023'!$G$4:$G$508,'январь 2023'!$D$4:$D$508,$B79,'январь 2023'!$J$4:$J$508,Q$1)</f>
        <v>0</v>
      </c>
      <c r="R79" s="207">
        <f>SUMIFS('январь 2023'!$G$4:$G$508,'январь 2023'!$D$4:$D$508,$B79,'январь 2023'!$J$4:$J$508,R$1)</f>
        <v>0</v>
      </c>
      <c r="S79" s="207">
        <f>SUMIFS('январь 2023'!$G$4:$G$508,'январь 2023'!$D$4:$D$508,$B79,'январь 2023'!$J$4:$J$508,S$1)</f>
        <v>0</v>
      </c>
      <c r="T79" s="207">
        <f>SUMIFS('январь 2023'!$G$4:$G$508,'январь 2023'!$D$4:$D$508,$B79,'январь 2023'!$J$4:$J$508,T$1)</f>
        <v>0</v>
      </c>
      <c r="U79" s="207">
        <f>SUMIFS('январь 2023'!$G$4:$G$508,'январь 2023'!$D$4:$D$508,$B79,'январь 2023'!$J$4:$J$508,U$1)</f>
        <v>0</v>
      </c>
      <c r="V79" s="207">
        <f>SUMIFS('январь 2023'!$G$4:$G$508,'январь 2023'!$D$4:$D$508,$B79,'январь 2023'!$J$4:$J$508,V$1)</f>
        <v>0</v>
      </c>
      <c r="W79" s="207">
        <f>SUMIFS('январь 2023'!$G$4:$G$508,'январь 2023'!$D$4:$D$508,$B79,'январь 2023'!$J$4:$J$508,W$1)</f>
        <v>0</v>
      </c>
      <c r="X79" s="207">
        <f>SUMIFS('январь 2023'!$G$4:$G$508,'январь 2023'!$D$4:$D$508,$B79,'январь 2023'!$J$4:$J$508,X$1)</f>
        <v>0</v>
      </c>
      <c r="Y79" s="207">
        <f>SUMIFS('январь 2023'!$G$4:$G$508,'январь 2023'!$D$4:$D$508,$B79,'январь 2023'!$J$4:$J$508,Y$1)</f>
        <v>0</v>
      </c>
      <c r="Z79" s="207">
        <f>SUMIFS('январь 2023'!$G$4:$G$508,'январь 2023'!$D$4:$D$508,$B79,'январь 2023'!$J$4:$J$508,Z$1)</f>
        <v>0</v>
      </c>
      <c r="AA79" s="207">
        <f>SUMIFS('январь 2023'!$G$4:$G$508,'январь 2023'!$D$4:$D$508,$B79,'январь 2023'!$J$4:$J$508,AA$1)</f>
        <v>0</v>
      </c>
      <c r="AB79" s="207">
        <f>SUMIFS('январь 2023'!$G$4:$G$508,'январь 2023'!$D$4:$D$508,$B79,'январь 2023'!$J$4:$J$508,AB$1)</f>
        <v>0</v>
      </c>
      <c r="AC79" s="207">
        <f>SUMIFS('январь 2023'!$G$4:$G$508,'январь 2023'!$D$4:$D$508,$B79,'январь 2023'!$J$4:$J$508,AC$1)</f>
        <v>0</v>
      </c>
      <c r="AD79" s="207">
        <f>SUMIFS('январь 2023'!$G$4:$G$508,'январь 2023'!$D$4:$D$508,$B79,'январь 2023'!$J$4:$J$508,AD$1)</f>
        <v>0</v>
      </c>
      <c r="AE79" s="207">
        <f>SUMIFS('январь 2023'!$G$4:$G$508,'январь 2023'!$D$4:$D$508,$B79,'январь 2023'!$J$4:$J$508,AE$1)</f>
        <v>0</v>
      </c>
      <c r="AF79" s="207">
        <f>SUMIFS('январь 2023'!$G$4:$G$508,'январь 2023'!$D$4:$D$508,$B79,'январь 2023'!$J$4:$J$508,AF$1)</f>
        <v>0</v>
      </c>
      <c r="AG79" s="207">
        <f>SUMIFS('январь 2023'!$G$4:$G$508,'январь 2023'!$D$4:$D$508,$B79,'январь 2023'!$J$4:$J$508,AG$1)</f>
        <v>0</v>
      </c>
      <c r="AH79" s="207">
        <f>SUMIFS('январь 2023'!$G$4:$G$508,'январь 2023'!$D$4:$D$508,$B79,'январь 2023'!$J$4:$J$508,AH$1)</f>
        <v>0</v>
      </c>
      <c r="AI79" s="170">
        <f t="shared" si="2"/>
        <v>0</v>
      </c>
    </row>
    <row r="80" spans="2:35" ht="15" customHeight="1" x14ac:dyDescent="0.25">
      <c r="B80" s="216" t="s">
        <v>371</v>
      </c>
      <c r="C80" s="213">
        <v>200</v>
      </c>
      <c r="D80" s="207">
        <f>SUMIFS('январь 2023'!$G$4:$G$508,'январь 2023'!$D$4:$D$508,$B80,'январь 2023'!$J$4:$J$508,D$1)</f>
        <v>0</v>
      </c>
      <c r="E80" s="207">
        <f>SUMIFS('январь 2023'!$G$4:$G$508,'январь 2023'!$D$4:$D$508,$B80,'январь 2023'!$J$4:$J$508,E$1)</f>
        <v>0</v>
      </c>
      <c r="F80" s="207">
        <f>SUMIFS('январь 2023'!$G$4:$G$508,'январь 2023'!$D$4:$D$508,$B80,'январь 2023'!$J$4:$J$508,F$1)</f>
        <v>0</v>
      </c>
      <c r="G80" s="207">
        <f>SUMIFS('январь 2023'!$G$4:$G$508,'январь 2023'!$D$4:$D$508,$B80,'январь 2023'!$J$4:$J$508,G$1)</f>
        <v>0</v>
      </c>
      <c r="H80" s="207">
        <f>SUMIFS('январь 2023'!$G$4:$G$508,'январь 2023'!$D$4:$D$508,$B80,'январь 2023'!$J$4:$J$508,H$1)</f>
        <v>0</v>
      </c>
      <c r="I80" s="207">
        <f>SUMIFS('январь 2023'!$G$4:$G$508,'январь 2023'!$D$4:$D$508,$B80,'январь 2023'!$J$4:$J$508,I$1)</f>
        <v>0</v>
      </c>
      <c r="J80" s="207">
        <f>SUMIFS('январь 2023'!$G$4:$G$508,'январь 2023'!$D$4:$D$508,$B80,'январь 2023'!$J$4:$J$508,J$1)</f>
        <v>0</v>
      </c>
      <c r="K80" s="207">
        <f>SUMIFS('январь 2023'!$G$4:$G$508,'январь 2023'!$D$4:$D$508,$B80,'январь 2023'!$J$4:$J$508,K$1)</f>
        <v>0</v>
      </c>
      <c r="L80" s="207">
        <f>SUMIFS('январь 2023'!$G$4:$G$508,'январь 2023'!$D$4:$D$508,$B80,'январь 2023'!$J$4:$J$508,L$1)</f>
        <v>0</v>
      </c>
      <c r="M80" s="207">
        <f>SUMIFS('январь 2023'!$G$4:$G$508,'январь 2023'!$D$4:$D$508,$B80,'январь 2023'!$J$4:$J$508,M$1)</f>
        <v>0</v>
      </c>
      <c r="N80" s="207">
        <f>SUMIFS('январь 2023'!$G$4:$G$508,'январь 2023'!$D$4:$D$508,$B80,'январь 2023'!$J$4:$J$508,N$1)</f>
        <v>0</v>
      </c>
      <c r="O80" s="207">
        <f>SUMIFS('январь 2023'!$G$4:$G$508,'январь 2023'!$D$4:$D$508,$B80,'январь 2023'!$J$4:$J$508,O$1)</f>
        <v>0</v>
      </c>
      <c r="P80" s="207">
        <f>SUMIFS('январь 2023'!$G$4:$G$508,'январь 2023'!$D$4:$D$508,$B80,'январь 2023'!$J$4:$J$508,P$1)</f>
        <v>88</v>
      </c>
      <c r="Q80" s="207">
        <f>SUMIFS('январь 2023'!$G$4:$G$508,'январь 2023'!$D$4:$D$508,$B80,'январь 2023'!$J$4:$J$508,Q$1)</f>
        <v>0</v>
      </c>
      <c r="R80" s="207">
        <f>SUMIFS('январь 2023'!$G$4:$G$508,'январь 2023'!$D$4:$D$508,$B80,'январь 2023'!$J$4:$J$508,R$1)</f>
        <v>0</v>
      </c>
      <c r="S80" s="207">
        <f>SUMIFS('январь 2023'!$G$4:$G$508,'январь 2023'!$D$4:$D$508,$B80,'январь 2023'!$J$4:$J$508,S$1)</f>
        <v>0</v>
      </c>
      <c r="T80" s="207">
        <f>SUMIFS('январь 2023'!$G$4:$G$508,'январь 2023'!$D$4:$D$508,$B80,'январь 2023'!$J$4:$J$508,T$1)</f>
        <v>0</v>
      </c>
      <c r="U80" s="207">
        <f>SUMIFS('январь 2023'!$G$4:$G$508,'январь 2023'!$D$4:$D$508,$B80,'январь 2023'!$J$4:$J$508,U$1)</f>
        <v>0</v>
      </c>
      <c r="V80" s="207">
        <f>SUMIFS('январь 2023'!$G$4:$G$508,'январь 2023'!$D$4:$D$508,$B80,'январь 2023'!$J$4:$J$508,V$1)</f>
        <v>0</v>
      </c>
      <c r="W80" s="207">
        <f>SUMIFS('январь 2023'!$G$4:$G$508,'январь 2023'!$D$4:$D$508,$B80,'январь 2023'!$J$4:$J$508,W$1)</f>
        <v>0</v>
      </c>
      <c r="X80" s="207">
        <f>SUMIFS('январь 2023'!$G$4:$G$508,'январь 2023'!$D$4:$D$508,$B80,'январь 2023'!$J$4:$J$508,X$1)</f>
        <v>0</v>
      </c>
      <c r="Y80" s="207">
        <f>SUMIFS('январь 2023'!$G$4:$G$508,'январь 2023'!$D$4:$D$508,$B80,'январь 2023'!$J$4:$J$508,Y$1)</f>
        <v>0</v>
      </c>
      <c r="Z80" s="207">
        <f>SUMIFS('январь 2023'!$G$4:$G$508,'январь 2023'!$D$4:$D$508,$B80,'январь 2023'!$J$4:$J$508,Z$1)</f>
        <v>0</v>
      </c>
      <c r="AA80" s="207">
        <f>SUMIFS('январь 2023'!$G$4:$G$508,'январь 2023'!$D$4:$D$508,$B80,'январь 2023'!$J$4:$J$508,AA$1)</f>
        <v>0</v>
      </c>
      <c r="AB80" s="207">
        <f>SUMIFS('январь 2023'!$G$4:$G$508,'январь 2023'!$D$4:$D$508,$B80,'январь 2023'!$J$4:$J$508,AB$1)</f>
        <v>0</v>
      </c>
      <c r="AC80" s="207">
        <f>SUMIFS('январь 2023'!$G$4:$G$508,'январь 2023'!$D$4:$D$508,$B80,'январь 2023'!$J$4:$J$508,AC$1)</f>
        <v>0</v>
      </c>
      <c r="AD80" s="207">
        <f>SUMIFS('январь 2023'!$G$4:$G$508,'январь 2023'!$D$4:$D$508,$B80,'январь 2023'!$J$4:$J$508,AD$1)</f>
        <v>0</v>
      </c>
      <c r="AE80" s="207">
        <f>SUMIFS('январь 2023'!$G$4:$G$508,'январь 2023'!$D$4:$D$508,$B80,'январь 2023'!$J$4:$J$508,AE$1)</f>
        <v>0</v>
      </c>
      <c r="AF80" s="207">
        <f>SUMIFS('январь 2023'!$G$4:$G$508,'январь 2023'!$D$4:$D$508,$B80,'январь 2023'!$J$4:$J$508,AF$1)</f>
        <v>0</v>
      </c>
      <c r="AG80" s="207">
        <f>SUMIFS('январь 2023'!$G$4:$G$508,'январь 2023'!$D$4:$D$508,$B80,'январь 2023'!$J$4:$J$508,AG$1)</f>
        <v>0</v>
      </c>
      <c r="AH80" s="207">
        <f>SUMIFS('январь 2023'!$G$4:$G$508,'январь 2023'!$D$4:$D$508,$B80,'январь 2023'!$J$4:$J$508,AH$1)</f>
        <v>0</v>
      </c>
      <c r="AI80" s="170">
        <f t="shared" si="2"/>
        <v>88</v>
      </c>
    </row>
    <row r="81" spans="2:35" ht="15" customHeight="1" x14ac:dyDescent="0.25">
      <c r="B81" s="216"/>
      <c r="C81" s="213"/>
      <c r="D81" s="207">
        <f>SUMIFS('январь 2023'!$G$4:$G$508,'январь 2023'!$D$4:$D$508,$B81,'январь 2023'!$J$4:$J$508,D$1)</f>
        <v>0</v>
      </c>
      <c r="E81" s="207">
        <f>SUMIFS('январь 2023'!$G$4:$G$508,'январь 2023'!$D$4:$D$508,$B81,'январь 2023'!$J$4:$J$508,E$1)</f>
        <v>0</v>
      </c>
      <c r="F81" s="207">
        <f>SUMIFS('январь 2023'!$G$4:$G$508,'январь 2023'!$D$4:$D$508,$B81,'январь 2023'!$J$4:$J$508,F$1)</f>
        <v>0</v>
      </c>
      <c r="G81" s="207">
        <f>SUMIFS('январь 2023'!$G$4:$G$508,'январь 2023'!$D$4:$D$508,$B81,'январь 2023'!$J$4:$J$508,G$1)</f>
        <v>0</v>
      </c>
      <c r="H81" s="207">
        <f>SUMIFS('январь 2023'!$G$4:$G$508,'январь 2023'!$D$4:$D$508,$B81,'январь 2023'!$J$4:$J$508,H$1)</f>
        <v>0</v>
      </c>
      <c r="I81" s="207">
        <f>SUMIFS('январь 2023'!$G$4:$G$508,'январь 2023'!$D$4:$D$508,$B81,'январь 2023'!$J$4:$J$508,I$1)</f>
        <v>0</v>
      </c>
      <c r="J81" s="207">
        <f>SUMIFS('январь 2023'!$G$4:$G$508,'январь 2023'!$D$4:$D$508,$B81,'январь 2023'!$J$4:$J$508,J$1)</f>
        <v>0</v>
      </c>
      <c r="K81" s="207">
        <f>SUMIFS('январь 2023'!$G$4:$G$508,'январь 2023'!$D$4:$D$508,$B81,'январь 2023'!$J$4:$J$508,K$1)</f>
        <v>0</v>
      </c>
      <c r="L81" s="207">
        <f>SUMIFS('январь 2023'!$G$4:$G$508,'январь 2023'!$D$4:$D$508,$B81,'январь 2023'!$J$4:$J$508,L$1)</f>
        <v>0</v>
      </c>
      <c r="M81" s="207">
        <f>SUMIFS('январь 2023'!$G$4:$G$508,'январь 2023'!$D$4:$D$508,$B81,'январь 2023'!$J$4:$J$508,M$1)</f>
        <v>0</v>
      </c>
      <c r="N81" s="207">
        <f>SUMIFS('январь 2023'!$G$4:$G$508,'январь 2023'!$D$4:$D$508,$B81,'январь 2023'!$J$4:$J$508,N$1)</f>
        <v>0</v>
      </c>
      <c r="O81" s="207">
        <f>SUMIFS('январь 2023'!$G$4:$G$508,'январь 2023'!$D$4:$D$508,$B81,'январь 2023'!$J$4:$J$508,O$1)</f>
        <v>0</v>
      </c>
      <c r="P81" s="207">
        <f>SUMIFS('январь 2023'!$G$4:$G$508,'январь 2023'!$D$4:$D$508,$B81,'январь 2023'!$J$4:$J$508,P$1)</f>
        <v>0</v>
      </c>
      <c r="Q81" s="207">
        <f>SUMIFS('январь 2023'!$G$4:$G$508,'январь 2023'!$D$4:$D$508,$B81,'январь 2023'!$J$4:$J$508,Q$1)</f>
        <v>0</v>
      </c>
      <c r="R81" s="207">
        <f>SUMIFS('январь 2023'!$G$4:$G$508,'январь 2023'!$D$4:$D$508,$B81,'январь 2023'!$J$4:$J$508,R$1)</f>
        <v>0</v>
      </c>
      <c r="S81" s="207">
        <f>SUMIFS('январь 2023'!$G$4:$G$508,'январь 2023'!$D$4:$D$508,$B81,'январь 2023'!$J$4:$J$508,S$1)</f>
        <v>0</v>
      </c>
      <c r="T81" s="207">
        <f>SUMIFS('январь 2023'!$G$4:$G$508,'январь 2023'!$D$4:$D$508,$B81,'январь 2023'!$J$4:$J$508,T$1)</f>
        <v>0</v>
      </c>
      <c r="U81" s="207">
        <f>SUMIFS('январь 2023'!$G$4:$G$508,'январь 2023'!$D$4:$D$508,$B81,'январь 2023'!$J$4:$J$508,U$1)</f>
        <v>0</v>
      </c>
      <c r="V81" s="207">
        <f>SUMIFS('январь 2023'!$G$4:$G$508,'январь 2023'!$D$4:$D$508,$B81,'январь 2023'!$J$4:$J$508,V$1)</f>
        <v>0</v>
      </c>
      <c r="W81" s="207">
        <f>SUMIFS('январь 2023'!$G$4:$G$508,'январь 2023'!$D$4:$D$508,$B81,'январь 2023'!$J$4:$J$508,W$1)</f>
        <v>0</v>
      </c>
      <c r="X81" s="207">
        <f>SUMIFS('январь 2023'!$G$4:$G$508,'январь 2023'!$D$4:$D$508,$B81,'январь 2023'!$J$4:$J$508,X$1)</f>
        <v>0</v>
      </c>
      <c r="Y81" s="207">
        <f>SUMIFS('январь 2023'!$G$4:$G$508,'январь 2023'!$D$4:$D$508,$B81,'январь 2023'!$J$4:$J$508,Y$1)</f>
        <v>0</v>
      </c>
      <c r="Z81" s="207">
        <f>SUMIFS('январь 2023'!$G$4:$G$508,'январь 2023'!$D$4:$D$508,$B81,'январь 2023'!$J$4:$J$508,Z$1)</f>
        <v>0</v>
      </c>
      <c r="AA81" s="207">
        <f>SUMIFS('январь 2023'!$G$4:$G$508,'январь 2023'!$D$4:$D$508,$B81,'январь 2023'!$J$4:$J$508,AA$1)</f>
        <v>0</v>
      </c>
      <c r="AB81" s="207">
        <f>SUMIFS('январь 2023'!$G$4:$G$508,'январь 2023'!$D$4:$D$508,$B81,'январь 2023'!$J$4:$J$508,AB$1)</f>
        <v>0</v>
      </c>
      <c r="AC81" s="207">
        <f>SUMIFS('январь 2023'!$G$4:$G$508,'январь 2023'!$D$4:$D$508,$B81,'январь 2023'!$J$4:$J$508,AC$1)</f>
        <v>0</v>
      </c>
      <c r="AD81" s="207">
        <f>SUMIFS('январь 2023'!$G$4:$G$508,'январь 2023'!$D$4:$D$508,$B81,'январь 2023'!$J$4:$J$508,AD$1)</f>
        <v>0</v>
      </c>
      <c r="AE81" s="207">
        <f>SUMIFS('январь 2023'!$G$4:$G$508,'январь 2023'!$D$4:$D$508,$B81,'январь 2023'!$J$4:$J$508,AE$1)</f>
        <v>0</v>
      </c>
      <c r="AF81" s="207">
        <f>SUMIFS('январь 2023'!$G$4:$G$508,'январь 2023'!$D$4:$D$508,$B81,'январь 2023'!$J$4:$J$508,AF$1)</f>
        <v>0</v>
      </c>
      <c r="AG81" s="207">
        <f>SUMIFS('январь 2023'!$G$4:$G$508,'январь 2023'!$D$4:$D$508,$B81,'январь 2023'!$J$4:$J$508,AG$1)</f>
        <v>0</v>
      </c>
      <c r="AH81" s="207">
        <f>SUMIFS('январь 2023'!$G$4:$G$508,'январь 2023'!$D$4:$D$508,$B81,'январь 2023'!$J$4:$J$508,AH$1)</f>
        <v>0</v>
      </c>
      <c r="AI81" s="170">
        <f t="shared" si="2"/>
        <v>0</v>
      </c>
    </row>
    <row r="82" spans="2:35" ht="15" customHeight="1" x14ac:dyDescent="0.25">
      <c r="B82" s="216"/>
      <c r="C82" s="213"/>
      <c r="D82" s="207">
        <f>SUMIFS('январь 2023'!$G$4:$G$508,'январь 2023'!$D$4:$D$508,$B82,'январь 2023'!$J$4:$J$508,D$1)</f>
        <v>0</v>
      </c>
      <c r="E82" s="207">
        <f>SUMIFS('январь 2023'!$G$4:$G$508,'январь 2023'!$D$4:$D$508,$B82,'январь 2023'!$J$4:$J$508,E$1)</f>
        <v>0</v>
      </c>
      <c r="F82" s="207">
        <f>SUMIFS('январь 2023'!$G$4:$G$508,'январь 2023'!$D$4:$D$508,$B82,'январь 2023'!$J$4:$J$508,F$1)</f>
        <v>0</v>
      </c>
      <c r="G82" s="207">
        <f>SUMIFS('январь 2023'!$G$4:$G$508,'январь 2023'!$D$4:$D$508,$B82,'январь 2023'!$J$4:$J$508,G$1)</f>
        <v>0</v>
      </c>
      <c r="H82" s="207">
        <f>SUMIFS('январь 2023'!$G$4:$G$508,'январь 2023'!$D$4:$D$508,$B82,'январь 2023'!$J$4:$J$508,H$1)</f>
        <v>0</v>
      </c>
      <c r="I82" s="207">
        <f>SUMIFS('январь 2023'!$G$4:$G$508,'январь 2023'!$D$4:$D$508,$B82,'январь 2023'!$J$4:$J$508,I$1)</f>
        <v>0</v>
      </c>
      <c r="J82" s="207">
        <f>SUMIFS('январь 2023'!$G$4:$G$508,'январь 2023'!$D$4:$D$508,$B82,'январь 2023'!$J$4:$J$508,J$1)</f>
        <v>0</v>
      </c>
      <c r="K82" s="207">
        <f>SUMIFS('январь 2023'!$G$4:$G$508,'январь 2023'!$D$4:$D$508,$B82,'январь 2023'!$J$4:$J$508,K$1)</f>
        <v>0</v>
      </c>
      <c r="L82" s="207">
        <f>SUMIFS('январь 2023'!$G$4:$G$508,'январь 2023'!$D$4:$D$508,$B82,'январь 2023'!$J$4:$J$508,L$1)</f>
        <v>0</v>
      </c>
      <c r="M82" s="207">
        <f>SUMIFS('январь 2023'!$G$4:$G$508,'январь 2023'!$D$4:$D$508,$B82,'январь 2023'!$J$4:$J$508,M$1)</f>
        <v>0</v>
      </c>
      <c r="N82" s="207">
        <f>SUMIFS('январь 2023'!$G$4:$G$508,'январь 2023'!$D$4:$D$508,$B82,'январь 2023'!$J$4:$J$508,N$1)</f>
        <v>0</v>
      </c>
      <c r="O82" s="207">
        <f>SUMIFS('январь 2023'!$G$4:$G$508,'январь 2023'!$D$4:$D$508,$B82,'январь 2023'!$J$4:$J$508,O$1)</f>
        <v>0</v>
      </c>
      <c r="P82" s="207">
        <f>SUMIFS('январь 2023'!$G$4:$G$508,'январь 2023'!$D$4:$D$508,$B82,'январь 2023'!$J$4:$J$508,P$1)</f>
        <v>0</v>
      </c>
      <c r="Q82" s="207">
        <f>SUMIFS('январь 2023'!$G$4:$G$508,'январь 2023'!$D$4:$D$508,$B82,'январь 2023'!$J$4:$J$508,Q$1)</f>
        <v>0</v>
      </c>
      <c r="R82" s="207">
        <f>SUMIFS('январь 2023'!$G$4:$G$508,'январь 2023'!$D$4:$D$508,$B82,'январь 2023'!$J$4:$J$508,R$1)</f>
        <v>0</v>
      </c>
      <c r="S82" s="207">
        <f>SUMIFS('январь 2023'!$G$4:$G$508,'январь 2023'!$D$4:$D$508,$B82,'январь 2023'!$J$4:$J$508,S$1)</f>
        <v>0</v>
      </c>
      <c r="T82" s="207">
        <f>SUMIFS('январь 2023'!$G$4:$G$508,'январь 2023'!$D$4:$D$508,$B82,'январь 2023'!$J$4:$J$508,T$1)</f>
        <v>0</v>
      </c>
      <c r="U82" s="207">
        <f>SUMIFS('январь 2023'!$G$4:$G$508,'январь 2023'!$D$4:$D$508,$B82,'январь 2023'!$J$4:$J$508,U$1)</f>
        <v>0</v>
      </c>
      <c r="V82" s="207">
        <f>SUMIFS('январь 2023'!$G$4:$G$508,'январь 2023'!$D$4:$D$508,$B82,'январь 2023'!$J$4:$J$508,V$1)</f>
        <v>0</v>
      </c>
      <c r="W82" s="207">
        <f>SUMIFS('январь 2023'!$G$4:$G$508,'январь 2023'!$D$4:$D$508,$B82,'январь 2023'!$J$4:$J$508,W$1)</f>
        <v>0</v>
      </c>
      <c r="X82" s="207">
        <f>SUMIFS('январь 2023'!$G$4:$G$508,'январь 2023'!$D$4:$D$508,$B82,'январь 2023'!$J$4:$J$508,X$1)</f>
        <v>0</v>
      </c>
      <c r="Y82" s="207">
        <f>SUMIFS('январь 2023'!$G$4:$G$508,'январь 2023'!$D$4:$D$508,$B82,'январь 2023'!$J$4:$J$508,Y$1)</f>
        <v>0</v>
      </c>
      <c r="Z82" s="207">
        <f>SUMIFS('январь 2023'!$G$4:$G$508,'январь 2023'!$D$4:$D$508,$B82,'январь 2023'!$J$4:$J$508,Z$1)</f>
        <v>0</v>
      </c>
      <c r="AA82" s="207">
        <f>SUMIFS('январь 2023'!$G$4:$G$508,'январь 2023'!$D$4:$D$508,$B82,'январь 2023'!$J$4:$J$508,AA$1)</f>
        <v>0</v>
      </c>
      <c r="AB82" s="207">
        <f>SUMIFS('январь 2023'!$G$4:$G$508,'январь 2023'!$D$4:$D$508,$B82,'январь 2023'!$J$4:$J$508,AB$1)</f>
        <v>0</v>
      </c>
      <c r="AC82" s="207">
        <f>SUMIFS('январь 2023'!$G$4:$G$508,'январь 2023'!$D$4:$D$508,$B82,'январь 2023'!$J$4:$J$508,AC$1)</f>
        <v>0</v>
      </c>
      <c r="AD82" s="207">
        <f>SUMIFS('январь 2023'!$G$4:$G$508,'январь 2023'!$D$4:$D$508,$B82,'январь 2023'!$J$4:$J$508,AD$1)</f>
        <v>0</v>
      </c>
      <c r="AE82" s="207">
        <f>SUMIFS('январь 2023'!$G$4:$G$508,'январь 2023'!$D$4:$D$508,$B82,'январь 2023'!$J$4:$J$508,AE$1)</f>
        <v>0</v>
      </c>
      <c r="AF82" s="207">
        <f>SUMIFS('январь 2023'!$G$4:$G$508,'январь 2023'!$D$4:$D$508,$B82,'январь 2023'!$J$4:$J$508,AF$1)</f>
        <v>0</v>
      </c>
      <c r="AG82" s="207">
        <f>SUMIFS('январь 2023'!$G$4:$G$508,'январь 2023'!$D$4:$D$508,$B82,'январь 2023'!$J$4:$J$508,AG$1)</f>
        <v>0</v>
      </c>
      <c r="AH82" s="207">
        <f>SUMIFS('январь 2023'!$G$4:$G$508,'январь 2023'!$D$4:$D$508,$B82,'январь 2023'!$J$4:$J$508,AH$1)</f>
        <v>0</v>
      </c>
      <c r="AI82" s="170">
        <f t="shared" si="2"/>
        <v>0</v>
      </c>
    </row>
    <row r="83" spans="2:35" ht="15" customHeight="1" x14ac:dyDescent="0.25">
      <c r="B83" s="216"/>
      <c r="C83" s="213"/>
      <c r="D83" s="207">
        <f>SUMIFS('январь 2023'!$G$4:$G$508,'январь 2023'!$D$4:$D$508,$B83,'январь 2023'!$J$4:$J$508,D$1)</f>
        <v>0</v>
      </c>
      <c r="E83" s="207">
        <f>SUMIFS('январь 2023'!$G$4:$G$508,'январь 2023'!$D$4:$D$508,$B83,'январь 2023'!$J$4:$J$508,E$1)</f>
        <v>0</v>
      </c>
      <c r="F83" s="207">
        <f>SUMIFS('январь 2023'!$G$4:$G$508,'январь 2023'!$D$4:$D$508,$B83,'январь 2023'!$J$4:$J$508,F$1)</f>
        <v>0</v>
      </c>
      <c r="G83" s="207">
        <f>SUMIFS('январь 2023'!$G$4:$G$508,'январь 2023'!$D$4:$D$508,$B83,'январь 2023'!$J$4:$J$508,G$1)</f>
        <v>0</v>
      </c>
      <c r="H83" s="207">
        <f>SUMIFS('январь 2023'!$G$4:$G$508,'январь 2023'!$D$4:$D$508,$B83,'январь 2023'!$J$4:$J$508,H$1)</f>
        <v>0</v>
      </c>
      <c r="I83" s="207">
        <f>SUMIFS('январь 2023'!$G$4:$G$508,'январь 2023'!$D$4:$D$508,$B83,'январь 2023'!$J$4:$J$508,I$1)</f>
        <v>0</v>
      </c>
      <c r="J83" s="207">
        <f>SUMIFS('январь 2023'!$G$4:$G$508,'январь 2023'!$D$4:$D$508,$B83,'январь 2023'!$J$4:$J$508,J$1)</f>
        <v>0</v>
      </c>
      <c r="K83" s="207">
        <f>SUMIFS('январь 2023'!$G$4:$G$508,'январь 2023'!$D$4:$D$508,$B83,'январь 2023'!$J$4:$J$508,K$1)</f>
        <v>0</v>
      </c>
      <c r="L83" s="207">
        <f>SUMIFS('январь 2023'!$G$4:$G$508,'январь 2023'!$D$4:$D$508,$B83,'январь 2023'!$J$4:$J$508,L$1)</f>
        <v>0</v>
      </c>
      <c r="M83" s="207">
        <f>SUMIFS('январь 2023'!$G$4:$G$508,'январь 2023'!$D$4:$D$508,$B83,'январь 2023'!$J$4:$J$508,M$1)</f>
        <v>0</v>
      </c>
      <c r="N83" s="207">
        <f>SUMIFS('январь 2023'!$G$4:$G$508,'январь 2023'!$D$4:$D$508,$B83,'январь 2023'!$J$4:$J$508,N$1)</f>
        <v>0</v>
      </c>
      <c r="O83" s="207">
        <f>SUMIFS('январь 2023'!$G$4:$G$508,'январь 2023'!$D$4:$D$508,$B83,'январь 2023'!$J$4:$J$508,O$1)</f>
        <v>0</v>
      </c>
      <c r="P83" s="207">
        <f>SUMIFS('январь 2023'!$G$4:$G$508,'январь 2023'!$D$4:$D$508,$B83,'январь 2023'!$J$4:$J$508,P$1)</f>
        <v>0</v>
      </c>
      <c r="Q83" s="207">
        <f>SUMIFS('январь 2023'!$G$4:$G$508,'январь 2023'!$D$4:$D$508,$B83,'январь 2023'!$J$4:$J$508,Q$1)</f>
        <v>0</v>
      </c>
      <c r="R83" s="207">
        <f>SUMIFS('январь 2023'!$G$4:$G$508,'январь 2023'!$D$4:$D$508,$B83,'январь 2023'!$J$4:$J$508,R$1)</f>
        <v>0</v>
      </c>
      <c r="S83" s="207">
        <f>SUMIFS('январь 2023'!$G$4:$G$508,'январь 2023'!$D$4:$D$508,$B83,'январь 2023'!$J$4:$J$508,S$1)</f>
        <v>0</v>
      </c>
      <c r="T83" s="207">
        <f>SUMIFS('январь 2023'!$G$4:$G$508,'январь 2023'!$D$4:$D$508,$B83,'январь 2023'!$J$4:$J$508,T$1)</f>
        <v>0</v>
      </c>
      <c r="U83" s="207">
        <f>SUMIFS('январь 2023'!$G$4:$G$508,'январь 2023'!$D$4:$D$508,$B83,'январь 2023'!$J$4:$J$508,U$1)</f>
        <v>0</v>
      </c>
      <c r="V83" s="207">
        <f>SUMIFS('январь 2023'!$G$4:$G$508,'январь 2023'!$D$4:$D$508,$B83,'январь 2023'!$J$4:$J$508,V$1)</f>
        <v>0</v>
      </c>
      <c r="W83" s="207">
        <f>SUMIFS('январь 2023'!$G$4:$G$508,'январь 2023'!$D$4:$D$508,$B83,'январь 2023'!$J$4:$J$508,W$1)</f>
        <v>0</v>
      </c>
      <c r="X83" s="207">
        <f>SUMIFS('январь 2023'!$G$4:$G$508,'январь 2023'!$D$4:$D$508,$B83,'январь 2023'!$J$4:$J$508,X$1)</f>
        <v>0</v>
      </c>
      <c r="Y83" s="207">
        <f>SUMIFS('январь 2023'!$G$4:$G$508,'январь 2023'!$D$4:$D$508,$B83,'январь 2023'!$J$4:$J$508,Y$1)</f>
        <v>0</v>
      </c>
      <c r="Z83" s="207">
        <f>SUMIFS('январь 2023'!$G$4:$G$508,'январь 2023'!$D$4:$D$508,$B83,'январь 2023'!$J$4:$J$508,Z$1)</f>
        <v>0</v>
      </c>
      <c r="AA83" s="207">
        <f>SUMIFS('январь 2023'!$G$4:$G$508,'январь 2023'!$D$4:$D$508,$B83,'январь 2023'!$J$4:$J$508,AA$1)</f>
        <v>0</v>
      </c>
      <c r="AB83" s="207">
        <f>SUMIFS('январь 2023'!$G$4:$G$508,'январь 2023'!$D$4:$D$508,$B83,'январь 2023'!$J$4:$J$508,AB$1)</f>
        <v>0</v>
      </c>
      <c r="AC83" s="207">
        <f>SUMIFS('январь 2023'!$G$4:$G$508,'январь 2023'!$D$4:$D$508,$B83,'январь 2023'!$J$4:$J$508,AC$1)</f>
        <v>0</v>
      </c>
      <c r="AD83" s="207">
        <f>SUMIFS('январь 2023'!$G$4:$G$508,'январь 2023'!$D$4:$D$508,$B83,'январь 2023'!$J$4:$J$508,AD$1)</f>
        <v>0</v>
      </c>
      <c r="AE83" s="207">
        <f>SUMIFS('январь 2023'!$G$4:$G$508,'январь 2023'!$D$4:$D$508,$B83,'январь 2023'!$J$4:$J$508,AE$1)</f>
        <v>0</v>
      </c>
      <c r="AF83" s="207">
        <f>SUMIFS('январь 2023'!$G$4:$G$508,'январь 2023'!$D$4:$D$508,$B83,'январь 2023'!$J$4:$J$508,AF$1)</f>
        <v>0</v>
      </c>
      <c r="AG83" s="207">
        <f>SUMIFS('январь 2023'!$G$4:$G$508,'январь 2023'!$D$4:$D$508,$B83,'январь 2023'!$J$4:$J$508,AG$1)</f>
        <v>0</v>
      </c>
      <c r="AH83" s="207">
        <f>SUMIFS('январь 2023'!$G$4:$G$508,'январь 2023'!$D$4:$D$508,$B83,'январь 2023'!$J$4:$J$508,AH$1)</f>
        <v>0</v>
      </c>
      <c r="AI83" s="170">
        <f t="shared" si="2"/>
        <v>0</v>
      </c>
    </row>
    <row r="84" spans="2:35" ht="15" customHeight="1" x14ac:dyDescent="0.25">
      <c r="B84" s="212" t="s">
        <v>1608</v>
      </c>
      <c r="C84" s="211">
        <v>950</v>
      </c>
      <c r="D84" s="207">
        <f>SUMIFS('январь 2023'!$G$4:$G$508,'январь 2023'!$D$4:$D$508,$B84,'январь 2023'!$J$4:$J$508,D$1)</f>
        <v>0</v>
      </c>
      <c r="E84" s="207">
        <f>SUMIFS('январь 2023'!$G$4:$G$508,'январь 2023'!$D$4:$D$508,$B84,'январь 2023'!$J$4:$J$508,E$1)</f>
        <v>0</v>
      </c>
      <c r="F84" s="207">
        <f>SUMIFS('январь 2023'!$G$4:$G$508,'январь 2023'!$D$4:$D$508,$B84,'январь 2023'!$J$4:$J$508,F$1)</f>
        <v>0</v>
      </c>
      <c r="G84" s="207">
        <f>SUMIFS('январь 2023'!$G$4:$G$508,'январь 2023'!$D$4:$D$508,$B84,'январь 2023'!$J$4:$J$508,G$1)</f>
        <v>0</v>
      </c>
      <c r="H84" s="207">
        <f>SUMIFS('январь 2023'!$G$4:$G$508,'январь 2023'!$D$4:$D$508,$B84,'январь 2023'!$J$4:$J$508,H$1)</f>
        <v>0</v>
      </c>
      <c r="I84" s="207">
        <f>SUMIFS('январь 2023'!$G$4:$G$508,'январь 2023'!$D$4:$D$508,$B84,'январь 2023'!$J$4:$J$508,I$1)</f>
        <v>0</v>
      </c>
      <c r="J84" s="207">
        <f>SUMIFS('январь 2023'!$G$4:$G$508,'январь 2023'!$D$4:$D$508,$B84,'январь 2023'!$J$4:$J$508,J$1)</f>
        <v>0</v>
      </c>
      <c r="K84" s="207">
        <f>SUMIFS('январь 2023'!$G$4:$G$508,'январь 2023'!$D$4:$D$508,$B84,'январь 2023'!$J$4:$J$508,K$1)</f>
        <v>0</v>
      </c>
      <c r="L84" s="207">
        <f>SUMIFS('январь 2023'!$G$4:$G$508,'январь 2023'!$D$4:$D$508,$B84,'январь 2023'!$J$4:$J$508,L$1)</f>
        <v>0</v>
      </c>
      <c r="M84" s="207">
        <f>SUMIFS('январь 2023'!$G$4:$G$508,'январь 2023'!$D$4:$D$508,$B84,'январь 2023'!$J$4:$J$508,M$1)</f>
        <v>0</v>
      </c>
      <c r="N84" s="207">
        <f>SUMIFS('январь 2023'!$G$4:$G$508,'январь 2023'!$D$4:$D$508,$B84,'январь 2023'!$J$4:$J$508,N$1)</f>
        <v>0</v>
      </c>
      <c r="O84" s="207">
        <f>SUMIFS('январь 2023'!$G$4:$G$508,'январь 2023'!$D$4:$D$508,$B84,'январь 2023'!$J$4:$J$508,O$1)</f>
        <v>0</v>
      </c>
      <c r="P84" s="207">
        <f>SUMIFS('январь 2023'!$G$4:$G$508,'январь 2023'!$D$4:$D$508,$B84,'январь 2023'!$J$4:$J$508,P$1)</f>
        <v>0</v>
      </c>
      <c r="Q84" s="207">
        <f>SUMIFS('январь 2023'!$G$4:$G$508,'январь 2023'!$D$4:$D$508,$B84,'январь 2023'!$J$4:$J$508,Q$1)</f>
        <v>0</v>
      </c>
      <c r="R84" s="207">
        <f>SUMIFS('январь 2023'!$G$4:$G$508,'январь 2023'!$D$4:$D$508,$B84,'январь 2023'!$J$4:$J$508,R$1)</f>
        <v>0</v>
      </c>
      <c r="S84" s="207">
        <f>SUMIFS('январь 2023'!$G$4:$G$508,'январь 2023'!$D$4:$D$508,$B84,'январь 2023'!$J$4:$J$508,S$1)</f>
        <v>0</v>
      </c>
      <c r="T84" s="207">
        <f>SUMIFS('январь 2023'!$G$4:$G$508,'январь 2023'!$D$4:$D$508,$B84,'январь 2023'!$J$4:$J$508,T$1)</f>
        <v>0</v>
      </c>
      <c r="U84" s="207">
        <f>SUMIFS('январь 2023'!$G$4:$G$508,'январь 2023'!$D$4:$D$508,$B84,'январь 2023'!$J$4:$J$508,U$1)</f>
        <v>0</v>
      </c>
      <c r="V84" s="207">
        <f>SUMIFS('январь 2023'!$G$4:$G$508,'январь 2023'!$D$4:$D$508,$B84,'январь 2023'!$J$4:$J$508,V$1)</f>
        <v>0</v>
      </c>
      <c r="W84" s="207">
        <f>SUMIFS('январь 2023'!$G$4:$G$508,'январь 2023'!$D$4:$D$508,$B84,'январь 2023'!$J$4:$J$508,W$1)</f>
        <v>0</v>
      </c>
      <c r="X84" s="207">
        <f>SUMIFS('январь 2023'!$G$4:$G$508,'январь 2023'!$D$4:$D$508,$B84,'январь 2023'!$J$4:$J$508,X$1)</f>
        <v>0</v>
      </c>
      <c r="Y84" s="207">
        <f>SUMIFS('январь 2023'!$G$4:$G$508,'январь 2023'!$D$4:$D$508,$B84,'январь 2023'!$J$4:$J$508,Y$1)</f>
        <v>0</v>
      </c>
      <c r="Z84" s="207">
        <f>SUMIFS('январь 2023'!$G$4:$G$508,'январь 2023'!$D$4:$D$508,$B84,'январь 2023'!$J$4:$J$508,Z$1)</f>
        <v>0</v>
      </c>
      <c r="AA84" s="207">
        <f>SUMIFS('январь 2023'!$G$4:$G$508,'январь 2023'!$D$4:$D$508,$B84,'январь 2023'!$J$4:$J$508,AA$1)</f>
        <v>0</v>
      </c>
      <c r="AB84" s="207">
        <f>SUMIFS('январь 2023'!$G$4:$G$508,'январь 2023'!$D$4:$D$508,$B84,'январь 2023'!$J$4:$J$508,AB$1)</f>
        <v>0</v>
      </c>
      <c r="AC84" s="207">
        <f>SUMIFS('январь 2023'!$G$4:$G$508,'январь 2023'!$D$4:$D$508,$B84,'январь 2023'!$J$4:$J$508,AC$1)</f>
        <v>0</v>
      </c>
      <c r="AD84" s="207">
        <f>SUMIFS('январь 2023'!$G$4:$G$508,'январь 2023'!$D$4:$D$508,$B84,'январь 2023'!$J$4:$J$508,AD$1)</f>
        <v>0</v>
      </c>
      <c r="AE84" s="207">
        <f>SUMIFS('январь 2023'!$G$4:$G$508,'январь 2023'!$D$4:$D$508,$B84,'январь 2023'!$J$4:$J$508,AE$1)</f>
        <v>0</v>
      </c>
      <c r="AF84" s="207">
        <f>SUMIFS('январь 2023'!$G$4:$G$508,'январь 2023'!$D$4:$D$508,$B84,'январь 2023'!$J$4:$J$508,AF$1)</f>
        <v>0</v>
      </c>
      <c r="AG84" s="207">
        <f>SUMIFS('январь 2023'!$G$4:$G$508,'январь 2023'!$D$4:$D$508,$B84,'январь 2023'!$J$4:$J$508,AG$1)</f>
        <v>9</v>
      </c>
      <c r="AH84" s="207">
        <f>SUMIFS('январь 2023'!$G$4:$G$508,'январь 2023'!$D$4:$D$508,$B84,'январь 2023'!$J$4:$J$508,AH$1)</f>
        <v>0</v>
      </c>
      <c r="AI84" s="170">
        <f t="shared" si="2"/>
        <v>9</v>
      </c>
    </row>
    <row r="85" spans="2:35" ht="15" customHeight="1" x14ac:dyDescent="0.25">
      <c r="B85" s="216" t="s">
        <v>1755</v>
      </c>
      <c r="C85" s="213">
        <v>200</v>
      </c>
      <c r="D85" s="207">
        <f>SUMIFS('январь 2023'!$G$4:$G$508,'январь 2023'!$D$4:$D$508,$B85,'январь 2023'!$J$4:$J$508,D$1)</f>
        <v>0</v>
      </c>
      <c r="E85" s="207">
        <f>SUMIFS('январь 2023'!$G$4:$G$508,'январь 2023'!$D$4:$D$508,$B85,'январь 2023'!$J$4:$J$508,E$1)</f>
        <v>0</v>
      </c>
      <c r="F85" s="207">
        <f>SUMIFS('январь 2023'!$G$4:$G$508,'январь 2023'!$D$4:$D$508,$B85,'январь 2023'!$J$4:$J$508,F$1)</f>
        <v>0</v>
      </c>
      <c r="G85" s="207">
        <f>SUMIFS('январь 2023'!$G$4:$G$508,'январь 2023'!$D$4:$D$508,$B85,'январь 2023'!$J$4:$J$508,G$1)</f>
        <v>0</v>
      </c>
      <c r="H85" s="207">
        <f>SUMIFS('январь 2023'!$G$4:$G$508,'январь 2023'!$D$4:$D$508,$B85,'январь 2023'!$J$4:$J$508,H$1)</f>
        <v>0</v>
      </c>
      <c r="I85" s="207">
        <f>SUMIFS('январь 2023'!$G$4:$G$508,'январь 2023'!$D$4:$D$508,$B85,'январь 2023'!$J$4:$J$508,I$1)</f>
        <v>0</v>
      </c>
      <c r="J85" s="207">
        <f>SUMIFS('январь 2023'!$G$4:$G$508,'январь 2023'!$D$4:$D$508,$B85,'январь 2023'!$J$4:$J$508,J$1)</f>
        <v>0</v>
      </c>
      <c r="K85" s="207">
        <f>SUMIFS('январь 2023'!$G$4:$G$508,'январь 2023'!$D$4:$D$508,$B85,'январь 2023'!$J$4:$J$508,K$1)</f>
        <v>0</v>
      </c>
      <c r="L85" s="207">
        <f>SUMIFS('январь 2023'!$G$4:$G$508,'январь 2023'!$D$4:$D$508,$B85,'январь 2023'!$J$4:$J$508,L$1)</f>
        <v>0</v>
      </c>
      <c r="M85" s="207">
        <f>SUMIFS('январь 2023'!$G$4:$G$508,'январь 2023'!$D$4:$D$508,$B85,'январь 2023'!$J$4:$J$508,M$1)</f>
        <v>0</v>
      </c>
      <c r="N85" s="207">
        <f>SUMIFS('январь 2023'!$G$4:$G$508,'январь 2023'!$D$4:$D$508,$B85,'январь 2023'!$J$4:$J$508,N$1)</f>
        <v>0</v>
      </c>
      <c r="O85" s="207">
        <f>SUMIFS('январь 2023'!$G$4:$G$508,'январь 2023'!$D$4:$D$508,$B85,'январь 2023'!$J$4:$J$508,O$1)</f>
        <v>0</v>
      </c>
      <c r="P85" s="207">
        <f>SUMIFS('январь 2023'!$G$4:$G$508,'январь 2023'!$D$4:$D$508,$B85,'январь 2023'!$J$4:$J$508,P$1)</f>
        <v>0</v>
      </c>
      <c r="Q85" s="207">
        <f>SUMIFS('январь 2023'!$G$4:$G$508,'январь 2023'!$D$4:$D$508,$B85,'январь 2023'!$J$4:$J$508,Q$1)</f>
        <v>0</v>
      </c>
      <c r="R85" s="207">
        <f>SUMIFS('январь 2023'!$G$4:$G$508,'январь 2023'!$D$4:$D$508,$B85,'январь 2023'!$J$4:$J$508,R$1)</f>
        <v>0</v>
      </c>
      <c r="S85" s="207">
        <f>SUMIFS('январь 2023'!$G$4:$G$508,'январь 2023'!$D$4:$D$508,$B85,'январь 2023'!$J$4:$J$508,S$1)</f>
        <v>0</v>
      </c>
      <c r="T85" s="207">
        <f>SUMIFS('январь 2023'!$G$4:$G$508,'январь 2023'!$D$4:$D$508,$B85,'январь 2023'!$J$4:$J$508,T$1)</f>
        <v>0</v>
      </c>
      <c r="U85" s="207">
        <f>SUMIFS('январь 2023'!$G$4:$G$508,'январь 2023'!$D$4:$D$508,$B85,'январь 2023'!$J$4:$J$508,U$1)</f>
        <v>0</v>
      </c>
      <c r="V85" s="207">
        <f>SUMIFS('январь 2023'!$G$4:$G$508,'январь 2023'!$D$4:$D$508,$B85,'январь 2023'!$J$4:$J$508,V$1)</f>
        <v>0</v>
      </c>
      <c r="W85" s="207">
        <f>SUMIFS('январь 2023'!$G$4:$G$508,'январь 2023'!$D$4:$D$508,$B85,'январь 2023'!$J$4:$J$508,W$1)</f>
        <v>0</v>
      </c>
      <c r="X85" s="207">
        <f>SUMIFS('январь 2023'!$G$4:$G$508,'январь 2023'!$D$4:$D$508,$B85,'январь 2023'!$J$4:$J$508,X$1)</f>
        <v>0</v>
      </c>
      <c r="Y85" s="207">
        <f>SUMIFS('январь 2023'!$G$4:$G$508,'январь 2023'!$D$4:$D$508,$B85,'январь 2023'!$J$4:$J$508,Y$1)</f>
        <v>0</v>
      </c>
      <c r="Z85" s="207">
        <f>SUMIFS('январь 2023'!$G$4:$G$508,'январь 2023'!$D$4:$D$508,$B85,'январь 2023'!$J$4:$J$508,Z$1)</f>
        <v>0</v>
      </c>
      <c r="AA85" s="207">
        <f>SUMIFS('январь 2023'!$G$4:$G$508,'январь 2023'!$D$4:$D$508,$B85,'январь 2023'!$J$4:$J$508,AA$1)</f>
        <v>0</v>
      </c>
      <c r="AB85" s="207">
        <f>SUMIFS('январь 2023'!$G$4:$G$508,'январь 2023'!$D$4:$D$508,$B85,'январь 2023'!$J$4:$J$508,AB$1)</f>
        <v>0</v>
      </c>
      <c r="AC85" s="207">
        <f>SUMIFS('январь 2023'!$G$4:$G$508,'январь 2023'!$D$4:$D$508,$B85,'январь 2023'!$J$4:$J$508,AC$1)</f>
        <v>32</v>
      </c>
      <c r="AD85" s="207">
        <f>SUMIFS('январь 2023'!$G$4:$G$508,'январь 2023'!$D$4:$D$508,$B85,'январь 2023'!$J$4:$J$508,AD$1)</f>
        <v>0</v>
      </c>
      <c r="AE85" s="207">
        <f>SUMIFS('январь 2023'!$G$4:$G$508,'январь 2023'!$D$4:$D$508,$B85,'январь 2023'!$J$4:$J$508,AE$1)</f>
        <v>0</v>
      </c>
      <c r="AF85" s="207">
        <f>SUMIFS('январь 2023'!$G$4:$G$508,'январь 2023'!$D$4:$D$508,$B85,'январь 2023'!$J$4:$J$508,AF$1)</f>
        <v>0</v>
      </c>
      <c r="AG85" s="207">
        <f>SUMIFS('январь 2023'!$G$4:$G$508,'январь 2023'!$D$4:$D$508,$B85,'январь 2023'!$J$4:$J$508,AG$1)</f>
        <v>0</v>
      </c>
      <c r="AH85" s="207">
        <f>SUMIFS('январь 2023'!$G$4:$G$508,'январь 2023'!$D$4:$D$508,$B85,'январь 2023'!$J$4:$J$508,AH$1)</f>
        <v>0</v>
      </c>
      <c r="AI85" s="170">
        <f t="shared" si="2"/>
        <v>32</v>
      </c>
    </row>
    <row r="86" spans="2:35" ht="15" customHeight="1" x14ac:dyDescent="0.25">
      <c r="B86" s="216" t="s">
        <v>2191</v>
      </c>
      <c r="C86" s="213">
        <v>200</v>
      </c>
      <c r="D86" s="207">
        <f>SUMIFS('январь 2023'!$G$4:$G$508,'январь 2023'!$D$4:$D$508,$B86,'январь 2023'!$J$4:$J$508,D$1)</f>
        <v>0</v>
      </c>
      <c r="E86" s="207">
        <f>SUMIFS('январь 2023'!$G$4:$G$508,'январь 2023'!$D$4:$D$508,$B86,'январь 2023'!$J$4:$J$508,E$1)</f>
        <v>0</v>
      </c>
      <c r="F86" s="207">
        <f>SUMIFS('январь 2023'!$G$4:$G$508,'январь 2023'!$D$4:$D$508,$B86,'январь 2023'!$J$4:$J$508,F$1)</f>
        <v>0</v>
      </c>
      <c r="G86" s="207">
        <f>SUMIFS('январь 2023'!$G$4:$G$508,'январь 2023'!$D$4:$D$508,$B86,'январь 2023'!$J$4:$J$508,G$1)</f>
        <v>0</v>
      </c>
      <c r="H86" s="207">
        <f>SUMIFS('январь 2023'!$G$4:$G$508,'январь 2023'!$D$4:$D$508,$B86,'январь 2023'!$J$4:$J$508,H$1)</f>
        <v>0</v>
      </c>
      <c r="I86" s="207">
        <f>SUMIFS('январь 2023'!$G$4:$G$508,'январь 2023'!$D$4:$D$508,$B86,'январь 2023'!$J$4:$J$508,I$1)</f>
        <v>0</v>
      </c>
      <c r="J86" s="207">
        <f>SUMIFS('январь 2023'!$G$4:$G$508,'январь 2023'!$D$4:$D$508,$B86,'январь 2023'!$J$4:$J$508,J$1)</f>
        <v>0</v>
      </c>
      <c r="K86" s="207">
        <f>SUMIFS('январь 2023'!$G$4:$G$508,'январь 2023'!$D$4:$D$508,$B86,'январь 2023'!$J$4:$J$508,K$1)</f>
        <v>0</v>
      </c>
      <c r="L86" s="207">
        <f>SUMIFS('январь 2023'!$G$4:$G$508,'январь 2023'!$D$4:$D$508,$B86,'январь 2023'!$J$4:$J$508,L$1)</f>
        <v>0</v>
      </c>
      <c r="M86" s="207">
        <f>SUMIFS('январь 2023'!$G$4:$G$508,'январь 2023'!$D$4:$D$508,$B86,'январь 2023'!$J$4:$J$508,M$1)</f>
        <v>0</v>
      </c>
      <c r="N86" s="207">
        <f>SUMIFS('январь 2023'!$G$4:$G$508,'январь 2023'!$D$4:$D$508,$B86,'январь 2023'!$J$4:$J$508,N$1)</f>
        <v>0</v>
      </c>
      <c r="O86" s="207">
        <f>SUMIFS('январь 2023'!$G$4:$G$508,'январь 2023'!$D$4:$D$508,$B86,'январь 2023'!$J$4:$J$508,O$1)</f>
        <v>0</v>
      </c>
      <c r="P86" s="207">
        <f>SUMIFS('январь 2023'!$G$4:$G$508,'январь 2023'!$D$4:$D$508,$B86,'январь 2023'!$J$4:$J$508,P$1)</f>
        <v>0</v>
      </c>
      <c r="Q86" s="207">
        <f>SUMIFS('январь 2023'!$G$4:$G$508,'январь 2023'!$D$4:$D$508,$B86,'январь 2023'!$J$4:$J$508,Q$1)</f>
        <v>0</v>
      </c>
      <c r="R86" s="207">
        <f>SUMIFS('январь 2023'!$G$4:$G$508,'январь 2023'!$D$4:$D$508,$B86,'январь 2023'!$J$4:$J$508,R$1)</f>
        <v>0</v>
      </c>
      <c r="S86" s="207">
        <f>SUMIFS('январь 2023'!$G$4:$G$508,'январь 2023'!$D$4:$D$508,$B86,'январь 2023'!$J$4:$J$508,S$1)</f>
        <v>0</v>
      </c>
      <c r="T86" s="207">
        <f>SUMIFS('январь 2023'!$G$4:$G$508,'январь 2023'!$D$4:$D$508,$B86,'январь 2023'!$J$4:$J$508,T$1)</f>
        <v>0</v>
      </c>
      <c r="U86" s="207">
        <f>SUMIFS('январь 2023'!$G$4:$G$508,'январь 2023'!$D$4:$D$508,$B86,'январь 2023'!$J$4:$J$508,U$1)</f>
        <v>0</v>
      </c>
      <c r="V86" s="207">
        <f>SUMIFS('январь 2023'!$G$4:$G$508,'январь 2023'!$D$4:$D$508,$B86,'январь 2023'!$J$4:$J$508,V$1)</f>
        <v>0</v>
      </c>
      <c r="W86" s="207">
        <f>SUMIFS('январь 2023'!$G$4:$G$508,'январь 2023'!$D$4:$D$508,$B86,'январь 2023'!$J$4:$J$508,W$1)</f>
        <v>0</v>
      </c>
      <c r="X86" s="207">
        <f>SUMIFS('январь 2023'!$G$4:$G$508,'январь 2023'!$D$4:$D$508,$B86,'январь 2023'!$J$4:$J$508,X$1)</f>
        <v>0</v>
      </c>
      <c r="Y86" s="207">
        <f>SUMIFS('январь 2023'!$G$4:$G$508,'январь 2023'!$D$4:$D$508,$B86,'январь 2023'!$J$4:$J$508,Y$1)</f>
        <v>0</v>
      </c>
      <c r="Z86" s="207">
        <f>SUMIFS('январь 2023'!$G$4:$G$508,'январь 2023'!$D$4:$D$508,$B86,'январь 2023'!$J$4:$J$508,Z$1)</f>
        <v>0</v>
      </c>
      <c r="AA86" s="207">
        <f>SUMIFS('январь 2023'!$G$4:$G$508,'январь 2023'!$D$4:$D$508,$B86,'январь 2023'!$J$4:$J$508,AA$1)</f>
        <v>0</v>
      </c>
      <c r="AB86" s="207">
        <f>SUMIFS('январь 2023'!$G$4:$G$508,'январь 2023'!$D$4:$D$508,$B86,'январь 2023'!$J$4:$J$508,AB$1)</f>
        <v>0</v>
      </c>
      <c r="AC86" s="207">
        <f>SUMIFS('январь 2023'!$G$4:$G$508,'январь 2023'!$D$4:$D$508,$B86,'январь 2023'!$J$4:$J$508,AC$1)</f>
        <v>0</v>
      </c>
      <c r="AD86" s="207">
        <f>SUMIFS('январь 2023'!$G$4:$G$508,'январь 2023'!$D$4:$D$508,$B86,'январь 2023'!$J$4:$J$508,AD$1)</f>
        <v>0</v>
      </c>
      <c r="AE86" s="207">
        <f>SUMIFS('январь 2023'!$G$4:$G$508,'январь 2023'!$D$4:$D$508,$B86,'январь 2023'!$J$4:$J$508,AE$1)</f>
        <v>0</v>
      </c>
      <c r="AF86" s="207">
        <f>SUMIFS('январь 2023'!$G$4:$G$508,'январь 2023'!$D$4:$D$508,$B86,'январь 2023'!$J$4:$J$508,AF$1)</f>
        <v>0</v>
      </c>
      <c r="AG86" s="207">
        <f>SUMIFS('январь 2023'!$G$4:$G$508,'январь 2023'!$D$4:$D$508,$B86,'январь 2023'!$J$4:$J$508,AG$1)</f>
        <v>0</v>
      </c>
      <c r="AH86" s="207">
        <f>SUMIFS('январь 2023'!$G$4:$G$508,'январь 2023'!$D$4:$D$508,$B86,'январь 2023'!$J$4:$J$508,AH$1)</f>
        <v>0</v>
      </c>
      <c r="AI86" s="170">
        <f t="shared" si="2"/>
        <v>0</v>
      </c>
    </row>
    <row r="87" spans="2:35" ht="15" customHeight="1" x14ac:dyDescent="0.25">
      <c r="B87" s="216" t="s">
        <v>898</v>
      </c>
      <c r="C87" s="213">
        <v>200</v>
      </c>
      <c r="D87" s="207">
        <f>SUMIFS('январь 2023'!$G$4:$G$508,'январь 2023'!$D$4:$D$508,$B87,'январь 2023'!$J$4:$J$508,D$1)</f>
        <v>0</v>
      </c>
      <c r="E87" s="207">
        <f>SUMIFS('январь 2023'!$G$4:$G$508,'январь 2023'!$D$4:$D$508,$B87,'январь 2023'!$J$4:$J$508,E$1)</f>
        <v>0</v>
      </c>
      <c r="F87" s="207">
        <f>SUMIFS('январь 2023'!$G$4:$G$508,'январь 2023'!$D$4:$D$508,$B87,'январь 2023'!$J$4:$J$508,F$1)</f>
        <v>0</v>
      </c>
      <c r="G87" s="207">
        <f>SUMIFS('январь 2023'!$G$4:$G$508,'январь 2023'!$D$4:$D$508,$B87,'январь 2023'!$J$4:$J$508,G$1)</f>
        <v>0</v>
      </c>
      <c r="H87" s="207">
        <f>SUMIFS('январь 2023'!$G$4:$G$508,'январь 2023'!$D$4:$D$508,$B87,'январь 2023'!$J$4:$J$508,H$1)</f>
        <v>0</v>
      </c>
      <c r="I87" s="207">
        <f>SUMIFS('январь 2023'!$G$4:$G$508,'январь 2023'!$D$4:$D$508,$B87,'январь 2023'!$J$4:$J$508,I$1)</f>
        <v>0</v>
      </c>
      <c r="J87" s="207">
        <f>SUMIFS('январь 2023'!$G$4:$G$508,'январь 2023'!$D$4:$D$508,$B87,'январь 2023'!$J$4:$J$508,J$1)</f>
        <v>0</v>
      </c>
      <c r="K87" s="207">
        <f>SUMIFS('январь 2023'!$G$4:$G$508,'январь 2023'!$D$4:$D$508,$B87,'январь 2023'!$J$4:$J$508,K$1)</f>
        <v>0</v>
      </c>
      <c r="L87" s="207">
        <f>SUMIFS('январь 2023'!$G$4:$G$508,'январь 2023'!$D$4:$D$508,$B87,'январь 2023'!$J$4:$J$508,L$1)</f>
        <v>0</v>
      </c>
      <c r="M87" s="207">
        <f>SUMIFS('январь 2023'!$G$4:$G$508,'январь 2023'!$D$4:$D$508,$B87,'январь 2023'!$J$4:$J$508,M$1)</f>
        <v>0</v>
      </c>
      <c r="N87" s="207">
        <f>SUMIFS('январь 2023'!$G$4:$G$508,'январь 2023'!$D$4:$D$508,$B87,'январь 2023'!$J$4:$J$508,N$1)</f>
        <v>0</v>
      </c>
      <c r="O87" s="207">
        <f>SUMIFS('январь 2023'!$G$4:$G$508,'январь 2023'!$D$4:$D$508,$B87,'январь 2023'!$J$4:$J$508,O$1)</f>
        <v>0</v>
      </c>
      <c r="P87" s="207">
        <f>SUMIFS('январь 2023'!$G$4:$G$508,'январь 2023'!$D$4:$D$508,$B87,'январь 2023'!$J$4:$J$508,P$1)</f>
        <v>0</v>
      </c>
      <c r="Q87" s="207">
        <f>SUMIFS('январь 2023'!$G$4:$G$508,'январь 2023'!$D$4:$D$508,$B87,'январь 2023'!$J$4:$J$508,Q$1)</f>
        <v>0</v>
      </c>
      <c r="R87" s="207">
        <f>SUMIFS('январь 2023'!$G$4:$G$508,'январь 2023'!$D$4:$D$508,$B87,'январь 2023'!$J$4:$J$508,R$1)</f>
        <v>0</v>
      </c>
      <c r="S87" s="207">
        <f>SUMIFS('январь 2023'!$G$4:$G$508,'январь 2023'!$D$4:$D$508,$B87,'январь 2023'!$J$4:$J$508,S$1)</f>
        <v>0</v>
      </c>
      <c r="T87" s="207">
        <f>SUMIFS('январь 2023'!$G$4:$G$508,'январь 2023'!$D$4:$D$508,$B87,'январь 2023'!$J$4:$J$508,T$1)</f>
        <v>0</v>
      </c>
      <c r="U87" s="207">
        <f>SUMIFS('январь 2023'!$G$4:$G$508,'январь 2023'!$D$4:$D$508,$B87,'январь 2023'!$J$4:$J$508,U$1)</f>
        <v>0</v>
      </c>
      <c r="V87" s="207">
        <f>SUMIFS('январь 2023'!$G$4:$G$508,'январь 2023'!$D$4:$D$508,$B87,'январь 2023'!$J$4:$J$508,V$1)</f>
        <v>0</v>
      </c>
      <c r="W87" s="207">
        <f>SUMIFS('январь 2023'!$G$4:$G$508,'январь 2023'!$D$4:$D$508,$B87,'январь 2023'!$J$4:$J$508,W$1)</f>
        <v>0</v>
      </c>
      <c r="X87" s="207">
        <f>SUMIFS('январь 2023'!$G$4:$G$508,'январь 2023'!$D$4:$D$508,$B87,'январь 2023'!$J$4:$J$508,X$1)</f>
        <v>0</v>
      </c>
      <c r="Y87" s="207">
        <f>SUMIFS('январь 2023'!$G$4:$G$508,'январь 2023'!$D$4:$D$508,$B87,'январь 2023'!$J$4:$J$508,Y$1)</f>
        <v>0</v>
      </c>
      <c r="Z87" s="207">
        <f>SUMIFS('январь 2023'!$G$4:$G$508,'январь 2023'!$D$4:$D$508,$B87,'январь 2023'!$J$4:$J$508,Z$1)</f>
        <v>88</v>
      </c>
      <c r="AA87" s="207">
        <f>SUMIFS('январь 2023'!$G$4:$G$508,'январь 2023'!$D$4:$D$508,$B87,'январь 2023'!$J$4:$J$508,AA$1)</f>
        <v>0</v>
      </c>
      <c r="AB87" s="207">
        <f>SUMIFS('январь 2023'!$G$4:$G$508,'январь 2023'!$D$4:$D$508,$B87,'январь 2023'!$J$4:$J$508,AB$1)</f>
        <v>0</v>
      </c>
      <c r="AC87" s="207">
        <f>SUMIFS('январь 2023'!$G$4:$G$508,'январь 2023'!$D$4:$D$508,$B87,'январь 2023'!$J$4:$J$508,AC$1)</f>
        <v>0</v>
      </c>
      <c r="AD87" s="207">
        <f>SUMIFS('январь 2023'!$G$4:$G$508,'январь 2023'!$D$4:$D$508,$B87,'январь 2023'!$J$4:$J$508,AD$1)</f>
        <v>0</v>
      </c>
      <c r="AE87" s="207">
        <f>SUMIFS('январь 2023'!$G$4:$G$508,'январь 2023'!$D$4:$D$508,$B87,'январь 2023'!$J$4:$J$508,AE$1)</f>
        <v>0</v>
      </c>
      <c r="AF87" s="207">
        <f>SUMIFS('январь 2023'!$G$4:$G$508,'январь 2023'!$D$4:$D$508,$B87,'январь 2023'!$J$4:$J$508,AF$1)</f>
        <v>0</v>
      </c>
      <c r="AG87" s="207">
        <f>SUMIFS('январь 2023'!$G$4:$G$508,'январь 2023'!$D$4:$D$508,$B87,'январь 2023'!$J$4:$J$508,AG$1)</f>
        <v>0</v>
      </c>
      <c r="AH87" s="207">
        <f>SUMIFS('январь 2023'!$G$4:$G$508,'январь 2023'!$D$4:$D$508,$B87,'январь 2023'!$J$4:$J$508,AH$1)</f>
        <v>0</v>
      </c>
      <c r="AI87" s="170">
        <f t="shared" si="2"/>
        <v>88</v>
      </c>
    </row>
    <row r="88" spans="2:35" ht="15" customHeight="1" x14ac:dyDescent="0.25">
      <c r="B88" s="212" t="s">
        <v>1773</v>
      </c>
      <c r="C88" s="211">
        <v>18</v>
      </c>
      <c r="D88" s="207">
        <f>SUMIFS('январь 2023'!$G$4:$G$508,'январь 2023'!$D$4:$D$508,$B88,'январь 2023'!$J$4:$J$508,D$1)</f>
        <v>0</v>
      </c>
      <c r="E88" s="207">
        <f>SUMIFS('январь 2023'!$G$4:$G$508,'январь 2023'!$D$4:$D$508,$B88,'январь 2023'!$J$4:$J$508,E$1)</f>
        <v>0</v>
      </c>
      <c r="F88" s="207">
        <f>SUMIFS('январь 2023'!$G$4:$G$508,'январь 2023'!$D$4:$D$508,$B88,'январь 2023'!$J$4:$J$508,F$1)</f>
        <v>0</v>
      </c>
      <c r="G88" s="207">
        <f>SUMIFS('январь 2023'!$G$4:$G$508,'январь 2023'!$D$4:$D$508,$B88,'январь 2023'!$J$4:$J$508,G$1)</f>
        <v>0</v>
      </c>
      <c r="H88" s="207">
        <f>SUMIFS('январь 2023'!$G$4:$G$508,'январь 2023'!$D$4:$D$508,$B88,'январь 2023'!$J$4:$J$508,H$1)</f>
        <v>0</v>
      </c>
      <c r="I88" s="207">
        <f>SUMIFS('январь 2023'!$G$4:$G$508,'январь 2023'!$D$4:$D$508,$B88,'январь 2023'!$J$4:$J$508,I$1)</f>
        <v>0</v>
      </c>
      <c r="J88" s="207">
        <f>SUMIFS('январь 2023'!$G$4:$G$508,'январь 2023'!$D$4:$D$508,$B88,'январь 2023'!$J$4:$J$508,J$1)</f>
        <v>0</v>
      </c>
      <c r="K88" s="207">
        <f>SUMIFS('январь 2023'!$G$4:$G$508,'январь 2023'!$D$4:$D$508,$B88,'январь 2023'!$J$4:$J$508,K$1)</f>
        <v>0</v>
      </c>
      <c r="L88" s="207">
        <f>SUMIFS('январь 2023'!$G$4:$G$508,'январь 2023'!$D$4:$D$508,$B88,'январь 2023'!$J$4:$J$508,L$1)</f>
        <v>0</v>
      </c>
      <c r="M88" s="207">
        <f>SUMIFS('январь 2023'!$G$4:$G$508,'январь 2023'!$D$4:$D$508,$B88,'январь 2023'!$J$4:$J$508,M$1)</f>
        <v>0</v>
      </c>
      <c r="N88" s="207">
        <f>SUMIFS('январь 2023'!$G$4:$G$508,'январь 2023'!$D$4:$D$508,$B88,'январь 2023'!$J$4:$J$508,N$1)</f>
        <v>0</v>
      </c>
      <c r="O88" s="207">
        <f>SUMIFS('январь 2023'!$G$4:$G$508,'январь 2023'!$D$4:$D$508,$B88,'январь 2023'!$J$4:$J$508,O$1)</f>
        <v>0</v>
      </c>
      <c r="P88" s="207">
        <f>SUMIFS('январь 2023'!$G$4:$G$508,'январь 2023'!$D$4:$D$508,$B88,'январь 2023'!$J$4:$J$508,P$1)</f>
        <v>0</v>
      </c>
      <c r="Q88" s="207">
        <f>SUMIFS('январь 2023'!$G$4:$G$508,'январь 2023'!$D$4:$D$508,$B88,'январь 2023'!$J$4:$J$508,Q$1)</f>
        <v>0</v>
      </c>
      <c r="R88" s="207">
        <f>SUMIFS('январь 2023'!$G$4:$G$508,'январь 2023'!$D$4:$D$508,$B88,'январь 2023'!$J$4:$J$508,R$1)</f>
        <v>0</v>
      </c>
      <c r="S88" s="207">
        <f>SUMIFS('январь 2023'!$G$4:$G$508,'январь 2023'!$D$4:$D$508,$B88,'январь 2023'!$J$4:$J$508,S$1)</f>
        <v>0</v>
      </c>
      <c r="T88" s="207">
        <f>SUMIFS('январь 2023'!$G$4:$G$508,'январь 2023'!$D$4:$D$508,$B88,'январь 2023'!$J$4:$J$508,T$1)</f>
        <v>0</v>
      </c>
      <c r="U88" s="207">
        <f>SUMIFS('январь 2023'!$G$4:$G$508,'январь 2023'!$D$4:$D$508,$B88,'январь 2023'!$J$4:$J$508,U$1)</f>
        <v>0</v>
      </c>
      <c r="V88" s="207">
        <f>SUMIFS('январь 2023'!$G$4:$G$508,'январь 2023'!$D$4:$D$508,$B88,'январь 2023'!$J$4:$J$508,V$1)</f>
        <v>0</v>
      </c>
      <c r="W88" s="207">
        <f>SUMIFS('январь 2023'!$G$4:$G$508,'январь 2023'!$D$4:$D$508,$B88,'январь 2023'!$J$4:$J$508,W$1)</f>
        <v>0</v>
      </c>
      <c r="X88" s="207">
        <f>SUMIFS('январь 2023'!$G$4:$G$508,'январь 2023'!$D$4:$D$508,$B88,'январь 2023'!$J$4:$J$508,X$1)</f>
        <v>0</v>
      </c>
      <c r="Y88" s="207">
        <f>SUMIFS('январь 2023'!$G$4:$G$508,'январь 2023'!$D$4:$D$508,$B88,'январь 2023'!$J$4:$J$508,Y$1)</f>
        <v>0</v>
      </c>
      <c r="Z88" s="207">
        <f>SUMIFS('январь 2023'!$G$4:$G$508,'январь 2023'!$D$4:$D$508,$B88,'январь 2023'!$J$4:$J$508,Z$1)</f>
        <v>0</v>
      </c>
      <c r="AA88" s="207">
        <f>SUMIFS('январь 2023'!$G$4:$G$508,'январь 2023'!$D$4:$D$508,$B88,'январь 2023'!$J$4:$J$508,AA$1)</f>
        <v>0</v>
      </c>
      <c r="AB88" s="207">
        <f>SUMIFS('январь 2023'!$G$4:$G$508,'январь 2023'!$D$4:$D$508,$B88,'январь 2023'!$J$4:$J$508,AB$1)</f>
        <v>0</v>
      </c>
      <c r="AC88" s="207">
        <f>SUMIFS('январь 2023'!$G$4:$G$508,'январь 2023'!$D$4:$D$508,$B88,'январь 2023'!$J$4:$J$508,AC$1)</f>
        <v>90</v>
      </c>
      <c r="AD88" s="207">
        <f>SUMIFS('январь 2023'!$G$4:$G$508,'январь 2023'!$D$4:$D$508,$B88,'январь 2023'!$J$4:$J$508,AD$1)</f>
        <v>0</v>
      </c>
      <c r="AE88" s="207">
        <f>SUMIFS('январь 2023'!$G$4:$G$508,'январь 2023'!$D$4:$D$508,$B88,'январь 2023'!$J$4:$J$508,AE$1)</f>
        <v>0</v>
      </c>
      <c r="AF88" s="207">
        <f>SUMIFS('январь 2023'!$G$4:$G$508,'январь 2023'!$D$4:$D$508,$B88,'январь 2023'!$J$4:$J$508,AF$1)</f>
        <v>0</v>
      </c>
      <c r="AG88" s="207">
        <f>SUMIFS('январь 2023'!$G$4:$G$508,'январь 2023'!$D$4:$D$508,$B88,'январь 2023'!$J$4:$J$508,AG$1)</f>
        <v>0</v>
      </c>
      <c r="AH88" s="207">
        <f>SUMIFS('январь 2023'!$G$4:$G$508,'январь 2023'!$D$4:$D$508,$B88,'январь 2023'!$J$4:$J$508,AH$1)</f>
        <v>0</v>
      </c>
      <c r="AI88" s="170">
        <f t="shared" si="2"/>
        <v>90</v>
      </c>
    </row>
    <row r="89" spans="2:35" ht="15" customHeight="1" x14ac:dyDescent="0.25">
      <c r="B89" s="212" t="s">
        <v>2214</v>
      </c>
      <c r="C89" s="211">
        <v>200</v>
      </c>
      <c r="D89" s="207">
        <f>SUMIFS('январь 2023'!$G$4:$G$508,'январь 2023'!$D$4:$D$508,$B89,'январь 2023'!$J$4:$J$508,D$1)</f>
        <v>0</v>
      </c>
      <c r="E89" s="207">
        <f>SUMIFS('январь 2023'!$G$4:$G$508,'январь 2023'!$D$4:$D$508,$B89,'январь 2023'!$J$4:$J$508,E$1)</f>
        <v>0</v>
      </c>
      <c r="F89" s="207">
        <f>SUMIFS('январь 2023'!$G$4:$G$508,'январь 2023'!$D$4:$D$508,$B89,'январь 2023'!$J$4:$J$508,F$1)</f>
        <v>0</v>
      </c>
      <c r="G89" s="207">
        <f>SUMIFS('январь 2023'!$G$4:$G$508,'январь 2023'!$D$4:$D$508,$B89,'январь 2023'!$J$4:$J$508,G$1)</f>
        <v>0</v>
      </c>
      <c r="H89" s="207">
        <f>SUMIFS('январь 2023'!$G$4:$G$508,'январь 2023'!$D$4:$D$508,$B89,'январь 2023'!$J$4:$J$508,H$1)</f>
        <v>0</v>
      </c>
      <c r="I89" s="207">
        <f>SUMIFS('январь 2023'!$G$4:$G$508,'январь 2023'!$D$4:$D$508,$B89,'январь 2023'!$J$4:$J$508,I$1)</f>
        <v>0</v>
      </c>
      <c r="J89" s="207">
        <f>SUMIFS('январь 2023'!$G$4:$G$508,'январь 2023'!$D$4:$D$508,$B89,'январь 2023'!$J$4:$J$508,J$1)</f>
        <v>0</v>
      </c>
      <c r="K89" s="207">
        <f>SUMIFS('январь 2023'!$G$4:$G$508,'январь 2023'!$D$4:$D$508,$B89,'январь 2023'!$J$4:$J$508,K$1)</f>
        <v>0</v>
      </c>
      <c r="L89" s="207">
        <f>SUMIFS('январь 2023'!$G$4:$G$508,'январь 2023'!$D$4:$D$508,$B89,'январь 2023'!$J$4:$J$508,L$1)</f>
        <v>0</v>
      </c>
      <c r="M89" s="207">
        <f>SUMIFS('январь 2023'!$G$4:$G$508,'январь 2023'!$D$4:$D$508,$B89,'январь 2023'!$J$4:$J$508,M$1)</f>
        <v>0</v>
      </c>
      <c r="N89" s="207">
        <f>SUMIFS('январь 2023'!$G$4:$G$508,'январь 2023'!$D$4:$D$508,$B89,'январь 2023'!$J$4:$J$508,N$1)</f>
        <v>0</v>
      </c>
      <c r="O89" s="207">
        <f>SUMIFS('январь 2023'!$G$4:$G$508,'январь 2023'!$D$4:$D$508,$B89,'январь 2023'!$J$4:$J$508,O$1)</f>
        <v>0</v>
      </c>
      <c r="P89" s="207">
        <f>SUMIFS('январь 2023'!$G$4:$G$508,'январь 2023'!$D$4:$D$508,$B89,'январь 2023'!$J$4:$J$508,P$1)</f>
        <v>0</v>
      </c>
      <c r="Q89" s="207">
        <f>SUMIFS('январь 2023'!$G$4:$G$508,'январь 2023'!$D$4:$D$508,$B89,'январь 2023'!$J$4:$J$508,Q$1)</f>
        <v>0</v>
      </c>
      <c r="R89" s="207">
        <f>SUMIFS('январь 2023'!$G$4:$G$508,'январь 2023'!$D$4:$D$508,$B89,'январь 2023'!$J$4:$J$508,R$1)</f>
        <v>0</v>
      </c>
      <c r="S89" s="207">
        <f>SUMIFS('январь 2023'!$G$4:$G$508,'январь 2023'!$D$4:$D$508,$B89,'январь 2023'!$J$4:$J$508,S$1)</f>
        <v>0</v>
      </c>
      <c r="T89" s="207">
        <f>SUMIFS('январь 2023'!$G$4:$G$508,'январь 2023'!$D$4:$D$508,$B89,'январь 2023'!$J$4:$J$508,T$1)</f>
        <v>0</v>
      </c>
      <c r="U89" s="207">
        <f>SUMIFS('январь 2023'!$G$4:$G$508,'январь 2023'!$D$4:$D$508,$B89,'январь 2023'!$J$4:$J$508,U$1)</f>
        <v>0</v>
      </c>
      <c r="V89" s="207">
        <f>SUMIFS('январь 2023'!$G$4:$G$508,'январь 2023'!$D$4:$D$508,$B89,'январь 2023'!$J$4:$J$508,V$1)</f>
        <v>0</v>
      </c>
      <c r="W89" s="207">
        <f>SUMIFS('январь 2023'!$G$4:$G$508,'январь 2023'!$D$4:$D$508,$B89,'январь 2023'!$J$4:$J$508,W$1)</f>
        <v>0</v>
      </c>
      <c r="X89" s="207">
        <f>SUMIFS('январь 2023'!$G$4:$G$508,'январь 2023'!$D$4:$D$508,$B89,'январь 2023'!$J$4:$J$508,X$1)</f>
        <v>0</v>
      </c>
      <c r="Y89" s="207">
        <f>SUMIFS('январь 2023'!$G$4:$G$508,'январь 2023'!$D$4:$D$508,$B89,'январь 2023'!$J$4:$J$508,Y$1)</f>
        <v>0</v>
      </c>
      <c r="Z89" s="207">
        <f>SUMIFS('январь 2023'!$G$4:$G$508,'январь 2023'!$D$4:$D$508,$B89,'январь 2023'!$J$4:$J$508,Z$1)</f>
        <v>0</v>
      </c>
      <c r="AA89" s="207">
        <f>SUMIFS('январь 2023'!$G$4:$G$508,'январь 2023'!$D$4:$D$508,$B89,'январь 2023'!$J$4:$J$508,AA$1)</f>
        <v>0</v>
      </c>
      <c r="AB89" s="207">
        <f>SUMIFS('январь 2023'!$G$4:$G$508,'январь 2023'!$D$4:$D$508,$B89,'январь 2023'!$J$4:$J$508,AB$1)</f>
        <v>0</v>
      </c>
      <c r="AC89" s="207">
        <f>SUMIFS('январь 2023'!$G$4:$G$508,'январь 2023'!$D$4:$D$508,$B89,'январь 2023'!$J$4:$J$508,AC$1)</f>
        <v>0</v>
      </c>
      <c r="AD89" s="207">
        <f>SUMIFS('январь 2023'!$G$4:$G$508,'январь 2023'!$D$4:$D$508,$B89,'январь 2023'!$J$4:$J$508,AD$1)</f>
        <v>0</v>
      </c>
      <c r="AE89" s="207">
        <f>SUMIFS('январь 2023'!$G$4:$G$508,'январь 2023'!$D$4:$D$508,$B89,'январь 2023'!$J$4:$J$508,AE$1)</f>
        <v>0</v>
      </c>
      <c r="AF89" s="207">
        <f>SUMIFS('январь 2023'!$G$4:$G$508,'январь 2023'!$D$4:$D$508,$B89,'январь 2023'!$J$4:$J$508,AF$1)</f>
        <v>0</v>
      </c>
      <c r="AG89" s="207">
        <f>SUMIFS('январь 2023'!$G$4:$G$508,'январь 2023'!$D$4:$D$508,$B89,'январь 2023'!$J$4:$J$508,AG$1)</f>
        <v>0</v>
      </c>
      <c r="AH89" s="207">
        <f>SUMIFS('январь 2023'!$G$4:$G$508,'январь 2023'!$D$4:$D$508,$B89,'январь 2023'!$J$4:$J$508,AH$1)</f>
        <v>0</v>
      </c>
      <c r="AI89" s="170">
        <f t="shared" si="2"/>
        <v>0</v>
      </c>
    </row>
    <row r="90" spans="2:35" ht="15" customHeight="1" x14ac:dyDescent="0.25">
      <c r="B90" s="212" t="s">
        <v>1720</v>
      </c>
      <c r="C90" s="211">
        <v>180</v>
      </c>
      <c r="D90" s="207">
        <f>SUMIFS('январь 2023'!$G$4:$G$508,'январь 2023'!$D$4:$D$508,$B90,'январь 2023'!$J$4:$J$508,D$1)</f>
        <v>0</v>
      </c>
      <c r="E90" s="207">
        <f>SUMIFS('январь 2023'!$G$4:$G$508,'январь 2023'!$D$4:$D$508,$B90,'январь 2023'!$J$4:$J$508,E$1)</f>
        <v>0</v>
      </c>
      <c r="F90" s="207">
        <f>SUMIFS('январь 2023'!$G$4:$G$508,'январь 2023'!$D$4:$D$508,$B90,'январь 2023'!$J$4:$J$508,F$1)</f>
        <v>0</v>
      </c>
      <c r="G90" s="207">
        <f>SUMIFS('январь 2023'!$G$4:$G$508,'январь 2023'!$D$4:$D$508,$B90,'январь 2023'!$J$4:$J$508,G$1)</f>
        <v>0</v>
      </c>
      <c r="H90" s="207">
        <f>SUMIFS('январь 2023'!$G$4:$G$508,'январь 2023'!$D$4:$D$508,$B90,'январь 2023'!$J$4:$J$508,H$1)</f>
        <v>0</v>
      </c>
      <c r="I90" s="207">
        <f>SUMIFS('январь 2023'!$G$4:$G$508,'январь 2023'!$D$4:$D$508,$B90,'январь 2023'!$J$4:$J$508,I$1)</f>
        <v>0</v>
      </c>
      <c r="J90" s="207">
        <f>SUMIFS('январь 2023'!$G$4:$G$508,'январь 2023'!$D$4:$D$508,$B90,'январь 2023'!$J$4:$J$508,J$1)</f>
        <v>0</v>
      </c>
      <c r="K90" s="207">
        <f>SUMIFS('январь 2023'!$G$4:$G$508,'январь 2023'!$D$4:$D$508,$B90,'январь 2023'!$J$4:$J$508,K$1)</f>
        <v>0</v>
      </c>
      <c r="L90" s="207">
        <f>SUMIFS('январь 2023'!$G$4:$G$508,'январь 2023'!$D$4:$D$508,$B90,'январь 2023'!$J$4:$J$508,L$1)</f>
        <v>0</v>
      </c>
      <c r="M90" s="207">
        <f>SUMIFS('январь 2023'!$G$4:$G$508,'январь 2023'!$D$4:$D$508,$B90,'январь 2023'!$J$4:$J$508,M$1)</f>
        <v>0</v>
      </c>
      <c r="N90" s="207">
        <f>SUMIFS('январь 2023'!$G$4:$G$508,'январь 2023'!$D$4:$D$508,$B90,'январь 2023'!$J$4:$J$508,N$1)</f>
        <v>0</v>
      </c>
      <c r="O90" s="207">
        <f>SUMIFS('январь 2023'!$G$4:$G$508,'январь 2023'!$D$4:$D$508,$B90,'январь 2023'!$J$4:$J$508,O$1)</f>
        <v>0</v>
      </c>
      <c r="P90" s="207">
        <f>SUMIFS('январь 2023'!$G$4:$G$508,'январь 2023'!$D$4:$D$508,$B90,'январь 2023'!$J$4:$J$508,P$1)</f>
        <v>0</v>
      </c>
      <c r="Q90" s="207">
        <f>SUMIFS('январь 2023'!$G$4:$G$508,'январь 2023'!$D$4:$D$508,$B90,'январь 2023'!$J$4:$J$508,Q$1)</f>
        <v>0</v>
      </c>
      <c r="R90" s="207">
        <f>SUMIFS('январь 2023'!$G$4:$G$508,'январь 2023'!$D$4:$D$508,$B90,'январь 2023'!$J$4:$J$508,R$1)</f>
        <v>0</v>
      </c>
      <c r="S90" s="207">
        <f>SUMIFS('январь 2023'!$G$4:$G$508,'январь 2023'!$D$4:$D$508,$B90,'январь 2023'!$J$4:$J$508,S$1)</f>
        <v>0</v>
      </c>
      <c r="T90" s="207">
        <f>SUMIFS('январь 2023'!$G$4:$G$508,'январь 2023'!$D$4:$D$508,$B90,'январь 2023'!$J$4:$J$508,T$1)</f>
        <v>0</v>
      </c>
      <c r="U90" s="207">
        <f>SUMIFS('январь 2023'!$G$4:$G$508,'январь 2023'!$D$4:$D$508,$B90,'январь 2023'!$J$4:$J$508,U$1)</f>
        <v>0</v>
      </c>
      <c r="V90" s="207">
        <f>SUMIFS('январь 2023'!$G$4:$G$508,'январь 2023'!$D$4:$D$508,$B90,'январь 2023'!$J$4:$J$508,V$1)</f>
        <v>0</v>
      </c>
      <c r="W90" s="207">
        <f>SUMIFS('январь 2023'!$G$4:$G$508,'январь 2023'!$D$4:$D$508,$B90,'январь 2023'!$J$4:$J$508,W$1)</f>
        <v>0</v>
      </c>
      <c r="X90" s="207">
        <f>SUMIFS('январь 2023'!$G$4:$G$508,'январь 2023'!$D$4:$D$508,$B90,'январь 2023'!$J$4:$J$508,X$1)</f>
        <v>0</v>
      </c>
      <c r="Y90" s="207">
        <f>SUMIFS('январь 2023'!$G$4:$G$508,'январь 2023'!$D$4:$D$508,$B90,'январь 2023'!$J$4:$J$508,Y$1)</f>
        <v>0</v>
      </c>
      <c r="Z90" s="207">
        <f>SUMIFS('январь 2023'!$G$4:$G$508,'январь 2023'!$D$4:$D$508,$B90,'январь 2023'!$J$4:$J$508,Z$1)</f>
        <v>0</v>
      </c>
      <c r="AA90" s="207">
        <f>SUMIFS('январь 2023'!$G$4:$G$508,'январь 2023'!$D$4:$D$508,$B90,'январь 2023'!$J$4:$J$508,AA$1)</f>
        <v>0</v>
      </c>
      <c r="AB90" s="207">
        <f>SUMIFS('январь 2023'!$G$4:$G$508,'январь 2023'!$D$4:$D$508,$B90,'январь 2023'!$J$4:$J$508,AB$1)</f>
        <v>0</v>
      </c>
      <c r="AC90" s="207">
        <f>SUMIFS('январь 2023'!$G$4:$G$508,'январь 2023'!$D$4:$D$508,$B90,'январь 2023'!$J$4:$J$508,AC$1)</f>
        <v>0</v>
      </c>
      <c r="AD90" s="207">
        <f>SUMIFS('январь 2023'!$G$4:$G$508,'январь 2023'!$D$4:$D$508,$B90,'январь 2023'!$J$4:$J$508,AD$1)</f>
        <v>0</v>
      </c>
      <c r="AE90" s="207">
        <f>SUMIFS('январь 2023'!$G$4:$G$508,'январь 2023'!$D$4:$D$508,$B90,'январь 2023'!$J$4:$J$508,AE$1)</f>
        <v>0</v>
      </c>
      <c r="AF90" s="207">
        <f>SUMIFS('январь 2023'!$G$4:$G$508,'январь 2023'!$D$4:$D$508,$B90,'январь 2023'!$J$4:$J$508,AF$1)</f>
        <v>0</v>
      </c>
      <c r="AG90" s="207">
        <f>SUMIFS('январь 2023'!$G$4:$G$508,'январь 2023'!$D$4:$D$508,$B90,'январь 2023'!$J$4:$J$508,AG$1)</f>
        <v>0</v>
      </c>
      <c r="AH90" s="207">
        <f>SUMIFS('январь 2023'!$G$4:$G$508,'январь 2023'!$D$4:$D$508,$B90,'январь 2023'!$J$4:$J$508,AH$1)</f>
        <v>0</v>
      </c>
      <c r="AI90" s="170">
        <f t="shared" si="2"/>
        <v>0</v>
      </c>
    </row>
    <row r="91" spans="2:35" ht="15" customHeight="1" x14ac:dyDescent="0.25">
      <c r="B91" s="212"/>
      <c r="C91" s="211"/>
      <c r="D91" s="207">
        <f>SUMIFS('январь 2023'!$G$4:$G$508,'январь 2023'!$D$4:$D$508,$B91,'январь 2023'!$J$4:$J$508,D$1)</f>
        <v>0</v>
      </c>
      <c r="E91" s="207">
        <f>SUMIFS('январь 2023'!$G$4:$G$508,'январь 2023'!$D$4:$D$508,$B91,'январь 2023'!$J$4:$J$508,E$1)</f>
        <v>0</v>
      </c>
      <c r="F91" s="207">
        <f>SUMIFS('январь 2023'!$G$4:$G$508,'январь 2023'!$D$4:$D$508,$B91,'январь 2023'!$J$4:$J$508,F$1)</f>
        <v>0</v>
      </c>
      <c r="G91" s="207">
        <f>SUMIFS('январь 2023'!$G$4:$G$508,'январь 2023'!$D$4:$D$508,$B91,'январь 2023'!$J$4:$J$508,G$1)</f>
        <v>0</v>
      </c>
      <c r="H91" s="207">
        <f>SUMIFS('январь 2023'!$G$4:$G$508,'январь 2023'!$D$4:$D$508,$B91,'январь 2023'!$J$4:$J$508,H$1)</f>
        <v>0</v>
      </c>
      <c r="I91" s="207">
        <f>SUMIFS('январь 2023'!$G$4:$G$508,'январь 2023'!$D$4:$D$508,$B91,'январь 2023'!$J$4:$J$508,I$1)</f>
        <v>0</v>
      </c>
      <c r="J91" s="207">
        <f>SUMIFS('январь 2023'!$G$4:$G$508,'январь 2023'!$D$4:$D$508,$B91,'январь 2023'!$J$4:$J$508,J$1)</f>
        <v>0</v>
      </c>
      <c r="K91" s="207">
        <f>SUMIFS('январь 2023'!$G$4:$G$508,'январь 2023'!$D$4:$D$508,$B91,'январь 2023'!$J$4:$J$508,K$1)</f>
        <v>0</v>
      </c>
      <c r="L91" s="207">
        <f>SUMIFS('январь 2023'!$G$4:$G$508,'январь 2023'!$D$4:$D$508,$B91,'январь 2023'!$J$4:$J$508,L$1)</f>
        <v>0</v>
      </c>
      <c r="M91" s="207">
        <f>SUMIFS('январь 2023'!$G$4:$G$508,'январь 2023'!$D$4:$D$508,$B91,'январь 2023'!$J$4:$J$508,M$1)</f>
        <v>0</v>
      </c>
      <c r="N91" s="207">
        <f>SUMIFS('январь 2023'!$G$4:$G$508,'январь 2023'!$D$4:$D$508,$B91,'январь 2023'!$J$4:$J$508,N$1)</f>
        <v>0</v>
      </c>
      <c r="O91" s="207">
        <f>SUMIFS('январь 2023'!$G$4:$G$508,'январь 2023'!$D$4:$D$508,$B91,'январь 2023'!$J$4:$J$508,O$1)</f>
        <v>0</v>
      </c>
      <c r="P91" s="207">
        <f>SUMIFS('январь 2023'!$G$4:$G$508,'январь 2023'!$D$4:$D$508,$B91,'январь 2023'!$J$4:$J$508,P$1)</f>
        <v>0</v>
      </c>
      <c r="Q91" s="207">
        <f>SUMIFS('январь 2023'!$G$4:$G$508,'январь 2023'!$D$4:$D$508,$B91,'январь 2023'!$J$4:$J$508,Q$1)</f>
        <v>0</v>
      </c>
      <c r="R91" s="207">
        <f>SUMIFS('январь 2023'!$G$4:$G$508,'январь 2023'!$D$4:$D$508,$B91,'январь 2023'!$J$4:$J$508,R$1)</f>
        <v>0</v>
      </c>
      <c r="S91" s="207">
        <f>SUMIFS('январь 2023'!$G$4:$G$508,'январь 2023'!$D$4:$D$508,$B91,'январь 2023'!$J$4:$J$508,S$1)</f>
        <v>0</v>
      </c>
      <c r="T91" s="207">
        <f>SUMIFS('январь 2023'!$G$4:$G$508,'январь 2023'!$D$4:$D$508,$B91,'январь 2023'!$J$4:$J$508,T$1)</f>
        <v>0</v>
      </c>
      <c r="U91" s="207">
        <f>SUMIFS('январь 2023'!$G$4:$G$508,'январь 2023'!$D$4:$D$508,$B91,'январь 2023'!$J$4:$J$508,U$1)</f>
        <v>0</v>
      </c>
      <c r="V91" s="207">
        <f>SUMIFS('январь 2023'!$G$4:$G$508,'январь 2023'!$D$4:$D$508,$B91,'январь 2023'!$J$4:$J$508,V$1)</f>
        <v>0</v>
      </c>
      <c r="W91" s="207">
        <f>SUMIFS('январь 2023'!$G$4:$G$508,'январь 2023'!$D$4:$D$508,$B91,'январь 2023'!$J$4:$J$508,W$1)</f>
        <v>0</v>
      </c>
      <c r="X91" s="207">
        <f>SUMIFS('январь 2023'!$G$4:$G$508,'январь 2023'!$D$4:$D$508,$B91,'январь 2023'!$J$4:$J$508,X$1)</f>
        <v>0</v>
      </c>
      <c r="Y91" s="207">
        <f>SUMIFS('январь 2023'!$G$4:$G$508,'январь 2023'!$D$4:$D$508,$B91,'январь 2023'!$J$4:$J$508,Y$1)</f>
        <v>0</v>
      </c>
      <c r="Z91" s="207">
        <f>SUMIFS('январь 2023'!$G$4:$G$508,'январь 2023'!$D$4:$D$508,$B91,'январь 2023'!$J$4:$J$508,Z$1)</f>
        <v>0</v>
      </c>
      <c r="AA91" s="207">
        <f>SUMIFS('январь 2023'!$G$4:$G$508,'январь 2023'!$D$4:$D$508,$B91,'январь 2023'!$J$4:$J$508,AA$1)</f>
        <v>0</v>
      </c>
      <c r="AB91" s="207">
        <f>SUMIFS('январь 2023'!$G$4:$G$508,'январь 2023'!$D$4:$D$508,$B91,'январь 2023'!$J$4:$J$508,AB$1)</f>
        <v>0</v>
      </c>
      <c r="AC91" s="207">
        <f>SUMIFS('январь 2023'!$G$4:$G$508,'январь 2023'!$D$4:$D$508,$B91,'январь 2023'!$J$4:$J$508,AC$1)</f>
        <v>0</v>
      </c>
      <c r="AD91" s="207">
        <f>SUMIFS('январь 2023'!$G$4:$G$508,'январь 2023'!$D$4:$D$508,$B91,'январь 2023'!$J$4:$J$508,AD$1)</f>
        <v>0</v>
      </c>
      <c r="AE91" s="207">
        <f>SUMIFS('январь 2023'!$G$4:$G$508,'январь 2023'!$D$4:$D$508,$B91,'январь 2023'!$J$4:$J$508,AE$1)</f>
        <v>0</v>
      </c>
      <c r="AF91" s="207">
        <f>SUMIFS('январь 2023'!$G$4:$G$508,'январь 2023'!$D$4:$D$508,$B91,'январь 2023'!$J$4:$J$508,AF$1)</f>
        <v>0</v>
      </c>
      <c r="AG91" s="207">
        <f>SUMIFS('январь 2023'!$G$4:$G$508,'январь 2023'!$D$4:$D$508,$B91,'январь 2023'!$J$4:$J$508,AG$1)</f>
        <v>0</v>
      </c>
      <c r="AH91" s="207">
        <f>SUMIFS('январь 2023'!$G$4:$G$508,'январь 2023'!$D$4:$D$508,$B91,'январь 2023'!$J$4:$J$508,AH$1)</f>
        <v>0</v>
      </c>
      <c r="AI91" s="170">
        <f t="shared" si="2"/>
        <v>0</v>
      </c>
    </row>
    <row r="92" spans="2:35" ht="15" customHeight="1" x14ac:dyDescent="0.25">
      <c r="B92" s="212"/>
      <c r="C92" s="211"/>
      <c r="D92" s="207">
        <f>SUMIFS('январь 2023'!$G$4:$G$508,'январь 2023'!$D$4:$D$508,$B92,'январь 2023'!$J$4:$J$508,D$1)</f>
        <v>0</v>
      </c>
      <c r="E92" s="207">
        <f>SUMIFS('январь 2023'!$G$4:$G$508,'январь 2023'!$D$4:$D$508,$B92,'январь 2023'!$J$4:$J$508,E$1)</f>
        <v>0</v>
      </c>
      <c r="F92" s="207">
        <f>SUMIFS('январь 2023'!$G$4:$G$508,'январь 2023'!$D$4:$D$508,$B92,'январь 2023'!$J$4:$J$508,F$1)</f>
        <v>0</v>
      </c>
      <c r="G92" s="207">
        <f>SUMIFS('январь 2023'!$G$4:$G$508,'январь 2023'!$D$4:$D$508,$B92,'январь 2023'!$J$4:$J$508,G$1)</f>
        <v>0</v>
      </c>
      <c r="H92" s="207">
        <f>SUMIFS('январь 2023'!$G$4:$G$508,'январь 2023'!$D$4:$D$508,$B92,'январь 2023'!$J$4:$J$508,H$1)</f>
        <v>0</v>
      </c>
      <c r="I92" s="207">
        <f>SUMIFS('январь 2023'!$G$4:$G$508,'январь 2023'!$D$4:$D$508,$B92,'январь 2023'!$J$4:$J$508,I$1)</f>
        <v>0</v>
      </c>
      <c r="J92" s="207">
        <f>SUMIFS('январь 2023'!$G$4:$G$508,'январь 2023'!$D$4:$D$508,$B92,'январь 2023'!$J$4:$J$508,J$1)</f>
        <v>0</v>
      </c>
      <c r="K92" s="207">
        <f>SUMIFS('январь 2023'!$G$4:$G$508,'январь 2023'!$D$4:$D$508,$B92,'январь 2023'!$J$4:$J$508,K$1)</f>
        <v>0</v>
      </c>
      <c r="L92" s="207">
        <f>SUMIFS('январь 2023'!$G$4:$G$508,'январь 2023'!$D$4:$D$508,$B92,'январь 2023'!$J$4:$J$508,L$1)</f>
        <v>0</v>
      </c>
      <c r="M92" s="207">
        <f>SUMIFS('январь 2023'!$G$4:$G$508,'январь 2023'!$D$4:$D$508,$B92,'январь 2023'!$J$4:$J$508,M$1)</f>
        <v>0</v>
      </c>
      <c r="N92" s="207">
        <f>SUMIFS('январь 2023'!$G$4:$G$508,'январь 2023'!$D$4:$D$508,$B92,'январь 2023'!$J$4:$J$508,N$1)</f>
        <v>0</v>
      </c>
      <c r="O92" s="207">
        <f>SUMIFS('январь 2023'!$G$4:$G$508,'январь 2023'!$D$4:$D$508,$B92,'январь 2023'!$J$4:$J$508,O$1)</f>
        <v>0</v>
      </c>
      <c r="P92" s="207">
        <f>SUMIFS('январь 2023'!$G$4:$G$508,'январь 2023'!$D$4:$D$508,$B92,'январь 2023'!$J$4:$J$508,P$1)</f>
        <v>0</v>
      </c>
      <c r="Q92" s="207">
        <f>SUMIFS('январь 2023'!$G$4:$G$508,'январь 2023'!$D$4:$D$508,$B92,'январь 2023'!$J$4:$J$508,Q$1)</f>
        <v>0</v>
      </c>
      <c r="R92" s="207">
        <f>SUMIFS('январь 2023'!$G$4:$G$508,'январь 2023'!$D$4:$D$508,$B92,'январь 2023'!$J$4:$J$508,R$1)</f>
        <v>0</v>
      </c>
      <c r="S92" s="207">
        <f>SUMIFS('январь 2023'!$G$4:$G$508,'январь 2023'!$D$4:$D$508,$B92,'январь 2023'!$J$4:$J$508,S$1)</f>
        <v>0</v>
      </c>
      <c r="T92" s="207">
        <f>SUMIFS('январь 2023'!$G$4:$G$508,'январь 2023'!$D$4:$D$508,$B92,'январь 2023'!$J$4:$J$508,T$1)</f>
        <v>0</v>
      </c>
      <c r="U92" s="207">
        <f>SUMIFS('январь 2023'!$G$4:$G$508,'январь 2023'!$D$4:$D$508,$B92,'январь 2023'!$J$4:$J$508,U$1)</f>
        <v>0</v>
      </c>
      <c r="V92" s="207">
        <f>SUMIFS('январь 2023'!$G$4:$G$508,'январь 2023'!$D$4:$D$508,$B92,'январь 2023'!$J$4:$J$508,V$1)</f>
        <v>0</v>
      </c>
      <c r="W92" s="207">
        <f>SUMIFS('январь 2023'!$G$4:$G$508,'январь 2023'!$D$4:$D$508,$B92,'январь 2023'!$J$4:$J$508,W$1)</f>
        <v>0</v>
      </c>
      <c r="X92" s="207">
        <f>SUMIFS('январь 2023'!$G$4:$G$508,'январь 2023'!$D$4:$D$508,$B92,'январь 2023'!$J$4:$J$508,X$1)</f>
        <v>0</v>
      </c>
      <c r="Y92" s="207">
        <f>SUMIFS('январь 2023'!$G$4:$G$508,'январь 2023'!$D$4:$D$508,$B92,'январь 2023'!$J$4:$J$508,Y$1)</f>
        <v>0</v>
      </c>
      <c r="Z92" s="207">
        <f>SUMIFS('январь 2023'!$G$4:$G$508,'январь 2023'!$D$4:$D$508,$B92,'январь 2023'!$J$4:$J$508,Z$1)</f>
        <v>0</v>
      </c>
      <c r="AA92" s="207">
        <f>SUMIFS('январь 2023'!$G$4:$G$508,'январь 2023'!$D$4:$D$508,$B92,'январь 2023'!$J$4:$J$508,AA$1)</f>
        <v>0</v>
      </c>
      <c r="AB92" s="207">
        <f>SUMIFS('январь 2023'!$G$4:$G$508,'январь 2023'!$D$4:$D$508,$B92,'январь 2023'!$J$4:$J$508,AB$1)</f>
        <v>0</v>
      </c>
      <c r="AC92" s="207">
        <f>SUMIFS('январь 2023'!$G$4:$G$508,'январь 2023'!$D$4:$D$508,$B92,'январь 2023'!$J$4:$J$508,AC$1)</f>
        <v>0</v>
      </c>
      <c r="AD92" s="207">
        <f>SUMIFS('январь 2023'!$G$4:$G$508,'январь 2023'!$D$4:$D$508,$B92,'январь 2023'!$J$4:$J$508,AD$1)</f>
        <v>0</v>
      </c>
      <c r="AE92" s="207">
        <f>SUMIFS('январь 2023'!$G$4:$G$508,'январь 2023'!$D$4:$D$508,$B92,'январь 2023'!$J$4:$J$508,AE$1)</f>
        <v>0</v>
      </c>
      <c r="AF92" s="207">
        <f>SUMIFS('январь 2023'!$G$4:$G$508,'январь 2023'!$D$4:$D$508,$B92,'январь 2023'!$J$4:$J$508,AF$1)</f>
        <v>0</v>
      </c>
      <c r="AG92" s="207">
        <f>SUMIFS('январь 2023'!$G$4:$G$508,'январь 2023'!$D$4:$D$508,$B92,'январь 2023'!$J$4:$J$508,AG$1)</f>
        <v>0</v>
      </c>
      <c r="AH92" s="207">
        <f>SUMIFS('январь 2023'!$G$4:$G$508,'январь 2023'!$D$4:$D$508,$B92,'январь 2023'!$J$4:$J$508,AH$1)</f>
        <v>0</v>
      </c>
      <c r="AI92" s="170">
        <f t="shared" si="2"/>
        <v>0</v>
      </c>
    </row>
    <row r="93" spans="2:35" ht="15" customHeight="1" x14ac:dyDescent="0.25">
      <c r="B93" s="218" t="s">
        <v>2194</v>
      </c>
      <c r="C93" s="219">
        <v>20</v>
      </c>
      <c r="D93" s="207">
        <f>SUMIFS('январь 2023'!$G$4:$G$508,'январь 2023'!$D$4:$D$508,$B93,'январь 2023'!$J$4:$J$508,D$1)</f>
        <v>0</v>
      </c>
      <c r="E93" s="207">
        <f>SUMIFS('январь 2023'!$G$4:$G$508,'январь 2023'!$D$4:$D$508,$B93,'январь 2023'!$J$4:$J$508,E$1)</f>
        <v>0</v>
      </c>
      <c r="F93" s="207">
        <f>SUMIFS('январь 2023'!$G$4:$G$508,'январь 2023'!$D$4:$D$508,$B93,'январь 2023'!$J$4:$J$508,F$1)</f>
        <v>0</v>
      </c>
      <c r="G93" s="207">
        <f>SUMIFS('январь 2023'!$G$4:$G$508,'январь 2023'!$D$4:$D$508,$B93,'январь 2023'!$J$4:$J$508,G$1)</f>
        <v>0</v>
      </c>
      <c r="H93" s="207">
        <f>SUMIFS('январь 2023'!$G$4:$G$508,'январь 2023'!$D$4:$D$508,$B93,'январь 2023'!$J$4:$J$508,H$1)</f>
        <v>0</v>
      </c>
      <c r="I93" s="207">
        <f>SUMIFS('январь 2023'!$G$4:$G$508,'январь 2023'!$D$4:$D$508,$B93,'январь 2023'!$J$4:$J$508,I$1)</f>
        <v>0</v>
      </c>
      <c r="J93" s="207">
        <f>SUMIFS('январь 2023'!$G$4:$G$508,'январь 2023'!$D$4:$D$508,$B93,'январь 2023'!$J$4:$J$508,J$1)</f>
        <v>0</v>
      </c>
      <c r="K93" s="207">
        <f>SUMIFS('январь 2023'!$G$4:$G$508,'январь 2023'!$D$4:$D$508,$B93,'январь 2023'!$J$4:$J$508,K$1)</f>
        <v>0</v>
      </c>
      <c r="L93" s="207">
        <f>SUMIFS('январь 2023'!$G$4:$G$508,'январь 2023'!$D$4:$D$508,$B93,'январь 2023'!$J$4:$J$508,L$1)</f>
        <v>0</v>
      </c>
      <c r="M93" s="207">
        <f>SUMIFS('январь 2023'!$G$4:$G$508,'январь 2023'!$D$4:$D$508,$B93,'январь 2023'!$J$4:$J$508,M$1)</f>
        <v>0</v>
      </c>
      <c r="N93" s="207">
        <f>SUMIFS('январь 2023'!$G$4:$G$508,'январь 2023'!$D$4:$D$508,$B93,'январь 2023'!$J$4:$J$508,N$1)</f>
        <v>0</v>
      </c>
      <c r="O93" s="207">
        <f>SUMIFS('январь 2023'!$G$4:$G$508,'январь 2023'!$D$4:$D$508,$B93,'январь 2023'!$J$4:$J$508,O$1)</f>
        <v>0</v>
      </c>
      <c r="P93" s="207">
        <f>SUMIFS('январь 2023'!$G$4:$G$508,'январь 2023'!$D$4:$D$508,$B93,'январь 2023'!$J$4:$J$508,P$1)</f>
        <v>0</v>
      </c>
      <c r="Q93" s="207">
        <f>SUMIFS('январь 2023'!$G$4:$G$508,'январь 2023'!$D$4:$D$508,$B93,'январь 2023'!$J$4:$J$508,Q$1)</f>
        <v>0</v>
      </c>
      <c r="R93" s="207">
        <f>SUMIFS('январь 2023'!$G$4:$G$508,'январь 2023'!$D$4:$D$508,$B93,'январь 2023'!$J$4:$J$508,R$1)</f>
        <v>0</v>
      </c>
      <c r="S93" s="207">
        <f>SUMIFS('январь 2023'!$G$4:$G$508,'январь 2023'!$D$4:$D$508,$B93,'январь 2023'!$J$4:$J$508,S$1)</f>
        <v>0</v>
      </c>
      <c r="T93" s="207">
        <f>SUMIFS('январь 2023'!$G$4:$G$508,'январь 2023'!$D$4:$D$508,$B93,'январь 2023'!$J$4:$J$508,T$1)</f>
        <v>0</v>
      </c>
      <c r="U93" s="207">
        <f>SUMIFS('январь 2023'!$G$4:$G$508,'январь 2023'!$D$4:$D$508,$B93,'январь 2023'!$J$4:$J$508,U$1)</f>
        <v>0</v>
      </c>
      <c r="V93" s="207">
        <f>SUMIFS('январь 2023'!$G$4:$G$508,'январь 2023'!$D$4:$D$508,$B93,'январь 2023'!$J$4:$J$508,V$1)</f>
        <v>0</v>
      </c>
      <c r="W93" s="207">
        <f>SUMIFS('январь 2023'!$G$4:$G$508,'январь 2023'!$D$4:$D$508,$B93,'январь 2023'!$J$4:$J$508,W$1)</f>
        <v>0</v>
      </c>
      <c r="X93" s="207">
        <f>SUMIFS('январь 2023'!$G$4:$G$508,'январь 2023'!$D$4:$D$508,$B93,'январь 2023'!$J$4:$J$508,X$1)</f>
        <v>0</v>
      </c>
      <c r="Y93" s="207">
        <f>SUMIFS('январь 2023'!$G$4:$G$508,'январь 2023'!$D$4:$D$508,$B93,'январь 2023'!$J$4:$J$508,Y$1)</f>
        <v>0</v>
      </c>
      <c r="Z93" s="207">
        <f>SUMIFS('январь 2023'!$G$4:$G$508,'январь 2023'!$D$4:$D$508,$B93,'январь 2023'!$J$4:$J$508,Z$1)</f>
        <v>0</v>
      </c>
      <c r="AA93" s="207">
        <f>SUMIFS('январь 2023'!$G$4:$G$508,'январь 2023'!$D$4:$D$508,$B93,'январь 2023'!$J$4:$J$508,AA$1)</f>
        <v>0</v>
      </c>
      <c r="AB93" s="207">
        <f>SUMIFS('январь 2023'!$G$4:$G$508,'январь 2023'!$D$4:$D$508,$B93,'январь 2023'!$J$4:$J$508,AB$1)</f>
        <v>0</v>
      </c>
      <c r="AC93" s="207">
        <f>SUMIFS('январь 2023'!$G$4:$G$508,'январь 2023'!$D$4:$D$508,$B93,'январь 2023'!$J$4:$J$508,AC$1)</f>
        <v>0</v>
      </c>
      <c r="AD93" s="207">
        <f>SUMIFS('январь 2023'!$G$4:$G$508,'январь 2023'!$D$4:$D$508,$B93,'январь 2023'!$J$4:$J$508,AD$1)</f>
        <v>0</v>
      </c>
      <c r="AE93" s="207">
        <f>SUMIFS('январь 2023'!$G$4:$G$508,'январь 2023'!$D$4:$D$508,$B93,'январь 2023'!$J$4:$J$508,AE$1)</f>
        <v>0</v>
      </c>
      <c r="AF93" s="207">
        <f>SUMIFS('январь 2023'!$G$4:$G$508,'январь 2023'!$D$4:$D$508,$B93,'январь 2023'!$J$4:$J$508,AF$1)</f>
        <v>0</v>
      </c>
      <c r="AG93" s="207">
        <f>SUMIFS('январь 2023'!$G$4:$G$508,'январь 2023'!$D$4:$D$508,$B93,'январь 2023'!$J$4:$J$508,AG$1)</f>
        <v>0</v>
      </c>
      <c r="AH93" s="207">
        <f>SUMIFS('январь 2023'!$G$4:$G$508,'январь 2023'!$D$4:$D$508,$B93,'январь 2023'!$J$4:$J$508,AH$1)</f>
        <v>0</v>
      </c>
      <c r="AI93" s="170">
        <f t="shared" si="2"/>
        <v>0</v>
      </c>
    </row>
    <row r="94" spans="2:35" ht="15" customHeight="1" x14ac:dyDescent="0.25">
      <c r="B94" s="212" t="s">
        <v>2195</v>
      </c>
      <c r="C94" s="213">
        <v>20</v>
      </c>
      <c r="D94" s="207">
        <f>SUMIFS('январь 2023'!$G$4:$G$508,'январь 2023'!$D$4:$D$508,$B94,'январь 2023'!$J$4:$J$508,D$1)</f>
        <v>0</v>
      </c>
      <c r="E94" s="207">
        <f>SUMIFS('январь 2023'!$G$4:$G$508,'январь 2023'!$D$4:$D$508,$B94,'январь 2023'!$J$4:$J$508,E$1)</f>
        <v>0</v>
      </c>
      <c r="F94" s="207">
        <f>SUMIFS('январь 2023'!$G$4:$G$508,'январь 2023'!$D$4:$D$508,$B94,'январь 2023'!$J$4:$J$508,F$1)</f>
        <v>0</v>
      </c>
      <c r="G94" s="207">
        <f>SUMIFS('январь 2023'!$G$4:$G$508,'январь 2023'!$D$4:$D$508,$B94,'январь 2023'!$J$4:$J$508,G$1)</f>
        <v>0</v>
      </c>
      <c r="H94" s="207">
        <f>SUMIFS('январь 2023'!$G$4:$G$508,'январь 2023'!$D$4:$D$508,$B94,'январь 2023'!$J$4:$J$508,H$1)</f>
        <v>0</v>
      </c>
      <c r="I94" s="207">
        <f>SUMIFS('январь 2023'!$G$4:$G$508,'январь 2023'!$D$4:$D$508,$B94,'январь 2023'!$J$4:$J$508,I$1)</f>
        <v>0</v>
      </c>
      <c r="J94" s="207">
        <f>SUMIFS('январь 2023'!$G$4:$G$508,'январь 2023'!$D$4:$D$508,$B94,'январь 2023'!$J$4:$J$508,J$1)</f>
        <v>0</v>
      </c>
      <c r="K94" s="207">
        <f>SUMIFS('январь 2023'!$G$4:$G$508,'январь 2023'!$D$4:$D$508,$B94,'январь 2023'!$J$4:$J$508,K$1)</f>
        <v>0</v>
      </c>
      <c r="L94" s="207">
        <f>SUMIFS('январь 2023'!$G$4:$G$508,'январь 2023'!$D$4:$D$508,$B94,'январь 2023'!$J$4:$J$508,L$1)</f>
        <v>0</v>
      </c>
      <c r="M94" s="207">
        <f>SUMIFS('январь 2023'!$G$4:$G$508,'январь 2023'!$D$4:$D$508,$B94,'январь 2023'!$J$4:$J$508,M$1)</f>
        <v>0</v>
      </c>
      <c r="N94" s="207">
        <f>SUMIFS('январь 2023'!$G$4:$G$508,'январь 2023'!$D$4:$D$508,$B94,'январь 2023'!$J$4:$J$508,N$1)</f>
        <v>0</v>
      </c>
      <c r="O94" s="207">
        <f>SUMIFS('январь 2023'!$G$4:$G$508,'январь 2023'!$D$4:$D$508,$B94,'январь 2023'!$J$4:$J$508,O$1)</f>
        <v>0</v>
      </c>
      <c r="P94" s="207">
        <f>SUMIFS('январь 2023'!$G$4:$G$508,'январь 2023'!$D$4:$D$508,$B94,'январь 2023'!$J$4:$J$508,P$1)</f>
        <v>0</v>
      </c>
      <c r="Q94" s="207">
        <f>SUMIFS('январь 2023'!$G$4:$G$508,'январь 2023'!$D$4:$D$508,$B94,'январь 2023'!$J$4:$J$508,Q$1)</f>
        <v>0</v>
      </c>
      <c r="R94" s="207">
        <f>SUMIFS('январь 2023'!$G$4:$G$508,'январь 2023'!$D$4:$D$508,$B94,'январь 2023'!$J$4:$J$508,R$1)</f>
        <v>0</v>
      </c>
      <c r="S94" s="207">
        <f>SUMIFS('январь 2023'!$G$4:$G$508,'январь 2023'!$D$4:$D$508,$B94,'январь 2023'!$J$4:$J$508,S$1)</f>
        <v>0</v>
      </c>
      <c r="T94" s="207">
        <f>SUMIFS('январь 2023'!$G$4:$G$508,'январь 2023'!$D$4:$D$508,$B94,'январь 2023'!$J$4:$J$508,T$1)</f>
        <v>0</v>
      </c>
      <c r="U94" s="207">
        <f>SUMIFS('январь 2023'!$G$4:$G$508,'январь 2023'!$D$4:$D$508,$B94,'январь 2023'!$J$4:$J$508,U$1)</f>
        <v>0</v>
      </c>
      <c r="V94" s="207">
        <f>SUMIFS('январь 2023'!$G$4:$G$508,'январь 2023'!$D$4:$D$508,$B94,'январь 2023'!$J$4:$J$508,V$1)</f>
        <v>0</v>
      </c>
      <c r="W94" s="207">
        <f>SUMIFS('январь 2023'!$G$4:$G$508,'январь 2023'!$D$4:$D$508,$B94,'январь 2023'!$J$4:$J$508,W$1)</f>
        <v>0</v>
      </c>
      <c r="X94" s="207">
        <f>SUMIFS('январь 2023'!$G$4:$G$508,'январь 2023'!$D$4:$D$508,$B94,'январь 2023'!$J$4:$J$508,X$1)</f>
        <v>0</v>
      </c>
      <c r="Y94" s="207">
        <f>SUMIFS('январь 2023'!$G$4:$G$508,'январь 2023'!$D$4:$D$508,$B94,'январь 2023'!$J$4:$J$508,Y$1)</f>
        <v>0</v>
      </c>
      <c r="Z94" s="207">
        <f>SUMIFS('январь 2023'!$G$4:$G$508,'январь 2023'!$D$4:$D$508,$B94,'январь 2023'!$J$4:$J$508,Z$1)</f>
        <v>0</v>
      </c>
      <c r="AA94" s="207">
        <f>SUMIFS('январь 2023'!$G$4:$G$508,'январь 2023'!$D$4:$D$508,$B94,'январь 2023'!$J$4:$J$508,AA$1)</f>
        <v>0</v>
      </c>
      <c r="AB94" s="207">
        <f>SUMIFS('январь 2023'!$G$4:$G$508,'январь 2023'!$D$4:$D$508,$B94,'январь 2023'!$J$4:$J$508,AB$1)</f>
        <v>0</v>
      </c>
      <c r="AC94" s="207">
        <f>SUMIFS('январь 2023'!$G$4:$G$508,'январь 2023'!$D$4:$D$508,$B94,'январь 2023'!$J$4:$J$508,AC$1)</f>
        <v>0</v>
      </c>
      <c r="AD94" s="207">
        <f>SUMIFS('январь 2023'!$G$4:$G$508,'январь 2023'!$D$4:$D$508,$B94,'январь 2023'!$J$4:$J$508,AD$1)</f>
        <v>0</v>
      </c>
      <c r="AE94" s="207">
        <f>SUMIFS('январь 2023'!$G$4:$G$508,'январь 2023'!$D$4:$D$508,$B94,'январь 2023'!$J$4:$J$508,AE$1)</f>
        <v>0</v>
      </c>
      <c r="AF94" s="207">
        <f>SUMIFS('январь 2023'!$G$4:$G$508,'январь 2023'!$D$4:$D$508,$B94,'январь 2023'!$J$4:$J$508,AF$1)</f>
        <v>0</v>
      </c>
      <c r="AG94" s="207">
        <f>SUMIFS('январь 2023'!$G$4:$G$508,'январь 2023'!$D$4:$D$508,$B94,'январь 2023'!$J$4:$J$508,AG$1)</f>
        <v>0</v>
      </c>
      <c r="AH94" s="207">
        <f>SUMIFS('январь 2023'!$G$4:$G$508,'январь 2023'!$D$4:$D$508,$B94,'январь 2023'!$J$4:$J$508,AH$1)</f>
        <v>0</v>
      </c>
      <c r="AI94" s="170">
        <f t="shared" si="2"/>
        <v>0</v>
      </c>
    </row>
    <row r="95" spans="2:35" ht="15" customHeight="1" x14ac:dyDescent="0.25">
      <c r="B95" s="212"/>
      <c r="C95" s="213"/>
      <c r="D95" s="207">
        <f>SUMIFS('январь 2023'!$G$4:$G$508,'январь 2023'!$D$4:$D$508,$B95,'январь 2023'!$J$4:$J$508,D$1)</f>
        <v>0</v>
      </c>
      <c r="E95" s="207">
        <f>SUMIFS('январь 2023'!$G$4:$G$508,'январь 2023'!$D$4:$D$508,$B95,'январь 2023'!$J$4:$J$508,E$1)</f>
        <v>0</v>
      </c>
      <c r="F95" s="207">
        <f>SUMIFS('январь 2023'!$G$4:$G$508,'январь 2023'!$D$4:$D$508,$B95,'январь 2023'!$J$4:$J$508,F$1)</f>
        <v>0</v>
      </c>
      <c r="G95" s="207">
        <f>SUMIFS('январь 2023'!$G$4:$G$508,'январь 2023'!$D$4:$D$508,$B95,'январь 2023'!$J$4:$J$508,G$1)</f>
        <v>0</v>
      </c>
      <c r="H95" s="207">
        <f>SUMIFS('январь 2023'!$G$4:$G$508,'январь 2023'!$D$4:$D$508,$B95,'январь 2023'!$J$4:$J$508,H$1)</f>
        <v>0</v>
      </c>
      <c r="I95" s="207">
        <f>SUMIFS('январь 2023'!$G$4:$G$508,'январь 2023'!$D$4:$D$508,$B95,'январь 2023'!$J$4:$J$508,I$1)</f>
        <v>0</v>
      </c>
      <c r="J95" s="207">
        <f>SUMIFS('январь 2023'!$G$4:$G$508,'январь 2023'!$D$4:$D$508,$B95,'январь 2023'!$J$4:$J$508,J$1)</f>
        <v>0</v>
      </c>
      <c r="K95" s="207">
        <f>SUMIFS('январь 2023'!$G$4:$G$508,'январь 2023'!$D$4:$D$508,$B95,'январь 2023'!$J$4:$J$508,K$1)</f>
        <v>0</v>
      </c>
      <c r="L95" s="207">
        <f>SUMIFS('январь 2023'!$G$4:$G$508,'январь 2023'!$D$4:$D$508,$B95,'январь 2023'!$J$4:$J$508,L$1)</f>
        <v>0</v>
      </c>
      <c r="M95" s="207">
        <f>SUMIFS('январь 2023'!$G$4:$G$508,'январь 2023'!$D$4:$D$508,$B95,'январь 2023'!$J$4:$J$508,M$1)</f>
        <v>0</v>
      </c>
      <c r="N95" s="207">
        <f>SUMIFS('январь 2023'!$G$4:$G$508,'январь 2023'!$D$4:$D$508,$B95,'январь 2023'!$J$4:$J$508,N$1)</f>
        <v>0</v>
      </c>
      <c r="O95" s="207">
        <f>SUMIFS('январь 2023'!$G$4:$G$508,'январь 2023'!$D$4:$D$508,$B95,'январь 2023'!$J$4:$J$508,O$1)</f>
        <v>0</v>
      </c>
      <c r="P95" s="207">
        <f>SUMIFS('январь 2023'!$G$4:$G$508,'январь 2023'!$D$4:$D$508,$B95,'январь 2023'!$J$4:$J$508,P$1)</f>
        <v>0</v>
      </c>
      <c r="Q95" s="207">
        <f>SUMIFS('январь 2023'!$G$4:$G$508,'январь 2023'!$D$4:$D$508,$B95,'январь 2023'!$J$4:$J$508,Q$1)</f>
        <v>0</v>
      </c>
      <c r="R95" s="207">
        <f>SUMIFS('январь 2023'!$G$4:$G$508,'январь 2023'!$D$4:$D$508,$B95,'январь 2023'!$J$4:$J$508,R$1)</f>
        <v>0</v>
      </c>
      <c r="S95" s="207">
        <f>SUMIFS('январь 2023'!$G$4:$G$508,'январь 2023'!$D$4:$D$508,$B95,'январь 2023'!$J$4:$J$508,S$1)</f>
        <v>0</v>
      </c>
      <c r="T95" s="207">
        <f>SUMIFS('январь 2023'!$G$4:$G$508,'январь 2023'!$D$4:$D$508,$B95,'январь 2023'!$J$4:$J$508,T$1)</f>
        <v>0</v>
      </c>
      <c r="U95" s="207">
        <f>SUMIFS('январь 2023'!$G$4:$G$508,'январь 2023'!$D$4:$D$508,$B95,'январь 2023'!$J$4:$J$508,U$1)</f>
        <v>0</v>
      </c>
      <c r="V95" s="207">
        <f>SUMIFS('январь 2023'!$G$4:$G$508,'январь 2023'!$D$4:$D$508,$B95,'январь 2023'!$J$4:$J$508,V$1)</f>
        <v>0</v>
      </c>
      <c r="W95" s="207">
        <f>SUMIFS('январь 2023'!$G$4:$G$508,'январь 2023'!$D$4:$D$508,$B95,'январь 2023'!$J$4:$J$508,W$1)</f>
        <v>0</v>
      </c>
      <c r="X95" s="207">
        <f>SUMIFS('январь 2023'!$G$4:$G$508,'январь 2023'!$D$4:$D$508,$B95,'январь 2023'!$J$4:$J$508,X$1)</f>
        <v>0</v>
      </c>
      <c r="Y95" s="207">
        <f>SUMIFS('январь 2023'!$G$4:$G$508,'январь 2023'!$D$4:$D$508,$B95,'январь 2023'!$J$4:$J$508,Y$1)</f>
        <v>0</v>
      </c>
      <c r="Z95" s="207">
        <f>SUMIFS('январь 2023'!$G$4:$G$508,'январь 2023'!$D$4:$D$508,$B95,'январь 2023'!$J$4:$J$508,Z$1)</f>
        <v>0</v>
      </c>
      <c r="AA95" s="207">
        <f>SUMIFS('январь 2023'!$G$4:$G$508,'январь 2023'!$D$4:$D$508,$B95,'январь 2023'!$J$4:$J$508,AA$1)</f>
        <v>0</v>
      </c>
      <c r="AB95" s="207">
        <f>SUMIFS('январь 2023'!$G$4:$G$508,'январь 2023'!$D$4:$D$508,$B95,'январь 2023'!$J$4:$J$508,AB$1)</f>
        <v>0</v>
      </c>
      <c r="AC95" s="207">
        <f>SUMIFS('январь 2023'!$G$4:$G$508,'январь 2023'!$D$4:$D$508,$B95,'январь 2023'!$J$4:$J$508,AC$1)</f>
        <v>0</v>
      </c>
      <c r="AD95" s="207">
        <f>SUMIFS('январь 2023'!$G$4:$G$508,'январь 2023'!$D$4:$D$508,$B95,'январь 2023'!$J$4:$J$508,AD$1)</f>
        <v>0</v>
      </c>
      <c r="AE95" s="207">
        <f>SUMIFS('январь 2023'!$G$4:$G$508,'январь 2023'!$D$4:$D$508,$B95,'январь 2023'!$J$4:$J$508,AE$1)</f>
        <v>0</v>
      </c>
      <c r="AF95" s="207">
        <f>SUMIFS('январь 2023'!$G$4:$G$508,'январь 2023'!$D$4:$D$508,$B95,'январь 2023'!$J$4:$J$508,AF$1)</f>
        <v>0</v>
      </c>
      <c r="AG95" s="207">
        <f>SUMIFS('январь 2023'!$G$4:$G$508,'январь 2023'!$D$4:$D$508,$B95,'январь 2023'!$J$4:$J$508,AG$1)</f>
        <v>0</v>
      </c>
      <c r="AH95" s="207">
        <f>SUMIFS('январь 2023'!$G$4:$G$508,'январь 2023'!$D$4:$D$508,$B95,'январь 2023'!$J$4:$J$508,AH$1)</f>
        <v>0</v>
      </c>
      <c r="AI95" s="170">
        <f t="shared" si="2"/>
        <v>0</v>
      </c>
    </row>
    <row r="96" spans="2:35" ht="15" customHeight="1" x14ac:dyDescent="0.25">
      <c r="B96" s="212"/>
      <c r="C96" s="213"/>
      <c r="D96" s="207">
        <f>SUMIFS('январь 2023'!$G$4:$G$508,'январь 2023'!$D$4:$D$508,$B96,'январь 2023'!$J$4:$J$508,D$1)</f>
        <v>0</v>
      </c>
      <c r="E96" s="207">
        <f>SUMIFS('январь 2023'!$G$4:$G$508,'январь 2023'!$D$4:$D$508,$B96,'январь 2023'!$J$4:$J$508,E$1)</f>
        <v>0</v>
      </c>
      <c r="F96" s="207">
        <f>SUMIFS('январь 2023'!$G$4:$G$508,'январь 2023'!$D$4:$D$508,$B96,'январь 2023'!$J$4:$J$508,F$1)</f>
        <v>0</v>
      </c>
      <c r="G96" s="207">
        <f>SUMIFS('январь 2023'!$G$4:$G$508,'январь 2023'!$D$4:$D$508,$B96,'январь 2023'!$J$4:$J$508,G$1)</f>
        <v>0</v>
      </c>
      <c r="H96" s="207">
        <f>SUMIFS('январь 2023'!$G$4:$G$508,'январь 2023'!$D$4:$D$508,$B96,'январь 2023'!$J$4:$J$508,H$1)</f>
        <v>0</v>
      </c>
      <c r="I96" s="207">
        <f>SUMIFS('январь 2023'!$G$4:$G$508,'январь 2023'!$D$4:$D$508,$B96,'январь 2023'!$J$4:$J$508,I$1)</f>
        <v>0</v>
      </c>
      <c r="J96" s="207">
        <f>SUMIFS('январь 2023'!$G$4:$G$508,'январь 2023'!$D$4:$D$508,$B96,'январь 2023'!$J$4:$J$508,J$1)</f>
        <v>0</v>
      </c>
      <c r="K96" s="207">
        <f>SUMIFS('январь 2023'!$G$4:$G$508,'январь 2023'!$D$4:$D$508,$B96,'январь 2023'!$J$4:$J$508,K$1)</f>
        <v>0</v>
      </c>
      <c r="L96" s="207">
        <f>SUMIFS('январь 2023'!$G$4:$G$508,'январь 2023'!$D$4:$D$508,$B96,'январь 2023'!$J$4:$J$508,L$1)</f>
        <v>0</v>
      </c>
      <c r="M96" s="207">
        <f>SUMIFS('январь 2023'!$G$4:$G$508,'январь 2023'!$D$4:$D$508,$B96,'январь 2023'!$J$4:$J$508,M$1)</f>
        <v>0</v>
      </c>
      <c r="N96" s="207">
        <f>SUMIFS('январь 2023'!$G$4:$G$508,'январь 2023'!$D$4:$D$508,$B96,'январь 2023'!$J$4:$J$508,N$1)</f>
        <v>0</v>
      </c>
      <c r="O96" s="207">
        <f>SUMIFS('январь 2023'!$G$4:$G$508,'январь 2023'!$D$4:$D$508,$B96,'январь 2023'!$J$4:$J$508,O$1)</f>
        <v>0</v>
      </c>
      <c r="P96" s="207">
        <f>SUMIFS('январь 2023'!$G$4:$G$508,'январь 2023'!$D$4:$D$508,$B96,'январь 2023'!$J$4:$J$508,P$1)</f>
        <v>0</v>
      </c>
      <c r="Q96" s="207">
        <f>SUMIFS('январь 2023'!$G$4:$G$508,'январь 2023'!$D$4:$D$508,$B96,'январь 2023'!$J$4:$J$508,Q$1)</f>
        <v>0</v>
      </c>
      <c r="R96" s="207">
        <f>SUMIFS('январь 2023'!$G$4:$G$508,'январь 2023'!$D$4:$D$508,$B96,'январь 2023'!$J$4:$J$508,R$1)</f>
        <v>0</v>
      </c>
      <c r="S96" s="207">
        <f>SUMIFS('январь 2023'!$G$4:$G$508,'январь 2023'!$D$4:$D$508,$B96,'январь 2023'!$J$4:$J$508,S$1)</f>
        <v>0</v>
      </c>
      <c r="T96" s="207">
        <f>SUMIFS('январь 2023'!$G$4:$G$508,'январь 2023'!$D$4:$D$508,$B96,'январь 2023'!$J$4:$J$508,T$1)</f>
        <v>0</v>
      </c>
      <c r="U96" s="207">
        <f>SUMIFS('январь 2023'!$G$4:$G$508,'январь 2023'!$D$4:$D$508,$B96,'январь 2023'!$J$4:$J$508,U$1)</f>
        <v>0</v>
      </c>
      <c r="V96" s="207">
        <f>SUMIFS('январь 2023'!$G$4:$G$508,'январь 2023'!$D$4:$D$508,$B96,'январь 2023'!$J$4:$J$508,V$1)</f>
        <v>0</v>
      </c>
      <c r="W96" s="207">
        <f>SUMIFS('январь 2023'!$G$4:$G$508,'январь 2023'!$D$4:$D$508,$B96,'январь 2023'!$J$4:$J$508,W$1)</f>
        <v>0</v>
      </c>
      <c r="X96" s="207">
        <f>SUMIFS('январь 2023'!$G$4:$G$508,'январь 2023'!$D$4:$D$508,$B96,'январь 2023'!$J$4:$J$508,X$1)</f>
        <v>0</v>
      </c>
      <c r="Y96" s="207">
        <f>SUMIFS('январь 2023'!$G$4:$G$508,'январь 2023'!$D$4:$D$508,$B96,'январь 2023'!$J$4:$J$508,Y$1)</f>
        <v>0</v>
      </c>
      <c r="Z96" s="207">
        <f>SUMIFS('январь 2023'!$G$4:$G$508,'январь 2023'!$D$4:$D$508,$B96,'январь 2023'!$J$4:$J$508,Z$1)</f>
        <v>0</v>
      </c>
      <c r="AA96" s="207">
        <f>SUMIFS('январь 2023'!$G$4:$G$508,'январь 2023'!$D$4:$D$508,$B96,'январь 2023'!$J$4:$J$508,AA$1)</f>
        <v>0</v>
      </c>
      <c r="AB96" s="207">
        <f>SUMIFS('январь 2023'!$G$4:$G$508,'январь 2023'!$D$4:$D$508,$B96,'январь 2023'!$J$4:$J$508,AB$1)</f>
        <v>0</v>
      </c>
      <c r="AC96" s="207">
        <f>SUMIFS('январь 2023'!$G$4:$G$508,'январь 2023'!$D$4:$D$508,$B96,'январь 2023'!$J$4:$J$508,AC$1)</f>
        <v>0</v>
      </c>
      <c r="AD96" s="207">
        <f>SUMIFS('январь 2023'!$G$4:$G$508,'январь 2023'!$D$4:$D$508,$B96,'январь 2023'!$J$4:$J$508,AD$1)</f>
        <v>0</v>
      </c>
      <c r="AE96" s="207">
        <f>SUMIFS('январь 2023'!$G$4:$G$508,'январь 2023'!$D$4:$D$508,$B96,'январь 2023'!$J$4:$J$508,AE$1)</f>
        <v>0</v>
      </c>
      <c r="AF96" s="207">
        <f>SUMIFS('январь 2023'!$G$4:$G$508,'январь 2023'!$D$4:$D$508,$B96,'январь 2023'!$J$4:$J$508,AF$1)</f>
        <v>0</v>
      </c>
      <c r="AG96" s="207">
        <f>SUMIFS('январь 2023'!$G$4:$G$508,'январь 2023'!$D$4:$D$508,$B96,'январь 2023'!$J$4:$J$508,AG$1)</f>
        <v>0</v>
      </c>
      <c r="AH96" s="207">
        <f>SUMIFS('январь 2023'!$G$4:$G$508,'январь 2023'!$D$4:$D$508,$B96,'январь 2023'!$J$4:$J$508,AH$1)</f>
        <v>0</v>
      </c>
      <c r="AI96" s="170">
        <f t="shared" si="2"/>
        <v>0</v>
      </c>
    </row>
    <row r="97" spans="2:35" ht="15" customHeight="1" x14ac:dyDescent="0.25">
      <c r="B97" s="216" t="s">
        <v>2196</v>
      </c>
      <c r="C97" s="213">
        <v>20</v>
      </c>
      <c r="D97" s="207">
        <f>SUMIFS('январь 2023'!$G$4:$G$508,'январь 2023'!$D$4:$D$508,$B97,'январь 2023'!$J$4:$J$508,D$1)</f>
        <v>0</v>
      </c>
      <c r="E97" s="207">
        <f>SUMIFS('январь 2023'!$G$4:$G$508,'январь 2023'!$D$4:$D$508,$B97,'январь 2023'!$J$4:$J$508,E$1)</f>
        <v>0</v>
      </c>
      <c r="F97" s="207">
        <f>SUMIFS('январь 2023'!$G$4:$G$508,'январь 2023'!$D$4:$D$508,$B97,'январь 2023'!$J$4:$J$508,F$1)</f>
        <v>0</v>
      </c>
      <c r="G97" s="207">
        <f>SUMIFS('январь 2023'!$G$4:$G$508,'январь 2023'!$D$4:$D$508,$B97,'январь 2023'!$J$4:$J$508,G$1)</f>
        <v>0</v>
      </c>
      <c r="H97" s="207">
        <f>SUMIFS('январь 2023'!$G$4:$G$508,'январь 2023'!$D$4:$D$508,$B97,'январь 2023'!$J$4:$J$508,H$1)</f>
        <v>0</v>
      </c>
      <c r="I97" s="207">
        <f>SUMIFS('январь 2023'!$G$4:$G$508,'январь 2023'!$D$4:$D$508,$B97,'январь 2023'!$J$4:$J$508,I$1)</f>
        <v>0</v>
      </c>
      <c r="J97" s="207">
        <f>SUMIFS('январь 2023'!$G$4:$G$508,'январь 2023'!$D$4:$D$508,$B97,'январь 2023'!$J$4:$J$508,J$1)</f>
        <v>0</v>
      </c>
      <c r="K97" s="207">
        <f>SUMIFS('январь 2023'!$G$4:$G$508,'январь 2023'!$D$4:$D$508,$B97,'январь 2023'!$J$4:$J$508,K$1)</f>
        <v>0</v>
      </c>
      <c r="L97" s="207">
        <f>SUMIFS('январь 2023'!$G$4:$G$508,'январь 2023'!$D$4:$D$508,$B97,'январь 2023'!$J$4:$J$508,L$1)</f>
        <v>0</v>
      </c>
      <c r="M97" s="207">
        <f>SUMIFS('январь 2023'!$G$4:$G$508,'январь 2023'!$D$4:$D$508,$B97,'январь 2023'!$J$4:$J$508,M$1)</f>
        <v>0</v>
      </c>
      <c r="N97" s="207">
        <f>SUMIFS('январь 2023'!$G$4:$G$508,'январь 2023'!$D$4:$D$508,$B97,'январь 2023'!$J$4:$J$508,N$1)</f>
        <v>0</v>
      </c>
      <c r="O97" s="207">
        <f>SUMIFS('январь 2023'!$G$4:$G$508,'январь 2023'!$D$4:$D$508,$B97,'январь 2023'!$J$4:$J$508,O$1)</f>
        <v>0</v>
      </c>
      <c r="P97" s="207">
        <f>SUMIFS('январь 2023'!$G$4:$G$508,'январь 2023'!$D$4:$D$508,$B97,'январь 2023'!$J$4:$J$508,P$1)</f>
        <v>0</v>
      </c>
      <c r="Q97" s="207">
        <f>SUMIFS('январь 2023'!$G$4:$G$508,'январь 2023'!$D$4:$D$508,$B97,'январь 2023'!$J$4:$J$508,Q$1)</f>
        <v>0</v>
      </c>
      <c r="R97" s="207">
        <f>SUMIFS('январь 2023'!$G$4:$G$508,'январь 2023'!$D$4:$D$508,$B97,'январь 2023'!$J$4:$J$508,R$1)</f>
        <v>0</v>
      </c>
      <c r="S97" s="207">
        <f>SUMIFS('январь 2023'!$G$4:$G$508,'январь 2023'!$D$4:$D$508,$B97,'январь 2023'!$J$4:$J$508,S$1)</f>
        <v>0</v>
      </c>
      <c r="T97" s="207">
        <f>SUMIFS('январь 2023'!$G$4:$G$508,'январь 2023'!$D$4:$D$508,$B97,'январь 2023'!$J$4:$J$508,T$1)</f>
        <v>0</v>
      </c>
      <c r="U97" s="207">
        <f>SUMIFS('январь 2023'!$G$4:$G$508,'январь 2023'!$D$4:$D$508,$B97,'январь 2023'!$J$4:$J$508,U$1)</f>
        <v>0</v>
      </c>
      <c r="V97" s="207">
        <f>SUMIFS('январь 2023'!$G$4:$G$508,'январь 2023'!$D$4:$D$508,$B97,'январь 2023'!$J$4:$J$508,V$1)</f>
        <v>0</v>
      </c>
      <c r="W97" s="207">
        <f>SUMIFS('январь 2023'!$G$4:$G$508,'январь 2023'!$D$4:$D$508,$B97,'январь 2023'!$J$4:$J$508,W$1)</f>
        <v>0</v>
      </c>
      <c r="X97" s="207">
        <f>SUMIFS('январь 2023'!$G$4:$G$508,'январь 2023'!$D$4:$D$508,$B97,'январь 2023'!$J$4:$J$508,X$1)</f>
        <v>0</v>
      </c>
      <c r="Y97" s="207">
        <f>SUMIFS('январь 2023'!$G$4:$G$508,'январь 2023'!$D$4:$D$508,$B97,'январь 2023'!$J$4:$J$508,Y$1)</f>
        <v>0</v>
      </c>
      <c r="Z97" s="207">
        <f>SUMIFS('январь 2023'!$G$4:$G$508,'январь 2023'!$D$4:$D$508,$B97,'январь 2023'!$J$4:$J$508,Z$1)</f>
        <v>0</v>
      </c>
      <c r="AA97" s="207">
        <f>SUMIFS('январь 2023'!$G$4:$G$508,'январь 2023'!$D$4:$D$508,$B97,'январь 2023'!$J$4:$J$508,AA$1)</f>
        <v>0</v>
      </c>
      <c r="AB97" s="207">
        <f>SUMIFS('январь 2023'!$G$4:$G$508,'январь 2023'!$D$4:$D$508,$B97,'январь 2023'!$J$4:$J$508,AB$1)</f>
        <v>0</v>
      </c>
      <c r="AC97" s="207">
        <f>SUMIFS('январь 2023'!$G$4:$G$508,'январь 2023'!$D$4:$D$508,$B97,'январь 2023'!$J$4:$J$508,AC$1)</f>
        <v>0</v>
      </c>
      <c r="AD97" s="207">
        <f>SUMIFS('январь 2023'!$G$4:$G$508,'январь 2023'!$D$4:$D$508,$B97,'январь 2023'!$J$4:$J$508,AD$1)</f>
        <v>0</v>
      </c>
      <c r="AE97" s="207">
        <f>SUMIFS('январь 2023'!$G$4:$G$508,'январь 2023'!$D$4:$D$508,$B97,'январь 2023'!$J$4:$J$508,AE$1)</f>
        <v>0</v>
      </c>
      <c r="AF97" s="207">
        <f>SUMIFS('январь 2023'!$G$4:$G$508,'январь 2023'!$D$4:$D$508,$B97,'январь 2023'!$J$4:$J$508,AF$1)</f>
        <v>0</v>
      </c>
      <c r="AG97" s="207">
        <f>SUMIFS('январь 2023'!$G$4:$G$508,'январь 2023'!$D$4:$D$508,$B97,'январь 2023'!$J$4:$J$508,AG$1)</f>
        <v>0</v>
      </c>
      <c r="AH97" s="207">
        <f>SUMIFS('январь 2023'!$G$4:$G$508,'январь 2023'!$D$4:$D$508,$B97,'январь 2023'!$J$4:$J$508,AH$1)</f>
        <v>0</v>
      </c>
      <c r="AI97" s="170">
        <f t="shared" si="2"/>
        <v>0</v>
      </c>
    </row>
    <row r="98" spans="2:35" ht="16.899999999999999" customHeight="1" x14ac:dyDescent="0.25">
      <c r="B98" s="212" t="s">
        <v>2197</v>
      </c>
      <c r="C98" s="211">
        <v>20</v>
      </c>
      <c r="D98" s="207">
        <f>SUMIFS('январь 2023'!$G$4:$G$508,'январь 2023'!$D$4:$D$508,$B98,'январь 2023'!$J$4:$J$508,D$1)</f>
        <v>0</v>
      </c>
      <c r="E98" s="207">
        <f>SUMIFS('январь 2023'!$G$4:$G$508,'январь 2023'!$D$4:$D$508,$B98,'январь 2023'!$J$4:$J$508,E$1)</f>
        <v>0</v>
      </c>
      <c r="F98" s="207">
        <f>SUMIFS('январь 2023'!$G$4:$G$508,'январь 2023'!$D$4:$D$508,$B98,'январь 2023'!$J$4:$J$508,F$1)</f>
        <v>0</v>
      </c>
      <c r="G98" s="207">
        <f>SUMIFS('январь 2023'!$G$4:$G$508,'январь 2023'!$D$4:$D$508,$B98,'январь 2023'!$J$4:$J$508,G$1)</f>
        <v>0</v>
      </c>
      <c r="H98" s="207">
        <f>SUMIFS('январь 2023'!$G$4:$G$508,'январь 2023'!$D$4:$D$508,$B98,'январь 2023'!$J$4:$J$508,H$1)</f>
        <v>0</v>
      </c>
      <c r="I98" s="207">
        <f>SUMIFS('январь 2023'!$G$4:$G$508,'январь 2023'!$D$4:$D$508,$B98,'январь 2023'!$J$4:$J$508,I$1)</f>
        <v>0</v>
      </c>
      <c r="J98" s="207">
        <f>SUMIFS('январь 2023'!$G$4:$G$508,'январь 2023'!$D$4:$D$508,$B98,'январь 2023'!$J$4:$J$508,J$1)</f>
        <v>0</v>
      </c>
      <c r="K98" s="207">
        <f>SUMIFS('январь 2023'!$G$4:$G$508,'январь 2023'!$D$4:$D$508,$B98,'январь 2023'!$J$4:$J$508,K$1)</f>
        <v>0</v>
      </c>
      <c r="L98" s="207">
        <f>SUMIFS('январь 2023'!$G$4:$G$508,'январь 2023'!$D$4:$D$508,$B98,'январь 2023'!$J$4:$J$508,L$1)</f>
        <v>0</v>
      </c>
      <c r="M98" s="207">
        <f>SUMIFS('январь 2023'!$G$4:$G$508,'январь 2023'!$D$4:$D$508,$B98,'январь 2023'!$J$4:$J$508,M$1)</f>
        <v>0</v>
      </c>
      <c r="N98" s="207">
        <f>SUMIFS('январь 2023'!$G$4:$G$508,'январь 2023'!$D$4:$D$508,$B98,'январь 2023'!$J$4:$J$508,N$1)</f>
        <v>0</v>
      </c>
      <c r="O98" s="207">
        <f>SUMIFS('январь 2023'!$G$4:$G$508,'январь 2023'!$D$4:$D$508,$B98,'январь 2023'!$J$4:$J$508,O$1)</f>
        <v>0</v>
      </c>
      <c r="P98" s="207">
        <f>SUMIFS('январь 2023'!$G$4:$G$508,'январь 2023'!$D$4:$D$508,$B98,'январь 2023'!$J$4:$J$508,P$1)</f>
        <v>0</v>
      </c>
      <c r="Q98" s="207">
        <f>SUMIFS('январь 2023'!$G$4:$G$508,'январь 2023'!$D$4:$D$508,$B98,'январь 2023'!$J$4:$J$508,Q$1)</f>
        <v>0</v>
      </c>
      <c r="R98" s="207">
        <f>SUMIFS('январь 2023'!$G$4:$G$508,'январь 2023'!$D$4:$D$508,$B98,'январь 2023'!$J$4:$J$508,R$1)</f>
        <v>0</v>
      </c>
      <c r="S98" s="207">
        <f>SUMIFS('январь 2023'!$G$4:$G$508,'январь 2023'!$D$4:$D$508,$B98,'январь 2023'!$J$4:$J$508,S$1)</f>
        <v>0</v>
      </c>
      <c r="T98" s="207">
        <f>SUMIFS('январь 2023'!$G$4:$G$508,'январь 2023'!$D$4:$D$508,$B98,'январь 2023'!$J$4:$J$508,T$1)</f>
        <v>0</v>
      </c>
      <c r="U98" s="207">
        <f>SUMIFS('январь 2023'!$G$4:$G$508,'январь 2023'!$D$4:$D$508,$B98,'январь 2023'!$J$4:$J$508,U$1)</f>
        <v>0</v>
      </c>
      <c r="V98" s="207">
        <f>SUMIFS('январь 2023'!$G$4:$G$508,'январь 2023'!$D$4:$D$508,$B98,'январь 2023'!$J$4:$J$508,V$1)</f>
        <v>0</v>
      </c>
      <c r="W98" s="207">
        <f>SUMIFS('январь 2023'!$G$4:$G$508,'январь 2023'!$D$4:$D$508,$B98,'январь 2023'!$J$4:$J$508,W$1)</f>
        <v>0</v>
      </c>
      <c r="X98" s="207">
        <f>SUMIFS('январь 2023'!$G$4:$G$508,'январь 2023'!$D$4:$D$508,$B98,'январь 2023'!$J$4:$J$508,X$1)</f>
        <v>0</v>
      </c>
      <c r="Y98" s="207">
        <f>SUMIFS('январь 2023'!$G$4:$G$508,'январь 2023'!$D$4:$D$508,$B98,'январь 2023'!$J$4:$J$508,Y$1)</f>
        <v>0</v>
      </c>
      <c r="Z98" s="207">
        <f>SUMIFS('январь 2023'!$G$4:$G$508,'январь 2023'!$D$4:$D$508,$B98,'январь 2023'!$J$4:$J$508,Z$1)</f>
        <v>0</v>
      </c>
      <c r="AA98" s="207">
        <f>SUMIFS('январь 2023'!$G$4:$G$508,'январь 2023'!$D$4:$D$508,$B98,'январь 2023'!$J$4:$J$508,AA$1)</f>
        <v>0</v>
      </c>
      <c r="AB98" s="207">
        <f>SUMIFS('январь 2023'!$G$4:$G$508,'январь 2023'!$D$4:$D$508,$B98,'январь 2023'!$J$4:$J$508,AB$1)</f>
        <v>0</v>
      </c>
      <c r="AC98" s="207">
        <f>SUMIFS('январь 2023'!$G$4:$G$508,'январь 2023'!$D$4:$D$508,$B98,'январь 2023'!$J$4:$J$508,AC$1)</f>
        <v>0</v>
      </c>
      <c r="AD98" s="207">
        <f>SUMIFS('январь 2023'!$G$4:$G$508,'январь 2023'!$D$4:$D$508,$B98,'январь 2023'!$J$4:$J$508,AD$1)</f>
        <v>0</v>
      </c>
      <c r="AE98" s="207">
        <f>SUMIFS('январь 2023'!$G$4:$G$508,'январь 2023'!$D$4:$D$508,$B98,'январь 2023'!$J$4:$J$508,AE$1)</f>
        <v>0</v>
      </c>
      <c r="AF98" s="207">
        <f>SUMIFS('январь 2023'!$G$4:$G$508,'январь 2023'!$D$4:$D$508,$B98,'январь 2023'!$J$4:$J$508,AF$1)</f>
        <v>0</v>
      </c>
      <c r="AG98" s="207">
        <f>SUMIFS('январь 2023'!$G$4:$G$508,'январь 2023'!$D$4:$D$508,$B98,'январь 2023'!$J$4:$J$508,AG$1)</f>
        <v>0</v>
      </c>
      <c r="AH98" s="207">
        <f>SUMIFS('январь 2023'!$G$4:$G$508,'январь 2023'!$D$4:$D$508,$B98,'январь 2023'!$J$4:$J$508,AH$1)</f>
        <v>0</v>
      </c>
      <c r="AI98" s="170">
        <f t="shared" si="2"/>
        <v>0</v>
      </c>
    </row>
    <row r="99" spans="2:35" ht="15" customHeight="1" x14ac:dyDescent="0.25">
      <c r="B99" s="212" t="s">
        <v>147</v>
      </c>
      <c r="C99" s="211">
        <v>200</v>
      </c>
      <c r="D99" s="207">
        <f>SUMIFS('январь 2023'!$G$4:$G$508,'январь 2023'!$D$4:$D$508,$B99,'январь 2023'!$J$4:$J$508,D$1)</f>
        <v>0</v>
      </c>
      <c r="E99" s="207">
        <f>SUMIFS('январь 2023'!$G$4:$G$508,'январь 2023'!$D$4:$D$508,$B99,'январь 2023'!$J$4:$J$508,E$1)</f>
        <v>0</v>
      </c>
      <c r="F99" s="207">
        <f>SUMIFS('январь 2023'!$G$4:$G$508,'январь 2023'!$D$4:$D$508,$B99,'январь 2023'!$J$4:$J$508,F$1)</f>
        <v>0</v>
      </c>
      <c r="G99" s="207">
        <f>SUMIFS('январь 2023'!$G$4:$G$508,'январь 2023'!$D$4:$D$508,$B99,'январь 2023'!$J$4:$J$508,G$1)</f>
        <v>0</v>
      </c>
      <c r="H99" s="207">
        <f>SUMIFS('январь 2023'!$G$4:$G$508,'январь 2023'!$D$4:$D$508,$B99,'январь 2023'!$J$4:$J$508,H$1)</f>
        <v>0</v>
      </c>
      <c r="I99" s="207">
        <f>SUMIFS('январь 2023'!$G$4:$G$508,'январь 2023'!$D$4:$D$508,$B99,'январь 2023'!$J$4:$J$508,I$1)</f>
        <v>0</v>
      </c>
      <c r="J99" s="207">
        <f>SUMIFS('январь 2023'!$G$4:$G$508,'январь 2023'!$D$4:$D$508,$B99,'январь 2023'!$J$4:$J$508,J$1)</f>
        <v>0</v>
      </c>
      <c r="K99" s="207">
        <f>SUMIFS('январь 2023'!$G$4:$G$508,'январь 2023'!$D$4:$D$508,$B99,'январь 2023'!$J$4:$J$508,K$1)</f>
        <v>0</v>
      </c>
      <c r="L99" s="207">
        <f>SUMIFS('январь 2023'!$G$4:$G$508,'январь 2023'!$D$4:$D$508,$B99,'январь 2023'!$J$4:$J$508,L$1)</f>
        <v>0</v>
      </c>
      <c r="M99" s="207">
        <f>SUMIFS('январь 2023'!$G$4:$G$508,'январь 2023'!$D$4:$D$508,$B99,'январь 2023'!$J$4:$J$508,M$1)</f>
        <v>0</v>
      </c>
      <c r="N99" s="207">
        <f>SUMIFS('январь 2023'!$G$4:$G$508,'январь 2023'!$D$4:$D$508,$B99,'январь 2023'!$J$4:$J$508,N$1)</f>
        <v>0</v>
      </c>
      <c r="O99" s="207">
        <f>SUMIFS('январь 2023'!$G$4:$G$508,'январь 2023'!$D$4:$D$508,$B99,'январь 2023'!$J$4:$J$508,O$1)</f>
        <v>0</v>
      </c>
      <c r="P99" s="207">
        <f>SUMIFS('январь 2023'!$G$4:$G$508,'январь 2023'!$D$4:$D$508,$B99,'январь 2023'!$J$4:$J$508,P$1)</f>
        <v>0</v>
      </c>
      <c r="Q99" s="207">
        <f>SUMIFS('январь 2023'!$G$4:$G$508,'январь 2023'!$D$4:$D$508,$B99,'январь 2023'!$J$4:$J$508,Q$1)</f>
        <v>0</v>
      </c>
      <c r="R99" s="207">
        <f>SUMIFS('январь 2023'!$G$4:$G$508,'январь 2023'!$D$4:$D$508,$B99,'январь 2023'!$J$4:$J$508,R$1)</f>
        <v>0</v>
      </c>
      <c r="S99" s="207">
        <f>SUMIFS('январь 2023'!$G$4:$G$508,'январь 2023'!$D$4:$D$508,$B99,'январь 2023'!$J$4:$J$508,S$1)</f>
        <v>0</v>
      </c>
      <c r="T99" s="207">
        <f>SUMIFS('январь 2023'!$G$4:$G$508,'январь 2023'!$D$4:$D$508,$B99,'январь 2023'!$J$4:$J$508,T$1)</f>
        <v>0</v>
      </c>
      <c r="U99" s="207">
        <f>SUMIFS('январь 2023'!$G$4:$G$508,'январь 2023'!$D$4:$D$508,$B99,'январь 2023'!$J$4:$J$508,U$1)</f>
        <v>0</v>
      </c>
      <c r="V99" s="207">
        <f>SUMIFS('январь 2023'!$G$4:$G$508,'январь 2023'!$D$4:$D$508,$B99,'январь 2023'!$J$4:$J$508,V$1)</f>
        <v>0</v>
      </c>
      <c r="W99" s="207">
        <f>SUMIFS('январь 2023'!$G$4:$G$508,'январь 2023'!$D$4:$D$508,$B99,'январь 2023'!$J$4:$J$508,W$1)</f>
        <v>0</v>
      </c>
      <c r="X99" s="207">
        <f>SUMIFS('январь 2023'!$G$4:$G$508,'январь 2023'!$D$4:$D$508,$B99,'январь 2023'!$J$4:$J$508,X$1)</f>
        <v>0</v>
      </c>
      <c r="Y99" s="207">
        <f>SUMIFS('январь 2023'!$G$4:$G$508,'январь 2023'!$D$4:$D$508,$B99,'январь 2023'!$J$4:$J$508,Y$1)</f>
        <v>0</v>
      </c>
      <c r="Z99" s="207">
        <f>SUMIFS('январь 2023'!$G$4:$G$508,'январь 2023'!$D$4:$D$508,$B99,'январь 2023'!$J$4:$J$508,Z$1)</f>
        <v>0</v>
      </c>
      <c r="AA99" s="207">
        <f>SUMIFS('январь 2023'!$G$4:$G$508,'январь 2023'!$D$4:$D$508,$B99,'январь 2023'!$J$4:$J$508,AA$1)</f>
        <v>0</v>
      </c>
      <c r="AB99" s="207">
        <f>SUMIFS('январь 2023'!$G$4:$G$508,'январь 2023'!$D$4:$D$508,$B99,'январь 2023'!$J$4:$J$508,AB$1)</f>
        <v>0</v>
      </c>
      <c r="AC99" s="207">
        <f>SUMIFS('январь 2023'!$G$4:$G$508,'январь 2023'!$D$4:$D$508,$B99,'январь 2023'!$J$4:$J$508,AC$1)</f>
        <v>0</v>
      </c>
      <c r="AD99" s="207">
        <f>SUMIFS('январь 2023'!$G$4:$G$508,'январь 2023'!$D$4:$D$508,$B99,'январь 2023'!$J$4:$J$508,AD$1)</f>
        <v>0</v>
      </c>
      <c r="AE99" s="207">
        <f>SUMIFS('январь 2023'!$G$4:$G$508,'январь 2023'!$D$4:$D$508,$B99,'январь 2023'!$J$4:$J$508,AE$1)</f>
        <v>0</v>
      </c>
      <c r="AF99" s="207">
        <f>SUMIFS('январь 2023'!$G$4:$G$508,'январь 2023'!$D$4:$D$508,$B99,'январь 2023'!$J$4:$J$508,AF$1)</f>
        <v>0</v>
      </c>
      <c r="AG99" s="207">
        <f>SUMIFS('январь 2023'!$G$4:$G$508,'январь 2023'!$D$4:$D$508,$B99,'январь 2023'!$J$4:$J$508,AG$1)</f>
        <v>0</v>
      </c>
      <c r="AH99" s="207">
        <f>SUMIFS('январь 2023'!$G$4:$G$508,'январь 2023'!$D$4:$D$508,$B99,'январь 2023'!$J$4:$J$508,AH$1)</f>
        <v>0</v>
      </c>
      <c r="AI99" s="170">
        <f t="shared" si="2"/>
        <v>0</v>
      </c>
    </row>
    <row r="100" spans="2:35" ht="15" customHeight="1" x14ac:dyDescent="0.25">
      <c r="B100" s="212" t="s">
        <v>2198</v>
      </c>
      <c r="C100" s="211">
        <v>200</v>
      </c>
      <c r="D100" s="207">
        <f>SUMIFS('январь 2023'!$G$4:$G$508,'январь 2023'!$D$4:$D$508,$B100,'январь 2023'!$J$4:$J$508,D$1)</f>
        <v>0</v>
      </c>
      <c r="E100" s="207">
        <f>SUMIFS('январь 2023'!$G$4:$G$508,'январь 2023'!$D$4:$D$508,$B100,'январь 2023'!$J$4:$J$508,E$1)</f>
        <v>0</v>
      </c>
      <c r="F100" s="207">
        <f>SUMIFS('январь 2023'!$G$4:$G$508,'январь 2023'!$D$4:$D$508,$B100,'январь 2023'!$J$4:$J$508,F$1)</f>
        <v>0</v>
      </c>
      <c r="G100" s="207">
        <f>SUMIFS('январь 2023'!$G$4:$G$508,'январь 2023'!$D$4:$D$508,$B100,'январь 2023'!$J$4:$J$508,G$1)</f>
        <v>0</v>
      </c>
      <c r="H100" s="207">
        <f>SUMIFS('январь 2023'!$G$4:$G$508,'январь 2023'!$D$4:$D$508,$B100,'январь 2023'!$J$4:$J$508,H$1)</f>
        <v>0</v>
      </c>
      <c r="I100" s="207">
        <f>SUMIFS('январь 2023'!$G$4:$G$508,'январь 2023'!$D$4:$D$508,$B100,'январь 2023'!$J$4:$J$508,I$1)</f>
        <v>0</v>
      </c>
      <c r="J100" s="207">
        <f>SUMIFS('январь 2023'!$G$4:$G$508,'январь 2023'!$D$4:$D$508,$B100,'январь 2023'!$J$4:$J$508,J$1)</f>
        <v>0</v>
      </c>
      <c r="K100" s="207">
        <f>SUMIFS('январь 2023'!$G$4:$G$508,'январь 2023'!$D$4:$D$508,$B100,'январь 2023'!$J$4:$J$508,K$1)</f>
        <v>0</v>
      </c>
      <c r="L100" s="207">
        <f>SUMIFS('январь 2023'!$G$4:$G$508,'январь 2023'!$D$4:$D$508,$B100,'январь 2023'!$J$4:$J$508,L$1)</f>
        <v>0</v>
      </c>
      <c r="M100" s="207">
        <f>SUMIFS('январь 2023'!$G$4:$G$508,'январь 2023'!$D$4:$D$508,$B100,'январь 2023'!$J$4:$J$508,M$1)</f>
        <v>0</v>
      </c>
      <c r="N100" s="207">
        <f>SUMIFS('январь 2023'!$G$4:$G$508,'январь 2023'!$D$4:$D$508,$B100,'январь 2023'!$J$4:$J$508,N$1)</f>
        <v>0</v>
      </c>
      <c r="O100" s="207">
        <f>SUMIFS('январь 2023'!$G$4:$G$508,'январь 2023'!$D$4:$D$508,$B100,'январь 2023'!$J$4:$J$508,O$1)</f>
        <v>0</v>
      </c>
      <c r="P100" s="207">
        <f>SUMIFS('январь 2023'!$G$4:$G$508,'январь 2023'!$D$4:$D$508,$B100,'январь 2023'!$J$4:$J$508,P$1)</f>
        <v>0</v>
      </c>
      <c r="Q100" s="207">
        <f>SUMIFS('январь 2023'!$G$4:$G$508,'январь 2023'!$D$4:$D$508,$B100,'январь 2023'!$J$4:$J$508,Q$1)</f>
        <v>0</v>
      </c>
      <c r="R100" s="207">
        <f>SUMIFS('январь 2023'!$G$4:$G$508,'январь 2023'!$D$4:$D$508,$B100,'январь 2023'!$J$4:$J$508,R$1)</f>
        <v>0</v>
      </c>
      <c r="S100" s="207">
        <f>SUMIFS('январь 2023'!$G$4:$G$508,'январь 2023'!$D$4:$D$508,$B100,'январь 2023'!$J$4:$J$508,S$1)</f>
        <v>0</v>
      </c>
      <c r="T100" s="207">
        <f>SUMIFS('январь 2023'!$G$4:$G$508,'январь 2023'!$D$4:$D$508,$B100,'январь 2023'!$J$4:$J$508,T$1)</f>
        <v>0</v>
      </c>
      <c r="U100" s="207">
        <f>SUMIFS('январь 2023'!$G$4:$G$508,'январь 2023'!$D$4:$D$508,$B100,'январь 2023'!$J$4:$J$508,U$1)</f>
        <v>0</v>
      </c>
      <c r="V100" s="207">
        <f>SUMIFS('январь 2023'!$G$4:$G$508,'январь 2023'!$D$4:$D$508,$B100,'январь 2023'!$J$4:$J$508,V$1)</f>
        <v>0</v>
      </c>
      <c r="W100" s="207">
        <f>SUMIFS('январь 2023'!$G$4:$G$508,'январь 2023'!$D$4:$D$508,$B100,'январь 2023'!$J$4:$J$508,W$1)</f>
        <v>0</v>
      </c>
      <c r="X100" s="207">
        <f>SUMIFS('январь 2023'!$G$4:$G$508,'январь 2023'!$D$4:$D$508,$B100,'январь 2023'!$J$4:$J$508,X$1)</f>
        <v>0</v>
      </c>
      <c r="Y100" s="207">
        <f>SUMIFS('январь 2023'!$G$4:$G$508,'январь 2023'!$D$4:$D$508,$B100,'январь 2023'!$J$4:$J$508,Y$1)</f>
        <v>0</v>
      </c>
      <c r="Z100" s="207">
        <f>SUMIFS('январь 2023'!$G$4:$G$508,'январь 2023'!$D$4:$D$508,$B100,'январь 2023'!$J$4:$J$508,Z$1)</f>
        <v>0</v>
      </c>
      <c r="AA100" s="207">
        <f>SUMIFS('январь 2023'!$G$4:$G$508,'январь 2023'!$D$4:$D$508,$B100,'январь 2023'!$J$4:$J$508,AA$1)</f>
        <v>0</v>
      </c>
      <c r="AB100" s="207">
        <f>SUMIFS('январь 2023'!$G$4:$G$508,'январь 2023'!$D$4:$D$508,$B100,'январь 2023'!$J$4:$J$508,AB$1)</f>
        <v>0</v>
      </c>
      <c r="AC100" s="207">
        <f>SUMIFS('январь 2023'!$G$4:$G$508,'январь 2023'!$D$4:$D$508,$B100,'январь 2023'!$J$4:$J$508,AC$1)</f>
        <v>0</v>
      </c>
      <c r="AD100" s="207">
        <f>SUMIFS('январь 2023'!$G$4:$G$508,'январь 2023'!$D$4:$D$508,$B100,'январь 2023'!$J$4:$J$508,AD$1)</f>
        <v>0</v>
      </c>
      <c r="AE100" s="207">
        <f>SUMIFS('январь 2023'!$G$4:$G$508,'январь 2023'!$D$4:$D$508,$B100,'январь 2023'!$J$4:$J$508,AE$1)</f>
        <v>0</v>
      </c>
      <c r="AF100" s="207">
        <f>SUMIFS('январь 2023'!$G$4:$G$508,'январь 2023'!$D$4:$D$508,$B100,'январь 2023'!$J$4:$J$508,AF$1)</f>
        <v>0</v>
      </c>
      <c r="AG100" s="207">
        <f>SUMIFS('январь 2023'!$G$4:$G$508,'январь 2023'!$D$4:$D$508,$B100,'январь 2023'!$J$4:$J$508,AG$1)</f>
        <v>0</v>
      </c>
      <c r="AH100" s="207">
        <f>SUMIFS('январь 2023'!$G$4:$G$508,'январь 2023'!$D$4:$D$508,$B100,'январь 2023'!$J$4:$J$508,AH$1)</f>
        <v>0</v>
      </c>
      <c r="AI100" s="170">
        <f t="shared" si="2"/>
        <v>0</v>
      </c>
    </row>
    <row r="101" spans="2:35" ht="15" customHeight="1" x14ac:dyDescent="0.25">
      <c r="B101" s="212" t="s">
        <v>352</v>
      </c>
      <c r="C101" s="211">
        <v>200</v>
      </c>
      <c r="D101" s="207">
        <f>SUMIFS('январь 2023'!$G$4:$G$508,'январь 2023'!$D$4:$D$508,$B101,'январь 2023'!$J$4:$J$508,D$1)</f>
        <v>0</v>
      </c>
      <c r="E101" s="207">
        <f>SUMIFS('январь 2023'!$G$4:$G$508,'январь 2023'!$D$4:$D$508,$B101,'январь 2023'!$J$4:$J$508,E$1)</f>
        <v>0</v>
      </c>
      <c r="F101" s="207">
        <f>SUMIFS('январь 2023'!$G$4:$G$508,'январь 2023'!$D$4:$D$508,$B101,'январь 2023'!$J$4:$J$508,F$1)</f>
        <v>0</v>
      </c>
      <c r="G101" s="207">
        <f>SUMIFS('январь 2023'!$G$4:$G$508,'январь 2023'!$D$4:$D$508,$B101,'январь 2023'!$J$4:$J$508,G$1)</f>
        <v>0</v>
      </c>
      <c r="H101" s="207">
        <f>SUMIFS('январь 2023'!$G$4:$G$508,'январь 2023'!$D$4:$D$508,$B101,'январь 2023'!$J$4:$J$508,H$1)</f>
        <v>0</v>
      </c>
      <c r="I101" s="207">
        <f>SUMIFS('январь 2023'!$G$4:$G$508,'январь 2023'!$D$4:$D$508,$B101,'январь 2023'!$J$4:$J$508,I$1)</f>
        <v>0</v>
      </c>
      <c r="J101" s="207">
        <f>SUMIFS('январь 2023'!$G$4:$G$508,'январь 2023'!$D$4:$D$508,$B101,'январь 2023'!$J$4:$J$508,J$1)</f>
        <v>0</v>
      </c>
      <c r="K101" s="207">
        <f>SUMIFS('январь 2023'!$G$4:$G$508,'январь 2023'!$D$4:$D$508,$B101,'январь 2023'!$J$4:$J$508,K$1)</f>
        <v>0</v>
      </c>
      <c r="L101" s="207">
        <f>SUMIFS('январь 2023'!$G$4:$G$508,'январь 2023'!$D$4:$D$508,$B101,'январь 2023'!$J$4:$J$508,L$1)</f>
        <v>0</v>
      </c>
      <c r="M101" s="207">
        <f>SUMIFS('январь 2023'!$G$4:$G$508,'январь 2023'!$D$4:$D$508,$B101,'январь 2023'!$J$4:$J$508,M$1)</f>
        <v>0</v>
      </c>
      <c r="N101" s="207">
        <f>SUMIFS('январь 2023'!$G$4:$G$508,'январь 2023'!$D$4:$D$508,$B101,'январь 2023'!$J$4:$J$508,N$1)</f>
        <v>0</v>
      </c>
      <c r="O101" s="207">
        <f>SUMIFS('январь 2023'!$G$4:$G$508,'январь 2023'!$D$4:$D$508,$B101,'январь 2023'!$J$4:$J$508,O$1)</f>
        <v>0</v>
      </c>
      <c r="P101" s="207">
        <f>SUMIFS('январь 2023'!$G$4:$G$508,'январь 2023'!$D$4:$D$508,$B101,'январь 2023'!$J$4:$J$508,P$1)</f>
        <v>0</v>
      </c>
      <c r="Q101" s="207">
        <f>SUMIFS('январь 2023'!$G$4:$G$508,'январь 2023'!$D$4:$D$508,$B101,'январь 2023'!$J$4:$J$508,Q$1)</f>
        <v>0</v>
      </c>
      <c r="R101" s="207">
        <f>SUMIFS('январь 2023'!$G$4:$G$508,'январь 2023'!$D$4:$D$508,$B101,'январь 2023'!$J$4:$J$508,R$1)</f>
        <v>0</v>
      </c>
      <c r="S101" s="207">
        <f>SUMIFS('январь 2023'!$G$4:$G$508,'январь 2023'!$D$4:$D$508,$B101,'январь 2023'!$J$4:$J$508,S$1)</f>
        <v>0</v>
      </c>
      <c r="T101" s="207">
        <f>SUMIFS('январь 2023'!$G$4:$G$508,'январь 2023'!$D$4:$D$508,$B101,'январь 2023'!$J$4:$J$508,T$1)</f>
        <v>0</v>
      </c>
      <c r="U101" s="207">
        <f>SUMIFS('январь 2023'!$G$4:$G$508,'январь 2023'!$D$4:$D$508,$B101,'январь 2023'!$J$4:$J$508,U$1)</f>
        <v>0</v>
      </c>
      <c r="V101" s="207">
        <f>SUMIFS('январь 2023'!$G$4:$G$508,'январь 2023'!$D$4:$D$508,$B101,'январь 2023'!$J$4:$J$508,V$1)</f>
        <v>0</v>
      </c>
      <c r="W101" s="207">
        <f>SUMIFS('январь 2023'!$G$4:$G$508,'январь 2023'!$D$4:$D$508,$B101,'январь 2023'!$J$4:$J$508,W$1)</f>
        <v>0</v>
      </c>
      <c r="X101" s="207">
        <f>SUMIFS('январь 2023'!$G$4:$G$508,'январь 2023'!$D$4:$D$508,$B101,'январь 2023'!$J$4:$J$508,X$1)</f>
        <v>0</v>
      </c>
      <c r="Y101" s="207">
        <f>SUMIFS('январь 2023'!$G$4:$G$508,'январь 2023'!$D$4:$D$508,$B101,'январь 2023'!$J$4:$J$508,Y$1)</f>
        <v>0</v>
      </c>
      <c r="Z101" s="207">
        <f>SUMIFS('январь 2023'!$G$4:$G$508,'январь 2023'!$D$4:$D$508,$B101,'январь 2023'!$J$4:$J$508,Z$1)</f>
        <v>0</v>
      </c>
      <c r="AA101" s="207">
        <f>SUMIFS('январь 2023'!$G$4:$G$508,'январь 2023'!$D$4:$D$508,$B101,'январь 2023'!$J$4:$J$508,AA$1)</f>
        <v>0</v>
      </c>
      <c r="AB101" s="207">
        <f>SUMIFS('январь 2023'!$G$4:$G$508,'январь 2023'!$D$4:$D$508,$B101,'январь 2023'!$J$4:$J$508,AB$1)</f>
        <v>0</v>
      </c>
      <c r="AC101" s="207">
        <f>SUMIFS('январь 2023'!$G$4:$G$508,'январь 2023'!$D$4:$D$508,$B101,'январь 2023'!$J$4:$J$508,AC$1)</f>
        <v>0</v>
      </c>
      <c r="AD101" s="207">
        <f>SUMIFS('январь 2023'!$G$4:$G$508,'январь 2023'!$D$4:$D$508,$B101,'январь 2023'!$J$4:$J$508,AD$1)</f>
        <v>0</v>
      </c>
      <c r="AE101" s="207">
        <f>SUMIFS('январь 2023'!$G$4:$G$508,'январь 2023'!$D$4:$D$508,$B101,'январь 2023'!$J$4:$J$508,AE$1)</f>
        <v>0</v>
      </c>
      <c r="AF101" s="207">
        <f>SUMIFS('январь 2023'!$G$4:$G$508,'январь 2023'!$D$4:$D$508,$B101,'январь 2023'!$J$4:$J$508,AF$1)</f>
        <v>0</v>
      </c>
      <c r="AG101" s="207">
        <f>SUMIFS('январь 2023'!$G$4:$G$508,'январь 2023'!$D$4:$D$508,$B101,'январь 2023'!$J$4:$J$508,AG$1)</f>
        <v>0</v>
      </c>
      <c r="AH101" s="207">
        <f>SUMIFS('январь 2023'!$G$4:$G$508,'январь 2023'!$D$4:$D$508,$B101,'январь 2023'!$J$4:$J$508,AH$1)</f>
        <v>20</v>
      </c>
      <c r="AI101" s="170">
        <f t="shared" si="2"/>
        <v>20</v>
      </c>
    </row>
    <row r="102" spans="2:35" ht="15" customHeight="1" x14ac:dyDescent="0.25">
      <c r="B102" s="212" t="s">
        <v>276</v>
      </c>
      <c r="C102" s="211">
        <v>200</v>
      </c>
      <c r="D102" s="207">
        <f>SUMIFS('январь 2023'!$G$4:$G$508,'январь 2023'!$D$4:$D$508,$B102,'январь 2023'!$J$4:$J$508,D$1)</f>
        <v>0</v>
      </c>
      <c r="E102" s="207">
        <f>SUMIFS('январь 2023'!$G$4:$G$508,'январь 2023'!$D$4:$D$508,$B102,'январь 2023'!$J$4:$J$508,E$1)</f>
        <v>0</v>
      </c>
      <c r="F102" s="207">
        <f>SUMIFS('январь 2023'!$G$4:$G$508,'январь 2023'!$D$4:$D$508,$B102,'январь 2023'!$J$4:$J$508,F$1)</f>
        <v>0</v>
      </c>
      <c r="G102" s="207">
        <f>SUMIFS('январь 2023'!$G$4:$G$508,'январь 2023'!$D$4:$D$508,$B102,'январь 2023'!$J$4:$J$508,G$1)</f>
        <v>0</v>
      </c>
      <c r="H102" s="207">
        <f>SUMIFS('январь 2023'!$G$4:$G$508,'январь 2023'!$D$4:$D$508,$B102,'январь 2023'!$J$4:$J$508,H$1)</f>
        <v>0</v>
      </c>
      <c r="I102" s="207">
        <f>SUMIFS('январь 2023'!$G$4:$G$508,'январь 2023'!$D$4:$D$508,$B102,'январь 2023'!$J$4:$J$508,I$1)</f>
        <v>0</v>
      </c>
      <c r="J102" s="207">
        <f>SUMIFS('январь 2023'!$G$4:$G$508,'январь 2023'!$D$4:$D$508,$B102,'январь 2023'!$J$4:$J$508,J$1)</f>
        <v>0</v>
      </c>
      <c r="K102" s="207">
        <f>SUMIFS('январь 2023'!$G$4:$G$508,'январь 2023'!$D$4:$D$508,$B102,'январь 2023'!$J$4:$J$508,K$1)</f>
        <v>0</v>
      </c>
      <c r="L102" s="207">
        <f>SUMIFS('январь 2023'!$G$4:$G$508,'январь 2023'!$D$4:$D$508,$B102,'январь 2023'!$J$4:$J$508,L$1)</f>
        <v>0</v>
      </c>
      <c r="M102" s="207">
        <f>SUMIFS('январь 2023'!$G$4:$G$508,'январь 2023'!$D$4:$D$508,$B102,'январь 2023'!$J$4:$J$508,M$1)</f>
        <v>0</v>
      </c>
      <c r="N102" s="207">
        <f>SUMIFS('январь 2023'!$G$4:$G$508,'январь 2023'!$D$4:$D$508,$B102,'январь 2023'!$J$4:$J$508,N$1)</f>
        <v>0</v>
      </c>
      <c r="O102" s="207">
        <f>SUMIFS('январь 2023'!$G$4:$G$508,'январь 2023'!$D$4:$D$508,$B102,'январь 2023'!$J$4:$J$508,O$1)</f>
        <v>0</v>
      </c>
      <c r="P102" s="207">
        <f>SUMIFS('январь 2023'!$G$4:$G$508,'январь 2023'!$D$4:$D$508,$B102,'январь 2023'!$J$4:$J$508,P$1)</f>
        <v>0</v>
      </c>
      <c r="Q102" s="207">
        <f>SUMIFS('январь 2023'!$G$4:$G$508,'январь 2023'!$D$4:$D$508,$B102,'январь 2023'!$J$4:$J$508,Q$1)</f>
        <v>0</v>
      </c>
      <c r="R102" s="207">
        <f>SUMIFS('январь 2023'!$G$4:$G$508,'январь 2023'!$D$4:$D$508,$B102,'январь 2023'!$J$4:$J$508,R$1)</f>
        <v>0</v>
      </c>
      <c r="S102" s="207">
        <f>SUMIFS('январь 2023'!$G$4:$G$508,'январь 2023'!$D$4:$D$508,$B102,'январь 2023'!$J$4:$J$508,S$1)</f>
        <v>0</v>
      </c>
      <c r="T102" s="207">
        <f>SUMIFS('январь 2023'!$G$4:$G$508,'январь 2023'!$D$4:$D$508,$B102,'январь 2023'!$J$4:$J$508,T$1)</f>
        <v>0</v>
      </c>
      <c r="U102" s="207">
        <f>SUMIFS('январь 2023'!$G$4:$G$508,'январь 2023'!$D$4:$D$508,$B102,'январь 2023'!$J$4:$J$508,U$1)</f>
        <v>0</v>
      </c>
      <c r="V102" s="207">
        <f>SUMIFS('январь 2023'!$G$4:$G$508,'январь 2023'!$D$4:$D$508,$B102,'январь 2023'!$J$4:$J$508,V$1)</f>
        <v>0</v>
      </c>
      <c r="W102" s="207">
        <f>SUMIFS('январь 2023'!$G$4:$G$508,'январь 2023'!$D$4:$D$508,$B102,'январь 2023'!$J$4:$J$508,W$1)</f>
        <v>0</v>
      </c>
      <c r="X102" s="207">
        <f>SUMIFS('январь 2023'!$G$4:$G$508,'январь 2023'!$D$4:$D$508,$B102,'январь 2023'!$J$4:$J$508,X$1)</f>
        <v>0</v>
      </c>
      <c r="Y102" s="207">
        <f>SUMIFS('январь 2023'!$G$4:$G$508,'январь 2023'!$D$4:$D$508,$B102,'январь 2023'!$J$4:$J$508,Y$1)</f>
        <v>0</v>
      </c>
      <c r="Z102" s="207">
        <f>SUMIFS('январь 2023'!$G$4:$G$508,'январь 2023'!$D$4:$D$508,$B102,'январь 2023'!$J$4:$J$508,Z$1)</f>
        <v>0</v>
      </c>
      <c r="AA102" s="207">
        <f>SUMIFS('январь 2023'!$G$4:$G$508,'январь 2023'!$D$4:$D$508,$B102,'январь 2023'!$J$4:$J$508,AA$1)</f>
        <v>0</v>
      </c>
      <c r="AB102" s="207">
        <f>SUMIFS('январь 2023'!$G$4:$G$508,'январь 2023'!$D$4:$D$508,$B102,'январь 2023'!$J$4:$J$508,AB$1)</f>
        <v>0</v>
      </c>
      <c r="AC102" s="207">
        <f>SUMIFS('январь 2023'!$G$4:$G$508,'январь 2023'!$D$4:$D$508,$B102,'январь 2023'!$J$4:$J$508,AC$1)</f>
        <v>0</v>
      </c>
      <c r="AD102" s="207">
        <f>SUMIFS('январь 2023'!$G$4:$G$508,'январь 2023'!$D$4:$D$508,$B102,'январь 2023'!$J$4:$J$508,AD$1)</f>
        <v>0</v>
      </c>
      <c r="AE102" s="207">
        <f>SUMIFS('январь 2023'!$G$4:$G$508,'январь 2023'!$D$4:$D$508,$B102,'январь 2023'!$J$4:$J$508,AE$1)</f>
        <v>0</v>
      </c>
      <c r="AF102" s="207">
        <f>SUMIFS('январь 2023'!$G$4:$G$508,'январь 2023'!$D$4:$D$508,$B102,'январь 2023'!$J$4:$J$508,AF$1)</f>
        <v>0</v>
      </c>
      <c r="AG102" s="207">
        <f>SUMIFS('январь 2023'!$G$4:$G$508,'январь 2023'!$D$4:$D$508,$B102,'январь 2023'!$J$4:$J$508,AG$1)</f>
        <v>0</v>
      </c>
      <c r="AH102" s="207">
        <f>SUMIFS('январь 2023'!$G$4:$G$508,'январь 2023'!$D$4:$D$508,$B102,'январь 2023'!$J$4:$J$508,AH$1)</f>
        <v>0</v>
      </c>
      <c r="AI102" s="170">
        <f t="shared" si="2"/>
        <v>0</v>
      </c>
    </row>
    <row r="103" spans="2:35" ht="15" customHeight="1" x14ac:dyDescent="0.25">
      <c r="B103" s="212" t="s">
        <v>2215</v>
      </c>
      <c r="C103" s="211">
        <v>200</v>
      </c>
      <c r="D103" s="207">
        <f>SUMIFS('январь 2023'!$G$4:$G$508,'январь 2023'!$D$4:$D$508,$B103,'январь 2023'!$J$4:$J$508,D$1)</f>
        <v>0</v>
      </c>
      <c r="E103" s="207">
        <f>SUMIFS('январь 2023'!$G$4:$G$508,'январь 2023'!$D$4:$D$508,$B103,'январь 2023'!$J$4:$J$508,E$1)</f>
        <v>0</v>
      </c>
      <c r="F103" s="207">
        <f>SUMIFS('январь 2023'!$G$4:$G$508,'январь 2023'!$D$4:$D$508,$B103,'январь 2023'!$J$4:$J$508,F$1)</f>
        <v>0</v>
      </c>
      <c r="G103" s="207">
        <f>SUMIFS('январь 2023'!$G$4:$G$508,'январь 2023'!$D$4:$D$508,$B103,'январь 2023'!$J$4:$J$508,G$1)</f>
        <v>0</v>
      </c>
      <c r="H103" s="207">
        <f>SUMIFS('январь 2023'!$G$4:$G$508,'январь 2023'!$D$4:$D$508,$B103,'январь 2023'!$J$4:$J$508,H$1)</f>
        <v>0</v>
      </c>
      <c r="I103" s="207">
        <f>SUMIFS('январь 2023'!$G$4:$G$508,'январь 2023'!$D$4:$D$508,$B103,'январь 2023'!$J$4:$J$508,I$1)</f>
        <v>0</v>
      </c>
      <c r="J103" s="207">
        <f>SUMIFS('январь 2023'!$G$4:$G$508,'январь 2023'!$D$4:$D$508,$B103,'январь 2023'!$J$4:$J$508,J$1)</f>
        <v>0</v>
      </c>
      <c r="K103" s="207">
        <f>SUMIFS('январь 2023'!$G$4:$G$508,'январь 2023'!$D$4:$D$508,$B103,'январь 2023'!$J$4:$J$508,K$1)</f>
        <v>0</v>
      </c>
      <c r="L103" s="207">
        <f>SUMIFS('январь 2023'!$G$4:$G$508,'январь 2023'!$D$4:$D$508,$B103,'январь 2023'!$J$4:$J$508,L$1)</f>
        <v>0</v>
      </c>
      <c r="M103" s="207">
        <f>SUMIFS('январь 2023'!$G$4:$G$508,'январь 2023'!$D$4:$D$508,$B103,'январь 2023'!$J$4:$J$508,M$1)</f>
        <v>0</v>
      </c>
      <c r="N103" s="207">
        <f>SUMIFS('январь 2023'!$G$4:$G$508,'январь 2023'!$D$4:$D$508,$B103,'январь 2023'!$J$4:$J$508,N$1)</f>
        <v>0</v>
      </c>
      <c r="O103" s="207">
        <f>SUMIFS('январь 2023'!$G$4:$G$508,'январь 2023'!$D$4:$D$508,$B103,'январь 2023'!$J$4:$J$508,O$1)</f>
        <v>0</v>
      </c>
      <c r="P103" s="207">
        <f>SUMIFS('январь 2023'!$G$4:$G$508,'январь 2023'!$D$4:$D$508,$B103,'январь 2023'!$J$4:$J$508,P$1)</f>
        <v>0</v>
      </c>
      <c r="Q103" s="207">
        <f>SUMIFS('январь 2023'!$G$4:$G$508,'январь 2023'!$D$4:$D$508,$B103,'январь 2023'!$J$4:$J$508,Q$1)</f>
        <v>0</v>
      </c>
      <c r="R103" s="207">
        <f>SUMIFS('январь 2023'!$G$4:$G$508,'январь 2023'!$D$4:$D$508,$B103,'январь 2023'!$J$4:$J$508,R$1)</f>
        <v>0</v>
      </c>
      <c r="S103" s="207">
        <f>SUMIFS('январь 2023'!$G$4:$G$508,'январь 2023'!$D$4:$D$508,$B103,'январь 2023'!$J$4:$J$508,S$1)</f>
        <v>0</v>
      </c>
      <c r="T103" s="207">
        <f>SUMIFS('январь 2023'!$G$4:$G$508,'январь 2023'!$D$4:$D$508,$B103,'январь 2023'!$J$4:$J$508,T$1)</f>
        <v>0</v>
      </c>
      <c r="U103" s="207">
        <f>SUMIFS('январь 2023'!$G$4:$G$508,'январь 2023'!$D$4:$D$508,$B103,'январь 2023'!$J$4:$J$508,U$1)</f>
        <v>0</v>
      </c>
      <c r="V103" s="207">
        <f>SUMIFS('январь 2023'!$G$4:$G$508,'январь 2023'!$D$4:$D$508,$B103,'январь 2023'!$J$4:$J$508,V$1)</f>
        <v>0</v>
      </c>
      <c r="W103" s="207">
        <f>SUMIFS('январь 2023'!$G$4:$G$508,'январь 2023'!$D$4:$D$508,$B103,'январь 2023'!$J$4:$J$508,W$1)</f>
        <v>0</v>
      </c>
      <c r="X103" s="207">
        <f>SUMIFS('январь 2023'!$G$4:$G$508,'январь 2023'!$D$4:$D$508,$B103,'январь 2023'!$J$4:$J$508,X$1)</f>
        <v>0</v>
      </c>
      <c r="Y103" s="207">
        <f>SUMIFS('январь 2023'!$G$4:$G$508,'январь 2023'!$D$4:$D$508,$B103,'январь 2023'!$J$4:$J$508,Y$1)</f>
        <v>0</v>
      </c>
      <c r="Z103" s="207">
        <f>SUMIFS('январь 2023'!$G$4:$G$508,'январь 2023'!$D$4:$D$508,$B103,'январь 2023'!$J$4:$J$508,Z$1)</f>
        <v>0</v>
      </c>
      <c r="AA103" s="207">
        <f>SUMIFS('январь 2023'!$G$4:$G$508,'январь 2023'!$D$4:$D$508,$B103,'январь 2023'!$J$4:$J$508,AA$1)</f>
        <v>0</v>
      </c>
      <c r="AB103" s="207">
        <f>SUMIFS('январь 2023'!$G$4:$G$508,'январь 2023'!$D$4:$D$508,$B103,'январь 2023'!$J$4:$J$508,AB$1)</f>
        <v>0</v>
      </c>
      <c r="AC103" s="207">
        <f>SUMIFS('январь 2023'!$G$4:$G$508,'январь 2023'!$D$4:$D$508,$B103,'январь 2023'!$J$4:$J$508,AC$1)</f>
        <v>0</v>
      </c>
      <c r="AD103" s="207">
        <f>SUMIFS('январь 2023'!$G$4:$G$508,'январь 2023'!$D$4:$D$508,$B103,'январь 2023'!$J$4:$J$508,AD$1)</f>
        <v>0</v>
      </c>
      <c r="AE103" s="207">
        <f>SUMIFS('январь 2023'!$G$4:$G$508,'январь 2023'!$D$4:$D$508,$B103,'январь 2023'!$J$4:$J$508,AE$1)</f>
        <v>0</v>
      </c>
      <c r="AF103" s="207">
        <f>SUMIFS('январь 2023'!$G$4:$G$508,'январь 2023'!$D$4:$D$508,$B103,'январь 2023'!$J$4:$J$508,AF$1)</f>
        <v>0</v>
      </c>
      <c r="AG103" s="207">
        <f>SUMIFS('январь 2023'!$G$4:$G$508,'январь 2023'!$D$4:$D$508,$B103,'январь 2023'!$J$4:$J$508,AG$1)</f>
        <v>0</v>
      </c>
      <c r="AH103" s="207">
        <f>SUMIFS('январь 2023'!$G$4:$G$508,'январь 2023'!$D$4:$D$508,$B103,'январь 2023'!$J$4:$J$508,AH$1)</f>
        <v>0</v>
      </c>
      <c r="AI103" s="170">
        <f t="shared" si="2"/>
        <v>0</v>
      </c>
    </row>
    <row r="104" spans="2:35" ht="15" customHeight="1" x14ac:dyDescent="0.25">
      <c r="B104" s="212" t="s">
        <v>1837</v>
      </c>
      <c r="C104" s="213">
        <v>25</v>
      </c>
      <c r="D104" s="207">
        <f>SUMIFS('январь 2023'!$G$4:$G$508,'январь 2023'!$D$4:$D$508,$B104,'январь 2023'!$J$4:$J$508,D$1)</f>
        <v>0</v>
      </c>
      <c r="E104" s="207">
        <f>SUMIFS('январь 2023'!$G$4:$G$508,'январь 2023'!$D$4:$D$508,$B104,'январь 2023'!$J$4:$J$508,E$1)</f>
        <v>0</v>
      </c>
      <c r="F104" s="207">
        <f>SUMIFS('январь 2023'!$G$4:$G$508,'январь 2023'!$D$4:$D$508,$B104,'январь 2023'!$J$4:$J$508,F$1)</f>
        <v>0</v>
      </c>
      <c r="G104" s="207">
        <f>SUMIFS('январь 2023'!$G$4:$G$508,'январь 2023'!$D$4:$D$508,$B104,'январь 2023'!$J$4:$J$508,G$1)</f>
        <v>0</v>
      </c>
      <c r="H104" s="207">
        <f>SUMIFS('январь 2023'!$G$4:$G$508,'январь 2023'!$D$4:$D$508,$B104,'январь 2023'!$J$4:$J$508,H$1)</f>
        <v>0</v>
      </c>
      <c r="I104" s="207">
        <f>SUMIFS('январь 2023'!$G$4:$G$508,'январь 2023'!$D$4:$D$508,$B104,'январь 2023'!$J$4:$J$508,I$1)</f>
        <v>0</v>
      </c>
      <c r="J104" s="207">
        <f>SUMIFS('январь 2023'!$G$4:$G$508,'январь 2023'!$D$4:$D$508,$B104,'январь 2023'!$J$4:$J$508,J$1)</f>
        <v>0</v>
      </c>
      <c r="K104" s="207">
        <f>SUMIFS('январь 2023'!$G$4:$G$508,'январь 2023'!$D$4:$D$508,$B104,'январь 2023'!$J$4:$J$508,K$1)</f>
        <v>0</v>
      </c>
      <c r="L104" s="207">
        <f>SUMIFS('январь 2023'!$G$4:$G$508,'январь 2023'!$D$4:$D$508,$B104,'январь 2023'!$J$4:$J$508,L$1)</f>
        <v>0</v>
      </c>
      <c r="M104" s="207">
        <f>SUMIFS('январь 2023'!$G$4:$G$508,'январь 2023'!$D$4:$D$508,$B104,'январь 2023'!$J$4:$J$508,M$1)</f>
        <v>0</v>
      </c>
      <c r="N104" s="207">
        <f>SUMIFS('январь 2023'!$G$4:$G$508,'январь 2023'!$D$4:$D$508,$B104,'январь 2023'!$J$4:$J$508,N$1)</f>
        <v>0</v>
      </c>
      <c r="O104" s="207">
        <f>SUMIFS('январь 2023'!$G$4:$G$508,'январь 2023'!$D$4:$D$508,$B104,'январь 2023'!$J$4:$J$508,O$1)</f>
        <v>0</v>
      </c>
      <c r="P104" s="207">
        <f>SUMIFS('январь 2023'!$G$4:$G$508,'январь 2023'!$D$4:$D$508,$B104,'январь 2023'!$J$4:$J$508,P$1)</f>
        <v>0</v>
      </c>
      <c r="Q104" s="207">
        <f>SUMIFS('январь 2023'!$G$4:$G$508,'январь 2023'!$D$4:$D$508,$B104,'январь 2023'!$J$4:$J$508,Q$1)</f>
        <v>0</v>
      </c>
      <c r="R104" s="207">
        <f>SUMIFS('январь 2023'!$G$4:$G$508,'январь 2023'!$D$4:$D$508,$B104,'январь 2023'!$J$4:$J$508,R$1)</f>
        <v>0</v>
      </c>
      <c r="S104" s="207">
        <f>SUMIFS('январь 2023'!$G$4:$G$508,'январь 2023'!$D$4:$D$508,$B104,'январь 2023'!$J$4:$J$508,S$1)</f>
        <v>0</v>
      </c>
      <c r="T104" s="207">
        <f>SUMIFS('январь 2023'!$G$4:$G$508,'январь 2023'!$D$4:$D$508,$B104,'январь 2023'!$J$4:$J$508,T$1)</f>
        <v>0</v>
      </c>
      <c r="U104" s="207">
        <f>SUMIFS('январь 2023'!$G$4:$G$508,'январь 2023'!$D$4:$D$508,$B104,'январь 2023'!$J$4:$J$508,U$1)</f>
        <v>0</v>
      </c>
      <c r="V104" s="207">
        <f>SUMIFS('январь 2023'!$G$4:$G$508,'январь 2023'!$D$4:$D$508,$B104,'январь 2023'!$J$4:$J$508,V$1)</f>
        <v>0</v>
      </c>
      <c r="W104" s="207">
        <f>SUMIFS('январь 2023'!$G$4:$G$508,'январь 2023'!$D$4:$D$508,$B104,'январь 2023'!$J$4:$J$508,W$1)</f>
        <v>0</v>
      </c>
      <c r="X104" s="207">
        <f>SUMIFS('январь 2023'!$G$4:$G$508,'январь 2023'!$D$4:$D$508,$B104,'январь 2023'!$J$4:$J$508,X$1)</f>
        <v>0</v>
      </c>
      <c r="Y104" s="207">
        <f>SUMIFS('январь 2023'!$G$4:$G$508,'январь 2023'!$D$4:$D$508,$B104,'январь 2023'!$J$4:$J$508,Y$1)</f>
        <v>0</v>
      </c>
      <c r="Z104" s="207">
        <f>SUMIFS('январь 2023'!$G$4:$G$508,'январь 2023'!$D$4:$D$508,$B104,'январь 2023'!$J$4:$J$508,Z$1)</f>
        <v>0</v>
      </c>
      <c r="AA104" s="207">
        <f>SUMIFS('январь 2023'!$G$4:$G$508,'январь 2023'!$D$4:$D$508,$B104,'январь 2023'!$J$4:$J$508,AA$1)</f>
        <v>0</v>
      </c>
      <c r="AB104" s="207">
        <f>SUMIFS('январь 2023'!$G$4:$G$508,'январь 2023'!$D$4:$D$508,$B104,'январь 2023'!$J$4:$J$508,AB$1)</f>
        <v>0</v>
      </c>
      <c r="AC104" s="207">
        <f>SUMIFS('январь 2023'!$G$4:$G$508,'январь 2023'!$D$4:$D$508,$B104,'январь 2023'!$J$4:$J$508,AC$1)</f>
        <v>0</v>
      </c>
      <c r="AD104" s="207">
        <f>SUMIFS('январь 2023'!$G$4:$G$508,'январь 2023'!$D$4:$D$508,$B104,'январь 2023'!$J$4:$J$508,AD$1)</f>
        <v>0</v>
      </c>
      <c r="AE104" s="207">
        <f>SUMIFS('январь 2023'!$G$4:$G$508,'январь 2023'!$D$4:$D$508,$B104,'январь 2023'!$J$4:$J$508,AE$1)</f>
        <v>0</v>
      </c>
      <c r="AF104" s="207">
        <f>SUMIFS('январь 2023'!$G$4:$G$508,'январь 2023'!$D$4:$D$508,$B104,'январь 2023'!$J$4:$J$508,AF$1)</f>
        <v>0</v>
      </c>
      <c r="AG104" s="207">
        <f>SUMIFS('январь 2023'!$G$4:$G$508,'январь 2023'!$D$4:$D$508,$B104,'январь 2023'!$J$4:$J$508,AG$1)</f>
        <v>0</v>
      </c>
      <c r="AH104" s="207">
        <f>SUMIFS('январь 2023'!$G$4:$G$508,'январь 2023'!$D$4:$D$508,$B104,'январь 2023'!$J$4:$J$508,AH$1)</f>
        <v>0</v>
      </c>
      <c r="AI104" s="170">
        <f t="shared" si="2"/>
        <v>0</v>
      </c>
    </row>
    <row r="105" spans="2:35" ht="15" customHeight="1" x14ac:dyDescent="0.25">
      <c r="B105" s="216" t="s">
        <v>2196</v>
      </c>
      <c r="C105" s="213">
        <v>20</v>
      </c>
      <c r="D105" s="207">
        <f>SUMIFS('январь 2023'!$G$4:$G$508,'январь 2023'!$D$4:$D$508,$B105,'январь 2023'!$J$4:$J$508,D$1)</f>
        <v>0</v>
      </c>
      <c r="E105" s="207">
        <f>SUMIFS('январь 2023'!$G$4:$G$508,'январь 2023'!$D$4:$D$508,$B105,'январь 2023'!$J$4:$J$508,E$1)</f>
        <v>0</v>
      </c>
      <c r="F105" s="207">
        <f>SUMIFS('январь 2023'!$G$4:$G$508,'январь 2023'!$D$4:$D$508,$B105,'январь 2023'!$J$4:$J$508,F$1)</f>
        <v>0</v>
      </c>
      <c r="G105" s="207">
        <f>SUMIFS('январь 2023'!$G$4:$G$508,'январь 2023'!$D$4:$D$508,$B105,'январь 2023'!$J$4:$J$508,G$1)</f>
        <v>0</v>
      </c>
      <c r="H105" s="207">
        <f>SUMIFS('январь 2023'!$G$4:$G$508,'январь 2023'!$D$4:$D$508,$B105,'январь 2023'!$J$4:$J$508,H$1)</f>
        <v>0</v>
      </c>
      <c r="I105" s="207">
        <f>SUMIFS('январь 2023'!$G$4:$G$508,'январь 2023'!$D$4:$D$508,$B105,'январь 2023'!$J$4:$J$508,I$1)</f>
        <v>0</v>
      </c>
      <c r="J105" s="207">
        <f>SUMIFS('январь 2023'!$G$4:$G$508,'январь 2023'!$D$4:$D$508,$B105,'январь 2023'!$J$4:$J$508,J$1)</f>
        <v>0</v>
      </c>
      <c r="K105" s="207">
        <f>SUMIFS('январь 2023'!$G$4:$G$508,'январь 2023'!$D$4:$D$508,$B105,'январь 2023'!$J$4:$J$508,K$1)</f>
        <v>0</v>
      </c>
      <c r="L105" s="207">
        <f>SUMIFS('январь 2023'!$G$4:$G$508,'январь 2023'!$D$4:$D$508,$B105,'январь 2023'!$J$4:$J$508,L$1)</f>
        <v>0</v>
      </c>
      <c r="M105" s="207">
        <f>SUMIFS('январь 2023'!$G$4:$G$508,'январь 2023'!$D$4:$D$508,$B105,'январь 2023'!$J$4:$J$508,M$1)</f>
        <v>0</v>
      </c>
      <c r="N105" s="207">
        <f>SUMIFS('январь 2023'!$G$4:$G$508,'январь 2023'!$D$4:$D$508,$B105,'январь 2023'!$J$4:$J$508,N$1)</f>
        <v>0</v>
      </c>
      <c r="O105" s="207">
        <f>SUMIFS('январь 2023'!$G$4:$G$508,'январь 2023'!$D$4:$D$508,$B105,'январь 2023'!$J$4:$J$508,O$1)</f>
        <v>0</v>
      </c>
      <c r="P105" s="207">
        <f>SUMIFS('январь 2023'!$G$4:$G$508,'январь 2023'!$D$4:$D$508,$B105,'январь 2023'!$J$4:$J$508,P$1)</f>
        <v>0</v>
      </c>
      <c r="Q105" s="207">
        <f>SUMIFS('январь 2023'!$G$4:$G$508,'январь 2023'!$D$4:$D$508,$B105,'январь 2023'!$J$4:$J$508,Q$1)</f>
        <v>0</v>
      </c>
      <c r="R105" s="207">
        <f>SUMIFS('январь 2023'!$G$4:$G$508,'январь 2023'!$D$4:$D$508,$B105,'январь 2023'!$J$4:$J$508,R$1)</f>
        <v>0</v>
      </c>
      <c r="S105" s="207">
        <f>SUMIFS('январь 2023'!$G$4:$G$508,'январь 2023'!$D$4:$D$508,$B105,'январь 2023'!$J$4:$J$508,S$1)</f>
        <v>0</v>
      </c>
      <c r="T105" s="207">
        <f>SUMIFS('январь 2023'!$G$4:$G$508,'январь 2023'!$D$4:$D$508,$B105,'январь 2023'!$J$4:$J$508,T$1)</f>
        <v>0</v>
      </c>
      <c r="U105" s="207">
        <f>SUMIFS('январь 2023'!$G$4:$G$508,'январь 2023'!$D$4:$D$508,$B105,'январь 2023'!$J$4:$J$508,U$1)</f>
        <v>0</v>
      </c>
      <c r="V105" s="207">
        <f>SUMIFS('январь 2023'!$G$4:$G$508,'январь 2023'!$D$4:$D$508,$B105,'январь 2023'!$J$4:$J$508,V$1)</f>
        <v>0</v>
      </c>
      <c r="W105" s="207">
        <f>SUMIFS('январь 2023'!$G$4:$G$508,'январь 2023'!$D$4:$D$508,$B105,'январь 2023'!$J$4:$J$508,W$1)</f>
        <v>0</v>
      </c>
      <c r="X105" s="207">
        <f>SUMIFS('январь 2023'!$G$4:$G$508,'январь 2023'!$D$4:$D$508,$B105,'январь 2023'!$J$4:$J$508,X$1)</f>
        <v>0</v>
      </c>
      <c r="Y105" s="207">
        <f>SUMIFS('январь 2023'!$G$4:$G$508,'январь 2023'!$D$4:$D$508,$B105,'январь 2023'!$J$4:$J$508,Y$1)</f>
        <v>0</v>
      </c>
      <c r="Z105" s="207">
        <f>SUMIFS('январь 2023'!$G$4:$G$508,'январь 2023'!$D$4:$D$508,$B105,'январь 2023'!$J$4:$J$508,Z$1)</f>
        <v>0</v>
      </c>
      <c r="AA105" s="207">
        <f>SUMIFS('январь 2023'!$G$4:$G$508,'январь 2023'!$D$4:$D$508,$B105,'январь 2023'!$J$4:$J$508,AA$1)</f>
        <v>0</v>
      </c>
      <c r="AB105" s="207">
        <f>SUMIFS('январь 2023'!$G$4:$G$508,'январь 2023'!$D$4:$D$508,$B105,'январь 2023'!$J$4:$J$508,AB$1)</f>
        <v>0</v>
      </c>
      <c r="AC105" s="207">
        <f>SUMIFS('январь 2023'!$G$4:$G$508,'январь 2023'!$D$4:$D$508,$B105,'январь 2023'!$J$4:$J$508,AC$1)</f>
        <v>0</v>
      </c>
      <c r="AD105" s="207">
        <f>SUMIFS('январь 2023'!$G$4:$G$508,'январь 2023'!$D$4:$D$508,$B105,'январь 2023'!$J$4:$J$508,AD$1)</f>
        <v>0</v>
      </c>
      <c r="AE105" s="207">
        <f>SUMIFS('январь 2023'!$G$4:$G$508,'январь 2023'!$D$4:$D$508,$B105,'январь 2023'!$J$4:$J$508,AE$1)</f>
        <v>0</v>
      </c>
      <c r="AF105" s="207">
        <f>SUMIFS('январь 2023'!$G$4:$G$508,'январь 2023'!$D$4:$D$508,$B105,'январь 2023'!$J$4:$J$508,AF$1)</f>
        <v>0</v>
      </c>
      <c r="AG105" s="207">
        <f>SUMIFS('январь 2023'!$G$4:$G$508,'январь 2023'!$D$4:$D$508,$B105,'январь 2023'!$J$4:$J$508,AG$1)</f>
        <v>0</v>
      </c>
      <c r="AH105" s="207">
        <f>SUMIFS('январь 2023'!$G$4:$G$508,'январь 2023'!$D$4:$D$508,$B105,'январь 2023'!$J$4:$J$508,AH$1)</f>
        <v>0</v>
      </c>
      <c r="AI105" s="170">
        <f t="shared" si="2"/>
        <v>0</v>
      </c>
    </row>
    <row r="106" spans="2:35" ht="15" customHeight="1" x14ac:dyDescent="0.25">
      <c r="B106" s="212" t="s">
        <v>2199</v>
      </c>
      <c r="C106" s="211">
        <v>200</v>
      </c>
      <c r="D106" s="207">
        <f>SUMIFS('январь 2023'!$G$4:$G$508,'январь 2023'!$D$4:$D$508,#REF!,'январь 2023'!$J$4:$J$508,D$1)</f>
        <v>0</v>
      </c>
      <c r="E106" s="207">
        <f>SUMIFS('январь 2023'!$G$4:$G$508,'январь 2023'!$D$4:$D$508,#REF!,'январь 2023'!$J$4:$J$508,E$1)</f>
        <v>0</v>
      </c>
      <c r="F106" s="207">
        <f>SUMIFS('январь 2023'!$G$4:$G$508,'январь 2023'!$D$4:$D$508,#REF!,'январь 2023'!$J$4:$J$508,F$1)</f>
        <v>0</v>
      </c>
      <c r="G106" s="207">
        <f>SUMIFS('январь 2023'!$G$4:$G$508,'январь 2023'!$D$4:$D$508,#REF!,'январь 2023'!$J$4:$J$508,G$1)</f>
        <v>0</v>
      </c>
      <c r="H106" s="207">
        <f>SUMIFS('январь 2023'!$G$4:$G$508,'январь 2023'!$D$4:$D$508,#REF!,'январь 2023'!$J$4:$J$508,H$1)</f>
        <v>0</v>
      </c>
      <c r="I106" s="207">
        <f>SUMIFS('январь 2023'!$G$4:$G$508,'январь 2023'!$D$4:$D$508,#REF!,'январь 2023'!$J$4:$J$508,I$1)</f>
        <v>0</v>
      </c>
      <c r="J106" s="207">
        <f>SUMIFS('январь 2023'!$G$4:$G$508,'январь 2023'!$D$4:$D$508,#REF!,'январь 2023'!$J$4:$J$508,J$1)</f>
        <v>0</v>
      </c>
      <c r="K106" s="207">
        <f>SUMIFS('январь 2023'!$G$4:$G$508,'январь 2023'!$D$4:$D$508,#REF!,'январь 2023'!$J$4:$J$508,K$1)</f>
        <v>0</v>
      </c>
      <c r="L106" s="207">
        <f>SUMIFS('январь 2023'!$G$4:$G$508,'январь 2023'!$D$4:$D$508,#REF!,'январь 2023'!$J$4:$J$508,L$1)</f>
        <v>0</v>
      </c>
      <c r="M106" s="207">
        <f>SUMIFS('январь 2023'!$G$4:$G$508,'январь 2023'!$D$4:$D$508,#REF!,'январь 2023'!$J$4:$J$508,M$1)</f>
        <v>0</v>
      </c>
      <c r="N106" s="207">
        <f>SUMIFS('январь 2023'!$G$4:$G$508,'январь 2023'!$D$4:$D$508,#REF!,'январь 2023'!$J$4:$J$508,N$1)</f>
        <v>0</v>
      </c>
      <c r="O106" s="207">
        <f>SUMIFS('январь 2023'!$G$4:$G$508,'январь 2023'!$D$4:$D$508,#REF!,'январь 2023'!$J$4:$J$508,O$1)</f>
        <v>0</v>
      </c>
      <c r="P106" s="207">
        <f>SUMIFS('январь 2023'!$G$4:$G$508,'январь 2023'!$D$4:$D$508,#REF!,'январь 2023'!$J$4:$J$508,P$1)</f>
        <v>0</v>
      </c>
      <c r="Q106" s="207">
        <f>SUMIFS('январь 2023'!$G$4:$G$508,'январь 2023'!$D$4:$D$508,#REF!,'январь 2023'!$J$4:$J$508,Q$1)</f>
        <v>0</v>
      </c>
      <c r="R106" s="207">
        <f>SUMIFS('январь 2023'!$G$4:$G$508,'январь 2023'!$D$4:$D$508,#REF!,'январь 2023'!$J$4:$J$508,R$1)</f>
        <v>0</v>
      </c>
      <c r="S106" s="207">
        <f>SUMIFS('январь 2023'!$G$4:$G$508,'январь 2023'!$D$4:$D$508,#REF!,'январь 2023'!$J$4:$J$508,S$1)</f>
        <v>0</v>
      </c>
      <c r="T106" s="207">
        <f>SUMIFS('январь 2023'!$G$4:$G$508,'январь 2023'!$D$4:$D$508,#REF!,'январь 2023'!$J$4:$J$508,T$1)</f>
        <v>0</v>
      </c>
      <c r="U106" s="207">
        <f>SUMIFS('январь 2023'!$G$4:$G$508,'январь 2023'!$D$4:$D$508,#REF!,'январь 2023'!$J$4:$J$508,U$1)</f>
        <v>0</v>
      </c>
      <c r="V106" s="207">
        <f>SUMIFS('январь 2023'!$G$4:$G$508,'январь 2023'!$D$4:$D$508,#REF!,'январь 2023'!$J$4:$J$508,V$1)</f>
        <v>0</v>
      </c>
      <c r="W106" s="207">
        <f>SUMIFS('январь 2023'!$G$4:$G$508,'январь 2023'!$D$4:$D$508,#REF!,'январь 2023'!$J$4:$J$508,W$1)</f>
        <v>0</v>
      </c>
      <c r="X106" s="207">
        <f>SUMIFS('январь 2023'!$G$4:$G$508,'январь 2023'!$D$4:$D$508,#REF!,'январь 2023'!$J$4:$J$508,X$1)</f>
        <v>0</v>
      </c>
      <c r="Y106" s="207">
        <f>SUMIFS('январь 2023'!$G$4:$G$508,'январь 2023'!$D$4:$D$508,#REF!,'январь 2023'!$J$4:$J$508,Y$1)</f>
        <v>0</v>
      </c>
      <c r="Z106" s="207">
        <f>SUMIFS('январь 2023'!$G$4:$G$508,'январь 2023'!$D$4:$D$508,#REF!,'январь 2023'!$J$4:$J$508,Z$1)</f>
        <v>0</v>
      </c>
      <c r="AA106" s="207">
        <f>SUMIFS('январь 2023'!$G$4:$G$508,'январь 2023'!$D$4:$D$508,#REF!,'январь 2023'!$J$4:$J$508,AA$1)</f>
        <v>0</v>
      </c>
      <c r="AB106" s="207">
        <f>SUMIFS('январь 2023'!$G$4:$G$508,'январь 2023'!$D$4:$D$508,#REF!,'январь 2023'!$J$4:$J$508,AB$1)</f>
        <v>0</v>
      </c>
      <c r="AC106" s="207">
        <f>SUMIFS('январь 2023'!$G$4:$G$508,'январь 2023'!$D$4:$D$508,#REF!,'январь 2023'!$J$4:$J$508,AC$1)</f>
        <v>0</v>
      </c>
      <c r="AD106" s="207">
        <f>SUMIFS('январь 2023'!$G$4:$G$508,'январь 2023'!$D$4:$D$508,#REF!,'январь 2023'!$J$4:$J$508,AD$1)</f>
        <v>0</v>
      </c>
      <c r="AE106" s="207">
        <f>SUMIFS('январь 2023'!$G$4:$G$508,'январь 2023'!$D$4:$D$508,#REF!,'январь 2023'!$J$4:$J$508,AE$1)</f>
        <v>0</v>
      </c>
      <c r="AF106" s="207">
        <f>SUMIFS('январь 2023'!$G$4:$G$508,'январь 2023'!$D$4:$D$508,#REF!,'январь 2023'!$J$4:$J$508,AF$1)</f>
        <v>0</v>
      </c>
      <c r="AG106" s="207">
        <f>SUMIFS('январь 2023'!$G$4:$G$508,'январь 2023'!$D$4:$D$508,#REF!,'январь 2023'!$J$4:$J$508,AG$1)</f>
        <v>0</v>
      </c>
      <c r="AH106" s="207">
        <f>SUMIFS('январь 2023'!$G$4:$G$508,'январь 2023'!$D$4:$D$508,#REF!,'январь 2023'!$J$4:$J$508,AH$1)</f>
        <v>0</v>
      </c>
      <c r="AI106" s="170">
        <f t="shared" si="2"/>
        <v>0</v>
      </c>
    </row>
    <row r="107" spans="2:35" ht="15" customHeight="1" x14ac:dyDescent="0.25">
      <c r="B107" s="212"/>
      <c r="C107" s="211"/>
      <c r="D107" s="207">
        <f>SUMIFS('январь 2023'!$G$4:$G$508,'январь 2023'!$D$4:$D$508,$B106,'январь 2023'!$J$4:$J$508,D$1)</f>
        <v>0</v>
      </c>
      <c r="E107" s="207">
        <f>SUMIFS('январь 2023'!$G$4:$G$508,'январь 2023'!$D$4:$D$508,$B106,'январь 2023'!$J$4:$J$508,E$1)</f>
        <v>0</v>
      </c>
      <c r="F107" s="207">
        <f>SUMIFS('январь 2023'!$G$4:$G$508,'январь 2023'!$D$4:$D$508,$B106,'январь 2023'!$J$4:$J$508,F$1)</f>
        <v>0</v>
      </c>
      <c r="G107" s="207">
        <f>SUMIFS('январь 2023'!$G$4:$G$508,'январь 2023'!$D$4:$D$508,$B106,'январь 2023'!$J$4:$J$508,G$1)</f>
        <v>0</v>
      </c>
      <c r="H107" s="207">
        <f>SUMIFS('январь 2023'!$G$4:$G$508,'январь 2023'!$D$4:$D$508,$B106,'январь 2023'!$J$4:$J$508,H$1)</f>
        <v>0</v>
      </c>
      <c r="I107" s="207">
        <f>SUMIFS('январь 2023'!$G$4:$G$508,'январь 2023'!$D$4:$D$508,$B106,'январь 2023'!$J$4:$J$508,I$1)</f>
        <v>0</v>
      </c>
      <c r="J107" s="207">
        <f>SUMIFS('январь 2023'!$G$4:$G$508,'январь 2023'!$D$4:$D$508,$B106,'январь 2023'!$J$4:$J$508,J$1)</f>
        <v>0</v>
      </c>
      <c r="K107" s="207">
        <f>SUMIFS('январь 2023'!$G$4:$G$508,'январь 2023'!$D$4:$D$508,$B106,'январь 2023'!$J$4:$J$508,K$1)</f>
        <v>0</v>
      </c>
      <c r="L107" s="207">
        <f>SUMIFS('январь 2023'!$G$4:$G$508,'январь 2023'!$D$4:$D$508,$B106,'январь 2023'!$J$4:$J$508,L$1)</f>
        <v>0</v>
      </c>
      <c r="M107" s="207">
        <f>SUMIFS('январь 2023'!$G$4:$G$508,'январь 2023'!$D$4:$D$508,$B106,'январь 2023'!$J$4:$J$508,M$1)</f>
        <v>0</v>
      </c>
      <c r="N107" s="207">
        <f>SUMIFS('январь 2023'!$G$4:$G$508,'январь 2023'!$D$4:$D$508,$B106,'январь 2023'!$J$4:$J$508,N$1)</f>
        <v>0</v>
      </c>
      <c r="O107" s="207">
        <f>SUMIFS('январь 2023'!$G$4:$G$508,'январь 2023'!$D$4:$D$508,$B106,'январь 2023'!$J$4:$J$508,O$1)</f>
        <v>0</v>
      </c>
      <c r="P107" s="207">
        <f>SUMIFS('январь 2023'!$G$4:$G$508,'январь 2023'!$D$4:$D$508,$B106,'январь 2023'!$J$4:$J$508,P$1)</f>
        <v>0</v>
      </c>
      <c r="Q107" s="207">
        <f>SUMIFS('январь 2023'!$G$4:$G$508,'январь 2023'!$D$4:$D$508,$B106,'январь 2023'!$J$4:$J$508,Q$1)</f>
        <v>0</v>
      </c>
      <c r="R107" s="207">
        <f>SUMIFS('январь 2023'!$G$4:$G$508,'январь 2023'!$D$4:$D$508,$B106,'январь 2023'!$J$4:$J$508,R$1)</f>
        <v>0</v>
      </c>
      <c r="S107" s="207">
        <f>SUMIFS('январь 2023'!$G$4:$G$508,'январь 2023'!$D$4:$D$508,$B106,'январь 2023'!$J$4:$J$508,S$1)</f>
        <v>0</v>
      </c>
      <c r="T107" s="207">
        <f>SUMIFS('январь 2023'!$G$4:$G$508,'январь 2023'!$D$4:$D$508,$B106,'январь 2023'!$J$4:$J$508,T$1)</f>
        <v>0</v>
      </c>
      <c r="U107" s="207">
        <f>SUMIFS('январь 2023'!$G$4:$G$508,'январь 2023'!$D$4:$D$508,$B106,'январь 2023'!$J$4:$J$508,U$1)</f>
        <v>0</v>
      </c>
      <c r="V107" s="207">
        <f>SUMIFS('январь 2023'!$G$4:$G$508,'январь 2023'!$D$4:$D$508,$B106,'январь 2023'!$J$4:$J$508,V$1)</f>
        <v>0</v>
      </c>
      <c r="W107" s="207">
        <f>SUMIFS('январь 2023'!$G$4:$G$508,'январь 2023'!$D$4:$D$508,$B106,'январь 2023'!$J$4:$J$508,W$1)</f>
        <v>0</v>
      </c>
      <c r="X107" s="207">
        <f>SUMIFS('январь 2023'!$G$4:$G$508,'январь 2023'!$D$4:$D$508,$B106,'январь 2023'!$J$4:$J$508,X$1)</f>
        <v>0</v>
      </c>
      <c r="Y107" s="207">
        <f>SUMIFS('январь 2023'!$G$4:$G$508,'январь 2023'!$D$4:$D$508,$B106,'январь 2023'!$J$4:$J$508,Y$1)</f>
        <v>0</v>
      </c>
      <c r="Z107" s="207">
        <f>SUMIFS('январь 2023'!$G$4:$G$508,'январь 2023'!$D$4:$D$508,$B106,'январь 2023'!$J$4:$J$508,Z$1)</f>
        <v>0</v>
      </c>
      <c r="AA107" s="207">
        <f>SUMIFS('январь 2023'!$G$4:$G$508,'январь 2023'!$D$4:$D$508,$B106,'январь 2023'!$J$4:$J$508,AA$1)</f>
        <v>0</v>
      </c>
      <c r="AB107" s="207">
        <f>SUMIFS('январь 2023'!$G$4:$G$508,'январь 2023'!$D$4:$D$508,$B106,'январь 2023'!$J$4:$J$508,AB$1)</f>
        <v>0</v>
      </c>
      <c r="AC107" s="207">
        <f>SUMIFS('январь 2023'!$G$4:$G$508,'январь 2023'!$D$4:$D$508,$B106,'январь 2023'!$J$4:$J$508,AC$1)</f>
        <v>0</v>
      </c>
      <c r="AD107" s="207">
        <f>SUMIFS('январь 2023'!$G$4:$G$508,'январь 2023'!$D$4:$D$508,$B106,'январь 2023'!$J$4:$J$508,AD$1)</f>
        <v>0</v>
      </c>
      <c r="AE107" s="207">
        <f>SUMIFS('январь 2023'!$G$4:$G$508,'январь 2023'!$D$4:$D$508,$B106,'январь 2023'!$J$4:$J$508,AE$1)</f>
        <v>0</v>
      </c>
      <c r="AF107" s="207">
        <f>SUMIFS('январь 2023'!$G$4:$G$508,'январь 2023'!$D$4:$D$508,$B106,'январь 2023'!$J$4:$J$508,AF$1)</f>
        <v>0</v>
      </c>
      <c r="AG107" s="207">
        <f>SUMIFS('январь 2023'!$G$4:$G$508,'январь 2023'!$D$4:$D$508,$B106,'январь 2023'!$J$4:$J$508,AG$1)</f>
        <v>0</v>
      </c>
      <c r="AH107" s="207">
        <f>SUMIFS('январь 2023'!$G$4:$G$508,'январь 2023'!$D$4:$D$508,$B106,'январь 2023'!$J$4:$J$508,AH$1)</f>
        <v>0</v>
      </c>
      <c r="AI107" s="170">
        <f t="shared" si="2"/>
        <v>0</v>
      </c>
    </row>
    <row r="108" spans="2:35" ht="15" customHeight="1" x14ac:dyDescent="0.25">
      <c r="B108" s="212"/>
      <c r="C108" s="211"/>
      <c r="D108" s="207">
        <f>SUMIFS('январь 2023'!$G$4:$G$508,'январь 2023'!$D$4:$D$508,$B108,'январь 2023'!$J$4:$J$508,D$1)</f>
        <v>0</v>
      </c>
      <c r="E108" s="207">
        <f>SUMIFS('январь 2023'!$G$4:$G$508,'январь 2023'!$D$4:$D$508,$B108,'январь 2023'!$J$4:$J$508,E$1)</f>
        <v>0</v>
      </c>
      <c r="F108" s="207">
        <f>SUMIFS('январь 2023'!$G$4:$G$508,'январь 2023'!$D$4:$D$508,$B108,'январь 2023'!$J$4:$J$508,F$1)</f>
        <v>0</v>
      </c>
      <c r="G108" s="207">
        <f>SUMIFS('январь 2023'!$G$4:$G$508,'январь 2023'!$D$4:$D$508,$B108,'январь 2023'!$J$4:$J$508,G$1)</f>
        <v>0</v>
      </c>
      <c r="H108" s="207">
        <f>SUMIFS('январь 2023'!$G$4:$G$508,'январь 2023'!$D$4:$D$508,$B108,'январь 2023'!$J$4:$J$508,H$1)</f>
        <v>0</v>
      </c>
      <c r="I108" s="207">
        <f>SUMIFS('январь 2023'!$G$4:$G$508,'январь 2023'!$D$4:$D$508,$B108,'январь 2023'!$J$4:$J$508,I$1)</f>
        <v>0</v>
      </c>
      <c r="J108" s="207">
        <f>SUMIFS('январь 2023'!$G$4:$G$508,'январь 2023'!$D$4:$D$508,$B108,'январь 2023'!$J$4:$J$508,J$1)</f>
        <v>0</v>
      </c>
      <c r="K108" s="207">
        <f>SUMIFS('январь 2023'!$G$4:$G$508,'январь 2023'!$D$4:$D$508,$B108,'январь 2023'!$J$4:$J$508,K$1)</f>
        <v>0</v>
      </c>
      <c r="L108" s="207">
        <f>SUMIFS('январь 2023'!$G$4:$G$508,'январь 2023'!$D$4:$D$508,$B108,'январь 2023'!$J$4:$J$508,L$1)</f>
        <v>0</v>
      </c>
      <c r="M108" s="207">
        <f>SUMIFS('январь 2023'!$G$4:$G$508,'январь 2023'!$D$4:$D$508,$B108,'январь 2023'!$J$4:$J$508,M$1)</f>
        <v>0</v>
      </c>
      <c r="N108" s="207">
        <f>SUMIFS('январь 2023'!$G$4:$G$508,'январь 2023'!$D$4:$D$508,$B108,'январь 2023'!$J$4:$J$508,N$1)</f>
        <v>0</v>
      </c>
      <c r="O108" s="207">
        <f>SUMIFS('январь 2023'!$G$4:$G$508,'январь 2023'!$D$4:$D$508,$B108,'январь 2023'!$J$4:$J$508,O$1)</f>
        <v>0</v>
      </c>
      <c r="P108" s="207">
        <f>SUMIFS('январь 2023'!$G$4:$G$508,'январь 2023'!$D$4:$D$508,$B108,'январь 2023'!$J$4:$J$508,P$1)</f>
        <v>0</v>
      </c>
      <c r="Q108" s="207">
        <f>SUMIFS('январь 2023'!$G$4:$G$508,'январь 2023'!$D$4:$D$508,$B108,'январь 2023'!$J$4:$J$508,Q$1)</f>
        <v>0</v>
      </c>
      <c r="R108" s="207">
        <f>SUMIFS('январь 2023'!$G$4:$G$508,'январь 2023'!$D$4:$D$508,$B108,'январь 2023'!$J$4:$J$508,R$1)</f>
        <v>0</v>
      </c>
      <c r="S108" s="207">
        <f>SUMIFS('январь 2023'!$G$4:$G$508,'январь 2023'!$D$4:$D$508,$B108,'январь 2023'!$J$4:$J$508,S$1)</f>
        <v>0</v>
      </c>
      <c r="T108" s="207">
        <f>SUMIFS('январь 2023'!$G$4:$G$508,'январь 2023'!$D$4:$D$508,$B108,'январь 2023'!$J$4:$J$508,T$1)</f>
        <v>0</v>
      </c>
      <c r="U108" s="207">
        <f>SUMIFS('январь 2023'!$G$4:$G$508,'январь 2023'!$D$4:$D$508,$B108,'январь 2023'!$J$4:$J$508,U$1)</f>
        <v>0</v>
      </c>
      <c r="V108" s="207">
        <f>SUMIFS('январь 2023'!$G$4:$G$508,'январь 2023'!$D$4:$D$508,$B108,'январь 2023'!$J$4:$J$508,V$1)</f>
        <v>0</v>
      </c>
      <c r="W108" s="207">
        <f>SUMIFS('январь 2023'!$G$4:$G$508,'январь 2023'!$D$4:$D$508,$B108,'январь 2023'!$J$4:$J$508,W$1)</f>
        <v>0</v>
      </c>
      <c r="X108" s="207">
        <f>SUMIFS('январь 2023'!$G$4:$G$508,'январь 2023'!$D$4:$D$508,$B108,'январь 2023'!$J$4:$J$508,X$1)</f>
        <v>0</v>
      </c>
      <c r="Y108" s="207">
        <f>SUMIFS('январь 2023'!$G$4:$G$508,'январь 2023'!$D$4:$D$508,$B108,'январь 2023'!$J$4:$J$508,Y$1)</f>
        <v>0</v>
      </c>
      <c r="Z108" s="207">
        <f>SUMIFS('январь 2023'!$G$4:$G$508,'январь 2023'!$D$4:$D$508,$B108,'январь 2023'!$J$4:$J$508,Z$1)</f>
        <v>0</v>
      </c>
      <c r="AA108" s="207">
        <f>SUMIFS('январь 2023'!$G$4:$G$508,'январь 2023'!$D$4:$D$508,$B108,'январь 2023'!$J$4:$J$508,AA$1)</f>
        <v>0</v>
      </c>
      <c r="AB108" s="207">
        <f>SUMIFS('январь 2023'!$G$4:$G$508,'январь 2023'!$D$4:$D$508,$B108,'январь 2023'!$J$4:$J$508,AB$1)</f>
        <v>0</v>
      </c>
      <c r="AC108" s="207">
        <f>SUMIFS('январь 2023'!$G$4:$G$508,'январь 2023'!$D$4:$D$508,$B108,'январь 2023'!$J$4:$J$508,AC$1)</f>
        <v>0</v>
      </c>
      <c r="AD108" s="207">
        <f>SUMIFS('январь 2023'!$G$4:$G$508,'январь 2023'!$D$4:$D$508,$B108,'январь 2023'!$J$4:$J$508,AD$1)</f>
        <v>0</v>
      </c>
      <c r="AE108" s="207">
        <f>SUMIFS('январь 2023'!$G$4:$G$508,'январь 2023'!$D$4:$D$508,$B108,'январь 2023'!$J$4:$J$508,AE$1)</f>
        <v>0</v>
      </c>
      <c r="AF108" s="207">
        <f>SUMIFS('январь 2023'!$G$4:$G$508,'январь 2023'!$D$4:$D$508,$B108,'январь 2023'!$J$4:$J$508,AF$1)</f>
        <v>0</v>
      </c>
      <c r="AG108" s="207">
        <f>SUMIFS('январь 2023'!$G$4:$G$508,'январь 2023'!$D$4:$D$508,$B108,'январь 2023'!$J$4:$J$508,AG$1)</f>
        <v>0</v>
      </c>
      <c r="AH108" s="207">
        <f>SUMIFS('январь 2023'!$G$4:$G$508,'январь 2023'!$D$4:$D$508,$B108,'январь 2023'!$J$4:$J$508,AH$1)</f>
        <v>0</v>
      </c>
      <c r="AI108" s="170">
        <f t="shared" si="2"/>
        <v>0</v>
      </c>
    </row>
    <row r="109" spans="2:35" ht="15" hidden="1" customHeight="1" x14ac:dyDescent="0.25">
      <c r="B109" s="212"/>
      <c r="C109" s="211"/>
      <c r="D109" s="207">
        <f>SUMIFS('январь 2023'!$G$4:$G$508,'январь 2023'!$D$4:$D$508,$B109,'январь 2023'!$J$4:$J$508,D$1)</f>
        <v>0</v>
      </c>
      <c r="E109" s="207">
        <f>SUMIFS('январь 2023'!$G$4:$G$508,'январь 2023'!$D$4:$D$508,$B109,'январь 2023'!$J$4:$J$508,E$1)</f>
        <v>0</v>
      </c>
      <c r="F109" s="207">
        <f>SUMIFS('январь 2023'!$G$4:$G$508,'январь 2023'!$D$4:$D$508,$B109,'январь 2023'!$J$4:$J$508,F$1)</f>
        <v>0</v>
      </c>
      <c r="G109" s="207">
        <f>SUMIFS('январь 2023'!$G$4:$G$508,'январь 2023'!$D$4:$D$508,$B109,'январь 2023'!$J$4:$J$508,G$1)</f>
        <v>0</v>
      </c>
      <c r="H109" s="207">
        <f>SUMIFS('январь 2023'!$G$4:$G$508,'январь 2023'!$D$4:$D$508,$B109,'январь 2023'!$J$4:$J$508,H$1)</f>
        <v>0</v>
      </c>
      <c r="I109" s="207">
        <f>SUMIFS('январь 2023'!$G$4:$G$508,'январь 2023'!$D$4:$D$508,$B109,'январь 2023'!$J$4:$J$508,I$1)</f>
        <v>0</v>
      </c>
      <c r="J109" s="207">
        <f>SUMIFS('январь 2023'!$G$4:$G$508,'январь 2023'!$D$4:$D$508,$B109,'январь 2023'!$J$4:$J$508,J$1)</f>
        <v>0</v>
      </c>
      <c r="K109" s="207">
        <f>SUMIFS('январь 2023'!$G$4:$G$508,'январь 2023'!$D$4:$D$508,$B109,'январь 2023'!$J$4:$J$508,K$1)</f>
        <v>0</v>
      </c>
      <c r="L109" s="207">
        <f>SUMIFS('январь 2023'!$G$4:$G$508,'январь 2023'!$D$4:$D$508,$B109,'январь 2023'!$J$4:$J$508,L$1)</f>
        <v>0</v>
      </c>
      <c r="M109" s="207">
        <f>SUMIFS('январь 2023'!$G$4:$G$508,'январь 2023'!$D$4:$D$508,$B109,'январь 2023'!$J$4:$J$508,M$1)</f>
        <v>0</v>
      </c>
      <c r="N109" s="207">
        <f>SUMIFS('январь 2023'!$G$4:$G$508,'январь 2023'!$D$4:$D$508,$B109,'январь 2023'!$J$4:$J$508,N$1)</f>
        <v>0</v>
      </c>
      <c r="O109" s="207">
        <f>SUMIFS('январь 2023'!$G$4:$G$508,'январь 2023'!$D$4:$D$508,$B109,'январь 2023'!$J$4:$J$508,O$1)</f>
        <v>0</v>
      </c>
      <c r="P109" s="207">
        <f>SUMIFS('январь 2023'!$G$4:$G$508,'январь 2023'!$D$4:$D$508,$B109,'январь 2023'!$J$4:$J$508,P$1)</f>
        <v>0</v>
      </c>
      <c r="Q109" s="207">
        <f>SUMIFS('январь 2023'!$G$4:$G$508,'январь 2023'!$D$4:$D$508,$B109,'январь 2023'!$J$4:$J$508,Q$1)</f>
        <v>0</v>
      </c>
      <c r="R109" s="207">
        <f>SUMIFS('январь 2023'!$G$4:$G$508,'январь 2023'!$D$4:$D$508,$B109,'январь 2023'!$J$4:$J$508,R$1)</f>
        <v>0</v>
      </c>
      <c r="S109" s="207">
        <f>SUMIFS('январь 2023'!$G$4:$G$508,'январь 2023'!$D$4:$D$508,$B109,'январь 2023'!$J$4:$J$508,S$1)</f>
        <v>0</v>
      </c>
      <c r="T109" s="207">
        <f>SUMIFS('январь 2023'!$G$4:$G$508,'январь 2023'!$D$4:$D$508,$B109,'январь 2023'!$J$4:$J$508,T$1)</f>
        <v>0</v>
      </c>
      <c r="U109" s="207">
        <f>SUMIFS('январь 2023'!$G$4:$G$508,'январь 2023'!$D$4:$D$508,$B109,'январь 2023'!$J$4:$J$508,U$1)</f>
        <v>0</v>
      </c>
      <c r="V109" s="207">
        <f>SUMIFS('январь 2023'!$G$4:$G$508,'январь 2023'!$D$4:$D$508,$B109,'январь 2023'!$J$4:$J$508,V$1)</f>
        <v>0</v>
      </c>
      <c r="W109" s="207">
        <f>SUMIFS('январь 2023'!$G$4:$G$508,'январь 2023'!$D$4:$D$508,$B109,'январь 2023'!$J$4:$J$508,W$1)</f>
        <v>0</v>
      </c>
      <c r="X109" s="207">
        <f>SUMIFS('январь 2023'!$G$4:$G$508,'январь 2023'!$D$4:$D$508,$B109,'январь 2023'!$J$4:$J$508,X$1)</f>
        <v>0</v>
      </c>
      <c r="Y109" s="207">
        <f>SUMIFS('январь 2023'!$G$4:$G$508,'январь 2023'!$D$4:$D$508,$B109,'январь 2023'!$J$4:$J$508,Y$1)</f>
        <v>0</v>
      </c>
      <c r="Z109" s="207">
        <f>SUMIFS('январь 2023'!$G$4:$G$508,'январь 2023'!$D$4:$D$508,$B109,'январь 2023'!$J$4:$J$508,Z$1)</f>
        <v>0</v>
      </c>
      <c r="AA109" s="207">
        <f>SUMIFS('январь 2023'!$G$4:$G$508,'январь 2023'!$D$4:$D$508,$B109,'январь 2023'!$J$4:$J$508,AA$1)</f>
        <v>0</v>
      </c>
      <c r="AB109" s="207">
        <f>SUMIFS('январь 2023'!$G$4:$G$508,'январь 2023'!$D$4:$D$508,$B109,'январь 2023'!$J$4:$J$508,AB$1)</f>
        <v>0</v>
      </c>
      <c r="AC109" s="207">
        <f>SUMIFS('январь 2023'!$G$4:$G$508,'январь 2023'!$D$4:$D$508,$B109,'январь 2023'!$J$4:$J$508,AC$1)</f>
        <v>0</v>
      </c>
      <c r="AD109" s="207">
        <f>SUMIFS('январь 2023'!$G$4:$G$508,'январь 2023'!$D$4:$D$508,$B109,'январь 2023'!$J$4:$J$508,AD$1)</f>
        <v>0</v>
      </c>
      <c r="AE109" s="207">
        <f>SUMIFS('январь 2023'!$G$4:$G$508,'январь 2023'!$D$4:$D$508,$B109,'январь 2023'!$J$4:$J$508,AE$1)</f>
        <v>0</v>
      </c>
      <c r="AF109" s="207">
        <f>SUMIFS('январь 2023'!$G$4:$G$508,'январь 2023'!$D$4:$D$508,$B109,'январь 2023'!$J$4:$J$508,AF$1)</f>
        <v>0</v>
      </c>
      <c r="AG109" s="207">
        <f>SUMIFS('январь 2023'!$G$4:$G$508,'январь 2023'!$D$4:$D$508,$B109,'январь 2023'!$J$4:$J$508,AG$1)</f>
        <v>0</v>
      </c>
      <c r="AH109" s="207">
        <f>SUMIFS('январь 2023'!$G$4:$G$508,'январь 2023'!$D$4:$D$508,$B109,'январь 2023'!$J$4:$J$508,AH$1)</f>
        <v>0</v>
      </c>
      <c r="AI109" s="220">
        <f t="shared" si="2"/>
        <v>0</v>
      </c>
    </row>
    <row r="110" spans="2:35" ht="15" hidden="1" customHeight="1" x14ac:dyDescent="0.25">
      <c r="B110" s="212"/>
      <c r="C110" s="211"/>
      <c r="D110" s="207">
        <f>SUMIFS('январь 2023'!$G$4:$G$508,'январь 2023'!$D$4:$D$508,$B110,'январь 2023'!$J$4:$J$508,D$1)</f>
        <v>0</v>
      </c>
      <c r="E110" s="207">
        <f>SUMIFS('январь 2023'!$G$4:$G$508,'январь 2023'!$D$4:$D$508,$B110,'январь 2023'!$J$4:$J$508,E$1)</f>
        <v>0</v>
      </c>
      <c r="F110" s="207">
        <f>SUMIFS('январь 2023'!$G$4:$G$508,'январь 2023'!$D$4:$D$508,$B110,'январь 2023'!$J$4:$J$508,F$1)</f>
        <v>0</v>
      </c>
      <c r="G110" s="207">
        <f>SUMIFS('январь 2023'!$G$4:$G$508,'январь 2023'!$D$4:$D$508,$B110,'январь 2023'!$J$4:$J$508,G$1)</f>
        <v>0</v>
      </c>
      <c r="H110" s="207">
        <f>SUMIFS('январь 2023'!$G$4:$G$508,'январь 2023'!$D$4:$D$508,$B110,'январь 2023'!$J$4:$J$508,H$1)</f>
        <v>0</v>
      </c>
      <c r="I110" s="207">
        <f>SUMIFS('январь 2023'!$G$4:$G$508,'январь 2023'!$D$4:$D$508,$B110,'январь 2023'!$J$4:$J$508,I$1)</f>
        <v>0</v>
      </c>
      <c r="J110" s="207">
        <f>SUMIFS('январь 2023'!$G$4:$G$508,'январь 2023'!$D$4:$D$508,$B110,'январь 2023'!$J$4:$J$508,J$1)</f>
        <v>0</v>
      </c>
      <c r="K110" s="207">
        <f>SUMIFS('январь 2023'!$G$4:$G$508,'январь 2023'!$D$4:$D$508,$B110,'январь 2023'!$J$4:$J$508,K$1)</f>
        <v>0</v>
      </c>
      <c r="L110" s="207">
        <f>SUMIFS('январь 2023'!$G$4:$G$508,'январь 2023'!$D$4:$D$508,$B110,'январь 2023'!$J$4:$J$508,L$1)</f>
        <v>0</v>
      </c>
      <c r="M110" s="207">
        <f>SUMIFS('январь 2023'!$G$4:$G$508,'январь 2023'!$D$4:$D$508,$B110,'январь 2023'!$J$4:$J$508,M$1)</f>
        <v>0</v>
      </c>
      <c r="N110" s="207">
        <f>SUMIFS('январь 2023'!$G$4:$G$508,'январь 2023'!$D$4:$D$508,$B110,'январь 2023'!$J$4:$J$508,N$1)</f>
        <v>0</v>
      </c>
      <c r="O110" s="207">
        <f>SUMIFS('январь 2023'!$G$4:$G$508,'январь 2023'!$D$4:$D$508,$B110,'январь 2023'!$J$4:$J$508,O$1)</f>
        <v>0</v>
      </c>
      <c r="P110" s="207">
        <f>SUMIFS('январь 2023'!$G$4:$G$508,'январь 2023'!$D$4:$D$508,$B110,'январь 2023'!$J$4:$J$508,P$1)</f>
        <v>0</v>
      </c>
      <c r="Q110" s="207">
        <f>SUMIFS('январь 2023'!$G$4:$G$508,'январь 2023'!$D$4:$D$508,$B110,'январь 2023'!$J$4:$J$508,Q$1)</f>
        <v>0</v>
      </c>
      <c r="R110" s="207">
        <f>SUMIFS('январь 2023'!$G$4:$G$508,'январь 2023'!$D$4:$D$508,$B110,'январь 2023'!$J$4:$J$508,R$1)</f>
        <v>0</v>
      </c>
      <c r="S110" s="207">
        <f>SUMIFS('январь 2023'!$G$4:$G$508,'январь 2023'!$D$4:$D$508,$B110,'январь 2023'!$J$4:$J$508,S$1)</f>
        <v>0</v>
      </c>
      <c r="T110" s="207">
        <f>SUMIFS('январь 2023'!$G$4:$G$508,'январь 2023'!$D$4:$D$508,$B110,'январь 2023'!$J$4:$J$508,T$1)</f>
        <v>0</v>
      </c>
      <c r="U110" s="207">
        <f>SUMIFS('январь 2023'!$G$4:$G$508,'январь 2023'!$D$4:$D$508,$B110,'январь 2023'!$J$4:$J$508,U$1)</f>
        <v>0</v>
      </c>
      <c r="V110" s="207">
        <f>SUMIFS('январь 2023'!$G$4:$G$508,'январь 2023'!$D$4:$D$508,$B110,'январь 2023'!$J$4:$J$508,V$1)</f>
        <v>0</v>
      </c>
      <c r="W110" s="207">
        <f>SUMIFS('январь 2023'!$G$4:$G$508,'январь 2023'!$D$4:$D$508,$B110,'январь 2023'!$J$4:$J$508,W$1)</f>
        <v>0</v>
      </c>
      <c r="X110" s="207">
        <f>SUMIFS('январь 2023'!$G$4:$G$508,'январь 2023'!$D$4:$D$508,$B110,'январь 2023'!$J$4:$J$508,X$1)</f>
        <v>0</v>
      </c>
      <c r="Y110" s="207">
        <f>SUMIFS('январь 2023'!$G$4:$G$508,'январь 2023'!$D$4:$D$508,$B110,'январь 2023'!$J$4:$J$508,Y$1)</f>
        <v>0</v>
      </c>
      <c r="Z110" s="207">
        <f>SUMIFS('январь 2023'!$G$4:$G$508,'январь 2023'!$D$4:$D$508,$B110,'январь 2023'!$J$4:$J$508,Z$1)</f>
        <v>0</v>
      </c>
      <c r="AA110" s="207">
        <f>SUMIFS('январь 2023'!$G$4:$G$508,'январь 2023'!$D$4:$D$508,$B110,'январь 2023'!$J$4:$J$508,AA$1)</f>
        <v>0</v>
      </c>
      <c r="AB110" s="207">
        <f>SUMIFS('январь 2023'!$G$4:$G$508,'январь 2023'!$D$4:$D$508,$B110,'январь 2023'!$J$4:$J$508,AB$1)</f>
        <v>0</v>
      </c>
      <c r="AC110" s="207">
        <f>SUMIFS('январь 2023'!$G$4:$G$508,'январь 2023'!$D$4:$D$508,$B110,'январь 2023'!$J$4:$J$508,AC$1)</f>
        <v>0</v>
      </c>
      <c r="AD110" s="207">
        <f>SUMIFS('январь 2023'!$G$4:$G$508,'январь 2023'!$D$4:$D$508,$B110,'январь 2023'!$J$4:$J$508,AD$1)</f>
        <v>0</v>
      </c>
      <c r="AE110" s="207">
        <f>SUMIFS('январь 2023'!$G$4:$G$508,'январь 2023'!$D$4:$D$508,$B110,'январь 2023'!$J$4:$J$508,AE$1)</f>
        <v>0</v>
      </c>
      <c r="AF110" s="207">
        <f>SUMIFS('январь 2023'!$G$4:$G$508,'январь 2023'!$D$4:$D$508,$B110,'январь 2023'!$J$4:$J$508,AF$1)</f>
        <v>0</v>
      </c>
      <c r="AG110" s="207">
        <f>SUMIFS('январь 2023'!$G$4:$G$508,'январь 2023'!$D$4:$D$508,$B110,'январь 2023'!$J$4:$J$508,AG$1)</f>
        <v>0</v>
      </c>
      <c r="AH110" s="207">
        <f>SUMIFS('январь 2023'!$G$4:$G$508,'январь 2023'!$D$4:$D$508,$B110,'январь 2023'!$J$4:$J$508,AH$1)</f>
        <v>0</v>
      </c>
      <c r="AI110" s="220">
        <f t="shared" si="2"/>
        <v>0</v>
      </c>
    </row>
    <row r="111" spans="2:35" ht="15" hidden="1" customHeight="1" x14ac:dyDescent="0.25">
      <c r="B111" s="212"/>
      <c r="C111" s="211"/>
      <c r="D111" s="207">
        <f>SUMIFS('январь 2023'!$G$4:$G$508,'январь 2023'!$D$4:$D$508,$B111,'январь 2023'!$J$4:$J$508,D$1)</f>
        <v>0</v>
      </c>
      <c r="E111" s="207">
        <f>SUMIFS('январь 2023'!$G$4:$G$508,'январь 2023'!$D$4:$D$508,$B111,'январь 2023'!$J$4:$J$508,E$1)</f>
        <v>0</v>
      </c>
      <c r="F111" s="207">
        <f>SUMIFS('январь 2023'!$G$4:$G$508,'январь 2023'!$D$4:$D$508,$B111,'январь 2023'!$J$4:$J$508,F$1)</f>
        <v>0</v>
      </c>
      <c r="G111" s="207">
        <f>SUMIFS('январь 2023'!$G$4:$G$508,'январь 2023'!$D$4:$D$508,$B111,'январь 2023'!$J$4:$J$508,G$1)</f>
        <v>0</v>
      </c>
      <c r="H111" s="207">
        <f>SUMIFS('январь 2023'!$G$4:$G$508,'январь 2023'!$D$4:$D$508,$B111,'январь 2023'!$J$4:$J$508,H$1)</f>
        <v>0</v>
      </c>
      <c r="I111" s="207">
        <f>SUMIFS('январь 2023'!$G$4:$G$508,'январь 2023'!$D$4:$D$508,$B111,'январь 2023'!$J$4:$J$508,I$1)</f>
        <v>0</v>
      </c>
      <c r="J111" s="207">
        <f>SUMIFS('январь 2023'!$G$4:$G$508,'январь 2023'!$D$4:$D$508,$B111,'январь 2023'!$J$4:$J$508,J$1)</f>
        <v>0</v>
      </c>
      <c r="K111" s="207">
        <f>SUMIFS('январь 2023'!$G$4:$G$508,'январь 2023'!$D$4:$D$508,$B111,'январь 2023'!$J$4:$J$508,K$1)</f>
        <v>0</v>
      </c>
      <c r="L111" s="207">
        <f>SUMIFS('январь 2023'!$G$4:$G$508,'январь 2023'!$D$4:$D$508,$B111,'январь 2023'!$J$4:$J$508,L$1)</f>
        <v>0</v>
      </c>
      <c r="M111" s="207">
        <f>SUMIFS('январь 2023'!$G$4:$G$508,'январь 2023'!$D$4:$D$508,$B111,'январь 2023'!$J$4:$J$508,M$1)</f>
        <v>0</v>
      </c>
      <c r="N111" s="207">
        <f>SUMIFS('январь 2023'!$G$4:$G$508,'январь 2023'!$D$4:$D$508,$B111,'январь 2023'!$J$4:$J$508,N$1)</f>
        <v>0</v>
      </c>
      <c r="O111" s="207">
        <f>SUMIFS('январь 2023'!$G$4:$G$508,'январь 2023'!$D$4:$D$508,$B111,'январь 2023'!$J$4:$J$508,O$1)</f>
        <v>0</v>
      </c>
      <c r="P111" s="207">
        <f>SUMIFS('январь 2023'!$G$4:$G$508,'январь 2023'!$D$4:$D$508,$B111,'январь 2023'!$J$4:$J$508,P$1)</f>
        <v>0</v>
      </c>
      <c r="Q111" s="207">
        <f>SUMIFS('январь 2023'!$G$4:$G$508,'январь 2023'!$D$4:$D$508,$B111,'январь 2023'!$J$4:$J$508,Q$1)</f>
        <v>0</v>
      </c>
      <c r="R111" s="207">
        <f>SUMIFS('январь 2023'!$G$4:$G$508,'январь 2023'!$D$4:$D$508,$B111,'январь 2023'!$J$4:$J$508,R$1)</f>
        <v>0</v>
      </c>
      <c r="S111" s="207">
        <f>SUMIFS('январь 2023'!$G$4:$G$508,'январь 2023'!$D$4:$D$508,$B111,'январь 2023'!$J$4:$J$508,S$1)</f>
        <v>0</v>
      </c>
      <c r="T111" s="207">
        <f>SUMIFS('январь 2023'!$G$4:$G$508,'январь 2023'!$D$4:$D$508,$B111,'январь 2023'!$J$4:$J$508,T$1)</f>
        <v>0</v>
      </c>
      <c r="U111" s="207">
        <f>SUMIFS('январь 2023'!$G$4:$G$508,'январь 2023'!$D$4:$D$508,$B111,'январь 2023'!$J$4:$J$508,U$1)</f>
        <v>0</v>
      </c>
      <c r="V111" s="207">
        <f>SUMIFS('январь 2023'!$G$4:$G$508,'январь 2023'!$D$4:$D$508,$B111,'январь 2023'!$J$4:$J$508,V$1)</f>
        <v>0</v>
      </c>
      <c r="W111" s="207">
        <f>SUMIFS('январь 2023'!$G$4:$G$508,'январь 2023'!$D$4:$D$508,$B111,'январь 2023'!$J$4:$J$508,W$1)</f>
        <v>0</v>
      </c>
      <c r="X111" s="207">
        <f>SUMIFS('январь 2023'!$G$4:$G$508,'январь 2023'!$D$4:$D$508,$B111,'январь 2023'!$J$4:$J$508,X$1)</f>
        <v>0</v>
      </c>
      <c r="Y111" s="207">
        <f>SUMIFS('январь 2023'!$G$4:$G$508,'январь 2023'!$D$4:$D$508,$B111,'январь 2023'!$J$4:$J$508,Y$1)</f>
        <v>0</v>
      </c>
      <c r="Z111" s="207">
        <f>SUMIFS('январь 2023'!$G$4:$G$508,'январь 2023'!$D$4:$D$508,$B111,'январь 2023'!$J$4:$J$508,Z$1)</f>
        <v>0</v>
      </c>
      <c r="AA111" s="207">
        <f>SUMIFS('январь 2023'!$G$4:$G$508,'январь 2023'!$D$4:$D$508,$B111,'январь 2023'!$J$4:$J$508,AA$1)</f>
        <v>0</v>
      </c>
      <c r="AB111" s="207">
        <f>SUMIFS('январь 2023'!$G$4:$G$508,'январь 2023'!$D$4:$D$508,$B111,'январь 2023'!$J$4:$J$508,AB$1)</f>
        <v>0</v>
      </c>
      <c r="AC111" s="207">
        <f>SUMIFS('январь 2023'!$G$4:$G$508,'январь 2023'!$D$4:$D$508,$B111,'январь 2023'!$J$4:$J$508,AC$1)</f>
        <v>0</v>
      </c>
      <c r="AD111" s="207">
        <f>SUMIFS('январь 2023'!$G$4:$G$508,'январь 2023'!$D$4:$D$508,$B111,'январь 2023'!$J$4:$J$508,AD$1)</f>
        <v>0</v>
      </c>
      <c r="AE111" s="207">
        <f>SUMIFS('январь 2023'!$G$4:$G$508,'январь 2023'!$D$4:$D$508,$B111,'январь 2023'!$J$4:$J$508,AE$1)</f>
        <v>0</v>
      </c>
      <c r="AF111" s="207">
        <f>SUMIFS('январь 2023'!$G$4:$G$508,'январь 2023'!$D$4:$D$508,$B111,'январь 2023'!$J$4:$J$508,AF$1)</f>
        <v>0</v>
      </c>
      <c r="AG111" s="207">
        <f>SUMIFS('январь 2023'!$G$4:$G$508,'январь 2023'!$D$4:$D$508,$B111,'январь 2023'!$J$4:$J$508,AG$1)</f>
        <v>0</v>
      </c>
      <c r="AH111" s="207">
        <f>SUMIFS('январь 2023'!$G$4:$G$508,'январь 2023'!$D$4:$D$508,$B111,'январь 2023'!$J$4:$J$508,AH$1)</f>
        <v>0</v>
      </c>
      <c r="AI111" s="220">
        <f t="shared" si="2"/>
        <v>0</v>
      </c>
    </row>
    <row r="112" spans="2:35" ht="15" hidden="1" customHeight="1" x14ac:dyDescent="0.25">
      <c r="B112" s="212"/>
      <c r="C112" s="211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20"/>
    </row>
    <row r="113" spans="2:35" ht="15" hidden="1" customHeight="1" x14ac:dyDescent="0.25">
      <c r="B113" s="212"/>
      <c r="C113" s="211"/>
      <c r="D113" s="207">
        <f>SUMIFS('январь 2023'!$G$4:$G$508,'январь 2023'!$D$4:$D$508,$B113,'январь 2023'!$J$4:$J$508,D$1)</f>
        <v>0</v>
      </c>
      <c r="E113" s="207">
        <f>SUMIFS('январь 2023'!$G$4:$G$508,'январь 2023'!$D$4:$D$508,$B113,'январь 2023'!$J$4:$J$508,E$1)</f>
        <v>0</v>
      </c>
      <c r="F113" s="207">
        <f>SUMIFS('январь 2023'!$G$4:$G$508,'январь 2023'!$D$4:$D$508,$B113,'январь 2023'!$J$4:$J$508,F$1)</f>
        <v>0</v>
      </c>
      <c r="G113" s="207">
        <f>SUMIFS('январь 2023'!$G$4:$G$508,'январь 2023'!$D$4:$D$508,$B113,'январь 2023'!$J$4:$J$508,G$1)</f>
        <v>0</v>
      </c>
      <c r="H113" s="207">
        <f>SUMIFS('январь 2023'!$G$4:$G$508,'январь 2023'!$D$4:$D$508,$B113,'январь 2023'!$J$4:$J$508,H$1)</f>
        <v>0</v>
      </c>
      <c r="I113" s="207">
        <f>SUMIFS('январь 2023'!$G$4:$G$508,'январь 2023'!$D$4:$D$508,$B113,'январь 2023'!$J$4:$J$508,I$1)</f>
        <v>0</v>
      </c>
      <c r="J113" s="207">
        <f>SUMIFS('январь 2023'!$G$4:$G$508,'январь 2023'!$D$4:$D$508,$B113,'январь 2023'!$J$4:$J$508,J$1)</f>
        <v>0</v>
      </c>
      <c r="K113" s="207">
        <f>SUMIFS('январь 2023'!$G$4:$G$508,'январь 2023'!$D$4:$D$508,$B113,'январь 2023'!$J$4:$J$508,K$1)</f>
        <v>0</v>
      </c>
      <c r="L113" s="207">
        <f>SUMIFS('январь 2023'!$G$4:$G$508,'январь 2023'!$D$4:$D$508,$B113,'январь 2023'!$J$4:$J$508,L$1)</f>
        <v>0</v>
      </c>
      <c r="M113" s="207">
        <f>SUMIFS('январь 2023'!$G$4:$G$508,'январь 2023'!$D$4:$D$508,$B113,'январь 2023'!$J$4:$J$508,M$1)</f>
        <v>0</v>
      </c>
      <c r="N113" s="207">
        <f>SUMIFS('январь 2023'!$G$4:$G$508,'январь 2023'!$D$4:$D$508,$B113,'январь 2023'!$J$4:$J$508,N$1)</f>
        <v>0</v>
      </c>
      <c r="O113" s="207">
        <f>SUMIFS('январь 2023'!$G$4:$G$508,'январь 2023'!$D$4:$D$508,$B113,'январь 2023'!$J$4:$J$508,O$1)</f>
        <v>0</v>
      </c>
      <c r="P113" s="207">
        <f>SUMIFS('январь 2023'!$G$4:$G$508,'январь 2023'!$D$4:$D$508,$B113,'январь 2023'!$J$4:$J$508,P$1)</f>
        <v>0</v>
      </c>
      <c r="Q113" s="207">
        <f>SUMIFS('январь 2023'!$G$4:$G$508,'январь 2023'!$D$4:$D$508,$B113,'январь 2023'!$J$4:$J$508,Q$1)</f>
        <v>0</v>
      </c>
      <c r="R113" s="207">
        <f>SUMIFS('январь 2023'!$G$4:$G$508,'январь 2023'!$D$4:$D$508,$B113,'январь 2023'!$J$4:$J$508,R$1)</f>
        <v>0</v>
      </c>
      <c r="S113" s="207">
        <f>SUMIFS('январь 2023'!$G$4:$G$508,'январь 2023'!$D$4:$D$508,$B113,'январь 2023'!$J$4:$J$508,S$1)</f>
        <v>0</v>
      </c>
      <c r="T113" s="207">
        <f>SUMIFS('январь 2023'!$G$4:$G$508,'январь 2023'!$D$4:$D$508,$B113,'январь 2023'!$J$4:$J$508,T$1)</f>
        <v>0</v>
      </c>
      <c r="U113" s="207">
        <f>SUMIFS('январь 2023'!$G$4:$G$508,'январь 2023'!$D$4:$D$508,$B113,'январь 2023'!$J$4:$J$508,U$1)</f>
        <v>0</v>
      </c>
      <c r="V113" s="207">
        <f>SUMIFS('январь 2023'!$G$4:$G$508,'январь 2023'!$D$4:$D$508,$B113,'январь 2023'!$J$4:$J$508,V$1)</f>
        <v>0</v>
      </c>
      <c r="W113" s="207">
        <f>SUMIFS('январь 2023'!$G$4:$G$508,'январь 2023'!$D$4:$D$508,$B113,'январь 2023'!$J$4:$J$508,W$1)</f>
        <v>0</v>
      </c>
      <c r="X113" s="207">
        <f>SUMIFS('январь 2023'!$G$4:$G$508,'январь 2023'!$D$4:$D$508,$B113,'январь 2023'!$J$4:$J$508,X$1)</f>
        <v>0</v>
      </c>
      <c r="Y113" s="207">
        <f>SUMIFS('январь 2023'!$G$4:$G$508,'январь 2023'!$D$4:$D$508,$B113,'январь 2023'!$J$4:$J$508,Y$1)</f>
        <v>0</v>
      </c>
      <c r="Z113" s="207">
        <f>SUMIFS('январь 2023'!$G$4:$G$508,'январь 2023'!$D$4:$D$508,$B113,'январь 2023'!$J$4:$J$508,Z$1)</f>
        <v>0</v>
      </c>
      <c r="AA113" s="207">
        <f>SUMIFS('январь 2023'!$G$4:$G$508,'январь 2023'!$D$4:$D$508,$B113,'январь 2023'!$J$4:$J$508,AA$1)</f>
        <v>0</v>
      </c>
      <c r="AB113" s="207">
        <f>SUMIFS('январь 2023'!$G$4:$G$508,'январь 2023'!$D$4:$D$508,$B113,'январь 2023'!$J$4:$J$508,AB$1)</f>
        <v>0</v>
      </c>
      <c r="AC113" s="207">
        <f>SUMIFS('январь 2023'!$G$4:$G$508,'январь 2023'!$D$4:$D$508,$B113,'январь 2023'!$J$4:$J$508,AC$1)</f>
        <v>0</v>
      </c>
      <c r="AD113" s="207">
        <f>SUMIFS('январь 2023'!$G$4:$G$508,'январь 2023'!$D$4:$D$508,$B113,'январь 2023'!$J$4:$J$508,AD$1)</f>
        <v>0</v>
      </c>
      <c r="AE113" s="207">
        <f>SUMIFS('январь 2023'!$G$4:$G$508,'январь 2023'!$D$4:$D$508,$B113,'январь 2023'!$J$4:$J$508,AE$1)</f>
        <v>0</v>
      </c>
      <c r="AF113" s="207">
        <f>SUMIFS('январь 2023'!$G$4:$G$508,'январь 2023'!$D$4:$D$508,$B113,'январь 2023'!$J$4:$J$508,AF$1)</f>
        <v>0</v>
      </c>
      <c r="AG113" s="207">
        <f>SUMIFS('январь 2023'!$G$4:$G$508,'январь 2023'!$D$4:$D$508,$B113,'январь 2023'!$J$4:$J$508,AG$1)</f>
        <v>0</v>
      </c>
      <c r="AH113" s="207">
        <f>SUMIFS('январь 2023'!$G$4:$G$508,'январь 2023'!$D$4:$D$508,$B113,'январь 2023'!$J$4:$J$508,AH$1)</f>
        <v>0</v>
      </c>
      <c r="AI113" s="220">
        <f t="shared" si="2"/>
        <v>0</v>
      </c>
    </row>
    <row r="114" spans="2:35" ht="15" hidden="1" customHeight="1" x14ac:dyDescent="0.25">
      <c r="B114" s="212"/>
      <c r="C114" s="211"/>
      <c r="D114" s="207">
        <f>SUMIFS('январь 2023'!$G$4:$G$508,'январь 2023'!$D$4:$D$508,$B114,'январь 2023'!$J$4:$J$508,D$1)</f>
        <v>0</v>
      </c>
      <c r="E114" s="207">
        <f>SUMIFS('январь 2023'!$G$4:$G$508,'январь 2023'!$D$4:$D$508,$B114,'январь 2023'!$J$4:$J$508,E$1)</f>
        <v>0</v>
      </c>
      <c r="F114" s="207">
        <f>SUMIFS('январь 2023'!$G$4:$G$508,'январь 2023'!$D$4:$D$508,$B114,'январь 2023'!$J$4:$J$508,F$1)</f>
        <v>0</v>
      </c>
      <c r="G114" s="207">
        <f>SUMIFS('январь 2023'!$G$4:$G$508,'январь 2023'!$D$4:$D$508,$B114,'январь 2023'!$J$4:$J$508,G$1)</f>
        <v>0</v>
      </c>
      <c r="H114" s="207">
        <f>SUMIFS('январь 2023'!$G$4:$G$508,'январь 2023'!$D$4:$D$508,$B114,'январь 2023'!$J$4:$J$508,H$1)</f>
        <v>0</v>
      </c>
      <c r="I114" s="207">
        <f>SUMIFS('январь 2023'!$G$4:$G$508,'январь 2023'!$D$4:$D$508,$B114,'январь 2023'!$J$4:$J$508,I$1)</f>
        <v>0</v>
      </c>
      <c r="J114" s="207">
        <f>SUMIFS('январь 2023'!$G$4:$G$508,'январь 2023'!$D$4:$D$508,$B114,'январь 2023'!$J$4:$J$508,J$1)</f>
        <v>0</v>
      </c>
      <c r="K114" s="207">
        <f>SUMIFS('январь 2023'!$G$4:$G$508,'январь 2023'!$D$4:$D$508,$B114,'январь 2023'!$J$4:$J$508,K$1)</f>
        <v>0</v>
      </c>
      <c r="L114" s="207">
        <f>SUMIFS('январь 2023'!$G$4:$G$508,'январь 2023'!$D$4:$D$508,$B114,'январь 2023'!$J$4:$J$508,L$1)</f>
        <v>0</v>
      </c>
      <c r="M114" s="207">
        <f>SUMIFS('январь 2023'!$G$4:$G$508,'январь 2023'!$D$4:$D$508,$B114,'январь 2023'!$J$4:$J$508,M$1)</f>
        <v>0</v>
      </c>
      <c r="N114" s="207">
        <f>SUMIFS('январь 2023'!$G$4:$G$508,'январь 2023'!$D$4:$D$508,$B114,'январь 2023'!$J$4:$J$508,N$1)</f>
        <v>0</v>
      </c>
      <c r="O114" s="207">
        <f>SUMIFS('январь 2023'!$G$4:$G$508,'январь 2023'!$D$4:$D$508,$B114,'январь 2023'!$J$4:$J$508,O$1)</f>
        <v>0</v>
      </c>
      <c r="P114" s="207">
        <f>SUMIFS('январь 2023'!$G$4:$G$508,'январь 2023'!$D$4:$D$508,$B114,'январь 2023'!$J$4:$J$508,P$1)</f>
        <v>0</v>
      </c>
      <c r="Q114" s="207">
        <f>SUMIFS('январь 2023'!$G$4:$G$508,'январь 2023'!$D$4:$D$508,$B114,'январь 2023'!$J$4:$J$508,Q$1)</f>
        <v>0</v>
      </c>
      <c r="R114" s="207">
        <f>SUMIFS('январь 2023'!$G$4:$G$508,'январь 2023'!$D$4:$D$508,$B114,'январь 2023'!$J$4:$J$508,R$1)</f>
        <v>0</v>
      </c>
      <c r="S114" s="207">
        <f>SUMIFS('январь 2023'!$G$4:$G$508,'январь 2023'!$D$4:$D$508,$B114,'январь 2023'!$J$4:$J$508,S$1)</f>
        <v>0</v>
      </c>
      <c r="T114" s="207">
        <f>SUMIFS('январь 2023'!$G$4:$G$508,'январь 2023'!$D$4:$D$508,$B114,'январь 2023'!$J$4:$J$508,T$1)</f>
        <v>0</v>
      </c>
      <c r="U114" s="207">
        <f>SUMIFS('январь 2023'!$G$4:$G$508,'январь 2023'!$D$4:$D$508,$B114,'январь 2023'!$J$4:$J$508,U$1)</f>
        <v>0</v>
      </c>
      <c r="V114" s="207">
        <f>SUMIFS('январь 2023'!$G$4:$G$508,'январь 2023'!$D$4:$D$508,$B114,'январь 2023'!$J$4:$J$508,V$1)</f>
        <v>0</v>
      </c>
      <c r="W114" s="207">
        <f>SUMIFS('январь 2023'!$G$4:$G$508,'январь 2023'!$D$4:$D$508,$B114,'январь 2023'!$J$4:$J$508,W$1)</f>
        <v>0</v>
      </c>
      <c r="X114" s="207">
        <f>SUMIFS('январь 2023'!$G$4:$G$508,'январь 2023'!$D$4:$D$508,$B114,'январь 2023'!$J$4:$J$508,X$1)</f>
        <v>0</v>
      </c>
      <c r="Y114" s="207">
        <f>SUMIFS('январь 2023'!$G$4:$G$508,'январь 2023'!$D$4:$D$508,$B114,'январь 2023'!$J$4:$J$508,Y$1)</f>
        <v>0</v>
      </c>
      <c r="Z114" s="207">
        <f>SUMIFS('январь 2023'!$G$4:$G$508,'январь 2023'!$D$4:$D$508,$B114,'январь 2023'!$J$4:$J$508,Z$1)</f>
        <v>0</v>
      </c>
      <c r="AA114" s="207">
        <f>SUMIFS('январь 2023'!$G$4:$G$508,'январь 2023'!$D$4:$D$508,$B114,'январь 2023'!$J$4:$J$508,AA$1)</f>
        <v>0</v>
      </c>
      <c r="AB114" s="207">
        <f>SUMIFS('январь 2023'!$G$4:$G$508,'январь 2023'!$D$4:$D$508,$B114,'январь 2023'!$J$4:$J$508,AB$1)</f>
        <v>0</v>
      </c>
      <c r="AC114" s="207">
        <f>SUMIFS('январь 2023'!$G$4:$G$508,'январь 2023'!$D$4:$D$508,$B114,'январь 2023'!$J$4:$J$508,AC$1)</f>
        <v>0</v>
      </c>
      <c r="AD114" s="207">
        <f>SUMIFS('январь 2023'!$G$4:$G$508,'январь 2023'!$D$4:$D$508,$B114,'январь 2023'!$J$4:$J$508,AD$1)</f>
        <v>0</v>
      </c>
      <c r="AE114" s="207">
        <f>SUMIFS('январь 2023'!$G$4:$G$508,'январь 2023'!$D$4:$D$508,$B114,'январь 2023'!$J$4:$J$508,AE$1)</f>
        <v>0</v>
      </c>
      <c r="AF114" s="207">
        <f>SUMIFS('январь 2023'!$G$4:$G$508,'январь 2023'!$D$4:$D$508,$B114,'январь 2023'!$J$4:$J$508,AF$1)</f>
        <v>0</v>
      </c>
      <c r="AG114" s="207">
        <f>SUMIFS('январь 2023'!$G$4:$G$508,'январь 2023'!$D$4:$D$508,$B114,'январь 2023'!$J$4:$J$508,AG$1)</f>
        <v>0</v>
      </c>
      <c r="AH114" s="207">
        <f>SUMIFS('январь 2023'!$G$4:$G$508,'январь 2023'!$D$4:$D$508,$B114,'январь 2023'!$J$4:$J$508,AH$1)</f>
        <v>0</v>
      </c>
      <c r="AI114" s="220">
        <f t="shared" si="2"/>
        <v>0</v>
      </c>
    </row>
    <row r="115" spans="2:35" ht="15" hidden="1" customHeight="1" x14ac:dyDescent="0.25">
      <c r="B115" s="216"/>
      <c r="C115" s="211"/>
      <c r="D115" s="207">
        <f>SUMIFS('январь 2023'!$G$4:$G$508,'январь 2023'!$D$4:$D$508,$B115,'январь 2023'!$J$4:$J$508,D$1)</f>
        <v>0</v>
      </c>
      <c r="E115" s="207">
        <f>SUMIFS('январь 2023'!$G$4:$G$508,'январь 2023'!$D$4:$D$508,$B115,'январь 2023'!$J$4:$J$508,E$1)</f>
        <v>0</v>
      </c>
      <c r="F115" s="207">
        <f>SUMIFS('январь 2023'!$G$4:$G$508,'январь 2023'!$D$4:$D$508,$B115,'январь 2023'!$J$4:$J$508,F$1)</f>
        <v>0</v>
      </c>
      <c r="G115" s="207">
        <f>SUMIFS('январь 2023'!$G$4:$G$508,'январь 2023'!$D$4:$D$508,$B115,'январь 2023'!$J$4:$J$508,G$1)</f>
        <v>0</v>
      </c>
      <c r="H115" s="207">
        <f>SUMIFS('январь 2023'!$G$4:$G$508,'январь 2023'!$D$4:$D$508,$B115,'январь 2023'!$J$4:$J$508,H$1)</f>
        <v>0</v>
      </c>
      <c r="I115" s="207">
        <f>SUMIFS('январь 2023'!$G$4:$G$508,'январь 2023'!$D$4:$D$508,$B115,'январь 2023'!$J$4:$J$508,I$1)</f>
        <v>0</v>
      </c>
      <c r="J115" s="207">
        <f>SUMIFS('январь 2023'!$G$4:$G$508,'январь 2023'!$D$4:$D$508,$B115,'январь 2023'!$J$4:$J$508,J$1)</f>
        <v>0</v>
      </c>
      <c r="K115" s="207">
        <f>SUMIFS('январь 2023'!$G$4:$G$508,'январь 2023'!$D$4:$D$508,$B115,'январь 2023'!$J$4:$J$508,K$1)</f>
        <v>0</v>
      </c>
      <c r="L115" s="207">
        <f>SUMIFS('январь 2023'!$G$4:$G$508,'январь 2023'!$D$4:$D$508,$B115,'январь 2023'!$J$4:$J$508,L$1)</f>
        <v>0</v>
      </c>
      <c r="M115" s="207">
        <f>SUMIFS('январь 2023'!$G$4:$G$508,'январь 2023'!$D$4:$D$508,$B115,'январь 2023'!$J$4:$J$508,M$1)</f>
        <v>0</v>
      </c>
      <c r="N115" s="207">
        <f>SUMIFS('январь 2023'!$G$4:$G$508,'январь 2023'!$D$4:$D$508,$B115,'январь 2023'!$J$4:$J$508,N$1)</f>
        <v>0</v>
      </c>
      <c r="O115" s="207">
        <f>SUMIFS('январь 2023'!$G$4:$G$508,'январь 2023'!$D$4:$D$508,$B115,'январь 2023'!$J$4:$J$508,O$1)</f>
        <v>0</v>
      </c>
      <c r="P115" s="207">
        <f>SUMIFS('январь 2023'!$G$4:$G$508,'январь 2023'!$D$4:$D$508,$B115,'январь 2023'!$J$4:$J$508,P$1)</f>
        <v>0</v>
      </c>
      <c r="Q115" s="207">
        <f>SUMIFS('январь 2023'!$G$4:$G$508,'январь 2023'!$D$4:$D$508,$B115,'январь 2023'!$J$4:$J$508,Q$1)</f>
        <v>0</v>
      </c>
      <c r="R115" s="207">
        <f>SUMIFS('январь 2023'!$G$4:$G$508,'январь 2023'!$D$4:$D$508,$B115,'январь 2023'!$J$4:$J$508,R$1)</f>
        <v>0</v>
      </c>
      <c r="S115" s="207">
        <f>SUMIFS('январь 2023'!$G$4:$G$508,'январь 2023'!$D$4:$D$508,$B115,'январь 2023'!$J$4:$J$508,S$1)</f>
        <v>0</v>
      </c>
      <c r="T115" s="207">
        <f>SUMIFS('январь 2023'!$G$4:$G$508,'январь 2023'!$D$4:$D$508,$B115,'январь 2023'!$J$4:$J$508,T$1)</f>
        <v>0</v>
      </c>
      <c r="U115" s="207">
        <f>SUMIFS('январь 2023'!$G$4:$G$508,'январь 2023'!$D$4:$D$508,$B115,'январь 2023'!$J$4:$J$508,U$1)</f>
        <v>0</v>
      </c>
      <c r="V115" s="207">
        <f>SUMIFS('январь 2023'!$G$4:$G$508,'январь 2023'!$D$4:$D$508,$B115,'январь 2023'!$J$4:$J$508,V$1)</f>
        <v>0</v>
      </c>
      <c r="W115" s="207">
        <f>SUMIFS('январь 2023'!$G$4:$G$508,'январь 2023'!$D$4:$D$508,$B115,'январь 2023'!$J$4:$J$508,W$1)</f>
        <v>0</v>
      </c>
      <c r="X115" s="207">
        <f>SUMIFS('январь 2023'!$G$4:$G$508,'январь 2023'!$D$4:$D$508,$B115,'январь 2023'!$J$4:$J$508,X$1)</f>
        <v>0</v>
      </c>
      <c r="Y115" s="207">
        <f>SUMIFS('январь 2023'!$G$4:$G$508,'январь 2023'!$D$4:$D$508,$B115,'январь 2023'!$J$4:$J$508,Y$1)</f>
        <v>0</v>
      </c>
      <c r="Z115" s="207">
        <f>SUMIFS('январь 2023'!$G$4:$G$508,'январь 2023'!$D$4:$D$508,$B115,'январь 2023'!$J$4:$J$508,Z$1)</f>
        <v>0</v>
      </c>
      <c r="AA115" s="207">
        <f>SUMIFS('январь 2023'!$G$4:$G$508,'январь 2023'!$D$4:$D$508,$B115,'январь 2023'!$J$4:$J$508,AA$1)</f>
        <v>0</v>
      </c>
      <c r="AB115" s="207">
        <f>SUMIFS('январь 2023'!$G$4:$G$508,'январь 2023'!$D$4:$D$508,$B115,'январь 2023'!$J$4:$J$508,AB$1)</f>
        <v>0</v>
      </c>
      <c r="AC115" s="207">
        <f>SUMIFS('январь 2023'!$G$4:$G$508,'январь 2023'!$D$4:$D$508,$B115,'январь 2023'!$J$4:$J$508,AC$1)</f>
        <v>0</v>
      </c>
      <c r="AD115" s="207">
        <f>SUMIFS('январь 2023'!$G$4:$G$508,'январь 2023'!$D$4:$D$508,$B115,'январь 2023'!$J$4:$J$508,AD$1)</f>
        <v>0</v>
      </c>
      <c r="AE115" s="207">
        <f>SUMIFS('январь 2023'!$G$4:$G$508,'январь 2023'!$D$4:$D$508,$B115,'январь 2023'!$J$4:$J$508,AE$1)</f>
        <v>0</v>
      </c>
      <c r="AF115" s="207">
        <f>SUMIFS('январь 2023'!$G$4:$G$508,'январь 2023'!$D$4:$D$508,$B115,'январь 2023'!$J$4:$J$508,AF$1)</f>
        <v>0</v>
      </c>
      <c r="AG115" s="207">
        <f>SUMIFS('январь 2023'!$G$4:$G$508,'январь 2023'!$D$4:$D$508,$B115,'январь 2023'!$J$4:$J$508,AG$1)</f>
        <v>0</v>
      </c>
      <c r="AH115" s="207">
        <f>SUMIFS('январь 2023'!$G$4:$G$508,'январь 2023'!$D$4:$D$508,$B115,'январь 2023'!$J$4:$J$508,AH$1)</f>
        <v>0</v>
      </c>
      <c r="AI115" s="220">
        <f t="shared" si="2"/>
        <v>0</v>
      </c>
    </row>
    <row r="116" spans="2:35" ht="15" hidden="1" customHeight="1" x14ac:dyDescent="0.25">
      <c r="B116" s="216"/>
      <c r="C116" s="213"/>
      <c r="D116" s="207">
        <f>SUMIFS('январь 2023'!$G$4:$G$508,'январь 2023'!$D$4:$D$508,$B116,'январь 2023'!$J$4:$J$508,D$1)</f>
        <v>0</v>
      </c>
      <c r="E116" s="207">
        <f>SUMIFS('январь 2023'!$G$4:$G$508,'январь 2023'!$D$4:$D$508,$B116,'январь 2023'!$J$4:$J$508,E$1)</f>
        <v>0</v>
      </c>
      <c r="F116" s="207">
        <f>SUMIFS('январь 2023'!$G$4:$G$508,'январь 2023'!$D$4:$D$508,$B116,'январь 2023'!$J$4:$J$508,F$1)</f>
        <v>0</v>
      </c>
      <c r="G116" s="207">
        <f>SUMIFS('январь 2023'!$G$4:$G$508,'январь 2023'!$D$4:$D$508,$B116,'январь 2023'!$J$4:$J$508,G$1)</f>
        <v>0</v>
      </c>
      <c r="H116" s="207">
        <f>SUMIFS('январь 2023'!$G$4:$G$508,'январь 2023'!$D$4:$D$508,$B116,'январь 2023'!$J$4:$J$508,H$1)</f>
        <v>0</v>
      </c>
      <c r="I116" s="207">
        <f>SUMIFS('январь 2023'!$G$4:$G$508,'январь 2023'!$D$4:$D$508,$B116,'январь 2023'!$J$4:$J$508,I$1)</f>
        <v>0</v>
      </c>
      <c r="J116" s="207">
        <f>SUMIFS('январь 2023'!$G$4:$G$508,'январь 2023'!$D$4:$D$508,$B116,'январь 2023'!$J$4:$J$508,J$1)</f>
        <v>0</v>
      </c>
      <c r="K116" s="207">
        <f>SUMIFS('январь 2023'!$G$4:$G$508,'январь 2023'!$D$4:$D$508,$B116,'январь 2023'!$J$4:$J$508,K$1)</f>
        <v>0</v>
      </c>
      <c r="L116" s="207">
        <f>SUMIFS('январь 2023'!$G$4:$G$508,'январь 2023'!$D$4:$D$508,$B116,'январь 2023'!$J$4:$J$508,L$1)</f>
        <v>0</v>
      </c>
      <c r="M116" s="207">
        <f>SUMIFS('январь 2023'!$G$4:$G$508,'январь 2023'!$D$4:$D$508,$B116,'январь 2023'!$J$4:$J$508,M$1)</f>
        <v>0</v>
      </c>
      <c r="N116" s="207">
        <f>SUMIFS('январь 2023'!$G$4:$G$508,'январь 2023'!$D$4:$D$508,$B116,'январь 2023'!$J$4:$J$508,N$1)</f>
        <v>0</v>
      </c>
      <c r="O116" s="207">
        <f>SUMIFS('январь 2023'!$G$4:$G$508,'январь 2023'!$D$4:$D$508,$B116,'январь 2023'!$J$4:$J$508,O$1)</f>
        <v>0</v>
      </c>
      <c r="P116" s="207">
        <f>SUMIFS('январь 2023'!$G$4:$G$508,'январь 2023'!$D$4:$D$508,$B116,'январь 2023'!$J$4:$J$508,P$1)</f>
        <v>0</v>
      </c>
      <c r="Q116" s="207">
        <f>SUMIFS('январь 2023'!$G$4:$G$508,'январь 2023'!$D$4:$D$508,$B116,'январь 2023'!$J$4:$J$508,Q$1)</f>
        <v>0</v>
      </c>
      <c r="R116" s="207">
        <f>SUMIFS('январь 2023'!$G$4:$G$508,'январь 2023'!$D$4:$D$508,$B116,'январь 2023'!$J$4:$J$508,R$1)</f>
        <v>0</v>
      </c>
      <c r="S116" s="207">
        <f>SUMIFS('январь 2023'!$G$4:$G$508,'январь 2023'!$D$4:$D$508,$B116,'январь 2023'!$J$4:$J$508,S$1)</f>
        <v>0</v>
      </c>
      <c r="T116" s="207">
        <f>SUMIFS('январь 2023'!$G$4:$G$508,'январь 2023'!$D$4:$D$508,$B116,'январь 2023'!$J$4:$J$508,T$1)</f>
        <v>0</v>
      </c>
      <c r="U116" s="207">
        <f>SUMIFS('январь 2023'!$G$4:$G$508,'январь 2023'!$D$4:$D$508,$B116,'январь 2023'!$J$4:$J$508,U$1)</f>
        <v>0</v>
      </c>
      <c r="V116" s="207">
        <f>SUMIFS('январь 2023'!$G$4:$G$508,'январь 2023'!$D$4:$D$508,$B116,'январь 2023'!$J$4:$J$508,V$1)</f>
        <v>0</v>
      </c>
      <c r="W116" s="207">
        <f>SUMIFS('январь 2023'!$G$4:$G$508,'январь 2023'!$D$4:$D$508,$B116,'январь 2023'!$J$4:$J$508,W$1)</f>
        <v>0</v>
      </c>
      <c r="X116" s="207">
        <f>SUMIFS('январь 2023'!$G$4:$G$508,'январь 2023'!$D$4:$D$508,$B116,'январь 2023'!$J$4:$J$508,X$1)</f>
        <v>0</v>
      </c>
      <c r="Y116" s="207">
        <f>SUMIFS('январь 2023'!$G$4:$G$508,'январь 2023'!$D$4:$D$508,$B116,'январь 2023'!$J$4:$J$508,Y$1)</f>
        <v>0</v>
      </c>
      <c r="Z116" s="207">
        <f>SUMIFS('январь 2023'!$G$4:$G$508,'январь 2023'!$D$4:$D$508,$B116,'январь 2023'!$J$4:$J$508,Z$1)</f>
        <v>0</v>
      </c>
      <c r="AA116" s="207">
        <f>SUMIFS('январь 2023'!$G$4:$G$508,'январь 2023'!$D$4:$D$508,$B116,'январь 2023'!$J$4:$J$508,AA$1)</f>
        <v>0</v>
      </c>
      <c r="AB116" s="207">
        <f>SUMIFS('январь 2023'!$G$4:$G$508,'январь 2023'!$D$4:$D$508,$B116,'январь 2023'!$J$4:$J$508,AB$1)</f>
        <v>0</v>
      </c>
      <c r="AC116" s="207">
        <f>SUMIFS('январь 2023'!$G$4:$G$508,'январь 2023'!$D$4:$D$508,$B116,'январь 2023'!$J$4:$J$508,AC$1)</f>
        <v>0</v>
      </c>
      <c r="AD116" s="207">
        <f>SUMIFS('январь 2023'!$G$4:$G$508,'январь 2023'!$D$4:$D$508,$B116,'январь 2023'!$J$4:$J$508,AD$1)</f>
        <v>0</v>
      </c>
      <c r="AE116" s="207">
        <f>SUMIFS('январь 2023'!$G$4:$G$508,'январь 2023'!$D$4:$D$508,$B116,'январь 2023'!$J$4:$J$508,AE$1)</f>
        <v>0</v>
      </c>
      <c r="AF116" s="207">
        <f>SUMIFS('январь 2023'!$G$4:$G$508,'январь 2023'!$D$4:$D$508,$B116,'январь 2023'!$J$4:$J$508,AF$1)</f>
        <v>0</v>
      </c>
      <c r="AG116" s="207">
        <f>SUMIFS('январь 2023'!$G$4:$G$508,'январь 2023'!$D$4:$D$508,$B116,'январь 2023'!$J$4:$J$508,AG$1)</f>
        <v>0</v>
      </c>
      <c r="AH116" s="207">
        <f>SUMIFS('январь 2023'!$G$4:$G$508,'январь 2023'!$D$4:$D$508,$B116,'январь 2023'!$J$4:$J$508,AH$1)</f>
        <v>0</v>
      </c>
      <c r="AI116" s="220">
        <f t="shared" si="2"/>
        <v>0</v>
      </c>
    </row>
    <row r="117" spans="2:35" ht="15" hidden="1" customHeight="1" x14ac:dyDescent="0.25">
      <c r="B117" s="212"/>
      <c r="C117" s="211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20"/>
    </row>
    <row r="118" spans="2:35" ht="15" hidden="1" customHeight="1" x14ac:dyDescent="0.25">
      <c r="B118" s="217"/>
      <c r="C118" s="213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20"/>
    </row>
    <row r="119" spans="2:35" ht="15" hidden="1" customHeight="1" x14ac:dyDescent="0.25">
      <c r="B119" s="212"/>
      <c r="C119" s="213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20"/>
    </row>
    <row r="120" spans="2:35" ht="15" hidden="1" customHeight="1" x14ac:dyDescent="0.25">
      <c r="B120" s="212"/>
      <c r="C120" s="211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20"/>
    </row>
    <row r="121" spans="2:35" ht="15" hidden="1" customHeight="1" x14ac:dyDescent="0.25">
      <c r="B121" s="212"/>
      <c r="C121" s="211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20"/>
    </row>
    <row r="122" spans="2:35" ht="15" hidden="1" customHeight="1" x14ac:dyDescent="0.25">
      <c r="B122" s="212"/>
      <c r="C122" s="211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20"/>
    </row>
    <row r="123" spans="2:35" ht="15" hidden="1" customHeight="1" x14ac:dyDescent="0.25">
      <c r="B123" s="216"/>
      <c r="C123" s="213"/>
      <c r="D123" s="207">
        <f>SUMIFS('январь 2023'!$G$4:$G$508,'январь 2023'!$D$4:$D$508,$B123,'январь 2023'!$J$4:$J$508,D$1)</f>
        <v>0</v>
      </c>
      <c r="E123" s="207">
        <f>SUMIFS('январь 2023'!$G$4:$G$508,'январь 2023'!$D$4:$D$508,$B123,'январь 2023'!$J$4:$J$508,E$1)</f>
        <v>0</v>
      </c>
      <c r="F123" s="207">
        <f>SUMIFS('январь 2023'!$G$4:$G$508,'январь 2023'!$D$4:$D$508,$B123,'январь 2023'!$J$4:$J$508,F$1)</f>
        <v>0</v>
      </c>
      <c r="G123" s="207">
        <f>SUMIFS('январь 2023'!$G$4:$G$508,'январь 2023'!$D$4:$D$508,$B123,'январь 2023'!$J$4:$J$508,G$1)</f>
        <v>0</v>
      </c>
      <c r="H123" s="207">
        <f>SUMIFS('январь 2023'!$G$4:$G$508,'январь 2023'!$D$4:$D$508,$B123,'январь 2023'!$J$4:$J$508,H$1)</f>
        <v>0</v>
      </c>
      <c r="I123" s="207">
        <f>SUMIFS('январь 2023'!$G$4:$G$508,'январь 2023'!$D$4:$D$508,$B123,'январь 2023'!$J$4:$J$508,I$1)</f>
        <v>0</v>
      </c>
      <c r="J123" s="207">
        <f>SUMIFS('январь 2023'!$G$4:$G$508,'январь 2023'!$D$4:$D$508,$B123,'январь 2023'!$J$4:$J$508,J$1)</f>
        <v>0</v>
      </c>
      <c r="K123" s="207">
        <f>SUMIFS('январь 2023'!$G$4:$G$508,'январь 2023'!$D$4:$D$508,$B123,'январь 2023'!$J$4:$J$508,K$1)</f>
        <v>0</v>
      </c>
      <c r="L123" s="207">
        <f>SUMIFS('январь 2023'!$G$4:$G$508,'январь 2023'!$D$4:$D$508,$B123,'январь 2023'!$J$4:$J$508,L$1)</f>
        <v>0</v>
      </c>
      <c r="M123" s="207">
        <f>SUMIFS('январь 2023'!$G$4:$G$508,'январь 2023'!$D$4:$D$508,$B123,'январь 2023'!$J$4:$J$508,M$1)</f>
        <v>0</v>
      </c>
      <c r="N123" s="207">
        <f>SUMIFS('январь 2023'!$G$4:$G$508,'январь 2023'!$D$4:$D$508,$B123,'январь 2023'!$J$4:$J$508,N$1)</f>
        <v>0</v>
      </c>
      <c r="O123" s="207">
        <f>SUMIFS('январь 2023'!$G$4:$G$508,'январь 2023'!$D$4:$D$508,$B123,'январь 2023'!$J$4:$J$508,O$1)</f>
        <v>0</v>
      </c>
      <c r="P123" s="207">
        <f>SUMIFS('январь 2023'!$G$4:$G$508,'январь 2023'!$D$4:$D$508,$B123,'январь 2023'!$J$4:$J$508,P$1)</f>
        <v>0</v>
      </c>
      <c r="Q123" s="207">
        <f>SUMIFS('январь 2023'!$G$4:$G$508,'январь 2023'!$D$4:$D$508,$B123,'январь 2023'!$J$4:$J$508,Q$1)</f>
        <v>0</v>
      </c>
      <c r="R123" s="207">
        <f>SUMIFS('январь 2023'!$G$4:$G$508,'январь 2023'!$D$4:$D$508,$B123,'январь 2023'!$J$4:$J$508,R$1)</f>
        <v>0</v>
      </c>
      <c r="S123" s="207">
        <f>SUMIFS('январь 2023'!$G$4:$G$508,'январь 2023'!$D$4:$D$508,$B123,'январь 2023'!$J$4:$J$508,S$1)</f>
        <v>0</v>
      </c>
      <c r="T123" s="207">
        <f>SUMIFS('январь 2023'!$G$4:$G$508,'январь 2023'!$D$4:$D$508,$B123,'январь 2023'!$J$4:$J$508,T$1)</f>
        <v>0</v>
      </c>
      <c r="U123" s="207">
        <f>SUMIFS('январь 2023'!$G$4:$G$508,'январь 2023'!$D$4:$D$508,$B123,'январь 2023'!$J$4:$J$508,U$1)</f>
        <v>0</v>
      </c>
      <c r="V123" s="207">
        <f>SUMIFS('январь 2023'!$G$4:$G$508,'январь 2023'!$D$4:$D$508,$B123,'январь 2023'!$J$4:$J$508,V$1)</f>
        <v>0</v>
      </c>
      <c r="W123" s="207">
        <f>SUMIFS('январь 2023'!$G$4:$G$508,'январь 2023'!$D$4:$D$508,$B123,'январь 2023'!$J$4:$J$508,W$1)</f>
        <v>0</v>
      </c>
      <c r="X123" s="207">
        <f>SUMIFS('январь 2023'!$G$4:$G$508,'январь 2023'!$D$4:$D$508,$B123,'январь 2023'!$J$4:$J$508,X$1)</f>
        <v>0</v>
      </c>
      <c r="Y123" s="207">
        <f>SUMIFS('январь 2023'!$G$4:$G$508,'январь 2023'!$D$4:$D$508,$B123,'январь 2023'!$J$4:$J$508,Y$1)</f>
        <v>0</v>
      </c>
      <c r="Z123" s="207">
        <f>SUMIFS('январь 2023'!$G$4:$G$508,'январь 2023'!$D$4:$D$508,$B123,'январь 2023'!$J$4:$J$508,Z$1)</f>
        <v>0</v>
      </c>
      <c r="AA123" s="207">
        <f>SUMIFS('январь 2023'!$G$4:$G$508,'январь 2023'!$D$4:$D$508,$B123,'январь 2023'!$J$4:$J$508,AA$1)</f>
        <v>0</v>
      </c>
      <c r="AB123" s="207">
        <f>SUMIFS('январь 2023'!$G$4:$G$508,'январь 2023'!$D$4:$D$508,$B123,'январь 2023'!$J$4:$J$508,AB$1)</f>
        <v>0</v>
      </c>
      <c r="AC123" s="207">
        <f>SUMIFS('январь 2023'!$G$4:$G$508,'январь 2023'!$D$4:$D$508,$B123,'январь 2023'!$J$4:$J$508,AC$1)</f>
        <v>0</v>
      </c>
      <c r="AD123" s="207">
        <f>SUMIFS('январь 2023'!$G$4:$G$508,'январь 2023'!$D$4:$D$508,$B123,'январь 2023'!$J$4:$J$508,AD$1)</f>
        <v>0</v>
      </c>
      <c r="AE123" s="207">
        <f>SUMIFS('январь 2023'!$G$4:$G$508,'январь 2023'!$D$4:$D$508,$B123,'январь 2023'!$J$4:$J$508,AE$1)</f>
        <v>0</v>
      </c>
      <c r="AF123" s="207">
        <f>SUMIFS('январь 2023'!$G$4:$G$508,'январь 2023'!$D$4:$D$508,$B123,'январь 2023'!$J$4:$J$508,AF$1)</f>
        <v>0</v>
      </c>
      <c r="AG123" s="207">
        <f>SUMIFS('январь 2023'!$G$4:$G$508,'январь 2023'!$D$4:$D$508,$B123,'январь 2023'!$J$4:$J$508,AG$1)</f>
        <v>0</v>
      </c>
      <c r="AH123" s="207">
        <f>SUMIFS('январь 2023'!$G$4:$G$508,'январь 2023'!$D$4:$D$508,$B123,'январь 2023'!$J$4:$J$508,AH$1)</f>
        <v>0</v>
      </c>
      <c r="AI123" s="220">
        <f t="shared" si="2"/>
        <v>0</v>
      </c>
    </row>
    <row r="124" spans="2:35" ht="15" hidden="1" customHeight="1" x14ac:dyDescent="0.25">
      <c r="B124" s="216"/>
      <c r="C124" s="213"/>
      <c r="D124" s="207">
        <f>SUMIFS('январь 2023'!$G$4:$G$508,'январь 2023'!$D$4:$D$508,$B124,'январь 2023'!$J$4:$J$508,D$1)</f>
        <v>0</v>
      </c>
      <c r="E124" s="207">
        <f>SUMIFS('январь 2023'!$G$4:$G$508,'январь 2023'!$D$4:$D$508,$B124,'январь 2023'!$J$4:$J$508,E$1)</f>
        <v>0</v>
      </c>
      <c r="F124" s="207">
        <f>SUMIFS('январь 2023'!$G$4:$G$508,'январь 2023'!$D$4:$D$508,$B124,'январь 2023'!$J$4:$J$508,F$1)</f>
        <v>0</v>
      </c>
      <c r="G124" s="207">
        <f>SUMIFS('январь 2023'!$G$4:$G$508,'январь 2023'!$D$4:$D$508,$B124,'январь 2023'!$J$4:$J$508,G$1)</f>
        <v>0</v>
      </c>
      <c r="H124" s="207">
        <f>SUMIFS('январь 2023'!$G$4:$G$508,'январь 2023'!$D$4:$D$508,$B124,'январь 2023'!$J$4:$J$508,H$1)</f>
        <v>0</v>
      </c>
      <c r="I124" s="207">
        <f>SUMIFS('январь 2023'!$G$4:$G$508,'январь 2023'!$D$4:$D$508,$B124,'январь 2023'!$J$4:$J$508,I$1)</f>
        <v>0</v>
      </c>
      <c r="J124" s="207">
        <f>SUMIFS('январь 2023'!$G$4:$G$508,'январь 2023'!$D$4:$D$508,$B124,'январь 2023'!$J$4:$J$508,J$1)</f>
        <v>0</v>
      </c>
      <c r="K124" s="207">
        <f>SUMIFS('январь 2023'!$G$4:$G$508,'январь 2023'!$D$4:$D$508,$B124,'январь 2023'!$J$4:$J$508,K$1)</f>
        <v>0</v>
      </c>
      <c r="L124" s="207">
        <f>SUMIFS('январь 2023'!$G$4:$G$508,'январь 2023'!$D$4:$D$508,$B124,'январь 2023'!$J$4:$J$508,L$1)</f>
        <v>0</v>
      </c>
      <c r="M124" s="207">
        <f>SUMIFS('январь 2023'!$G$4:$G$508,'январь 2023'!$D$4:$D$508,$B124,'январь 2023'!$J$4:$J$508,M$1)</f>
        <v>0</v>
      </c>
      <c r="N124" s="207">
        <f>SUMIFS('январь 2023'!$G$4:$G$508,'январь 2023'!$D$4:$D$508,$B124,'январь 2023'!$J$4:$J$508,N$1)</f>
        <v>0</v>
      </c>
      <c r="O124" s="207">
        <f>SUMIFS('январь 2023'!$G$4:$G$508,'январь 2023'!$D$4:$D$508,$B124,'январь 2023'!$J$4:$J$508,O$1)</f>
        <v>0</v>
      </c>
      <c r="P124" s="207">
        <f>SUMIFS('январь 2023'!$G$4:$G$508,'январь 2023'!$D$4:$D$508,$B124,'январь 2023'!$J$4:$J$508,P$1)</f>
        <v>0</v>
      </c>
      <c r="Q124" s="207">
        <f>SUMIFS('январь 2023'!$G$4:$G$508,'январь 2023'!$D$4:$D$508,$B124,'январь 2023'!$J$4:$J$508,Q$1)</f>
        <v>0</v>
      </c>
      <c r="R124" s="207">
        <f>SUMIFS('январь 2023'!$G$4:$G$508,'январь 2023'!$D$4:$D$508,$B124,'январь 2023'!$J$4:$J$508,R$1)</f>
        <v>0</v>
      </c>
      <c r="S124" s="207">
        <f>SUMIFS('январь 2023'!$G$4:$G$508,'январь 2023'!$D$4:$D$508,$B124,'январь 2023'!$J$4:$J$508,S$1)</f>
        <v>0</v>
      </c>
      <c r="T124" s="207">
        <f>SUMIFS('январь 2023'!$G$4:$G$508,'январь 2023'!$D$4:$D$508,$B124,'январь 2023'!$J$4:$J$508,T$1)</f>
        <v>0</v>
      </c>
      <c r="U124" s="207">
        <f>SUMIFS('январь 2023'!$G$4:$G$508,'январь 2023'!$D$4:$D$508,$B124,'январь 2023'!$J$4:$J$508,U$1)</f>
        <v>0</v>
      </c>
      <c r="V124" s="207">
        <f>SUMIFS('январь 2023'!$G$4:$G$508,'январь 2023'!$D$4:$D$508,$B124,'январь 2023'!$J$4:$J$508,V$1)</f>
        <v>0</v>
      </c>
      <c r="W124" s="207">
        <f>SUMIFS('январь 2023'!$G$4:$G$508,'январь 2023'!$D$4:$D$508,$B124,'январь 2023'!$J$4:$J$508,W$1)</f>
        <v>0</v>
      </c>
      <c r="X124" s="207">
        <f>SUMIFS('январь 2023'!$G$4:$G$508,'январь 2023'!$D$4:$D$508,$B124,'январь 2023'!$J$4:$J$508,X$1)</f>
        <v>0</v>
      </c>
      <c r="Y124" s="207">
        <f>SUMIFS('январь 2023'!$G$4:$G$508,'январь 2023'!$D$4:$D$508,$B124,'январь 2023'!$J$4:$J$508,Y$1)</f>
        <v>0</v>
      </c>
      <c r="Z124" s="207">
        <f>SUMIFS('январь 2023'!$G$4:$G$508,'январь 2023'!$D$4:$D$508,$B124,'январь 2023'!$J$4:$J$508,Z$1)</f>
        <v>0</v>
      </c>
      <c r="AA124" s="207">
        <f>SUMIFS('январь 2023'!$G$4:$G$508,'январь 2023'!$D$4:$D$508,$B124,'январь 2023'!$J$4:$J$508,AA$1)</f>
        <v>0</v>
      </c>
      <c r="AB124" s="207">
        <f>SUMIFS('январь 2023'!$G$4:$G$508,'январь 2023'!$D$4:$D$508,$B124,'январь 2023'!$J$4:$J$508,AB$1)</f>
        <v>0</v>
      </c>
      <c r="AC124" s="207">
        <f>SUMIFS('январь 2023'!$G$4:$G$508,'январь 2023'!$D$4:$D$508,$B124,'январь 2023'!$J$4:$J$508,AC$1)</f>
        <v>0</v>
      </c>
      <c r="AD124" s="207">
        <f>SUMIFS('январь 2023'!$G$4:$G$508,'январь 2023'!$D$4:$D$508,$B124,'январь 2023'!$J$4:$J$508,AD$1)</f>
        <v>0</v>
      </c>
      <c r="AE124" s="207">
        <f>SUMIFS('январь 2023'!$G$4:$G$508,'январь 2023'!$D$4:$D$508,$B124,'январь 2023'!$J$4:$J$508,AE$1)</f>
        <v>0</v>
      </c>
      <c r="AF124" s="207">
        <f>SUMIFS('январь 2023'!$G$4:$G$508,'январь 2023'!$D$4:$D$508,$B124,'январь 2023'!$J$4:$J$508,AF$1)</f>
        <v>0</v>
      </c>
      <c r="AG124" s="207">
        <f>SUMIFS('январь 2023'!$G$4:$G$508,'январь 2023'!$D$4:$D$508,$B124,'январь 2023'!$J$4:$J$508,AG$1)</f>
        <v>0</v>
      </c>
      <c r="AH124" s="207">
        <f>SUMIFS('январь 2023'!$G$4:$G$508,'январь 2023'!$D$4:$D$508,$B124,'январь 2023'!$J$4:$J$508,AH$1)</f>
        <v>0</v>
      </c>
      <c r="AI124" s="220">
        <f t="shared" si="2"/>
        <v>0</v>
      </c>
    </row>
    <row r="125" spans="2:35" ht="15" hidden="1" customHeight="1" x14ac:dyDescent="0.25">
      <c r="B125" s="216"/>
      <c r="C125" s="213"/>
      <c r="D125" s="207">
        <f>SUMIFS('январь 2023'!$G$4:$G$508,'январь 2023'!$D$4:$D$508,$B125,'январь 2023'!$J$4:$J$508,D$1)</f>
        <v>0</v>
      </c>
      <c r="E125" s="207">
        <f>SUMIFS('январь 2023'!$G$4:$G$508,'январь 2023'!$D$4:$D$508,$B125,'январь 2023'!$J$4:$J$508,E$1)</f>
        <v>0</v>
      </c>
      <c r="F125" s="207">
        <f>SUMIFS('январь 2023'!$G$4:$G$508,'январь 2023'!$D$4:$D$508,$B125,'январь 2023'!$J$4:$J$508,F$1)</f>
        <v>0</v>
      </c>
      <c r="G125" s="207">
        <f>SUMIFS('январь 2023'!$G$4:$G$508,'январь 2023'!$D$4:$D$508,$B125,'январь 2023'!$J$4:$J$508,G$1)</f>
        <v>0</v>
      </c>
      <c r="H125" s="207">
        <f>SUMIFS('январь 2023'!$G$4:$G$508,'январь 2023'!$D$4:$D$508,$B125,'январь 2023'!$J$4:$J$508,H$1)</f>
        <v>0</v>
      </c>
      <c r="I125" s="207">
        <f>SUMIFS('январь 2023'!$G$4:$G$508,'январь 2023'!$D$4:$D$508,$B125,'январь 2023'!$J$4:$J$508,I$1)</f>
        <v>0</v>
      </c>
      <c r="J125" s="207">
        <f>SUMIFS('январь 2023'!$G$4:$G$508,'январь 2023'!$D$4:$D$508,$B125,'январь 2023'!$J$4:$J$508,J$1)</f>
        <v>0</v>
      </c>
      <c r="K125" s="207">
        <f>SUMIFS('январь 2023'!$G$4:$G$508,'январь 2023'!$D$4:$D$508,$B125,'январь 2023'!$J$4:$J$508,K$1)</f>
        <v>0</v>
      </c>
      <c r="L125" s="207">
        <f>SUMIFS('январь 2023'!$G$4:$G$508,'январь 2023'!$D$4:$D$508,$B125,'январь 2023'!$J$4:$J$508,L$1)</f>
        <v>0</v>
      </c>
      <c r="M125" s="207">
        <f>SUMIFS('январь 2023'!$G$4:$G$508,'январь 2023'!$D$4:$D$508,$B125,'январь 2023'!$J$4:$J$508,M$1)</f>
        <v>0</v>
      </c>
      <c r="N125" s="207">
        <f>SUMIFS('январь 2023'!$G$4:$G$508,'январь 2023'!$D$4:$D$508,$B125,'январь 2023'!$J$4:$J$508,N$1)</f>
        <v>0</v>
      </c>
      <c r="O125" s="207">
        <f>SUMIFS('январь 2023'!$G$4:$G$508,'январь 2023'!$D$4:$D$508,$B125,'январь 2023'!$J$4:$J$508,O$1)</f>
        <v>0</v>
      </c>
      <c r="P125" s="207">
        <f>SUMIFS('январь 2023'!$G$4:$G$508,'январь 2023'!$D$4:$D$508,$B125,'январь 2023'!$J$4:$J$508,P$1)</f>
        <v>0</v>
      </c>
      <c r="Q125" s="207">
        <f>SUMIFS('январь 2023'!$G$4:$G$508,'январь 2023'!$D$4:$D$508,$B125,'январь 2023'!$J$4:$J$508,Q$1)</f>
        <v>0</v>
      </c>
      <c r="R125" s="207">
        <f>SUMIFS('январь 2023'!$G$4:$G$508,'январь 2023'!$D$4:$D$508,$B125,'январь 2023'!$J$4:$J$508,R$1)</f>
        <v>0</v>
      </c>
      <c r="S125" s="207">
        <f>SUMIFS('январь 2023'!$G$4:$G$508,'январь 2023'!$D$4:$D$508,$B125,'январь 2023'!$J$4:$J$508,S$1)</f>
        <v>0</v>
      </c>
      <c r="T125" s="207">
        <f>SUMIFS('январь 2023'!$G$4:$G$508,'январь 2023'!$D$4:$D$508,$B125,'январь 2023'!$J$4:$J$508,T$1)</f>
        <v>0</v>
      </c>
      <c r="U125" s="207">
        <f>SUMIFS('январь 2023'!$G$4:$G$508,'январь 2023'!$D$4:$D$508,$B125,'январь 2023'!$J$4:$J$508,U$1)</f>
        <v>0</v>
      </c>
      <c r="V125" s="207">
        <f>SUMIFS('январь 2023'!$G$4:$G$508,'январь 2023'!$D$4:$D$508,$B125,'январь 2023'!$J$4:$J$508,V$1)</f>
        <v>0</v>
      </c>
      <c r="W125" s="207">
        <f>SUMIFS('январь 2023'!$G$4:$G$508,'январь 2023'!$D$4:$D$508,$B125,'январь 2023'!$J$4:$J$508,W$1)</f>
        <v>0</v>
      </c>
      <c r="X125" s="207">
        <f>SUMIFS('январь 2023'!$G$4:$G$508,'январь 2023'!$D$4:$D$508,$B125,'январь 2023'!$J$4:$J$508,X$1)</f>
        <v>0</v>
      </c>
      <c r="Y125" s="207">
        <f>SUMIFS('январь 2023'!$G$4:$G$508,'январь 2023'!$D$4:$D$508,$B125,'январь 2023'!$J$4:$J$508,Y$1)</f>
        <v>0</v>
      </c>
      <c r="Z125" s="207">
        <f>SUMIFS('январь 2023'!$G$4:$G$508,'январь 2023'!$D$4:$D$508,$B125,'январь 2023'!$J$4:$J$508,Z$1)</f>
        <v>0</v>
      </c>
      <c r="AA125" s="207">
        <f>SUMIFS('январь 2023'!$G$4:$G$508,'январь 2023'!$D$4:$D$508,$B125,'январь 2023'!$J$4:$J$508,AA$1)</f>
        <v>0</v>
      </c>
      <c r="AB125" s="207">
        <f>SUMIFS('январь 2023'!$G$4:$G$508,'январь 2023'!$D$4:$D$508,$B125,'январь 2023'!$J$4:$J$508,AB$1)</f>
        <v>0</v>
      </c>
      <c r="AC125" s="207">
        <f>SUMIFS('январь 2023'!$G$4:$G$508,'январь 2023'!$D$4:$D$508,$B125,'январь 2023'!$J$4:$J$508,AC$1)</f>
        <v>0</v>
      </c>
      <c r="AD125" s="207">
        <f>SUMIFS('январь 2023'!$G$4:$G$508,'январь 2023'!$D$4:$D$508,$B125,'январь 2023'!$J$4:$J$508,AD$1)</f>
        <v>0</v>
      </c>
      <c r="AE125" s="207">
        <f>SUMIFS('январь 2023'!$G$4:$G$508,'январь 2023'!$D$4:$D$508,$B125,'январь 2023'!$J$4:$J$508,AE$1)</f>
        <v>0</v>
      </c>
      <c r="AF125" s="207">
        <f>SUMIFS('январь 2023'!$G$4:$G$508,'январь 2023'!$D$4:$D$508,$B125,'январь 2023'!$J$4:$J$508,AF$1)</f>
        <v>0</v>
      </c>
      <c r="AG125" s="207">
        <f>SUMIFS('январь 2023'!$G$4:$G$508,'январь 2023'!$D$4:$D$508,$B125,'январь 2023'!$J$4:$J$508,AG$1)</f>
        <v>0</v>
      </c>
      <c r="AH125" s="207">
        <f>SUMIFS('январь 2023'!$G$4:$G$508,'январь 2023'!$D$4:$D$508,$B125,'январь 2023'!$J$4:$J$508,AH$1)</f>
        <v>0</v>
      </c>
      <c r="AI125" s="220">
        <f t="shared" si="2"/>
        <v>0</v>
      </c>
    </row>
    <row r="126" spans="2:35" ht="15" hidden="1" customHeight="1" x14ac:dyDescent="0.25">
      <c r="B126" s="212"/>
      <c r="C126" s="211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20"/>
    </row>
    <row r="127" spans="2:35" ht="15" hidden="1" customHeight="1" x14ac:dyDescent="0.25">
      <c r="B127" s="212"/>
      <c r="C127" s="211"/>
      <c r="D127" s="207">
        <f>SUMIFS('январь 2023'!$G$4:$G$508,'январь 2023'!$D$4:$D$508,$B127,'январь 2023'!$J$4:$J$508,D$1)</f>
        <v>0</v>
      </c>
      <c r="E127" s="207">
        <f>SUMIFS('январь 2023'!$G$4:$G$508,'январь 2023'!$D$4:$D$508,$B127,'январь 2023'!$J$4:$J$508,E$1)</f>
        <v>0</v>
      </c>
      <c r="F127" s="207">
        <f>SUMIFS('январь 2023'!$G$4:$G$508,'январь 2023'!$D$4:$D$508,$B127,'январь 2023'!$J$4:$J$508,F$1)</f>
        <v>0</v>
      </c>
      <c r="G127" s="207">
        <f>SUMIFS('январь 2023'!$G$4:$G$508,'январь 2023'!$D$4:$D$508,$B127,'январь 2023'!$J$4:$J$508,G$1)</f>
        <v>0</v>
      </c>
      <c r="H127" s="207">
        <f>SUMIFS('январь 2023'!$G$4:$G$508,'январь 2023'!$D$4:$D$508,$B127,'январь 2023'!$J$4:$J$508,H$1)</f>
        <v>0</v>
      </c>
      <c r="I127" s="207">
        <f>SUMIFS('январь 2023'!$G$4:$G$508,'январь 2023'!$D$4:$D$508,$B127,'январь 2023'!$J$4:$J$508,I$1)</f>
        <v>0</v>
      </c>
      <c r="J127" s="207">
        <f>SUMIFS('январь 2023'!$G$4:$G$508,'январь 2023'!$D$4:$D$508,$B127,'январь 2023'!$J$4:$J$508,J$1)</f>
        <v>0</v>
      </c>
      <c r="K127" s="207">
        <f>SUMIFS('январь 2023'!$G$4:$G$508,'январь 2023'!$D$4:$D$508,$B127,'январь 2023'!$J$4:$J$508,K$1)</f>
        <v>0</v>
      </c>
      <c r="L127" s="207">
        <f>SUMIFS('январь 2023'!$G$4:$G$508,'январь 2023'!$D$4:$D$508,$B127,'январь 2023'!$J$4:$J$508,L$1)</f>
        <v>0</v>
      </c>
      <c r="M127" s="207">
        <f>SUMIFS('январь 2023'!$G$4:$G$508,'январь 2023'!$D$4:$D$508,$B127,'январь 2023'!$J$4:$J$508,M$1)</f>
        <v>0</v>
      </c>
      <c r="N127" s="207">
        <f>SUMIFS('январь 2023'!$G$4:$G$508,'январь 2023'!$D$4:$D$508,$B127,'январь 2023'!$J$4:$J$508,N$1)</f>
        <v>0</v>
      </c>
      <c r="O127" s="207">
        <f>SUMIFS('январь 2023'!$G$4:$G$508,'январь 2023'!$D$4:$D$508,$B127,'январь 2023'!$J$4:$J$508,O$1)</f>
        <v>0</v>
      </c>
      <c r="P127" s="207">
        <f>SUMIFS('январь 2023'!$G$4:$G$508,'январь 2023'!$D$4:$D$508,$B127,'январь 2023'!$J$4:$J$508,P$1)</f>
        <v>0</v>
      </c>
      <c r="Q127" s="207">
        <f>SUMIFS('январь 2023'!$G$4:$G$508,'январь 2023'!$D$4:$D$508,$B127,'январь 2023'!$J$4:$J$508,Q$1)</f>
        <v>0</v>
      </c>
      <c r="R127" s="207">
        <f>SUMIFS('январь 2023'!$G$4:$G$508,'январь 2023'!$D$4:$D$508,$B127,'январь 2023'!$J$4:$J$508,R$1)</f>
        <v>0</v>
      </c>
      <c r="S127" s="207">
        <f>SUMIFS('январь 2023'!$G$4:$G$508,'январь 2023'!$D$4:$D$508,$B127,'январь 2023'!$J$4:$J$508,S$1)</f>
        <v>0</v>
      </c>
      <c r="T127" s="207">
        <f>SUMIFS('январь 2023'!$G$4:$G$508,'январь 2023'!$D$4:$D$508,$B127,'январь 2023'!$J$4:$J$508,T$1)</f>
        <v>0</v>
      </c>
      <c r="U127" s="207">
        <f>SUMIFS('январь 2023'!$G$4:$G$508,'январь 2023'!$D$4:$D$508,$B127,'январь 2023'!$J$4:$J$508,U$1)</f>
        <v>0</v>
      </c>
      <c r="V127" s="207">
        <f>SUMIFS('январь 2023'!$G$4:$G$508,'январь 2023'!$D$4:$D$508,$B127,'январь 2023'!$J$4:$J$508,V$1)</f>
        <v>0</v>
      </c>
      <c r="W127" s="207">
        <f>SUMIFS('январь 2023'!$G$4:$G$508,'январь 2023'!$D$4:$D$508,$B127,'январь 2023'!$J$4:$J$508,W$1)</f>
        <v>0</v>
      </c>
      <c r="X127" s="207">
        <f>SUMIFS('январь 2023'!$G$4:$G$508,'январь 2023'!$D$4:$D$508,$B127,'январь 2023'!$J$4:$J$508,X$1)</f>
        <v>0</v>
      </c>
      <c r="Y127" s="207">
        <f>SUMIFS('январь 2023'!$G$4:$G$508,'январь 2023'!$D$4:$D$508,$B127,'январь 2023'!$J$4:$J$508,Y$1)</f>
        <v>0</v>
      </c>
      <c r="Z127" s="207">
        <f>SUMIFS('январь 2023'!$G$4:$G$508,'январь 2023'!$D$4:$D$508,$B127,'январь 2023'!$J$4:$J$508,Z$1)</f>
        <v>0</v>
      </c>
      <c r="AA127" s="207">
        <f>SUMIFS('январь 2023'!$G$4:$G$508,'январь 2023'!$D$4:$D$508,$B127,'январь 2023'!$J$4:$J$508,AA$1)</f>
        <v>0</v>
      </c>
      <c r="AB127" s="207">
        <f>SUMIFS('январь 2023'!$G$4:$G$508,'январь 2023'!$D$4:$D$508,$B127,'январь 2023'!$J$4:$J$508,AB$1)</f>
        <v>0</v>
      </c>
      <c r="AC127" s="207">
        <f>SUMIFS('январь 2023'!$G$4:$G$508,'январь 2023'!$D$4:$D$508,$B127,'январь 2023'!$J$4:$J$508,AC$1)</f>
        <v>0</v>
      </c>
      <c r="AD127" s="207">
        <f>SUMIFS('январь 2023'!$G$4:$G$508,'январь 2023'!$D$4:$D$508,$B127,'январь 2023'!$J$4:$J$508,AD$1)</f>
        <v>0</v>
      </c>
      <c r="AE127" s="207">
        <f>SUMIFS('январь 2023'!$G$4:$G$508,'январь 2023'!$D$4:$D$508,$B127,'январь 2023'!$J$4:$J$508,AE$1)</f>
        <v>0</v>
      </c>
      <c r="AF127" s="207">
        <f>SUMIFS('январь 2023'!$G$4:$G$508,'январь 2023'!$D$4:$D$508,$B127,'январь 2023'!$J$4:$J$508,AF$1)</f>
        <v>0</v>
      </c>
      <c r="AG127" s="207">
        <f>SUMIFS('январь 2023'!$G$4:$G$508,'январь 2023'!$D$4:$D$508,$B127,'январь 2023'!$J$4:$J$508,AG$1)</f>
        <v>0</v>
      </c>
      <c r="AH127" s="207">
        <f>SUMIFS('январь 2023'!$G$4:$G$508,'январь 2023'!$D$4:$D$508,$B127,'январь 2023'!$J$4:$J$508,AH$1)</f>
        <v>0</v>
      </c>
      <c r="AI127" s="220">
        <f t="shared" si="2"/>
        <v>0</v>
      </c>
    </row>
    <row r="128" spans="2:35" ht="15" hidden="1" customHeight="1" x14ac:dyDescent="0.25">
      <c r="B128" s="212"/>
      <c r="C128" s="211"/>
      <c r="D128" s="207">
        <f>SUMIFS('январь 2023'!$G$4:$G$508,'январь 2023'!$D$4:$D$508,$B128,'январь 2023'!$J$4:$J$508,D$1)</f>
        <v>0</v>
      </c>
      <c r="E128" s="207">
        <f>SUMIFS('январь 2023'!$G$4:$G$508,'январь 2023'!$D$4:$D$508,$B128,'январь 2023'!$J$4:$J$508,E$1)</f>
        <v>0</v>
      </c>
      <c r="F128" s="207">
        <f>SUMIFS('январь 2023'!$G$4:$G$508,'январь 2023'!$D$4:$D$508,$B128,'январь 2023'!$J$4:$J$508,F$1)</f>
        <v>0</v>
      </c>
      <c r="G128" s="207">
        <f>SUMIFS('январь 2023'!$G$4:$G$508,'январь 2023'!$D$4:$D$508,$B128,'январь 2023'!$J$4:$J$508,G$1)</f>
        <v>0</v>
      </c>
      <c r="H128" s="207">
        <f>SUMIFS('январь 2023'!$G$4:$G$508,'январь 2023'!$D$4:$D$508,$B128,'январь 2023'!$J$4:$J$508,H$1)</f>
        <v>0</v>
      </c>
      <c r="I128" s="207">
        <f>SUMIFS('январь 2023'!$G$4:$G$508,'январь 2023'!$D$4:$D$508,$B128,'январь 2023'!$J$4:$J$508,I$1)</f>
        <v>0</v>
      </c>
      <c r="J128" s="207">
        <f>SUMIFS('январь 2023'!$G$4:$G$508,'январь 2023'!$D$4:$D$508,$B128,'январь 2023'!$J$4:$J$508,J$1)</f>
        <v>0</v>
      </c>
      <c r="K128" s="207">
        <f>SUMIFS('январь 2023'!$G$4:$G$508,'январь 2023'!$D$4:$D$508,$B128,'январь 2023'!$J$4:$J$508,K$1)</f>
        <v>0</v>
      </c>
      <c r="L128" s="207">
        <f>SUMIFS('январь 2023'!$G$4:$G$508,'январь 2023'!$D$4:$D$508,$B128,'январь 2023'!$J$4:$J$508,L$1)</f>
        <v>0</v>
      </c>
      <c r="M128" s="207">
        <f>SUMIFS('январь 2023'!$G$4:$G$508,'январь 2023'!$D$4:$D$508,$B128,'январь 2023'!$J$4:$J$508,M$1)</f>
        <v>0</v>
      </c>
      <c r="N128" s="207">
        <f>SUMIFS('январь 2023'!$G$4:$G$508,'январь 2023'!$D$4:$D$508,$B128,'январь 2023'!$J$4:$J$508,N$1)</f>
        <v>0</v>
      </c>
      <c r="O128" s="207">
        <f>SUMIFS('январь 2023'!$G$4:$G$508,'январь 2023'!$D$4:$D$508,$B128,'январь 2023'!$J$4:$J$508,O$1)</f>
        <v>0</v>
      </c>
      <c r="P128" s="207">
        <f>SUMIFS('январь 2023'!$G$4:$G$508,'январь 2023'!$D$4:$D$508,$B128,'январь 2023'!$J$4:$J$508,P$1)</f>
        <v>0</v>
      </c>
      <c r="Q128" s="207">
        <f>SUMIFS('январь 2023'!$G$4:$G$508,'январь 2023'!$D$4:$D$508,$B128,'январь 2023'!$J$4:$J$508,Q$1)</f>
        <v>0</v>
      </c>
      <c r="R128" s="207">
        <f>SUMIFS('январь 2023'!$G$4:$G$508,'январь 2023'!$D$4:$D$508,$B128,'январь 2023'!$J$4:$J$508,R$1)</f>
        <v>0</v>
      </c>
      <c r="S128" s="207">
        <f>SUMIFS('январь 2023'!$G$4:$G$508,'январь 2023'!$D$4:$D$508,$B128,'январь 2023'!$J$4:$J$508,S$1)</f>
        <v>0</v>
      </c>
      <c r="T128" s="207">
        <f>SUMIFS('январь 2023'!$G$4:$G$508,'январь 2023'!$D$4:$D$508,$B128,'январь 2023'!$J$4:$J$508,T$1)</f>
        <v>0</v>
      </c>
      <c r="U128" s="207">
        <f>SUMIFS('январь 2023'!$G$4:$G$508,'январь 2023'!$D$4:$D$508,$B128,'январь 2023'!$J$4:$J$508,U$1)</f>
        <v>0</v>
      </c>
      <c r="V128" s="207">
        <f>SUMIFS('январь 2023'!$G$4:$G$508,'январь 2023'!$D$4:$D$508,$B128,'январь 2023'!$J$4:$J$508,V$1)</f>
        <v>0</v>
      </c>
      <c r="W128" s="207">
        <f>SUMIFS('январь 2023'!$G$4:$G$508,'январь 2023'!$D$4:$D$508,$B128,'январь 2023'!$J$4:$J$508,W$1)</f>
        <v>0</v>
      </c>
      <c r="X128" s="207">
        <f>SUMIFS('январь 2023'!$G$4:$G$508,'январь 2023'!$D$4:$D$508,$B128,'январь 2023'!$J$4:$J$508,X$1)</f>
        <v>0</v>
      </c>
      <c r="Y128" s="207">
        <f>SUMIFS('январь 2023'!$G$4:$G$508,'январь 2023'!$D$4:$D$508,$B128,'январь 2023'!$J$4:$J$508,Y$1)</f>
        <v>0</v>
      </c>
      <c r="Z128" s="207">
        <f>SUMIFS('январь 2023'!$G$4:$G$508,'январь 2023'!$D$4:$D$508,$B128,'январь 2023'!$J$4:$J$508,Z$1)</f>
        <v>0</v>
      </c>
      <c r="AA128" s="207">
        <f>SUMIFS('январь 2023'!$G$4:$G$508,'январь 2023'!$D$4:$D$508,$B128,'январь 2023'!$J$4:$J$508,AA$1)</f>
        <v>0</v>
      </c>
      <c r="AB128" s="207">
        <f>SUMIFS('январь 2023'!$G$4:$G$508,'январь 2023'!$D$4:$D$508,$B128,'январь 2023'!$J$4:$J$508,AB$1)</f>
        <v>0</v>
      </c>
      <c r="AC128" s="207">
        <f>SUMIFS('январь 2023'!$G$4:$G$508,'январь 2023'!$D$4:$D$508,$B128,'январь 2023'!$J$4:$J$508,AC$1)</f>
        <v>0</v>
      </c>
      <c r="AD128" s="207">
        <f>SUMIFS('январь 2023'!$G$4:$G$508,'январь 2023'!$D$4:$D$508,$B128,'январь 2023'!$J$4:$J$508,AD$1)</f>
        <v>0</v>
      </c>
      <c r="AE128" s="207">
        <f>SUMIFS('январь 2023'!$G$4:$G$508,'январь 2023'!$D$4:$D$508,$B128,'январь 2023'!$J$4:$J$508,AE$1)</f>
        <v>0</v>
      </c>
      <c r="AF128" s="207">
        <f>SUMIFS('январь 2023'!$G$4:$G$508,'январь 2023'!$D$4:$D$508,$B128,'январь 2023'!$J$4:$J$508,AF$1)</f>
        <v>0</v>
      </c>
      <c r="AG128" s="207">
        <f>SUMIFS('январь 2023'!$G$4:$G$508,'январь 2023'!$D$4:$D$508,$B128,'январь 2023'!$J$4:$J$508,AG$1)</f>
        <v>0</v>
      </c>
      <c r="AH128" s="207">
        <f>SUMIFS('январь 2023'!$G$4:$G$508,'январь 2023'!$D$4:$D$508,$B128,'январь 2023'!$J$4:$J$508,AH$1)</f>
        <v>0</v>
      </c>
      <c r="AI128" s="220">
        <f t="shared" si="2"/>
        <v>0</v>
      </c>
    </row>
    <row r="129" spans="2:35" ht="15" hidden="1" customHeight="1" x14ac:dyDescent="0.25">
      <c r="B129" s="218"/>
      <c r="C129" s="219"/>
      <c r="D129" s="207">
        <f>SUMIFS('январь 2023'!$G$4:$G$508,'январь 2023'!$D$4:$D$508,$B129,'январь 2023'!$J$4:$J$508,D$1)</f>
        <v>0</v>
      </c>
      <c r="E129" s="207">
        <f>SUMIFS('январь 2023'!$G$4:$G$508,'январь 2023'!$D$4:$D$508,$B129,'январь 2023'!$J$4:$J$508,E$1)</f>
        <v>0</v>
      </c>
      <c r="F129" s="207">
        <f>SUMIFS('январь 2023'!$G$4:$G$508,'январь 2023'!$D$4:$D$508,$B129,'январь 2023'!$J$4:$J$508,F$1)</f>
        <v>0</v>
      </c>
      <c r="G129" s="207">
        <f>SUMIFS('январь 2023'!$G$4:$G$508,'январь 2023'!$D$4:$D$508,$B129,'январь 2023'!$J$4:$J$508,G$1)</f>
        <v>0</v>
      </c>
      <c r="H129" s="207">
        <f>SUMIFS('январь 2023'!$G$4:$G$508,'январь 2023'!$D$4:$D$508,$B129,'январь 2023'!$J$4:$J$508,H$1)</f>
        <v>0</v>
      </c>
      <c r="I129" s="207">
        <f>SUMIFS('январь 2023'!$G$4:$G$508,'январь 2023'!$D$4:$D$508,$B129,'январь 2023'!$J$4:$J$508,I$1)</f>
        <v>0</v>
      </c>
      <c r="J129" s="207">
        <f>SUMIFS('январь 2023'!$G$4:$G$508,'январь 2023'!$D$4:$D$508,$B129,'январь 2023'!$J$4:$J$508,J$1)</f>
        <v>0</v>
      </c>
      <c r="K129" s="207">
        <f>SUMIFS('январь 2023'!$G$4:$G$508,'январь 2023'!$D$4:$D$508,$B129,'январь 2023'!$J$4:$J$508,K$1)</f>
        <v>0</v>
      </c>
      <c r="L129" s="207">
        <f>SUMIFS('январь 2023'!$G$4:$G$508,'январь 2023'!$D$4:$D$508,$B129,'январь 2023'!$J$4:$J$508,L$1)</f>
        <v>0</v>
      </c>
      <c r="M129" s="207">
        <f>SUMIFS('январь 2023'!$G$4:$G$508,'январь 2023'!$D$4:$D$508,$B129,'январь 2023'!$J$4:$J$508,M$1)</f>
        <v>0</v>
      </c>
      <c r="N129" s="207">
        <f>SUMIFS('январь 2023'!$G$4:$G$508,'январь 2023'!$D$4:$D$508,$B129,'январь 2023'!$J$4:$J$508,N$1)</f>
        <v>0</v>
      </c>
      <c r="O129" s="207">
        <f>SUMIFS('январь 2023'!$G$4:$G$508,'январь 2023'!$D$4:$D$508,$B129,'январь 2023'!$J$4:$J$508,O$1)</f>
        <v>0</v>
      </c>
      <c r="P129" s="207">
        <f>SUMIFS('январь 2023'!$G$4:$G$508,'январь 2023'!$D$4:$D$508,$B129,'январь 2023'!$J$4:$J$508,P$1)</f>
        <v>0</v>
      </c>
      <c r="Q129" s="207">
        <f>SUMIFS('январь 2023'!$G$4:$G$508,'январь 2023'!$D$4:$D$508,$B129,'январь 2023'!$J$4:$J$508,Q$1)</f>
        <v>0</v>
      </c>
      <c r="R129" s="207">
        <f>SUMIFS('январь 2023'!$G$4:$G$508,'январь 2023'!$D$4:$D$508,$B129,'январь 2023'!$J$4:$J$508,R$1)</f>
        <v>0</v>
      </c>
      <c r="S129" s="207">
        <f>SUMIFS('январь 2023'!$G$4:$G$508,'январь 2023'!$D$4:$D$508,$B129,'январь 2023'!$J$4:$J$508,S$1)</f>
        <v>0</v>
      </c>
      <c r="T129" s="207">
        <f>SUMIFS('январь 2023'!$G$4:$G$508,'январь 2023'!$D$4:$D$508,$B129,'январь 2023'!$J$4:$J$508,T$1)</f>
        <v>0</v>
      </c>
      <c r="U129" s="207">
        <f>SUMIFS('январь 2023'!$G$4:$G$508,'январь 2023'!$D$4:$D$508,$B129,'январь 2023'!$J$4:$J$508,U$1)</f>
        <v>0</v>
      </c>
      <c r="V129" s="207">
        <f>SUMIFS('январь 2023'!$G$4:$G$508,'январь 2023'!$D$4:$D$508,$B129,'январь 2023'!$J$4:$J$508,V$1)</f>
        <v>0</v>
      </c>
      <c r="W129" s="207">
        <f>SUMIFS('январь 2023'!$G$4:$G$508,'январь 2023'!$D$4:$D$508,$B129,'январь 2023'!$J$4:$J$508,W$1)</f>
        <v>0</v>
      </c>
      <c r="X129" s="207">
        <f>SUMIFS('январь 2023'!$G$4:$G$508,'январь 2023'!$D$4:$D$508,$B129,'январь 2023'!$J$4:$J$508,X$1)</f>
        <v>0</v>
      </c>
      <c r="Y129" s="207">
        <f>SUMIFS('январь 2023'!$G$4:$G$508,'январь 2023'!$D$4:$D$508,$B129,'январь 2023'!$J$4:$J$508,Y$1)</f>
        <v>0</v>
      </c>
      <c r="Z129" s="207">
        <f>SUMIFS('январь 2023'!$G$4:$G$508,'январь 2023'!$D$4:$D$508,$B129,'январь 2023'!$J$4:$J$508,Z$1)</f>
        <v>0</v>
      </c>
      <c r="AA129" s="207">
        <f>SUMIFS('январь 2023'!$G$4:$G$508,'январь 2023'!$D$4:$D$508,$B129,'январь 2023'!$J$4:$J$508,AA$1)</f>
        <v>0</v>
      </c>
      <c r="AB129" s="207">
        <f>SUMIFS('январь 2023'!$G$4:$G$508,'январь 2023'!$D$4:$D$508,$B129,'январь 2023'!$J$4:$J$508,AB$1)</f>
        <v>0</v>
      </c>
      <c r="AC129" s="207">
        <f>SUMIFS('январь 2023'!$G$4:$G$508,'январь 2023'!$D$4:$D$508,$B129,'январь 2023'!$J$4:$J$508,AC$1)</f>
        <v>0</v>
      </c>
      <c r="AD129" s="207">
        <f>SUMIFS('январь 2023'!$G$4:$G$508,'январь 2023'!$D$4:$D$508,$B129,'январь 2023'!$J$4:$J$508,AD$1)</f>
        <v>0</v>
      </c>
      <c r="AE129" s="207">
        <f>SUMIFS('январь 2023'!$G$4:$G$508,'январь 2023'!$D$4:$D$508,$B129,'январь 2023'!$J$4:$J$508,AE$1)</f>
        <v>0</v>
      </c>
      <c r="AF129" s="207">
        <f>SUMIFS('январь 2023'!$G$4:$G$508,'январь 2023'!$D$4:$D$508,$B129,'январь 2023'!$J$4:$J$508,AF$1)</f>
        <v>0</v>
      </c>
      <c r="AG129" s="207">
        <f>SUMIFS('январь 2023'!$G$4:$G$508,'январь 2023'!$D$4:$D$508,$B129,'январь 2023'!$J$4:$J$508,AG$1)</f>
        <v>0</v>
      </c>
      <c r="AH129" s="207">
        <f>SUMIFS('январь 2023'!$G$4:$G$508,'январь 2023'!$D$4:$D$508,$B129,'январь 2023'!$J$4:$J$508,AH$1)</f>
        <v>0</v>
      </c>
      <c r="AI129" s="220">
        <f t="shared" si="2"/>
        <v>0</v>
      </c>
    </row>
    <row r="130" spans="2:35" ht="15" hidden="1" customHeight="1" x14ac:dyDescent="0.25">
      <c r="B130" s="212"/>
      <c r="C130" s="213"/>
      <c r="D130" s="207">
        <f>SUMIFS('январь 2023'!$G$4:$G$508,'январь 2023'!$D$4:$D$508,$B130,'январь 2023'!$J$4:$J$508,D$1)</f>
        <v>0</v>
      </c>
      <c r="E130" s="207">
        <f>SUMIFS('январь 2023'!$G$4:$G$508,'январь 2023'!$D$4:$D$508,$B130,'январь 2023'!$J$4:$J$508,E$1)</f>
        <v>0</v>
      </c>
      <c r="F130" s="207">
        <f>SUMIFS('январь 2023'!$G$4:$G$508,'январь 2023'!$D$4:$D$508,$B130,'январь 2023'!$J$4:$J$508,F$1)</f>
        <v>0</v>
      </c>
      <c r="G130" s="207">
        <f>SUMIFS('январь 2023'!$G$4:$G$508,'январь 2023'!$D$4:$D$508,$B130,'январь 2023'!$J$4:$J$508,G$1)</f>
        <v>0</v>
      </c>
      <c r="H130" s="207">
        <f>SUMIFS('январь 2023'!$G$4:$G$508,'январь 2023'!$D$4:$D$508,$B130,'январь 2023'!$J$4:$J$508,H$1)</f>
        <v>0</v>
      </c>
      <c r="I130" s="207">
        <f>SUMIFS('январь 2023'!$G$4:$G$508,'январь 2023'!$D$4:$D$508,$B130,'январь 2023'!$J$4:$J$508,I$1)</f>
        <v>0</v>
      </c>
      <c r="J130" s="207">
        <f>SUMIFS('январь 2023'!$G$4:$G$508,'январь 2023'!$D$4:$D$508,$B130,'январь 2023'!$J$4:$J$508,J$1)</f>
        <v>0</v>
      </c>
      <c r="K130" s="207">
        <f>SUMIFS('январь 2023'!$G$4:$G$508,'январь 2023'!$D$4:$D$508,$B130,'январь 2023'!$J$4:$J$508,K$1)</f>
        <v>0</v>
      </c>
      <c r="L130" s="207">
        <f>SUMIFS('январь 2023'!$G$4:$G$508,'январь 2023'!$D$4:$D$508,$B130,'январь 2023'!$J$4:$J$508,L$1)</f>
        <v>0</v>
      </c>
      <c r="M130" s="207">
        <f>SUMIFS('январь 2023'!$G$4:$G$508,'январь 2023'!$D$4:$D$508,$B130,'январь 2023'!$J$4:$J$508,M$1)</f>
        <v>0</v>
      </c>
      <c r="N130" s="207">
        <f>SUMIFS('январь 2023'!$G$4:$G$508,'январь 2023'!$D$4:$D$508,$B130,'январь 2023'!$J$4:$J$508,N$1)</f>
        <v>0</v>
      </c>
      <c r="O130" s="207">
        <f>SUMIFS('январь 2023'!$G$4:$G$508,'январь 2023'!$D$4:$D$508,$B130,'январь 2023'!$J$4:$J$508,O$1)</f>
        <v>0</v>
      </c>
      <c r="P130" s="207">
        <f>SUMIFS('январь 2023'!$G$4:$G$508,'январь 2023'!$D$4:$D$508,$B130,'январь 2023'!$J$4:$J$508,P$1)</f>
        <v>0</v>
      </c>
      <c r="Q130" s="207">
        <f>SUMIFS('январь 2023'!$G$4:$G$508,'январь 2023'!$D$4:$D$508,$B130,'январь 2023'!$J$4:$J$508,Q$1)</f>
        <v>0</v>
      </c>
      <c r="R130" s="207">
        <f>SUMIFS('январь 2023'!$G$4:$G$508,'январь 2023'!$D$4:$D$508,$B130,'январь 2023'!$J$4:$J$508,R$1)</f>
        <v>0</v>
      </c>
      <c r="S130" s="207">
        <f>SUMIFS('январь 2023'!$G$4:$G$508,'январь 2023'!$D$4:$D$508,$B130,'январь 2023'!$J$4:$J$508,S$1)</f>
        <v>0</v>
      </c>
      <c r="T130" s="207">
        <f>SUMIFS('январь 2023'!$G$4:$G$508,'январь 2023'!$D$4:$D$508,$B130,'январь 2023'!$J$4:$J$508,T$1)</f>
        <v>0</v>
      </c>
      <c r="U130" s="207">
        <f>SUMIFS('январь 2023'!$G$4:$G$508,'январь 2023'!$D$4:$D$508,$B130,'январь 2023'!$J$4:$J$508,U$1)</f>
        <v>0</v>
      </c>
      <c r="V130" s="207">
        <f>SUMIFS('январь 2023'!$G$4:$G$508,'январь 2023'!$D$4:$D$508,$B130,'январь 2023'!$J$4:$J$508,V$1)</f>
        <v>0</v>
      </c>
      <c r="W130" s="207">
        <f>SUMIFS('январь 2023'!$G$4:$G$508,'январь 2023'!$D$4:$D$508,$B130,'январь 2023'!$J$4:$J$508,W$1)</f>
        <v>0</v>
      </c>
      <c r="X130" s="207">
        <f>SUMIFS('январь 2023'!$G$4:$G$508,'январь 2023'!$D$4:$D$508,$B130,'январь 2023'!$J$4:$J$508,X$1)</f>
        <v>0</v>
      </c>
      <c r="Y130" s="207">
        <f>SUMIFS('январь 2023'!$G$4:$G$508,'январь 2023'!$D$4:$D$508,$B130,'январь 2023'!$J$4:$J$508,Y$1)</f>
        <v>0</v>
      </c>
      <c r="Z130" s="207">
        <f>SUMIFS('январь 2023'!$G$4:$G$508,'январь 2023'!$D$4:$D$508,$B130,'январь 2023'!$J$4:$J$508,Z$1)</f>
        <v>0</v>
      </c>
      <c r="AA130" s="207">
        <f>SUMIFS('январь 2023'!$G$4:$G$508,'январь 2023'!$D$4:$D$508,$B130,'январь 2023'!$J$4:$J$508,AA$1)</f>
        <v>0</v>
      </c>
      <c r="AB130" s="207">
        <f>SUMIFS('январь 2023'!$G$4:$G$508,'январь 2023'!$D$4:$D$508,$B130,'январь 2023'!$J$4:$J$508,AB$1)</f>
        <v>0</v>
      </c>
      <c r="AC130" s="207">
        <f>SUMIFS('январь 2023'!$G$4:$G$508,'январь 2023'!$D$4:$D$508,$B130,'январь 2023'!$J$4:$J$508,AC$1)</f>
        <v>0</v>
      </c>
      <c r="AD130" s="207">
        <f>SUMIFS('январь 2023'!$G$4:$G$508,'январь 2023'!$D$4:$D$508,$B130,'январь 2023'!$J$4:$J$508,AD$1)</f>
        <v>0</v>
      </c>
      <c r="AE130" s="207">
        <f>SUMIFS('январь 2023'!$G$4:$G$508,'январь 2023'!$D$4:$D$508,$B130,'январь 2023'!$J$4:$J$508,AE$1)</f>
        <v>0</v>
      </c>
      <c r="AF130" s="207">
        <f>SUMIFS('январь 2023'!$G$4:$G$508,'январь 2023'!$D$4:$D$508,$B130,'январь 2023'!$J$4:$J$508,AF$1)</f>
        <v>0</v>
      </c>
      <c r="AG130" s="207">
        <f>SUMIFS('январь 2023'!$G$4:$G$508,'январь 2023'!$D$4:$D$508,$B130,'январь 2023'!$J$4:$J$508,AG$1)</f>
        <v>0</v>
      </c>
      <c r="AH130" s="207">
        <f>SUMIFS('январь 2023'!$G$4:$G$508,'январь 2023'!$D$4:$D$508,$B130,'январь 2023'!$J$4:$J$508,AH$1)</f>
        <v>0</v>
      </c>
      <c r="AI130" s="220">
        <f t="shared" si="2"/>
        <v>0</v>
      </c>
    </row>
    <row r="131" spans="2:35" ht="15" hidden="1" customHeight="1" x14ac:dyDescent="0.25">
      <c r="B131" s="212"/>
      <c r="C131" s="211"/>
      <c r="D131" s="207">
        <f>SUMIFS('январь 2023'!$G$4:$G$508,'январь 2023'!$D$4:$D$508,$B131,'январь 2023'!$J$4:$J$508,D$1)</f>
        <v>0</v>
      </c>
      <c r="E131" s="207">
        <f>SUMIFS('январь 2023'!$G$4:$G$508,'январь 2023'!$D$4:$D$508,$B131,'январь 2023'!$J$4:$J$508,E$1)</f>
        <v>0</v>
      </c>
      <c r="F131" s="207">
        <f>SUMIFS('январь 2023'!$G$4:$G$508,'январь 2023'!$D$4:$D$508,$B131,'январь 2023'!$J$4:$J$508,F$1)</f>
        <v>0</v>
      </c>
      <c r="G131" s="207">
        <f>SUMIFS('январь 2023'!$G$4:$G$508,'январь 2023'!$D$4:$D$508,$B131,'январь 2023'!$J$4:$J$508,G$1)</f>
        <v>0</v>
      </c>
      <c r="H131" s="207">
        <f>SUMIFS('январь 2023'!$G$4:$G$508,'январь 2023'!$D$4:$D$508,$B131,'январь 2023'!$J$4:$J$508,H$1)</f>
        <v>0</v>
      </c>
      <c r="I131" s="207">
        <f>SUMIFS('январь 2023'!$G$4:$G$508,'январь 2023'!$D$4:$D$508,$B131,'январь 2023'!$J$4:$J$508,I$1)</f>
        <v>0</v>
      </c>
      <c r="J131" s="207">
        <f>SUMIFS('январь 2023'!$G$4:$G$508,'январь 2023'!$D$4:$D$508,$B131,'январь 2023'!$J$4:$J$508,J$1)</f>
        <v>0</v>
      </c>
      <c r="K131" s="207">
        <f>SUMIFS('январь 2023'!$G$4:$G$508,'январь 2023'!$D$4:$D$508,$B131,'январь 2023'!$J$4:$J$508,K$1)</f>
        <v>0</v>
      </c>
      <c r="L131" s="207">
        <f>SUMIFS('январь 2023'!$G$4:$G$508,'январь 2023'!$D$4:$D$508,$B131,'январь 2023'!$J$4:$J$508,L$1)</f>
        <v>0</v>
      </c>
      <c r="M131" s="207">
        <f>SUMIFS('январь 2023'!$G$4:$G$508,'январь 2023'!$D$4:$D$508,$B131,'январь 2023'!$J$4:$J$508,M$1)</f>
        <v>0</v>
      </c>
      <c r="N131" s="207">
        <f>SUMIFS('январь 2023'!$G$4:$G$508,'январь 2023'!$D$4:$D$508,$B131,'январь 2023'!$J$4:$J$508,N$1)</f>
        <v>0</v>
      </c>
      <c r="O131" s="207">
        <f>SUMIFS('январь 2023'!$G$4:$G$508,'январь 2023'!$D$4:$D$508,$B131,'январь 2023'!$J$4:$J$508,O$1)</f>
        <v>0</v>
      </c>
      <c r="P131" s="207">
        <f>SUMIFS('январь 2023'!$G$4:$G$508,'январь 2023'!$D$4:$D$508,$B131,'январь 2023'!$J$4:$J$508,P$1)</f>
        <v>0</v>
      </c>
      <c r="Q131" s="207">
        <f>SUMIFS('январь 2023'!$G$4:$G$508,'январь 2023'!$D$4:$D$508,$B131,'январь 2023'!$J$4:$J$508,Q$1)</f>
        <v>0</v>
      </c>
      <c r="R131" s="207">
        <f>SUMIFS('январь 2023'!$G$4:$G$508,'январь 2023'!$D$4:$D$508,$B131,'январь 2023'!$J$4:$J$508,R$1)</f>
        <v>0</v>
      </c>
      <c r="S131" s="207">
        <f>SUMIFS('январь 2023'!$G$4:$G$508,'январь 2023'!$D$4:$D$508,$B131,'январь 2023'!$J$4:$J$508,S$1)</f>
        <v>0</v>
      </c>
      <c r="T131" s="207">
        <f>SUMIFS('январь 2023'!$G$4:$G$508,'январь 2023'!$D$4:$D$508,$B131,'январь 2023'!$J$4:$J$508,T$1)</f>
        <v>0</v>
      </c>
      <c r="U131" s="207">
        <f>SUMIFS('январь 2023'!$G$4:$G$508,'январь 2023'!$D$4:$D$508,$B131,'январь 2023'!$J$4:$J$508,U$1)</f>
        <v>0</v>
      </c>
      <c r="V131" s="207">
        <f>SUMIFS('январь 2023'!$G$4:$G$508,'январь 2023'!$D$4:$D$508,$B131,'январь 2023'!$J$4:$J$508,V$1)</f>
        <v>0</v>
      </c>
      <c r="W131" s="207">
        <f>SUMIFS('январь 2023'!$G$4:$G$508,'январь 2023'!$D$4:$D$508,$B131,'январь 2023'!$J$4:$J$508,W$1)</f>
        <v>0</v>
      </c>
      <c r="X131" s="207">
        <f>SUMIFS('январь 2023'!$G$4:$G$508,'январь 2023'!$D$4:$D$508,$B131,'январь 2023'!$J$4:$J$508,X$1)</f>
        <v>0</v>
      </c>
      <c r="Y131" s="207">
        <f>SUMIFS('январь 2023'!$G$4:$G$508,'январь 2023'!$D$4:$D$508,$B131,'январь 2023'!$J$4:$J$508,Y$1)</f>
        <v>0</v>
      </c>
      <c r="Z131" s="207">
        <f>SUMIFS('январь 2023'!$G$4:$G$508,'январь 2023'!$D$4:$D$508,$B131,'январь 2023'!$J$4:$J$508,Z$1)</f>
        <v>0</v>
      </c>
      <c r="AA131" s="207">
        <f>SUMIFS('январь 2023'!$G$4:$G$508,'январь 2023'!$D$4:$D$508,$B131,'январь 2023'!$J$4:$J$508,AA$1)</f>
        <v>0</v>
      </c>
      <c r="AB131" s="207">
        <f>SUMIFS('январь 2023'!$G$4:$G$508,'январь 2023'!$D$4:$D$508,$B131,'январь 2023'!$J$4:$J$508,AB$1)</f>
        <v>0</v>
      </c>
      <c r="AC131" s="207">
        <f>SUMIFS('январь 2023'!$G$4:$G$508,'январь 2023'!$D$4:$D$508,$B131,'январь 2023'!$J$4:$J$508,AC$1)</f>
        <v>0</v>
      </c>
      <c r="AD131" s="207">
        <f>SUMIFS('январь 2023'!$G$4:$G$508,'январь 2023'!$D$4:$D$508,$B131,'январь 2023'!$J$4:$J$508,AD$1)</f>
        <v>0</v>
      </c>
      <c r="AE131" s="207">
        <f>SUMIFS('январь 2023'!$G$4:$G$508,'январь 2023'!$D$4:$D$508,$B131,'январь 2023'!$J$4:$J$508,AE$1)</f>
        <v>0</v>
      </c>
      <c r="AF131" s="207">
        <f>SUMIFS('январь 2023'!$G$4:$G$508,'январь 2023'!$D$4:$D$508,$B131,'январь 2023'!$J$4:$J$508,AF$1)</f>
        <v>0</v>
      </c>
      <c r="AG131" s="207">
        <f>SUMIFS('январь 2023'!$G$4:$G$508,'январь 2023'!$D$4:$D$508,$B131,'январь 2023'!$J$4:$J$508,AG$1)</f>
        <v>0</v>
      </c>
      <c r="AH131" s="207">
        <f>SUMIFS('январь 2023'!$G$4:$G$508,'январь 2023'!$D$4:$D$508,$B131,'январь 2023'!$J$4:$J$508,AH$1)</f>
        <v>0</v>
      </c>
      <c r="AI131" s="220">
        <f t="shared" ref="AI131:AI137" si="3">SUM(D131:AH131)</f>
        <v>0</v>
      </c>
    </row>
    <row r="132" spans="2:35" ht="15" hidden="1" customHeight="1" x14ac:dyDescent="0.25">
      <c r="B132" s="212"/>
      <c r="C132" s="211"/>
      <c r="D132" s="207">
        <f>SUMIFS('январь 2023'!$G$4:$G$508,'январь 2023'!$D$4:$D$508,$B132,'январь 2023'!$J$4:$J$508,D$1)</f>
        <v>0</v>
      </c>
      <c r="E132" s="207">
        <f>SUMIFS('январь 2023'!$G$4:$G$508,'январь 2023'!$D$4:$D$508,$B132,'январь 2023'!$J$4:$J$508,E$1)</f>
        <v>0</v>
      </c>
      <c r="F132" s="207">
        <f>SUMIFS('январь 2023'!$G$4:$G$508,'январь 2023'!$D$4:$D$508,$B132,'январь 2023'!$J$4:$J$508,F$1)</f>
        <v>0</v>
      </c>
      <c r="G132" s="207">
        <f>SUMIFS('январь 2023'!$G$4:$G$508,'январь 2023'!$D$4:$D$508,$B132,'январь 2023'!$J$4:$J$508,G$1)</f>
        <v>0</v>
      </c>
      <c r="H132" s="207">
        <f>SUMIFS('январь 2023'!$G$4:$G$508,'январь 2023'!$D$4:$D$508,$B132,'январь 2023'!$J$4:$J$508,H$1)</f>
        <v>0</v>
      </c>
      <c r="I132" s="207">
        <f>SUMIFS('январь 2023'!$G$4:$G$508,'январь 2023'!$D$4:$D$508,$B132,'январь 2023'!$J$4:$J$508,I$1)</f>
        <v>0</v>
      </c>
      <c r="J132" s="207">
        <f>SUMIFS('январь 2023'!$G$4:$G$508,'январь 2023'!$D$4:$D$508,$B132,'январь 2023'!$J$4:$J$508,J$1)</f>
        <v>0</v>
      </c>
      <c r="K132" s="207">
        <f>SUMIFS('январь 2023'!$G$4:$G$508,'январь 2023'!$D$4:$D$508,$B132,'январь 2023'!$J$4:$J$508,K$1)</f>
        <v>0</v>
      </c>
      <c r="L132" s="207">
        <f>SUMIFS('январь 2023'!$G$4:$G$508,'январь 2023'!$D$4:$D$508,$B132,'январь 2023'!$J$4:$J$508,L$1)</f>
        <v>0</v>
      </c>
      <c r="M132" s="207">
        <f>SUMIFS('январь 2023'!$G$4:$G$508,'январь 2023'!$D$4:$D$508,$B132,'январь 2023'!$J$4:$J$508,M$1)</f>
        <v>0</v>
      </c>
      <c r="N132" s="207">
        <f>SUMIFS('январь 2023'!$G$4:$G$508,'январь 2023'!$D$4:$D$508,$B132,'январь 2023'!$J$4:$J$508,N$1)</f>
        <v>0</v>
      </c>
      <c r="O132" s="207">
        <f>SUMIFS('январь 2023'!$G$4:$G$508,'январь 2023'!$D$4:$D$508,$B132,'январь 2023'!$J$4:$J$508,O$1)</f>
        <v>0</v>
      </c>
      <c r="P132" s="207">
        <f>SUMIFS('январь 2023'!$G$4:$G$508,'январь 2023'!$D$4:$D$508,$B132,'январь 2023'!$J$4:$J$508,P$1)</f>
        <v>0</v>
      </c>
      <c r="Q132" s="207">
        <f>SUMIFS('январь 2023'!$G$4:$G$508,'январь 2023'!$D$4:$D$508,$B132,'январь 2023'!$J$4:$J$508,Q$1)</f>
        <v>0</v>
      </c>
      <c r="R132" s="207">
        <f>SUMIFS('январь 2023'!$G$4:$G$508,'январь 2023'!$D$4:$D$508,$B132,'январь 2023'!$J$4:$J$508,R$1)</f>
        <v>0</v>
      </c>
      <c r="S132" s="207">
        <f>SUMIFS('январь 2023'!$G$4:$G$508,'январь 2023'!$D$4:$D$508,$B132,'январь 2023'!$J$4:$J$508,S$1)</f>
        <v>0</v>
      </c>
      <c r="T132" s="207">
        <f>SUMIFS('январь 2023'!$G$4:$G$508,'январь 2023'!$D$4:$D$508,$B132,'январь 2023'!$J$4:$J$508,T$1)</f>
        <v>0</v>
      </c>
      <c r="U132" s="207">
        <f>SUMIFS('январь 2023'!$G$4:$G$508,'январь 2023'!$D$4:$D$508,$B132,'январь 2023'!$J$4:$J$508,U$1)</f>
        <v>0</v>
      </c>
      <c r="V132" s="207">
        <f>SUMIFS('январь 2023'!$G$4:$G$508,'январь 2023'!$D$4:$D$508,$B132,'январь 2023'!$J$4:$J$508,V$1)</f>
        <v>0</v>
      </c>
      <c r="W132" s="207">
        <f>SUMIFS('январь 2023'!$G$4:$G$508,'январь 2023'!$D$4:$D$508,$B132,'январь 2023'!$J$4:$J$508,W$1)</f>
        <v>0</v>
      </c>
      <c r="X132" s="207">
        <f>SUMIFS('январь 2023'!$G$4:$G$508,'январь 2023'!$D$4:$D$508,$B132,'январь 2023'!$J$4:$J$508,X$1)</f>
        <v>0</v>
      </c>
      <c r="Y132" s="207">
        <f>SUMIFS('январь 2023'!$G$4:$G$508,'январь 2023'!$D$4:$D$508,$B132,'январь 2023'!$J$4:$J$508,Y$1)</f>
        <v>0</v>
      </c>
      <c r="Z132" s="207">
        <f>SUMIFS('январь 2023'!$G$4:$G$508,'январь 2023'!$D$4:$D$508,$B132,'январь 2023'!$J$4:$J$508,Z$1)</f>
        <v>0</v>
      </c>
      <c r="AA132" s="207">
        <f>SUMIFS('январь 2023'!$G$4:$G$508,'январь 2023'!$D$4:$D$508,$B132,'январь 2023'!$J$4:$J$508,AA$1)</f>
        <v>0</v>
      </c>
      <c r="AB132" s="207">
        <f>SUMIFS('январь 2023'!$G$4:$G$508,'январь 2023'!$D$4:$D$508,$B132,'январь 2023'!$J$4:$J$508,AB$1)</f>
        <v>0</v>
      </c>
      <c r="AC132" s="207">
        <f>SUMIFS('январь 2023'!$G$4:$G$508,'январь 2023'!$D$4:$D$508,$B132,'январь 2023'!$J$4:$J$508,AC$1)</f>
        <v>0</v>
      </c>
      <c r="AD132" s="207">
        <f>SUMIFS('январь 2023'!$G$4:$G$508,'январь 2023'!$D$4:$D$508,$B132,'январь 2023'!$J$4:$J$508,AD$1)</f>
        <v>0</v>
      </c>
      <c r="AE132" s="207">
        <f>SUMIFS('январь 2023'!$G$4:$G$508,'январь 2023'!$D$4:$D$508,$B132,'январь 2023'!$J$4:$J$508,AE$1)</f>
        <v>0</v>
      </c>
      <c r="AF132" s="207">
        <f>SUMIFS('январь 2023'!$G$4:$G$508,'январь 2023'!$D$4:$D$508,$B132,'январь 2023'!$J$4:$J$508,AF$1)</f>
        <v>0</v>
      </c>
      <c r="AG132" s="207">
        <f>SUMIFS('январь 2023'!$G$4:$G$508,'январь 2023'!$D$4:$D$508,$B132,'январь 2023'!$J$4:$J$508,AG$1)</f>
        <v>0</v>
      </c>
      <c r="AH132" s="207">
        <f>SUMIFS('январь 2023'!$G$4:$G$508,'январь 2023'!$D$4:$D$508,$B132,'январь 2023'!$J$4:$J$508,AH$1)</f>
        <v>0</v>
      </c>
      <c r="AI132" s="220">
        <f t="shared" si="3"/>
        <v>0</v>
      </c>
    </row>
    <row r="133" spans="2:35" ht="15" hidden="1" customHeight="1" x14ac:dyDescent="0.25">
      <c r="B133" s="212"/>
      <c r="C133" s="215"/>
      <c r="D133" s="207">
        <f>SUMIFS('январь 2023'!$G$4:$G$508,'январь 2023'!$D$4:$D$508,$B133,'январь 2023'!$J$4:$J$508,D$1)</f>
        <v>0</v>
      </c>
      <c r="E133" s="207">
        <f>SUMIFS('январь 2023'!$G$4:$G$508,'январь 2023'!$D$4:$D$508,$B133,'январь 2023'!$J$4:$J$508,E$1)</f>
        <v>0</v>
      </c>
      <c r="F133" s="207">
        <f>SUMIFS('январь 2023'!$G$4:$G$508,'январь 2023'!$D$4:$D$508,$B133,'январь 2023'!$J$4:$J$508,F$1)</f>
        <v>0</v>
      </c>
      <c r="G133" s="207">
        <f>SUMIFS('январь 2023'!$G$4:$G$508,'январь 2023'!$D$4:$D$508,$B133,'январь 2023'!$J$4:$J$508,G$1)</f>
        <v>0</v>
      </c>
      <c r="H133" s="207">
        <f>SUMIFS('январь 2023'!$G$4:$G$508,'январь 2023'!$D$4:$D$508,$B133,'январь 2023'!$J$4:$J$508,H$1)</f>
        <v>0</v>
      </c>
      <c r="I133" s="207">
        <f>SUMIFS('январь 2023'!$G$4:$G$508,'январь 2023'!$D$4:$D$508,$B133,'январь 2023'!$J$4:$J$508,I$1)</f>
        <v>0</v>
      </c>
      <c r="J133" s="207">
        <f>SUMIFS('январь 2023'!$G$4:$G$508,'январь 2023'!$D$4:$D$508,$B133,'январь 2023'!$J$4:$J$508,J$1)</f>
        <v>0</v>
      </c>
      <c r="K133" s="207">
        <f>SUMIFS('январь 2023'!$G$4:$G$508,'январь 2023'!$D$4:$D$508,$B133,'январь 2023'!$J$4:$J$508,K$1)</f>
        <v>0</v>
      </c>
      <c r="L133" s="207">
        <f>SUMIFS('январь 2023'!$G$4:$G$508,'январь 2023'!$D$4:$D$508,$B133,'январь 2023'!$J$4:$J$508,L$1)</f>
        <v>0</v>
      </c>
      <c r="M133" s="207">
        <f>SUMIFS('январь 2023'!$G$4:$G$508,'январь 2023'!$D$4:$D$508,$B133,'январь 2023'!$J$4:$J$508,M$1)</f>
        <v>0</v>
      </c>
      <c r="N133" s="207">
        <f>SUMIFS('январь 2023'!$G$4:$G$508,'январь 2023'!$D$4:$D$508,$B133,'январь 2023'!$J$4:$J$508,N$1)</f>
        <v>0</v>
      </c>
      <c r="O133" s="207">
        <f>SUMIFS('январь 2023'!$G$4:$G$508,'январь 2023'!$D$4:$D$508,$B133,'январь 2023'!$J$4:$J$508,O$1)</f>
        <v>0</v>
      </c>
      <c r="P133" s="207">
        <f>SUMIFS('январь 2023'!$G$4:$G$508,'январь 2023'!$D$4:$D$508,$B133,'январь 2023'!$J$4:$J$508,P$1)</f>
        <v>0</v>
      </c>
      <c r="Q133" s="207">
        <f>SUMIFS('январь 2023'!$G$4:$G$508,'январь 2023'!$D$4:$D$508,$B133,'январь 2023'!$J$4:$J$508,Q$1)</f>
        <v>0</v>
      </c>
      <c r="R133" s="207">
        <f>SUMIFS('январь 2023'!$G$4:$G$508,'январь 2023'!$D$4:$D$508,$B133,'январь 2023'!$J$4:$J$508,R$1)</f>
        <v>0</v>
      </c>
      <c r="S133" s="207">
        <f>SUMIFS('январь 2023'!$G$4:$G$508,'январь 2023'!$D$4:$D$508,$B133,'январь 2023'!$J$4:$J$508,S$1)</f>
        <v>0</v>
      </c>
      <c r="T133" s="207">
        <f>SUMIFS('январь 2023'!$G$4:$G$508,'январь 2023'!$D$4:$D$508,$B133,'январь 2023'!$J$4:$J$508,T$1)</f>
        <v>0</v>
      </c>
      <c r="U133" s="207">
        <f>SUMIFS('январь 2023'!$G$4:$G$508,'январь 2023'!$D$4:$D$508,$B133,'январь 2023'!$J$4:$J$508,U$1)</f>
        <v>0</v>
      </c>
      <c r="V133" s="207">
        <f>SUMIFS('январь 2023'!$G$4:$G$508,'январь 2023'!$D$4:$D$508,$B133,'январь 2023'!$J$4:$J$508,V$1)</f>
        <v>0</v>
      </c>
      <c r="W133" s="207">
        <f>SUMIFS('январь 2023'!$G$4:$G$508,'январь 2023'!$D$4:$D$508,$B133,'январь 2023'!$J$4:$J$508,W$1)</f>
        <v>0</v>
      </c>
      <c r="X133" s="207">
        <f>SUMIFS('январь 2023'!$G$4:$G$508,'январь 2023'!$D$4:$D$508,$B133,'январь 2023'!$J$4:$J$508,X$1)</f>
        <v>0</v>
      </c>
      <c r="Y133" s="207">
        <f>SUMIFS('январь 2023'!$G$4:$G$508,'январь 2023'!$D$4:$D$508,$B133,'январь 2023'!$J$4:$J$508,Y$1)</f>
        <v>0</v>
      </c>
      <c r="Z133" s="207">
        <f>SUMIFS('январь 2023'!$G$4:$G$508,'январь 2023'!$D$4:$D$508,$B133,'январь 2023'!$J$4:$J$508,Z$1)</f>
        <v>0</v>
      </c>
      <c r="AA133" s="207">
        <f>SUMIFS('январь 2023'!$G$4:$G$508,'январь 2023'!$D$4:$D$508,$B133,'январь 2023'!$J$4:$J$508,AA$1)</f>
        <v>0</v>
      </c>
      <c r="AB133" s="207">
        <f>SUMIFS('январь 2023'!$G$4:$G$508,'январь 2023'!$D$4:$D$508,$B133,'январь 2023'!$J$4:$J$508,AB$1)</f>
        <v>0</v>
      </c>
      <c r="AC133" s="207">
        <f>SUMIFS('январь 2023'!$G$4:$G$508,'январь 2023'!$D$4:$D$508,$B133,'январь 2023'!$J$4:$J$508,AC$1)</f>
        <v>0</v>
      </c>
      <c r="AD133" s="207">
        <f>SUMIFS('январь 2023'!$G$4:$G$508,'январь 2023'!$D$4:$D$508,$B133,'январь 2023'!$J$4:$J$508,AD$1)</f>
        <v>0</v>
      </c>
      <c r="AE133" s="207">
        <f>SUMIFS('январь 2023'!$G$4:$G$508,'январь 2023'!$D$4:$D$508,$B133,'январь 2023'!$J$4:$J$508,AE$1)</f>
        <v>0</v>
      </c>
      <c r="AF133" s="207">
        <f>SUMIFS('январь 2023'!$G$4:$G$508,'январь 2023'!$D$4:$D$508,$B133,'январь 2023'!$J$4:$J$508,AF$1)</f>
        <v>0</v>
      </c>
      <c r="AG133" s="207">
        <f>SUMIFS('январь 2023'!$G$4:$G$508,'январь 2023'!$D$4:$D$508,$B133,'январь 2023'!$J$4:$J$508,AG$1)</f>
        <v>0</v>
      </c>
      <c r="AH133" s="207">
        <f>SUMIFS('январь 2023'!$G$4:$G$508,'январь 2023'!$D$4:$D$508,$B133,'январь 2023'!$J$4:$J$508,AH$1)</f>
        <v>0</v>
      </c>
      <c r="AI133" s="220">
        <f t="shared" si="3"/>
        <v>0</v>
      </c>
    </row>
    <row r="134" spans="2:35" ht="15" hidden="1" customHeight="1" x14ac:dyDescent="0.25">
      <c r="B134" s="212"/>
      <c r="C134" s="213"/>
      <c r="D134" s="207">
        <f>SUMIFS('январь 2023'!$G$4:$G$508,'январь 2023'!$D$4:$D$508,$B134,'январь 2023'!$J$4:$J$508,D$1)</f>
        <v>0</v>
      </c>
      <c r="E134" s="207">
        <f>SUMIFS('январь 2023'!$G$4:$G$508,'январь 2023'!$D$4:$D$508,$B134,'январь 2023'!$J$4:$J$508,E$1)</f>
        <v>0</v>
      </c>
      <c r="F134" s="207">
        <f>SUMIFS('январь 2023'!$G$4:$G$508,'январь 2023'!$D$4:$D$508,$B134,'январь 2023'!$J$4:$J$508,F$1)</f>
        <v>0</v>
      </c>
      <c r="G134" s="207">
        <f>SUMIFS('январь 2023'!$G$4:$G$508,'январь 2023'!$D$4:$D$508,$B134,'январь 2023'!$J$4:$J$508,G$1)</f>
        <v>0</v>
      </c>
      <c r="H134" s="207">
        <f>SUMIFS('январь 2023'!$G$4:$G$508,'январь 2023'!$D$4:$D$508,$B134,'январь 2023'!$J$4:$J$508,H$1)</f>
        <v>0</v>
      </c>
      <c r="I134" s="207">
        <f>SUMIFS('январь 2023'!$G$4:$G$508,'январь 2023'!$D$4:$D$508,$B134,'январь 2023'!$J$4:$J$508,I$1)</f>
        <v>0</v>
      </c>
      <c r="J134" s="207">
        <f>SUMIFS('январь 2023'!$G$4:$G$508,'январь 2023'!$D$4:$D$508,$B134,'январь 2023'!$J$4:$J$508,J$1)</f>
        <v>0</v>
      </c>
      <c r="K134" s="207">
        <f>SUMIFS('январь 2023'!$G$4:$G$508,'январь 2023'!$D$4:$D$508,$B134,'январь 2023'!$J$4:$J$508,K$1)</f>
        <v>0</v>
      </c>
      <c r="L134" s="207">
        <f>SUMIFS('январь 2023'!$G$4:$G$508,'январь 2023'!$D$4:$D$508,$B134,'январь 2023'!$J$4:$J$508,L$1)</f>
        <v>0</v>
      </c>
      <c r="M134" s="207">
        <f>SUMIFS('январь 2023'!$G$4:$G$508,'январь 2023'!$D$4:$D$508,$B134,'январь 2023'!$J$4:$J$508,M$1)</f>
        <v>0</v>
      </c>
      <c r="N134" s="207">
        <f>SUMIFS('январь 2023'!$G$4:$G$508,'январь 2023'!$D$4:$D$508,$B134,'январь 2023'!$J$4:$J$508,N$1)</f>
        <v>0</v>
      </c>
      <c r="O134" s="207">
        <f>SUMIFS('январь 2023'!$G$4:$G$508,'январь 2023'!$D$4:$D$508,$B134,'январь 2023'!$J$4:$J$508,O$1)</f>
        <v>0</v>
      </c>
      <c r="P134" s="207">
        <f>SUMIFS('январь 2023'!$G$4:$G$508,'январь 2023'!$D$4:$D$508,$B134,'январь 2023'!$J$4:$J$508,P$1)</f>
        <v>0</v>
      </c>
      <c r="Q134" s="207">
        <f>SUMIFS('январь 2023'!$G$4:$G$508,'январь 2023'!$D$4:$D$508,$B134,'январь 2023'!$J$4:$J$508,Q$1)</f>
        <v>0</v>
      </c>
      <c r="R134" s="207">
        <f>SUMIFS('январь 2023'!$G$4:$G$508,'январь 2023'!$D$4:$D$508,$B134,'январь 2023'!$J$4:$J$508,R$1)</f>
        <v>0</v>
      </c>
      <c r="S134" s="207">
        <f>SUMIFS('январь 2023'!$G$4:$G$508,'январь 2023'!$D$4:$D$508,$B134,'январь 2023'!$J$4:$J$508,S$1)</f>
        <v>0</v>
      </c>
      <c r="T134" s="207">
        <f>SUMIFS('январь 2023'!$G$4:$G$508,'январь 2023'!$D$4:$D$508,$B134,'январь 2023'!$J$4:$J$508,T$1)</f>
        <v>0</v>
      </c>
      <c r="U134" s="207">
        <f>SUMIFS('январь 2023'!$G$4:$G$508,'январь 2023'!$D$4:$D$508,$B134,'январь 2023'!$J$4:$J$508,U$1)</f>
        <v>0</v>
      </c>
      <c r="V134" s="207">
        <f>SUMIFS('январь 2023'!$G$4:$G$508,'январь 2023'!$D$4:$D$508,$B134,'январь 2023'!$J$4:$J$508,V$1)</f>
        <v>0</v>
      </c>
      <c r="W134" s="207">
        <f>SUMIFS('январь 2023'!$G$4:$G$508,'январь 2023'!$D$4:$D$508,$B134,'январь 2023'!$J$4:$J$508,W$1)</f>
        <v>0</v>
      </c>
      <c r="X134" s="207">
        <f>SUMIFS('январь 2023'!$G$4:$G$508,'январь 2023'!$D$4:$D$508,$B134,'январь 2023'!$J$4:$J$508,X$1)</f>
        <v>0</v>
      </c>
      <c r="Y134" s="207">
        <f>SUMIFS('январь 2023'!$G$4:$G$508,'январь 2023'!$D$4:$D$508,$B134,'январь 2023'!$J$4:$J$508,Y$1)</f>
        <v>0</v>
      </c>
      <c r="Z134" s="207">
        <f>SUMIFS('январь 2023'!$G$4:$G$508,'январь 2023'!$D$4:$D$508,$B134,'январь 2023'!$J$4:$J$508,Z$1)</f>
        <v>0</v>
      </c>
      <c r="AA134" s="207">
        <f>SUMIFS('январь 2023'!$G$4:$G$508,'январь 2023'!$D$4:$D$508,$B134,'январь 2023'!$J$4:$J$508,AA$1)</f>
        <v>0</v>
      </c>
      <c r="AB134" s="207">
        <f>SUMIFS('январь 2023'!$G$4:$G$508,'январь 2023'!$D$4:$D$508,$B134,'январь 2023'!$J$4:$J$508,AB$1)</f>
        <v>0</v>
      </c>
      <c r="AC134" s="207">
        <f>SUMIFS('январь 2023'!$G$4:$G$508,'январь 2023'!$D$4:$D$508,$B134,'январь 2023'!$J$4:$J$508,AC$1)</f>
        <v>0</v>
      </c>
      <c r="AD134" s="207">
        <f>SUMIFS('январь 2023'!$G$4:$G$508,'январь 2023'!$D$4:$D$508,$B134,'январь 2023'!$J$4:$J$508,AD$1)</f>
        <v>0</v>
      </c>
      <c r="AE134" s="207">
        <f>SUMIFS('январь 2023'!$G$4:$G$508,'январь 2023'!$D$4:$D$508,$B134,'январь 2023'!$J$4:$J$508,AE$1)</f>
        <v>0</v>
      </c>
      <c r="AF134" s="207">
        <f>SUMIFS('январь 2023'!$G$4:$G$508,'январь 2023'!$D$4:$D$508,$B134,'январь 2023'!$J$4:$J$508,AF$1)</f>
        <v>0</v>
      </c>
      <c r="AG134" s="207">
        <f>SUMIFS('январь 2023'!$G$4:$G$508,'январь 2023'!$D$4:$D$508,$B134,'январь 2023'!$J$4:$J$508,AG$1)</f>
        <v>0</v>
      </c>
      <c r="AH134" s="207">
        <f>SUMIFS('январь 2023'!$G$4:$G$508,'январь 2023'!$D$4:$D$508,$B134,'январь 2023'!$J$4:$J$508,AH$1)</f>
        <v>0</v>
      </c>
      <c r="AI134" s="220">
        <f t="shared" si="3"/>
        <v>0</v>
      </c>
    </row>
    <row r="135" spans="2:35" ht="15" hidden="1" customHeight="1" x14ac:dyDescent="0.25">
      <c r="B135" s="216"/>
      <c r="C135" s="213"/>
      <c r="D135" s="207">
        <f>SUMIFS('январь 2023'!$G$4:$G$508,'январь 2023'!$D$4:$D$508,$B135,'январь 2023'!$J$4:$J$508,D$1)</f>
        <v>0</v>
      </c>
      <c r="E135" s="207">
        <f>SUMIFS('январь 2023'!$G$4:$G$508,'январь 2023'!$D$4:$D$508,$B135,'январь 2023'!$J$4:$J$508,E$1)</f>
        <v>0</v>
      </c>
      <c r="F135" s="207">
        <f>SUMIFS('январь 2023'!$G$4:$G$508,'январь 2023'!$D$4:$D$508,$B135,'январь 2023'!$J$4:$J$508,F$1)</f>
        <v>0</v>
      </c>
      <c r="G135" s="207">
        <f>SUMIFS('январь 2023'!$G$4:$G$508,'январь 2023'!$D$4:$D$508,$B135,'январь 2023'!$J$4:$J$508,G$1)</f>
        <v>0</v>
      </c>
      <c r="H135" s="207">
        <f>SUMIFS('январь 2023'!$G$4:$G$508,'январь 2023'!$D$4:$D$508,$B135,'январь 2023'!$J$4:$J$508,H$1)</f>
        <v>0</v>
      </c>
      <c r="I135" s="207">
        <f>SUMIFS('январь 2023'!$G$4:$G$508,'январь 2023'!$D$4:$D$508,$B135,'январь 2023'!$J$4:$J$508,I$1)</f>
        <v>0</v>
      </c>
      <c r="J135" s="207">
        <f>SUMIFS('январь 2023'!$G$4:$G$508,'январь 2023'!$D$4:$D$508,$B135,'январь 2023'!$J$4:$J$508,J$1)</f>
        <v>0</v>
      </c>
      <c r="K135" s="207">
        <f>SUMIFS('январь 2023'!$G$4:$G$508,'январь 2023'!$D$4:$D$508,$B135,'январь 2023'!$J$4:$J$508,K$1)</f>
        <v>0</v>
      </c>
      <c r="L135" s="207">
        <f>SUMIFS('январь 2023'!$G$4:$G$508,'январь 2023'!$D$4:$D$508,$B135,'январь 2023'!$J$4:$J$508,L$1)</f>
        <v>0</v>
      </c>
      <c r="M135" s="207">
        <f>SUMIFS('январь 2023'!$G$4:$G$508,'январь 2023'!$D$4:$D$508,$B135,'январь 2023'!$J$4:$J$508,M$1)</f>
        <v>0</v>
      </c>
      <c r="N135" s="207">
        <f>SUMIFS('январь 2023'!$G$4:$G$508,'январь 2023'!$D$4:$D$508,$B135,'январь 2023'!$J$4:$J$508,N$1)</f>
        <v>0</v>
      </c>
      <c r="O135" s="207">
        <f>SUMIFS('январь 2023'!$G$4:$G$508,'январь 2023'!$D$4:$D$508,$B135,'январь 2023'!$J$4:$J$508,O$1)</f>
        <v>0</v>
      </c>
      <c r="P135" s="207">
        <f>SUMIFS('январь 2023'!$G$4:$G$508,'январь 2023'!$D$4:$D$508,$B135,'январь 2023'!$J$4:$J$508,P$1)</f>
        <v>0</v>
      </c>
      <c r="Q135" s="207">
        <f>SUMIFS('январь 2023'!$G$4:$G$508,'январь 2023'!$D$4:$D$508,$B135,'январь 2023'!$J$4:$J$508,Q$1)</f>
        <v>0</v>
      </c>
      <c r="R135" s="207">
        <f>SUMIFS('январь 2023'!$G$4:$G$508,'январь 2023'!$D$4:$D$508,$B135,'январь 2023'!$J$4:$J$508,R$1)</f>
        <v>0</v>
      </c>
      <c r="S135" s="207">
        <f>SUMIFS('январь 2023'!$G$4:$G$508,'январь 2023'!$D$4:$D$508,$B135,'январь 2023'!$J$4:$J$508,S$1)</f>
        <v>0</v>
      </c>
      <c r="T135" s="207">
        <f>SUMIFS('январь 2023'!$G$4:$G$508,'январь 2023'!$D$4:$D$508,$B135,'январь 2023'!$J$4:$J$508,T$1)</f>
        <v>0</v>
      </c>
      <c r="U135" s="207">
        <f>SUMIFS('январь 2023'!$G$4:$G$508,'январь 2023'!$D$4:$D$508,$B135,'январь 2023'!$J$4:$J$508,U$1)</f>
        <v>0</v>
      </c>
      <c r="V135" s="207">
        <f>SUMIFS('январь 2023'!$G$4:$G$508,'январь 2023'!$D$4:$D$508,$B135,'январь 2023'!$J$4:$J$508,V$1)</f>
        <v>0</v>
      </c>
      <c r="W135" s="207">
        <f>SUMIFS('январь 2023'!$G$4:$G$508,'январь 2023'!$D$4:$D$508,$B135,'январь 2023'!$J$4:$J$508,W$1)</f>
        <v>0</v>
      </c>
      <c r="X135" s="207">
        <f>SUMIFS('январь 2023'!$G$4:$G$508,'январь 2023'!$D$4:$D$508,$B135,'январь 2023'!$J$4:$J$508,X$1)</f>
        <v>0</v>
      </c>
      <c r="Y135" s="207">
        <f>SUMIFS('январь 2023'!$G$4:$G$508,'январь 2023'!$D$4:$D$508,$B135,'январь 2023'!$J$4:$J$508,Y$1)</f>
        <v>0</v>
      </c>
      <c r="Z135" s="207">
        <f>SUMIFS('январь 2023'!$G$4:$G$508,'январь 2023'!$D$4:$D$508,$B135,'январь 2023'!$J$4:$J$508,Z$1)</f>
        <v>0</v>
      </c>
      <c r="AA135" s="207">
        <f>SUMIFS('январь 2023'!$G$4:$G$508,'январь 2023'!$D$4:$D$508,$B135,'январь 2023'!$J$4:$J$508,AA$1)</f>
        <v>0</v>
      </c>
      <c r="AB135" s="207">
        <f>SUMIFS('январь 2023'!$G$4:$G$508,'январь 2023'!$D$4:$D$508,$B135,'январь 2023'!$J$4:$J$508,AB$1)</f>
        <v>0</v>
      </c>
      <c r="AC135" s="207">
        <f>SUMIFS('январь 2023'!$G$4:$G$508,'январь 2023'!$D$4:$D$508,$B135,'январь 2023'!$J$4:$J$508,AC$1)</f>
        <v>0</v>
      </c>
      <c r="AD135" s="207">
        <f>SUMIFS('январь 2023'!$G$4:$G$508,'январь 2023'!$D$4:$D$508,$B135,'январь 2023'!$J$4:$J$508,AD$1)</f>
        <v>0</v>
      </c>
      <c r="AE135" s="207">
        <f>SUMIFS('январь 2023'!$G$4:$G$508,'январь 2023'!$D$4:$D$508,$B135,'январь 2023'!$J$4:$J$508,AE$1)</f>
        <v>0</v>
      </c>
      <c r="AF135" s="207">
        <f>SUMIFS('январь 2023'!$G$4:$G$508,'январь 2023'!$D$4:$D$508,$B135,'январь 2023'!$J$4:$J$508,AF$1)</f>
        <v>0</v>
      </c>
      <c r="AG135" s="207">
        <f>SUMIFS('январь 2023'!$G$4:$G$508,'январь 2023'!$D$4:$D$508,$B135,'январь 2023'!$J$4:$J$508,AG$1)</f>
        <v>0</v>
      </c>
      <c r="AH135" s="207">
        <f>SUMIFS('январь 2023'!$G$4:$G$508,'январь 2023'!$D$4:$D$508,$B135,'январь 2023'!$J$4:$J$508,AH$1)</f>
        <v>0</v>
      </c>
      <c r="AI135" s="220">
        <f t="shared" si="3"/>
        <v>0</v>
      </c>
    </row>
    <row r="136" spans="2:35" ht="15" hidden="1" customHeight="1" x14ac:dyDescent="0.25">
      <c r="B136" s="212"/>
      <c r="C136" s="211"/>
      <c r="D136" s="207">
        <f>SUMIFS('январь 2023'!$G$4:$G$508,'январь 2023'!$D$4:$D$508,$B136,'январь 2023'!$J$4:$J$508,D$1)</f>
        <v>0</v>
      </c>
      <c r="E136" s="207">
        <f>SUMIFS('январь 2023'!$G$4:$G$508,'январь 2023'!$D$4:$D$508,$B136,'январь 2023'!$J$4:$J$508,E$1)</f>
        <v>0</v>
      </c>
      <c r="F136" s="207">
        <f>SUMIFS('январь 2023'!$G$4:$G$508,'январь 2023'!$D$4:$D$508,$B136,'январь 2023'!$J$4:$J$508,F$1)</f>
        <v>0</v>
      </c>
      <c r="G136" s="207">
        <f>SUMIFS('январь 2023'!$G$4:$G$508,'январь 2023'!$D$4:$D$508,$B136,'январь 2023'!$J$4:$J$508,G$1)</f>
        <v>0</v>
      </c>
      <c r="H136" s="207">
        <f>SUMIFS('январь 2023'!$G$4:$G$508,'январь 2023'!$D$4:$D$508,$B136,'январь 2023'!$J$4:$J$508,H$1)</f>
        <v>0</v>
      </c>
      <c r="I136" s="207">
        <f>SUMIFS('январь 2023'!$G$4:$G$508,'январь 2023'!$D$4:$D$508,$B136,'январь 2023'!$J$4:$J$508,I$1)</f>
        <v>0</v>
      </c>
      <c r="J136" s="207">
        <f>SUMIFS('январь 2023'!$G$4:$G$508,'январь 2023'!$D$4:$D$508,$B136,'январь 2023'!$J$4:$J$508,J$1)</f>
        <v>0</v>
      </c>
      <c r="K136" s="207">
        <f>SUMIFS('январь 2023'!$G$4:$G$508,'январь 2023'!$D$4:$D$508,$B136,'январь 2023'!$J$4:$J$508,K$1)</f>
        <v>0</v>
      </c>
      <c r="L136" s="207">
        <f>SUMIFS('январь 2023'!$G$4:$G$508,'январь 2023'!$D$4:$D$508,$B136,'январь 2023'!$J$4:$J$508,L$1)</f>
        <v>0</v>
      </c>
      <c r="M136" s="207">
        <f>SUMIFS('январь 2023'!$G$4:$G$508,'январь 2023'!$D$4:$D$508,$B136,'январь 2023'!$J$4:$J$508,M$1)</f>
        <v>0</v>
      </c>
      <c r="N136" s="207">
        <f>SUMIFS('январь 2023'!$G$4:$G$508,'январь 2023'!$D$4:$D$508,$B136,'январь 2023'!$J$4:$J$508,N$1)</f>
        <v>0</v>
      </c>
      <c r="O136" s="207">
        <f>SUMIFS('январь 2023'!$G$4:$G$508,'январь 2023'!$D$4:$D$508,$B136,'январь 2023'!$J$4:$J$508,O$1)</f>
        <v>0</v>
      </c>
      <c r="P136" s="207">
        <f>SUMIFS('январь 2023'!$G$4:$G$508,'январь 2023'!$D$4:$D$508,$B136,'январь 2023'!$J$4:$J$508,P$1)</f>
        <v>0</v>
      </c>
      <c r="Q136" s="207">
        <f>SUMIFS('январь 2023'!$G$4:$G$508,'январь 2023'!$D$4:$D$508,$B136,'январь 2023'!$J$4:$J$508,Q$1)</f>
        <v>0</v>
      </c>
      <c r="R136" s="207">
        <f>SUMIFS('январь 2023'!$G$4:$G$508,'январь 2023'!$D$4:$D$508,$B136,'январь 2023'!$J$4:$J$508,R$1)</f>
        <v>0</v>
      </c>
      <c r="S136" s="207">
        <f>SUMIFS('январь 2023'!$G$4:$G$508,'январь 2023'!$D$4:$D$508,$B136,'январь 2023'!$J$4:$J$508,S$1)</f>
        <v>0</v>
      </c>
      <c r="T136" s="207">
        <f>SUMIFS('январь 2023'!$G$4:$G$508,'январь 2023'!$D$4:$D$508,$B136,'январь 2023'!$J$4:$J$508,T$1)</f>
        <v>0</v>
      </c>
      <c r="U136" s="207">
        <f>SUMIFS('январь 2023'!$G$4:$G$508,'январь 2023'!$D$4:$D$508,$B136,'январь 2023'!$J$4:$J$508,U$1)</f>
        <v>0</v>
      </c>
      <c r="V136" s="207">
        <f>SUMIFS('январь 2023'!$G$4:$G$508,'январь 2023'!$D$4:$D$508,$B136,'январь 2023'!$J$4:$J$508,V$1)</f>
        <v>0</v>
      </c>
      <c r="W136" s="207">
        <f>SUMIFS('январь 2023'!$G$4:$G$508,'январь 2023'!$D$4:$D$508,$B136,'январь 2023'!$J$4:$J$508,W$1)</f>
        <v>0</v>
      </c>
      <c r="X136" s="207">
        <f>SUMIFS('январь 2023'!$G$4:$G$508,'январь 2023'!$D$4:$D$508,$B136,'январь 2023'!$J$4:$J$508,X$1)</f>
        <v>0</v>
      </c>
      <c r="Y136" s="207">
        <f>SUMIFS('январь 2023'!$G$4:$G$508,'январь 2023'!$D$4:$D$508,$B136,'январь 2023'!$J$4:$J$508,Y$1)</f>
        <v>0</v>
      </c>
      <c r="Z136" s="207">
        <f>SUMIFS('январь 2023'!$G$4:$G$508,'январь 2023'!$D$4:$D$508,$B136,'январь 2023'!$J$4:$J$508,Z$1)</f>
        <v>0</v>
      </c>
      <c r="AA136" s="207">
        <f>SUMIFS('январь 2023'!$G$4:$G$508,'январь 2023'!$D$4:$D$508,$B136,'январь 2023'!$J$4:$J$508,AA$1)</f>
        <v>0</v>
      </c>
      <c r="AB136" s="207">
        <f>SUMIFS('январь 2023'!$G$4:$G$508,'январь 2023'!$D$4:$D$508,$B136,'январь 2023'!$J$4:$J$508,AB$1)</f>
        <v>0</v>
      </c>
      <c r="AC136" s="207">
        <f>SUMIFS('январь 2023'!$G$4:$G$508,'январь 2023'!$D$4:$D$508,$B136,'январь 2023'!$J$4:$J$508,AC$1)</f>
        <v>0</v>
      </c>
      <c r="AD136" s="207">
        <f>SUMIFS('январь 2023'!$G$4:$G$508,'январь 2023'!$D$4:$D$508,$B136,'январь 2023'!$J$4:$J$508,AD$1)</f>
        <v>0</v>
      </c>
      <c r="AE136" s="207">
        <f>SUMIFS('январь 2023'!$G$4:$G$508,'январь 2023'!$D$4:$D$508,$B136,'январь 2023'!$J$4:$J$508,AE$1)</f>
        <v>0</v>
      </c>
      <c r="AF136" s="207">
        <f>SUMIFS('январь 2023'!$G$4:$G$508,'январь 2023'!$D$4:$D$508,$B136,'январь 2023'!$J$4:$J$508,AF$1)</f>
        <v>0</v>
      </c>
      <c r="AG136" s="207">
        <f>SUMIFS('январь 2023'!$G$4:$G$508,'январь 2023'!$D$4:$D$508,$B136,'январь 2023'!$J$4:$J$508,AG$1)</f>
        <v>0</v>
      </c>
      <c r="AH136" s="207">
        <f>SUMIFS('январь 2023'!$G$4:$G$508,'январь 2023'!$D$4:$D$508,$B136,'январь 2023'!$J$4:$J$508,AH$1)</f>
        <v>0</v>
      </c>
      <c r="AI136" s="220">
        <f t="shared" si="3"/>
        <v>0</v>
      </c>
    </row>
    <row r="137" spans="2:35" ht="15" hidden="1" customHeight="1" x14ac:dyDescent="0.25">
      <c r="B137" s="212"/>
      <c r="C137" s="213"/>
      <c r="D137" s="207">
        <f>SUMIFS('январь 2023'!$G$4:$G$508,'январь 2023'!$D$4:$D$508,$B137,'январь 2023'!$J$4:$J$508,D$1)</f>
        <v>0</v>
      </c>
      <c r="E137" s="207">
        <f>SUMIFS('январь 2023'!$G$4:$G$508,'январь 2023'!$D$4:$D$508,$B137,'январь 2023'!$J$4:$J$508,E$1)</f>
        <v>0</v>
      </c>
      <c r="F137" s="207">
        <f>SUMIFS('январь 2023'!$G$4:$G$508,'январь 2023'!$D$4:$D$508,$B137,'январь 2023'!$J$4:$J$508,F$1)</f>
        <v>0</v>
      </c>
      <c r="G137" s="207">
        <f>SUMIFS('январь 2023'!$G$4:$G$508,'январь 2023'!$D$4:$D$508,$B137,'январь 2023'!$J$4:$J$508,G$1)</f>
        <v>0</v>
      </c>
      <c r="H137" s="207">
        <f>SUMIFS('январь 2023'!$G$4:$G$508,'январь 2023'!$D$4:$D$508,$B137,'январь 2023'!$J$4:$J$508,H$1)</f>
        <v>0</v>
      </c>
      <c r="I137" s="207">
        <f>SUMIFS('январь 2023'!$G$4:$G$508,'январь 2023'!$D$4:$D$508,$B137,'январь 2023'!$J$4:$J$508,I$1)</f>
        <v>0</v>
      </c>
      <c r="J137" s="207">
        <f>SUMIFS('январь 2023'!$G$4:$G$508,'январь 2023'!$D$4:$D$508,$B137,'январь 2023'!$J$4:$J$508,J$1)</f>
        <v>0</v>
      </c>
      <c r="K137" s="207">
        <f>SUMIFS('январь 2023'!$G$4:$G$508,'январь 2023'!$D$4:$D$508,$B137,'январь 2023'!$J$4:$J$508,K$1)</f>
        <v>0</v>
      </c>
      <c r="L137" s="207">
        <f>SUMIFS('январь 2023'!$G$4:$G$508,'январь 2023'!$D$4:$D$508,$B137,'январь 2023'!$J$4:$J$508,L$1)</f>
        <v>0</v>
      </c>
      <c r="M137" s="207">
        <f>SUMIFS('январь 2023'!$G$4:$G$508,'январь 2023'!$D$4:$D$508,$B137,'январь 2023'!$J$4:$J$508,M$1)</f>
        <v>0</v>
      </c>
      <c r="N137" s="207">
        <f>SUMIFS('январь 2023'!$G$4:$G$508,'январь 2023'!$D$4:$D$508,$B137,'январь 2023'!$J$4:$J$508,N$1)</f>
        <v>0</v>
      </c>
      <c r="O137" s="207">
        <f>SUMIFS('январь 2023'!$G$4:$G$508,'январь 2023'!$D$4:$D$508,$B137,'январь 2023'!$J$4:$J$508,O$1)</f>
        <v>0</v>
      </c>
      <c r="P137" s="207">
        <f>SUMIFS('январь 2023'!$G$4:$G$508,'январь 2023'!$D$4:$D$508,$B137,'январь 2023'!$J$4:$J$508,P$1)</f>
        <v>0</v>
      </c>
      <c r="Q137" s="207">
        <f>SUMIFS('январь 2023'!$G$4:$G$508,'январь 2023'!$D$4:$D$508,$B137,'январь 2023'!$J$4:$J$508,Q$1)</f>
        <v>0</v>
      </c>
      <c r="R137" s="207">
        <f>SUMIFS('январь 2023'!$G$4:$G$508,'январь 2023'!$D$4:$D$508,$B137,'январь 2023'!$J$4:$J$508,R$1)</f>
        <v>0</v>
      </c>
      <c r="S137" s="207">
        <f>SUMIFS('январь 2023'!$G$4:$G$508,'январь 2023'!$D$4:$D$508,$B137,'январь 2023'!$J$4:$J$508,S$1)</f>
        <v>0</v>
      </c>
      <c r="T137" s="207">
        <f>SUMIFS('январь 2023'!$G$4:$G$508,'январь 2023'!$D$4:$D$508,$B137,'январь 2023'!$J$4:$J$508,T$1)</f>
        <v>0</v>
      </c>
      <c r="U137" s="207">
        <f>SUMIFS('январь 2023'!$G$4:$G$508,'январь 2023'!$D$4:$D$508,$B137,'январь 2023'!$J$4:$J$508,U$1)</f>
        <v>0</v>
      </c>
      <c r="V137" s="207">
        <f>SUMIFS('январь 2023'!$G$4:$G$508,'январь 2023'!$D$4:$D$508,$B137,'январь 2023'!$J$4:$J$508,V$1)</f>
        <v>0</v>
      </c>
      <c r="W137" s="207">
        <f>SUMIFS('январь 2023'!$G$4:$G$508,'январь 2023'!$D$4:$D$508,$B137,'январь 2023'!$J$4:$J$508,W$1)</f>
        <v>0</v>
      </c>
      <c r="X137" s="207">
        <f>SUMIFS('январь 2023'!$G$4:$G$508,'январь 2023'!$D$4:$D$508,$B137,'январь 2023'!$J$4:$J$508,X$1)</f>
        <v>0</v>
      </c>
      <c r="Y137" s="207">
        <f>SUMIFS('январь 2023'!$G$4:$G$508,'январь 2023'!$D$4:$D$508,$B137,'январь 2023'!$J$4:$J$508,Y$1)</f>
        <v>0</v>
      </c>
      <c r="Z137" s="207">
        <f>SUMIFS('январь 2023'!$G$4:$G$508,'январь 2023'!$D$4:$D$508,$B137,'январь 2023'!$J$4:$J$508,Z$1)</f>
        <v>0</v>
      </c>
      <c r="AA137" s="207">
        <f>SUMIFS('январь 2023'!$G$4:$G$508,'январь 2023'!$D$4:$D$508,$B137,'январь 2023'!$J$4:$J$508,AA$1)</f>
        <v>0</v>
      </c>
      <c r="AB137" s="207">
        <f>SUMIFS('январь 2023'!$G$4:$G$508,'январь 2023'!$D$4:$D$508,$B137,'январь 2023'!$J$4:$J$508,AB$1)</f>
        <v>0</v>
      </c>
      <c r="AC137" s="207">
        <f>SUMIFS('январь 2023'!$G$4:$G$508,'январь 2023'!$D$4:$D$508,$B137,'январь 2023'!$J$4:$J$508,AC$1)</f>
        <v>0</v>
      </c>
      <c r="AD137" s="207">
        <f>SUMIFS('январь 2023'!$G$4:$G$508,'январь 2023'!$D$4:$D$508,$B137,'январь 2023'!$J$4:$J$508,AD$1)</f>
        <v>0</v>
      </c>
      <c r="AE137" s="207">
        <f>SUMIFS('январь 2023'!$G$4:$G$508,'январь 2023'!$D$4:$D$508,$B137,'январь 2023'!$J$4:$J$508,AE$1)</f>
        <v>0</v>
      </c>
      <c r="AF137" s="207">
        <f>SUMIFS('январь 2023'!$G$4:$G$508,'январь 2023'!$D$4:$D$508,$B137,'январь 2023'!$J$4:$J$508,AF$1)</f>
        <v>0</v>
      </c>
      <c r="AG137" s="207">
        <f>SUMIFS('январь 2023'!$G$4:$G$508,'январь 2023'!$D$4:$D$508,$B137,'январь 2023'!$J$4:$J$508,AG$1)</f>
        <v>0</v>
      </c>
      <c r="AH137" s="207">
        <f>SUMIFS('январь 2023'!$G$4:$G$508,'январь 2023'!$D$4:$D$508,$B137,'январь 2023'!$J$4:$J$508,AH$1)</f>
        <v>0</v>
      </c>
      <c r="AI137" s="220">
        <f t="shared" si="3"/>
        <v>0</v>
      </c>
    </row>
    <row r="138" spans="2:35" ht="15" hidden="1" customHeight="1" x14ac:dyDescent="0.25">
      <c r="B138" s="212"/>
      <c r="C138" s="213"/>
      <c r="D138" s="207">
        <f>SUMIFS('январь 2023'!$G$4:$G$508,'январь 2023'!$D$4:$D$508,$B138,'январь 2023'!$J$4:$J$508,D$1)</f>
        <v>0</v>
      </c>
      <c r="E138" s="207">
        <f>SUMIFS('январь 2023'!$G$4:$G$508,'январь 2023'!$D$4:$D$508,$B138,'январь 2023'!$J$4:$J$508,E$1)</f>
        <v>0</v>
      </c>
      <c r="F138" s="207">
        <f>SUMIFS('январь 2023'!$G$4:$G$508,'январь 2023'!$D$4:$D$508,$B138,'январь 2023'!$J$4:$J$508,F$1)</f>
        <v>0</v>
      </c>
      <c r="G138" s="207">
        <f>SUMIFS('январь 2023'!$G$4:$G$508,'январь 2023'!$D$4:$D$508,$B138,'январь 2023'!$J$4:$J$508,G$1)</f>
        <v>0</v>
      </c>
      <c r="H138" s="207">
        <f>SUMIFS('январь 2023'!$G$4:$G$508,'январь 2023'!$D$4:$D$508,$B138,'январь 2023'!$J$4:$J$508,H$1)</f>
        <v>0</v>
      </c>
      <c r="I138" s="207">
        <f>SUMIFS('январь 2023'!$G$4:$G$508,'январь 2023'!$D$4:$D$508,$B138,'январь 2023'!$J$4:$J$508,I$1)</f>
        <v>0</v>
      </c>
      <c r="J138" s="207">
        <f>SUMIFS('январь 2023'!$G$4:$G$508,'январь 2023'!$D$4:$D$508,$B138,'январь 2023'!$J$4:$J$508,J$1)</f>
        <v>0</v>
      </c>
      <c r="K138" s="207">
        <f>SUMIFS('январь 2023'!$G$4:$G$508,'январь 2023'!$D$4:$D$508,$B138,'январь 2023'!$J$4:$J$508,K$1)</f>
        <v>0</v>
      </c>
      <c r="L138" s="207">
        <f>SUMIFS('январь 2023'!$G$4:$G$508,'январь 2023'!$D$4:$D$508,$B138,'январь 2023'!$J$4:$J$508,L$1)</f>
        <v>0</v>
      </c>
      <c r="M138" s="207">
        <f>SUMIFS('январь 2023'!$G$4:$G$508,'январь 2023'!$D$4:$D$508,$B138,'январь 2023'!$J$4:$J$508,M$1)</f>
        <v>0</v>
      </c>
      <c r="N138" s="207">
        <f>SUMIFS('январь 2023'!$G$4:$G$508,'январь 2023'!$D$4:$D$508,$B138,'январь 2023'!$J$4:$J$508,N$1)</f>
        <v>0</v>
      </c>
      <c r="O138" s="207">
        <f>SUMIFS('январь 2023'!$G$4:$G$508,'январь 2023'!$D$4:$D$508,$B138,'январь 2023'!$J$4:$J$508,O$1)</f>
        <v>0</v>
      </c>
      <c r="P138" s="207">
        <f>SUMIFS('январь 2023'!$G$4:$G$508,'январь 2023'!$D$4:$D$508,$B138,'январь 2023'!$J$4:$J$508,P$1)</f>
        <v>0</v>
      </c>
      <c r="Q138" s="207">
        <f>SUMIFS('январь 2023'!$G$4:$G$508,'январь 2023'!$D$4:$D$508,$B138,'январь 2023'!$J$4:$J$508,Q$1)</f>
        <v>0</v>
      </c>
      <c r="R138" s="207">
        <f>SUMIFS('январь 2023'!$G$4:$G$508,'январь 2023'!$D$4:$D$508,$B138,'январь 2023'!$J$4:$J$508,R$1)</f>
        <v>0</v>
      </c>
      <c r="S138" s="207">
        <f>SUMIFS('январь 2023'!$G$4:$G$508,'январь 2023'!$D$4:$D$508,$B138,'январь 2023'!$J$4:$J$508,S$1)</f>
        <v>0</v>
      </c>
      <c r="T138" s="207">
        <f>SUMIFS('январь 2023'!$G$4:$G$508,'январь 2023'!$D$4:$D$508,$B138,'январь 2023'!$J$4:$J$508,T$1)</f>
        <v>0</v>
      </c>
      <c r="U138" s="207">
        <f>SUMIFS('январь 2023'!$G$4:$G$508,'январь 2023'!$D$4:$D$508,$B138,'январь 2023'!$J$4:$J$508,U$1)</f>
        <v>0</v>
      </c>
      <c r="V138" s="207">
        <f>SUMIFS('январь 2023'!$G$4:$G$508,'январь 2023'!$D$4:$D$508,$B138,'январь 2023'!$J$4:$J$508,V$1)</f>
        <v>0</v>
      </c>
      <c r="W138" s="207">
        <f>SUMIFS('январь 2023'!$G$4:$G$508,'январь 2023'!$D$4:$D$508,$B138,'январь 2023'!$J$4:$J$508,W$1)</f>
        <v>0</v>
      </c>
      <c r="X138" s="207">
        <f>SUMIFS('январь 2023'!$G$4:$G$508,'январь 2023'!$D$4:$D$508,$B138,'январь 2023'!$J$4:$J$508,X$1)</f>
        <v>0</v>
      </c>
      <c r="Y138" s="207">
        <f>SUMIFS('январь 2023'!$G$4:$G$508,'январь 2023'!$D$4:$D$508,$B138,'январь 2023'!$J$4:$J$508,Y$1)</f>
        <v>0</v>
      </c>
      <c r="Z138" s="207">
        <f>SUMIFS('январь 2023'!$G$4:$G$508,'январь 2023'!$D$4:$D$508,$B138,'январь 2023'!$J$4:$J$508,Z$1)</f>
        <v>0</v>
      </c>
      <c r="AA138" s="207">
        <f>SUMIFS('январь 2023'!$G$4:$G$508,'январь 2023'!$D$4:$D$508,$B138,'январь 2023'!$J$4:$J$508,AA$1)</f>
        <v>0</v>
      </c>
      <c r="AB138" s="207">
        <f>SUMIFS('январь 2023'!$G$4:$G$508,'январь 2023'!$D$4:$D$508,$B138,'январь 2023'!$J$4:$J$508,AB$1)</f>
        <v>0</v>
      </c>
      <c r="AC138" s="207">
        <f>SUMIFS('январь 2023'!$G$4:$G$508,'январь 2023'!$D$4:$D$508,$B138,'январь 2023'!$J$4:$J$508,AC$1)</f>
        <v>0</v>
      </c>
      <c r="AD138" s="207">
        <f>SUMIFS('январь 2023'!$G$4:$G$508,'январь 2023'!$D$4:$D$508,$B138,'январь 2023'!$J$4:$J$508,AD$1)</f>
        <v>0</v>
      </c>
      <c r="AE138" s="207">
        <f>SUMIFS('январь 2023'!$G$4:$G$508,'январь 2023'!$D$4:$D$508,$B138,'январь 2023'!$J$4:$J$508,AE$1)</f>
        <v>0</v>
      </c>
      <c r="AF138" s="207">
        <f>SUMIFS('январь 2023'!$G$4:$G$508,'январь 2023'!$D$4:$D$508,$B138,'январь 2023'!$J$4:$J$508,AF$1)</f>
        <v>0</v>
      </c>
      <c r="AG138" s="207">
        <f>SUMIFS('январь 2023'!$G$4:$G$508,'январь 2023'!$D$4:$D$508,$B138,'январь 2023'!$J$4:$J$508,AG$1)</f>
        <v>0</v>
      </c>
      <c r="AH138" s="207">
        <f>SUMIFS('январь 2023'!$G$4:$G$508,'январь 2023'!$D$4:$D$508,$B138,'январь 2023'!$J$4:$J$508,AH$1)</f>
        <v>0</v>
      </c>
      <c r="AI138" s="220">
        <f t="shared" ref="AI138:AI176" si="4">SUM(D138:AH138)</f>
        <v>0</v>
      </c>
    </row>
    <row r="139" spans="2:35" ht="15" hidden="1" customHeight="1" x14ac:dyDescent="0.25">
      <c r="B139" s="212"/>
      <c r="C139" s="213"/>
      <c r="D139" s="207">
        <f>SUMIFS('январь 2023'!$G$4:$G$508,'январь 2023'!$D$4:$D$508,$B139,'январь 2023'!$J$4:$J$508,D$1)</f>
        <v>0</v>
      </c>
      <c r="E139" s="207">
        <f>SUMIFS('январь 2023'!$G$4:$G$508,'январь 2023'!$D$4:$D$508,$B139,'январь 2023'!$J$4:$J$508,E$1)</f>
        <v>0</v>
      </c>
      <c r="F139" s="207">
        <f>SUMIFS('январь 2023'!$G$4:$G$508,'январь 2023'!$D$4:$D$508,$B139,'январь 2023'!$J$4:$J$508,F$1)</f>
        <v>0</v>
      </c>
      <c r="G139" s="207">
        <f>SUMIFS('январь 2023'!$G$4:$G$508,'январь 2023'!$D$4:$D$508,$B139,'январь 2023'!$J$4:$J$508,G$1)</f>
        <v>0</v>
      </c>
      <c r="H139" s="207">
        <f>SUMIFS('январь 2023'!$G$4:$G$508,'январь 2023'!$D$4:$D$508,$B139,'январь 2023'!$J$4:$J$508,H$1)</f>
        <v>0</v>
      </c>
      <c r="I139" s="207">
        <f>SUMIFS('январь 2023'!$G$4:$G$508,'январь 2023'!$D$4:$D$508,$B139,'январь 2023'!$J$4:$J$508,I$1)</f>
        <v>0</v>
      </c>
      <c r="J139" s="207">
        <f>SUMIFS('январь 2023'!$G$4:$G$508,'январь 2023'!$D$4:$D$508,$B139,'январь 2023'!$J$4:$J$508,J$1)</f>
        <v>0</v>
      </c>
      <c r="K139" s="207">
        <f>SUMIFS('январь 2023'!$G$4:$G$508,'январь 2023'!$D$4:$D$508,$B139,'январь 2023'!$J$4:$J$508,K$1)</f>
        <v>0</v>
      </c>
      <c r="L139" s="207">
        <f>SUMIFS('январь 2023'!$G$4:$G$508,'январь 2023'!$D$4:$D$508,$B139,'январь 2023'!$J$4:$J$508,L$1)</f>
        <v>0</v>
      </c>
      <c r="M139" s="207">
        <f>SUMIFS('январь 2023'!$G$4:$G$508,'январь 2023'!$D$4:$D$508,$B139,'январь 2023'!$J$4:$J$508,M$1)</f>
        <v>0</v>
      </c>
      <c r="N139" s="207">
        <f>SUMIFS('январь 2023'!$G$4:$G$508,'январь 2023'!$D$4:$D$508,$B139,'январь 2023'!$J$4:$J$508,N$1)</f>
        <v>0</v>
      </c>
      <c r="O139" s="207">
        <f>SUMIFS('январь 2023'!$G$4:$G$508,'январь 2023'!$D$4:$D$508,$B139,'январь 2023'!$J$4:$J$508,O$1)</f>
        <v>0</v>
      </c>
      <c r="P139" s="207">
        <f>SUMIFS('январь 2023'!$G$4:$G$508,'январь 2023'!$D$4:$D$508,$B139,'январь 2023'!$J$4:$J$508,P$1)</f>
        <v>0</v>
      </c>
      <c r="Q139" s="207">
        <f>SUMIFS('январь 2023'!$G$4:$G$508,'январь 2023'!$D$4:$D$508,$B139,'январь 2023'!$J$4:$J$508,Q$1)</f>
        <v>0</v>
      </c>
      <c r="R139" s="207">
        <f>SUMIFS('январь 2023'!$G$4:$G$508,'январь 2023'!$D$4:$D$508,$B139,'январь 2023'!$J$4:$J$508,R$1)</f>
        <v>0</v>
      </c>
      <c r="S139" s="207">
        <f>SUMIFS('январь 2023'!$G$4:$G$508,'январь 2023'!$D$4:$D$508,$B139,'январь 2023'!$J$4:$J$508,S$1)</f>
        <v>0</v>
      </c>
      <c r="T139" s="207">
        <f>SUMIFS('январь 2023'!$G$4:$G$508,'январь 2023'!$D$4:$D$508,$B139,'январь 2023'!$J$4:$J$508,T$1)</f>
        <v>0</v>
      </c>
      <c r="U139" s="207">
        <f>SUMIFS('январь 2023'!$G$4:$G$508,'январь 2023'!$D$4:$D$508,$B139,'январь 2023'!$J$4:$J$508,U$1)</f>
        <v>0</v>
      </c>
      <c r="V139" s="207">
        <f>SUMIFS('январь 2023'!$G$4:$G$508,'январь 2023'!$D$4:$D$508,$B139,'январь 2023'!$J$4:$J$508,V$1)</f>
        <v>0</v>
      </c>
      <c r="W139" s="207">
        <f>SUMIFS('январь 2023'!$G$4:$G$508,'январь 2023'!$D$4:$D$508,$B139,'январь 2023'!$J$4:$J$508,W$1)</f>
        <v>0</v>
      </c>
      <c r="X139" s="207">
        <f>SUMIFS('январь 2023'!$G$4:$G$508,'январь 2023'!$D$4:$D$508,$B139,'январь 2023'!$J$4:$J$508,X$1)</f>
        <v>0</v>
      </c>
      <c r="Y139" s="207">
        <f>SUMIFS('январь 2023'!$G$4:$G$508,'январь 2023'!$D$4:$D$508,$B139,'январь 2023'!$J$4:$J$508,Y$1)</f>
        <v>0</v>
      </c>
      <c r="Z139" s="207">
        <f>SUMIFS('январь 2023'!$G$4:$G$508,'январь 2023'!$D$4:$D$508,$B139,'январь 2023'!$J$4:$J$508,Z$1)</f>
        <v>0</v>
      </c>
      <c r="AA139" s="207">
        <f>SUMIFS('январь 2023'!$G$4:$G$508,'январь 2023'!$D$4:$D$508,$B139,'январь 2023'!$J$4:$J$508,AA$1)</f>
        <v>0</v>
      </c>
      <c r="AB139" s="207">
        <f>SUMIFS('январь 2023'!$G$4:$G$508,'январь 2023'!$D$4:$D$508,$B139,'январь 2023'!$J$4:$J$508,AB$1)</f>
        <v>0</v>
      </c>
      <c r="AC139" s="207">
        <f>SUMIFS('январь 2023'!$G$4:$G$508,'январь 2023'!$D$4:$D$508,$B139,'январь 2023'!$J$4:$J$508,AC$1)</f>
        <v>0</v>
      </c>
      <c r="AD139" s="207">
        <f>SUMIFS('январь 2023'!$G$4:$G$508,'январь 2023'!$D$4:$D$508,$B139,'январь 2023'!$J$4:$J$508,AD$1)</f>
        <v>0</v>
      </c>
      <c r="AE139" s="207">
        <f>SUMIFS('январь 2023'!$G$4:$G$508,'январь 2023'!$D$4:$D$508,$B139,'январь 2023'!$J$4:$J$508,AE$1)</f>
        <v>0</v>
      </c>
      <c r="AF139" s="207">
        <f>SUMIFS('январь 2023'!$G$4:$G$508,'январь 2023'!$D$4:$D$508,$B139,'январь 2023'!$J$4:$J$508,AF$1)</f>
        <v>0</v>
      </c>
      <c r="AG139" s="207">
        <f>SUMIFS('январь 2023'!$G$4:$G$508,'январь 2023'!$D$4:$D$508,$B139,'январь 2023'!$J$4:$J$508,AG$1)</f>
        <v>0</v>
      </c>
      <c r="AH139" s="207">
        <f>SUMIFS('январь 2023'!$G$4:$G$508,'январь 2023'!$D$4:$D$508,$B139,'январь 2023'!$J$4:$J$508,AH$1)</f>
        <v>0</v>
      </c>
      <c r="AI139" s="220">
        <f t="shared" si="4"/>
        <v>0</v>
      </c>
    </row>
    <row r="140" spans="2:35" ht="15.75" hidden="1" x14ac:dyDescent="0.25">
      <c r="B140" s="212"/>
      <c r="C140" s="213"/>
      <c r="D140" s="207">
        <f>SUMIFS('январь 2023'!$G$4:$G$508,'январь 2023'!$D$4:$D$508,$B140,'январь 2023'!$J$4:$J$508,D$1)</f>
        <v>0</v>
      </c>
      <c r="E140" s="207">
        <f>SUMIFS('январь 2023'!$G$4:$G$508,'январь 2023'!$D$4:$D$508,$B140,'январь 2023'!$J$4:$J$508,E$1)</f>
        <v>0</v>
      </c>
      <c r="F140" s="207">
        <f>SUMIFS('январь 2023'!$G$4:$G$508,'январь 2023'!$D$4:$D$508,$B140,'январь 2023'!$J$4:$J$508,F$1)</f>
        <v>0</v>
      </c>
      <c r="G140" s="207">
        <f>SUMIFS('январь 2023'!$G$4:$G$508,'январь 2023'!$D$4:$D$508,$B140,'январь 2023'!$J$4:$J$508,G$1)</f>
        <v>0</v>
      </c>
      <c r="H140" s="207">
        <f>SUMIFS('январь 2023'!$G$4:$G$508,'январь 2023'!$D$4:$D$508,$B140,'январь 2023'!$J$4:$J$508,H$1)</f>
        <v>0</v>
      </c>
      <c r="I140" s="207">
        <f>SUMIFS('январь 2023'!$G$4:$G$508,'январь 2023'!$D$4:$D$508,$B140,'январь 2023'!$J$4:$J$508,I$1)</f>
        <v>0</v>
      </c>
      <c r="J140" s="207">
        <f>SUMIFS('январь 2023'!$G$4:$G$508,'январь 2023'!$D$4:$D$508,$B140,'январь 2023'!$J$4:$J$508,J$1)</f>
        <v>0</v>
      </c>
      <c r="K140" s="207">
        <f>SUMIFS('январь 2023'!$G$4:$G$508,'январь 2023'!$D$4:$D$508,$B140,'январь 2023'!$J$4:$J$508,K$1)</f>
        <v>0</v>
      </c>
      <c r="L140" s="207">
        <f>SUMIFS('январь 2023'!$G$4:$G$508,'январь 2023'!$D$4:$D$508,$B140,'январь 2023'!$J$4:$J$508,L$1)</f>
        <v>0</v>
      </c>
      <c r="M140" s="207">
        <f>SUMIFS('январь 2023'!$G$4:$G$508,'январь 2023'!$D$4:$D$508,$B140,'январь 2023'!$J$4:$J$508,M$1)</f>
        <v>0</v>
      </c>
      <c r="N140" s="207">
        <f>SUMIFS('январь 2023'!$G$4:$G$508,'январь 2023'!$D$4:$D$508,$B140,'январь 2023'!$J$4:$J$508,N$1)</f>
        <v>0</v>
      </c>
      <c r="O140" s="207">
        <f>SUMIFS('январь 2023'!$G$4:$G$508,'январь 2023'!$D$4:$D$508,$B140,'январь 2023'!$J$4:$J$508,O$1)</f>
        <v>0</v>
      </c>
      <c r="P140" s="207">
        <f>SUMIFS('январь 2023'!$G$4:$G$508,'январь 2023'!$D$4:$D$508,$B140,'январь 2023'!$J$4:$J$508,P$1)</f>
        <v>0</v>
      </c>
      <c r="Q140" s="207">
        <f>SUMIFS('январь 2023'!$G$4:$G$508,'январь 2023'!$D$4:$D$508,$B140,'январь 2023'!$J$4:$J$508,Q$1)</f>
        <v>0</v>
      </c>
      <c r="R140" s="207">
        <f>SUMIFS('январь 2023'!$G$4:$G$508,'январь 2023'!$D$4:$D$508,$B140,'январь 2023'!$J$4:$J$508,R$1)</f>
        <v>0</v>
      </c>
      <c r="S140" s="207">
        <f>SUMIFS('январь 2023'!$G$4:$G$508,'январь 2023'!$D$4:$D$508,$B140,'январь 2023'!$J$4:$J$508,S$1)</f>
        <v>0</v>
      </c>
      <c r="T140" s="207">
        <f>SUMIFS('январь 2023'!$G$4:$G$508,'январь 2023'!$D$4:$D$508,$B140,'январь 2023'!$J$4:$J$508,T$1)</f>
        <v>0</v>
      </c>
      <c r="U140" s="207">
        <f>SUMIFS('январь 2023'!$G$4:$G$508,'январь 2023'!$D$4:$D$508,$B140,'январь 2023'!$J$4:$J$508,U$1)</f>
        <v>0</v>
      </c>
      <c r="V140" s="207">
        <f>SUMIFS('январь 2023'!$G$4:$G$508,'январь 2023'!$D$4:$D$508,$B140,'январь 2023'!$J$4:$J$508,V$1)</f>
        <v>0</v>
      </c>
      <c r="W140" s="207">
        <f>SUMIFS('январь 2023'!$G$4:$G$508,'январь 2023'!$D$4:$D$508,$B140,'январь 2023'!$J$4:$J$508,W$1)</f>
        <v>0</v>
      </c>
      <c r="X140" s="207">
        <f>SUMIFS('январь 2023'!$G$4:$G$508,'январь 2023'!$D$4:$D$508,$B140,'январь 2023'!$J$4:$J$508,X$1)</f>
        <v>0</v>
      </c>
      <c r="Y140" s="207">
        <f>SUMIFS('январь 2023'!$G$4:$G$508,'январь 2023'!$D$4:$D$508,$B140,'январь 2023'!$J$4:$J$508,Y$1)</f>
        <v>0</v>
      </c>
      <c r="Z140" s="207">
        <f>SUMIFS('январь 2023'!$G$4:$G$508,'январь 2023'!$D$4:$D$508,$B140,'январь 2023'!$J$4:$J$508,Z$1)</f>
        <v>0</v>
      </c>
      <c r="AA140" s="207">
        <f>SUMIFS('январь 2023'!$G$4:$G$508,'январь 2023'!$D$4:$D$508,$B140,'январь 2023'!$J$4:$J$508,AA$1)</f>
        <v>0</v>
      </c>
      <c r="AB140" s="207">
        <f>SUMIFS('январь 2023'!$G$4:$G$508,'январь 2023'!$D$4:$D$508,$B140,'январь 2023'!$J$4:$J$508,AB$1)</f>
        <v>0</v>
      </c>
      <c r="AC140" s="207">
        <f>SUMIFS('январь 2023'!$G$4:$G$508,'январь 2023'!$D$4:$D$508,$B140,'январь 2023'!$J$4:$J$508,AC$1)</f>
        <v>0</v>
      </c>
      <c r="AD140" s="207">
        <f>SUMIFS('январь 2023'!$G$4:$G$508,'январь 2023'!$D$4:$D$508,$B140,'январь 2023'!$J$4:$J$508,AD$1)</f>
        <v>0</v>
      </c>
      <c r="AE140" s="207">
        <f>SUMIFS('январь 2023'!$G$4:$G$508,'январь 2023'!$D$4:$D$508,$B140,'январь 2023'!$J$4:$J$508,AE$1)</f>
        <v>0</v>
      </c>
      <c r="AF140" s="207">
        <f>SUMIFS('январь 2023'!$G$4:$G$508,'январь 2023'!$D$4:$D$508,$B140,'январь 2023'!$J$4:$J$508,AF$1)</f>
        <v>0</v>
      </c>
      <c r="AG140" s="207">
        <f>SUMIFS('январь 2023'!$G$4:$G$508,'январь 2023'!$D$4:$D$508,$B140,'январь 2023'!$J$4:$J$508,AG$1)</f>
        <v>0</v>
      </c>
      <c r="AH140" s="207">
        <f>SUMIFS('январь 2023'!$G$4:$G$508,'январь 2023'!$D$4:$D$508,$B140,'январь 2023'!$J$4:$J$508,AH$1)</f>
        <v>0</v>
      </c>
      <c r="AI140" s="220">
        <f t="shared" si="4"/>
        <v>0</v>
      </c>
    </row>
    <row r="141" spans="2:35" ht="15.75" hidden="1" x14ac:dyDescent="0.25">
      <c r="B141" s="212"/>
      <c r="C141" s="213"/>
      <c r="D141" s="207">
        <f>SUMIFS('январь 2023'!$G$4:$G$508,'январь 2023'!$D$4:$D$508,$B141,'январь 2023'!$J$4:$J$508,D$1)</f>
        <v>0</v>
      </c>
      <c r="E141" s="207">
        <f>SUMIFS('январь 2023'!$G$4:$G$508,'январь 2023'!$D$4:$D$508,$B141,'январь 2023'!$J$4:$J$508,E$1)</f>
        <v>0</v>
      </c>
      <c r="F141" s="207">
        <f>SUMIFS('январь 2023'!$G$4:$G$508,'январь 2023'!$D$4:$D$508,$B141,'январь 2023'!$J$4:$J$508,F$1)</f>
        <v>0</v>
      </c>
      <c r="G141" s="207">
        <f>SUMIFS('январь 2023'!$G$4:$G$508,'январь 2023'!$D$4:$D$508,$B141,'январь 2023'!$J$4:$J$508,G$1)</f>
        <v>0</v>
      </c>
      <c r="H141" s="207">
        <f>SUMIFS('январь 2023'!$G$4:$G$508,'январь 2023'!$D$4:$D$508,$B141,'январь 2023'!$J$4:$J$508,H$1)</f>
        <v>0</v>
      </c>
      <c r="I141" s="207">
        <f>SUMIFS('январь 2023'!$G$4:$G$508,'январь 2023'!$D$4:$D$508,$B141,'январь 2023'!$J$4:$J$508,I$1)</f>
        <v>0</v>
      </c>
      <c r="J141" s="207">
        <f>SUMIFS('январь 2023'!$G$4:$G$508,'январь 2023'!$D$4:$D$508,$B141,'январь 2023'!$J$4:$J$508,J$1)</f>
        <v>0</v>
      </c>
      <c r="K141" s="207">
        <f>SUMIFS('январь 2023'!$G$4:$G$508,'январь 2023'!$D$4:$D$508,$B141,'январь 2023'!$J$4:$J$508,K$1)</f>
        <v>0</v>
      </c>
      <c r="L141" s="207">
        <f>SUMIFS('январь 2023'!$G$4:$G$508,'январь 2023'!$D$4:$D$508,$B141,'январь 2023'!$J$4:$J$508,L$1)</f>
        <v>0</v>
      </c>
      <c r="M141" s="207">
        <f>SUMIFS('январь 2023'!$G$4:$G$508,'январь 2023'!$D$4:$D$508,$B141,'январь 2023'!$J$4:$J$508,M$1)</f>
        <v>0</v>
      </c>
      <c r="N141" s="207">
        <f>SUMIFS('январь 2023'!$G$4:$G$508,'январь 2023'!$D$4:$D$508,$B141,'январь 2023'!$J$4:$J$508,N$1)</f>
        <v>0</v>
      </c>
      <c r="O141" s="207">
        <f>SUMIFS('январь 2023'!$G$4:$G$508,'январь 2023'!$D$4:$D$508,$B141,'январь 2023'!$J$4:$J$508,O$1)</f>
        <v>0</v>
      </c>
      <c r="P141" s="207">
        <f>SUMIFS('январь 2023'!$G$4:$G$508,'январь 2023'!$D$4:$D$508,$B141,'январь 2023'!$J$4:$J$508,P$1)</f>
        <v>0</v>
      </c>
      <c r="Q141" s="207">
        <f>SUMIFS('январь 2023'!$G$4:$G$508,'январь 2023'!$D$4:$D$508,$B141,'январь 2023'!$J$4:$J$508,Q$1)</f>
        <v>0</v>
      </c>
      <c r="R141" s="207">
        <f>SUMIFS('январь 2023'!$G$4:$G$508,'январь 2023'!$D$4:$D$508,$B141,'январь 2023'!$J$4:$J$508,R$1)</f>
        <v>0</v>
      </c>
      <c r="S141" s="207">
        <f>SUMIFS('январь 2023'!$G$4:$G$508,'январь 2023'!$D$4:$D$508,$B141,'январь 2023'!$J$4:$J$508,S$1)</f>
        <v>0</v>
      </c>
      <c r="T141" s="207">
        <f>SUMIFS('январь 2023'!$G$4:$G$508,'январь 2023'!$D$4:$D$508,$B141,'январь 2023'!$J$4:$J$508,T$1)</f>
        <v>0</v>
      </c>
      <c r="U141" s="207">
        <f>SUMIFS('январь 2023'!$G$4:$G$508,'январь 2023'!$D$4:$D$508,$B141,'январь 2023'!$J$4:$J$508,U$1)</f>
        <v>0</v>
      </c>
      <c r="V141" s="207">
        <f>SUMIFS('январь 2023'!$G$4:$G$508,'январь 2023'!$D$4:$D$508,$B141,'январь 2023'!$J$4:$J$508,V$1)</f>
        <v>0</v>
      </c>
      <c r="W141" s="207">
        <f>SUMIFS('январь 2023'!$G$4:$G$508,'январь 2023'!$D$4:$D$508,$B141,'январь 2023'!$J$4:$J$508,W$1)</f>
        <v>0</v>
      </c>
      <c r="X141" s="207">
        <f>SUMIFS('январь 2023'!$G$4:$G$508,'январь 2023'!$D$4:$D$508,$B141,'январь 2023'!$J$4:$J$508,X$1)</f>
        <v>0</v>
      </c>
      <c r="Y141" s="207">
        <f>SUMIFS('январь 2023'!$G$4:$G$508,'январь 2023'!$D$4:$D$508,$B141,'январь 2023'!$J$4:$J$508,Y$1)</f>
        <v>0</v>
      </c>
      <c r="Z141" s="207">
        <f>SUMIFS('январь 2023'!$G$4:$G$508,'январь 2023'!$D$4:$D$508,$B141,'январь 2023'!$J$4:$J$508,Z$1)</f>
        <v>0</v>
      </c>
      <c r="AA141" s="207">
        <f>SUMIFS('январь 2023'!$G$4:$G$508,'январь 2023'!$D$4:$D$508,$B141,'январь 2023'!$J$4:$J$508,AA$1)</f>
        <v>0</v>
      </c>
      <c r="AB141" s="207">
        <f>SUMIFS('январь 2023'!$G$4:$G$508,'январь 2023'!$D$4:$D$508,$B141,'январь 2023'!$J$4:$J$508,AB$1)</f>
        <v>0</v>
      </c>
      <c r="AC141" s="207">
        <f>SUMIFS('январь 2023'!$G$4:$G$508,'январь 2023'!$D$4:$D$508,$B141,'январь 2023'!$J$4:$J$508,AC$1)</f>
        <v>0</v>
      </c>
      <c r="AD141" s="207">
        <f>SUMIFS('январь 2023'!$G$4:$G$508,'январь 2023'!$D$4:$D$508,$B141,'январь 2023'!$J$4:$J$508,AD$1)</f>
        <v>0</v>
      </c>
      <c r="AE141" s="207">
        <f>SUMIFS('январь 2023'!$G$4:$G$508,'январь 2023'!$D$4:$D$508,$B141,'январь 2023'!$J$4:$J$508,AE$1)</f>
        <v>0</v>
      </c>
      <c r="AF141" s="207">
        <f>SUMIFS('январь 2023'!$G$4:$G$508,'январь 2023'!$D$4:$D$508,$B141,'январь 2023'!$J$4:$J$508,AF$1)</f>
        <v>0</v>
      </c>
      <c r="AG141" s="207">
        <f>SUMIFS('январь 2023'!$G$4:$G$508,'январь 2023'!$D$4:$D$508,$B141,'январь 2023'!$J$4:$J$508,AG$1)</f>
        <v>0</v>
      </c>
      <c r="AH141" s="207">
        <f>SUMIFS('январь 2023'!$G$4:$G$508,'январь 2023'!$D$4:$D$508,$B141,'январь 2023'!$J$4:$J$508,AH$1)</f>
        <v>0</v>
      </c>
      <c r="AI141" s="220">
        <f t="shared" si="4"/>
        <v>0</v>
      </c>
    </row>
    <row r="142" spans="2:35" ht="15.75" hidden="1" x14ac:dyDescent="0.25">
      <c r="B142" s="212"/>
      <c r="C142" s="211"/>
      <c r="D142" s="207">
        <f>SUMIFS('январь 2023'!$G$4:$G$508,'январь 2023'!$D$4:$D$508,$B142,'январь 2023'!$J$4:$J$508,D$1)</f>
        <v>0</v>
      </c>
      <c r="E142" s="207">
        <f>SUMIFS('январь 2023'!$G$4:$G$508,'январь 2023'!$D$4:$D$508,$B142,'январь 2023'!$J$4:$J$508,E$1)</f>
        <v>0</v>
      </c>
      <c r="F142" s="207">
        <f>SUMIFS('январь 2023'!$G$4:$G$508,'январь 2023'!$D$4:$D$508,$B142,'январь 2023'!$J$4:$J$508,F$1)</f>
        <v>0</v>
      </c>
      <c r="G142" s="207">
        <f>SUMIFS('январь 2023'!$G$4:$G$508,'январь 2023'!$D$4:$D$508,$B142,'январь 2023'!$J$4:$J$508,G$1)</f>
        <v>0</v>
      </c>
      <c r="H142" s="207">
        <f>SUMIFS('январь 2023'!$G$4:$G$508,'январь 2023'!$D$4:$D$508,$B142,'январь 2023'!$J$4:$J$508,H$1)</f>
        <v>0</v>
      </c>
      <c r="I142" s="207">
        <f>SUMIFS('январь 2023'!$G$4:$G$508,'январь 2023'!$D$4:$D$508,$B142,'январь 2023'!$J$4:$J$508,I$1)</f>
        <v>0</v>
      </c>
      <c r="J142" s="207">
        <f>SUMIFS('январь 2023'!$G$4:$G$508,'январь 2023'!$D$4:$D$508,$B142,'январь 2023'!$J$4:$J$508,J$1)</f>
        <v>0</v>
      </c>
      <c r="K142" s="207">
        <f>SUMIFS('январь 2023'!$G$4:$G$508,'январь 2023'!$D$4:$D$508,$B142,'январь 2023'!$J$4:$J$508,K$1)</f>
        <v>0</v>
      </c>
      <c r="L142" s="207">
        <f>SUMIFS('январь 2023'!$G$4:$G$508,'январь 2023'!$D$4:$D$508,$B142,'январь 2023'!$J$4:$J$508,L$1)</f>
        <v>0</v>
      </c>
      <c r="M142" s="207">
        <f>SUMIFS('январь 2023'!$G$4:$G$508,'январь 2023'!$D$4:$D$508,$B142,'январь 2023'!$J$4:$J$508,M$1)</f>
        <v>0</v>
      </c>
      <c r="N142" s="207">
        <f>SUMIFS('январь 2023'!$G$4:$G$508,'январь 2023'!$D$4:$D$508,$B142,'январь 2023'!$J$4:$J$508,N$1)</f>
        <v>0</v>
      </c>
      <c r="O142" s="207">
        <f>SUMIFS('январь 2023'!$G$4:$G$508,'январь 2023'!$D$4:$D$508,$B142,'январь 2023'!$J$4:$J$508,O$1)</f>
        <v>0</v>
      </c>
      <c r="P142" s="207">
        <f>SUMIFS('январь 2023'!$G$4:$G$508,'январь 2023'!$D$4:$D$508,$B142,'январь 2023'!$J$4:$J$508,P$1)</f>
        <v>0</v>
      </c>
      <c r="Q142" s="207">
        <f>SUMIFS('январь 2023'!$G$4:$G$508,'январь 2023'!$D$4:$D$508,$B142,'январь 2023'!$J$4:$J$508,Q$1)</f>
        <v>0</v>
      </c>
      <c r="R142" s="207">
        <f>SUMIFS('январь 2023'!$G$4:$G$508,'январь 2023'!$D$4:$D$508,$B142,'январь 2023'!$J$4:$J$508,R$1)</f>
        <v>0</v>
      </c>
      <c r="S142" s="207">
        <f>SUMIFS('январь 2023'!$G$4:$G$508,'январь 2023'!$D$4:$D$508,$B142,'январь 2023'!$J$4:$J$508,S$1)</f>
        <v>0</v>
      </c>
      <c r="T142" s="207">
        <f>SUMIFS('январь 2023'!$G$4:$G$508,'январь 2023'!$D$4:$D$508,$B142,'январь 2023'!$J$4:$J$508,T$1)</f>
        <v>0</v>
      </c>
      <c r="U142" s="207">
        <f>SUMIFS('январь 2023'!$G$4:$G$508,'январь 2023'!$D$4:$D$508,$B142,'январь 2023'!$J$4:$J$508,U$1)</f>
        <v>0</v>
      </c>
      <c r="V142" s="207">
        <f>SUMIFS('январь 2023'!$G$4:$G$508,'январь 2023'!$D$4:$D$508,$B142,'январь 2023'!$J$4:$J$508,V$1)</f>
        <v>0</v>
      </c>
      <c r="W142" s="207">
        <f>SUMIFS('январь 2023'!$G$4:$G$508,'январь 2023'!$D$4:$D$508,$B142,'январь 2023'!$J$4:$J$508,W$1)</f>
        <v>0</v>
      </c>
      <c r="X142" s="207">
        <f>SUMIFS('январь 2023'!$G$4:$G$508,'январь 2023'!$D$4:$D$508,$B142,'январь 2023'!$J$4:$J$508,X$1)</f>
        <v>0</v>
      </c>
      <c r="Y142" s="207">
        <f>SUMIFS('январь 2023'!$G$4:$G$508,'январь 2023'!$D$4:$D$508,$B142,'январь 2023'!$J$4:$J$508,Y$1)</f>
        <v>0</v>
      </c>
      <c r="Z142" s="207">
        <f>SUMIFS('январь 2023'!$G$4:$G$508,'январь 2023'!$D$4:$D$508,$B142,'январь 2023'!$J$4:$J$508,Z$1)</f>
        <v>0</v>
      </c>
      <c r="AA142" s="207">
        <f>SUMIFS('январь 2023'!$G$4:$G$508,'январь 2023'!$D$4:$D$508,$B142,'январь 2023'!$J$4:$J$508,AA$1)</f>
        <v>0</v>
      </c>
      <c r="AB142" s="207">
        <f>SUMIFS('январь 2023'!$G$4:$G$508,'январь 2023'!$D$4:$D$508,$B142,'январь 2023'!$J$4:$J$508,AB$1)</f>
        <v>0</v>
      </c>
      <c r="AC142" s="207">
        <f>SUMIFS('январь 2023'!$G$4:$G$508,'январь 2023'!$D$4:$D$508,$B142,'январь 2023'!$J$4:$J$508,AC$1)</f>
        <v>0</v>
      </c>
      <c r="AD142" s="207">
        <f>SUMIFS('январь 2023'!$G$4:$G$508,'январь 2023'!$D$4:$D$508,$B142,'январь 2023'!$J$4:$J$508,AD$1)</f>
        <v>0</v>
      </c>
      <c r="AE142" s="207">
        <f>SUMIFS('январь 2023'!$G$4:$G$508,'январь 2023'!$D$4:$D$508,$B142,'январь 2023'!$J$4:$J$508,AE$1)</f>
        <v>0</v>
      </c>
      <c r="AF142" s="207">
        <f>SUMIFS('январь 2023'!$G$4:$G$508,'январь 2023'!$D$4:$D$508,$B142,'январь 2023'!$J$4:$J$508,AF$1)</f>
        <v>0</v>
      </c>
      <c r="AG142" s="207">
        <f>SUMIFS('январь 2023'!$G$4:$G$508,'январь 2023'!$D$4:$D$508,$B142,'январь 2023'!$J$4:$J$508,AG$1)</f>
        <v>0</v>
      </c>
      <c r="AH142" s="207">
        <f>SUMIFS('январь 2023'!$G$4:$G$508,'январь 2023'!$D$4:$D$508,$B142,'январь 2023'!$J$4:$J$508,AH$1)</f>
        <v>0</v>
      </c>
      <c r="AI142" s="220">
        <f t="shared" si="4"/>
        <v>0</v>
      </c>
    </row>
    <row r="143" spans="2:35" ht="15.75" hidden="1" x14ac:dyDescent="0.25">
      <c r="B143" s="212"/>
      <c r="C143" s="211"/>
      <c r="D143" s="207">
        <f>SUMIFS('январь 2023'!$G$4:$G$508,'январь 2023'!$D$4:$D$508,$B143,'январь 2023'!$J$4:$J$508,D$1)</f>
        <v>0</v>
      </c>
      <c r="E143" s="207">
        <f>SUMIFS('январь 2023'!$G$4:$G$508,'январь 2023'!$D$4:$D$508,$B143,'январь 2023'!$J$4:$J$508,E$1)</f>
        <v>0</v>
      </c>
      <c r="F143" s="207">
        <f>SUMIFS('январь 2023'!$G$4:$G$508,'январь 2023'!$D$4:$D$508,$B143,'январь 2023'!$J$4:$J$508,F$1)</f>
        <v>0</v>
      </c>
      <c r="G143" s="207">
        <f>SUMIFS('январь 2023'!$G$4:$G$508,'январь 2023'!$D$4:$D$508,$B143,'январь 2023'!$J$4:$J$508,G$1)</f>
        <v>0</v>
      </c>
      <c r="H143" s="207">
        <f>SUMIFS('январь 2023'!$G$4:$G$508,'январь 2023'!$D$4:$D$508,$B143,'январь 2023'!$J$4:$J$508,H$1)</f>
        <v>0</v>
      </c>
      <c r="I143" s="207">
        <f>SUMIFS('январь 2023'!$G$4:$G$508,'январь 2023'!$D$4:$D$508,$B143,'январь 2023'!$J$4:$J$508,I$1)</f>
        <v>0</v>
      </c>
      <c r="J143" s="207">
        <f>SUMIFS('январь 2023'!$G$4:$G$508,'январь 2023'!$D$4:$D$508,$B143,'январь 2023'!$J$4:$J$508,J$1)</f>
        <v>0</v>
      </c>
      <c r="K143" s="207">
        <f>SUMIFS('январь 2023'!$G$4:$G$508,'январь 2023'!$D$4:$D$508,$B143,'январь 2023'!$J$4:$J$508,K$1)</f>
        <v>0</v>
      </c>
      <c r="L143" s="207">
        <f>SUMIFS('январь 2023'!$G$4:$G$508,'январь 2023'!$D$4:$D$508,$B143,'январь 2023'!$J$4:$J$508,L$1)</f>
        <v>0</v>
      </c>
      <c r="M143" s="207">
        <f>SUMIFS('январь 2023'!$G$4:$G$508,'январь 2023'!$D$4:$D$508,$B143,'январь 2023'!$J$4:$J$508,M$1)</f>
        <v>0</v>
      </c>
      <c r="N143" s="207">
        <f>SUMIFS('январь 2023'!$G$4:$G$508,'январь 2023'!$D$4:$D$508,$B143,'январь 2023'!$J$4:$J$508,N$1)</f>
        <v>0</v>
      </c>
      <c r="O143" s="207">
        <f>SUMIFS('январь 2023'!$G$4:$G$508,'январь 2023'!$D$4:$D$508,$B143,'январь 2023'!$J$4:$J$508,O$1)</f>
        <v>0</v>
      </c>
      <c r="P143" s="207">
        <f>SUMIFS('январь 2023'!$G$4:$G$508,'январь 2023'!$D$4:$D$508,$B143,'январь 2023'!$J$4:$J$508,P$1)</f>
        <v>0</v>
      </c>
      <c r="Q143" s="207">
        <f>SUMIFS('январь 2023'!$G$4:$G$508,'январь 2023'!$D$4:$D$508,$B143,'январь 2023'!$J$4:$J$508,Q$1)</f>
        <v>0</v>
      </c>
      <c r="R143" s="207">
        <f>SUMIFS('январь 2023'!$G$4:$G$508,'январь 2023'!$D$4:$D$508,$B143,'январь 2023'!$J$4:$J$508,R$1)</f>
        <v>0</v>
      </c>
      <c r="S143" s="207">
        <f>SUMIFS('январь 2023'!$G$4:$G$508,'январь 2023'!$D$4:$D$508,$B143,'январь 2023'!$J$4:$J$508,S$1)</f>
        <v>0</v>
      </c>
      <c r="T143" s="207">
        <f>SUMIFS('январь 2023'!$G$4:$G$508,'январь 2023'!$D$4:$D$508,$B143,'январь 2023'!$J$4:$J$508,T$1)</f>
        <v>0</v>
      </c>
      <c r="U143" s="207">
        <f>SUMIFS('январь 2023'!$G$4:$G$508,'январь 2023'!$D$4:$D$508,$B143,'январь 2023'!$J$4:$J$508,U$1)</f>
        <v>0</v>
      </c>
      <c r="V143" s="207">
        <f>SUMIFS('январь 2023'!$G$4:$G$508,'январь 2023'!$D$4:$D$508,$B143,'январь 2023'!$J$4:$J$508,V$1)</f>
        <v>0</v>
      </c>
      <c r="W143" s="207">
        <f>SUMIFS('январь 2023'!$G$4:$G$508,'январь 2023'!$D$4:$D$508,$B143,'январь 2023'!$J$4:$J$508,W$1)</f>
        <v>0</v>
      </c>
      <c r="X143" s="207">
        <f>SUMIFS('январь 2023'!$G$4:$G$508,'январь 2023'!$D$4:$D$508,$B143,'январь 2023'!$J$4:$J$508,X$1)</f>
        <v>0</v>
      </c>
      <c r="Y143" s="207">
        <f>SUMIFS('январь 2023'!$G$4:$G$508,'январь 2023'!$D$4:$D$508,$B143,'январь 2023'!$J$4:$J$508,Y$1)</f>
        <v>0</v>
      </c>
      <c r="Z143" s="207">
        <f>SUMIFS('январь 2023'!$G$4:$G$508,'январь 2023'!$D$4:$D$508,$B143,'январь 2023'!$J$4:$J$508,Z$1)</f>
        <v>0</v>
      </c>
      <c r="AA143" s="207">
        <f>SUMIFS('январь 2023'!$G$4:$G$508,'январь 2023'!$D$4:$D$508,$B143,'январь 2023'!$J$4:$J$508,AA$1)</f>
        <v>0</v>
      </c>
      <c r="AB143" s="207">
        <f>SUMIFS('январь 2023'!$G$4:$G$508,'январь 2023'!$D$4:$D$508,$B143,'январь 2023'!$J$4:$J$508,AB$1)</f>
        <v>0</v>
      </c>
      <c r="AC143" s="207">
        <f>SUMIFS('январь 2023'!$G$4:$G$508,'январь 2023'!$D$4:$D$508,$B143,'январь 2023'!$J$4:$J$508,AC$1)</f>
        <v>0</v>
      </c>
      <c r="AD143" s="207">
        <f>SUMIFS('январь 2023'!$G$4:$G$508,'январь 2023'!$D$4:$D$508,$B143,'январь 2023'!$J$4:$J$508,AD$1)</f>
        <v>0</v>
      </c>
      <c r="AE143" s="207">
        <f>SUMIFS('январь 2023'!$G$4:$G$508,'январь 2023'!$D$4:$D$508,$B143,'январь 2023'!$J$4:$J$508,AE$1)</f>
        <v>0</v>
      </c>
      <c r="AF143" s="207">
        <f>SUMIFS('январь 2023'!$G$4:$G$508,'январь 2023'!$D$4:$D$508,$B143,'январь 2023'!$J$4:$J$508,AF$1)</f>
        <v>0</v>
      </c>
      <c r="AG143" s="207">
        <f>SUMIFS('январь 2023'!$G$4:$G$508,'январь 2023'!$D$4:$D$508,$B143,'январь 2023'!$J$4:$J$508,AG$1)</f>
        <v>0</v>
      </c>
      <c r="AH143" s="207">
        <f>SUMIFS('январь 2023'!$G$4:$G$508,'январь 2023'!$D$4:$D$508,$B143,'январь 2023'!$J$4:$J$508,AH$1)</f>
        <v>0</v>
      </c>
      <c r="AI143" s="220">
        <f t="shared" si="4"/>
        <v>0</v>
      </c>
    </row>
    <row r="144" spans="2:35" ht="15.75" hidden="1" x14ac:dyDescent="0.25">
      <c r="B144" s="212"/>
      <c r="C144" s="211"/>
      <c r="D144" s="207">
        <f>SUMIFS('январь 2023'!$G$4:$G$508,'январь 2023'!$D$4:$D$508,$B144,'январь 2023'!$J$4:$J$508,D$1)</f>
        <v>0</v>
      </c>
      <c r="E144" s="207">
        <f>SUMIFS('январь 2023'!$G$4:$G$508,'январь 2023'!$D$4:$D$508,$B144,'январь 2023'!$J$4:$J$508,E$1)</f>
        <v>0</v>
      </c>
      <c r="F144" s="207">
        <f>SUMIFS('январь 2023'!$G$4:$G$508,'январь 2023'!$D$4:$D$508,$B144,'январь 2023'!$J$4:$J$508,F$1)</f>
        <v>0</v>
      </c>
      <c r="G144" s="207">
        <f>SUMIFS('январь 2023'!$G$4:$G$508,'январь 2023'!$D$4:$D$508,$B144,'январь 2023'!$J$4:$J$508,G$1)</f>
        <v>0</v>
      </c>
      <c r="H144" s="207">
        <f>SUMIFS('январь 2023'!$G$4:$G$508,'январь 2023'!$D$4:$D$508,$B144,'январь 2023'!$J$4:$J$508,H$1)</f>
        <v>0</v>
      </c>
      <c r="I144" s="207">
        <f>SUMIFS('январь 2023'!$G$4:$G$508,'январь 2023'!$D$4:$D$508,$B144,'январь 2023'!$J$4:$J$508,I$1)</f>
        <v>0</v>
      </c>
      <c r="J144" s="207">
        <f>SUMIFS('январь 2023'!$G$4:$G$508,'январь 2023'!$D$4:$D$508,$B144,'январь 2023'!$J$4:$J$508,J$1)</f>
        <v>0</v>
      </c>
      <c r="K144" s="207">
        <f>SUMIFS('январь 2023'!$G$4:$G$508,'январь 2023'!$D$4:$D$508,$B144,'январь 2023'!$J$4:$J$508,K$1)</f>
        <v>0</v>
      </c>
      <c r="L144" s="207">
        <f>SUMIFS('январь 2023'!$G$4:$G$508,'январь 2023'!$D$4:$D$508,$B144,'январь 2023'!$J$4:$J$508,L$1)</f>
        <v>0</v>
      </c>
      <c r="M144" s="207">
        <f>SUMIFS('январь 2023'!$G$4:$G$508,'январь 2023'!$D$4:$D$508,$B144,'январь 2023'!$J$4:$J$508,M$1)</f>
        <v>0</v>
      </c>
      <c r="N144" s="207">
        <f>SUMIFS('январь 2023'!$G$4:$G$508,'январь 2023'!$D$4:$D$508,$B144,'январь 2023'!$J$4:$J$508,N$1)</f>
        <v>0</v>
      </c>
      <c r="O144" s="207">
        <f>SUMIFS('январь 2023'!$G$4:$G$508,'январь 2023'!$D$4:$D$508,$B144,'январь 2023'!$J$4:$J$508,O$1)</f>
        <v>0</v>
      </c>
      <c r="P144" s="207">
        <f>SUMIFS('январь 2023'!$G$4:$G$508,'январь 2023'!$D$4:$D$508,$B144,'январь 2023'!$J$4:$J$508,P$1)</f>
        <v>0</v>
      </c>
      <c r="Q144" s="207">
        <f>SUMIFS('январь 2023'!$G$4:$G$508,'январь 2023'!$D$4:$D$508,$B144,'январь 2023'!$J$4:$J$508,Q$1)</f>
        <v>0</v>
      </c>
      <c r="R144" s="207">
        <f>SUMIFS('январь 2023'!$G$4:$G$508,'январь 2023'!$D$4:$D$508,$B144,'январь 2023'!$J$4:$J$508,R$1)</f>
        <v>0</v>
      </c>
      <c r="S144" s="207">
        <f>SUMIFS('январь 2023'!$G$4:$G$508,'январь 2023'!$D$4:$D$508,$B144,'январь 2023'!$J$4:$J$508,S$1)</f>
        <v>0</v>
      </c>
      <c r="T144" s="207">
        <f>SUMIFS('январь 2023'!$G$4:$G$508,'январь 2023'!$D$4:$D$508,$B144,'январь 2023'!$J$4:$J$508,T$1)</f>
        <v>0</v>
      </c>
      <c r="U144" s="207">
        <f>SUMIFS('январь 2023'!$G$4:$G$508,'январь 2023'!$D$4:$D$508,$B144,'январь 2023'!$J$4:$J$508,U$1)</f>
        <v>0</v>
      </c>
      <c r="V144" s="207">
        <f>SUMIFS('январь 2023'!$G$4:$G$508,'январь 2023'!$D$4:$D$508,$B144,'январь 2023'!$J$4:$J$508,V$1)</f>
        <v>0</v>
      </c>
      <c r="W144" s="207">
        <f>SUMIFS('январь 2023'!$G$4:$G$508,'январь 2023'!$D$4:$D$508,$B144,'январь 2023'!$J$4:$J$508,W$1)</f>
        <v>0</v>
      </c>
      <c r="X144" s="207">
        <f>SUMIFS('январь 2023'!$G$4:$G$508,'январь 2023'!$D$4:$D$508,$B144,'январь 2023'!$J$4:$J$508,X$1)</f>
        <v>0</v>
      </c>
      <c r="Y144" s="207">
        <f>SUMIFS('январь 2023'!$G$4:$G$508,'январь 2023'!$D$4:$D$508,$B144,'январь 2023'!$J$4:$J$508,Y$1)</f>
        <v>0</v>
      </c>
      <c r="Z144" s="207">
        <f>SUMIFS('январь 2023'!$G$4:$G$508,'январь 2023'!$D$4:$D$508,$B144,'январь 2023'!$J$4:$J$508,Z$1)</f>
        <v>0</v>
      </c>
      <c r="AA144" s="207">
        <f>SUMIFS('январь 2023'!$G$4:$G$508,'январь 2023'!$D$4:$D$508,$B144,'январь 2023'!$J$4:$J$508,AA$1)</f>
        <v>0</v>
      </c>
      <c r="AB144" s="207">
        <f>SUMIFS('январь 2023'!$G$4:$G$508,'январь 2023'!$D$4:$D$508,$B144,'январь 2023'!$J$4:$J$508,AB$1)</f>
        <v>0</v>
      </c>
      <c r="AC144" s="207">
        <f>SUMIFS('январь 2023'!$G$4:$G$508,'январь 2023'!$D$4:$D$508,$B144,'январь 2023'!$J$4:$J$508,AC$1)</f>
        <v>0</v>
      </c>
      <c r="AD144" s="207">
        <f>SUMIFS('январь 2023'!$G$4:$G$508,'январь 2023'!$D$4:$D$508,$B144,'январь 2023'!$J$4:$J$508,AD$1)</f>
        <v>0</v>
      </c>
      <c r="AE144" s="207">
        <f>SUMIFS('январь 2023'!$G$4:$G$508,'январь 2023'!$D$4:$D$508,$B144,'январь 2023'!$J$4:$J$508,AE$1)</f>
        <v>0</v>
      </c>
      <c r="AF144" s="207">
        <f>SUMIFS('январь 2023'!$G$4:$G$508,'январь 2023'!$D$4:$D$508,$B144,'январь 2023'!$J$4:$J$508,AF$1)</f>
        <v>0</v>
      </c>
      <c r="AG144" s="207">
        <f>SUMIFS('январь 2023'!$G$4:$G$508,'январь 2023'!$D$4:$D$508,$B144,'январь 2023'!$J$4:$J$508,AG$1)</f>
        <v>0</v>
      </c>
      <c r="AH144" s="207">
        <f>SUMIFS('январь 2023'!$G$4:$G$508,'январь 2023'!$D$4:$D$508,$B144,'январь 2023'!$J$4:$J$508,AH$1)</f>
        <v>0</v>
      </c>
      <c r="AI144" s="220">
        <f t="shared" si="4"/>
        <v>0</v>
      </c>
    </row>
    <row r="145" spans="2:35" ht="15.75" hidden="1" x14ac:dyDescent="0.25">
      <c r="B145" s="212"/>
      <c r="C145" s="211"/>
      <c r="D145" s="207">
        <f>SUMIFS('январь 2023'!$G$4:$G$508,'январь 2023'!$D$4:$D$508,$B145,'январь 2023'!$J$4:$J$508,D$1)</f>
        <v>0</v>
      </c>
      <c r="E145" s="207">
        <f>SUMIFS('январь 2023'!$G$4:$G$508,'январь 2023'!$D$4:$D$508,$B145,'январь 2023'!$J$4:$J$508,E$1)</f>
        <v>0</v>
      </c>
      <c r="F145" s="207">
        <f>SUMIFS('январь 2023'!$G$4:$G$508,'январь 2023'!$D$4:$D$508,$B145,'январь 2023'!$J$4:$J$508,F$1)</f>
        <v>0</v>
      </c>
      <c r="G145" s="207">
        <f>SUMIFS('январь 2023'!$G$4:$G$508,'январь 2023'!$D$4:$D$508,$B145,'январь 2023'!$J$4:$J$508,G$1)</f>
        <v>0</v>
      </c>
      <c r="H145" s="207">
        <f>SUMIFS('январь 2023'!$G$4:$G$508,'январь 2023'!$D$4:$D$508,$B145,'январь 2023'!$J$4:$J$508,H$1)</f>
        <v>0</v>
      </c>
      <c r="I145" s="207">
        <f>SUMIFS('январь 2023'!$G$4:$G$508,'январь 2023'!$D$4:$D$508,$B145,'январь 2023'!$J$4:$J$508,I$1)</f>
        <v>0</v>
      </c>
      <c r="J145" s="207">
        <f>SUMIFS('январь 2023'!$G$4:$G$508,'январь 2023'!$D$4:$D$508,$B145,'январь 2023'!$J$4:$J$508,J$1)</f>
        <v>0</v>
      </c>
      <c r="K145" s="207">
        <f>SUMIFS('январь 2023'!$G$4:$G$508,'январь 2023'!$D$4:$D$508,$B145,'январь 2023'!$J$4:$J$508,K$1)</f>
        <v>0</v>
      </c>
      <c r="L145" s="207">
        <f>SUMIFS('январь 2023'!$G$4:$G$508,'январь 2023'!$D$4:$D$508,$B145,'январь 2023'!$J$4:$J$508,L$1)</f>
        <v>0</v>
      </c>
      <c r="M145" s="207">
        <f>SUMIFS('январь 2023'!$G$4:$G$508,'январь 2023'!$D$4:$D$508,$B145,'январь 2023'!$J$4:$J$508,M$1)</f>
        <v>0</v>
      </c>
      <c r="N145" s="207">
        <f>SUMIFS('январь 2023'!$G$4:$G$508,'январь 2023'!$D$4:$D$508,$B145,'январь 2023'!$J$4:$J$508,N$1)</f>
        <v>0</v>
      </c>
      <c r="O145" s="207">
        <f>SUMIFS('январь 2023'!$G$4:$G$508,'январь 2023'!$D$4:$D$508,$B145,'январь 2023'!$J$4:$J$508,O$1)</f>
        <v>0</v>
      </c>
      <c r="P145" s="207">
        <f>SUMIFS('январь 2023'!$G$4:$G$508,'январь 2023'!$D$4:$D$508,$B145,'январь 2023'!$J$4:$J$508,P$1)</f>
        <v>0</v>
      </c>
      <c r="Q145" s="207">
        <f>SUMIFS('январь 2023'!$G$4:$G$508,'январь 2023'!$D$4:$D$508,$B145,'январь 2023'!$J$4:$J$508,Q$1)</f>
        <v>0</v>
      </c>
      <c r="R145" s="207">
        <f>SUMIFS('январь 2023'!$G$4:$G$508,'январь 2023'!$D$4:$D$508,$B145,'январь 2023'!$J$4:$J$508,R$1)</f>
        <v>0</v>
      </c>
      <c r="S145" s="207">
        <f>SUMIFS('январь 2023'!$G$4:$G$508,'январь 2023'!$D$4:$D$508,$B145,'январь 2023'!$J$4:$J$508,S$1)</f>
        <v>0</v>
      </c>
      <c r="T145" s="207">
        <f>SUMIFS('январь 2023'!$G$4:$G$508,'январь 2023'!$D$4:$D$508,$B145,'январь 2023'!$J$4:$J$508,T$1)</f>
        <v>0</v>
      </c>
      <c r="U145" s="207">
        <f>SUMIFS('январь 2023'!$G$4:$G$508,'январь 2023'!$D$4:$D$508,$B145,'январь 2023'!$J$4:$J$508,U$1)</f>
        <v>0</v>
      </c>
      <c r="V145" s="207">
        <f>SUMIFS('январь 2023'!$G$4:$G$508,'январь 2023'!$D$4:$D$508,$B145,'январь 2023'!$J$4:$J$508,V$1)</f>
        <v>0</v>
      </c>
      <c r="W145" s="207">
        <f>SUMIFS('январь 2023'!$G$4:$G$508,'январь 2023'!$D$4:$D$508,$B145,'январь 2023'!$J$4:$J$508,W$1)</f>
        <v>0</v>
      </c>
      <c r="X145" s="207">
        <f>SUMIFS('январь 2023'!$G$4:$G$508,'январь 2023'!$D$4:$D$508,$B145,'январь 2023'!$J$4:$J$508,X$1)</f>
        <v>0</v>
      </c>
      <c r="Y145" s="207">
        <f>SUMIFS('январь 2023'!$G$4:$G$508,'январь 2023'!$D$4:$D$508,$B145,'январь 2023'!$J$4:$J$508,Y$1)</f>
        <v>0</v>
      </c>
      <c r="Z145" s="207">
        <f>SUMIFS('январь 2023'!$G$4:$G$508,'январь 2023'!$D$4:$D$508,$B145,'январь 2023'!$J$4:$J$508,Z$1)</f>
        <v>0</v>
      </c>
      <c r="AA145" s="207">
        <f>SUMIFS('январь 2023'!$G$4:$G$508,'январь 2023'!$D$4:$D$508,$B145,'январь 2023'!$J$4:$J$508,AA$1)</f>
        <v>0</v>
      </c>
      <c r="AB145" s="207">
        <f>SUMIFS('январь 2023'!$G$4:$G$508,'январь 2023'!$D$4:$D$508,$B145,'январь 2023'!$J$4:$J$508,AB$1)</f>
        <v>0</v>
      </c>
      <c r="AC145" s="207">
        <f>SUMIFS('январь 2023'!$G$4:$G$508,'январь 2023'!$D$4:$D$508,$B145,'январь 2023'!$J$4:$J$508,AC$1)</f>
        <v>0</v>
      </c>
      <c r="AD145" s="207">
        <f>SUMIFS('январь 2023'!$G$4:$G$508,'январь 2023'!$D$4:$D$508,$B145,'январь 2023'!$J$4:$J$508,AD$1)</f>
        <v>0</v>
      </c>
      <c r="AE145" s="207">
        <f>SUMIFS('январь 2023'!$G$4:$G$508,'январь 2023'!$D$4:$D$508,$B145,'январь 2023'!$J$4:$J$508,AE$1)</f>
        <v>0</v>
      </c>
      <c r="AF145" s="207">
        <f>SUMIFS('январь 2023'!$G$4:$G$508,'январь 2023'!$D$4:$D$508,$B145,'январь 2023'!$J$4:$J$508,AF$1)</f>
        <v>0</v>
      </c>
      <c r="AG145" s="207">
        <f>SUMIFS('январь 2023'!$G$4:$G$508,'январь 2023'!$D$4:$D$508,$B145,'январь 2023'!$J$4:$J$508,AG$1)</f>
        <v>0</v>
      </c>
      <c r="AH145" s="207">
        <f>SUMIFS('январь 2023'!$G$4:$G$508,'январь 2023'!$D$4:$D$508,$B145,'январь 2023'!$J$4:$J$508,AH$1)</f>
        <v>0</v>
      </c>
      <c r="AI145" s="220">
        <f t="shared" si="4"/>
        <v>0</v>
      </c>
    </row>
    <row r="146" spans="2:35" ht="15.75" hidden="1" x14ac:dyDescent="0.25">
      <c r="B146" s="212"/>
      <c r="C146" s="211"/>
      <c r="D146" s="207">
        <f>SUMIFS('январь 2023'!$G$4:$G$508,'январь 2023'!$D$4:$D$508,$B146,'январь 2023'!$J$4:$J$508,D$1)</f>
        <v>0</v>
      </c>
      <c r="E146" s="207">
        <f>SUMIFS('январь 2023'!$G$4:$G$508,'январь 2023'!$D$4:$D$508,$B146,'январь 2023'!$J$4:$J$508,E$1)</f>
        <v>0</v>
      </c>
      <c r="F146" s="207">
        <f>SUMIFS('январь 2023'!$G$4:$G$508,'январь 2023'!$D$4:$D$508,$B146,'январь 2023'!$J$4:$J$508,F$1)</f>
        <v>0</v>
      </c>
      <c r="G146" s="207">
        <f>SUMIFS('январь 2023'!$G$4:$G$508,'январь 2023'!$D$4:$D$508,$B146,'январь 2023'!$J$4:$J$508,G$1)</f>
        <v>0</v>
      </c>
      <c r="H146" s="207">
        <f>SUMIFS('январь 2023'!$G$4:$G$508,'январь 2023'!$D$4:$D$508,$B146,'январь 2023'!$J$4:$J$508,H$1)</f>
        <v>0</v>
      </c>
      <c r="I146" s="207">
        <f>SUMIFS('январь 2023'!$G$4:$G$508,'январь 2023'!$D$4:$D$508,$B146,'январь 2023'!$J$4:$J$508,I$1)</f>
        <v>0</v>
      </c>
      <c r="J146" s="207">
        <f>SUMIFS('январь 2023'!$G$4:$G$508,'январь 2023'!$D$4:$D$508,$B146,'январь 2023'!$J$4:$J$508,J$1)</f>
        <v>0</v>
      </c>
      <c r="K146" s="207">
        <f>SUMIFS('январь 2023'!$G$4:$G$508,'январь 2023'!$D$4:$D$508,$B146,'январь 2023'!$J$4:$J$508,K$1)</f>
        <v>0</v>
      </c>
      <c r="L146" s="207">
        <f>SUMIFS('январь 2023'!$G$4:$G$508,'январь 2023'!$D$4:$D$508,$B146,'январь 2023'!$J$4:$J$508,L$1)</f>
        <v>0</v>
      </c>
      <c r="M146" s="207">
        <f>SUMIFS('январь 2023'!$G$4:$G$508,'январь 2023'!$D$4:$D$508,$B146,'январь 2023'!$J$4:$J$508,M$1)</f>
        <v>0</v>
      </c>
      <c r="N146" s="207">
        <f>SUMIFS('январь 2023'!$G$4:$G$508,'январь 2023'!$D$4:$D$508,$B146,'январь 2023'!$J$4:$J$508,N$1)</f>
        <v>0</v>
      </c>
      <c r="O146" s="207">
        <f>SUMIFS('январь 2023'!$G$4:$G$508,'январь 2023'!$D$4:$D$508,$B146,'январь 2023'!$J$4:$J$508,O$1)</f>
        <v>0</v>
      </c>
      <c r="P146" s="207">
        <f>SUMIFS('январь 2023'!$G$4:$G$508,'январь 2023'!$D$4:$D$508,$B146,'январь 2023'!$J$4:$J$508,P$1)</f>
        <v>0</v>
      </c>
      <c r="Q146" s="207">
        <f>SUMIFS('январь 2023'!$G$4:$G$508,'январь 2023'!$D$4:$D$508,$B146,'январь 2023'!$J$4:$J$508,Q$1)</f>
        <v>0</v>
      </c>
      <c r="R146" s="207">
        <f>SUMIFS('январь 2023'!$G$4:$G$508,'январь 2023'!$D$4:$D$508,$B146,'январь 2023'!$J$4:$J$508,R$1)</f>
        <v>0</v>
      </c>
      <c r="S146" s="207">
        <f>SUMIFS('январь 2023'!$G$4:$G$508,'январь 2023'!$D$4:$D$508,$B146,'январь 2023'!$J$4:$J$508,S$1)</f>
        <v>0</v>
      </c>
      <c r="T146" s="207">
        <f>SUMIFS('январь 2023'!$G$4:$G$508,'январь 2023'!$D$4:$D$508,$B146,'январь 2023'!$J$4:$J$508,T$1)</f>
        <v>0</v>
      </c>
      <c r="U146" s="207">
        <f>SUMIFS('январь 2023'!$G$4:$G$508,'январь 2023'!$D$4:$D$508,$B146,'январь 2023'!$J$4:$J$508,U$1)</f>
        <v>0</v>
      </c>
      <c r="V146" s="207">
        <f>SUMIFS('январь 2023'!$G$4:$G$508,'январь 2023'!$D$4:$D$508,$B146,'январь 2023'!$J$4:$J$508,V$1)</f>
        <v>0</v>
      </c>
      <c r="W146" s="207">
        <f>SUMIFS('январь 2023'!$G$4:$G$508,'январь 2023'!$D$4:$D$508,$B146,'январь 2023'!$J$4:$J$508,W$1)</f>
        <v>0</v>
      </c>
      <c r="X146" s="207">
        <f>SUMIFS('январь 2023'!$G$4:$G$508,'январь 2023'!$D$4:$D$508,$B146,'январь 2023'!$J$4:$J$508,X$1)</f>
        <v>0</v>
      </c>
      <c r="Y146" s="207">
        <f>SUMIFS('январь 2023'!$G$4:$G$508,'январь 2023'!$D$4:$D$508,$B146,'январь 2023'!$J$4:$J$508,Y$1)</f>
        <v>0</v>
      </c>
      <c r="Z146" s="207">
        <f>SUMIFS('январь 2023'!$G$4:$G$508,'январь 2023'!$D$4:$D$508,$B146,'январь 2023'!$J$4:$J$508,Z$1)</f>
        <v>0</v>
      </c>
      <c r="AA146" s="207">
        <f>SUMIFS('январь 2023'!$G$4:$G$508,'январь 2023'!$D$4:$D$508,$B146,'январь 2023'!$J$4:$J$508,AA$1)</f>
        <v>0</v>
      </c>
      <c r="AB146" s="207">
        <f>SUMIFS('январь 2023'!$G$4:$G$508,'январь 2023'!$D$4:$D$508,$B146,'январь 2023'!$J$4:$J$508,AB$1)</f>
        <v>0</v>
      </c>
      <c r="AC146" s="207">
        <f>SUMIFS('январь 2023'!$G$4:$G$508,'январь 2023'!$D$4:$D$508,$B146,'январь 2023'!$J$4:$J$508,AC$1)</f>
        <v>0</v>
      </c>
      <c r="AD146" s="207">
        <f>SUMIFS('январь 2023'!$G$4:$G$508,'январь 2023'!$D$4:$D$508,$B146,'январь 2023'!$J$4:$J$508,AD$1)</f>
        <v>0</v>
      </c>
      <c r="AE146" s="207">
        <f>SUMIFS('январь 2023'!$G$4:$G$508,'январь 2023'!$D$4:$D$508,$B146,'январь 2023'!$J$4:$J$508,AE$1)</f>
        <v>0</v>
      </c>
      <c r="AF146" s="207">
        <f>SUMIFS('январь 2023'!$G$4:$G$508,'январь 2023'!$D$4:$D$508,$B146,'январь 2023'!$J$4:$J$508,AF$1)</f>
        <v>0</v>
      </c>
      <c r="AG146" s="207">
        <f>SUMIFS('январь 2023'!$G$4:$G$508,'январь 2023'!$D$4:$D$508,$B146,'январь 2023'!$J$4:$J$508,AG$1)</f>
        <v>0</v>
      </c>
      <c r="AH146" s="207">
        <f>SUMIFS('январь 2023'!$G$4:$G$508,'январь 2023'!$D$4:$D$508,$B146,'январь 2023'!$J$4:$J$508,AH$1)</f>
        <v>0</v>
      </c>
      <c r="AI146" s="220">
        <f t="shared" si="4"/>
        <v>0</v>
      </c>
    </row>
    <row r="147" spans="2:35" ht="15.75" hidden="1" x14ac:dyDescent="0.25">
      <c r="B147" s="212"/>
      <c r="C147" s="211"/>
      <c r="D147" s="207">
        <f>SUMIFS('январь 2023'!$G$4:$G$508,'январь 2023'!$D$4:$D$508,$B147,'январь 2023'!$J$4:$J$508,D$1)</f>
        <v>0</v>
      </c>
      <c r="E147" s="207">
        <f>SUMIFS('январь 2023'!$G$4:$G$508,'январь 2023'!$D$4:$D$508,$B147,'январь 2023'!$J$4:$J$508,E$1)</f>
        <v>0</v>
      </c>
      <c r="F147" s="207">
        <f>SUMIFS('январь 2023'!$G$4:$G$508,'январь 2023'!$D$4:$D$508,$B147,'январь 2023'!$J$4:$J$508,F$1)</f>
        <v>0</v>
      </c>
      <c r="G147" s="207">
        <f>SUMIFS('январь 2023'!$G$4:$G$508,'январь 2023'!$D$4:$D$508,$B147,'январь 2023'!$J$4:$J$508,G$1)</f>
        <v>0</v>
      </c>
      <c r="H147" s="207">
        <f>SUMIFS('январь 2023'!$G$4:$G$508,'январь 2023'!$D$4:$D$508,$B147,'январь 2023'!$J$4:$J$508,H$1)</f>
        <v>0</v>
      </c>
      <c r="I147" s="207">
        <f>SUMIFS('январь 2023'!$G$4:$G$508,'январь 2023'!$D$4:$D$508,$B147,'январь 2023'!$J$4:$J$508,I$1)</f>
        <v>0</v>
      </c>
      <c r="J147" s="207">
        <f>SUMIFS('январь 2023'!$G$4:$G$508,'январь 2023'!$D$4:$D$508,$B147,'январь 2023'!$J$4:$J$508,J$1)</f>
        <v>0</v>
      </c>
      <c r="K147" s="207">
        <f>SUMIFS('январь 2023'!$G$4:$G$508,'январь 2023'!$D$4:$D$508,$B147,'январь 2023'!$J$4:$J$508,K$1)</f>
        <v>0</v>
      </c>
      <c r="L147" s="207">
        <f>SUMIFS('январь 2023'!$G$4:$G$508,'январь 2023'!$D$4:$D$508,$B147,'январь 2023'!$J$4:$J$508,L$1)</f>
        <v>0</v>
      </c>
      <c r="M147" s="207">
        <f>SUMIFS('январь 2023'!$G$4:$G$508,'январь 2023'!$D$4:$D$508,$B147,'январь 2023'!$J$4:$J$508,M$1)</f>
        <v>0</v>
      </c>
      <c r="N147" s="207">
        <f>SUMIFS('январь 2023'!$G$4:$G$508,'январь 2023'!$D$4:$D$508,$B147,'январь 2023'!$J$4:$J$508,N$1)</f>
        <v>0</v>
      </c>
      <c r="O147" s="207">
        <f>SUMIFS('январь 2023'!$G$4:$G$508,'январь 2023'!$D$4:$D$508,$B147,'январь 2023'!$J$4:$J$508,O$1)</f>
        <v>0</v>
      </c>
      <c r="P147" s="207">
        <f>SUMIFS('январь 2023'!$G$4:$G$508,'январь 2023'!$D$4:$D$508,$B147,'январь 2023'!$J$4:$J$508,P$1)</f>
        <v>0</v>
      </c>
      <c r="Q147" s="207">
        <f>SUMIFS('январь 2023'!$G$4:$G$508,'январь 2023'!$D$4:$D$508,$B147,'январь 2023'!$J$4:$J$508,Q$1)</f>
        <v>0</v>
      </c>
      <c r="R147" s="207">
        <f>SUMIFS('январь 2023'!$G$4:$G$508,'январь 2023'!$D$4:$D$508,$B147,'январь 2023'!$J$4:$J$508,R$1)</f>
        <v>0</v>
      </c>
      <c r="S147" s="207">
        <f>SUMIFS('январь 2023'!$G$4:$G$508,'январь 2023'!$D$4:$D$508,$B147,'январь 2023'!$J$4:$J$508,S$1)</f>
        <v>0</v>
      </c>
      <c r="T147" s="207">
        <f>SUMIFS('январь 2023'!$G$4:$G$508,'январь 2023'!$D$4:$D$508,$B147,'январь 2023'!$J$4:$J$508,T$1)</f>
        <v>0</v>
      </c>
      <c r="U147" s="207">
        <f>SUMIFS('январь 2023'!$G$4:$G$508,'январь 2023'!$D$4:$D$508,$B147,'январь 2023'!$J$4:$J$508,U$1)</f>
        <v>0</v>
      </c>
      <c r="V147" s="207">
        <f>SUMIFS('январь 2023'!$G$4:$G$508,'январь 2023'!$D$4:$D$508,$B147,'январь 2023'!$J$4:$J$508,V$1)</f>
        <v>0</v>
      </c>
      <c r="W147" s="207">
        <f>SUMIFS('январь 2023'!$G$4:$G$508,'январь 2023'!$D$4:$D$508,$B147,'январь 2023'!$J$4:$J$508,W$1)</f>
        <v>0</v>
      </c>
      <c r="X147" s="207">
        <f>SUMIFS('январь 2023'!$G$4:$G$508,'январь 2023'!$D$4:$D$508,$B147,'январь 2023'!$J$4:$J$508,X$1)</f>
        <v>0</v>
      </c>
      <c r="Y147" s="207">
        <f>SUMIFS('январь 2023'!$G$4:$G$508,'январь 2023'!$D$4:$D$508,$B147,'январь 2023'!$J$4:$J$508,Y$1)</f>
        <v>0</v>
      </c>
      <c r="Z147" s="207">
        <f>SUMIFS('январь 2023'!$G$4:$G$508,'январь 2023'!$D$4:$D$508,$B147,'январь 2023'!$J$4:$J$508,Z$1)</f>
        <v>0</v>
      </c>
      <c r="AA147" s="207">
        <f>SUMIFS('январь 2023'!$G$4:$G$508,'январь 2023'!$D$4:$D$508,$B147,'январь 2023'!$J$4:$J$508,AA$1)</f>
        <v>0</v>
      </c>
      <c r="AB147" s="207">
        <f>SUMIFS('январь 2023'!$G$4:$G$508,'январь 2023'!$D$4:$D$508,$B147,'январь 2023'!$J$4:$J$508,AB$1)</f>
        <v>0</v>
      </c>
      <c r="AC147" s="207">
        <f>SUMIFS('январь 2023'!$G$4:$G$508,'январь 2023'!$D$4:$D$508,$B147,'январь 2023'!$J$4:$J$508,AC$1)</f>
        <v>0</v>
      </c>
      <c r="AD147" s="207">
        <f>SUMIFS('январь 2023'!$G$4:$G$508,'январь 2023'!$D$4:$D$508,$B147,'январь 2023'!$J$4:$J$508,AD$1)</f>
        <v>0</v>
      </c>
      <c r="AE147" s="207">
        <f>SUMIFS('январь 2023'!$G$4:$G$508,'январь 2023'!$D$4:$D$508,$B147,'январь 2023'!$J$4:$J$508,AE$1)</f>
        <v>0</v>
      </c>
      <c r="AF147" s="207">
        <f>SUMIFS('январь 2023'!$G$4:$G$508,'январь 2023'!$D$4:$D$508,$B147,'январь 2023'!$J$4:$J$508,AF$1)</f>
        <v>0</v>
      </c>
      <c r="AG147" s="207">
        <f>SUMIFS('январь 2023'!$G$4:$G$508,'январь 2023'!$D$4:$D$508,$B147,'январь 2023'!$J$4:$J$508,AG$1)</f>
        <v>0</v>
      </c>
      <c r="AH147" s="207">
        <f>SUMIFS('январь 2023'!$G$4:$G$508,'январь 2023'!$D$4:$D$508,$B147,'январь 2023'!$J$4:$J$508,AH$1)</f>
        <v>0</v>
      </c>
      <c r="AI147" s="220">
        <f t="shared" si="4"/>
        <v>0</v>
      </c>
    </row>
    <row r="148" spans="2:35" ht="15.75" hidden="1" x14ac:dyDescent="0.25">
      <c r="B148" s="212"/>
      <c r="C148" s="211"/>
      <c r="D148" s="207">
        <f>SUMIFS('январь 2023'!$G$4:$G$508,'январь 2023'!$D$4:$D$508,$B148,'январь 2023'!$J$4:$J$508,D$1)</f>
        <v>0</v>
      </c>
      <c r="E148" s="207">
        <f>SUMIFS('январь 2023'!$G$4:$G$508,'январь 2023'!$D$4:$D$508,$B148,'январь 2023'!$J$4:$J$508,E$1)</f>
        <v>0</v>
      </c>
      <c r="F148" s="207">
        <f>SUMIFS('январь 2023'!$G$4:$G$508,'январь 2023'!$D$4:$D$508,$B148,'январь 2023'!$J$4:$J$508,F$1)</f>
        <v>0</v>
      </c>
      <c r="G148" s="207">
        <f>SUMIFS('январь 2023'!$G$4:$G$508,'январь 2023'!$D$4:$D$508,$B148,'январь 2023'!$J$4:$J$508,G$1)</f>
        <v>0</v>
      </c>
      <c r="H148" s="207">
        <f>SUMIFS('январь 2023'!$G$4:$G$508,'январь 2023'!$D$4:$D$508,$B148,'январь 2023'!$J$4:$J$508,H$1)</f>
        <v>0</v>
      </c>
      <c r="I148" s="207">
        <f>SUMIFS('январь 2023'!$G$4:$G$508,'январь 2023'!$D$4:$D$508,$B148,'январь 2023'!$J$4:$J$508,I$1)</f>
        <v>0</v>
      </c>
      <c r="J148" s="207">
        <f>SUMIFS('январь 2023'!$G$4:$G$508,'январь 2023'!$D$4:$D$508,$B148,'январь 2023'!$J$4:$J$508,J$1)</f>
        <v>0</v>
      </c>
      <c r="K148" s="207">
        <f>SUMIFS('январь 2023'!$G$4:$G$508,'январь 2023'!$D$4:$D$508,$B148,'январь 2023'!$J$4:$J$508,K$1)</f>
        <v>0</v>
      </c>
      <c r="L148" s="207">
        <f>SUMIFS('январь 2023'!$G$4:$G$508,'январь 2023'!$D$4:$D$508,$B148,'январь 2023'!$J$4:$J$508,L$1)</f>
        <v>0</v>
      </c>
      <c r="M148" s="207">
        <f>SUMIFS('январь 2023'!$G$4:$G$508,'январь 2023'!$D$4:$D$508,$B148,'январь 2023'!$J$4:$J$508,M$1)</f>
        <v>0</v>
      </c>
      <c r="N148" s="207">
        <f>SUMIFS('январь 2023'!$G$4:$G$508,'январь 2023'!$D$4:$D$508,$B148,'январь 2023'!$J$4:$J$508,N$1)</f>
        <v>0</v>
      </c>
      <c r="O148" s="207">
        <f>SUMIFS('январь 2023'!$G$4:$G$508,'январь 2023'!$D$4:$D$508,$B148,'январь 2023'!$J$4:$J$508,O$1)</f>
        <v>0</v>
      </c>
      <c r="P148" s="207">
        <f>SUMIFS('январь 2023'!$G$4:$G$508,'январь 2023'!$D$4:$D$508,$B148,'январь 2023'!$J$4:$J$508,P$1)</f>
        <v>0</v>
      </c>
      <c r="Q148" s="207">
        <f>SUMIFS('январь 2023'!$G$4:$G$508,'январь 2023'!$D$4:$D$508,$B148,'январь 2023'!$J$4:$J$508,Q$1)</f>
        <v>0</v>
      </c>
      <c r="R148" s="207">
        <f>SUMIFS('январь 2023'!$G$4:$G$508,'январь 2023'!$D$4:$D$508,$B148,'январь 2023'!$J$4:$J$508,R$1)</f>
        <v>0</v>
      </c>
      <c r="S148" s="207">
        <f>SUMIFS('январь 2023'!$G$4:$G$508,'январь 2023'!$D$4:$D$508,$B148,'январь 2023'!$J$4:$J$508,S$1)</f>
        <v>0</v>
      </c>
      <c r="T148" s="207">
        <f>SUMIFS('январь 2023'!$G$4:$G$508,'январь 2023'!$D$4:$D$508,$B148,'январь 2023'!$J$4:$J$508,T$1)</f>
        <v>0</v>
      </c>
      <c r="U148" s="207">
        <f>SUMIFS('январь 2023'!$G$4:$G$508,'январь 2023'!$D$4:$D$508,$B148,'январь 2023'!$J$4:$J$508,U$1)</f>
        <v>0</v>
      </c>
      <c r="V148" s="207">
        <f>SUMIFS('январь 2023'!$G$4:$G$508,'январь 2023'!$D$4:$D$508,$B148,'январь 2023'!$J$4:$J$508,V$1)</f>
        <v>0</v>
      </c>
      <c r="W148" s="207">
        <f>SUMIFS('январь 2023'!$G$4:$G$508,'январь 2023'!$D$4:$D$508,$B148,'январь 2023'!$J$4:$J$508,W$1)</f>
        <v>0</v>
      </c>
      <c r="X148" s="207">
        <f>SUMIFS('январь 2023'!$G$4:$G$508,'январь 2023'!$D$4:$D$508,$B148,'январь 2023'!$J$4:$J$508,X$1)</f>
        <v>0</v>
      </c>
      <c r="Y148" s="207">
        <f>SUMIFS('январь 2023'!$G$4:$G$508,'январь 2023'!$D$4:$D$508,$B148,'январь 2023'!$J$4:$J$508,Y$1)</f>
        <v>0</v>
      </c>
      <c r="Z148" s="207">
        <f>SUMIFS('январь 2023'!$G$4:$G$508,'январь 2023'!$D$4:$D$508,$B148,'январь 2023'!$J$4:$J$508,Z$1)</f>
        <v>0</v>
      </c>
      <c r="AA148" s="207">
        <f>SUMIFS('январь 2023'!$G$4:$G$508,'январь 2023'!$D$4:$D$508,$B148,'январь 2023'!$J$4:$J$508,AA$1)</f>
        <v>0</v>
      </c>
      <c r="AB148" s="207">
        <f>SUMIFS('январь 2023'!$G$4:$G$508,'январь 2023'!$D$4:$D$508,$B148,'январь 2023'!$J$4:$J$508,AB$1)</f>
        <v>0</v>
      </c>
      <c r="AC148" s="207">
        <f>SUMIFS('январь 2023'!$G$4:$G$508,'январь 2023'!$D$4:$D$508,$B148,'январь 2023'!$J$4:$J$508,AC$1)</f>
        <v>0</v>
      </c>
      <c r="AD148" s="207">
        <f>SUMIFS('январь 2023'!$G$4:$G$508,'январь 2023'!$D$4:$D$508,$B148,'январь 2023'!$J$4:$J$508,AD$1)</f>
        <v>0</v>
      </c>
      <c r="AE148" s="207">
        <f>SUMIFS('январь 2023'!$G$4:$G$508,'январь 2023'!$D$4:$D$508,$B148,'январь 2023'!$J$4:$J$508,AE$1)</f>
        <v>0</v>
      </c>
      <c r="AF148" s="207">
        <f>SUMIFS('январь 2023'!$G$4:$G$508,'январь 2023'!$D$4:$D$508,$B148,'январь 2023'!$J$4:$J$508,AF$1)</f>
        <v>0</v>
      </c>
      <c r="AG148" s="207">
        <f>SUMIFS('январь 2023'!$G$4:$G$508,'январь 2023'!$D$4:$D$508,$B148,'январь 2023'!$J$4:$J$508,AG$1)</f>
        <v>0</v>
      </c>
      <c r="AH148" s="207">
        <f>SUMIFS('январь 2023'!$G$4:$G$508,'январь 2023'!$D$4:$D$508,$B148,'январь 2023'!$J$4:$J$508,AH$1)</f>
        <v>0</v>
      </c>
      <c r="AI148" s="220">
        <f t="shared" si="4"/>
        <v>0</v>
      </c>
    </row>
    <row r="149" spans="2:35" ht="15.75" hidden="1" x14ac:dyDescent="0.25">
      <c r="B149" s="212"/>
      <c r="C149" s="211"/>
      <c r="D149" s="207">
        <f>SUMIFS('январь 2023'!$G$4:$G$508,'январь 2023'!$D$4:$D$508,$B149,'январь 2023'!$J$4:$J$508,D$1)</f>
        <v>0</v>
      </c>
      <c r="E149" s="207">
        <f>SUMIFS('январь 2023'!$G$4:$G$508,'январь 2023'!$D$4:$D$508,$B149,'январь 2023'!$J$4:$J$508,E$1)</f>
        <v>0</v>
      </c>
      <c r="F149" s="207">
        <f>SUMIFS('январь 2023'!$G$4:$G$508,'январь 2023'!$D$4:$D$508,$B149,'январь 2023'!$J$4:$J$508,F$1)</f>
        <v>0</v>
      </c>
      <c r="G149" s="207">
        <f>SUMIFS('январь 2023'!$G$4:$G$508,'январь 2023'!$D$4:$D$508,$B149,'январь 2023'!$J$4:$J$508,G$1)</f>
        <v>0</v>
      </c>
      <c r="H149" s="207">
        <f>SUMIFS('январь 2023'!$G$4:$G$508,'январь 2023'!$D$4:$D$508,$B149,'январь 2023'!$J$4:$J$508,H$1)</f>
        <v>0</v>
      </c>
      <c r="I149" s="207">
        <f>SUMIFS('январь 2023'!$G$4:$G$508,'январь 2023'!$D$4:$D$508,$B149,'январь 2023'!$J$4:$J$508,I$1)</f>
        <v>0</v>
      </c>
      <c r="J149" s="207">
        <f>SUMIFS('январь 2023'!$G$4:$G$508,'январь 2023'!$D$4:$D$508,$B149,'январь 2023'!$J$4:$J$508,J$1)</f>
        <v>0</v>
      </c>
      <c r="K149" s="207">
        <f>SUMIFS('январь 2023'!$G$4:$G$508,'январь 2023'!$D$4:$D$508,$B149,'январь 2023'!$J$4:$J$508,K$1)</f>
        <v>0</v>
      </c>
      <c r="L149" s="207">
        <f>SUMIFS('январь 2023'!$G$4:$G$508,'январь 2023'!$D$4:$D$508,$B149,'январь 2023'!$J$4:$J$508,L$1)</f>
        <v>0</v>
      </c>
      <c r="M149" s="207">
        <f>SUMIFS('январь 2023'!$G$4:$G$508,'январь 2023'!$D$4:$D$508,$B149,'январь 2023'!$J$4:$J$508,M$1)</f>
        <v>0</v>
      </c>
      <c r="N149" s="207">
        <f>SUMIFS('январь 2023'!$G$4:$G$508,'январь 2023'!$D$4:$D$508,$B149,'январь 2023'!$J$4:$J$508,N$1)</f>
        <v>0</v>
      </c>
      <c r="O149" s="207">
        <f>SUMIFS('январь 2023'!$G$4:$G$508,'январь 2023'!$D$4:$D$508,$B149,'январь 2023'!$J$4:$J$508,O$1)</f>
        <v>0</v>
      </c>
      <c r="P149" s="207">
        <f>SUMIFS('январь 2023'!$G$4:$G$508,'январь 2023'!$D$4:$D$508,$B149,'январь 2023'!$J$4:$J$508,P$1)</f>
        <v>0</v>
      </c>
      <c r="Q149" s="207">
        <f>SUMIFS('январь 2023'!$G$4:$G$508,'январь 2023'!$D$4:$D$508,$B149,'январь 2023'!$J$4:$J$508,Q$1)</f>
        <v>0</v>
      </c>
      <c r="R149" s="207">
        <f>SUMIFS('январь 2023'!$G$4:$G$508,'январь 2023'!$D$4:$D$508,$B149,'январь 2023'!$J$4:$J$508,R$1)</f>
        <v>0</v>
      </c>
      <c r="S149" s="207">
        <f>SUMIFS('январь 2023'!$G$4:$G$508,'январь 2023'!$D$4:$D$508,$B149,'январь 2023'!$J$4:$J$508,S$1)</f>
        <v>0</v>
      </c>
      <c r="T149" s="207">
        <f>SUMIFS('январь 2023'!$G$4:$G$508,'январь 2023'!$D$4:$D$508,$B149,'январь 2023'!$J$4:$J$508,T$1)</f>
        <v>0</v>
      </c>
      <c r="U149" s="207">
        <f>SUMIFS('январь 2023'!$G$4:$G$508,'январь 2023'!$D$4:$D$508,$B149,'январь 2023'!$J$4:$J$508,U$1)</f>
        <v>0</v>
      </c>
      <c r="V149" s="207">
        <f>SUMIFS('январь 2023'!$G$4:$G$508,'январь 2023'!$D$4:$D$508,$B149,'январь 2023'!$J$4:$J$508,V$1)</f>
        <v>0</v>
      </c>
      <c r="W149" s="207">
        <f>SUMIFS('январь 2023'!$G$4:$G$508,'январь 2023'!$D$4:$D$508,$B149,'январь 2023'!$J$4:$J$508,W$1)</f>
        <v>0</v>
      </c>
      <c r="X149" s="207">
        <f>SUMIFS('январь 2023'!$G$4:$G$508,'январь 2023'!$D$4:$D$508,$B149,'январь 2023'!$J$4:$J$508,X$1)</f>
        <v>0</v>
      </c>
      <c r="Y149" s="207">
        <f>SUMIFS('январь 2023'!$G$4:$G$508,'январь 2023'!$D$4:$D$508,$B149,'январь 2023'!$J$4:$J$508,Y$1)</f>
        <v>0</v>
      </c>
      <c r="Z149" s="207">
        <f>SUMIFS('январь 2023'!$G$4:$G$508,'январь 2023'!$D$4:$D$508,$B149,'январь 2023'!$J$4:$J$508,Z$1)</f>
        <v>0</v>
      </c>
      <c r="AA149" s="207">
        <f>SUMIFS('январь 2023'!$G$4:$G$508,'январь 2023'!$D$4:$D$508,$B149,'январь 2023'!$J$4:$J$508,AA$1)</f>
        <v>0</v>
      </c>
      <c r="AB149" s="207">
        <f>SUMIFS('январь 2023'!$G$4:$G$508,'январь 2023'!$D$4:$D$508,$B149,'январь 2023'!$J$4:$J$508,AB$1)</f>
        <v>0</v>
      </c>
      <c r="AC149" s="207">
        <f>SUMIFS('январь 2023'!$G$4:$G$508,'январь 2023'!$D$4:$D$508,$B149,'январь 2023'!$J$4:$J$508,AC$1)</f>
        <v>0</v>
      </c>
      <c r="AD149" s="207">
        <f>SUMIFS('январь 2023'!$G$4:$G$508,'январь 2023'!$D$4:$D$508,$B149,'январь 2023'!$J$4:$J$508,AD$1)</f>
        <v>0</v>
      </c>
      <c r="AE149" s="207">
        <f>SUMIFS('январь 2023'!$G$4:$G$508,'январь 2023'!$D$4:$D$508,$B149,'январь 2023'!$J$4:$J$508,AE$1)</f>
        <v>0</v>
      </c>
      <c r="AF149" s="207">
        <f>SUMIFS('январь 2023'!$G$4:$G$508,'январь 2023'!$D$4:$D$508,$B149,'январь 2023'!$J$4:$J$508,AF$1)</f>
        <v>0</v>
      </c>
      <c r="AG149" s="207">
        <f>SUMIFS('январь 2023'!$G$4:$G$508,'январь 2023'!$D$4:$D$508,$B149,'январь 2023'!$J$4:$J$508,AG$1)</f>
        <v>0</v>
      </c>
      <c r="AH149" s="207">
        <f>SUMIFS('январь 2023'!$G$4:$G$508,'январь 2023'!$D$4:$D$508,$B149,'январь 2023'!$J$4:$J$508,AH$1)</f>
        <v>0</v>
      </c>
      <c r="AI149" s="220">
        <f t="shared" si="4"/>
        <v>0</v>
      </c>
    </row>
    <row r="150" spans="2:35" ht="15.75" hidden="1" x14ac:dyDescent="0.25">
      <c r="B150" s="212"/>
      <c r="C150" s="211"/>
      <c r="D150" s="207">
        <f>SUMIFS('январь 2023'!$G$4:$G$508,'январь 2023'!$D$4:$D$508,$B150,'январь 2023'!$J$4:$J$508,D$1)</f>
        <v>0</v>
      </c>
      <c r="E150" s="207">
        <f>SUMIFS('январь 2023'!$G$4:$G$508,'январь 2023'!$D$4:$D$508,$B150,'январь 2023'!$J$4:$J$508,E$1)</f>
        <v>0</v>
      </c>
      <c r="F150" s="207">
        <f>SUMIFS('январь 2023'!$G$4:$G$508,'январь 2023'!$D$4:$D$508,$B150,'январь 2023'!$J$4:$J$508,F$1)</f>
        <v>0</v>
      </c>
      <c r="G150" s="207">
        <f>SUMIFS('январь 2023'!$G$4:$G$508,'январь 2023'!$D$4:$D$508,$B150,'январь 2023'!$J$4:$J$508,G$1)</f>
        <v>0</v>
      </c>
      <c r="H150" s="207">
        <f>SUMIFS('январь 2023'!$G$4:$G$508,'январь 2023'!$D$4:$D$508,$B150,'январь 2023'!$J$4:$J$508,H$1)</f>
        <v>0</v>
      </c>
      <c r="I150" s="207">
        <f>SUMIFS('январь 2023'!$G$4:$G$508,'январь 2023'!$D$4:$D$508,$B150,'январь 2023'!$J$4:$J$508,I$1)</f>
        <v>0</v>
      </c>
      <c r="J150" s="207">
        <f>SUMIFS('январь 2023'!$G$4:$G$508,'январь 2023'!$D$4:$D$508,$B150,'январь 2023'!$J$4:$J$508,J$1)</f>
        <v>0</v>
      </c>
      <c r="K150" s="207">
        <f>SUMIFS('январь 2023'!$G$4:$G$508,'январь 2023'!$D$4:$D$508,$B150,'январь 2023'!$J$4:$J$508,K$1)</f>
        <v>0</v>
      </c>
      <c r="L150" s="207">
        <f>SUMIFS('январь 2023'!$G$4:$G$508,'январь 2023'!$D$4:$D$508,$B150,'январь 2023'!$J$4:$J$508,L$1)</f>
        <v>0</v>
      </c>
      <c r="M150" s="207">
        <f>SUMIFS('январь 2023'!$G$4:$G$508,'январь 2023'!$D$4:$D$508,$B150,'январь 2023'!$J$4:$J$508,M$1)</f>
        <v>0</v>
      </c>
      <c r="N150" s="207">
        <f>SUMIFS('январь 2023'!$G$4:$G$508,'январь 2023'!$D$4:$D$508,$B150,'январь 2023'!$J$4:$J$508,N$1)</f>
        <v>0</v>
      </c>
      <c r="O150" s="207">
        <f>SUMIFS('январь 2023'!$G$4:$G$508,'январь 2023'!$D$4:$D$508,$B150,'январь 2023'!$J$4:$J$508,O$1)</f>
        <v>0</v>
      </c>
      <c r="P150" s="207">
        <f>SUMIFS('январь 2023'!$G$4:$G$508,'январь 2023'!$D$4:$D$508,$B150,'январь 2023'!$J$4:$J$508,P$1)</f>
        <v>0</v>
      </c>
      <c r="Q150" s="207">
        <f>SUMIFS('январь 2023'!$G$4:$G$508,'январь 2023'!$D$4:$D$508,$B150,'январь 2023'!$J$4:$J$508,Q$1)</f>
        <v>0</v>
      </c>
      <c r="R150" s="207">
        <f>SUMIFS('январь 2023'!$G$4:$G$508,'январь 2023'!$D$4:$D$508,$B150,'январь 2023'!$J$4:$J$508,R$1)</f>
        <v>0</v>
      </c>
      <c r="S150" s="207">
        <f>SUMIFS('январь 2023'!$G$4:$G$508,'январь 2023'!$D$4:$D$508,$B150,'январь 2023'!$J$4:$J$508,S$1)</f>
        <v>0</v>
      </c>
      <c r="T150" s="207">
        <f>SUMIFS('январь 2023'!$G$4:$G$508,'январь 2023'!$D$4:$D$508,$B150,'январь 2023'!$J$4:$J$508,T$1)</f>
        <v>0</v>
      </c>
      <c r="U150" s="207">
        <f>SUMIFS('январь 2023'!$G$4:$G$508,'январь 2023'!$D$4:$D$508,$B150,'январь 2023'!$J$4:$J$508,U$1)</f>
        <v>0</v>
      </c>
      <c r="V150" s="207">
        <f>SUMIFS('январь 2023'!$G$4:$G$508,'январь 2023'!$D$4:$D$508,$B150,'январь 2023'!$J$4:$J$508,V$1)</f>
        <v>0</v>
      </c>
      <c r="W150" s="207">
        <f>SUMIFS('январь 2023'!$G$4:$G$508,'январь 2023'!$D$4:$D$508,$B150,'январь 2023'!$J$4:$J$508,W$1)</f>
        <v>0</v>
      </c>
      <c r="X150" s="207">
        <f>SUMIFS('январь 2023'!$G$4:$G$508,'январь 2023'!$D$4:$D$508,$B150,'январь 2023'!$J$4:$J$508,X$1)</f>
        <v>0</v>
      </c>
      <c r="Y150" s="207">
        <f>SUMIFS('январь 2023'!$G$4:$G$508,'январь 2023'!$D$4:$D$508,$B150,'январь 2023'!$J$4:$J$508,Y$1)</f>
        <v>0</v>
      </c>
      <c r="Z150" s="207">
        <f>SUMIFS('январь 2023'!$G$4:$G$508,'январь 2023'!$D$4:$D$508,$B150,'январь 2023'!$J$4:$J$508,Z$1)</f>
        <v>0</v>
      </c>
      <c r="AA150" s="207">
        <f>SUMIFS('январь 2023'!$G$4:$G$508,'январь 2023'!$D$4:$D$508,$B150,'январь 2023'!$J$4:$J$508,AA$1)</f>
        <v>0</v>
      </c>
      <c r="AB150" s="207">
        <f>SUMIFS('январь 2023'!$G$4:$G$508,'январь 2023'!$D$4:$D$508,$B150,'январь 2023'!$J$4:$J$508,AB$1)</f>
        <v>0</v>
      </c>
      <c r="AC150" s="207">
        <f>SUMIFS('январь 2023'!$G$4:$G$508,'январь 2023'!$D$4:$D$508,$B150,'январь 2023'!$J$4:$J$508,AC$1)</f>
        <v>0</v>
      </c>
      <c r="AD150" s="207">
        <f>SUMIFS('январь 2023'!$G$4:$G$508,'январь 2023'!$D$4:$D$508,$B150,'январь 2023'!$J$4:$J$508,AD$1)</f>
        <v>0</v>
      </c>
      <c r="AE150" s="207">
        <f>SUMIFS('январь 2023'!$G$4:$G$508,'январь 2023'!$D$4:$D$508,$B150,'январь 2023'!$J$4:$J$508,AE$1)</f>
        <v>0</v>
      </c>
      <c r="AF150" s="207">
        <f>SUMIFS('январь 2023'!$G$4:$G$508,'январь 2023'!$D$4:$D$508,$B150,'январь 2023'!$J$4:$J$508,AF$1)</f>
        <v>0</v>
      </c>
      <c r="AG150" s="207">
        <f>SUMIFS('январь 2023'!$G$4:$G$508,'январь 2023'!$D$4:$D$508,$B150,'январь 2023'!$J$4:$J$508,AG$1)</f>
        <v>0</v>
      </c>
      <c r="AH150" s="207">
        <f>SUMIFS('январь 2023'!$G$4:$G$508,'январь 2023'!$D$4:$D$508,$B150,'январь 2023'!$J$4:$J$508,AH$1)</f>
        <v>0</v>
      </c>
      <c r="AI150" s="220">
        <f t="shared" si="4"/>
        <v>0</v>
      </c>
    </row>
    <row r="151" spans="2:35" ht="15.75" hidden="1" x14ac:dyDescent="0.25">
      <c r="B151" s="212"/>
      <c r="C151" s="211"/>
      <c r="D151" s="207">
        <f>SUMIFS('январь 2023'!$G$4:$G$508,'январь 2023'!$D$4:$D$508,$B151,'январь 2023'!$J$4:$J$508,D$1)</f>
        <v>0</v>
      </c>
      <c r="E151" s="207">
        <f>SUMIFS('январь 2023'!$G$4:$G$508,'январь 2023'!$D$4:$D$508,$B151,'январь 2023'!$J$4:$J$508,E$1)</f>
        <v>0</v>
      </c>
      <c r="F151" s="207">
        <f>SUMIFS('январь 2023'!$G$4:$G$508,'январь 2023'!$D$4:$D$508,$B151,'январь 2023'!$J$4:$J$508,F$1)</f>
        <v>0</v>
      </c>
      <c r="G151" s="207">
        <f>SUMIFS('январь 2023'!$G$4:$G$508,'январь 2023'!$D$4:$D$508,$B151,'январь 2023'!$J$4:$J$508,G$1)</f>
        <v>0</v>
      </c>
      <c r="H151" s="207">
        <f>SUMIFS('январь 2023'!$G$4:$G$508,'январь 2023'!$D$4:$D$508,$B151,'январь 2023'!$J$4:$J$508,H$1)</f>
        <v>0</v>
      </c>
      <c r="I151" s="207">
        <f>SUMIFS('январь 2023'!$G$4:$G$508,'январь 2023'!$D$4:$D$508,$B151,'январь 2023'!$J$4:$J$508,I$1)</f>
        <v>0</v>
      </c>
      <c r="J151" s="207">
        <f>SUMIFS('январь 2023'!$G$4:$G$508,'январь 2023'!$D$4:$D$508,$B151,'январь 2023'!$J$4:$J$508,J$1)</f>
        <v>0</v>
      </c>
      <c r="K151" s="207">
        <f>SUMIFS('январь 2023'!$G$4:$G$508,'январь 2023'!$D$4:$D$508,$B151,'январь 2023'!$J$4:$J$508,K$1)</f>
        <v>0</v>
      </c>
      <c r="L151" s="207">
        <f>SUMIFS('январь 2023'!$G$4:$G$508,'январь 2023'!$D$4:$D$508,$B151,'январь 2023'!$J$4:$J$508,L$1)</f>
        <v>0</v>
      </c>
      <c r="M151" s="207">
        <f>SUMIFS('январь 2023'!$G$4:$G$508,'январь 2023'!$D$4:$D$508,$B151,'январь 2023'!$J$4:$J$508,M$1)</f>
        <v>0</v>
      </c>
      <c r="N151" s="207">
        <f>SUMIFS('январь 2023'!$G$4:$G$508,'январь 2023'!$D$4:$D$508,$B151,'январь 2023'!$J$4:$J$508,N$1)</f>
        <v>0</v>
      </c>
      <c r="O151" s="207">
        <f>SUMIFS('январь 2023'!$G$4:$G$508,'январь 2023'!$D$4:$D$508,$B151,'январь 2023'!$J$4:$J$508,O$1)</f>
        <v>0</v>
      </c>
      <c r="P151" s="207">
        <f>SUMIFS('январь 2023'!$G$4:$G$508,'январь 2023'!$D$4:$D$508,$B151,'январь 2023'!$J$4:$J$508,P$1)</f>
        <v>0</v>
      </c>
      <c r="Q151" s="207">
        <f>SUMIFS('январь 2023'!$G$4:$G$508,'январь 2023'!$D$4:$D$508,$B151,'январь 2023'!$J$4:$J$508,Q$1)</f>
        <v>0</v>
      </c>
      <c r="R151" s="207">
        <f>SUMIFS('январь 2023'!$G$4:$G$508,'январь 2023'!$D$4:$D$508,$B151,'январь 2023'!$J$4:$J$508,R$1)</f>
        <v>0</v>
      </c>
      <c r="S151" s="207">
        <f>SUMIFS('январь 2023'!$G$4:$G$508,'январь 2023'!$D$4:$D$508,$B151,'январь 2023'!$J$4:$J$508,S$1)</f>
        <v>0</v>
      </c>
      <c r="T151" s="207">
        <f>SUMIFS('январь 2023'!$G$4:$G$508,'январь 2023'!$D$4:$D$508,$B151,'январь 2023'!$J$4:$J$508,T$1)</f>
        <v>0</v>
      </c>
      <c r="U151" s="207">
        <f>SUMIFS('январь 2023'!$G$4:$G$508,'январь 2023'!$D$4:$D$508,$B151,'январь 2023'!$J$4:$J$508,U$1)</f>
        <v>0</v>
      </c>
      <c r="V151" s="207">
        <f>SUMIFS('январь 2023'!$G$4:$G$508,'январь 2023'!$D$4:$D$508,$B151,'январь 2023'!$J$4:$J$508,V$1)</f>
        <v>0</v>
      </c>
      <c r="W151" s="207">
        <f>SUMIFS('январь 2023'!$G$4:$G$508,'январь 2023'!$D$4:$D$508,$B151,'январь 2023'!$J$4:$J$508,W$1)</f>
        <v>0</v>
      </c>
      <c r="X151" s="207">
        <f>SUMIFS('январь 2023'!$G$4:$G$508,'январь 2023'!$D$4:$D$508,$B151,'январь 2023'!$J$4:$J$508,X$1)</f>
        <v>0</v>
      </c>
      <c r="Y151" s="207">
        <f>SUMIFS('январь 2023'!$G$4:$G$508,'январь 2023'!$D$4:$D$508,$B151,'январь 2023'!$J$4:$J$508,Y$1)</f>
        <v>0</v>
      </c>
      <c r="Z151" s="207">
        <f>SUMIFS('январь 2023'!$G$4:$G$508,'январь 2023'!$D$4:$D$508,$B151,'январь 2023'!$J$4:$J$508,Z$1)</f>
        <v>0</v>
      </c>
      <c r="AA151" s="207">
        <f>SUMIFS('январь 2023'!$G$4:$G$508,'январь 2023'!$D$4:$D$508,$B151,'январь 2023'!$J$4:$J$508,AA$1)</f>
        <v>0</v>
      </c>
      <c r="AB151" s="207">
        <f>SUMIFS('январь 2023'!$G$4:$G$508,'январь 2023'!$D$4:$D$508,$B151,'январь 2023'!$J$4:$J$508,AB$1)</f>
        <v>0</v>
      </c>
      <c r="AC151" s="207">
        <f>SUMIFS('январь 2023'!$G$4:$G$508,'январь 2023'!$D$4:$D$508,$B151,'январь 2023'!$J$4:$J$508,AC$1)</f>
        <v>0</v>
      </c>
      <c r="AD151" s="207">
        <f>SUMIFS('январь 2023'!$G$4:$G$508,'январь 2023'!$D$4:$D$508,$B151,'январь 2023'!$J$4:$J$508,AD$1)</f>
        <v>0</v>
      </c>
      <c r="AE151" s="207">
        <f>SUMIFS('январь 2023'!$G$4:$G$508,'январь 2023'!$D$4:$D$508,$B151,'январь 2023'!$J$4:$J$508,AE$1)</f>
        <v>0</v>
      </c>
      <c r="AF151" s="207">
        <f>SUMIFS('январь 2023'!$G$4:$G$508,'январь 2023'!$D$4:$D$508,$B151,'январь 2023'!$J$4:$J$508,AF$1)</f>
        <v>0</v>
      </c>
      <c r="AG151" s="207">
        <f>SUMIFS('январь 2023'!$G$4:$G$508,'январь 2023'!$D$4:$D$508,$B151,'январь 2023'!$J$4:$J$508,AG$1)</f>
        <v>0</v>
      </c>
      <c r="AH151" s="207">
        <f>SUMIFS('январь 2023'!$G$4:$G$508,'январь 2023'!$D$4:$D$508,$B151,'январь 2023'!$J$4:$J$508,AH$1)</f>
        <v>0</v>
      </c>
      <c r="AI151" s="220">
        <f t="shared" si="4"/>
        <v>0</v>
      </c>
    </row>
    <row r="152" spans="2:35" ht="15.75" hidden="1" x14ac:dyDescent="0.25">
      <c r="B152" s="212"/>
      <c r="C152" s="211"/>
      <c r="D152" s="207">
        <f>SUMIFS('январь 2023'!$G$4:$G$508,'январь 2023'!$D$4:$D$508,$B152,'январь 2023'!$J$4:$J$508,D$1)</f>
        <v>0</v>
      </c>
      <c r="E152" s="207">
        <f>SUMIFS('январь 2023'!$G$4:$G$508,'январь 2023'!$D$4:$D$508,$B152,'январь 2023'!$J$4:$J$508,E$1)</f>
        <v>0</v>
      </c>
      <c r="F152" s="207">
        <f>SUMIFS('январь 2023'!$G$4:$G$508,'январь 2023'!$D$4:$D$508,$B152,'январь 2023'!$J$4:$J$508,F$1)</f>
        <v>0</v>
      </c>
      <c r="G152" s="207">
        <f>SUMIFS('январь 2023'!$G$4:$G$508,'январь 2023'!$D$4:$D$508,$B152,'январь 2023'!$J$4:$J$508,G$1)</f>
        <v>0</v>
      </c>
      <c r="H152" s="207">
        <f>SUMIFS('январь 2023'!$G$4:$G$508,'январь 2023'!$D$4:$D$508,$B152,'январь 2023'!$J$4:$J$508,H$1)</f>
        <v>0</v>
      </c>
      <c r="I152" s="207">
        <f>SUMIFS('январь 2023'!$G$4:$G$508,'январь 2023'!$D$4:$D$508,$B152,'январь 2023'!$J$4:$J$508,I$1)</f>
        <v>0</v>
      </c>
      <c r="J152" s="207">
        <f>SUMIFS('январь 2023'!$G$4:$G$508,'январь 2023'!$D$4:$D$508,$B152,'январь 2023'!$J$4:$J$508,J$1)</f>
        <v>0</v>
      </c>
      <c r="K152" s="207">
        <f>SUMIFS('январь 2023'!$G$4:$G$508,'январь 2023'!$D$4:$D$508,$B152,'январь 2023'!$J$4:$J$508,K$1)</f>
        <v>0</v>
      </c>
      <c r="L152" s="207">
        <f>SUMIFS('январь 2023'!$G$4:$G$508,'январь 2023'!$D$4:$D$508,$B152,'январь 2023'!$J$4:$J$508,L$1)</f>
        <v>0</v>
      </c>
      <c r="M152" s="207">
        <f>SUMIFS('январь 2023'!$G$4:$G$508,'январь 2023'!$D$4:$D$508,$B152,'январь 2023'!$J$4:$J$508,M$1)</f>
        <v>0</v>
      </c>
      <c r="N152" s="207">
        <f>SUMIFS('январь 2023'!$G$4:$G$508,'январь 2023'!$D$4:$D$508,$B152,'январь 2023'!$J$4:$J$508,N$1)</f>
        <v>0</v>
      </c>
      <c r="O152" s="207">
        <f>SUMIFS('январь 2023'!$G$4:$G$508,'январь 2023'!$D$4:$D$508,$B152,'январь 2023'!$J$4:$J$508,O$1)</f>
        <v>0</v>
      </c>
      <c r="P152" s="207">
        <f>SUMIFS('январь 2023'!$G$4:$G$508,'январь 2023'!$D$4:$D$508,$B152,'январь 2023'!$J$4:$J$508,P$1)</f>
        <v>0</v>
      </c>
      <c r="Q152" s="207">
        <f>SUMIFS('январь 2023'!$G$4:$G$508,'январь 2023'!$D$4:$D$508,$B152,'январь 2023'!$J$4:$J$508,Q$1)</f>
        <v>0</v>
      </c>
      <c r="R152" s="207">
        <f>SUMIFS('январь 2023'!$G$4:$G$508,'январь 2023'!$D$4:$D$508,$B152,'январь 2023'!$J$4:$J$508,R$1)</f>
        <v>0</v>
      </c>
      <c r="S152" s="207">
        <f>SUMIFS('январь 2023'!$G$4:$G$508,'январь 2023'!$D$4:$D$508,$B152,'январь 2023'!$J$4:$J$508,S$1)</f>
        <v>0</v>
      </c>
      <c r="T152" s="207">
        <f>SUMIFS('январь 2023'!$G$4:$G$508,'январь 2023'!$D$4:$D$508,$B152,'январь 2023'!$J$4:$J$508,T$1)</f>
        <v>0</v>
      </c>
      <c r="U152" s="207">
        <f>SUMIFS('январь 2023'!$G$4:$G$508,'январь 2023'!$D$4:$D$508,$B152,'январь 2023'!$J$4:$J$508,U$1)</f>
        <v>0</v>
      </c>
      <c r="V152" s="207">
        <f>SUMIFS('январь 2023'!$G$4:$G$508,'январь 2023'!$D$4:$D$508,$B152,'январь 2023'!$J$4:$J$508,V$1)</f>
        <v>0</v>
      </c>
      <c r="W152" s="207">
        <f>SUMIFS('январь 2023'!$G$4:$G$508,'январь 2023'!$D$4:$D$508,$B152,'январь 2023'!$J$4:$J$508,W$1)</f>
        <v>0</v>
      </c>
      <c r="X152" s="207">
        <f>SUMIFS('январь 2023'!$G$4:$G$508,'январь 2023'!$D$4:$D$508,$B152,'январь 2023'!$J$4:$J$508,X$1)</f>
        <v>0</v>
      </c>
      <c r="Y152" s="207">
        <f>SUMIFS('январь 2023'!$G$4:$G$508,'январь 2023'!$D$4:$D$508,$B152,'январь 2023'!$J$4:$J$508,Y$1)</f>
        <v>0</v>
      </c>
      <c r="Z152" s="207">
        <f>SUMIFS('январь 2023'!$G$4:$G$508,'январь 2023'!$D$4:$D$508,$B152,'январь 2023'!$J$4:$J$508,Z$1)</f>
        <v>0</v>
      </c>
      <c r="AA152" s="207">
        <f>SUMIFS('январь 2023'!$G$4:$G$508,'январь 2023'!$D$4:$D$508,$B152,'январь 2023'!$J$4:$J$508,AA$1)</f>
        <v>0</v>
      </c>
      <c r="AB152" s="207">
        <f>SUMIFS('январь 2023'!$G$4:$G$508,'январь 2023'!$D$4:$D$508,$B152,'январь 2023'!$J$4:$J$508,AB$1)</f>
        <v>0</v>
      </c>
      <c r="AC152" s="207">
        <f>SUMIFS('январь 2023'!$G$4:$G$508,'январь 2023'!$D$4:$D$508,$B152,'январь 2023'!$J$4:$J$508,AC$1)</f>
        <v>0</v>
      </c>
      <c r="AD152" s="207">
        <f>SUMIFS('январь 2023'!$G$4:$G$508,'январь 2023'!$D$4:$D$508,$B152,'январь 2023'!$J$4:$J$508,AD$1)</f>
        <v>0</v>
      </c>
      <c r="AE152" s="207">
        <f>SUMIFS('январь 2023'!$G$4:$G$508,'январь 2023'!$D$4:$D$508,$B152,'январь 2023'!$J$4:$J$508,AE$1)</f>
        <v>0</v>
      </c>
      <c r="AF152" s="207">
        <f>SUMIFS('январь 2023'!$G$4:$G$508,'январь 2023'!$D$4:$D$508,$B152,'январь 2023'!$J$4:$J$508,AF$1)</f>
        <v>0</v>
      </c>
      <c r="AG152" s="207">
        <f>SUMIFS('январь 2023'!$G$4:$G$508,'январь 2023'!$D$4:$D$508,$B152,'январь 2023'!$J$4:$J$508,AG$1)</f>
        <v>0</v>
      </c>
      <c r="AH152" s="207">
        <f>SUMIFS('январь 2023'!$G$4:$G$508,'январь 2023'!$D$4:$D$508,$B152,'январь 2023'!$J$4:$J$508,AH$1)</f>
        <v>0</v>
      </c>
      <c r="AI152" s="220">
        <f t="shared" si="4"/>
        <v>0</v>
      </c>
    </row>
    <row r="153" spans="2:35" ht="15.75" hidden="1" x14ac:dyDescent="0.25">
      <c r="B153" s="212"/>
      <c r="C153" s="211"/>
      <c r="D153" s="207">
        <f>SUMIFS('январь 2023'!$G$4:$G$508,'январь 2023'!$D$4:$D$508,$B153,'январь 2023'!$J$4:$J$508,D$1)</f>
        <v>0</v>
      </c>
      <c r="E153" s="207">
        <f>SUMIFS('январь 2023'!$G$4:$G$508,'январь 2023'!$D$4:$D$508,$B153,'январь 2023'!$J$4:$J$508,E$1)</f>
        <v>0</v>
      </c>
      <c r="F153" s="207">
        <f>SUMIFS('январь 2023'!$G$4:$G$508,'январь 2023'!$D$4:$D$508,$B153,'январь 2023'!$J$4:$J$508,F$1)</f>
        <v>0</v>
      </c>
      <c r="G153" s="207">
        <f>SUMIFS('январь 2023'!$G$4:$G$508,'январь 2023'!$D$4:$D$508,$B153,'январь 2023'!$J$4:$J$508,G$1)</f>
        <v>0</v>
      </c>
      <c r="H153" s="207">
        <f>SUMIFS('январь 2023'!$G$4:$G$508,'январь 2023'!$D$4:$D$508,$B153,'январь 2023'!$J$4:$J$508,H$1)</f>
        <v>0</v>
      </c>
      <c r="I153" s="207">
        <f>SUMIFS('январь 2023'!$G$4:$G$508,'январь 2023'!$D$4:$D$508,$B153,'январь 2023'!$J$4:$J$508,I$1)</f>
        <v>0</v>
      </c>
      <c r="J153" s="207">
        <f>SUMIFS('январь 2023'!$G$4:$G$508,'январь 2023'!$D$4:$D$508,$B153,'январь 2023'!$J$4:$J$508,J$1)</f>
        <v>0</v>
      </c>
      <c r="K153" s="207">
        <f>SUMIFS('январь 2023'!$G$4:$G$508,'январь 2023'!$D$4:$D$508,$B153,'январь 2023'!$J$4:$J$508,K$1)</f>
        <v>0</v>
      </c>
      <c r="L153" s="207">
        <f>SUMIFS('январь 2023'!$G$4:$G$508,'январь 2023'!$D$4:$D$508,$B153,'январь 2023'!$J$4:$J$508,L$1)</f>
        <v>0</v>
      </c>
      <c r="M153" s="207">
        <f>SUMIFS('январь 2023'!$G$4:$G$508,'январь 2023'!$D$4:$D$508,$B153,'январь 2023'!$J$4:$J$508,M$1)</f>
        <v>0</v>
      </c>
      <c r="N153" s="207">
        <f>SUMIFS('январь 2023'!$G$4:$G$508,'январь 2023'!$D$4:$D$508,$B153,'январь 2023'!$J$4:$J$508,N$1)</f>
        <v>0</v>
      </c>
      <c r="O153" s="207">
        <f>SUMIFS('январь 2023'!$G$4:$G$508,'январь 2023'!$D$4:$D$508,$B153,'январь 2023'!$J$4:$J$508,O$1)</f>
        <v>0</v>
      </c>
      <c r="P153" s="207">
        <f>SUMIFS('январь 2023'!$G$4:$G$508,'январь 2023'!$D$4:$D$508,$B153,'январь 2023'!$J$4:$J$508,P$1)</f>
        <v>0</v>
      </c>
      <c r="Q153" s="207">
        <f>SUMIFS('январь 2023'!$G$4:$G$508,'январь 2023'!$D$4:$D$508,$B153,'январь 2023'!$J$4:$J$508,Q$1)</f>
        <v>0</v>
      </c>
      <c r="R153" s="207">
        <f>SUMIFS('январь 2023'!$G$4:$G$508,'январь 2023'!$D$4:$D$508,$B153,'январь 2023'!$J$4:$J$508,R$1)</f>
        <v>0</v>
      </c>
      <c r="S153" s="207">
        <f>SUMIFS('январь 2023'!$G$4:$G$508,'январь 2023'!$D$4:$D$508,$B153,'январь 2023'!$J$4:$J$508,S$1)</f>
        <v>0</v>
      </c>
      <c r="T153" s="207">
        <f>SUMIFS('январь 2023'!$G$4:$G$508,'январь 2023'!$D$4:$D$508,$B153,'январь 2023'!$J$4:$J$508,T$1)</f>
        <v>0</v>
      </c>
      <c r="U153" s="207">
        <f>SUMIFS('январь 2023'!$G$4:$G$508,'январь 2023'!$D$4:$D$508,$B153,'январь 2023'!$J$4:$J$508,U$1)</f>
        <v>0</v>
      </c>
      <c r="V153" s="207">
        <f>SUMIFS('январь 2023'!$G$4:$G$508,'январь 2023'!$D$4:$D$508,$B153,'январь 2023'!$J$4:$J$508,V$1)</f>
        <v>0</v>
      </c>
      <c r="W153" s="207">
        <f>SUMIFS('январь 2023'!$G$4:$G$508,'январь 2023'!$D$4:$D$508,$B153,'январь 2023'!$J$4:$J$508,W$1)</f>
        <v>0</v>
      </c>
      <c r="X153" s="207">
        <f>SUMIFS('январь 2023'!$G$4:$G$508,'январь 2023'!$D$4:$D$508,$B153,'январь 2023'!$J$4:$J$508,X$1)</f>
        <v>0</v>
      </c>
      <c r="Y153" s="207">
        <f>SUMIFS('январь 2023'!$G$4:$G$508,'январь 2023'!$D$4:$D$508,$B153,'январь 2023'!$J$4:$J$508,Y$1)</f>
        <v>0</v>
      </c>
      <c r="Z153" s="207">
        <f>SUMIFS('январь 2023'!$G$4:$G$508,'январь 2023'!$D$4:$D$508,$B153,'январь 2023'!$J$4:$J$508,Z$1)</f>
        <v>0</v>
      </c>
      <c r="AA153" s="207">
        <f>SUMIFS('январь 2023'!$G$4:$G$508,'январь 2023'!$D$4:$D$508,$B153,'январь 2023'!$J$4:$J$508,AA$1)</f>
        <v>0</v>
      </c>
      <c r="AB153" s="207">
        <f>SUMIFS('январь 2023'!$G$4:$G$508,'январь 2023'!$D$4:$D$508,$B153,'январь 2023'!$J$4:$J$508,AB$1)</f>
        <v>0</v>
      </c>
      <c r="AC153" s="207">
        <f>SUMIFS('январь 2023'!$G$4:$G$508,'январь 2023'!$D$4:$D$508,$B153,'январь 2023'!$J$4:$J$508,AC$1)</f>
        <v>0</v>
      </c>
      <c r="AD153" s="207">
        <f>SUMIFS('январь 2023'!$G$4:$G$508,'январь 2023'!$D$4:$D$508,$B153,'январь 2023'!$J$4:$J$508,AD$1)</f>
        <v>0</v>
      </c>
      <c r="AE153" s="207">
        <f>SUMIFS('январь 2023'!$G$4:$G$508,'январь 2023'!$D$4:$D$508,$B153,'январь 2023'!$J$4:$J$508,AE$1)</f>
        <v>0</v>
      </c>
      <c r="AF153" s="207">
        <f>SUMIFS('январь 2023'!$G$4:$G$508,'январь 2023'!$D$4:$D$508,$B153,'январь 2023'!$J$4:$J$508,AF$1)</f>
        <v>0</v>
      </c>
      <c r="AG153" s="207">
        <f>SUMIFS('январь 2023'!$G$4:$G$508,'январь 2023'!$D$4:$D$508,$B153,'январь 2023'!$J$4:$J$508,AG$1)</f>
        <v>0</v>
      </c>
      <c r="AH153" s="207">
        <f>SUMIFS('январь 2023'!$G$4:$G$508,'январь 2023'!$D$4:$D$508,$B153,'январь 2023'!$J$4:$J$508,AH$1)</f>
        <v>0</v>
      </c>
      <c r="AI153" s="220">
        <f t="shared" si="4"/>
        <v>0</v>
      </c>
    </row>
    <row r="154" spans="2:35" ht="15.75" hidden="1" x14ac:dyDescent="0.25">
      <c r="B154" s="212"/>
      <c r="C154" s="211"/>
      <c r="D154" s="207">
        <f>SUMIFS('январь 2023'!$G$4:$G$508,'январь 2023'!$D$4:$D$508,$B154,'январь 2023'!$J$4:$J$508,D$1)</f>
        <v>0</v>
      </c>
      <c r="E154" s="207">
        <f>SUMIFS('январь 2023'!$G$4:$G$508,'январь 2023'!$D$4:$D$508,$B154,'январь 2023'!$J$4:$J$508,E$1)</f>
        <v>0</v>
      </c>
      <c r="F154" s="207">
        <f>SUMIFS('январь 2023'!$G$4:$G$508,'январь 2023'!$D$4:$D$508,$B154,'январь 2023'!$J$4:$J$508,F$1)</f>
        <v>0</v>
      </c>
      <c r="G154" s="207">
        <f>SUMIFS('январь 2023'!$G$4:$G$508,'январь 2023'!$D$4:$D$508,$B154,'январь 2023'!$J$4:$J$508,G$1)</f>
        <v>0</v>
      </c>
      <c r="H154" s="207">
        <f>SUMIFS('январь 2023'!$G$4:$G$508,'январь 2023'!$D$4:$D$508,$B154,'январь 2023'!$J$4:$J$508,H$1)</f>
        <v>0</v>
      </c>
      <c r="I154" s="207">
        <f>SUMIFS('январь 2023'!$G$4:$G$508,'январь 2023'!$D$4:$D$508,$B154,'январь 2023'!$J$4:$J$508,I$1)</f>
        <v>0</v>
      </c>
      <c r="J154" s="207">
        <f>SUMIFS('январь 2023'!$G$4:$G$508,'январь 2023'!$D$4:$D$508,$B154,'январь 2023'!$J$4:$J$508,J$1)</f>
        <v>0</v>
      </c>
      <c r="K154" s="207">
        <f>SUMIFS('январь 2023'!$G$4:$G$508,'январь 2023'!$D$4:$D$508,$B154,'январь 2023'!$J$4:$J$508,K$1)</f>
        <v>0</v>
      </c>
      <c r="L154" s="207">
        <f>SUMIFS('январь 2023'!$G$4:$G$508,'январь 2023'!$D$4:$D$508,$B154,'январь 2023'!$J$4:$J$508,L$1)</f>
        <v>0</v>
      </c>
      <c r="M154" s="207">
        <f>SUMIFS('январь 2023'!$G$4:$G$508,'январь 2023'!$D$4:$D$508,$B154,'январь 2023'!$J$4:$J$508,M$1)</f>
        <v>0</v>
      </c>
      <c r="N154" s="207">
        <f>SUMIFS('январь 2023'!$G$4:$G$508,'январь 2023'!$D$4:$D$508,$B154,'январь 2023'!$J$4:$J$508,N$1)</f>
        <v>0</v>
      </c>
      <c r="O154" s="207">
        <f>SUMIFS('январь 2023'!$G$4:$G$508,'январь 2023'!$D$4:$D$508,$B154,'январь 2023'!$J$4:$J$508,O$1)</f>
        <v>0</v>
      </c>
      <c r="P154" s="207">
        <f>SUMIFS('январь 2023'!$G$4:$G$508,'январь 2023'!$D$4:$D$508,$B154,'январь 2023'!$J$4:$J$508,P$1)</f>
        <v>0</v>
      </c>
      <c r="Q154" s="207">
        <f>SUMIFS('январь 2023'!$G$4:$G$508,'январь 2023'!$D$4:$D$508,$B154,'январь 2023'!$J$4:$J$508,Q$1)</f>
        <v>0</v>
      </c>
      <c r="R154" s="207">
        <f>SUMIFS('январь 2023'!$G$4:$G$508,'январь 2023'!$D$4:$D$508,$B154,'январь 2023'!$J$4:$J$508,R$1)</f>
        <v>0</v>
      </c>
      <c r="S154" s="207">
        <f>SUMIFS('январь 2023'!$G$4:$G$508,'январь 2023'!$D$4:$D$508,$B154,'январь 2023'!$J$4:$J$508,S$1)</f>
        <v>0</v>
      </c>
      <c r="T154" s="207">
        <f>SUMIFS('январь 2023'!$G$4:$G$508,'январь 2023'!$D$4:$D$508,$B154,'январь 2023'!$J$4:$J$508,T$1)</f>
        <v>0</v>
      </c>
      <c r="U154" s="207">
        <f>SUMIFS('январь 2023'!$G$4:$G$508,'январь 2023'!$D$4:$D$508,$B154,'январь 2023'!$J$4:$J$508,U$1)</f>
        <v>0</v>
      </c>
      <c r="V154" s="207">
        <f>SUMIFS('январь 2023'!$G$4:$G$508,'январь 2023'!$D$4:$D$508,$B154,'январь 2023'!$J$4:$J$508,V$1)</f>
        <v>0</v>
      </c>
      <c r="W154" s="207">
        <f>SUMIFS('январь 2023'!$G$4:$G$508,'январь 2023'!$D$4:$D$508,$B154,'январь 2023'!$J$4:$J$508,W$1)</f>
        <v>0</v>
      </c>
      <c r="X154" s="207">
        <f>SUMIFS('январь 2023'!$G$4:$G$508,'январь 2023'!$D$4:$D$508,$B154,'январь 2023'!$J$4:$J$508,X$1)</f>
        <v>0</v>
      </c>
      <c r="Y154" s="207">
        <f>SUMIFS('январь 2023'!$G$4:$G$508,'январь 2023'!$D$4:$D$508,$B154,'январь 2023'!$J$4:$J$508,Y$1)</f>
        <v>0</v>
      </c>
      <c r="Z154" s="207">
        <f>SUMIFS('январь 2023'!$G$4:$G$508,'январь 2023'!$D$4:$D$508,$B154,'январь 2023'!$J$4:$J$508,Z$1)</f>
        <v>0</v>
      </c>
      <c r="AA154" s="207">
        <f>SUMIFS('январь 2023'!$G$4:$G$508,'январь 2023'!$D$4:$D$508,$B154,'январь 2023'!$J$4:$J$508,AA$1)</f>
        <v>0</v>
      </c>
      <c r="AB154" s="207">
        <f>SUMIFS('январь 2023'!$G$4:$G$508,'январь 2023'!$D$4:$D$508,$B154,'январь 2023'!$J$4:$J$508,AB$1)</f>
        <v>0</v>
      </c>
      <c r="AC154" s="207">
        <f>SUMIFS('январь 2023'!$G$4:$G$508,'январь 2023'!$D$4:$D$508,$B154,'январь 2023'!$J$4:$J$508,AC$1)</f>
        <v>0</v>
      </c>
      <c r="AD154" s="207">
        <f>SUMIFS('январь 2023'!$G$4:$G$508,'январь 2023'!$D$4:$D$508,$B154,'январь 2023'!$J$4:$J$508,AD$1)</f>
        <v>0</v>
      </c>
      <c r="AE154" s="207">
        <f>SUMIFS('январь 2023'!$G$4:$G$508,'январь 2023'!$D$4:$D$508,$B154,'январь 2023'!$J$4:$J$508,AE$1)</f>
        <v>0</v>
      </c>
      <c r="AF154" s="207">
        <f>SUMIFS('январь 2023'!$G$4:$G$508,'январь 2023'!$D$4:$D$508,$B154,'январь 2023'!$J$4:$J$508,AF$1)</f>
        <v>0</v>
      </c>
      <c r="AG154" s="207">
        <f>SUMIFS('январь 2023'!$G$4:$G$508,'январь 2023'!$D$4:$D$508,$B154,'январь 2023'!$J$4:$J$508,AG$1)</f>
        <v>0</v>
      </c>
      <c r="AH154" s="207">
        <f>SUMIFS('январь 2023'!$G$4:$G$508,'январь 2023'!$D$4:$D$508,$B154,'январь 2023'!$J$4:$J$508,AH$1)</f>
        <v>0</v>
      </c>
      <c r="AI154" s="220">
        <f t="shared" si="4"/>
        <v>0</v>
      </c>
    </row>
    <row r="155" spans="2:35" ht="15.75" hidden="1" x14ac:dyDescent="0.25">
      <c r="B155" s="212"/>
      <c r="C155" s="211"/>
      <c r="D155" s="207">
        <f>SUMIFS('январь 2023'!$G$4:$G$508,'январь 2023'!$D$4:$D$508,$B155,'январь 2023'!$J$4:$J$508,D$1)</f>
        <v>0</v>
      </c>
      <c r="E155" s="207">
        <f>SUMIFS('январь 2023'!$G$4:$G$508,'январь 2023'!$D$4:$D$508,$B155,'январь 2023'!$J$4:$J$508,E$1)</f>
        <v>0</v>
      </c>
      <c r="F155" s="207">
        <f>SUMIFS('январь 2023'!$G$4:$G$508,'январь 2023'!$D$4:$D$508,$B155,'январь 2023'!$J$4:$J$508,F$1)</f>
        <v>0</v>
      </c>
      <c r="G155" s="207">
        <f>SUMIFS('январь 2023'!$G$4:$G$508,'январь 2023'!$D$4:$D$508,$B155,'январь 2023'!$J$4:$J$508,G$1)</f>
        <v>0</v>
      </c>
      <c r="H155" s="207">
        <f>SUMIFS('январь 2023'!$G$4:$G$508,'январь 2023'!$D$4:$D$508,$B155,'январь 2023'!$J$4:$J$508,H$1)</f>
        <v>0</v>
      </c>
      <c r="I155" s="207">
        <f>SUMIFS('январь 2023'!$G$4:$G$508,'январь 2023'!$D$4:$D$508,$B155,'январь 2023'!$J$4:$J$508,I$1)</f>
        <v>0</v>
      </c>
      <c r="J155" s="207">
        <f>SUMIFS('январь 2023'!$G$4:$G$508,'январь 2023'!$D$4:$D$508,$B155,'январь 2023'!$J$4:$J$508,J$1)</f>
        <v>0</v>
      </c>
      <c r="K155" s="207">
        <f>SUMIFS('январь 2023'!$G$4:$G$508,'январь 2023'!$D$4:$D$508,$B155,'январь 2023'!$J$4:$J$508,K$1)</f>
        <v>0</v>
      </c>
      <c r="L155" s="207">
        <f>SUMIFS('январь 2023'!$G$4:$G$508,'январь 2023'!$D$4:$D$508,$B155,'январь 2023'!$J$4:$J$508,L$1)</f>
        <v>0</v>
      </c>
      <c r="M155" s="207">
        <f>SUMIFS('январь 2023'!$G$4:$G$508,'январь 2023'!$D$4:$D$508,$B155,'январь 2023'!$J$4:$J$508,M$1)</f>
        <v>0</v>
      </c>
      <c r="N155" s="207">
        <f>SUMIFS('январь 2023'!$G$4:$G$508,'январь 2023'!$D$4:$D$508,$B155,'январь 2023'!$J$4:$J$508,N$1)</f>
        <v>0</v>
      </c>
      <c r="O155" s="207">
        <f>SUMIFS('январь 2023'!$G$4:$G$508,'январь 2023'!$D$4:$D$508,$B155,'январь 2023'!$J$4:$J$508,O$1)</f>
        <v>0</v>
      </c>
      <c r="P155" s="207">
        <f>SUMIFS('январь 2023'!$G$4:$G$508,'январь 2023'!$D$4:$D$508,$B155,'январь 2023'!$J$4:$J$508,P$1)</f>
        <v>0</v>
      </c>
      <c r="Q155" s="207">
        <f>SUMIFS('январь 2023'!$G$4:$G$508,'январь 2023'!$D$4:$D$508,$B155,'январь 2023'!$J$4:$J$508,Q$1)</f>
        <v>0</v>
      </c>
      <c r="R155" s="207">
        <f>SUMIFS('январь 2023'!$G$4:$G$508,'январь 2023'!$D$4:$D$508,$B155,'январь 2023'!$J$4:$J$508,R$1)</f>
        <v>0</v>
      </c>
      <c r="S155" s="207">
        <f>SUMIFS('январь 2023'!$G$4:$G$508,'январь 2023'!$D$4:$D$508,$B155,'январь 2023'!$J$4:$J$508,S$1)</f>
        <v>0</v>
      </c>
      <c r="T155" s="207">
        <f>SUMIFS('январь 2023'!$G$4:$G$508,'январь 2023'!$D$4:$D$508,$B155,'январь 2023'!$J$4:$J$508,T$1)</f>
        <v>0</v>
      </c>
      <c r="U155" s="207">
        <f>SUMIFS('январь 2023'!$G$4:$G$508,'январь 2023'!$D$4:$D$508,$B155,'январь 2023'!$J$4:$J$508,U$1)</f>
        <v>0</v>
      </c>
      <c r="V155" s="207">
        <f>SUMIFS('январь 2023'!$G$4:$G$508,'январь 2023'!$D$4:$D$508,$B155,'январь 2023'!$J$4:$J$508,V$1)</f>
        <v>0</v>
      </c>
      <c r="W155" s="207">
        <f>SUMIFS('январь 2023'!$G$4:$G$508,'январь 2023'!$D$4:$D$508,$B155,'январь 2023'!$J$4:$J$508,W$1)</f>
        <v>0</v>
      </c>
      <c r="X155" s="207">
        <f>SUMIFS('январь 2023'!$G$4:$G$508,'январь 2023'!$D$4:$D$508,$B155,'январь 2023'!$J$4:$J$508,X$1)</f>
        <v>0</v>
      </c>
      <c r="Y155" s="207">
        <f>SUMIFS('январь 2023'!$G$4:$G$508,'январь 2023'!$D$4:$D$508,$B155,'январь 2023'!$J$4:$J$508,Y$1)</f>
        <v>0</v>
      </c>
      <c r="Z155" s="207">
        <f>SUMIFS('январь 2023'!$G$4:$G$508,'январь 2023'!$D$4:$D$508,$B155,'январь 2023'!$J$4:$J$508,Z$1)</f>
        <v>0</v>
      </c>
      <c r="AA155" s="207">
        <f>SUMIFS('январь 2023'!$G$4:$G$508,'январь 2023'!$D$4:$D$508,$B155,'январь 2023'!$J$4:$J$508,AA$1)</f>
        <v>0</v>
      </c>
      <c r="AB155" s="207">
        <f>SUMIFS('январь 2023'!$G$4:$G$508,'январь 2023'!$D$4:$D$508,$B155,'январь 2023'!$J$4:$J$508,AB$1)</f>
        <v>0</v>
      </c>
      <c r="AC155" s="207">
        <f>SUMIFS('январь 2023'!$G$4:$G$508,'январь 2023'!$D$4:$D$508,$B155,'январь 2023'!$J$4:$J$508,AC$1)</f>
        <v>0</v>
      </c>
      <c r="AD155" s="207">
        <f>SUMIFS('январь 2023'!$G$4:$G$508,'январь 2023'!$D$4:$D$508,$B155,'январь 2023'!$J$4:$J$508,AD$1)</f>
        <v>0</v>
      </c>
      <c r="AE155" s="207">
        <f>SUMIFS('январь 2023'!$G$4:$G$508,'январь 2023'!$D$4:$D$508,$B155,'январь 2023'!$J$4:$J$508,AE$1)</f>
        <v>0</v>
      </c>
      <c r="AF155" s="207">
        <f>SUMIFS('январь 2023'!$G$4:$G$508,'январь 2023'!$D$4:$D$508,$B155,'январь 2023'!$J$4:$J$508,AF$1)</f>
        <v>0</v>
      </c>
      <c r="AG155" s="207">
        <f>SUMIFS('январь 2023'!$G$4:$G$508,'январь 2023'!$D$4:$D$508,$B155,'январь 2023'!$J$4:$J$508,AG$1)</f>
        <v>0</v>
      </c>
      <c r="AH155" s="207">
        <f>SUMIFS('январь 2023'!$G$4:$G$508,'январь 2023'!$D$4:$D$508,$B155,'январь 2023'!$J$4:$J$508,AH$1)</f>
        <v>0</v>
      </c>
      <c r="AI155" s="220">
        <f t="shared" si="4"/>
        <v>0</v>
      </c>
    </row>
    <row r="156" spans="2:35" ht="15.75" hidden="1" x14ac:dyDescent="0.25">
      <c r="B156" s="212"/>
      <c r="C156" s="211"/>
      <c r="D156" s="207">
        <f>SUMIFS('январь 2023'!$G$4:$G$508,'январь 2023'!$D$4:$D$508,$B156,'январь 2023'!$J$4:$J$508,D$1)</f>
        <v>0</v>
      </c>
      <c r="E156" s="207">
        <f>SUMIFS('январь 2023'!$G$4:$G$508,'январь 2023'!$D$4:$D$508,$B156,'январь 2023'!$J$4:$J$508,E$1)</f>
        <v>0</v>
      </c>
      <c r="F156" s="207">
        <f>SUMIFS('январь 2023'!$G$4:$G$508,'январь 2023'!$D$4:$D$508,$B156,'январь 2023'!$J$4:$J$508,F$1)</f>
        <v>0</v>
      </c>
      <c r="G156" s="207">
        <f>SUMIFS('январь 2023'!$G$4:$G$508,'январь 2023'!$D$4:$D$508,$B156,'январь 2023'!$J$4:$J$508,G$1)</f>
        <v>0</v>
      </c>
      <c r="H156" s="207">
        <f>SUMIFS('январь 2023'!$G$4:$G$508,'январь 2023'!$D$4:$D$508,$B156,'январь 2023'!$J$4:$J$508,H$1)</f>
        <v>0</v>
      </c>
      <c r="I156" s="207">
        <f>SUMIFS('январь 2023'!$G$4:$G$508,'январь 2023'!$D$4:$D$508,$B156,'январь 2023'!$J$4:$J$508,I$1)</f>
        <v>0</v>
      </c>
      <c r="J156" s="207">
        <f>SUMIFS('январь 2023'!$G$4:$G$508,'январь 2023'!$D$4:$D$508,$B156,'январь 2023'!$J$4:$J$508,J$1)</f>
        <v>0</v>
      </c>
      <c r="K156" s="207">
        <f>SUMIFS('январь 2023'!$G$4:$G$508,'январь 2023'!$D$4:$D$508,$B156,'январь 2023'!$J$4:$J$508,K$1)</f>
        <v>0</v>
      </c>
      <c r="L156" s="207">
        <f>SUMIFS('январь 2023'!$G$4:$G$508,'январь 2023'!$D$4:$D$508,$B156,'январь 2023'!$J$4:$J$508,L$1)</f>
        <v>0</v>
      </c>
      <c r="M156" s="207">
        <f>SUMIFS('январь 2023'!$G$4:$G$508,'январь 2023'!$D$4:$D$508,$B156,'январь 2023'!$J$4:$J$508,M$1)</f>
        <v>0</v>
      </c>
      <c r="N156" s="207">
        <f>SUMIFS('январь 2023'!$G$4:$G$508,'январь 2023'!$D$4:$D$508,$B156,'январь 2023'!$J$4:$J$508,N$1)</f>
        <v>0</v>
      </c>
      <c r="O156" s="207">
        <f>SUMIFS('январь 2023'!$G$4:$G$508,'январь 2023'!$D$4:$D$508,$B156,'январь 2023'!$J$4:$J$508,O$1)</f>
        <v>0</v>
      </c>
      <c r="P156" s="207">
        <f>SUMIFS('январь 2023'!$G$4:$G$508,'январь 2023'!$D$4:$D$508,$B156,'январь 2023'!$J$4:$J$508,P$1)</f>
        <v>0</v>
      </c>
      <c r="Q156" s="207">
        <f>SUMIFS('январь 2023'!$G$4:$G$508,'январь 2023'!$D$4:$D$508,$B156,'январь 2023'!$J$4:$J$508,Q$1)</f>
        <v>0</v>
      </c>
      <c r="R156" s="207">
        <f>SUMIFS('январь 2023'!$G$4:$G$508,'январь 2023'!$D$4:$D$508,$B156,'январь 2023'!$J$4:$J$508,R$1)</f>
        <v>0</v>
      </c>
      <c r="S156" s="207">
        <f>SUMIFS('январь 2023'!$G$4:$G$508,'январь 2023'!$D$4:$D$508,$B156,'январь 2023'!$J$4:$J$508,S$1)</f>
        <v>0</v>
      </c>
      <c r="T156" s="207">
        <f>SUMIFS('январь 2023'!$G$4:$G$508,'январь 2023'!$D$4:$D$508,$B156,'январь 2023'!$J$4:$J$508,T$1)</f>
        <v>0</v>
      </c>
      <c r="U156" s="207">
        <f>SUMIFS('январь 2023'!$G$4:$G$508,'январь 2023'!$D$4:$D$508,$B156,'январь 2023'!$J$4:$J$508,U$1)</f>
        <v>0</v>
      </c>
      <c r="V156" s="207">
        <f>SUMIFS('январь 2023'!$G$4:$G$508,'январь 2023'!$D$4:$D$508,$B156,'январь 2023'!$J$4:$J$508,V$1)</f>
        <v>0</v>
      </c>
      <c r="W156" s="207">
        <f>SUMIFS('январь 2023'!$G$4:$G$508,'январь 2023'!$D$4:$D$508,$B156,'январь 2023'!$J$4:$J$508,W$1)</f>
        <v>0</v>
      </c>
      <c r="X156" s="207">
        <f>SUMIFS('январь 2023'!$G$4:$G$508,'январь 2023'!$D$4:$D$508,$B156,'январь 2023'!$J$4:$J$508,X$1)</f>
        <v>0</v>
      </c>
      <c r="Y156" s="207">
        <f>SUMIFS('январь 2023'!$G$4:$G$508,'январь 2023'!$D$4:$D$508,$B156,'январь 2023'!$J$4:$J$508,Y$1)</f>
        <v>0</v>
      </c>
      <c r="Z156" s="207">
        <f>SUMIFS('январь 2023'!$G$4:$G$508,'январь 2023'!$D$4:$D$508,$B156,'январь 2023'!$J$4:$J$508,Z$1)</f>
        <v>0</v>
      </c>
      <c r="AA156" s="207">
        <f>SUMIFS('январь 2023'!$G$4:$G$508,'январь 2023'!$D$4:$D$508,$B156,'январь 2023'!$J$4:$J$508,AA$1)</f>
        <v>0</v>
      </c>
      <c r="AB156" s="207">
        <f>SUMIFS('январь 2023'!$G$4:$G$508,'январь 2023'!$D$4:$D$508,$B156,'январь 2023'!$J$4:$J$508,AB$1)</f>
        <v>0</v>
      </c>
      <c r="AC156" s="207">
        <f>SUMIFS('январь 2023'!$G$4:$G$508,'январь 2023'!$D$4:$D$508,$B156,'январь 2023'!$J$4:$J$508,AC$1)</f>
        <v>0</v>
      </c>
      <c r="AD156" s="207">
        <f>SUMIFS('январь 2023'!$G$4:$G$508,'январь 2023'!$D$4:$D$508,$B156,'январь 2023'!$J$4:$J$508,AD$1)</f>
        <v>0</v>
      </c>
      <c r="AE156" s="207">
        <f>SUMIFS('январь 2023'!$G$4:$G$508,'январь 2023'!$D$4:$D$508,$B156,'январь 2023'!$J$4:$J$508,AE$1)</f>
        <v>0</v>
      </c>
      <c r="AF156" s="207">
        <f>SUMIFS('январь 2023'!$G$4:$G$508,'январь 2023'!$D$4:$D$508,$B156,'январь 2023'!$J$4:$J$508,AF$1)</f>
        <v>0</v>
      </c>
      <c r="AG156" s="207">
        <f>SUMIFS('январь 2023'!$G$4:$G$508,'январь 2023'!$D$4:$D$508,$B156,'январь 2023'!$J$4:$J$508,AG$1)</f>
        <v>0</v>
      </c>
      <c r="AH156" s="207">
        <f>SUMIFS('январь 2023'!$G$4:$G$508,'январь 2023'!$D$4:$D$508,$B156,'январь 2023'!$J$4:$J$508,AH$1)</f>
        <v>0</v>
      </c>
      <c r="AI156" s="220">
        <f t="shared" si="4"/>
        <v>0</v>
      </c>
    </row>
    <row r="157" spans="2:35" ht="15.75" hidden="1" x14ac:dyDescent="0.25">
      <c r="B157" s="212"/>
      <c r="C157" s="211"/>
      <c r="D157" s="207">
        <f>SUMIFS('январь 2023'!$G$4:$G$508,'январь 2023'!$D$4:$D$508,$B157,'январь 2023'!$J$4:$J$508,D$1)</f>
        <v>0</v>
      </c>
      <c r="E157" s="207">
        <f>SUMIFS('январь 2023'!$G$4:$G$508,'январь 2023'!$D$4:$D$508,$B157,'январь 2023'!$J$4:$J$508,E$1)</f>
        <v>0</v>
      </c>
      <c r="F157" s="207">
        <f>SUMIFS('январь 2023'!$G$4:$G$508,'январь 2023'!$D$4:$D$508,$B157,'январь 2023'!$J$4:$J$508,F$1)</f>
        <v>0</v>
      </c>
      <c r="G157" s="207">
        <f>SUMIFS('январь 2023'!$G$4:$G$508,'январь 2023'!$D$4:$D$508,$B157,'январь 2023'!$J$4:$J$508,G$1)</f>
        <v>0</v>
      </c>
      <c r="H157" s="207">
        <f>SUMIFS('январь 2023'!$G$4:$G$508,'январь 2023'!$D$4:$D$508,$B157,'январь 2023'!$J$4:$J$508,H$1)</f>
        <v>0</v>
      </c>
      <c r="I157" s="207">
        <f>SUMIFS('январь 2023'!$G$4:$G$508,'январь 2023'!$D$4:$D$508,$B157,'январь 2023'!$J$4:$J$508,I$1)</f>
        <v>0</v>
      </c>
      <c r="J157" s="207">
        <f>SUMIFS('январь 2023'!$G$4:$G$508,'январь 2023'!$D$4:$D$508,$B157,'январь 2023'!$J$4:$J$508,J$1)</f>
        <v>0</v>
      </c>
      <c r="K157" s="207">
        <f>SUMIFS('январь 2023'!$G$4:$G$508,'январь 2023'!$D$4:$D$508,$B157,'январь 2023'!$J$4:$J$508,K$1)</f>
        <v>0</v>
      </c>
      <c r="L157" s="207">
        <f>SUMIFS('январь 2023'!$G$4:$G$508,'январь 2023'!$D$4:$D$508,$B157,'январь 2023'!$J$4:$J$508,L$1)</f>
        <v>0</v>
      </c>
      <c r="M157" s="207">
        <f>SUMIFS('январь 2023'!$G$4:$G$508,'январь 2023'!$D$4:$D$508,$B157,'январь 2023'!$J$4:$J$508,M$1)</f>
        <v>0</v>
      </c>
      <c r="N157" s="207">
        <f>SUMIFS('январь 2023'!$G$4:$G$508,'январь 2023'!$D$4:$D$508,$B157,'январь 2023'!$J$4:$J$508,N$1)</f>
        <v>0</v>
      </c>
      <c r="O157" s="207">
        <f>SUMIFS('январь 2023'!$G$4:$G$508,'январь 2023'!$D$4:$D$508,$B157,'январь 2023'!$J$4:$J$508,O$1)</f>
        <v>0</v>
      </c>
      <c r="P157" s="207">
        <f>SUMIFS('январь 2023'!$G$4:$G$508,'январь 2023'!$D$4:$D$508,$B157,'январь 2023'!$J$4:$J$508,P$1)</f>
        <v>0</v>
      </c>
      <c r="Q157" s="207">
        <f>SUMIFS('январь 2023'!$G$4:$G$508,'январь 2023'!$D$4:$D$508,$B157,'январь 2023'!$J$4:$J$508,Q$1)</f>
        <v>0</v>
      </c>
      <c r="R157" s="207">
        <f>SUMIFS('январь 2023'!$G$4:$G$508,'январь 2023'!$D$4:$D$508,$B157,'январь 2023'!$J$4:$J$508,R$1)</f>
        <v>0</v>
      </c>
      <c r="S157" s="207">
        <f>SUMIFS('январь 2023'!$G$4:$G$508,'январь 2023'!$D$4:$D$508,$B157,'январь 2023'!$J$4:$J$508,S$1)</f>
        <v>0</v>
      </c>
      <c r="T157" s="207">
        <f>SUMIFS('январь 2023'!$G$4:$G$508,'январь 2023'!$D$4:$D$508,$B157,'январь 2023'!$J$4:$J$508,T$1)</f>
        <v>0</v>
      </c>
      <c r="U157" s="207">
        <f>SUMIFS('январь 2023'!$G$4:$G$508,'январь 2023'!$D$4:$D$508,$B157,'январь 2023'!$J$4:$J$508,U$1)</f>
        <v>0</v>
      </c>
      <c r="V157" s="207">
        <f>SUMIFS('январь 2023'!$G$4:$G$508,'январь 2023'!$D$4:$D$508,$B157,'январь 2023'!$J$4:$J$508,V$1)</f>
        <v>0</v>
      </c>
      <c r="W157" s="207">
        <f>SUMIFS('январь 2023'!$G$4:$G$508,'январь 2023'!$D$4:$D$508,$B157,'январь 2023'!$J$4:$J$508,W$1)</f>
        <v>0</v>
      </c>
      <c r="X157" s="207">
        <f>SUMIFS('январь 2023'!$G$4:$G$508,'январь 2023'!$D$4:$D$508,$B157,'январь 2023'!$J$4:$J$508,X$1)</f>
        <v>0</v>
      </c>
      <c r="Y157" s="207">
        <f>SUMIFS('январь 2023'!$G$4:$G$508,'январь 2023'!$D$4:$D$508,$B157,'январь 2023'!$J$4:$J$508,Y$1)</f>
        <v>0</v>
      </c>
      <c r="Z157" s="207">
        <f>SUMIFS('январь 2023'!$G$4:$G$508,'январь 2023'!$D$4:$D$508,$B157,'январь 2023'!$J$4:$J$508,Z$1)</f>
        <v>0</v>
      </c>
      <c r="AA157" s="207">
        <f>SUMIFS('январь 2023'!$G$4:$G$508,'январь 2023'!$D$4:$D$508,$B157,'январь 2023'!$J$4:$J$508,AA$1)</f>
        <v>0</v>
      </c>
      <c r="AB157" s="207">
        <f>SUMIFS('январь 2023'!$G$4:$G$508,'январь 2023'!$D$4:$D$508,$B157,'январь 2023'!$J$4:$J$508,AB$1)</f>
        <v>0</v>
      </c>
      <c r="AC157" s="207">
        <f>SUMIFS('январь 2023'!$G$4:$G$508,'январь 2023'!$D$4:$D$508,$B157,'январь 2023'!$J$4:$J$508,AC$1)</f>
        <v>0</v>
      </c>
      <c r="AD157" s="207">
        <f>SUMIFS('январь 2023'!$G$4:$G$508,'январь 2023'!$D$4:$D$508,$B157,'январь 2023'!$J$4:$J$508,AD$1)</f>
        <v>0</v>
      </c>
      <c r="AE157" s="207">
        <f>SUMIFS('январь 2023'!$G$4:$G$508,'январь 2023'!$D$4:$D$508,$B157,'январь 2023'!$J$4:$J$508,AE$1)</f>
        <v>0</v>
      </c>
      <c r="AF157" s="207">
        <f>SUMIFS('январь 2023'!$G$4:$G$508,'январь 2023'!$D$4:$D$508,$B157,'январь 2023'!$J$4:$J$508,AF$1)</f>
        <v>0</v>
      </c>
      <c r="AG157" s="207">
        <f>SUMIFS('январь 2023'!$G$4:$G$508,'январь 2023'!$D$4:$D$508,$B157,'январь 2023'!$J$4:$J$508,AG$1)</f>
        <v>0</v>
      </c>
      <c r="AH157" s="207">
        <f>SUMIFS('январь 2023'!$G$4:$G$508,'январь 2023'!$D$4:$D$508,$B157,'январь 2023'!$J$4:$J$508,AH$1)</f>
        <v>0</v>
      </c>
      <c r="AI157" s="220">
        <f t="shared" si="4"/>
        <v>0</v>
      </c>
    </row>
    <row r="158" spans="2:35" ht="15.75" hidden="1" x14ac:dyDescent="0.25">
      <c r="B158" s="212"/>
      <c r="C158" s="211"/>
      <c r="D158" s="207">
        <f>SUMIFS('январь 2023'!$G$4:$G$508,'январь 2023'!$D$4:$D$508,$B158,'январь 2023'!$J$4:$J$508,D$1)</f>
        <v>0</v>
      </c>
      <c r="E158" s="207">
        <f>SUMIFS('январь 2023'!$G$4:$G$508,'январь 2023'!$D$4:$D$508,$B158,'январь 2023'!$J$4:$J$508,E$1)</f>
        <v>0</v>
      </c>
      <c r="F158" s="207">
        <f>SUMIFS('январь 2023'!$G$4:$G$508,'январь 2023'!$D$4:$D$508,$B158,'январь 2023'!$J$4:$J$508,F$1)</f>
        <v>0</v>
      </c>
      <c r="G158" s="207">
        <f>SUMIFS('январь 2023'!$G$4:$G$508,'январь 2023'!$D$4:$D$508,$B158,'январь 2023'!$J$4:$J$508,G$1)</f>
        <v>0</v>
      </c>
      <c r="H158" s="207">
        <f>SUMIFS('январь 2023'!$G$4:$G$508,'январь 2023'!$D$4:$D$508,$B158,'январь 2023'!$J$4:$J$508,H$1)</f>
        <v>0</v>
      </c>
      <c r="I158" s="207">
        <f>SUMIFS('январь 2023'!$G$4:$G$508,'январь 2023'!$D$4:$D$508,$B158,'январь 2023'!$J$4:$J$508,I$1)</f>
        <v>0</v>
      </c>
      <c r="J158" s="207">
        <f>SUMIFS('январь 2023'!$G$4:$G$508,'январь 2023'!$D$4:$D$508,$B158,'январь 2023'!$J$4:$J$508,J$1)</f>
        <v>0</v>
      </c>
      <c r="K158" s="207">
        <f>SUMIFS('январь 2023'!$G$4:$G$508,'январь 2023'!$D$4:$D$508,$B158,'январь 2023'!$J$4:$J$508,K$1)</f>
        <v>0</v>
      </c>
      <c r="L158" s="207">
        <f>SUMIFS('январь 2023'!$G$4:$G$508,'январь 2023'!$D$4:$D$508,$B158,'январь 2023'!$J$4:$J$508,L$1)</f>
        <v>0</v>
      </c>
      <c r="M158" s="207">
        <f>SUMIFS('январь 2023'!$G$4:$G$508,'январь 2023'!$D$4:$D$508,$B158,'январь 2023'!$J$4:$J$508,M$1)</f>
        <v>0</v>
      </c>
      <c r="N158" s="207">
        <f>SUMIFS('январь 2023'!$G$4:$G$508,'январь 2023'!$D$4:$D$508,$B158,'январь 2023'!$J$4:$J$508,N$1)</f>
        <v>0</v>
      </c>
      <c r="O158" s="207">
        <f>SUMIFS('январь 2023'!$G$4:$G$508,'январь 2023'!$D$4:$D$508,$B158,'январь 2023'!$J$4:$J$508,O$1)</f>
        <v>0</v>
      </c>
      <c r="P158" s="207">
        <f>SUMIFS('январь 2023'!$G$4:$G$508,'январь 2023'!$D$4:$D$508,$B158,'январь 2023'!$J$4:$J$508,P$1)</f>
        <v>0</v>
      </c>
      <c r="Q158" s="207">
        <f>SUMIFS('январь 2023'!$G$4:$G$508,'январь 2023'!$D$4:$D$508,$B158,'январь 2023'!$J$4:$J$508,Q$1)</f>
        <v>0</v>
      </c>
      <c r="R158" s="207">
        <f>SUMIFS('январь 2023'!$G$4:$G$508,'январь 2023'!$D$4:$D$508,$B158,'январь 2023'!$J$4:$J$508,R$1)</f>
        <v>0</v>
      </c>
      <c r="S158" s="207">
        <f>SUMIFS('январь 2023'!$G$4:$G$508,'январь 2023'!$D$4:$D$508,$B158,'январь 2023'!$J$4:$J$508,S$1)</f>
        <v>0</v>
      </c>
      <c r="T158" s="207">
        <f>SUMIFS('январь 2023'!$G$4:$G$508,'январь 2023'!$D$4:$D$508,$B158,'январь 2023'!$J$4:$J$508,T$1)</f>
        <v>0</v>
      </c>
      <c r="U158" s="207">
        <f>SUMIFS('январь 2023'!$G$4:$G$508,'январь 2023'!$D$4:$D$508,$B158,'январь 2023'!$J$4:$J$508,U$1)</f>
        <v>0</v>
      </c>
      <c r="V158" s="207">
        <f>SUMIFS('январь 2023'!$G$4:$G$508,'январь 2023'!$D$4:$D$508,$B158,'январь 2023'!$J$4:$J$508,V$1)</f>
        <v>0</v>
      </c>
      <c r="W158" s="207">
        <f>SUMIFS('январь 2023'!$G$4:$G$508,'январь 2023'!$D$4:$D$508,$B158,'январь 2023'!$J$4:$J$508,W$1)</f>
        <v>0</v>
      </c>
      <c r="X158" s="207">
        <f>SUMIFS('январь 2023'!$G$4:$G$508,'январь 2023'!$D$4:$D$508,$B158,'январь 2023'!$J$4:$J$508,X$1)</f>
        <v>0</v>
      </c>
      <c r="Y158" s="207">
        <f>SUMIFS('январь 2023'!$G$4:$G$508,'январь 2023'!$D$4:$D$508,$B158,'январь 2023'!$J$4:$J$508,Y$1)</f>
        <v>0</v>
      </c>
      <c r="Z158" s="207">
        <f>SUMIFS('январь 2023'!$G$4:$G$508,'январь 2023'!$D$4:$D$508,$B158,'январь 2023'!$J$4:$J$508,Z$1)</f>
        <v>0</v>
      </c>
      <c r="AA158" s="207">
        <f>SUMIFS('январь 2023'!$G$4:$G$508,'январь 2023'!$D$4:$D$508,$B158,'январь 2023'!$J$4:$J$508,AA$1)</f>
        <v>0</v>
      </c>
      <c r="AB158" s="207">
        <f>SUMIFS('январь 2023'!$G$4:$G$508,'январь 2023'!$D$4:$D$508,$B158,'январь 2023'!$J$4:$J$508,AB$1)</f>
        <v>0</v>
      </c>
      <c r="AC158" s="207">
        <f>SUMIFS('январь 2023'!$G$4:$G$508,'январь 2023'!$D$4:$D$508,$B158,'январь 2023'!$J$4:$J$508,AC$1)</f>
        <v>0</v>
      </c>
      <c r="AD158" s="207">
        <f>SUMIFS('январь 2023'!$G$4:$G$508,'январь 2023'!$D$4:$D$508,$B158,'январь 2023'!$J$4:$J$508,AD$1)</f>
        <v>0</v>
      </c>
      <c r="AE158" s="207">
        <f>SUMIFS('январь 2023'!$G$4:$G$508,'январь 2023'!$D$4:$D$508,$B158,'январь 2023'!$J$4:$J$508,AE$1)</f>
        <v>0</v>
      </c>
      <c r="AF158" s="207">
        <f>SUMIFS('январь 2023'!$G$4:$G$508,'январь 2023'!$D$4:$D$508,$B158,'январь 2023'!$J$4:$J$508,AF$1)</f>
        <v>0</v>
      </c>
      <c r="AG158" s="207">
        <f>SUMIFS('январь 2023'!$G$4:$G$508,'январь 2023'!$D$4:$D$508,$B158,'январь 2023'!$J$4:$J$508,AG$1)</f>
        <v>0</v>
      </c>
      <c r="AH158" s="207">
        <f>SUMIFS('январь 2023'!$G$4:$G$508,'январь 2023'!$D$4:$D$508,$B158,'январь 2023'!$J$4:$J$508,AH$1)</f>
        <v>0</v>
      </c>
      <c r="AI158" s="220">
        <f t="shared" si="4"/>
        <v>0</v>
      </c>
    </row>
    <row r="159" spans="2:35" ht="15.75" hidden="1" x14ac:dyDescent="0.25">
      <c r="B159" s="212"/>
      <c r="C159" s="211"/>
      <c r="D159" s="207">
        <f>SUMIFS('январь 2023'!$G$4:$G$508,'январь 2023'!$D$4:$D$508,$B159,'январь 2023'!$J$4:$J$508,D$1)</f>
        <v>0</v>
      </c>
      <c r="E159" s="207">
        <f>SUMIFS('январь 2023'!$G$4:$G$508,'январь 2023'!$D$4:$D$508,$B159,'январь 2023'!$J$4:$J$508,E$1)</f>
        <v>0</v>
      </c>
      <c r="F159" s="207">
        <f>SUMIFS('январь 2023'!$G$4:$G$508,'январь 2023'!$D$4:$D$508,$B159,'январь 2023'!$J$4:$J$508,F$1)</f>
        <v>0</v>
      </c>
      <c r="G159" s="207">
        <f>SUMIFS('январь 2023'!$G$4:$G$508,'январь 2023'!$D$4:$D$508,$B159,'январь 2023'!$J$4:$J$508,G$1)</f>
        <v>0</v>
      </c>
      <c r="H159" s="207">
        <f>SUMIFS('январь 2023'!$G$4:$G$508,'январь 2023'!$D$4:$D$508,$B159,'январь 2023'!$J$4:$J$508,H$1)</f>
        <v>0</v>
      </c>
      <c r="I159" s="207">
        <f>SUMIFS('январь 2023'!$G$4:$G$508,'январь 2023'!$D$4:$D$508,$B159,'январь 2023'!$J$4:$J$508,I$1)</f>
        <v>0</v>
      </c>
      <c r="J159" s="207">
        <f>SUMIFS('январь 2023'!$G$4:$G$508,'январь 2023'!$D$4:$D$508,$B159,'январь 2023'!$J$4:$J$508,J$1)</f>
        <v>0</v>
      </c>
      <c r="K159" s="207">
        <f>SUMIFS('январь 2023'!$G$4:$G$508,'январь 2023'!$D$4:$D$508,$B159,'январь 2023'!$J$4:$J$508,K$1)</f>
        <v>0</v>
      </c>
      <c r="L159" s="207">
        <f>SUMIFS('январь 2023'!$G$4:$G$508,'январь 2023'!$D$4:$D$508,$B159,'январь 2023'!$J$4:$J$508,L$1)</f>
        <v>0</v>
      </c>
      <c r="M159" s="207">
        <f>SUMIFS('январь 2023'!$G$4:$G$508,'январь 2023'!$D$4:$D$508,$B159,'январь 2023'!$J$4:$J$508,M$1)</f>
        <v>0</v>
      </c>
      <c r="N159" s="207">
        <f>SUMIFS('январь 2023'!$G$4:$G$508,'январь 2023'!$D$4:$D$508,$B159,'январь 2023'!$J$4:$J$508,N$1)</f>
        <v>0</v>
      </c>
      <c r="O159" s="207">
        <f>SUMIFS('январь 2023'!$G$4:$G$508,'январь 2023'!$D$4:$D$508,$B159,'январь 2023'!$J$4:$J$508,O$1)</f>
        <v>0</v>
      </c>
      <c r="P159" s="207">
        <f>SUMIFS('январь 2023'!$G$4:$G$508,'январь 2023'!$D$4:$D$508,$B159,'январь 2023'!$J$4:$J$508,P$1)</f>
        <v>0</v>
      </c>
      <c r="Q159" s="207">
        <f>SUMIFS('январь 2023'!$G$4:$G$508,'январь 2023'!$D$4:$D$508,$B159,'январь 2023'!$J$4:$J$508,Q$1)</f>
        <v>0</v>
      </c>
      <c r="R159" s="207">
        <f>SUMIFS('январь 2023'!$G$4:$G$508,'январь 2023'!$D$4:$D$508,$B159,'январь 2023'!$J$4:$J$508,R$1)</f>
        <v>0</v>
      </c>
      <c r="S159" s="207">
        <f>SUMIFS('январь 2023'!$G$4:$G$508,'январь 2023'!$D$4:$D$508,$B159,'январь 2023'!$J$4:$J$508,S$1)</f>
        <v>0</v>
      </c>
      <c r="T159" s="207">
        <f>SUMIFS('январь 2023'!$G$4:$G$508,'январь 2023'!$D$4:$D$508,$B159,'январь 2023'!$J$4:$J$508,T$1)</f>
        <v>0</v>
      </c>
      <c r="U159" s="207">
        <f>SUMIFS('январь 2023'!$G$4:$G$508,'январь 2023'!$D$4:$D$508,$B159,'январь 2023'!$J$4:$J$508,U$1)</f>
        <v>0</v>
      </c>
      <c r="V159" s="207">
        <f>SUMIFS('январь 2023'!$G$4:$G$508,'январь 2023'!$D$4:$D$508,$B159,'январь 2023'!$J$4:$J$508,V$1)</f>
        <v>0</v>
      </c>
      <c r="W159" s="207">
        <f>SUMIFS('январь 2023'!$G$4:$G$508,'январь 2023'!$D$4:$D$508,$B159,'январь 2023'!$J$4:$J$508,W$1)</f>
        <v>0</v>
      </c>
      <c r="X159" s="207">
        <f>SUMIFS('январь 2023'!$G$4:$G$508,'январь 2023'!$D$4:$D$508,$B159,'январь 2023'!$J$4:$J$508,X$1)</f>
        <v>0</v>
      </c>
      <c r="Y159" s="207">
        <f>SUMIFS('январь 2023'!$G$4:$G$508,'январь 2023'!$D$4:$D$508,$B159,'январь 2023'!$J$4:$J$508,Y$1)</f>
        <v>0</v>
      </c>
      <c r="Z159" s="207">
        <f>SUMIFS('январь 2023'!$G$4:$G$508,'январь 2023'!$D$4:$D$508,$B159,'январь 2023'!$J$4:$J$508,Z$1)</f>
        <v>0</v>
      </c>
      <c r="AA159" s="207">
        <f>SUMIFS('январь 2023'!$G$4:$G$508,'январь 2023'!$D$4:$D$508,$B159,'январь 2023'!$J$4:$J$508,AA$1)</f>
        <v>0</v>
      </c>
      <c r="AB159" s="207">
        <f>SUMIFS('январь 2023'!$G$4:$G$508,'январь 2023'!$D$4:$D$508,$B159,'январь 2023'!$J$4:$J$508,AB$1)</f>
        <v>0</v>
      </c>
      <c r="AC159" s="207">
        <f>SUMIFS('январь 2023'!$G$4:$G$508,'январь 2023'!$D$4:$D$508,$B159,'январь 2023'!$J$4:$J$508,AC$1)</f>
        <v>0</v>
      </c>
      <c r="AD159" s="207">
        <f>SUMIFS('январь 2023'!$G$4:$G$508,'январь 2023'!$D$4:$D$508,$B159,'январь 2023'!$J$4:$J$508,AD$1)</f>
        <v>0</v>
      </c>
      <c r="AE159" s="207">
        <f>SUMIFS('январь 2023'!$G$4:$G$508,'январь 2023'!$D$4:$D$508,$B159,'январь 2023'!$J$4:$J$508,AE$1)</f>
        <v>0</v>
      </c>
      <c r="AF159" s="207">
        <f>SUMIFS('январь 2023'!$G$4:$G$508,'январь 2023'!$D$4:$D$508,$B159,'январь 2023'!$J$4:$J$508,AF$1)</f>
        <v>0</v>
      </c>
      <c r="AG159" s="207">
        <f>SUMIFS('январь 2023'!$G$4:$G$508,'январь 2023'!$D$4:$D$508,$B159,'январь 2023'!$J$4:$J$508,AG$1)</f>
        <v>0</v>
      </c>
      <c r="AH159" s="207">
        <f>SUMIFS('январь 2023'!$G$4:$G$508,'январь 2023'!$D$4:$D$508,$B159,'январь 2023'!$J$4:$J$508,AH$1)</f>
        <v>0</v>
      </c>
      <c r="AI159" s="220">
        <f t="shared" si="4"/>
        <v>0</v>
      </c>
    </row>
    <row r="160" spans="2:35" ht="15.75" hidden="1" x14ac:dyDescent="0.25">
      <c r="B160" s="212"/>
      <c r="C160" s="211"/>
      <c r="D160" s="207">
        <f>SUMIFS('январь 2023'!$G$4:$G$508,'январь 2023'!$D$4:$D$508,$B160,'январь 2023'!$J$4:$J$508,D$1)</f>
        <v>0</v>
      </c>
      <c r="E160" s="207">
        <f>SUMIFS('январь 2023'!$G$4:$G$508,'январь 2023'!$D$4:$D$508,$B160,'январь 2023'!$J$4:$J$508,E$1)</f>
        <v>0</v>
      </c>
      <c r="F160" s="207">
        <f>SUMIFS('январь 2023'!$G$4:$G$508,'январь 2023'!$D$4:$D$508,$B160,'январь 2023'!$J$4:$J$508,F$1)</f>
        <v>0</v>
      </c>
      <c r="G160" s="207">
        <f>SUMIFS('январь 2023'!$G$4:$G$508,'январь 2023'!$D$4:$D$508,$B160,'январь 2023'!$J$4:$J$508,G$1)</f>
        <v>0</v>
      </c>
      <c r="H160" s="207">
        <f>SUMIFS('январь 2023'!$G$4:$G$508,'январь 2023'!$D$4:$D$508,$B160,'январь 2023'!$J$4:$J$508,H$1)</f>
        <v>0</v>
      </c>
      <c r="I160" s="207">
        <f>SUMIFS('январь 2023'!$G$4:$G$508,'январь 2023'!$D$4:$D$508,$B160,'январь 2023'!$J$4:$J$508,I$1)</f>
        <v>0</v>
      </c>
      <c r="J160" s="207">
        <f>SUMIFS('январь 2023'!$G$4:$G$508,'январь 2023'!$D$4:$D$508,$B160,'январь 2023'!$J$4:$J$508,J$1)</f>
        <v>0</v>
      </c>
      <c r="K160" s="207">
        <f>SUMIFS('январь 2023'!$G$4:$G$508,'январь 2023'!$D$4:$D$508,$B160,'январь 2023'!$J$4:$J$508,K$1)</f>
        <v>0</v>
      </c>
      <c r="L160" s="207">
        <f>SUMIFS('январь 2023'!$G$4:$G$508,'январь 2023'!$D$4:$D$508,$B160,'январь 2023'!$J$4:$J$508,L$1)</f>
        <v>0</v>
      </c>
      <c r="M160" s="207">
        <f>SUMIFS('январь 2023'!$G$4:$G$508,'январь 2023'!$D$4:$D$508,$B160,'январь 2023'!$J$4:$J$508,M$1)</f>
        <v>0</v>
      </c>
      <c r="N160" s="207">
        <f>SUMIFS('январь 2023'!$G$4:$G$508,'январь 2023'!$D$4:$D$508,$B160,'январь 2023'!$J$4:$J$508,N$1)</f>
        <v>0</v>
      </c>
      <c r="O160" s="207">
        <f>SUMIFS('январь 2023'!$G$4:$G$508,'январь 2023'!$D$4:$D$508,$B160,'январь 2023'!$J$4:$J$508,O$1)</f>
        <v>0</v>
      </c>
      <c r="P160" s="207">
        <f>SUMIFS('январь 2023'!$G$4:$G$508,'январь 2023'!$D$4:$D$508,$B160,'январь 2023'!$J$4:$J$508,P$1)</f>
        <v>0</v>
      </c>
      <c r="Q160" s="207">
        <f>SUMIFS('январь 2023'!$G$4:$G$508,'январь 2023'!$D$4:$D$508,$B160,'январь 2023'!$J$4:$J$508,Q$1)</f>
        <v>0</v>
      </c>
      <c r="R160" s="207">
        <f>SUMIFS('январь 2023'!$G$4:$G$508,'январь 2023'!$D$4:$D$508,$B160,'январь 2023'!$J$4:$J$508,R$1)</f>
        <v>0</v>
      </c>
      <c r="S160" s="207">
        <f>SUMIFS('январь 2023'!$G$4:$G$508,'январь 2023'!$D$4:$D$508,$B160,'январь 2023'!$J$4:$J$508,S$1)</f>
        <v>0</v>
      </c>
      <c r="T160" s="207">
        <f>SUMIFS('январь 2023'!$G$4:$G$508,'январь 2023'!$D$4:$D$508,$B160,'январь 2023'!$J$4:$J$508,T$1)</f>
        <v>0</v>
      </c>
      <c r="U160" s="207">
        <f>SUMIFS('январь 2023'!$G$4:$G$508,'январь 2023'!$D$4:$D$508,$B160,'январь 2023'!$J$4:$J$508,U$1)</f>
        <v>0</v>
      </c>
      <c r="V160" s="207">
        <f>SUMIFS('январь 2023'!$G$4:$G$508,'январь 2023'!$D$4:$D$508,$B160,'январь 2023'!$J$4:$J$508,V$1)</f>
        <v>0</v>
      </c>
      <c r="W160" s="207">
        <f>SUMIFS('январь 2023'!$G$4:$G$508,'январь 2023'!$D$4:$D$508,$B160,'январь 2023'!$J$4:$J$508,W$1)</f>
        <v>0</v>
      </c>
      <c r="X160" s="207">
        <f>SUMIFS('январь 2023'!$G$4:$G$508,'январь 2023'!$D$4:$D$508,$B160,'январь 2023'!$J$4:$J$508,X$1)</f>
        <v>0</v>
      </c>
      <c r="Y160" s="207">
        <f>SUMIFS('январь 2023'!$G$4:$G$508,'январь 2023'!$D$4:$D$508,$B160,'январь 2023'!$J$4:$J$508,Y$1)</f>
        <v>0</v>
      </c>
      <c r="Z160" s="207">
        <f>SUMIFS('январь 2023'!$G$4:$G$508,'январь 2023'!$D$4:$D$508,$B160,'январь 2023'!$J$4:$J$508,Z$1)</f>
        <v>0</v>
      </c>
      <c r="AA160" s="207">
        <f>SUMIFS('январь 2023'!$G$4:$G$508,'январь 2023'!$D$4:$D$508,$B160,'январь 2023'!$J$4:$J$508,AA$1)</f>
        <v>0</v>
      </c>
      <c r="AB160" s="207">
        <f>SUMIFS('январь 2023'!$G$4:$G$508,'январь 2023'!$D$4:$D$508,$B160,'январь 2023'!$J$4:$J$508,AB$1)</f>
        <v>0</v>
      </c>
      <c r="AC160" s="207">
        <f>SUMIFS('январь 2023'!$G$4:$G$508,'январь 2023'!$D$4:$D$508,$B160,'январь 2023'!$J$4:$J$508,AC$1)</f>
        <v>0</v>
      </c>
      <c r="AD160" s="207">
        <f>SUMIFS('январь 2023'!$G$4:$G$508,'январь 2023'!$D$4:$D$508,$B160,'январь 2023'!$J$4:$J$508,AD$1)</f>
        <v>0</v>
      </c>
      <c r="AE160" s="207">
        <f>SUMIFS('январь 2023'!$G$4:$G$508,'январь 2023'!$D$4:$D$508,$B160,'январь 2023'!$J$4:$J$508,AE$1)</f>
        <v>0</v>
      </c>
      <c r="AF160" s="207">
        <f>SUMIFS('январь 2023'!$G$4:$G$508,'январь 2023'!$D$4:$D$508,$B160,'январь 2023'!$J$4:$J$508,AF$1)</f>
        <v>0</v>
      </c>
      <c r="AG160" s="207">
        <f>SUMIFS('январь 2023'!$G$4:$G$508,'январь 2023'!$D$4:$D$508,$B160,'январь 2023'!$J$4:$J$508,AG$1)</f>
        <v>0</v>
      </c>
      <c r="AH160" s="207">
        <f>SUMIFS('январь 2023'!$G$4:$G$508,'январь 2023'!$D$4:$D$508,$B160,'январь 2023'!$J$4:$J$508,AH$1)</f>
        <v>0</v>
      </c>
      <c r="AI160" s="220">
        <f t="shared" si="4"/>
        <v>0</v>
      </c>
    </row>
    <row r="161" spans="2:35" ht="15.75" hidden="1" x14ac:dyDescent="0.25">
      <c r="B161" s="212"/>
      <c r="C161" s="211"/>
      <c r="D161" s="207">
        <f>SUMIFS('январь 2023'!$G$4:$G$508,'январь 2023'!$D$4:$D$508,$B161,'январь 2023'!$J$4:$J$508,D$1)</f>
        <v>0</v>
      </c>
      <c r="E161" s="207">
        <f>SUMIFS('январь 2023'!$G$4:$G$508,'январь 2023'!$D$4:$D$508,$B161,'январь 2023'!$J$4:$J$508,E$1)</f>
        <v>0</v>
      </c>
      <c r="F161" s="207">
        <f>SUMIFS('январь 2023'!$G$4:$G$508,'январь 2023'!$D$4:$D$508,$B161,'январь 2023'!$J$4:$J$508,F$1)</f>
        <v>0</v>
      </c>
      <c r="G161" s="207">
        <f>SUMIFS('январь 2023'!$G$4:$G$508,'январь 2023'!$D$4:$D$508,$B161,'январь 2023'!$J$4:$J$508,G$1)</f>
        <v>0</v>
      </c>
      <c r="H161" s="207">
        <f>SUMIFS('январь 2023'!$G$4:$G$508,'январь 2023'!$D$4:$D$508,$B161,'январь 2023'!$J$4:$J$508,H$1)</f>
        <v>0</v>
      </c>
      <c r="I161" s="207">
        <f>SUMIFS('январь 2023'!$G$4:$G$508,'январь 2023'!$D$4:$D$508,$B161,'январь 2023'!$J$4:$J$508,I$1)</f>
        <v>0</v>
      </c>
      <c r="J161" s="207">
        <f>SUMIFS('январь 2023'!$G$4:$G$508,'январь 2023'!$D$4:$D$508,$B161,'январь 2023'!$J$4:$J$508,J$1)</f>
        <v>0</v>
      </c>
      <c r="K161" s="207">
        <f>SUMIFS('январь 2023'!$G$4:$G$508,'январь 2023'!$D$4:$D$508,$B161,'январь 2023'!$J$4:$J$508,K$1)</f>
        <v>0</v>
      </c>
      <c r="L161" s="207">
        <f>SUMIFS('январь 2023'!$G$4:$G$508,'январь 2023'!$D$4:$D$508,$B161,'январь 2023'!$J$4:$J$508,L$1)</f>
        <v>0</v>
      </c>
      <c r="M161" s="207">
        <f>SUMIFS('январь 2023'!$G$4:$G$508,'январь 2023'!$D$4:$D$508,$B161,'январь 2023'!$J$4:$J$508,M$1)</f>
        <v>0</v>
      </c>
      <c r="N161" s="207">
        <f>SUMIFS('январь 2023'!$G$4:$G$508,'январь 2023'!$D$4:$D$508,$B161,'январь 2023'!$J$4:$J$508,N$1)</f>
        <v>0</v>
      </c>
      <c r="O161" s="207">
        <f>SUMIFS('январь 2023'!$G$4:$G$508,'январь 2023'!$D$4:$D$508,$B161,'январь 2023'!$J$4:$J$508,O$1)</f>
        <v>0</v>
      </c>
      <c r="P161" s="207">
        <f>SUMIFS('январь 2023'!$G$4:$G$508,'январь 2023'!$D$4:$D$508,$B161,'январь 2023'!$J$4:$J$508,P$1)</f>
        <v>0</v>
      </c>
      <c r="Q161" s="207">
        <f>SUMIFS('январь 2023'!$G$4:$G$508,'январь 2023'!$D$4:$D$508,$B161,'январь 2023'!$J$4:$J$508,Q$1)</f>
        <v>0</v>
      </c>
      <c r="R161" s="207">
        <f>SUMIFS('январь 2023'!$G$4:$G$508,'январь 2023'!$D$4:$D$508,$B161,'январь 2023'!$J$4:$J$508,R$1)</f>
        <v>0</v>
      </c>
      <c r="S161" s="207">
        <f>SUMIFS('январь 2023'!$G$4:$G$508,'январь 2023'!$D$4:$D$508,$B161,'январь 2023'!$J$4:$J$508,S$1)</f>
        <v>0</v>
      </c>
      <c r="T161" s="207">
        <f>SUMIFS('январь 2023'!$G$4:$G$508,'январь 2023'!$D$4:$D$508,$B161,'январь 2023'!$J$4:$J$508,T$1)</f>
        <v>0</v>
      </c>
      <c r="U161" s="207">
        <f>SUMIFS('январь 2023'!$G$4:$G$508,'январь 2023'!$D$4:$D$508,$B161,'январь 2023'!$J$4:$J$508,U$1)</f>
        <v>0</v>
      </c>
      <c r="V161" s="207">
        <f>SUMIFS('январь 2023'!$G$4:$G$508,'январь 2023'!$D$4:$D$508,$B161,'январь 2023'!$J$4:$J$508,V$1)</f>
        <v>0</v>
      </c>
      <c r="W161" s="207">
        <f>SUMIFS('январь 2023'!$G$4:$G$508,'январь 2023'!$D$4:$D$508,$B161,'январь 2023'!$J$4:$J$508,W$1)</f>
        <v>0</v>
      </c>
      <c r="X161" s="207">
        <f>SUMIFS('январь 2023'!$G$4:$G$508,'январь 2023'!$D$4:$D$508,$B161,'январь 2023'!$J$4:$J$508,X$1)</f>
        <v>0</v>
      </c>
      <c r="Y161" s="207">
        <f>SUMIFS('январь 2023'!$G$4:$G$508,'январь 2023'!$D$4:$D$508,$B161,'январь 2023'!$J$4:$J$508,Y$1)</f>
        <v>0</v>
      </c>
      <c r="Z161" s="207">
        <f>SUMIFS('январь 2023'!$G$4:$G$508,'январь 2023'!$D$4:$D$508,$B161,'январь 2023'!$J$4:$J$508,Z$1)</f>
        <v>0</v>
      </c>
      <c r="AA161" s="207">
        <f>SUMIFS('январь 2023'!$G$4:$G$508,'январь 2023'!$D$4:$D$508,$B161,'январь 2023'!$J$4:$J$508,AA$1)</f>
        <v>0</v>
      </c>
      <c r="AB161" s="207">
        <f>SUMIFS('январь 2023'!$G$4:$G$508,'январь 2023'!$D$4:$D$508,$B161,'январь 2023'!$J$4:$J$508,AB$1)</f>
        <v>0</v>
      </c>
      <c r="AC161" s="207">
        <f>SUMIFS('январь 2023'!$G$4:$G$508,'январь 2023'!$D$4:$D$508,$B161,'январь 2023'!$J$4:$J$508,AC$1)</f>
        <v>0</v>
      </c>
      <c r="AD161" s="207">
        <f>SUMIFS('январь 2023'!$G$4:$G$508,'январь 2023'!$D$4:$D$508,$B161,'январь 2023'!$J$4:$J$508,AD$1)</f>
        <v>0</v>
      </c>
      <c r="AE161" s="207">
        <f>SUMIFS('январь 2023'!$G$4:$G$508,'январь 2023'!$D$4:$D$508,$B161,'январь 2023'!$J$4:$J$508,AE$1)</f>
        <v>0</v>
      </c>
      <c r="AF161" s="207">
        <f>SUMIFS('январь 2023'!$G$4:$G$508,'январь 2023'!$D$4:$D$508,$B161,'январь 2023'!$J$4:$J$508,AF$1)</f>
        <v>0</v>
      </c>
      <c r="AG161" s="207">
        <f>SUMIFS('январь 2023'!$G$4:$G$508,'январь 2023'!$D$4:$D$508,$B161,'январь 2023'!$J$4:$J$508,AG$1)</f>
        <v>0</v>
      </c>
      <c r="AH161" s="207">
        <f>SUMIFS('январь 2023'!$G$4:$G$508,'январь 2023'!$D$4:$D$508,$B161,'январь 2023'!$J$4:$J$508,AH$1)</f>
        <v>0</v>
      </c>
      <c r="AI161" s="220">
        <f t="shared" si="4"/>
        <v>0</v>
      </c>
    </row>
    <row r="162" spans="2:35" ht="15.75" hidden="1" x14ac:dyDescent="0.25">
      <c r="B162" s="212"/>
      <c r="C162" s="211"/>
      <c r="D162" s="207">
        <f>SUMIFS('январь 2023'!$G$4:$G$508,'январь 2023'!$D$4:$D$508,$B162,'январь 2023'!$J$4:$J$508,D$1)</f>
        <v>0</v>
      </c>
      <c r="E162" s="207">
        <f>SUMIFS('январь 2023'!$G$4:$G$508,'январь 2023'!$D$4:$D$508,$B162,'январь 2023'!$J$4:$J$508,E$1)</f>
        <v>0</v>
      </c>
      <c r="F162" s="207">
        <f>SUMIFS('январь 2023'!$G$4:$G$508,'январь 2023'!$D$4:$D$508,$B162,'январь 2023'!$J$4:$J$508,F$1)</f>
        <v>0</v>
      </c>
      <c r="G162" s="207">
        <f>SUMIFS('январь 2023'!$G$4:$G$508,'январь 2023'!$D$4:$D$508,$B162,'январь 2023'!$J$4:$J$508,G$1)</f>
        <v>0</v>
      </c>
      <c r="H162" s="207">
        <f>SUMIFS('январь 2023'!$G$4:$G$508,'январь 2023'!$D$4:$D$508,$B162,'январь 2023'!$J$4:$J$508,H$1)</f>
        <v>0</v>
      </c>
      <c r="I162" s="207">
        <f>SUMIFS('январь 2023'!$G$4:$G$508,'январь 2023'!$D$4:$D$508,$B162,'январь 2023'!$J$4:$J$508,I$1)</f>
        <v>0</v>
      </c>
      <c r="J162" s="207">
        <f>SUMIFS('январь 2023'!$G$4:$G$508,'январь 2023'!$D$4:$D$508,$B162,'январь 2023'!$J$4:$J$508,J$1)</f>
        <v>0</v>
      </c>
      <c r="K162" s="207">
        <f>SUMIFS('январь 2023'!$G$4:$G$508,'январь 2023'!$D$4:$D$508,$B162,'январь 2023'!$J$4:$J$508,K$1)</f>
        <v>0</v>
      </c>
      <c r="L162" s="207">
        <f>SUMIFS('январь 2023'!$G$4:$G$508,'январь 2023'!$D$4:$D$508,$B162,'январь 2023'!$J$4:$J$508,L$1)</f>
        <v>0</v>
      </c>
      <c r="M162" s="207">
        <f>SUMIFS('январь 2023'!$G$4:$G$508,'январь 2023'!$D$4:$D$508,$B162,'январь 2023'!$J$4:$J$508,M$1)</f>
        <v>0</v>
      </c>
      <c r="N162" s="207">
        <f>SUMIFS('январь 2023'!$G$4:$G$508,'январь 2023'!$D$4:$D$508,$B162,'январь 2023'!$J$4:$J$508,N$1)</f>
        <v>0</v>
      </c>
      <c r="O162" s="207">
        <f>SUMIFS('январь 2023'!$G$4:$G$508,'январь 2023'!$D$4:$D$508,$B162,'январь 2023'!$J$4:$J$508,O$1)</f>
        <v>0</v>
      </c>
      <c r="P162" s="207">
        <f>SUMIFS('январь 2023'!$G$4:$G$508,'январь 2023'!$D$4:$D$508,$B162,'январь 2023'!$J$4:$J$508,P$1)</f>
        <v>0</v>
      </c>
      <c r="Q162" s="207">
        <f>SUMIFS('январь 2023'!$G$4:$G$508,'январь 2023'!$D$4:$D$508,$B162,'январь 2023'!$J$4:$J$508,Q$1)</f>
        <v>0</v>
      </c>
      <c r="R162" s="207">
        <f>SUMIFS('январь 2023'!$G$4:$G$508,'январь 2023'!$D$4:$D$508,$B162,'январь 2023'!$J$4:$J$508,R$1)</f>
        <v>0</v>
      </c>
      <c r="S162" s="207">
        <f>SUMIFS('январь 2023'!$G$4:$G$508,'январь 2023'!$D$4:$D$508,$B162,'январь 2023'!$J$4:$J$508,S$1)</f>
        <v>0</v>
      </c>
      <c r="T162" s="207">
        <f>SUMIFS('январь 2023'!$G$4:$G$508,'январь 2023'!$D$4:$D$508,$B162,'январь 2023'!$J$4:$J$508,T$1)</f>
        <v>0</v>
      </c>
      <c r="U162" s="207">
        <f>SUMIFS('январь 2023'!$G$4:$G$508,'январь 2023'!$D$4:$D$508,$B162,'январь 2023'!$J$4:$J$508,U$1)</f>
        <v>0</v>
      </c>
      <c r="V162" s="207">
        <f>SUMIFS('январь 2023'!$G$4:$G$508,'январь 2023'!$D$4:$D$508,$B162,'январь 2023'!$J$4:$J$508,V$1)</f>
        <v>0</v>
      </c>
      <c r="W162" s="207">
        <f>SUMIFS('январь 2023'!$G$4:$G$508,'январь 2023'!$D$4:$D$508,$B162,'январь 2023'!$J$4:$J$508,W$1)</f>
        <v>0</v>
      </c>
      <c r="X162" s="207">
        <f>SUMIFS('январь 2023'!$G$4:$G$508,'январь 2023'!$D$4:$D$508,$B162,'январь 2023'!$J$4:$J$508,X$1)</f>
        <v>0</v>
      </c>
      <c r="Y162" s="207">
        <f>SUMIFS('январь 2023'!$G$4:$G$508,'январь 2023'!$D$4:$D$508,$B162,'январь 2023'!$J$4:$J$508,Y$1)</f>
        <v>0</v>
      </c>
      <c r="Z162" s="207">
        <f>SUMIFS('январь 2023'!$G$4:$G$508,'январь 2023'!$D$4:$D$508,$B162,'январь 2023'!$J$4:$J$508,Z$1)</f>
        <v>0</v>
      </c>
      <c r="AA162" s="207">
        <f>SUMIFS('январь 2023'!$G$4:$G$508,'январь 2023'!$D$4:$D$508,$B162,'январь 2023'!$J$4:$J$508,AA$1)</f>
        <v>0</v>
      </c>
      <c r="AB162" s="207">
        <f>SUMIFS('январь 2023'!$G$4:$G$508,'январь 2023'!$D$4:$D$508,$B162,'январь 2023'!$J$4:$J$508,AB$1)</f>
        <v>0</v>
      </c>
      <c r="AC162" s="207">
        <f>SUMIFS('январь 2023'!$G$4:$G$508,'январь 2023'!$D$4:$D$508,$B162,'январь 2023'!$J$4:$J$508,AC$1)</f>
        <v>0</v>
      </c>
      <c r="AD162" s="207">
        <f>SUMIFS('январь 2023'!$G$4:$G$508,'январь 2023'!$D$4:$D$508,$B162,'январь 2023'!$J$4:$J$508,AD$1)</f>
        <v>0</v>
      </c>
      <c r="AE162" s="207">
        <f>SUMIFS('январь 2023'!$G$4:$G$508,'январь 2023'!$D$4:$D$508,$B162,'январь 2023'!$J$4:$J$508,AE$1)</f>
        <v>0</v>
      </c>
      <c r="AF162" s="207">
        <f>SUMIFS('январь 2023'!$G$4:$G$508,'январь 2023'!$D$4:$D$508,$B162,'январь 2023'!$J$4:$J$508,AF$1)</f>
        <v>0</v>
      </c>
      <c r="AG162" s="207">
        <f>SUMIFS('январь 2023'!$G$4:$G$508,'январь 2023'!$D$4:$D$508,$B162,'январь 2023'!$J$4:$J$508,AG$1)</f>
        <v>0</v>
      </c>
      <c r="AH162" s="207">
        <f>SUMIFS('январь 2023'!$G$4:$G$508,'январь 2023'!$D$4:$D$508,$B162,'январь 2023'!$J$4:$J$508,AH$1)</f>
        <v>0</v>
      </c>
      <c r="AI162" s="220">
        <f t="shared" si="4"/>
        <v>0</v>
      </c>
    </row>
    <row r="163" spans="2:35" ht="15.75" hidden="1" x14ac:dyDescent="0.25">
      <c r="B163" s="212"/>
      <c r="C163" s="211"/>
      <c r="D163" s="207">
        <f>SUMIFS('январь 2023'!$G$4:$G$508,'январь 2023'!$D$4:$D$508,$B163,'январь 2023'!$J$4:$J$508,D$1)</f>
        <v>0</v>
      </c>
      <c r="E163" s="207">
        <f>SUMIFS('январь 2023'!$G$4:$G$508,'январь 2023'!$D$4:$D$508,$B163,'январь 2023'!$J$4:$J$508,E$1)</f>
        <v>0</v>
      </c>
      <c r="F163" s="207">
        <f>SUMIFS('январь 2023'!$G$4:$G$508,'январь 2023'!$D$4:$D$508,$B163,'январь 2023'!$J$4:$J$508,F$1)</f>
        <v>0</v>
      </c>
      <c r="G163" s="207">
        <f>SUMIFS('январь 2023'!$G$4:$G$508,'январь 2023'!$D$4:$D$508,$B163,'январь 2023'!$J$4:$J$508,G$1)</f>
        <v>0</v>
      </c>
      <c r="H163" s="207">
        <f>SUMIFS('январь 2023'!$G$4:$G$508,'январь 2023'!$D$4:$D$508,$B163,'январь 2023'!$J$4:$J$508,H$1)</f>
        <v>0</v>
      </c>
      <c r="I163" s="207">
        <f>SUMIFS('январь 2023'!$G$4:$G$508,'январь 2023'!$D$4:$D$508,$B163,'январь 2023'!$J$4:$J$508,I$1)</f>
        <v>0</v>
      </c>
      <c r="J163" s="207">
        <f>SUMIFS('январь 2023'!$G$4:$G$508,'январь 2023'!$D$4:$D$508,$B163,'январь 2023'!$J$4:$J$508,J$1)</f>
        <v>0</v>
      </c>
      <c r="K163" s="207">
        <f>SUMIFS('январь 2023'!$G$4:$G$508,'январь 2023'!$D$4:$D$508,$B163,'январь 2023'!$J$4:$J$508,K$1)</f>
        <v>0</v>
      </c>
      <c r="L163" s="207">
        <f>SUMIFS('январь 2023'!$G$4:$G$508,'январь 2023'!$D$4:$D$508,$B163,'январь 2023'!$J$4:$J$508,L$1)</f>
        <v>0</v>
      </c>
      <c r="M163" s="207">
        <f>SUMIFS('январь 2023'!$G$4:$G$508,'январь 2023'!$D$4:$D$508,$B163,'январь 2023'!$J$4:$J$508,M$1)</f>
        <v>0</v>
      </c>
      <c r="N163" s="207">
        <f>SUMIFS('январь 2023'!$G$4:$G$508,'январь 2023'!$D$4:$D$508,$B163,'январь 2023'!$J$4:$J$508,N$1)</f>
        <v>0</v>
      </c>
      <c r="O163" s="207">
        <f>SUMIFS('январь 2023'!$G$4:$G$508,'январь 2023'!$D$4:$D$508,$B163,'январь 2023'!$J$4:$J$508,O$1)</f>
        <v>0</v>
      </c>
      <c r="P163" s="207">
        <f>SUMIFS('январь 2023'!$G$4:$G$508,'январь 2023'!$D$4:$D$508,$B163,'январь 2023'!$J$4:$J$508,P$1)</f>
        <v>0</v>
      </c>
      <c r="Q163" s="207">
        <f>SUMIFS('январь 2023'!$G$4:$G$508,'январь 2023'!$D$4:$D$508,$B163,'январь 2023'!$J$4:$J$508,Q$1)</f>
        <v>0</v>
      </c>
      <c r="R163" s="207">
        <f>SUMIFS('январь 2023'!$G$4:$G$508,'январь 2023'!$D$4:$D$508,$B163,'январь 2023'!$J$4:$J$508,R$1)</f>
        <v>0</v>
      </c>
      <c r="S163" s="207">
        <f>SUMIFS('январь 2023'!$G$4:$G$508,'январь 2023'!$D$4:$D$508,$B163,'январь 2023'!$J$4:$J$508,S$1)</f>
        <v>0</v>
      </c>
      <c r="T163" s="207">
        <f>SUMIFS('январь 2023'!$G$4:$G$508,'январь 2023'!$D$4:$D$508,$B163,'январь 2023'!$J$4:$J$508,T$1)</f>
        <v>0</v>
      </c>
      <c r="U163" s="207">
        <f>SUMIFS('январь 2023'!$G$4:$G$508,'январь 2023'!$D$4:$D$508,$B163,'январь 2023'!$J$4:$J$508,U$1)</f>
        <v>0</v>
      </c>
      <c r="V163" s="207">
        <f>SUMIFS('январь 2023'!$G$4:$G$508,'январь 2023'!$D$4:$D$508,$B163,'январь 2023'!$J$4:$J$508,V$1)</f>
        <v>0</v>
      </c>
      <c r="W163" s="207">
        <f>SUMIFS('январь 2023'!$G$4:$G$508,'январь 2023'!$D$4:$D$508,$B163,'январь 2023'!$J$4:$J$508,W$1)</f>
        <v>0</v>
      </c>
      <c r="X163" s="207">
        <f>SUMIFS('январь 2023'!$G$4:$G$508,'январь 2023'!$D$4:$D$508,$B163,'январь 2023'!$J$4:$J$508,X$1)</f>
        <v>0</v>
      </c>
      <c r="Y163" s="207">
        <f>SUMIFS('январь 2023'!$G$4:$G$508,'январь 2023'!$D$4:$D$508,$B163,'январь 2023'!$J$4:$J$508,Y$1)</f>
        <v>0</v>
      </c>
      <c r="Z163" s="207">
        <f>SUMIFS('январь 2023'!$G$4:$G$508,'январь 2023'!$D$4:$D$508,$B163,'январь 2023'!$J$4:$J$508,Z$1)</f>
        <v>0</v>
      </c>
      <c r="AA163" s="207">
        <f>SUMIFS('январь 2023'!$G$4:$G$508,'январь 2023'!$D$4:$D$508,$B163,'январь 2023'!$J$4:$J$508,AA$1)</f>
        <v>0</v>
      </c>
      <c r="AB163" s="207">
        <f>SUMIFS('январь 2023'!$G$4:$G$508,'январь 2023'!$D$4:$D$508,$B163,'январь 2023'!$J$4:$J$508,AB$1)</f>
        <v>0</v>
      </c>
      <c r="AC163" s="207">
        <f>SUMIFS('январь 2023'!$G$4:$G$508,'январь 2023'!$D$4:$D$508,$B163,'январь 2023'!$J$4:$J$508,AC$1)</f>
        <v>0</v>
      </c>
      <c r="AD163" s="207">
        <f>SUMIFS('январь 2023'!$G$4:$G$508,'январь 2023'!$D$4:$D$508,$B163,'январь 2023'!$J$4:$J$508,AD$1)</f>
        <v>0</v>
      </c>
      <c r="AE163" s="207">
        <f>SUMIFS('январь 2023'!$G$4:$G$508,'январь 2023'!$D$4:$D$508,$B163,'январь 2023'!$J$4:$J$508,AE$1)</f>
        <v>0</v>
      </c>
      <c r="AF163" s="207">
        <f>SUMIFS('январь 2023'!$G$4:$G$508,'январь 2023'!$D$4:$D$508,$B163,'январь 2023'!$J$4:$J$508,AF$1)</f>
        <v>0</v>
      </c>
      <c r="AG163" s="207">
        <f>SUMIFS('январь 2023'!$G$4:$G$508,'январь 2023'!$D$4:$D$508,$B163,'январь 2023'!$J$4:$J$508,AG$1)</f>
        <v>0</v>
      </c>
      <c r="AH163" s="207">
        <f>SUMIFS('январь 2023'!$G$4:$G$508,'январь 2023'!$D$4:$D$508,$B163,'январь 2023'!$J$4:$J$508,AH$1)</f>
        <v>0</v>
      </c>
      <c r="AI163" s="220">
        <f t="shared" si="4"/>
        <v>0</v>
      </c>
    </row>
    <row r="164" spans="2:35" ht="15.75" hidden="1" x14ac:dyDescent="0.25">
      <c r="B164" s="212"/>
      <c r="C164" s="211"/>
      <c r="D164" s="207">
        <f>SUMIFS('январь 2023'!$G$4:$G$508,'январь 2023'!$D$4:$D$508,$B164,'январь 2023'!$J$4:$J$508,D$1)</f>
        <v>0</v>
      </c>
      <c r="E164" s="207">
        <f>SUMIFS('январь 2023'!$G$4:$G$508,'январь 2023'!$D$4:$D$508,$B164,'январь 2023'!$J$4:$J$508,E$1)</f>
        <v>0</v>
      </c>
      <c r="F164" s="207">
        <f>SUMIFS('январь 2023'!$G$4:$G$508,'январь 2023'!$D$4:$D$508,$B164,'январь 2023'!$J$4:$J$508,F$1)</f>
        <v>0</v>
      </c>
      <c r="G164" s="207">
        <f>SUMIFS('январь 2023'!$G$4:$G$508,'январь 2023'!$D$4:$D$508,$B164,'январь 2023'!$J$4:$J$508,G$1)</f>
        <v>0</v>
      </c>
      <c r="H164" s="207">
        <f>SUMIFS('январь 2023'!$G$4:$G$508,'январь 2023'!$D$4:$D$508,$B164,'январь 2023'!$J$4:$J$508,H$1)</f>
        <v>0</v>
      </c>
      <c r="I164" s="207">
        <f>SUMIFS('январь 2023'!$G$4:$G$508,'январь 2023'!$D$4:$D$508,$B164,'январь 2023'!$J$4:$J$508,I$1)</f>
        <v>0</v>
      </c>
      <c r="J164" s="207">
        <f>SUMIFS('январь 2023'!$G$4:$G$508,'январь 2023'!$D$4:$D$508,$B164,'январь 2023'!$J$4:$J$508,J$1)</f>
        <v>0</v>
      </c>
      <c r="K164" s="207">
        <f>SUMIFS('январь 2023'!$G$4:$G$508,'январь 2023'!$D$4:$D$508,$B164,'январь 2023'!$J$4:$J$508,K$1)</f>
        <v>0</v>
      </c>
      <c r="L164" s="207">
        <f>SUMIFS('январь 2023'!$G$4:$G$508,'январь 2023'!$D$4:$D$508,$B164,'январь 2023'!$J$4:$J$508,L$1)</f>
        <v>0</v>
      </c>
      <c r="M164" s="207">
        <f>SUMIFS('январь 2023'!$G$4:$G$508,'январь 2023'!$D$4:$D$508,$B164,'январь 2023'!$J$4:$J$508,M$1)</f>
        <v>0</v>
      </c>
      <c r="N164" s="207">
        <f>SUMIFS('январь 2023'!$G$4:$G$508,'январь 2023'!$D$4:$D$508,$B164,'январь 2023'!$J$4:$J$508,N$1)</f>
        <v>0</v>
      </c>
      <c r="O164" s="207">
        <f>SUMIFS('январь 2023'!$G$4:$G$508,'январь 2023'!$D$4:$D$508,$B164,'январь 2023'!$J$4:$J$508,O$1)</f>
        <v>0</v>
      </c>
      <c r="P164" s="207">
        <f>SUMIFS('январь 2023'!$G$4:$G$508,'январь 2023'!$D$4:$D$508,$B164,'январь 2023'!$J$4:$J$508,P$1)</f>
        <v>0</v>
      </c>
      <c r="Q164" s="207">
        <f>SUMIFS('январь 2023'!$G$4:$G$508,'январь 2023'!$D$4:$D$508,$B164,'январь 2023'!$J$4:$J$508,Q$1)</f>
        <v>0</v>
      </c>
      <c r="R164" s="207">
        <f>SUMIFS('январь 2023'!$G$4:$G$508,'январь 2023'!$D$4:$D$508,$B164,'январь 2023'!$J$4:$J$508,R$1)</f>
        <v>0</v>
      </c>
      <c r="S164" s="207">
        <f>SUMIFS('январь 2023'!$G$4:$G$508,'январь 2023'!$D$4:$D$508,$B164,'январь 2023'!$J$4:$J$508,S$1)</f>
        <v>0</v>
      </c>
      <c r="T164" s="207">
        <f>SUMIFS('январь 2023'!$G$4:$G$508,'январь 2023'!$D$4:$D$508,$B164,'январь 2023'!$J$4:$J$508,T$1)</f>
        <v>0</v>
      </c>
      <c r="U164" s="207">
        <f>SUMIFS('январь 2023'!$G$4:$G$508,'январь 2023'!$D$4:$D$508,$B164,'январь 2023'!$J$4:$J$508,U$1)</f>
        <v>0</v>
      </c>
      <c r="V164" s="207">
        <f>SUMIFS('январь 2023'!$G$4:$G$508,'январь 2023'!$D$4:$D$508,$B164,'январь 2023'!$J$4:$J$508,V$1)</f>
        <v>0</v>
      </c>
      <c r="W164" s="207">
        <f>SUMIFS('январь 2023'!$G$4:$G$508,'январь 2023'!$D$4:$D$508,$B164,'январь 2023'!$J$4:$J$508,W$1)</f>
        <v>0</v>
      </c>
      <c r="X164" s="207">
        <f>SUMIFS('январь 2023'!$G$4:$G$508,'январь 2023'!$D$4:$D$508,$B164,'январь 2023'!$J$4:$J$508,X$1)</f>
        <v>0</v>
      </c>
      <c r="Y164" s="207">
        <f>SUMIFS('январь 2023'!$G$4:$G$508,'январь 2023'!$D$4:$D$508,$B164,'январь 2023'!$J$4:$J$508,Y$1)</f>
        <v>0</v>
      </c>
      <c r="Z164" s="207">
        <f>SUMIFS('январь 2023'!$G$4:$G$508,'январь 2023'!$D$4:$D$508,$B164,'январь 2023'!$J$4:$J$508,Z$1)</f>
        <v>0</v>
      </c>
      <c r="AA164" s="207">
        <f>SUMIFS('январь 2023'!$G$4:$G$508,'январь 2023'!$D$4:$D$508,$B164,'январь 2023'!$J$4:$J$508,AA$1)</f>
        <v>0</v>
      </c>
      <c r="AB164" s="207">
        <f>SUMIFS('январь 2023'!$G$4:$G$508,'январь 2023'!$D$4:$D$508,$B164,'январь 2023'!$J$4:$J$508,AB$1)</f>
        <v>0</v>
      </c>
      <c r="AC164" s="207">
        <f>SUMIFS('январь 2023'!$G$4:$G$508,'январь 2023'!$D$4:$D$508,$B164,'январь 2023'!$J$4:$J$508,AC$1)</f>
        <v>0</v>
      </c>
      <c r="AD164" s="207">
        <f>SUMIFS('январь 2023'!$G$4:$G$508,'январь 2023'!$D$4:$D$508,$B164,'январь 2023'!$J$4:$J$508,AD$1)</f>
        <v>0</v>
      </c>
      <c r="AE164" s="207">
        <f>SUMIFS('январь 2023'!$G$4:$G$508,'январь 2023'!$D$4:$D$508,$B164,'январь 2023'!$J$4:$J$508,AE$1)</f>
        <v>0</v>
      </c>
      <c r="AF164" s="207">
        <f>SUMIFS('январь 2023'!$G$4:$G$508,'январь 2023'!$D$4:$D$508,$B164,'январь 2023'!$J$4:$J$508,AF$1)</f>
        <v>0</v>
      </c>
      <c r="AG164" s="207">
        <f>SUMIFS('январь 2023'!$G$4:$G$508,'январь 2023'!$D$4:$D$508,$B164,'январь 2023'!$J$4:$J$508,AG$1)</f>
        <v>0</v>
      </c>
      <c r="AH164" s="207">
        <f>SUMIFS('январь 2023'!$G$4:$G$508,'январь 2023'!$D$4:$D$508,$B164,'январь 2023'!$J$4:$J$508,AH$1)</f>
        <v>0</v>
      </c>
      <c r="AI164" s="220">
        <f t="shared" si="4"/>
        <v>0</v>
      </c>
    </row>
    <row r="165" spans="2:35" ht="15.75" hidden="1" x14ac:dyDescent="0.25">
      <c r="B165" s="212"/>
      <c r="C165" s="211"/>
      <c r="D165" s="207">
        <f>SUMIFS('январь 2023'!$G$4:$G$508,'январь 2023'!$D$4:$D$508,$B165,'январь 2023'!$J$4:$J$508,D$1)</f>
        <v>0</v>
      </c>
      <c r="E165" s="207">
        <f>SUMIFS('январь 2023'!$G$4:$G$508,'январь 2023'!$D$4:$D$508,$B165,'январь 2023'!$J$4:$J$508,E$1)</f>
        <v>0</v>
      </c>
      <c r="F165" s="207">
        <f>SUMIFS('январь 2023'!$G$4:$G$508,'январь 2023'!$D$4:$D$508,$B165,'январь 2023'!$J$4:$J$508,F$1)</f>
        <v>0</v>
      </c>
      <c r="G165" s="207">
        <f>SUMIFS('январь 2023'!$G$4:$G$508,'январь 2023'!$D$4:$D$508,$B165,'январь 2023'!$J$4:$J$508,G$1)</f>
        <v>0</v>
      </c>
      <c r="H165" s="207">
        <f>SUMIFS('январь 2023'!$G$4:$G$508,'январь 2023'!$D$4:$D$508,$B165,'январь 2023'!$J$4:$J$508,H$1)</f>
        <v>0</v>
      </c>
      <c r="I165" s="207">
        <f>SUMIFS('январь 2023'!$G$4:$G$508,'январь 2023'!$D$4:$D$508,$B165,'январь 2023'!$J$4:$J$508,I$1)</f>
        <v>0</v>
      </c>
      <c r="J165" s="207">
        <f>SUMIFS('январь 2023'!$G$4:$G$508,'январь 2023'!$D$4:$D$508,$B165,'январь 2023'!$J$4:$J$508,J$1)</f>
        <v>0</v>
      </c>
      <c r="K165" s="207">
        <f>SUMIFS('январь 2023'!$G$4:$G$508,'январь 2023'!$D$4:$D$508,$B165,'январь 2023'!$J$4:$J$508,K$1)</f>
        <v>0</v>
      </c>
      <c r="L165" s="207">
        <f>SUMIFS('январь 2023'!$G$4:$G$508,'январь 2023'!$D$4:$D$508,$B165,'январь 2023'!$J$4:$J$508,L$1)</f>
        <v>0</v>
      </c>
      <c r="M165" s="207">
        <f>SUMIFS('январь 2023'!$G$4:$G$508,'январь 2023'!$D$4:$D$508,$B165,'январь 2023'!$J$4:$J$508,M$1)</f>
        <v>0</v>
      </c>
      <c r="N165" s="207">
        <f>SUMIFS('январь 2023'!$G$4:$G$508,'январь 2023'!$D$4:$D$508,$B165,'январь 2023'!$J$4:$J$508,N$1)</f>
        <v>0</v>
      </c>
      <c r="O165" s="207">
        <f>SUMIFS('январь 2023'!$G$4:$G$508,'январь 2023'!$D$4:$D$508,$B165,'январь 2023'!$J$4:$J$508,O$1)</f>
        <v>0</v>
      </c>
      <c r="P165" s="207">
        <f>SUMIFS('январь 2023'!$G$4:$G$508,'январь 2023'!$D$4:$D$508,$B165,'январь 2023'!$J$4:$J$508,P$1)</f>
        <v>0</v>
      </c>
      <c r="Q165" s="207">
        <f>SUMIFS('январь 2023'!$G$4:$G$508,'январь 2023'!$D$4:$D$508,$B165,'январь 2023'!$J$4:$J$508,Q$1)</f>
        <v>0</v>
      </c>
      <c r="R165" s="207">
        <f>SUMIFS('январь 2023'!$G$4:$G$508,'январь 2023'!$D$4:$D$508,$B165,'январь 2023'!$J$4:$J$508,R$1)</f>
        <v>0</v>
      </c>
      <c r="S165" s="207">
        <f>SUMIFS('январь 2023'!$G$4:$G$508,'январь 2023'!$D$4:$D$508,$B165,'январь 2023'!$J$4:$J$508,S$1)</f>
        <v>0</v>
      </c>
      <c r="T165" s="207">
        <f>SUMIFS('январь 2023'!$G$4:$G$508,'январь 2023'!$D$4:$D$508,$B165,'январь 2023'!$J$4:$J$508,T$1)</f>
        <v>0</v>
      </c>
      <c r="U165" s="207">
        <f>SUMIFS('январь 2023'!$G$4:$G$508,'январь 2023'!$D$4:$D$508,$B165,'январь 2023'!$J$4:$J$508,U$1)</f>
        <v>0</v>
      </c>
      <c r="V165" s="207">
        <f>SUMIFS('январь 2023'!$G$4:$G$508,'январь 2023'!$D$4:$D$508,$B165,'январь 2023'!$J$4:$J$508,V$1)</f>
        <v>0</v>
      </c>
      <c r="W165" s="207">
        <f>SUMIFS('январь 2023'!$G$4:$G$508,'январь 2023'!$D$4:$D$508,$B165,'январь 2023'!$J$4:$J$508,W$1)</f>
        <v>0</v>
      </c>
      <c r="X165" s="207">
        <f>SUMIFS('январь 2023'!$G$4:$G$508,'январь 2023'!$D$4:$D$508,$B165,'январь 2023'!$J$4:$J$508,X$1)</f>
        <v>0</v>
      </c>
      <c r="Y165" s="207">
        <f>SUMIFS('январь 2023'!$G$4:$G$508,'январь 2023'!$D$4:$D$508,$B165,'январь 2023'!$J$4:$J$508,Y$1)</f>
        <v>0</v>
      </c>
      <c r="Z165" s="207">
        <f>SUMIFS('январь 2023'!$G$4:$G$508,'январь 2023'!$D$4:$D$508,$B165,'январь 2023'!$J$4:$J$508,Z$1)</f>
        <v>0</v>
      </c>
      <c r="AA165" s="207">
        <f>SUMIFS('январь 2023'!$G$4:$G$508,'январь 2023'!$D$4:$D$508,$B165,'январь 2023'!$J$4:$J$508,AA$1)</f>
        <v>0</v>
      </c>
      <c r="AB165" s="207">
        <f>SUMIFS('январь 2023'!$G$4:$G$508,'январь 2023'!$D$4:$D$508,$B165,'январь 2023'!$J$4:$J$508,AB$1)</f>
        <v>0</v>
      </c>
      <c r="AC165" s="207">
        <f>SUMIFS('январь 2023'!$G$4:$G$508,'январь 2023'!$D$4:$D$508,$B165,'январь 2023'!$J$4:$J$508,AC$1)</f>
        <v>0</v>
      </c>
      <c r="AD165" s="207">
        <f>SUMIFS('январь 2023'!$G$4:$G$508,'январь 2023'!$D$4:$D$508,$B165,'январь 2023'!$J$4:$J$508,AD$1)</f>
        <v>0</v>
      </c>
      <c r="AE165" s="207">
        <f>SUMIFS('январь 2023'!$G$4:$G$508,'январь 2023'!$D$4:$D$508,$B165,'январь 2023'!$J$4:$J$508,AE$1)</f>
        <v>0</v>
      </c>
      <c r="AF165" s="207">
        <f>SUMIFS('январь 2023'!$G$4:$G$508,'январь 2023'!$D$4:$D$508,$B165,'январь 2023'!$J$4:$J$508,AF$1)</f>
        <v>0</v>
      </c>
      <c r="AG165" s="207">
        <f>SUMIFS('январь 2023'!$G$4:$G$508,'январь 2023'!$D$4:$D$508,$B165,'январь 2023'!$J$4:$J$508,AG$1)</f>
        <v>0</v>
      </c>
      <c r="AH165" s="207">
        <f>SUMIFS('январь 2023'!$G$4:$G$508,'январь 2023'!$D$4:$D$508,$B165,'январь 2023'!$J$4:$J$508,AH$1)</f>
        <v>0</v>
      </c>
      <c r="AI165" s="220">
        <f t="shared" si="4"/>
        <v>0</v>
      </c>
    </row>
    <row r="166" spans="2:35" ht="15.75" hidden="1" x14ac:dyDescent="0.25">
      <c r="B166" s="212"/>
      <c r="C166" s="211"/>
      <c r="D166" s="207">
        <f>SUMIFS('январь 2023'!$G$4:$G$508,'январь 2023'!$D$4:$D$508,$B166,'январь 2023'!$J$4:$J$508,D$1)</f>
        <v>0</v>
      </c>
      <c r="E166" s="207">
        <f>SUMIFS('январь 2023'!$G$4:$G$508,'январь 2023'!$D$4:$D$508,$B166,'январь 2023'!$J$4:$J$508,E$1)</f>
        <v>0</v>
      </c>
      <c r="F166" s="207">
        <f>SUMIFS('январь 2023'!$G$4:$G$508,'январь 2023'!$D$4:$D$508,$B166,'январь 2023'!$J$4:$J$508,F$1)</f>
        <v>0</v>
      </c>
      <c r="G166" s="207">
        <f>SUMIFS('январь 2023'!$G$4:$G$508,'январь 2023'!$D$4:$D$508,$B166,'январь 2023'!$J$4:$J$508,G$1)</f>
        <v>0</v>
      </c>
      <c r="H166" s="207">
        <f>SUMIFS('январь 2023'!$G$4:$G$508,'январь 2023'!$D$4:$D$508,$B166,'январь 2023'!$J$4:$J$508,H$1)</f>
        <v>0</v>
      </c>
      <c r="I166" s="207">
        <f>SUMIFS('январь 2023'!$G$4:$G$508,'январь 2023'!$D$4:$D$508,$B166,'январь 2023'!$J$4:$J$508,I$1)</f>
        <v>0</v>
      </c>
      <c r="J166" s="207">
        <f>SUMIFS('январь 2023'!$G$4:$G$508,'январь 2023'!$D$4:$D$508,$B166,'январь 2023'!$J$4:$J$508,J$1)</f>
        <v>0</v>
      </c>
      <c r="K166" s="207">
        <f>SUMIFS('январь 2023'!$G$4:$G$508,'январь 2023'!$D$4:$D$508,$B166,'январь 2023'!$J$4:$J$508,K$1)</f>
        <v>0</v>
      </c>
      <c r="L166" s="207">
        <f>SUMIFS('январь 2023'!$G$4:$G$508,'январь 2023'!$D$4:$D$508,$B166,'январь 2023'!$J$4:$J$508,L$1)</f>
        <v>0</v>
      </c>
      <c r="M166" s="207">
        <f>SUMIFS('январь 2023'!$G$4:$G$508,'январь 2023'!$D$4:$D$508,$B166,'январь 2023'!$J$4:$J$508,M$1)</f>
        <v>0</v>
      </c>
      <c r="N166" s="207">
        <f>SUMIFS('январь 2023'!$G$4:$G$508,'январь 2023'!$D$4:$D$508,$B166,'январь 2023'!$J$4:$J$508,N$1)</f>
        <v>0</v>
      </c>
      <c r="O166" s="207">
        <f>SUMIFS('январь 2023'!$G$4:$G$508,'январь 2023'!$D$4:$D$508,$B166,'январь 2023'!$J$4:$J$508,O$1)</f>
        <v>0</v>
      </c>
      <c r="P166" s="207">
        <f>SUMIFS('январь 2023'!$G$4:$G$508,'январь 2023'!$D$4:$D$508,$B166,'январь 2023'!$J$4:$J$508,P$1)</f>
        <v>0</v>
      </c>
      <c r="Q166" s="207">
        <f>SUMIFS('январь 2023'!$G$4:$G$508,'январь 2023'!$D$4:$D$508,$B166,'январь 2023'!$J$4:$J$508,Q$1)</f>
        <v>0</v>
      </c>
      <c r="R166" s="207">
        <f>SUMIFS('январь 2023'!$G$4:$G$508,'январь 2023'!$D$4:$D$508,$B166,'январь 2023'!$J$4:$J$508,R$1)</f>
        <v>0</v>
      </c>
      <c r="S166" s="207">
        <f>SUMIFS('январь 2023'!$G$4:$G$508,'январь 2023'!$D$4:$D$508,$B166,'январь 2023'!$J$4:$J$508,S$1)</f>
        <v>0</v>
      </c>
      <c r="T166" s="207">
        <f>SUMIFS('январь 2023'!$G$4:$G$508,'январь 2023'!$D$4:$D$508,$B166,'январь 2023'!$J$4:$J$508,T$1)</f>
        <v>0</v>
      </c>
      <c r="U166" s="207">
        <f>SUMIFS('январь 2023'!$G$4:$G$508,'январь 2023'!$D$4:$D$508,$B166,'январь 2023'!$J$4:$J$508,U$1)</f>
        <v>0</v>
      </c>
      <c r="V166" s="207">
        <f>SUMIFS('январь 2023'!$G$4:$G$508,'январь 2023'!$D$4:$D$508,$B166,'январь 2023'!$J$4:$J$508,V$1)</f>
        <v>0</v>
      </c>
      <c r="W166" s="207">
        <f>SUMIFS('январь 2023'!$G$4:$G$508,'январь 2023'!$D$4:$D$508,$B166,'январь 2023'!$J$4:$J$508,W$1)</f>
        <v>0</v>
      </c>
      <c r="X166" s="207">
        <f>SUMIFS('январь 2023'!$G$4:$G$508,'январь 2023'!$D$4:$D$508,$B166,'январь 2023'!$J$4:$J$508,X$1)</f>
        <v>0</v>
      </c>
      <c r="Y166" s="207">
        <f>SUMIFS('январь 2023'!$G$4:$G$508,'январь 2023'!$D$4:$D$508,$B166,'январь 2023'!$J$4:$J$508,Y$1)</f>
        <v>0</v>
      </c>
      <c r="Z166" s="207">
        <f>SUMIFS('январь 2023'!$G$4:$G$508,'январь 2023'!$D$4:$D$508,$B166,'январь 2023'!$J$4:$J$508,Z$1)</f>
        <v>0</v>
      </c>
      <c r="AA166" s="207">
        <f>SUMIFS('январь 2023'!$G$4:$G$508,'январь 2023'!$D$4:$D$508,$B166,'январь 2023'!$J$4:$J$508,AA$1)</f>
        <v>0</v>
      </c>
      <c r="AB166" s="207">
        <f>SUMIFS('январь 2023'!$G$4:$G$508,'январь 2023'!$D$4:$D$508,$B166,'январь 2023'!$J$4:$J$508,AB$1)</f>
        <v>0</v>
      </c>
      <c r="AC166" s="207">
        <f>SUMIFS('январь 2023'!$G$4:$G$508,'январь 2023'!$D$4:$D$508,$B166,'январь 2023'!$J$4:$J$508,AC$1)</f>
        <v>0</v>
      </c>
      <c r="AD166" s="207">
        <f>SUMIFS('январь 2023'!$G$4:$G$508,'январь 2023'!$D$4:$D$508,$B166,'январь 2023'!$J$4:$J$508,AD$1)</f>
        <v>0</v>
      </c>
      <c r="AE166" s="207">
        <f>SUMIFS('январь 2023'!$G$4:$G$508,'январь 2023'!$D$4:$D$508,$B166,'январь 2023'!$J$4:$J$508,AE$1)</f>
        <v>0</v>
      </c>
      <c r="AF166" s="207">
        <f>SUMIFS('январь 2023'!$G$4:$G$508,'январь 2023'!$D$4:$D$508,$B166,'январь 2023'!$J$4:$J$508,AF$1)</f>
        <v>0</v>
      </c>
      <c r="AG166" s="207">
        <f>SUMIFS('январь 2023'!$G$4:$G$508,'январь 2023'!$D$4:$D$508,$B166,'январь 2023'!$J$4:$J$508,AG$1)</f>
        <v>0</v>
      </c>
      <c r="AH166" s="207">
        <f>SUMIFS('январь 2023'!$G$4:$G$508,'январь 2023'!$D$4:$D$508,$B166,'январь 2023'!$J$4:$J$508,AH$1)</f>
        <v>0</v>
      </c>
      <c r="AI166" s="220">
        <f t="shared" si="4"/>
        <v>0</v>
      </c>
    </row>
    <row r="167" spans="2:35" ht="15.75" hidden="1" x14ac:dyDescent="0.25">
      <c r="B167" s="212"/>
      <c r="C167" s="211"/>
      <c r="D167" s="207">
        <f>SUMIFS('январь 2023'!$G$4:$G$508,'январь 2023'!$D$4:$D$508,$B167,'январь 2023'!$J$4:$J$508,D$1)</f>
        <v>0</v>
      </c>
      <c r="E167" s="207">
        <f>SUMIFS('январь 2023'!$G$4:$G$508,'январь 2023'!$D$4:$D$508,$B167,'январь 2023'!$J$4:$J$508,E$1)</f>
        <v>0</v>
      </c>
      <c r="F167" s="207">
        <f>SUMIFS('январь 2023'!$G$4:$G$508,'январь 2023'!$D$4:$D$508,$B167,'январь 2023'!$J$4:$J$508,F$1)</f>
        <v>0</v>
      </c>
      <c r="G167" s="207">
        <f>SUMIFS('январь 2023'!$G$4:$G$508,'январь 2023'!$D$4:$D$508,$B167,'январь 2023'!$J$4:$J$508,G$1)</f>
        <v>0</v>
      </c>
      <c r="H167" s="207">
        <f>SUMIFS('январь 2023'!$G$4:$G$508,'январь 2023'!$D$4:$D$508,$B167,'январь 2023'!$J$4:$J$508,H$1)</f>
        <v>0</v>
      </c>
      <c r="I167" s="207">
        <f>SUMIFS('январь 2023'!$G$4:$G$508,'январь 2023'!$D$4:$D$508,$B167,'январь 2023'!$J$4:$J$508,I$1)</f>
        <v>0</v>
      </c>
      <c r="J167" s="207">
        <f>SUMIFS('январь 2023'!$G$4:$G$508,'январь 2023'!$D$4:$D$508,$B167,'январь 2023'!$J$4:$J$508,J$1)</f>
        <v>0</v>
      </c>
      <c r="K167" s="207">
        <f>SUMIFS('январь 2023'!$G$4:$G$508,'январь 2023'!$D$4:$D$508,$B167,'январь 2023'!$J$4:$J$508,K$1)</f>
        <v>0</v>
      </c>
      <c r="L167" s="207">
        <f>SUMIFS('январь 2023'!$G$4:$G$508,'январь 2023'!$D$4:$D$508,$B167,'январь 2023'!$J$4:$J$508,L$1)</f>
        <v>0</v>
      </c>
      <c r="M167" s="207">
        <f>SUMIFS('январь 2023'!$G$4:$G$508,'январь 2023'!$D$4:$D$508,$B167,'январь 2023'!$J$4:$J$508,M$1)</f>
        <v>0</v>
      </c>
      <c r="N167" s="207">
        <f>SUMIFS('январь 2023'!$G$4:$G$508,'январь 2023'!$D$4:$D$508,$B167,'январь 2023'!$J$4:$J$508,N$1)</f>
        <v>0</v>
      </c>
      <c r="O167" s="207">
        <f>SUMIFS('январь 2023'!$G$4:$G$508,'январь 2023'!$D$4:$D$508,$B167,'январь 2023'!$J$4:$J$508,O$1)</f>
        <v>0</v>
      </c>
      <c r="P167" s="207">
        <f>SUMIFS('январь 2023'!$G$4:$G$508,'январь 2023'!$D$4:$D$508,$B167,'январь 2023'!$J$4:$J$508,P$1)</f>
        <v>0</v>
      </c>
      <c r="Q167" s="207">
        <f>SUMIFS('январь 2023'!$G$4:$G$508,'январь 2023'!$D$4:$D$508,$B167,'январь 2023'!$J$4:$J$508,Q$1)</f>
        <v>0</v>
      </c>
      <c r="R167" s="207">
        <f>SUMIFS('январь 2023'!$G$4:$G$508,'январь 2023'!$D$4:$D$508,$B167,'январь 2023'!$J$4:$J$508,R$1)</f>
        <v>0</v>
      </c>
      <c r="S167" s="207">
        <f>SUMIFS('январь 2023'!$G$4:$G$508,'январь 2023'!$D$4:$D$508,$B167,'январь 2023'!$J$4:$J$508,S$1)</f>
        <v>0</v>
      </c>
      <c r="T167" s="207">
        <f>SUMIFS('январь 2023'!$G$4:$G$508,'январь 2023'!$D$4:$D$508,$B167,'январь 2023'!$J$4:$J$508,T$1)</f>
        <v>0</v>
      </c>
      <c r="U167" s="207">
        <f>SUMIFS('январь 2023'!$G$4:$G$508,'январь 2023'!$D$4:$D$508,$B167,'январь 2023'!$J$4:$J$508,U$1)</f>
        <v>0</v>
      </c>
      <c r="V167" s="207">
        <f>SUMIFS('январь 2023'!$G$4:$G$508,'январь 2023'!$D$4:$D$508,$B167,'январь 2023'!$J$4:$J$508,V$1)</f>
        <v>0</v>
      </c>
      <c r="W167" s="207">
        <f>SUMIFS('январь 2023'!$G$4:$G$508,'январь 2023'!$D$4:$D$508,$B167,'январь 2023'!$J$4:$J$508,W$1)</f>
        <v>0</v>
      </c>
      <c r="X167" s="207">
        <f>SUMIFS('январь 2023'!$G$4:$G$508,'январь 2023'!$D$4:$D$508,$B167,'январь 2023'!$J$4:$J$508,X$1)</f>
        <v>0</v>
      </c>
      <c r="Y167" s="207">
        <f>SUMIFS('январь 2023'!$G$4:$G$508,'январь 2023'!$D$4:$D$508,$B167,'январь 2023'!$J$4:$J$508,Y$1)</f>
        <v>0</v>
      </c>
      <c r="Z167" s="207">
        <f>SUMIFS('январь 2023'!$G$4:$G$508,'январь 2023'!$D$4:$D$508,$B167,'январь 2023'!$J$4:$J$508,Z$1)</f>
        <v>0</v>
      </c>
      <c r="AA167" s="207">
        <f>SUMIFS('январь 2023'!$G$4:$G$508,'январь 2023'!$D$4:$D$508,$B167,'январь 2023'!$J$4:$J$508,AA$1)</f>
        <v>0</v>
      </c>
      <c r="AB167" s="207">
        <f>SUMIFS('январь 2023'!$G$4:$G$508,'январь 2023'!$D$4:$D$508,$B167,'январь 2023'!$J$4:$J$508,AB$1)</f>
        <v>0</v>
      </c>
      <c r="AC167" s="207">
        <f>SUMIFS('январь 2023'!$G$4:$G$508,'январь 2023'!$D$4:$D$508,$B167,'январь 2023'!$J$4:$J$508,AC$1)</f>
        <v>0</v>
      </c>
      <c r="AD167" s="207">
        <f>SUMIFS('январь 2023'!$G$4:$G$508,'январь 2023'!$D$4:$D$508,$B167,'январь 2023'!$J$4:$J$508,AD$1)</f>
        <v>0</v>
      </c>
      <c r="AE167" s="207">
        <f>SUMIFS('январь 2023'!$G$4:$G$508,'январь 2023'!$D$4:$D$508,$B167,'январь 2023'!$J$4:$J$508,AE$1)</f>
        <v>0</v>
      </c>
      <c r="AF167" s="207">
        <f>SUMIFS('январь 2023'!$G$4:$G$508,'январь 2023'!$D$4:$D$508,$B167,'январь 2023'!$J$4:$J$508,AF$1)</f>
        <v>0</v>
      </c>
      <c r="AG167" s="207">
        <f>SUMIFS('январь 2023'!$G$4:$G$508,'январь 2023'!$D$4:$D$508,$B167,'январь 2023'!$J$4:$J$508,AG$1)</f>
        <v>0</v>
      </c>
      <c r="AH167" s="207">
        <f>SUMIFS('январь 2023'!$G$4:$G$508,'январь 2023'!$D$4:$D$508,$B167,'январь 2023'!$J$4:$J$508,AH$1)</f>
        <v>0</v>
      </c>
      <c r="AI167" s="220">
        <f t="shared" si="4"/>
        <v>0</v>
      </c>
    </row>
    <row r="168" spans="2:35" ht="15.75" hidden="1" x14ac:dyDescent="0.25">
      <c r="B168" s="212"/>
      <c r="C168" s="211"/>
      <c r="D168" s="207">
        <f>SUMIFS('январь 2023'!$G$4:$G$508,'январь 2023'!$D$4:$D$508,$B168,'январь 2023'!$J$4:$J$508,D$1)</f>
        <v>0</v>
      </c>
      <c r="E168" s="207">
        <f>SUMIFS('январь 2023'!$G$4:$G$508,'январь 2023'!$D$4:$D$508,$B168,'январь 2023'!$J$4:$J$508,E$1)</f>
        <v>0</v>
      </c>
      <c r="F168" s="207">
        <f>SUMIFS('январь 2023'!$G$4:$G$508,'январь 2023'!$D$4:$D$508,$B168,'январь 2023'!$J$4:$J$508,F$1)</f>
        <v>0</v>
      </c>
      <c r="G168" s="207">
        <f>SUMIFS('январь 2023'!$G$4:$G$508,'январь 2023'!$D$4:$D$508,$B168,'январь 2023'!$J$4:$J$508,G$1)</f>
        <v>0</v>
      </c>
      <c r="H168" s="207">
        <f>SUMIFS('январь 2023'!$G$4:$G$508,'январь 2023'!$D$4:$D$508,$B168,'январь 2023'!$J$4:$J$508,H$1)</f>
        <v>0</v>
      </c>
      <c r="I168" s="207">
        <f>SUMIFS('январь 2023'!$G$4:$G$508,'январь 2023'!$D$4:$D$508,$B168,'январь 2023'!$J$4:$J$508,I$1)</f>
        <v>0</v>
      </c>
      <c r="J168" s="207">
        <f>SUMIFS('январь 2023'!$G$4:$G$508,'январь 2023'!$D$4:$D$508,$B168,'январь 2023'!$J$4:$J$508,J$1)</f>
        <v>0</v>
      </c>
      <c r="K168" s="207">
        <f>SUMIFS('январь 2023'!$G$4:$G$508,'январь 2023'!$D$4:$D$508,$B168,'январь 2023'!$J$4:$J$508,K$1)</f>
        <v>0</v>
      </c>
      <c r="L168" s="207">
        <f>SUMIFS('январь 2023'!$G$4:$G$508,'январь 2023'!$D$4:$D$508,$B168,'январь 2023'!$J$4:$J$508,L$1)</f>
        <v>0</v>
      </c>
      <c r="M168" s="207">
        <f>SUMIFS('январь 2023'!$G$4:$G$508,'январь 2023'!$D$4:$D$508,$B168,'январь 2023'!$J$4:$J$508,M$1)</f>
        <v>0</v>
      </c>
      <c r="N168" s="207">
        <f>SUMIFS('январь 2023'!$G$4:$G$508,'январь 2023'!$D$4:$D$508,$B168,'январь 2023'!$J$4:$J$508,N$1)</f>
        <v>0</v>
      </c>
      <c r="O168" s="207">
        <f>SUMIFS('январь 2023'!$G$4:$G$508,'январь 2023'!$D$4:$D$508,$B168,'январь 2023'!$J$4:$J$508,O$1)</f>
        <v>0</v>
      </c>
      <c r="P168" s="207">
        <f>SUMIFS('январь 2023'!$G$4:$G$508,'январь 2023'!$D$4:$D$508,$B168,'январь 2023'!$J$4:$J$508,P$1)</f>
        <v>0</v>
      </c>
      <c r="Q168" s="207">
        <f>SUMIFS('январь 2023'!$G$4:$G$508,'январь 2023'!$D$4:$D$508,$B168,'январь 2023'!$J$4:$J$508,Q$1)</f>
        <v>0</v>
      </c>
      <c r="R168" s="207">
        <f>SUMIFS('январь 2023'!$G$4:$G$508,'январь 2023'!$D$4:$D$508,$B168,'январь 2023'!$J$4:$J$508,R$1)</f>
        <v>0</v>
      </c>
      <c r="S168" s="207">
        <f>SUMIFS('январь 2023'!$G$4:$G$508,'январь 2023'!$D$4:$D$508,$B168,'январь 2023'!$J$4:$J$508,S$1)</f>
        <v>0</v>
      </c>
      <c r="T168" s="207">
        <f>SUMIFS('январь 2023'!$G$4:$G$508,'январь 2023'!$D$4:$D$508,$B168,'январь 2023'!$J$4:$J$508,T$1)</f>
        <v>0</v>
      </c>
      <c r="U168" s="207">
        <f>SUMIFS('январь 2023'!$G$4:$G$508,'январь 2023'!$D$4:$D$508,$B168,'январь 2023'!$J$4:$J$508,U$1)</f>
        <v>0</v>
      </c>
      <c r="V168" s="207">
        <f>SUMIFS('январь 2023'!$G$4:$G$508,'январь 2023'!$D$4:$D$508,$B168,'январь 2023'!$J$4:$J$508,V$1)</f>
        <v>0</v>
      </c>
      <c r="W168" s="207">
        <f>SUMIFS('январь 2023'!$G$4:$G$508,'январь 2023'!$D$4:$D$508,$B168,'январь 2023'!$J$4:$J$508,W$1)</f>
        <v>0</v>
      </c>
      <c r="X168" s="207">
        <f>SUMIFS('январь 2023'!$G$4:$G$508,'январь 2023'!$D$4:$D$508,$B168,'январь 2023'!$J$4:$J$508,X$1)</f>
        <v>0</v>
      </c>
      <c r="Y168" s="207">
        <f>SUMIFS('январь 2023'!$G$4:$G$508,'январь 2023'!$D$4:$D$508,$B168,'январь 2023'!$J$4:$J$508,Y$1)</f>
        <v>0</v>
      </c>
      <c r="Z168" s="207">
        <f>SUMIFS('январь 2023'!$G$4:$G$508,'январь 2023'!$D$4:$D$508,$B168,'январь 2023'!$J$4:$J$508,Z$1)</f>
        <v>0</v>
      </c>
      <c r="AA168" s="207">
        <f>SUMIFS('январь 2023'!$G$4:$G$508,'январь 2023'!$D$4:$D$508,$B168,'январь 2023'!$J$4:$J$508,AA$1)</f>
        <v>0</v>
      </c>
      <c r="AB168" s="207">
        <f>SUMIFS('январь 2023'!$G$4:$G$508,'январь 2023'!$D$4:$D$508,$B168,'январь 2023'!$J$4:$J$508,AB$1)</f>
        <v>0</v>
      </c>
      <c r="AC168" s="207">
        <f>SUMIFS('январь 2023'!$G$4:$G$508,'январь 2023'!$D$4:$D$508,$B168,'январь 2023'!$J$4:$J$508,AC$1)</f>
        <v>0</v>
      </c>
      <c r="AD168" s="207">
        <f>SUMIFS('январь 2023'!$G$4:$G$508,'январь 2023'!$D$4:$D$508,$B168,'январь 2023'!$J$4:$J$508,AD$1)</f>
        <v>0</v>
      </c>
      <c r="AE168" s="207">
        <f>SUMIFS('январь 2023'!$G$4:$G$508,'январь 2023'!$D$4:$D$508,$B168,'январь 2023'!$J$4:$J$508,AE$1)</f>
        <v>0</v>
      </c>
      <c r="AF168" s="207">
        <f>SUMIFS('январь 2023'!$G$4:$G$508,'январь 2023'!$D$4:$D$508,$B168,'январь 2023'!$J$4:$J$508,AF$1)</f>
        <v>0</v>
      </c>
      <c r="AG168" s="207">
        <f>SUMIFS('январь 2023'!$G$4:$G$508,'январь 2023'!$D$4:$D$508,$B168,'январь 2023'!$J$4:$J$508,AG$1)</f>
        <v>0</v>
      </c>
      <c r="AH168" s="207">
        <f>SUMIFS('январь 2023'!$G$4:$G$508,'январь 2023'!$D$4:$D$508,$B168,'январь 2023'!$J$4:$J$508,AH$1)</f>
        <v>0</v>
      </c>
      <c r="AI168" s="220">
        <f t="shared" si="4"/>
        <v>0</v>
      </c>
    </row>
    <row r="169" spans="2:35" ht="15.75" hidden="1" x14ac:dyDescent="0.25">
      <c r="B169" s="212"/>
      <c r="C169" s="211"/>
      <c r="D169" s="207">
        <f>SUMIFS('январь 2023'!$G$4:$G$508,'январь 2023'!$D$4:$D$508,$B169,'январь 2023'!$J$4:$J$508,D$1)</f>
        <v>0</v>
      </c>
      <c r="E169" s="207">
        <f>SUMIFS('январь 2023'!$G$4:$G$508,'январь 2023'!$D$4:$D$508,$B169,'январь 2023'!$J$4:$J$508,E$1)</f>
        <v>0</v>
      </c>
      <c r="F169" s="207">
        <f>SUMIFS('январь 2023'!$G$4:$G$508,'январь 2023'!$D$4:$D$508,$B169,'январь 2023'!$J$4:$J$508,F$1)</f>
        <v>0</v>
      </c>
      <c r="G169" s="207">
        <f>SUMIFS('январь 2023'!$G$4:$G$508,'январь 2023'!$D$4:$D$508,$B169,'январь 2023'!$J$4:$J$508,G$1)</f>
        <v>0</v>
      </c>
      <c r="H169" s="207">
        <f>SUMIFS('январь 2023'!$G$4:$G$508,'январь 2023'!$D$4:$D$508,$B169,'январь 2023'!$J$4:$J$508,H$1)</f>
        <v>0</v>
      </c>
      <c r="I169" s="207">
        <f>SUMIFS('январь 2023'!$G$4:$G$508,'январь 2023'!$D$4:$D$508,$B169,'январь 2023'!$J$4:$J$508,I$1)</f>
        <v>0</v>
      </c>
      <c r="J169" s="207">
        <f>SUMIFS('январь 2023'!$G$4:$G$508,'январь 2023'!$D$4:$D$508,$B169,'январь 2023'!$J$4:$J$508,J$1)</f>
        <v>0</v>
      </c>
      <c r="K169" s="207">
        <f>SUMIFS('январь 2023'!$G$4:$G$508,'январь 2023'!$D$4:$D$508,$B169,'январь 2023'!$J$4:$J$508,K$1)</f>
        <v>0</v>
      </c>
      <c r="L169" s="207">
        <f>SUMIFS('январь 2023'!$G$4:$G$508,'январь 2023'!$D$4:$D$508,$B169,'январь 2023'!$J$4:$J$508,L$1)</f>
        <v>0</v>
      </c>
      <c r="M169" s="207">
        <f>SUMIFS('январь 2023'!$G$4:$G$508,'январь 2023'!$D$4:$D$508,$B169,'январь 2023'!$J$4:$J$508,M$1)</f>
        <v>0</v>
      </c>
      <c r="N169" s="207">
        <f>SUMIFS('январь 2023'!$G$4:$G$508,'январь 2023'!$D$4:$D$508,$B169,'январь 2023'!$J$4:$J$508,N$1)</f>
        <v>0</v>
      </c>
      <c r="O169" s="207">
        <f>SUMIFS('январь 2023'!$G$4:$G$508,'январь 2023'!$D$4:$D$508,$B169,'январь 2023'!$J$4:$J$508,O$1)</f>
        <v>0</v>
      </c>
      <c r="P169" s="207">
        <f>SUMIFS('январь 2023'!$G$4:$G$508,'январь 2023'!$D$4:$D$508,$B169,'январь 2023'!$J$4:$J$508,P$1)</f>
        <v>0</v>
      </c>
      <c r="Q169" s="207">
        <f>SUMIFS('январь 2023'!$G$4:$G$508,'январь 2023'!$D$4:$D$508,$B169,'январь 2023'!$J$4:$J$508,Q$1)</f>
        <v>0</v>
      </c>
      <c r="R169" s="207">
        <f>SUMIFS('январь 2023'!$G$4:$G$508,'январь 2023'!$D$4:$D$508,$B169,'январь 2023'!$J$4:$J$508,R$1)</f>
        <v>0</v>
      </c>
      <c r="S169" s="207">
        <f>SUMIFS('январь 2023'!$G$4:$G$508,'январь 2023'!$D$4:$D$508,$B169,'январь 2023'!$J$4:$J$508,S$1)</f>
        <v>0</v>
      </c>
      <c r="T169" s="207">
        <f>SUMIFS('январь 2023'!$G$4:$G$508,'январь 2023'!$D$4:$D$508,$B169,'январь 2023'!$J$4:$J$508,T$1)</f>
        <v>0</v>
      </c>
      <c r="U169" s="207">
        <f>SUMIFS('январь 2023'!$G$4:$G$508,'январь 2023'!$D$4:$D$508,$B169,'январь 2023'!$J$4:$J$508,U$1)</f>
        <v>0</v>
      </c>
      <c r="V169" s="207">
        <f>SUMIFS('январь 2023'!$G$4:$G$508,'январь 2023'!$D$4:$D$508,$B169,'январь 2023'!$J$4:$J$508,V$1)</f>
        <v>0</v>
      </c>
      <c r="W169" s="207">
        <f>SUMIFS('январь 2023'!$G$4:$G$508,'январь 2023'!$D$4:$D$508,$B169,'январь 2023'!$J$4:$J$508,W$1)</f>
        <v>0</v>
      </c>
      <c r="X169" s="207">
        <f>SUMIFS('январь 2023'!$G$4:$G$508,'январь 2023'!$D$4:$D$508,$B169,'январь 2023'!$J$4:$J$508,X$1)</f>
        <v>0</v>
      </c>
      <c r="Y169" s="207">
        <f>SUMIFS('январь 2023'!$G$4:$G$508,'январь 2023'!$D$4:$D$508,$B169,'январь 2023'!$J$4:$J$508,Y$1)</f>
        <v>0</v>
      </c>
      <c r="Z169" s="207">
        <f>SUMIFS('январь 2023'!$G$4:$G$508,'январь 2023'!$D$4:$D$508,$B169,'январь 2023'!$J$4:$J$508,Z$1)</f>
        <v>0</v>
      </c>
      <c r="AA169" s="207">
        <f>SUMIFS('январь 2023'!$G$4:$G$508,'январь 2023'!$D$4:$D$508,$B169,'январь 2023'!$J$4:$J$508,AA$1)</f>
        <v>0</v>
      </c>
      <c r="AB169" s="207">
        <f>SUMIFS('январь 2023'!$G$4:$G$508,'январь 2023'!$D$4:$D$508,$B169,'январь 2023'!$J$4:$J$508,AB$1)</f>
        <v>0</v>
      </c>
      <c r="AC169" s="207">
        <f>SUMIFS('январь 2023'!$G$4:$G$508,'январь 2023'!$D$4:$D$508,$B169,'январь 2023'!$J$4:$J$508,AC$1)</f>
        <v>0</v>
      </c>
      <c r="AD169" s="207">
        <f>SUMIFS('январь 2023'!$G$4:$G$508,'январь 2023'!$D$4:$D$508,$B169,'январь 2023'!$J$4:$J$508,AD$1)</f>
        <v>0</v>
      </c>
      <c r="AE169" s="207">
        <f>SUMIFS('январь 2023'!$G$4:$G$508,'январь 2023'!$D$4:$D$508,$B169,'январь 2023'!$J$4:$J$508,AE$1)</f>
        <v>0</v>
      </c>
      <c r="AF169" s="207">
        <f>SUMIFS('январь 2023'!$G$4:$G$508,'январь 2023'!$D$4:$D$508,$B169,'январь 2023'!$J$4:$J$508,AF$1)</f>
        <v>0</v>
      </c>
      <c r="AG169" s="207">
        <f>SUMIFS('январь 2023'!$G$4:$G$508,'январь 2023'!$D$4:$D$508,$B169,'январь 2023'!$J$4:$J$508,AG$1)</f>
        <v>0</v>
      </c>
      <c r="AH169" s="207">
        <f>SUMIFS('январь 2023'!$G$4:$G$508,'январь 2023'!$D$4:$D$508,$B169,'январь 2023'!$J$4:$J$508,AH$1)</f>
        <v>0</v>
      </c>
      <c r="AI169" s="220">
        <f t="shared" si="4"/>
        <v>0</v>
      </c>
    </row>
    <row r="170" spans="2:35" ht="15.75" hidden="1" x14ac:dyDescent="0.25">
      <c r="B170" s="212"/>
      <c r="C170" s="211"/>
      <c r="D170" s="207">
        <f>SUMIFS('январь 2023'!$G$4:$G$508,'январь 2023'!$D$4:$D$508,$B170,'январь 2023'!$J$4:$J$508,D$1)</f>
        <v>0</v>
      </c>
      <c r="E170" s="207">
        <f>SUMIFS('январь 2023'!$G$4:$G$508,'январь 2023'!$D$4:$D$508,$B170,'январь 2023'!$J$4:$J$508,E$1)</f>
        <v>0</v>
      </c>
      <c r="F170" s="207">
        <f>SUMIFS('январь 2023'!$G$4:$G$508,'январь 2023'!$D$4:$D$508,$B170,'январь 2023'!$J$4:$J$508,F$1)</f>
        <v>0</v>
      </c>
      <c r="G170" s="207">
        <f>SUMIFS('январь 2023'!$G$4:$G$508,'январь 2023'!$D$4:$D$508,$B170,'январь 2023'!$J$4:$J$508,G$1)</f>
        <v>0</v>
      </c>
      <c r="H170" s="207">
        <f>SUMIFS('январь 2023'!$G$4:$G$508,'январь 2023'!$D$4:$D$508,$B170,'январь 2023'!$J$4:$J$508,H$1)</f>
        <v>0</v>
      </c>
      <c r="I170" s="207">
        <f>SUMIFS('январь 2023'!$G$4:$G$508,'январь 2023'!$D$4:$D$508,$B170,'январь 2023'!$J$4:$J$508,I$1)</f>
        <v>0</v>
      </c>
      <c r="J170" s="207">
        <f>SUMIFS('январь 2023'!$G$4:$G$508,'январь 2023'!$D$4:$D$508,$B170,'январь 2023'!$J$4:$J$508,J$1)</f>
        <v>0</v>
      </c>
      <c r="K170" s="207">
        <f>SUMIFS('январь 2023'!$G$4:$G$508,'январь 2023'!$D$4:$D$508,$B170,'январь 2023'!$J$4:$J$508,K$1)</f>
        <v>0</v>
      </c>
      <c r="L170" s="207">
        <f>SUMIFS('январь 2023'!$G$4:$G$508,'январь 2023'!$D$4:$D$508,$B170,'январь 2023'!$J$4:$J$508,L$1)</f>
        <v>0</v>
      </c>
      <c r="M170" s="207">
        <f>SUMIFS('январь 2023'!$G$4:$G$508,'январь 2023'!$D$4:$D$508,$B170,'январь 2023'!$J$4:$J$508,M$1)</f>
        <v>0</v>
      </c>
      <c r="N170" s="207">
        <f>SUMIFS('январь 2023'!$G$4:$G$508,'январь 2023'!$D$4:$D$508,$B170,'январь 2023'!$J$4:$J$508,N$1)</f>
        <v>0</v>
      </c>
      <c r="O170" s="207">
        <f>SUMIFS('январь 2023'!$G$4:$G$508,'январь 2023'!$D$4:$D$508,$B170,'январь 2023'!$J$4:$J$508,O$1)</f>
        <v>0</v>
      </c>
      <c r="P170" s="207">
        <f>SUMIFS('январь 2023'!$G$4:$G$508,'январь 2023'!$D$4:$D$508,$B170,'январь 2023'!$J$4:$J$508,P$1)</f>
        <v>0</v>
      </c>
      <c r="Q170" s="207">
        <f>SUMIFS('январь 2023'!$G$4:$G$508,'январь 2023'!$D$4:$D$508,$B170,'январь 2023'!$J$4:$J$508,Q$1)</f>
        <v>0</v>
      </c>
      <c r="R170" s="207">
        <f>SUMIFS('январь 2023'!$G$4:$G$508,'январь 2023'!$D$4:$D$508,$B170,'январь 2023'!$J$4:$J$508,R$1)</f>
        <v>0</v>
      </c>
      <c r="S170" s="207">
        <f>SUMIFS('январь 2023'!$G$4:$G$508,'январь 2023'!$D$4:$D$508,$B170,'январь 2023'!$J$4:$J$508,S$1)</f>
        <v>0</v>
      </c>
      <c r="T170" s="207">
        <f>SUMIFS('январь 2023'!$G$4:$G$508,'январь 2023'!$D$4:$D$508,$B170,'январь 2023'!$J$4:$J$508,T$1)</f>
        <v>0</v>
      </c>
      <c r="U170" s="207">
        <f>SUMIFS('январь 2023'!$G$4:$G$508,'январь 2023'!$D$4:$D$508,$B170,'январь 2023'!$J$4:$J$508,U$1)</f>
        <v>0</v>
      </c>
      <c r="V170" s="207">
        <f>SUMIFS('январь 2023'!$G$4:$G$508,'январь 2023'!$D$4:$D$508,$B170,'январь 2023'!$J$4:$J$508,V$1)</f>
        <v>0</v>
      </c>
      <c r="W170" s="207">
        <f>SUMIFS('январь 2023'!$G$4:$G$508,'январь 2023'!$D$4:$D$508,$B170,'январь 2023'!$J$4:$J$508,W$1)</f>
        <v>0</v>
      </c>
      <c r="X170" s="207">
        <f>SUMIFS('январь 2023'!$G$4:$G$508,'январь 2023'!$D$4:$D$508,$B170,'январь 2023'!$J$4:$J$508,X$1)</f>
        <v>0</v>
      </c>
      <c r="Y170" s="207">
        <f>SUMIFS('январь 2023'!$G$4:$G$508,'январь 2023'!$D$4:$D$508,$B170,'январь 2023'!$J$4:$J$508,Y$1)</f>
        <v>0</v>
      </c>
      <c r="Z170" s="207">
        <f>SUMIFS('январь 2023'!$G$4:$G$508,'январь 2023'!$D$4:$D$508,$B170,'январь 2023'!$J$4:$J$508,Z$1)</f>
        <v>0</v>
      </c>
      <c r="AA170" s="207">
        <f>SUMIFS('январь 2023'!$G$4:$G$508,'январь 2023'!$D$4:$D$508,$B170,'январь 2023'!$J$4:$J$508,AA$1)</f>
        <v>0</v>
      </c>
      <c r="AB170" s="207">
        <f>SUMIFS('январь 2023'!$G$4:$G$508,'январь 2023'!$D$4:$D$508,$B170,'январь 2023'!$J$4:$J$508,AB$1)</f>
        <v>0</v>
      </c>
      <c r="AC170" s="207">
        <f>SUMIFS('январь 2023'!$G$4:$G$508,'январь 2023'!$D$4:$D$508,$B170,'январь 2023'!$J$4:$J$508,AC$1)</f>
        <v>0</v>
      </c>
      <c r="AD170" s="207">
        <f>SUMIFS('январь 2023'!$G$4:$G$508,'январь 2023'!$D$4:$D$508,$B170,'январь 2023'!$J$4:$J$508,AD$1)</f>
        <v>0</v>
      </c>
      <c r="AE170" s="207">
        <f>SUMIFS('январь 2023'!$G$4:$G$508,'январь 2023'!$D$4:$D$508,$B170,'январь 2023'!$J$4:$J$508,AE$1)</f>
        <v>0</v>
      </c>
      <c r="AF170" s="207">
        <f>SUMIFS('январь 2023'!$G$4:$G$508,'январь 2023'!$D$4:$D$508,$B170,'январь 2023'!$J$4:$J$508,AF$1)</f>
        <v>0</v>
      </c>
      <c r="AG170" s="207">
        <f>SUMIFS('январь 2023'!$G$4:$G$508,'январь 2023'!$D$4:$D$508,$B170,'январь 2023'!$J$4:$J$508,AG$1)</f>
        <v>0</v>
      </c>
      <c r="AH170" s="207">
        <f>SUMIFS('январь 2023'!$G$4:$G$508,'январь 2023'!$D$4:$D$508,$B170,'январь 2023'!$J$4:$J$508,AH$1)</f>
        <v>0</v>
      </c>
      <c r="AI170" s="220">
        <f t="shared" si="4"/>
        <v>0</v>
      </c>
    </row>
    <row r="171" spans="2:35" ht="15.75" hidden="1" x14ac:dyDescent="0.25">
      <c r="B171" s="212"/>
      <c r="C171" s="211"/>
      <c r="D171" s="207">
        <f>SUMIFS('январь 2023'!$G$4:$G$508,'январь 2023'!$D$4:$D$508,$B171,'январь 2023'!$J$4:$J$508,D$1)</f>
        <v>0</v>
      </c>
      <c r="E171" s="207">
        <f>SUMIFS('январь 2023'!$G$4:$G$508,'январь 2023'!$D$4:$D$508,$B171,'январь 2023'!$J$4:$J$508,E$1)</f>
        <v>0</v>
      </c>
      <c r="F171" s="207">
        <f>SUMIFS('январь 2023'!$G$4:$G$508,'январь 2023'!$D$4:$D$508,$B171,'январь 2023'!$J$4:$J$508,F$1)</f>
        <v>0</v>
      </c>
      <c r="G171" s="207">
        <f>SUMIFS('январь 2023'!$G$4:$G$508,'январь 2023'!$D$4:$D$508,$B171,'январь 2023'!$J$4:$J$508,G$1)</f>
        <v>0</v>
      </c>
      <c r="H171" s="207">
        <f>SUMIFS('январь 2023'!$G$4:$G$508,'январь 2023'!$D$4:$D$508,$B171,'январь 2023'!$J$4:$J$508,H$1)</f>
        <v>0</v>
      </c>
      <c r="I171" s="207">
        <f>SUMIFS('январь 2023'!$G$4:$G$508,'январь 2023'!$D$4:$D$508,$B171,'январь 2023'!$J$4:$J$508,I$1)</f>
        <v>0</v>
      </c>
      <c r="J171" s="207">
        <f>SUMIFS('январь 2023'!$G$4:$G$508,'январь 2023'!$D$4:$D$508,$B171,'январь 2023'!$J$4:$J$508,J$1)</f>
        <v>0</v>
      </c>
      <c r="K171" s="207">
        <f>SUMIFS('январь 2023'!$G$4:$G$508,'январь 2023'!$D$4:$D$508,$B171,'январь 2023'!$J$4:$J$508,K$1)</f>
        <v>0</v>
      </c>
      <c r="L171" s="207">
        <f>SUMIFS('январь 2023'!$G$4:$G$508,'январь 2023'!$D$4:$D$508,$B171,'январь 2023'!$J$4:$J$508,L$1)</f>
        <v>0</v>
      </c>
      <c r="M171" s="207">
        <f>SUMIFS('январь 2023'!$G$4:$G$508,'январь 2023'!$D$4:$D$508,$B171,'январь 2023'!$J$4:$J$508,M$1)</f>
        <v>0</v>
      </c>
      <c r="N171" s="207">
        <f>SUMIFS('январь 2023'!$G$4:$G$508,'январь 2023'!$D$4:$D$508,$B171,'январь 2023'!$J$4:$J$508,N$1)</f>
        <v>0</v>
      </c>
      <c r="O171" s="207">
        <f>SUMIFS('январь 2023'!$G$4:$G$508,'январь 2023'!$D$4:$D$508,$B171,'январь 2023'!$J$4:$J$508,O$1)</f>
        <v>0</v>
      </c>
      <c r="P171" s="207">
        <f>SUMIFS('январь 2023'!$G$4:$G$508,'январь 2023'!$D$4:$D$508,$B171,'январь 2023'!$J$4:$J$508,P$1)</f>
        <v>0</v>
      </c>
      <c r="Q171" s="207">
        <f>SUMIFS('январь 2023'!$G$4:$G$508,'январь 2023'!$D$4:$D$508,$B171,'январь 2023'!$J$4:$J$508,Q$1)</f>
        <v>0</v>
      </c>
      <c r="R171" s="207">
        <f>SUMIFS('январь 2023'!$G$4:$G$508,'январь 2023'!$D$4:$D$508,$B171,'январь 2023'!$J$4:$J$508,R$1)</f>
        <v>0</v>
      </c>
      <c r="S171" s="207">
        <f>SUMIFS('январь 2023'!$G$4:$G$508,'январь 2023'!$D$4:$D$508,$B171,'январь 2023'!$J$4:$J$508,S$1)</f>
        <v>0</v>
      </c>
      <c r="T171" s="207">
        <f>SUMIFS('январь 2023'!$G$4:$G$508,'январь 2023'!$D$4:$D$508,$B171,'январь 2023'!$J$4:$J$508,T$1)</f>
        <v>0</v>
      </c>
      <c r="U171" s="207">
        <f>SUMIFS('январь 2023'!$G$4:$G$508,'январь 2023'!$D$4:$D$508,$B171,'январь 2023'!$J$4:$J$508,U$1)</f>
        <v>0</v>
      </c>
      <c r="V171" s="207">
        <f>SUMIFS('январь 2023'!$G$4:$G$508,'январь 2023'!$D$4:$D$508,$B171,'январь 2023'!$J$4:$J$508,V$1)</f>
        <v>0</v>
      </c>
      <c r="W171" s="207">
        <f>SUMIFS('январь 2023'!$G$4:$G$508,'январь 2023'!$D$4:$D$508,$B171,'январь 2023'!$J$4:$J$508,W$1)</f>
        <v>0</v>
      </c>
      <c r="X171" s="207">
        <f>SUMIFS('январь 2023'!$G$4:$G$508,'январь 2023'!$D$4:$D$508,$B171,'январь 2023'!$J$4:$J$508,X$1)</f>
        <v>0</v>
      </c>
      <c r="Y171" s="207">
        <f>SUMIFS('январь 2023'!$G$4:$G$508,'январь 2023'!$D$4:$D$508,$B171,'январь 2023'!$J$4:$J$508,Y$1)</f>
        <v>0</v>
      </c>
      <c r="Z171" s="207">
        <f>SUMIFS('январь 2023'!$G$4:$G$508,'январь 2023'!$D$4:$D$508,$B171,'январь 2023'!$J$4:$J$508,Z$1)</f>
        <v>0</v>
      </c>
      <c r="AA171" s="207">
        <f>SUMIFS('январь 2023'!$G$4:$G$508,'январь 2023'!$D$4:$D$508,$B171,'январь 2023'!$J$4:$J$508,AA$1)</f>
        <v>0</v>
      </c>
      <c r="AB171" s="207">
        <f>SUMIFS('январь 2023'!$G$4:$G$508,'январь 2023'!$D$4:$D$508,$B171,'январь 2023'!$J$4:$J$508,AB$1)</f>
        <v>0</v>
      </c>
      <c r="AC171" s="207">
        <f>SUMIFS('январь 2023'!$G$4:$G$508,'январь 2023'!$D$4:$D$508,$B171,'январь 2023'!$J$4:$J$508,AC$1)</f>
        <v>0</v>
      </c>
      <c r="AD171" s="207">
        <f>SUMIFS('январь 2023'!$G$4:$G$508,'январь 2023'!$D$4:$D$508,$B171,'январь 2023'!$J$4:$J$508,AD$1)</f>
        <v>0</v>
      </c>
      <c r="AE171" s="207">
        <f>SUMIFS('январь 2023'!$G$4:$G$508,'январь 2023'!$D$4:$D$508,$B171,'январь 2023'!$J$4:$J$508,AE$1)</f>
        <v>0</v>
      </c>
      <c r="AF171" s="207">
        <f>SUMIFS('январь 2023'!$G$4:$G$508,'январь 2023'!$D$4:$D$508,$B171,'январь 2023'!$J$4:$J$508,AF$1)</f>
        <v>0</v>
      </c>
      <c r="AG171" s="207">
        <f>SUMIFS('январь 2023'!$G$4:$G$508,'январь 2023'!$D$4:$D$508,$B171,'январь 2023'!$J$4:$J$508,AG$1)</f>
        <v>0</v>
      </c>
      <c r="AH171" s="207">
        <f>SUMIFS('январь 2023'!$G$4:$G$508,'январь 2023'!$D$4:$D$508,$B171,'январь 2023'!$J$4:$J$508,AH$1)</f>
        <v>0</v>
      </c>
      <c r="AI171" s="220">
        <f t="shared" si="4"/>
        <v>0</v>
      </c>
    </row>
    <row r="172" spans="2:35" ht="15.75" hidden="1" x14ac:dyDescent="0.25">
      <c r="B172" s="212"/>
      <c r="C172" s="211"/>
      <c r="D172" s="207">
        <f>SUMIFS('январь 2023'!$G$4:$G$508,'январь 2023'!$D$4:$D$508,$B172,'январь 2023'!$J$4:$J$508,D$1)</f>
        <v>0</v>
      </c>
      <c r="E172" s="207">
        <f>SUMIFS('январь 2023'!$G$4:$G$508,'январь 2023'!$D$4:$D$508,$B172,'январь 2023'!$J$4:$J$508,E$1)</f>
        <v>0</v>
      </c>
      <c r="F172" s="207">
        <f>SUMIFS('январь 2023'!$G$4:$G$508,'январь 2023'!$D$4:$D$508,$B172,'январь 2023'!$J$4:$J$508,F$1)</f>
        <v>0</v>
      </c>
      <c r="G172" s="207">
        <f>SUMIFS('январь 2023'!$G$4:$G$508,'январь 2023'!$D$4:$D$508,$B172,'январь 2023'!$J$4:$J$508,G$1)</f>
        <v>0</v>
      </c>
      <c r="H172" s="207">
        <f>SUMIFS('январь 2023'!$G$4:$G$508,'январь 2023'!$D$4:$D$508,$B172,'январь 2023'!$J$4:$J$508,H$1)</f>
        <v>0</v>
      </c>
      <c r="I172" s="207">
        <f>SUMIFS('январь 2023'!$G$4:$G$508,'январь 2023'!$D$4:$D$508,$B172,'январь 2023'!$J$4:$J$508,I$1)</f>
        <v>0</v>
      </c>
      <c r="J172" s="207">
        <f>SUMIFS('январь 2023'!$G$4:$G$508,'январь 2023'!$D$4:$D$508,$B172,'январь 2023'!$J$4:$J$508,J$1)</f>
        <v>0</v>
      </c>
      <c r="K172" s="207">
        <f>SUMIFS('январь 2023'!$G$4:$G$508,'январь 2023'!$D$4:$D$508,$B172,'январь 2023'!$J$4:$J$508,K$1)</f>
        <v>0</v>
      </c>
      <c r="L172" s="207">
        <f>SUMIFS('январь 2023'!$G$4:$G$508,'январь 2023'!$D$4:$D$508,$B172,'январь 2023'!$J$4:$J$508,L$1)</f>
        <v>0</v>
      </c>
      <c r="M172" s="207">
        <f>SUMIFS('январь 2023'!$G$4:$G$508,'январь 2023'!$D$4:$D$508,$B172,'январь 2023'!$J$4:$J$508,M$1)</f>
        <v>0</v>
      </c>
      <c r="N172" s="207">
        <f>SUMIFS('январь 2023'!$G$4:$G$508,'январь 2023'!$D$4:$D$508,$B172,'январь 2023'!$J$4:$J$508,N$1)</f>
        <v>0</v>
      </c>
      <c r="O172" s="207">
        <f>SUMIFS('январь 2023'!$G$4:$G$508,'январь 2023'!$D$4:$D$508,$B172,'январь 2023'!$J$4:$J$508,O$1)</f>
        <v>0</v>
      </c>
      <c r="P172" s="207">
        <f>SUMIFS('январь 2023'!$G$4:$G$508,'январь 2023'!$D$4:$D$508,$B172,'январь 2023'!$J$4:$J$508,P$1)</f>
        <v>0</v>
      </c>
      <c r="Q172" s="207">
        <f>SUMIFS('январь 2023'!$G$4:$G$508,'январь 2023'!$D$4:$D$508,$B172,'январь 2023'!$J$4:$J$508,Q$1)</f>
        <v>0</v>
      </c>
      <c r="R172" s="207">
        <f>SUMIFS('январь 2023'!$G$4:$G$508,'январь 2023'!$D$4:$D$508,$B172,'январь 2023'!$J$4:$J$508,R$1)</f>
        <v>0</v>
      </c>
      <c r="S172" s="207">
        <f>SUMIFS('январь 2023'!$G$4:$G$508,'январь 2023'!$D$4:$D$508,$B172,'январь 2023'!$J$4:$J$508,S$1)</f>
        <v>0</v>
      </c>
      <c r="T172" s="207">
        <f>SUMIFS('январь 2023'!$G$4:$G$508,'январь 2023'!$D$4:$D$508,$B172,'январь 2023'!$J$4:$J$508,T$1)</f>
        <v>0</v>
      </c>
      <c r="U172" s="207">
        <f>SUMIFS('январь 2023'!$G$4:$G$508,'январь 2023'!$D$4:$D$508,$B172,'январь 2023'!$J$4:$J$508,U$1)</f>
        <v>0</v>
      </c>
      <c r="V172" s="207">
        <f>SUMIFS('январь 2023'!$G$4:$G$508,'январь 2023'!$D$4:$D$508,$B172,'январь 2023'!$J$4:$J$508,V$1)</f>
        <v>0</v>
      </c>
      <c r="W172" s="207">
        <f>SUMIFS('январь 2023'!$G$4:$G$508,'январь 2023'!$D$4:$D$508,$B172,'январь 2023'!$J$4:$J$508,W$1)</f>
        <v>0</v>
      </c>
      <c r="X172" s="207">
        <f>SUMIFS('январь 2023'!$G$4:$G$508,'январь 2023'!$D$4:$D$508,$B172,'январь 2023'!$J$4:$J$508,X$1)</f>
        <v>0</v>
      </c>
      <c r="Y172" s="207">
        <f>SUMIFS('январь 2023'!$G$4:$G$508,'январь 2023'!$D$4:$D$508,$B172,'январь 2023'!$J$4:$J$508,Y$1)</f>
        <v>0</v>
      </c>
      <c r="Z172" s="207">
        <f>SUMIFS('январь 2023'!$G$4:$G$508,'январь 2023'!$D$4:$D$508,$B172,'январь 2023'!$J$4:$J$508,Z$1)</f>
        <v>0</v>
      </c>
      <c r="AA172" s="207">
        <f>SUMIFS('январь 2023'!$G$4:$G$508,'январь 2023'!$D$4:$D$508,$B172,'январь 2023'!$J$4:$J$508,AA$1)</f>
        <v>0</v>
      </c>
      <c r="AB172" s="207">
        <f>SUMIFS('январь 2023'!$G$4:$G$508,'январь 2023'!$D$4:$D$508,$B172,'январь 2023'!$J$4:$J$508,AB$1)</f>
        <v>0</v>
      </c>
      <c r="AC172" s="207">
        <f>SUMIFS('январь 2023'!$G$4:$G$508,'январь 2023'!$D$4:$D$508,$B172,'январь 2023'!$J$4:$J$508,AC$1)</f>
        <v>0</v>
      </c>
      <c r="AD172" s="207">
        <f>SUMIFS('январь 2023'!$G$4:$G$508,'январь 2023'!$D$4:$D$508,$B172,'январь 2023'!$J$4:$J$508,AD$1)</f>
        <v>0</v>
      </c>
      <c r="AE172" s="207">
        <f>SUMIFS('январь 2023'!$G$4:$G$508,'январь 2023'!$D$4:$D$508,$B172,'январь 2023'!$J$4:$J$508,AE$1)</f>
        <v>0</v>
      </c>
      <c r="AF172" s="207">
        <f>SUMIFS('январь 2023'!$G$4:$G$508,'январь 2023'!$D$4:$D$508,$B172,'январь 2023'!$J$4:$J$508,AF$1)</f>
        <v>0</v>
      </c>
      <c r="AG172" s="207">
        <f>SUMIFS('январь 2023'!$G$4:$G$508,'январь 2023'!$D$4:$D$508,$B172,'январь 2023'!$J$4:$J$508,AG$1)</f>
        <v>0</v>
      </c>
      <c r="AH172" s="207">
        <f>SUMIFS('январь 2023'!$G$4:$G$508,'январь 2023'!$D$4:$D$508,$B172,'январь 2023'!$J$4:$J$508,AH$1)</f>
        <v>0</v>
      </c>
      <c r="AI172" s="220">
        <f t="shared" si="4"/>
        <v>0</v>
      </c>
    </row>
    <row r="173" spans="2:35" ht="15.75" hidden="1" x14ac:dyDescent="0.25">
      <c r="B173" s="212"/>
      <c r="C173" s="211"/>
      <c r="D173" s="207">
        <f>SUMIFS('январь 2023'!$G$4:$G$508,'январь 2023'!$D$4:$D$508,$B173,'январь 2023'!$J$4:$J$508,D$1)</f>
        <v>0</v>
      </c>
      <c r="E173" s="207">
        <f>SUMIFS('январь 2023'!$G$4:$G$508,'январь 2023'!$D$4:$D$508,$B173,'январь 2023'!$J$4:$J$508,E$1)</f>
        <v>0</v>
      </c>
      <c r="F173" s="207">
        <f>SUMIFS('январь 2023'!$G$4:$G$508,'январь 2023'!$D$4:$D$508,$B173,'январь 2023'!$J$4:$J$508,F$1)</f>
        <v>0</v>
      </c>
      <c r="G173" s="207">
        <f>SUMIFS('январь 2023'!$G$4:$G$508,'январь 2023'!$D$4:$D$508,$B173,'январь 2023'!$J$4:$J$508,G$1)</f>
        <v>0</v>
      </c>
      <c r="H173" s="207">
        <f>SUMIFS('январь 2023'!$G$4:$G$508,'январь 2023'!$D$4:$D$508,$B173,'январь 2023'!$J$4:$J$508,H$1)</f>
        <v>0</v>
      </c>
      <c r="I173" s="207">
        <f>SUMIFS('январь 2023'!$G$4:$G$508,'январь 2023'!$D$4:$D$508,$B173,'январь 2023'!$J$4:$J$508,I$1)</f>
        <v>0</v>
      </c>
      <c r="J173" s="207">
        <f>SUMIFS('январь 2023'!$G$4:$G$508,'январь 2023'!$D$4:$D$508,$B173,'январь 2023'!$J$4:$J$508,J$1)</f>
        <v>0</v>
      </c>
      <c r="K173" s="207">
        <f>SUMIFS('январь 2023'!$G$4:$G$508,'январь 2023'!$D$4:$D$508,$B173,'январь 2023'!$J$4:$J$508,K$1)</f>
        <v>0</v>
      </c>
      <c r="L173" s="207">
        <f>SUMIFS('январь 2023'!$G$4:$G$508,'январь 2023'!$D$4:$D$508,$B173,'январь 2023'!$J$4:$J$508,L$1)</f>
        <v>0</v>
      </c>
      <c r="M173" s="207">
        <f>SUMIFS('январь 2023'!$G$4:$G$508,'январь 2023'!$D$4:$D$508,$B173,'январь 2023'!$J$4:$J$508,M$1)</f>
        <v>0</v>
      </c>
      <c r="N173" s="207">
        <f>SUMIFS('январь 2023'!$G$4:$G$508,'январь 2023'!$D$4:$D$508,$B173,'январь 2023'!$J$4:$J$508,N$1)</f>
        <v>0</v>
      </c>
      <c r="O173" s="207">
        <f>SUMIFS('январь 2023'!$G$4:$G$508,'январь 2023'!$D$4:$D$508,$B173,'январь 2023'!$J$4:$J$508,O$1)</f>
        <v>0</v>
      </c>
      <c r="P173" s="207">
        <f>SUMIFS('январь 2023'!$G$4:$G$508,'январь 2023'!$D$4:$D$508,$B173,'январь 2023'!$J$4:$J$508,P$1)</f>
        <v>0</v>
      </c>
      <c r="Q173" s="207">
        <f>SUMIFS('январь 2023'!$G$4:$G$508,'январь 2023'!$D$4:$D$508,$B173,'январь 2023'!$J$4:$J$508,Q$1)</f>
        <v>0</v>
      </c>
      <c r="R173" s="207">
        <f>SUMIFS('январь 2023'!$G$4:$G$508,'январь 2023'!$D$4:$D$508,$B173,'январь 2023'!$J$4:$J$508,R$1)</f>
        <v>0</v>
      </c>
      <c r="S173" s="207">
        <f>SUMIFS('январь 2023'!$G$4:$G$508,'январь 2023'!$D$4:$D$508,$B173,'январь 2023'!$J$4:$J$508,S$1)</f>
        <v>0</v>
      </c>
      <c r="T173" s="207">
        <f>SUMIFS('январь 2023'!$G$4:$G$508,'январь 2023'!$D$4:$D$508,$B173,'январь 2023'!$J$4:$J$508,T$1)</f>
        <v>0</v>
      </c>
      <c r="U173" s="207">
        <f>SUMIFS('январь 2023'!$G$4:$G$508,'январь 2023'!$D$4:$D$508,$B173,'январь 2023'!$J$4:$J$508,U$1)</f>
        <v>0</v>
      </c>
      <c r="V173" s="207">
        <f>SUMIFS('январь 2023'!$G$4:$G$508,'январь 2023'!$D$4:$D$508,$B173,'январь 2023'!$J$4:$J$508,V$1)</f>
        <v>0</v>
      </c>
      <c r="W173" s="207">
        <f>SUMIFS('январь 2023'!$G$4:$G$508,'январь 2023'!$D$4:$D$508,$B173,'январь 2023'!$J$4:$J$508,W$1)</f>
        <v>0</v>
      </c>
      <c r="X173" s="207">
        <f>SUMIFS('январь 2023'!$G$4:$G$508,'январь 2023'!$D$4:$D$508,$B173,'январь 2023'!$J$4:$J$508,X$1)</f>
        <v>0</v>
      </c>
      <c r="Y173" s="207">
        <f>SUMIFS('январь 2023'!$G$4:$G$508,'январь 2023'!$D$4:$D$508,$B173,'январь 2023'!$J$4:$J$508,Y$1)</f>
        <v>0</v>
      </c>
      <c r="Z173" s="207">
        <f>SUMIFS('январь 2023'!$G$4:$G$508,'январь 2023'!$D$4:$D$508,$B173,'январь 2023'!$J$4:$J$508,Z$1)</f>
        <v>0</v>
      </c>
      <c r="AA173" s="207">
        <f>SUMIFS('январь 2023'!$G$4:$G$508,'январь 2023'!$D$4:$D$508,$B173,'январь 2023'!$J$4:$J$508,AA$1)</f>
        <v>0</v>
      </c>
      <c r="AB173" s="207">
        <f>SUMIFS('январь 2023'!$G$4:$G$508,'январь 2023'!$D$4:$D$508,$B173,'январь 2023'!$J$4:$J$508,AB$1)</f>
        <v>0</v>
      </c>
      <c r="AC173" s="207">
        <f>SUMIFS('январь 2023'!$G$4:$G$508,'январь 2023'!$D$4:$D$508,$B173,'январь 2023'!$J$4:$J$508,AC$1)</f>
        <v>0</v>
      </c>
      <c r="AD173" s="207">
        <f>SUMIFS('январь 2023'!$G$4:$G$508,'январь 2023'!$D$4:$D$508,$B173,'январь 2023'!$J$4:$J$508,AD$1)</f>
        <v>0</v>
      </c>
      <c r="AE173" s="207">
        <f>SUMIFS('январь 2023'!$G$4:$G$508,'январь 2023'!$D$4:$D$508,$B173,'январь 2023'!$J$4:$J$508,AE$1)</f>
        <v>0</v>
      </c>
      <c r="AF173" s="207">
        <f>SUMIFS('январь 2023'!$G$4:$G$508,'январь 2023'!$D$4:$D$508,$B173,'январь 2023'!$J$4:$J$508,AF$1)</f>
        <v>0</v>
      </c>
      <c r="AG173" s="207">
        <f>SUMIFS('январь 2023'!$G$4:$G$508,'январь 2023'!$D$4:$D$508,$B173,'январь 2023'!$J$4:$J$508,AG$1)</f>
        <v>0</v>
      </c>
      <c r="AH173" s="207">
        <f>SUMIFS('январь 2023'!$G$4:$G$508,'январь 2023'!$D$4:$D$508,$B173,'январь 2023'!$J$4:$J$508,AH$1)</f>
        <v>0</v>
      </c>
      <c r="AI173" s="220">
        <f t="shared" si="4"/>
        <v>0</v>
      </c>
    </row>
    <row r="174" spans="2:35" ht="15.75" hidden="1" x14ac:dyDescent="0.25">
      <c r="B174" s="212"/>
      <c r="C174" s="211"/>
      <c r="D174" s="207">
        <f>SUMIFS('январь 2023'!$G$4:$G$508,'январь 2023'!$D$4:$D$508,$B174,'январь 2023'!$J$4:$J$508,D$1)</f>
        <v>0</v>
      </c>
      <c r="E174" s="207">
        <f>SUMIFS('январь 2023'!$G$4:$G$508,'январь 2023'!$D$4:$D$508,$B174,'январь 2023'!$J$4:$J$508,E$1)</f>
        <v>0</v>
      </c>
      <c r="F174" s="207">
        <f>SUMIFS('январь 2023'!$G$4:$G$508,'январь 2023'!$D$4:$D$508,$B174,'январь 2023'!$J$4:$J$508,F$1)</f>
        <v>0</v>
      </c>
      <c r="G174" s="207">
        <f>SUMIFS('январь 2023'!$G$4:$G$508,'январь 2023'!$D$4:$D$508,$B174,'январь 2023'!$J$4:$J$508,G$1)</f>
        <v>0</v>
      </c>
      <c r="H174" s="207">
        <f>SUMIFS('январь 2023'!$G$4:$G$508,'январь 2023'!$D$4:$D$508,$B174,'январь 2023'!$J$4:$J$508,H$1)</f>
        <v>0</v>
      </c>
      <c r="I174" s="207">
        <f>SUMIFS('январь 2023'!$G$4:$G$508,'январь 2023'!$D$4:$D$508,$B174,'январь 2023'!$J$4:$J$508,I$1)</f>
        <v>0</v>
      </c>
      <c r="J174" s="207">
        <f>SUMIFS('январь 2023'!$G$4:$G$508,'январь 2023'!$D$4:$D$508,$B174,'январь 2023'!$J$4:$J$508,J$1)</f>
        <v>0</v>
      </c>
      <c r="K174" s="207">
        <f>SUMIFS('январь 2023'!$G$4:$G$508,'январь 2023'!$D$4:$D$508,$B174,'январь 2023'!$J$4:$J$508,K$1)</f>
        <v>0</v>
      </c>
      <c r="L174" s="207">
        <f>SUMIFS('январь 2023'!$G$4:$G$508,'январь 2023'!$D$4:$D$508,$B174,'январь 2023'!$J$4:$J$508,L$1)</f>
        <v>0</v>
      </c>
      <c r="M174" s="207">
        <f>SUMIFS('январь 2023'!$G$4:$G$508,'январь 2023'!$D$4:$D$508,$B174,'январь 2023'!$J$4:$J$508,M$1)</f>
        <v>0</v>
      </c>
      <c r="N174" s="207">
        <f>SUMIFS('январь 2023'!$G$4:$G$508,'январь 2023'!$D$4:$D$508,$B174,'январь 2023'!$J$4:$J$508,N$1)</f>
        <v>0</v>
      </c>
      <c r="O174" s="207">
        <f>SUMIFS('январь 2023'!$G$4:$G$508,'январь 2023'!$D$4:$D$508,$B174,'январь 2023'!$J$4:$J$508,O$1)</f>
        <v>0</v>
      </c>
      <c r="P174" s="207">
        <f>SUMIFS('январь 2023'!$G$4:$G$508,'январь 2023'!$D$4:$D$508,$B174,'январь 2023'!$J$4:$J$508,P$1)</f>
        <v>0</v>
      </c>
      <c r="Q174" s="207">
        <f>SUMIFS('январь 2023'!$G$4:$G$508,'январь 2023'!$D$4:$D$508,$B174,'январь 2023'!$J$4:$J$508,Q$1)</f>
        <v>0</v>
      </c>
      <c r="R174" s="207">
        <f>SUMIFS('январь 2023'!$G$4:$G$508,'январь 2023'!$D$4:$D$508,$B174,'январь 2023'!$J$4:$J$508,R$1)</f>
        <v>0</v>
      </c>
      <c r="S174" s="207">
        <f>SUMIFS('январь 2023'!$G$4:$G$508,'январь 2023'!$D$4:$D$508,$B174,'январь 2023'!$J$4:$J$508,S$1)</f>
        <v>0</v>
      </c>
      <c r="T174" s="207">
        <f>SUMIFS('январь 2023'!$G$4:$G$508,'январь 2023'!$D$4:$D$508,$B174,'январь 2023'!$J$4:$J$508,T$1)</f>
        <v>0</v>
      </c>
      <c r="U174" s="207">
        <f>SUMIFS('январь 2023'!$G$4:$G$508,'январь 2023'!$D$4:$D$508,$B174,'январь 2023'!$J$4:$J$508,U$1)</f>
        <v>0</v>
      </c>
      <c r="V174" s="207">
        <f>SUMIFS('январь 2023'!$G$4:$G$508,'январь 2023'!$D$4:$D$508,$B174,'январь 2023'!$J$4:$J$508,V$1)</f>
        <v>0</v>
      </c>
      <c r="W174" s="207">
        <f>SUMIFS('январь 2023'!$G$4:$G$508,'январь 2023'!$D$4:$D$508,$B174,'январь 2023'!$J$4:$J$508,W$1)</f>
        <v>0</v>
      </c>
      <c r="X174" s="207">
        <f>SUMIFS('январь 2023'!$G$4:$G$508,'январь 2023'!$D$4:$D$508,$B174,'январь 2023'!$J$4:$J$508,X$1)</f>
        <v>0</v>
      </c>
      <c r="Y174" s="207">
        <f>SUMIFS('январь 2023'!$G$4:$G$508,'январь 2023'!$D$4:$D$508,$B174,'январь 2023'!$J$4:$J$508,Y$1)</f>
        <v>0</v>
      </c>
      <c r="Z174" s="207">
        <f>SUMIFS('январь 2023'!$G$4:$G$508,'январь 2023'!$D$4:$D$508,$B174,'январь 2023'!$J$4:$J$508,Z$1)</f>
        <v>0</v>
      </c>
      <c r="AA174" s="207">
        <f>SUMIFS('январь 2023'!$G$4:$G$508,'январь 2023'!$D$4:$D$508,$B174,'январь 2023'!$J$4:$J$508,AA$1)</f>
        <v>0</v>
      </c>
      <c r="AB174" s="207">
        <f>SUMIFS('январь 2023'!$G$4:$G$508,'январь 2023'!$D$4:$D$508,$B174,'январь 2023'!$J$4:$J$508,AB$1)</f>
        <v>0</v>
      </c>
      <c r="AC174" s="207">
        <f>SUMIFS('январь 2023'!$G$4:$G$508,'январь 2023'!$D$4:$D$508,$B174,'январь 2023'!$J$4:$J$508,AC$1)</f>
        <v>0</v>
      </c>
      <c r="AD174" s="207">
        <f>SUMIFS('январь 2023'!$G$4:$G$508,'январь 2023'!$D$4:$D$508,$B174,'январь 2023'!$J$4:$J$508,AD$1)</f>
        <v>0</v>
      </c>
      <c r="AE174" s="207">
        <f>SUMIFS('январь 2023'!$G$4:$G$508,'январь 2023'!$D$4:$D$508,$B174,'январь 2023'!$J$4:$J$508,AE$1)</f>
        <v>0</v>
      </c>
      <c r="AF174" s="207">
        <f>SUMIFS('январь 2023'!$G$4:$G$508,'январь 2023'!$D$4:$D$508,$B174,'январь 2023'!$J$4:$J$508,AF$1)</f>
        <v>0</v>
      </c>
      <c r="AG174" s="207">
        <f>SUMIFS('январь 2023'!$G$4:$G$508,'январь 2023'!$D$4:$D$508,$B174,'январь 2023'!$J$4:$J$508,AG$1)</f>
        <v>0</v>
      </c>
      <c r="AH174" s="207">
        <f>SUMIFS('январь 2023'!$G$4:$G$508,'январь 2023'!$D$4:$D$508,$B174,'январь 2023'!$J$4:$J$508,AH$1)</f>
        <v>0</v>
      </c>
      <c r="AI174" s="220">
        <f t="shared" si="4"/>
        <v>0</v>
      </c>
    </row>
    <row r="175" spans="2:35" ht="15.75" hidden="1" x14ac:dyDescent="0.25">
      <c r="B175" s="212"/>
      <c r="C175" s="211"/>
      <c r="D175" s="207">
        <f>SUMIFS('январь 2023'!$G$4:$G$508,'январь 2023'!$D$4:$D$508,$B175,'январь 2023'!$J$4:$J$508,D$1)</f>
        <v>0</v>
      </c>
      <c r="E175" s="207">
        <f>SUMIFS('январь 2023'!$G$4:$G$508,'январь 2023'!$D$4:$D$508,$B175,'январь 2023'!$J$4:$J$508,E$1)</f>
        <v>0</v>
      </c>
      <c r="F175" s="207">
        <f>SUMIFS('январь 2023'!$G$4:$G$508,'январь 2023'!$D$4:$D$508,$B175,'январь 2023'!$J$4:$J$508,F$1)</f>
        <v>0</v>
      </c>
      <c r="G175" s="207">
        <f>SUMIFS('январь 2023'!$G$4:$G$508,'январь 2023'!$D$4:$D$508,$B175,'январь 2023'!$J$4:$J$508,G$1)</f>
        <v>0</v>
      </c>
      <c r="H175" s="207">
        <f>SUMIFS('январь 2023'!$G$4:$G$508,'январь 2023'!$D$4:$D$508,$B175,'январь 2023'!$J$4:$J$508,H$1)</f>
        <v>0</v>
      </c>
      <c r="I175" s="207">
        <f>SUMIFS('январь 2023'!$G$4:$G$508,'январь 2023'!$D$4:$D$508,$B175,'январь 2023'!$J$4:$J$508,I$1)</f>
        <v>0</v>
      </c>
      <c r="J175" s="207">
        <f>SUMIFS('январь 2023'!$G$4:$G$508,'январь 2023'!$D$4:$D$508,$B175,'январь 2023'!$J$4:$J$508,J$1)</f>
        <v>0</v>
      </c>
      <c r="K175" s="207">
        <f>SUMIFS('январь 2023'!$G$4:$G$508,'январь 2023'!$D$4:$D$508,$B175,'январь 2023'!$J$4:$J$508,K$1)</f>
        <v>0</v>
      </c>
      <c r="L175" s="207">
        <f>SUMIFS('январь 2023'!$G$4:$G$508,'январь 2023'!$D$4:$D$508,$B175,'январь 2023'!$J$4:$J$508,L$1)</f>
        <v>0</v>
      </c>
      <c r="M175" s="207">
        <f>SUMIFS('январь 2023'!$G$4:$G$508,'январь 2023'!$D$4:$D$508,$B175,'январь 2023'!$J$4:$J$508,M$1)</f>
        <v>0</v>
      </c>
      <c r="N175" s="207">
        <f>SUMIFS('январь 2023'!$G$4:$G$508,'январь 2023'!$D$4:$D$508,$B175,'январь 2023'!$J$4:$J$508,N$1)</f>
        <v>0</v>
      </c>
      <c r="O175" s="207">
        <f>SUMIFS('январь 2023'!$G$4:$G$508,'январь 2023'!$D$4:$D$508,$B175,'январь 2023'!$J$4:$J$508,O$1)</f>
        <v>0</v>
      </c>
      <c r="P175" s="207">
        <f>SUMIFS('январь 2023'!$G$4:$G$508,'январь 2023'!$D$4:$D$508,$B175,'январь 2023'!$J$4:$J$508,P$1)</f>
        <v>0</v>
      </c>
      <c r="Q175" s="207">
        <f>SUMIFS('январь 2023'!$G$4:$G$508,'январь 2023'!$D$4:$D$508,$B175,'январь 2023'!$J$4:$J$508,Q$1)</f>
        <v>0</v>
      </c>
      <c r="R175" s="207">
        <f>SUMIFS('январь 2023'!$G$4:$G$508,'январь 2023'!$D$4:$D$508,$B175,'январь 2023'!$J$4:$J$508,R$1)</f>
        <v>0</v>
      </c>
      <c r="S175" s="207">
        <f>SUMIFS('январь 2023'!$G$4:$G$508,'январь 2023'!$D$4:$D$508,$B175,'январь 2023'!$J$4:$J$508,S$1)</f>
        <v>0</v>
      </c>
      <c r="T175" s="207">
        <f>SUMIFS('январь 2023'!$G$4:$G$508,'январь 2023'!$D$4:$D$508,$B175,'январь 2023'!$J$4:$J$508,T$1)</f>
        <v>0</v>
      </c>
      <c r="U175" s="207">
        <f>SUMIFS('январь 2023'!$G$4:$G$508,'январь 2023'!$D$4:$D$508,$B175,'январь 2023'!$J$4:$J$508,U$1)</f>
        <v>0</v>
      </c>
      <c r="V175" s="207">
        <f>SUMIFS('январь 2023'!$G$4:$G$508,'январь 2023'!$D$4:$D$508,$B175,'январь 2023'!$J$4:$J$508,V$1)</f>
        <v>0</v>
      </c>
      <c r="W175" s="207">
        <f>SUMIFS('январь 2023'!$G$4:$G$508,'январь 2023'!$D$4:$D$508,$B175,'январь 2023'!$J$4:$J$508,W$1)</f>
        <v>0</v>
      </c>
      <c r="X175" s="207">
        <f>SUMIFS('январь 2023'!$G$4:$G$508,'январь 2023'!$D$4:$D$508,$B175,'январь 2023'!$J$4:$J$508,X$1)</f>
        <v>0</v>
      </c>
      <c r="Y175" s="207">
        <f>SUMIFS('январь 2023'!$G$4:$G$508,'январь 2023'!$D$4:$D$508,$B175,'январь 2023'!$J$4:$J$508,Y$1)</f>
        <v>0</v>
      </c>
      <c r="Z175" s="207">
        <f>SUMIFS('январь 2023'!$G$4:$G$508,'январь 2023'!$D$4:$D$508,$B175,'январь 2023'!$J$4:$J$508,Z$1)</f>
        <v>0</v>
      </c>
      <c r="AA175" s="207">
        <f>SUMIFS('январь 2023'!$G$4:$G$508,'январь 2023'!$D$4:$D$508,$B175,'январь 2023'!$J$4:$J$508,AA$1)</f>
        <v>0</v>
      </c>
      <c r="AB175" s="207">
        <f>SUMIFS('январь 2023'!$G$4:$G$508,'январь 2023'!$D$4:$D$508,$B175,'январь 2023'!$J$4:$J$508,AB$1)</f>
        <v>0</v>
      </c>
      <c r="AC175" s="207">
        <f>SUMIFS('январь 2023'!$G$4:$G$508,'январь 2023'!$D$4:$D$508,$B175,'январь 2023'!$J$4:$J$508,AC$1)</f>
        <v>0</v>
      </c>
      <c r="AD175" s="207">
        <f>SUMIFS('январь 2023'!$G$4:$G$508,'январь 2023'!$D$4:$D$508,$B175,'январь 2023'!$J$4:$J$508,AD$1)</f>
        <v>0</v>
      </c>
      <c r="AE175" s="207">
        <f>SUMIFS('январь 2023'!$G$4:$G$508,'январь 2023'!$D$4:$D$508,$B175,'январь 2023'!$J$4:$J$508,AE$1)</f>
        <v>0</v>
      </c>
      <c r="AF175" s="207">
        <f>SUMIFS('январь 2023'!$G$4:$G$508,'январь 2023'!$D$4:$D$508,$B175,'январь 2023'!$J$4:$J$508,AF$1)</f>
        <v>0</v>
      </c>
      <c r="AG175" s="207">
        <f>SUMIFS('январь 2023'!$G$4:$G$508,'январь 2023'!$D$4:$D$508,$B175,'январь 2023'!$J$4:$J$508,AG$1)</f>
        <v>0</v>
      </c>
      <c r="AH175" s="207">
        <f>SUMIFS('январь 2023'!$G$4:$G$508,'январь 2023'!$D$4:$D$508,$B175,'январь 2023'!$J$4:$J$508,AH$1)</f>
        <v>0</v>
      </c>
      <c r="AI175" s="220">
        <f t="shared" si="4"/>
        <v>0</v>
      </c>
    </row>
    <row r="176" spans="2:35" ht="15.75" x14ac:dyDescent="0.25">
      <c r="B176" s="212"/>
      <c r="C176" s="221"/>
      <c r="D176" s="207">
        <f>SUMIFS('январь 2023'!$G$4:$G$508,'январь 2023'!$D$4:$D$508,$B176,'январь 2023'!$J$4:$J$508,D$1)</f>
        <v>0</v>
      </c>
      <c r="E176" s="207">
        <f>SUMIFS('январь 2023'!$G$4:$G$508,'январь 2023'!$D$4:$D$508,$B176,'январь 2023'!$J$4:$J$508,E$1)</f>
        <v>0</v>
      </c>
      <c r="F176" s="207">
        <f>SUMIFS('январь 2023'!$G$4:$G$508,'январь 2023'!$D$4:$D$508,$B176,'январь 2023'!$J$4:$J$508,F$1)</f>
        <v>0</v>
      </c>
      <c r="G176" s="207">
        <f>SUMIFS('январь 2023'!$G$4:$G$508,'январь 2023'!$D$4:$D$508,$B176,'январь 2023'!$J$4:$J$508,G$1)</f>
        <v>0</v>
      </c>
      <c r="H176" s="207">
        <f>SUMIFS('январь 2023'!$G$4:$G$508,'январь 2023'!$D$4:$D$508,$B176,'январь 2023'!$J$4:$J$508,H$1)</f>
        <v>0</v>
      </c>
      <c r="I176" s="207">
        <f>SUMIFS('январь 2023'!$G$4:$G$508,'январь 2023'!$D$4:$D$508,$B176,'январь 2023'!$J$4:$J$508,I$1)</f>
        <v>0</v>
      </c>
      <c r="J176" s="207">
        <f>SUMIFS('январь 2023'!$G$4:$G$508,'январь 2023'!$D$4:$D$508,$B176,'январь 2023'!$J$4:$J$508,J$1)</f>
        <v>0</v>
      </c>
      <c r="K176" s="207">
        <f>SUMIFS('январь 2023'!$G$4:$G$508,'январь 2023'!$D$4:$D$508,$B176,'январь 2023'!$J$4:$J$508,K$1)</f>
        <v>0</v>
      </c>
      <c r="L176" s="207">
        <f>SUMIFS('январь 2023'!$G$4:$G$508,'январь 2023'!$D$4:$D$508,$B176,'январь 2023'!$J$4:$J$508,L$1)</f>
        <v>0</v>
      </c>
      <c r="M176" s="207">
        <f>SUMIFS('январь 2023'!$G$4:$G$508,'январь 2023'!$D$4:$D$508,$B176,'январь 2023'!$J$4:$J$508,M$1)</f>
        <v>0</v>
      </c>
      <c r="N176" s="207">
        <f>SUMIFS('январь 2023'!$G$4:$G$508,'январь 2023'!$D$4:$D$508,$B176,'январь 2023'!$J$4:$J$508,N$1)</f>
        <v>0</v>
      </c>
      <c r="O176" s="207">
        <f>SUMIFS('январь 2023'!$G$4:$G$508,'январь 2023'!$D$4:$D$508,$B176,'январь 2023'!$J$4:$J$508,O$1)</f>
        <v>0</v>
      </c>
      <c r="P176" s="207">
        <f>SUMIFS('январь 2023'!$G$4:$G$508,'январь 2023'!$D$4:$D$508,$B176,'январь 2023'!$J$4:$J$508,P$1)</f>
        <v>0</v>
      </c>
      <c r="Q176" s="207">
        <f>SUMIFS('январь 2023'!$G$4:$G$508,'январь 2023'!$D$4:$D$508,$B176,'январь 2023'!$J$4:$J$508,Q$1)</f>
        <v>0</v>
      </c>
      <c r="R176" s="207">
        <f>SUMIFS('январь 2023'!$G$4:$G$508,'январь 2023'!$D$4:$D$508,$B176,'январь 2023'!$J$4:$J$508,R$1)</f>
        <v>0</v>
      </c>
      <c r="S176" s="207">
        <f>SUMIFS('январь 2023'!$G$4:$G$508,'январь 2023'!$D$4:$D$508,$B176,'январь 2023'!$J$4:$J$508,S$1)</f>
        <v>0</v>
      </c>
      <c r="T176" s="207">
        <f>SUMIFS('январь 2023'!$G$4:$G$508,'январь 2023'!$D$4:$D$508,$B176,'январь 2023'!$J$4:$J$508,T$1)</f>
        <v>0</v>
      </c>
      <c r="U176" s="207">
        <f>SUMIFS('январь 2023'!$G$4:$G$508,'январь 2023'!$D$4:$D$508,$B176,'январь 2023'!$J$4:$J$508,U$1)</f>
        <v>0</v>
      </c>
      <c r="V176" s="207">
        <f>SUMIFS('январь 2023'!$G$4:$G$508,'январь 2023'!$D$4:$D$508,$B176,'январь 2023'!$J$4:$J$508,V$1)</f>
        <v>0</v>
      </c>
      <c r="W176" s="207">
        <f>SUMIFS('январь 2023'!$G$4:$G$508,'январь 2023'!$D$4:$D$508,$B176,'январь 2023'!$J$4:$J$508,W$1)</f>
        <v>0</v>
      </c>
      <c r="X176" s="207">
        <f>SUMIFS('январь 2023'!$G$4:$G$508,'январь 2023'!$D$4:$D$508,$B176,'январь 2023'!$J$4:$J$508,X$1)</f>
        <v>0</v>
      </c>
      <c r="Y176" s="207">
        <f>SUMIFS('январь 2023'!$G$4:$G$508,'январь 2023'!$D$4:$D$508,$B176,'январь 2023'!$J$4:$J$508,Y$1)</f>
        <v>0</v>
      </c>
      <c r="Z176" s="207">
        <f>SUMIFS('январь 2023'!$G$4:$G$508,'январь 2023'!$D$4:$D$508,$B176,'январь 2023'!$J$4:$J$508,Z$1)</f>
        <v>0</v>
      </c>
      <c r="AA176" s="207">
        <f>SUMIFS('январь 2023'!$G$4:$G$508,'январь 2023'!$D$4:$D$508,$B176,'январь 2023'!$J$4:$J$508,AA$1)</f>
        <v>0</v>
      </c>
      <c r="AB176" s="207">
        <f>SUMIFS('январь 2023'!$G$4:$G$508,'январь 2023'!$D$4:$D$508,$B176,'январь 2023'!$J$4:$J$508,AB$1)</f>
        <v>0</v>
      </c>
      <c r="AC176" s="207">
        <f>SUMIFS('январь 2023'!$G$4:$G$508,'январь 2023'!$D$4:$D$508,$B176,'январь 2023'!$J$4:$J$508,AC$1)</f>
        <v>0</v>
      </c>
      <c r="AD176" s="207">
        <f>SUMIFS('январь 2023'!$G$4:$G$508,'январь 2023'!$D$4:$D$508,$B176,'январь 2023'!$J$4:$J$508,AD$1)</f>
        <v>0</v>
      </c>
      <c r="AE176" s="207">
        <f>SUMIFS('январь 2023'!$G$4:$G$508,'январь 2023'!$D$4:$D$508,$B176,'январь 2023'!$J$4:$J$508,AE$1)</f>
        <v>0</v>
      </c>
      <c r="AF176" s="207">
        <f>SUMIFS('январь 2023'!$G$4:$G$508,'январь 2023'!$D$4:$D$508,$B176,'январь 2023'!$J$4:$J$508,AF$1)</f>
        <v>0</v>
      </c>
      <c r="AG176" s="207">
        <f>SUMIFS('январь 2023'!$G$4:$G$508,'январь 2023'!$D$4:$D$508,$B176,'январь 2023'!$J$4:$J$508,AG$1)</f>
        <v>0</v>
      </c>
      <c r="AH176" s="207">
        <f>SUMIFS('январь 2023'!$G$4:$G$508,'январь 2023'!$D$4:$D$508,$B176,'январь 2023'!$J$4:$J$508,AH$1)</f>
        <v>0</v>
      </c>
      <c r="AI176" s="220">
        <f t="shared" si="4"/>
        <v>0</v>
      </c>
    </row>
  </sheetData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справочник!$E$4:$E$159</xm:f>
          </x14:formula1>
          <xm:sqref>B3:B176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18"/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28</vt:i4>
      </vt:variant>
      <vt:variant>
        <vt:lpstr>Именованные диапазоны</vt:lpstr>
      </vt:variant>
      <vt:variant>
        <vt:i4>12</vt:i4>
      </vt:variant>
    </vt:vector>
  </HeadingPairs>
  <TitlesOfParts>
    <vt:vector size="40" baseType="lpstr">
      <vt:lpstr>декабрь 2023</vt:lpstr>
      <vt:lpstr>ноябрь 2023</vt:lpstr>
      <vt:lpstr>октябрь 2023</vt:lpstr>
      <vt:lpstr>сентябрь 2023</vt:lpstr>
      <vt:lpstr>август 2023</vt:lpstr>
      <vt:lpstr>июль 2023</vt:lpstr>
      <vt:lpstr>июнь 2023</vt:lpstr>
      <vt:lpstr>май 2023</vt:lpstr>
      <vt:lpstr>апрель 2023</vt:lpstr>
      <vt:lpstr>март 2023</vt:lpstr>
      <vt:lpstr>февраль 2023</vt:lpstr>
      <vt:lpstr>январь 2023</vt:lpstr>
      <vt:lpstr>справочник</vt:lpstr>
      <vt:lpstr>промеж.06</vt:lpstr>
      <vt:lpstr>промеж.</vt:lpstr>
      <vt:lpstr>промеж.12.23</vt:lpstr>
      <vt:lpstr>промеж.11.23</vt:lpstr>
      <vt:lpstr>промеж.10.23</vt:lpstr>
      <vt:lpstr>промеж.09.23</vt:lpstr>
      <vt:lpstr>промеж.08.23</vt:lpstr>
      <vt:lpstr>промеж.07.23</vt:lpstr>
      <vt:lpstr>промеж.06.23</vt:lpstr>
      <vt:lpstr>промеж.05.23</vt:lpstr>
      <vt:lpstr>промеж.04.23</vt:lpstr>
      <vt:lpstr>промеж.03.23</vt:lpstr>
      <vt:lpstr>промеж.02.23</vt:lpstr>
      <vt:lpstr>промеж.01.23</vt:lpstr>
      <vt:lpstr>Лист3</vt:lpstr>
      <vt:lpstr>'август 2023'!Область_печати</vt:lpstr>
      <vt:lpstr>'апрель 2023'!Область_печати</vt:lpstr>
      <vt:lpstr>'декабрь 2023'!Область_печати</vt:lpstr>
      <vt:lpstr>'июль 2023'!Область_печати</vt:lpstr>
      <vt:lpstr>'июнь 2023'!Область_печати</vt:lpstr>
      <vt:lpstr>'май 2023'!Область_печати</vt:lpstr>
      <vt:lpstr>'март 2023'!Область_печати</vt:lpstr>
      <vt:lpstr>'ноябрь 2023'!Область_печати</vt:lpstr>
      <vt:lpstr>'октябрь 2023'!Область_печати</vt:lpstr>
      <vt:lpstr>'сентябрь 2023'!Область_печати</vt:lpstr>
      <vt:lpstr>'февраль 2023'!Область_печати</vt:lpstr>
      <vt:lpstr>'январь 2023'!Область_печати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revision>1</cp:revision>
  <dcterms:created xsi:type="dcterms:W3CDTF">2015-06-05T18:19:34Z</dcterms:created>
  <dcterms:modified xsi:type="dcterms:W3CDTF">2025-08-27T08:44:20Z</dcterms:modified>
</cp:coreProperties>
</file>